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<sst xmlns="http://schemas.openxmlformats.org/spreadsheetml/2006/main" count="1" uniqueCount="1">
  <si>
    <t>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</si>
</sst>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Mono&quot;"/>
    </font>
    <font>
      <color theme="1"/>
      <name val="Arial"/>
      <scheme val="minor"/>
    </font>
    <font>
      <sz val="11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13.0"/>
  </cols>
  <sheetData>
    <row r="1">
      <c r="A1" s="1">
        <v>2025.0</v>
      </c>
      <c r="B1" s="2" t="s">
        <v>0</v>
      </c>
    </row>
    <row r="2">
      <c r="A2" s="3" t="str">
        <f>IFERROR(__xludf.DUMMYFUNCTION("IMPORTHTML(""https://www.basketball-reference.com/draft/NBA_2025.html"", ""table"", 1)"),"")</f>
        <v/>
      </c>
      <c r="B2" s="4"/>
      <c r="C2" s="4"/>
      <c r="D2" s="4" t="str">
        <f>IFERROR(__xludf.DUMMYFUNCTION("""COMPUTED_VALUE"""),"Round 1")</f>
        <v>Round 1</v>
      </c>
      <c r="E2" s="4"/>
      <c r="F2" s="4"/>
      <c r="G2" s="4" t="str">
        <f>IFERROR(__xludf.DUMMYFUNCTION("""COMPUTED_VALUE"""),"Totals")</f>
        <v>Totals</v>
      </c>
      <c r="H2" s="4"/>
      <c r="I2" s="4"/>
      <c r="J2" s="4"/>
      <c r="K2" s="4"/>
      <c r="L2" s="4" t="str">
        <f>IFERROR(__xludf.DUMMYFUNCTION("""COMPUTED_VALUE"""),"Shooting")</f>
        <v>Shooting</v>
      </c>
      <c r="M2" s="4"/>
      <c r="N2" s="4"/>
      <c r="O2" s="4" t="str">
        <f>IFERROR(__xludf.DUMMYFUNCTION("""COMPUTED_VALUE"""),"Per Game")</f>
        <v>Per Game</v>
      </c>
      <c r="P2" s="4"/>
      <c r="Q2" s="4"/>
      <c r="R2" s="4"/>
      <c r="S2" s="4" t="str">
        <f>IFERROR(__xludf.DUMMYFUNCTION("""COMPUTED_VALUE"""),"Advanced")</f>
        <v>Advanced</v>
      </c>
      <c r="T2" s="4"/>
      <c r="U2" s="4"/>
      <c r="V2" s="4"/>
    </row>
    <row r="3">
      <c r="A3" s="4" t="str">
        <f>IFERROR(__xludf.DUMMYFUNCTION("""COMPUTED_VALUE"""),"Rk")</f>
        <v>Rk</v>
      </c>
      <c r="B3" s="4" t="str">
        <f>IFERROR(__xludf.DUMMYFUNCTION("""COMPUTED_VALUE"""),"Pk")</f>
        <v>Pk</v>
      </c>
      <c r="C3" s="4" t="str">
        <f>IFERROR(__xludf.DUMMYFUNCTION("""COMPUTED_VALUE"""),"Tm")</f>
        <v>Tm</v>
      </c>
      <c r="D3" s="4" t="str">
        <f>IFERROR(__xludf.DUMMYFUNCTION("""COMPUTED_VALUE"""),"Player")</f>
        <v>Player</v>
      </c>
      <c r="E3" s="4" t="str">
        <f>IFERROR(__xludf.DUMMYFUNCTION("""COMPUTED_VALUE"""),"College")</f>
        <v>College</v>
      </c>
      <c r="F3" s="4" t="str">
        <f>IFERROR(__xludf.DUMMYFUNCTION("""COMPUTED_VALUE"""),"Yrs")</f>
        <v>Yrs</v>
      </c>
      <c r="G3" s="4" t="str">
        <f>IFERROR(__xludf.DUMMYFUNCTION("""COMPUTED_VALUE"""),"G")</f>
        <v>G</v>
      </c>
      <c r="H3" s="4" t="str">
        <f>IFERROR(__xludf.DUMMYFUNCTION("""COMPUTED_VALUE"""),"MP")</f>
        <v>MP</v>
      </c>
      <c r="I3" s="4" t="str">
        <f>IFERROR(__xludf.DUMMYFUNCTION("""COMPUTED_VALUE"""),"PTS")</f>
        <v>PTS</v>
      </c>
      <c r="J3" s="4" t="str">
        <f>IFERROR(__xludf.DUMMYFUNCTION("""COMPUTED_VALUE"""),"TRB")</f>
        <v>TRB</v>
      </c>
      <c r="K3" s="4" t="str">
        <f>IFERROR(__xludf.DUMMYFUNCTION("""COMPUTED_VALUE"""),"AST")</f>
        <v>AST</v>
      </c>
      <c r="L3" s="4" t="str">
        <f>IFERROR(__xludf.DUMMYFUNCTION("""COMPUTED_VALUE"""),"FG%")</f>
        <v>FG%</v>
      </c>
      <c r="M3" s="4" t="str">
        <f>IFERROR(__xludf.DUMMYFUNCTION("""COMPUTED_VALUE"""),"3P%")</f>
        <v>3P%</v>
      </c>
      <c r="N3" s="4" t="str">
        <f>IFERROR(__xludf.DUMMYFUNCTION("""COMPUTED_VALUE"""),"FT%")</f>
        <v>FT%</v>
      </c>
      <c r="O3" s="4" t="str">
        <f>IFERROR(__xludf.DUMMYFUNCTION("""COMPUTED_VALUE"""),"MP")</f>
        <v>MP</v>
      </c>
      <c r="P3" s="4" t="str">
        <f>IFERROR(__xludf.DUMMYFUNCTION("""COMPUTED_VALUE"""),"PTS")</f>
        <v>PTS</v>
      </c>
      <c r="Q3" s="4" t="str">
        <f>IFERROR(__xludf.DUMMYFUNCTION("""COMPUTED_VALUE"""),"TRB")</f>
        <v>TRB</v>
      </c>
      <c r="R3" s="4" t="str">
        <f>IFERROR(__xludf.DUMMYFUNCTION("""COMPUTED_VALUE"""),"AST")</f>
        <v>AST</v>
      </c>
      <c r="S3" s="4" t="str">
        <f>IFERROR(__xludf.DUMMYFUNCTION("""COMPUTED_VALUE"""),"WS")</f>
        <v>WS</v>
      </c>
      <c r="T3" s="4" t="str">
        <f>IFERROR(__xludf.DUMMYFUNCTION("""COMPUTED_VALUE"""),"WS/48")</f>
        <v>WS/48</v>
      </c>
      <c r="U3" s="4" t="str">
        <f>IFERROR(__xludf.DUMMYFUNCTION("""COMPUTED_VALUE"""),"BPM")</f>
        <v>BPM</v>
      </c>
      <c r="V3" s="4" t="str">
        <f>IFERROR(__xludf.DUMMYFUNCTION("""COMPUTED_VALUE"""),"VORP")</f>
        <v>VORP</v>
      </c>
    </row>
    <row r="4">
      <c r="A4" s="4">
        <f>IFERROR(__xludf.DUMMYFUNCTION("""COMPUTED_VALUE"""),1.0)</f>
        <v>1</v>
      </c>
      <c r="B4" s="4">
        <f>IFERROR(__xludf.DUMMYFUNCTION("""COMPUTED_VALUE"""),1.0)</f>
        <v>1</v>
      </c>
      <c r="C4" s="4" t="str">
        <f>IFERROR(__xludf.DUMMYFUNCTION("""COMPUTED_VALUE"""),"DAL")</f>
        <v>DAL</v>
      </c>
      <c r="D4" s="4" t="str">
        <f>IFERROR(__xludf.DUMMYFUNCTION("""COMPUTED_VALUE"""),"Cooper Flagg")</f>
        <v>Cooper Flagg</v>
      </c>
      <c r="E4" s="4" t="str">
        <f>IFERROR(__xludf.DUMMYFUNCTION("""COMPUTED_VALUE"""),"Duke")</f>
        <v>Duke</v>
      </c>
      <c r="F4" s="4">
        <f>IFERROR(__xludf.DUMMYFUNCTION("""COMPUTED_VALUE"""),1.0)</f>
        <v>1</v>
      </c>
      <c r="G4" s="4">
        <f>IFERROR(__xludf.DUMMYFUNCTION("""COMPUTED_VALUE"""),21.0)</f>
        <v>21</v>
      </c>
      <c r="H4" s="4">
        <f>IFERROR(__xludf.DUMMYFUNCTION("""COMPUTED_VALUE"""),711.0)</f>
        <v>711</v>
      </c>
      <c r="I4" s="4">
        <f>IFERROR(__xludf.DUMMYFUNCTION("""COMPUTED_VALUE"""),358.0)</f>
        <v>358</v>
      </c>
      <c r="J4" s="4">
        <f>IFERROR(__xludf.DUMMYFUNCTION("""COMPUTED_VALUE"""),139.0)</f>
        <v>139</v>
      </c>
      <c r="K4" s="4">
        <f>IFERROR(__xludf.DUMMYFUNCTION("""COMPUTED_VALUE"""),71.0)</f>
        <v>71</v>
      </c>
      <c r="L4" s="4">
        <f>IFERROR(__xludf.DUMMYFUNCTION("""COMPUTED_VALUE"""),0.466)</f>
        <v>0.466</v>
      </c>
      <c r="M4" s="4">
        <f>IFERROR(__xludf.DUMMYFUNCTION("""COMPUTED_VALUE"""),0.256)</f>
        <v>0.256</v>
      </c>
      <c r="N4" s="4">
        <f>IFERROR(__xludf.DUMMYFUNCTION("""COMPUTED_VALUE"""),0.8)</f>
        <v>0.8</v>
      </c>
      <c r="O4" s="4">
        <f>IFERROR(__xludf.DUMMYFUNCTION("""COMPUTED_VALUE"""),33.9)</f>
        <v>33.9</v>
      </c>
      <c r="P4" s="4">
        <f>IFERROR(__xludf.DUMMYFUNCTION("""COMPUTED_VALUE"""),17.0)</f>
        <v>17</v>
      </c>
      <c r="Q4" s="4">
        <f>IFERROR(__xludf.DUMMYFUNCTION("""COMPUTED_VALUE"""),6.6)</f>
        <v>6.6</v>
      </c>
      <c r="R4" s="4">
        <f>IFERROR(__xludf.DUMMYFUNCTION("""COMPUTED_VALUE"""),3.4)</f>
        <v>3.4</v>
      </c>
      <c r="S4" s="4">
        <f>IFERROR(__xludf.DUMMYFUNCTION("""COMPUTED_VALUE"""),1.0)</f>
        <v>1</v>
      </c>
      <c r="T4" s="4">
        <f>IFERROR(__xludf.DUMMYFUNCTION("""COMPUTED_VALUE"""),0.068)</f>
        <v>0.068</v>
      </c>
      <c r="U4" s="4">
        <f>IFERROR(__xludf.DUMMYFUNCTION("""COMPUTED_VALUE"""),-1.1)</f>
        <v>-1.1</v>
      </c>
      <c r="V4" s="4">
        <f>IFERROR(__xludf.DUMMYFUNCTION("""COMPUTED_VALUE"""),0.2)</f>
        <v>0.2</v>
      </c>
    </row>
    <row r="5">
      <c r="A5" s="4">
        <f>IFERROR(__xludf.DUMMYFUNCTION("""COMPUTED_VALUE"""),2.0)</f>
        <v>2</v>
      </c>
      <c r="B5" s="4">
        <f>IFERROR(__xludf.DUMMYFUNCTION("""COMPUTED_VALUE"""),2.0)</f>
        <v>2</v>
      </c>
      <c r="C5" s="4" t="str">
        <f>IFERROR(__xludf.DUMMYFUNCTION("""COMPUTED_VALUE"""),"SAS")</f>
        <v>SAS</v>
      </c>
      <c r="D5" s="4" t="str">
        <f>IFERROR(__xludf.DUMMYFUNCTION("""COMPUTED_VALUE"""),"Dylan Harper")</f>
        <v>Dylan Harper</v>
      </c>
      <c r="E5" s="4" t="str">
        <f>IFERROR(__xludf.DUMMYFUNCTION("""COMPUTED_VALUE"""),"Rutgers University")</f>
        <v>Rutgers University</v>
      </c>
      <c r="F5" s="4">
        <f>IFERROR(__xludf.DUMMYFUNCTION("""COMPUTED_VALUE"""),1.0)</f>
        <v>1</v>
      </c>
      <c r="G5" s="4">
        <f>IFERROR(__xludf.DUMMYFUNCTION("""COMPUTED_VALUE"""),10.0)</f>
        <v>10</v>
      </c>
      <c r="H5" s="4">
        <f>IFERROR(__xludf.DUMMYFUNCTION("""COMPUTED_VALUE"""),212.0)</f>
        <v>212</v>
      </c>
      <c r="I5" s="4">
        <f>IFERROR(__xludf.DUMMYFUNCTION("""COMPUTED_VALUE"""),134.0)</f>
        <v>134</v>
      </c>
      <c r="J5" s="4">
        <f>IFERROR(__xludf.DUMMYFUNCTION("""COMPUTED_VALUE"""),28.0)</f>
        <v>28</v>
      </c>
      <c r="K5" s="4">
        <f>IFERROR(__xludf.DUMMYFUNCTION("""COMPUTED_VALUE"""),34.0)</f>
        <v>34</v>
      </c>
      <c r="L5" s="4">
        <f>IFERROR(__xludf.DUMMYFUNCTION("""COMPUTED_VALUE"""),0.505)</f>
        <v>0.505</v>
      </c>
      <c r="M5" s="4">
        <f>IFERROR(__xludf.DUMMYFUNCTION("""COMPUTED_VALUE"""),0.333)</f>
        <v>0.333</v>
      </c>
      <c r="N5" s="4">
        <f>IFERROR(__xludf.DUMMYFUNCTION("""COMPUTED_VALUE"""),0.758)</f>
        <v>0.758</v>
      </c>
      <c r="O5" s="4">
        <f>IFERROR(__xludf.DUMMYFUNCTION("""COMPUTED_VALUE"""),21.2)</f>
        <v>21.2</v>
      </c>
      <c r="P5" s="4">
        <f>IFERROR(__xludf.DUMMYFUNCTION("""COMPUTED_VALUE"""),13.4)</f>
        <v>13.4</v>
      </c>
      <c r="Q5" s="4">
        <f>IFERROR(__xludf.DUMMYFUNCTION("""COMPUTED_VALUE"""),2.8)</f>
        <v>2.8</v>
      </c>
      <c r="R5" s="4">
        <f>IFERROR(__xludf.DUMMYFUNCTION("""COMPUTED_VALUE"""),3.4)</f>
        <v>3.4</v>
      </c>
      <c r="S5" s="4">
        <f>IFERROR(__xludf.DUMMYFUNCTION("""COMPUTED_VALUE"""),0.7)</f>
        <v>0.7</v>
      </c>
      <c r="T5" s="4">
        <f>IFERROR(__xludf.DUMMYFUNCTION("""COMPUTED_VALUE"""),0.16)</f>
        <v>0.16</v>
      </c>
      <c r="U5" s="4">
        <f>IFERROR(__xludf.DUMMYFUNCTION("""COMPUTED_VALUE"""),1.4)</f>
        <v>1.4</v>
      </c>
      <c r="V5" s="4">
        <f>IFERROR(__xludf.DUMMYFUNCTION("""COMPUTED_VALUE"""),0.2)</f>
        <v>0.2</v>
      </c>
    </row>
    <row r="6">
      <c r="A6" s="4">
        <f>IFERROR(__xludf.DUMMYFUNCTION("""COMPUTED_VALUE"""),3.0)</f>
        <v>3</v>
      </c>
      <c r="B6" s="4">
        <f>IFERROR(__xludf.DUMMYFUNCTION("""COMPUTED_VALUE"""),3.0)</f>
        <v>3</v>
      </c>
      <c r="C6" s="4" t="str">
        <f>IFERROR(__xludf.DUMMYFUNCTION("""COMPUTED_VALUE"""),"PHI")</f>
        <v>PHI</v>
      </c>
      <c r="D6" s="4" t="str">
        <f>IFERROR(__xludf.DUMMYFUNCTION("""COMPUTED_VALUE"""),"VJ Edgecombe")</f>
        <v>VJ Edgecombe</v>
      </c>
      <c r="E6" s="4" t="str">
        <f>IFERROR(__xludf.DUMMYFUNCTION("""COMPUTED_VALUE"""),"Baylor")</f>
        <v>Baylor</v>
      </c>
      <c r="F6" s="4">
        <f>IFERROR(__xludf.DUMMYFUNCTION("""COMPUTED_VALUE"""),1.0)</f>
        <v>1</v>
      </c>
      <c r="G6" s="4">
        <f>IFERROR(__xludf.DUMMYFUNCTION("""COMPUTED_VALUE"""),17.0)</f>
        <v>17</v>
      </c>
      <c r="H6" s="4">
        <f>IFERROR(__xludf.DUMMYFUNCTION("""COMPUTED_VALUE"""),606.0)</f>
        <v>606</v>
      </c>
      <c r="I6" s="4">
        <f>IFERROR(__xludf.DUMMYFUNCTION("""COMPUTED_VALUE"""),250.0)</f>
        <v>250</v>
      </c>
      <c r="J6" s="4">
        <f>IFERROR(__xludf.DUMMYFUNCTION("""COMPUTED_VALUE"""),98.0)</f>
        <v>98</v>
      </c>
      <c r="K6" s="4">
        <f>IFERROR(__xludf.DUMMYFUNCTION("""COMPUTED_VALUE"""),71.0)</f>
        <v>71</v>
      </c>
      <c r="L6" s="4">
        <f>IFERROR(__xludf.DUMMYFUNCTION("""COMPUTED_VALUE"""),0.409)</f>
        <v>0.409</v>
      </c>
      <c r="M6" s="4">
        <f>IFERROR(__xludf.DUMMYFUNCTION("""COMPUTED_VALUE"""),0.36)</f>
        <v>0.36</v>
      </c>
      <c r="N6" s="4">
        <f>IFERROR(__xludf.DUMMYFUNCTION("""COMPUTED_VALUE"""),0.737)</f>
        <v>0.737</v>
      </c>
      <c r="O6" s="4">
        <f>IFERROR(__xludf.DUMMYFUNCTION("""COMPUTED_VALUE"""),35.6)</f>
        <v>35.6</v>
      </c>
      <c r="P6" s="4">
        <f>IFERROR(__xludf.DUMMYFUNCTION("""COMPUTED_VALUE"""),14.7)</f>
        <v>14.7</v>
      </c>
      <c r="Q6" s="4">
        <f>IFERROR(__xludf.DUMMYFUNCTION("""COMPUTED_VALUE"""),5.8)</f>
        <v>5.8</v>
      </c>
      <c r="R6" s="4">
        <f>IFERROR(__xludf.DUMMYFUNCTION("""COMPUTED_VALUE"""),4.2)</f>
        <v>4.2</v>
      </c>
      <c r="S6" s="4">
        <f>IFERROR(__xludf.DUMMYFUNCTION("""COMPUTED_VALUE"""),0.7)</f>
        <v>0.7</v>
      </c>
      <c r="T6" s="4">
        <f>IFERROR(__xludf.DUMMYFUNCTION("""COMPUTED_VALUE"""),0.057)</f>
        <v>0.057</v>
      </c>
      <c r="U6" s="4">
        <f>IFERROR(__xludf.DUMMYFUNCTION("""COMPUTED_VALUE"""),-1.9)</f>
        <v>-1.9</v>
      </c>
      <c r="V6" s="4">
        <f>IFERROR(__xludf.DUMMYFUNCTION("""COMPUTED_VALUE"""),0.0)</f>
        <v>0</v>
      </c>
    </row>
    <row r="7">
      <c r="A7" s="4">
        <f>IFERROR(__xludf.DUMMYFUNCTION("""COMPUTED_VALUE"""),4.0)</f>
        <v>4</v>
      </c>
      <c r="B7" s="4">
        <f>IFERROR(__xludf.DUMMYFUNCTION("""COMPUTED_VALUE"""),4.0)</f>
        <v>4</v>
      </c>
      <c r="C7" s="4" t="str">
        <f>IFERROR(__xludf.DUMMYFUNCTION("""COMPUTED_VALUE"""),"CHO")</f>
        <v>CHO</v>
      </c>
      <c r="D7" s="4" t="str">
        <f>IFERROR(__xludf.DUMMYFUNCTION("""COMPUTED_VALUE"""),"Kon Knueppel")</f>
        <v>Kon Knueppel</v>
      </c>
      <c r="E7" s="4" t="str">
        <f>IFERROR(__xludf.DUMMYFUNCTION("""COMPUTED_VALUE"""),"Duke")</f>
        <v>Duke</v>
      </c>
      <c r="F7" s="4">
        <f>IFERROR(__xludf.DUMMYFUNCTION("""COMPUTED_VALUE"""),1.0)</f>
        <v>1</v>
      </c>
      <c r="G7" s="4">
        <f>IFERROR(__xludf.DUMMYFUNCTION("""COMPUTED_VALUE"""),21.0)</f>
        <v>21</v>
      </c>
      <c r="H7" s="4">
        <f>IFERROR(__xludf.DUMMYFUNCTION("""COMPUTED_VALUE"""),704.0)</f>
        <v>704</v>
      </c>
      <c r="I7" s="4">
        <f>IFERROR(__xludf.DUMMYFUNCTION("""COMPUTED_VALUE"""),385.0)</f>
        <v>385</v>
      </c>
      <c r="J7" s="4">
        <f>IFERROR(__xludf.DUMMYFUNCTION("""COMPUTED_VALUE"""),120.0)</f>
        <v>120</v>
      </c>
      <c r="K7" s="4">
        <f>IFERROR(__xludf.DUMMYFUNCTION("""COMPUTED_VALUE"""),63.0)</f>
        <v>63</v>
      </c>
      <c r="L7" s="4">
        <f>IFERROR(__xludf.DUMMYFUNCTION("""COMPUTED_VALUE"""),0.465)</f>
        <v>0.465</v>
      </c>
      <c r="M7" s="4">
        <f>IFERROR(__xludf.DUMMYFUNCTION("""COMPUTED_VALUE"""),0.415)</f>
        <v>0.415</v>
      </c>
      <c r="N7" s="4">
        <f>IFERROR(__xludf.DUMMYFUNCTION("""COMPUTED_VALUE"""),0.898)</f>
        <v>0.898</v>
      </c>
      <c r="O7" s="4">
        <f>IFERROR(__xludf.DUMMYFUNCTION("""COMPUTED_VALUE"""),33.5)</f>
        <v>33.5</v>
      </c>
      <c r="P7" s="4">
        <f>IFERROR(__xludf.DUMMYFUNCTION("""COMPUTED_VALUE"""),18.3)</f>
        <v>18.3</v>
      </c>
      <c r="Q7" s="4">
        <f>IFERROR(__xludf.DUMMYFUNCTION("""COMPUTED_VALUE"""),5.7)</f>
        <v>5.7</v>
      </c>
      <c r="R7" s="4">
        <f>IFERROR(__xludf.DUMMYFUNCTION("""COMPUTED_VALUE"""),3.0)</f>
        <v>3</v>
      </c>
      <c r="S7" s="4">
        <f>IFERROR(__xludf.DUMMYFUNCTION("""COMPUTED_VALUE"""),1.1)</f>
        <v>1.1</v>
      </c>
      <c r="T7" s="4">
        <f>IFERROR(__xludf.DUMMYFUNCTION("""COMPUTED_VALUE"""),0.076)</f>
        <v>0.076</v>
      </c>
      <c r="U7" s="4">
        <f>IFERROR(__xludf.DUMMYFUNCTION("""COMPUTED_VALUE"""),-0.3)</f>
        <v>-0.3</v>
      </c>
      <c r="V7" s="4">
        <f>IFERROR(__xludf.DUMMYFUNCTION("""COMPUTED_VALUE"""),0.3)</f>
        <v>0.3</v>
      </c>
    </row>
    <row r="8">
      <c r="A8" s="4">
        <f>IFERROR(__xludf.DUMMYFUNCTION("""COMPUTED_VALUE"""),5.0)</f>
        <v>5</v>
      </c>
      <c r="B8" s="4">
        <f>IFERROR(__xludf.DUMMYFUNCTION("""COMPUTED_VALUE"""),5.0)</f>
        <v>5</v>
      </c>
      <c r="C8" s="4" t="str">
        <f>IFERROR(__xludf.DUMMYFUNCTION("""COMPUTED_VALUE"""),"UTA")</f>
        <v>UTA</v>
      </c>
      <c r="D8" s="4" t="str">
        <f>IFERROR(__xludf.DUMMYFUNCTION("""COMPUTED_VALUE"""),"Ace Bailey")</f>
        <v>Ace Bailey</v>
      </c>
      <c r="E8" s="4" t="str">
        <f>IFERROR(__xludf.DUMMYFUNCTION("""COMPUTED_VALUE"""),"Rutgers University")</f>
        <v>Rutgers University</v>
      </c>
      <c r="F8" s="4">
        <f>IFERROR(__xludf.DUMMYFUNCTION("""COMPUTED_VALUE"""),1.0)</f>
        <v>1</v>
      </c>
      <c r="G8" s="4">
        <f>IFERROR(__xludf.DUMMYFUNCTION("""COMPUTED_VALUE"""),20.0)</f>
        <v>20</v>
      </c>
      <c r="H8" s="4">
        <f>IFERROR(__xludf.DUMMYFUNCTION("""COMPUTED_VALUE"""),443.0)</f>
        <v>443</v>
      </c>
      <c r="I8" s="4">
        <f>IFERROR(__xludf.DUMMYFUNCTION("""COMPUTED_VALUE"""),205.0)</f>
        <v>205</v>
      </c>
      <c r="J8" s="4">
        <f>IFERROR(__xludf.DUMMYFUNCTION("""COMPUTED_VALUE"""),67.0)</f>
        <v>67</v>
      </c>
      <c r="K8" s="4">
        <f>IFERROR(__xludf.DUMMYFUNCTION("""COMPUTED_VALUE"""),35.0)</f>
        <v>35</v>
      </c>
      <c r="L8" s="4">
        <f>IFERROR(__xludf.DUMMYFUNCTION("""COMPUTED_VALUE"""),0.462)</f>
        <v>0.462</v>
      </c>
      <c r="M8" s="4">
        <f>IFERROR(__xludf.DUMMYFUNCTION("""COMPUTED_VALUE"""),0.358)</f>
        <v>0.358</v>
      </c>
      <c r="N8" s="4">
        <f>IFERROR(__xludf.DUMMYFUNCTION("""COMPUTED_VALUE"""),0.842)</f>
        <v>0.842</v>
      </c>
      <c r="O8" s="4">
        <f>IFERROR(__xludf.DUMMYFUNCTION("""COMPUTED_VALUE"""),22.2)</f>
        <v>22.2</v>
      </c>
      <c r="P8" s="4">
        <f>IFERROR(__xludf.DUMMYFUNCTION("""COMPUTED_VALUE"""),10.3)</f>
        <v>10.3</v>
      </c>
      <c r="Q8" s="4">
        <f>IFERROR(__xludf.DUMMYFUNCTION("""COMPUTED_VALUE"""),3.4)</f>
        <v>3.4</v>
      </c>
      <c r="R8" s="4">
        <f>IFERROR(__xludf.DUMMYFUNCTION("""COMPUTED_VALUE"""),1.8)</f>
        <v>1.8</v>
      </c>
      <c r="S8" s="4">
        <f>IFERROR(__xludf.DUMMYFUNCTION("""COMPUTED_VALUE"""),0.4)</f>
        <v>0.4</v>
      </c>
      <c r="T8" s="4">
        <f>IFERROR(__xludf.DUMMYFUNCTION("""COMPUTED_VALUE"""),0.038)</f>
        <v>0.038</v>
      </c>
      <c r="U8" s="4">
        <f>IFERROR(__xludf.DUMMYFUNCTION("""COMPUTED_VALUE"""),-2.6)</f>
        <v>-2.6</v>
      </c>
      <c r="V8" s="4">
        <f>IFERROR(__xludf.DUMMYFUNCTION("""COMPUTED_VALUE"""),-0.1)</f>
        <v>-0.1</v>
      </c>
    </row>
    <row r="9">
      <c r="A9" s="4">
        <f>IFERROR(__xludf.DUMMYFUNCTION("""COMPUTED_VALUE"""),6.0)</f>
        <v>6</v>
      </c>
      <c r="B9" s="4">
        <f>IFERROR(__xludf.DUMMYFUNCTION("""COMPUTED_VALUE"""),6.0)</f>
        <v>6</v>
      </c>
      <c r="C9" s="4" t="str">
        <f>IFERROR(__xludf.DUMMYFUNCTION("""COMPUTED_VALUE"""),"WAS")</f>
        <v>WAS</v>
      </c>
      <c r="D9" s="4" t="str">
        <f>IFERROR(__xludf.DUMMYFUNCTION("""COMPUTED_VALUE"""),"Tre Johnson")</f>
        <v>Tre Johnson</v>
      </c>
      <c r="E9" s="4" t="str">
        <f>IFERROR(__xludf.DUMMYFUNCTION("""COMPUTED_VALUE"""),"Texas")</f>
        <v>Texas</v>
      </c>
      <c r="F9" s="4">
        <f>IFERROR(__xludf.DUMMYFUNCTION("""COMPUTED_VALUE"""),1.0)</f>
        <v>1</v>
      </c>
      <c r="G9" s="4">
        <f>IFERROR(__xludf.DUMMYFUNCTION("""COMPUTED_VALUE"""),15.0)</f>
        <v>15</v>
      </c>
      <c r="H9" s="4">
        <f>IFERROR(__xludf.DUMMYFUNCTION("""COMPUTED_VALUE"""),364.0)</f>
        <v>364</v>
      </c>
      <c r="I9" s="4">
        <f>IFERROR(__xludf.DUMMYFUNCTION("""COMPUTED_VALUE"""),173.0)</f>
        <v>173</v>
      </c>
      <c r="J9" s="4">
        <f>IFERROR(__xludf.DUMMYFUNCTION("""COMPUTED_VALUE"""),45.0)</f>
        <v>45</v>
      </c>
      <c r="K9" s="4">
        <f>IFERROR(__xludf.DUMMYFUNCTION("""COMPUTED_VALUE"""),20.0)</f>
        <v>20</v>
      </c>
      <c r="L9" s="4">
        <f>IFERROR(__xludf.DUMMYFUNCTION("""COMPUTED_VALUE"""),0.445)</f>
        <v>0.445</v>
      </c>
      <c r="M9" s="4">
        <f>IFERROR(__xludf.DUMMYFUNCTION("""COMPUTED_VALUE"""),0.395)</f>
        <v>0.395</v>
      </c>
      <c r="N9" s="4">
        <f>IFERROR(__xludf.DUMMYFUNCTION("""COMPUTED_VALUE"""),0.813)</f>
        <v>0.813</v>
      </c>
      <c r="O9" s="4">
        <f>IFERROR(__xludf.DUMMYFUNCTION("""COMPUTED_VALUE"""),24.3)</f>
        <v>24.3</v>
      </c>
      <c r="P9" s="4">
        <f>IFERROR(__xludf.DUMMYFUNCTION("""COMPUTED_VALUE"""),11.5)</f>
        <v>11.5</v>
      </c>
      <c r="Q9" s="4">
        <f>IFERROR(__xludf.DUMMYFUNCTION("""COMPUTED_VALUE"""),3.0)</f>
        <v>3</v>
      </c>
      <c r="R9" s="4">
        <f>IFERROR(__xludf.DUMMYFUNCTION("""COMPUTED_VALUE"""),1.3)</f>
        <v>1.3</v>
      </c>
      <c r="S9" s="4">
        <f>IFERROR(__xludf.DUMMYFUNCTION("""COMPUTED_VALUE"""),-0.2)</f>
        <v>-0.2</v>
      </c>
      <c r="T9" s="4">
        <f>IFERROR(__xludf.DUMMYFUNCTION("""COMPUTED_VALUE"""),-0.03)</f>
        <v>-0.03</v>
      </c>
      <c r="U9" s="4">
        <f>IFERROR(__xludf.DUMMYFUNCTION("""COMPUTED_VALUE"""),-4.9)</f>
        <v>-4.9</v>
      </c>
      <c r="V9" s="4">
        <f>IFERROR(__xludf.DUMMYFUNCTION("""COMPUTED_VALUE"""),-0.3)</f>
        <v>-0.3</v>
      </c>
    </row>
    <row r="10">
      <c r="A10" s="4">
        <f>IFERROR(__xludf.DUMMYFUNCTION("""COMPUTED_VALUE"""),7.0)</f>
        <v>7</v>
      </c>
      <c r="B10" s="4">
        <f>IFERROR(__xludf.DUMMYFUNCTION("""COMPUTED_VALUE"""),7.0)</f>
        <v>7</v>
      </c>
      <c r="C10" s="4" t="str">
        <f>IFERROR(__xludf.DUMMYFUNCTION("""COMPUTED_VALUE"""),"NOP")</f>
        <v>NOP</v>
      </c>
      <c r="D10" s="4" t="str">
        <f>IFERROR(__xludf.DUMMYFUNCTION("""COMPUTED_VALUE"""),"Jeremiah Fears")</f>
        <v>Jeremiah Fears</v>
      </c>
      <c r="E10" s="4" t="str">
        <f>IFERROR(__xludf.DUMMYFUNCTION("""COMPUTED_VALUE"""),"Oklahoma")</f>
        <v>Oklahoma</v>
      </c>
      <c r="F10" s="4">
        <f>IFERROR(__xludf.DUMMYFUNCTION("""COMPUTED_VALUE"""),1.0)</f>
        <v>1</v>
      </c>
      <c r="G10" s="4">
        <f>IFERROR(__xludf.DUMMYFUNCTION("""COMPUTED_VALUE"""),22.0)</f>
        <v>22</v>
      </c>
      <c r="H10" s="4">
        <f>IFERROR(__xludf.DUMMYFUNCTION("""COMPUTED_VALUE"""),605.0)</f>
        <v>605</v>
      </c>
      <c r="I10" s="4">
        <f>IFERROR(__xludf.DUMMYFUNCTION("""COMPUTED_VALUE"""),345.0)</f>
        <v>345</v>
      </c>
      <c r="J10" s="4">
        <f>IFERROR(__xludf.DUMMYFUNCTION("""COMPUTED_VALUE"""),72.0)</f>
        <v>72</v>
      </c>
      <c r="K10" s="4">
        <f>IFERROR(__xludf.DUMMYFUNCTION("""COMPUTED_VALUE"""),62.0)</f>
        <v>62</v>
      </c>
      <c r="L10" s="4">
        <f>IFERROR(__xludf.DUMMYFUNCTION("""COMPUTED_VALUE"""),0.449)</f>
        <v>0.449</v>
      </c>
      <c r="M10" s="4">
        <f>IFERROR(__xludf.DUMMYFUNCTION("""COMPUTED_VALUE"""),0.364)</f>
        <v>0.364</v>
      </c>
      <c r="N10" s="4">
        <f>IFERROR(__xludf.DUMMYFUNCTION("""COMPUTED_VALUE"""),0.787)</f>
        <v>0.787</v>
      </c>
      <c r="O10" s="4">
        <f>IFERROR(__xludf.DUMMYFUNCTION("""COMPUTED_VALUE"""),27.5)</f>
        <v>27.5</v>
      </c>
      <c r="P10" s="4">
        <f>IFERROR(__xludf.DUMMYFUNCTION("""COMPUTED_VALUE"""),15.7)</f>
        <v>15.7</v>
      </c>
      <c r="Q10" s="4">
        <f>IFERROR(__xludf.DUMMYFUNCTION("""COMPUTED_VALUE"""),3.3)</f>
        <v>3.3</v>
      </c>
      <c r="R10" s="4">
        <f>IFERROR(__xludf.DUMMYFUNCTION("""COMPUTED_VALUE"""),2.8)</f>
        <v>2.8</v>
      </c>
      <c r="S10" s="4">
        <f>IFERROR(__xludf.DUMMYFUNCTION("""COMPUTED_VALUE"""),0.0)</f>
        <v>0</v>
      </c>
      <c r="T10" s="4">
        <f>IFERROR(__xludf.DUMMYFUNCTION("""COMPUTED_VALUE"""),0.001)</f>
        <v>0.001</v>
      </c>
      <c r="U10" s="4">
        <f>IFERROR(__xludf.DUMMYFUNCTION("""COMPUTED_VALUE"""),-3.0)</f>
        <v>-3</v>
      </c>
      <c r="V10" s="4">
        <f>IFERROR(__xludf.DUMMYFUNCTION("""COMPUTED_VALUE"""),-0.2)</f>
        <v>-0.2</v>
      </c>
    </row>
    <row r="11">
      <c r="A11" s="4">
        <f>IFERROR(__xludf.DUMMYFUNCTION("""COMPUTED_VALUE"""),8.0)</f>
        <v>8</v>
      </c>
      <c r="B11" s="4">
        <f>IFERROR(__xludf.DUMMYFUNCTION("""COMPUTED_VALUE"""),8.0)</f>
        <v>8</v>
      </c>
      <c r="C11" s="4" t="str">
        <f>IFERROR(__xludf.DUMMYFUNCTION("""COMPUTED_VALUE"""),"BRK")</f>
        <v>BRK</v>
      </c>
      <c r="D11" s="4" t="str">
        <f>IFERROR(__xludf.DUMMYFUNCTION("""COMPUTED_VALUE"""),"Egor Dёmin")</f>
        <v>Egor Dёmin</v>
      </c>
      <c r="E11" s="4" t="str">
        <f>IFERROR(__xludf.DUMMYFUNCTION("""COMPUTED_VALUE"""),"BYU")</f>
        <v>BYU</v>
      </c>
      <c r="F11" s="4">
        <f>IFERROR(__xludf.DUMMYFUNCTION("""COMPUTED_VALUE"""),1.0)</f>
        <v>1</v>
      </c>
      <c r="G11" s="4">
        <f>IFERROR(__xludf.DUMMYFUNCTION("""COMPUTED_VALUE"""),18.0)</f>
        <v>18</v>
      </c>
      <c r="H11" s="4">
        <f>IFERROR(__xludf.DUMMYFUNCTION("""COMPUTED_VALUE"""),412.0)</f>
        <v>412</v>
      </c>
      <c r="I11" s="4">
        <f>IFERROR(__xludf.DUMMYFUNCTION("""COMPUTED_VALUE"""),154.0)</f>
        <v>154</v>
      </c>
      <c r="J11" s="4">
        <f>IFERROR(__xludf.DUMMYFUNCTION("""COMPUTED_VALUE"""),64.0)</f>
        <v>64</v>
      </c>
      <c r="K11" s="4">
        <f>IFERROR(__xludf.DUMMYFUNCTION("""COMPUTED_VALUE"""),64.0)</f>
        <v>64</v>
      </c>
      <c r="L11" s="4">
        <f>IFERROR(__xludf.DUMMYFUNCTION("""COMPUTED_VALUE"""),0.377)</f>
        <v>0.377</v>
      </c>
      <c r="M11" s="4">
        <f>IFERROR(__xludf.DUMMYFUNCTION("""COMPUTED_VALUE"""),0.347)</f>
        <v>0.347</v>
      </c>
      <c r="N11" s="4">
        <f>IFERROR(__xludf.DUMMYFUNCTION("""COMPUTED_VALUE"""),0.833)</f>
        <v>0.833</v>
      </c>
      <c r="O11" s="4">
        <f>IFERROR(__xludf.DUMMYFUNCTION("""COMPUTED_VALUE"""),22.9)</f>
        <v>22.9</v>
      </c>
      <c r="P11" s="4">
        <f>IFERROR(__xludf.DUMMYFUNCTION("""COMPUTED_VALUE"""),8.6)</f>
        <v>8.6</v>
      </c>
      <c r="Q11" s="4">
        <f>IFERROR(__xludf.DUMMYFUNCTION("""COMPUTED_VALUE"""),3.6)</f>
        <v>3.6</v>
      </c>
      <c r="R11" s="4">
        <f>IFERROR(__xludf.DUMMYFUNCTION("""COMPUTED_VALUE"""),3.6)</f>
        <v>3.6</v>
      </c>
      <c r="S11" s="4">
        <f>IFERROR(__xludf.DUMMYFUNCTION("""COMPUTED_VALUE"""),0.0)</f>
        <v>0</v>
      </c>
      <c r="T11" s="4">
        <f>IFERROR(__xludf.DUMMYFUNCTION("""COMPUTED_VALUE"""),0.005)</f>
        <v>0.005</v>
      </c>
      <c r="U11" s="4">
        <f>IFERROR(__xludf.DUMMYFUNCTION("""COMPUTED_VALUE"""),-1.9)</f>
        <v>-1.9</v>
      </c>
      <c r="V11" s="4">
        <f>IFERROR(__xludf.DUMMYFUNCTION("""COMPUTED_VALUE"""),0.0)</f>
        <v>0</v>
      </c>
    </row>
    <row r="12">
      <c r="A12" s="4">
        <f>IFERROR(__xludf.DUMMYFUNCTION("""COMPUTED_VALUE"""),9.0)</f>
        <v>9</v>
      </c>
      <c r="B12" s="4">
        <f>IFERROR(__xludf.DUMMYFUNCTION("""COMPUTED_VALUE"""),9.0)</f>
        <v>9</v>
      </c>
      <c r="C12" s="4" t="str">
        <f>IFERROR(__xludf.DUMMYFUNCTION("""COMPUTED_VALUE"""),"TOR")</f>
        <v>TOR</v>
      </c>
      <c r="D12" s="4" t="str">
        <f>IFERROR(__xludf.DUMMYFUNCTION("""COMPUTED_VALUE"""),"Collin Murray-Boyles")</f>
        <v>Collin Murray-Boyles</v>
      </c>
      <c r="E12" s="4" t="str">
        <f>IFERROR(__xludf.DUMMYFUNCTION("""COMPUTED_VALUE"""),"South Carolina")</f>
        <v>South Carolina</v>
      </c>
      <c r="F12" s="4">
        <f>IFERROR(__xludf.DUMMYFUNCTION("""COMPUTED_VALUE"""),1.0)</f>
        <v>1</v>
      </c>
      <c r="G12" s="4">
        <f>IFERROR(__xludf.DUMMYFUNCTION("""COMPUTED_VALUE"""),17.0)</f>
        <v>17</v>
      </c>
      <c r="H12" s="4">
        <f>IFERROR(__xludf.DUMMYFUNCTION("""COMPUTED_VALUE"""),307.0)</f>
        <v>307</v>
      </c>
      <c r="I12" s="4">
        <f>IFERROR(__xludf.DUMMYFUNCTION("""COMPUTED_VALUE"""),121.0)</f>
        <v>121</v>
      </c>
      <c r="J12" s="4">
        <f>IFERROR(__xludf.DUMMYFUNCTION("""COMPUTED_VALUE"""),58.0)</f>
        <v>58</v>
      </c>
      <c r="K12" s="4">
        <f>IFERROR(__xludf.DUMMYFUNCTION("""COMPUTED_VALUE"""),20.0)</f>
        <v>20</v>
      </c>
      <c r="L12" s="4">
        <f>IFERROR(__xludf.DUMMYFUNCTION("""COMPUTED_VALUE"""),0.535)</f>
        <v>0.535</v>
      </c>
      <c r="M12" s="4">
        <f>IFERROR(__xludf.DUMMYFUNCTION("""COMPUTED_VALUE"""),0.409)</f>
        <v>0.409</v>
      </c>
      <c r="N12" s="4">
        <f>IFERROR(__xludf.DUMMYFUNCTION("""COMPUTED_VALUE"""),0.667)</f>
        <v>0.667</v>
      </c>
      <c r="O12" s="4">
        <f>IFERROR(__xludf.DUMMYFUNCTION("""COMPUTED_VALUE"""),18.1)</f>
        <v>18.1</v>
      </c>
      <c r="P12" s="4">
        <f>IFERROR(__xludf.DUMMYFUNCTION("""COMPUTED_VALUE"""),7.1)</f>
        <v>7.1</v>
      </c>
      <c r="Q12" s="4">
        <f>IFERROR(__xludf.DUMMYFUNCTION("""COMPUTED_VALUE"""),3.4)</f>
        <v>3.4</v>
      </c>
      <c r="R12" s="4">
        <f>IFERROR(__xludf.DUMMYFUNCTION("""COMPUTED_VALUE"""),1.2)</f>
        <v>1.2</v>
      </c>
      <c r="S12" s="4">
        <f>IFERROR(__xludf.DUMMYFUNCTION("""COMPUTED_VALUE"""),0.7)</f>
        <v>0.7</v>
      </c>
      <c r="T12" s="4">
        <f>IFERROR(__xludf.DUMMYFUNCTION("""COMPUTED_VALUE"""),0.115)</f>
        <v>0.115</v>
      </c>
      <c r="U12" s="4">
        <f>IFERROR(__xludf.DUMMYFUNCTION("""COMPUTED_VALUE"""),-1.2)</f>
        <v>-1.2</v>
      </c>
      <c r="V12" s="4">
        <f>IFERROR(__xludf.DUMMYFUNCTION("""COMPUTED_VALUE"""),0.1)</f>
        <v>0.1</v>
      </c>
    </row>
    <row r="13">
      <c r="A13" s="4">
        <f>IFERROR(__xludf.DUMMYFUNCTION("""COMPUTED_VALUE"""),10.0)</f>
        <v>10</v>
      </c>
      <c r="B13" s="4">
        <f>IFERROR(__xludf.DUMMYFUNCTION("""COMPUTED_VALUE"""),10.0)</f>
        <v>10</v>
      </c>
      <c r="C13" s="4" t="str">
        <f>IFERROR(__xludf.DUMMYFUNCTION("""COMPUTED_VALUE"""),"HOU")</f>
        <v>HOU</v>
      </c>
      <c r="D13" s="4" t="str">
        <f>IFERROR(__xludf.DUMMYFUNCTION("""COMPUTED_VALUE"""),"Khaman Maluach")</f>
        <v>Khaman Maluach</v>
      </c>
      <c r="E13" s="4" t="str">
        <f>IFERROR(__xludf.DUMMYFUNCTION("""COMPUTED_VALUE"""),"Duke")</f>
        <v>Duke</v>
      </c>
      <c r="F13" s="4">
        <f>IFERROR(__xludf.DUMMYFUNCTION("""COMPUTED_VALUE"""),1.0)</f>
        <v>1</v>
      </c>
      <c r="G13" s="4">
        <f>IFERROR(__xludf.DUMMYFUNCTION("""COMPUTED_VALUE"""),10.0)</f>
        <v>10</v>
      </c>
      <c r="H13" s="4">
        <f>IFERROR(__xludf.DUMMYFUNCTION("""COMPUTED_VALUE"""),44.0)</f>
        <v>44</v>
      </c>
      <c r="I13" s="4">
        <f>IFERROR(__xludf.DUMMYFUNCTION("""COMPUTED_VALUE"""),13.0)</f>
        <v>13</v>
      </c>
      <c r="J13" s="4">
        <f>IFERROR(__xludf.DUMMYFUNCTION("""COMPUTED_VALUE"""),6.0)</f>
        <v>6</v>
      </c>
      <c r="K13" s="4">
        <f>IFERROR(__xludf.DUMMYFUNCTION("""COMPUTED_VALUE"""),1.0)</f>
        <v>1</v>
      </c>
      <c r="L13" s="4">
        <f>IFERROR(__xludf.DUMMYFUNCTION("""COMPUTED_VALUE"""),0.375)</f>
        <v>0.375</v>
      </c>
      <c r="M13" s="4">
        <f>IFERROR(__xludf.DUMMYFUNCTION("""COMPUTED_VALUE"""),0.0)</f>
        <v>0</v>
      </c>
      <c r="N13" s="4">
        <f>IFERROR(__xludf.DUMMYFUNCTION("""COMPUTED_VALUE"""),0.875)</f>
        <v>0.875</v>
      </c>
      <c r="O13" s="4">
        <f>IFERROR(__xludf.DUMMYFUNCTION("""COMPUTED_VALUE"""),4.4)</f>
        <v>4.4</v>
      </c>
      <c r="P13" s="4">
        <f>IFERROR(__xludf.DUMMYFUNCTION("""COMPUTED_VALUE"""),1.3)</f>
        <v>1.3</v>
      </c>
      <c r="Q13" s="4">
        <f>IFERROR(__xludf.DUMMYFUNCTION("""COMPUTED_VALUE"""),0.6)</f>
        <v>0.6</v>
      </c>
      <c r="R13" s="4">
        <f>IFERROR(__xludf.DUMMYFUNCTION("""COMPUTED_VALUE"""),0.1)</f>
        <v>0.1</v>
      </c>
      <c r="S13" s="4">
        <f>IFERROR(__xludf.DUMMYFUNCTION("""COMPUTED_VALUE"""),0.0)</f>
        <v>0</v>
      </c>
      <c r="T13" s="4">
        <f>IFERROR(__xludf.DUMMYFUNCTION("""COMPUTED_VALUE"""),-0.027)</f>
        <v>-0.027</v>
      </c>
      <c r="U13" s="4">
        <f>IFERROR(__xludf.DUMMYFUNCTION("""COMPUTED_VALUE"""),-10.4)</f>
        <v>-10.4</v>
      </c>
      <c r="V13" s="4">
        <f>IFERROR(__xludf.DUMMYFUNCTION("""COMPUTED_VALUE"""),-0.1)</f>
        <v>-0.1</v>
      </c>
    </row>
    <row r="14">
      <c r="A14" s="4">
        <f>IFERROR(__xludf.DUMMYFUNCTION("""COMPUTED_VALUE"""),11.0)</f>
        <v>11</v>
      </c>
      <c r="B14" s="4">
        <f>IFERROR(__xludf.DUMMYFUNCTION("""COMPUTED_VALUE"""),11.0)</f>
        <v>11</v>
      </c>
      <c r="C14" s="4" t="str">
        <f>IFERROR(__xludf.DUMMYFUNCTION("""COMPUTED_VALUE"""),"POR")</f>
        <v>POR</v>
      </c>
      <c r="D14" s="4" t="str">
        <f>IFERROR(__xludf.DUMMYFUNCTION("""COMPUTED_VALUE"""),"Cedric Coward")</f>
        <v>Cedric Coward</v>
      </c>
      <c r="E14" s="4" t="str">
        <f>IFERROR(__xludf.DUMMYFUNCTION("""COMPUTED_VALUE"""),"Washington State")</f>
        <v>Washington State</v>
      </c>
      <c r="F14" s="4">
        <f>IFERROR(__xludf.DUMMYFUNCTION("""COMPUTED_VALUE"""),1.0)</f>
        <v>1</v>
      </c>
      <c r="G14" s="4">
        <f>IFERROR(__xludf.DUMMYFUNCTION("""COMPUTED_VALUE"""),22.0)</f>
        <v>22</v>
      </c>
      <c r="H14" s="4">
        <f>IFERROR(__xludf.DUMMYFUNCTION("""COMPUTED_VALUE"""),598.0)</f>
        <v>598</v>
      </c>
      <c r="I14" s="4">
        <f>IFERROR(__xludf.DUMMYFUNCTION("""COMPUTED_VALUE"""),286.0)</f>
        <v>286</v>
      </c>
      <c r="J14" s="4">
        <f>IFERROR(__xludf.DUMMYFUNCTION("""COMPUTED_VALUE"""),128.0)</f>
        <v>128</v>
      </c>
      <c r="K14" s="4">
        <f>IFERROR(__xludf.DUMMYFUNCTION("""COMPUTED_VALUE"""),57.0)</f>
        <v>57</v>
      </c>
      <c r="L14" s="4">
        <f>IFERROR(__xludf.DUMMYFUNCTION("""COMPUTED_VALUE"""),0.444)</f>
        <v>0.444</v>
      </c>
      <c r="M14" s="4">
        <f>IFERROR(__xludf.DUMMYFUNCTION("""COMPUTED_VALUE"""),0.337)</f>
        <v>0.337</v>
      </c>
      <c r="N14" s="4">
        <f>IFERROR(__xludf.DUMMYFUNCTION("""COMPUTED_VALUE"""),0.857)</f>
        <v>0.857</v>
      </c>
      <c r="O14" s="4">
        <f>IFERROR(__xludf.DUMMYFUNCTION("""COMPUTED_VALUE"""),27.2)</f>
        <v>27.2</v>
      </c>
      <c r="P14" s="4">
        <f>IFERROR(__xludf.DUMMYFUNCTION("""COMPUTED_VALUE"""),13.0)</f>
        <v>13</v>
      </c>
      <c r="Q14" s="4">
        <f>IFERROR(__xludf.DUMMYFUNCTION("""COMPUTED_VALUE"""),5.8)</f>
        <v>5.8</v>
      </c>
      <c r="R14" s="4">
        <f>IFERROR(__xludf.DUMMYFUNCTION("""COMPUTED_VALUE"""),2.6)</f>
        <v>2.6</v>
      </c>
      <c r="S14" s="4">
        <f>IFERROR(__xludf.DUMMYFUNCTION("""COMPUTED_VALUE"""),1.1)</f>
        <v>1.1</v>
      </c>
      <c r="T14" s="4">
        <f>IFERROR(__xludf.DUMMYFUNCTION("""COMPUTED_VALUE"""),0.086)</f>
        <v>0.086</v>
      </c>
      <c r="U14" s="4">
        <f>IFERROR(__xludf.DUMMYFUNCTION("""COMPUTED_VALUE"""),-0.6)</f>
        <v>-0.6</v>
      </c>
      <c r="V14" s="4">
        <f>IFERROR(__xludf.DUMMYFUNCTION("""COMPUTED_VALUE"""),0.2)</f>
        <v>0.2</v>
      </c>
    </row>
    <row r="15">
      <c r="A15" s="4">
        <f>IFERROR(__xludf.DUMMYFUNCTION("""COMPUTED_VALUE"""),12.0)</f>
        <v>12</v>
      </c>
      <c r="B15" s="4">
        <f>IFERROR(__xludf.DUMMYFUNCTION("""COMPUTED_VALUE"""),12.0)</f>
        <v>12</v>
      </c>
      <c r="C15" s="4" t="str">
        <f>IFERROR(__xludf.DUMMYFUNCTION("""COMPUTED_VALUE"""),"CHI")</f>
        <v>CHI</v>
      </c>
      <c r="D15" s="4" t="str">
        <f>IFERROR(__xludf.DUMMYFUNCTION("""COMPUTED_VALUE"""),"Noa Essengue")</f>
        <v>Noa Essengue</v>
      </c>
      <c r="E15" s="4"/>
      <c r="F15" s="4">
        <f>IFERROR(__xludf.DUMMYFUNCTION("""COMPUTED_VALUE"""),1.0)</f>
        <v>1</v>
      </c>
      <c r="G15" s="4">
        <f>IFERROR(__xludf.DUMMYFUNCTION("""COMPUTED_VALUE"""),2.0)</f>
        <v>2</v>
      </c>
      <c r="H15" s="4">
        <f>IFERROR(__xludf.DUMMYFUNCTION("""COMPUTED_VALUE"""),6.0)</f>
        <v>6</v>
      </c>
      <c r="I15" s="4">
        <f>IFERROR(__xludf.DUMMYFUNCTION("""COMPUTED_VALUE"""),0.0)</f>
        <v>0</v>
      </c>
      <c r="J15" s="4">
        <f>IFERROR(__xludf.DUMMYFUNCTION("""COMPUTED_VALUE"""),0.0)</f>
        <v>0</v>
      </c>
      <c r="K15" s="4">
        <f>IFERROR(__xludf.DUMMYFUNCTION("""COMPUTED_VALUE"""),0.0)</f>
        <v>0</v>
      </c>
      <c r="L15" s="4">
        <f>IFERROR(__xludf.DUMMYFUNCTION("""COMPUTED_VALUE"""),0.0)</f>
        <v>0</v>
      </c>
      <c r="M15" s="4">
        <f>IFERROR(__xludf.DUMMYFUNCTION("""COMPUTED_VALUE"""),0.0)</f>
        <v>0</v>
      </c>
      <c r="N15" s="4"/>
      <c r="O15" s="4">
        <f>IFERROR(__xludf.DUMMYFUNCTION("""COMPUTED_VALUE"""),3.0)</f>
        <v>3</v>
      </c>
      <c r="P15" s="4">
        <f>IFERROR(__xludf.DUMMYFUNCTION("""COMPUTED_VALUE"""),0.0)</f>
        <v>0</v>
      </c>
      <c r="Q15" s="4">
        <f>IFERROR(__xludf.DUMMYFUNCTION("""COMPUTED_VALUE"""),0.0)</f>
        <v>0</v>
      </c>
      <c r="R15" s="4">
        <f>IFERROR(__xludf.DUMMYFUNCTION("""COMPUTED_VALUE"""),0.0)</f>
        <v>0</v>
      </c>
      <c r="S15" s="4">
        <f>IFERROR(__xludf.DUMMYFUNCTION("""COMPUTED_VALUE"""),-0.1)</f>
        <v>-0.1</v>
      </c>
      <c r="T15" s="4">
        <f>IFERROR(__xludf.DUMMYFUNCTION("""COMPUTED_VALUE"""),-0.414)</f>
        <v>-0.414</v>
      </c>
      <c r="U15" s="4">
        <f>IFERROR(__xludf.DUMMYFUNCTION("""COMPUTED_VALUE"""),-24.1)</f>
        <v>-24.1</v>
      </c>
      <c r="V15" s="4">
        <f>IFERROR(__xludf.DUMMYFUNCTION("""COMPUTED_VALUE"""),0.0)</f>
        <v>0</v>
      </c>
    </row>
    <row r="16">
      <c r="A16" s="4">
        <f>IFERROR(__xludf.DUMMYFUNCTION("""COMPUTED_VALUE"""),13.0)</f>
        <v>13</v>
      </c>
      <c r="B16" s="4">
        <f>IFERROR(__xludf.DUMMYFUNCTION("""COMPUTED_VALUE"""),13.0)</f>
        <v>13</v>
      </c>
      <c r="C16" s="4" t="str">
        <f>IFERROR(__xludf.DUMMYFUNCTION("""COMPUTED_VALUE"""),"ATL")</f>
        <v>ATL</v>
      </c>
      <c r="D16" s="4" t="str">
        <f>IFERROR(__xludf.DUMMYFUNCTION("""COMPUTED_VALUE"""),"Derik Queen")</f>
        <v>Derik Queen</v>
      </c>
      <c r="E16" s="4" t="str">
        <f>IFERROR(__xludf.DUMMYFUNCTION("""COMPUTED_VALUE"""),"Maryland")</f>
        <v>Maryland</v>
      </c>
      <c r="F16" s="4">
        <f>IFERROR(__xludf.DUMMYFUNCTION("""COMPUTED_VALUE"""),1.0)</f>
        <v>1</v>
      </c>
      <c r="G16" s="4">
        <f>IFERROR(__xludf.DUMMYFUNCTION("""COMPUTED_VALUE"""),22.0)</f>
        <v>22</v>
      </c>
      <c r="H16" s="4">
        <f>IFERROR(__xludf.DUMMYFUNCTION("""COMPUTED_VALUE"""),534.0)</f>
        <v>534</v>
      </c>
      <c r="I16" s="4">
        <f>IFERROR(__xludf.DUMMYFUNCTION("""COMPUTED_VALUE"""),271.0)</f>
        <v>271</v>
      </c>
      <c r="J16" s="4">
        <f>IFERROR(__xludf.DUMMYFUNCTION("""COMPUTED_VALUE"""),137.0)</f>
        <v>137</v>
      </c>
      <c r="K16" s="4">
        <f>IFERROR(__xludf.DUMMYFUNCTION("""COMPUTED_VALUE"""),77.0)</f>
        <v>77</v>
      </c>
      <c r="L16" s="4">
        <f>IFERROR(__xludf.DUMMYFUNCTION("""COMPUTED_VALUE"""),0.483)</f>
        <v>0.483</v>
      </c>
      <c r="M16" s="4">
        <f>IFERROR(__xludf.DUMMYFUNCTION("""COMPUTED_VALUE"""),0.118)</f>
        <v>0.118</v>
      </c>
      <c r="N16" s="4">
        <f>IFERROR(__xludf.DUMMYFUNCTION("""COMPUTED_VALUE"""),0.774)</f>
        <v>0.774</v>
      </c>
      <c r="O16" s="4">
        <f>IFERROR(__xludf.DUMMYFUNCTION("""COMPUTED_VALUE"""),24.3)</f>
        <v>24.3</v>
      </c>
      <c r="P16" s="4">
        <f>IFERROR(__xludf.DUMMYFUNCTION("""COMPUTED_VALUE"""),12.3)</f>
        <v>12.3</v>
      </c>
      <c r="Q16" s="4">
        <f>IFERROR(__xludf.DUMMYFUNCTION("""COMPUTED_VALUE"""),6.2)</f>
        <v>6.2</v>
      </c>
      <c r="R16" s="4">
        <f>IFERROR(__xludf.DUMMYFUNCTION("""COMPUTED_VALUE"""),3.5)</f>
        <v>3.5</v>
      </c>
      <c r="S16" s="4">
        <f>IFERROR(__xludf.DUMMYFUNCTION("""COMPUTED_VALUE"""),0.5)</f>
        <v>0.5</v>
      </c>
      <c r="T16" s="4">
        <f>IFERROR(__xludf.DUMMYFUNCTION("""COMPUTED_VALUE"""),0.049)</f>
        <v>0.049</v>
      </c>
      <c r="U16" s="4">
        <f>IFERROR(__xludf.DUMMYFUNCTION("""COMPUTED_VALUE"""),-1.2)</f>
        <v>-1.2</v>
      </c>
      <c r="V16" s="4">
        <f>IFERROR(__xludf.DUMMYFUNCTION("""COMPUTED_VALUE"""),0.1)</f>
        <v>0.1</v>
      </c>
    </row>
    <row r="17">
      <c r="A17" s="4">
        <f>IFERROR(__xludf.DUMMYFUNCTION("""COMPUTED_VALUE"""),14.0)</f>
        <v>14</v>
      </c>
      <c r="B17" s="4">
        <f>IFERROR(__xludf.DUMMYFUNCTION("""COMPUTED_VALUE"""),14.0)</f>
        <v>14</v>
      </c>
      <c r="C17" s="4" t="str">
        <f>IFERROR(__xludf.DUMMYFUNCTION("""COMPUTED_VALUE"""),"SAS")</f>
        <v>SAS</v>
      </c>
      <c r="D17" s="4" t="str">
        <f>IFERROR(__xludf.DUMMYFUNCTION("""COMPUTED_VALUE"""),"Carter Bryant")</f>
        <v>Carter Bryant</v>
      </c>
      <c r="E17" s="4" t="str">
        <f>IFERROR(__xludf.DUMMYFUNCTION("""COMPUTED_VALUE"""),"Arizona")</f>
        <v>Arizona</v>
      </c>
      <c r="F17" s="4">
        <f>IFERROR(__xludf.DUMMYFUNCTION("""COMPUTED_VALUE"""),1.0)</f>
        <v>1</v>
      </c>
      <c r="G17" s="4">
        <f>IFERROR(__xludf.DUMMYFUNCTION("""COMPUTED_VALUE"""),15.0)</f>
        <v>15</v>
      </c>
      <c r="H17" s="4">
        <f>IFERROR(__xludf.DUMMYFUNCTION("""COMPUTED_VALUE"""),112.0)</f>
        <v>112</v>
      </c>
      <c r="I17" s="4">
        <f>IFERROR(__xludf.DUMMYFUNCTION("""COMPUTED_VALUE"""),36.0)</f>
        <v>36</v>
      </c>
      <c r="J17" s="4">
        <f>IFERROR(__xludf.DUMMYFUNCTION("""COMPUTED_VALUE"""),21.0)</f>
        <v>21</v>
      </c>
      <c r="K17" s="4">
        <f>IFERROR(__xludf.DUMMYFUNCTION("""COMPUTED_VALUE"""),1.0)</f>
        <v>1</v>
      </c>
      <c r="L17" s="4">
        <f>IFERROR(__xludf.DUMMYFUNCTION("""COMPUTED_VALUE"""),0.317)</f>
        <v>0.317</v>
      </c>
      <c r="M17" s="4">
        <f>IFERROR(__xludf.DUMMYFUNCTION("""COMPUTED_VALUE"""),0.292)</f>
        <v>0.292</v>
      </c>
      <c r="N17" s="4">
        <f>IFERROR(__xludf.DUMMYFUNCTION("""COMPUTED_VALUE"""),1.0)</f>
        <v>1</v>
      </c>
      <c r="O17" s="4">
        <f>IFERROR(__xludf.DUMMYFUNCTION("""COMPUTED_VALUE"""),7.5)</f>
        <v>7.5</v>
      </c>
      <c r="P17" s="4">
        <f>IFERROR(__xludf.DUMMYFUNCTION("""COMPUTED_VALUE"""),2.4)</f>
        <v>2.4</v>
      </c>
      <c r="Q17" s="4">
        <f>IFERROR(__xludf.DUMMYFUNCTION("""COMPUTED_VALUE"""),1.4)</f>
        <v>1.4</v>
      </c>
      <c r="R17" s="4">
        <f>IFERROR(__xludf.DUMMYFUNCTION("""COMPUTED_VALUE"""),0.1)</f>
        <v>0.1</v>
      </c>
      <c r="S17" s="4">
        <f>IFERROR(__xludf.DUMMYFUNCTION("""COMPUTED_VALUE"""),-0.1)</f>
        <v>-0.1</v>
      </c>
      <c r="T17" s="4">
        <f>IFERROR(__xludf.DUMMYFUNCTION("""COMPUTED_VALUE"""),-0.047)</f>
        <v>-0.047</v>
      </c>
      <c r="U17" s="4">
        <f>IFERROR(__xludf.DUMMYFUNCTION("""COMPUTED_VALUE"""),-8.6)</f>
        <v>-8.6</v>
      </c>
      <c r="V17" s="4">
        <f>IFERROR(__xludf.DUMMYFUNCTION("""COMPUTED_VALUE"""),-0.2)</f>
        <v>-0.2</v>
      </c>
    </row>
    <row r="18">
      <c r="A18" s="4">
        <f>IFERROR(__xludf.DUMMYFUNCTION("""COMPUTED_VALUE"""),15.0)</f>
        <v>15</v>
      </c>
      <c r="B18" s="4">
        <f>IFERROR(__xludf.DUMMYFUNCTION("""COMPUTED_VALUE"""),15.0)</f>
        <v>15</v>
      </c>
      <c r="C18" s="4" t="str">
        <f>IFERROR(__xludf.DUMMYFUNCTION("""COMPUTED_VALUE"""),"OKC")</f>
        <v>OKC</v>
      </c>
      <c r="D18" s="4" t="str">
        <f>IFERROR(__xludf.DUMMYFUNCTION("""COMPUTED_VALUE"""),"Thomas Sorber")</f>
        <v>Thomas Sorber</v>
      </c>
      <c r="E18" s="4" t="str">
        <f>IFERROR(__xludf.DUMMYFUNCTION("""COMPUTED_VALUE"""),"Georgetown")</f>
        <v>Georgetown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>
        <f>IFERROR(__xludf.DUMMYFUNCTION("""COMPUTED_VALUE"""),16.0)</f>
        <v>16</v>
      </c>
      <c r="B19" s="4">
        <f>IFERROR(__xludf.DUMMYFUNCTION("""COMPUTED_VALUE"""),16.0)</f>
        <v>16</v>
      </c>
      <c r="C19" s="4" t="str">
        <f>IFERROR(__xludf.DUMMYFUNCTION("""COMPUTED_VALUE"""),"MEM")</f>
        <v>MEM</v>
      </c>
      <c r="D19" s="4" t="str">
        <f>IFERROR(__xludf.DUMMYFUNCTION("""COMPUTED_VALUE"""),"Yang Hansen")</f>
        <v>Yang Hansen</v>
      </c>
      <c r="E19" s="4"/>
      <c r="F19" s="4">
        <f>IFERROR(__xludf.DUMMYFUNCTION("""COMPUTED_VALUE"""),1.0)</f>
        <v>1</v>
      </c>
      <c r="G19" s="4">
        <f>IFERROR(__xludf.DUMMYFUNCTION("""COMPUTED_VALUE"""),11.0)</f>
        <v>11</v>
      </c>
      <c r="H19" s="4">
        <f>IFERROR(__xludf.DUMMYFUNCTION("""COMPUTED_VALUE"""),76.0)</f>
        <v>76</v>
      </c>
      <c r="I19" s="4">
        <f>IFERROR(__xludf.DUMMYFUNCTION("""COMPUTED_VALUE"""),28.0)</f>
        <v>28</v>
      </c>
      <c r="J19" s="4">
        <f>IFERROR(__xludf.DUMMYFUNCTION("""COMPUTED_VALUE"""),17.0)</f>
        <v>17</v>
      </c>
      <c r="K19" s="4">
        <f>IFERROR(__xludf.DUMMYFUNCTION("""COMPUTED_VALUE"""),7.0)</f>
        <v>7</v>
      </c>
      <c r="L19" s="4">
        <f>IFERROR(__xludf.DUMMYFUNCTION("""COMPUTED_VALUE"""),0.286)</f>
        <v>0.286</v>
      </c>
      <c r="M19" s="4">
        <f>IFERROR(__xludf.DUMMYFUNCTION("""COMPUTED_VALUE"""),0.071)</f>
        <v>0.071</v>
      </c>
      <c r="N19" s="4">
        <f>IFERROR(__xludf.DUMMYFUNCTION("""COMPUTED_VALUE"""),0.875)</f>
        <v>0.875</v>
      </c>
      <c r="O19" s="4">
        <f>IFERROR(__xludf.DUMMYFUNCTION("""COMPUTED_VALUE"""),6.9)</f>
        <v>6.9</v>
      </c>
      <c r="P19" s="4">
        <f>IFERROR(__xludf.DUMMYFUNCTION("""COMPUTED_VALUE"""),2.5)</f>
        <v>2.5</v>
      </c>
      <c r="Q19" s="4">
        <f>IFERROR(__xludf.DUMMYFUNCTION("""COMPUTED_VALUE"""),1.5)</f>
        <v>1.5</v>
      </c>
      <c r="R19" s="4">
        <f>IFERROR(__xludf.DUMMYFUNCTION("""COMPUTED_VALUE"""),0.6)</f>
        <v>0.6</v>
      </c>
      <c r="S19" s="4">
        <f>IFERROR(__xludf.DUMMYFUNCTION("""COMPUTED_VALUE"""),-0.2)</f>
        <v>-0.2</v>
      </c>
      <c r="T19" s="4">
        <f>IFERROR(__xludf.DUMMYFUNCTION("""COMPUTED_VALUE"""),-0.123)</f>
        <v>-0.123</v>
      </c>
      <c r="U19" s="4">
        <f>IFERROR(__xludf.DUMMYFUNCTION("""COMPUTED_VALUE"""),-9.6)</f>
        <v>-9.6</v>
      </c>
      <c r="V19" s="4">
        <f>IFERROR(__xludf.DUMMYFUNCTION("""COMPUTED_VALUE"""),-0.1)</f>
        <v>-0.1</v>
      </c>
    </row>
    <row r="20">
      <c r="A20" s="4">
        <f>IFERROR(__xludf.DUMMYFUNCTION("""COMPUTED_VALUE"""),17.0)</f>
        <v>17</v>
      </c>
      <c r="B20" s="4">
        <f>IFERROR(__xludf.DUMMYFUNCTION("""COMPUTED_VALUE"""),17.0)</f>
        <v>17</v>
      </c>
      <c r="C20" s="4" t="str">
        <f>IFERROR(__xludf.DUMMYFUNCTION("""COMPUTED_VALUE"""),"MIN")</f>
        <v>MIN</v>
      </c>
      <c r="D20" s="4" t="str">
        <f>IFERROR(__xludf.DUMMYFUNCTION("""COMPUTED_VALUE"""),"Joan Beringer")</f>
        <v>Joan Beringer</v>
      </c>
      <c r="E20" s="4"/>
      <c r="F20" s="4">
        <f>IFERROR(__xludf.DUMMYFUNCTION("""COMPUTED_VALUE"""),1.0)</f>
        <v>1</v>
      </c>
      <c r="G20" s="4">
        <f>IFERROR(__xludf.DUMMYFUNCTION("""COMPUTED_VALUE"""),9.0)</f>
        <v>9</v>
      </c>
      <c r="H20" s="4">
        <f>IFERROR(__xludf.DUMMYFUNCTION("""COMPUTED_VALUE"""),37.0)</f>
        <v>37</v>
      </c>
      <c r="I20" s="4">
        <f>IFERROR(__xludf.DUMMYFUNCTION("""COMPUTED_VALUE"""),18.0)</f>
        <v>18</v>
      </c>
      <c r="J20" s="4">
        <f>IFERROR(__xludf.DUMMYFUNCTION("""COMPUTED_VALUE"""),12.0)</f>
        <v>12</v>
      </c>
      <c r="K20" s="4">
        <f>IFERROR(__xludf.DUMMYFUNCTION("""COMPUTED_VALUE"""),0.0)</f>
        <v>0</v>
      </c>
      <c r="L20" s="4">
        <f>IFERROR(__xludf.DUMMYFUNCTION("""COMPUTED_VALUE"""),0.727)</f>
        <v>0.727</v>
      </c>
      <c r="M20" s="4"/>
      <c r="N20" s="4">
        <f>IFERROR(__xludf.DUMMYFUNCTION("""COMPUTED_VALUE"""),0.667)</f>
        <v>0.667</v>
      </c>
      <c r="O20" s="4">
        <f>IFERROR(__xludf.DUMMYFUNCTION("""COMPUTED_VALUE"""),4.1)</f>
        <v>4.1</v>
      </c>
      <c r="P20" s="4">
        <f>IFERROR(__xludf.DUMMYFUNCTION("""COMPUTED_VALUE"""),2.0)</f>
        <v>2</v>
      </c>
      <c r="Q20" s="4">
        <f>IFERROR(__xludf.DUMMYFUNCTION("""COMPUTED_VALUE"""),1.3)</f>
        <v>1.3</v>
      </c>
      <c r="R20" s="4">
        <f>IFERROR(__xludf.DUMMYFUNCTION("""COMPUTED_VALUE"""),0.0)</f>
        <v>0</v>
      </c>
      <c r="S20" s="4">
        <f>IFERROR(__xludf.DUMMYFUNCTION("""COMPUTED_VALUE"""),0.1)</f>
        <v>0.1</v>
      </c>
      <c r="T20" s="4">
        <f>IFERROR(__xludf.DUMMYFUNCTION("""COMPUTED_VALUE"""),0.154)</f>
        <v>0.154</v>
      </c>
      <c r="U20" s="4">
        <f>IFERROR(__xludf.DUMMYFUNCTION("""COMPUTED_VALUE"""),-2.8)</f>
        <v>-2.8</v>
      </c>
      <c r="V20" s="4">
        <f>IFERROR(__xludf.DUMMYFUNCTION("""COMPUTED_VALUE"""),0.0)</f>
        <v>0</v>
      </c>
    </row>
    <row r="21">
      <c r="A21" s="4">
        <f>IFERROR(__xludf.DUMMYFUNCTION("""COMPUTED_VALUE"""),18.0)</f>
        <v>18</v>
      </c>
      <c r="B21" s="4">
        <f>IFERROR(__xludf.DUMMYFUNCTION("""COMPUTED_VALUE"""),18.0)</f>
        <v>18</v>
      </c>
      <c r="C21" s="4" t="str">
        <f>IFERROR(__xludf.DUMMYFUNCTION("""COMPUTED_VALUE"""),"WAS")</f>
        <v>WAS</v>
      </c>
      <c r="D21" s="4" t="str">
        <f>IFERROR(__xludf.DUMMYFUNCTION("""COMPUTED_VALUE"""),"Walter Clayton")</f>
        <v>Walter Clayton</v>
      </c>
      <c r="E21" s="4" t="str">
        <f>IFERROR(__xludf.DUMMYFUNCTION("""COMPUTED_VALUE"""),"Florida")</f>
        <v>Florida</v>
      </c>
      <c r="F21" s="4">
        <f>IFERROR(__xludf.DUMMYFUNCTION("""COMPUTED_VALUE"""),1.0)</f>
        <v>1</v>
      </c>
      <c r="G21" s="4">
        <f>IFERROR(__xludf.DUMMYFUNCTION("""COMPUTED_VALUE"""),16.0)</f>
        <v>16</v>
      </c>
      <c r="H21" s="4">
        <f>IFERROR(__xludf.DUMMYFUNCTION("""COMPUTED_VALUE"""),254.0)</f>
        <v>254</v>
      </c>
      <c r="I21" s="4">
        <f>IFERROR(__xludf.DUMMYFUNCTION("""COMPUTED_VALUE"""),86.0)</f>
        <v>86</v>
      </c>
      <c r="J21" s="4">
        <f>IFERROR(__xludf.DUMMYFUNCTION("""COMPUTED_VALUE"""),35.0)</f>
        <v>35</v>
      </c>
      <c r="K21" s="4">
        <f>IFERROR(__xludf.DUMMYFUNCTION("""COMPUTED_VALUE"""),54.0)</f>
        <v>54</v>
      </c>
      <c r="L21" s="4">
        <f>IFERROR(__xludf.DUMMYFUNCTION("""COMPUTED_VALUE"""),0.382)</f>
        <v>0.382</v>
      </c>
      <c r="M21" s="4">
        <f>IFERROR(__xludf.DUMMYFUNCTION("""COMPUTED_VALUE"""),0.275)</f>
        <v>0.275</v>
      </c>
      <c r="N21" s="4">
        <f>IFERROR(__xludf.DUMMYFUNCTION("""COMPUTED_VALUE"""),1.0)</f>
        <v>1</v>
      </c>
      <c r="O21" s="4">
        <f>IFERROR(__xludf.DUMMYFUNCTION("""COMPUTED_VALUE"""),15.9)</f>
        <v>15.9</v>
      </c>
      <c r="P21" s="4">
        <f>IFERROR(__xludf.DUMMYFUNCTION("""COMPUTED_VALUE"""),5.4)</f>
        <v>5.4</v>
      </c>
      <c r="Q21" s="4">
        <f>IFERROR(__xludf.DUMMYFUNCTION("""COMPUTED_VALUE"""),2.2)</f>
        <v>2.2</v>
      </c>
      <c r="R21" s="4">
        <f>IFERROR(__xludf.DUMMYFUNCTION("""COMPUTED_VALUE"""),3.4)</f>
        <v>3.4</v>
      </c>
      <c r="S21" s="4">
        <f>IFERROR(__xludf.DUMMYFUNCTION("""COMPUTED_VALUE"""),0.1)</f>
        <v>0.1</v>
      </c>
      <c r="T21" s="4">
        <f>IFERROR(__xludf.DUMMYFUNCTION("""COMPUTED_VALUE"""),0.021)</f>
        <v>0.021</v>
      </c>
      <c r="U21" s="4">
        <f>IFERROR(__xludf.DUMMYFUNCTION("""COMPUTED_VALUE"""),-3.0)</f>
        <v>-3</v>
      </c>
      <c r="V21" s="4">
        <f>IFERROR(__xludf.DUMMYFUNCTION("""COMPUTED_VALUE"""),-0.1)</f>
        <v>-0.1</v>
      </c>
    </row>
    <row r="22">
      <c r="A22" s="4">
        <f>IFERROR(__xludf.DUMMYFUNCTION("""COMPUTED_VALUE"""),19.0)</f>
        <v>19</v>
      </c>
      <c r="B22" s="4">
        <f>IFERROR(__xludf.DUMMYFUNCTION("""COMPUTED_VALUE"""),19.0)</f>
        <v>19</v>
      </c>
      <c r="C22" s="4" t="str">
        <f>IFERROR(__xludf.DUMMYFUNCTION("""COMPUTED_VALUE"""),"BRK")</f>
        <v>BRK</v>
      </c>
      <c r="D22" s="4" t="str">
        <f>IFERROR(__xludf.DUMMYFUNCTION("""COMPUTED_VALUE"""),"Nolan Traoré")</f>
        <v>Nolan Traoré</v>
      </c>
      <c r="E22" s="4"/>
      <c r="F22" s="4">
        <f>IFERROR(__xludf.DUMMYFUNCTION("""COMPUTED_VALUE"""),1.0)</f>
        <v>1</v>
      </c>
      <c r="G22" s="4">
        <f>IFERROR(__xludf.DUMMYFUNCTION("""COMPUTED_VALUE"""),4.0)</f>
        <v>4</v>
      </c>
      <c r="H22" s="4">
        <f>IFERROR(__xludf.DUMMYFUNCTION("""COMPUTED_VALUE"""),35.0)</f>
        <v>35</v>
      </c>
      <c r="I22" s="4">
        <f>IFERROR(__xludf.DUMMYFUNCTION("""COMPUTED_VALUE"""),7.0)</f>
        <v>7</v>
      </c>
      <c r="J22" s="4">
        <f>IFERROR(__xludf.DUMMYFUNCTION("""COMPUTED_VALUE"""),1.0)</f>
        <v>1</v>
      </c>
      <c r="K22" s="4">
        <f>IFERROR(__xludf.DUMMYFUNCTION("""COMPUTED_VALUE"""),5.0)</f>
        <v>5</v>
      </c>
      <c r="L22" s="4">
        <f>IFERROR(__xludf.DUMMYFUNCTION("""COMPUTED_VALUE"""),0.222)</f>
        <v>0.222</v>
      </c>
      <c r="M22" s="4">
        <f>IFERROR(__xludf.DUMMYFUNCTION("""COMPUTED_VALUE"""),0.333)</f>
        <v>0.333</v>
      </c>
      <c r="N22" s="4">
        <f>IFERROR(__xludf.DUMMYFUNCTION("""COMPUTED_VALUE"""),0.5)</f>
        <v>0.5</v>
      </c>
      <c r="O22" s="4">
        <f>IFERROR(__xludf.DUMMYFUNCTION("""COMPUTED_VALUE"""),8.8)</f>
        <v>8.8</v>
      </c>
      <c r="P22" s="4">
        <f>IFERROR(__xludf.DUMMYFUNCTION("""COMPUTED_VALUE"""),1.8)</f>
        <v>1.8</v>
      </c>
      <c r="Q22" s="4">
        <f>IFERROR(__xludf.DUMMYFUNCTION("""COMPUTED_VALUE"""),0.3)</f>
        <v>0.3</v>
      </c>
      <c r="R22" s="4">
        <f>IFERROR(__xludf.DUMMYFUNCTION("""COMPUTED_VALUE"""),1.3)</f>
        <v>1.3</v>
      </c>
      <c r="S22" s="4">
        <f>IFERROR(__xludf.DUMMYFUNCTION("""COMPUTED_VALUE"""),-0.1)</f>
        <v>-0.1</v>
      </c>
      <c r="T22" s="4">
        <f>IFERROR(__xludf.DUMMYFUNCTION("""COMPUTED_VALUE"""),-0.083)</f>
        <v>-0.083</v>
      </c>
      <c r="U22" s="4">
        <f>IFERROR(__xludf.DUMMYFUNCTION("""COMPUTED_VALUE"""),-10.3)</f>
        <v>-10.3</v>
      </c>
      <c r="V22" s="4">
        <f>IFERROR(__xludf.DUMMYFUNCTION("""COMPUTED_VALUE"""),-0.1)</f>
        <v>-0.1</v>
      </c>
    </row>
    <row r="23">
      <c r="A23" s="4">
        <f>IFERROR(__xludf.DUMMYFUNCTION("""COMPUTED_VALUE"""),20.0)</f>
        <v>20</v>
      </c>
      <c r="B23" s="4">
        <f>IFERROR(__xludf.DUMMYFUNCTION("""COMPUTED_VALUE"""),20.0)</f>
        <v>20</v>
      </c>
      <c r="C23" s="4" t="str">
        <f>IFERROR(__xludf.DUMMYFUNCTION("""COMPUTED_VALUE"""),"MIA")</f>
        <v>MIA</v>
      </c>
      <c r="D23" s="4" t="str">
        <f>IFERROR(__xludf.DUMMYFUNCTION("""COMPUTED_VALUE"""),"Kasparas Jakucionis")</f>
        <v>Kasparas Jakucionis</v>
      </c>
      <c r="E23" s="4" t="str">
        <f>IFERROR(__xludf.DUMMYFUNCTION("""COMPUTED_VALUE"""),"Illinois")</f>
        <v>Illinois</v>
      </c>
      <c r="F23" s="4">
        <f>IFERROR(__xludf.DUMMYFUNCTION("""COMPUTED_VALUE"""),1.0)</f>
        <v>1</v>
      </c>
      <c r="G23" s="4">
        <f>IFERROR(__xludf.DUMMYFUNCTION("""COMPUTED_VALUE"""),1.0)</f>
        <v>1</v>
      </c>
      <c r="H23" s="4">
        <f>IFERROR(__xludf.DUMMYFUNCTION("""COMPUTED_VALUE"""),1.0)</f>
        <v>1</v>
      </c>
      <c r="I23" s="4">
        <f>IFERROR(__xludf.DUMMYFUNCTION("""COMPUTED_VALUE"""),0.0)</f>
        <v>0</v>
      </c>
      <c r="J23" s="4">
        <f>IFERROR(__xludf.DUMMYFUNCTION("""COMPUTED_VALUE"""),0.0)</f>
        <v>0</v>
      </c>
      <c r="K23" s="4">
        <f>IFERROR(__xludf.DUMMYFUNCTION("""COMPUTED_VALUE"""),0.0)</f>
        <v>0</v>
      </c>
      <c r="L23" s="4">
        <f>IFERROR(__xludf.DUMMYFUNCTION("""COMPUTED_VALUE"""),0.0)</f>
        <v>0</v>
      </c>
      <c r="M23" s="4"/>
      <c r="N23" s="4"/>
      <c r="O23" s="4">
        <f>IFERROR(__xludf.DUMMYFUNCTION("""COMPUTED_VALUE"""),1.0)</f>
        <v>1</v>
      </c>
      <c r="P23" s="4">
        <f>IFERROR(__xludf.DUMMYFUNCTION("""COMPUTED_VALUE"""),0.0)</f>
        <v>0</v>
      </c>
      <c r="Q23" s="4">
        <f>IFERROR(__xludf.DUMMYFUNCTION("""COMPUTED_VALUE"""),0.0)</f>
        <v>0</v>
      </c>
      <c r="R23" s="4">
        <f>IFERROR(__xludf.DUMMYFUNCTION("""COMPUTED_VALUE"""),0.0)</f>
        <v>0</v>
      </c>
      <c r="S23" s="4">
        <f>IFERROR(__xludf.DUMMYFUNCTION("""COMPUTED_VALUE"""),0.0)</f>
        <v>0</v>
      </c>
      <c r="T23" s="4">
        <f>IFERROR(__xludf.DUMMYFUNCTION("""COMPUTED_VALUE"""),-1.376)</f>
        <v>-1.376</v>
      </c>
      <c r="U23" s="4">
        <f>IFERROR(__xludf.DUMMYFUNCTION("""COMPUTED_VALUE"""),-42.8)</f>
        <v>-42.8</v>
      </c>
      <c r="V23" s="4">
        <f>IFERROR(__xludf.DUMMYFUNCTION("""COMPUTED_VALUE"""),0.0)</f>
        <v>0</v>
      </c>
    </row>
    <row r="24">
      <c r="A24" s="4">
        <f>IFERROR(__xludf.DUMMYFUNCTION("""COMPUTED_VALUE"""),21.0)</f>
        <v>21</v>
      </c>
      <c r="B24" s="4">
        <f>IFERROR(__xludf.DUMMYFUNCTION("""COMPUTED_VALUE"""),21.0)</f>
        <v>21</v>
      </c>
      <c r="C24" s="4" t="str">
        <f>IFERROR(__xludf.DUMMYFUNCTION("""COMPUTED_VALUE"""),"UTA")</f>
        <v>UTA</v>
      </c>
      <c r="D24" s="4" t="str">
        <f>IFERROR(__xludf.DUMMYFUNCTION("""COMPUTED_VALUE"""),"Will Riley")</f>
        <v>Will Riley</v>
      </c>
      <c r="E24" s="4" t="str">
        <f>IFERROR(__xludf.DUMMYFUNCTION("""COMPUTED_VALUE"""),"Illinois")</f>
        <v>Illinois</v>
      </c>
      <c r="F24" s="4">
        <f>IFERROR(__xludf.DUMMYFUNCTION("""COMPUTED_VALUE"""),1.0)</f>
        <v>1</v>
      </c>
      <c r="G24" s="4">
        <f>IFERROR(__xludf.DUMMYFUNCTION("""COMPUTED_VALUE"""),14.0)</f>
        <v>14</v>
      </c>
      <c r="H24" s="4">
        <f>IFERROR(__xludf.DUMMYFUNCTION("""COMPUTED_VALUE"""),115.0)</f>
        <v>115</v>
      </c>
      <c r="I24" s="4">
        <f>IFERROR(__xludf.DUMMYFUNCTION("""COMPUTED_VALUE"""),41.0)</f>
        <v>41</v>
      </c>
      <c r="J24" s="4">
        <f>IFERROR(__xludf.DUMMYFUNCTION("""COMPUTED_VALUE"""),23.0)</f>
        <v>23</v>
      </c>
      <c r="K24" s="4">
        <f>IFERROR(__xludf.DUMMYFUNCTION("""COMPUTED_VALUE"""),11.0)</f>
        <v>11</v>
      </c>
      <c r="L24" s="4">
        <f>IFERROR(__xludf.DUMMYFUNCTION("""COMPUTED_VALUE"""),0.486)</f>
        <v>0.486</v>
      </c>
      <c r="M24" s="4">
        <f>IFERROR(__xludf.DUMMYFUNCTION("""COMPUTED_VALUE"""),0.333)</f>
        <v>0.333</v>
      </c>
      <c r="N24" s="4">
        <f>IFERROR(__xludf.DUMMYFUNCTION("""COMPUTED_VALUE"""),0.5)</f>
        <v>0.5</v>
      </c>
      <c r="O24" s="4">
        <f>IFERROR(__xludf.DUMMYFUNCTION("""COMPUTED_VALUE"""),8.2)</f>
        <v>8.2</v>
      </c>
      <c r="P24" s="4">
        <f>IFERROR(__xludf.DUMMYFUNCTION("""COMPUTED_VALUE"""),2.9)</f>
        <v>2.9</v>
      </c>
      <c r="Q24" s="4">
        <f>IFERROR(__xludf.DUMMYFUNCTION("""COMPUTED_VALUE"""),1.6)</f>
        <v>1.6</v>
      </c>
      <c r="R24" s="4">
        <f>IFERROR(__xludf.DUMMYFUNCTION("""COMPUTED_VALUE"""),0.8)</f>
        <v>0.8</v>
      </c>
      <c r="S24" s="4">
        <f>IFERROR(__xludf.DUMMYFUNCTION("""COMPUTED_VALUE"""),0.1)</f>
        <v>0.1</v>
      </c>
      <c r="T24" s="4">
        <f>IFERROR(__xludf.DUMMYFUNCTION("""COMPUTED_VALUE"""),0.034)</f>
        <v>0.034</v>
      </c>
      <c r="U24" s="4">
        <f>IFERROR(__xludf.DUMMYFUNCTION("""COMPUTED_VALUE"""),-3.1)</f>
        <v>-3.1</v>
      </c>
      <c r="V24" s="4">
        <f>IFERROR(__xludf.DUMMYFUNCTION("""COMPUTED_VALUE"""),0.0)</f>
        <v>0</v>
      </c>
    </row>
    <row r="25">
      <c r="A25" s="4">
        <f>IFERROR(__xludf.DUMMYFUNCTION("""COMPUTED_VALUE"""),22.0)</f>
        <v>22</v>
      </c>
      <c r="B25" s="4">
        <f>IFERROR(__xludf.DUMMYFUNCTION("""COMPUTED_VALUE"""),22.0)</f>
        <v>22</v>
      </c>
      <c r="C25" s="4" t="str">
        <f>IFERROR(__xludf.DUMMYFUNCTION("""COMPUTED_VALUE"""),"ATL")</f>
        <v>ATL</v>
      </c>
      <c r="D25" s="4" t="str">
        <f>IFERROR(__xludf.DUMMYFUNCTION("""COMPUTED_VALUE"""),"Drake Powell")</f>
        <v>Drake Powell</v>
      </c>
      <c r="E25" s="4" t="str">
        <f>IFERROR(__xludf.DUMMYFUNCTION("""COMPUTED_VALUE"""),"UNC")</f>
        <v>UNC</v>
      </c>
      <c r="F25" s="4">
        <f>IFERROR(__xludf.DUMMYFUNCTION("""COMPUTED_VALUE"""),1.0)</f>
        <v>1</v>
      </c>
      <c r="G25" s="4">
        <f>IFERROR(__xludf.DUMMYFUNCTION("""COMPUTED_VALUE"""),14.0)</f>
        <v>14</v>
      </c>
      <c r="H25" s="4">
        <f>IFERROR(__xludf.DUMMYFUNCTION("""COMPUTED_VALUE"""),273.0)</f>
        <v>273</v>
      </c>
      <c r="I25" s="4">
        <f>IFERROR(__xludf.DUMMYFUNCTION("""COMPUTED_VALUE"""),93.0)</f>
        <v>93</v>
      </c>
      <c r="J25" s="4">
        <f>IFERROR(__xludf.DUMMYFUNCTION("""COMPUTED_VALUE"""),26.0)</f>
        <v>26</v>
      </c>
      <c r="K25" s="4">
        <f>IFERROR(__xludf.DUMMYFUNCTION("""COMPUTED_VALUE"""),28.0)</f>
        <v>28</v>
      </c>
      <c r="L25" s="4">
        <f>IFERROR(__xludf.DUMMYFUNCTION("""COMPUTED_VALUE"""),0.5)</f>
        <v>0.5</v>
      </c>
      <c r="M25" s="4">
        <f>IFERROR(__xludf.DUMMYFUNCTION("""COMPUTED_VALUE"""),0.37)</f>
        <v>0.37</v>
      </c>
      <c r="N25" s="4">
        <f>IFERROR(__xludf.DUMMYFUNCTION("""COMPUTED_VALUE"""),0.944)</f>
        <v>0.944</v>
      </c>
      <c r="O25" s="4">
        <f>IFERROR(__xludf.DUMMYFUNCTION("""COMPUTED_VALUE"""),19.5)</f>
        <v>19.5</v>
      </c>
      <c r="P25" s="4">
        <f>IFERROR(__xludf.DUMMYFUNCTION("""COMPUTED_VALUE"""),6.6)</f>
        <v>6.6</v>
      </c>
      <c r="Q25" s="4">
        <f>IFERROR(__xludf.DUMMYFUNCTION("""COMPUTED_VALUE"""),1.9)</f>
        <v>1.9</v>
      </c>
      <c r="R25" s="4">
        <f>IFERROR(__xludf.DUMMYFUNCTION("""COMPUTED_VALUE"""),2.0)</f>
        <v>2</v>
      </c>
      <c r="S25" s="4">
        <f>IFERROR(__xludf.DUMMYFUNCTION("""COMPUTED_VALUE"""),0.3)</f>
        <v>0.3</v>
      </c>
      <c r="T25" s="4">
        <f>IFERROR(__xludf.DUMMYFUNCTION("""COMPUTED_VALUE"""),0.054)</f>
        <v>0.054</v>
      </c>
      <c r="U25" s="4">
        <f>IFERROR(__xludf.DUMMYFUNCTION("""COMPUTED_VALUE"""),-2.8)</f>
        <v>-2.8</v>
      </c>
      <c r="V25" s="4">
        <f>IFERROR(__xludf.DUMMYFUNCTION("""COMPUTED_VALUE"""),-0.1)</f>
        <v>-0.1</v>
      </c>
    </row>
    <row r="26">
      <c r="A26" s="4">
        <f>IFERROR(__xludf.DUMMYFUNCTION("""COMPUTED_VALUE"""),23.0)</f>
        <v>23</v>
      </c>
      <c r="B26" s="4">
        <f>IFERROR(__xludf.DUMMYFUNCTION("""COMPUTED_VALUE"""),23.0)</f>
        <v>23</v>
      </c>
      <c r="C26" s="4" t="str">
        <f>IFERROR(__xludf.DUMMYFUNCTION("""COMPUTED_VALUE"""),"IND")</f>
        <v>IND</v>
      </c>
      <c r="D26" s="4" t="str">
        <f>IFERROR(__xludf.DUMMYFUNCTION("""COMPUTED_VALUE"""),"Asa Newell")</f>
        <v>Asa Newell</v>
      </c>
      <c r="E26" s="4" t="str">
        <f>IFERROR(__xludf.DUMMYFUNCTION("""COMPUTED_VALUE"""),"Georgia")</f>
        <v>Georgia</v>
      </c>
      <c r="F26" s="4">
        <f>IFERROR(__xludf.DUMMYFUNCTION("""COMPUTED_VALUE"""),1.0)</f>
        <v>1</v>
      </c>
      <c r="G26" s="4">
        <f>IFERROR(__xludf.DUMMYFUNCTION("""COMPUTED_VALUE"""),13.0)</f>
        <v>13</v>
      </c>
      <c r="H26" s="4">
        <f>IFERROR(__xludf.DUMMYFUNCTION("""COMPUTED_VALUE"""),97.0)</f>
        <v>97</v>
      </c>
      <c r="I26" s="4">
        <f>IFERROR(__xludf.DUMMYFUNCTION("""COMPUTED_VALUE"""),47.0)</f>
        <v>47</v>
      </c>
      <c r="J26" s="4">
        <f>IFERROR(__xludf.DUMMYFUNCTION("""COMPUTED_VALUE"""),19.0)</f>
        <v>19</v>
      </c>
      <c r="K26" s="4">
        <f>IFERROR(__xludf.DUMMYFUNCTION("""COMPUTED_VALUE"""),3.0)</f>
        <v>3</v>
      </c>
      <c r="L26" s="4">
        <f>IFERROR(__xludf.DUMMYFUNCTION("""COMPUTED_VALUE"""),0.471)</f>
        <v>0.471</v>
      </c>
      <c r="M26" s="4">
        <f>IFERROR(__xludf.DUMMYFUNCTION("""COMPUTED_VALUE"""),0.444)</f>
        <v>0.444</v>
      </c>
      <c r="N26" s="4">
        <f>IFERROR(__xludf.DUMMYFUNCTION("""COMPUTED_VALUE"""),0.778)</f>
        <v>0.778</v>
      </c>
      <c r="O26" s="4">
        <f>IFERROR(__xludf.DUMMYFUNCTION("""COMPUTED_VALUE"""),7.5)</f>
        <v>7.5</v>
      </c>
      <c r="P26" s="4">
        <f>IFERROR(__xludf.DUMMYFUNCTION("""COMPUTED_VALUE"""),3.6)</f>
        <v>3.6</v>
      </c>
      <c r="Q26" s="4">
        <f>IFERROR(__xludf.DUMMYFUNCTION("""COMPUTED_VALUE"""),1.5)</f>
        <v>1.5</v>
      </c>
      <c r="R26" s="4">
        <f>IFERROR(__xludf.DUMMYFUNCTION("""COMPUTED_VALUE"""),0.2)</f>
        <v>0.2</v>
      </c>
      <c r="S26" s="4">
        <f>IFERROR(__xludf.DUMMYFUNCTION("""COMPUTED_VALUE"""),0.3)</f>
        <v>0.3</v>
      </c>
      <c r="T26" s="4">
        <f>IFERROR(__xludf.DUMMYFUNCTION("""COMPUTED_VALUE"""),0.133)</f>
        <v>0.133</v>
      </c>
      <c r="U26" s="4">
        <f>IFERROR(__xludf.DUMMYFUNCTION("""COMPUTED_VALUE"""),-1.7)</f>
        <v>-1.7</v>
      </c>
      <c r="V26" s="4">
        <f>IFERROR(__xludf.DUMMYFUNCTION("""COMPUTED_VALUE"""),0.0)</f>
        <v>0</v>
      </c>
    </row>
    <row r="27">
      <c r="A27" s="4">
        <f>IFERROR(__xludf.DUMMYFUNCTION("""COMPUTED_VALUE"""),24.0)</f>
        <v>24</v>
      </c>
      <c r="B27" s="4">
        <f>IFERROR(__xludf.DUMMYFUNCTION("""COMPUTED_VALUE"""),24.0)</f>
        <v>24</v>
      </c>
      <c r="C27" s="4" t="str">
        <f>IFERROR(__xludf.DUMMYFUNCTION("""COMPUTED_VALUE"""),"OKC")</f>
        <v>OKC</v>
      </c>
      <c r="D27" s="4" t="str">
        <f>IFERROR(__xludf.DUMMYFUNCTION("""COMPUTED_VALUE"""),"Nique Clifford")</f>
        <v>Nique Clifford</v>
      </c>
      <c r="E27" s="4" t="str">
        <f>IFERROR(__xludf.DUMMYFUNCTION("""COMPUTED_VALUE"""),"Colorado State")</f>
        <v>Colorado State</v>
      </c>
      <c r="F27" s="4">
        <f>IFERROR(__xludf.DUMMYFUNCTION("""COMPUTED_VALUE"""),1.0)</f>
        <v>1</v>
      </c>
      <c r="G27" s="4">
        <f>IFERROR(__xludf.DUMMYFUNCTION("""COMPUTED_VALUE"""),17.0)</f>
        <v>17</v>
      </c>
      <c r="H27" s="4">
        <f>IFERROR(__xludf.DUMMYFUNCTION("""COMPUTED_VALUE"""),268.0)</f>
        <v>268</v>
      </c>
      <c r="I27" s="4">
        <f>IFERROR(__xludf.DUMMYFUNCTION("""COMPUTED_VALUE"""),65.0)</f>
        <v>65</v>
      </c>
      <c r="J27" s="4">
        <f>IFERROR(__xludf.DUMMYFUNCTION("""COMPUTED_VALUE"""),44.0)</f>
        <v>44</v>
      </c>
      <c r="K27" s="4">
        <f>IFERROR(__xludf.DUMMYFUNCTION("""COMPUTED_VALUE"""),28.0)</f>
        <v>28</v>
      </c>
      <c r="L27" s="4">
        <f>IFERROR(__xludf.DUMMYFUNCTION("""COMPUTED_VALUE"""),0.367)</f>
        <v>0.367</v>
      </c>
      <c r="M27" s="4">
        <f>IFERROR(__xludf.DUMMYFUNCTION("""COMPUTED_VALUE"""),0.321)</f>
        <v>0.321</v>
      </c>
      <c r="N27" s="4">
        <f>IFERROR(__xludf.DUMMYFUNCTION("""COMPUTED_VALUE"""),0.667)</f>
        <v>0.667</v>
      </c>
      <c r="O27" s="4">
        <f>IFERROR(__xludf.DUMMYFUNCTION("""COMPUTED_VALUE"""),15.8)</f>
        <v>15.8</v>
      </c>
      <c r="P27" s="4">
        <f>IFERROR(__xludf.DUMMYFUNCTION("""COMPUTED_VALUE"""),3.8)</f>
        <v>3.8</v>
      </c>
      <c r="Q27" s="4">
        <f>IFERROR(__xludf.DUMMYFUNCTION("""COMPUTED_VALUE"""),2.6)</f>
        <v>2.6</v>
      </c>
      <c r="R27" s="4">
        <f>IFERROR(__xludf.DUMMYFUNCTION("""COMPUTED_VALUE"""),1.6)</f>
        <v>1.6</v>
      </c>
      <c r="S27" s="4">
        <f>IFERROR(__xludf.DUMMYFUNCTION("""COMPUTED_VALUE"""),0.0)</f>
        <v>0</v>
      </c>
      <c r="T27" s="4">
        <f>IFERROR(__xludf.DUMMYFUNCTION("""COMPUTED_VALUE"""),0.003)</f>
        <v>0.003</v>
      </c>
      <c r="U27" s="4">
        <f>IFERROR(__xludf.DUMMYFUNCTION("""COMPUTED_VALUE"""),-5.1)</f>
        <v>-5.1</v>
      </c>
      <c r="V27" s="4">
        <f>IFERROR(__xludf.DUMMYFUNCTION("""COMPUTED_VALUE"""),-0.2)</f>
        <v>-0.2</v>
      </c>
    </row>
    <row r="28">
      <c r="A28" s="4">
        <f>IFERROR(__xludf.DUMMYFUNCTION("""COMPUTED_VALUE"""),25.0)</f>
        <v>25</v>
      </c>
      <c r="B28" s="4">
        <f>IFERROR(__xludf.DUMMYFUNCTION("""COMPUTED_VALUE"""),25.0)</f>
        <v>25</v>
      </c>
      <c r="C28" s="4" t="str">
        <f>IFERROR(__xludf.DUMMYFUNCTION("""COMPUTED_VALUE"""),"ORL")</f>
        <v>ORL</v>
      </c>
      <c r="D28" s="4" t="str">
        <f>IFERROR(__xludf.DUMMYFUNCTION("""COMPUTED_VALUE"""),"Jase Richardson")</f>
        <v>Jase Richardson</v>
      </c>
      <c r="E28" s="4" t="str">
        <f>IFERROR(__xludf.DUMMYFUNCTION("""COMPUTED_VALUE"""),"Michigan State")</f>
        <v>Michigan State</v>
      </c>
      <c r="F28" s="4">
        <f>IFERROR(__xludf.DUMMYFUNCTION("""COMPUTED_VALUE"""),1.0)</f>
        <v>1</v>
      </c>
      <c r="G28" s="4">
        <f>IFERROR(__xludf.DUMMYFUNCTION("""COMPUTED_VALUE"""),11.0)</f>
        <v>11</v>
      </c>
      <c r="H28" s="4">
        <f>IFERROR(__xludf.DUMMYFUNCTION("""COMPUTED_VALUE"""),68.0)</f>
        <v>68</v>
      </c>
      <c r="I28" s="4">
        <f>IFERROR(__xludf.DUMMYFUNCTION("""COMPUTED_VALUE"""),31.0)</f>
        <v>31</v>
      </c>
      <c r="J28" s="4">
        <f>IFERROR(__xludf.DUMMYFUNCTION("""COMPUTED_VALUE"""),7.0)</f>
        <v>7</v>
      </c>
      <c r="K28" s="4">
        <f>IFERROR(__xludf.DUMMYFUNCTION("""COMPUTED_VALUE"""),10.0)</f>
        <v>10</v>
      </c>
      <c r="L28" s="4">
        <f>IFERROR(__xludf.DUMMYFUNCTION("""COMPUTED_VALUE"""),0.478)</f>
        <v>0.478</v>
      </c>
      <c r="M28" s="4">
        <f>IFERROR(__xludf.DUMMYFUNCTION("""COMPUTED_VALUE"""),0.455)</f>
        <v>0.455</v>
      </c>
      <c r="N28" s="4">
        <f>IFERROR(__xludf.DUMMYFUNCTION("""COMPUTED_VALUE"""),0.8)</f>
        <v>0.8</v>
      </c>
      <c r="O28" s="4">
        <f>IFERROR(__xludf.DUMMYFUNCTION("""COMPUTED_VALUE"""),6.2)</f>
        <v>6.2</v>
      </c>
      <c r="P28" s="4">
        <f>IFERROR(__xludf.DUMMYFUNCTION("""COMPUTED_VALUE"""),2.8)</f>
        <v>2.8</v>
      </c>
      <c r="Q28" s="4">
        <f>IFERROR(__xludf.DUMMYFUNCTION("""COMPUTED_VALUE"""),0.6)</f>
        <v>0.6</v>
      </c>
      <c r="R28" s="4">
        <f>IFERROR(__xludf.DUMMYFUNCTION("""COMPUTED_VALUE"""),0.9)</f>
        <v>0.9</v>
      </c>
      <c r="S28" s="4">
        <f>IFERROR(__xludf.DUMMYFUNCTION("""COMPUTED_VALUE"""),0.2)</f>
        <v>0.2</v>
      </c>
      <c r="T28" s="4">
        <f>IFERROR(__xludf.DUMMYFUNCTION("""COMPUTED_VALUE"""),0.109)</f>
        <v>0.109</v>
      </c>
      <c r="U28" s="4">
        <f>IFERROR(__xludf.DUMMYFUNCTION("""COMPUTED_VALUE"""),-1.1)</f>
        <v>-1.1</v>
      </c>
      <c r="V28" s="4">
        <f>IFERROR(__xludf.DUMMYFUNCTION("""COMPUTED_VALUE"""),0.0)</f>
        <v>0</v>
      </c>
    </row>
    <row r="29">
      <c r="A29" s="4">
        <f>IFERROR(__xludf.DUMMYFUNCTION("""COMPUTED_VALUE"""),26.0)</f>
        <v>26</v>
      </c>
      <c r="B29" s="4">
        <f>IFERROR(__xludf.DUMMYFUNCTION("""COMPUTED_VALUE"""),26.0)</f>
        <v>26</v>
      </c>
      <c r="C29" s="4" t="str">
        <f>IFERROR(__xludf.DUMMYFUNCTION("""COMPUTED_VALUE"""),"BRK")</f>
        <v>BRK</v>
      </c>
      <c r="D29" s="4" t="str">
        <f>IFERROR(__xludf.DUMMYFUNCTION("""COMPUTED_VALUE"""),"Ben Saraf")</f>
        <v>Ben Saraf</v>
      </c>
      <c r="E29" s="4"/>
      <c r="F29" s="4">
        <f>IFERROR(__xludf.DUMMYFUNCTION("""COMPUTED_VALUE"""),1.0)</f>
        <v>1</v>
      </c>
      <c r="G29" s="4">
        <f>IFERROR(__xludf.DUMMYFUNCTION("""COMPUTED_VALUE"""),9.0)</f>
        <v>9</v>
      </c>
      <c r="H29" s="4">
        <f>IFERROR(__xludf.DUMMYFUNCTION("""COMPUTED_VALUE"""),144.0)</f>
        <v>144</v>
      </c>
      <c r="I29" s="4">
        <f>IFERROR(__xludf.DUMMYFUNCTION("""COMPUTED_VALUE"""),40.0)</f>
        <v>40</v>
      </c>
      <c r="J29" s="4">
        <f>IFERROR(__xludf.DUMMYFUNCTION("""COMPUTED_VALUE"""),16.0)</f>
        <v>16</v>
      </c>
      <c r="K29" s="4">
        <f>IFERROR(__xludf.DUMMYFUNCTION("""COMPUTED_VALUE"""),26.0)</f>
        <v>26</v>
      </c>
      <c r="L29" s="4">
        <f>IFERROR(__xludf.DUMMYFUNCTION("""COMPUTED_VALUE"""),0.295)</f>
        <v>0.295</v>
      </c>
      <c r="M29" s="4">
        <f>IFERROR(__xludf.DUMMYFUNCTION("""COMPUTED_VALUE"""),0.25)</f>
        <v>0.25</v>
      </c>
      <c r="N29" s="4">
        <f>IFERROR(__xludf.DUMMYFUNCTION("""COMPUTED_VALUE"""),0.8)</f>
        <v>0.8</v>
      </c>
      <c r="O29" s="4">
        <f>IFERROR(__xludf.DUMMYFUNCTION("""COMPUTED_VALUE"""),16.0)</f>
        <v>16</v>
      </c>
      <c r="P29" s="4">
        <f>IFERROR(__xludf.DUMMYFUNCTION("""COMPUTED_VALUE"""),4.4)</f>
        <v>4.4</v>
      </c>
      <c r="Q29" s="4">
        <f>IFERROR(__xludf.DUMMYFUNCTION("""COMPUTED_VALUE"""),1.8)</f>
        <v>1.8</v>
      </c>
      <c r="R29" s="4">
        <f>IFERROR(__xludf.DUMMYFUNCTION("""COMPUTED_VALUE"""),2.9)</f>
        <v>2.9</v>
      </c>
      <c r="S29" s="4">
        <f>IFERROR(__xludf.DUMMYFUNCTION("""COMPUTED_VALUE"""),-0.3)</f>
        <v>-0.3</v>
      </c>
      <c r="T29" s="4">
        <f>IFERROR(__xludf.DUMMYFUNCTION("""COMPUTED_VALUE"""),-0.094)</f>
        <v>-0.094</v>
      </c>
      <c r="U29" s="4">
        <f>IFERROR(__xludf.DUMMYFUNCTION("""COMPUTED_VALUE"""),-8.1)</f>
        <v>-8.1</v>
      </c>
      <c r="V29" s="4">
        <f>IFERROR(__xludf.DUMMYFUNCTION("""COMPUTED_VALUE"""),-0.2)</f>
        <v>-0.2</v>
      </c>
    </row>
    <row r="30">
      <c r="A30" s="4">
        <f>IFERROR(__xludf.DUMMYFUNCTION("""COMPUTED_VALUE"""),27.0)</f>
        <v>27</v>
      </c>
      <c r="B30" s="4">
        <f>IFERROR(__xludf.DUMMYFUNCTION("""COMPUTED_VALUE"""),27.0)</f>
        <v>27</v>
      </c>
      <c r="C30" s="4" t="str">
        <f>IFERROR(__xludf.DUMMYFUNCTION("""COMPUTED_VALUE"""),"BRK")</f>
        <v>BRK</v>
      </c>
      <c r="D30" s="4" t="str">
        <f>IFERROR(__xludf.DUMMYFUNCTION("""COMPUTED_VALUE"""),"Danny Wolf")</f>
        <v>Danny Wolf</v>
      </c>
      <c r="E30" s="4" t="str">
        <f>IFERROR(__xludf.DUMMYFUNCTION("""COMPUTED_VALUE"""),"Michigan")</f>
        <v>Michigan</v>
      </c>
      <c r="F30" s="4">
        <f>IFERROR(__xludf.DUMMYFUNCTION("""COMPUTED_VALUE"""),1.0)</f>
        <v>1</v>
      </c>
      <c r="G30" s="4">
        <f>IFERROR(__xludf.DUMMYFUNCTION("""COMPUTED_VALUE"""),6.0)</f>
        <v>6</v>
      </c>
      <c r="H30" s="4">
        <f>IFERROR(__xludf.DUMMYFUNCTION("""COMPUTED_VALUE"""),70.0)</f>
        <v>70</v>
      </c>
      <c r="I30" s="4">
        <f>IFERROR(__xludf.DUMMYFUNCTION("""COMPUTED_VALUE"""),39.0)</f>
        <v>39</v>
      </c>
      <c r="J30" s="4">
        <f>IFERROR(__xludf.DUMMYFUNCTION("""COMPUTED_VALUE"""),18.0)</f>
        <v>18</v>
      </c>
      <c r="K30" s="4">
        <f>IFERROR(__xludf.DUMMYFUNCTION("""COMPUTED_VALUE"""),8.0)</f>
        <v>8</v>
      </c>
      <c r="L30" s="4">
        <f>IFERROR(__xludf.DUMMYFUNCTION("""COMPUTED_VALUE"""),0.429)</f>
        <v>0.429</v>
      </c>
      <c r="M30" s="4">
        <f>IFERROR(__xludf.DUMMYFUNCTION("""COMPUTED_VALUE"""),0.429)</f>
        <v>0.429</v>
      </c>
      <c r="N30" s="4">
        <f>IFERROR(__xludf.DUMMYFUNCTION("""COMPUTED_VALUE"""),0.9)</f>
        <v>0.9</v>
      </c>
      <c r="O30" s="4">
        <f>IFERROR(__xludf.DUMMYFUNCTION("""COMPUTED_VALUE"""),11.7)</f>
        <v>11.7</v>
      </c>
      <c r="P30" s="4">
        <f>IFERROR(__xludf.DUMMYFUNCTION("""COMPUTED_VALUE"""),6.5)</f>
        <v>6.5</v>
      </c>
      <c r="Q30" s="4">
        <f>IFERROR(__xludf.DUMMYFUNCTION("""COMPUTED_VALUE"""),3.0)</f>
        <v>3</v>
      </c>
      <c r="R30" s="4">
        <f>IFERROR(__xludf.DUMMYFUNCTION("""COMPUTED_VALUE"""),1.3)</f>
        <v>1.3</v>
      </c>
      <c r="S30" s="4">
        <f>IFERROR(__xludf.DUMMYFUNCTION("""COMPUTED_VALUE"""),0.2)</f>
        <v>0.2</v>
      </c>
      <c r="T30" s="4">
        <f>IFERROR(__xludf.DUMMYFUNCTION("""COMPUTED_VALUE"""),0.144)</f>
        <v>0.144</v>
      </c>
      <c r="U30" s="4">
        <f>IFERROR(__xludf.DUMMYFUNCTION("""COMPUTED_VALUE"""),1.7)</f>
        <v>1.7</v>
      </c>
      <c r="V30" s="4">
        <f>IFERROR(__xludf.DUMMYFUNCTION("""COMPUTED_VALUE"""),0.1)</f>
        <v>0.1</v>
      </c>
    </row>
    <row r="31">
      <c r="A31" s="4">
        <f>IFERROR(__xludf.DUMMYFUNCTION("""COMPUTED_VALUE"""),28.0)</f>
        <v>28</v>
      </c>
      <c r="B31" s="4">
        <f>IFERROR(__xludf.DUMMYFUNCTION("""COMPUTED_VALUE"""),28.0)</f>
        <v>28</v>
      </c>
      <c r="C31" s="4" t="str">
        <f>IFERROR(__xludf.DUMMYFUNCTION("""COMPUTED_VALUE"""),"BOS")</f>
        <v>BOS</v>
      </c>
      <c r="D31" s="4" t="str">
        <f>IFERROR(__xludf.DUMMYFUNCTION("""COMPUTED_VALUE"""),"Hugo González")</f>
        <v>Hugo González</v>
      </c>
      <c r="E31" s="4"/>
      <c r="F31" s="4">
        <f>IFERROR(__xludf.DUMMYFUNCTION("""COMPUTED_VALUE"""),1.0)</f>
        <v>1</v>
      </c>
      <c r="G31" s="4">
        <f>IFERROR(__xludf.DUMMYFUNCTION("""COMPUTED_VALUE"""),16.0)</f>
        <v>16</v>
      </c>
      <c r="H31" s="4">
        <f>IFERROR(__xludf.DUMMYFUNCTION("""COMPUTED_VALUE"""),187.0)</f>
        <v>187</v>
      </c>
      <c r="I31" s="4">
        <f>IFERROR(__xludf.DUMMYFUNCTION("""COMPUTED_VALUE"""),42.0)</f>
        <v>42</v>
      </c>
      <c r="J31" s="4">
        <f>IFERROR(__xludf.DUMMYFUNCTION("""COMPUTED_VALUE"""),30.0)</f>
        <v>30</v>
      </c>
      <c r="K31" s="4">
        <f>IFERROR(__xludf.DUMMYFUNCTION("""COMPUTED_VALUE"""),10.0)</f>
        <v>10</v>
      </c>
      <c r="L31" s="4">
        <f>IFERROR(__xludf.DUMMYFUNCTION("""COMPUTED_VALUE"""),0.415)</f>
        <v>0.415</v>
      </c>
      <c r="M31" s="4">
        <f>IFERROR(__xludf.DUMMYFUNCTION("""COMPUTED_VALUE"""),0.375)</f>
        <v>0.375</v>
      </c>
      <c r="N31" s="4">
        <f>IFERROR(__xludf.DUMMYFUNCTION("""COMPUTED_VALUE"""),0.4)</f>
        <v>0.4</v>
      </c>
      <c r="O31" s="4">
        <f>IFERROR(__xludf.DUMMYFUNCTION("""COMPUTED_VALUE"""),11.7)</f>
        <v>11.7</v>
      </c>
      <c r="P31" s="4">
        <f>IFERROR(__xludf.DUMMYFUNCTION("""COMPUTED_VALUE"""),2.6)</f>
        <v>2.6</v>
      </c>
      <c r="Q31" s="4">
        <f>IFERROR(__xludf.DUMMYFUNCTION("""COMPUTED_VALUE"""),1.9)</f>
        <v>1.9</v>
      </c>
      <c r="R31" s="4">
        <f>IFERROR(__xludf.DUMMYFUNCTION("""COMPUTED_VALUE"""),0.6)</f>
        <v>0.6</v>
      </c>
      <c r="S31" s="4">
        <f>IFERROR(__xludf.DUMMYFUNCTION("""COMPUTED_VALUE"""),0.2)</f>
        <v>0.2</v>
      </c>
      <c r="T31" s="4">
        <f>IFERROR(__xludf.DUMMYFUNCTION("""COMPUTED_VALUE"""),0.063)</f>
        <v>0.063</v>
      </c>
      <c r="U31" s="4">
        <f>IFERROR(__xludf.DUMMYFUNCTION("""COMPUTED_VALUE"""),-2.7)</f>
        <v>-2.7</v>
      </c>
      <c r="V31" s="4">
        <f>IFERROR(__xludf.DUMMYFUNCTION("""COMPUTED_VALUE"""),0.0)</f>
        <v>0</v>
      </c>
    </row>
    <row r="32">
      <c r="A32" s="4">
        <f>IFERROR(__xludf.DUMMYFUNCTION("""COMPUTED_VALUE"""),29.0)</f>
        <v>29</v>
      </c>
      <c r="B32" s="4">
        <f>IFERROR(__xludf.DUMMYFUNCTION("""COMPUTED_VALUE"""),29.0)</f>
        <v>29</v>
      </c>
      <c r="C32" s="4" t="str">
        <f>IFERROR(__xludf.DUMMYFUNCTION("""COMPUTED_VALUE"""),"PHO")</f>
        <v>PHO</v>
      </c>
      <c r="D32" s="4" t="str">
        <f>IFERROR(__xludf.DUMMYFUNCTION("""COMPUTED_VALUE"""),"Liam McNeeley")</f>
        <v>Liam McNeeley</v>
      </c>
      <c r="E32" s="4" t="str">
        <f>IFERROR(__xludf.DUMMYFUNCTION("""COMPUTED_VALUE"""),"UConn")</f>
        <v>UConn</v>
      </c>
      <c r="F32" s="4">
        <f>IFERROR(__xludf.DUMMYFUNCTION("""COMPUTED_VALUE"""),1.0)</f>
        <v>1</v>
      </c>
      <c r="G32" s="4">
        <f>IFERROR(__xludf.DUMMYFUNCTION("""COMPUTED_VALUE"""),15.0)</f>
        <v>15</v>
      </c>
      <c r="H32" s="4">
        <f>IFERROR(__xludf.DUMMYFUNCTION("""COMPUTED_VALUE"""),195.0)</f>
        <v>195</v>
      </c>
      <c r="I32" s="4">
        <f>IFERROR(__xludf.DUMMYFUNCTION("""COMPUTED_VALUE"""),64.0)</f>
        <v>64</v>
      </c>
      <c r="J32" s="4">
        <f>IFERROR(__xludf.DUMMYFUNCTION("""COMPUTED_VALUE"""),31.0)</f>
        <v>31</v>
      </c>
      <c r="K32" s="4">
        <f>IFERROR(__xludf.DUMMYFUNCTION("""COMPUTED_VALUE"""),13.0)</f>
        <v>13</v>
      </c>
      <c r="L32" s="4">
        <f>IFERROR(__xludf.DUMMYFUNCTION("""COMPUTED_VALUE"""),0.36)</f>
        <v>0.36</v>
      </c>
      <c r="M32" s="4">
        <f>IFERROR(__xludf.DUMMYFUNCTION("""COMPUTED_VALUE"""),0.375)</f>
        <v>0.375</v>
      </c>
      <c r="N32" s="4">
        <f>IFERROR(__xludf.DUMMYFUNCTION("""COMPUTED_VALUE"""),0.842)</f>
        <v>0.842</v>
      </c>
      <c r="O32" s="4">
        <f>IFERROR(__xludf.DUMMYFUNCTION("""COMPUTED_VALUE"""),13.0)</f>
        <v>13</v>
      </c>
      <c r="P32" s="4">
        <f>IFERROR(__xludf.DUMMYFUNCTION("""COMPUTED_VALUE"""),4.3)</f>
        <v>4.3</v>
      </c>
      <c r="Q32" s="4">
        <f>IFERROR(__xludf.DUMMYFUNCTION("""COMPUTED_VALUE"""),2.1)</f>
        <v>2.1</v>
      </c>
      <c r="R32" s="4">
        <f>IFERROR(__xludf.DUMMYFUNCTION("""COMPUTED_VALUE"""),0.9)</f>
        <v>0.9</v>
      </c>
      <c r="S32" s="4">
        <f>IFERROR(__xludf.DUMMYFUNCTION("""COMPUTED_VALUE"""),0.2)</f>
        <v>0.2</v>
      </c>
      <c r="T32" s="4">
        <f>IFERROR(__xludf.DUMMYFUNCTION("""COMPUTED_VALUE"""),0.041)</f>
        <v>0.041</v>
      </c>
      <c r="U32" s="4">
        <f>IFERROR(__xludf.DUMMYFUNCTION("""COMPUTED_VALUE"""),-4.7)</f>
        <v>-4.7</v>
      </c>
      <c r="V32" s="4">
        <f>IFERROR(__xludf.DUMMYFUNCTION("""COMPUTED_VALUE"""),-0.1)</f>
        <v>-0.1</v>
      </c>
    </row>
    <row r="33">
      <c r="A33" s="4">
        <f>IFERROR(__xludf.DUMMYFUNCTION("""COMPUTED_VALUE"""),30.0)</f>
        <v>30</v>
      </c>
      <c r="B33" s="4">
        <f>IFERROR(__xludf.DUMMYFUNCTION("""COMPUTED_VALUE"""),30.0)</f>
        <v>30</v>
      </c>
      <c r="C33" s="4" t="str">
        <f>IFERROR(__xludf.DUMMYFUNCTION("""COMPUTED_VALUE"""),"LAC")</f>
        <v>LAC</v>
      </c>
      <c r="D33" s="4" t="str">
        <f>IFERROR(__xludf.DUMMYFUNCTION("""COMPUTED_VALUE"""),"Yanic Konan Niederhauser")</f>
        <v>Yanic Konan Niederhauser</v>
      </c>
      <c r="E33" s="4" t="str">
        <f>IFERROR(__xludf.DUMMYFUNCTION("""COMPUTED_VALUE"""),"Penn State")</f>
        <v>Penn State</v>
      </c>
      <c r="F33" s="4">
        <f>IFERROR(__xludf.DUMMYFUNCTION("""COMPUTED_VALUE"""),1.0)</f>
        <v>1</v>
      </c>
      <c r="G33" s="4">
        <f>IFERROR(__xludf.DUMMYFUNCTION("""COMPUTED_VALUE"""),10.0)</f>
        <v>10</v>
      </c>
      <c r="H33" s="4">
        <f>IFERROR(__xludf.DUMMYFUNCTION("""COMPUTED_VALUE"""),54.0)</f>
        <v>54</v>
      </c>
      <c r="I33" s="4">
        <f>IFERROR(__xludf.DUMMYFUNCTION("""COMPUTED_VALUE"""),31.0)</f>
        <v>31</v>
      </c>
      <c r="J33" s="4">
        <f>IFERROR(__xludf.DUMMYFUNCTION("""COMPUTED_VALUE"""),13.0)</f>
        <v>13</v>
      </c>
      <c r="K33" s="4">
        <f>IFERROR(__xludf.DUMMYFUNCTION("""COMPUTED_VALUE"""),3.0)</f>
        <v>3</v>
      </c>
      <c r="L33" s="4">
        <f>IFERROR(__xludf.DUMMYFUNCTION("""COMPUTED_VALUE"""),0.722)</f>
        <v>0.722</v>
      </c>
      <c r="M33" s="4"/>
      <c r="N33" s="4">
        <f>IFERROR(__xludf.DUMMYFUNCTION("""COMPUTED_VALUE"""),0.5)</f>
        <v>0.5</v>
      </c>
      <c r="O33" s="4">
        <f>IFERROR(__xludf.DUMMYFUNCTION("""COMPUTED_VALUE"""),5.4)</f>
        <v>5.4</v>
      </c>
      <c r="P33" s="4">
        <f>IFERROR(__xludf.DUMMYFUNCTION("""COMPUTED_VALUE"""),3.1)</f>
        <v>3.1</v>
      </c>
      <c r="Q33" s="4">
        <f>IFERROR(__xludf.DUMMYFUNCTION("""COMPUTED_VALUE"""),1.3)</f>
        <v>1.3</v>
      </c>
      <c r="R33" s="4">
        <f>IFERROR(__xludf.DUMMYFUNCTION("""COMPUTED_VALUE"""),0.3)</f>
        <v>0.3</v>
      </c>
      <c r="S33" s="4">
        <f>IFERROR(__xludf.DUMMYFUNCTION("""COMPUTED_VALUE"""),0.2)</f>
        <v>0.2</v>
      </c>
      <c r="T33" s="4">
        <f>IFERROR(__xludf.DUMMYFUNCTION("""COMPUTED_VALUE"""),0.142)</f>
        <v>0.142</v>
      </c>
      <c r="U33" s="4">
        <f>IFERROR(__xludf.DUMMYFUNCTION("""COMPUTED_VALUE"""),0.0)</f>
        <v>0</v>
      </c>
      <c r="V33" s="4">
        <f>IFERROR(__xludf.DUMMYFUNCTION("""COMPUTED_VALUE"""),0.0)</f>
        <v>0</v>
      </c>
    </row>
    <row r="34">
      <c r="A34" s="4"/>
      <c r="B34" s="4"/>
      <c r="C34" s="4"/>
      <c r="D34" s="4" t="str">
        <f>IFERROR(__xludf.DUMMYFUNCTION("""COMPUTED_VALUE"""),"Round 2")</f>
        <v>Round 2</v>
      </c>
      <c r="E34" s="4"/>
      <c r="F34" s="4"/>
      <c r="G34" s="4" t="str">
        <f>IFERROR(__xludf.DUMMYFUNCTION("""COMPUTED_VALUE"""),"Totals")</f>
        <v>Totals</v>
      </c>
      <c r="H34" s="4"/>
      <c r="I34" s="4"/>
      <c r="J34" s="4"/>
      <c r="K34" s="4"/>
      <c r="L34" s="4" t="str">
        <f>IFERROR(__xludf.DUMMYFUNCTION("""COMPUTED_VALUE"""),"Shooting")</f>
        <v>Shooting</v>
      </c>
      <c r="M34" s="4"/>
      <c r="N34" s="4"/>
      <c r="O34" s="4" t="str">
        <f>IFERROR(__xludf.DUMMYFUNCTION("""COMPUTED_VALUE"""),"Per Game")</f>
        <v>Per Game</v>
      </c>
      <c r="P34" s="4"/>
      <c r="Q34" s="4"/>
      <c r="R34" s="4"/>
      <c r="S34" s="4" t="str">
        <f>IFERROR(__xludf.DUMMYFUNCTION("""COMPUTED_VALUE"""),"Advanced")</f>
        <v>Advanced</v>
      </c>
      <c r="T34" s="4"/>
      <c r="U34" s="4"/>
      <c r="V34" s="4"/>
    </row>
    <row r="35">
      <c r="A35" s="4" t="str">
        <f>IFERROR(__xludf.DUMMYFUNCTION("""COMPUTED_VALUE"""),"Rk")</f>
        <v>Rk</v>
      </c>
      <c r="B35" s="4" t="str">
        <f>IFERROR(__xludf.DUMMYFUNCTION("""COMPUTED_VALUE"""),"Pk")</f>
        <v>Pk</v>
      </c>
      <c r="C35" s="4" t="str">
        <f>IFERROR(__xludf.DUMMYFUNCTION("""COMPUTED_VALUE"""),"Tm")</f>
        <v>Tm</v>
      </c>
      <c r="D35" s="4" t="str">
        <f>IFERROR(__xludf.DUMMYFUNCTION("""COMPUTED_VALUE"""),"Player")</f>
        <v>Player</v>
      </c>
      <c r="E35" s="4" t="str">
        <f>IFERROR(__xludf.DUMMYFUNCTION("""COMPUTED_VALUE"""),"College")</f>
        <v>College</v>
      </c>
      <c r="F35" s="4" t="str">
        <f>IFERROR(__xludf.DUMMYFUNCTION("""COMPUTED_VALUE"""),"Yrs")</f>
        <v>Yrs</v>
      </c>
      <c r="G35" s="4" t="str">
        <f>IFERROR(__xludf.DUMMYFUNCTION("""COMPUTED_VALUE"""),"G")</f>
        <v>G</v>
      </c>
      <c r="H35" s="4" t="str">
        <f>IFERROR(__xludf.DUMMYFUNCTION("""COMPUTED_VALUE"""),"MP")</f>
        <v>MP</v>
      </c>
      <c r="I35" s="4" t="str">
        <f>IFERROR(__xludf.DUMMYFUNCTION("""COMPUTED_VALUE"""),"PTS")</f>
        <v>PTS</v>
      </c>
      <c r="J35" s="4" t="str">
        <f>IFERROR(__xludf.DUMMYFUNCTION("""COMPUTED_VALUE"""),"TRB")</f>
        <v>TRB</v>
      </c>
      <c r="K35" s="4" t="str">
        <f>IFERROR(__xludf.DUMMYFUNCTION("""COMPUTED_VALUE"""),"AST")</f>
        <v>AST</v>
      </c>
      <c r="L35" s="4" t="str">
        <f>IFERROR(__xludf.DUMMYFUNCTION("""COMPUTED_VALUE"""),"FG%")</f>
        <v>FG%</v>
      </c>
      <c r="M35" s="4" t="str">
        <f>IFERROR(__xludf.DUMMYFUNCTION("""COMPUTED_VALUE"""),"3P%")</f>
        <v>3P%</v>
      </c>
      <c r="N35" s="4" t="str">
        <f>IFERROR(__xludf.DUMMYFUNCTION("""COMPUTED_VALUE"""),"FT%")</f>
        <v>FT%</v>
      </c>
      <c r="O35" s="4" t="str">
        <f>IFERROR(__xludf.DUMMYFUNCTION("""COMPUTED_VALUE"""),"MP")</f>
        <v>MP</v>
      </c>
      <c r="P35" s="4" t="str">
        <f>IFERROR(__xludf.DUMMYFUNCTION("""COMPUTED_VALUE"""),"PTS")</f>
        <v>PTS</v>
      </c>
      <c r="Q35" s="4" t="str">
        <f>IFERROR(__xludf.DUMMYFUNCTION("""COMPUTED_VALUE"""),"TRB")</f>
        <v>TRB</v>
      </c>
      <c r="R35" s="4" t="str">
        <f>IFERROR(__xludf.DUMMYFUNCTION("""COMPUTED_VALUE"""),"AST")</f>
        <v>AST</v>
      </c>
      <c r="S35" s="4" t="str">
        <f>IFERROR(__xludf.DUMMYFUNCTION("""COMPUTED_VALUE"""),"WS")</f>
        <v>WS</v>
      </c>
      <c r="T35" s="4" t="str">
        <f>IFERROR(__xludf.DUMMYFUNCTION("""COMPUTED_VALUE"""),"WS/48")</f>
        <v>WS/48</v>
      </c>
      <c r="U35" s="4" t="str">
        <f>IFERROR(__xludf.DUMMYFUNCTION("""COMPUTED_VALUE"""),"BPM")</f>
        <v>BPM</v>
      </c>
      <c r="V35" s="4" t="str">
        <f>IFERROR(__xludf.DUMMYFUNCTION("""COMPUTED_VALUE"""),"VORP")</f>
        <v>VORP</v>
      </c>
    </row>
    <row r="36">
      <c r="A36" s="4">
        <f>IFERROR(__xludf.DUMMYFUNCTION("""COMPUTED_VALUE"""),31.0)</f>
        <v>31</v>
      </c>
      <c r="B36" s="4">
        <f>IFERROR(__xludf.DUMMYFUNCTION("""COMPUTED_VALUE"""),31.0)</f>
        <v>31</v>
      </c>
      <c r="C36" s="4" t="str">
        <f>IFERROR(__xludf.DUMMYFUNCTION("""COMPUTED_VALUE"""),"MIN")</f>
        <v>MIN</v>
      </c>
      <c r="D36" s="4" t="str">
        <f>IFERROR(__xludf.DUMMYFUNCTION("""COMPUTED_VALUE"""),"Rasheer Fleming")</f>
        <v>Rasheer Fleming</v>
      </c>
      <c r="E36" s="4" t="str">
        <f>IFERROR(__xludf.DUMMYFUNCTION("""COMPUTED_VALUE"""),"Saint Joseph's")</f>
        <v>Saint Joseph's</v>
      </c>
      <c r="F36" s="4">
        <f>IFERROR(__xludf.DUMMYFUNCTION("""COMPUTED_VALUE"""),1.0)</f>
        <v>1</v>
      </c>
      <c r="G36" s="4">
        <f>IFERROR(__xludf.DUMMYFUNCTION("""COMPUTED_VALUE"""),11.0)</f>
        <v>11</v>
      </c>
      <c r="H36" s="4">
        <f>IFERROR(__xludf.DUMMYFUNCTION("""COMPUTED_VALUE"""),60.0)</f>
        <v>60</v>
      </c>
      <c r="I36" s="4">
        <f>IFERROR(__xludf.DUMMYFUNCTION("""COMPUTED_VALUE"""),21.0)</f>
        <v>21</v>
      </c>
      <c r="J36" s="4">
        <f>IFERROR(__xludf.DUMMYFUNCTION("""COMPUTED_VALUE"""),13.0)</f>
        <v>13</v>
      </c>
      <c r="K36" s="4">
        <f>IFERROR(__xludf.DUMMYFUNCTION("""COMPUTED_VALUE"""),2.0)</f>
        <v>2</v>
      </c>
      <c r="L36" s="4">
        <f>IFERROR(__xludf.DUMMYFUNCTION("""COMPUTED_VALUE"""),0.318)</f>
        <v>0.318</v>
      </c>
      <c r="M36" s="4">
        <f>IFERROR(__xludf.DUMMYFUNCTION("""COMPUTED_VALUE"""),0.231)</f>
        <v>0.231</v>
      </c>
      <c r="N36" s="4">
        <f>IFERROR(__xludf.DUMMYFUNCTION("""COMPUTED_VALUE"""),1.0)</f>
        <v>1</v>
      </c>
      <c r="O36" s="4">
        <f>IFERROR(__xludf.DUMMYFUNCTION("""COMPUTED_VALUE"""),5.5)</f>
        <v>5.5</v>
      </c>
      <c r="P36" s="4">
        <f>IFERROR(__xludf.DUMMYFUNCTION("""COMPUTED_VALUE"""),1.9)</f>
        <v>1.9</v>
      </c>
      <c r="Q36" s="4">
        <f>IFERROR(__xludf.DUMMYFUNCTION("""COMPUTED_VALUE"""),1.2)</f>
        <v>1.2</v>
      </c>
      <c r="R36" s="4">
        <f>IFERROR(__xludf.DUMMYFUNCTION("""COMPUTED_VALUE"""),0.2)</f>
        <v>0.2</v>
      </c>
      <c r="S36" s="4">
        <f>IFERROR(__xludf.DUMMYFUNCTION("""COMPUTED_VALUE"""),0.0)</f>
        <v>0</v>
      </c>
      <c r="T36" s="4">
        <f>IFERROR(__xludf.DUMMYFUNCTION("""COMPUTED_VALUE"""),0.012)</f>
        <v>0.012</v>
      </c>
      <c r="U36" s="4">
        <f>IFERROR(__xludf.DUMMYFUNCTION("""COMPUTED_VALUE"""),-8.7)</f>
        <v>-8.7</v>
      </c>
      <c r="V36" s="4">
        <f>IFERROR(__xludf.DUMMYFUNCTION("""COMPUTED_VALUE"""),-0.1)</f>
        <v>-0.1</v>
      </c>
    </row>
    <row r="37">
      <c r="A37" s="4">
        <f>IFERROR(__xludf.DUMMYFUNCTION("""COMPUTED_VALUE"""),32.0)</f>
        <v>32</v>
      </c>
      <c r="B37" s="4">
        <f>IFERROR(__xludf.DUMMYFUNCTION("""COMPUTED_VALUE"""),32.0)</f>
        <v>32</v>
      </c>
      <c r="C37" s="4" t="str">
        <f>IFERROR(__xludf.DUMMYFUNCTION("""COMPUTED_VALUE"""),"BOS")</f>
        <v>BOS</v>
      </c>
      <c r="D37" s="4" t="str">
        <f>IFERROR(__xludf.DUMMYFUNCTION("""COMPUTED_VALUE"""),"Noah Penda")</f>
        <v>Noah Penda</v>
      </c>
      <c r="E37" s="4"/>
      <c r="F37" s="4">
        <f>IFERROR(__xludf.DUMMYFUNCTION("""COMPUTED_VALUE"""),1.0)</f>
        <v>1</v>
      </c>
      <c r="G37" s="4">
        <f>IFERROR(__xludf.DUMMYFUNCTION("""COMPUTED_VALUE"""),11.0)</f>
        <v>11</v>
      </c>
      <c r="H37" s="4">
        <f>IFERROR(__xludf.DUMMYFUNCTION("""COMPUTED_VALUE"""),105.0)</f>
        <v>105</v>
      </c>
      <c r="I37" s="4">
        <f>IFERROR(__xludf.DUMMYFUNCTION("""COMPUTED_VALUE"""),45.0)</f>
        <v>45</v>
      </c>
      <c r="J37" s="4">
        <f>IFERROR(__xludf.DUMMYFUNCTION("""COMPUTED_VALUE"""),36.0)</f>
        <v>36</v>
      </c>
      <c r="K37" s="4">
        <f>IFERROR(__xludf.DUMMYFUNCTION("""COMPUTED_VALUE"""),12.0)</f>
        <v>12</v>
      </c>
      <c r="L37" s="4">
        <f>IFERROR(__xludf.DUMMYFUNCTION("""COMPUTED_VALUE"""),0.516)</f>
        <v>0.516</v>
      </c>
      <c r="M37" s="4">
        <f>IFERROR(__xludf.DUMMYFUNCTION("""COMPUTED_VALUE"""),0.667)</f>
        <v>0.667</v>
      </c>
      <c r="N37" s="4">
        <f>IFERROR(__xludf.DUMMYFUNCTION("""COMPUTED_VALUE"""),0.778)</f>
        <v>0.778</v>
      </c>
      <c r="O37" s="4">
        <f>IFERROR(__xludf.DUMMYFUNCTION("""COMPUTED_VALUE"""),9.5)</f>
        <v>9.5</v>
      </c>
      <c r="P37" s="4">
        <f>IFERROR(__xludf.DUMMYFUNCTION("""COMPUTED_VALUE"""),4.1)</f>
        <v>4.1</v>
      </c>
      <c r="Q37" s="4">
        <f>IFERROR(__xludf.DUMMYFUNCTION("""COMPUTED_VALUE"""),3.3)</f>
        <v>3.3</v>
      </c>
      <c r="R37" s="4">
        <f>IFERROR(__xludf.DUMMYFUNCTION("""COMPUTED_VALUE"""),1.1)</f>
        <v>1.1</v>
      </c>
      <c r="S37" s="4">
        <f>IFERROR(__xludf.DUMMYFUNCTION("""COMPUTED_VALUE"""),0.5)</f>
        <v>0.5</v>
      </c>
      <c r="T37" s="4">
        <f>IFERROR(__xludf.DUMMYFUNCTION("""COMPUTED_VALUE"""),0.208)</f>
        <v>0.208</v>
      </c>
      <c r="U37" s="4">
        <f>IFERROR(__xludf.DUMMYFUNCTION("""COMPUTED_VALUE"""),1.8)</f>
        <v>1.8</v>
      </c>
      <c r="V37" s="4">
        <f>IFERROR(__xludf.DUMMYFUNCTION("""COMPUTED_VALUE"""),0.1)</f>
        <v>0.1</v>
      </c>
    </row>
    <row r="38">
      <c r="A38" s="4">
        <f>IFERROR(__xludf.DUMMYFUNCTION("""COMPUTED_VALUE"""),33.0)</f>
        <v>33</v>
      </c>
      <c r="B38" s="4">
        <f>IFERROR(__xludf.DUMMYFUNCTION("""COMPUTED_VALUE"""),33.0)</f>
        <v>33</v>
      </c>
      <c r="C38" s="4" t="str">
        <f>IFERROR(__xludf.DUMMYFUNCTION("""COMPUTED_VALUE"""),"CHO")</f>
        <v>CHO</v>
      </c>
      <c r="D38" s="4" t="str">
        <f>IFERROR(__xludf.DUMMYFUNCTION("""COMPUTED_VALUE"""),"Sion James")</f>
        <v>Sion James</v>
      </c>
      <c r="E38" s="4" t="str">
        <f>IFERROR(__xludf.DUMMYFUNCTION("""COMPUTED_VALUE"""),"Duke")</f>
        <v>Duke</v>
      </c>
      <c r="F38" s="4">
        <f>IFERROR(__xludf.DUMMYFUNCTION("""COMPUTED_VALUE"""),1.0)</f>
        <v>1</v>
      </c>
      <c r="G38" s="4">
        <f>IFERROR(__xludf.DUMMYFUNCTION("""COMPUTED_VALUE"""),21.0)</f>
        <v>21</v>
      </c>
      <c r="H38" s="4">
        <f>IFERROR(__xludf.DUMMYFUNCTION("""COMPUTED_VALUE"""),556.0)</f>
        <v>556</v>
      </c>
      <c r="I38" s="4">
        <f>IFERROR(__xludf.DUMMYFUNCTION("""COMPUTED_VALUE"""),137.0)</f>
        <v>137</v>
      </c>
      <c r="J38" s="4">
        <f>IFERROR(__xludf.DUMMYFUNCTION("""COMPUTED_VALUE"""),68.0)</f>
        <v>68</v>
      </c>
      <c r="K38" s="4">
        <f>IFERROR(__xludf.DUMMYFUNCTION("""COMPUTED_VALUE"""),34.0)</f>
        <v>34</v>
      </c>
      <c r="L38" s="4">
        <f>IFERROR(__xludf.DUMMYFUNCTION("""COMPUTED_VALUE"""),0.411)</f>
        <v>0.411</v>
      </c>
      <c r="M38" s="4">
        <f>IFERROR(__xludf.DUMMYFUNCTION("""COMPUTED_VALUE"""),0.379)</f>
        <v>0.379</v>
      </c>
      <c r="N38" s="4">
        <f>IFERROR(__xludf.DUMMYFUNCTION("""COMPUTED_VALUE"""),0.857)</f>
        <v>0.857</v>
      </c>
      <c r="O38" s="4">
        <f>IFERROR(__xludf.DUMMYFUNCTION("""COMPUTED_VALUE"""),26.5)</f>
        <v>26.5</v>
      </c>
      <c r="P38" s="4">
        <f>IFERROR(__xludf.DUMMYFUNCTION("""COMPUTED_VALUE"""),6.5)</f>
        <v>6.5</v>
      </c>
      <c r="Q38" s="4">
        <f>IFERROR(__xludf.DUMMYFUNCTION("""COMPUTED_VALUE"""),3.2)</f>
        <v>3.2</v>
      </c>
      <c r="R38" s="4">
        <f>IFERROR(__xludf.DUMMYFUNCTION("""COMPUTED_VALUE"""),1.6)</f>
        <v>1.6</v>
      </c>
      <c r="S38" s="4">
        <f>IFERROR(__xludf.DUMMYFUNCTION("""COMPUTED_VALUE"""),0.4)</f>
        <v>0.4</v>
      </c>
      <c r="T38" s="4">
        <f>IFERROR(__xludf.DUMMYFUNCTION("""COMPUTED_VALUE"""),0.038)</f>
        <v>0.038</v>
      </c>
      <c r="U38" s="4">
        <f>IFERROR(__xludf.DUMMYFUNCTION("""COMPUTED_VALUE"""),-3.7)</f>
        <v>-3.7</v>
      </c>
      <c r="V38" s="4">
        <f>IFERROR(__xludf.DUMMYFUNCTION("""COMPUTED_VALUE"""),-0.2)</f>
        <v>-0.2</v>
      </c>
    </row>
    <row r="39">
      <c r="A39" s="4">
        <f>IFERROR(__xludf.DUMMYFUNCTION("""COMPUTED_VALUE"""),34.0)</f>
        <v>34</v>
      </c>
      <c r="B39" s="4">
        <f>IFERROR(__xludf.DUMMYFUNCTION("""COMPUTED_VALUE"""),34.0)</f>
        <v>34</v>
      </c>
      <c r="C39" s="4" t="str">
        <f>IFERROR(__xludf.DUMMYFUNCTION("""COMPUTED_VALUE"""),"CHO")</f>
        <v>CHO</v>
      </c>
      <c r="D39" s="4" t="str">
        <f>IFERROR(__xludf.DUMMYFUNCTION("""COMPUTED_VALUE"""),"Ryan Kalkbrenner")</f>
        <v>Ryan Kalkbrenner</v>
      </c>
      <c r="E39" s="4" t="str">
        <f>IFERROR(__xludf.DUMMYFUNCTION("""COMPUTED_VALUE"""),"Creighton")</f>
        <v>Creighton</v>
      </c>
      <c r="F39" s="4">
        <f>IFERROR(__xludf.DUMMYFUNCTION("""COMPUTED_VALUE"""),1.0)</f>
        <v>1</v>
      </c>
      <c r="G39" s="4">
        <f>IFERROR(__xludf.DUMMYFUNCTION("""COMPUTED_VALUE"""),19.0)</f>
        <v>19</v>
      </c>
      <c r="H39" s="4">
        <f>IFERROR(__xludf.DUMMYFUNCTION("""COMPUTED_VALUE"""),487.0)</f>
        <v>487</v>
      </c>
      <c r="I39" s="4">
        <f>IFERROR(__xludf.DUMMYFUNCTION("""COMPUTED_VALUE"""),171.0)</f>
        <v>171</v>
      </c>
      <c r="J39" s="4">
        <f>IFERROR(__xludf.DUMMYFUNCTION("""COMPUTED_VALUE"""),126.0)</f>
        <v>126</v>
      </c>
      <c r="K39" s="4">
        <f>IFERROR(__xludf.DUMMYFUNCTION("""COMPUTED_VALUE"""),9.0)</f>
        <v>9</v>
      </c>
      <c r="L39" s="4">
        <f>IFERROR(__xludf.DUMMYFUNCTION("""COMPUTED_VALUE"""),0.811)</f>
        <v>0.811</v>
      </c>
      <c r="M39" s="4">
        <f>IFERROR(__xludf.DUMMYFUNCTION("""COMPUTED_VALUE"""),0.0)</f>
        <v>0</v>
      </c>
      <c r="N39" s="4">
        <f>IFERROR(__xludf.DUMMYFUNCTION("""COMPUTED_VALUE"""),0.781)</f>
        <v>0.781</v>
      </c>
      <c r="O39" s="4">
        <f>IFERROR(__xludf.DUMMYFUNCTION("""COMPUTED_VALUE"""),25.6)</f>
        <v>25.6</v>
      </c>
      <c r="P39" s="4">
        <f>IFERROR(__xludf.DUMMYFUNCTION("""COMPUTED_VALUE"""),9.0)</f>
        <v>9</v>
      </c>
      <c r="Q39" s="4">
        <f>IFERROR(__xludf.DUMMYFUNCTION("""COMPUTED_VALUE"""),6.6)</f>
        <v>6.6</v>
      </c>
      <c r="R39" s="4">
        <f>IFERROR(__xludf.DUMMYFUNCTION("""COMPUTED_VALUE"""),0.5)</f>
        <v>0.5</v>
      </c>
      <c r="S39" s="4">
        <f>IFERROR(__xludf.DUMMYFUNCTION("""COMPUTED_VALUE"""),1.5)</f>
        <v>1.5</v>
      </c>
      <c r="T39" s="4">
        <f>IFERROR(__xludf.DUMMYFUNCTION("""COMPUTED_VALUE"""),0.151)</f>
        <v>0.151</v>
      </c>
      <c r="U39" s="4">
        <f>IFERROR(__xludf.DUMMYFUNCTION("""COMPUTED_VALUE"""),0.7)</f>
        <v>0.7</v>
      </c>
      <c r="V39" s="4">
        <f>IFERROR(__xludf.DUMMYFUNCTION("""COMPUTED_VALUE"""),0.3)</f>
        <v>0.3</v>
      </c>
    </row>
    <row r="40">
      <c r="A40" s="4">
        <f>IFERROR(__xludf.DUMMYFUNCTION("""COMPUTED_VALUE"""),35.0)</f>
        <v>35</v>
      </c>
      <c r="B40" s="4">
        <f>IFERROR(__xludf.DUMMYFUNCTION("""COMPUTED_VALUE"""),35.0)</f>
        <v>35</v>
      </c>
      <c r="C40" s="4" t="str">
        <f>IFERROR(__xludf.DUMMYFUNCTION("""COMPUTED_VALUE"""),"PHI")</f>
        <v>PHI</v>
      </c>
      <c r="D40" s="4" t="str">
        <f>IFERROR(__xludf.DUMMYFUNCTION("""COMPUTED_VALUE"""),"Johni Broome")</f>
        <v>Johni Broome</v>
      </c>
      <c r="E40" s="4" t="str">
        <f>IFERROR(__xludf.DUMMYFUNCTION("""COMPUTED_VALUE"""),"Auburn")</f>
        <v>Auburn</v>
      </c>
      <c r="F40" s="4">
        <f>IFERROR(__xludf.DUMMYFUNCTION("""COMPUTED_VALUE"""),1.0)</f>
        <v>1</v>
      </c>
      <c r="G40" s="4">
        <f>IFERROR(__xludf.DUMMYFUNCTION("""COMPUTED_VALUE"""),6.0)</f>
        <v>6</v>
      </c>
      <c r="H40" s="4">
        <f>IFERROR(__xludf.DUMMYFUNCTION("""COMPUTED_VALUE"""),39.0)</f>
        <v>39</v>
      </c>
      <c r="I40" s="4">
        <f>IFERROR(__xludf.DUMMYFUNCTION("""COMPUTED_VALUE"""),10.0)</f>
        <v>10</v>
      </c>
      <c r="J40" s="4">
        <f>IFERROR(__xludf.DUMMYFUNCTION("""COMPUTED_VALUE"""),13.0)</f>
        <v>13</v>
      </c>
      <c r="K40" s="4">
        <f>IFERROR(__xludf.DUMMYFUNCTION("""COMPUTED_VALUE"""),4.0)</f>
        <v>4</v>
      </c>
      <c r="L40" s="4">
        <f>IFERROR(__xludf.DUMMYFUNCTION("""COMPUTED_VALUE"""),0.2)</f>
        <v>0.2</v>
      </c>
      <c r="M40" s="4">
        <f>IFERROR(__xludf.DUMMYFUNCTION("""COMPUTED_VALUE"""),0.0)</f>
        <v>0</v>
      </c>
      <c r="N40" s="4">
        <f>IFERROR(__xludf.DUMMYFUNCTION("""COMPUTED_VALUE"""),0.5)</f>
        <v>0.5</v>
      </c>
      <c r="O40" s="4">
        <f>IFERROR(__xludf.DUMMYFUNCTION("""COMPUTED_VALUE"""),6.5)</f>
        <v>6.5</v>
      </c>
      <c r="P40" s="4">
        <f>IFERROR(__xludf.DUMMYFUNCTION("""COMPUTED_VALUE"""),1.7)</f>
        <v>1.7</v>
      </c>
      <c r="Q40" s="4">
        <f>IFERROR(__xludf.DUMMYFUNCTION("""COMPUTED_VALUE"""),2.2)</f>
        <v>2.2</v>
      </c>
      <c r="R40" s="4">
        <f>IFERROR(__xludf.DUMMYFUNCTION("""COMPUTED_VALUE"""),0.7)</f>
        <v>0.7</v>
      </c>
      <c r="S40" s="4">
        <f>IFERROR(__xludf.DUMMYFUNCTION("""COMPUTED_VALUE"""),-0.1)</f>
        <v>-0.1</v>
      </c>
      <c r="T40" s="4">
        <f>IFERROR(__xludf.DUMMYFUNCTION("""COMPUTED_VALUE"""),-0.178)</f>
        <v>-0.178</v>
      </c>
      <c r="U40" s="4">
        <f>IFERROR(__xludf.DUMMYFUNCTION("""COMPUTED_VALUE"""),-15.3)</f>
        <v>-15.3</v>
      </c>
      <c r="V40" s="4">
        <f>IFERROR(__xludf.DUMMYFUNCTION("""COMPUTED_VALUE"""),-0.1)</f>
        <v>-0.1</v>
      </c>
    </row>
    <row r="41">
      <c r="A41" s="4">
        <f>IFERROR(__xludf.DUMMYFUNCTION("""COMPUTED_VALUE"""),36.0)</f>
        <v>36</v>
      </c>
      <c r="B41" s="4">
        <f>IFERROR(__xludf.DUMMYFUNCTION("""COMPUTED_VALUE"""),36.0)</f>
        <v>36</v>
      </c>
      <c r="C41" s="4" t="str">
        <f>IFERROR(__xludf.DUMMYFUNCTION("""COMPUTED_VALUE"""),"BRK")</f>
        <v>BRK</v>
      </c>
      <c r="D41" s="4" t="str">
        <f>IFERROR(__xludf.DUMMYFUNCTION("""COMPUTED_VALUE"""),"Adou Thiero")</f>
        <v>Adou Thiero</v>
      </c>
      <c r="E41" s="4" t="str">
        <f>IFERROR(__xludf.DUMMYFUNCTION("""COMPUTED_VALUE"""),"Arkansas")</f>
        <v>Arkansas</v>
      </c>
      <c r="F41" s="4">
        <f>IFERROR(__xludf.DUMMYFUNCTION("""COMPUTED_VALUE"""),1.0)</f>
        <v>1</v>
      </c>
      <c r="G41" s="4">
        <f>IFERROR(__xludf.DUMMYFUNCTION("""COMPUTED_VALUE"""),5.0)</f>
        <v>5</v>
      </c>
      <c r="H41" s="4">
        <f>IFERROR(__xludf.DUMMYFUNCTION("""COMPUTED_VALUE"""),17.0)</f>
        <v>17</v>
      </c>
      <c r="I41" s="4">
        <f>IFERROR(__xludf.DUMMYFUNCTION("""COMPUTED_VALUE"""),6.0)</f>
        <v>6</v>
      </c>
      <c r="J41" s="4">
        <f>IFERROR(__xludf.DUMMYFUNCTION("""COMPUTED_VALUE"""),2.0)</f>
        <v>2</v>
      </c>
      <c r="K41" s="4">
        <f>IFERROR(__xludf.DUMMYFUNCTION("""COMPUTED_VALUE"""),0.0)</f>
        <v>0</v>
      </c>
      <c r="L41" s="4">
        <f>IFERROR(__xludf.DUMMYFUNCTION("""COMPUTED_VALUE"""),1.0)</f>
        <v>1</v>
      </c>
      <c r="M41" s="4"/>
      <c r="N41" s="4">
        <f>IFERROR(__xludf.DUMMYFUNCTION("""COMPUTED_VALUE"""),1.0)</f>
        <v>1</v>
      </c>
      <c r="O41" s="4">
        <f>IFERROR(__xludf.DUMMYFUNCTION("""COMPUTED_VALUE"""),3.4)</f>
        <v>3.4</v>
      </c>
      <c r="P41" s="4">
        <f>IFERROR(__xludf.DUMMYFUNCTION("""COMPUTED_VALUE"""),1.2)</f>
        <v>1.2</v>
      </c>
      <c r="Q41" s="4">
        <f>IFERROR(__xludf.DUMMYFUNCTION("""COMPUTED_VALUE"""),0.4)</f>
        <v>0.4</v>
      </c>
      <c r="R41" s="4">
        <f>IFERROR(__xludf.DUMMYFUNCTION("""COMPUTED_VALUE"""),0.0)</f>
        <v>0</v>
      </c>
      <c r="S41" s="4">
        <f>IFERROR(__xludf.DUMMYFUNCTION("""COMPUTED_VALUE"""),0.1)</f>
        <v>0.1</v>
      </c>
      <c r="T41" s="4">
        <f>IFERROR(__xludf.DUMMYFUNCTION("""COMPUTED_VALUE"""),0.165)</f>
        <v>0.165</v>
      </c>
      <c r="U41" s="4">
        <f>IFERROR(__xludf.DUMMYFUNCTION("""COMPUTED_VALUE"""),-1.5)</f>
        <v>-1.5</v>
      </c>
      <c r="V41" s="4">
        <f>IFERROR(__xludf.DUMMYFUNCTION("""COMPUTED_VALUE"""),0.0)</f>
        <v>0</v>
      </c>
    </row>
    <row r="42">
      <c r="A42" s="4">
        <f>IFERROR(__xludf.DUMMYFUNCTION("""COMPUTED_VALUE"""),37.0)</f>
        <v>37</v>
      </c>
      <c r="B42" s="4">
        <f>IFERROR(__xludf.DUMMYFUNCTION("""COMPUTED_VALUE"""),37.0)</f>
        <v>37</v>
      </c>
      <c r="C42" s="4" t="str">
        <f>IFERROR(__xludf.DUMMYFUNCTION("""COMPUTED_VALUE"""),"DET")</f>
        <v>DET</v>
      </c>
      <c r="D42" s="4" t="str">
        <f>IFERROR(__xludf.DUMMYFUNCTION("""COMPUTED_VALUE"""),"Chaz Lanier")</f>
        <v>Chaz Lanier</v>
      </c>
      <c r="E42" s="4" t="str">
        <f>IFERROR(__xludf.DUMMYFUNCTION("""COMPUTED_VALUE"""),"Tennessee")</f>
        <v>Tennessee</v>
      </c>
      <c r="F42" s="4">
        <f>IFERROR(__xludf.DUMMYFUNCTION("""COMPUTED_VALUE"""),1.0)</f>
        <v>1</v>
      </c>
      <c r="G42" s="4">
        <f>IFERROR(__xludf.DUMMYFUNCTION("""COMPUTED_VALUE"""),12.0)</f>
        <v>12</v>
      </c>
      <c r="H42" s="4">
        <f>IFERROR(__xludf.DUMMYFUNCTION("""COMPUTED_VALUE"""),130.0)</f>
        <v>130</v>
      </c>
      <c r="I42" s="4">
        <f>IFERROR(__xludf.DUMMYFUNCTION("""COMPUTED_VALUE"""),43.0)</f>
        <v>43</v>
      </c>
      <c r="J42" s="4">
        <f>IFERROR(__xludf.DUMMYFUNCTION("""COMPUTED_VALUE"""),14.0)</f>
        <v>14</v>
      </c>
      <c r="K42" s="4">
        <f>IFERROR(__xludf.DUMMYFUNCTION("""COMPUTED_VALUE"""),10.0)</f>
        <v>10</v>
      </c>
      <c r="L42" s="4">
        <f>IFERROR(__xludf.DUMMYFUNCTION("""COMPUTED_VALUE"""),0.35)</f>
        <v>0.35</v>
      </c>
      <c r="M42" s="4">
        <f>IFERROR(__xludf.DUMMYFUNCTION("""COMPUTED_VALUE"""),0.333)</f>
        <v>0.333</v>
      </c>
      <c r="N42" s="4">
        <f>IFERROR(__xludf.DUMMYFUNCTION("""COMPUTED_VALUE"""),1.0)</f>
        <v>1</v>
      </c>
      <c r="O42" s="4">
        <f>IFERROR(__xludf.DUMMYFUNCTION("""COMPUTED_VALUE"""),10.8)</f>
        <v>10.8</v>
      </c>
      <c r="P42" s="4">
        <f>IFERROR(__xludf.DUMMYFUNCTION("""COMPUTED_VALUE"""),3.6)</f>
        <v>3.6</v>
      </c>
      <c r="Q42" s="4">
        <f>IFERROR(__xludf.DUMMYFUNCTION("""COMPUTED_VALUE"""),1.2)</f>
        <v>1.2</v>
      </c>
      <c r="R42" s="4">
        <f>IFERROR(__xludf.DUMMYFUNCTION("""COMPUTED_VALUE"""),0.8)</f>
        <v>0.8</v>
      </c>
      <c r="S42" s="4">
        <f>IFERROR(__xludf.DUMMYFUNCTION("""COMPUTED_VALUE"""),0.3)</f>
        <v>0.3</v>
      </c>
      <c r="T42" s="4">
        <f>IFERROR(__xludf.DUMMYFUNCTION("""COMPUTED_VALUE"""),0.107)</f>
        <v>0.107</v>
      </c>
      <c r="U42" s="4">
        <f>IFERROR(__xludf.DUMMYFUNCTION("""COMPUTED_VALUE"""),-1.5)</f>
        <v>-1.5</v>
      </c>
      <c r="V42" s="4">
        <f>IFERROR(__xludf.DUMMYFUNCTION("""COMPUTED_VALUE"""),0.0)</f>
        <v>0</v>
      </c>
    </row>
    <row r="43">
      <c r="A43" s="4">
        <f>IFERROR(__xludf.DUMMYFUNCTION("""COMPUTED_VALUE"""),38.0)</f>
        <v>38</v>
      </c>
      <c r="B43" s="4">
        <f>IFERROR(__xludf.DUMMYFUNCTION("""COMPUTED_VALUE"""),38.0)</f>
        <v>38</v>
      </c>
      <c r="C43" s="4" t="str">
        <f>IFERROR(__xludf.DUMMYFUNCTION("""COMPUTED_VALUE"""),"SAS")</f>
        <v>SAS</v>
      </c>
      <c r="D43" s="4" t="str">
        <f>IFERROR(__xludf.DUMMYFUNCTION("""COMPUTED_VALUE"""),"Kam Jones")</f>
        <v>Kam Jones</v>
      </c>
      <c r="E43" s="4" t="str">
        <f>IFERROR(__xludf.DUMMYFUNCTION("""COMPUTED_VALUE"""),"Marquette")</f>
        <v>Marquette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>
        <f>IFERROR(__xludf.DUMMYFUNCTION("""COMPUTED_VALUE"""),39.0)</f>
        <v>39</v>
      </c>
      <c r="B44" s="4">
        <f>IFERROR(__xludf.DUMMYFUNCTION("""COMPUTED_VALUE"""),39.0)</f>
        <v>39</v>
      </c>
      <c r="C44" s="4" t="str">
        <f>IFERROR(__xludf.DUMMYFUNCTION("""COMPUTED_VALUE"""),"TOR")</f>
        <v>TOR</v>
      </c>
      <c r="D44" s="4" t="str">
        <f>IFERROR(__xludf.DUMMYFUNCTION("""COMPUTED_VALUE"""),"Alijah Martin")</f>
        <v>Alijah Martin</v>
      </c>
      <c r="E44" s="4" t="str">
        <f>IFERROR(__xludf.DUMMYFUNCTION("""COMPUTED_VALUE"""),"Florida")</f>
        <v>Florida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>
        <f>IFERROR(__xludf.DUMMYFUNCTION("""COMPUTED_VALUE"""),40.0)</f>
        <v>40</v>
      </c>
      <c r="B45" s="4">
        <f>IFERROR(__xludf.DUMMYFUNCTION("""COMPUTED_VALUE"""),40.0)</f>
        <v>40</v>
      </c>
      <c r="C45" s="4" t="str">
        <f>IFERROR(__xludf.DUMMYFUNCTION("""COMPUTED_VALUE"""),"WAS")</f>
        <v>WAS</v>
      </c>
      <c r="D45" s="4" t="str">
        <f>IFERROR(__xludf.DUMMYFUNCTION("""COMPUTED_VALUE"""),"Micah Peavy")</f>
        <v>Micah Peavy</v>
      </c>
      <c r="E45" s="4" t="str">
        <f>IFERROR(__xludf.DUMMYFUNCTION("""COMPUTED_VALUE"""),"Georgetown")</f>
        <v>Georgetown</v>
      </c>
      <c r="F45" s="4">
        <f>IFERROR(__xludf.DUMMYFUNCTION("""COMPUTED_VALUE"""),1.0)</f>
        <v>1</v>
      </c>
      <c r="G45" s="4">
        <f>IFERROR(__xludf.DUMMYFUNCTION("""COMPUTED_VALUE"""),18.0)</f>
        <v>18</v>
      </c>
      <c r="H45" s="4">
        <f>IFERROR(__xludf.DUMMYFUNCTION("""COMPUTED_VALUE"""),298.0)</f>
        <v>298</v>
      </c>
      <c r="I45" s="4">
        <f>IFERROR(__xludf.DUMMYFUNCTION("""COMPUTED_VALUE"""),96.0)</f>
        <v>96</v>
      </c>
      <c r="J45" s="4">
        <f>IFERROR(__xludf.DUMMYFUNCTION("""COMPUTED_VALUE"""),45.0)</f>
        <v>45</v>
      </c>
      <c r="K45" s="4">
        <f>IFERROR(__xludf.DUMMYFUNCTION("""COMPUTED_VALUE"""),20.0)</f>
        <v>20</v>
      </c>
      <c r="L45" s="4">
        <f>IFERROR(__xludf.DUMMYFUNCTION("""COMPUTED_VALUE"""),0.421)</f>
        <v>0.421</v>
      </c>
      <c r="M45" s="4">
        <f>IFERROR(__xludf.DUMMYFUNCTION("""COMPUTED_VALUE"""),0.194)</f>
        <v>0.194</v>
      </c>
      <c r="N45" s="4">
        <f>IFERROR(__xludf.DUMMYFUNCTION("""COMPUTED_VALUE"""),0.714)</f>
        <v>0.714</v>
      </c>
      <c r="O45" s="4">
        <f>IFERROR(__xludf.DUMMYFUNCTION("""COMPUTED_VALUE"""),16.6)</f>
        <v>16.6</v>
      </c>
      <c r="P45" s="4">
        <f>IFERROR(__xludf.DUMMYFUNCTION("""COMPUTED_VALUE"""),5.3)</f>
        <v>5.3</v>
      </c>
      <c r="Q45" s="4">
        <f>IFERROR(__xludf.DUMMYFUNCTION("""COMPUTED_VALUE"""),2.5)</f>
        <v>2.5</v>
      </c>
      <c r="R45" s="4">
        <f>IFERROR(__xludf.DUMMYFUNCTION("""COMPUTED_VALUE"""),1.1)</f>
        <v>1.1</v>
      </c>
      <c r="S45" s="4">
        <f>IFERROR(__xludf.DUMMYFUNCTION("""COMPUTED_VALUE"""),0.1)</f>
        <v>0.1</v>
      </c>
      <c r="T45" s="4">
        <f>IFERROR(__xludf.DUMMYFUNCTION("""COMPUTED_VALUE"""),0.015)</f>
        <v>0.015</v>
      </c>
      <c r="U45" s="4">
        <f>IFERROR(__xludf.DUMMYFUNCTION("""COMPUTED_VALUE"""),-5.1)</f>
        <v>-5.1</v>
      </c>
      <c r="V45" s="4">
        <f>IFERROR(__xludf.DUMMYFUNCTION("""COMPUTED_VALUE"""),-0.2)</f>
        <v>-0.2</v>
      </c>
    </row>
    <row r="46">
      <c r="A46" s="4">
        <f>IFERROR(__xludf.DUMMYFUNCTION("""COMPUTED_VALUE"""),41.0)</f>
        <v>41</v>
      </c>
      <c r="B46" s="4">
        <f>IFERROR(__xludf.DUMMYFUNCTION("""COMPUTED_VALUE"""),41.0)</f>
        <v>41</v>
      </c>
      <c r="C46" s="4" t="str">
        <f>IFERROR(__xludf.DUMMYFUNCTION("""COMPUTED_VALUE"""),"GSW")</f>
        <v>GSW</v>
      </c>
      <c r="D46" s="4" t="str">
        <f>IFERROR(__xludf.DUMMYFUNCTION("""COMPUTED_VALUE"""),"Koby Brea")</f>
        <v>Koby Brea</v>
      </c>
      <c r="E46" s="4" t="str">
        <f>IFERROR(__xludf.DUMMYFUNCTION("""COMPUTED_VALUE"""),"Kentucky")</f>
        <v>Kentucky</v>
      </c>
      <c r="F46" s="4">
        <f>IFERROR(__xludf.DUMMYFUNCTION("""COMPUTED_VALUE"""),1.0)</f>
        <v>1</v>
      </c>
      <c r="G46" s="4">
        <f>IFERROR(__xludf.DUMMYFUNCTION("""COMPUTED_VALUE"""),2.0)</f>
        <v>2</v>
      </c>
      <c r="H46" s="4">
        <f>IFERROR(__xludf.DUMMYFUNCTION("""COMPUTED_VALUE"""),8.0)</f>
        <v>8</v>
      </c>
      <c r="I46" s="4">
        <f>IFERROR(__xludf.DUMMYFUNCTION("""COMPUTED_VALUE"""),4.0)</f>
        <v>4</v>
      </c>
      <c r="J46" s="4">
        <f>IFERROR(__xludf.DUMMYFUNCTION("""COMPUTED_VALUE"""),1.0)</f>
        <v>1</v>
      </c>
      <c r="K46" s="4">
        <f>IFERROR(__xludf.DUMMYFUNCTION("""COMPUTED_VALUE"""),2.0)</f>
        <v>2</v>
      </c>
      <c r="L46" s="4">
        <f>IFERROR(__xludf.DUMMYFUNCTION("""COMPUTED_VALUE"""),0.333)</f>
        <v>0.333</v>
      </c>
      <c r="M46" s="4">
        <f>IFERROR(__xludf.DUMMYFUNCTION("""COMPUTED_VALUE"""),0.0)</f>
        <v>0</v>
      </c>
      <c r="N46" s="4">
        <f>IFERROR(__xludf.DUMMYFUNCTION("""COMPUTED_VALUE"""),1.0)</f>
        <v>1</v>
      </c>
      <c r="O46" s="4">
        <f>IFERROR(__xludf.DUMMYFUNCTION("""COMPUTED_VALUE"""),4.0)</f>
        <v>4</v>
      </c>
      <c r="P46" s="4">
        <f>IFERROR(__xludf.DUMMYFUNCTION("""COMPUTED_VALUE"""),2.0)</f>
        <v>2</v>
      </c>
      <c r="Q46" s="4">
        <f>IFERROR(__xludf.DUMMYFUNCTION("""COMPUTED_VALUE"""),0.5)</f>
        <v>0.5</v>
      </c>
      <c r="R46" s="4">
        <f>IFERROR(__xludf.DUMMYFUNCTION("""COMPUTED_VALUE"""),1.0)</f>
        <v>1</v>
      </c>
      <c r="S46" s="4">
        <f>IFERROR(__xludf.DUMMYFUNCTION("""COMPUTED_VALUE"""),0.0)</f>
        <v>0</v>
      </c>
      <c r="T46" s="4">
        <f>IFERROR(__xludf.DUMMYFUNCTION("""COMPUTED_VALUE"""),0.2)</f>
        <v>0.2</v>
      </c>
      <c r="U46" s="4">
        <f>IFERROR(__xludf.DUMMYFUNCTION("""COMPUTED_VALUE"""),-3.0)</f>
        <v>-3</v>
      </c>
      <c r="V46" s="4">
        <f>IFERROR(__xludf.DUMMYFUNCTION("""COMPUTED_VALUE"""),0.0)</f>
        <v>0</v>
      </c>
    </row>
    <row r="47">
      <c r="A47" s="4">
        <f>IFERROR(__xludf.DUMMYFUNCTION("""COMPUTED_VALUE"""),42.0)</f>
        <v>42</v>
      </c>
      <c r="B47" s="4">
        <f>IFERROR(__xludf.DUMMYFUNCTION("""COMPUTED_VALUE"""),42.0)</f>
        <v>42</v>
      </c>
      <c r="C47" s="4" t="str">
        <f>IFERROR(__xludf.DUMMYFUNCTION("""COMPUTED_VALUE"""),"SAC")</f>
        <v>SAC</v>
      </c>
      <c r="D47" s="4" t="str">
        <f>IFERROR(__xludf.DUMMYFUNCTION("""COMPUTED_VALUE"""),"Maxime Raynaud")</f>
        <v>Maxime Raynaud</v>
      </c>
      <c r="E47" s="4" t="str">
        <f>IFERROR(__xludf.DUMMYFUNCTION("""COMPUTED_VALUE"""),"Stanford")</f>
        <v>Stanford</v>
      </c>
      <c r="F47" s="4">
        <f>IFERROR(__xludf.DUMMYFUNCTION("""COMPUTED_VALUE"""),1.0)</f>
        <v>1</v>
      </c>
      <c r="G47" s="4">
        <f>IFERROR(__xludf.DUMMYFUNCTION("""COMPUTED_VALUE"""),13.0)</f>
        <v>13</v>
      </c>
      <c r="H47" s="4">
        <f>IFERROR(__xludf.DUMMYFUNCTION("""COMPUTED_VALUE"""),189.0)</f>
        <v>189</v>
      </c>
      <c r="I47" s="4">
        <f>IFERROR(__xludf.DUMMYFUNCTION("""COMPUTED_VALUE"""),80.0)</f>
        <v>80</v>
      </c>
      <c r="J47" s="4">
        <f>IFERROR(__xludf.DUMMYFUNCTION("""COMPUTED_VALUE"""),46.0)</f>
        <v>46</v>
      </c>
      <c r="K47" s="4">
        <f>IFERROR(__xludf.DUMMYFUNCTION("""COMPUTED_VALUE"""),9.0)</f>
        <v>9</v>
      </c>
      <c r="L47" s="4">
        <f>IFERROR(__xludf.DUMMYFUNCTION("""COMPUTED_VALUE"""),0.477)</f>
        <v>0.477</v>
      </c>
      <c r="M47" s="4">
        <f>IFERROR(__xludf.DUMMYFUNCTION("""COMPUTED_VALUE"""),0.222)</f>
        <v>0.222</v>
      </c>
      <c r="N47" s="4">
        <f>IFERROR(__xludf.DUMMYFUNCTION("""COMPUTED_VALUE"""),0.8)</f>
        <v>0.8</v>
      </c>
      <c r="O47" s="4">
        <f>IFERROR(__xludf.DUMMYFUNCTION("""COMPUTED_VALUE"""),14.5)</f>
        <v>14.5</v>
      </c>
      <c r="P47" s="4">
        <f>IFERROR(__xludf.DUMMYFUNCTION("""COMPUTED_VALUE"""),6.2)</f>
        <v>6.2</v>
      </c>
      <c r="Q47" s="4">
        <f>IFERROR(__xludf.DUMMYFUNCTION("""COMPUTED_VALUE"""),3.5)</f>
        <v>3.5</v>
      </c>
      <c r="R47" s="4">
        <f>IFERROR(__xludf.DUMMYFUNCTION("""COMPUTED_VALUE"""),0.7)</f>
        <v>0.7</v>
      </c>
      <c r="S47" s="4">
        <f>IFERROR(__xludf.DUMMYFUNCTION("""COMPUTED_VALUE"""),0.1)</f>
        <v>0.1</v>
      </c>
      <c r="T47" s="4">
        <f>IFERROR(__xludf.DUMMYFUNCTION("""COMPUTED_VALUE"""),0.037)</f>
        <v>0.037</v>
      </c>
      <c r="U47" s="4">
        <f>IFERROR(__xludf.DUMMYFUNCTION("""COMPUTED_VALUE"""),-5.0)</f>
        <v>-5</v>
      </c>
      <c r="V47" s="4">
        <f>IFERROR(__xludf.DUMMYFUNCTION("""COMPUTED_VALUE"""),-0.1)</f>
        <v>-0.1</v>
      </c>
    </row>
    <row r="48">
      <c r="A48" s="4">
        <f>IFERROR(__xludf.DUMMYFUNCTION("""COMPUTED_VALUE"""),43.0)</f>
        <v>43</v>
      </c>
      <c r="B48" s="4">
        <f>IFERROR(__xludf.DUMMYFUNCTION("""COMPUTED_VALUE"""),43.0)</f>
        <v>43</v>
      </c>
      <c r="C48" s="4" t="str">
        <f>IFERROR(__xludf.DUMMYFUNCTION("""COMPUTED_VALUE"""),"UTA")</f>
        <v>UTA</v>
      </c>
      <c r="D48" s="4" t="str">
        <f>IFERROR(__xludf.DUMMYFUNCTION("""COMPUTED_VALUE"""),"Jamir Watkins")</f>
        <v>Jamir Watkins</v>
      </c>
      <c r="E48" s="4" t="str">
        <f>IFERROR(__xludf.DUMMYFUNCTION("""COMPUTED_VALUE"""),"Florida State")</f>
        <v>Florida State</v>
      </c>
      <c r="F48" s="4">
        <f>IFERROR(__xludf.DUMMYFUNCTION("""COMPUTED_VALUE"""),1.0)</f>
        <v>1</v>
      </c>
      <c r="G48" s="4">
        <f>IFERROR(__xludf.DUMMYFUNCTION("""COMPUTED_VALUE"""),5.0)</f>
        <v>5</v>
      </c>
      <c r="H48" s="4">
        <f>IFERROR(__xludf.DUMMYFUNCTION("""COMPUTED_VALUE"""),33.0)</f>
        <v>33</v>
      </c>
      <c r="I48" s="4">
        <f>IFERROR(__xludf.DUMMYFUNCTION("""COMPUTED_VALUE"""),11.0)</f>
        <v>11</v>
      </c>
      <c r="J48" s="4">
        <f>IFERROR(__xludf.DUMMYFUNCTION("""COMPUTED_VALUE"""),6.0)</f>
        <v>6</v>
      </c>
      <c r="K48" s="4">
        <f>IFERROR(__xludf.DUMMYFUNCTION("""COMPUTED_VALUE"""),0.0)</f>
        <v>0</v>
      </c>
      <c r="L48" s="4">
        <f>IFERROR(__xludf.DUMMYFUNCTION("""COMPUTED_VALUE"""),0.5)</f>
        <v>0.5</v>
      </c>
      <c r="M48" s="4">
        <f>IFERROR(__xludf.DUMMYFUNCTION("""COMPUTED_VALUE"""),0.25)</f>
        <v>0.25</v>
      </c>
      <c r="N48" s="4">
        <f>IFERROR(__xludf.DUMMYFUNCTION("""COMPUTED_VALUE"""),1.0)</f>
        <v>1</v>
      </c>
      <c r="O48" s="4">
        <f>IFERROR(__xludf.DUMMYFUNCTION("""COMPUTED_VALUE"""),6.6)</f>
        <v>6.6</v>
      </c>
      <c r="P48" s="4">
        <f>IFERROR(__xludf.DUMMYFUNCTION("""COMPUTED_VALUE"""),2.2)</f>
        <v>2.2</v>
      </c>
      <c r="Q48" s="4">
        <f>IFERROR(__xludf.DUMMYFUNCTION("""COMPUTED_VALUE"""),1.2)</f>
        <v>1.2</v>
      </c>
      <c r="R48" s="4">
        <f>IFERROR(__xludf.DUMMYFUNCTION("""COMPUTED_VALUE"""),0.0)</f>
        <v>0</v>
      </c>
      <c r="S48" s="4">
        <f>IFERROR(__xludf.DUMMYFUNCTION("""COMPUTED_VALUE"""),0.0)</f>
        <v>0</v>
      </c>
      <c r="T48" s="4">
        <f>IFERROR(__xludf.DUMMYFUNCTION("""COMPUTED_VALUE"""),0.024)</f>
        <v>0.024</v>
      </c>
      <c r="U48" s="4">
        <f>IFERROR(__xludf.DUMMYFUNCTION("""COMPUTED_VALUE"""),-9.9)</f>
        <v>-9.9</v>
      </c>
      <c r="V48" s="4">
        <f>IFERROR(__xludf.DUMMYFUNCTION("""COMPUTED_VALUE"""),-0.1)</f>
        <v>-0.1</v>
      </c>
    </row>
    <row r="49">
      <c r="A49" s="4">
        <f>IFERROR(__xludf.DUMMYFUNCTION("""COMPUTED_VALUE"""),44.0)</f>
        <v>44</v>
      </c>
      <c r="B49" s="4">
        <f>IFERROR(__xludf.DUMMYFUNCTION("""COMPUTED_VALUE"""),44.0)</f>
        <v>44</v>
      </c>
      <c r="C49" s="4" t="str">
        <f>IFERROR(__xludf.DUMMYFUNCTION("""COMPUTED_VALUE"""),"OKC")</f>
        <v>OKC</v>
      </c>
      <c r="D49" s="4" t="str">
        <f>IFERROR(__xludf.DUMMYFUNCTION("""COMPUTED_VALUE"""),"Brooks Barnhizer")</f>
        <v>Brooks Barnhizer</v>
      </c>
      <c r="E49" s="4" t="str">
        <f>IFERROR(__xludf.DUMMYFUNCTION("""COMPUTED_VALUE"""),"Northwestern")</f>
        <v>Northwestern</v>
      </c>
      <c r="F49" s="4">
        <f>IFERROR(__xludf.DUMMYFUNCTION("""COMPUTED_VALUE"""),1.0)</f>
        <v>1</v>
      </c>
      <c r="G49" s="4">
        <f>IFERROR(__xludf.DUMMYFUNCTION("""COMPUTED_VALUE"""),15.0)</f>
        <v>15</v>
      </c>
      <c r="H49" s="4">
        <f>IFERROR(__xludf.DUMMYFUNCTION("""COMPUTED_VALUE"""),112.0)</f>
        <v>112</v>
      </c>
      <c r="I49" s="4">
        <f>IFERROR(__xludf.DUMMYFUNCTION("""COMPUTED_VALUE"""),21.0)</f>
        <v>21</v>
      </c>
      <c r="J49" s="4">
        <f>IFERROR(__xludf.DUMMYFUNCTION("""COMPUTED_VALUE"""),31.0)</f>
        <v>31</v>
      </c>
      <c r="K49" s="4">
        <f>IFERROR(__xludf.DUMMYFUNCTION("""COMPUTED_VALUE"""),5.0)</f>
        <v>5</v>
      </c>
      <c r="L49" s="4">
        <f>IFERROR(__xludf.DUMMYFUNCTION("""COMPUTED_VALUE"""),0.529)</f>
        <v>0.529</v>
      </c>
      <c r="M49" s="4">
        <f>IFERROR(__xludf.DUMMYFUNCTION("""COMPUTED_VALUE"""),0.5)</f>
        <v>0.5</v>
      </c>
      <c r="N49" s="4">
        <f>IFERROR(__xludf.DUMMYFUNCTION("""COMPUTED_VALUE"""),0.5)</f>
        <v>0.5</v>
      </c>
      <c r="O49" s="4">
        <f>IFERROR(__xludf.DUMMYFUNCTION("""COMPUTED_VALUE"""),7.5)</f>
        <v>7.5</v>
      </c>
      <c r="P49" s="4">
        <f>IFERROR(__xludf.DUMMYFUNCTION("""COMPUTED_VALUE"""),1.4)</f>
        <v>1.4</v>
      </c>
      <c r="Q49" s="4">
        <f>IFERROR(__xludf.DUMMYFUNCTION("""COMPUTED_VALUE"""),2.1)</f>
        <v>2.1</v>
      </c>
      <c r="R49" s="4">
        <f>IFERROR(__xludf.DUMMYFUNCTION("""COMPUTED_VALUE"""),0.3)</f>
        <v>0.3</v>
      </c>
      <c r="S49" s="4">
        <f>IFERROR(__xludf.DUMMYFUNCTION("""COMPUTED_VALUE"""),0.3)</f>
        <v>0.3</v>
      </c>
      <c r="T49" s="4">
        <f>IFERROR(__xludf.DUMMYFUNCTION("""COMPUTED_VALUE"""),0.142)</f>
        <v>0.142</v>
      </c>
      <c r="U49" s="4">
        <f>IFERROR(__xludf.DUMMYFUNCTION("""COMPUTED_VALUE"""),-1.2)</f>
        <v>-1.2</v>
      </c>
      <c r="V49" s="4">
        <f>IFERROR(__xludf.DUMMYFUNCTION("""COMPUTED_VALUE"""),0.0)</f>
        <v>0</v>
      </c>
    </row>
    <row r="50">
      <c r="A50" s="4">
        <f>IFERROR(__xludf.DUMMYFUNCTION("""COMPUTED_VALUE"""),45.0)</f>
        <v>45</v>
      </c>
      <c r="B50" s="4">
        <f>IFERROR(__xludf.DUMMYFUNCTION("""COMPUTED_VALUE"""),45.0)</f>
        <v>45</v>
      </c>
      <c r="C50" s="4" t="str">
        <f>IFERROR(__xludf.DUMMYFUNCTION("""COMPUTED_VALUE"""),"CHI")</f>
        <v>CHI</v>
      </c>
      <c r="D50" s="4" t="str">
        <f>IFERROR(__xludf.DUMMYFUNCTION("""COMPUTED_VALUE"""),"Rocco Zikarsky")</f>
        <v>Rocco Zikarsky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>
        <f>IFERROR(__xludf.DUMMYFUNCTION("""COMPUTED_VALUE"""),46.0)</f>
        <v>46</v>
      </c>
      <c r="B51" s="4">
        <f>IFERROR(__xludf.DUMMYFUNCTION("""COMPUTED_VALUE"""),46.0)</f>
        <v>46</v>
      </c>
      <c r="C51" s="4" t="str">
        <f>IFERROR(__xludf.DUMMYFUNCTION("""COMPUTED_VALUE"""),"ORL")</f>
        <v>ORL</v>
      </c>
      <c r="D51" s="4" t="str">
        <f>IFERROR(__xludf.DUMMYFUNCTION("""COMPUTED_VALUE"""),"Amari Williams")</f>
        <v>Amari Williams</v>
      </c>
      <c r="E51" s="4" t="str">
        <f>IFERROR(__xludf.DUMMYFUNCTION("""COMPUTED_VALUE"""),"Kentucky")</f>
        <v>Kentucky</v>
      </c>
      <c r="F51" s="4">
        <f>IFERROR(__xludf.DUMMYFUNCTION("""COMPUTED_VALUE"""),1.0)</f>
        <v>1</v>
      </c>
      <c r="G51" s="4">
        <f>IFERROR(__xludf.DUMMYFUNCTION("""COMPUTED_VALUE"""),5.0)</f>
        <v>5</v>
      </c>
      <c r="H51" s="4">
        <f>IFERROR(__xludf.DUMMYFUNCTION("""COMPUTED_VALUE"""),29.0)</f>
        <v>29</v>
      </c>
      <c r="I51" s="4">
        <f>IFERROR(__xludf.DUMMYFUNCTION("""COMPUTED_VALUE"""),3.0)</f>
        <v>3</v>
      </c>
      <c r="J51" s="4">
        <f>IFERROR(__xludf.DUMMYFUNCTION("""COMPUTED_VALUE"""),7.0)</f>
        <v>7</v>
      </c>
      <c r="K51" s="4">
        <f>IFERROR(__xludf.DUMMYFUNCTION("""COMPUTED_VALUE"""),1.0)</f>
        <v>1</v>
      </c>
      <c r="L51" s="4">
        <f>IFERROR(__xludf.DUMMYFUNCTION("""COMPUTED_VALUE"""),0.5)</f>
        <v>0.5</v>
      </c>
      <c r="M51" s="4"/>
      <c r="N51" s="4">
        <f>IFERROR(__xludf.DUMMYFUNCTION("""COMPUTED_VALUE"""),0.5)</f>
        <v>0.5</v>
      </c>
      <c r="O51" s="4">
        <f>IFERROR(__xludf.DUMMYFUNCTION("""COMPUTED_VALUE"""),5.8)</f>
        <v>5.8</v>
      </c>
      <c r="P51" s="4">
        <f>IFERROR(__xludf.DUMMYFUNCTION("""COMPUTED_VALUE"""),0.6)</f>
        <v>0.6</v>
      </c>
      <c r="Q51" s="4">
        <f>IFERROR(__xludf.DUMMYFUNCTION("""COMPUTED_VALUE"""),1.4)</f>
        <v>1.4</v>
      </c>
      <c r="R51" s="4">
        <f>IFERROR(__xludf.DUMMYFUNCTION("""COMPUTED_VALUE"""),0.2)</f>
        <v>0.2</v>
      </c>
      <c r="S51" s="4">
        <f>IFERROR(__xludf.DUMMYFUNCTION("""COMPUTED_VALUE"""),0.1)</f>
        <v>0.1</v>
      </c>
      <c r="T51" s="4">
        <f>IFERROR(__xludf.DUMMYFUNCTION("""COMPUTED_VALUE"""),0.126)</f>
        <v>0.126</v>
      </c>
      <c r="U51" s="4">
        <f>IFERROR(__xludf.DUMMYFUNCTION("""COMPUTED_VALUE"""),-1.4)</f>
        <v>-1.4</v>
      </c>
      <c r="V51" s="4">
        <f>IFERROR(__xludf.DUMMYFUNCTION("""COMPUTED_VALUE"""),0.0)</f>
        <v>0</v>
      </c>
    </row>
    <row r="52">
      <c r="A52" s="4">
        <f>IFERROR(__xludf.DUMMYFUNCTION("""COMPUTED_VALUE"""),47.0)</f>
        <v>47</v>
      </c>
      <c r="B52" s="4">
        <f>IFERROR(__xludf.DUMMYFUNCTION("""COMPUTED_VALUE"""),47.0)</f>
        <v>47</v>
      </c>
      <c r="C52" s="4" t="str">
        <f>IFERROR(__xludf.DUMMYFUNCTION("""COMPUTED_VALUE"""),"MIL")</f>
        <v>MIL</v>
      </c>
      <c r="D52" s="4" t="str">
        <f>IFERROR(__xludf.DUMMYFUNCTION("""COMPUTED_VALUE"""),"Bogoljub Markovic")</f>
        <v>Bogoljub Markovic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>
        <f>IFERROR(__xludf.DUMMYFUNCTION("""COMPUTED_VALUE"""),48.0)</f>
        <v>48</v>
      </c>
      <c r="B53" s="4">
        <f>IFERROR(__xludf.DUMMYFUNCTION("""COMPUTED_VALUE"""),48.0)</f>
        <v>48</v>
      </c>
      <c r="C53" s="4" t="str">
        <f>IFERROR(__xludf.DUMMYFUNCTION("""COMPUTED_VALUE"""),"MEM")</f>
        <v>MEM</v>
      </c>
      <c r="D53" s="4" t="str">
        <f>IFERROR(__xludf.DUMMYFUNCTION("""COMPUTED_VALUE"""),"Javon Small")</f>
        <v>Javon Small</v>
      </c>
      <c r="E53" s="4" t="str">
        <f>IFERROR(__xludf.DUMMYFUNCTION("""COMPUTED_VALUE"""),"West Virginia")</f>
        <v>West Virginia</v>
      </c>
      <c r="F53" s="4">
        <f>IFERROR(__xludf.DUMMYFUNCTION("""COMPUTED_VALUE"""),1.0)</f>
        <v>1</v>
      </c>
      <c r="G53" s="4">
        <f>IFERROR(__xludf.DUMMYFUNCTION("""COMPUTED_VALUE"""),8.0)</f>
        <v>8</v>
      </c>
      <c r="H53" s="4">
        <f>IFERROR(__xludf.DUMMYFUNCTION("""COMPUTED_VALUE"""),99.0)</f>
        <v>99</v>
      </c>
      <c r="I53" s="4">
        <f>IFERROR(__xludf.DUMMYFUNCTION("""COMPUTED_VALUE"""),34.0)</f>
        <v>34</v>
      </c>
      <c r="J53" s="4">
        <f>IFERROR(__xludf.DUMMYFUNCTION("""COMPUTED_VALUE"""),8.0)</f>
        <v>8</v>
      </c>
      <c r="K53" s="4">
        <f>IFERROR(__xludf.DUMMYFUNCTION("""COMPUTED_VALUE"""),22.0)</f>
        <v>22</v>
      </c>
      <c r="L53" s="4">
        <f>IFERROR(__xludf.DUMMYFUNCTION("""COMPUTED_VALUE"""),0.357)</f>
        <v>0.357</v>
      </c>
      <c r="M53" s="4">
        <f>IFERROR(__xludf.DUMMYFUNCTION("""COMPUTED_VALUE"""),0.316)</f>
        <v>0.316</v>
      </c>
      <c r="N53" s="4">
        <f>IFERROR(__xludf.DUMMYFUNCTION("""COMPUTED_VALUE"""),0.8)</f>
        <v>0.8</v>
      </c>
      <c r="O53" s="4">
        <f>IFERROR(__xludf.DUMMYFUNCTION("""COMPUTED_VALUE"""),12.4)</f>
        <v>12.4</v>
      </c>
      <c r="P53" s="4">
        <f>IFERROR(__xludf.DUMMYFUNCTION("""COMPUTED_VALUE"""),4.3)</f>
        <v>4.3</v>
      </c>
      <c r="Q53" s="4">
        <f>IFERROR(__xludf.DUMMYFUNCTION("""COMPUTED_VALUE"""),1.0)</f>
        <v>1</v>
      </c>
      <c r="R53" s="4">
        <f>IFERROR(__xludf.DUMMYFUNCTION("""COMPUTED_VALUE"""),2.8)</f>
        <v>2.8</v>
      </c>
      <c r="S53" s="4">
        <f>IFERROR(__xludf.DUMMYFUNCTION("""COMPUTED_VALUE"""),0.1)</f>
        <v>0.1</v>
      </c>
      <c r="T53" s="4">
        <f>IFERROR(__xludf.DUMMYFUNCTION("""COMPUTED_VALUE"""),0.027)</f>
        <v>0.027</v>
      </c>
      <c r="U53" s="4">
        <f>IFERROR(__xludf.DUMMYFUNCTION("""COMPUTED_VALUE"""),-4.5)</f>
        <v>-4.5</v>
      </c>
      <c r="V53" s="4">
        <f>IFERROR(__xludf.DUMMYFUNCTION("""COMPUTED_VALUE"""),-0.1)</f>
        <v>-0.1</v>
      </c>
    </row>
    <row r="54">
      <c r="A54" s="4">
        <f>IFERROR(__xludf.DUMMYFUNCTION("""COMPUTED_VALUE"""),49.0)</f>
        <v>49</v>
      </c>
      <c r="B54" s="4">
        <f>IFERROR(__xludf.DUMMYFUNCTION("""COMPUTED_VALUE"""),49.0)</f>
        <v>49</v>
      </c>
      <c r="C54" s="4" t="str">
        <f>IFERROR(__xludf.DUMMYFUNCTION("""COMPUTED_VALUE"""),"CLE")</f>
        <v>CLE</v>
      </c>
      <c r="D54" s="4" t="str">
        <f>IFERROR(__xludf.DUMMYFUNCTION("""COMPUTED_VALUE"""),"Tyrese Proctor")</f>
        <v>Tyrese Proctor</v>
      </c>
      <c r="E54" s="4" t="str">
        <f>IFERROR(__xludf.DUMMYFUNCTION("""COMPUTED_VALUE"""),"Duke")</f>
        <v>Duke</v>
      </c>
      <c r="F54" s="4">
        <f>IFERROR(__xludf.DUMMYFUNCTION("""COMPUTED_VALUE"""),1.0)</f>
        <v>1</v>
      </c>
      <c r="G54" s="4">
        <f>IFERROR(__xludf.DUMMYFUNCTION("""COMPUTED_VALUE"""),18.0)</f>
        <v>18</v>
      </c>
      <c r="H54" s="4">
        <f>IFERROR(__xludf.DUMMYFUNCTION("""COMPUTED_VALUE"""),223.0)</f>
        <v>223</v>
      </c>
      <c r="I54" s="4">
        <f>IFERROR(__xludf.DUMMYFUNCTION("""COMPUTED_VALUE"""),101.0)</f>
        <v>101</v>
      </c>
      <c r="J54" s="4">
        <f>IFERROR(__xludf.DUMMYFUNCTION("""COMPUTED_VALUE"""),23.0)</f>
        <v>23</v>
      </c>
      <c r="K54" s="4">
        <f>IFERROR(__xludf.DUMMYFUNCTION("""COMPUTED_VALUE"""),25.0)</f>
        <v>25</v>
      </c>
      <c r="L54" s="4">
        <f>IFERROR(__xludf.DUMMYFUNCTION("""COMPUTED_VALUE"""),0.344)</f>
        <v>0.344</v>
      </c>
      <c r="M54" s="4">
        <f>IFERROR(__xludf.DUMMYFUNCTION("""COMPUTED_VALUE"""),0.311)</f>
        <v>0.311</v>
      </c>
      <c r="N54" s="4">
        <f>IFERROR(__xludf.DUMMYFUNCTION("""COMPUTED_VALUE"""),0.857)</f>
        <v>0.857</v>
      </c>
      <c r="O54" s="4">
        <f>IFERROR(__xludf.DUMMYFUNCTION("""COMPUTED_VALUE"""),12.4)</f>
        <v>12.4</v>
      </c>
      <c r="P54" s="4">
        <f>IFERROR(__xludf.DUMMYFUNCTION("""COMPUTED_VALUE"""),5.6)</f>
        <v>5.6</v>
      </c>
      <c r="Q54" s="4">
        <f>IFERROR(__xludf.DUMMYFUNCTION("""COMPUTED_VALUE"""),1.3)</f>
        <v>1.3</v>
      </c>
      <c r="R54" s="4">
        <f>IFERROR(__xludf.DUMMYFUNCTION("""COMPUTED_VALUE"""),1.4)</f>
        <v>1.4</v>
      </c>
      <c r="S54" s="4">
        <f>IFERROR(__xludf.DUMMYFUNCTION("""COMPUTED_VALUE"""),0.3)</f>
        <v>0.3</v>
      </c>
      <c r="T54" s="4">
        <f>IFERROR(__xludf.DUMMYFUNCTION("""COMPUTED_VALUE"""),0.058)</f>
        <v>0.058</v>
      </c>
      <c r="U54" s="4">
        <f>IFERROR(__xludf.DUMMYFUNCTION("""COMPUTED_VALUE"""),-4.6)</f>
        <v>-4.6</v>
      </c>
      <c r="V54" s="4">
        <f>IFERROR(__xludf.DUMMYFUNCTION("""COMPUTED_VALUE"""),-0.1)</f>
        <v>-0.1</v>
      </c>
    </row>
    <row r="55">
      <c r="A55" s="4">
        <f>IFERROR(__xludf.DUMMYFUNCTION("""COMPUTED_VALUE"""),50.0)</f>
        <v>50</v>
      </c>
      <c r="B55" s="4">
        <f>IFERROR(__xludf.DUMMYFUNCTION("""COMPUTED_VALUE"""),50.0)</f>
        <v>50</v>
      </c>
      <c r="C55" s="4" t="str">
        <f>IFERROR(__xludf.DUMMYFUNCTION("""COMPUTED_VALUE"""),"NYK")</f>
        <v>NYK</v>
      </c>
      <c r="D55" s="4" t="str">
        <f>IFERROR(__xludf.DUMMYFUNCTION("""COMPUTED_VALUE"""),"Kobe Sanders")</f>
        <v>Kobe Sanders</v>
      </c>
      <c r="E55" s="4" t="str">
        <f>IFERROR(__xludf.DUMMYFUNCTION("""COMPUTED_VALUE"""),"Nevada")</f>
        <v>Nevada</v>
      </c>
      <c r="F55" s="4">
        <f>IFERROR(__xludf.DUMMYFUNCTION("""COMPUTED_VALUE"""),1.0)</f>
        <v>1</v>
      </c>
      <c r="G55" s="4">
        <f>IFERROR(__xludf.DUMMYFUNCTION("""COMPUTED_VALUE"""),13.0)</f>
        <v>13</v>
      </c>
      <c r="H55" s="4">
        <f>IFERROR(__xludf.DUMMYFUNCTION("""COMPUTED_VALUE"""),249.0)</f>
        <v>249</v>
      </c>
      <c r="I55" s="4">
        <f>IFERROR(__xludf.DUMMYFUNCTION("""COMPUTED_VALUE"""),83.0)</f>
        <v>83</v>
      </c>
      <c r="J55" s="4">
        <f>IFERROR(__xludf.DUMMYFUNCTION("""COMPUTED_VALUE"""),21.0)</f>
        <v>21</v>
      </c>
      <c r="K55" s="4">
        <f>IFERROR(__xludf.DUMMYFUNCTION("""COMPUTED_VALUE"""),17.0)</f>
        <v>17</v>
      </c>
      <c r="L55" s="4">
        <f>IFERROR(__xludf.DUMMYFUNCTION("""COMPUTED_VALUE"""),0.375)</f>
        <v>0.375</v>
      </c>
      <c r="M55" s="4">
        <f>IFERROR(__xludf.DUMMYFUNCTION("""COMPUTED_VALUE"""),0.308)</f>
        <v>0.308</v>
      </c>
      <c r="N55" s="4">
        <f>IFERROR(__xludf.DUMMYFUNCTION("""COMPUTED_VALUE"""),0.944)</f>
        <v>0.944</v>
      </c>
      <c r="O55" s="4">
        <f>IFERROR(__xludf.DUMMYFUNCTION("""COMPUTED_VALUE"""),19.2)</f>
        <v>19.2</v>
      </c>
      <c r="P55" s="4">
        <f>IFERROR(__xludf.DUMMYFUNCTION("""COMPUTED_VALUE"""),6.4)</f>
        <v>6.4</v>
      </c>
      <c r="Q55" s="4">
        <f>IFERROR(__xludf.DUMMYFUNCTION("""COMPUTED_VALUE"""),1.6)</f>
        <v>1.6</v>
      </c>
      <c r="R55" s="4">
        <f>IFERROR(__xludf.DUMMYFUNCTION("""COMPUTED_VALUE"""),1.3)</f>
        <v>1.3</v>
      </c>
      <c r="S55" s="4">
        <f>IFERROR(__xludf.DUMMYFUNCTION("""COMPUTED_VALUE"""),-0.2)</f>
        <v>-0.2</v>
      </c>
      <c r="T55" s="4">
        <f>IFERROR(__xludf.DUMMYFUNCTION("""COMPUTED_VALUE"""),-0.031)</f>
        <v>-0.031</v>
      </c>
      <c r="U55" s="4">
        <f>IFERROR(__xludf.DUMMYFUNCTION("""COMPUTED_VALUE"""),-6.9)</f>
        <v>-6.9</v>
      </c>
      <c r="V55" s="4">
        <f>IFERROR(__xludf.DUMMYFUNCTION("""COMPUTED_VALUE"""),-0.3)</f>
        <v>-0.3</v>
      </c>
    </row>
    <row r="56">
      <c r="A56" s="4">
        <f>IFERROR(__xludf.DUMMYFUNCTION("""COMPUTED_VALUE"""),51.0)</f>
        <v>51</v>
      </c>
      <c r="B56" s="4">
        <f>IFERROR(__xludf.DUMMYFUNCTION("""COMPUTED_VALUE"""),51.0)</f>
        <v>51</v>
      </c>
      <c r="C56" s="4" t="str">
        <f>IFERROR(__xludf.DUMMYFUNCTION("""COMPUTED_VALUE"""),"LAC")</f>
        <v>LAC</v>
      </c>
      <c r="D56" s="4" t="str">
        <f>IFERROR(__xludf.DUMMYFUNCTION("""COMPUTED_VALUE"""),"Mohamed Diawara")</f>
        <v>Mohamed Diawara</v>
      </c>
      <c r="E56" s="4"/>
      <c r="F56" s="4">
        <f>IFERROR(__xludf.DUMMYFUNCTION("""COMPUTED_VALUE"""),1.0)</f>
        <v>1</v>
      </c>
      <c r="G56" s="4">
        <f>IFERROR(__xludf.DUMMYFUNCTION("""COMPUTED_VALUE"""),13.0)</f>
        <v>13</v>
      </c>
      <c r="H56" s="4">
        <f>IFERROR(__xludf.DUMMYFUNCTION("""COMPUTED_VALUE"""),39.0)</f>
        <v>39</v>
      </c>
      <c r="I56" s="4">
        <f>IFERROR(__xludf.DUMMYFUNCTION("""COMPUTED_VALUE"""),10.0)</f>
        <v>10</v>
      </c>
      <c r="J56" s="4">
        <f>IFERROR(__xludf.DUMMYFUNCTION("""COMPUTED_VALUE"""),9.0)</f>
        <v>9</v>
      </c>
      <c r="K56" s="4">
        <f>IFERROR(__xludf.DUMMYFUNCTION("""COMPUTED_VALUE"""),5.0)</f>
        <v>5</v>
      </c>
      <c r="L56" s="4">
        <f>IFERROR(__xludf.DUMMYFUNCTION("""COMPUTED_VALUE"""),0.4)</f>
        <v>0.4</v>
      </c>
      <c r="M56" s="4">
        <f>IFERROR(__xludf.DUMMYFUNCTION("""COMPUTED_VALUE"""),0.333)</f>
        <v>0.333</v>
      </c>
      <c r="N56" s="4">
        <f>IFERROR(__xludf.DUMMYFUNCTION("""COMPUTED_VALUE"""),0.0)</f>
        <v>0</v>
      </c>
      <c r="O56" s="4">
        <f>IFERROR(__xludf.DUMMYFUNCTION("""COMPUTED_VALUE"""),3.0)</f>
        <v>3</v>
      </c>
      <c r="P56" s="4">
        <f>IFERROR(__xludf.DUMMYFUNCTION("""COMPUTED_VALUE"""),0.8)</f>
        <v>0.8</v>
      </c>
      <c r="Q56" s="4">
        <f>IFERROR(__xludf.DUMMYFUNCTION("""COMPUTED_VALUE"""),0.7)</f>
        <v>0.7</v>
      </c>
      <c r="R56" s="4">
        <f>IFERROR(__xludf.DUMMYFUNCTION("""COMPUTED_VALUE"""),0.4)</f>
        <v>0.4</v>
      </c>
      <c r="S56" s="4">
        <f>IFERROR(__xludf.DUMMYFUNCTION("""COMPUTED_VALUE"""),0.0)</f>
        <v>0</v>
      </c>
      <c r="T56" s="4">
        <f>IFERROR(__xludf.DUMMYFUNCTION("""COMPUTED_VALUE"""),-0.035)</f>
        <v>-0.035</v>
      </c>
      <c r="U56" s="4">
        <f>IFERROR(__xludf.DUMMYFUNCTION("""COMPUTED_VALUE"""),-6.1)</f>
        <v>-6.1</v>
      </c>
      <c r="V56" s="4">
        <f>IFERROR(__xludf.DUMMYFUNCTION("""COMPUTED_VALUE"""),0.0)</f>
        <v>0</v>
      </c>
    </row>
    <row r="57">
      <c r="A57" s="4">
        <f>IFERROR(__xludf.DUMMYFUNCTION("""COMPUTED_VALUE"""),52.0)</f>
        <v>52</v>
      </c>
      <c r="B57" s="4">
        <f>IFERROR(__xludf.DUMMYFUNCTION("""COMPUTED_VALUE"""),52.0)</f>
        <v>52</v>
      </c>
      <c r="C57" s="4" t="str">
        <f>IFERROR(__xludf.DUMMYFUNCTION("""COMPUTED_VALUE"""),"PHO")</f>
        <v>PHO</v>
      </c>
      <c r="D57" s="4" t="str">
        <f>IFERROR(__xludf.DUMMYFUNCTION("""COMPUTED_VALUE"""),"Alex Toohey")</f>
        <v>Alex Toohey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>
        <f>IFERROR(__xludf.DUMMYFUNCTION("""COMPUTED_VALUE"""),53.0)</f>
        <v>53</v>
      </c>
      <c r="B58" s="4">
        <f>IFERROR(__xludf.DUMMYFUNCTION("""COMPUTED_VALUE"""),53.0)</f>
        <v>53</v>
      </c>
      <c r="C58" s="4" t="str">
        <f>IFERROR(__xludf.DUMMYFUNCTION("""COMPUTED_VALUE"""),"UTA")</f>
        <v>UTA</v>
      </c>
      <c r="D58" s="4" t="str">
        <f>IFERROR(__xludf.DUMMYFUNCTION("""COMPUTED_VALUE"""),"John Tonje")</f>
        <v>John Tonje</v>
      </c>
      <c r="E58" s="4" t="str">
        <f>IFERROR(__xludf.DUMMYFUNCTION("""COMPUTED_VALUE"""),"Wisconsin")</f>
        <v>Wisconsin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>
        <f>IFERROR(__xludf.DUMMYFUNCTION("""COMPUTED_VALUE"""),54.0)</f>
        <v>54</v>
      </c>
      <c r="B59" s="4">
        <f>IFERROR(__xludf.DUMMYFUNCTION("""COMPUTED_VALUE"""),54.0)</f>
        <v>54</v>
      </c>
      <c r="C59" s="4" t="str">
        <f>IFERROR(__xludf.DUMMYFUNCTION("""COMPUTED_VALUE"""),"IND")</f>
        <v>IND</v>
      </c>
      <c r="D59" s="4" t="str">
        <f>IFERROR(__xludf.DUMMYFUNCTION("""COMPUTED_VALUE"""),"Taelon Peter")</f>
        <v>Taelon Peter</v>
      </c>
      <c r="E59" s="4" t="str">
        <f>IFERROR(__xludf.DUMMYFUNCTION("""COMPUTED_VALUE"""),"Liberty")</f>
        <v>Liberty</v>
      </c>
      <c r="F59" s="4">
        <f>IFERROR(__xludf.DUMMYFUNCTION("""COMPUTED_VALUE"""),1.0)</f>
        <v>1</v>
      </c>
      <c r="G59" s="4">
        <f>IFERROR(__xludf.DUMMYFUNCTION("""COMPUTED_VALUE"""),13.0)</f>
        <v>13</v>
      </c>
      <c r="H59" s="4">
        <f>IFERROR(__xludf.DUMMYFUNCTION("""COMPUTED_VALUE"""),101.0)</f>
        <v>101</v>
      </c>
      <c r="I59" s="4">
        <f>IFERROR(__xludf.DUMMYFUNCTION("""COMPUTED_VALUE"""),24.0)</f>
        <v>24</v>
      </c>
      <c r="J59" s="4">
        <f>IFERROR(__xludf.DUMMYFUNCTION("""COMPUTED_VALUE"""),15.0)</f>
        <v>15</v>
      </c>
      <c r="K59" s="4">
        <f>IFERROR(__xludf.DUMMYFUNCTION("""COMPUTED_VALUE"""),14.0)</f>
        <v>14</v>
      </c>
      <c r="L59" s="4">
        <f>IFERROR(__xludf.DUMMYFUNCTION("""COMPUTED_VALUE"""),0.259)</f>
        <v>0.259</v>
      </c>
      <c r="M59" s="4">
        <f>IFERROR(__xludf.DUMMYFUNCTION("""COMPUTED_VALUE"""),0.24)</f>
        <v>0.24</v>
      </c>
      <c r="N59" s="4">
        <f>IFERROR(__xludf.DUMMYFUNCTION("""COMPUTED_VALUE"""),0.8)</f>
        <v>0.8</v>
      </c>
      <c r="O59" s="4">
        <f>IFERROR(__xludf.DUMMYFUNCTION("""COMPUTED_VALUE"""),7.8)</f>
        <v>7.8</v>
      </c>
      <c r="P59" s="4">
        <f>IFERROR(__xludf.DUMMYFUNCTION("""COMPUTED_VALUE"""),1.8)</f>
        <v>1.8</v>
      </c>
      <c r="Q59" s="4">
        <f>IFERROR(__xludf.DUMMYFUNCTION("""COMPUTED_VALUE"""),1.2)</f>
        <v>1.2</v>
      </c>
      <c r="R59" s="4">
        <f>IFERROR(__xludf.DUMMYFUNCTION("""COMPUTED_VALUE"""),1.1)</f>
        <v>1.1</v>
      </c>
      <c r="S59" s="4">
        <f>IFERROR(__xludf.DUMMYFUNCTION("""COMPUTED_VALUE"""),-0.1)</f>
        <v>-0.1</v>
      </c>
      <c r="T59" s="4">
        <f>IFERROR(__xludf.DUMMYFUNCTION("""COMPUTED_VALUE"""),-0.048)</f>
        <v>-0.048</v>
      </c>
      <c r="U59" s="4">
        <f>IFERROR(__xludf.DUMMYFUNCTION("""COMPUTED_VALUE"""),-5.3)</f>
        <v>-5.3</v>
      </c>
      <c r="V59" s="4">
        <f>IFERROR(__xludf.DUMMYFUNCTION("""COMPUTED_VALUE"""),-0.1)</f>
        <v>-0.1</v>
      </c>
    </row>
    <row r="60">
      <c r="A60" s="4">
        <f>IFERROR(__xludf.DUMMYFUNCTION("""COMPUTED_VALUE"""),55.0)</f>
        <v>55</v>
      </c>
      <c r="B60" s="4">
        <f>IFERROR(__xludf.DUMMYFUNCTION("""COMPUTED_VALUE"""),55.0)</f>
        <v>55</v>
      </c>
      <c r="C60" s="4" t="str">
        <f>IFERROR(__xludf.DUMMYFUNCTION("""COMPUTED_VALUE"""),"LAL")</f>
        <v>LAL</v>
      </c>
      <c r="D60" s="4" t="str">
        <f>IFERROR(__xludf.DUMMYFUNCTION("""COMPUTED_VALUE"""),"Lachlan Olbrich")</f>
        <v>Lachlan Olbrich</v>
      </c>
      <c r="E60" s="4"/>
      <c r="F60" s="4">
        <f>IFERROR(__xludf.DUMMYFUNCTION("""COMPUTED_VALUE"""),1.0)</f>
        <v>1</v>
      </c>
      <c r="G60" s="4">
        <f>IFERROR(__xludf.DUMMYFUNCTION("""COMPUTED_VALUE"""),2.0)</f>
        <v>2</v>
      </c>
      <c r="H60" s="4">
        <f>IFERROR(__xludf.DUMMYFUNCTION("""COMPUTED_VALUE"""),23.0)</f>
        <v>23</v>
      </c>
      <c r="I60" s="4">
        <f>IFERROR(__xludf.DUMMYFUNCTION("""COMPUTED_VALUE"""),2.0)</f>
        <v>2</v>
      </c>
      <c r="J60" s="4">
        <f>IFERROR(__xludf.DUMMYFUNCTION("""COMPUTED_VALUE"""),7.0)</f>
        <v>7</v>
      </c>
      <c r="K60" s="4">
        <f>IFERROR(__xludf.DUMMYFUNCTION("""COMPUTED_VALUE"""),2.0)</f>
        <v>2</v>
      </c>
      <c r="L60" s="4">
        <f>IFERROR(__xludf.DUMMYFUNCTION("""COMPUTED_VALUE"""),0.25)</f>
        <v>0.25</v>
      </c>
      <c r="M60" s="4">
        <f>IFERROR(__xludf.DUMMYFUNCTION("""COMPUTED_VALUE"""),0.0)</f>
        <v>0</v>
      </c>
      <c r="N60" s="4"/>
      <c r="O60" s="4">
        <f>IFERROR(__xludf.DUMMYFUNCTION("""COMPUTED_VALUE"""),11.5)</f>
        <v>11.5</v>
      </c>
      <c r="P60" s="4">
        <f>IFERROR(__xludf.DUMMYFUNCTION("""COMPUTED_VALUE"""),1.0)</f>
        <v>1</v>
      </c>
      <c r="Q60" s="4">
        <f>IFERROR(__xludf.DUMMYFUNCTION("""COMPUTED_VALUE"""),3.5)</f>
        <v>3.5</v>
      </c>
      <c r="R60" s="4">
        <f>IFERROR(__xludf.DUMMYFUNCTION("""COMPUTED_VALUE"""),1.0)</f>
        <v>1</v>
      </c>
      <c r="S60" s="4">
        <f>IFERROR(__xludf.DUMMYFUNCTION("""COMPUTED_VALUE"""),-0.1)</f>
        <v>-0.1</v>
      </c>
      <c r="T60" s="4">
        <f>IFERROR(__xludf.DUMMYFUNCTION("""COMPUTED_VALUE"""),-0.109)</f>
        <v>-0.109</v>
      </c>
      <c r="U60" s="4">
        <f>IFERROR(__xludf.DUMMYFUNCTION("""COMPUTED_VALUE"""),-11.9)</f>
        <v>-11.9</v>
      </c>
      <c r="V60" s="4">
        <f>IFERROR(__xludf.DUMMYFUNCTION("""COMPUTED_VALUE"""),-0.1)</f>
        <v>-0.1</v>
      </c>
    </row>
    <row r="61">
      <c r="A61" s="4">
        <f>IFERROR(__xludf.DUMMYFUNCTION("""COMPUTED_VALUE"""),56.0)</f>
        <v>56</v>
      </c>
      <c r="B61" s="4">
        <f>IFERROR(__xludf.DUMMYFUNCTION("""COMPUTED_VALUE"""),56.0)</f>
        <v>56</v>
      </c>
      <c r="C61" s="4" t="str">
        <f>IFERROR(__xludf.DUMMYFUNCTION("""COMPUTED_VALUE"""),"MEM")</f>
        <v>MEM</v>
      </c>
      <c r="D61" s="4" t="str">
        <f>IFERROR(__xludf.DUMMYFUNCTION("""COMPUTED_VALUE"""),"Will Richard")</f>
        <v>Will Richard</v>
      </c>
      <c r="E61" s="4" t="str">
        <f>IFERROR(__xludf.DUMMYFUNCTION("""COMPUTED_VALUE"""),"Florida")</f>
        <v>Florida</v>
      </c>
      <c r="F61" s="4">
        <f>IFERROR(__xludf.DUMMYFUNCTION("""COMPUTED_VALUE"""),1.0)</f>
        <v>1</v>
      </c>
      <c r="G61" s="4">
        <f>IFERROR(__xludf.DUMMYFUNCTION("""COMPUTED_VALUE"""),20.0)</f>
        <v>20</v>
      </c>
      <c r="H61" s="4">
        <f>IFERROR(__xludf.DUMMYFUNCTION("""COMPUTED_VALUE"""),374.0)</f>
        <v>374</v>
      </c>
      <c r="I61" s="4">
        <f>IFERROR(__xludf.DUMMYFUNCTION("""COMPUTED_VALUE"""),165.0)</f>
        <v>165</v>
      </c>
      <c r="J61" s="4">
        <f>IFERROR(__xludf.DUMMYFUNCTION("""COMPUTED_VALUE"""),55.0)</f>
        <v>55</v>
      </c>
      <c r="K61" s="4">
        <f>IFERROR(__xludf.DUMMYFUNCTION("""COMPUTED_VALUE"""),23.0)</f>
        <v>23</v>
      </c>
      <c r="L61" s="4">
        <f>IFERROR(__xludf.DUMMYFUNCTION("""COMPUTED_VALUE"""),0.532)</f>
        <v>0.532</v>
      </c>
      <c r="M61" s="4">
        <f>IFERROR(__xludf.DUMMYFUNCTION("""COMPUTED_VALUE"""),0.385)</f>
        <v>0.385</v>
      </c>
      <c r="N61" s="4">
        <f>IFERROR(__xludf.DUMMYFUNCTION("""COMPUTED_VALUE"""),0.759)</f>
        <v>0.759</v>
      </c>
      <c r="O61" s="4">
        <f>IFERROR(__xludf.DUMMYFUNCTION("""COMPUTED_VALUE"""),18.7)</f>
        <v>18.7</v>
      </c>
      <c r="P61" s="4">
        <f>IFERROR(__xludf.DUMMYFUNCTION("""COMPUTED_VALUE"""),8.3)</f>
        <v>8.3</v>
      </c>
      <c r="Q61" s="4">
        <f>IFERROR(__xludf.DUMMYFUNCTION("""COMPUTED_VALUE"""),2.8)</f>
        <v>2.8</v>
      </c>
      <c r="R61" s="4">
        <f>IFERROR(__xludf.DUMMYFUNCTION("""COMPUTED_VALUE"""),1.2)</f>
        <v>1.2</v>
      </c>
      <c r="S61" s="4">
        <f>IFERROR(__xludf.DUMMYFUNCTION("""COMPUTED_VALUE"""),1.2)</f>
        <v>1.2</v>
      </c>
      <c r="T61" s="4">
        <f>IFERROR(__xludf.DUMMYFUNCTION("""COMPUTED_VALUE"""),0.151)</f>
        <v>0.151</v>
      </c>
      <c r="U61" s="4">
        <f>IFERROR(__xludf.DUMMYFUNCTION("""COMPUTED_VALUE"""),0.7)</f>
        <v>0.7</v>
      </c>
      <c r="V61" s="4">
        <f>IFERROR(__xludf.DUMMYFUNCTION("""COMPUTED_VALUE"""),0.3)</f>
        <v>0.3</v>
      </c>
    </row>
    <row r="62">
      <c r="A62" s="4">
        <f>IFERROR(__xludf.DUMMYFUNCTION("""COMPUTED_VALUE"""),57.0)</f>
        <v>57</v>
      </c>
      <c r="B62" s="4">
        <f>IFERROR(__xludf.DUMMYFUNCTION("""COMPUTED_VALUE"""),57.0)</f>
        <v>57</v>
      </c>
      <c r="C62" s="4" t="str">
        <f>IFERROR(__xludf.DUMMYFUNCTION("""COMPUTED_VALUE"""),"ORL")</f>
        <v>ORL</v>
      </c>
      <c r="D62" s="4" t="str">
        <f>IFERROR(__xludf.DUMMYFUNCTION("""COMPUTED_VALUE"""),"Max Shulga")</f>
        <v>Max Shulga</v>
      </c>
      <c r="E62" s="4" t="str">
        <f>IFERROR(__xludf.DUMMYFUNCTION("""COMPUTED_VALUE"""),"VCU")</f>
        <v>VCU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>
        <f>IFERROR(__xludf.DUMMYFUNCTION("""COMPUTED_VALUE"""),58.0)</f>
        <v>58</v>
      </c>
      <c r="B63" s="4">
        <f>IFERROR(__xludf.DUMMYFUNCTION("""COMPUTED_VALUE"""),58.0)</f>
        <v>58</v>
      </c>
      <c r="C63" s="4" t="str">
        <f>IFERROR(__xludf.DUMMYFUNCTION("""COMPUTED_VALUE"""),"CLE")</f>
        <v>CLE</v>
      </c>
      <c r="D63" s="4" t="str">
        <f>IFERROR(__xludf.DUMMYFUNCTION("""COMPUTED_VALUE"""),"Saliou Niang")</f>
        <v>Saliou Niang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>
        <f>IFERROR(__xludf.DUMMYFUNCTION("""COMPUTED_VALUE"""),59.0)</f>
        <v>59</v>
      </c>
      <c r="B64" s="4">
        <f>IFERROR(__xludf.DUMMYFUNCTION("""COMPUTED_VALUE"""),59.0)</f>
        <v>59</v>
      </c>
      <c r="C64" s="4" t="str">
        <f>IFERROR(__xludf.DUMMYFUNCTION("""COMPUTED_VALUE"""),"HOU")</f>
        <v>HOU</v>
      </c>
      <c r="D64" s="4" t="str">
        <f>IFERROR(__xludf.DUMMYFUNCTION("""COMPUTED_VALUE"""),"Jahmai Mashack")</f>
        <v>Jahmai Mashack</v>
      </c>
      <c r="E64" s="4" t="str">
        <f>IFERROR(__xludf.DUMMYFUNCTION("""COMPUTED_VALUE"""),"Tennessee")</f>
        <v>Tennessee</v>
      </c>
      <c r="F64" s="4">
        <f>IFERROR(__xludf.DUMMYFUNCTION("""COMPUTED_VALUE"""),1.0)</f>
        <v>1</v>
      </c>
      <c r="G64" s="4">
        <f>IFERROR(__xludf.DUMMYFUNCTION("""COMPUTED_VALUE"""),1.0)</f>
        <v>1</v>
      </c>
      <c r="H64" s="4">
        <f>IFERROR(__xludf.DUMMYFUNCTION("""COMPUTED_VALUE"""),6.0)</f>
        <v>6</v>
      </c>
      <c r="I64" s="4">
        <f>IFERROR(__xludf.DUMMYFUNCTION("""COMPUTED_VALUE"""),6.0)</f>
        <v>6</v>
      </c>
      <c r="J64" s="4">
        <f>IFERROR(__xludf.DUMMYFUNCTION("""COMPUTED_VALUE"""),2.0)</f>
        <v>2</v>
      </c>
      <c r="K64" s="4">
        <f>IFERROR(__xludf.DUMMYFUNCTION("""COMPUTED_VALUE"""),0.0)</f>
        <v>0</v>
      </c>
      <c r="L64" s="4">
        <f>IFERROR(__xludf.DUMMYFUNCTION("""COMPUTED_VALUE"""),0.5)</f>
        <v>0.5</v>
      </c>
      <c r="M64" s="4">
        <f>IFERROR(__xludf.DUMMYFUNCTION("""COMPUTED_VALUE"""),0.5)</f>
        <v>0.5</v>
      </c>
      <c r="N64" s="4"/>
      <c r="O64" s="4">
        <f>IFERROR(__xludf.DUMMYFUNCTION("""COMPUTED_VALUE"""),6.0)</f>
        <v>6</v>
      </c>
      <c r="P64" s="4">
        <f>IFERROR(__xludf.DUMMYFUNCTION("""COMPUTED_VALUE"""),6.0)</f>
        <v>6</v>
      </c>
      <c r="Q64" s="4">
        <f>IFERROR(__xludf.DUMMYFUNCTION("""COMPUTED_VALUE"""),2.0)</f>
        <v>2</v>
      </c>
      <c r="R64" s="4">
        <f>IFERROR(__xludf.DUMMYFUNCTION("""COMPUTED_VALUE"""),0.0)</f>
        <v>0</v>
      </c>
      <c r="S64" s="4">
        <f>IFERROR(__xludf.DUMMYFUNCTION("""COMPUTED_VALUE"""),0.0)</f>
        <v>0</v>
      </c>
      <c r="T64" s="4">
        <f>IFERROR(__xludf.DUMMYFUNCTION("""COMPUTED_VALUE"""),0.206)</f>
        <v>0.206</v>
      </c>
      <c r="U64" s="4">
        <f>IFERROR(__xludf.DUMMYFUNCTION("""COMPUTED_VALUE"""),9.0)</f>
        <v>9</v>
      </c>
      <c r="V64" s="4">
        <f>IFERROR(__xludf.DUMMYFUNCTION("""COMPUTED_VALUE"""),0.0)</f>
        <v>0</v>
      </c>
    </row>
    <row r="65">
      <c r="A65" s="4">
        <f>IFERROR(__xludf.DUMMYFUNCTION("""COMPUTED_VALUE"""),60.0)</f>
        <v>60</v>
      </c>
      <c r="B65" s="4">
        <f>IFERROR(__xludf.DUMMYFUNCTION("""COMPUTED_VALUE"""),60.0)</f>
        <v>60</v>
      </c>
      <c r="C65" s="4" t="str">
        <f>IFERROR(__xludf.DUMMYFUNCTION("""COMPUTED_VALUE"""),"NYK")</f>
        <v>NYK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7">
      <c r="A67" s="2">
        <v>2024.0</v>
      </c>
    </row>
    <row r="68">
      <c r="A68" s="4" t="str">
        <f>IFERROR(__xludf.DUMMYFUNCTION("IMPORTHTML(""https://www.basketball-reference.com/draft/NBA_2024.html"", ""table"", 1)"),"")</f>
        <v/>
      </c>
      <c r="B68" s="4"/>
      <c r="C68" s="4"/>
      <c r="D68" s="4" t="str">
        <f>IFERROR(__xludf.DUMMYFUNCTION("""COMPUTED_VALUE"""),"Round 1")</f>
        <v>Round 1</v>
      </c>
      <c r="E68" s="4"/>
      <c r="F68" s="4"/>
      <c r="G68" s="4" t="str">
        <f>IFERROR(__xludf.DUMMYFUNCTION("""COMPUTED_VALUE"""),"Totals")</f>
        <v>Totals</v>
      </c>
      <c r="H68" s="4"/>
      <c r="I68" s="4"/>
      <c r="J68" s="4"/>
      <c r="K68" s="4"/>
      <c r="L68" s="4" t="str">
        <f>IFERROR(__xludf.DUMMYFUNCTION("""COMPUTED_VALUE"""),"Shooting")</f>
        <v>Shooting</v>
      </c>
      <c r="M68" s="4"/>
      <c r="N68" s="4"/>
      <c r="O68" s="4" t="str">
        <f>IFERROR(__xludf.DUMMYFUNCTION("""COMPUTED_VALUE"""),"Per Game")</f>
        <v>Per Game</v>
      </c>
      <c r="P68" s="4"/>
      <c r="Q68" s="4"/>
      <c r="R68" s="4"/>
      <c r="S68" s="4" t="str">
        <f>IFERROR(__xludf.DUMMYFUNCTION("""COMPUTED_VALUE"""),"Advanced")</f>
        <v>Advanced</v>
      </c>
      <c r="T68" s="4"/>
      <c r="U68" s="4"/>
      <c r="V68" s="4"/>
    </row>
    <row r="69">
      <c r="A69" s="4" t="str">
        <f>IFERROR(__xludf.DUMMYFUNCTION("""COMPUTED_VALUE"""),"Rk")</f>
        <v>Rk</v>
      </c>
      <c r="B69" s="4" t="str">
        <f>IFERROR(__xludf.DUMMYFUNCTION("""COMPUTED_VALUE"""),"Pk")</f>
        <v>Pk</v>
      </c>
      <c r="C69" s="4" t="str">
        <f>IFERROR(__xludf.DUMMYFUNCTION("""COMPUTED_VALUE"""),"Tm")</f>
        <v>Tm</v>
      </c>
      <c r="D69" s="4" t="str">
        <f>IFERROR(__xludf.DUMMYFUNCTION("""COMPUTED_VALUE"""),"Player")</f>
        <v>Player</v>
      </c>
      <c r="E69" s="4" t="str">
        <f>IFERROR(__xludf.DUMMYFUNCTION("""COMPUTED_VALUE"""),"College")</f>
        <v>College</v>
      </c>
      <c r="F69" s="4" t="str">
        <f>IFERROR(__xludf.DUMMYFUNCTION("""COMPUTED_VALUE"""),"Yrs")</f>
        <v>Yrs</v>
      </c>
      <c r="G69" s="4" t="str">
        <f>IFERROR(__xludf.DUMMYFUNCTION("""COMPUTED_VALUE"""),"G")</f>
        <v>G</v>
      </c>
      <c r="H69" s="4" t="str">
        <f>IFERROR(__xludf.DUMMYFUNCTION("""COMPUTED_VALUE"""),"MP")</f>
        <v>MP</v>
      </c>
      <c r="I69" s="4" t="str">
        <f>IFERROR(__xludf.DUMMYFUNCTION("""COMPUTED_VALUE"""),"PTS")</f>
        <v>PTS</v>
      </c>
      <c r="J69" s="4" t="str">
        <f>IFERROR(__xludf.DUMMYFUNCTION("""COMPUTED_VALUE"""),"TRB")</f>
        <v>TRB</v>
      </c>
      <c r="K69" s="4" t="str">
        <f>IFERROR(__xludf.DUMMYFUNCTION("""COMPUTED_VALUE"""),"AST")</f>
        <v>AST</v>
      </c>
      <c r="L69" s="4" t="str">
        <f>IFERROR(__xludf.DUMMYFUNCTION("""COMPUTED_VALUE"""),"FG%")</f>
        <v>FG%</v>
      </c>
      <c r="M69" s="4" t="str">
        <f>IFERROR(__xludf.DUMMYFUNCTION("""COMPUTED_VALUE"""),"3P%")</f>
        <v>3P%</v>
      </c>
      <c r="N69" s="4" t="str">
        <f>IFERROR(__xludf.DUMMYFUNCTION("""COMPUTED_VALUE"""),"FT%")</f>
        <v>FT%</v>
      </c>
      <c r="O69" s="4" t="str">
        <f>IFERROR(__xludf.DUMMYFUNCTION("""COMPUTED_VALUE"""),"MP")</f>
        <v>MP</v>
      </c>
      <c r="P69" s="4" t="str">
        <f>IFERROR(__xludf.DUMMYFUNCTION("""COMPUTED_VALUE"""),"PTS")</f>
        <v>PTS</v>
      </c>
      <c r="Q69" s="4" t="str">
        <f>IFERROR(__xludf.DUMMYFUNCTION("""COMPUTED_VALUE"""),"TRB")</f>
        <v>TRB</v>
      </c>
      <c r="R69" s="4" t="str">
        <f>IFERROR(__xludf.DUMMYFUNCTION("""COMPUTED_VALUE"""),"AST")</f>
        <v>AST</v>
      </c>
      <c r="S69" s="4" t="str">
        <f>IFERROR(__xludf.DUMMYFUNCTION("""COMPUTED_VALUE"""),"WS")</f>
        <v>WS</v>
      </c>
      <c r="T69" s="4" t="str">
        <f>IFERROR(__xludf.DUMMYFUNCTION("""COMPUTED_VALUE"""),"WS/48")</f>
        <v>WS/48</v>
      </c>
      <c r="U69" s="4" t="str">
        <f>IFERROR(__xludf.DUMMYFUNCTION("""COMPUTED_VALUE"""),"BPM")</f>
        <v>BPM</v>
      </c>
      <c r="V69" s="4" t="str">
        <f>IFERROR(__xludf.DUMMYFUNCTION("""COMPUTED_VALUE"""),"VORP")</f>
        <v>VORP</v>
      </c>
    </row>
    <row r="70">
      <c r="A70" s="4">
        <f>IFERROR(__xludf.DUMMYFUNCTION("""COMPUTED_VALUE"""),1.0)</f>
        <v>1</v>
      </c>
      <c r="B70" s="4">
        <f>IFERROR(__xludf.DUMMYFUNCTION("""COMPUTED_VALUE"""),1.0)</f>
        <v>1</v>
      </c>
      <c r="C70" s="4" t="str">
        <f>IFERROR(__xludf.DUMMYFUNCTION("""COMPUTED_VALUE"""),"ATL")</f>
        <v>ATL</v>
      </c>
      <c r="D70" s="4" t="str">
        <f>IFERROR(__xludf.DUMMYFUNCTION("""COMPUTED_VALUE"""),"Zaccharie Risacher")</f>
        <v>Zaccharie Risacher</v>
      </c>
      <c r="E70" s="4"/>
      <c r="F70" s="4">
        <f>IFERROR(__xludf.DUMMYFUNCTION("""COMPUTED_VALUE"""),2.0)</f>
        <v>2</v>
      </c>
      <c r="G70" s="4">
        <f>IFERROR(__xludf.DUMMYFUNCTION("""COMPUTED_VALUE"""),94.0)</f>
        <v>94</v>
      </c>
      <c r="H70" s="4">
        <f>IFERROR(__xludf.DUMMYFUNCTION("""COMPUTED_VALUE"""),2313.0)</f>
        <v>2313</v>
      </c>
      <c r="I70" s="4">
        <f>IFERROR(__xludf.DUMMYFUNCTION("""COMPUTED_VALUE"""),1159.0)</f>
        <v>1159</v>
      </c>
      <c r="J70" s="4">
        <f>IFERROR(__xludf.DUMMYFUNCTION("""COMPUTED_VALUE"""),318.0)</f>
        <v>318</v>
      </c>
      <c r="K70" s="4">
        <f>IFERROR(__xludf.DUMMYFUNCTION("""COMPUTED_VALUE"""),120.0)</f>
        <v>120</v>
      </c>
      <c r="L70" s="4">
        <f>IFERROR(__xludf.DUMMYFUNCTION("""COMPUTED_VALUE"""),0.457)</f>
        <v>0.457</v>
      </c>
      <c r="M70" s="4">
        <f>IFERROR(__xludf.DUMMYFUNCTION("""COMPUTED_VALUE"""),0.345)</f>
        <v>0.345</v>
      </c>
      <c r="N70" s="4">
        <f>IFERROR(__xludf.DUMMYFUNCTION("""COMPUTED_VALUE"""),0.699)</f>
        <v>0.699</v>
      </c>
      <c r="O70" s="4">
        <f>IFERROR(__xludf.DUMMYFUNCTION("""COMPUTED_VALUE"""),24.6)</f>
        <v>24.6</v>
      </c>
      <c r="P70" s="4">
        <f>IFERROR(__xludf.DUMMYFUNCTION("""COMPUTED_VALUE"""),12.3)</f>
        <v>12.3</v>
      </c>
      <c r="Q70" s="4">
        <f>IFERROR(__xludf.DUMMYFUNCTION("""COMPUTED_VALUE"""),3.4)</f>
        <v>3.4</v>
      </c>
      <c r="R70" s="4">
        <f>IFERROR(__xludf.DUMMYFUNCTION("""COMPUTED_VALUE"""),1.3)</f>
        <v>1.3</v>
      </c>
      <c r="S70" s="4">
        <f>IFERROR(__xludf.DUMMYFUNCTION("""COMPUTED_VALUE"""),2.3)</f>
        <v>2.3</v>
      </c>
      <c r="T70" s="4">
        <f>IFERROR(__xludf.DUMMYFUNCTION("""COMPUTED_VALUE"""),0.047)</f>
        <v>0.047</v>
      </c>
      <c r="U70" s="4">
        <f>IFERROR(__xludf.DUMMYFUNCTION("""COMPUTED_VALUE"""),-3.4)</f>
        <v>-3.4</v>
      </c>
      <c r="V70" s="4">
        <f>IFERROR(__xludf.DUMMYFUNCTION("""COMPUTED_VALUE"""),-0.8)</f>
        <v>-0.8</v>
      </c>
    </row>
    <row r="71">
      <c r="A71" s="4">
        <f>IFERROR(__xludf.DUMMYFUNCTION("""COMPUTED_VALUE"""),2.0)</f>
        <v>2</v>
      </c>
      <c r="B71" s="4">
        <f>IFERROR(__xludf.DUMMYFUNCTION("""COMPUTED_VALUE"""),2.0)</f>
        <v>2</v>
      </c>
      <c r="C71" s="4" t="str">
        <f>IFERROR(__xludf.DUMMYFUNCTION("""COMPUTED_VALUE"""),"WAS")</f>
        <v>WAS</v>
      </c>
      <c r="D71" s="4" t="str">
        <f>IFERROR(__xludf.DUMMYFUNCTION("""COMPUTED_VALUE"""),"Alex Sarr")</f>
        <v>Alex Sarr</v>
      </c>
      <c r="E71" s="4"/>
      <c r="F71" s="4">
        <f>IFERROR(__xludf.DUMMYFUNCTION("""COMPUTED_VALUE"""),2.0)</f>
        <v>2</v>
      </c>
      <c r="G71" s="4">
        <f>IFERROR(__xludf.DUMMYFUNCTION("""COMPUTED_VALUE"""),83.0)</f>
        <v>83</v>
      </c>
      <c r="H71" s="4">
        <f>IFERROR(__xludf.DUMMYFUNCTION("""COMPUTED_VALUE"""),2289.0)</f>
        <v>2289</v>
      </c>
      <c r="I71" s="4">
        <f>IFERROR(__xludf.DUMMYFUNCTION("""COMPUTED_VALUE"""),1174.0)</f>
        <v>1174</v>
      </c>
      <c r="J71" s="4">
        <f>IFERROR(__xludf.DUMMYFUNCTION("""COMPUTED_VALUE"""),572.0)</f>
        <v>572</v>
      </c>
      <c r="K71" s="4">
        <f>IFERROR(__xludf.DUMMYFUNCTION("""COMPUTED_VALUE"""),213.0)</f>
        <v>213</v>
      </c>
      <c r="L71" s="4">
        <f>IFERROR(__xludf.DUMMYFUNCTION("""COMPUTED_VALUE"""),0.421)</f>
        <v>0.421</v>
      </c>
      <c r="M71" s="4">
        <f>IFERROR(__xludf.DUMMYFUNCTION("""COMPUTED_VALUE"""),0.313)</f>
        <v>0.313</v>
      </c>
      <c r="N71" s="4">
        <f>IFERROR(__xludf.DUMMYFUNCTION("""COMPUTED_VALUE"""),0.668)</f>
        <v>0.668</v>
      </c>
      <c r="O71" s="4">
        <f>IFERROR(__xludf.DUMMYFUNCTION("""COMPUTED_VALUE"""),27.6)</f>
        <v>27.6</v>
      </c>
      <c r="P71" s="4">
        <f>IFERROR(__xludf.DUMMYFUNCTION("""COMPUTED_VALUE"""),14.1)</f>
        <v>14.1</v>
      </c>
      <c r="Q71" s="4">
        <f>IFERROR(__xludf.DUMMYFUNCTION("""COMPUTED_VALUE"""),6.9)</f>
        <v>6.9</v>
      </c>
      <c r="R71" s="4">
        <f>IFERROR(__xludf.DUMMYFUNCTION("""COMPUTED_VALUE"""),2.6)</f>
        <v>2.6</v>
      </c>
      <c r="S71" s="4">
        <f>IFERROR(__xludf.DUMMYFUNCTION("""COMPUTED_VALUE"""),0.4)</f>
        <v>0.4</v>
      </c>
      <c r="T71" s="4">
        <f>IFERROR(__xludf.DUMMYFUNCTION("""COMPUTED_VALUE"""),0.009)</f>
        <v>0.009</v>
      </c>
      <c r="U71" s="4">
        <f>IFERROR(__xludf.DUMMYFUNCTION("""COMPUTED_VALUE"""),-2.3)</f>
        <v>-2.3</v>
      </c>
      <c r="V71" s="4">
        <f>IFERROR(__xludf.DUMMYFUNCTION("""COMPUTED_VALUE"""),-0.1)</f>
        <v>-0.1</v>
      </c>
    </row>
    <row r="72">
      <c r="A72" s="4">
        <f>IFERROR(__xludf.DUMMYFUNCTION("""COMPUTED_VALUE"""),3.0)</f>
        <v>3</v>
      </c>
      <c r="B72" s="4">
        <f>IFERROR(__xludf.DUMMYFUNCTION("""COMPUTED_VALUE"""),3.0)</f>
        <v>3</v>
      </c>
      <c r="C72" s="4" t="str">
        <f>IFERROR(__xludf.DUMMYFUNCTION("""COMPUTED_VALUE"""),"HOU")</f>
        <v>HOU</v>
      </c>
      <c r="D72" s="4" t="str">
        <f>IFERROR(__xludf.DUMMYFUNCTION("""COMPUTED_VALUE"""),"Reed Sheppard")</f>
        <v>Reed Sheppard</v>
      </c>
      <c r="E72" s="4" t="str">
        <f>IFERROR(__xludf.DUMMYFUNCTION("""COMPUTED_VALUE"""),"Kentucky")</f>
        <v>Kentucky</v>
      </c>
      <c r="F72" s="4">
        <f>IFERROR(__xludf.DUMMYFUNCTION("""COMPUTED_VALUE"""),2.0)</f>
        <v>2</v>
      </c>
      <c r="G72" s="4">
        <f>IFERROR(__xludf.DUMMYFUNCTION("""COMPUTED_VALUE"""),70.0)</f>
        <v>70</v>
      </c>
      <c r="H72" s="4">
        <f>IFERROR(__xludf.DUMMYFUNCTION("""COMPUTED_VALUE"""),1108.0)</f>
        <v>1108</v>
      </c>
      <c r="I72" s="4">
        <f>IFERROR(__xludf.DUMMYFUNCTION("""COMPUTED_VALUE"""),475.0)</f>
        <v>475</v>
      </c>
      <c r="J72" s="4">
        <f>IFERROR(__xludf.DUMMYFUNCTION("""COMPUTED_VALUE"""),130.0)</f>
        <v>130</v>
      </c>
      <c r="K72" s="4">
        <f>IFERROR(__xludf.DUMMYFUNCTION("""COMPUTED_VALUE"""),134.0)</f>
        <v>134</v>
      </c>
      <c r="L72" s="4">
        <f>IFERROR(__xludf.DUMMYFUNCTION("""COMPUTED_VALUE"""),0.41)</f>
        <v>0.41</v>
      </c>
      <c r="M72" s="4">
        <f>IFERROR(__xludf.DUMMYFUNCTION("""COMPUTED_VALUE"""),0.386)</f>
        <v>0.386</v>
      </c>
      <c r="N72" s="4">
        <f>IFERROR(__xludf.DUMMYFUNCTION("""COMPUTED_VALUE"""),0.757)</f>
        <v>0.757</v>
      </c>
      <c r="O72" s="4">
        <f>IFERROR(__xludf.DUMMYFUNCTION("""COMPUTED_VALUE"""),15.8)</f>
        <v>15.8</v>
      </c>
      <c r="P72" s="4">
        <f>IFERROR(__xludf.DUMMYFUNCTION("""COMPUTED_VALUE"""),6.8)</f>
        <v>6.8</v>
      </c>
      <c r="Q72" s="4">
        <f>IFERROR(__xludf.DUMMYFUNCTION("""COMPUTED_VALUE"""),1.9)</f>
        <v>1.9</v>
      </c>
      <c r="R72" s="4">
        <f>IFERROR(__xludf.DUMMYFUNCTION("""COMPUTED_VALUE"""),1.9)</f>
        <v>1.9</v>
      </c>
      <c r="S72" s="4">
        <f>IFERROR(__xludf.DUMMYFUNCTION("""COMPUTED_VALUE"""),2.6)</f>
        <v>2.6</v>
      </c>
      <c r="T72" s="4">
        <f>IFERROR(__xludf.DUMMYFUNCTION("""COMPUTED_VALUE"""),0.113)</f>
        <v>0.113</v>
      </c>
      <c r="U72" s="4">
        <f>IFERROR(__xludf.DUMMYFUNCTION("""COMPUTED_VALUE"""),1.7)</f>
        <v>1.7</v>
      </c>
      <c r="V72" s="4">
        <f>IFERROR(__xludf.DUMMYFUNCTION("""COMPUTED_VALUE"""),1.0)</f>
        <v>1</v>
      </c>
    </row>
    <row r="73">
      <c r="A73" s="4">
        <f>IFERROR(__xludf.DUMMYFUNCTION("""COMPUTED_VALUE"""),4.0)</f>
        <v>4</v>
      </c>
      <c r="B73" s="4">
        <f>IFERROR(__xludf.DUMMYFUNCTION("""COMPUTED_VALUE"""),4.0)</f>
        <v>4</v>
      </c>
      <c r="C73" s="4" t="str">
        <f>IFERROR(__xludf.DUMMYFUNCTION("""COMPUTED_VALUE"""),"SAS")</f>
        <v>SAS</v>
      </c>
      <c r="D73" s="4" t="str">
        <f>IFERROR(__xludf.DUMMYFUNCTION("""COMPUTED_VALUE"""),"Stephon Castle")</f>
        <v>Stephon Castle</v>
      </c>
      <c r="E73" s="4" t="str">
        <f>IFERROR(__xludf.DUMMYFUNCTION("""COMPUTED_VALUE"""),"UConn")</f>
        <v>UConn</v>
      </c>
      <c r="F73" s="4">
        <f>IFERROR(__xludf.DUMMYFUNCTION("""COMPUTED_VALUE"""),2.0)</f>
        <v>2</v>
      </c>
      <c r="G73" s="4">
        <f>IFERROR(__xludf.DUMMYFUNCTION("""COMPUTED_VALUE"""),94.0)</f>
        <v>94</v>
      </c>
      <c r="H73" s="4">
        <f>IFERROR(__xludf.DUMMYFUNCTION("""COMPUTED_VALUE"""),2578.0)</f>
        <v>2578</v>
      </c>
      <c r="I73" s="4">
        <f>IFERROR(__xludf.DUMMYFUNCTION("""COMPUTED_VALUE"""),1415.0)</f>
        <v>1415</v>
      </c>
      <c r="J73" s="4">
        <f>IFERROR(__xludf.DUMMYFUNCTION("""COMPUTED_VALUE"""),373.0)</f>
        <v>373</v>
      </c>
      <c r="K73" s="4">
        <f>IFERROR(__xludf.DUMMYFUNCTION("""COMPUTED_VALUE"""),430.0)</f>
        <v>430</v>
      </c>
      <c r="L73" s="4">
        <f>IFERROR(__xludf.DUMMYFUNCTION("""COMPUTED_VALUE"""),0.437)</f>
        <v>0.437</v>
      </c>
      <c r="M73" s="4">
        <f>IFERROR(__xludf.DUMMYFUNCTION("""COMPUTED_VALUE"""),0.279)</f>
        <v>0.279</v>
      </c>
      <c r="N73" s="4">
        <f>IFERROR(__xludf.DUMMYFUNCTION("""COMPUTED_VALUE"""),0.718)</f>
        <v>0.718</v>
      </c>
      <c r="O73" s="4">
        <f>IFERROR(__xludf.DUMMYFUNCTION("""COMPUTED_VALUE"""),27.4)</f>
        <v>27.4</v>
      </c>
      <c r="P73" s="4">
        <f>IFERROR(__xludf.DUMMYFUNCTION("""COMPUTED_VALUE"""),15.1)</f>
        <v>15.1</v>
      </c>
      <c r="Q73" s="4">
        <f>IFERROR(__xludf.DUMMYFUNCTION("""COMPUTED_VALUE"""),4.0)</f>
        <v>4</v>
      </c>
      <c r="R73" s="4">
        <f>IFERROR(__xludf.DUMMYFUNCTION("""COMPUTED_VALUE"""),4.6)</f>
        <v>4.6</v>
      </c>
      <c r="S73" s="4">
        <f>IFERROR(__xludf.DUMMYFUNCTION("""COMPUTED_VALUE"""),2.1)</f>
        <v>2.1</v>
      </c>
      <c r="T73" s="4">
        <f>IFERROR(__xludf.DUMMYFUNCTION("""COMPUTED_VALUE"""),0.039)</f>
        <v>0.039</v>
      </c>
      <c r="U73" s="4">
        <f>IFERROR(__xludf.DUMMYFUNCTION("""COMPUTED_VALUE"""),-2.5)</f>
        <v>-2.5</v>
      </c>
      <c r="V73" s="4">
        <f>IFERROR(__xludf.DUMMYFUNCTION("""COMPUTED_VALUE"""),-0.3)</f>
        <v>-0.3</v>
      </c>
    </row>
    <row r="74">
      <c r="A74" s="4">
        <f>IFERROR(__xludf.DUMMYFUNCTION("""COMPUTED_VALUE"""),5.0)</f>
        <v>5</v>
      </c>
      <c r="B74" s="4">
        <f>IFERROR(__xludf.DUMMYFUNCTION("""COMPUTED_VALUE"""),5.0)</f>
        <v>5</v>
      </c>
      <c r="C74" s="4" t="str">
        <f>IFERROR(__xludf.DUMMYFUNCTION("""COMPUTED_VALUE"""),"DET")</f>
        <v>DET</v>
      </c>
      <c r="D74" s="4" t="str">
        <f>IFERROR(__xludf.DUMMYFUNCTION("""COMPUTED_VALUE"""),"Ron Holland")</f>
        <v>Ron Holland</v>
      </c>
      <c r="E74" s="4"/>
      <c r="F74" s="4">
        <f>IFERROR(__xludf.DUMMYFUNCTION("""COMPUTED_VALUE"""),2.0)</f>
        <v>2</v>
      </c>
      <c r="G74" s="4">
        <f>IFERROR(__xludf.DUMMYFUNCTION("""COMPUTED_VALUE"""),102.0)</f>
        <v>102</v>
      </c>
      <c r="H74" s="4">
        <f>IFERROR(__xludf.DUMMYFUNCTION("""COMPUTED_VALUE"""),1716.0)</f>
        <v>1716</v>
      </c>
      <c r="I74" s="4">
        <f>IFERROR(__xludf.DUMMYFUNCTION("""COMPUTED_VALUE"""),688.0)</f>
        <v>688</v>
      </c>
      <c r="J74" s="4">
        <f>IFERROR(__xludf.DUMMYFUNCTION("""COMPUTED_VALUE"""),288.0)</f>
        <v>288</v>
      </c>
      <c r="K74" s="4">
        <f>IFERROR(__xludf.DUMMYFUNCTION("""COMPUTED_VALUE"""),119.0)</f>
        <v>119</v>
      </c>
      <c r="L74" s="4">
        <f>IFERROR(__xludf.DUMMYFUNCTION("""COMPUTED_VALUE"""),0.461)</f>
        <v>0.461</v>
      </c>
      <c r="M74" s="4">
        <f>IFERROR(__xludf.DUMMYFUNCTION("""COMPUTED_VALUE"""),0.248)</f>
        <v>0.248</v>
      </c>
      <c r="N74" s="4">
        <f>IFERROR(__xludf.DUMMYFUNCTION("""COMPUTED_VALUE"""),0.77)</f>
        <v>0.77</v>
      </c>
      <c r="O74" s="4">
        <f>IFERROR(__xludf.DUMMYFUNCTION("""COMPUTED_VALUE"""),16.8)</f>
        <v>16.8</v>
      </c>
      <c r="P74" s="4">
        <f>IFERROR(__xludf.DUMMYFUNCTION("""COMPUTED_VALUE"""),6.7)</f>
        <v>6.7</v>
      </c>
      <c r="Q74" s="4">
        <f>IFERROR(__xludf.DUMMYFUNCTION("""COMPUTED_VALUE"""),2.8)</f>
        <v>2.8</v>
      </c>
      <c r="R74" s="4">
        <f>IFERROR(__xludf.DUMMYFUNCTION("""COMPUTED_VALUE"""),1.2)</f>
        <v>1.2</v>
      </c>
      <c r="S74" s="4">
        <f>IFERROR(__xludf.DUMMYFUNCTION("""COMPUTED_VALUE"""),2.4)</f>
        <v>2.4</v>
      </c>
      <c r="T74" s="4">
        <f>IFERROR(__xludf.DUMMYFUNCTION("""COMPUTED_VALUE"""),0.067)</f>
        <v>0.067</v>
      </c>
      <c r="U74" s="4">
        <f>IFERROR(__xludf.DUMMYFUNCTION("""COMPUTED_VALUE"""),-2.6)</f>
        <v>-2.6</v>
      </c>
      <c r="V74" s="4">
        <f>IFERROR(__xludf.DUMMYFUNCTION("""COMPUTED_VALUE"""),-0.3)</f>
        <v>-0.3</v>
      </c>
    </row>
    <row r="75">
      <c r="A75" s="4">
        <f>IFERROR(__xludf.DUMMYFUNCTION("""COMPUTED_VALUE"""),6.0)</f>
        <v>6</v>
      </c>
      <c r="B75" s="4">
        <f>IFERROR(__xludf.DUMMYFUNCTION("""COMPUTED_VALUE"""),6.0)</f>
        <v>6</v>
      </c>
      <c r="C75" s="4" t="str">
        <f>IFERROR(__xludf.DUMMYFUNCTION("""COMPUTED_VALUE"""),"CHO")</f>
        <v>CHO</v>
      </c>
      <c r="D75" s="4" t="str">
        <f>IFERROR(__xludf.DUMMYFUNCTION("""COMPUTED_VALUE"""),"Tidjane Salaün")</f>
        <v>Tidjane Salaün</v>
      </c>
      <c r="E75" s="4"/>
      <c r="F75" s="4">
        <f>IFERROR(__xludf.DUMMYFUNCTION("""COMPUTED_VALUE"""),2.0)</f>
        <v>2</v>
      </c>
      <c r="G75" s="4">
        <f>IFERROR(__xludf.DUMMYFUNCTION("""COMPUTED_VALUE"""),68.0)</f>
        <v>68</v>
      </c>
      <c r="H75" s="4">
        <f>IFERROR(__xludf.DUMMYFUNCTION("""COMPUTED_VALUE"""),1345.0)</f>
        <v>1345</v>
      </c>
      <c r="I75" s="4">
        <f>IFERROR(__xludf.DUMMYFUNCTION("""COMPUTED_VALUE"""),385.0)</f>
        <v>385</v>
      </c>
      <c r="J75" s="4">
        <f>IFERROR(__xludf.DUMMYFUNCTION("""COMPUTED_VALUE"""),309.0)</f>
        <v>309</v>
      </c>
      <c r="K75" s="4">
        <f>IFERROR(__xludf.DUMMYFUNCTION("""COMPUTED_VALUE"""),79.0)</f>
        <v>79</v>
      </c>
      <c r="L75" s="4">
        <f>IFERROR(__xludf.DUMMYFUNCTION("""COMPUTED_VALUE"""),0.335)</f>
        <v>0.335</v>
      </c>
      <c r="M75" s="4">
        <f>IFERROR(__xludf.DUMMYFUNCTION("""COMPUTED_VALUE"""),0.286)</f>
        <v>0.286</v>
      </c>
      <c r="N75" s="4">
        <f>IFERROR(__xludf.DUMMYFUNCTION("""COMPUTED_VALUE"""),0.705)</f>
        <v>0.705</v>
      </c>
      <c r="O75" s="4">
        <f>IFERROR(__xludf.DUMMYFUNCTION("""COMPUTED_VALUE"""),19.8)</f>
        <v>19.8</v>
      </c>
      <c r="P75" s="4">
        <f>IFERROR(__xludf.DUMMYFUNCTION("""COMPUTED_VALUE"""),5.7)</f>
        <v>5.7</v>
      </c>
      <c r="Q75" s="4">
        <f>IFERROR(__xludf.DUMMYFUNCTION("""COMPUTED_VALUE"""),4.5)</f>
        <v>4.5</v>
      </c>
      <c r="R75" s="4">
        <f>IFERROR(__xludf.DUMMYFUNCTION("""COMPUTED_VALUE"""),1.2)</f>
        <v>1.2</v>
      </c>
      <c r="S75" s="4">
        <f>IFERROR(__xludf.DUMMYFUNCTION("""COMPUTED_VALUE"""),0.2)</f>
        <v>0.2</v>
      </c>
      <c r="T75" s="4">
        <f>IFERROR(__xludf.DUMMYFUNCTION("""COMPUTED_VALUE"""),0.006)</f>
        <v>0.006</v>
      </c>
      <c r="U75" s="4">
        <f>IFERROR(__xludf.DUMMYFUNCTION("""COMPUTED_VALUE"""),-5.1)</f>
        <v>-5.1</v>
      </c>
      <c r="V75" s="4">
        <f>IFERROR(__xludf.DUMMYFUNCTION("""COMPUTED_VALUE"""),-1.0)</f>
        <v>-1</v>
      </c>
    </row>
    <row r="76">
      <c r="A76" s="4">
        <f>IFERROR(__xludf.DUMMYFUNCTION("""COMPUTED_VALUE"""),7.0)</f>
        <v>7</v>
      </c>
      <c r="B76" s="4">
        <f>IFERROR(__xludf.DUMMYFUNCTION("""COMPUTED_VALUE"""),7.0)</f>
        <v>7</v>
      </c>
      <c r="C76" s="4" t="str">
        <f>IFERROR(__xludf.DUMMYFUNCTION("""COMPUTED_VALUE"""),"POR")</f>
        <v>POR</v>
      </c>
      <c r="D76" s="4" t="str">
        <f>IFERROR(__xludf.DUMMYFUNCTION("""COMPUTED_VALUE"""),"Donovan Clingan")</f>
        <v>Donovan Clingan</v>
      </c>
      <c r="E76" s="4" t="str">
        <f>IFERROR(__xludf.DUMMYFUNCTION("""COMPUTED_VALUE"""),"UConn")</f>
        <v>UConn</v>
      </c>
      <c r="F76" s="4">
        <f>IFERROR(__xludf.DUMMYFUNCTION("""COMPUTED_VALUE"""),2.0)</f>
        <v>2</v>
      </c>
      <c r="G76" s="4">
        <f>IFERROR(__xludf.DUMMYFUNCTION("""COMPUTED_VALUE"""),87.0)</f>
        <v>87</v>
      </c>
      <c r="H76" s="4">
        <f>IFERROR(__xludf.DUMMYFUNCTION("""COMPUTED_VALUE"""),1829.0)</f>
        <v>1829</v>
      </c>
      <c r="I76" s="4">
        <f>IFERROR(__xludf.DUMMYFUNCTION("""COMPUTED_VALUE"""),641.0)</f>
        <v>641</v>
      </c>
      <c r="J76" s="4">
        <f>IFERROR(__xludf.DUMMYFUNCTION("""COMPUTED_VALUE"""),728.0)</f>
        <v>728</v>
      </c>
      <c r="K76" s="4">
        <f>IFERROR(__xludf.DUMMYFUNCTION("""COMPUTED_VALUE"""),110.0)</f>
        <v>110</v>
      </c>
      <c r="L76" s="4">
        <f>IFERROR(__xludf.DUMMYFUNCTION("""COMPUTED_VALUE"""),0.524)</f>
        <v>0.524</v>
      </c>
      <c r="M76" s="4">
        <f>IFERROR(__xludf.DUMMYFUNCTION("""COMPUTED_VALUE"""),0.264)</f>
        <v>0.264</v>
      </c>
      <c r="N76" s="4">
        <f>IFERROR(__xludf.DUMMYFUNCTION("""COMPUTED_VALUE"""),0.66)</f>
        <v>0.66</v>
      </c>
      <c r="O76" s="4">
        <f>IFERROR(__xludf.DUMMYFUNCTION("""COMPUTED_VALUE"""),21.0)</f>
        <v>21</v>
      </c>
      <c r="P76" s="4">
        <f>IFERROR(__xludf.DUMMYFUNCTION("""COMPUTED_VALUE"""),7.4)</f>
        <v>7.4</v>
      </c>
      <c r="Q76" s="4">
        <f>IFERROR(__xludf.DUMMYFUNCTION("""COMPUTED_VALUE"""),8.4)</f>
        <v>8.4</v>
      </c>
      <c r="R76" s="4">
        <f>IFERROR(__xludf.DUMMYFUNCTION("""COMPUTED_VALUE"""),1.3)</f>
        <v>1.3</v>
      </c>
      <c r="S76" s="4">
        <f>IFERROR(__xludf.DUMMYFUNCTION("""COMPUTED_VALUE"""),5.8)</f>
        <v>5.8</v>
      </c>
      <c r="T76" s="4">
        <f>IFERROR(__xludf.DUMMYFUNCTION("""COMPUTED_VALUE"""),0.153)</f>
        <v>0.153</v>
      </c>
      <c r="U76" s="4">
        <f>IFERROR(__xludf.DUMMYFUNCTION("""COMPUTED_VALUE"""),0.1)</f>
        <v>0.1</v>
      </c>
      <c r="V76" s="4">
        <f>IFERROR(__xludf.DUMMYFUNCTION("""COMPUTED_VALUE"""),1.0)</f>
        <v>1</v>
      </c>
    </row>
    <row r="77">
      <c r="A77" s="4">
        <f>IFERROR(__xludf.DUMMYFUNCTION("""COMPUTED_VALUE"""),8.0)</f>
        <v>8</v>
      </c>
      <c r="B77" s="4">
        <f>IFERROR(__xludf.DUMMYFUNCTION("""COMPUTED_VALUE"""),8.0)</f>
        <v>8</v>
      </c>
      <c r="C77" s="4" t="str">
        <f>IFERROR(__xludf.DUMMYFUNCTION("""COMPUTED_VALUE"""),"SAS")</f>
        <v>SAS</v>
      </c>
      <c r="D77" s="4" t="str">
        <f>IFERROR(__xludf.DUMMYFUNCTION("""COMPUTED_VALUE"""),"Rob Dillingham")</f>
        <v>Rob Dillingham</v>
      </c>
      <c r="E77" s="4" t="str">
        <f>IFERROR(__xludf.DUMMYFUNCTION("""COMPUTED_VALUE"""),"Kentucky")</f>
        <v>Kentucky</v>
      </c>
      <c r="F77" s="4">
        <f>IFERROR(__xludf.DUMMYFUNCTION("""COMPUTED_VALUE"""),2.0)</f>
        <v>2</v>
      </c>
      <c r="G77" s="4">
        <f>IFERROR(__xludf.DUMMYFUNCTION("""COMPUTED_VALUE"""),68.0)</f>
        <v>68</v>
      </c>
      <c r="H77" s="4">
        <f>IFERROR(__xludf.DUMMYFUNCTION("""COMPUTED_VALUE"""),712.0)</f>
        <v>712</v>
      </c>
      <c r="I77" s="4">
        <f>IFERROR(__xludf.DUMMYFUNCTION("""COMPUTED_VALUE"""),294.0)</f>
        <v>294</v>
      </c>
      <c r="J77" s="4">
        <f>IFERROR(__xludf.DUMMYFUNCTION("""COMPUTED_VALUE"""),73.0)</f>
        <v>73</v>
      </c>
      <c r="K77" s="4">
        <f>IFERROR(__xludf.DUMMYFUNCTION("""COMPUTED_VALUE"""),134.0)</f>
        <v>134</v>
      </c>
      <c r="L77" s="4">
        <f>IFERROR(__xludf.DUMMYFUNCTION("""COMPUTED_VALUE"""),0.416)</f>
        <v>0.416</v>
      </c>
      <c r="M77" s="4">
        <f>IFERROR(__xludf.DUMMYFUNCTION("""COMPUTED_VALUE"""),0.333)</f>
        <v>0.333</v>
      </c>
      <c r="N77" s="4">
        <f>IFERROR(__xludf.DUMMYFUNCTION("""COMPUTED_VALUE"""),0.607)</f>
        <v>0.607</v>
      </c>
      <c r="O77" s="4">
        <f>IFERROR(__xludf.DUMMYFUNCTION("""COMPUTED_VALUE"""),10.5)</f>
        <v>10.5</v>
      </c>
      <c r="P77" s="4">
        <f>IFERROR(__xludf.DUMMYFUNCTION("""COMPUTED_VALUE"""),4.3)</f>
        <v>4.3</v>
      </c>
      <c r="Q77" s="4">
        <f>IFERROR(__xludf.DUMMYFUNCTION("""COMPUTED_VALUE"""),1.1)</f>
        <v>1.1</v>
      </c>
      <c r="R77" s="4">
        <f>IFERROR(__xludf.DUMMYFUNCTION("""COMPUTED_VALUE"""),2.0)</f>
        <v>2</v>
      </c>
      <c r="S77" s="4">
        <f>IFERROR(__xludf.DUMMYFUNCTION("""COMPUTED_VALUE"""),-0.1)</f>
        <v>-0.1</v>
      </c>
      <c r="T77" s="4">
        <f>IFERROR(__xludf.DUMMYFUNCTION("""COMPUTED_VALUE"""),-0.005)</f>
        <v>-0.005</v>
      </c>
      <c r="U77" s="4">
        <f>IFERROR(__xludf.DUMMYFUNCTION("""COMPUTED_VALUE"""),-5.0)</f>
        <v>-5</v>
      </c>
      <c r="V77" s="4">
        <f>IFERROR(__xludf.DUMMYFUNCTION("""COMPUTED_VALUE"""),-0.6)</f>
        <v>-0.6</v>
      </c>
    </row>
    <row r="78">
      <c r="A78" s="4">
        <f>IFERROR(__xludf.DUMMYFUNCTION("""COMPUTED_VALUE"""),9.0)</f>
        <v>9</v>
      </c>
      <c r="B78" s="4">
        <f>IFERROR(__xludf.DUMMYFUNCTION("""COMPUTED_VALUE"""),9.0)</f>
        <v>9</v>
      </c>
      <c r="C78" s="4" t="str">
        <f>IFERROR(__xludf.DUMMYFUNCTION("""COMPUTED_VALUE"""),"MEM")</f>
        <v>MEM</v>
      </c>
      <c r="D78" s="4" t="str">
        <f>IFERROR(__xludf.DUMMYFUNCTION("""COMPUTED_VALUE"""),"Zach Edey")</f>
        <v>Zach Edey</v>
      </c>
      <c r="E78" s="4" t="str">
        <f>IFERROR(__xludf.DUMMYFUNCTION("""COMPUTED_VALUE"""),"Purdue")</f>
        <v>Purdue</v>
      </c>
      <c r="F78" s="4">
        <f>IFERROR(__xludf.DUMMYFUNCTION("""COMPUTED_VALUE"""),2.0)</f>
        <v>2</v>
      </c>
      <c r="G78" s="4">
        <f>IFERROR(__xludf.DUMMYFUNCTION("""COMPUTED_VALUE"""),75.0)</f>
        <v>75</v>
      </c>
      <c r="H78" s="4">
        <f>IFERROR(__xludf.DUMMYFUNCTION("""COMPUTED_VALUE"""),1649.0)</f>
        <v>1649</v>
      </c>
      <c r="I78" s="4">
        <f>IFERROR(__xludf.DUMMYFUNCTION("""COMPUTED_VALUE"""),738.0)</f>
        <v>738</v>
      </c>
      <c r="J78" s="4">
        <f>IFERROR(__xludf.DUMMYFUNCTION("""COMPUTED_VALUE"""),652.0)</f>
        <v>652</v>
      </c>
      <c r="K78" s="4">
        <f>IFERROR(__xludf.DUMMYFUNCTION("""COMPUTED_VALUE"""),73.0)</f>
        <v>73</v>
      </c>
      <c r="L78" s="4">
        <f>IFERROR(__xludf.DUMMYFUNCTION("""COMPUTED_VALUE"""),0.594)</f>
        <v>0.594</v>
      </c>
      <c r="M78" s="4">
        <f>IFERROR(__xludf.DUMMYFUNCTION("""COMPUTED_VALUE"""),0.345)</f>
        <v>0.345</v>
      </c>
      <c r="N78" s="4">
        <f>IFERROR(__xludf.DUMMYFUNCTION("""COMPUTED_VALUE"""),0.725)</f>
        <v>0.725</v>
      </c>
      <c r="O78" s="4">
        <f>IFERROR(__xludf.DUMMYFUNCTION("""COMPUTED_VALUE"""),22.0)</f>
        <v>22</v>
      </c>
      <c r="P78" s="4">
        <f>IFERROR(__xludf.DUMMYFUNCTION("""COMPUTED_VALUE"""),9.8)</f>
        <v>9.8</v>
      </c>
      <c r="Q78" s="4">
        <f>IFERROR(__xludf.DUMMYFUNCTION("""COMPUTED_VALUE"""),8.7)</f>
        <v>8.7</v>
      </c>
      <c r="R78" s="4">
        <f>IFERROR(__xludf.DUMMYFUNCTION("""COMPUTED_VALUE"""),1.0)</f>
        <v>1</v>
      </c>
      <c r="S78" s="4">
        <f>IFERROR(__xludf.DUMMYFUNCTION("""COMPUTED_VALUE"""),5.8)</f>
        <v>5.8</v>
      </c>
      <c r="T78" s="4">
        <f>IFERROR(__xludf.DUMMYFUNCTION("""COMPUTED_VALUE"""),0.169)</f>
        <v>0.169</v>
      </c>
      <c r="U78" s="4">
        <f>IFERROR(__xludf.DUMMYFUNCTION("""COMPUTED_VALUE"""),0.3)</f>
        <v>0.3</v>
      </c>
      <c r="V78" s="4">
        <f>IFERROR(__xludf.DUMMYFUNCTION("""COMPUTED_VALUE"""),1.0)</f>
        <v>1</v>
      </c>
    </row>
    <row r="79">
      <c r="A79" s="4">
        <f>IFERROR(__xludf.DUMMYFUNCTION("""COMPUTED_VALUE"""),10.0)</f>
        <v>10</v>
      </c>
      <c r="B79" s="4">
        <f>IFERROR(__xludf.DUMMYFUNCTION("""COMPUTED_VALUE"""),10.0)</f>
        <v>10</v>
      </c>
      <c r="C79" s="4" t="str">
        <f>IFERROR(__xludf.DUMMYFUNCTION("""COMPUTED_VALUE"""),"UTA")</f>
        <v>UTA</v>
      </c>
      <c r="D79" s="4" t="str">
        <f>IFERROR(__xludf.DUMMYFUNCTION("""COMPUTED_VALUE"""),"Cody Williams")</f>
        <v>Cody Williams</v>
      </c>
      <c r="E79" s="4" t="str">
        <f>IFERROR(__xludf.DUMMYFUNCTION("""COMPUTED_VALUE"""),"Colorado")</f>
        <v>Colorado</v>
      </c>
      <c r="F79" s="4">
        <f>IFERROR(__xludf.DUMMYFUNCTION("""COMPUTED_VALUE"""),2.0)</f>
        <v>2</v>
      </c>
      <c r="G79" s="4">
        <f>IFERROR(__xludf.DUMMYFUNCTION("""COMPUTED_VALUE"""),61.0)</f>
        <v>61</v>
      </c>
      <c r="H79" s="4">
        <f>IFERROR(__xludf.DUMMYFUNCTION("""COMPUTED_VALUE"""),1201.0)</f>
        <v>1201</v>
      </c>
      <c r="I79" s="4">
        <f>IFERROR(__xludf.DUMMYFUNCTION("""COMPUTED_VALUE"""),255.0)</f>
        <v>255</v>
      </c>
      <c r="J79" s="4">
        <f>IFERROR(__xludf.DUMMYFUNCTION("""COMPUTED_VALUE"""),123.0)</f>
        <v>123</v>
      </c>
      <c r="K79" s="4">
        <f>IFERROR(__xludf.DUMMYFUNCTION("""COMPUTED_VALUE"""),65.0)</f>
        <v>65</v>
      </c>
      <c r="L79" s="4">
        <f>IFERROR(__xludf.DUMMYFUNCTION("""COMPUTED_VALUE"""),0.321)</f>
        <v>0.321</v>
      </c>
      <c r="M79" s="4">
        <f>IFERROR(__xludf.DUMMYFUNCTION("""COMPUTED_VALUE"""),0.242)</f>
        <v>0.242</v>
      </c>
      <c r="N79" s="4">
        <f>IFERROR(__xludf.DUMMYFUNCTION("""COMPUTED_VALUE"""),0.698)</f>
        <v>0.698</v>
      </c>
      <c r="O79" s="4">
        <f>IFERROR(__xludf.DUMMYFUNCTION("""COMPUTED_VALUE"""),19.7)</f>
        <v>19.7</v>
      </c>
      <c r="P79" s="4">
        <f>IFERROR(__xludf.DUMMYFUNCTION("""COMPUTED_VALUE"""),4.2)</f>
        <v>4.2</v>
      </c>
      <c r="Q79" s="4">
        <f>IFERROR(__xludf.DUMMYFUNCTION("""COMPUTED_VALUE"""),2.0)</f>
        <v>2</v>
      </c>
      <c r="R79" s="4">
        <f>IFERROR(__xludf.DUMMYFUNCTION("""COMPUTED_VALUE"""),1.1)</f>
        <v>1.1</v>
      </c>
      <c r="S79" s="4">
        <f>IFERROR(__xludf.DUMMYFUNCTION("""COMPUTED_VALUE"""),-1.4)</f>
        <v>-1.4</v>
      </c>
      <c r="T79" s="4">
        <f>IFERROR(__xludf.DUMMYFUNCTION("""COMPUTED_VALUE"""),-0.057)</f>
        <v>-0.057</v>
      </c>
      <c r="U79" s="4">
        <f>IFERROR(__xludf.DUMMYFUNCTION("""COMPUTED_VALUE"""),-7.7)</f>
        <v>-7.7</v>
      </c>
      <c r="V79" s="4">
        <f>IFERROR(__xludf.DUMMYFUNCTION("""COMPUTED_VALUE"""),-1.7)</f>
        <v>-1.7</v>
      </c>
    </row>
    <row r="80">
      <c r="A80" s="4">
        <f>IFERROR(__xludf.DUMMYFUNCTION("""COMPUTED_VALUE"""),11.0)</f>
        <v>11</v>
      </c>
      <c r="B80" s="4">
        <f>IFERROR(__xludf.DUMMYFUNCTION("""COMPUTED_VALUE"""),11.0)</f>
        <v>11</v>
      </c>
      <c r="C80" s="4" t="str">
        <f>IFERROR(__xludf.DUMMYFUNCTION("""COMPUTED_VALUE"""),"CHI")</f>
        <v>CHI</v>
      </c>
      <c r="D80" s="4" t="str">
        <f>IFERROR(__xludf.DUMMYFUNCTION("""COMPUTED_VALUE"""),"Matas Buzelis")</f>
        <v>Matas Buzelis</v>
      </c>
      <c r="E80" s="4"/>
      <c r="F80" s="4">
        <f>IFERROR(__xludf.DUMMYFUNCTION("""COMPUTED_VALUE"""),2.0)</f>
        <v>2</v>
      </c>
      <c r="G80" s="4">
        <f>IFERROR(__xludf.DUMMYFUNCTION("""COMPUTED_VALUE"""),100.0)</f>
        <v>100</v>
      </c>
      <c r="H80" s="4">
        <f>IFERROR(__xludf.DUMMYFUNCTION("""COMPUTED_VALUE"""),2076.0)</f>
        <v>2076</v>
      </c>
      <c r="I80" s="4">
        <f>IFERROR(__xludf.DUMMYFUNCTION("""COMPUTED_VALUE"""),960.0)</f>
        <v>960</v>
      </c>
      <c r="J80" s="4">
        <f>IFERROR(__xludf.DUMMYFUNCTION("""COMPUTED_VALUE"""),390.0)</f>
        <v>390</v>
      </c>
      <c r="K80" s="4">
        <f>IFERROR(__xludf.DUMMYFUNCTION("""COMPUTED_VALUE"""),110.0)</f>
        <v>110</v>
      </c>
      <c r="L80" s="4">
        <f>IFERROR(__xludf.DUMMYFUNCTION("""COMPUTED_VALUE"""),0.454)</f>
        <v>0.454</v>
      </c>
      <c r="M80" s="4">
        <f>IFERROR(__xludf.DUMMYFUNCTION("""COMPUTED_VALUE"""),0.357)</f>
        <v>0.357</v>
      </c>
      <c r="N80" s="4">
        <f>IFERROR(__xludf.DUMMYFUNCTION("""COMPUTED_VALUE"""),0.81)</f>
        <v>0.81</v>
      </c>
      <c r="O80" s="4">
        <f>IFERROR(__xludf.DUMMYFUNCTION("""COMPUTED_VALUE"""),20.8)</f>
        <v>20.8</v>
      </c>
      <c r="P80" s="4">
        <f>IFERROR(__xludf.DUMMYFUNCTION("""COMPUTED_VALUE"""),9.6)</f>
        <v>9.6</v>
      </c>
      <c r="Q80" s="4">
        <f>IFERROR(__xludf.DUMMYFUNCTION("""COMPUTED_VALUE"""),3.9)</f>
        <v>3.9</v>
      </c>
      <c r="R80" s="4">
        <f>IFERROR(__xludf.DUMMYFUNCTION("""COMPUTED_VALUE"""),1.1)</f>
        <v>1.1</v>
      </c>
      <c r="S80" s="4">
        <f>IFERROR(__xludf.DUMMYFUNCTION("""COMPUTED_VALUE"""),2.4)</f>
        <v>2.4</v>
      </c>
      <c r="T80" s="4">
        <f>IFERROR(__xludf.DUMMYFUNCTION("""COMPUTED_VALUE"""),0.055)</f>
        <v>0.055</v>
      </c>
      <c r="U80" s="4">
        <f>IFERROR(__xludf.DUMMYFUNCTION("""COMPUTED_VALUE"""),-2.6)</f>
        <v>-2.6</v>
      </c>
      <c r="V80" s="4">
        <f>IFERROR(__xludf.DUMMYFUNCTION("""COMPUTED_VALUE"""),-0.3)</f>
        <v>-0.3</v>
      </c>
    </row>
    <row r="81">
      <c r="A81" s="4">
        <f>IFERROR(__xludf.DUMMYFUNCTION("""COMPUTED_VALUE"""),12.0)</f>
        <v>12</v>
      </c>
      <c r="B81" s="4">
        <f>IFERROR(__xludf.DUMMYFUNCTION("""COMPUTED_VALUE"""),12.0)</f>
        <v>12</v>
      </c>
      <c r="C81" s="4" t="str">
        <f>IFERROR(__xludf.DUMMYFUNCTION("""COMPUTED_VALUE"""),"OKC")</f>
        <v>OKC</v>
      </c>
      <c r="D81" s="4" t="str">
        <f>IFERROR(__xludf.DUMMYFUNCTION("""COMPUTED_VALUE"""),"Nikola Topić")</f>
        <v>Nikola Topić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>
        <f>IFERROR(__xludf.DUMMYFUNCTION("""COMPUTED_VALUE"""),13.0)</f>
        <v>13</v>
      </c>
      <c r="B82" s="4">
        <f>IFERROR(__xludf.DUMMYFUNCTION("""COMPUTED_VALUE"""),13.0)</f>
        <v>13</v>
      </c>
      <c r="C82" s="4" t="str">
        <f>IFERROR(__xludf.DUMMYFUNCTION("""COMPUTED_VALUE"""),"SAC")</f>
        <v>SAC</v>
      </c>
      <c r="D82" s="4" t="str">
        <f>IFERROR(__xludf.DUMMYFUNCTION("""COMPUTED_VALUE"""),"Devin Carter")</f>
        <v>Devin Carter</v>
      </c>
      <c r="E82" s="4" t="str">
        <f>IFERROR(__xludf.DUMMYFUNCTION("""COMPUTED_VALUE"""),"Providence")</f>
        <v>Providence</v>
      </c>
      <c r="F82" s="4">
        <f>IFERROR(__xludf.DUMMYFUNCTION("""COMPUTED_VALUE"""),2.0)</f>
        <v>2</v>
      </c>
      <c r="G82" s="4">
        <f>IFERROR(__xludf.DUMMYFUNCTION("""COMPUTED_VALUE"""),44.0)</f>
        <v>44</v>
      </c>
      <c r="H82" s="4">
        <f>IFERROR(__xludf.DUMMYFUNCTION("""COMPUTED_VALUE"""),461.0)</f>
        <v>461</v>
      </c>
      <c r="I82" s="4">
        <f>IFERROR(__xludf.DUMMYFUNCTION("""COMPUTED_VALUE"""),155.0)</f>
        <v>155</v>
      </c>
      <c r="J82" s="4">
        <f>IFERROR(__xludf.DUMMYFUNCTION("""COMPUTED_VALUE"""),88.0)</f>
        <v>88</v>
      </c>
      <c r="K82" s="4">
        <f>IFERROR(__xludf.DUMMYFUNCTION("""COMPUTED_VALUE"""),50.0)</f>
        <v>50</v>
      </c>
      <c r="L82" s="4">
        <f>IFERROR(__xludf.DUMMYFUNCTION("""COMPUTED_VALUE"""),0.351)</f>
        <v>0.351</v>
      </c>
      <c r="M82" s="4">
        <f>IFERROR(__xludf.DUMMYFUNCTION("""COMPUTED_VALUE"""),0.278)</f>
        <v>0.278</v>
      </c>
      <c r="N82" s="4">
        <f>IFERROR(__xludf.DUMMYFUNCTION("""COMPUTED_VALUE"""),0.633)</f>
        <v>0.633</v>
      </c>
      <c r="O82" s="4">
        <f>IFERROR(__xludf.DUMMYFUNCTION("""COMPUTED_VALUE"""),10.5)</f>
        <v>10.5</v>
      </c>
      <c r="P82" s="4">
        <f>IFERROR(__xludf.DUMMYFUNCTION("""COMPUTED_VALUE"""),3.5)</f>
        <v>3.5</v>
      </c>
      <c r="Q82" s="4">
        <f>IFERROR(__xludf.DUMMYFUNCTION("""COMPUTED_VALUE"""),2.0)</f>
        <v>2</v>
      </c>
      <c r="R82" s="4">
        <f>IFERROR(__xludf.DUMMYFUNCTION("""COMPUTED_VALUE"""),1.1)</f>
        <v>1.1</v>
      </c>
      <c r="S82" s="4">
        <f>IFERROR(__xludf.DUMMYFUNCTION("""COMPUTED_VALUE"""),0.2)</f>
        <v>0.2</v>
      </c>
      <c r="T82" s="4">
        <f>IFERROR(__xludf.DUMMYFUNCTION("""COMPUTED_VALUE"""),0.025)</f>
        <v>0.025</v>
      </c>
      <c r="U82" s="4">
        <f>IFERROR(__xludf.DUMMYFUNCTION("""COMPUTED_VALUE"""),-3.4)</f>
        <v>-3.4</v>
      </c>
      <c r="V82" s="4">
        <f>IFERROR(__xludf.DUMMYFUNCTION("""COMPUTED_VALUE"""),-0.2)</f>
        <v>-0.2</v>
      </c>
    </row>
    <row r="83">
      <c r="A83" s="4">
        <f>IFERROR(__xludf.DUMMYFUNCTION("""COMPUTED_VALUE"""),14.0)</f>
        <v>14</v>
      </c>
      <c r="B83" s="4">
        <f>IFERROR(__xludf.DUMMYFUNCTION("""COMPUTED_VALUE"""),14.0)</f>
        <v>14</v>
      </c>
      <c r="C83" s="4" t="str">
        <f>IFERROR(__xludf.DUMMYFUNCTION("""COMPUTED_VALUE"""),"POR")</f>
        <v>POR</v>
      </c>
      <c r="D83" s="4" t="str">
        <f>IFERROR(__xludf.DUMMYFUNCTION("""COMPUTED_VALUE"""),"Bub Carrington")</f>
        <v>Bub Carrington</v>
      </c>
      <c r="E83" s="4" t="str">
        <f>IFERROR(__xludf.DUMMYFUNCTION("""COMPUTED_VALUE"""),"Pitt")</f>
        <v>Pitt</v>
      </c>
      <c r="F83" s="4">
        <f>IFERROR(__xludf.DUMMYFUNCTION("""COMPUTED_VALUE"""),2.0)</f>
        <v>2</v>
      </c>
      <c r="G83" s="4">
        <f>IFERROR(__xludf.DUMMYFUNCTION("""COMPUTED_VALUE"""),102.0)</f>
        <v>102</v>
      </c>
      <c r="H83" s="4">
        <f>IFERROR(__xludf.DUMMYFUNCTION("""COMPUTED_VALUE"""),2959.0)</f>
        <v>2959</v>
      </c>
      <c r="I83" s="4">
        <f>IFERROR(__xludf.DUMMYFUNCTION("""COMPUTED_VALUE"""),939.0)</f>
        <v>939</v>
      </c>
      <c r="J83" s="4">
        <f>IFERROR(__xludf.DUMMYFUNCTION("""COMPUTED_VALUE"""),411.0)</f>
        <v>411</v>
      </c>
      <c r="K83" s="4">
        <f>IFERROR(__xludf.DUMMYFUNCTION("""COMPUTED_VALUE"""),446.0)</f>
        <v>446</v>
      </c>
      <c r="L83" s="4">
        <f>IFERROR(__xludf.DUMMYFUNCTION("""COMPUTED_VALUE"""),0.392)</f>
        <v>0.392</v>
      </c>
      <c r="M83" s="4">
        <f>IFERROR(__xludf.DUMMYFUNCTION("""COMPUTED_VALUE"""),0.35)</f>
        <v>0.35</v>
      </c>
      <c r="N83" s="4">
        <f>IFERROR(__xludf.DUMMYFUNCTION("""COMPUTED_VALUE"""),0.802)</f>
        <v>0.802</v>
      </c>
      <c r="O83" s="4">
        <f>IFERROR(__xludf.DUMMYFUNCTION("""COMPUTED_VALUE"""),29.0)</f>
        <v>29</v>
      </c>
      <c r="P83" s="4">
        <f>IFERROR(__xludf.DUMMYFUNCTION("""COMPUTED_VALUE"""),9.2)</f>
        <v>9.2</v>
      </c>
      <c r="Q83" s="4">
        <f>IFERROR(__xludf.DUMMYFUNCTION("""COMPUTED_VALUE"""),4.0)</f>
        <v>4</v>
      </c>
      <c r="R83" s="4">
        <f>IFERROR(__xludf.DUMMYFUNCTION("""COMPUTED_VALUE"""),4.4)</f>
        <v>4.4</v>
      </c>
      <c r="S83" s="4">
        <f>IFERROR(__xludf.DUMMYFUNCTION("""COMPUTED_VALUE"""),-0.5)</f>
        <v>-0.5</v>
      </c>
      <c r="T83" s="4">
        <f>IFERROR(__xludf.DUMMYFUNCTION("""COMPUTED_VALUE"""),-0.009)</f>
        <v>-0.009</v>
      </c>
      <c r="U83" s="4">
        <f>IFERROR(__xludf.DUMMYFUNCTION("""COMPUTED_VALUE"""),-5.2)</f>
        <v>-5.2</v>
      </c>
      <c r="V83" s="4">
        <f>IFERROR(__xludf.DUMMYFUNCTION("""COMPUTED_VALUE"""),-2.4)</f>
        <v>-2.4</v>
      </c>
    </row>
    <row r="84">
      <c r="A84" s="4">
        <f>IFERROR(__xludf.DUMMYFUNCTION("""COMPUTED_VALUE"""),15.0)</f>
        <v>15</v>
      </c>
      <c r="B84" s="4">
        <f>IFERROR(__xludf.DUMMYFUNCTION("""COMPUTED_VALUE"""),15.0)</f>
        <v>15</v>
      </c>
      <c r="C84" s="4" t="str">
        <f>IFERROR(__xludf.DUMMYFUNCTION("""COMPUTED_VALUE"""),"MIA")</f>
        <v>MIA</v>
      </c>
      <c r="D84" s="4" t="str">
        <f>IFERROR(__xludf.DUMMYFUNCTION("""COMPUTED_VALUE"""),"Kel'el Ware")</f>
        <v>Kel'el Ware</v>
      </c>
      <c r="E84" s="4" t="str">
        <f>IFERROR(__xludf.DUMMYFUNCTION("""COMPUTED_VALUE"""),"Indiana")</f>
        <v>Indiana</v>
      </c>
      <c r="F84" s="4">
        <f>IFERROR(__xludf.DUMMYFUNCTION("""COMPUTED_VALUE"""),2.0)</f>
        <v>2</v>
      </c>
      <c r="G84" s="4">
        <f>IFERROR(__xludf.DUMMYFUNCTION("""COMPUTED_VALUE"""),85.0)</f>
        <v>85</v>
      </c>
      <c r="H84" s="4">
        <f>IFERROR(__xludf.DUMMYFUNCTION("""COMPUTED_VALUE"""),1935.0)</f>
        <v>1935</v>
      </c>
      <c r="I84" s="4">
        <f>IFERROR(__xludf.DUMMYFUNCTION("""COMPUTED_VALUE"""),842.0)</f>
        <v>842</v>
      </c>
      <c r="J84" s="4">
        <f>IFERROR(__xludf.DUMMYFUNCTION("""COMPUTED_VALUE"""),696.0)</f>
        <v>696</v>
      </c>
      <c r="K84" s="4">
        <f>IFERROR(__xludf.DUMMYFUNCTION("""COMPUTED_VALUE"""),71.0)</f>
        <v>71</v>
      </c>
      <c r="L84" s="4">
        <f>IFERROR(__xludf.DUMMYFUNCTION("""COMPUTED_VALUE"""),0.546)</f>
        <v>0.546</v>
      </c>
      <c r="M84" s="4">
        <f>IFERROR(__xludf.DUMMYFUNCTION("""COMPUTED_VALUE"""),0.342)</f>
        <v>0.342</v>
      </c>
      <c r="N84" s="4">
        <f>IFERROR(__xludf.DUMMYFUNCTION("""COMPUTED_VALUE"""),0.731)</f>
        <v>0.731</v>
      </c>
      <c r="O84" s="4">
        <f>IFERROR(__xludf.DUMMYFUNCTION("""COMPUTED_VALUE"""),22.8)</f>
        <v>22.8</v>
      </c>
      <c r="P84" s="4">
        <f>IFERROR(__xludf.DUMMYFUNCTION("""COMPUTED_VALUE"""),9.9)</f>
        <v>9.9</v>
      </c>
      <c r="Q84" s="4">
        <f>IFERROR(__xludf.DUMMYFUNCTION("""COMPUTED_VALUE"""),8.2)</f>
        <v>8.2</v>
      </c>
      <c r="R84" s="4">
        <f>IFERROR(__xludf.DUMMYFUNCTION("""COMPUTED_VALUE"""),0.8)</f>
        <v>0.8</v>
      </c>
      <c r="S84" s="4">
        <f>IFERROR(__xludf.DUMMYFUNCTION("""COMPUTED_VALUE"""),6.2)</f>
        <v>6.2</v>
      </c>
      <c r="T84" s="4">
        <f>IFERROR(__xludf.DUMMYFUNCTION("""COMPUTED_VALUE"""),0.153)</f>
        <v>0.153</v>
      </c>
      <c r="U84" s="4">
        <f>IFERROR(__xludf.DUMMYFUNCTION("""COMPUTED_VALUE"""),0.4)</f>
        <v>0.4</v>
      </c>
      <c r="V84" s="4">
        <f>IFERROR(__xludf.DUMMYFUNCTION("""COMPUTED_VALUE"""),1.2)</f>
        <v>1.2</v>
      </c>
    </row>
    <row r="85">
      <c r="A85" s="4">
        <f>IFERROR(__xludf.DUMMYFUNCTION("""COMPUTED_VALUE"""),16.0)</f>
        <v>16</v>
      </c>
      <c r="B85" s="4">
        <f>IFERROR(__xludf.DUMMYFUNCTION("""COMPUTED_VALUE"""),16.0)</f>
        <v>16</v>
      </c>
      <c r="C85" s="4" t="str">
        <f>IFERROR(__xludf.DUMMYFUNCTION("""COMPUTED_VALUE"""),"PHI")</f>
        <v>PHI</v>
      </c>
      <c r="D85" s="4" t="str">
        <f>IFERROR(__xludf.DUMMYFUNCTION("""COMPUTED_VALUE"""),"Jared McCain")</f>
        <v>Jared McCain</v>
      </c>
      <c r="E85" s="4" t="str">
        <f>IFERROR(__xludf.DUMMYFUNCTION("""COMPUTED_VALUE"""),"Duke")</f>
        <v>Duke</v>
      </c>
      <c r="F85" s="4">
        <f>IFERROR(__xludf.DUMMYFUNCTION("""COMPUTED_VALUE"""),2.0)</f>
        <v>2</v>
      </c>
      <c r="G85" s="4">
        <f>IFERROR(__xludf.DUMMYFUNCTION("""COMPUTED_VALUE"""),34.0)</f>
        <v>34</v>
      </c>
      <c r="H85" s="4">
        <f>IFERROR(__xludf.DUMMYFUNCTION("""COMPUTED_VALUE"""),788.0)</f>
        <v>788</v>
      </c>
      <c r="I85" s="4">
        <f>IFERROR(__xludf.DUMMYFUNCTION("""COMPUTED_VALUE"""),434.0)</f>
        <v>434</v>
      </c>
      <c r="J85" s="4">
        <f>IFERROR(__xludf.DUMMYFUNCTION("""COMPUTED_VALUE"""),75.0)</f>
        <v>75</v>
      </c>
      <c r="K85" s="4">
        <f>IFERROR(__xludf.DUMMYFUNCTION("""COMPUTED_VALUE"""),76.0)</f>
        <v>76</v>
      </c>
      <c r="L85" s="4">
        <f>IFERROR(__xludf.DUMMYFUNCTION("""COMPUTED_VALUE"""),0.441)</f>
        <v>0.441</v>
      </c>
      <c r="M85" s="4">
        <f>IFERROR(__xludf.DUMMYFUNCTION("""COMPUTED_VALUE"""),0.382)</f>
        <v>0.382</v>
      </c>
      <c r="N85" s="4">
        <f>IFERROR(__xludf.DUMMYFUNCTION("""COMPUTED_VALUE"""),0.871)</f>
        <v>0.871</v>
      </c>
      <c r="O85" s="4">
        <f>IFERROR(__xludf.DUMMYFUNCTION("""COMPUTED_VALUE"""),23.2)</f>
        <v>23.2</v>
      </c>
      <c r="P85" s="4">
        <f>IFERROR(__xludf.DUMMYFUNCTION("""COMPUTED_VALUE"""),12.8)</f>
        <v>12.8</v>
      </c>
      <c r="Q85" s="4">
        <f>IFERROR(__xludf.DUMMYFUNCTION("""COMPUTED_VALUE"""),2.2)</f>
        <v>2.2</v>
      </c>
      <c r="R85" s="4">
        <f>IFERROR(__xludf.DUMMYFUNCTION("""COMPUTED_VALUE"""),2.2)</f>
        <v>2.2</v>
      </c>
      <c r="S85" s="4">
        <f>IFERROR(__xludf.DUMMYFUNCTION("""COMPUTED_VALUE"""),0.7)</f>
        <v>0.7</v>
      </c>
      <c r="T85" s="4">
        <f>IFERROR(__xludf.DUMMYFUNCTION("""COMPUTED_VALUE"""),0.044)</f>
        <v>0.044</v>
      </c>
      <c r="U85" s="4">
        <f>IFERROR(__xludf.DUMMYFUNCTION("""COMPUTED_VALUE"""),-1.1)</f>
        <v>-1.1</v>
      </c>
      <c r="V85" s="4">
        <f>IFERROR(__xludf.DUMMYFUNCTION("""COMPUTED_VALUE"""),0.2)</f>
        <v>0.2</v>
      </c>
    </row>
    <row r="86">
      <c r="A86" s="4">
        <f>IFERROR(__xludf.DUMMYFUNCTION("""COMPUTED_VALUE"""),17.0)</f>
        <v>17</v>
      </c>
      <c r="B86" s="4">
        <f>IFERROR(__xludf.DUMMYFUNCTION("""COMPUTED_VALUE"""),17.0)</f>
        <v>17</v>
      </c>
      <c r="C86" s="4" t="str">
        <f>IFERROR(__xludf.DUMMYFUNCTION("""COMPUTED_VALUE"""),"LAL")</f>
        <v>LAL</v>
      </c>
      <c r="D86" s="4" t="str">
        <f>IFERROR(__xludf.DUMMYFUNCTION("""COMPUTED_VALUE"""),"Dalton Knecht")</f>
        <v>Dalton Knecht</v>
      </c>
      <c r="E86" s="4" t="str">
        <f>IFERROR(__xludf.DUMMYFUNCTION("""COMPUTED_VALUE"""),"Tennessee")</f>
        <v>Tennessee</v>
      </c>
      <c r="F86" s="4">
        <f>IFERROR(__xludf.DUMMYFUNCTION("""COMPUTED_VALUE"""),2.0)</f>
        <v>2</v>
      </c>
      <c r="G86" s="4">
        <f>IFERROR(__xludf.DUMMYFUNCTION("""COMPUTED_VALUE"""),95.0)</f>
        <v>95</v>
      </c>
      <c r="H86" s="4">
        <f>IFERROR(__xludf.DUMMYFUNCTION("""COMPUTED_VALUE"""),1778.0)</f>
        <v>1778</v>
      </c>
      <c r="I86" s="4">
        <f>IFERROR(__xludf.DUMMYFUNCTION("""COMPUTED_VALUE"""),822.0)</f>
        <v>822</v>
      </c>
      <c r="J86" s="4">
        <f>IFERROR(__xludf.DUMMYFUNCTION("""COMPUTED_VALUE"""),252.0)</f>
        <v>252</v>
      </c>
      <c r="K86" s="4">
        <f>IFERROR(__xludf.DUMMYFUNCTION("""COMPUTED_VALUE"""),77.0)</f>
        <v>77</v>
      </c>
      <c r="L86" s="4">
        <f>IFERROR(__xludf.DUMMYFUNCTION("""COMPUTED_VALUE"""),0.463)</f>
        <v>0.463</v>
      </c>
      <c r="M86" s="4">
        <f>IFERROR(__xludf.DUMMYFUNCTION("""COMPUTED_VALUE"""),0.373)</f>
        <v>0.373</v>
      </c>
      <c r="N86" s="4">
        <f>IFERROR(__xludf.DUMMYFUNCTION("""COMPUTED_VALUE"""),0.747)</f>
        <v>0.747</v>
      </c>
      <c r="O86" s="4">
        <f>IFERROR(__xludf.DUMMYFUNCTION("""COMPUTED_VALUE"""),18.7)</f>
        <v>18.7</v>
      </c>
      <c r="P86" s="4">
        <f>IFERROR(__xludf.DUMMYFUNCTION("""COMPUTED_VALUE"""),8.7)</f>
        <v>8.7</v>
      </c>
      <c r="Q86" s="4">
        <f>IFERROR(__xludf.DUMMYFUNCTION("""COMPUTED_VALUE"""),2.7)</f>
        <v>2.7</v>
      </c>
      <c r="R86" s="4">
        <f>IFERROR(__xludf.DUMMYFUNCTION("""COMPUTED_VALUE"""),0.8)</f>
        <v>0.8</v>
      </c>
      <c r="S86" s="4">
        <f>IFERROR(__xludf.DUMMYFUNCTION("""COMPUTED_VALUE"""),3.1)</f>
        <v>3.1</v>
      </c>
      <c r="T86" s="4">
        <f>IFERROR(__xludf.DUMMYFUNCTION("""COMPUTED_VALUE"""),0.084)</f>
        <v>0.084</v>
      </c>
      <c r="U86" s="4">
        <f>IFERROR(__xludf.DUMMYFUNCTION("""COMPUTED_VALUE"""),-1.8)</f>
        <v>-1.8</v>
      </c>
      <c r="V86" s="4">
        <f>IFERROR(__xludf.DUMMYFUNCTION("""COMPUTED_VALUE"""),0.1)</f>
        <v>0.1</v>
      </c>
    </row>
    <row r="87">
      <c r="A87" s="4">
        <f>IFERROR(__xludf.DUMMYFUNCTION("""COMPUTED_VALUE"""),18.0)</f>
        <v>18</v>
      </c>
      <c r="B87" s="4">
        <f>IFERROR(__xludf.DUMMYFUNCTION("""COMPUTED_VALUE"""),18.0)</f>
        <v>18</v>
      </c>
      <c r="C87" s="4" t="str">
        <f>IFERROR(__xludf.DUMMYFUNCTION("""COMPUTED_VALUE"""),"ORL")</f>
        <v>ORL</v>
      </c>
      <c r="D87" s="4" t="str">
        <f>IFERROR(__xludf.DUMMYFUNCTION("""COMPUTED_VALUE"""),"Tristan Da Silva")</f>
        <v>Tristan Da Silva</v>
      </c>
      <c r="E87" s="4" t="str">
        <f>IFERROR(__xludf.DUMMYFUNCTION("""COMPUTED_VALUE"""),"Colorado")</f>
        <v>Colorado</v>
      </c>
      <c r="F87" s="4">
        <f>IFERROR(__xludf.DUMMYFUNCTION("""COMPUTED_VALUE"""),2.0)</f>
        <v>2</v>
      </c>
      <c r="G87" s="4">
        <f>IFERROR(__xludf.DUMMYFUNCTION("""COMPUTED_VALUE"""),95.0)</f>
        <v>95</v>
      </c>
      <c r="H87" s="4">
        <f>IFERROR(__xludf.DUMMYFUNCTION("""COMPUTED_VALUE"""),2123.0)</f>
        <v>2123</v>
      </c>
      <c r="I87" s="4">
        <f>IFERROR(__xludf.DUMMYFUNCTION("""COMPUTED_VALUE"""),759.0)</f>
        <v>759</v>
      </c>
      <c r="J87" s="4">
        <f>IFERROR(__xludf.DUMMYFUNCTION("""COMPUTED_VALUE"""),324.0)</f>
        <v>324</v>
      </c>
      <c r="K87" s="4">
        <f>IFERROR(__xludf.DUMMYFUNCTION("""COMPUTED_VALUE"""),140.0)</f>
        <v>140</v>
      </c>
      <c r="L87" s="4">
        <f>IFERROR(__xludf.DUMMYFUNCTION("""COMPUTED_VALUE"""),0.427)</f>
        <v>0.427</v>
      </c>
      <c r="M87" s="4">
        <f>IFERROR(__xludf.DUMMYFUNCTION("""COMPUTED_VALUE"""),0.35)</f>
        <v>0.35</v>
      </c>
      <c r="N87" s="4">
        <f>IFERROR(__xludf.DUMMYFUNCTION("""COMPUTED_VALUE"""),0.854)</f>
        <v>0.854</v>
      </c>
      <c r="O87" s="4">
        <f>IFERROR(__xludf.DUMMYFUNCTION("""COMPUTED_VALUE"""),22.3)</f>
        <v>22.3</v>
      </c>
      <c r="P87" s="4">
        <f>IFERROR(__xludf.DUMMYFUNCTION("""COMPUTED_VALUE"""),8.0)</f>
        <v>8</v>
      </c>
      <c r="Q87" s="4">
        <f>IFERROR(__xludf.DUMMYFUNCTION("""COMPUTED_VALUE"""),3.4)</f>
        <v>3.4</v>
      </c>
      <c r="R87" s="4">
        <f>IFERROR(__xludf.DUMMYFUNCTION("""COMPUTED_VALUE"""),1.5)</f>
        <v>1.5</v>
      </c>
      <c r="S87" s="4">
        <f>IFERROR(__xludf.DUMMYFUNCTION("""COMPUTED_VALUE"""),3.6)</f>
        <v>3.6</v>
      </c>
      <c r="T87" s="4">
        <f>IFERROR(__xludf.DUMMYFUNCTION("""COMPUTED_VALUE"""),0.082)</f>
        <v>0.082</v>
      </c>
      <c r="U87" s="4">
        <f>IFERROR(__xludf.DUMMYFUNCTION("""COMPUTED_VALUE"""),-1.8)</f>
        <v>-1.8</v>
      </c>
      <c r="V87" s="4">
        <f>IFERROR(__xludf.DUMMYFUNCTION("""COMPUTED_VALUE"""),0.1)</f>
        <v>0.1</v>
      </c>
    </row>
    <row r="88">
      <c r="A88" s="4">
        <f>IFERROR(__xludf.DUMMYFUNCTION("""COMPUTED_VALUE"""),19.0)</f>
        <v>19</v>
      </c>
      <c r="B88" s="4">
        <f>IFERROR(__xludf.DUMMYFUNCTION("""COMPUTED_VALUE"""),19.0)</f>
        <v>19</v>
      </c>
      <c r="C88" s="4" t="str">
        <f>IFERROR(__xludf.DUMMYFUNCTION("""COMPUTED_VALUE"""),"TOR")</f>
        <v>TOR</v>
      </c>
      <c r="D88" s="4" t="str">
        <f>IFERROR(__xludf.DUMMYFUNCTION("""COMPUTED_VALUE"""),"Ja'Kobe Walter")</f>
        <v>Ja'Kobe Walter</v>
      </c>
      <c r="E88" s="4" t="str">
        <f>IFERROR(__xludf.DUMMYFUNCTION("""COMPUTED_VALUE"""),"Baylor")</f>
        <v>Baylor</v>
      </c>
      <c r="F88" s="4">
        <f>IFERROR(__xludf.DUMMYFUNCTION("""COMPUTED_VALUE"""),2.0)</f>
        <v>2</v>
      </c>
      <c r="G88" s="4">
        <f>IFERROR(__xludf.DUMMYFUNCTION("""COMPUTED_VALUE"""),71.0)</f>
        <v>71</v>
      </c>
      <c r="H88" s="4">
        <f>IFERROR(__xludf.DUMMYFUNCTION("""COMPUTED_VALUE"""),1405.0)</f>
        <v>1405</v>
      </c>
      <c r="I88" s="4">
        <f>IFERROR(__xludf.DUMMYFUNCTION("""COMPUTED_VALUE"""),544.0)</f>
        <v>544</v>
      </c>
      <c r="J88" s="4">
        <f>IFERROR(__xludf.DUMMYFUNCTION("""COMPUTED_VALUE"""),199.0)</f>
        <v>199</v>
      </c>
      <c r="K88" s="4">
        <f>IFERROR(__xludf.DUMMYFUNCTION("""COMPUTED_VALUE"""),94.0)</f>
        <v>94</v>
      </c>
      <c r="L88" s="4">
        <f>IFERROR(__xludf.DUMMYFUNCTION("""COMPUTED_VALUE"""),0.408)</f>
        <v>0.408</v>
      </c>
      <c r="M88" s="4">
        <f>IFERROR(__xludf.DUMMYFUNCTION("""COMPUTED_VALUE"""),0.361)</f>
        <v>0.361</v>
      </c>
      <c r="N88" s="4">
        <f>IFERROR(__xludf.DUMMYFUNCTION("""COMPUTED_VALUE"""),0.804)</f>
        <v>0.804</v>
      </c>
      <c r="O88" s="4">
        <f>IFERROR(__xludf.DUMMYFUNCTION("""COMPUTED_VALUE"""),19.8)</f>
        <v>19.8</v>
      </c>
      <c r="P88" s="4">
        <f>IFERROR(__xludf.DUMMYFUNCTION("""COMPUTED_VALUE"""),7.7)</f>
        <v>7.7</v>
      </c>
      <c r="Q88" s="4">
        <f>IFERROR(__xludf.DUMMYFUNCTION("""COMPUTED_VALUE"""),2.8)</f>
        <v>2.8</v>
      </c>
      <c r="R88" s="4">
        <f>IFERROR(__xludf.DUMMYFUNCTION("""COMPUTED_VALUE"""),1.3)</f>
        <v>1.3</v>
      </c>
      <c r="S88" s="4">
        <f>IFERROR(__xludf.DUMMYFUNCTION("""COMPUTED_VALUE"""),1.7)</f>
        <v>1.7</v>
      </c>
      <c r="T88" s="4">
        <f>IFERROR(__xludf.DUMMYFUNCTION("""COMPUTED_VALUE"""),0.058)</f>
        <v>0.058</v>
      </c>
      <c r="U88" s="4">
        <f>IFERROR(__xludf.DUMMYFUNCTION("""COMPUTED_VALUE"""),-2.6)</f>
        <v>-2.6</v>
      </c>
      <c r="V88" s="4">
        <f>IFERROR(__xludf.DUMMYFUNCTION("""COMPUTED_VALUE"""),-0.2)</f>
        <v>-0.2</v>
      </c>
    </row>
    <row r="89">
      <c r="A89" s="4">
        <f>IFERROR(__xludf.DUMMYFUNCTION("""COMPUTED_VALUE"""),20.0)</f>
        <v>20</v>
      </c>
      <c r="B89" s="4">
        <f>IFERROR(__xludf.DUMMYFUNCTION("""COMPUTED_VALUE"""),20.0)</f>
        <v>20</v>
      </c>
      <c r="C89" s="4" t="str">
        <f>IFERROR(__xludf.DUMMYFUNCTION("""COMPUTED_VALUE"""),"CLE")</f>
        <v>CLE</v>
      </c>
      <c r="D89" s="4" t="str">
        <f>IFERROR(__xludf.DUMMYFUNCTION("""COMPUTED_VALUE"""),"Jaylon Tyson")</f>
        <v>Jaylon Tyson</v>
      </c>
      <c r="E89" s="4" t="str">
        <f>IFERROR(__xludf.DUMMYFUNCTION("""COMPUTED_VALUE"""),"California")</f>
        <v>California</v>
      </c>
      <c r="F89" s="4">
        <f>IFERROR(__xludf.DUMMYFUNCTION("""COMPUTED_VALUE"""),2.0)</f>
        <v>2</v>
      </c>
      <c r="G89" s="4">
        <f>IFERROR(__xludf.DUMMYFUNCTION("""COMPUTED_VALUE"""),64.0)</f>
        <v>64</v>
      </c>
      <c r="H89" s="4">
        <f>IFERROR(__xludf.DUMMYFUNCTION("""COMPUTED_VALUE"""),906.0)</f>
        <v>906</v>
      </c>
      <c r="I89" s="4">
        <f>IFERROR(__xludf.DUMMYFUNCTION("""COMPUTED_VALUE"""),378.0)</f>
        <v>378</v>
      </c>
      <c r="J89" s="4">
        <f>IFERROR(__xludf.DUMMYFUNCTION("""COMPUTED_VALUE"""),179.0)</f>
        <v>179</v>
      </c>
      <c r="K89" s="4">
        <f>IFERROR(__xludf.DUMMYFUNCTION("""COMPUTED_VALUE"""),75.0)</f>
        <v>75</v>
      </c>
      <c r="L89" s="4">
        <f>IFERROR(__xludf.DUMMYFUNCTION("""COMPUTED_VALUE"""),0.47)</f>
        <v>0.47</v>
      </c>
      <c r="M89" s="4">
        <f>IFERROR(__xludf.DUMMYFUNCTION("""COMPUTED_VALUE"""),0.424)</f>
        <v>0.424</v>
      </c>
      <c r="N89" s="4">
        <f>IFERROR(__xludf.DUMMYFUNCTION("""COMPUTED_VALUE"""),0.778)</f>
        <v>0.778</v>
      </c>
      <c r="O89" s="4">
        <f>IFERROR(__xludf.DUMMYFUNCTION("""COMPUTED_VALUE"""),14.2)</f>
        <v>14.2</v>
      </c>
      <c r="P89" s="4">
        <f>IFERROR(__xludf.DUMMYFUNCTION("""COMPUTED_VALUE"""),5.9)</f>
        <v>5.9</v>
      </c>
      <c r="Q89" s="4">
        <f>IFERROR(__xludf.DUMMYFUNCTION("""COMPUTED_VALUE"""),2.8)</f>
        <v>2.8</v>
      </c>
      <c r="R89" s="4">
        <f>IFERROR(__xludf.DUMMYFUNCTION("""COMPUTED_VALUE"""),1.2)</f>
        <v>1.2</v>
      </c>
      <c r="S89" s="4">
        <f>IFERROR(__xludf.DUMMYFUNCTION("""COMPUTED_VALUE"""),2.3)</f>
        <v>2.3</v>
      </c>
      <c r="T89" s="4">
        <f>IFERROR(__xludf.DUMMYFUNCTION("""COMPUTED_VALUE"""),0.122)</f>
        <v>0.122</v>
      </c>
      <c r="U89" s="4">
        <f>IFERROR(__xludf.DUMMYFUNCTION("""COMPUTED_VALUE"""),-0.2)</f>
        <v>-0.2</v>
      </c>
      <c r="V89" s="4">
        <f>IFERROR(__xludf.DUMMYFUNCTION("""COMPUTED_VALUE"""),0.4)</f>
        <v>0.4</v>
      </c>
    </row>
    <row r="90">
      <c r="A90" s="4">
        <f>IFERROR(__xludf.DUMMYFUNCTION("""COMPUTED_VALUE"""),21.0)</f>
        <v>21</v>
      </c>
      <c r="B90" s="4">
        <f>IFERROR(__xludf.DUMMYFUNCTION("""COMPUTED_VALUE"""),21.0)</f>
        <v>21</v>
      </c>
      <c r="C90" s="4" t="str">
        <f>IFERROR(__xludf.DUMMYFUNCTION("""COMPUTED_VALUE"""),"NOP")</f>
        <v>NOP</v>
      </c>
      <c r="D90" s="4" t="str">
        <f>IFERROR(__xludf.DUMMYFUNCTION("""COMPUTED_VALUE"""),"Yves Missi")</f>
        <v>Yves Missi</v>
      </c>
      <c r="E90" s="4" t="str">
        <f>IFERROR(__xludf.DUMMYFUNCTION("""COMPUTED_VALUE"""),"Baylor")</f>
        <v>Baylor</v>
      </c>
      <c r="F90" s="4">
        <f>IFERROR(__xludf.DUMMYFUNCTION("""COMPUTED_VALUE"""),2.0)</f>
        <v>2</v>
      </c>
      <c r="G90" s="4">
        <f>IFERROR(__xludf.DUMMYFUNCTION("""COMPUTED_VALUE"""),89.0)</f>
        <v>89</v>
      </c>
      <c r="H90" s="4">
        <f>IFERROR(__xludf.DUMMYFUNCTION("""COMPUTED_VALUE"""),2282.0)</f>
        <v>2282</v>
      </c>
      <c r="I90" s="4">
        <f>IFERROR(__xludf.DUMMYFUNCTION("""COMPUTED_VALUE"""),762.0)</f>
        <v>762</v>
      </c>
      <c r="J90" s="4">
        <f>IFERROR(__xludf.DUMMYFUNCTION("""COMPUTED_VALUE"""),693.0)</f>
        <v>693</v>
      </c>
      <c r="K90" s="4">
        <f>IFERROR(__xludf.DUMMYFUNCTION("""COMPUTED_VALUE"""),119.0)</f>
        <v>119</v>
      </c>
      <c r="L90" s="4">
        <f>IFERROR(__xludf.DUMMYFUNCTION("""COMPUTED_VALUE"""),0.548)</f>
        <v>0.548</v>
      </c>
      <c r="M90" s="4">
        <f>IFERROR(__xludf.DUMMYFUNCTION("""COMPUTED_VALUE"""),0.0)</f>
        <v>0</v>
      </c>
      <c r="N90" s="4">
        <f>IFERROR(__xludf.DUMMYFUNCTION("""COMPUTED_VALUE"""),0.614)</f>
        <v>0.614</v>
      </c>
      <c r="O90" s="4">
        <f>IFERROR(__xludf.DUMMYFUNCTION("""COMPUTED_VALUE"""),25.6)</f>
        <v>25.6</v>
      </c>
      <c r="P90" s="4">
        <f>IFERROR(__xludf.DUMMYFUNCTION("""COMPUTED_VALUE"""),8.6)</f>
        <v>8.6</v>
      </c>
      <c r="Q90" s="4">
        <f>IFERROR(__xludf.DUMMYFUNCTION("""COMPUTED_VALUE"""),7.8)</f>
        <v>7.8</v>
      </c>
      <c r="R90" s="4">
        <f>IFERROR(__xludf.DUMMYFUNCTION("""COMPUTED_VALUE"""),1.3)</f>
        <v>1.3</v>
      </c>
      <c r="S90" s="4">
        <f>IFERROR(__xludf.DUMMYFUNCTION("""COMPUTED_VALUE"""),4.0)</f>
        <v>4</v>
      </c>
      <c r="T90" s="4">
        <f>IFERROR(__xludf.DUMMYFUNCTION("""COMPUTED_VALUE"""),0.084)</f>
        <v>0.084</v>
      </c>
      <c r="U90" s="4">
        <f>IFERROR(__xludf.DUMMYFUNCTION("""COMPUTED_VALUE"""),-3.1)</f>
        <v>-3.1</v>
      </c>
      <c r="V90" s="4">
        <f>IFERROR(__xludf.DUMMYFUNCTION("""COMPUTED_VALUE"""),-0.7)</f>
        <v>-0.7</v>
      </c>
    </row>
    <row r="91">
      <c r="A91" s="4">
        <f>IFERROR(__xludf.DUMMYFUNCTION("""COMPUTED_VALUE"""),22.0)</f>
        <v>22</v>
      </c>
      <c r="B91" s="4">
        <f>IFERROR(__xludf.DUMMYFUNCTION("""COMPUTED_VALUE"""),22.0)</f>
        <v>22</v>
      </c>
      <c r="C91" s="4" t="str">
        <f>IFERROR(__xludf.DUMMYFUNCTION("""COMPUTED_VALUE"""),"PHO")</f>
        <v>PHO</v>
      </c>
      <c r="D91" s="4" t="str">
        <f>IFERROR(__xludf.DUMMYFUNCTION("""COMPUTED_VALUE"""),"DaRon Holmes")</f>
        <v>DaRon Holmes</v>
      </c>
      <c r="E91" s="4" t="str">
        <f>IFERROR(__xludf.DUMMYFUNCTION("""COMPUTED_VALUE"""),"Dayton")</f>
        <v>Dayton</v>
      </c>
      <c r="F91" s="4">
        <f>IFERROR(__xludf.DUMMYFUNCTION("""COMPUTED_VALUE"""),1.0)</f>
        <v>1</v>
      </c>
      <c r="G91" s="4">
        <f>IFERROR(__xludf.DUMMYFUNCTION("""COMPUTED_VALUE"""),2.0)</f>
        <v>2</v>
      </c>
      <c r="H91" s="4">
        <f>IFERROR(__xludf.DUMMYFUNCTION("""COMPUTED_VALUE"""),4.0)</f>
        <v>4</v>
      </c>
      <c r="I91" s="4">
        <f>IFERROR(__xludf.DUMMYFUNCTION("""COMPUTED_VALUE"""),3.0)</f>
        <v>3</v>
      </c>
      <c r="J91" s="4">
        <f>IFERROR(__xludf.DUMMYFUNCTION("""COMPUTED_VALUE"""),0.0)</f>
        <v>0</v>
      </c>
      <c r="K91" s="4">
        <f>IFERROR(__xludf.DUMMYFUNCTION("""COMPUTED_VALUE"""),0.0)</f>
        <v>0</v>
      </c>
      <c r="L91" s="4">
        <f>IFERROR(__xludf.DUMMYFUNCTION("""COMPUTED_VALUE"""),1.0)</f>
        <v>1</v>
      </c>
      <c r="M91" s="4">
        <f>IFERROR(__xludf.DUMMYFUNCTION("""COMPUTED_VALUE"""),1.0)</f>
        <v>1</v>
      </c>
      <c r="N91" s="4"/>
      <c r="O91" s="4">
        <f>IFERROR(__xludf.DUMMYFUNCTION("""COMPUTED_VALUE"""),2.0)</f>
        <v>2</v>
      </c>
      <c r="P91" s="4">
        <f>IFERROR(__xludf.DUMMYFUNCTION("""COMPUTED_VALUE"""),1.5)</f>
        <v>1.5</v>
      </c>
      <c r="Q91" s="4">
        <f>IFERROR(__xludf.DUMMYFUNCTION("""COMPUTED_VALUE"""),0.0)</f>
        <v>0</v>
      </c>
      <c r="R91" s="4">
        <f>IFERROR(__xludf.DUMMYFUNCTION("""COMPUTED_VALUE"""),0.0)</f>
        <v>0</v>
      </c>
      <c r="S91" s="4">
        <f>IFERROR(__xludf.DUMMYFUNCTION("""COMPUTED_VALUE"""),0.0)</f>
        <v>0</v>
      </c>
      <c r="T91" s="4">
        <f>IFERROR(__xludf.DUMMYFUNCTION("""COMPUTED_VALUE"""),0.188)</f>
        <v>0.188</v>
      </c>
      <c r="U91" s="4">
        <f>IFERROR(__xludf.DUMMYFUNCTION("""COMPUTED_VALUE"""),11.6)</f>
        <v>11.6</v>
      </c>
      <c r="V91" s="4">
        <f>IFERROR(__xludf.DUMMYFUNCTION("""COMPUTED_VALUE"""),0.0)</f>
        <v>0</v>
      </c>
    </row>
    <row r="92">
      <c r="A92" s="4">
        <f>IFERROR(__xludf.DUMMYFUNCTION("""COMPUTED_VALUE"""),23.0)</f>
        <v>23</v>
      </c>
      <c r="B92" s="4">
        <f>IFERROR(__xludf.DUMMYFUNCTION("""COMPUTED_VALUE"""),23.0)</f>
        <v>23</v>
      </c>
      <c r="C92" s="4" t="str">
        <f>IFERROR(__xludf.DUMMYFUNCTION("""COMPUTED_VALUE"""),"MIL")</f>
        <v>MIL</v>
      </c>
      <c r="D92" s="4" t="str">
        <f>IFERROR(__xludf.DUMMYFUNCTION("""COMPUTED_VALUE"""),"AJ Johnson")</f>
        <v>AJ Johnson</v>
      </c>
      <c r="E92" s="4"/>
      <c r="F92" s="4">
        <f>IFERROR(__xludf.DUMMYFUNCTION("""COMPUTED_VALUE"""),2.0)</f>
        <v>2</v>
      </c>
      <c r="G92" s="4">
        <f>IFERROR(__xludf.DUMMYFUNCTION("""COMPUTED_VALUE"""),38.0)</f>
        <v>38</v>
      </c>
      <c r="H92" s="4">
        <f>IFERROR(__xludf.DUMMYFUNCTION("""COMPUTED_VALUE"""),682.0)</f>
        <v>682</v>
      </c>
      <c r="I92" s="4">
        <f>IFERROR(__xludf.DUMMYFUNCTION("""COMPUTED_VALUE"""),227.0)</f>
        <v>227</v>
      </c>
      <c r="J92" s="4">
        <f>IFERROR(__xludf.DUMMYFUNCTION("""COMPUTED_VALUE"""),65.0)</f>
        <v>65</v>
      </c>
      <c r="K92" s="4">
        <f>IFERROR(__xludf.DUMMYFUNCTION("""COMPUTED_VALUE"""),80.0)</f>
        <v>80</v>
      </c>
      <c r="L92" s="4">
        <f>IFERROR(__xludf.DUMMYFUNCTION("""COMPUTED_VALUE"""),0.373)</f>
        <v>0.373</v>
      </c>
      <c r="M92" s="4">
        <f>IFERROR(__xludf.DUMMYFUNCTION("""COMPUTED_VALUE"""),0.258)</f>
        <v>0.258</v>
      </c>
      <c r="N92" s="4">
        <f>IFERROR(__xludf.DUMMYFUNCTION("""COMPUTED_VALUE"""),0.854)</f>
        <v>0.854</v>
      </c>
      <c r="O92" s="4">
        <f>IFERROR(__xludf.DUMMYFUNCTION("""COMPUTED_VALUE"""),17.9)</f>
        <v>17.9</v>
      </c>
      <c r="P92" s="4">
        <f>IFERROR(__xludf.DUMMYFUNCTION("""COMPUTED_VALUE"""),6.0)</f>
        <v>6</v>
      </c>
      <c r="Q92" s="4">
        <f>IFERROR(__xludf.DUMMYFUNCTION("""COMPUTED_VALUE"""),1.7)</f>
        <v>1.7</v>
      </c>
      <c r="R92" s="4">
        <f>IFERROR(__xludf.DUMMYFUNCTION("""COMPUTED_VALUE"""),2.1)</f>
        <v>2.1</v>
      </c>
      <c r="S92" s="4">
        <f>IFERROR(__xludf.DUMMYFUNCTION("""COMPUTED_VALUE"""),-0.6)</f>
        <v>-0.6</v>
      </c>
      <c r="T92" s="4">
        <f>IFERROR(__xludf.DUMMYFUNCTION("""COMPUTED_VALUE"""),-0.041)</f>
        <v>-0.041</v>
      </c>
      <c r="U92" s="4">
        <f>IFERROR(__xludf.DUMMYFUNCTION("""COMPUTED_VALUE"""),-8.4)</f>
        <v>-8.4</v>
      </c>
      <c r="V92" s="4">
        <f>IFERROR(__xludf.DUMMYFUNCTION("""COMPUTED_VALUE"""),-1.1)</f>
        <v>-1.1</v>
      </c>
    </row>
    <row r="93">
      <c r="A93" s="4">
        <f>IFERROR(__xludf.DUMMYFUNCTION("""COMPUTED_VALUE"""),24.0)</f>
        <v>24</v>
      </c>
      <c r="B93" s="4">
        <f>IFERROR(__xludf.DUMMYFUNCTION("""COMPUTED_VALUE"""),24.0)</f>
        <v>24</v>
      </c>
      <c r="C93" s="4" t="str">
        <f>IFERROR(__xludf.DUMMYFUNCTION("""COMPUTED_VALUE"""),"NYK")</f>
        <v>NYK</v>
      </c>
      <c r="D93" s="4" t="str">
        <f>IFERROR(__xludf.DUMMYFUNCTION("""COMPUTED_VALUE"""),"Kyshawn George")</f>
        <v>Kyshawn George</v>
      </c>
      <c r="E93" s="4" t="str">
        <f>IFERROR(__xludf.DUMMYFUNCTION("""COMPUTED_VALUE"""),"Miami (FL)")</f>
        <v>Miami (FL)</v>
      </c>
      <c r="F93" s="4">
        <f>IFERROR(__xludf.DUMMYFUNCTION("""COMPUTED_VALUE"""),2.0)</f>
        <v>2</v>
      </c>
      <c r="G93" s="4">
        <f>IFERROR(__xludf.DUMMYFUNCTION("""COMPUTED_VALUE"""),86.0)</f>
        <v>86</v>
      </c>
      <c r="H93" s="4">
        <f>IFERROR(__xludf.DUMMYFUNCTION("""COMPUTED_VALUE"""),2366.0)</f>
        <v>2366</v>
      </c>
      <c r="I93" s="4">
        <f>IFERROR(__xludf.DUMMYFUNCTION("""COMPUTED_VALUE"""),863.0)</f>
        <v>863</v>
      </c>
      <c r="J93" s="4">
        <f>IFERROR(__xludf.DUMMYFUNCTION("""COMPUTED_VALUE"""),394.0)</f>
        <v>394</v>
      </c>
      <c r="K93" s="4">
        <f>IFERROR(__xludf.DUMMYFUNCTION("""COMPUTED_VALUE"""),256.0)</f>
        <v>256</v>
      </c>
      <c r="L93" s="4">
        <f>IFERROR(__xludf.DUMMYFUNCTION("""COMPUTED_VALUE"""),0.396)</f>
        <v>0.396</v>
      </c>
      <c r="M93" s="4">
        <f>IFERROR(__xludf.DUMMYFUNCTION("""COMPUTED_VALUE"""),0.347)</f>
        <v>0.347</v>
      </c>
      <c r="N93" s="4">
        <f>IFERROR(__xludf.DUMMYFUNCTION("""COMPUTED_VALUE"""),0.746)</f>
        <v>0.746</v>
      </c>
      <c r="O93" s="4">
        <f>IFERROR(__xludf.DUMMYFUNCTION("""COMPUTED_VALUE"""),27.5)</f>
        <v>27.5</v>
      </c>
      <c r="P93" s="4">
        <f>IFERROR(__xludf.DUMMYFUNCTION("""COMPUTED_VALUE"""),10.0)</f>
        <v>10</v>
      </c>
      <c r="Q93" s="4">
        <f>IFERROR(__xludf.DUMMYFUNCTION("""COMPUTED_VALUE"""),4.6)</f>
        <v>4.6</v>
      </c>
      <c r="R93" s="4">
        <f>IFERROR(__xludf.DUMMYFUNCTION("""COMPUTED_VALUE"""),3.0)</f>
        <v>3</v>
      </c>
      <c r="S93" s="4">
        <f>IFERROR(__xludf.DUMMYFUNCTION("""COMPUTED_VALUE"""),0.2)</f>
        <v>0.2</v>
      </c>
      <c r="T93" s="4">
        <f>IFERROR(__xludf.DUMMYFUNCTION("""COMPUTED_VALUE"""),0.005)</f>
        <v>0.005</v>
      </c>
      <c r="U93" s="4">
        <f>IFERROR(__xludf.DUMMYFUNCTION("""COMPUTED_VALUE"""),-3.6)</f>
        <v>-3.6</v>
      </c>
      <c r="V93" s="4">
        <f>IFERROR(__xludf.DUMMYFUNCTION("""COMPUTED_VALUE"""),-1.0)</f>
        <v>-1</v>
      </c>
    </row>
    <row r="94">
      <c r="A94" s="4">
        <f>IFERROR(__xludf.DUMMYFUNCTION("""COMPUTED_VALUE"""),25.0)</f>
        <v>25</v>
      </c>
      <c r="B94" s="4">
        <f>IFERROR(__xludf.DUMMYFUNCTION("""COMPUTED_VALUE"""),25.0)</f>
        <v>25</v>
      </c>
      <c r="C94" s="4" t="str">
        <f>IFERROR(__xludf.DUMMYFUNCTION("""COMPUTED_VALUE"""),"NYK")</f>
        <v>NYK</v>
      </c>
      <c r="D94" s="4" t="str">
        <f>IFERROR(__xludf.DUMMYFUNCTION("""COMPUTED_VALUE"""),"Pacome Dadiet")</f>
        <v>Pacome Dadiet</v>
      </c>
      <c r="E94" s="4"/>
      <c r="F94" s="4">
        <f>IFERROR(__xludf.DUMMYFUNCTION("""COMPUTED_VALUE"""),2.0)</f>
        <v>2</v>
      </c>
      <c r="G94" s="4">
        <f>IFERROR(__xludf.DUMMYFUNCTION("""COMPUTED_VALUE"""),26.0)</f>
        <v>26</v>
      </c>
      <c r="H94" s="4">
        <f>IFERROR(__xludf.DUMMYFUNCTION("""COMPUTED_VALUE"""),132.0)</f>
        <v>132</v>
      </c>
      <c r="I94" s="4">
        <f>IFERROR(__xludf.DUMMYFUNCTION("""COMPUTED_VALUE"""),34.0)</f>
        <v>34</v>
      </c>
      <c r="J94" s="4">
        <f>IFERROR(__xludf.DUMMYFUNCTION("""COMPUTED_VALUE"""),23.0)</f>
        <v>23</v>
      </c>
      <c r="K94" s="4">
        <f>IFERROR(__xludf.DUMMYFUNCTION("""COMPUTED_VALUE"""),7.0)</f>
        <v>7</v>
      </c>
      <c r="L94" s="4">
        <f>IFERROR(__xludf.DUMMYFUNCTION("""COMPUTED_VALUE"""),0.297)</f>
        <v>0.297</v>
      </c>
      <c r="M94" s="4">
        <f>IFERROR(__xludf.DUMMYFUNCTION("""COMPUTED_VALUE"""),0.273)</f>
        <v>0.273</v>
      </c>
      <c r="N94" s="4">
        <f>IFERROR(__xludf.DUMMYFUNCTION("""COMPUTED_VALUE"""),0.75)</f>
        <v>0.75</v>
      </c>
      <c r="O94" s="4">
        <f>IFERROR(__xludf.DUMMYFUNCTION("""COMPUTED_VALUE"""),5.1)</f>
        <v>5.1</v>
      </c>
      <c r="P94" s="4">
        <f>IFERROR(__xludf.DUMMYFUNCTION("""COMPUTED_VALUE"""),1.3)</f>
        <v>1.3</v>
      </c>
      <c r="Q94" s="4">
        <f>IFERROR(__xludf.DUMMYFUNCTION("""COMPUTED_VALUE"""),0.9)</f>
        <v>0.9</v>
      </c>
      <c r="R94" s="4">
        <f>IFERROR(__xludf.DUMMYFUNCTION("""COMPUTED_VALUE"""),0.3)</f>
        <v>0.3</v>
      </c>
      <c r="S94" s="4">
        <f>IFERROR(__xludf.DUMMYFUNCTION("""COMPUTED_VALUE"""),0.0)</f>
        <v>0</v>
      </c>
      <c r="T94" s="4">
        <f>IFERROR(__xludf.DUMMYFUNCTION("""COMPUTED_VALUE"""),-0.002)</f>
        <v>-0.002</v>
      </c>
      <c r="U94" s="4">
        <f>IFERROR(__xludf.DUMMYFUNCTION("""COMPUTED_VALUE"""),-6.9)</f>
        <v>-6.9</v>
      </c>
      <c r="V94" s="4">
        <f>IFERROR(__xludf.DUMMYFUNCTION("""COMPUTED_VALUE"""),-0.2)</f>
        <v>-0.2</v>
      </c>
    </row>
    <row r="95">
      <c r="A95" s="4">
        <f>IFERROR(__xludf.DUMMYFUNCTION("""COMPUTED_VALUE"""),26.0)</f>
        <v>26</v>
      </c>
      <c r="B95" s="4">
        <f>IFERROR(__xludf.DUMMYFUNCTION("""COMPUTED_VALUE"""),26.0)</f>
        <v>26</v>
      </c>
      <c r="C95" s="4" t="str">
        <f>IFERROR(__xludf.DUMMYFUNCTION("""COMPUTED_VALUE"""),"WAS")</f>
        <v>WAS</v>
      </c>
      <c r="D95" s="4" t="str">
        <f>IFERROR(__xludf.DUMMYFUNCTION("""COMPUTED_VALUE"""),"Dillon Jones")</f>
        <v>Dillon Jones</v>
      </c>
      <c r="E95" s="4" t="str">
        <f>IFERROR(__xludf.DUMMYFUNCTION("""COMPUTED_VALUE"""),"Weber State")</f>
        <v>Weber State</v>
      </c>
      <c r="F95" s="4">
        <f>IFERROR(__xludf.DUMMYFUNCTION("""COMPUTED_VALUE"""),1.0)</f>
        <v>1</v>
      </c>
      <c r="G95" s="4">
        <f>IFERROR(__xludf.DUMMYFUNCTION("""COMPUTED_VALUE"""),54.0)</f>
        <v>54</v>
      </c>
      <c r="H95" s="4">
        <f>IFERROR(__xludf.DUMMYFUNCTION("""COMPUTED_VALUE"""),552.0)</f>
        <v>552</v>
      </c>
      <c r="I95" s="4">
        <f>IFERROR(__xludf.DUMMYFUNCTION("""COMPUTED_VALUE"""),135.0)</f>
        <v>135</v>
      </c>
      <c r="J95" s="4">
        <f>IFERROR(__xludf.DUMMYFUNCTION("""COMPUTED_VALUE"""),121.0)</f>
        <v>121</v>
      </c>
      <c r="K95" s="4">
        <f>IFERROR(__xludf.DUMMYFUNCTION("""COMPUTED_VALUE"""),58.0)</f>
        <v>58</v>
      </c>
      <c r="L95" s="4">
        <f>IFERROR(__xludf.DUMMYFUNCTION("""COMPUTED_VALUE"""),0.383)</f>
        <v>0.383</v>
      </c>
      <c r="M95" s="4">
        <f>IFERROR(__xludf.DUMMYFUNCTION("""COMPUTED_VALUE"""),0.254)</f>
        <v>0.254</v>
      </c>
      <c r="N95" s="4">
        <f>IFERROR(__xludf.DUMMYFUNCTION("""COMPUTED_VALUE"""),0.607)</f>
        <v>0.607</v>
      </c>
      <c r="O95" s="4">
        <f>IFERROR(__xludf.DUMMYFUNCTION("""COMPUTED_VALUE"""),10.2)</f>
        <v>10.2</v>
      </c>
      <c r="P95" s="4">
        <f>IFERROR(__xludf.DUMMYFUNCTION("""COMPUTED_VALUE"""),2.5)</f>
        <v>2.5</v>
      </c>
      <c r="Q95" s="4">
        <f>IFERROR(__xludf.DUMMYFUNCTION("""COMPUTED_VALUE"""),2.2)</f>
        <v>2.2</v>
      </c>
      <c r="R95" s="4">
        <f>IFERROR(__xludf.DUMMYFUNCTION("""COMPUTED_VALUE"""),1.1)</f>
        <v>1.1</v>
      </c>
      <c r="S95" s="4">
        <f>IFERROR(__xludf.DUMMYFUNCTION("""COMPUTED_VALUE"""),0.8)</f>
        <v>0.8</v>
      </c>
      <c r="T95" s="4">
        <f>IFERROR(__xludf.DUMMYFUNCTION("""COMPUTED_VALUE"""),0.067)</f>
        <v>0.067</v>
      </c>
      <c r="U95" s="4">
        <f>IFERROR(__xludf.DUMMYFUNCTION("""COMPUTED_VALUE"""),-4.0)</f>
        <v>-4</v>
      </c>
      <c r="V95" s="4">
        <f>IFERROR(__xludf.DUMMYFUNCTION("""COMPUTED_VALUE"""),-0.3)</f>
        <v>-0.3</v>
      </c>
    </row>
    <row r="96">
      <c r="A96" s="4">
        <f>IFERROR(__xludf.DUMMYFUNCTION("""COMPUTED_VALUE"""),27.0)</f>
        <v>27</v>
      </c>
      <c r="B96" s="4">
        <f>IFERROR(__xludf.DUMMYFUNCTION("""COMPUTED_VALUE"""),27.0)</f>
        <v>27</v>
      </c>
      <c r="C96" s="4" t="str">
        <f>IFERROR(__xludf.DUMMYFUNCTION("""COMPUTED_VALUE"""),"MIN")</f>
        <v>MIN</v>
      </c>
      <c r="D96" s="4" t="str">
        <f>IFERROR(__xludf.DUMMYFUNCTION("""COMPUTED_VALUE"""),"Terrence Shannon Jr.")</f>
        <v>Terrence Shannon Jr.</v>
      </c>
      <c r="E96" s="4" t="str">
        <f>IFERROR(__xludf.DUMMYFUNCTION("""COMPUTED_VALUE"""),"Illinois")</f>
        <v>Illinois</v>
      </c>
      <c r="F96" s="4">
        <f>IFERROR(__xludf.DUMMYFUNCTION("""COMPUTED_VALUE"""),2.0)</f>
        <v>2</v>
      </c>
      <c r="G96" s="4">
        <f>IFERROR(__xludf.DUMMYFUNCTION("""COMPUTED_VALUE"""),44.0)</f>
        <v>44</v>
      </c>
      <c r="H96" s="4">
        <f>IFERROR(__xludf.DUMMYFUNCTION("""COMPUTED_VALUE"""),516.0)</f>
        <v>516</v>
      </c>
      <c r="I96" s="4">
        <f>IFERROR(__xludf.DUMMYFUNCTION("""COMPUTED_VALUE"""),199.0)</f>
        <v>199</v>
      </c>
      <c r="J96" s="4">
        <f>IFERROR(__xludf.DUMMYFUNCTION("""COMPUTED_VALUE"""),67.0)</f>
        <v>67</v>
      </c>
      <c r="K96" s="4">
        <f>IFERROR(__xludf.DUMMYFUNCTION("""COMPUTED_VALUE"""),43.0)</f>
        <v>43</v>
      </c>
      <c r="L96" s="4">
        <f>IFERROR(__xludf.DUMMYFUNCTION("""COMPUTED_VALUE"""),0.463)</f>
        <v>0.463</v>
      </c>
      <c r="M96" s="4">
        <f>IFERROR(__xludf.DUMMYFUNCTION("""COMPUTED_VALUE"""),0.37)</f>
        <v>0.37</v>
      </c>
      <c r="N96" s="4">
        <f>IFERROR(__xludf.DUMMYFUNCTION("""COMPUTED_VALUE"""),0.775)</f>
        <v>0.775</v>
      </c>
      <c r="O96" s="4">
        <f>IFERROR(__xludf.DUMMYFUNCTION("""COMPUTED_VALUE"""),11.7)</f>
        <v>11.7</v>
      </c>
      <c r="P96" s="4">
        <f>IFERROR(__xludf.DUMMYFUNCTION("""COMPUTED_VALUE"""),4.5)</f>
        <v>4.5</v>
      </c>
      <c r="Q96" s="4">
        <f>IFERROR(__xludf.DUMMYFUNCTION("""COMPUTED_VALUE"""),1.5)</f>
        <v>1.5</v>
      </c>
      <c r="R96" s="4">
        <f>IFERROR(__xludf.DUMMYFUNCTION("""COMPUTED_VALUE"""),1.0)</f>
        <v>1</v>
      </c>
      <c r="S96" s="4">
        <f>IFERROR(__xludf.DUMMYFUNCTION("""COMPUTED_VALUE"""),0.8)</f>
        <v>0.8</v>
      </c>
      <c r="T96" s="4">
        <f>IFERROR(__xludf.DUMMYFUNCTION("""COMPUTED_VALUE"""),0.072)</f>
        <v>0.072</v>
      </c>
      <c r="U96" s="4">
        <f>IFERROR(__xludf.DUMMYFUNCTION("""COMPUTED_VALUE"""),-3.3)</f>
        <v>-3.3</v>
      </c>
      <c r="V96" s="4">
        <f>IFERROR(__xludf.DUMMYFUNCTION("""COMPUTED_VALUE"""),-0.2)</f>
        <v>-0.2</v>
      </c>
    </row>
    <row r="97">
      <c r="A97" s="4">
        <f>IFERROR(__xludf.DUMMYFUNCTION("""COMPUTED_VALUE"""),28.0)</f>
        <v>28</v>
      </c>
      <c r="B97" s="4">
        <f>IFERROR(__xludf.DUMMYFUNCTION("""COMPUTED_VALUE"""),28.0)</f>
        <v>28</v>
      </c>
      <c r="C97" s="4" t="str">
        <f>IFERROR(__xludf.DUMMYFUNCTION("""COMPUTED_VALUE"""),"DEN")</f>
        <v>DEN</v>
      </c>
      <c r="D97" s="4" t="str">
        <f>IFERROR(__xludf.DUMMYFUNCTION("""COMPUTED_VALUE"""),"Ryan Dunn")</f>
        <v>Ryan Dunn</v>
      </c>
      <c r="E97" s="4" t="str">
        <f>IFERROR(__xludf.DUMMYFUNCTION("""COMPUTED_VALUE"""),"Virginia")</f>
        <v>Virginia</v>
      </c>
      <c r="F97" s="4">
        <f>IFERROR(__xludf.DUMMYFUNCTION("""COMPUTED_VALUE"""),2.0)</f>
        <v>2</v>
      </c>
      <c r="G97" s="4">
        <f>IFERROR(__xludf.DUMMYFUNCTION("""COMPUTED_VALUE"""),91.0)</f>
        <v>91</v>
      </c>
      <c r="H97" s="4">
        <f>IFERROR(__xludf.DUMMYFUNCTION("""COMPUTED_VALUE"""),1815.0)</f>
        <v>1815</v>
      </c>
      <c r="I97" s="4">
        <f>IFERROR(__xludf.DUMMYFUNCTION("""COMPUTED_VALUE"""),651.0)</f>
        <v>651</v>
      </c>
      <c r="J97" s="4">
        <f>IFERROR(__xludf.DUMMYFUNCTION("""COMPUTED_VALUE"""),352.0)</f>
        <v>352</v>
      </c>
      <c r="K97" s="4">
        <f>IFERROR(__xludf.DUMMYFUNCTION("""COMPUTED_VALUE"""),88.0)</f>
        <v>88</v>
      </c>
      <c r="L97" s="4">
        <f>IFERROR(__xludf.DUMMYFUNCTION("""COMPUTED_VALUE"""),0.44)</f>
        <v>0.44</v>
      </c>
      <c r="M97" s="4">
        <f>IFERROR(__xludf.DUMMYFUNCTION("""COMPUTED_VALUE"""),0.313)</f>
        <v>0.313</v>
      </c>
      <c r="N97" s="4">
        <f>IFERROR(__xludf.DUMMYFUNCTION("""COMPUTED_VALUE"""),0.537)</f>
        <v>0.537</v>
      </c>
      <c r="O97" s="4">
        <f>IFERROR(__xludf.DUMMYFUNCTION("""COMPUTED_VALUE"""),19.9)</f>
        <v>19.9</v>
      </c>
      <c r="P97" s="4">
        <f>IFERROR(__xludf.DUMMYFUNCTION("""COMPUTED_VALUE"""),7.2)</f>
        <v>7.2</v>
      </c>
      <c r="Q97" s="4">
        <f>IFERROR(__xludf.DUMMYFUNCTION("""COMPUTED_VALUE"""),3.9)</f>
        <v>3.9</v>
      </c>
      <c r="R97" s="4">
        <f>IFERROR(__xludf.DUMMYFUNCTION("""COMPUTED_VALUE"""),1.0)</f>
        <v>1</v>
      </c>
      <c r="S97" s="4">
        <f>IFERROR(__xludf.DUMMYFUNCTION("""COMPUTED_VALUE"""),2.0)</f>
        <v>2</v>
      </c>
      <c r="T97" s="4">
        <f>IFERROR(__xludf.DUMMYFUNCTION("""COMPUTED_VALUE"""),0.053)</f>
        <v>0.053</v>
      </c>
      <c r="U97" s="4">
        <f>IFERROR(__xludf.DUMMYFUNCTION("""COMPUTED_VALUE"""),-3.1)</f>
        <v>-3.1</v>
      </c>
      <c r="V97" s="4">
        <f>IFERROR(__xludf.DUMMYFUNCTION("""COMPUTED_VALUE"""),-0.5)</f>
        <v>-0.5</v>
      </c>
    </row>
    <row r="98">
      <c r="A98" s="4">
        <f>IFERROR(__xludf.DUMMYFUNCTION("""COMPUTED_VALUE"""),29.0)</f>
        <v>29</v>
      </c>
      <c r="B98" s="4">
        <f>IFERROR(__xludf.DUMMYFUNCTION("""COMPUTED_VALUE"""),29.0)</f>
        <v>29</v>
      </c>
      <c r="C98" s="4" t="str">
        <f>IFERROR(__xludf.DUMMYFUNCTION("""COMPUTED_VALUE"""),"UTA")</f>
        <v>UTA</v>
      </c>
      <c r="D98" s="4" t="str">
        <f>IFERROR(__xludf.DUMMYFUNCTION("""COMPUTED_VALUE"""),"Isaiah Collier")</f>
        <v>Isaiah Collier</v>
      </c>
      <c r="E98" s="4" t="str">
        <f>IFERROR(__xludf.DUMMYFUNCTION("""COMPUTED_VALUE"""),"USC")</f>
        <v>USC</v>
      </c>
      <c r="F98" s="4">
        <f>IFERROR(__xludf.DUMMYFUNCTION("""COMPUTED_VALUE"""),2.0)</f>
        <v>2</v>
      </c>
      <c r="G98" s="4">
        <f>IFERROR(__xludf.DUMMYFUNCTION("""COMPUTED_VALUE"""),83.0)</f>
        <v>83</v>
      </c>
      <c r="H98" s="4">
        <f>IFERROR(__xludf.DUMMYFUNCTION("""COMPUTED_VALUE"""),2101.0)</f>
        <v>2101</v>
      </c>
      <c r="I98" s="4">
        <f>IFERROR(__xludf.DUMMYFUNCTION("""COMPUTED_VALUE"""),710.0)</f>
        <v>710</v>
      </c>
      <c r="J98" s="4">
        <f>IFERROR(__xludf.DUMMYFUNCTION("""COMPUTED_VALUE"""),263.0)</f>
        <v>263</v>
      </c>
      <c r="K98" s="4">
        <f>IFERROR(__xludf.DUMMYFUNCTION("""COMPUTED_VALUE"""),512.0)</f>
        <v>512</v>
      </c>
      <c r="L98" s="4">
        <f>IFERROR(__xludf.DUMMYFUNCTION("""COMPUTED_VALUE"""),0.43)</f>
        <v>0.43</v>
      </c>
      <c r="M98" s="4">
        <f>IFERROR(__xludf.DUMMYFUNCTION("""COMPUTED_VALUE"""),0.254)</f>
        <v>0.254</v>
      </c>
      <c r="N98" s="4">
        <f>IFERROR(__xludf.DUMMYFUNCTION("""COMPUTED_VALUE"""),0.691)</f>
        <v>0.691</v>
      </c>
      <c r="O98" s="4">
        <f>IFERROR(__xludf.DUMMYFUNCTION("""COMPUTED_VALUE"""),25.3)</f>
        <v>25.3</v>
      </c>
      <c r="P98" s="4">
        <f>IFERROR(__xludf.DUMMYFUNCTION("""COMPUTED_VALUE"""),8.6)</f>
        <v>8.6</v>
      </c>
      <c r="Q98" s="4">
        <f>IFERROR(__xludf.DUMMYFUNCTION("""COMPUTED_VALUE"""),3.2)</f>
        <v>3.2</v>
      </c>
      <c r="R98" s="4">
        <f>IFERROR(__xludf.DUMMYFUNCTION("""COMPUTED_VALUE"""),6.2)</f>
        <v>6.2</v>
      </c>
      <c r="S98" s="4">
        <f>IFERROR(__xludf.DUMMYFUNCTION("""COMPUTED_VALUE"""),-0.6)</f>
        <v>-0.6</v>
      </c>
      <c r="T98" s="4">
        <f>IFERROR(__xludf.DUMMYFUNCTION("""COMPUTED_VALUE"""),-0.013)</f>
        <v>-0.013</v>
      </c>
      <c r="U98" s="4">
        <f>IFERROR(__xludf.DUMMYFUNCTION("""COMPUTED_VALUE"""),-5.1)</f>
        <v>-5.1</v>
      </c>
      <c r="V98" s="4">
        <f>IFERROR(__xludf.DUMMYFUNCTION("""COMPUTED_VALUE"""),-1.7)</f>
        <v>-1.7</v>
      </c>
    </row>
    <row r="99">
      <c r="A99" s="4">
        <f>IFERROR(__xludf.DUMMYFUNCTION("""COMPUTED_VALUE"""),30.0)</f>
        <v>30</v>
      </c>
      <c r="B99" s="4">
        <f>IFERROR(__xludf.DUMMYFUNCTION("""COMPUTED_VALUE"""),30.0)</f>
        <v>30</v>
      </c>
      <c r="C99" s="4" t="str">
        <f>IFERROR(__xludf.DUMMYFUNCTION("""COMPUTED_VALUE"""),"BOS")</f>
        <v>BOS</v>
      </c>
      <c r="D99" s="4" t="str">
        <f>IFERROR(__xludf.DUMMYFUNCTION("""COMPUTED_VALUE"""),"Baylor Scheierman")</f>
        <v>Baylor Scheierman</v>
      </c>
      <c r="E99" s="4" t="str">
        <f>IFERROR(__xludf.DUMMYFUNCTION("""COMPUTED_VALUE"""),"Creighton")</f>
        <v>Creighton</v>
      </c>
      <c r="F99" s="4">
        <f>IFERROR(__xludf.DUMMYFUNCTION("""COMPUTED_VALUE"""),2.0)</f>
        <v>2</v>
      </c>
      <c r="G99" s="4">
        <f>IFERROR(__xludf.DUMMYFUNCTION("""COMPUTED_VALUE"""),48.0)</f>
        <v>48</v>
      </c>
      <c r="H99" s="4">
        <f>IFERROR(__xludf.DUMMYFUNCTION("""COMPUTED_VALUE"""),580.0)</f>
        <v>580</v>
      </c>
      <c r="I99" s="4">
        <f>IFERROR(__xludf.DUMMYFUNCTION("""COMPUTED_VALUE"""),173.0)</f>
        <v>173</v>
      </c>
      <c r="J99" s="4">
        <f>IFERROR(__xludf.DUMMYFUNCTION("""COMPUTED_VALUE"""),96.0)</f>
        <v>96</v>
      </c>
      <c r="K99" s="4">
        <f>IFERROR(__xludf.DUMMYFUNCTION("""COMPUTED_VALUE"""),43.0)</f>
        <v>43</v>
      </c>
      <c r="L99" s="4">
        <f>IFERROR(__xludf.DUMMYFUNCTION("""COMPUTED_VALUE"""),0.409)</f>
        <v>0.409</v>
      </c>
      <c r="M99" s="4">
        <f>IFERROR(__xludf.DUMMYFUNCTION("""COMPUTED_VALUE"""),0.366)</f>
        <v>0.366</v>
      </c>
      <c r="N99" s="4">
        <f>IFERROR(__xludf.DUMMYFUNCTION("""COMPUTED_VALUE"""),0.769)</f>
        <v>0.769</v>
      </c>
      <c r="O99" s="4">
        <f>IFERROR(__xludf.DUMMYFUNCTION("""COMPUTED_VALUE"""),12.1)</f>
        <v>12.1</v>
      </c>
      <c r="P99" s="4">
        <f>IFERROR(__xludf.DUMMYFUNCTION("""COMPUTED_VALUE"""),3.6)</f>
        <v>3.6</v>
      </c>
      <c r="Q99" s="4">
        <f>IFERROR(__xludf.DUMMYFUNCTION("""COMPUTED_VALUE"""),2.0)</f>
        <v>2</v>
      </c>
      <c r="R99" s="4">
        <f>IFERROR(__xludf.DUMMYFUNCTION("""COMPUTED_VALUE"""),0.9)</f>
        <v>0.9</v>
      </c>
      <c r="S99" s="4">
        <f>IFERROR(__xludf.DUMMYFUNCTION("""COMPUTED_VALUE"""),1.2)</f>
        <v>1.2</v>
      </c>
      <c r="T99" s="4">
        <f>IFERROR(__xludf.DUMMYFUNCTION("""COMPUTED_VALUE"""),0.101)</f>
        <v>0.101</v>
      </c>
      <c r="U99" s="4">
        <f>IFERROR(__xludf.DUMMYFUNCTION("""COMPUTED_VALUE"""),-1.5)</f>
        <v>-1.5</v>
      </c>
      <c r="V99" s="4">
        <f>IFERROR(__xludf.DUMMYFUNCTION("""COMPUTED_VALUE"""),0.1)</f>
        <v>0.1</v>
      </c>
    </row>
    <row r="100">
      <c r="A100" s="4"/>
      <c r="B100" s="4"/>
      <c r="C100" s="4"/>
      <c r="D100" s="4" t="str">
        <f>IFERROR(__xludf.DUMMYFUNCTION("""COMPUTED_VALUE"""),"Round 2")</f>
        <v>Round 2</v>
      </c>
      <c r="E100" s="4"/>
      <c r="F100" s="4"/>
      <c r="G100" s="4" t="str">
        <f>IFERROR(__xludf.DUMMYFUNCTION("""COMPUTED_VALUE"""),"Totals")</f>
        <v>Totals</v>
      </c>
      <c r="H100" s="4"/>
      <c r="I100" s="4"/>
      <c r="J100" s="4"/>
      <c r="K100" s="4"/>
      <c r="L100" s="4" t="str">
        <f>IFERROR(__xludf.DUMMYFUNCTION("""COMPUTED_VALUE"""),"Shooting")</f>
        <v>Shooting</v>
      </c>
      <c r="M100" s="4"/>
      <c r="N100" s="4"/>
      <c r="O100" s="4" t="str">
        <f>IFERROR(__xludf.DUMMYFUNCTION("""COMPUTED_VALUE"""),"Per Game")</f>
        <v>Per Game</v>
      </c>
      <c r="P100" s="4"/>
      <c r="Q100" s="4"/>
      <c r="R100" s="4"/>
      <c r="S100" s="4" t="str">
        <f>IFERROR(__xludf.DUMMYFUNCTION("""COMPUTED_VALUE"""),"Advanced")</f>
        <v>Advanced</v>
      </c>
      <c r="T100" s="4"/>
      <c r="U100" s="4"/>
      <c r="V100" s="4"/>
    </row>
    <row r="101">
      <c r="A101" s="4" t="str">
        <f>IFERROR(__xludf.DUMMYFUNCTION("""COMPUTED_VALUE"""),"Rk")</f>
        <v>Rk</v>
      </c>
      <c r="B101" s="4" t="str">
        <f>IFERROR(__xludf.DUMMYFUNCTION("""COMPUTED_VALUE"""),"Pk")</f>
        <v>Pk</v>
      </c>
      <c r="C101" s="4" t="str">
        <f>IFERROR(__xludf.DUMMYFUNCTION("""COMPUTED_VALUE"""),"Tm")</f>
        <v>Tm</v>
      </c>
      <c r="D101" s="4" t="str">
        <f>IFERROR(__xludf.DUMMYFUNCTION("""COMPUTED_VALUE"""),"Player")</f>
        <v>Player</v>
      </c>
      <c r="E101" s="4" t="str">
        <f>IFERROR(__xludf.DUMMYFUNCTION("""COMPUTED_VALUE"""),"College")</f>
        <v>College</v>
      </c>
      <c r="F101" s="4" t="str">
        <f>IFERROR(__xludf.DUMMYFUNCTION("""COMPUTED_VALUE"""),"Yrs")</f>
        <v>Yrs</v>
      </c>
      <c r="G101" s="4" t="str">
        <f>IFERROR(__xludf.DUMMYFUNCTION("""COMPUTED_VALUE"""),"G")</f>
        <v>G</v>
      </c>
      <c r="H101" s="4" t="str">
        <f>IFERROR(__xludf.DUMMYFUNCTION("""COMPUTED_VALUE"""),"MP")</f>
        <v>MP</v>
      </c>
      <c r="I101" s="4" t="str">
        <f>IFERROR(__xludf.DUMMYFUNCTION("""COMPUTED_VALUE"""),"PTS")</f>
        <v>PTS</v>
      </c>
      <c r="J101" s="4" t="str">
        <f>IFERROR(__xludf.DUMMYFUNCTION("""COMPUTED_VALUE"""),"TRB")</f>
        <v>TRB</v>
      </c>
      <c r="K101" s="4" t="str">
        <f>IFERROR(__xludf.DUMMYFUNCTION("""COMPUTED_VALUE"""),"AST")</f>
        <v>AST</v>
      </c>
      <c r="L101" s="4" t="str">
        <f>IFERROR(__xludf.DUMMYFUNCTION("""COMPUTED_VALUE"""),"FG%")</f>
        <v>FG%</v>
      </c>
      <c r="M101" s="4" t="str">
        <f>IFERROR(__xludf.DUMMYFUNCTION("""COMPUTED_VALUE"""),"3P%")</f>
        <v>3P%</v>
      </c>
      <c r="N101" s="4" t="str">
        <f>IFERROR(__xludf.DUMMYFUNCTION("""COMPUTED_VALUE"""),"FT%")</f>
        <v>FT%</v>
      </c>
      <c r="O101" s="4" t="str">
        <f>IFERROR(__xludf.DUMMYFUNCTION("""COMPUTED_VALUE"""),"MP")</f>
        <v>MP</v>
      </c>
      <c r="P101" s="4" t="str">
        <f>IFERROR(__xludf.DUMMYFUNCTION("""COMPUTED_VALUE"""),"PTS")</f>
        <v>PTS</v>
      </c>
      <c r="Q101" s="4" t="str">
        <f>IFERROR(__xludf.DUMMYFUNCTION("""COMPUTED_VALUE"""),"TRB")</f>
        <v>TRB</v>
      </c>
      <c r="R101" s="4" t="str">
        <f>IFERROR(__xludf.DUMMYFUNCTION("""COMPUTED_VALUE"""),"AST")</f>
        <v>AST</v>
      </c>
      <c r="S101" s="4" t="str">
        <f>IFERROR(__xludf.DUMMYFUNCTION("""COMPUTED_VALUE"""),"WS")</f>
        <v>WS</v>
      </c>
      <c r="T101" s="4" t="str">
        <f>IFERROR(__xludf.DUMMYFUNCTION("""COMPUTED_VALUE"""),"WS/48")</f>
        <v>WS/48</v>
      </c>
      <c r="U101" s="4" t="str">
        <f>IFERROR(__xludf.DUMMYFUNCTION("""COMPUTED_VALUE"""),"BPM")</f>
        <v>BPM</v>
      </c>
      <c r="V101" s="4" t="str">
        <f>IFERROR(__xludf.DUMMYFUNCTION("""COMPUTED_VALUE"""),"VORP")</f>
        <v>VORP</v>
      </c>
    </row>
    <row r="102">
      <c r="A102" s="4">
        <f>IFERROR(__xludf.DUMMYFUNCTION("""COMPUTED_VALUE"""),31.0)</f>
        <v>31</v>
      </c>
      <c r="B102" s="4">
        <f>IFERROR(__xludf.DUMMYFUNCTION("""COMPUTED_VALUE"""),31.0)</f>
        <v>31</v>
      </c>
      <c r="C102" s="4" t="str">
        <f>IFERROR(__xludf.DUMMYFUNCTION("""COMPUTED_VALUE"""),"TOR")</f>
        <v>TOR</v>
      </c>
      <c r="D102" s="4" t="str">
        <f>IFERROR(__xludf.DUMMYFUNCTION("""COMPUTED_VALUE"""),"Jonathan Mogbo")</f>
        <v>Jonathan Mogbo</v>
      </c>
      <c r="E102" s="4" t="str">
        <f>IFERROR(__xludf.DUMMYFUNCTION("""COMPUTED_VALUE"""),"San Francisco")</f>
        <v>San Francisco</v>
      </c>
      <c r="F102" s="4">
        <f>IFERROR(__xludf.DUMMYFUNCTION("""COMPUTED_VALUE"""),2.0)</f>
        <v>2</v>
      </c>
      <c r="G102" s="4">
        <f>IFERROR(__xludf.DUMMYFUNCTION("""COMPUTED_VALUE"""),71.0)</f>
        <v>71</v>
      </c>
      <c r="H102" s="4">
        <f>IFERROR(__xludf.DUMMYFUNCTION("""COMPUTED_VALUE"""),1325.0)</f>
        <v>1325</v>
      </c>
      <c r="I102" s="4">
        <f>IFERROR(__xludf.DUMMYFUNCTION("""COMPUTED_VALUE"""),397.0)</f>
        <v>397</v>
      </c>
      <c r="J102" s="4">
        <f>IFERROR(__xludf.DUMMYFUNCTION("""COMPUTED_VALUE"""),322.0)</f>
        <v>322</v>
      </c>
      <c r="K102" s="4">
        <f>IFERROR(__xludf.DUMMYFUNCTION("""COMPUTED_VALUE"""),151.0)</f>
        <v>151</v>
      </c>
      <c r="L102" s="4">
        <f>IFERROR(__xludf.DUMMYFUNCTION("""COMPUTED_VALUE"""),0.438)</f>
        <v>0.438</v>
      </c>
      <c r="M102" s="4">
        <f>IFERROR(__xludf.DUMMYFUNCTION("""COMPUTED_VALUE"""),0.243)</f>
        <v>0.243</v>
      </c>
      <c r="N102" s="4">
        <f>IFERROR(__xludf.DUMMYFUNCTION("""COMPUTED_VALUE"""),0.732)</f>
        <v>0.732</v>
      </c>
      <c r="O102" s="4">
        <f>IFERROR(__xludf.DUMMYFUNCTION("""COMPUTED_VALUE"""),18.7)</f>
        <v>18.7</v>
      </c>
      <c r="P102" s="4">
        <f>IFERROR(__xludf.DUMMYFUNCTION("""COMPUTED_VALUE"""),5.6)</f>
        <v>5.6</v>
      </c>
      <c r="Q102" s="4">
        <f>IFERROR(__xludf.DUMMYFUNCTION("""COMPUTED_VALUE"""),4.5)</f>
        <v>4.5</v>
      </c>
      <c r="R102" s="4">
        <f>IFERROR(__xludf.DUMMYFUNCTION("""COMPUTED_VALUE"""),2.1)</f>
        <v>2.1</v>
      </c>
      <c r="S102" s="4">
        <f>IFERROR(__xludf.DUMMYFUNCTION("""COMPUTED_VALUE"""),2.0)</f>
        <v>2</v>
      </c>
      <c r="T102" s="4">
        <f>IFERROR(__xludf.DUMMYFUNCTION("""COMPUTED_VALUE"""),0.072)</f>
        <v>0.072</v>
      </c>
      <c r="U102" s="4">
        <f>IFERROR(__xludf.DUMMYFUNCTION("""COMPUTED_VALUE"""),-1.8)</f>
        <v>-1.8</v>
      </c>
      <c r="V102" s="4">
        <f>IFERROR(__xludf.DUMMYFUNCTION("""COMPUTED_VALUE"""),0.1)</f>
        <v>0.1</v>
      </c>
    </row>
    <row r="103">
      <c r="A103" s="4">
        <f>IFERROR(__xludf.DUMMYFUNCTION("""COMPUTED_VALUE"""),32.0)</f>
        <v>32</v>
      </c>
      <c r="B103" s="4">
        <f>IFERROR(__xludf.DUMMYFUNCTION("""COMPUTED_VALUE"""),32.0)</f>
        <v>32</v>
      </c>
      <c r="C103" s="4" t="str">
        <f>IFERROR(__xludf.DUMMYFUNCTION("""COMPUTED_VALUE"""),"UTA")</f>
        <v>UTA</v>
      </c>
      <c r="D103" s="4" t="str">
        <f>IFERROR(__xludf.DUMMYFUNCTION("""COMPUTED_VALUE"""),"Kyle Filipowski")</f>
        <v>Kyle Filipowski</v>
      </c>
      <c r="E103" s="4" t="str">
        <f>IFERROR(__xludf.DUMMYFUNCTION("""COMPUTED_VALUE"""),"Duke")</f>
        <v>Duke</v>
      </c>
      <c r="F103" s="4">
        <f>IFERROR(__xludf.DUMMYFUNCTION("""COMPUTED_VALUE"""),2.0)</f>
        <v>2</v>
      </c>
      <c r="G103" s="4">
        <f>IFERROR(__xludf.DUMMYFUNCTION("""COMPUTED_VALUE"""),91.0)</f>
        <v>91</v>
      </c>
      <c r="H103" s="4">
        <f>IFERROR(__xludf.DUMMYFUNCTION("""COMPUTED_VALUE"""),1923.0)</f>
        <v>1923</v>
      </c>
      <c r="I103" s="4">
        <f>IFERROR(__xludf.DUMMYFUNCTION("""COMPUTED_VALUE"""),856.0)</f>
        <v>856</v>
      </c>
      <c r="J103" s="4">
        <f>IFERROR(__xludf.DUMMYFUNCTION("""COMPUTED_VALUE"""),554.0)</f>
        <v>554</v>
      </c>
      <c r="K103" s="4">
        <f>IFERROR(__xludf.DUMMYFUNCTION("""COMPUTED_VALUE"""),184.0)</f>
        <v>184</v>
      </c>
      <c r="L103" s="4">
        <f>IFERROR(__xludf.DUMMYFUNCTION("""COMPUTED_VALUE"""),0.489)</f>
        <v>0.489</v>
      </c>
      <c r="M103" s="4">
        <f>IFERROR(__xludf.DUMMYFUNCTION("""COMPUTED_VALUE"""),0.346)</f>
        <v>0.346</v>
      </c>
      <c r="N103" s="4">
        <f>IFERROR(__xludf.DUMMYFUNCTION("""COMPUTED_VALUE"""),0.663)</f>
        <v>0.663</v>
      </c>
      <c r="O103" s="4">
        <f>IFERROR(__xludf.DUMMYFUNCTION("""COMPUTED_VALUE"""),21.1)</f>
        <v>21.1</v>
      </c>
      <c r="P103" s="4">
        <f>IFERROR(__xludf.DUMMYFUNCTION("""COMPUTED_VALUE"""),9.4)</f>
        <v>9.4</v>
      </c>
      <c r="Q103" s="4">
        <f>IFERROR(__xludf.DUMMYFUNCTION("""COMPUTED_VALUE"""),6.1)</f>
        <v>6.1</v>
      </c>
      <c r="R103" s="4">
        <f>IFERROR(__xludf.DUMMYFUNCTION("""COMPUTED_VALUE"""),2.0)</f>
        <v>2</v>
      </c>
      <c r="S103" s="4">
        <f>IFERROR(__xludf.DUMMYFUNCTION("""COMPUTED_VALUE"""),3.0)</f>
        <v>3</v>
      </c>
      <c r="T103" s="4">
        <f>IFERROR(__xludf.DUMMYFUNCTION("""COMPUTED_VALUE"""),0.074)</f>
        <v>0.074</v>
      </c>
      <c r="U103" s="4">
        <f>IFERROR(__xludf.DUMMYFUNCTION("""COMPUTED_VALUE"""),-1.3)</f>
        <v>-1.3</v>
      </c>
      <c r="V103" s="4">
        <f>IFERROR(__xludf.DUMMYFUNCTION("""COMPUTED_VALUE"""),0.3)</f>
        <v>0.3</v>
      </c>
    </row>
    <row r="104">
      <c r="A104" s="4">
        <f>IFERROR(__xludf.DUMMYFUNCTION("""COMPUTED_VALUE"""),33.0)</f>
        <v>33</v>
      </c>
      <c r="B104" s="4">
        <f>IFERROR(__xludf.DUMMYFUNCTION("""COMPUTED_VALUE"""),33.0)</f>
        <v>33</v>
      </c>
      <c r="C104" s="4" t="str">
        <f>IFERROR(__xludf.DUMMYFUNCTION("""COMPUTED_VALUE"""),"MIL")</f>
        <v>MIL</v>
      </c>
      <c r="D104" s="4" t="str">
        <f>IFERROR(__xludf.DUMMYFUNCTION("""COMPUTED_VALUE"""),"Tyler Smith")</f>
        <v>Tyler Smith</v>
      </c>
      <c r="E104" s="4"/>
      <c r="F104" s="4">
        <f>IFERROR(__xludf.DUMMYFUNCTION("""COMPUTED_VALUE"""),1.0)</f>
        <v>1</v>
      </c>
      <c r="G104" s="4">
        <f>IFERROR(__xludf.DUMMYFUNCTION("""COMPUTED_VALUE"""),23.0)</f>
        <v>23</v>
      </c>
      <c r="H104" s="4">
        <f>IFERROR(__xludf.DUMMYFUNCTION("""COMPUTED_VALUE"""),122.0)</f>
        <v>122</v>
      </c>
      <c r="I104" s="4">
        <f>IFERROR(__xludf.DUMMYFUNCTION("""COMPUTED_VALUE"""),67.0)</f>
        <v>67</v>
      </c>
      <c r="J104" s="4">
        <f>IFERROR(__xludf.DUMMYFUNCTION("""COMPUTED_VALUE"""),25.0)</f>
        <v>25</v>
      </c>
      <c r="K104" s="4">
        <f>IFERROR(__xludf.DUMMYFUNCTION("""COMPUTED_VALUE"""),4.0)</f>
        <v>4</v>
      </c>
      <c r="L104" s="4">
        <f>IFERROR(__xludf.DUMMYFUNCTION("""COMPUTED_VALUE"""),0.48)</f>
        <v>0.48</v>
      </c>
      <c r="M104" s="4">
        <f>IFERROR(__xludf.DUMMYFUNCTION("""COMPUTED_VALUE"""),0.433)</f>
        <v>0.433</v>
      </c>
      <c r="N104" s="4">
        <f>IFERROR(__xludf.DUMMYFUNCTION("""COMPUTED_VALUE"""),0.75)</f>
        <v>0.75</v>
      </c>
      <c r="O104" s="4">
        <f>IFERROR(__xludf.DUMMYFUNCTION("""COMPUTED_VALUE"""),5.3)</f>
        <v>5.3</v>
      </c>
      <c r="P104" s="4">
        <f>IFERROR(__xludf.DUMMYFUNCTION("""COMPUTED_VALUE"""),2.9)</f>
        <v>2.9</v>
      </c>
      <c r="Q104" s="4">
        <f>IFERROR(__xludf.DUMMYFUNCTION("""COMPUTED_VALUE"""),1.1)</f>
        <v>1.1</v>
      </c>
      <c r="R104" s="4">
        <f>IFERROR(__xludf.DUMMYFUNCTION("""COMPUTED_VALUE"""),0.2)</f>
        <v>0.2</v>
      </c>
      <c r="S104" s="4">
        <f>IFERROR(__xludf.DUMMYFUNCTION("""COMPUTED_VALUE"""),0.2)</f>
        <v>0.2</v>
      </c>
      <c r="T104" s="4">
        <f>IFERROR(__xludf.DUMMYFUNCTION("""COMPUTED_VALUE"""),0.083)</f>
        <v>0.083</v>
      </c>
      <c r="U104" s="4">
        <f>IFERROR(__xludf.DUMMYFUNCTION("""COMPUTED_VALUE"""),-0.9)</f>
        <v>-0.9</v>
      </c>
      <c r="V104" s="4">
        <f>IFERROR(__xludf.DUMMYFUNCTION("""COMPUTED_VALUE"""),0.0)</f>
        <v>0</v>
      </c>
    </row>
    <row r="105">
      <c r="A105" s="4">
        <f>IFERROR(__xludf.DUMMYFUNCTION("""COMPUTED_VALUE"""),34.0)</f>
        <v>34</v>
      </c>
      <c r="B105" s="4">
        <f>IFERROR(__xludf.DUMMYFUNCTION("""COMPUTED_VALUE"""),34.0)</f>
        <v>34</v>
      </c>
      <c r="C105" s="4" t="str">
        <f>IFERROR(__xludf.DUMMYFUNCTION("""COMPUTED_VALUE"""),"POR")</f>
        <v>POR</v>
      </c>
      <c r="D105" s="4" t="str">
        <f>IFERROR(__xludf.DUMMYFUNCTION("""COMPUTED_VALUE"""),"Tyler Kolek")</f>
        <v>Tyler Kolek</v>
      </c>
      <c r="E105" s="4" t="str">
        <f>IFERROR(__xludf.DUMMYFUNCTION("""COMPUTED_VALUE"""),"Marquette")</f>
        <v>Marquette</v>
      </c>
      <c r="F105" s="4">
        <f>IFERROR(__xludf.DUMMYFUNCTION("""COMPUTED_VALUE"""),2.0)</f>
        <v>2</v>
      </c>
      <c r="G105" s="4">
        <f>IFERROR(__xludf.DUMMYFUNCTION("""COMPUTED_VALUE"""),57.0)</f>
        <v>57</v>
      </c>
      <c r="H105" s="4">
        <f>IFERROR(__xludf.DUMMYFUNCTION("""COMPUTED_VALUE"""),451.0)</f>
        <v>451</v>
      </c>
      <c r="I105" s="4">
        <f>IFERROR(__xludf.DUMMYFUNCTION("""COMPUTED_VALUE"""),136.0)</f>
        <v>136</v>
      </c>
      <c r="J105" s="4">
        <f>IFERROR(__xludf.DUMMYFUNCTION("""COMPUTED_VALUE"""),39.0)</f>
        <v>39</v>
      </c>
      <c r="K105" s="4">
        <f>IFERROR(__xludf.DUMMYFUNCTION("""COMPUTED_VALUE"""),99.0)</f>
        <v>99</v>
      </c>
      <c r="L105" s="4">
        <f>IFERROR(__xludf.DUMMYFUNCTION("""COMPUTED_VALUE"""),0.371)</f>
        <v>0.371</v>
      </c>
      <c r="M105" s="4">
        <f>IFERROR(__xludf.DUMMYFUNCTION("""COMPUTED_VALUE"""),0.282)</f>
        <v>0.282</v>
      </c>
      <c r="N105" s="4">
        <f>IFERROR(__xludf.DUMMYFUNCTION("""COMPUTED_VALUE"""),0.72)</f>
        <v>0.72</v>
      </c>
      <c r="O105" s="4">
        <f>IFERROR(__xludf.DUMMYFUNCTION("""COMPUTED_VALUE"""),7.9)</f>
        <v>7.9</v>
      </c>
      <c r="P105" s="4">
        <f>IFERROR(__xludf.DUMMYFUNCTION("""COMPUTED_VALUE"""),2.4)</f>
        <v>2.4</v>
      </c>
      <c r="Q105" s="4">
        <f>IFERROR(__xludf.DUMMYFUNCTION("""COMPUTED_VALUE"""),0.7)</f>
        <v>0.7</v>
      </c>
      <c r="R105" s="4">
        <f>IFERROR(__xludf.DUMMYFUNCTION("""COMPUTED_VALUE"""),1.7)</f>
        <v>1.7</v>
      </c>
      <c r="S105" s="4">
        <f>IFERROR(__xludf.DUMMYFUNCTION("""COMPUTED_VALUE"""),0.6)</f>
        <v>0.6</v>
      </c>
      <c r="T105" s="4">
        <f>IFERROR(__xludf.DUMMYFUNCTION("""COMPUTED_VALUE"""),0.067)</f>
        <v>0.067</v>
      </c>
      <c r="U105" s="4">
        <f>IFERROR(__xludf.DUMMYFUNCTION("""COMPUTED_VALUE"""),-2.5)</f>
        <v>-2.5</v>
      </c>
      <c r="V105" s="4">
        <f>IFERROR(__xludf.DUMMYFUNCTION("""COMPUTED_VALUE"""),-0.1)</f>
        <v>-0.1</v>
      </c>
    </row>
    <row r="106">
      <c r="A106" s="4">
        <f>IFERROR(__xludf.DUMMYFUNCTION("""COMPUTED_VALUE"""),35.0)</f>
        <v>35</v>
      </c>
      <c r="B106" s="4">
        <f>IFERROR(__xludf.DUMMYFUNCTION("""COMPUTED_VALUE"""),35.0)</f>
        <v>35</v>
      </c>
      <c r="C106" s="4" t="str">
        <f>IFERROR(__xludf.DUMMYFUNCTION("""COMPUTED_VALUE"""),"SAS")</f>
        <v>SAS</v>
      </c>
      <c r="D106" s="4" t="str">
        <f>IFERROR(__xludf.DUMMYFUNCTION("""COMPUTED_VALUE"""),"Johnny Furphy")</f>
        <v>Johnny Furphy</v>
      </c>
      <c r="E106" s="4" t="str">
        <f>IFERROR(__xludf.DUMMYFUNCTION("""COMPUTED_VALUE"""),"Kansas")</f>
        <v>Kansas</v>
      </c>
      <c r="F106" s="4">
        <f>IFERROR(__xludf.DUMMYFUNCTION("""COMPUTED_VALUE"""),2.0)</f>
        <v>2</v>
      </c>
      <c r="G106" s="4">
        <f>IFERROR(__xludf.DUMMYFUNCTION("""COMPUTED_VALUE"""),53.0)</f>
        <v>53</v>
      </c>
      <c r="H106" s="4">
        <f>IFERROR(__xludf.DUMMYFUNCTION("""COMPUTED_VALUE"""),416.0)</f>
        <v>416</v>
      </c>
      <c r="I106" s="4">
        <f>IFERROR(__xludf.DUMMYFUNCTION("""COMPUTED_VALUE"""),111.0)</f>
        <v>111</v>
      </c>
      <c r="J106" s="4">
        <f>IFERROR(__xludf.DUMMYFUNCTION("""COMPUTED_VALUE"""),77.0)</f>
        <v>77</v>
      </c>
      <c r="K106" s="4">
        <f>IFERROR(__xludf.DUMMYFUNCTION("""COMPUTED_VALUE"""),19.0)</f>
        <v>19</v>
      </c>
      <c r="L106" s="4">
        <f>IFERROR(__xludf.DUMMYFUNCTION("""COMPUTED_VALUE"""),0.388)</f>
        <v>0.388</v>
      </c>
      <c r="M106" s="4">
        <f>IFERROR(__xludf.DUMMYFUNCTION("""COMPUTED_VALUE"""),0.321)</f>
        <v>0.321</v>
      </c>
      <c r="N106" s="4">
        <f>IFERROR(__xludf.DUMMYFUNCTION("""COMPUTED_VALUE"""),0.818)</f>
        <v>0.818</v>
      </c>
      <c r="O106" s="4">
        <f>IFERROR(__xludf.DUMMYFUNCTION("""COMPUTED_VALUE"""),7.8)</f>
        <v>7.8</v>
      </c>
      <c r="P106" s="4">
        <f>IFERROR(__xludf.DUMMYFUNCTION("""COMPUTED_VALUE"""),2.1)</f>
        <v>2.1</v>
      </c>
      <c r="Q106" s="4">
        <f>IFERROR(__xludf.DUMMYFUNCTION("""COMPUTED_VALUE"""),1.5)</f>
        <v>1.5</v>
      </c>
      <c r="R106" s="4">
        <f>IFERROR(__xludf.DUMMYFUNCTION("""COMPUTED_VALUE"""),0.4)</f>
        <v>0.4</v>
      </c>
      <c r="S106" s="4">
        <f>IFERROR(__xludf.DUMMYFUNCTION("""COMPUTED_VALUE"""),0.5)</f>
        <v>0.5</v>
      </c>
      <c r="T106" s="4">
        <f>IFERROR(__xludf.DUMMYFUNCTION("""COMPUTED_VALUE"""),0.063)</f>
        <v>0.063</v>
      </c>
      <c r="U106" s="4">
        <f>IFERROR(__xludf.DUMMYFUNCTION("""COMPUTED_VALUE"""),-2.7)</f>
        <v>-2.7</v>
      </c>
      <c r="V106" s="4">
        <f>IFERROR(__xludf.DUMMYFUNCTION("""COMPUTED_VALUE"""),-0.1)</f>
        <v>-0.1</v>
      </c>
    </row>
    <row r="107">
      <c r="A107" s="4">
        <f>IFERROR(__xludf.DUMMYFUNCTION("""COMPUTED_VALUE"""),36.0)</f>
        <v>36</v>
      </c>
      <c r="B107" s="4">
        <f>IFERROR(__xludf.DUMMYFUNCTION("""COMPUTED_VALUE"""),36.0)</f>
        <v>36</v>
      </c>
      <c r="C107" s="4" t="str">
        <f>IFERROR(__xludf.DUMMYFUNCTION("""COMPUTED_VALUE"""),"IND")</f>
        <v>IND</v>
      </c>
      <c r="D107" s="4" t="str">
        <f>IFERROR(__xludf.DUMMYFUNCTION("""COMPUTED_VALUE"""),"Juan Nunez")</f>
        <v>Juan Nunez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>
        <f>IFERROR(__xludf.DUMMYFUNCTION("""COMPUTED_VALUE"""),37.0)</f>
        <v>37</v>
      </c>
      <c r="B108" s="4">
        <f>IFERROR(__xludf.DUMMYFUNCTION("""COMPUTED_VALUE"""),37.0)</f>
        <v>37</v>
      </c>
      <c r="C108" s="4" t="str">
        <f>IFERROR(__xludf.DUMMYFUNCTION("""COMPUTED_VALUE"""),"MIN")</f>
        <v>MIN</v>
      </c>
      <c r="D108" s="4" t="str">
        <f>IFERROR(__xludf.DUMMYFUNCTION("""COMPUTED_VALUE"""),"Bobi Klintman")</f>
        <v>Bobi Klintman</v>
      </c>
      <c r="E108" s="4"/>
      <c r="F108" s="4">
        <f>IFERROR(__xludf.DUMMYFUNCTION("""COMPUTED_VALUE"""),2.0)</f>
        <v>2</v>
      </c>
      <c r="G108" s="4">
        <f>IFERROR(__xludf.DUMMYFUNCTION("""COMPUTED_VALUE"""),14.0)</f>
        <v>14</v>
      </c>
      <c r="H108" s="4">
        <f>IFERROR(__xludf.DUMMYFUNCTION("""COMPUTED_VALUE"""),95.0)</f>
        <v>95</v>
      </c>
      <c r="I108" s="4">
        <f>IFERROR(__xludf.DUMMYFUNCTION("""COMPUTED_VALUE"""),32.0)</f>
        <v>32</v>
      </c>
      <c r="J108" s="4">
        <f>IFERROR(__xludf.DUMMYFUNCTION("""COMPUTED_VALUE"""),23.0)</f>
        <v>23</v>
      </c>
      <c r="K108" s="4">
        <f>IFERROR(__xludf.DUMMYFUNCTION("""COMPUTED_VALUE"""),11.0)</f>
        <v>11</v>
      </c>
      <c r="L108" s="4">
        <f>IFERROR(__xludf.DUMMYFUNCTION("""COMPUTED_VALUE"""),0.419)</f>
        <v>0.419</v>
      </c>
      <c r="M108" s="4">
        <f>IFERROR(__xludf.DUMMYFUNCTION("""COMPUTED_VALUE"""),0.313)</f>
        <v>0.313</v>
      </c>
      <c r="N108" s="4">
        <f>IFERROR(__xludf.DUMMYFUNCTION("""COMPUTED_VALUE"""),0.2)</f>
        <v>0.2</v>
      </c>
      <c r="O108" s="4">
        <f>IFERROR(__xludf.DUMMYFUNCTION("""COMPUTED_VALUE"""),6.8)</f>
        <v>6.8</v>
      </c>
      <c r="P108" s="4">
        <f>IFERROR(__xludf.DUMMYFUNCTION("""COMPUTED_VALUE"""),2.3)</f>
        <v>2.3</v>
      </c>
      <c r="Q108" s="4">
        <f>IFERROR(__xludf.DUMMYFUNCTION("""COMPUTED_VALUE"""),1.6)</f>
        <v>1.6</v>
      </c>
      <c r="R108" s="4">
        <f>IFERROR(__xludf.DUMMYFUNCTION("""COMPUTED_VALUE"""),0.8)</f>
        <v>0.8</v>
      </c>
      <c r="S108" s="4">
        <f>IFERROR(__xludf.DUMMYFUNCTION("""COMPUTED_VALUE"""),0.1)</f>
        <v>0.1</v>
      </c>
      <c r="T108" s="4">
        <f>IFERROR(__xludf.DUMMYFUNCTION("""COMPUTED_VALUE"""),0.056)</f>
        <v>0.056</v>
      </c>
      <c r="U108" s="4">
        <f>IFERROR(__xludf.DUMMYFUNCTION("""COMPUTED_VALUE"""),-5.5)</f>
        <v>-5.5</v>
      </c>
      <c r="V108" s="4">
        <f>IFERROR(__xludf.DUMMYFUNCTION("""COMPUTED_VALUE"""),-0.1)</f>
        <v>-0.1</v>
      </c>
    </row>
    <row r="109">
      <c r="A109" s="4">
        <f>IFERROR(__xludf.DUMMYFUNCTION("""COMPUTED_VALUE"""),38.0)</f>
        <v>38</v>
      </c>
      <c r="B109" s="4">
        <f>IFERROR(__xludf.DUMMYFUNCTION("""COMPUTED_VALUE"""),38.0)</f>
        <v>38</v>
      </c>
      <c r="C109" s="4" t="str">
        <f>IFERROR(__xludf.DUMMYFUNCTION("""COMPUTED_VALUE"""),"NYK")</f>
        <v>NYK</v>
      </c>
      <c r="D109" s="4" t="str">
        <f>IFERROR(__xludf.DUMMYFUNCTION("""COMPUTED_VALUE"""),"Ajay Mitchell")</f>
        <v>Ajay Mitchell</v>
      </c>
      <c r="E109" s="4" t="str">
        <f>IFERROR(__xludf.DUMMYFUNCTION("""COMPUTED_VALUE"""),"UC Santa Barbara")</f>
        <v>UC Santa Barbara</v>
      </c>
      <c r="F109" s="4">
        <f>IFERROR(__xludf.DUMMYFUNCTION("""COMPUTED_VALUE"""),2.0)</f>
        <v>2</v>
      </c>
      <c r="G109" s="4">
        <f>IFERROR(__xludf.DUMMYFUNCTION("""COMPUTED_VALUE"""),58.0)</f>
        <v>58</v>
      </c>
      <c r="H109" s="4">
        <f>IFERROR(__xludf.DUMMYFUNCTION("""COMPUTED_VALUE"""),1185.0)</f>
        <v>1185</v>
      </c>
      <c r="I109" s="4">
        <f>IFERROR(__xludf.DUMMYFUNCTION("""COMPUTED_VALUE"""),564.0)</f>
        <v>564</v>
      </c>
      <c r="J109" s="4">
        <f>IFERROR(__xludf.DUMMYFUNCTION("""COMPUTED_VALUE"""),145.0)</f>
        <v>145</v>
      </c>
      <c r="K109" s="4">
        <f>IFERROR(__xludf.DUMMYFUNCTION("""COMPUTED_VALUE"""),145.0)</f>
        <v>145</v>
      </c>
      <c r="L109" s="4">
        <f>IFERROR(__xludf.DUMMYFUNCTION("""COMPUTED_VALUE"""),0.478)</f>
        <v>0.478</v>
      </c>
      <c r="M109" s="4">
        <f>IFERROR(__xludf.DUMMYFUNCTION("""COMPUTED_VALUE"""),0.361)</f>
        <v>0.361</v>
      </c>
      <c r="N109" s="4">
        <f>IFERROR(__xludf.DUMMYFUNCTION("""COMPUTED_VALUE"""),0.857)</f>
        <v>0.857</v>
      </c>
      <c r="O109" s="4">
        <f>IFERROR(__xludf.DUMMYFUNCTION("""COMPUTED_VALUE"""),20.4)</f>
        <v>20.4</v>
      </c>
      <c r="P109" s="4">
        <f>IFERROR(__xludf.DUMMYFUNCTION("""COMPUTED_VALUE"""),9.7)</f>
        <v>9.7</v>
      </c>
      <c r="Q109" s="4">
        <f>IFERROR(__xludf.DUMMYFUNCTION("""COMPUTED_VALUE"""),2.5)</f>
        <v>2.5</v>
      </c>
      <c r="R109" s="4">
        <f>IFERROR(__xludf.DUMMYFUNCTION("""COMPUTED_VALUE"""),2.5)</f>
        <v>2.5</v>
      </c>
      <c r="S109" s="4">
        <f>IFERROR(__xludf.DUMMYFUNCTION("""COMPUTED_VALUE"""),3.5)</f>
        <v>3.5</v>
      </c>
      <c r="T109" s="4">
        <f>IFERROR(__xludf.DUMMYFUNCTION("""COMPUTED_VALUE"""),0.141)</f>
        <v>0.141</v>
      </c>
      <c r="U109" s="4">
        <f>IFERROR(__xludf.DUMMYFUNCTION("""COMPUTED_VALUE"""),0.0)</f>
        <v>0</v>
      </c>
      <c r="V109" s="4">
        <f>IFERROR(__xludf.DUMMYFUNCTION("""COMPUTED_VALUE"""),0.6)</f>
        <v>0.6</v>
      </c>
    </row>
    <row r="110">
      <c r="A110" s="4">
        <f>IFERROR(__xludf.DUMMYFUNCTION("""COMPUTED_VALUE"""),39.0)</f>
        <v>39</v>
      </c>
      <c r="B110" s="4">
        <f>IFERROR(__xludf.DUMMYFUNCTION("""COMPUTED_VALUE"""),39.0)</f>
        <v>39</v>
      </c>
      <c r="C110" s="4" t="str">
        <f>IFERROR(__xludf.DUMMYFUNCTION("""COMPUTED_VALUE"""),"MEM")</f>
        <v>MEM</v>
      </c>
      <c r="D110" s="4" t="str">
        <f>IFERROR(__xludf.DUMMYFUNCTION("""COMPUTED_VALUE"""),"Jaylen Wells")</f>
        <v>Jaylen Wells</v>
      </c>
      <c r="E110" s="4" t="str">
        <f>IFERROR(__xludf.DUMMYFUNCTION("""COMPUTED_VALUE"""),"Washington State")</f>
        <v>Washington State</v>
      </c>
      <c r="F110" s="4">
        <f>IFERROR(__xludf.DUMMYFUNCTION("""COMPUTED_VALUE"""),2.0)</f>
        <v>2</v>
      </c>
      <c r="G110" s="4">
        <f>IFERROR(__xludf.DUMMYFUNCTION("""COMPUTED_VALUE"""),101.0)</f>
        <v>101</v>
      </c>
      <c r="H110" s="4">
        <f>IFERROR(__xludf.DUMMYFUNCTION("""COMPUTED_VALUE"""),2625.0)</f>
        <v>2625</v>
      </c>
      <c r="I110" s="4">
        <f>IFERROR(__xludf.DUMMYFUNCTION("""COMPUTED_VALUE"""),1082.0)</f>
        <v>1082</v>
      </c>
      <c r="J110" s="4">
        <f>IFERROR(__xludf.DUMMYFUNCTION("""COMPUTED_VALUE"""),343.0)</f>
        <v>343</v>
      </c>
      <c r="K110" s="4">
        <f>IFERROR(__xludf.DUMMYFUNCTION("""COMPUTED_VALUE"""),173.0)</f>
        <v>173</v>
      </c>
      <c r="L110" s="4">
        <f>IFERROR(__xludf.DUMMYFUNCTION("""COMPUTED_VALUE"""),0.426)</f>
        <v>0.426</v>
      </c>
      <c r="M110" s="4">
        <f>IFERROR(__xludf.DUMMYFUNCTION("""COMPUTED_VALUE"""),0.352)</f>
        <v>0.352</v>
      </c>
      <c r="N110" s="4">
        <f>IFERROR(__xludf.DUMMYFUNCTION("""COMPUTED_VALUE"""),0.805)</f>
        <v>0.805</v>
      </c>
      <c r="O110" s="4">
        <f>IFERROR(__xludf.DUMMYFUNCTION("""COMPUTED_VALUE"""),26.0)</f>
        <v>26</v>
      </c>
      <c r="P110" s="4">
        <f>IFERROR(__xludf.DUMMYFUNCTION("""COMPUTED_VALUE"""),10.7)</f>
        <v>10.7</v>
      </c>
      <c r="Q110" s="4">
        <f>IFERROR(__xludf.DUMMYFUNCTION("""COMPUTED_VALUE"""),3.4)</f>
        <v>3.4</v>
      </c>
      <c r="R110" s="4">
        <f>IFERROR(__xludf.DUMMYFUNCTION("""COMPUTED_VALUE"""),1.7)</f>
        <v>1.7</v>
      </c>
      <c r="S110" s="4">
        <f>IFERROR(__xludf.DUMMYFUNCTION("""COMPUTED_VALUE"""),4.5)</f>
        <v>4.5</v>
      </c>
      <c r="T110" s="4">
        <f>IFERROR(__xludf.DUMMYFUNCTION("""COMPUTED_VALUE"""),0.082)</f>
        <v>0.082</v>
      </c>
      <c r="U110" s="4">
        <f>IFERROR(__xludf.DUMMYFUNCTION("""COMPUTED_VALUE"""),-2.2)</f>
        <v>-2.2</v>
      </c>
      <c r="V110" s="4">
        <f>IFERROR(__xludf.DUMMYFUNCTION("""COMPUTED_VALUE"""),-0.1)</f>
        <v>-0.1</v>
      </c>
    </row>
    <row r="111">
      <c r="A111" s="4">
        <f>IFERROR(__xludf.DUMMYFUNCTION("""COMPUTED_VALUE"""),40.0)</f>
        <v>40</v>
      </c>
      <c r="B111" s="4">
        <f>IFERROR(__xludf.DUMMYFUNCTION("""COMPUTED_VALUE"""),40.0)</f>
        <v>40</v>
      </c>
      <c r="C111" s="4" t="str">
        <f>IFERROR(__xludf.DUMMYFUNCTION("""COMPUTED_VALUE"""),"POR")</f>
        <v>POR</v>
      </c>
      <c r="D111" s="4" t="str">
        <f>IFERROR(__xludf.DUMMYFUNCTION("""COMPUTED_VALUE"""),"Oso Ighodaro")</f>
        <v>Oso Ighodaro</v>
      </c>
      <c r="E111" s="4" t="str">
        <f>IFERROR(__xludf.DUMMYFUNCTION("""COMPUTED_VALUE"""),"Marquette")</f>
        <v>Marquette</v>
      </c>
      <c r="F111" s="4">
        <f>IFERROR(__xludf.DUMMYFUNCTION("""COMPUTED_VALUE"""),2.0)</f>
        <v>2</v>
      </c>
      <c r="G111" s="4">
        <f>IFERROR(__xludf.DUMMYFUNCTION("""COMPUTED_VALUE"""),83.0)</f>
        <v>83</v>
      </c>
      <c r="H111" s="4">
        <f>IFERROR(__xludf.DUMMYFUNCTION("""COMPUTED_VALUE"""),1422.0)</f>
        <v>1422</v>
      </c>
      <c r="I111" s="4">
        <f>IFERROR(__xludf.DUMMYFUNCTION("""COMPUTED_VALUE"""),360.0)</f>
        <v>360</v>
      </c>
      <c r="J111" s="4">
        <f>IFERROR(__xludf.DUMMYFUNCTION("""COMPUTED_VALUE"""),299.0)</f>
        <v>299</v>
      </c>
      <c r="K111" s="4">
        <f>IFERROR(__xludf.DUMMYFUNCTION("""COMPUTED_VALUE"""),108.0)</f>
        <v>108</v>
      </c>
      <c r="L111" s="4">
        <f>IFERROR(__xludf.DUMMYFUNCTION("""COMPUTED_VALUE"""),0.599)</f>
        <v>0.599</v>
      </c>
      <c r="M111" s="4">
        <f>IFERROR(__xludf.DUMMYFUNCTION("""COMPUTED_VALUE"""),0.0)</f>
        <v>0</v>
      </c>
      <c r="N111" s="4">
        <f>IFERROR(__xludf.DUMMYFUNCTION("""COMPUTED_VALUE"""),0.521)</f>
        <v>0.521</v>
      </c>
      <c r="O111" s="4">
        <f>IFERROR(__xludf.DUMMYFUNCTION("""COMPUTED_VALUE"""),17.1)</f>
        <v>17.1</v>
      </c>
      <c r="P111" s="4">
        <f>IFERROR(__xludf.DUMMYFUNCTION("""COMPUTED_VALUE"""),4.3)</f>
        <v>4.3</v>
      </c>
      <c r="Q111" s="4">
        <f>IFERROR(__xludf.DUMMYFUNCTION("""COMPUTED_VALUE"""),3.6)</f>
        <v>3.6</v>
      </c>
      <c r="R111" s="4">
        <f>IFERROR(__xludf.DUMMYFUNCTION("""COMPUTED_VALUE"""),1.3)</f>
        <v>1.3</v>
      </c>
      <c r="S111" s="4">
        <f>IFERROR(__xludf.DUMMYFUNCTION("""COMPUTED_VALUE"""),2.2)</f>
        <v>2.2</v>
      </c>
      <c r="T111" s="4">
        <f>IFERROR(__xludf.DUMMYFUNCTION("""COMPUTED_VALUE"""),0.074)</f>
        <v>0.074</v>
      </c>
      <c r="U111" s="4">
        <f>IFERROR(__xludf.DUMMYFUNCTION("""COMPUTED_VALUE"""),-2.5)</f>
        <v>-2.5</v>
      </c>
      <c r="V111" s="4">
        <f>IFERROR(__xludf.DUMMYFUNCTION("""COMPUTED_VALUE"""),-0.2)</f>
        <v>-0.2</v>
      </c>
    </row>
    <row r="112">
      <c r="A112" s="4">
        <f>IFERROR(__xludf.DUMMYFUNCTION("""COMPUTED_VALUE"""),41.0)</f>
        <v>41</v>
      </c>
      <c r="B112" s="4">
        <f>IFERROR(__xludf.DUMMYFUNCTION("""COMPUTED_VALUE"""),41.0)</f>
        <v>41</v>
      </c>
      <c r="C112" s="4" t="str">
        <f>IFERROR(__xludf.DUMMYFUNCTION("""COMPUTED_VALUE"""),"PHI")</f>
        <v>PHI</v>
      </c>
      <c r="D112" s="4" t="str">
        <f>IFERROR(__xludf.DUMMYFUNCTION("""COMPUTED_VALUE"""),"Adem Bona")</f>
        <v>Adem Bona</v>
      </c>
      <c r="E112" s="4" t="str">
        <f>IFERROR(__xludf.DUMMYFUNCTION("""COMPUTED_VALUE"""),"UCLA")</f>
        <v>UCLA</v>
      </c>
      <c r="F112" s="4">
        <f>IFERROR(__xludf.DUMMYFUNCTION("""COMPUTED_VALUE"""),2.0)</f>
        <v>2</v>
      </c>
      <c r="G112" s="4">
        <f>IFERROR(__xludf.DUMMYFUNCTION("""COMPUTED_VALUE"""),73.0)</f>
        <v>73</v>
      </c>
      <c r="H112" s="4">
        <f>IFERROR(__xludf.DUMMYFUNCTION("""COMPUTED_VALUE"""),1149.0)</f>
        <v>1149</v>
      </c>
      <c r="I112" s="4">
        <f>IFERROR(__xludf.DUMMYFUNCTION("""COMPUTED_VALUE"""),384.0)</f>
        <v>384</v>
      </c>
      <c r="J112" s="4">
        <f>IFERROR(__xludf.DUMMYFUNCTION("""COMPUTED_VALUE"""),300.0)</f>
        <v>300</v>
      </c>
      <c r="K112" s="4">
        <f>IFERROR(__xludf.DUMMYFUNCTION("""COMPUTED_VALUE"""),30.0)</f>
        <v>30</v>
      </c>
      <c r="L112" s="4">
        <f>IFERROR(__xludf.DUMMYFUNCTION("""COMPUTED_VALUE"""),0.682)</f>
        <v>0.682</v>
      </c>
      <c r="M112" s="4">
        <f>IFERROR(__xludf.DUMMYFUNCTION("""COMPUTED_VALUE"""),0.25)</f>
        <v>0.25</v>
      </c>
      <c r="N112" s="4">
        <f>IFERROR(__xludf.DUMMYFUNCTION("""COMPUTED_VALUE"""),0.658)</f>
        <v>0.658</v>
      </c>
      <c r="O112" s="4">
        <f>IFERROR(__xludf.DUMMYFUNCTION("""COMPUTED_VALUE"""),15.7)</f>
        <v>15.7</v>
      </c>
      <c r="P112" s="4">
        <f>IFERROR(__xludf.DUMMYFUNCTION("""COMPUTED_VALUE"""),5.3)</f>
        <v>5.3</v>
      </c>
      <c r="Q112" s="4">
        <f>IFERROR(__xludf.DUMMYFUNCTION("""COMPUTED_VALUE"""),4.1)</f>
        <v>4.1</v>
      </c>
      <c r="R112" s="4">
        <f>IFERROR(__xludf.DUMMYFUNCTION("""COMPUTED_VALUE"""),0.4)</f>
        <v>0.4</v>
      </c>
      <c r="S112" s="4">
        <f>IFERROR(__xludf.DUMMYFUNCTION("""COMPUTED_VALUE"""),2.7)</f>
        <v>2.7</v>
      </c>
      <c r="T112" s="4">
        <f>IFERROR(__xludf.DUMMYFUNCTION("""COMPUTED_VALUE"""),0.112)</f>
        <v>0.112</v>
      </c>
      <c r="U112" s="4">
        <f>IFERROR(__xludf.DUMMYFUNCTION("""COMPUTED_VALUE"""),-2.8)</f>
        <v>-2.8</v>
      </c>
      <c r="V112" s="4">
        <f>IFERROR(__xludf.DUMMYFUNCTION("""COMPUTED_VALUE"""),-0.2)</f>
        <v>-0.2</v>
      </c>
    </row>
    <row r="113">
      <c r="A113" s="4">
        <f>IFERROR(__xludf.DUMMYFUNCTION("""COMPUTED_VALUE"""),42.0)</f>
        <v>42</v>
      </c>
      <c r="B113" s="4">
        <f>IFERROR(__xludf.DUMMYFUNCTION("""COMPUTED_VALUE"""),42.0)</f>
        <v>42</v>
      </c>
      <c r="C113" s="4" t="str">
        <f>IFERROR(__xludf.DUMMYFUNCTION("""COMPUTED_VALUE"""),"CHO")</f>
        <v>CHO</v>
      </c>
      <c r="D113" s="4" t="str">
        <f>IFERROR(__xludf.DUMMYFUNCTION("""COMPUTED_VALUE"""),"KJ Simpson")</f>
        <v>KJ Simpson</v>
      </c>
      <c r="E113" s="4" t="str">
        <f>IFERROR(__xludf.DUMMYFUNCTION("""COMPUTED_VALUE"""),"Colorado")</f>
        <v>Colorado</v>
      </c>
      <c r="F113" s="4">
        <f>IFERROR(__xludf.DUMMYFUNCTION("""COMPUTED_VALUE"""),2.0)</f>
        <v>2</v>
      </c>
      <c r="G113" s="4">
        <f>IFERROR(__xludf.DUMMYFUNCTION("""COMPUTED_VALUE"""),44.0)</f>
        <v>44</v>
      </c>
      <c r="H113" s="4">
        <f>IFERROR(__xludf.DUMMYFUNCTION("""COMPUTED_VALUE"""),947.0)</f>
        <v>947</v>
      </c>
      <c r="I113" s="4">
        <f>IFERROR(__xludf.DUMMYFUNCTION("""COMPUTED_VALUE"""),321.0)</f>
        <v>321</v>
      </c>
      <c r="J113" s="4">
        <f>IFERROR(__xludf.DUMMYFUNCTION("""COMPUTED_VALUE"""),125.0)</f>
        <v>125</v>
      </c>
      <c r="K113" s="4">
        <f>IFERROR(__xludf.DUMMYFUNCTION("""COMPUTED_VALUE"""),132.0)</f>
        <v>132</v>
      </c>
      <c r="L113" s="4">
        <f>IFERROR(__xludf.DUMMYFUNCTION("""COMPUTED_VALUE"""),0.346)</f>
        <v>0.346</v>
      </c>
      <c r="M113" s="4">
        <f>IFERROR(__xludf.DUMMYFUNCTION("""COMPUTED_VALUE"""),0.267)</f>
        <v>0.267</v>
      </c>
      <c r="N113" s="4">
        <f>IFERROR(__xludf.DUMMYFUNCTION("""COMPUTED_VALUE"""),0.815)</f>
        <v>0.815</v>
      </c>
      <c r="O113" s="4">
        <f>IFERROR(__xludf.DUMMYFUNCTION("""COMPUTED_VALUE"""),21.5)</f>
        <v>21.5</v>
      </c>
      <c r="P113" s="4">
        <f>IFERROR(__xludf.DUMMYFUNCTION("""COMPUTED_VALUE"""),7.3)</f>
        <v>7.3</v>
      </c>
      <c r="Q113" s="4">
        <f>IFERROR(__xludf.DUMMYFUNCTION("""COMPUTED_VALUE"""),2.8)</f>
        <v>2.8</v>
      </c>
      <c r="R113" s="4">
        <f>IFERROR(__xludf.DUMMYFUNCTION("""COMPUTED_VALUE"""),3.0)</f>
        <v>3</v>
      </c>
      <c r="S113" s="4">
        <f>IFERROR(__xludf.DUMMYFUNCTION("""COMPUTED_VALUE"""),-0.6)</f>
        <v>-0.6</v>
      </c>
      <c r="T113" s="4">
        <f>IFERROR(__xludf.DUMMYFUNCTION("""COMPUTED_VALUE"""),-0.028)</f>
        <v>-0.028</v>
      </c>
      <c r="U113" s="4">
        <f>IFERROR(__xludf.DUMMYFUNCTION("""COMPUTED_VALUE"""),-5.4)</f>
        <v>-5.4</v>
      </c>
      <c r="V113" s="4">
        <f>IFERROR(__xludf.DUMMYFUNCTION("""COMPUTED_VALUE"""),-0.8)</f>
        <v>-0.8</v>
      </c>
    </row>
    <row r="114">
      <c r="A114" s="4">
        <f>IFERROR(__xludf.DUMMYFUNCTION("""COMPUTED_VALUE"""),43.0)</f>
        <v>43</v>
      </c>
      <c r="B114" s="4">
        <f>IFERROR(__xludf.DUMMYFUNCTION("""COMPUTED_VALUE"""),43.0)</f>
        <v>43</v>
      </c>
      <c r="C114" s="4" t="str">
        <f>IFERROR(__xludf.DUMMYFUNCTION("""COMPUTED_VALUE"""),"MIA")</f>
        <v>MIA</v>
      </c>
      <c r="D114" s="4" t="str">
        <f>IFERROR(__xludf.DUMMYFUNCTION("""COMPUTED_VALUE"""),"Nikola Djurisic")</f>
        <v>Nikola Djurisic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>
        <f>IFERROR(__xludf.DUMMYFUNCTION("""COMPUTED_VALUE"""),44.0)</f>
        <v>44</v>
      </c>
      <c r="B115" s="4">
        <f>IFERROR(__xludf.DUMMYFUNCTION("""COMPUTED_VALUE"""),44.0)</f>
        <v>44</v>
      </c>
      <c r="C115" s="4" t="str">
        <f>IFERROR(__xludf.DUMMYFUNCTION("""COMPUTED_VALUE"""),"HOU")</f>
        <v>HOU</v>
      </c>
      <c r="D115" s="4" t="str">
        <f>IFERROR(__xludf.DUMMYFUNCTION("""COMPUTED_VALUE"""),"Pelle Larsson")</f>
        <v>Pelle Larsson</v>
      </c>
      <c r="E115" s="4" t="str">
        <f>IFERROR(__xludf.DUMMYFUNCTION("""COMPUTED_VALUE"""),"Arizona")</f>
        <v>Arizona</v>
      </c>
      <c r="F115" s="4">
        <f>IFERROR(__xludf.DUMMYFUNCTION("""COMPUTED_VALUE"""),2.0)</f>
        <v>2</v>
      </c>
      <c r="G115" s="4">
        <f>IFERROR(__xludf.DUMMYFUNCTION("""COMPUTED_VALUE"""),76.0)</f>
        <v>76</v>
      </c>
      <c r="H115" s="4">
        <f>IFERROR(__xludf.DUMMYFUNCTION("""COMPUTED_VALUE"""),1255.0)</f>
        <v>1255</v>
      </c>
      <c r="I115" s="4">
        <f>IFERROR(__xludf.DUMMYFUNCTION("""COMPUTED_VALUE"""),454.0)</f>
        <v>454</v>
      </c>
      <c r="J115" s="4">
        <f>IFERROR(__xludf.DUMMYFUNCTION("""COMPUTED_VALUE"""),149.0)</f>
        <v>149</v>
      </c>
      <c r="K115" s="4">
        <f>IFERROR(__xludf.DUMMYFUNCTION("""COMPUTED_VALUE"""),136.0)</f>
        <v>136</v>
      </c>
      <c r="L115" s="4">
        <f>IFERROR(__xludf.DUMMYFUNCTION("""COMPUTED_VALUE"""),0.449)</f>
        <v>0.449</v>
      </c>
      <c r="M115" s="4">
        <f>IFERROR(__xludf.DUMMYFUNCTION("""COMPUTED_VALUE"""),0.348)</f>
        <v>0.348</v>
      </c>
      <c r="N115" s="4">
        <f>IFERROR(__xludf.DUMMYFUNCTION("""COMPUTED_VALUE"""),0.723)</f>
        <v>0.723</v>
      </c>
      <c r="O115" s="4">
        <f>IFERROR(__xludf.DUMMYFUNCTION("""COMPUTED_VALUE"""),16.5)</f>
        <v>16.5</v>
      </c>
      <c r="P115" s="4">
        <f>IFERROR(__xludf.DUMMYFUNCTION("""COMPUTED_VALUE"""),6.0)</f>
        <v>6</v>
      </c>
      <c r="Q115" s="4">
        <f>IFERROR(__xludf.DUMMYFUNCTION("""COMPUTED_VALUE"""),2.0)</f>
        <v>2</v>
      </c>
      <c r="R115" s="4">
        <f>IFERROR(__xludf.DUMMYFUNCTION("""COMPUTED_VALUE"""),1.8)</f>
        <v>1.8</v>
      </c>
      <c r="S115" s="4">
        <f>IFERROR(__xludf.DUMMYFUNCTION("""COMPUTED_VALUE"""),2.5)</f>
        <v>2.5</v>
      </c>
      <c r="T115" s="4">
        <f>IFERROR(__xludf.DUMMYFUNCTION("""COMPUTED_VALUE"""),0.096)</f>
        <v>0.096</v>
      </c>
      <c r="U115" s="4">
        <f>IFERROR(__xludf.DUMMYFUNCTION("""COMPUTED_VALUE"""),-1.9)</f>
        <v>-1.9</v>
      </c>
      <c r="V115" s="4">
        <f>IFERROR(__xludf.DUMMYFUNCTION("""COMPUTED_VALUE"""),0.1)</f>
        <v>0.1</v>
      </c>
    </row>
    <row r="116">
      <c r="A116" s="4">
        <f>IFERROR(__xludf.DUMMYFUNCTION("""COMPUTED_VALUE"""),45.0)</f>
        <v>45</v>
      </c>
      <c r="B116" s="4">
        <f>IFERROR(__xludf.DUMMYFUNCTION("""COMPUTED_VALUE"""),45.0)</f>
        <v>45</v>
      </c>
      <c r="C116" s="4" t="str">
        <f>IFERROR(__xludf.DUMMYFUNCTION("""COMPUTED_VALUE"""),"SAC")</f>
        <v>SAC</v>
      </c>
      <c r="D116" s="4" t="str">
        <f>IFERROR(__xludf.DUMMYFUNCTION("""COMPUTED_VALUE"""),"Jamal Shead")</f>
        <v>Jamal Shead</v>
      </c>
      <c r="E116" s="4" t="str">
        <f>IFERROR(__xludf.DUMMYFUNCTION("""COMPUTED_VALUE"""),"Houston")</f>
        <v>Houston</v>
      </c>
      <c r="F116" s="4">
        <f>IFERROR(__xludf.DUMMYFUNCTION("""COMPUTED_VALUE"""),2.0)</f>
        <v>2</v>
      </c>
      <c r="G116" s="4">
        <f>IFERROR(__xludf.DUMMYFUNCTION("""COMPUTED_VALUE"""),97.0)</f>
        <v>97</v>
      </c>
      <c r="H116" s="4">
        <f>IFERROR(__xludf.DUMMYFUNCTION("""COMPUTED_VALUE"""),1884.0)</f>
        <v>1884</v>
      </c>
      <c r="I116" s="4">
        <f>IFERROR(__xludf.DUMMYFUNCTION("""COMPUTED_VALUE"""),657.0)</f>
        <v>657</v>
      </c>
      <c r="J116" s="4">
        <f>IFERROR(__xludf.DUMMYFUNCTION("""COMPUTED_VALUE"""),149.0)</f>
        <v>149</v>
      </c>
      <c r="K116" s="4">
        <f>IFERROR(__xludf.DUMMYFUNCTION("""COMPUTED_VALUE"""),433.0)</f>
        <v>433</v>
      </c>
      <c r="L116" s="4">
        <f>IFERROR(__xludf.DUMMYFUNCTION("""COMPUTED_VALUE"""),0.398)</f>
        <v>0.398</v>
      </c>
      <c r="M116" s="4">
        <f>IFERROR(__xludf.DUMMYFUNCTION("""COMPUTED_VALUE"""),0.327)</f>
        <v>0.327</v>
      </c>
      <c r="N116" s="4">
        <f>IFERROR(__xludf.DUMMYFUNCTION("""COMPUTED_VALUE"""),0.779)</f>
        <v>0.779</v>
      </c>
      <c r="O116" s="4">
        <f>IFERROR(__xludf.DUMMYFUNCTION("""COMPUTED_VALUE"""),19.4)</f>
        <v>19.4</v>
      </c>
      <c r="P116" s="4">
        <f>IFERROR(__xludf.DUMMYFUNCTION("""COMPUTED_VALUE"""),6.8)</f>
        <v>6.8</v>
      </c>
      <c r="Q116" s="4">
        <f>IFERROR(__xludf.DUMMYFUNCTION("""COMPUTED_VALUE"""),1.5)</f>
        <v>1.5</v>
      </c>
      <c r="R116" s="4">
        <f>IFERROR(__xludf.DUMMYFUNCTION("""COMPUTED_VALUE"""),4.5)</f>
        <v>4.5</v>
      </c>
      <c r="S116" s="4">
        <f>IFERROR(__xludf.DUMMYFUNCTION("""COMPUTED_VALUE"""),1.9)</f>
        <v>1.9</v>
      </c>
      <c r="T116" s="4">
        <f>IFERROR(__xludf.DUMMYFUNCTION("""COMPUTED_VALUE"""),0.049)</f>
        <v>0.049</v>
      </c>
      <c r="U116" s="4">
        <f>IFERROR(__xludf.DUMMYFUNCTION("""COMPUTED_VALUE"""),-3.2)</f>
        <v>-3.2</v>
      </c>
      <c r="V116" s="4">
        <f>IFERROR(__xludf.DUMMYFUNCTION("""COMPUTED_VALUE"""),-0.6)</f>
        <v>-0.6</v>
      </c>
    </row>
    <row r="117">
      <c r="A117" s="4">
        <f>IFERROR(__xludf.DUMMYFUNCTION("""COMPUTED_VALUE"""),46.0)</f>
        <v>46</v>
      </c>
      <c r="B117" s="4">
        <f>IFERROR(__xludf.DUMMYFUNCTION("""COMPUTED_VALUE"""),46.0)</f>
        <v>46</v>
      </c>
      <c r="C117" s="4" t="str">
        <f>IFERROR(__xludf.DUMMYFUNCTION("""COMPUTED_VALUE"""),"LAC")</f>
        <v>LAC</v>
      </c>
      <c r="D117" s="4" t="str">
        <f>IFERROR(__xludf.DUMMYFUNCTION("""COMPUTED_VALUE"""),"Cam Christie")</f>
        <v>Cam Christie</v>
      </c>
      <c r="E117" s="4" t="str">
        <f>IFERROR(__xludf.DUMMYFUNCTION("""COMPUTED_VALUE"""),"Minnesota")</f>
        <v>Minnesota</v>
      </c>
      <c r="F117" s="4">
        <f>IFERROR(__xludf.DUMMYFUNCTION("""COMPUTED_VALUE"""),2.0)</f>
        <v>2</v>
      </c>
      <c r="G117" s="4">
        <f>IFERROR(__xludf.DUMMYFUNCTION("""COMPUTED_VALUE"""),27.0)</f>
        <v>27</v>
      </c>
      <c r="H117" s="4">
        <f>IFERROR(__xludf.DUMMYFUNCTION("""COMPUTED_VALUE"""),216.0)</f>
        <v>216</v>
      </c>
      <c r="I117" s="4">
        <f>IFERROR(__xludf.DUMMYFUNCTION("""COMPUTED_VALUE"""),82.0)</f>
        <v>82</v>
      </c>
      <c r="J117" s="4">
        <f>IFERROR(__xludf.DUMMYFUNCTION("""COMPUTED_VALUE"""),41.0)</f>
        <v>41</v>
      </c>
      <c r="K117" s="4">
        <f>IFERROR(__xludf.DUMMYFUNCTION("""COMPUTED_VALUE"""),15.0)</f>
        <v>15</v>
      </c>
      <c r="L117" s="4">
        <f>IFERROR(__xludf.DUMMYFUNCTION("""COMPUTED_VALUE"""),0.325)</f>
        <v>0.325</v>
      </c>
      <c r="M117" s="4">
        <f>IFERROR(__xludf.DUMMYFUNCTION("""COMPUTED_VALUE"""),0.263)</f>
        <v>0.263</v>
      </c>
      <c r="N117" s="4">
        <f>IFERROR(__xludf.DUMMYFUNCTION("""COMPUTED_VALUE"""),0.71)</f>
        <v>0.71</v>
      </c>
      <c r="O117" s="4">
        <f>IFERROR(__xludf.DUMMYFUNCTION("""COMPUTED_VALUE"""),8.0)</f>
        <v>8</v>
      </c>
      <c r="P117" s="4">
        <f>IFERROR(__xludf.DUMMYFUNCTION("""COMPUTED_VALUE"""),3.0)</f>
        <v>3</v>
      </c>
      <c r="Q117" s="4">
        <f>IFERROR(__xludf.DUMMYFUNCTION("""COMPUTED_VALUE"""),1.5)</f>
        <v>1.5</v>
      </c>
      <c r="R117" s="4">
        <f>IFERROR(__xludf.DUMMYFUNCTION("""COMPUTED_VALUE"""),0.6)</f>
        <v>0.6</v>
      </c>
      <c r="S117" s="4">
        <f>IFERROR(__xludf.DUMMYFUNCTION("""COMPUTED_VALUE"""),0.0)</f>
        <v>0</v>
      </c>
      <c r="T117" s="4">
        <f>IFERROR(__xludf.DUMMYFUNCTION("""COMPUTED_VALUE"""),0.008)</f>
        <v>0.008</v>
      </c>
      <c r="U117" s="4">
        <f>IFERROR(__xludf.DUMMYFUNCTION("""COMPUTED_VALUE"""),-3.7)</f>
        <v>-3.7</v>
      </c>
      <c r="V117" s="4">
        <f>IFERROR(__xludf.DUMMYFUNCTION("""COMPUTED_VALUE"""),-0.1)</f>
        <v>-0.1</v>
      </c>
    </row>
    <row r="118">
      <c r="A118" s="4">
        <f>IFERROR(__xludf.DUMMYFUNCTION("""COMPUTED_VALUE"""),47.0)</f>
        <v>47</v>
      </c>
      <c r="B118" s="4">
        <f>IFERROR(__xludf.DUMMYFUNCTION("""COMPUTED_VALUE"""),47.0)</f>
        <v>47</v>
      </c>
      <c r="C118" s="4" t="str">
        <f>IFERROR(__xludf.DUMMYFUNCTION("""COMPUTED_VALUE"""),"ORL")</f>
        <v>ORL</v>
      </c>
      <c r="D118" s="4" t="str">
        <f>IFERROR(__xludf.DUMMYFUNCTION("""COMPUTED_VALUE"""),"Antonio Reeves")</f>
        <v>Antonio Reeves</v>
      </c>
      <c r="E118" s="4" t="str">
        <f>IFERROR(__xludf.DUMMYFUNCTION("""COMPUTED_VALUE"""),"Kentucky")</f>
        <v>Kentucky</v>
      </c>
      <c r="F118" s="4">
        <f>IFERROR(__xludf.DUMMYFUNCTION("""COMPUTED_VALUE"""),2.0)</f>
        <v>2</v>
      </c>
      <c r="G118" s="4">
        <f>IFERROR(__xludf.DUMMYFUNCTION("""COMPUTED_VALUE"""),47.0)</f>
        <v>47</v>
      </c>
      <c r="H118" s="4">
        <f>IFERROR(__xludf.DUMMYFUNCTION("""COMPUTED_VALUE"""),696.0)</f>
        <v>696</v>
      </c>
      <c r="I118" s="4">
        <f>IFERROR(__xludf.DUMMYFUNCTION("""COMPUTED_VALUE"""),324.0)</f>
        <v>324</v>
      </c>
      <c r="J118" s="4">
        <f>IFERROR(__xludf.DUMMYFUNCTION("""COMPUTED_VALUE"""),67.0)</f>
        <v>67</v>
      </c>
      <c r="K118" s="4">
        <f>IFERROR(__xludf.DUMMYFUNCTION("""COMPUTED_VALUE"""),40.0)</f>
        <v>40</v>
      </c>
      <c r="L118" s="4">
        <f>IFERROR(__xludf.DUMMYFUNCTION("""COMPUTED_VALUE"""),0.463)</f>
        <v>0.463</v>
      </c>
      <c r="M118" s="4">
        <f>IFERROR(__xludf.DUMMYFUNCTION("""COMPUTED_VALUE"""),0.409)</f>
        <v>0.409</v>
      </c>
      <c r="N118" s="4">
        <f>IFERROR(__xludf.DUMMYFUNCTION("""COMPUTED_VALUE"""),0.8)</f>
        <v>0.8</v>
      </c>
      <c r="O118" s="4">
        <f>IFERROR(__xludf.DUMMYFUNCTION("""COMPUTED_VALUE"""),14.8)</f>
        <v>14.8</v>
      </c>
      <c r="P118" s="4">
        <f>IFERROR(__xludf.DUMMYFUNCTION("""COMPUTED_VALUE"""),6.9)</f>
        <v>6.9</v>
      </c>
      <c r="Q118" s="4">
        <f>IFERROR(__xludf.DUMMYFUNCTION("""COMPUTED_VALUE"""),1.4)</f>
        <v>1.4</v>
      </c>
      <c r="R118" s="4">
        <f>IFERROR(__xludf.DUMMYFUNCTION("""COMPUTED_VALUE"""),0.9)</f>
        <v>0.9</v>
      </c>
      <c r="S118" s="4">
        <f>IFERROR(__xludf.DUMMYFUNCTION("""COMPUTED_VALUE"""),0.5)</f>
        <v>0.5</v>
      </c>
      <c r="T118" s="4">
        <f>IFERROR(__xludf.DUMMYFUNCTION("""COMPUTED_VALUE"""),0.036)</f>
        <v>0.036</v>
      </c>
      <c r="U118" s="4">
        <f>IFERROR(__xludf.DUMMYFUNCTION("""COMPUTED_VALUE"""),-2.8)</f>
        <v>-2.8</v>
      </c>
      <c r="V118" s="4">
        <f>IFERROR(__xludf.DUMMYFUNCTION("""COMPUTED_VALUE"""),-0.1)</f>
        <v>-0.1</v>
      </c>
    </row>
    <row r="119">
      <c r="A119" s="4">
        <f>IFERROR(__xludf.DUMMYFUNCTION("""COMPUTED_VALUE"""),48.0)</f>
        <v>48</v>
      </c>
      <c r="B119" s="4">
        <f>IFERROR(__xludf.DUMMYFUNCTION("""COMPUTED_VALUE"""),48.0)</f>
        <v>48</v>
      </c>
      <c r="C119" s="4" t="str">
        <f>IFERROR(__xludf.DUMMYFUNCTION("""COMPUTED_VALUE"""),"SAS")</f>
        <v>SAS</v>
      </c>
      <c r="D119" s="4" t="str">
        <f>IFERROR(__xludf.DUMMYFUNCTION("""COMPUTED_VALUE"""),"Harrison Ingram")</f>
        <v>Harrison Ingram</v>
      </c>
      <c r="E119" s="4" t="str">
        <f>IFERROR(__xludf.DUMMYFUNCTION("""COMPUTED_VALUE"""),"UNC")</f>
        <v>UNC</v>
      </c>
      <c r="F119" s="4">
        <f>IFERROR(__xludf.DUMMYFUNCTION("""COMPUTED_VALUE"""),2.0)</f>
        <v>2</v>
      </c>
      <c r="G119" s="4">
        <f>IFERROR(__xludf.DUMMYFUNCTION("""COMPUTED_VALUE"""),8.0)</f>
        <v>8</v>
      </c>
      <c r="H119" s="4">
        <f>IFERROR(__xludf.DUMMYFUNCTION("""COMPUTED_VALUE"""),46.0)</f>
        <v>46</v>
      </c>
      <c r="I119" s="4">
        <f>IFERROR(__xludf.DUMMYFUNCTION("""COMPUTED_VALUE"""),9.0)</f>
        <v>9</v>
      </c>
      <c r="J119" s="4">
        <f>IFERROR(__xludf.DUMMYFUNCTION("""COMPUTED_VALUE"""),12.0)</f>
        <v>12</v>
      </c>
      <c r="K119" s="4">
        <f>IFERROR(__xludf.DUMMYFUNCTION("""COMPUTED_VALUE"""),3.0)</f>
        <v>3</v>
      </c>
      <c r="L119" s="4">
        <f>IFERROR(__xludf.DUMMYFUNCTION("""COMPUTED_VALUE"""),0.571)</f>
        <v>0.571</v>
      </c>
      <c r="M119" s="4">
        <f>IFERROR(__xludf.DUMMYFUNCTION("""COMPUTED_VALUE"""),0.5)</f>
        <v>0.5</v>
      </c>
      <c r="N119" s="4"/>
      <c r="O119" s="4">
        <f>IFERROR(__xludf.DUMMYFUNCTION("""COMPUTED_VALUE"""),5.8)</f>
        <v>5.8</v>
      </c>
      <c r="P119" s="4">
        <f>IFERROR(__xludf.DUMMYFUNCTION("""COMPUTED_VALUE"""),1.1)</f>
        <v>1.1</v>
      </c>
      <c r="Q119" s="4">
        <f>IFERROR(__xludf.DUMMYFUNCTION("""COMPUTED_VALUE"""),1.5)</f>
        <v>1.5</v>
      </c>
      <c r="R119" s="4">
        <f>IFERROR(__xludf.DUMMYFUNCTION("""COMPUTED_VALUE"""),0.4)</f>
        <v>0.4</v>
      </c>
      <c r="S119" s="4">
        <f>IFERROR(__xludf.DUMMYFUNCTION("""COMPUTED_VALUE"""),0.1)</f>
        <v>0.1</v>
      </c>
      <c r="T119" s="4">
        <f>IFERROR(__xludf.DUMMYFUNCTION("""COMPUTED_VALUE"""),0.136)</f>
        <v>0.136</v>
      </c>
      <c r="U119" s="4">
        <f>IFERROR(__xludf.DUMMYFUNCTION("""COMPUTED_VALUE"""),0.3)</f>
        <v>0.3</v>
      </c>
      <c r="V119" s="4">
        <f>IFERROR(__xludf.DUMMYFUNCTION("""COMPUTED_VALUE"""),0.0)</f>
        <v>0</v>
      </c>
    </row>
    <row r="120">
      <c r="A120" s="4">
        <f>IFERROR(__xludf.DUMMYFUNCTION("""COMPUTED_VALUE"""),49.0)</f>
        <v>49</v>
      </c>
      <c r="B120" s="4">
        <f>IFERROR(__xludf.DUMMYFUNCTION("""COMPUTED_VALUE"""),49.0)</f>
        <v>49</v>
      </c>
      <c r="C120" s="4" t="str">
        <f>IFERROR(__xludf.DUMMYFUNCTION("""COMPUTED_VALUE"""),"IND")</f>
        <v>IND</v>
      </c>
      <c r="D120" s="4" t="str">
        <f>IFERROR(__xludf.DUMMYFUNCTION("""COMPUTED_VALUE"""),"Tristen Newton")</f>
        <v>Tristen Newton</v>
      </c>
      <c r="E120" s="4" t="str">
        <f>IFERROR(__xludf.DUMMYFUNCTION("""COMPUTED_VALUE"""),"UConn")</f>
        <v>UConn</v>
      </c>
      <c r="F120" s="4">
        <f>IFERROR(__xludf.DUMMYFUNCTION("""COMPUTED_VALUE"""),1.0)</f>
        <v>1</v>
      </c>
      <c r="G120" s="4">
        <f>IFERROR(__xludf.DUMMYFUNCTION("""COMPUTED_VALUE"""),8.0)</f>
        <v>8</v>
      </c>
      <c r="H120" s="4">
        <f>IFERROR(__xludf.DUMMYFUNCTION("""COMPUTED_VALUE"""),16.0)</f>
        <v>16</v>
      </c>
      <c r="I120" s="4">
        <f>IFERROR(__xludf.DUMMYFUNCTION("""COMPUTED_VALUE"""),3.0)</f>
        <v>3</v>
      </c>
      <c r="J120" s="4">
        <f>IFERROR(__xludf.DUMMYFUNCTION("""COMPUTED_VALUE"""),4.0)</f>
        <v>4</v>
      </c>
      <c r="K120" s="4">
        <f>IFERROR(__xludf.DUMMYFUNCTION("""COMPUTED_VALUE"""),2.0)</f>
        <v>2</v>
      </c>
      <c r="L120" s="4">
        <f>IFERROR(__xludf.DUMMYFUNCTION("""COMPUTED_VALUE"""),0.125)</f>
        <v>0.125</v>
      </c>
      <c r="M120" s="4">
        <f>IFERROR(__xludf.DUMMYFUNCTION("""COMPUTED_VALUE"""),0.0)</f>
        <v>0</v>
      </c>
      <c r="N120" s="4">
        <f>IFERROR(__xludf.DUMMYFUNCTION("""COMPUTED_VALUE"""),1.0)</f>
        <v>1</v>
      </c>
      <c r="O120" s="4">
        <f>IFERROR(__xludf.DUMMYFUNCTION("""COMPUTED_VALUE"""),2.0)</f>
        <v>2</v>
      </c>
      <c r="P120" s="4">
        <f>IFERROR(__xludf.DUMMYFUNCTION("""COMPUTED_VALUE"""),0.4)</f>
        <v>0.4</v>
      </c>
      <c r="Q120" s="4">
        <f>IFERROR(__xludf.DUMMYFUNCTION("""COMPUTED_VALUE"""),0.5)</f>
        <v>0.5</v>
      </c>
      <c r="R120" s="4">
        <f>IFERROR(__xludf.DUMMYFUNCTION("""COMPUTED_VALUE"""),0.3)</f>
        <v>0.3</v>
      </c>
      <c r="S120" s="4">
        <f>IFERROR(__xludf.DUMMYFUNCTION("""COMPUTED_VALUE"""),-0.1)</f>
        <v>-0.1</v>
      </c>
      <c r="T120" s="4">
        <f>IFERROR(__xludf.DUMMYFUNCTION("""COMPUTED_VALUE"""),-0.33)</f>
        <v>-0.33</v>
      </c>
      <c r="U120" s="4">
        <f>IFERROR(__xludf.DUMMYFUNCTION("""COMPUTED_VALUE"""),-20.7)</f>
        <v>-20.7</v>
      </c>
      <c r="V120" s="4">
        <f>IFERROR(__xludf.DUMMYFUNCTION("""COMPUTED_VALUE"""),-0.1)</f>
        <v>-0.1</v>
      </c>
    </row>
    <row r="121">
      <c r="A121" s="4">
        <f>IFERROR(__xludf.DUMMYFUNCTION("""COMPUTED_VALUE"""),50.0)</f>
        <v>50</v>
      </c>
      <c r="B121" s="4">
        <f>IFERROR(__xludf.DUMMYFUNCTION("""COMPUTED_VALUE"""),50.0)</f>
        <v>50</v>
      </c>
      <c r="C121" s="4" t="str">
        <f>IFERROR(__xludf.DUMMYFUNCTION("""COMPUTED_VALUE"""),"IND")</f>
        <v>IND</v>
      </c>
      <c r="D121" s="4" t="str">
        <f>IFERROR(__xludf.DUMMYFUNCTION("""COMPUTED_VALUE"""),"Enrique Freeman")</f>
        <v>Enrique Freeman</v>
      </c>
      <c r="E121" s="4" t="str">
        <f>IFERROR(__xludf.DUMMYFUNCTION("""COMPUTED_VALUE"""),"University of Akron")</f>
        <v>University of Akron</v>
      </c>
      <c r="F121" s="4">
        <f>IFERROR(__xludf.DUMMYFUNCTION("""COMPUTED_VALUE"""),1.0)</f>
        <v>1</v>
      </c>
      <c r="G121" s="4">
        <f>IFERROR(__xludf.DUMMYFUNCTION("""COMPUTED_VALUE"""),22.0)</f>
        <v>22</v>
      </c>
      <c r="H121" s="4">
        <f>IFERROR(__xludf.DUMMYFUNCTION("""COMPUTED_VALUE"""),181.0)</f>
        <v>181</v>
      </c>
      <c r="I121" s="4">
        <f>IFERROR(__xludf.DUMMYFUNCTION("""COMPUTED_VALUE"""),46.0)</f>
        <v>46</v>
      </c>
      <c r="J121" s="4">
        <f>IFERROR(__xludf.DUMMYFUNCTION("""COMPUTED_VALUE"""),30.0)</f>
        <v>30</v>
      </c>
      <c r="K121" s="4">
        <f>IFERROR(__xludf.DUMMYFUNCTION("""COMPUTED_VALUE"""),9.0)</f>
        <v>9</v>
      </c>
      <c r="L121" s="4">
        <f>IFERROR(__xludf.DUMMYFUNCTION("""COMPUTED_VALUE"""),0.432)</f>
        <v>0.432</v>
      </c>
      <c r="M121" s="4">
        <f>IFERROR(__xludf.DUMMYFUNCTION("""COMPUTED_VALUE"""),0.1)</f>
        <v>0.1</v>
      </c>
      <c r="N121" s="4">
        <f>IFERROR(__xludf.DUMMYFUNCTION("""COMPUTED_VALUE"""),0.684)</f>
        <v>0.684</v>
      </c>
      <c r="O121" s="4">
        <f>IFERROR(__xludf.DUMMYFUNCTION("""COMPUTED_VALUE"""),8.2)</f>
        <v>8.2</v>
      </c>
      <c r="P121" s="4">
        <f>IFERROR(__xludf.DUMMYFUNCTION("""COMPUTED_VALUE"""),2.1)</f>
        <v>2.1</v>
      </c>
      <c r="Q121" s="4">
        <f>IFERROR(__xludf.DUMMYFUNCTION("""COMPUTED_VALUE"""),1.4)</f>
        <v>1.4</v>
      </c>
      <c r="R121" s="4">
        <f>IFERROR(__xludf.DUMMYFUNCTION("""COMPUTED_VALUE"""),0.4)</f>
        <v>0.4</v>
      </c>
      <c r="S121" s="4">
        <f>IFERROR(__xludf.DUMMYFUNCTION("""COMPUTED_VALUE"""),0.2)</f>
        <v>0.2</v>
      </c>
      <c r="T121" s="4">
        <f>IFERROR(__xludf.DUMMYFUNCTION("""COMPUTED_VALUE"""),0.046)</f>
        <v>0.046</v>
      </c>
      <c r="U121" s="4">
        <f>IFERROR(__xludf.DUMMYFUNCTION("""COMPUTED_VALUE"""),-6.3)</f>
        <v>-6.3</v>
      </c>
      <c r="V121" s="4">
        <f>IFERROR(__xludf.DUMMYFUNCTION("""COMPUTED_VALUE"""),-0.2)</f>
        <v>-0.2</v>
      </c>
    </row>
    <row r="122">
      <c r="A122" s="4">
        <f>IFERROR(__xludf.DUMMYFUNCTION("""COMPUTED_VALUE"""),51.0)</f>
        <v>51</v>
      </c>
      <c r="B122" s="4">
        <f>IFERROR(__xludf.DUMMYFUNCTION("""COMPUTED_VALUE"""),51.0)</f>
        <v>51</v>
      </c>
      <c r="C122" s="4" t="str">
        <f>IFERROR(__xludf.DUMMYFUNCTION("""COMPUTED_VALUE"""),"NYK")</f>
        <v>NYK</v>
      </c>
      <c r="D122" s="4" t="str">
        <f>IFERROR(__xludf.DUMMYFUNCTION("""COMPUTED_VALUE"""),"Melvin Ajinça")</f>
        <v>Melvin Ajinça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>
        <f>IFERROR(__xludf.DUMMYFUNCTION("""COMPUTED_VALUE"""),52.0)</f>
        <v>52</v>
      </c>
      <c r="B123" s="4">
        <f>IFERROR(__xludf.DUMMYFUNCTION("""COMPUTED_VALUE"""),52.0)</f>
        <v>52</v>
      </c>
      <c r="C123" s="4" t="str">
        <f>IFERROR(__xludf.DUMMYFUNCTION("""COMPUTED_VALUE"""),"GSW")</f>
        <v>GSW</v>
      </c>
      <c r="D123" s="4" t="str">
        <f>IFERROR(__xludf.DUMMYFUNCTION("""COMPUTED_VALUE"""),"Quinten Post")</f>
        <v>Quinten Post</v>
      </c>
      <c r="E123" s="4" t="str">
        <f>IFERROR(__xludf.DUMMYFUNCTION("""COMPUTED_VALUE"""),"Boston College")</f>
        <v>Boston College</v>
      </c>
      <c r="F123" s="4">
        <f>IFERROR(__xludf.DUMMYFUNCTION("""COMPUTED_VALUE"""),2.0)</f>
        <v>2</v>
      </c>
      <c r="G123" s="4">
        <f>IFERROR(__xludf.DUMMYFUNCTION("""COMPUTED_VALUE"""),64.0)</f>
        <v>64</v>
      </c>
      <c r="H123" s="4">
        <f>IFERROR(__xludf.DUMMYFUNCTION("""COMPUTED_VALUE"""),1040.0)</f>
        <v>1040</v>
      </c>
      <c r="I123" s="4">
        <f>IFERROR(__xludf.DUMMYFUNCTION("""COMPUTED_VALUE"""),483.0)</f>
        <v>483</v>
      </c>
      <c r="J123" s="4">
        <f>IFERROR(__xludf.DUMMYFUNCTION("""COMPUTED_VALUE"""),233.0)</f>
        <v>233</v>
      </c>
      <c r="K123" s="4">
        <f>IFERROR(__xludf.DUMMYFUNCTION("""COMPUTED_VALUE"""),81.0)</f>
        <v>81</v>
      </c>
      <c r="L123" s="4">
        <f>IFERROR(__xludf.DUMMYFUNCTION("""COMPUTED_VALUE"""),0.45)</f>
        <v>0.45</v>
      </c>
      <c r="M123" s="4">
        <f>IFERROR(__xludf.DUMMYFUNCTION("""COMPUTED_VALUE"""),0.382)</f>
        <v>0.382</v>
      </c>
      <c r="N123" s="4">
        <f>IFERROR(__xludf.DUMMYFUNCTION("""COMPUTED_VALUE"""),0.78)</f>
        <v>0.78</v>
      </c>
      <c r="O123" s="4">
        <f>IFERROR(__xludf.DUMMYFUNCTION("""COMPUTED_VALUE"""),16.3)</f>
        <v>16.3</v>
      </c>
      <c r="P123" s="4">
        <f>IFERROR(__xludf.DUMMYFUNCTION("""COMPUTED_VALUE"""),7.5)</f>
        <v>7.5</v>
      </c>
      <c r="Q123" s="4">
        <f>IFERROR(__xludf.DUMMYFUNCTION("""COMPUTED_VALUE"""),3.6)</f>
        <v>3.6</v>
      </c>
      <c r="R123" s="4">
        <f>IFERROR(__xludf.DUMMYFUNCTION("""COMPUTED_VALUE"""),1.3)</f>
        <v>1.3</v>
      </c>
      <c r="S123" s="4">
        <f>IFERROR(__xludf.DUMMYFUNCTION("""COMPUTED_VALUE"""),2.4)</f>
        <v>2.4</v>
      </c>
      <c r="T123" s="4">
        <f>IFERROR(__xludf.DUMMYFUNCTION("""COMPUTED_VALUE"""),0.11)</f>
        <v>0.11</v>
      </c>
      <c r="U123" s="4">
        <f>IFERROR(__xludf.DUMMYFUNCTION("""COMPUTED_VALUE"""),0.2)</f>
        <v>0.2</v>
      </c>
      <c r="V123" s="4">
        <f>IFERROR(__xludf.DUMMYFUNCTION("""COMPUTED_VALUE"""),0.6)</f>
        <v>0.6</v>
      </c>
    </row>
    <row r="124">
      <c r="A124" s="4">
        <f>IFERROR(__xludf.DUMMYFUNCTION("""COMPUTED_VALUE"""),53.0)</f>
        <v>53</v>
      </c>
      <c r="B124" s="4">
        <f>IFERROR(__xludf.DUMMYFUNCTION("""COMPUTED_VALUE"""),53.0)</f>
        <v>53</v>
      </c>
      <c r="C124" s="4" t="str">
        <f>IFERROR(__xludf.DUMMYFUNCTION("""COMPUTED_VALUE"""),"DET")</f>
        <v>DET</v>
      </c>
      <c r="D124" s="4" t="str">
        <f>IFERROR(__xludf.DUMMYFUNCTION("""COMPUTED_VALUE"""),"Cam Spencer")</f>
        <v>Cam Spencer</v>
      </c>
      <c r="E124" s="4" t="str">
        <f>IFERROR(__xludf.DUMMYFUNCTION("""COMPUTED_VALUE"""),"UConn")</f>
        <v>UConn</v>
      </c>
      <c r="F124" s="4">
        <f>IFERROR(__xludf.DUMMYFUNCTION("""COMPUTED_VALUE"""),2.0)</f>
        <v>2</v>
      </c>
      <c r="G124" s="4">
        <f>IFERROR(__xludf.DUMMYFUNCTION("""COMPUTED_VALUE"""),47.0)</f>
        <v>47</v>
      </c>
      <c r="H124" s="4">
        <f>IFERROR(__xludf.DUMMYFUNCTION("""COMPUTED_VALUE"""),701.0)</f>
        <v>701</v>
      </c>
      <c r="I124" s="4">
        <f>IFERROR(__xludf.DUMMYFUNCTION("""COMPUTED_VALUE"""),343.0)</f>
        <v>343</v>
      </c>
      <c r="J124" s="4">
        <f>IFERROR(__xludf.DUMMYFUNCTION("""COMPUTED_VALUE"""),73.0)</f>
        <v>73</v>
      </c>
      <c r="K124" s="4">
        <f>IFERROR(__xludf.DUMMYFUNCTION("""COMPUTED_VALUE"""),114.0)</f>
        <v>114</v>
      </c>
      <c r="L124" s="4">
        <f>IFERROR(__xludf.DUMMYFUNCTION("""COMPUTED_VALUE"""),0.456)</f>
        <v>0.456</v>
      </c>
      <c r="M124" s="4">
        <f>IFERROR(__xludf.DUMMYFUNCTION("""COMPUTED_VALUE"""),0.436)</f>
        <v>0.436</v>
      </c>
      <c r="N124" s="4">
        <f>IFERROR(__xludf.DUMMYFUNCTION("""COMPUTED_VALUE"""),0.932)</f>
        <v>0.932</v>
      </c>
      <c r="O124" s="4">
        <f>IFERROR(__xludf.DUMMYFUNCTION("""COMPUTED_VALUE"""),14.9)</f>
        <v>14.9</v>
      </c>
      <c r="P124" s="4">
        <f>IFERROR(__xludf.DUMMYFUNCTION("""COMPUTED_VALUE"""),7.3)</f>
        <v>7.3</v>
      </c>
      <c r="Q124" s="4">
        <f>IFERROR(__xludf.DUMMYFUNCTION("""COMPUTED_VALUE"""),1.6)</f>
        <v>1.6</v>
      </c>
      <c r="R124" s="4">
        <f>IFERROR(__xludf.DUMMYFUNCTION("""COMPUTED_VALUE"""),2.4)</f>
        <v>2.4</v>
      </c>
      <c r="S124" s="4">
        <f>IFERROR(__xludf.DUMMYFUNCTION("""COMPUTED_VALUE"""),2.3)</f>
        <v>2.3</v>
      </c>
      <c r="T124" s="4">
        <f>IFERROR(__xludf.DUMMYFUNCTION("""COMPUTED_VALUE"""),0.156)</f>
        <v>0.156</v>
      </c>
      <c r="U124" s="4">
        <f>IFERROR(__xludf.DUMMYFUNCTION("""COMPUTED_VALUE"""),2.2)</f>
        <v>2.2</v>
      </c>
      <c r="V124" s="4">
        <f>IFERROR(__xludf.DUMMYFUNCTION("""COMPUTED_VALUE"""),0.7)</f>
        <v>0.7</v>
      </c>
    </row>
    <row r="125">
      <c r="A125" s="4">
        <f>IFERROR(__xludf.DUMMYFUNCTION("""COMPUTED_VALUE"""),54.0)</f>
        <v>54</v>
      </c>
      <c r="B125" s="4">
        <f>IFERROR(__xludf.DUMMYFUNCTION("""COMPUTED_VALUE"""),54.0)</f>
        <v>54</v>
      </c>
      <c r="C125" s="4" t="str">
        <f>IFERROR(__xludf.DUMMYFUNCTION("""COMPUTED_VALUE"""),"BOS")</f>
        <v>BOS</v>
      </c>
      <c r="D125" s="4" t="str">
        <f>IFERROR(__xludf.DUMMYFUNCTION("""COMPUTED_VALUE"""),"Anton Watson")</f>
        <v>Anton Watson</v>
      </c>
      <c r="E125" s="4" t="str">
        <f>IFERROR(__xludf.DUMMYFUNCTION("""COMPUTED_VALUE"""),"Gonzaga")</f>
        <v>Gonzaga</v>
      </c>
      <c r="F125" s="4">
        <f>IFERROR(__xludf.DUMMYFUNCTION("""COMPUTED_VALUE"""),1.0)</f>
        <v>1</v>
      </c>
      <c r="G125" s="4">
        <f>IFERROR(__xludf.DUMMYFUNCTION("""COMPUTED_VALUE"""),9.0)</f>
        <v>9</v>
      </c>
      <c r="H125" s="4">
        <f>IFERROR(__xludf.DUMMYFUNCTION("""COMPUTED_VALUE"""),22.0)</f>
        <v>22</v>
      </c>
      <c r="I125" s="4">
        <f>IFERROR(__xludf.DUMMYFUNCTION("""COMPUTED_VALUE"""),8.0)</f>
        <v>8</v>
      </c>
      <c r="J125" s="4">
        <f>IFERROR(__xludf.DUMMYFUNCTION("""COMPUTED_VALUE"""),3.0)</f>
        <v>3</v>
      </c>
      <c r="K125" s="4">
        <f>IFERROR(__xludf.DUMMYFUNCTION("""COMPUTED_VALUE"""),2.0)</f>
        <v>2</v>
      </c>
      <c r="L125" s="4">
        <f>IFERROR(__xludf.DUMMYFUNCTION("""COMPUTED_VALUE"""),0.444)</f>
        <v>0.444</v>
      </c>
      <c r="M125" s="4">
        <f>IFERROR(__xludf.DUMMYFUNCTION("""COMPUTED_VALUE"""),0.0)</f>
        <v>0</v>
      </c>
      <c r="N125" s="4"/>
      <c r="O125" s="4">
        <f>IFERROR(__xludf.DUMMYFUNCTION("""COMPUTED_VALUE"""),2.4)</f>
        <v>2.4</v>
      </c>
      <c r="P125" s="4">
        <f>IFERROR(__xludf.DUMMYFUNCTION("""COMPUTED_VALUE"""),0.9)</f>
        <v>0.9</v>
      </c>
      <c r="Q125" s="4">
        <f>IFERROR(__xludf.DUMMYFUNCTION("""COMPUTED_VALUE"""),0.3)</f>
        <v>0.3</v>
      </c>
      <c r="R125" s="4">
        <f>IFERROR(__xludf.DUMMYFUNCTION("""COMPUTED_VALUE"""),0.2)</f>
        <v>0.2</v>
      </c>
      <c r="S125" s="4">
        <f>IFERROR(__xludf.DUMMYFUNCTION("""COMPUTED_VALUE"""),0.0)</f>
        <v>0</v>
      </c>
      <c r="T125" s="4">
        <f>IFERROR(__xludf.DUMMYFUNCTION("""COMPUTED_VALUE"""),-0.07)</f>
        <v>-0.07</v>
      </c>
      <c r="U125" s="4">
        <f>IFERROR(__xludf.DUMMYFUNCTION("""COMPUTED_VALUE"""),-10.1)</f>
        <v>-10.1</v>
      </c>
      <c r="V125" s="4">
        <f>IFERROR(__xludf.DUMMYFUNCTION("""COMPUTED_VALUE"""),0.0)</f>
        <v>0</v>
      </c>
    </row>
    <row r="126">
      <c r="A126" s="4">
        <f>IFERROR(__xludf.DUMMYFUNCTION("""COMPUTED_VALUE"""),55.0)</f>
        <v>55</v>
      </c>
      <c r="B126" s="4">
        <f>IFERROR(__xludf.DUMMYFUNCTION("""COMPUTED_VALUE"""),55.0)</f>
        <v>55</v>
      </c>
      <c r="C126" s="4" t="str">
        <f>IFERROR(__xludf.DUMMYFUNCTION("""COMPUTED_VALUE"""),"LAL")</f>
        <v>LAL</v>
      </c>
      <c r="D126" s="4" t="str">
        <f>IFERROR(__xludf.DUMMYFUNCTION("""COMPUTED_VALUE"""),"Bronny James")</f>
        <v>Bronny James</v>
      </c>
      <c r="E126" s="4" t="str">
        <f>IFERROR(__xludf.DUMMYFUNCTION("""COMPUTED_VALUE"""),"USC")</f>
        <v>USC</v>
      </c>
      <c r="F126" s="4">
        <f>IFERROR(__xludf.DUMMYFUNCTION("""COMPUTED_VALUE"""),2.0)</f>
        <v>2</v>
      </c>
      <c r="G126" s="4">
        <f>IFERROR(__xludf.DUMMYFUNCTION("""COMPUTED_VALUE"""),39.0)</f>
        <v>39</v>
      </c>
      <c r="H126" s="4">
        <f>IFERROR(__xludf.DUMMYFUNCTION("""COMPUTED_VALUE"""),298.0)</f>
        <v>298</v>
      </c>
      <c r="I126" s="4">
        <f>IFERROR(__xludf.DUMMYFUNCTION("""COMPUTED_VALUE"""),83.0)</f>
        <v>83</v>
      </c>
      <c r="J126" s="4">
        <f>IFERROR(__xludf.DUMMYFUNCTION("""COMPUTED_VALUE"""),27.0)</f>
        <v>27</v>
      </c>
      <c r="K126" s="4">
        <f>IFERROR(__xludf.DUMMYFUNCTION("""COMPUTED_VALUE"""),42.0)</f>
        <v>42</v>
      </c>
      <c r="L126" s="4">
        <f>IFERROR(__xludf.DUMMYFUNCTION("""COMPUTED_VALUE"""),0.305)</f>
        <v>0.305</v>
      </c>
      <c r="M126" s="4">
        <f>IFERROR(__xludf.DUMMYFUNCTION("""COMPUTED_VALUE"""),0.273)</f>
        <v>0.273</v>
      </c>
      <c r="N126" s="4">
        <f>IFERROR(__xludf.DUMMYFUNCTION("""COMPUTED_VALUE"""),0.813)</f>
        <v>0.813</v>
      </c>
      <c r="O126" s="4">
        <f>IFERROR(__xludf.DUMMYFUNCTION("""COMPUTED_VALUE"""),7.6)</f>
        <v>7.6</v>
      </c>
      <c r="P126" s="4">
        <f>IFERROR(__xludf.DUMMYFUNCTION("""COMPUTED_VALUE"""),2.1)</f>
        <v>2.1</v>
      </c>
      <c r="Q126" s="4">
        <f>IFERROR(__xludf.DUMMYFUNCTION("""COMPUTED_VALUE"""),0.7)</f>
        <v>0.7</v>
      </c>
      <c r="R126" s="4">
        <f>IFERROR(__xludf.DUMMYFUNCTION("""COMPUTED_VALUE"""),1.1)</f>
        <v>1.1</v>
      </c>
      <c r="S126" s="4">
        <f>IFERROR(__xludf.DUMMYFUNCTION("""COMPUTED_VALUE"""),-0.2)</f>
        <v>-0.2</v>
      </c>
      <c r="T126" s="4">
        <f>IFERROR(__xludf.DUMMYFUNCTION("""COMPUTED_VALUE"""),-0.036)</f>
        <v>-0.036</v>
      </c>
      <c r="U126" s="4">
        <f>IFERROR(__xludf.DUMMYFUNCTION("""COMPUTED_VALUE"""),-6.4)</f>
        <v>-6.4</v>
      </c>
      <c r="V126" s="4">
        <f>IFERROR(__xludf.DUMMYFUNCTION("""COMPUTED_VALUE"""),-0.3)</f>
        <v>-0.3</v>
      </c>
    </row>
    <row r="127">
      <c r="A127" s="4">
        <f>IFERROR(__xludf.DUMMYFUNCTION("""COMPUTED_VALUE"""),56.0)</f>
        <v>56</v>
      </c>
      <c r="B127" s="4">
        <f>IFERROR(__xludf.DUMMYFUNCTION("""COMPUTED_VALUE"""),56.0)</f>
        <v>56</v>
      </c>
      <c r="C127" s="4" t="str">
        <f>IFERROR(__xludf.DUMMYFUNCTION("""COMPUTED_VALUE"""),"PHO")</f>
        <v>PHO</v>
      </c>
      <c r="D127" s="4" t="str">
        <f>IFERROR(__xludf.DUMMYFUNCTION("""COMPUTED_VALUE"""),"Kevin McCullar Jr.")</f>
        <v>Kevin McCullar Jr.</v>
      </c>
      <c r="E127" s="4" t="str">
        <f>IFERROR(__xludf.DUMMYFUNCTION("""COMPUTED_VALUE"""),"Kansas")</f>
        <v>Kansas</v>
      </c>
      <c r="F127" s="4">
        <f>IFERROR(__xludf.DUMMYFUNCTION("""COMPUTED_VALUE"""),1.0)</f>
        <v>1</v>
      </c>
      <c r="G127" s="4">
        <f>IFERROR(__xludf.DUMMYFUNCTION("""COMPUTED_VALUE"""),4.0)</f>
        <v>4</v>
      </c>
      <c r="H127" s="4">
        <f>IFERROR(__xludf.DUMMYFUNCTION("""COMPUTED_VALUE"""),29.0)</f>
        <v>29</v>
      </c>
      <c r="I127" s="4">
        <f>IFERROR(__xludf.DUMMYFUNCTION("""COMPUTED_VALUE"""),6.0)</f>
        <v>6</v>
      </c>
      <c r="J127" s="4">
        <f>IFERROR(__xludf.DUMMYFUNCTION("""COMPUTED_VALUE"""),8.0)</f>
        <v>8</v>
      </c>
      <c r="K127" s="4">
        <f>IFERROR(__xludf.DUMMYFUNCTION("""COMPUTED_VALUE"""),2.0)</f>
        <v>2</v>
      </c>
      <c r="L127" s="4">
        <f>IFERROR(__xludf.DUMMYFUNCTION("""COMPUTED_VALUE"""),0.286)</f>
        <v>0.286</v>
      </c>
      <c r="M127" s="4">
        <f>IFERROR(__xludf.DUMMYFUNCTION("""COMPUTED_VALUE"""),0.0)</f>
        <v>0</v>
      </c>
      <c r="N127" s="4">
        <f>IFERROR(__xludf.DUMMYFUNCTION("""COMPUTED_VALUE"""),1.0)</f>
        <v>1</v>
      </c>
      <c r="O127" s="4">
        <f>IFERROR(__xludf.DUMMYFUNCTION("""COMPUTED_VALUE"""),7.3)</f>
        <v>7.3</v>
      </c>
      <c r="P127" s="4">
        <f>IFERROR(__xludf.DUMMYFUNCTION("""COMPUTED_VALUE"""),1.5)</f>
        <v>1.5</v>
      </c>
      <c r="Q127" s="4">
        <f>IFERROR(__xludf.DUMMYFUNCTION("""COMPUTED_VALUE"""),2.0)</f>
        <v>2</v>
      </c>
      <c r="R127" s="4">
        <f>IFERROR(__xludf.DUMMYFUNCTION("""COMPUTED_VALUE"""),0.5)</f>
        <v>0.5</v>
      </c>
      <c r="S127" s="4">
        <f>IFERROR(__xludf.DUMMYFUNCTION("""COMPUTED_VALUE"""),0.0)</f>
        <v>0</v>
      </c>
      <c r="T127" s="4">
        <f>IFERROR(__xludf.DUMMYFUNCTION("""COMPUTED_VALUE"""),0.06)</f>
        <v>0.06</v>
      </c>
      <c r="U127" s="4">
        <f>IFERROR(__xludf.DUMMYFUNCTION("""COMPUTED_VALUE"""),-7.2)</f>
        <v>-7.2</v>
      </c>
      <c r="V127" s="4">
        <f>IFERROR(__xludf.DUMMYFUNCTION("""COMPUTED_VALUE"""),0.0)</f>
        <v>0</v>
      </c>
    </row>
    <row r="128">
      <c r="A128" s="4">
        <f>IFERROR(__xludf.DUMMYFUNCTION("""COMPUTED_VALUE"""),57.0)</f>
        <v>57</v>
      </c>
      <c r="B128" s="4">
        <f>IFERROR(__xludf.DUMMYFUNCTION("""COMPUTED_VALUE"""),57.0)</f>
        <v>57</v>
      </c>
      <c r="C128" s="4" t="str">
        <f>IFERROR(__xludf.DUMMYFUNCTION("""COMPUTED_VALUE"""),"MEM")</f>
        <v>MEM</v>
      </c>
      <c r="D128" s="4" t="str">
        <f>IFERROR(__xludf.DUMMYFUNCTION("""COMPUTED_VALUE"""),"Ulrich Chomche")</f>
        <v>Ulrich Chomche</v>
      </c>
      <c r="E128" s="4"/>
      <c r="F128" s="4">
        <f>IFERROR(__xludf.DUMMYFUNCTION("""COMPUTED_VALUE"""),1.0)</f>
        <v>1</v>
      </c>
      <c r="G128" s="4">
        <f>IFERROR(__xludf.DUMMYFUNCTION("""COMPUTED_VALUE"""),7.0)</f>
        <v>7</v>
      </c>
      <c r="H128" s="4">
        <f>IFERROR(__xludf.DUMMYFUNCTION("""COMPUTED_VALUE"""),32.0)</f>
        <v>32</v>
      </c>
      <c r="I128" s="4">
        <f>IFERROR(__xludf.DUMMYFUNCTION("""COMPUTED_VALUE"""),5.0)</f>
        <v>5</v>
      </c>
      <c r="J128" s="4">
        <f>IFERROR(__xludf.DUMMYFUNCTION("""COMPUTED_VALUE"""),8.0)</f>
        <v>8</v>
      </c>
      <c r="K128" s="4">
        <f>IFERROR(__xludf.DUMMYFUNCTION("""COMPUTED_VALUE"""),2.0)</f>
        <v>2</v>
      </c>
      <c r="L128" s="4">
        <f>IFERROR(__xludf.DUMMYFUNCTION("""COMPUTED_VALUE"""),0.4)</f>
        <v>0.4</v>
      </c>
      <c r="M128" s="4"/>
      <c r="N128" s="4">
        <f>IFERROR(__xludf.DUMMYFUNCTION("""COMPUTED_VALUE"""),0.5)</f>
        <v>0.5</v>
      </c>
      <c r="O128" s="4">
        <f>IFERROR(__xludf.DUMMYFUNCTION("""COMPUTED_VALUE"""),4.6)</f>
        <v>4.6</v>
      </c>
      <c r="P128" s="4">
        <f>IFERROR(__xludf.DUMMYFUNCTION("""COMPUTED_VALUE"""),0.7)</f>
        <v>0.7</v>
      </c>
      <c r="Q128" s="4">
        <f>IFERROR(__xludf.DUMMYFUNCTION("""COMPUTED_VALUE"""),1.1)</f>
        <v>1.1</v>
      </c>
      <c r="R128" s="4">
        <f>IFERROR(__xludf.DUMMYFUNCTION("""COMPUTED_VALUE"""),0.3)</f>
        <v>0.3</v>
      </c>
      <c r="S128" s="4">
        <f>IFERROR(__xludf.DUMMYFUNCTION("""COMPUTED_VALUE"""),0.0)</f>
        <v>0</v>
      </c>
      <c r="T128" s="4">
        <f>IFERROR(__xludf.DUMMYFUNCTION("""COMPUTED_VALUE"""),0.001)</f>
        <v>0.001</v>
      </c>
      <c r="U128" s="4">
        <f>IFERROR(__xludf.DUMMYFUNCTION("""COMPUTED_VALUE"""),-7.4)</f>
        <v>-7.4</v>
      </c>
      <c r="V128" s="4">
        <f>IFERROR(__xludf.DUMMYFUNCTION("""COMPUTED_VALUE"""),0.0)</f>
        <v>0</v>
      </c>
    </row>
    <row r="129">
      <c r="A129" s="4">
        <f>IFERROR(__xludf.DUMMYFUNCTION("""COMPUTED_VALUE"""),58.0)</f>
        <v>58</v>
      </c>
      <c r="B129" s="4">
        <f>IFERROR(__xludf.DUMMYFUNCTION("""COMPUTED_VALUE"""),58.0)</f>
        <v>58</v>
      </c>
      <c r="C129" s="4" t="str">
        <f>IFERROR(__xludf.DUMMYFUNCTION("""COMPUTED_VALUE"""),"DAL")</f>
        <v>DAL</v>
      </c>
      <c r="D129" s="4" t="str">
        <f>IFERROR(__xludf.DUMMYFUNCTION("""COMPUTED_VALUE"""),"Ariel Hukporti")</f>
        <v>Ariel Hukporti</v>
      </c>
      <c r="E129" s="4"/>
      <c r="F129" s="4">
        <f>IFERROR(__xludf.DUMMYFUNCTION("""COMPUTED_VALUE"""),2.0)</f>
        <v>2</v>
      </c>
      <c r="G129" s="4">
        <f>IFERROR(__xludf.DUMMYFUNCTION("""COMPUTED_VALUE"""),37.0)</f>
        <v>37</v>
      </c>
      <c r="H129" s="4">
        <f>IFERROR(__xludf.DUMMYFUNCTION("""COMPUTED_VALUE"""),294.0)</f>
        <v>294</v>
      </c>
      <c r="I129" s="4">
        <f>IFERROR(__xludf.DUMMYFUNCTION("""COMPUTED_VALUE"""),57.0)</f>
        <v>57</v>
      </c>
      <c r="J129" s="4">
        <f>IFERROR(__xludf.DUMMYFUNCTION("""COMPUTED_VALUE"""),77.0)</f>
        <v>77</v>
      </c>
      <c r="K129" s="4">
        <f>IFERROR(__xludf.DUMMYFUNCTION("""COMPUTED_VALUE"""),17.0)</f>
        <v>17</v>
      </c>
      <c r="L129" s="4">
        <f>IFERROR(__xludf.DUMMYFUNCTION("""COMPUTED_VALUE"""),0.625)</f>
        <v>0.625</v>
      </c>
      <c r="M129" s="4"/>
      <c r="N129" s="4">
        <f>IFERROR(__xludf.DUMMYFUNCTION("""COMPUTED_VALUE"""),0.412)</f>
        <v>0.412</v>
      </c>
      <c r="O129" s="4">
        <f>IFERROR(__xludf.DUMMYFUNCTION("""COMPUTED_VALUE"""),7.9)</f>
        <v>7.9</v>
      </c>
      <c r="P129" s="4">
        <f>IFERROR(__xludf.DUMMYFUNCTION("""COMPUTED_VALUE"""),1.5)</f>
        <v>1.5</v>
      </c>
      <c r="Q129" s="4">
        <f>IFERROR(__xludf.DUMMYFUNCTION("""COMPUTED_VALUE"""),2.1)</f>
        <v>2.1</v>
      </c>
      <c r="R129" s="4">
        <f>IFERROR(__xludf.DUMMYFUNCTION("""COMPUTED_VALUE"""),0.5)</f>
        <v>0.5</v>
      </c>
      <c r="S129" s="4">
        <f>IFERROR(__xludf.DUMMYFUNCTION("""COMPUTED_VALUE"""),0.1)</f>
        <v>0.1</v>
      </c>
      <c r="T129" s="4">
        <f>IFERROR(__xludf.DUMMYFUNCTION("""COMPUTED_VALUE"""),0.022)</f>
        <v>0.022</v>
      </c>
      <c r="U129" s="4">
        <f>IFERROR(__xludf.DUMMYFUNCTION("""COMPUTED_VALUE"""),-5.3)</f>
        <v>-5.3</v>
      </c>
      <c r="V129" s="4">
        <f>IFERROR(__xludf.DUMMYFUNCTION("""COMPUTED_VALUE"""),-0.2)</f>
        <v>-0.2</v>
      </c>
    </row>
    <row r="130">
      <c r="A130" s="4">
        <f>IFERROR(__xludf.DUMMYFUNCTION("""COMPUTED_VALUE"""),59.0)</f>
        <v>59</v>
      </c>
      <c r="B130" s="4">
        <f>IFERROR(__xludf.DUMMYFUNCTION("""COMPUTED_VALUE"""),59.0)</f>
        <v>59</v>
      </c>
      <c r="C130" s="4" t="str">
        <f>IFERROR(__xludf.DUMMYFUNCTION("""COMPUTED_VALUE"""),"PHI")</f>
        <v>PHI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>
        <f>IFERROR(__xludf.DUMMYFUNCTION("""COMPUTED_VALUE"""),60.0)</f>
        <v>60</v>
      </c>
      <c r="B131" s="4">
        <f>IFERROR(__xludf.DUMMYFUNCTION("""COMPUTED_VALUE"""),60.0)</f>
        <v>60</v>
      </c>
      <c r="C131" s="4" t="str">
        <f>IFERROR(__xludf.DUMMYFUNCTION("""COMPUTED_VALUE"""),"PHO")</f>
        <v>PHO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3">
      <c r="A133" s="2">
        <v>2023.0</v>
      </c>
    </row>
    <row r="134">
      <c r="A134" s="4" t="str">
        <f>IFERROR(__xludf.DUMMYFUNCTION("IMPORTHTML(""https://www.basketball-reference.com/draft/NBA_2023.html"", ""table"", 1)"),"")</f>
        <v/>
      </c>
      <c r="B134" s="4"/>
      <c r="C134" s="4"/>
      <c r="D134" s="4" t="str">
        <f>IFERROR(__xludf.DUMMYFUNCTION("""COMPUTED_VALUE"""),"Round 1")</f>
        <v>Round 1</v>
      </c>
      <c r="E134" s="4"/>
      <c r="F134" s="4"/>
      <c r="G134" s="4" t="str">
        <f>IFERROR(__xludf.DUMMYFUNCTION("""COMPUTED_VALUE"""),"Totals")</f>
        <v>Totals</v>
      </c>
      <c r="H134" s="4"/>
      <c r="I134" s="4"/>
      <c r="J134" s="4"/>
      <c r="K134" s="4"/>
      <c r="L134" s="4" t="str">
        <f>IFERROR(__xludf.DUMMYFUNCTION("""COMPUTED_VALUE"""),"Shooting")</f>
        <v>Shooting</v>
      </c>
      <c r="M134" s="4"/>
      <c r="N134" s="4"/>
      <c r="O134" s="4" t="str">
        <f>IFERROR(__xludf.DUMMYFUNCTION("""COMPUTED_VALUE"""),"Per Game")</f>
        <v>Per Game</v>
      </c>
      <c r="P134" s="4"/>
      <c r="Q134" s="4"/>
      <c r="R134" s="4"/>
      <c r="S134" s="4" t="str">
        <f>IFERROR(__xludf.DUMMYFUNCTION("""COMPUTED_VALUE"""),"Advanced")</f>
        <v>Advanced</v>
      </c>
      <c r="T134" s="4"/>
      <c r="U134" s="4"/>
      <c r="V134" s="4"/>
    </row>
    <row r="135">
      <c r="A135" s="4" t="str">
        <f>IFERROR(__xludf.DUMMYFUNCTION("""COMPUTED_VALUE"""),"Rk")</f>
        <v>Rk</v>
      </c>
      <c r="B135" s="4" t="str">
        <f>IFERROR(__xludf.DUMMYFUNCTION("""COMPUTED_VALUE"""),"Pk")</f>
        <v>Pk</v>
      </c>
      <c r="C135" s="4" t="str">
        <f>IFERROR(__xludf.DUMMYFUNCTION("""COMPUTED_VALUE"""),"Tm")</f>
        <v>Tm</v>
      </c>
      <c r="D135" s="4" t="str">
        <f>IFERROR(__xludf.DUMMYFUNCTION("""COMPUTED_VALUE"""),"Player")</f>
        <v>Player</v>
      </c>
      <c r="E135" s="4" t="str">
        <f>IFERROR(__xludf.DUMMYFUNCTION("""COMPUTED_VALUE"""),"College")</f>
        <v>College</v>
      </c>
      <c r="F135" s="4" t="str">
        <f>IFERROR(__xludf.DUMMYFUNCTION("""COMPUTED_VALUE"""),"Yrs")</f>
        <v>Yrs</v>
      </c>
      <c r="G135" s="4" t="str">
        <f>IFERROR(__xludf.DUMMYFUNCTION("""COMPUTED_VALUE"""),"G")</f>
        <v>G</v>
      </c>
      <c r="H135" s="4" t="str">
        <f>IFERROR(__xludf.DUMMYFUNCTION("""COMPUTED_VALUE"""),"MP")</f>
        <v>MP</v>
      </c>
      <c r="I135" s="4" t="str">
        <f>IFERROR(__xludf.DUMMYFUNCTION("""COMPUTED_VALUE"""),"PTS")</f>
        <v>PTS</v>
      </c>
      <c r="J135" s="4" t="str">
        <f>IFERROR(__xludf.DUMMYFUNCTION("""COMPUTED_VALUE"""),"TRB")</f>
        <v>TRB</v>
      </c>
      <c r="K135" s="4" t="str">
        <f>IFERROR(__xludf.DUMMYFUNCTION("""COMPUTED_VALUE"""),"AST")</f>
        <v>AST</v>
      </c>
      <c r="L135" s="4" t="str">
        <f>IFERROR(__xludf.DUMMYFUNCTION("""COMPUTED_VALUE"""),"FG%")</f>
        <v>FG%</v>
      </c>
      <c r="M135" s="4" t="str">
        <f>IFERROR(__xludf.DUMMYFUNCTION("""COMPUTED_VALUE"""),"3P%")</f>
        <v>3P%</v>
      </c>
      <c r="N135" s="4" t="str">
        <f>IFERROR(__xludf.DUMMYFUNCTION("""COMPUTED_VALUE"""),"FT%")</f>
        <v>FT%</v>
      </c>
      <c r="O135" s="4" t="str">
        <f>IFERROR(__xludf.DUMMYFUNCTION("""COMPUTED_VALUE"""),"MP")</f>
        <v>MP</v>
      </c>
      <c r="P135" s="4" t="str">
        <f>IFERROR(__xludf.DUMMYFUNCTION("""COMPUTED_VALUE"""),"PTS")</f>
        <v>PTS</v>
      </c>
      <c r="Q135" s="4" t="str">
        <f>IFERROR(__xludf.DUMMYFUNCTION("""COMPUTED_VALUE"""),"TRB")</f>
        <v>TRB</v>
      </c>
      <c r="R135" s="4" t="str">
        <f>IFERROR(__xludf.DUMMYFUNCTION("""COMPUTED_VALUE"""),"AST")</f>
        <v>AST</v>
      </c>
      <c r="S135" s="4" t="str">
        <f>IFERROR(__xludf.DUMMYFUNCTION("""COMPUTED_VALUE"""),"WS")</f>
        <v>WS</v>
      </c>
      <c r="T135" s="4" t="str">
        <f>IFERROR(__xludf.DUMMYFUNCTION("""COMPUTED_VALUE"""),"WS/48")</f>
        <v>WS/48</v>
      </c>
      <c r="U135" s="4" t="str">
        <f>IFERROR(__xludf.DUMMYFUNCTION("""COMPUTED_VALUE"""),"BPM")</f>
        <v>BPM</v>
      </c>
      <c r="V135" s="4" t="str">
        <f>IFERROR(__xludf.DUMMYFUNCTION("""COMPUTED_VALUE"""),"VORP")</f>
        <v>VORP</v>
      </c>
    </row>
    <row r="136">
      <c r="A136" s="4">
        <f>IFERROR(__xludf.DUMMYFUNCTION("""COMPUTED_VALUE"""),1.0)</f>
        <v>1</v>
      </c>
      <c r="B136" s="4">
        <f>IFERROR(__xludf.DUMMYFUNCTION("""COMPUTED_VALUE"""),1.0)</f>
        <v>1</v>
      </c>
      <c r="C136" s="4" t="str">
        <f>IFERROR(__xludf.DUMMYFUNCTION("""COMPUTED_VALUE"""),"SAS")</f>
        <v>SAS</v>
      </c>
      <c r="D136" s="4" t="str">
        <f>IFERROR(__xludf.DUMMYFUNCTION("""COMPUTED_VALUE"""),"Victor Wembanyama")</f>
        <v>Victor Wembanyama</v>
      </c>
      <c r="E136" s="4"/>
      <c r="F136" s="4">
        <f>IFERROR(__xludf.DUMMYFUNCTION("""COMPUTED_VALUE"""),3.0)</f>
        <v>3</v>
      </c>
      <c r="G136" s="4">
        <f>IFERROR(__xludf.DUMMYFUNCTION("""COMPUTED_VALUE"""),129.0)</f>
        <v>129</v>
      </c>
      <c r="H136" s="4">
        <f>IFERROR(__xludf.DUMMYFUNCTION("""COMPUTED_VALUE"""),4049.0)</f>
        <v>4049</v>
      </c>
      <c r="I136" s="4">
        <f>IFERROR(__xludf.DUMMYFUNCTION("""COMPUTED_VALUE"""),2952.0)</f>
        <v>2952</v>
      </c>
      <c r="J136" s="4">
        <f>IFERROR(__xludf.DUMMYFUNCTION("""COMPUTED_VALUE"""),1416.0)</f>
        <v>1416</v>
      </c>
      <c r="K136" s="4">
        <f>IFERROR(__xludf.DUMMYFUNCTION("""COMPUTED_VALUE"""),490.0)</f>
        <v>490</v>
      </c>
      <c r="L136" s="4">
        <f>IFERROR(__xludf.DUMMYFUNCTION("""COMPUTED_VALUE"""),0.473)</f>
        <v>0.473</v>
      </c>
      <c r="M136" s="4">
        <f>IFERROR(__xludf.DUMMYFUNCTION("""COMPUTED_VALUE"""),0.339)</f>
        <v>0.339</v>
      </c>
      <c r="N136" s="4">
        <f>IFERROR(__xludf.DUMMYFUNCTION("""COMPUTED_VALUE"""),0.816)</f>
        <v>0.816</v>
      </c>
      <c r="O136" s="4">
        <f>IFERROR(__xludf.DUMMYFUNCTION("""COMPUTED_VALUE"""),31.4)</f>
        <v>31.4</v>
      </c>
      <c r="P136" s="4">
        <f>IFERROR(__xludf.DUMMYFUNCTION("""COMPUTED_VALUE"""),22.9)</f>
        <v>22.9</v>
      </c>
      <c r="Q136" s="4">
        <f>IFERROR(__xludf.DUMMYFUNCTION("""COMPUTED_VALUE"""),11.0)</f>
        <v>11</v>
      </c>
      <c r="R136" s="4">
        <f>IFERROR(__xludf.DUMMYFUNCTION("""COMPUTED_VALUE"""),3.8)</f>
        <v>3.8</v>
      </c>
      <c r="S136" s="4">
        <f>IFERROR(__xludf.DUMMYFUNCTION("""COMPUTED_VALUE"""),9.1)</f>
        <v>9.1</v>
      </c>
      <c r="T136" s="4">
        <f>IFERROR(__xludf.DUMMYFUNCTION("""COMPUTED_VALUE"""),0.108)</f>
        <v>0.108</v>
      </c>
      <c r="U136" s="4">
        <f>IFERROR(__xludf.DUMMYFUNCTION("""COMPUTED_VALUE"""),5.8)</f>
        <v>5.8</v>
      </c>
      <c r="V136" s="4">
        <f>IFERROR(__xludf.DUMMYFUNCTION("""COMPUTED_VALUE"""),8.0)</f>
        <v>8</v>
      </c>
    </row>
    <row r="137">
      <c r="A137" s="4">
        <f>IFERROR(__xludf.DUMMYFUNCTION("""COMPUTED_VALUE"""),2.0)</f>
        <v>2</v>
      </c>
      <c r="B137" s="4">
        <f>IFERROR(__xludf.DUMMYFUNCTION("""COMPUTED_VALUE"""),2.0)</f>
        <v>2</v>
      </c>
      <c r="C137" s="4" t="str">
        <f>IFERROR(__xludf.DUMMYFUNCTION("""COMPUTED_VALUE"""),"CHO")</f>
        <v>CHO</v>
      </c>
      <c r="D137" s="4" t="str">
        <f>IFERROR(__xludf.DUMMYFUNCTION("""COMPUTED_VALUE"""),"Brandon Miller")</f>
        <v>Brandon Miller</v>
      </c>
      <c r="E137" s="4" t="str">
        <f>IFERROR(__xludf.DUMMYFUNCTION("""COMPUTED_VALUE"""),"Alabama")</f>
        <v>Alabama</v>
      </c>
      <c r="F137" s="4">
        <f>IFERROR(__xludf.DUMMYFUNCTION("""COMPUTED_VALUE"""),3.0)</f>
        <v>3</v>
      </c>
      <c r="G137" s="4">
        <f>IFERROR(__xludf.DUMMYFUNCTION("""COMPUTED_VALUE"""),107.0)</f>
        <v>107</v>
      </c>
      <c r="H137" s="4">
        <f>IFERROR(__xludf.DUMMYFUNCTION("""COMPUTED_VALUE"""),3457.0)</f>
        <v>3457</v>
      </c>
      <c r="I137" s="4">
        <f>IFERROR(__xludf.DUMMYFUNCTION("""COMPUTED_VALUE"""),1949.0)</f>
        <v>1949</v>
      </c>
      <c r="J137" s="4">
        <f>IFERROR(__xludf.DUMMYFUNCTION("""COMPUTED_VALUE"""),458.0)</f>
        <v>458</v>
      </c>
      <c r="K137" s="4">
        <f>IFERROR(__xludf.DUMMYFUNCTION("""COMPUTED_VALUE"""),291.0)</f>
        <v>291</v>
      </c>
      <c r="L137" s="4">
        <f>IFERROR(__xludf.DUMMYFUNCTION("""COMPUTED_VALUE"""),0.426)</f>
        <v>0.426</v>
      </c>
      <c r="M137" s="4">
        <f>IFERROR(__xludf.DUMMYFUNCTION("""COMPUTED_VALUE"""),0.361)</f>
        <v>0.361</v>
      </c>
      <c r="N137" s="4">
        <f>IFERROR(__xludf.DUMMYFUNCTION("""COMPUTED_VALUE"""),0.838)</f>
        <v>0.838</v>
      </c>
      <c r="O137" s="4">
        <f>IFERROR(__xludf.DUMMYFUNCTION("""COMPUTED_VALUE"""),32.3)</f>
        <v>32.3</v>
      </c>
      <c r="P137" s="4">
        <f>IFERROR(__xludf.DUMMYFUNCTION("""COMPUTED_VALUE"""),18.2)</f>
        <v>18.2</v>
      </c>
      <c r="Q137" s="4">
        <f>IFERROR(__xludf.DUMMYFUNCTION("""COMPUTED_VALUE"""),4.3)</f>
        <v>4.3</v>
      </c>
      <c r="R137" s="4">
        <f>IFERROR(__xludf.DUMMYFUNCTION("""COMPUTED_VALUE"""),2.7)</f>
        <v>2.7</v>
      </c>
      <c r="S137" s="4">
        <f>IFERROR(__xludf.DUMMYFUNCTION("""COMPUTED_VALUE"""),1.3)</f>
        <v>1.3</v>
      </c>
      <c r="T137" s="4">
        <f>IFERROR(__xludf.DUMMYFUNCTION("""COMPUTED_VALUE"""),0.019)</f>
        <v>0.019</v>
      </c>
      <c r="U137" s="4">
        <f>IFERROR(__xludf.DUMMYFUNCTION("""COMPUTED_VALUE"""),-1.8)</f>
        <v>-1.8</v>
      </c>
      <c r="V137" s="4">
        <f>IFERROR(__xludf.DUMMYFUNCTION("""COMPUTED_VALUE"""),0.2)</f>
        <v>0.2</v>
      </c>
    </row>
    <row r="138">
      <c r="A138" s="4">
        <f>IFERROR(__xludf.DUMMYFUNCTION("""COMPUTED_VALUE"""),3.0)</f>
        <v>3</v>
      </c>
      <c r="B138" s="4">
        <f>IFERROR(__xludf.DUMMYFUNCTION("""COMPUTED_VALUE"""),3.0)</f>
        <v>3</v>
      </c>
      <c r="C138" s="4" t="str">
        <f>IFERROR(__xludf.DUMMYFUNCTION("""COMPUTED_VALUE"""),"POR")</f>
        <v>POR</v>
      </c>
      <c r="D138" s="4" t="str">
        <f>IFERROR(__xludf.DUMMYFUNCTION("""COMPUTED_VALUE"""),"Scoot Henderson")</f>
        <v>Scoot Henderson</v>
      </c>
      <c r="E138" s="4"/>
      <c r="F138" s="4">
        <f>IFERROR(__xludf.DUMMYFUNCTION("""COMPUTED_VALUE"""),2.0)</f>
        <v>2</v>
      </c>
      <c r="G138" s="4">
        <f>IFERROR(__xludf.DUMMYFUNCTION("""COMPUTED_VALUE"""),128.0)</f>
        <v>128</v>
      </c>
      <c r="H138" s="4">
        <f>IFERROR(__xludf.DUMMYFUNCTION("""COMPUTED_VALUE"""),3524.0)</f>
        <v>3524</v>
      </c>
      <c r="I138" s="4">
        <f>IFERROR(__xludf.DUMMYFUNCTION("""COMPUTED_VALUE"""),1705.0)</f>
        <v>1705</v>
      </c>
      <c r="J138" s="4">
        <f>IFERROR(__xludf.DUMMYFUNCTION("""COMPUTED_VALUE"""),392.0)</f>
        <v>392</v>
      </c>
      <c r="K138" s="4">
        <f>IFERROR(__xludf.DUMMYFUNCTION("""COMPUTED_VALUE"""),671.0)</f>
        <v>671</v>
      </c>
      <c r="L138" s="4">
        <f>IFERROR(__xludf.DUMMYFUNCTION("""COMPUTED_VALUE"""),0.401)</f>
        <v>0.401</v>
      </c>
      <c r="M138" s="4">
        <f>IFERROR(__xludf.DUMMYFUNCTION("""COMPUTED_VALUE"""),0.34)</f>
        <v>0.34</v>
      </c>
      <c r="N138" s="4">
        <f>IFERROR(__xludf.DUMMYFUNCTION("""COMPUTED_VALUE"""),0.793)</f>
        <v>0.793</v>
      </c>
      <c r="O138" s="4">
        <f>IFERROR(__xludf.DUMMYFUNCTION("""COMPUTED_VALUE"""),27.5)</f>
        <v>27.5</v>
      </c>
      <c r="P138" s="4">
        <f>IFERROR(__xludf.DUMMYFUNCTION("""COMPUTED_VALUE"""),13.3)</f>
        <v>13.3</v>
      </c>
      <c r="Q138" s="4">
        <f>IFERROR(__xludf.DUMMYFUNCTION("""COMPUTED_VALUE"""),3.1)</f>
        <v>3.1</v>
      </c>
      <c r="R138" s="4">
        <f>IFERROR(__xludf.DUMMYFUNCTION("""COMPUTED_VALUE"""),5.2)</f>
        <v>5.2</v>
      </c>
      <c r="S138" s="4">
        <f>IFERROR(__xludf.DUMMYFUNCTION("""COMPUTED_VALUE"""),0.1)</f>
        <v>0.1</v>
      </c>
      <c r="T138" s="4">
        <f>IFERROR(__xludf.DUMMYFUNCTION("""COMPUTED_VALUE"""),0.002)</f>
        <v>0.002</v>
      </c>
      <c r="U138" s="4">
        <f>IFERROR(__xludf.DUMMYFUNCTION("""COMPUTED_VALUE"""),-4.0)</f>
        <v>-4</v>
      </c>
      <c r="V138" s="4">
        <f>IFERROR(__xludf.DUMMYFUNCTION("""COMPUTED_VALUE"""),-1.8)</f>
        <v>-1.8</v>
      </c>
    </row>
    <row r="139">
      <c r="A139" s="4">
        <f>IFERROR(__xludf.DUMMYFUNCTION("""COMPUTED_VALUE"""),4.0)</f>
        <v>4</v>
      </c>
      <c r="B139" s="4">
        <f>IFERROR(__xludf.DUMMYFUNCTION("""COMPUTED_VALUE"""),4.0)</f>
        <v>4</v>
      </c>
      <c r="C139" s="4" t="str">
        <f>IFERROR(__xludf.DUMMYFUNCTION("""COMPUTED_VALUE"""),"HOU")</f>
        <v>HOU</v>
      </c>
      <c r="D139" s="4" t="str">
        <f>IFERROR(__xludf.DUMMYFUNCTION("""COMPUTED_VALUE"""),"Amen Thompson")</f>
        <v>Amen Thompson</v>
      </c>
      <c r="E139" s="4"/>
      <c r="F139" s="4">
        <f>IFERROR(__xludf.DUMMYFUNCTION("""COMPUTED_VALUE"""),3.0)</f>
        <v>3</v>
      </c>
      <c r="G139" s="4">
        <f>IFERROR(__xludf.DUMMYFUNCTION("""COMPUTED_VALUE"""),149.0)</f>
        <v>149</v>
      </c>
      <c r="H139" s="4">
        <f>IFERROR(__xludf.DUMMYFUNCTION("""COMPUTED_VALUE"""),4266.0)</f>
        <v>4266</v>
      </c>
      <c r="I139" s="4">
        <f>IFERROR(__xludf.DUMMYFUNCTION("""COMPUTED_VALUE"""),1869.0)</f>
        <v>1869</v>
      </c>
      <c r="J139" s="4">
        <f>IFERROR(__xludf.DUMMYFUNCTION("""COMPUTED_VALUE"""),1099.0)</f>
        <v>1099</v>
      </c>
      <c r="K139" s="4">
        <f>IFERROR(__xludf.DUMMYFUNCTION("""COMPUTED_VALUE"""),521.0)</f>
        <v>521</v>
      </c>
      <c r="L139" s="4">
        <f>IFERROR(__xludf.DUMMYFUNCTION("""COMPUTED_VALUE"""),0.535)</f>
        <v>0.535</v>
      </c>
      <c r="M139" s="4">
        <f>IFERROR(__xludf.DUMMYFUNCTION("""COMPUTED_VALUE"""),0.218)</f>
        <v>0.218</v>
      </c>
      <c r="N139" s="4">
        <f>IFERROR(__xludf.DUMMYFUNCTION("""COMPUTED_VALUE"""),0.699)</f>
        <v>0.699</v>
      </c>
      <c r="O139" s="4">
        <f>IFERROR(__xludf.DUMMYFUNCTION("""COMPUTED_VALUE"""),28.6)</f>
        <v>28.6</v>
      </c>
      <c r="P139" s="4">
        <f>IFERROR(__xludf.DUMMYFUNCTION("""COMPUTED_VALUE"""),12.5)</f>
        <v>12.5</v>
      </c>
      <c r="Q139" s="4">
        <f>IFERROR(__xludf.DUMMYFUNCTION("""COMPUTED_VALUE"""),7.4)</f>
        <v>7.4</v>
      </c>
      <c r="R139" s="4">
        <f>IFERROR(__xludf.DUMMYFUNCTION("""COMPUTED_VALUE"""),3.5)</f>
        <v>3.5</v>
      </c>
      <c r="S139" s="4">
        <f>IFERROR(__xludf.DUMMYFUNCTION("""COMPUTED_VALUE"""),14.0)</f>
        <v>14</v>
      </c>
      <c r="T139" s="4">
        <f>IFERROR(__xludf.DUMMYFUNCTION("""COMPUTED_VALUE"""),0.158)</f>
        <v>0.158</v>
      </c>
      <c r="U139" s="4">
        <f>IFERROR(__xludf.DUMMYFUNCTION("""COMPUTED_VALUE"""),2.8)</f>
        <v>2.8</v>
      </c>
      <c r="V139" s="4">
        <f>IFERROR(__xludf.DUMMYFUNCTION("""COMPUTED_VALUE"""),5.2)</f>
        <v>5.2</v>
      </c>
    </row>
    <row r="140">
      <c r="A140" s="4">
        <f>IFERROR(__xludf.DUMMYFUNCTION("""COMPUTED_VALUE"""),5.0)</f>
        <v>5</v>
      </c>
      <c r="B140" s="4">
        <f>IFERROR(__xludf.DUMMYFUNCTION("""COMPUTED_VALUE"""),5.0)</f>
        <v>5</v>
      </c>
      <c r="C140" s="4" t="str">
        <f>IFERROR(__xludf.DUMMYFUNCTION("""COMPUTED_VALUE"""),"DET")</f>
        <v>DET</v>
      </c>
      <c r="D140" s="4" t="str">
        <f>IFERROR(__xludf.DUMMYFUNCTION("""COMPUTED_VALUE"""),"Ausar Thompson")</f>
        <v>Ausar Thompson</v>
      </c>
      <c r="E140" s="4"/>
      <c r="F140" s="4">
        <f>IFERROR(__xludf.DUMMYFUNCTION("""COMPUTED_VALUE"""),3.0)</f>
        <v>3</v>
      </c>
      <c r="G140" s="4">
        <f>IFERROR(__xludf.DUMMYFUNCTION("""COMPUTED_VALUE"""),139.0)</f>
        <v>139</v>
      </c>
      <c r="H140" s="4">
        <f>IFERROR(__xludf.DUMMYFUNCTION("""COMPUTED_VALUE"""),3392.0)</f>
        <v>3392</v>
      </c>
      <c r="I140" s="4">
        <f>IFERROR(__xludf.DUMMYFUNCTION("""COMPUTED_VALUE"""),1348.0)</f>
        <v>1348</v>
      </c>
      <c r="J140" s="4">
        <f>IFERROR(__xludf.DUMMYFUNCTION("""COMPUTED_VALUE"""),808.0)</f>
        <v>808</v>
      </c>
      <c r="K140" s="4">
        <f>IFERROR(__xludf.DUMMYFUNCTION("""COMPUTED_VALUE"""),301.0)</f>
        <v>301</v>
      </c>
      <c r="L140" s="4">
        <f>IFERROR(__xludf.DUMMYFUNCTION("""COMPUTED_VALUE"""),0.509)</f>
        <v>0.509</v>
      </c>
      <c r="M140" s="4">
        <f>IFERROR(__xludf.DUMMYFUNCTION("""COMPUTED_VALUE"""),0.209)</f>
        <v>0.209</v>
      </c>
      <c r="N140" s="4">
        <f>IFERROR(__xludf.DUMMYFUNCTION("""COMPUTED_VALUE"""),0.608)</f>
        <v>0.608</v>
      </c>
      <c r="O140" s="4">
        <f>IFERROR(__xludf.DUMMYFUNCTION("""COMPUTED_VALUE"""),24.4)</f>
        <v>24.4</v>
      </c>
      <c r="P140" s="4">
        <f>IFERROR(__xludf.DUMMYFUNCTION("""COMPUTED_VALUE"""),9.7)</f>
        <v>9.7</v>
      </c>
      <c r="Q140" s="4">
        <f>IFERROR(__xludf.DUMMYFUNCTION("""COMPUTED_VALUE"""),5.8)</f>
        <v>5.8</v>
      </c>
      <c r="R140" s="4">
        <f>IFERROR(__xludf.DUMMYFUNCTION("""COMPUTED_VALUE"""),2.2)</f>
        <v>2.2</v>
      </c>
      <c r="S140" s="4">
        <f>IFERROR(__xludf.DUMMYFUNCTION("""COMPUTED_VALUE"""),6.7)</f>
        <v>6.7</v>
      </c>
      <c r="T140" s="4">
        <f>IFERROR(__xludf.DUMMYFUNCTION("""COMPUTED_VALUE"""),0.095)</f>
        <v>0.095</v>
      </c>
      <c r="U140" s="4">
        <f>IFERROR(__xludf.DUMMYFUNCTION("""COMPUTED_VALUE"""),-0.3)</f>
        <v>-0.3</v>
      </c>
      <c r="V140" s="4">
        <f>IFERROR(__xludf.DUMMYFUNCTION("""COMPUTED_VALUE"""),1.5)</f>
        <v>1.5</v>
      </c>
    </row>
    <row r="141">
      <c r="A141" s="4">
        <f>IFERROR(__xludf.DUMMYFUNCTION("""COMPUTED_VALUE"""),6.0)</f>
        <v>6</v>
      </c>
      <c r="B141" s="4">
        <f>IFERROR(__xludf.DUMMYFUNCTION("""COMPUTED_VALUE"""),6.0)</f>
        <v>6</v>
      </c>
      <c r="C141" s="4" t="str">
        <f>IFERROR(__xludf.DUMMYFUNCTION("""COMPUTED_VALUE"""),"ORL")</f>
        <v>ORL</v>
      </c>
      <c r="D141" s="4" t="str">
        <f>IFERROR(__xludf.DUMMYFUNCTION("""COMPUTED_VALUE"""),"Anthony Black")</f>
        <v>Anthony Black</v>
      </c>
      <c r="E141" s="4" t="str">
        <f>IFERROR(__xludf.DUMMYFUNCTION("""COMPUTED_VALUE"""),"Arkansas")</f>
        <v>Arkansas</v>
      </c>
      <c r="F141" s="4">
        <f>IFERROR(__xludf.DUMMYFUNCTION("""COMPUTED_VALUE"""),3.0)</f>
        <v>3</v>
      </c>
      <c r="G141" s="4">
        <f>IFERROR(__xludf.DUMMYFUNCTION("""COMPUTED_VALUE"""),168.0)</f>
        <v>168</v>
      </c>
      <c r="H141" s="4">
        <f>IFERROR(__xludf.DUMMYFUNCTION("""COMPUTED_VALUE"""),3633.0)</f>
        <v>3633</v>
      </c>
      <c r="I141" s="4">
        <f>IFERROR(__xludf.DUMMYFUNCTION("""COMPUTED_VALUE"""),1334.0)</f>
        <v>1334</v>
      </c>
      <c r="J141" s="4">
        <f>IFERROR(__xludf.DUMMYFUNCTION("""COMPUTED_VALUE"""),437.0)</f>
        <v>437</v>
      </c>
      <c r="K141" s="4">
        <f>IFERROR(__xludf.DUMMYFUNCTION("""COMPUTED_VALUE"""),390.0)</f>
        <v>390</v>
      </c>
      <c r="L141" s="4">
        <f>IFERROR(__xludf.DUMMYFUNCTION("""COMPUTED_VALUE"""),0.444)</f>
        <v>0.444</v>
      </c>
      <c r="M141" s="4">
        <f>IFERROR(__xludf.DUMMYFUNCTION("""COMPUTED_VALUE"""),0.343)</f>
        <v>0.343</v>
      </c>
      <c r="N141" s="4">
        <f>IFERROR(__xludf.DUMMYFUNCTION("""COMPUTED_VALUE"""),0.709)</f>
        <v>0.709</v>
      </c>
      <c r="O141" s="4">
        <f>IFERROR(__xludf.DUMMYFUNCTION("""COMPUTED_VALUE"""),21.6)</f>
        <v>21.6</v>
      </c>
      <c r="P141" s="4">
        <f>IFERROR(__xludf.DUMMYFUNCTION("""COMPUTED_VALUE"""),7.9)</f>
        <v>7.9</v>
      </c>
      <c r="Q141" s="4">
        <f>IFERROR(__xludf.DUMMYFUNCTION("""COMPUTED_VALUE"""),2.6)</f>
        <v>2.6</v>
      </c>
      <c r="R141" s="4">
        <f>IFERROR(__xludf.DUMMYFUNCTION("""COMPUTED_VALUE"""),2.3)</f>
        <v>2.3</v>
      </c>
      <c r="S141" s="4">
        <f>IFERROR(__xludf.DUMMYFUNCTION("""COMPUTED_VALUE"""),5.0)</f>
        <v>5</v>
      </c>
      <c r="T141" s="4">
        <f>IFERROR(__xludf.DUMMYFUNCTION("""COMPUTED_VALUE"""),0.066)</f>
        <v>0.066</v>
      </c>
      <c r="U141" s="4">
        <f>IFERROR(__xludf.DUMMYFUNCTION("""COMPUTED_VALUE"""),-2.0)</f>
        <v>-2</v>
      </c>
      <c r="V141" s="4">
        <f>IFERROR(__xludf.DUMMYFUNCTION("""COMPUTED_VALUE"""),0.0)</f>
        <v>0</v>
      </c>
    </row>
    <row r="142">
      <c r="A142" s="4">
        <f>IFERROR(__xludf.DUMMYFUNCTION("""COMPUTED_VALUE"""),7.0)</f>
        <v>7</v>
      </c>
      <c r="B142" s="4">
        <f>IFERROR(__xludf.DUMMYFUNCTION("""COMPUTED_VALUE"""),7.0)</f>
        <v>7</v>
      </c>
      <c r="C142" s="4" t="str">
        <f>IFERROR(__xludf.DUMMYFUNCTION("""COMPUTED_VALUE"""),"IND")</f>
        <v>IND</v>
      </c>
      <c r="D142" s="4" t="str">
        <f>IFERROR(__xludf.DUMMYFUNCTION("""COMPUTED_VALUE"""),"Bilal Coulibaly")</f>
        <v>Bilal Coulibaly</v>
      </c>
      <c r="E142" s="4"/>
      <c r="F142" s="4">
        <f>IFERROR(__xludf.DUMMYFUNCTION("""COMPUTED_VALUE"""),3.0)</f>
        <v>3</v>
      </c>
      <c r="G142" s="4">
        <f>IFERROR(__xludf.DUMMYFUNCTION("""COMPUTED_VALUE"""),134.0)</f>
        <v>134</v>
      </c>
      <c r="H142" s="4">
        <f>IFERROR(__xludf.DUMMYFUNCTION("""COMPUTED_VALUE"""),3989.0)</f>
        <v>3989</v>
      </c>
      <c r="I142" s="4">
        <f>IFERROR(__xludf.DUMMYFUNCTION("""COMPUTED_VALUE"""),1365.0)</f>
        <v>1365</v>
      </c>
      <c r="J142" s="4">
        <f>IFERROR(__xludf.DUMMYFUNCTION("""COMPUTED_VALUE"""),598.0)</f>
        <v>598</v>
      </c>
      <c r="K142" s="4">
        <f>IFERROR(__xludf.DUMMYFUNCTION("""COMPUTED_VALUE"""),345.0)</f>
        <v>345</v>
      </c>
      <c r="L142" s="4">
        <f>IFERROR(__xludf.DUMMYFUNCTION("""COMPUTED_VALUE"""),0.423)</f>
        <v>0.423</v>
      </c>
      <c r="M142" s="4">
        <f>IFERROR(__xludf.DUMMYFUNCTION("""COMPUTED_VALUE"""),0.307)</f>
        <v>0.307</v>
      </c>
      <c r="N142" s="4">
        <f>IFERROR(__xludf.DUMMYFUNCTION("""COMPUTED_VALUE"""),0.732)</f>
        <v>0.732</v>
      </c>
      <c r="O142" s="4">
        <f>IFERROR(__xludf.DUMMYFUNCTION("""COMPUTED_VALUE"""),29.8)</f>
        <v>29.8</v>
      </c>
      <c r="P142" s="4">
        <f>IFERROR(__xludf.DUMMYFUNCTION("""COMPUTED_VALUE"""),10.2)</f>
        <v>10.2</v>
      </c>
      <c r="Q142" s="4">
        <f>IFERROR(__xludf.DUMMYFUNCTION("""COMPUTED_VALUE"""),4.5)</f>
        <v>4.5</v>
      </c>
      <c r="R142" s="4">
        <f>IFERROR(__xludf.DUMMYFUNCTION("""COMPUTED_VALUE"""),2.6)</f>
        <v>2.6</v>
      </c>
      <c r="S142" s="4">
        <f>IFERROR(__xludf.DUMMYFUNCTION("""COMPUTED_VALUE"""),0.7)</f>
        <v>0.7</v>
      </c>
      <c r="T142" s="4">
        <f>IFERROR(__xludf.DUMMYFUNCTION("""COMPUTED_VALUE"""),0.008)</f>
        <v>0.008</v>
      </c>
      <c r="U142" s="4">
        <f>IFERROR(__xludf.DUMMYFUNCTION("""COMPUTED_VALUE"""),-4.0)</f>
        <v>-4</v>
      </c>
      <c r="V142" s="4">
        <f>IFERROR(__xludf.DUMMYFUNCTION("""COMPUTED_VALUE"""),-2.0)</f>
        <v>-2</v>
      </c>
    </row>
    <row r="143">
      <c r="A143" s="4">
        <f>IFERROR(__xludf.DUMMYFUNCTION("""COMPUTED_VALUE"""),8.0)</f>
        <v>8</v>
      </c>
      <c r="B143" s="4">
        <f>IFERROR(__xludf.DUMMYFUNCTION("""COMPUTED_VALUE"""),8.0)</f>
        <v>8</v>
      </c>
      <c r="C143" s="4" t="str">
        <f>IFERROR(__xludf.DUMMYFUNCTION("""COMPUTED_VALUE"""),"WAS")</f>
        <v>WAS</v>
      </c>
      <c r="D143" s="4" t="str">
        <f>IFERROR(__xludf.DUMMYFUNCTION("""COMPUTED_VALUE"""),"Jarace Walker")</f>
        <v>Jarace Walker</v>
      </c>
      <c r="E143" s="4" t="str">
        <f>IFERROR(__xludf.DUMMYFUNCTION("""COMPUTED_VALUE"""),"Houston")</f>
        <v>Houston</v>
      </c>
      <c r="F143" s="4">
        <f>IFERROR(__xludf.DUMMYFUNCTION("""COMPUTED_VALUE"""),3.0)</f>
        <v>3</v>
      </c>
      <c r="G143" s="4">
        <f>IFERROR(__xludf.DUMMYFUNCTION("""COMPUTED_VALUE"""),129.0)</f>
        <v>129</v>
      </c>
      <c r="H143" s="4">
        <f>IFERROR(__xludf.DUMMYFUNCTION("""COMPUTED_VALUE"""),2103.0)</f>
        <v>2103</v>
      </c>
      <c r="I143" s="4">
        <f>IFERROR(__xludf.DUMMYFUNCTION("""COMPUTED_VALUE"""),791.0)</f>
        <v>791</v>
      </c>
      <c r="J143" s="4">
        <f>IFERROR(__xludf.DUMMYFUNCTION("""COMPUTED_VALUE"""),402.0)</f>
        <v>402</v>
      </c>
      <c r="K143" s="4">
        <f>IFERROR(__xludf.DUMMYFUNCTION("""COMPUTED_VALUE"""),201.0)</f>
        <v>201</v>
      </c>
      <c r="L143" s="4">
        <f>IFERROR(__xludf.DUMMYFUNCTION("""COMPUTED_VALUE"""),0.421)</f>
        <v>0.421</v>
      </c>
      <c r="M143" s="4">
        <f>IFERROR(__xludf.DUMMYFUNCTION("""COMPUTED_VALUE"""),0.373)</f>
        <v>0.373</v>
      </c>
      <c r="N143" s="4">
        <f>IFERROR(__xludf.DUMMYFUNCTION("""COMPUTED_VALUE"""),0.735)</f>
        <v>0.735</v>
      </c>
      <c r="O143" s="4">
        <f>IFERROR(__xludf.DUMMYFUNCTION("""COMPUTED_VALUE"""),16.3)</f>
        <v>16.3</v>
      </c>
      <c r="P143" s="4">
        <f>IFERROR(__xludf.DUMMYFUNCTION("""COMPUTED_VALUE"""),6.1)</f>
        <v>6.1</v>
      </c>
      <c r="Q143" s="4">
        <f>IFERROR(__xludf.DUMMYFUNCTION("""COMPUTED_VALUE"""),3.1)</f>
        <v>3.1</v>
      </c>
      <c r="R143" s="4">
        <f>IFERROR(__xludf.DUMMYFUNCTION("""COMPUTED_VALUE"""),1.6)</f>
        <v>1.6</v>
      </c>
      <c r="S143" s="4">
        <f>IFERROR(__xludf.DUMMYFUNCTION("""COMPUTED_VALUE"""),1.6)</f>
        <v>1.6</v>
      </c>
      <c r="T143" s="4">
        <f>IFERROR(__xludf.DUMMYFUNCTION("""COMPUTED_VALUE"""),0.036)</f>
        <v>0.036</v>
      </c>
      <c r="U143" s="4">
        <f>IFERROR(__xludf.DUMMYFUNCTION("""COMPUTED_VALUE"""),-1.9)</f>
        <v>-1.9</v>
      </c>
      <c r="V143" s="4">
        <f>IFERROR(__xludf.DUMMYFUNCTION("""COMPUTED_VALUE"""),0.1)</f>
        <v>0.1</v>
      </c>
    </row>
    <row r="144">
      <c r="A144" s="4">
        <f>IFERROR(__xludf.DUMMYFUNCTION("""COMPUTED_VALUE"""),9.0)</f>
        <v>9</v>
      </c>
      <c r="B144" s="4">
        <f>IFERROR(__xludf.DUMMYFUNCTION("""COMPUTED_VALUE"""),9.0)</f>
        <v>9</v>
      </c>
      <c r="C144" s="4" t="str">
        <f>IFERROR(__xludf.DUMMYFUNCTION("""COMPUTED_VALUE"""),"UTA")</f>
        <v>UTA</v>
      </c>
      <c r="D144" s="4" t="str">
        <f>IFERROR(__xludf.DUMMYFUNCTION("""COMPUTED_VALUE"""),"Taylor Hendricks")</f>
        <v>Taylor Hendricks</v>
      </c>
      <c r="E144" s="4" t="str">
        <f>IFERROR(__xludf.DUMMYFUNCTION("""COMPUTED_VALUE"""),"Central Florida")</f>
        <v>Central Florida</v>
      </c>
      <c r="F144" s="4">
        <f>IFERROR(__xludf.DUMMYFUNCTION("""COMPUTED_VALUE"""),3.0)</f>
        <v>3</v>
      </c>
      <c r="G144" s="4">
        <f>IFERROR(__xludf.DUMMYFUNCTION("""COMPUTED_VALUE"""),54.0)</f>
        <v>54</v>
      </c>
      <c r="H144" s="4">
        <f>IFERROR(__xludf.DUMMYFUNCTION("""COMPUTED_VALUE"""),1088.0)</f>
        <v>1088</v>
      </c>
      <c r="I144" s="4">
        <f>IFERROR(__xludf.DUMMYFUNCTION("""COMPUTED_VALUE"""),350.0)</f>
        <v>350</v>
      </c>
      <c r="J144" s="4">
        <f>IFERROR(__xludf.DUMMYFUNCTION("""COMPUTED_VALUE"""),241.0)</f>
        <v>241</v>
      </c>
      <c r="K144" s="4">
        <f>IFERROR(__xludf.DUMMYFUNCTION("""COMPUTED_VALUE"""),40.0)</f>
        <v>40</v>
      </c>
      <c r="L144" s="4">
        <f>IFERROR(__xludf.DUMMYFUNCTION("""COMPUTED_VALUE"""),0.424)</f>
        <v>0.424</v>
      </c>
      <c r="M144" s="4">
        <f>IFERROR(__xludf.DUMMYFUNCTION("""COMPUTED_VALUE"""),0.355)</f>
        <v>0.355</v>
      </c>
      <c r="N144" s="4">
        <f>IFERROR(__xludf.DUMMYFUNCTION("""COMPUTED_VALUE"""),0.767)</f>
        <v>0.767</v>
      </c>
      <c r="O144" s="4">
        <f>IFERROR(__xludf.DUMMYFUNCTION("""COMPUTED_VALUE"""),20.1)</f>
        <v>20.1</v>
      </c>
      <c r="P144" s="4">
        <f>IFERROR(__xludf.DUMMYFUNCTION("""COMPUTED_VALUE"""),6.5)</f>
        <v>6.5</v>
      </c>
      <c r="Q144" s="4">
        <f>IFERROR(__xludf.DUMMYFUNCTION("""COMPUTED_VALUE"""),4.5)</f>
        <v>4.5</v>
      </c>
      <c r="R144" s="4">
        <f>IFERROR(__xludf.DUMMYFUNCTION("""COMPUTED_VALUE"""),0.7)</f>
        <v>0.7</v>
      </c>
      <c r="S144" s="4">
        <f>IFERROR(__xludf.DUMMYFUNCTION("""COMPUTED_VALUE"""),1.3)</f>
        <v>1.3</v>
      </c>
      <c r="T144" s="4">
        <f>IFERROR(__xludf.DUMMYFUNCTION("""COMPUTED_VALUE"""),0.056)</f>
        <v>0.056</v>
      </c>
      <c r="U144" s="4">
        <f>IFERROR(__xludf.DUMMYFUNCTION("""COMPUTED_VALUE"""),-2.2)</f>
        <v>-2.2</v>
      </c>
      <c r="V144" s="4">
        <f>IFERROR(__xludf.DUMMYFUNCTION("""COMPUTED_VALUE"""),0.0)</f>
        <v>0</v>
      </c>
    </row>
    <row r="145">
      <c r="A145" s="4">
        <f>IFERROR(__xludf.DUMMYFUNCTION("""COMPUTED_VALUE"""),10.0)</f>
        <v>10</v>
      </c>
      <c r="B145" s="4">
        <f>IFERROR(__xludf.DUMMYFUNCTION("""COMPUTED_VALUE"""),10.0)</f>
        <v>10</v>
      </c>
      <c r="C145" s="4" t="str">
        <f>IFERROR(__xludf.DUMMYFUNCTION("""COMPUTED_VALUE"""),"DAL")</f>
        <v>DAL</v>
      </c>
      <c r="D145" s="4" t="str">
        <f>IFERROR(__xludf.DUMMYFUNCTION("""COMPUTED_VALUE"""),"Cason Wallace")</f>
        <v>Cason Wallace</v>
      </c>
      <c r="E145" s="4" t="str">
        <f>IFERROR(__xludf.DUMMYFUNCTION("""COMPUTED_VALUE"""),"Kentucky")</f>
        <v>Kentucky</v>
      </c>
      <c r="F145" s="4">
        <f>IFERROR(__xludf.DUMMYFUNCTION("""COMPUTED_VALUE"""),3.0)</f>
        <v>3</v>
      </c>
      <c r="G145" s="4">
        <f>IFERROR(__xludf.DUMMYFUNCTION("""COMPUTED_VALUE"""),171.0)</f>
        <v>171</v>
      </c>
      <c r="H145" s="4">
        <f>IFERROR(__xludf.DUMMYFUNCTION("""COMPUTED_VALUE"""),4167.0)</f>
        <v>4167</v>
      </c>
      <c r="I145" s="4">
        <f>IFERROR(__xludf.DUMMYFUNCTION("""COMPUTED_VALUE"""),1306.0)</f>
        <v>1306</v>
      </c>
      <c r="J145" s="4">
        <f>IFERROR(__xludf.DUMMYFUNCTION("""COMPUTED_VALUE"""),480.0)</f>
        <v>480</v>
      </c>
      <c r="K145" s="4">
        <f>IFERROR(__xludf.DUMMYFUNCTION("""COMPUTED_VALUE"""),345.0)</f>
        <v>345</v>
      </c>
      <c r="L145" s="4">
        <f>IFERROR(__xludf.DUMMYFUNCTION("""COMPUTED_VALUE"""),0.475)</f>
        <v>0.475</v>
      </c>
      <c r="M145" s="4">
        <f>IFERROR(__xludf.DUMMYFUNCTION("""COMPUTED_VALUE"""),0.384)</f>
        <v>0.384</v>
      </c>
      <c r="N145" s="4">
        <f>IFERROR(__xludf.DUMMYFUNCTION("""COMPUTED_VALUE"""),0.793)</f>
        <v>0.793</v>
      </c>
      <c r="O145" s="4">
        <f>IFERROR(__xludf.DUMMYFUNCTION("""COMPUTED_VALUE"""),24.4)</f>
        <v>24.4</v>
      </c>
      <c r="P145" s="4">
        <f>IFERROR(__xludf.DUMMYFUNCTION("""COMPUTED_VALUE"""),7.6)</f>
        <v>7.6</v>
      </c>
      <c r="Q145" s="4">
        <f>IFERROR(__xludf.DUMMYFUNCTION("""COMPUTED_VALUE"""),2.8)</f>
        <v>2.8</v>
      </c>
      <c r="R145" s="4">
        <f>IFERROR(__xludf.DUMMYFUNCTION("""COMPUTED_VALUE"""),2.0)</f>
        <v>2</v>
      </c>
      <c r="S145" s="4">
        <f>IFERROR(__xludf.DUMMYFUNCTION("""COMPUTED_VALUE"""),10.7)</f>
        <v>10.7</v>
      </c>
      <c r="T145" s="4">
        <f>IFERROR(__xludf.DUMMYFUNCTION("""COMPUTED_VALUE"""),0.124)</f>
        <v>0.124</v>
      </c>
      <c r="U145" s="4">
        <f>IFERROR(__xludf.DUMMYFUNCTION("""COMPUTED_VALUE"""),0.5)</f>
        <v>0.5</v>
      </c>
      <c r="V145" s="4">
        <f>IFERROR(__xludf.DUMMYFUNCTION("""COMPUTED_VALUE"""),2.7)</f>
        <v>2.7</v>
      </c>
    </row>
    <row r="146">
      <c r="A146" s="4">
        <f>IFERROR(__xludf.DUMMYFUNCTION("""COMPUTED_VALUE"""),11.0)</f>
        <v>11</v>
      </c>
      <c r="B146" s="4">
        <f>IFERROR(__xludf.DUMMYFUNCTION("""COMPUTED_VALUE"""),11.0)</f>
        <v>11</v>
      </c>
      <c r="C146" s="4" t="str">
        <f>IFERROR(__xludf.DUMMYFUNCTION("""COMPUTED_VALUE"""),"ORL")</f>
        <v>ORL</v>
      </c>
      <c r="D146" s="4" t="str">
        <f>IFERROR(__xludf.DUMMYFUNCTION("""COMPUTED_VALUE"""),"Jett Howard")</f>
        <v>Jett Howard</v>
      </c>
      <c r="E146" s="4" t="str">
        <f>IFERROR(__xludf.DUMMYFUNCTION("""COMPUTED_VALUE"""),"Michigan")</f>
        <v>Michigan</v>
      </c>
      <c r="F146" s="4">
        <f>IFERROR(__xludf.DUMMYFUNCTION("""COMPUTED_VALUE"""),3.0)</f>
        <v>3</v>
      </c>
      <c r="G146" s="4">
        <f>IFERROR(__xludf.DUMMYFUNCTION("""COMPUTED_VALUE"""),93.0)</f>
        <v>93</v>
      </c>
      <c r="H146" s="4">
        <f>IFERROR(__xludf.DUMMYFUNCTION("""COMPUTED_VALUE"""),925.0)</f>
        <v>925</v>
      </c>
      <c r="I146" s="4">
        <f>IFERROR(__xludf.DUMMYFUNCTION("""COMPUTED_VALUE"""),380.0)</f>
        <v>380</v>
      </c>
      <c r="J146" s="4">
        <f>IFERROR(__xludf.DUMMYFUNCTION("""COMPUTED_VALUE"""),94.0)</f>
        <v>94</v>
      </c>
      <c r="K146" s="4">
        <f>IFERROR(__xludf.DUMMYFUNCTION("""COMPUTED_VALUE"""),61.0)</f>
        <v>61</v>
      </c>
      <c r="L146" s="4">
        <f>IFERROR(__xludf.DUMMYFUNCTION("""COMPUTED_VALUE"""),0.385)</f>
        <v>0.385</v>
      </c>
      <c r="M146" s="4">
        <f>IFERROR(__xludf.DUMMYFUNCTION("""COMPUTED_VALUE"""),0.31)</f>
        <v>0.31</v>
      </c>
      <c r="N146" s="4">
        <f>IFERROR(__xludf.DUMMYFUNCTION("""COMPUTED_VALUE"""),0.719)</f>
        <v>0.719</v>
      </c>
      <c r="O146" s="4">
        <f>IFERROR(__xludf.DUMMYFUNCTION("""COMPUTED_VALUE"""),9.9)</f>
        <v>9.9</v>
      </c>
      <c r="P146" s="4">
        <f>IFERROR(__xludf.DUMMYFUNCTION("""COMPUTED_VALUE"""),4.1)</f>
        <v>4.1</v>
      </c>
      <c r="Q146" s="4">
        <f>IFERROR(__xludf.DUMMYFUNCTION("""COMPUTED_VALUE"""),1.0)</f>
        <v>1</v>
      </c>
      <c r="R146" s="4">
        <f>IFERROR(__xludf.DUMMYFUNCTION("""COMPUTED_VALUE"""),0.7)</f>
        <v>0.7</v>
      </c>
      <c r="S146" s="4">
        <f>IFERROR(__xludf.DUMMYFUNCTION("""COMPUTED_VALUE"""),0.6)</f>
        <v>0.6</v>
      </c>
      <c r="T146" s="4">
        <f>IFERROR(__xludf.DUMMYFUNCTION("""COMPUTED_VALUE"""),0.031)</f>
        <v>0.031</v>
      </c>
      <c r="U146" s="4">
        <f>IFERROR(__xludf.DUMMYFUNCTION("""COMPUTED_VALUE"""),-4.0)</f>
        <v>-4</v>
      </c>
      <c r="V146" s="4">
        <f>IFERROR(__xludf.DUMMYFUNCTION("""COMPUTED_VALUE"""),-0.5)</f>
        <v>-0.5</v>
      </c>
    </row>
    <row r="147">
      <c r="A147" s="4">
        <f>IFERROR(__xludf.DUMMYFUNCTION("""COMPUTED_VALUE"""),12.0)</f>
        <v>12</v>
      </c>
      <c r="B147" s="4">
        <f>IFERROR(__xludf.DUMMYFUNCTION("""COMPUTED_VALUE"""),12.0)</f>
        <v>12</v>
      </c>
      <c r="C147" s="4" t="str">
        <f>IFERROR(__xludf.DUMMYFUNCTION("""COMPUTED_VALUE"""),"OKC")</f>
        <v>OKC</v>
      </c>
      <c r="D147" s="4" t="str">
        <f>IFERROR(__xludf.DUMMYFUNCTION("""COMPUTED_VALUE"""),"Dereck Lively II")</f>
        <v>Dereck Lively II</v>
      </c>
      <c r="E147" s="4" t="str">
        <f>IFERROR(__xludf.DUMMYFUNCTION("""COMPUTED_VALUE"""),"Duke")</f>
        <v>Duke</v>
      </c>
      <c r="F147" s="4">
        <f>IFERROR(__xludf.DUMMYFUNCTION("""COMPUTED_VALUE"""),3.0)</f>
        <v>3</v>
      </c>
      <c r="G147" s="4">
        <f>IFERROR(__xludf.DUMMYFUNCTION("""COMPUTED_VALUE"""),98.0)</f>
        <v>98</v>
      </c>
      <c r="H147" s="4">
        <f>IFERROR(__xludf.DUMMYFUNCTION("""COMPUTED_VALUE"""),2242.0)</f>
        <v>2242</v>
      </c>
      <c r="I147" s="4">
        <f>IFERROR(__xludf.DUMMYFUNCTION("""COMPUTED_VALUE"""),827.0)</f>
        <v>827</v>
      </c>
      <c r="J147" s="4">
        <f>IFERROR(__xludf.DUMMYFUNCTION("""COMPUTED_VALUE"""),685.0)</f>
        <v>685</v>
      </c>
      <c r="K147" s="4">
        <f>IFERROR(__xludf.DUMMYFUNCTION("""COMPUTED_VALUE"""),158.0)</f>
        <v>158</v>
      </c>
      <c r="L147" s="4">
        <f>IFERROR(__xludf.DUMMYFUNCTION("""COMPUTED_VALUE"""),0.725)</f>
        <v>0.725</v>
      </c>
      <c r="M147" s="4">
        <f>IFERROR(__xludf.DUMMYFUNCTION("""COMPUTED_VALUE"""),0.0)</f>
        <v>0</v>
      </c>
      <c r="N147" s="4">
        <f>IFERROR(__xludf.DUMMYFUNCTION("""COMPUTED_VALUE"""),0.579)</f>
        <v>0.579</v>
      </c>
      <c r="O147" s="4">
        <f>IFERROR(__xludf.DUMMYFUNCTION("""COMPUTED_VALUE"""),22.9)</f>
        <v>22.9</v>
      </c>
      <c r="P147" s="4">
        <f>IFERROR(__xludf.DUMMYFUNCTION("""COMPUTED_VALUE"""),8.4)</f>
        <v>8.4</v>
      </c>
      <c r="Q147" s="4">
        <f>IFERROR(__xludf.DUMMYFUNCTION("""COMPUTED_VALUE"""),7.0)</f>
        <v>7</v>
      </c>
      <c r="R147" s="4">
        <f>IFERROR(__xludf.DUMMYFUNCTION("""COMPUTED_VALUE"""),1.6)</f>
        <v>1.6</v>
      </c>
      <c r="S147" s="4">
        <f>IFERROR(__xludf.DUMMYFUNCTION("""COMPUTED_VALUE"""),8.7)</f>
        <v>8.7</v>
      </c>
      <c r="T147" s="4">
        <f>IFERROR(__xludf.DUMMYFUNCTION("""COMPUTED_VALUE"""),0.187)</f>
        <v>0.187</v>
      </c>
      <c r="U147" s="4">
        <f>IFERROR(__xludf.DUMMYFUNCTION("""COMPUTED_VALUE"""),1.5)</f>
        <v>1.5</v>
      </c>
      <c r="V147" s="4">
        <f>IFERROR(__xludf.DUMMYFUNCTION("""COMPUTED_VALUE"""),2.0)</f>
        <v>2</v>
      </c>
    </row>
    <row r="148">
      <c r="A148" s="4">
        <f>IFERROR(__xludf.DUMMYFUNCTION("""COMPUTED_VALUE"""),13.0)</f>
        <v>13</v>
      </c>
      <c r="B148" s="4">
        <f>IFERROR(__xludf.DUMMYFUNCTION("""COMPUTED_VALUE"""),13.0)</f>
        <v>13</v>
      </c>
      <c r="C148" s="4" t="str">
        <f>IFERROR(__xludf.DUMMYFUNCTION("""COMPUTED_VALUE"""),"TOR")</f>
        <v>TOR</v>
      </c>
      <c r="D148" s="4" t="str">
        <f>IFERROR(__xludf.DUMMYFUNCTION("""COMPUTED_VALUE"""),"Gradey Dick")</f>
        <v>Gradey Dick</v>
      </c>
      <c r="E148" s="4" t="str">
        <f>IFERROR(__xludf.DUMMYFUNCTION("""COMPUTED_VALUE"""),"Kansas")</f>
        <v>Kansas</v>
      </c>
      <c r="F148" s="4">
        <f>IFERROR(__xludf.DUMMYFUNCTION("""COMPUTED_VALUE"""),3.0)</f>
        <v>3</v>
      </c>
      <c r="G148" s="4">
        <f>IFERROR(__xludf.DUMMYFUNCTION("""COMPUTED_VALUE"""),136.0)</f>
        <v>136</v>
      </c>
      <c r="H148" s="4">
        <f>IFERROR(__xludf.DUMMYFUNCTION("""COMPUTED_VALUE"""),3213.0)</f>
        <v>3213</v>
      </c>
      <c r="I148" s="4">
        <f>IFERROR(__xludf.DUMMYFUNCTION("""COMPUTED_VALUE"""),1438.0)</f>
        <v>1438</v>
      </c>
      <c r="J148" s="4">
        <f>IFERROR(__xludf.DUMMYFUNCTION("""COMPUTED_VALUE"""),370.0)</f>
        <v>370</v>
      </c>
      <c r="K148" s="4">
        <f>IFERROR(__xludf.DUMMYFUNCTION("""COMPUTED_VALUE"""),181.0)</f>
        <v>181</v>
      </c>
      <c r="L148" s="4">
        <f>IFERROR(__xludf.DUMMYFUNCTION("""COMPUTED_VALUE"""),0.416)</f>
        <v>0.416</v>
      </c>
      <c r="M148" s="4">
        <f>IFERROR(__xludf.DUMMYFUNCTION("""COMPUTED_VALUE"""),0.352)</f>
        <v>0.352</v>
      </c>
      <c r="N148" s="4">
        <f>IFERROR(__xludf.DUMMYFUNCTION("""COMPUTED_VALUE"""),0.855)</f>
        <v>0.855</v>
      </c>
      <c r="O148" s="4">
        <f>IFERROR(__xludf.DUMMYFUNCTION("""COMPUTED_VALUE"""),23.6)</f>
        <v>23.6</v>
      </c>
      <c r="P148" s="4">
        <f>IFERROR(__xludf.DUMMYFUNCTION("""COMPUTED_VALUE"""),10.6)</f>
        <v>10.6</v>
      </c>
      <c r="Q148" s="4">
        <f>IFERROR(__xludf.DUMMYFUNCTION("""COMPUTED_VALUE"""),2.7)</f>
        <v>2.7</v>
      </c>
      <c r="R148" s="4">
        <f>IFERROR(__xludf.DUMMYFUNCTION("""COMPUTED_VALUE"""),1.3)</f>
        <v>1.3</v>
      </c>
      <c r="S148" s="4">
        <f>IFERROR(__xludf.DUMMYFUNCTION("""COMPUTED_VALUE"""),2.3)</f>
        <v>2.3</v>
      </c>
      <c r="T148" s="4">
        <f>IFERROR(__xludf.DUMMYFUNCTION("""COMPUTED_VALUE"""),0.034)</f>
        <v>0.034</v>
      </c>
      <c r="U148" s="4">
        <f>IFERROR(__xludf.DUMMYFUNCTION("""COMPUTED_VALUE"""),-4.0)</f>
        <v>-4</v>
      </c>
      <c r="V148" s="4">
        <f>IFERROR(__xludf.DUMMYFUNCTION("""COMPUTED_VALUE"""),-1.6)</f>
        <v>-1.6</v>
      </c>
    </row>
    <row r="149">
      <c r="A149" s="4">
        <f>IFERROR(__xludf.DUMMYFUNCTION("""COMPUTED_VALUE"""),14.0)</f>
        <v>14</v>
      </c>
      <c r="B149" s="4">
        <f>IFERROR(__xludf.DUMMYFUNCTION("""COMPUTED_VALUE"""),14.0)</f>
        <v>14</v>
      </c>
      <c r="C149" s="4" t="str">
        <f>IFERROR(__xludf.DUMMYFUNCTION("""COMPUTED_VALUE"""),"NOP")</f>
        <v>NOP</v>
      </c>
      <c r="D149" s="4" t="str">
        <f>IFERROR(__xludf.DUMMYFUNCTION("""COMPUTED_VALUE"""),"Jordan Hawkins")</f>
        <v>Jordan Hawkins</v>
      </c>
      <c r="E149" s="4" t="str">
        <f>IFERROR(__xludf.DUMMYFUNCTION("""COMPUTED_VALUE"""),"UConn")</f>
        <v>UConn</v>
      </c>
      <c r="F149" s="4">
        <f>IFERROR(__xludf.DUMMYFUNCTION("""COMPUTED_VALUE"""),3.0)</f>
        <v>3</v>
      </c>
      <c r="G149" s="4">
        <f>IFERROR(__xludf.DUMMYFUNCTION("""COMPUTED_VALUE"""),141.0)</f>
        <v>141</v>
      </c>
      <c r="H149" s="4">
        <f>IFERROR(__xludf.DUMMYFUNCTION("""COMPUTED_VALUE"""),2761.0)</f>
        <v>2761</v>
      </c>
      <c r="I149" s="4">
        <f>IFERROR(__xludf.DUMMYFUNCTION("""COMPUTED_VALUE"""),1225.0)</f>
        <v>1225</v>
      </c>
      <c r="J149" s="4">
        <f>IFERROR(__xludf.DUMMYFUNCTION("""COMPUTED_VALUE"""),337.0)</f>
        <v>337</v>
      </c>
      <c r="K149" s="4">
        <f>IFERROR(__xludf.DUMMYFUNCTION("""COMPUTED_VALUE"""),153.0)</f>
        <v>153</v>
      </c>
      <c r="L149" s="4">
        <f>IFERROR(__xludf.DUMMYFUNCTION("""COMPUTED_VALUE"""),0.373)</f>
        <v>0.373</v>
      </c>
      <c r="M149" s="4">
        <f>IFERROR(__xludf.DUMMYFUNCTION("""COMPUTED_VALUE"""),0.345)</f>
        <v>0.345</v>
      </c>
      <c r="N149" s="4">
        <f>IFERROR(__xludf.DUMMYFUNCTION("""COMPUTED_VALUE"""),0.819)</f>
        <v>0.819</v>
      </c>
      <c r="O149" s="4">
        <f>IFERROR(__xludf.DUMMYFUNCTION("""COMPUTED_VALUE"""),19.6)</f>
        <v>19.6</v>
      </c>
      <c r="P149" s="4">
        <f>IFERROR(__xludf.DUMMYFUNCTION("""COMPUTED_VALUE"""),8.7)</f>
        <v>8.7</v>
      </c>
      <c r="Q149" s="4">
        <f>IFERROR(__xludf.DUMMYFUNCTION("""COMPUTED_VALUE"""),2.4)</f>
        <v>2.4</v>
      </c>
      <c r="R149" s="4">
        <f>IFERROR(__xludf.DUMMYFUNCTION("""COMPUTED_VALUE"""),1.1)</f>
        <v>1.1</v>
      </c>
      <c r="S149" s="4">
        <f>IFERROR(__xludf.DUMMYFUNCTION("""COMPUTED_VALUE"""),0.4)</f>
        <v>0.4</v>
      </c>
      <c r="T149" s="4">
        <f>IFERROR(__xludf.DUMMYFUNCTION("""COMPUTED_VALUE"""),0.007)</f>
        <v>0.007</v>
      </c>
      <c r="U149" s="4">
        <f>IFERROR(__xludf.DUMMYFUNCTION("""COMPUTED_VALUE"""),-4.6)</f>
        <v>-4.6</v>
      </c>
      <c r="V149" s="4">
        <f>IFERROR(__xludf.DUMMYFUNCTION("""COMPUTED_VALUE"""),-1.8)</f>
        <v>-1.8</v>
      </c>
    </row>
    <row r="150">
      <c r="A150" s="4">
        <f>IFERROR(__xludf.DUMMYFUNCTION("""COMPUTED_VALUE"""),15.0)</f>
        <v>15</v>
      </c>
      <c r="B150" s="4">
        <f>IFERROR(__xludf.DUMMYFUNCTION("""COMPUTED_VALUE"""),15.0)</f>
        <v>15</v>
      </c>
      <c r="C150" s="4" t="str">
        <f>IFERROR(__xludf.DUMMYFUNCTION("""COMPUTED_VALUE"""),"ATL")</f>
        <v>ATL</v>
      </c>
      <c r="D150" s="4" t="str">
        <f>IFERROR(__xludf.DUMMYFUNCTION("""COMPUTED_VALUE"""),"Kobe Bufkin")</f>
        <v>Kobe Bufkin</v>
      </c>
      <c r="E150" s="4" t="str">
        <f>IFERROR(__xludf.DUMMYFUNCTION("""COMPUTED_VALUE"""),"Michigan")</f>
        <v>Michigan</v>
      </c>
      <c r="F150" s="4">
        <f>IFERROR(__xludf.DUMMYFUNCTION("""COMPUTED_VALUE"""),2.0)</f>
        <v>2</v>
      </c>
      <c r="G150" s="4">
        <f>IFERROR(__xludf.DUMMYFUNCTION("""COMPUTED_VALUE"""),27.0)</f>
        <v>27</v>
      </c>
      <c r="H150" s="4">
        <f>IFERROR(__xludf.DUMMYFUNCTION("""COMPUTED_VALUE"""),320.0)</f>
        <v>320</v>
      </c>
      <c r="I150" s="4">
        <f>IFERROR(__xludf.DUMMYFUNCTION("""COMPUTED_VALUE"""),134.0)</f>
        <v>134</v>
      </c>
      <c r="J150" s="4">
        <f>IFERROR(__xludf.DUMMYFUNCTION("""COMPUTED_VALUE"""),54.0)</f>
        <v>54</v>
      </c>
      <c r="K150" s="4">
        <f>IFERROR(__xludf.DUMMYFUNCTION("""COMPUTED_VALUE"""),44.0)</f>
        <v>44</v>
      </c>
      <c r="L150" s="4">
        <f>IFERROR(__xludf.DUMMYFUNCTION("""COMPUTED_VALUE"""),0.374)</f>
        <v>0.374</v>
      </c>
      <c r="M150" s="4">
        <f>IFERROR(__xludf.DUMMYFUNCTION("""COMPUTED_VALUE"""),0.22)</f>
        <v>0.22</v>
      </c>
      <c r="N150" s="4">
        <f>IFERROR(__xludf.DUMMYFUNCTION("""COMPUTED_VALUE"""),0.654)</f>
        <v>0.654</v>
      </c>
      <c r="O150" s="4">
        <f>IFERROR(__xludf.DUMMYFUNCTION("""COMPUTED_VALUE"""),11.9)</f>
        <v>11.9</v>
      </c>
      <c r="P150" s="4">
        <f>IFERROR(__xludf.DUMMYFUNCTION("""COMPUTED_VALUE"""),5.0)</f>
        <v>5</v>
      </c>
      <c r="Q150" s="4">
        <f>IFERROR(__xludf.DUMMYFUNCTION("""COMPUTED_VALUE"""),2.0)</f>
        <v>2</v>
      </c>
      <c r="R150" s="4">
        <f>IFERROR(__xludf.DUMMYFUNCTION("""COMPUTED_VALUE"""),1.6)</f>
        <v>1.6</v>
      </c>
      <c r="S150" s="4">
        <f>IFERROR(__xludf.DUMMYFUNCTION("""COMPUTED_VALUE"""),-0.1)</f>
        <v>-0.1</v>
      </c>
      <c r="T150" s="4">
        <f>IFERROR(__xludf.DUMMYFUNCTION("""COMPUTED_VALUE"""),-0.012)</f>
        <v>-0.012</v>
      </c>
      <c r="U150" s="4">
        <f>IFERROR(__xludf.DUMMYFUNCTION("""COMPUTED_VALUE"""),-4.3)</f>
        <v>-4.3</v>
      </c>
      <c r="V150" s="4">
        <f>IFERROR(__xludf.DUMMYFUNCTION("""COMPUTED_VALUE"""),-0.2)</f>
        <v>-0.2</v>
      </c>
    </row>
    <row r="151">
      <c r="A151" s="4">
        <f>IFERROR(__xludf.DUMMYFUNCTION("""COMPUTED_VALUE"""),16.0)</f>
        <v>16</v>
      </c>
      <c r="B151" s="4">
        <f>IFERROR(__xludf.DUMMYFUNCTION("""COMPUTED_VALUE"""),16.0)</f>
        <v>16</v>
      </c>
      <c r="C151" s="4" t="str">
        <f>IFERROR(__xludf.DUMMYFUNCTION("""COMPUTED_VALUE"""),"UTA")</f>
        <v>UTA</v>
      </c>
      <c r="D151" s="4" t="str">
        <f>IFERROR(__xludf.DUMMYFUNCTION("""COMPUTED_VALUE"""),"Keyonte George")</f>
        <v>Keyonte George</v>
      </c>
      <c r="E151" s="4" t="str">
        <f>IFERROR(__xludf.DUMMYFUNCTION("""COMPUTED_VALUE"""),"Baylor")</f>
        <v>Baylor</v>
      </c>
      <c r="F151" s="4">
        <f>IFERROR(__xludf.DUMMYFUNCTION("""COMPUTED_VALUE"""),3.0)</f>
        <v>3</v>
      </c>
      <c r="G151" s="4">
        <f>IFERROR(__xludf.DUMMYFUNCTION("""COMPUTED_VALUE"""),162.0)</f>
        <v>162</v>
      </c>
      <c r="H151" s="4">
        <f>IFERROR(__xludf.DUMMYFUNCTION("""COMPUTED_VALUE"""),4813.0)</f>
        <v>4813</v>
      </c>
      <c r="I151" s="4">
        <f>IFERROR(__xludf.DUMMYFUNCTION("""COMPUTED_VALUE"""),2555.0)</f>
        <v>2555</v>
      </c>
      <c r="J151" s="4">
        <f>IFERROR(__xludf.DUMMYFUNCTION("""COMPUTED_VALUE"""),543.0)</f>
        <v>543</v>
      </c>
      <c r="K151" s="4">
        <f>IFERROR(__xludf.DUMMYFUNCTION("""COMPUTED_VALUE"""),847.0)</f>
        <v>847</v>
      </c>
      <c r="L151" s="4">
        <f>IFERROR(__xludf.DUMMYFUNCTION("""COMPUTED_VALUE"""),0.4)</f>
        <v>0.4</v>
      </c>
      <c r="M151" s="4">
        <f>IFERROR(__xludf.DUMMYFUNCTION("""COMPUTED_VALUE"""),0.337)</f>
        <v>0.337</v>
      </c>
      <c r="N151" s="4">
        <f>IFERROR(__xludf.DUMMYFUNCTION("""COMPUTED_VALUE"""),0.844)</f>
        <v>0.844</v>
      </c>
      <c r="O151" s="4">
        <f>IFERROR(__xludf.DUMMYFUNCTION("""COMPUTED_VALUE"""),29.7)</f>
        <v>29.7</v>
      </c>
      <c r="P151" s="4">
        <f>IFERROR(__xludf.DUMMYFUNCTION("""COMPUTED_VALUE"""),15.8)</f>
        <v>15.8</v>
      </c>
      <c r="Q151" s="4">
        <f>IFERROR(__xludf.DUMMYFUNCTION("""COMPUTED_VALUE"""),3.4)</f>
        <v>3.4</v>
      </c>
      <c r="R151" s="4">
        <f>IFERROR(__xludf.DUMMYFUNCTION("""COMPUTED_VALUE"""),5.2)</f>
        <v>5.2</v>
      </c>
      <c r="S151" s="4">
        <f>IFERROR(__xludf.DUMMYFUNCTION("""COMPUTED_VALUE"""),1.8)</f>
        <v>1.8</v>
      </c>
      <c r="T151" s="4">
        <f>IFERROR(__xludf.DUMMYFUNCTION("""COMPUTED_VALUE"""),0.018)</f>
        <v>0.018</v>
      </c>
      <c r="U151" s="4">
        <f>IFERROR(__xludf.DUMMYFUNCTION("""COMPUTED_VALUE"""),-3.0)</f>
        <v>-3</v>
      </c>
      <c r="V151" s="4">
        <f>IFERROR(__xludf.DUMMYFUNCTION("""COMPUTED_VALUE"""),-1.2)</f>
        <v>-1.2</v>
      </c>
    </row>
    <row r="152">
      <c r="A152" s="4">
        <f>IFERROR(__xludf.DUMMYFUNCTION("""COMPUTED_VALUE"""),17.0)</f>
        <v>17</v>
      </c>
      <c r="B152" s="4">
        <f>IFERROR(__xludf.DUMMYFUNCTION("""COMPUTED_VALUE"""),17.0)</f>
        <v>17</v>
      </c>
      <c r="C152" s="4" t="str">
        <f>IFERROR(__xludf.DUMMYFUNCTION("""COMPUTED_VALUE"""),"LAL")</f>
        <v>LAL</v>
      </c>
      <c r="D152" s="4" t="str">
        <f>IFERROR(__xludf.DUMMYFUNCTION("""COMPUTED_VALUE"""),"Jalen Hood-Schifino")</f>
        <v>Jalen Hood-Schifino</v>
      </c>
      <c r="E152" s="4" t="str">
        <f>IFERROR(__xludf.DUMMYFUNCTION("""COMPUTED_VALUE"""),"Indiana")</f>
        <v>Indiana</v>
      </c>
      <c r="F152" s="4">
        <f>IFERROR(__xludf.DUMMYFUNCTION("""COMPUTED_VALUE"""),2.0)</f>
        <v>2</v>
      </c>
      <c r="G152" s="4">
        <f>IFERROR(__xludf.DUMMYFUNCTION("""COMPUTED_VALUE"""),36.0)</f>
        <v>36</v>
      </c>
      <c r="H152" s="4">
        <f>IFERROR(__xludf.DUMMYFUNCTION("""COMPUTED_VALUE"""),424.0)</f>
        <v>424</v>
      </c>
      <c r="I152" s="4">
        <f>IFERROR(__xludf.DUMMYFUNCTION("""COMPUTED_VALUE"""),140.0)</f>
        <v>140</v>
      </c>
      <c r="J152" s="4">
        <f>IFERROR(__xludf.DUMMYFUNCTION("""COMPUTED_VALUE"""),40.0)</f>
        <v>40</v>
      </c>
      <c r="K152" s="4">
        <f>IFERROR(__xludf.DUMMYFUNCTION("""COMPUTED_VALUE"""),45.0)</f>
        <v>45</v>
      </c>
      <c r="L152" s="4">
        <f>IFERROR(__xludf.DUMMYFUNCTION("""COMPUTED_VALUE"""),0.329)</f>
        <v>0.329</v>
      </c>
      <c r="M152" s="4">
        <f>IFERROR(__xludf.DUMMYFUNCTION("""COMPUTED_VALUE"""),0.262)</f>
        <v>0.262</v>
      </c>
      <c r="N152" s="4">
        <f>IFERROR(__xludf.DUMMYFUNCTION("""COMPUTED_VALUE"""),0.732)</f>
        <v>0.732</v>
      </c>
      <c r="O152" s="4">
        <f>IFERROR(__xludf.DUMMYFUNCTION("""COMPUTED_VALUE"""),11.8)</f>
        <v>11.8</v>
      </c>
      <c r="P152" s="4">
        <f>IFERROR(__xludf.DUMMYFUNCTION("""COMPUTED_VALUE"""),3.9)</f>
        <v>3.9</v>
      </c>
      <c r="Q152" s="4">
        <f>IFERROR(__xludf.DUMMYFUNCTION("""COMPUTED_VALUE"""),1.1)</f>
        <v>1.1</v>
      </c>
      <c r="R152" s="4">
        <f>IFERROR(__xludf.DUMMYFUNCTION("""COMPUTED_VALUE"""),1.3)</f>
        <v>1.3</v>
      </c>
      <c r="S152" s="4">
        <f>IFERROR(__xludf.DUMMYFUNCTION("""COMPUTED_VALUE"""),-0.6)</f>
        <v>-0.6</v>
      </c>
      <c r="T152" s="4">
        <f>IFERROR(__xludf.DUMMYFUNCTION("""COMPUTED_VALUE"""),-0.068)</f>
        <v>-0.068</v>
      </c>
      <c r="U152" s="4">
        <f>IFERROR(__xludf.DUMMYFUNCTION("""COMPUTED_VALUE"""),-9.3)</f>
        <v>-9.3</v>
      </c>
      <c r="V152" s="4">
        <f>IFERROR(__xludf.DUMMYFUNCTION("""COMPUTED_VALUE"""),-0.8)</f>
        <v>-0.8</v>
      </c>
    </row>
    <row r="153">
      <c r="A153" s="4">
        <f>IFERROR(__xludf.DUMMYFUNCTION("""COMPUTED_VALUE"""),18.0)</f>
        <v>18</v>
      </c>
      <c r="B153" s="4">
        <f>IFERROR(__xludf.DUMMYFUNCTION("""COMPUTED_VALUE"""),18.0)</f>
        <v>18</v>
      </c>
      <c r="C153" s="4" t="str">
        <f>IFERROR(__xludf.DUMMYFUNCTION("""COMPUTED_VALUE"""),"MIA")</f>
        <v>MIA</v>
      </c>
      <c r="D153" s="4" t="str">
        <f>IFERROR(__xludf.DUMMYFUNCTION("""COMPUTED_VALUE"""),"Jaime Jaquez Jr.")</f>
        <v>Jaime Jaquez Jr.</v>
      </c>
      <c r="E153" s="4" t="str">
        <f>IFERROR(__xludf.DUMMYFUNCTION("""COMPUTED_VALUE"""),"UCLA")</f>
        <v>UCLA</v>
      </c>
      <c r="F153" s="4">
        <f>IFERROR(__xludf.DUMMYFUNCTION("""COMPUTED_VALUE"""),3.0)</f>
        <v>3</v>
      </c>
      <c r="G153" s="4">
        <f>IFERROR(__xludf.DUMMYFUNCTION("""COMPUTED_VALUE"""),161.0)</f>
        <v>161</v>
      </c>
      <c r="H153" s="4">
        <f>IFERROR(__xludf.DUMMYFUNCTION("""COMPUTED_VALUE"""),4067.0)</f>
        <v>4067</v>
      </c>
      <c r="I153" s="4">
        <f>IFERROR(__xludf.DUMMYFUNCTION("""COMPUTED_VALUE"""),1770.0)</f>
        <v>1770</v>
      </c>
      <c r="J153" s="4">
        <f>IFERROR(__xludf.DUMMYFUNCTION("""COMPUTED_VALUE"""),699.0)</f>
        <v>699</v>
      </c>
      <c r="K153" s="4">
        <f>IFERROR(__xludf.DUMMYFUNCTION("""COMPUTED_VALUE"""),467.0)</f>
        <v>467</v>
      </c>
      <c r="L153" s="4">
        <f>IFERROR(__xludf.DUMMYFUNCTION("""COMPUTED_VALUE"""),0.485)</f>
        <v>0.485</v>
      </c>
      <c r="M153" s="4">
        <f>IFERROR(__xludf.DUMMYFUNCTION("""COMPUTED_VALUE"""),0.307)</f>
        <v>0.307</v>
      </c>
      <c r="N153" s="4">
        <f>IFERROR(__xludf.DUMMYFUNCTION("""COMPUTED_VALUE"""),0.783)</f>
        <v>0.783</v>
      </c>
      <c r="O153" s="4">
        <f>IFERROR(__xludf.DUMMYFUNCTION("""COMPUTED_VALUE"""),25.3)</f>
        <v>25.3</v>
      </c>
      <c r="P153" s="4">
        <f>IFERROR(__xludf.DUMMYFUNCTION("""COMPUTED_VALUE"""),11.0)</f>
        <v>11</v>
      </c>
      <c r="Q153" s="4">
        <f>IFERROR(__xludf.DUMMYFUNCTION("""COMPUTED_VALUE"""),4.3)</f>
        <v>4.3</v>
      </c>
      <c r="R153" s="4">
        <f>IFERROR(__xludf.DUMMYFUNCTION("""COMPUTED_VALUE"""),2.9)</f>
        <v>2.9</v>
      </c>
      <c r="S153" s="4">
        <f>IFERROR(__xludf.DUMMYFUNCTION("""COMPUTED_VALUE"""),7.8)</f>
        <v>7.8</v>
      </c>
      <c r="T153" s="4">
        <f>IFERROR(__xludf.DUMMYFUNCTION("""COMPUTED_VALUE"""),0.092)</f>
        <v>0.092</v>
      </c>
      <c r="U153" s="4">
        <f>IFERROR(__xludf.DUMMYFUNCTION("""COMPUTED_VALUE"""),-1.1)</f>
        <v>-1.1</v>
      </c>
      <c r="V153" s="4">
        <f>IFERROR(__xludf.DUMMYFUNCTION("""COMPUTED_VALUE"""),0.9)</f>
        <v>0.9</v>
      </c>
    </row>
    <row r="154">
      <c r="A154" s="4">
        <f>IFERROR(__xludf.DUMMYFUNCTION("""COMPUTED_VALUE"""),19.0)</f>
        <v>19</v>
      </c>
      <c r="B154" s="4">
        <f>IFERROR(__xludf.DUMMYFUNCTION("""COMPUTED_VALUE"""),19.0)</f>
        <v>19</v>
      </c>
      <c r="C154" s="4" t="str">
        <f>IFERROR(__xludf.DUMMYFUNCTION("""COMPUTED_VALUE"""),"GSW")</f>
        <v>GSW</v>
      </c>
      <c r="D154" s="4" t="str">
        <f>IFERROR(__xludf.DUMMYFUNCTION("""COMPUTED_VALUE"""),"Brandin Podziemski")</f>
        <v>Brandin Podziemski</v>
      </c>
      <c r="E154" s="4" t="str">
        <f>IFERROR(__xludf.DUMMYFUNCTION("""COMPUTED_VALUE"""),"Santa Clara")</f>
        <v>Santa Clara</v>
      </c>
      <c r="F154" s="4">
        <f>IFERROR(__xludf.DUMMYFUNCTION("""COMPUTED_VALUE"""),3.0)</f>
        <v>3</v>
      </c>
      <c r="G154" s="4">
        <f>IFERROR(__xludf.DUMMYFUNCTION("""COMPUTED_VALUE"""),160.0)</f>
        <v>160</v>
      </c>
      <c r="H154" s="4">
        <f>IFERROR(__xludf.DUMMYFUNCTION("""COMPUTED_VALUE"""),4307.0)</f>
        <v>4307</v>
      </c>
      <c r="I154" s="4">
        <f>IFERROR(__xludf.DUMMYFUNCTION("""COMPUTED_VALUE"""),1705.0)</f>
        <v>1705</v>
      </c>
      <c r="J154" s="4">
        <f>IFERROR(__xludf.DUMMYFUNCTION("""COMPUTED_VALUE"""),852.0)</f>
        <v>852</v>
      </c>
      <c r="K154" s="4">
        <f>IFERROR(__xludf.DUMMYFUNCTION("""COMPUTED_VALUE"""),560.0)</f>
        <v>560</v>
      </c>
      <c r="L154" s="4">
        <f>IFERROR(__xludf.DUMMYFUNCTION("""COMPUTED_VALUE"""),0.448)</f>
        <v>0.448</v>
      </c>
      <c r="M154" s="4">
        <f>IFERROR(__xludf.DUMMYFUNCTION("""COMPUTED_VALUE"""),0.381)</f>
        <v>0.381</v>
      </c>
      <c r="N154" s="4">
        <f>IFERROR(__xludf.DUMMYFUNCTION("""COMPUTED_VALUE"""),0.713)</f>
        <v>0.713</v>
      </c>
      <c r="O154" s="4">
        <f>IFERROR(__xludf.DUMMYFUNCTION("""COMPUTED_VALUE"""),26.9)</f>
        <v>26.9</v>
      </c>
      <c r="P154" s="4">
        <f>IFERROR(__xludf.DUMMYFUNCTION("""COMPUTED_VALUE"""),10.7)</f>
        <v>10.7</v>
      </c>
      <c r="Q154" s="4">
        <f>IFERROR(__xludf.DUMMYFUNCTION("""COMPUTED_VALUE"""),5.3)</f>
        <v>5.3</v>
      </c>
      <c r="R154" s="4">
        <f>IFERROR(__xludf.DUMMYFUNCTION("""COMPUTED_VALUE"""),3.5)</f>
        <v>3.5</v>
      </c>
      <c r="S154" s="4">
        <f>IFERROR(__xludf.DUMMYFUNCTION("""COMPUTED_VALUE"""),9.6)</f>
        <v>9.6</v>
      </c>
      <c r="T154" s="4">
        <f>IFERROR(__xludf.DUMMYFUNCTION("""COMPUTED_VALUE"""),0.107)</f>
        <v>0.107</v>
      </c>
      <c r="U154" s="4">
        <f>IFERROR(__xludf.DUMMYFUNCTION("""COMPUTED_VALUE"""),0.2)</f>
        <v>0.2</v>
      </c>
      <c r="V154" s="4">
        <f>IFERROR(__xludf.DUMMYFUNCTION("""COMPUTED_VALUE"""),2.4)</f>
        <v>2.4</v>
      </c>
    </row>
    <row r="155">
      <c r="A155" s="4">
        <f>IFERROR(__xludf.DUMMYFUNCTION("""COMPUTED_VALUE"""),20.0)</f>
        <v>20</v>
      </c>
      <c r="B155" s="4">
        <f>IFERROR(__xludf.DUMMYFUNCTION("""COMPUTED_VALUE"""),20.0)</f>
        <v>20</v>
      </c>
      <c r="C155" s="4" t="str">
        <f>IFERROR(__xludf.DUMMYFUNCTION("""COMPUTED_VALUE"""),"HOU")</f>
        <v>HOU</v>
      </c>
      <c r="D155" s="4" t="str">
        <f>IFERROR(__xludf.DUMMYFUNCTION("""COMPUTED_VALUE"""),"Cam Whitmore")</f>
        <v>Cam Whitmore</v>
      </c>
      <c r="E155" s="4" t="str">
        <f>IFERROR(__xludf.DUMMYFUNCTION("""COMPUTED_VALUE"""),"Villanova")</f>
        <v>Villanova</v>
      </c>
      <c r="F155" s="4">
        <f>IFERROR(__xludf.DUMMYFUNCTION("""COMPUTED_VALUE"""),3.0)</f>
        <v>3</v>
      </c>
      <c r="G155" s="4">
        <f>IFERROR(__xludf.DUMMYFUNCTION("""COMPUTED_VALUE"""),118.0)</f>
        <v>118</v>
      </c>
      <c r="H155" s="4">
        <f>IFERROR(__xludf.DUMMYFUNCTION("""COMPUTED_VALUE"""),2043.0)</f>
        <v>2043</v>
      </c>
      <c r="I155" s="4">
        <f>IFERROR(__xludf.DUMMYFUNCTION("""COMPUTED_VALUE"""),1245.0)</f>
        <v>1245</v>
      </c>
      <c r="J155" s="4">
        <f>IFERROR(__xludf.DUMMYFUNCTION("""COMPUTED_VALUE"""),389.0)</f>
        <v>389</v>
      </c>
      <c r="K155" s="4">
        <f>IFERROR(__xludf.DUMMYFUNCTION("""COMPUTED_VALUE"""),95.0)</f>
        <v>95</v>
      </c>
      <c r="L155" s="4">
        <f>IFERROR(__xludf.DUMMYFUNCTION("""COMPUTED_VALUE"""),0.453)</f>
        <v>0.453</v>
      </c>
      <c r="M155" s="4">
        <f>IFERROR(__xludf.DUMMYFUNCTION("""COMPUTED_VALUE"""),0.352)</f>
        <v>0.352</v>
      </c>
      <c r="N155" s="4">
        <f>IFERROR(__xludf.DUMMYFUNCTION("""COMPUTED_VALUE"""),0.712)</f>
        <v>0.712</v>
      </c>
      <c r="O155" s="4">
        <f>IFERROR(__xludf.DUMMYFUNCTION("""COMPUTED_VALUE"""),17.3)</f>
        <v>17.3</v>
      </c>
      <c r="P155" s="4">
        <f>IFERROR(__xludf.DUMMYFUNCTION("""COMPUTED_VALUE"""),10.6)</f>
        <v>10.6</v>
      </c>
      <c r="Q155" s="4">
        <f>IFERROR(__xludf.DUMMYFUNCTION("""COMPUTED_VALUE"""),3.3)</f>
        <v>3.3</v>
      </c>
      <c r="R155" s="4">
        <f>IFERROR(__xludf.DUMMYFUNCTION("""COMPUTED_VALUE"""),0.8)</f>
        <v>0.8</v>
      </c>
      <c r="S155" s="4">
        <f>IFERROR(__xludf.DUMMYFUNCTION("""COMPUTED_VALUE"""),3.4)</f>
        <v>3.4</v>
      </c>
      <c r="T155" s="4">
        <f>IFERROR(__xludf.DUMMYFUNCTION("""COMPUTED_VALUE"""),0.079)</f>
        <v>0.079</v>
      </c>
      <c r="U155" s="4">
        <f>IFERROR(__xludf.DUMMYFUNCTION("""COMPUTED_VALUE"""),-0.4)</f>
        <v>-0.4</v>
      </c>
      <c r="V155" s="4">
        <f>IFERROR(__xludf.DUMMYFUNCTION("""COMPUTED_VALUE"""),0.8)</f>
        <v>0.8</v>
      </c>
    </row>
    <row r="156">
      <c r="A156" s="4">
        <f>IFERROR(__xludf.DUMMYFUNCTION("""COMPUTED_VALUE"""),21.0)</f>
        <v>21</v>
      </c>
      <c r="B156" s="4">
        <f>IFERROR(__xludf.DUMMYFUNCTION("""COMPUTED_VALUE"""),21.0)</f>
        <v>21</v>
      </c>
      <c r="C156" s="4" t="str">
        <f>IFERROR(__xludf.DUMMYFUNCTION("""COMPUTED_VALUE"""),"BRK")</f>
        <v>BRK</v>
      </c>
      <c r="D156" s="4" t="str">
        <f>IFERROR(__xludf.DUMMYFUNCTION("""COMPUTED_VALUE"""),"Noah Clowney")</f>
        <v>Noah Clowney</v>
      </c>
      <c r="E156" s="4" t="str">
        <f>IFERROR(__xludf.DUMMYFUNCTION("""COMPUTED_VALUE"""),"Alabama")</f>
        <v>Alabama</v>
      </c>
      <c r="F156" s="4">
        <f>IFERROR(__xludf.DUMMYFUNCTION("""COMPUTED_VALUE"""),3.0)</f>
        <v>3</v>
      </c>
      <c r="G156" s="4">
        <f>IFERROR(__xludf.DUMMYFUNCTION("""COMPUTED_VALUE"""),89.0)</f>
        <v>89</v>
      </c>
      <c r="H156" s="4">
        <f>IFERROR(__xludf.DUMMYFUNCTION("""COMPUTED_VALUE"""),1960.0)</f>
        <v>1960</v>
      </c>
      <c r="I156" s="4">
        <f>IFERROR(__xludf.DUMMYFUNCTION("""COMPUTED_VALUE"""),801.0)</f>
        <v>801</v>
      </c>
      <c r="J156" s="4">
        <f>IFERROR(__xludf.DUMMYFUNCTION("""COMPUTED_VALUE"""),332.0)</f>
        <v>332</v>
      </c>
      <c r="K156" s="4">
        <f>IFERROR(__xludf.DUMMYFUNCTION("""COMPUTED_VALUE"""),93.0)</f>
        <v>93</v>
      </c>
      <c r="L156" s="4">
        <f>IFERROR(__xludf.DUMMYFUNCTION("""COMPUTED_VALUE"""),0.398)</f>
        <v>0.398</v>
      </c>
      <c r="M156" s="4">
        <f>IFERROR(__xludf.DUMMYFUNCTION("""COMPUTED_VALUE"""),0.337)</f>
        <v>0.337</v>
      </c>
      <c r="N156" s="4">
        <f>IFERROR(__xludf.DUMMYFUNCTION("""COMPUTED_VALUE"""),0.804)</f>
        <v>0.804</v>
      </c>
      <c r="O156" s="4">
        <f>IFERROR(__xludf.DUMMYFUNCTION("""COMPUTED_VALUE"""),22.0)</f>
        <v>22</v>
      </c>
      <c r="P156" s="4">
        <f>IFERROR(__xludf.DUMMYFUNCTION("""COMPUTED_VALUE"""),9.0)</f>
        <v>9</v>
      </c>
      <c r="Q156" s="4">
        <f>IFERROR(__xludf.DUMMYFUNCTION("""COMPUTED_VALUE"""),3.7)</f>
        <v>3.7</v>
      </c>
      <c r="R156" s="4">
        <f>IFERROR(__xludf.DUMMYFUNCTION("""COMPUTED_VALUE"""),1.0)</f>
        <v>1</v>
      </c>
      <c r="S156" s="4">
        <f>IFERROR(__xludf.DUMMYFUNCTION("""COMPUTED_VALUE"""),1.7)</f>
        <v>1.7</v>
      </c>
      <c r="T156" s="4">
        <f>IFERROR(__xludf.DUMMYFUNCTION("""COMPUTED_VALUE"""),0.042)</f>
        <v>0.042</v>
      </c>
      <c r="U156" s="4">
        <f>IFERROR(__xludf.DUMMYFUNCTION("""COMPUTED_VALUE"""),-3.1)</f>
        <v>-3.1</v>
      </c>
      <c r="V156" s="4">
        <f>IFERROR(__xludf.DUMMYFUNCTION("""COMPUTED_VALUE"""),-0.5)</f>
        <v>-0.5</v>
      </c>
    </row>
    <row r="157">
      <c r="A157" s="4">
        <f>IFERROR(__xludf.DUMMYFUNCTION("""COMPUTED_VALUE"""),22.0)</f>
        <v>22</v>
      </c>
      <c r="B157" s="4">
        <f>IFERROR(__xludf.DUMMYFUNCTION("""COMPUTED_VALUE"""),22.0)</f>
        <v>22</v>
      </c>
      <c r="C157" s="4" t="str">
        <f>IFERROR(__xludf.DUMMYFUNCTION("""COMPUTED_VALUE"""),"BRK")</f>
        <v>BRK</v>
      </c>
      <c r="D157" s="4" t="str">
        <f>IFERROR(__xludf.DUMMYFUNCTION("""COMPUTED_VALUE"""),"Dariq Whitehead")</f>
        <v>Dariq Whitehead</v>
      </c>
      <c r="E157" s="4" t="str">
        <f>IFERROR(__xludf.DUMMYFUNCTION("""COMPUTED_VALUE"""),"Duke")</f>
        <v>Duke</v>
      </c>
      <c r="F157" s="4">
        <f>IFERROR(__xludf.DUMMYFUNCTION("""COMPUTED_VALUE"""),2.0)</f>
        <v>2</v>
      </c>
      <c r="G157" s="4">
        <f>IFERROR(__xludf.DUMMYFUNCTION("""COMPUTED_VALUE"""),22.0)</f>
        <v>22</v>
      </c>
      <c r="H157" s="4">
        <f>IFERROR(__xludf.DUMMYFUNCTION("""COMPUTED_VALUE"""),270.0)</f>
        <v>270</v>
      </c>
      <c r="I157" s="4">
        <f>IFERROR(__xludf.DUMMYFUNCTION("""COMPUTED_VALUE"""),117.0)</f>
        <v>117</v>
      </c>
      <c r="J157" s="4">
        <f>IFERROR(__xludf.DUMMYFUNCTION("""COMPUTED_VALUE"""),33.0)</f>
        <v>33</v>
      </c>
      <c r="K157" s="4">
        <f>IFERROR(__xludf.DUMMYFUNCTION("""COMPUTED_VALUE"""),15.0)</f>
        <v>15</v>
      </c>
      <c r="L157" s="4">
        <f>IFERROR(__xludf.DUMMYFUNCTION("""COMPUTED_VALUE"""),0.396)</f>
        <v>0.396</v>
      </c>
      <c r="M157" s="4">
        <f>IFERROR(__xludf.DUMMYFUNCTION("""COMPUTED_VALUE"""),0.429)</f>
        <v>0.429</v>
      </c>
      <c r="N157" s="4">
        <f>IFERROR(__xludf.DUMMYFUNCTION("""COMPUTED_VALUE"""),0.571)</f>
        <v>0.571</v>
      </c>
      <c r="O157" s="4">
        <f>IFERROR(__xludf.DUMMYFUNCTION("""COMPUTED_VALUE"""),12.3)</f>
        <v>12.3</v>
      </c>
      <c r="P157" s="4">
        <f>IFERROR(__xludf.DUMMYFUNCTION("""COMPUTED_VALUE"""),5.3)</f>
        <v>5.3</v>
      </c>
      <c r="Q157" s="4">
        <f>IFERROR(__xludf.DUMMYFUNCTION("""COMPUTED_VALUE"""),1.5)</f>
        <v>1.5</v>
      </c>
      <c r="R157" s="4">
        <f>IFERROR(__xludf.DUMMYFUNCTION("""COMPUTED_VALUE"""),0.7)</f>
        <v>0.7</v>
      </c>
      <c r="S157" s="4">
        <f>IFERROR(__xludf.DUMMYFUNCTION("""COMPUTED_VALUE"""),0.0)</f>
        <v>0</v>
      </c>
      <c r="T157" s="4">
        <f>IFERROR(__xludf.DUMMYFUNCTION("""COMPUTED_VALUE"""),0.007)</f>
        <v>0.007</v>
      </c>
      <c r="U157" s="4">
        <f>IFERROR(__xludf.DUMMYFUNCTION("""COMPUTED_VALUE"""),-4.1)</f>
        <v>-4.1</v>
      </c>
      <c r="V157" s="4">
        <f>IFERROR(__xludf.DUMMYFUNCTION("""COMPUTED_VALUE"""),-0.1)</f>
        <v>-0.1</v>
      </c>
    </row>
    <row r="158">
      <c r="A158" s="4">
        <f>IFERROR(__xludf.DUMMYFUNCTION("""COMPUTED_VALUE"""),23.0)</f>
        <v>23</v>
      </c>
      <c r="B158" s="4">
        <f>IFERROR(__xludf.DUMMYFUNCTION("""COMPUTED_VALUE"""),23.0)</f>
        <v>23</v>
      </c>
      <c r="C158" s="4" t="str">
        <f>IFERROR(__xludf.DUMMYFUNCTION("""COMPUTED_VALUE"""),"POR")</f>
        <v>POR</v>
      </c>
      <c r="D158" s="4" t="str">
        <f>IFERROR(__xludf.DUMMYFUNCTION("""COMPUTED_VALUE"""),"Kris Murray")</f>
        <v>Kris Murray</v>
      </c>
      <c r="E158" s="4" t="str">
        <f>IFERROR(__xludf.DUMMYFUNCTION("""COMPUTED_VALUE"""),"Iowa")</f>
        <v>Iowa</v>
      </c>
      <c r="F158" s="4">
        <f>IFERROR(__xludf.DUMMYFUNCTION("""COMPUTED_VALUE"""),3.0)</f>
        <v>3</v>
      </c>
      <c r="G158" s="4">
        <f>IFERROR(__xludf.DUMMYFUNCTION("""COMPUTED_VALUE"""),151.0)</f>
        <v>151</v>
      </c>
      <c r="H158" s="4">
        <f>IFERROR(__xludf.DUMMYFUNCTION("""COMPUTED_VALUE"""),2882.0)</f>
        <v>2882</v>
      </c>
      <c r="I158" s="4">
        <f>IFERROR(__xludf.DUMMYFUNCTION("""COMPUTED_VALUE"""),781.0)</f>
        <v>781</v>
      </c>
      <c r="J158" s="4">
        <f>IFERROR(__xludf.DUMMYFUNCTION("""COMPUTED_VALUE"""),481.0)</f>
        <v>481</v>
      </c>
      <c r="K158" s="4">
        <f>IFERROR(__xludf.DUMMYFUNCTION("""COMPUTED_VALUE"""),170.0)</f>
        <v>170</v>
      </c>
      <c r="L158" s="4">
        <f>IFERROR(__xludf.DUMMYFUNCTION("""COMPUTED_VALUE"""),0.413)</f>
        <v>0.413</v>
      </c>
      <c r="M158" s="4">
        <f>IFERROR(__xludf.DUMMYFUNCTION("""COMPUTED_VALUE"""),0.256)</f>
        <v>0.256</v>
      </c>
      <c r="N158" s="4">
        <f>IFERROR(__xludf.DUMMYFUNCTION("""COMPUTED_VALUE"""),0.573)</f>
        <v>0.573</v>
      </c>
      <c r="O158" s="4">
        <f>IFERROR(__xludf.DUMMYFUNCTION("""COMPUTED_VALUE"""),19.1)</f>
        <v>19.1</v>
      </c>
      <c r="P158" s="4">
        <f>IFERROR(__xludf.DUMMYFUNCTION("""COMPUTED_VALUE"""),5.2)</f>
        <v>5.2</v>
      </c>
      <c r="Q158" s="4">
        <f>IFERROR(__xludf.DUMMYFUNCTION("""COMPUTED_VALUE"""),3.2)</f>
        <v>3.2</v>
      </c>
      <c r="R158" s="4">
        <f>IFERROR(__xludf.DUMMYFUNCTION("""COMPUTED_VALUE"""),1.1)</f>
        <v>1.1</v>
      </c>
      <c r="S158" s="4">
        <f>IFERROR(__xludf.DUMMYFUNCTION("""COMPUTED_VALUE"""),1.8)</f>
        <v>1.8</v>
      </c>
      <c r="T158" s="4">
        <f>IFERROR(__xludf.DUMMYFUNCTION("""COMPUTED_VALUE"""),0.031)</f>
        <v>0.031</v>
      </c>
      <c r="U158" s="4">
        <f>IFERROR(__xludf.DUMMYFUNCTION("""COMPUTED_VALUE"""),-3.2)</f>
        <v>-3.2</v>
      </c>
      <c r="V158" s="4">
        <f>IFERROR(__xludf.DUMMYFUNCTION("""COMPUTED_VALUE"""),-0.9)</f>
        <v>-0.9</v>
      </c>
    </row>
    <row r="159">
      <c r="A159" s="4">
        <f>IFERROR(__xludf.DUMMYFUNCTION("""COMPUTED_VALUE"""),24.0)</f>
        <v>24</v>
      </c>
      <c r="B159" s="4">
        <f>IFERROR(__xludf.DUMMYFUNCTION("""COMPUTED_VALUE"""),24.0)</f>
        <v>24</v>
      </c>
      <c r="C159" s="4" t="str">
        <f>IFERROR(__xludf.DUMMYFUNCTION("""COMPUTED_VALUE"""),"SAC")</f>
        <v>SAC</v>
      </c>
      <c r="D159" s="4" t="str">
        <f>IFERROR(__xludf.DUMMYFUNCTION("""COMPUTED_VALUE"""),"Olivier-Maxence Prosper")</f>
        <v>Olivier-Maxence Prosper</v>
      </c>
      <c r="E159" s="4" t="str">
        <f>IFERROR(__xludf.DUMMYFUNCTION("""COMPUTED_VALUE"""),"Marquette")</f>
        <v>Marquette</v>
      </c>
      <c r="F159" s="4">
        <f>IFERROR(__xludf.DUMMYFUNCTION("""COMPUTED_VALUE"""),3.0)</f>
        <v>3</v>
      </c>
      <c r="G159" s="4">
        <f>IFERROR(__xludf.DUMMYFUNCTION("""COMPUTED_VALUE"""),104.0)</f>
        <v>104</v>
      </c>
      <c r="H159" s="4">
        <f>IFERROR(__xludf.DUMMYFUNCTION("""COMPUTED_VALUE"""),1039.0)</f>
        <v>1039</v>
      </c>
      <c r="I159" s="4">
        <f>IFERROR(__xludf.DUMMYFUNCTION("""COMPUTED_VALUE"""),373.0)</f>
        <v>373</v>
      </c>
      <c r="J159" s="4">
        <f>IFERROR(__xludf.DUMMYFUNCTION("""COMPUTED_VALUE"""),234.0)</f>
        <v>234</v>
      </c>
      <c r="K159" s="4">
        <f>IFERROR(__xludf.DUMMYFUNCTION("""COMPUTED_VALUE"""),68.0)</f>
        <v>68</v>
      </c>
      <c r="L159" s="4">
        <f>IFERROR(__xludf.DUMMYFUNCTION("""COMPUTED_VALUE"""),0.399)</f>
        <v>0.399</v>
      </c>
      <c r="M159" s="4">
        <f>IFERROR(__xludf.DUMMYFUNCTION("""COMPUTED_VALUE"""),0.248)</f>
        <v>0.248</v>
      </c>
      <c r="N159" s="4">
        <f>IFERROR(__xludf.DUMMYFUNCTION("""COMPUTED_VALUE"""),0.698)</f>
        <v>0.698</v>
      </c>
      <c r="O159" s="4">
        <f>IFERROR(__xludf.DUMMYFUNCTION("""COMPUTED_VALUE"""),10.0)</f>
        <v>10</v>
      </c>
      <c r="P159" s="4">
        <f>IFERROR(__xludf.DUMMYFUNCTION("""COMPUTED_VALUE"""),3.6)</f>
        <v>3.6</v>
      </c>
      <c r="Q159" s="4">
        <f>IFERROR(__xludf.DUMMYFUNCTION("""COMPUTED_VALUE"""),2.3)</f>
        <v>2.3</v>
      </c>
      <c r="R159" s="4">
        <f>IFERROR(__xludf.DUMMYFUNCTION("""COMPUTED_VALUE"""),0.7)</f>
        <v>0.7</v>
      </c>
      <c r="S159" s="4">
        <f>IFERROR(__xludf.DUMMYFUNCTION("""COMPUTED_VALUE"""),1.7)</f>
        <v>1.7</v>
      </c>
      <c r="T159" s="4">
        <f>IFERROR(__xludf.DUMMYFUNCTION("""COMPUTED_VALUE"""),0.077)</f>
        <v>0.077</v>
      </c>
      <c r="U159" s="4">
        <f>IFERROR(__xludf.DUMMYFUNCTION("""COMPUTED_VALUE"""),-2.6)</f>
        <v>-2.6</v>
      </c>
      <c r="V159" s="4">
        <f>IFERROR(__xludf.DUMMYFUNCTION("""COMPUTED_VALUE"""),-0.2)</f>
        <v>-0.2</v>
      </c>
    </row>
    <row r="160">
      <c r="A160" s="4">
        <f>IFERROR(__xludf.DUMMYFUNCTION("""COMPUTED_VALUE"""),25.0)</f>
        <v>25</v>
      </c>
      <c r="B160" s="4">
        <f>IFERROR(__xludf.DUMMYFUNCTION("""COMPUTED_VALUE"""),25.0)</f>
        <v>25</v>
      </c>
      <c r="C160" s="4" t="str">
        <f>IFERROR(__xludf.DUMMYFUNCTION("""COMPUTED_VALUE"""),"MEM")</f>
        <v>MEM</v>
      </c>
      <c r="D160" s="4" t="str">
        <f>IFERROR(__xludf.DUMMYFUNCTION("""COMPUTED_VALUE"""),"Marcus Sasser")</f>
        <v>Marcus Sasser</v>
      </c>
      <c r="E160" s="4" t="str">
        <f>IFERROR(__xludf.DUMMYFUNCTION("""COMPUTED_VALUE"""),"Houston")</f>
        <v>Houston</v>
      </c>
      <c r="F160" s="4">
        <f>IFERROR(__xludf.DUMMYFUNCTION("""COMPUTED_VALUE"""),2.0)</f>
        <v>2</v>
      </c>
      <c r="G160" s="4">
        <f>IFERROR(__xludf.DUMMYFUNCTION("""COMPUTED_VALUE"""),128.0)</f>
        <v>128</v>
      </c>
      <c r="H160" s="4">
        <f>IFERROR(__xludf.DUMMYFUNCTION("""COMPUTED_VALUE"""),2162.0)</f>
        <v>2162</v>
      </c>
      <c r="I160" s="4">
        <f>IFERROR(__xludf.DUMMYFUNCTION("""COMPUTED_VALUE"""),961.0)</f>
        <v>961</v>
      </c>
      <c r="J160" s="4">
        <f>IFERROR(__xludf.DUMMYFUNCTION("""COMPUTED_VALUE"""),194.0)</f>
        <v>194</v>
      </c>
      <c r="K160" s="4">
        <f>IFERROR(__xludf.DUMMYFUNCTION("""COMPUTED_VALUE"""),369.0)</f>
        <v>369</v>
      </c>
      <c r="L160" s="4">
        <f>IFERROR(__xludf.DUMMYFUNCTION("""COMPUTED_VALUE"""),0.441)</f>
        <v>0.441</v>
      </c>
      <c r="M160" s="4">
        <f>IFERROR(__xludf.DUMMYFUNCTION("""COMPUTED_VALUE"""),0.378)</f>
        <v>0.378</v>
      </c>
      <c r="N160" s="4">
        <f>IFERROR(__xludf.DUMMYFUNCTION("""COMPUTED_VALUE"""),0.863)</f>
        <v>0.863</v>
      </c>
      <c r="O160" s="4">
        <f>IFERROR(__xludf.DUMMYFUNCTION("""COMPUTED_VALUE"""),16.9)</f>
        <v>16.9</v>
      </c>
      <c r="P160" s="4">
        <f>IFERROR(__xludf.DUMMYFUNCTION("""COMPUTED_VALUE"""),7.5)</f>
        <v>7.5</v>
      </c>
      <c r="Q160" s="4">
        <f>IFERROR(__xludf.DUMMYFUNCTION("""COMPUTED_VALUE"""),1.5)</f>
        <v>1.5</v>
      </c>
      <c r="R160" s="4">
        <f>IFERROR(__xludf.DUMMYFUNCTION("""COMPUTED_VALUE"""),2.9)</f>
        <v>2.9</v>
      </c>
      <c r="S160" s="4">
        <f>IFERROR(__xludf.DUMMYFUNCTION("""COMPUTED_VALUE"""),2.8)</f>
        <v>2.8</v>
      </c>
      <c r="T160" s="4">
        <f>IFERROR(__xludf.DUMMYFUNCTION("""COMPUTED_VALUE"""),0.062)</f>
        <v>0.062</v>
      </c>
      <c r="U160" s="4">
        <f>IFERROR(__xludf.DUMMYFUNCTION("""COMPUTED_VALUE"""),-1.9)</f>
        <v>-1.9</v>
      </c>
      <c r="V160" s="4">
        <f>IFERROR(__xludf.DUMMYFUNCTION("""COMPUTED_VALUE"""),0.1)</f>
        <v>0.1</v>
      </c>
    </row>
    <row r="161">
      <c r="A161" s="4">
        <f>IFERROR(__xludf.DUMMYFUNCTION("""COMPUTED_VALUE"""),26.0)</f>
        <v>26</v>
      </c>
      <c r="B161" s="4">
        <f>IFERROR(__xludf.DUMMYFUNCTION("""COMPUTED_VALUE"""),26.0)</f>
        <v>26</v>
      </c>
      <c r="C161" s="4" t="str">
        <f>IFERROR(__xludf.DUMMYFUNCTION("""COMPUTED_VALUE"""),"IND")</f>
        <v>IND</v>
      </c>
      <c r="D161" s="4" t="str">
        <f>IFERROR(__xludf.DUMMYFUNCTION("""COMPUTED_VALUE"""),"Ben Sheppard")</f>
        <v>Ben Sheppard</v>
      </c>
      <c r="E161" s="4" t="str">
        <f>IFERROR(__xludf.DUMMYFUNCTION("""COMPUTED_VALUE"""),"Belmont")</f>
        <v>Belmont</v>
      </c>
      <c r="F161" s="4">
        <f>IFERROR(__xludf.DUMMYFUNCTION("""COMPUTED_VALUE"""),3.0)</f>
        <v>3</v>
      </c>
      <c r="G161" s="4">
        <f>IFERROR(__xludf.DUMMYFUNCTION("""COMPUTED_VALUE"""),141.0)</f>
        <v>141</v>
      </c>
      <c r="H161" s="4">
        <f>IFERROR(__xludf.DUMMYFUNCTION("""COMPUTED_VALUE"""),2574.0)</f>
        <v>2574</v>
      </c>
      <c r="I161" s="4">
        <f>IFERROR(__xludf.DUMMYFUNCTION("""COMPUTED_VALUE"""),713.0)</f>
        <v>713</v>
      </c>
      <c r="J161" s="4">
        <f>IFERROR(__xludf.DUMMYFUNCTION("""COMPUTED_VALUE"""),351.0)</f>
        <v>351</v>
      </c>
      <c r="K161" s="4">
        <f>IFERROR(__xludf.DUMMYFUNCTION("""COMPUTED_VALUE"""),179.0)</f>
        <v>179</v>
      </c>
      <c r="L161" s="4">
        <f>IFERROR(__xludf.DUMMYFUNCTION("""COMPUTED_VALUE"""),0.391)</f>
        <v>0.391</v>
      </c>
      <c r="M161" s="4">
        <f>IFERROR(__xludf.DUMMYFUNCTION("""COMPUTED_VALUE"""),0.314)</f>
        <v>0.314</v>
      </c>
      <c r="N161" s="4">
        <f>IFERROR(__xludf.DUMMYFUNCTION("""COMPUTED_VALUE"""),0.871)</f>
        <v>0.871</v>
      </c>
      <c r="O161" s="4">
        <f>IFERROR(__xludf.DUMMYFUNCTION("""COMPUTED_VALUE"""),18.3)</f>
        <v>18.3</v>
      </c>
      <c r="P161" s="4">
        <f>IFERROR(__xludf.DUMMYFUNCTION("""COMPUTED_VALUE"""),5.1)</f>
        <v>5.1</v>
      </c>
      <c r="Q161" s="4">
        <f>IFERROR(__xludf.DUMMYFUNCTION("""COMPUTED_VALUE"""),2.5)</f>
        <v>2.5</v>
      </c>
      <c r="R161" s="4">
        <f>IFERROR(__xludf.DUMMYFUNCTION("""COMPUTED_VALUE"""),1.3)</f>
        <v>1.3</v>
      </c>
      <c r="S161" s="4">
        <f>IFERROR(__xludf.DUMMYFUNCTION("""COMPUTED_VALUE"""),2.9)</f>
        <v>2.9</v>
      </c>
      <c r="T161" s="4">
        <f>IFERROR(__xludf.DUMMYFUNCTION("""COMPUTED_VALUE"""),0.054)</f>
        <v>0.054</v>
      </c>
      <c r="U161" s="4">
        <f>IFERROR(__xludf.DUMMYFUNCTION("""COMPUTED_VALUE"""),-3.1)</f>
        <v>-3.1</v>
      </c>
      <c r="V161" s="4">
        <f>IFERROR(__xludf.DUMMYFUNCTION("""COMPUTED_VALUE"""),-0.8)</f>
        <v>-0.8</v>
      </c>
    </row>
    <row r="162">
      <c r="A162" s="4">
        <f>IFERROR(__xludf.DUMMYFUNCTION("""COMPUTED_VALUE"""),27.0)</f>
        <v>27</v>
      </c>
      <c r="B162" s="4">
        <f>IFERROR(__xludf.DUMMYFUNCTION("""COMPUTED_VALUE"""),27.0)</f>
        <v>27</v>
      </c>
      <c r="C162" s="4" t="str">
        <f>IFERROR(__xludf.DUMMYFUNCTION("""COMPUTED_VALUE"""),"CHO")</f>
        <v>CHO</v>
      </c>
      <c r="D162" s="4" t="str">
        <f>IFERROR(__xludf.DUMMYFUNCTION("""COMPUTED_VALUE"""),"Nick Smith Jr.")</f>
        <v>Nick Smith Jr.</v>
      </c>
      <c r="E162" s="4" t="str">
        <f>IFERROR(__xludf.DUMMYFUNCTION("""COMPUTED_VALUE"""),"Arkansas")</f>
        <v>Arkansas</v>
      </c>
      <c r="F162" s="4">
        <f>IFERROR(__xludf.DUMMYFUNCTION("""COMPUTED_VALUE"""),3.0)</f>
        <v>3</v>
      </c>
      <c r="G162" s="4">
        <f>IFERROR(__xludf.DUMMYFUNCTION("""COMPUTED_VALUE"""),118.0)</f>
        <v>118</v>
      </c>
      <c r="H162" s="4">
        <f>IFERROR(__xludf.DUMMYFUNCTION("""COMPUTED_VALUE"""),2194.0)</f>
        <v>2194</v>
      </c>
      <c r="I162" s="4">
        <f>IFERROR(__xludf.DUMMYFUNCTION("""COMPUTED_VALUE"""),938.0)</f>
        <v>938</v>
      </c>
      <c r="J162" s="4">
        <f>IFERROR(__xludf.DUMMYFUNCTION("""COMPUTED_VALUE"""),206.0)</f>
        <v>206</v>
      </c>
      <c r="K162" s="4">
        <f>IFERROR(__xludf.DUMMYFUNCTION("""COMPUTED_VALUE"""),218.0)</f>
        <v>218</v>
      </c>
      <c r="L162" s="4">
        <f>IFERROR(__xludf.DUMMYFUNCTION("""COMPUTED_VALUE"""),0.393)</f>
        <v>0.393</v>
      </c>
      <c r="M162" s="4">
        <f>IFERROR(__xludf.DUMMYFUNCTION("""COMPUTED_VALUE"""),0.373)</f>
        <v>0.373</v>
      </c>
      <c r="N162" s="4">
        <f>IFERROR(__xludf.DUMMYFUNCTION("""COMPUTED_VALUE"""),0.906)</f>
        <v>0.906</v>
      </c>
      <c r="O162" s="4">
        <f>IFERROR(__xludf.DUMMYFUNCTION("""COMPUTED_VALUE"""),18.6)</f>
        <v>18.6</v>
      </c>
      <c r="P162" s="4">
        <f>IFERROR(__xludf.DUMMYFUNCTION("""COMPUTED_VALUE"""),7.9)</f>
        <v>7.9</v>
      </c>
      <c r="Q162" s="4">
        <f>IFERROR(__xludf.DUMMYFUNCTION("""COMPUTED_VALUE"""),1.7)</f>
        <v>1.7</v>
      </c>
      <c r="R162" s="4">
        <f>IFERROR(__xludf.DUMMYFUNCTION("""COMPUTED_VALUE"""),1.8)</f>
        <v>1.8</v>
      </c>
      <c r="S162" s="4">
        <f>IFERROR(__xludf.DUMMYFUNCTION("""COMPUTED_VALUE"""),-1.1)</f>
        <v>-1.1</v>
      </c>
      <c r="T162" s="4">
        <f>IFERROR(__xludf.DUMMYFUNCTION("""COMPUTED_VALUE"""),-0.024)</f>
        <v>-0.024</v>
      </c>
      <c r="U162" s="4">
        <f>IFERROR(__xludf.DUMMYFUNCTION("""COMPUTED_VALUE"""),-5.7)</f>
        <v>-5.7</v>
      </c>
      <c r="V162" s="4">
        <f>IFERROR(__xludf.DUMMYFUNCTION("""COMPUTED_VALUE"""),-2.1)</f>
        <v>-2.1</v>
      </c>
    </row>
    <row r="163">
      <c r="A163" s="4">
        <f>IFERROR(__xludf.DUMMYFUNCTION("""COMPUTED_VALUE"""),28.0)</f>
        <v>28</v>
      </c>
      <c r="B163" s="4">
        <f>IFERROR(__xludf.DUMMYFUNCTION("""COMPUTED_VALUE"""),28.0)</f>
        <v>28</v>
      </c>
      <c r="C163" s="4" t="str">
        <f>IFERROR(__xludf.DUMMYFUNCTION("""COMPUTED_VALUE"""),"UTA")</f>
        <v>UTA</v>
      </c>
      <c r="D163" s="4" t="str">
        <f>IFERROR(__xludf.DUMMYFUNCTION("""COMPUTED_VALUE"""),"Brice Sensabaugh")</f>
        <v>Brice Sensabaugh</v>
      </c>
      <c r="E163" s="4" t="str">
        <f>IFERROR(__xludf.DUMMYFUNCTION("""COMPUTED_VALUE"""),"Ohio State")</f>
        <v>Ohio State</v>
      </c>
      <c r="F163" s="4">
        <f>IFERROR(__xludf.DUMMYFUNCTION("""COMPUTED_VALUE"""),3.0)</f>
        <v>3</v>
      </c>
      <c r="G163" s="4">
        <f>IFERROR(__xludf.DUMMYFUNCTION("""COMPUTED_VALUE"""),122.0)</f>
        <v>122</v>
      </c>
      <c r="H163" s="4">
        <f>IFERROR(__xludf.DUMMYFUNCTION("""COMPUTED_VALUE"""),2320.0)</f>
        <v>2320</v>
      </c>
      <c r="I163" s="4">
        <f>IFERROR(__xludf.DUMMYFUNCTION("""COMPUTED_VALUE"""),1184.0)</f>
        <v>1184</v>
      </c>
      <c r="J163" s="4">
        <f>IFERROR(__xludf.DUMMYFUNCTION("""COMPUTED_VALUE"""),361.0)</f>
        <v>361</v>
      </c>
      <c r="K163" s="4">
        <f>IFERROR(__xludf.DUMMYFUNCTION("""COMPUTED_VALUE"""),186.0)</f>
        <v>186</v>
      </c>
      <c r="L163" s="4">
        <f>IFERROR(__xludf.DUMMYFUNCTION("""COMPUTED_VALUE"""),0.436)</f>
        <v>0.436</v>
      </c>
      <c r="M163" s="4">
        <f>IFERROR(__xludf.DUMMYFUNCTION("""COMPUTED_VALUE"""),0.383)</f>
        <v>0.383</v>
      </c>
      <c r="N163" s="4">
        <f>IFERROR(__xludf.DUMMYFUNCTION("""COMPUTED_VALUE"""),0.889)</f>
        <v>0.889</v>
      </c>
      <c r="O163" s="4">
        <f>IFERROR(__xludf.DUMMYFUNCTION("""COMPUTED_VALUE"""),19.0)</f>
        <v>19</v>
      </c>
      <c r="P163" s="4">
        <f>IFERROR(__xludf.DUMMYFUNCTION("""COMPUTED_VALUE"""),9.7)</f>
        <v>9.7</v>
      </c>
      <c r="Q163" s="4">
        <f>IFERROR(__xludf.DUMMYFUNCTION("""COMPUTED_VALUE"""),3.0)</f>
        <v>3</v>
      </c>
      <c r="R163" s="4">
        <f>IFERROR(__xludf.DUMMYFUNCTION("""COMPUTED_VALUE"""),1.5)</f>
        <v>1.5</v>
      </c>
      <c r="S163" s="4">
        <f>IFERROR(__xludf.DUMMYFUNCTION("""COMPUTED_VALUE"""),1.2)</f>
        <v>1.2</v>
      </c>
      <c r="T163" s="4">
        <f>IFERROR(__xludf.DUMMYFUNCTION("""COMPUTED_VALUE"""),0.026)</f>
        <v>0.026</v>
      </c>
      <c r="U163" s="4">
        <f>IFERROR(__xludf.DUMMYFUNCTION("""COMPUTED_VALUE"""),-2.4)</f>
        <v>-2.4</v>
      </c>
      <c r="V163" s="4">
        <f>IFERROR(__xludf.DUMMYFUNCTION("""COMPUTED_VALUE"""),-0.3)</f>
        <v>-0.3</v>
      </c>
    </row>
    <row r="164">
      <c r="A164" s="4">
        <f>IFERROR(__xludf.DUMMYFUNCTION("""COMPUTED_VALUE"""),29.0)</f>
        <v>29</v>
      </c>
      <c r="B164" s="4">
        <f>IFERROR(__xludf.DUMMYFUNCTION("""COMPUTED_VALUE"""),29.0)</f>
        <v>29</v>
      </c>
      <c r="C164" s="4" t="str">
        <f>IFERROR(__xludf.DUMMYFUNCTION("""COMPUTED_VALUE"""),"IND")</f>
        <v>IND</v>
      </c>
      <c r="D164" s="4" t="str">
        <f>IFERROR(__xludf.DUMMYFUNCTION("""COMPUTED_VALUE"""),"Julian Strawther")</f>
        <v>Julian Strawther</v>
      </c>
      <c r="E164" s="4" t="str">
        <f>IFERROR(__xludf.DUMMYFUNCTION("""COMPUTED_VALUE"""),"Gonzaga")</f>
        <v>Gonzaga</v>
      </c>
      <c r="F164" s="4">
        <f>IFERROR(__xludf.DUMMYFUNCTION("""COMPUTED_VALUE"""),3.0)</f>
        <v>3</v>
      </c>
      <c r="G164" s="4">
        <f>IFERROR(__xludf.DUMMYFUNCTION("""COMPUTED_VALUE"""),124.0)</f>
        <v>124</v>
      </c>
      <c r="H164" s="4">
        <f>IFERROR(__xludf.DUMMYFUNCTION("""COMPUTED_VALUE"""),2000.0)</f>
        <v>2000</v>
      </c>
      <c r="I164" s="4">
        <f>IFERROR(__xludf.DUMMYFUNCTION("""COMPUTED_VALUE"""),848.0)</f>
        <v>848</v>
      </c>
      <c r="J164" s="4">
        <f>IFERROR(__xludf.DUMMYFUNCTION("""COMPUTED_VALUE"""),217.0)</f>
        <v>217</v>
      </c>
      <c r="K164" s="4">
        <f>IFERROR(__xludf.DUMMYFUNCTION("""COMPUTED_VALUE"""),134.0)</f>
        <v>134</v>
      </c>
      <c r="L164" s="4">
        <f>IFERROR(__xludf.DUMMYFUNCTION("""COMPUTED_VALUE"""),0.411)</f>
        <v>0.411</v>
      </c>
      <c r="M164" s="4">
        <f>IFERROR(__xludf.DUMMYFUNCTION("""COMPUTED_VALUE"""),0.324)</f>
        <v>0.324</v>
      </c>
      <c r="N164" s="4">
        <f>IFERROR(__xludf.DUMMYFUNCTION("""COMPUTED_VALUE"""),0.784)</f>
        <v>0.784</v>
      </c>
      <c r="O164" s="4">
        <f>IFERROR(__xludf.DUMMYFUNCTION("""COMPUTED_VALUE"""),16.1)</f>
        <v>16.1</v>
      </c>
      <c r="P164" s="4">
        <f>IFERROR(__xludf.DUMMYFUNCTION("""COMPUTED_VALUE"""),6.8)</f>
        <v>6.8</v>
      </c>
      <c r="Q164" s="4">
        <f>IFERROR(__xludf.DUMMYFUNCTION("""COMPUTED_VALUE"""),1.8)</f>
        <v>1.8</v>
      </c>
      <c r="R164" s="4">
        <f>IFERROR(__xludf.DUMMYFUNCTION("""COMPUTED_VALUE"""),1.1)</f>
        <v>1.1</v>
      </c>
      <c r="S164" s="4">
        <f>IFERROR(__xludf.DUMMYFUNCTION("""COMPUTED_VALUE"""),1.4)</f>
        <v>1.4</v>
      </c>
      <c r="T164" s="4">
        <f>IFERROR(__xludf.DUMMYFUNCTION("""COMPUTED_VALUE"""),0.033)</f>
        <v>0.033</v>
      </c>
      <c r="U164" s="4">
        <f>IFERROR(__xludf.DUMMYFUNCTION("""COMPUTED_VALUE"""),-5.1)</f>
        <v>-5.1</v>
      </c>
      <c r="V164" s="4">
        <f>IFERROR(__xludf.DUMMYFUNCTION("""COMPUTED_VALUE"""),-1.6)</f>
        <v>-1.6</v>
      </c>
    </row>
    <row r="165">
      <c r="A165" s="4">
        <f>IFERROR(__xludf.DUMMYFUNCTION("""COMPUTED_VALUE"""),30.0)</f>
        <v>30</v>
      </c>
      <c r="B165" s="4">
        <f>IFERROR(__xludf.DUMMYFUNCTION("""COMPUTED_VALUE"""),30.0)</f>
        <v>30</v>
      </c>
      <c r="C165" s="4" t="str">
        <f>IFERROR(__xludf.DUMMYFUNCTION("""COMPUTED_VALUE"""),"LAC")</f>
        <v>LAC</v>
      </c>
      <c r="D165" s="4" t="str">
        <f>IFERROR(__xludf.DUMMYFUNCTION("""COMPUTED_VALUE"""),"Kobe Brown")</f>
        <v>Kobe Brown</v>
      </c>
      <c r="E165" s="4" t="str">
        <f>IFERROR(__xludf.DUMMYFUNCTION("""COMPUTED_VALUE"""),"Missouri")</f>
        <v>Missouri</v>
      </c>
      <c r="F165" s="4">
        <f>IFERROR(__xludf.DUMMYFUNCTION("""COMPUTED_VALUE"""),3.0)</f>
        <v>3</v>
      </c>
      <c r="G165" s="4">
        <f>IFERROR(__xludf.DUMMYFUNCTION("""COMPUTED_VALUE"""),98.0)</f>
        <v>98</v>
      </c>
      <c r="H165" s="4">
        <f>IFERROR(__xludf.DUMMYFUNCTION("""COMPUTED_VALUE"""),824.0)</f>
        <v>824</v>
      </c>
      <c r="I165" s="4">
        <f>IFERROR(__xludf.DUMMYFUNCTION("""COMPUTED_VALUE"""),211.0)</f>
        <v>211</v>
      </c>
      <c r="J165" s="4">
        <f>IFERROR(__xludf.DUMMYFUNCTION("""COMPUTED_VALUE"""),153.0)</f>
        <v>153</v>
      </c>
      <c r="K165" s="4">
        <f>IFERROR(__xludf.DUMMYFUNCTION("""COMPUTED_VALUE"""),64.0)</f>
        <v>64</v>
      </c>
      <c r="L165" s="4">
        <f>IFERROR(__xludf.DUMMYFUNCTION("""COMPUTED_VALUE"""),0.426)</f>
        <v>0.426</v>
      </c>
      <c r="M165" s="4">
        <f>IFERROR(__xludf.DUMMYFUNCTION("""COMPUTED_VALUE"""),0.267)</f>
        <v>0.267</v>
      </c>
      <c r="N165" s="4">
        <f>IFERROR(__xludf.DUMMYFUNCTION("""COMPUTED_VALUE"""),0.769)</f>
        <v>0.769</v>
      </c>
      <c r="O165" s="4">
        <f>IFERROR(__xludf.DUMMYFUNCTION("""COMPUTED_VALUE"""),8.4)</f>
        <v>8.4</v>
      </c>
      <c r="P165" s="4">
        <f>IFERROR(__xludf.DUMMYFUNCTION("""COMPUTED_VALUE"""),2.2)</f>
        <v>2.2</v>
      </c>
      <c r="Q165" s="4">
        <f>IFERROR(__xludf.DUMMYFUNCTION("""COMPUTED_VALUE"""),1.6)</f>
        <v>1.6</v>
      </c>
      <c r="R165" s="4">
        <f>IFERROR(__xludf.DUMMYFUNCTION("""COMPUTED_VALUE"""),0.7)</f>
        <v>0.7</v>
      </c>
      <c r="S165" s="4">
        <f>IFERROR(__xludf.DUMMYFUNCTION("""COMPUTED_VALUE"""),1.0)</f>
        <v>1</v>
      </c>
      <c r="T165" s="4">
        <f>IFERROR(__xludf.DUMMYFUNCTION("""COMPUTED_VALUE"""),0.056)</f>
        <v>0.056</v>
      </c>
      <c r="U165" s="4">
        <f>IFERROR(__xludf.DUMMYFUNCTION("""COMPUTED_VALUE"""),-3.1)</f>
        <v>-3.1</v>
      </c>
      <c r="V165" s="4">
        <f>IFERROR(__xludf.DUMMYFUNCTION("""COMPUTED_VALUE"""),-0.2)</f>
        <v>-0.2</v>
      </c>
    </row>
    <row r="166">
      <c r="A166" s="4"/>
      <c r="B166" s="4"/>
      <c r="C166" s="4"/>
      <c r="D166" s="4" t="str">
        <f>IFERROR(__xludf.DUMMYFUNCTION("""COMPUTED_VALUE"""),"Round 2")</f>
        <v>Round 2</v>
      </c>
      <c r="E166" s="4"/>
      <c r="F166" s="4"/>
      <c r="G166" s="4" t="str">
        <f>IFERROR(__xludf.DUMMYFUNCTION("""COMPUTED_VALUE"""),"Totals")</f>
        <v>Totals</v>
      </c>
      <c r="H166" s="4"/>
      <c r="I166" s="4"/>
      <c r="J166" s="4"/>
      <c r="K166" s="4"/>
      <c r="L166" s="4" t="str">
        <f>IFERROR(__xludf.DUMMYFUNCTION("""COMPUTED_VALUE"""),"Shooting")</f>
        <v>Shooting</v>
      </c>
      <c r="M166" s="4"/>
      <c r="N166" s="4"/>
      <c r="O166" s="4" t="str">
        <f>IFERROR(__xludf.DUMMYFUNCTION("""COMPUTED_VALUE"""),"Per Game")</f>
        <v>Per Game</v>
      </c>
      <c r="P166" s="4"/>
      <c r="Q166" s="4"/>
      <c r="R166" s="4"/>
      <c r="S166" s="4" t="str">
        <f>IFERROR(__xludf.DUMMYFUNCTION("""COMPUTED_VALUE"""),"Advanced")</f>
        <v>Advanced</v>
      </c>
      <c r="T166" s="4"/>
      <c r="U166" s="4"/>
      <c r="V166" s="4"/>
    </row>
    <row r="167">
      <c r="A167" s="4" t="str">
        <f>IFERROR(__xludf.DUMMYFUNCTION("""COMPUTED_VALUE"""),"Rk")</f>
        <v>Rk</v>
      </c>
      <c r="B167" s="4" t="str">
        <f>IFERROR(__xludf.DUMMYFUNCTION("""COMPUTED_VALUE"""),"Pk")</f>
        <v>Pk</v>
      </c>
      <c r="C167" s="4" t="str">
        <f>IFERROR(__xludf.DUMMYFUNCTION("""COMPUTED_VALUE"""),"Tm")</f>
        <v>Tm</v>
      </c>
      <c r="D167" s="4" t="str">
        <f>IFERROR(__xludf.DUMMYFUNCTION("""COMPUTED_VALUE"""),"Player")</f>
        <v>Player</v>
      </c>
      <c r="E167" s="4" t="str">
        <f>IFERROR(__xludf.DUMMYFUNCTION("""COMPUTED_VALUE"""),"College")</f>
        <v>College</v>
      </c>
      <c r="F167" s="4" t="str">
        <f>IFERROR(__xludf.DUMMYFUNCTION("""COMPUTED_VALUE"""),"Yrs")</f>
        <v>Yrs</v>
      </c>
      <c r="G167" s="4" t="str">
        <f>IFERROR(__xludf.DUMMYFUNCTION("""COMPUTED_VALUE"""),"G")</f>
        <v>G</v>
      </c>
      <c r="H167" s="4" t="str">
        <f>IFERROR(__xludf.DUMMYFUNCTION("""COMPUTED_VALUE"""),"MP")</f>
        <v>MP</v>
      </c>
      <c r="I167" s="4" t="str">
        <f>IFERROR(__xludf.DUMMYFUNCTION("""COMPUTED_VALUE"""),"PTS")</f>
        <v>PTS</v>
      </c>
      <c r="J167" s="4" t="str">
        <f>IFERROR(__xludf.DUMMYFUNCTION("""COMPUTED_VALUE"""),"TRB")</f>
        <v>TRB</v>
      </c>
      <c r="K167" s="4" t="str">
        <f>IFERROR(__xludf.DUMMYFUNCTION("""COMPUTED_VALUE"""),"AST")</f>
        <v>AST</v>
      </c>
      <c r="L167" s="4" t="str">
        <f>IFERROR(__xludf.DUMMYFUNCTION("""COMPUTED_VALUE"""),"FG%")</f>
        <v>FG%</v>
      </c>
      <c r="M167" s="4" t="str">
        <f>IFERROR(__xludf.DUMMYFUNCTION("""COMPUTED_VALUE"""),"3P%")</f>
        <v>3P%</v>
      </c>
      <c r="N167" s="4" t="str">
        <f>IFERROR(__xludf.DUMMYFUNCTION("""COMPUTED_VALUE"""),"FT%")</f>
        <v>FT%</v>
      </c>
      <c r="O167" s="4" t="str">
        <f>IFERROR(__xludf.DUMMYFUNCTION("""COMPUTED_VALUE"""),"MP")</f>
        <v>MP</v>
      </c>
      <c r="P167" s="4" t="str">
        <f>IFERROR(__xludf.DUMMYFUNCTION("""COMPUTED_VALUE"""),"PTS")</f>
        <v>PTS</v>
      </c>
      <c r="Q167" s="4" t="str">
        <f>IFERROR(__xludf.DUMMYFUNCTION("""COMPUTED_VALUE"""),"TRB")</f>
        <v>TRB</v>
      </c>
      <c r="R167" s="4" t="str">
        <f>IFERROR(__xludf.DUMMYFUNCTION("""COMPUTED_VALUE"""),"AST")</f>
        <v>AST</v>
      </c>
      <c r="S167" s="4" t="str">
        <f>IFERROR(__xludf.DUMMYFUNCTION("""COMPUTED_VALUE"""),"WS")</f>
        <v>WS</v>
      </c>
      <c r="T167" s="4" t="str">
        <f>IFERROR(__xludf.DUMMYFUNCTION("""COMPUTED_VALUE"""),"WS/48")</f>
        <v>WS/48</v>
      </c>
      <c r="U167" s="4" t="str">
        <f>IFERROR(__xludf.DUMMYFUNCTION("""COMPUTED_VALUE"""),"BPM")</f>
        <v>BPM</v>
      </c>
      <c r="V167" s="4" t="str">
        <f>IFERROR(__xludf.DUMMYFUNCTION("""COMPUTED_VALUE"""),"VORP")</f>
        <v>VORP</v>
      </c>
    </row>
    <row r="168">
      <c r="A168" s="4">
        <f>IFERROR(__xludf.DUMMYFUNCTION("""COMPUTED_VALUE"""),31.0)</f>
        <v>31</v>
      </c>
      <c r="B168" s="4">
        <f>IFERROR(__xludf.DUMMYFUNCTION("""COMPUTED_VALUE"""),31.0)</f>
        <v>31</v>
      </c>
      <c r="C168" s="4" t="str">
        <f>IFERROR(__xludf.DUMMYFUNCTION("""COMPUTED_VALUE"""),"DET")</f>
        <v>DET</v>
      </c>
      <c r="D168" s="4" t="str">
        <f>IFERROR(__xludf.DUMMYFUNCTION("""COMPUTED_VALUE"""),"James Nnaji")</f>
        <v>James Nnaji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>
        <f>IFERROR(__xludf.DUMMYFUNCTION("""COMPUTED_VALUE"""),32.0)</f>
        <v>32</v>
      </c>
      <c r="B169" s="4">
        <f>IFERROR(__xludf.DUMMYFUNCTION("""COMPUTED_VALUE"""),32.0)</f>
        <v>32</v>
      </c>
      <c r="C169" s="4" t="str">
        <f>IFERROR(__xludf.DUMMYFUNCTION("""COMPUTED_VALUE"""),"IND")</f>
        <v>IND</v>
      </c>
      <c r="D169" s="4" t="str">
        <f>IFERROR(__xludf.DUMMYFUNCTION("""COMPUTED_VALUE"""),"Jalen Pickett")</f>
        <v>Jalen Pickett</v>
      </c>
      <c r="E169" s="4" t="str">
        <f>IFERROR(__xludf.DUMMYFUNCTION("""COMPUTED_VALUE"""),"Penn State")</f>
        <v>Penn State</v>
      </c>
      <c r="F169" s="4">
        <f>IFERROR(__xludf.DUMMYFUNCTION("""COMPUTED_VALUE"""),3.0)</f>
        <v>3</v>
      </c>
      <c r="G169" s="4">
        <f>IFERROR(__xludf.DUMMYFUNCTION("""COMPUTED_VALUE"""),84.0)</f>
        <v>84</v>
      </c>
      <c r="H169" s="4">
        <f>IFERROR(__xludf.DUMMYFUNCTION("""COMPUTED_VALUE"""),842.0)</f>
        <v>842</v>
      </c>
      <c r="I169" s="4">
        <f>IFERROR(__xludf.DUMMYFUNCTION("""COMPUTED_VALUE"""),260.0)</f>
        <v>260</v>
      </c>
      <c r="J169" s="4">
        <f>IFERROR(__xludf.DUMMYFUNCTION("""COMPUTED_VALUE"""),92.0)</f>
        <v>92</v>
      </c>
      <c r="K169" s="4">
        <f>IFERROR(__xludf.DUMMYFUNCTION("""COMPUTED_VALUE"""),135.0)</f>
        <v>135</v>
      </c>
      <c r="L169" s="4">
        <f>IFERROR(__xludf.DUMMYFUNCTION("""COMPUTED_VALUE"""),0.43)</f>
        <v>0.43</v>
      </c>
      <c r="M169" s="4">
        <f>IFERROR(__xludf.DUMMYFUNCTION("""COMPUTED_VALUE"""),0.391)</f>
        <v>0.391</v>
      </c>
      <c r="N169" s="4">
        <f>IFERROR(__xludf.DUMMYFUNCTION("""COMPUTED_VALUE"""),0.769)</f>
        <v>0.769</v>
      </c>
      <c r="O169" s="4">
        <f>IFERROR(__xludf.DUMMYFUNCTION("""COMPUTED_VALUE"""),10.0)</f>
        <v>10</v>
      </c>
      <c r="P169" s="4">
        <f>IFERROR(__xludf.DUMMYFUNCTION("""COMPUTED_VALUE"""),3.1)</f>
        <v>3.1</v>
      </c>
      <c r="Q169" s="4">
        <f>IFERROR(__xludf.DUMMYFUNCTION("""COMPUTED_VALUE"""),1.1)</f>
        <v>1.1</v>
      </c>
      <c r="R169" s="4">
        <f>IFERROR(__xludf.DUMMYFUNCTION("""COMPUTED_VALUE"""),1.6)</f>
        <v>1.6</v>
      </c>
      <c r="S169" s="4">
        <f>IFERROR(__xludf.DUMMYFUNCTION("""COMPUTED_VALUE"""),1.3)</f>
        <v>1.3</v>
      </c>
      <c r="T169" s="4">
        <f>IFERROR(__xludf.DUMMYFUNCTION("""COMPUTED_VALUE"""),0.073)</f>
        <v>0.073</v>
      </c>
      <c r="U169" s="4">
        <f>IFERROR(__xludf.DUMMYFUNCTION("""COMPUTED_VALUE"""),-1.9)</f>
        <v>-1.9</v>
      </c>
      <c r="V169" s="4">
        <f>IFERROR(__xludf.DUMMYFUNCTION("""COMPUTED_VALUE"""),0.0)</f>
        <v>0</v>
      </c>
    </row>
    <row r="170">
      <c r="A170" s="4">
        <f>IFERROR(__xludf.DUMMYFUNCTION("""COMPUTED_VALUE"""),33.0)</f>
        <v>33</v>
      </c>
      <c r="B170" s="4">
        <f>IFERROR(__xludf.DUMMYFUNCTION("""COMPUTED_VALUE"""),33.0)</f>
        <v>33</v>
      </c>
      <c r="C170" s="4" t="str">
        <f>IFERROR(__xludf.DUMMYFUNCTION("""COMPUTED_VALUE"""),"SAS")</f>
        <v>SAS</v>
      </c>
      <c r="D170" s="4" t="str">
        <f>IFERROR(__xludf.DUMMYFUNCTION("""COMPUTED_VALUE"""),"Leonard Miller")</f>
        <v>Leonard Miller</v>
      </c>
      <c r="E170" s="4"/>
      <c r="F170" s="4">
        <f>IFERROR(__xludf.DUMMYFUNCTION("""COMPUTED_VALUE"""),3.0)</f>
        <v>3</v>
      </c>
      <c r="G170" s="4">
        <f>IFERROR(__xludf.DUMMYFUNCTION("""COMPUTED_VALUE"""),39.0)</f>
        <v>39</v>
      </c>
      <c r="H170" s="4">
        <f>IFERROR(__xludf.DUMMYFUNCTION("""COMPUTED_VALUE"""),122.0)</f>
        <v>122</v>
      </c>
      <c r="I170" s="4">
        <f>IFERROR(__xludf.DUMMYFUNCTION("""COMPUTED_VALUE"""),64.0)</f>
        <v>64</v>
      </c>
      <c r="J170" s="4">
        <f>IFERROR(__xludf.DUMMYFUNCTION("""COMPUTED_VALUE"""),42.0)</f>
        <v>42</v>
      </c>
      <c r="K170" s="4">
        <f>IFERROR(__xludf.DUMMYFUNCTION("""COMPUTED_VALUE"""),12.0)</f>
        <v>12</v>
      </c>
      <c r="L170" s="4">
        <f>IFERROR(__xludf.DUMMYFUNCTION("""COMPUTED_VALUE"""),0.532)</f>
        <v>0.532</v>
      </c>
      <c r="M170" s="4">
        <f>IFERROR(__xludf.DUMMYFUNCTION("""COMPUTED_VALUE"""),0.133)</f>
        <v>0.133</v>
      </c>
      <c r="N170" s="4">
        <f>IFERROR(__xludf.DUMMYFUNCTION("""COMPUTED_VALUE"""),0.8)</f>
        <v>0.8</v>
      </c>
      <c r="O170" s="4">
        <f>IFERROR(__xludf.DUMMYFUNCTION("""COMPUTED_VALUE"""),3.1)</f>
        <v>3.1</v>
      </c>
      <c r="P170" s="4">
        <f>IFERROR(__xludf.DUMMYFUNCTION("""COMPUTED_VALUE"""),1.6)</f>
        <v>1.6</v>
      </c>
      <c r="Q170" s="4">
        <f>IFERROR(__xludf.DUMMYFUNCTION("""COMPUTED_VALUE"""),1.1)</f>
        <v>1.1</v>
      </c>
      <c r="R170" s="4">
        <f>IFERROR(__xludf.DUMMYFUNCTION("""COMPUTED_VALUE"""),0.3)</f>
        <v>0.3</v>
      </c>
      <c r="S170" s="4">
        <f>IFERROR(__xludf.DUMMYFUNCTION("""COMPUTED_VALUE"""),0.5)</f>
        <v>0.5</v>
      </c>
      <c r="T170" s="4">
        <f>IFERROR(__xludf.DUMMYFUNCTION("""COMPUTED_VALUE"""),0.182)</f>
        <v>0.182</v>
      </c>
      <c r="U170" s="4">
        <f>IFERROR(__xludf.DUMMYFUNCTION("""COMPUTED_VALUE"""),1.0)</f>
        <v>1</v>
      </c>
      <c r="V170" s="4">
        <f>IFERROR(__xludf.DUMMYFUNCTION("""COMPUTED_VALUE"""),0.1)</f>
        <v>0.1</v>
      </c>
    </row>
    <row r="171">
      <c r="A171" s="4">
        <f>IFERROR(__xludf.DUMMYFUNCTION("""COMPUTED_VALUE"""),34.0)</f>
        <v>34</v>
      </c>
      <c r="B171" s="4">
        <f>IFERROR(__xludf.DUMMYFUNCTION("""COMPUTED_VALUE"""),34.0)</f>
        <v>34</v>
      </c>
      <c r="C171" s="4" t="str">
        <f>IFERROR(__xludf.DUMMYFUNCTION("""COMPUTED_VALUE"""),"CHO")</f>
        <v>CHO</v>
      </c>
      <c r="D171" s="4" t="str">
        <f>IFERROR(__xludf.DUMMYFUNCTION("""COMPUTED_VALUE"""),"Colby Jones")</f>
        <v>Colby Jones</v>
      </c>
      <c r="E171" s="4" t="str">
        <f>IFERROR(__xludf.DUMMYFUNCTION("""COMPUTED_VALUE"""),"Xavier")</f>
        <v>Xavier</v>
      </c>
      <c r="F171" s="4">
        <f>IFERROR(__xludf.DUMMYFUNCTION("""COMPUTED_VALUE"""),3.0)</f>
        <v>3</v>
      </c>
      <c r="G171" s="4">
        <f>IFERROR(__xludf.DUMMYFUNCTION("""COMPUTED_VALUE"""),70.0)</f>
        <v>70</v>
      </c>
      <c r="H171" s="4">
        <f>IFERROR(__xludf.DUMMYFUNCTION("""COMPUTED_VALUE"""),714.0)</f>
        <v>714</v>
      </c>
      <c r="I171" s="4">
        <f>IFERROR(__xludf.DUMMYFUNCTION("""COMPUTED_VALUE"""),223.0)</f>
        <v>223</v>
      </c>
      <c r="J171" s="4">
        <f>IFERROR(__xludf.DUMMYFUNCTION("""COMPUTED_VALUE"""),131.0)</f>
        <v>131</v>
      </c>
      <c r="K171" s="4">
        <f>IFERROR(__xludf.DUMMYFUNCTION("""COMPUTED_VALUE"""),66.0)</f>
        <v>66</v>
      </c>
      <c r="L171" s="4">
        <f>IFERROR(__xludf.DUMMYFUNCTION("""COMPUTED_VALUE"""),0.433)</f>
        <v>0.433</v>
      </c>
      <c r="M171" s="4">
        <f>IFERROR(__xludf.DUMMYFUNCTION("""COMPUTED_VALUE"""),0.247)</f>
        <v>0.247</v>
      </c>
      <c r="N171" s="4">
        <f>IFERROR(__xludf.DUMMYFUNCTION("""COMPUTED_VALUE"""),0.63)</f>
        <v>0.63</v>
      </c>
      <c r="O171" s="4">
        <f>IFERROR(__xludf.DUMMYFUNCTION("""COMPUTED_VALUE"""),10.2)</f>
        <v>10.2</v>
      </c>
      <c r="P171" s="4">
        <f>IFERROR(__xludf.DUMMYFUNCTION("""COMPUTED_VALUE"""),3.2)</f>
        <v>3.2</v>
      </c>
      <c r="Q171" s="4">
        <f>IFERROR(__xludf.DUMMYFUNCTION("""COMPUTED_VALUE"""),1.9)</f>
        <v>1.9</v>
      </c>
      <c r="R171" s="4">
        <f>IFERROR(__xludf.DUMMYFUNCTION("""COMPUTED_VALUE"""),0.9)</f>
        <v>0.9</v>
      </c>
      <c r="S171" s="4">
        <f>IFERROR(__xludf.DUMMYFUNCTION("""COMPUTED_VALUE"""),0.6)</f>
        <v>0.6</v>
      </c>
      <c r="T171" s="4">
        <f>IFERROR(__xludf.DUMMYFUNCTION("""COMPUTED_VALUE"""),0.041)</f>
        <v>0.041</v>
      </c>
      <c r="U171" s="4">
        <f>IFERROR(__xludf.DUMMYFUNCTION("""COMPUTED_VALUE"""),-3.4)</f>
        <v>-3.4</v>
      </c>
      <c r="V171" s="4">
        <f>IFERROR(__xludf.DUMMYFUNCTION("""COMPUTED_VALUE"""),-0.2)</f>
        <v>-0.2</v>
      </c>
    </row>
    <row r="172">
      <c r="A172" s="4">
        <f>IFERROR(__xludf.DUMMYFUNCTION("""COMPUTED_VALUE"""),35.0)</f>
        <v>35</v>
      </c>
      <c r="B172" s="4">
        <f>IFERROR(__xludf.DUMMYFUNCTION("""COMPUTED_VALUE"""),35.0)</f>
        <v>35</v>
      </c>
      <c r="C172" s="4" t="str">
        <f>IFERROR(__xludf.DUMMYFUNCTION("""COMPUTED_VALUE"""),"BOS")</f>
        <v>BOS</v>
      </c>
      <c r="D172" s="4" t="str">
        <f>IFERROR(__xludf.DUMMYFUNCTION("""COMPUTED_VALUE"""),"Julian Phillips")</f>
        <v>Julian Phillips</v>
      </c>
      <c r="E172" s="4" t="str">
        <f>IFERROR(__xludf.DUMMYFUNCTION("""COMPUTED_VALUE"""),"Tennessee")</f>
        <v>Tennessee</v>
      </c>
      <c r="F172" s="4">
        <f>IFERROR(__xludf.DUMMYFUNCTION("""COMPUTED_VALUE"""),3.0)</f>
        <v>3</v>
      </c>
      <c r="G172" s="4">
        <f>IFERROR(__xludf.DUMMYFUNCTION("""COMPUTED_VALUE"""),137.0)</f>
        <v>137</v>
      </c>
      <c r="H172" s="4">
        <f>IFERROR(__xludf.DUMMYFUNCTION("""COMPUTED_VALUE"""),1601.0)</f>
        <v>1601</v>
      </c>
      <c r="I172" s="4">
        <f>IFERROR(__xludf.DUMMYFUNCTION("""COMPUTED_VALUE"""),502.0)</f>
        <v>502</v>
      </c>
      <c r="J172" s="4">
        <f>IFERROR(__xludf.DUMMYFUNCTION("""COMPUTED_VALUE"""),228.0)</f>
        <v>228</v>
      </c>
      <c r="K172" s="4">
        <f>IFERROR(__xludf.DUMMYFUNCTION("""COMPUTED_VALUE"""),56.0)</f>
        <v>56</v>
      </c>
      <c r="L172" s="4">
        <f>IFERROR(__xludf.DUMMYFUNCTION("""COMPUTED_VALUE"""),0.441)</f>
        <v>0.441</v>
      </c>
      <c r="M172" s="4">
        <f>IFERROR(__xludf.DUMMYFUNCTION("""COMPUTED_VALUE"""),0.319)</f>
        <v>0.319</v>
      </c>
      <c r="N172" s="4">
        <f>IFERROR(__xludf.DUMMYFUNCTION("""COMPUTED_VALUE"""),0.768)</f>
        <v>0.768</v>
      </c>
      <c r="O172" s="4">
        <f>IFERROR(__xludf.DUMMYFUNCTION("""COMPUTED_VALUE"""),11.7)</f>
        <v>11.7</v>
      </c>
      <c r="P172" s="4">
        <f>IFERROR(__xludf.DUMMYFUNCTION("""COMPUTED_VALUE"""),3.7)</f>
        <v>3.7</v>
      </c>
      <c r="Q172" s="4">
        <f>IFERROR(__xludf.DUMMYFUNCTION("""COMPUTED_VALUE"""),1.7)</f>
        <v>1.7</v>
      </c>
      <c r="R172" s="4">
        <f>IFERROR(__xludf.DUMMYFUNCTION("""COMPUTED_VALUE"""),0.4)</f>
        <v>0.4</v>
      </c>
      <c r="S172" s="4">
        <f>IFERROR(__xludf.DUMMYFUNCTION("""COMPUTED_VALUE"""),2.3)</f>
        <v>2.3</v>
      </c>
      <c r="T172" s="4">
        <f>IFERROR(__xludf.DUMMYFUNCTION("""COMPUTED_VALUE"""),0.07)</f>
        <v>0.07</v>
      </c>
      <c r="U172" s="4">
        <f>IFERROR(__xludf.DUMMYFUNCTION("""COMPUTED_VALUE"""),-3.5)</f>
        <v>-3.5</v>
      </c>
      <c r="V172" s="4">
        <f>IFERROR(__xludf.DUMMYFUNCTION("""COMPUTED_VALUE"""),-0.6)</f>
        <v>-0.6</v>
      </c>
    </row>
    <row r="173">
      <c r="A173" s="4">
        <f>IFERROR(__xludf.DUMMYFUNCTION("""COMPUTED_VALUE"""),36.0)</f>
        <v>36</v>
      </c>
      <c r="B173" s="4">
        <f>IFERROR(__xludf.DUMMYFUNCTION("""COMPUTED_VALUE"""),36.0)</f>
        <v>36</v>
      </c>
      <c r="C173" s="4" t="str">
        <f>IFERROR(__xludf.DUMMYFUNCTION("""COMPUTED_VALUE"""),"ORL")</f>
        <v>ORL</v>
      </c>
      <c r="D173" s="4" t="str">
        <f>IFERROR(__xludf.DUMMYFUNCTION("""COMPUTED_VALUE"""),"Andre Jackson Jr.")</f>
        <v>Andre Jackson Jr.</v>
      </c>
      <c r="E173" s="4" t="str">
        <f>IFERROR(__xludf.DUMMYFUNCTION("""COMPUTED_VALUE"""),"UConn")</f>
        <v>UConn</v>
      </c>
      <c r="F173" s="4">
        <f>IFERROR(__xludf.DUMMYFUNCTION("""COMPUTED_VALUE"""),3.0)</f>
        <v>3</v>
      </c>
      <c r="G173" s="4">
        <f>IFERROR(__xludf.DUMMYFUNCTION("""COMPUTED_VALUE"""),133.0)</f>
        <v>133</v>
      </c>
      <c r="H173" s="4">
        <f>IFERROR(__xludf.DUMMYFUNCTION("""COMPUTED_VALUE"""),1615.0)</f>
        <v>1615</v>
      </c>
      <c r="I173" s="4">
        <f>IFERROR(__xludf.DUMMYFUNCTION("""COMPUTED_VALUE"""),366.0)</f>
        <v>366</v>
      </c>
      <c r="J173" s="4">
        <f>IFERROR(__xludf.DUMMYFUNCTION("""COMPUTED_VALUE"""),302.0)</f>
        <v>302</v>
      </c>
      <c r="K173" s="4">
        <f>IFERROR(__xludf.DUMMYFUNCTION("""COMPUTED_VALUE"""),147.0)</f>
        <v>147</v>
      </c>
      <c r="L173" s="4">
        <f>IFERROR(__xludf.DUMMYFUNCTION("""COMPUTED_VALUE"""),0.476)</f>
        <v>0.476</v>
      </c>
      <c r="M173" s="4">
        <f>IFERROR(__xludf.DUMMYFUNCTION("""COMPUTED_VALUE"""),0.377)</f>
        <v>0.377</v>
      </c>
      <c r="N173" s="4">
        <f>IFERROR(__xludf.DUMMYFUNCTION("""COMPUTED_VALUE"""),0.568)</f>
        <v>0.568</v>
      </c>
      <c r="O173" s="4">
        <f>IFERROR(__xludf.DUMMYFUNCTION("""COMPUTED_VALUE"""),12.1)</f>
        <v>12.1</v>
      </c>
      <c r="P173" s="4">
        <f>IFERROR(__xludf.DUMMYFUNCTION("""COMPUTED_VALUE"""),2.8)</f>
        <v>2.8</v>
      </c>
      <c r="Q173" s="4">
        <f>IFERROR(__xludf.DUMMYFUNCTION("""COMPUTED_VALUE"""),2.3)</f>
        <v>2.3</v>
      </c>
      <c r="R173" s="4">
        <f>IFERROR(__xludf.DUMMYFUNCTION("""COMPUTED_VALUE"""),1.1)</f>
        <v>1.1</v>
      </c>
      <c r="S173" s="4">
        <f>IFERROR(__xludf.DUMMYFUNCTION("""COMPUTED_VALUE"""),2.2)</f>
        <v>2.2</v>
      </c>
      <c r="T173" s="4">
        <f>IFERROR(__xludf.DUMMYFUNCTION("""COMPUTED_VALUE"""),0.065)</f>
        <v>0.065</v>
      </c>
      <c r="U173" s="4">
        <f>IFERROR(__xludf.DUMMYFUNCTION("""COMPUTED_VALUE"""),-3.5)</f>
        <v>-3.5</v>
      </c>
      <c r="V173" s="4">
        <f>IFERROR(__xludf.DUMMYFUNCTION("""COMPUTED_VALUE"""),-0.6)</f>
        <v>-0.6</v>
      </c>
    </row>
    <row r="174">
      <c r="A174" s="4">
        <f>IFERROR(__xludf.DUMMYFUNCTION("""COMPUTED_VALUE"""),37.0)</f>
        <v>37</v>
      </c>
      <c r="B174" s="4">
        <f>IFERROR(__xludf.DUMMYFUNCTION("""COMPUTED_VALUE"""),37.0)</f>
        <v>37</v>
      </c>
      <c r="C174" s="4" t="str">
        <f>IFERROR(__xludf.DUMMYFUNCTION("""COMPUTED_VALUE"""),"OKC")</f>
        <v>OKC</v>
      </c>
      <c r="D174" s="4" t="str">
        <f>IFERROR(__xludf.DUMMYFUNCTION("""COMPUTED_VALUE"""),"Hunter Tyson")</f>
        <v>Hunter Tyson</v>
      </c>
      <c r="E174" s="4" t="str">
        <f>IFERROR(__xludf.DUMMYFUNCTION("""COMPUTED_VALUE"""),"Clemson")</f>
        <v>Clemson</v>
      </c>
      <c r="F174" s="4">
        <f>IFERROR(__xludf.DUMMYFUNCTION("""COMPUTED_VALUE"""),3.0)</f>
        <v>3</v>
      </c>
      <c r="G174" s="4">
        <f>IFERROR(__xludf.DUMMYFUNCTION("""COMPUTED_VALUE"""),76.0)</f>
        <v>76</v>
      </c>
      <c r="H174" s="4">
        <f>IFERROR(__xludf.DUMMYFUNCTION("""COMPUTED_VALUE"""),474.0)</f>
        <v>474</v>
      </c>
      <c r="I174" s="4">
        <f>IFERROR(__xludf.DUMMYFUNCTION("""COMPUTED_VALUE"""),156.0)</f>
        <v>156</v>
      </c>
      <c r="J174" s="4">
        <f>IFERROR(__xludf.DUMMYFUNCTION("""COMPUTED_VALUE"""),99.0)</f>
        <v>99</v>
      </c>
      <c r="K174" s="4">
        <f>IFERROR(__xludf.DUMMYFUNCTION("""COMPUTED_VALUE"""),25.0)</f>
        <v>25</v>
      </c>
      <c r="L174" s="4">
        <f>IFERROR(__xludf.DUMMYFUNCTION("""COMPUTED_VALUE"""),0.358)</f>
        <v>0.358</v>
      </c>
      <c r="M174" s="4">
        <f>IFERROR(__xludf.DUMMYFUNCTION("""COMPUTED_VALUE"""),0.29)</f>
        <v>0.29</v>
      </c>
      <c r="N174" s="4">
        <f>IFERROR(__xludf.DUMMYFUNCTION("""COMPUTED_VALUE"""),0.767)</f>
        <v>0.767</v>
      </c>
      <c r="O174" s="4">
        <f>IFERROR(__xludf.DUMMYFUNCTION("""COMPUTED_VALUE"""),6.2)</f>
        <v>6.2</v>
      </c>
      <c r="P174" s="4">
        <f>IFERROR(__xludf.DUMMYFUNCTION("""COMPUTED_VALUE"""),2.1)</f>
        <v>2.1</v>
      </c>
      <c r="Q174" s="4">
        <f>IFERROR(__xludf.DUMMYFUNCTION("""COMPUTED_VALUE"""),1.3)</f>
        <v>1.3</v>
      </c>
      <c r="R174" s="4">
        <f>IFERROR(__xludf.DUMMYFUNCTION("""COMPUTED_VALUE"""),0.3)</f>
        <v>0.3</v>
      </c>
      <c r="S174" s="4">
        <f>IFERROR(__xludf.DUMMYFUNCTION("""COMPUTED_VALUE"""),0.4)</f>
        <v>0.4</v>
      </c>
      <c r="T174" s="4">
        <f>IFERROR(__xludf.DUMMYFUNCTION("""COMPUTED_VALUE"""),0.036)</f>
        <v>0.036</v>
      </c>
      <c r="U174" s="4">
        <f>IFERROR(__xludf.DUMMYFUNCTION("""COMPUTED_VALUE"""),-5.5)</f>
        <v>-5.5</v>
      </c>
      <c r="V174" s="4">
        <f>IFERROR(__xludf.DUMMYFUNCTION("""COMPUTED_VALUE"""),-0.4)</f>
        <v>-0.4</v>
      </c>
    </row>
    <row r="175">
      <c r="A175" s="4">
        <f>IFERROR(__xludf.DUMMYFUNCTION("""COMPUTED_VALUE"""),38.0)</f>
        <v>38</v>
      </c>
      <c r="B175" s="4">
        <f>IFERROR(__xludf.DUMMYFUNCTION("""COMPUTED_VALUE"""),38.0)</f>
        <v>38</v>
      </c>
      <c r="C175" s="4" t="str">
        <f>IFERROR(__xludf.DUMMYFUNCTION("""COMPUTED_VALUE"""),"SAC")</f>
        <v>SAC</v>
      </c>
      <c r="D175" s="4" t="str">
        <f>IFERROR(__xludf.DUMMYFUNCTION("""COMPUTED_VALUE"""),"Jordan Walsh")</f>
        <v>Jordan Walsh</v>
      </c>
      <c r="E175" s="4" t="str">
        <f>IFERROR(__xludf.DUMMYFUNCTION("""COMPUTED_VALUE"""),"Arkansas")</f>
        <v>Arkansas</v>
      </c>
      <c r="F175" s="4">
        <f>IFERROR(__xludf.DUMMYFUNCTION("""COMPUTED_VALUE"""),3.0)</f>
        <v>3</v>
      </c>
      <c r="G175" s="4">
        <f>IFERROR(__xludf.DUMMYFUNCTION("""COMPUTED_VALUE"""),78.0)</f>
        <v>78</v>
      </c>
      <c r="H175" s="4">
        <f>IFERROR(__xludf.DUMMYFUNCTION("""COMPUTED_VALUE"""),824.0)</f>
        <v>824</v>
      </c>
      <c r="I175" s="4">
        <f>IFERROR(__xludf.DUMMYFUNCTION("""COMPUTED_VALUE"""),190.0)</f>
        <v>190</v>
      </c>
      <c r="J175" s="4">
        <f>IFERROR(__xludf.DUMMYFUNCTION("""COMPUTED_VALUE"""),168.0)</f>
        <v>168</v>
      </c>
      <c r="K175" s="4">
        <f>IFERROR(__xludf.DUMMYFUNCTION("""COMPUTED_VALUE"""),42.0)</f>
        <v>42</v>
      </c>
      <c r="L175" s="4">
        <f>IFERROR(__xludf.DUMMYFUNCTION("""COMPUTED_VALUE"""),0.429)</f>
        <v>0.429</v>
      </c>
      <c r="M175" s="4">
        <f>IFERROR(__xludf.DUMMYFUNCTION("""COMPUTED_VALUE"""),0.297)</f>
        <v>0.297</v>
      </c>
      <c r="N175" s="4">
        <f>IFERROR(__xludf.DUMMYFUNCTION("""COMPUTED_VALUE"""),0.679)</f>
        <v>0.679</v>
      </c>
      <c r="O175" s="4">
        <f>IFERROR(__xludf.DUMMYFUNCTION("""COMPUTED_VALUE"""),10.6)</f>
        <v>10.6</v>
      </c>
      <c r="P175" s="4">
        <f>IFERROR(__xludf.DUMMYFUNCTION("""COMPUTED_VALUE"""),2.4)</f>
        <v>2.4</v>
      </c>
      <c r="Q175" s="4">
        <f>IFERROR(__xludf.DUMMYFUNCTION("""COMPUTED_VALUE"""),2.2)</f>
        <v>2.2</v>
      </c>
      <c r="R175" s="4">
        <f>IFERROR(__xludf.DUMMYFUNCTION("""COMPUTED_VALUE"""),0.5)</f>
        <v>0.5</v>
      </c>
      <c r="S175" s="4">
        <f>IFERROR(__xludf.DUMMYFUNCTION("""COMPUTED_VALUE"""),1.5)</f>
        <v>1.5</v>
      </c>
      <c r="T175" s="4">
        <f>IFERROR(__xludf.DUMMYFUNCTION("""COMPUTED_VALUE"""),0.087)</f>
        <v>0.087</v>
      </c>
      <c r="U175" s="4">
        <f>IFERROR(__xludf.DUMMYFUNCTION("""COMPUTED_VALUE"""),-2.3)</f>
        <v>-2.3</v>
      </c>
      <c r="V175" s="4">
        <f>IFERROR(__xludf.DUMMYFUNCTION("""COMPUTED_VALUE"""),-0.1)</f>
        <v>-0.1</v>
      </c>
    </row>
    <row r="176">
      <c r="A176" s="4">
        <f>IFERROR(__xludf.DUMMYFUNCTION("""COMPUTED_VALUE"""),39.0)</f>
        <v>39</v>
      </c>
      <c r="B176" s="4">
        <f>IFERROR(__xludf.DUMMYFUNCTION("""COMPUTED_VALUE"""),39.0)</f>
        <v>39</v>
      </c>
      <c r="C176" s="4" t="str">
        <f>IFERROR(__xludf.DUMMYFUNCTION("""COMPUTED_VALUE"""),"CHO")</f>
        <v>CHO</v>
      </c>
      <c r="D176" s="4" t="str">
        <f>IFERROR(__xludf.DUMMYFUNCTION("""COMPUTED_VALUE"""),"Mouhamed Gueye")</f>
        <v>Mouhamed Gueye</v>
      </c>
      <c r="E176" s="4" t="str">
        <f>IFERROR(__xludf.DUMMYFUNCTION("""COMPUTED_VALUE"""),"Washington State")</f>
        <v>Washington State</v>
      </c>
      <c r="F176" s="4">
        <f>IFERROR(__xludf.DUMMYFUNCTION("""COMPUTED_VALUE"""),3.0)</f>
        <v>3</v>
      </c>
      <c r="G176" s="4">
        <f>IFERROR(__xludf.DUMMYFUNCTION("""COMPUTED_VALUE"""),61.0)</f>
        <v>61</v>
      </c>
      <c r="H176" s="4">
        <f>IFERROR(__xludf.DUMMYFUNCTION("""COMPUTED_VALUE"""),994.0)</f>
        <v>994</v>
      </c>
      <c r="I176" s="4">
        <f>IFERROR(__xludf.DUMMYFUNCTION("""COMPUTED_VALUE"""),359.0)</f>
        <v>359</v>
      </c>
      <c r="J176" s="4">
        <f>IFERROR(__xludf.DUMMYFUNCTION("""COMPUTED_VALUE"""),245.0)</f>
        <v>245</v>
      </c>
      <c r="K176" s="4">
        <f>IFERROR(__xludf.DUMMYFUNCTION("""COMPUTED_VALUE"""),56.0)</f>
        <v>56</v>
      </c>
      <c r="L176" s="4">
        <f>IFERROR(__xludf.DUMMYFUNCTION("""COMPUTED_VALUE"""),0.447)</f>
        <v>0.447</v>
      </c>
      <c r="M176" s="4">
        <f>IFERROR(__xludf.DUMMYFUNCTION("""COMPUTED_VALUE"""),0.268)</f>
        <v>0.268</v>
      </c>
      <c r="N176" s="4">
        <f>IFERROR(__xludf.DUMMYFUNCTION("""COMPUTED_VALUE"""),0.697)</f>
        <v>0.697</v>
      </c>
      <c r="O176" s="4">
        <f>IFERROR(__xludf.DUMMYFUNCTION("""COMPUTED_VALUE"""),16.3)</f>
        <v>16.3</v>
      </c>
      <c r="P176" s="4">
        <f>IFERROR(__xludf.DUMMYFUNCTION("""COMPUTED_VALUE"""),5.9)</f>
        <v>5.9</v>
      </c>
      <c r="Q176" s="4">
        <f>IFERROR(__xludf.DUMMYFUNCTION("""COMPUTED_VALUE"""),4.0)</f>
        <v>4</v>
      </c>
      <c r="R176" s="4">
        <f>IFERROR(__xludf.DUMMYFUNCTION("""COMPUTED_VALUE"""),0.9)</f>
        <v>0.9</v>
      </c>
      <c r="S176" s="4">
        <f>IFERROR(__xludf.DUMMYFUNCTION("""COMPUTED_VALUE"""),2.1)</f>
        <v>2.1</v>
      </c>
      <c r="T176" s="4">
        <f>IFERROR(__xludf.DUMMYFUNCTION("""COMPUTED_VALUE"""),0.104)</f>
        <v>0.104</v>
      </c>
      <c r="U176" s="4">
        <f>IFERROR(__xludf.DUMMYFUNCTION("""COMPUTED_VALUE"""),-1.1)</f>
        <v>-1.1</v>
      </c>
      <c r="V176" s="4">
        <f>IFERROR(__xludf.DUMMYFUNCTION("""COMPUTED_VALUE"""),0.2)</f>
        <v>0.2</v>
      </c>
    </row>
    <row r="177">
      <c r="A177" s="4">
        <f>IFERROR(__xludf.DUMMYFUNCTION("""COMPUTED_VALUE"""),40.0)</f>
        <v>40</v>
      </c>
      <c r="B177" s="4">
        <f>IFERROR(__xludf.DUMMYFUNCTION("""COMPUTED_VALUE"""),40.0)</f>
        <v>40</v>
      </c>
      <c r="C177" s="4" t="str">
        <f>IFERROR(__xludf.DUMMYFUNCTION("""COMPUTED_VALUE"""),"DEN")</f>
        <v>DEN</v>
      </c>
      <c r="D177" s="4" t="str">
        <f>IFERROR(__xludf.DUMMYFUNCTION("""COMPUTED_VALUE"""),"Maxwell Lewis")</f>
        <v>Maxwell Lewis</v>
      </c>
      <c r="E177" s="4" t="str">
        <f>IFERROR(__xludf.DUMMYFUNCTION("""COMPUTED_VALUE"""),"Pepperdine")</f>
        <v>Pepperdine</v>
      </c>
      <c r="F177" s="4">
        <f>IFERROR(__xludf.DUMMYFUNCTION("""COMPUTED_VALUE"""),2.0)</f>
        <v>2</v>
      </c>
      <c r="G177" s="4">
        <f>IFERROR(__xludf.DUMMYFUNCTION("""COMPUTED_VALUE"""),62.0)</f>
        <v>62</v>
      </c>
      <c r="H177" s="4">
        <f>IFERROR(__xludf.DUMMYFUNCTION("""COMPUTED_VALUE"""),430.0)</f>
        <v>430</v>
      </c>
      <c r="I177" s="4">
        <f>IFERROR(__xludf.DUMMYFUNCTION("""COMPUTED_VALUE"""),127.0)</f>
        <v>127</v>
      </c>
      <c r="J177" s="4">
        <f>IFERROR(__xludf.DUMMYFUNCTION("""COMPUTED_VALUE"""),59.0)</f>
        <v>59</v>
      </c>
      <c r="K177" s="4">
        <f>IFERROR(__xludf.DUMMYFUNCTION("""COMPUTED_VALUE"""),25.0)</f>
        <v>25</v>
      </c>
      <c r="L177" s="4">
        <f>IFERROR(__xludf.DUMMYFUNCTION("""COMPUTED_VALUE"""),0.38)</f>
        <v>0.38</v>
      </c>
      <c r="M177" s="4">
        <f>IFERROR(__xludf.DUMMYFUNCTION("""COMPUTED_VALUE"""),0.339)</f>
        <v>0.339</v>
      </c>
      <c r="N177" s="4">
        <f>IFERROR(__xludf.DUMMYFUNCTION("""COMPUTED_VALUE"""),0.692)</f>
        <v>0.692</v>
      </c>
      <c r="O177" s="4">
        <f>IFERROR(__xludf.DUMMYFUNCTION("""COMPUTED_VALUE"""),6.9)</f>
        <v>6.9</v>
      </c>
      <c r="P177" s="4">
        <f>IFERROR(__xludf.DUMMYFUNCTION("""COMPUTED_VALUE"""),2.0)</f>
        <v>2</v>
      </c>
      <c r="Q177" s="4">
        <f>IFERROR(__xludf.DUMMYFUNCTION("""COMPUTED_VALUE"""),1.0)</f>
        <v>1</v>
      </c>
      <c r="R177" s="4">
        <f>IFERROR(__xludf.DUMMYFUNCTION("""COMPUTED_VALUE"""),0.4)</f>
        <v>0.4</v>
      </c>
      <c r="S177" s="4">
        <f>IFERROR(__xludf.DUMMYFUNCTION("""COMPUTED_VALUE"""),-0.2)</f>
        <v>-0.2</v>
      </c>
      <c r="T177" s="4">
        <f>IFERROR(__xludf.DUMMYFUNCTION("""COMPUTED_VALUE"""),-0.024)</f>
        <v>-0.024</v>
      </c>
      <c r="U177" s="4">
        <f>IFERROR(__xludf.DUMMYFUNCTION("""COMPUTED_VALUE"""),-6.6)</f>
        <v>-6.6</v>
      </c>
      <c r="V177" s="4">
        <f>IFERROR(__xludf.DUMMYFUNCTION("""COMPUTED_VALUE"""),-0.5)</f>
        <v>-0.5</v>
      </c>
    </row>
    <row r="178">
      <c r="A178" s="4">
        <f>IFERROR(__xludf.DUMMYFUNCTION("""COMPUTED_VALUE"""),41.0)</f>
        <v>41</v>
      </c>
      <c r="B178" s="4">
        <f>IFERROR(__xludf.DUMMYFUNCTION("""COMPUTED_VALUE"""),41.0)</f>
        <v>41</v>
      </c>
      <c r="C178" s="4" t="str">
        <f>IFERROR(__xludf.DUMMYFUNCTION("""COMPUTED_VALUE"""),"CHO")</f>
        <v>CHO</v>
      </c>
      <c r="D178" s="4" t="str">
        <f>IFERROR(__xludf.DUMMYFUNCTION("""COMPUTED_VALUE"""),"Amari Bailey")</f>
        <v>Amari Bailey</v>
      </c>
      <c r="E178" s="4" t="str">
        <f>IFERROR(__xludf.DUMMYFUNCTION("""COMPUTED_VALUE"""),"UCLA")</f>
        <v>UCLA</v>
      </c>
      <c r="F178" s="4">
        <f>IFERROR(__xludf.DUMMYFUNCTION("""COMPUTED_VALUE"""),1.0)</f>
        <v>1</v>
      </c>
      <c r="G178" s="4">
        <f>IFERROR(__xludf.DUMMYFUNCTION("""COMPUTED_VALUE"""),10.0)</f>
        <v>10</v>
      </c>
      <c r="H178" s="4">
        <f>IFERROR(__xludf.DUMMYFUNCTION("""COMPUTED_VALUE"""),65.0)</f>
        <v>65</v>
      </c>
      <c r="I178" s="4">
        <f>IFERROR(__xludf.DUMMYFUNCTION("""COMPUTED_VALUE"""),23.0)</f>
        <v>23</v>
      </c>
      <c r="J178" s="4">
        <f>IFERROR(__xludf.DUMMYFUNCTION("""COMPUTED_VALUE"""),9.0)</f>
        <v>9</v>
      </c>
      <c r="K178" s="4">
        <f>IFERROR(__xludf.DUMMYFUNCTION("""COMPUTED_VALUE"""),7.0)</f>
        <v>7</v>
      </c>
      <c r="L178" s="4">
        <f>IFERROR(__xludf.DUMMYFUNCTION("""COMPUTED_VALUE"""),0.333)</f>
        <v>0.333</v>
      </c>
      <c r="M178" s="4">
        <f>IFERROR(__xludf.DUMMYFUNCTION("""COMPUTED_VALUE"""),0.125)</f>
        <v>0.125</v>
      </c>
      <c r="N178" s="4">
        <f>IFERROR(__xludf.DUMMYFUNCTION("""COMPUTED_VALUE"""),0.857)</f>
        <v>0.857</v>
      </c>
      <c r="O178" s="4">
        <f>IFERROR(__xludf.DUMMYFUNCTION("""COMPUTED_VALUE"""),6.5)</f>
        <v>6.5</v>
      </c>
      <c r="P178" s="4">
        <f>IFERROR(__xludf.DUMMYFUNCTION("""COMPUTED_VALUE"""),2.3)</f>
        <v>2.3</v>
      </c>
      <c r="Q178" s="4">
        <f>IFERROR(__xludf.DUMMYFUNCTION("""COMPUTED_VALUE"""),0.9)</f>
        <v>0.9</v>
      </c>
      <c r="R178" s="4">
        <f>IFERROR(__xludf.DUMMYFUNCTION("""COMPUTED_VALUE"""),0.7)</f>
        <v>0.7</v>
      </c>
      <c r="S178" s="4">
        <f>IFERROR(__xludf.DUMMYFUNCTION("""COMPUTED_VALUE"""),-0.1)</f>
        <v>-0.1</v>
      </c>
      <c r="T178" s="4">
        <f>IFERROR(__xludf.DUMMYFUNCTION("""COMPUTED_VALUE"""),-0.044)</f>
        <v>-0.044</v>
      </c>
      <c r="U178" s="4">
        <f>IFERROR(__xludf.DUMMYFUNCTION("""COMPUTED_VALUE"""),-8.3)</f>
        <v>-8.3</v>
      </c>
      <c r="V178" s="4">
        <f>IFERROR(__xludf.DUMMYFUNCTION("""COMPUTED_VALUE"""),-0.1)</f>
        <v>-0.1</v>
      </c>
    </row>
    <row r="179">
      <c r="A179" s="4">
        <f>IFERROR(__xludf.DUMMYFUNCTION("""COMPUTED_VALUE"""),42.0)</f>
        <v>42</v>
      </c>
      <c r="B179" s="4">
        <f>IFERROR(__xludf.DUMMYFUNCTION("""COMPUTED_VALUE"""),42.0)</f>
        <v>42</v>
      </c>
      <c r="C179" s="4" t="str">
        <f>IFERROR(__xludf.DUMMYFUNCTION("""COMPUTED_VALUE"""),"WAS")</f>
        <v>WAS</v>
      </c>
      <c r="D179" s="4" t="str">
        <f>IFERROR(__xludf.DUMMYFUNCTION("""COMPUTED_VALUE"""),"Tristan Vukcevic")</f>
        <v>Tristan Vukcevic</v>
      </c>
      <c r="E179" s="4"/>
      <c r="F179" s="4">
        <f>IFERROR(__xludf.DUMMYFUNCTION("""COMPUTED_VALUE"""),3.0)</f>
        <v>3</v>
      </c>
      <c r="G179" s="4">
        <f>IFERROR(__xludf.DUMMYFUNCTION("""COMPUTED_VALUE"""),62.0)</f>
        <v>62</v>
      </c>
      <c r="H179" s="4">
        <f>IFERROR(__xludf.DUMMYFUNCTION("""COMPUTED_VALUE"""),849.0)</f>
        <v>849</v>
      </c>
      <c r="I179" s="4">
        <f>IFERROR(__xludf.DUMMYFUNCTION("""COMPUTED_VALUE"""),511.0)</f>
        <v>511</v>
      </c>
      <c r="J179" s="4">
        <f>IFERROR(__xludf.DUMMYFUNCTION("""COMPUTED_VALUE"""),200.0)</f>
        <v>200</v>
      </c>
      <c r="K179" s="4">
        <f>IFERROR(__xludf.DUMMYFUNCTION("""COMPUTED_VALUE"""),68.0)</f>
        <v>68</v>
      </c>
      <c r="L179" s="4">
        <f>IFERROR(__xludf.DUMMYFUNCTION("""COMPUTED_VALUE"""),0.479)</f>
        <v>0.479</v>
      </c>
      <c r="M179" s="4">
        <f>IFERROR(__xludf.DUMMYFUNCTION("""COMPUTED_VALUE"""),0.335)</f>
        <v>0.335</v>
      </c>
      <c r="N179" s="4">
        <f>IFERROR(__xludf.DUMMYFUNCTION("""COMPUTED_VALUE"""),0.758)</f>
        <v>0.758</v>
      </c>
      <c r="O179" s="4">
        <f>IFERROR(__xludf.DUMMYFUNCTION("""COMPUTED_VALUE"""),13.7)</f>
        <v>13.7</v>
      </c>
      <c r="P179" s="4">
        <f>IFERROR(__xludf.DUMMYFUNCTION("""COMPUTED_VALUE"""),8.2)</f>
        <v>8.2</v>
      </c>
      <c r="Q179" s="4">
        <f>IFERROR(__xludf.DUMMYFUNCTION("""COMPUTED_VALUE"""),3.2)</f>
        <v>3.2</v>
      </c>
      <c r="R179" s="4">
        <f>IFERROR(__xludf.DUMMYFUNCTION("""COMPUTED_VALUE"""),1.1)</f>
        <v>1.1</v>
      </c>
      <c r="S179" s="4">
        <f>IFERROR(__xludf.DUMMYFUNCTION("""COMPUTED_VALUE"""),0.8)</f>
        <v>0.8</v>
      </c>
      <c r="T179" s="4">
        <f>IFERROR(__xludf.DUMMYFUNCTION("""COMPUTED_VALUE"""),0.047)</f>
        <v>0.047</v>
      </c>
      <c r="U179" s="4">
        <f>IFERROR(__xludf.DUMMYFUNCTION("""COMPUTED_VALUE"""),-1.9)</f>
        <v>-1.9</v>
      </c>
      <c r="V179" s="4">
        <f>IFERROR(__xludf.DUMMYFUNCTION("""COMPUTED_VALUE"""),0.0)</f>
        <v>0</v>
      </c>
    </row>
    <row r="180">
      <c r="A180" s="4">
        <f>IFERROR(__xludf.DUMMYFUNCTION("""COMPUTED_VALUE"""),43.0)</f>
        <v>43</v>
      </c>
      <c r="B180" s="4">
        <f>IFERROR(__xludf.DUMMYFUNCTION("""COMPUTED_VALUE"""),43.0)</f>
        <v>43</v>
      </c>
      <c r="C180" s="4" t="str">
        <f>IFERROR(__xludf.DUMMYFUNCTION("""COMPUTED_VALUE"""),"POR")</f>
        <v>POR</v>
      </c>
      <c r="D180" s="4" t="str">
        <f>IFERROR(__xludf.DUMMYFUNCTION("""COMPUTED_VALUE"""),"Rayan Rupert")</f>
        <v>Rayan Rupert</v>
      </c>
      <c r="E180" s="4"/>
      <c r="F180" s="4">
        <f>IFERROR(__xludf.DUMMYFUNCTION("""COMPUTED_VALUE"""),3.0)</f>
        <v>3</v>
      </c>
      <c r="G180" s="4">
        <f>IFERROR(__xludf.DUMMYFUNCTION("""COMPUTED_VALUE"""),105.0)</f>
        <v>105</v>
      </c>
      <c r="H180" s="4">
        <f>IFERROR(__xludf.DUMMYFUNCTION("""COMPUTED_VALUE"""),1201.0)</f>
        <v>1201</v>
      </c>
      <c r="I180" s="4">
        <f>IFERROR(__xludf.DUMMYFUNCTION("""COMPUTED_VALUE"""),334.0)</f>
        <v>334</v>
      </c>
      <c r="J180" s="4">
        <f>IFERROR(__xludf.DUMMYFUNCTION("""COMPUTED_VALUE"""),186.0)</f>
        <v>186</v>
      </c>
      <c r="K180" s="4">
        <f>IFERROR(__xludf.DUMMYFUNCTION("""COMPUTED_VALUE"""),91.0)</f>
        <v>91</v>
      </c>
      <c r="L180" s="4">
        <f>IFERROR(__xludf.DUMMYFUNCTION("""COMPUTED_VALUE"""),0.368)</f>
        <v>0.368</v>
      </c>
      <c r="M180" s="4">
        <f>IFERROR(__xludf.DUMMYFUNCTION("""COMPUTED_VALUE"""),0.318)</f>
        <v>0.318</v>
      </c>
      <c r="N180" s="4">
        <f>IFERROR(__xludf.DUMMYFUNCTION("""COMPUTED_VALUE"""),0.746)</f>
        <v>0.746</v>
      </c>
      <c r="O180" s="4">
        <f>IFERROR(__xludf.DUMMYFUNCTION("""COMPUTED_VALUE"""),11.4)</f>
        <v>11.4</v>
      </c>
      <c r="P180" s="4">
        <f>IFERROR(__xludf.DUMMYFUNCTION("""COMPUTED_VALUE"""),3.2)</f>
        <v>3.2</v>
      </c>
      <c r="Q180" s="4">
        <f>IFERROR(__xludf.DUMMYFUNCTION("""COMPUTED_VALUE"""),1.8)</f>
        <v>1.8</v>
      </c>
      <c r="R180" s="4">
        <f>IFERROR(__xludf.DUMMYFUNCTION("""COMPUTED_VALUE"""),0.9)</f>
        <v>0.9</v>
      </c>
      <c r="S180" s="4">
        <f>IFERROR(__xludf.DUMMYFUNCTION("""COMPUTED_VALUE"""),-0.1)</f>
        <v>-0.1</v>
      </c>
      <c r="T180" s="4">
        <f>IFERROR(__xludf.DUMMYFUNCTION("""COMPUTED_VALUE"""),-0.005)</f>
        <v>-0.005</v>
      </c>
      <c r="U180" s="4">
        <f>IFERROR(__xludf.DUMMYFUNCTION("""COMPUTED_VALUE"""),-5.9)</f>
        <v>-5.9</v>
      </c>
      <c r="V180" s="4">
        <f>IFERROR(__xludf.DUMMYFUNCTION("""COMPUTED_VALUE"""),-1.2)</f>
        <v>-1.2</v>
      </c>
    </row>
    <row r="181">
      <c r="A181" s="4">
        <f>IFERROR(__xludf.DUMMYFUNCTION("""COMPUTED_VALUE"""),44.0)</f>
        <v>44</v>
      </c>
      <c r="B181" s="4">
        <f>IFERROR(__xludf.DUMMYFUNCTION("""COMPUTED_VALUE"""),44.0)</f>
        <v>44</v>
      </c>
      <c r="C181" s="4" t="str">
        <f>IFERROR(__xludf.DUMMYFUNCTION("""COMPUTED_VALUE"""),"SAS")</f>
        <v>SAS</v>
      </c>
      <c r="D181" s="4" t="str">
        <f>IFERROR(__xludf.DUMMYFUNCTION("""COMPUTED_VALUE"""),"Sidy Cissoko")</f>
        <v>Sidy Cissoko</v>
      </c>
      <c r="E181" s="4"/>
      <c r="F181" s="4">
        <f>IFERROR(__xludf.DUMMYFUNCTION("""COMPUTED_VALUE"""),3.0)</f>
        <v>3</v>
      </c>
      <c r="G181" s="4">
        <f>IFERROR(__xludf.DUMMYFUNCTION("""COMPUTED_VALUE"""),50.0)</f>
        <v>50</v>
      </c>
      <c r="H181" s="4">
        <f>IFERROR(__xludf.DUMMYFUNCTION("""COMPUTED_VALUE"""),533.0)</f>
        <v>533</v>
      </c>
      <c r="I181" s="4">
        <f>IFERROR(__xludf.DUMMYFUNCTION("""COMPUTED_VALUE"""),145.0)</f>
        <v>145</v>
      </c>
      <c r="J181" s="4">
        <f>IFERROR(__xludf.DUMMYFUNCTION("""COMPUTED_VALUE"""),75.0)</f>
        <v>75</v>
      </c>
      <c r="K181" s="4">
        <f>IFERROR(__xludf.DUMMYFUNCTION("""COMPUTED_VALUE"""),46.0)</f>
        <v>46</v>
      </c>
      <c r="L181" s="4">
        <f>IFERROR(__xludf.DUMMYFUNCTION("""COMPUTED_VALUE"""),0.417)</f>
        <v>0.417</v>
      </c>
      <c r="M181" s="4">
        <f>IFERROR(__xludf.DUMMYFUNCTION("""COMPUTED_VALUE"""),0.226)</f>
        <v>0.226</v>
      </c>
      <c r="N181" s="4">
        <f>IFERROR(__xludf.DUMMYFUNCTION("""COMPUTED_VALUE"""),0.625)</f>
        <v>0.625</v>
      </c>
      <c r="O181" s="4">
        <f>IFERROR(__xludf.DUMMYFUNCTION("""COMPUTED_VALUE"""),10.7)</f>
        <v>10.7</v>
      </c>
      <c r="P181" s="4">
        <f>IFERROR(__xludf.DUMMYFUNCTION("""COMPUTED_VALUE"""),2.9)</f>
        <v>2.9</v>
      </c>
      <c r="Q181" s="4">
        <f>IFERROR(__xludf.DUMMYFUNCTION("""COMPUTED_VALUE"""),1.5)</f>
        <v>1.5</v>
      </c>
      <c r="R181" s="4">
        <f>IFERROR(__xludf.DUMMYFUNCTION("""COMPUTED_VALUE"""),0.9)</f>
        <v>0.9</v>
      </c>
      <c r="S181" s="4">
        <f>IFERROR(__xludf.DUMMYFUNCTION("""COMPUTED_VALUE"""),0.2)</f>
        <v>0.2</v>
      </c>
      <c r="T181" s="4">
        <f>IFERROR(__xludf.DUMMYFUNCTION("""COMPUTED_VALUE"""),0.019)</f>
        <v>0.019</v>
      </c>
      <c r="U181" s="4">
        <f>IFERROR(__xludf.DUMMYFUNCTION("""COMPUTED_VALUE"""),-5.1)</f>
        <v>-5.1</v>
      </c>
      <c r="V181" s="4">
        <f>IFERROR(__xludf.DUMMYFUNCTION("""COMPUTED_VALUE"""),-0.4)</f>
        <v>-0.4</v>
      </c>
    </row>
    <row r="182">
      <c r="A182" s="4">
        <f>IFERROR(__xludf.DUMMYFUNCTION("""COMPUTED_VALUE"""),45.0)</f>
        <v>45</v>
      </c>
      <c r="B182" s="4">
        <f>IFERROR(__xludf.DUMMYFUNCTION("""COMPUTED_VALUE"""),45.0)</f>
        <v>45</v>
      </c>
      <c r="C182" s="4" t="str">
        <f>IFERROR(__xludf.DUMMYFUNCTION("""COMPUTED_VALUE"""),"MEM")</f>
        <v>MEM</v>
      </c>
      <c r="D182" s="4" t="str">
        <f>IFERROR(__xludf.DUMMYFUNCTION("""COMPUTED_VALUE"""),"GG Jackson II")</f>
        <v>GG Jackson II</v>
      </c>
      <c r="E182" s="4" t="str">
        <f>IFERROR(__xludf.DUMMYFUNCTION("""COMPUTED_VALUE"""),"South Carolina")</f>
        <v>South Carolina</v>
      </c>
      <c r="F182" s="4">
        <f>IFERROR(__xludf.DUMMYFUNCTION("""COMPUTED_VALUE"""),3.0)</f>
        <v>3</v>
      </c>
      <c r="G182" s="4">
        <f>IFERROR(__xludf.DUMMYFUNCTION("""COMPUTED_VALUE"""),85.0)</f>
        <v>85</v>
      </c>
      <c r="H182" s="4">
        <f>IFERROR(__xludf.DUMMYFUNCTION("""COMPUTED_VALUE"""),1746.0)</f>
        <v>1746</v>
      </c>
      <c r="I182" s="4">
        <f>IFERROR(__xludf.DUMMYFUNCTION("""COMPUTED_VALUE"""),928.0)</f>
        <v>928</v>
      </c>
      <c r="J182" s="4">
        <f>IFERROR(__xludf.DUMMYFUNCTION("""COMPUTED_VALUE"""),302.0)</f>
        <v>302</v>
      </c>
      <c r="K182" s="4">
        <f>IFERROR(__xludf.DUMMYFUNCTION("""COMPUTED_VALUE"""),90.0)</f>
        <v>90</v>
      </c>
      <c r="L182" s="4">
        <f>IFERROR(__xludf.DUMMYFUNCTION("""COMPUTED_VALUE"""),0.408)</f>
        <v>0.408</v>
      </c>
      <c r="M182" s="4">
        <f>IFERROR(__xludf.DUMMYFUNCTION("""COMPUTED_VALUE"""),0.341)</f>
        <v>0.341</v>
      </c>
      <c r="N182" s="4">
        <f>IFERROR(__xludf.DUMMYFUNCTION("""COMPUTED_VALUE"""),0.743)</f>
        <v>0.743</v>
      </c>
      <c r="O182" s="4">
        <f>IFERROR(__xludf.DUMMYFUNCTION("""COMPUTED_VALUE"""),20.5)</f>
        <v>20.5</v>
      </c>
      <c r="P182" s="4">
        <f>IFERROR(__xludf.DUMMYFUNCTION("""COMPUTED_VALUE"""),10.9)</f>
        <v>10.9</v>
      </c>
      <c r="Q182" s="4">
        <f>IFERROR(__xludf.DUMMYFUNCTION("""COMPUTED_VALUE"""),3.6)</f>
        <v>3.6</v>
      </c>
      <c r="R182" s="4">
        <f>IFERROR(__xludf.DUMMYFUNCTION("""COMPUTED_VALUE"""),1.1)</f>
        <v>1.1</v>
      </c>
      <c r="S182" s="4">
        <f>IFERROR(__xludf.DUMMYFUNCTION("""COMPUTED_VALUE"""),1.2)</f>
        <v>1.2</v>
      </c>
      <c r="T182" s="4">
        <f>IFERROR(__xludf.DUMMYFUNCTION("""COMPUTED_VALUE"""),0.032)</f>
        <v>0.032</v>
      </c>
      <c r="U182" s="4">
        <f>IFERROR(__xludf.DUMMYFUNCTION("""COMPUTED_VALUE"""),-3.1)</f>
        <v>-3.1</v>
      </c>
      <c r="V182" s="4">
        <f>IFERROR(__xludf.DUMMYFUNCTION("""COMPUTED_VALUE"""),-0.5)</f>
        <v>-0.5</v>
      </c>
    </row>
    <row r="183">
      <c r="A183" s="4">
        <f>IFERROR(__xludf.DUMMYFUNCTION("""COMPUTED_VALUE"""),46.0)</f>
        <v>46</v>
      </c>
      <c r="B183" s="4">
        <f>IFERROR(__xludf.DUMMYFUNCTION("""COMPUTED_VALUE"""),46.0)</f>
        <v>46</v>
      </c>
      <c r="C183" s="4" t="str">
        <f>IFERROR(__xludf.DUMMYFUNCTION("""COMPUTED_VALUE"""),"ATL")</f>
        <v>ATL</v>
      </c>
      <c r="D183" s="4" t="str">
        <f>IFERROR(__xludf.DUMMYFUNCTION("""COMPUTED_VALUE"""),"Seth Lundy")</f>
        <v>Seth Lundy</v>
      </c>
      <c r="E183" s="4" t="str">
        <f>IFERROR(__xludf.DUMMYFUNCTION("""COMPUTED_VALUE"""),"Penn State")</f>
        <v>Penn State</v>
      </c>
      <c r="F183" s="4">
        <f>IFERROR(__xludf.DUMMYFUNCTION("""COMPUTED_VALUE"""),1.0)</f>
        <v>1</v>
      </c>
      <c r="G183" s="4">
        <f>IFERROR(__xludf.DUMMYFUNCTION("""COMPUTED_VALUE"""),9.0)</f>
        <v>9</v>
      </c>
      <c r="H183" s="4">
        <f>IFERROR(__xludf.DUMMYFUNCTION("""COMPUTED_VALUE"""),52.0)</f>
        <v>52</v>
      </c>
      <c r="I183" s="4">
        <f>IFERROR(__xludf.DUMMYFUNCTION("""COMPUTED_VALUE"""),14.0)</f>
        <v>14</v>
      </c>
      <c r="J183" s="4">
        <f>IFERROR(__xludf.DUMMYFUNCTION("""COMPUTED_VALUE"""),7.0)</f>
        <v>7</v>
      </c>
      <c r="K183" s="4">
        <f>IFERROR(__xludf.DUMMYFUNCTION("""COMPUTED_VALUE"""),0.0)</f>
        <v>0</v>
      </c>
      <c r="L183" s="4">
        <f>IFERROR(__xludf.DUMMYFUNCTION("""COMPUTED_VALUE"""),0.235)</f>
        <v>0.235</v>
      </c>
      <c r="M183" s="4">
        <f>IFERROR(__xludf.DUMMYFUNCTION("""COMPUTED_VALUE"""),0.231)</f>
        <v>0.231</v>
      </c>
      <c r="N183" s="4">
        <f>IFERROR(__xludf.DUMMYFUNCTION("""COMPUTED_VALUE"""),0.75)</f>
        <v>0.75</v>
      </c>
      <c r="O183" s="4">
        <f>IFERROR(__xludf.DUMMYFUNCTION("""COMPUTED_VALUE"""),5.8)</f>
        <v>5.8</v>
      </c>
      <c r="P183" s="4">
        <f>IFERROR(__xludf.DUMMYFUNCTION("""COMPUTED_VALUE"""),1.6)</f>
        <v>1.6</v>
      </c>
      <c r="Q183" s="4">
        <f>IFERROR(__xludf.DUMMYFUNCTION("""COMPUTED_VALUE"""),0.8)</f>
        <v>0.8</v>
      </c>
      <c r="R183" s="4">
        <f>IFERROR(__xludf.DUMMYFUNCTION("""COMPUTED_VALUE"""),0.0)</f>
        <v>0</v>
      </c>
      <c r="S183" s="4">
        <f>IFERROR(__xludf.DUMMYFUNCTION("""COMPUTED_VALUE"""),-0.1)</f>
        <v>-0.1</v>
      </c>
      <c r="T183" s="4">
        <f>IFERROR(__xludf.DUMMYFUNCTION("""COMPUTED_VALUE"""),-0.092)</f>
        <v>-0.092</v>
      </c>
      <c r="U183" s="4">
        <f>IFERROR(__xludf.DUMMYFUNCTION("""COMPUTED_VALUE"""),-12.7)</f>
        <v>-12.7</v>
      </c>
      <c r="V183" s="4">
        <f>IFERROR(__xludf.DUMMYFUNCTION("""COMPUTED_VALUE"""),-0.1)</f>
        <v>-0.1</v>
      </c>
    </row>
    <row r="184">
      <c r="A184" s="4">
        <f>IFERROR(__xludf.DUMMYFUNCTION("""COMPUTED_VALUE"""),47.0)</f>
        <v>47</v>
      </c>
      <c r="B184" s="4">
        <f>IFERROR(__xludf.DUMMYFUNCTION("""COMPUTED_VALUE"""),47.0)</f>
        <v>47</v>
      </c>
      <c r="C184" s="4" t="str">
        <f>IFERROR(__xludf.DUMMYFUNCTION("""COMPUTED_VALUE"""),"LAL")</f>
        <v>LAL</v>
      </c>
      <c r="D184" s="4" t="str">
        <f>IFERROR(__xludf.DUMMYFUNCTION("""COMPUTED_VALUE"""),"Mojave King")</f>
        <v>Mojave King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>
        <f>IFERROR(__xludf.DUMMYFUNCTION("""COMPUTED_VALUE"""),48.0)</f>
        <v>48</v>
      </c>
      <c r="B185" s="4">
        <f>IFERROR(__xludf.DUMMYFUNCTION("""COMPUTED_VALUE"""),48.0)</f>
        <v>48</v>
      </c>
      <c r="C185" s="4" t="str">
        <f>IFERROR(__xludf.DUMMYFUNCTION("""COMPUTED_VALUE"""),"LAC")</f>
        <v>LAC</v>
      </c>
      <c r="D185" s="4" t="str">
        <f>IFERROR(__xludf.DUMMYFUNCTION("""COMPUTED_VALUE"""),"Jordan Miller")</f>
        <v>Jordan Miller</v>
      </c>
      <c r="E185" s="4" t="str">
        <f>IFERROR(__xludf.DUMMYFUNCTION("""COMPUTED_VALUE"""),"Miami (FL)")</f>
        <v>Miami (FL)</v>
      </c>
      <c r="F185" s="4">
        <f>IFERROR(__xludf.DUMMYFUNCTION("""COMPUTED_VALUE"""),3.0)</f>
        <v>3</v>
      </c>
      <c r="G185" s="4">
        <f>IFERROR(__xludf.DUMMYFUNCTION("""COMPUTED_VALUE"""),49.0)</f>
        <v>49</v>
      </c>
      <c r="H185" s="4">
        <f>IFERROR(__xludf.DUMMYFUNCTION("""COMPUTED_VALUE"""),502.0)</f>
        <v>502</v>
      </c>
      <c r="I185" s="4">
        <f>IFERROR(__xludf.DUMMYFUNCTION("""COMPUTED_VALUE"""),199.0)</f>
        <v>199</v>
      </c>
      <c r="J185" s="4">
        <f>IFERROR(__xludf.DUMMYFUNCTION("""COMPUTED_VALUE"""),72.0)</f>
        <v>72</v>
      </c>
      <c r="K185" s="4">
        <f>IFERROR(__xludf.DUMMYFUNCTION("""COMPUTED_VALUE"""),37.0)</f>
        <v>37</v>
      </c>
      <c r="L185" s="4">
        <f>IFERROR(__xludf.DUMMYFUNCTION("""COMPUTED_VALUE"""),0.444)</f>
        <v>0.444</v>
      </c>
      <c r="M185" s="4">
        <f>IFERROR(__xludf.DUMMYFUNCTION("""COMPUTED_VALUE"""),0.28)</f>
        <v>0.28</v>
      </c>
      <c r="N185" s="4">
        <f>IFERROR(__xludf.DUMMYFUNCTION("""COMPUTED_VALUE"""),0.837)</f>
        <v>0.837</v>
      </c>
      <c r="O185" s="4">
        <f>IFERROR(__xludf.DUMMYFUNCTION("""COMPUTED_VALUE"""),10.2)</f>
        <v>10.2</v>
      </c>
      <c r="P185" s="4">
        <f>IFERROR(__xludf.DUMMYFUNCTION("""COMPUTED_VALUE"""),4.1)</f>
        <v>4.1</v>
      </c>
      <c r="Q185" s="4">
        <f>IFERROR(__xludf.DUMMYFUNCTION("""COMPUTED_VALUE"""),1.5)</f>
        <v>1.5</v>
      </c>
      <c r="R185" s="4">
        <f>IFERROR(__xludf.DUMMYFUNCTION("""COMPUTED_VALUE"""),0.8)</f>
        <v>0.8</v>
      </c>
      <c r="S185" s="4">
        <f>IFERROR(__xludf.DUMMYFUNCTION("""COMPUTED_VALUE"""),0.7)</f>
        <v>0.7</v>
      </c>
      <c r="T185" s="4">
        <f>IFERROR(__xludf.DUMMYFUNCTION("""COMPUTED_VALUE"""),0.066)</f>
        <v>0.066</v>
      </c>
      <c r="U185" s="4">
        <f>IFERROR(__xludf.DUMMYFUNCTION("""COMPUTED_VALUE"""),-2.2)</f>
        <v>-2.2</v>
      </c>
      <c r="V185" s="4">
        <f>IFERROR(__xludf.DUMMYFUNCTION("""COMPUTED_VALUE"""),0.0)</f>
        <v>0</v>
      </c>
    </row>
    <row r="186">
      <c r="A186" s="4">
        <f>IFERROR(__xludf.DUMMYFUNCTION("""COMPUTED_VALUE"""),49.0)</f>
        <v>49</v>
      </c>
      <c r="B186" s="4">
        <f>IFERROR(__xludf.DUMMYFUNCTION("""COMPUTED_VALUE"""),49.0)</f>
        <v>49</v>
      </c>
      <c r="C186" s="4" t="str">
        <f>IFERROR(__xludf.DUMMYFUNCTION("""COMPUTED_VALUE"""),"CLE")</f>
        <v>CLE</v>
      </c>
      <c r="D186" s="4" t="str">
        <f>IFERROR(__xludf.DUMMYFUNCTION("""COMPUTED_VALUE"""),"Emoni Bates")</f>
        <v>Emoni Bates</v>
      </c>
      <c r="E186" s="4" t="str">
        <f>IFERROR(__xludf.DUMMYFUNCTION("""COMPUTED_VALUE"""),"Eastern Michigan")</f>
        <v>Eastern Michigan</v>
      </c>
      <c r="F186" s="4">
        <f>IFERROR(__xludf.DUMMYFUNCTION("""COMPUTED_VALUE"""),2.0)</f>
        <v>2</v>
      </c>
      <c r="G186" s="4">
        <f>IFERROR(__xludf.DUMMYFUNCTION("""COMPUTED_VALUE"""),25.0)</f>
        <v>25</v>
      </c>
      <c r="H186" s="4">
        <f>IFERROR(__xludf.DUMMYFUNCTION("""COMPUTED_VALUE"""),208.0)</f>
        <v>208</v>
      </c>
      <c r="I186" s="4">
        <f>IFERROR(__xludf.DUMMYFUNCTION("""COMPUTED_VALUE"""),78.0)</f>
        <v>78</v>
      </c>
      <c r="J186" s="4">
        <f>IFERROR(__xludf.DUMMYFUNCTION("""COMPUTED_VALUE"""),21.0)</f>
        <v>21</v>
      </c>
      <c r="K186" s="4">
        <f>IFERROR(__xludf.DUMMYFUNCTION("""COMPUTED_VALUE"""),18.0)</f>
        <v>18</v>
      </c>
      <c r="L186" s="4">
        <f>IFERROR(__xludf.DUMMYFUNCTION("""COMPUTED_VALUE"""),0.322)</f>
        <v>0.322</v>
      </c>
      <c r="M186" s="4">
        <f>IFERROR(__xludf.DUMMYFUNCTION("""COMPUTED_VALUE"""),0.333)</f>
        <v>0.333</v>
      </c>
      <c r="N186" s="4">
        <f>IFERROR(__xludf.DUMMYFUNCTION("""COMPUTED_VALUE"""),0.25)</f>
        <v>0.25</v>
      </c>
      <c r="O186" s="4">
        <f>IFERROR(__xludf.DUMMYFUNCTION("""COMPUTED_VALUE"""),8.3)</f>
        <v>8.3</v>
      </c>
      <c r="P186" s="4">
        <f>IFERROR(__xludf.DUMMYFUNCTION("""COMPUTED_VALUE"""),3.1)</f>
        <v>3.1</v>
      </c>
      <c r="Q186" s="4">
        <f>IFERROR(__xludf.DUMMYFUNCTION("""COMPUTED_VALUE"""),0.8)</f>
        <v>0.8</v>
      </c>
      <c r="R186" s="4">
        <f>IFERROR(__xludf.DUMMYFUNCTION("""COMPUTED_VALUE"""),0.7)</f>
        <v>0.7</v>
      </c>
      <c r="S186" s="4">
        <f>IFERROR(__xludf.DUMMYFUNCTION("""COMPUTED_VALUE"""),-0.2)</f>
        <v>-0.2</v>
      </c>
      <c r="T186" s="4">
        <f>IFERROR(__xludf.DUMMYFUNCTION("""COMPUTED_VALUE"""),-0.045)</f>
        <v>-0.045</v>
      </c>
      <c r="U186" s="4">
        <f>IFERROR(__xludf.DUMMYFUNCTION("""COMPUTED_VALUE"""),-6.4)</f>
        <v>-6.4</v>
      </c>
      <c r="V186" s="4">
        <f>IFERROR(__xludf.DUMMYFUNCTION("""COMPUTED_VALUE"""),-0.2)</f>
        <v>-0.2</v>
      </c>
    </row>
    <row r="187">
      <c r="A187" s="4">
        <f>IFERROR(__xludf.DUMMYFUNCTION("""COMPUTED_VALUE"""),50.0)</f>
        <v>50</v>
      </c>
      <c r="B187" s="4">
        <f>IFERROR(__xludf.DUMMYFUNCTION("""COMPUTED_VALUE"""),50.0)</f>
        <v>50</v>
      </c>
      <c r="C187" s="4" t="str">
        <f>IFERROR(__xludf.DUMMYFUNCTION("""COMPUTED_VALUE"""),"OKC")</f>
        <v>OKC</v>
      </c>
      <c r="D187" s="4" t="str">
        <f>IFERROR(__xludf.DUMMYFUNCTION("""COMPUTED_VALUE"""),"Keyontae Johnson")</f>
        <v>Keyontae Johnson</v>
      </c>
      <c r="E187" s="4" t="str">
        <f>IFERROR(__xludf.DUMMYFUNCTION("""COMPUTED_VALUE"""),"Kansas State")</f>
        <v>Kansas State</v>
      </c>
      <c r="F187" s="4">
        <f>IFERROR(__xludf.DUMMYFUNCTION("""COMPUTED_VALUE"""),1.0)</f>
        <v>1</v>
      </c>
      <c r="G187" s="4">
        <f>IFERROR(__xludf.DUMMYFUNCTION("""COMPUTED_VALUE"""),9.0)</f>
        <v>9</v>
      </c>
      <c r="H187" s="4">
        <f>IFERROR(__xludf.DUMMYFUNCTION("""COMPUTED_VALUE"""),66.0)</f>
        <v>66</v>
      </c>
      <c r="I187" s="4">
        <f>IFERROR(__xludf.DUMMYFUNCTION("""COMPUTED_VALUE"""),11.0)</f>
        <v>11</v>
      </c>
      <c r="J187" s="4">
        <f>IFERROR(__xludf.DUMMYFUNCTION("""COMPUTED_VALUE"""),10.0)</f>
        <v>10</v>
      </c>
      <c r="K187" s="4">
        <f>IFERROR(__xludf.DUMMYFUNCTION("""COMPUTED_VALUE"""),4.0)</f>
        <v>4</v>
      </c>
      <c r="L187" s="4">
        <f>IFERROR(__xludf.DUMMYFUNCTION("""COMPUTED_VALUE"""),0.313)</f>
        <v>0.313</v>
      </c>
      <c r="M187" s="4">
        <f>IFERROR(__xludf.DUMMYFUNCTION("""COMPUTED_VALUE"""),0.333)</f>
        <v>0.333</v>
      </c>
      <c r="N187" s="4"/>
      <c r="O187" s="4">
        <f>IFERROR(__xludf.DUMMYFUNCTION("""COMPUTED_VALUE"""),7.3)</f>
        <v>7.3</v>
      </c>
      <c r="P187" s="4">
        <f>IFERROR(__xludf.DUMMYFUNCTION("""COMPUTED_VALUE"""),1.2)</f>
        <v>1.2</v>
      </c>
      <c r="Q187" s="4">
        <f>IFERROR(__xludf.DUMMYFUNCTION("""COMPUTED_VALUE"""),1.1)</f>
        <v>1.1</v>
      </c>
      <c r="R187" s="4">
        <f>IFERROR(__xludf.DUMMYFUNCTION("""COMPUTED_VALUE"""),0.4)</f>
        <v>0.4</v>
      </c>
      <c r="S187" s="4">
        <f>IFERROR(__xludf.DUMMYFUNCTION("""COMPUTED_VALUE"""),-0.1)</f>
        <v>-0.1</v>
      </c>
      <c r="T187" s="4">
        <f>IFERROR(__xludf.DUMMYFUNCTION("""COMPUTED_VALUE"""),-0.068)</f>
        <v>-0.068</v>
      </c>
      <c r="U187" s="4">
        <f>IFERROR(__xludf.DUMMYFUNCTION("""COMPUTED_VALUE"""),-9.8)</f>
        <v>-9.8</v>
      </c>
      <c r="V187" s="4">
        <f>IFERROR(__xludf.DUMMYFUNCTION("""COMPUTED_VALUE"""),-0.1)</f>
        <v>-0.1</v>
      </c>
    </row>
    <row r="188">
      <c r="A188" s="4">
        <f>IFERROR(__xludf.DUMMYFUNCTION("""COMPUTED_VALUE"""),51.0)</f>
        <v>51</v>
      </c>
      <c r="B188" s="4">
        <f>IFERROR(__xludf.DUMMYFUNCTION("""COMPUTED_VALUE"""),51.0)</f>
        <v>51</v>
      </c>
      <c r="C188" s="4" t="str">
        <f>IFERROR(__xludf.DUMMYFUNCTION("""COMPUTED_VALUE"""),"BRK")</f>
        <v>BRK</v>
      </c>
      <c r="D188" s="4" t="str">
        <f>IFERROR(__xludf.DUMMYFUNCTION("""COMPUTED_VALUE"""),"Jalen Wilson")</f>
        <v>Jalen Wilson</v>
      </c>
      <c r="E188" s="4" t="str">
        <f>IFERROR(__xludf.DUMMYFUNCTION("""COMPUTED_VALUE"""),"Kansas")</f>
        <v>Kansas</v>
      </c>
      <c r="F188" s="4">
        <f>IFERROR(__xludf.DUMMYFUNCTION("""COMPUTED_VALUE"""),3.0)</f>
        <v>3</v>
      </c>
      <c r="G188" s="4">
        <f>IFERROR(__xludf.DUMMYFUNCTION("""COMPUTED_VALUE"""),138.0)</f>
        <v>138</v>
      </c>
      <c r="H188" s="4">
        <f>IFERROR(__xludf.DUMMYFUNCTION("""COMPUTED_VALUE"""),2935.0)</f>
        <v>2935</v>
      </c>
      <c r="I188" s="4">
        <f>IFERROR(__xludf.DUMMYFUNCTION("""COMPUTED_VALUE"""),1052.0)</f>
        <v>1052</v>
      </c>
      <c r="J188" s="4">
        <f>IFERROR(__xludf.DUMMYFUNCTION("""COMPUTED_VALUE"""),418.0)</f>
        <v>418</v>
      </c>
      <c r="K188" s="4">
        <f>IFERROR(__xludf.DUMMYFUNCTION("""COMPUTED_VALUE"""),201.0)</f>
        <v>201</v>
      </c>
      <c r="L188" s="4">
        <f>IFERROR(__xludf.DUMMYFUNCTION("""COMPUTED_VALUE"""),0.4)</f>
        <v>0.4</v>
      </c>
      <c r="M188" s="4">
        <f>IFERROR(__xludf.DUMMYFUNCTION("""COMPUTED_VALUE"""),0.337)</f>
        <v>0.337</v>
      </c>
      <c r="N188" s="4">
        <f>IFERROR(__xludf.DUMMYFUNCTION("""COMPUTED_VALUE"""),0.817)</f>
        <v>0.817</v>
      </c>
      <c r="O188" s="4">
        <f>IFERROR(__xludf.DUMMYFUNCTION("""COMPUTED_VALUE"""),21.3)</f>
        <v>21.3</v>
      </c>
      <c r="P188" s="4">
        <f>IFERROR(__xludf.DUMMYFUNCTION("""COMPUTED_VALUE"""),7.6)</f>
        <v>7.6</v>
      </c>
      <c r="Q188" s="4">
        <f>IFERROR(__xludf.DUMMYFUNCTION("""COMPUTED_VALUE"""),3.0)</f>
        <v>3</v>
      </c>
      <c r="R188" s="4">
        <f>IFERROR(__xludf.DUMMYFUNCTION("""COMPUTED_VALUE"""),1.5)</f>
        <v>1.5</v>
      </c>
      <c r="S188" s="4">
        <f>IFERROR(__xludf.DUMMYFUNCTION("""COMPUTED_VALUE"""),2.9)</f>
        <v>2.9</v>
      </c>
      <c r="T188" s="4">
        <f>IFERROR(__xludf.DUMMYFUNCTION("""COMPUTED_VALUE"""),0.047)</f>
        <v>0.047</v>
      </c>
      <c r="U188" s="4">
        <f>IFERROR(__xludf.DUMMYFUNCTION("""COMPUTED_VALUE"""),-3.9)</f>
        <v>-3.9</v>
      </c>
      <c r="V188" s="4">
        <f>IFERROR(__xludf.DUMMYFUNCTION("""COMPUTED_VALUE"""),-1.4)</f>
        <v>-1.4</v>
      </c>
    </row>
    <row r="189">
      <c r="A189" s="4">
        <f>IFERROR(__xludf.DUMMYFUNCTION("""COMPUTED_VALUE"""),52.0)</f>
        <v>52</v>
      </c>
      <c r="B189" s="4">
        <f>IFERROR(__xludf.DUMMYFUNCTION("""COMPUTED_VALUE"""),52.0)</f>
        <v>52</v>
      </c>
      <c r="C189" s="4" t="str">
        <f>IFERROR(__xludf.DUMMYFUNCTION("""COMPUTED_VALUE"""),"PHO")</f>
        <v>PHO</v>
      </c>
      <c r="D189" s="4" t="str">
        <f>IFERROR(__xludf.DUMMYFUNCTION("""COMPUTED_VALUE"""),"Toumani Camara")</f>
        <v>Toumani Camara</v>
      </c>
      <c r="E189" s="4" t="str">
        <f>IFERROR(__xludf.DUMMYFUNCTION("""COMPUTED_VALUE"""),"Dayton")</f>
        <v>Dayton</v>
      </c>
      <c r="F189" s="4">
        <f>IFERROR(__xludf.DUMMYFUNCTION("""COMPUTED_VALUE"""),3.0)</f>
        <v>3</v>
      </c>
      <c r="G189" s="4">
        <f>IFERROR(__xludf.DUMMYFUNCTION("""COMPUTED_VALUE"""),169.0)</f>
        <v>169</v>
      </c>
      <c r="H189" s="4">
        <f>IFERROR(__xludf.DUMMYFUNCTION("""COMPUTED_VALUE"""),5002.0)</f>
        <v>5002</v>
      </c>
      <c r="I189" s="4">
        <f>IFERROR(__xludf.DUMMYFUNCTION("""COMPUTED_VALUE"""),1676.0)</f>
        <v>1676</v>
      </c>
      <c r="J189" s="4">
        <f>IFERROR(__xludf.DUMMYFUNCTION("""COMPUTED_VALUE"""),907.0)</f>
        <v>907</v>
      </c>
      <c r="K189" s="4">
        <f>IFERROR(__xludf.DUMMYFUNCTION("""COMPUTED_VALUE"""),319.0)</f>
        <v>319</v>
      </c>
      <c r="L189" s="4">
        <f>IFERROR(__xludf.DUMMYFUNCTION("""COMPUTED_VALUE"""),0.448)</f>
        <v>0.448</v>
      </c>
      <c r="M189" s="4">
        <f>IFERROR(__xludf.DUMMYFUNCTION("""COMPUTED_VALUE"""),0.358)</f>
        <v>0.358</v>
      </c>
      <c r="N189" s="4">
        <f>IFERROR(__xludf.DUMMYFUNCTION("""COMPUTED_VALUE"""),0.732)</f>
        <v>0.732</v>
      </c>
      <c r="O189" s="4">
        <f>IFERROR(__xludf.DUMMYFUNCTION("""COMPUTED_VALUE"""),29.6)</f>
        <v>29.6</v>
      </c>
      <c r="P189" s="4">
        <f>IFERROR(__xludf.DUMMYFUNCTION("""COMPUTED_VALUE"""),9.9)</f>
        <v>9.9</v>
      </c>
      <c r="Q189" s="4">
        <f>IFERROR(__xludf.DUMMYFUNCTION("""COMPUTED_VALUE"""),5.4)</f>
        <v>5.4</v>
      </c>
      <c r="R189" s="4">
        <f>IFERROR(__xludf.DUMMYFUNCTION("""COMPUTED_VALUE"""),1.9)</f>
        <v>1.9</v>
      </c>
      <c r="S189" s="4">
        <f>IFERROR(__xludf.DUMMYFUNCTION("""COMPUTED_VALUE"""),7.7)</f>
        <v>7.7</v>
      </c>
      <c r="T189" s="4">
        <f>IFERROR(__xludf.DUMMYFUNCTION("""COMPUTED_VALUE"""),0.074)</f>
        <v>0.074</v>
      </c>
      <c r="U189" s="4">
        <f>IFERROR(__xludf.DUMMYFUNCTION("""COMPUTED_VALUE"""),-1.5)</f>
        <v>-1.5</v>
      </c>
      <c r="V189" s="4">
        <f>IFERROR(__xludf.DUMMYFUNCTION("""COMPUTED_VALUE"""),0.6)</f>
        <v>0.6</v>
      </c>
    </row>
    <row r="190">
      <c r="A190" s="4">
        <f>IFERROR(__xludf.DUMMYFUNCTION("""COMPUTED_VALUE"""),53.0)</f>
        <v>53</v>
      </c>
      <c r="B190" s="4">
        <f>IFERROR(__xludf.DUMMYFUNCTION("""COMPUTED_VALUE"""),53.0)</f>
        <v>53</v>
      </c>
      <c r="C190" s="4" t="str">
        <f>IFERROR(__xludf.DUMMYFUNCTION("""COMPUTED_VALUE"""),"MIN")</f>
        <v>MIN</v>
      </c>
      <c r="D190" s="4" t="str">
        <f>IFERROR(__xludf.DUMMYFUNCTION("""COMPUTED_VALUE"""),"Jaylen Clark")</f>
        <v>Jaylen Clark</v>
      </c>
      <c r="E190" s="4" t="str">
        <f>IFERROR(__xludf.DUMMYFUNCTION("""COMPUTED_VALUE"""),"UCLA")</f>
        <v>UCLA</v>
      </c>
      <c r="F190" s="4">
        <f>IFERROR(__xludf.DUMMYFUNCTION("""COMPUTED_VALUE"""),2.0)</f>
        <v>2</v>
      </c>
      <c r="G190" s="4">
        <f>IFERROR(__xludf.DUMMYFUNCTION("""COMPUTED_VALUE"""),59.0)</f>
        <v>59</v>
      </c>
      <c r="H190" s="4">
        <f>IFERROR(__xludf.DUMMYFUNCTION("""COMPUTED_VALUE"""),804.0)</f>
        <v>804</v>
      </c>
      <c r="I190" s="4">
        <f>IFERROR(__xludf.DUMMYFUNCTION("""COMPUTED_VALUE"""),245.0)</f>
        <v>245</v>
      </c>
      <c r="J190" s="4">
        <f>IFERROR(__xludf.DUMMYFUNCTION("""COMPUTED_VALUE"""),96.0)</f>
        <v>96</v>
      </c>
      <c r="K190" s="4">
        <f>IFERROR(__xludf.DUMMYFUNCTION("""COMPUTED_VALUE"""),35.0)</f>
        <v>35</v>
      </c>
      <c r="L190" s="4">
        <f>IFERROR(__xludf.DUMMYFUNCTION("""COMPUTED_VALUE"""),0.449)</f>
        <v>0.449</v>
      </c>
      <c r="M190" s="4">
        <f>IFERROR(__xludf.DUMMYFUNCTION("""COMPUTED_VALUE"""),0.407)</f>
        <v>0.407</v>
      </c>
      <c r="N190" s="4">
        <f>IFERROR(__xludf.DUMMYFUNCTION("""COMPUTED_VALUE"""),0.712)</f>
        <v>0.712</v>
      </c>
      <c r="O190" s="4">
        <f>IFERROR(__xludf.DUMMYFUNCTION("""COMPUTED_VALUE"""),13.6)</f>
        <v>13.6</v>
      </c>
      <c r="P190" s="4">
        <f>IFERROR(__xludf.DUMMYFUNCTION("""COMPUTED_VALUE"""),4.2)</f>
        <v>4.2</v>
      </c>
      <c r="Q190" s="4">
        <f>IFERROR(__xludf.DUMMYFUNCTION("""COMPUTED_VALUE"""),1.6)</f>
        <v>1.6</v>
      </c>
      <c r="R190" s="4">
        <f>IFERROR(__xludf.DUMMYFUNCTION("""COMPUTED_VALUE"""),0.6)</f>
        <v>0.6</v>
      </c>
      <c r="S190" s="4">
        <f>IFERROR(__xludf.DUMMYFUNCTION("""COMPUTED_VALUE"""),2.1)</f>
        <v>2.1</v>
      </c>
      <c r="T190" s="4">
        <f>IFERROR(__xludf.DUMMYFUNCTION("""COMPUTED_VALUE"""),0.128)</f>
        <v>0.128</v>
      </c>
      <c r="U190" s="4">
        <f>IFERROR(__xludf.DUMMYFUNCTION("""COMPUTED_VALUE"""),-1.0)</f>
        <v>-1</v>
      </c>
      <c r="V190" s="4">
        <f>IFERROR(__xludf.DUMMYFUNCTION("""COMPUTED_VALUE"""),0.2)</f>
        <v>0.2</v>
      </c>
    </row>
    <row r="191">
      <c r="A191" s="4">
        <f>IFERROR(__xludf.DUMMYFUNCTION("""COMPUTED_VALUE"""),54.0)</f>
        <v>54</v>
      </c>
      <c r="B191" s="4">
        <f>IFERROR(__xludf.DUMMYFUNCTION("""COMPUTED_VALUE"""),54.0)</f>
        <v>54</v>
      </c>
      <c r="C191" s="4" t="str">
        <f>IFERROR(__xludf.DUMMYFUNCTION("""COMPUTED_VALUE"""),"SAC")</f>
        <v>SAC</v>
      </c>
      <c r="D191" s="4" t="str">
        <f>IFERROR(__xludf.DUMMYFUNCTION("""COMPUTED_VALUE"""),"Jalen Slawson")</f>
        <v>Jalen Slawson</v>
      </c>
      <c r="E191" s="4" t="str">
        <f>IFERROR(__xludf.DUMMYFUNCTION("""COMPUTED_VALUE"""),"Furman University")</f>
        <v>Furman University</v>
      </c>
      <c r="F191" s="4">
        <f>IFERROR(__xludf.DUMMYFUNCTION("""COMPUTED_VALUE"""),1.0)</f>
        <v>1</v>
      </c>
      <c r="G191" s="4">
        <f>IFERROR(__xludf.DUMMYFUNCTION("""COMPUTED_VALUE"""),12.0)</f>
        <v>12</v>
      </c>
      <c r="H191" s="4">
        <f>IFERROR(__xludf.DUMMYFUNCTION("""COMPUTED_VALUE"""),37.0)</f>
        <v>37</v>
      </c>
      <c r="I191" s="4">
        <f>IFERROR(__xludf.DUMMYFUNCTION("""COMPUTED_VALUE"""),8.0)</f>
        <v>8</v>
      </c>
      <c r="J191" s="4">
        <f>IFERROR(__xludf.DUMMYFUNCTION("""COMPUTED_VALUE"""),7.0)</f>
        <v>7</v>
      </c>
      <c r="K191" s="4">
        <f>IFERROR(__xludf.DUMMYFUNCTION("""COMPUTED_VALUE"""),2.0)</f>
        <v>2</v>
      </c>
      <c r="L191" s="4">
        <f>IFERROR(__xludf.DUMMYFUNCTION("""COMPUTED_VALUE"""),0.667)</f>
        <v>0.667</v>
      </c>
      <c r="M191" s="4">
        <f>IFERROR(__xludf.DUMMYFUNCTION("""COMPUTED_VALUE"""),0.0)</f>
        <v>0</v>
      </c>
      <c r="N191" s="4"/>
      <c r="O191" s="4">
        <f>IFERROR(__xludf.DUMMYFUNCTION("""COMPUTED_VALUE"""),3.1)</f>
        <v>3.1</v>
      </c>
      <c r="P191" s="4">
        <f>IFERROR(__xludf.DUMMYFUNCTION("""COMPUTED_VALUE"""),0.7)</f>
        <v>0.7</v>
      </c>
      <c r="Q191" s="4">
        <f>IFERROR(__xludf.DUMMYFUNCTION("""COMPUTED_VALUE"""),0.6)</f>
        <v>0.6</v>
      </c>
      <c r="R191" s="4">
        <f>IFERROR(__xludf.DUMMYFUNCTION("""COMPUTED_VALUE"""),0.2)</f>
        <v>0.2</v>
      </c>
      <c r="S191" s="4">
        <f>IFERROR(__xludf.DUMMYFUNCTION("""COMPUTED_VALUE"""),0.0)</f>
        <v>0</v>
      </c>
      <c r="T191" s="4">
        <f>IFERROR(__xludf.DUMMYFUNCTION("""COMPUTED_VALUE"""),0.058)</f>
        <v>0.058</v>
      </c>
      <c r="U191" s="4">
        <f>IFERROR(__xludf.DUMMYFUNCTION("""COMPUTED_VALUE"""),-6.4)</f>
        <v>-6.4</v>
      </c>
      <c r="V191" s="4">
        <f>IFERROR(__xludf.DUMMYFUNCTION("""COMPUTED_VALUE"""),0.0)</f>
        <v>0</v>
      </c>
    </row>
    <row r="192">
      <c r="A192" s="4">
        <f>IFERROR(__xludf.DUMMYFUNCTION("""COMPUTED_VALUE"""),55.0)</f>
        <v>55</v>
      </c>
      <c r="B192" s="4">
        <f>IFERROR(__xludf.DUMMYFUNCTION("""COMPUTED_VALUE"""),55.0)</f>
        <v>55</v>
      </c>
      <c r="C192" s="4" t="str">
        <f>IFERROR(__xludf.DUMMYFUNCTION("""COMPUTED_VALUE"""),"IND")</f>
        <v>IND</v>
      </c>
      <c r="D192" s="4" t="str">
        <f>IFERROR(__xludf.DUMMYFUNCTION("""COMPUTED_VALUE"""),"Isaiah Wong")</f>
        <v>Isaiah Wong</v>
      </c>
      <c r="E192" s="4" t="str">
        <f>IFERROR(__xludf.DUMMYFUNCTION("""COMPUTED_VALUE"""),"Miami (FL)")</f>
        <v>Miami (FL)</v>
      </c>
      <c r="F192" s="4">
        <f>IFERROR(__xludf.DUMMYFUNCTION("""COMPUTED_VALUE"""),2.0)</f>
        <v>2</v>
      </c>
      <c r="G192" s="4">
        <f>IFERROR(__xludf.DUMMYFUNCTION("""COMPUTED_VALUE"""),21.0)</f>
        <v>21</v>
      </c>
      <c r="H192" s="4">
        <f>IFERROR(__xludf.DUMMYFUNCTION("""COMPUTED_VALUE"""),269.0)</f>
        <v>269</v>
      </c>
      <c r="I192" s="4">
        <f>IFERROR(__xludf.DUMMYFUNCTION("""COMPUTED_VALUE"""),122.0)</f>
        <v>122</v>
      </c>
      <c r="J192" s="4">
        <f>IFERROR(__xludf.DUMMYFUNCTION("""COMPUTED_VALUE"""),32.0)</f>
        <v>32</v>
      </c>
      <c r="K192" s="4">
        <f>IFERROR(__xludf.DUMMYFUNCTION("""COMPUTED_VALUE"""),28.0)</f>
        <v>28</v>
      </c>
      <c r="L192" s="4">
        <f>IFERROR(__xludf.DUMMYFUNCTION("""COMPUTED_VALUE"""),0.389)</f>
        <v>0.389</v>
      </c>
      <c r="M192" s="4">
        <f>IFERROR(__xludf.DUMMYFUNCTION("""COMPUTED_VALUE"""),0.382)</f>
        <v>0.382</v>
      </c>
      <c r="N192" s="4">
        <f>IFERROR(__xludf.DUMMYFUNCTION("""COMPUTED_VALUE"""),0.735)</f>
        <v>0.735</v>
      </c>
      <c r="O192" s="4">
        <f>IFERROR(__xludf.DUMMYFUNCTION("""COMPUTED_VALUE"""),12.8)</f>
        <v>12.8</v>
      </c>
      <c r="P192" s="4">
        <f>IFERROR(__xludf.DUMMYFUNCTION("""COMPUTED_VALUE"""),5.8)</f>
        <v>5.8</v>
      </c>
      <c r="Q192" s="4">
        <f>IFERROR(__xludf.DUMMYFUNCTION("""COMPUTED_VALUE"""),1.5)</f>
        <v>1.5</v>
      </c>
      <c r="R192" s="4">
        <f>IFERROR(__xludf.DUMMYFUNCTION("""COMPUTED_VALUE"""),1.3)</f>
        <v>1.3</v>
      </c>
      <c r="S192" s="4">
        <f>IFERROR(__xludf.DUMMYFUNCTION("""COMPUTED_VALUE"""),0.0)</f>
        <v>0</v>
      </c>
      <c r="T192" s="4">
        <f>IFERROR(__xludf.DUMMYFUNCTION("""COMPUTED_VALUE"""),0.006)</f>
        <v>0.006</v>
      </c>
      <c r="U192" s="4">
        <f>IFERROR(__xludf.DUMMYFUNCTION("""COMPUTED_VALUE"""),-4.2)</f>
        <v>-4.2</v>
      </c>
      <c r="V192" s="4">
        <f>IFERROR(__xludf.DUMMYFUNCTION("""COMPUTED_VALUE"""),-0.1)</f>
        <v>-0.1</v>
      </c>
    </row>
    <row r="193">
      <c r="A193" s="4">
        <f>IFERROR(__xludf.DUMMYFUNCTION("""COMPUTED_VALUE"""),56.0)</f>
        <v>56</v>
      </c>
      <c r="B193" s="4">
        <f>IFERROR(__xludf.DUMMYFUNCTION("""COMPUTED_VALUE"""),56.0)</f>
        <v>56</v>
      </c>
      <c r="C193" s="4" t="str">
        <f>IFERROR(__xludf.DUMMYFUNCTION("""COMPUTED_VALUE"""),"MEM")</f>
        <v>MEM</v>
      </c>
      <c r="D193" s="4" t="str">
        <f>IFERROR(__xludf.DUMMYFUNCTION("""COMPUTED_VALUE"""),"Tarik Biberovic")</f>
        <v>Tarik Biberovic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>
        <f>IFERROR(__xludf.DUMMYFUNCTION("""COMPUTED_VALUE"""),57.0)</f>
        <v>57</v>
      </c>
      <c r="B194" s="4">
        <f>IFERROR(__xludf.DUMMYFUNCTION("""COMPUTED_VALUE"""),57.0)</f>
        <v>57</v>
      </c>
      <c r="C194" s="4" t="str">
        <f>IFERROR(__xludf.DUMMYFUNCTION("""COMPUTED_VALUE"""),"WAS")</f>
        <v>WAS</v>
      </c>
      <c r="D194" s="4" t="str">
        <f>IFERROR(__xludf.DUMMYFUNCTION("""COMPUTED_VALUE"""),"Trayce Jackson-Davis")</f>
        <v>Trayce Jackson-Davis</v>
      </c>
      <c r="E194" s="4" t="str">
        <f>IFERROR(__xludf.DUMMYFUNCTION("""COMPUTED_VALUE"""),"Indiana")</f>
        <v>Indiana</v>
      </c>
      <c r="F194" s="4">
        <f>IFERROR(__xludf.DUMMYFUNCTION("""COMPUTED_VALUE"""),3.0)</f>
        <v>3</v>
      </c>
      <c r="G194" s="4">
        <f>IFERROR(__xludf.DUMMYFUNCTION("""COMPUTED_VALUE"""),142.0)</f>
        <v>142</v>
      </c>
      <c r="H194" s="4">
        <f>IFERROR(__xludf.DUMMYFUNCTION("""COMPUTED_VALUE"""),2245.0)</f>
        <v>2245</v>
      </c>
      <c r="I194" s="4">
        <f>IFERROR(__xludf.DUMMYFUNCTION("""COMPUTED_VALUE"""),1000.0)</f>
        <v>1000</v>
      </c>
      <c r="J194" s="4">
        <f>IFERROR(__xludf.DUMMYFUNCTION("""COMPUTED_VALUE"""),691.0)</f>
        <v>691</v>
      </c>
      <c r="K194" s="4">
        <f>IFERROR(__xludf.DUMMYFUNCTION("""COMPUTED_VALUE"""),198.0)</f>
        <v>198</v>
      </c>
      <c r="L194" s="4">
        <f>IFERROR(__xludf.DUMMYFUNCTION("""COMPUTED_VALUE"""),0.635)</f>
        <v>0.635</v>
      </c>
      <c r="M194" s="4">
        <f>IFERROR(__xludf.DUMMYFUNCTION("""COMPUTED_VALUE"""),0.0)</f>
        <v>0</v>
      </c>
      <c r="N194" s="4">
        <f>IFERROR(__xludf.DUMMYFUNCTION("""COMPUTED_VALUE"""),0.575)</f>
        <v>0.575</v>
      </c>
      <c r="O194" s="4">
        <f>IFERROR(__xludf.DUMMYFUNCTION("""COMPUTED_VALUE"""),15.8)</f>
        <v>15.8</v>
      </c>
      <c r="P194" s="4">
        <f>IFERROR(__xludf.DUMMYFUNCTION("""COMPUTED_VALUE"""),7.0)</f>
        <v>7</v>
      </c>
      <c r="Q194" s="4">
        <f>IFERROR(__xludf.DUMMYFUNCTION("""COMPUTED_VALUE"""),4.9)</f>
        <v>4.9</v>
      </c>
      <c r="R194" s="4">
        <f>IFERROR(__xludf.DUMMYFUNCTION("""COMPUTED_VALUE"""),1.4)</f>
        <v>1.4</v>
      </c>
      <c r="S194" s="4">
        <f>IFERROR(__xludf.DUMMYFUNCTION("""COMPUTED_VALUE"""),8.6)</f>
        <v>8.6</v>
      </c>
      <c r="T194" s="4">
        <f>IFERROR(__xludf.DUMMYFUNCTION("""COMPUTED_VALUE"""),0.183)</f>
        <v>0.183</v>
      </c>
      <c r="U194" s="4">
        <f>IFERROR(__xludf.DUMMYFUNCTION("""COMPUTED_VALUE"""),1.7)</f>
        <v>1.7</v>
      </c>
      <c r="V194" s="4">
        <f>IFERROR(__xludf.DUMMYFUNCTION("""COMPUTED_VALUE"""),2.1)</f>
        <v>2.1</v>
      </c>
    </row>
    <row r="195">
      <c r="A195" s="4">
        <f>IFERROR(__xludf.DUMMYFUNCTION("""COMPUTED_VALUE"""),58.0)</f>
        <v>58</v>
      </c>
      <c r="B195" s="4">
        <f>IFERROR(__xludf.DUMMYFUNCTION("""COMPUTED_VALUE"""),58.0)</f>
        <v>58</v>
      </c>
      <c r="C195" s="4" t="str">
        <f>IFERROR(__xludf.DUMMYFUNCTION("""COMPUTED_VALUE"""),"MIL")</f>
        <v>MIL</v>
      </c>
      <c r="D195" s="4" t="str">
        <f>IFERROR(__xludf.DUMMYFUNCTION("""COMPUTED_VALUE"""),"Chris Livingston")</f>
        <v>Chris Livingston</v>
      </c>
      <c r="E195" s="4" t="str">
        <f>IFERROR(__xludf.DUMMYFUNCTION("""COMPUTED_VALUE"""),"Kentucky")</f>
        <v>Kentucky</v>
      </c>
      <c r="F195" s="4">
        <f>IFERROR(__xludf.DUMMYFUNCTION("""COMPUTED_VALUE"""),3.0)</f>
        <v>3</v>
      </c>
      <c r="G195" s="4">
        <f>IFERROR(__xludf.DUMMYFUNCTION("""COMPUTED_VALUE"""),44.0)</f>
        <v>44</v>
      </c>
      <c r="H195" s="4">
        <f>IFERROR(__xludf.DUMMYFUNCTION("""COMPUTED_VALUE"""),211.0)</f>
        <v>211</v>
      </c>
      <c r="I195" s="4">
        <f>IFERROR(__xludf.DUMMYFUNCTION("""COMPUTED_VALUE"""),63.0)</f>
        <v>63</v>
      </c>
      <c r="J195" s="4">
        <f>IFERROR(__xludf.DUMMYFUNCTION("""COMPUTED_VALUE"""),59.0)</f>
        <v>59</v>
      </c>
      <c r="K195" s="4">
        <f>IFERROR(__xludf.DUMMYFUNCTION("""COMPUTED_VALUE"""),11.0)</f>
        <v>11</v>
      </c>
      <c r="L195" s="4">
        <f>IFERROR(__xludf.DUMMYFUNCTION("""COMPUTED_VALUE"""),0.426)</f>
        <v>0.426</v>
      </c>
      <c r="M195" s="4">
        <f>IFERROR(__xludf.DUMMYFUNCTION("""COMPUTED_VALUE"""),0.067)</f>
        <v>0.067</v>
      </c>
      <c r="N195" s="4">
        <f>IFERROR(__xludf.DUMMYFUNCTION("""COMPUTED_VALUE"""),0.762)</f>
        <v>0.762</v>
      </c>
      <c r="O195" s="4">
        <f>IFERROR(__xludf.DUMMYFUNCTION("""COMPUTED_VALUE"""),4.8)</f>
        <v>4.8</v>
      </c>
      <c r="P195" s="4">
        <f>IFERROR(__xludf.DUMMYFUNCTION("""COMPUTED_VALUE"""),1.4)</f>
        <v>1.4</v>
      </c>
      <c r="Q195" s="4">
        <f>IFERROR(__xludf.DUMMYFUNCTION("""COMPUTED_VALUE"""),1.3)</f>
        <v>1.3</v>
      </c>
      <c r="R195" s="4">
        <f>IFERROR(__xludf.DUMMYFUNCTION("""COMPUTED_VALUE"""),0.3)</f>
        <v>0.3</v>
      </c>
      <c r="S195" s="4">
        <f>IFERROR(__xludf.DUMMYFUNCTION("""COMPUTED_VALUE"""),0.2)</f>
        <v>0.2</v>
      </c>
      <c r="T195" s="4">
        <f>IFERROR(__xludf.DUMMYFUNCTION("""COMPUTED_VALUE"""),0.043)</f>
        <v>0.043</v>
      </c>
      <c r="U195" s="4">
        <f>IFERROR(__xludf.DUMMYFUNCTION("""COMPUTED_VALUE"""),-6.4)</f>
        <v>-6.4</v>
      </c>
      <c r="V195" s="4">
        <f>IFERROR(__xludf.DUMMYFUNCTION("""COMPUTED_VALUE"""),-0.2)</f>
        <v>-0.2</v>
      </c>
    </row>
    <row r="196">
      <c r="A196" s="4"/>
      <c r="B196" s="4"/>
      <c r="C196" s="4"/>
      <c r="D196" s="4"/>
      <c r="E196" s="4"/>
      <c r="F196" s="4" t="str">
        <f>IFERROR(__xludf.DUMMYFUNCTION("""COMPUTED_VALUE"""),"Chicago Bulls forfeited their Second Round pick.")</f>
        <v>Chicago Bulls forfeited their Second Round pick.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 t="str">
        <f>IFERROR(__xludf.DUMMYFUNCTION("""COMPUTED_VALUE"""),"Philadelphia 76ers forfeited their Second Round pick.")</f>
        <v>Philadelphia 76ers forfeited their Second Round pick.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9">
      <c r="A199" s="2">
        <v>2022.0</v>
      </c>
    </row>
    <row r="200">
      <c r="A200" s="4" t="str">
        <f>IFERROR(__xludf.DUMMYFUNCTION("IMPORTHTML(""https://www.basketball-reference.com/draft/NBA_2022.html"", ""table"", 1)"),"")</f>
        <v/>
      </c>
      <c r="B200" s="4"/>
      <c r="C200" s="4"/>
      <c r="D200" s="4" t="str">
        <f>IFERROR(__xludf.DUMMYFUNCTION("""COMPUTED_VALUE"""),"Round 1")</f>
        <v>Round 1</v>
      </c>
      <c r="E200" s="4"/>
      <c r="F200" s="4"/>
      <c r="G200" s="4" t="str">
        <f>IFERROR(__xludf.DUMMYFUNCTION("""COMPUTED_VALUE"""),"Totals")</f>
        <v>Totals</v>
      </c>
      <c r="H200" s="4"/>
      <c r="I200" s="4"/>
      <c r="J200" s="4"/>
      <c r="K200" s="4"/>
      <c r="L200" s="4" t="str">
        <f>IFERROR(__xludf.DUMMYFUNCTION("""COMPUTED_VALUE"""),"Shooting")</f>
        <v>Shooting</v>
      </c>
      <c r="M200" s="4"/>
      <c r="N200" s="4"/>
      <c r="O200" s="4" t="str">
        <f>IFERROR(__xludf.DUMMYFUNCTION("""COMPUTED_VALUE"""),"Per Game")</f>
        <v>Per Game</v>
      </c>
      <c r="P200" s="4"/>
      <c r="Q200" s="4"/>
      <c r="R200" s="4"/>
      <c r="S200" s="4" t="str">
        <f>IFERROR(__xludf.DUMMYFUNCTION("""COMPUTED_VALUE"""),"Advanced")</f>
        <v>Advanced</v>
      </c>
      <c r="T200" s="4"/>
      <c r="U200" s="4"/>
      <c r="V200" s="4"/>
    </row>
    <row r="201">
      <c r="A201" s="4" t="str">
        <f>IFERROR(__xludf.DUMMYFUNCTION("""COMPUTED_VALUE"""),"Rk")</f>
        <v>Rk</v>
      </c>
      <c r="B201" s="4" t="str">
        <f>IFERROR(__xludf.DUMMYFUNCTION("""COMPUTED_VALUE"""),"Pk")</f>
        <v>Pk</v>
      </c>
      <c r="C201" s="4" t="str">
        <f>IFERROR(__xludf.DUMMYFUNCTION("""COMPUTED_VALUE"""),"Tm")</f>
        <v>Tm</v>
      </c>
      <c r="D201" s="4" t="str">
        <f>IFERROR(__xludf.DUMMYFUNCTION("""COMPUTED_VALUE"""),"Player")</f>
        <v>Player</v>
      </c>
      <c r="E201" s="4" t="str">
        <f>IFERROR(__xludf.DUMMYFUNCTION("""COMPUTED_VALUE"""),"College")</f>
        <v>College</v>
      </c>
      <c r="F201" s="4" t="str">
        <f>IFERROR(__xludf.DUMMYFUNCTION("""COMPUTED_VALUE"""),"Yrs")</f>
        <v>Yrs</v>
      </c>
      <c r="G201" s="4" t="str">
        <f>IFERROR(__xludf.DUMMYFUNCTION("""COMPUTED_VALUE"""),"G")</f>
        <v>G</v>
      </c>
      <c r="H201" s="4" t="str">
        <f>IFERROR(__xludf.DUMMYFUNCTION("""COMPUTED_VALUE"""),"MP")</f>
        <v>MP</v>
      </c>
      <c r="I201" s="4" t="str">
        <f>IFERROR(__xludf.DUMMYFUNCTION("""COMPUTED_VALUE"""),"PTS")</f>
        <v>PTS</v>
      </c>
      <c r="J201" s="4" t="str">
        <f>IFERROR(__xludf.DUMMYFUNCTION("""COMPUTED_VALUE"""),"TRB")</f>
        <v>TRB</v>
      </c>
      <c r="K201" s="4" t="str">
        <f>IFERROR(__xludf.DUMMYFUNCTION("""COMPUTED_VALUE"""),"AST")</f>
        <v>AST</v>
      </c>
      <c r="L201" s="4" t="str">
        <f>IFERROR(__xludf.DUMMYFUNCTION("""COMPUTED_VALUE"""),"FG%")</f>
        <v>FG%</v>
      </c>
      <c r="M201" s="4" t="str">
        <f>IFERROR(__xludf.DUMMYFUNCTION("""COMPUTED_VALUE"""),"3P%")</f>
        <v>3P%</v>
      </c>
      <c r="N201" s="4" t="str">
        <f>IFERROR(__xludf.DUMMYFUNCTION("""COMPUTED_VALUE"""),"FT%")</f>
        <v>FT%</v>
      </c>
      <c r="O201" s="4" t="str">
        <f>IFERROR(__xludf.DUMMYFUNCTION("""COMPUTED_VALUE"""),"MP")</f>
        <v>MP</v>
      </c>
      <c r="P201" s="4" t="str">
        <f>IFERROR(__xludf.DUMMYFUNCTION("""COMPUTED_VALUE"""),"PTS")</f>
        <v>PTS</v>
      </c>
      <c r="Q201" s="4" t="str">
        <f>IFERROR(__xludf.DUMMYFUNCTION("""COMPUTED_VALUE"""),"TRB")</f>
        <v>TRB</v>
      </c>
      <c r="R201" s="4" t="str">
        <f>IFERROR(__xludf.DUMMYFUNCTION("""COMPUTED_VALUE"""),"AST")</f>
        <v>AST</v>
      </c>
      <c r="S201" s="4" t="str">
        <f>IFERROR(__xludf.DUMMYFUNCTION("""COMPUTED_VALUE"""),"WS")</f>
        <v>WS</v>
      </c>
      <c r="T201" s="4" t="str">
        <f>IFERROR(__xludf.DUMMYFUNCTION("""COMPUTED_VALUE"""),"WS/48")</f>
        <v>WS/48</v>
      </c>
      <c r="U201" s="4" t="str">
        <f>IFERROR(__xludf.DUMMYFUNCTION("""COMPUTED_VALUE"""),"BPM")</f>
        <v>BPM</v>
      </c>
      <c r="V201" s="4" t="str">
        <f>IFERROR(__xludf.DUMMYFUNCTION("""COMPUTED_VALUE"""),"VORP")</f>
        <v>VORP</v>
      </c>
    </row>
    <row r="202">
      <c r="A202" s="4">
        <f>IFERROR(__xludf.DUMMYFUNCTION("""COMPUTED_VALUE"""),1.0)</f>
        <v>1</v>
      </c>
      <c r="B202" s="4">
        <f>IFERROR(__xludf.DUMMYFUNCTION("""COMPUTED_VALUE"""),1.0)</f>
        <v>1</v>
      </c>
      <c r="C202" s="4" t="str">
        <f>IFERROR(__xludf.DUMMYFUNCTION("""COMPUTED_VALUE"""),"ORL")</f>
        <v>ORL</v>
      </c>
      <c r="D202" s="4" t="str">
        <f>IFERROR(__xludf.DUMMYFUNCTION("""COMPUTED_VALUE"""),"Paolo Banchero")</f>
        <v>Paolo Banchero</v>
      </c>
      <c r="E202" s="4" t="str">
        <f>IFERROR(__xludf.DUMMYFUNCTION("""COMPUTED_VALUE"""),"Duke")</f>
        <v>Duke</v>
      </c>
      <c r="F202" s="4">
        <f>IFERROR(__xludf.DUMMYFUNCTION("""COMPUTED_VALUE"""),4.0)</f>
        <v>4</v>
      </c>
      <c r="G202" s="4">
        <f>IFERROR(__xludf.DUMMYFUNCTION("""COMPUTED_VALUE"""),210.0)</f>
        <v>210</v>
      </c>
      <c r="H202" s="4">
        <f>IFERROR(__xludf.DUMMYFUNCTION("""COMPUTED_VALUE"""),7204.0)</f>
        <v>7204</v>
      </c>
      <c r="I202" s="4">
        <f>IFERROR(__xludf.DUMMYFUNCTION("""COMPUTED_VALUE"""),4692.0)</f>
        <v>4692</v>
      </c>
      <c r="J202" s="4">
        <f>IFERROR(__xludf.DUMMYFUNCTION("""COMPUTED_VALUE"""),1500.0)</f>
        <v>1500</v>
      </c>
      <c r="K202" s="4">
        <f>IFERROR(__xludf.DUMMYFUNCTION("""COMPUTED_VALUE"""),968.0)</f>
        <v>968</v>
      </c>
      <c r="L202" s="4">
        <f>IFERROR(__xludf.DUMMYFUNCTION("""COMPUTED_VALUE"""),0.446)</f>
        <v>0.446</v>
      </c>
      <c r="M202" s="4">
        <f>IFERROR(__xludf.DUMMYFUNCTION("""COMPUTED_VALUE"""),0.317)</f>
        <v>0.317</v>
      </c>
      <c r="N202" s="4">
        <f>IFERROR(__xludf.DUMMYFUNCTION("""COMPUTED_VALUE"""),0.733)</f>
        <v>0.733</v>
      </c>
      <c r="O202" s="4">
        <f>IFERROR(__xludf.DUMMYFUNCTION("""COMPUTED_VALUE"""),34.3)</f>
        <v>34.3</v>
      </c>
      <c r="P202" s="4">
        <f>IFERROR(__xludf.DUMMYFUNCTION("""COMPUTED_VALUE"""),22.3)</f>
        <v>22.3</v>
      </c>
      <c r="Q202" s="4">
        <f>IFERROR(__xludf.DUMMYFUNCTION("""COMPUTED_VALUE"""),7.1)</f>
        <v>7.1</v>
      </c>
      <c r="R202" s="4">
        <f>IFERROR(__xludf.DUMMYFUNCTION("""COMPUTED_VALUE"""),4.6)</f>
        <v>4.6</v>
      </c>
      <c r="S202" s="4">
        <f>IFERROR(__xludf.DUMMYFUNCTION("""COMPUTED_VALUE"""),12.2)</f>
        <v>12.2</v>
      </c>
      <c r="T202" s="4">
        <f>IFERROR(__xludf.DUMMYFUNCTION("""COMPUTED_VALUE"""),0.081)</f>
        <v>0.081</v>
      </c>
      <c r="U202" s="4">
        <f>IFERROR(__xludf.DUMMYFUNCTION("""COMPUTED_VALUE"""),0.9)</f>
        <v>0.9</v>
      </c>
      <c r="V202" s="4">
        <f>IFERROR(__xludf.DUMMYFUNCTION("""COMPUTED_VALUE"""),5.4)</f>
        <v>5.4</v>
      </c>
    </row>
    <row r="203">
      <c r="A203" s="4">
        <f>IFERROR(__xludf.DUMMYFUNCTION("""COMPUTED_VALUE"""),2.0)</f>
        <v>2</v>
      </c>
      <c r="B203" s="4">
        <f>IFERROR(__xludf.DUMMYFUNCTION("""COMPUTED_VALUE"""),2.0)</f>
        <v>2</v>
      </c>
      <c r="C203" s="4" t="str">
        <f>IFERROR(__xludf.DUMMYFUNCTION("""COMPUTED_VALUE"""),"OKC")</f>
        <v>OKC</v>
      </c>
      <c r="D203" s="4" t="str">
        <f>IFERROR(__xludf.DUMMYFUNCTION("""COMPUTED_VALUE"""),"Chet Holmgren")</f>
        <v>Chet Holmgren</v>
      </c>
      <c r="E203" s="4" t="str">
        <f>IFERROR(__xludf.DUMMYFUNCTION("""COMPUTED_VALUE"""),"Gonzaga")</f>
        <v>Gonzaga</v>
      </c>
      <c r="F203" s="4">
        <f>IFERROR(__xludf.DUMMYFUNCTION("""COMPUTED_VALUE"""),3.0)</f>
        <v>3</v>
      </c>
      <c r="G203" s="4">
        <f>IFERROR(__xludf.DUMMYFUNCTION("""COMPUTED_VALUE"""),132.0)</f>
        <v>132</v>
      </c>
      <c r="H203" s="4">
        <f>IFERROR(__xludf.DUMMYFUNCTION("""COMPUTED_VALUE"""),3822.0)</f>
        <v>3822</v>
      </c>
      <c r="I203" s="4">
        <f>IFERROR(__xludf.DUMMYFUNCTION("""COMPUTED_VALUE"""),2167.0)</f>
        <v>2167</v>
      </c>
      <c r="J203" s="4">
        <f>IFERROR(__xludf.DUMMYFUNCTION("""COMPUTED_VALUE"""),1049.0)</f>
        <v>1049</v>
      </c>
      <c r="K203" s="4">
        <f>IFERROR(__xludf.DUMMYFUNCTION("""COMPUTED_VALUE"""),295.0)</f>
        <v>295</v>
      </c>
      <c r="L203" s="4">
        <f>IFERROR(__xludf.DUMMYFUNCTION("""COMPUTED_VALUE"""),0.525)</f>
        <v>0.525</v>
      </c>
      <c r="M203" s="4">
        <f>IFERROR(__xludf.DUMMYFUNCTION("""COMPUTED_VALUE"""),0.371)</f>
        <v>0.371</v>
      </c>
      <c r="N203" s="4">
        <f>IFERROR(__xludf.DUMMYFUNCTION("""COMPUTED_VALUE"""),0.785)</f>
        <v>0.785</v>
      </c>
      <c r="O203" s="4">
        <f>IFERROR(__xludf.DUMMYFUNCTION("""COMPUTED_VALUE"""),29.0)</f>
        <v>29</v>
      </c>
      <c r="P203" s="4">
        <f>IFERROR(__xludf.DUMMYFUNCTION("""COMPUTED_VALUE"""),16.4)</f>
        <v>16.4</v>
      </c>
      <c r="Q203" s="4">
        <f>IFERROR(__xludf.DUMMYFUNCTION("""COMPUTED_VALUE"""),7.9)</f>
        <v>7.9</v>
      </c>
      <c r="R203" s="4">
        <f>IFERROR(__xludf.DUMMYFUNCTION("""COMPUTED_VALUE"""),2.2)</f>
        <v>2.2</v>
      </c>
      <c r="S203" s="4">
        <f>IFERROR(__xludf.DUMMYFUNCTION("""COMPUTED_VALUE"""),14.2)</f>
        <v>14.2</v>
      </c>
      <c r="T203" s="4">
        <f>IFERROR(__xludf.DUMMYFUNCTION("""COMPUTED_VALUE"""),0.179)</f>
        <v>0.179</v>
      </c>
      <c r="U203" s="4">
        <f>IFERROR(__xludf.DUMMYFUNCTION("""COMPUTED_VALUE"""),3.1)</f>
        <v>3.1</v>
      </c>
      <c r="V203" s="4">
        <f>IFERROR(__xludf.DUMMYFUNCTION("""COMPUTED_VALUE"""),4.9)</f>
        <v>4.9</v>
      </c>
    </row>
    <row r="204">
      <c r="A204" s="4">
        <f>IFERROR(__xludf.DUMMYFUNCTION("""COMPUTED_VALUE"""),3.0)</f>
        <v>3</v>
      </c>
      <c r="B204" s="4">
        <f>IFERROR(__xludf.DUMMYFUNCTION("""COMPUTED_VALUE"""),3.0)</f>
        <v>3</v>
      </c>
      <c r="C204" s="4" t="str">
        <f>IFERROR(__xludf.DUMMYFUNCTION("""COMPUTED_VALUE"""),"HOU")</f>
        <v>HOU</v>
      </c>
      <c r="D204" s="4" t="str">
        <f>IFERROR(__xludf.DUMMYFUNCTION("""COMPUTED_VALUE"""),"Jabari Smith Jr.")</f>
        <v>Jabari Smith Jr.</v>
      </c>
      <c r="E204" s="4" t="str">
        <f>IFERROR(__xludf.DUMMYFUNCTION("""COMPUTED_VALUE"""),"Auburn")</f>
        <v>Auburn</v>
      </c>
      <c r="F204" s="4">
        <f>IFERROR(__xludf.DUMMYFUNCTION("""COMPUTED_VALUE"""),4.0)</f>
        <v>4</v>
      </c>
      <c r="G204" s="4">
        <f>IFERROR(__xludf.DUMMYFUNCTION("""COMPUTED_VALUE"""),229.0)</f>
        <v>229</v>
      </c>
      <c r="H204" s="4">
        <f>IFERROR(__xludf.DUMMYFUNCTION("""COMPUTED_VALUE"""),7155.0)</f>
        <v>7155</v>
      </c>
      <c r="I204" s="4">
        <f>IFERROR(__xludf.DUMMYFUNCTION("""COMPUTED_VALUE"""),3005.0)</f>
        <v>3005</v>
      </c>
      <c r="J204" s="4">
        <f>IFERROR(__xludf.DUMMYFUNCTION("""COMPUTED_VALUE"""),1694.0)</f>
        <v>1694</v>
      </c>
      <c r="K204" s="4">
        <f>IFERROR(__xludf.DUMMYFUNCTION("""COMPUTED_VALUE"""),313.0)</f>
        <v>313</v>
      </c>
      <c r="L204" s="4">
        <f>IFERROR(__xludf.DUMMYFUNCTION("""COMPUTED_VALUE"""),0.433)</f>
        <v>0.433</v>
      </c>
      <c r="M204" s="4">
        <f>IFERROR(__xludf.DUMMYFUNCTION("""COMPUTED_VALUE"""),0.343)</f>
        <v>0.343</v>
      </c>
      <c r="N204" s="4">
        <f>IFERROR(__xludf.DUMMYFUNCTION("""COMPUTED_VALUE"""),0.802)</f>
        <v>0.802</v>
      </c>
      <c r="O204" s="4">
        <f>IFERROR(__xludf.DUMMYFUNCTION("""COMPUTED_VALUE"""),31.2)</f>
        <v>31.2</v>
      </c>
      <c r="P204" s="4">
        <f>IFERROR(__xludf.DUMMYFUNCTION("""COMPUTED_VALUE"""),13.1)</f>
        <v>13.1</v>
      </c>
      <c r="Q204" s="4">
        <f>IFERROR(__xludf.DUMMYFUNCTION("""COMPUTED_VALUE"""),7.4)</f>
        <v>7.4</v>
      </c>
      <c r="R204" s="4">
        <f>IFERROR(__xludf.DUMMYFUNCTION("""COMPUTED_VALUE"""),1.4)</f>
        <v>1.4</v>
      </c>
      <c r="S204" s="4">
        <f>IFERROR(__xludf.DUMMYFUNCTION("""COMPUTED_VALUE"""),13.3)</f>
        <v>13.3</v>
      </c>
      <c r="T204" s="4">
        <f>IFERROR(__xludf.DUMMYFUNCTION("""COMPUTED_VALUE"""),0.089)</f>
        <v>0.089</v>
      </c>
      <c r="U204" s="4">
        <f>IFERROR(__xludf.DUMMYFUNCTION("""COMPUTED_VALUE"""),-1.5)</f>
        <v>-1.5</v>
      </c>
      <c r="V204" s="4">
        <f>IFERROR(__xludf.DUMMYFUNCTION("""COMPUTED_VALUE"""),0.8)</f>
        <v>0.8</v>
      </c>
    </row>
    <row r="205">
      <c r="A205" s="4">
        <f>IFERROR(__xludf.DUMMYFUNCTION("""COMPUTED_VALUE"""),4.0)</f>
        <v>4</v>
      </c>
      <c r="B205" s="4">
        <f>IFERROR(__xludf.DUMMYFUNCTION("""COMPUTED_VALUE"""),4.0)</f>
        <v>4</v>
      </c>
      <c r="C205" s="4" t="str">
        <f>IFERROR(__xludf.DUMMYFUNCTION("""COMPUTED_VALUE"""),"SAC")</f>
        <v>SAC</v>
      </c>
      <c r="D205" s="4" t="str">
        <f>IFERROR(__xludf.DUMMYFUNCTION("""COMPUTED_VALUE"""),"Keegan Murray")</f>
        <v>Keegan Murray</v>
      </c>
      <c r="E205" s="4" t="str">
        <f>IFERROR(__xludf.DUMMYFUNCTION("""COMPUTED_VALUE"""),"Iowa")</f>
        <v>Iowa</v>
      </c>
      <c r="F205" s="4">
        <f>IFERROR(__xludf.DUMMYFUNCTION("""COMPUTED_VALUE"""),4.0)</f>
        <v>4</v>
      </c>
      <c r="G205" s="4">
        <f>IFERROR(__xludf.DUMMYFUNCTION("""COMPUTED_VALUE"""),239.0)</f>
        <v>239</v>
      </c>
      <c r="H205" s="4">
        <f>IFERROR(__xludf.DUMMYFUNCTION("""COMPUTED_VALUE"""),7813.0)</f>
        <v>7813</v>
      </c>
      <c r="I205" s="4">
        <f>IFERROR(__xludf.DUMMYFUNCTION("""COMPUTED_VALUE"""),3200.0)</f>
        <v>3200</v>
      </c>
      <c r="J205" s="4">
        <f>IFERROR(__xludf.DUMMYFUNCTION("""COMPUTED_VALUE"""),1340.0)</f>
        <v>1340</v>
      </c>
      <c r="K205" s="4">
        <f>IFERROR(__xludf.DUMMYFUNCTION("""COMPUTED_VALUE"""),347.0)</f>
        <v>347</v>
      </c>
      <c r="L205" s="4">
        <f>IFERROR(__xludf.DUMMYFUNCTION("""COMPUTED_VALUE"""),0.451)</f>
        <v>0.451</v>
      </c>
      <c r="M205" s="4">
        <f>IFERROR(__xludf.DUMMYFUNCTION("""COMPUTED_VALUE"""),0.369)</f>
        <v>0.369</v>
      </c>
      <c r="N205" s="4">
        <f>IFERROR(__xludf.DUMMYFUNCTION("""COMPUTED_VALUE"""),0.813)</f>
        <v>0.813</v>
      </c>
      <c r="O205" s="4">
        <f>IFERROR(__xludf.DUMMYFUNCTION("""COMPUTED_VALUE"""),32.7)</f>
        <v>32.7</v>
      </c>
      <c r="P205" s="4">
        <f>IFERROR(__xludf.DUMMYFUNCTION("""COMPUTED_VALUE"""),13.4)</f>
        <v>13.4</v>
      </c>
      <c r="Q205" s="4">
        <f>IFERROR(__xludf.DUMMYFUNCTION("""COMPUTED_VALUE"""),5.6)</f>
        <v>5.6</v>
      </c>
      <c r="R205" s="4">
        <f>IFERROR(__xludf.DUMMYFUNCTION("""COMPUTED_VALUE"""),1.5)</f>
        <v>1.5</v>
      </c>
      <c r="S205" s="4">
        <f>IFERROR(__xludf.DUMMYFUNCTION("""COMPUTED_VALUE"""),14.4)</f>
        <v>14.4</v>
      </c>
      <c r="T205" s="4">
        <f>IFERROR(__xludf.DUMMYFUNCTION("""COMPUTED_VALUE"""),0.088)</f>
        <v>0.088</v>
      </c>
      <c r="U205" s="4">
        <f>IFERROR(__xludf.DUMMYFUNCTION("""COMPUTED_VALUE"""),-1.0)</f>
        <v>-1</v>
      </c>
      <c r="V205" s="4">
        <f>IFERROR(__xludf.DUMMYFUNCTION("""COMPUTED_VALUE"""),2.0)</f>
        <v>2</v>
      </c>
    </row>
    <row r="206">
      <c r="A206" s="4">
        <f>IFERROR(__xludf.DUMMYFUNCTION("""COMPUTED_VALUE"""),5.0)</f>
        <v>5</v>
      </c>
      <c r="B206" s="4">
        <f>IFERROR(__xludf.DUMMYFUNCTION("""COMPUTED_VALUE"""),5.0)</f>
        <v>5</v>
      </c>
      <c r="C206" s="4" t="str">
        <f>IFERROR(__xludf.DUMMYFUNCTION("""COMPUTED_VALUE"""),"DET")</f>
        <v>DET</v>
      </c>
      <c r="D206" s="4" t="str">
        <f>IFERROR(__xludf.DUMMYFUNCTION("""COMPUTED_VALUE"""),"Jaden Ivey")</f>
        <v>Jaden Ivey</v>
      </c>
      <c r="E206" s="4" t="str">
        <f>IFERROR(__xludf.DUMMYFUNCTION("""COMPUTED_VALUE"""),"Purdue")</f>
        <v>Purdue</v>
      </c>
      <c r="F206" s="4">
        <f>IFERROR(__xludf.DUMMYFUNCTION("""COMPUTED_VALUE"""),4.0)</f>
        <v>4</v>
      </c>
      <c r="G206" s="4">
        <f>IFERROR(__xludf.DUMMYFUNCTION("""COMPUTED_VALUE"""),187.0)</f>
        <v>187</v>
      </c>
      <c r="H206" s="4">
        <f>IFERROR(__xludf.DUMMYFUNCTION("""COMPUTED_VALUE"""),5500.0)</f>
        <v>5500</v>
      </c>
      <c r="I206" s="4">
        <f>IFERROR(__xludf.DUMMYFUNCTION("""COMPUTED_VALUE"""),2958.0)</f>
        <v>2958</v>
      </c>
      <c r="J206" s="4">
        <f>IFERROR(__xludf.DUMMYFUNCTION("""COMPUTED_VALUE"""),686.0)</f>
        <v>686</v>
      </c>
      <c r="K206" s="4">
        <f>IFERROR(__xludf.DUMMYFUNCTION("""COMPUTED_VALUE"""),807.0)</f>
        <v>807</v>
      </c>
      <c r="L206" s="4">
        <f>IFERROR(__xludf.DUMMYFUNCTION("""COMPUTED_VALUE"""),0.428)</f>
        <v>0.428</v>
      </c>
      <c r="M206" s="4">
        <f>IFERROR(__xludf.DUMMYFUNCTION("""COMPUTED_VALUE"""),0.351)</f>
        <v>0.351</v>
      </c>
      <c r="N206" s="4">
        <f>IFERROR(__xludf.DUMMYFUNCTION("""COMPUTED_VALUE"""),0.747)</f>
        <v>0.747</v>
      </c>
      <c r="O206" s="4">
        <f>IFERROR(__xludf.DUMMYFUNCTION("""COMPUTED_VALUE"""),29.4)</f>
        <v>29.4</v>
      </c>
      <c r="P206" s="4">
        <f>IFERROR(__xludf.DUMMYFUNCTION("""COMPUTED_VALUE"""),15.8)</f>
        <v>15.8</v>
      </c>
      <c r="Q206" s="4">
        <f>IFERROR(__xludf.DUMMYFUNCTION("""COMPUTED_VALUE"""),3.7)</f>
        <v>3.7</v>
      </c>
      <c r="R206" s="4">
        <f>IFERROR(__xludf.DUMMYFUNCTION("""COMPUTED_VALUE"""),4.3)</f>
        <v>4.3</v>
      </c>
      <c r="S206" s="4">
        <f>IFERROR(__xludf.DUMMYFUNCTION("""COMPUTED_VALUE"""),1.6)</f>
        <v>1.6</v>
      </c>
      <c r="T206" s="4">
        <f>IFERROR(__xludf.DUMMYFUNCTION("""COMPUTED_VALUE"""),0.014)</f>
        <v>0.014</v>
      </c>
      <c r="U206" s="4">
        <f>IFERROR(__xludf.DUMMYFUNCTION("""COMPUTED_VALUE"""),-2.7)</f>
        <v>-2.7</v>
      </c>
      <c r="V206" s="4">
        <f>IFERROR(__xludf.DUMMYFUNCTION("""COMPUTED_VALUE"""),-1.0)</f>
        <v>-1</v>
      </c>
    </row>
    <row r="207">
      <c r="A207" s="4">
        <f>IFERROR(__xludf.DUMMYFUNCTION("""COMPUTED_VALUE"""),6.0)</f>
        <v>6</v>
      </c>
      <c r="B207" s="4">
        <f>IFERROR(__xludf.DUMMYFUNCTION("""COMPUTED_VALUE"""),6.0)</f>
        <v>6</v>
      </c>
      <c r="C207" s="4" t="str">
        <f>IFERROR(__xludf.DUMMYFUNCTION("""COMPUTED_VALUE"""),"IND")</f>
        <v>IND</v>
      </c>
      <c r="D207" s="4" t="str">
        <f>IFERROR(__xludf.DUMMYFUNCTION("""COMPUTED_VALUE"""),"Bennedict Mathurin")</f>
        <v>Bennedict Mathurin</v>
      </c>
      <c r="E207" s="4" t="str">
        <f>IFERROR(__xludf.DUMMYFUNCTION("""COMPUTED_VALUE"""),"Arizona")</f>
        <v>Arizona</v>
      </c>
      <c r="F207" s="4">
        <f>IFERROR(__xludf.DUMMYFUNCTION("""COMPUTED_VALUE"""),4.0)</f>
        <v>4</v>
      </c>
      <c r="G207" s="4">
        <f>IFERROR(__xludf.DUMMYFUNCTION("""COMPUTED_VALUE"""),219.0)</f>
        <v>219</v>
      </c>
      <c r="H207" s="4">
        <f>IFERROR(__xludf.DUMMYFUNCTION("""COMPUTED_VALUE"""),6235.0)</f>
        <v>6235</v>
      </c>
      <c r="I207" s="4">
        <f>IFERROR(__xludf.DUMMYFUNCTION("""COMPUTED_VALUE"""),3525.0)</f>
        <v>3525</v>
      </c>
      <c r="J207" s="4">
        <f>IFERROR(__xludf.DUMMYFUNCTION("""COMPUTED_VALUE"""),990.0)</f>
        <v>990</v>
      </c>
      <c r="K207" s="4">
        <f>IFERROR(__xludf.DUMMYFUNCTION("""COMPUTED_VALUE"""),394.0)</f>
        <v>394</v>
      </c>
      <c r="L207" s="4">
        <f>IFERROR(__xludf.DUMMYFUNCTION("""COMPUTED_VALUE"""),0.446)</f>
        <v>0.446</v>
      </c>
      <c r="M207" s="4">
        <f>IFERROR(__xludf.DUMMYFUNCTION("""COMPUTED_VALUE"""),0.346)</f>
        <v>0.346</v>
      </c>
      <c r="N207" s="4">
        <f>IFERROR(__xludf.DUMMYFUNCTION("""COMPUTED_VALUE"""),0.826)</f>
        <v>0.826</v>
      </c>
      <c r="O207" s="4">
        <f>IFERROR(__xludf.DUMMYFUNCTION("""COMPUTED_VALUE"""),28.5)</f>
        <v>28.5</v>
      </c>
      <c r="P207" s="4">
        <f>IFERROR(__xludf.DUMMYFUNCTION("""COMPUTED_VALUE"""),16.1)</f>
        <v>16.1</v>
      </c>
      <c r="Q207" s="4">
        <f>IFERROR(__xludf.DUMMYFUNCTION("""COMPUTED_VALUE"""),4.5)</f>
        <v>4.5</v>
      </c>
      <c r="R207" s="4">
        <f>IFERROR(__xludf.DUMMYFUNCTION("""COMPUTED_VALUE"""),1.8)</f>
        <v>1.8</v>
      </c>
      <c r="S207" s="4">
        <f>IFERROR(__xludf.DUMMYFUNCTION("""COMPUTED_VALUE"""),6.5)</f>
        <v>6.5</v>
      </c>
      <c r="T207" s="4">
        <f>IFERROR(__xludf.DUMMYFUNCTION("""COMPUTED_VALUE"""),0.05)</f>
        <v>0.05</v>
      </c>
      <c r="U207" s="4">
        <f>IFERROR(__xludf.DUMMYFUNCTION("""COMPUTED_VALUE"""),-3.3)</f>
        <v>-3.3</v>
      </c>
      <c r="V207" s="4">
        <f>IFERROR(__xludf.DUMMYFUNCTION("""COMPUTED_VALUE"""),-2.1)</f>
        <v>-2.1</v>
      </c>
    </row>
    <row r="208">
      <c r="A208" s="4">
        <f>IFERROR(__xludf.DUMMYFUNCTION("""COMPUTED_VALUE"""),7.0)</f>
        <v>7</v>
      </c>
      <c r="B208" s="4">
        <f>IFERROR(__xludf.DUMMYFUNCTION("""COMPUTED_VALUE"""),7.0)</f>
        <v>7</v>
      </c>
      <c r="C208" s="4" t="str">
        <f>IFERROR(__xludf.DUMMYFUNCTION("""COMPUTED_VALUE"""),"POR")</f>
        <v>POR</v>
      </c>
      <c r="D208" s="4" t="str">
        <f>IFERROR(__xludf.DUMMYFUNCTION("""COMPUTED_VALUE"""),"Shaedon Sharpe")</f>
        <v>Shaedon Sharpe</v>
      </c>
      <c r="E208" s="4" t="str">
        <f>IFERROR(__xludf.DUMMYFUNCTION("""COMPUTED_VALUE"""),"Kentucky")</f>
        <v>Kentucky</v>
      </c>
      <c r="F208" s="4">
        <f>IFERROR(__xludf.DUMMYFUNCTION("""COMPUTED_VALUE"""),4.0)</f>
        <v>4</v>
      </c>
      <c r="G208" s="4">
        <f>IFERROR(__xludf.DUMMYFUNCTION("""COMPUTED_VALUE"""),201.0)</f>
        <v>201</v>
      </c>
      <c r="H208" s="4">
        <f>IFERROR(__xludf.DUMMYFUNCTION("""COMPUTED_VALUE"""),5564.0)</f>
        <v>5564</v>
      </c>
      <c r="I208" s="4">
        <f>IFERROR(__xludf.DUMMYFUNCTION("""COMPUTED_VALUE"""),2991.0)</f>
        <v>2991</v>
      </c>
      <c r="J208" s="4">
        <f>IFERROR(__xludf.DUMMYFUNCTION("""COMPUTED_VALUE"""),799.0)</f>
        <v>799</v>
      </c>
      <c r="K208" s="4">
        <f>IFERROR(__xludf.DUMMYFUNCTION("""COMPUTED_VALUE"""),421.0)</f>
        <v>421</v>
      </c>
      <c r="L208" s="4">
        <f>IFERROR(__xludf.DUMMYFUNCTION("""COMPUTED_VALUE"""),0.448)</f>
        <v>0.448</v>
      </c>
      <c r="M208" s="4">
        <f>IFERROR(__xludf.DUMMYFUNCTION("""COMPUTED_VALUE"""),0.322)</f>
        <v>0.322</v>
      </c>
      <c r="N208" s="4">
        <f>IFERROR(__xludf.DUMMYFUNCTION("""COMPUTED_VALUE"""),0.78)</f>
        <v>0.78</v>
      </c>
      <c r="O208" s="4">
        <f>IFERROR(__xludf.DUMMYFUNCTION("""COMPUTED_VALUE"""),27.7)</f>
        <v>27.7</v>
      </c>
      <c r="P208" s="4">
        <f>IFERROR(__xludf.DUMMYFUNCTION("""COMPUTED_VALUE"""),14.9)</f>
        <v>14.9</v>
      </c>
      <c r="Q208" s="4">
        <f>IFERROR(__xludf.DUMMYFUNCTION("""COMPUTED_VALUE"""),4.0)</f>
        <v>4</v>
      </c>
      <c r="R208" s="4">
        <f>IFERROR(__xludf.DUMMYFUNCTION("""COMPUTED_VALUE"""),2.1)</f>
        <v>2.1</v>
      </c>
      <c r="S208" s="4">
        <f>IFERROR(__xludf.DUMMYFUNCTION("""COMPUTED_VALUE"""),4.9)</f>
        <v>4.9</v>
      </c>
      <c r="T208" s="4">
        <f>IFERROR(__xludf.DUMMYFUNCTION("""COMPUTED_VALUE"""),0.042)</f>
        <v>0.042</v>
      </c>
      <c r="U208" s="4">
        <f>IFERROR(__xludf.DUMMYFUNCTION("""COMPUTED_VALUE"""),-2.3)</f>
        <v>-2.3</v>
      </c>
      <c r="V208" s="4">
        <f>IFERROR(__xludf.DUMMYFUNCTION("""COMPUTED_VALUE"""),-0.4)</f>
        <v>-0.4</v>
      </c>
    </row>
    <row r="209">
      <c r="A209" s="4">
        <f>IFERROR(__xludf.DUMMYFUNCTION("""COMPUTED_VALUE"""),8.0)</f>
        <v>8</v>
      </c>
      <c r="B209" s="4">
        <f>IFERROR(__xludf.DUMMYFUNCTION("""COMPUTED_VALUE"""),8.0)</f>
        <v>8</v>
      </c>
      <c r="C209" s="4" t="str">
        <f>IFERROR(__xludf.DUMMYFUNCTION("""COMPUTED_VALUE"""),"NOP")</f>
        <v>NOP</v>
      </c>
      <c r="D209" s="4" t="str">
        <f>IFERROR(__xludf.DUMMYFUNCTION("""COMPUTED_VALUE"""),"Dyson Daniels")</f>
        <v>Dyson Daniels</v>
      </c>
      <c r="E209" s="4"/>
      <c r="F209" s="4">
        <f>IFERROR(__xludf.DUMMYFUNCTION("""COMPUTED_VALUE"""),4.0)</f>
        <v>4</v>
      </c>
      <c r="G209" s="4">
        <f>IFERROR(__xludf.DUMMYFUNCTION("""COMPUTED_VALUE"""),218.0)</f>
        <v>218</v>
      </c>
      <c r="H209" s="4">
        <f>IFERROR(__xludf.DUMMYFUNCTION("""COMPUTED_VALUE"""),5715.0)</f>
        <v>5715</v>
      </c>
      <c r="I209" s="4">
        <f>IFERROR(__xludf.DUMMYFUNCTION("""COMPUTED_VALUE"""),1880.0)</f>
        <v>1880</v>
      </c>
      <c r="J209" s="4">
        <f>IFERROR(__xludf.DUMMYFUNCTION("""COMPUTED_VALUE"""),1016.0)</f>
        <v>1016</v>
      </c>
      <c r="K209" s="4">
        <f>IFERROR(__xludf.DUMMYFUNCTION("""COMPUTED_VALUE"""),762.0)</f>
        <v>762</v>
      </c>
      <c r="L209" s="4">
        <f>IFERROR(__xludf.DUMMYFUNCTION("""COMPUTED_VALUE"""),0.474)</f>
        <v>0.474</v>
      </c>
      <c r="M209" s="4">
        <f>IFERROR(__xludf.DUMMYFUNCTION("""COMPUTED_VALUE"""),0.316)</f>
        <v>0.316</v>
      </c>
      <c r="N209" s="4">
        <f>IFERROR(__xludf.DUMMYFUNCTION("""COMPUTED_VALUE"""),0.606)</f>
        <v>0.606</v>
      </c>
      <c r="O209" s="4">
        <f>IFERROR(__xludf.DUMMYFUNCTION("""COMPUTED_VALUE"""),26.2)</f>
        <v>26.2</v>
      </c>
      <c r="P209" s="4">
        <f>IFERROR(__xludf.DUMMYFUNCTION("""COMPUTED_VALUE"""),8.6)</f>
        <v>8.6</v>
      </c>
      <c r="Q209" s="4">
        <f>IFERROR(__xludf.DUMMYFUNCTION("""COMPUTED_VALUE"""),4.7)</f>
        <v>4.7</v>
      </c>
      <c r="R209" s="4">
        <f>IFERROR(__xludf.DUMMYFUNCTION("""COMPUTED_VALUE"""),3.5)</f>
        <v>3.5</v>
      </c>
      <c r="S209" s="4">
        <f>IFERROR(__xludf.DUMMYFUNCTION("""COMPUTED_VALUE"""),10.5)</f>
        <v>10.5</v>
      </c>
      <c r="T209" s="4">
        <f>IFERROR(__xludf.DUMMYFUNCTION("""COMPUTED_VALUE"""),0.089)</f>
        <v>0.089</v>
      </c>
      <c r="U209" s="4">
        <f>IFERROR(__xludf.DUMMYFUNCTION("""COMPUTED_VALUE"""),0.4)</f>
        <v>0.4</v>
      </c>
      <c r="V209" s="4">
        <f>IFERROR(__xludf.DUMMYFUNCTION("""COMPUTED_VALUE"""),3.5)</f>
        <v>3.5</v>
      </c>
    </row>
    <row r="210">
      <c r="A210" s="4">
        <f>IFERROR(__xludf.DUMMYFUNCTION("""COMPUTED_VALUE"""),9.0)</f>
        <v>9</v>
      </c>
      <c r="B210" s="4">
        <f>IFERROR(__xludf.DUMMYFUNCTION("""COMPUTED_VALUE"""),9.0)</f>
        <v>9</v>
      </c>
      <c r="C210" s="4" t="str">
        <f>IFERROR(__xludf.DUMMYFUNCTION("""COMPUTED_VALUE"""),"SAS")</f>
        <v>SAS</v>
      </c>
      <c r="D210" s="4" t="str">
        <f>IFERROR(__xludf.DUMMYFUNCTION("""COMPUTED_VALUE"""),"Jeremy Sochan")</f>
        <v>Jeremy Sochan</v>
      </c>
      <c r="E210" s="4" t="str">
        <f>IFERROR(__xludf.DUMMYFUNCTION("""COMPUTED_VALUE"""),"Baylor")</f>
        <v>Baylor</v>
      </c>
      <c r="F210" s="4">
        <f>IFERROR(__xludf.DUMMYFUNCTION("""COMPUTED_VALUE"""),4.0)</f>
        <v>4</v>
      </c>
      <c r="G210" s="4">
        <f>IFERROR(__xludf.DUMMYFUNCTION("""COMPUTED_VALUE"""),198.0)</f>
        <v>198</v>
      </c>
      <c r="H210" s="4">
        <f>IFERROR(__xludf.DUMMYFUNCTION("""COMPUTED_VALUE"""),5243.0)</f>
        <v>5243</v>
      </c>
      <c r="I210" s="4">
        <f>IFERROR(__xludf.DUMMYFUNCTION("""COMPUTED_VALUE"""),2180.0)</f>
        <v>2180</v>
      </c>
      <c r="J210" s="4">
        <f>IFERROR(__xludf.DUMMYFUNCTION("""COMPUTED_VALUE"""),1169.0)</f>
        <v>1169</v>
      </c>
      <c r="K210" s="4">
        <f>IFERROR(__xludf.DUMMYFUNCTION("""COMPUTED_VALUE"""),541.0)</f>
        <v>541</v>
      </c>
      <c r="L210" s="4">
        <f>IFERROR(__xludf.DUMMYFUNCTION("""COMPUTED_VALUE"""),0.47)</f>
        <v>0.47</v>
      </c>
      <c r="M210" s="4">
        <f>IFERROR(__xludf.DUMMYFUNCTION("""COMPUTED_VALUE"""),0.291)</f>
        <v>0.291</v>
      </c>
      <c r="N210" s="4">
        <f>IFERROR(__xludf.DUMMYFUNCTION("""COMPUTED_VALUE"""),0.727)</f>
        <v>0.727</v>
      </c>
      <c r="O210" s="4">
        <f>IFERROR(__xludf.DUMMYFUNCTION("""COMPUTED_VALUE"""),26.5)</f>
        <v>26.5</v>
      </c>
      <c r="P210" s="4">
        <f>IFERROR(__xludf.DUMMYFUNCTION("""COMPUTED_VALUE"""),11.0)</f>
        <v>11</v>
      </c>
      <c r="Q210" s="4">
        <f>IFERROR(__xludf.DUMMYFUNCTION("""COMPUTED_VALUE"""),5.9)</f>
        <v>5.9</v>
      </c>
      <c r="R210" s="4">
        <f>IFERROR(__xludf.DUMMYFUNCTION("""COMPUTED_VALUE"""),2.7)</f>
        <v>2.7</v>
      </c>
      <c r="S210" s="4">
        <f>IFERROR(__xludf.DUMMYFUNCTION("""COMPUTED_VALUE"""),4.8)</f>
        <v>4.8</v>
      </c>
      <c r="T210" s="4">
        <f>IFERROR(__xludf.DUMMYFUNCTION("""COMPUTED_VALUE"""),0.044)</f>
        <v>0.044</v>
      </c>
      <c r="U210" s="4">
        <f>IFERROR(__xludf.DUMMYFUNCTION("""COMPUTED_VALUE"""),-2.9)</f>
        <v>-2.9</v>
      </c>
      <c r="V210" s="4">
        <f>IFERROR(__xludf.DUMMYFUNCTION("""COMPUTED_VALUE"""),-1.2)</f>
        <v>-1.2</v>
      </c>
    </row>
    <row r="211">
      <c r="A211" s="4">
        <f>IFERROR(__xludf.DUMMYFUNCTION("""COMPUTED_VALUE"""),10.0)</f>
        <v>10</v>
      </c>
      <c r="B211" s="4">
        <f>IFERROR(__xludf.DUMMYFUNCTION("""COMPUTED_VALUE"""),10.0)</f>
        <v>10</v>
      </c>
      <c r="C211" s="4" t="str">
        <f>IFERROR(__xludf.DUMMYFUNCTION("""COMPUTED_VALUE"""),"WAS")</f>
        <v>WAS</v>
      </c>
      <c r="D211" s="4" t="str">
        <f>IFERROR(__xludf.DUMMYFUNCTION("""COMPUTED_VALUE"""),"Johnny Davis")</f>
        <v>Johnny Davis</v>
      </c>
      <c r="E211" s="4" t="str">
        <f>IFERROR(__xludf.DUMMYFUNCTION("""COMPUTED_VALUE"""),"Wisconsin")</f>
        <v>Wisconsin</v>
      </c>
      <c r="F211" s="4">
        <f>IFERROR(__xludf.DUMMYFUNCTION("""COMPUTED_VALUE"""),3.0)</f>
        <v>3</v>
      </c>
      <c r="G211" s="4">
        <f>IFERROR(__xludf.DUMMYFUNCTION("""COMPUTED_VALUE"""),112.0)</f>
        <v>112</v>
      </c>
      <c r="H211" s="4">
        <f>IFERROR(__xludf.DUMMYFUNCTION("""COMPUTED_VALUE"""),1278.0)</f>
        <v>1278</v>
      </c>
      <c r="I211" s="4">
        <f>IFERROR(__xludf.DUMMYFUNCTION("""COMPUTED_VALUE"""),395.0)</f>
        <v>395</v>
      </c>
      <c r="J211" s="4">
        <f>IFERROR(__xludf.DUMMYFUNCTION("""COMPUTED_VALUE"""),175.0)</f>
        <v>175</v>
      </c>
      <c r="K211" s="4">
        <f>IFERROR(__xludf.DUMMYFUNCTION("""COMPUTED_VALUE"""),71.0)</f>
        <v>71</v>
      </c>
      <c r="L211" s="4">
        <f>IFERROR(__xludf.DUMMYFUNCTION("""COMPUTED_VALUE"""),0.397)</f>
        <v>0.397</v>
      </c>
      <c r="M211" s="4">
        <f>IFERROR(__xludf.DUMMYFUNCTION("""COMPUTED_VALUE"""),0.273)</f>
        <v>0.273</v>
      </c>
      <c r="N211" s="4">
        <f>IFERROR(__xludf.DUMMYFUNCTION("""COMPUTED_VALUE"""),0.561)</f>
        <v>0.561</v>
      </c>
      <c r="O211" s="4">
        <f>IFERROR(__xludf.DUMMYFUNCTION("""COMPUTED_VALUE"""),11.4)</f>
        <v>11.4</v>
      </c>
      <c r="P211" s="4">
        <f>IFERROR(__xludf.DUMMYFUNCTION("""COMPUTED_VALUE"""),3.5)</f>
        <v>3.5</v>
      </c>
      <c r="Q211" s="4">
        <f>IFERROR(__xludf.DUMMYFUNCTION("""COMPUTED_VALUE"""),1.6)</f>
        <v>1.6</v>
      </c>
      <c r="R211" s="4">
        <f>IFERROR(__xludf.DUMMYFUNCTION("""COMPUTED_VALUE"""),0.6)</f>
        <v>0.6</v>
      </c>
      <c r="S211" s="4">
        <f>IFERROR(__xludf.DUMMYFUNCTION("""COMPUTED_VALUE"""),-0.4)</f>
        <v>-0.4</v>
      </c>
      <c r="T211" s="4">
        <f>IFERROR(__xludf.DUMMYFUNCTION("""COMPUTED_VALUE"""),-0.013)</f>
        <v>-0.013</v>
      </c>
      <c r="U211" s="4">
        <f>IFERROR(__xludf.DUMMYFUNCTION("""COMPUTED_VALUE"""),-6.2)</f>
        <v>-6.2</v>
      </c>
      <c r="V211" s="4">
        <f>IFERROR(__xludf.DUMMYFUNCTION("""COMPUTED_VALUE"""),-1.3)</f>
        <v>-1.3</v>
      </c>
    </row>
    <row r="212">
      <c r="A212" s="4">
        <f>IFERROR(__xludf.DUMMYFUNCTION("""COMPUTED_VALUE"""),11.0)</f>
        <v>11</v>
      </c>
      <c r="B212" s="4">
        <f>IFERROR(__xludf.DUMMYFUNCTION("""COMPUTED_VALUE"""),11.0)</f>
        <v>11</v>
      </c>
      <c r="C212" s="4" t="str">
        <f>IFERROR(__xludf.DUMMYFUNCTION("""COMPUTED_VALUE"""),"NYK")</f>
        <v>NYK</v>
      </c>
      <c r="D212" s="4" t="str">
        <f>IFERROR(__xludf.DUMMYFUNCTION("""COMPUTED_VALUE"""),"Ousmane Dieng")</f>
        <v>Ousmane Dieng</v>
      </c>
      <c r="E212" s="4"/>
      <c r="F212" s="4">
        <f>IFERROR(__xludf.DUMMYFUNCTION("""COMPUTED_VALUE"""),4.0)</f>
        <v>4</v>
      </c>
      <c r="G212" s="4">
        <f>IFERROR(__xludf.DUMMYFUNCTION("""COMPUTED_VALUE"""),123.0)</f>
        <v>123</v>
      </c>
      <c r="H212" s="4">
        <f>IFERROR(__xludf.DUMMYFUNCTION("""COMPUTED_VALUE"""),1493.0)</f>
        <v>1493</v>
      </c>
      <c r="I212" s="4">
        <f>IFERROR(__xludf.DUMMYFUNCTION("""COMPUTED_VALUE"""),510.0)</f>
        <v>510</v>
      </c>
      <c r="J212" s="4">
        <f>IFERROR(__xludf.DUMMYFUNCTION("""COMPUTED_VALUE"""),261.0)</f>
        <v>261</v>
      </c>
      <c r="K212" s="4">
        <f>IFERROR(__xludf.DUMMYFUNCTION("""COMPUTED_VALUE"""),125.0)</f>
        <v>125</v>
      </c>
      <c r="L212" s="4">
        <f>IFERROR(__xludf.DUMMYFUNCTION("""COMPUTED_VALUE"""),0.419)</f>
        <v>0.419</v>
      </c>
      <c r="M212" s="4">
        <f>IFERROR(__xludf.DUMMYFUNCTION("""COMPUTED_VALUE"""),0.292)</f>
        <v>0.292</v>
      </c>
      <c r="N212" s="4">
        <f>IFERROR(__xludf.DUMMYFUNCTION("""COMPUTED_VALUE"""),0.746)</f>
        <v>0.746</v>
      </c>
      <c r="O212" s="4">
        <f>IFERROR(__xludf.DUMMYFUNCTION("""COMPUTED_VALUE"""),12.1)</f>
        <v>12.1</v>
      </c>
      <c r="P212" s="4">
        <f>IFERROR(__xludf.DUMMYFUNCTION("""COMPUTED_VALUE"""),4.1)</f>
        <v>4.1</v>
      </c>
      <c r="Q212" s="4">
        <f>IFERROR(__xludf.DUMMYFUNCTION("""COMPUTED_VALUE"""),2.1)</f>
        <v>2.1</v>
      </c>
      <c r="R212" s="4">
        <f>IFERROR(__xludf.DUMMYFUNCTION("""COMPUTED_VALUE"""),1.0)</f>
        <v>1</v>
      </c>
      <c r="S212" s="4">
        <f>IFERROR(__xludf.DUMMYFUNCTION("""COMPUTED_VALUE"""),1.9)</f>
        <v>1.9</v>
      </c>
      <c r="T212" s="4">
        <f>IFERROR(__xludf.DUMMYFUNCTION("""COMPUTED_VALUE"""),0.061)</f>
        <v>0.061</v>
      </c>
      <c r="U212" s="4">
        <f>IFERROR(__xludf.DUMMYFUNCTION("""COMPUTED_VALUE"""),-2.7)</f>
        <v>-2.7</v>
      </c>
      <c r="V212" s="4">
        <f>IFERROR(__xludf.DUMMYFUNCTION("""COMPUTED_VALUE"""),-0.3)</f>
        <v>-0.3</v>
      </c>
    </row>
    <row r="213">
      <c r="A213" s="4">
        <f>IFERROR(__xludf.DUMMYFUNCTION("""COMPUTED_VALUE"""),12.0)</f>
        <v>12</v>
      </c>
      <c r="B213" s="4">
        <f>IFERROR(__xludf.DUMMYFUNCTION("""COMPUTED_VALUE"""),12.0)</f>
        <v>12</v>
      </c>
      <c r="C213" s="4" t="str">
        <f>IFERROR(__xludf.DUMMYFUNCTION("""COMPUTED_VALUE"""),"OKC")</f>
        <v>OKC</v>
      </c>
      <c r="D213" s="4" t="str">
        <f>IFERROR(__xludf.DUMMYFUNCTION("""COMPUTED_VALUE"""),"Jalen Williams")</f>
        <v>Jalen Williams</v>
      </c>
      <c r="E213" s="4" t="str">
        <f>IFERROR(__xludf.DUMMYFUNCTION("""COMPUTED_VALUE"""),"Santa Clara")</f>
        <v>Santa Clara</v>
      </c>
      <c r="F213" s="4">
        <f>IFERROR(__xludf.DUMMYFUNCTION("""COMPUTED_VALUE"""),4.0)</f>
        <v>4</v>
      </c>
      <c r="G213" s="4">
        <f>IFERROR(__xludf.DUMMYFUNCTION("""COMPUTED_VALUE"""),218.0)</f>
        <v>218</v>
      </c>
      <c r="H213" s="4">
        <f>IFERROR(__xludf.DUMMYFUNCTION("""COMPUTED_VALUE"""),6832.0)</f>
        <v>6832</v>
      </c>
      <c r="I213" s="4">
        <f>IFERROR(__xludf.DUMMYFUNCTION("""COMPUTED_VALUE"""),3950.0)</f>
        <v>3950</v>
      </c>
      <c r="J213" s="4">
        <f>IFERROR(__xludf.DUMMYFUNCTION("""COMPUTED_VALUE"""),1003.0)</f>
        <v>1003</v>
      </c>
      <c r="K213" s="4">
        <f>IFERROR(__xludf.DUMMYFUNCTION("""COMPUTED_VALUE"""),943.0)</f>
        <v>943</v>
      </c>
      <c r="L213" s="4">
        <f>IFERROR(__xludf.DUMMYFUNCTION("""COMPUTED_VALUE"""),0.511)</f>
        <v>0.511</v>
      </c>
      <c r="M213" s="4">
        <f>IFERROR(__xludf.DUMMYFUNCTION("""COMPUTED_VALUE"""),0.381)</f>
        <v>0.381</v>
      </c>
      <c r="N213" s="4">
        <f>IFERROR(__xludf.DUMMYFUNCTION("""COMPUTED_VALUE"""),0.806)</f>
        <v>0.806</v>
      </c>
      <c r="O213" s="4">
        <f>IFERROR(__xludf.DUMMYFUNCTION("""COMPUTED_VALUE"""),31.3)</f>
        <v>31.3</v>
      </c>
      <c r="P213" s="4">
        <f>IFERROR(__xludf.DUMMYFUNCTION("""COMPUTED_VALUE"""),18.1)</f>
        <v>18.1</v>
      </c>
      <c r="Q213" s="4">
        <f>IFERROR(__xludf.DUMMYFUNCTION("""COMPUTED_VALUE"""),4.6)</f>
        <v>4.6</v>
      </c>
      <c r="R213" s="4">
        <f>IFERROR(__xludf.DUMMYFUNCTION("""COMPUTED_VALUE"""),4.3)</f>
        <v>4.3</v>
      </c>
      <c r="S213" s="4">
        <f>IFERROR(__xludf.DUMMYFUNCTION("""COMPUTED_VALUE"""),20.9)</f>
        <v>20.9</v>
      </c>
      <c r="T213" s="4">
        <f>IFERROR(__xludf.DUMMYFUNCTION("""COMPUTED_VALUE"""),0.147)</f>
        <v>0.147</v>
      </c>
      <c r="U213" s="4">
        <f>IFERROR(__xludf.DUMMYFUNCTION("""COMPUTED_VALUE"""),2.2)</f>
        <v>2.2</v>
      </c>
      <c r="V213" s="4">
        <f>IFERROR(__xludf.DUMMYFUNCTION("""COMPUTED_VALUE"""),7.2)</f>
        <v>7.2</v>
      </c>
    </row>
    <row r="214">
      <c r="A214" s="4">
        <f>IFERROR(__xludf.DUMMYFUNCTION("""COMPUTED_VALUE"""),13.0)</f>
        <v>13</v>
      </c>
      <c r="B214" s="4">
        <f>IFERROR(__xludf.DUMMYFUNCTION("""COMPUTED_VALUE"""),13.0)</f>
        <v>13</v>
      </c>
      <c r="C214" s="4" t="str">
        <f>IFERROR(__xludf.DUMMYFUNCTION("""COMPUTED_VALUE"""),"CHO")</f>
        <v>CHO</v>
      </c>
      <c r="D214" s="4" t="str">
        <f>IFERROR(__xludf.DUMMYFUNCTION("""COMPUTED_VALUE"""),"Jalen Duren")</f>
        <v>Jalen Duren</v>
      </c>
      <c r="E214" s="4" t="str">
        <f>IFERROR(__xludf.DUMMYFUNCTION("""COMPUTED_VALUE"""),"Memphis")</f>
        <v>Memphis</v>
      </c>
      <c r="F214" s="4">
        <f>IFERROR(__xludf.DUMMYFUNCTION("""COMPUTED_VALUE"""),4.0)</f>
        <v>4</v>
      </c>
      <c r="G214" s="4">
        <f>IFERROR(__xludf.DUMMYFUNCTION("""COMPUTED_VALUE"""),224.0)</f>
        <v>224</v>
      </c>
      <c r="H214" s="4">
        <f>IFERROR(__xludf.DUMMYFUNCTION("""COMPUTED_VALUE"""),6009.0)</f>
        <v>6009</v>
      </c>
      <c r="I214" s="4">
        <f>IFERROR(__xludf.DUMMYFUNCTION("""COMPUTED_VALUE"""),2724.0)</f>
        <v>2724</v>
      </c>
      <c r="J214" s="4">
        <f>IFERROR(__xludf.DUMMYFUNCTION("""COMPUTED_VALUE"""),2323.0)</f>
        <v>2323</v>
      </c>
      <c r="K214" s="4">
        <f>IFERROR(__xludf.DUMMYFUNCTION("""COMPUTED_VALUE"""),465.0)</f>
        <v>465</v>
      </c>
      <c r="L214" s="4">
        <f>IFERROR(__xludf.DUMMYFUNCTION("""COMPUTED_VALUE"""),0.654)</f>
        <v>0.654</v>
      </c>
      <c r="M214" s="4">
        <f>IFERROR(__xludf.DUMMYFUNCTION("""COMPUTED_VALUE"""),0.0)</f>
        <v>0</v>
      </c>
      <c r="N214" s="4">
        <f>IFERROR(__xludf.DUMMYFUNCTION("""COMPUTED_VALUE"""),0.704)</f>
        <v>0.704</v>
      </c>
      <c r="O214" s="4">
        <f>IFERROR(__xludf.DUMMYFUNCTION("""COMPUTED_VALUE"""),26.8)</f>
        <v>26.8</v>
      </c>
      <c r="P214" s="4">
        <f>IFERROR(__xludf.DUMMYFUNCTION("""COMPUTED_VALUE"""),12.2)</f>
        <v>12.2</v>
      </c>
      <c r="Q214" s="4">
        <f>IFERROR(__xludf.DUMMYFUNCTION("""COMPUTED_VALUE"""),10.4)</f>
        <v>10.4</v>
      </c>
      <c r="R214" s="4">
        <f>IFERROR(__xludf.DUMMYFUNCTION("""COMPUTED_VALUE"""),2.1)</f>
        <v>2.1</v>
      </c>
      <c r="S214" s="4">
        <f>IFERROR(__xludf.DUMMYFUNCTION("""COMPUTED_VALUE"""),21.2)</f>
        <v>21.2</v>
      </c>
      <c r="T214" s="4">
        <f>IFERROR(__xludf.DUMMYFUNCTION("""COMPUTED_VALUE"""),0.17)</f>
        <v>0.17</v>
      </c>
      <c r="U214" s="4">
        <f>IFERROR(__xludf.DUMMYFUNCTION("""COMPUTED_VALUE"""),1.1)</f>
        <v>1.1</v>
      </c>
      <c r="V214" s="4">
        <f>IFERROR(__xludf.DUMMYFUNCTION("""COMPUTED_VALUE"""),4.7)</f>
        <v>4.7</v>
      </c>
    </row>
    <row r="215">
      <c r="A215" s="4">
        <f>IFERROR(__xludf.DUMMYFUNCTION("""COMPUTED_VALUE"""),14.0)</f>
        <v>14</v>
      </c>
      <c r="B215" s="4">
        <f>IFERROR(__xludf.DUMMYFUNCTION("""COMPUTED_VALUE"""),14.0)</f>
        <v>14</v>
      </c>
      <c r="C215" s="4" t="str">
        <f>IFERROR(__xludf.DUMMYFUNCTION("""COMPUTED_VALUE"""),"CLE")</f>
        <v>CLE</v>
      </c>
      <c r="D215" s="4" t="str">
        <f>IFERROR(__xludf.DUMMYFUNCTION("""COMPUTED_VALUE"""),"Ochai Agbaji")</f>
        <v>Ochai Agbaji</v>
      </c>
      <c r="E215" s="4" t="str">
        <f>IFERROR(__xludf.DUMMYFUNCTION("""COMPUTED_VALUE"""),"Kansas")</f>
        <v>Kansas</v>
      </c>
      <c r="F215" s="4">
        <f>IFERROR(__xludf.DUMMYFUNCTION("""COMPUTED_VALUE"""),4.0)</f>
        <v>4</v>
      </c>
      <c r="G215" s="4">
        <f>IFERROR(__xludf.DUMMYFUNCTION("""COMPUTED_VALUE"""),217.0)</f>
        <v>217</v>
      </c>
      <c r="H215" s="4">
        <f>IFERROR(__xludf.DUMMYFUNCTION("""COMPUTED_VALUE"""),4805.0)</f>
        <v>4805</v>
      </c>
      <c r="I215" s="4">
        <f>IFERROR(__xludf.DUMMYFUNCTION("""COMPUTED_VALUE"""),1637.0)</f>
        <v>1637</v>
      </c>
      <c r="J215" s="4">
        <f>IFERROR(__xludf.DUMMYFUNCTION("""COMPUTED_VALUE"""),609.0)</f>
        <v>609</v>
      </c>
      <c r="K215" s="4">
        <f>IFERROR(__xludf.DUMMYFUNCTION("""COMPUTED_VALUE"""),260.0)</f>
        <v>260</v>
      </c>
      <c r="L215" s="4">
        <f>IFERROR(__xludf.DUMMYFUNCTION("""COMPUTED_VALUE"""),0.447)</f>
        <v>0.447</v>
      </c>
      <c r="M215" s="4">
        <f>IFERROR(__xludf.DUMMYFUNCTION("""COMPUTED_VALUE"""),0.345)</f>
        <v>0.345</v>
      </c>
      <c r="N215" s="4">
        <f>IFERROR(__xludf.DUMMYFUNCTION("""COMPUTED_VALUE"""),0.732)</f>
        <v>0.732</v>
      </c>
      <c r="O215" s="4">
        <f>IFERROR(__xludf.DUMMYFUNCTION("""COMPUTED_VALUE"""),22.1)</f>
        <v>22.1</v>
      </c>
      <c r="P215" s="4">
        <f>IFERROR(__xludf.DUMMYFUNCTION("""COMPUTED_VALUE"""),7.5)</f>
        <v>7.5</v>
      </c>
      <c r="Q215" s="4">
        <f>IFERROR(__xludf.DUMMYFUNCTION("""COMPUTED_VALUE"""),2.8)</f>
        <v>2.8</v>
      </c>
      <c r="R215" s="4">
        <f>IFERROR(__xludf.DUMMYFUNCTION("""COMPUTED_VALUE"""),1.2)</f>
        <v>1.2</v>
      </c>
      <c r="S215" s="4">
        <f>IFERROR(__xludf.DUMMYFUNCTION("""COMPUTED_VALUE"""),4.6)</f>
        <v>4.6</v>
      </c>
      <c r="T215" s="4">
        <f>IFERROR(__xludf.DUMMYFUNCTION("""COMPUTED_VALUE"""),0.046)</f>
        <v>0.046</v>
      </c>
      <c r="U215" s="4">
        <f>IFERROR(__xludf.DUMMYFUNCTION("""COMPUTED_VALUE"""),-2.8)</f>
        <v>-2.8</v>
      </c>
      <c r="V215" s="4">
        <f>IFERROR(__xludf.DUMMYFUNCTION("""COMPUTED_VALUE"""),-1.0)</f>
        <v>-1</v>
      </c>
    </row>
    <row r="216">
      <c r="A216" s="4">
        <f>IFERROR(__xludf.DUMMYFUNCTION("""COMPUTED_VALUE"""),15.0)</f>
        <v>15</v>
      </c>
      <c r="B216" s="4">
        <f>IFERROR(__xludf.DUMMYFUNCTION("""COMPUTED_VALUE"""),15.0)</f>
        <v>15</v>
      </c>
      <c r="C216" s="4" t="str">
        <f>IFERROR(__xludf.DUMMYFUNCTION("""COMPUTED_VALUE"""),"CHO")</f>
        <v>CHO</v>
      </c>
      <c r="D216" s="4" t="str">
        <f>IFERROR(__xludf.DUMMYFUNCTION("""COMPUTED_VALUE"""),"Mark Williams")</f>
        <v>Mark Williams</v>
      </c>
      <c r="E216" s="4" t="str">
        <f>IFERROR(__xludf.DUMMYFUNCTION("""COMPUTED_VALUE"""),"Duke")</f>
        <v>Duke</v>
      </c>
      <c r="F216" s="4">
        <f>IFERROR(__xludf.DUMMYFUNCTION("""COMPUTED_VALUE"""),4.0)</f>
        <v>4</v>
      </c>
      <c r="G216" s="4">
        <f>IFERROR(__xludf.DUMMYFUNCTION("""COMPUTED_VALUE"""),124.0)</f>
        <v>124</v>
      </c>
      <c r="H216" s="4">
        <f>IFERROR(__xludf.DUMMYFUNCTION("""COMPUTED_VALUE"""),2964.0)</f>
        <v>2964</v>
      </c>
      <c r="I216" s="4">
        <f>IFERROR(__xludf.DUMMYFUNCTION("""COMPUTED_VALUE"""),1532.0)</f>
        <v>1532</v>
      </c>
      <c r="J216" s="4">
        <f>IFERROR(__xludf.DUMMYFUNCTION("""COMPUTED_VALUE"""),1097.0)</f>
        <v>1097</v>
      </c>
      <c r="K216" s="4">
        <f>IFERROR(__xludf.DUMMYFUNCTION("""COMPUTED_VALUE"""),168.0)</f>
        <v>168</v>
      </c>
      <c r="L216" s="4">
        <f>IFERROR(__xludf.DUMMYFUNCTION("""COMPUTED_VALUE"""),0.626)</f>
        <v>0.626</v>
      </c>
      <c r="M216" s="4">
        <f>IFERROR(__xludf.DUMMYFUNCTION("""COMPUTED_VALUE"""),0.0)</f>
        <v>0</v>
      </c>
      <c r="N216" s="4">
        <f>IFERROR(__xludf.DUMMYFUNCTION("""COMPUTED_VALUE"""),0.753)</f>
        <v>0.753</v>
      </c>
      <c r="O216" s="4">
        <f>IFERROR(__xludf.DUMMYFUNCTION("""COMPUTED_VALUE"""),23.9)</f>
        <v>23.9</v>
      </c>
      <c r="P216" s="4">
        <f>IFERROR(__xludf.DUMMYFUNCTION("""COMPUTED_VALUE"""),12.4)</f>
        <v>12.4</v>
      </c>
      <c r="Q216" s="4">
        <f>IFERROR(__xludf.DUMMYFUNCTION("""COMPUTED_VALUE"""),8.8)</f>
        <v>8.8</v>
      </c>
      <c r="R216" s="4">
        <f>IFERROR(__xludf.DUMMYFUNCTION("""COMPUTED_VALUE"""),1.4)</f>
        <v>1.4</v>
      </c>
      <c r="S216" s="4">
        <f>IFERROR(__xludf.DUMMYFUNCTION("""COMPUTED_VALUE"""),11.8)</f>
        <v>11.8</v>
      </c>
      <c r="T216" s="4">
        <f>IFERROR(__xludf.DUMMYFUNCTION("""COMPUTED_VALUE"""),0.192)</f>
        <v>0.192</v>
      </c>
      <c r="U216" s="4">
        <f>IFERROR(__xludf.DUMMYFUNCTION("""COMPUTED_VALUE"""),1.8)</f>
        <v>1.8</v>
      </c>
      <c r="V216" s="4">
        <f>IFERROR(__xludf.DUMMYFUNCTION("""COMPUTED_VALUE"""),2.9)</f>
        <v>2.9</v>
      </c>
    </row>
    <row r="217">
      <c r="A217" s="4">
        <f>IFERROR(__xludf.DUMMYFUNCTION("""COMPUTED_VALUE"""),16.0)</f>
        <v>16</v>
      </c>
      <c r="B217" s="4">
        <f>IFERROR(__xludf.DUMMYFUNCTION("""COMPUTED_VALUE"""),16.0)</f>
        <v>16</v>
      </c>
      <c r="C217" s="4" t="str">
        <f>IFERROR(__xludf.DUMMYFUNCTION("""COMPUTED_VALUE"""),"ATL")</f>
        <v>ATL</v>
      </c>
      <c r="D217" s="4" t="str">
        <f>IFERROR(__xludf.DUMMYFUNCTION("""COMPUTED_VALUE"""),"AJ Griffin")</f>
        <v>AJ Griffin</v>
      </c>
      <c r="E217" s="4" t="str">
        <f>IFERROR(__xludf.DUMMYFUNCTION("""COMPUTED_VALUE"""),"Duke")</f>
        <v>Duke</v>
      </c>
      <c r="F217" s="4">
        <f>IFERROR(__xludf.DUMMYFUNCTION("""COMPUTED_VALUE"""),2.0)</f>
        <v>2</v>
      </c>
      <c r="G217" s="4">
        <f>IFERROR(__xludf.DUMMYFUNCTION("""COMPUTED_VALUE"""),92.0)</f>
        <v>92</v>
      </c>
      <c r="H217" s="4">
        <f>IFERROR(__xludf.DUMMYFUNCTION("""COMPUTED_VALUE"""),1572.0)</f>
        <v>1572</v>
      </c>
      <c r="I217" s="4">
        <f>IFERROR(__xludf.DUMMYFUNCTION("""COMPUTED_VALUE"""),687.0)</f>
        <v>687</v>
      </c>
      <c r="J217" s="4">
        <f>IFERROR(__xludf.DUMMYFUNCTION("""COMPUTED_VALUE"""),171.0)</f>
        <v>171</v>
      </c>
      <c r="K217" s="4">
        <f>IFERROR(__xludf.DUMMYFUNCTION("""COMPUTED_VALUE"""),78.0)</f>
        <v>78</v>
      </c>
      <c r="L217" s="4">
        <f>IFERROR(__xludf.DUMMYFUNCTION("""COMPUTED_VALUE"""),0.447)</f>
        <v>0.447</v>
      </c>
      <c r="M217" s="4">
        <f>IFERROR(__xludf.DUMMYFUNCTION("""COMPUTED_VALUE"""),0.372)</f>
        <v>0.372</v>
      </c>
      <c r="N217" s="4">
        <f>IFERROR(__xludf.DUMMYFUNCTION("""COMPUTED_VALUE"""),0.898)</f>
        <v>0.898</v>
      </c>
      <c r="O217" s="4">
        <f>IFERROR(__xludf.DUMMYFUNCTION("""COMPUTED_VALUE"""),17.1)</f>
        <v>17.1</v>
      </c>
      <c r="P217" s="4">
        <f>IFERROR(__xludf.DUMMYFUNCTION("""COMPUTED_VALUE"""),7.5)</f>
        <v>7.5</v>
      </c>
      <c r="Q217" s="4">
        <f>IFERROR(__xludf.DUMMYFUNCTION("""COMPUTED_VALUE"""),1.9)</f>
        <v>1.9</v>
      </c>
      <c r="R217" s="4">
        <f>IFERROR(__xludf.DUMMYFUNCTION("""COMPUTED_VALUE"""),0.8)</f>
        <v>0.8</v>
      </c>
      <c r="S217" s="4">
        <f>IFERROR(__xludf.DUMMYFUNCTION("""COMPUTED_VALUE"""),1.8)</f>
        <v>1.8</v>
      </c>
      <c r="T217" s="4">
        <f>IFERROR(__xludf.DUMMYFUNCTION("""COMPUTED_VALUE"""),0.053)</f>
        <v>0.053</v>
      </c>
      <c r="U217" s="4">
        <f>IFERROR(__xludf.DUMMYFUNCTION("""COMPUTED_VALUE"""),-1.7)</f>
        <v>-1.7</v>
      </c>
      <c r="V217" s="4">
        <f>IFERROR(__xludf.DUMMYFUNCTION("""COMPUTED_VALUE"""),0.1)</f>
        <v>0.1</v>
      </c>
    </row>
    <row r="218">
      <c r="A218" s="4">
        <f>IFERROR(__xludf.DUMMYFUNCTION("""COMPUTED_VALUE"""),17.0)</f>
        <v>17</v>
      </c>
      <c r="B218" s="4">
        <f>IFERROR(__xludf.DUMMYFUNCTION("""COMPUTED_VALUE"""),17.0)</f>
        <v>17</v>
      </c>
      <c r="C218" s="4" t="str">
        <f>IFERROR(__xludf.DUMMYFUNCTION("""COMPUTED_VALUE"""),"HOU")</f>
        <v>HOU</v>
      </c>
      <c r="D218" s="4" t="str">
        <f>IFERROR(__xludf.DUMMYFUNCTION("""COMPUTED_VALUE"""),"Tari Eason")</f>
        <v>Tari Eason</v>
      </c>
      <c r="E218" s="4" t="str">
        <f>IFERROR(__xludf.DUMMYFUNCTION("""COMPUTED_VALUE"""),"LSU")</f>
        <v>LSU</v>
      </c>
      <c r="F218" s="4">
        <f>IFERROR(__xludf.DUMMYFUNCTION("""COMPUTED_VALUE"""),4.0)</f>
        <v>4</v>
      </c>
      <c r="G218" s="4">
        <f>IFERROR(__xludf.DUMMYFUNCTION("""COMPUTED_VALUE"""),172.0)</f>
        <v>172</v>
      </c>
      <c r="H218" s="4">
        <f>IFERROR(__xludf.DUMMYFUNCTION("""COMPUTED_VALUE"""),3922.0)</f>
        <v>3922</v>
      </c>
      <c r="I218" s="4">
        <f>IFERROR(__xludf.DUMMYFUNCTION("""COMPUTED_VALUE"""),1787.0)</f>
        <v>1787</v>
      </c>
      <c r="J218" s="4">
        <f>IFERROR(__xludf.DUMMYFUNCTION("""COMPUTED_VALUE"""),1068.0)</f>
        <v>1068</v>
      </c>
      <c r="K218" s="4">
        <f>IFERROR(__xludf.DUMMYFUNCTION("""COMPUTED_VALUE"""),216.0)</f>
        <v>216</v>
      </c>
      <c r="L218" s="4">
        <f>IFERROR(__xludf.DUMMYFUNCTION("""COMPUTED_VALUE"""),0.468)</f>
        <v>0.468</v>
      </c>
      <c r="M218" s="4">
        <f>IFERROR(__xludf.DUMMYFUNCTION("""COMPUTED_VALUE"""),0.364)</f>
        <v>0.364</v>
      </c>
      <c r="N218" s="4">
        <f>IFERROR(__xludf.DUMMYFUNCTION("""COMPUTED_VALUE"""),0.74)</f>
        <v>0.74</v>
      </c>
      <c r="O218" s="4">
        <f>IFERROR(__xludf.DUMMYFUNCTION("""COMPUTED_VALUE"""),22.8)</f>
        <v>22.8</v>
      </c>
      <c r="P218" s="4">
        <f>IFERROR(__xludf.DUMMYFUNCTION("""COMPUTED_VALUE"""),10.4)</f>
        <v>10.4</v>
      </c>
      <c r="Q218" s="4">
        <f>IFERROR(__xludf.DUMMYFUNCTION("""COMPUTED_VALUE"""),6.2)</f>
        <v>6.2</v>
      </c>
      <c r="R218" s="4">
        <f>IFERROR(__xludf.DUMMYFUNCTION("""COMPUTED_VALUE"""),1.3)</f>
        <v>1.3</v>
      </c>
      <c r="S218" s="4">
        <f>IFERROR(__xludf.DUMMYFUNCTION("""COMPUTED_VALUE"""),9.6)</f>
        <v>9.6</v>
      </c>
      <c r="T218" s="4">
        <f>IFERROR(__xludf.DUMMYFUNCTION("""COMPUTED_VALUE"""),0.117)</f>
        <v>0.117</v>
      </c>
      <c r="U218" s="4">
        <f>IFERROR(__xludf.DUMMYFUNCTION("""COMPUTED_VALUE"""),0.9)</f>
        <v>0.9</v>
      </c>
      <c r="V218" s="4">
        <f>IFERROR(__xludf.DUMMYFUNCTION("""COMPUTED_VALUE"""),2.8)</f>
        <v>2.8</v>
      </c>
    </row>
    <row r="219">
      <c r="A219" s="4">
        <f>IFERROR(__xludf.DUMMYFUNCTION("""COMPUTED_VALUE"""),18.0)</f>
        <v>18</v>
      </c>
      <c r="B219" s="4">
        <f>IFERROR(__xludf.DUMMYFUNCTION("""COMPUTED_VALUE"""),18.0)</f>
        <v>18</v>
      </c>
      <c r="C219" s="4" t="str">
        <f>IFERROR(__xludf.DUMMYFUNCTION("""COMPUTED_VALUE"""),"CHI")</f>
        <v>CHI</v>
      </c>
      <c r="D219" s="4" t="str">
        <f>IFERROR(__xludf.DUMMYFUNCTION("""COMPUTED_VALUE"""),"Dalen Terry")</f>
        <v>Dalen Terry</v>
      </c>
      <c r="E219" s="4" t="str">
        <f>IFERROR(__xludf.DUMMYFUNCTION("""COMPUTED_VALUE"""),"Arizona")</f>
        <v>Arizona</v>
      </c>
      <c r="F219" s="4">
        <f>IFERROR(__xludf.DUMMYFUNCTION("""COMPUTED_VALUE"""),4.0)</f>
        <v>4</v>
      </c>
      <c r="G219" s="4">
        <f>IFERROR(__xludf.DUMMYFUNCTION("""COMPUTED_VALUE"""),180.0)</f>
        <v>180</v>
      </c>
      <c r="H219" s="4">
        <f>IFERROR(__xludf.DUMMYFUNCTION("""COMPUTED_VALUE"""),1971.0)</f>
        <v>1971</v>
      </c>
      <c r="I219" s="4">
        <f>IFERROR(__xludf.DUMMYFUNCTION("""COMPUTED_VALUE"""),614.0)</f>
        <v>614</v>
      </c>
      <c r="J219" s="4">
        <f>IFERROR(__xludf.DUMMYFUNCTION("""COMPUTED_VALUE"""),287.0)</f>
        <v>287</v>
      </c>
      <c r="K219" s="4">
        <f>IFERROR(__xludf.DUMMYFUNCTION("""COMPUTED_VALUE"""),215.0)</f>
        <v>215</v>
      </c>
      <c r="L219" s="4">
        <f>IFERROR(__xludf.DUMMYFUNCTION("""COMPUTED_VALUE"""),0.445)</f>
        <v>0.445</v>
      </c>
      <c r="M219" s="4">
        <f>IFERROR(__xludf.DUMMYFUNCTION("""COMPUTED_VALUE"""),0.297)</f>
        <v>0.297</v>
      </c>
      <c r="N219" s="4">
        <f>IFERROR(__xludf.DUMMYFUNCTION("""COMPUTED_VALUE"""),0.65)</f>
        <v>0.65</v>
      </c>
      <c r="O219" s="4">
        <f>IFERROR(__xludf.DUMMYFUNCTION("""COMPUTED_VALUE"""),11.0)</f>
        <v>11</v>
      </c>
      <c r="P219" s="4">
        <f>IFERROR(__xludf.DUMMYFUNCTION("""COMPUTED_VALUE"""),3.4)</f>
        <v>3.4</v>
      </c>
      <c r="Q219" s="4">
        <f>IFERROR(__xludf.DUMMYFUNCTION("""COMPUTED_VALUE"""),1.6)</f>
        <v>1.6</v>
      </c>
      <c r="R219" s="4">
        <f>IFERROR(__xludf.DUMMYFUNCTION("""COMPUTED_VALUE"""),1.2)</f>
        <v>1.2</v>
      </c>
      <c r="S219" s="4">
        <f>IFERROR(__xludf.DUMMYFUNCTION("""COMPUTED_VALUE"""),2.5)</f>
        <v>2.5</v>
      </c>
      <c r="T219" s="4">
        <f>IFERROR(__xludf.DUMMYFUNCTION("""COMPUTED_VALUE"""),0.061)</f>
        <v>0.061</v>
      </c>
      <c r="U219" s="4">
        <f>IFERROR(__xludf.DUMMYFUNCTION("""COMPUTED_VALUE"""),-2.8)</f>
        <v>-2.8</v>
      </c>
      <c r="V219" s="4">
        <f>IFERROR(__xludf.DUMMYFUNCTION("""COMPUTED_VALUE"""),-0.4)</f>
        <v>-0.4</v>
      </c>
    </row>
    <row r="220">
      <c r="A220" s="4">
        <f>IFERROR(__xludf.DUMMYFUNCTION("""COMPUTED_VALUE"""),19.0)</f>
        <v>19</v>
      </c>
      <c r="B220" s="4">
        <f>IFERROR(__xludf.DUMMYFUNCTION("""COMPUTED_VALUE"""),19.0)</f>
        <v>19</v>
      </c>
      <c r="C220" s="4" t="str">
        <f>IFERROR(__xludf.DUMMYFUNCTION("""COMPUTED_VALUE"""),"MIN")</f>
        <v>MIN</v>
      </c>
      <c r="D220" s="4" t="str">
        <f>IFERROR(__xludf.DUMMYFUNCTION("""COMPUTED_VALUE"""),"Jake LaRavia")</f>
        <v>Jake LaRavia</v>
      </c>
      <c r="E220" s="4" t="str">
        <f>IFERROR(__xludf.DUMMYFUNCTION("""COMPUTED_VALUE"""),"Wake Forest")</f>
        <v>Wake Forest</v>
      </c>
      <c r="F220" s="4">
        <f>IFERROR(__xludf.DUMMYFUNCTION("""COMPUTED_VALUE"""),4.0)</f>
        <v>4</v>
      </c>
      <c r="G220" s="4">
        <f>IFERROR(__xludf.DUMMYFUNCTION("""COMPUTED_VALUE"""),156.0)</f>
        <v>156</v>
      </c>
      <c r="H220" s="4">
        <f>IFERROR(__xludf.DUMMYFUNCTION("""COMPUTED_VALUE"""),3082.0)</f>
        <v>3082</v>
      </c>
      <c r="I220" s="4">
        <f>IFERROR(__xludf.DUMMYFUNCTION("""COMPUTED_VALUE"""),1122.0)</f>
        <v>1122</v>
      </c>
      <c r="J220" s="4">
        <f>IFERROR(__xludf.DUMMYFUNCTION("""COMPUTED_VALUE"""),528.0)</f>
        <v>528</v>
      </c>
      <c r="K220" s="4">
        <f>IFERROR(__xludf.DUMMYFUNCTION("""COMPUTED_VALUE"""),277.0)</f>
        <v>277</v>
      </c>
      <c r="L220" s="4">
        <f>IFERROR(__xludf.DUMMYFUNCTION("""COMPUTED_VALUE"""),0.435)</f>
        <v>0.435</v>
      </c>
      <c r="M220" s="4">
        <f>IFERROR(__xludf.DUMMYFUNCTION("""COMPUTED_VALUE"""),0.366)</f>
        <v>0.366</v>
      </c>
      <c r="N220" s="4">
        <f>IFERROR(__xludf.DUMMYFUNCTION("""COMPUTED_VALUE"""),0.739)</f>
        <v>0.739</v>
      </c>
      <c r="O220" s="4">
        <f>IFERROR(__xludf.DUMMYFUNCTION("""COMPUTED_VALUE"""),19.8)</f>
        <v>19.8</v>
      </c>
      <c r="P220" s="4">
        <f>IFERROR(__xludf.DUMMYFUNCTION("""COMPUTED_VALUE"""),7.2)</f>
        <v>7.2</v>
      </c>
      <c r="Q220" s="4">
        <f>IFERROR(__xludf.DUMMYFUNCTION("""COMPUTED_VALUE"""),3.4)</f>
        <v>3.4</v>
      </c>
      <c r="R220" s="4">
        <f>IFERROR(__xludf.DUMMYFUNCTION("""COMPUTED_VALUE"""),1.8)</f>
        <v>1.8</v>
      </c>
      <c r="S220" s="4">
        <f>IFERROR(__xludf.DUMMYFUNCTION("""COMPUTED_VALUE"""),5.3)</f>
        <v>5.3</v>
      </c>
      <c r="T220" s="4">
        <f>IFERROR(__xludf.DUMMYFUNCTION("""COMPUTED_VALUE"""),0.082)</f>
        <v>0.082</v>
      </c>
      <c r="U220" s="4">
        <f>IFERROR(__xludf.DUMMYFUNCTION("""COMPUTED_VALUE"""),-1.3)</f>
        <v>-1.3</v>
      </c>
      <c r="V220" s="4">
        <f>IFERROR(__xludf.DUMMYFUNCTION("""COMPUTED_VALUE"""),0.6)</f>
        <v>0.6</v>
      </c>
    </row>
    <row r="221">
      <c r="A221" s="4">
        <f>IFERROR(__xludf.DUMMYFUNCTION("""COMPUTED_VALUE"""),20.0)</f>
        <v>20</v>
      </c>
      <c r="B221" s="4">
        <f>IFERROR(__xludf.DUMMYFUNCTION("""COMPUTED_VALUE"""),20.0)</f>
        <v>20</v>
      </c>
      <c r="C221" s="4" t="str">
        <f>IFERROR(__xludf.DUMMYFUNCTION("""COMPUTED_VALUE"""),"SAS")</f>
        <v>SAS</v>
      </c>
      <c r="D221" s="4" t="str">
        <f>IFERROR(__xludf.DUMMYFUNCTION("""COMPUTED_VALUE"""),"Malaki Branham")</f>
        <v>Malaki Branham</v>
      </c>
      <c r="E221" s="4" t="str">
        <f>IFERROR(__xludf.DUMMYFUNCTION("""COMPUTED_VALUE"""),"Ohio State")</f>
        <v>Ohio State</v>
      </c>
      <c r="F221" s="4">
        <f>IFERROR(__xludf.DUMMYFUNCTION("""COMPUTED_VALUE"""),4.0)</f>
        <v>4</v>
      </c>
      <c r="G221" s="4">
        <f>IFERROR(__xludf.DUMMYFUNCTION("""COMPUTED_VALUE"""),197.0)</f>
        <v>197</v>
      </c>
      <c r="H221" s="4">
        <f>IFERROR(__xludf.DUMMYFUNCTION("""COMPUTED_VALUE"""),3636.0)</f>
        <v>3636</v>
      </c>
      <c r="I221" s="4">
        <f>IFERROR(__xludf.DUMMYFUNCTION("""COMPUTED_VALUE"""),1634.0)</f>
        <v>1634</v>
      </c>
      <c r="J221" s="4">
        <f>IFERROR(__xludf.DUMMYFUNCTION("""COMPUTED_VALUE"""),395.0)</f>
        <v>395</v>
      </c>
      <c r="K221" s="4">
        <f>IFERROR(__xludf.DUMMYFUNCTION("""COMPUTED_VALUE"""),328.0)</f>
        <v>328</v>
      </c>
      <c r="L221" s="4">
        <f>IFERROR(__xludf.DUMMYFUNCTION("""COMPUTED_VALUE"""),0.44)</f>
        <v>0.44</v>
      </c>
      <c r="M221" s="4">
        <f>IFERROR(__xludf.DUMMYFUNCTION("""COMPUTED_VALUE"""),0.334)</f>
        <v>0.334</v>
      </c>
      <c r="N221" s="4">
        <f>IFERROR(__xludf.DUMMYFUNCTION("""COMPUTED_VALUE"""),0.835)</f>
        <v>0.835</v>
      </c>
      <c r="O221" s="4">
        <f>IFERROR(__xludf.DUMMYFUNCTION("""COMPUTED_VALUE"""),18.5)</f>
        <v>18.5</v>
      </c>
      <c r="P221" s="4">
        <f>IFERROR(__xludf.DUMMYFUNCTION("""COMPUTED_VALUE"""),8.3)</f>
        <v>8.3</v>
      </c>
      <c r="Q221" s="4">
        <f>IFERROR(__xludf.DUMMYFUNCTION("""COMPUTED_VALUE"""),2.0)</f>
        <v>2</v>
      </c>
      <c r="R221" s="4">
        <f>IFERROR(__xludf.DUMMYFUNCTION("""COMPUTED_VALUE"""),1.7)</f>
        <v>1.7</v>
      </c>
      <c r="S221" s="4">
        <f>IFERROR(__xludf.DUMMYFUNCTION("""COMPUTED_VALUE"""),-0.1)</f>
        <v>-0.1</v>
      </c>
      <c r="T221" s="4">
        <f>IFERROR(__xludf.DUMMYFUNCTION("""COMPUTED_VALUE"""),-0.002)</f>
        <v>-0.002</v>
      </c>
      <c r="U221" s="4">
        <f>IFERROR(__xludf.DUMMYFUNCTION("""COMPUTED_VALUE"""),-5.0)</f>
        <v>-5</v>
      </c>
      <c r="V221" s="4">
        <f>IFERROR(__xludf.DUMMYFUNCTION("""COMPUTED_VALUE"""),-2.8)</f>
        <v>-2.8</v>
      </c>
    </row>
    <row r="222">
      <c r="A222" s="4">
        <f>IFERROR(__xludf.DUMMYFUNCTION("""COMPUTED_VALUE"""),21.0)</f>
        <v>21</v>
      </c>
      <c r="B222" s="4">
        <f>IFERROR(__xludf.DUMMYFUNCTION("""COMPUTED_VALUE"""),21.0)</f>
        <v>21</v>
      </c>
      <c r="C222" s="4" t="str">
        <f>IFERROR(__xludf.DUMMYFUNCTION("""COMPUTED_VALUE"""),"DEN")</f>
        <v>DEN</v>
      </c>
      <c r="D222" s="4" t="str">
        <f>IFERROR(__xludf.DUMMYFUNCTION("""COMPUTED_VALUE"""),"Christian Braun")</f>
        <v>Christian Braun</v>
      </c>
      <c r="E222" s="4" t="str">
        <f>IFERROR(__xludf.DUMMYFUNCTION("""COMPUTED_VALUE"""),"Kansas")</f>
        <v>Kansas</v>
      </c>
      <c r="F222" s="4">
        <f>IFERROR(__xludf.DUMMYFUNCTION("""COMPUTED_VALUE"""),4.0)</f>
        <v>4</v>
      </c>
      <c r="G222" s="4">
        <f>IFERROR(__xludf.DUMMYFUNCTION("""COMPUTED_VALUE"""),248.0)</f>
        <v>248</v>
      </c>
      <c r="H222" s="4">
        <f>IFERROR(__xludf.DUMMYFUNCTION("""COMPUTED_VALUE"""),5836.0)</f>
        <v>5836</v>
      </c>
      <c r="I222" s="4">
        <f>IFERROR(__xludf.DUMMYFUNCTION("""COMPUTED_VALUE"""),2303.0)</f>
        <v>2303</v>
      </c>
      <c r="J222" s="4">
        <f>IFERROR(__xludf.DUMMYFUNCTION("""COMPUTED_VALUE"""),945.0)</f>
        <v>945</v>
      </c>
      <c r="K222" s="4">
        <f>IFERROR(__xludf.DUMMYFUNCTION("""COMPUTED_VALUE"""),429.0)</f>
        <v>429</v>
      </c>
      <c r="L222" s="4">
        <f>IFERROR(__xludf.DUMMYFUNCTION("""COMPUTED_VALUE"""),0.526)</f>
        <v>0.526</v>
      </c>
      <c r="M222" s="4">
        <f>IFERROR(__xludf.DUMMYFUNCTION("""COMPUTED_VALUE"""),0.375)</f>
        <v>0.375</v>
      </c>
      <c r="N222" s="4">
        <f>IFERROR(__xludf.DUMMYFUNCTION("""COMPUTED_VALUE"""),0.755)</f>
        <v>0.755</v>
      </c>
      <c r="O222" s="4">
        <f>IFERROR(__xludf.DUMMYFUNCTION("""COMPUTED_VALUE"""),23.5)</f>
        <v>23.5</v>
      </c>
      <c r="P222" s="4">
        <f>IFERROR(__xludf.DUMMYFUNCTION("""COMPUTED_VALUE"""),9.3)</f>
        <v>9.3</v>
      </c>
      <c r="Q222" s="4">
        <f>IFERROR(__xludf.DUMMYFUNCTION("""COMPUTED_VALUE"""),3.8)</f>
        <v>3.8</v>
      </c>
      <c r="R222" s="4">
        <f>IFERROR(__xludf.DUMMYFUNCTION("""COMPUTED_VALUE"""),1.7)</f>
        <v>1.7</v>
      </c>
      <c r="S222" s="4">
        <f>IFERROR(__xludf.DUMMYFUNCTION("""COMPUTED_VALUE"""),14.1)</f>
        <v>14.1</v>
      </c>
      <c r="T222" s="4">
        <f>IFERROR(__xludf.DUMMYFUNCTION("""COMPUTED_VALUE"""),0.116)</f>
        <v>0.116</v>
      </c>
      <c r="U222" s="4">
        <f>IFERROR(__xludf.DUMMYFUNCTION("""COMPUTED_VALUE"""),-1.0)</f>
        <v>-1</v>
      </c>
      <c r="V222" s="4">
        <f>IFERROR(__xludf.DUMMYFUNCTION("""COMPUTED_VALUE"""),1.5)</f>
        <v>1.5</v>
      </c>
    </row>
    <row r="223">
      <c r="A223" s="4">
        <f>IFERROR(__xludf.DUMMYFUNCTION("""COMPUTED_VALUE"""),22.0)</f>
        <v>22</v>
      </c>
      <c r="B223" s="4">
        <f>IFERROR(__xludf.DUMMYFUNCTION("""COMPUTED_VALUE"""),22.0)</f>
        <v>22</v>
      </c>
      <c r="C223" s="4" t="str">
        <f>IFERROR(__xludf.DUMMYFUNCTION("""COMPUTED_VALUE"""),"MEM")</f>
        <v>MEM</v>
      </c>
      <c r="D223" s="4" t="str">
        <f>IFERROR(__xludf.DUMMYFUNCTION("""COMPUTED_VALUE"""),"Walker Kessler")</f>
        <v>Walker Kessler</v>
      </c>
      <c r="E223" s="4" t="str">
        <f>IFERROR(__xludf.DUMMYFUNCTION("""COMPUTED_VALUE"""),"Auburn")</f>
        <v>Auburn</v>
      </c>
      <c r="F223" s="4">
        <f>IFERROR(__xludf.DUMMYFUNCTION("""COMPUTED_VALUE"""),4.0)</f>
        <v>4</v>
      </c>
      <c r="G223" s="4">
        <f>IFERROR(__xludf.DUMMYFUNCTION("""COMPUTED_VALUE"""),201.0)</f>
        <v>201</v>
      </c>
      <c r="H223" s="4">
        <f>IFERROR(__xludf.DUMMYFUNCTION("""COMPUTED_VALUE"""),5090.0)</f>
        <v>5090</v>
      </c>
      <c r="I223" s="4">
        <f>IFERROR(__xludf.DUMMYFUNCTION("""COMPUTED_VALUE"""),1910.0)</f>
        <v>1910</v>
      </c>
      <c r="J223" s="4">
        <f>IFERROR(__xludf.DUMMYFUNCTION("""COMPUTED_VALUE"""),1862.0)</f>
        <v>1862</v>
      </c>
      <c r="K223" s="4">
        <f>IFERROR(__xludf.DUMMYFUNCTION("""COMPUTED_VALUE"""),241.0)</f>
        <v>241</v>
      </c>
      <c r="L223" s="4">
        <f>IFERROR(__xludf.DUMMYFUNCTION("""COMPUTED_VALUE"""),0.681)</f>
        <v>0.681</v>
      </c>
      <c r="M223" s="4">
        <f>IFERROR(__xludf.DUMMYFUNCTION("""COMPUTED_VALUE"""),0.266)</f>
        <v>0.266</v>
      </c>
      <c r="N223" s="4">
        <f>IFERROR(__xludf.DUMMYFUNCTION("""COMPUTED_VALUE"""),0.545)</f>
        <v>0.545</v>
      </c>
      <c r="O223" s="4">
        <f>IFERROR(__xludf.DUMMYFUNCTION("""COMPUTED_VALUE"""),25.3)</f>
        <v>25.3</v>
      </c>
      <c r="P223" s="4">
        <f>IFERROR(__xludf.DUMMYFUNCTION("""COMPUTED_VALUE"""),9.5)</f>
        <v>9.5</v>
      </c>
      <c r="Q223" s="4">
        <f>IFERROR(__xludf.DUMMYFUNCTION("""COMPUTED_VALUE"""),9.3)</f>
        <v>9.3</v>
      </c>
      <c r="R223" s="4">
        <f>IFERROR(__xludf.DUMMYFUNCTION("""COMPUTED_VALUE"""),1.2)</f>
        <v>1.2</v>
      </c>
      <c r="S223" s="4">
        <f>IFERROR(__xludf.DUMMYFUNCTION("""COMPUTED_VALUE"""),17.1)</f>
        <v>17.1</v>
      </c>
      <c r="T223" s="4">
        <f>IFERROR(__xludf.DUMMYFUNCTION("""COMPUTED_VALUE"""),0.161)</f>
        <v>0.161</v>
      </c>
      <c r="U223" s="4">
        <f>IFERROR(__xludf.DUMMYFUNCTION("""COMPUTED_VALUE"""),2.0)</f>
        <v>2</v>
      </c>
      <c r="V223" s="4">
        <f>IFERROR(__xludf.DUMMYFUNCTION("""COMPUTED_VALUE"""),5.1)</f>
        <v>5.1</v>
      </c>
    </row>
    <row r="224">
      <c r="A224" s="4">
        <f>IFERROR(__xludf.DUMMYFUNCTION("""COMPUTED_VALUE"""),23.0)</f>
        <v>23</v>
      </c>
      <c r="B224" s="4">
        <f>IFERROR(__xludf.DUMMYFUNCTION("""COMPUTED_VALUE"""),23.0)</f>
        <v>23</v>
      </c>
      <c r="C224" s="4" t="str">
        <f>IFERROR(__xludf.DUMMYFUNCTION("""COMPUTED_VALUE"""),"PHI")</f>
        <v>PHI</v>
      </c>
      <c r="D224" s="4" t="str">
        <f>IFERROR(__xludf.DUMMYFUNCTION("""COMPUTED_VALUE"""),"David Roddy")</f>
        <v>David Roddy</v>
      </c>
      <c r="E224" s="4" t="str">
        <f>IFERROR(__xludf.DUMMYFUNCTION("""COMPUTED_VALUE"""),"Colorado State")</f>
        <v>Colorado State</v>
      </c>
      <c r="F224" s="4">
        <f>IFERROR(__xludf.DUMMYFUNCTION("""COMPUTED_VALUE"""),3.0)</f>
        <v>3</v>
      </c>
      <c r="G224" s="4">
        <f>IFERROR(__xludf.DUMMYFUNCTION("""COMPUTED_VALUE"""),168.0)</f>
        <v>168</v>
      </c>
      <c r="H224" s="4">
        <f>IFERROR(__xludf.DUMMYFUNCTION("""COMPUTED_VALUE"""),2845.0)</f>
        <v>2845</v>
      </c>
      <c r="I224" s="4">
        <f>IFERROR(__xludf.DUMMYFUNCTION("""COMPUTED_VALUE"""),1044.0)</f>
        <v>1044</v>
      </c>
      <c r="J224" s="4">
        <f>IFERROR(__xludf.DUMMYFUNCTION("""COMPUTED_VALUE"""),488.0)</f>
        <v>488</v>
      </c>
      <c r="K224" s="4">
        <f>IFERROR(__xludf.DUMMYFUNCTION("""COMPUTED_VALUE"""),174.0)</f>
        <v>174</v>
      </c>
      <c r="L224" s="4">
        <f>IFERROR(__xludf.DUMMYFUNCTION("""COMPUTED_VALUE"""),0.421)</f>
        <v>0.421</v>
      </c>
      <c r="M224" s="4">
        <f>IFERROR(__xludf.DUMMYFUNCTION("""COMPUTED_VALUE"""),0.302)</f>
        <v>0.302</v>
      </c>
      <c r="N224" s="4">
        <f>IFERROR(__xludf.DUMMYFUNCTION("""COMPUTED_VALUE"""),0.679)</f>
        <v>0.679</v>
      </c>
      <c r="O224" s="4">
        <f>IFERROR(__xludf.DUMMYFUNCTION("""COMPUTED_VALUE"""),16.9)</f>
        <v>16.9</v>
      </c>
      <c r="P224" s="4">
        <f>IFERROR(__xludf.DUMMYFUNCTION("""COMPUTED_VALUE"""),6.2)</f>
        <v>6.2</v>
      </c>
      <c r="Q224" s="4">
        <f>IFERROR(__xludf.DUMMYFUNCTION("""COMPUTED_VALUE"""),2.9)</f>
        <v>2.9</v>
      </c>
      <c r="R224" s="4">
        <f>IFERROR(__xludf.DUMMYFUNCTION("""COMPUTED_VALUE"""),1.0)</f>
        <v>1</v>
      </c>
      <c r="S224" s="4">
        <f>IFERROR(__xludf.DUMMYFUNCTION("""COMPUTED_VALUE"""),1.7)</f>
        <v>1.7</v>
      </c>
      <c r="T224" s="4">
        <f>IFERROR(__xludf.DUMMYFUNCTION("""COMPUTED_VALUE"""),0.029)</f>
        <v>0.029</v>
      </c>
      <c r="U224" s="4">
        <f>IFERROR(__xludf.DUMMYFUNCTION("""COMPUTED_VALUE"""),-4.0)</f>
        <v>-4</v>
      </c>
      <c r="V224" s="4">
        <f>IFERROR(__xludf.DUMMYFUNCTION("""COMPUTED_VALUE"""),-1.4)</f>
        <v>-1.4</v>
      </c>
    </row>
    <row r="225">
      <c r="A225" s="4">
        <f>IFERROR(__xludf.DUMMYFUNCTION("""COMPUTED_VALUE"""),24.0)</f>
        <v>24</v>
      </c>
      <c r="B225" s="4">
        <f>IFERROR(__xludf.DUMMYFUNCTION("""COMPUTED_VALUE"""),24.0)</f>
        <v>24</v>
      </c>
      <c r="C225" s="4" t="str">
        <f>IFERROR(__xludf.DUMMYFUNCTION("""COMPUTED_VALUE"""),"MIL")</f>
        <v>MIL</v>
      </c>
      <c r="D225" s="4" t="str">
        <f>IFERROR(__xludf.DUMMYFUNCTION("""COMPUTED_VALUE"""),"MarJon Beauchamp")</f>
        <v>MarJon Beauchamp</v>
      </c>
      <c r="E225" s="4"/>
      <c r="F225" s="4">
        <f>IFERROR(__xludf.DUMMYFUNCTION("""COMPUTED_VALUE"""),3.0)</f>
        <v>3</v>
      </c>
      <c r="G225" s="4">
        <f>IFERROR(__xludf.DUMMYFUNCTION("""COMPUTED_VALUE"""),135.0)</f>
        <v>135</v>
      </c>
      <c r="H225" s="4">
        <f>IFERROR(__xludf.DUMMYFUNCTION("""COMPUTED_VALUE"""),1465.0)</f>
        <v>1465</v>
      </c>
      <c r="I225" s="4">
        <f>IFERROR(__xludf.DUMMYFUNCTION("""COMPUTED_VALUE"""),556.0)</f>
        <v>556</v>
      </c>
      <c r="J225" s="4">
        <f>IFERROR(__xludf.DUMMYFUNCTION("""COMPUTED_VALUE"""),258.0)</f>
        <v>258</v>
      </c>
      <c r="K225" s="4">
        <f>IFERROR(__xludf.DUMMYFUNCTION("""COMPUTED_VALUE"""),77.0)</f>
        <v>77</v>
      </c>
      <c r="L225" s="4">
        <f>IFERROR(__xludf.DUMMYFUNCTION("""COMPUTED_VALUE"""),0.43)</f>
        <v>0.43</v>
      </c>
      <c r="M225" s="4">
        <f>IFERROR(__xludf.DUMMYFUNCTION("""COMPUTED_VALUE"""),0.354)</f>
        <v>0.354</v>
      </c>
      <c r="N225" s="4">
        <f>IFERROR(__xludf.DUMMYFUNCTION("""COMPUTED_VALUE"""),0.718)</f>
        <v>0.718</v>
      </c>
      <c r="O225" s="4">
        <f>IFERROR(__xludf.DUMMYFUNCTION("""COMPUTED_VALUE"""),10.9)</f>
        <v>10.9</v>
      </c>
      <c r="P225" s="4">
        <f>IFERROR(__xludf.DUMMYFUNCTION("""COMPUTED_VALUE"""),4.1)</f>
        <v>4.1</v>
      </c>
      <c r="Q225" s="4">
        <f>IFERROR(__xludf.DUMMYFUNCTION("""COMPUTED_VALUE"""),1.9)</f>
        <v>1.9</v>
      </c>
      <c r="R225" s="4">
        <f>IFERROR(__xludf.DUMMYFUNCTION("""COMPUTED_VALUE"""),0.6)</f>
        <v>0.6</v>
      </c>
      <c r="S225" s="4">
        <f>IFERROR(__xludf.DUMMYFUNCTION("""COMPUTED_VALUE"""),1.2)</f>
        <v>1.2</v>
      </c>
      <c r="T225" s="4">
        <f>IFERROR(__xludf.DUMMYFUNCTION("""COMPUTED_VALUE"""),0.038)</f>
        <v>0.038</v>
      </c>
      <c r="U225" s="4">
        <f>IFERROR(__xludf.DUMMYFUNCTION("""COMPUTED_VALUE"""),-4.0)</f>
        <v>-4</v>
      </c>
      <c r="V225" s="4">
        <f>IFERROR(__xludf.DUMMYFUNCTION("""COMPUTED_VALUE"""),-0.8)</f>
        <v>-0.8</v>
      </c>
    </row>
    <row r="226">
      <c r="A226" s="4">
        <f>IFERROR(__xludf.DUMMYFUNCTION("""COMPUTED_VALUE"""),25.0)</f>
        <v>25</v>
      </c>
      <c r="B226" s="4">
        <f>IFERROR(__xludf.DUMMYFUNCTION("""COMPUTED_VALUE"""),25.0)</f>
        <v>25</v>
      </c>
      <c r="C226" s="4" t="str">
        <f>IFERROR(__xludf.DUMMYFUNCTION("""COMPUTED_VALUE"""),"SAS")</f>
        <v>SAS</v>
      </c>
      <c r="D226" s="4" t="str">
        <f>IFERROR(__xludf.DUMMYFUNCTION("""COMPUTED_VALUE"""),"Blake Wesley")</f>
        <v>Blake Wesley</v>
      </c>
      <c r="E226" s="4" t="str">
        <f>IFERROR(__xludf.DUMMYFUNCTION("""COMPUTED_VALUE"""),"Notre Dame")</f>
        <v>Notre Dame</v>
      </c>
      <c r="F226" s="4">
        <f>IFERROR(__xludf.DUMMYFUNCTION("""COMPUTED_VALUE"""),4.0)</f>
        <v>4</v>
      </c>
      <c r="G226" s="4">
        <f>IFERROR(__xludf.DUMMYFUNCTION("""COMPUTED_VALUE"""),162.0)</f>
        <v>162</v>
      </c>
      <c r="H226" s="4">
        <f>IFERROR(__xludf.DUMMYFUNCTION("""COMPUTED_VALUE"""),2326.0)</f>
        <v>2326</v>
      </c>
      <c r="I226" s="4">
        <f>IFERROR(__xludf.DUMMYFUNCTION("""COMPUTED_VALUE"""),705.0)</f>
        <v>705</v>
      </c>
      <c r="J226" s="4">
        <f>IFERROR(__xludf.DUMMYFUNCTION("""COMPUTED_VALUE"""),250.0)</f>
        <v>250</v>
      </c>
      <c r="K226" s="4">
        <f>IFERROR(__xludf.DUMMYFUNCTION("""COMPUTED_VALUE"""),397.0)</f>
        <v>397</v>
      </c>
      <c r="L226" s="4">
        <f>IFERROR(__xludf.DUMMYFUNCTION("""COMPUTED_VALUE"""),0.409)</f>
        <v>0.409</v>
      </c>
      <c r="M226" s="4">
        <f>IFERROR(__xludf.DUMMYFUNCTION("""COMPUTED_VALUE"""),0.291)</f>
        <v>0.291</v>
      </c>
      <c r="N226" s="4">
        <f>IFERROR(__xludf.DUMMYFUNCTION("""COMPUTED_VALUE"""),0.632)</f>
        <v>0.632</v>
      </c>
      <c r="O226" s="4">
        <f>IFERROR(__xludf.DUMMYFUNCTION("""COMPUTED_VALUE"""),14.4)</f>
        <v>14.4</v>
      </c>
      <c r="P226" s="4">
        <f>IFERROR(__xludf.DUMMYFUNCTION("""COMPUTED_VALUE"""),4.4)</f>
        <v>4.4</v>
      </c>
      <c r="Q226" s="4">
        <f>IFERROR(__xludf.DUMMYFUNCTION("""COMPUTED_VALUE"""),1.5)</f>
        <v>1.5</v>
      </c>
      <c r="R226" s="4">
        <f>IFERROR(__xludf.DUMMYFUNCTION("""COMPUTED_VALUE"""),2.5)</f>
        <v>2.5</v>
      </c>
      <c r="S226" s="4">
        <f>IFERROR(__xludf.DUMMYFUNCTION("""COMPUTED_VALUE"""),-0.4)</f>
        <v>-0.4</v>
      </c>
      <c r="T226" s="4">
        <f>IFERROR(__xludf.DUMMYFUNCTION("""COMPUTED_VALUE"""),-0.008)</f>
        <v>-0.008</v>
      </c>
      <c r="U226" s="4">
        <f>IFERROR(__xludf.DUMMYFUNCTION("""COMPUTED_VALUE"""),-5.5)</f>
        <v>-5.5</v>
      </c>
      <c r="V226" s="4">
        <f>IFERROR(__xludf.DUMMYFUNCTION("""COMPUTED_VALUE"""),-2.1)</f>
        <v>-2.1</v>
      </c>
    </row>
    <row r="227">
      <c r="A227" s="4">
        <f>IFERROR(__xludf.DUMMYFUNCTION("""COMPUTED_VALUE"""),26.0)</f>
        <v>26</v>
      </c>
      <c r="B227" s="4">
        <f>IFERROR(__xludf.DUMMYFUNCTION("""COMPUTED_VALUE"""),26.0)</f>
        <v>26</v>
      </c>
      <c r="C227" s="4" t="str">
        <f>IFERROR(__xludf.DUMMYFUNCTION("""COMPUTED_VALUE"""),"DAL")</f>
        <v>DAL</v>
      </c>
      <c r="D227" s="4" t="str">
        <f>IFERROR(__xludf.DUMMYFUNCTION("""COMPUTED_VALUE"""),"Wendell Moore Jr.")</f>
        <v>Wendell Moore Jr.</v>
      </c>
      <c r="E227" s="4" t="str">
        <f>IFERROR(__xludf.DUMMYFUNCTION("""COMPUTED_VALUE"""),"Duke")</f>
        <v>Duke</v>
      </c>
      <c r="F227" s="4">
        <f>IFERROR(__xludf.DUMMYFUNCTION("""COMPUTED_VALUE"""),4.0)</f>
        <v>4</v>
      </c>
      <c r="G227" s="4">
        <f>IFERROR(__xludf.DUMMYFUNCTION("""COMPUTED_VALUE"""),93.0)</f>
        <v>93</v>
      </c>
      <c r="H227" s="4">
        <f>IFERROR(__xludf.DUMMYFUNCTION("""COMPUTED_VALUE"""),770.0)</f>
        <v>770</v>
      </c>
      <c r="I227" s="4">
        <f>IFERROR(__xludf.DUMMYFUNCTION("""COMPUTED_VALUE"""),216.0)</f>
        <v>216</v>
      </c>
      <c r="J227" s="4">
        <f>IFERROR(__xludf.DUMMYFUNCTION("""COMPUTED_VALUE"""),129.0)</f>
        <v>129</v>
      </c>
      <c r="K227" s="4">
        <f>IFERROR(__xludf.DUMMYFUNCTION("""COMPUTED_VALUE"""),69.0)</f>
        <v>69</v>
      </c>
      <c r="L227" s="4">
        <f>IFERROR(__xludf.DUMMYFUNCTION("""COMPUTED_VALUE"""),0.461)</f>
        <v>0.461</v>
      </c>
      <c r="M227" s="4">
        <f>IFERROR(__xludf.DUMMYFUNCTION("""COMPUTED_VALUE"""),0.246)</f>
        <v>0.246</v>
      </c>
      <c r="N227" s="4">
        <f>IFERROR(__xludf.DUMMYFUNCTION("""COMPUTED_VALUE"""),0.815)</f>
        <v>0.815</v>
      </c>
      <c r="O227" s="4">
        <f>IFERROR(__xludf.DUMMYFUNCTION("""COMPUTED_VALUE"""),8.3)</f>
        <v>8.3</v>
      </c>
      <c r="P227" s="4">
        <f>IFERROR(__xludf.DUMMYFUNCTION("""COMPUTED_VALUE"""),2.3)</f>
        <v>2.3</v>
      </c>
      <c r="Q227" s="4">
        <f>IFERROR(__xludf.DUMMYFUNCTION("""COMPUTED_VALUE"""),1.4)</f>
        <v>1.4</v>
      </c>
      <c r="R227" s="4">
        <f>IFERROR(__xludf.DUMMYFUNCTION("""COMPUTED_VALUE"""),0.7)</f>
        <v>0.7</v>
      </c>
      <c r="S227" s="4">
        <f>IFERROR(__xludf.DUMMYFUNCTION("""COMPUTED_VALUE"""),0.9)</f>
        <v>0.9</v>
      </c>
      <c r="T227" s="4">
        <f>IFERROR(__xludf.DUMMYFUNCTION("""COMPUTED_VALUE"""),0.056)</f>
        <v>0.056</v>
      </c>
      <c r="U227" s="4">
        <f>IFERROR(__xludf.DUMMYFUNCTION("""COMPUTED_VALUE"""),-2.6)</f>
        <v>-2.6</v>
      </c>
      <c r="V227" s="4">
        <f>IFERROR(__xludf.DUMMYFUNCTION("""COMPUTED_VALUE"""),-0.1)</f>
        <v>-0.1</v>
      </c>
    </row>
    <row r="228">
      <c r="A228" s="4">
        <f>IFERROR(__xludf.DUMMYFUNCTION("""COMPUTED_VALUE"""),27.0)</f>
        <v>27</v>
      </c>
      <c r="B228" s="4">
        <f>IFERROR(__xludf.DUMMYFUNCTION("""COMPUTED_VALUE"""),27.0)</f>
        <v>27</v>
      </c>
      <c r="C228" s="4" t="str">
        <f>IFERROR(__xludf.DUMMYFUNCTION("""COMPUTED_VALUE"""),"MIA")</f>
        <v>MIA</v>
      </c>
      <c r="D228" s="4" t="str">
        <f>IFERROR(__xludf.DUMMYFUNCTION("""COMPUTED_VALUE"""),"Nikola Jović")</f>
        <v>Nikola Jović</v>
      </c>
      <c r="E228" s="4"/>
      <c r="F228" s="4">
        <f>IFERROR(__xludf.DUMMYFUNCTION("""COMPUTED_VALUE"""),4.0)</f>
        <v>4</v>
      </c>
      <c r="G228" s="4">
        <f>IFERROR(__xludf.DUMMYFUNCTION("""COMPUTED_VALUE"""),123.0)</f>
        <v>123</v>
      </c>
      <c r="H228" s="4">
        <f>IFERROR(__xludf.DUMMYFUNCTION("""COMPUTED_VALUE"""),2566.0)</f>
        <v>2566</v>
      </c>
      <c r="I228" s="4">
        <f>IFERROR(__xludf.DUMMYFUNCTION("""COMPUTED_VALUE"""),1053.0)</f>
        <v>1053</v>
      </c>
      <c r="J228" s="4">
        <f>IFERROR(__xludf.DUMMYFUNCTION("""COMPUTED_VALUE"""),466.0)</f>
        <v>466</v>
      </c>
      <c r="K228" s="4">
        <f>IFERROR(__xludf.DUMMYFUNCTION("""COMPUTED_VALUE"""),275.0)</f>
        <v>275</v>
      </c>
      <c r="L228" s="4">
        <f>IFERROR(__xludf.DUMMYFUNCTION("""COMPUTED_VALUE"""),0.443)</f>
        <v>0.443</v>
      </c>
      <c r="M228" s="4">
        <f>IFERROR(__xludf.DUMMYFUNCTION("""COMPUTED_VALUE"""),0.361)</f>
        <v>0.361</v>
      </c>
      <c r="N228" s="4">
        <f>IFERROR(__xludf.DUMMYFUNCTION("""COMPUTED_VALUE"""),0.788)</f>
        <v>0.788</v>
      </c>
      <c r="O228" s="4">
        <f>IFERROR(__xludf.DUMMYFUNCTION("""COMPUTED_VALUE"""),20.9)</f>
        <v>20.9</v>
      </c>
      <c r="P228" s="4">
        <f>IFERROR(__xludf.DUMMYFUNCTION("""COMPUTED_VALUE"""),8.6)</f>
        <v>8.6</v>
      </c>
      <c r="Q228" s="4">
        <f>IFERROR(__xludf.DUMMYFUNCTION("""COMPUTED_VALUE"""),3.8)</f>
        <v>3.8</v>
      </c>
      <c r="R228" s="4">
        <f>IFERROR(__xludf.DUMMYFUNCTION("""COMPUTED_VALUE"""),2.2)</f>
        <v>2.2</v>
      </c>
      <c r="S228" s="4">
        <f>IFERROR(__xludf.DUMMYFUNCTION("""COMPUTED_VALUE"""),4.8)</f>
        <v>4.8</v>
      </c>
      <c r="T228" s="4">
        <f>IFERROR(__xludf.DUMMYFUNCTION("""COMPUTED_VALUE"""),0.09)</f>
        <v>0.09</v>
      </c>
      <c r="U228" s="4">
        <f>IFERROR(__xludf.DUMMYFUNCTION("""COMPUTED_VALUE"""),-0.4)</f>
        <v>-0.4</v>
      </c>
      <c r="V228" s="4">
        <f>IFERROR(__xludf.DUMMYFUNCTION("""COMPUTED_VALUE"""),1.0)</f>
        <v>1</v>
      </c>
    </row>
    <row r="229">
      <c r="A229" s="4">
        <f>IFERROR(__xludf.DUMMYFUNCTION("""COMPUTED_VALUE"""),28.0)</f>
        <v>28</v>
      </c>
      <c r="B229" s="4">
        <f>IFERROR(__xludf.DUMMYFUNCTION("""COMPUTED_VALUE"""),28.0)</f>
        <v>28</v>
      </c>
      <c r="C229" s="4" t="str">
        <f>IFERROR(__xludf.DUMMYFUNCTION("""COMPUTED_VALUE"""),"GSW")</f>
        <v>GSW</v>
      </c>
      <c r="D229" s="4" t="str">
        <f>IFERROR(__xludf.DUMMYFUNCTION("""COMPUTED_VALUE"""),"Patrick Baldwin Jr.")</f>
        <v>Patrick Baldwin Jr.</v>
      </c>
      <c r="E229" s="4" t="str">
        <f>IFERROR(__xludf.DUMMYFUNCTION("""COMPUTED_VALUE"""),"UW-Milwaukee")</f>
        <v>UW-Milwaukee</v>
      </c>
      <c r="F229" s="4">
        <f>IFERROR(__xludf.DUMMYFUNCTION("""COMPUTED_VALUE"""),3.0)</f>
        <v>3</v>
      </c>
      <c r="G229" s="4">
        <f>IFERROR(__xludf.DUMMYFUNCTION("""COMPUTED_VALUE"""),93.0)</f>
        <v>93</v>
      </c>
      <c r="H229" s="4">
        <f>IFERROR(__xludf.DUMMYFUNCTION("""COMPUTED_VALUE"""),826.0)</f>
        <v>826</v>
      </c>
      <c r="I229" s="4">
        <f>IFERROR(__xludf.DUMMYFUNCTION("""COMPUTED_VALUE"""),343.0)</f>
        <v>343</v>
      </c>
      <c r="J229" s="4">
        <f>IFERROR(__xludf.DUMMYFUNCTION("""COMPUTED_VALUE"""),188.0)</f>
        <v>188</v>
      </c>
      <c r="K229" s="4">
        <f>IFERROR(__xludf.DUMMYFUNCTION("""COMPUTED_VALUE"""),43.0)</f>
        <v>43</v>
      </c>
      <c r="L229" s="4">
        <f>IFERROR(__xludf.DUMMYFUNCTION("""COMPUTED_VALUE"""),0.405)</f>
        <v>0.405</v>
      </c>
      <c r="M229" s="4">
        <f>IFERROR(__xludf.DUMMYFUNCTION("""COMPUTED_VALUE"""),0.373)</f>
        <v>0.373</v>
      </c>
      <c r="N229" s="4">
        <f>IFERROR(__xludf.DUMMYFUNCTION("""COMPUTED_VALUE"""),0.658)</f>
        <v>0.658</v>
      </c>
      <c r="O229" s="4">
        <f>IFERROR(__xludf.DUMMYFUNCTION("""COMPUTED_VALUE"""),8.9)</f>
        <v>8.9</v>
      </c>
      <c r="P229" s="4">
        <f>IFERROR(__xludf.DUMMYFUNCTION("""COMPUTED_VALUE"""),3.7)</f>
        <v>3.7</v>
      </c>
      <c r="Q229" s="4">
        <f>IFERROR(__xludf.DUMMYFUNCTION("""COMPUTED_VALUE"""),2.0)</f>
        <v>2</v>
      </c>
      <c r="R229" s="4">
        <f>IFERROR(__xludf.DUMMYFUNCTION("""COMPUTED_VALUE"""),0.5)</f>
        <v>0.5</v>
      </c>
      <c r="S229" s="4">
        <f>IFERROR(__xludf.DUMMYFUNCTION("""COMPUTED_VALUE"""),0.6)</f>
        <v>0.6</v>
      </c>
      <c r="T229" s="4">
        <f>IFERROR(__xludf.DUMMYFUNCTION("""COMPUTED_VALUE"""),0.032)</f>
        <v>0.032</v>
      </c>
      <c r="U229" s="4">
        <f>IFERROR(__xludf.DUMMYFUNCTION("""COMPUTED_VALUE"""),-3.1)</f>
        <v>-3.1</v>
      </c>
      <c r="V229" s="4">
        <f>IFERROR(__xludf.DUMMYFUNCTION("""COMPUTED_VALUE"""),-0.2)</f>
        <v>-0.2</v>
      </c>
    </row>
    <row r="230">
      <c r="A230" s="4">
        <f>IFERROR(__xludf.DUMMYFUNCTION("""COMPUTED_VALUE"""),29.0)</f>
        <v>29</v>
      </c>
      <c r="B230" s="4">
        <f>IFERROR(__xludf.DUMMYFUNCTION("""COMPUTED_VALUE"""),29.0)</f>
        <v>29</v>
      </c>
      <c r="C230" s="4" t="str">
        <f>IFERROR(__xludf.DUMMYFUNCTION("""COMPUTED_VALUE"""),"MEM")</f>
        <v>MEM</v>
      </c>
      <c r="D230" s="4" t="str">
        <f>IFERROR(__xludf.DUMMYFUNCTION("""COMPUTED_VALUE"""),"TyTy Washington Jr.")</f>
        <v>TyTy Washington Jr.</v>
      </c>
      <c r="E230" s="4" t="str">
        <f>IFERROR(__xludf.DUMMYFUNCTION("""COMPUTED_VALUE"""),"Kentucky")</f>
        <v>Kentucky</v>
      </c>
      <c r="F230" s="4">
        <f>IFERROR(__xludf.DUMMYFUNCTION("""COMPUTED_VALUE"""),3.0)</f>
        <v>3</v>
      </c>
      <c r="G230" s="4">
        <f>IFERROR(__xludf.DUMMYFUNCTION("""COMPUTED_VALUE"""),58.0)</f>
        <v>58</v>
      </c>
      <c r="H230" s="4">
        <f>IFERROR(__xludf.DUMMYFUNCTION("""COMPUTED_VALUE"""),607.0)</f>
        <v>607</v>
      </c>
      <c r="I230" s="4">
        <f>IFERROR(__xludf.DUMMYFUNCTION("""COMPUTED_VALUE"""),194.0)</f>
        <v>194</v>
      </c>
      <c r="J230" s="4">
        <f>IFERROR(__xludf.DUMMYFUNCTION("""COMPUTED_VALUE"""),63.0)</f>
        <v>63</v>
      </c>
      <c r="K230" s="4">
        <f>IFERROR(__xludf.DUMMYFUNCTION("""COMPUTED_VALUE"""),68.0)</f>
        <v>68</v>
      </c>
      <c r="L230" s="4">
        <f>IFERROR(__xludf.DUMMYFUNCTION("""COMPUTED_VALUE"""),0.347)</f>
        <v>0.347</v>
      </c>
      <c r="M230" s="4">
        <f>IFERROR(__xludf.DUMMYFUNCTION("""COMPUTED_VALUE"""),0.234)</f>
        <v>0.234</v>
      </c>
      <c r="N230" s="4">
        <f>IFERROR(__xludf.DUMMYFUNCTION("""COMPUTED_VALUE"""),0.542)</f>
        <v>0.542</v>
      </c>
      <c r="O230" s="4">
        <f>IFERROR(__xludf.DUMMYFUNCTION("""COMPUTED_VALUE"""),10.5)</f>
        <v>10.5</v>
      </c>
      <c r="P230" s="4">
        <f>IFERROR(__xludf.DUMMYFUNCTION("""COMPUTED_VALUE"""),3.3)</f>
        <v>3.3</v>
      </c>
      <c r="Q230" s="4">
        <f>IFERROR(__xludf.DUMMYFUNCTION("""COMPUTED_VALUE"""),1.1)</f>
        <v>1.1</v>
      </c>
      <c r="R230" s="4">
        <f>IFERROR(__xludf.DUMMYFUNCTION("""COMPUTED_VALUE"""),1.2)</f>
        <v>1.2</v>
      </c>
      <c r="S230" s="4">
        <f>IFERROR(__xludf.DUMMYFUNCTION("""COMPUTED_VALUE"""),-0.4)</f>
        <v>-0.4</v>
      </c>
      <c r="T230" s="4">
        <f>IFERROR(__xludf.DUMMYFUNCTION("""COMPUTED_VALUE"""),-0.031)</f>
        <v>-0.031</v>
      </c>
      <c r="U230" s="4">
        <f>IFERROR(__xludf.DUMMYFUNCTION("""COMPUTED_VALUE"""),-6.8)</f>
        <v>-6.8</v>
      </c>
      <c r="V230" s="4">
        <f>IFERROR(__xludf.DUMMYFUNCTION("""COMPUTED_VALUE"""),-0.7)</f>
        <v>-0.7</v>
      </c>
    </row>
    <row r="231">
      <c r="A231" s="4">
        <f>IFERROR(__xludf.DUMMYFUNCTION("""COMPUTED_VALUE"""),30.0)</f>
        <v>30</v>
      </c>
      <c r="B231" s="4">
        <f>IFERROR(__xludf.DUMMYFUNCTION("""COMPUTED_VALUE"""),30.0)</f>
        <v>30</v>
      </c>
      <c r="C231" s="4" t="str">
        <f>IFERROR(__xludf.DUMMYFUNCTION("""COMPUTED_VALUE"""),"OKC")</f>
        <v>OKC</v>
      </c>
      <c r="D231" s="4" t="str">
        <f>IFERROR(__xludf.DUMMYFUNCTION("""COMPUTED_VALUE"""),"Peyton Watson")</f>
        <v>Peyton Watson</v>
      </c>
      <c r="E231" s="4" t="str">
        <f>IFERROR(__xludf.DUMMYFUNCTION("""COMPUTED_VALUE"""),"UCLA")</f>
        <v>UCLA</v>
      </c>
      <c r="F231" s="4">
        <f>IFERROR(__xludf.DUMMYFUNCTION("""COMPUTED_VALUE"""),4.0)</f>
        <v>4</v>
      </c>
      <c r="G231" s="4">
        <f>IFERROR(__xludf.DUMMYFUNCTION("""COMPUTED_VALUE"""),191.0)</f>
        <v>191</v>
      </c>
      <c r="H231" s="4">
        <f>IFERROR(__xludf.DUMMYFUNCTION("""COMPUTED_VALUE"""),3861.0)</f>
        <v>3861</v>
      </c>
      <c r="I231" s="4">
        <f>IFERROR(__xludf.DUMMYFUNCTION("""COMPUTED_VALUE"""),1365.0)</f>
        <v>1365</v>
      </c>
      <c r="J231" s="4">
        <f>IFERROR(__xludf.DUMMYFUNCTION("""COMPUTED_VALUE"""),625.0)</f>
        <v>625</v>
      </c>
      <c r="K231" s="4">
        <f>IFERROR(__xludf.DUMMYFUNCTION("""COMPUTED_VALUE"""),227.0)</f>
        <v>227</v>
      </c>
      <c r="L231" s="4">
        <f>IFERROR(__xludf.DUMMYFUNCTION("""COMPUTED_VALUE"""),0.477)</f>
        <v>0.477</v>
      </c>
      <c r="M231" s="4">
        <f>IFERROR(__xludf.DUMMYFUNCTION("""COMPUTED_VALUE"""),0.336)</f>
        <v>0.336</v>
      </c>
      <c r="N231" s="4">
        <f>IFERROR(__xludf.DUMMYFUNCTION("""COMPUTED_VALUE"""),0.688)</f>
        <v>0.688</v>
      </c>
      <c r="O231" s="4">
        <f>IFERROR(__xludf.DUMMYFUNCTION("""COMPUTED_VALUE"""),20.2)</f>
        <v>20.2</v>
      </c>
      <c r="P231" s="4">
        <f>IFERROR(__xludf.DUMMYFUNCTION("""COMPUTED_VALUE"""),7.1)</f>
        <v>7.1</v>
      </c>
      <c r="Q231" s="4">
        <f>IFERROR(__xludf.DUMMYFUNCTION("""COMPUTED_VALUE"""),3.3)</f>
        <v>3.3</v>
      </c>
      <c r="R231" s="4">
        <f>IFERROR(__xludf.DUMMYFUNCTION("""COMPUTED_VALUE"""),1.2)</f>
        <v>1.2</v>
      </c>
      <c r="S231" s="4">
        <f>IFERROR(__xludf.DUMMYFUNCTION("""COMPUTED_VALUE"""),6.5)</f>
        <v>6.5</v>
      </c>
      <c r="T231" s="4">
        <f>IFERROR(__xludf.DUMMYFUNCTION("""COMPUTED_VALUE"""),0.081)</f>
        <v>0.081</v>
      </c>
      <c r="U231" s="4">
        <f>IFERROR(__xludf.DUMMYFUNCTION("""COMPUTED_VALUE"""),-1.8)</f>
        <v>-1.8</v>
      </c>
      <c r="V231" s="4">
        <f>IFERROR(__xludf.DUMMYFUNCTION("""COMPUTED_VALUE"""),0.3)</f>
        <v>0.3</v>
      </c>
    </row>
    <row r="232">
      <c r="A232" s="4"/>
      <c r="B232" s="4"/>
      <c r="C232" s="4"/>
      <c r="D232" s="4" t="str">
        <f>IFERROR(__xludf.DUMMYFUNCTION("""COMPUTED_VALUE"""),"Round 2")</f>
        <v>Round 2</v>
      </c>
      <c r="E232" s="4"/>
      <c r="F232" s="4"/>
      <c r="G232" s="4" t="str">
        <f>IFERROR(__xludf.DUMMYFUNCTION("""COMPUTED_VALUE"""),"Totals")</f>
        <v>Totals</v>
      </c>
      <c r="H232" s="4"/>
      <c r="I232" s="4"/>
      <c r="J232" s="4"/>
      <c r="K232" s="4"/>
      <c r="L232" s="4" t="str">
        <f>IFERROR(__xludf.DUMMYFUNCTION("""COMPUTED_VALUE"""),"Shooting")</f>
        <v>Shooting</v>
      </c>
      <c r="M232" s="4"/>
      <c r="N232" s="4"/>
      <c r="O232" s="4" t="str">
        <f>IFERROR(__xludf.DUMMYFUNCTION("""COMPUTED_VALUE"""),"Per Game")</f>
        <v>Per Game</v>
      </c>
      <c r="P232" s="4"/>
      <c r="Q232" s="4"/>
      <c r="R232" s="4"/>
      <c r="S232" s="4" t="str">
        <f>IFERROR(__xludf.DUMMYFUNCTION("""COMPUTED_VALUE"""),"Advanced")</f>
        <v>Advanced</v>
      </c>
      <c r="T232" s="4"/>
      <c r="U232" s="4"/>
      <c r="V232" s="4"/>
    </row>
    <row r="233">
      <c r="A233" s="4" t="str">
        <f>IFERROR(__xludf.DUMMYFUNCTION("""COMPUTED_VALUE"""),"Rk")</f>
        <v>Rk</v>
      </c>
      <c r="B233" s="4" t="str">
        <f>IFERROR(__xludf.DUMMYFUNCTION("""COMPUTED_VALUE"""),"Pk")</f>
        <v>Pk</v>
      </c>
      <c r="C233" s="4" t="str">
        <f>IFERROR(__xludf.DUMMYFUNCTION("""COMPUTED_VALUE"""),"Tm")</f>
        <v>Tm</v>
      </c>
      <c r="D233" s="4" t="str">
        <f>IFERROR(__xludf.DUMMYFUNCTION("""COMPUTED_VALUE"""),"Player")</f>
        <v>Player</v>
      </c>
      <c r="E233" s="4" t="str">
        <f>IFERROR(__xludf.DUMMYFUNCTION("""COMPUTED_VALUE"""),"College")</f>
        <v>College</v>
      </c>
      <c r="F233" s="4" t="str">
        <f>IFERROR(__xludf.DUMMYFUNCTION("""COMPUTED_VALUE"""),"Yrs")</f>
        <v>Yrs</v>
      </c>
      <c r="G233" s="4" t="str">
        <f>IFERROR(__xludf.DUMMYFUNCTION("""COMPUTED_VALUE"""),"G")</f>
        <v>G</v>
      </c>
      <c r="H233" s="4" t="str">
        <f>IFERROR(__xludf.DUMMYFUNCTION("""COMPUTED_VALUE"""),"MP")</f>
        <v>MP</v>
      </c>
      <c r="I233" s="4" t="str">
        <f>IFERROR(__xludf.DUMMYFUNCTION("""COMPUTED_VALUE"""),"PTS")</f>
        <v>PTS</v>
      </c>
      <c r="J233" s="4" t="str">
        <f>IFERROR(__xludf.DUMMYFUNCTION("""COMPUTED_VALUE"""),"TRB")</f>
        <v>TRB</v>
      </c>
      <c r="K233" s="4" t="str">
        <f>IFERROR(__xludf.DUMMYFUNCTION("""COMPUTED_VALUE"""),"AST")</f>
        <v>AST</v>
      </c>
      <c r="L233" s="4" t="str">
        <f>IFERROR(__xludf.DUMMYFUNCTION("""COMPUTED_VALUE"""),"FG%")</f>
        <v>FG%</v>
      </c>
      <c r="M233" s="4" t="str">
        <f>IFERROR(__xludf.DUMMYFUNCTION("""COMPUTED_VALUE"""),"3P%")</f>
        <v>3P%</v>
      </c>
      <c r="N233" s="4" t="str">
        <f>IFERROR(__xludf.DUMMYFUNCTION("""COMPUTED_VALUE"""),"FT%")</f>
        <v>FT%</v>
      </c>
      <c r="O233" s="4" t="str">
        <f>IFERROR(__xludf.DUMMYFUNCTION("""COMPUTED_VALUE"""),"MP")</f>
        <v>MP</v>
      </c>
      <c r="P233" s="4" t="str">
        <f>IFERROR(__xludf.DUMMYFUNCTION("""COMPUTED_VALUE"""),"PTS")</f>
        <v>PTS</v>
      </c>
      <c r="Q233" s="4" t="str">
        <f>IFERROR(__xludf.DUMMYFUNCTION("""COMPUTED_VALUE"""),"TRB")</f>
        <v>TRB</v>
      </c>
      <c r="R233" s="4" t="str">
        <f>IFERROR(__xludf.DUMMYFUNCTION("""COMPUTED_VALUE"""),"AST")</f>
        <v>AST</v>
      </c>
      <c r="S233" s="4" t="str">
        <f>IFERROR(__xludf.DUMMYFUNCTION("""COMPUTED_VALUE"""),"WS")</f>
        <v>WS</v>
      </c>
      <c r="T233" s="4" t="str">
        <f>IFERROR(__xludf.DUMMYFUNCTION("""COMPUTED_VALUE"""),"WS/48")</f>
        <v>WS/48</v>
      </c>
      <c r="U233" s="4" t="str">
        <f>IFERROR(__xludf.DUMMYFUNCTION("""COMPUTED_VALUE"""),"BPM")</f>
        <v>BPM</v>
      </c>
      <c r="V233" s="4" t="str">
        <f>IFERROR(__xludf.DUMMYFUNCTION("""COMPUTED_VALUE"""),"VORP")</f>
        <v>VORP</v>
      </c>
    </row>
    <row r="234">
      <c r="A234" s="4">
        <f>IFERROR(__xludf.DUMMYFUNCTION("""COMPUTED_VALUE"""),31.0)</f>
        <v>31</v>
      </c>
      <c r="B234" s="4">
        <f>IFERROR(__xludf.DUMMYFUNCTION("""COMPUTED_VALUE"""),31.0)</f>
        <v>31</v>
      </c>
      <c r="C234" s="4" t="str">
        <f>IFERROR(__xludf.DUMMYFUNCTION("""COMPUTED_VALUE"""),"IND")</f>
        <v>IND</v>
      </c>
      <c r="D234" s="4" t="str">
        <f>IFERROR(__xludf.DUMMYFUNCTION("""COMPUTED_VALUE"""),"Andrew Nembhard")</f>
        <v>Andrew Nembhard</v>
      </c>
      <c r="E234" s="4" t="str">
        <f>IFERROR(__xludf.DUMMYFUNCTION("""COMPUTED_VALUE"""),"Gonzaga")</f>
        <v>Gonzaga</v>
      </c>
      <c r="F234" s="4">
        <f>IFERROR(__xludf.DUMMYFUNCTION("""COMPUTED_VALUE"""),4.0)</f>
        <v>4</v>
      </c>
      <c r="G234" s="4">
        <f>IFERROR(__xludf.DUMMYFUNCTION("""COMPUTED_VALUE"""),221.0)</f>
        <v>221</v>
      </c>
      <c r="H234" s="4">
        <f>IFERROR(__xludf.DUMMYFUNCTION("""COMPUTED_VALUE"""),6054.0)</f>
        <v>6054</v>
      </c>
      <c r="I234" s="4">
        <f>IFERROR(__xludf.DUMMYFUNCTION("""COMPUTED_VALUE"""),2215.0)</f>
        <v>2215</v>
      </c>
      <c r="J234" s="4">
        <f>IFERROR(__xludf.DUMMYFUNCTION("""COMPUTED_VALUE"""),581.0)</f>
        <v>581</v>
      </c>
      <c r="K234" s="4">
        <f>IFERROR(__xludf.DUMMYFUNCTION("""COMPUTED_VALUE"""),1027.0)</f>
        <v>1027</v>
      </c>
      <c r="L234" s="4">
        <f>IFERROR(__xludf.DUMMYFUNCTION("""COMPUTED_VALUE"""),0.46)</f>
        <v>0.46</v>
      </c>
      <c r="M234" s="4">
        <f>IFERROR(__xludf.DUMMYFUNCTION("""COMPUTED_VALUE"""),0.336)</f>
        <v>0.336</v>
      </c>
      <c r="N234" s="4">
        <f>IFERROR(__xludf.DUMMYFUNCTION("""COMPUTED_VALUE"""),0.811)</f>
        <v>0.811</v>
      </c>
      <c r="O234" s="4">
        <f>IFERROR(__xludf.DUMMYFUNCTION("""COMPUTED_VALUE"""),27.4)</f>
        <v>27.4</v>
      </c>
      <c r="P234" s="4">
        <f>IFERROR(__xludf.DUMMYFUNCTION("""COMPUTED_VALUE"""),10.0)</f>
        <v>10</v>
      </c>
      <c r="Q234" s="4">
        <f>IFERROR(__xludf.DUMMYFUNCTION("""COMPUTED_VALUE"""),2.6)</f>
        <v>2.6</v>
      </c>
      <c r="R234" s="4">
        <f>IFERROR(__xludf.DUMMYFUNCTION("""COMPUTED_VALUE"""),4.6)</f>
        <v>4.6</v>
      </c>
      <c r="S234" s="4">
        <f>IFERROR(__xludf.DUMMYFUNCTION("""COMPUTED_VALUE"""),6.6)</f>
        <v>6.6</v>
      </c>
      <c r="T234" s="4">
        <f>IFERROR(__xludf.DUMMYFUNCTION("""COMPUTED_VALUE"""),0.053)</f>
        <v>0.053</v>
      </c>
      <c r="U234" s="4">
        <f>IFERROR(__xludf.DUMMYFUNCTION("""COMPUTED_VALUE"""),-2.5)</f>
        <v>-2.5</v>
      </c>
      <c r="V234" s="4">
        <f>IFERROR(__xludf.DUMMYFUNCTION("""COMPUTED_VALUE"""),-0.8)</f>
        <v>-0.8</v>
      </c>
    </row>
    <row r="235">
      <c r="A235" s="4">
        <f>IFERROR(__xludf.DUMMYFUNCTION("""COMPUTED_VALUE"""),32.0)</f>
        <v>32</v>
      </c>
      <c r="B235" s="4">
        <f>IFERROR(__xludf.DUMMYFUNCTION("""COMPUTED_VALUE"""),32.0)</f>
        <v>32</v>
      </c>
      <c r="C235" s="4" t="str">
        <f>IFERROR(__xludf.DUMMYFUNCTION("""COMPUTED_VALUE"""),"ORL")</f>
        <v>ORL</v>
      </c>
      <c r="D235" s="4" t="str">
        <f>IFERROR(__xludf.DUMMYFUNCTION("""COMPUTED_VALUE"""),"Caleb Houstan")</f>
        <v>Caleb Houstan</v>
      </c>
      <c r="E235" s="4" t="str">
        <f>IFERROR(__xludf.DUMMYFUNCTION("""COMPUTED_VALUE"""),"Michigan")</f>
        <v>Michigan</v>
      </c>
      <c r="F235" s="4">
        <f>IFERROR(__xludf.DUMMYFUNCTION("""COMPUTED_VALUE"""),4.0)</f>
        <v>4</v>
      </c>
      <c r="G235" s="4">
        <f>IFERROR(__xludf.DUMMYFUNCTION("""COMPUTED_VALUE"""),175.0)</f>
        <v>175</v>
      </c>
      <c r="H235" s="4">
        <f>IFERROR(__xludf.DUMMYFUNCTION("""COMPUTED_VALUE"""),2453.0)</f>
        <v>2453</v>
      </c>
      <c r="I235" s="4">
        <f>IFERROR(__xludf.DUMMYFUNCTION("""COMPUTED_VALUE"""),702.0)</f>
        <v>702</v>
      </c>
      <c r="J235" s="4">
        <f>IFERROR(__xludf.DUMMYFUNCTION("""COMPUTED_VALUE"""),262.0)</f>
        <v>262</v>
      </c>
      <c r="K235" s="4">
        <f>IFERROR(__xludf.DUMMYFUNCTION("""COMPUTED_VALUE"""),96.0)</f>
        <v>96</v>
      </c>
      <c r="L235" s="4">
        <f>IFERROR(__xludf.DUMMYFUNCTION("""COMPUTED_VALUE"""),0.392)</f>
        <v>0.392</v>
      </c>
      <c r="M235" s="4">
        <f>IFERROR(__xludf.DUMMYFUNCTION("""COMPUTED_VALUE"""),0.374)</f>
        <v>0.374</v>
      </c>
      <c r="N235" s="4">
        <f>IFERROR(__xludf.DUMMYFUNCTION("""COMPUTED_VALUE"""),0.844)</f>
        <v>0.844</v>
      </c>
      <c r="O235" s="4">
        <f>IFERROR(__xludf.DUMMYFUNCTION("""COMPUTED_VALUE"""),14.0)</f>
        <v>14</v>
      </c>
      <c r="P235" s="4">
        <f>IFERROR(__xludf.DUMMYFUNCTION("""COMPUTED_VALUE"""),4.0)</f>
        <v>4</v>
      </c>
      <c r="Q235" s="4">
        <f>IFERROR(__xludf.DUMMYFUNCTION("""COMPUTED_VALUE"""),1.5)</f>
        <v>1.5</v>
      </c>
      <c r="R235" s="4">
        <f>IFERROR(__xludf.DUMMYFUNCTION("""COMPUTED_VALUE"""),0.5)</f>
        <v>0.5</v>
      </c>
      <c r="S235" s="4">
        <f>IFERROR(__xludf.DUMMYFUNCTION("""COMPUTED_VALUE"""),4.0)</f>
        <v>4</v>
      </c>
      <c r="T235" s="4">
        <f>IFERROR(__xludf.DUMMYFUNCTION("""COMPUTED_VALUE"""),0.079)</f>
        <v>0.079</v>
      </c>
      <c r="U235" s="4">
        <f>IFERROR(__xludf.DUMMYFUNCTION("""COMPUTED_VALUE"""),-2.7)</f>
        <v>-2.7</v>
      </c>
      <c r="V235" s="4">
        <f>IFERROR(__xludf.DUMMYFUNCTION("""COMPUTED_VALUE"""),-0.5)</f>
        <v>-0.5</v>
      </c>
    </row>
    <row r="236">
      <c r="A236" s="4">
        <f>IFERROR(__xludf.DUMMYFUNCTION("""COMPUTED_VALUE"""),33.0)</f>
        <v>33</v>
      </c>
      <c r="B236" s="4">
        <f>IFERROR(__xludf.DUMMYFUNCTION("""COMPUTED_VALUE"""),33.0)</f>
        <v>33</v>
      </c>
      <c r="C236" s="4" t="str">
        <f>IFERROR(__xludf.DUMMYFUNCTION("""COMPUTED_VALUE"""),"TOR")</f>
        <v>TOR</v>
      </c>
      <c r="D236" s="4" t="str">
        <f>IFERROR(__xludf.DUMMYFUNCTION("""COMPUTED_VALUE"""),"Christian Koloko")</f>
        <v>Christian Koloko</v>
      </c>
      <c r="E236" s="4" t="str">
        <f>IFERROR(__xludf.DUMMYFUNCTION("""COMPUTED_VALUE"""),"Arizona")</f>
        <v>Arizona</v>
      </c>
      <c r="F236" s="4">
        <f>IFERROR(__xludf.DUMMYFUNCTION("""COMPUTED_VALUE"""),3.0)</f>
        <v>3</v>
      </c>
      <c r="G236" s="4">
        <f>IFERROR(__xludf.DUMMYFUNCTION("""COMPUTED_VALUE"""),97.0)</f>
        <v>97</v>
      </c>
      <c r="H236" s="4">
        <f>IFERROR(__xludf.DUMMYFUNCTION("""COMPUTED_VALUE"""),1150.0)</f>
        <v>1150</v>
      </c>
      <c r="I236" s="4">
        <f>IFERROR(__xludf.DUMMYFUNCTION("""COMPUTED_VALUE"""),272.0)</f>
        <v>272</v>
      </c>
      <c r="J236" s="4">
        <f>IFERROR(__xludf.DUMMYFUNCTION("""COMPUTED_VALUE"""),264.0)</f>
        <v>264</v>
      </c>
      <c r="K236" s="4">
        <f>IFERROR(__xludf.DUMMYFUNCTION("""COMPUTED_VALUE"""),47.0)</f>
        <v>47</v>
      </c>
      <c r="L236" s="4">
        <f>IFERROR(__xludf.DUMMYFUNCTION("""COMPUTED_VALUE"""),0.519)</f>
        <v>0.519</v>
      </c>
      <c r="M236" s="4">
        <f>IFERROR(__xludf.DUMMYFUNCTION("""COMPUTED_VALUE"""),0.063)</f>
        <v>0.063</v>
      </c>
      <c r="N236" s="4">
        <f>IFERROR(__xludf.DUMMYFUNCTION("""COMPUTED_VALUE"""),0.644)</f>
        <v>0.644</v>
      </c>
      <c r="O236" s="4">
        <f>IFERROR(__xludf.DUMMYFUNCTION("""COMPUTED_VALUE"""),11.9)</f>
        <v>11.9</v>
      </c>
      <c r="P236" s="4">
        <f>IFERROR(__xludf.DUMMYFUNCTION("""COMPUTED_VALUE"""),2.8)</f>
        <v>2.8</v>
      </c>
      <c r="Q236" s="4">
        <f>IFERROR(__xludf.DUMMYFUNCTION("""COMPUTED_VALUE"""),2.7)</f>
        <v>2.7</v>
      </c>
      <c r="R236" s="4">
        <f>IFERROR(__xludf.DUMMYFUNCTION("""COMPUTED_VALUE"""),0.5)</f>
        <v>0.5</v>
      </c>
      <c r="S236" s="4">
        <f>IFERROR(__xludf.DUMMYFUNCTION("""COMPUTED_VALUE"""),2.7)</f>
        <v>2.7</v>
      </c>
      <c r="T236" s="4">
        <f>IFERROR(__xludf.DUMMYFUNCTION("""COMPUTED_VALUE"""),0.111)</f>
        <v>0.111</v>
      </c>
      <c r="U236" s="4">
        <f>IFERROR(__xludf.DUMMYFUNCTION("""COMPUTED_VALUE"""),-3.3)</f>
        <v>-3.3</v>
      </c>
      <c r="V236" s="4">
        <f>IFERROR(__xludf.DUMMYFUNCTION("""COMPUTED_VALUE"""),-0.4)</f>
        <v>-0.4</v>
      </c>
    </row>
    <row r="237">
      <c r="A237" s="4">
        <f>IFERROR(__xludf.DUMMYFUNCTION("""COMPUTED_VALUE"""),34.0)</f>
        <v>34</v>
      </c>
      <c r="B237" s="4">
        <f>IFERROR(__xludf.DUMMYFUNCTION("""COMPUTED_VALUE"""),34.0)</f>
        <v>34</v>
      </c>
      <c r="C237" s="4" t="str">
        <f>IFERROR(__xludf.DUMMYFUNCTION("""COMPUTED_VALUE"""),"OKC")</f>
        <v>OKC</v>
      </c>
      <c r="D237" s="4" t="str">
        <f>IFERROR(__xludf.DUMMYFUNCTION("""COMPUTED_VALUE"""),"Jaylin Williams")</f>
        <v>Jaylin Williams</v>
      </c>
      <c r="E237" s="4" t="str">
        <f>IFERROR(__xludf.DUMMYFUNCTION("""COMPUTED_VALUE"""),"Arkansas")</f>
        <v>Arkansas</v>
      </c>
      <c r="F237" s="4">
        <f>IFERROR(__xludf.DUMMYFUNCTION("""COMPUTED_VALUE"""),4.0)</f>
        <v>4</v>
      </c>
      <c r="G237" s="4">
        <f>IFERROR(__xludf.DUMMYFUNCTION("""COMPUTED_VALUE"""),186.0)</f>
        <v>186</v>
      </c>
      <c r="H237" s="4">
        <f>IFERROR(__xludf.DUMMYFUNCTION("""COMPUTED_VALUE"""),2978.0)</f>
        <v>2978</v>
      </c>
      <c r="I237" s="4">
        <f>IFERROR(__xludf.DUMMYFUNCTION("""COMPUTED_VALUE"""),962.0)</f>
        <v>962</v>
      </c>
      <c r="J237" s="4">
        <f>IFERROR(__xludf.DUMMYFUNCTION("""COMPUTED_VALUE"""),837.0)</f>
        <v>837</v>
      </c>
      <c r="K237" s="4">
        <f>IFERROR(__xludf.DUMMYFUNCTION("""COMPUTED_VALUE"""),354.0)</f>
        <v>354</v>
      </c>
      <c r="L237" s="4">
        <f>IFERROR(__xludf.DUMMYFUNCTION("""COMPUTED_VALUE"""),0.421)</f>
        <v>0.421</v>
      </c>
      <c r="M237" s="4">
        <f>IFERROR(__xludf.DUMMYFUNCTION("""COMPUTED_VALUE"""),0.376)</f>
        <v>0.376</v>
      </c>
      <c r="N237" s="4">
        <f>IFERROR(__xludf.DUMMYFUNCTION("""COMPUTED_VALUE"""),0.745)</f>
        <v>0.745</v>
      </c>
      <c r="O237" s="4">
        <f>IFERROR(__xludf.DUMMYFUNCTION("""COMPUTED_VALUE"""),16.0)</f>
        <v>16</v>
      </c>
      <c r="P237" s="4">
        <f>IFERROR(__xludf.DUMMYFUNCTION("""COMPUTED_VALUE"""),5.2)</f>
        <v>5.2</v>
      </c>
      <c r="Q237" s="4">
        <f>IFERROR(__xludf.DUMMYFUNCTION("""COMPUTED_VALUE"""),4.5)</f>
        <v>4.5</v>
      </c>
      <c r="R237" s="4">
        <f>IFERROR(__xludf.DUMMYFUNCTION("""COMPUTED_VALUE"""),1.9)</f>
        <v>1.9</v>
      </c>
      <c r="S237" s="4">
        <f>IFERROR(__xludf.DUMMYFUNCTION("""COMPUTED_VALUE"""),8.5)</f>
        <v>8.5</v>
      </c>
      <c r="T237" s="4">
        <f>IFERROR(__xludf.DUMMYFUNCTION("""COMPUTED_VALUE"""),0.137)</f>
        <v>0.137</v>
      </c>
      <c r="U237" s="4">
        <f>IFERROR(__xludf.DUMMYFUNCTION("""COMPUTED_VALUE"""),0.9)</f>
        <v>0.9</v>
      </c>
      <c r="V237" s="4">
        <f>IFERROR(__xludf.DUMMYFUNCTION("""COMPUTED_VALUE"""),2.2)</f>
        <v>2.2</v>
      </c>
    </row>
    <row r="238">
      <c r="A238" s="4">
        <f>IFERROR(__xludf.DUMMYFUNCTION("""COMPUTED_VALUE"""),35.0)</f>
        <v>35</v>
      </c>
      <c r="B238" s="4">
        <f>IFERROR(__xludf.DUMMYFUNCTION("""COMPUTED_VALUE"""),35.0)</f>
        <v>35</v>
      </c>
      <c r="C238" s="4" t="str">
        <f>IFERROR(__xludf.DUMMYFUNCTION("""COMPUTED_VALUE"""),"LAL")</f>
        <v>LAL</v>
      </c>
      <c r="D238" s="4" t="str">
        <f>IFERROR(__xludf.DUMMYFUNCTION("""COMPUTED_VALUE"""),"Max Christie")</f>
        <v>Max Christie</v>
      </c>
      <c r="E238" s="4" t="str">
        <f>IFERROR(__xludf.DUMMYFUNCTION("""COMPUTED_VALUE"""),"Michigan State")</f>
        <v>Michigan State</v>
      </c>
      <c r="F238" s="4">
        <f>IFERROR(__xludf.DUMMYFUNCTION("""COMPUTED_VALUE"""),4.0)</f>
        <v>4</v>
      </c>
      <c r="G238" s="4">
        <f>IFERROR(__xludf.DUMMYFUNCTION("""COMPUTED_VALUE"""),208.0)</f>
        <v>208</v>
      </c>
      <c r="H238" s="4">
        <f>IFERROR(__xludf.DUMMYFUNCTION("""COMPUTED_VALUE"""),4228.0)</f>
        <v>4228</v>
      </c>
      <c r="I238" s="4">
        <f>IFERROR(__xludf.DUMMYFUNCTION("""COMPUTED_VALUE"""),1429.0)</f>
        <v>1429</v>
      </c>
      <c r="J238" s="4">
        <f>IFERROR(__xludf.DUMMYFUNCTION("""COMPUTED_VALUE"""),548.0)</f>
        <v>548</v>
      </c>
      <c r="K238" s="4">
        <f>IFERROR(__xludf.DUMMYFUNCTION("""COMPUTED_VALUE"""),272.0)</f>
        <v>272</v>
      </c>
      <c r="L238" s="4">
        <f>IFERROR(__xludf.DUMMYFUNCTION("""COMPUTED_VALUE"""),0.435)</f>
        <v>0.435</v>
      </c>
      <c r="M238" s="4">
        <f>IFERROR(__xludf.DUMMYFUNCTION("""COMPUTED_VALUE"""),0.388)</f>
        <v>0.388</v>
      </c>
      <c r="N238" s="4">
        <f>IFERROR(__xludf.DUMMYFUNCTION("""COMPUTED_VALUE"""),0.835)</f>
        <v>0.835</v>
      </c>
      <c r="O238" s="4">
        <f>IFERROR(__xludf.DUMMYFUNCTION("""COMPUTED_VALUE"""),20.3)</f>
        <v>20.3</v>
      </c>
      <c r="P238" s="4">
        <f>IFERROR(__xludf.DUMMYFUNCTION("""COMPUTED_VALUE"""),6.9)</f>
        <v>6.9</v>
      </c>
      <c r="Q238" s="4">
        <f>IFERROR(__xludf.DUMMYFUNCTION("""COMPUTED_VALUE"""),2.6)</f>
        <v>2.6</v>
      </c>
      <c r="R238" s="4">
        <f>IFERROR(__xludf.DUMMYFUNCTION("""COMPUTED_VALUE"""),1.3)</f>
        <v>1.3</v>
      </c>
      <c r="S238" s="4">
        <f>IFERROR(__xludf.DUMMYFUNCTION("""COMPUTED_VALUE"""),5.2)</f>
        <v>5.2</v>
      </c>
      <c r="T238" s="4">
        <f>IFERROR(__xludf.DUMMYFUNCTION("""COMPUTED_VALUE"""),0.059)</f>
        <v>0.059</v>
      </c>
      <c r="U238" s="4">
        <f>IFERROR(__xludf.DUMMYFUNCTION("""COMPUTED_VALUE"""),-2.6)</f>
        <v>-2.6</v>
      </c>
      <c r="V238" s="4">
        <f>IFERROR(__xludf.DUMMYFUNCTION("""COMPUTED_VALUE"""),-0.6)</f>
        <v>-0.6</v>
      </c>
    </row>
    <row r="239">
      <c r="A239" s="4">
        <f>IFERROR(__xludf.DUMMYFUNCTION("""COMPUTED_VALUE"""),36.0)</f>
        <v>36</v>
      </c>
      <c r="B239" s="4">
        <f>IFERROR(__xludf.DUMMYFUNCTION("""COMPUTED_VALUE"""),36.0)</f>
        <v>36</v>
      </c>
      <c r="C239" s="4" t="str">
        <f>IFERROR(__xludf.DUMMYFUNCTION("""COMPUTED_VALUE"""),"POR")</f>
        <v>POR</v>
      </c>
      <c r="D239" s="4" t="str">
        <f>IFERROR(__xludf.DUMMYFUNCTION("""COMPUTED_VALUE"""),"Gabriele Procida")</f>
        <v>Gabriele Procida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>
        <f>IFERROR(__xludf.DUMMYFUNCTION("""COMPUTED_VALUE"""),37.0)</f>
        <v>37</v>
      </c>
      <c r="B240" s="4">
        <f>IFERROR(__xludf.DUMMYFUNCTION("""COMPUTED_VALUE"""),37.0)</f>
        <v>37</v>
      </c>
      <c r="C240" s="4" t="str">
        <f>IFERROR(__xludf.DUMMYFUNCTION("""COMPUTED_VALUE"""),"SAC")</f>
        <v>SAC</v>
      </c>
      <c r="D240" s="4" t="str">
        <f>IFERROR(__xludf.DUMMYFUNCTION("""COMPUTED_VALUE"""),"Jaden Hardy")</f>
        <v>Jaden Hardy</v>
      </c>
      <c r="E240" s="4"/>
      <c r="F240" s="4">
        <f>IFERROR(__xludf.DUMMYFUNCTION("""COMPUTED_VALUE"""),4.0)</f>
        <v>4</v>
      </c>
      <c r="G240" s="4">
        <f>IFERROR(__xludf.DUMMYFUNCTION("""COMPUTED_VALUE"""),196.0)</f>
        <v>196</v>
      </c>
      <c r="H240" s="4">
        <f>IFERROR(__xludf.DUMMYFUNCTION("""COMPUTED_VALUE"""),2787.0)</f>
        <v>2787</v>
      </c>
      <c r="I240" s="4">
        <f>IFERROR(__xludf.DUMMYFUNCTION("""COMPUTED_VALUE"""),1542.0)</f>
        <v>1542</v>
      </c>
      <c r="J240" s="4">
        <f>IFERROR(__xludf.DUMMYFUNCTION("""COMPUTED_VALUE"""),330.0)</f>
        <v>330</v>
      </c>
      <c r="K240" s="4">
        <f>IFERROR(__xludf.DUMMYFUNCTION("""COMPUTED_VALUE"""),262.0)</f>
        <v>262</v>
      </c>
      <c r="L240" s="4">
        <f>IFERROR(__xludf.DUMMYFUNCTION("""COMPUTED_VALUE"""),0.422)</f>
        <v>0.422</v>
      </c>
      <c r="M240" s="4">
        <f>IFERROR(__xludf.DUMMYFUNCTION("""COMPUTED_VALUE"""),0.383)</f>
        <v>0.383</v>
      </c>
      <c r="N240" s="4">
        <f>IFERROR(__xludf.DUMMYFUNCTION("""COMPUTED_VALUE"""),0.766)</f>
        <v>0.766</v>
      </c>
      <c r="O240" s="4">
        <f>IFERROR(__xludf.DUMMYFUNCTION("""COMPUTED_VALUE"""),14.2)</f>
        <v>14.2</v>
      </c>
      <c r="P240" s="4">
        <f>IFERROR(__xludf.DUMMYFUNCTION("""COMPUTED_VALUE"""),7.9)</f>
        <v>7.9</v>
      </c>
      <c r="Q240" s="4">
        <f>IFERROR(__xludf.DUMMYFUNCTION("""COMPUTED_VALUE"""),1.7)</f>
        <v>1.7</v>
      </c>
      <c r="R240" s="4">
        <f>IFERROR(__xludf.DUMMYFUNCTION("""COMPUTED_VALUE"""),1.3)</f>
        <v>1.3</v>
      </c>
      <c r="S240" s="4">
        <f>IFERROR(__xludf.DUMMYFUNCTION("""COMPUTED_VALUE"""),0.7)</f>
        <v>0.7</v>
      </c>
      <c r="T240" s="4">
        <f>IFERROR(__xludf.DUMMYFUNCTION("""COMPUTED_VALUE"""),0.011)</f>
        <v>0.011</v>
      </c>
      <c r="U240" s="4">
        <f>IFERROR(__xludf.DUMMYFUNCTION("""COMPUTED_VALUE"""),-3.9)</f>
        <v>-3.9</v>
      </c>
      <c r="V240" s="4">
        <f>IFERROR(__xludf.DUMMYFUNCTION("""COMPUTED_VALUE"""),-1.3)</f>
        <v>-1.3</v>
      </c>
    </row>
    <row r="241">
      <c r="A241" s="4">
        <f>IFERROR(__xludf.DUMMYFUNCTION("""COMPUTED_VALUE"""),38.0)</f>
        <v>38</v>
      </c>
      <c r="B241" s="4">
        <f>IFERROR(__xludf.DUMMYFUNCTION("""COMPUTED_VALUE"""),38.0)</f>
        <v>38</v>
      </c>
      <c r="C241" s="4" t="str">
        <f>IFERROR(__xludf.DUMMYFUNCTION("""COMPUTED_VALUE"""),"SAS")</f>
        <v>SAS</v>
      </c>
      <c r="D241" s="4" t="str">
        <f>IFERROR(__xludf.DUMMYFUNCTION("""COMPUTED_VALUE"""),"Kennedy Chandler")</f>
        <v>Kennedy Chandler</v>
      </c>
      <c r="E241" s="4" t="str">
        <f>IFERROR(__xludf.DUMMYFUNCTION("""COMPUTED_VALUE"""),"Tennessee")</f>
        <v>Tennessee</v>
      </c>
      <c r="F241" s="4">
        <f>IFERROR(__xludf.DUMMYFUNCTION("""COMPUTED_VALUE"""),1.0)</f>
        <v>1</v>
      </c>
      <c r="G241" s="4">
        <f>IFERROR(__xludf.DUMMYFUNCTION("""COMPUTED_VALUE"""),36.0)</f>
        <v>36</v>
      </c>
      <c r="H241" s="4">
        <f>IFERROR(__xludf.DUMMYFUNCTION("""COMPUTED_VALUE"""),281.0)</f>
        <v>281</v>
      </c>
      <c r="I241" s="4">
        <f>IFERROR(__xludf.DUMMYFUNCTION("""COMPUTED_VALUE"""),78.0)</f>
        <v>78</v>
      </c>
      <c r="J241" s="4">
        <f>IFERROR(__xludf.DUMMYFUNCTION("""COMPUTED_VALUE"""),38.0)</f>
        <v>38</v>
      </c>
      <c r="K241" s="4">
        <f>IFERROR(__xludf.DUMMYFUNCTION("""COMPUTED_VALUE"""),58.0)</f>
        <v>58</v>
      </c>
      <c r="L241" s="4">
        <f>IFERROR(__xludf.DUMMYFUNCTION("""COMPUTED_VALUE"""),0.422)</f>
        <v>0.422</v>
      </c>
      <c r="M241" s="4">
        <f>IFERROR(__xludf.DUMMYFUNCTION("""COMPUTED_VALUE"""),0.133)</f>
        <v>0.133</v>
      </c>
      <c r="N241" s="4">
        <f>IFERROR(__xludf.DUMMYFUNCTION("""COMPUTED_VALUE"""),0.462)</f>
        <v>0.462</v>
      </c>
      <c r="O241" s="4">
        <f>IFERROR(__xludf.DUMMYFUNCTION("""COMPUTED_VALUE"""),7.8)</f>
        <v>7.8</v>
      </c>
      <c r="P241" s="4">
        <f>IFERROR(__xludf.DUMMYFUNCTION("""COMPUTED_VALUE"""),2.2)</f>
        <v>2.2</v>
      </c>
      <c r="Q241" s="4">
        <f>IFERROR(__xludf.DUMMYFUNCTION("""COMPUTED_VALUE"""),1.1)</f>
        <v>1.1</v>
      </c>
      <c r="R241" s="4">
        <f>IFERROR(__xludf.DUMMYFUNCTION("""COMPUTED_VALUE"""),1.6)</f>
        <v>1.6</v>
      </c>
      <c r="S241" s="4">
        <f>IFERROR(__xludf.DUMMYFUNCTION("""COMPUTED_VALUE"""),0.3)</f>
        <v>0.3</v>
      </c>
      <c r="T241" s="4">
        <f>IFERROR(__xludf.DUMMYFUNCTION("""COMPUTED_VALUE"""),0.044)</f>
        <v>0.044</v>
      </c>
      <c r="U241" s="4">
        <f>IFERROR(__xludf.DUMMYFUNCTION("""COMPUTED_VALUE"""),-2.7)</f>
        <v>-2.7</v>
      </c>
      <c r="V241" s="4">
        <f>IFERROR(__xludf.DUMMYFUNCTION("""COMPUTED_VALUE"""),0.0)</f>
        <v>0</v>
      </c>
    </row>
    <row r="242">
      <c r="A242" s="4">
        <f>IFERROR(__xludf.DUMMYFUNCTION("""COMPUTED_VALUE"""),39.0)</f>
        <v>39</v>
      </c>
      <c r="B242" s="4">
        <f>IFERROR(__xludf.DUMMYFUNCTION("""COMPUTED_VALUE"""),39.0)</f>
        <v>39</v>
      </c>
      <c r="C242" s="4" t="str">
        <f>IFERROR(__xludf.DUMMYFUNCTION("""COMPUTED_VALUE"""),"CLE")</f>
        <v>CLE</v>
      </c>
      <c r="D242" s="4" t="str">
        <f>IFERROR(__xludf.DUMMYFUNCTION("""COMPUTED_VALUE"""),"Khalifa Diop")</f>
        <v>Khalifa Diop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>
        <f>IFERROR(__xludf.DUMMYFUNCTION("""COMPUTED_VALUE"""),40.0)</f>
        <v>40</v>
      </c>
      <c r="B243" s="4">
        <f>IFERROR(__xludf.DUMMYFUNCTION("""COMPUTED_VALUE"""),40.0)</f>
        <v>40</v>
      </c>
      <c r="C243" s="4" t="str">
        <f>IFERROR(__xludf.DUMMYFUNCTION("""COMPUTED_VALUE"""),"MIN")</f>
        <v>MIN</v>
      </c>
      <c r="D243" s="4" t="str">
        <f>IFERROR(__xludf.DUMMYFUNCTION("""COMPUTED_VALUE"""),"Bryce McGowens")</f>
        <v>Bryce McGowens</v>
      </c>
      <c r="E243" s="4" t="str">
        <f>IFERROR(__xludf.DUMMYFUNCTION("""COMPUTED_VALUE"""),"Nebraska")</f>
        <v>Nebraska</v>
      </c>
      <c r="F243" s="4">
        <f>IFERROR(__xludf.DUMMYFUNCTION("""COMPUTED_VALUE"""),4.0)</f>
        <v>4</v>
      </c>
      <c r="G243" s="4">
        <f>IFERROR(__xludf.DUMMYFUNCTION("""COMPUTED_VALUE"""),130.0)</f>
        <v>130</v>
      </c>
      <c r="H243" s="4">
        <f>IFERROR(__xludf.DUMMYFUNCTION("""COMPUTED_VALUE"""),1881.0)</f>
        <v>1881</v>
      </c>
      <c r="I243" s="4">
        <f>IFERROR(__xludf.DUMMYFUNCTION("""COMPUTED_VALUE"""),639.0)</f>
        <v>639</v>
      </c>
      <c r="J243" s="4">
        <f>IFERROR(__xludf.DUMMYFUNCTION("""COMPUTED_VALUE"""),219.0)</f>
        <v>219</v>
      </c>
      <c r="K243" s="4">
        <f>IFERROR(__xludf.DUMMYFUNCTION("""COMPUTED_VALUE"""),121.0)</f>
        <v>121</v>
      </c>
      <c r="L243" s="4">
        <f>IFERROR(__xludf.DUMMYFUNCTION("""COMPUTED_VALUE"""),0.422)</f>
        <v>0.422</v>
      </c>
      <c r="M243" s="4">
        <f>IFERROR(__xludf.DUMMYFUNCTION("""COMPUTED_VALUE"""),0.337)</f>
        <v>0.337</v>
      </c>
      <c r="N243" s="4">
        <f>IFERROR(__xludf.DUMMYFUNCTION("""COMPUTED_VALUE"""),0.76)</f>
        <v>0.76</v>
      </c>
      <c r="O243" s="4">
        <f>IFERROR(__xludf.DUMMYFUNCTION("""COMPUTED_VALUE"""),14.5)</f>
        <v>14.5</v>
      </c>
      <c r="P243" s="4">
        <f>IFERROR(__xludf.DUMMYFUNCTION("""COMPUTED_VALUE"""),4.9)</f>
        <v>4.9</v>
      </c>
      <c r="Q243" s="4">
        <f>IFERROR(__xludf.DUMMYFUNCTION("""COMPUTED_VALUE"""),1.7)</f>
        <v>1.7</v>
      </c>
      <c r="R243" s="4">
        <f>IFERROR(__xludf.DUMMYFUNCTION("""COMPUTED_VALUE"""),0.9)</f>
        <v>0.9</v>
      </c>
      <c r="S243" s="4">
        <f>IFERROR(__xludf.DUMMYFUNCTION("""COMPUTED_VALUE"""),0.9)</f>
        <v>0.9</v>
      </c>
      <c r="T243" s="4">
        <f>IFERROR(__xludf.DUMMYFUNCTION("""COMPUTED_VALUE"""),0.023)</f>
        <v>0.023</v>
      </c>
      <c r="U243" s="4">
        <f>IFERROR(__xludf.DUMMYFUNCTION("""COMPUTED_VALUE"""),-5.2)</f>
        <v>-5.2</v>
      </c>
      <c r="V243" s="4">
        <f>IFERROR(__xludf.DUMMYFUNCTION("""COMPUTED_VALUE"""),-1.5)</f>
        <v>-1.5</v>
      </c>
    </row>
    <row r="244">
      <c r="A244" s="4">
        <f>IFERROR(__xludf.DUMMYFUNCTION("""COMPUTED_VALUE"""),41.0)</f>
        <v>41</v>
      </c>
      <c r="B244" s="4">
        <f>IFERROR(__xludf.DUMMYFUNCTION("""COMPUTED_VALUE"""),41.0)</f>
        <v>41</v>
      </c>
      <c r="C244" s="4" t="str">
        <f>IFERROR(__xludf.DUMMYFUNCTION("""COMPUTED_VALUE"""),"NOP")</f>
        <v>NOP</v>
      </c>
      <c r="D244" s="4" t="str">
        <f>IFERROR(__xludf.DUMMYFUNCTION("""COMPUTED_VALUE"""),"E.J. Liddell")</f>
        <v>E.J. Liddell</v>
      </c>
      <c r="E244" s="4" t="str">
        <f>IFERROR(__xludf.DUMMYFUNCTION("""COMPUTED_VALUE"""),"Ohio State")</f>
        <v>Ohio State</v>
      </c>
      <c r="F244" s="4">
        <f>IFERROR(__xludf.DUMMYFUNCTION("""COMPUTED_VALUE"""),3.0)</f>
        <v>3</v>
      </c>
      <c r="G244" s="4">
        <f>IFERROR(__xludf.DUMMYFUNCTION("""COMPUTED_VALUE"""),27.0)</f>
        <v>27</v>
      </c>
      <c r="H244" s="4">
        <f>IFERROR(__xludf.DUMMYFUNCTION("""COMPUTED_VALUE"""),108.0)</f>
        <v>108</v>
      </c>
      <c r="I244" s="4">
        <f>IFERROR(__xludf.DUMMYFUNCTION("""COMPUTED_VALUE"""),39.0)</f>
        <v>39</v>
      </c>
      <c r="J244" s="4">
        <f>IFERROR(__xludf.DUMMYFUNCTION("""COMPUTED_VALUE"""),23.0)</f>
        <v>23</v>
      </c>
      <c r="K244" s="4">
        <f>IFERROR(__xludf.DUMMYFUNCTION("""COMPUTED_VALUE"""),4.0)</f>
        <v>4</v>
      </c>
      <c r="L244" s="4">
        <f>IFERROR(__xludf.DUMMYFUNCTION("""COMPUTED_VALUE"""),0.424)</f>
        <v>0.424</v>
      </c>
      <c r="M244" s="4">
        <f>IFERROR(__xludf.DUMMYFUNCTION("""COMPUTED_VALUE"""),0.217)</f>
        <v>0.217</v>
      </c>
      <c r="N244" s="4">
        <f>IFERROR(__xludf.DUMMYFUNCTION("""COMPUTED_VALUE"""),0.857)</f>
        <v>0.857</v>
      </c>
      <c r="O244" s="4">
        <f>IFERROR(__xludf.DUMMYFUNCTION("""COMPUTED_VALUE"""),4.0)</f>
        <v>4</v>
      </c>
      <c r="P244" s="4">
        <f>IFERROR(__xludf.DUMMYFUNCTION("""COMPUTED_VALUE"""),1.4)</f>
        <v>1.4</v>
      </c>
      <c r="Q244" s="4">
        <f>IFERROR(__xludf.DUMMYFUNCTION("""COMPUTED_VALUE"""),0.9)</f>
        <v>0.9</v>
      </c>
      <c r="R244" s="4">
        <f>IFERROR(__xludf.DUMMYFUNCTION("""COMPUTED_VALUE"""),0.1)</f>
        <v>0.1</v>
      </c>
      <c r="S244" s="4">
        <f>IFERROR(__xludf.DUMMYFUNCTION("""COMPUTED_VALUE"""),0.1)</f>
        <v>0.1</v>
      </c>
      <c r="T244" s="4">
        <f>IFERROR(__xludf.DUMMYFUNCTION("""COMPUTED_VALUE"""),0.051)</f>
        <v>0.051</v>
      </c>
      <c r="U244" s="4">
        <f>IFERROR(__xludf.DUMMYFUNCTION("""COMPUTED_VALUE"""),-4.9)</f>
        <v>-4.9</v>
      </c>
      <c r="V244" s="4">
        <f>IFERROR(__xludf.DUMMYFUNCTION("""COMPUTED_VALUE"""),-0.1)</f>
        <v>-0.1</v>
      </c>
    </row>
    <row r="245">
      <c r="A245" s="4">
        <f>IFERROR(__xludf.DUMMYFUNCTION("""COMPUTED_VALUE"""),42.0)</f>
        <v>42</v>
      </c>
      <c r="B245" s="4">
        <f>IFERROR(__xludf.DUMMYFUNCTION("""COMPUTED_VALUE"""),42.0)</f>
        <v>42</v>
      </c>
      <c r="C245" s="4" t="str">
        <f>IFERROR(__xludf.DUMMYFUNCTION("""COMPUTED_VALUE"""),"NYK")</f>
        <v>NYK</v>
      </c>
      <c r="D245" s="4" t="str">
        <f>IFERROR(__xludf.DUMMYFUNCTION("""COMPUTED_VALUE"""),"Trevor Keels")</f>
        <v>Trevor Keels</v>
      </c>
      <c r="E245" s="4" t="str">
        <f>IFERROR(__xludf.DUMMYFUNCTION("""COMPUTED_VALUE"""),"Duke")</f>
        <v>Duke</v>
      </c>
      <c r="F245" s="4">
        <f>IFERROR(__xludf.DUMMYFUNCTION("""COMPUTED_VALUE"""),1.0)</f>
        <v>1</v>
      </c>
      <c r="G245" s="4">
        <f>IFERROR(__xludf.DUMMYFUNCTION("""COMPUTED_VALUE"""),3.0)</f>
        <v>3</v>
      </c>
      <c r="H245" s="4">
        <f>IFERROR(__xludf.DUMMYFUNCTION("""COMPUTED_VALUE"""),8.0)</f>
        <v>8</v>
      </c>
      <c r="I245" s="4">
        <f>IFERROR(__xludf.DUMMYFUNCTION("""COMPUTED_VALUE"""),3.0)</f>
        <v>3</v>
      </c>
      <c r="J245" s="4">
        <f>IFERROR(__xludf.DUMMYFUNCTION("""COMPUTED_VALUE"""),2.0)</f>
        <v>2</v>
      </c>
      <c r="K245" s="4">
        <f>IFERROR(__xludf.DUMMYFUNCTION("""COMPUTED_VALUE"""),0.0)</f>
        <v>0</v>
      </c>
      <c r="L245" s="4">
        <f>IFERROR(__xludf.DUMMYFUNCTION("""COMPUTED_VALUE"""),0.25)</f>
        <v>0.25</v>
      </c>
      <c r="M245" s="4">
        <f>IFERROR(__xludf.DUMMYFUNCTION("""COMPUTED_VALUE"""),0.25)</f>
        <v>0.25</v>
      </c>
      <c r="N245" s="4"/>
      <c r="O245" s="4">
        <f>IFERROR(__xludf.DUMMYFUNCTION("""COMPUTED_VALUE"""),2.7)</f>
        <v>2.7</v>
      </c>
      <c r="P245" s="4">
        <f>IFERROR(__xludf.DUMMYFUNCTION("""COMPUTED_VALUE"""),1.0)</f>
        <v>1</v>
      </c>
      <c r="Q245" s="4">
        <f>IFERROR(__xludf.DUMMYFUNCTION("""COMPUTED_VALUE"""),0.7)</f>
        <v>0.7</v>
      </c>
      <c r="R245" s="4">
        <f>IFERROR(__xludf.DUMMYFUNCTION("""COMPUTED_VALUE"""),0.0)</f>
        <v>0</v>
      </c>
      <c r="S245" s="4">
        <f>IFERROR(__xludf.DUMMYFUNCTION("""COMPUTED_VALUE"""),0.0)</f>
        <v>0</v>
      </c>
      <c r="T245" s="4">
        <f>IFERROR(__xludf.DUMMYFUNCTION("""COMPUTED_VALUE"""),-0.062)</f>
        <v>-0.062</v>
      </c>
      <c r="U245" s="4">
        <f>IFERROR(__xludf.DUMMYFUNCTION("""COMPUTED_VALUE"""),-13.0)</f>
        <v>-13</v>
      </c>
      <c r="V245" s="4">
        <f>IFERROR(__xludf.DUMMYFUNCTION("""COMPUTED_VALUE"""),0.0)</f>
        <v>0</v>
      </c>
    </row>
    <row r="246">
      <c r="A246" s="4">
        <f>IFERROR(__xludf.DUMMYFUNCTION("""COMPUTED_VALUE"""),43.0)</f>
        <v>43</v>
      </c>
      <c r="B246" s="4">
        <f>IFERROR(__xludf.DUMMYFUNCTION("""COMPUTED_VALUE"""),43.0)</f>
        <v>43</v>
      </c>
      <c r="C246" s="4" t="str">
        <f>IFERROR(__xludf.DUMMYFUNCTION("""COMPUTED_VALUE"""),"LAC")</f>
        <v>LAC</v>
      </c>
      <c r="D246" s="4" t="str">
        <f>IFERROR(__xludf.DUMMYFUNCTION("""COMPUTED_VALUE"""),"Moussa Diabaté")</f>
        <v>Moussa Diabaté</v>
      </c>
      <c r="E246" s="4" t="str">
        <f>IFERROR(__xludf.DUMMYFUNCTION("""COMPUTED_VALUE"""),"Michigan")</f>
        <v>Michigan</v>
      </c>
      <c r="F246" s="4">
        <f>IFERROR(__xludf.DUMMYFUNCTION("""COMPUTED_VALUE"""),4.0)</f>
        <v>4</v>
      </c>
      <c r="G246" s="4">
        <f>IFERROR(__xludf.DUMMYFUNCTION("""COMPUTED_VALUE"""),125.0)</f>
        <v>125</v>
      </c>
      <c r="H246" s="4">
        <f>IFERROR(__xludf.DUMMYFUNCTION("""COMPUTED_VALUE"""),1980.0)</f>
        <v>1980</v>
      </c>
      <c r="I246" s="4">
        <f>IFERROR(__xludf.DUMMYFUNCTION("""COMPUTED_VALUE"""),686.0)</f>
        <v>686</v>
      </c>
      <c r="J246" s="4">
        <f>IFERROR(__xludf.DUMMYFUNCTION("""COMPUTED_VALUE"""),680.0)</f>
        <v>680</v>
      </c>
      <c r="K246" s="4">
        <f>IFERROR(__xludf.DUMMYFUNCTION("""COMPUTED_VALUE"""),89.0)</f>
        <v>89</v>
      </c>
      <c r="L246" s="4">
        <f>IFERROR(__xludf.DUMMYFUNCTION("""COMPUTED_VALUE"""),0.596)</f>
        <v>0.596</v>
      </c>
      <c r="M246" s="4">
        <f>IFERROR(__xludf.DUMMYFUNCTION("""COMPUTED_VALUE"""),0.125)</f>
        <v>0.125</v>
      </c>
      <c r="N246" s="4">
        <f>IFERROR(__xludf.DUMMYFUNCTION("""COMPUTED_VALUE"""),0.637)</f>
        <v>0.637</v>
      </c>
      <c r="O246" s="4">
        <f>IFERROR(__xludf.DUMMYFUNCTION("""COMPUTED_VALUE"""),15.8)</f>
        <v>15.8</v>
      </c>
      <c r="P246" s="4">
        <f>IFERROR(__xludf.DUMMYFUNCTION("""COMPUTED_VALUE"""),5.5)</f>
        <v>5.5</v>
      </c>
      <c r="Q246" s="4">
        <f>IFERROR(__xludf.DUMMYFUNCTION("""COMPUTED_VALUE"""),5.4)</f>
        <v>5.4</v>
      </c>
      <c r="R246" s="4">
        <f>IFERROR(__xludf.DUMMYFUNCTION("""COMPUTED_VALUE"""),0.7)</f>
        <v>0.7</v>
      </c>
      <c r="S246" s="4">
        <f>IFERROR(__xludf.DUMMYFUNCTION("""COMPUTED_VALUE"""),6.0)</f>
        <v>6</v>
      </c>
      <c r="T246" s="4">
        <f>IFERROR(__xludf.DUMMYFUNCTION("""COMPUTED_VALUE"""),0.146)</f>
        <v>0.146</v>
      </c>
      <c r="U246" s="4">
        <f>IFERROR(__xludf.DUMMYFUNCTION("""COMPUTED_VALUE"""),-1.1)</f>
        <v>-1.1</v>
      </c>
      <c r="V246" s="4">
        <f>IFERROR(__xludf.DUMMYFUNCTION("""COMPUTED_VALUE"""),0.4)</f>
        <v>0.4</v>
      </c>
    </row>
    <row r="247">
      <c r="A247" s="4">
        <f>IFERROR(__xludf.DUMMYFUNCTION("""COMPUTED_VALUE"""),44.0)</f>
        <v>44</v>
      </c>
      <c r="B247" s="4">
        <f>IFERROR(__xludf.DUMMYFUNCTION("""COMPUTED_VALUE"""),44.0)</f>
        <v>44</v>
      </c>
      <c r="C247" s="4" t="str">
        <f>IFERROR(__xludf.DUMMYFUNCTION("""COMPUTED_VALUE"""),"ATL")</f>
        <v>ATL</v>
      </c>
      <c r="D247" s="4" t="str">
        <f>IFERROR(__xludf.DUMMYFUNCTION("""COMPUTED_VALUE"""),"Ryan Rollins")</f>
        <v>Ryan Rollins</v>
      </c>
      <c r="E247" s="4" t="str">
        <f>IFERROR(__xludf.DUMMYFUNCTION("""COMPUTED_VALUE"""),"Toledo")</f>
        <v>Toledo</v>
      </c>
      <c r="F247" s="4">
        <f>IFERROR(__xludf.DUMMYFUNCTION("""COMPUTED_VALUE"""),4.0)</f>
        <v>4</v>
      </c>
      <c r="G247" s="4">
        <f>IFERROR(__xludf.DUMMYFUNCTION("""COMPUTED_VALUE"""),103.0)</f>
        <v>103</v>
      </c>
      <c r="H247" s="4">
        <f>IFERROR(__xludf.DUMMYFUNCTION("""COMPUTED_VALUE"""),1672.0)</f>
        <v>1672</v>
      </c>
      <c r="I247" s="4">
        <f>IFERROR(__xludf.DUMMYFUNCTION("""COMPUTED_VALUE"""),806.0)</f>
        <v>806</v>
      </c>
      <c r="J247" s="4">
        <f>IFERROR(__xludf.DUMMYFUNCTION("""COMPUTED_VALUE"""),221.0)</f>
        <v>221</v>
      </c>
      <c r="K247" s="4">
        <f>IFERROR(__xludf.DUMMYFUNCTION("""COMPUTED_VALUE"""),252.0)</f>
        <v>252</v>
      </c>
      <c r="L247" s="4">
        <f>IFERROR(__xludf.DUMMYFUNCTION("""COMPUTED_VALUE"""),0.481)</f>
        <v>0.481</v>
      </c>
      <c r="M247" s="4">
        <f>IFERROR(__xludf.DUMMYFUNCTION("""COMPUTED_VALUE"""),0.409)</f>
        <v>0.409</v>
      </c>
      <c r="N247" s="4">
        <f>IFERROR(__xludf.DUMMYFUNCTION("""COMPUTED_VALUE"""),0.793)</f>
        <v>0.793</v>
      </c>
      <c r="O247" s="4">
        <f>IFERROR(__xludf.DUMMYFUNCTION("""COMPUTED_VALUE"""),16.2)</f>
        <v>16.2</v>
      </c>
      <c r="P247" s="4">
        <f>IFERROR(__xludf.DUMMYFUNCTION("""COMPUTED_VALUE"""),7.8)</f>
        <v>7.8</v>
      </c>
      <c r="Q247" s="4">
        <f>IFERROR(__xludf.DUMMYFUNCTION("""COMPUTED_VALUE"""),2.1)</f>
        <v>2.1</v>
      </c>
      <c r="R247" s="4">
        <f>IFERROR(__xludf.DUMMYFUNCTION("""COMPUTED_VALUE"""),2.4)</f>
        <v>2.4</v>
      </c>
      <c r="S247" s="4">
        <f>IFERROR(__xludf.DUMMYFUNCTION("""COMPUTED_VALUE"""),2.9)</f>
        <v>2.9</v>
      </c>
      <c r="T247" s="4">
        <f>IFERROR(__xludf.DUMMYFUNCTION("""COMPUTED_VALUE"""),0.084)</f>
        <v>0.084</v>
      </c>
      <c r="U247" s="4">
        <f>IFERROR(__xludf.DUMMYFUNCTION("""COMPUTED_VALUE"""),-0.5)</f>
        <v>-0.5</v>
      </c>
      <c r="V247" s="4">
        <f>IFERROR(__xludf.DUMMYFUNCTION("""COMPUTED_VALUE"""),0.6)</f>
        <v>0.6</v>
      </c>
    </row>
    <row r="248">
      <c r="A248" s="4">
        <f>IFERROR(__xludf.DUMMYFUNCTION("""COMPUTED_VALUE"""),45.0)</f>
        <v>45</v>
      </c>
      <c r="B248" s="4">
        <f>IFERROR(__xludf.DUMMYFUNCTION("""COMPUTED_VALUE"""),45.0)</f>
        <v>45</v>
      </c>
      <c r="C248" s="4" t="str">
        <f>IFERROR(__xludf.DUMMYFUNCTION("""COMPUTED_VALUE"""),"CHO")</f>
        <v>CHO</v>
      </c>
      <c r="D248" s="4" t="str">
        <f>IFERROR(__xludf.DUMMYFUNCTION("""COMPUTED_VALUE"""),"Josh Minott")</f>
        <v>Josh Minott</v>
      </c>
      <c r="E248" s="4" t="str">
        <f>IFERROR(__xludf.DUMMYFUNCTION("""COMPUTED_VALUE"""),"Memphis")</f>
        <v>Memphis</v>
      </c>
      <c r="F248" s="4">
        <f>IFERROR(__xludf.DUMMYFUNCTION("""COMPUTED_VALUE"""),4.0)</f>
        <v>4</v>
      </c>
      <c r="G248" s="4">
        <f>IFERROR(__xludf.DUMMYFUNCTION("""COMPUTED_VALUE"""),113.0)</f>
        <v>113</v>
      </c>
      <c r="H248" s="4">
        <f>IFERROR(__xludf.DUMMYFUNCTION("""COMPUTED_VALUE"""),847.0)</f>
        <v>847</v>
      </c>
      <c r="I248" s="4">
        <f>IFERROR(__xludf.DUMMYFUNCTION("""COMPUTED_VALUE"""),363.0)</f>
        <v>363</v>
      </c>
      <c r="J248" s="4">
        <f>IFERROR(__xludf.DUMMYFUNCTION("""COMPUTED_VALUE"""),189.0)</f>
        <v>189</v>
      </c>
      <c r="K248" s="4">
        <f>IFERROR(__xludf.DUMMYFUNCTION("""COMPUTED_VALUE"""),55.0)</f>
        <v>55</v>
      </c>
      <c r="L248" s="4">
        <f>IFERROR(__xludf.DUMMYFUNCTION("""COMPUTED_VALUE"""),0.493)</f>
        <v>0.493</v>
      </c>
      <c r="M248" s="4">
        <f>IFERROR(__xludf.DUMMYFUNCTION("""COMPUTED_VALUE"""),0.383)</f>
        <v>0.383</v>
      </c>
      <c r="N248" s="4">
        <f>IFERROR(__xludf.DUMMYFUNCTION("""COMPUTED_VALUE"""),0.869)</f>
        <v>0.869</v>
      </c>
      <c r="O248" s="4">
        <f>IFERROR(__xludf.DUMMYFUNCTION("""COMPUTED_VALUE"""),7.5)</f>
        <v>7.5</v>
      </c>
      <c r="P248" s="4">
        <f>IFERROR(__xludf.DUMMYFUNCTION("""COMPUTED_VALUE"""),3.2)</f>
        <v>3.2</v>
      </c>
      <c r="Q248" s="4">
        <f>IFERROR(__xludf.DUMMYFUNCTION("""COMPUTED_VALUE"""),1.7)</f>
        <v>1.7</v>
      </c>
      <c r="R248" s="4">
        <f>IFERROR(__xludf.DUMMYFUNCTION("""COMPUTED_VALUE"""),0.5)</f>
        <v>0.5</v>
      </c>
      <c r="S248" s="4">
        <f>IFERROR(__xludf.DUMMYFUNCTION("""COMPUTED_VALUE"""),2.9)</f>
        <v>2.9</v>
      </c>
      <c r="T248" s="4">
        <f>IFERROR(__xludf.DUMMYFUNCTION("""COMPUTED_VALUE"""),0.167)</f>
        <v>0.167</v>
      </c>
      <c r="U248" s="4">
        <f>IFERROR(__xludf.DUMMYFUNCTION("""COMPUTED_VALUE"""),1.9)</f>
        <v>1.9</v>
      </c>
      <c r="V248" s="4">
        <f>IFERROR(__xludf.DUMMYFUNCTION("""COMPUTED_VALUE"""),0.8)</f>
        <v>0.8</v>
      </c>
    </row>
    <row r="249">
      <c r="A249" s="4">
        <f>IFERROR(__xludf.DUMMYFUNCTION("""COMPUTED_VALUE"""),46.0)</f>
        <v>46</v>
      </c>
      <c r="B249" s="4">
        <f>IFERROR(__xludf.DUMMYFUNCTION("""COMPUTED_VALUE"""),46.0)</f>
        <v>46</v>
      </c>
      <c r="C249" s="4" t="str">
        <f>IFERROR(__xludf.DUMMYFUNCTION("""COMPUTED_VALUE"""),"DET")</f>
        <v>DET</v>
      </c>
      <c r="D249" s="4" t="str">
        <f>IFERROR(__xludf.DUMMYFUNCTION("""COMPUTED_VALUE"""),"Ismael Kamagate")</f>
        <v>Ismael Kamagate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>
        <f>IFERROR(__xludf.DUMMYFUNCTION("""COMPUTED_VALUE"""),47.0)</f>
        <v>47</v>
      </c>
      <c r="B250" s="4">
        <f>IFERROR(__xludf.DUMMYFUNCTION("""COMPUTED_VALUE"""),47.0)</f>
        <v>47</v>
      </c>
      <c r="C250" s="4" t="str">
        <f>IFERROR(__xludf.DUMMYFUNCTION("""COMPUTED_VALUE"""),"MEM")</f>
        <v>MEM</v>
      </c>
      <c r="D250" s="4" t="str">
        <f>IFERROR(__xludf.DUMMYFUNCTION("""COMPUTED_VALUE"""),"Vince Williams Jr.")</f>
        <v>Vince Williams Jr.</v>
      </c>
      <c r="E250" s="4" t="str">
        <f>IFERROR(__xludf.DUMMYFUNCTION("""COMPUTED_VALUE"""),"VCU")</f>
        <v>VCU</v>
      </c>
      <c r="F250" s="4">
        <f>IFERROR(__xludf.DUMMYFUNCTION("""COMPUTED_VALUE"""),4.0)</f>
        <v>4</v>
      </c>
      <c r="G250" s="4">
        <f>IFERROR(__xludf.DUMMYFUNCTION("""COMPUTED_VALUE"""),111.0)</f>
        <v>111</v>
      </c>
      <c r="H250" s="4">
        <f>IFERROR(__xludf.DUMMYFUNCTION("""COMPUTED_VALUE"""),2427.0)</f>
        <v>2427</v>
      </c>
      <c r="I250" s="4">
        <f>IFERROR(__xludf.DUMMYFUNCTION("""COMPUTED_VALUE"""),871.0)</f>
        <v>871</v>
      </c>
      <c r="J250" s="4">
        <f>IFERROR(__xludf.DUMMYFUNCTION("""COMPUTED_VALUE"""),484.0)</f>
        <v>484</v>
      </c>
      <c r="K250" s="4">
        <f>IFERROR(__xludf.DUMMYFUNCTION("""COMPUTED_VALUE"""),331.0)</f>
        <v>331</v>
      </c>
      <c r="L250" s="4">
        <f>IFERROR(__xludf.DUMMYFUNCTION("""COMPUTED_VALUE"""),0.41)</f>
        <v>0.41</v>
      </c>
      <c r="M250" s="4">
        <f>IFERROR(__xludf.DUMMYFUNCTION("""COMPUTED_VALUE"""),0.319)</f>
        <v>0.319</v>
      </c>
      <c r="N250" s="4">
        <f>IFERROR(__xludf.DUMMYFUNCTION("""COMPUTED_VALUE"""),0.799)</f>
        <v>0.799</v>
      </c>
      <c r="O250" s="4">
        <f>IFERROR(__xludf.DUMMYFUNCTION("""COMPUTED_VALUE"""),21.9)</f>
        <v>21.9</v>
      </c>
      <c r="P250" s="4">
        <f>IFERROR(__xludf.DUMMYFUNCTION("""COMPUTED_VALUE"""),7.8)</f>
        <v>7.8</v>
      </c>
      <c r="Q250" s="4">
        <f>IFERROR(__xludf.DUMMYFUNCTION("""COMPUTED_VALUE"""),4.4)</f>
        <v>4.4</v>
      </c>
      <c r="R250" s="4">
        <f>IFERROR(__xludf.DUMMYFUNCTION("""COMPUTED_VALUE"""),3.0)</f>
        <v>3</v>
      </c>
      <c r="S250" s="4">
        <f>IFERROR(__xludf.DUMMYFUNCTION("""COMPUTED_VALUE"""),3.4)</f>
        <v>3.4</v>
      </c>
      <c r="T250" s="4">
        <f>IFERROR(__xludf.DUMMYFUNCTION("""COMPUTED_VALUE"""),0.066)</f>
        <v>0.066</v>
      </c>
      <c r="U250" s="4">
        <f>IFERROR(__xludf.DUMMYFUNCTION("""COMPUTED_VALUE"""),-1.3)</f>
        <v>-1.3</v>
      </c>
      <c r="V250" s="4">
        <f>IFERROR(__xludf.DUMMYFUNCTION("""COMPUTED_VALUE"""),0.4)</f>
        <v>0.4</v>
      </c>
    </row>
    <row r="251">
      <c r="A251" s="4">
        <f>IFERROR(__xludf.DUMMYFUNCTION("""COMPUTED_VALUE"""),48.0)</f>
        <v>48</v>
      </c>
      <c r="B251" s="4">
        <f>IFERROR(__xludf.DUMMYFUNCTION("""COMPUTED_VALUE"""),48.0)</f>
        <v>48</v>
      </c>
      <c r="C251" s="4" t="str">
        <f>IFERROR(__xludf.DUMMYFUNCTION("""COMPUTED_VALUE"""),"MIN")</f>
        <v>MIN</v>
      </c>
      <c r="D251" s="4" t="str">
        <f>IFERROR(__xludf.DUMMYFUNCTION("""COMPUTED_VALUE"""),"Kendall Brown")</f>
        <v>Kendall Brown</v>
      </c>
      <c r="E251" s="4" t="str">
        <f>IFERROR(__xludf.DUMMYFUNCTION("""COMPUTED_VALUE"""),"Baylor")</f>
        <v>Baylor</v>
      </c>
      <c r="F251" s="4">
        <f>IFERROR(__xludf.DUMMYFUNCTION("""COMPUTED_VALUE"""),2.0)</f>
        <v>2</v>
      </c>
      <c r="G251" s="4">
        <f>IFERROR(__xludf.DUMMYFUNCTION("""COMPUTED_VALUE"""),21.0)</f>
        <v>21</v>
      </c>
      <c r="H251" s="4">
        <f>IFERROR(__xludf.DUMMYFUNCTION("""COMPUTED_VALUE"""),103.0)</f>
        <v>103</v>
      </c>
      <c r="I251" s="4">
        <f>IFERROR(__xludf.DUMMYFUNCTION("""COMPUTED_VALUE"""),30.0)</f>
        <v>30</v>
      </c>
      <c r="J251" s="4">
        <f>IFERROR(__xludf.DUMMYFUNCTION("""COMPUTED_VALUE"""),11.0)</f>
        <v>11</v>
      </c>
      <c r="K251" s="4">
        <f>IFERROR(__xludf.DUMMYFUNCTION("""COMPUTED_VALUE"""),8.0)</f>
        <v>8</v>
      </c>
      <c r="L251" s="4">
        <f>IFERROR(__xludf.DUMMYFUNCTION("""COMPUTED_VALUE"""),0.545)</f>
        <v>0.545</v>
      </c>
      <c r="M251" s="4">
        <f>IFERROR(__xludf.DUMMYFUNCTION("""COMPUTED_VALUE"""),0.0)</f>
        <v>0</v>
      </c>
      <c r="N251" s="4">
        <f>IFERROR(__xludf.DUMMYFUNCTION("""COMPUTED_VALUE"""),0.6)</f>
        <v>0.6</v>
      </c>
      <c r="O251" s="4">
        <f>IFERROR(__xludf.DUMMYFUNCTION("""COMPUTED_VALUE"""),4.9)</f>
        <v>4.9</v>
      </c>
      <c r="P251" s="4">
        <f>IFERROR(__xludf.DUMMYFUNCTION("""COMPUTED_VALUE"""),1.4)</f>
        <v>1.4</v>
      </c>
      <c r="Q251" s="4">
        <f>IFERROR(__xludf.DUMMYFUNCTION("""COMPUTED_VALUE"""),0.5)</f>
        <v>0.5</v>
      </c>
      <c r="R251" s="4">
        <f>IFERROR(__xludf.DUMMYFUNCTION("""COMPUTED_VALUE"""),0.4)</f>
        <v>0.4</v>
      </c>
      <c r="S251" s="4">
        <f>IFERROR(__xludf.DUMMYFUNCTION("""COMPUTED_VALUE"""),0.1)</f>
        <v>0.1</v>
      </c>
      <c r="T251" s="4">
        <f>IFERROR(__xludf.DUMMYFUNCTION("""COMPUTED_VALUE"""),0.055)</f>
        <v>0.055</v>
      </c>
      <c r="U251" s="4">
        <f>IFERROR(__xludf.DUMMYFUNCTION("""COMPUTED_VALUE"""),-5.3)</f>
        <v>-5.3</v>
      </c>
      <c r="V251" s="4">
        <f>IFERROR(__xludf.DUMMYFUNCTION("""COMPUTED_VALUE"""),-0.1)</f>
        <v>-0.1</v>
      </c>
    </row>
    <row r="252">
      <c r="A252" s="4">
        <f>IFERROR(__xludf.DUMMYFUNCTION("""COMPUTED_VALUE"""),49.0)</f>
        <v>49</v>
      </c>
      <c r="B252" s="4">
        <f>IFERROR(__xludf.DUMMYFUNCTION("""COMPUTED_VALUE"""),49.0)</f>
        <v>49</v>
      </c>
      <c r="C252" s="4" t="str">
        <f>IFERROR(__xludf.DUMMYFUNCTION("""COMPUTED_VALUE"""),"CLE")</f>
        <v>CLE</v>
      </c>
      <c r="D252" s="4" t="str">
        <f>IFERROR(__xludf.DUMMYFUNCTION("""COMPUTED_VALUE"""),"Isaiah Mobley")</f>
        <v>Isaiah Mobley</v>
      </c>
      <c r="E252" s="4" t="str">
        <f>IFERROR(__xludf.DUMMYFUNCTION("""COMPUTED_VALUE"""),"USC")</f>
        <v>USC</v>
      </c>
      <c r="F252" s="4">
        <f>IFERROR(__xludf.DUMMYFUNCTION("""COMPUTED_VALUE"""),3.0)</f>
        <v>3</v>
      </c>
      <c r="G252" s="4">
        <f>IFERROR(__xludf.DUMMYFUNCTION("""COMPUTED_VALUE"""),23.0)</f>
        <v>23</v>
      </c>
      <c r="H252" s="4">
        <f>IFERROR(__xludf.DUMMYFUNCTION("""COMPUTED_VALUE"""),173.0)</f>
        <v>173</v>
      </c>
      <c r="I252" s="4">
        <f>IFERROR(__xludf.DUMMYFUNCTION("""COMPUTED_VALUE"""),60.0)</f>
        <v>60</v>
      </c>
      <c r="J252" s="4">
        <f>IFERROR(__xludf.DUMMYFUNCTION("""COMPUTED_VALUE"""),34.0)</f>
        <v>34</v>
      </c>
      <c r="K252" s="4">
        <f>IFERROR(__xludf.DUMMYFUNCTION("""COMPUTED_VALUE"""),14.0)</f>
        <v>14</v>
      </c>
      <c r="L252" s="4">
        <f>IFERROR(__xludf.DUMMYFUNCTION("""COMPUTED_VALUE"""),0.407)</f>
        <v>0.407</v>
      </c>
      <c r="M252" s="4">
        <f>IFERROR(__xludf.DUMMYFUNCTION("""COMPUTED_VALUE"""),0.333)</f>
        <v>0.333</v>
      </c>
      <c r="N252" s="4">
        <f>IFERROR(__xludf.DUMMYFUNCTION("""COMPUTED_VALUE"""),0.714)</f>
        <v>0.714</v>
      </c>
      <c r="O252" s="4">
        <f>IFERROR(__xludf.DUMMYFUNCTION("""COMPUTED_VALUE"""),7.5)</f>
        <v>7.5</v>
      </c>
      <c r="P252" s="4">
        <f>IFERROR(__xludf.DUMMYFUNCTION("""COMPUTED_VALUE"""),2.6)</f>
        <v>2.6</v>
      </c>
      <c r="Q252" s="4">
        <f>IFERROR(__xludf.DUMMYFUNCTION("""COMPUTED_VALUE"""),1.5)</f>
        <v>1.5</v>
      </c>
      <c r="R252" s="4">
        <f>IFERROR(__xludf.DUMMYFUNCTION("""COMPUTED_VALUE"""),0.6)</f>
        <v>0.6</v>
      </c>
      <c r="S252" s="4">
        <f>IFERROR(__xludf.DUMMYFUNCTION("""COMPUTED_VALUE"""),0.3)</f>
        <v>0.3</v>
      </c>
      <c r="T252" s="4">
        <f>IFERROR(__xludf.DUMMYFUNCTION("""COMPUTED_VALUE"""),0.09)</f>
        <v>0.09</v>
      </c>
      <c r="U252" s="4">
        <f>IFERROR(__xludf.DUMMYFUNCTION("""COMPUTED_VALUE"""),-3.0)</f>
        <v>-3</v>
      </c>
      <c r="V252" s="4">
        <f>IFERROR(__xludf.DUMMYFUNCTION("""COMPUTED_VALUE"""),0.0)</f>
        <v>0</v>
      </c>
    </row>
    <row r="253">
      <c r="A253" s="4">
        <f>IFERROR(__xludf.DUMMYFUNCTION("""COMPUTED_VALUE"""),50.0)</f>
        <v>50</v>
      </c>
      <c r="B253" s="4">
        <f>IFERROR(__xludf.DUMMYFUNCTION("""COMPUTED_VALUE"""),50.0)</f>
        <v>50</v>
      </c>
      <c r="C253" s="4" t="str">
        <f>IFERROR(__xludf.DUMMYFUNCTION("""COMPUTED_VALUE"""),"MIN")</f>
        <v>MIN</v>
      </c>
      <c r="D253" s="4" t="str">
        <f>IFERROR(__xludf.DUMMYFUNCTION("""COMPUTED_VALUE"""),"Matteo Spagnolo")</f>
        <v>Matteo Spagnolo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>
        <f>IFERROR(__xludf.DUMMYFUNCTION("""COMPUTED_VALUE"""),51.0)</f>
        <v>51</v>
      </c>
      <c r="B254" s="4">
        <f>IFERROR(__xludf.DUMMYFUNCTION("""COMPUTED_VALUE"""),51.0)</f>
        <v>51</v>
      </c>
      <c r="C254" s="4" t="str">
        <f>IFERROR(__xludf.DUMMYFUNCTION("""COMPUTED_VALUE"""),"GSW")</f>
        <v>GSW</v>
      </c>
      <c r="D254" s="4" t="str">
        <f>IFERROR(__xludf.DUMMYFUNCTION("""COMPUTED_VALUE"""),"Tyrese Martin")</f>
        <v>Tyrese Martin</v>
      </c>
      <c r="E254" s="4" t="str">
        <f>IFERROR(__xludf.DUMMYFUNCTION("""COMPUTED_VALUE"""),"UConn")</f>
        <v>UConn</v>
      </c>
      <c r="F254" s="4">
        <f>IFERROR(__xludf.DUMMYFUNCTION("""COMPUTED_VALUE"""),3.0)</f>
        <v>3</v>
      </c>
      <c r="G254" s="4">
        <f>IFERROR(__xludf.DUMMYFUNCTION("""COMPUTED_VALUE"""),96.0)</f>
        <v>96</v>
      </c>
      <c r="H254" s="4">
        <f>IFERROR(__xludf.DUMMYFUNCTION("""COMPUTED_VALUE"""),1804.0)</f>
        <v>1804</v>
      </c>
      <c r="I254" s="4">
        <f>IFERROR(__xludf.DUMMYFUNCTION("""COMPUTED_VALUE"""),717.0)</f>
        <v>717</v>
      </c>
      <c r="J254" s="4">
        <f>IFERROR(__xludf.DUMMYFUNCTION("""COMPUTED_VALUE"""),297.0)</f>
        <v>297</v>
      </c>
      <c r="K254" s="4">
        <f>IFERROR(__xludf.DUMMYFUNCTION("""COMPUTED_VALUE"""),176.0)</f>
        <v>176</v>
      </c>
      <c r="L254" s="4">
        <f>IFERROR(__xludf.DUMMYFUNCTION("""COMPUTED_VALUE"""),0.405)</f>
        <v>0.405</v>
      </c>
      <c r="M254" s="4">
        <f>IFERROR(__xludf.DUMMYFUNCTION("""COMPUTED_VALUE"""),0.342)</f>
        <v>0.342</v>
      </c>
      <c r="N254" s="4">
        <f>IFERROR(__xludf.DUMMYFUNCTION("""COMPUTED_VALUE"""),0.78)</f>
        <v>0.78</v>
      </c>
      <c r="O254" s="4">
        <f>IFERROR(__xludf.DUMMYFUNCTION("""COMPUTED_VALUE"""),18.8)</f>
        <v>18.8</v>
      </c>
      <c r="P254" s="4">
        <f>IFERROR(__xludf.DUMMYFUNCTION("""COMPUTED_VALUE"""),7.5)</f>
        <v>7.5</v>
      </c>
      <c r="Q254" s="4">
        <f>IFERROR(__xludf.DUMMYFUNCTION("""COMPUTED_VALUE"""),3.1)</f>
        <v>3.1</v>
      </c>
      <c r="R254" s="4">
        <f>IFERROR(__xludf.DUMMYFUNCTION("""COMPUTED_VALUE"""),1.8)</f>
        <v>1.8</v>
      </c>
      <c r="S254" s="4">
        <f>IFERROR(__xludf.DUMMYFUNCTION("""COMPUTED_VALUE"""),1.1)</f>
        <v>1.1</v>
      </c>
      <c r="T254" s="4">
        <f>IFERROR(__xludf.DUMMYFUNCTION("""COMPUTED_VALUE"""),0.029)</f>
        <v>0.029</v>
      </c>
      <c r="U254" s="4">
        <f>IFERROR(__xludf.DUMMYFUNCTION("""COMPUTED_VALUE"""),-2.6)</f>
        <v>-2.6</v>
      </c>
      <c r="V254" s="4">
        <f>IFERROR(__xludf.DUMMYFUNCTION("""COMPUTED_VALUE"""),-0.3)</f>
        <v>-0.3</v>
      </c>
    </row>
    <row r="255">
      <c r="A255" s="4">
        <f>IFERROR(__xludf.DUMMYFUNCTION("""COMPUTED_VALUE"""),52.0)</f>
        <v>52</v>
      </c>
      <c r="B255" s="4">
        <f>IFERROR(__xludf.DUMMYFUNCTION("""COMPUTED_VALUE"""),52.0)</f>
        <v>52</v>
      </c>
      <c r="C255" s="4" t="str">
        <f>IFERROR(__xludf.DUMMYFUNCTION("""COMPUTED_VALUE"""),"NOP")</f>
        <v>NOP</v>
      </c>
      <c r="D255" s="4" t="str">
        <f>IFERROR(__xludf.DUMMYFUNCTION("""COMPUTED_VALUE"""),"Karlo Matković")</f>
        <v>Karlo Matković</v>
      </c>
      <c r="E255" s="4"/>
      <c r="F255" s="4">
        <f>IFERROR(__xludf.DUMMYFUNCTION("""COMPUTED_VALUE"""),2.0)</f>
        <v>2</v>
      </c>
      <c r="G255" s="4">
        <f>IFERROR(__xludf.DUMMYFUNCTION("""COMPUTED_VALUE"""),54.0)</f>
        <v>54</v>
      </c>
      <c r="H255" s="4">
        <f>IFERROR(__xludf.DUMMYFUNCTION("""COMPUTED_VALUE"""),928.0)</f>
        <v>928</v>
      </c>
      <c r="I255" s="4">
        <f>IFERROR(__xludf.DUMMYFUNCTION("""COMPUTED_VALUE"""),384.0)</f>
        <v>384</v>
      </c>
      <c r="J255" s="4">
        <f>IFERROR(__xludf.DUMMYFUNCTION("""COMPUTED_VALUE"""),242.0)</f>
        <v>242</v>
      </c>
      <c r="K255" s="4">
        <f>IFERROR(__xludf.DUMMYFUNCTION("""COMPUTED_VALUE"""),56.0)</f>
        <v>56</v>
      </c>
      <c r="L255" s="4">
        <f>IFERROR(__xludf.DUMMYFUNCTION("""COMPUTED_VALUE"""),0.592)</f>
        <v>0.592</v>
      </c>
      <c r="M255" s="4">
        <f>IFERROR(__xludf.DUMMYFUNCTION("""COMPUTED_VALUE"""),0.333)</f>
        <v>0.333</v>
      </c>
      <c r="N255" s="4">
        <f>IFERROR(__xludf.DUMMYFUNCTION("""COMPUTED_VALUE"""),0.712)</f>
        <v>0.712</v>
      </c>
      <c r="O255" s="4">
        <f>IFERROR(__xludf.DUMMYFUNCTION("""COMPUTED_VALUE"""),17.2)</f>
        <v>17.2</v>
      </c>
      <c r="P255" s="4">
        <f>IFERROR(__xludf.DUMMYFUNCTION("""COMPUTED_VALUE"""),7.1)</f>
        <v>7.1</v>
      </c>
      <c r="Q255" s="4">
        <f>IFERROR(__xludf.DUMMYFUNCTION("""COMPUTED_VALUE"""),4.5)</f>
        <v>4.5</v>
      </c>
      <c r="R255" s="4">
        <f>IFERROR(__xludf.DUMMYFUNCTION("""COMPUTED_VALUE"""),1.0)</f>
        <v>1</v>
      </c>
      <c r="S255" s="4">
        <f>IFERROR(__xludf.DUMMYFUNCTION("""COMPUTED_VALUE"""),1.9)</f>
        <v>1.9</v>
      </c>
      <c r="T255" s="4">
        <f>IFERROR(__xludf.DUMMYFUNCTION("""COMPUTED_VALUE"""),0.1)</f>
        <v>0.1</v>
      </c>
      <c r="U255" s="4">
        <f>IFERROR(__xludf.DUMMYFUNCTION("""COMPUTED_VALUE"""),-1.6)</f>
        <v>-1.6</v>
      </c>
      <c r="V255" s="4">
        <f>IFERROR(__xludf.DUMMYFUNCTION("""COMPUTED_VALUE"""),0.1)</f>
        <v>0.1</v>
      </c>
    </row>
    <row r="256">
      <c r="A256" s="4">
        <f>IFERROR(__xludf.DUMMYFUNCTION("""COMPUTED_VALUE"""),53.0)</f>
        <v>53</v>
      </c>
      <c r="B256" s="4">
        <f>IFERROR(__xludf.DUMMYFUNCTION("""COMPUTED_VALUE"""),53.0)</f>
        <v>53</v>
      </c>
      <c r="C256" s="4" t="str">
        <f>IFERROR(__xludf.DUMMYFUNCTION("""COMPUTED_VALUE"""),"BOS")</f>
        <v>BOS</v>
      </c>
      <c r="D256" s="4" t="str">
        <f>IFERROR(__xludf.DUMMYFUNCTION("""COMPUTED_VALUE"""),"JD Davison")</f>
        <v>JD Davison</v>
      </c>
      <c r="E256" s="4" t="str">
        <f>IFERROR(__xludf.DUMMYFUNCTION("""COMPUTED_VALUE"""),"Alabama")</f>
        <v>Alabama</v>
      </c>
      <c r="F256" s="4">
        <f>IFERROR(__xludf.DUMMYFUNCTION("""COMPUTED_VALUE"""),4.0)</f>
        <v>4</v>
      </c>
      <c r="G256" s="4">
        <f>IFERROR(__xludf.DUMMYFUNCTION("""COMPUTED_VALUE"""),44.0)</f>
        <v>44</v>
      </c>
      <c r="H256" s="4">
        <f>IFERROR(__xludf.DUMMYFUNCTION("""COMPUTED_VALUE"""),254.0)</f>
        <v>254</v>
      </c>
      <c r="I256" s="4">
        <f>IFERROR(__xludf.DUMMYFUNCTION("""COMPUTED_VALUE"""),88.0)</f>
        <v>88</v>
      </c>
      <c r="J256" s="4">
        <f>IFERROR(__xludf.DUMMYFUNCTION("""COMPUTED_VALUE"""),33.0)</f>
        <v>33</v>
      </c>
      <c r="K256" s="4">
        <f>IFERROR(__xludf.DUMMYFUNCTION("""COMPUTED_VALUE"""),42.0)</f>
        <v>42</v>
      </c>
      <c r="L256" s="4">
        <f>IFERROR(__xludf.DUMMYFUNCTION("""COMPUTED_VALUE"""),0.429)</f>
        <v>0.429</v>
      </c>
      <c r="M256" s="4">
        <f>IFERROR(__xludf.DUMMYFUNCTION("""COMPUTED_VALUE"""),0.333)</f>
        <v>0.333</v>
      </c>
      <c r="N256" s="4">
        <f>IFERROR(__xludf.DUMMYFUNCTION("""COMPUTED_VALUE"""),0.6)</f>
        <v>0.6</v>
      </c>
      <c r="O256" s="4">
        <f>IFERROR(__xludf.DUMMYFUNCTION("""COMPUTED_VALUE"""),5.8)</f>
        <v>5.8</v>
      </c>
      <c r="P256" s="4">
        <f>IFERROR(__xludf.DUMMYFUNCTION("""COMPUTED_VALUE"""),2.0)</f>
        <v>2</v>
      </c>
      <c r="Q256" s="4">
        <f>IFERROR(__xludf.DUMMYFUNCTION("""COMPUTED_VALUE"""),0.8)</f>
        <v>0.8</v>
      </c>
      <c r="R256" s="4">
        <f>IFERROR(__xludf.DUMMYFUNCTION("""COMPUTED_VALUE"""),1.0)</f>
        <v>1</v>
      </c>
      <c r="S256" s="4">
        <f>IFERROR(__xludf.DUMMYFUNCTION("""COMPUTED_VALUE"""),0.3)</f>
        <v>0.3</v>
      </c>
      <c r="T256" s="4">
        <f>IFERROR(__xludf.DUMMYFUNCTION("""COMPUTED_VALUE"""),0.065)</f>
        <v>0.065</v>
      </c>
      <c r="U256" s="4">
        <f>IFERROR(__xludf.DUMMYFUNCTION("""COMPUTED_VALUE"""),-1.8)</f>
        <v>-1.8</v>
      </c>
      <c r="V256" s="4">
        <f>IFERROR(__xludf.DUMMYFUNCTION("""COMPUTED_VALUE"""),0.0)</f>
        <v>0</v>
      </c>
    </row>
    <row r="257">
      <c r="A257" s="4">
        <f>IFERROR(__xludf.DUMMYFUNCTION("""COMPUTED_VALUE"""),54.0)</f>
        <v>54</v>
      </c>
      <c r="B257" s="4">
        <f>IFERROR(__xludf.DUMMYFUNCTION("""COMPUTED_VALUE"""),54.0)</f>
        <v>54</v>
      </c>
      <c r="C257" s="4" t="str">
        <f>IFERROR(__xludf.DUMMYFUNCTION("""COMPUTED_VALUE"""),"WAS")</f>
        <v>WAS</v>
      </c>
      <c r="D257" s="4" t="str">
        <f>IFERROR(__xludf.DUMMYFUNCTION("""COMPUTED_VALUE"""),"Yannick Nzosa")</f>
        <v>Yannick Nzosa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>
        <f>IFERROR(__xludf.DUMMYFUNCTION("""COMPUTED_VALUE"""),55.0)</f>
        <v>55</v>
      </c>
      <c r="B258" s="4">
        <f>IFERROR(__xludf.DUMMYFUNCTION("""COMPUTED_VALUE"""),55.0)</f>
        <v>55</v>
      </c>
      <c r="C258" s="4" t="str">
        <f>IFERROR(__xludf.DUMMYFUNCTION("""COMPUTED_VALUE"""),"GSW")</f>
        <v>GSW</v>
      </c>
      <c r="D258" s="4" t="str">
        <f>IFERROR(__xludf.DUMMYFUNCTION("""COMPUTED_VALUE"""),"Gui Santos")</f>
        <v>Gui Santos</v>
      </c>
      <c r="E258" s="4"/>
      <c r="F258" s="4">
        <f>IFERROR(__xludf.DUMMYFUNCTION("""COMPUTED_VALUE"""),3.0)</f>
        <v>3</v>
      </c>
      <c r="G258" s="4">
        <f>IFERROR(__xludf.DUMMYFUNCTION("""COMPUTED_VALUE"""),94.0)</f>
        <v>94</v>
      </c>
      <c r="H258" s="4">
        <f>IFERROR(__xludf.DUMMYFUNCTION("""COMPUTED_VALUE"""),1064.0)</f>
        <v>1064</v>
      </c>
      <c r="I258" s="4">
        <f>IFERROR(__xludf.DUMMYFUNCTION("""COMPUTED_VALUE"""),346.0)</f>
        <v>346</v>
      </c>
      <c r="J258" s="4">
        <f>IFERROR(__xludf.DUMMYFUNCTION("""COMPUTED_VALUE"""),244.0)</f>
        <v>244</v>
      </c>
      <c r="K258" s="4">
        <f>IFERROR(__xludf.DUMMYFUNCTION("""COMPUTED_VALUE"""),99.0)</f>
        <v>99</v>
      </c>
      <c r="L258" s="4">
        <f>IFERROR(__xludf.DUMMYFUNCTION("""COMPUTED_VALUE"""),0.459)</f>
        <v>0.459</v>
      </c>
      <c r="M258" s="4">
        <f>IFERROR(__xludf.DUMMYFUNCTION("""COMPUTED_VALUE"""),0.331)</f>
        <v>0.331</v>
      </c>
      <c r="N258" s="4">
        <f>IFERROR(__xludf.DUMMYFUNCTION("""COMPUTED_VALUE"""),0.754)</f>
        <v>0.754</v>
      </c>
      <c r="O258" s="4">
        <f>IFERROR(__xludf.DUMMYFUNCTION("""COMPUTED_VALUE"""),11.3)</f>
        <v>11.3</v>
      </c>
      <c r="P258" s="4">
        <f>IFERROR(__xludf.DUMMYFUNCTION("""COMPUTED_VALUE"""),3.7)</f>
        <v>3.7</v>
      </c>
      <c r="Q258" s="4">
        <f>IFERROR(__xludf.DUMMYFUNCTION("""COMPUTED_VALUE"""),2.6)</f>
        <v>2.6</v>
      </c>
      <c r="R258" s="4">
        <f>IFERROR(__xludf.DUMMYFUNCTION("""COMPUTED_VALUE"""),1.1)</f>
        <v>1.1</v>
      </c>
      <c r="S258" s="4">
        <f>IFERROR(__xludf.DUMMYFUNCTION("""COMPUTED_VALUE"""),2.4)</f>
        <v>2.4</v>
      </c>
      <c r="T258" s="4">
        <f>IFERROR(__xludf.DUMMYFUNCTION("""COMPUTED_VALUE"""),0.107)</f>
        <v>0.107</v>
      </c>
      <c r="U258" s="4">
        <f>IFERROR(__xludf.DUMMYFUNCTION("""COMPUTED_VALUE"""),-2.1)</f>
        <v>-2.1</v>
      </c>
      <c r="V258" s="4">
        <f>IFERROR(__xludf.DUMMYFUNCTION("""COMPUTED_VALUE"""),0.0)</f>
        <v>0</v>
      </c>
    </row>
    <row r="259">
      <c r="A259" s="4">
        <f>IFERROR(__xludf.DUMMYFUNCTION("""COMPUTED_VALUE"""),56.0)</f>
        <v>56</v>
      </c>
      <c r="B259" s="4">
        <f>IFERROR(__xludf.DUMMYFUNCTION("""COMPUTED_VALUE"""),56.0)</f>
        <v>56</v>
      </c>
      <c r="C259" s="4" t="str">
        <f>IFERROR(__xludf.DUMMYFUNCTION("""COMPUTED_VALUE"""),"CLE")</f>
        <v>CLE</v>
      </c>
      <c r="D259" s="4" t="str">
        <f>IFERROR(__xludf.DUMMYFUNCTION("""COMPUTED_VALUE"""),"Luke Travers")</f>
        <v>Luke Travers</v>
      </c>
      <c r="E259" s="4"/>
      <c r="F259" s="4">
        <f>IFERROR(__xludf.DUMMYFUNCTION("""COMPUTED_VALUE"""),2.0)</f>
        <v>2</v>
      </c>
      <c r="G259" s="4">
        <f>IFERROR(__xludf.DUMMYFUNCTION("""COMPUTED_VALUE"""),21.0)</f>
        <v>21</v>
      </c>
      <c r="H259" s="4">
        <f>IFERROR(__xludf.DUMMYFUNCTION("""COMPUTED_VALUE"""),170.0)</f>
        <v>170</v>
      </c>
      <c r="I259" s="4">
        <f>IFERROR(__xludf.DUMMYFUNCTION("""COMPUTED_VALUE"""),32.0)</f>
        <v>32</v>
      </c>
      <c r="J259" s="4">
        <f>IFERROR(__xludf.DUMMYFUNCTION("""COMPUTED_VALUE"""),38.0)</f>
        <v>38</v>
      </c>
      <c r="K259" s="4">
        <f>IFERROR(__xludf.DUMMYFUNCTION("""COMPUTED_VALUE"""),15.0)</f>
        <v>15</v>
      </c>
      <c r="L259" s="4">
        <f>IFERROR(__xludf.DUMMYFUNCTION("""COMPUTED_VALUE"""),0.208)</f>
        <v>0.208</v>
      </c>
      <c r="M259" s="4">
        <f>IFERROR(__xludf.DUMMYFUNCTION("""COMPUTED_VALUE"""),0.045)</f>
        <v>0.045</v>
      </c>
      <c r="N259" s="4">
        <f>IFERROR(__xludf.DUMMYFUNCTION("""COMPUTED_VALUE"""),1.0)</f>
        <v>1</v>
      </c>
      <c r="O259" s="4">
        <f>IFERROR(__xludf.DUMMYFUNCTION("""COMPUTED_VALUE"""),8.1)</f>
        <v>8.1</v>
      </c>
      <c r="P259" s="4">
        <f>IFERROR(__xludf.DUMMYFUNCTION("""COMPUTED_VALUE"""),1.5)</f>
        <v>1.5</v>
      </c>
      <c r="Q259" s="4">
        <f>IFERROR(__xludf.DUMMYFUNCTION("""COMPUTED_VALUE"""),1.8)</f>
        <v>1.8</v>
      </c>
      <c r="R259" s="4">
        <f>IFERROR(__xludf.DUMMYFUNCTION("""COMPUTED_VALUE"""),0.7)</f>
        <v>0.7</v>
      </c>
      <c r="S259" s="4">
        <f>IFERROR(__xludf.DUMMYFUNCTION("""COMPUTED_VALUE"""),-0.1)</f>
        <v>-0.1</v>
      </c>
      <c r="T259" s="4">
        <f>IFERROR(__xludf.DUMMYFUNCTION("""COMPUTED_VALUE"""),-0.03)</f>
        <v>-0.03</v>
      </c>
      <c r="U259" s="4">
        <f>IFERROR(__xludf.DUMMYFUNCTION("""COMPUTED_VALUE"""),-6.8)</f>
        <v>-6.8</v>
      </c>
      <c r="V259" s="4">
        <f>IFERROR(__xludf.DUMMYFUNCTION("""COMPUTED_VALUE"""),-0.2)</f>
        <v>-0.2</v>
      </c>
    </row>
    <row r="260">
      <c r="A260" s="4">
        <f>IFERROR(__xludf.DUMMYFUNCTION("""COMPUTED_VALUE"""),57.0)</f>
        <v>57</v>
      </c>
      <c r="B260" s="4">
        <f>IFERROR(__xludf.DUMMYFUNCTION("""COMPUTED_VALUE"""),57.0)</f>
        <v>57</v>
      </c>
      <c r="C260" s="4" t="str">
        <f>IFERROR(__xludf.DUMMYFUNCTION("""COMPUTED_VALUE"""),"POR")</f>
        <v>POR</v>
      </c>
      <c r="D260" s="4" t="str">
        <f>IFERROR(__xludf.DUMMYFUNCTION("""COMPUTED_VALUE"""),"Jabari Walker")</f>
        <v>Jabari Walker</v>
      </c>
      <c r="E260" s="4" t="str">
        <f>IFERROR(__xludf.DUMMYFUNCTION("""COMPUTED_VALUE"""),"Colorado")</f>
        <v>Colorado</v>
      </c>
      <c r="F260" s="4">
        <f>IFERROR(__xludf.DUMMYFUNCTION("""COMPUTED_VALUE"""),4.0)</f>
        <v>4</v>
      </c>
      <c r="G260" s="4">
        <f>IFERROR(__xludf.DUMMYFUNCTION("""COMPUTED_VALUE"""),207.0)</f>
        <v>207</v>
      </c>
      <c r="H260" s="4">
        <f>IFERROR(__xludf.DUMMYFUNCTION("""COMPUTED_VALUE"""),3322.0)</f>
        <v>3322</v>
      </c>
      <c r="I260" s="4">
        <f>IFERROR(__xludf.DUMMYFUNCTION("""COMPUTED_VALUE"""),1239.0)</f>
        <v>1239</v>
      </c>
      <c r="J260" s="4">
        <f>IFERROR(__xludf.DUMMYFUNCTION("""COMPUTED_VALUE"""),917.0)</f>
        <v>917</v>
      </c>
      <c r="K260" s="4">
        <f>IFERROR(__xludf.DUMMYFUNCTION("""COMPUTED_VALUE"""),154.0)</f>
        <v>154</v>
      </c>
      <c r="L260" s="4">
        <f>IFERROR(__xludf.DUMMYFUNCTION("""COMPUTED_VALUE"""),0.465)</f>
        <v>0.465</v>
      </c>
      <c r="M260" s="4">
        <f>IFERROR(__xludf.DUMMYFUNCTION("""COMPUTED_VALUE"""),0.315)</f>
        <v>0.315</v>
      </c>
      <c r="N260" s="4">
        <f>IFERROR(__xludf.DUMMYFUNCTION("""COMPUTED_VALUE"""),0.736)</f>
        <v>0.736</v>
      </c>
      <c r="O260" s="4">
        <f>IFERROR(__xludf.DUMMYFUNCTION("""COMPUTED_VALUE"""),16.0)</f>
        <v>16</v>
      </c>
      <c r="P260" s="4">
        <f>IFERROR(__xludf.DUMMYFUNCTION("""COMPUTED_VALUE"""),6.0)</f>
        <v>6</v>
      </c>
      <c r="Q260" s="4">
        <f>IFERROR(__xludf.DUMMYFUNCTION("""COMPUTED_VALUE"""),4.4)</f>
        <v>4.4</v>
      </c>
      <c r="R260" s="4">
        <f>IFERROR(__xludf.DUMMYFUNCTION("""COMPUTED_VALUE"""),0.7)</f>
        <v>0.7</v>
      </c>
      <c r="S260" s="4">
        <f>IFERROR(__xludf.DUMMYFUNCTION("""COMPUTED_VALUE"""),5.5)</f>
        <v>5.5</v>
      </c>
      <c r="T260" s="4">
        <f>IFERROR(__xludf.DUMMYFUNCTION("""COMPUTED_VALUE"""),0.079)</f>
        <v>0.079</v>
      </c>
      <c r="U260" s="4">
        <f>IFERROR(__xludf.DUMMYFUNCTION("""COMPUTED_VALUE"""),-3.4)</f>
        <v>-3.4</v>
      </c>
      <c r="V260" s="4">
        <f>IFERROR(__xludf.DUMMYFUNCTION("""COMPUTED_VALUE"""),-1.2)</f>
        <v>-1.2</v>
      </c>
    </row>
    <row r="261">
      <c r="A261" s="4">
        <f>IFERROR(__xludf.DUMMYFUNCTION("""COMPUTED_VALUE"""),58.0)</f>
        <v>58</v>
      </c>
      <c r="B261" s="4">
        <f>IFERROR(__xludf.DUMMYFUNCTION("""COMPUTED_VALUE"""),58.0)</f>
        <v>58</v>
      </c>
      <c r="C261" s="4" t="str">
        <f>IFERROR(__xludf.DUMMYFUNCTION("""COMPUTED_VALUE"""),"IND")</f>
        <v>IND</v>
      </c>
      <c r="D261" s="4" t="str">
        <f>IFERROR(__xludf.DUMMYFUNCTION("""COMPUTED_VALUE"""),"Hugo Besson")</f>
        <v>Hugo Besson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 t="str">
        <f>IFERROR(__xludf.DUMMYFUNCTION("""COMPUTED_VALUE"""),"Milwaukee Bucks forfeited their Second Round pick.")</f>
        <v>Milwaukee Bucks forfeited their Second Round pick.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 t="str">
        <f>IFERROR(__xludf.DUMMYFUNCTION("""COMPUTED_VALUE"""),"Miami Heat forfeited their Second Round pick.")</f>
        <v>Miami Heat forfeited their Second Round pick.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5">
      <c r="A265" s="2">
        <v>2021.0</v>
      </c>
    </row>
    <row r="266">
      <c r="A266" s="4" t="str">
        <f>IFERROR(__xludf.DUMMYFUNCTION("IMPORTHTML(""https://www.basketball-reference.com/draft/NBA_2021.html"", ""table"", 1)"),"")</f>
        <v/>
      </c>
      <c r="B266" s="4"/>
      <c r="C266" s="4"/>
      <c r="D266" s="4" t="str">
        <f>IFERROR(__xludf.DUMMYFUNCTION("""COMPUTED_VALUE"""),"Round 1")</f>
        <v>Round 1</v>
      </c>
      <c r="E266" s="4"/>
      <c r="F266" s="4"/>
      <c r="G266" s="4" t="str">
        <f>IFERROR(__xludf.DUMMYFUNCTION("""COMPUTED_VALUE"""),"Totals")</f>
        <v>Totals</v>
      </c>
      <c r="H266" s="4"/>
      <c r="I266" s="4"/>
      <c r="J266" s="4"/>
      <c r="K266" s="4"/>
      <c r="L266" s="4" t="str">
        <f>IFERROR(__xludf.DUMMYFUNCTION("""COMPUTED_VALUE"""),"Shooting")</f>
        <v>Shooting</v>
      </c>
      <c r="M266" s="4"/>
      <c r="N266" s="4"/>
      <c r="O266" s="4" t="str">
        <f>IFERROR(__xludf.DUMMYFUNCTION("""COMPUTED_VALUE"""),"Per Game")</f>
        <v>Per Game</v>
      </c>
      <c r="P266" s="4"/>
      <c r="Q266" s="4"/>
      <c r="R266" s="4"/>
      <c r="S266" s="4" t="str">
        <f>IFERROR(__xludf.DUMMYFUNCTION("""COMPUTED_VALUE"""),"Advanced")</f>
        <v>Advanced</v>
      </c>
      <c r="T266" s="4"/>
      <c r="U266" s="4"/>
      <c r="V266" s="4"/>
    </row>
    <row r="267">
      <c r="A267" s="4" t="str">
        <f>IFERROR(__xludf.DUMMYFUNCTION("""COMPUTED_VALUE"""),"Rk")</f>
        <v>Rk</v>
      </c>
      <c r="B267" s="4" t="str">
        <f>IFERROR(__xludf.DUMMYFUNCTION("""COMPUTED_VALUE"""),"Pk")</f>
        <v>Pk</v>
      </c>
      <c r="C267" s="4" t="str">
        <f>IFERROR(__xludf.DUMMYFUNCTION("""COMPUTED_VALUE"""),"Tm")</f>
        <v>Tm</v>
      </c>
      <c r="D267" s="4" t="str">
        <f>IFERROR(__xludf.DUMMYFUNCTION("""COMPUTED_VALUE"""),"Player")</f>
        <v>Player</v>
      </c>
      <c r="E267" s="4" t="str">
        <f>IFERROR(__xludf.DUMMYFUNCTION("""COMPUTED_VALUE"""),"College")</f>
        <v>College</v>
      </c>
      <c r="F267" s="4" t="str">
        <f>IFERROR(__xludf.DUMMYFUNCTION("""COMPUTED_VALUE"""),"Yrs")</f>
        <v>Yrs</v>
      </c>
      <c r="G267" s="4" t="str">
        <f>IFERROR(__xludf.DUMMYFUNCTION("""COMPUTED_VALUE"""),"G")</f>
        <v>G</v>
      </c>
      <c r="H267" s="4" t="str">
        <f>IFERROR(__xludf.DUMMYFUNCTION("""COMPUTED_VALUE"""),"MP")</f>
        <v>MP</v>
      </c>
      <c r="I267" s="4" t="str">
        <f>IFERROR(__xludf.DUMMYFUNCTION("""COMPUTED_VALUE"""),"PTS")</f>
        <v>PTS</v>
      </c>
      <c r="J267" s="4" t="str">
        <f>IFERROR(__xludf.DUMMYFUNCTION("""COMPUTED_VALUE"""),"TRB")</f>
        <v>TRB</v>
      </c>
      <c r="K267" s="4" t="str">
        <f>IFERROR(__xludf.DUMMYFUNCTION("""COMPUTED_VALUE"""),"AST")</f>
        <v>AST</v>
      </c>
      <c r="L267" s="4" t="str">
        <f>IFERROR(__xludf.DUMMYFUNCTION("""COMPUTED_VALUE"""),"FG%")</f>
        <v>FG%</v>
      </c>
      <c r="M267" s="4" t="str">
        <f>IFERROR(__xludf.DUMMYFUNCTION("""COMPUTED_VALUE"""),"3P%")</f>
        <v>3P%</v>
      </c>
      <c r="N267" s="4" t="str">
        <f>IFERROR(__xludf.DUMMYFUNCTION("""COMPUTED_VALUE"""),"FT%")</f>
        <v>FT%</v>
      </c>
      <c r="O267" s="4" t="str">
        <f>IFERROR(__xludf.DUMMYFUNCTION("""COMPUTED_VALUE"""),"MP")</f>
        <v>MP</v>
      </c>
      <c r="P267" s="4" t="str">
        <f>IFERROR(__xludf.DUMMYFUNCTION("""COMPUTED_VALUE"""),"PTS")</f>
        <v>PTS</v>
      </c>
      <c r="Q267" s="4" t="str">
        <f>IFERROR(__xludf.DUMMYFUNCTION("""COMPUTED_VALUE"""),"TRB")</f>
        <v>TRB</v>
      </c>
      <c r="R267" s="4" t="str">
        <f>IFERROR(__xludf.DUMMYFUNCTION("""COMPUTED_VALUE"""),"AST")</f>
        <v>AST</v>
      </c>
      <c r="S267" s="4" t="str">
        <f>IFERROR(__xludf.DUMMYFUNCTION("""COMPUTED_VALUE"""),"WS")</f>
        <v>WS</v>
      </c>
      <c r="T267" s="4" t="str">
        <f>IFERROR(__xludf.DUMMYFUNCTION("""COMPUTED_VALUE"""),"WS/48")</f>
        <v>WS/48</v>
      </c>
      <c r="U267" s="4" t="str">
        <f>IFERROR(__xludf.DUMMYFUNCTION("""COMPUTED_VALUE"""),"BPM")</f>
        <v>BPM</v>
      </c>
      <c r="V267" s="4" t="str">
        <f>IFERROR(__xludf.DUMMYFUNCTION("""COMPUTED_VALUE"""),"VORP")</f>
        <v>VORP</v>
      </c>
    </row>
    <row r="268">
      <c r="A268" s="4">
        <f>IFERROR(__xludf.DUMMYFUNCTION("""COMPUTED_VALUE"""),1.0)</f>
        <v>1</v>
      </c>
      <c r="B268" s="4">
        <f>IFERROR(__xludf.DUMMYFUNCTION("""COMPUTED_VALUE"""),1.0)</f>
        <v>1</v>
      </c>
      <c r="C268" s="4" t="str">
        <f>IFERROR(__xludf.DUMMYFUNCTION("""COMPUTED_VALUE"""),"DET")</f>
        <v>DET</v>
      </c>
      <c r="D268" s="4" t="str">
        <f>IFERROR(__xludf.DUMMYFUNCTION("""COMPUTED_VALUE"""),"Cade Cunningham")</f>
        <v>Cade Cunningham</v>
      </c>
      <c r="E268" s="4" t="str">
        <f>IFERROR(__xludf.DUMMYFUNCTION("""COMPUTED_VALUE"""),"Oklahoma State")</f>
        <v>Oklahoma State</v>
      </c>
      <c r="F268" s="4">
        <f>IFERROR(__xludf.DUMMYFUNCTION("""COMPUTED_VALUE"""),5.0)</f>
        <v>5</v>
      </c>
      <c r="G268" s="4">
        <f>IFERROR(__xludf.DUMMYFUNCTION("""COMPUTED_VALUE"""),226.0)</f>
        <v>226</v>
      </c>
      <c r="H268" s="4">
        <f>IFERROR(__xludf.DUMMYFUNCTION("""COMPUTED_VALUE"""),7676.0)</f>
        <v>7676</v>
      </c>
      <c r="I268" s="4">
        <f>IFERROR(__xludf.DUMMYFUNCTION("""COMPUTED_VALUE"""),5096.0)</f>
        <v>5096</v>
      </c>
      <c r="J268" s="4">
        <f>IFERROR(__xludf.DUMMYFUNCTION("""COMPUTED_VALUE"""),1238.0)</f>
        <v>1238</v>
      </c>
      <c r="K268" s="4">
        <f>IFERROR(__xludf.DUMMYFUNCTION("""COMPUTED_VALUE"""),1697.0)</f>
        <v>1697</v>
      </c>
      <c r="L268" s="4">
        <f>IFERROR(__xludf.DUMMYFUNCTION("""COMPUTED_VALUE"""),0.447)</f>
        <v>0.447</v>
      </c>
      <c r="M268" s="4">
        <f>IFERROR(__xludf.DUMMYFUNCTION("""COMPUTED_VALUE"""),0.336)</f>
        <v>0.336</v>
      </c>
      <c r="N268" s="4">
        <f>IFERROR(__xludf.DUMMYFUNCTION("""COMPUTED_VALUE"""),0.848)</f>
        <v>0.848</v>
      </c>
      <c r="O268" s="4">
        <f>IFERROR(__xludf.DUMMYFUNCTION("""COMPUTED_VALUE"""),34.0)</f>
        <v>34</v>
      </c>
      <c r="P268" s="4">
        <f>IFERROR(__xludf.DUMMYFUNCTION("""COMPUTED_VALUE"""),22.5)</f>
        <v>22.5</v>
      </c>
      <c r="Q268" s="4">
        <f>IFERROR(__xludf.DUMMYFUNCTION("""COMPUTED_VALUE"""),5.5)</f>
        <v>5.5</v>
      </c>
      <c r="R268" s="4">
        <f>IFERROR(__xludf.DUMMYFUNCTION("""COMPUTED_VALUE"""),7.5)</f>
        <v>7.5</v>
      </c>
      <c r="S268" s="4">
        <f>IFERROR(__xludf.DUMMYFUNCTION("""COMPUTED_VALUE"""),9.1)</f>
        <v>9.1</v>
      </c>
      <c r="T268" s="4">
        <f>IFERROR(__xludf.DUMMYFUNCTION("""COMPUTED_VALUE"""),0.057)</f>
        <v>0.057</v>
      </c>
      <c r="U268" s="4">
        <f>IFERROR(__xludf.DUMMYFUNCTION("""COMPUTED_VALUE"""),1.3)</f>
        <v>1.3</v>
      </c>
      <c r="V268" s="4">
        <f>IFERROR(__xludf.DUMMYFUNCTION("""COMPUTED_VALUE"""),6.4)</f>
        <v>6.4</v>
      </c>
    </row>
    <row r="269">
      <c r="A269" s="4">
        <f>IFERROR(__xludf.DUMMYFUNCTION("""COMPUTED_VALUE"""),2.0)</f>
        <v>2</v>
      </c>
      <c r="B269" s="4">
        <f>IFERROR(__xludf.DUMMYFUNCTION("""COMPUTED_VALUE"""),2.0)</f>
        <v>2</v>
      </c>
      <c r="C269" s="4" t="str">
        <f>IFERROR(__xludf.DUMMYFUNCTION("""COMPUTED_VALUE"""),"HOU")</f>
        <v>HOU</v>
      </c>
      <c r="D269" s="4" t="str">
        <f>IFERROR(__xludf.DUMMYFUNCTION("""COMPUTED_VALUE"""),"Jalen Green")</f>
        <v>Jalen Green</v>
      </c>
      <c r="E269" s="4"/>
      <c r="F269" s="4">
        <f>IFERROR(__xludf.DUMMYFUNCTION("""COMPUTED_VALUE"""),5.0)</f>
        <v>5</v>
      </c>
      <c r="G269" s="4">
        <f>IFERROR(__xludf.DUMMYFUNCTION("""COMPUTED_VALUE"""),309.0)</f>
        <v>309</v>
      </c>
      <c r="H269" s="4">
        <f>IFERROR(__xludf.DUMMYFUNCTION("""COMPUTED_VALUE"""),10068.0)</f>
        <v>10068</v>
      </c>
      <c r="I269" s="4">
        <f>IFERROR(__xludf.DUMMYFUNCTION("""COMPUTED_VALUE"""),6204.0)</f>
        <v>6204</v>
      </c>
      <c r="J269" s="4">
        <f>IFERROR(__xludf.DUMMYFUNCTION("""COMPUTED_VALUE"""),1314.0)</f>
        <v>1314</v>
      </c>
      <c r="K269" s="4">
        <f>IFERROR(__xludf.DUMMYFUNCTION("""COMPUTED_VALUE"""),1034.0)</f>
        <v>1034</v>
      </c>
      <c r="L269" s="4">
        <f>IFERROR(__xludf.DUMMYFUNCTION("""COMPUTED_VALUE"""),0.422)</f>
        <v>0.422</v>
      </c>
      <c r="M269" s="4">
        <f>IFERROR(__xludf.DUMMYFUNCTION("""COMPUTED_VALUE"""),0.342)</f>
        <v>0.342</v>
      </c>
      <c r="N269" s="4">
        <f>IFERROR(__xludf.DUMMYFUNCTION("""COMPUTED_VALUE"""),0.798)</f>
        <v>0.798</v>
      </c>
      <c r="O269" s="4">
        <f>IFERROR(__xludf.DUMMYFUNCTION("""COMPUTED_VALUE"""),32.6)</f>
        <v>32.6</v>
      </c>
      <c r="P269" s="4">
        <f>IFERROR(__xludf.DUMMYFUNCTION("""COMPUTED_VALUE"""),20.1)</f>
        <v>20.1</v>
      </c>
      <c r="Q269" s="4">
        <f>IFERROR(__xludf.DUMMYFUNCTION("""COMPUTED_VALUE"""),4.3)</f>
        <v>4.3</v>
      </c>
      <c r="R269" s="4">
        <f>IFERROR(__xludf.DUMMYFUNCTION("""COMPUTED_VALUE"""),3.3)</f>
        <v>3.3</v>
      </c>
      <c r="S269" s="4">
        <f>IFERROR(__xludf.DUMMYFUNCTION("""COMPUTED_VALUE"""),10.8)</f>
        <v>10.8</v>
      </c>
      <c r="T269" s="4">
        <f>IFERROR(__xludf.DUMMYFUNCTION("""COMPUTED_VALUE"""),0.052)</f>
        <v>0.052</v>
      </c>
      <c r="U269" s="4">
        <f>IFERROR(__xludf.DUMMYFUNCTION("""COMPUTED_VALUE"""),-1.1)</f>
        <v>-1.1</v>
      </c>
      <c r="V269" s="4">
        <f>IFERROR(__xludf.DUMMYFUNCTION("""COMPUTED_VALUE"""),2.3)</f>
        <v>2.3</v>
      </c>
    </row>
    <row r="270">
      <c r="A270" s="4">
        <f>IFERROR(__xludf.DUMMYFUNCTION("""COMPUTED_VALUE"""),3.0)</f>
        <v>3</v>
      </c>
      <c r="B270" s="4">
        <f>IFERROR(__xludf.DUMMYFUNCTION("""COMPUTED_VALUE"""),3.0)</f>
        <v>3</v>
      </c>
      <c r="C270" s="4" t="str">
        <f>IFERROR(__xludf.DUMMYFUNCTION("""COMPUTED_VALUE"""),"CLE")</f>
        <v>CLE</v>
      </c>
      <c r="D270" s="4" t="str">
        <f>IFERROR(__xludf.DUMMYFUNCTION("""COMPUTED_VALUE"""),"Evan Mobley")</f>
        <v>Evan Mobley</v>
      </c>
      <c r="E270" s="4" t="str">
        <f>IFERROR(__xludf.DUMMYFUNCTION("""COMPUTED_VALUE"""),"USC")</f>
        <v>USC</v>
      </c>
      <c r="F270" s="4">
        <f>IFERROR(__xludf.DUMMYFUNCTION("""COMPUTED_VALUE"""),5.0)</f>
        <v>5</v>
      </c>
      <c r="G270" s="4">
        <f>IFERROR(__xludf.DUMMYFUNCTION("""COMPUTED_VALUE"""),290.0)</f>
        <v>290</v>
      </c>
      <c r="H270" s="4">
        <f>IFERROR(__xludf.DUMMYFUNCTION("""COMPUTED_VALUE"""),9461.0)</f>
        <v>9461</v>
      </c>
      <c r="I270" s="4">
        <f>IFERROR(__xludf.DUMMYFUNCTION("""COMPUTED_VALUE"""),4808.0)</f>
        <v>4808</v>
      </c>
      <c r="J270" s="4">
        <f>IFERROR(__xludf.DUMMYFUNCTION("""COMPUTED_VALUE"""),2597.0)</f>
        <v>2597</v>
      </c>
      <c r="K270" s="4">
        <f>IFERROR(__xludf.DUMMYFUNCTION("""COMPUTED_VALUE"""),870.0)</f>
        <v>870</v>
      </c>
      <c r="L270" s="4">
        <f>IFERROR(__xludf.DUMMYFUNCTION("""COMPUTED_VALUE"""),0.544)</f>
        <v>0.544</v>
      </c>
      <c r="M270" s="4">
        <f>IFERROR(__xludf.DUMMYFUNCTION("""COMPUTED_VALUE"""),0.323)</f>
        <v>0.323</v>
      </c>
      <c r="N270" s="4">
        <f>IFERROR(__xludf.DUMMYFUNCTION("""COMPUTED_VALUE"""),0.685)</f>
        <v>0.685</v>
      </c>
      <c r="O270" s="4">
        <f>IFERROR(__xludf.DUMMYFUNCTION("""COMPUTED_VALUE"""),32.6)</f>
        <v>32.6</v>
      </c>
      <c r="P270" s="4">
        <f>IFERROR(__xludf.DUMMYFUNCTION("""COMPUTED_VALUE"""),16.6)</f>
        <v>16.6</v>
      </c>
      <c r="Q270" s="4">
        <f>IFERROR(__xludf.DUMMYFUNCTION("""COMPUTED_VALUE"""),9.0)</f>
        <v>9</v>
      </c>
      <c r="R270" s="4">
        <f>IFERROR(__xludf.DUMMYFUNCTION("""COMPUTED_VALUE"""),3.0)</f>
        <v>3</v>
      </c>
      <c r="S270" s="4">
        <f>IFERROR(__xludf.DUMMYFUNCTION("""COMPUTED_VALUE"""),30.2)</f>
        <v>30.2</v>
      </c>
      <c r="T270" s="4">
        <f>IFERROR(__xludf.DUMMYFUNCTION("""COMPUTED_VALUE"""),0.153)</f>
        <v>0.153</v>
      </c>
      <c r="U270" s="4">
        <f>IFERROR(__xludf.DUMMYFUNCTION("""COMPUTED_VALUE"""),2.3)</f>
        <v>2.3</v>
      </c>
      <c r="V270" s="4">
        <f>IFERROR(__xludf.DUMMYFUNCTION("""COMPUTED_VALUE"""),10.3)</f>
        <v>10.3</v>
      </c>
    </row>
    <row r="271">
      <c r="A271" s="4">
        <f>IFERROR(__xludf.DUMMYFUNCTION("""COMPUTED_VALUE"""),4.0)</f>
        <v>4</v>
      </c>
      <c r="B271" s="4">
        <f>IFERROR(__xludf.DUMMYFUNCTION("""COMPUTED_VALUE"""),4.0)</f>
        <v>4</v>
      </c>
      <c r="C271" s="4" t="str">
        <f>IFERROR(__xludf.DUMMYFUNCTION("""COMPUTED_VALUE"""),"TOR")</f>
        <v>TOR</v>
      </c>
      <c r="D271" s="4" t="str">
        <f>IFERROR(__xludf.DUMMYFUNCTION("""COMPUTED_VALUE"""),"Scottie Barnes")</f>
        <v>Scottie Barnes</v>
      </c>
      <c r="E271" s="4" t="str">
        <f>IFERROR(__xludf.DUMMYFUNCTION("""COMPUTED_VALUE"""),"Florida State")</f>
        <v>Florida State</v>
      </c>
      <c r="F271" s="4">
        <f>IFERROR(__xludf.DUMMYFUNCTION("""COMPUTED_VALUE"""),5.0)</f>
        <v>5</v>
      </c>
      <c r="G271" s="4">
        <f>IFERROR(__xludf.DUMMYFUNCTION("""COMPUTED_VALUE"""),298.0)</f>
        <v>298</v>
      </c>
      <c r="H271" s="4">
        <f>IFERROR(__xludf.DUMMYFUNCTION("""COMPUTED_VALUE"""),10262.0)</f>
        <v>10262</v>
      </c>
      <c r="I271" s="4">
        <f>IFERROR(__xludf.DUMMYFUNCTION("""COMPUTED_VALUE"""),5202.0)</f>
        <v>5202</v>
      </c>
      <c r="J271" s="4">
        <f>IFERROR(__xludf.DUMMYFUNCTION("""COMPUTED_VALUE"""),2239.0)</f>
        <v>2239</v>
      </c>
      <c r="K271" s="4">
        <f>IFERROR(__xludf.DUMMYFUNCTION("""COMPUTED_VALUE"""),1479.0)</f>
        <v>1479</v>
      </c>
      <c r="L271" s="4">
        <f>IFERROR(__xludf.DUMMYFUNCTION("""COMPUTED_VALUE"""),0.47)</f>
        <v>0.47</v>
      </c>
      <c r="M271" s="4">
        <f>IFERROR(__xludf.DUMMYFUNCTION("""COMPUTED_VALUE"""),0.308)</f>
        <v>0.308</v>
      </c>
      <c r="N271" s="4">
        <f>IFERROR(__xludf.DUMMYFUNCTION("""COMPUTED_VALUE"""),0.768)</f>
        <v>0.768</v>
      </c>
      <c r="O271" s="4">
        <f>IFERROR(__xludf.DUMMYFUNCTION("""COMPUTED_VALUE"""),34.4)</f>
        <v>34.4</v>
      </c>
      <c r="P271" s="4">
        <f>IFERROR(__xludf.DUMMYFUNCTION("""COMPUTED_VALUE"""),17.5)</f>
        <v>17.5</v>
      </c>
      <c r="Q271" s="4">
        <f>IFERROR(__xludf.DUMMYFUNCTION("""COMPUTED_VALUE"""),7.5)</f>
        <v>7.5</v>
      </c>
      <c r="R271" s="4">
        <f>IFERROR(__xludf.DUMMYFUNCTION("""COMPUTED_VALUE"""),5.0)</f>
        <v>5</v>
      </c>
      <c r="S271" s="4">
        <f>IFERROR(__xludf.DUMMYFUNCTION("""COMPUTED_VALUE"""),22.0)</f>
        <v>22</v>
      </c>
      <c r="T271" s="4">
        <f>IFERROR(__xludf.DUMMYFUNCTION("""COMPUTED_VALUE"""),0.103)</f>
        <v>0.103</v>
      </c>
      <c r="U271" s="4">
        <f>IFERROR(__xludf.DUMMYFUNCTION("""COMPUTED_VALUE"""),1.9)</f>
        <v>1.9</v>
      </c>
      <c r="V271" s="4">
        <f>IFERROR(__xludf.DUMMYFUNCTION("""COMPUTED_VALUE"""),10.2)</f>
        <v>10.2</v>
      </c>
    </row>
    <row r="272">
      <c r="A272" s="4">
        <f>IFERROR(__xludf.DUMMYFUNCTION("""COMPUTED_VALUE"""),5.0)</f>
        <v>5</v>
      </c>
      <c r="B272" s="4">
        <f>IFERROR(__xludf.DUMMYFUNCTION("""COMPUTED_VALUE"""),5.0)</f>
        <v>5</v>
      </c>
      <c r="C272" s="4" t="str">
        <f>IFERROR(__xludf.DUMMYFUNCTION("""COMPUTED_VALUE"""),"ORL")</f>
        <v>ORL</v>
      </c>
      <c r="D272" s="4" t="str">
        <f>IFERROR(__xludf.DUMMYFUNCTION("""COMPUTED_VALUE"""),"Jalen Suggs")</f>
        <v>Jalen Suggs</v>
      </c>
      <c r="E272" s="4" t="str">
        <f>IFERROR(__xludf.DUMMYFUNCTION("""COMPUTED_VALUE"""),"Gonzaga")</f>
        <v>Gonzaga</v>
      </c>
      <c r="F272" s="4">
        <f>IFERROR(__xludf.DUMMYFUNCTION("""COMPUTED_VALUE"""),5.0)</f>
        <v>5</v>
      </c>
      <c r="G272" s="4">
        <f>IFERROR(__xludf.DUMMYFUNCTION("""COMPUTED_VALUE"""),227.0)</f>
        <v>227</v>
      </c>
      <c r="H272" s="4">
        <f>IFERROR(__xludf.DUMMYFUNCTION("""COMPUTED_VALUE"""),5970.0)</f>
        <v>5970</v>
      </c>
      <c r="I272" s="4">
        <f>IFERROR(__xludf.DUMMYFUNCTION("""COMPUTED_VALUE"""),2813.0)</f>
        <v>2813</v>
      </c>
      <c r="J272" s="4">
        <f>IFERROR(__xludf.DUMMYFUNCTION("""COMPUTED_VALUE"""),765.0)</f>
        <v>765</v>
      </c>
      <c r="K272" s="4">
        <f>IFERROR(__xludf.DUMMYFUNCTION("""COMPUTED_VALUE"""),774.0)</f>
        <v>774</v>
      </c>
      <c r="L272" s="4">
        <f>IFERROR(__xludf.DUMMYFUNCTION("""COMPUTED_VALUE"""),0.422)</f>
        <v>0.422</v>
      </c>
      <c r="M272" s="4">
        <f>IFERROR(__xludf.DUMMYFUNCTION("""COMPUTED_VALUE"""),0.328)</f>
        <v>0.328</v>
      </c>
      <c r="N272" s="4">
        <f>IFERROR(__xludf.DUMMYFUNCTION("""COMPUTED_VALUE"""),0.79)</f>
        <v>0.79</v>
      </c>
      <c r="O272" s="4">
        <f>IFERROR(__xludf.DUMMYFUNCTION("""COMPUTED_VALUE"""),26.3)</f>
        <v>26.3</v>
      </c>
      <c r="P272" s="4">
        <f>IFERROR(__xludf.DUMMYFUNCTION("""COMPUTED_VALUE"""),12.4)</f>
        <v>12.4</v>
      </c>
      <c r="Q272" s="4">
        <f>IFERROR(__xludf.DUMMYFUNCTION("""COMPUTED_VALUE"""),3.4)</f>
        <v>3.4</v>
      </c>
      <c r="R272" s="4">
        <f>IFERROR(__xludf.DUMMYFUNCTION("""COMPUTED_VALUE"""),3.4)</f>
        <v>3.4</v>
      </c>
      <c r="S272" s="4">
        <f>IFERROR(__xludf.DUMMYFUNCTION("""COMPUTED_VALUE"""),6.6)</f>
        <v>6.6</v>
      </c>
      <c r="T272" s="4">
        <f>IFERROR(__xludf.DUMMYFUNCTION("""COMPUTED_VALUE"""),0.053)</f>
        <v>0.053</v>
      </c>
      <c r="U272" s="4">
        <f>IFERROR(__xludf.DUMMYFUNCTION("""COMPUTED_VALUE"""),-0.8)</f>
        <v>-0.8</v>
      </c>
      <c r="V272" s="4">
        <f>IFERROR(__xludf.DUMMYFUNCTION("""COMPUTED_VALUE"""),1.8)</f>
        <v>1.8</v>
      </c>
    </row>
    <row r="273">
      <c r="A273" s="4">
        <f>IFERROR(__xludf.DUMMYFUNCTION("""COMPUTED_VALUE"""),6.0)</f>
        <v>6</v>
      </c>
      <c r="B273" s="4">
        <f>IFERROR(__xludf.DUMMYFUNCTION("""COMPUTED_VALUE"""),6.0)</f>
        <v>6</v>
      </c>
      <c r="C273" s="4" t="str">
        <f>IFERROR(__xludf.DUMMYFUNCTION("""COMPUTED_VALUE"""),"OKC")</f>
        <v>OKC</v>
      </c>
      <c r="D273" s="4" t="str">
        <f>IFERROR(__xludf.DUMMYFUNCTION("""COMPUTED_VALUE"""),"Josh Giddey")</f>
        <v>Josh Giddey</v>
      </c>
      <c r="E273" s="4"/>
      <c r="F273" s="4">
        <f>IFERROR(__xludf.DUMMYFUNCTION("""COMPUTED_VALUE"""),5.0)</f>
        <v>5</v>
      </c>
      <c r="G273" s="4">
        <f>IFERROR(__xludf.DUMMYFUNCTION("""COMPUTED_VALUE"""),298.0)</f>
        <v>298</v>
      </c>
      <c r="H273" s="4">
        <f>IFERROR(__xludf.DUMMYFUNCTION("""COMPUTED_VALUE"""),8808.0)</f>
        <v>8808</v>
      </c>
      <c r="I273" s="4">
        <f>IFERROR(__xludf.DUMMYFUNCTION("""COMPUTED_VALUE"""),4313.0)</f>
        <v>4313</v>
      </c>
      <c r="J273" s="4">
        <f>IFERROR(__xludf.DUMMYFUNCTION("""COMPUTED_VALUE"""),2279.0)</f>
        <v>2279</v>
      </c>
      <c r="K273" s="4">
        <f>IFERROR(__xludf.DUMMYFUNCTION("""COMPUTED_VALUE"""),1867.0)</f>
        <v>1867</v>
      </c>
      <c r="L273" s="4">
        <f>IFERROR(__xludf.DUMMYFUNCTION("""COMPUTED_VALUE"""),0.465)</f>
        <v>0.465</v>
      </c>
      <c r="M273" s="4">
        <f>IFERROR(__xludf.DUMMYFUNCTION("""COMPUTED_VALUE"""),0.335)</f>
        <v>0.335</v>
      </c>
      <c r="N273" s="4">
        <f>IFERROR(__xludf.DUMMYFUNCTION("""COMPUTED_VALUE"""),0.76)</f>
        <v>0.76</v>
      </c>
      <c r="O273" s="4">
        <f>IFERROR(__xludf.DUMMYFUNCTION("""COMPUTED_VALUE"""),29.6)</f>
        <v>29.6</v>
      </c>
      <c r="P273" s="4">
        <f>IFERROR(__xludf.DUMMYFUNCTION("""COMPUTED_VALUE"""),14.5)</f>
        <v>14.5</v>
      </c>
      <c r="Q273" s="4">
        <f>IFERROR(__xludf.DUMMYFUNCTION("""COMPUTED_VALUE"""),7.6)</f>
        <v>7.6</v>
      </c>
      <c r="R273" s="4">
        <f>IFERROR(__xludf.DUMMYFUNCTION("""COMPUTED_VALUE"""),6.3)</f>
        <v>6.3</v>
      </c>
      <c r="S273" s="4">
        <f>IFERROR(__xludf.DUMMYFUNCTION("""COMPUTED_VALUE"""),15.5)</f>
        <v>15.5</v>
      </c>
      <c r="T273" s="4">
        <f>IFERROR(__xludf.DUMMYFUNCTION("""COMPUTED_VALUE"""),0.085)</f>
        <v>0.085</v>
      </c>
      <c r="U273" s="4">
        <f>IFERROR(__xludf.DUMMYFUNCTION("""COMPUTED_VALUE"""),1.5)</f>
        <v>1.5</v>
      </c>
      <c r="V273" s="4">
        <f>IFERROR(__xludf.DUMMYFUNCTION("""COMPUTED_VALUE"""),7.7)</f>
        <v>7.7</v>
      </c>
    </row>
    <row r="274">
      <c r="A274" s="4">
        <f>IFERROR(__xludf.DUMMYFUNCTION("""COMPUTED_VALUE"""),7.0)</f>
        <v>7</v>
      </c>
      <c r="B274" s="4">
        <f>IFERROR(__xludf.DUMMYFUNCTION("""COMPUTED_VALUE"""),7.0)</f>
        <v>7</v>
      </c>
      <c r="C274" s="4" t="str">
        <f>IFERROR(__xludf.DUMMYFUNCTION("""COMPUTED_VALUE"""),"GSW")</f>
        <v>GSW</v>
      </c>
      <c r="D274" s="4" t="str">
        <f>IFERROR(__xludf.DUMMYFUNCTION("""COMPUTED_VALUE"""),"Jonathan Kuminga")</f>
        <v>Jonathan Kuminga</v>
      </c>
      <c r="E274" s="4"/>
      <c r="F274" s="4">
        <f>IFERROR(__xludf.DUMMYFUNCTION("""COMPUTED_VALUE"""),5.0)</f>
        <v>5</v>
      </c>
      <c r="G274" s="4">
        <f>IFERROR(__xludf.DUMMYFUNCTION("""COMPUTED_VALUE"""),273.0)</f>
        <v>273</v>
      </c>
      <c r="H274" s="4">
        <f>IFERROR(__xludf.DUMMYFUNCTION("""COMPUTED_VALUE"""),6066.0)</f>
        <v>6066</v>
      </c>
      <c r="I274" s="4">
        <f>IFERROR(__xludf.DUMMYFUNCTION("""COMPUTED_VALUE"""),3422.0)</f>
        <v>3422</v>
      </c>
      <c r="J274" s="4">
        <f>IFERROR(__xludf.DUMMYFUNCTION("""COMPUTED_VALUE"""),1131.0)</f>
        <v>1131</v>
      </c>
      <c r="K274" s="4">
        <f>IFERROR(__xludf.DUMMYFUNCTION("""COMPUTED_VALUE"""),496.0)</f>
        <v>496</v>
      </c>
      <c r="L274" s="4">
        <f>IFERROR(__xludf.DUMMYFUNCTION("""COMPUTED_VALUE"""),0.505)</f>
        <v>0.505</v>
      </c>
      <c r="M274" s="4">
        <f>IFERROR(__xludf.DUMMYFUNCTION("""COMPUTED_VALUE"""),0.332)</f>
        <v>0.332</v>
      </c>
      <c r="N274" s="4">
        <f>IFERROR(__xludf.DUMMYFUNCTION("""COMPUTED_VALUE"""),0.7)</f>
        <v>0.7</v>
      </c>
      <c r="O274" s="4">
        <f>IFERROR(__xludf.DUMMYFUNCTION("""COMPUTED_VALUE"""),22.2)</f>
        <v>22.2</v>
      </c>
      <c r="P274" s="4">
        <f>IFERROR(__xludf.DUMMYFUNCTION("""COMPUTED_VALUE"""),12.5)</f>
        <v>12.5</v>
      </c>
      <c r="Q274" s="4">
        <f>IFERROR(__xludf.DUMMYFUNCTION("""COMPUTED_VALUE"""),4.1)</f>
        <v>4.1</v>
      </c>
      <c r="R274" s="4">
        <f>IFERROR(__xludf.DUMMYFUNCTION("""COMPUTED_VALUE"""),1.8)</f>
        <v>1.8</v>
      </c>
      <c r="S274" s="4">
        <f>IFERROR(__xludf.DUMMYFUNCTION("""COMPUTED_VALUE"""),12.3)</f>
        <v>12.3</v>
      </c>
      <c r="T274" s="4">
        <f>IFERROR(__xludf.DUMMYFUNCTION("""COMPUTED_VALUE"""),0.097)</f>
        <v>0.097</v>
      </c>
      <c r="U274" s="4">
        <f>IFERROR(__xludf.DUMMYFUNCTION("""COMPUTED_VALUE"""),-1.2)</f>
        <v>-1.2</v>
      </c>
      <c r="V274" s="4">
        <f>IFERROR(__xludf.DUMMYFUNCTION("""COMPUTED_VALUE"""),1.3)</f>
        <v>1.3</v>
      </c>
    </row>
    <row r="275">
      <c r="A275" s="4">
        <f>IFERROR(__xludf.DUMMYFUNCTION("""COMPUTED_VALUE"""),8.0)</f>
        <v>8</v>
      </c>
      <c r="B275" s="4">
        <f>IFERROR(__xludf.DUMMYFUNCTION("""COMPUTED_VALUE"""),8.0)</f>
        <v>8</v>
      </c>
      <c r="C275" s="4" t="str">
        <f>IFERROR(__xludf.DUMMYFUNCTION("""COMPUTED_VALUE"""),"ORL")</f>
        <v>ORL</v>
      </c>
      <c r="D275" s="4" t="str">
        <f>IFERROR(__xludf.DUMMYFUNCTION("""COMPUTED_VALUE"""),"Franz Wagner")</f>
        <v>Franz Wagner</v>
      </c>
      <c r="E275" s="4" t="str">
        <f>IFERROR(__xludf.DUMMYFUNCTION("""COMPUTED_VALUE"""),"Michigan")</f>
        <v>Michigan</v>
      </c>
      <c r="F275" s="4">
        <f>IFERROR(__xludf.DUMMYFUNCTION("""COMPUTED_VALUE"""),5.0)</f>
        <v>5</v>
      </c>
      <c r="G275" s="4">
        <f>IFERROR(__xludf.DUMMYFUNCTION("""COMPUTED_VALUE"""),312.0)</f>
        <v>312</v>
      </c>
      <c r="H275" s="4">
        <f>IFERROR(__xludf.DUMMYFUNCTION("""COMPUTED_VALUE"""),10122.0)</f>
        <v>10122</v>
      </c>
      <c r="I275" s="4">
        <f>IFERROR(__xludf.DUMMYFUNCTION("""COMPUTED_VALUE"""),6033.0)</f>
        <v>6033</v>
      </c>
      <c r="J275" s="4">
        <f>IFERROR(__xludf.DUMMYFUNCTION("""COMPUTED_VALUE"""),1542.0)</f>
        <v>1542</v>
      </c>
      <c r="K275" s="4">
        <f>IFERROR(__xludf.DUMMYFUNCTION("""COMPUTED_VALUE"""),1145.0)</f>
        <v>1145</v>
      </c>
      <c r="L275" s="4">
        <f>IFERROR(__xludf.DUMMYFUNCTION("""COMPUTED_VALUE"""),0.475)</f>
        <v>0.475</v>
      </c>
      <c r="M275" s="4">
        <f>IFERROR(__xludf.DUMMYFUNCTION("""COMPUTED_VALUE"""),0.323)</f>
        <v>0.323</v>
      </c>
      <c r="N275" s="4">
        <f>IFERROR(__xludf.DUMMYFUNCTION("""COMPUTED_VALUE"""),0.852)</f>
        <v>0.852</v>
      </c>
      <c r="O275" s="4">
        <f>IFERROR(__xludf.DUMMYFUNCTION("""COMPUTED_VALUE"""),32.4)</f>
        <v>32.4</v>
      </c>
      <c r="P275" s="4">
        <f>IFERROR(__xludf.DUMMYFUNCTION("""COMPUTED_VALUE"""),19.3)</f>
        <v>19.3</v>
      </c>
      <c r="Q275" s="4">
        <f>IFERROR(__xludf.DUMMYFUNCTION("""COMPUTED_VALUE"""),4.9)</f>
        <v>4.9</v>
      </c>
      <c r="R275" s="4">
        <f>IFERROR(__xludf.DUMMYFUNCTION("""COMPUTED_VALUE"""),3.7)</f>
        <v>3.7</v>
      </c>
      <c r="S275" s="4">
        <f>IFERROR(__xludf.DUMMYFUNCTION("""COMPUTED_VALUE"""),23.9)</f>
        <v>23.9</v>
      </c>
      <c r="T275" s="4">
        <f>IFERROR(__xludf.DUMMYFUNCTION("""COMPUTED_VALUE"""),0.113)</f>
        <v>0.113</v>
      </c>
      <c r="U275" s="4">
        <f>IFERROR(__xludf.DUMMYFUNCTION("""COMPUTED_VALUE"""),0.9)</f>
        <v>0.9</v>
      </c>
      <c r="V275" s="4">
        <f>IFERROR(__xludf.DUMMYFUNCTION("""COMPUTED_VALUE"""),7.4)</f>
        <v>7.4</v>
      </c>
    </row>
    <row r="276">
      <c r="A276" s="4">
        <f>IFERROR(__xludf.DUMMYFUNCTION("""COMPUTED_VALUE"""),9.0)</f>
        <v>9</v>
      </c>
      <c r="B276" s="4">
        <f>IFERROR(__xludf.DUMMYFUNCTION("""COMPUTED_VALUE"""),9.0)</f>
        <v>9</v>
      </c>
      <c r="C276" s="4" t="str">
        <f>IFERROR(__xludf.DUMMYFUNCTION("""COMPUTED_VALUE"""),"SAC")</f>
        <v>SAC</v>
      </c>
      <c r="D276" s="4" t="str">
        <f>IFERROR(__xludf.DUMMYFUNCTION("""COMPUTED_VALUE"""),"Davion Mitchell")</f>
        <v>Davion Mitchell</v>
      </c>
      <c r="E276" s="4" t="str">
        <f>IFERROR(__xludf.DUMMYFUNCTION("""COMPUTED_VALUE"""),"Baylor")</f>
        <v>Baylor</v>
      </c>
      <c r="F276" s="4">
        <f>IFERROR(__xludf.DUMMYFUNCTION("""COMPUTED_VALUE"""),5.0)</f>
        <v>5</v>
      </c>
      <c r="G276" s="4">
        <f>IFERROR(__xludf.DUMMYFUNCTION("""COMPUTED_VALUE"""),322.0)</f>
        <v>322</v>
      </c>
      <c r="H276" s="4">
        <f>IFERROR(__xludf.DUMMYFUNCTION("""COMPUTED_VALUE"""),7285.0)</f>
        <v>7285</v>
      </c>
      <c r="I276" s="4">
        <f>IFERROR(__xludf.DUMMYFUNCTION("""COMPUTED_VALUE"""),2488.0)</f>
        <v>2488</v>
      </c>
      <c r="J276" s="4">
        <f>IFERROR(__xludf.DUMMYFUNCTION("""COMPUTED_VALUE"""),593.0)</f>
        <v>593</v>
      </c>
      <c r="K276" s="4">
        <f>IFERROR(__xludf.DUMMYFUNCTION("""COMPUTED_VALUE"""),1158.0)</f>
        <v>1158</v>
      </c>
      <c r="L276" s="4">
        <f>IFERROR(__xludf.DUMMYFUNCTION("""COMPUTED_VALUE"""),0.447)</f>
        <v>0.447</v>
      </c>
      <c r="M276" s="4">
        <f>IFERROR(__xludf.DUMMYFUNCTION("""COMPUTED_VALUE"""),0.348)</f>
        <v>0.348</v>
      </c>
      <c r="N276" s="4">
        <f>IFERROR(__xludf.DUMMYFUNCTION("""COMPUTED_VALUE"""),0.688)</f>
        <v>0.688</v>
      </c>
      <c r="O276" s="4">
        <f>IFERROR(__xludf.DUMMYFUNCTION("""COMPUTED_VALUE"""),22.6)</f>
        <v>22.6</v>
      </c>
      <c r="P276" s="4">
        <f>IFERROR(__xludf.DUMMYFUNCTION("""COMPUTED_VALUE"""),7.7)</f>
        <v>7.7</v>
      </c>
      <c r="Q276" s="4">
        <f>IFERROR(__xludf.DUMMYFUNCTION("""COMPUTED_VALUE"""),1.8)</f>
        <v>1.8</v>
      </c>
      <c r="R276" s="4">
        <f>IFERROR(__xludf.DUMMYFUNCTION("""COMPUTED_VALUE"""),3.6)</f>
        <v>3.6</v>
      </c>
      <c r="S276" s="4">
        <f>IFERROR(__xludf.DUMMYFUNCTION("""COMPUTED_VALUE"""),7.9)</f>
        <v>7.9</v>
      </c>
      <c r="T276" s="4">
        <f>IFERROR(__xludf.DUMMYFUNCTION("""COMPUTED_VALUE"""),0.052)</f>
        <v>0.052</v>
      </c>
      <c r="U276" s="4">
        <f>IFERROR(__xludf.DUMMYFUNCTION("""COMPUTED_VALUE"""),-2.8)</f>
        <v>-2.8</v>
      </c>
      <c r="V276" s="4">
        <f>IFERROR(__xludf.DUMMYFUNCTION("""COMPUTED_VALUE"""),-1.5)</f>
        <v>-1.5</v>
      </c>
    </row>
    <row r="277">
      <c r="A277" s="4">
        <f>IFERROR(__xludf.DUMMYFUNCTION("""COMPUTED_VALUE"""),10.0)</f>
        <v>10</v>
      </c>
      <c r="B277" s="4">
        <f>IFERROR(__xludf.DUMMYFUNCTION("""COMPUTED_VALUE"""),10.0)</f>
        <v>10</v>
      </c>
      <c r="C277" s="4" t="str">
        <f>IFERROR(__xludf.DUMMYFUNCTION("""COMPUTED_VALUE"""),"NOP")</f>
        <v>NOP</v>
      </c>
      <c r="D277" s="4" t="str">
        <f>IFERROR(__xludf.DUMMYFUNCTION("""COMPUTED_VALUE"""),"Ziaire Williams")</f>
        <v>Ziaire Williams</v>
      </c>
      <c r="E277" s="4" t="str">
        <f>IFERROR(__xludf.DUMMYFUNCTION("""COMPUTED_VALUE"""),"Stanford")</f>
        <v>Stanford</v>
      </c>
      <c r="F277" s="4">
        <f>IFERROR(__xludf.DUMMYFUNCTION("""COMPUTED_VALUE"""),5.0)</f>
        <v>5</v>
      </c>
      <c r="G277" s="4">
        <f>IFERROR(__xludf.DUMMYFUNCTION("""COMPUTED_VALUE"""),230.0)</f>
        <v>230</v>
      </c>
      <c r="H277" s="4">
        <f>IFERROR(__xludf.DUMMYFUNCTION("""COMPUTED_VALUE"""),4877.0)</f>
        <v>4877</v>
      </c>
      <c r="I277" s="4">
        <f>IFERROR(__xludf.DUMMYFUNCTION("""COMPUTED_VALUE"""),1915.0)</f>
        <v>1915</v>
      </c>
      <c r="J277" s="4">
        <f>IFERROR(__xludf.DUMMYFUNCTION("""COMPUTED_VALUE"""),723.0)</f>
        <v>723</v>
      </c>
      <c r="K277" s="4">
        <f>IFERROR(__xludf.DUMMYFUNCTION("""COMPUTED_VALUE"""),271.0)</f>
        <v>271</v>
      </c>
      <c r="L277" s="4">
        <f>IFERROR(__xludf.DUMMYFUNCTION("""COMPUTED_VALUE"""),0.418)</f>
        <v>0.418</v>
      </c>
      <c r="M277" s="4">
        <f>IFERROR(__xludf.DUMMYFUNCTION("""COMPUTED_VALUE"""),0.314)</f>
        <v>0.314</v>
      </c>
      <c r="N277" s="4">
        <f>IFERROR(__xludf.DUMMYFUNCTION("""COMPUTED_VALUE"""),0.816)</f>
        <v>0.816</v>
      </c>
      <c r="O277" s="4">
        <f>IFERROR(__xludf.DUMMYFUNCTION("""COMPUTED_VALUE"""),21.2)</f>
        <v>21.2</v>
      </c>
      <c r="P277" s="4">
        <f>IFERROR(__xludf.DUMMYFUNCTION("""COMPUTED_VALUE"""),8.3)</f>
        <v>8.3</v>
      </c>
      <c r="Q277" s="4">
        <f>IFERROR(__xludf.DUMMYFUNCTION("""COMPUTED_VALUE"""),3.1)</f>
        <v>3.1</v>
      </c>
      <c r="R277" s="4">
        <f>IFERROR(__xludf.DUMMYFUNCTION("""COMPUTED_VALUE"""),1.2)</f>
        <v>1.2</v>
      </c>
      <c r="S277" s="4">
        <f>IFERROR(__xludf.DUMMYFUNCTION("""COMPUTED_VALUE"""),4.7)</f>
        <v>4.7</v>
      </c>
      <c r="T277" s="4">
        <f>IFERROR(__xludf.DUMMYFUNCTION("""COMPUTED_VALUE"""),0.046)</f>
        <v>0.046</v>
      </c>
      <c r="U277" s="4">
        <f>IFERROR(__xludf.DUMMYFUNCTION("""COMPUTED_VALUE"""),-3.5)</f>
        <v>-3.5</v>
      </c>
      <c r="V277" s="4">
        <f>IFERROR(__xludf.DUMMYFUNCTION("""COMPUTED_VALUE"""),-1.9)</f>
        <v>-1.9</v>
      </c>
    </row>
    <row r="278">
      <c r="A278" s="4">
        <f>IFERROR(__xludf.DUMMYFUNCTION("""COMPUTED_VALUE"""),11.0)</f>
        <v>11</v>
      </c>
      <c r="B278" s="4">
        <f>IFERROR(__xludf.DUMMYFUNCTION("""COMPUTED_VALUE"""),11.0)</f>
        <v>11</v>
      </c>
      <c r="C278" s="4" t="str">
        <f>IFERROR(__xludf.DUMMYFUNCTION("""COMPUTED_VALUE"""),"CHO")</f>
        <v>CHO</v>
      </c>
      <c r="D278" s="4" t="str">
        <f>IFERROR(__xludf.DUMMYFUNCTION("""COMPUTED_VALUE"""),"James Bouknight")</f>
        <v>James Bouknight</v>
      </c>
      <c r="E278" s="4" t="str">
        <f>IFERROR(__xludf.DUMMYFUNCTION("""COMPUTED_VALUE"""),"UConn")</f>
        <v>UConn</v>
      </c>
      <c r="F278" s="4">
        <f>IFERROR(__xludf.DUMMYFUNCTION("""COMPUTED_VALUE"""),3.0)</f>
        <v>3</v>
      </c>
      <c r="G278" s="4">
        <f>IFERROR(__xludf.DUMMYFUNCTION("""COMPUTED_VALUE"""),79.0)</f>
        <v>79</v>
      </c>
      <c r="H278" s="4">
        <f>IFERROR(__xludf.DUMMYFUNCTION("""COMPUTED_VALUE"""),900.0)</f>
        <v>900</v>
      </c>
      <c r="I278" s="4">
        <f>IFERROR(__xludf.DUMMYFUNCTION("""COMPUTED_VALUE"""),383.0)</f>
        <v>383</v>
      </c>
      <c r="J278" s="4">
        <f>IFERROR(__xludf.DUMMYFUNCTION("""COMPUTED_VALUE"""),133.0)</f>
        <v>133</v>
      </c>
      <c r="K278" s="4">
        <f>IFERROR(__xludf.DUMMYFUNCTION("""COMPUTED_VALUE"""),73.0)</f>
        <v>73</v>
      </c>
      <c r="L278" s="4">
        <f>IFERROR(__xludf.DUMMYFUNCTION("""COMPUTED_VALUE"""),0.363)</f>
        <v>0.363</v>
      </c>
      <c r="M278" s="4">
        <f>IFERROR(__xludf.DUMMYFUNCTION("""COMPUTED_VALUE"""),0.335)</f>
        <v>0.335</v>
      </c>
      <c r="N278" s="4">
        <f>IFERROR(__xludf.DUMMYFUNCTION("""COMPUTED_VALUE"""),0.762)</f>
        <v>0.762</v>
      </c>
      <c r="O278" s="4">
        <f>IFERROR(__xludf.DUMMYFUNCTION("""COMPUTED_VALUE"""),11.4)</f>
        <v>11.4</v>
      </c>
      <c r="P278" s="4">
        <f>IFERROR(__xludf.DUMMYFUNCTION("""COMPUTED_VALUE"""),4.8)</f>
        <v>4.8</v>
      </c>
      <c r="Q278" s="4">
        <f>IFERROR(__xludf.DUMMYFUNCTION("""COMPUTED_VALUE"""),1.7)</f>
        <v>1.7</v>
      </c>
      <c r="R278" s="4">
        <f>IFERROR(__xludf.DUMMYFUNCTION("""COMPUTED_VALUE"""),0.9)</f>
        <v>0.9</v>
      </c>
      <c r="S278" s="4">
        <f>IFERROR(__xludf.DUMMYFUNCTION("""COMPUTED_VALUE"""),-0.3)</f>
        <v>-0.3</v>
      </c>
      <c r="T278" s="4">
        <f>IFERROR(__xludf.DUMMYFUNCTION("""COMPUTED_VALUE"""),-0.017)</f>
        <v>-0.017</v>
      </c>
      <c r="U278" s="4">
        <f>IFERROR(__xludf.DUMMYFUNCTION("""COMPUTED_VALUE"""),-5.9)</f>
        <v>-5.9</v>
      </c>
      <c r="V278" s="4">
        <f>IFERROR(__xludf.DUMMYFUNCTION("""COMPUTED_VALUE"""),-0.9)</f>
        <v>-0.9</v>
      </c>
    </row>
    <row r="279">
      <c r="A279" s="4">
        <f>IFERROR(__xludf.DUMMYFUNCTION("""COMPUTED_VALUE"""),12.0)</f>
        <v>12</v>
      </c>
      <c r="B279" s="4">
        <f>IFERROR(__xludf.DUMMYFUNCTION("""COMPUTED_VALUE"""),12.0)</f>
        <v>12</v>
      </c>
      <c r="C279" s="4" t="str">
        <f>IFERROR(__xludf.DUMMYFUNCTION("""COMPUTED_VALUE"""),"SAS")</f>
        <v>SAS</v>
      </c>
      <c r="D279" s="4" t="str">
        <f>IFERROR(__xludf.DUMMYFUNCTION("""COMPUTED_VALUE"""),"Joshua Primo")</f>
        <v>Joshua Primo</v>
      </c>
      <c r="E279" s="4" t="str">
        <f>IFERROR(__xludf.DUMMYFUNCTION("""COMPUTED_VALUE"""),"Alabama")</f>
        <v>Alabama</v>
      </c>
      <c r="F279" s="4">
        <f>IFERROR(__xludf.DUMMYFUNCTION("""COMPUTED_VALUE"""),3.0)</f>
        <v>3</v>
      </c>
      <c r="G279" s="4">
        <f>IFERROR(__xludf.DUMMYFUNCTION("""COMPUTED_VALUE"""),56.0)</f>
        <v>56</v>
      </c>
      <c r="H279" s="4">
        <f>IFERROR(__xludf.DUMMYFUNCTION("""COMPUTED_VALUE"""),1068.0)</f>
        <v>1068</v>
      </c>
      <c r="I279" s="4">
        <f>IFERROR(__xludf.DUMMYFUNCTION("""COMPUTED_VALUE"""),318.0)</f>
        <v>318</v>
      </c>
      <c r="J279" s="4">
        <f>IFERROR(__xludf.DUMMYFUNCTION("""COMPUTED_VALUE"""),127.0)</f>
        <v>127</v>
      </c>
      <c r="K279" s="4">
        <f>IFERROR(__xludf.DUMMYFUNCTION("""COMPUTED_VALUE"""),99.0)</f>
        <v>99</v>
      </c>
      <c r="L279" s="4">
        <f>IFERROR(__xludf.DUMMYFUNCTION("""COMPUTED_VALUE"""),0.371)</f>
        <v>0.371</v>
      </c>
      <c r="M279" s="4">
        <f>IFERROR(__xludf.DUMMYFUNCTION("""COMPUTED_VALUE"""),0.3)</f>
        <v>0.3</v>
      </c>
      <c r="N279" s="4">
        <f>IFERROR(__xludf.DUMMYFUNCTION("""COMPUTED_VALUE"""),0.75)</f>
        <v>0.75</v>
      </c>
      <c r="O279" s="4">
        <f>IFERROR(__xludf.DUMMYFUNCTION("""COMPUTED_VALUE"""),19.1)</f>
        <v>19.1</v>
      </c>
      <c r="P279" s="4">
        <f>IFERROR(__xludf.DUMMYFUNCTION("""COMPUTED_VALUE"""),5.7)</f>
        <v>5.7</v>
      </c>
      <c r="Q279" s="4">
        <f>IFERROR(__xludf.DUMMYFUNCTION("""COMPUTED_VALUE"""),2.3)</f>
        <v>2.3</v>
      </c>
      <c r="R279" s="4">
        <f>IFERROR(__xludf.DUMMYFUNCTION("""COMPUTED_VALUE"""),1.8)</f>
        <v>1.8</v>
      </c>
      <c r="S279" s="4">
        <f>IFERROR(__xludf.DUMMYFUNCTION("""COMPUTED_VALUE"""),-0.2)</f>
        <v>-0.2</v>
      </c>
      <c r="T279" s="4">
        <f>IFERROR(__xludf.DUMMYFUNCTION("""COMPUTED_VALUE"""),-0.011)</f>
        <v>-0.011</v>
      </c>
      <c r="U279" s="4">
        <f>IFERROR(__xludf.DUMMYFUNCTION("""COMPUTED_VALUE"""),-5.3)</f>
        <v>-5.3</v>
      </c>
      <c r="V279" s="4">
        <f>IFERROR(__xludf.DUMMYFUNCTION("""COMPUTED_VALUE"""),-0.9)</f>
        <v>-0.9</v>
      </c>
    </row>
    <row r="280">
      <c r="A280" s="4">
        <f>IFERROR(__xludf.DUMMYFUNCTION("""COMPUTED_VALUE"""),13.0)</f>
        <v>13</v>
      </c>
      <c r="B280" s="4">
        <f>IFERROR(__xludf.DUMMYFUNCTION("""COMPUTED_VALUE"""),13.0)</f>
        <v>13</v>
      </c>
      <c r="C280" s="4" t="str">
        <f>IFERROR(__xludf.DUMMYFUNCTION("""COMPUTED_VALUE"""),"IND")</f>
        <v>IND</v>
      </c>
      <c r="D280" s="4" t="str">
        <f>IFERROR(__xludf.DUMMYFUNCTION("""COMPUTED_VALUE"""),"Chris Duarte")</f>
        <v>Chris Duarte</v>
      </c>
      <c r="E280" s="4" t="str">
        <f>IFERROR(__xludf.DUMMYFUNCTION("""COMPUTED_VALUE"""),"Oregon")</f>
        <v>Oregon</v>
      </c>
      <c r="F280" s="4">
        <f>IFERROR(__xludf.DUMMYFUNCTION("""COMPUTED_VALUE"""),4.0)</f>
        <v>4</v>
      </c>
      <c r="G280" s="4">
        <f>IFERROR(__xludf.DUMMYFUNCTION("""COMPUTED_VALUE"""),177.0)</f>
        <v>177</v>
      </c>
      <c r="H280" s="4">
        <f>IFERROR(__xludf.DUMMYFUNCTION("""COMPUTED_VALUE"""),3231.0)</f>
        <v>3231</v>
      </c>
      <c r="I280" s="4">
        <f>IFERROR(__xludf.DUMMYFUNCTION("""COMPUTED_VALUE"""),1348.0)</f>
        <v>1348</v>
      </c>
      <c r="J280" s="4">
        <f>IFERROR(__xludf.DUMMYFUNCTION("""COMPUTED_VALUE"""),467.0)</f>
        <v>467</v>
      </c>
      <c r="K280" s="4">
        <f>IFERROR(__xludf.DUMMYFUNCTION("""COMPUTED_VALUE"""),231.0)</f>
        <v>231</v>
      </c>
      <c r="L280" s="4">
        <f>IFERROR(__xludf.DUMMYFUNCTION("""COMPUTED_VALUE"""),0.406)</f>
        <v>0.406</v>
      </c>
      <c r="M280" s="4">
        <f>IFERROR(__xludf.DUMMYFUNCTION("""COMPUTED_VALUE"""),0.349)</f>
        <v>0.349</v>
      </c>
      <c r="N280" s="4">
        <f>IFERROR(__xludf.DUMMYFUNCTION("""COMPUTED_VALUE"""),0.813)</f>
        <v>0.813</v>
      </c>
      <c r="O280" s="4">
        <f>IFERROR(__xludf.DUMMYFUNCTION("""COMPUTED_VALUE"""),18.3)</f>
        <v>18.3</v>
      </c>
      <c r="P280" s="4">
        <f>IFERROR(__xludf.DUMMYFUNCTION("""COMPUTED_VALUE"""),7.6)</f>
        <v>7.6</v>
      </c>
      <c r="Q280" s="4">
        <f>IFERROR(__xludf.DUMMYFUNCTION("""COMPUTED_VALUE"""),2.6)</f>
        <v>2.6</v>
      </c>
      <c r="R280" s="4">
        <f>IFERROR(__xludf.DUMMYFUNCTION("""COMPUTED_VALUE"""),1.3)</f>
        <v>1.3</v>
      </c>
      <c r="S280" s="4">
        <f>IFERROR(__xludf.DUMMYFUNCTION("""COMPUTED_VALUE"""),1.9)</f>
        <v>1.9</v>
      </c>
      <c r="T280" s="4">
        <f>IFERROR(__xludf.DUMMYFUNCTION("""COMPUTED_VALUE"""),0.028)</f>
        <v>0.028</v>
      </c>
      <c r="U280" s="4">
        <f>IFERROR(__xludf.DUMMYFUNCTION("""COMPUTED_VALUE"""),-3.0)</f>
        <v>-3</v>
      </c>
      <c r="V280" s="4">
        <f>IFERROR(__xludf.DUMMYFUNCTION("""COMPUTED_VALUE"""),-0.8)</f>
        <v>-0.8</v>
      </c>
    </row>
    <row r="281">
      <c r="A281" s="4">
        <f>IFERROR(__xludf.DUMMYFUNCTION("""COMPUTED_VALUE"""),14.0)</f>
        <v>14</v>
      </c>
      <c r="B281" s="4">
        <f>IFERROR(__xludf.DUMMYFUNCTION("""COMPUTED_VALUE"""),14.0)</f>
        <v>14</v>
      </c>
      <c r="C281" s="4" t="str">
        <f>IFERROR(__xludf.DUMMYFUNCTION("""COMPUTED_VALUE"""),"GSW")</f>
        <v>GSW</v>
      </c>
      <c r="D281" s="4" t="str">
        <f>IFERROR(__xludf.DUMMYFUNCTION("""COMPUTED_VALUE"""),"Moses Moody")</f>
        <v>Moses Moody</v>
      </c>
      <c r="E281" s="4" t="str">
        <f>IFERROR(__xludf.DUMMYFUNCTION("""COMPUTED_VALUE"""),"Arkansas")</f>
        <v>Arkansas</v>
      </c>
      <c r="F281" s="4">
        <f>IFERROR(__xludf.DUMMYFUNCTION("""COMPUTED_VALUE"""),5.0)</f>
        <v>5</v>
      </c>
      <c r="G281" s="4">
        <f>IFERROR(__xludf.DUMMYFUNCTION("""COMPUTED_VALUE"""),275.0)</f>
        <v>275</v>
      </c>
      <c r="H281" s="4">
        <f>IFERROR(__xludf.DUMMYFUNCTION("""COMPUTED_VALUE"""),4739.0)</f>
        <v>4739</v>
      </c>
      <c r="I281" s="4">
        <f>IFERROR(__xludf.DUMMYFUNCTION("""COMPUTED_VALUE"""),2021.0)</f>
        <v>2021</v>
      </c>
      <c r="J281" s="4">
        <f>IFERROR(__xludf.DUMMYFUNCTION("""COMPUTED_VALUE"""),636.0)</f>
        <v>636</v>
      </c>
      <c r="K281" s="4">
        <f>IFERROR(__xludf.DUMMYFUNCTION("""COMPUTED_VALUE"""),255.0)</f>
        <v>255</v>
      </c>
      <c r="L281" s="4">
        <f>IFERROR(__xludf.DUMMYFUNCTION("""COMPUTED_VALUE"""),0.443)</f>
        <v>0.443</v>
      </c>
      <c r="M281" s="4">
        <f>IFERROR(__xludf.DUMMYFUNCTION("""COMPUTED_VALUE"""),0.37)</f>
        <v>0.37</v>
      </c>
      <c r="N281" s="4">
        <f>IFERROR(__xludf.DUMMYFUNCTION("""COMPUTED_VALUE"""),0.784)</f>
        <v>0.784</v>
      </c>
      <c r="O281" s="4">
        <f>IFERROR(__xludf.DUMMYFUNCTION("""COMPUTED_VALUE"""),17.2)</f>
        <v>17.2</v>
      </c>
      <c r="P281" s="4">
        <f>IFERROR(__xludf.DUMMYFUNCTION("""COMPUTED_VALUE"""),7.3)</f>
        <v>7.3</v>
      </c>
      <c r="Q281" s="4">
        <f>IFERROR(__xludf.DUMMYFUNCTION("""COMPUTED_VALUE"""),2.3)</f>
        <v>2.3</v>
      </c>
      <c r="R281" s="4">
        <f>IFERROR(__xludf.DUMMYFUNCTION("""COMPUTED_VALUE"""),0.9)</f>
        <v>0.9</v>
      </c>
      <c r="S281" s="4">
        <f>IFERROR(__xludf.DUMMYFUNCTION("""COMPUTED_VALUE"""),9.3)</f>
        <v>9.3</v>
      </c>
      <c r="T281" s="4">
        <f>IFERROR(__xludf.DUMMYFUNCTION("""COMPUTED_VALUE"""),0.094)</f>
        <v>0.094</v>
      </c>
      <c r="U281" s="4">
        <f>IFERROR(__xludf.DUMMYFUNCTION("""COMPUTED_VALUE"""),-1.2)</f>
        <v>-1.2</v>
      </c>
      <c r="V281" s="4">
        <f>IFERROR(__xludf.DUMMYFUNCTION("""COMPUTED_VALUE"""),0.9)</f>
        <v>0.9</v>
      </c>
    </row>
    <row r="282">
      <c r="A282" s="4">
        <f>IFERROR(__xludf.DUMMYFUNCTION("""COMPUTED_VALUE"""),15.0)</f>
        <v>15</v>
      </c>
      <c r="B282" s="4">
        <f>IFERROR(__xludf.DUMMYFUNCTION("""COMPUTED_VALUE"""),15.0)</f>
        <v>15</v>
      </c>
      <c r="C282" s="4" t="str">
        <f>IFERROR(__xludf.DUMMYFUNCTION("""COMPUTED_VALUE"""),"WAS")</f>
        <v>WAS</v>
      </c>
      <c r="D282" s="4" t="str">
        <f>IFERROR(__xludf.DUMMYFUNCTION("""COMPUTED_VALUE"""),"Corey Kispert")</f>
        <v>Corey Kispert</v>
      </c>
      <c r="E282" s="4" t="str">
        <f>IFERROR(__xludf.DUMMYFUNCTION("""COMPUTED_VALUE"""),"Gonzaga")</f>
        <v>Gonzaga</v>
      </c>
      <c r="F282" s="4">
        <f>IFERROR(__xludf.DUMMYFUNCTION("""COMPUTED_VALUE"""),5.0)</f>
        <v>5</v>
      </c>
      <c r="G282" s="4">
        <f>IFERROR(__xludf.DUMMYFUNCTION("""COMPUTED_VALUE"""),309.0)</f>
        <v>309</v>
      </c>
      <c r="H282" s="4">
        <f>IFERROR(__xludf.DUMMYFUNCTION("""COMPUTED_VALUE"""),7901.0)</f>
        <v>7901</v>
      </c>
      <c r="I282" s="4">
        <f>IFERROR(__xludf.DUMMYFUNCTION("""COMPUTED_VALUE"""),3381.0)</f>
        <v>3381</v>
      </c>
      <c r="J282" s="4">
        <f>IFERROR(__xludf.DUMMYFUNCTION("""COMPUTED_VALUE"""),864.0)</f>
        <v>864</v>
      </c>
      <c r="K282" s="4">
        <f>IFERROR(__xludf.DUMMYFUNCTION("""COMPUTED_VALUE"""),460.0)</f>
        <v>460</v>
      </c>
      <c r="L282" s="4">
        <f>IFERROR(__xludf.DUMMYFUNCTION("""COMPUTED_VALUE"""),0.476)</f>
        <v>0.476</v>
      </c>
      <c r="M282" s="4">
        <f>IFERROR(__xludf.DUMMYFUNCTION("""COMPUTED_VALUE"""),0.383)</f>
        <v>0.383</v>
      </c>
      <c r="N282" s="4">
        <f>IFERROR(__xludf.DUMMYFUNCTION("""COMPUTED_VALUE"""),0.8)</f>
        <v>0.8</v>
      </c>
      <c r="O282" s="4">
        <f>IFERROR(__xludf.DUMMYFUNCTION("""COMPUTED_VALUE"""),25.6)</f>
        <v>25.6</v>
      </c>
      <c r="P282" s="4">
        <f>IFERROR(__xludf.DUMMYFUNCTION("""COMPUTED_VALUE"""),10.9)</f>
        <v>10.9</v>
      </c>
      <c r="Q282" s="4">
        <f>IFERROR(__xludf.DUMMYFUNCTION("""COMPUTED_VALUE"""),2.8)</f>
        <v>2.8</v>
      </c>
      <c r="R282" s="4">
        <f>IFERROR(__xludf.DUMMYFUNCTION("""COMPUTED_VALUE"""),1.5)</f>
        <v>1.5</v>
      </c>
      <c r="S282" s="4">
        <f>IFERROR(__xludf.DUMMYFUNCTION("""COMPUTED_VALUE"""),9.8)</f>
        <v>9.8</v>
      </c>
      <c r="T282" s="4">
        <f>IFERROR(__xludf.DUMMYFUNCTION("""COMPUTED_VALUE"""),0.06)</f>
        <v>0.06</v>
      </c>
      <c r="U282" s="4">
        <f>IFERROR(__xludf.DUMMYFUNCTION("""COMPUTED_VALUE"""),-2.3)</f>
        <v>-2.3</v>
      </c>
      <c r="V282" s="4">
        <f>IFERROR(__xludf.DUMMYFUNCTION("""COMPUTED_VALUE"""),-0.6)</f>
        <v>-0.6</v>
      </c>
    </row>
    <row r="283">
      <c r="A283" s="4">
        <f>IFERROR(__xludf.DUMMYFUNCTION("""COMPUTED_VALUE"""),16.0)</f>
        <v>16</v>
      </c>
      <c r="B283" s="4">
        <f>IFERROR(__xludf.DUMMYFUNCTION("""COMPUTED_VALUE"""),16.0)</f>
        <v>16</v>
      </c>
      <c r="C283" s="4" t="str">
        <f>IFERROR(__xludf.DUMMYFUNCTION("""COMPUTED_VALUE"""),"OKC")</f>
        <v>OKC</v>
      </c>
      <c r="D283" s="4" t="str">
        <f>IFERROR(__xludf.DUMMYFUNCTION("""COMPUTED_VALUE"""),"Alperen Şengün")</f>
        <v>Alperen Şengün</v>
      </c>
      <c r="E283" s="4"/>
      <c r="F283" s="4">
        <f>IFERROR(__xludf.DUMMYFUNCTION("""COMPUTED_VALUE"""),5.0)</f>
        <v>5</v>
      </c>
      <c r="G283" s="4">
        <f>IFERROR(__xludf.DUMMYFUNCTION("""COMPUTED_VALUE"""),304.0)</f>
        <v>304</v>
      </c>
      <c r="H283" s="4">
        <f>IFERROR(__xludf.DUMMYFUNCTION("""COMPUTED_VALUE"""),8753.0)</f>
        <v>8753</v>
      </c>
      <c r="I283" s="4">
        <f>IFERROR(__xludf.DUMMYFUNCTION("""COMPUTED_VALUE"""),4993.0)</f>
        <v>4993</v>
      </c>
      <c r="J283" s="4">
        <f>IFERROR(__xludf.DUMMYFUNCTION("""COMPUTED_VALUE"""),2609.0)</f>
        <v>2609</v>
      </c>
      <c r="K283" s="4">
        <f>IFERROR(__xludf.DUMMYFUNCTION("""COMPUTED_VALUE"""),1292.0)</f>
        <v>1292</v>
      </c>
      <c r="L283" s="4">
        <f>IFERROR(__xludf.DUMMYFUNCTION("""COMPUTED_VALUE"""),0.516)</f>
        <v>0.516</v>
      </c>
      <c r="M283" s="4">
        <f>IFERROR(__xludf.DUMMYFUNCTION("""COMPUTED_VALUE"""),0.286)</f>
        <v>0.286</v>
      </c>
      <c r="N283" s="4">
        <f>IFERROR(__xludf.DUMMYFUNCTION("""COMPUTED_VALUE"""),0.703)</f>
        <v>0.703</v>
      </c>
      <c r="O283" s="4">
        <f>IFERROR(__xludf.DUMMYFUNCTION("""COMPUTED_VALUE"""),28.8)</f>
        <v>28.8</v>
      </c>
      <c r="P283" s="4">
        <f>IFERROR(__xludf.DUMMYFUNCTION("""COMPUTED_VALUE"""),16.4)</f>
        <v>16.4</v>
      </c>
      <c r="Q283" s="4">
        <f>IFERROR(__xludf.DUMMYFUNCTION("""COMPUTED_VALUE"""),8.6)</f>
        <v>8.6</v>
      </c>
      <c r="R283" s="4">
        <f>IFERROR(__xludf.DUMMYFUNCTION("""COMPUTED_VALUE"""),4.3)</f>
        <v>4.3</v>
      </c>
      <c r="S283" s="4">
        <f>IFERROR(__xludf.DUMMYFUNCTION("""COMPUTED_VALUE"""),25.2)</f>
        <v>25.2</v>
      </c>
      <c r="T283" s="4">
        <f>IFERROR(__xludf.DUMMYFUNCTION("""COMPUTED_VALUE"""),0.138)</f>
        <v>0.138</v>
      </c>
      <c r="U283" s="4">
        <f>IFERROR(__xludf.DUMMYFUNCTION("""COMPUTED_VALUE"""),3.0)</f>
        <v>3</v>
      </c>
      <c r="V283" s="4">
        <f>IFERROR(__xludf.DUMMYFUNCTION("""COMPUTED_VALUE"""),11.0)</f>
        <v>11</v>
      </c>
    </row>
    <row r="284">
      <c r="A284" s="4">
        <f>IFERROR(__xludf.DUMMYFUNCTION("""COMPUTED_VALUE"""),17.0)</f>
        <v>17</v>
      </c>
      <c r="B284" s="4">
        <f>IFERROR(__xludf.DUMMYFUNCTION("""COMPUTED_VALUE"""),17.0)</f>
        <v>17</v>
      </c>
      <c r="C284" s="4" t="str">
        <f>IFERROR(__xludf.DUMMYFUNCTION("""COMPUTED_VALUE"""),"MEM")</f>
        <v>MEM</v>
      </c>
      <c r="D284" s="4" t="str">
        <f>IFERROR(__xludf.DUMMYFUNCTION("""COMPUTED_VALUE"""),"Trey Murphy III")</f>
        <v>Trey Murphy III</v>
      </c>
      <c r="E284" s="4" t="str">
        <f>IFERROR(__xludf.DUMMYFUNCTION("""COMPUTED_VALUE"""),"Virginia")</f>
        <v>Virginia</v>
      </c>
      <c r="F284" s="4">
        <f>IFERROR(__xludf.DUMMYFUNCTION("""COMPUTED_VALUE"""),5.0)</f>
        <v>5</v>
      </c>
      <c r="G284" s="4">
        <f>IFERROR(__xludf.DUMMYFUNCTION("""COMPUTED_VALUE"""),271.0)</f>
        <v>271</v>
      </c>
      <c r="H284" s="4">
        <f>IFERROR(__xludf.DUMMYFUNCTION("""COMPUTED_VALUE"""),7572.0)</f>
        <v>7572</v>
      </c>
      <c r="I284" s="4">
        <f>IFERROR(__xludf.DUMMYFUNCTION("""COMPUTED_VALUE"""),3856.0)</f>
        <v>3856</v>
      </c>
      <c r="J284" s="4">
        <f>IFERROR(__xludf.DUMMYFUNCTION("""COMPUTED_VALUE"""),1108.0)</f>
        <v>1108</v>
      </c>
      <c r="K284" s="4">
        <f>IFERROR(__xludf.DUMMYFUNCTION("""COMPUTED_VALUE"""),527.0)</f>
        <v>527</v>
      </c>
      <c r="L284" s="4">
        <f>IFERROR(__xludf.DUMMYFUNCTION("""COMPUTED_VALUE"""),0.455)</f>
        <v>0.455</v>
      </c>
      <c r="M284" s="4">
        <f>IFERROR(__xludf.DUMMYFUNCTION("""COMPUTED_VALUE"""),0.383)</f>
        <v>0.383</v>
      </c>
      <c r="N284" s="4">
        <f>IFERROR(__xludf.DUMMYFUNCTION("""COMPUTED_VALUE"""),0.881)</f>
        <v>0.881</v>
      </c>
      <c r="O284" s="4">
        <f>IFERROR(__xludf.DUMMYFUNCTION("""COMPUTED_VALUE"""),27.9)</f>
        <v>27.9</v>
      </c>
      <c r="P284" s="4">
        <f>IFERROR(__xludf.DUMMYFUNCTION("""COMPUTED_VALUE"""),14.2)</f>
        <v>14.2</v>
      </c>
      <c r="Q284" s="4">
        <f>IFERROR(__xludf.DUMMYFUNCTION("""COMPUTED_VALUE"""),4.1)</f>
        <v>4.1</v>
      </c>
      <c r="R284" s="4">
        <f>IFERROR(__xludf.DUMMYFUNCTION("""COMPUTED_VALUE"""),1.9)</f>
        <v>1.9</v>
      </c>
      <c r="S284" s="4">
        <f>IFERROR(__xludf.DUMMYFUNCTION("""COMPUTED_VALUE"""),19.9)</f>
        <v>19.9</v>
      </c>
      <c r="T284" s="4">
        <f>IFERROR(__xludf.DUMMYFUNCTION("""COMPUTED_VALUE"""),0.126)</f>
        <v>0.126</v>
      </c>
      <c r="U284" s="4">
        <f>IFERROR(__xludf.DUMMYFUNCTION("""COMPUTED_VALUE"""),1.3)</f>
        <v>1.3</v>
      </c>
      <c r="V284" s="4">
        <f>IFERROR(__xludf.DUMMYFUNCTION("""COMPUTED_VALUE"""),6.3)</f>
        <v>6.3</v>
      </c>
    </row>
    <row r="285">
      <c r="A285" s="4">
        <f>IFERROR(__xludf.DUMMYFUNCTION("""COMPUTED_VALUE"""),18.0)</f>
        <v>18</v>
      </c>
      <c r="B285" s="4">
        <f>IFERROR(__xludf.DUMMYFUNCTION("""COMPUTED_VALUE"""),18.0)</f>
        <v>18</v>
      </c>
      <c r="C285" s="4" t="str">
        <f>IFERROR(__xludf.DUMMYFUNCTION("""COMPUTED_VALUE"""),"OKC")</f>
        <v>OKC</v>
      </c>
      <c r="D285" s="4" t="str">
        <f>IFERROR(__xludf.DUMMYFUNCTION("""COMPUTED_VALUE"""),"Tre Mann")</f>
        <v>Tre Mann</v>
      </c>
      <c r="E285" s="4" t="str">
        <f>IFERROR(__xludf.DUMMYFUNCTION("""COMPUTED_VALUE"""),"Florida")</f>
        <v>Florida</v>
      </c>
      <c r="F285" s="4">
        <f>IFERROR(__xludf.DUMMYFUNCTION("""COMPUTED_VALUE"""),5.0)</f>
        <v>5</v>
      </c>
      <c r="G285" s="4">
        <f>IFERROR(__xludf.DUMMYFUNCTION("""COMPUTED_VALUE"""),199.0)</f>
        <v>199</v>
      </c>
      <c r="H285" s="4">
        <f>IFERROR(__xludf.DUMMYFUNCTION("""COMPUTED_VALUE"""),4226.0)</f>
        <v>4226</v>
      </c>
      <c r="I285" s="4">
        <f>IFERROR(__xludf.DUMMYFUNCTION("""COMPUTED_VALUE"""),1872.0)</f>
        <v>1872</v>
      </c>
      <c r="J285" s="4">
        <f>IFERROR(__xludf.DUMMYFUNCTION("""COMPUTED_VALUE"""),563.0)</f>
        <v>563</v>
      </c>
      <c r="K285" s="4">
        <f>IFERROR(__xludf.DUMMYFUNCTION("""COMPUTED_VALUE"""),463.0)</f>
        <v>463</v>
      </c>
      <c r="L285" s="4">
        <f>IFERROR(__xludf.DUMMYFUNCTION("""COMPUTED_VALUE"""),0.406)</f>
        <v>0.406</v>
      </c>
      <c r="M285" s="4">
        <f>IFERROR(__xludf.DUMMYFUNCTION("""COMPUTED_VALUE"""),0.345)</f>
        <v>0.345</v>
      </c>
      <c r="N285" s="4">
        <f>IFERROR(__xludf.DUMMYFUNCTION("""COMPUTED_VALUE"""),0.796)</f>
        <v>0.796</v>
      </c>
      <c r="O285" s="4">
        <f>IFERROR(__xludf.DUMMYFUNCTION("""COMPUTED_VALUE"""),21.2)</f>
        <v>21.2</v>
      </c>
      <c r="P285" s="4">
        <f>IFERROR(__xludf.DUMMYFUNCTION("""COMPUTED_VALUE"""),9.4)</f>
        <v>9.4</v>
      </c>
      <c r="Q285" s="4">
        <f>IFERROR(__xludf.DUMMYFUNCTION("""COMPUTED_VALUE"""),2.8)</f>
        <v>2.8</v>
      </c>
      <c r="R285" s="4">
        <f>IFERROR(__xludf.DUMMYFUNCTION("""COMPUTED_VALUE"""),2.3)</f>
        <v>2.3</v>
      </c>
      <c r="S285" s="4">
        <f>IFERROR(__xludf.DUMMYFUNCTION("""COMPUTED_VALUE"""),1.4)</f>
        <v>1.4</v>
      </c>
      <c r="T285" s="4">
        <f>IFERROR(__xludf.DUMMYFUNCTION("""COMPUTED_VALUE"""),0.016)</f>
        <v>0.016</v>
      </c>
      <c r="U285" s="4">
        <f>IFERROR(__xludf.DUMMYFUNCTION("""COMPUTED_VALUE"""),-3.6)</f>
        <v>-3.6</v>
      </c>
      <c r="V285" s="4">
        <f>IFERROR(__xludf.DUMMYFUNCTION("""COMPUTED_VALUE"""),-1.7)</f>
        <v>-1.7</v>
      </c>
    </row>
    <row r="286">
      <c r="A286" s="4">
        <f>IFERROR(__xludf.DUMMYFUNCTION("""COMPUTED_VALUE"""),19.0)</f>
        <v>19</v>
      </c>
      <c r="B286" s="4">
        <f>IFERROR(__xludf.DUMMYFUNCTION("""COMPUTED_VALUE"""),19.0)</f>
        <v>19</v>
      </c>
      <c r="C286" s="4" t="str">
        <f>IFERROR(__xludf.DUMMYFUNCTION("""COMPUTED_VALUE"""),"NYK")</f>
        <v>NYK</v>
      </c>
      <c r="D286" s="4" t="str">
        <f>IFERROR(__xludf.DUMMYFUNCTION("""COMPUTED_VALUE"""),"Kai Jones")</f>
        <v>Kai Jones</v>
      </c>
      <c r="E286" s="4" t="str">
        <f>IFERROR(__xludf.DUMMYFUNCTION("""COMPUTED_VALUE"""),"Texas")</f>
        <v>Texas</v>
      </c>
      <c r="F286" s="4">
        <f>IFERROR(__xludf.DUMMYFUNCTION("""COMPUTED_VALUE"""),3.0)</f>
        <v>3</v>
      </c>
      <c r="G286" s="4">
        <f>IFERROR(__xludf.DUMMYFUNCTION("""COMPUTED_VALUE"""),107.0)</f>
        <v>107</v>
      </c>
      <c r="H286" s="4">
        <f>IFERROR(__xludf.DUMMYFUNCTION("""COMPUTED_VALUE"""),1081.0)</f>
        <v>1081</v>
      </c>
      <c r="I286" s="4">
        <f>IFERROR(__xludf.DUMMYFUNCTION("""COMPUTED_VALUE"""),377.0)</f>
        <v>377</v>
      </c>
      <c r="J286" s="4">
        <f>IFERROR(__xludf.DUMMYFUNCTION("""COMPUTED_VALUE"""),259.0)</f>
        <v>259</v>
      </c>
      <c r="K286" s="4">
        <f>IFERROR(__xludf.DUMMYFUNCTION("""COMPUTED_VALUE"""),44.0)</f>
        <v>44</v>
      </c>
      <c r="L286" s="4">
        <f>IFERROR(__xludf.DUMMYFUNCTION("""COMPUTED_VALUE"""),0.671)</f>
        <v>0.671</v>
      </c>
      <c r="M286" s="4">
        <f>IFERROR(__xludf.DUMMYFUNCTION("""COMPUTED_VALUE"""),0.231)</f>
        <v>0.231</v>
      </c>
      <c r="N286" s="4">
        <f>IFERROR(__xludf.DUMMYFUNCTION("""COMPUTED_VALUE"""),0.682)</f>
        <v>0.682</v>
      </c>
      <c r="O286" s="4">
        <f>IFERROR(__xludf.DUMMYFUNCTION("""COMPUTED_VALUE"""),10.1)</f>
        <v>10.1</v>
      </c>
      <c r="P286" s="4">
        <f>IFERROR(__xludf.DUMMYFUNCTION("""COMPUTED_VALUE"""),3.5)</f>
        <v>3.5</v>
      </c>
      <c r="Q286" s="4">
        <f>IFERROR(__xludf.DUMMYFUNCTION("""COMPUTED_VALUE"""),2.4)</f>
        <v>2.4</v>
      </c>
      <c r="R286" s="4">
        <f>IFERROR(__xludf.DUMMYFUNCTION("""COMPUTED_VALUE"""),0.4)</f>
        <v>0.4</v>
      </c>
      <c r="S286" s="4">
        <f>IFERROR(__xludf.DUMMYFUNCTION("""COMPUTED_VALUE"""),2.8)</f>
        <v>2.8</v>
      </c>
      <c r="T286" s="4">
        <f>IFERROR(__xludf.DUMMYFUNCTION("""COMPUTED_VALUE"""),0.126)</f>
        <v>0.126</v>
      </c>
      <c r="U286" s="4">
        <f>IFERROR(__xludf.DUMMYFUNCTION("""COMPUTED_VALUE"""),-1.2)</f>
        <v>-1.2</v>
      </c>
      <c r="V286" s="4">
        <f>IFERROR(__xludf.DUMMYFUNCTION("""COMPUTED_VALUE"""),0.2)</f>
        <v>0.2</v>
      </c>
    </row>
    <row r="287">
      <c r="A287" s="4">
        <f>IFERROR(__xludf.DUMMYFUNCTION("""COMPUTED_VALUE"""),20.0)</f>
        <v>20</v>
      </c>
      <c r="B287" s="4">
        <f>IFERROR(__xludf.DUMMYFUNCTION("""COMPUTED_VALUE"""),20.0)</f>
        <v>20</v>
      </c>
      <c r="C287" s="4" t="str">
        <f>IFERROR(__xludf.DUMMYFUNCTION("""COMPUTED_VALUE"""),"ATL")</f>
        <v>ATL</v>
      </c>
      <c r="D287" s="4" t="str">
        <f>IFERROR(__xludf.DUMMYFUNCTION("""COMPUTED_VALUE"""),"Jalen Johnson")</f>
        <v>Jalen Johnson</v>
      </c>
      <c r="E287" s="4" t="str">
        <f>IFERROR(__xludf.DUMMYFUNCTION("""COMPUTED_VALUE"""),"Duke")</f>
        <v>Duke</v>
      </c>
      <c r="F287" s="4">
        <f>IFERROR(__xludf.DUMMYFUNCTION("""COMPUTED_VALUE"""),5.0)</f>
        <v>5</v>
      </c>
      <c r="G287" s="4">
        <f>IFERROR(__xludf.DUMMYFUNCTION("""COMPUTED_VALUE"""),204.0)</f>
        <v>204</v>
      </c>
      <c r="H287" s="4">
        <f>IFERROR(__xludf.DUMMYFUNCTION("""COMPUTED_VALUE"""),5032.0)</f>
        <v>5032</v>
      </c>
      <c r="I287" s="4">
        <f>IFERROR(__xludf.DUMMYFUNCTION("""COMPUTED_VALUE"""),2487.0)</f>
        <v>2487</v>
      </c>
      <c r="J287" s="4">
        <f>IFERROR(__xludf.DUMMYFUNCTION("""COMPUTED_VALUE"""),1355.0)</f>
        <v>1355</v>
      </c>
      <c r="K287" s="4">
        <f>IFERROR(__xludf.DUMMYFUNCTION("""COMPUTED_VALUE"""),615.0)</f>
        <v>615</v>
      </c>
      <c r="L287" s="4">
        <f>IFERROR(__xludf.DUMMYFUNCTION("""COMPUTED_VALUE"""),0.51)</f>
        <v>0.51</v>
      </c>
      <c r="M287" s="4">
        <f>IFERROR(__xludf.DUMMYFUNCTION("""COMPUTED_VALUE"""),0.336)</f>
        <v>0.336</v>
      </c>
      <c r="N287" s="4">
        <f>IFERROR(__xludf.DUMMYFUNCTION("""COMPUTED_VALUE"""),0.732)</f>
        <v>0.732</v>
      </c>
      <c r="O287" s="4">
        <f>IFERROR(__xludf.DUMMYFUNCTION("""COMPUTED_VALUE"""),24.7)</f>
        <v>24.7</v>
      </c>
      <c r="P287" s="4">
        <f>IFERROR(__xludf.DUMMYFUNCTION("""COMPUTED_VALUE"""),12.2)</f>
        <v>12.2</v>
      </c>
      <c r="Q287" s="4">
        <f>IFERROR(__xludf.DUMMYFUNCTION("""COMPUTED_VALUE"""),6.6)</f>
        <v>6.6</v>
      </c>
      <c r="R287" s="4">
        <f>IFERROR(__xludf.DUMMYFUNCTION("""COMPUTED_VALUE"""),3.0)</f>
        <v>3</v>
      </c>
      <c r="S287" s="4">
        <f>IFERROR(__xludf.DUMMYFUNCTION("""COMPUTED_VALUE"""),11.1)</f>
        <v>11.1</v>
      </c>
      <c r="T287" s="4">
        <f>IFERROR(__xludf.DUMMYFUNCTION("""COMPUTED_VALUE"""),0.106)</f>
        <v>0.106</v>
      </c>
      <c r="U287" s="4">
        <f>IFERROR(__xludf.DUMMYFUNCTION("""COMPUTED_VALUE"""),1.6)</f>
        <v>1.6</v>
      </c>
      <c r="V287" s="4">
        <f>IFERROR(__xludf.DUMMYFUNCTION("""COMPUTED_VALUE"""),4.6)</f>
        <v>4.6</v>
      </c>
    </row>
    <row r="288">
      <c r="A288" s="4">
        <f>IFERROR(__xludf.DUMMYFUNCTION("""COMPUTED_VALUE"""),21.0)</f>
        <v>21</v>
      </c>
      <c r="B288" s="4">
        <f>IFERROR(__xludf.DUMMYFUNCTION("""COMPUTED_VALUE"""),21.0)</f>
        <v>21</v>
      </c>
      <c r="C288" s="4" t="str">
        <f>IFERROR(__xludf.DUMMYFUNCTION("""COMPUTED_VALUE"""),"NYK")</f>
        <v>NYK</v>
      </c>
      <c r="D288" s="4" t="str">
        <f>IFERROR(__xludf.DUMMYFUNCTION("""COMPUTED_VALUE"""),"Keon Johnson")</f>
        <v>Keon Johnson</v>
      </c>
      <c r="E288" s="4" t="str">
        <f>IFERROR(__xludf.DUMMYFUNCTION("""COMPUTED_VALUE"""),"Tennessee")</f>
        <v>Tennessee</v>
      </c>
      <c r="F288" s="4">
        <f>IFERROR(__xludf.DUMMYFUNCTION("""COMPUTED_VALUE"""),4.0)</f>
        <v>4</v>
      </c>
      <c r="G288" s="4">
        <f>IFERROR(__xludf.DUMMYFUNCTION("""COMPUTED_VALUE"""),161.0)</f>
        <v>161</v>
      </c>
      <c r="H288" s="4">
        <f>IFERROR(__xludf.DUMMYFUNCTION("""COMPUTED_VALUE"""),3098.0)</f>
        <v>3098</v>
      </c>
      <c r="I288" s="4">
        <f>IFERROR(__xludf.DUMMYFUNCTION("""COMPUTED_VALUE"""),1326.0)</f>
        <v>1326</v>
      </c>
      <c r="J288" s="4">
        <f>IFERROR(__xludf.DUMMYFUNCTION("""COMPUTED_VALUE"""),429.0)</f>
        <v>429</v>
      </c>
      <c r="K288" s="4">
        <f>IFERROR(__xludf.DUMMYFUNCTION("""COMPUTED_VALUE"""),313.0)</f>
        <v>313</v>
      </c>
      <c r="L288" s="4">
        <f>IFERROR(__xludf.DUMMYFUNCTION("""COMPUTED_VALUE"""),0.379)</f>
        <v>0.379</v>
      </c>
      <c r="M288" s="4">
        <f>IFERROR(__xludf.DUMMYFUNCTION("""COMPUTED_VALUE"""),0.324)</f>
        <v>0.324</v>
      </c>
      <c r="N288" s="4">
        <f>IFERROR(__xludf.DUMMYFUNCTION("""COMPUTED_VALUE"""),0.765)</f>
        <v>0.765</v>
      </c>
      <c r="O288" s="4">
        <f>IFERROR(__xludf.DUMMYFUNCTION("""COMPUTED_VALUE"""),19.2)</f>
        <v>19.2</v>
      </c>
      <c r="P288" s="4">
        <f>IFERROR(__xludf.DUMMYFUNCTION("""COMPUTED_VALUE"""),8.2)</f>
        <v>8.2</v>
      </c>
      <c r="Q288" s="4">
        <f>IFERROR(__xludf.DUMMYFUNCTION("""COMPUTED_VALUE"""),2.7)</f>
        <v>2.7</v>
      </c>
      <c r="R288" s="4">
        <f>IFERROR(__xludf.DUMMYFUNCTION("""COMPUTED_VALUE"""),1.9)</f>
        <v>1.9</v>
      </c>
      <c r="S288" s="4">
        <f>IFERROR(__xludf.DUMMYFUNCTION("""COMPUTED_VALUE"""),-0.3)</f>
        <v>-0.3</v>
      </c>
      <c r="T288" s="4">
        <f>IFERROR(__xludf.DUMMYFUNCTION("""COMPUTED_VALUE"""),-0.005)</f>
        <v>-0.005</v>
      </c>
      <c r="U288" s="4">
        <f>IFERROR(__xludf.DUMMYFUNCTION("""COMPUTED_VALUE"""),-4.2)</f>
        <v>-4.2</v>
      </c>
      <c r="V288" s="4">
        <f>IFERROR(__xludf.DUMMYFUNCTION("""COMPUTED_VALUE"""),-1.7)</f>
        <v>-1.7</v>
      </c>
    </row>
    <row r="289">
      <c r="A289" s="4">
        <f>IFERROR(__xludf.DUMMYFUNCTION("""COMPUTED_VALUE"""),22.0)</f>
        <v>22</v>
      </c>
      <c r="B289" s="4">
        <f>IFERROR(__xludf.DUMMYFUNCTION("""COMPUTED_VALUE"""),22.0)</f>
        <v>22</v>
      </c>
      <c r="C289" s="4" t="str">
        <f>IFERROR(__xludf.DUMMYFUNCTION("""COMPUTED_VALUE"""),"LAL")</f>
        <v>LAL</v>
      </c>
      <c r="D289" s="4" t="str">
        <f>IFERROR(__xludf.DUMMYFUNCTION("""COMPUTED_VALUE"""),"Isaiah Jackson")</f>
        <v>Isaiah Jackson</v>
      </c>
      <c r="E289" s="4" t="str">
        <f>IFERROR(__xludf.DUMMYFUNCTION("""COMPUTED_VALUE"""),"Kentucky")</f>
        <v>Kentucky</v>
      </c>
      <c r="F289" s="4">
        <f>IFERROR(__xludf.DUMMYFUNCTION("""COMPUTED_VALUE"""),5.0)</f>
        <v>5</v>
      </c>
      <c r="G289" s="4">
        <f>IFERROR(__xludf.DUMMYFUNCTION("""COMPUTED_VALUE"""),184.0)</f>
        <v>184</v>
      </c>
      <c r="H289" s="4">
        <f>IFERROR(__xludf.DUMMYFUNCTION("""COMPUTED_VALUE"""),2841.0)</f>
        <v>2841</v>
      </c>
      <c r="I289" s="4">
        <f>IFERROR(__xludf.DUMMYFUNCTION("""COMPUTED_VALUE"""),1343.0)</f>
        <v>1343</v>
      </c>
      <c r="J289" s="4">
        <f>IFERROR(__xludf.DUMMYFUNCTION("""COMPUTED_VALUE"""),816.0)</f>
        <v>816</v>
      </c>
      <c r="K289" s="4">
        <f>IFERROR(__xludf.DUMMYFUNCTION("""COMPUTED_VALUE"""),136.0)</f>
        <v>136</v>
      </c>
      <c r="L289" s="4">
        <f>IFERROR(__xludf.DUMMYFUNCTION("""COMPUTED_VALUE"""),0.596)</f>
        <v>0.596</v>
      </c>
      <c r="M289" s="4">
        <f>IFERROR(__xludf.DUMMYFUNCTION("""COMPUTED_VALUE"""),0.206)</f>
        <v>0.206</v>
      </c>
      <c r="N289" s="4">
        <f>IFERROR(__xludf.DUMMYFUNCTION("""COMPUTED_VALUE"""),0.688)</f>
        <v>0.688</v>
      </c>
      <c r="O289" s="4">
        <f>IFERROR(__xludf.DUMMYFUNCTION("""COMPUTED_VALUE"""),15.4)</f>
        <v>15.4</v>
      </c>
      <c r="P289" s="4">
        <f>IFERROR(__xludf.DUMMYFUNCTION("""COMPUTED_VALUE"""),7.3)</f>
        <v>7.3</v>
      </c>
      <c r="Q289" s="4">
        <f>IFERROR(__xludf.DUMMYFUNCTION("""COMPUTED_VALUE"""),4.4)</f>
        <v>4.4</v>
      </c>
      <c r="R289" s="4">
        <f>IFERROR(__xludf.DUMMYFUNCTION("""COMPUTED_VALUE"""),0.7)</f>
        <v>0.7</v>
      </c>
      <c r="S289" s="4">
        <f>IFERROR(__xludf.DUMMYFUNCTION("""COMPUTED_VALUE"""),8.9)</f>
        <v>8.9</v>
      </c>
      <c r="T289" s="4">
        <f>IFERROR(__xludf.DUMMYFUNCTION("""COMPUTED_VALUE"""),0.15)</f>
        <v>0.15</v>
      </c>
      <c r="U289" s="4">
        <f>IFERROR(__xludf.DUMMYFUNCTION("""COMPUTED_VALUE"""),-0.3)</f>
        <v>-0.3</v>
      </c>
      <c r="V289" s="4">
        <f>IFERROR(__xludf.DUMMYFUNCTION("""COMPUTED_VALUE"""),1.2)</f>
        <v>1.2</v>
      </c>
    </row>
    <row r="290">
      <c r="A290" s="4">
        <f>IFERROR(__xludf.DUMMYFUNCTION("""COMPUTED_VALUE"""),23.0)</f>
        <v>23</v>
      </c>
      <c r="B290" s="4">
        <f>IFERROR(__xludf.DUMMYFUNCTION("""COMPUTED_VALUE"""),23.0)</f>
        <v>23</v>
      </c>
      <c r="C290" s="4" t="str">
        <f>IFERROR(__xludf.DUMMYFUNCTION("""COMPUTED_VALUE"""),"HOU")</f>
        <v>HOU</v>
      </c>
      <c r="D290" s="4" t="str">
        <f>IFERROR(__xludf.DUMMYFUNCTION("""COMPUTED_VALUE"""),"Usman Garuba")</f>
        <v>Usman Garuba</v>
      </c>
      <c r="E290" s="4"/>
      <c r="F290" s="4">
        <f>IFERROR(__xludf.DUMMYFUNCTION("""COMPUTED_VALUE"""),3.0)</f>
        <v>3</v>
      </c>
      <c r="G290" s="4">
        <f>IFERROR(__xludf.DUMMYFUNCTION("""COMPUTED_VALUE"""),105.0)</f>
        <v>105</v>
      </c>
      <c r="H290" s="4">
        <f>IFERROR(__xludf.DUMMYFUNCTION("""COMPUTED_VALUE"""),1228.0)</f>
        <v>1228</v>
      </c>
      <c r="I290" s="4">
        <f>IFERROR(__xludf.DUMMYFUNCTION("""COMPUTED_VALUE"""),276.0)</f>
        <v>276</v>
      </c>
      <c r="J290" s="4">
        <f>IFERROR(__xludf.DUMMYFUNCTION("""COMPUTED_VALUE"""),397.0)</f>
        <v>397</v>
      </c>
      <c r="K290" s="4">
        <f>IFERROR(__xludf.DUMMYFUNCTION("""COMPUTED_VALUE"""),82.0)</f>
        <v>82</v>
      </c>
      <c r="L290" s="4">
        <f>IFERROR(__xludf.DUMMYFUNCTION("""COMPUTED_VALUE"""),0.467)</f>
        <v>0.467</v>
      </c>
      <c r="M290" s="4">
        <f>IFERROR(__xludf.DUMMYFUNCTION("""COMPUTED_VALUE"""),0.363)</f>
        <v>0.363</v>
      </c>
      <c r="N290" s="4">
        <f>IFERROR(__xludf.DUMMYFUNCTION("""COMPUTED_VALUE"""),0.625)</f>
        <v>0.625</v>
      </c>
      <c r="O290" s="4">
        <f>IFERROR(__xludf.DUMMYFUNCTION("""COMPUTED_VALUE"""),11.7)</f>
        <v>11.7</v>
      </c>
      <c r="P290" s="4">
        <f>IFERROR(__xludf.DUMMYFUNCTION("""COMPUTED_VALUE"""),2.6)</f>
        <v>2.6</v>
      </c>
      <c r="Q290" s="4">
        <f>IFERROR(__xludf.DUMMYFUNCTION("""COMPUTED_VALUE"""),3.8)</f>
        <v>3.8</v>
      </c>
      <c r="R290" s="4">
        <f>IFERROR(__xludf.DUMMYFUNCTION("""COMPUTED_VALUE"""),0.8)</f>
        <v>0.8</v>
      </c>
      <c r="S290" s="4">
        <f>IFERROR(__xludf.DUMMYFUNCTION("""COMPUTED_VALUE"""),2.3)</f>
        <v>2.3</v>
      </c>
      <c r="T290" s="4">
        <f>IFERROR(__xludf.DUMMYFUNCTION("""COMPUTED_VALUE"""),0.09)</f>
        <v>0.09</v>
      </c>
      <c r="U290" s="4">
        <f>IFERROR(__xludf.DUMMYFUNCTION("""COMPUTED_VALUE"""),-1.4)</f>
        <v>-1.4</v>
      </c>
      <c r="V290" s="4">
        <f>IFERROR(__xludf.DUMMYFUNCTION("""COMPUTED_VALUE"""),0.2)</f>
        <v>0.2</v>
      </c>
    </row>
    <row r="291">
      <c r="A291" s="4">
        <f>IFERROR(__xludf.DUMMYFUNCTION("""COMPUTED_VALUE"""),24.0)</f>
        <v>24</v>
      </c>
      <c r="B291" s="4">
        <f>IFERROR(__xludf.DUMMYFUNCTION("""COMPUTED_VALUE"""),24.0)</f>
        <v>24</v>
      </c>
      <c r="C291" s="4" t="str">
        <f>IFERROR(__xludf.DUMMYFUNCTION("""COMPUTED_VALUE"""),"HOU")</f>
        <v>HOU</v>
      </c>
      <c r="D291" s="4" t="str">
        <f>IFERROR(__xludf.DUMMYFUNCTION("""COMPUTED_VALUE"""),"Josh Christopher")</f>
        <v>Josh Christopher</v>
      </c>
      <c r="E291" s="4" t="str">
        <f>IFERROR(__xludf.DUMMYFUNCTION("""COMPUTED_VALUE"""),"Arizona State")</f>
        <v>Arizona State</v>
      </c>
      <c r="F291" s="4">
        <f>IFERROR(__xludf.DUMMYFUNCTION("""COMPUTED_VALUE"""),3.0)</f>
        <v>3</v>
      </c>
      <c r="G291" s="4">
        <f>IFERROR(__xludf.DUMMYFUNCTION("""COMPUTED_VALUE"""),152.0)</f>
        <v>152</v>
      </c>
      <c r="H291" s="4">
        <f>IFERROR(__xludf.DUMMYFUNCTION("""COMPUTED_VALUE"""),2189.0)</f>
        <v>2189</v>
      </c>
      <c r="I291" s="4">
        <f>IFERROR(__xludf.DUMMYFUNCTION("""COMPUTED_VALUE"""),987.0)</f>
        <v>987</v>
      </c>
      <c r="J291" s="4">
        <f>IFERROR(__xludf.DUMMYFUNCTION("""COMPUTED_VALUE"""),266.0)</f>
        <v>266</v>
      </c>
      <c r="K291" s="4">
        <f>IFERROR(__xludf.DUMMYFUNCTION("""COMPUTED_VALUE"""),231.0)</f>
        <v>231</v>
      </c>
      <c r="L291" s="4">
        <f>IFERROR(__xludf.DUMMYFUNCTION("""COMPUTED_VALUE"""),0.451)</f>
        <v>0.451</v>
      </c>
      <c r="M291" s="4">
        <f>IFERROR(__xludf.DUMMYFUNCTION("""COMPUTED_VALUE"""),0.273)</f>
        <v>0.273</v>
      </c>
      <c r="N291" s="4">
        <f>IFERROR(__xludf.DUMMYFUNCTION("""COMPUTED_VALUE"""),0.737)</f>
        <v>0.737</v>
      </c>
      <c r="O291" s="4">
        <f>IFERROR(__xludf.DUMMYFUNCTION("""COMPUTED_VALUE"""),14.4)</f>
        <v>14.4</v>
      </c>
      <c r="P291" s="4">
        <f>IFERROR(__xludf.DUMMYFUNCTION("""COMPUTED_VALUE"""),6.5)</f>
        <v>6.5</v>
      </c>
      <c r="Q291" s="4">
        <f>IFERROR(__xludf.DUMMYFUNCTION("""COMPUTED_VALUE"""),1.8)</f>
        <v>1.8</v>
      </c>
      <c r="R291" s="4">
        <f>IFERROR(__xludf.DUMMYFUNCTION("""COMPUTED_VALUE"""),1.5)</f>
        <v>1.5</v>
      </c>
      <c r="S291" s="4">
        <f>IFERROR(__xludf.DUMMYFUNCTION("""COMPUTED_VALUE"""),0.2)</f>
        <v>0.2</v>
      </c>
      <c r="T291" s="4">
        <f>IFERROR(__xludf.DUMMYFUNCTION("""COMPUTED_VALUE"""),0.003)</f>
        <v>0.003</v>
      </c>
      <c r="U291" s="4">
        <f>IFERROR(__xludf.DUMMYFUNCTION("""COMPUTED_VALUE"""),-3.9)</f>
        <v>-3.9</v>
      </c>
      <c r="V291" s="4">
        <f>IFERROR(__xludf.DUMMYFUNCTION("""COMPUTED_VALUE"""),-1.1)</f>
        <v>-1.1</v>
      </c>
    </row>
    <row r="292">
      <c r="A292" s="4">
        <f>IFERROR(__xludf.DUMMYFUNCTION("""COMPUTED_VALUE"""),25.0)</f>
        <v>25</v>
      </c>
      <c r="B292" s="4">
        <f>IFERROR(__xludf.DUMMYFUNCTION("""COMPUTED_VALUE"""),25.0)</f>
        <v>25</v>
      </c>
      <c r="C292" s="4" t="str">
        <f>IFERROR(__xludf.DUMMYFUNCTION("""COMPUTED_VALUE"""),"LAC")</f>
        <v>LAC</v>
      </c>
      <c r="D292" s="4" t="str">
        <f>IFERROR(__xludf.DUMMYFUNCTION("""COMPUTED_VALUE"""),"Quentin Grimes")</f>
        <v>Quentin Grimes</v>
      </c>
      <c r="E292" s="4" t="str">
        <f>IFERROR(__xludf.DUMMYFUNCTION("""COMPUTED_VALUE"""),"Houston")</f>
        <v>Houston</v>
      </c>
      <c r="F292" s="4">
        <f>IFERROR(__xludf.DUMMYFUNCTION("""COMPUTED_VALUE"""),5.0)</f>
        <v>5</v>
      </c>
      <c r="G292" s="4">
        <f>IFERROR(__xludf.DUMMYFUNCTION("""COMPUTED_VALUE"""),262.0)</f>
        <v>262</v>
      </c>
      <c r="H292" s="4">
        <f>IFERROR(__xludf.DUMMYFUNCTION("""COMPUTED_VALUE"""),6573.0)</f>
        <v>6573</v>
      </c>
      <c r="I292" s="4">
        <f>IFERROR(__xludf.DUMMYFUNCTION("""COMPUTED_VALUE"""),2848.0)</f>
        <v>2848</v>
      </c>
      <c r="J292" s="4">
        <f>IFERROR(__xludf.DUMMYFUNCTION("""COMPUTED_VALUE"""),819.0)</f>
        <v>819</v>
      </c>
      <c r="K292" s="4">
        <f>IFERROR(__xludf.DUMMYFUNCTION("""COMPUTED_VALUE"""),570.0)</f>
        <v>570</v>
      </c>
      <c r="L292" s="4">
        <f>IFERROR(__xludf.DUMMYFUNCTION("""COMPUTED_VALUE"""),0.445)</f>
        <v>0.445</v>
      </c>
      <c r="M292" s="4">
        <f>IFERROR(__xludf.DUMMYFUNCTION("""COMPUTED_VALUE"""),0.375)</f>
        <v>0.375</v>
      </c>
      <c r="N292" s="4">
        <f>IFERROR(__xludf.DUMMYFUNCTION("""COMPUTED_VALUE"""),0.78)</f>
        <v>0.78</v>
      </c>
      <c r="O292" s="4">
        <f>IFERROR(__xludf.DUMMYFUNCTION("""COMPUTED_VALUE"""),25.1)</f>
        <v>25.1</v>
      </c>
      <c r="P292" s="4">
        <f>IFERROR(__xludf.DUMMYFUNCTION("""COMPUTED_VALUE"""),10.9)</f>
        <v>10.9</v>
      </c>
      <c r="Q292" s="4">
        <f>IFERROR(__xludf.DUMMYFUNCTION("""COMPUTED_VALUE"""),3.1)</f>
        <v>3.1</v>
      </c>
      <c r="R292" s="4">
        <f>IFERROR(__xludf.DUMMYFUNCTION("""COMPUTED_VALUE"""),2.2)</f>
        <v>2.2</v>
      </c>
      <c r="S292" s="4">
        <f>IFERROR(__xludf.DUMMYFUNCTION("""COMPUTED_VALUE"""),11.9)</f>
        <v>11.9</v>
      </c>
      <c r="T292" s="4">
        <f>IFERROR(__xludf.DUMMYFUNCTION("""COMPUTED_VALUE"""),0.087)</f>
        <v>0.087</v>
      </c>
      <c r="U292" s="4">
        <f>IFERROR(__xludf.DUMMYFUNCTION("""COMPUTED_VALUE"""),-0.4)</f>
        <v>-0.4</v>
      </c>
      <c r="V292" s="4">
        <f>IFERROR(__xludf.DUMMYFUNCTION("""COMPUTED_VALUE"""),2.6)</f>
        <v>2.6</v>
      </c>
    </row>
    <row r="293">
      <c r="A293" s="4">
        <f>IFERROR(__xludf.DUMMYFUNCTION("""COMPUTED_VALUE"""),26.0)</f>
        <v>26</v>
      </c>
      <c r="B293" s="4">
        <f>IFERROR(__xludf.DUMMYFUNCTION("""COMPUTED_VALUE"""),26.0)</f>
        <v>26</v>
      </c>
      <c r="C293" s="4" t="str">
        <f>IFERROR(__xludf.DUMMYFUNCTION("""COMPUTED_VALUE"""),"DEN")</f>
        <v>DEN</v>
      </c>
      <c r="D293" s="4" t="str">
        <f>IFERROR(__xludf.DUMMYFUNCTION("""COMPUTED_VALUE"""),"Bones Hyland")</f>
        <v>Bones Hyland</v>
      </c>
      <c r="E293" s="4" t="str">
        <f>IFERROR(__xludf.DUMMYFUNCTION("""COMPUTED_VALUE"""),"VCU")</f>
        <v>VCU</v>
      </c>
      <c r="F293" s="4">
        <f>IFERROR(__xludf.DUMMYFUNCTION("""COMPUTED_VALUE"""),5.0)</f>
        <v>5</v>
      </c>
      <c r="G293" s="4">
        <f>IFERROR(__xludf.DUMMYFUNCTION("""COMPUTED_VALUE"""),200.0)</f>
        <v>200</v>
      </c>
      <c r="H293" s="4">
        <f>IFERROR(__xludf.DUMMYFUNCTION("""COMPUTED_VALUE"""),3293.0)</f>
        <v>3293</v>
      </c>
      <c r="I293" s="4">
        <f>IFERROR(__xludf.DUMMYFUNCTION("""COMPUTED_VALUE"""),1813.0)</f>
        <v>1813</v>
      </c>
      <c r="J293" s="4">
        <f>IFERROR(__xludf.DUMMYFUNCTION("""COMPUTED_VALUE"""),418.0)</f>
        <v>418</v>
      </c>
      <c r="K293" s="4">
        <f>IFERROR(__xludf.DUMMYFUNCTION("""COMPUTED_VALUE"""),506.0)</f>
        <v>506</v>
      </c>
      <c r="L293" s="4">
        <f>IFERROR(__xludf.DUMMYFUNCTION("""COMPUTED_VALUE"""),0.401)</f>
        <v>0.401</v>
      </c>
      <c r="M293" s="4">
        <f>IFERROR(__xludf.DUMMYFUNCTION("""COMPUTED_VALUE"""),0.363)</f>
        <v>0.363</v>
      </c>
      <c r="N293" s="4">
        <f>IFERROR(__xludf.DUMMYFUNCTION("""COMPUTED_VALUE"""),0.846)</f>
        <v>0.846</v>
      </c>
      <c r="O293" s="4">
        <f>IFERROR(__xludf.DUMMYFUNCTION("""COMPUTED_VALUE"""),16.5)</f>
        <v>16.5</v>
      </c>
      <c r="P293" s="4">
        <f>IFERROR(__xludf.DUMMYFUNCTION("""COMPUTED_VALUE"""),9.1)</f>
        <v>9.1</v>
      </c>
      <c r="Q293" s="4">
        <f>IFERROR(__xludf.DUMMYFUNCTION("""COMPUTED_VALUE"""),2.1)</f>
        <v>2.1</v>
      </c>
      <c r="R293" s="4">
        <f>IFERROR(__xludf.DUMMYFUNCTION("""COMPUTED_VALUE"""),2.5)</f>
        <v>2.5</v>
      </c>
      <c r="S293" s="4">
        <f>IFERROR(__xludf.DUMMYFUNCTION("""COMPUTED_VALUE"""),4.5)</f>
        <v>4.5</v>
      </c>
      <c r="T293" s="4">
        <f>IFERROR(__xludf.DUMMYFUNCTION("""COMPUTED_VALUE"""),0.066)</f>
        <v>0.066</v>
      </c>
      <c r="U293" s="4">
        <f>IFERROR(__xludf.DUMMYFUNCTION("""COMPUTED_VALUE"""),-0.9)</f>
        <v>-0.9</v>
      </c>
      <c r="V293" s="4">
        <f>IFERROR(__xludf.DUMMYFUNCTION("""COMPUTED_VALUE"""),0.9)</f>
        <v>0.9</v>
      </c>
    </row>
    <row r="294">
      <c r="A294" s="4">
        <f>IFERROR(__xludf.DUMMYFUNCTION("""COMPUTED_VALUE"""),27.0)</f>
        <v>27</v>
      </c>
      <c r="B294" s="4">
        <f>IFERROR(__xludf.DUMMYFUNCTION("""COMPUTED_VALUE"""),27.0)</f>
        <v>27</v>
      </c>
      <c r="C294" s="4" t="str">
        <f>IFERROR(__xludf.DUMMYFUNCTION("""COMPUTED_VALUE"""),"BRK")</f>
        <v>BRK</v>
      </c>
      <c r="D294" s="4" t="str">
        <f>IFERROR(__xludf.DUMMYFUNCTION("""COMPUTED_VALUE"""),"Cam Thomas")</f>
        <v>Cam Thomas</v>
      </c>
      <c r="E294" s="4" t="str">
        <f>IFERROR(__xludf.DUMMYFUNCTION("""COMPUTED_VALUE"""),"LSU")</f>
        <v>LSU</v>
      </c>
      <c r="F294" s="4">
        <f>IFERROR(__xludf.DUMMYFUNCTION("""COMPUTED_VALUE"""),5.0)</f>
        <v>5</v>
      </c>
      <c r="G294" s="4">
        <f>IFERROR(__xludf.DUMMYFUNCTION("""COMPUTED_VALUE"""),223.0)</f>
        <v>223</v>
      </c>
      <c r="H294" s="4">
        <f>IFERROR(__xludf.DUMMYFUNCTION("""COMPUTED_VALUE"""),5206.0)</f>
        <v>5206</v>
      </c>
      <c r="I294" s="4">
        <f>IFERROR(__xludf.DUMMYFUNCTION("""COMPUTED_VALUE"""),3426.0)</f>
        <v>3426</v>
      </c>
      <c r="J294" s="4">
        <f>IFERROR(__xludf.DUMMYFUNCTION("""COMPUTED_VALUE"""),564.0)</f>
        <v>564</v>
      </c>
      <c r="K294" s="4">
        <f>IFERROR(__xludf.DUMMYFUNCTION("""COMPUTED_VALUE"""),463.0)</f>
        <v>463</v>
      </c>
      <c r="L294" s="4">
        <f>IFERROR(__xludf.DUMMYFUNCTION("""COMPUTED_VALUE"""),0.438)</f>
        <v>0.438</v>
      </c>
      <c r="M294" s="4">
        <f>IFERROR(__xludf.DUMMYFUNCTION("""COMPUTED_VALUE"""),0.346)</f>
        <v>0.346</v>
      </c>
      <c r="N294" s="4">
        <f>IFERROR(__xludf.DUMMYFUNCTION("""COMPUTED_VALUE"""),0.861)</f>
        <v>0.861</v>
      </c>
      <c r="O294" s="4">
        <f>IFERROR(__xludf.DUMMYFUNCTION("""COMPUTED_VALUE"""),23.3)</f>
        <v>23.3</v>
      </c>
      <c r="P294" s="4">
        <f>IFERROR(__xludf.DUMMYFUNCTION("""COMPUTED_VALUE"""),15.4)</f>
        <v>15.4</v>
      </c>
      <c r="Q294" s="4">
        <f>IFERROR(__xludf.DUMMYFUNCTION("""COMPUTED_VALUE"""),2.5)</f>
        <v>2.5</v>
      </c>
      <c r="R294" s="4">
        <f>IFERROR(__xludf.DUMMYFUNCTION("""COMPUTED_VALUE"""),2.1)</f>
        <v>2.1</v>
      </c>
      <c r="S294" s="4">
        <f>IFERROR(__xludf.DUMMYFUNCTION("""COMPUTED_VALUE"""),5.5)</f>
        <v>5.5</v>
      </c>
      <c r="T294" s="4">
        <f>IFERROR(__xludf.DUMMYFUNCTION("""COMPUTED_VALUE"""),0.051)</f>
        <v>0.051</v>
      </c>
      <c r="U294" s="4">
        <f>IFERROR(__xludf.DUMMYFUNCTION("""COMPUTED_VALUE"""),-1.8)</f>
        <v>-1.8</v>
      </c>
      <c r="V294" s="4">
        <f>IFERROR(__xludf.DUMMYFUNCTION("""COMPUTED_VALUE"""),0.2)</f>
        <v>0.2</v>
      </c>
    </row>
    <row r="295">
      <c r="A295" s="4">
        <f>IFERROR(__xludf.DUMMYFUNCTION("""COMPUTED_VALUE"""),28.0)</f>
        <v>28</v>
      </c>
      <c r="B295" s="4">
        <f>IFERROR(__xludf.DUMMYFUNCTION("""COMPUTED_VALUE"""),28.0)</f>
        <v>28</v>
      </c>
      <c r="C295" s="4" t="str">
        <f>IFERROR(__xludf.DUMMYFUNCTION("""COMPUTED_VALUE"""),"PHI")</f>
        <v>PHI</v>
      </c>
      <c r="D295" s="4" t="str">
        <f>IFERROR(__xludf.DUMMYFUNCTION("""COMPUTED_VALUE"""),"Jaden Springer")</f>
        <v>Jaden Springer</v>
      </c>
      <c r="E295" s="4" t="str">
        <f>IFERROR(__xludf.DUMMYFUNCTION("""COMPUTED_VALUE"""),"Tennessee")</f>
        <v>Tennessee</v>
      </c>
      <c r="F295" s="4">
        <f>IFERROR(__xludf.DUMMYFUNCTION("""COMPUTED_VALUE"""),4.0)</f>
        <v>4</v>
      </c>
      <c r="G295" s="4">
        <f>IFERROR(__xludf.DUMMYFUNCTION("""COMPUTED_VALUE"""),110.0)</f>
        <v>110</v>
      </c>
      <c r="H295" s="4">
        <f>IFERROR(__xludf.DUMMYFUNCTION("""COMPUTED_VALUE"""),967.0)</f>
        <v>967</v>
      </c>
      <c r="I295" s="4">
        <f>IFERROR(__xludf.DUMMYFUNCTION("""COMPUTED_VALUE"""),316.0)</f>
        <v>316</v>
      </c>
      <c r="J295" s="4">
        <f>IFERROR(__xludf.DUMMYFUNCTION("""COMPUTED_VALUE"""),152.0)</f>
        <v>152</v>
      </c>
      <c r="K295" s="4">
        <f>IFERROR(__xludf.DUMMYFUNCTION("""COMPUTED_VALUE"""),85.0)</f>
        <v>85</v>
      </c>
      <c r="L295" s="4">
        <f>IFERROR(__xludf.DUMMYFUNCTION("""COMPUTED_VALUE"""),0.409)</f>
        <v>0.409</v>
      </c>
      <c r="M295" s="4">
        <f>IFERROR(__xludf.DUMMYFUNCTION("""COMPUTED_VALUE"""),0.238)</f>
        <v>0.238</v>
      </c>
      <c r="N295" s="4">
        <f>IFERROR(__xludf.DUMMYFUNCTION("""COMPUTED_VALUE"""),0.773)</f>
        <v>0.773</v>
      </c>
      <c r="O295" s="4">
        <f>IFERROR(__xludf.DUMMYFUNCTION("""COMPUTED_VALUE"""),8.8)</f>
        <v>8.8</v>
      </c>
      <c r="P295" s="4">
        <f>IFERROR(__xludf.DUMMYFUNCTION("""COMPUTED_VALUE"""),2.9)</f>
        <v>2.9</v>
      </c>
      <c r="Q295" s="4">
        <f>IFERROR(__xludf.DUMMYFUNCTION("""COMPUTED_VALUE"""),1.4)</f>
        <v>1.4</v>
      </c>
      <c r="R295" s="4">
        <f>IFERROR(__xludf.DUMMYFUNCTION("""COMPUTED_VALUE"""),0.8)</f>
        <v>0.8</v>
      </c>
      <c r="S295" s="4">
        <f>IFERROR(__xludf.DUMMYFUNCTION("""COMPUTED_VALUE"""),1.4)</f>
        <v>1.4</v>
      </c>
      <c r="T295" s="4">
        <f>IFERROR(__xludf.DUMMYFUNCTION("""COMPUTED_VALUE"""),0.068)</f>
        <v>0.068</v>
      </c>
      <c r="U295" s="4">
        <f>IFERROR(__xludf.DUMMYFUNCTION("""COMPUTED_VALUE"""),-2.7)</f>
        <v>-2.7</v>
      </c>
      <c r="V295" s="4">
        <f>IFERROR(__xludf.DUMMYFUNCTION("""COMPUTED_VALUE"""),-0.2)</f>
        <v>-0.2</v>
      </c>
    </row>
    <row r="296">
      <c r="A296" s="4">
        <f>IFERROR(__xludf.DUMMYFUNCTION("""COMPUTED_VALUE"""),29.0)</f>
        <v>29</v>
      </c>
      <c r="B296" s="4">
        <f>IFERROR(__xludf.DUMMYFUNCTION("""COMPUTED_VALUE"""),29.0)</f>
        <v>29</v>
      </c>
      <c r="C296" s="4" t="str">
        <f>IFERROR(__xludf.DUMMYFUNCTION("""COMPUTED_VALUE"""),"PHO")</f>
        <v>PHO</v>
      </c>
      <c r="D296" s="4" t="str">
        <f>IFERROR(__xludf.DUMMYFUNCTION("""COMPUTED_VALUE"""),"Day'Ron Sharpe")</f>
        <v>Day'Ron Sharpe</v>
      </c>
      <c r="E296" s="4" t="str">
        <f>IFERROR(__xludf.DUMMYFUNCTION("""COMPUTED_VALUE"""),"UNC")</f>
        <v>UNC</v>
      </c>
      <c r="F296" s="4">
        <f>IFERROR(__xludf.DUMMYFUNCTION("""COMPUTED_VALUE"""),5.0)</f>
        <v>5</v>
      </c>
      <c r="G296" s="4">
        <f>IFERROR(__xludf.DUMMYFUNCTION("""COMPUTED_VALUE"""),210.0)</f>
        <v>210</v>
      </c>
      <c r="H296" s="4">
        <f>IFERROR(__xludf.DUMMYFUNCTION("""COMPUTED_VALUE"""),3078.0)</f>
        <v>3078</v>
      </c>
      <c r="I296" s="4">
        <f>IFERROR(__xludf.DUMMYFUNCTION("""COMPUTED_VALUE"""),1360.0)</f>
        <v>1360</v>
      </c>
      <c r="J296" s="4">
        <f>IFERROR(__xludf.DUMMYFUNCTION("""COMPUTED_VALUE"""),1180.0)</f>
        <v>1180</v>
      </c>
      <c r="K296" s="4">
        <f>IFERROR(__xludf.DUMMYFUNCTION("""COMPUTED_VALUE"""),263.0)</f>
        <v>263</v>
      </c>
      <c r="L296" s="4">
        <f>IFERROR(__xludf.DUMMYFUNCTION("""COMPUTED_VALUE"""),0.553)</f>
        <v>0.553</v>
      </c>
      <c r="M296" s="4">
        <f>IFERROR(__xludf.DUMMYFUNCTION("""COMPUTED_VALUE"""),0.295)</f>
        <v>0.295</v>
      </c>
      <c r="N296" s="4">
        <f>IFERROR(__xludf.DUMMYFUNCTION("""COMPUTED_VALUE"""),0.637)</f>
        <v>0.637</v>
      </c>
      <c r="O296" s="4">
        <f>IFERROR(__xludf.DUMMYFUNCTION("""COMPUTED_VALUE"""),14.7)</f>
        <v>14.7</v>
      </c>
      <c r="P296" s="4">
        <f>IFERROR(__xludf.DUMMYFUNCTION("""COMPUTED_VALUE"""),6.5)</f>
        <v>6.5</v>
      </c>
      <c r="Q296" s="4">
        <f>IFERROR(__xludf.DUMMYFUNCTION("""COMPUTED_VALUE"""),5.6)</f>
        <v>5.6</v>
      </c>
      <c r="R296" s="4">
        <f>IFERROR(__xludf.DUMMYFUNCTION("""COMPUTED_VALUE"""),1.3)</f>
        <v>1.3</v>
      </c>
      <c r="S296" s="4">
        <f>IFERROR(__xludf.DUMMYFUNCTION("""COMPUTED_VALUE"""),8.8)</f>
        <v>8.8</v>
      </c>
      <c r="T296" s="4">
        <f>IFERROR(__xludf.DUMMYFUNCTION("""COMPUTED_VALUE"""),0.137)</f>
        <v>0.137</v>
      </c>
      <c r="U296" s="4">
        <f>IFERROR(__xludf.DUMMYFUNCTION("""COMPUTED_VALUE"""),-0.7)</f>
        <v>-0.7</v>
      </c>
      <c r="V296" s="4">
        <f>IFERROR(__xludf.DUMMYFUNCTION("""COMPUTED_VALUE"""),1.0)</f>
        <v>1</v>
      </c>
    </row>
    <row r="297">
      <c r="A297" s="4">
        <f>IFERROR(__xludf.DUMMYFUNCTION("""COMPUTED_VALUE"""),30.0)</f>
        <v>30</v>
      </c>
      <c r="B297" s="4">
        <f>IFERROR(__xludf.DUMMYFUNCTION("""COMPUTED_VALUE"""),30.0)</f>
        <v>30</v>
      </c>
      <c r="C297" s="4" t="str">
        <f>IFERROR(__xludf.DUMMYFUNCTION("""COMPUTED_VALUE"""),"UTA")</f>
        <v>UTA</v>
      </c>
      <c r="D297" s="4" t="str">
        <f>IFERROR(__xludf.DUMMYFUNCTION("""COMPUTED_VALUE"""),"Santi Aldama")</f>
        <v>Santi Aldama</v>
      </c>
      <c r="E297" s="4" t="str">
        <f>IFERROR(__xludf.DUMMYFUNCTION("""COMPUTED_VALUE"""),"Loyola (MD)")</f>
        <v>Loyola (MD)</v>
      </c>
      <c r="F297" s="4">
        <f>IFERROR(__xludf.DUMMYFUNCTION("""COMPUTED_VALUE"""),5.0)</f>
        <v>5</v>
      </c>
      <c r="G297" s="4">
        <f>IFERROR(__xludf.DUMMYFUNCTION("""COMPUTED_VALUE"""),257.0)</f>
        <v>257</v>
      </c>
      <c r="H297" s="4">
        <f>IFERROR(__xludf.DUMMYFUNCTION("""COMPUTED_VALUE"""),5892.0)</f>
        <v>5892</v>
      </c>
      <c r="I297" s="4">
        <f>IFERROR(__xludf.DUMMYFUNCTION("""COMPUTED_VALUE"""),2579.0)</f>
        <v>2579</v>
      </c>
      <c r="J297" s="4">
        <f>IFERROR(__xludf.DUMMYFUNCTION("""COMPUTED_VALUE"""),1368.0)</f>
        <v>1368</v>
      </c>
      <c r="K297" s="4">
        <f>IFERROR(__xludf.DUMMYFUNCTION("""COMPUTED_VALUE"""),512.0)</f>
        <v>512</v>
      </c>
      <c r="L297" s="4">
        <f>IFERROR(__xludf.DUMMYFUNCTION("""COMPUTED_VALUE"""),0.46)</f>
        <v>0.46</v>
      </c>
      <c r="M297" s="4">
        <f>IFERROR(__xludf.DUMMYFUNCTION("""COMPUTED_VALUE"""),0.344)</f>
        <v>0.344</v>
      </c>
      <c r="N297" s="4">
        <f>IFERROR(__xludf.DUMMYFUNCTION("""COMPUTED_VALUE"""),0.691)</f>
        <v>0.691</v>
      </c>
      <c r="O297" s="4">
        <f>IFERROR(__xludf.DUMMYFUNCTION("""COMPUTED_VALUE"""),22.9)</f>
        <v>22.9</v>
      </c>
      <c r="P297" s="4">
        <f>IFERROR(__xludf.DUMMYFUNCTION("""COMPUTED_VALUE"""),10.0)</f>
        <v>10</v>
      </c>
      <c r="Q297" s="4">
        <f>IFERROR(__xludf.DUMMYFUNCTION("""COMPUTED_VALUE"""),5.3)</f>
        <v>5.3</v>
      </c>
      <c r="R297" s="4">
        <f>IFERROR(__xludf.DUMMYFUNCTION("""COMPUTED_VALUE"""),2.0)</f>
        <v>2</v>
      </c>
      <c r="S297" s="4">
        <f>IFERROR(__xludf.DUMMYFUNCTION("""COMPUTED_VALUE"""),13.6)</f>
        <v>13.6</v>
      </c>
      <c r="T297" s="4">
        <f>IFERROR(__xludf.DUMMYFUNCTION("""COMPUTED_VALUE"""),0.111)</f>
        <v>0.111</v>
      </c>
      <c r="U297" s="4">
        <f>IFERROR(__xludf.DUMMYFUNCTION("""COMPUTED_VALUE"""),0.9)</f>
        <v>0.9</v>
      </c>
      <c r="V297" s="4">
        <f>IFERROR(__xludf.DUMMYFUNCTION("""COMPUTED_VALUE"""),4.3)</f>
        <v>4.3</v>
      </c>
    </row>
    <row r="298">
      <c r="A298" s="4"/>
      <c r="B298" s="4"/>
      <c r="C298" s="4"/>
      <c r="D298" s="4" t="str">
        <f>IFERROR(__xludf.DUMMYFUNCTION("""COMPUTED_VALUE"""),"Round 2")</f>
        <v>Round 2</v>
      </c>
      <c r="E298" s="4"/>
      <c r="F298" s="4"/>
      <c r="G298" s="4" t="str">
        <f>IFERROR(__xludf.DUMMYFUNCTION("""COMPUTED_VALUE"""),"Totals")</f>
        <v>Totals</v>
      </c>
      <c r="H298" s="4"/>
      <c r="I298" s="4"/>
      <c r="J298" s="4"/>
      <c r="K298" s="4"/>
      <c r="L298" s="4" t="str">
        <f>IFERROR(__xludf.DUMMYFUNCTION("""COMPUTED_VALUE"""),"Shooting")</f>
        <v>Shooting</v>
      </c>
      <c r="M298" s="4"/>
      <c r="N298" s="4"/>
      <c r="O298" s="4" t="str">
        <f>IFERROR(__xludf.DUMMYFUNCTION("""COMPUTED_VALUE"""),"Per Game")</f>
        <v>Per Game</v>
      </c>
      <c r="P298" s="4"/>
      <c r="Q298" s="4"/>
      <c r="R298" s="4"/>
      <c r="S298" s="4" t="str">
        <f>IFERROR(__xludf.DUMMYFUNCTION("""COMPUTED_VALUE"""),"Advanced")</f>
        <v>Advanced</v>
      </c>
      <c r="T298" s="4"/>
      <c r="U298" s="4"/>
      <c r="V298" s="4"/>
    </row>
    <row r="299">
      <c r="A299" s="4" t="str">
        <f>IFERROR(__xludf.DUMMYFUNCTION("""COMPUTED_VALUE"""),"Rk")</f>
        <v>Rk</v>
      </c>
      <c r="B299" s="4" t="str">
        <f>IFERROR(__xludf.DUMMYFUNCTION("""COMPUTED_VALUE"""),"Pk")</f>
        <v>Pk</v>
      </c>
      <c r="C299" s="4" t="str">
        <f>IFERROR(__xludf.DUMMYFUNCTION("""COMPUTED_VALUE"""),"Tm")</f>
        <v>Tm</v>
      </c>
      <c r="D299" s="4" t="str">
        <f>IFERROR(__xludf.DUMMYFUNCTION("""COMPUTED_VALUE"""),"Player")</f>
        <v>Player</v>
      </c>
      <c r="E299" s="4" t="str">
        <f>IFERROR(__xludf.DUMMYFUNCTION("""COMPUTED_VALUE"""),"College")</f>
        <v>College</v>
      </c>
      <c r="F299" s="4" t="str">
        <f>IFERROR(__xludf.DUMMYFUNCTION("""COMPUTED_VALUE"""),"Yrs")</f>
        <v>Yrs</v>
      </c>
      <c r="G299" s="4" t="str">
        <f>IFERROR(__xludf.DUMMYFUNCTION("""COMPUTED_VALUE"""),"G")</f>
        <v>G</v>
      </c>
      <c r="H299" s="4" t="str">
        <f>IFERROR(__xludf.DUMMYFUNCTION("""COMPUTED_VALUE"""),"MP")</f>
        <v>MP</v>
      </c>
      <c r="I299" s="4" t="str">
        <f>IFERROR(__xludf.DUMMYFUNCTION("""COMPUTED_VALUE"""),"PTS")</f>
        <v>PTS</v>
      </c>
      <c r="J299" s="4" t="str">
        <f>IFERROR(__xludf.DUMMYFUNCTION("""COMPUTED_VALUE"""),"TRB")</f>
        <v>TRB</v>
      </c>
      <c r="K299" s="4" t="str">
        <f>IFERROR(__xludf.DUMMYFUNCTION("""COMPUTED_VALUE"""),"AST")</f>
        <v>AST</v>
      </c>
      <c r="L299" s="4" t="str">
        <f>IFERROR(__xludf.DUMMYFUNCTION("""COMPUTED_VALUE"""),"FG%")</f>
        <v>FG%</v>
      </c>
      <c r="M299" s="4" t="str">
        <f>IFERROR(__xludf.DUMMYFUNCTION("""COMPUTED_VALUE"""),"3P%")</f>
        <v>3P%</v>
      </c>
      <c r="N299" s="4" t="str">
        <f>IFERROR(__xludf.DUMMYFUNCTION("""COMPUTED_VALUE"""),"FT%")</f>
        <v>FT%</v>
      </c>
      <c r="O299" s="4" t="str">
        <f>IFERROR(__xludf.DUMMYFUNCTION("""COMPUTED_VALUE"""),"MP")</f>
        <v>MP</v>
      </c>
      <c r="P299" s="4" t="str">
        <f>IFERROR(__xludf.DUMMYFUNCTION("""COMPUTED_VALUE"""),"PTS")</f>
        <v>PTS</v>
      </c>
      <c r="Q299" s="4" t="str">
        <f>IFERROR(__xludf.DUMMYFUNCTION("""COMPUTED_VALUE"""),"TRB")</f>
        <v>TRB</v>
      </c>
      <c r="R299" s="4" t="str">
        <f>IFERROR(__xludf.DUMMYFUNCTION("""COMPUTED_VALUE"""),"AST")</f>
        <v>AST</v>
      </c>
      <c r="S299" s="4" t="str">
        <f>IFERROR(__xludf.DUMMYFUNCTION("""COMPUTED_VALUE"""),"WS")</f>
        <v>WS</v>
      </c>
      <c r="T299" s="4" t="str">
        <f>IFERROR(__xludf.DUMMYFUNCTION("""COMPUTED_VALUE"""),"WS/48")</f>
        <v>WS/48</v>
      </c>
      <c r="U299" s="4" t="str">
        <f>IFERROR(__xludf.DUMMYFUNCTION("""COMPUTED_VALUE"""),"BPM")</f>
        <v>BPM</v>
      </c>
      <c r="V299" s="4" t="str">
        <f>IFERROR(__xludf.DUMMYFUNCTION("""COMPUTED_VALUE"""),"VORP")</f>
        <v>VORP</v>
      </c>
    </row>
    <row r="300">
      <c r="A300" s="4">
        <f>IFERROR(__xludf.DUMMYFUNCTION("""COMPUTED_VALUE"""),31.0)</f>
        <v>31</v>
      </c>
      <c r="B300" s="4">
        <f>IFERROR(__xludf.DUMMYFUNCTION("""COMPUTED_VALUE"""),31.0)</f>
        <v>31</v>
      </c>
      <c r="C300" s="4" t="str">
        <f>IFERROR(__xludf.DUMMYFUNCTION("""COMPUTED_VALUE"""),"MIL")</f>
        <v>MIL</v>
      </c>
      <c r="D300" s="4" t="str">
        <f>IFERROR(__xludf.DUMMYFUNCTION("""COMPUTED_VALUE"""),"Isaiah Todd")</f>
        <v>Isaiah Todd</v>
      </c>
      <c r="E300" s="4"/>
      <c r="F300" s="4">
        <f>IFERROR(__xludf.DUMMYFUNCTION("""COMPUTED_VALUE"""),2.0)</f>
        <v>2</v>
      </c>
      <c r="G300" s="4">
        <f>IFERROR(__xludf.DUMMYFUNCTION("""COMPUTED_VALUE"""),18.0)</f>
        <v>18</v>
      </c>
      <c r="H300" s="4">
        <f>IFERROR(__xludf.DUMMYFUNCTION("""COMPUTED_VALUE"""),135.0)</f>
        <v>135</v>
      </c>
      <c r="I300" s="4">
        <f>IFERROR(__xludf.DUMMYFUNCTION("""COMPUTED_VALUE"""),29.0)</f>
        <v>29</v>
      </c>
      <c r="J300" s="4">
        <f>IFERROR(__xludf.DUMMYFUNCTION("""COMPUTED_VALUE"""),24.0)</f>
        <v>24</v>
      </c>
      <c r="K300" s="4">
        <f>IFERROR(__xludf.DUMMYFUNCTION("""COMPUTED_VALUE"""),8.0)</f>
        <v>8</v>
      </c>
      <c r="L300" s="4">
        <f>IFERROR(__xludf.DUMMYFUNCTION("""COMPUTED_VALUE"""),0.222)</f>
        <v>0.222</v>
      </c>
      <c r="M300" s="4">
        <f>IFERROR(__xludf.DUMMYFUNCTION("""COMPUTED_VALUE"""),0.192)</f>
        <v>0.192</v>
      </c>
      <c r="N300" s="4">
        <f>IFERROR(__xludf.DUMMYFUNCTION("""COMPUTED_VALUE"""),0.5)</f>
        <v>0.5</v>
      </c>
      <c r="O300" s="4">
        <f>IFERROR(__xludf.DUMMYFUNCTION("""COMPUTED_VALUE"""),7.5)</f>
        <v>7.5</v>
      </c>
      <c r="P300" s="4">
        <f>IFERROR(__xludf.DUMMYFUNCTION("""COMPUTED_VALUE"""),1.6)</f>
        <v>1.6</v>
      </c>
      <c r="Q300" s="4">
        <f>IFERROR(__xludf.DUMMYFUNCTION("""COMPUTED_VALUE"""),1.3)</f>
        <v>1.3</v>
      </c>
      <c r="R300" s="4">
        <f>IFERROR(__xludf.DUMMYFUNCTION("""COMPUTED_VALUE"""),0.4)</f>
        <v>0.4</v>
      </c>
      <c r="S300" s="4">
        <f>IFERROR(__xludf.DUMMYFUNCTION("""COMPUTED_VALUE"""),-0.3)</f>
        <v>-0.3</v>
      </c>
      <c r="T300" s="4">
        <f>IFERROR(__xludf.DUMMYFUNCTION("""COMPUTED_VALUE"""),-0.124)</f>
        <v>-0.124</v>
      </c>
      <c r="U300" s="4">
        <f>IFERROR(__xludf.DUMMYFUNCTION("""COMPUTED_VALUE"""),-10.2)</f>
        <v>-10.2</v>
      </c>
      <c r="V300" s="4">
        <f>IFERROR(__xludf.DUMMYFUNCTION("""COMPUTED_VALUE"""),-0.3)</f>
        <v>-0.3</v>
      </c>
    </row>
    <row r="301">
      <c r="A301" s="4">
        <f>IFERROR(__xludf.DUMMYFUNCTION("""COMPUTED_VALUE"""),32.0)</f>
        <v>32</v>
      </c>
      <c r="B301" s="4">
        <f>IFERROR(__xludf.DUMMYFUNCTION("""COMPUTED_VALUE"""),32.0)</f>
        <v>32</v>
      </c>
      <c r="C301" s="4" t="str">
        <f>IFERROR(__xludf.DUMMYFUNCTION("""COMPUTED_VALUE"""),"NYK")</f>
        <v>NYK</v>
      </c>
      <c r="D301" s="4" t="str">
        <f>IFERROR(__xludf.DUMMYFUNCTION("""COMPUTED_VALUE"""),"Jeremiah Robinson-Earl")</f>
        <v>Jeremiah Robinson-Earl</v>
      </c>
      <c r="E301" s="4" t="str">
        <f>IFERROR(__xludf.DUMMYFUNCTION("""COMPUTED_VALUE"""),"Villanova")</f>
        <v>Villanova</v>
      </c>
      <c r="F301" s="4">
        <f>IFERROR(__xludf.DUMMYFUNCTION("""COMPUTED_VALUE"""),5.0)</f>
        <v>5</v>
      </c>
      <c r="G301" s="4">
        <f>IFERROR(__xludf.DUMMYFUNCTION("""COMPUTED_VALUE"""),213.0)</f>
        <v>213</v>
      </c>
      <c r="H301" s="4">
        <f>IFERROR(__xludf.DUMMYFUNCTION("""COMPUTED_VALUE"""),3770.0)</f>
        <v>3770</v>
      </c>
      <c r="I301" s="4">
        <f>IFERROR(__xludf.DUMMYFUNCTION("""COMPUTED_VALUE"""),1268.0)</f>
        <v>1268</v>
      </c>
      <c r="J301" s="4">
        <f>IFERROR(__xludf.DUMMYFUNCTION("""COMPUTED_VALUE"""),931.0)</f>
        <v>931</v>
      </c>
      <c r="K301" s="4">
        <f>IFERROR(__xludf.DUMMYFUNCTION("""COMPUTED_VALUE"""),213.0)</f>
        <v>213</v>
      </c>
      <c r="L301" s="4">
        <f>IFERROR(__xludf.DUMMYFUNCTION("""COMPUTED_VALUE"""),0.435)</f>
        <v>0.435</v>
      </c>
      <c r="M301" s="4">
        <f>IFERROR(__xludf.DUMMYFUNCTION("""COMPUTED_VALUE"""),0.337)</f>
        <v>0.337</v>
      </c>
      <c r="N301" s="4">
        <f>IFERROR(__xludf.DUMMYFUNCTION("""COMPUTED_VALUE"""),0.807)</f>
        <v>0.807</v>
      </c>
      <c r="O301" s="4">
        <f>IFERROR(__xludf.DUMMYFUNCTION("""COMPUTED_VALUE"""),17.7)</f>
        <v>17.7</v>
      </c>
      <c r="P301" s="4">
        <f>IFERROR(__xludf.DUMMYFUNCTION("""COMPUTED_VALUE"""),6.0)</f>
        <v>6</v>
      </c>
      <c r="Q301" s="4">
        <f>IFERROR(__xludf.DUMMYFUNCTION("""COMPUTED_VALUE"""),4.4)</f>
        <v>4.4</v>
      </c>
      <c r="R301" s="4">
        <f>IFERROR(__xludf.DUMMYFUNCTION("""COMPUTED_VALUE"""),1.0)</f>
        <v>1</v>
      </c>
      <c r="S301" s="4">
        <f>IFERROR(__xludf.DUMMYFUNCTION("""COMPUTED_VALUE"""),5.9)</f>
        <v>5.9</v>
      </c>
      <c r="T301" s="4">
        <f>IFERROR(__xludf.DUMMYFUNCTION("""COMPUTED_VALUE"""),0.075)</f>
        <v>0.075</v>
      </c>
      <c r="U301" s="4">
        <f>IFERROR(__xludf.DUMMYFUNCTION("""COMPUTED_VALUE"""),-2.4)</f>
        <v>-2.4</v>
      </c>
      <c r="V301" s="4">
        <f>IFERROR(__xludf.DUMMYFUNCTION("""COMPUTED_VALUE"""),-0.4)</f>
        <v>-0.4</v>
      </c>
    </row>
    <row r="302">
      <c r="A302" s="4">
        <f>IFERROR(__xludf.DUMMYFUNCTION("""COMPUTED_VALUE"""),33.0)</f>
        <v>33</v>
      </c>
      <c r="B302" s="4">
        <f>IFERROR(__xludf.DUMMYFUNCTION("""COMPUTED_VALUE"""),33.0)</f>
        <v>33</v>
      </c>
      <c r="C302" s="4" t="str">
        <f>IFERROR(__xludf.DUMMYFUNCTION("""COMPUTED_VALUE"""),"ORL")</f>
        <v>ORL</v>
      </c>
      <c r="D302" s="4" t="str">
        <f>IFERROR(__xludf.DUMMYFUNCTION("""COMPUTED_VALUE"""),"Jason Preston")</f>
        <v>Jason Preston</v>
      </c>
      <c r="E302" s="4" t="str">
        <f>IFERROR(__xludf.DUMMYFUNCTION("""COMPUTED_VALUE"""),"Ohio University")</f>
        <v>Ohio University</v>
      </c>
      <c r="F302" s="4">
        <f>IFERROR(__xludf.DUMMYFUNCTION("""COMPUTED_VALUE"""),2.0)</f>
        <v>2</v>
      </c>
      <c r="G302" s="4">
        <f>IFERROR(__xludf.DUMMYFUNCTION("""COMPUTED_VALUE"""),21.0)</f>
        <v>21</v>
      </c>
      <c r="H302" s="4">
        <f>IFERROR(__xludf.DUMMYFUNCTION("""COMPUTED_VALUE"""),195.0)</f>
        <v>195</v>
      </c>
      <c r="I302" s="4">
        <f>IFERROR(__xludf.DUMMYFUNCTION("""COMPUTED_VALUE"""),53.0)</f>
        <v>53</v>
      </c>
      <c r="J302" s="4">
        <f>IFERROR(__xludf.DUMMYFUNCTION("""COMPUTED_VALUE"""),39.0)</f>
        <v>39</v>
      </c>
      <c r="K302" s="4">
        <f>IFERROR(__xludf.DUMMYFUNCTION("""COMPUTED_VALUE"""),43.0)</f>
        <v>43</v>
      </c>
      <c r="L302" s="4">
        <f>IFERROR(__xludf.DUMMYFUNCTION("""COMPUTED_VALUE"""),0.4)</f>
        <v>0.4</v>
      </c>
      <c r="M302" s="4">
        <f>IFERROR(__xludf.DUMMYFUNCTION("""COMPUTED_VALUE"""),0.238)</f>
        <v>0.238</v>
      </c>
      <c r="N302" s="4">
        <f>IFERROR(__xludf.DUMMYFUNCTION("""COMPUTED_VALUE"""),0.0)</f>
        <v>0</v>
      </c>
      <c r="O302" s="4">
        <f>IFERROR(__xludf.DUMMYFUNCTION("""COMPUTED_VALUE"""),9.3)</f>
        <v>9.3</v>
      </c>
      <c r="P302" s="4">
        <f>IFERROR(__xludf.DUMMYFUNCTION("""COMPUTED_VALUE"""),2.5)</f>
        <v>2.5</v>
      </c>
      <c r="Q302" s="4">
        <f>IFERROR(__xludf.DUMMYFUNCTION("""COMPUTED_VALUE"""),1.9)</f>
        <v>1.9</v>
      </c>
      <c r="R302" s="4">
        <f>IFERROR(__xludf.DUMMYFUNCTION("""COMPUTED_VALUE"""),2.0)</f>
        <v>2</v>
      </c>
      <c r="S302" s="4">
        <f>IFERROR(__xludf.DUMMYFUNCTION("""COMPUTED_VALUE"""),0.1)</f>
        <v>0.1</v>
      </c>
      <c r="T302" s="4">
        <f>IFERROR(__xludf.DUMMYFUNCTION("""COMPUTED_VALUE"""),0.023)</f>
        <v>0.023</v>
      </c>
      <c r="U302" s="4">
        <f>IFERROR(__xludf.DUMMYFUNCTION("""COMPUTED_VALUE"""),-2.6)</f>
        <v>-2.6</v>
      </c>
      <c r="V302" s="4">
        <f>IFERROR(__xludf.DUMMYFUNCTION("""COMPUTED_VALUE"""),0.0)</f>
        <v>0</v>
      </c>
    </row>
    <row r="303">
      <c r="A303" s="4">
        <f>IFERROR(__xludf.DUMMYFUNCTION("""COMPUTED_VALUE"""),34.0)</f>
        <v>34</v>
      </c>
      <c r="B303" s="4">
        <f>IFERROR(__xludf.DUMMYFUNCTION("""COMPUTED_VALUE"""),34.0)</f>
        <v>34</v>
      </c>
      <c r="C303" s="4" t="str">
        <f>IFERROR(__xludf.DUMMYFUNCTION("""COMPUTED_VALUE"""),"OKC")</f>
        <v>OKC</v>
      </c>
      <c r="D303" s="4" t="str">
        <f>IFERROR(__xludf.DUMMYFUNCTION("""COMPUTED_VALUE"""),"Rokas Jokubaitis")</f>
        <v>Rokas Jokubaitis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>
        <f>IFERROR(__xludf.DUMMYFUNCTION("""COMPUTED_VALUE"""),35.0)</f>
        <v>35</v>
      </c>
      <c r="B304" s="4">
        <f>IFERROR(__xludf.DUMMYFUNCTION("""COMPUTED_VALUE"""),35.0)</f>
        <v>35</v>
      </c>
      <c r="C304" s="4" t="str">
        <f>IFERROR(__xludf.DUMMYFUNCTION("""COMPUTED_VALUE"""),"NOP")</f>
        <v>NOP</v>
      </c>
      <c r="D304" s="4" t="str">
        <f>IFERROR(__xludf.DUMMYFUNCTION("""COMPUTED_VALUE"""),"Herbert Jones")</f>
        <v>Herbert Jones</v>
      </c>
      <c r="E304" s="4" t="str">
        <f>IFERROR(__xludf.DUMMYFUNCTION("""COMPUTED_VALUE"""),"Alabama")</f>
        <v>Alabama</v>
      </c>
      <c r="F304" s="4">
        <f>IFERROR(__xludf.DUMMYFUNCTION("""COMPUTED_VALUE"""),5.0)</f>
        <v>5</v>
      </c>
      <c r="G304" s="4">
        <f>IFERROR(__xludf.DUMMYFUNCTION("""COMPUTED_VALUE"""),256.0)</f>
        <v>256</v>
      </c>
      <c r="H304" s="4">
        <f>IFERROR(__xludf.DUMMYFUNCTION("""COMPUTED_VALUE"""),7739.0)</f>
        <v>7739</v>
      </c>
      <c r="I304" s="4">
        <f>IFERROR(__xludf.DUMMYFUNCTION("""COMPUTED_VALUE"""),2585.0)</f>
        <v>2585</v>
      </c>
      <c r="J304" s="4">
        <f>IFERROR(__xludf.DUMMYFUNCTION("""COMPUTED_VALUE"""),975.0)</f>
        <v>975</v>
      </c>
      <c r="K304" s="4">
        <f>IFERROR(__xludf.DUMMYFUNCTION("""COMPUTED_VALUE"""),630.0)</f>
        <v>630</v>
      </c>
      <c r="L304" s="4">
        <f>IFERROR(__xludf.DUMMYFUNCTION("""COMPUTED_VALUE"""),0.471)</f>
        <v>0.471</v>
      </c>
      <c r="M304" s="4">
        <f>IFERROR(__xludf.DUMMYFUNCTION("""COMPUTED_VALUE"""),0.365)</f>
        <v>0.365</v>
      </c>
      <c r="N304" s="4">
        <f>IFERROR(__xludf.DUMMYFUNCTION("""COMPUTED_VALUE"""),0.82)</f>
        <v>0.82</v>
      </c>
      <c r="O304" s="4">
        <f>IFERROR(__xludf.DUMMYFUNCTION("""COMPUTED_VALUE"""),30.2)</f>
        <v>30.2</v>
      </c>
      <c r="P304" s="4">
        <f>IFERROR(__xludf.DUMMYFUNCTION("""COMPUTED_VALUE"""),10.1)</f>
        <v>10.1</v>
      </c>
      <c r="Q304" s="4">
        <f>IFERROR(__xludf.DUMMYFUNCTION("""COMPUTED_VALUE"""),3.8)</f>
        <v>3.8</v>
      </c>
      <c r="R304" s="4">
        <f>IFERROR(__xludf.DUMMYFUNCTION("""COMPUTED_VALUE"""),2.5)</f>
        <v>2.5</v>
      </c>
      <c r="S304" s="4">
        <f>IFERROR(__xludf.DUMMYFUNCTION("""COMPUTED_VALUE"""),15.5)</f>
        <v>15.5</v>
      </c>
      <c r="T304" s="4">
        <f>IFERROR(__xludf.DUMMYFUNCTION("""COMPUTED_VALUE"""),0.096)</f>
        <v>0.096</v>
      </c>
      <c r="U304" s="4">
        <f>IFERROR(__xludf.DUMMYFUNCTION("""COMPUTED_VALUE"""),-0.7)</f>
        <v>-0.7</v>
      </c>
      <c r="V304" s="4">
        <f>IFERROR(__xludf.DUMMYFUNCTION("""COMPUTED_VALUE"""),2.6)</f>
        <v>2.6</v>
      </c>
    </row>
    <row r="305">
      <c r="A305" s="4">
        <f>IFERROR(__xludf.DUMMYFUNCTION("""COMPUTED_VALUE"""),36.0)</f>
        <v>36</v>
      </c>
      <c r="B305" s="4">
        <f>IFERROR(__xludf.DUMMYFUNCTION("""COMPUTED_VALUE"""),36.0)</f>
        <v>36</v>
      </c>
      <c r="C305" s="4" t="str">
        <f>IFERROR(__xludf.DUMMYFUNCTION("""COMPUTED_VALUE"""),"OKC")</f>
        <v>OKC</v>
      </c>
      <c r="D305" s="4" t="str">
        <f>IFERROR(__xludf.DUMMYFUNCTION("""COMPUTED_VALUE"""),"Miles McBride")</f>
        <v>Miles McBride</v>
      </c>
      <c r="E305" s="4" t="str">
        <f>IFERROR(__xludf.DUMMYFUNCTION("""COMPUTED_VALUE"""),"West Virginia")</f>
        <v>West Virginia</v>
      </c>
      <c r="F305" s="4">
        <f>IFERROR(__xludf.DUMMYFUNCTION("""COMPUTED_VALUE"""),5.0)</f>
        <v>5</v>
      </c>
      <c r="G305" s="4">
        <f>IFERROR(__xludf.DUMMYFUNCTION("""COMPUTED_VALUE"""),253.0)</f>
        <v>253</v>
      </c>
      <c r="H305" s="4">
        <f>IFERROR(__xludf.DUMMYFUNCTION("""COMPUTED_VALUE"""),4515.0)</f>
        <v>4515</v>
      </c>
      <c r="I305" s="4">
        <f>IFERROR(__xludf.DUMMYFUNCTION("""COMPUTED_VALUE"""),1675.0)</f>
        <v>1675</v>
      </c>
      <c r="J305" s="4">
        <f>IFERROR(__xludf.DUMMYFUNCTION("""COMPUTED_VALUE"""),398.0)</f>
        <v>398</v>
      </c>
      <c r="K305" s="4">
        <f>IFERROR(__xludf.DUMMYFUNCTION("""COMPUTED_VALUE"""),458.0)</f>
        <v>458</v>
      </c>
      <c r="L305" s="4">
        <f>IFERROR(__xludf.DUMMYFUNCTION("""COMPUTED_VALUE"""),0.408)</f>
        <v>0.408</v>
      </c>
      <c r="M305" s="4">
        <f>IFERROR(__xludf.DUMMYFUNCTION("""COMPUTED_VALUE"""),0.37)</f>
        <v>0.37</v>
      </c>
      <c r="N305" s="4">
        <f>IFERROR(__xludf.DUMMYFUNCTION("""COMPUTED_VALUE"""),0.777)</f>
        <v>0.777</v>
      </c>
      <c r="O305" s="4">
        <f>IFERROR(__xludf.DUMMYFUNCTION("""COMPUTED_VALUE"""),17.8)</f>
        <v>17.8</v>
      </c>
      <c r="P305" s="4">
        <f>IFERROR(__xludf.DUMMYFUNCTION("""COMPUTED_VALUE"""),6.6)</f>
        <v>6.6</v>
      </c>
      <c r="Q305" s="4">
        <f>IFERROR(__xludf.DUMMYFUNCTION("""COMPUTED_VALUE"""),1.6)</f>
        <v>1.6</v>
      </c>
      <c r="R305" s="4">
        <f>IFERROR(__xludf.DUMMYFUNCTION("""COMPUTED_VALUE"""),1.8)</f>
        <v>1.8</v>
      </c>
      <c r="S305" s="4">
        <f>IFERROR(__xludf.DUMMYFUNCTION("""COMPUTED_VALUE"""),8.9)</f>
        <v>8.9</v>
      </c>
      <c r="T305" s="4">
        <f>IFERROR(__xludf.DUMMYFUNCTION("""COMPUTED_VALUE"""),0.095)</f>
        <v>0.095</v>
      </c>
      <c r="U305" s="4">
        <f>IFERROR(__xludf.DUMMYFUNCTION("""COMPUTED_VALUE"""),-0.7)</f>
        <v>-0.7</v>
      </c>
      <c r="V305" s="4">
        <f>IFERROR(__xludf.DUMMYFUNCTION("""COMPUTED_VALUE"""),1.5)</f>
        <v>1.5</v>
      </c>
    </row>
    <row r="306">
      <c r="A306" s="4">
        <f>IFERROR(__xludf.DUMMYFUNCTION("""COMPUTED_VALUE"""),37.0)</f>
        <v>37</v>
      </c>
      <c r="B306" s="4">
        <f>IFERROR(__xludf.DUMMYFUNCTION("""COMPUTED_VALUE"""),37.0)</f>
        <v>37</v>
      </c>
      <c r="C306" s="4" t="str">
        <f>IFERROR(__xludf.DUMMYFUNCTION("""COMPUTED_VALUE"""),"DET")</f>
        <v>DET</v>
      </c>
      <c r="D306" s="4" t="str">
        <f>IFERROR(__xludf.DUMMYFUNCTION("""COMPUTED_VALUE"""),"JT Thor")</f>
        <v>JT Thor</v>
      </c>
      <c r="E306" s="4" t="str">
        <f>IFERROR(__xludf.DUMMYFUNCTION("""COMPUTED_VALUE"""),"Auburn")</f>
        <v>Auburn</v>
      </c>
      <c r="F306" s="4">
        <f>IFERROR(__xludf.DUMMYFUNCTION("""COMPUTED_VALUE"""),4.0)</f>
        <v>4</v>
      </c>
      <c r="G306" s="4">
        <f>IFERROR(__xludf.DUMMYFUNCTION("""COMPUTED_VALUE"""),185.0)</f>
        <v>185</v>
      </c>
      <c r="H306" s="4">
        <f>IFERROR(__xludf.DUMMYFUNCTION("""COMPUTED_VALUE"""),2261.0)</f>
        <v>2261</v>
      </c>
      <c r="I306" s="4">
        <f>IFERROR(__xludf.DUMMYFUNCTION("""COMPUTED_VALUE"""),599.0)</f>
        <v>599</v>
      </c>
      <c r="J306" s="4">
        <f>IFERROR(__xludf.DUMMYFUNCTION("""COMPUTED_VALUE"""),389.0)</f>
        <v>389</v>
      </c>
      <c r="K306" s="4">
        <f>IFERROR(__xludf.DUMMYFUNCTION("""COMPUTED_VALUE"""),90.0)</f>
        <v>90</v>
      </c>
      <c r="L306" s="4">
        <f>IFERROR(__xludf.DUMMYFUNCTION("""COMPUTED_VALUE"""),0.419)</f>
        <v>0.419</v>
      </c>
      <c r="M306" s="4">
        <f>IFERROR(__xludf.DUMMYFUNCTION("""COMPUTED_VALUE"""),0.317)</f>
        <v>0.317</v>
      </c>
      <c r="N306" s="4">
        <f>IFERROR(__xludf.DUMMYFUNCTION("""COMPUTED_VALUE"""),0.651)</f>
        <v>0.651</v>
      </c>
      <c r="O306" s="4">
        <f>IFERROR(__xludf.DUMMYFUNCTION("""COMPUTED_VALUE"""),12.2)</f>
        <v>12.2</v>
      </c>
      <c r="P306" s="4">
        <f>IFERROR(__xludf.DUMMYFUNCTION("""COMPUTED_VALUE"""),3.2)</f>
        <v>3.2</v>
      </c>
      <c r="Q306" s="4">
        <f>IFERROR(__xludf.DUMMYFUNCTION("""COMPUTED_VALUE"""),2.1)</f>
        <v>2.1</v>
      </c>
      <c r="R306" s="4">
        <f>IFERROR(__xludf.DUMMYFUNCTION("""COMPUTED_VALUE"""),0.5)</f>
        <v>0.5</v>
      </c>
      <c r="S306" s="4">
        <f>IFERROR(__xludf.DUMMYFUNCTION("""COMPUTED_VALUE"""),1.2)</f>
        <v>1.2</v>
      </c>
      <c r="T306" s="4">
        <f>IFERROR(__xludf.DUMMYFUNCTION("""COMPUTED_VALUE"""),0.026)</f>
        <v>0.026</v>
      </c>
      <c r="U306" s="4">
        <f>IFERROR(__xludf.DUMMYFUNCTION("""COMPUTED_VALUE"""),-4.5)</f>
        <v>-4.5</v>
      </c>
      <c r="V306" s="4">
        <f>IFERROR(__xludf.DUMMYFUNCTION("""COMPUTED_VALUE"""),-1.5)</f>
        <v>-1.5</v>
      </c>
    </row>
    <row r="307">
      <c r="A307" s="4">
        <f>IFERROR(__xludf.DUMMYFUNCTION("""COMPUTED_VALUE"""),38.0)</f>
        <v>38</v>
      </c>
      <c r="B307" s="4">
        <f>IFERROR(__xludf.DUMMYFUNCTION("""COMPUTED_VALUE"""),38.0)</f>
        <v>38</v>
      </c>
      <c r="C307" s="4" t="str">
        <f>IFERROR(__xludf.DUMMYFUNCTION("""COMPUTED_VALUE"""),"CHI")</f>
        <v>CHI</v>
      </c>
      <c r="D307" s="4" t="str">
        <f>IFERROR(__xludf.DUMMYFUNCTION("""COMPUTED_VALUE"""),"Ayo Dosunmu")</f>
        <v>Ayo Dosunmu</v>
      </c>
      <c r="E307" s="4" t="str">
        <f>IFERROR(__xludf.DUMMYFUNCTION("""COMPUTED_VALUE"""),"Illinois")</f>
        <v>Illinois</v>
      </c>
      <c r="F307" s="4">
        <f>IFERROR(__xludf.DUMMYFUNCTION("""COMPUTED_VALUE"""),5.0)</f>
        <v>5</v>
      </c>
      <c r="G307" s="4">
        <f>IFERROR(__xludf.DUMMYFUNCTION("""COMPUTED_VALUE"""),297.0)</f>
        <v>297</v>
      </c>
      <c r="H307" s="4">
        <f>IFERROR(__xludf.DUMMYFUNCTION("""COMPUTED_VALUE"""),8307.0)</f>
        <v>8307</v>
      </c>
      <c r="I307" s="4">
        <f>IFERROR(__xludf.DUMMYFUNCTION("""COMPUTED_VALUE"""),3140.0)</f>
        <v>3140</v>
      </c>
      <c r="J307" s="4">
        <f>IFERROR(__xludf.DUMMYFUNCTION("""COMPUTED_VALUE"""),859.0)</f>
        <v>859</v>
      </c>
      <c r="K307" s="4">
        <f>IFERROR(__xludf.DUMMYFUNCTION("""COMPUTED_VALUE"""),969.0)</f>
        <v>969</v>
      </c>
      <c r="L307" s="4">
        <f>IFERROR(__xludf.DUMMYFUNCTION("""COMPUTED_VALUE"""),0.504)</f>
        <v>0.504</v>
      </c>
      <c r="M307" s="4">
        <f>IFERROR(__xludf.DUMMYFUNCTION("""COMPUTED_VALUE"""),0.371)</f>
        <v>0.371</v>
      </c>
      <c r="N307" s="4">
        <f>IFERROR(__xludf.DUMMYFUNCTION("""COMPUTED_VALUE"""),0.782)</f>
        <v>0.782</v>
      </c>
      <c r="O307" s="4">
        <f>IFERROR(__xludf.DUMMYFUNCTION("""COMPUTED_VALUE"""),28.0)</f>
        <v>28</v>
      </c>
      <c r="P307" s="4">
        <f>IFERROR(__xludf.DUMMYFUNCTION("""COMPUTED_VALUE"""),10.6)</f>
        <v>10.6</v>
      </c>
      <c r="Q307" s="4">
        <f>IFERROR(__xludf.DUMMYFUNCTION("""COMPUTED_VALUE"""),2.9)</f>
        <v>2.9</v>
      </c>
      <c r="R307" s="4">
        <f>IFERROR(__xludf.DUMMYFUNCTION("""COMPUTED_VALUE"""),3.3)</f>
        <v>3.3</v>
      </c>
      <c r="S307" s="4">
        <f>IFERROR(__xludf.DUMMYFUNCTION("""COMPUTED_VALUE"""),13.8)</f>
        <v>13.8</v>
      </c>
      <c r="T307" s="4">
        <f>IFERROR(__xludf.DUMMYFUNCTION("""COMPUTED_VALUE"""),0.08)</f>
        <v>0.08</v>
      </c>
      <c r="U307" s="4">
        <f>IFERROR(__xludf.DUMMYFUNCTION("""COMPUTED_VALUE"""),-1.6)</f>
        <v>-1.6</v>
      </c>
      <c r="V307" s="4">
        <f>IFERROR(__xludf.DUMMYFUNCTION("""COMPUTED_VALUE"""),0.8)</f>
        <v>0.8</v>
      </c>
    </row>
    <row r="308">
      <c r="A308" s="4">
        <f>IFERROR(__xludf.DUMMYFUNCTION("""COMPUTED_VALUE"""),39.0)</f>
        <v>39</v>
      </c>
      <c r="B308" s="4">
        <f>IFERROR(__xludf.DUMMYFUNCTION("""COMPUTED_VALUE"""),39.0)</f>
        <v>39</v>
      </c>
      <c r="C308" s="4" t="str">
        <f>IFERROR(__xludf.DUMMYFUNCTION("""COMPUTED_VALUE"""),"SAC")</f>
        <v>SAC</v>
      </c>
      <c r="D308" s="4" t="str">
        <f>IFERROR(__xludf.DUMMYFUNCTION("""COMPUTED_VALUE"""),"Neemias Queta")</f>
        <v>Neemias Queta</v>
      </c>
      <c r="E308" s="4" t="str">
        <f>IFERROR(__xludf.DUMMYFUNCTION("""COMPUTED_VALUE"""),"Utah State University")</f>
        <v>Utah State University</v>
      </c>
      <c r="F308" s="4">
        <f>IFERROR(__xludf.DUMMYFUNCTION("""COMPUTED_VALUE"""),5.0)</f>
        <v>5</v>
      </c>
      <c r="G308" s="4">
        <f>IFERROR(__xludf.DUMMYFUNCTION("""COMPUTED_VALUE"""),129.0)</f>
        <v>129</v>
      </c>
      <c r="H308" s="4">
        <f>IFERROR(__xludf.DUMMYFUNCTION("""COMPUTED_VALUE"""),1797.0)</f>
        <v>1797</v>
      </c>
      <c r="I308" s="4">
        <f>IFERROR(__xludf.DUMMYFUNCTION("""COMPUTED_VALUE"""),706.0)</f>
        <v>706</v>
      </c>
      <c r="J308" s="4">
        <f>IFERROR(__xludf.DUMMYFUNCTION("""COMPUTED_VALUE"""),559.0)</f>
        <v>559</v>
      </c>
      <c r="K308" s="4">
        <f>IFERROR(__xludf.DUMMYFUNCTION("""COMPUTED_VALUE"""),101.0)</f>
        <v>101</v>
      </c>
      <c r="L308" s="4">
        <f>IFERROR(__xludf.DUMMYFUNCTION("""COMPUTED_VALUE"""),0.635)</f>
        <v>0.635</v>
      </c>
      <c r="M308" s="4">
        <f>IFERROR(__xludf.DUMMYFUNCTION("""COMPUTED_VALUE"""),0.0)</f>
        <v>0</v>
      </c>
      <c r="N308" s="4">
        <f>IFERROR(__xludf.DUMMYFUNCTION("""COMPUTED_VALUE"""),0.685)</f>
        <v>0.685</v>
      </c>
      <c r="O308" s="4">
        <f>IFERROR(__xludf.DUMMYFUNCTION("""COMPUTED_VALUE"""),13.9)</f>
        <v>13.9</v>
      </c>
      <c r="P308" s="4">
        <f>IFERROR(__xludf.DUMMYFUNCTION("""COMPUTED_VALUE"""),5.5)</f>
        <v>5.5</v>
      </c>
      <c r="Q308" s="4">
        <f>IFERROR(__xludf.DUMMYFUNCTION("""COMPUTED_VALUE"""),4.3)</f>
        <v>4.3</v>
      </c>
      <c r="R308" s="4">
        <f>IFERROR(__xludf.DUMMYFUNCTION("""COMPUTED_VALUE"""),0.8)</f>
        <v>0.8</v>
      </c>
      <c r="S308" s="4">
        <f>IFERROR(__xludf.DUMMYFUNCTION("""COMPUTED_VALUE"""),7.2)</f>
        <v>7.2</v>
      </c>
      <c r="T308" s="4">
        <f>IFERROR(__xludf.DUMMYFUNCTION("""COMPUTED_VALUE"""),0.192)</f>
        <v>0.192</v>
      </c>
      <c r="U308" s="4">
        <f>IFERROR(__xludf.DUMMYFUNCTION("""COMPUTED_VALUE"""),0.0)</f>
        <v>0</v>
      </c>
      <c r="V308" s="4">
        <f>IFERROR(__xludf.DUMMYFUNCTION("""COMPUTED_VALUE"""),0.9)</f>
        <v>0.9</v>
      </c>
    </row>
    <row r="309">
      <c r="A309" s="4">
        <f>IFERROR(__xludf.DUMMYFUNCTION("""COMPUTED_VALUE"""),40.0)</f>
        <v>40</v>
      </c>
      <c r="B309" s="4">
        <f>IFERROR(__xludf.DUMMYFUNCTION("""COMPUTED_VALUE"""),40.0)</f>
        <v>40</v>
      </c>
      <c r="C309" s="4" t="str">
        <f>IFERROR(__xludf.DUMMYFUNCTION("""COMPUTED_VALUE"""),"NOP")</f>
        <v>NOP</v>
      </c>
      <c r="D309" s="4" t="str">
        <f>IFERROR(__xludf.DUMMYFUNCTION("""COMPUTED_VALUE"""),"Jared Butler")</f>
        <v>Jared Butler</v>
      </c>
      <c r="E309" s="4" t="str">
        <f>IFERROR(__xludf.DUMMYFUNCTION("""COMPUTED_VALUE"""),"Baylor")</f>
        <v>Baylor</v>
      </c>
      <c r="F309" s="4">
        <f>IFERROR(__xludf.DUMMYFUNCTION("""COMPUTED_VALUE"""),4.0)</f>
        <v>4</v>
      </c>
      <c r="G309" s="4">
        <f>IFERROR(__xludf.DUMMYFUNCTION("""COMPUTED_VALUE"""),148.0)</f>
        <v>148</v>
      </c>
      <c r="H309" s="4">
        <f>IFERROR(__xludf.DUMMYFUNCTION("""COMPUTED_VALUE"""),2047.0)</f>
        <v>2047</v>
      </c>
      <c r="I309" s="4">
        <f>IFERROR(__xludf.DUMMYFUNCTION("""COMPUTED_VALUE"""),990.0)</f>
        <v>990</v>
      </c>
      <c r="J309" s="4">
        <f>IFERROR(__xludf.DUMMYFUNCTION("""COMPUTED_VALUE"""),217.0)</f>
        <v>217</v>
      </c>
      <c r="K309" s="4">
        <f>IFERROR(__xludf.DUMMYFUNCTION("""COMPUTED_VALUE"""),417.0)</f>
        <v>417</v>
      </c>
      <c r="L309" s="4">
        <f>IFERROR(__xludf.DUMMYFUNCTION("""COMPUTED_VALUE"""),0.45)</f>
        <v>0.45</v>
      </c>
      <c r="M309" s="4">
        <f>IFERROR(__xludf.DUMMYFUNCTION("""COMPUTED_VALUE"""),0.341)</f>
        <v>0.341</v>
      </c>
      <c r="N309" s="4">
        <f>IFERROR(__xludf.DUMMYFUNCTION("""COMPUTED_VALUE"""),0.818)</f>
        <v>0.818</v>
      </c>
      <c r="O309" s="4">
        <f>IFERROR(__xludf.DUMMYFUNCTION("""COMPUTED_VALUE"""),13.8)</f>
        <v>13.8</v>
      </c>
      <c r="P309" s="4">
        <f>IFERROR(__xludf.DUMMYFUNCTION("""COMPUTED_VALUE"""),6.7)</f>
        <v>6.7</v>
      </c>
      <c r="Q309" s="4">
        <f>IFERROR(__xludf.DUMMYFUNCTION("""COMPUTED_VALUE"""),1.5)</f>
        <v>1.5</v>
      </c>
      <c r="R309" s="4">
        <f>IFERROR(__xludf.DUMMYFUNCTION("""COMPUTED_VALUE"""),2.8)</f>
        <v>2.8</v>
      </c>
      <c r="S309" s="4">
        <f>IFERROR(__xludf.DUMMYFUNCTION("""COMPUTED_VALUE"""),2.5)</f>
        <v>2.5</v>
      </c>
      <c r="T309" s="4">
        <f>IFERROR(__xludf.DUMMYFUNCTION("""COMPUTED_VALUE"""),0.059)</f>
        <v>0.059</v>
      </c>
      <c r="U309" s="4">
        <f>IFERROR(__xludf.DUMMYFUNCTION("""COMPUTED_VALUE"""),-1.5)</f>
        <v>-1.5</v>
      </c>
      <c r="V309" s="4">
        <f>IFERROR(__xludf.DUMMYFUNCTION("""COMPUTED_VALUE"""),0.3)</f>
        <v>0.3</v>
      </c>
    </row>
    <row r="310">
      <c r="A310" s="4">
        <f>IFERROR(__xludf.DUMMYFUNCTION("""COMPUTED_VALUE"""),41.0)</f>
        <v>41</v>
      </c>
      <c r="B310" s="4">
        <f>IFERROR(__xludf.DUMMYFUNCTION("""COMPUTED_VALUE"""),41.0)</f>
        <v>41</v>
      </c>
      <c r="C310" s="4" t="str">
        <f>IFERROR(__xludf.DUMMYFUNCTION("""COMPUTED_VALUE"""),"SAS")</f>
        <v>SAS</v>
      </c>
      <c r="D310" s="4" t="str">
        <f>IFERROR(__xludf.DUMMYFUNCTION("""COMPUTED_VALUE"""),"Joe Wieskamp")</f>
        <v>Joe Wieskamp</v>
      </c>
      <c r="E310" s="4" t="str">
        <f>IFERROR(__xludf.DUMMYFUNCTION("""COMPUTED_VALUE"""),"Iowa")</f>
        <v>Iowa</v>
      </c>
      <c r="F310" s="4">
        <f>IFERROR(__xludf.DUMMYFUNCTION("""COMPUTED_VALUE"""),2.0)</f>
        <v>2</v>
      </c>
      <c r="G310" s="4">
        <f>IFERROR(__xludf.DUMMYFUNCTION("""COMPUTED_VALUE"""),38.0)</f>
        <v>38</v>
      </c>
      <c r="H310" s="4">
        <f>IFERROR(__xludf.DUMMYFUNCTION("""COMPUTED_VALUE"""),255.0)</f>
        <v>255</v>
      </c>
      <c r="I310" s="4">
        <f>IFERROR(__xludf.DUMMYFUNCTION("""COMPUTED_VALUE"""),70.0)</f>
        <v>70</v>
      </c>
      <c r="J310" s="4">
        <f>IFERROR(__xludf.DUMMYFUNCTION("""COMPUTED_VALUE"""),18.0)</f>
        <v>18</v>
      </c>
      <c r="K310" s="4">
        <f>IFERROR(__xludf.DUMMYFUNCTION("""COMPUTED_VALUE"""),12.0)</f>
        <v>12</v>
      </c>
      <c r="L310" s="4">
        <f>IFERROR(__xludf.DUMMYFUNCTION("""COMPUTED_VALUE"""),0.329)</f>
        <v>0.329</v>
      </c>
      <c r="M310" s="4">
        <f>IFERROR(__xludf.DUMMYFUNCTION("""COMPUTED_VALUE"""),0.309)</f>
        <v>0.309</v>
      </c>
      <c r="N310" s="4">
        <f>IFERROR(__xludf.DUMMYFUNCTION("""COMPUTED_VALUE"""),0.538)</f>
        <v>0.538</v>
      </c>
      <c r="O310" s="4">
        <f>IFERROR(__xludf.DUMMYFUNCTION("""COMPUTED_VALUE"""),6.7)</f>
        <v>6.7</v>
      </c>
      <c r="P310" s="4">
        <f>IFERROR(__xludf.DUMMYFUNCTION("""COMPUTED_VALUE"""),1.8)</f>
        <v>1.8</v>
      </c>
      <c r="Q310" s="4">
        <f>IFERROR(__xludf.DUMMYFUNCTION("""COMPUTED_VALUE"""),0.5)</f>
        <v>0.5</v>
      </c>
      <c r="R310" s="4">
        <f>IFERROR(__xludf.DUMMYFUNCTION("""COMPUTED_VALUE"""),0.3)</f>
        <v>0.3</v>
      </c>
      <c r="S310" s="4">
        <f>IFERROR(__xludf.DUMMYFUNCTION("""COMPUTED_VALUE"""),0.1)</f>
        <v>0.1</v>
      </c>
      <c r="T310" s="4">
        <f>IFERROR(__xludf.DUMMYFUNCTION("""COMPUTED_VALUE"""),0.013)</f>
        <v>0.013</v>
      </c>
      <c r="U310" s="4">
        <f>IFERROR(__xludf.DUMMYFUNCTION("""COMPUTED_VALUE"""),-5.3)</f>
        <v>-5.3</v>
      </c>
      <c r="V310" s="4">
        <f>IFERROR(__xludf.DUMMYFUNCTION("""COMPUTED_VALUE"""),-0.2)</f>
        <v>-0.2</v>
      </c>
    </row>
    <row r="311">
      <c r="A311" s="4">
        <f>IFERROR(__xludf.DUMMYFUNCTION("""COMPUTED_VALUE"""),42.0)</f>
        <v>42</v>
      </c>
      <c r="B311" s="4">
        <f>IFERROR(__xludf.DUMMYFUNCTION("""COMPUTED_VALUE"""),42.0)</f>
        <v>42</v>
      </c>
      <c r="C311" s="4" t="str">
        <f>IFERROR(__xludf.DUMMYFUNCTION("""COMPUTED_VALUE"""),"DET")</f>
        <v>DET</v>
      </c>
      <c r="D311" s="4" t="str">
        <f>IFERROR(__xludf.DUMMYFUNCTION("""COMPUTED_VALUE"""),"Isaiah Livers")</f>
        <v>Isaiah Livers</v>
      </c>
      <c r="E311" s="4" t="str">
        <f>IFERROR(__xludf.DUMMYFUNCTION("""COMPUTED_VALUE"""),"Michigan")</f>
        <v>Michigan</v>
      </c>
      <c r="F311" s="4">
        <f>IFERROR(__xludf.DUMMYFUNCTION("""COMPUTED_VALUE"""),4.0)</f>
        <v>4</v>
      </c>
      <c r="G311" s="4">
        <f>IFERROR(__xludf.DUMMYFUNCTION("""COMPUTED_VALUE"""),107.0)</f>
        <v>107</v>
      </c>
      <c r="H311" s="4">
        <f>IFERROR(__xludf.DUMMYFUNCTION("""COMPUTED_VALUE"""),2209.0)</f>
        <v>2209</v>
      </c>
      <c r="I311" s="4">
        <f>IFERROR(__xludf.DUMMYFUNCTION("""COMPUTED_VALUE"""),613.0)</f>
        <v>613</v>
      </c>
      <c r="J311" s="4">
        <f>IFERROR(__xludf.DUMMYFUNCTION("""COMPUTED_VALUE"""),276.0)</f>
        <v>276</v>
      </c>
      <c r="K311" s="4">
        <f>IFERROR(__xludf.DUMMYFUNCTION("""COMPUTED_VALUE"""),92.0)</f>
        <v>92</v>
      </c>
      <c r="L311" s="4">
        <f>IFERROR(__xludf.DUMMYFUNCTION("""COMPUTED_VALUE"""),0.403)</f>
        <v>0.403</v>
      </c>
      <c r="M311" s="4">
        <f>IFERROR(__xludf.DUMMYFUNCTION("""COMPUTED_VALUE"""),0.353)</f>
        <v>0.353</v>
      </c>
      <c r="N311" s="4">
        <f>IFERROR(__xludf.DUMMYFUNCTION("""COMPUTED_VALUE"""),0.792)</f>
        <v>0.792</v>
      </c>
      <c r="O311" s="4">
        <f>IFERROR(__xludf.DUMMYFUNCTION("""COMPUTED_VALUE"""),20.6)</f>
        <v>20.6</v>
      </c>
      <c r="P311" s="4">
        <f>IFERROR(__xludf.DUMMYFUNCTION("""COMPUTED_VALUE"""),5.7)</f>
        <v>5.7</v>
      </c>
      <c r="Q311" s="4">
        <f>IFERROR(__xludf.DUMMYFUNCTION("""COMPUTED_VALUE"""),2.6)</f>
        <v>2.6</v>
      </c>
      <c r="R311" s="4">
        <f>IFERROR(__xludf.DUMMYFUNCTION("""COMPUTED_VALUE"""),0.9)</f>
        <v>0.9</v>
      </c>
      <c r="S311" s="4">
        <f>IFERROR(__xludf.DUMMYFUNCTION("""COMPUTED_VALUE"""),1.8)</f>
        <v>1.8</v>
      </c>
      <c r="T311" s="4">
        <f>IFERROR(__xludf.DUMMYFUNCTION("""COMPUTED_VALUE"""),0.039)</f>
        <v>0.039</v>
      </c>
      <c r="U311" s="4">
        <f>IFERROR(__xludf.DUMMYFUNCTION("""COMPUTED_VALUE"""),-3.1)</f>
        <v>-3.1</v>
      </c>
      <c r="V311" s="4">
        <f>IFERROR(__xludf.DUMMYFUNCTION("""COMPUTED_VALUE"""),-0.6)</f>
        <v>-0.6</v>
      </c>
    </row>
    <row r="312">
      <c r="A312" s="4">
        <f>IFERROR(__xludf.DUMMYFUNCTION("""COMPUTED_VALUE"""),43.0)</f>
        <v>43</v>
      </c>
      <c r="B312" s="4">
        <f>IFERROR(__xludf.DUMMYFUNCTION("""COMPUTED_VALUE"""),43.0)</f>
        <v>43</v>
      </c>
      <c r="C312" s="4" t="str">
        <f>IFERROR(__xludf.DUMMYFUNCTION("""COMPUTED_VALUE"""),"NOP")</f>
        <v>NOP</v>
      </c>
      <c r="D312" s="4" t="str">
        <f>IFERROR(__xludf.DUMMYFUNCTION("""COMPUTED_VALUE"""),"Greg Brown III")</f>
        <v>Greg Brown III</v>
      </c>
      <c r="E312" s="4" t="str">
        <f>IFERROR(__xludf.DUMMYFUNCTION("""COMPUTED_VALUE"""),"Texas")</f>
        <v>Texas</v>
      </c>
      <c r="F312" s="4">
        <f>IFERROR(__xludf.DUMMYFUNCTION("""COMPUTED_VALUE"""),3.0)</f>
        <v>3</v>
      </c>
      <c r="G312" s="4">
        <f>IFERROR(__xludf.DUMMYFUNCTION("""COMPUTED_VALUE"""),70.0)</f>
        <v>70</v>
      </c>
      <c r="H312" s="4">
        <f>IFERROR(__xludf.DUMMYFUNCTION("""COMPUTED_VALUE"""),773.0)</f>
        <v>773</v>
      </c>
      <c r="I312" s="4">
        <f>IFERROR(__xludf.DUMMYFUNCTION("""COMPUTED_VALUE"""),268.0)</f>
        <v>268</v>
      </c>
      <c r="J312" s="4">
        <f>IFERROR(__xludf.DUMMYFUNCTION("""COMPUTED_VALUE"""),163.0)</f>
        <v>163</v>
      </c>
      <c r="K312" s="4">
        <f>IFERROR(__xludf.DUMMYFUNCTION("""COMPUTED_VALUE"""),42.0)</f>
        <v>42</v>
      </c>
      <c r="L312" s="4">
        <f>IFERROR(__xludf.DUMMYFUNCTION("""COMPUTED_VALUE"""),0.424)</f>
        <v>0.424</v>
      </c>
      <c r="M312" s="4">
        <f>IFERROR(__xludf.DUMMYFUNCTION("""COMPUTED_VALUE"""),0.296)</f>
        <v>0.296</v>
      </c>
      <c r="N312" s="4">
        <f>IFERROR(__xludf.DUMMYFUNCTION("""COMPUTED_VALUE"""),0.616)</f>
        <v>0.616</v>
      </c>
      <c r="O312" s="4">
        <f>IFERROR(__xludf.DUMMYFUNCTION("""COMPUTED_VALUE"""),11.0)</f>
        <v>11</v>
      </c>
      <c r="P312" s="4">
        <f>IFERROR(__xludf.DUMMYFUNCTION("""COMPUTED_VALUE"""),3.8)</f>
        <v>3.8</v>
      </c>
      <c r="Q312" s="4">
        <f>IFERROR(__xludf.DUMMYFUNCTION("""COMPUTED_VALUE"""),2.3)</f>
        <v>2.3</v>
      </c>
      <c r="R312" s="4">
        <f>IFERROR(__xludf.DUMMYFUNCTION("""COMPUTED_VALUE"""),0.6)</f>
        <v>0.6</v>
      </c>
      <c r="S312" s="4">
        <f>IFERROR(__xludf.DUMMYFUNCTION("""COMPUTED_VALUE"""),0.2)</f>
        <v>0.2</v>
      </c>
      <c r="T312" s="4">
        <f>IFERROR(__xludf.DUMMYFUNCTION("""COMPUTED_VALUE"""),0.015)</f>
        <v>0.015</v>
      </c>
      <c r="U312" s="4">
        <f>IFERROR(__xludf.DUMMYFUNCTION("""COMPUTED_VALUE"""),-5.1)</f>
        <v>-5.1</v>
      </c>
      <c r="V312" s="4">
        <f>IFERROR(__xludf.DUMMYFUNCTION("""COMPUTED_VALUE"""),-0.6)</f>
        <v>-0.6</v>
      </c>
    </row>
    <row r="313">
      <c r="A313" s="4">
        <f>IFERROR(__xludf.DUMMYFUNCTION("""COMPUTED_VALUE"""),44.0)</f>
        <v>44</v>
      </c>
      <c r="B313" s="4">
        <f>IFERROR(__xludf.DUMMYFUNCTION("""COMPUTED_VALUE"""),44.0)</f>
        <v>44</v>
      </c>
      <c r="C313" s="4" t="str">
        <f>IFERROR(__xludf.DUMMYFUNCTION("""COMPUTED_VALUE"""),"BRK")</f>
        <v>BRK</v>
      </c>
      <c r="D313" s="4" t="str">
        <f>IFERROR(__xludf.DUMMYFUNCTION("""COMPUTED_VALUE"""),"Kessler Edwards")</f>
        <v>Kessler Edwards</v>
      </c>
      <c r="E313" s="4" t="str">
        <f>IFERROR(__xludf.DUMMYFUNCTION("""COMPUTED_VALUE"""),"Pepperdine")</f>
        <v>Pepperdine</v>
      </c>
      <c r="F313" s="4">
        <f>IFERROR(__xludf.DUMMYFUNCTION("""COMPUTED_VALUE"""),4.0)</f>
        <v>4</v>
      </c>
      <c r="G313" s="4">
        <f>IFERROR(__xludf.DUMMYFUNCTION("""COMPUTED_VALUE"""),178.0)</f>
        <v>178</v>
      </c>
      <c r="H313" s="4">
        <f>IFERROR(__xludf.DUMMYFUNCTION("""COMPUTED_VALUE"""),2255.0)</f>
        <v>2255</v>
      </c>
      <c r="I313" s="4">
        <f>IFERROR(__xludf.DUMMYFUNCTION("""COMPUTED_VALUE"""),645.0)</f>
        <v>645</v>
      </c>
      <c r="J313" s="4">
        <f>IFERROR(__xludf.DUMMYFUNCTION("""COMPUTED_VALUE"""),390.0)</f>
        <v>390</v>
      </c>
      <c r="K313" s="4">
        <f>IFERROR(__xludf.DUMMYFUNCTION("""COMPUTED_VALUE"""),111.0)</f>
        <v>111</v>
      </c>
      <c r="L313" s="4">
        <f>IFERROR(__xludf.DUMMYFUNCTION("""COMPUTED_VALUE"""),0.428)</f>
        <v>0.428</v>
      </c>
      <c r="M313" s="4">
        <f>IFERROR(__xludf.DUMMYFUNCTION("""COMPUTED_VALUE"""),0.36)</f>
        <v>0.36</v>
      </c>
      <c r="N313" s="4">
        <f>IFERROR(__xludf.DUMMYFUNCTION("""COMPUTED_VALUE"""),0.786)</f>
        <v>0.786</v>
      </c>
      <c r="O313" s="4">
        <f>IFERROR(__xludf.DUMMYFUNCTION("""COMPUTED_VALUE"""),12.7)</f>
        <v>12.7</v>
      </c>
      <c r="P313" s="4">
        <f>IFERROR(__xludf.DUMMYFUNCTION("""COMPUTED_VALUE"""),3.6)</f>
        <v>3.6</v>
      </c>
      <c r="Q313" s="4">
        <f>IFERROR(__xludf.DUMMYFUNCTION("""COMPUTED_VALUE"""),2.2)</f>
        <v>2.2</v>
      </c>
      <c r="R313" s="4">
        <f>IFERROR(__xludf.DUMMYFUNCTION("""COMPUTED_VALUE"""),0.6)</f>
        <v>0.6</v>
      </c>
      <c r="S313" s="4">
        <f>IFERROR(__xludf.DUMMYFUNCTION("""COMPUTED_VALUE"""),2.7)</f>
        <v>2.7</v>
      </c>
      <c r="T313" s="4">
        <f>IFERROR(__xludf.DUMMYFUNCTION("""COMPUTED_VALUE"""),0.058)</f>
        <v>0.058</v>
      </c>
      <c r="U313" s="4">
        <f>IFERROR(__xludf.DUMMYFUNCTION("""COMPUTED_VALUE"""),-2.9)</f>
        <v>-2.9</v>
      </c>
      <c r="V313" s="4">
        <f>IFERROR(__xludf.DUMMYFUNCTION("""COMPUTED_VALUE"""),-0.5)</f>
        <v>-0.5</v>
      </c>
    </row>
    <row r="314">
      <c r="A314" s="4">
        <f>IFERROR(__xludf.DUMMYFUNCTION("""COMPUTED_VALUE"""),45.0)</f>
        <v>45</v>
      </c>
      <c r="B314" s="4">
        <f>IFERROR(__xludf.DUMMYFUNCTION("""COMPUTED_VALUE"""),45.0)</f>
        <v>45</v>
      </c>
      <c r="C314" s="4" t="str">
        <f>IFERROR(__xludf.DUMMYFUNCTION("""COMPUTED_VALUE"""),"BOS")</f>
        <v>BOS</v>
      </c>
      <c r="D314" s="4" t="str">
        <f>IFERROR(__xludf.DUMMYFUNCTION("""COMPUTED_VALUE"""),"Juhann Begarin")</f>
        <v>Juhann Begarin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>
        <f>IFERROR(__xludf.DUMMYFUNCTION("""COMPUTED_VALUE"""),46.0)</f>
        <v>46</v>
      </c>
      <c r="B315" s="4">
        <f>IFERROR(__xludf.DUMMYFUNCTION("""COMPUTED_VALUE"""),46.0)</f>
        <v>46</v>
      </c>
      <c r="C315" s="4" t="str">
        <f>IFERROR(__xludf.DUMMYFUNCTION("""COMPUTED_VALUE"""),"TOR")</f>
        <v>TOR</v>
      </c>
      <c r="D315" s="4" t="str">
        <f>IFERROR(__xludf.DUMMYFUNCTION("""COMPUTED_VALUE"""),"Dalano Banton")</f>
        <v>Dalano Banton</v>
      </c>
      <c r="E315" s="4" t="str">
        <f>IFERROR(__xludf.DUMMYFUNCTION("""COMPUTED_VALUE"""),"Nebraska")</f>
        <v>Nebraska</v>
      </c>
      <c r="F315" s="4">
        <f>IFERROR(__xludf.DUMMYFUNCTION("""COMPUTED_VALUE"""),4.0)</f>
        <v>4</v>
      </c>
      <c r="G315" s="4">
        <f>IFERROR(__xludf.DUMMYFUNCTION("""COMPUTED_VALUE"""),216.0)</f>
        <v>216</v>
      </c>
      <c r="H315" s="4">
        <f>IFERROR(__xludf.DUMMYFUNCTION("""COMPUTED_VALUE"""),3142.0)</f>
        <v>3142</v>
      </c>
      <c r="I315" s="4">
        <f>IFERROR(__xludf.DUMMYFUNCTION("""COMPUTED_VALUE"""),1463.0)</f>
        <v>1463</v>
      </c>
      <c r="J315" s="4">
        <f>IFERROR(__xludf.DUMMYFUNCTION("""COMPUTED_VALUE"""),482.0)</f>
        <v>482</v>
      </c>
      <c r="K315" s="4">
        <f>IFERROR(__xludf.DUMMYFUNCTION("""COMPUTED_VALUE"""),422.0)</f>
        <v>422</v>
      </c>
      <c r="L315" s="4">
        <f>IFERROR(__xludf.DUMMYFUNCTION("""COMPUTED_VALUE"""),0.402)</f>
        <v>0.402</v>
      </c>
      <c r="M315" s="4">
        <f>IFERROR(__xludf.DUMMYFUNCTION("""COMPUTED_VALUE"""),0.304)</f>
        <v>0.304</v>
      </c>
      <c r="N315" s="4">
        <f>IFERROR(__xludf.DUMMYFUNCTION("""COMPUTED_VALUE"""),0.728)</f>
        <v>0.728</v>
      </c>
      <c r="O315" s="4">
        <f>IFERROR(__xludf.DUMMYFUNCTION("""COMPUTED_VALUE"""),14.5)</f>
        <v>14.5</v>
      </c>
      <c r="P315" s="4">
        <f>IFERROR(__xludf.DUMMYFUNCTION("""COMPUTED_VALUE"""),6.8)</f>
        <v>6.8</v>
      </c>
      <c r="Q315" s="4">
        <f>IFERROR(__xludf.DUMMYFUNCTION("""COMPUTED_VALUE"""),2.2)</f>
        <v>2.2</v>
      </c>
      <c r="R315" s="4">
        <f>IFERROR(__xludf.DUMMYFUNCTION("""COMPUTED_VALUE"""),2.0)</f>
        <v>2</v>
      </c>
      <c r="S315" s="4">
        <f>IFERROR(__xludf.DUMMYFUNCTION("""COMPUTED_VALUE"""),2.1)</f>
        <v>2.1</v>
      </c>
      <c r="T315" s="4">
        <f>IFERROR(__xludf.DUMMYFUNCTION("""COMPUTED_VALUE"""),0.032)</f>
        <v>0.032</v>
      </c>
      <c r="U315" s="4">
        <f>IFERROR(__xludf.DUMMYFUNCTION("""COMPUTED_VALUE"""),-1.5)</f>
        <v>-1.5</v>
      </c>
      <c r="V315" s="4">
        <f>IFERROR(__xludf.DUMMYFUNCTION("""COMPUTED_VALUE"""),0.4)</f>
        <v>0.4</v>
      </c>
    </row>
    <row r="316">
      <c r="A316" s="4">
        <f>IFERROR(__xludf.DUMMYFUNCTION("""COMPUTED_VALUE"""),47.0)</f>
        <v>47</v>
      </c>
      <c r="B316" s="4">
        <f>IFERROR(__xludf.DUMMYFUNCTION("""COMPUTED_VALUE"""),47.0)</f>
        <v>47</v>
      </c>
      <c r="C316" s="4" t="str">
        <f>IFERROR(__xludf.DUMMYFUNCTION("""COMPUTED_VALUE"""),"TOR")</f>
        <v>TOR</v>
      </c>
      <c r="D316" s="4" t="str">
        <f>IFERROR(__xludf.DUMMYFUNCTION("""COMPUTED_VALUE"""),"David Johnson")</f>
        <v>David Johnson</v>
      </c>
      <c r="E316" s="4" t="str">
        <f>IFERROR(__xludf.DUMMYFUNCTION("""COMPUTED_VALUE"""),"Louisville")</f>
        <v>Louisville</v>
      </c>
      <c r="F316" s="4">
        <f>IFERROR(__xludf.DUMMYFUNCTION("""COMPUTED_VALUE"""),1.0)</f>
        <v>1</v>
      </c>
      <c r="G316" s="4">
        <f>IFERROR(__xludf.DUMMYFUNCTION("""COMPUTED_VALUE"""),2.0)</f>
        <v>2</v>
      </c>
      <c r="H316" s="4">
        <f>IFERROR(__xludf.DUMMYFUNCTION("""COMPUTED_VALUE"""),2.0)</f>
        <v>2</v>
      </c>
      <c r="I316" s="4">
        <f>IFERROR(__xludf.DUMMYFUNCTION("""COMPUTED_VALUE"""),0.0)</f>
        <v>0</v>
      </c>
      <c r="J316" s="4">
        <f>IFERROR(__xludf.DUMMYFUNCTION("""COMPUTED_VALUE"""),0.0)</f>
        <v>0</v>
      </c>
      <c r="K316" s="4">
        <f>IFERROR(__xludf.DUMMYFUNCTION("""COMPUTED_VALUE"""),0.0)</f>
        <v>0</v>
      </c>
      <c r="L316" s="4">
        <f>IFERROR(__xludf.DUMMYFUNCTION("""COMPUTED_VALUE"""),0.0)</f>
        <v>0</v>
      </c>
      <c r="M316" s="4">
        <f>IFERROR(__xludf.DUMMYFUNCTION("""COMPUTED_VALUE"""),0.0)</f>
        <v>0</v>
      </c>
      <c r="N316" s="4"/>
      <c r="O316" s="4">
        <f>IFERROR(__xludf.DUMMYFUNCTION("""COMPUTED_VALUE"""),1.0)</f>
        <v>1</v>
      </c>
      <c r="P316" s="4">
        <f>IFERROR(__xludf.DUMMYFUNCTION("""COMPUTED_VALUE"""),0.0)</f>
        <v>0</v>
      </c>
      <c r="Q316" s="4">
        <f>IFERROR(__xludf.DUMMYFUNCTION("""COMPUTED_VALUE"""),0.0)</f>
        <v>0</v>
      </c>
      <c r="R316" s="4">
        <f>IFERROR(__xludf.DUMMYFUNCTION("""COMPUTED_VALUE"""),0.0)</f>
        <v>0</v>
      </c>
      <c r="S316" s="4">
        <f>IFERROR(__xludf.DUMMYFUNCTION("""COMPUTED_VALUE"""),0.0)</f>
        <v>0</v>
      </c>
      <c r="T316" s="4">
        <f>IFERROR(__xludf.DUMMYFUNCTION("""COMPUTED_VALUE"""),-0.495)</f>
        <v>-0.495</v>
      </c>
      <c r="U316" s="4">
        <f>IFERROR(__xludf.DUMMYFUNCTION("""COMPUTED_VALUE"""),-27.7)</f>
        <v>-27.7</v>
      </c>
      <c r="V316" s="4">
        <f>IFERROR(__xludf.DUMMYFUNCTION("""COMPUTED_VALUE"""),0.0)</f>
        <v>0</v>
      </c>
    </row>
    <row r="317">
      <c r="A317" s="4">
        <f>IFERROR(__xludf.DUMMYFUNCTION("""COMPUTED_VALUE"""),48.0)</f>
        <v>48</v>
      </c>
      <c r="B317" s="4">
        <f>IFERROR(__xludf.DUMMYFUNCTION("""COMPUTED_VALUE"""),48.0)</f>
        <v>48</v>
      </c>
      <c r="C317" s="4" t="str">
        <f>IFERROR(__xludf.DUMMYFUNCTION("""COMPUTED_VALUE"""),"ATL")</f>
        <v>ATL</v>
      </c>
      <c r="D317" s="4" t="str">
        <f>IFERROR(__xludf.DUMMYFUNCTION("""COMPUTED_VALUE"""),"Sharife Cooper")</f>
        <v>Sharife Cooper</v>
      </c>
      <c r="E317" s="4" t="str">
        <f>IFERROR(__xludf.DUMMYFUNCTION("""COMPUTED_VALUE"""),"Auburn")</f>
        <v>Auburn</v>
      </c>
      <c r="F317" s="4">
        <f>IFERROR(__xludf.DUMMYFUNCTION("""COMPUTED_VALUE"""),2.0)</f>
        <v>2</v>
      </c>
      <c r="G317" s="4">
        <f>IFERROR(__xludf.DUMMYFUNCTION("""COMPUTED_VALUE"""),17.0)</f>
        <v>17</v>
      </c>
      <c r="H317" s="4">
        <f>IFERROR(__xludf.DUMMYFUNCTION("""COMPUTED_VALUE"""),49.0)</f>
        <v>49</v>
      </c>
      <c r="I317" s="4">
        <f>IFERROR(__xludf.DUMMYFUNCTION("""COMPUTED_VALUE"""),7.0)</f>
        <v>7</v>
      </c>
      <c r="J317" s="4">
        <f>IFERROR(__xludf.DUMMYFUNCTION("""COMPUTED_VALUE"""),5.0)</f>
        <v>5</v>
      </c>
      <c r="K317" s="4">
        <f>IFERROR(__xludf.DUMMYFUNCTION("""COMPUTED_VALUE"""),5.0)</f>
        <v>5</v>
      </c>
      <c r="L317" s="4">
        <f>IFERROR(__xludf.DUMMYFUNCTION("""COMPUTED_VALUE"""),0.2)</f>
        <v>0.2</v>
      </c>
      <c r="M317" s="4">
        <f>IFERROR(__xludf.DUMMYFUNCTION("""COMPUTED_VALUE"""),0.143)</f>
        <v>0.143</v>
      </c>
      <c r="N317" s="4"/>
      <c r="O317" s="4">
        <f>IFERROR(__xludf.DUMMYFUNCTION("""COMPUTED_VALUE"""),2.9)</f>
        <v>2.9</v>
      </c>
      <c r="P317" s="4">
        <f>IFERROR(__xludf.DUMMYFUNCTION("""COMPUTED_VALUE"""),0.4)</f>
        <v>0.4</v>
      </c>
      <c r="Q317" s="4">
        <f>IFERROR(__xludf.DUMMYFUNCTION("""COMPUTED_VALUE"""),0.3)</f>
        <v>0.3</v>
      </c>
      <c r="R317" s="4">
        <f>IFERROR(__xludf.DUMMYFUNCTION("""COMPUTED_VALUE"""),0.3)</f>
        <v>0.3</v>
      </c>
      <c r="S317" s="4">
        <f>IFERROR(__xludf.DUMMYFUNCTION("""COMPUTED_VALUE"""),-0.3)</f>
        <v>-0.3</v>
      </c>
      <c r="T317" s="4">
        <f>IFERROR(__xludf.DUMMYFUNCTION("""COMPUTED_VALUE"""),-0.292)</f>
        <v>-0.292</v>
      </c>
      <c r="U317" s="4">
        <f>IFERROR(__xludf.DUMMYFUNCTION("""COMPUTED_VALUE"""),-17.1)</f>
        <v>-17.1</v>
      </c>
      <c r="V317" s="4">
        <f>IFERROR(__xludf.DUMMYFUNCTION("""COMPUTED_VALUE"""),-0.2)</f>
        <v>-0.2</v>
      </c>
    </row>
    <row r="318">
      <c r="A318" s="4">
        <f>IFERROR(__xludf.DUMMYFUNCTION("""COMPUTED_VALUE"""),49.0)</f>
        <v>49</v>
      </c>
      <c r="B318" s="4">
        <f>IFERROR(__xludf.DUMMYFUNCTION("""COMPUTED_VALUE"""),49.0)</f>
        <v>49</v>
      </c>
      <c r="C318" s="4" t="str">
        <f>IFERROR(__xludf.DUMMYFUNCTION("""COMPUTED_VALUE"""),"BRK")</f>
        <v>BRK</v>
      </c>
      <c r="D318" s="4" t="str">
        <f>IFERROR(__xludf.DUMMYFUNCTION("""COMPUTED_VALUE"""),"Marcus Zegarowski")</f>
        <v>Marcus Zegarowski</v>
      </c>
      <c r="E318" s="4" t="str">
        <f>IFERROR(__xludf.DUMMYFUNCTION("""COMPUTED_VALUE"""),"Creighton")</f>
        <v>Creighton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>
        <f>IFERROR(__xludf.DUMMYFUNCTION("""COMPUTED_VALUE"""),50.0)</f>
        <v>50</v>
      </c>
      <c r="B319" s="4">
        <f>IFERROR(__xludf.DUMMYFUNCTION("""COMPUTED_VALUE"""),50.0)</f>
        <v>50</v>
      </c>
      <c r="C319" s="4" t="str">
        <f>IFERROR(__xludf.DUMMYFUNCTION("""COMPUTED_VALUE"""),"PHI")</f>
        <v>PHI</v>
      </c>
      <c r="D319" s="4" t="str">
        <f>IFERROR(__xludf.DUMMYFUNCTION("""COMPUTED_VALUE"""),"Filip Petrušev")</f>
        <v>Filip Petrušev</v>
      </c>
      <c r="E319" s="4" t="str">
        <f>IFERROR(__xludf.DUMMYFUNCTION("""COMPUTED_VALUE"""),"Gonzaga")</f>
        <v>Gonzaga</v>
      </c>
      <c r="F319" s="4">
        <f>IFERROR(__xludf.DUMMYFUNCTION("""COMPUTED_VALUE"""),1.0)</f>
        <v>1</v>
      </c>
      <c r="G319" s="4">
        <f>IFERROR(__xludf.DUMMYFUNCTION("""COMPUTED_VALUE"""),3.0)</f>
        <v>3</v>
      </c>
      <c r="H319" s="4">
        <f>IFERROR(__xludf.DUMMYFUNCTION("""COMPUTED_VALUE"""),10.0)</f>
        <v>10</v>
      </c>
      <c r="I319" s="4">
        <f>IFERROR(__xludf.DUMMYFUNCTION("""COMPUTED_VALUE"""),3.0)</f>
        <v>3</v>
      </c>
      <c r="J319" s="4">
        <f>IFERROR(__xludf.DUMMYFUNCTION("""COMPUTED_VALUE"""),1.0)</f>
        <v>1</v>
      </c>
      <c r="K319" s="4">
        <f>IFERROR(__xludf.DUMMYFUNCTION("""COMPUTED_VALUE"""),0.0)</f>
        <v>0</v>
      </c>
      <c r="L319" s="4">
        <f>IFERROR(__xludf.DUMMYFUNCTION("""COMPUTED_VALUE"""),0.5)</f>
        <v>0.5</v>
      </c>
      <c r="M319" s="4"/>
      <c r="N319" s="4">
        <f>IFERROR(__xludf.DUMMYFUNCTION("""COMPUTED_VALUE"""),0.5)</f>
        <v>0.5</v>
      </c>
      <c r="O319" s="4">
        <f>IFERROR(__xludf.DUMMYFUNCTION("""COMPUTED_VALUE"""),3.3)</f>
        <v>3.3</v>
      </c>
      <c r="P319" s="4">
        <f>IFERROR(__xludf.DUMMYFUNCTION("""COMPUTED_VALUE"""),1.0)</f>
        <v>1</v>
      </c>
      <c r="Q319" s="4">
        <f>IFERROR(__xludf.DUMMYFUNCTION("""COMPUTED_VALUE"""),0.3)</f>
        <v>0.3</v>
      </c>
      <c r="R319" s="4">
        <f>IFERROR(__xludf.DUMMYFUNCTION("""COMPUTED_VALUE"""),0.0)</f>
        <v>0</v>
      </c>
      <c r="S319" s="4">
        <f>IFERROR(__xludf.DUMMYFUNCTION("""COMPUTED_VALUE"""),0.0)</f>
        <v>0</v>
      </c>
      <c r="T319" s="4">
        <f>IFERROR(__xludf.DUMMYFUNCTION("""COMPUTED_VALUE"""),0.029)</f>
        <v>0.029</v>
      </c>
      <c r="U319" s="4">
        <f>IFERROR(__xludf.DUMMYFUNCTION("""COMPUTED_VALUE"""),-8.0)</f>
        <v>-8</v>
      </c>
      <c r="V319" s="4">
        <f>IFERROR(__xludf.DUMMYFUNCTION("""COMPUTED_VALUE"""),0.0)</f>
        <v>0</v>
      </c>
    </row>
    <row r="320">
      <c r="A320" s="4">
        <f>IFERROR(__xludf.DUMMYFUNCTION("""COMPUTED_VALUE"""),51.0)</f>
        <v>51</v>
      </c>
      <c r="B320" s="4">
        <f>IFERROR(__xludf.DUMMYFUNCTION("""COMPUTED_VALUE"""),51.0)</f>
        <v>51</v>
      </c>
      <c r="C320" s="4" t="str">
        <f>IFERROR(__xludf.DUMMYFUNCTION("""COMPUTED_VALUE"""),"MEM")</f>
        <v>MEM</v>
      </c>
      <c r="D320" s="4" t="str">
        <f>IFERROR(__xludf.DUMMYFUNCTION("""COMPUTED_VALUE"""),"Brandon Boston Jr.")</f>
        <v>Brandon Boston Jr.</v>
      </c>
      <c r="E320" s="4" t="str">
        <f>IFERROR(__xludf.DUMMYFUNCTION("""COMPUTED_VALUE"""),"Kentucky")</f>
        <v>Kentucky</v>
      </c>
      <c r="F320" s="4">
        <f>IFERROR(__xludf.DUMMYFUNCTION("""COMPUTED_VALUE"""),4.0)</f>
        <v>4</v>
      </c>
      <c r="G320" s="4">
        <f>IFERROR(__xludf.DUMMYFUNCTION("""COMPUTED_VALUE"""),147.0)</f>
        <v>147</v>
      </c>
      <c r="H320" s="4">
        <f>IFERROR(__xludf.DUMMYFUNCTION("""COMPUTED_VALUE"""),2346.0)</f>
        <v>2346</v>
      </c>
      <c r="I320" s="4">
        <f>IFERROR(__xludf.DUMMYFUNCTION("""COMPUTED_VALUE"""),1101.0)</f>
        <v>1101</v>
      </c>
      <c r="J320" s="4">
        <f>IFERROR(__xludf.DUMMYFUNCTION("""COMPUTED_VALUE"""),327.0)</f>
        <v>327</v>
      </c>
      <c r="K320" s="4">
        <f>IFERROR(__xludf.DUMMYFUNCTION("""COMPUTED_VALUE"""),176.0)</f>
        <v>176</v>
      </c>
      <c r="L320" s="4">
        <f>IFERROR(__xludf.DUMMYFUNCTION("""COMPUTED_VALUE"""),0.412)</f>
        <v>0.412</v>
      </c>
      <c r="M320" s="4">
        <f>IFERROR(__xludf.DUMMYFUNCTION("""COMPUTED_VALUE"""),0.328)</f>
        <v>0.328</v>
      </c>
      <c r="N320" s="4">
        <f>IFERROR(__xludf.DUMMYFUNCTION("""COMPUTED_VALUE"""),0.781)</f>
        <v>0.781</v>
      </c>
      <c r="O320" s="4">
        <f>IFERROR(__xludf.DUMMYFUNCTION("""COMPUTED_VALUE"""),16.0)</f>
        <v>16</v>
      </c>
      <c r="P320" s="4">
        <f>IFERROR(__xludf.DUMMYFUNCTION("""COMPUTED_VALUE"""),7.5)</f>
        <v>7.5</v>
      </c>
      <c r="Q320" s="4">
        <f>IFERROR(__xludf.DUMMYFUNCTION("""COMPUTED_VALUE"""),2.2)</f>
        <v>2.2</v>
      </c>
      <c r="R320" s="4">
        <f>IFERROR(__xludf.DUMMYFUNCTION("""COMPUTED_VALUE"""),1.2)</f>
        <v>1.2</v>
      </c>
      <c r="S320" s="4">
        <f>IFERROR(__xludf.DUMMYFUNCTION("""COMPUTED_VALUE"""),1.0)</f>
        <v>1</v>
      </c>
      <c r="T320" s="4">
        <f>IFERROR(__xludf.DUMMYFUNCTION("""COMPUTED_VALUE"""),0.021)</f>
        <v>0.021</v>
      </c>
      <c r="U320" s="4">
        <f>IFERROR(__xludf.DUMMYFUNCTION("""COMPUTED_VALUE"""),-3.7)</f>
        <v>-3.7</v>
      </c>
      <c r="V320" s="4">
        <f>IFERROR(__xludf.DUMMYFUNCTION("""COMPUTED_VALUE"""),-1.0)</f>
        <v>-1</v>
      </c>
    </row>
    <row r="321">
      <c r="A321" s="4">
        <f>IFERROR(__xludf.DUMMYFUNCTION("""COMPUTED_VALUE"""),52.0)</f>
        <v>52</v>
      </c>
      <c r="B321" s="4">
        <f>IFERROR(__xludf.DUMMYFUNCTION("""COMPUTED_VALUE"""),52.0)</f>
        <v>52</v>
      </c>
      <c r="C321" s="4" t="str">
        <f>IFERROR(__xludf.DUMMYFUNCTION("""COMPUTED_VALUE"""),"DET")</f>
        <v>DET</v>
      </c>
      <c r="D321" s="4" t="str">
        <f>IFERROR(__xludf.DUMMYFUNCTION("""COMPUTED_VALUE"""),"Luka Garza")</f>
        <v>Luka Garza</v>
      </c>
      <c r="E321" s="4" t="str">
        <f>IFERROR(__xludf.DUMMYFUNCTION("""COMPUTED_VALUE"""),"Iowa")</f>
        <v>Iowa</v>
      </c>
      <c r="F321" s="4">
        <f>IFERROR(__xludf.DUMMYFUNCTION("""COMPUTED_VALUE"""),5.0)</f>
        <v>5</v>
      </c>
      <c r="G321" s="4">
        <f>IFERROR(__xludf.DUMMYFUNCTION("""COMPUTED_VALUE"""),141.0)</f>
        <v>141</v>
      </c>
      <c r="H321" s="4">
        <f>IFERROR(__xludf.DUMMYFUNCTION("""COMPUTED_VALUE"""),1212.0)</f>
        <v>1212</v>
      </c>
      <c r="I321" s="4">
        <f>IFERROR(__xludf.DUMMYFUNCTION("""COMPUTED_VALUE"""),714.0)</f>
        <v>714</v>
      </c>
      <c r="J321" s="4">
        <f>IFERROR(__xludf.DUMMYFUNCTION("""COMPUTED_VALUE"""),312.0)</f>
        <v>312</v>
      </c>
      <c r="K321" s="4">
        <f>IFERROR(__xludf.DUMMYFUNCTION("""COMPUTED_VALUE"""),66.0)</f>
        <v>66</v>
      </c>
      <c r="L321" s="4">
        <f>IFERROR(__xludf.DUMMYFUNCTION("""COMPUTED_VALUE"""),0.5)</f>
        <v>0.5</v>
      </c>
      <c r="M321" s="4">
        <f>IFERROR(__xludf.DUMMYFUNCTION("""COMPUTED_VALUE"""),0.331)</f>
        <v>0.331</v>
      </c>
      <c r="N321" s="4">
        <f>IFERROR(__xludf.DUMMYFUNCTION("""COMPUTED_VALUE"""),0.706)</f>
        <v>0.706</v>
      </c>
      <c r="O321" s="4">
        <f>IFERROR(__xludf.DUMMYFUNCTION("""COMPUTED_VALUE"""),8.6)</f>
        <v>8.6</v>
      </c>
      <c r="P321" s="4">
        <f>IFERROR(__xludf.DUMMYFUNCTION("""COMPUTED_VALUE"""),5.1)</f>
        <v>5.1</v>
      </c>
      <c r="Q321" s="4">
        <f>IFERROR(__xludf.DUMMYFUNCTION("""COMPUTED_VALUE"""),2.2)</f>
        <v>2.2</v>
      </c>
      <c r="R321" s="4">
        <f>IFERROR(__xludf.DUMMYFUNCTION("""COMPUTED_VALUE"""),0.5)</f>
        <v>0.5</v>
      </c>
      <c r="S321" s="4">
        <f>IFERROR(__xludf.DUMMYFUNCTION("""COMPUTED_VALUE"""),4.0)</f>
        <v>4</v>
      </c>
      <c r="T321" s="4">
        <f>IFERROR(__xludf.DUMMYFUNCTION("""COMPUTED_VALUE"""),0.158)</f>
        <v>0.158</v>
      </c>
      <c r="U321" s="4">
        <f>IFERROR(__xludf.DUMMYFUNCTION("""COMPUTED_VALUE"""),-1.4)</f>
        <v>-1.4</v>
      </c>
      <c r="V321" s="4">
        <f>IFERROR(__xludf.DUMMYFUNCTION("""COMPUTED_VALUE"""),0.2)</f>
        <v>0.2</v>
      </c>
    </row>
    <row r="322">
      <c r="A322" s="4">
        <f>IFERROR(__xludf.DUMMYFUNCTION("""COMPUTED_VALUE"""),53.0)</f>
        <v>53</v>
      </c>
      <c r="B322" s="4">
        <f>IFERROR(__xludf.DUMMYFUNCTION("""COMPUTED_VALUE"""),53.0)</f>
        <v>53</v>
      </c>
      <c r="C322" s="4" t="str">
        <f>IFERROR(__xludf.DUMMYFUNCTION("""COMPUTED_VALUE"""),"PHI")</f>
        <v>PHI</v>
      </c>
      <c r="D322" s="4" t="str">
        <f>IFERROR(__xludf.DUMMYFUNCTION("""COMPUTED_VALUE"""),"Charles Bassey")</f>
        <v>Charles Bassey</v>
      </c>
      <c r="E322" s="4" t="str">
        <f>IFERROR(__xludf.DUMMYFUNCTION("""COMPUTED_VALUE"""),"Western Kentucky")</f>
        <v>Western Kentucky</v>
      </c>
      <c r="F322" s="4">
        <f>IFERROR(__xludf.DUMMYFUNCTION("""COMPUTED_VALUE"""),5.0)</f>
        <v>5</v>
      </c>
      <c r="G322" s="4">
        <f>IFERROR(__xludf.DUMMYFUNCTION("""COMPUTED_VALUE"""),115.0)</f>
        <v>115</v>
      </c>
      <c r="H322" s="4">
        <f>IFERROR(__xludf.DUMMYFUNCTION("""COMPUTED_VALUE"""),1288.0)</f>
        <v>1288</v>
      </c>
      <c r="I322" s="4">
        <f>IFERROR(__xludf.DUMMYFUNCTION("""COMPUTED_VALUE"""),495.0)</f>
        <v>495</v>
      </c>
      <c r="J322" s="4">
        <f>IFERROR(__xludf.DUMMYFUNCTION("""COMPUTED_VALUE"""),498.0)</f>
        <v>498</v>
      </c>
      <c r="K322" s="4">
        <f>IFERROR(__xludf.DUMMYFUNCTION("""COMPUTED_VALUE"""),95.0)</f>
        <v>95</v>
      </c>
      <c r="L322" s="4">
        <f>IFERROR(__xludf.DUMMYFUNCTION("""COMPUTED_VALUE"""),0.625)</f>
        <v>0.625</v>
      </c>
      <c r="M322" s="4">
        <f>IFERROR(__xludf.DUMMYFUNCTION("""COMPUTED_VALUE"""),0.231)</f>
        <v>0.231</v>
      </c>
      <c r="N322" s="4">
        <f>IFERROR(__xludf.DUMMYFUNCTION("""COMPUTED_VALUE"""),0.637)</f>
        <v>0.637</v>
      </c>
      <c r="O322" s="4">
        <f>IFERROR(__xludf.DUMMYFUNCTION("""COMPUTED_VALUE"""),11.2)</f>
        <v>11.2</v>
      </c>
      <c r="P322" s="4">
        <f>IFERROR(__xludf.DUMMYFUNCTION("""COMPUTED_VALUE"""),4.3)</f>
        <v>4.3</v>
      </c>
      <c r="Q322" s="4">
        <f>IFERROR(__xludf.DUMMYFUNCTION("""COMPUTED_VALUE"""),4.3)</f>
        <v>4.3</v>
      </c>
      <c r="R322" s="4">
        <f>IFERROR(__xludf.DUMMYFUNCTION("""COMPUTED_VALUE"""),0.8)</f>
        <v>0.8</v>
      </c>
      <c r="S322" s="4">
        <f>IFERROR(__xludf.DUMMYFUNCTION("""COMPUTED_VALUE"""),3.9)</f>
        <v>3.9</v>
      </c>
      <c r="T322" s="4">
        <f>IFERROR(__xludf.DUMMYFUNCTION("""COMPUTED_VALUE"""),0.144)</f>
        <v>0.144</v>
      </c>
      <c r="U322" s="4">
        <f>IFERROR(__xludf.DUMMYFUNCTION("""COMPUTED_VALUE"""),0.3)</f>
        <v>0.3</v>
      </c>
      <c r="V322" s="4">
        <f>IFERROR(__xludf.DUMMYFUNCTION("""COMPUTED_VALUE"""),0.7)</f>
        <v>0.7</v>
      </c>
    </row>
    <row r="323">
      <c r="A323" s="4">
        <f>IFERROR(__xludf.DUMMYFUNCTION("""COMPUTED_VALUE"""),54.0)</f>
        <v>54</v>
      </c>
      <c r="B323" s="4">
        <f>IFERROR(__xludf.DUMMYFUNCTION("""COMPUTED_VALUE"""),54.0)</f>
        <v>54</v>
      </c>
      <c r="C323" s="4" t="str">
        <f>IFERROR(__xludf.DUMMYFUNCTION("""COMPUTED_VALUE"""),"IND")</f>
        <v>IND</v>
      </c>
      <c r="D323" s="4" t="str">
        <f>IFERROR(__xludf.DUMMYFUNCTION("""COMPUTED_VALUE"""),"Sandro Mamukelashvili")</f>
        <v>Sandro Mamukelashvili</v>
      </c>
      <c r="E323" s="4" t="str">
        <f>IFERROR(__xludf.DUMMYFUNCTION("""COMPUTED_VALUE"""),"Seton Hall")</f>
        <v>Seton Hall</v>
      </c>
      <c r="F323" s="4">
        <f>IFERROR(__xludf.DUMMYFUNCTION("""COMPUTED_VALUE"""),5.0)</f>
        <v>5</v>
      </c>
      <c r="G323" s="4">
        <f>IFERROR(__xludf.DUMMYFUNCTION("""COMPUTED_VALUE"""),212.0)</f>
        <v>212</v>
      </c>
      <c r="H323" s="4">
        <f>IFERROR(__xludf.DUMMYFUNCTION("""COMPUTED_VALUE"""),2597.0)</f>
        <v>2597</v>
      </c>
      <c r="I323" s="4">
        <f>IFERROR(__xludf.DUMMYFUNCTION("""COMPUTED_VALUE"""),1203.0)</f>
        <v>1203</v>
      </c>
      <c r="J323" s="4">
        <f>IFERROR(__xludf.DUMMYFUNCTION("""COMPUTED_VALUE"""),690.0)</f>
        <v>690</v>
      </c>
      <c r="K323" s="4">
        <f>IFERROR(__xludf.DUMMYFUNCTION("""COMPUTED_VALUE"""),217.0)</f>
        <v>217</v>
      </c>
      <c r="L323" s="4">
        <f>IFERROR(__xludf.DUMMYFUNCTION("""COMPUTED_VALUE"""),0.482)</f>
        <v>0.482</v>
      </c>
      <c r="M323" s="4">
        <f>IFERROR(__xludf.DUMMYFUNCTION("""COMPUTED_VALUE"""),0.354)</f>
        <v>0.354</v>
      </c>
      <c r="N323" s="4">
        <f>IFERROR(__xludf.DUMMYFUNCTION("""COMPUTED_VALUE"""),0.743)</f>
        <v>0.743</v>
      </c>
      <c r="O323" s="4">
        <f>IFERROR(__xludf.DUMMYFUNCTION("""COMPUTED_VALUE"""),12.3)</f>
        <v>12.3</v>
      </c>
      <c r="P323" s="4">
        <f>IFERROR(__xludf.DUMMYFUNCTION("""COMPUTED_VALUE"""),5.7)</f>
        <v>5.7</v>
      </c>
      <c r="Q323" s="4">
        <f>IFERROR(__xludf.DUMMYFUNCTION("""COMPUTED_VALUE"""),3.3)</f>
        <v>3.3</v>
      </c>
      <c r="R323" s="4">
        <f>IFERROR(__xludf.DUMMYFUNCTION("""COMPUTED_VALUE"""),1.0)</f>
        <v>1</v>
      </c>
      <c r="S323" s="4">
        <f>IFERROR(__xludf.DUMMYFUNCTION("""COMPUTED_VALUE"""),6.7)</f>
        <v>6.7</v>
      </c>
      <c r="T323" s="4">
        <f>IFERROR(__xludf.DUMMYFUNCTION("""COMPUTED_VALUE"""),0.123)</f>
        <v>0.123</v>
      </c>
      <c r="U323" s="4">
        <f>IFERROR(__xludf.DUMMYFUNCTION("""COMPUTED_VALUE"""),0.2)</f>
        <v>0.2</v>
      </c>
      <c r="V323" s="4">
        <f>IFERROR(__xludf.DUMMYFUNCTION("""COMPUTED_VALUE"""),1.5)</f>
        <v>1.5</v>
      </c>
    </row>
    <row r="324">
      <c r="A324" s="4">
        <f>IFERROR(__xludf.DUMMYFUNCTION("""COMPUTED_VALUE"""),55.0)</f>
        <v>55</v>
      </c>
      <c r="B324" s="4">
        <f>IFERROR(__xludf.DUMMYFUNCTION("""COMPUTED_VALUE"""),55.0)</f>
        <v>55</v>
      </c>
      <c r="C324" s="4" t="str">
        <f>IFERROR(__xludf.DUMMYFUNCTION("""COMPUTED_VALUE"""),"OKC")</f>
        <v>OKC</v>
      </c>
      <c r="D324" s="4" t="str">
        <f>IFERROR(__xludf.DUMMYFUNCTION("""COMPUTED_VALUE"""),"Aaron Wiggins")</f>
        <v>Aaron Wiggins</v>
      </c>
      <c r="E324" s="4" t="str">
        <f>IFERROR(__xludf.DUMMYFUNCTION("""COMPUTED_VALUE"""),"Maryland")</f>
        <v>Maryland</v>
      </c>
      <c r="F324" s="4">
        <f>IFERROR(__xludf.DUMMYFUNCTION("""COMPUTED_VALUE"""),5.0)</f>
        <v>5</v>
      </c>
      <c r="G324" s="4">
        <f>IFERROR(__xludf.DUMMYFUNCTION("""COMPUTED_VALUE"""),285.0)</f>
        <v>285</v>
      </c>
      <c r="H324" s="4">
        <f>IFERROR(__xludf.DUMMYFUNCTION("""COMPUTED_VALUE"""),5768.0)</f>
        <v>5768</v>
      </c>
      <c r="I324" s="4">
        <f>IFERROR(__xludf.DUMMYFUNCTION("""COMPUTED_VALUE"""),2500.0)</f>
        <v>2500</v>
      </c>
      <c r="J324" s="4">
        <f>IFERROR(__xludf.DUMMYFUNCTION("""COMPUTED_VALUE"""),906.0)</f>
        <v>906</v>
      </c>
      <c r="K324" s="4">
        <f>IFERROR(__xludf.DUMMYFUNCTION("""COMPUTED_VALUE"""),392.0)</f>
        <v>392</v>
      </c>
      <c r="L324" s="4">
        <f>IFERROR(__xludf.DUMMYFUNCTION("""COMPUTED_VALUE"""),0.501)</f>
        <v>0.501</v>
      </c>
      <c r="M324" s="4">
        <f>IFERROR(__xludf.DUMMYFUNCTION("""COMPUTED_VALUE"""),0.39)</f>
        <v>0.39</v>
      </c>
      <c r="N324" s="4">
        <f>IFERROR(__xludf.DUMMYFUNCTION("""COMPUTED_VALUE"""),0.792)</f>
        <v>0.792</v>
      </c>
      <c r="O324" s="4">
        <f>IFERROR(__xludf.DUMMYFUNCTION("""COMPUTED_VALUE"""),20.2)</f>
        <v>20.2</v>
      </c>
      <c r="P324" s="4">
        <f>IFERROR(__xludf.DUMMYFUNCTION("""COMPUTED_VALUE"""),8.8)</f>
        <v>8.8</v>
      </c>
      <c r="Q324" s="4">
        <f>IFERROR(__xludf.DUMMYFUNCTION("""COMPUTED_VALUE"""),3.2)</f>
        <v>3.2</v>
      </c>
      <c r="R324" s="4">
        <f>IFERROR(__xludf.DUMMYFUNCTION("""COMPUTED_VALUE"""),1.4)</f>
        <v>1.4</v>
      </c>
      <c r="S324" s="4">
        <f>IFERROR(__xludf.DUMMYFUNCTION("""COMPUTED_VALUE"""),13.7)</f>
        <v>13.7</v>
      </c>
      <c r="T324" s="4">
        <f>IFERROR(__xludf.DUMMYFUNCTION("""COMPUTED_VALUE"""),0.114)</f>
        <v>0.114</v>
      </c>
      <c r="U324" s="4">
        <f>IFERROR(__xludf.DUMMYFUNCTION("""COMPUTED_VALUE"""),-0.8)</f>
        <v>-0.8</v>
      </c>
      <c r="V324" s="4">
        <f>IFERROR(__xludf.DUMMYFUNCTION("""COMPUTED_VALUE"""),1.7)</f>
        <v>1.7</v>
      </c>
    </row>
    <row r="325">
      <c r="A325" s="4">
        <f>IFERROR(__xludf.DUMMYFUNCTION("""COMPUTED_VALUE"""),56.0)</f>
        <v>56</v>
      </c>
      <c r="B325" s="4">
        <f>IFERROR(__xludf.DUMMYFUNCTION("""COMPUTED_VALUE"""),56.0)</f>
        <v>56</v>
      </c>
      <c r="C325" s="4" t="str">
        <f>IFERROR(__xludf.DUMMYFUNCTION("""COMPUTED_VALUE"""),"CHO")</f>
        <v>CHO</v>
      </c>
      <c r="D325" s="4" t="str">
        <f>IFERROR(__xludf.DUMMYFUNCTION("""COMPUTED_VALUE"""),"Scottie Lewis")</f>
        <v>Scottie Lewis</v>
      </c>
      <c r="E325" s="4" t="str">
        <f>IFERROR(__xludf.DUMMYFUNCTION("""COMPUTED_VALUE"""),"Florida")</f>
        <v>Florida</v>
      </c>
      <c r="F325" s="4">
        <f>IFERROR(__xludf.DUMMYFUNCTION("""COMPUTED_VALUE"""),1.0)</f>
        <v>1</v>
      </c>
      <c r="G325" s="4">
        <f>IFERROR(__xludf.DUMMYFUNCTION("""COMPUTED_VALUE"""),2.0)</f>
        <v>2</v>
      </c>
      <c r="H325" s="4">
        <f>IFERROR(__xludf.DUMMYFUNCTION("""COMPUTED_VALUE"""),7.0)</f>
        <v>7</v>
      </c>
      <c r="I325" s="4">
        <f>IFERROR(__xludf.DUMMYFUNCTION("""COMPUTED_VALUE"""),1.0)</f>
        <v>1</v>
      </c>
      <c r="J325" s="4">
        <f>IFERROR(__xludf.DUMMYFUNCTION("""COMPUTED_VALUE"""),0.0)</f>
        <v>0</v>
      </c>
      <c r="K325" s="4">
        <f>IFERROR(__xludf.DUMMYFUNCTION("""COMPUTED_VALUE"""),1.0)</f>
        <v>1</v>
      </c>
      <c r="L325" s="4"/>
      <c r="M325" s="4"/>
      <c r="N325" s="4">
        <f>IFERROR(__xludf.DUMMYFUNCTION("""COMPUTED_VALUE"""),0.5)</f>
        <v>0.5</v>
      </c>
      <c r="O325" s="4">
        <f>IFERROR(__xludf.DUMMYFUNCTION("""COMPUTED_VALUE"""),3.5)</f>
        <v>3.5</v>
      </c>
      <c r="P325" s="4">
        <f>IFERROR(__xludf.DUMMYFUNCTION("""COMPUTED_VALUE"""),0.5)</f>
        <v>0.5</v>
      </c>
      <c r="Q325" s="4">
        <f>IFERROR(__xludf.DUMMYFUNCTION("""COMPUTED_VALUE"""),0.0)</f>
        <v>0</v>
      </c>
      <c r="R325" s="4">
        <f>IFERROR(__xludf.DUMMYFUNCTION("""COMPUTED_VALUE"""),0.5)</f>
        <v>0.5</v>
      </c>
      <c r="S325" s="4">
        <f>IFERROR(__xludf.DUMMYFUNCTION("""COMPUTED_VALUE"""),0.0)</f>
        <v>0</v>
      </c>
      <c r="T325" s="4">
        <f>IFERROR(__xludf.DUMMYFUNCTION("""COMPUTED_VALUE"""),0.164)</f>
        <v>0.164</v>
      </c>
      <c r="U325" s="4">
        <f>IFERROR(__xludf.DUMMYFUNCTION("""COMPUTED_VALUE"""),6.0)</f>
        <v>6</v>
      </c>
      <c r="V325" s="4">
        <f>IFERROR(__xludf.DUMMYFUNCTION("""COMPUTED_VALUE"""),0.0)</f>
        <v>0</v>
      </c>
    </row>
    <row r="326">
      <c r="A326" s="4">
        <f>IFERROR(__xludf.DUMMYFUNCTION("""COMPUTED_VALUE"""),57.0)</f>
        <v>57</v>
      </c>
      <c r="B326" s="4">
        <f>IFERROR(__xludf.DUMMYFUNCTION("""COMPUTED_VALUE"""),57.0)</f>
        <v>57</v>
      </c>
      <c r="C326" s="4" t="str">
        <f>IFERROR(__xludf.DUMMYFUNCTION("""COMPUTED_VALUE"""),"CHO")</f>
        <v>CHO</v>
      </c>
      <c r="D326" s="4" t="str">
        <f>IFERROR(__xludf.DUMMYFUNCTION("""COMPUTED_VALUE"""),"Balša Koprivica")</f>
        <v>Balša Koprivica</v>
      </c>
      <c r="E326" s="4" t="str">
        <f>IFERROR(__xludf.DUMMYFUNCTION("""COMPUTED_VALUE"""),"Florida State")</f>
        <v>Florida State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>
        <f>IFERROR(__xludf.DUMMYFUNCTION("""COMPUTED_VALUE"""),58.0)</f>
        <v>58</v>
      </c>
      <c r="B327" s="4">
        <f>IFERROR(__xludf.DUMMYFUNCTION("""COMPUTED_VALUE"""),58.0)</f>
        <v>58</v>
      </c>
      <c r="C327" s="4" t="str">
        <f>IFERROR(__xludf.DUMMYFUNCTION("""COMPUTED_VALUE"""),"NYK")</f>
        <v>NYK</v>
      </c>
      <c r="D327" s="4" t="str">
        <f>IFERROR(__xludf.DUMMYFUNCTION("""COMPUTED_VALUE"""),"Jericho Sims")</f>
        <v>Jericho Sims</v>
      </c>
      <c r="E327" s="4" t="str">
        <f>IFERROR(__xludf.DUMMYFUNCTION("""COMPUTED_VALUE"""),"Texas")</f>
        <v>Texas</v>
      </c>
      <c r="F327" s="4">
        <f>IFERROR(__xludf.DUMMYFUNCTION("""COMPUTED_VALUE"""),5.0)</f>
        <v>5</v>
      </c>
      <c r="G327" s="4">
        <f>IFERROR(__xludf.DUMMYFUNCTION("""COMPUTED_VALUE"""),207.0)</f>
        <v>207</v>
      </c>
      <c r="H327" s="4">
        <f>IFERROR(__xludf.DUMMYFUNCTION("""COMPUTED_VALUE"""),2765.0)</f>
        <v>2765</v>
      </c>
      <c r="I327" s="4">
        <f>IFERROR(__xludf.DUMMYFUNCTION("""COMPUTED_VALUE"""),490.0)</f>
        <v>490</v>
      </c>
      <c r="J327" s="4">
        <f>IFERROR(__xludf.DUMMYFUNCTION("""COMPUTED_VALUE"""),799.0)</f>
        <v>799</v>
      </c>
      <c r="K327" s="4">
        <f>IFERROR(__xludf.DUMMYFUNCTION("""COMPUTED_VALUE"""),115.0)</f>
        <v>115</v>
      </c>
      <c r="L327" s="4">
        <f>IFERROR(__xludf.DUMMYFUNCTION("""COMPUTED_VALUE"""),0.718)</f>
        <v>0.718</v>
      </c>
      <c r="M327" s="4">
        <f>IFERROR(__xludf.DUMMYFUNCTION("""COMPUTED_VALUE"""),0.0)</f>
        <v>0</v>
      </c>
      <c r="N327" s="4">
        <f>IFERROR(__xludf.DUMMYFUNCTION("""COMPUTED_VALUE"""),0.591)</f>
        <v>0.591</v>
      </c>
      <c r="O327" s="4">
        <f>IFERROR(__xludf.DUMMYFUNCTION("""COMPUTED_VALUE"""),13.4)</f>
        <v>13.4</v>
      </c>
      <c r="P327" s="4">
        <f>IFERROR(__xludf.DUMMYFUNCTION("""COMPUTED_VALUE"""),2.4)</f>
        <v>2.4</v>
      </c>
      <c r="Q327" s="4">
        <f>IFERROR(__xludf.DUMMYFUNCTION("""COMPUTED_VALUE"""),3.9)</f>
        <v>3.9</v>
      </c>
      <c r="R327" s="4">
        <f>IFERROR(__xludf.DUMMYFUNCTION("""COMPUTED_VALUE"""),0.6)</f>
        <v>0.6</v>
      </c>
      <c r="S327" s="4">
        <f>IFERROR(__xludf.DUMMYFUNCTION("""COMPUTED_VALUE"""),7.2)</f>
        <v>7.2</v>
      </c>
      <c r="T327" s="4">
        <f>IFERROR(__xludf.DUMMYFUNCTION("""COMPUTED_VALUE"""),0.125)</f>
        <v>0.125</v>
      </c>
      <c r="U327" s="4">
        <f>IFERROR(__xludf.DUMMYFUNCTION("""COMPUTED_VALUE"""),-1.9)</f>
        <v>-1.9</v>
      </c>
      <c r="V327" s="4">
        <f>IFERROR(__xludf.DUMMYFUNCTION("""COMPUTED_VALUE"""),0.1)</f>
        <v>0.1</v>
      </c>
    </row>
    <row r="328">
      <c r="A328" s="4">
        <f>IFERROR(__xludf.DUMMYFUNCTION("""COMPUTED_VALUE"""),59.0)</f>
        <v>59</v>
      </c>
      <c r="B328" s="4">
        <f>IFERROR(__xludf.DUMMYFUNCTION("""COMPUTED_VALUE"""),59.0)</f>
        <v>59</v>
      </c>
      <c r="C328" s="4" t="str">
        <f>IFERROR(__xludf.DUMMYFUNCTION("""COMPUTED_VALUE"""),"BRK")</f>
        <v>BRK</v>
      </c>
      <c r="D328" s="4" t="str">
        <f>IFERROR(__xludf.DUMMYFUNCTION("""COMPUTED_VALUE"""),"RaiQuan Gray")</f>
        <v>RaiQuan Gray</v>
      </c>
      <c r="E328" s="4" t="str">
        <f>IFERROR(__xludf.DUMMYFUNCTION("""COMPUTED_VALUE"""),"Florida State")</f>
        <v>Florida State</v>
      </c>
      <c r="F328" s="4">
        <f>IFERROR(__xludf.DUMMYFUNCTION("""COMPUTED_VALUE"""),2.0)</f>
        <v>2</v>
      </c>
      <c r="G328" s="4">
        <f>IFERROR(__xludf.DUMMYFUNCTION("""COMPUTED_VALUE"""),4.0)</f>
        <v>4</v>
      </c>
      <c r="H328" s="4">
        <f>IFERROR(__xludf.DUMMYFUNCTION("""COMPUTED_VALUE"""),74.0)</f>
        <v>74</v>
      </c>
      <c r="I328" s="4">
        <f>IFERROR(__xludf.DUMMYFUNCTION("""COMPUTED_VALUE"""),39.0)</f>
        <v>39</v>
      </c>
      <c r="J328" s="4">
        <f>IFERROR(__xludf.DUMMYFUNCTION("""COMPUTED_VALUE"""),16.0)</f>
        <v>16</v>
      </c>
      <c r="K328" s="4">
        <f>IFERROR(__xludf.DUMMYFUNCTION("""COMPUTED_VALUE"""),13.0)</f>
        <v>13</v>
      </c>
      <c r="L328" s="4">
        <f>IFERROR(__xludf.DUMMYFUNCTION("""COMPUTED_VALUE"""),0.552)</f>
        <v>0.552</v>
      </c>
      <c r="M328" s="4">
        <f>IFERROR(__xludf.DUMMYFUNCTION("""COMPUTED_VALUE"""),0.417)</f>
        <v>0.417</v>
      </c>
      <c r="N328" s="4">
        <f>IFERROR(__xludf.DUMMYFUNCTION("""COMPUTED_VALUE"""),1.0)</f>
        <v>1</v>
      </c>
      <c r="O328" s="4">
        <f>IFERROR(__xludf.DUMMYFUNCTION("""COMPUTED_VALUE"""),18.5)</f>
        <v>18.5</v>
      </c>
      <c r="P328" s="4">
        <f>IFERROR(__xludf.DUMMYFUNCTION("""COMPUTED_VALUE"""),9.8)</f>
        <v>9.8</v>
      </c>
      <c r="Q328" s="4">
        <f>IFERROR(__xludf.DUMMYFUNCTION("""COMPUTED_VALUE"""),4.0)</f>
        <v>4</v>
      </c>
      <c r="R328" s="4">
        <f>IFERROR(__xludf.DUMMYFUNCTION("""COMPUTED_VALUE"""),3.3)</f>
        <v>3.3</v>
      </c>
      <c r="S328" s="4">
        <f>IFERROR(__xludf.DUMMYFUNCTION("""COMPUTED_VALUE"""),0.2)</f>
        <v>0.2</v>
      </c>
      <c r="T328" s="4">
        <f>IFERROR(__xludf.DUMMYFUNCTION("""COMPUTED_VALUE"""),0.149)</f>
        <v>0.149</v>
      </c>
      <c r="U328" s="4">
        <f>IFERROR(__xludf.DUMMYFUNCTION("""COMPUTED_VALUE"""),2.9)</f>
        <v>2.9</v>
      </c>
      <c r="V328" s="4">
        <f>IFERROR(__xludf.DUMMYFUNCTION("""COMPUTED_VALUE"""),0.1)</f>
        <v>0.1</v>
      </c>
    </row>
    <row r="329">
      <c r="A329" s="4">
        <f>IFERROR(__xludf.DUMMYFUNCTION("""COMPUTED_VALUE"""),60.0)</f>
        <v>60</v>
      </c>
      <c r="B329" s="4">
        <f>IFERROR(__xludf.DUMMYFUNCTION("""COMPUTED_VALUE"""),60.0)</f>
        <v>60</v>
      </c>
      <c r="C329" s="4" t="str">
        <f>IFERROR(__xludf.DUMMYFUNCTION("""COMPUTED_VALUE"""),"IND")</f>
        <v>IND</v>
      </c>
      <c r="D329" s="4" t="str">
        <f>IFERROR(__xludf.DUMMYFUNCTION("""COMPUTED_VALUE"""),"Georgios Kalaitzakis")</f>
        <v>Georgios Kalaitzakis</v>
      </c>
      <c r="E329" s="4"/>
      <c r="F329" s="4">
        <f>IFERROR(__xludf.DUMMYFUNCTION("""COMPUTED_VALUE"""),1.0)</f>
        <v>1</v>
      </c>
      <c r="G329" s="4">
        <f>IFERROR(__xludf.DUMMYFUNCTION("""COMPUTED_VALUE"""),13.0)</f>
        <v>13</v>
      </c>
      <c r="H329" s="4">
        <f>IFERROR(__xludf.DUMMYFUNCTION("""COMPUTED_VALUE"""),213.0)</f>
        <v>213</v>
      </c>
      <c r="I329" s="4">
        <f>IFERROR(__xludf.DUMMYFUNCTION("""COMPUTED_VALUE"""),86.0)</f>
        <v>86</v>
      </c>
      <c r="J329" s="4">
        <f>IFERROR(__xludf.DUMMYFUNCTION("""COMPUTED_VALUE"""),21.0)</f>
        <v>21</v>
      </c>
      <c r="K329" s="4">
        <f>IFERROR(__xludf.DUMMYFUNCTION("""COMPUTED_VALUE"""),12.0)</f>
        <v>12</v>
      </c>
      <c r="L329" s="4">
        <f>IFERROR(__xludf.DUMMYFUNCTION("""COMPUTED_VALUE"""),0.463)</f>
        <v>0.463</v>
      </c>
      <c r="M329" s="4">
        <f>IFERROR(__xludf.DUMMYFUNCTION("""COMPUTED_VALUE"""),0.385)</f>
        <v>0.385</v>
      </c>
      <c r="N329" s="4">
        <f>IFERROR(__xludf.DUMMYFUNCTION("""COMPUTED_VALUE"""),0.467)</f>
        <v>0.467</v>
      </c>
      <c r="O329" s="4">
        <f>IFERROR(__xludf.DUMMYFUNCTION("""COMPUTED_VALUE"""),16.4)</f>
        <v>16.4</v>
      </c>
      <c r="P329" s="4">
        <f>IFERROR(__xludf.DUMMYFUNCTION("""COMPUTED_VALUE"""),6.6)</f>
        <v>6.6</v>
      </c>
      <c r="Q329" s="4">
        <f>IFERROR(__xludf.DUMMYFUNCTION("""COMPUTED_VALUE"""),1.6)</f>
        <v>1.6</v>
      </c>
      <c r="R329" s="4">
        <f>IFERROR(__xludf.DUMMYFUNCTION("""COMPUTED_VALUE"""),0.9)</f>
        <v>0.9</v>
      </c>
      <c r="S329" s="4">
        <f>IFERROR(__xludf.DUMMYFUNCTION("""COMPUTED_VALUE"""),-0.1)</f>
        <v>-0.1</v>
      </c>
      <c r="T329" s="4">
        <f>IFERROR(__xludf.DUMMYFUNCTION("""COMPUTED_VALUE"""),-0.024)</f>
        <v>-0.024</v>
      </c>
      <c r="U329" s="4">
        <f>IFERROR(__xludf.DUMMYFUNCTION("""COMPUTED_VALUE"""),-7.0)</f>
        <v>-7</v>
      </c>
      <c r="V329" s="4">
        <f>IFERROR(__xludf.DUMMYFUNCTION("""COMPUTED_VALUE"""),-0.3)</f>
        <v>-0.3</v>
      </c>
    </row>
    <row r="331">
      <c r="A331" s="2">
        <v>2020.0</v>
      </c>
    </row>
    <row r="332">
      <c r="A332" s="4" t="str">
        <f>IFERROR(__xludf.DUMMYFUNCTION("IMPORTHTML(""https://www.basketball-reference.com/draft/NBA_2020.html"", ""table"", 1)"),"")</f>
        <v/>
      </c>
      <c r="B332" s="4"/>
      <c r="C332" s="4"/>
      <c r="D332" s="4" t="str">
        <f>IFERROR(__xludf.DUMMYFUNCTION("""COMPUTED_VALUE"""),"Round 1")</f>
        <v>Round 1</v>
      </c>
      <c r="E332" s="4"/>
      <c r="F332" s="4"/>
      <c r="G332" s="4" t="str">
        <f>IFERROR(__xludf.DUMMYFUNCTION("""COMPUTED_VALUE"""),"Totals")</f>
        <v>Totals</v>
      </c>
      <c r="H332" s="4"/>
      <c r="I332" s="4"/>
      <c r="J332" s="4"/>
      <c r="K332" s="4"/>
      <c r="L332" s="4" t="str">
        <f>IFERROR(__xludf.DUMMYFUNCTION("""COMPUTED_VALUE"""),"Shooting")</f>
        <v>Shooting</v>
      </c>
      <c r="M332" s="4"/>
      <c r="N332" s="4"/>
      <c r="O332" s="4" t="str">
        <f>IFERROR(__xludf.DUMMYFUNCTION("""COMPUTED_VALUE"""),"Per Game")</f>
        <v>Per Game</v>
      </c>
      <c r="P332" s="4"/>
      <c r="Q332" s="4"/>
      <c r="R332" s="4"/>
      <c r="S332" s="4" t="str">
        <f>IFERROR(__xludf.DUMMYFUNCTION("""COMPUTED_VALUE"""),"Advanced")</f>
        <v>Advanced</v>
      </c>
      <c r="T332" s="4"/>
      <c r="U332" s="4"/>
      <c r="V332" s="4"/>
    </row>
    <row r="333">
      <c r="A333" s="4" t="str">
        <f>IFERROR(__xludf.DUMMYFUNCTION("""COMPUTED_VALUE"""),"Rk")</f>
        <v>Rk</v>
      </c>
      <c r="B333" s="4" t="str">
        <f>IFERROR(__xludf.DUMMYFUNCTION("""COMPUTED_VALUE"""),"Pk")</f>
        <v>Pk</v>
      </c>
      <c r="C333" s="4" t="str">
        <f>IFERROR(__xludf.DUMMYFUNCTION("""COMPUTED_VALUE"""),"Tm")</f>
        <v>Tm</v>
      </c>
      <c r="D333" s="4" t="str">
        <f>IFERROR(__xludf.DUMMYFUNCTION("""COMPUTED_VALUE"""),"Player")</f>
        <v>Player</v>
      </c>
      <c r="E333" s="4" t="str">
        <f>IFERROR(__xludf.DUMMYFUNCTION("""COMPUTED_VALUE"""),"College")</f>
        <v>College</v>
      </c>
      <c r="F333" s="4" t="str">
        <f>IFERROR(__xludf.DUMMYFUNCTION("""COMPUTED_VALUE"""),"Yrs")</f>
        <v>Yrs</v>
      </c>
      <c r="G333" s="4" t="str">
        <f>IFERROR(__xludf.DUMMYFUNCTION("""COMPUTED_VALUE"""),"G")</f>
        <v>G</v>
      </c>
      <c r="H333" s="4" t="str">
        <f>IFERROR(__xludf.DUMMYFUNCTION("""COMPUTED_VALUE"""),"MP")</f>
        <v>MP</v>
      </c>
      <c r="I333" s="4" t="str">
        <f>IFERROR(__xludf.DUMMYFUNCTION("""COMPUTED_VALUE"""),"PTS")</f>
        <v>PTS</v>
      </c>
      <c r="J333" s="4" t="str">
        <f>IFERROR(__xludf.DUMMYFUNCTION("""COMPUTED_VALUE"""),"TRB")</f>
        <v>TRB</v>
      </c>
      <c r="K333" s="4" t="str">
        <f>IFERROR(__xludf.DUMMYFUNCTION("""COMPUTED_VALUE"""),"AST")</f>
        <v>AST</v>
      </c>
      <c r="L333" s="4" t="str">
        <f>IFERROR(__xludf.DUMMYFUNCTION("""COMPUTED_VALUE"""),"FG%")</f>
        <v>FG%</v>
      </c>
      <c r="M333" s="4" t="str">
        <f>IFERROR(__xludf.DUMMYFUNCTION("""COMPUTED_VALUE"""),"3P%")</f>
        <v>3P%</v>
      </c>
      <c r="N333" s="4" t="str">
        <f>IFERROR(__xludf.DUMMYFUNCTION("""COMPUTED_VALUE"""),"FT%")</f>
        <v>FT%</v>
      </c>
      <c r="O333" s="4" t="str">
        <f>IFERROR(__xludf.DUMMYFUNCTION("""COMPUTED_VALUE"""),"MP")</f>
        <v>MP</v>
      </c>
      <c r="P333" s="4" t="str">
        <f>IFERROR(__xludf.DUMMYFUNCTION("""COMPUTED_VALUE"""),"PTS")</f>
        <v>PTS</v>
      </c>
      <c r="Q333" s="4" t="str">
        <f>IFERROR(__xludf.DUMMYFUNCTION("""COMPUTED_VALUE"""),"TRB")</f>
        <v>TRB</v>
      </c>
      <c r="R333" s="4" t="str">
        <f>IFERROR(__xludf.DUMMYFUNCTION("""COMPUTED_VALUE"""),"AST")</f>
        <v>AST</v>
      </c>
      <c r="S333" s="4" t="str">
        <f>IFERROR(__xludf.DUMMYFUNCTION("""COMPUTED_VALUE"""),"WS")</f>
        <v>WS</v>
      </c>
      <c r="T333" s="4" t="str">
        <f>IFERROR(__xludf.DUMMYFUNCTION("""COMPUTED_VALUE"""),"WS/48")</f>
        <v>WS/48</v>
      </c>
      <c r="U333" s="4" t="str">
        <f>IFERROR(__xludf.DUMMYFUNCTION("""COMPUTED_VALUE"""),"BPM")</f>
        <v>BPM</v>
      </c>
      <c r="V333" s="4" t="str">
        <f>IFERROR(__xludf.DUMMYFUNCTION("""COMPUTED_VALUE"""),"VORP")</f>
        <v>VORP</v>
      </c>
    </row>
    <row r="334">
      <c r="A334" s="4">
        <f>IFERROR(__xludf.DUMMYFUNCTION("""COMPUTED_VALUE"""),1.0)</f>
        <v>1</v>
      </c>
      <c r="B334" s="4">
        <f>IFERROR(__xludf.DUMMYFUNCTION("""COMPUTED_VALUE"""),1.0)</f>
        <v>1</v>
      </c>
      <c r="C334" s="4" t="str">
        <f>IFERROR(__xludf.DUMMYFUNCTION("""COMPUTED_VALUE"""),"MIN")</f>
        <v>MIN</v>
      </c>
      <c r="D334" s="4" t="str">
        <f>IFERROR(__xludf.DUMMYFUNCTION("""COMPUTED_VALUE"""),"Anthony Edwards")</f>
        <v>Anthony Edwards</v>
      </c>
      <c r="E334" s="4" t="str">
        <f>IFERROR(__xludf.DUMMYFUNCTION("""COMPUTED_VALUE"""),"Georgia")</f>
        <v>Georgia</v>
      </c>
      <c r="F334" s="4">
        <f>IFERROR(__xludf.DUMMYFUNCTION("""COMPUTED_VALUE"""),6.0)</f>
        <v>6</v>
      </c>
      <c r="G334" s="4">
        <f>IFERROR(__xludf.DUMMYFUNCTION("""COMPUTED_VALUE"""),398.0)</f>
        <v>398</v>
      </c>
      <c r="H334" s="4">
        <f>IFERROR(__xludf.DUMMYFUNCTION("""COMPUTED_VALUE"""),13843.0)</f>
        <v>13843</v>
      </c>
      <c r="I334" s="4">
        <f>IFERROR(__xludf.DUMMYFUNCTION("""COMPUTED_VALUE"""),9604.0)</f>
        <v>9604</v>
      </c>
      <c r="J334" s="4">
        <f>IFERROR(__xludf.DUMMYFUNCTION("""COMPUTED_VALUE"""),2094.0)</f>
        <v>2094</v>
      </c>
      <c r="K334" s="4">
        <f>IFERROR(__xludf.DUMMYFUNCTION("""COMPUTED_VALUE"""),1666.0)</f>
        <v>1666</v>
      </c>
      <c r="L334" s="4">
        <f>IFERROR(__xludf.DUMMYFUNCTION("""COMPUTED_VALUE"""),0.449)</f>
        <v>0.449</v>
      </c>
      <c r="M334" s="4">
        <f>IFERROR(__xludf.DUMMYFUNCTION("""COMPUTED_VALUE"""),0.367)</f>
        <v>0.367</v>
      </c>
      <c r="N334" s="4">
        <f>IFERROR(__xludf.DUMMYFUNCTION("""COMPUTED_VALUE"""),0.805)</f>
        <v>0.805</v>
      </c>
      <c r="O334" s="4">
        <f>IFERROR(__xludf.DUMMYFUNCTION("""COMPUTED_VALUE"""),34.8)</f>
        <v>34.8</v>
      </c>
      <c r="P334" s="4">
        <f>IFERROR(__xludf.DUMMYFUNCTION("""COMPUTED_VALUE"""),24.1)</f>
        <v>24.1</v>
      </c>
      <c r="Q334" s="4">
        <f>IFERROR(__xludf.DUMMYFUNCTION("""COMPUTED_VALUE"""),5.3)</f>
        <v>5.3</v>
      </c>
      <c r="R334" s="4">
        <f>IFERROR(__xludf.DUMMYFUNCTION("""COMPUTED_VALUE"""),4.2)</f>
        <v>4.2</v>
      </c>
      <c r="S334" s="4">
        <f>IFERROR(__xludf.DUMMYFUNCTION("""COMPUTED_VALUE"""),26.9)</f>
        <v>26.9</v>
      </c>
      <c r="T334" s="4">
        <f>IFERROR(__xludf.DUMMYFUNCTION("""COMPUTED_VALUE"""),0.093)</f>
        <v>0.093</v>
      </c>
      <c r="U334" s="4">
        <f>IFERROR(__xludf.DUMMYFUNCTION("""COMPUTED_VALUE"""),1.9)</f>
        <v>1.9</v>
      </c>
      <c r="V334" s="4">
        <f>IFERROR(__xludf.DUMMYFUNCTION("""COMPUTED_VALUE"""),13.5)</f>
        <v>13.5</v>
      </c>
    </row>
    <row r="335">
      <c r="A335" s="4">
        <f>IFERROR(__xludf.DUMMYFUNCTION("""COMPUTED_VALUE"""),2.0)</f>
        <v>2</v>
      </c>
      <c r="B335" s="4">
        <f>IFERROR(__xludf.DUMMYFUNCTION("""COMPUTED_VALUE"""),2.0)</f>
        <v>2</v>
      </c>
      <c r="C335" s="4" t="str">
        <f>IFERROR(__xludf.DUMMYFUNCTION("""COMPUTED_VALUE"""),"GSW")</f>
        <v>GSW</v>
      </c>
      <c r="D335" s="4" t="str">
        <f>IFERROR(__xludf.DUMMYFUNCTION("""COMPUTED_VALUE"""),"James Wiseman")</f>
        <v>James Wiseman</v>
      </c>
      <c r="E335" s="4" t="str">
        <f>IFERROR(__xludf.DUMMYFUNCTION("""COMPUTED_VALUE"""),"Memphis")</f>
        <v>Memphis</v>
      </c>
      <c r="F335" s="4">
        <f>IFERROR(__xludf.DUMMYFUNCTION("""COMPUTED_VALUE"""),5.0)</f>
        <v>5</v>
      </c>
      <c r="G335" s="4">
        <f>IFERROR(__xludf.DUMMYFUNCTION("""COMPUTED_VALUE"""),149.0)</f>
        <v>149</v>
      </c>
      <c r="H335" s="4">
        <f>IFERROR(__xludf.DUMMYFUNCTION("""COMPUTED_VALUE"""),2819.0)</f>
        <v>2819</v>
      </c>
      <c r="I335" s="4">
        <f>IFERROR(__xludf.DUMMYFUNCTION("""COMPUTED_VALUE"""),1354.0)</f>
        <v>1354</v>
      </c>
      <c r="J335" s="4">
        <f>IFERROR(__xludf.DUMMYFUNCTION("""COMPUTED_VALUE"""),834.0)</f>
        <v>834</v>
      </c>
      <c r="K335" s="4">
        <f>IFERROR(__xludf.DUMMYFUNCTION("""COMPUTED_VALUE"""),110.0)</f>
        <v>110</v>
      </c>
      <c r="L335" s="4">
        <f>IFERROR(__xludf.DUMMYFUNCTION("""COMPUTED_VALUE"""),0.56)</f>
        <v>0.56</v>
      </c>
      <c r="M335" s="4">
        <f>IFERROR(__xludf.DUMMYFUNCTION("""COMPUTED_VALUE"""),0.262)</f>
        <v>0.262</v>
      </c>
      <c r="N335" s="4">
        <f>IFERROR(__xludf.DUMMYFUNCTION("""COMPUTED_VALUE"""),0.683)</f>
        <v>0.683</v>
      </c>
      <c r="O335" s="4">
        <f>IFERROR(__xludf.DUMMYFUNCTION("""COMPUTED_VALUE"""),18.9)</f>
        <v>18.9</v>
      </c>
      <c r="P335" s="4">
        <f>IFERROR(__xludf.DUMMYFUNCTION("""COMPUTED_VALUE"""),9.1)</f>
        <v>9.1</v>
      </c>
      <c r="Q335" s="4">
        <f>IFERROR(__xludf.DUMMYFUNCTION("""COMPUTED_VALUE"""),5.6)</f>
        <v>5.6</v>
      </c>
      <c r="R335" s="4">
        <f>IFERROR(__xludf.DUMMYFUNCTION("""COMPUTED_VALUE"""),0.7)</f>
        <v>0.7</v>
      </c>
      <c r="S335" s="4">
        <f>IFERROR(__xludf.DUMMYFUNCTION("""COMPUTED_VALUE"""),4.3)</f>
        <v>4.3</v>
      </c>
      <c r="T335" s="4">
        <f>IFERROR(__xludf.DUMMYFUNCTION("""COMPUTED_VALUE"""),0.073)</f>
        <v>0.073</v>
      </c>
      <c r="U335" s="4">
        <f>IFERROR(__xludf.DUMMYFUNCTION("""COMPUTED_VALUE"""),-4.0)</f>
        <v>-4</v>
      </c>
      <c r="V335" s="4">
        <f>IFERROR(__xludf.DUMMYFUNCTION("""COMPUTED_VALUE"""),-1.4)</f>
        <v>-1.4</v>
      </c>
    </row>
    <row r="336">
      <c r="A336" s="4">
        <f>IFERROR(__xludf.DUMMYFUNCTION("""COMPUTED_VALUE"""),3.0)</f>
        <v>3</v>
      </c>
      <c r="B336" s="4">
        <f>IFERROR(__xludf.DUMMYFUNCTION("""COMPUTED_VALUE"""),3.0)</f>
        <v>3</v>
      </c>
      <c r="C336" s="4" t="str">
        <f>IFERROR(__xludf.DUMMYFUNCTION("""COMPUTED_VALUE"""),"CHO")</f>
        <v>CHO</v>
      </c>
      <c r="D336" s="4" t="str">
        <f>IFERROR(__xludf.DUMMYFUNCTION("""COMPUTED_VALUE"""),"LaMelo Ball")</f>
        <v>LaMelo Ball</v>
      </c>
      <c r="E336" s="4"/>
      <c r="F336" s="4">
        <f>IFERROR(__xludf.DUMMYFUNCTION("""COMPUTED_VALUE"""),6.0)</f>
        <v>6</v>
      </c>
      <c r="G336" s="4">
        <f>IFERROR(__xludf.DUMMYFUNCTION("""COMPUTED_VALUE"""),245.0)</f>
        <v>245</v>
      </c>
      <c r="H336" s="4">
        <f>IFERROR(__xludf.DUMMYFUNCTION("""COMPUTED_VALUE"""),7789.0)</f>
        <v>7789</v>
      </c>
      <c r="I336" s="4">
        <f>IFERROR(__xludf.DUMMYFUNCTION("""COMPUTED_VALUE"""),5124.0)</f>
        <v>5124</v>
      </c>
      <c r="J336" s="4">
        <f>IFERROR(__xludf.DUMMYFUNCTION("""COMPUTED_VALUE"""),1465.0)</f>
        <v>1465</v>
      </c>
      <c r="K336" s="4">
        <f>IFERROR(__xludf.DUMMYFUNCTION("""COMPUTED_VALUE"""),1834.0)</f>
        <v>1834</v>
      </c>
      <c r="L336" s="4">
        <f>IFERROR(__xludf.DUMMYFUNCTION("""COMPUTED_VALUE"""),0.419)</f>
        <v>0.419</v>
      </c>
      <c r="M336" s="4">
        <f>IFERROR(__xludf.DUMMYFUNCTION("""COMPUTED_VALUE"""),0.36)</f>
        <v>0.36</v>
      </c>
      <c r="N336" s="4">
        <f>IFERROR(__xludf.DUMMYFUNCTION("""COMPUTED_VALUE"""),0.839)</f>
        <v>0.839</v>
      </c>
      <c r="O336" s="4">
        <f>IFERROR(__xludf.DUMMYFUNCTION("""COMPUTED_VALUE"""),31.8)</f>
        <v>31.8</v>
      </c>
      <c r="P336" s="4">
        <f>IFERROR(__xludf.DUMMYFUNCTION("""COMPUTED_VALUE"""),20.9)</f>
        <v>20.9</v>
      </c>
      <c r="Q336" s="4">
        <f>IFERROR(__xludf.DUMMYFUNCTION("""COMPUTED_VALUE"""),6.0)</f>
        <v>6</v>
      </c>
      <c r="R336" s="4">
        <f>IFERROR(__xludf.DUMMYFUNCTION("""COMPUTED_VALUE"""),7.5)</f>
        <v>7.5</v>
      </c>
      <c r="S336" s="4">
        <f>IFERROR(__xludf.DUMMYFUNCTION("""COMPUTED_VALUE"""),14.1)</f>
        <v>14.1</v>
      </c>
      <c r="T336" s="4">
        <f>IFERROR(__xludf.DUMMYFUNCTION("""COMPUTED_VALUE"""),0.087)</f>
        <v>0.087</v>
      </c>
      <c r="U336" s="4">
        <f>IFERROR(__xludf.DUMMYFUNCTION("""COMPUTED_VALUE"""),2.7)</f>
        <v>2.7</v>
      </c>
      <c r="V336" s="4">
        <f>IFERROR(__xludf.DUMMYFUNCTION("""COMPUTED_VALUE"""),9.3)</f>
        <v>9.3</v>
      </c>
    </row>
    <row r="337">
      <c r="A337" s="4">
        <f>IFERROR(__xludf.DUMMYFUNCTION("""COMPUTED_VALUE"""),4.0)</f>
        <v>4</v>
      </c>
      <c r="B337" s="4">
        <f>IFERROR(__xludf.DUMMYFUNCTION("""COMPUTED_VALUE"""),4.0)</f>
        <v>4</v>
      </c>
      <c r="C337" s="4" t="str">
        <f>IFERROR(__xludf.DUMMYFUNCTION("""COMPUTED_VALUE"""),"CHI")</f>
        <v>CHI</v>
      </c>
      <c r="D337" s="4" t="str">
        <f>IFERROR(__xludf.DUMMYFUNCTION("""COMPUTED_VALUE"""),"Patrick Williams")</f>
        <v>Patrick Williams</v>
      </c>
      <c r="E337" s="4" t="str">
        <f>IFERROR(__xludf.DUMMYFUNCTION("""COMPUTED_VALUE"""),"Florida State")</f>
        <v>Florida State</v>
      </c>
      <c r="F337" s="4">
        <f>IFERROR(__xludf.DUMMYFUNCTION("""COMPUTED_VALUE"""),6.0)</f>
        <v>6</v>
      </c>
      <c r="G337" s="4">
        <f>IFERROR(__xludf.DUMMYFUNCTION("""COMPUTED_VALUE"""),295.0)</f>
        <v>295</v>
      </c>
      <c r="H337" s="4">
        <f>IFERROR(__xludf.DUMMYFUNCTION("""COMPUTED_VALUE"""),7869.0)</f>
        <v>7869</v>
      </c>
      <c r="I337" s="4">
        <f>IFERROR(__xludf.DUMMYFUNCTION("""COMPUTED_VALUE"""),2772.0)</f>
        <v>2772</v>
      </c>
      <c r="J337" s="4">
        <f>IFERROR(__xludf.DUMMYFUNCTION("""COMPUTED_VALUE"""),1186.0)</f>
        <v>1186</v>
      </c>
      <c r="K337" s="4">
        <f>IFERROR(__xludf.DUMMYFUNCTION("""COMPUTED_VALUE"""),430.0)</f>
        <v>430</v>
      </c>
      <c r="L337" s="4">
        <f>IFERROR(__xludf.DUMMYFUNCTION("""COMPUTED_VALUE"""),0.448)</f>
        <v>0.448</v>
      </c>
      <c r="M337" s="4">
        <f>IFERROR(__xludf.DUMMYFUNCTION("""COMPUTED_VALUE"""),0.392)</f>
        <v>0.392</v>
      </c>
      <c r="N337" s="4">
        <f>IFERROR(__xludf.DUMMYFUNCTION("""COMPUTED_VALUE"""),0.763)</f>
        <v>0.763</v>
      </c>
      <c r="O337" s="4">
        <f>IFERROR(__xludf.DUMMYFUNCTION("""COMPUTED_VALUE"""),26.7)</f>
        <v>26.7</v>
      </c>
      <c r="P337" s="4">
        <f>IFERROR(__xludf.DUMMYFUNCTION("""COMPUTED_VALUE"""),9.4)</f>
        <v>9.4</v>
      </c>
      <c r="Q337" s="4">
        <f>IFERROR(__xludf.DUMMYFUNCTION("""COMPUTED_VALUE"""),4.0)</f>
        <v>4</v>
      </c>
      <c r="R337" s="4">
        <f>IFERROR(__xludf.DUMMYFUNCTION("""COMPUTED_VALUE"""),1.5)</f>
        <v>1.5</v>
      </c>
      <c r="S337" s="4">
        <f>IFERROR(__xludf.DUMMYFUNCTION("""COMPUTED_VALUE"""),8.5)</f>
        <v>8.5</v>
      </c>
      <c r="T337" s="4">
        <f>IFERROR(__xludf.DUMMYFUNCTION("""COMPUTED_VALUE"""),0.052)</f>
        <v>0.052</v>
      </c>
      <c r="U337" s="4">
        <f>IFERROR(__xludf.DUMMYFUNCTION("""COMPUTED_VALUE"""),-2.3)</f>
        <v>-2.3</v>
      </c>
      <c r="V337" s="4">
        <f>IFERROR(__xludf.DUMMYFUNCTION("""COMPUTED_VALUE"""),-0.7)</f>
        <v>-0.7</v>
      </c>
    </row>
    <row r="338">
      <c r="A338" s="4">
        <f>IFERROR(__xludf.DUMMYFUNCTION("""COMPUTED_VALUE"""),5.0)</f>
        <v>5</v>
      </c>
      <c r="B338" s="4">
        <f>IFERROR(__xludf.DUMMYFUNCTION("""COMPUTED_VALUE"""),5.0)</f>
        <v>5</v>
      </c>
      <c r="C338" s="4" t="str">
        <f>IFERROR(__xludf.DUMMYFUNCTION("""COMPUTED_VALUE"""),"CLE")</f>
        <v>CLE</v>
      </c>
      <c r="D338" s="4" t="str">
        <f>IFERROR(__xludf.DUMMYFUNCTION("""COMPUTED_VALUE"""),"Isaac Okoro")</f>
        <v>Isaac Okoro</v>
      </c>
      <c r="E338" s="4" t="str">
        <f>IFERROR(__xludf.DUMMYFUNCTION("""COMPUTED_VALUE"""),"Auburn")</f>
        <v>Auburn</v>
      </c>
      <c r="F338" s="4">
        <f>IFERROR(__xludf.DUMMYFUNCTION("""COMPUTED_VALUE"""),6.0)</f>
        <v>6</v>
      </c>
      <c r="G338" s="4">
        <f>IFERROR(__xludf.DUMMYFUNCTION("""COMPUTED_VALUE"""),349.0)</f>
        <v>349</v>
      </c>
      <c r="H338" s="4">
        <f>IFERROR(__xludf.DUMMYFUNCTION("""COMPUTED_VALUE"""),9119.0)</f>
        <v>9119</v>
      </c>
      <c r="I338" s="4">
        <f>IFERROR(__xludf.DUMMYFUNCTION("""COMPUTED_VALUE"""),2831.0)</f>
        <v>2831</v>
      </c>
      <c r="J338" s="4">
        <f>IFERROR(__xludf.DUMMYFUNCTION("""COMPUTED_VALUE"""),970.0)</f>
        <v>970</v>
      </c>
      <c r="K338" s="4">
        <f>IFERROR(__xludf.DUMMYFUNCTION("""COMPUTED_VALUE"""),560.0)</f>
        <v>560</v>
      </c>
      <c r="L338" s="4">
        <f>IFERROR(__xludf.DUMMYFUNCTION("""COMPUTED_VALUE"""),0.466)</f>
        <v>0.466</v>
      </c>
      <c r="M338" s="4">
        <f>IFERROR(__xludf.DUMMYFUNCTION("""COMPUTED_VALUE"""),0.353)</f>
        <v>0.353</v>
      </c>
      <c r="N338" s="4">
        <f>IFERROR(__xludf.DUMMYFUNCTION("""COMPUTED_VALUE"""),0.731)</f>
        <v>0.731</v>
      </c>
      <c r="O338" s="4">
        <f>IFERROR(__xludf.DUMMYFUNCTION("""COMPUTED_VALUE"""),26.1)</f>
        <v>26.1</v>
      </c>
      <c r="P338" s="4">
        <f>IFERROR(__xludf.DUMMYFUNCTION("""COMPUTED_VALUE"""),8.1)</f>
        <v>8.1</v>
      </c>
      <c r="Q338" s="4">
        <f>IFERROR(__xludf.DUMMYFUNCTION("""COMPUTED_VALUE"""),2.8)</f>
        <v>2.8</v>
      </c>
      <c r="R338" s="4">
        <f>IFERROR(__xludf.DUMMYFUNCTION("""COMPUTED_VALUE"""),1.6)</f>
        <v>1.6</v>
      </c>
      <c r="S338" s="4">
        <f>IFERROR(__xludf.DUMMYFUNCTION("""COMPUTED_VALUE"""),16.4)</f>
        <v>16.4</v>
      </c>
      <c r="T338" s="4">
        <f>IFERROR(__xludf.DUMMYFUNCTION("""COMPUTED_VALUE"""),0.086)</f>
        <v>0.086</v>
      </c>
      <c r="U338" s="4">
        <f>IFERROR(__xludf.DUMMYFUNCTION("""COMPUTED_VALUE"""),-2.1)</f>
        <v>-2.1</v>
      </c>
      <c r="V338" s="4">
        <f>IFERROR(__xludf.DUMMYFUNCTION("""COMPUTED_VALUE"""),-0.2)</f>
        <v>-0.2</v>
      </c>
    </row>
    <row r="339">
      <c r="A339" s="4">
        <f>IFERROR(__xludf.DUMMYFUNCTION("""COMPUTED_VALUE"""),6.0)</f>
        <v>6</v>
      </c>
      <c r="B339" s="4">
        <f>IFERROR(__xludf.DUMMYFUNCTION("""COMPUTED_VALUE"""),6.0)</f>
        <v>6</v>
      </c>
      <c r="C339" s="4" t="str">
        <f>IFERROR(__xludf.DUMMYFUNCTION("""COMPUTED_VALUE"""),"ATL")</f>
        <v>ATL</v>
      </c>
      <c r="D339" s="4" t="str">
        <f>IFERROR(__xludf.DUMMYFUNCTION("""COMPUTED_VALUE"""),"Onyeka Okongwu")</f>
        <v>Onyeka Okongwu</v>
      </c>
      <c r="E339" s="4" t="str">
        <f>IFERROR(__xludf.DUMMYFUNCTION("""COMPUTED_VALUE"""),"USC")</f>
        <v>USC</v>
      </c>
      <c r="F339" s="4">
        <f>IFERROR(__xludf.DUMMYFUNCTION("""COMPUTED_VALUE"""),6.0)</f>
        <v>6</v>
      </c>
      <c r="G339" s="4">
        <f>IFERROR(__xludf.DUMMYFUNCTION("""COMPUTED_VALUE"""),328.0)</f>
        <v>328</v>
      </c>
      <c r="H339" s="4">
        <f>IFERROR(__xludf.DUMMYFUNCTION("""COMPUTED_VALUE"""),7552.0)</f>
        <v>7552</v>
      </c>
      <c r="I339" s="4">
        <f>IFERROR(__xludf.DUMMYFUNCTION("""COMPUTED_VALUE"""),3304.0)</f>
        <v>3304</v>
      </c>
      <c r="J339" s="4">
        <f>IFERROR(__xludf.DUMMYFUNCTION("""COMPUTED_VALUE"""),2212.0)</f>
        <v>2212</v>
      </c>
      <c r="K339" s="4">
        <f>IFERROR(__xludf.DUMMYFUNCTION("""COMPUTED_VALUE"""),454.0)</f>
        <v>454</v>
      </c>
      <c r="L339" s="4">
        <f>IFERROR(__xludf.DUMMYFUNCTION("""COMPUTED_VALUE"""),0.603)</f>
        <v>0.603</v>
      </c>
      <c r="M339" s="4">
        <f>IFERROR(__xludf.DUMMYFUNCTION("""COMPUTED_VALUE"""),0.337)</f>
        <v>0.337</v>
      </c>
      <c r="N339" s="4">
        <f>IFERROR(__xludf.DUMMYFUNCTION("""COMPUTED_VALUE"""),0.756)</f>
        <v>0.756</v>
      </c>
      <c r="O339" s="4">
        <f>IFERROR(__xludf.DUMMYFUNCTION("""COMPUTED_VALUE"""),23.0)</f>
        <v>23</v>
      </c>
      <c r="P339" s="4">
        <f>IFERROR(__xludf.DUMMYFUNCTION("""COMPUTED_VALUE"""),10.1)</f>
        <v>10.1</v>
      </c>
      <c r="Q339" s="4">
        <f>IFERROR(__xludf.DUMMYFUNCTION("""COMPUTED_VALUE"""),6.7)</f>
        <v>6.7</v>
      </c>
      <c r="R339" s="4">
        <f>IFERROR(__xludf.DUMMYFUNCTION("""COMPUTED_VALUE"""),1.4)</f>
        <v>1.4</v>
      </c>
      <c r="S339" s="4">
        <f>IFERROR(__xludf.DUMMYFUNCTION("""COMPUTED_VALUE"""),26.6)</f>
        <v>26.6</v>
      </c>
      <c r="T339" s="4">
        <f>IFERROR(__xludf.DUMMYFUNCTION("""COMPUTED_VALUE"""),0.169)</f>
        <v>0.169</v>
      </c>
      <c r="U339" s="4">
        <f>IFERROR(__xludf.DUMMYFUNCTION("""COMPUTED_VALUE"""),0.5)</f>
        <v>0.5</v>
      </c>
      <c r="V339" s="4">
        <f>IFERROR(__xludf.DUMMYFUNCTION("""COMPUTED_VALUE"""),4.8)</f>
        <v>4.8</v>
      </c>
    </row>
    <row r="340">
      <c r="A340" s="4">
        <f>IFERROR(__xludf.DUMMYFUNCTION("""COMPUTED_VALUE"""),7.0)</f>
        <v>7</v>
      </c>
      <c r="B340" s="4">
        <f>IFERROR(__xludf.DUMMYFUNCTION("""COMPUTED_VALUE"""),7.0)</f>
        <v>7</v>
      </c>
      <c r="C340" s="4" t="str">
        <f>IFERROR(__xludf.DUMMYFUNCTION("""COMPUTED_VALUE"""),"DET")</f>
        <v>DET</v>
      </c>
      <c r="D340" s="4" t="str">
        <f>IFERROR(__xludf.DUMMYFUNCTION("""COMPUTED_VALUE"""),"Killian Hayes")</f>
        <v>Killian Hayes</v>
      </c>
      <c r="E340" s="4"/>
      <c r="F340" s="4">
        <f>IFERROR(__xludf.DUMMYFUNCTION("""COMPUTED_VALUE"""),5.0)</f>
        <v>5</v>
      </c>
      <c r="G340" s="4">
        <f>IFERROR(__xludf.DUMMYFUNCTION("""COMPUTED_VALUE"""),216.0)</f>
        <v>216</v>
      </c>
      <c r="H340" s="4">
        <f>IFERROR(__xludf.DUMMYFUNCTION("""COMPUTED_VALUE"""),5641.0)</f>
        <v>5641</v>
      </c>
      <c r="I340" s="4">
        <f>IFERROR(__xludf.DUMMYFUNCTION("""COMPUTED_VALUE"""),1758.0)</f>
        <v>1758</v>
      </c>
      <c r="J340" s="4">
        <f>IFERROR(__xludf.DUMMYFUNCTION("""COMPUTED_VALUE"""),637.0)</f>
        <v>637</v>
      </c>
      <c r="K340" s="4">
        <f>IFERROR(__xludf.DUMMYFUNCTION("""COMPUTED_VALUE"""),1121.0)</f>
        <v>1121</v>
      </c>
      <c r="L340" s="4">
        <f>IFERROR(__xludf.DUMMYFUNCTION("""COMPUTED_VALUE"""),0.383)</f>
        <v>0.383</v>
      </c>
      <c r="M340" s="4">
        <f>IFERROR(__xludf.DUMMYFUNCTION("""COMPUTED_VALUE"""),0.281)</f>
        <v>0.281</v>
      </c>
      <c r="N340" s="4">
        <f>IFERROR(__xludf.DUMMYFUNCTION("""COMPUTED_VALUE"""),0.777)</f>
        <v>0.777</v>
      </c>
      <c r="O340" s="4">
        <f>IFERROR(__xludf.DUMMYFUNCTION("""COMPUTED_VALUE"""),26.1)</f>
        <v>26.1</v>
      </c>
      <c r="P340" s="4">
        <f>IFERROR(__xludf.DUMMYFUNCTION("""COMPUTED_VALUE"""),8.1)</f>
        <v>8.1</v>
      </c>
      <c r="Q340" s="4">
        <f>IFERROR(__xludf.DUMMYFUNCTION("""COMPUTED_VALUE"""),2.9)</f>
        <v>2.9</v>
      </c>
      <c r="R340" s="4">
        <f>IFERROR(__xludf.DUMMYFUNCTION("""COMPUTED_VALUE"""),5.2)</f>
        <v>5.2</v>
      </c>
      <c r="S340" s="4">
        <f>IFERROR(__xludf.DUMMYFUNCTION("""COMPUTED_VALUE"""),-0.2)</f>
        <v>-0.2</v>
      </c>
      <c r="T340" s="4">
        <f>IFERROR(__xludf.DUMMYFUNCTION("""COMPUTED_VALUE"""),-0.002)</f>
        <v>-0.002</v>
      </c>
      <c r="U340" s="4">
        <f>IFERROR(__xludf.DUMMYFUNCTION("""COMPUTED_VALUE"""),-3.8)</f>
        <v>-3.8</v>
      </c>
      <c r="V340" s="4">
        <f>IFERROR(__xludf.DUMMYFUNCTION("""COMPUTED_VALUE"""),-2.6)</f>
        <v>-2.6</v>
      </c>
    </row>
    <row r="341">
      <c r="A341" s="4">
        <f>IFERROR(__xludf.DUMMYFUNCTION("""COMPUTED_VALUE"""),8.0)</f>
        <v>8</v>
      </c>
      <c r="B341" s="4">
        <f>IFERROR(__xludf.DUMMYFUNCTION("""COMPUTED_VALUE"""),8.0)</f>
        <v>8</v>
      </c>
      <c r="C341" s="4" t="str">
        <f>IFERROR(__xludf.DUMMYFUNCTION("""COMPUTED_VALUE"""),"NYK")</f>
        <v>NYK</v>
      </c>
      <c r="D341" s="4" t="str">
        <f>IFERROR(__xludf.DUMMYFUNCTION("""COMPUTED_VALUE"""),"Obi Toppin")</f>
        <v>Obi Toppin</v>
      </c>
      <c r="E341" s="4" t="str">
        <f>IFERROR(__xludf.DUMMYFUNCTION("""COMPUTED_VALUE"""),"Dayton")</f>
        <v>Dayton</v>
      </c>
      <c r="F341" s="4">
        <f>IFERROR(__xludf.DUMMYFUNCTION("""COMPUTED_VALUE"""),6.0)</f>
        <v>6</v>
      </c>
      <c r="G341" s="4">
        <f>IFERROR(__xludf.DUMMYFUNCTION("""COMPUTED_VALUE"""),365.0)</f>
        <v>365</v>
      </c>
      <c r="H341" s="4">
        <f>IFERROR(__xludf.DUMMYFUNCTION("""COMPUTED_VALUE"""),6320.0)</f>
        <v>6320</v>
      </c>
      <c r="I341" s="4">
        <f>IFERROR(__xludf.DUMMYFUNCTION("""COMPUTED_VALUE"""),3116.0)</f>
        <v>3116</v>
      </c>
      <c r="J341" s="4">
        <f>IFERROR(__xludf.DUMMYFUNCTION("""COMPUTED_VALUE"""),1251.0)</f>
        <v>1251</v>
      </c>
      <c r="K341" s="4">
        <f>IFERROR(__xludf.DUMMYFUNCTION("""COMPUTED_VALUE"""),433.0)</f>
        <v>433</v>
      </c>
      <c r="L341" s="4">
        <f>IFERROR(__xludf.DUMMYFUNCTION("""COMPUTED_VALUE"""),0.521)</f>
        <v>0.521</v>
      </c>
      <c r="M341" s="4">
        <f>IFERROR(__xludf.DUMMYFUNCTION("""COMPUTED_VALUE"""),0.353)</f>
        <v>0.353</v>
      </c>
      <c r="N341" s="4">
        <f>IFERROR(__xludf.DUMMYFUNCTION("""COMPUTED_VALUE"""),0.776)</f>
        <v>0.776</v>
      </c>
      <c r="O341" s="4">
        <f>IFERROR(__xludf.DUMMYFUNCTION("""COMPUTED_VALUE"""),17.3)</f>
        <v>17.3</v>
      </c>
      <c r="P341" s="4">
        <f>IFERROR(__xludf.DUMMYFUNCTION("""COMPUTED_VALUE"""),8.5)</f>
        <v>8.5</v>
      </c>
      <c r="Q341" s="4">
        <f>IFERROR(__xludf.DUMMYFUNCTION("""COMPUTED_VALUE"""),3.4)</f>
        <v>3.4</v>
      </c>
      <c r="R341" s="4">
        <f>IFERROR(__xludf.DUMMYFUNCTION("""COMPUTED_VALUE"""),1.2)</f>
        <v>1.2</v>
      </c>
      <c r="S341" s="4">
        <f>IFERROR(__xludf.DUMMYFUNCTION("""COMPUTED_VALUE"""),16.7)</f>
        <v>16.7</v>
      </c>
      <c r="T341" s="4">
        <f>IFERROR(__xludf.DUMMYFUNCTION("""COMPUTED_VALUE"""),0.127)</f>
        <v>0.127</v>
      </c>
      <c r="U341" s="4">
        <f>IFERROR(__xludf.DUMMYFUNCTION("""COMPUTED_VALUE"""),1.0)</f>
        <v>1</v>
      </c>
      <c r="V341" s="4">
        <f>IFERROR(__xludf.DUMMYFUNCTION("""COMPUTED_VALUE"""),4.8)</f>
        <v>4.8</v>
      </c>
    </row>
    <row r="342">
      <c r="A342" s="4">
        <f>IFERROR(__xludf.DUMMYFUNCTION("""COMPUTED_VALUE"""),9.0)</f>
        <v>9</v>
      </c>
      <c r="B342" s="4">
        <f>IFERROR(__xludf.DUMMYFUNCTION("""COMPUTED_VALUE"""),9.0)</f>
        <v>9</v>
      </c>
      <c r="C342" s="4" t="str">
        <f>IFERROR(__xludf.DUMMYFUNCTION("""COMPUTED_VALUE"""),"WAS")</f>
        <v>WAS</v>
      </c>
      <c r="D342" s="4" t="str">
        <f>IFERROR(__xludf.DUMMYFUNCTION("""COMPUTED_VALUE"""),"Deni Avdija")</f>
        <v>Deni Avdija</v>
      </c>
      <c r="E342" s="4"/>
      <c r="F342" s="4">
        <f>IFERROR(__xludf.DUMMYFUNCTION("""COMPUTED_VALUE"""),6.0)</f>
        <v>6</v>
      </c>
      <c r="G342" s="4">
        <f>IFERROR(__xludf.DUMMYFUNCTION("""COMPUTED_VALUE"""),380.0)</f>
        <v>380</v>
      </c>
      <c r="H342" s="4">
        <f>IFERROR(__xludf.DUMMYFUNCTION("""COMPUTED_VALUE"""),10398.0)</f>
        <v>10398</v>
      </c>
      <c r="I342" s="4">
        <f>IFERROR(__xludf.DUMMYFUNCTION("""COMPUTED_VALUE"""),4586.0)</f>
        <v>4586</v>
      </c>
      <c r="J342" s="4">
        <f>IFERROR(__xludf.DUMMYFUNCTION("""COMPUTED_VALUE"""),2385.0)</f>
        <v>2385</v>
      </c>
      <c r="K342" s="4">
        <f>IFERROR(__xludf.DUMMYFUNCTION("""COMPUTED_VALUE"""),1137.0)</f>
        <v>1137</v>
      </c>
      <c r="L342" s="4">
        <f>IFERROR(__xludf.DUMMYFUNCTION("""COMPUTED_VALUE"""),0.463)</f>
        <v>0.463</v>
      </c>
      <c r="M342" s="4">
        <f>IFERROR(__xludf.DUMMYFUNCTION("""COMPUTED_VALUE"""),0.342)</f>
        <v>0.342</v>
      </c>
      <c r="N342" s="4">
        <f>IFERROR(__xludf.DUMMYFUNCTION("""COMPUTED_VALUE"""),0.76)</f>
        <v>0.76</v>
      </c>
      <c r="O342" s="4">
        <f>IFERROR(__xludf.DUMMYFUNCTION("""COMPUTED_VALUE"""),27.4)</f>
        <v>27.4</v>
      </c>
      <c r="P342" s="4">
        <f>IFERROR(__xludf.DUMMYFUNCTION("""COMPUTED_VALUE"""),12.1)</f>
        <v>12.1</v>
      </c>
      <c r="Q342" s="4">
        <f>IFERROR(__xludf.DUMMYFUNCTION("""COMPUTED_VALUE"""),6.3)</f>
        <v>6.3</v>
      </c>
      <c r="R342" s="4">
        <f>IFERROR(__xludf.DUMMYFUNCTION("""COMPUTED_VALUE"""),3.0)</f>
        <v>3</v>
      </c>
      <c r="S342" s="4">
        <f>IFERROR(__xludf.DUMMYFUNCTION("""COMPUTED_VALUE"""),17.0)</f>
        <v>17</v>
      </c>
      <c r="T342" s="4">
        <f>IFERROR(__xludf.DUMMYFUNCTION("""COMPUTED_VALUE"""),0.078)</f>
        <v>0.078</v>
      </c>
      <c r="U342" s="4">
        <f>IFERROR(__xludf.DUMMYFUNCTION("""COMPUTED_VALUE"""),-0.6)</f>
        <v>-0.6</v>
      </c>
      <c r="V342" s="4">
        <f>IFERROR(__xludf.DUMMYFUNCTION("""COMPUTED_VALUE"""),3.7)</f>
        <v>3.7</v>
      </c>
    </row>
    <row r="343">
      <c r="A343" s="4">
        <f>IFERROR(__xludf.DUMMYFUNCTION("""COMPUTED_VALUE"""),10.0)</f>
        <v>10</v>
      </c>
      <c r="B343" s="4">
        <f>IFERROR(__xludf.DUMMYFUNCTION("""COMPUTED_VALUE"""),10.0)</f>
        <v>10</v>
      </c>
      <c r="C343" s="4" t="str">
        <f>IFERROR(__xludf.DUMMYFUNCTION("""COMPUTED_VALUE"""),"PHO")</f>
        <v>PHO</v>
      </c>
      <c r="D343" s="4" t="str">
        <f>IFERROR(__xludf.DUMMYFUNCTION("""COMPUTED_VALUE"""),"Jalen Smith")</f>
        <v>Jalen Smith</v>
      </c>
      <c r="E343" s="4" t="str">
        <f>IFERROR(__xludf.DUMMYFUNCTION("""COMPUTED_VALUE"""),"Maryland")</f>
        <v>Maryland</v>
      </c>
      <c r="F343" s="4">
        <f>IFERROR(__xludf.DUMMYFUNCTION("""COMPUTED_VALUE"""),6.0)</f>
        <v>6</v>
      </c>
      <c r="G343" s="4">
        <f>IFERROR(__xludf.DUMMYFUNCTION("""COMPUTED_VALUE"""),289.0)</f>
        <v>289</v>
      </c>
      <c r="H343" s="4">
        <f>IFERROR(__xludf.DUMMYFUNCTION("""COMPUTED_VALUE"""),4675.0)</f>
        <v>4675</v>
      </c>
      <c r="I343" s="4">
        <f>IFERROR(__xludf.DUMMYFUNCTION("""COMPUTED_VALUE"""),2470.0)</f>
        <v>2470</v>
      </c>
      <c r="J343" s="4">
        <f>IFERROR(__xludf.DUMMYFUNCTION("""COMPUTED_VALUE"""),1537.0)</f>
        <v>1537</v>
      </c>
      <c r="K343" s="4">
        <f>IFERROR(__xludf.DUMMYFUNCTION("""COMPUTED_VALUE"""),244.0)</f>
        <v>244</v>
      </c>
      <c r="L343" s="4">
        <f>IFERROR(__xludf.DUMMYFUNCTION("""COMPUTED_VALUE"""),0.504)</f>
        <v>0.504</v>
      </c>
      <c r="M343" s="4">
        <f>IFERROR(__xludf.DUMMYFUNCTION("""COMPUTED_VALUE"""),0.336)</f>
        <v>0.336</v>
      </c>
      <c r="N343" s="4">
        <f>IFERROR(__xludf.DUMMYFUNCTION("""COMPUTED_VALUE"""),0.753)</f>
        <v>0.753</v>
      </c>
      <c r="O343" s="4">
        <f>IFERROR(__xludf.DUMMYFUNCTION("""COMPUTED_VALUE"""),16.2)</f>
        <v>16.2</v>
      </c>
      <c r="P343" s="4">
        <f>IFERROR(__xludf.DUMMYFUNCTION("""COMPUTED_VALUE"""),8.5)</f>
        <v>8.5</v>
      </c>
      <c r="Q343" s="4">
        <f>IFERROR(__xludf.DUMMYFUNCTION("""COMPUTED_VALUE"""),5.3)</f>
        <v>5.3</v>
      </c>
      <c r="R343" s="4">
        <f>IFERROR(__xludf.DUMMYFUNCTION("""COMPUTED_VALUE"""),0.8)</f>
        <v>0.8</v>
      </c>
      <c r="S343" s="4">
        <f>IFERROR(__xludf.DUMMYFUNCTION("""COMPUTED_VALUE"""),12.8)</f>
        <v>12.8</v>
      </c>
      <c r="T343" s="4">
        <f>IFERROR(__xludf.DUMMYFUNCTION("""COMPUTED_VALUE"""),0.131)</f>
        <v>0.131</v>
      </c>
      <c r="U343" s="4">
        <f>IFERROR(__xludf.DUMMYFUNCTION("""COMPUTED_VALUE"""),-0.1)</f>
        <v>-0.1</v>
      </c>
      <c r="V343" s="4">
        <f>IFERROR(__xludf.DUMMYFUNCTION("""COMPUTED_VALUE"""),2.2)</f>
        <v>2.2</v>
      </c>
    </row>
    <row r="344">
      <c r="A344" s="4">
        <f>IFERROR(__xludf.DUMMYFUNCTION("""COMPUTED_VALUE"""),11.0)</f>
        <v>11</v>
      </c>
      <c r="B344" s="4">
        <f>IFERROR(__xludf.DUMMYFUNCTION("""COMPUTED_VALUE"""),11.0)</f>
        <v>11</v>
      </c>
      <c r="C344" s="4" t="str">
        <f>IFERROR(__xludf.DUMMYFUNCTION("""COMPUTED_VALUE"""),"SAS")</f>
        <v>SAS</v>
      </c>
      <c r="D344" s="4" t="str">
        <f>IFERROR(__xludf.DUMMYFUNCTION("""COMPUTED_VALUE"""),"Devin Vassell")</f>
        <v>Devin Vassell</v>
      </c>
      <c r="E344" s="4" t="str">
        <f>IFERROR(__xludf.DUMMYFUNCTION("""COMPUTED_VALUE"""),"Florida State")</f>
        <v>Florida State</v>
      </c>
      <c r="F344" s="4">
        <f>IFERROR(__xludf.DUMMYFUNCTION("""COMPUTED_VALUE"""),6.0)</f>
        <v>6</v>
      </c>
      <c r="G344" s="4">
        <f>IFERROR(__xludf.DUMMYFUNCTION("""COMPUTED_VALUE"""),323.0)</f>
        <v>323</v>
      </c>
      <c r="H344" s="4">
        <f>IFERROR(__xludf.DUMMYFUNCTION("""COMPUTED_VALUE"""),9060.0)</f>
        <v>9060</v>
      </c>
      <c r="I344" s="4">
        <f>IFERROR(__xludf.DUMMYFUNCTION("""COMPUTED_VALUE"""),4594.0)</f>
        <v>4594</v>
      </c>
      <c r="J344" s="4">
        <f>IFERROR(__xludf.DUMMYFUNCTION("""COMPUTED_VALUE"""),1217.0)</f>
        <v>1217</v>
      </c>
      <c r="K344" s="4">
        <f>IFERROR(__xludf.DUMMYFUNCTION("""COMPUTED_VALUE"""),836.0)</f>
        <v>836</v>
      </c>
      <c r="L344" s="4">
        <f>IFERROR(__xludf.DUMMYFUNCTION("""COMPUTED_VALUE"""),0.444)</f>
        <v>0.444</v>
      </c>
      <c r="M344" s="4">
        <f>IFERROR(__xludf.DUMMYFUNCTION("""COMPUTED_VALUE"""),0.37)</f>
        <v>0.37</v>
      </c>
      <c r="N344" s="4">
        <f>IFERROR(__xludf.DUMMYFUNCTION("""COMPUTED_VALUE"""),0.81)</f>
        <v>0.81</v>
      </c>
      <c r="O344" s="4">
        <f>IFERROR(__xludf.DUMMYFUNCTION("""COMPUTED_VALUE"""),28.0)</f>
        <v>28</v>
      </c>
      <c r="P344" s="4">
        <f>IFERROR(__xludf.DUMMYFUNCTION("""COMPUTED_VALUE"""),14.2)</f>
        <v>14.2</v>
      </c>
      <c r="Q344" s="4">
        <f>IFERROR(__xludf.DUMMYFUNCTION("""COMPUTED_VALUE"""),3.8)</f>
        <v>3.8</v>
      </c>
      <c r="R344" s="4">
        <f>IFERROR(__xludf.DUMMYFUNCTION("""COMPUTED_VALUE"""),2.6)</f>
        <v>2.6</v>
      </c>
      <c r="S344" s="4">
        <f>IFERROR(__xludf.DUMMYFUNCTION("""COMPUTED_VALUE"""),13.2)</f>
        <v>13.2</v>
      </c>
      <c r="T344" s="4">
        <f>IFERROR(__xludf.DUMMYFUNCTION("""COMPUTED_VALUE"""),0.07)</f>
        <v>0.07</v>
      </c>
      <c r="U344" s="4">
        <f>IFERROR(__xludf.DUMMYFUNCTION("""COMPUTED_VALUE"""),-0.5)</f>
        <v>-0.5</v>
      </c>
      <c r="V344" s="4">
        <f>IFERROR(__xludf.DUMMYFUNCTION("""COMPUTED_VALUE"""),3.3)</f>
        <v>3.3</v>
      </c>
    </row>
    <row r="345">
      <c r="A345" s="4">
        <f>IFERROR(__xludf.DUMMYFUNCTION("""COMPUTED_VALUE"""),12.0)</f>
        <v>12</v>
      </c>
      <c r="B345" s="4">
        <f>IFERROR(__xludf.DUMMYFUNCTION("""COMPUTED_VALUE"""),12.0)</f>
        <v>12</v>
      </c>
      <c r="C345" s="4" t="str">
        <f>IFERROR(__xludf.DUMMYFUNCTION("""COMPUTED_VALUE"""),"SAC")</f>
        <v>SAC</v>
      </c>
      <c r="D345" s="4" t="str">
        <f>IFERROR(__xludf.DUMMYFUNCTION("""COMPUTED_VALUE"""),"Tyrese Haliburton")</f>
        <v>Tyrese Haliburton</v>
      </c>
      <c r="E345" s="4" t="str">
        <f>IFERROR(__xludf.DUMMYFUNCTION("""COMPUTED_VALUE"""),"Iowa State")</f>
        <v>Iowa State</v>
      </c>
      <c r="F345" s="4">
        <f>IFERROR(__xludf.DUMMYFUNCTION("""COMPUTED_VALUE"""),5.0)</f>
        <v>5</v>
      </c>
      <c r="G345" s="4">
        <f>IFERROR(__xludf.DUMMYFUNCTION("""COMPUTED_VALUE"""),333.0)</f>
        <v>333</v>
      </c>
      <c r="H345" s="4">
        <f>IFERROR(__xludf.DUMMYFUNCTION("""COMPUTED_VALUE"""),10998.0)</f>
        <v>10998</v>
      </c>
      <c r="I345" s="4">
        <f>IFERROR(__xludf.DUMMYFUNCTION("""COMPUTED_VALUE"""),5842.0)</f>
        <v>5842</v>
      </c>
      <c r="J345" s="4">
        <f>IFERROR(__xludf.DUMMYFUNCTION("""COMPUTED_VALUE"""),1218.0)</f>
        <v>1218</v>
      </c>
      <c r="K345" s="4">
        <f>IFERROR(__xludf.DUMMYFUNCTION("""COMPUTED_VALUE"""),2947.0)</f>
        <v>2947</v>
      </c>
      <c r="L345" s="4">
        <f>IFERROR(__xludf.DUMMYFUNCTION("""COMPUTED_VALUE"""),0.477)</f>
        <v>0.477</v>
      </c>
      <c r="M345" s="4">
        <f>IFERROR(__xludf.DUMMYFUNCTION("""COMPUTED_VALUE"""),0.392)</f>
        <v>0.392</v>
      </c>
      <c r="N345" s="4">
        <f>IFERROR(__xludf.DUMMYFUNCTION("""COMPUTED_VALUE"""),0.855)</f>
        <v>0.855</v>
      </c>
      <c r="O345" s="4">
        <f>IFERROR(__xludf.DUMMYFUNCTION("""COMPUTED_VALUE"""),33.0)</f>
        <v>33</v>
      </c>
      <c r="P345" s="4">
        <f>IFERROR(__xludf.DUMMYFUNCTION("""COMPUTED_VALUE"""),17.5)</f>
        <v>17.5</v>
      </c>
      <c r="Q345" s="4">
        <f>IFERROR(__xludf.DUMMYFUNCTION("""COMPUTED_VALUE"""),3.7)</f>
        <v>3.7</v>
      </c>
      <c r="R345" s="4">
        <f>IFERROR(__xludf.DUMMYFUNCTION("""COMPUTED_VALUE"""),8.8)</f>
        <v>8.8</v>
      </c>
      <c r="S345" s="4">
        <f>IFERROR(__xludf.DUMMYFUNCTION("""COMPUTED_VALUE"""),37.6)</f>
        <v>37.6</v>
      </c>
      <c r="T345" s="4">
        <f>IFERROR(__xludf.DUMMYFUNCTION("""COMPUTED_VALUE"""),0.164)</f>
        <v>0.164</v>
      </c>
      <c r="U345" s="4">
        <f>IFERROR(__xludf.DUMMYFUNCTION("""COMPUTED_VALUE"""),4.8)</f>
        <v>4.8</v>
      </c>
      <c r="V345" s="4">
        <f>IFERROR(__xludf.DUMMYFUNCTION("""COMPUTED_VALUE"""),18.9)</f>
        <v>18.9</v>
      </c>
    </row>
    <row r="346">
      <c r="A346" s="4">
        <f>IFERROR(__xludf.DUMMYFUNCTION("""COMPUTED_VALUE"""),13.0)</f>
        <v>13</v>
      </c>
      <c r="B346" s="4">
        <f>IFERROR(__xludf.DUMMYFUNCTION("""COMPUTED_VALUE"""),13.0)</f>
        <v>13</v>
      </c>
      <c r="C346" s="4" t="str">
        <f>IFERROR(__xludf.DUMMYFUNCTION("""COMPUTED_VALUE"""),"NOP")</f>
        <v>NOP</v>
      </c>
      <c r="D346" s="4" t="str">
        <f>IFERROR(__xludf.DUMMYFUNCTION("""COMPUTED_VALUE"""),"Kira Lewis Jr.")</f>
        <v>Kira Lewis Jr.</v>
      </c>
      <c r="E346" s="4" t="str">
        <f>IFERROR(__xludf.DUMMYFUNCTION("""COMPUTED_VALUE"""),"Alabama")</f>
        <v>Alabama</v>
      </c>
      <c r="F346" s="4">
        <f>IFERROR(__xludf.DUMMYFUNCTION("""COMPUTED_VALUE"""),4.0)</f>
        <v>4</v>
      </c>
      <c r="G346" s="4">
        <f>IFERROR(__xludf.DUMMYFUNCTION("""COMPUTED_VALUE"""),131.0)</f>
        <v>131</v>
      </c>
      <c r="H346" s="4">
        <f>IFERROR(__xludf.DUMMYFUNCTION("""COMPUTED_VALUE"""),1745.0)</f>
        <v>1745</v>
      </c>
      <c r="I346" s="4">
        <f>IFERROR(__xludf.DUMMYFUNCTION("""COMPUTED_VALUE"""),687.0)</f>
        <v>687</v>
      </c>
      <c r="J346" s="4">
        <f>IFERROR(__xludf.DUMMYFUNCTION("""COMPUTED_VALUE"""),169.0)</f>
        <v>169</v>
      </c>
      <c r="K346" s="4">
        <f>IFERROR(__xludf.DUMMYFUNCTION("""COMPUTED_VALUE"""),233.0)</f>
        <v>233</v>
      </c>
      <c r="L346" s="4">
        <f>IFERROR(__xludf.DUMMYFUNCTION("""COMPUTED_VALUE"""),0.397)</f>
        <v>0.397</v>
      </c>
      <c r="M346" s="4">
        <f>IFERROR(__xludf.DUMMYFUNCTION("""COMPUTED_VALUE"""),0.294)</f>
        <v>0.294</v>
      </c>
      <c r="N346" s="4">
        <f>IFERROR(__xludf.DUMMYFUNCTION("""COMPUTED_VALUE"""),0.848)</f>
        <v>0.848</v>
      </c>
      <c r="O346" s="4">
        <f>IFERROR(__xludf.DUMMYFUNCTION("""COMPUTED_VALUE"""),13.3)</f>
        <v>13.3</v>
      </c>
      <c r="P346" s="4">
        <f>IFERROR(__xludf.DUMMYFUNCTION("""COMPUTED_VALUE"""),5.2)</f>
        <v>5.2</v>
      </c>
      <c r="Q346" s="4">
        <f>IFERROR(__xludf.DUMMYFUNCTION("""COMPUTED_VALUE"""),1.3)</f>
        <v>1.3</v>
      </c>
      <c r="R346" s="4">
        <f>IFERROR(__xludf.DUMMYFUNCTION("""COMPUTED_VALUE"""),1.8)</f>
        <v>1.8</v>
      </c>
      <c r="S346" s="4">
        <f>IFERROR(__xludf.DUMMYFUNCTION("""COMPUTED_VALUE"""),1.3)</f>
        <v>1.3</v>
      </c>
      <c r="T346" s="4">
        <f>IFERROR(__xludf.DUMMYFUNCTION("""COMPUTED_VALUE"""),0.036)</f>
        <v>0.036</v>
      </c>
      <c r="U346" s="4">
        <f>IFERROR(__xludf.DUMMYFUNCTION("""COMPUTED_VALUE"""),-3.5)</f>
        <v>-3.5</v>
      </c>
      <c r="V346" s="4">
        <f>IFERROR(__xludf.DUMMYFUNCTION("""COMPUTED_VALUE"""),-0.6)</f>
        <v>-0.6</v>
      </c>
    </row>
    <row r="347">
      <c r="A347" s="4">
        <f>IFERROR(__xludf.DUMMYFUNCTION("""COMPUTED_VALUE"""),14.0)</f>
        <v>14</v>
      </c>
      <c r="B347" s="4">
        <f>IFERROR(__xludf.DUMMYFUNCTION("""COMPUTED_VALUE"""),14.0)</f>
        <v>14</v>
      </c>
      <c r="C347" s="4" t="str">
        <f>IFERROR(__xludf.DUMMYFUNCTION("""COMPUTED_VALUE"""),"BOS")</f>
        <v>BOS</v>
      </c>
      <c r="D347" s="4" t="str">
        <f>IFERROR(__xludf.DUMMYFUNCTION("""COMPUTED_VALUE"""),"Aaron Nesmith")</f>
        <v>Aaron Nesmith</v>
      </c>
      <c r="E347" s="4" t="str">
        <f>IFERROR(__xludf.DUMMYFUNCTION("""COMPUTED_VALUE"""),"Vanderbilt")</f>
        <v>Vanderbilt</v>
      </c>
      <c r="F347" s="4">
        <f>IFERROR(__xludf.DUMMYFUNCTION("""COMPUTED_VALUE"""),6.0)</f>
        <v>6</v>
      </c>
      <c r="G347" s="4">
        <f>IFERROR(__xludf.DUMMYFUNCTION("""COMPUTED_VALUE"""),299.0)</f>
        <v>299</v>
      </c>
      <c r="H347" s="4">
        <f>IFERROR(__xludf.DUMMYFUNCTION("""COMPUTED_VALUE"""),6511.0)</f>
        <v>6511</v>
      </c>
      <c r="I347" s="4">
        <f>IFERROR(__xludf.DUMMYFUNCTION("""COMPUTED_VALUE"""),2740.0)</f>
        <v>2740</v>
      </c>
      <c r="J347" s="4">
        <f>IFERROR(__xludf.DUMMYFUNCTION("""COMPUTED_VALUE"""),995.0)</f>
        <v>995</v>
      </c>
      <c r="K347" s="4">
        <f>IFERROR(__xludf.DUMMYFUNCTION("""COMPUTED_VALUE"""),322.0)</f>
        <v>322</v>
      </c>
      <c r="L347" s="4">
        <f>IFERROR(__xludf.DUMMYFUNCTION("""COMPUTED_VALUE"""),0.456)</f>
        <v>0.456</v>
      </c>
      <c r="M347" s="4">
        <f>IFERROR(__xludf.DUMMYFUNCTION("""COMPUTED_VALUE"""),0.384)</f>
        <v>0.384</v>
      </c>
      <c r="N347" s="4">
        <f>IFERROR(__xludf.DUMMYFUNCTION("""COMPUTED_VALUE"""),0.825)</f>
        <v>0.825</v>
      </c>
      <c r="O347" s="4">
        <f>IFERROR(__xludf.DUMMYFUNCTION("""COMPUTED_VALUE"""),21.8)</f>
        <v>21.8</v>
      </c>
      <c r="P347" s="4">
        <f>IFERROR(__xludf.DUMMYFUNCTION("""COMPUTED_VALUE"""),9.2)</f>
        <v>9.2</v>
      </c>
      <c r="Q347" s="4">
        <f>IFERROR(__xludf.DUMMYFUNCTION("""COMPUTED_VALUE"""),3.3)</f>
        <v>3.3</v>
      </c>
      <c r="R347" s="4">
        <f>IFERROR(__xludf.DUMMYFUNCTION("""COMPUTED_VALUE"""),1.1)</f>
        <v>1.1</v>
      </c>
      <c r="S347" s="4">
        <f>IFERROR(__xludf.DUMMYFUNCTION("""COMPUTED_VALUE"""),10.9)</f>
        <v>10.9</v>
      </c>
      <c r="T347" s="4">
        <f>IFERROR(__xludf.DUMMYFUNCTION("""COMPUTED_VALUE"""),0.08)</f>
        <v>0.08</v>
      </c>
      <c r="U347" s="4">
        <f>IFERROR(__xludf.DUMMYFUNCTION("""COMPUTED_VALUE"""),-1.9)</f>
        <v>-1.9</v>
      </c>
      <c r="V347" s="4">
        <f>IFERROR(__xludf.DUMMYFUNCTION("""COMPUTED_VALUE"""),0.2)</f>
        <v>0.2</v>
      </c>
    </row>
    <row r="348">
      <c r="A348" s="4">
        <f>IFERROR(__xludf.DUMMYFUNCTION("""COMPUTED_VALUE"""),15.0)</f>
        <v>15</v>
      </c>
      <c r="B348" s="4">
        <f>IFERROR(__xludf.DUMMYFUNCTION("""COMPUTED_VALUE"""),15.0)</f>
        <v>15</v>
      </c>
      <c r="C348" s="4" t="str">
        <f>IFERROR(__xludf.DUMMYFUNCTION("""COMPUTED_VALUE"""),"ORL")</f>
        <v>ORL</v>
      </c>
      <c r="D348" s="4" t="str">
        <f>IFERROR(__xludf.DUMMYFUNCTION("""COMPUTED_VALUE"""),"Cole Anthony")</f>
        <v>Cole Anthony</v>
      </c>
      <c r="E348" s="4" t="str">
        <f>IFERROR(__xludf.DUMMYFUNCTION("""COMPUTED_VALUE"""),"UNC")</f>
        <v>UNC</v>
      </c>
      <c r="F348" s="4">
        <f>IFERROR(__xludf.DUMMYFUNCTION("""COMPUTED_VALUE"""),6.0)</f>
        <v>6</v>
      </c>
      <c r="G348" s="4">
        <f>IFERROR(__xludf.DUMMYFUNCTION("""COMPUTED_VALUE"""),341.0)</f>
        <v>341</v>
      </c>
      <c r="H348" s="4">
        <f>IFERROR(__xludf.DUMMYFUNCTION("""COMPUTED_VALUE"""),8290.0)</f>
        <v>8290</v>
      </c>
      <c r="I348" s="4">
        <f>IFERROR(__xludf.DUMMYFUNCTION("""COMPUTED_VALUE"""),4174.0)</f>
        <v>4174</v>
      </c>
      <c r="J348" s="4">
        <f>IFERROR(__xludf.DUMMYFUNCTION("""COMPUTED_VALUE"""),1431.0)</f>
        <v>1431</v>
      </c>
      <c r="K348" s="4">
        <f>IFERROR(__xludf.DUMMYFUNCTION("""COMPUTED_VALUE"""),1313.0)</f>
        <v>1313</v>
      </c>
      <c r="L348" s="4">
        <f>IFERROR(__xludf.DUMMYFUNCTION("""COMPUTED_VALUE"""),0.419)</f>
        <v>0.419</v>
      </c>
      <c r="M348" s="4">
        <f>IFERROR(__xludf.DUMMYFUNCTION("""COMPUTED_VALUE"""),0.341)</f>
        <v>0.341</v>
      </c>
      <c r="N348" s="4">
        <f>IFERROR(__xludf.DUMMYFUNCTION("""COMPUTED_VALUE"""),0.841)</f>
        <v>0.841</v>
      </c>
      <c r="O348" s="4">
        <f>IFERROR(__xludf.DUMMYFUNCTION("""COMPUTED_VALUE"""),24.3)</f>
        <v>24.3</v>
      </c>
      <c r="P348" s="4">
        <f>IFERROR(__xludf.DUMMYFUNCTION("""COMPUTED_VALUE"""),12.2)</f>
        <v>12.2</v>
      </c>
      <c r="Q348" s="4">
        <f>IFERROR(__xludf.DUMMYFUNCTION("""COMPUTED_VALUE"""),4.2)</f>
        <v>4.2</v>
      </c>
      <c r="R348" s="4">
        <f>IFERROR(__xludf.DUMMYFUNCTION("""COMPUTED_VALUE"""),3.9)</f>
        <v>3.9</v>
      </c>
      <c r="S348" s="4">
        <f>IFERROR(__xludf.DUMMYFUNCTION("""COMPUTED_VALUE"""),10.7)</f>
        <v>10.7</v>
      </c>
      <c r="T348" s="4">
        <f>IFERROR(__xludf.DUMMYFUNCTION("""COMPUTED_VALUE"""),0.062)</f>
        <v>0.062</v>
      </c>
      <c r="U348" s="4">
        <f>IFERROR(__xludf.DUMMYFUNCTION("""COMPUTED_VALUE"""),-0.7)</f>
        <v>-0.7</v>
      </c>
      <c r="V348" s="4">
        <f>IFERROR(__xludf.DUMMYFUNCTION("""COMPUTED_VALUE"""),2.7)</f>
        <v>2.7</v>
      </c>
    </row>
    <row r="349">
      <c r="A349" s="4">
        <f>IFERROR(__xludf.DUMMYFUNCTION("""COMPUTED_VALUE"""),16.0)</f>
        <v>16</v>
      </c>
      <c r="B349" s="4">
        <f>IFERROR(__xludf.DUMMYFUNCTION("""COMPUTED_VALUE"""),16.0)</f>
        <v>16</v>
      </c>
      <c r="C349" s="4" t="str">
        <f>IFERROR(__xludf.DUMMYFUNCTION("""COMPUTED_VALUE"""),"POR")</f>
        <v>POR</v>
      </c>
      <c r="D349" s="4" t="str">
        <f>IFERROR(__xludf.DUMMYFUNCTION("""COMPUTED_VALUE"""),"Isaiah Stewart")</f>
        <v>Isaiah Stewart</v>
      </c>
      <c r="E349" s="4" t="str">
        <f>IFERROR(__xludf.DUMMYFUNCTION("""COMPUTED_VALUE"""),"Washington")</f>
        <v>Washington</v>
      </c>
      <c r="F349" s="4">
        <f>IFERROR(__xludf.DUMMYFUNCTION("""COMPUTED_VALUE"""),6.0)</f>
        <v>6</v>
      </c>
      <c r="G349" s="4">
        <f>IFERROR(__xludf.DUMMYFUNCTION("""COMPUTED_VALUE"""),325.0)</f>
        <v>325</v>
      </c>
      <c r="H349" s="4">
        <f>IFERROR(__xludf.DUMMYFUNCTION("""COMPUTED_VALUE"""),7950.0)</f>
        <v>7950</v>
      </c>
      <c r="I349" s="4">
        <f>IFERROR(__xludf.DUMMYFUNCTION("""COMPUTED_VALUE"""),2809.0)</f>
        <v>2809</v>
      </c>
      <c r="J349" s="4">
        <f>IFERROR(__xludf.DUMMYFUNCTION("""COMPUTED_VALUE"""),2295.0)</f>
        <v>2295</v>
      </c>
      <c r="K349" s="4">
        <f>IFERROR(__xludf.DUMMYFUNCTION("""COMPUTED_VALUE"""),429.0)</f>
        <v>429</v>
      </c>
      <c r="L349" s="4">
        <f>IFERROR(__xludf.DUMMYFUNCTION("""COMPUTED_VALUE"""),0.508)</f>
        <v>0.508</v>
      </c>
      <c r="M349" s="4">
        <f>IFERROR(__xludf.DUMMYFUNCTION("""COMPUTED_VALUE"""),0.349)</f>
        <v>0.349</v>
      </c>
      <c r="N349" s="4">
        <f>IFERROR(__xludf.DUMMYFUNCTION("""COMPUTED_VALUE"""),0.73)</f>
        <v>0.73</v>
      </c>
      <c r="O349" s="4">
        <f>IFERROR(__xludf.DUMMYFUNCTION("""COMPUTED_VALUE"""),24.5)</f>
        <v>24.5</v>
      </c>
      <c r="P349" s="4">
        <f>IFERROR(__xludf.DUMMYFUNCTION("""COMPUTED_VALUE"""),8.6)</f>
        <v>8.6</v>
      </c>
      <c r="Q349" s="4">
        <f>IFERROR(__xludf.DUMMYFUNCTION("""COMPUTED_VALUE"""),7.1)</f>
        <v>7.1</v>
      </c>
      <c r="R349" s="4">
        <f>IFERROR(__xludf.DUMMYFUNCTION("""COMPUTED_VALUE"""),1.3)</f>
        <v>1.3</v>
      </c>
      <c r="S349" s="4">
        <f>IFERROR(__xludf.DUMMYFUNCTION("""COMPUTED_VALUE"""),16.6)</f>
        <v>16.6</v>
      </c>
      <c r="T349" s="4">
        <f>IFERROR(__xludf.DUMMYFUNCTION("""COMPUTED_VALUE"""),0.1)</f>
        <v>0.1</v>
      </c>
      <c r="U349" s="4">
        <f>IFERROR(__xludf.DUMMYFUNCTION("""COMPUTED_VALUE"""),-1.6)</f>
        <v>-1.6</v>
      </c>
      <c r="V349" s="4">
        <f>IFERROR(__xludf.DUMMYFUNCTION("""COMPUTED_VALUE"""),0.8)</f>
        <v>0.8</v>
      </c>
    </row>
    <row r="350">
      <c r="A350" s="4">
        <f>IFERROR(__xludf.DUMMYFUNCTION("""COMPUTED_VALUE"""),17.0)</f>
        <v>17</v>
      </c>
      <c r="B350" s="4">
        <f>IFERROR(__xludf.DUMMYFUNCTION("""COMPUTED_VALUE"""),17.0)</f>
        <v>17</v>
      </c>
      <c r="C350" s="4" t="str">
        <f>IFERROR(__xludf.DUMMYFUNCTION("""COMPUTED_VALUE"""),"MIN")</f>
        <v>MIN</v>
      </c>
      <c r="D350" s="4" t="str">
        <f>IFERROR(__xludf.DUMMYFUNCTION("""COMPUTED_VALUE"""),"Aleksej Pokusevski")</f>
        <v>Aleksej Pokusevski</v>
      </c>
      <c r="E350" s="4"/>
      <c r="F350" s="4">
        <f>IFERROR(__xludf.DUMMYFUNCTION("""COMPUTED_VALUE"""),4.0)</f>
        <v>4</v>
      </c>
      <c r="G350" s="4">
        <f>IFERROR(__xludf.DUMMYFUNCTION("""COMPUTED_VALUE"""),168.0)</f>
        <v>168</v>
      </c>
      <c r="H350" s="4">
        <f>IFERROR(__xludf.DUMMYFUNCTION("""COMPUTED_VALUE"""),3429.0)</f>
        <v>3429</v>
      </c>
      <c r="I350" s="4">
        <f>IFERROR(__xludf.DUMMYFUNCTION("""COMPUTED_VALUE"""),1253.0)</f>
        <v>1253</v>
      </c>
      <c r="J350" s="4">
        <f>IFERROR(__xludf.DUMMYFUNCTION("""COMPUTED_VALUE"""),778.0)</f>
        <v>778</v>
      </c>
      <c r="K350" s="4">
        <f>IFERROR(__xludf.DUMMYFUNCTION("""COMPUTED_VALUE"""),327.0)</f>
        <v>327</v>
      </c>
      <c r="L350" s="4">
        <f>IFERROR(__xludf.DUMMYFUNCTION("""COMPUTED_VALUE"""),0.391)</f>
        <v>0.391</v>
      </c>
      <c r="M350" s="4">
        <f>IFERROR(__xludf.DUMMYFUNCTION("""COMPUTED_VALUE"""),0.304)</f>
        <v>0.304</v>
      </c>
      <c r="N350" s="4">
        <f>IFERROR(__xludf.DUMMYFUNCTION("""COMPUTED_VALUE"""),0.702)</f>
        <v>0.702</v>
      </c>
      <c r="O350" s="4">
        <f>IFERROR(__xludf.DUMMYFUNCTION("""COMPUTED_VALUE"""),20.4)</f>
        <v>20.4</v>
      </c>
      <c r="P350" s="4">
        <f>IFERROR(__xludf.DUMMYFUNCTION("""COMPUTED_VALUE"""),7.5)</f>
        <v>7.5</v>
      </c>
      <c r="Q350" s="4">
        <f>IFERROR(__xludf.DUMMYFUNCTION("""COMPUTED_VALUE"""),4.6)</f>
        <v>4.6</v>
      </c>
      <c r="R350" s="4">
        <f>IFERROR(__xludf.DUMMYFUNCTION("""COMPUTED_VALUE"""),1.9)</f>
        <v>1.9</v>
      </c>
      <c r="S350" s="4">
        <f>IFERROR(__xludf.DUMMYFUNCTION("""COMPUTED_VALUE"""),-0.2)</f>
        <v>-0.2</v>
      </c>
      <c r="T350" s="4">
        <f>IFERROR(__xludf.DUMMYFUNCTION("""COMPUTED_VALUE"""),-0.002)</f>
        <v>-0.002</v>
      </c>
      <c r="U350" s="4">
        <f>IFERROR(__xludf.DUMMYFUNCTION("""COMPUTED_VALUE"""),-3.1)</f>
        <v>-3.1</v>
      </c>
      <c r="V350" s="4">
        <f>IFERROR(__xludf.DUMMYFUNCTION("""COMPUTED_VALUE"""),-1.0)</f>
        <v>-1</v>
      </c>
    </row>
    <row r="351">
      <c r="A351" s="4">
        <f>IFERROR(__xludf.DUMMYFUNCTION("""COMPUTED_VALUE"""),18.0)</f>
        <v>18</v>
      </c>
      <c r="B351" s="4">
        <f>IFERROR(__xludf.DUMMYFUNCTION("""COMPUTED_VALUE"""),18.0)</f>
        <v>18</v>
      </c>
      <c r="C351" s="4" t="str">
        <f>IFERROR(__xludf.DUMMYFUNCTION("""COMPUTED_VALUE"""),"DAL")</f>
        <v>DAL</v>
      </c>
      <c r="D351" s="4" t="str">
        <f>IFERROR(__xludf.DUMMYFUNCTION("""COMPUTED_VALUE"""),"Josh Green")</f>
        <v>Josh Green</v>
      </c>
      <c r="E351" s="4" t="str">
        <f>IFERROR(__xludf.DUMMYFUNCTION("""COMPUTED_VALUE"""),"Arizona")</f>
        <v>Arizona</v>
      </c>
      <c r="F351" s="4">
        <f>IFERROR(__xludf.DUMMYFUNCTION("""COMPUTED_VALUE"""),5.0)</f>
        <v>5</v>
      </c>
      <c r="G351" s="4">
        <f>IFERROR(__xludf.DUMMYFUNCTION("""COMPUTED_VALUE"""),291.0)</f>
        <v>291</v>
      </c>
      <c r="H351" s="4">
        <f>IFERROR(__xludf.DUMMYFUNCTION("""COMPUTED_VALUE"""),6415.0)</f>
        <v>6415</v>
      </c>
      <c r="I351" s="4">
        <f>IFERROR(__xludf.DUMMYFUNCTION("""COMPUTED_VALUE"""),1941.0)</f>
        <v>1941</v>
      </c>
      <c r="J351" s="4">
        <f>IFERROR(__xludf.DUMMYFUNCTION("""COMPUTED_VALUE"""),777.0)</f>
        <v>777</v>
      </c>
      <c r="K351" s="4">
        <f>IFERROR(__xludf.DUMMYFUNCTION("""COMPUTED_VALUE"""),448.0)</f>
        <v>448</v>
      </c>
      <c r="L351" s="4">
        <f>IFERROR(__xludf.DUMMYFUNCTION("""COMPUTED_VALUE"""),0.482)</f>
        <v>0.482</v>
      </c>
      <c r="M351" s="4">
        <f>IFERROR(__xludf.DUMMYFUNCTION("""COMPUTED_VALUE"""),0.38)</f>
        <v>0.38</v>
      </c>
      <c r="N351" s="4">
        <f>IFERROR(__xludf.DUMMYFUNCTION("""COMPUTED_VALUE"""),0.687)</f>
        <v>0.687</v>
      </c>
      <c r="O351" s="4">
        <f>IFERROR(__xludf.DUMMYFUNCTION("""COMPUTED_VALUE"""),22.0)</f>
        <v>22</v>
      </c>
      <c r="P351" s="4">
        <f>IFERROR(__xludf.DUMMYFUNCTION("""COMPUTED_VALUE"""),6.7)</f>
        <v>6.7</v>
      </c>
      <c r="Q351" s="4">
        <f>IFERROR(__xludf.DUMMYFUNCTION("""COMPUTED_VALUE"""),2.7)</f>
        <v>2.7</v>
      </c>
      <c r="R351" s="4">
        <f>IFERROR(__xludf.DUMMYFUNCTION("""COMPUTED_VALUE"""),1.5)</f>
        <v>1.5</v>
      </c>
      <c r="S351" s="4">
        <f>IFERROR(__xludf.DUMMYFUNCTION("""COMPUTED_VALUE"""),9.2)</f>
        <v>9.2</v>
      </c>
      <c r="T351" s="4">
        <f>IFERROR(__xludf.DUMMYFUNCTION("""COMPUTED_VALUE"""),0.069)</f>
        <v>0.069</v>
      </c>
      <c r="U351" s="4">
        <f>IFERROR(__xludf.DUMMYFUNCTION("""COMPUTED_VALUE"""),-2.9)</f>
        <v>-2.9</v>
      </c>
      <c r="V351" s="4">
        <f>IFERROR(__xludf.DUMMYFUNCTION("""COMPUTED_VALUE"""),-1.5)</f>
        <v>-1.5</v>
      </c>
    </row>
    <row r="352">
      <c r="A352" s="4">
        <f>IFERROR(__xludf.DUMMYFUNCTION("""COMPUTED_VALUE"""),19.0)</f>
        <v>19</v>
      </c>
      <c r="B352" s="4">
        <f>IFERROR(__xludf.DUMMYFUNCTION("""COMPUTED_VALUE"""),19.0)</f>
        <v>19</v>
      </c>
      <c r="C352" s="4" t="str">
        <f>IFERROR(__xludf.DUMMYFUNCTION("""COMPUTED_VALUE"""),"BRK")</f>
        <v>BRK</v>
      </c>
      <c r="D352" s="4" t="str">
        <f>IFERROR(__xludf.DUMMYFUNCTION("""COMPUTED_VALUE"""),"Saddiq Bey")</f>
        <v>Saddiq Bey</v>
      </c>
      <c r="E352" s="4" t="str">
        <f>IFERROR(__xludf.DUMMYFUNCTION("""COMPUTED_VALUE"""),"Villanova")</f>
        <v>Villanova</v>
      </c>
      <c r="F352" s="4">
        <f>IFERROR(__xludf.DUMMYFUNCTION("""COMPUTED_VALUE"""),5.0)</f>
        <v>5</v>
      </c>
      <c r="G352" s="4">
        <f>IFERROR(__xludf.DUMMYFUNCTION("""COMPUTED_VALUE"""),313.0)</f>
        <v>313</v>
      </c>
      <c r="H352" s="4">
        <f>IFERROR(__xludf.DUMMYFUNCTION("""COMPUTED_VALUE"""),9405.0)</f>
        <v>9405</v>
      </c>
      <c r="I352" s="4">
        <f>IFERROR(__xludf.DUMMYFUNCTION("""COMPUTED_VALUE"""),4391.0)</f>
        <v>4391</v>
      </c>
      <c r="J352" s="4">
        <f>IFERROR(__xludf.DUMMYFUNCTION("""COMPUTED_VALUE"""),1657.0)</f>
        <v>1657</v>
      </c>
      <c r="K352" s="4">
        <f>IFERROR(__xludf.DUMMYFUNCTION("""COMPUTED_VALUE"""),586.0)</f>
        <v>586</v>
      </c>
      <c r="L352" s="4">
        <f>IFERROR(__xludf.DUMMYFUNCTION("""COMPUTED_VALUE"""),0.411)</f>
        <v>0.411</v>
      </c>
      <c r="M352" s="4">
        <f>IFERROR(__xludf.DUMMYFUNCTION("""COMPUTED_VALUE"""),0.353)</f>
        <v>0.353</v>
      </c>
      <c r="N352" s="4">
        <f>IFERROR(__xludf.DUMMYFUNCTION("""COMPUTED_VALUE"""),0.833)</f>
        <v>0.833</v>
      </c>
      <c r="O352" s="4">
        <f>IFERROR(__xludf.DUMMYFUNCTION("""COMPUTED_VALUE"""),30.0)</f>
        <v>30</v>
      </c>
      <c r="P352" s="4">
        <f>IFERROR(__xludf.DUMMYFUNCTION("""COMPUTED_VALUE"""),14.0)</f>
        <v>14</v>
      </c>
      <c r="Q352" s="4">
        <f>IFERROR(__xludf.DUMMYFUNCTION("""COMPUTED_VALUE"""),5.3)</f>
        <v>5.3</v>
      </c>
      <c r="R352" s="4">
        <f>IFERROR(__xludf.DUMMYFUNCTION("""COMPUTED_VALUE"""),1.9)</f>
        <v>1.9</v>
      </c>
      <c r="S352" s="4">
        <f>IFERROR(__xludf.DUMMYFUNCTION("""COMPUTED_VALUE"""),15.7)</f>
        <v>15.7</v>
      </c>
      <c r="T352" s="4">
        <f>IFERROR(__xludf.DUMMYFUNCTION("""COMPUTED_VALUE"""),0.08)</f>
        <v>0.08</v>
      </c>
      <c r="U352" s="4">
        <f>IFERROR(__xludf.DUMMYFUNCTION("""COMPUTED_VALUE"""),-0.6)</f>
        <v>-0.6</v>
      </c>
      <c r="V352" s="4">
        <f>IFERROR(__xludf.DUMMYFUNCTION("""COMPUTED_VALUE"""),3.2)</f>
        <v>3.2</v>
      </c>
    </row>
    <row r="353">
      <c r="A353" s="4">
        <f>IFERROR(__xludf.DUMMYFUNCTION("""COMPUTED_VALUE"""),20.0)</f>
        <v>20</v>
      </c>
      <c r="B353" s="4">
        <f>IFERROR(__xludf.DUMMYFUNCTION("""COMPUTED_VALUE"""),20.0)</f>
        <v>20</v>
      </c>
      <c r="C353" s="4" t="str">
        <f>IFERROR(__xludf.DUMMYFUNCTION("""COMPUTED_VALUE"""),"MIA")</f>
        <v>MIA</v>
      </c>
      <c r="D353" s="4" t="str">
        <f>IFERROR(__xludf.DUMMYFUNCTION("""COMPUTED_VALUE"""),"Precious Achiuwa")</f>
        <v>Precious Achiuwa</v>
      </c>
      <c r="E353" s="4" t="str">
        <f>IFERROR(__xludf.DUMMYFUNCTION("""COMPUTED_VALUE"""),"Memphis")</f>
        <v>Memphis</v>
      </c>
      <c r="F353" s="4">
        <f>IFERROR(__xludf.DUMMYFUNCTION("""COMPUTED_VALUE"""),6.0)</f>
        <v>6</v>
      </c>
      <c r="G353" s="4">
        <f>IFERROR(__xludf.DUMMYFUNCTION("""COMPUTED_VALUE"""),334.0)</f>
        <v>334</v>
      </c>
      <c r="H353" s="4">
        <f>IFERROR(__xludf.DUMMYFUNCTION("""COMPUTED_VALUE"""),6689.0)</f>
        <v>6689</v>
      </c>
      <c r="I353" s="4">
        <f>IFERROR(__xludf.DUMMYFUNCTION("""COMPUTED_VALUE"""),2522.0)</f>
        <v>2522</v>
      </c>
      <c r="J353" s="4">
        <f>IFERROR(__xludf.DUMMYFUNCTION("""COMPUTED_VALUE"""),1886.0)</f>
        <v>1886</v>
      </c>
      <c r="K353" s="4">
        <f>IFERROR(__xludf.DUMMYFUNCTION("""COMPUTED_VALUE"""),327.0)</f>
        <v>327</v>
      </c>
      <c r="L353" s="4">
        <f>IFERROR(__xludf.DUMMYFUNCTION("""COMPUTED_VALUE"""),0.487)</f>
        <v>0.487</v>
      </c>
      <c r="M353" s="4">
        <f>IFERROR(__xludf.DUMMYFUNCTION("""COMPUTED_VALUE"""),0.301)</f>
        <v>0.301</v>
      </c>
      <c r="N353" s="4">
        <f>IFERROR(__xludf.DUMMYFUNCTION("""COMPUTED_VALUE"""),0.6)</f>
        <v>0.6</v>
      </c>
      <c r="O353" s="4">
        <f>IFERROR(__xludf.DUMMYFUNCTION("""COMPUTED_VALUE"""),20.0)</f>
        <v>20</v>
      </c>
      <c r="P353" s="4">
        <f>IFERROR(__xludf.DUMMYFUNCTION("""COMPUTED_VALUE"""),7.6)</f>
        <v>7.6</v>
      </c>
      <c r="Q353" s="4">
        <f>IFERROR(__xludf.DUMMYFUNCTION("""COMPUTED_VALUE"""),5.6)</f>
        <v>5.6</v>
      </c>
      <c r="R353" s="4">
        <f>IFERROR(__xludf.DUMMYFUNCTION("""COMPUTED_VALUE"""),1.0)</f>
        <v>1</v>
      </c>
      <c r="S353" s="4">
        <f>IFERROR(__xludf.DUMMYFUNCTION("""COMPUTED_VALUE"""),12.2)</f>
        <v>12.2</v>
      </c>
      <c r="T353" s="4">
        <f>IFERROR(__xludf.DUMMYFUNCTION("""COMPUTED_VALUE"""),0.088)</f>
        <v>0.088</v>
      </c>
      <c r="U353" s="4">
        <f>IFERROR(__xludf.DUMMYFUNCTION("""COMPUTED_VALUE"""),-2.3)</f>
        <v>-2.3</v>
      </c>
      <c r="V353" s="4">
        <f>IFERROR(__xludf.DUMMYFUNCTION("""COMPUTED_VALUE"""),-0.5)</f>
        <v>-0.5</v>
      </c>
    </row>
    <row r="354">
      <c r="A354" s="4">
        <f>IFERROR(__xludf.DUMMYFUNCTION("""COMPUTED_VALUE"""),21.0)</f>
        <v>21</v>
      </c>
      <c r="B354" s="4">
        <f>IFERROR(__xludf.DUMMYFUNCTION("""COMPUTED_VALUE"""),21.0)</f>
        <v>21</v>
      </c>
      <c r="C354" s="4" t="str">
        <f>IFERROR(__xludf.DUMMYFUNCTION("""COMPUTED_VALUE"""),"PHI")</f>
        <v>PHI</v>
      </c>
      <c r="D354" s="4" t="str">
        <f>IFERROR(__xludf.DUMMYFUNCTION("""COMPUTED_VALUE"""),"Tyrese Maxey")</f>
        <v>Tyrese Maxey</v>
      </c>
      <c r="E354" s="4" t="str">
        <f>IFERROR(__xludf.DUMMYFUNCTION("""COMPUTED_VALUE"""),"Kentucky")</f>
        <v>Kentucky</v>
      </c>
      <c r="F354" s="4">
        <f>IFERROR(__xludf.DUMMYFUNCTION("""COMPUTED_VALUE"""),6.0)</f>
        <v>6</v>
      </c>
      <c r="G354" s="4">
        <f>IFERROR(__xludf.DUMMYFUNCTION("""COMPUTED_VALUE"""),338.0)</f>
        <v>338</v>
      </c>
      <c r="H354" s="4">
        <f>IFERROR(__xludf.DUMMYFUNCTION("""COMPUTED_VALUE"""),10988.0)</f>
        <v>10988</v>
      </c>
      <c r="I354" s="4">
        <f>IFERROR(__xludf.DUMMYFUNCTION("""COMPUTED_VALUE"""),6851.0)</f>
        <v>6851</v>
      </c>
      <c r="J354" s="4">
        <f>IFERROR(__xludf.DUMMYFUNCTION("""COMPUTED_VALUE"""),1047.0)</f>
        <v>1047</v>
      </c>
      <c r="K354" s="4">
        <f>IFERROR(__xludf.DUMMYFUNCTION("""COMPUTED_VALUE"""),1553.0)</f>
        <v>1553</v>
      </c>
      <c r="L354" s="4">
        <f>IFERROR(__xludf.DUMMYFUNCTION("""COMPUTED_VALUE"""),0.462)</f>
        <v>0.462</v>
      </c>
      <c r="M354" s="4">
        <f>IFERROR(__xludf.DUMMYFUNCTION("""COMPUTED_VALUE"""),0.381)</f>
        <v>0.381</v>
      </c>
      <c r="N354" s="4">
        <f>IFERROR(__xludf.DUMMYFUNCTION("""COMPUTED_VALUE"""),0.868)</f>
        <v>0.868</v>
      </c>
      <c r="O354" s="4">
        <f>IFERROR(__xludf.DUMMYFUNCTION("""COMPUTED_VALUE"""),32.5)</f>
        <v>32.5</v>
      </c>
      <c r="P354" s="4">
        <f>IFERROR(__xludf.DUMMYFUNCTION("""COMPUTED_VALUE"""),20.3)</f>
        <v>20.3</v>
      </c>
      <c r="Q354" s="4">
        <f>IFERROR(__xludf.DUMMYFUNCTION("""COMPUTED_VALUE"""),3.1)</f>
        <v>3.1</v>
      </c>
      <c r="R354" s="4">
        <f>IFERROR(__xludf.DUMMYFUNCTION("""COMPUTED_VALUE"""),4.6)</f>
        <v>4.6</v>
      </c>
      <c r="S354" s="4">
        <f>IFERROR(__xludf.DUMMYFUNCTION("""COMPUTED_VALUE"""),29.8)</f>
        <v>29.8</v>
      </c>
      <c r="T354" s="4">
        <f>IFERROR(__xludf.DUMMYFUNCTION("""COMPUTED_VALUE"""),0.13)</f>
        <v>0.13</v>
      </c>
      <c r="U354" s="4">
        <f>IFERROR(__xludf.DUMMYFUNCTION("""COMPUTED_VALUE"""),1.7)</f>
        <v>1.7</v>
      </c>
      <c r="V354" s="4">
        <f>IFERROR(__xludf.DUMMYFUNCTION("""COMPUTED_VALUE"""),10.3)</f>
        <v>10.3</v>
      </c>
    </row>
    <row r="355">
      <c r="A355" s="4">
        <f>IFERROR(__xludf.DUMMYFUNCTION("""COMPUTED_VALUE"""),22.0)</f>
        <v>22</v>
      </c>
      <c r="B355" s="4">
        <f>IFERROR(__xludf.DUMMYFUNCTION("""COMPUTED_VALUE"""),22.0)</f>
        <v>22</v>
      </c>
      <c r="C355" s="4" t="str">
        <f>IFERROR(__xludf.DUMMYFUNCTION("""COMPUTED_VALUE"""),"DEN")</f>
        <v>DEN</v>
      </c>
      <c r="D355" s="4" t="str">
        <f>IFERROR(__xludf.DUMMYFUNCTION("""COMPUTED_VALUE"""),"Zeke Nnaji")</f>
        <v>Zeke Nnaji</v>
      </c>
      <c r="E355" s="4" t="str">
        <f>IFERROR(__xludf.DUMMYFUNCTION("""COMPUTED_VALUE"""),"Arizona")</f>
        <v>Arizona</v>
      </c>
      <c r="F355" s="4">
        <f>IFERROR(__xludf.DUMMYFUNCTION("""COMPUTED_VALUE"""),6.0)</f>
        <v>6</v>
      </c>
      <c r="G355" s="4">
        <f>IFERROR(__xludf.DUMMYFUNCTION("""COMPUTED_VALUE"""),262.0)</f>
        <v>262</v>
      </c>
      <c r="H355" s="4">
        <f>IFERROR(__xludf.DUMMYFUNCTION("""COMPUTED_VALUE"""),3097.0)</f>
        <v>3097</v>
      </c>
      <c r="I355" s="4">
        <f>IFERROR(__xludf.DUMMYFUNCTION("""COMPUTED_VALUE"""),1079.0)</f>
        <v>1079</v>
      </c>
      <c r="J355" s="4">
        <f>IFERROR(__xludf.DUMMYFUNCTION("""COMPUTED_VALUE"""),582.0)</f>
        <v>582</v>
      </c>
      <c r="K355" s="4">
        <f>IFERROR(__xludf.DUMMYFUNCTION("""COMPUTED_VALUE"""),102.0)</f>
        <v>102</v>
      </c>
      <c r="L355" s="4">
        <f>IFERROR(__xludf.DUMMYFUNCTION("""COMPUTED_VALUE"""),0.509)</f>
        <v>0.509</v>
      </c>
      <c r="M355" s="4">
        <f>IFERROR(__xludf.DUMMYFUNCTION("""COMPUTED_VALUE"""),0.359)</f>
        <v>0.359</v>
      </c>
      <c r="N355" s="4">
        <f>IFERROR(__xludf.DUMMYFUNCTION("""COMPUTED_VALUE"""),0.655)</f>
        <v>0.655</v>
      </c>
      <c r="O355" s="4">
        <f>IFERROR(__xludf.DUMMYFUNCTION("""COMPUTED_VALUE"""),11.8)</f>
        <v>11.8</v>
      </c>
      <c r="P355" s="4">
        <f>IFERROR(__xludf.DUMMYFUNCTION("""COMPUTED_VALUE"""),4.1)</f>
        <v>4.1</v>
      </c>
      <c r="Q355" s="4">
        <f>IFERROR(__xludf.DUMMYFUNCTION("""COMPUTED_VALUE"""),2.2)</f>
        <v>2.2</v>
      </c>
      <c r="R355" s="4">
        <f>IFERROR(__xludf.DUMMYFUNCTION("""COMPUTED_VALUE"""),0.4)</f>
        <v>0.4</v>
      </c>
      <c r="S355" s="4">
        <f>IFERROR(__xludf.DUMMYFUNCTION("""COMPUTED_VALUE"""),6.7)</f>
        <v>6.7</v>
      </c>
      <c r="T355" s="4">
        <f>IFERROR(__xludf.DUMMYFUNCTION("""COMPUTED_VALUE"""),0.105)</f>
        <v>0.105</v>
      </c>
      <c r="U355" s="4">
        <f>IFERROR(__xludf.DUMMYFUNCTION("""COMPUTED_VALUE"""),-2.7)</f>
        <v>-2.7</v>
      </c>
      <c r="V355" s="4">
        <f>IFERROR(__xludf.DUMMYFUNCTION("""COMPUTED_VALUE"""),-0.5)</f>
        <v>-0.5</v>
      </c>
    </row>
    <row r="356">
      <c r="A356" s="4">
        <f>IFERROR(__xludf.DUMMYFUNCTION("""COMPUTED_VALUE"""),23.0)</f>
        <v>23</v>
      </c>
      <c r="B356" s="4">
        <f>IFERROR(__xludf.DUMMYFUNCTION("""COMPUTED_VALUE"""),23.0)</f>
        <v>23</v>
      </c>
      <c r="C356" s="4" t="str">
        <f>IFERROR(__xludf.DUMMYFUNCTION("""COMPUTED_VALUE"""),"NYK")</f>
        <v>NYK</v>
      </c>
      <c r="D356" s="4" t="str">
        <f>IFERROR(__xludf.DUMMYFUNCTION("""COMPUTED_VALUE"""),"Leandro Bolmaro")</f>
        <v>Leandro Bolmaro</v>
      </c>
      <c r="E356" s="4"/>
      <c r="F356" s="4">
        <f>IFERROR(__xludf.DUMMYFUNCTION("""COMPUTED_VALUE"""),2.0)</f>
        <v>2</v>
      </c>
      <c r="G356" s="4">
        <f>IFERROR(__xludf.DUMMYFUNCTION("""COMPUTED_VALUE"""),49.0)</f>
        <v>49</v>
      </c>
      <c r="H356" s="4">
        <f>IFERROR(__xludf.DUMMYFUNCTION("""COMPUTED_VALUE"""),309.0)</f>
        <v>309</v>
      </c>
      <c r="I356" s="4">
        <f>IFERROR(__xludf.DUMMYFUNCTION("""COMPUTED_VALUE"""),56.0)</f>
        <v>56</v>
      </c>
      <c r="J356" s="4">
        <f>IFERROR(__xludf.DUMMYFUNCTION("""COMPUTED_VALUE"""),50.0)</f>
        <v>50</v>
      </c>
      <c r="K356" s="4">
        <f>IFERROR(__xludf.DUMMYFUNCTION("""COMPUTED_VALUE"""),28.0)</f>
        <v>28</v>
      </c>
      <c r="L356" s="4">
        <f>IFERROR(__xludf.DUMMYFUNCTION("""COMPUTED_VALUE"""),0.27)</f>
        <v>0.27</v>
      </c>
      <c r="M356" s="4">
        <f>IFERROR(__xludf.DUMMYFUNCTION("""COMPUTED_VALUE"""),0.227)</f>
        <v>0.227</v>
      </c>
      <c r="N356" s="4">
        <f>IFERROR(__xludf.DUMMYFUNCTION("""COMPUTED_VALUE"""),0.846)</f>
        <v>0.846</v>
      </c>
      <c r="O356" s="4">
        <f>IFERROR(__xludf.DUMMYFUNCTION("""COMPUTED_VALUE"""),6.3)</f>
        <v>6.3</v>
      </c>
      <c r="P356" s="4">
        <f>IFERROR(__xludf.DUMMYFUNCTION("""COMPUTED_VALUE"""),1.1)</f>
        <v>1.1</v>
      </c>
      <c r="Q356" s="4">
        <f>IFERROR(__xludf.DUMMYFUNCTION("""COMPUTED_VALUE"""),1.0)</f>
        <v>1</v>
      </c>
      <c r="R356" s="4">
        <f>IFERROR(__xludf.DUMMYFUNCTION("""COMPUTED_VALUE"""),0.6)</f>
        <v>0.6</v>
      </c>
      <c r="S356" s="4">
        <f>IFERROR(__xludf.DUMMYFUNCTION("""COMPUTED_VALUE"""),-0.3)</f>
        <v>-0.3</v>
      </c>
      <c r="T356" s="4">
        <f>IFERROR(__xludf.DUMMYFUNCTION("""COMPUTED_VALUE"""),-0.048)</f>
        <v>-0.048</v>
      </c>
      <c r="U356" s="4">
        <f>IFERROR(__xludf.DUMMYFUNCTION("""COMPUTED_VALUE"""),-7.8)</f>
        <v>-7.8</v>
      </c>
      <c r="V356" s="4">
        <f>IFERROR(__xludf.DUMMYFUNCTION("""COMPUTED_VALUE"""),-0.5)</f>
        <v>-0.5</v>
      </c>
    </row>
    <row r="357">
      <c r="A357" s="4">
        <f>IFERROR(__xludf.DUMMYFUNCTION("""COMPUTED_VALUE"""),24.0)</f>
        <v>24</v>
      </c>
      <c r="B357" s="4">
        <f>IFERROR(__xludf.DUMMYFUNCTION("""COMPUTED_VALUE"""),24.0)</f>
        <v>24</v>
      </c>
      <c r="C357" s="4" t="str">
        <f>IFERROR(__xludf.DUMMYFUNCTION("""COMPUTED_VALUE"""),"MIL")</f>
        <v>MIL</v>
      </c>
      <c r="D357" s="4" t="str">
        <f>IFERROR(__xludf.DUMMYFUNCTION("""COMPUTED_VALUE"""),"R.J. Hampton")</f>
        <v>R.J. Hampton</v>
      </c>
      <c r="E357" s="4"/>
      <c r="F357" s="4">
        <f>IFERROR(__xludf.DUMMYFUNCTION("""COMPUTED_VALUE"""),4.0)</f>
        <v>4</v>
      </c>
      <c r="G357" s="4">
        <f>IFERROR(__xludf.DUMMYFUNCTION("""COMPUTED_VALUE"""),170.0)</f>
        <v>170</v>
      </c>
      <c r="H357" s="4">
        <f>IFERROR(__xludf.DUMMYFUNCTION("""COMPUTED_VALUE"""),3116.0)</f>
        <v>3116</v>
      </c>
      <c r="I357" s="4">
        <f>IFERROR(__xludf.DUMMYFUNCTION("""COMPUTED_VALUE"""),1155.0)</f>
        <v>1155</v>
      </c>
      <c r="J357" s="4">
        <f>IFERROR(__xludf.DUMMYFUNCTION("""COMPUTED_VALUE"""),466.0)</f>
        <v>466</v>
      </c>
      <c r="K357" s="4">
        <f>IFERROR(__xludf.DUMMYFUNCTION("""COMPUTED_VALUE"""),307.0)</f>
        <v>307</v>
      </c>
      <c r="L357" s="4">
        <f>IFERROR(__xludf.DUMMYFUNCTION("""COMPUTED_VALUE"""),0.408)</f>
        <v>0.408</v>
      </c>
      <c r="M357" s="4">
        <f>IFERROR(__xludf.DUMMYFUNCTION("""COMPUTED_VALUE"""),0.338)</f>
        <v>0.338</v>
      </c>
      <c r="N357" s="4">
        <f>IFERROR(__xludf.DUMMYFUNCTION("""COMPUTED_VALUE"""),0.679)</f>
        <v>0.679</v>
      </c>
      <c r="O357" s="4">
        <f>IFERROR(__xludf.DUMMYFUNCTION("""COMPUTED_VALUE"""),18.3)</f>
        <v>18.3</v>
      </c>
      <c r="P357" s="4">
        <f>IFERROR(__xludf.DUMMYFUNCTION("""COMPUTED_VALUE"""),6.8)</f>
        <v>6.8</v>
      </c>
      <c r="Q357" s="4">
        <f>IFERROR(__xludf.DUMMYFUNCTION("""COMPUTED_VALUE"""),2.7)</f>
        <v>2.7</v>
      </c>
      <c r="R357" s="4">
        <f>IFERROR(__xludf.DUMMYFUNCTION("""COMPUTED_VALUE"""),1.8)</f>
        <v>1.8</v>
      </c>
      <c r="S357" s="4">
        <f>IFERROR(__xludf.DUMMYFUNCTION("""COMPUTED_VALUE"""),0.8)</f>
        <v>0.8</v>
      </c>
      <c r="T357" s="4">
        <f>IFERROR(__xludf.DUMMYFUNCTION("""COMPUTED_VALUE"""),0.013)</f>
        <v>0.013</v>
      </c>
      <c r="U357" s="4">
        <f>IFERROR(__xludf.DUMMYFUNCTION("""COMPUTED_VALUE"""),-3.8)</f>
        <v>-3.8</v>
      </c>
      <c r="V357" s="4">
        <f>IFERROR(__xludf.DUMMYFUNCTION("""COMPUTED_VALUE"""),-1.4)</f>
        <v>-1.4</v>
      </c>
    </row>
    <row r="358">
      <c r="A358" s="4">
        <f>IFERROR(__xludf.DUMMYFUNCTION("""COMPUTED_VALUE"""),25.0)</f>
        <v>25</v>
      </c>
      <c r="B358" s="4">
        <f>IFERROR(__xludf.DUMMYFUNCTION("""COMPUTED_VALUE"""),25.0)</f>
        <v>25</v>
      </c>
      <c r="C358" s="4" t="str">
        <f>IFERROR(__xludf.DUMMYFUNCTION("""COMPUTED_VALUE"""),"OKC")</f>
        <v>OKC</v>
      </c>
      <c r="D358" s="4" t="str">
        <f>IFERROR(__xludf.DUMMYFUNCTION("""COMPUTED_VALUE"""),"Immanuel Quickley")</f>
        <v>Immanuel Quickley</v>
      </c>
      <c r="E358" s="4" t="str">
        <f>IFERROR(__xludf.DUMMYFUNCTION("""COMPUTED_VALUE"""),"Kentucky")</f>
        <v>Kentucky</v>
      </c>
      <c r="F358" s="4">
        <f>IFERROR(__xludf.DUMMYFUNCTION("""COMPUTED_VALUE"""),6.0)</f>
        <v>6</v>
      </c>
      <c r="G358" s="4">
        <f>IFERROR(__xludf.DUMMYFUNCTION("""COMPUTED_VALUE"""),346.0)</f>
        <v>346</v>
      </c>
      <c r="H358" s="4">
        <f>IFERROR(__xludf.DUMMYFUNCTION("""COMPUTED_VALUE"""),9004.0)</f>
        <v>9004</v>
      </c>
      <c r="I358" s="4">
        <f>IFERROR(__xludf.DUMMYFUNCTION("""COMPUTED_VALUE"""),4900.0)</f>
        <v>4900</v>
      </c>
      <c r="J358" s="4">
        <f>IFERROR(__xludf.DUMMYFUNCTION("""COMPUTED_VALUE"""),1198.0)</f>
        <v>1198</v>
      </c>
      <c r="K358" s="4">
        <f>IFERROR(__xludf.DUMMYFUNCTION("""COMPUTED_VALUE"""),1344.0)</f>
        <v>1344</v>
      </c>
      <c r="L358" s="4">
        <f>IFERROR(__xludf.DUMMYFUNCTION("""COMPUTED_VALUE"""),0.424)</f>
        <v>0.424</v>
      </c>
      <c r="M358" s="4">
        <f>IFERROR(__xludf.DUMMYFUNCTION("""COMPUTED_VALUE"""),0.376)</f>
        <v>0.376</v>
      </c>
      <c r="N358" s="4">
        <f>IFERROR(__xludf.DUMMYFUNCTION("""COMPUTED_VALUE"""),0.851)</f>
        <v>0.851</v>
      </c>
      <c r="O358" s="4">
        <f>IFERROR(__xludf.DUMMYFUNCTION("""COMPUTED_VALUE"""),26.0)</f>
        <v>26</v>
      </c>
      <c r="P358" s="4">
        <f>IFERROR(__xludf.DUMMYFUNCTION("""COMPUTED_VALUE"""),14.2)</f>
        <v>14.2</v>
      </c>
      <c r="Q358" s="4">
        <f>IFERROR(__xludf.DUMMYFUNCTION("""COMPUTED_VALUE"""),3.5)</f>
        <v>3.5</v>
      </c>
      <c r="R358" s="4">
        <f>IFERROR(__xludf.DUMMYFUNCTION("""COMPUTED_VALUE"""),3.9)</f>
        <v>3.9</v>
      </c>
      <c r="S358" s="4">
        <f>IFERROR(__xludf.DUMMYFUNCTION("""COMPUTED_VALUE"""),23.4)</f>
        <v>23.4</v>
      </c>
      <c r="T358" s="4">
        <f>IFERROR(__xludf.DUMMYFUNCTION("""COMPUTED_VALUE"""),0.125)</f>
        <v>0.125</v>
      </c>
      <c r="U358" s="4">
        <f>IFERROR(__xludf.DUMMYFUNCTION("""COMPUTED_VALUE"""),1.3)</f>
        <v>1.3</v>
      </c>
      <c r="V358" s="4">
        <f>IFERROR(__xludf.DUMMYFUNCTION("""COMPUTED_VALUE"""),7.5)</f>
        <v>7.5</v>
      </c>
    </row>
    <row r="359">
      <c r="A359" s="4">
        <f>IFERROR(__xludf.DUMMYFUNCTION("""COMPUTED_VALUE"""),26.0)</f>
        <v>26</v>
      </c>
      <c r="B359" s="4">
        <f>IFERROR(__xludf.DUMMYFUNCTION("""COMPUTED_VALUE"""),26.0)</f>
        <v>26</v>
      </c>
      <c r="C359" s="4" t="str">
        <f>IFERROR(__xludf.DUMMYFUNCTION("""COMPUTED_VALUE"""),"BOS")</f>
        <v>BOS</v>
      </c>
      <c r="D359" s="4" t="str">
        <f>IFERROR(__xludf.DUMMYFUNCTION("""COMPUTED_VALUE"""),"Payton Pritchard")</f>
        <v>Payton Pritchard</v>
      </c>
      <c r="E359" s="4" t="str">
        <f>IFERROR(__xludf.DUMMYFUNCTION("""COMPUTED_VALUE"""),"Oregon")</f>
        <v>Oregon</v>
      </c>
      <c r="F359" s="4">
        <f>IFERROR(__xludf.DUMMYFUNCTION("""COMPUTED_VALUE"""),6.0)</f>
        <v>6</v>
      </c>
      <c r="G359" s="4">
        <f>IFERROR(__xludf.DUMMYFUNCTION("""COMPUTED_VALUE"""),368.0)</f>
        <v>368</v>
      </c>
      <c r="H359" s="4">
        <f>IFERROR(__xludf.DUMMYFUNCTION("""COMPUTED_VALUE"""),7685.0)</f>
        <v>7685</v>
      </c>
      <c r="I359" s="4">
        <f>IFERROR(__xludf.DUMMYFUNCTION("""COMPUTED_VALUE"""),3513.0)</f>
        <v>3513</v>
      </c>
      <c r="J359" s="4">
        <f>IFERROR(__xludf.DUMMYFUNCTION("""COMPUTED_VALUE"""),1042.0)</f>
        <v>1042</v>
      </c>
      <c r="K359" s="4">
        <f>IFERROR(__xludf.DUMMYFUNCTION("""COMPUTED_VALUE"""),982.0)</f>
        <v>982</v>
      </c>
      <c r="L359" s="4">
        <f>IFERROR(__xludf.DUMMYFUNCTION("""COMPUTED_VALUE"""),0.453)</f>
        <v>0.453</v>
      </c>
      <c r="M359" s="4">
        <f>IFERROR(__xludf.DUMMYFUNCTION("""COMPUTED_VALUE"""),0.394)</f>
        <v>0.394</v>
      </c>
      <c r="N359" s="4">
        <f>IFERROR(__xludf.DUMMYFUNCTION("""COMPUTED_VALUE"""),0.856)</f>
        <v>0.856</v>
      </c>
      <c r="O359" s="4">
        <f>IFERROR(__xludf.DUMMYFUNCTION("""COMPUTED_VALUE"""),20.9)</f>
        <v>20.9</v>
      </c>
      <c r="P359" s="4">
        <f>IFERROR(__xludf.DUMMYFUNCTION("""COMPUTED_VALUE"""),9.5)</f>
        <v>9.5</v>
      </c>
      <c r="Q359" s="4">
        <f>IFERROR(__xludf.DUMMYFUNCTION("""COMPUTED_VALUE"""),2.8)</f>
        <v>2.8</v>
      </c>
      <c r="R359" s="4">
        <f>IFERROR(__xludf.DUMMYFUNCTION("""COMPUTED_VALUE"""),2.7)</f>
        <v>2.7</v>
      </c>
      <c r="S359" s="4">
        <f>IFERROR(__xludf.DUMMYFUNCTION("""COMPUTED_VALUE"""),22.9)</f>
        <v>22.9</v>
      </c>
      <c r="T359" s="4">
        <f>IFERROR(__xludf.DUMMYFUNCTION("""COMPUTED_VALUE"""),0.143)</f>
        <v>0.143</v>
      </c>
      <c r="U359" s="4">
        <f>IFERROR(__xludf.DUMMYFUNCTION("""COMPUTED_VALUE"""),1.2)</f>
        <v>1.2</v>
      </c>
      <c r="V359" s="4">
        <f>IFERROR(__xludf.DUMMYFUNCTION("""COMPUTED_VALUE"""),6.3)</f>
        <v>6.3</v>
      </c>
    </row>
    <row r="360">
      <c r="A360" s="4">
        <f>IFERROR(__xludf.DUMMYFUNCTION("""COMPUTED_VALUE"""),27.0)</f>
        <v>27</v>
      </c>
      <c r="B360" s="4">
        <f>IFERROR(__xludf.DUMMYFUNCTION("""COMPUTED_VALUE"""),27.0)</f>
        <v>27</v>
      </c>
      <c r="C360" s="4" t="str">
        <f>IFERROR(__xludf.DUMMYFUNCTION("""COMPUTED_VALUE"""),"UTA")</f>
        <v>UTA</v>
      </c>
      <c r="D360" s="4" t="str">
        <f>IFERROR(__xludf.DUMMYFUNCTION("""COMPUTED_VALUE"""),"Udoka Azubuike")</f>
        <v>Udoka Azubuike</v>
      </c>
      <c r="E360" s="4" t="str">
        <f>IFERROR(__xludf.DUMMYFUNCTION("""COMPUTED_VALUE"""),"Kansas")</f>
        <v>Kansas</v>
      </c>
      <c r="F360" s="4">
        <f>IFERROR(__xludf.DUMMYFUNCTION("""COMPUTED_VALUE"""),4.0)</f>
        <v>4</v>
      </c>
      <c r="G360" s="4">
        <f>IFERROR(__xludf.DUMMYFUNCTION("""COMPUTED_VALUE"""),84.0)</f>
        <v>84</v>
      </c>
      <c r="H360" s="4">
        <f>IFERROR(__xludf.DUMMYFUNCTION("""COMPUTED_VALUE"""),724.0)</f>
        <v>724</v>
      </c>
      <c r="I360" s="4">
        <f>IFERROR(__xludf.DUMMYFUNCTION("""COMPUTED_VALUE"""),256.0)</f>
        <v>256</v>
      </c>
      <c r="J360" s="4">
        <f>IFERROR(__xludf.DUMMYFUNCTION("""COMPUTED_VALUE"""),235.0)</f>
        <v>235</v>
      </c>
      <c r="K360" s="4">
        <f>IFERROR(__xludf.DUMMYFUNCTION("""COMPUTED_VALUE"""),14.0)</f>
        <v>14</v>
      </c>
      <c r="L360" s="4">
        <f>IFERROR(__xludf.DUMMYFUNCTION("""COMPUTED_VALUE"""),0.758)</f>
        <v>0.758</v>
      </c>
      <c r="M360" s="4"/>
      <c r="N360" s="4">
        <f>IFERROR(__xludf.DUMMYFUNCTION("""COMPUTED_VALUE"""),0.444)</f>
        <v>0.444</v>
      </c>
      <c r="O360" s="4">
        <f>IFERROR(__xludf.DUMMYFUNCTION("""COMPUTED_VALUE"""),8.6)</f>
        <v>8.6</v>
      </c>
      <c r="P360" s="4">
        <f>IFERROR(__xludf.DUMMYFUNCTION("""COMPUTED_VALUE"""),3.0)</f>
        <v>3</v>
      </c>
      <c r="Q360" s="4">
        <f>IFERROR(__xludf.DUMMYFUNCTION("""COMPUTED_VALUE"""),2.8)</f>
        <v>2.8</v>
      </c>
      <c r="R360" s="4">
        <f>IFERROR(__xludf.DUMMYFUNCTION("""COMPUTED_VALUE"""),0.2)</f>
        <v>0.2</v>
      </c>
      <c r="S360" s="4">
        <f>IFERROR(__xludf.DUMMYFUNCTION("""COMPUTED_VALUE"""),2.0)</f>
        <v>2</v>
      </c>
      <c r="T360" s="4">
        <f>IFERROR(__xludf.DUMMYFUNCTION("""COMPUTED_VALUE"""),0.133)</f>
        <v>0.133</v>
      </c>
      <c r="U360" s="4">
        <f>IFERROR(__xludf.DUMMYFUNCTION("""COMPUTED_VALUE"""),-1.5)</f>
        <v>-1.5</v>
      </c>
      <c r="V360" s="4">
        <f>IFERROR(__xludf.DUMMYFUNCTION("""COMPUTED_VALUE"""),0.1)</f>
        <v>0.1</v>
      </c>
    </row>
    <row r="361">
      <c r="A361" s="4">
        <f>IFERROR(__xludf.DUMMYFUNCTION("""COMPUTED_VALUE"""),28.0)</f>
        <v>28</v>
      </c>
      <c r="B361" s="4">
        <f>IFERROR(__xludf.DUMMYFUNCTION("""COMPUTED_VALUE"""),28.0)</f>
        <v>28</v>
      </c>
      <c r="C361" s="4" t="str">
        <f>IFERROR(__xludf.DUMMYFUNCTION("""COMPUTED_VALUE"""),"LAL")</f>
        <v>LAL</v>
      </c>
      <c r="D361" s="4" t="str">
        <f>IFERROR(__xludf.DUMMYFUNCTION("""COMPUTED_VALUE"""),"Jaden McDaniels")</f>
        <v>Jaden McDaniels</v>
      </c>
      <c r="E361" s="4" t="str">
        <f>IFERROR(__xludf.DUMMYFUNCTION("""COMPUTED_VALUE"""),"Washington")</f>
        <v>Washington</v>
      </c>
      <c r="F361" s="4">
        <f>IFERROR(__xludf.DUMMYFUNCTION("""COMPUTED_VALUE"""),6.0)</f>
        <v>6</v>
      </c>
      <c r="G361" s="4">
        <f>IFERROR(__xludf.DUMMYFUNCTION("""COMPUTED_VALUE"""),386.0)</f>
        <v>386</v>
      </c>
      <c r="H361" s="4">
        <f>IFERROR(__xludf.DUMMYFUNCTION("""COMPUTED_VALUE"""),11085.0)</f>
        <v>11085</v>
      </c>
      <c r="I361" s="4">
        <f>IFERROR(__xludf.DUMMYFUNCTION("""COMPUTED_VALUE"""),4096.0)</f>
        <v>4096</v>
      </c>
      <c r="J361" s="4">
        <f>IFERROR(__xludf.DUMMYFUNCTION("""COMPUTED_VALUE"""),1621.0)</f>
        <v>1621</v>
      </c>
      <c r="K361" s="4">
        <f>IFERROR(__xludf.DUMMYFUNCTION("""COMPUTED_VALUE"""),610.0)</f>
        <v>610</v>
      </c>
      <c r="L361" s="4">
        <f>IFERROR(__xludf.DUMMYFUNCTION("""COMPUTED_VALUE"""),0.485)</f>
        <v>0.485</v>
      </c>
      <c r="M361" s="4">
        <f>IFERROR(__xludf.DUMMYFUNCTION("""COMPUTED_VALUE"""),0.355)</f>
        <v>0.355</v>
      </c>
      <c r="N361" s="4">
        <f>IFERROR(__xludf.DUMMYFUNCTION("""COMPUTED_VALUE"""),0.761)</f>
        <v>0.761</v>
      </c>
      <c r="O361" s="4">
        <f>IFERROR(__xludf.DUMMYFUNCTION("""COMPUTED_VALUE"""),28.7)</f>
        <v>28.7</v>
      </c>
      <c r="P361" s="4">
        <f>IFERROR(__xludf.DUMMYFUNCTION("""COMPUTED_VALUE"""),10.6)</f>
        <v>10.6</v>
      </c>
      <c r="Q361" s="4">
        <f>IFERROR(__xludf.DUMMYFUNCTION("""COMPUTED_VALUE"""),4.2)</f>
        <v>4.2</v>
      </c>
      <c r="R361" s="4">
        <f>IFERROR(__xludf.DUMMYFUNCTION("""COMPUTED_VALUE"""),1.6)</f>
        <v>1.6</v>
      </c>
      <c r="S361" s="4">
        <f>IFERROR(__xludf.DUMMYFUNCTION("""COMPUTED_VALUE"""),19.5)</f>
        <v>19.5</v>
      </c>
      <c r="T361" s="4">
        <f>IFERROR(__xludf.DUMMYFUNCTION("""COMPUTED_VALUE"""),0.084)</f>
        <v>0.084</v>
      </c>
      <c r="U361" s="4">
        <f>IFERROR(__xludf.DUMMYFUNCTION("""COMPUTED_VALUE"""),-1.7)</f>
        <v>-1.7</v>
      </c>
      <c r="V361" s="4">
        <f>IFERROR(__xludf.DUMMYFUNCTION("""COMPUTED_VALUE"""),0.9)</f>
        <v>0.9</v>
      </c>
    </row>
    <row r="362">
      <c r="A362" s="4">
        <f>IFERROR(__xludf.DUMMYFUNCTION("""COMPUTED_VALUE"""),29.0)</f>
        <v>29</v>
      </c>
      <c r="B362" s="4">
        <f>IFERROR(__xludf.DUMMYFUNCTION("""COMPUTED_VALUE"""),29.0)</f>
        <v>29</v>
      </c>
      <c r="C362" s="4" t="str">
        <f>IFERROR(__xludf.DUMMYFUNCTION("""COMPUTED_VALUE"""),"TOR")</f>
        <v>TOR</v>
      </c>
      <c r="D362" s="4" t="str">
        <f>IFERROR(__xludf.DUMMYFUNCTION("""COMPUTED_VALUE"""),"Malachi Flynn")</f>
        <v>Malachi Flynn</v>
      </c>
      <c r="E362" s="4" t="str">
        <f>IFERROR(__xludf.DUMMYFUNCTION("""COMPUTED_VALUE"""),"San Diego State")</f>
        <v>San Diego State</v>
      </c>
      <c r="F362" s="4">
        <f>IFERROR(__xludf.DUMMYFUNCTION("""COMPUTED_VALUE"""),5.0)</f>
        <v>5</v>
      </c>
      <c r="G362" s="4">
        <f>IFERROR(__xludf.DUMMYFUNCTION("""COMPUTED_VALUE"""),217.0)</f>
        <v>217</v>
      </c>
      <c r="H362" s="4">
        <f>IFERROR(__xludf.DUMMYFUNCTION("""COMPUTED_VALUE"""),3076.0)</f>
        <v>3076</v>
      </c>
      <c r="I362" s="4">
        <f>IFERROR(__xludf.DUMMYFUNCTION("""COMPUTED_VALUE"""),1184.0)</f>
        <v>1184</v>
      </c>
      <c r="J362" s="4">
        <f>IFERROR(__xludf.DUMMYFUNCTION("""COMPUTED_VALUE"""),376.0)</f>
        <v>376</v>
      </c>
      <c r="K362" s="4">
        <f>IFERROR(__xludf.DUMMYFUNCTION("""COMPUTED_VALUE"""),414.0)</f>
        <v>414</v>
      </c>
      <c r="L362" s="4">
        <f>IFERROR(__xludf.DUMMYFUNCTION("""COMPUTED_VALUE"""),0.387)</f>
        <v>0.387</v>
      </c>
      <c r="M362" s="4">
        <f>IFERROR(__xludf.DUMMYFUNCTION("""COMPUTED_VALUE"""),0.333)</f>
        <v>0.333</v>
      </c>
      <c r="N362" s="4">
        <f>IFERROR(__xludf.DUMMYFUNCTION("""COMPUTED_VALUE"""),0.747)</f>
        <v>0.747</v>
      </c>
      <c r="O362" s="4">
        <f>IFERROR(__xludf.DUMMYFUNCTION("""COMPUTED_VALUE"""),14.2)</f>
        <v>14.2</v>
      </c>
      <c r="P362" s="4">
        <f>IFERROR(__xludf.DUMMYFUNCTION("""COMPUTED_VALUE"""),5.5)</f>
        <v>5.5</v>
      </c>
      <c r="Q362" s="4">
        <f>IFERROR(__xludf.DUMMYFUNCTION("""COMPUTED_VALUE"""),1.7)</f>
        <v>1.7</v>
      </c>
      <c r="R362" s="4">
        <f>IFERROR(__xludf.DUMMYFUNCTION("""COMPUTED_VALUE"""),1.9)</f>
        <v>1.9</v>
      </c>
      <c r="S362" s="4">
        <f>IFERROR(__xludf.DUMMYFUNCTION("""COMPUTED_VALUE"""),2.9)</f>
        <v>2.9</v>
      </c>
      <c r="T362" s="4">
        <f>IFERROR(__xludf.DUMMYFUNCTION("""COMPUTED_VALUE"""),0.045)</f>
        <v>0.045</v>
      </c>
      <c r="U362" s="4">
        <f>IFERROR(__xludf.DUMMYFUNCTION("""COMPUTED_VALUE"""),-2.6)</f>
        <v>-2.6</v>
      </c>
      <c r="V362" s="4">
        <f>IFERROR(__xludf.DUMMYFUNCTION("""COMPUTED_VALUE"""),-0.5)</f>
        <v>-0.5</v>
      </c>
    </row>
    <row r="363">
      <c r="A363" s="4">
        <f>IFERROR(__xludf.DUMMYFUNCTION("""COMPUTED_VALUE"""),30.0)</f>
        <v>30</v>
      </c>
      <c r="B363" s="4">
        <f>IFERROR(__xludf.DUMMYFUNCTION("""COMPUTED_VALUE"""),30.0)</f>
        <v>30</v>
      </c>
      <c r="C363" s="4" t="str">
        <f>IFERROR(__xludf.DUMMYFUNCTION("""COMPUTED_VALUE"""),"BOS")</f>
        <v>BOS</v>
      </c>
      <c r="D363" s="4" t="str">
        <f>IFERROR(__xludf.DUMMYFUNCTION("""COMPUTED_VALUE"""),"Desmond Bane")</f>
        <v>Desmond Bane</v>
      </c>
      <c r="E363" s="4" t="str">
        <f>IFERROR(__xludf.DUMMYFUNCTION("""COMPUTED_VALUE"""),"TCU")</f>
        <v>TCU</v>
      </c>
      <c r="F363" s="4">
        <f>IFERROR(__xludf.DUMMYFUNCTION("""COMPUTED_VALUE"""),6.0)</f>
        <v>6</v>
      </c>
      <c r="G363" s="4">
        <f>IFERROR(__xludf.DUMMYFUNCTION("""COMPUTED_VALUE"""),334.0)</f>
        <v>334</v>
      </c>
      <c r="H363" s="4">
        <f>IFERROR(__xludf.DUMMYFUNCTION("""COMPUTED_VALUE"""),9962.0)</f>
        <v>9962</v>
      </c>
      <c r="I363" s="4">
        <f>IFERROR(__xludf.DUMMYFUNCTION("""COMPUTED_VALUE"""),5983.0)</f>
        <v>5983</v>
      </c>
      <c r="J363" s="4">
        <f>IFERROR(__xludf.DUMMYFUNCTION("""COMPUTED_VALUE"""),1534.0)</f>
        <v>1534</v>
      </c>
      <c r="K363" s="4">
        <f>IFERROR(__xludf.DUMMYFUNCTION("""COMPUTED_VALUE"""),1274.0)</f>
        <v>1274</v>
      </c>
      <c r="L363" s="4">
        <f>IFERROR(__xludf.DUMMYFUNCTION("""COMPUTED_VALUE"""),0.471)</f>
        <v>0.471</v>
      </c>
      <c r="M363" s="4">
        <f>IFERROR(__xludf.DUMMYFUNCTION("""COMPUTED_VALUE"""),0.406)</f>
        <v>0.406</v>
      </c>
      <c r="N363" s="4">
        <f>IFERROR(__xludf.DUMMYFUNCTION("""COMPUTED_VALUE"""),0.888)</f>
        <v>0.888</v>
      </c>
      <c r="O363" s="4">
        <f>IFERROR(__xludf.DUMMYFUNCTION("""COMPUTED_VALUE"""),29.8)</f>
        <v>29.8</v>
      </c>
      <c r="P363" s="4">
        <f>IFERROR(__xludf.DUMMYFUNCTION("""COMPUTED_VALUE"""),17.9)</f>
        <v>17.9</v>
      </c>
      <c r="Q363" s="4">
        <f>IFERROR(__xludf.DUMMYFUNCTION("""COMPUTED_VALUE"""),4.6)</f>
        <v>4.6</v>
      </c>
      <c r="R363" s="4">
        <f>IFERROR(__xludf.DUMMYFUNCTION("""COMPUTED_VALUE"""),3.8)</f>
        <v>3.8</v>
      </c>
      <c r="S363" s="4">
        <f>IFERROR(__xludf.DUMMYFUNCTION("""COMPUTED_VALUE"""),27.2)</f>
        <v>27.2</v>
      </c>
      <c r="T363" s="4">
        <f>IFERROR(__xludf.DUMMYFUNCTION("""COMPUTED_VALUE"""),0.131)</f>
        <v>0.131</v>
      </c>
      <c r="U363" s="4">
        <f>IFERROR(__xludf.DUMMYFUNCTION("""COMPUTED_VALUE"""),2.3)</f>
        <v>2.3</v>
      </c>
      <c r="V363" s="4">
        <f>IFERROR(__xludf.DUMMYFUNCTION("""COMPUTED_VALUE"""),10.7)</f>
        <v>10.7</v>
      </c>
    </row>
    <row r="364">
      <c r="A364" s="4"/>
      <c r="B364" s="4"/>
      <c r="C364" s="4"/>
      <c r="D364" s="4" t="str">
        <f>IFERROR(__xludf.DUMMYFUNCTION("""COMPUTED_VALUE"""),"Round 2")</f>
        <v>Round 2</v>
      </c>
      <c r="E364" s="4"/>
      <c r="F364" s="4"/>
      <c r="G364" s="4" t="str">
        <f>IFERROR(__xludf.DUMMYFUNCTION("""COMPUTED_VALUE"""),"Totals")</f>
        <v>Totals</v>
      </c>
      <c r="H364" s="4"/>
      <c r="I364" s="4"/>
      <c r="J364" s="4"/>
      <c r="K364" s="4"/>
      <c r="L364" s="4" t="str">
        <f>IFERROR(__xludf.DUMMYFUNCTION("""COMPUTED_VALUE"""),"Shooting")</f>
        <v>Shooting</v>
      </c>
      <c r="M364" s="4"/>
      <c r="N364" s="4"/>
      <c r="O364" s="4" t="str">
        <f>IFERROR(__xludf.DUMMYFUNCTION("""COMPUTED_VALUE"""),"Per Game")</f>
        <v>Per Game</v>
      </c>
      <c r="P364" s="4"/>
      <c r="Q364" s="4"/>
      <c r="R364" s="4"/>
      <c r="S364" s="4" t="str">
        <f>IFERROR(__xludf.DUMMYFUNCTION("""COMPUTED_VALUE"""),"Advanced")</f>
        <v>Advanced</v>
      </c>
      <c r="T364" s="4"/>
      <c r="U364" s="4"/>
      <c r="V364" s="4"/>
    </row>
    <row r="365">
      <c r="A365" s="4" t="str">
        <f>IFERROR(__xludf.DUMMYFUNCTION("""COMPUTED_VALUE"""),"Rk")</f>
        <v>Rk</v>
      </c>
      <c r="B365" s="4" t="str">
        <f>IFERROR(__xludf.DUMMYFUNCTION("""COMPUTED_VALUE"""),"Pk")</f>
        <v>Pk</v>
      </c>
      <c r="C365" s="4" t="str">
        <f>IFERROR(__xludf.DUMMYFUNCTION("""COMPUTED_VALUE"""),"Tm")</f>
        <v>Tm</v>
      </c>
      <c r="D365" s="4" t="str">
        <f>IFERROR(__xludf.DUMMYFUNCTION("""COMPUTED_VALUE"""),"Player")</f>
        <v>Player</v>
      </c>
      <c r="E365" s="4" t="str">
        <f>IFERROR(__xludf.DUMMYFUNCTION("""COMPUTED_VALUE"""),"College")</f>
        <v>College</v>
      </c>
      <c r="F365" s="4" t="str">
        <f>IFERROR(__xludf.DUMMYFUNCTION("""COMPUTED_VALUE"""),"Yrs")</f>
        <v>Yrs</v>
      </c>
      <c r="G365" s="4" t="str">
        <f>IFERROR(__xludf.DUMMYFUNCTION("""COMPUTED_VALUE"""),"G")</f>
        <v>G</v>
      </c>
      <c r="H365" s="4" t="str">
        <f>IFERROR(__xludf.DUMMYFUNCTION("""COMPUTED_VALUE"""),"MP")</f>
        <v>MP</v>
      </c>
      <c r="I365" s="4" t="str">
        <f>IFERROR(__xludf.DUMMYFUNCTION("""COMPUTED_VALUE"""),"PTS")</f>
        <v>PTS</v>
      </c>
      <c r="J365" s="4" t="str">
        <f>IFERROR(__xludf.DUMMYFUNCTION("""COMPUTED_VALUE"""),"TRB")</f>
        <v>TRB</v>
      </c>
      <c r="K365" s="4" t="str">
        <f>IFERROR(__xludf.DUMMYFUNCTION("""COMPUTED_VALUE"""),"AST")</f>
        <v>AST</v>
      </c>
      <c r="L365" s="4" t="str">
        <f>IFERROR(__xludf.DUMMYFUNCTION("""COMPUTED_VALUE"""),"FG%")</f>
        <v>FG%</v>
      </c>
      <c r="M365" s="4" t="str">
        <f>IFERROR(__xludf.DUMMYFUNCTION("""COMPUTED_VALUE"""),"3P%")</f>
        <v>3P%</v>
      </c>
      <c r="N365" s="4" t="str">
        <f>IFERROR(__xludf.DUMMYFUNCTION("""COMPUTED_VALUE"""),"FT%")</f>
        <v>FT%</v>
      </c>
      <c r="O365" s="4" t="str">
        <f>IFERROR(__xludf.DUMMYFUNCTION("""COMPUTED_VALUE"""),"MP")</f>
        <v>MP</v>
      </c>
      <c r="P365" s="4" t="str">
        <f>IFERROR(__xludf.DUMMYFUNCTION("""COMPUTED_VALUE"""),"PTS")</f>
        <v>PTS</v>
      </c>
      <c r="Q365" s="4" t="str">
        <f>IFERROR(__xludf.DUMMYFUNCTION("""COMPUTED_VALUE"""),"TRB")</f>
        <v>TRB</v>
      </c>
      <c r="R365" s="4" t="str">
        <f>IFERROR(__xludf.DUMMYFUNCTION("""COMPUTED_VALUE"""),"AST")</f>
        <v>AST</v>
      </c>
      <c r="S365" s="4" t="str">
        <f>IFERROR(__xludf.DUMMYFUNCTION("""COMPUTED_VALUE"""),"WS")</f>
        <v>WS</v>
      </c>
      <c r="T365" s="4" t="str">
        <f>IFERROR(__xludf.DUMMYFUNCTION("""COMPUTED_VALUE"""),"WS/48")</f>
        <v>WS/48</v>
      </c>
      <c r="U365" s="4" t="str">
        <f>IFERROR(__xludf.DUMMYFUNCTION("""COMPUTED_VALUE"""),"BPM")</f>
        <v>BPM</v>
      </c>
      <c r="V365" s="4" t="str">
        <f>IFERROR(__xludf.DUMMYFUNCTION("""COMPUTED_VALUE"""),"VORP")</f>
        <v>VORP</v>
      </c>
    </row>
    <row r="366">
      <c r="A366" s="4">
        <f>IFERROR(__xludf.DUMMYFUNCTION("""COMPUTED_VALUE"""),31.0)</f>
        <v>31</v>
      </c>
      <c r="B366" s="4">
        <f>IFERROR(__xludf.DUMMYFUNCTION("""COMPUTED_VALUE"""),31.0)</f>
        <v>31</v>
      </c>
      <c r="C366" s="4" t="str">
        <f>IFERROR(__xludf.DUMMYFUNCTION("""COMPUTED_VALUE"""),"DAL")</f>
        <v>DAL</v>
      </c>
      <c r="D366" s="4" t="str">
        <f>IFERROR(__xludf.DUMMYFUNCTION("""COMPUTED_VALUE"""),"Tyrell Terry")</f>
        <v>Tyrell Terry</v>
      </c>
      <c r="E366" s="4" t="str">
        <f>IFERROR(__xludf.DUMMYFUNCTION("""COMPUTED_VALUE"""),"Stanford")</f>
        <v>Stanford</v>
      </c>
      <c r="F366" s="4">
        <f>IFERROR(__xludf.DUMMYFUNCTION("""COMPUTED_VALUE"""),2.0)</f>
        <v>2</v>
      </c>
      <c r="G366" s="4">
        <f>IFERROR(__xludf.DUMMYFUNCTION("""COMPUTED_VALUE"""),13.0)</f>
        <v>13</v>
      </c>
      <c r="H366" s="4">
        <f>IFERROR(__xludf.DUMMYFUNCTION("""COMPUTED_VALUE"""),59.0)</f>
        <v>59</v>
      </c>
      <c r="I366" s="4">
        <f>IFERROR(__xludf.DUMMYFUNCTION("""COMPUTED_VALUE"""),13.0)</f>
        <v>13</v>
      </c>
      <c r="J366" s="4">
        <f>IFERROR(__xludf.DUMMYFUNCTION("""COMPUTED_VALUE"""),6.0)</f>
        <v>6</v>
      </c>
      <c r="K366" s="4">
        <f>IFERROR(__xludf.DUMMYFUNCTION("""COMPUTED_VALUE"""),6.0)</f>
        <v>6</v>
      </c>
      <c r="L366" s="4">
        <f>IFERROR(__xludf.DUMMYFUNCTION("""COMPUTED_VALUE"""),0.353)</f>
        <v>0.353</v>
      </c>
      <c r="M366" s="4">
        <f>IFERROR(__xludf.DUMMYFUNCTION("""COMPUTED_VALUE"""),0.0)</f>
        <v>0</v>
      </c>
      <c r="N366" s="4">
        <f>IFERROR(__xludf.DUMMYFUNCTION("""COMPUTED_VALUE"""),0.333)</f>
        <v>0.333</v>
      </c>
      <c r="O366" s="4">
        <f>IFERROR(__xludf.DUMMYFUNCTION("""COMPUTED_VALUE"""),4.5)</f>
        <v>4.5</v>
      </c>
      <c r="P366" s="4">
        <f>IFERROR(__xludf.DUMMYFUNCTION("""COMPUTED_VALUE"""),1.0)</f>
        <v>1</v>
      </c>
      <c r="Q366" s="4">
        <f>IFERROR(__xludf.DUMMYFUNCTION("""COMPUTED_VALUE"""),0.5)</f>
        <v>0.5</v>
      </c>
      <c r="R366" s="4">
        <f>IFERROR(__xludf.DUMMYFUNCTION("""COMPUTED_VALUE"""),0.5)</f>
        <v>0.5</v>
      </c>
      <c r="S366" s="4">
        <f>IFERROR(__xludf.DUMMYFUNCTION("""COMPUTED_VALUE"""),0.0)</f>
        <v>0</v>
      </c>
      <c r="T366" s="4">
        <f>IFERROR(__xludf.DUMMYFUNCTION("""COMPUTED_VALUE"""),-0.035)</f>
        <v>-0.035</v>
      </c>
      <c r="U366" s="4">
        <f>IFERROR(__xludf.DUMMYFUNCTION("""COMPUTED_VALUE"""),-4.8)</f>
        <v>-4.8</v>
      </c>
      <c r="V366" s="4">
        <f>IFERROR(__xludf.DUMMYFUNCTION("""COMPUTED_VALUE"""),0.0)</f>
        <v>0</v>
      </c>
    </row>
    <row r="367">
      <c r="A367" s="4">
        <f>IFERROR(__xludf.DUMMYFUNCTION("""COMPUTED_VALUE"""),32.0)</f>
        <v>32</v>
      </c>
      <c r="B367" s="4">
        <f>IFERROR(__xludf.DUMMYFUNCTION("""COMPUTED_VALUE"""),32.0)</f>
        <v>32</v>
      </c>
      <c r="C367" s="4" t="str">
        <f>IFERROR(__xludf.DUMMYFUNCTION("""COMPUTED_VALUE"""),"CHO")</f>
        <v>CHO</v>
      </c>
      <c r="D367" s="4" t="str">
        <f>IFERROR(__xludf.DUMMYFUNCTION("""COMPUTED_VALUE"""),"Vernon Carey Jr.")</f>
        <v>Vernon Carey Jr.</v>
      </c>
      <c r="E367" s="4" t="str">
        <f>IFERROR(__xludf.DUMMYFUNCTION("""COMPUTED_VALUE"""),"Duke")</f>
        <v>Duke</v>
      </c>
      <c r="F367" s="4">
        <f>IFERROR(__xludf.DUMMYFUNCTION("""COMPUTED_VALUE"""),3.0)</f>
        <v>3</v>
      </c>
      <c r="G367" s="4">
        <f>IFERROR(__xludf.DUMMYFUNCTION("""COMPUTED_VALUE"""),37.0)</f>
        <v>37</v>
      </c>
      <c r="H367" s="4">
        <f>IFERROR(__xludf.DUMMYFUNCTION("""COMPUTED_VALUE"""),187.0)</f>
        <v>187</v>
      </c>
      <c r="I367" s="4">
        <f>IFERROR(__xludf.DUMMYFUNCTION("""COMPUTED_VALUE"""),72.0)</f>
        <v>72</v>
      </c>
      <c r="J367" s="4">
        <f>IFERROR(__xludf.DUMMYFUNCTION("""COMPUTED_VALUE"""),50.0)</f>
        <v>50</v>
      </c>
      <c r="K367" s="4">
        <f>IFERROR(__xludf.DUMMYFUNCTION("""COMPUTED_VALUE"""),5.0)</f>
        <v>5</v>
      </c>
      <c r="L367" s="4">
        <f>IFERROR(__xludf.DUMMYFUNCTION("""COMPUTED_VALUE"""),0.474)</f>
        <v>0.474</v>
      </c>
      <c r="M367" s="4">
        <f>IFERROR(__xludf.DUMMYFUNCTION("""COMPUTED_VALUE"""),0.143)</f>
        <v>0.143</v>
      </c>
      <c r="N367" s="4">
        <f>IFERROR(__xludf.DUMMYFUNCTION("""COMPUTED_VALUE"""),0.654)</f>
        <v>0.654</v>
      </c>
      <c r="O367" s="4">
        <f>IFERROR(__xludf.DUMMYFUNCTION("""COMPUTED_VALUE"""),5.1)</f>
        <v>5.1</v>
      </c>
      <c r="P367" s="4">
        <f>IFERROR(__xludf.DUMMYFUNCTION("""COMPUTED_VALUE"""),1.9)</f>
        <v>1.9</v>
      </c>
      <c r="Q367" s="4">
        <f>IFERROR(__xludf.DUMMYFUNCTION("""COMPUTED_VALUE"""),1.4)</f>
        <v>1.4</v>
      </c>
      <c r="R367" s="4">
        <f>IFERROR(__xludf.DUMMYFUNCTION("""COMPUTED_VALUE"""),0.1)</f>
        <v>0.1</v>
      </c>
      <c r="S367" s="4">
        <f>IFERROR(__xludf.DUMMYFUNCTION("""COMPUTED_VALUE"""),0.2)</f>
        <v>0.2</v>
      </c>
      <c r="T367" s="4">
        <f>IFERROR(__xludf.DUMMYFUNCTION("""COMPUTED_VALUE"""),0.058)</f>
        <v>0.058</v>
      </c>
      <c r="U367" s="4">
        <f>IFERROR(__xludf.DUMMYFUNCTION("""COMPUTED_VALUE"""),-6.3)</f>
        <v>-6.3</v>
      </c>
      <c r="V367" s="4">
        <f>IFERROR(__xludf.DUMMYFUNCTION("""COMPUTED_VALUE"""),-0.2)</f>
        <v>-0.2</v>
      </c>
    </row>
    <row r="368">
      <c r="A368" s="4">
        <f>IFERROR(__xludf.DUMMYFUNCTION("""COMPUTED_VALUE"""),33.0)</f>
        <v>33</v>
      </c>
      <c r="B368" s="4">
        <f>IFERROR(__xludf.DUMMYFUNCTION("""COMPUTED_VALUE"""),33.0)</f>
        <v>33</v>
      </c>
      <c r="C368" s="4" t="str">
        <f>IFERROR(__xludf.DUMMYFUNCTION("""COMPUTED_VALUE"""),"MIN")</f>
        <v>MIN</v>
      </c>
      <c r="D368" s="4" t="str">
        <f>IFERROR(__xludf.DUMMYFUNCTION("""COMPUTED_VALUE"""),"Daniel Oturu")</f>
        <v>Daniel Oturu</v>
      </c>
      <c r="E368" s="4" t="str">
        <f>IFERROR(__xludf.DUMMYFUNCTION("""COMPUTED_VALUE"""),"Minnesota")</f>
        <v>Minnesota</v>
      </c>
      <c r="F368" s="4">
        <f>IFERROR(__xludf.DUMMYFUNCTION("""COMPUTED_VALUE"""),2.0)</f>
        <v>2</v>
      </c>
      <c r="G368" s="4">
        <f>IFERROR(__xludf.DUMMYFUNCTION("""COMPUTED_VALUE"""),33.0)</f>
        <v>33</v>
      </c>
      <c r="H368" s="4">
        <f>IFERROR(__xludf.DUMMYFUNCTION("""COMPUTED_VALUE"""),188.0)</f>
        <v>188</v>
      </c>
      <c r="I368" s="4">
        <f>IFERROR(__xludf.DUMMYFUNCTION("""COMPUTED_VALUE"""),63.0)</f>
        <v>63</v>
      </c>
      <c r="J368" s="4">
        <f>IFERROR(__xludf.DUMMYFUNCTION("""COMPUTED_VALUE"""),53.0)</f>
        <v>53</v>
      </c>
      <c r="K368" s="4">
        <f>IFERROR(__xludf.DUMMYFUNCTION("""COMPUTED_VALUE"""),10.0)</f>
        <v>10</v>
      </c>
      <c r="L368" s="4">
        <f>IFERROR(__xludf.DUMMYFUNCTION("""COMPUTED_VALUE"""),0.431)</f>
        <v>0.431</v>
      </c>
      <c r="M368" s="4">
        <f>IFERROR(__xludf.DUMMYFUNCTION("""COMPUTED_VALUE"""),0.167)</f>
        <v>0.167</v>
      </c>
      <c r="N368" s="4">
        <f>IFERROR(__xludf.DUMMYFUNCTION("""COMPUTED_VALUE"""),0.706)</f>
        <v>0.706</v>
      </c>
      <c r="O368" s="4">
        <f>IFERROR(__xludf.DUMMYFUNCTION("""COMPUTED_VALUE"""),5.7)</f>
        <v>5.7</v>
      </c>
      <c r="P368" s="4">
        <f>IFERROR(__xludf.DUMMYFUNCTION("""COMPUTED_VALUE"""),1.9)</f>
        <v>1.9</v>
      </c>
      <c r="Q368" s="4">
        <f>IFERROR(__xludf.DUMMYFUNCTION("""COMPUTED_VALUE"""),1.6)</f>
        <v>1.6</v>
      </c>
      <c r="R368" s="4">
        <f>IFERROR(__xludf.DUMMYFUNCTION("""COMPUTED_VALUE"""),0.3)</f>
        <v>0.3</v>
      </c>
      <c r="S368" s="4">
        <f>IFERROR(__xludf.DUMMYFUNCTION("""COMPUTED_VALUE"""),0.3)</f>
        <v>0.3</v>
      </c>
      <c r="T368" s="4">
        <f>IFERROR(__xludf.DUMMYFUNCTION("""COMPUTED_VALUE"""),0.086)</f>
        <v>0.086</v>
      </c>
      <c r="U368" s="4">
        <f>IFERROR(__xludf.DUMMYFUNCTION("""COMPUTED_VALUE"""),-5.2)</f>
        <v>-5.2</v>
      </c>
      <c r="V368" s="4">
        <f>IFERROR(__xludf.DUMMYFUNCTION("""COMPUTED_VALUE"""),-0.2)</f>
        <v>-0.2</v>
      </c>
    </row>
    <row r="369">
      <c r="A369" s="4">
        <f>IFERROR(__xludf.DUMMYFUNCTION("""COMPUTED_VALUE"""),34.0)</f>
        <v>34</v>
      </c>
      <c r="B369" s="4">
        <f>IFERROR(__xludf.DUMMYFUNCTION("""COMPUTED_VALUE"""),34.0)</f>
        <v>34</v>
      </c>
      <c r="C369" s="4" t="str">
        <f>IFERROR(__xludf.DUMMYFUNCTION("""COMPUTED_VALUE"""),"PHI")</f>
        <v>PHI</v>
      </c>
      <c r="D369" s="4" t="str">
        <f>IFERROR(__xludf.DUMMYFUNCTION("""COMPUTED_VALUE"""),"Théo Maledon")</f>
        <v>Théo Maledon</v>
      </c>
      <c r="E369" s="4"/>
      <c r="F369" s="4">
        <f>IFERROR(__xludf.DUMMYFUNCTION("""COMPUTED_VALUE"""),4.0)</f>
        <v>4</v>
      </c>
      <c r="G369" s="4">
        <f>IFERROR(__xludf.DUMMYFUNCTION("""COMPUTED_VALUE"""),177.0)</f>
        <v>177</v>
      </c>
      <c r="H369" s="4">
        <f>IFERROR(__xludf.DUMMYFUNCTION("""COMPUTED_VALUE"""),3753.0)</f>
        <v>3753</v>
      </c>
      <c r="I369" s="4">
        <f>IFERROR(__xludf.DUMMYFUNCTION("""COMPUTED_VALUE"""),1373.0)</f>
        <v>1373</v>
      </c>
      <c r="J369" s="4">
        <f>IFERROR(__xludf.DUMMYFUNCTION("""COMPUTED_VALUE"""),489.0)</f>
        <v>489</v>
      </c>
      <c r="K369" s="4">
        <f>IFERROR(__xludf.DUMMYFUNCTION("""COMPUTED_VALUE"""),518.0)</f>
        <v>518</v>
      </c>
      <c r="L369" s="4">
        <f>IFERROR(__xludf.DUMMYFUNCTION("""COMPUTED_VALUE"""),0.372)</f>
        <v>0.372</v>
      </c>
      <c r="M369" s="4">
        <f>IFERROR(__xludf.DUMMYFUNCTION("""COMPUTED_VALUE"""),0.31)</f>
        <v>0.31</v>
      </c>
      <c r="N369" s="4">
        <f>IFERROR(__xludf.DUMMYFUNCTION("""COMPUTED_VALUE"""),0.793)</f>
        <v>0.793</v>
      </c>
      <c r="O369" s="4">
        <f>IFERROR(__xludf.DUMMYFUNCTION("""COMPUTED_VALUE"""),21.2)</f>
        <v>21.2</v>
      </c>
      <c r="P369" s="4">
        <f>IFERROR(__xludf.DUMMYFUNCTION("""COMPUTED_VALUE"""),7.8)</f>
        <v>7.8</v>
      </c>
      <c r="Q369" s="4">
        <f>IFERROR(__xludf.DUMMYFUNCTION("""COMPUTED_VALUE"""),2.8)</f>
        <v>2.8</v>
      </c>
      <c r="R369" s="4">
        <f>IFERROR(__xludf.DUMMYFUNCTION("""COMPUTED_VALUE"""),2.9)</f>
        <v>2.9</v>
      </c>
      <c r="S369" s="4">
        <f>IFERROR(__xludf.DUMMYFUNCTION("""COMPUTED_VALUE"""),-0.2)</f>
        <v>-0.2</v>
      </c>
      <c r="T369" s="4">
        <f>IFERROR(__xludf.DUMMYFUNCTION("""COMPUTED_VALUE"""),-0.002)</f>
        <v>-0.002</v>
      </c>
      <c r="U369" s="4">
        <f>IFERROR(__xludf.DUMMYFUNCTION("""COMPUTED_VALUE"""),-4.6)</f>
        <v>-4.6</v>
      </c>
      <c r="V369" s="4">
        <f>IFERROR(__xludf.DUMMYFUNCTION("""COMPUTED_VALUE"""),-2.4)</f>
        <v>-2.4</v>
      </c>
    </row>
    <row r="370">
      <c r="A370" s="4">
        <f>IFERROR(__xludf.DUMMYFUNCTION("""COMPUTED_VALUE"""),35.0)</f>
        <v>35</v>
      </c>
      <c r="B370" s="4">
        <f>IFERROR(__xludf.DUMMYFUNCTION("""COMPUTED_VALUE"""),35.0)</f>
        <v>35</v>
      </c>
      <c r="C370" s="4" t="str">
        <f>IFERROR(__xludf.DUMMYFUNCTION("""COMPUTED_VALUE"""),"SAC")</f>
        <v>SAC</v>
      </c>
      <c r="D370" s="4" t="str">
        <f>IFERROR(__xludf.DUMMYFUNCTION("""COMPUTED_VALUE"""),"Xavier Tillman Sr.")</f>
        <v>Xavier Tillman Sr.</v>
      </c>
      <c r="E370" s="4" t="str">
        <f>IFERROR(__xludf.DUMMYFUNCTION("""COMPUTED_VALUE"""),"Michigan State")</f>
        <v>Michigan State</v>
      </c>
      <c r="F370" s="4">
        <f>IFERROR(__xludf.DUMMYFUNCTION("""COMPUTED_VALUE"""),6.0)</f>
        <v>6</v>
      </c>
      <c r="G370" s="4">
        <f>IFERROR(__xludf.DUMMYFUNCTION("""COMPUTED_VALUE"""),269.0)</f>
        <v>269</v>
      </c>
      <c r="H370" s="4">
        <f>IFERROR(__xludf.DUMMYFUNCTION("""COMPUTED_VALUE"""),4266.0)</f>
        <v>4266</v>
      </c>
      <c r="I370" s="4">
        <f>IFERROR(__xludf.DUMMYFUNCTION("""COMPUTED_VALUE"""),1418.0)</f>
        <v>1418</v>
      </c>
      <c r="J370" s="4">
        <f>IFERROR(__xludf.DUMMYFUNCTION("""COMPUTED_VALUE"""),1001.0)</f>
        <v>1001</v>
      </c>
      <c r="K370" s="4">
        <f>IFERROR(__xludf.DUMMYFUNCTION("""COMPUTED_VALUE"""),322.0)</f>
        <v>322</v>
      </c>
      <c r="L370" s="4">
        <f>IFERROR(__xludf.DUMMYFUNCTION("""COMPUTED_VALUE"""),0.508)</f>
        <v>0.508</v>
      </c>
      <c r="M370" s="4">
        <f>IFERROR(__xludf.DUMMYFUNCTION("""COMPUTED_VALUE"""),0.251)</f>
        <v>0.251</v>
      </c>
      <c r="N370" s="4">
        <f>IFERROR(__xludf.DUMMYFUNCTION("""COMPUTED_VALUE"""),0.577)</f>
        <v>0.577</v>
      </c>
      <c r="O370" s="4">
        <f>IFERROR(__xludf.DUMMYFUNCTION("""COMPUTED_VALUE"""),15.9)</f>
        <v>15.9</v>
      </c>
      <c r="P370" s="4">
        <f>IFERROR(__xludf.DUMMYFUNCTION("""COMPUTED_VALUE"""),5.3)</f>
        <v>5.3</v>
      </c>
      <c r="Q370" s="4">
        <f>IFERROR(__xludf.DUMMYFUNCTION("""COMPUTED_VALUE"""),3.7)</f>
        <v>3.7</v>
      </c>
      <c r="R370" s="4">
        <f>IFERROR(__xludf.DUMMYFUNCTION("""COMPUTED_VALUE"""),1.2)</f>
        <v>1.2</v>
      </c>
      <c r="S370" s="4">
        <f>IFERROR(__xludf.DUMMYFUNCTION("""COMPUTED_VALUE"""),10.2)</f>
        <v>10.2</v>
      </c>
      <c r="T370" s="4">
        <f>IFERROR(__xludf.DUMMYFUNCTION("""COMPUTED_VALUE"""),0.115)</f>
        <v>0.115</v>
      </c>
      <c r="U370" s="4">
        <f>IFERROR(__xludf.DUMMYFUNCTION("""COMPUTED_VALUE"""),-0.1)</f>
        <v>-0.1</v>
      </c>
      <c r="V370" s="4">
        <f>IFERROR(__xludf.DUMMYFUNCTION("""COMPUTED_VALUE"""),2.1)</f>
        <v>2.1</v>
      </c>
    </row>
    <row r="371">
      <c r="A371" s="4">
        <f>IFERROR(__xludf.DUMMYFUNCTION("""COMPUTED_VALUE"""),36.0)</f>
        <v>36</v>
      </c>
      <c r="B371" s="4">
        <f>IFERROR(__xludf.DUMMYFUNCTION("""COMPUTED_VALUE"""),36.0)</f>
        <v>36</v>
      </c>
      <c r="C371" s="4" t="str">
        <f>IFERROR(__xludf.DUMMYFUNCTION("""COMPUTED_VALUE"""),"PHI")</f>
        <v>PHI</v>
      </c>
      <c r="D371" s="4" t="str">
        <f>IFERROR(__xludf.DUMMYFUNCTION("""COMPUTED_VALUE"""),"Tyler Bey")</f>
        <v>Tyler Bey</v>
      </c>
      <c r="E371" s="4" t="str">
        <f>IFERROR(__xludf.DUMMYFUNCTION("""COMPUTED_VALUE"""),"Colorado")</f>
        <v>Colorado</v>
      </c>
      <c r="F371" s="4">
        <f>IFERROR(__xludf.DUMMYFUNCTION("""COMPUTED_VALUE"""),1.0)</f>
        <v>1</v>
      </c>
      <c r="G371" s="4">
        <f>IFERROR(__xludf.DUMMYFUNCTION("""COMPUTED_VALUE"""),18.0)</f>
        <v>18</v>
      </c>
      <c r="H371" s="4">
        <f>IFERROR(__xludf.DUMMYFUNCTION("""COMPUTED_VALUE"""),71.0)</f>
        <v>71</v>
      </c>
      <c r="I371" s="4">
        <f>IFERROR(__xludf.DUMMYFUNCTION("""COMPUTED_VALUE"""),18.0)</f>
        <v>18</v>
      </c>
      <c r="J371" s="4">
        <f>IFERROR(__xludf.DUMMYFUNCTION("""COMPUTED_VALUE"""),19.0)</f>
        <v>19</v>
      </c>
      <c r="K371" s="4">
        <f>IFERROR(__xludf.DUMMYFUNCTION("""COMPUTED_VALUE"""),3.0)</f>
        <v>3</v>
      </c>
      <c r="L371" s="4">
        <f>IFERROR(__xludf.DUMMYFUNCTION("""COMPUTED_VALUE"""),0.318)</f>
        <v>0.318</v>
      </c>
      <c r="M371" s="4">
        <f>IFERROR(__xludf.DUMMYFUNCTION("""COMPUTED_VALUE"""),0.25)</f>
        <v>0.25</v>
      </c>
      <c r="N371" s="4">
        <f>IFERROR(__xludf.DUMMYFUNCTION("""COMPUTED_VALUE"""),0.6)</f>
        <v>0.6</v>
      </c>
      <c r="O371" s="4">
        <f>IFERROR(__xludf.DUMMYFUNCTION("""COMPUTED_VALUE"""),3.9)</f>
        <v>3.9</v>
      </c>
      <c r="P371" s="4">
        <f>IFERROR(__xludf.DUMMYFUNCTION("""COMPUTED_VALUE"""),1.0)</f>
        <v>1</v>
      </c>
      <c r="Q371" s="4">
        <f>IFERROR(__xludf.DUMMYFUNCTION("""COMPUTED_VALUE"""),1.1)</f>
        <v>1.1</v>
      </c>
      <c r="R371" s="4">
        <f>IFERROR(__xludf.DUMMYFUNCTION("""COMPUTED_VALUE"""),0.2)</f>
        <v>0.2</v>
      </c>
      <c r="S371" s="4">
        <f>IFERROR(__xludf.DUMMYFUNCTION("""COMPUTED_VALUE"""),0.0)</f>
        <v>0</v>
      </c>
      <c r="T371" s="4">
        <f>IFERROR(__xludf.DUMMYFUNCTION("""COMPUTED_VALUE"""),-0.033)</f>
        <v>-0.033</v>
      </c>
      <c r="U371" s="4">
        <f>IFERROR(__xludf.DUMMYFUNCTION("""COMPUTED_VALUE"""),-9.5)</f>
        <v>-9.5</v>
      </c>
      <c r="V371" s="4">
        <f>IFERROR(__xludf.DUMMYFUNCTION("""COMPUTED_VALUE"""),-0.1)</f>
        <v>-0.1</v>
      </c>
    </row>
    <row r="372">
      <c r="A372" s="4">
        <f>IFERROR(__xludf.DUMMYFUNCTION("""COMPUTED_VALUE"""),37.0)</f>
        <v>37</v>
      </c>
      <c r="B372" s="4">
        <f>IFERROR(__xludf.DUMMYFUNCTION("""COMPUTED_VALUE"""),37.0)</f>
        <v>37</v>
      </c>
      <c r="C372" s="4" t="str">
        <f>IFERROR(__xludf.DUMMYFUNCTION("""COMPUTED_VALUE"""),"WAS")</f>
        <v>WAS</v>
      </c>
      <c r="D372" s="4" t="str">
        <f>IFERROR(__xludf.DUMMYFUNCTION("""COMPUTED_VALUE"""),"Vit Krejci")</f>
        <v>Vit Krejci</v>
      </c>
      <c r="E372" s="4"/>
      <c r="F372" s="4">
        <f>IFERROR(__xludf.DUMMYFUNCTION("""COMPUTED_VALUE"""),5.0)</f>
        <v>5</v>
      </c>
      <c r="G372" s="4">
        <f>IFERROR(__xludf.DUMMYFUNCTION("""COMPUTED_VALUE"""),156.0)</f>
        <v>156</v>
      </c>
      <c r="H372" s="4">
        <f>IFERROR(__xludf.DUMMYFUNCTION("""COMPUTED_VALUE"""),2964.0)</f>
        <v>2964</v>
      </c>
      <c r="I372" s="4">
        <f>IFERROR(__xludf.DUMMYFUNCTION("""COMPUTED_VALUE"""),949.0)</f>
        <v>949</v>
      </c>
      <c r="J372" s="4">
        <f>IFERROR(__xludf.DUMMYFUNCTION("""COMPUTED_VALUE"""),376.0)</f>
        <v>376</v>
      </c>
      <c r="K372" s="4">
        <f>IFERROR(__xludf.DUMMYFUNCTION("""COMPUTED_VALUE"""),304.0)</f>
        <v>304</v>
      </c>
      <c r="L372" s="4">
        <f>IFERROR(__xludf.DUMMYFUNCTION("""COMPUTED_VALUE"""),0.472)</f>
        <v>0.472</v>
      </c>
      <c r="M372" s="4">
        <f>IFERROR(__xludf.DUMMYFUNCTION("""COMPUTED_VALUE"""),0.407)</f>
        <v>0.407</v>
      </c>
      <c r="N372" s="4">
        <f>IFERROR(__xludf.DUMMYFUNCTION("""COMPUTED_VALUE"""),0.747)</f>
        <v>0.747</v>
      </c>
      <c r="O372" s="4">
        <f>IFERROR(__xludf.DUMMYFUNCTION("""COMPUTED_VALUE"""),19.0)</f>
        <v>19</v>
      </c>
      <c r="P372" s="4">
        <f>IFERROR(__xludf.DUMMYFUNCTION("""COMPUTED_VALUE"""),6.1)</f>
        <v>6.1</v>
      </c>
      <c r="Q372" s="4">
        <f>IFERROR(__xludf.DUMMYFUNCTION("""COMPUTED_VALUE"""),2.4)</f>
        <v>2.4</v>
      </c>
      <c r="R372" s="4">
        <f>IFERROR(__xludf.DUMMYFUNCTION("""COMPUTED_VALUE"""),1.9)</f>
        <v>1.9</v>
      </c>
      <c r="S372" s="4">
        <f>IFERROR(__xludf.DUMMYFUNCTION("""COMPUTED_VALUE"""),5.0)</f>
        <v>5</v>
      </c>
      <c r="T372" s="4">
        <f>IFERROR(__xludf.DUMMYFUNCTION("""COMPUTED_VALUE"""),0.081)</f>
        <v>0.081</v>
      </c>
      <c r="U372" s="4">
        <f>IFERROR(__xludf.DUMMYFUNCTION("""COMPUTED_VALUE"""),-1.9)</f>
        <v>-1.9</v>
      </c>
      <c r="V372" s="4">
        <f>IFERROR(__xludf.DUMMYFUNCTION("""COMPUTED_VALUE"""),0.1)</f>
        <v>0.1</v>
      </c>
    </row>
    <row r="373">
      <c r="A373" s="4">
        <f>IFERROR(__xludf.DUMMYFUNCTION("""COMPUTED_VALUE"""),38.0)</f>
        <v>38</v>
      </c>
      <c r="B373" s="4">
        <f>IFERROR(__xludf.DUMMYFUNCTION("""COMPUTED_VALUE"""),38.0)</f>
        <v>38</v>
      </c>
      <c r="C373" s="4" t="str">
        <f>IFERROR(__xludf.DUMMYFUNCTION("""COMPUTED_VALUE"""),"UTA")</f>
        <v>UTA</v>
      </c>
      <c r="D373" s="4" t="str">
        <f>IFERROR(__xludf.DUMMYFUNCTION("""COMPUTED_VALUE"""),"Saben Lee")</f>
        <v>Saben Lee</v>
      </c>
      <c r="E373" s="4" t="str">
        <f>IFERROR(__xludf.DUMMYFUNCTION("""COMPUTED_VALUE"""),"Vanderbilt")</f>
        <v>Vanderbilt</v>
      </c>
      <c r="F373" s="4">
        <f>IFERROR(__xludf.DUMMYFUNCTION("""COMPUTED_VALUE"""),4.0)</f>
        <v>4</v>
      </c>
      <c r="G373" s="4">
        <f>IFERROR(__xludf.DUMMYFUNCTION("""COMPUTED_VALUE"""),134.0)</f>
        <v>134</v>
      </c>
      <c r="H373" s="4">
        <f>IFERROR(__xludf.DUMMYFUNCTION("""COMPUTED_VALUE"""),1943.0)</f>
        <v>1943</v>
      </c>
      <c r="I373" s="4">
        <f>IFERROR(__xludf.DUMMYFUNCTION("""COMPUTED_VALUE"""),697.0)</f>
        <v>697</v>
      </c>
      <c r="J373" s="4">
        <f>IFERROR(__xludf.DUMMYFUNCTION("""COMPUTED_VALUE"""),260.0)</f>
        <v>260</v>
      </c>
      <c r="K373" s="4">
        <f>IFERROR(__xludf.DUMMYFUNCTION("""COMPUTED_VALUE"""),378.0)</f>
        <v>378</v>
      </c>
      <c r="L373" s="4">
        <f>IFERROR(__xludf.DUMMYFUNCTION("""COMPUTED_VALUE"""),0.421)</f>
        <v>0.421</v>
      </c>
      <c r="M373" s="4">
        <f>IFERROR(__xludf.DUMMYFUNCTION("""COMPUTED_VALUE"""),0.271)</f>
        <v>0.271</v>
      </c>
      <c r="N373" s="4">
        <f>IFERROR(__xludf.DUMMYFUNCTION("""COMPUTED_VALUE"""),0.734)</f>
        <v>0.734</v>
      </c>
      <c r="O373" s="4">
        <f>IFERROR(__xludf.DUMMYFUNCTION("""COMPUTED_VALUE"""),14.5)</f>
        <v>14.5</v>
      </c>
      <c r="P373" s="4">
        <f>IFERROR(__xludf.DUMMYFUNCTION("""COMPUTED_VALUE"""),5.2)</f>
        <v>5.2</v>
      </c>
      <c r="Q373" s="4">
        <f>IFERROR(__xludf.DUMMYFUNCTION("""COMPUTED_VALUE"""),1.9)</f>
        <v>1.9</v>
      </c>
      <c r="R373" s="4">
        <f>IFERROR(__xludf.DUMMYFUNCTION("""COMPUTED_VALUE"""),2.8)</f>
        <v>2.8</v>
      </c>
      <c r="S373" s="4">
        <f>IFERROR(__xludf.DUMMYFUNCTION("""COMPUTED_VALUE"""),3.5)</f>
        <v>3.5</v>
      </c>
      <c r="T373" s="4">
        <f>IFERROR(__xludf.DUMMYFUNCTION("""COMPUTED_VALUE"""),0.085)</f>
        <v>0.085</v>
      </c>
      <c r="U373" s="4">
        <f>IFERROR(__xludf.DUMMYFUNCTION("""COMPUTED_VALUE"""),-1.4)</f>
        <v>-1.4</v>
      </c>
      <c r="V373" s="4">
        <f>IFERROR(__xludf.DUMMYFUNCTION("""COMPUTED_VALUE"""),0.3)</f>
        <v>0.3</v>
      </c>
    </row>
    <row r="374">
      <c r="A374" s="4">
        <f>IFERROR(__xludf.DUMMYFUNCTION("""COMPUTED_VALUE"""),39.0)</f>
        <v>39</v>
      </c>
      <c r="B374" s="4">
        <f>IFERROR(__xludf.DUMMYFUNCTION("""COMPUTED_VALUE"""),39.0)</f>
        <v>39</v>
      </c>
      <c r="C374" s="4" t="str">
        <f>IFERROR(__xludf.DUMMYFUNCTION("""COMPUTED_VALUE"""),"NOP")</f>
        <v>NOP</v>
      </c>
      <c r="D374" s="4" t="str">
        <f>IFERROR(__xludf.DUMMYFUNCTION("""COMPUTED_VALUE"""),"Elijah Hughes")</f>
        <v>Elijah Hughes</v>
      </c>
      <c r="E374" s="4" t="str">
        <f>IFERROR(__xludf.DUMMYFUNCTION("""COMPUTED_VALUE"""),"Syracuse")</f>
        <v>Syracuse</v>
      </c>
      <c r="F374" s="4">
        <f>IFERROR(__xludf.DUMMYFUNCTION("""COMPUTED_VALUE"""),2.0)</f>
        <v>2</v>
      </c>
      <c r="G374" s="4">
        <f>IFERROR(__xludf.DUMMYFUNCTION("""COMPUTED_VALUE"""),54.0)</f>
        <v>54</v>
      </c>
      <c r="H374" s="4">
        <f>IFERROR(__xludf.DUMMYFUNCTION("""COMPUTED_VALUE"""),498.0)</f>
        <v>498</v>
      </c>
      <c r="I374" s="4">
        <f>IFERROR(__xludf.DUMMYFUNCTION("""COMPUTED_VALUE"""),157.0)</f>
        <v>157</v>
      </c>
      <c r="J374" s="4">
        <f>IFERROR(__xludf.DUMMYFUNCTION("""COMPUTED_VALUE"""),67.0)</f>
        <v>67</v>
      </c>
      <c r="K374" s="4">
        <f>IFERROR(__xludf.DUMMYFUNCTION("""COMPUTED_VALUE"""),28.0)</f>
        <v>28</v>
      </c>
      <c r="L374" s="4">
        <f>IFERROR(__xludf.DUMMYFUNCTION("""COMPUTED_VALUE"""),0.328)</f>
        <v>0.328</v>
      </c>
      <c r="M374" s="4">
        <f>IFERROR(__xludf.DUMMYFUNCTION("""COMPUTED_VALUE"""),0.28)</f>
        <v>0.28</v>
      </c>
      <c r="N374" s="4">
        <f>IFERROR(__xludf.DUMMYFUNCTION("""COMPUTED_VALUE"""),0.769)</f>
        <v>0.769</v>
      </c>
      <c r="O374" s="4">
        <f>IFERROR(__xludf.DUMMYFUNCTION("""COMPUTED_VALUE"""),9.2)</f>
        <v>9.2</v>
      </c>
      <c r="P374" s="4">
        <f>IFERROR(__xludf.DUMMYFUNCTION("""COMPUTED_VALUE"""),2.9)</f>
        <v>2.9</v>
      </c>
      <c r="Q374" s="4">
        <f>IFERROR(__xludf.DUMMYFUNCTION("""COMPUTED_VALUE"""),1.2)</f>
        <v>1.2</v>
      </c>
      <c r="R374" s="4">
        <f>IFERROR(__xludf.DUMMYFUNCTION("""COMPUTED_VALUE"""),0.5)</f>
        <v>0.5</v>
      </c>
      <c r="S374" s="4">
        <f>IFERROR(__xludf.DUMMYFUNCTION("""COMPUTED_VALUE"""),-0.4)</f>
        <v>-0.4</v>
      </c>
      <c r="T374" s="4">
        <f>IFERROR(__xludf.DUMMYFUNCTION("""COMPUTED_VALUE"""),-0.039)</f>
        <v>-0.039</v>
      </c>
      <c r="U374" s="4">
        <f>IFERROR(__xludf.DUMMYFUNCTION("""COMPUTED_VALUE"""),-6.4)</f>
        <v>-6.4</v>
      </c>
      <c r="V374" s="4">
        <f>IFERROR(__xludf.DUMMYFUNCTION("""COMPUTED_VALUE"""),-0.5)</f>
        <v>-0.5</v>
      </c>
    </row>
    <row r="375">
      <c r="A375" s="4">
        <f>IFERROR(__xludf.DUMMYFUNCTION("""COMPUTED_VALUE"""),40.0)</f>
        <v>40</v>
      </c>
      <c r="B375" s="4">
        <f>IFERROR(__xludf.DUMMYFUNCTION("""COMPUTED_VALUE"""),40.0)</f>
        <v>40</v>
      </c>
      <c r="C375" s="4" t="str">
        <f>IFERROR(__xludf.DUMMYFUNCTION("""COMPUTED_VALUE"""),"MEM")</f>
        <v>MEM</v>
      </c>
      <c r="D375" s="4" t="str">
        <f>IFERROR(__xludf.DUMMYFUNCTION("""COMPUTED_VALUE"""),"Robert Woodard II")</f>
        <v>Robert Woodard II</v>
      </c>
      <c r="E375" s="4" t="str">
        <f>IFERROR(__xludf.DUMMYFUNCTION("""COMPUTED_VALUE"""),"Mississippi State")</f>
        <v>Mississippi State</v>
      </c>
      <c r="F375" s="4">
        <f>IFERROR(__xludf.DUMMYFUNCTION("""COMPUTED_VALUE"""),2.0)</f>
        <v>2</v>
      </c>
      <c r="G375" s="4">
        <f>IFERROR(__xludf.DUMMYFUNCTION("""COMPUTED_VALUE"""),25.0)</f>
        <v>25</v>
      </c>
      <c r="H375" s="4">
        <f>IFERROR(__xludf.DUMMYFUNCTION("""COMPUTED_VALUE"""),87.0)</f>
        <v>87</v>
      </c>
      <c r="I375" s="4">
        <f>IFERROR(__xludf.DUMMYFUNCTION("""COMPUTED_VALUE"""),27.0)</f>
        <v>27</v>
      </c>
      <c r="J375" s="4">
        <f>IFERROR(__xludf.DUMMYFUNCTION("""COMPUTED_VALUE"""),27.0)</f>
        <v>27</v>
      </c>
      <c r="K375" s="4">
        <f>IFERROR(__xludf.DUMMYFUNCTION("""COMPUTED_VALUE"""),5.0)</f>
        <v>5</v>
      </c>
      <c r="L375" s="4">
        <f>IFERROR(__xludf.DUMMYFUNCTION("""COMPUTED_VALUE"""),0.278)</f>
        <v>0.278</v>
      </c>
      <c r="M375" s="4">
        <f>IFERROR(__xludf.DUMMYFUNCTION("""COMPUTED_VALUE"""),0.2)</f>
        <v>0.2</v>
      </c>
      <c r="N375" s="4">
        <f>IFERROR(__xludf.DUMMYFUNCTION("""COMPUTED_VALUE"""),0.5)</f>
        <v>0.5</v>
      </c>
      <c r="O375" s="4">
        <f>IFERROR(__xludf.DUMMYFUNCTION("""COMPUTED_VALUE"""),3.5)</f>
        <v>3.5</v>
      </c>
      <c r="P375" s="4">
        <f>IFERROR(__xludf.DUMMYFUNCTION("""COMPUTED_VALUE"""),1.1)</f>
        <v>1.1</v>
      </c>
      <c r="Q375" s="4">
        <f>IFERROR(__xludf.DUMMYFUNCTION("""COMPUTED_VALUE"""),1.1)</f>
        <v>1.1</v>
      </c>
      <c r="R375" s="4">
        <f>IFERROR(__xludf.DUMMYFUNCTION("""COMPUTED_VALUE"""),0.2)</f>
        <v>0.2</v>
      </c>
      <c r="S375" s="4">
        <f>IFERROR(__xludf.DUMMYFUNCTION("""COMPUTED_VALUE"""),-0.1)</f>
        <v>-0.1</v>
      </c>
      <c r="T375" s="4">
        <f>IFERROR(__xludf.DUMMYFUNCTION("""COMPUTED_VALUE"""),-0.077)</f>
        <v>-0.077</v>
      </c>
      <c r="U375" s="4">
        <f>IFERROR(__xludf.DUMMYFUNCTION("""COMPUTED_VALUE"""),-7.7)</f>
        <v>-7.7</v>
      </c>
      <c r="V375" s="4">
        <f>IFERROR(__xludf.DUMMYFUNCTION("""COMPUTED_VALUE"""),-0.1)</f>
        <v>-0.1</v>
      </c>
    </row>
    <row r="376">
      <c r="A376" s="4">
        <f>IFERROR(__xludf.DUMMYFUNCTION("""COMPUTED_VALUE"""),41.0)</f>
        <v>41</v>
      </c>
      <c r="B376" s="4">
        <f>IFERROR(__xludf.DUMMYFUNCTION("""COMPUTED_VALUE"""),41.0)</f>
        <v>41</v>
      </c>
      <c r="C376" s="4" t="str">
        <f>IFERROR(__xludf.DUMMYFUNCTION("""COMPUTED_VALUE"""),"SAS")</f>
        <v>SAS</v>
      </c>
      <c r="D376" s="4" t="str">
        <f>IFERROR(__xludf.DUMMYFUNCTION("""COMPUTED_VALUE"""),"Tre Jones")</f>
        <v>Tre Jones</v>
      </c>
      <c r="E376" s="4" t="str">
        <f>IFERROR(__xludf.DUMMYFUNCTION("""COMPUTED_VALUE"""),"Duke")</f>
        <v>Duke</v>
      </c>
      <c r="F376" s="4">
        <f>IFERROR(__xludf.DUMMYFUNCTION("""COMPUTED_VALUE"""),6.0)</f>
        <v>6</v>
      </c>
      <c r="G376" s="4">
        <f>IFERROR(__xludf.DUMMYFUNCTION("""COMPUTED_VALUE"""),314.0)</f>
        <v>314</v>
      </c>
      <c r="H376" s="4">
        <f>IFERROR(__xludf.DUMMYFUNCTION("""COMPUTED_VALUE"""),6930.0)</f>
        <v>6930</v>
      </c>
      <c r="I376" s="4">
        <f>IFERROR(__xludf.DUMMYFUNCTION("""COMPUTED_VALUE"""),2708.0)</f>
        <v>2708</v>
      </c>
      <c r="J376" s="4">
        <f>IFERROR(__xludf.DUMMYFUNCTION("""COMPUTED_VALUE"""),881.0)</f>
        <v>881</v>
      </c>
      <c r="K376" s="4">
        <f>IFERROR(__xludf.DUMMYFUNCTION("""COMPUTED_VALUE"""),1473.0)</f>
        <v>1473</v>
      </c>
      <c r="L376" s="4">
        <f>IFERROR(__xludf.DUMMYFUNCTION("""COMPUTED_VALUE"""),0.491)</f>
        <v>0.491</v>
      </c>
      <c r="M376" s="4">
        <f>IFERROR(__xludf.DUMMYFUNCTION("""COMPUTED_VALUE"""),0.312)</f>
        <v>0.312</v>
      </c>
      <c r="N376" s="4">
        <f>IFERROR(__xludf.DUMMYFUNCTION("""COMPUTED_VALUE"""),0.841)</f>
        <v>0.841</v>
      </c>
      <c r="O376" s="4">
        <f>IFERROR(__xludf.DUMMYFUNCTION("""COMPUTED_VALUE"""),22.1)</f>
        <v>22.1</v>
      </c>
      <c r="P376" s="4">
        <f>IFERROR(__xludf.DUMMYFUNCTION("""COMPUTED_VALUE"""),8.6)</f>
        <v>8.6</v>
      </c>
      <c r="Q376" s="4">
        <f>IFERROR(__xludf.DUMMYFUNCTION("""COMPUTED_VALUE"""),2.8)</f>
        <v>2.8</v>
      </c>
      <c r="R376" s="4">
        <f>IFERROR(__xludf.DUMMYFUNCTION("""COMPUTED_VALUE"""),4.7)</f>
        <v>4.7</v>
      </c>
      <c r="S376" s="4">
        <f>IFERROR(__xludf.DUMMYFUNCTION("""COMPUTED_VALUE"""),16.0)</f>
        <v>16</v>
      </c>
      <c r="T376" s="4">
        <f>IFERROR(__xludf.DUMMYFUNCTION("""COMPUTED_VALUE"""),0.111)</f>
        <v>0.111</v>
      </c>
      <c r="U376" s="4">
        <f>IFERROR(__xludf.DUMMYFUNCTION("""COMPUTED_VALUE"""),-0.4)</f>
        <v>-0.4</v>
      </c>
      <c r="V376" s="4">
        <f>IFERROR(__xludf.DUMMYFUNCTION("""COMPUTED_VALUE"""),2.9)</f>
        <v>2.9</v>
      </c>
    </row>
    <row r="377">
      <c r="A377" s="4">
        <f>IFERROR(__xludf.DUMMYFUNCTION("""COMPUTED_VALUE"""),42.0)</f>
        <v>42</v>
      </c>
      <c r="B377" s="4">
        <f>IFERROR(__xludf.DUMMYFUNCTION("""COMPUTED_VALUE"""),42.0)</f>
        <v>42</v>
      </c>
      <c r="C377" s="4" t="str">
        <f>IFERROR(__xludf.DUMMYFUNCTION("""COMPUTED_VALUE"""),"NOP")</f>
        <v>NOP</v>
      </c>
      <c r="D377" s="4" t="str">
        <f>IFERROR(__xludf.DUMMYFUNCTION("""COMPUTED_VALUE"""),"Nick Richards")</f>
        <v>Nick Richards</v>
      </c>
      <c r="E377" s="4" t="str">
        <f>IFERROR(__xludf.DUMMYFUNCTION("""COMPUTED_VALUE"""),"Kentucky")</f>
        <v>Kentucky</v>
      </c>
      <c r="F377" s="4">
        <f>IFERROR(__xludf.DUMMYFUNCTION("""COMPUTED_VALUE"""),6.0)</f>
        <v>6</v>
      </c>
      <c r="G377" s="4">
        <f>IFERROR(__xludf.DUMMYFUNCTION("""COMPUTED_VALUE"""),278.0)</f>
        <v>278</v>
      </c>
      <c r="H377" s="4">
        <f>IFERROR(__xludf.DUMMYFUNCTION("""COMPUTED_VALUE"""),4869.0)</f>
        <v>4869</v>
      </c>
      <c r="I377" s="4">
        <f>IFERROR(__xludf.DUMMYFUNCTION("""COMPUTED_VALUE"""),1957.0)</f>
        <v>1957</v>
      </c>
      <c r="J377" s="4">
        <f>IFERROR(__xludf.DUMMYFUNCTION("""COMPUTED_VALUE"""),1590.0)</f>
        <v>1590</v>
      </c>
      <c r="K377" s="4">
        <f>IFERROR(__xludf.DUMMYFUNCTION("""COMPUTED_VALUE"""),162.0)</f>
        <v>162</v>
      </c>
      <c r="L377" s="4">
        <f>IFERROR(__xludf.DUMMYFUNCTION("""COMPUTED_VALUE"""),0.634)</f>
        <v>0.634</v>
      </c>
      <c r="M377" s="4">
        <f>IFERROR(__xludf.DUMMYFUNCTION("""COMPUTED_VALUE"""),0.2)</f>
        <v>0.2</v>
      </c>
      <c r="N377" s="4">
        <f>IFERROR(__xludf.DUMMYFUNCTION("""COMPUTED_VALUE"""),0.735)</f>
        <v>0.735</v>
      </c>
      <c r="O377" s="4">
        <f>IFERROR(__xludf.DUMMYFUNCTION("""COMPUTED_VALUE"""),17.5)</f>
        <v>17.5</v>
      </c>
      <c r="P377" s="4">
        <f>IFERROR(__xludf.DUMMYFUNCTION("""COMPUTED_VALUE"""),7.0)</f>
        <v>7</v>
      </c>
      <c r="Q377" s="4">
        <f>IFERROR(__xludf.DUMMYFUNCTION("""COMPUTED_VALUE"""),5.7)</f>
        <v>5.7</v>
      </c>
      <c r="R377" s="4">
        <f>IFERROR(__xludf.DUMMYFUNCTION("""COMPUTED_VALUE"""),0.6)</f>
        <v>0.6</v>
      </c>
      <c r="S377" s="4">
        <f>IFERROR(__xludf.DUMMYFUNCTION("""COMPUTED_VALUE"""),13.5)</f>
        <v>13.5</v>
      </c>
      <c r="T377" s="4">
        <f>IFERROR(__xludf.DUMMYFUNCTION("""COMPUTED_VALUE"""),0.133)</f>
        <v>0.133</v>
      </c>
      <c r="U377" s="4">
        <f>IFERROR(__xludf.DUMMYFUNCTION("""COMPUTED_VALUE"""),-2.6)</f>
        <v>-2.6</v>
      </c>
      <c r="V377" s="4">
        <f>IFERROR(__xludf.DUMMYFUNCTION("""COMPUTED_VALUE"""),-0.7)</f>
        <v>-0.7</v>
      </c>
    </row>
    <row r="378">
      <c r="A378" s="4">
        <f>IFERROR(__xludf.DUMMYFUNCTION("""COMPUTED_VALUE"""),43.0)</f>
        <v>43</v>
      </c>
      <c r="B378" s="4">
        <f>IFERROR(__xludf.DUMMYFUNCTION("""COMPUTED_VALUE"""),43.0)</f>
        <v>43</v>
      </c>
      <c r="C378" s="4" t="str">
        <f>IFERROR(__xludf.DUMMYFUNCTION("""COMPUTED_VALUE"""),"SAC")</f>
        <v>SAC</v>
      </c>
      <c r="D378" s="4" t="str">
        <f>IFERROR(__xludf.DUMMYFUNCTION("""COMPUTED_VALUE"""),"Jahmi'us Ramsey")</f>
        <v>Jahmi'us Ramsey</v>
      </c>
      <c r="E378" s="4" t="str">
        <f>IFERROR(__xludf.DUMMYFUNCTION("""COMPUTED_VALUE"""),"Texas Tech")</f>
        <v>Texas Tech</v>
      </c>
      <c r="F378" s="4">
        <f>IFERROR(__xludf.DUMMYFUNCTION("""COMPUTED_VALUE"""),3.0)</f>
        <v>3</v>
      </c>
      <c r="G378" s="4">
        <f>IFERROR(__xludf.DUMMYFUNCTION("""COMPUTED_VALUE"""),39.0)</f>
        <v>39</v>
      </c>
      <c r="H378" s="4">
        <f>IFERROR(__xludf.DUMMYFUNCTION("""COMPUTED_VALUE"""),349.0)</f>
        <v>349</v>
      </c>
      <c r="I378" s="4">
        <f>IFERROR(__xludf.DUMMYFUNCTION("""COMPUTED_VALUE"""),147.0)</f>
        <v>147</v>
      </c>
      <c r="J378" s="4">
        <f>IFERROR(__xludf.DUMMYFUNCTION("""COMPUTED_VALUE"""),45.0)</f>
        <v>45</v>
      </c>
      <c r="K378" s="4">
        <f>IFERROR(__xludf.DUMMYFUNCTION("""COMPUTED_VALUE"""),21.0)</f>
        <v>21</v>
      </c>
      <c r="L378" s="4">
        <f>IFERROR(__xludf.DUMMYFUNCTION("""COMPUTED_VALUE"""),0.416)</f>
        <v>0.416</v>
      </c>
      <c r="M378" s="4">
        <f>IFERROR(__xludf.DUMMYFUNCTION("""COMPUTED_VALUE"""),0.271)</f>
        <v>0.271</v>
      </c>
      <c r="N378" s="4">
        <f>IFERROR(__xludf.DUMMYFUNCTION("""COMPUTED_VALUE"""),0.68)</f>
        <v>0.68</v>
      </c>
      <c r="O378" s="4">
        <f>IFERROR(__xludf.DUMMYFUNCTION("""COMPUTED_VALUE"""),8.9)</f>
        <v>8.9</v>
      </c>
      <c r="P378" s="4">
        <f>IFERROR(__xludf.DUMMYFUNCTION("""COMPUTED_VALUE"""),3.8)</f>
        <v>3.8</v>
      </c>
      <c r="Q378" s="4">
        <f>IFERROR(__xludf.DUMMYFUNCTION("""COMPUTED_VALUE"""),1.2)</f>
        <v>1.2</v>
      </c>
      <c r="R378" s="4">
        <f>IFERROR(__xludf.DUMMYFUNCTION("""COMPUTED_VALUE"""),0.5)</f>
        <v>0.5</v>
      </c>
      <c r="S378" s="4">
        <f>IFERROR(__xludf.DUMMYFUNCTION("""COMPUTED_VALUE"""),-0.1)</f>
        <v>-0.1</v>
      </c>
      <c r="T378" s="4">
        <f>IFERROR(__xludf.DUMMYFUNCTION("""COMPUTED_VALUE"""),-0.008)</f>
        <v>-0.008</v>
      </c>
      <c r="U378" s="4">
        <f>IFERROR(__xludf.DUMMYFUNCTION("""COMPUTED_VALUE"""),-5.4)</f>
        <v>-5.4</v>
      </c>
      <c r="V378" s="4">
        <f>IFERROR(__xludf.DUMMYFUNCTION("""COMPUTED_VALUE"""),-0.3)</f>
        <v>-0.3</v>
      </c>
    </row>
    <row r="379">
      <c r="A379" s="4">
        <f>IFERROR(__xludf.DUMMYFUNCTION("""COMPUTED_VALUE"""),44.0)</f>
        <v>44</v>
      </c>
      <c r="B379" s="4">
        <f>IFERROR(__xludf.DUMMYFUNCTION("""COMPUTED_VALUE"""),44.0)</f>
        <v>44</v>
      </c>
      <c r="C379" s="4" t="str">
        <f>IFERROR(__xludf.DUMMYFUNCTION("""COMPUTED_VALUE"""),"CHI")</f>
        <v>CHI</v>
      </c>
      <c r="D379" s="4" t="str">
        <f>IFERROR(__xludf.DUMMYFUNCTION("""COMPUTED_VALUE"""),"Marko Simonovic")</f>
        <v>Marko Simonovic</v>
      </c>
      <c r="E379" s="4"/>
      <c r="F379" s="4">
        <f>IFERROR(__xludf.DUMMYFUNCTION("""COMPUTED_VALUE"""),2.0)</f>
        <v>2</v>
      </c>
      <c r="G379" s="4">
        <f>IFERROR(__xludf.DUMMYFUNCTION("""COMPUTED_VALUE"""),16.0)</f>
        <v>16</v>
      </c>
      <c r="H379" s="4">
        <f>IFERROR(__xludf.DUMMYFUNCTION("""COMPUTED_VALUE"""),55.0)</f>
        <v>55</v>
      </c>
      <c r="I379" s="4">
        <f>IFERROR(__xludf.DUMMYFUNCTION("""COMPUTED_VALUE"""),23.0)</f>
        <v>23</v>
      </c>
      <c r="J379" s="4">
        <f>IFERROR(__xludf.DUMMYFUNCTION("""COMPUTED_VALUE"""),12.0)</f>
        <v>12</v>
      </c>
      <c r="K379" s="4">
        <f>IFERROR(__xludf.DUMMYFUNCTION("""COMPUTED_VALUE"""),0.0)</f>
        <v>0</v>
      </c>
      <c r="L379" s="4">
        <f>IFERROR(__xludf.DUMMYFUNCTION("""COMPUTED_VALUE"""),0.273)</f>
        <v>0.273</v>
      </c>
      <c r="M379" s="4">
        <f>IFERROR(__xludf.DUMMYFUNCTION("""COMPUTED_VALUE"""),0.222)</f>
        <v>0.222</v>
      </c>
      <c r="N379" s="4">
        <f>IFERROR(__xludf.DUMMYFUNCTION("""COMPUTED_VALUE"""),0.692)</f>
        <v>0.692</v>
      </c>
      <c r="O379" s="4">
        <f>IFERROR(__xludf.DUMMYFUNCTION("""COMPUTED_VALUE"""),3.4)</f>
        <v>3.4</v>
      </c>
      <c r="P379" s="4">
        <f>IFERROR(__xludf.DUMMYFUNCTION("""COMPUTED_VALUE"""),1.4)</f>
        <v>1.4</v>
      </c>
      <c r="Q379" s="4">
        <f>IFERROR(__xludf.DUMMYFUNCTION("""COMPUTED_VALUE"""),0.8)</f>
        <v>0.8</v>
      </c>
      <c r="R379" s="4">
        <f>IFERROR(__xludf.DUMMYFUNCTION("""COMPUTED_VALUE"""),0.0)</f>
        <v>0</v>
      </c>
      <c r="S379" s="4">
        <f>IFERROR(__xludf.DUMMYFUNCTION("""COMPUTED_VALUE"""),0.0)</f>
        <v>0</v>
      </c>
      <c r="T379" s="4">
        <f>IFERROR(__xludf.DUMMYFUNCTION("""COMPUTED_VALUE"""),-0.026)</f>
        <v>-0.026</v>
      </c>
      <c r="U379" s="4">
        <f>IFERROR(__xludf.DUMMYFUNCTION("""COMPUTED_VALUE"""),-12.3)</f>
        <v>-12.3</v>
      </c>
      <c r="V379" s="4">
        <f>IFERROR(__xludf.DUMMYFUNCTION("""COMPUTED_VALUE"""),-0.1)</f>
        <v>-0.1</v>
      </c>
    </row>
    <row r="380">
      <c r="A380" s="4">
        <f>IFERROR(__xludf.DUMMYFUNCTION("""COMPUTED_VALUE"""),45.0)</f>
        <v>45</v>
      </c>
      <c r="B380" s="4">
        <f>IFERROR(__xludf.DUMMYFUNCTION("""COMPUTED_VALUE"""),45.0)</f>
        <v>45</v>
      </c>
      <c r="C380" s="4" t="str">
        <f>IFERROR(__xludf.DUMMYFUNCTION("""COMPUTED_VALUE"""),"MIL")</f>
        <v>MIL</v>
      </c>
      <c r="D380" s="4" t="str">
        <f>IFERROR(__xludf.DUMMYFUNCTION("""COMPUTED_VALUE"""),"Jordan Nwora")</f>
        <v>Jordan Nwora</v>
      </c>
      <c r="E380" s="4" t="str">
        <f>IFERROR(__xludf.DUMMYFUNCTION("""COMPUTED_VALUE"""),"Louisville")</f>
        <v>Louisville</v>
      </c>
      <c r="F380" s="4">
        <f>IFERROR(__xludf.DUMMYFUNCTION("""COMPUTED_VALUE"""),4.0)</f>
        <v>4</v>
      </c>
      <c r="G380" s="4">
        <f>IFERROR(__xludf.DUMMYFUNCTION("""COMPUTED_VALUE"""),206.0)</f>
        <v>206</v>
      </c>
      <c r="H380" s="4">
        <f>IFERROR(__xludf.DUMMYFUNCTION("""COMPUTED_VALUE"""),3359.0)</f>
        <v>3359</v>
      </c>
      <c r="I380" s="4">
        <f>IFERROR(__xludf.DUMMYFUNCTION("""COMPUTED_VALUE"""),1564.0)</f>
        <v>1564</v>
      </c>
      <c r="J380" s="4">
        <f>IFERROR(__xludf.DUMMYFUNCTION("""COMPUTED_VALUE"""),659.0)</f>
        <v>659</v>
      </c>
      <c r="K380" s="4">
        <f>IFERROR(__xludf.DUMMYFUNCTION("""COMPUTED_VALUE"""),216.0)</f>
        <v>216</v>
      </c>
      <c r="L380" s="4">
        <f>IFERROR(__xludf.DUMMYFUNCTION("""COMPUTED_VALUE"""),0.433)</f>
        <v>0.433</v>
      </c>
      <c r="M380" s="4">
        <f>IFERROR(__xludf.DUMMYFUNCTION("""COMPUTED_VALUE"""),0.376)</f>
        <v>0.376</v>
      </c>
      <c r="N380" s="4">
        <f>IFERROR(__xludf.DUMMYFUNCTION("""COMPUTED_VALUE"""),0.807)</f>
        <v>0.807</v>
      </c>
      <c r="O380" s="4">
        <f>IFERROR(__xludf.DUMMYFUNCTION("""COMPUTED_VALUE"""),16.3)</f>
        <v>16.3</v>
      </c>
      <c r="P380" s="4">
        <f>IFERROR(__xludf.DUMMYFUNCTION("""COMPUTED_VALUE"""),7.6)</f>
        <v>7.6</v>
      </c>
      <c r="Q380" s="4">
        <f>IFERROR(__xludf.DUMMYFUNCTION("""COMPUTED_VALUE"""),3.2)</f>
        <v>3.2</v>
      </c>
      <c r="R380" s="4">
        <f>IFERROR(__xludf.DUMMYFUNCTION("""COMPUTED_VALUE"""),1.0)</f>
        <v>1</v>
      </c>
      <c r="S380" s="4">
        <f>IFERROR(__xludf.DUMMYFUNCTION("""COMPUTED_VALUE"""),3.0)</f>
        <v>3</v>
      </c>
      <c r="T380" s="4">
        <f>IFERROR(__xludf.DUMMYFUNCTION("""COMPUTED_VALUE"""),0.043)</f>
        <v>0.043</v>
      </c>
      <c r="U380" s="4">
        <f>IFERROR(__xludf.DUMMYFUNCTION("""COMPUTED_VALUE"""),-2.8)</f>
        <v>-2.8</v>
      </c>
      <c r="V380" s="4">
        <f>IFERROR(__xludf.DUMMYFUNCTION("""COMPUTED_VALUE"""),-0.7)</f>
        <v>-0.7</v>
      </c>
    </row>
    <row r="381">
      <c r="A381" s="4">
        <f>IFERROR(__xludf.DUMMYFUNCTION("""COMPUTED_VALUE"""),46.0)</f>
        <v>46</v>
      </c>
      <c r="B381" s="4">
        <f>IFERROR(__xludf.DUMMYFUNCTION("""COMPUTED_VALUE"""),46.0)</f>
        <v>46</v>
      </c>
      <c r="C381" s="4" t="str">
        <f>IFERROR(__xludf.DUMMYFUNCTION("""COMPUTED_VALUE"""),"POR")</f>
        <v>POR</v>
      </c>
      <c r="D381" s="4" t="str">
        <f>IFERROR(__xludf.DUMMYFUNCTION("""COMPUTED_VALUE"""),"CJ Elleby")</f>
        <v>CJ Elleby</v>
      </c>
      <c r="E381" s="4" t="str">
        <f>IFERROR(__xludf.DUMMYFUNCTION("""COMPUTED_VALUE"""),"Washington State")</f>
        <v>Washington State</v>
      </c>
      <c r="F381" s="4">
        <f>IFERROR(__xludf.DUMMYFUNCTION("""COMPUTED_VALUE"""),2.0)</f>
        <v>2</v>
      </c>
      <c r="G381" s="4">
        <f>IFERROR(__xludf.DUMMYFUNCTION("""COMPUTED_VALUE"""),88.0)</f>
        <v>88</v>
      </c>
      <c r="H381" s="4">
        <f>IFERROR(__xludf.DUMMYFUNCTION("""COMPUTED_VALUE"""),1366.0)</f>
        <v>1366</v>
      </c>
      <c r="I381" s="4">
        <f>IFERROR(__xludf.DUMMYFUNCTION("""COMPUTED_VALUE"""),407.0)</f>
        <v>407</v>
      </c>
      <c r="J381" s="4">
        <f>IFERROR(__xludf.DUMMYFUNCTION("""COMPUTED_VALUE"""),259.0)</f>
        <v>259</v>
      </c>
      <c r="K381" s="4">
        <f>IFERROR(__xludf.DUMMYFUNCTION("""COMPUTED_VALUE"""),97.0)</f>
        <v>97</v>
      </c>
      <c r="L381" s="4">
        <f>IFERROR(__xludf.DUMMYFUNCTION("""COMPUTED_VALUE"""),0.39)</f>
        <v>0.39</v>
      </c>
      <c r="M381" s="4">
        <f>IFERROR(__xludf.DUMMYFUNCTION("""COMPUTED_VALUE"""),0.275)</f>
        <v>0.275</v>
      </c>
      <c r="N381" s="4">
        <f>IFERROR(__xludf.DUMMYFUNCTION("""COMPUTED_VALUE"""),0.717)</f>
        <v>0.717</v>
      </c>
      <c r="O381" s="4">
        <f>IFERROR(__xludf.DUMMYFUNCTION("""COMPUTED_VALUE"""),15.5)</f>
        <v>15.5</v>
      </c>
      <c r="P381" s="4">
        <f>IFERROR(__xludf.DUMMYFUNCTION("""COMPUTED_VALUE"""),4.6)</f>
        <v>4.6</v>
      </c>
      <c r="Q381" s="4">
        <f>IFERROR(__xludf.DUMMYFUNCTION("""COMPUTED_VALUE"""),2.9)</f>
        <v>2.9</v>
      </c>
      <c r="R381" s="4">
        <f>IFERROR(__xludf.DUMMYFUNCTION("""COMPUTED_VALUE"""),1.1)</f>
        <v>1.1</v>
      </c>
      <c r="S381" s="4">
        <f>IFERROR(__xludf.DUMMYFUNCTION("""COMPUTED_VALUE"""),0.5)</f>
        <v>0.5</v>
      </c>
      <c r="T381" s="4">
        <f>IFERROR(__xludf.DUMMYFUNCTION("""COMPUTED_VALUE"""),0.018)</f>
        <v>0.018</v>
      </c>
      <c r="U381" s="4">
        <f>IFERROR(__xludf.DUMMYFUNCTION("""COMPUTED_VALUE"""),-5.2)</f>
        <v>-5.2</v>
      </c>
      <c r="V381" s="4">
        <f>IFERROR(__xludf.DUMMYFUNCTION("""COMPUTED_VALUE"""),-1.1)</f>
        <v>-1.1</v>
      </c>
    </row>
    <row r="382">
      <c r="A382" s="4">
        <f>IFERROR(__xludf.DUMMYFUNCTION("""COMPUTED_VALUE"""),47.0)</f>
        <v>47</v>
      </c>
      <c r="B382" s="4">
        <f>IFERROR(__xludf.DUMMYFUNCTION("""COMPUTED_VALUE"""),47.0)</f>
        <v>47</v>
      </c>
      <c r="C382" s="4" t="str">
        <f>IFERROR(__xludf.DUMMYFUNCTION("""COMPUTED_VALUE"""),"BOS")</f>
        <v>BOS</v>
      </c>
      <c r="D382" s="4" t="str">
        <f>IFERROR(__xludf.DUMMYFUNCTION("""COMPUTED_VALUE"""),"Yam Madar")</f>
        <v>Yam Madar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>
        <f>IFERROR(__xludf.DUMMYFUNCTION("""COMPUTED_VALUE"""),48.0)</f>
        <v>48</v>
      </c>
      <c r="B383" s="4">
        <f>IFERROR(__xludf.DUMMYFUNCTION("""COMPUTED_VALUE"""),48.0)</f>
        <v>48</v>
      </c>
      <c r="C383" s="4" t="str">
        <f>IFERROR(__xludf.DUMMYFUNCTION("""COMPUTED_VALUE"""),"GSW")</f>
        <v>GSW</v>
      </c>
      <c r="D383" s="4" t="str">
        <f>IFERROR(__xludf.DUMMYFUNCTION("""COMPUTED_VALUE"""),"Nico Mannion")</f>
        <v>Nico Mannion</v>
      </c>
      <c r="E383" s="4" t="str">
        <f>IFERROR(__xludf.DUMMYFUNCTION("""COMPUTED_VALUE"""),"Arizona")</f>
        <v>Arizona</v>
      </c>
      <c r="F383" s="4">
        <f>IFERROR(__xludf.DUMMYFUNCTION("""COMPUTED_VALUE"""),1.0)</f>
        <v>1</v>
      </c>
      <c r="G383" s="4">
        <f>IFERROR(__xludf.DUMMYFUNCTION("""COMPUTED_VALUE"""),30.0)</f>
        <v>30</v>
      </c>
      <c r="H383" s="4">
        <f>IFERROR(__xludf.DUMMYFUNCTION("""COMPUTED_VALUE"""),364.0)</f>
        <v>364</v>
      </c>
      <c r="I383" s="4">
        <f>IFERROR(__xludf.DUMMYFUNCTION("""COMPUTED_VALUE"""),123.0)</f>
        <v>123</v>
      </c>
      <c r="J383" s="4">
        <f>IFERROR(__xludf.DUMMYFUNCTION("""COMPUTED_VALUE"""),46.0)</f>
        <v>46</v>
      </c>
      <c r="K383" s="4">
        <f>IFERROR(__xludf.DUMMYFUNCTION("""COMPUTED_VALUE"""),70.0)</f>
        <v>70</v>
      </c>
      <c r="L383" s="4">
        <f>IFERROR(__xludf.DUMMYFUNCTION("""COMPUTED_VALUE"""),0.342)</f>
        <v>0.342</v>
      </c>
      <c r="M383" s="4">
        <f>IFERROR(__xludf.DUMMYFUNCTION("""COMPUTED_VALUE"""),0.367)</f>
        <v>0.367</v>
      </c>
      <c r="N383" s="4">
        <f>IFERROR(__xludf.DUMMYFUNCTION("""COMPUTED_VALUE"""),0.821)</f>
        <v>0.821</v>
      </c>
      <c r="O383" s="4">
        <f>IFERROR(__xludf.DUMMYFUNCTION("""COMPUTED_VALUE"""),12.1)</f>
        <v>12.1</v>
      </c>
      <c r="P383" s="4">
        <f>IFERROR(__xludf.DUMMYFUNCTION("""COMPUTED_VALUE"""),4.1)</f>
        <v>4.1</v>
      </c>
      <c r="Q383" s="4">
        <f>IFERROR(__xludf.DUMMYFUNCTION("""COMPUTED_VALUE"""),1.5)</f>
        <v>1.5</v>
      </c>
      <c r="R383" s="4">
        <f>IFERROR(__xludf.DUMMYFUNCTION("""COMPUTED_VALUE"""),2.3)</f>
        <v>2.3</v>
      </c>
      <c r="S383" s="4">
        <f>IFERROR(__xludf.DUMMYFUNCTION("""COMPUTED_VALUE"""),0.2)</f>
        <v>0.2</v>
      </c>
      <c r="T383" s="4">
        <f>IFERROR(__xludf.DUMMYFUNCTION("""COMPUTED_VALUE"""),0.029)</f>
        <v>0.029</v>
      </c>
      <c r="U383" s="4">
        <f>IFERROR(__xludf.DUMMYFUNCTION("""COMPUTED_VALUE"""),-3.9)</f>
        <v>-3.9</v>
      </c>
      <c r="V383" s="4">
        <f>IFERROR(__xludf.DUMMYFUNCTION("""COMPUTED_VALUE"""),-0.2)</f>
        <v>-0.2</v>
      </c>
    </row>
    <row r="384">
      <c r="A384" s="4">
        <f>IFERROR(__xludf.DUMMYFUNCTION("""COMPUTED_VALUE"""),49.0)</f>
        <v>49</v>
      </c>
      <c r="B384" s="4">
        <f>IFERROR(__xludf.DUMMYFUNCTION("""COMPUTED_VALUE"""),49.0)</f>
        <v>49</v>
      </c>
      <c r="C384" s="4" t="str">
        <f>IFERROR(__xludf.DUMMYFUNCTION("""COMPUTED_VALUE"""),"PHI")</f>
        <v>PHI</v>
      </c>
      <c r="D384" s="4" t="str">
        <f>IFERROR(__xludf.DUMMYFUNCTION("""COMPUTED_VALUE"""),"Isaiah Joe")</f>
        <v>Isaiah Joe</v>
      </c>
      <c r="E384" s="4" t="str">
        <f>IFERROR(__xludf.DUMMYFUNCTION("""COMPUTED_VALUE"""),"Arkansas")</f>
        <v>Arkansas</v>
      </c>
      <c r="F384" s="4">
        <f>IFERROR(__xludf.DUMMYFUNCTION("""COMPUTED_VALUE"""),6.0)</f>
        <v>6</v>
      </c>
      <c r="G384" s="4">
        <f>IFERROR(__xludf.DUMMYFUNCTION("""COMPUTED_VALUE"""),338.0)</f>
        <v>338</v>
      </c>
      <c r="H384" s="4">
        <f>IFERROR(__xludf.DUMMYFUNCTION("""COMPUTED_VALUE"""),5833.0)</f>
        <v>5833</v>
      </c>
      <c r="I384" s="4">
        <f>IFERROR(__xludf.DUMMYFUNCTION("""COMPUTED_VALUE"""),2653.0)</f>
        <v>2653</v>
      </c>
      <c r="J384" s="4">
        <f>IFERROR(__xludf.DUMMYFUNCTION("""COMPUTED_VALUE"""),691.0)</f>
        <v>691</v>
      </c>
      <c r="K384" s="4">
        <f>IFERROR(__xludf.DUMMYFUNCTION("""COMPUTED_VALUE"""),387.0)</f>
        <v>387</v>
      </c>
      <c r="L384" s="4">
        <f>IFERROR(__xludf.DUMMYFUNCTION("""COMPUTED_VALUE"""),0.433)</f>
        <v>0.433</v>
      </c>
      <c r="M384" s="4">
        <f>IFERROR(__xludf.DUMMYFUNCTION("""COMPUTED_VALUE"""),0.403)</f>
        <v>0.403</v>
      </c>
      <c r="N384" s="4">
        <f>IFERROR(__xludf.DUMMYFUNCTION("""COMPUTED_VALUE"""),0.848)</f>
        <v>0.848</v>
      </c>
      <c r="O384" s="4">
        <f>IFERROR(__xludf.DUMMYFUNCTION("""COMPUTED_VALUE"""),17.3)</f>
        <v>17.3</v>
      </c>
      <c r="P384" s="4">
        <f>IFERROR(__xludf.DUMMYFUNCTION("""COMPUTED_VALUE"""),7.8)</f>
        <v>7.8</v>
      </c>
      <c r="Q384" s="4">
        <f>IFERROR(__xludf.DUMMYFUNCTION("""COMPUTED_VALUE"""),2.0)</f>
        <v>2</v>
      </c>
      <c r="R384" s="4">
        <f>IFERROR(__xludf.DUMMYFUNCTION("""COMPUTED_VALUE"""),1.1)</f>
        <v>1.1</v>
      </c>
      <c r="S384" s="4">
        <f>IFERROR(__xludf.DUMMYFUNCTION("""COMPUTED_VALUE"""),15.0)</f>
        <v>15</v>
      </c>
      <c r="T384" s="4">
        <f>IFERROR(__xludf.DUMMYFUNCTION("""COMPUTED_VALUE"""),0.124)</f>
        <v>0.124</v>
      </c>
      <c r="U384" s="4">
        <f>IFERROR(__xludf.DUMMYFUNCTION("""COMPUTED_VALUE"""),0.2)</f>
        <v>0.2</v>
      </c>
      <c r="V384" s="4">
        <f>IFERROR(__xludf.DUMMYFUNCTION("""COMPUTED_VALUE"""),3.2)</f>
        <v>3.2</v>
      </c>
    </row>
    <row r="385">
      <c r="A385" s="4">
        <f>IFERROR(__xludf.DUMMYFUNCTION("""COMPUTED_VALUE"""),50.0)</f>
        <v>50</v>
      </c>
      <c r="B385" s="4">
        <f>IFERROR(__xludf.DUMMYFUNCTION("""COMPUTED_VALUE"""),50.0)</f>
        <v>50</v>
      </c>
      <c r="C385" s="4" t="str">
        <f>IFERROR(__xludf.DUMMYFUNCTION("""COMPUTED_VALUE"""),"ATL")</f>
        <v>ATL</v>
      </c>
      <c r="D385" s="4" t="str">
        <f>IFERROR(__xludf.DUMMYFUNCTION("""COMPUTED_VALUE"""),"Skylar Mays")</f>
        <v>Skylar Mays</v>
      </c>
      <c r="E385" s="4" t="str">
        <f>IFERROR(__xludf.DUMMYFUNCTION("""COMPUTED_VALUE"""),"LSU")</f>
        <v>LSU</v>
      </c>
      <c r="F385" s="4">
        <f>IFERROR(__xludf.DUMMYFUNCTION("""COMPUTED_VALUE"""),4.0)</f>
        <v>4</v>
      </c>
      <c r="G385" s="4">
        <f>IFERROR(__xludf.DUMMYFUNCTION("""COMPUTED_VALUE"""),105.0)</f>
        <v>105</v>
      </c>
      <c r="H385" s="4">
        <f>IFERROR(__xludf.DUMMYFUNCTION("""COMPUTED_VALUE"""),1111.0)</f>
        <v>1111</v>
      </c>
      <c r="I385" s="4">
        <f>IFERROR(__xludf.DUMMYFUNCTION("""COMPUTED_VALUE"""),451.0)</f>
        <v>451</v>
      </c>
      <c r="J385" s="4">
        <f>IFERROR(__xludf.DUMMYFUNCTION("""COMPUTED_VALUE"""),122.0)</f>
        <v>122</v>
      </c>
      <c r="K385" s="4">
        <f>IFERROR(__xludf.DUMMYFUNCTION("""COMPUTED_VALUE"""),182.0)</f>
        <v>182</v>
      </c>
      <c r="L385" s="4">
        <f>IFERROR(__xludf.DUMMYFUNCTION("""COMPUTED_VALUE"""),0.445)</f>
        <v>0.445</v>
      </c>
      <c r="M385" s="4">
        <f>IFERROR(__xludf.DUMMYFUNCTION("""COMPUTED_VALUE"""),0.345)</f>
        <v>0.345</v>
      </c>
      <c r="N385" s="4">
        <f>IFERROR(__xludf.DUMMYFUNCTION("""COMPUTED_VALUE"""),0.859)</f>
        <v>0.859</v>
      </c>
      <c r="O385" s="4">
        <f>IFERROR(__xludf.DUMMYFUNCTION("""COMPUTED_VALUE"""),10.6)</f>
        <v>10.6</v>
      </c>
      <c r="P385" s="4">
        <f>IFERROR(__xludf.DUMMYFUNCTION("""COMPUTED_VALUE"""),4.3)</f>
        <v>4.3</v>
      </c>
      <c r="Q385" s="4">
        <f>IFERROR(__xludf.DUMMYFUNCTION("""COMPUTED_VALUE"""),1.2)</f>
        <v>1.2</v>
      </c>
      <c r="R385" s="4">
        <f>IFERROR(__xludf.DUMMYFUNCTION("""COMPUTED_VALUE"""),1.7)</f>
        <v>1.7</v>
      </c>
      <c r="S385" s="4">
        <f>IFERROR(__xludf.DUMMYFUNCTION("""COMPUTED_VALUE"""),2.1)</f>
        <v>2.1</v>
      </c>
      <c r="T385" s="4">
        <f>IFERROR(__xludf.DUMMYFUNCTION("""COMPUTED_VALUE"""),0.092)</f>
        <v>0.092</v>
      </c>
      <c r="U385" s="4">
        <f>IFERROR(__xludf.DUMMYFUNCTION("""COMPUTED_VALUE"""),-0.7)</f>
        <v>-0.7</v>
      </c>
      <c r="V385" s="4">
        <f>IFERROR(__xludf.DUMMYFUNCTION("""COMPUTED_VALUE"""),0.4)</f>
        <v>0.4</v>
      </c>
    </row>
    <row r="386">
      <c r="A386" s="4">
        <f>IFERROR(__xludf.DUMMYFUNCTION("""COMPUTED_VALUE"""),51.0)</f>
        <v>51</v>
      </c>
      <c r="B386" s="4">
        <f>IFERROR(__xludf.DUMMYFUNCTION("""COMPUTED_VALUE"""),51.0)</f>
        <v>51</v>
      </c>
      <c r="C386" s="4" t="str">
        <f>IFERROR(__xludf.DUMMYFUNCTION("""COMPUTED_VALUE"""),"GSW")</f>
        <v>GSW</v>
      </c>
      <c r="D386" s="4" t="str">
        <f>IFERROR(__xludf.DUMMYFUNCTION("""COMPUTED_VALUE"""),"Justinian Jessup")</f>
        <v>Justinian Jessup</v>
      </c>
      <c r="E386" s="4" t="str">
        <f>IFERROR(__xludf.DUMMYFUNCTION("""COMPUTED_VALUE"""),"Boise State")</f>
        <v>Boise State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>
        <f>IFERROR(__xludf.DUMMYFUNCTION("""COMPUTED_VALUE"""),52.0)</f>
        <v>52</v>
      </c>
      <c r="B387" s="4">
        <f>IFERROR(__xludf.DUMMYFUNCTION("""COMPUTED_VALUE"""),52.0)</f>
        <v>52</v>
      </c>
      <c r="C387" s="4" t="str">
        <f>IFERROR(__xludf.DUMMYFUNCTION("""COMPUTED_VALUE"""),"SAC")</f>
        <v>SAC</v>
      </c>
      <c r="D387" s="4" t="str">
        <f>IFERROR(__xludf.DUMMYFUNCTION("""COMPUTED_VALUE"""),"KJ Martin")</f>
        <v>KJ Martin</v>
      </c>
      <c r="E387" s="4"/>
      <c r="F387" s="4">
        <f>IFERROR(__xludf.DUMMYFUNCTION("""COMPUTED_VALUE"""),5.0)</f>
        <v>5</v>
      </c>
      <c r="G387" s="4">
        <f>IFERROR(__xludf.DUMMYFUNCTION("""COMPUTED_VALUE"""),309.0)</f>
        <v>309</v>
      </c>
      <c r="H387" s="4">
        <f>IFERROR(__xludf.DUMMYFUNCTION("""COMPUTED_VALUE"""),6674.0)</f>
        <v>6674</v>
      </c>
      <c r="I387" s="4">
        <f>IFERROR(__xludf.DUMMYFUNCTION("""COMPUTED_VALUE"""),2652.0)</f>
        <v>2652</v>
      </c>
      <c r="J387" s="4">
        <f>IFERROR(__xludf.DUMMYFUNCTION("""COMPUTED_VALUE"""),1247.0)</f>
        <v>1247</v>
      </c>
      <c r="K387" s="4">
        <f>IFERROR(__xludf.DUMMYFUNCTION("""COMPUTED_VALUE"""),371.0)</f>
        <v>371</v>
      </c>
      <c r="L387" s="4">
        <f>IFERROR(__xludf.DUMMYFUNCTION("""COMPUTED_VALUE"""),0.545)</f>
        <v>0.545</v>
      </c>
      <c r="M387" s="4">
        <f>IFERROR(__xludf.DUMMYFUNCTION("""COMPUTED_VALUE"""),0.329)</f>
        <v>0.329</v>
      </c>
      <c r="N387" s="4">
        <f>IFERROR(__xludf.DUMMYFUNCTION("""COMPUTED_VALUE"""),0.673)</f>
        <v>0.673</v>
      </c>
      <c r="O387" s="4">
        <f>IFERROR(__xludf.DUMMYFUNCTION("""COMPUTED_VALUE"""),21.6)</f>
        <v>21.6</v>
      </c>
      <c r="P387" s="4">
        <f>IFERROR(__xludf.DUMMYFUNCTION("""COMPUTED_VALUE"""),8.6)</f>
        <v>8.6</v>
      </c>
      <c r="Q387" s="4">
        <f>IFERROR(__xludf.DUMMYFUNCTION("""COMPUTED_VALUE"""),4.0)</f>
        <v>4</v>
      </c>
      <c r="R387" s="4">
        <f>IFERROR(__xludf.DUMMYFUNCTION("""COMPUTED_VALUE"""),1.2)</f>
        <v>1.2</v>
      </c>
      <c r="S387" s="4">
        <f>IFERROR(__xludf.DUMMYFUNCTION("""COMPUTED_VALUE"""),12.4)</f>
        <v>12.4</v>
      </c>
      <c r="T387" s="4">
        <f>IFERROR(__xludf.DUMMYFUNCTION("""COMPUTED_VALUE"""),0.089)</f>
        <v>0.089</v>
      </c>
      <c r="U387" s="4">
        <f>IFERROR(__xludf.DUMMYFUNCTION("""COMPUTED_VALUE"""),-1.8)</f>
        <v>-1.8</v>
      </c>
      <c r="V387" s="4">
        <f>IFERROR(__xludf.DUMMYFUNCTION("""COMPUTED_VALUE"""),0.4)</f>
        <v>0.4</v>
      </c>
    </row>
    <row r="388">
      <c r="A388" s="4">
        <f>IFERROR(__xludf.DUMMYFUNCTION("""COMPUTED_VALUE"""),53.0)</f>
        <v>53</v>
      </c>
      <c r="B388" s="4">
        <f>IFERROR(__xludf.DUMMYFUNCTION("""COMPUTED_VALUE"""),53.0)</f>
        <v>53</v>
      </c>
      <c r="C388" s="4" t="str">
        <f>IFERROR(__xludf.DUMMYFUNCTION("""COMPUTED_VALUE"""),"OKC")</f>
        <v>OKC</v>
      </c>
      <c r="D388" s="4" t="str">
        <f>IFERROR(__xludf.DUMMYFUNCTION("""COMPUTED_VALUE"""),"Cassius Winston")</f>
        <v>Cassius Winston</v>
      </c>
      <c r="E388" s="4" t="str">
        <f>IFERROR(__xludf.DUMMYFUNCTION("""COMPUTED_VALUE"""),"Michigan State")</f>
        <v>Michigan State</v>
      </c>
      <c r="F388" s="4">
        <f>IFERROR(__xludf.DUMMYFUNCTION("""COMPUTED_VALUE"""),2.0)</f>
        <v>2</v>
      </c>
      <c r="G388" s="4">
        <f>IFERROR(__xludf.DUMMYFUNCTION("""COMPUTED_VALUE"""),29.0)</f>
        <v>29</v>
      </c>
      <c r="H388" s="4">
        <f>IFERROR(__xludf.DUMMYFUNCTION("""COMPUTED_VALUE"""),137.0)</f>
        <v>137</v>
      </c>
      <c r="I388" s="4">
        <f>IFERROR(__xludf.DUMMYFUNCTION("""COMPUTED_VALUE"""),55.0)</f>
        <v>55</v>
      </c>
      <c r="J388" s="4">
        <f>IFERROR(__xludf.DUMMYFUNCTION("""COMPUTED_VALUE"""),10.0)</f>
        <v>10</v>
      </c>
      <c r="K388" s="4">
        <f>IFERROR(__xludf.DUMMYFUNCTION("""COMPUTED_VALUE"""),19.0)</f>
        <v>19</v>
      </c>
      <c r="L388" s="4">
        <f>IFERROR(__xludf.DUMMYFUNCTION("""COMPUTED_VALUE"""),0.409)</f>
        <v>0.409</v>
      </c>
      <c r="M388" s="4">
        <f>IFERROR(__xludf.DUMMYFUNCTION("""COMPUTED_VALUE"""),0.435)</f>
        <v>0.435</v>
      </c>
      <c r="N388" s="4">
        <f>IFERROR(__xludf.DUMMYFUNCTION("""COMPUTED_VALUE"""),0.9)</f>
        <v>0.9</v>
      </c>
      <c r="O388" s="4">
        <f>IFERROR(__xludf.DUMMYFUNCTION("""COMPUTED_VALUE"""),4.7)</f>
        <v>4.7</v>
      </c>
      <c r="P388" s="4">
        <f>IFERROR(__xludf.DUMMYFUNCTION("""COMPUTED_VALUE"""),1.9)</f>
        <v>1.9</v>
      </c>
      <c r="Q388" s="4">
        <f>IFERROR(__xludf.DUMMYFUNCTION("""COMPUTED_VALUE"""),0.3)</f>
        <v>0.3</v>
      </c>
      <c r="R388" s="4">
        <f>IFERROR(__xludf.DUMMYFUNCTION("""COMPUTED_VALUE"""),0.7)</f>
        <v>0.7</v>
      </c>
      <c r="S388" s="4">
        <f>IFERROR(__xludf.DUMMYFUNCTION("""COMPUTED_VALUE"""),0.1)</f>
        <v>0.1</v>
      </c>
      <c r="T388" s="4">
        <f>IFERROR(__xludf.DUMMYFUNCTION("""COMPUTED_VALUE"""),0.051)</f>
        <v>0.051</v>
      </c>
      <c r="U388" s="4">
        <f>IFERROR(__xludf.DUMMYFUNCTION("""COMPUTED_VALUE"""),-4.9)</f>
        <v>-4.9</v>
      </c>
      <c r="V388" s="4">
        <f>IFERROR(__xludf.DUMMYFUNCTION("""COMPUTED_VALUE"""),-0.1)</f>
        <v>-0.1</v>
      </c>
    </row>
    <row r="389">
      <c r="A389" s="4">
        <f>IFERROR(__xludf.DUMMYFUNCTION("""COMPUTED_VALUE"""),54.0)</f>
        <v>54</v>
      </c>
      <c r="B389" s="4">
        <f>IFERROR(__xludf.DUMMYFUNCTION("""COMPUTED_VALUE"""),54.0)</f>
        <v>54</v>
      </c>
      <c r="C389" s="4" t="str">
        <f>IFERROR(__xludf.DUMMYFUNCTION("""COMPUTED_VALUE"""),"IND")</f>
        <v>IND</v>
      </c>
      <c r="D389" s="4" t="str">
        <f>IFERROR(__xludf.DUMMYFUNCTION("""COMPUTED_VALUE"""),"Cassius Stanley")</f>
        <v>Cassius Stanley</v>
      </c>
      <c r="E389" s="4" t="str">
        <f>IFERROR(__xludf.DUMMYFUNCTION("""COMPUTED_VALUE"""),"Duke")</f>
        <v>Duke</v>
      </c>
      <c r="F389" s="4">
        <f>IFERROR(__xludf.DUMMYFUNCTION("""COMPUTED_VALUE"""),2.0)</f>
        <v>2</v>
      </c>
      <c r="G389" s="4">
        <f>IFERROR(__xludf.DUMMYFUNCTION("""COMPUTED_VALUE"""),33.0)</f>
        <v>33</v>
      </c>
      <c r="H389" s="4">
        <f>IFERROR(__xludf.DUMMYFUNCTION("""COMPUTED_VALUE"""),248.0)</f>
        <v>248</v>
      </c>
      <c r="I389" s="4">
        <f>IFERROR(__xludf.DUMMYFUNCTION("""COMPUTED_VALUE"""),88.0)</f>
        <v>88</v>
      </c>
      <c r="J389" s="4">
        <f>IFERROR(__xludf.DUMMYFUNCTION("""COMPUTED_VALUE"""),39.0)</f>
        <v>39</v>
      </c>
      <c r="K389" s="4">
        <f>IFERROR(__xludf.DUMMYFUNCTION("""COMPUTED_VALUE"""),5.0)</f>
        <v>5</v>
      </c>
      <c r="L389" s="4">
        <f>IFERROR(__xludf.DUMMYFUNCTION("""COMPUTED_VALUE"""),0.36)</f>
        <v>0.36</v>
      </c>
      <c r="M389" s="4">
        <f>IFERROR(__xludf.DUMMYFUNCTION("""COMPUTED_VALUE"""),0.233)</f>
        <v>0.233</v>
      </c>
      <c r="N389" s="4">
        <f>IFERROR(__xludf.DUMMYFUNCTION("""COMPUTED_VALUE"""),0.895)</f>
        <v>0.895</v>
      </c>
      <c r="O389" s="4">
        <f>IFERROR(__xludf.DUMMYFUNCTION("""COMPUTED_VALUE"""),7.5)</f>
        <v>7.5</v>
      </c>
      <c r="P389" s="4">
        <f>IFERROR(__xludf.DUMMYFUNCTION("""COMPUTED_VALUE"""),2.7)</f>
        <v>2.7</v>
      </c>
      <c r="Q389" s="4">
        <f>IFERROR(__xludf.DUMMYFUNCTION("""COMPUTED_VALUE"""),1.2)</f>
        <v>1.2</v>
      </c>
      <c r="R389" s="4">
        <f>IFERROR(__xludf.DUMMYFUNCTION("""COMPUTED_VALUE"""),0.2)</f>
        <v>0.2</v>
      </c>
      <c r="S389" s="4">
        <f>IFERROR(__xludf.DUMMYFUNCTION("""COMPUTED_VALUE"""),0.0)</f>
        <v>0</v>
      </c>
      <c r="T389" s="4">
        <f>IFERROR(__xludf.DUMMYFUNCTION("""COMPUTED_VALUE"""),-0.006)</f>
        <v>-0.006</v>
      </c>
      <c r="U389" s="4">
        <f>IFERROR(__xludf.DUMMYFUNCTION("""COMPUTED_VALUE"""),-7.9)</f>
        <v>-7.9</v>
      </c>
      <c r="V389" s="4">
        <f>IFERROR(__xludf.DUMMYFUNCTION("""COMPUTED_VALUE"""),-0.4)</f>
        <v>-0.4</v>
      </c>
    </row>
    <row r="390">
      <c r="A390" s="4">
        <f>IFERROR(__xludf.DUMMYFUNCTION("""COMPUTED_VALUE"""),55.0)</f>
        <v>55</v>
      </c>
      <c r="B390" s="4">
        <f>IFERROR(__xludf.DUMMYFUNCTION("""COMPUTED_VALUE"""),55.0)</f>
        <v>55</v>
      </c>
      <c r="C390" s="4" t="str">
        <f>IFERROR(__xludf.DUMMYFUNCTION("""COMPUTED_VALUE"""),"BRK")</f>
        <v>BRK</v>
      </c>
      <c r="D390" s="4" t="str">
        <f>IFERROR(__xludf.DUMMYFUNCTION("""COMPUTED_VALUE"""),"Jay Scrubb")</f>
        <v>Jay Scrubb</v>
      </c>
      <c r="E390" s="4" t="str">
        <f>IFERROR(__xludf.DUMMYFUNCTION("""COMPUTED_VALUE"""),"John A. Logan College")</f>
        <v>John A. Logan College</v>
      </c>
      <c r="F390" s="4">
        <f>IFERROR(__xludf.DUMMYFUNCTION("""COMPUTED_VALUE"""),3.0)</f>
        <v>3</v>
      </c>
      <c r="G390" s="4">
        <f>IFERROR(__xludf.DUMMYFUNCTION("""COMPUTED_VALUE"""),24.0)</f>
        <v>24</v>
      </c>
      <c r="H390" s="4">
        <f>IFERROR(__xludf.DUMMYFUNCTION("""COMPUTED_VALUE"""),235.0)</f>
        <v>235</v>
      </c>
      <c r="I390" s="4">
        <f>IFERROR(__xludf.DUMMYFUNCTION("""COMPUTED_VALUE"""),97.0)</f>
        <v>97</v>
      </c>
      <c r="J390" s="4">
        <f>IFERROR(__xludf.DUMMYFUNCTION("""COMPUTED_VALUE"""),36.0)</f>
        <v>36</v>
      </c>
      <c r="K390" s="4">
        <f>IFERROR(__xludf.DUMMYFUNCTION("""COMPUTED_VALUE"""),10.0)</f>
        <v>10</v>
      </c>
      <c r="L390" s="4">
        <f>IFERROR(__xludf.DUMMYFUNCTION("""COMPUTED_VALUE"""),0.416)</f>
        <v>0.416</v>
      </c>
      <c r="M390" s="4">
        <f>IFERROR(__xludf.DUMMYFUNCTION("""COMPUTED_VALUE"""),0.313)</f>
        <v>0.313</v>
      </c>
      <c r="N390" s="4">
        <f>IFERROR(__xludf.DUMMYFUNCTION("""COMPUTED_VALUE"""),0.765)</f>
        <v>0.765</v>
      </c>
      <c r="O390" s="4">
        <f>IFERROR(__xludf.DUMMYFUNCTION("""COMPUTED_VALUE"""),9.8)</f>
        <v>9.8</v>
      </c>
      <c r="P390" s="4">
        <f>IFERROR(__xludf.DUMMYFUNCTION("""COMPUTED_VALUE"""),4.0)</f>
        <v>4</v>
      </c>
      <c r="Q390" s="4">
        <f>IFERROR(__xludf.DUMMYFUNCTION("""COMPUTED_VALUE"""),1.5)</f>
        <v>1.5</v>
      </c>
      <c r="R390" s="4">
        <f>IFERROR(__xludf.DUMMYFUNCTION("""COMPUTED_VALUE"""),0.4)</f>
        <v>0.4</v>
      </c>
      <c r="S390" s="4">
        <f>IFERROR(__xludf.DUMMYFUNCTION("""COMPUTED_VALUE"""),-0.1)</f>
        <v>-0.1</v>
      </c>
      <c r="T390" s="4">
        <f>IFERROR(__xludf.DUMMYFUNCTION("""COMPUTED_VALUE"""),-0.014)</f>
        <v>-0.014</v>
      </c>
      <c r="U390" s="4">
        <f>IFERROR(__xludf.DUMMYFUNCTION("""COMPUTED_VALUE"""),-6.6)</f>
        <v>-6.6</v>
      </c>
      <c r="V390" s="4">
        <f>IFERROR(__xludf.DUMMYFUNCTION("""COMPUTED_VALUE"""),-0.3)</f>
        <v>-0.3</v>
      </c>
    </row>
    <row r="391">
      <c r="A391" s="4">
        <f>IFERROR(__xludf.DUMMYFUNCTION("""COMPUTED_VALUE"""),56.0)</f>
        <v>56</v>
      </c>
      <c r="B391" s="4">
        <f>IFERROR(__xludf.DUMMYFUNCTION("""COMPUTED_VALUE"""),56.0)</f>
        <v>56</v>
      </c>
      <c r="C391" s="4" t="str">
        <f>IFERROR(__xludf.DUMMYFUNCTION("""COMPUTED_VALUE"""),"CHO")</f>
        <v>CHO</v>
      </c>
      <c r="D391" s="4" t="str">
        <f>IFERROR(__xludf.DUMMYFUNCTION("""COMPUTED_VALUE"""),"Grant Riller")</f>
        <v>Grant Riller</v>
      </c>
      <c r="E391" s="4" t="str">
        <f>IFERROR(__xludf.DUMMYFUNCTION("""COMPUTED_VALUE"""),"College of Charleston")</f>
        <v>College of Charleston</v>
      </c>
      <c r="F391" s="4">
        <f>IFERROR(__xludf.DUMMYFUNCTION("""COMPUTED_VALUE"""),1.0)</f>
        <v>1</v>
      </c>
      <c r="G391" s="4">
        <f>IFERROR(__xludf.DUMMYFUNCTION("""COMPUTED_VALUE"""),7.0)</f>
        <v>7</v>
      </c>
      <c r="H391" s="4">
        <f>IFERROR(__xludf.DUMMYFUNCTION("""COMPUTED_VALUE"""),27.0)</f>
        <v>27</v>
      </c>
      <c r="I391" s="4">
        <f>IFERROR(__xludf.DUMMYFUNCTION("""COMPUTED_VALUE"""),18.0)</f>
        <v>18</v>
      </c>
      <c r="J391" s="4">
        <f>IFERROR(__xludf.DUMMYFUNCTION("""COMPUTED_VALUE"""),1.0)</f>
        <v>1</v>
      </c>
      <c r="K391" s="4">
        <f>IFERROR(__xludf.DUMMYFUNCTION("""COMPUTED_VALUE"""),3.0)</f>
        <v>3</v>
      </c>
      <c r="L391" s="4">
        <f>IFERROR(__xludf.DUMMYFUNCTION("""COMPUTED_VALUE"""),0.667)</f>
        <v>0.667</v>
      </c>
      <c r="M391" s="4">
        <f>IFERROR(__xludf.DUMMYFUNCTION("""COMPUTED_VALUE"""),0.5)</f>
        <v>0.5</v>
      </c>
      <c r="N391" s="4"/>
      <c r="O391" s="4">
        <f>IFERROR(__xludf.DUMMYFUNCTION("""COMPUTED_VALUE"""),3.9)</f>
        <v>3.9</v>
      </c>
      <c r="P391" s="4">
        <f>IFERROR(__xludf.DUMMYFUNCTION("""COMPUTED_VALUE"""),2.6)</f>
        <v>2.6</v>
      </c>
      <c r="Q391" s="4">
        <f>IFERROR(__xludf.DUMMYFUNCTION("""COMPUTED_VALUE"""),0.1)</f>
        <v>0.1</v>
      </c>
      <c r="R391" s="4">
        <f>IFERROR(__xludf.DUMMYFUNCTION("""COMPUTED_VALUE"""),0.4)</f>
        <v>0.4</v>
      </c>
      <c r="S391" s="4">
        <f>IFERROR(__xludf.DUMMYFUNCTION("""COMPUTED_VALUE"""),0.1)</f>
        <v>0.1</v>
      </c>
      <c r="T391" s="4">
        <f>IFERROR(__xludf.DUMMYFUNCTION("""COMPUTED_VALUE"""),0.177)</f>
        <v>0.177</v>
      </c>
      <c r="U391" s="4">
        <f>IFERROR(__xludf.DUMMYFUNCTION("""COMPUTED_VALUE"""),5.1)</f>
        <v>5.1</v>
      </c>
      <c r="V391" s="4">
        <f>IFERROR(__xludf.DUMMYFUNCTION("""COMPUTED_VALUE"""),0.0)</f>
        <v>0</v>
      </c>
    </row>
    <row r="392">
      <c r="A392" s="4">
        <f>IFERROR(__xludf.DUMMYFUNCTION("""COMPUTED_VALUE"""),57.0)</f>
        <v>57</v>
      </c>
      <c r="B392" s="4">
        <f>IFERROR(__xludf.DUMMYFUNCTION("""COMPUTED_VALUE"""),57.0)</f>
        <v>57</v>
      </c>
      <c r="C392" s="4" t="str">
        <f>IFERROR(__xludf.DUMMYFUNCTION("""COMPUTED_VALUE"""),"LAC")</f>
        <v>LAC</v>
      </c>
      <c r="D392" s="4" t="str">
        <f>IFERROR(__xludf.DUMMYFUNCTION("""COMPUTED_VALUE"""),"Reggie Perry")</f>
        <v>Reggie Perry</v>
      </c>
      <c r="E392" s="4" t="str">
        <f>IFERROR(__xludf.DUMMYFUNCTION("""COMPUTED_VALUE"""),"Mississippi State")</f>
        <v>Mississippi State</v>
      </c>
      <c r="F392" s="4">
        <f>IFERROR(__xludf.DUMMYFUNCTION("""COMPUTED_VALUE"""),2.0)</f>
        <v>2</v>
      </c>
      <c r="G392" s="4">
        <f>IFERROR(__xludf.DUMMYFUNCTION("""COMPUTED_VALUE"""),36.0)</f>
        <v>36</v>
      </c>
      <c r="H392" s="4">
        <f>IFERROR(__xludf.DUMMYFUNCTION("""COMPUTED_VALUE"""),398.0)</f>
        <v>398</v>
      </c>
      <c r="I392" s="4">
        <f>IFERROR(__xludf.DUMMYFUNCTION("""COMPUTED_VALUE"""),170.0)</f>
        <v>170</v>
      </c>
      <c r="J392" s="4">
        <f>IFERROR(__xludf.DUMMYFUNCTION("""COMPUTED_VALUE"""),120.0)</f>
        <v>120</v>
      </c>
      <c r="K392" s="4">
        <f>IFERROR(__xludf.DUMMYFUNCTION("""COMPUTED_VALUE"""),26.0)</f>
        <v>26</v>
      </c>
      <c r="L392" s="4">
        <f>IFERROR(__xludf.DUMMYFUNCTION("""COMPUTED_VALUE"""),0.459)</f>
        <v>0.459</v>
      </c>
      <c r="M392" s="4">
        <f>IFERROR(__xludf.DUMMYFUNCTION("""COMPUTED_VALUE"""),0.189)</f>
        <v>0.189</v>
      </c>
      <c r="N392" s="4">
        <f>IFERROR(__xludf.DUMMYFUNCTION("""COMPUTED_VALUE"""),0.679)</f>
        <v>0.679</v>
      </c>
      <c r="O392" s="4">
        <f>IFERROR(__xludf.DUMMYFUNCTION("""COMPUTED_VALUE"""),11.1)</f>
        <v>11.1</v>
      </c>
      <c r="P392" s="4">
        <f>IFERROR(__xludf.DUMMYFUNCTION("""COMPUTED_VALUE"""),4.7)</f>
        <v>4.7</v>
      </c>
      <c r="Q392" s="4">
        <f>IFERROR(__xludf.DUMMYFUNCTION("""COMPUTED_VALUE"""),3.3)</f>
        <v>3.3</v>
      </c>
      <c r="R392" s="4">
        <f>IFERROR(__xludf.DUMMYFUNCTION("""COMPUTED_VALUE"""),0.7)</f>
        <v>0.7</v>
      </c>
      <c r="S392" s="4">
        <f>IFERROR(__xludf.DUMMYFUNCTION("""COMPUTED_VALUE"""),0.4)</f>
        <v>0.4</v>
      </c>
      <c r="T392" s="4">
        <f>IFERROR(__xludf.DUMMYFUNCTION("""COMPUTED_VALUE"""),0.048)</f>
        <v>0.048</v>
      </c>
      <c r="U392" s="4">
        <f>IFERROR(__xludf.DUMMYFUNCTION("""COMPUTED_VALUE"""),-5.5)</f>
        <v>-5.5</v>
      </c>
      <c r="V392" s="4">
        <f>IFERROR(__xludf.DUMMYFUNCTION("""COMPUTED_VALUE"""),-0.3)</f>
        <v>-0.3</v>
      </c>
    </row>
    <row r="393">
      <c r="A393" s="4">
        <f>IFERROR(__xludf.DUMMYFUNCTION("""COMPUTED_VALUE"""),58.0)</f>
        <v>58</v>
      </c>
      <c r="B393" s="4">
        <f>IFERROR(__xludf.DUMMYFUNCTION("""COMPUTED_VALUE"""),58.0)</f>
        <v>58</v>
      </c>
      <c r="C393" s="4" t="str">
        <f>IFERROR(__xludf.DUMMYFUNCTION("""COMPUTED_VALUE"""),"PHI")</f>
        <v>PHI</v>
      </c>
      <c r="D393" s="4" t="str">
        <f>IFERROR(__xludf.DUMMYFUNCTION("""COMPUTED_VALUE"""),"Paul Reed")</f>
        <v>Paul Reed</v>
      </c>
      <c r="E393" s="4" t="str">
        <f>IFERROR(__xludf.DUMMYFUNCTION("""COMPUTED_VALUE"""),"DePaul")</f>
        <v>DePaul</v>
      </c>
      <c r="F393" s="4">
        <f>IFERROR(__xludf.DUMMYFUNCTION("""COMPUTED_VALUE"""),6.0)</f>
        <v>6</v>
      </c>
      <c r="G393" s="4">
        <f>IFERROR(__xludf.DUMMYFUNCTION("""COMPUTED_VALUE"""),276.0)</f>
        <v>276</v>
      </c>
      <c r="H393" s="4">
        <f>IFERROR(__xludf.DUMMYFUNCTION("""COMPUTED_VALUE"""),3455.0)</f>
        <v>3455</v>
      </c>
      <c r="I393" s="4">
        <f>IFERROR(__xludf.DUMMYFUNCTION("""COMPUTED_VALUE"""),1380.0)</f>
        <v>1380</v>
      </c>
      <c r="J393" s="4">
        <f>IFERROR(__xludf.DUMMYFUNCTION("""COMPUTED_VALUE"""),1095.0)</f>
        <v>1095</v>
      </c>
      <c r="K393" s="4">
        <f>IFERROR(__xludf.DUMMYFUNCTION("""COMPUTED_VALUE"""),226.0)</f>
        <v>226</v>
      </c>
      <c r="L393" s="4">
        <f>IFERROR(__xludf.DUMMYFUNCTION("""COMPUTED_VALUE"""),0.556)</f>
        <v>0.556</v>
      </c>
      <c r="M393" s="4">
        <f>IFERROR(__xludf.DUMMYFUNCTION("""COMPUTED_VALUE"""),0.322)</f>
        <v>0.322</v>
      </c>
      <c r="N393" s="4">
        <f>IFERROR(__xludf.DUMMYFUNCTION("""COMPUTED_VALUE"""),0.702)</f>
        <v>0.702</v>
      </c>
      <c r="O393" s="4">
        <f>IFERROR(__xludf.DUMMYFUNCTION("""COMPUTED_VALUE"""),12.5)</f>
        <v>12.5</v>
      </c>
      <c r="P393" s="4">
        <f>IFERROR(__xludf.DUMMYFUNCTION("""COMPUTED_VALUE"""),5.0)</f>
        <v>5</v>
      </c>
      <c r="Q393" s="4">
        <f>IFERROR(__xludf.DUMMYFUNCTION("""COMPUTED_VALUE"""),4.0)</f>
        <v>4</v>
      </c>
      <c r="R393" s="4">
        <f>IFERROR(__xludf.DUMMYFUNCTION("""COMPUTED_VALUE"""),0.8)</f>
        <v>0.8</v>
      </c>
      <c r="S393" s="4">
        <f>IFERROR(__xludf.DUMMYFUNCTION("""COMPUTED_VALUE"""),12.4)</f>
        <v>12.4</v>
      </c>
      <c r="T393" s="4">
        <f>IFERROR(__xludf.DUMMYFUNCTION("""COMPUTED_VALUE"""),0.173)</f>
        <v>0.173</v>
      </c>
      <c r="U393" s="4">
        <f>IFERROR(__xludf.DUMMYFUNCTION("""COMPUTED_VALUE"""),1.0)</f>
        <v>1</v>
      </c>
      <c r="V393" s="4">
        <f>IFERROR(__xludf.DUMMYFUNCTION("""COMPUTED_VALUE"""),2.6)</f>
        <v>2.6</v>
      </c>
    </row>
    <row r="394">
      <c r="A394" s="4">
        <f>IFERROR(__xludf.DUMMYFUNCTION("""COMPUTED_VALUE"""),59.0)</f>
        <v>59</v>
      </c>
      <c r="B394" s="4">
        <f>IFERROR(__xludf.DUMMYFUNCTION("""COMPUTED_VALUE"""),59.0)</f>
        <v>59</v>
      </c>
      <c r="C394" s="4" t="str">
        <f>IFERROR(__xludf.DUMMYFUNCTION("""COMPUTED_VALUE"""),"TOR")</f>
        <v>TOR</v>
      </c>
      <c r="D394" s="4" t="str">
        <f>IFERROR(__xludf.DUMMYFUNCTION("""COMPUTED_VALUE"""),"Jalen Harris")</f>
        <v>Jalen Harris</v>
      </c>
      <c r="E394" s="4" t="str">
        <f>IFERROR(__xludf.DUMMYFUNCTION("""COMPUTED_VALUE"""),"Nevada")</f>
        <v>Nevada</v>
      </c>
      <c r="F394" s="4">
        <f>IFERROR(__xludf.DUMMYFUNCTION("""COMPUTED_VALUE"""),1.0)</f>
        <v>1</v>
      </c>
      <c r="G394" s="4">
        <f>IFERROR(__xludf.DUMMYFUNCTION("""COMPUTED_VALUE"""),13.0)</f>
        <v>13</v>
      </c>
      <c r="H394" s="4">
        <f>IFERROR(__xludf.DUMMYFUNCTION("""COMPUTED_VALUE"""),172.0)</f>
        <v>172</v>
      </c>
      <c r="I394" s="4">
        <f>IFERROR(__xludf.DUMMYFUNCTION("""COMPUTED_VALUE"""),96.0)</f>
        <v>96</v>
      </c>
      <c r="J394" s="4">
        <f>IFERROR(__xludf.DUMMYFUNCTION("""COMPUTED_VALUE"""),18.0)</f>
        <v>18</v>
      </c>
      <c r="K394" s="4">
        <f>IFERROR(__xludf.DUMMYFUNCTION("""COMPUTED_VALUE"""),17.0)</f>
        <v>17</v>
      </c>
      <c r="L394" s="4">
        <f>IFERROR(__xludf.DUMMYFUNCTION("""COMPUTED_VALUE"""),0.5)</f>
        <v>0.5</v>
      </c>
      <c r="M394" s="4">
        <f>IFERROR(__xludf.DUMMYFUNCTION("""COMPUTED_VALUE"""),0.472)</f>
        <v>0.472</v>
      </c>
      <c r="N394" s="4">
        <f>IFERROR(__xludf.DUMMYFUNCTION("""COMPUTED_VALUE"""),0.778)</f>
        <v>0.778</v>
      </c>
      <c r="O394" s="4">
        <f>IFERROR(__xludf.DUMMYFUNCTION("""COMPUTED_VALUE"""),13.2)</f>
        <v>13.2</v>
      </c>
      <c r="P394" s="4">
        <f>IFERROR(__xludf.DUMMYFUNCTION("""COMPUTED_VALUE"""),7.4)</f>
        <v>7.4</v>
      </c>
      <c r="Q394" s="4">
        <f>IFERROR(__xludf.DUMMYFUNCTION("""COMPUTED_VALUE"""),1.4)</f>
        <v>1.4</v>
      </c>
      <c r="R394" s="4">
        <f>IFERROR(__xludf.DUMMYFUNCTION("""COMPUTED_VALUE"""),1.3)</f>
        <v>1.3</v>
      </c>
      <c r="S394" s="4">
        <f>IFERROR(__xludf.DUMMYFUNCTION("""COMPUTED_VALUE"""),0.3)</f>
        <v>0.3</v>
      </c>
      <c r="T394" s="4">
        <f>IFERROR(__xludf.DUMMYFUNCTION("""COMPUTED_VALUE"""),0.079)</f>
        <v>0.079</v>
      </c>
      <c r="U394" s="4">
        <f>IFERROR(__xludf.DUMMYFUNCTION("""COMPUTED_VALUE"""),0.3)</f>
        <v>0.3</v>
      </c>
      <c r="V394" s="4">
        <f>IFERROR(__xludf.DUMMYFUNCTION("""COMPUTED_VALUE"""),0.1)</f>
        <v>0.1</v>
      </c>
    </row>
    <row r="395">
      <c r="A395" s="4">
        <f>IFERROR(__xludf.DUMMYFUNCTION("""COMPUTED_VALUE"""),60.0)</f>
        <v>60</v>
      </c>
      <c r="B395" s="4">
        <f>IFERROR(__xludf.DUMMYFUNCTION("""COMPUTED_VALUE"""),60.0)</f>
        <v>60</v>
      </c>
      <c r="C395" s="4" t="str">
        <f>IFERROR(__xludf.DUMMYFUNCTION("""COMPUTED_VALUE"""),"NOP")</f>
        <v>NOP</v>
      </c>
      <c r="D395" s="4" t="str">
        <f>IFERROR(__xludf.DUMMYFUNCTION("""COMPUTED_VALUE"""),"Sam Merrill")</f>
        <v>Sam Merrill</v>
      </c>
      <c r="E395" s="4" t="str">
        <f>IFERROR(__xludf.DUMMYFUNCTION("""COMPUTED_VALUE"""),"Utah State University")</f>
        <v>Utah State University</v>
      </c>
      <c r="F395" s="4">
        <f>IFERROR(__xludf.DUMMYFUNCTION("""COMPUTED_VALUE"""),6.0)</f>
        <v>6</v>
      </c>
      <c r="G395" s="4">
        <f>IFERROR(__xludf.DUMMYFUNCTION("""COMPUTED_VALUE"""),185.0)</f>
        <v>185</v>
      </c>
      <c r="H395" s="4">
        <f>IFERROR(__xludf.DUMMYFUNCTION("""COMPUTED_VALUE"""),3131.0)</f>
        <v>3131</v>
      </c>
      <c r="I395" s="4">
        <f>IFERROR(__xludf.DUMMYFUNCTION("""COMPUTED_VALUE"""),1300.0)</f>
        <v>1300</v>
      </c>
      <c r="J395" s="4">
        <f>IFERROR(__xludf.DUMMYFUNCTION("""COMPUTED_VALUE"""),348.0)</f>
        <v>348</v>
      </c>
      <c r="K395" s="4">
        <f>IFERROR(__xludf.DUMMYFUNCTION("""COMPUTED_VALUE"""),273.0)</f>
        <v>273</v>
      </c>
      <c r="L395" s="4">
        <f>IFERROR(__xludf.DUMMYFUNCTION("""COMPUTED_VALUE"""),0.412)</f>
        <v>0.412</v>
      </c>
      <c r="M395" s="4">
        <f>IFERROR(__xludf.DUMMYFUNCTION("""COMPUTED_VALUE"""),0.393)</f>
        <v>0.393</v>
      </c>
      <c r="N395" s="4">
        <f>IFERROR(__xludf.DUMMYFUNCTION("""COMPUTED_VALUE"""),0.928)</f>
        <v>0.928</v>
      </c>
      <c r="O395" s="4">
        <f>IFERROR(__xludf.DUMMYFUNCTION("""COMPUTED_VALUE"""),16.9)</f>
        <v>16.9</v>
      </c>
      <c r="P395" s="4">
        <f>IFERROR(__xludf.DUMMYFUNCTION("""COMPUTED_VALUE"""),7.0)</f>
        <v>7</v>
      </c>
      <c r="Q395" s="4">
        <f>IFERROR(__xludf.DUMMYFUNCTION("""COMPUTED_VALUE"""),1.9)</f>
        <v>1.9</v>
      </c>
      <c r="R395" s="4">
        <f>IFERROR(__xludf.DUMMYFUNCTION("""COMPUTED_VALUE"""),1.5)</f>
        <v>1.5</v>
      </c>
      <c r="S395" s="4">
        <f>IFERROR(__xludf.DUMMYFUNCTION("""COMPUTED_VALUE"""),7.8)</f>
        <v>7.8</v>
      </c>
      <c r="T395" s="4">
        <f>IFERROR(__xludf.DUMMYFUNCTION("""COMPUTED_VALUE"""),0.12)</f>
        <v>0.12</v>
      </c>
      <c r="U395" s="4">
        <f>IFERROR(__xludf.DUMMYFUNCTION("""COMPUTED_VALUE"""),0.3)</f>
        <v>0.3</v>
      </c>
      <c r="V395" s="4">
        <f>IFERROR(__xludf.DUMMYFUNCTION("""COMPUTED_VALUE"""),1.8)</f>
        <v>1.8</v>
      </c>
    </row>
    <row r="397">
      <c r="A397" s="2">
        <v>2019.0</v>
      </c>
    </row>
    <row r="398">
      <c r="A398" s="4" t="str">
        <f>IFERROR(__xludf.DUMMYFUNCTION("IMPORTHTML(""https://www.basketball-reference.com/draft/NBA_2019.html"", ""table"", 1)"),"")</f>
        <v/>
      </c>
      <c r="B398" s="4"/>
      <c r="C398" s="4"/>
      <c r="D398" s="4" t="str">
        <f>IFERROR(__xludf.DUMMYFUNCTION("""COMPUTED_VALUE"""),"Round 1")</f>
        <v>Round 1</v>
      </c>
      <c r="E398" s="4"/>
      <c r="F398" s="4"/>
      <c r="G398" s="4" t="str">
        <f>IFERROR(__xludf.DUMMYFUNCTION("""COMPUTED_VALUE"""),"Totals")</f>
        <v>Totals</v>
      </c>
      <c r="H398" s="4"/>
      <c r="I398" s="4"/>
      <c r="J398" s="4"/>
      <c r="K398" s="4"/>
      <c r="L398" s="4" t="str">
        <f>IFERROR(__xludf.DUMMYFUNCTION("""COMPUTED_VALUE"""),"Shooting")</f>
        <v>Shooting</v>
      </c>
      <c r="M398" s="4"/>
      <c r="N398" s="4"/>
      <c r="O398" s="4" t="str">
        <f>IFERROR(__xludf.DUMMYFUNCTION("""COMPUTED_VALUE"""),"Per Game")</f>
        <v>Per Game</v>
      </c>
      <c r="P398" s="4"/>
      <c r="Q398" s="4"/>
      <c r="R398" s="4"/>
      <c r="S398" s="4" t="str">
        <f>IFERROR(__xludf.DUMMYFUNCTION("""COMPUTED_VALUE"""),"Advanced")</f>
        <v>Advanced</v>
      </c>
      <c r="T398" s="4"/>
      <c r="U398" s="4"/>
      <c r="V398" s="4"/>
    </row>
    <row r="399">
      <c r="A399" s="4" t="str">
        <f>IFERROR(__xludf.DUMMYFUNCTION("""COMPUTED_VALUE"""),"Rk")</f>
        <v>Rk</v>
      </c>
      <c r="B399" s="4" t="str">
        <f>IFERROR(__xludf.DUMMYFUNCTION("""COMPUTED_VALUE"""),"Pk")</f>
        <v>Pk</v>
      </c>
      <c r="C399" s="4" t="str">
        <f>IFERROR(__xludf.DUMMYFUNCTION("""COMPUTED_VALUE"""),"Tm")</f>
        <v>Tm</v>
      </c>
      <c r="D399" s="4" t="str">
        <f>IFERROR(__xludf.DUMMYFUNCTION("""COMPUTED_VALUE"""),"Player")</f>
        <v>Player</v>
      </c>
      <c r="E399" s="4" t="str">
        <f>IFERROR(__xludf.DUMMYFUNCTION("""COMPUTED_VALUE"""),"College")</f>
        <v>College</v>
      </c>
      <c r="F399" s="4" t="str">
        <f>IFERROR(__xludf.DUMMYFUNCTION("""COMPUTED_VALUE"""),"Yrs")</f>
        <v>Yrs</v>
      </c>
      <c r="G399" s="4" t="str">
        <f>IFERROR(__xludf.DUMMYFUNCTION("""COMPUTED_VALUE"""),"G")</f>
        <v>G</v>
      </c>
      <c r="H399" s="4" t="str">
        <f>IFERROR(__xludf.DUMMYFUNCTION("""COMPUTED_VALUE"""),"MP")</f>
        <v>MP</v>
      </c>
      <c r="I399" s="4" t="str">
        <f>IFERROR(__xludf.DUMMYFUNCTION("""COMPUTED_VALUE"""),"PTS")</f>
        <v>PTS</v>
      </c>
      <c r="J399" s="4" t="str">
        <f>IFERROR(__xludf.DUMMYFUNCTION("""COMPUTED_VALUE"""),"TRB")</f>
        <v>TRB</v>
      </c>
      <c r="K399" s="4" t="str">
        <f>IFERROR(__xludf.DUMMYFUNCTION("""COMPUTED_VALUE"""),"AST")</f>
        <v>AST</v>
      </c>
      <c r="L399" s="4" t="str">
        <f>IFERROR(__xludf.DUMMYFUNCTION("""COMPUTED_VALUE"""),"FG%")</f>
        <v>FG%</v>
      </c>
      <c r="M399" s="4" t="str">
        <f>IFERROR(__xludf.DUMMYFUNCTION("""COMPUTED_VALUE"""),"3P%")</f>
        <v>3P%</v>
      </c>
      <c r="N399" s="4" t="str">
        <f>IFERROR(__xludf.DUMMYFUNCTION("""COMPUTED_VALUE"""),"FT%")</f>
        <v>FT%</v>
      </c>
      <c r="O399" s="4" t="str">
        <f>IFERROR(__xludf.DUMMYFUNCTION("""COMPUTED_VALUE"""),"MP")</f>
        <v>MP</v>
      </c>
      <c r="P399" s="4" t="str">
        <f>IFERROR(__xludf.DUMMYFUNCTION("""COMPUTED_VALUE"""),"PTS")</f>
        <v>PTS</v>
      </c>
      <c r="Q399" s="4" t="str">
        <f>IFERROR(__xludf.DUMMYFUNCTION("""COMPUTED_VALUE"""),"TRB")</f>
        <v>TRB</v>
      </c>
      <c r="R399" s="4" t="str">
        <f>IFERROR(__xludf.DUMMYFUNCTION("""COMPUTED_VALUE"""),"AST")</f>
        <v>AST</v>
      </c>
      <c r="S399" s="4" t="str">
        <f>IFERROR(__xludf.DUMMYFUNCTION("""COMPUTED_VALUE"""),"WS")</f>
        <v>WS</v>
      </c>
      <c r="T399" s="4" t="str">
        <f>IFERROR(__xludf.DUMMYFUNCTION("""COMPUTED_VALUE"""),"WS/48")</f>
        <v>WS/48</v>
      </c>
      <c r="U399" s="4" t="str">
        <f>IFERROR(__xludf.DUMMYFUNCTION("""COMPUTED_VALUE"""),"BPM")</f>
        <v>BPM</v>
      </c>
      <c r="V399" s="4" t="str">
        <f>IFERROR(__xludf.DUMMYFUNCTION("""COMPUTED_VALUE"""),"VORP")</f>
        <v>VORP</v>
      </c>
    </row>
    <row r="400">
      <c r="A400" s="4">
        <f>IFERROR(__xludf.DUMMYFUNCTION("""COMPUTED_VALUE"""),1.0)</f>
        <v>1</v>
      </c>
      <c r="B400" s="4">
        <f>IFERROR(__xludf.DUMMYFUNCTION("""COMPUTED_VALUE"""),1.0)</f>
        <v>1</v>
      </c>
      <c r="C400" s="4" t="str">
        <f>IFERROR(__xludf.DUMMYFUNCTION("""COMPUTED_VALUE"""),"NOP")</f>
        <v>NOP</v>
      </c>
      <c r="D400" s="4" t="str">
        <f>IFERROR(__xludf.DUMMYFUNCTION("""COMPUTED_VALUE"""),"Zion Williamson")</f>
        <v>Zion Williamson</v>
      </c>
      <c r="E400" s="4" t="str">
        <f>IFERROR(__xludf.DUMMYFUNCTION("""COMPUTED_VALUE"""),"Duke")</f>
        <v>Duke</v>
      </c>
      <c r="F400" s="4">
        <f>IFERROR(__xludf.DUMMYFUNCTION("""COMPUTED_VALUE"""),6.0)</f>
        <v>6</v>
      </c>
      <c r="G400" s="4">
        <f>IFERROR(__xludf.DUMMYFUNCTION("""COMPUTED_VALUE"""),224.0)</f>
        <v>224</v>
      </c>
      <c r="H400" s="4">
        <f>IFERROR(__xludf.DUMMYFUNCTION("""COMPUTED_VALUE"""),7023.0)</f>
        <v>7023</v>
      </c>
      <c r="I400" s="4">
        <f>IFERROR(__xludf.DUMMYFUNCTION("""COMPUTED_VALUE"""),5500.0)</f>
        <v>5500</v>
      </c>
      <c r="J400" s="4">
        <f>IFERROR(__xludf.DUMMYFUNCTION("""COMPUTED_VALUE"""),1471.0)</f>
        <v>1471</v>
      </c>
      <c r="K400" s="4">
        <f>IFERROR(__xludf.DUMMYFUNCTION("""COMPUTED_VALUE"""),960.0)</f>
        <v>960</v>
      </c>
      <c r="L400" s="4">
        <f>IFERROR(__xludf.DUMMYFUNCTION("""COMPUTED_VALUE"""),0.585)</f>
        <v>0.585</v>
      </c>
      <c r="M400" s="4">
        <f>IFERROR(__xludf.DUMMYFUNCTION("""COMPUTED_VALUE"""),0.317)</f>
        <v>0.317</v>
      </c>
      <c r="N400" s="4">
        <f>IFERROR(__xludf.DUMMYFUNCTION("""COMPUTED_VALUE"""),0.691)</f>
        <v>0.691</v>
      </c>
      <c r="O400" s="4">
        <f>IFERROR(__xludf.DUMMYFUNCTION("""COMPUTED_VALUE"""),31.4)</f>
        <v>31.4</v>
      </c>
      <c r="P400" s="4">
        <f>IFERROR(__xludf.DUMMYFUNCTION("""COMPUTED_VALUE"""),24.6)</f>
        <v>24.6</v>
      </c>
      <c r="Q400" s="4">
        <f>IFERROR(__xludf.DUMMYFUNCTION("""COMPUTED_VALUE"""),6.6)</f>
        <v>6.6</v>
      </c>
      <c r="R400" s="4">
        <f>IFERROR(__xludf.DUMMYFUNCTION("""COMPUTED_VALUE"""),4.3)</f>
        <v>4.3</v>
      </c>
      <c r="S400" s="4">
        <f>IFERROR(__xludf.DUMMYFUNCTION("""COMPUTED_VALUE"""),24.8)</f>
        <v>24.8</v>
      </c>
      <c r="T400" s="4">
        <f>IFERROR(__xludf.DUMMYFUNCTION("""COMPUTED_VALUE"""),0.169)</f>
        <v>0.169</v>
      </c>
      <c r="U400" s="4">
        <f>IFERROR(__xludf.DUMMYFUNCTION("""COMPUTED_VALUE"""),4.8)</f>
        <v>4.8</v>
      </c>
      <c r="V400" s="4">
        <f>IFERROR(__xludf.DUMMYFUNCTION("""COMPUTED_VALUE"""),12.0)</f>
        <v>12</v>
      </c>
    </row>
    <row r="401">
      <c r="A401" s="4">
        <f>IFERROR(__xludf.DUMMYFUNCTION("""COMPUTED_VALUE"""),2.0)</f>
        <v>2</v>
      </c>
      <c r="B401" s="4">
        <f>IFERROR(__xludf.DUMMYFUNCTION("""COMPUTED_VALUE"""),2.0)</f>
        <v>2</v>
      </c>
      <c r="C401" s="4" t="str">
        <f>IFERROR(__xludf.DUMMYFUNCTION("""COMPUTED_VALUE"""),"MEM")</f>
        <v>MEM</v>
      </c>
      <c r="D401" s="4" t="str">
        <f>IFERROR(__xludf.DUMMYFUNCTION("""COMPUTED_VALUE"""),"Ja Morant")</f>
        <v>Ja Morant</v>
      </c>
      <c r="E401" s="4" t="str">
        <f>IFERROR(__xludf.DUMMYFUNCTION("""COMPUTED_VALUE"""),"Murray State")</f>
        <v>Murray State</v>
      </c>
      <c r="F401" s="4">
        <f>IFERROR(__xludf.DUMMYFUNCTION("""COMPUTED_VALUE"""),7.0)</f>
        <v>7</v>
      </c>
      <c r="G401" s="4">
        <f>IFERROR(__xludf.DUMMYFUNCTION("""COMPUTED_VALUE"""),319.0)</f>
        <v>319</v>
      </c>
      <c r="H401" s="4">
        <f>IFERROR(__xludf.DUMMYFUNCTION("""COMPUTED_VALUE"""),10146.0)</f>
        <v>10146</v>
      </c>
      <c r="I401" s="4">
        <f>IFERROR(__xludf.DUMMYFUNCTION("""COMPUTED_VALUE"""),7157.0)</f>
        <v>7157</v>
      </c>
      <c r="J401" s="4">
        <f>IFERROR(__xludf.DUMMYFUNCTION("""COMPUTED_VALUE"""),1490.0)</f>
        <v>1490</v>
      </c>
      <c r="K401" s="4">
        <f>IFERROR(__xludf.DUMMYFUNCTION("""COMPUTED_VALUE"""),2358.0)</f>
        <v>2358</v>
      </c>
      <c r="L401" s="4">
        <f>IFERROR(__xludf.DUMMYFUNCTION("""COMPUTED_VALUE"""),0.465)</f>
        <v>0.465</v>
      </c>
      <c r="M401" s="4">
        <f>IFERROR(__xludf.DUMMYFUNCTION("""COMPUTED_VALUE"""),0.31)</f>
        <v>0.31</v>
      </c>
      <c r="N401" s="4">
        <f>IFERROR(__xludf.DUMMYFUNCTION("""COMPUTED_VALUE"""),0.772)</f>
        <v>0.772</v>
      </c>
      <c r="O401" s="4">
        <f>IFERROR(__xludf.DUMMYFUNCTION("""COMPUTED_VALUE"""),31.8)</f>
        <v>31.8</v>
      </c>
      <c r="P401" s="4">
        <f>IFERROR(__xludf.DUMMYFUNCTION("""COMPUTED_VALUE"""),22.4)</f>
        <v>22.4</v>
      </c>
      <c r="Q401" s="4">
        <f>IFERROR(__xludf.DUMMYFUNCTION("""COMPUTED_VALUE"""),4.7)</f>
        <v>4.7</v>
      </c>
      <c r="R401" s="4">
        <f>IFERROR(__xludf.DUMMYFUNCTION("""COMPUTED_VALUE"""),7.4)</f>
        <v>7.4</v>
      </c>
      <c r="S401" s="4">
        <f>IFERROR(__xludf.DUMMYFUNCTION("""COMPUTED_VALUE"""),23.9)</f>
        <v>23.9</v>
      </c>
      <c r="T401" s="4">
        <f>IFERROR(__xludf.DUMMYFUNCTION("""COMPUTED_VALUE"""),0.113)</f>
        <v>0.113</v>
      </c>
      <c r="U401" s="4">
        <f>IFERROR(__xludf.DUMMYFUNCTION("""COMPUTED_VALUE"""),2.5)</f>
        <v>2.5</v>
      </c>
      <c r="V401" s="4">
        <f>IFERROR(__xludf.DUMMYFUNCTION("""COMPUTED_VALUE"""),11.5)</f>
        <v>11.5</v>
      </c>
    </row>
    <row r="402">
      <c r="A402" s="4">
        <f>IFERROR(__xludf.DUMMYFUNCTION("""COMPUTED_VALUE"""),3.0)</f>
        <v>3</v>
      </c>
      <c r="B402" s="4">
        <f>IFERROR(__xludf.DUMMYFUNCTION("""COMPUTED_VALUE"""),3.0)</f>
        <v>3</v>
      </c>
      <c r="C402" s="4" t="str">
        <f>IFERROR(__xludf.DUMMYFUNCTION("""COMPUTED_VALUE"""),"NYK")</f>
        <v>NYK</v>
      </c>
      <c r="D402" s="4" t="str">
        <f>IFERROR(__xludf.DUMMYFUNCTION("""COMPUTED_VALUE"""),"RJ Barrett")</f>
        <v>RJ Barrett</v>
      </c>
      <c r="E402" s="4" t="str">
        <f>IFERROR(__xludf.DUMMYFUNCTION("""COMPUTED_VALUE"""),"Duke")</f>
        <v>Duke</v>
      </c>
      <c r="F402" s="4">
        <f>IFERROR(__xludf.DUMMYFUNCTION("""COMPUTED_VALUE"""),7.0)</f>
        <v>7</v>
      </c>
      <c r="G402" s="4">
        <f>IFERROR(__xludf.DUMMYFUNCTION("""COMPUTED_VALUE"""),404.0)</f>
        <v>404</v>
      </c>
      <c r="H402" s="4">
        <f>IFERROR(__xludf.DUMMYFUNCTION("""COMPUTED_VALUE"""),13340.0)</f>
        <v>13340</v>
      </c>
      <c r="I402" s="4">
        <f>IFERROR(__xludf.DUMMYFUNCTION("""COMPUTED_VALUE"""),7622.0)</f>
        <v>7622</v>
      </c>
      <c r="J402" s="4">
        <f>IFERROR(__xludf.DUMMYFUNCTION("""COMPUTED_VALUE"""),2232.0)</f>
        <v>2232</v>
      </c>
      <c r="K402" s="4">
        <f>IFERROR(__xludf.DUMMYFUNCTION("""COMPUTED_VALUE"""),1340.0)</f>
        <v>1340</v>
      </c>
      <c r="L402" s="4">
        <f>IFERROR(__xludf.DUMMYFUNCTION("""COMPUTED_VALUE"""),0.443)</f>
        <v>0.443</v>
      </c>
      <c r="M402" s="4">
        <f>IFERROR(__xludf.DUMMYFUNCTION("""COMPUTED_VALUE"""),0.347)</f>
        <v>0.347</v>
      </c>
      <c r="N402" s="4">
        <f>IFERROR(__xludf.DUMMYFUNCTION("""COMPUTED_VALUE"""),0.699)</f>
        <v>0.699</v>
      </c>
      <c r="O402" s="4">
        <f>IFERROR(__xludf.DUMMYFUNCTION("""COMPUTED_VALUE"""),33.0)</f>
        <v>33</v>
      </c>
      <c r="P402" s="4">
        <f>IFERROR(__xludf.DUMMYFUNCTION("""COMPUTED_VALUE"""),18.9)</f>
        <v>18.9</v>
      </c>
      <c r="Q402" s="4">
        <f>IFERROR(__xludf.DUMMYFUNCTION("""COMPUTED_VALUE"""),5.5)</f>
        <v>5.5</v>
      </c>
      <c r="R402" s="4">
        <f>IFERROR(__xludf.DUMMYFUNCTION("""COMPUTED_VALUE"""),3.3)</f>
        <v>3.3</v>
      </c>
      <c r="S402" s="4">
        <f>IFERROR(__xludf.DUMMYFUNCTION("""COMPUTED_VALUE"""),14.8)</f>
        <v>14.8</v>
      </c>
      <c r="T402" s="4">
        <f>IFERROR(__xludf.DUMMYFUNCTION("""COMPUTED_VALUE"""),0.053)</f>
        <v>0.053</v>
      </c>
      <c r="U402" s="4">
        <f>IFERROR(__xludf.DUMMYFUNCTION("""COMPUTED_VALUE"""),-1.6)</f>
        <v>-1.6</v>
      </c>
      <c r="V402" s="4">
        <f>IFERROR(__xludf.DUMMYFUNCTION("""COMPUTED_VALUE"""),1.2)</f>
        <v>1.2</v>
      </c>
    </row>
    <row r="403">
      <c r="A403" s="4">
        <f>IFERROR(__xludf.DUMMYFUNCTION("""COMPUTED_VALUE"""),4.0)</f>
        <v>4</v>
      </c>
      <c r="B403" s="4">
        <f>IFERROR(__xludf.DUMMYFUNCTION("""COMPUTED_VALUE"""),4.0)</f>
        <v>4</v>
      </c>
      <c r="C403" s="4" t="str">
        <f>IFERROR(__xludf.DUMMYFUNCTION("""COMPUTED_VALUE"""),"LAL")</f>
        <v>LAL</v>
      </c>
      <c r="D403" s="4" t="str">
        <f>IFERROR(__xludf.DUMMYFUNCTION("""COMPUTED_VALUE"""),"De'Andre Hunter")</f>
        <v>De'Andre Hunter</v>
      </c>
      <c r="E403" s="4" t="str">
        <f>IFERROR(__xludf.DUMMYFUNCTION("""COMPUTED_VALUE"""),"Virginia")</f>
        <v>Virginia</v>
      </c>
      <c r="F403" s="4">
        <f>IFERROR(__xludf.DUMMYFUNCTION("""COMPUTED_VALUE"""),7.0)</f>
        <v>7</v>
      </c>
      <c r="G403" s="4">
        <f>IFERROR(__xludf.DUMMYFUNCTION("""COMPUTED_VALUE"""),345.0)</f>
        <v>345</v>
      </c>
      <c r="H403" s="4">
        <f>IFERROR(__xludf.DUMMYFUNCTION("""COMPUTED_VALUE"""),10341.0)</f>
        <v>10341</v>
      </c>
      <c r="I403" s="4">
        <f>IFERROR(__xludf.DUMMYFUNCTION("""COMPUTED_VALUE"""),5147.0)</f>
        <v>5147</v>
      </c>
      <c r="J403" s="4">
        <f>IFERROR(__xludf.DUMMYFUNCTION("""COMPUTED_VALUE"""),1418.0)</f>
        <v>1418</v>
      </c>
      <c r="K403" s="4">
        <f>IFERROR(__xludf.DUMMYFUNCTION("""COMPUTED_VALUE"""),545.0)</f>
        <v>545</v>
      </c>
      <c r="L403" s="4">
        <f>IFERROR(__xludf.DUMMYFUNCTION("""COMPUTED_VALUE"""),0.452)</f>
        <v>0.452</v>
      </c>
      <c r="M403" s="4">
        <f>IFERROR(__xludf.DUMMYFUNCTION("""COMPUTED_VALUE"""),0.37)</f>
        <v>0.37</v>
      </c>
      <c r="N403" s="4">
        <f>IFERROR(__xludf.DUMMYFUNCTION("""COMPUTED_VALUE"""),0.82)</f>
        <v>0.82</v>
      </c>
      <c r="O403" s="4">
        <f>IFERROR(__xludf.DUMMYFUNCTION("""COMPUTED_VALUE"""),30.0)</f>
        <v>30</v>
      </c>
      <c r="P403" s="4">
        <f>IFERROR(__xludf.DUMMYFUNCTION("""COMPUTED_VALUE"""),14.9)</f>
        <v>14.9</v>
      </c>
      <c r="Q403" s="4">
        <f>IFERROR(__xludf.DUMMYFUNCTION("""COMPUTED_VALUE"""),4.1)</f>
        <v>4.1</v>
      </c>
      <c r="R403" s="4">
        <f>IFERROR(__xludf.DUMMYFUNCTION("""COMPUTED_VALUE"""),1.6)</f>
        <v>1.6</v>
      </c>
      <c r="S403" s="4">
        <f>IFERROR(__xludf.DUMMYFUNCTION("""COMPUTED_VALUE"""),13.1)</f>
        <v>13.1</v>
      </c>
      <c r="T403" s="4">
        <f>IFERROR(__xludf.DUMMYFUNCTION("""COMPUTED_VALUE"""),0.061)</f>
        <v>0.061</v>
      </c>
      <c r="U403" s="4">
        <f>IFERROR(__xludf.DUMMYFUNCTION("""COMPUTED_VALUE"""),-2.5)</f>
        <v>-2.5</v>
      </c>
      <c r="V403" s="4">
        <f>IFERROR(__xludf.DUMMYFUNCTION("""COMPUTED_VALUE"""),-1.3)</f>
        <v>-1.3</v>
      </c>
    </row>
    <row r="404">
      <c r="A404" s="4">
        <f>IFERROR(__xludf.DUMMYFUNCTION("""COMPUTED_VALUE"""),5.0)</f>
        <v>5</v>
      </c>
      <c r="B404" s="4">
        <f>IFERROR(__xludf.DUMMYFUNCTION("""COMPUTED_VALUE"""),5.0)</f>
        <v>5</v>
      </c>
      <c r="C404" s="4" t="str">
        <f>IFERROR(__xludf.DUMMYFUNCTION("""COMPUTED_VALUE"""),"CLE")</f>
        <v>CLE</v>
      </c>
      <c r="D404" s="4" t="str">
        <f>IFERROR(__xludf.DUMMYFUNCTION("""COMPUTED_VALUE"""),"Darius Garland")</f>
        <v>Darius Garland</v>
      </c>
      <c r="E404" s="4" t="str">
        <f>IFERROR(__xludf.DUMMYFUNCTION("""COMPUTED_VALUE"""),"Vanderbilt")</f>
        <v>Vanderbilt</v>
      </c>
      <c r="F404" s="4">
        <f>IFERROR(__xludf.DUMMYFUNCTION("""COMPUTED_VALUE"""),7.0)</f>
        <v>7</v>
      </c>
      <c r="G404" s="4">
        <f>IFERROR(__xludf.DUMMYFUNCTION("""COMPUTED_VALUE"""),389.0)</f>
        <v>389</v>
      </c>
      <c r="H404" s="4">
        <f>IFERROR(__xludf.DUMMYFUNCTION("""COMPUTED_VALUE"""),12887.0)</f>
        <v>12887</v>
      </c>
      <c r="I404" s="4">
        <f>IFERROR(__xludf.DUMMYFUNCTION("""COMPUTED_VALUE"""),7307.0)</f>
        <v>7307</v>
      </c>
      <c r="J404" s="4">
        <f>IFERROR(__xludf.DUMMYFUNCTION("""COMPUTED_VALUE"""),1035.0)</f>
        <v>1035</v>
      </c>
      <c r="K404" s="4">
        <f>IFERROR(__xludf.DUMMYFUNCTION("""COMPUTED_VALUE"""),2606.0)</f>
        <v>2606</v>
      </c>
      <c r="L404" s="4">
        <f>IFERROR(__xludf.DUMMYFUNCTION("""COMPUTED_VALUE"""),0.452)</f>
        <v>0.452</v>
      </c>
      <c r="M404" s="4">
        <f>IFERROR(__xludf.DUMMYFUNCTION("""COMPUTED_VALUE"""),0.388)</f>
        <v>0.388</v>
      </c>
      <c r="N404" s="4">
        <f>IFERROR(__xludf.DUMMYFUNCTION("""COMPUTED_VALUE"""),0.868)</f>
        <v>0.868</v>
      </c>
      <c r="O404" s="4">
        <f>IFERROR(__xludf.DUMMYFUNCTION("""COMPUTED_VALUE"""),33.1)</f>
        <v>33.1</v>
      </c>
      <c r="P404" s="4">
        <f>IFERROR(__xludf.DUMMYFUNCTION("""COMPUTED_VALUE"""),18.8)</f>
        <v>18.8</v>
      </c>
      <c r="Q404" s="4">
        <f>IFERROR(__xludf.DUMMYFUNCTION("""COMPUTED_VALUE"""),2.7)</f>
        <v>2.7</v>
      </c>
      <c r="R404" s="4">
        <f>IFERROR(__xludf.DUMMYFUNCTION("""COMPUTED_VALUE"""),6.7)</f>
        <v>6.7</v>
      </c>
      <c r="S404" s="4">
        <f>IFERROR(__xludf.DUMMYFUNCTION("""COMPUTED_VALUE"""),24.7)</f>
        <v>24.7</v>
      </c>
      <c r="T404" s="4">
        <f>IFERROR(__xludf.DUMMYFUNCTION("""COMPUTED_VALUE"""),0.092)</f>
        <v>0.092</v>
      </c>
      <c r="U404" s="4">
        <f>IFERROR(__xludf.DUMMYFUNCTION("""COMPUTED_VALUE"""),0.2)</f>
        <v>0.2</v>
      </c>
      <c r="V404" s="4">
        <f>IFERROR(__xludf.DUMMYFUNCTION("""COMPUTED_VALUE"""),7.2)</f>
        <v>7.2</v>
      </c>
    </row>
    <row r="405">
      <c r="A405" s="4">
        <f>IFERROR(__xludf.DUMMYFUNCTION("""COMPUTED_VALUE"""),6.0)</f>
        <v>6</v>
      </c>
      <c r="B405" s="4">
        <f>IFERROR(__xludf.DUMMYFUNCTION("""COMPUTED_VALUE"""),6.0)</f>
        <v>6</v>
      </c>
      <c r="C405" s="4" t="str">
        <f>IFERROR(__xludf.DUMMYFUNCTION("""COMPUTED_VALUE"""),"PHO")</f>
        <v>PHO</v>
      </c>
      <c r="D405" s="4" t="str">
        <f>IFERROR(__xludf.DUMMYFUNCTION("""COMPUTED_VALUE"""),"Jarrett Culver")</f>
        <v>Jarrett Culver</v>
      </c>
      <c r="E405" s="4" t="str">
        <f>IFERROR(__xludf.DUMMYFUNCTION("""COMPUTED_VALUE"""),"Texas Tech")</f>
        <v>Texas Tech</v>
      </c>
      <c r="F405" s="4">
        <f>IFERROR(__xludf.DUMMYFUNCTION("""COMPUTED_VALUE"""),4.0)</f>
        <v>4</v>
      </c>
      <c r="G405" s="4">
        <f>IFERROR(__xludf.DUMMYFUNCTION("""COMPUTED_VALUE"""),144.0)</f>
        <v>144</v>
      </c>
      <c r="H405" s="4">
        <f>IFERROR(__xludf.DUMMYFUNCTION("""COMPUTED_VALUE"""),2480.0)</f>
        <v>2480</v>
      </c>
      <c r="I405" s="4">
        <f>IFERROR(__xludf.DUMMYFUNCTION("""COMPUTED_VALUE"""),934.0)</f>
        <v>934</v>
      </c>
      <c r="J405" s="4">
        <f>IFERROR(__xludf.DUMMYFUNCTION("""COMPUTED_VALUE"""),402.0)</f>
        <v>402</v>
      </c>
      <c r="K405" s="4">
        <f>IFERROR(__xludf.DUMMYFUNCTION("""COMPUTED_VALUE"""),173.0)</f>
        <v>173</v>
      </c>
      <c r="L405" s="4">
        <f>IFERROR(__xludf.DUMMYFUNCTION("""COMPUTED_VALUE"""),0.401)</f>
        <v>0.401</v>
      </c>
      <c r="M405" s="4">
        <f>IFERROR(__xludf.DUMMYFUNCTION("""COMPUTED_VALUE"""),0.276)</f>
        <v>0.276</v>
      </c>
      <c r="N405" s="4">
        <f>IFERROR(__xludf.DUMMYFUNCTION("""COMPUTED_VALUE"""),0.509)</f>
        <v>0.509</v>
      </c>
      <c r="O405" s="4">
        <f>IFERROR(__xludf.DUMMYFUNCTION("""COMPUTED_VALUE"""),17.2)</f>
        <v>17.2</v>
      </c>
      <c r="P405" s="4">
        <f>IFERROR(__xludf.DUMMYFUNCTION("""COMPUTED_VALUE"""),6.5)</f>
        <v>6.5</v>
      </c>
      <c r="Q405" s="4">
        <f>IFERROR(__xludf.DUMMYFUNCTION("""COMPUTED_VALUE"""),2.8)</f>
        <v>2.8</v>
      </c>
      <c r="R405" s="4">
        <f>IFERROR(__xludf.DUMMYFUNCTION("""COMPUTED_VALUE"""),1.2)</f>
        <v>1.2</v>
      </c>
      <c r="S405" s="4">
        <f>IFERROR(__xludf.DUMMYFUNCTION("""COMPUTED_VALUE"""),-0.1)</f>
        <v>-0.1</v>
      </c>
      <c r="T405" s="4">
        <f>IFERROR(__xludf.DUMMYFUNCTION("""COMPUTED_VALUE"""),-0.001)</f>
        <v>-0.001</v>
      </c>
      <c r="U405" s="4">
        <f>IFERROR(__xludf.DUMMYFUNCTION("""COMPUTED_VALUE"""),-4.5)</f>
        <v>-4.5</v>
      </c>
      <c r="V405" s="4">
        <f>IFERROR(__xludf.DUMMYFUNCTION("""COMPUTED_VALUE"""),-1.6)</f>
        <v>-1.6</v>
      </c>
    </row>
    <row r="406">
      <c r="A406" s="4">
        <f>IFERROR(__xludf.DUMMYFUNCTION("""COMPUTED_VALUE"""),7.0)</f>
        <v>7</v>
      </c>
      <c r="B406" s="4">
        <f>IFERROR(__xludf.DUMMYFUNCTION("""COMPUTED_VALUE"""),7.0)</f>
        <v>7</v>
      </c>
      <c r="C406" s="4" t="str">
        <f>IFERROR(__xludf.DUMMYFUNCTION("""COMPUTED_VALUE"""),"CHI")</f>
        <v>CHI</v>
      </c>
      <c r="D406" s="4" t="str">
        <f>IFERROR(__xludf.DUMMYFUNCTION("""COMPUTED_VALUE"""),"Coby White")</f>
        <v>Coby White</v>
      </c>
      <c r="E406" s="4" t="str">
        <f>IFERROR(__xludf.DUMMYFUNCTION("""COMPUTED_VALUE"""),"UNC")</f>
        <v>UNC</v>
      </c>
      <c r="F406" s="4">
        <f>IFERROR(__xludf.DUMMYFUNCTION("""COMPUTED_VALUE"""),7.0)</f>
        <v>7</v>
      </c>
      <c r="G406" s="4">
        <f>IFERROR(__xludf.DUMMYFUNCTION("""COMPUTED_VALUE"""),427.0)</f>
        <v>427</v>
      </c>
      <c r="H406" s="4">
        <f>IFERROR(__xludf.DUMMYFUNCTION("""COMPUTED_VALUE"""),12719.0)</f>
        <v>12719</v>
      </c>
      <c r="I406" s="4">
        <f>IFERROR(__xludf.DUMMYFUNCTION("""COMPUTED_VALUE"""),6526.0)</f>
        <v>6526</v>
      </c>
      <c r="J406" s="4">
        <f>IFERROR(__xludf.DUMMYFUNCTION("""COMPUTED_VALUE"""),1554.0)</f>
        <v>1554</v>
      </c>
      <c r="K406" s="4">
        <f>IFERROR(__xludf.DUMMYFUNCTION("""COMPUTED_VALUE"""),1649.0)</f>
        <v>1649</v>
      </c>
      <c r="L406" s="4">
        <f>IFERROR(__xludf.DUMMYFUNCTION("""COMPUTED_VALUE"""),0.433)</f>
        <v>0.433</v>
      </c>
      <c r="M406" s="4">
        <f>IFERROR(__xludf.DUMMYFUNCTION("""COMPUTED_VALUE"""),0.369)</f>
        <v>0.369</v>
      </c>
      <c r="N406" s="4">
        <f>IFERROR(__xludf.DUMMYFUNCTION("""COMPUTED_VALUE"""),0.863)</f>
        <v>0.863</v>
      </c>
      <c r="O406" s="4">
        <f>IFERROR(__xludf.DUMMYFUNCTION("""COMPUTED_VALUE"""),29.8)</f>
        <v>29.8</v>
      </c>
      <c r="P406" s="4">
        <f>IFERROR(__xludf.DUMMYFUNCTION("""COMPUTED_VALUE"""),15.3)</f>
        <v>15.3</v>
      </c>
      <c r="Q406" s="4">
        <f>IFERROR(__xludf.DUMMYFUNCTION("""COMPUTED_VALUE"""),3.6)</f>
        <v>3.6</v>
      </c>
      <c r="R406" s="4">
        <f>IFERROR(__xludf.DUMMYFUNCTION("""COMPUTED_VALUE"""),3.9)</f>
        <v>3.9</v>
      </c>
      <c r="S406" s="4">
        <f>IFERROR(__xludf.DUMMYFUNCTION("""COMPUTED_VALUE"""),18.2)</f>
        <v>18.2</v>
      </c>
      <c r="T406" s="4">
        <f>IFERROR(__xludf.DUMMYFUNCTION("""COMPUTED_VALUE"""),0.069)</f>
        <v>0.069</v>
      </c>
      <c r="U406" s="4">
        <f>IFERROR(__xludf.DUMMYFUNCTION("""COMPUTED_VALUE"""),-1.5)</f>
        <v>-1.5</v>
      </c>
      <c r="V406" s="4">
        <f>IFERROR(__xludf.DUMMYFUNCTION("""COMPUTED_VALUE"""),1.6)</f>
        <v>1.6</v>
      </c>
    </row>
    <row r="407">
      <c r="A407" s="4">
        <f>IFERROR(__xludf.DUMMYFUNCTION("""COMPUTED_VALUE"""),8.0)</f>
        <v>8</v>
      </c>
      <c r="B407" s="4">
        <f>IFERROR(__xludf.DUMMYFUNCTION("""COMPUTED_VALUE"""),8.0)</f>
        <v>8</v>
      </c>
      <c r="C407" s="4" t="str">
        <f>IFERROR(__xludf.DUMMYFUNCTION("""COMPUTED_VALUE"""),"ATL")</f>
        <v>ATL</v>
      </c>
      <c r="D407" s="4" t="str">
        <f>IFERROR(__xludf.DUMMYFUNCTION("""COMPUTED_VALUE"""),"Jaxson Hayes")</f>
        <v>Jaxson Hayes</v>
      </c>
      <c r="E407" s="4" t="str">
        <f>IFERROR(__xludf.DUMMYFUNCTION("""COMPUTED_VALUE"""),"Texas")</f>
        <v>Texas</v>
      </c>
      <c r="F407" s="4">
        <f>IFERROR(__xludf.DUMMYFUNCTION("""COMPUTED_VALUE"""),7.0)</f>
        <v>7</v>
      </c>
      <c r="G407" s="4">
        <f>IFERROR(__xludf.DUMMYFUNCTION("""COMPUTED_VALUE"""),384.0)</f>
        <v>384</v>
      </c>
      <c r="H407" s="4">
        <f>IFERROR(__xludf.DUMMYFUNCTION("""COMPUTED_VALUE"""),6317.0)</f>
        <v>6317</v>
      </c>
      <c r="I407" s="4">
        <f>IFERROR(__xludf.DUMMYFUNCTION("""COMPUTED_VALUE"""),2591.0)</f>
        <v>2591</v>
      </c>
      <c r="J407" s="4">
        <f>IFERROR(__xludf.DUMMYFUNCTION("""COMPUTED_VALUE"""),1510.0)</f>
        <v>1510</v>
      </c>
      <c r="K407" s="4">
        <f>IFERROR(__xludf.DUMMYFUNCTION("""COMPUTED_VALUE"""),279.0)</f>
        <v>279</v>
      </c>
      <c r="L407" s="4">
        <f>IFERROR(__xludf.DUMMYFUNCTION("""COMPUTED_VALUE"""),0.652)</f>
        <v>0.652</v>
      </c>
      <c r="M407" s="4">
        <f>IFERROR(__xludf.DUMMYFUNCTION("""COMPUTED_VALUE"""),0.267)</f>
        <v>0.267</v>
      </c>
      <c r="N407" s="4">
        <f>IFERROR(__xludf.DUMMYFUNCTION("""COMPUTED_VALUE"""),0.696)</f>
        <v>0.696</v>
      </c>
      <c r="O407" s="4">
        <f>IFERROR(__xludf.DUMMYFUNCTION("""COMPUTED_VALUE"""),16.5)</f>
        <v>16.5</v>
      </c>
      <c r="P407" s="4">
        <f>IFERROR(__xludf.DUMMYFUNCTION("""COMPUTED_VALUE"""),6.7)</f>
        <v>6.7</v>
      </c>
      <c r="Q407" s="4">
        <f>IFERROR(__xludf.DUMMYFUNCTION("""COMPUTED_VALUE"""),3.9)</f>
        <v>3.9</v>
      </c>
      <c r="R407" s="4">
        <f>IFERROR(__xludf.DUMMYFUNCTION("""COMPUTED_VALUE"""),0.7)</f>
        <v>0.7</v>
      </c>
      <c r="S407" s="4">
        <f>IFERROR(__xludf.DUMMYFUNCTION("""COMPUTED_VALUE"""),21.2)</f>
        <v>21.2</v>
      </c>
      <c r="T407" s="4">
        <f>IFERROR(__xludf.DUMMYFUNCTION("""COMPUTED_VALUE"""),0.161)</f>
        <v>0.161</v>
      </c>
      <c r="U407" s="4">
        <f>IFERROR(__xludf.DUMMYFUNCTION("""COMPUTED_VALUE"""),-0.3)</f>
        <v>-0.3</v>
      </c>
      <c r="V407" s="4">
        <f>IFERROR(__xludf.DUMMYFUNCTION("""COMPUTED_VALUE"""),2.7)</f>
        <v>2.7</v>
      </c>
    </row>
    <row r="408">
      <c r="A408" s="4">
        <f>IFERROR(__xludf.DUMMYFUNCTION("""COMPUTED_VALUE"""),9.0)</f>
        <v>9</v>
      </c>
      <c r="B408" s="4">
        <f>IFERROR(__xludf.DUMMYFUNCTION("""COMPUTED_VALUE"""),9.0)</f>
        <v>9</v>
      </c>
      <c r="C408" s="4" t="str">
        <f>IFERROR(__xludf.DUMMYFUNCTION("""COMPUTED_VALUE"""),"WAS")</f>
        <v>WAS</v>
      </c>
      <c r="D408" s="4" t="str">
        <f>IFERROR(__xludf.DUMMYFUNCTION("""COMPUTED_VALUE"""),"Rui Hachimura")</f>
        <v>Rui Hachimura</v>
      </c>
      <c r="E408" s="4" t="str">
        <f>IFERROR(__xludf.DUMMYFUNCTION("""COMPUTED_VALUE"""),"Gonzaga")</f>
        <v>Gonzaga</v>
      </c>
      <c r="F408" s="4">
        <f>IFERROR(__xludf.DUMMYFUNCTION("""COMPUTED_VALUE"""),7.0)</f>
        <v>7</v>
      </c>
      <c r="G408" s="4">
        <f>IFERROR(__xludf.DUMMYFUNCTION("""COMPUTED_VALUE"""),356.0)</f>
        <v>356</v>
      </c>
      <c r="H408" s="4">
        <f>IFERROR(__xludf.DUMMYFUNCTION("""COMPUTED_VALUE"""),9973.0)</f>
        <v>9973</v>
      </c>
      <c r="I408" s="4">
        <f>IFERROR(__xludf.DUMMYFUNCTION("""COMPUTED_VALUE"""),4584.0)</f>
        <v>4584</v>
      </c>
      <c r="J408" s="4">
        <f>IFERROR(__xludf.DUMMYFUNCTION("""COMPUTED_VALUE"""),1707.0)</f>
        <v>1707</v>
      </c>
      <c r="K408" s="4">
        <f>IFERROR(__xludf.DUMMYFUNCTION("""COMPUTED_VALUE"""),456.0)</f>
        <v>456</v>
      </c>
      <c r="L408" s="4">
        <f>IFERROR(__xludf.DUMMYFUNCTION("""COMPUTED_VALUE"""),0.498)</f>
        <v>0.498</v>
      </c>
      <c r="M408" s="4">
        <f>IFERROR(__xludf.DUMMYFUNCTION("""COMPUTED_VALUE"""),0.387)</f>
        <v>0.387</v>
      </c>
      <c r="N408" s="4">
        <f>IFERROR(__xludf.DUMMYFUNCTION("""COMPUTED_VALUE"""),0.763)</f>
        <v>0.763</v>
      </c>
      <c r="O408" s="4">
        <f>IFERROR(__xludf.DUMMYFUNCTION("""COMPUTED_VALUE"""),28.0)</f>
        <v>28</v>
      </c>
      <c r="P408" s="4">
        <f>IFERROR(__xludf.DUMMYFUNCTION("""COMPUTED_VALUE"""),12.9)</f>
        <v>12.9</v>
      </c>
      <c r="Q408" s="4">
        <f>IFERROR(__xludf.DUMMYFUNCTION("""COMPUTED_VALUE"""),4.8)</f>
        <v>4.8</v>
      </c>
      <c r="R408" s="4">
        <f>IFERROR(__xludf.DUMMYFUNCTION("""COMPUTED_VALUE"""),1.3)</f>
        <v>1.3</v>
      </c>
      <c r="S408" s="4">
        <f>IFERROR(__xludf.DUMMYFUNCTION("""COMPUTED_VALUE"""),16.7)</f>
        <v>16.7</v>
      </c>
      <c r="T408" s="4">
        <f>IFERROR(__xludf.DUMMYFUNCTION("""COMPUTED_VALUE"""),0.08)</f>
        <v>0.08</v>
      </c>
      <c r="U408" s="4">
        <f>IFERROR(__xludf.DUMMYFUNCTION("""COMPUTED_VALUE"""),-1.9)</f>
        <v>-1.9</v>
      </c>
      <c r="V408" s="4">
        <f>IFERROR(__xludf.DUMMYFUNCTION("""COMPUTED_VALUE"""),0.2)</f>
        <v>0.2</v>
      </c>
    </row>
    <row r="409">
      <c r="A409" s="4">
        <f>IFERROR(__xludf.DUMMYFUNCTION("""COMPUTED_VALUE"""),10.0)</f>
        <v>10</v>
      </c>
      <c r="B409" s="4">
        <f>IFERROR(__xludf.DUMMYFUNCTION("""COMPUTED_VALUE"""),10.0)</f>
        <v>10</v>
      </c>
      <c r="C409" s="4" t="str">
        <f>IFERROR(__xludf.DUMMYFUNCTION("""COMPUTED_VALUE"""),"ATL")</f>
        <v>ATL</v>
      </c>
      <c r="D409" s="4" t="str">
        <f>IFERROR(__xludf.DUMMYFUNCTION("""COMPUTED_VALUE"""),"Cam Reddish")</f>
        <v>Cam Reddish</v>
      </c>
      <c r="E409" s="4" t="str">
        <f>IFERROR(__xludf.DUMMYFUNCTION("""COMPUTED_VALUE"""),"Duke")</f>
        <v>Duke</v>
      </c>
      <c r="F409" s="4">
        <f>IFERROR(__xludf.DUMMYFUNCTION("""COMPUTED_VALUE"""),6.0)</f>
        <v>6</v>
      </c>
      <c r="G409" s="4">
        <f>IFERROR(__xludf.DUMMYFUNCTION("""COMPUTED_VALUE"""),254.0)</f>
        <v>254</v>
      </c>
      <c r="H409" s="4">
        <f>IFERROR(__xludf.DUMMYFUNCTION("""COMPUTED_VALUE"""),5876.0)</f>
        <v>5876</v>
      </c>
      <c r="I409" s="4">
        <f>IFERROR(__xludf.DUMMYFUNCTION("""COMPUTED_VALUE"""),2151.0)</f>
        <v>2151</v>
      </c>
      <c r="J409" s="4">
        <f>IFERROR(__xludf.DUMMYFUNCTION("""COMPUTED_VALUE"""),678.0)</f>
        <v>678</v>
      </c>
      <c r="K409" s="4">
        <f>IFERROR(__xludf.DUMMYFUNCTION("""COMPUTED_VALUE"""),297.0)</f>
        <v>297</v>
      </c>
      <c r="L409" s="4">
        <f>IFERROR(__xludf.DUMMYFUNCTION("""COMPUTED_VALUE"""),0.398)</f>
        <v>0.398</v>
      </c>
      <c r="M409" s="4">
        <f>IFERROR(__xludf.DUMMYFUNCTION("""COMPUTED_VALUE"""),0.322)</f>
        <v>0.322</v>
      </c>
      <c r="N409" s="4">
        <f>IFERROR(__xludf.DUMMYFUNCTION("""COMPUTED_VALUE"""),0.821)</f>
        <v>0.821</v>
      </c>
      <c r="O409" s="4">
        <f>IFERROR(__xludf.DUMMYFUNCTION("""COMPUTED_VALUE"""),23.1)</f>
        <v>23.1</v>
      </c>
      <c r="P409" s="4">
        <f>IFERROR(__xludf.DUMMYFUNCTION("""COMPUTED_VALUE"""),8.5)</f>
        <v>8.5</v>
      </c>
      <c r="Q409" s="4">
        <f>IFERROR(__xludf.DUMMYFUNCTION("""COMPUTED_VALUE"""),2.7)</f>
        <v>2.7</v>
      </c>
      <c r="R409" s="4">
        <f>IFERROR(__xludf.DUMMYFUNCTION("""COMPUTED_VALUE"""),1.2)</f>
        <v>1.2</v>
      </c>
      <c r="S409" s="4">
        <f>IFERROR(__xludf.DUMMYFUNCTION("""COMPUTED_VALUE"""),3.3)</f>
        <v>3.3</v>
      </c>
      <c r="T409" s="4">
        <f>IFERROR(__xludf.DUMMYFUNCTION("""COMPUTED_VALUE"""),0.027)</f>
        <v>0.027</v>
      </c>
      <c r="U409" s="4">
        <f>IFERROR(__xludf.DUMMYFUNCTION("""COMPUTED_VALUE"""),-3.1)</f>
        <v>-3.1</v>
      </c>
      <c r="V409" s="4">
        <f>IFERROR(__xludf.DUMMYFUNCTION("""COMPUTED_VALUE"""),-1.7)</f>
        <v>-1.7</v>
      </c>
    </row>
    <row r="410">
      <c r="A410" s="4">
        <f>IFERROR(__xludf.DUMMYFUNCTION("""COMPUTED_VALUE"""),11.0)</f>
        <v>11</v>
      </c>
      <c r="B410" s="4">
        <f>IFERROR(__xludf.DUMMYFUNCTION("""COMPUTED_VALUE"""),11.0)</f>
        <v>11</v>
      </c>
      <c r="C410" s="4" t="str">
        <f>IFERROR(__xludf.DUMMYFUNCTION("""COMPUTED_VALUE"""),"MIN")</f>
        <v>MIN</v>
      </c>
      <c r="D410" s="4" t="str">
        <f>IFERROR(__xludf.DUMMYFUNCTION("""COMPUTED_VALUE"""),"Cameron Johnson")</f>
        <v>Cameron Johnson</v>
      </c>
      <c r="E410" s="4" t="str">
        <f>IFERROR(__xludf.DUMMYFUNCTION("""COMPUTED_VALUE"""),"UNC")</f>
        <v>UNC</v>
      </c>
      <c r="F410" s="4">
        <f>IFERROR(__xludf.DUMMYFUNCTION("""COMPUTED_VALUE"""),7.0)</f>
        <v>7</v>
      </c>
      <c r="G410" s="4">
        <f>IFERROR(__xludf.DUMMYFUNCTION("""COMPUTED_VALUE"""),359.0)</f>
        <v>359</v>
      </c>
      <c r="H410" s="4">
        <f>IFERROR(__xludf.DUMMYFUNCTION("""COMPUTED_VALUE"""),9574.0)</f>
        <v>9574</v>
      </c>
      <c r="I410" s="4">
        <f>IFERROR(__xludf.DUMMYFUNCTION("""COMPUTED_VALUE"""),4607.0)</f>
        <v>4607</v>
      </c>
      <c r="J410" s="4">
        <f>IFERROR(__xludf.DUMMYFUNCTION("""COMPUTED_VALUE"""),1405.0)</f>
        <v>1405</v>
      </c>
      <c r="K410" s="4">
        <f>IFERROR(__xludf.DUMMYFUNCTION("""COMPUTED_VALUE"""),705.0)</f>
        <v>705</v>
      </c>
      <c r="L410" s="4">
        <f>IFERROR(__xludf.DUMMYFUNCTION("""COMPUTED_VALUE"""),0.454)</f>
        <v>0.454</v>
      </c>
      <c r="M410" s="4">
        <f>IFERROR(__xludf.DUMMYFUNCTION("""COMPUTED_VALUE"""),0.392)</f>
        <v>0.392</v>
      </c>
      <c r="N410" s="4">
        <f>IFERROR(__xludf.DUMMYFUNCTION("""COMPUTED_VALUE"""),0.85)</f>
        <v>0.85</v>
      </c>
      <c r="O410" s="4">
        <f>IFERROR(__xludf.DUMMYFUNCTION("""COMPUTED_VALUE"""),26.7)</f>
        <v>26.7</v>
      </c>
      <c r="P410" s="4">
        <f>IFERROR(__xludf.DUMMYFUNCTION("""COMPUTED_VALUE"""),12.8)</f>
        <v>12.8</v>
      </c>
      <c r="Q410" s="4">
        <f>IFERROR(__xludf.DUMMYFUNCTION("""COMPUTED_VALUE"""),3.9)</f>
        <v>3.9</v>
      </c>
      <c r="R410" s="4">
        <f>IFERROR(__xludf.DUMMYFUNCTION("""COMPUTED_VALUE"""),2.0)</f>
        <v>2</v>
      </c>
      <c r="S410" s="4">
        <f>IFERROR(__xludf.DUMMYFUNCTION("""COMPUTED_VALUE"""),23.9)</f>
        <v>23.9</v>
      </c>
      <c r="T410" s="4">
        <f>IFERROR(__xludf.DUMMYFUNCTION("""COMPUTED_VALUE"""),0.12)</f>
        <v>0.12</v>
      </c>
      <c r="U410" s="4">
        <f>IFERROR(__xludf.DUMMYFUNCTION("""COMPUTED_VALUE"""),1.4)</f>
        <v>1.4</v>
      </c>
      <c r="V410" s="4">
        <f>IFERROR(__xludf.DUMMYFUNCTION("""COMPUTED_VALUE"""),8.1)</f>
        <v>8.1</v>
      </c>
    </row>
    <row r="411">
      <c r="A411" s="4">
        <f>IFERROR(__xludf.DUMMYFUNCTION("""COMPUTED_VALUE"""),12.0)</f>
        <v>12</v>
      </c>
      <c r="B411" s="4">
        <f>IFERROR(__xludf.DUMMYFUNCTION("""COMPUTED_VALUE"""),12.0)</f>
        <v>12</v>
      </c>
      <c r="C411" s="4" t="str">
        <f>IFERROR(__xludf.DUMMYFUNCTION("""COMPUTED_VALUE"""),"CHO")</f>
        <v>CHO</v>
      </c>
      <c r="D411" s="4" t="str">
        <f>IFERROR(__xludf.DUMMYFUNCTION("""COMPUTED_VALUE"""),"P.J. Washington")</f>
        <v>P.J. Washington</v>
      </c>
      <c r="E411" s="4" t="str">
        <f>IFERROR(__xludf.DUMMYFUNCTION("""COMPUTED_VALUE"""),"Kentucky")</f>
        <v>Kentucky</v>
      </c>
      <c r="F411" s="4">
        <f>IFERROR(__xludf.DUMMYFUNCTION("""COMPUTED_VALUE"""),7.0)</f>
        <v>7</v>
      </c>
      <c r="G411" s="4">
        <f>IFERROR(__xludf.DUMMYFUNCTION("""COMPUTED_VALUE"""),409.0)</f>
        <v>409</v>
      </c>
      <c r="H411" s="4">
        <f>IFERROR(__xludf.DUMMYFUNCTION("""COMPUTED_VALUE"""),12519.0)</f>
        <v>12519</v>
      </c>
      <c r="I411" s="4">
        <f>IFERROR(__xludf.DUMMYFUNCTION("""COMPUTED_VALUE"""),5425.0)</f>
        <v>5425</v>
      </c>
      <c r="J411" s="4">
        <f>IFERROR(__xludf.DUMMYFUNCTION("""COMPUTED_VALUE"""),2431.0)</f>
        <v>2431</v>
      </c>
      <c r="K411" s="4">
        <f>IFERROR(__xludf.DUMMYFUNCTION("""COMPUTED_VALUE"""),921.0)</f>
        <v>921</v>
      </c>
      <c r="L411" s="4">
        <f>IFERROR(__xludf.DUMMYFUNCTION("""COMPUTED_VALUE"""),0.447)</f>
        <v>0.447</v>
      </c>
      <c r="M411" s="4">
        <f>IFERROR(__xludf.DUMMYFUNCTION("""COMPUTED_VALUE"""),0.357)</f>
        <v>0.357</v>
      </c>
      <c r="N411" s="4">
        <f>IFERROR(__xludf.DUMMYFUNCTION("""COMPUTED_VALUE"""),0.707)</f>
        <v>0.707</v>
      </c>
      <c r="O411" s="4">
        <f>IFERROR(__xludf.DUMMYFUNCTION("""COMPUTED_VALUE"""),30.6)</f>
        <v>30.6</v>
      </c>
      <c r="P411" s="4">
        <f>IFERROR(__xludf.DUMMYFUNCTION("""COMPUTED_VALUE"""),13.3)</f>
        <v>13.3</v>
      </c>
      <c r="Q411" s="4">
        <f>IFERROR(__xludf.DUMMYFUNCTION("""COMPUTED_VALUE"""),5.9)</f>
        <v>5.9</v>
      </c>
      <c r="R411" s="4">
        <f>IFERROR(__xludf.DUMMYFUNCTION("""COMPUTED_VALUE"""),2.3)</f>
        <v>2.3</v>
      </c>
      <c r="S411" s="4">
        <f>IFERROR(__xludf.DUMMYFUNCTION("""COMPUTED_VALUE"""),15.2)</f>
        <v>15.2</v>
      </c>
      <c r="T411" s="4">
        <f>IFERROR(__xludf.DUMMYFUNCTION("""COMPUTED_VALUE"""),0.058)</f>
        <v>0.058</v>
      </c>
      <c r="U411" s="4">
        <f>IFERROR(__xludf.DUMMYFUNCTION("""COMPUTED_VALUE"""),-1.2)</f>
        <v>-1.2</v>
      </c>
      <c r="V411" s="4">
        <f>IFERROR(__xludf.DUMMYFUNCTION("""COMPUTED_VALUE"""),2.5)</f>
        <v>2.5</v>
      </c>
    </row>
    <row r="412">
      <c r="A412" s="4">
        <f>IFERROR(__xludf.DUMMYFUNCTION("""COMPUTED_VALUE"""),13.0)</f>
        <v>13</v>
      </c>
      <c r="B412" s="4">
        <f>IFERROR(__xludf.DUMMYFUNCTION("""COMPUTED_VALUE"""),13.0)</f>
        <v>13</v>
      </c>
      <c r="C412" s="4" t="str">
        <f>IFERROR(__xludf.DUMMYFUNCTION("""COMPUTED_VALUE"""),"MIA")</f>
        <v>MIA</v>
      </c>
      <c r="D412" s="4" t="str">
        <f>IFERROR(__xludf.DUMMYFUNCTION("""COMPUTED_VALUE"""),"Tyler Herro")</f>
        <v>Tyler Herro</v>
      </c>
      <c r="E412" s="4" t="str">
        <f>IFERROR(__xludf.DUMMYFUNCTION("""COMPUTED_VALUE"""),"Kentucky")</f>
        <v>Kentucky</v>
      </c>
      <c r="F412" s="4">
        <f>IFERROR(__xludf.DUMMYFUNCTION("""COMPUTED_VALUE"""),7.0)</f>
        <v>7</v>
      </c>
      <c r="G412" s="4">
        <f>IFERROR(__xludf.DUMMYFUNCTION("""COMPUTED_VALUE"""),365.0)</f>
        <v>365</v>
      </c>
      <c r="H412" s="4">
        <f>IFERROR(__xludf.DUMMYFUNCTION("""COMPUTED_VALUE"""),11886.0)</f>
        <v>11886</v>
      </c>
      <c r="I412" s="4">
        <f>IFERROR(__xludf.DUMMYFUNCTION("""COMPUTED_VALUE"""),7086.0)</f>
        <v>7086</v>
      </c>
      <c r="J412" s="4">
        <f>IFERROR(__xludf.DUMMYFUNCTION("""COMPUTED_VALUE"""),1821.0)</f>
        <v>1821</v>
      </c>
      <c r="K412" s="4">
        <f>IFERROR(__xludf.DUMMYFUNCTION("""COMPUTED_VALUE"""),1471.0)</f>
        <v>1471</v>
      </c>
      <c r="L412" s="4">
        <f>IFERROR(__xludf.DUMMYFUNCTION("""COMPUTED_VALUE"""),0.449)</f>
        <v>0.449</v>
      </c>
      <c r="M412" s="4">
        <f>IFERROR(__xludf.DUMMYFUNCTION("""COMPUTED_VALUE"""),0.384)</f>
        <v>0.384</v>
      </c>
      <c r="N412" s="4">
        <f>IFERROR(__xludf.DUMMYFUNCTION("""COMPUTED_VALUE"""),0.875)</f>
        <v>0.875</v>
      </c>
      <c r="O412" s="4">
        <f>IFERROR(__xludf.DUMMYFUNCTION("""COMPUTED_VALUE"""),32.6)</f>
        <v>32.6</v>
      </c>
      <c r="P412" s="4">
        <f>IFERROR(__xludf.DUMMYFUNCTION("""COMPUTED_VALUE"""),19.4)</f>
        <v>19.4</v>
      </c>
      <c r="Q412" s="4">
        <f>IFERROR(__xludf.DUMMYFUNCTION("""COMPUTED_VALUE"""),5.0)</f>
        <v>5</v>
      </c>
      <c r="R412" s="4">
        <f>IFERROR(__xludf.DUMMYFUNCTION("""COMPUTED_VALUE"""),4.0)</f>
        <v>4</v>
      </c>
      <c r="S412" s="4">
        <f>IFERROR(__xludf.DUMMYFUNCTION("""COMPUTED_VALUE"""),20.5)</f>
        <v>20.5</v>
      </c>
      <c r="T412" s="4">
        <f>IFERROR(__xludf.DUMMYFUNCTION("""COMPUTED_VALUE"""),0.083)</f>
        <v>0.083</v>
      </c>
      <c r="U412" s="4">
        <f>IFERROR(__xludf.DUMMYFUNCTION("""COMPUTED_VALUE"""),0.7)</f>
        <v>0.7</v>
      </c>
      <c r="V412" s="4">
        <f>IFERROR(__xludf.DUMMYFUNCTION("""COMPUTED_VALUE"""),8.3)</f>
        <v>8.3</v>
      </c>
    </row>
    <row r="413">
      <c r="A413" s="4">
        <f>IFERROR(__xludf.DUMMYFUNCTION("""COMPUTED_VALUE"""),14.0)</f>
        <v>14</v>
      </c>
      <c r="B413" s="4">
        <f>IFERROR(__xludf.DUMMYFUNCTION("""COMPUTED_VALUE"""),14.0)</f>
        <v>14</v>
      </c>
      <c r="C413" s="4" t="str">
        <f>IFERROR(__xludf.DUMMYFUNCTION("""COMPUTED_VALUE"""),"BOS")</f>
        <v>BOS</v>
      </c>
      <c r="D413" s="4" t="str">
        <f>IFERROR(__xludf.DUMMYFUNCTION("""COMPUTED_VALUE"""),"Romeo Langford")</f>
        <v>Romeo Langford</v>
      </c>
      <c r="E413" s="4" t="str">
        <f>IFERROR(__xludf.DUMMYFUNCTION("""COMPUTED_VALUE"""),"Indiana")</f>
        <v>Indiana</v>
      </c>
      <c r="F413" s="4">
        <f>IFERROR(__xludf.DUMMYFUNCTION("""COMPUTED_VALUE"""),4.0)</f>
        <v>4</v>
      </c>
      <c r="G413" s="4">
        <f>IFERROR(__xludf.DUMMYFUNCTION("""COMPUTED_VALUE"""),141.0)</f>
        <v>141</v>
      </c>
      <c r="H413" s="4">
        <f>IFERROR(__xludf.DUMMYFUNCTION("""COMPUTED_VALUE"""),2268.0)</f>
        <v>2268</v>
      </c>
      <c r="I413" s="4">
        <f>IFERROR(__xludf.DUMMYFUNCTION("""COMPUTED_VALUE"""),650.0)</f>
        <v>650</v>
      </c>
      <c r="J413" s="4">
        <f>IFERROR(__xludf.DUMMYFUNCTION("""COMPUTED_VALUE"""),298.0)</f>
        <v>298</v>
      </c>
      <c r="K413" s="4">
        <f>IFERROR(__xludf.DUMMYFUNCTION("""COMPUTED_VALUE"""),97.0)</f>
        <v>97</v>
      </c>
      <c r="L413" s="4">
        <f>IFERROR(__xludf.DUMMYFUNCTION("""COMPUTED_VALUE"""),0.43)</f>
        <v>0.43</v>
      </c>
      <c r="M413" s="4">
        <f>IFERROR(__xludf.DUMMYFUNCTION("""COMPUTED_VALUE"""),0.288)</f>
        <v>0.288</v>
      </c>
      <c r="N413" s="4">
        <f>IFERROR(__xludf.DUMMYFUNCTION("""COMPUTED_VALUE"""),0.659)</f>
        <v>0.659</v>
      </c>
      <c r="O413" s="4">
        <f>IFERROR(__xludf.DUMMYFUNCTION("""COMPUTED_VALUE"""),16.1)</f>
        <v>16.1</v>
      </c>
      <c r="P413" s="4">
        <f>IFERROR(__xludf.DUMMYFUNCTION("""COMPUTED_VALUE"""),4.6)</f>
        <v>4.6</v>
      </c>
      <c r="Q413" s="4">
        <f>IFERROR(__xludf.DUMMYFUNCTION("""COMPUTED_VALUE"""),2.1)</f>
        <v>2.1</v>
      </c>
      <c r="R413" s="4">
        <f>IFERROR(__xludf.DUMMYFUNCTION("""COMPUTED_VALUE"""),0.7)</f>
        <v>0.7</v>
      </c>
      <c r="S413" s="4">
        <f>IFERROR(__xludf.DUMMYFUNCTION("""COMPUTED_VALUE"""),2.0)</f>
        <v>2</v>
      </c>
      <c r="T413" s="4">
        <f>IFERROR(__xludf.DUMMYFUNCTION("""COMPUTED_VALUE"""),0.043)</f>
        <v>0.043</v>
      </c>
      <c r="U413" s="4">
        <f>IFERROR(__xludf.DUMMYFUNCTION("""COMPUTED_VALUE"""),-3.4)</f>
        <v>-3.4</v>
      </c>
      <c r="V413" s="4">
        <f>IFERROR(__xludf.DUMMYFUNCTION("""COMPUTED_VALUE"""),-0.8)</f>
        <v>-0.8</v>
      </c>
    </row>
    <row r="414">
      <c r="A414" s="4">
        <f>IFERROR(__xludf.DUMMYFUNCTION("""COMPUTED_VALUE"""),15.0)</f>
        <v>15</v>
      </c>
      <c r="B414" s="4">
        <f>IFERROR(__xludf.DUMMYFUNCTION("""COMPUTED_VALUE"""),15.0)</f>
        <v>15</v>
      </c>
      <c r="C414" s="4" t="str">
        <f>IFERROR(__xludf.DUMMYFUNCTION("""COMPUTED_VALUE"""),"DET")</f>
        <v>DET</v>
      </c>
      <c r="D414" s="4" t="str">
        <f>IFERROR(__xludf.DUMMYFUNCTION("""COMPUTED_VALUE"""),"Sekou Doumbouya")</f>
        <v>Sekou Doumbouya</v>
      </c>
      <c r="E414" s="4"/>
      <c r="F414" s="4">
        <f>IFERROR(__xludf.DUMMYFUNCTION("""COMPUTED_VALUE"""),3.0)</f>
        <v>3</v>
      </c>
      <c r="G414" s="4">
        <f>IFERROR(__xludf.DUMMYFUNCTION("""COMPUTED_VALUE"""),96.0)</f>
        <v>96</v>
      </c>
      <c r="H414" s="4">
        <f>IFERROR(__xludf.DUMMYFUNCTION("""COMPUTED_VALUE"""),1639.0)</f>
        <v>1639</v>
      </c>
      <c r="I414" s="4">
        <f>IFERROR(__xludf.DUMMYFUNCTION("""COMPUTED_VALUE"""),542.0)</f>
        <v>542</v>
      </c>
      <c r="J414" s="4">
        <f>IFERROR(__xludf.DUMMYFUNCTION("""COMPUTED_VALUE"""),267.0)</f>
        <v>267</v>
      </c>
      <c r="K414" s="4">
        <f>IFERROR(__xludf.DUMMYFUNCTION("""COMPUTED_VALUE"""),66.0)</f>
        <v>66</v>
      </c>
      <c r="L414" s="4">
        <f>IFERROR(__xludf.DUMMYFUNCTION("""COMPUTED_VALUE"""),0.388)</f>
        <v>0.388</v>
      </c>
      <c r="M414" s="4">
        <f>IFERROR(__xludf.DUMMYFUNCTION("""COMPUTED_VALUE"""),0.256)</f>
        <v>0.256</v>
      </c>
      <c r="N414" s="4">
        <f>IFERROR(__xludf.DUMMYFUNCTION("""COMPUTED_VALUE"""),0.693)</f>
        <v>0.693</v>
      </c>
      <c r="O414" s="4">
        <f>IFERROR(__xludf.DUMMYFUNCTION("""COMPUTED_VALUE"""),17.1)</f>
        <v>17.1</v>
      </c>
      <c r="P414" s="4">
        <f>IFERROR(__xludf.DUMMYFUNCTION("""COMPUTED_VALUE"""),5.6)</f>
        <v>5.6</v>
      </c>
      <c r="Q414" s="4">
        <f>IFERROR(__xludf.DUMMYFUNCTION("""COMPUTED_VALUE"""),2.8)</f>
        <v>2.8</v>
      </c>
      <c r="R414" s="4">
        <f>IFERROR(__xludf.DUMMYFUNCTION("""COMPUTED_VALUE"""),0.7)</f>
        <v>0.7</v>
      </c>
      <c r="S414" s="4">
        <f>IFERROR(__xludf.DUMMYFUNCTION("""COMPUTED_VALUE"""),-0.4)</f>
        <v>-0.4</v>
      </c>
      <c r="T414" s="4">
        <f>IFERROR(__xludf.DUMMYFUNCTION("""COMPUTED_VALUE"""),-0.013)</f>
        <v>-0.013</v>
      </c>
      <c r="U414" s="4">
        <f>IFERROR(__xludf.DUMMYFUNCTION("""COMPUTED_VALUE"""),-6.5)</f>
        <v>-6.5</v>
      </c>
      <c r="V414" s="4">
        <f>IFERROR(__xludf.DUMMYFUNCTION("""COMPUTED_VALUE"""),-1.8)</f>
        <v>-1.8</v>
      </c>
    </row>
    <row r="415">
      <c r="A415" s="4">
        <f>IFERROR(__xludf.DUMMYFUNCTION("""COMPUTED_VALUE"""),16.0)</f>
        <v>16</v>
      </c>
      <c r="B415" s="4">
        <f>IFERROR(__xludf.DUMMYFUNCTION("""COMPUTED_VALUE"""),16.0)</f>
        <v>16</v>
      </c>
      <c r="C415" s="4" t="str">
        <f>IFERROR(__xludf.DUMMYFUNCTION("""COMPUTED_VALUE"""),"ORL")</f>
        <v>ORL</v>
      </c>
      <c r="D415" s="4" t="str">
        <f>IFERROR(__xludf.DUMMYFUNCTION("""COMPUTED_VALUE"""),"Chuma Okeke")</f>
        <v>Chuma Okeke</v>
      </c>
      <c r="E415" s="4" t="str">
        <f>IFERROR(__xludf.DUMMYFUNCTION("""COMPUTED_VALUE"""),"Auburn")</f>
        <v>Auburn</v>
      </c>
      <c r="F415" s="4">
        <f>IFERROR(__xludf.DUMMYFUNCTION("""COMPUTED_VALUE"""),5.0)</f>
        <v>5</v>
      </c>
      <c r="G415" s="4">
        <f>IFERROR(__xludf.DUMMYFUNCTION("""COMPUTED_VALUE"""),198.0)</f>
        <v>198</v>
      </c>
      <c r="H415" s="4">
        <f>IFERROR(__xludf.DUMMYFUNCTION("""COMPUTED_VALUE"""),4028.0)</f>
        <v>4028</v>
      </c>
      <c r="I415" s="4">
        <f>IFERROR(__xludf.DUMMYFUNCTION("""COMPUTED_VALUE"""),1242.0)</f>
        <v>1242</v>
      </c>
      <c r="J415" s="4">
        <f>IFERROR(__xludf.DUMMYFUNCTION("""COMPUTED_VALUE"""),751.0)</f>
        <v>751</v>
      </c>
      <c r="K415" s="4">
        <f>IFERROR(__xludf.DUMMYFUNCTION("""COMPUTED_VALUE"""),291.0)</f>
        <v>291</v>
      </c>
      <c r="L415" s="4">
        <f>IFERROR(__xludf.DUMMYFUNCTION("""COMPUTED_VALUE"""),0.387)</f>
        <v>0.387</v>
      </c>
      <c r="M415" s="4">
        <f>IFERROR(__xludf.DUMMYFUNCTION("""COMPUTED_VALUE"""),0.321)</f>
        <v>0.321</v>
      </c>
      <c r="N415" s="4">
        <f>IFERROR(__xludf.DUMMYFUNCTION("""COMPUTED_VALUE"""),0.787)</f>
        <v>0.787</v>
      </c>
      <c r="O415" s="4">
        <f>IFERROR(__xludf.DUMMYFUNCTION("""COMPUTED_VALUE"""),20.3)</f>
        <v>20.3</v>
      </c>
      <c r="P415" s="4">
        <f>IFERROR(__xludf.DUMMYFUNCTION("""COMPUTED_VALUE"""),6.3)</f>
        <v>6.3</v>
      </c>
      <c r="Q415" s="4">
        <f>IFERROR(__xludf.DUMMYFUNCTION("""COMPUTED_VALUE"""),3.8)</f>
        <v>3.8</v>
      </c>
      <c r="R415" s="4">
        <f>IFERROR(__xludf.DUMMYFUNCTION("""COMPUTED_VALUE"""),1.5)</f>
        <v>1.5</v>
      </c>
      <c r="S415" s="4">
        <f>IFERROR(__xludf.DUMMYFUNCTION("""COMPUTED_VALUE"""),5.0)</f>
        <v>5</v>
      </c>
      <c r="T415" s="4">
        <f>IFERROR(__xludf.DUMMYFUNCTION("""COMPUTED_VALUE"""),0.06)</f>
        <v>0.06</v>
      </c>
      <c r="U415" s="4">
        <f>IFERROR(__xludf.DUMMYFUNCTION("""COMPUTED_VALUE"""),-1.1)</f>
        <v>-1.1</v>
      </c>
      <c r="V415" s="4">
        <f>IFERROR(__xludf.DUMMYFUNCTION("""COMPUTED_VALUE"""),1.0)</f>
        <v>1</v>
      </c>
    </row>
    <row r="416">
      <c r="A416" s="4">
        <f>IFERROR(__xludf.DUMMYFUNCTION("""COMPUTED_VALUE"""),17.0)</f>
        <v>17</v>
      </c>
      <c r="B416" s="4">
        <f>IFERROR(__xludf.DUMMYFUNCTION("""COMPUTED_VALUE"""),17.0)</f>
        <v>17</v>
      </c>
      <c r="C416" s="4" t="str">
        <f>IFERROR(__xludf.DUMMYFUNCTION("""COMPUTED_VALUE"""),"BRK")</f>
        <v>BRK</v>
      </c>
      <c r="D416" s="4" t="str">
        <f>IFERROR(__xludf.DUMMYFUNCTION("""COMPUTED_VALUE"""),"Nickeil Alexander-Walker")</f>
        <v>Nickeil Alexander-Walker</v>
      </c>
      <c r="E416" s="4" t="str">
        <f>IFERROR(__xludf.DUMMYFUNCTION("""COMPUTED_VALUE"""),"Virginia Tech")</f>
        <v>Virginia Tech</v>
      </c>
      <c r="F416" s="4">
        <f>IFERROR(__xludf.DUMMYFUNCTION("""COMPUTED_VALUE"""),7.0)</f>
        <v>7</v>
      </c>
      <c r="G416" s="4">
        <f>IFERROR(__xludf.DUMMYFUNCTION("""COMPUTED_VALUE"""),401.0)</f>
        <v>401</v>
      </c>
      <c r="H416" s="4">
        <f>IFERROR(__xludf.DUMMYFUNCTION("""COMPUTED_VALUE"""),8598.0)</f>
        <v>8598</v>
      </c>
      <c r="I416" s="4">
        <f>IFERROR(__xludf.DUMMYFUNCTION("""COMPUTED_VALUE"""),3665.0)</f>
        <v>3665</v>
      </c>
      <c r="J416" s="4">
        <f>IFERROR(__xludf.DUMMYFUNCTION("""COMPUTED_VALUE"""),1015.0)</f>
        <v>1015</v>
      </c>
      <c r="K416" s="4">
        <f>IFERROR(__xludf.DUMMYFUNCTION("""COMPUTED_VALUE"""),953.0)</f>
        <v>953</v>
      </c>
      <c r="L416" s="4">
        <f>IFERROR(__xludf.DUMMYFUNCTION("""COMPUTED_VALUE"""),0.419)</f>
        <v>0.419</v>
      </c>
      <c r="M416" s="4">
        <f>IFERROR(__xludf.DUMMYFUNCTION("""COMPUTED_VALUE"""),0.363)</f>
        <v>0.363</v>
      </c>
      <c r="N416" s="4">
        <f>IFERROR(__xludf.DUMMYFUNCTION("""COMPUTED_VALUE"""),0.761)</f>
        <v>0.761</v>
      </c>
      <c r="O416" s="4">
        <f>IFERROR(__xludf.DUMMYFUNCTION("""COMPUTED_VALUE"""),21.4)</f>
        <v>21.4</v>
      </c>
      <c r="P416" s="4">
        <f>IFERROR(__xludf.DUMMYFUNCTION("""COMPUTED_VALUE"""),9.1)</f>
        <v>9.1</v>
      </c>
      <c r="Q416" s="4">
        <f>IFERROR(__xludf.DUMMYFUNCTION("""COMPUTED_VALUE"""),2.5)</f>
        <v>2.5</v>
      </c>
      <c r="R416" s="4">
        <f>IFERROR(__xludf.DUMMYFUNCTION("""COMPUTED_VALUE"""),2.4)</f>
        <v>2.4</v>
      </c>
      <c r="S416" s="4">
        <f>IFERROR(__xludf.DUMMYFUNCTION("""COMPUTED_VALUE"""),11.5)</f>
        <v>11.5</v>
      </c>
      <c r="T416" s="4">
        <f>IFERROR(__xludf.DUMMYFUNCTION("""COMPUTED_VALUE"""),0.064)</f>
        <v>0.064</v>
      </c>
      <c r="U416" s="4">
        <f>IFERROR(__xludf.DUMMYFUNCTION("""COMPUTED_VALUE"""),-1.1)</f>
        <v>-1.1</v>
      </c>
      <c r="V416" s="4">
        <f>IFERROR(__xludf.DUMMYFUNCTION("""COMPUTED_VALUE"""),1.9)</f>
        <v>1.9</v>
      </c>
    </row>
    <row r="417">
      <c r="A417" s="4">
        <f>IFERROR(__xludf.DUMMYFUNCTION("""COMPUTED_VALUE"""),18.0)</f>
        <v>18</v>
      </c>
      <c r="B417" s="4">
        <f>IFERROR(__xludf.DUMMYFUNCTION("""COMPUTED_VALUE"""),18.0)</f>
        <v>18</v>
      </c>
      <c r="C417" s="4" t="str">
        <f>IFERROR(__xludf.DUMMYFUNCTION("""COMPUTED_VALUE"""),"IND")</f>
        <v>IND</v>
      </c>
      <c r="D417" s="4" t="str">
        <f>IFERROR(__xludf.DUMMYFUNCTION("""COMPUTED_VALUE"""),"Goga Bitadze")</f>
        <v>Goga Bitadze</v>
      </c>
      <c r="E417" s="4"/>
      <c r="F417" s="4">
        <f>IFERROR(__xludf.DUMMYFUNCTION("""COMPUTED_VALUE"""),7.0)</f>
        <v>7</v>
      </c>
      <c r="G417" s="4">
        <f>IFERROR(__xludf.DUMMYFUNCTION("""COMPUTED_VALUE"""),339.0)</f>
        <v>339</v>
      </c>
      <c r="H417" s="4">
        <f>IFERROR(__xludf.DUMMYFUNCTION("""COMPUTED_VALUE"""),4941.0)</f>
        <v>4941</v>
      </c>
      <c r="I417" s="4">
        <f>IFERROR(__xludf.DUMMYFUNCTION("""COMPUTED_VALUE"""),1859.0)</f>
        <v>1859</v>
      </c>
      <c r="J417" s="4">
        <f>IFERROR(__xludf.DUMMYFUNCTION("""COMPUTED_VALUE"""),1422.0)</f>
        <v>1422</v>
      </c>
      <c r="K417" s="4">
        <f>IFERROR(__xludf.DUMMYFUNCTION("""COMPUTED_VALUE"""),400.0)</f>
        <v>400</v>
      </c>
      <c r="L417" s="4">
        <f>IFERROR(__xludf.DUMMYFUNCTION("""COMPUTED_VALUE"""),0.549)</f>
        <v>0.549</v>
      </c>
      <c r="M417" s="4">
        <f>IFERROR(__xludf.DUMMYFUNCTION("""COMPUTED_VALUE"""),0.232)</f>
        <v>0.232</v>
      </c>
      <c r="N417" s="4">
        <f>IFERROR(__xludf.DUMMYFUNCTION("""COMPUTED_VALUE"""),0.67)</f>
        <v>0.67</v>
      </c>
      <c r="O417" s="4">
        <f>IFERROR(__xludf.DUMMYFUNCTION("""COMPUTED_VALUE"""),14.6)</f>
        <v>14.6</v>
      </c>
      <c r="P417" s="4">
        <f>IFERROR(__xludf.DUMMYFUNCTION("""COMPUTED_VALUE"""),5.5)</f>
        <v>5.5</v>
      </c>
      <c r="Q417" s="4">
        <f>IFERROR(__xludf.DUMMYFUNCTION("""COMPUTED_VALUE"""),4.2)</f>
        <v>4.2</v>
      </c>
      <c r="R417" s="4">
        <f>IFERROR(__xludf.DUMMYFUNCTION("""COMPUTED_VALUE"""),1.2)</f>
        <v>1.2</v>
      </c>
      <c r="S417" s="4">
        <f>IFERROR(__xludf.DUMMYFUNCTION("""COMPUTED_VALUE"""),16.6)</f>
        <v>16.6</v>
      </c>
      <c r="T417" s="4">
        <f>IFERROR(__xludf.DUMMYFUNCTION("""COMPUTED_VALUE"""),0.161)</f>
        <v>0.161</v>
      </c>
      <c r="U417" s="4">
        <f>IFERROR(__xludf.DUMMYFUNCTION("""COMPUTED_VALUE"""),1.1)</f>
        <v>1.1</v>
      </c>
      <c r="V417" s="4">
        <f>IFERROR(__xludf.DUMMYFUNCTION("""COMPUTED_VALUE"""),3.9)</f>
        <v>3.9</v>
      </c>
    </row>
    <row r="418">
      <c r="A418" s="4">
        <f>IFERROR(__xludf.DUMMYFUNCTION("""COMPUTED_VALUE"""),19.0)</f>
        <v>19</v>
      </c>
      <c r="B418" s="4">
        <f>IFERROR(__xludf.DUMMYFUNCTION("""COMPUTED_VALUE"""),19.0)</f>
        <v>19</v>
      </c>
      <c r="C418" s="4" t="str">
        <f>IFERROR(__xludf.DUMMYFUNCTION("""COMPUTED_VALUE"""),"SAS")</f>
        <v>SAS</v>
      </c>
      <c r="D418" s="4" t="str">
        <f>IFERROR(__xludf.DUMMYFUNCTION("""COMPUTED_VALUE"""),"Luka Šamanić")</f>
        <v>Luka Šamanić</v>
      </c>
      <c r="E418" s="4"/>
      <c r="F418" s="4">
        <f>IFERROR(__xludf.DUMMYFUNCTION("""COMPUTED_VALUE"""),4.0)</f>
        <v>4</v>
      </c>
      <c r="G418" s="4">
        <f>IFERROR(__xludf.DUMMYFUNCTION("""COMPUTED_VALUE"""),86.0)</f>
        <v>86</v>
      </c>
      <c r="H418" s="4">
        <f>IFERROR(__xludf.DUMMYFUNCTION("""COMPUTED_VALUE"""),921.0)</f>
        <v>921</v>
      </c>
      <c r="I418" s="4">
        <f>IFERROR(__xludf.DUMMYFUNCTION("""COMPUTED_VALUE"""),384.0)</f>
        <v>384</v>
      </c>
      <c r="J418" s="4">
        <f>IFERROR(__xludf.DUMMYFUNCTION("""COMPUTED_VALUE"""),210.0)</f>
        <v>210</v>
      </c>
      <c r="K418" s="4">
        <f>IFERROR(__xludf.DUMMYFUNCTION("""COMPUTED_VALUE"""),55.0)</f>
        <v>55</v>
      </c>
      <c r="L418" s="4">
        <f>IFERROR(__xludf.DUMMYFUNCTION("""COMPUTED_VALUE"""),0.411)</f>
        <v>0.411</v>
      </c>
      <c r="M418" s="4">
        <f>IFERROR(__xludf.DUMMYFUNCTION("""COMPUTED_VALUE"""),0.247)</f>
        <v>0.247</v>
      </c>
      <c r="N418" s="4">
        <f>IFERROR(__xludf.DUMMYFUNCTION("""COMPUTED_VALUE"""),0.706)</f>
        <v>0.706</v>
      </c>
      <c r="O418" s="4">
        <f>IFERROR(__xludf.DUMMYFUNCTION("""COMPUTED_VALUE"""),10.7)</f>
        <v>10.7</v>
      </c>
      <c r="P418" s="4">
        <f>IFERROR(__xludf.DUMMYFUNCTION("""COMPUTED_VALUE"""),4.5)</f>
        <v>4.5</v>
      </c>
      <c r="Q418" s="4">
        <f>IFERROR(__xludf.DUMMYFUNCTION("""COMPUTED_VALUE"""),2.4)</f>
        <v>2.4</v>
      </c>
      <c r="R418" s="4">
        <f>IFERROR(__xludf.DUMMYFUNCTION("""COMPUTED_VALUE"""),0.6)</f>
        <v>0.6</v>
      </c>
      <c r="S418" s="4">
        <f>IFERROR(__xludf.DUMMYFUNCTION("""COMPUTED_VALUE"""),0.0)</f>
        <v>0</v>
      </c>
      <c r="T418" s="4">
        <f>IFERROR(__xludf.DUMMYFUNCTION("""COMPUTED_VALUE"""),0.001)</f>
        <v>0.001</v>
      </c>
      <c r="U418" s="4">
        <f>IFERROR(__xludf.DUMMYFUNCTION("""COMPUTED_VALUE"""),-5.6)</f>
        <v>-5.6</v>
      </c>
      <c r="V418" s="4">
        <f>IFERROR(__xludf.DUMMYFUNCTION("""COMPUTED_VALUE"""),-0.8)</f>
        <v>-0.8</v>
      </c>
    </row>
    <row r="419">
      <c r="A419" s="4">
        <f>IFERROR(__xludf.DUMMYFUNCTION("""COMPUTED_VALUE"""),20.0)</f>
        <v>20</v>
      </c>
      <c r="B419" s="4">
        <f>IFERROR(__xludf.DUMMYFUNCTION("""COMPUTED_VALUE"""),20.0)</f>
        <v>20</v>
      </c>
      <c r="C419" s="4" t="str">
        <f>IFERROR(__xludf.DUMMYFUNCTION("""COMPUTED_VALUE"""),"BOS")</f>
        <v>BOS</v>
      </c>
      <c r="D419" s="4" t="str">
        <f>IFERROR(__xludf.DUMMYFUNCTION("""COMPUTED_VALUE"""),"Matisse Thybulle")</f>
        <v>Matisse Thybulle</v>
      </c>
      <c r="E419" s="4" t="str">
        <f>IFERROR(__xludf.DUMMYFUNCTION("""COMPUTED_VALUE"""),"Washington")</f>
        <v>Washington</v>
      </c>
      <c r="F419" s="4">
        <f>IFERROR(__xludf.DUMMYFUNCTION("""COMPUTED_VALUE"""),7.0)</f>
        <v>7</v>
      </c>
      <c r="G419" s="4">
        <f>IFERROR(__xludf.DUMMYFUNCTION("""COMPUTED_VALUE"""),351.0)</f>
        <v>351</v>
      </c>
      <c r="H419" s="4">
        <f>IFERROR(__xludf.DUMMYFUNCTION("""COMPUTED_VALUE"""),7318.0)</f>
        <v>7318</v>
      </c>
      <c r="I419" s="4">
        <f>IFERROR(__xludf.DUMMYFUNCTION("""COMPUTED_VALUE"""),1718.0)</f>
        <v>1718</v>
      </c>
      <c r="J419" s="4">
        <f>IFERROR(__xludf.DUMMYFUNCTION("""COMPUTED_VALUE"""),714.0)</f>
        <v>714</v>
      </c>
      <c r="K419" s="4">
        <f>IFERROR(__xludf.DUMMYFUNCTION("""COMPUTED_VALUE"""),391.0)</f>
        <v>391</v>
      </c>
      <c r="L419" s="4">
        <f>IFERROR(__xludf.DUMMYFUNCTION("""COMPUTED_VALUE"""),0.439)</f>
        <v>0.439</v>
      </c>
      <c r="M419" s="4">
        <f>IFERROR(__xludf.DUMMYFUNCTION("""COMPUTED_VALUE"""),0.345)</f>
        <v>0.345</v>
      </c>
      <c r="N419" s="4">
        <f>IFERROR(__xludf.DUMMYFUNCTION("""COMPUTED_VALUE"""),0.669)</f>
        <v>0.669</v>
      </c>
      <c r="O419" s="4">
        <f>IFERROR(__xludf.DUMMYFUNCTION("""COMPUTED_VALUE"""),20.8)</f>
        <v>20.8</v>
      </c>
      <c r="P419" s="4">
        <f>IFERROR(__xludf.DUMMYFUNCTION("""COMPUTED_VALUE"""),4.9)</f>
        <v>4.9</v>
      </c>
      <c r="Q419" s="4">
        <f>IFERROR(__xludf.DUMMYFUNCTION("""COMPUTED_VALUE"""),2.0)</f>
        <v>2</v>
      </c>
      <c r="R419" s="4">
        <f>IFERROR(__xludf.DUMMYFUNCTION("""COMPUTED_VALUE"""),1.1)</f>
        <v>1.1</v>
      </c>
      <c r="S419" s="4">
        <f>IFERROR(__xludf.DUMMYFUNCTION("""COMPUTED_VALUE"""),14.4)</f>
        <v>14.4</v>
      </c>
      <c r="T419" s="4">
        <f>IFERROR(__xludf.DUMMYFUNCTION("""COMPUTED_VALUE"""),0.095)</f>
        <v>0.095</v>
      </c>
      <c r="U419" s="4">
        <f>IFERROR(__xludf.DUMMYFUNCTION("""COMPUTED_VALUE"""),1.0)</f>
        <v>1</v>
      </c>
      <c r="V419" s="4">
        <f>IFERROR(__xludf.DUMMYFUNCTION("""COMPUTED_VALUE"""),5.5)</f>
        <v>5.5</v>
      </c>
    </row>
    <row r="420">
      <c r="A420" s="4">
        <f>IFERROR(__xludf.DUMMYFUNCTION("""COMPUTED_VALUE"""),21.0)</f>
        <v>21</v>
      </c>
      <c r="B420" s="4">
        <f>IFERROR(__xludf.DUMMYFUNCTION("""COMPUTED_VALUE"""),21.0)</f>
        <v>21</v>
      </c>
      <c r="C420" s="4" t="str">
        <f>IFERROR(__xludf.DUMMYFUNCTION("""COMPUTED_VALUE"""),"OKC")</f>
        <v>OKC</v>
      </c>
      <c r="D420" s="4" t="str">
        <f>IFERROR(__xludf.DUMMYFUNCTION("""COMPUTED_VALUE"""),"Brandon Clarke")</f>
        <v>Brandon Clarke</v>
      </c>
      <c r="E420" s="4" t="str">
        <f>IFERROR(__xludf.DUMMYFUNCTION("""COMPUTED_VALUE"""),"Gonzaga")</f>
        <v>Gonzaga</v>
      </c>
      <c r="F420" s="4">
        <f>IFERROR(__xludf.DUMMYFUNCTION("""COMPUTED_VALUE"""),6.0)</f>
        <v>6</v>
      </c>
      <c r="G420" s="4">
        <f>IFERROR(__xludf.DUMMYFUNCTION("""COMPUTED_VALUE"""),307.0)</f>
        <v>307</v>
      </c>
      <c r="H420" s="4">
        <f>IFERROR(__xludf.DUMMYFUNCTION("""COMPUTED_VALUE"""),6392.0)</f>
        <v>6392</v>
      </c>
      <c r="I420" s="4">
        <f>IFERROR(__xludf.DUMMYFUNCTION("""COMPUTED_VALUE"""),3136.0)</f>
        <v>3136</v>
      </c>
      <c r="J420" s="4">
        <f>IFERROR(__xludf.DUMMYFUNCTION("""COMPUTED_VALUE"""),1683.0)</f>
        <v>1683</v>
      </c>
      <c r="K420" s="4">
        <f>IFERROR(__xludf.DUMMYFUNCTION("""COMPUTED_VALUE"""),409.0)</f>
        <v>409</v>
      </c>
      <c r="L420" s="4">
        <f>IFERROR(__xludf.DUMMYFUNCTION("""COMPUTED_VALUE"""),0.606)</f>
        <v>0.606</v>
      </c>
      <c r="M420" s="4">
        <f>IFERROR(__xludf.DUMMYFUNCTION("""COMPUTED_VALUE"""),0.266)</f>
        <v>0.266</v>
      </c>
      <c r="N420" s="4">
        <f>IFERROR(__xludf.DUMMYFUNCTION("""COMPUTED_VALUE"""),0.698)</f>
        <v>0.698</v>
      </c>
      <c r="O420" s="4">
        <f>IFERROR(__xludf.DUMMYFUNCTION("""COMPUTED_VALUE"""),20.8)</f>
        <v>20.8</v>
      </c>
      <c r="P420" s="4">
        <f>IFERROR(__xludf.DUMMYFUNCTION("""COMPUTED_VALUE"""),10.2)</f>
        <v>10.2</v>
      </c>
      <c r="Q420" s="4">
        <f>IFERROR(__xludf.DUMMYFUNCTION("""COMPUTED_VALUE"""),5.5)</f>
        <v>5.5</v>
      </c>
      <c r="R420" s="4">
        <f>IFERROR(__xludf.DUMMYFUNCTION("""COMPUTED_VALUE"""),1.3)</f>
        <v>1.3</v>
      </c>
      <c r="S420" s="4">
        <f>IFERROR(__xludf.DUMMYFUNCTION("""COMPUTED_VALUE"""),24.6)</f>
        <v>24.6</v>
      </c>
      <c r="T420" s="4">
        <f>IFERROR(__xludf.DUMMYFUNCTION("""COMPUTED_VALUE"""),0.185)</f>
        <v>0.185</v>
      </c>
      <c r="U420" s="4">
        <f>IFERROR(__xludf.DUMMYFUNCTION("""COMPUTED_VALUE"""),2.4)</f>
        <v>2.4</v>
      </c>
      <c r="V420" s="4">
        <f>IFERROR(__xludf.DUMMYFUNCTION("""COMPUTED_VALUE"""),7.1)</f>
        <v>7.1</v>
      </c>
    </row>
    <row r="421">
      <c r="A421" s="4">
        <f>IFERROR(__xludf.DUMMYFUNCTION("""COMPUTED_VALUE"""),22.0)</f>
        <v>22</v>
      </c>
      <c r="B421" s="4">
        <f>IFERROR(__xludf.DUMMYFUNCTION("""COMPUTED_VALUE"""),22.0)</f>
        <v>22</v>
      </c>
      <c r="C421" s="4" t="str">
        <f>IFERROR(__xludf.DUMMYFUNCTION("""COMPUTED_VALUE"""),"BOS")</f>
        <v>BOS</v>
      </c>
      <c r="D421" s="4" t="str">
        <f>IFERROR(__xludf.DUMMYFUNCTION("""COMPUTED_VALUE"""),"Grant Williams")</f>
        <v>Grant Williams</v>
      </c>
      <c r="E421" s="4" t="str">
        <f>IFERROR(__xludf.DUMMYFUNCTION("""COMPUTED_VALUE"""),"Tennessee")</f>
        <v>Tennessee</v>
      </c>
      <c r="F421" s="4">
        <f>IFERROR(__xludf.DUMMYFUNCTION("""COMPUTED_VALUE"""),6.0)</f>
        <v>6</v>
      </c>
      <c r="G421" s="4">
        <f>IFERROR(__xludf.DUMMYFUNCTION("""COMPUTED_VALUE"""),380.0)</f>
        <v>380</v>
      </c>
      <c r="H421" s="4">
        <f>IFERROR(__xludf.DUMMYFUNCTION("""COMPUTED_VALUE"""),8710.0)</f>
        <v>8710</v>
      </c>
      <c r="I421" s="4">
        <f>IFERROR(__xludf.DUMMYFUNCTION("""COMPUTED_VALUE"""),2724.0)</f>
        <v>2724</v>
      </c>
      <c r="J421" s="4">
        <f>IFERROR(__xludf.DUMMYFUNCTION("""COMPUTED_VALUE"""),1393.0)</f>
        <v>1393</v>
      </c>
      <c r="K421" s="4">
        <f>IFERROR(__xludf.DUMMYFUNCTION("""COMPUTED_VALUE"""),552.0)</f>
        <v>552</v>
      </c>
      <c r="L421" s="4">
        <f>IFERROR(__xludf.DUMMYFUNCTION("""COMPUTED_VALUE"""),0.452)</f>
        <v>0.452</v>
      </c>
      <c r="M421" s="4">
        <f>IFERROR(__xludf.DUMMYFUNCTION("""COMPUTED_VALUE"""),0.377)</f>
        <v>0.377</v>
      </c>
      <c r="N421" s="4">
        <f>IFERROR(__xludf.DUMMYFUNCTION("""COMPUTED_VALUE"""),0.774)</f>
        <v>0.774</v>
      </c>
      <c r="O421" s="4">
        <f>IFERROR(__xludf.DUMMYFUNCTION("""COMPUTED_VALUE"""),22.9)</f>
        <v>22.9</v>
      </c>
      <c r="P421" s="4">
        <f>IFERROR(__xludf.DUMMYFUNCTION("""COMPUTED_VALUE"""),7.2)</f>
        <v>7.2</v>
      </c>
      <c r="Q421" s="4">
        <f>IFERROR(__xludf.DUMMYFUNCTION("""COMPUTED_VALUE"""),3.7)</f>
        <v>3.7</v>
      </c>
      <c r="R421" s="4">
        <f>IFERROR(__xludf.DUMMYFUNCTION("""COMPUTED_VALUE"""),1.5)</f>
        <v>1.5</v>
      </c>
      <c r="S421" s="4">
        <f>IFERROR(__xludf.DUMMYFUNCTION("""COMPUTED_VALUE"""),15.5)</f>
        <v>15.5</v>
      </c>
      <c r="T421" s="4">
        <f>IFERROR(__xludf.DUMMYFUNCTION("""COMPUTED_VALUE"""),0.085)</f>
        <v>0.085</v>
      </c>
      <c r="U421" s="4">
        <f>IFERROR(__xludf.DUMMYFUNCTION("""COMPUTED_VALUE"""),-1.9)</f>
        <v>-1.9</v>
      </c>
      <c r="V421" s="4">
        <f>IFERROR(__xludf.DUMMYFUNCTION("""COMPUTED_VALUE"""),0.3)</f>
        <v>0.3</v>
      </c>
    </row>
    <row r="422">
      <c r="A422" s="4">
        <f>IFERROR(__xludf.DUMMYFUNCTION("""COMPUTED_VALUE"""),23.0)</f>
        <v>23</v>
      </c>
      <c r="B422" s="4">
        <f>IFERROR(__xludf.DUMMYFUNCTION("""COMPUTED_VALUE"""),23.0)</f>
        <v>23</v>
      </c>
      <c r="C422" s="4" t="str">
        <f>IFERROR(__xludf.DUMMYFUNCTION("""COMPUTED_VALUE"""),"UTA")</f>
        <v>UTA</v>
      </c>
      <c r="D422" s="4" t="str">
        <f>IFERROR(__xludf.DUMMYFUNCTION("""COMPUTED_VALUE"""),"Darius Bazley")</f>
        <v>Darius Bazley</v>
      </c>
      <c r="E422" s="4"/>
      <c r="F422" s="4">
        <f>IFERROR(__xludf.DUMMYFUNCTION("""COMPUTED_VALUE"""),5.0)</f>
        <v>5</v>
      </c>
      <c r="G422" s="4">
        <f>IFERROR(__xludf.DUMMYFUNCTION("""COMPUTED_VALUE"""),237.0)</f>
        <v>237</v>
      </c>
      <c r="H422" s="4">
        <f>IFERROR(__xludf.DUMMYFUNCTION("""COMPUTED_VALUE"""),5536.0)</f>
        <v>5536</v>
      </c>
      <c r="I422" s="4">
        <f>IFERROR(__xludf.DUMMYFUNCTION("""COMPUTED_VALUE"""),2113.0)</f>
        <v>2113</v>
      </c>
      <c r="J422" s="4">
        <f>IFERROR(__xludf.DUMMYFUNCTION("""COMPUTED_VALUE"""),1244.0)</f>
        <v>1244</v>
      </c>
      <c r="K422" s="4">
        <f>IFERROR(__xludf.DUMMYFUNCTION("""COMPUTED_VALUE"""),282.0)</f>
        <v>282</v>
      </c>
      <c r="L422" s="4">
        <f>IFERROR(__xludf.DUMMYFUNCTION("""COMPUTED_VALUE"""),0.414)</f>
        <v>0.414</v>
      </c>
      <c r="M422" s="4">
        <f>IFERROR(__xludf.DUMMYFUNCTION("""COMPUTED_VALUE"""),0.309)</f>
        <v>0.309</v>
      </c>
      <c r="N422" s="4">
        <f>IFERROR(__xludf.DUMMYFUNCTION("""COMPUTED_VALUE"""),0.677)</f>
        <v>0.677</v>
      </c>
      <c r="O422" s="4">
        <f>IFERROR(__xludf.DUMMYFUNCTION("""COMPUTED_VALUE"""),23.4)</f>
        <v>23.4</v>
      </c>
      <c r="P422" s="4">
        <f>IFERROR(__xludf.DUMMYFUNCTION("""COMPUTED_VALUE"""),8.9)</f>
        <v>8.9</v>
      </c>
      <c r="Q422" s="4">
        <f>IFERROR(__xludf.DUMMYFUNCTION("""COMPUTED_VALUE"""),5.2)</f>
        <v>5.2</v>
      </c>
      <c r="R422" s="4">
        <f>IFERROR(__xludf.DUMMYFUNCTION("""COMPUTED_VALUE"""),1.2)</f>
        <v>1.2</v>
      </c>
      <c r="S422" s="4">
        <f>IFERROR(__xludf.DUMMYFUNCTION("""COMPUTED_VALUE"""),3.1)</f>
        <v>3.1</v>
      </c>
      <c r="T422" s="4">
        <f>IFERROR(__xludf.DUMMYFUNCTION("""COMPUTED_VALUE"""),0.027)</f>
        <v>0.027</v>
      </c>
      <c r="U422" s="4">
        <f>IFERROR(__xludf.DUMMYFUNCTION("""COMPUTED_VALUE"""),-2.4)</f>
        <v>-2.4</v>
      </c>
      <c r="V422" s="4">
        <f>IFERROR(__xludf.DUMMYFUNCTION("""COMPUTED_VALUE"""),-0.6)</f>
        <v>-0.6</v>
      </c>
    </row>
    <row r="423">
      <c r="A423" s="4">
        <f>IFERROR(__xludf.DUMMYFUNCTION("""COMPUTED_VALUE"""),24.0)</f>
        <v>24</v>
      </c>
      <c r="B423" s="4">
        <f>IFERROR(__xludf.DUMMYFUNCTION("""COMPUTED_VALUE"""),24.0)</f>
        <v>24</v>
      </c>
      <c r="C423" s="4" t="str">
        <f>IFERROR(__xludf.DUMMYFUNCTION("""COMPUTED_VALUE"""),"PHI")</f>
        <v>PHI</v>
      </c>
      <c r="D423" s="4" t="str">
        <f>IFERROR(__xludf.DUMMYFUNCTION("""COMPUTED_VALUE"""),"Ty Jerome")</f>
        <v>Ty Jerome</v>
      </c>
      <c r="E423" s="4" t="str">
        <f>IFERROR(__xludf.DUMMYFUNCTION("""COMPUTED_VALUE"""),"Virginia")</f>
        <v>Virginia</v>
      </c>
      <c r="F423" s="4">
        <f>IFERROR(__xludf.DUMMYFUNCTION("""COMPUTED_VALUE"""),6.0)</f>
        <v>6</v>
      </c>
      <c r="G423" s="4">
        <f>IFERROR(__xludf.DUMMYFUNCTION("""COMPUTED_VALUE"""),229.0)</f>
        <v>229</v>
      </c>
      <c r="H423" s="4">
        <f>IFERROR(__xludf.DUMMYFUNCTION("""COMPUTED_VALUE"""),4141.0)</f>
        <v>4141</v>
      </c>
      <c r="I423" s="4">
        <f>IFERROR(__xludf.DUMMYFUNCTION("""COMPUTED_VALUE"""),1986.0)</f>
        <v>1986</v>
      </c>
      <c r="J423" s="4">
        <f>IFERROR(__xludf.DUMMYFUNCTION("""COMPUTED_VALUE"""),467.0)</f>
        <v>467</v>
      </c>
      <c r="K423" s="4">
        <f>IFERROR(__xludf.DUMMYFUNCTION("""COMPUTED_VALUE"""),648.0)</f>
        <v>648</v>
      </c>
      <c r="L423" s="4">
        <f>IFERROR(__xludf.DUMMYFUNCTION("""COMPUTED_VALUE"""),0.458)</f>
        <v>0.458</v>
      </c>
      <c r="M423" s="4">
        <f>IFERROR(__xludf.DUMMYFUNCTION("""COMPUTED_VALUE"""),0.381)</f>
        <v>0.381</v>
      </c>
      <c r="N423" s="4">
        <f>IFERROR(__xludf.DUMMYFUNCTION("""COMPUTED_VALUE"""),0.85)</f>
        <v>0.85</v>
      </c>
      <c r="O423" s="4">
        <f>IFERROR(__xludf.DUMMYFUNCTION("""COMPUTED_VALUE"""),18.1)</f>
        <v>18.1</v>
      </c>
      <c r="P423" s="4">
        <f>IFERROR(__xludf.DUMMYFUNCTION("""COMPUTED_VALUE"""),8.7)</f>
        <v>8.7</v>
      </c>
      <c r="Q423" s="4">
        <f>IFERROR(__xludf.DUMMYFUNCTION("""COMPUTED_VALUE"""),2.0)</f>
        <v>2</v>
      </c>
      <c r="R423" s="4">
        <f>IFERROR(__xludf.DUMMYFUNCTION("""COMPUTED_VALUE"""),2.8)</f>
        <v>2.8</v>
      </c>
      <c r="S423" s="4">
        <f>IFERROR(__xludf.DUMMYFUNCTION("""COMPUTED_VALUE"""),9.9)</f>
        <v>9.9</v>
      </c>
      <c r="T423" s="4">
        <f>IFERROR(__xludf.DUMMYFUNCTION("""COMPUTED_VALUE"""),0.114)</f>
        <v>0.114</v>
      </c>
      <c r="U423" s="4">
        <f>IFERROR(__xludf.DUMMYFUNCTION("""COMPUTED_VALUE"""),0.4)</f>
        <v>0.4</v>
      </c>
      <c r="V423" s="4">
        <f>IFERROR(__xludf.DUMMYFUNCTION("""COMPUTED_VALUE"""),2.5)</f>
        <v>2.5</v>
      </c>
    </row>
    <row r="424">
      <c r="A424" s="4">
        <f>IFERROR(__xludf.DUMMYFUNCTION("""COMPUTED_VALUE"""),25.0)</f>
        <v>25</v>
      </c>
      <c r="B424" s="4">
        <f>IFERROR(__xludf.DUMMYFUNCTION("""COMPUTED_VALUE"""),25.0)</f>
        <v>25</v>
      </c>
      <c r="C424" s="4" t="str">
        <f>IFERROR(__xludf.DUMMYFUNCTION("""COMPUTED_VALUE"""),"POR")</f>
        <v>POR</v>
      </c>
      <c r="D424" s="4" t="str">
        <f>IFERROR(__xludf.DUMMYFUNCTION("""COMPUTED_VALUE"""),"Nassir Little")</f>
        <v>Nassir Little</v>
      </c>
      <c r="E424" s="4" t="str">
        <f>IFERROR(__xludf.DUMMYFUNCTION("""COMPUTED_VALUE"""),"UNC")</f>
        <v>UNC</v>
      </c>
      <c r="F424" s="4">
        <f>IFERROR(__xludf.DUMMYFUNCTION("""COMPUTED_VALUE"""),5.0)</f>
        <v>5</v>
      </c>
      <c r="G424" s="4">
        <f>IFERROR(__xludf.DUMMYFUNCTION("""COMPUTED_VALUE"""),237.0)</f>
        <v>237</v>
      </c>
      <c r="H424" s="4">
        <f>IFERROR(__xludf.DUMMYFUNCTION("""COMPUTED_VALUE"""),3735.0)</f>
        <v>3735</v>
      </c>
      <c r="I424" s="4">
        <f>IFERROR(__xludf.DUMMYFUNCTION("""COMPUTED_VALUE"""),1313.0)</f>
        <v>1313</v>
      </c>
      <c r="J424" s="4">
        <f>IFERROR(__xludf.DUMMYFUNCTION("""COMPUTED_VALUE"""),688.0)</f>
        <v>688</v>
      </c>
      <c r="K424" s="4">
        <f>IFERROR(__xludf.DUMMYFUNCTION("""COMPUTED_VALUE"""),170.0)</f>
        <v>170</v>
      </c>
      <c r="L424" s="4">
        <f>IFERROR(__xludf.DUMMYFUNCTION("""COMPUTED_VALUE"""),0.452)</f>
        <v>0.452</v>
      </c>
      <c r="M424" s="4">
        <f>IFERROR(__xludf.DUMMYFUNCTION("""COMPUTED_VALUE"""),0.33)</f>
        <v>0.33</v>
      </c>
      <c r="N424" s="4">
        <f>IFERROR(__xludf.DUMMYFUNCTION("""COMPUTED_VALUE"""),0.735)</f>
        <v>0.735</v>
      </c>
      <c r="O424" s="4">
        <f>IFERROR(__xludf.DUMMYFUNCTION("""COMPUTED_VALUE"""),15.8)</f>
        <v>15.8</v>
      </c>
      <c r="P424" s="4">
        <f>IFERROR(__xludf.DUMMYFUNCTION("""COMPUTED_VALUE"""),5.5)</f>
        <v>5.5</v>
      </c>
      <c r="Q424" s="4">
        <f>IFERROR(__xludf.DUMMYFUNCTION("""COMPUTED_VALUE"""),2.9)</f>
        <v>2.9</v>
      </c>
      <c r="R424" s="4">
        <f>IFERROR(__xludf.DUMMYFUNCTION("""COMPUTED_VALUE"""),0.7)</f>
        <v>0.7</v>
      </c>
      <c r="S424" s="4">
        <f>IFERROR(__xludf.DUMMYFUNCTION("""COMPUTED_VALUE"""),4.7)</f>
        <v>4.7</v>
      </c>
      <c r="T424" s="4">
        <f>IFERROR(__xludf.DUMMYFUNCTION("""COMPUTED_VALUE"""),0.061)</f>
        <v>0.061</v>
      </c>
      <c r="U424" s="4">
        <f>IFERROR(__xludf.DUMMYFUNCTION("""COMPUTED_VALUE"""),-2.6)</f>
        <v>-2.6</v>
      </c>
      <c r="V424" s="4">
        <f>IFERROR(__xludf.DUMMYFUNCTION("""COMPUTED_VALUE"""),-0.5)</f>
        <v>-0.5</v>
      </c>
    </row>
    <row r="425">
      <c r="A425" s="4">
        <f>IFERROR(__xludf.DUMMYFUNCTION("""COMPUTED_VALUE"""),26.0)</f>
        <v>26</v>
      </c>
      <c r="B425" s="4">
        <f>IFERROR(__xludf.DUMMYFUNCTION("""COMPUTED_VALUE"""),26.0)</f>
        <v>26</v>
      </c>
      <c r="C425" s="4" t="str">
        <f>IFERROR(__xludf.DUMMYFUNCTION("""COMPUTED_VALUE"""),"CLE")</f>
        <v>CLE</v>
      </c>
      <c r="D425" s="4" t="str">
        <f>IFERROR(__xludf.DUMMYFUNCTION("""COMPUTED_VALUE"""),"Dylan Windler")</f>
        <v>Dylan Windler</v>
      </c>
      <c r="E425" s="4" t="str">
        <f>IFERROR(__xludf.DUMMYFUNCTION("""COMPUTED_VALUE"""),"Belmont")</f>
        <v>Belmont</v>
      </c>
      <c r="F425" s="4">
        <f>IFERROR(__xludf.DUMMYFUNCTION("""COMPUTED_VALUE"""),4.0)</f>
        <v>4</v>
      </c>
      <c r="G425" s="4">
        <f>IFERROR(__xludf.DUMMYFUNCTION("""COMPUTED_VALUE"""),101.0)</f>
        <v>101</v>
      </c>
      <c r="H425" s="4">
        <f>IFERROR(__xludf.DUMMYFUNCTION("""COMPUTED_VALUE"""),1090.0)</f>
        <v>1090</v>
      </c>
      <c r="I425" s="4">
        <f>IFERROR(__xludf.DUMMYFUNCTION("""COMPUTED_VALUE"""),319.0)</f>
        <v>319</v>
      </c>
      <c r="J425" s="4">
        <f>IFERROR(__xludf.DUMMYFUNCTION("""COMPUTED_VALUE"""),212.0)</f>
        <v>212</v>
      </c>
      <c r="K425" s="4">
        <f>IFERROR(__xludf.DUMMYFUNCTION("""COMPUTED_VALUE"""),78.0)</f>
        <v>78</v>
      </c>
      <c r="L425" s="4">
        <f>IFERROR(__xludf.DUMMYFUNCTION("""COMPUTED_VALUE"""),0.425)</f>
        <v>0.425</v>
      </c>
      <c r="M425" s="4">
        <f>IFERROR(__xludf.DUMMYFUNCTION("""COMPUTED_VALUE"""),0.347)</f>
        <v>0.347</v>
      </c>
      <c r="N425" s="4">
        <f>IFERROR(__xludf.DUMMYFUNCTION("""COMPUTED_VALUE"""),0.8)</f>
        <v>0.8</v>
      </c>
      <c r="O425" s="4">
        <f>IFERROR(__xludf.DUMMYFUNCTION("""COMPUTED_VALUE"""),10.8)</f>
        <v>10.8</v>
      </c>
      <c r="P425" s="4">
        <f>IFERROR(__xludf.DUMMYFUNCTION("""COMPUTED_VALUE"""),3.2)</f>
        <v>3.2</v>
      </c>
      <c r="Q425" s="4">
        <f>IFERROR(__xludf.DUMMYFUNCTION("""COMPUTED_VALUE"""),2.1)</f>
        <v>2.1</v>
      </c>
      <c r="R425" s="4">
        <f>IFERROR(__xludf.DUMMYFUNCTION("""COMPUTED_VALUE"""),0.8)</f>
        <v>0.8</v>
      </c>
      <c r="S425" s="4">
        <f>IFERROR(__xludf.DUMMYFUNCTION("""COMPUTED_VALUE"""),1.6)</f>
        <v>1.6</v>
      </c>
      <c r="T425" s="4">
        <f>IFERROR(__xludf.DUMMYFUNCTION("""COMPUTED_VALUE"""),0.072)</f>
        <v>0.072</v>
      </c>
      <c r="U425" s="4">
        <f>IFERROR(__xludf.DUMMYFUNCTION("""COMPUTED_VALUE"""),-1.4)</f>
        <v>-1.4</v>
      </c>
      <c r="V425" s="4">
        <f>IFERROR(__xludf.DUMMYFUNCTION("""COMPUTED_VALUE"""),0.2)</f>
        <v>0.2</v>
      </c>
    </row>
    <row r="426">
      <c r="A426" s="4">
        <f>IFERROR(__xludf.DUMMYFUNCTION("""COMPUTED_VALUE"""),27.0)</f>
        <v>27</v>
      </c>
      <c r="B426" s="4">
        <f>IFERROR(__xludf.DUMMYFUNCTION("""COMPUTED_VALUE"""),27.0)</f>
        <v>27</v>
      </c>
      <c r="C426" s="4" t="str">
        <f>IFERROR(__xludf.DUMMYFUNCTION("""COMPUTED_VALUE"""),"BRK")</f>
        <v>BRK</v>
      </c>
      <c r="D426" s="4" t="str">
        <f>IFERROR(__xludf.DUMMYFUNCTION("""COMPUTED_VALUE"""),"Mfiondu Kabengele")</f>
        <v>Mfiondu Kabengele</v>
      </c>
      <c r="E426" s="4" t="str">
        <f>IFERROR(__xludf.DUMMYFUNCTION("""COMPUTED_VALUE"""),"Florida State")</f>
        <v>Florida State</v>
      </c>
      <c r="F426" s="4">
        <f>IFERROR(__xludf.DUMMYFUNCTION("""COMPUTED_VALUE"""),3.0)</f>
        <v>3</v>
      </c>
      <c r="G426" s="4">
        <f>IFERROR(__xludf.DUMMYFUNCTION("""COMPUTED_VALUE"""),55.0)</f>
        <v>55</v>
      </c>
      <c r="H426" s="4">
        <f>IFERROR(__xludf.DUMMYFUNCTION("""COMPUTED_VALUE"""),380.0)</f>
        <v>380</v>
      </c>
      <c r="I426" s="4">
        <f>IFERROR(__xludf.DUMMYFUNCTION("""COMPUTED_VALUE"""),143.0)</f>
        <v>143</v>
      </c>
      <c r="J426" s="4">
        <f>IFERROR(__xludf.DUMMYFUNCTION("""COMPUTED_VALUE"""),81.0)</f>
        <v>81</v>
      </c>
      <c r="K426" s="4">
        <f>IFERROR(__xludf.DUMMYFUNCTION("""COMPUTED_VALUE"""),19.0)</f>
        <v>19</v>
      </c>
      <c r="L426" s="4">
        <f>IFERROR(__xludf.DUMMYFUNCTION("""COMPUTED_VALUE"""),0.383)</f>
        <v>0.383</v>
      </c>
      <c r="M426" s="4">
        <f>IFERROR(__xludf.DUMMYFUNCTION("""COMPUTED_VALUE"""),0.301)</f>
        <v>0.301</v>
      </c>
      <c r="N426" s="4">
        <f>IFERROR(__xludf.DUMMYFUNCTION("""COMPUTED_VALUE"""),0.852)</f>
        <v>0.852</v>
      </c>
      <c r="O426" s="4">
        <f>IFERROR(__xludf.DUMMYFUNCTION("""COMPUTED_VALUE"""),6.9)</f>
        <v>6.9</v>
      </c>
      <c r="P426" s="4">
        <f>IFERROR(__xludf.DUMMYFUNCTION("""COMPUTED_VALUE"""),2.6)</f>
        <v>2.6</v>
      </c>
      <c r="Q426" s="4">
        <f>IFERROR(__xludf.DUMMYFUNCTION("""COMPUTED_VALUE"""),1.5)</f>
        <v>1.5</v>
      </c>
      <c r="R426" s="4">
        <f>IFERROR(__xludf.DUMMYFUNCTION("""COMPUTED_VALUE"""),0.3)</f>
        <v>0.3</v>
      </c>
      <c r="S426" s="4">
        <f>IFERROR(__xludf.DUMMYFUNCTION("""COMPUTED_VALUE"""),0.4)</f>
        <v>0.4</v>
      </c>
      <c r="T426" s="4">
        <f>IFERROR(__xludf.DUMMYFUNCTION("""COMPUTED_VALUE"""),0.055)</f>
        <v>0.055</v>
      </c>
      <c r="U426" s="4">
        <f>IFERROR(__xludf.DUMMYFUNCTION("""COMPUTED_VALUE"""),-3.6)</f>
        <v>-3.6</v>
      </c>
      <c r="V426" s="4">
        <f>IFERROR(__xludf.DUMMYFUNCTION("""COMPUTED_VALUE"""),-0.2)</f>
        <v>-0.2</v>
      </c>
    </row>
    <row r="427">
      <c r="A427" s="4">
        <f>IFERROR(__xludf.DUMMYFUNCTION("""COMPUTED_VALUE"""),28.0)</f>
        <v>28</v>
      </c>
      <c r="B427" s="4">
        <f>IFERROR(__xludf.DUMMYFUNCTION("""COMPUTED_VALUE"""),28.0)</f>
        <v>28</v>
      </c>
      <c r="C427" s="4" t="str">
        <f>IFERROR(__xludf.DUMMYFUNCTION("""COMPUTED_VALUE"""),"GSW")</f>
        <v>GSW</v>
      </c>
      <c r="D427" s="4" t="str">
        <f>IFERROR(__xludf.DUMMYFUNCTION("""COMPUTED_VALUE"""),"Jordan Poole")</f>
        <v>Jordan Poole</v>
      </c>
      <c r="E427" s="4" t="str">
        <f>IFERROR(__xludf.DUMMYFUNCTION("""COMPUTED_VALUE"""),"Michigan")</f>
        <v>Michigan</v>
      </c>
      <c r="F427" s="4">
        <f>IFERROR(__xludf.DUMMYFUNCTION("""COMPUTED_VALUE"""),7.0)</f>
        <v>7</v>
      </c>
      <c r="G427" s="4">
        <f>IFERROR(__xludf.DUMMYFUNCTION("""COMPUTED_VALUE"""),419.0)</f>
        <v>419</v>
      </c>
      <c r="H427" s="4">
        <f>IFERROR(__xludf.DUMMYFUNCTION("""COMPUTED_VALUE"""),11562.0)</f>
        <v>11562</v>
      </c>
      <c r="I427" s="4">
        <f>IFERROR(__xludf.DUMMYFUNCTION("""COMPUTED_VALUE"""),7063.0)</f>
        <v>7063</v>
      </c>
      <c r="J427" s="4">
        <f>IFERROR(__xludf.DUMMYFUNCTION("""COMPUTED_VALUE"""),1122.0)</f>
        <v>1122</v>
      </c>
      <c r="K427" s="4">
        <f>IFERROR(__xludf.DUMMYFUNCTION("""COMPUTED_VALUE"""),1576.0)</f>
        <v>1576</v>
      </c>
      <c r="L427" s="4">
        <f>IFERROR(__xludf.DUMMYFUNCTION("""COMPUTED_VALUE"""),0.421)</f>
        <v>0.421</v>
      </c>
      <c r="M427" s="4">
        <f>IFERROR(__xludf.DUMMYFUNCTION("""COMPUTED_VALUE"""),0.345)</f>
        <v>0.345</v>
      </c>
      <c r="N427" s="4">
        <f>IFERROR(__xludf.DUMMYFUNCTION("""COMPUTED_VALUE"""),0.881)</f>
        <v>0.881</v>
      </c>
      <c r="O427" s="4">
        <f>IFERROR(__xludf.DUMMYFUNCTION("""COMPUTED_VALUE"""),27.6)</f>
        <v>27.6</v>
      </c>
      <c r="P427" s="4">
        <f>IFERROR(__xludf.DUMMYFUNCTION("""COMPUTED_VALUE"""),16.9)</f>
        <v>16.9</v>
      </c>
      <c r="Q427" s="4">
        <f>IFERROR(__xludf.DUMMYFUNCTION("""COMPUTED_VALUE"""),2.7)</f>
        <v>2.7</v>
      </c>
      <c r="R427" s="4">
        <f>IFERROR(__xludf.DUMMYFUNCTION("""COMPUTED_VALUE"""),3.8)</f>
        <v>3.8</v>
      </c>
      <c r="S427" s="4">
        <f>IFERROR(__xludf.DUMMYFUNCTION("""COMPUTED_VALUE"""),11.2)</f>
        <v>11.2</v>
      </c>
      <c r="T427" s="4">
        <f>IFERROR(__xludf.DUMMYFUNCTION("""COMPUTED_VALUE"""),0.047)</f>
        <v>0.047</v>
      </c>
      <c r="U427" s="4">
        <f>IFERROR(__xludf.DUMMYFUNCTION("""COMPUTED_VALUE"""),-1.8)</f>
        <v>-1.8</v>
      </c>
      <c r="V427" s="4">
        <f>IFERROR(__xludf.DUMMYFUNCTION("""COMPUTED_VALUE"""),0.7)</f>
        <v>0.7</v>
      </c>
    </row>
    <row r="428">
      <c r="A428" s="4">
        <f>IFERROR(__xludf.DUMMYFUNCTION("""COMPUTED_VALUE"""),29.0)</f>
        <v>29</v>
      </c>
      <c r="B428" s="4">
        <f>IFERROR(__xludf.DUMMYFUNCTION("""COMPUTED_VALUE"""),29.0)</f>
        <v>29</v>
      </c>
      <c r="C428" s="4" t="str">
        <f>IFERROR(__xludf.DUMMYFUNCTION("""COMPUTED_VALUE"""),"SAS")</f>
        <v>SAS</v>
      </c>
      <c r="D428" s="4" t="str">
        <f>IFERROR(__xludf.DUMMYFUNCTION("""COMPUTED_VALUE"""),"Keldon Johnson")</f>
        <v>Keldon Johnson</v>
      </c>
      <c r="E428" s="4" t="str">
        <f>IFERROR(__xludf.DUMMYFUNCTION("""COMPUTED_VALUE"""),"Kentucky")</f>
        <v>Kentucky</v>
      </c>
      <c r="F428" s="4">
        <f>IFERROR(__xludf.DUMMYFUNCTION("""COMPUTED_VALUE"""),7.0)</f>
        <v>7</v>
      </c>
      <c r="G428" s="4">
        <f>IFERROR(__xludf.DUMMYFUNCTION("""COMPUTED_VALUE"""),390.0)</f>
        <v>390</v>
      </c>
      <c r="H428" s="4">
        <f>IFERROR(__xludf.DUMMYFUNCTION("""COMPUTED_VALUE"""),11088.0)</f>
        <v>11088</v>
      </c>
      <c r="I428" s="4">
        <f>IFERROR(__xludf.DUMMYFUNCTION("""COMPUTED_VALUE"""),6020.0)</f>
        <v>6020</v>
      </c>
      <c r="J428" s="4">
        <f>IFERROR(__xludf.DUMMYFUNCTION("""COMPUTED_VALUE"""),2124.0)</f>
        <v>2124</v>
      </c>
      <c r="K428" s="4">
        <f>IFERROR(__xludf.DUMMYFUNCTION("""COMPUTED_VALUE"""),835.0)</f>
        <v>835</v>
      </c>
      <c r="L428" s="4">
        <f>IFERROR(__xludf.DUMMYFUNCTION("""COMPUTED_VALUE"""),0.471)</f>
        <v>0.471</v>
      </c>
      <c r="M428" s="4">
        <f>IFERROR(__xludf.DUMMYFUNCTION("""COMPUTED_VALUE"""),0.351)</f>
        <v>0.351</v>
      </c>
      <c r="N428" s="4">
        <f>IFERROR(__xludf.DUMMYFUNCTION("""COMPUTED_VALUE"""),0.763)</f>
        <v>0.763</v>
      </c>
      <c r="O428" s="4">
        <f>IFERROR(__xludf.DUMMYFUNCTION("""COMPUTED_VALUE"""),28.4)</f>
        <v>28.4</v>
      </c>
      <c r="P428" s="4">
        <f>IFERROR(__xludf.DUMMYFUNCTION("""COMPUTED_VALUE"""),15.4)</f>
        <v>15.4</v>
      </c>
      <c r="Q428" s="4">
        <f>IFERROR(__xludf.DUMMYFUNCTION("""COMPUTED_VALUE"""),5.4)</f>
        <v>5.4</v>
      </c>
      <c r="R428" s="4">
        <f>IFERROR(__xludf.DUMMYFUNCTION("""COMPUTED_VALUE"""),2.1)</f>
        <v>2.1</v>
      </c>
      <c r="S428" s="4">
        <f>IFERROR(__xludf.DUMMYFUNCTION("""COMPUTED_VALUE"""),18.7)</f>
        <v>18.7</v>
      </c>
      <c r="T428" s="4">
        <f>IFERROR(__xludf.DUMMYFUNCTION("""COMPUTED_VALUE"""),0.081)</f>
        <v>0.081</v>
      </c>
      <c r="U428" s="4">
        <f>IFERROR(__xludf.DUMMYFUNCTION("""COMPUTED_VALUE"""),-1.2)</f>
        <v>-1.2</v>
      </c>
      <c r="V428" s="4">
        <f>IFERROR(__xludf.DUMMYFUNCTION("""COMPUTED_VALUE"""),2.4)</f>
        <v>2.4</v>
      </c>
    </row>
    <row r="429">
      <c r="A429" s="4">
        <f>IFERROR(__xludf.DUMMYFUNCTION("""COMPUTED_VALUE"""),30.0)</f>
        <v>30</v>
      </c>
      <c r="B429" s="4">
        <f>IFERROR(__xludf.DUMMYFUNCTION("""COMPUTED_VALUE"""),30.0)</f>
        <v>30</v>
      </c>
      <c r="C429" s="4" t="str">
        <f>IFERROR(__xludf.DUMMYFUNCTION("""COMPUTED_VALUE"""),"MIL")</f>
        <v>MIL</v>
      </c>
      <c r="D429" s="4" t="str">
        <f>IFERROR(__xludf.DUMMYFUNCTION("""COMPUTED_VALUE"""),"Kevin Porter Jr.")</f>
        <v>Kevin Porter Jr.</v>
      </c>
      <c r="E429" s="4" t="str">
        <f>IFERROR(__xludf.DUMMYFUNCTION("""COMPUTED_VALUE"""),"USC")</f>
        <v>USC</v>
      </c>
      <c r="F429" s="4">
        <f>IFERROR(__xludf.DUMMYFUNCTION("""COMPUTED_VALUE"""),6.0)</f>
        <v>6</v>
      </c>
      <c r="G429" s="4">
        <f>IFERROR(__xludf.DUMMYFUNCTION("""COMPUTED_VALUE"""),274.0)</f>
        <v>274</v>
      </c>
      <c r="H429" s="4">
        <f>IFERROR(__xludf.DUMMYFUNCTION("""COMPUTED_VALUE"""),7475.0)</f>
        <v>7475</v>
      </c>
      <c r="I429" s="4">
        <f>IFERROR(__xludf.DUMMYFUNCTION("""COMPUTED_VALUE"""),3832.0)</f>
        <v>3832</v>
      </c>
      <c r="J429" s="4">
        <f>IFERROR(__xludf.DUMMYFUNCTION("""COMPUTED_VALUE"""),1128.0)</f>
        <v>1128</v>
      </c>
      <c r="K429" s="4">
        <f>IFERROR(__xludf.DUMMYFUNCTION("""COMPUTED_VALUE"""),1256.0)</f>
        <v>1256</v>
      </c>
      <c r="L429" s="4">
        <f>IFERROR(__xludf.DUMMYFUNCTION("""COMPUTED_VALUE"""),0.436)</f>
        <v>0.436</v>
      </c>
      <c r="M429" s="4">
        <f>IFERROR(__xludf.DUMMYFUNCTION("""COMPUTED_VALUE"""),0.355)</f>
        <v>0.355</v>
      </c>
      <c r="N429" s="4">
        <f>IFERROR(__xludf.DUMMYFUNCTION("""COMPUTED_VALUE"""),0.735)</f>
        <v>0.735</v>
      </c>
      <c r="O429" s="4">
        <f>IFERROR(__xludf.DUMMYFUNCTION("""COMPUTED_VALUE"""),27.3)</f>
        <v>27.3</v>
      </c>
      <c r="P429" s="4">
        <f>IFERROR(__xludf.DUMMYFUNCTION("""COMPUTED_VALUE"""),14.0)</f>
        <v>14</v>
      </c>
      <c r="Q429" s="4">
        <f>IFERROR(__xludf.DUMMYFUNCTION("""COMPUTED_VALUE"""),4.1)</f>
        <v>4.1</v>
      </c>
      <c r="R429" s="4">
        <f>IFERROR(__xludf.DUMMYFUNCTION("""COMPUTED_VALUE"""),4.6)</f>
        <v>4.6</v>
      </c>
      <c r="S429" s="4">
        <f>IFERROR(__xludf.DUMMYFUNCTION("""COMPUTED_VALUE"""),6.7)</f>
        <v>6.7</v>
      </c>
      <c r="T429" s="4">
        <f>IFERROR(__xludf.DUMMYFUNCTION("""COMPUTED_VALUE"""),0.043)</f>
        <v>0.043</v>
      </c>
      <c r="U429" s="4">
        <f>IFERROR(__xludf.DUMMYFUNCTION("""COMPUTED_VALUE"""),-1.2)</f>
        <v>-1.2</v>
      </c>
      <c r="V429" s="4">
        <f>IFERROR(__xludf.DUMMYFUNCTION("""COMPUTED_VALUE"""),1.4)</f>
        <v>1.4</v>
      </c>
    </row>
    <row r="430">
      <c r="A430" s="4"/>
      <c r="B430" s="4"/>
      <c r="C430" s="4"/>
      <c r="D430" s="4" t="str">
        <f>IFERROR(__xludf.DUMMYFUNCTION("""COMPUTED_VALUE"""),"Round 2")</f>
        <v>Round 2</v>
      </c>
      <c r="E430" s="4"/>
      <c r="F430" s="4"/>
      <c r="G430" s="4" t="str">
        <f>IFERROR(__xludf.DUMMYFUNCTION("""COMPUTED_VALUE"""),"Totals")</f>
        <v>Totals</v>
      </c>
      <c r="H430" s="4"/>
      <c r="I430" s="4"/>
      <c r="J430" s="4"/>
      <c r="K430" s="4"/>
      <c r="L430" s="4" t="str">
        <f>IFERROR(__xludf.DUMMYFUNCTION("""COMPUTED_VALUE"""),"Shooting")</f>
        <v>Shooting</v>
      </c>
      <c r="M430" s="4"/>
      <c r="N430" s="4"/>
      <c r="O430" s="4" t="str">
        <f>IFERROR(__xludf.DUMMYFUNCTION("""COMPUTED_VALUE"""),"Per Game")</f>
        <v>Per Game</v>
      </c>
      <c r="P430" s="4"/>
      <c r="Q430" s="4"/>
      <c r="R430" s="4"/>
      <c r="S430" s="4" t="str">
        <f>IFERROR(__xludf.DUMMYFUNCTION("""COMPUTED_VALUE"""),"Advanced")</f>
        <v>Advanced</v>
      </c>
      <c r="T430" s="4"/>
      <c r="U430" s="4"/>
      <c r="V430" s="4"/>
    </row>
    <row r="431">
      <c r="A431" s="4" t="str">
        <f>IFERROR(__xludf.DUMMYFUNCTION("""COMPUTED_VALUE"""),"Rk")</f>
        <v>Rk</v>
      </c>
      <c r="B431" s="4" t="str">
        <f>IFERROR(__xludf.DUMMYFUNCTION("""COMPUTED_VALUE"""),"Pk")</f>
        <v>Pk</v>
      </c>
      <c r="C431" s="4" t="str">
        <f>IFERROR(__xludf.DUMMYFUNCTION("""COMPUTED_VALUE"""),"Tm")</f>
        <v>Tm</v>
      </c>
      <c r="D431" s="4" t="str">
        <f>IFERROR(__xludf.DUMMYFUNCTION("""COMPUTED_VALUE"""),"Player")</f>
        <v>Player</v>
      </c>
      <c r="E431" s="4" t="str">
        <f>IFERROR(__xludf.DUMMYFUNCTION("""COMPUTED_VALUE"""),"College")</f>
        <v>College</v>
      </c>
      <c r="F431" s="4" t="str">
        <f>IFERROR(__xludf.DUMMYFUNCTION("""COMPUTED_VALUE"""),"Yrs")</f>
        <v>Yrs</v>
      </c>
      <c r="G431" s="4" t="str">
        <f>IFERROR(__xludf.DUMMYFUNCTION("""COMPUTED_VALUE"""),"G")</f>
        <v>G</v>
      </c>
      <c r="H431" s="4" t="str">
        <f>IFERROR(__xludf.DUMMYFUNCTION("""COMPUTED_VALUE"""),"MP")</f>
        <v>MP</v>
      </c>
      <c r="I431" s="4" t="str">
        <f>IFERROR(__xludf.DUMMYFUNCTION("""COMPUTED_VALUE"""),"PTS")</f>
        <v>PTS</v>
      </c>
      <c r="J431" s="4" t="str">
        <f>IFERROR(__xludf.DUMMYFUNCTION("""COMPUTED_VALUE"""),"TRB")</f>
        <v>TRB</v>
      </c>
      <c r="K431" s="4" t="str">
        <f>IFERROR(__xludf.DUMMYFUNCTION("""COMPUTED_VALUE"""),"AST")</f>
        <v>AST</v>
      </c>
      <c r="L431" s="4" t="str">
        <f>IFERROR(__xludf.DUMMYFUNCTION("""COMPUTED_VALUE"""),"FG%")</f>
        <v>FG%</v>
      </c>
      <c r="M431" s="4" t="str">
        <f>IFERROR(__xludf.DUMMYFUNCTION("""COMPUTED_VALUE"""),"3P%")</f>
        <v>3P%</v>
      </c>
      <c r="N431" s="4" t="str">
        <f>IFERROR(__xludf.DUMMYFUNCTION("""COMPUTED_VALUE"""),"FT%")</f>
        <v>FT%</v>
      </c>
      <c r="O431" s="4" t="str">
        <f>IFERROR(__xludf.DUMMYFUNCTION("""COMPUTED_VALUE"""),"MP")</f>
        <v>MP</v>
      </c>
      <c r="P431" s="4" t="str">
        <f>IFERROR(__xludf.DUMMYFUNCTION("""COMPUTED_VALUE"""),"PTS")</f>
        <v>PTS</v>
      </c>
      <c r="Q431" s="4" t="str">
        <f>IFERROR(__xludf.DUMMYFUNCTION("""COMPUTED_VALUE"""),"TRB")</f>
        <v>TRB</v>
      </c>
      <c r="R431" s="4" t="str">
        <f>IFERROR(__xludf.DUMMYFUNCTION("""COMPUTED_VALUE"""),"AST")</f>
        <v>AST</v>
      </c>
      <c r="S431" s="4" t="str">
        <f>IFERROR(__xludf.DUMMYFUNCTION("""COMPUTED_VALUE"""),"WS")</f>
        <v>WS</v>
      </c>
      <c r="T431" s="4" t="str">
        <f>IFERROR(__xludf.DUMMYFUNCTION("""COMPUTED_VALUE"""),"WS/48")</f>
        <v>WS/48</v>
      </c>
      <c r="U431" s="4" t="str">
        <f>IFERROR(__xludf.DUMMYFUNCTION("""COMPUTED_VALUE"""),"BPM")</f>
        <v>BPM</v>
      </c>
      <c r="V431" s="4" t="str">
        <f>IFERROR(__xludf.DUMMYFUNCTION("""COMPUTED_VALUE"""),"VORP")</f>
        <v>VORP</v>
      </c>
    </row>
    <row r="432">
      <c r="A432" s="4">
        <f>IFERROR(__xludf.DUMMYFUNCTION("""COMPUTED_VALUE"""),31.0)</f>
        <v>31</v>
      </c>
      <c r="B432" s="4">
        <f>IFERROR(__xludf.DUMMYFUNCTION("""COMPUTED_VALUE"""),31.0)</f>
        <v>31</v>
      </c>
      <c r="C432" s="4" t="str">
        <f>IFERROR(__xludf.DUMMYFUNCTION("""COMPUTED_VALUE"""),"BRK")</f>
        <v>BRK</v>
      </c>
      <c r="D432" s="4" t="str">
        <f>IFERROR(__xludf.DUMMYFUNCTION("""COMPUTED_VALUE"""),"Nic Claxton")</f>
        <v>Nic Claxton</v>
      </c>
      <c r="E432" s="4" t="str">
        <f>IFERROR(__xludf.DUMMYFUNCTION("""COMPUTED_VALUE"""),"Georgia")</f>
        <v>Georgia</v>
      </c>
      <c r="F432" s="4">
        <f>IFERROR(__xludf.DUMMYFUNCTION("""COMPUTED_VALUE"""),7.0)</f>
        <v>7</v>
      </c>
      <c r="G432" s="4">
        <f>IFERROR(__xludf.DUMMYFUNCTION("""COMPUTED_VALUE"""),331.0)</f>
        <v>331</v>
      </c>
      <c r="H432" s="4">
        <f>IFERROR(__xludf.DUMMYFUNCTION("""COMPUTED_VALUE"""),8624.0)</f>
        <v>8624</v>
      </c>
      <c r="I432" s="4">
        <f>IFERROR(__xludf.DUMMYFUNCTION("""COMPUTED_VALUE"""),3486.0)</f>
        <v>3486</v>
      </c>
      <c r="J432" s="4">
        <f>IFERROR(__xludf.DUMMYFUNCTION("""COMPUTED_VALUE"""),2546.0)</f>
        <v>2546</v>
      </c>
      <c r="K432" s="4">
        <f>IFERROR(__xludf.DUMMYFUNCTION("""COMPUTED_VALUE"""),615.0)</f>
        <v>615</v>
      </c>
      <c r="L432" s="4">
        <f>IFERROR(__xludf.DUMMYFUNCTION("""COMPUTED_VALUE"""),0.629)</f>
        <v>0.629</v>
      </c>
      <c r="M432" s="4">
        <f>IFERROR(__xludf.DUMMYFUNCTION("""COMPUTED_VALUE"""),0.18)</f>
        <v>0.18</v>
      </c>
      <c r="N432" s="4">
        <f>IFERROR(__xludf.DUMMYFUNCTION("""COMPUTED_VALUE"""),0.556)</f>
        <v>0.556</v>
      </c>
      <c r="O432" s="4">
        <f>IFERROR(__xludf.DUMMYFUNCTION("""COMPUTED_VALUE"""),26.1)</f>
        <v>26.1</v>
      </c>
      <c r="P432" s="4">
        <f>IFERROR(__xludf.DUMMYFUNCTION("""COMPUTED_VALUE"""),10.5)</f>
        <v>10.5</v>
      </c>
      <c r="Q432" s="4">
        <f>IFERROR(__xludf.DUMMYFUNCTION("""COMPUTED_VALUE"""),7.7)</f>
        <v>7.7</v>
      </c>
      <c r="R432" s="4">
        <f>IFERROR(__xludf.DUMMYFUNCTION("""COMPUTED_VALUE"""),1.9)</f>
        <v>1.9</v>
      </c>
      <c r="S432" s="4">
        <f>IFERROR(__xludf.DUMMYFUNCTION("""COMPUTED_VALUE"""),27.7)</f>
        <v>27.7</v>
      </c>
      <c r="T432" s="4">
        <f>IFERROR(__xludf.DUMMYFUNCTION("""COMPUTED_VALUE"""),0.154)</f>
        <v>0.154</v>
      </c>
      <c r="U432" s="4">
        <f>IFERROR(__xludf.DUMMYFUNCTION("""COMPUTED_VALUE"""),1.4)</f>
        <v>1.4</v>
      </c>
      <c r="V432" s="4">
        <f>IFERROR(__xludf.DUMMYFUNCTION("""COMPUTED_VALUE"""),7.3)</f>
        <v>7.3</v>
      </c>
    </row>
    <row r="433">
      <c r="A433" s="4">
        <f>IFERROR(__xludf.DUMMYFUNCTION("""COMPUTED_VALUE"""),32.0)</f>
        <v>32</v>
      </c>
      <c r="B433" s="4">
        <f>IFERROR(__xludf.DUMMYFUNCTION("""COMPUTED_VALUE"""),32.0)</f>
        <v>32</v>
      </c>
      <c r="C433" s="4" t="str">
        <f>IFERROR(__xludf.DUMMYFUNCTION("""COMPUTED_VALUE"""),"PHO")</f>
        <v>PHO</v>
      </c>
      <c r="D433" s="4" t="str">
        <f>IFERROR(__xludf.DUMMYFUNCTION("""COMPUTED_VALUE"""),"KZ Okpala")</f>
        <v>KZ Okpala</v>
      </c>
      <c r="E433" s="4" t="str">
        <f>IFERROR(__xludf.DUMMYFUNCTION("""COMPUTED_VALUE"""),"Stanford")</f>
        <v>Stanford</v>
      </c>
      <c r="F433" s="4">
        <f>IFERROR(__xludf.DUMMYFUNCTION("""COMPUTED_VALUE"""),4.0)</f>
        <v>4</v>
      </c>
      <c r="G433" s="4">
        <f>IFERROR(__xludf.DUMMYFUNCTION("""COMPUTED_VALUE"""),98.0)</f>
        <v>98</v>
      </c>
      <c r="H433" s="4">
        <f>IFERROR(__xludf.DUMMYFUNCTION("""COMPUTED_VALUE"""),965.0)</f>
        <v>965</v>
      </c>
      <c r="I433" s="4">
        <f>IFERROR(__xludf.DUMMYFUNCTION("""COMPUTED_VALUE"""),222.0)</f>
        <v>222</v>
      </c>
      <c r="J433" s="4">
        <f>IFERROR(__xludf.DUMMYFUNCTION("""COMPUTED_VALUE"""),148.0)</f>
        <v>148</v>
      </c>
      <c r="K433" s="4">
        <f>IFERROR(__xludf.DUMMYFUNCTION("""COMPUTED_VALUE"""),47.0)</f>
        <v>47</v>
      </c>
      <c r="L433" s="4">
        <f>IFERROR(__xludf.DUMMYFUNCTION("""COMPUTED_VALUE"""),0.409)</f>
        <v>0.409</v>
      </c>
      <c r="M433" s="4">
        <f>IFERROR(__xludf.DUMMYFUNCTION("""COMPUTED_VALUE"""),0.286)</f>
        <v>0.286</v>
      </c>
      <c r="N433" s="4">
        <f>IFERROR(__xludf.DUMMYFUNCTION("""COMPUTED_VALUE"""),0.667)</f>
        <v>0.667</v>
      </c>
      <c r="O433" s="4">
        <f>IFERROR(__xludf.DUMMYFUNCTION("""COMPUTED_VALUE"""),9.8)</f>
        <v>9.8</v>
      </c>
      <c r="P433" s="4">
        <f>IFERROR(__xludf.DUMMYFUNCTION("""COMPUTED_VALUE"""),2.3)</f>
        <v>2.3</v>
      </c>
      <c r="Q433" s="4">
        <f>IFERROR(__xludf.DUMMYFUNCTION("""COMPUTED_VALUE"""),1.5)</f>
        <v>1.5</v>
      </c>
      <c r="R433" s="4">
        <f>IFERROR(__xludf.DUMMYFUNCTION("""COMPUTED_VALUE"""),0.5)</f>
        <v>0.5</v>
      </c>
      <c r="S433" s="4">
        <f>IFERROR(__xludf.DUMMYFUNCTION("""COMPUTED_VALUE"""),1.0)</f>
        <v>1</v>
      </c>
      <c r="T433" s="4">
        <f>IFERROR(__xludf.DUMMYFUNCTION("""COMPUTED_VALUE"""),0.05)</f>
        <v>0.05</v>
      </c>
      <c r="U433" s="4">
        <f>IFERROR(__xludf.DUMMYFUNCTION("""COMPUTED_VALUE"""),-4.7)</f>
        <v>-4.7</v>
      </c>
      <c r="V433" s="4">
        <f>IFERROR(__xludf.DUMMYFUNCTION("""COMPUTED_VALUE"""),-0.7)</f>
        <v>-0.7</v>
      </c>
    </row>
    <row r="434">
      <c r="A434" s="4">
        <f>IFERROR(__xludf.DUMMYFUNCTION("""COMPUTED_VALUE"""),33.0)</f>
        <v>33</v>
      </c>
      <c r="B434" s="4">
        <f>IFERROR(__xludf.DUMMYFUNCTION("""COMPUTED_VALUE"""),33.0)</f>
        <v>33</v>
      </c>
      <c r="C434" s="4" t="str">
        <f>IFERROR(__xludf.DUMMYFUNCTION("""COMPUTED_VALUE"""),"PHI")</f>
        <v>PHI</v>
      </c>
      <c r="D434" s="4" t="str">
        <f>IFERROR(__xludf.DUMMYFUNCTION("""COMPUTED_VALUE"""),"Carsen Edwards")</f>
        <v>Carsen Edwards</v>
      </c>
      <c r="E434" s="4" t="str">
        <f>IFERROR(__xludf.DUMMYFUNCTION("""COMPUTED_VALUE"""),"Purdue")</f>
        <v>Purdue</v>
      </c>
      <c r="F434" s="4">
        <f>IFERROR(__xludf.DUMMYFUNCTION("""COMPUTED_VALUE"""),3.0)</f>
        <v>3</v>
      </c>
      <c r="G434" s="4">
        <f>IFERROR(__xludf.DUMMYFUNCTION("""COMPUTED_VALUE"""),72.0)</f>
        <v>72</v>
      </c>
      <c r="H434" s="4">
        <f>IFERROR(__xludf.DUMMYFUNCTION("""COMPUTED_VALUE"""),706.0)</f>
        <v>706</v>
      </c>
      <c r="I434" s="4">
        <f>IFERROR(__xludf.DUMMYFUNCTION("""COMPUTED_VALUE"""),267.0)</f>
        <v>267</v>
      </c>
      <c r="J434" s="4">
        <f>IFERROR(__xludf.DUMMYFUNCTION("""COMPUTED_VALUE"""),79.0)</f>
        <v>79</v>
      </c>
      <c r="K434" s="4">
        <f>IFERROR(__xludf.DUMMYFUNCTION("""COMPUTED_VALUE"""),52.0)</f>
        <v>52</v>
      </c>
      <c r="L434" s="4">
        <f>IFERROR(__xludf.DUMMYFUNCTION("""COMPUTED_VALUE"""),0.364)</f>
        <v>0.364</v>
      </c>
      <c r="M434" s="4">
        <f>IFERROR(__xludf.DUMMYFUNCTION("""COMPUTED_VALUE"""),0.297)</f>
        <v>0.297</v>
      </c>
      <c r="N434" s="4">
        <f>IFERROR(__xludf.DUMMYFUNCTION("""COMPUTED_VALUE"""),0.758)</f>
        <v>0.758</v>
      </c>
      <c r="O434" s="4">
        <f>IFERROR(__xludf.DUMMYFUNCTION("""COMPUTED_VALUE"""),9.8)</f>
        <v>9.8</v>
      </c>
      <c r="P434" s="4">
        <f>IFERROR(__xludf.DUMMYFUNCTION("""COMPUTED_VALUE"""),3.7)</f>
        <v>3.7</v>
      </c>
      <c r="Q434" s="4">
        <f>IFERROR(__xludf.DUMMYFUNCTION("""COMPUTED_VALUE"""),1.1)</f>
        <v>1.1</v>
      </c>
      <c r="R434" s="4">
        <f>IFERROR(__xludf.DUMMYFUNCTION("""COMPUTED_VALUE"""),0.7)</f>
        <v>0.7</v>
      </c>
      <c r="S434" s="4">
        <f>IFERROR(__xludf.DUMMYFUNCTION("""COMPUTED_VALUE"""),0.3)</f>
        <v>0.3</v>
      </c>
      <c r="T434" s="4">
        <f>IFERROR(__xludf.DUMMYFUNCTION("""COMPUTED_VALUE"""),0.019)</f>
        <v>0.019</v>
      </c>
      <c r="U434" s="4">
        <f>IFERROR(__xludf.DUMMYFUNCTION("""COMPUTED_VALUE"""),-5.1)</f>
        <v>-5.1</v>
      </c>
      <c r="V434" s="4">
        <f>IFERROR(__xludf.DUMMYFUNCTION("""COMPUTED_VALUE"""),-0.5)</f>
        <v>-0.5</v>
      </c>
    </row>
    <row r="435">
      <c r="A435" s="4">
        <f>IFERROR(__xludf.DUMMYFUNCTION("""COMPUTED_VALUE"""),34.0)</f>
        <v>34</v>
      </c>
      <c r="B435" s="4">
        <f>IFERROR(__xludf.DUMMYFUNCTION("""COMPUTED_VALUE"""),34.0)</f>
        <v>34</v>
      </c>
      <c r="C435" s="4" t="str">
        <f>IFERROR(__xludf.DUMMYFUNCTION("""COMPUTED_VALUE"""),"PHI")</f>
        <v>PHI</v>
      </c>
      <c r="D435" s="4" t="str">
        <f>IFERROR(__xludf.DUMMYFUNCTION("""COMPUTED_VALUE"""),"Bruno Fernando")</f>
        <v>Bruno Fernando</v>
      </c>
      <c r="E435" s="4" t="str">
        <f>IFERROR(__xludf.DUMMYFUNCTION("""COMPUTED_VALUE"""),"Maryland")</f>
        <v>Maryland</v>
      </c>
      <c r="F435" s="4">
        <f>IFERROR(__xludf.DUMMYFUNCTION("""COMPUTED_VALUE"""),6.0)</f>
        <v>6</v>
      </c>
      <c r="G435" s="4">
        <f>IFERROR(__xludf.DUMMYFUNCTION("""COMPUTED_VALUE"""),220.0)</f>
        <v>220</v>
      </c>
      <c r="H435" s="4">
        <f>IFERROR(__xludf.DUMMYFUNCTION("""COMPUTED_VALUE"""),2326.0)</f>
        <v>2326</v>
      </c>
      <c r="I435" s="4">
        <f>IFERROR(__xludf.DUMMYFUNCTION("""COMPUTED_VALUE"""),872.0)</f>
        <v>872</v>
      </c>
      <c r="J435" s="4">
        <f>IFERROR(__xludf.DUMMYFUNCTION("""COMPUTED_VALUE"""),712.0)</f>
        <v>712</v>
      </c>
      <c r="K435" s="4">
        <f>IFERROR(__xludf.DUMMYFUNCTION("""COMPUTED_VALUE"""),161.0)</f>
        <v>161</v>
      </c>
      <c r="L435" s="4">
        <f>IFERROR(__xludf.DUMMYFUNCTION("""COMPUTED_VALUE"""),0.543)</f>
        <v>0.543</v>
      </c>
      <c r="M435" s="4">
        <f>IFERROR(__xludf.DUMMYFUNCTION("""COMPUTED_VALUE"""),0.122)</f>
        <v>0.122</v>
      </c>
      <c r="N435" s="4">
        <f>IFERROR(__xludf.DUMMYFUNCTION("""COMPUTED_VALUE"""),0.653)</f>
        <v>0.653</v>
      </c>
      <c r="O435" s="4">
        <f>IFERROR(__xludf.DUMMYFUNCTION("""COMPUTED_VALUE"""),10.6)</f>
        <v>10.6</v>
      </c>
      <c r="P435" s="4">
        <f>IFERROR(__xludf.DUMMYFUNCTION("""COMPUTED_VALUE"""),4.0)</f>
        <v>4</v>
      </c>
      <c r="Q435" s="4">
        <f>IFERROR(__xludf.DUMMYFUNCTION("""COMPUTED_VALUE"""),3.2)</f>
        <v>3.2</v>
      </c>
      <c r="R435" s="4">
        <f>IFERROR(__xludf.DUMMYFUNCTION("""COMPUTED_VALUE"""),0.7)</f>
        <v>0.7</v>
      </c>
      <c r="S435" s="4">
        <f>IFERROR(__xludf.DUMMYFUNCTION("""COMPUTED_VALUE"""),3.8)</f>
        <v>3.8</v>
      </c>
      <c r="T435" s="4">
        <f>IFERROR(__xludf.DUMMYFUNCTION("""COMPUTED_VALUE"""),0.079)</f>
        <v>0.079</v>
      </c>
      <c r="U435" s="4">
        <f>IFERROR(__xludf.DUMMYFUNCTION("""COMPUTED_VALUE"""),-3.0)</f>
        <v>-3</v>
      </c>
      <c r="V435" s="4">
        <f>IFERROR(__xludf.DUMMYFUNCTION("""COMPUTED_VALUE"""),-0.6)</f>
        <v>-0.6</v>
      </c>
    </row>
    <row r="436">
      <c r="A436" s="4">
        <f>IFERROR(__xludf.DUMMYFUNCTION("""COMPUTED_VALUE"""),35.0)</f>
        <v>35</v>
      </c>
      <c r="B436" s="4">
        <f>IFERROR(__xludf.DUMMYFUNCTION("""COMPUTED_VALUE"""),35.0)</f>
        <v>35</v>
      </c>
      <c r="C436" s="4" t="str">
        <f>IFERROR(__xludf.DUMMYFUNCTION("""COMPUTED_VALUE"""),"ATL")</f>
        <v>ATL</v>
      </c>
      <c r="D436" s="4" t="str">
        <f>IFERROR(__xludf.DUMMYFUNCTION("""COMPUTED_VALUE"""),"Didi Louzada")</f>
        <v>Didi Louzada</v>
      </c>
      <c r="E436" s="4"/>
      <c r="F436" s="4">
        <f>IFERROR(__xludf.DUMMYFUNCTION("""COMPUTED_VALUE"""),2.0)</f>
        <v>2</v>
      </c>
      <c r="G436" s="4">
        <f>IFERROR(__xludf.DUMMYFUNCTION("""COMPUTED_VALUE"""),12.0)</f>
        <v>12</v>
      </c>
      <c r="H436" s="4">
        <f>IFERROR(__xludf.DUMMYFUNCTION("""COMPUTED_VALUE"""),185.0)</f>
        <v>185</v>
      </c>
      <c r="I436" s="4">
        <f>IFERROR(__xludf.DUMMYFUNCTION("""COMPUTED_VALUE"""),43.0)</f>
        <v>43</v>
      </c>
      <c r="J436" s="4">
        <f>IFERROR(__xludf.DUMMYFUNCTION("""COMPUTED_VALUE"""),20.0)</f>
        <v>20</v>
      </c>
      <c r="K436" s="4">
        <f>IFERROR(__xludf.DUMMYFUNCTION("""COMPUTED_VALUE"""),8.0)</f>
        <v>8</v>
      </c>
      <c r="L436" s="4">
        <f>IFERROR(__xludf.DUMMYFUNCTION("""COMPUTED_VALUE"""),0.326)</f>
        <v>0.326</v>
      </c>
      <c r="M436" s="4">
        <f>IFERROR(__xludf.DUMMYFUNCTION("""COMPUTED_VALUE"""),0.355)</f>
        <v>0.355</v>
      </c>
      <c r="N436" s="4">
        <f>IFERROR(__xludf.DUMMYFUNCTION("""COMPUTED_VALUE"""),1.0)</f>
        <v>1</v>
      </c>
      <c r="O436" s="4">
        <f>IFERROR(__xludf.DUMMYFUNCTION("""COMPUTED_VALUE"""),15.4)</f>
        <v>15.4</v>
      </c>
      <c r="P436" s="4">
        <f>IFERROR(__xludf.DUMMYFUNCTION("""COMPUTED_VALUE"""),3.6)</f>
        <v>3.6</v>
      </c>
      <c r="Q436" s="4">
        <f>IFERROR(__xludf.DUMMYFUNCTION("""COMPUTED_VALUE"""),1.7)</f>
        <v>1.7</v>
      </c>
      <c r="R436" s="4">
        <f>IFERROR(__xludf.DUMMYFUNCTION("""COMPUTED_VALUE"""),0.7)</f>
        <v>0.7</v>
      </c>
      <c r="S436" s="4">
        <f>IFERROR(__xludf.DUMMYFUNCTION("""COMPUTED_VALUE"""),-0.1)</f>
        <v>-0.1</v>
      </c>
      <c r="T436" s="4">
        <f>IFERROR(__xludf.DUMMYFUNCTION("""COMPUTED_VALUE"""),-0.034)</f>
        <v>-0.034</v>
      </c>
      <c r="U436" s="4">
        <f>IFERROR(__xludf.DUMMYFUNCTION("""COMPUTED_VALUE"""),-8.1)</f>
        <v>-8.1</v>
      </c>
      <c r="V436" s="4">
        <f>IFERROR(__xludf.DUMMYFUNCTION("""COMPUTED_VALUE"""),-0.3)</f>
        <v>-0.3</v>
      </c>
    </row>
    <row r="437">
      <c r="A437" s="4">
        <f>IFERROR(__xludf.DUMMYFUNCTION("""COMPUTED_VALUE"""),36.0)</f>
        <v>36</v>
      </c>
      <c r="B437" s="4">
        <f>IFERROR(__xludf.DUMMYFUNCTION("""COMPUTED_VALUE"""),36.0)</f>
        <v>36</v>
      </c>
      <c r="C437" s="4" t="str">
        <f>IFERROR(__xludf.DUMMYFUNCTION("""COMPUTED_VALUE"""),"CHO")</f>
        <v>CHO</v>
      </c>
      <c r="D437" s="4" t="str">
        <f>IFERROR(__xludf.DUMMYFUNCTION("""COMPUTED_VALUE"""),"Cody Martin")</f>
        <v>Cody Martin</v>
      </c>
      <c r="E437" s="4" t="str">
        <f>IFERROR(__xludf.DUMMYFUNCTION("""COMPUTED_VALUE"""),"Nevada")</f>
        <v>Nevada</v>
      </c>
      <c r="F437" s="4">
        <f>IFERROR(__xludf.DUMMYFUNCTION("""COMPUTED_VALUE"""),7.0)</f>
        <v>7</v>
      </c>
      <c r="G437" s="4">
        <f>IFERROR(__xludf.DUMMYFUNCTION("""COMPUTED_VALUE"""),263.0)</f>
        <v>263</v>
      </c>
      <c r="H437" s="4">
        <f>IFERROR(__xludf.DUMMYFUNCTION("""COMPUTED_VALUE"""),5733.0)</f>
        <v>5733</v>
      </c>
      <c r="I437" s="4">
        <f>IFERROR(__xludf.DUMMYFUNCTION("""COMPUTED_VALUE"""),1600.0)</f>
        <v>1600</v>
      </c>
      <c r="J437" s="4">
        <f>IFERROR(__xludf.DUMMYFUNCTION("""COMPUTED_VALUE"""),975.0)</f>
        <v>975</v>
      </c>
      <c r="K437" s="4">
        <f>IFERROR(__xludf.DUMMYFUNCTION("""COMPUTED_VALUE"""),582.0)</f>
        <v>582</v>
      </c>
      <c r="L437" s="4">
        <f>IFERROR(__xludf.DUMMYFUNCTION("""COMPUTED_VALUE"""),0.434)</f>
        <v>0.434</v>
      </c>
      <c r="M437" s="4">
        <f>IFERROR(__xludf.DUMMYFUNCTION("""COMPUTED_VALUE"""),0.305)</f>
        <v>0.305</v>
      </c>
      <c r="N437" s="4">
        <f>IFERROR(__xludf.DUMMYFUNCTION("""COMPUTED_VALUE"""),0.658)</f>
        <v>0.658</v>
      </c>
      <c r="O437" s="4">
        <f>IFERROR(__xludf.DUMMYFUNCTION("""COMPUTED_VALUE"""),21.8)</f>
        <v>21.8</v>
      </c>
      <c r="P437" s="4">
        <f>IFERROR(__xludf.DUMMYFUNCTION("""COMPUTED_VALUE"""),6.1)</f>
        <v>6.1</v>
      </c>
      <c r="Q437" s="4">
        <f>IFERROR(__xludf.DUMMYFUNCTION("""COMPUTED_VALUE"""),3.7)</f>
        <v>3.7</v>
      </c>
      <c r="R437" s="4">
        <f>IFERROR(__xludf.DUMMYFUNCTION("""COMPUTED_VALUE"""),2.2)</f>
        <v>2.2</v>
      </c>
      <c r="S437" s="4">
        <f>IFERROR(__xludf.DUMMYFUNCTION("""COMPUTED_VALUE"""),7.1)</f>
        <v>7.1</v>
      </c>
      <c r="T437" s="4">
        <f>IFERROR(__xludf.DUMMYFUNCTION("""COMPUTED_VALUE"""),0.06)</f>
        <v>0.06</v>
      </c>
      <c r="U437" s="4">
        <f>IFERROR(__xludf.DUMMYFUNCTION("""COMPUTED_VALUE"""),-1.8)</f>
        <v>-1.8</v>
      </c>
      <c r="V437" s="4">
        <f>IFERROR(__xludf.DUMMYFUNCTION("""COMPUTED_VALUE"""),0.3)</f>
        <v>0.3</v>
      </c>
    </row>
    <row r="438">
      <c r="A438" s="4">
        <f>IFERROR(__xludf.DUMMYFUNCTION("""COMPUTED_VALUE"""),37.0)</f>
        <v>37</v>
      </c>
      <c r="B438" s="4">
        <f>IFERROR(__xludf.DUMMYFUNCTION("""COMPUTED_VALUE"""),37.0)</f>
        <v>37</v>
      </c>
      <c r="C438" s="4" t="str">
        <f>IFERROR(__xludf.DUMMYFUNCTION("""COMPUTED_VALUE"""),"DAL")</f>
        <v>DAL</v>
      </c>
      <c r="D438" s="4" t="str">
        <f>IFERROR(__xludf.DUMMYFUNCTION("""COMPUTED_VALUE"""),"Deividas Sirvydis")</f>
        <v>Deividas Sirvydis</v>
      </c>
      <c r="E438" s="4"/>
      <c r="F438" s="4">
        <f>IFERROR(__xludf.DUMMYFUNCTION("""COMPUTED_VALUE"""),2.0)</f>
        <v>2</v>
      </c>
      <c r="G438" s="4">
        <f>IFERROR(__xludf.DUMMYFUNCTION("""COMPUTED_VALUE"""),23.0)</f>
        <v>23</v>
      </c>
      <c r="H438" s="4">
        <f>IFERROR(__xludf.DUMMYFUNCTION("""COMPUTED_VALUE"""),160.0)</f>
        <v>160</v>
      </c>
      <c r="I438" s="4">
        <f>IFERROR(__xludf.DUMMYFUNCTION("""COMPUTED_VALUE"""),44.0)</f>
        <v>44</v>
      </c>
      <c r="J438" s="4">
        <f>IFERROR(__xludf.DUMMYFUNCTION("""COMPUTED_VALUE"""),35.0)</f>
        <v>35</v>
      </c>
      <c r="K438" s="4">
        <f>IFERROR(__xludf.DUMMYFUNCTION("""COMPUTED_VALUE"""),6.0)</f>
        <v>6</v>
      </c>
      <c r="L438" s="4">
        <f>IFERROR(__xludf.DUMMYFUNCTION("""COMPUTED_VALUE"""),0.3)</f>
        <v>0.3</v>
      </c>
      <c r="M438" s="4">
        <f>IFERROR(__xludf.DUMMYFUNCTION("""COMPUTED_VALUE"""),0.314)</f>
        <v>0.314</v>
      </c>
      <c r="N438" s="4">
        <f>IFERROR(__xludf.DUMMYFUNCTION("""COMPUTED_VALUE"""),0.5)</f>
        <v>0.5</v>
      </c>
      <c r="O438" s="4">
        <f>IFERROR(__xludf.DUMMYFUNCTION("""COMPUTED_VALUE"""),7.0)</f>
        <v>7</v>
      </c>
      <c r="P438" s="4">
        <f>IFERROR(__xludf.DUMMYFUNCTION("""COMPUTED_VALUE"""),1.9)</f>
        <v>1.9</v>
      </c>
      <c r="Q438" s="4">
        <f>IFERROR(__xludf.DUMMYFUNCTION("""COMPUTED_VALUE"""),1.5)</f>
        <v>1.5</v>
      </c>
      <c r="R438" s="4">
        <f>IFERROR(__xludf.DUMMYFUNCTION("""COMPUTED_VALUE"""),0.3)</f>
        <v>0.3</v>
      </c>
      <c r="S438" s="4">
        <f>IFERROR(__xludf.DUMMYFUNCTION("""COMPUTED_VALUE"""),-0.1)</f>
        <v>-0.1</v>
      </c>
      <c r="T438" s="4">
        <f>IFERROR(__xludf.DUMMYFUNCTION("""COMPUTED_VALUE"""),-0.032)</f>
        <v>-0.032</v>
      </c>
      <c r="U438" s="4">
        <f>IFERROR(__xludf.DUMMYFUNCTION("""COMPUTED_VALUE"""),-5.9)</f>
        <v>-5.9</v>
      </c>
      <c r="V438" s="4">
        <f>IFERROR(__xludf.DUMMYFUNCTION("""COMPUTED_VALUE"""),-0.2)</f>
        <v>-0.2</v>
      </c>
    </row>
    <row r="439">
      <c r="A439" s="4">
        <f>IFERROR(__xludf.DUMMYFUNCTION("""COMPUTED_VALUE"""),38.0)</f>
        <v>38</v>
      </c>
      <c r="B439" s="4">
        <f>IFERROR(__xludf.DUMMYFUNCTION("""COMPUTED_VALUE"""),38.0)</f>
        <v>38</v>
      </c>
      <c r="C439" s="4" t="str">
        <f>IFERROR(__xludf.DUMMYFUNCTION("""COMPUTED_VALUE"""),"CHI")</f>
        <v>CHI</v>
      </c>
      <c r="D439" s="4" t="str">
        <f>IFERROR(__xludf.DUMMYFUNCTION("""COMPUTED_VALUE"""),"Daniel Gafford")</f>
        <v>Daniel Gafford</v>
      </c>
      <c r="E439" s="4" t="str">
        <f>IFERROR(__xludf.DUMMYFUNCTION("""COMPUTED_VALUE"""),"Arkansas")</f>
        <v>Arkansas</v>
      </c>
      <c r="F439" s="4">
        <f>IFERROR(__xludf.DUMMYFUNCTION("""COMPUTED_VALUE"""),7.0)</f>
        <v>7</v>
      </c>
      <c r="G439" s="4">
        <f>IFERROR(__xludf.DUMMYFUNCTION("""COMPUTED_VALUE"""),392.0)</f>
        <v>392</v>
      </c>
      <c r="H439" s="4">
        <f>IFERROR(__xludf.DUMMYFUNCTION("""COMPUTED_VALUE"""),7818.0)</f>
        <v>7818</v>
      </c>
      <c r="I439" s="4">
        <f>IFERROR(__xludf.DUMMYFUNCTION("""COMPUTED_VALUE"""),3629.0)</f>
        <v>3629</v>
      </c>
      <c r="J439" s="4">
        <f>IFERROR(__xludf.DUMMYFUNCTION("""COMPUTED_VALUE"""),2218.0)</f>
        <v>2218</v>
      </c>
      <c r="K439" s="4">
        <f>IFERROR(__xludf.DUMMYFUNCTION("""COMPUTED_VALUE"""),416.0)</f>
        <v>416</v>
      </c>
      <c r="L439" s="4">
        <f>IFERROR(__xludf.DUMMYFUNCTION("""COMPUTED_VALUE"""),0.706)</f>
        <v>0.706</v>
      </c>
      <c r="M439" s="4">
        <f>IFERROR(__xludf.DUMMYFUNCTION("""COMPUTED_VALUE"""),0.0)</f>
        <v>0</v>
      </c>
      <c r="N439" s="4">
        <f>IFERROR(__xludf.DUMMYFUNCTION("""COMPUTED_VALUE"""),0.677)</f>
        <v>0.677</v>
      </c>
      <c r="O439" s="4">
        <f>IFERROR(__xludf.DUMMYFUNCTION("""COMPUTED_VALUE"""),19.9)</f>
        <v>19.9</v>
      </c>
      <c r="P439" s="4">
        <f>IFERROR(__xludf.DUMMYFUNCTION("""COMPUTED_VALUE"""),9.3)</f>
        <v>9.3</v>
      </c>
      <c r="Q439" s="4">
        <f>IFERROR(__xludf.DUMMYFUNCTION("""COMPUTED_VALUE"""),5.7)</f>
        <v>5.7</v>
      </c>
      <c r="R439" s="4">
        <f>IFERROR(__xludf.DUMMYFUNCTION("""COMPUTED_VALUE"""),1.1)</f>
        <v>1.1</v>
      </c>
      <c r="S439" s="4">
        <f>IFERROR(__xludf.DUMMYFUNCTION("""COMPUTED_VALUE"""),32.2)</f>
        <v>32.2</v>
      </c>
      <c r="T439" s="4">
        <f>IFERROR(__xludf.DUMMYFUNCTION("""COMPUTED_VALUE"""),0.198)</f>
        <v>0.198</v>
      </c>
      <c r="U439" s="4">
        <f>IFERROR(__xludf.DUMMYFUNCTION("""COMPUTED_VALUE"""),1.8)</f>
        <v>1.8</v>
      </c>
      <c r="V439" s="4">
        <f>IFERROR(__xludf.DUMMYFUNCTION("""COMPUTED_VALUE"""),7.6)</f>
        <v>7.6</v>
      </c>
    </row>
    <row r="440">
      <c r="A440" s="4">
        <f>IFERROR(__xludf.DUMMYFUNCTION("""COMPUTED_VALUE"""),39.0)</f>
        <v>39</v>
      </c>
      <c r="B440" s="4">
        <f>IFERROR(__xludf.DUMMYFUNCTION("""COMPUTED_VALUE"""),39.0)</f>
        <v>39</v>
      </c>
      <c r="C440" s="4" t="str">
        <f>IFERROR(__xludf.DUMMYFUNCTION("""COMPUTED_VALUE"""),"NOP")</f>
        <v>NOP</v>
      </c>
      <c r="D440" s="4" t="str">
        <f>IFERROR(__xludf.DUMMYFUNCTION("""COMPUTED_VALUE"""),"Alen Smailagić")</f>
        <v>Alen Smailagić</v>
      </c>
      <c r="E440" s="4"/>
      <c r="F440" s="4">
        <f>IFERROR(__xludf.DUMMYFUNCTION("""COMPUTED_VALUE"""),2.0)</f>
        <v>2</v>
      </c>
      <c r="G440" s="4">
        <f>IFERROR(__xludf.DUMMYFUNCTION("""COMPUTED_VALUE"""),29.0)</f>
        <v>29</v>
      </c>
      <c r="H440" s="4">
        <f>IFERROR(__xludf.DUMMYFUNCTION("""COMPUTED_VALUE"""),223.0)</f>
        <v>223</v>
      </c>
      <c r="I440" s="4">
        <f>IFERROR(__xludf.DUMMYFUNCTION("""COMPUTED_VALUE"""),87.0)</f>
        <v>87</v>
      </c>
      <c r="J440" s="4">
        <f>IFERROR(__xludf.DUMMYFUNCTION("""COMPUTED_VALUE"""),43.0)</f>
        <v>43</v>
      </c>
      <c r="K440" s="4">
        <f>IFERROR(__xludf.DUMMYFUNCTION("""COMPUTED_VALUE"""),17.0)</f>
        <v>17</v>
      </c>
      <c r="L440" s="4">
        <f>IFERROR(__xludf.DUMMYFUNCTION("""COMPUTED_VALUE"""),0.463)</f>
        <v>0.463</v>
      </c>
      <c r="M440" s="4">
        <f>IFERROR(__xludf.DUMMYFUNCTION("""COMPUTED_VALUE"""),0.304)</f>
        <v>0.304</v>
      </c>
      <c r="N440" s="4">
        <f>IFERROR(__xludf.DUMMYFUNCTION("""COMPUTED_VALUE"""),0.72)</f>
        <v>0.72</v>
      </c>
      <c r="O440" s="4">
        <f>IFERROR(__xludf.DUMMYFUNCTION("""COMPUTED_VALUE"""),7.7)</f>
        <v>7.7</v>
      </c>
      <c r="P440" s="4">
        <f>IFERROR(__xludf.DUMMYFUNCTION("""COMPUTED_VALUE"""),3.0)</f>
        <v>3</v>
      </c>
      <c r="Q440" s="4">
        <f>IFERROR(__xludf.DUMMYFUNCTION("""COMPUTED_VALUE"""),1.5)</f>
        <v>1.5</v>
      </c>
      <c r="R440" s="4">
        <f>IFERROR(__xludf.DUMMYFUNCTION("""COMPUTED_VALUE"""),0.6)</f>
        <v>0.6</v>
      </c>
      <c r="S440" s="4">
        <f>IFERROR(__xludf.DUMMYFUNCTION("""COMPUTED_VALUE"""),0.3)</f>
        <v>0.3</v>
      </c>
      <c r="T440" s="4">
        <f>IFERROR(__xludf.DUMMYFUNCTION("""COMPUTED_VALUE"""),0.056)</f>
        <v>0.056</v>
      </c>
      <c r="U440" s="4">
        <f>IFERROR(__xludf.DUMMYFUNCTION("""COMPUTED_VALUE"""),-3.3)</f>
        <v>-3.3</v>
      </c>
      <c r="V440" s="4">
        <f>IFERROR(__xludf.DUMMYFUNCTION("""COMPUTED_VALUE"""),-0.1)</f>
        <v>-0.1</v>
      </c>
    </row>
    <row r="441">
      <c r="A441" s="4">
        <f>IFERROR(__xludf.DUMMYFUNCTION("""COMPUTED_VALUE"""),40.0)</f>
        <v>40</v>
      </c>
      <c r="B441" s="4">
        <f>IFERROR(__xludf.DUMMYFUNCTION("""COMPUTED_VALUE"""),40.0)</f>
        <v>40</v>
      </c>
      <c r="C441" s="4" t="str">
        <f>IFERROR(__xludf.DUMMYFUNCTION("""COMPUTED_VALUE"""),"SAC")</f>
        <v>SAC</v>
      </c>
      <c r="D441" s="4" t="str">
        <f>IFERROR(__xludf.DUMMYFUNCTION("""COMPUTED_VALUE"""),"Justin James")</f>
        <v>Justin James</v>
      </c>
      <c r="E441" s="4" t="str">
        <f>IFERROR(__xludf.DUMMYFUNCTION("""COMPUTED_VALUE"""),"Wyoming")</f>
        <v>Wyoming</v>
      </c>
      <c r="F441" s="4">
        <f>IFERROR(__xludf.DUMMYFUNCTION("""COMPUTED_VALUE"""),2.0)</f>
        <v>2</v>
      </c>
      <c r="G441" s="4">
        <f>IFERROR(__xludf.DUMMYFUNCTION("""COMPUTED_VALUE"""),72.0)</f>
        <v>72</v>
      </c>
      <c r="H441" s="4">
        <f>IFERROR(__xludf.DUMMYFUNCTION("""COMPUTED_VALUE"""),542.0)</f>
        <v>542</v>
      </c>
      <c r="I441" s="4">
        <f>IFERROR(__xludf.DUMMYFUNCTION("""COMPUTED_VALUE"""),228.0)</f>
        <v>228</v>
      </c>
      <c r="J441" s="4">
        <f>IFERROR(__xludf.DUMMYFUNCTION("""COMPUTED_VALUE"""),62.0)</f>
        <v>62</v>
      </c>
      <c r="K441" s="4">
        <f>IFERROR(__xludf.DUMMYFUNCTION("""COMPUTED_VALUE"""),40.0)</f>
        <v>40</v>
      </c>
      <c r="L441" s="4">
        <f>IFERROR(__xludf.DUMMYFUNCTION("""COMPUTED_VALUE"""),0.446)</f>
        <v>0.446</v>
      </c>
      <c r="M441" s="4">
        <f>IFERROR(__xludf.DUMMYFUNCTION("""COMPUTED_VALUE"""),0.343)</f>
        <v>0.343</v>
      </c>
      <c r="N441" s="4">
        <f>IFERROR(__xludf.DUMMYFUNCTION("""COMPUTED_VALUE"""),0.544)</f>
        <v>0.544</v>
      </c>
      <c r="O441" s="4">
        <f>IFERROR(__xludf.DUMMYFUNCTION("""COMPUTED_VALUE"""),7.5)</f>
        <v>7.5</v>
      </c>
      <c r="P441" s="4">
        <f>IFERROR(__xludf.DUMMYFUNCTION("""COMPUTED_VALUE"""),3.2)</f>
        <v>3.2</v>
      </c>
      <c r="Q441" s="4">
        <f>IFERROR(__xludf.DUMMYFUNCTION("""COMPUTED_VALUE"""),0.9)</f>
        <v>0.9</v>
      </c>
      <c r="R441" s="4">
        <f>IFERROR(__xludf.DUMMYFUNCTION("""COMPUTED_VALUE"""),0.6)</f>
        <v>0.6</v>
      </c>
      <c r="S441" s="4">
        <f>IFERROR(__xludf.DUMMYFUNCTION("""COMPUTED_VALUE"""),0.3)</f>
        <v>0.3</v>
      </c>
      <c r="T441" s="4">
        <f>IFERROR(__xludf.DUMMYFUNCTION("""COMPUTED_VALUE"""),0.024)</f>
        <v>0.024</v>
      </c>
      <c r="U441" s="4">
        <f>IFERROR(__xludf.DUMMYFUNCTION("""COMPUTED_VALUE"""),-3.1)</f>
        <v>-3.1</v>
      </c>
      <c r="V441" s="4">
        <f>IFERROR(__xludf.DUMMYFUNCTION("""COMPUTED_VALUE"""),-0.2)</f>
        <v>-0.2</v>
      </c>
    </row>
    <row r="442">
      <c r="A442" s="4">
        <f>IFERROR(__xludf.DUMMYFUNCTION("""COMPUTED_VALUE"""),41.0)</f>
        <v>41</v>
      </c>
      <c r="B442" s="4">
        <f>IFERROR(__xludf.DUMMYFUNCTION("""COMPUTED_VALUE"""),41.0)</f>
        <v>41</v>
      </c>
      <c r="C442" s="4" t="str">
        <f>IFERROR(__xludf.DUMMYFUNCTION("""COMPUTED_VALUE"""),"GSW")</f>
        <v>GSW</v>
      </c>
      <c r="D442" s="4" t="str">
        <f>IFERROR(__xludf.DUMMYFUNCTION("""COMPUTED_VALUE"""),"Eric Paschall")</f>
        <v>Eric Paschall</v>
      </c>
      <c r="E442" s="4" t="str">
        <f>IFERROR(__xludf.DUMMYFUNCTION("""COMPUTED_VALUE"""),"Villanova")</f>
        <v>Villanova</v>
      </c>
      <c r="F442" s="4">
        <f>IFERROR(__xludf.DUMMYFUNCTION("""COMPUTED_VALUE"""),3.0)</f>
        <v>3</v>
      </c>
      <c r="G442" s="4">
        <f>IFERROR(__xludf.DUMMYFUNCTION("""COMPUTED_VALUE"""),158.0)</f>
        <v>158</v>
      </c>
      <c r="H442" s="4">
        <f>IFERROR(__xludf.DUMMYFUNCTION("""COMPUTED_VALUE"""),3086.0)</f>
        <v>3086</v>
      </c>
      <c r="I442" s="4">
        <f>IFERROR(__xludf.DUMMYFUNCTION("""COMPUTED_VALUE"""),1552.0)</f>
        <v>1552</v>
      </c>
      <c r="J442" s="4">
        <f>IFERROR(__xludf.DUMMYFUNCTION("""COMPUTED_VALUE"""),509.0)</f>
        <v>509</v>
      </c>
      <c r="K442" s="4">
        <f>IFERROR(__xludf.DUMMYFUNCTION("""COMPUTED_VALUE"""),214.0)</f>
        <v>214</v>
      </c>
      <c r="L442" s="4">
        <f>IFERROR(__xludf.DUMMYFUNCTION("""COMPUTED_VALUE"""),0.494)</f>
        <v>0.494</v>
      </c>
      <c r="M442" s="4">
        <f>IFERROR(__xludf.DUMMYFUNCTION("""COMPUTED_VALUE"""),0.326)</f>
        <v>0.326</v>
      </c>
      <c r="N442" s="4">
        <f>IFERROR(__xludf.DUMMYFUNCTION("""COMPUTED_VALUE"""),0.758)</f>
        <v>0.758</v>
      </c>
      <c r="O442" s="4">
        <f>IFERROR(__xludf.DUMMYFUNCTION("""COMPUTED_VALUE"""),19.5)</f>
        <v>19.5</v>
      </c>
      <c r="P442" s="4">
        <f>IFERROR(__xludf.DUMMYFUNCTION("""COMPUTED_VALUE"""),9.8)</f>
        <v>9.8</v>
      </c>
      <c r="Q442" s="4">
        <f>IFERROR(__xludf.DUMMYFUNCTION("""COMPUTED_VALUE"""),3.2)</f>
        <v>3.2</v>
      </c>
      <c r="R442" s="4">
        <f>IFERROR(__xludf.DUMMYFUNCTION("""COMPUTED_VALUE"""),1.4)</f>
        <v>1.4</v>
      </c>
      <c r="S442" s="4">
        <f>IFERROR(__xludf.DUMMYFUNCTION("""COMPUTED_VALUE"""),5.0)</f>
        <v>5</v>
      </c>
      <c r="T442" s="4">
        <f>IFERROR(__xludf.DUMMYFUNCTION("""COMPUTED_VALUE"""),0.078)</f>
        <v>0.078</v>
      </c>
      <c r="U442" s="4">
        <f>IFERROR(__xludf.DUMMYFUNCTION("""COMPUTED_VALUE"""),-2.2)</f>
        <v>-2.2</v>
      </c>
      <c r="V442" s="4">
        <f>IFERROR(__xludf.DUMMYFUNCTION("""COMPUTED_VALUE"""),-0.1)</f>
        <v>-0.1</v>
      </c>
    </row>
    <row r="443">
      <c r="A443" s="4">
        <f>IFERROR(__xludf.DUMMYFUNCTION("""COMPUTED_VALUE"""),42.0)</f>
        <v>42</v>
      </c>
      <c r="B443" s="4">
        <f>IFERROR(__xludf.DUMMYFUNCTION("""COMPUTED_VALUE"""),42.0)</f>
        <v>42</v>
      </c>
      <c r="C443" s="4" t="str">
        <f>IFERROR(__xludf.DUMMYFUNCTION("""COMPUTED_VALUE"""),"PHI")</f>
        <v>PHI</v>
      </c>
      <c r="D443" s="4" t="str">
        <f>IFERROR(__xludf.DUMMYFUNCTION("""COMPUTED_VALUE"""),"Admiral Schofield")</f>
        <v>Admiral Schofield</v>
      </c>
      <c r="E443" s="4" t="str">
        <f>IFERROR(__xludf.DUMMYFUNCTION("""COMPUTED_VALUE"""),"Tennessee")</f>
        <v>Tennessee</v>
      </c>
      <c r="F443" s="4">
        <f>IFERROR(__xludf.DUMMYFUNCTION("""COMPUTED_VALUE"""),4.0)</f>
        <v>4</v>
      </c>
      <c r="G443" s="4">
        <f>IFERROR(__xludf.DUMMYFUNCTION("""COMPUTED_VALUE"""),131.0)</f>
        <v>131</v>
      </c>
      <c r="H443" s="4">
        <f>IFERROR(__xludf.DUMMYFUNCTION("""COMPUTED_VALUE"""),1372.0)</f>
        <v>1372</v>
      </c>
      <c r="I443" s="4">
        <f>IFERROR(__xludf.DUMMYFUNCTION("""COMPUTED_VALUE"""),426.0)</f>
        <v>426</v>
      </c>
      <c r="J443" s="4">
        <f>IFERROR(__xludf.DUMMYFUNCTION("""COMPUTED_VALUE"""),215.0)</f>
        <v>215</v>
      </c>
      <c r="K443" s="4">
        <f>IFERROR(__xludf.DUMMYFUNCTION("""COMPUTED_VALUE"""),78.0)</f>
        <v>78</v>
      </c>
      <c r="L443" s="4">
        <f>IFERROR(__xludf.DUMMYFUNCTION("""COMPUTED_VALUE"""),0.417)</f>
        <v>0.417</v>
      </c>
      <c r="M443" s="4">
        <f>IFERROR(__xludf.DUMMYFUNCTION("""COMPUTED_VALUE"""),0.326)</f>
        <v>0.326</v>
      </c>
      <c r="N443" s="4">
        <f>IFERROR(__xludf.DUMMYFUNCTION("""COMPUTED_VALUE"""),0.782)</f>
        <v>0.782</v>
      </c>
      <c r="O443" s="4">
        <f>IFERROR(__xludf.DUMMYFUNCTION("""COMPUTED_VALUE"""),10.5)</f>
        <v>10.5</v>
      </c>
      <c r="P443" s="4">
        <f>IFERROR(__xludf.DUMMYFUNCTION("""COMPUTED_VALUE"""),3.3)</f>
        <v>3.3</v>
      </c>
      <c r="Q443" s="4">
        <f>IFERROR(__xludf.DUMMYFUNCTION("""COMPUTED_VALUE"""),1.6)</f>
        <v>1.6</v>
      </c>
      <c r="R443" s="4">
        <f>IFERROR(__xludf.DUMMYFUNCTION("""COMPUTED_VALUE"""),0.6)</f>
        <v>0.6</v>
      </c>
      <c r="S443" s="4">
        <f>IFERROR(__xludf.DUMMYFUNCTION("""COMPUTED_VALUE"""),1.2)</f>
        <v>1.2</v>
      </c>
      <c r="T443" s="4">
        <f>IFERROR(__xludf.DUMMYFUNCTION("""COMPUTED_VALUE"""),0.043)</f>
        <v>0.043</v>
      </c>
      <c r="U443" s="4">
        <f>IFERROR(__xludf.DUMMYFUNCTION("""COMPUTED_VALUE"""),-4.6)</f>
        <v>-4.6</v>
      </c>
      <c r="V443" s="4">
        <f>IFERROR(__xludf.DUMMYFUNCTION("""COMPUTED_VALUE"""),-0.9)</f>
        <v>-0.9</v>
      </c>
    </row>
    <row r="444">
      <c r="A444" s="4">
        <f>IFERROR(__xludf.DUMMYFUNCTION("""COMPUTED_VALUE"""),43.0)</f>
        <v>43</v>
      </c>
      <c r="B444" s="4">
        <f>IFERROR(__xludf.DUMMYFUNCTION("""COMPUTED_VALUE"""),43.0)</f>
        <v>43</v>
      </c>
      <c r="C444" s="4" t="str">
        <f>IFERROR(__xludf.DUMMYFUNCTION("""COMPUTED_VALUE"""),"MIN")</f>
        <v>MIN</v>
      </c>
      <c r="D444" s="4" t="str">
        <f>IFERROR(__xludf.DUMMYFUNCTION("""COMPUTED_VALUE"""),"Jaylen Nowell")</f>
        <v>Jaylen Nowell</v>
      </c>
      <c r="E444" s="4" t="str">
        <f>IFERROR(__xludf.DUMMYFUNCTION("""COMPUTED_VALUE"""),"Washington")</f>
        <v>Washington</v>
      </c>
      <c r="F444" s="4">
        <f>IFERROR(__xludf.DUMMYFUNCTION("""COMPUTED_VALUE"""),6.0)</f>
        <v>6</v>
      </c>
      <c r="G444" s="4">
        <f>IFERROR(__xludf.DUMMYFUNCTION("""COMPUTED_VALUE"""),205.0)</f>
        <v>205</v>
      </c>
      <c r="H444" s="4">
        <f>IFERROR(__xludf.DUMMYFUNCTION("""COMPUTED_VALUE"""),3519.0)</f>
        <v>3519</v>
      </c>
      <c r="I444" s="4">
        <f>IFERROR(__xludf.DUMMYFUNCTION("""COMPUTED_VALUE"""),1815.0)</f>
        <v>1815</v>
      </c>
      <c r="J444" s="4">
        <f>IFERROR(__xludf.DUMMYFUNCTION("""COMPUTED_VALUE"""),445.0)</f>
        <v>445</v>
      </c>
      <c r="K444" s="4">
        <f>IFERROR(__xludf.DUMMYFUNCTION("""COMPUTED_VALUE"""),380.0)</f>
        <v>380</v>
      </c>
      <c r="L444" s="4">
        <f>IFERROR(__xludf.DUMMYFUNCTION("""COMPUTED_VALUE"""),0.442)</f>
        <v>0.442</v>
      </c>
      <c r="M444" s="4">
        <f>IFERROR(__xludf.DUMMYFUNCTION("""COMPUTED_VALUE"""),0.316)</f>
        <v>0.316</v>
      </c>
      <c r="N444" s="4">
        <f>IFERROR(__xludf.DUMMYFUNCTION("""COMPUTED_VALUE"""),0.792)</f>
        <v>0.792</v>
      </c>
      <c r="O444" s="4">
        <f>IFERROR(__xludf.DUMMYFUNCTION("""COMPUTED_VALUE"""),17.2)</f>
        <v>17.2</v>
      </c>
      <c r="P444" s="4">
        <f>IFERROR(__xludf.DUMMYFUNCTION("""COMPUTED_VALUE"""),8.9)</f>
        <v>8.9</v>
      </c>
      <c r="Q444" s="4">
        <f>IFERROR(__xludf.DUMMYFUNCTION("""COMPUTED_VALUE"""),2.2)</f>
        <v>2.2</v>
      </c>
      <c r="R444" s="4">
        <f>IFERROR(__xludf.DUMMYFUNCTION("""COMPUTED_VALUE"""),1.9)</f>
        <v>1.9</v>
      </c>
      <c r="S444" s="4">
        <f>IFERROR(__xludf.DUMMYFUNCTION("""COMPUTED_VALUE"""),4.7)</f>
        <v>4.7</v>
      </c>
      <c r="T444" s="4">
        <f>IFERROR(__xludf.DUMMYFUNCTION("""COMPUTED_VALUE"""),0.064)</f>
        <v>0.064</v>
      </c>
      <c r="U444" s="4">
        <f>IFERROR(__xludf.DUMMYFUNCTION("""COMPUTED_VALUE"""),-2.1)</f>
        <v>-2.1</v>
      </c>
      <c r="V444" s="4">
        <f>IFERROR(__xludf.DUMMYFUNCTION("""COMPUTED_VALUE"""),-0.1)</f>
        <v>-0.1</v>
      </c>
    </row>
    <row r="445">
      <c r="A445" s="4">
        <f>IFERROR(__xludf.DUMMYFUNCTION("""COMPUTED_VALUE"""),44.0)</f>
        <v>44</v>
      </c>
      <c r="B445" s="4">
        <f>IFERROR(__xludf.DUMMYFUNCTION("""COMPUTED_VALUE"""),44.0)</f>
        <v>44</v>
      </c>
      <c r="C445" s="4" t="str">
        <f>IFERROR(__xludf.DUMMYFUNCTION("""COMPUTED_VALUE"""),"MIA")</f>
        <v>MIA</v>
      </c>
      <c r="D445" s="4" t="str">
        <f>IFERROR(__xludf.DUMMYFUNCTION("""COMPUTED_VALUE"""),"Bol Bol")</f>
        <v>Bol Bol</v>
      </c>
      <c r="E445" s="4" t="str">
        <f>IFERROR(__xludf.DUMMYFUNCTION("""COMPUTED_VALUE"""),"Oregon")</f>
        <v>Oregon</v>
      </c>
      <c r="F445" s="4">
        <f>IFERROR(__xludf.DUMMYFUNCTION("""COMPUTED_VALUE"""),6.0)</f>
        <v>6</v>
      </c>
      <c r="G445" s="4">
        <f>IFERROR(__xludf.DUMMYFUNCTION("""COMPUTED_VALUE"""),202.0)</f>
        <v>202</v>
      </c>
      <c r="H445" s="4">
        <f>IFERROR(__xludf.DUMMYFUNCTION("""COMPUTED_VALUE"""),2750.0)</f>
        <v>2750</v>
      </c>
      <c r="I445" s="4">
        <f>IFERROR(__xludf.DUMMYFUNCTION("""COMPUTED_VALUE"""),1243.0)</f>
        <v>1243</v>
      </c>
      <c r="J445" s="4">
        <f>IFERROR(__xludf.DUMMYFUNCTION("""COMPUTED_VALUE"""),709.0)</f>
        <v>709</v>
      </c>
      <c r="K445" s="4">
        <f>IFERROR(__xludf.DUMMYFUNCTION("""COMPUTED_VALUE"""),126.0)</f>
        <v>126</v>
      </c>
      <c r="L445" s="4">
        <f>IFERROR(__xludf.DUMMYFUNCTION("""COMPUTED_VALUE"""),0.545)</f>
        <v>0.545</v>
      </c>
      <c r="M445" s="4">
        <f>IFERROR(__xludf.DUMMYFUNCTION("""COMPUTED_VALUE"""),0.332)</f>
        <v>0.332</v>
      </c>
      <c r="N445" s="4">
        <f>IFERROR(__xludf.DUMMYFUNCTION("""COMPUTED_VALUE"""),0.749)</f>
        <v>0.749</v>
      </c>
      <c r="O445" s="4">
        <f>IFERROR(__xludf.DUMMYFUNCTION("""COMPUTED_VALUE"""),13.6)</f>
        <v>13.6</v>
      </c>
      <c r="P445" s="4">
        <f>IFERROR(__xludf.DUMMYFUNCTION("""COMPUTED_VALUE"""),6.2)</f>
        <v>6.2</v>
      </c>
      <c r="Q445" s="4">
        <f>IFERROR(__xludf.DUMMYFUNCTION("""COMPUTED_VALUE"""),3.5)</f>
        <v>3.5</v>
      </c>
      <c r="R445" s="4">
        <f>IFERROR(__xludf.DUMMYFUNCTION("""COMPUTED_VALUE"""),0.6)</f>
        <v>0.6</v>
      </c>
      <c r="S445" s="4">
        <f>IFERROR(__xludf.DUMMYFUNCTION("""COMPUTED_VALUE"""),5.0)</f>
        <v>5</v>
      </c>
      <c r="T445" s="4">
        <f>IFERROR(__xludf.DUMMYFUNCTION("""COMPUTED_VALUE"""),0.088)</f>
        <v>0.088</v>
      </c>
      <c r="U445" s="4">
        <f>IFERROR(__xludf.DUMMYFUNCTION("""COMPUTED_VALUE"""),-0.4)</f>
        <v>-0.4</v>
      </c>
      <c r="V445" s="4">
        <f>IFERROR(__xludf.DUMMYFUNCTION("""COMPUTED_VALUE"""),1.1)</f>
        <v>1.1</v>
      </c>
    </row>
    <row r="446">
      <c r="A446" s="4">
        <f>IFERROR(__xludf.DUMMYFUNCTION("""COMPUTED_VALUE"""),45.0)</f>
        <v>45</v>
      </c>
      <c r="B446" s="4">
        <f>IFERROR(__xludf.DUMMYFUNCTION("""COMPUTED_VALUE"""),45.0)</f>
        <v>45</v>
      </c>
      <c r="C446" s="4" t="str">
        <f>IFERROR(__xludf.DUMMYFUNCTION("""COMPUTED_VALUE"""),"DET")</f>
        <v>DET</v>
      </c>
      <c r="D446" s="4" t="str">
        <f>IFERROR(__xludf.DUMMYFUNCTION("""COMPUTED_VALUE"""),"Isaiah Roby")</f>
        <v>Isaiah Roby</v>
      </c>
      <c r="E446" s="4" t="str">
        <f>IFERROR(__xludf.DUMMYFUNCTION("""COMPUTED_VALUE"""),"Nebraska")</f>
        <v>Nebraska</v>
      </c>
      <c r="F446" s="4">
        <f>IFERROR(__xludf.DUMMYFUNCTION("""COMPUTED_VALUE"""),4.0)</f>
        <v>4</v>
      </c>
      <c r="G446" s="4">
        <f>IFERROR(__xludf.DUMMYFUNCTION("""COMPUTED_VALUE"""),151.0)</f>
        <v>151</v>
      </c>
      <c r="H446" s="4">
        <f>IFERROR(__xludf.DUMMYFUNCTION("""COMPUTED_VALUE"""),2858.0)</f>
        <v>2858</v>
      </c>
      <c r="I446" s="4">
        <f>IFERROR(__xludf.DUMMYFUNCTION("""COMPUTED_VALUE"""),1159.0)</f>
        <v>1159</v>
      </c>
      <c r="J446" s="4">
        <f>IFERROR(__xludf.DUMMYFUNCTION("""COMPUTED_VALUE"""),667.0)</f>
        <v>667</v>
      </c>
      <c r="K446" s="4">
        <f>IFERROR(__xludf.DUMMYFUNCTION("""COMPUTED_VALUE"""),216.0)</f>
        <v>216</v>
      </c>
      <c r="L446" s="4">
        <f>IFERROR(__xludf.DUMMYFUNCTION("""COMPUTED_VALUE"""),0.485)</f>
        <v>0.485</v>
      </c>
      <c r="M446" s="4">
        <f>IFERROR(__xludf.DUMMYFUNCTION("""COMPUTED_VALUE"""),0.351)</f>
        <v>0.351</v>
      </c>
      <c r="N446" s="4">
        <f>IFERROR(__xludf.DUMMYFUNCTION("""COMPUTED_VALUE"""),0.675)</f>
        <v>0.675</v>
      </c>
      <c r="O446" s="4">
        <f>IFERROR(__xludf.DUMMYFUNCTION("""COMPUTED_VALUE"""),18.9)</f>
        <v>18.9</v>
      </c>
      <c r="P446" s="4">
        <f>IFERROR(__xludf.DUMMYFUNCTION("""COMPUTED_VALUE"""),7.7)</f>
        <v>7.7</v>
      </c>
      <c r="Q446" s="4">
        <f>IFERROR(__xludf.DUMMYFUNCTION("""COMPUTED_VALUE"""),4.4)</f>
        <v>4.4</v>
      </c>
      <c r="R446" s="4">
        <f>IFERROR(__xludf.DUMMYFUNCTION("""COMPUTED_VALUE"""),1.4)</f>
        <v>1.4</v>
      </c>
      <c r="S446" s="4">
        <f>IFERROR(__xludf.DUMMYFUNCTION("""COMPUTED_VALUE"""),4.0)</f>
        <v>4</v>
      </c>
      <c r="T446" s="4">
        <f>IFERROR(__xludf.DUMMYFUNCTION("""COMPUTED_VALUE"""),0.068)</f>
        <v>0.068</v>
      </c>
      <c r="U446" s="4">
        <f>IFERROR(__xludf.DUMMYFUNCTION("""COMPUTED_VALUE"""),-2.3)</f>
        <v>-2.3</v>
      </c>
      <c r="V446" s="4">
        <f>IFERROR(__xludf.DUMMYFUNCTION("""COMPUTED_VALUE"""),-0.2)</f>
        <v>-0.2</v>
      </c>
    </row>
    <row r="447">
      <c r="A447" s="4">
        <f>IFERROR(__xludf.DUMMYFUNCTION("""COMPUTED_VALUE"""),46.0)</f>
        <v>46</v>
      </c>
      <c r="B447" s="4">
        <f>IFERROR(__xludf.DUMMYFUNCTION("""COMPUTED_VALUE"""),46.0)</f>
        <v>46</v>
      </c>
      <c r="C447" s="4" t="str">
        <f>IFERROR(__xludf.DUMMYFUNCTION("""COMPUTED_VALUE"""),"ORL")</f>
        <v>ORL</v>
      </c>
      <c r="D447" s="4" t="str">
        <f>IFERROR(__xludf.DUMMYFUNCTION("""COMPUTED_VALUE"""),"Talen Horton-Tucker")</f>
        <v>Talen Horton-Tucker</v>
      </c>
      <c r="E447" s="4" t="str">
        <f>IFERROR(__xludf.DUMMYFUNCTION("""COMPUTED_VALUE"""),"Iowa State")</f>
        <v>Iowa State</v>
      </c>
      <c r="F447" s="4">
        <f>IFERROR(__xludf.DUMMYFUNCTION("""COMPUTED_VALUE"""),6.0)</f>
        <v>6</v>
      </c>
      <c r="G447" s="4">
        <f>IFERROR(__xludf.DUMMYFUNCTION("""COMPUTED_VALUE"""),305.0)</f>
        <v>305</v>
      </c>
      <c r="H447" s="4">
        <f>IFERROR(__xludf.DUMMYFUNCTION("""COMPUTED_VALUE"""),5942.0)</f>
        <v>5942</v>
      </c>
      <c r="I447" s="4">
        <f>IFERROR(__xludf.DUMMYFUNCTION("""COMPUTED_VALUE"""),2809.0)</f>
        <v>2809</v>
      </c>
      <c r="J447" s="4">
        <f>IFERROR(__xludf.DUMMYFUNCTION("""COMPUTED_VALUE"""),800.0)</f>
        <v>800</v>
      </c>
      <c r="K447" s="4">
        <f>IFERROR(__xludf.DUMMYFUNCTION("""COMPUTED_VALUE"""),852.0)</f>
        <v>852</v>
      </c>
      <c r="L447" s="4">
        <f>IFERROR(__xludf.DUMMYFUNCTION("""COMPUTED_VALUE"""),0.427)</f>
        <v>0.427</v>
      </c>
      <c r="M447" s="4">
        <f>IFERROR(__xludf.DUMMYFUNCTION("""COMPUTED_VALUE"""),0.299)</f>
        <v>0.299</v>
      </c>
      <c r="N447" s="4">
        <f>IFERROR(__xludf.DUMMYFUNCTION("""COMPUTED_VALUE"""),0.771)</f>
        <v>0.771</v>
      </c>
      <c r="O447" s="4">
        <f>IFERROR(__xludf.DUMMYFUNCTION("""COMPUTED_VALUE"""),19.5)</f>
        <v>19.5</v>
      </c>
      <c r="P447" s="4">
        <f>IFERROR(__xludf.DUMMYFUNCTION("""COMPUTED_VALUE"""),9.2)</f>
        <v>9.2</v>
      </c>
      <c r="Q447" s="4">
        <f>IFERROR(__xludf.DUMMYFUNCTION("""COMPUTED_VALUE"""),2.6)</f>
        <v>2.6</v>
      </c>
      <c r="R447" s="4">
        <f>IFERROR(__xludf.DUMMYFUNCTION("""COMPUTED_VALUE"""),2.8)</f>
        <v>2.8</v>
      </c>
      <c r="S447" s="4">
        <f>IFERROR(__xludf.DUMMYFUNCTION("""COMPUTED_VALUE"""),6.0)</f>
        <v>6</v>
      </c>
      <c r="T447" s="4">
        <f>IFERROR(__xludf.DUMMYFUNCTION("""COMPUTED_VALUE"""),0.049)</f>
        <v>0.049</v>
      </c>
      <c r="U447" s="4">
        <f>IFERROR(__xludf.DUMMYFUNCTION("""COMPUTED_VALUE"""),-2.0)</f>
        <v>-2</v>
      </c>
      <c r="V447" s="4">
        <f>IFERROR(__xludf.DUMMYFUNCTION("""COMPUTED_VALUE"""),0.0)</f>
        <v>0</v>
      </c>
    </row>
    <row r="448">
      <c r="A448" s="4">
        <f>IFERROR(__xludf.DUMMYFUNCTION("""COMPUTED_VALUE"""),47.0)</f>
        <v>47</v>
      </c>
      <c r="B448" s="4">
        <f>IFERROR(__xludf.DUMMYFUNCTION("""COMPUTED_VALUE"""),47.0)</f>
        <v>47</v>
      </c>
      <c r="C448" s="4" t="str">
        <f>IFERROR(__xludf.DUMMYFUNCTION("""COMPUTED_VALUE"""),"SAC")</f>
        <v>SAC</v>
      </c>
      <c r="D448" s="4" t="str">
        <f>IFERROR(__xludf.DUMMYFUNCTION("""COMPUTED_VALUE"""),"Ignas Brazdeikis")</f>
        <v>Ignas Brazdeikis</v>
      </c>
      <c r="E448" s="4" t="str">
        <f>IFERROR(__xludf.DUMMYFUNCTION("""COMPUTED_VALUE"""),"Michigan")</f>
        <v>Michigan</v>
      </c>
      <c r="F448" s="4">
        <f>IFERROR(__xludf.DUMMYFUNCTION("""COMPUTED_VALUE"""),3.0)</f>
        <v>3</v>
      </c>
      <c r="G448" s="4">
        <f>IFERROR(__xludf.DUMMYFUNCTION("""COMPUTED_VALUE"""),64.0)</f>
        <v>64</v>
      </c>
      <c r="H448" s="4">
        <f>IFERROR(__xludf.DUMMYFUNCTION("""COMPUTED_VALUE"""),838.0)</f>
        <v>838</v>
      </c>
      <c r="I448" s="4">
        <f>IFERROR(__xludf.DUMMYFUNCTION("""COMPUTED_VALUE"""),318.0)</f>
        <v>318</v>
      </c>
      <c r="J448" s="4">
        <f>IFERROR(__xludf.DUMMYFUNCTION("""COMPUTED_VALUE"""),122.0)</f>
        <v>122</v>
      </c>
      <c r="K448" s="4">
        <f>IFERROR(__xludf.DUMMYFUNCTION("""COMPUTED_VALUE"""),58.0)</f>
        <v>58</v>
      </c>
      <c r="L448" s="4">
        <f>IFERROR(__xludf.DUMMYFUNCTION("""COMPUTED_VALUE"""),0.416)</f>
        <v>0.416</v>
      </c>
      <c r="M448" s="4">
        <f>IFERROR(__xludf.DUMMYFUNCTION("""COMPUTED_VALUE"""),0.315)</f>
        <v>0.315</v>
      </c>
      <c r="N448" s="4">
        <f>IFERROR(__xludf.DUMMYFUNCTION("""COMPUTED_VALUE"""),0.686)</f>
        <v>0.686</v>
      </c>
      <c r="O448" s="4">
        <f>IFERROR(__xludf.DUMMYFUNCTION("""COMPUTED_VALUE"""),13.1)</f>
        <v>13.1</v>
      </c>
      <c r="P448" s="4">
        <f>IFERROR(__xludf.DUMMYFUNCTION("""COMPUTED_VALUE"""),5.0)</f>
        <v>5</v>
      </c>
      <c r="Q448" s="4">
        <f>IFERROR(__xludf.DUMMYFUNCTION("""COMPUTED_VALUE"""),1.9)</f>
        <v>1.9</v>
      </c>
      <c r="R448" s="4">
        <f>IFERROR(__xludf.DUMMYFUNCTION("""COMPUTED_VALUE"""),0.9)</f>
        <v>0.9</v>
      </c>
      <c r="S448" s="4">
        <f>IFERROR(__xludf.DUMMYFUNCTION("""COMPUTED_VALUE"""),0.4)</f>
        <v>0.4</v>
      </c>
      <c r="T448" s="4">
        <f>IFERROR(__xludf.DUMMYFUNCTION("""COMPUTED_VALUE"""),0.024)</f>
        <v>0.024</v>
      </c>
      <c r="U448" s="4">
        <f>IFERROR(__xludf.DUMMYFUNCTION("""COMPUTED_VALUE"""),-4.9)</f>
        <v>-4.9</v>
      </c>
      <c r="V448" s="4">
        <f>IFERROR(__xludf.DUMMYFUNCTION("""COMPUTED_VALUE"""),-0.6)</f>
        <v>-0.6</v>
      </c>
    </row>
    <row r="449">
      <c r="A449" s="4">
        <f>IFERROR(__xludf.DUMMYFUNCTION("""COMPUTED_VALUE"""),48.0)</f>
        <v>48</v>
      </c>
      <c r="B449" s="4">
        <f>IFERROR(__xludf.DUMMYFUNCTION("""COMPUTED_VALUE"""),48.0)</f>
        <v>48</v>
      </c>
      <c r="C449" s="4" t="str">
        <f>IFERROR(__xludf.DUMMYFUNCTION("""COMPUTED_VALUE"""),"LAC")</f>
        <v>LAC</v>
      </c>
      <c r="D449" s="4" t="str">
        <f>IFERROR(__xludf.DUMMYFUNCTION("""COMPUTED_VALUE"""),"Terance Mann")</f>
        <v>Terance Mann</v>
      </c>
      <c r="E449" s="4" t="str">
        <f>IFERROR(__xludf.DUMMYFUNCTION("""COMPUTED_VALUE"""),"Florida State")</f>
        <v>Florida State</v>
      </c>
      <c r="F449" s="4">
        <f>IFERROR(__xludf.DUMMYFUNCTION("""COMPUTED_VALUE"""),7.0)</f>
        <v>7</v>
      </c>
      <c r="G449" s="4">
        <f>IFERROR(__xludf.DUMMYFUNCTION("""COMPUTED_VALUE"""),431.0)</f>
        <v>431</v>
      </c>
      <c r="H449" s="4">
        <f>IFERROR(__xludf.DUMMYFUNCTION("""COMPUTED_VALUE"""),9609.0)</f>
        <v>9609</v>
      </c>
      <c r="I449" s="4">
        <f>IFERROR(__xludf.DUMMYFUNCTION("""COMPUTED_VALUE"""),3496.0)</f>
        <v>3496</v>
      </c>
      <c r="J449" s="4">
        <f>IFERROR(__xludf.DUMMYFUNCTION("""COMPUTED_VALUE"""),1514.0)</f>
        <v>1514</v>
      </c>
      <c r="K449" s="4">
        <f>IFERROR(__xludf.DUMMYFUNCTION("""COMPUTED_VALUE"""),858.0)</f>
        <v>858</v>
      </c>
      <c r="L449" s="4">
        <f>IFERROR(__xludf.DUMMYFUNCTION("""COMPUTED_VALUE"""),0.499)</f>
        <v>0.499</v>
      </c>
      <c r="M449" s="4">
        <f>IFERROR(__xludf.DUMMYFUNCTION("""COMPUTED_VALUE"""),0.37)</f>
        <v>0.37</v>
      </c>
      <c r="N449" s="4">
        <f>IFERROR(__xludf.DUMMYFUNCTION("""COMPUTED_VALUE"""),0.783)</f>
        <v>0.783</v>
      </c>
      <c r="O449" s="4">
        <f>IFERROR(__xludf.DUMMYFUNCTION("""COMPUTED_VALUE"""),22.3)</f>
        <v>22.3</v>
      </c>
      <c r="P449" s="4">
        <f>IFERROR(__xludf.DUMMYFUNCTION("""COMPUTED_VALUE"""),8.1)</f>
        <v>8.1</v>
      </c>
      <c r="Q449" s="4">
        <f>IFERROR(__xludf.DUMMYFUNCTION("""COMPUTED_VALUE"""),3.5)</f>
        <v>3.5</v>
      </c>
      <c r="R449" s="4">
        <f>IFERROR(__xludf.DUMMYFUNCTION("""COMPUTED_VALUE"""),2.0)</f>
        <v>2</v>
      </c>
      <c r="S449" s="4">
        <f>IFERROR(__xludf.DUMMYFUNCTION("""COMPUTED_VALUE"""),22.1)</f>
        <v>22.1</v>
      </c>
      <c r="T449" s="4">
        <f>IFERROR(__xludf.DUMMYFUNCTION("""COMPUTED_VALUE"""),0.11)</f>
        <v>0.11</v>
      </c>
      <c r="U449" s="4">
        <f>IFERROR(__xludf.DUMMYFUNCTION("""COMPUTED_VALUE"""),-0.9)</f>
        <v>-0.9</v>
      </c>
      <c r="V449" s="4">
        <f>IFERROR(__xludf.DUMMYFUNCTION("""COMPUTED_VALUE"""),2.6)</f>
        <v>2.6</v>
      </c>
    </row>
    <row r="450">
      <c r="A450" s="4">
        <f>IFERROR(__xludf.DUMMYFUNCTION("""COMPUTED_VALUE"""),49.0)</f>
        <v>49</v>
      </c>
      <c r="B450" s="4">
        <f>IFERROR(__xludf.DUMMYFUNCTION("""COMPUTED_VALUE"""),49.0)</f>
        <v>49</v>
      </c>
      <c r="C450" s="4" t="str">
        <f>IFERROR(__xludf.DUMMYFUNCTION("""COMPUTED_VALUE"""),"SAS")</f>
        <v>SAS</v>
      </c>
      <c r="D450" s="4" t="str">
        <f>IFERROR(__xludf.DUMMYFUNCTION("""COMPUTED_VALUE"""),"Quinndary Weatherspoon")</f>
        <v>Quinndary Weatherspoon</v>
      </c>
      <c r="E450" s="4" t="str">
        <f>IFERROR(__xludf.DUMMYFUNCTION("""COMPUTED_VALUE"""),"Mississippi State")</f>
        <v>Mississippi State</v>
      </c>
      <c r="F450" s="4">
        <f>IFERROR(__xludf.DUMMYFUNCTION("""COMPUTED_VALUE"""),3.0)</f>
        <v>3</v>
      </c>
      <c r="G450" s="4">
        <f>IFERROR(__xludf.DUMMYFUNCTION("""COMPUTED_VALUE"""),42.0)</f>
        <v>42</v>
      </c>
      <c r="H450" s="4">
        <f>IFERROR(__xludf.DUMMYFUNCTION("""COMPUTED_VALUE"""),272.0)</f>
        <v>272</v>
      </c>
      <c r="I450" s="4">
        <f>IFERROR(__xludf.DUMMYFUNCTION("""COMPUTED_VALUE"""),88.0)</f>
        <v>88</v>
      </c>
      <c r="J450" s="4">
        <f>IFERROR(__xludf.DUMMYFUNCTION("""COMPUTED_VALUE"""),32.0)</f>
        <v>32</v>
      </c>
      <c r="K450" s="4">
        <f>IFERROR(__xludf.DUMMYFUNCTION("""COMPUTED_VALUE"""),24.0)</f>
        <v>24</v>
      </c>
      <c r="L450" s="4">
        <f>IFERROR(__xludf.DUMMYFUNCTION("""COMPUTED_VALUE"""),0.452)</f>
        <v>0.452</v>
      </c>
      <c r="M450" s="4">
        <f>IFERROR(__xludf.DUMMYFUNCTION("""COMPUTED_VALUE"""),0.188)</f>
        <v>0.188</v>
      </c>
      <c r="N450" s="4">
        <f>IFERROR(__xludf.DUMMYFUNCTION("""COMPUTED_VALUE"""),0.826)</f>
        <v>0.826</v>
      </c>
      <c r="O450" s="4">
        <f>IFERROR(__xludf.DUMMYFUNCTION("""COMPUTED_VALUE"""),6.5)</f>
        <v>6.5</v>
      </c>
      <c r="P450" s="4">
        <f>IFERROR(__xludf.DUMMYFUNCTION("""COMPUTED_VALUE"""),2.1)</f>
        <v>2.1</v>
      </c>
      <c r="Q450" s="4">
        <f>IFERROR(__xludf.DUMMYFUNCTION("""COMPUTED_VALUE"""),0.8)</f>
        <v>0.8</v>
      </c>
      <c r="R450" s="4">
        <f>IFERROR(__xludf.DUMMYFUNCTION("""COMPUTED_VALUE"""),0.6)</f>
        <v>0.6</v>
      </c>
      <c r="S450" s="4">
        <f>IFERROR(__xludf.DUMMYFUNCTION("""COMPUTED_VALUE"""),0.2)</f>
        <v>0.2</v>
      </c>
      <c r="T450" s="4">
        <f>IFERROR(__xludf.DUMMYFUNCTION("""COMPUTED_VALUE"""),0.03)</f>
        <v>0.03</v>
      </c>
      <c r="U450" s="4">
        <f>IFERROR(__xludf.DUMMYFUNCTION("""COMPUTED_VALUE"""),-5.5)</f>
        <v>-5.5</v>
      </c>
      <c r="V450" s="4">
        <f>IFERROR(__xludf.DUMMYFUNCTION("""COMPUTED_VALUE"""),-0.2)</f>
        <v>-0.2</v>
      </c>
    </row>
    <row r="451">
      <c r="A451" s="4">
        <f>IFERROR(__xludf.DUMMYFUNCTION("""COMPUTED_VALUE"""),50.0)</f>
        <v>50</v>
      </c>
      <c r="B451" s="4">
        <f>IFERROR(__xludf.DUMMYFUNCTION("""COMPUTED_VALUE"""),50.0)</f>
        <v>50</v>
      </c>
      <c r="C451" s="4" t="str">
        <f>IFERROR(__xludf.DUMMYFUNCTION("""COMPUTED_VALUE"""),"IND")</f>
        <v>IND</v>
      </c>
      <c r="D451" s="4" t="str">
        <f>IFERROR(__xludf.DUMMYFUNCTION("""COMPUTED_VALUE"""),"Jarrell Brantley")</f>
        <v>Jarrell Brantley</v>
      </c>
      <c r="E451" s="4" t="str">
        <f>IFERROR(__xludf.DUMMYFUNCTION("""COMPUTED_VALUE"""),"College of Charleston")</f>
        <v>College of Charleston</v>
      </c>
      <c r="F451" s="4">
        <f>IFERROR(__xludf.DUMMYFUNCTION("""COMPUTED_VALUE"""),3.0)</f>
        <v>3</v>
      </c>
      <c r="G451" s="4">
        <f>IFERROR(__xludf.DUMMYFUNCTION("""COMPUTED_VALUE"""),41.0)</f>
        <v>41</v>
      </c>
      <c r="H451" s="4">
        <f>IFERROR(__xludf.DUMMYFUNCTION("""COMPUTED_VALUE"""),273.0)</f>
        <v>273</v>
      </c>
      <c r="I451" s="4">
        <f>IFERROR(__xludf.DUMMYFUNCTION("""COMPUTED_VALUE"""),110.0)</f>
        <v>110</v>
      </c>
      <c r="J451" s="4">
        <f>IFERROR(__xludf.DUMMYFUNCTION("""COMPUTED_VALUE"""),53.0)</f>
        <v>53</v>
      </c>
      <c r="K451" s="4">
        <f>IFERROR(__xludf.DUMMYFUNCTION("""COMPUTED_VALUE"""),29.0)</f>
        <v>29</v>
      </c>
      <c r="L451" s="4">
        <f>IFERROR(__xludf.DUMMYFUNCTION("""COMPUTED_VALUE"""),0.457)</f>
        <v>0.457</v>
      </c>
      <c r="M451" s="4">
        <f>IFERROR(__xludf.DUMMYFUNCTION("""COMPUTED_VALUE"""),0.38)</f>
        <v>0.38</v>
      </c>
      <c r="N451" s="4">
        <f>IFERROR(__xludf.DUMMYFUNCTION("""COMPUTED_VALUE"""),0.833)</f>
        <v>0.833</v>
      </c>
      <c r="O451" s="4">
        <f>IFERROR(__xludf.DUMMYFUNCTION("""COMPUTED_VALUE"""),6.7)</f>
        <v>6.7</v>
      </c>
      <c r="P451" s="4">
        <f>IFERROR(__xludf.DUMMYFUNCTION("""COMPUTED_VALUE"""),2.7)</f>
        <v>2.7</v>
      </c>
      <c r="Q451" s="4">
        <f>IFERROR(__xludf.DUMMYFUNCTION("""COMPUTED_VALUE"""),1.3)</f>
        <v>1.3</v>
      </c>
      <c r="R451" s="4">
        <f>IFERROR(__xludf.DUMMYFUNCTION("""COMPUTED_VALUE"""),0.7)</f>
        <v>0.7</v>
      </c>
      <c r="S451" s="4">
        <f>IFERROR(__xludf.DUMMYFUNCTION("""COMPUTED_VALUE"""),0.6)</f>
        <v>0.6</v>
      </c>
      <c r="T451" s="4">
        <f>IFERROR(__xludf.DUMMYFUNCTION("""COMPUTED_VALUE"""),0.108)</f>
        <v>0.108</v>
      </c>
      <c r="U451" s="4">
        <f>IFERROR(__xludf.DUMMYFUNCTION("""COMPUTED_VALUE"""),0.0)</f>
        <v>0</v>
      </c>
      <c r="V451" s="4">
        <f>IFERROR(__xludf.DUMMYFUNCTION("""COMPUTED_VALUE"""),0.1)</f>
        <v>0.1</v>
      </c>
    </row>
    <row r="452">
      <c r="A452" s="4">
        <f>IFERROR(__xludf.DUMMYFUNCTION("""COMPUTED_VALUE"""),51.0)</f>
        <v>51</v>
      </c>
      <c r="B452" s="4">
        <f>IFERROR(__xludf.DUMMYFUNCTION("""COMPUTED_VALUE"""),51.0)</f>
        <v>51</v>
      </c>
      <c r="C452" s="4" t="str">
        <f>IFERROR(__xludf.DUMMYFUNCTION("""COMPUTED_VALUE"""),"BOS")</f>
        <v>BOS</v>
      </c>
      <c r="D452" s="4" t="str">
        <f>IFERROR(__xludf.DUMMYFUNCTION("""COMPUTED_VALUE"""),"Tremont Waters")</f>
        <v>Tremont Waters</v>
      </c>
      <c r="E452" s="4" t="str">
        <f>IFERROR(__xludf.DUMMYFUNCTION("""COMPUTED_VALUE"""),"LSU")</f>
        <v>LSU</v>
      </c>
      <c r="F452" s="4">
        <f>IFERROR(__xludf.DUMMYFUNCTION("""COMPUTED_VALUE"""),3.0)</f>
        <v>3</v>
      </c>
      <c r="G452" s="4">
        <f>IFERROR(__xludf.DUMMYFUNCTION("""COMPUTED_VALUE"""),40.0)</f>
        <v>40</v>
      </c>
      <c r="H452" s="4">
        <f>IFERROR(__xludf.DUMMYFUNCTION("""COMPUTED_VALUE"""),407.0)</f>
        <v>407</v>
      </c>
      <c r="I452" s="4">
        <f>IFERROR(__xludf.DUMMYFUNCTION("""COMPUTED_VALUE"""),149.0)</f>
        <v>149</v>
      </c>
      <c r="J452" s="4">
        <f>IFERROR(__xludf.DUMMYFUNCTION("""COMPUTED_VALUE"""),37.0)</f>
        <v>37</v>
      </c>
      <c r="K452" s="4">
        <f>IFERROR(__xludf.DUMMYFUNCTION("""COMPUTED_VALUE"""),85.0)</f>
        <v>85</v>
      </c>
      <c r="L452" s="4">
        <f>IFERROR(__xludf.DUMMYFUNCTION("""COMPUTED_VALUE"""),0.354)</f>
        <v>0.354</v>
      </c>
      <c r="M452" s="4">
        <f>IFERROR(__xludf.DUMMYFUNCTION("""COMPUTED_VALUE"""),0.296)</f>
        <v>0.296</v>
      </c>
      <c r="N452" s="4">
        <f>IFERROR(__xludf.DUMMYFUNCTION("""COMPUTED_VALUE"""),0.96)</f>
        <v>0.96</v>
      </c>
      <c r="O452" s="4">
        <f>IFERROR(__xludf.DUMMYFUNCTION("""COMPUTED_VALUE"""),10.2)</f>
        <v>10.2</v>
      </c>
      <c r="P452" s="4">
        <f>IFERROR(__xludf.DUMMYFUNCTION("""COMPUTED_VALUE"""),3.7)</f>
        <v>3.7</v>
      </c>
      <c r="Q452" s="4">
        <f>IFERROR(__xludf.DUMMYFUNCTION("""COMPUTED_VALUE"""),0.9)</f>
        <v>0.9</v>
      </c>
      <c r="R452" s="4">
        <f>IFERROR(__xludf.DUMMYFUNCTION("""COMPUTED_VALUE"""),2.1)</f>
        <v>2.1</v>
      </c>
      <c r="S452" s="4">
        <f>IFERROR(__xludf.DUMMYFUNCTION("""COMPUTED_VALUE"""),0.1)</f>
        <v>0.1</v>
      </c>
      <c r="T452" s="4">
        <f>IFERROR(__xludf.DUMMYFUNCTION("""COMPUTED_VALUE"""),0.012)</f>
        <v>0.012</v>
      </c>
      <c r="U452" s="4">
        <f>IFERROR(__xludf.DUMMYFUNCTION("""COMPUTED_VALUE"""),-3.0)</f>
        <v>-3</v>
      </c>
      <c r="V452" s="4">
        <f>IFERROR(__xludf.DUMMYFUNCTION("""COMPUTED_VALUE"""),-0.1)</f>
        <v>-0.1</v>
      </c>
    </row>
    <row r="453">
      <c r="A453" s="4">
        <f>IFERROR(__xludf.DUMMYFUNCTION("""COMPUTED_VALUE"""),52.0)</f>
        <v>52</v>
      </c>
      <c r="B453" s="4">
        <f>IFERROR(__xludf.DUMMYFUNCTION("""COMPUTED_VALUE"""),52.0)</f>
        <v>52</v>
      </c>
      <c r="C453" s="4" t="str">
        <f>IFERROR(__xludf.DUMMYFUNCTION("""COMPUTED_VALUE"""),"CHO")</f>
        <v>CHO</v>
      </c>
      <c r="D453" s="4" t="str">
        <f>IFERROR(__xludf.DUMMYFUNCTION("""COMPUTED_VALUE"""),"Jalen McDaniels")</f>
        <v>Jalen McDaniels</v>
      </c>
      <c r="E453" s="4" t="str">
        <f>IFERROR(__xludf.DUMMYFUNCTION("""COMPUTED_VALUE"""),"San Diego State")</f>
        <v>San Diego State</v>
      </c>
      <c r="F453" s="4">
        <f>IFERROR(__xludf.DUMMYFUNCTION("""COMPUTED_VALUE"""),6.0)</f>
        <v>6</v>
      </c>
      <c r="G453" s="4">
        <f>IFERROR(__xludf.DUMMYFUNCTION("""COMPUTED_VALUE"""),252.0)</f>
        <v>252</v>
      </c>
      <c r="H453" s="4">
        <f>IFERROR(__xludf.DUMMYFUNCTION("""COMPUTED_VALUE"""),4550.0)</f>
        <v>4550</v>
      </c>
      <c r="I453" s="4">
        <f>IFERROR(__xludf.DUMMYFUNCTION("""COMPUTED_VALUE"""),1699.0)</f>
        <v>1699</v>
      </c>
      <c r="J453" s="4">
        <f>IFERROR(__xludf.DUMMYFUNCTION("""COMPUTED_VALUE"""),829.0)</f>
        <v>829</v>
      </c>
      <c r="K453" s="4">
        <f>IFERROR(__xludf.DUMMYFUNCTION("""COMPUTED_VALUE"""),292.0)</f>
        <v>292</v>
      </c>
      <c r="L453" s="4">
        <f>IFERROR(__xludf.DUMMYFUNCTION("""COMPUTED_VALUE"""),0.449)</f>
        <v>0.449</v>
      </c>
      <c r="M453" s="4">
        <f>IFERROR(__xludf.DUMMYFUNCTION("""COMPUTED_VALUE"""),0.322)</f>
        <v>0.322</v>
      </c>
      <c r="N453" s="4">
        <f>IFERROR(__xludf.DUMMYFUNCTION("""COMPUTED_VALUE"""),0.777)</f>
        <v>0.777</v>
      </c>
      <c r="O453" s="4">
        <f>IFERROR(__xludf.DUMMYFUNCTION("""COMPUTED_VALUE"""),18.1)</f>
        <v>18.1</v>
      </c>
      <c r="P453" s="4">
        <f>IFERROR(__xludf.DUMMYFUNCTION("""COMPUTED_VALUE"""),6.7)</f>
        <v>6.7</v>
      </c>
      <c r="Q453" s="4">
        <f>IFERROR(__xludf.DUMMYFUNCTION("""COMPUTED_VALUE"""),3.3)</f>
        <v>3.3</v>
      </c>
      <c r="R453" s="4">
        <f>IFERROR(__xludf.DUMMYFUNCTION("""COMPUTED_VALUE"""),1.2)</f>
        <v>1.2</v>
      </c>
      <c r="S453" s="4">
        <f>IFERROR(__xludf.DUMMYFUNCTION("""COMPUTED_VALUE"""),5.3)</f>
        <v>5.3</v>
      </c>
      <c r="T453" s="4">
        <f>IFERROR(__xludf.DUMMYFUNCTION("""COMPUTED_VALUE"""),0.056)</f>
        <v>0.056</v>
      </c>
      <c r="U453" s="4">
        <f>IFERROR(__xludf.DUMMYFUNCTION("""COMPUTED_VALUE"""),-3.3)</f>
        <v>-3.3</v>
      </c>
      <c r="V453" s="4">
        <f>IFERROR(__xludf.DUMMYFUNCTION("""COMPUTED_VALUE"""),-1.5)</f>
        <v>-1.5</v>
      </c>
    </row>
    <row r="454">
      <c r="A454" s="4">
        <f>IFERROR(__xludf.DUMMYFUNCTION("""COMPUTED_VALUE"""),53.0)</f>
        <v>53</v>
      </c>
      <c r="B454" s="4">
        <f>IFERROR(__xludf.DUMMYFUNCTION("""COMPUTED_VALUE"""),53.0)</f>
        <v>53</v>
      </c>
      <c r="C454" s="4" t="str">
        <f>IFERROR(__xludf.DUMMYFUNCTION("""COMPUTED_VALUE"""),"UTA")</f>
        <v>UTA</v>
      </c>
      <c r="D454" s="4" t="str">
        <f>IFERROR(__xludf.DUMMYFUNCTION("""COMPUTED_VALUE"""),"Justin Wright-Foreman")</f>
        <v>Justin Wright-Foreman</v>
      </c>
      <c r="E454" s="4" t="str">
        <f>IFERROR(__xludf.DUMMYFUNCTION("""COMPUTED_VALUE"""),"Hofstra")</f>
        <v>Hofstra</v>
      </c>
      <c r="F454" s="4">
        <f>IFERROR(__xludf.DUMMYFUNCTION("""COMPUTED_VALUE"""),1.0)</f>
        <v>1</v>
      </c>
      <c r="G454" s="4">
        <f>IFERROR(__xludf.DUMMYFUNCTION("""COMPUTED_VALUE"""),4.0)</f>
        <v>4</v>
      </c>
      <c r="H454" s="4">
        <f>IFERROR(__xludf.DUMMYFUNCTION("""COMPUTED_VALUE"""),45.0)</f>
        <v>45</v>
      </c>
      <c r="I454" s="4">
        <f>IFERROR(__xludf.DUMMYFUNCTION("""COMPUTED_VALUE"""),19.0)</f>
        <v>19</v>
      </c>
      <c r="J454" s="4">
        <f>IFERROR(__xludf.DUMMYFUNCTION("""COMPUTED_VALUE"""),5.0)</f>
        <v>5</v>
      </c>
      <c r="K454" s="4">
        <f>IFERROR(__xludf.DUMMYFUNCTION("""COMPUTED_VALUE"""),7.0)</f>
        <v>7</v>
      </c>
      <c r="L454" s="4">
        <f>IFERROR(__xludf.DUMMYFUNCTION("""COMPUTED_VALUE"""),0.35)</f>
        <v>0.35</v>
      </c>
      <c r="M454" s="4">
        <f>IFERROR(__xludf.DUMMYFUNCTION("""COMPUTED_VALUE"""),0.2)</f>
        <v>0.2</v>
      </c>
      <c r="N454" s="4">
        <f>IFERROR(__xludf.DUMMYFUNCTION("""COMPUTED_VALUE"""),0.75)</f>
        <v>0.75</v>
      </c>
      <c r="O454" s="4">
        <f>IFERROR(__xludf.DUMMYFUNCTION("""COMPUTED_VALUE"""),11.3)</f>
        <v>11.3</v>
      </c>
      <c r="P454" s="4">
        <f>IFERROR(__xludf.DUMMYFUNCTION("""COMPUTED_VALUE"""),4.8)</f>
        <v>4.8</v>
      </c>
      <c r="Q454" s="4">
        <f>IFERROR(__xludf.DUMMYFUNCTION("""COMPUTED_VALUE"""),1.3)</f>
        <v>1.3</v>
      </c>
      <c r="R454" s="4">
        <f>IFERROR(__xludf.DUMMYFUNCTION("""COMPUTED_VALUE"""),1.8)</f>
        <v>1.8</v>
      </c>
      <c r="S454" s="4">
        <f>IFERROR(__xludf.DUMMYFUNCTION("""COMPUTED_VALUE"""),0.0)</f>
        <v>0</v>
      </c>
      <c r="T454" s="4">
        <f>IFERROR(__xludf.DUMMYFUNCTION("""COMPUTED_VALUE"""),-0.008)</f>
        <v>-0.008</v>
      </c>
      <c r="U454" s="4">
        <f>IFERROR(__xludf.DUMMYFUNCTION("""COMPUTED_VALUE"""),-9.0)</f>
        <v>-9</v>
      </c>
      <c r="V454" s="4">
        <f>IFERROR(__xludf.DUMMYFUNCTION("""COMPUTED_VALUE"""),-0.1)</f>
        <v>-0.1</v>
      </c>
    </row>
    <row r="455">
      <c r="A455" s="4">
        <f>IFERROR(__xludf.DUMMYFUNCTION("""COMPUTED_VALUE"""),54.0)</f>
        <v>54</v>
      </c>
      <c r="B455" s="4">
        <f>IFERROR(__xludf.DUMMYFUNCTION("""COMPUTED_VALUE"""),54.0)</f>
        <v>54</v>
      </c>
      <c r="C455" s="4" t="str">
        <f>IFERROR(__xludf.DUMMYFUNCTION("""COMPUTED_VALUE"""),"PHI")</f>
        <v>PHI</v>
      </c>
      <c r="D455" s="4" t="str">
        <f>IFERROR(__xludf.DUMMYFUNCTION("""COMPUTED_VALUE"""),"Marial Shayok")</f>
        <v>Marial Shayok</v>
      </c>
      <c r="E455" s="4" t="str">
        <f>IFERROR(__xludf.DUMMYFUNCTION("""COMPUTED_VALUE"""),"Iowa State")</f>
        <v>Iowa State</v>
      </c>
      <c r="F455" s="4">
        <f>IFERROR(__xludf.DUMMYFUNCTION("""COMPUTED_VALUE"""),1.0)</f>
        <v>1</v>
      </c>
      <c r="G455" s="4">
        <f>IFERROR(__xludf.DUMMYFUNCTION("""COMPUTED_VALUE"""),4.0)</f>
        <v>4</v>
      </c>
      <c r="H455" s="4">
        <f>IFERROR(__xludf.DUMMYFUNCTION("""COMPUTED_VALUE"""),28.0)</f>
        <v>28</v>
      </c>
      <c r="I455" s="4">
        <f>IFERROR(__xludf.DUMMYFUNCTION("""COMPUTED_VALUE"""),11.0)</f>
        <v>11</v>
      </c>
      <c r="J455" s="4">
        <f>IFERROR(__xludf.DUMMYFUNCTION("""COMPUTED_VALUE"""),7.0)</f>
        <v>7</v>
      </c>
      <c r="K455" s="4">
        <f>IFERROR(__xludf.DUMMYFUNCTION("""COMPUTED_VALUE"""),1.0)</f>
        <v>1</v>
      </c>
      <c r="L455" s="4">
        <f>IFERROR(__xludf.DUMMYFUNCTION("""COMPUTED_VALUE"""),0.25)</f>
        <v>0.25</v>
      </c>
      <c r="M455" s="4">
        <f>IFERROR(__xludf.DUMMYFUNCTION("""COMPUTED_VALUE"""),0.333)</f>
        <v>0.333</v>
      </c>
      <c r="N455" s="4">
        <f>IFERROR(__xludf.DUMMYFUNCTION("""COMPUTED_VALUE"""),0.75)</f>
        <v>0.75</v>
      </c>
      <c r="O455" s="4">
        <f>IFERROR(__xludf.DUMMYFUNCTION("""COMPUTED_VALUE"""),7.0)</f>
        <v>7</v>
      </c>
      <c r="P455" s="4">
        <f>IFERROR(__xludf.DUMMYFUNCTION("""COMPUTED_VALUE"""),2.8)</f>
        <v>2.8</v>
      </c>
      <c r="Q455" s="4">
        <f>IFERROR(__xludf.DUMMYFUNCTION("""COMPUTED_VALUE"""),1.8)</f>
        <v>1.8</v>
      </c>
      <c r="R455" s="4">
        <f>IFERROR(__xludf.DUMMYFUNCTION("""COMPUTED_VALUE"""),0.3)</f>
        <v>0.3</v>
      </c>
      <c r="S455" s="4">
        <f>IFERROR(__xludf.DUMMYFUNCTION("""COMPUTED_VALUE"""),-0.1)</f>
        <v>-0.1</v>
      </c>
      <c r="T455" s="4">
        <f>IFERROR(__xludf.DUMMYFUNCTION("""COMPUTED_VALUE"""),-0.13)</f>
        <v>-0.13</v>
      </c>
      <c r="U455" s="4">
        <f>IFERROR(__xludf.DUMMYFUNCTION("""COMPUTED_VALUE"""),-13.0)</f>
        <v>-13</v>
      </c>
      <c r="V455" s="4">
        <f>IFERROR(__xludf.DUMMYFUNCTION("""COMPUTED_VALUE"""),-0.1)</f>
        <v>-0.1</v>
      </c>
    </row>
    <row r="456">
      <c r="A456" s="4">
        <f>IFERROR(__xludf.DUMMYFUNCTION("""COMPUTED_VALUE"""),55.0)</f>
        <v>55</v>
      </c>
      <c r="B456" s="4">
        <f>IFERROR(__xludf.DUMMYFUNCTION("""COMPUTED_VALUE"""),55.0)</f>
        <v>55</v>
      </c>
      <c r="C456" s="4" t="str">
        <f>IFERROR(__xludf.DUMMYFUNCTION("""COMPUTED_VALUE"""),"NYK")</f>
        <v>NYK</v>
      </c>
      <c r="D456" s="4" t="str">
        <f>IFERROR(__xludf.DUMMYFUNCTION("""COMPUTED_VALUE"""),"Kyle Guy")</f>
        <v>Kyle Guy</v>
      </c>
      <c r="E456" s="4" t="str">
        <f>IFERROR(__xludf.DUMMYFUNCTION("""COMPUTED_VALUE"""),"Virginia")</f>
        <v>Virginia</v>
      </c>
      <c r="F456" s="4">
        <f>IFERROR(__xludf.DUMMYFUNCTION("""COMPUTED_VALUE"""),3.0)</f>
        <v>3</v>
      </c>
      <c r="G456" s="4">
        <f>IFERROR(__xludf.DUMMYFUNCTION("""COMPUTED_VALUE"""),53.0)</f>
        <v>53</v>
      </c>
      <c r="H456" s="4">
        <f>IFERROR(__xludf.DUMMYFUNCTION("""COMPUTED_VALUE"""),431.0)</f>
        <v>431</v>
      </c>
      <c r="I456" s="4">
        <f>IFERROR(__xludf.DUMMYFUNCTION("""COMPUTED_VALUE"""),165.0)</f>
        <v>165</v>
      </c>
      <c r="J456" s="4">
        <f>IFERROR(__xludf.DUMMYFUNCTION("""COMPUTED_VALUE"""),53.0)</f>
        <v>53</v>
      </c>
      <c r="K456" s="4">
        <f>IFERROR(__xludf.DUMMYFUNCTION("""COMPUTED_VALUE"""),50.0)</f>
        <v>50</v>
      </c>
      <c r="L456" s="4">
        <f>IFERROR(__xludf.DUMMYFUNCTION("""COMPUTED_VALUE"""),0.361)</f>
        <v>0.361</v>
      </c>
      <c r="M456" s="4">
        <f>IFERROR(__xludf.DUMMYFUNCTION("""COMPUTED_VALUE"""),0.303)</f>
        <v>0.303</v>
      </c>
      <c r="N456" s="4">
        <f>IFERROR(__xludf.DUMMYFUNCTION("""COMPUTED_VALUE"""),0.75)</f>
        <v>0.75</v>
      </c>
      <c r="O456" s="4">
        <f>IFERROR(__xludf.DUMMYFUNCTION("""COMPUTED_VALUE"""),8.1)</f>
        <v>8.1</v>
      </c>
      <c r="P456" s="4">
        <f>IFERROR(__xludf.DUMMYFUNCTION("""COMPUTED_VALUE"""),3.1)</f>
        <v>3.1</v>
      </c>
      <c r="Q456" s="4">
        <f>IFERROR(__xludf.DUMMYFUNCTION("""COMPUTED_VALUE"""),1.0)</f>
        <v>1</v>
      </c>
      <c r="R456" s="4">
        <f>IFERROR(__xludf.DUMMYFUNCTION("""COMPUTED_VALUE"""),0.9)</f>
        <v>0.9</v>
      </c>
      <c r="S456" s="4">
        <f>IFERROR(__xludf.DUMMYFUNCTION("""COMPUTED_VALUE"""),0.1)</f>
        <v>0.1</v>
      </c>
      <c r="T456" s="4">
        <f>IFERROR(__xludf.DUMMYFUNCTION("""COMPUTED_VALUE"""),0.006)</f>
        <v>0.006</v>
      </c>
      <c r="U456" s="4">
        <f>IFERROR(__xludf.DUMMYFUNCTION("""COMPUTED_VALUE"""),-4.9)</f>
        <v>-4.9</v>
      </c>
      <c r="V456" s="4">
        <f>IFERROR(__xludf.DUMMYFUNCTION("""COMPUTED_VALUE"""),-0.3)</f>
        <v>-0.3</v>
      </c>
    </row>
    <row r="457">
      <c r="A457" s="4">
        <f>IFERROR(__xludf.DUMMYFUNCTION("""COMPUTED_VALUE"""),56.0)</f>
        <v>56</v>
      </c>
      <c r="B457" s="4">
        <f>IFERROR(__xludf.DUMMYFUNCTION("""COMPUTED_VALUE"""),56.0)</f>
        <v>56</v>
      </c>
      <c r="C457" s="4" t="str">
        <f>IFERROR(__xludf.DUMMYFUNCTION("""COMPUTED_VALUE"""),"LAC")</f>
        <v>LAC</v>
      </c>
      <c r="D457" s="4" t="str">
        <f>IFERROR(__xludf.DUMMYFUNCTION("""COMPUTED_VALUE"""),"Jaylen Hands")</f>
        <v>Jaylen Hands</v>
      </c>
      <c r="E457" s="4" t="str">
        <f>IFERROR(__xludf.DUMMYFUNCTION("""COMPUTED_VALUE"""),"UCLA")</f>
        <v>UCLA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>
        <f>IFERROR(__xludf.DUMMYFUNCTION("""COMPUTED_VALUE"""),57.0)</f>
        <v>57</v>
      </c>
      <c r="B458" s="4">
        <f>IFERROR(__xludf.DUMMYFUNCTION("""COMPUTED_VALUE"""),57.0)</f>
        <v>57</v>
      </c>
      <c r="C458" s="4" t="str">
        <f>IFERROR(__xludf.DUMMYFUNCTION("""COMPUTED_VALUE"""),"NOP")</f>
        <v>NOP</v>
      </c>
      <c r="D458" s="4" t="str">
        <f>IFERROR(__xludf.DUMMYFUNCTION("""COMPUTED_VALUE"""),"Jordan Bone")</f>
        <v>Jordan Bone</v>
      </c>
      <c r="E458" s="4" t="str">
        <f>IFERROR(__xludf.DUMMYFUNCTION("""COMPUTED_VALUE"""),"Tennessee")</f>
        <v>Tennessee</v>
      </c>
      <c r="F458" s="4">
        <f>IFERROR(__xludf.DUMMYFUNCTION("""COMPUTED_VALUE"""),2.0)</f>
        <v>2</v>
      </c>
      <c r="G458" s="4">
        <f>IFERROR(__xludf.DUMMYFUNCTION("""COMPUTED_VALUE"""),24.0)</f>
        <v>24</v>
      </c>
      <c r="H458" s="4">
        <f>IFERROR(__xludf.DUMMYFUNCTION("""COMPUTED_VALUE"""),249.0)</f>
        <v>249</v>
      </c>
      <c r="I458" s="4">
        <f>IFERROR(__xludf.DUMMYFUNCTION("""COMPUTED_VALUE"""),68.0)</f>
        <v>68</v>
      </c>
      <c r="J458" s="4">
        <f>IFERROR(__xludf.DUMMYFUNCTION("""COMPUTED_VALUE"""),28.0)</f>
        <v>28</v>
      </c>
      <c r="K458" s="4">
        <f>IFERROR(__xludf.DUMMYFUNCTION("""COMPUTED_VALUE"""),26.0)</f>
        <v>26</v>
      </c>
      <c r="L458" s="4">
        <f>IFERROR(__xludf.DUMMYFUNCTION("""COMPUTED_VALUE"""),0.378)</f>
        <v>0.378</v>
      </c>
      <c r="M458" s="4">
        <f>IFERROR(__xludf.DUMMYFUNCTION("""COMPUTED_VALUE"""),0.286)</f>
        <v>0.286</v>
      </c>
      <c r="N458" s="4"/>
      <c r="O458" s="4">
        <f>IFERROR(__xludf.DUMMYFUNCTION("""COMPUTED_VALUE"""),10.4)</f>
        <v>10.4</v>
      </c>
      <c r="P458" s="4">
        <f>IFERROR(__xludf.DUMMYFUNCTION("""COMPUTED_VALUE"""),2.8)</f>
        <v>2.8</v>
      </c>
      <c r="Q458" s="4">
        <f>IFERROR(__xludf.DUMMYFUNCTION("""COMPUTED_VALUE"""),1.2)</f>
        <v>1.2</v>
      </c>
      <c r="R458" s="4">
        <f>IFERROR(__xludf.DUMMYFUNCTION("""COMPUTED_VALUE"""),1.1)</f>
        <v>1.1</v>
      </c>
      <c r="S458" s="4">
        <f>IFERROR(__xludf.DUMMYFUNCTION("""COMPUTED_VALUE"""),0.1)</f>
        <v>0.1</v>
      </c>
      <c r="T458" s="4">
        <f>IFERROR(__xludf.DUMMYFUNCTION("""COMPUTED_VALUE"""),0.01)</f>
        <v>0.01</v>
      </c>
      <c r="U458" s="4">
        <f>IFERROR(__xludf.DUMMYFUNCTION("""COMPUTED_VALUE"""),-5.9)</f>
        <v>-5.9</v>
      </c>
      <c r="V458" s="4">
        <f>IFERROR(__xludf.DUMMYFUNCTION("""COMPUTED_VALUE"""),-0.2)</f>
        <v>-0.2</v>
      </c>
    </row>
    <row r="459">
      <c r="A459" s="4">
        <f>IFERROR(__xludf.DUMMYFUNCTION("""COMPUTED_VALUE"""),58.0)</f>
        <v>58</v>
      </c>
      <c r="B459" s="4">
        <f>IFERROR(__xludf.DUMMYFUNCTION("""COMPUTED_VALUE"""),58.0)</f>
        <v>58</v>
      </c>
      <c r="C459" s="4" t="str">
        <f>IFERROR(__xludf.DUMMYFUNCTION("""COMPUTED_VALUE"""),"GSW")</f>
        <v>GSW</v>
      </c>
      <c r="D459" s="4" t="str">
        <f>IFERROR(__xludf.DUMMYFUNCTION("""COMPUTED_VALUE"""),"Miye Oni")</f>
        <v>Miye Oni</v>
      </c>
      <c r="E459" s="4" t="str">
        <f>IFERROR(__xludf.DUMMYFUNCTION("""COMPUTED_VALUE"""),"Yale")</f>
        <v>Yale</v>
      </c>
      <c r="F459" s="4">
        <f>IFERROR(__xludf.DUMMYFUNCTION("""COMPUTED_VALUE"""),3.0)</f>
        <v>3</v>
      </c>
      <c r="G459" s="4">
        <f>IFERROR(__xludf.DUMMYFUNCTION("""COMPUTED_VALUE"""),80.0)</f>
        <v>80</v>
      </c>
      <c r="H459" s="4">
        <f>IFERROR(__xludf.DUMMYFUNCTION("""COMPUTED_VALUE"""),672.0)</f>
        <v>672</v>
      </c>
      <c r="I459" s="4">
        <f>IFERROR(__xludf.DUMMYFUNCTION("""COMPUTED_VALUE"""),145.0)</f>
        <v>145</v>
      </c>
      <c r="J459" s="4">
        <f>IFERROR(__xludf.DUMMYFUNCTION("""COMPUTED_VALUE"""),108.0)</f>
        <v>108</v>
      </c>
      <c r="K459" s="4">
        <f>IFERROR(__xludf.DUMMYFUNCTION("""COMPUTED_VALUE"""),37.0)</f>
        <v>37</v>
      </c>
      <c r="L459" s="4">
        <f>IFERROR(__xludf.DUMMYFUNCTION("""COMPUTED_VALUE"""),0.35)</f>
        <v>0.35</v>
      </c>
      <c r="M459" s="4">
        <f>IFERROR(__xludf.DUMMYFUNCTION("""COMPUTED_VALUE"""),0.33)</f>
        <v>0.33</v>
      </c>
      <c r="N459" s="4">
        <f>IFERROR(__xludf.DUMMYFUNCTION("""COMPUTED_VALUE"""),0.75)</f>
        <v>0.75</v>
      </c>
      <c r="O459" s="4">
        <f>IFERROR(__xludf.DUMMYFUNCTION("""COMPUTED_VALUE"""),8.4)</f>
        <v>8.4</v>
      </c>
      <c r="P459" s="4">
        <f>IFERROR(__xludf.DUMMYFUNCTION("""COMPUTED_VALUE"""),1.8)</f>
        <v>1.8</v>
      </c>
      <c r="Q459" s="4">
        <f>IFERROR(__xludf.DUMMYFUNCTION("""COMPUTED_VALUE"""),1.4)</f>
        <v>1.4</v>
      </c>
      <c r="R459" s="4">
        <f>IFERROR(__xludf.DUMMYFUNCTION("""COMPUTED_VALUE"""),0.5)</f>
        <v>0.5</v>
      </c>
      <c r="S459" s="4">
        <f>IFERROR(__xludf.DUMMYFUNCTION("""COMPUTED_VALUE"""),1.0)</f>
        <v>1</v>
      </c>
      <c r="T459" s="4">
        <f>IFERROR(__xludf.DUMMYFUNCTION("""COMPUTED_VALUE"""),0.07)</f>
        <v>0.07</v>
      </c>
      <c r="U459" s="4">
        <f>IFERROR(__xludf.DUMMYFUNCTION("""COMPUTED_VALUE"""),-2.5)</f>
        <v>-2.5</v>
      </c>
      <c r="V459" s="4">
        <f>IFERROR(__xludf.DUMMYFUNCTION("""COMPUTED_VALUE"""),-0.1)</f>
        <v>-0.1</v>
      </c>
    </row>
    <row r="460">
      <c r="A460" s="4">
        <f>IFERROR(__xludf.DUMMYFUNCTION("""COMPUTED_VALUE"""),59.0)</f>
        <v>59</v>
      </c>
      <c r="B460" s="4">
        <f>IFERROR(__xludf.DUMMYFUNCTION("""COMPUTED_VALUE"""),59.0)</f>
        <v>59</v>
      </c>
      <c r="C460" s="4" t="str">
        <f>IFERROR(__xludf.DUMMYFUNCTION("""COMPUTED_VALUE"""),"TOR")</f>
        <v>TOR</v>
      </c>
      <c r="D460" s="4" t="str">
        <f>IFERROR(__xludf.DUMMYFUNCTION("""COMPUTED_VALUE"""),"Dewan Hernandez")</f>
        <v>Dewan Hernandez</v>
      </c>
      <c r="E460" s="4" t="str">
        <f>IFERROR(__xludf.DUMMYFUNCTION("""COMPUTED_VALUE"""),"Miami (FL)")</f>
        <v>Miami (FL)</v>
      </c>
      <c r="F460" s="4">
        <f>IFERROR(__xludf.DUMMYFUNCTION("""COMPUTED_VALUE"""),1.0)</f>
        <v>1</v>
      </c>
      <c r="G460" s="4">
        <f>IFERROR(__xludf.DUMMYFUNCTION("""COMPUTED_VALUE"""),6.0)</f>
        <v>6</v>
      </c>
      <c r="H460" s="4">
        <f>IFERROR(__xludf.DUMMYFUNCTION("""COMPUTED_VALUE"""),28.0)</f>
        <v>28</v>
      </c>
      <c r="I460" s="4">
        <f>IFERROR(__xludf.DUMMYFUNCTION("""COMPUTED_VALUE"""),14.0)</f>
        <v>14</v>
      </c>
      <c r="J460" s="4">
        <f>IFERROR(__xludf.DUMMYFUNCTION("""COMPUTED_VALUE"""),14.0)</f>
        <v>14</v>
      </c>
      <c r="K460" s="4">
        <f>IFERROR(__xludf.DUMMYFUNCTION("""COMPUTED_VALUE"""),3.0)</f>
        <v>3</v>
      </c>
      <c r="L460" s="4">
        <f>IFERROR(__xludf.DUMMYFUNCTION("""COMPUTED_VALUE"""),0.357)</f>
        <v>0.357</v>
      </c>
      <c r="M460" s="4">
        <f>IFERROR(__xludf.DUMMYFUNCTION("""COMPUTED_VALUE"""),0.5)</f>
        <v>0.5</v>
      </c>
      <c r="N460" s="4">
        <f>IFERROR(__xludf.DUMMYFUNCTION("""COMPUTED_VALUE"""),0.6)</f>
        <v>0.6</v>
      </c>
      <c r="O460" s="4">
        <f>IFERROR(__xludf.DUMMYFUNCTION("""COMPUTED_VALUE"""),4.7)</f>
        <v>4.7</v>
      </c>
      <c r="P460" s="4">
        <f>IFERROR(__xludf.DUMMYFUNCTION("""COMPUTED_VALUE"""),2.3)</f>
        <v>2.3</v>
      </c>
      <c r="Q460" s="4">
        <f>IFERROR(__xludf.DUMMYFUNCTION("""COMPUTED_VALUE"""),2.3)</f>
        <v>2.3</v>
      </c>
      <c r="R460" s="4">
        <f>IFERROR(__xludf.DUMMYFUNCTION("""COMPUTED_VALUE"""),0.5)</f>
        <v>0.5</v>
      </c>
      <c r="S460" s="4">
        <f>IFERROR(__xludf.DUMMYFUNCTION("""COMPUTED_VALUE"""),0.0)</f>
        <v>0</v>
      </c>
      <c r="T460" s="4">
        <f>IFERROR(__xludf.DUMMYFUNCTION("""COMPUTED_VALUE"""),0.043)</f>
        <v>0.043</v>
      </c>
      <c r="U460" s="4">
        <f>IFERROR(__xludf.DUMMYFUNCTION("""COMPUTED_VALUE"""),-9.6)</f>
        <v>-9.6</v>
      </c>
      <c r="V460" s="4">
        <f>IFERROR(__xludf.DUMMYFUNCTION("""COMPUTED_VALUE"""),-0.1)</f>
        <v>-0.1</v>
      </c>
    </row>
    <row r="461">
      <c r="A461" s="4">
        <f>IFERROR(__xludf.DUMMYFUNCTION("""COMPUTED_VALUE"""),60.0)</f>
        <v>60</v>
      </c>
      <c r="B461" s="4">
        <f>IFERROR(__xludf.DUMMYFUNCTION("""COMPUTED_VALUE"""),60.0)</f>
        <v>60</v>
      </c>
      <c r="C461" s="4" t="str">
        <f>IFERROR(__xludf.DUMMYFUNCTION("""COMPUTED_VALUE"""),"SAC")</f>
        <v>SAC</v>
      </c>
      <c r="D461" s="4" t="str">
        <f>IFERROR(__xludf.DUMMYFUNCTION("""COMPUTED_VALUE"""),"Vanja Marinković")</f>
        <v>Vanja Marinković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3">
      <c r="A463" s="2">
        <v>2018.0</v>
      </c>
    </row>
    <row r="464">
      <c r="A464" s="4" t="str">
        <f>IFERROR(__xludf.DUMMYFUNCTION("IMPORTHTML(""https://www.basketball-reference.com/draft/NBA_2018.html"", ""table"", 1)"),"")</f>
        <v/>
      </c>
      <c r="B464" s="4"/>
      <c r="C464" s="4"/>
      <c r="D464" s="4" t="str">
        <f>IFERROR(__xludf.DUMMYFUNCTION("""COMPUTED_VALUE"""),"Round 1")</f>
        <v>Round 1</v>
      </c>
      <c r="E464" s="4"/>
      <c r="F464" s="4"/>
      <c r="G464" s="4" t="str">
        <f>IFERROR(__xludf.DUMMYFUNCTION("""COMPUTED_VALUE"""),"Totals")</f>
        <v>Totals</v>
      </c>
      <c r="H464" s="4"/>
      <c r="I464" s="4"/>
      <c r="J464" s="4"/>
      <c r="K464" s="4"/>
      <c r="L464" s="4" t="str">
        <f>IFERROR(__xludf.DUMMYFUNCTION("""COMPUTED_VALUE"""),"Shooting")</f>
        <v>Shooting</v>
      </c>
      <c r="M464" s="4"/>
      <c r="N464" s="4"/>
      <c r="O464" s="4" t="str">
        <f>IFERROR(__xludf.DUMMYFUNCTION("""COMPUTED_VALUE"""),"Per Game")</f>
        <v>Per Game</v>
      </c>
      <c r="P464" s="4"/>
      <c r="Q464" s="4"/>
      <c r="R464" s="4"/>
      <c r="S464" s="4" t="str">
        <f>IFERROR(__xludf.DUMMYFUNCTION("""COMPUTED_VALUE"""),"Advanced")</f>
        <v>Advanced</v>
      </c>
      <c r="T464" s="4"/>
      <c r="U464" s="4"/>
      <c r="V464" s="4"/>
    </row>
    <row r="465">
      <c r="A465" s="4" t="str">
        <f>IFERROR(__xludf.DUMMYFUNCTION("""COMPUTED_VALUE"""),"Rk")</f>
        <v>Rk</v>
      </c>
      <c r="B465" s="4" t="str">
        <f>IFERROR(__xludf.DUMMYFUNCTION("""COMPUTED_VALUE"""),"Pk")</f>
        <v>Pk</v>
      </c>
      <c r="C465" s="4" t="str">
        <f>IFERROR(__xludf.DUMMYFUNCTION("""COMPUTED_VALUE"""),"Tm")</f>
        <v>Tm</v>
      </c>
      <c r="D465" s="4" t="str">
        <f>IFERROR(__xludf.DUMMYFUNCTION("""COMPUTED_VALUE"""),"Player")</f>
        <v>Player</v>
      </c>
      <c r="E465" s="4" t="str">
        <f>IFERROR(__xludf.DUMMYFUNCTION("""COMPUTED_VALUE"""),"College")</f>
        <v>College</v>
      </c>
      <c r="F465" s="4" t="str">
        <f>IFERROR(__xludf.DUMMYFUNCTION("""COMPUTED_VALUE"""),"Yrs")</f>
        <v>Yrs</v>
      </c>
      <c r="G465" s="4" t="str">
        <f>IFERROR(__xludf.DUMMYFUNCTION("""COMPUTED_VALUE"""),"G")</f>
        <v>G</v>
      </c>
      <c r="H465" s="4" t="str">
        <f>IFERROR(__xludf.DUMMYFUNCTION("""COMPUTED_VALUE"""),"MP")</f>
        <v>MP</v>
      </c>
      <c r="I465" s="4" t="str">
        <f>IFERROR(__xludf.DUMMYFUNCTION("""COMPUTED_VALUE"""),"PTS")</f>
        <v>PTS</v>
      </c>
      <c r="J465" s="4" t="str">
        <f>IFERROR(__xludf.DUMMYFUNCTION("""COMPUTED_VALUE"""),"TRB")</f>
        <v>TRB</v>
      </c>
      <c r="K465" s="4" t="str">
        <f>IFERROR(__xludf.DUMMYFUNCTION("""COMPUTED_VALUE"""),"AST")</f>
        <v>AST</v>
      </c>
      <c r="L465" s="4" t="str">
        <f>IFERROR(__xludf.DUMMYFUNCTION("""COMPUTED_VALUE"""),"FG%")</f>
        <v>FG%</v>
      </c>
      <c r="M465" s="4" t="str">
        <f>IFERROR(__xludf.DUMMYFUNCTION("""COMPUTED_VALUE"""),"3P%")</f>
        <v>3P%</v>
      </c>
      <c r="N465" s="4" t="str">
        <f>IFERROR(__xludf.DUMMYFUNCTION("""COMPUTED_VALUE"""),"FT%")</f>
        <v>FT%</v>
      </c>
      <c r="O465" s="4" t="str">
        <f>IFERROR(__xludf.DUMMYFUNCTION("""COMPUTED_VALUE"""),"MP")</f>
        <v>MP</v>
      </c>
      <c r="P465" s="4" t="str">
        <f>IFERROR(__xludf.DUMMYFUNCTION("""COMPUTED_VALUE"""),"PTS")</f>
        <v>PTS</v>
      </c>
      <c r="Q465" s="4" t="str">
        <f>IFERROR(__xludf.DUMMYFUNCTION("""COMPUTED_VALUE"""),"TRB")</f>
        <v>TRB</v>
      </c>
      <c r="R465" s="4" t="str">
        <f>IFERROR(__xludf.DUMMYFUNCTION("""COMPUTED_VALUE"""),"AST")</f>
        <v>AST</v>
      </c>
      <c r="S465" s="4" t="str">
        <f>IFERROR(__xludf.DUMMYFUNCTION("""COMPUTED_VALUE"""),"WS")</f>
        <v>WS</v>
      </c>
      <c r="T465" s="4" t="str">
        <f>IFERROR(__xludf.DUMMYFUNCTION("""COMPUTED_VALUE"""),"WS/48")</f>
        <v>WS/48</v>
      </c>
      <c r="U465" s="4" t="str">
        <f>IFERROR(__xludf.DUMMYFUNCTION("""COMPUTED_VALUE"""),"BPM")</f>
        <v>BPM</v>
      </c>
      <c r="V465" s="4" t="str">
        <f>IFERROR(__xludf.DUMMYFUNCTION("""COMPUTED_VALUE"""),"VORP")</f>
        <v>VORP</v>
      </c>
    </row>
    <row r="466">
      <c r="A466" s="4">
        <f>IFERROR(__xludf.DUMMYFUNCTION("""COMPUTED_VALUE"""),1.0)</f>
        <v>1</v>
      </c>
      <c r="B466" s="4">
        <f>IFERROR(__xludf.DUMMYFUNCTION("""COMPUTED_VALUE"""),1.0)</f>
        <v>1</v>
      </c>
      <c r="C466" s="4" t="str">
        <f>IFERROR(__xludf.DUMMYFUNCTION("""COMPUTED_VALUE"""),"PHO")</f>
        <v>PHO</v>
      </c>
      <c r="D466" s="4" t="str">
        <f>IFERROR(__xludf.DUMMYFUNCTION("""COMPUTED_VALUE"""),"Deandre Ayton")</f>
        <v>Deandre Ayton</v>
      </c>
      <c r="E466" s="4" t="str">
        <f>IFERROR(__xludf.DUMMYFUNCTION("""COMPUTED_VALUE"""),"Arizona")</f>
        <v>Arizona</v>
      </c>
      <c r="F466" s="4">
        <f>IFERROR(__xludf.DUMMYFUNCTION("""COMPUTED_VALUE"""),8.0)</f>
        <v>8</v>
      </c>
      <c r="G466" s="4">
        <f>IFERROR(__xludf.DUMMYFUNCTION("""COMPUTED_VALUE"""),416.0)</f>
        <v>416</v>
      </c>
      <c r="H466" s="4">
        <f>IFERROR(__xludf.DUMMYFUNCTION("""COMPUTED_VALUE"""),12801.0)</f>
        <v>12801</v>
      </c>
      <c r="I466" s="4">
        <f>IFERROR(__xludf.DUMMYFUNCTION("""COMPUTED_VALUE"""),6826.0)</f>
        <v>6826</v>
      </c>
      <c r="J466" s="4">
        <f>IFERROR(__xludf.DUMMYFUNCTION("""COMPUTED_VALUE"""),4322.0)</f>
        <v>4322</v>
      </c>
      <c r="K466" s="4">
        <f>IFERROR(__xludf.DUMMYFUNCTION("""COMPUTED_VALUE"""),666.0)</f>
        <v>666</v>
      </c>
      <c r="L466" s="4">
        <f>IFERROR(__xludf.DUMMYFUNCTION("""COMPUTED_VALUE"""),0.594)</f>
        <v>0.594</v>
      </c>
      <c r="M466" s="4">
        <f>IFERROR(__xludf.DUMMYFUNCTION("""COMPUTED_VALUE"""),0.23)</f>
        <v>0.23</v>
      </c>
      <c r="N466" s="4">
        <f>IFERROR(__xludf.DUMMYFUNCTION("""COMPUTED_VALUE"""),0.752)</f>
        <v>0.752</v>
      </c>
      <c r="O466" s="4">
        <f>IFERROR(__xludf.DUMMYFUNCTION("""COMPUTED_VALUE"""),30.8)</f>
        <v>30.8</v>
      </c>
      <c r="P466" s="4">
        <f>IFERROR(__xludf.DUMMYFUNCTION("""COMPUTED_VALUE"""),16.4)</f>
        <v>16.4</v>
      </c>
      <c r="Q466" s="4">
        <f>IFERROR(__xludf.DUMMYFUNCTION("""COMPUTED_VALUE"""),10.4)</f>
        <v>10.4</v>
      </c>
      <c r="R466" s="4">
        <f>IFERROR(__xludf.DUMMYFUNCTION("""COMPUTED_VALUE"""),1.6)</f>
        <v>1.6</v>
      </c>
      <c r="S466" s="4">
        <f>IFERROR(__xludf.DUMMYFUNCTION("""COMPUTED_VALUE"""),39.2)</f>
        <v>39.2</v>
      </c>
      <c r="T466" s="4">
        <f>IFERROR(__xludf.DUMMYFUNCTION("""COMPUTED_VALUE"""),0.147)</f>
        <v>0.147</v>
      </c>
      <c r="U466" s="4">
        <f>IFERROR(__xludf.DUMMYFUNCTION("""COMPUTED_VALUE"""),0.7)</f>
        <v>0.7</v>
      </c>
      <c r="V466" s="4">
        <f>IFERROR(__xludf.DUMMYFUNCTION("""COMPUTED_VALUE"""),8.8)</f>
        <v>8.8</v>
      </c>
    </row>
    <row r="467">
      <c r="A467" s="4">
        <f>IFERROR(__xludf.DUMMYFUNCTION("""COMPUTED_VALUE"""),2.0)</f>
        <v>2</v>
      </c>
      <c r="B467" s="4">
        <f>IFERROR(__xludf.DUMMYFUNCTION("""COMPUTED_VALUE"""),2.0)</f>
        <v>2</v>
      </c>
      <c r="C467" s="4" t="str">
        <f>IFERROR(__xludf.DUMMYFUNCTION("""COMPUTED_VALUE"""),"SAC")</f>
        <v>SAC</v>
      </c>
      <c r="D467" s="4" t="str">
        <f>IFERROR(__xludf.DUMMYFUNCTION("""COMPUTED_VALUE"""),"Marvin Bagley III")</f>
        <v>Marvin Bagley III</v>
      </c>
      <c r="E467" s="4" t="str">
        <f>IFERROR(__xludf.DUMMYFUNCTION("""COMPUTED_VALUE"""),"Duke")</f>
        <v>Duke</v>
      </c>
      <c r="F467" s="4">
        <f>IFERROR(__xludf.DUMMYFUNCTION("""COMPUTED_VALUE"""),8.0)</f>
        <v>8</v>
      </c>
      <c r="G467" s="4">
        <f>IFERROR(__xludf.DUMMYFUNCTION("""COMPUTED_VALUE"""),305.0)</f>
        <v>305</v>
      </c>
      <c r="H467" s="4">
        <f>IFERROR(__xludf.DUMMYFUNCTION("""COMPUTED_VALUE"""),6750.0)</f>
        <v>6750</v>
      </c>
      <c r="I467" s="4">
        <f>IFERROR(__xludf.DUMMYFUNCTION("""COMPUTED_VALUE"""),3621.0)</f>
        <v>3621</v>
      </c>
      <c r="J467" s="4">
        <f>IFERROR(__xludf.DUMMYFUNCTION("""COMPUTED_VALUE"""),1967.0)</f>
        <v>1967</v>
      </c>
      <c r="K467" s="4">
        <f>IFERROR(__xludf.DUMMYFUNCTION("""COMPUTED_VALUE"""),274.0)</f>
        <v>274</v>
      </c>
      <c r="L467" s="4">
        <f>IFERROR(__xludf.DUMMYFUNCTION("""COMPUTED_VALUE"""),0.522)</f>
        <v>0.522</v>
      </c>
      <c r="M467" s="4">
        <f>IFERROR(__xludf.DUMMYFUNCTION("""COMPUTED_VALUE"""),0.293)</f>
        <v>0.293</v>
      </c>
      <c r="N467" s="4">
        <f>IFERROR(__xludf.DUMMYFUNCTION("""COMPUTED_VALUE"""),0.692)</f>
        <v>0.692</v>
      </c>
      <c r="O467" s="4">
        <f>IFERROR(__xludf.DUMMYFUNCTION("""COMPUTED_VALUE"""),22.1)</f>
        <v>22.1</v>
      </c>
      <c r="P467" s="4">
        <f>IFERROR(__xludf.DUMMYFUNCTION("""COMPUTED_VALUE"""),11.9)</f>
        <v>11.9</v>
      </c>
      <c r="Q467" s="4">
        <f>IFERROR(__xludf.DUMMYFUNCTION("""COMPUTED_VALUE"""),6.4)</f>
        <v>6.4</v>
      </c>
      <c r="R467" s="4">
        <f>IFERROR(__xludf.DUMMYFUNCTION("""COMPUTED_VALUE"""),0.9)</f>
        <v>0.9</v>
      </c>
      <c r="S467" s="4">
        <f>IFERROR(__xludf.DUMMYFUNCTION("""COMPUTED_VALUE"""),13.4)</f>
        <v>13.4</v>
      </c>
      <c r="T467" s="4">
        <f>IFERROR(__xludf.DUMMYFUNCTION("""COMPUTED_VALUE"""),0.096)</f>
        <v>0.096</v>
      </c>
      <c r="U467" s="4">
        <f>IFERROR(__xludf.DUMMYFUNCTION("""COMPUTED_VALUE"""),-1.5)</f>
        <v>-1.5</v>
      </c>
      <c r="V467" s="4">
        <f>IFERROR(__xludf.DUMMYFUNCTION("""COMPUTED_VALUE"""),0.8)</f>
        <v>0.8</v>
      </c>
    </row>
    <row r="468">
      <c r="A468" s="4">
        <f>IFERROR(__xludf.DUMMYFUNCTION("""COMPUTED_VALUE"""),3.0)</f>
        <v>3</v>
      </c>
      <c r="B468" s="4">
        <f>IFERROR(__xludf.DUMMYFUNCTION("""COMPUTED_VALUE"""),3.0)</f>
        <v>3</v>
      </c>
      <c r="C468" s="4" t="str">
        <f>IFERROR(__xludf.DUMMYFUNCTION("""COMPUTED_VALUE"""),"ATL")</f>
        <v>ATL</v>
      </c>
      <c r="D468" s="4" t="str">
        <f>IFERROR(__xludf.DUMMYFUNCTION("""COMPUTED_VALUE"""),"Luka Dončić")</f>
        <v>Luka Dončić</v>
      </c>
      <c r="E468" s="4"/>
      <c r="F468" s="4">
        <f>IFERROR(__xludf.DUMMYFUNCTION("""COMPUTED_VALUE"""),8.0)</f>
        <v>8</v>
      </c>
      <c r="G468" s="4">
        <f>IFERROR(__xludf.DUMMYFUNCTION("""COMPUTED_VALUE"""),466.0)</f>
        <v>466</v>
      </c>
      <c r="H468" s="4">
        <f>IFERROR(__xludf.DUMMYFUNCTION("""COMPUTED_VALUE"""),16303.0)</f>
        <v>16303</v>
      </c>
      <c r="I468" s="4">
        <f>IFERROR(__xludf.DUMMYFUNCTION("""COMPUTED_VALUE"""),13442.0)</f>
        <v>13442</v>
      </c>
      <c r="J468" s="4">
        <f>IFERROR(__xludf.DUMMYFUNCTION("""COMPUTED_VALUE"""),4023.0)</f>
        <v>4023</v>
      </c>
      <c r="K468" s="4">
        <f>IFERROR(__xludf.DUMMYFUNCTION("""COMPUTED_VALUE"""),3843.0)</f>
        <v>3843</v>
      </c>
      <c r="L468" s="4">
        <f>IFERROR(__xludf.DUMMYFUNCTION("""COMPUTED_VALUE"""),0.468)</f>
        <v>0.468</v>
      </c>
      <c r="M468" s="4">
        <f>IFERROR(__xludf.DUMMYFUNCTION("""COMPUTED_VALUE"""),0.35)</f>
        <v>0.35</v>
      </c>
      <c r="N468" s="4">
        <f>IFERROR(__xludf.DUMMYFUNCTION("""COMPUTED_VALUE"""),0.754)</f>
        <v>0.754</v>
      </c>
      <c r="O468" s="4">
        <f>IFERROR(__xludf.DUMMYFUNCTION("""COMPUTED_VALUE"""),35.0)</f>
        <v>35</v>
      </c>
      <c r="P468" s="4">
        <f>IFERROR(__xludf.DUMMYFUNCTION("""COMPUTED_VALUE"""),28.8)</f>
        <v>28.8</v>
      </c>
      <c r="Q468" s="4">
        <f>IFERROR(__xludf.DUMMYFUNCTION("""COMPUTED_VALUE"""),8.6)</f>
        <v>8.6</v>
      </c>
      <c r="R468" s="4">
        <f>IFERROR(__xludf.DUMMYFUNCTION("""COMPUTED_VALUE"""),8.2)</f>
        <v>8.2</v>
      </c>
      <c r="S468" s="4">
        <f>IFERROR(__xludf.DUMMYFUNCTION("""COMPUTED_VALUE"""),60.0)</f>
        <v>60</v>
      </c>
      <c r="T468" s="4">
        <f>IFERROR(__xludf.DUMMYFUNCTION("""COMPUTED_VALUE"""),0.177)</f>
        <v>0.177</v>
      </c>
      <c r="U468" s="4">
        <f>IFERROR(__xludf.DUMMYFUNCTION("""COMPUTED_VALUE"""),7.7)</f>
        <v>7.7</v>
      </c>
      <c r="V468" s="4">
        <f>IFERROR(__xludf.DUMMYFUNCTION("""COMPUTED_VALUE"""),39.9)</f>
        <v>39.9</v>
      </c>
    </row>
    <row r="469">
      <c r="A469" s="4">
        <f>IFERROR(__xludf.DUMMYFUNCTION("""COMPUTED_VALUE"""),4.0)</f>
        <v>4</v>
      </c>
      <c r="B469" s="4">
        <f>IFERROR(__xludf.DUMMYFUNCTION("""COMPUTED_VALUE"""),4.0)</f>
        <v>4</v>
      </c>
      <c r="C469" s="4" t="str">
        <f>IFERROR(__xludf.DUMMYFUNCTION("""COMPUTED_VALUE"""),"MEM")</f>
        <v>MEM</v>
      </c>
      <c r="D469" s="4" t="str">
        <f>IFERROR(__xludf.DUMMYFUNCTION("""COMPUTED_VALUE"""),"Jaren Jackson Jr.")</f>
        <v>Jaren Jackson Jr.</v>
      </c>
      <c r="E469" s="4" t="str">
        <f>IFERROR(__xludf.DUMMYFUNCTION("""COMPUTED_VALUE"""),"Michigan State")</f>
        <v>Michigan State</v>
      </c>
      <c r="F469" s="4">
        <f>IFERROR(__xludf.DUMMYFUNCTION("""COMPUTED_VALUE"""),8.0)</f>
        <v>8</v>
      </c>
      <c r="G469" s="4">
        <f>IFERROR(__xludf.DUMMYFUNCTION("""COMPUTED_VALUE"""),427.0)</f>
        <v>427</v>
      </c>
      <c r="H469" s="4">
        <f>IFERROR(__xludf.DUMMYFUNCTION("""COMPUTED_VALUE"""),12230.0)</f>
        <v>12230</v>
      </c>
      <c r="I469" s="4">
        <f>IFERROR(__xludf.DUMMYFUNCTION("""COMPUTED_VALUE"""),7873.0)</f>
        <v>7873</v>
      </c>
      <c r="J469" s="4">
        <f>IFERROR(__xludf.DUMMYFUNCTION("""COMPUTED_VALUE"""),2362.0)</f>
        <v>2362</v>
      </c>
      <c r="K469" s="4">
        <f>IFERROR(__xludf.DUMMYFUNCTION("""COMPUTED_VALUE"""),639.0)</f>
        <v>639</v>
      </c>
      <c r="L469" s="4">
        <f>IFERROR(__xludf.DUMMYFUNCTION("""COMPUTED_VALUE"""),0.466)</f>
        <v>0.466</v>
      </c>
      <c r="M469" s="4">
        <f>IFERROR(__xludf.DUMMYFUNCTION("""COMPUTED_VALUE"""),0.35)</f>
        <v>0.35</v>
      </c>
      <c r="N469" s="4">
        <f>IFERROR(__xludf.DUMMYFUNCTION("""COMPUTED_VALUE"""),0.792)</f>
        <v>0.792</v>
      </c>
      <c r="O469" s="4">
        <f>IFERROR(__xludf.DUMMYFUNCTION("""COMPUTED_VALUE"""),28.6)</f>
        <v>28.6</v>
      </c>
      <c r="P469" s="4">
        <f>IFERROR(__xludf.DUMMYFUNCTION("""COMPUTED_VALUE"""),18.4)</f>
        <v>18.4</v>
      </c>
      <c r="Q469" s="4">
        <f>IFERROR(__xludf.DUMMYFUNCTION("""COMPUTED_VALUE"""),5.5)</f>
        <v>5.5</v>
      </c>
      <c r="R469" s="4">
        <f>IFERROR(__xludf.DUMMYFUNCTION("""COMPUTED_VALUE"""),1.5)</f>
        <v>1.5</v>
      </c>
      <c r="S469" s="4">
        <f>IFERROR(__xludf.DUMMYFUNCTION("""COMPUTED_VALUE"""),29.4)</f>
        <v>29.4</v>
      </c>
      <c r="T469" s="4">
        <f>IFERROR(__xludf.DUMMYFUNCTION("""COMPUTED_VALUE"""),0.116)</f>
        <v>0.116</v>
      </c>
      <c r="U469" s="4">
        <f>IFERROR(__xludf.DUMMYFUNCTION("""COMPUTED_VALUE"""),0.8)</f>
        <v>0.8</v>
      </c>
      <c r="V469" s="4">
        <f>IFERROR(__xludf.DUMMYFUNCTION("""COMPUTED_VALUE"""),8.7)</f>
        <v>8.7</v>
      </c>
    </row>
    <row r="470">
      <c r="A470" s="4">
        <f>IFERROR(__xludf.DUMMYFUNCTION("""COMPUTED_VALUE"""),5.0)</f>
        <v>5</v>
      </c>
      <c r="B470" s="4">
        <f>IFERROR(__xludf.DUMMYFUNCTION("""COMPUTED_VALUE"""),5.0)</f>
        <v>5</v>
      </c>
      <c r="C470" s="4" t="str">
        <f>IFERROR(__xludf.DUMMYFUNCTION("""COMPUTED_VALUE"""),"DAL")</f>
        <v>DAL</v>
      </c>
      <c r="D470" s="4" t="str">
        <f>IFERROR(__xludf.DUMMYFUNCTION("""COMPUTED_VALUE"""),"Trae Young")</f>
        <v>Trae Young</v>
      </c>
      <c r="E470" s="4" t="str">
        <f>IFERROR(__xludf.DUMMYFUNCTION("""COMPUTED_VALUE"""),"Oklahoma")</f>
        <v>Oklahoma</v>
      </c>
      <c r="F470" s="4">
        <f>IFERROR(__xludf.DUMMYFUNCTION("""COMPUTED_VALUE"""),8.0)</f>
        <v>8</v>
      </c>
      <c r="G470" s="4">
        <f>IFERROR(__xludf.DUMMYFUNCTION("""COMPUTED_VALUE"""),488.0)</f>
        <v>488</v>
      </c>
      <c r="H470" s="4">
        <f>IFERROR(__xludf.DUMMYFUNCTION("""COMPUTED_VALUE"""),16761.0)</f>
        <v>16761</v>
      </c>
      <c r="I470" s="4">
        <f>IFERROR(__xludf.DUMMYFUNCTION("""COMPUTED_VALUE"""),12309.0)</f>
        <v>12309</v>
      </c>
      <c r="J470" s="4">
        <f>IFERROR(__xludf.DUMMYFUNCTION("""COMPUTED_VALUE"""),1697.0)</f>
        <v>1697</v>
      </c>
      <c r="K470" s="4">
        <f>IFERROR(__xludf.DUMMYFUNCTION("""COMPUTED_VALUE"""),4787.0)</f>
        <v>4787</v>
      </c>
      <c r="L470" s="4">
        <f>IFERROR(__xludf.DUMMYFUNCTION("""COMPUTED_VALUE"""),0.432)</f>
        <v>0.432</v>
      </c>
      <c r="M470" s="4">
        <f>IFERROR(__xludf.DUMMYFUNCTION("""COMPUTED_VALUE"""),0.351)</f>
        <v>0.351</v>
      </c>
      <c r="N470" s="4">
        <f>IFERROR(__xludf.DUMMYFUNCTION("""COMPUTED_VALUE"""),0.873)</f>
        <v>0.873</v>
      </c>
      <c r="O470" s="4">
        <f>IFERROR(__xludf.DUMMYFUNCTION("""COMPUTED_VALUE"""),34.3)</f>
        <v>34.3</v>
      </c>
      <c r="P470" s="4">
        <f>IFERROR(__xludf.DUMMYFUNCTION("""COMPUTED_VALUE"""),25.2)</f>
        <v>25.2</v>
      </c>
      <c r="Q470" s="4">
        <f>IFERROR(__xludf.DUMMYFUNCTION("""COMPUTED_VALUE"""),3.5)</f>
        <v>3.5</v>
      </c>
      <c r="R470" s="4">
        <f>IFERROR(__xludf.DUMMYFUNCTION("""COMPUTED_VALUE"""),9.8)</f>
        <v>9.8</v>
      </c>
      <c r="S470" s="4">
        <f>IFERROR(__xludf.DUMMYFUNCTION("""COMPUTED_VALUE"""),43.6)</f>
        <v>43.6</v>
      </c>
      <c r="T470" s="4">
        <f>IFERROR(__xludf.DUMMYFUNCTION("""COMPUTED_VALUE"""),0.125)</f>
        <v>0.125</v>
      </c>
      <c r="U470" s="4">
        <f>IFERROR(__xludf.DUMMYFUNCTION("""COMPUTED_VALUE"""),2.6)</f>
        <v>2.6</v>
      </c>
      <c r="V470" s="4">
        <f>IFERROR(__xludf.DUMMYFUNCTION("""COMPUTED_VALUE"""),19.3)</f>
        <v>19.3</v>
      </c>
    </row>
    <row r="471">
      <c r="A471" s="4">
        <f>IFERROR(__xludf.DUMMYFUNCTION("""COMPUTED_VALUE"""),6.0)</f>
        <v>6</v>
      </c>
      <c r="B471" s="4">
        <f>IFERROR(__xludf.DUMMYFUNCTION("""COMPUTED_VALUE"""),6.0)</f>
        <v>6</v>
      </c>
      <c r="C471" s="4" t="str">
        <f>IFERROR(__xludf.DUMMYFUNCTION("""COMPUTED_VALUE"""),"ORL")</f>
        <v>ORL</v>
      </c>
      <c r="D471" s="4" t="str">
        <f>IFERROR(__xludf.DUMMYFUNCTION("""COMPUTED_VALUE"""),"Mo Bamba")</f>
        <v>Mo Bamba</v>
      </c>
      <c r="E471" s="4" t="str">
        <f>IFERROR(__xludf.DUMMYFUNCTION("""COMPUTED_VALUE"""),"Texas")</f>
        <v>Texas</v>
      </c>
      <c r="F471" s="4">
        <f>IFERROR(__xludf.DUMMYFUNCTION("""COMPUTED_VALUE"""),7.0)</f>
        <v>7</v>
      </c>
      <c r="G471" s="4">
        <f>IFERROR(__xludf.DUMMYFUNCTION("""COMPUTED_VALUE"""),364.0)</f>
        <v>364</v>
      </c>
      <c r="H471" s="4">
        <f>IFERROR(__xludf.DUMMYFUNCTION("""COMPUTED_VALUE"""),6115.0)</f>
        <v>6115</v>
      </c>
      <c r="I471" s="4">
        <f>IFERROR(__xludf.DUMMYFUNCTION("""COMPUTED_VALUE"""),2461.0)</f>
        <v>2461</v>
      </c>
      <c r="J471" s="4">
        <f>IFERROR(__xludf.DUMMYFUNCTION("""COMPUTED_VALUE"""),1980.0)</f>
        <v>1980</v>
      </c>
      <c r="K471" s="4">
        <f>IFERROR(__xludf.DUMMYFUNCTION("""COMPUTED_VALUE"""),306.0)</f>
        <v>306</v>
      </c>
      <c r="L471" s="4">
        <f>IFERROR(__xludf.DUMMYFUNCTION("""COMPUTED_VALUE"""),0.477)</f>
        <v>0.477</v>
      </c>
      <c r="M471" s="4">
        <f>IFERROR(__xludf.DUMMYFUNCTION("""COMPUTED_VALUE"""),0.356)</f>
        <v>0.356</v>
      </c>
      <c r="N471" s="4">
        <f>IFERROR(__xludf.DUMMYFUNCTION("""COMPUTED_VALUE"""),0.682)</f>
        <v>0.682</v>
      </c>
      <c r="O471" s="4">
        <f>IFERROR(__xludf.DUMMYFUNCTION("""COMPUTED_VALUE"""),16.8)</f>
        <v>16.8</v>
      </c>
      <c r="P471" s="4">
        <f>IFERROR(__xludf.DUMMYFUNCTION("""COMPUTED_VALUE"""),6.8)</f>
        <v>6.8</v>
      </c>
      <c r="Q471" s="4">
        <f>IFERROR(__xludf.DUMMYFUNCTION("""COMPUTED_VALUE"""),5.4)</f>
        <v>5.4</v>
      </c>
      <c r="R471" s="4">
        <f>IFERROR(__xludf.DUMMYFUNCTION("""COMPUTED_VALUE"""),0.8)</f>
        <v>0.8</v>
      </c>
      <c r="S471" s="4">
        <f>IFERROR(__xludf.DUMMYFUNCTION("""COMPUTED_VALUE"""),15.6)</f>
        <v>15.6</v>
      </c>
      <c r="T471" s="4">
        <f>IFERROR(__xludf.DUMMYFUNCTION("""COMPUTED_VALUE"""),0.123)</f>
        <v>0.123</v>
      </c>
      <c r="U471" s="4">
        <f>IFERROR(__xludf.DUMMYFUNCTION("""COMPUTED_VALUE"""),0.0)</f>
        <v>0</v>
      </c>
      <c r="V471" s="4">
        <f>IFERROR(__xludf.DUMMYFUNCTION("""COMPUTED_VALUE"""),3.1)</f>
        <v>3.1</v>
      </c>
    </row>
    <row r="472">
      <c r="A472" s="4">
        <f>IFERROR(__xludf.DUMMYFUNCTION("""COMPUTED_VALUE"""),7.0)</f>
        <v>7</v>
      </c>
      <c r="B472" s="4">
        <f>IFERROR(__xludf.DUMMYFUNCTION("""COMPUTED_VALUE"""),7.0)</f>
        <v>7</v>
      </c>
      <c r="C472" s="4" t="str">
        <f>IFERROR(__xludf.DUMMYFUNCTION("""COMPUTED_VALUE"""),"CHI")</f>
        <v>CHI</v>
      </c>
      <c r="D472" s="4" t="str">
        <f>IFERROR(__xludf.DUMMYFUNCTION("""COMPUTED_VALUE"""),"Wendell Carter Jr.")</f>
        <v>Wendell Carter Jr.</v>
      </c>
      <c r="E472" s="4" t="str">
        <f>IFERROR(__xludf.DUMMYFUNCTION("""COMPUTED_VALUE"""),"Duke")</f>
        <v>Duke</v>
      </c>
      <c r="F472" s="4">
        <f>IFERROR(__xludf.DUMMYFUNCTION("""COMPUTED_VALUE"""),8.0)</f>
        <v>8</v>
      </c>
      <c r="G472" s="4">
        <f>IFERROR(__xludf.DUMMYFUNCTION("""COMPUTED_VALUE"""),403.0)</f>
        <v>403</v>
      </c>
      <c r="H472" s="4">
        <f>IFERROR(__xludf.DUMMYFUNCTION("""COMPUTED_VALUE"""),11039.0)</f>
        <v>11039</v>
      </c>
      <c r="I472" s="4">
        <f>IFERROR(__xludf.DUMMYFUNCTION("""COMPUTED_VALUE"""),4811.0)</f>
        <v>4811</v>
      </c>
      <c r="J472" s="4">
        <f>IFERROR(__xludf.DUMMYFUNCTION("""COMPUTED_VALUE"""),3324.0)</f>
        <v>3324</v>
      </c>
      <c r="K472" s="4">
        <f>IFERROR(__xludf.DUMMYFUNCTION("""COMPUTED_VALUE"""),804.0)</f>
        <v>804</v>
      </c>
      <c r="L472" s="4">
        <f>IFERROR(__xludf.DUMMYFUNCTION("""COMPUTED_VALUE"""),0.51)</f>
        <v>0.51</v>
      </c>
      <c r="M472" s="4">
        <f>IFERROR(__xludf.DUMMYFUNCTION("""COMPUTED_VALUE"""),0.324)</f>
        <v>0.324</v>
      </c>
      <c r="N472" s="4">
        <f>IFERROR(__xludf.DUMMYFUNCTION("""COMPUTED_VALUE"""),0.733)</f>
        <v>0.733</v>
      </c>
      <c r="O472" s="4">
        <f>IFERROR(__xludf.DUMMYFUNCTION("""COMPUTED_VALUE"""),27.4)</f>
        <v>27.4</v>
      </c>
      <c r="P472" s="4">
        <f>IFERROR(__xludf.DUMMYFUNCTION("""COMPUTED_VALUE"""),11.9)</f>
        <v>11.9</v>
      </c>
      <c r="Q472" s="4">
        <f>IFERROR(__xludf.DUMMYFUNCTION("""COMPUTED_VALUE"""),8.2)</f>
        <v>8.2</v>
      </c>
      <c r="R472" s="4">
        <f>IFERROR(__xludf.DUMMYFUNCTION("""COMPUTED_VALUE"""),2.0)</f>
        <v>2</v>
      </c>
      <c r="S472" s="4">
        <f>IFERROR(__xludf.DUMMYFUNCTION("""COMPUTED_VALUE"""),29.0)</f>
        <v>29</v>
      </c>
      <c r="T472" s="4">
        <f>IFERROR(__xludf.DUMMYFUNCTION("""COMPUTED_VALUE"""),0.126)</f>
        <v>0.126</v>
      </c>
      <c r="U472" s="4">
        <f>IFERROR(__xludf.DUMMYFUNCTION("""COMPUTED_VALUE"""),-0.2)</f>
        <v>-0.2</v>
      </c>
      <c r="V472" s="4">
        <f>IFERROR(__xludf.DUMMYFUNCTION("""COMPUTED_VALUE"""),4.9)</f>
        <v>4.9</v>
      </c>
    </row>
    <row r="473">
      <c r="A473" s="4">
        <f>IFERROR(__xludf.DUMMYFUNCTION("""COMPUTED_VALUE"""),8.0)</f>
        <v>8</v>
      </c>
      <c r="B473" s="4">
        <f>IFERROR(__xludf.DUMMYFUNCTION("""COMPUTED_VALUE"""),8.0)</f>
        <v>8</v>
      </c>
      <c r="C473" s="4" t="str">
        <f>IFERROR(__xludf.DUMMYFUNCTION("""COMPUTED_VALUE"""),"CLE")</f>
        <v>CLE</v>
      </c>
      <c r="D473" s="4" t="str">
        <f>IFERROR(__xludf.DUMMYFUNCTION("""COMPUTED_VALUE"""),"Collin Sexton")</f>
        <v>Collin Sexton</v>
      </c>
      <c r="E473" s="4" t="str">
        <f>IFERROR(__xludf.DUMMYFUNCTION("""COMPUTED_VALUE"""),"Alabama")</f>
        <v>Alabama</v>
      </c>
      <c r="F473" s="4">
        <f>IFERROR(__xludf.DUMMYFUNCTION("""COMPUTED_VALUE"""),8.0)</f>
        <v>8</v>
      </c>
      <c r="G473" s="4">
        <f>IFERROR(__xludf.DUMMYFUNCTION("""COMPUTED_VALUE"""),427.0)</f>
        <v>427</v>
      </c>
      <c r="H473" s="4">
        <f>IFERROR(__xludf.DUMMYFUNCTION("""COMPUTED_VALUE"""),12678.0)</f>
        <v>12678</v>
      </c>
      <c r="I473" s="4">
        <f>IFERROR(__xludf.DUMMYFUNCTION("""COMPUTED_VALUE"""),7980.0)</f>
        <v>7980</v>
      </c>
      <c r="J473" s="4">
        <f>IFERROR(__xludf.DUMMYFUNCTION("""COMPUTED_VALUE"""),1190.0)</f>
        <v>1190</v>
      </c>
      <c r="K473" s="4">
        <f>IFERROR(__xludf.DUMMYFUNCTION("""COMPUTED_VALUE"""),1592.0)</f>
        <v>1592</v>
      </c>
      <c r="L473" s="4">
        <f>IFERROR(__xludf.DUMMYFUNCTION("""COMPUTED_VALUE"""),0.471)</f>
        <v>0.471</v>
      </c>
      <c r="M473" s="4">
        <f>IFERROR(__xludf.DUMMYFUNCTION("""COMPUTED_VALUE"""),0.387)</f>
        <v>0.387</v>
      </c>
      <c r="N473" s="4">
        <f>IFERROR(__xludf.DUMMYFUNCTION("""COMPUTED_VALUE"""),0.84)</f>
        <v>0.84</v>
      </c>
      <c r="O473" s="4">
        <f>IFERROR(__xludf.DUMMYFUNCTION("""COMPUTED_VALUE"""),29.7)</f>
        <v>29.7</v>
      </c>
      <c r="P473" s="4">
        <f>IFERROR(__xludf.DUMMYFUNCTION("""COMPUTED_VALUE"""),18.7)</f>
        <v>18.7</v>
      </c>
      <c r="Q473" s="4">
        <f>IFERROR(__xludf.DUMMYFUNCTION("""COMPUTED_VALUE"""),2.8)</f>
        <v>2.8</v>
      </c>
      <c r="R473" s="4">
        <f>IFERROR(__xludf.DUMMYFUNCTION("""COMPUTED_VALUE"""),3.7)</f>
        <v>3.7</v>
      </c>
      <c r="S473" s="4">
        <f>IFERROR(__xludf.DUMMYFUNCTION("""COMPUTED_VALUE"""),16.8)</f>
        <v>16.8</v>
      </c>
      <c r="T473" s="4">
        <f>IFERROR(__xludf.DUMMYFUNCTION("""COMPUTED_VALUE"""),0.063)</f>
        <v>0.063</v>
      </c>
      <c r="U473" s="4">
        <f>IFERROR(__xludf.DUMMYFUNCTION("""COMPUTED_VALUE"""),-1.4)</f>
        <v>-1.4</v>
      </c>
      <c r="V473" s="4">
        <f>IFERROR(__xludf.DUMMYFUNCTION("""COMPUTED_VALUE"""),2.0)</f>
        <v>2</v>
      </c>
    </row>
    <row r="474">
      <c r="A474" s="4">
        <f>IFERROR(__xludf.DUMMYFUNCTION("""COMPUTED_VALUE"""),9.0)</f>
        <v>9</v>
      </c>
      <c r="B474" s="4">
        <f>IFERROR(__xludf.DUMMYFUNCTION("""COMPUTED_VALUE"""),9.0)</f>
        <v>9</v>
      </c>
      <c r="C474" s="4" t="str">
        <f>IFERROR(__xludf.DUMMYFUNCTION("""COMPUTED_VALUE"""),"NYK")</f>
        <v>NYK</v>
      </c>
      <c r="D474" s="4" t="str">
        <f>IFERROR(__xludf.DUMMYFUNCTION("""COMPUTED_VALUE"""),"Kevin Knox")</f>
        <v>Kevin Knox</v>
      </c>
      <c r="E474" s="4" t="str">
        <f>IFERROR(__xludf.DUMMYFUNCTION("""COMPUTED_VALUE"""),"Kentucky")</f>
        <v>Kentucky</v>
      </c>
      <c r="F474" s="4">
        <f>IFERROR(__xludf.DUMMYFUNCTION("""COMPUTED_VALUE"""),7.0)</f>
        <v>7</v>
      </c>
      <c r="G474" s="4">
        <f>IFERROR(__xludf.DUMMYFUNCTION("""COMPUTED_VALUE"""),320.0)</f>
        <v>320</v>
      </c>
      <c r="H474" s="4">
        <f>IFERROR(__xludf.DUMMYFUNCTION("""COMPUTED_VALUE"""),5606.0)</f>
        <v>5606</v>
      </c>
      <c r="I474" s="4">
        <f>IFERROR(__xludf.DUMMYFUNCTION("""COMPUTED_VALUE"""),2322.0)</f>
        <v>2322</v>
      </c>
      <c r="J474" s="4">
        <f>IFERROR(__xludf.DUMMYFUNCTION("""COMPUTED_VALUE"""),893.0)</f>
        <v>893</v>
      </c>
      <c r="K474" s="4">
        <f>IFERROR(__xludf.DUMMYFUNCTION("""COMPUTED_VALUE"""),233.0)</f>
        <v>233</v>
      </c>
      <c r="L474" s="4">
        <f>IFERROR(__xludf.DUMMYFUNCTION("""COMPUTED_VALUE"""),0.393)</f>
        <v>0.393</v>
      </c>
      <c r="M474" s="4">
        <f>IFERROR(__xludf.DUMMYFUNCTION("""COMPUTED_VALUE"""),0.34)</f>
        <v>0.34</v>
      </c>
      <c r="N474" s="4">
        <f>IFERROR(__xludf.DUMMYFUNCTION("""COMPUTED_VALUE"""),0.723)</f>
        <v>0.723</v>
      </c>
      <c r="O474" s="4">
        <f>IFERROR(__xludf.DUMMYFUNCTION("""COMPUTED_VALUE"""),17.5)</f>
        <v>17.5</v>
      </c>
      <c r="P474" s="4">
        <f>IFERROR(__xludf.DUMMYFUNCTION("""COMPUTED_VALUE"""),7.3)</f>
        <v>7.3</v>
      </c>
      <c r="Q474" s="4">
        <f>IFERROR(__xludf.DUMMYFUNCTION("""COMPUTED_VALUE"""),2.8)</f>
        <v>2.8</v>
      </c>
      <c r="R474" s="4">
        <f>IFERROR(__xludf.DUMMYFUNCTION("""COMPUTED_VALUE"""),0.7)</f>
        <v>0.7</v>
      </c>
      <c r="S474" s="4">
        <f>IFERROR(__xludf.DUMMYFUNCTION("""COMPUTED_VALUE"""),0.9)</f>
        <v>0.9</v>
      </c>
      <c r="T474" s="4">
        <f>IFERROR(__xludf.DUMMYFUNCTION("""COMPUTED_VALUE"""),0.008)</f>
        <v>0.008</v>
      </c>
      <c r="U474" s="4">
        <f>IFERROR(__xludf.DUMMYFUNCTION("""COMPUTED_VALUE"""),-4.4)</f>
        <v>-4.4</v>
      </c>
      <c r="V474" s="4">
        <f>IFERROR(__xludf.DUMMYFUNCTION("""COMPUTED_VALUE"""),-3.4)</f>
        <v>-3.4</v>
      </c>
    </row>
    <row r="475">
      <c r="A475" s="4">
        <f>IFERROR(__xludf.DUMMYFUNCTION("""COMPUTED_VALUE"""),10.0)</f>
        <v>10</v>
      </c>
      <c r="B475" s="4">
        <f>IFERROR(__xludf.DUMMYFUNCTION("""COMPUTED_VALUE"""),10.0)</f>
        <v>10</v>
      </c>
      <c r="C475" s="4" t="str">
        <f>IFERROR(__xludf.DUMMYFUNCTION("""COMPUTED_VALUE"""),"PHI")</f>
        <v>PHI</v>
      </c>
      <c r="D475" s="4" t="str">
        <f>IFERROR(__xludf.DUMMYFUNCTION("""COMPUTED_VALUE"""),"Mikal Bridges")</f>
        <v>Mikal Bridges</v>
      </c>
      <c r="E475" s="4" t="str">
        <f>IFERROR(__xludf.DUMMYFUNCTION("""COMPUTED_VALUE"""),"Villanova")</f>
        <v>Villanova</v>
      </c>
      <c r="F475" s="4">
        <f>IFERROR(__xludf.DUMMYFUNCTION("""COMPUTED_VALUE"""),8.0)</f>
        <v>8</v>
      </c>
      <c r="G475" s="4">
        <f>IFERROR(__xludf.DUMMYFUNCTION("""COMPUTED_VALUE"""),576.0)</f>
        <v>576</v>
      </c>
      <c r="H475" s="4">
        <f>IFERROR(__xludf.DUMMYFUNCTION("""COMPUTED_VALUE"""),19214.0)</f>
        <v>19214</v>
      </c>
      <c r="I475" s="4">
        <f>IFERROR(__xludf.DUMMYFUNCTION("""COMPUTED_VALUE"""),8545.0)</f>
        <v>8545</v>
      </c>
      <c r="J475" s="4">
        <f>IFERROR(__xludf.DUMMYFUNCTION("""COMPUTED_VALUE"""),2298.0)</f>
        <v>2298</v>
      </c>
      <c r="K475" s="4">
        <f>IFERROR(__xludf.DUMMYFUNCTION("""COMPUTED_VALUE"""),1603.0)</f>
        <v>1603</v>
      </c>
      <c r="L475" s="4">
        <f>IFERROR(__xludf.DUMMYFUNCTION("""COMPUTED_VALUE"""),0.486)</f>
        <v>0.486</v>
      </c>
      <c r="M475" s="4">
        <f>IFERROR(__xludf.DUMMYFUNCTION("""COMPUTED_VALUE"""),0.374)</f>
        <v>0.374</v>
      </c>
      <c r="N475" s="4">
        <f>IFERROR(__xludf.DUMMYFUNCTION("""COMPUTED_VALUE"""),0.842)</f>
        <v>0.842</v>
      </c>
      <c r="O475" s="4">
        <f>IFERROR(__xludf.DUMMYFUNCTION("""COMPUTED_VALUE"""),33.4)</f>
        <v>33.4</v>
      </c>
      <c r="P475" s="4">
        <f>IFERROR(__xludf.DUMMYFUNCTION("""COMPUTED_VALUE"""),14.8)</f>
        <v>14.8</v>
      </c>
      <c r="Q475" s="4">
        <f>IFERROR(__xludf.DUMMYFUNCTION("""COMPUTED_VALUE"""),4.0)</f>
        <v>4</v>
      </c>
      <c r="R475" s="4">
        <f>IFERROR(__xludf.DUMMYFUNCTION("""COMPUTED_VALUE"""),2.8)</f>
        <v>2.8</v>
      </c>
      <c r="S475" s="4">
        <f>IFERROR(__xludf.DUMMYFUNCTION("""COMPUTED_VALUE"""),45.0)</f>
        <v>45</v>
      </c>
      <c r="T475" s="4">
        <f>IFERROR(__xludf.DUMMYFUNCTION("""COMPUTED_VALUE"""),0.112)</f>
        <v>0.112</v>
      </c>
      <c r="U475" s="4">
        <f>IFERROR(__xludf.DUMMYFUNCTION("""COMPUTED_VALUE"""),0.9)</f>
        <v>0.9</v>
      </c>
      <c r="V475" s="4">
        <f>IFERROR(__xludf.DUMMYFUNCTION("""COMPUTED_VALUE"""),14.1)</f>
        <v>14.1</v>
      </c>
    </row>
    <row r="476">
      <c r="A476" s="4">
        <f>IFERROR(__xludf.DUMMYFUNCTION("""COMPUTED_VALUE"""),11.0)</f>
        <v>11</v>
      </c>
      <c r="B476" s="4">
        <f>IFERROR(__xludf.DUMMYFUNCTION("""COMPUTED_VALUE"""),11.0)</f>
        <v>11</v>
      </c>
      <c r="C476" s="4" t="str">
        <f>IFERROR(__xludf.DUMMYFUNCTION("""COMPUTED_VALUE"""),"CHO")</f>
        <v>CHO</v>
      </c>
      <c r="D476" s="4" t="str">
        <f>IFERROR(__xludf.DUMMYFUNCTION("""COMPUTED_VALUE"""),"Shai Gilgeous-Alexander")</f>
        <v>Shai Gilgeous-Alexander</v>
      </c>
      <c r="E476" s="4" t="str">
        <f>IFERROR(__xludf.DUMMYFUNCTION("""COMPUTED_VALUE"""),"Kentucky")</f>
        <v>Kentucky</v>
      </c>
      <c r="F476" s="4">
        <f>IFERROR(__xludf.DUMMYFUNCTION("""COMPUTED_VALUE"""),8.0)</f>
        <v>8</v>
      </c>
      <c r="G476" s="4">
        <f>IFERROR(__xludf.DUMMYFUNCTION("""COMPUTED_VALUE"""),484.0)</f>
        <v>484</v>
      </c>
      <c r="H476" s="4">
        <f>IFERROR(__xludf.DUMMYFUNCTION("""COMPUTED_VALUE"""),16030.0)</f>
        <v>16030</v>
      </c>
      <c r="I476" s="4">
        <f>IFERROR(__xludf.DUMMYFUNCTION("""COMPUTED_VALUE"""),12015.0)</f>
        <v>12015</v>
      </c>
      <c r="J476" s="4">
        <f>IFERROR(__xludf.DUMMYFUNCTION("""COMPUTED_VALUE"""),2315.0)</f>
        <v>2315</v>
      </c>
      <c r="K476" s="4">
        <f>IFERROR(__xludf.DUMMYFUNCTION("""COMPUTED_VALUE"""),2504.0)</f>
        <v>2504</v>
      </c>
      <c r="L476" s="4">
        <f>IFERROR(__xludf.DUMMYFUNCTION("""COMPUTED_VALUE"""),0.503)</f>
        <v>0.503</v>
      </c>
      <c r="M476" s="4">
        <f>IFERROR(__xludf.DUMMYFUNCTION("""COMPUTED_VALUE"""),0.36)</f>
        <v>0.36</v>
      </c>
      <c r="N476" s="4">
        <f>IFERROR(__xludf.DUMMYFUNCTION("""COMPUTED_VALUE"""),0.863)</f>
        <v>0.863</v>
      </c>
      <c r="O476" s="4">
        <f>IFERROR(__xludf.DUMMYFUNCTION("""COMPUTED_VALUE"""),33.1)</f>
        <v>33.1</v>
      </c>
      <c r="P476" s="4">
        <f>IFERROR(__xludf.DUMMYFUNCTION("""COMPUTED_VALUE"""),24.8)</f>
        <v>24.8</v>
      </c>
      <c r="Q476" s="4">
        <f>IFERROR(__xludf.DUMMYFUNCTION("""COMPUTED_VALUE"""),4.8)</f>
        <v>4.8</v>
      </c>
      <c r="R476" s="4">
        <f>IFERROR(__xludf.DUMMYFUNCTION("""COMPUTED_VALUE"""),5.2)</f>
        <v>5.2</v>
      </c>
      <c r="S476" s="4">
        <f>IFERROR(__xludf.DUMMYFUNCTION("""COMPUTED_VALUE"""),66.2)</f>
        <v>66.2</v>
      </c>
      <c r="T476" s="4">
        <f>IFERROR(__xludf.DUMMYFUNCTION("""COMPUTED_VALUE"""),0.198)</f>
        <v>0.198</v>
      </c>
      <c r="U476" s="4">
        <f>IFERROR(__xludf.DUMMYFUNCTION("""COMPUTED_VALUE"""),5.9)</f>
        <v>5.9</v>
      </c>
      <c r="V476" s="4">
        <f>IFERROR(__xludf.DUMMYFUNCTION("""COMPUTED_VALUE"""),31.9)</f>
        <v>31.9</v>
      </c>
    </row>
    <row r="477">
      <c r="A477" s="4">
        <f>IFERROR(__xludf.DUMMYFUNCTION("""COMPUTED_VALUE"""),12.0)</f>
        <v>12</v>
      </c>
      <c r="B477" s="4">
        <f>IFERROR(__xludf.DUMMYFUNCTION("""COMPUTED_VALUE"""),12.0)</f>
        <v>12</v>
      </c>
      <c r="C477" s="4" t="str">
        <f>IFERROR(__xludf.DUMMYFUNCTION("""COMPUTED_VALUE"""),"LAC")</f>
        <v>LAC</v>
      </c>
      <c r="D477" s="4" t="str">
        <f>IFERROR(__xludf.DUMMYFUNCTION("""COMPUTED_VALUE"""),"Miles Bridges")</f>
        <v>Miles Bridges</v>
      </c>
      <c r="E477" s="4" t="str">
        <f>IFERROR(__xludf.DUMMYFUNCTION("""COMPUTED_VALUE"""),"Michigan State")</f>
        <v>Michigan State</v>
      </c>
      <c r="F477" s="4">
        <f>IFERROR(__xludf.DUMMYFUNCTION("""COMPUTED_VALUE"""),7.0)</f>
        <v>7</v>
      </c>
      <c r="G477" s="4">
        <f>IFERROR(__xludf.DUMMYFUNCTION("""COMPUTED_VALUE"""),445.0)</f>
        <v>445</v>
      </c>
      <c r="H477" s="4">
        <f>IFERROR(__xludf.DUMMYFUNCTION("""COMPUTED_VALUE"""),13806.0)</f>
        <v>13806</v>
      </c>
      <c r="I477" s="4">
        <f>IFERROR(__xludf.DUMMYFUNCTION("""COMPUTED_VALUE"""),7098.0)</f>
        <v>7098</v>
      </c>
      <c r="J477" s="4">
        <f>IFERROR(__xludf.DUMMYFUNCTION("""COMPUTED_VALUE"""),2755.0)</f>
        <v>2755</v>
      </c>
      <c r="K477" s="4">
        <f>IFERROR(__xludf.DUMMYFUNCTION("""COMPUTED_VALUE"""),1208.0)</f>
        <v>1208</v>
      </c>
      <c r="L477" s="4">
        <f>IFERROR(__xludf.DUMMYFUNCTION("""COMPUTED_VALUE"""),0.459)</f>
        <v>0.459</v>
      </c>
      <c r="M477" s="4">
        <f>IFERROR(__xludf.DUMMYFUNCTION("""COMPUTED_VALUE"""),0.339)</f>
        <v>0.339</v>
      </c>
      <c r="N477" s="4">
        <f>IFERROR(__xludf.DUMMYFUNCTION("""COMPUTED_VALUE"""),0.829)</f>
        <v>0.829</v>
      </c>
      <c r="O477" s="4">
        <f>IFERROR(__xludf.DUMMYFUNCTION("""COMPUTED_VALUE"""),31.0)</f>
        <v>31</v>
      </c>
      <c r="P477" s="4">
        <f>IFERROR(__xludf.DUMMYFUNCTION("""COMPUTED_VALUE"""),16.0)</f>
        <v>16</v>
      </c>
      <c r="Q477" s="4">
        <f>IFERROR(__xludf.DUMMYFUNCTION("""COMPUTED_VALUE"""),6.2)</f>
        <v>6.2</v>
      </c>
      <c r="R477" s="4">
        <f>IFERROR(__xludf.DUMMYFUNCTION("""COMPUTED_VALUE"""),2.7)</f>
        <v>2.7</v>
      </c>
      <c r="S477" s="4">
        <f>IFERROR(__xludf.DUMMYFUNCTION("""COMPUTED_VALUE"""),22.7)</f>
        <v>22.7</v>
      </c>
      <c r="T477" s="4">
        <f>IFERROR(__xludf.DUMMYFUNCTION("""COMPUTED_VALUE"""),0.079)</f>
        <v>0.079</v>
      </c>
      <c r="U477" s="4">
        <f>IFERROR(__xludf.DUMMYFUNCTION("""COMPUTED_VALUE"""),-0.1)</f>
        <v>-0.1</v>
      </c>
      <c r="V477" s="4">
        <f>IFERROR(__xludf.DUMMYFUNCTION("""COMPUTED_VALUE"""),6.7)</f>
        <v>6.7</v>
      </c>
    </row>
    <row r="478">
      <c r="A478" s="4">
        <f>IFERROR(__xludf.DUMMYFUNCTION("""COMPUTED_VALUE"""),13.0)</f>
        <v>13</v>
      </c>
      <c r="B478" s="4">
        <f>IFERROR(__xludf.DUMMYFUNCTION("""COMPUTED_VALUE"""),13.0)</f>
        <v>13</v>
      </c>
      <c r="C478" s="4" t="str">
        <f>IFERROR(__xludf.DUMMYFUNCTION("""COMPUTED_VALUE"""),"LAC")</f>
        <v>LAC</v>
      </c>
      <c r="D478" s="4" t="str">
        <f>IFERROR(__xludf.DUMMYFUNCTION("""COMPUTED_VALUE"""),"Jerome Robinson")</f>
        <v>Jerome Robinson</v>
      </c>
      <c r="E478" s="4" t="str">
        <f>IFERROR(__xludf.DUMMYFUNCTION("""COMPUTED_VALUE"""),"Boston College")</f>
        <v>Boston College</v>
      </c>
      <c r="F478" s="4">
        <f>IFERROR(__xludf.DUMMYFUNCTION("""COMPUTED_VALUE"""),4.0)</f>
        <v>4</v>
      </c>
      <c r="G478" s="4">
        <f>IFERROR(__xludf.DUMMYFUNCTION("""COMPUTED_VALUE"""),135.0)</f>
        <v>135</v>
      </c>
      <c r="H478" s="4">
        <f>IFERROR(__xludf.DUMMYFUNCTION("""COMPUTED_VALUE"""),1685.0)</f>
        <v>1685</v>
      </c>
      <c r="I478" s="4">
        <f>IFERROR(__xludf.DUMMYFUNCTION("""COMPUTED_VALUE"""),545.0)</f>
        <v>545</v>
      </c>
      <c r="J478" s="4">
        <f>IFERROR(__xludf.DUMMYFUNCTION("""COMPUTED_VALUE"""),214.0)</f>
        <v>214</v>
      </c>
      <c r="K478" s="4">
        <f>IFERROR(__xludf.DUMMYFUNCTION("""COMPUTED_VALUE"""),136.0)</f>
        <v>136</v>
      </c>
      <c r="L478" s="4">
        <f>IFERROR(__xludf.DUMMYFUNCTION("""COMPUTED_VALUE"""),0.361)</f>
        <v>0.361</v>
      </c>
      <c r="M478" s="4">
        <f>IFERROR(__xludf.DUMMYFUNCTION("""COMPUTED_VALUE"""),0.297)</f>
        <v>0.297</v>
      </c>
      <c r="N478" s="4">
        <f>IFERROR(__xludf.DUMMYFUNCTION("""COMPUTED_VALUE"""),0.711)</f>
        <v>0.711</v>
      </c>
      <c r="O478" s="4">
        <f>IFERROR(__xludf.DUMMYFUNCTION("""COMPUTED_VALUE"""),12.5)</f>
        <v>12.5</v>
      </c>
      <c r="P478" s="4">
        <f>IFERROR(__xludf.DUMMYFUNCTION("""COMPUTED_VALUE"""),4.0)</f>
        <v>4</v>
      </c>
      <c r="Q478" s="4">
        <f>IFERROR(__xludf.DUMMYFUNCTION("""COMPUTED_VALUE"""),1.6)</f>
        <v>1.6</v>
      </c>
      <c r="R478" s="4">
        <f>IFERROR(__xludf.DUMMYFUNCTION("""COMPUTED_VALUE"""),1.0)</f>
        <v>1</v>
      </c>
      <c r="S478" s="4">
        <f>IFERROR(__xludf.DUMMYFUNCTION("""COMPUTED_VALUE"""),-0.2)</f>
        <v>-0.2</v>
      </c>
      <c r="T478" s="4">
        <f>IFERROR(__xludf.DUMMYFUNCTION("""COMPUTED_VALUE"""),-0.004)</f>
        <v>-0.004</v>
      </c>
      <c r="U478" s="4">
        <f>IFERROR(__xludf.DUMMYFUNCTION("""COMPUTED_VALUE"""),-4.8)</f>
        <v>-4.8</v>
      </c>
      <c r="V478" s="4">
        <f>IFERROR(__xludf.DUMMYFUNCTION("""COMPUTED_VALUE"""),-1.2)</f>
        <v>-1.2</v>
      </c>
    </row>
    <row r="479">
      <c r="A479" s="4">
        <f>IFERROR(__xludf.DUMMYFUNCTION("""COMPUTED_VALUE"""),14.0)</f>
        <v>14</v>
      </c>
      <c r="B479" s="4">
        <f>IFERROR(__xludf.DUMMYFUNCTION("""COMPUTED_VALUE"""),14.0)</f>
        <v>14</v>
      </c>
      <c r="C479" s="4" t="str">
        <f>IFERROR(__xludf.DUMMYFUNCTION("""COMPUTED_VALUE"""),"DEN")</f>
        <v>DEN</v>
      </c>
      <c r="D479" s="4" t="str">
        <f>IFERROR(__xludf.DUMMYFUNCTION("""COMPUTED_VALUE"""),"Michael Porter Jr.")</f>
        <v>Michael Porter Jr.</v>
      </c>
      <c r="E479" s="4" t="str">
        <f>IFERROR(__xludf.DUMMYFUNCTION("""COMPUTED_VALUE"""),"Missouri")</f>
        <v>Missouri</v>
      </c>
      <c r="F479" s="4">
        <f>IFERROR(__xludf.DUMMYFUNCTION("""COMPUTED_VALUE"""),7.0)</f>
        <v>7</v>
      </c>
      <c r="G479" s="4">
        <f>IFERROR(__xludf.DUMMYFUNCTION("""COMPUTED_VALUE"""),362.0)</f>
        <v>362</v>
      </c>
      <c r="H479" s="4">
        <f>IFERROR(__xludf.DUMMYFUNCTION("""COMPUTED_VALUE"""),10593.0)</f>
        <v>10593</v>
      </c>
      <c r="I479" s="4">
        <f>IFERROR(__xludf.DUMMYFUNCTION("""COMPUTED_VALUE"""),6020.0)</f>
        <v>6020</v>
      </c>
      <c r="J479" s="4">
        <f>IFERROR(__xludf.DUMMYFUNCTION("""COMPUTED_VALUE"""),2334.0)</f>
        <v>2334</v>
      </c>
      <c r="K479" s="4">
        <f>IFERROR(__xludf.DUMMYFUNCTION("""COMPUTED_VALUE"""),537.0)</f>
        <v>537</v>
      </c>
      <c r="L479" s="4">
        <f>IFERROR(__xludf.DUMMYFUNCTION("""COMPUTED_VALUE"""),0.499)</f>
        <v>0.499</v>
      </c>
      <c r="M479" s="4">
        <f>IFERROR(__xludf.DUMMYFUNCTION("""COMPUTED_VALUE"""),0.405)</f>
        <v>0.405</v>
      </c>
      <c r="N479" s="4">
        <f>IFERROR(__xludf.DUMMYFUNCTION("""COMPUTED_VALUE"""),0.797)</f>
        <v>0.797</v>
      </c>
      <c r="O479" s="4">
        <f>IFERROR(__xludf.DUMMYFUNCTION("""COMPUTED_VALUE"""),29.3)</f>
        <v>29.3</v>
      </c>
      <c r="P479" s="4">
        <f>IFERROR(__xludf.DUMMYFUNCTION("""COMPUTED_VALUE"""),16.6)</f>
        <v>16.6</v>
      </c>
      <c r="Q479" s="4">
        <f>IFERROR(__xludf.DUMMYFUNCTION("""COMPUTED_VALUE"""),6.4)</f>
        <v>6.4</v>
      </c>
      <c r="R479" s="4">
        <f>IFERROR(__xludf.DUMMYFUNCTION("""COMPUTED_VALUE"""),1.5)</f>
        <v>1.5</v>
      </c>
      <c r="S479" s="4">
        <f>IFERROR(__xludf.DUMMYFUNCTION("""COMPUTED_VALUE"""),27.6)</f>
        <v>27.6</v>
      </c>
      <c r="T479" s="4">
        <f>IFERROR(__xludf.DUMMYFUNCTION("""COMPUTED_VALUE"""),0.125)</f>
        <v>0.125</v>
      </c>
      <c r="U479" s="4">
        <f>IFERROR(__xludf.DUMMYFUNCTION("""COMPUTED_VALUE"""),0.8)</f>
        <v>0.8</v>
      </c>
      <c r="V479" s="4">
        <f>IFERROR(__xludf.DUMMYFUNCTION("""COMPUTED_VALUE"""),7.5)</f>
        <v>7.5</v>
      </c>
    </row>
    <row r="480">
      <c r="A480" s="4">
        <f>IFERROR(__xludf.DUMMYFUNCTION("""COMPUTED_VALUE"""),15.0)</f>
        <v>15</v>
      </c>
      <c r="B480" s="4">
        <f>IFERROR(__xludf.DUMMYFUNCTION("""COMPUTED_VALUE"""),15.0)</f>
        <v>15</v>
      </c>
      <c r="C480" s="4" t="str">
        <f>IFERROR(__xludf.DUMMYFUNCTION("""COMPUTED_VALUE"""),"WAS")</f>
        <v>WAS</v>
      </c>
      <c r="D480" s="4" t="str">
        <f>IFERROR(__xludf.DUMMYFUNCTION("""COMPUTED_VALUE"""),"Troy Brown Jr.")</f>
        <v>Troy Brown Jr.</v>
      </c>
      <c r="E480" s="4" t="str">
        <f>IFERROR(__xludf.DUMMYFUNCTION("""COMPUTED_VALUE"""),"Oregon")</f>
        <v>Oregon</v>
      </c>
      <c r="F480" s="4">
        <f>IFERROR(__xludf.DUMMYFUNCTION("""COMPUTED_VALUE"""),6.0)</f>
        <v>6</v>
      </c>
      <c r="G480" s="4">
        <f>IFERROR(__xludf.DUMMYFUNCTION("""COMPUTED_VALUE"""),356.0)</f>
        <v>356</v>
      </c>
      <c r="H480" s="4">
        <f>IFERROR(__xludf.DUMMYFUNCTION("""COMPUTED_VALUE"""),6778.0)</f>
        <v>6778</v>
      </c>
      <c r="I480" s="4">
        <f>IFERROR(__xludf.DUMMYFUNCTION("""COMPUTED_VALUE"""),2196.0)</f>
        <v>2196</v>
      </c>
      <c r="J480" s="4">
        <f>IFERROR(__xludf.DUMMYFUNCTION("""COMPUTED_VALUE"""),1288.0)</f>
        <v>1288</v>
      </c>
      <c r="K480" s="4">
        <f>IFERROR(__xludf.DUMMYFUNCTION("""COMPUTED_VALUE"""),508.0)</f>
        <v>508</v>
      </c>
      <c r="L480" s="4">
        <f>IFERROR(__xludf.DUMMYFUNCTION("""COMPUTED_VALUE"""),0.423)</f>
        <v>0.423</v>
      </c>
      <c r="M480" s="4">
        <f>IFERROR(__xludf.DUMMYFUNCTION("""COMPUTED_VALUE"""),0.351)</f>
        <v>0.351</v>
      </c>
      <c r="N480" s="4">
        <f>IFERROR(__xludf.DUMMYFUNCTION("""COMPUTED_VALUE"""),0.783)</f>
        <v>0.783</v>
      </c>
      <c r="O480" s="4">
        <f>IFERROR(__xludf.DUMMYFUNCTION("""COMPUTED_VALUE"""),19.0)</f>
        <v>19</v>
      </c>
      <c r="P480" s="4">
        <f>IFERROR(__xludf.DUMMYFUNCTION("""COMPUTED_VALUE"""),6.2)</f>
        <v>6.2</v>
      </c>
      <c r="Q480" s="4">
        <f>IFERROR(__xludf.DUMMYFUNCTION("""COMPUTED_VALUE"""),3.6)</f>
        <v>3.6</v>
      </c>
      <c r="R480" s="4">
        <f>IFERROR(__xludf.DUMMYFUNCTION("""COMPUTED_VALUE"""),1.4)</f>
        <v>1.4</v>
      </c>
      <c r="S480" s="4">
        <f>IFERROR(__xludf.DUMMYFUNCTION("""COMPUTED_VALUE"""),8.6)</f>
        <v>8.6</v>
      </c>
      <c r="T480" s="4">
        <f>IFERROR(__xludf.DUMMYFUNCTION("""COMPUTED_VALUE"""),0.061)</f>
        <v>0.061</v>
      </c>
      <c r="U480" s="4">
        <f>IFERROR(__xludf.DUMMYFUNCTION("""COMPUTED_VALUE"""),-1.8)</f>
        <v>-1.8</v>
      </c>
      <c r="V480" s="4">
        <f>IFERROR(__xludf.DUMMYFUNCTION("""COMPUTED_VALUE"""),0.4)</f>
        <v>0.4</v>
      </c>
    </row>
    <row r="481">
      <c r="A481" s="4">
        <f>IFERROR(__xludf.DUMMYFUNCTION("""COMPUTED_VALUE"""),16.0)</f>
        <v>16</v>
      </c>
      <c r="B481" s="4">
        <f>IFERROR(__xludf.DUMMYFUNCTION("""COMPUTED_VALUE"""),16.0)</f>
        <v>16</v>
      </c>
      <c r="C481" s="4" t="str">
        <f>IFERROR(__xludf.DUMMYFUNCTION("""COMPUTED_VALUE"""),"PHO")</f>
        <v>PHO</v>
      </c>
      <c r="D481" s="4" t="str">
        <f>IFERROR(__xludf.DUMMYFUNCTION("""COMPUTED_VALUE"""),"Zhaire Smith")</f>
        <v>Zhaire Smith</v>
      </c>
      <c r="E481" s="4" t="str">
        <f>IFERROR(__xludf.DUMMYFUNCTION("""COMPUTED_VALUE"""),"Texas Tech")</f>
        <v>Texas Tech</v>
      </c>
      <c r="F481" s="4">
        <f>IFERROR(__xludf.DUMMYFUNCTION("""COMPUTED_VALUE"""),2.0)</f>
        <v>2</v>
      </c>
      <c r="G481" s="4">
        <f>IFERROR(__xludf.DUMMYFUNCTION("""COMPUTED_VALUE"""),13.0)</f>
        <v>13</v>
      </c>
      <c r="H481" s="4">
        <f>IFERROR(__xludf.DUMMYFUNCTION("""COMPUTED_VALUE"""),143.0)</f>
        <v>143</v>
      </c>
      <c r="I481" s="4">
        <f>IFERROR(__xludf.DUMMYFUNCTION("""COMPUTED_VALUE"""),48.0)</f>
        <v>48</v>
      </c>
      <c r="J481" s="4">
        <f>IFERROR(__xludf.DUMMYFUNCTION("""COMPUTED_VALUE"""),15.0)</f>
        <v>15</v>
      </c>
      <c r="K481" s="4">
        <f>IFERROR(__xludf.DUMMYFUNCTION("""COMPUTED_VALUE"""),12.0)</f>
        <v>12</v>
      </c>
      <c r="L481" s="4">
        <f>IFERROR(__xludf.DUMMYFUNCTION("""COMPUTED_VALUE"""),0.378)</f>
        <v>0.378</v>
      </c>
      <c r="M481" s="4">
        <f>IFERROR(__xludf.DUMMYFUNCTION("""COMPUTED_VALUE"""),0.316)</f>
        <v>0.316</v>
      </c>
      <c r="N481" s="4">
        <f>IFERROR(__xludf.DUMMYFUNCTION("""COMPUTED_VALUE"""),0.667)</f>
        <v>0.667</v>
      </c>
      <c r="O481" s="4">
        <f>IFERROR(__xludf.DUMMYFUNCTION("""COMPUTED_VALUE"""),11.0)</f>
        <v>11</v>
      </c>
      <c r="P481" s="4">
        <f>IFERROR(__xludf.DUMMYFUNCTION("""COMPUTED_VALUE"""),3.7)</f>
        <v>3.7</v>
      </c>
      <c r="Q481" s="4">
        <f>IFERROR(__xludf.DUMMYFUNCTION("""COMPUTED_VALUE"""),1.2)</f>
        <v>1.2</v>
      </c>
      <c r="R481" s="4">
        <f>IFERROR(__xludf.DUMMYFUNCTION("""COMPUTED_VALUE"""),0.9)</f>
        <v>0.9</v>
      </c>
      <c r="S481" s="4">
        <f>IFERROR(__xludf.DUMMYFUNCTION("""COMPUTED_VALUE"""),0.0)</f>
        <v>0</v>
      </c>
      <c r="T481" s="4">
        <f>IFERROR(__xludf.DUMMYFUNCTION("""COMPUTED_VALUE"""),0.011)</f>
        <v>0.011</v>
      </c>
      <c r="U481" s="4">
        <f>IFERROR(__xludf.DUMMYFUNCTION("""COMPUTED_VALUE"""),-6.1)</f>
        <v>-6.1</v>
      </c>
      <c r="V481" s="4">
        <f>IFERROR(__xludf.DUMMYFUNCTION("""COMPUTED_VALUE"""),-0.1)</f>
        <v>-0.1</v>
      </c>
    </row>
    <row r="482">
      <c r="A482" s="4">
        <f>IFERROR(__xludf.DUMMYFUNCTION("""COMPUTED_VALUE"""),17.0)</f>
        <v>17</v>
      </c>
      <c r="B482" s="4">
        <f>IFERROR(__xludf.DUMMYFUNCTION("""COMPUTED_VALUE"""),17.0)</f>
        <v>17</v>
      </c>
      <c r="C482" s="4" t="str">
        <f>IFERROR(__xludf.DUMMYFUNCTION("""COMPUTED_VALUE"""),"MIL")</f>
        <v>MIL</v>
      </c>
      <c r="D482" s="4" t="str">
        <f>IFERROR(__xludf.DUMMYFUNCTION("""COMPUTED_VALUE"""),"Donte DiVincenzo")</f>
        <v>Donte DiVincenzo</v>
      </c>
      <c r="E482" s="4" t="str">
        <f>IFERROR(__xludf.DUMMYFUNCTION("""COMPUTED_VALUE"""),"Villanova")</f>
        <v>Villanova</v>
      </c>
      <c r="F482" s="4">
        <f>IFERROR(__xludf.DUMMYFUNCTION("""COMPUTED_VALUE"""),8.0)</f>
        <v>8</v>
      </c>
      <c r="G482" s="4">
        <f>IFERROR(__xludf.DUMMYFUNCTION("""COMPUTED_VALUE"""),437.0)</f>
        <v>437</v>
      </c>
      <c r="H482" s="4">
        <f>IFERROR(__xludf.DUMMYFUNCTION("""COMPUTED_VALUE"""),11272.0)</f>
        <v>11272</v>
      </c>
      <c r="I482" s="4">
        <f>IFERROR(__xludf.DUMMYFUNCTION("""COMPUTED_VALUE"""),4763.0)</f>
        <v>4763</v>
      </c>
      <c r="J482" s="4">
        <f>IFERROR(__xludf.DUMMYFUNCTION("""COMPUTED_VALUE"""),1866.0)</f>
        <v>1866</v>
      </c>
      <c r="K482" s="4">
        <f>IFERROR(__xludf.DUMMYFUNCTION("""COMPUTED_VALUE"""),1276.0)</f>
        <v>1276</v>
      </c>
      <c r="L482" s="4">
        <f>IFERROR(__xludf.DUMMYFUNCTION("""COMPUTED_VALUE"""),0.426)</f>
        <v>0.426</v>
      </c>
      <c r="M482" s="4">
        <f>IFERROR(__xludf.DUMMYFUNCTION("""COMPUTED_VALUE"""),0.381)</f>
        <v>0.381</v>
      </c>
      <c r="N482" s="4">
        <f>IFERROR(__xludf.DUMMYFUNCTION("""COMPUTED_VALUE"""),0.778)</f>
        <v>0.778</v>
      </c>
      <c r="O482" s="4">
        <f>IFERROR(__xludf.DUMMYFUNCTION("""COMPUTED_VALUE"""),25.8)</f>
        <v>25.8</v>
      </c>
      <c r="P482" s="4">
        <f>IFERROR(__xludf.DUMMYFUNCTION("""COMPUTED_VALUE"""),10.9)</f>
        <v>10.9</v>
      </c>
      <c r="Q482" s="4">
        <f>IFERROR(__xludf.DUMMYFUNCTION("""COMPUTED_VALUE"""),4.3)</f>
        <v>4.3</v>
      </c>
      <c r="R482" s="4">
        <f>IFERROR(__xludf.DUMMYFUNCTION("""COMPUTED_VALUE"""),2.9)</f>
        <v>2.9</v>
      </c>
      <c r="S482" s="4">
        <f>IFERROR(__xludf.DUMMYFUNCTION("""COMPUTED_VALUE"""),25.6)</f>
        <v>25.6</v>
      </c>
      <c r="T482" s="4">
        <f>IFERROR(__xludf.DUMMYFUNCTION("""COMPUTED_VALUE"""),0.109)</f>
        <v>0.109</v>
      </c>
      <c r="U482" s="4">
        <f>IFERROR(__xludf.DUMMYFUNCTION("""COMPUTED_VALUE"""),1.1)</f>
        <v>1.1</v>
      </c>
      <c r="V482" s="4">
        <f>IFERROR(__xludf.DUMMYFUNCTION("""COMPUTED_VALUE"""),8.9)</f>
        <v>8.9</v>
      </c>
    </row>
    <row r="483">
      <c r="A483" s="4">
        <f>IFERROR(__xludf.DUMMYFUNCTION("""COMPUTED_VALUE"""),18.0)</f>
        <v>18</v>
      </c>
      <c r="B483" s="4">
        <f>IFERROR(__xludf.DUMMYFUNCTION("""COMPUTED_VALUE"""),18.0)</f>
        <v>18</v>
      </c>
      <c r="C483" s="4" t="str">
        <f>IFERROR(__xludf.DUMMYFUNCTION("""COMPUTED_VALUE"""),"SAS")</f>
        <v>SAS</v>
      </c>
      <c r="D483" s="4" t="str">
        <f>IFERROR(__xludf.DUMMYFUNCTION("""COMPUTED_VALUE"""),"Lonnie Walker IV")</f>
        <v>Lonnie Walker IV</v>
      </c>
      <c r="E483" s="4" t="str">
        <f>IFERROR(__xludf.DUMMYFUNCTION("""COMPUTED_VALUE"""),"Miami (FL)")</f>
        <v>Miami (FL)</v>
      </c>
      <c r="F483" s="4">
        <f>IFERROR(__xludf.DUMMYFUNCTION("""COMPUTED_VALUE"""),7.0)</f>
        <v>7</v>
      </c>
      <c r="G483" s="4">
        <f>IFERROR(__xludf.DUMMYFUNCTION("""COMPUTED_VALUE"""),342.0)</f>
        <v>342</v>
      </c>
      <c r="H483" s="4">
        <f>IFERROR(__xludf.DUMMYFUNCTION("""COMPUTED_VALUE"""),7025.0)</f>
        <v>7025</v>
      </c>
      <c r="I483" s="4">
        <f>IFERROR(__xludf.DUMMYFUNCTION("""COMPUTED_VALUE"""),3418.0)</f>
        <v>3418</v>
      </c>
      <c r="J483" s="4">
        <f>IFERROR(__xludf.DUMMYFUNCTION("""COMPUTED_VALUE"""),791.0)</f>
        <v>791</v>
      </c>
      <c r="K483" s="4">
        <f>IFERROR(__xludf.DUMMYFUNCTION("""COMPUTED_VALUE"""),518.0)</f>
        <v>518</v>
      </c>
      <c r="L483" s="4">
        <f>IFERROR(__xludf.DUMMYFUNCTION("""COMPUTED_VALUE"""),0.422)</f>
        <v>0.422</v>
      </c>
      <c r="M483" s="4">
        <f>IFERROR(__xludf.DUMMYFUNCTION("""COMPUTED_VALUE"""),0.356)</f>
        <v>0.356</v>
      </c>
      <c r="N483" s="4">
        <f>IFERROR(__xludf.DUMMYFUNCTION("""COMPUTED_VALUE"""),0.795)</f>
        <v>0.795</v>
      </c>
      <c r="O483" s="4">
        <f>IFERROR(__xludf.DUMMYFUNCTION("""COMPUTED_VALUE"""),20.5)</f>
        <v>20.5</v>
      </c>
      <c r="P483" s="4">
        <f>IFERROR(__xludf.DUMMYFUNCTION("""COMPUTED_VALUE"""),10.0)</f>
        <v>10</v>
      </c>
      <c r="Q483" s="4">
        <f>IFERROR(__xludf.DUMMYFUNCTION("""COMPUTED_VALUE"""),2.3)</f>
        <v>2.3</v>
      </c>
      <c r="R483" s="4">
        <f>IFERROR(__xludf.DUMMYFUNCTION("""COMPUTED_VALUE"""),1.5)</f>
        <v>1.5</v>
      </c>
      <c r="S483" s="4">
        <f>IFERROR(__xludf.DUMMYFUNCTION("""COMPUTED_VALUE"""),4.9)</f>
        <v>4.9</v>
      </c>
      <c r="T483" s="4">
        <f>IFERROR(__xludf.DUMMYFUNCTION("""COMPUTED_VALUE"""),0.033)</f>
        <v>0.033</v>
      </c>
      <c r="U483" s="4">
        <f>IFERROR(__xludf.DUMMYFUNCTION("""COMPUTED_VALUE"""),-2.5)</f>
        <v>-2.5</v>
      </c>
      <c r="V483" s="4">
        <f>IFERROR(__xludf.DUMMYFUNCTION("""COMPUTED_VALUE"""),-1.0)</f>
        <v>-1</v>
      </c>
    </row>
    <row r="484">
      <c r="A484" s="4">
        <f>IFERROR(__xludf.DUMMYFUNCTION("""COMPUTED_VALUE"""),19.0)</f>
        <v>19</v>
      </c>
      <c r="B484" s="4">
        <f>IFERROR(__xludf.DUMMYFUNCTION("""COMPUTED_VALUE"""),19.0)</f>
        <v>19</v>
      </c>
      <c r="C484" s="4" t="str">
        <f>IFERROR(__xludf.DUMMYFUNCTION("""COMPUTED_VALUE"""),"ATL")</f>
        <v>ATL</v>
      </c>
      <c r="D484" s="4" t="str">
        <f>IFERROR(__xludf.DUMMYFUNCTION("""COMPUTED_VALUE"""),"Kevin Huerter")</f>
        <v>Kevin Huerter</v>
      </c>
      <c r="E484" s="4" t="str">
        <f>IFERROR(__xludf.DUMMYFUNCTION("""COMPUTED_VALUE"""),"Maryland")</f>
        <v>Maryland</v>
      </c>
      <c r="F484" s="4">
        <f>IFERROR(__xludf.DUMMYFUNCTION("""COMPUTED_VALUE"""),8.0)</f>
        <v>8</v>
      </c>
      <c r="G484" s="4">
        <f>IFERROR(__xludf.DUMMYFUNCTION("""COMPUTED_VALUE"""),501.0)</f>
        <v>501</v>
      </c>
      <c r="H484" s="4">
        <f>IFERROR(__xludf.DUMMYFUNCTION("""COMPUTED_VALUE"""),14024.0)</f>
        <v>14024</v>
      </c>
      <c r="I484" s="4">
        <f>IFERROR(__xludf.DUMMYFUNCTION("""COMPUTED_VALUE"""),5828.0)</f>
        <v>5828</v>
      </c>
      <c r="J484" s="4">
        <f>IFERROR(__xludf.DUMMYFUNCTION("""COMPUTED_VALUE"""),1700.0)</f>
        <v>1700</v>
      </c>
      <c r="K484" s="4">
        <f>IFERROR(__xludf.DUMMYFUNCTION("""COMPUTED_VALUE"""),1460.0)</f>
        <v>1460</v>
      </c>
      <c r="L484" s="4">
        <f>IFERROR(__xludf.DUMMYFUNCTION("""COMPUTED_VALUE"""),0.442)</f>
        <v>0.442</v>
      </c>
      <c r="M484" s="4">
        <f>IFERROR(__xludf.DUMMYFUNCTION("""COMPUTED_VALUE"""),0.373)</f>
        <v>0.373</v>
      </c>
      <c r="N484" s="4">
        <f>IFERROR(__xludf.DUMMYFUNCTION("""COMPUTED_VALUE"""),0.766)</f>
        <v>0.766</v>
      </c>
      <c r="O484" s="4">
        <f>IFERROR(__xludf.DUMMYFUNCTION("""COMPUTED_VALUE"""),28.0)</f>
        <v>28</v>
      </c>
      <c r="P484" s="4">
        <f>IFERROR(__xludf.DUMMYFUNCTION("""COMPUTED_VALUE"""),11.6)</f>
        <v>11.6</v>
      </c>
      <c r="Q484" s="4">
        <f>IFERROR(__xludf.DUMMYFUNCTION("""COMPUTED_VALUE"""),3.4)</f>
        <v>3.4</v>
      </c>
      <c r="R484" s="4">
        <f>IFERROR(__xludf.DUMMYFUNCTION("""COMPUTED_VALUE"""),2.9)</f>
        <v>2.9</v>
      </c>
      <c r="S484" s="4">
        <f>IFERROR(__xludf.DUMMYFUNCTION("""COMPUTED_VALUE"""),19.8)</f>
        <v>19.8</v>
      </c>
      <c r="T484" s="4">
        <f>IFERROR(__xludf.DUMMYFUNCTION("""COMPUTED_VALUE"""),0.068)</f>
        <v>0.068</v>
      </c>
      <c r="U484" s="4">
        <f>IFERROR(__xludf.DUMMYFUNCTION("""COMPUTED_VALUE"""),-1.0)</f>
        <v>-1</v>
      </c>
      <c r="V484" s="4">
        <f>IFERROR(__xludf.DUMMYFUNCTION("""COMPUTED_VALUE"""),3.7)</f>
        <v>3.7</v>
      </c>
    </row>
    <row r="485">
      <c r="A485" s="4">
        <f>IFERROR(__xludf.DUMMYFUNCTION("""COMPUTED_VALUE"""),20.0)</f>
        <v>20</v>
      </c>
      <c r="B485" s="4">
        <f>IFERROR(__xludf.DUMMYFUNCTION("""COMPUTED_VALUE"""),20.0)</f>
        <v>20</v>
      </c>
      <c r="C485" s="4" t="str">
        <f>IFERROR(__xludf.DUMMYFUNCTION("""COMPUTED_VALUE"""),"MIN")</f>
        <v>MIN</v>
      </c>
      <c r="D485" s="4" t="str">
        <f>IFERROR(__xludf.DUMMYFUNCTION("""COMPUTED_VALUE"""),"Josh Okogie")</f>
        <v>Josh Okogie</v>
      </c>
      <c r="E485" s="4" t="str">
        <f>IFERROR(__xludf.DUMMYFUNCTION("""COMPUTED_VALUE"""),"Georgia Tech")</f>
        <v>Georgia Tech</v>
      </c>
      <c r="F485" s="4">
        <f>IFERROR(__xludf.DUMMYFUNCTION("""COMPUTED_VALUE"""),8.0)</f>
        <v>8</v>
      </c>
      <c r="G485" s="4">
        <f>IFERROR(__xludf.DUMMYFUNCTION("""COMPUTED_VALUE"""),434.0)</f>
        <v>434</v>
      </c>
      <c r="H485" s="4">
        <f>IFERROR(__xludf.DUMMYFUNCTION("""COMPUTED_VALUE"""),8324.0)</f>
        <v>8324</v>
      </c>
      <c r="I485" s="4">
        <f>IFERROR(__xludf.DUMMYFUNCTION("""COMPUTED_VALUE"""),2762.0)</f>
        <v>2762</v>
      </c>
      <c r="J485" s="4">
        <f>IFERROR(__xludf.DUMMYFUNCTION("""COMPUTED_VALUE"""),1275.0)</f>
        <v>1275</v>
      </c>
      <c r="K485" s="4">
        <f>IFERROR(__xludf.DUMMYFUNCTION("""COMPUTED_VALUE"""),498.0)</f>
        <v>498</v>
      </c>
      <c r="L485" s="4">
        <f>IFERROR(__xludf.DUMMYFUNCTION("""COMPUTED_VALUE"""),0.407)</f>
        <v>0.407</v>
      </c>
      <c r="M485" s="4">
        <f>IFERROR(__xludf.DUMMYFUNCTION("""COMPUTED_VALUE"""),0.304)</f>
        <v>0.304</v>
      </c>
      <c r="N485" s="4">
        <f>IFERROR(__xludf.DUMMYFUNCTION("""COMPUTED_VALUE"""),0.747)</f>
        <v>0.747</v>
      </c>
      <c r="O485" s="4">
        <f>IFERROR(__xludf.DUMMYFUNCTION("""COMPUTED_VALUE"""),19.2)</f>
        <v>19.2</v>
      </c>
      <c r="P485" s="4">
        <f>IFERROR(__xludf.DUMMYFUNCTION("""COMPUTED_VALUE"""),6.4)</f>
        <v>6.4</v>
      </c>
      <c r="Q485" s="4">
        <f>IFERROR(__xludf.DUMMYFUNCTION("""COMPUTED_VALUE"""),2.9)</f>
        <v>2.9</v>
      </c>
      <c r="R485" s="4">
        <f>IFERROR(__xludf.DUMMYFUNCTION("""COMPUTED_VALUE"""),1.1)</f>
        <v>1.1</v>
      </c>
      <c r="S485" s="4">
        <f>IFERROR(__xludf.DUMMYFUNCTION("""COMPUTED_VALUE"""),12.5)</f>
        <v>12.5</v>
      </c>
      <c r="T485" s="4">
        <f>IFERROR(__xludf.DUMMYFUNCTION("""COMPUTED_VALUE"""),0.072)</f>
        <v>0.072</v>
      </c>
      <c r="U485" s="4">
        <f>IFERROR(__xludf.DUMMYFUNCTION("""COMPUTED_VALUE"""),-1.7)</f>
        <v>-1.7</v>
      </c>
      <c r="V485" s="4">
        <f>IFERROR(__xludf.DUMMYFUNCTION("""COMPUTED_VALUE"""),0.6)</f>
        <v>0.6</v>
      </c>
    </row>
    <row r="486">
      <c r="A486" s="4">
        <f>IFERROR(__xludf.DUMMYFUNCTION("""COMPUTED_VALUE"""),21.0)</f>
        <v>21</v>
      </c>
      <c r="B486" s="4">
        <f>IFERROR(__xludf.DUMMYFUNCTION("""COMPUTED_VALUE"""),21.0)</f>
        <v>21</v>
      </c>
      <c r="C486" s="4" t="str">
        <f>IFERROR(__xludf.DUMMYFUNCTION("""COMPUTED_VALUE"""),"UTA")</f>
        <v>UTA</v>
      </c>
      <c r="D486" s="4" t="str">
        <f>IFERROR(__xludf.DUMMYFUNCTION("""COMPUTED_VALUE"""),"Grayson Allen")</f>
        <v>Grayson Allen</v>
      </c>
      <c r="E486" s="4" t="str">
        <f>IFERROR(__xludf.DUMMYFUNCTION("""COMPUTED_VALUE"""),"Duke")</f>
        <v>Duke</v>
      </c>
      <c r="F486" s="4">
        <f>IFERROR(__xludf.DUMMYFUNCTION("""COMPUTED_VALUE"""),8.0)</f>
        <v>8</v>
      </c>
      <c r="G486" s="4">
        <f>IFERROR(__xludf.DUMMYFUNCTION("""COMPUTED_VALUE"""),417.0)</f>
        <v>417</v>
      </c>
      <c r="H486" s="4">
        <f>IFERROR(__xludf.DUMMYFUNCTION("""COMPUTED_VALUE"""),10670.0)</f>
        <v>10670</v>
      </c>
      <c r="I486" s="4">
        <f>IFERROR(__xludf.DUMMYFUNCTION("""COMPUTED_VALUE"""),4500.0)</f>
        <v>4500</v>
      </c>
      <c r="J486" s="4">
        <f>IFERROR(__xludf.DUMMYFUNCTION("""COMPUTED_VALUE"""),1257.0)</f>
        <v>1257</v>
      </c>
      <c r="K486" s="4">
        <f>IFERROR(__xludf.DUMMYFUNCTION("""COMPUTED_VALUE"""),871.0)</f>
        <v>871</v>
      </c>
      <c r="L486" s="4">
        <f>IFERROR(__xludf.DUMMYFUNCTION("""COMPUTED_VALUE"""),0.452)</f>
        <v>0.452</v>
      </c>
      <c r="M486" s="4">
        <f>IFERROR(__xludf.DUMMYFUNCTION("""COMPUTED_VALUE"""),0.416)</f>
        <v>0.416</v>
      </c>
      <c r="N486" s="4">
        <f>IFERROR(__xludf.DUMMYFUNCTION("""COMPUTED_VALUE"""),0.854)</f>
        <v>0.854</v>
      </c>
      <c r="O486" s="4">
        <f>IFERROR(__xludf.DUMMYFUNCTION("""COMPUTED_VALUE"""),25.6)</f>
        <v>25.6</v>
      </c>
      <c r="P486" s="4">
        <f>IFERROR(__xludf.DUMMYFUNCTION("""COMPUTED_VALUE"""),10.8)</f>
        <v>10.8</v>
      </c>
      <c r="Q486" s="4">
        <f>IFERROR(__xludf.DUMMYFUNCTION("""COMPUTED_VALUE"""),3.0)</f>
        <v>3</v>
      </c>
      <c r="R486" s="4">
        <f>IFERROR(__xludf.DUMMYFUNCTION("""COMPUTED_VALUE"""),2.1)</f>
        <v>2.1</v>
      </c>
      <c r="S486" s="4">
        <f>IFERROR(__xludf.DUMMYFUNCTION("""COMPUTED_VALUE"""),24.0)</f>
        <v>24</v>
      </c>
      <c r="T486" s="4">
        <f>IFERROR(__xludf.DUMMYFUNCTION("""COMPUTED_VALUE"""),0.108)</f>
        <v>0.108</v>
      </c>
      <c r="U486" s="4">
        <f>IFERROR(__xludf.DUMMYFUNCTION("""COMPUTED_VALUE"""),0.1)</f>
        <v>0.1</v>
      </c>
      <c r="V486" s="4">
        <f>IFERROR(__xludf.DUMMYFUNCTION("""COMPUTED_VALUE"""),5.7)</f>
        <v>5.7</v>
      </c>
    </row>
    <row r="487">
      <c r="A487" s="4">
        <f>IFERROR(__xludf.DUMMYFUNCTION("""COMPUTED_VALUE"""),22.0)</f>
        <v>22</v>
      </c>
      <c r="B487" s="4">
        <f>IFERROR(__xludf.DUMMYFUNCTION("""COMPUTED_VALUE"""),22.0)</f>
        <v>22</v>
      </c>
      <c r="C487" s="4" t="str">
        <f>IFERROR(__xludf.DUMMYFUNCTION("""COMPUTED_VALUE"""),"CHI")</f>
        <v>CHI</v>
      </c>
      <c r="D487" s="4" t="str">
        <f>IFERROR(__xludf.DUMMYFUNCTION("""COMPUTED_VALUE"""),"Chandler Hutchison")</f>
        <v>Chandler Hutchison</v>
      </c>
      <c r="E487" s="4" t="str">
        <f>IFERROR(__xludf.DUMMYFUNCTION("""COMPUTED_VALUE"""),"Boise State")</f>
        <v>Boise State</v>
      </c>
      <c r="F487" s="4">
        <f>IFERROR(__xludf.DUMMYFUNCTION("""COMPUTED_VALUE"""),4.0)</f>
        <v>4</v>
      </c>
      <c r="G487" s="4">
        <f>IFERROR(__xludf.DUMMYFUNCTION("""COMPUTED_VALUE"""),103.0)</f>
        <v>103</v>
      </c>
      <c r="H487" s="4">
        <f>IFERROR(__xludf.DUMMYFUNCTION("""COMPUTED_VALUE"""),1790.0)</f>
        <v>1790</v>
      </c>
      <c r="I487" s="4">
        <f>IFERROR(__xludf.DUMMYFUNCTION("""COMPUTED_VALUE"""),558.0)</f>
        <v>558</v>
      </c>
      <c r="J487" s="4">
        <f>IFERROR(__xludf.DUMMYFUNCTION("""COMPUTED_VALUE"""),376.0)</f>
        <v>376</v>
      </c>
      <c r="K487" s="4">
        <f>IFERROR(__xludf.DUMMYFUNCTION("""COMPUTED_VALUE"""),79.0)</f>
        <v>79</v>
      </c>
      <c r="L487" s="4">
        <f>IFERROR(__xludf.DUMMYFUNCTION("""COMPUTED_VALUE"""),0.442)</f>
        <v>0.442</v>
      </c>
      <c r="M487" s="4">
        <f>IFERROR(__xludf.DUMMYFUNCTION("""COMPUTED_VALUE"""),0.309)</f>
        <v>0.309</v>
      </c>
      <c r="N487" s="4">
        <f>IFERROR(__xludf.DUMMYFUNCTION("""COMPUTED_VALUE"""),0.643)</f>
        <v>0.643</v>
      </c>
      <c r="O487" s="4">
        <f>IFERROR(__xludf.DUMMYFUNCTION("""COMPUTED_VALUE"""),17.4)</f>
        <v>17.4</v>
      </c>
      <c r="P487" s="4">
        <f>IFERROR(__xludf.DUMMYFUNCTION("""COMPUTED_VALUE"""),5.4)</f>
        <v>5.4</v>
      </c>
      <c r="Q487" s="4">
        <f>IFERROR(__xludf.DUMMYFUNCTION("""COMPUTED_VALUE"""),3.7)</f>
        <v>3.7</v>
      </c>
      <c r="R487" s="4">
        <f>IFERROR(__xludf.DUMMYFUNCTION("""COMPUTED_VALUE"""),0.8)</f>
        <v>0.8</v>
      </c>
      <c r="S487" s="4">
        <f>IFERROR(__xludf.DUMMYFUNCTION("""COMPUTED_VALUE"""),1.1)</f>
        <v>1.1</v>
      </c>
      <c r="T487" s="4">
        <f>IFERROR(__xludf.DUMMYFUNCTION("""COMPUTED_VALUE"""),0.03)</f>
        <v>0.03</v>
      </c>
      <c r="U487" s="4">
        <f>IFERROR(__xludf.DUMMYFUNCTION("""COMPUTED_VALUE"""),-3.9)</f>
        <v>-3.9</v>
      </c>
      <c r="V487" s="4">
        <f>IFERROR(__xludf.DUMMYFUNCTION("""COMPUTED_VALUE"""),-0.9)</f>
        <v>-0.9</v>
      </c>
    </row>
    <row r="488">
      <c r="A488" s="4">
        <f>IFERROR(__xludf.DUMMYFUNCTION("""COMPUTED_VALUE"""),23.0)</f>
        <v>23</v>
      </c>
      <c r="B488" s="4">
        <f>IFERROR(__xludf.DUMMYFUNCTION("""COMPUTED_VALUE"""),23.0)</f>
        <v>23</v>
      </c>
      <c r="C488" s="4" t="str">
        <f>IFERROR(__xludf.DUMMYFUNCTION("""COMPUTED_VALUE"""),"IND")</f>
        <v>IND</v>
      </c>
      <c r="D488" s="4" t="str">
        <f>IFERROR(__xludf.DUMMYFUNCTION("""COMPUTED_VALUE"""),"Aaron Holiday")</f>
        <v>Aaron Holiday</v>
      </c>
      <c r="E488" s="4" t="str">
        <f>IFERROR(__xludf.DUMMYFUNCTION("""COMPUTED_VALUE"""),"UCLA")</f>
        <v>UCLA</v>
      </c>
      <c r="F488" s="4">
        <f>IFERROR(__xludf.DUMMYFUNCTION("""COMPUTED_VALUE"""),8.0)</f>
        <v>8</v>
      </c>
      <c r="G488" s="4">
        <f>IFERROR(__xludf.DUMMYFUNCTION("""COMPUTED_VALUE"""),461.0)</f>
        <v>461</v>
      </c>
      <c r="H488" s="4">
        <f>IFERROR(__xludf.DUMMYFUNCTION("""COMPUTED_VALUE"""),7567.0)</f>
        <v>7567</v>
      </c>
      <c r="I488" s="4">
        <f>IFERROR(__xludf.DUMMYFUNCTION("""COMPUTED_VALUE"""),3006.0)</f>
        <v>3006</v>
      </c>
      <c r="J488" s="4">
        <f>IFERROR(__xludf.DUMMYFUNCTION("""COMPUTED_VALUE"""),720.0)</f>
        <v>720</v>
      </c>
      <c r="K488" s="4">
        <f>IFERROR(__xludf.DUMMYFUNCTION("""COMPUTED_VALUE"""),916.0)</f>
        <v>916</v>
      </c>
      <c r="L488" s="4">
        <f>IFERROR(__xludf.DUMMYFUNCTION("""COMPUTED_VALUE"""),0.421)</f>
        <v>0.421</v>
      </c>
      <c r="M488" s="4">
        <f>IFERROR(__xludf.DUMMYFUNCTION("""COMPUTED_VALUE"""),0.384)</f>
        <v>0.384</v>
      </c>
      <c r="N488" s="4">
        <f>IFERROR(__xludf.DUMMYFUNCTION("""COMPUTED_VALUE"""),0.852)</f>
        <v>0.852</v>
      </c>
      <c r="O488" s="4">
        <f>IFERROR(__xludf.DUMMYFUNCTION("""COMPUTED_VALUE"""),16.4)</f>
        <v>16.4</v>
      </c>
      <c r="P488" s="4">
        <f>IFERROR(__xludf.DUMMYFUNCTION("""COMPUTED_VALUE"""),6.5)</f>
        <v>6.5</v>
      </c>
      <c r="Q488" s="4">
        <f>IFERROR(__xludf.DUMMYFUNCTION("""COMPUTED_VALUE"""),1.6)</f>
        <v>1.6</v>
      </c>
      <c r="R488" s="4">
        <f>IFERROR(__xludf.DUMMYFUNCTION("""COMPUTED_VALUE"""),2.0)</f>
        <v>2</v>
      </c>
      <c r="S488" s="4">
        <f>IFERROR(__xludf.DUMMYFUNCTION("""COMPUTED_VALUE"""),10.7)</f>
        <v>10.7</v>
      </c>
      <c r="T488" s="4">
        <f>IFERROR(__xludf.DUMMYFUNCTION("""COMPUTED_VALUE"""),0.068)</f>
        <v>0.068</v>
      </c>
      <c r="U488" s="4">
        <f>IFERROR(__xludf.DUMMYFUNCTION("""COMPUTED_VALUE"""),-1.9)</f>
        <v>-1.9</v>
      </c>
      <c r="V488" s="4">
        <f>IFERROR(__xludf.DUMMYFUNCTION("""COMPUTED_VALUE"""),0.2)</f>
        <v>0.2</v>
      </c>
    </row>
    <row r="489">
      <c r="A489" s="4">
        <f>IFERROR(__xludf.DUMMYFUNCTION("""COMPUTED_VALUE"""),24.0)</f>
        <v>24</v>
      </c>
      <c r="B489" s="4">
        <f>IFERROR(__xludf.DUMMYFUNCTION("""COMPUTED_VALUE"""),24.0)</f>
        <v>24</v>
      </c>
      <c r="C489" s="4" t="str">
        <f>IFERROR(__xludf.DUMMYFUNCTION("""COMPUTED_VALUE"""),"POR")</f>
        <v>POR</v>
      </c>
      <c r="D489" s="4" t="str">
        <f>IFERROR(__xludf.DUMMYFUNCTION("""COMPUTED_VALUE"""),"Anfernee Simons")</f>
        <v>Anfernee Simons</v>
      </c>
      <c r="E489" s="4"/>
      <c r="F489" s="4">
        <f>IFERROR(__xludf.DUMMYFUNCTION("""COMPUTED_VALUE"""),8.0)</f>
        <v>8</v>
      </c>
      <c r="G489" s="4">
        <f>IFERROR(__xludf.DUMMYFUNCTION("""COMPUTED_VALUE"""),410.0)</f>
        <v>410</v>
      </c>
      <c r="H489" s="4">
        <f>IFERROR(__xludf.DUMMYFUNCTION("""COMPUTED_VALUE"""),10924.0)</f>
        <v>10924</v>
      </c>
      <c r="I489" s="4">
        <f>IFERROR(__xludf.DUMMYFUNCTION("""COMPUTED_VALUE"""),6122.0)</f>
        <v>6122</v>
      </c>
      <c r="J489" s="4">
        <f>IFERROR(__xludf.DUMMYFUNCTION("""COMPUTED_VALUE"""),1018.0)</f>
        <v>1018</v>
      </c>
      <c r="K489" s="4">
        <f>IFERROR(__xludf.DUMMYFUNCTION("""COMPUTED_VALUE"""),1319.0)</f>
        <v>1319</v>
      </c>
      <c r="L489" s="4">
        <f>IFERROR(__xludf.DUMMYFUNCTION("""COMPUTED_VALUE"""),0.432)</f>
        <v>0.432</v>
      </c>
      <c r="M489" s="4">
        <f>IFERROR(__xludf.DUMMYFUNCTION("""COMPUTED_VALUE"""),0.382)</f>
        <v>0.382</v>
      </c>
      <c r="N489" s="4">
        <f>IFERROR(__xludf.DUMMYFUNCTION("""COMPUTED_VALUE"""),0.879)</f>
        <v>0.879</v>
      </c>
      <c r="O489" s="4">
        <f>IFERROR(__xludf.DUMMYFUNCTION("""COMPUTED_VALUE"""),26.6)</f>
        <v>26.6</v>
      </c>
      <c r="P489" s="4">
        <f>IFERROR(__xludf.DUMMYFUNCTION("""COMPUTED_VALUE"""),14.9)</f>
        <v>14.9</v>
      </c>
      <c r="Q489" s="4">
        <f>IFERROR(__xludf.DUMMYFUNCTION("""COMPUTED_VALUE"""),2.5)</f>
        <v>2.5</v>
      </c>
      <c r="R489" s="4">
        <f>IFERROR(__xludf.DUMMYFUNCTION("""COMPUTED_VALUE"""),3.2)</f>
        <v>3.2</v>
      </c>
      <c r="S489" s="4">
        <f>IFERROR(__xludf.DUMMYFUNCTION("""COMPUTED_VALUE"""),13.8)</f>
        <v>13.8</v>
      </c>
      <c r="T489" s="4">
        <f>IFERROR(__xludf.DUMMYFUNCTION("""COMPUTED_VALUE"""),0.061)</f>
        <v>0.061</v>
      </c>
      <c r="U489" s="4">
        <f>IFERROR(__xludf.DUMMYFUNCTION("""COMPUTED_VALUE"""),-1.1)</f>
        <v>-1.1</v>
      </c>
      <c r="V489" s="4">
        <f>IFERROR(__xludf.DUMMYFUNCTION("""COMPUTED_VALUE"""),2.5)</f>
        <v>2.5</v>
      </c>
    </row>
    <row r="490">
      <c r="A490" s="4">
        <f>IFERROR(__xludf.DUMMYFUNCTION("""COMPUTED_VALUE"""),25.0)</f>
        <v>25</v>
      </c>
      <c r="B490" s="4">
        <f>IFERROR(__xludf.DUMMYFUNCTION("""COMPUTED_VALUE"""),25.0)</f>
        <v>25</v>
      </c>
      <c r="C490" s="4" t="str">
        <f>IFERROR(__xludf.DUMMYFUNCTION("""COMPUTED_VALUE"""),"LAL")</f>
        <v>LAL</v>
      </c>
      <c r="D490" s="4" t="str">
        <f>IFERROR(__xludf.DUMMYFUNCTION("""COMPUTED_VALUE"""),"Moritz Wagner")</f>
        <v>Moritz Wagner</v>
      </c>
      <c r="E490" s="4" t="str">
        <f>IFERROR(__xludf.DUMMYFUNCTION("""COMPUTED_VALUE"""),"Michigan")</f>
        <v>Michigan</v>
      </c>
      <c r="F490" s="4">
        <f>IFERROR(__xludf.DUMMYFUNCTION("""COMPUTED_VALUE"""),7.0)</f>
        <v>7</v>
      </c>
      <c r="G490" s="4">
        <f>IFERROR(__xludf.DUMMYFUNCTION("""COMPUTED_VALUE"""),363.0)</f>
        <v>363</v>
      </c>
      <c r="H490" s="4">
        <f>IFERROR(__xludf.DUMMYFUNCTION("""COMPUTED_VALUE"""),6051.0)</f>
        <v>6051</v>
      </c>
      <c r="I490" s="4">
        <f>IFERROR(__xludf.DUMMYFUNCTION("""COMPUTED_VALUE"""),3328.0)</f>
        <v>3328</v>
      </c>
      <c r="J490" s="4">
        <f>IFERROR(__xludf.DUMMYFUNCTION("""COMPUTED_VALUE"""),1436.0)</f>
        <v>1436</v>
      </c>
      <c r="K490" s="4">
        <f>IFERROR(__xludf.DUMMYFUNCTION("""COMPUTED_VALUE"""),439.0)</f>
        <v>439</v>
      </c>
      <c r="L490" s="4">
        <f>IFERROR(__xludf.DUMMYFUNCTION("""COMPUTED_VALUE"""),0.525)</f>
        <v>0.525</v>
      </c>
      <c r="M490" s="4">
        <f>IFERROR(__xludf.DUMMYFUNCTION("""COMPUTED_VALUE"""),0.324)</f>
        <v>0.324</v>
      </c>
      <c r="N490" s="4">
        <f>IFERROR(__xludf.DUMMYFUNCTION("""COMPUTED_VALUE"""),0.807)</f>
        <v>0.807</v>
      </c>
      <c r="O490" s="4">
        <f>IFERROR(__xludf.DUMMYFUNCTION("""COMPUTED_VALUE"""),16.7)</f>
        <v>16.7</v>
      </c>
      <c r="P490" s="4">
        <f>IFERROR(__xludf.DUMMYFUNCTION("""COMPUTED_VALUE"""),9.2)</f>
        <v>9.2</v>
      </c>
      <c r="Q490" s="4">
        <f>IFERROR(__xludf.DUMMYFUNCTION("""COMPUTED_VALUE"""),4.0)</f>
        <v>4</v>
      </c>
      <c r="R490" s="4">
        <f>IFERROR(__xludf.DUMMYFUNCTION("""COMPUTED_VALUE"""),1.2)</f>
        <v>1.2</v>
      </c>
      <c r="S490" s="4">
        <f>IFERROR(__xludf.DUMMYFUNCTION("""COMPUTED_VALUE"""),16.9)</f>
        <v>16.9</v>
      </c>
      <c r="T490" s="4">
        <f>IFERROR(__xludf.DUMMYFUNCTION("""COMPUTED_VALUE"""),0.134)</f>
        <v>0.134</v>
      </c>
      <c r="U490" s="4">
        <f>IFERROR(__xludf.DUMMYFUNCTION("""COMPUTED_VALUE"""),0.2)</f>
        <v>0.2</v>
      </c>
      <c r="V490" s="4">
        <f>IFERROR(__xludf.DUMMYFUNCTION("""COMPUTED_VALUE"""),3.4)</f>
        <v>3.4</v>
      </c>
    </row>
    <row r="491">
      <c r="A491" s="4">
        <f>IFERROR(__xludf.DUMMYFUNCTION("""COMPUTED_VALUE"""),26.0)</f>
        <v>26</v>
      </c>
      <c r="B491" s="4">
        <f>IFERROR(__xludf.DUMMYFUNCTION("""COMPUTED_VALUE"""),26.0)</f>
        <v>26</v>
      </c>
      <c r="C491" s="4" t="str">
        <f>IFERROR(__xludf.DUMMYFUNCTION("""COMPUTED_VALUE"""),"PHI")</f>
        <v>PHI</v>
      </c>
      <c r="D491" s="4" t="str">
        <f>IFERROR(__xludf.DUMMYFUNCTION("""COMPUTED_VALUE"""),"Landry Shamet")</f>
        <v>Landry Shamet</v>
      </c>
      <c r="E491" s="4" t="str">
        <f>IFERROR(__xludf.DUMMYFUNCTION("""COMPUTED_VALUE"""),"Wichita State")</f>
        <v>Wichita State</v>
      </c>
      <c r="F491" s="4">
        <f>IFERROR(__xludf.DUMMYFUNCTION("""COMPUTED_VALUE"""),8.0)</f>
        <v>8</v>
      </c>
      <c r="G491" s="4">
        <f>IFERROR(__xludf.DUMMYFUNCTION("""COMPUTED_VALUE"""),413.0)</f>
        <v>413</v>
      </c>
      <c r="H491" s="4">
        <f>IFERROR(__xludf.DUMMYFUNCTION("""COMPUTED_VALUE"""),8703.0)</f>
        <v>8703</v>
      </c>
      <c r="I491" s="4">
        <f>IFERROR(__xludf.DUMMYFUNCTION("""COMPUTED_VALUE"""),3452.0)</f>
        <v>3452</v>
      </c>
      <c r="J491" s="4">
        <f>IFERROR(__xludf.DUMMYFUNCTION("""COMPUTED_VALUE"""),692.0)</f>
        <v>692</v>
      </c>
      <c r="K491" s="4">
        <f>IFERROR(__xludf.DUMMYFUNCTION("""COMPUTED_VALUE"""),615.0)</f>
        <v>615</v>
      </c>
      <c r="L491" s="4">
        <f>IFERROR(__xludf.DUMMYFUNCTION("""COMPUTED_VALUE"""),0.414)</f>
        <v>0.414</v>
      </c>
      <c r="M491" s="4">
        <f>IFERROR(__xludf.DUMMYFUNCTION("""COMPUTED_VALUE"""),0.386)</f>
        <v>0.386</v>
      </c>
      <c r="N491" s="4">
        <f>IFERROR(__xludf.DUMMYFUNCTION("""COMPUTED_VALUE"""),0.83)</f>
        <v>0.83</v>
      </c>
      <c r="O491" s="4">
        <f>IFERROR(__xludf.DUMMYFUNCTION("""COMPUTED_VALUE"""),21.1)</f>
        <v>21.1</v>
      </c>
      <c r="P491" s="4">
        <f>IFERROR(__xludf.DUMMYFUNCTION("""COMPUTED_VALUE"""),8.4)</f>
        <v>8.4</v>
      </c>
      <c r="Q491" s="4">
        <f>IFERROR(__xludf.DUMMYFUNCTION("""COMPUTED_VALUE"""),1.7)</f>
        <v>1.7</v>
      </c>
      <c r="R491" s="4">
        <f>IFERROR(__xludf.DUMMYFUNCTION("""COMPUTED_VALUE"""),1.5)</f>
        <v>1.5</v>
      </c>
      <c r="S491" s="4">
        <f>IFERROR(__xludf.DUMMYFUNCTION("""COMPUTED_VALUE"""),14.0)</f>
        <v>14</v>
      </c>
      <c r="T491" s="4">
        <f>IFERROR(__xludf.DUMMYFUNCTION("""COMPUTED_VALUE"""),0.077)</f>
        <v>0.077</v>
      </c>
      <c r="U491" s="4">
        <f>IFERROR(__xludf.DUMMYFUNCTION("""COMPUTED_VALUE"""),-1.9)</f>
        <v>-1.9</v>
      </c>
      <c r="V491" s="4">
        <f>IFERROR(__xludf.DUMMYFUNCTION("""COMPUTED_VALUE"""),0.1)</f>
        <v>0.1</v>
      </c>
    </row>
    <row r="492">
      <c r="A492" s="4">
        <f>IFERROR(__xludf.DUMMYFUNCTION("""COMPUTED_VALUE"""),27.0)</f>
        <v>27</v>
      </c>
      <c r="B492" s="4">
        <f>IFERROR(__xludf.DUMMYFUNCTION("""COMPUTED_VALUE"""),27.0)</f>
        <v>27</v>
      </c>
      <c r="C492" s="4" t="str">
        <f>IFERROR(__xludf.DUMMYFUNCTION("""COMPUTED_VALUE"""),"BOS")</f>
        <v>BOS</v>
      </c>
      <c r="D492" s="4" t="str">
        <f>IFERROR(__xludf.DUMMYFUNCTION("""COMPUTED_VALUE"""),"Robert Williams")</f>
        <v>Robert Williams</v>
      </c>
      <c r="E492" s="4" t="str">
        <f>IFERROR(__xludf.DUMMYFUNCTION("""COMPUTED_VALUE"""),"Texas A&amp;M")</f>
        <v>Texas A&amp;M</v>
      </c>
      <c r="F492" s="4">
        <f>IFERROR(__xludf.DUMMYFUNCTION("""COMPUTED_VALUE"""),8.0)</f>
        <v>8</v>
      </c>
      <c r="G492" s="4">
        <f>IFERROR(__xludf.DUMMYFUNCTION("""COMPUTED_VALUE"""),249.0)</f>
        <v>249</v>
      </c>
      <c r="H492" s="4">
        <f>IFERROR(__xludf.DUMMYFUNCTION("""COMPUTED_VALUE"""),4954.0)</f>
        <v>4954</v>
      </c>
      <c r="I492" s="4">
        <f>IFERROR(__xludf.DUMMYFUNCTION("""COMPUTED_VALUE"""),1767.0)</f>
        <v>1767</v>
      </c>
      <c r="J492" s="4">
        <f>IFERROR(__xludf.DUMMYFUNCTION("""COMPUTED_VALUE"""),1671.0)</f>
        <v>1671</v>
      </c>
      <c r="K492" s="4">
        <f>IFERROR(__xludf.DUMMYFUNCTION("""COMPUTED_VALUE"""),335.0)</f>
        <v>335</v>
      </c>
      <c r="L492" s="4">
        <f>IFERROR(__xludf.DUMMYFUNCTION("""COMPUTED_VALUE"""),0.721)</f>
        <v>0.721</v>
      </c>
      <c r="M492" s="4">
        <f>IFERROR(__xludf.DUMMYFUNCTION("""COMPUTED_VALUE"""),0.154)</f>
        <v>0.154</v>
      </c>
      <c r="N492" s="4">
        <f>IFERROR(__xludf.DUMMYFUNCTION("""COMPUTED_VALUE"""),0.668)</f>
        <v>0.668</v>
      </c>
      <c r="O492" s="4">
        <f>IFERROR(__xludf.DUMMYFUNCTION("""COMPUTED_VALUE"""),19.9)</f>
        <v>19.9</v>
      </c>
      <c r="P492" s="4">
        <f>IFERROR(__xludf.DUMMYFUNCTION("""COMPUTED_VALUE"""),7.1)</f>
        <v>7.1</v>
      </c>
      <c r="Q492" s="4">
        <f>IFERROR(__xludf.DUMMYFUNCTION("""COMPUTED_VALUE"""),6.7)</f>
        <v>6.7</v>
      </c>
      <c r="R492" s="4">
        <f>IFERROR(__xludf.DUMMYFUNCTION("""COMPUTED_VALUE"""),1.3)</f>
        <v>1.3</v>
      </c>
      <c r="S492" s="4">
        <f>IFERROR(__xludf.DUMMYFUNCTION("""COMPUTED_VALUE"""),24.7)</f>
        <v>24.7</v>
      </c>
      <c r="T492" s="4">
        <f>IFERROR(__xludf.DUMMYFUNCTION("""COMPUTED_VALUE"""),0.239)</f>
        <v>0.239</v>
      </c>
      <c r="U492" s="4">
        <f>IFERROR(__xludf.DUMMYFUNCTION("""COMPUTED_VALUE"""),4.7)</f>
        <v>4.7</v>
      </c>
      <c r="V492" s="4">
        <f>IFERROR(__xludf.DUMMYFUNCTION("""COMPUTED_VALUE"""),8.3)</f>
        <v>8.3</v>
      </c>
    </row>
    <row r="493">
      <c r="A493" s="4">
        <f>IFERROR(__xludf.DUMMYFUNCTION("""COMPUTED_VALUE"""),28.0)</f>
        <v>28</v>
      </c>
      <c r="B493" s="4">
        <f>IFERROR(__xludf.DUMMYFUNCTION("""COMPUTED_VALUE"""),28.0)</f>
        <v>28</v>
      </c>
      <c r="C493" s="4" t="str">
        <f>IFERROR(__xludf.DUMMYFUNCTION("""COMPUTED_VALUE"""),"GSW")</f>
        <v>GSW</v>
      </c>
      <c r="D493" s="4" t="str">
        <f>IFERROR(__xludf.DUMMYFUNCTION("""COMPUTED_VALUE"""),"Jacob Evans")</f>
        <v>Jacob Evans</v>
      </c>
      <c r="E493" s="4" t="str">
        <f>IFERROR(__xludf.DUMMYFUNCTION("""COMPUTED_VALUE"""),"Cincinnati")</f>
        <v>Cincinnati</v>
      </c>
      <c r="F493" s="4">
        <f>IFERROR(__xludf.DUMMYFUNCTION("""COMPUTED_VALUE"""),2.0)</f>
        <v>2</v>
      </c>
      <c r="G493" s="4">
        <f>IFERROR(__xludf.DUMMYFUNCTION("""COMPUTED_VALUE"""),59.0)</f>
        <v>59</v>
      </c>
      <c r="H493" s="4">
        <f>IFERROR(__xludf.DUMMYFUNCTION("""COMPUTED_VALUE"""),622.0)</f>
        <v>622</v>
      </c>
      <c r="I493" s="4">
        <f>IFERROR(__xludf.DUMMYFUNCTION("""COMPUTED_VALUE"""),168.0)</f>
        <v>168</v>
      </c>
      <c r="J493" s="4">
        <f>IFERROR(__xludf.DUMMYFUNCTION("""COMPUTED_VALUE"""),66.0)</f>
        <v>66</v>
      </c>
      <c r="K493" s="4">
        <f>IFERROR(__xludf.DUMMYFUNCTION("""COMPUTED_VALUE"""),54.0)</f>
        <v>54</v>
      </c>
      <c r="L493" s="4">
        <f>IFERROR(__xludf.DUMMYFUNCTION("""COMPUTED_VALUE"""),0.337)</f>
        <v>0.337</v>
      </c>
      <c r="M493" s="4">
        <f>IFERROR(__xludf.DUMMYFUNCTION("""COMPUTED_VALUE"""),0.315)</f>
        <v>0.315</v>
      </c>
      <c r="N493" s="4">
        <f>IFERROR(__xludf.DUMMYFUNCTION("""COMPUTED_VALUE"""),0.833)</f>
        <v>0.833</v>
      </c>
      <c r="O493" s="4">
        <f>IFERROR(__xludf.DUMMYFUNCTION("""COMPUTED_VALUE"""),10.5)</f>
        <v>10.5</v>
      </c>
      <c r="P493" s="4">
        <f>IFERROR(__xludf.DUMMYFUNCTION("""COMPUTED_VALUE"""),2.8)</f>
        <v>2.8</v>
      </c>
      <c r="Q493" s="4">
        <f>IFERROR(__xludf.DUMMYFUNCTION("""COMPUTED_VALUE"""),1.1)</f>
        <v>1.1</v>
      </c>
      <c r="R493" s="4">
        <f>IFERROR(__xludf.DUMMYFUNCTION("""COMPUTED_VALUE"""),0.9)</f>
        <v>0.9</v>
      </c>
      <c r="S493" s="4">
        <f>IFERROR(__xludf.DUMMYFUNCTION("""COMPUTED_VALUE"""),-0.6)</f>
        <v>-0.6</v>
      </c>
      <c r="T493" s="4">
        <f>IFERROR(__xludf.DUMMYFUNCTION("""COMPUTED_VALUE"""),-0.047)</f>
        <v>-0.047</v>
      </c>
      <c r="U493" s="4">
        <f>IFERROR(__xludf.DUMMYFUNCTION("""COMPUTED_VALUE"""),-7.4)</f>
        <v>-7.4</v>
      </c>
      <c r="V493" s="4">
        <f>IFERROR(__xludf.DUMMYFUNCTION("""COMPUTED_VALUE"""),-0.8)</f>
        <v>-0.8</v>
      </c>
    </row>
    <row r="494">
      <c r="A494" s="4">
        <f>IFERROR(__xludf.DUMMYFUNCTION("""COMPUTED_VALUE"""),29.0)</f>
        <v>29</v>
      </c>
      <c r="B494" s="4">
        <f>IFERROR(__xludf.DUMMYFUNCTION("""COMPUTED_VALUE"""),29.0)</f>
        <v>29</v>
      </c>
      <c r="C494" s="4" t="str">
        <f>IFERROR(__xludf.DUMMYFUNCTION("""COMPUTED_VALUE"""),"BRK")</f>
        <v>BRK</v>
      </c>
      <c r="D494" s="4" t="str">
        <f>IFERROR(__xludf.DUMMYFUNCTION("""COMPUTED_VALUE"""),"Džanan Musa")</f>
        <v>Džanan Musa</v>
      </c>
      <c r="E494" s="4"/>
      <c r="F494" s="4">
        <f>IFERROR(__xludf.DUMMYFUNCTION("""COMPUTED_VALUE"""),2.0)</f>
        <v>2</v>
      </c>
      <c r="G494" s="4">
        <f>IFERROR(__xludf.DUMMYFUNCTION("""COMPUTED_VALUE"""),49.0)</f>
        <v>49</v>
      </c>
      <c r="H494" s="4">
        <f>IFERROR(__xludf.DUMMYFUNCTION("""COMPUTED_VALUE"""),526.0)</f>
        <v>526</v>
      </c>
      <c r="I494" s="4">
        <f>IFERROR(__xludf.DUMMYFUNCTION("""COMPUTED_VALUE"""),211.0)</f>
        <v>211</v>
      </c>
      <c r="J494" s="4">
        <f>IFERROR(__xludf.DUMMYFUNCTION("""COMPUTED_VALUE"""),91.0)</f>
        <v>91</v>
      </c>
      <c r="K494" s="4">
        <f>IFERROR(__xludf.DUMMYFUNCTION("""COMPUTED_VALUE"""),45.0)</f>
        <v>45</v>
      </c>
      <c r="L494" s="4">
        <f>IFERROR(__xludf.DUMMYFUNCTION("""COMPUTED_VALUE"""),0.376)</f>
        <v>0.376</v>
      </c>
      <c r="M494" s="4">
        <f>IFERROR(__xludf.DUMMYFUNCTION("""COMPUTED_VALUE"""),0.227)</f>
        <v>0.227</v>
      </c>
      <c r="N494" s="4">
        <f>IFERROR(__xludf.DUMMYFUNCTION("""COMPUTED_VALUE"""),0.726)</f>
        <v>0.726</v>
      </c>
      <c r="O494" s="4">
        <f>IFERROR(__xludf.DUMMYFUNCTION("""COMPUTED_VALUE"""),10.7)</f>
        <v>10.7</v>
      </c>
      <c r="P494" s="4">
        <f>IFERROR(__xludf.DUMMYFUNCTION("""COMPUTED_VALUE"""),4.3)</f>
        <v>4.3</v>
      </c>
      <c r="Q494" s="4">
        <f>IFERROR(__xludf.DUMMYFUNCTION("""COMPUTED_VALUE"""),1.9)</f>
        <v>1.9</v>
      </c>
      <c r="R494" s="4">
        <f>IFERROR(__xludf.DUMMYFUNCTION("""COMPUTED_VALUE"""),0.9)</f>
        <v>0.9</v>
      </c>
      <c r="S494" s="4">
        <f>IFERROR(__xludf.DUMMYFUNCTION("""COMPUTED_VALUE"""),0.0)</f>
        <v>0</v>
      </c>
      <c r="T494" s="4">
        <f>IFERROR(__xludf.DUMMYFUNCTION("""COMPUTED_VALUE"""),0.003)</f>
        <v>0.003</v>
      </c>
      <c r="U494" s="4">
        <f>IFERROR(__xludf.DUMMYFUNCTION("""COMPUTED_VALUE"""),-4.6)</f>
        <v>-4.6</v>
      </c>
      <c r="V494" s="4">
        <f>IFERROR(__xludf.DUMMYFUNCTION("""COMPUTED_VALUE"""),-0.4)</f>
        <v>-0.4</v>
      </c>
    </row>
    <row r="495">
      <c r="A495" s="4">
        <f>IFERROR(__xludf.DUMMYFUNCTION("""COMPUTED_VALUE"""),30.0)</f>
        <v>30</v>
      </c>
      <c r="B495" s="4">
        <f>IFERROR(__xludf.DUMMYFUNCTION("""COMPUTED_VALUE"""),30.0)</f>
        <v>30</v>
      </c>
      <c r="C495" s="4" t="str">
        <f>IFERROR(__xludf.DUMMYFUNCTION("""COMPUTED_VALUE"""),"ATL")</f>
        <v>ATL</v>
      </c>
      <c r="D495" s="4" t="str">
        <f>IFERROR(__xludf.DUMMYFUNCTION("""COMPUTED_VALUE"""),"Omari Spellman")</f>
        <v>Omari Spellman</v>
      </c>
      <c r="E495" s="4" t="str">
        <f>IFERROR(__xludf.DUMMYFUNCTION("""COMPUTED_VALUE"""),"Villanova")</f>
        <v>Villanova</v>
      </c>
      <c r="F495" s="4">
        <f>IFERROR(__xludf.DUMMYFUNCTION("""COMPUTED_VALUE"""),2.0)</f>
        <v>2</v>
      </c>
      <c r="G495" s="4">
        <f>IFERROR(__xludf.DUMMYFUNCTION("""COMPUTED_VALUE"""),95.0)</f>
        <v>95</v>
      </c>
      <c r="H495" s="4">
        <f>IFERROR(__xludf.DUMMYFUNCTION("""COMPUTED_VALUE"""),1691.0)</f>
        <v>1691</v>
      </c>
      <c r="I495" s="4">
        <f>IFERROR(__xludf.DUMMYFUNCTION("""COMPUTED_VALUE"""),642.0)</f>
        <v>642</v>
      </c>
      <c r="J495" s="4">
        <f>IFERROR(__xludf.DUMMYFUNCTION("""COMPUTED_VALUE"""),413.0)</f>
        <v>413</v>
      </c>
      <c r="K495" s="4">
        <f>IFERROR(__xludf.DUMMYFUNCTION("""COMPUTED_VALUE"""),94.0)</f>
        <v>94</v>
      </c>
      <c r="L495" s="4">
        <f>IFERROR(__xludf.DUMMYFUNCTION("""COMPUTED_VALUE"""),0.417)</f>
        <v>0.417</v>
      </c>
      <c r="M495" s="4">
        <f>IFERROR(__xludf.DUMMYFUNCTION("""COMPUTED_VALUE"""),0.366)</f>
        <v>0.366</v>
      </c>
      <c r="N495" s="4">
        <f>IFERROR(__xludf.DUMMYFUNCTION("""COMPUTED_VALUE"""),0.766)</f>
        <v>0.766</v>
      </c>
      <c r="O495" s="4">
        <f>IFERROR(__xludf.DUMMYFUNCTION("""COMPUTED_VALUE"""),17.8)</f>
        <v>17.8</v>
      </c>
      <c r="P495" s="4">
        <f>IFERROR(__xludf.DUMMYFUNCTION("""COMPUTED_VALUE"""),6.8)</f>
        <v>6.8</v>
      </c>
      <c r="Q495" s="4">
        <f>IFERROR(__xludf.DUMMYFUNCTION("""COMPUTED_VALUE"""),4.3)</f>
        <v>4.3</v>
      </c>
      <c r="R495" s="4">
        <f>IFERROR(__xludf.DUMMYFUNCTION("""COMPUTED_VALUE"""),1.0)</f>
        <v>1</v>
      </c>
      <c r="S495" s="4">
        <f>IFERROR(__xludf.DUMMYFUNCTION("""COMPUTED_VALUE"""),2.4)</f>
        <v>2.4</v>
      </c>
      <c r="T495" s="4">
        <f>IFERROR(__xludf.DUMMYFUNCTION("""COMPUTED_VALUE"""),0.068)</f>
        <v>0.068</v>
      </c>
      <c r="U495" s="4">
        <f>IFERROR(__xludf.DUMMYFUNCTION("""COMPUTED_VALUE"""),-1.5)</f>
        <v>-1.5</v>
      </c>
      <c r="V495" s="4">
        <f>IFERROR(__xludf.DUMMYFUNCTION("""COMPUTED_VALUE"""),0.2)</f>
        <v>0.2</v>
      </c>
    </row>
    <row r="496">
      <c r="A496" s="4"/>
      <c r="B496" s="4"/>
      <c r="C496" s="4"/>
      <c r="D496" s="4" t="str">
        <f>IFERROR(__xludf.DUMMYFUNCTION("""COMPUTED_VALUE"""),"Round 2")</f>
        <v>Round 2</v>
      </c>
      <c r="E496" s="4"/>
      <c r="F496" s="4"/>
      <c r="G496" s="4" t="str">
        <f>IFERROR(__xludf.DUMMYFUNCTION("""COMPUTED_VALUE"""),"Totals")</f>
        <v>Totals</v>
      </c>
      <c r="H496" s="4"/>
      <c r="I496" s="4"/>
      <c r="J496" s="4"/>
      <c r="K496" s="4"/>
      <c r="L496" s="4" t="str">
        <f>IFERROR(__xludf.DUMMYFUNCTION("""COMPUTED_VALUE"""),"Shooting")</f>
        <v>Shooting</v>
      </c>
      <c r="M496" s="4"/>
      <c r="N496" s="4"/>
      <c r="O496" s="4" t="str">
        <f>IFERROR(__xludf.DUMMYFUNCTION("""COMPUTED_VALUE"""),"Per Game")</f>
        <v>Per Game</v>
      </c>
      <c r="P496" s="4"/>
      <c r="Q496" s="4"/>
      <c r="R496" s="4"/>
      <c r="S496" s="4" t="str">
        <f>IFERROR(__xludf.DUMMYFUNCTION("""COMPUTED_VALUE"""),"Advanced")</f>
        <v>Advanced</v>
      </c>
      <c r="T496" s="4"/>
      <c r="U496" s="4"/>
      <c r="V496" s="4"/>
    </row>
    <row r="497">
      <c r="A497" s="4" t="str">
        <f>IFERROR(__xludf.DUMMYFUNCTION("""COMPUTED_VALUE"""),"Rk")</f>
        <v>Rk</v>
      </c>
      <c r="B497" s="4" t="str">
        <f>IFERROR(__xludf.DUMMYFUNCTION("""COMPUTED_VALUE"""),"Pk")</f>
        <v>Pk</v>
      </c>
      <c r="C497" s="4" t="str">
        <f>IFERROR(__xludf.DUMMYFUNCTION("""COMPUTED_VALUE"""),"Tm")</f>
        <v>Tm</v>
      </c>
      <c r="D497" s="4" t="str">
        <f>IFERROR(__xludf.DUMMYFUNCTION("""COMPUTED_VALUE"""),"Player")</f>
        <v>Player</v>
      </c>
      <c r="E497" s="4" t="str">
        <f>IFERROR(__xludf.DUMMYFUNCTION("""COMPUTED_VALUE"""),"College")</f>
        <v>College</v>
      </c>
      <c r="F497" s="4" t="str">
        <f>IFERROR(__xludf.DUMMYFUNCTION("""COMPUTED_VALUE"""),"Yrs")</f>
        <v>Yrs</v>
      </c>
      <c r="G497" s="4" t="str">
        <f>IFERROR(__xludf.DUMMYFUNCTION("""COMPUTED_VALUE"""),"G")</f>
        <v>G</v>
      </c>
      <c r="H497" s="4" t="str">
        <f>IFERROR(__xludf.DUMMYFUNCTION("""COMPUTED_VALUE"""),"MP")</f>
        <v>MP</v>
      </c>
      <c r="I497" s="4" t="str">
        <f>IFERROR(__xludf.DUMMYFUNCTION("""COMPUTED_VALUE"""),"PTS")</f>
        <v>PTS</v>
      </c>
      <c r="J497" s="4" t="str">
        <f>IFERROR(__xludf.DUMMYFUNCTION("""COMPUTED_VALUE"""),"TRB")</f>
        <v>TRB</v>
      </c>
      <c r="K497" s="4" t="str">
        <f>IFERROR(__xludf.DUMMYFUNCTION("""COMPUTED_VALUE"""),"AST")</f>
        <v>AST</v>
      </c>
      <c r="L497" s="4" t="str">
        <f>IFERROR(__xludf.DUMMYFUNCTION("""COMPUTED_VALUE"""),"FG%")</f>
        <v>FG%</v>
      </c>
      <c r="M497" s="4" t="str">
        <f>IFERROR(__xludf.DUMMYFUNCTION("""COMPUTED_VALUE"""),"3P%")</f>
        <v>3P%</v>
      </c>
      <c r="N497" s="4" t="str">
        <f>IFERROR(__xludf.DUMMYFUNCTION("""COMPUTED_VALUE"""),"FT%")</f>
        <v>FT%</v>
      </c>
      <c r="O497" s="4" t="str">
        <f>IFERROR(__xludf.DUMMYFUNCTION("""COMPUTED_VALUE"""),"MP")</f>
        <v>MP</v>
      </c>
      <c r="P497" s="4" t="str">
        <f>IFERROR(__xludf.DUMMYFUNCTION("""COMPUTED_VALUE"""),"PTS")</f>
        <v>PTS</v>
      </c>
      <c r="Q497" s="4" t="str">
        <f>IFERROR(__xludf.DUMMYFUNCTION("""COMPUTED_VALUE"""),"TRB")</f>
        <v>TRB</v>
      </c>
      <c r="R497" s="4" t="str">
        <f>IFERROR(__xludf.DUMMYFUNCTION("""COMPUTED_VALUE"""),"AST")</f>
        <v>AST</v>
      </c>
      <c r="S497" s="4" t="str">
        <f>IFERROR(__xludf.DUMMYFUNCTION("""COMPUTED_VALUE"""),"WS")</f>
        <v>WS</v>
      </c>
      <c r="T497" s="4" t="str">
        <f>IFERROR(__xludf.DUMMYFUNCTION("""COMPUTED_VALUE"""),"WS/48")</f>
        <v>WS/48</v>
      </c>
      <c r="U497" s="4" t="str">
        <f>IFERROR(__xludf.DUMMYFUNCTION("""COMPUTED_VALUE"""),"BPM")</f>
        <v>BPM</v>
      </c>
      <c r="V497" s="4" t="str">
        <f>IFERROR(__xludf.DUMMYFUNCTION("""COMPUTED_VALUE"""),"VORP")</f>
        <v>VORP</v>
      </c>
    </row>
    <row r="498">
      <c r="A498" s="4">
        <f>IFERROR(__xludf.DUMMYFUNCTION("""COMPUTED_VALUE"""),31.0)</f>
        <v>31</v>
      </c>
      <c r="B498" s="4">
        <f>IFERROR(__xludf.DUMMYFUNCTION("""COMPUTED_VALUE"""),31.0)</f>
        <v>31</v>
      </c>
      <c r="C498" s="4" t="str">
        <f>IFERROR(__xludf.DUMMYFUNCTION("""COMPUTED_VALUE"""),"PHO")</f>
        <v>PHO</v>
      </c>
      <c r="D498" s="4" t="str">
        <f>IFERROR(__xludf.DUMMYFUNCTION("""COMPUTED_VALUE"""),"Elie Okobo")</f>
        <v>Elie Okobo</v>
      </c>
      <c r="E498" s="4"/>
      <c r="F498" s="4">
        <f>IFERROR(__xludf.DUMMYFUNCTION("""COMPUTED_VALUE"""),2.0)</f>
        <v>2</v>
      </c>
      <c r="G498" s="4">
        <f>IFERROR(__xludf.DUMMYFUNCTION("""COMPUTED_VALUE"""),108.0)</f>
        <v>108</v>
      </c>
      <c r="H498" s="4">
        <f>IFERROR(__xludf.DUMMYFUNCTION("""COMPUTED_VALUE"""),1677.0)</f>
        <v>1677</v>
      </c>
      <c r="I498" s="4">
        <f>IFERROR(__xludf.DUMMYFUNCTION("""COMPUTED_VALUE"""),523.0)</f>
        <v>523</v>
      </c>
      <c r="J498" s="4">
        <f>IFERROR(__xludf.DUMMYFUNCTION("""COMPUTED_VALUE"""),188.0)</f>
        <v>188</v>
      </c>
      <c r="K498" s="4">
        <f>IFERROR(__xludf.DUMMYFUNCTION("""COMPUTED_VALUE"""),242.0)</f>
        <v>242</v>
      </c>
      <c r="L498" s="4">
        <f>IFERROR(__xludf.DUMMYFUNCTION("""COMPUTED_VALUE"""),0.395)</f>
        <v>0.395</v>
      </c>
      <c r="M498" s="4">
        <f>IFERROR(__xludf.DUMMYFUNCTION("""COMPUTED_VALUE"""),0.315)</f>
        <v>0.315</v>
      </c>
      <c r="N498" s="4">
        <f>IFERROR(__xludf.DUMMYFUNCTION("""COMPUTED_VALUE"""),0.737)</f>
        <v>0.737</v>
      </c>
      <c r="O498" s="4">
        <f>IFERROR(__xludf.DUMMYFUNCTION("""COMPUTED_VALUE"""),15.5)</f>
        <v>15.5</v>
      </c>
      <c r="P498" s="4">
        <f>IFERROR(__xludf.DUMMYFUNCTION("""COMPUTED_VALUE"""),4.8)</f>
        <v>4.8</v>
      </c>
      <c r="Q498" s="4">
        <f>IFERROR(__xludf.DUMMYFUNCTION("""COMPUTED_VALUE"""),1.7)</f>
        <v>1.7</v>
      </c>
      <c r="R498" s="4">
        <f>IFERROR(__xludf.DUMMYFUNCTION("""COMPUTED_VALUE"""),2.2)</f>
        <v>2.2</v>
      </c>
      <c r="S498" s="4">
        <f>IFERROR(__xludf.DUMMYFUNCTION("""COMPUTED_VALUE"""),0.5)</f>
        <v>0.5</v>
      </c>
      <c r="T498" s="4">
        <f>IFERROR(__xludf.DUMMYFUNCTION("""COMPUTED_VALUE"""),0.014)</f>
        <v>0.014</v>
      </c>
      <c r="U498" s="4">
        <f>IFERROR(__xludf.DUMMYFUNCTION("""COMPUTED_VALUE"""),-4.1)</f>
        <v>-4.1</v>
      </c>
      <c r="V498" s="4">
        <f>IFERROR(__xludf.DUMMYFUNCTION("""COMPUTED_VALUE"""),-0.9)</f>
        <v>-0.9</v>
      </c>
    </row>
    <row r="499">
      <c r="A499" s="4">
        <f>IFERROR(__xludf.DUMMYFUNCTION("""COMPUTED_VALUE"""),32.0)</f>
        <v>32</v>
      </c>
      <c r="B499" s="4">
        <f>IFERROR(__xludf.DUMMYFUNCTION("""COMPUTED_VALUE"""),32.0)</f>
        <v>32</v>
      </c>
      <c r="C499" s="4" t="str">
        <f>IFERROR(__xludf.DUMMYFUNCTION("""COMPUTED_VALUE"""),"MEM")</f>
        <v>MEM</v>
      </c>
      <c r="D499" s="4" t="str">
        <f>IFERROR(__xludf.DUMMYFUNCTION("""COMPUTED_VALUE"""),"Jevon Carter")</f>
        <v>Jevon Carter</v>
      </c>
      <c r="E499" s="4" t="str">
        <f>IFERROR(__xludf.DUMMYFUNCTION("""COMPUTED_VALUE"""),"West Virginia")</f>
        <v>West Virginia</v>
      </c>
      <c r="F499" s="4">
        <f>IFERROR(__xludf.DUMMYFUNCTION("""COMPUTED_VALUE"""),8.0)</f>
        <v>8</v>
      </c>
      <c r="G499" s="4">
        <f>IFERROR(__xludf.DUMMYFUNCTION("""COMPUTED_VALUE"""),423.0)</f>
        <v>423</v>
      </c>
      <c r="H499" s="4">
        <f>IFERROR(__xludf.DUMMYFUNCTION("""COMPUTED_VALUE"""),6418.0)</f>
        <v>6418</v>
      </c>
      <c r="I499" s="4">
        <f>IFERROR(__xludf.DUMMYFUNCTION("""COMPUTED_VALUE"""),2208.0)</f>
        <v>2208</v>
      </c>
      <c r="J499" s="4">
        <f>IFERROR(__xludf.DUMMYFUNCTION("""COMPUTED_VALUE"""),700.0)</f>
        <v>700</v>
      </c>
      <c r="K499" s="4">
        <f>IFERROR(__xludf.DUMMYFUNCTION("""COMPUTED_VALUE"""),664.0)</f>
        <v>664</v>
      </c>
      <c r="L499" s="4">
        <f>IFERROR(__xludf.DUMMYFUNCTION("""COMPUTED_VALUE"""),0.395)</f>
        <v>0.395</v>
      </c>
      <c r="M499" s="4">
        <f>IFERROR(__xludf.DUMMYFUNCTION("""COMPUTED_VALUE"""),0.381)</f>
        <v>0.381</v>
      </c>
      <c r="N499" s="4">
        <f>IFERROR(__xludf.DUMMYFUNCTION("""COMPUTED_VALUE"""),0.807)</f>
        <v>0.807</v>
      </c>
      <c r="O499" s="4">
        <f>IFERROR(__xludf.DUMMYFUNCTION("""COMPUTED_VALUE"""),15.2)</f>
        <v>15.2</v>
      </c>
      <c r="P499" s="4">
        <f>IFERROR(__xludf.DUMMYFUNCTION("""COMPUTED_VALUE"""),5.2)</f>
        <v>5.2</v>
      </c>
      <c r="Q499" s="4">
        <f>IFERROR(__xludf.DUMMYFUNCTION("""COMPUTED_VALUE"""),1.7)</f>
        <v>1.7</v>
      </c>
      <c r="R499" s="4">
        <f>IFERROR(__xludf.DUMMYFUNCTION("""COMPUTED_VALUE"""),1.6)</f>
        <v>1.6</v>
      </c>
      <c r="S499" s="4">
        <f>IFERROR(__xludf.DUMMYFUNCTION("""COMPUTED_VALUE"""),8.7)</f>
        <v>8.7</v>
      </c>
      <c r="T499" s="4">
        <f>IFERROR(__xludf.DUMMYFUNCTION("""COMPUTED_VALUE"""),0.065)</f>
        <v>0.065</v>
      </c>
      <c r="U499" s="4">
        <f>IFERROR(__xludf.DUMMYFUNCTION("""COMPUTED_VALUE"""),-1.5)</f>
        <v>-1.5</v>
      </c>
      <c r="V499" s="4">
        <f>IFERROR(__xludf.DUMMYFUNCTION("""COMPUTED_VALUE"""),0.8)</f>
        <v>0.8</v>
      </c>
    </row>
    <row r="500">
      <c r="A500" s="4">
        <f>IFERROR(__xludf.DUMMYFUNCTION("""COMPUTED_VALUE"""),33.0)</f>
        <v>33</v>
      </c>
      <c r="B500" s="4">
        <f>IFERROR(__xludf.DUMMYFUNCTION("""COMPUTED_VALUE"""),33.0)</f>
        <v>33</v>
      </c>
      <c r="C500" s="4" t="str">
        <f>IFERROR(__xludf.DUMMYFUNCTION("""COMPUTED_VALUE"""),"DAL")</f>
        <v>DAL</v>
      </c>
      <c r="D500" s="4" t="str">
        <f>IFERROR(__xludf.DUMMYFUNCTION("""COMPUTED_VALUE"""),"Jalen Brunson")</f>
        <v>Jalen Brunson</v>
      </c>
      <c r="E500" s="4" t="str">
        <f>IFERROR(__xludf.DUMMYFUNCTION("""COMPUTED_VALUE"""),"Villanova")</f>
        <v>Villanova</v>
      </c>
      <c r="F500" s="4">
        <f>IFERROR(__xludf.DUMMYFUNCTION("""COMPUTED_VALUE"""),8.0)</f>
        <v>8</v>
      </c>
      <c r="G500" s="4">
        <f>IFERROR(__xludf.DUMMYFUNCTION("""COMPUTED_VALUE"""),505.0)</f>
        <v>505</v>
      </c>
      <c r="H500" s="4">
        <f>IFERROR(__xludf.DUMMYFUNCTION("""COMPUTED_VALUE"""),14864.0)</f>
        <v>14864</v>
      </c>
      <c r="I500" s="4">
        <f>IFERROR(__xludf.DUMMYFUNCTION("""COMPUTED_VALUE"""),9320.0)</f>
        <v>9320</v>
      </c>
      <c r="J500" s="4">
        <f>IFERROR(__xludf.DUMMYFUNCTION("""COMPUTED_VALUE"""),1608.0)</f>
        <v>1608</v>
      </c>
      <c r="K500" s="4">
        <f>IFERROR(__xludf.DUMMYFUNCTION("""COMPUTED_VALUE"""),2566.0)</f>
        <v>2566</v>
      </c>
      <c r="L500" s="4">
        <f>IFERROR(__xludf.DUMMYFUNCTION("""COMPUTED_VALUE"""),0.488)</f>
        <v>0.488</v>
      </c>
      <c r="M500" s="4">
        <f>IFERROR(__xludf.DUMMYFUNCTION("""COMPUTED_VALUE"""),0.387)</f>
        <v>0.387</v>
      </c>
      <c r="N500" s="4">
        <f>IFERROR(__xludf.DUMMYFUNCTION("""COMPUTED_VALUE"""),0.825)</f>
        <v>0.825</v>
      </c>
      <c r="O500" s="4">
        <f>IFERROR(__xludf.DUMMYFUNCTION("""COMPUTED_VALUE"""),29.4)</f>
        <v>29.4</v>
      </c>
      <c r="P500" s="4">
        <f>IFERROR(__xludf.DUMMYFUNCTION("""COMPUTED_VALUE"""),18.5)</f>
        <v>18.5</v>
      </c>
      <c r="Q500" s="4">
        <f>IFERROR(__xludf.DUMMYFUNCTION("""COMPUTED_VALUE"""),3.2)</f>
        <v>3.2</v>
      </c>
      <c r="R500" s="4">
        <f>IFERROR(__xludf.DUMMYFUNCTION("""COMPUTED_VALUE"""),5.1)</f>
        <v>5.1</v>
      </c>
      <c r="S500" s="4">
        <f>IFERROR(__xludf.DUMMYFUNCTION("""COMPUTED_VALUE"""),47.5)</f>
        <v>47.5</v>
      </c>
      <c r="T500" s="4">
        <f>IFERROR(__xludf.DUMMYFUNCTION("""COMPUTED_VALUE"""),0.154)</f>
        <v>0.154</v>
      </c>
      <c r="U500" s="4">
        <f>IFERROR(__xludf.DUMMYFUNCTION("""COMPUTED_VALUE"""),2.3)</f>
        <v>2.3</v>
      </c>
      <c r="V500" s="4">
        <f>IFERROR(__xludf.DUMMYFUNCTION("""COMPUTED_VALUE"""),16.2)</f>
        <v>16.2</v>
      </c>
    </row>
    <row r="501">
      <c r="A501" s="4">
        <f>IFERROR(__xludf.DUMMYFUNCTION("""COMPUTED_VALUE"""),34.0)</f>
        <v>34</v>
      </c>
      <c r="B501" s="4">
        <f>IFERROR(__xludf.DUMMYFUNCTION("""COMPUTED_VALUE"""),34.0)</f>
        <v>34</v>
      </c>
      <c r="C501" s="4" t="str">
        <f>IFERROR(__xludf.DUMMYFUNCTION("""COMPUTED_VALUE"""),"ATL")</f>
        <v>ATL</v>
      </c>
      <c r="D501" s="4" t="str">
        <f>IFERROR(__xludf.DUMMYFUNCTION("""COMPUTED_VALUE"""),"Devonte' Graham")</f>
        <v>Devonte' Graham</v>
      </c>
      <c r="E501" s="4" t="str">
        <f>IFERROR(__xludf.DUMMYFUNCTION("""COMPUTED_VALUE"""),"Kansas")</f>
        <v>Kansas</v>
      </c>
      <c r="F501" s="4">
        <f>IFERROR(__xludf.DUMMYFUNCTION("""COMPUTED_VALUE"""),6.0)</f>
        <v>6</v>
      </c>
      <c r="G501" s="4">
        <f>IFERROR(__xludf.DUMMYFUNCTION("""COMPUTED_VALUE"""),336.0)</f>
        <v>336</v>
      </c>
      <c r="H501" s="4">
        <f>IFERROR(__xludf.DUMMYFUNCTION("""COMPUTED_VALUE"""),8359.0)</f>
        <v>8359</v>
      </c>
      <c r="I501" s="4">
        <f>IFERROR(__xludf.DUMMYFUNCTION("""COMPUTED_VALUE"""),3733.0)</f>
        <v>3733</v>
      </c>
      <c r="J501" s="4">
        <f>IFERROR(__xludf.DUMMYFUNCTION("""COMPUTED_VALUE"""),758.0)</f>
        <v>758</v>
      </c>
      <c r="K501" s="4">
        <f>IFERROR(__xludf.DUMMYFUNCTION("""COMPUTED_VALUE"""),1448.0)</f>
        <v>1448</v>
      </c>
      <c r="L501" s="4">
        <f>IFERROR(__xludf.DUMMYFUNCTION("""COMPUTED_VALUE"""),0.371)</f>
        <v>0.371</v>
      </c>
      <c r="M501" s="4">
        <f>IFERROR(__xludf.DUMMYFUNCTION("""COMPUTED_VALUE"""),0.354)</f>
        <v>0.354</v>
      </c>
      <c r="N501" s="4">
        <f>IFERROR(__xludf.DUMMYFUNCTION("""COMPUTED_VALUE"""),0.812)</f>
        <v>0.812</v>
      </c>
      <c r="O501" s="4">
        <f>IFERROR(__xludf.DUMMYFUNCTION("""COMPUTED_VALUE"""),24.9)</f>
        <v>24.9</v>
      </c>
      <c r="P501" s="4">
        <f>IFERROR(__xludf.DUMMYFUNCTION("""COMPUTED_VALUE"""),11.1)</f>
        <v>11.1</v>
      </c>
      <c r="Q501" s="4">
        <f>IFERROR(__xludf.DUMMYFUNCTION("""COMPUTED_VALUE"""),2.3)</f>
        <v>2.3</v>
      </c>
      <c r="R501" s="4">
        <f>IFERROR(__xludf.DUMMYFUNCTION("""COMPUTED_VALUE"""),4.3)</f>
        <v>4.3</v>
      </c>
      <c r="S501" s="4">
        <f>IFERROR(__xludf.DUMMYFUNCTION("""COMPUTED_VALUE"""),12.7)</f>
        <v>12.7</v>
      </c>
      <c r="T501" s="4">
        <f>IFERROR(__xludf.DUMMYFUNCTION("""COMPUTED_VALUE"""),0.073)</f>
        <v>0.073</v>
      </c>
      <c r="U501" s="4">
        <f>IFERROR(__xludf.DUMMYFUNCTION("""COMPUTED_VALUE"""),-0.5)</f>
        <v>-0.5</v>
      </c>
      <c r="V501" s="4">
        <f>IFERROR(__xludf.DUMMYFUNCTION("""COMPUTED_VALUE"""),3.2)</f>
        <v>3.2</v>
      </c>
    </row>
    <row r="502">
      <c r="A502" s="4">
        <f>IFERROR(__xludf.DUMMYFUNCTION("""COMPUTED_VALUE"""),35.0)</f>
        <v>35</v>
      </c>
      <c r="B502" s="4">
        <f>IFERROR(__xludf.DUMMYFUNCTION("""COMPUTED_VALUE"""),35.0)</f>
        <v>35</v>
      </c>
      <c r="C502" s="4" t="str">
        <f>IFERROR(__xludf.DUMMYFUNCTION("""COMPUTED_VALUE"""),"ORL")</f>
        <v>ORL</v>
      </c>
      <c r="D502" s="4" t="str">
        <f>IFERROR(__xludf.DUMMYFUNCTION("""COMPUTED_VALUE"""),"Melvin Frazier")</f>
        <v>Melvin Frazier</v>
      </c>
      <c r="E502" s="4" t="str">
        <f>IFERROR(__xludf.DUMMYFUNCTION("""COMPUTED_VALUE"""),"Tulane")</f>
        <v>Tulane</v>
      </c>
      <c r="F502" s="4">
        <f>IFERROR(__xludf.DUMMYFUNCTION("""COMPUTED_VALUE"""),3.0)</f>
        <v>3</v>
      </c>
      <c r="G502" s="4">
        <f>IFERROR(__xludf.DUMMYFUNCTION("""COMPUTED_VALUE"""),32.0)</f>
        <v>32</v>
      </c>
      <c r="H502" s="4">
        <f>IFERROR(__xludf.DUMMYFUNCTION("""COMPUTED_VALUE"""),290.0)</f>
        <v>290</v>
      </c>
      <c r="I502" s="4">
        <f>IFERROR(__xludf.DUMMYFUNCTION("""COMPUTED_VALUE"""),87.0)</f>
        <v>87</v>
      </c>
      <c r="J502" s="4">
        <f>IFERROR(__xludf.DUMMYFUNCTION("""COMPUTED_VALUE"""),28.0)</f>
        <v>28</v>
      </c>
      <c r="K502" s="4">
        <f>IFERROR(__xludf.DUMMYFUNCTION("""COMPUTED_VALUE"""),5.0)</f>
        <v>5</v>
      </c>
      <c r="L502" s="4">
        <f>IFERROR(__xludf.DUMMYFUNCTION("""COMPUTED_VALUE"""),0.34)</f>
        <v>0.34</v>
      </c>
      <c r="M502" s="4">
        <f>IFERROR(__xludf.DUMMYFUNCTION("""COMPUTED_VALUE"""),0.209)</f>
        <v>0.209</v>
      </c>
      <c r="N502" s="4">
        <f>IFERROR(__xludf.DUMMYFUNCTION("""COMPUTED_VALUE"""),0.533)</f>
        <v>0.533</v>
      </c>
      <c r="O502" s="4">
        <f>IFERROR(__xludf.DUMMYFUNCTION("""COMPUTED_VALUE"""),9.1)</f>
        <v>9.1</v>
      </c>
      <c r="P502" s="4">
        <f>IFERROR(__xludf.DUMMYFUNCTION("""COMPUTED_VALUE"""),2.7)</f>
        <v>2.7</v>
      </c>
      <c r="Q502" s="4">
        <f>IFERROR(__xludf.DUMMYFUNCTION("""COMPUTED_VALUE"""),0.9)</f>
        <v>0.9</v>
      </c>
      <c r="R502" s="4">
        <f>IFERROR(__xludf.DUMMYFUNCTION("""COMPUTED_VALUE"""),0.2)</f>
        <v>0.2</v>
      </c>
      <c r="S502" s="4">
        <f>IFERROR(__xludf.DUMMYFUNCTION("""COMPUTED_VALUE"""),-0.4)</f>
        <v>-0.4</v>
      </c>
      <c r="T502" s="4">
        <f>IFERROR(__xludf.DUMMYFUNCTION("""COMPUTED_VALUE"""),-0.062)</f>
        <v>-0.062</v>
      </c>
      <c r="U502" s="4">
        <f>IFERROR(__xludf.DUMMYFUNCTION("""COMPUTED_VALUE"""),-10.0)</f>
        <v>-10</v>
      </c>
      <c r="V502" s="4">
        <f>IFERROR(__xludf.DUMMYFUNCTION("""COMPUTED_VALUE"""),-0.6)</f>
        <v>-0.6</v>
      </c>
    </row>
    <row r="503">
      <c r="A503" s="4">
        <f>IFERROR(__xludf.DUMMYFUNCTION("""COMPUTED_VALUE"""),36.0)</f>
        <v>36</v>
      </c>
      <c r="B503" s="4">
        <f>IFERROR(__xludf.DUMMYFUNCTION("""COMPUTED_VALUE"""),36.0)</f>
        <v>36</v>
      </c>
      <c r="C503" s="4" t="str">
        <f>IFERROR(__xludf.DUMMYFUNCTION("""COMPUTED_VALUE"""),"NYK")</f>
        <v>NYK</v>
      </c>
      <c r="D503" s="4" t="str">
        <f>IFERROR(__xludf.DUMMYFUNCTION("""COMPUTED_VALUE"""),"Mitchell Robinson")</f>
        <v>Mitchell Robinson</v>
      </c>
      <c r="E503" s="4"/>
      <c r="F503" s="4">
        <f>IFERROR(__xludf.DUMMYFUNCTION("""COMPUTED_VALUE"""),8.0)</f>
        <v>8</v>
      </c>
      <c r="G503" s="4">
        <f>IFERROR(__xludf.DUMMYFUNCTION("""COMPUTED_VALUE"""),350.0)</f>
        <v>350</v>
      </c>
      <c r="H503" s="4">
        <f>IFERROR(__xludf.DUMMYFUNCTION("""COMPUTED_VALUE"""),8345.0)</f>
        <v>8345</v>
      </c>
      <c r="I503" s="4">
        <f>IFERROR(__xludf.DUMMYFUNCTION("""COMPUTED_VALUE"""),2681.0)</f>
        <v>2681</v>
      </c>
      <c r="J503" s="4">
        <f>IFERROR(__xludf.DUMMYFUNCTION("""COMPUTED_VALUE"""),2745.0)</f>
        <v>2745</v>
      </c>
      <c r="K503" s="4">
        <f>IFERROR(__xludf.DUMMYFUNCTION("""COMPUTED_VALUE"""),222.0)</f>
        <v>222</v>
      </c>
      <c r="L503" s="4">
        <f>IFERROR(__xludf.DUMMYFUNCTION("""COMPUTED_VALUE"""),0.698)</f>
        <v>0.698</v>
      </c>
      <c r="M503" s="4"/>
      <c r="N503" s="4">
        <f>IFERROR(__xludf.DUMMYFUNCTION("""COMPUTED_VALUE"""),0.514)</f>
        <v>0.514</v>
      </c>
      <c r="O503" s="4">
        <f>IFERROR(__xludf.DUMMYFUNCTION("""COMPUTED_VALUE"""),23.8)</f>
        <v>23.8</v>
      </c>
      <c r="P503" s="4">
        <f>IFERROR(__xludf.DUMMYFUNCTION("""COMPUTED_VALUE"""),7.7)</f>
        <v>7.7</v>
      </c>
      <c r="Q503" s="4">
        <f>IFERROR(__xludf.DUMMYFUNCTION("""COMPUTED_VALUE"""),7.8)</f>
        <v>7.8</v>
      </c>
      <c r="R503" s="4">
        <f>IFERROR(__xludf.DUMMYFUNCTION("""COMPUTED_VALUE"""),0.6)</f>
        <v>0.6</v>
      </c>
      <c r="S503" s="4">
        <f>IFERROR(__xludf.DUMMYFUNCTION("""COMPUTED_VALUE"""),36.0)</f>
        <v>36</v>
      </c>
      <c r="T503" s="4">
        <f>IFERROR(__xludf.DUMMYFUNCTION("""COMPUTED_VALUE"""),0.207)</f>
        <v>0.207</v>
      </c>
      <c r="U503" s="4">
        <f>IFERROR(__xludf.DUMMYFUNCTION("""COMPUTED_VALUE"""),2.1)</f>
        <v>2.1</v>
      </c>
      <c r="V503" s="4">
        <f>IFERROR(__xludf.DUMMYFUNCTION("""COMPUTED_VALUE"""),8.6)</f>
        <v>8.6</v>
      </c>
    </row>
    <row r="504">
      <c r="A504" s="4">
        <f>IFERROR(__xludf.DUMMYFUNCTION("""COMPUTED_VALUE"""),37.0)</f>
        <v>37</v>
      </c>
      <c r="B504" s="4">
        <f>IFERROR(__xludf.DUMMYFUNCTION("""COMPUTED_VALUE"""),37.0)</f>
        <v>37</v>
      </c>
      <c r="C504" s="4" t="str">
        <f>IFERROR(__xludf.DUMMYFUNCTION("""COMPUTED_VALUE"""),"SAC")</f>
        <v>SAC</v>
      </c>
      <c r="D504" s="4" t="str">
        <f>IFERROR(__xludf.DUMMYFUNCTION("""COMPUTED_VALUE"""),"Gary Trent Jr.")</f>
        <v>Gary Trent Jr.</v>
      </c>
      <c r="E504" s="4" t="str">
        <f>IFERROR(__xludf.DUMMYFUNCTION("""COMPUTED_VALUE"""),"Duke")</f>
        <v>Duke</v>
      </c>
      <c r="F504" s="4">
        <f>IFERROR(__xludf.DUMMYFUNCTION("""COMPUTED_VALUE"""),8.0)</f>
        <v>8</v>
      </c>
      <c r="G504" s="4">
        <f>IFERROR(__xludf.DUMMYFUNCTION("""COMPUTED_VALUE"""),437.0)</f>
        <v>437</v>
      </c>
      <c r="H504" s="4">
        <f>IFERROR(__xludf.DUMMYFUNCTION("""COMPUTED_VALUE"""),12318.0)</f>
        <v>12318</v>
      </c>
      <c r="I504" s="4">
        <f>IFERROR(__xludf.DUMMYFUNCTION("""COMPUTED_VALUE"""),5919.0)</f>
        <v>5919</v>
      </c>
      <c r="J504" s="4">
        <f>IFERROR(__xludf.DUMMYFUNCTION("""COMPUTED_VALUE"""),1013.0)</f>
        <v>1013</v>
      </c>
      <c r="K504" s="4">
        <f>IFERROR(__xludf.DUMMYFUNCTION("""COMPUTED_VALUE"""),638.0)</f>
        <v>638</v>
      </c>
      <c r="L504" s="4">
        <f>IFERROR(__xludf.DUMMYFUNCTION("""COMPUTED_VALUE"""),0.422)</f>
        <v>0.422</v>
      </c>
      <c r="M504" s="4">
        <f>IFERROR(__xludf.DUMMYFUNCTION("""COMPUTED_VALUE"""),0.39)</f>
        <v>0.39</v>
      </c>
      <c r="N504" s="4">
        <f>IFERROR(__xludf.DUMMYFUNCTION("""COMPUTED_VALUE"""),0.821)</f>
        <v>0.821</v>
      </c>
      <c r="O504" s="4">
        <f>IFERROR(__xludf.DUMMYFUNCTION("""COMPUTED_VALUE"""),28.2)</f>
        <v>28.2</v>
      </c>
      <c r="P504" s="4">
        <f>IFERROR(__xludf.DUMMYFUNCTION("""COMPUTED_VALUE"""),13.5)</f>
        <v>13.5</v>
      </c>
      <c r="Q504" s="4">
        <f>IFERROR(__xludf.DUMMYFUNCTION("""COMPUTED_VALUE"""),2.3)</f>
        <v>2.3</v>
      </c>
      <c r="R504" s="4">
        <f>IFERROR(__xludf.DUMMYFUNCTION("""COMPUTED_VALUE"""),1.5)</f>
        <v>1.5</v>
      </c>
      <c r="S504" s="4">
        <f>IFERROR(__xludf.DUMMYFUNCTION("""COMPUTED_VALUE"""),19.3)</f>
        <v>19.3</v>
      </c>
      <c r="T504" s="4">
        <f>IFERROR(__xludf.DUMMYFUNCTION("""COMPUTED_VALUE"""),0.075)</f>
        <v>0.075</v>
      </c>
      <c r="U504" s="4">
        <f>IFERROR(__xludf.DUMMYFUNCTION("""COMPUTED_VALUE"""),-1.3)</f>
        <v>-1.3</v>
      </c>
      <c r="V504" s="4">
        <f>IFERROR(__xludf.DUMMYFUNCTION("""COMPUTED_VALUE"""),2.2)</f>
        <v>2.2</v>
      </c>
    </row>
    <row r="505">
      <c r="A505" s="4">
        <f>IFERROR(__xludf.DUMMYFUNCTION("""COMPUTED_VALUE"""),38.0)</f>
        <v>38</v>
      </c>
      <c r="B505" s="4">
        <f>IFERROR(__xludf.DUMMYFUNCTION("""COMPUTED_VALUE"""),38.0)</f>
        <v>38</v>
      </c>
      <c r="C505" s="4" t="str">
        <f>IFERROR(__xludf.DUMMYFUNCTION("""COMPUTED_VALUE"""),"PHI")</f>
        <v>PHI</v>
      </c>
      <c r="D505" s="4" t="str">
        <f>IFERROR(__xludf.DUMMYFUNCTION("""COMPUTED_VALUE"""),"Khyri Thomas")</f>
        <v>Khyri Thomas</v>
      </c>
      <c r="E505" s="4" t="str">
        <f>IFERROR(__xludf.DUMMYFUNCTION("""COMPUTED_VALUE"""),"Creighton")</f>
        <v>Creighton</v>
      </c>
      <c r="F505" s="4">
        <f>IFERROR(__xludf.DUMMYFUNCTION("""COMPUTED_VALUE"""),3.0)</f>
        <v>3</v>
      </c>
      <c r="G505" s="4">
        <f>IFERROR(__xludf.DUMMYFUNCTION("""COMPUTED_VALUE"""),39.0)</f>
        <v>39</v>
      </c>
      <c r="H505" s="4">
        <f>IFERROR(__xludf.DUMMYFUNCTION("""COMPUTED_VALUE"""),409.0)</f>
        <v>409</v>
      </c>
      <c r="I505" s="4">
        <f>IFERROR(__xludf.DUMMYFUNCTION("""COMPUTED_VALUE"""),160.0)</f>
        <v>160</v>
      </c>
      <c r="J505" s="4">
        <f>IFERROR(__xludf.DUMMYFUNCTION("""COMPUTED_VALUE"""),39.0)</f>
        <v>39</v>
      </c>
      <c r="K505" s="4">
        <f>IFERROR(__xludf.DUMMYFUNCTION("""COMPUTED_VALUE"""),36.0)</f>
        <v>36</v>
      </c>
      <c r="L505" s="4">
        <f>IFERROR(__xludf.DUMMYFUNCTION("""COMPUTED_VALUE"""),0.388)</f>
        <v>0.388</v>
      </c>
      <c r="M505" s="4">
        <f>IFERROR(__xludf.DUMMYFUNCTION("""COMPUTED_VALUE"""),0.316)</f>
        <v>0.316</v>
      </c>
      <c r="N505" s="4">
        <f>IFERROR(__xludf.DUMMYFUNCTION("""COMPUTED_VALUE"""),0.75)</f>
        <v>0.75</v>
      </c>
      <c r="O505" s="4">
        <f>IFERROR(__xludf.DUMMYFUNCTION("""COMPUTED_VALUE"""),10.5)</f>
        <v>10.5</v>
      </c>
      <c r="P505" s="4">
        <f>IFERROR(__xludf.DUMMYFUNCTION("""COMPUTED_VALUE"""),4.1)</f>
        <v>4.1</v>
      </c>
      <c r="Q505" s="4">
        <f>IFERROR(__xludf.DUMMYFUNCTION("""COMPUTED_VALUE"""),1.0)</f>
        <v>1</v>
      </c>
      <c r="R505" s="4">
        <f>IFERROR(__xludf.DUMMYFUNCTION("""COMPUTED_VALUE"""),0.9)</f>
        <v>0.9</v>
      </c>
      <c r="S505" s="4">
        <f>IFERROR(__xludf.DUMMYFUNCTION("""COMPUTED_VALUE"""),0.5)</f>
        <v>0.5</v>
      </c>
      <c r="T505" s="4">
        <f>IFERROR(__xludf.DUMMYFUNCTION("""COMPUTED_VALUE"""),0.058)</f>
        <v>0.058</v>
      </c>
      <c r="U505" s="4">
        <f>IFERROR(__xludf.DUMMYFUNCTION("""COMPUTED_VALUE"""),-2.7)</f>
        <v>-2.7</v>
      </c>
      <c r="V505" s="4">
        <f>IFERROR(__xludf.DUMMYFUNCTION("""COMPUTED_VALUE"""),-0.1)</f>
        <v>-0.1</v>
      </c>
    </row>
    <row r="506">
      <c r="A506" s="4">
        <f>IFERROR(__xludf.DUMMYFUNCTION("""COMPUTED_VALUE"""),39.0)</f>
        <v>39</v>
      </c>
      <c r="B506" s="4">
        <f>IFERROR(__xludf.DUMMYFUNCTION("""COMPUTED_VALUE"""),39.0)</f>
        <v>39</v>
      </c>
      <c r="C506" s="4" t="str">
        <f>IFERROR(__xludf.DUMMYFUNCTION("""COMPUTED_VALUE"""),"PHI")</f>
        <v>PHI</v>
      </c>
      <c r="D506" s="4" t="str">
        <f>IFERROR(__xludf.DUMMYFUNCTION("""COMPUTED_VALUE"""),"Isaac Bonga")</f>
        <v>Isaac Bonga</v>
      </c>
      <c r="E506" s="4"/>
      <c r="F506" s="4">
        <f>IFERROR(__xludf.DUMMYFUNCTION("""COMPUTED_VALUE"""),4.0)</f>
        <v>4</v>
      </c>
      <c r="G506" s="4">
        <f>IFERROR(__xludf.DUMMYFUNCTION("""COMPUTED_VALUE"""),143.0)</f>
        <v>143</v>
      </c>
      <c r="H506" s="4">
        <f>IFERROR(__xludf.DUMMYFUNCTION("""COMPUTED_VALUE"""),1871.0)</f>
        <v>1871</v>
      </c>
      <c r="I506" s="4">
        <f>IFERROR(__xludf.DUMMYFUNCTION("""COMPUTED_VALUE"""),439.0)</f>
        <v>439</v>
      </c>
      <c r="J506" s="4">
        <f>IFERROR(__xludf.DUMMYFUNCTION("""COMPUTED_VALUE"""),320.0)</f>
        <v>320</v>
      </c>
      <c r="K506" s="4">
        <f>IFERROR(__xludf.DUMMYFUNCTION("""COMPUTED_VALUE"""),118.0)</f>
        <v>118</v>
      </c>
      <c r="L506" s="4">
        <f>IFERROR(__xludf.DUMMYFUNCTION("""COMPUTED_VALUE"""),0.432)</f>
        <v>0.432</v>
      </c>
      <c r="M506" s="4">
        <f>IFERROR(__xludf.DUMMYFUNCTION("""COMPUTED_VALUE"""),0.3)</f>
        <v>0.3</v>
      </c>
      <c r="N506" s="4">
        <f>IFERROR(__xludf.DUMMYFUNCTION("""COMPUTED_VALUE"""),0.759)</f>
        <v>0.759</v>
      </c>
      <c r="O506" s="4">
        <f>IFERROR(__xludf.DUMMYFUNCTION("""COMPUTED_VALUE"""),13.1)</f>
        <v>13.1</v>
      </c>
      <c r="P506" s="4">
        <f>IFERROR(__xludf.DUMMYFUNCTION("""COMPUTED_VALUE"""),3.1)</f>
        <v>3.1</v>
      </c>
      <c r="Q506" s="4">
        <f>IFERROR(__xludf.DUMMYFUNCTION("""COMPUTED_VALUE"""),2.2)</f>
        <v>2.2</v>
      </c>
      <c r="R506" s="4">
        <f>IFERROR(__xludf.DUMMYFUNCTION("""COMPUTED_VALUE"""),0.8)</f>
        <v>0.8</v>
      </c>
      <c r="S506" s="4">
        <f>IFERROR(__xludf.DUMMYFUNCTION("""COMPUTED_VALUE"""),1.7)</f>
        <v>1.7</v>
      </c>
      <c r="T506" s="4">
        <f>IFERROR(__xludf.DUMMYFUNCTION("""COMPUTED_VALUE"""),0.044)</f>
        <v>0.044</v>
      </c>
      <c r="U506" s="4">
        <f>IFERROR(__xludf.DUMMYFUNCTION("""COMPUTED_VALUE"""),-3.6)</f>
        <v>-3.6</v>
      </c>
      <c r="V506" s="4">
        <f>IFERROR(__xludf.DUMMYFUNCTION("""COMPUTED_VALUE"""),-0.7)</f>
        <v>-0.7</v>
      </c>
    </row>
    <row r="507">
      <c r="A507" s="4">
        <f>IFERROR(__xludf.DUMMYFUNCTION("""COMPUTED_VALUE"""),40.0)</f>
        <v>40</v>
      </c>
      <c r="B507" s="4">
        <f>IFERROR(__xludf.DUMMYFUNCTION("""COMPUTED_VALUE"""),40.0)</f>
        <v>40</v>
      </c>
      <c r="C507" s="4" t="str">
        <f>IFERROR(__xludf.DUMMYFUNCTION("""COMPUTED_VALUE"""),"BRK")</f>
        <v>BRK</v>
      </c>
      <c r="D507" s="4" t="str">
        <f>IFERROR(__xludf.DUMMYFUNCTION("""COMPUTED_VALUE"""),"Rodions Kurucs")</f>
        <v>Rodions Kurucs</v>
      </c>
      <c r="E507" s="4"/>
      <c r="F507" s="4">
        <f>IFERROR(__xludf.DUMMYFUNCTION("""COMPUTED_VALUE"""),3.0)</f>
        <v>3</v>
      </c>
      <c r="G507" s="4">
        <f>IFERROR(__xludf.DUMMYFUNCTION("""COMPUTED_VALUE"""),131.0)</f>
        <v>131</v>
      </c>
      <c r="H507" s="4">
        <f>IFERROR(__xludf.DUMMYFUNCTION("""COMPUTED_VALUE"""),2103.0)</f>
        <v>2103</v>
      </c>
      <c r="I507" s="4">
        <f>IFERROR(__xludf.DUMMYFUNCTION("""COMPUTED_VALUE"""),780.0)</f>
        <v>780</v>
      </c>
      <c r="J507" s="4">
        <f>IFERROR(__xludf.DUMMYFUNCTION("""COMPUTED_VALUE"""),406.0)</f>
        <v>406</v>
      </c>
      <c r="K507" s="4">
        <f>IFERROR(__xludf.DUMMYFUNCTION("""COMPUTED_VALUE"""),113.0)</f>
        <v>113</v>
      </c>
      <c r="L507" s="4">
        <f>IFERROR(__xludf.DUMMYFUNCTION("""COMPUTED_VALUE"""),0.444)</f>
        <v>0.444</v>
      </c>
      <c r="M507" s="4">
        <f>IFERROR(__xludf.DUMMYFUNCTION("""COMPUTED_VALUE"""),0.329)</f>
        <v>0.329</v>
      </c>
      <c r="N507" s="4">
        <f>IFERROR(__xludf.DUMMYFUNCTION("""COMPUTED_VALUE"""),0.739)</f>
        <v>0.739</v>
      </c>
      <c r="O507" s="4">
        <f>IFERROR(__xludf.DUMMYFUNCTION("""COMPUTED_VALUE"""),16.1)</f>
        <v>16.1</v>
      </c>
      <c r="P507" s="4">
        <f>IFERROR(__xludf.DUMMYFUNCTION("""COMPUTED_VALUE"""),6.0)</f>
        <v>6</v>
      </c>
      <c r="Q507" s="4">
        <f>IFERROR(__xludf.DUMMYFUNCTION("""COMPUTED_VALUE"""),3.1)</f>
        <v>3.1</v>
      </c>
      <c r="R507" s="4">
        <f>IFERROR(__xludf.DUMMYFUNCTION("""COMPUTED_VALUE"""),0.9)</f>
        <v>0.9</v>
      </c>
      <c r="S507" s="4">
        <f>IFERROR(__xludf.DUMMYFUNCTION("""COMPUTED_VALUE"""),2.3)</f>
        <v>2.3</v>
      </c>
      <c r="T507" s="4">
        <f>IFERROR(__xludf.DUMMYFUNCTION("""COMPUTED_VALUE"""),0.052)</f>
        <v>0.052</v>
      </c>
      <c r="U507" s="4">
        <f>IFERROR(__xludf.DUMMYFUNCTION("""COMPUTED_VALUE"""),-2.8)</f>
        <v>-2.8</v>
      </c>
      <c r="V507" s="4">
        <f>IFERROR(__xludf.DUMMYFUNCTION("""COMPUTED_VALUE"""),-0.4)</f>
        <v>-0.4</v>
      </c>
    </row>
    <row r="508">
      <c r="A508" s="4">
        <f>IFERROR(__xludf.DUMMYFUNCTION("""COMPUTED_VALUE"""),41.0)</f>
        <v>41</v>
      </c>
      <c r="B508" s="4">
        <f>IFERROR(__xludf.DUMMYFUNCTION("""COMPUTED_VALUE"""),41.0)</f>
        <v>41</v>
      </c>
      <c r="C508" s="4" t="str">
        <f>IFERROR(__xludf.DUMMYFUNCTION("""COMPUTED_VALUE"""),"ORL")</f>
        <v>ORL</v>
      </c>
      <c r="D508" s="4" t="str">
        <f>IFERROR(__xludf.DUMMYFUNCTION("""COMPUTED_VALUE"""),"Jarred Vanderbilt")</f>
        <v>Jarred Vanderbilt</v>
      </c>
      <c r="E508" s="4" t="str">
        <f>IFERROR(__xludf.DUMMYFUNCTION("""COMPUTED_VALUE"""),"Kentucky")</f>
        <v>Kentucky</v>
      </c>
      <c r="F508" s="4">
        <f>IFERROR(__xludf.DUMMYFUNCTION("""COMPUTED_VALUE"""),8.0)</f>
        <v>8</v>
      </c>
      <c r="G508" s="4">
        <f>IFERROR(__xludf.DUMMYFUNCTION("""COMPUTED_VALUE"""),323.0)</f>
        <v>323</v>
      </c>
      <c r="H508" s="4">
        <f>IFERROR(__xludf.DUMMYFUNCTION("""COMPUTED_VALUE"""),6432.0)</f>
        <v>6432</v>
      </c>
      <c r="I508" s="4">
        <f>IFERROR(__xludf.DUMMYFUNCTION("""COMPUTED_VALUE"""),1872.0)</f>
        <v>1872</v>
      </c>
      <c r="J508" s="4">
        <f>IFERROR(__xludf.DUMMYFUNCTION("""COMPUTED_VALUE"""),2004.0)</f>
        <v>2004</v>
      </c>
      <c r="K508" s="4">
        <f>IFERROR(__xludf.DUMMYFUNCTION("""COMPUTED_VALUE"""),457.0)</f>
        <v>457</v>
      </c>
      <c r="L508" s="4">
        <f>IFERROR(__xludf.DUMMYFUNCTION("""COMPUTED_VALUE"""),0.556)</f>
        <v>0.556</v>
      </c>
      <c r="M508" s="4">
        <f>IFERROR(__xludf.DUMMYFUNCTION("""COMPUTED_VALUE"""),0.288)</f>
        <v>0.288</v>
      </c>
      <c r="N508" s="4">
        <f>IFERROR(__xludf.DUMMYFUNCTION("""COMPUTED_VALUE"""),0.646)</f>
        <v>0.646</v>
      </c>
      <c r="O508" s="4">
        <f>IFERROR(__xludf.DUMMYFUNCTION("""COMPUTED_VALUE"""),19.9)</f>
        <v>19.9</v>
      </c>
      <c r="P508" s="4">
        <f>IFERROR(__xludf.DUMMYFUNCTION("""COMPUTED_VALUE"""),5.8)</f>
        <v>5.8</v>
      </c>
      <c r="Q508" s="4">
        <f>IFERROR(__xludf.DUMMYFUNCTION("""COMPUTED_VALUE"""),6.2)</f>
        <v>6.2</v>
      </c>
      <c r="R508" s="4">
        <f>IFERROR(__xludf.DUMMYFUNCTION("""COMPUTED_VALUE"""),1.4)</f>
        <v>1.4</v>
      </c>
      <c r="S508" s="4">
        <f>IFERROR(__xludf.DUMMYFUNCTION("""COMPUTED_VALUE"""),17.1)</f>
        <v>17.1</v>
      </c>
      <c r="T508" s="4">
        <f>IFERROR(__xludf.DUMMYFUNCTION("""COMPUTED_VALUE"""),0.128)</f>
        <v>0.128</v>
      </c>
      <c r="U508" s="4">
        <f>IFERROR(__xludf.DUMMYFUNCTION("""COMPUTED_VALUE"""),0.0)</f>
        <v>0</v>
      </c>
      <c r="V508" s="4">
        <f>IFERROR(__xludf.DUMMYFUNCTION("""COMPUTED_VALUE"""),3.2)</f>
        <v>3.2</v>
      </c>
    </row>
    <row r="509">
      <c r="A509" s="4">
        <f>IFERROR(__xludf.DUMMYFUNCTION("""COMPUTED_VALUE"""),42.0)</f>
        <v>42</v>
      </c>
      <c r="B509" s="4">
        <f>IFERROR(__xludf.DUMMYFUNCTION("""COMPUTED_VALUE"""),42.0)</f>
        <v>42</v>
      </c>
      <c r="C509" s="4" t="str">
        <f>IFERROR(__xludf.DUMMYFUNCTION("""COMPUTED_VALUE"""),"DET")</f>
        <v>DET</v>
      </c>
      <c r="D509" s="4" t="str">
        <f>IFERROR(__xludf.DUMMYFUNCTION("""COMPUTED_VALUE"""),"Bruce Brown")</f>
        <v>Bruce Brown</v>
      </c>
      <c r="E509" s="4" t="str">
        <f>IFERROR(__xludf.DUMMYFUNCTION("""COMPUTED_VALUE"""),"Miami (FL)")</f>
        <v>Miami (FL)</v>
      </c>
      <c r="F509" s="4">
        <f>IFERROR(__xludf.DUMMYFUNCTION("""COMPUTED_VALUE"""),8.0)</f>
        <v>8</v>
      </c>
      <c r="G509" s="4">
        <f>IFERROR(__xludf.DUMMYFUNCTION("""COMPUTED_VALUE"""),477.0)</f>
        <v>477</v>
      </c>
      <c r="H509" s="4">
        <f>IFERROR(__xludf.DUMMYFUNCTION("""COMPUTED_VALUE"""),11838.0)</f>
        <v>11838</v>
      </c>
      <c r="I509" s="4">
        <f>IFERROR(__xludf.DUMMYFUNCTION("""COMPUTED_VALUE"""),4172.0)</f>
        <v>4172</v>
      </c>
      <c r="J509" s="4">
        <f>IFERROR(__xludf.DUMMYFUNCTION("""COMPUTED_VALUE"""),2005.0)</f>
        <v>2005</v>
      </c>
      <c r="K509" s="4">
        <f>IFERROR(__xludf.DUMMYFUNCTION("""COMPUTED_VALUE"""),1158.0)</f>
        <v>1158</v>
      </c>
      <c r="L509" s="4">
        <f>IFERROR(__xludf.DUMMYFUNCTION("""COMPUTED_VALUE"""),0.473)</f>
        <v>0.473</v>
      </c>
      <c r="M509" s="4">
        <f>IFERROR(__xludf.DUMMYFUNCTION("""COMPUTED_VALUE"""),0.334)</f>
        <v>0.334</v>
      </c>
      <c r="N509" s="4">
        <f>IFERROR(__xludf.DUMMYFUNCTION("""COMPUTED_VALUE"""),0.769)</f>
        <v>0.769</v>
      </c>
      <c r="O509" s="4">
        <f>IFERROR(__xludf.DUMMYFUNCTION("""COMPUTED_VALUE"""),24.8)</f>
        <v>24.8</v>
      </c>
      <c r="P509" s="4">
        <f>IFERROR(__xludf.DUMMYFUNCTION("""COMPUTED_VALUE"""),8.7)</f>
        <v>8.7</v>
      </c>
      <c r="Q509" s="4">
        <f>IFERROR(__xludf.DUMMYFUNCTION("""COMPUTED_VALUE"""),4.2)</f>
        <v>4.2</v>
      </c>
      <c r="R509" s="4">
        <f>IFERROR(__xludf.DUMMYFUNCTION("""COMPUTED_VALUE"""),2.4)</f>
        <v>2.4</v>
      </c>
      <c r="S509" s="4">
        <f>IFERROR(__xludf.DUMMYFUNCTION("""COMPUTED_VALUE"""),20.4)</f>
        <v>20.4</v>
      </c>
      <c r="T509" s="4">
        <f>IFERROR(__xludf.DUMMYFUNCTION("""COMPUTED_VALUE"""),0.083)</f>
        <v>0.083</v>
      </c>
      <c r="U509" s="4">
        <f>IFERROR(__xludf.DUMMYFUNCTION("""COMPUTED_VALUE"""),-1.6)</f>
        <v>-1.6</v>
      </c>
      <c r="V509" s="4">
        <f>IFERROR(__xludf.DUMMYFUNCTION("""COMPUTED_VALUE"""),1.3)</f>
        <v>1.3</v>
      </c>
    </row>
    <row r="510">
      <c r="A510" s="4">
        <f>IFERROR(__xludf.DUMMYFUNCTION("""COMPUTED_VALUE"""),43.0)</f>
        <v>43</v>
      </c>
      <c r="B510" s="4">
        <f>IFERROR(__xludf.DUMMYFUNCTION("""COMPUTED_VALUE"""),43.0)</f>
        <v>43</v>
      </c>
      <c r="C510" s="4" t="str">
        <f>IFERROR(__xludf.DUMMYFUNCTION("""COMPUTED_VALUE"""),"DEN")</f>
        <v>DEN</v>
      </c>
      <c r="D510" s="4" t="str">
        <f>IFERROR(__xludf.DUMMYFUNCTION("""COMPUTED_VALUE"""),"Justin Jackson")</f>
        <v>Justin Jackson</v>
      </c>
      <c r="E510" s="4" t="str">
        <f>IFERROR(__xludf.DUMMYFUNCTION("""COMPUTED_VALUE"""),"Maryland")</f>
        <v>Maryland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>
        <f>IFERROR(__xludf.DUMMYFUNCTION("""COMPUTED_VALUE"""),44.0)</f>
        <v>44</v>
      </c>
      <c r="B511" s="4">
        <f>IFERROR(__xludf.DUMMYFUNCTION("""COMPUTED_VALUE"""),44.0)</f>
        <v>44</v>
      </c>
      <c r="C511" s="4" t="str">
        <f>IFERROR(__xludf.DUMMYFUNCTION("""COMPUTED_VALUE"""),"WAS")</f>
        <v>WAS</v>
      </c>
      <c r="D511" s="4" t="str">
        <f>IFERROR(__xludf.DUMMYFUNCTION("""COMPUTED_VALUE"""),"Issuf Sanon")</f>
        <v>Issuf Sanon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>
        <f>IFERROR(__xludf.DUMMYFUNCTION("""COMPUTED_VALUE"""),45.0)</f>
        <v>45</v>
      </c>
      <c r="B512" s="4">
        <f>IFERROR(__xludf.DUMMYFUNCTION("""COMPUTED_VALUE"""),45.0)</f>
        <v>45</v>
      </c>
      <c r="C512" s="4" t="str">
        <f>IFERROR(__xludf.DUMMYFUNCTION("""COMPUTED_VALUE"""),"BRK")</f>
        <v>BRK</v>
      </c>
      <c r="D512" s="4" t="str">
        <f>IFERROR(__xludf.DUMMYFUNCTION("""COMPUTED_VALUE"""),"Hamidou Diallo")</f>
        <v>Hamidou Diallo</v>
      </c>
      <c r="E512" s="4" t="str">
        <f>IFERROR(__xludf.DUMMYFUNCTION("""COMPUTED_VALUE"""),"Kentucky")</f>
        <v>Kentucky</v>
      </c>
      <c r="F512" s="4">
        <f>IFERROR(__xludf.DUMMYFUNCTION("""COMPUTED_VALUE"""),6.0)</f>
        <v>6</v>
      </c>
      <c r="G512" s="4">
        <f>IFERROR(__xludf.DUMMYFUNCTION("""COMPUTED_VALUE"""),265.0)</f>
        <v>265</v>
      </c>
      <c r="H512" s="4">
        <f>IFERROR(__xludf.DUMMYFUNCTION("""COMPUTED_VALUE"""),4918.0)</f>
        <v>4918</v>
      </c>
      <c r="I512" s="4">
        <f>IFERROR(__xludf.DUMMYFUNCTION("""COMPUTED_VALUE"""),2272.0)</f>
        <v>2272</v>
      </c>
      <c r="J512" s="4">
        <f>IFERROR(__xludf.DUMMYFUNCTION("""COMPUTED_VALUE"""),1009.0)</f>
        <v>1009</v>
      </c>
      <c r="K512" s="4">
        <f>IFERROR(__xludf.DUMMYFUNCTION("""COMPUTED_VALUE"""),283.0)</f>
        <v>283</v>
      </c>
      <c r="L512" s="4">
        <f>IFERROR(__xludf.DUMMYFUNCTION("""COMPUTED_VALUE"""),0.495)</f>
        <v>0.495</v>
      </c>
      <c r="M512" s="4">
        <f>IFERROR(__xludf.DUMMYFUNCTION("""COMPUTED_VALUE"""),0.274)</f>
        <v>0.274</v>
      </c>
      <c r="N512" s="4">
        <f>IFERROR(__xludf.DUMMYFUNCTION("""COMPUTED_VALUE"""),0.623)</f>
        <v>0.623</v>
      </c>
      <c r="O512" s="4">
        <f>IFERROR(__xludf.DUMMYFUNCTION("""COMPUTED_VALUE"""),18.6)</f>
        <v>18.6</v>
      </c>
      <c r="P512" s="4">
        <f>IFERROR(__xludf.DUMMYFUNCTION("""COMPUTED_VALUE"""),8.6)</f>
        <v>8.6</v>
      </c>
      <c r="Q512" s="4">
        <f>IFERROR(__xludf.DUMMYFUNCTION("""COMPUTED_VALUE"""),3.8)</f>
        <v>3.8</v>
      </c>
      <c r="R512" s="4">
        <f>IFERROR(__xludf.DUMMYFUNCTION("""COMPUTED_VALUE"""),1.1)</f>
        <v>1.1</v>
      </c>
      <c r="S512" s="4">
        <f>IFERROR(__xludf.DUMMYFUNCTION("""COMPUTED_VALUE"""),6.2)</f>
        <v>6.2</v>
      </c>
      <c r="T512" s="4">
        <f>IFERROR(__xludf.DUMMYFUNCTION("""COMPUTED_VALUE"""),0.06)</f>
        <v>0.06</v>
      </c>
      <c r="U512" s="4">
        <f>IFERROR(__xludf.DUMMYFUNCTION("""COMPUTED_VALUE"""),-2.1)</f>
        <v>-2.1</v>
      </c>
      <c r="V512" s="4">
        <f>IFERROR(__xludf.DUMMYFUNCTION("""COMPUTED_VALUE"""),-0.1)</f>
        <v>-0.1</v>
      </c>
    </row>
    <row r="513">
      <c r="A513" s="4">
        <f>IFERROR(__xludf.DUMMYFUNCTION("""COMPUTED_VALUE"""),46.0)</f>
        <v>46</v>
      </c>
      <c r="B513" s="4">
        <f>IFERROR(__xludf.DUMMYFUNCTION("""COMPUTED_VALUE"""),46.0)</f>
        <v>46</v>
      </c>
      <c r="C513" s="4" t="str">
        <f>IFERROR(__xludf.DUMMYFUNCTION("""COMPUTED_VALUE"""),"HOU")</f>
        <v>HOU</v>
      </c>
      <c r="D513" s="4" t="str">
        <f>IFERROR(__xludf.DUMMYFUNCTION("""COMPUTED_VALUE"""),"De'Anthony Melton")</f>
        <v>De'Anthony Melton</v>
      </c>
      <c r="E513" s="4" t="str">
        <f>IFERROR(__xludf.DUMMYFUNCTION("""COMPUTED_VALUE"""),"USC")</f>
        <v>USC</v>
      </c>
      <c r="F513" s="4">
        <f>IFERROR(__xludf.DUMMYFUNCTION("""COMPUTED_VALUE"""),7.0)</f>
        <v>7</v>
      </c>
      <c r="G513" s="4">
        <f>IFERROR(__xludf.DUMMYFUNCTION("""COMPUTED_VALUE"""),356.0)</f>
        <v>356</v>
      </c>
      <c r="H513" s="4">
        <f>IFERROR(__xludf.DUMMYFUNCTION("""COMPUTED_VALUE"""),8147.0)</f>
        <v>8147</v>
      </c>
      <c r="I513" s="4">
        <f>IFERROR(__xludf.DUMMYFUNCTION("""COMPUTED_VALUE"""),3231.0)</f>
        <v>3231</v>
      </c>
      <c r="J513" s="4">
        <f>IFERROR(__xludf.DUMMYFUNCTION("""COMPUTED_VALUE"""),1316.0)</f>
        <v>1316</v>
      </c>
      <c r="K513" s="4">
        <f>IFERROR(__xludf.DUMMYFUNCTION("""COMPUTED_VALUE"""),988.0)</f>
        <v>988</v>
      </c>
      <c r="L513" s="4">
        <f>IFERROR(__xludf.DUMMYFUNCTION("""COMPUTED_VALUE"""),0.41)</f>
        <v>0.41</v>
      </c>
      <c r="M513" s="4">
        <f>IFERROR(__xludf.DUMMYFUNCTION("""COMPUTED_VALUE"""),0.369)</f>
        <v>0.369</v>
      </c>
      <c r="N513" s="4">
        <f>IFERROR(__xludf.DUMMYFUNCTION("""COMPUTED_VALUE"""),0.779)</f>
        <v>0.779</v>
      </c>
      <c r="O513" s="4">
        <f>IFERROR(__xludf.DUMMYFUNCTION("""COMPUTED_VALUE"""),22.9)</f>
        <v>22.9</v>
      </c>
      <c r="P513" s="4">
        <f>IFERROR(__xludf.DUMMYFUNCTION("""COMPUTED_VALUE"""),9.1)</f>
        <v>9.1</v>
      </c>
      <c r="Q513" s="4">
        <f>IFERROR(__xludf.DUMMYFUNCTION("""COMPUTED_VALUE"""),3.7)</f>
        <v>3.7</v>
      </c>
      <c r="R513" s="4">
        <f>IFERROR(__xludf.DUMMYFUNCTION("""COMPUTED_VALUE"""),2.8)</f>
        <v>2.8</v>
      </c>
      <c r="S513" s="4">
        <f>IFERROR(__xludf.DUMMYFUNCTION("""COMPUTED_VALUE"""),14.3)</f>
        <v>14.3</v>
      </c>
      <c r="T513" s="4">
        <f>IFERROR(__xludf.DUMMYFUNCTION("""COMPUTED_VALUE"""),0.084)</f>
        <v>0.084</v>
      </c>
      <c r="U513" s="4">
        <f>IFERROR(__xludf.DUMMYFUNCTION("""COMPUTED_VALUE"""),0.6)</f>
        <v>0.6</v>
      </c>
      <c r="V513" s="4">
        <f>IFERROR(__xludf.DUMMYFUNCTION("""COMPUTED_VALUE"""),5.3)</f>
        <v>5.3</v>
      </c>
    </row>
    <row r="514">
      <c r="A514" s="4">
        <f>IFERROR(__xludf.DUMMYFUNCTION("""COMPUTED_VALUE"""),47.0)</f>
        <v>47</v>
      </c>
      <c r="B514" s="4">
        <f>IFERROR(__xludf.DUMMYFUNCTION("""COMPUTED_VALUE"""),47.0)</f>
        <v>47</v>
      </c>
      <c r="C514" s="4" t="str">
        <f>IFERROR(__xludf.DUMMYFUNCTION("""COMPUTED_VALUE"""),"LAL")</f>
        <v>LAL</v>
      </c>
      <c r="D514" s="4" t="str">
        <f>IFERROR(__xludf.DUMMYFUNCTION("""COMPUTED_VALUE"""),"Svi Mykhailiuk")</f>
        <v>Svi Mykhailiuk</v>
      </c>
      <c r="E514" s="4" t="str">
        <f>IFERROR(__xludf.DUMMYFUNCTION("""COMPUTED_VALUE"""),"Kansas")</f>
        <v>Kansas</v>
      </c>
      <c r="F514" s="4">
        <f>IFERROR(__xludf.DUMMYFUNCTION("""COMPUTED_VALUE"""),8.0)</f>
        <v>8</v>
      </c>
      <c r="G514" s="4">
        <f>IFERROR(__xludf.DUMMYFUNCTION("""COMPUTED_VALUE"""),351.0)</f>
        <v>351</v>
      </c>
      <c r="H514" s="4">
        <f>IFERROR(__xludf.DUMMYFUNCTION("""COMPUTED_VALUE"""),5908.0)</f>
        <v>5908</v>
      </c>
      <c r="I514" s="4">
        <f>IFERROR(__xludf.DUMMYFUNCTION("""COMPUTED_VALUE"""),2357.0)</f>
        <v>2357</v>
      </c>
      <c r="J514" s="4">
        <f>IFERROR(__xludf.DUMMYFUNCTION("""COMPUTED_VALUE"""),642.0)</f>
        <v>642</v>
      </c>
      <c r="K514" s="4">
        <f>IFERROR(__xludf.DUMMYFUNCTION("""COMPUTED_VALUE"""),506.0)</f>
        <v>506</v>
      </c>
      <c r="L514" s="4">
        <f>IFERROR(__xludf.DUMMYFUNCTION("""COMPUTED_VALUE"""),0.408)</f>
        <v>0.408</v>
      </c>
      <c r="M514" s="4">
        <f>IFERROR(__xludf.DUMMYFUNCTION("""COMPUTED_VALUE"""),0.361)</f>
        <v>0.361</v>
      </c>
      <c r="N514" s="4">
        <f>IFERROR(__xludf.DUMMYFUNCTION("""COMPUTED_VALUE"""),0.769)</f>
        <v>0.769</v>
      </c>
      <c r="O514" s="4">
        <f>IFERROR(__xludf.DUMMYFUNCTION("""COMPUTED_VALUE"""),16.8)</f>
        <v>16.8</v>
      </c>
      <c r="P514" s="4">
        <f>IFERROR(__xludf.DUMMYFUNCTION("""COMPUTED_VALUE"""),6.7)</f>
        <v>6.7</v>
      </c>
      <c r="Q514" s="4">
        <f>IFERROR(__xludf.DUMMYFUNCTION("""COMPUTED_VALUE"""),1.8)</f>
        <v>1.8</v>
      </c>
      <c r="R514" s="4">
        <f>IFERROR(__xludf.DUMMYFUNCTION("""COMPUTED_VALUE"""),1.4)</f>
        <v>1.4</v>
      </c>
      <c r="S514" s="4">
        <f>IFERROR(__xludf.DUMMYFUNCTION("""COMPUTED_VALUE"""),4.7)</f>
        <v>4.7</v>
      </c>
      <c r="T514" s="4">
        <f>IFERROR(__xludf.DUMMYFUNCTION("""COMPUTED_VALUE"""),0.038)</f>
        <v>0.038</v>
      </c>
      <c r="U514" s="4">
        <f>IFERROR(__xludf.DUMMYFUNCTION("""COMPUTED_VALUE"""),-2.5)</f>
        <v>-2.5</v>
      </c>
      <c r="V514" s="4">
        <f>IFERROR(__xludf.DUMMYFUNCTION("""COMPUTED_VALUE"""),-0.7)</f>
        <v>-0.7</v>
      </c>
    </row>
    <row r="515">
      <c r="A515" s="4">
        <f>IFERROR(__xludf.DUMMYFUNCTION("""COMPUTED_VALUE"""),48.0)</f>
        <v>48</v>
      </c>
      <c r="B515" s="4">
        <f>IFERROR(__xludf.DUMMYFUNCTION("""COMPUTED_VALUE"""),48.0)</f>
        <v>48</v>
      </c>
      <c r="C515" s="4" t="str">
        <f>IFERROR(__xludf.DUMMYFUNCTION("""COMPUTED_VALUE"""),"MIN")</f>
        <v>MIN</v>
      </c>
      <c r="D515" s="4" t="str">
        <f>IFERROR(__xludf.DUMMYFUNCTION("""COMPUTED_VALUE"""),"Keita Bates-Diop")</f>
        <v>Keita Bates-Diop</v>
      </c>
      <c r="E515" s="4" t="str">
        <f>IFERROR(__xludf.DUMMYFUNCTION("""COMPUTED_VALUE"""),"Ohio State")</f>
        <v>Ohio State</v>
      </c>
      <c r="F515" s="4">
        <f>IFERROR(__xludf.DUMMYFUNCTION("""COMPUTED_VALUE"""),6.0)</f>
        <v>6</v>
      </c>
      <c r="G515" s="4">
        <f>IFERROR(__xludf.DUMMYFUNCTION("""COMPUTED_VALUE"""),283.0)</f>
        <v>283</v>
      </c>
      <c r="H515" s="4">
        <f>IFERROR(__xludf.DUMMYFUNCTION("""COMPUTED_VALUE"""),4566.0)</f>
        <v>4566</v>
      </c>
      <c r="I515" s="4">
        <f>IFERROR(__xludf.DUMMYFUNCTION("""COMPUTED_VALUE"""),1697.0)</f>
        <v>1697</v>
      </c>
      <c r="J515" s="4">
        <f>IFERROR(__xludf.DUMMYFUNCTION("""COMPUTED_VALUE"""),848.0)</f>
        <v>848</v>
      </c>
      <c r="K515" s="4">
        <f>IFERROR(__xludf.DUMMYFUNCTION("""COMPUTED_VALUE"""),241.0)</f>
        <v>241</v>
      </c>
      <c r="L515" s="4">
        <f>IFERROR(__xludf.DUMMYFUNCTION("""COMPUTED_VALUE"""),0.474)</f>
        <v>0.474</v>
      </c>
      <c r="M515" s="4">
        <f>IFERROR(__xludf.DUMMYFUNCTION("""COMPUTED_VALUE"""),0.333)</f>
        <v>0.333</v>
      </c>
      <c r="N515" s="4">
        <f>IFERROR(__xludf.DUMMYFUNCTION("""COMPUTED_VALUE"""),0.751)</f>
        <v>0.751</v>
      </c>
      <c r="O515" s="4">
        <f>IFERROR(__xludf.DUMMYFUNCTION("""COMPUTED_VALUE"""),16.1)</f>
        <v>16.1</v>
      </c>
      <c r="P515" s="4">
        <f>IFERROR(__xludf.DUMMYFUNCTION("""COMPUTED_VALUE"""),6.0)</f>
        <v>6</v>
      </c>
      <c r="Q515" s="4">
        <f>IFERROR(__xludf.DUMMYFUNCTION("""COMPUTED_VALUE"""),3.0)</f>
        <v>3</v>
      </c>
      <c r="R515" s="4">
        <f>IFERROR(__xludf.DUMMYFUNCTION("""COMPUTED_VALUE"""),0.9)</f>
        <v>0.9</v>
      </c>
      <c r="S515" s="4">
        <f>IFERROR(__xludf.DUMMYFUNCTION("""COMPUTED_VALUE"""),7.4)</f>
        <v>7.4</v>
      </c>
      <c r="T515" s="4">
        <f>IFERROR(__xludf.DUMMYFUNCTION("""COMPUTED_VALUE"""),0.078)</f>
        <v>0.078</v>
      </c>
      <c r="U515" s="4">
        <f>IFERROR(__xludf.DUMMYFUNCTION("""COMPUTED_VALUE"""),-1.6)</f>
        <v>-1.6</v>
      </c>
      <c r="V515" s="4">
        <f>IFERROR(__xludf.DUMMYFUNCTION("""COMPUTED_VALUE"""),0.5)</f>
        <v>0.5</v>
      </c>
    </row>
    <row r="516">
      <c r="A516" s="4">
        <f>IFERROR(__xludf.DUMMYFUNCTION("""COMPUTED_VALUE"""),49.0)</f>
        <v>49</v>
      </c>
      <c r="B516" s="4">
        <f>IFERROR(__xludf.DUMMYFUNCTION("""COMPUTED_VALUE"""),49.0)</f>
        <v>49</v>
      </c>
      <c r="C516" s="4" t="str">
        <f>IFERROR(__xludf.DUMMYFUNCTION("""COMPUTED_VALUE"""),"SAS")</f>
        <v>SAS</v>
      </c>
      <c r="D516" s="4" t="str">
        <f>IFERROR(__xludf.DUMMYFUNCTION("""COMPUTED_VALUE"""),"Chimezie Metu")</f>
        <v>Chimezie Metu</v>
      </c>
      <c r="E516" s="4" t="str">
        <f>IFERROR(__xludf.DUMMYFUNCTION("""COMPUTED_VALUE"""),"USC")</f>
        <v>USC</v>
      </c>
      <c r="F516" s="4">
        <f>IFERROR(__xludf.DUMMYFUNCTION("""COMPUTED_VALUE"""),6.0)</f>
        <v>6</v>
      </c>
      <c r="G516" s="4">
        <f>IFERROR(__xludf.DUMMYFUNCTION("""COMPUTED_VALUE"""),260.0)</f>
        <v>260</v>
      </c>
      <c r="H516" s="4">
        <f>IFERROR(__xludf.DUMMYFUNCTION("""COMPUTED_VALUE"""),3565.0)</f>
        <v>3565</v>
      </c>
      <c r="I516" s="4">
        <f>IFERROR(__xludf.DUMMYFUNCTION("""COMPUTED_VALUE"""),1522.0)</f>
        <v>1522</v>
      </c>
      <c r="J516" s="4">
        <f>IFERROR(__xludf.DUMMYFUNCTION("""COMPUTED_VALUE"""),908.0)</f>
        <v>908</v>
      </c>
      <c r="K516" s="4">
        <f>IFERROR(__xludf.DUMMYFUNCTION("""COMPUTED_VALUE"""),197.0)</f>
        <v>197</v>
      </c>
      <c r="L516" s="4">
        <f>IFERROR(__xludf.DUMMYFUNCTION("""COMPUTED_VALUE"""),0.495)</f>
        <v>0.495</v>
      </c>
      <c r="M516" s="4">
        <f>IFERROR(__xludf.DUMMYFUNCTION("""COMPUTED_VALUE"""),0.298)</f>
        <v>0.298</v>
      </c>
      <c r="N516" s="4">
        <f>IFERROR(__xludf.DUMMYFUNCTION("""COMPUTED_VALUE"""),0.787)</f>
        <v>0.787</v>
      </c>
      <c r="O516" s="4">
        <f>IFERROR(__xludf.DUMMYFUNCTION("""COMPUTED_VALUE"""),13.7)</f>
        <v>13.7</v>
      </c>
      <c r="P516" s="4">
        <f>IFERROR(__xludf.DUMMYFUNCTION("""COMPUTED_VALUE"""),5.9)</f>
        <v>5.9</v>
      </c>
      <c r="Q516" s="4">
        <f>IFERROR(__xludf.DUMMYFUNCTION("""COMPUTED_VALUE"""),3.5)</f>
        <v>3.5</v>
      </c>
      <c r="R516" s="4">
        <f>IFERROR(__xludf.DUMMYFUNCTION("""COMPUTED_VALUE"""),0.8)</f>
        <v>0.8</v>
      </c>
      <c r="S516" s="4">
        <f>IFERROR(__xludf.DUMMYFUNCTION("""COMPUTED_VALUE"""),5.7)</f>
        <v>5.7</v>
      </c>
      <c r="T516" s="4">
        <f>IFERROR(__xludf.DUMMYFUNCTION("""COMPUTED_VALUE"""),0.076)</f>
        <v>0.076</v>
      </c>
      <c r="U516" s="4">
        <f>IFERROR(__xludf.DUMMYFUNCTION("""COMPUTED_VALUE"""),-1.6)</f>
        <v>-1.6</v>
      </c>
      <c r="V516" s="4">
        <f>IFERROR(__xludf.DUMMYFUNCTION("""COMPUTED_VALUE"""),0.3)</f>
        <v>0.3</v>
      </c>
    </row>
    <row r="517">
      <c r="A517" s="4">
        <f>IFERROR(__xludf.DUMMYFUNCTION("""COMPUTED_VALUE"""),50.0)</f>
        <v>50</v>
      </c>
      <c r="B517" s="4">
        <f>IFERROR(__xludf.DUMMYFUNCTION("""COMPUTED_VALUE"""),50.0)</f>
        <v>50</v>
      </c>
      <c r="C517" s="4" t="str">
        <f>IFERROR(__xludf.DUMMYFUNCTION("""COMPUTED_VALUE"""),"IND")</f>
        <v>IND</v>
      </c>
      <c r="D517" s="4" t="str">
        <f>IFERROR(__xludf.DUMMYFUNCTION("""COMPUTED_VALUE"""),"Alize Johnson")</f>
        <v>Alize Johnson</v>
      </c>
      <c r="E517" s="4" t="str">
        <f>IFERROR(__xludf.DUMMYFUNCTION("""COMPUTED_VALUE"""),"Missouri State")</f>
        <v>Missouri State</v>
      </c>
      <c r="F517" s="4">
        <f>IFERROR(__xludf.DUMMYFUNCTION("""COMPUTED_VALUE"""),5.0)</f>
        <v>5</v>
      </c>
      <c r="G517" s="4">
        <f>IFERROR(__xludf.DUMMYFUNCTION("""COMPUTED_VALUE"""),76.0)</f>
        <v>76</v>
      </c>
      <c r="H517" s="4">
        <f>IFERROR(__xludf.DUMMYFUNCTION("""COMPUTED_VALUE"""),568.0)</f>
        <v>568</v>
      </c>
      <c r="I517" s="4">
        <f>IFERROR(__xludf.DUMMYFUNCTION("""COMPUTED_VALUE"""),189.0)</f>
        <v>189</v>
      </c>
      <c r="J517" s="4">
        <f>IFERROR(__xludf.DUMMYFUNCTION("""COMPUTED_VALUE"""),228.0)</f>
        <v>228</v>
      </c>
      <c r="K517" s="4">
        <f>IFERROR(__xludf.DUMMYFUNCTION("""COMPUTED_VALUE"""),32.0)</f>
        <v>32</v>
      </c>
      <c r="L517" s="4">
        <f>IFERROR(__xludf.DUMMYFUNCTION("""COMPUTED_VALUE"""),0.481)</f>
        <v>0.481</v>
      </c>
      <c r="M517" s="4">
        <f>IFERROR(__xludf.DUMMYFUNCTION("""COMPUTED_VALUE"""),0.227)</f>
        <v>0.227</v>
      </c>
      <c r="N517" s="4">
        <f>IFERROR(__xludf.DUMMYFUNCTION("""COMPUTED_VALUE"""),0.711)</f>
        <v>0.711</v>
      </c>
      <c r="O517" s="4">
        <f>IFERROR(__xludf.DUMMYFUNCTION("""COMPUTED_VALUE"""),7.5)</f>
        <v>7.5</v>
      </c>
      <c r="P517" s="4">
        <f>IFERROR(__xludf.DUMMYFUNCTION("""COMPUTED_VALUE"""),2.5)</f>
        <v>2.5</v>
      </c>
      <c r="Q517" s="4">
        <f>IFERROR(__xludf.DUMMYFUNCTION("""COMPUTED_VALUE"""),3.0)</f>
        <v>3</v>
      </c>
      <c r="R517" s="4">
        <f>IFERROR(__xludf.DUMMYFUNCTION("""COMPUTED_VALUE"""),0.4)</f>
        <v>0.4</v>
      </c>
      <c r="S517" s="4">
        <f>IFERROR(__xludf.DUMMYFUNCTION("""COMPUTED_VALUE"""),1.3)</f>
        <v>1.3</v>
      </c>
      <c r="T517" s="4">
        <f>IFERROR(__xludf.DUMMYFUNCTION("""COMPUTED_VALUE"""),0.108)</f>
        <v>0.108</v>
      </c>
      <c r="U517" s="4">
        <f>IFERROR(__xludf.DUMMYFUNCTION("""COMPUTED_VALUE"""),-2.4)</f>
        <v>-2.4</v>
      </c>
      <c r="V517" s="4">
        <f>IFERROR(__xludf.DUMMYFUNCTION("""COMPUTED_VALUE"""),-0.1)</f>
        <v>-0.1</v>
      </c>
    </row>
    <row r="518">
      <c r="A518" s="4">
        <f>IFERROR(__xludf.DUMMYFUNCTION("""COMPUTED_VALUE"""),51.0)</f>
        <v>51</v>
      </c>
      <c r="B518" s="4">
        <f>IFERROR(__xludf.DUMMYFUNCTION("""COMPUTED_VALUE"""),51.0)</f>
        <v>51</v>
      </c>
      <c r="C518" s="4" t="str">
        <f>IFERROR(__xludf.DUMMYFUNCTION("""COMPUTED_VALUE"""),"NOP")</f>
        <v>NOP</v>
      </c>
      <c r="D518" s="4" t="str">
        <f>IFERROR(__xludf.DUMMYFUNCTION("""COMPUTED_VALUE"""),"Tony Carr")</f>
        <v>Tony Carr</v>
      </c>
      <c r="E518" s="4" t="str">
        <f>IFERROR(__xludf.DUMMYFUNCTION("""COMPUTED_VALUE"""),"Penn State")</f>
        <v>Penn State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>
        <f>IFERROR(__xludf.DUMMYFUNCTION("""COMPUTED_VALUE"""),52.0)</f>
        <v>52</v>
      </c>
      <c r="B519" s="4">
        <f>IFERROR(__xludf.DUMMYFUNCTION("""COMPUTED_VALUE"""),52.0)</f>
        <v>52</v>
      </c>
      <c r="C519" s="4" t="str">
        <f>IFERROR(__xludf.DUMMYFUNCTION("""COMPUTED_VALUE"""),"UTA")</f>
        <v>UTA</v>
      </c>
      <c r="D519" s="4" t="str">
        <f>IFERROR(__xludf.DUMMYFUNCTION("""COMPUTED_VALUE"""),"Vince Edwards")</f>
        <v>Vince Edwards</v>
      </c>
      <c r="E519" s="4" t="str">
        <f>IFERROR(__xludf.DUMMYFUNCTION("""COMPUTED_VALUE"""),"Purdue")</f>
        <v>Purdue</v>
      </c>
      <c r="F519" s="4">
        <f>IFERROR(__xludf.DUMMYFUNCTION("""COMPUTED_VALUE"""),1.0)</f>
        <v>1</v>
      </c>
      <c r="G519" s="4">
        <f>IFERROR(__xludf.DUMMYFUNCTION("""COMPUTED_VALUE"""),2.0)</f>
        <v>2</v>
      </c>
      <c r="H519" s="4">
        <f>IFERROR(__xludf.DUMMYFUNCTION("""COMPUTED_VALUE"""),16.0)</f>
        <v>16</v>
      </c>
      <c r="I519" s="4">
        <f>IFERROR(__xludf.DUMMYFUNCTION("""COMPUTED_VALUE"""),3.0)</f>
        <v>3</v>
      </c>
      <c r="J519" s="4">
        <f>IFERROR(__xludf.DUMMYFUNCTION("""COMPUTED_VALUE"""),2.0)</f>
        <v>2</v>
      </c>
      <c r="K519" s="4">
        <f>IFERROR(__xludf.DUMMYFUNCTION("""COMPUTED_VALUE"""),0.0)</f>
        <v>0</v>
      </c>
      <c r="L519" s="4">
        <f>IFERROR(__xludf.DUMMYFUNCTION("""COMPUTED_VALUE"""),0.25)</f>
        <v>0.25</v>
      </c>
      <c r="M519" s="4">
        <f>IFERROR(__xludf.DUMMYFUNCTION("""COMPUTED_VALUE"""),0.25)</f>
        <v>0.25</v>
      </c>
      <c r="N519" s="4"/>
      <c r="O519" s="4">
        <f>IFERROR(__xludf.DUMMYFUNCTION("""COMPUTED_VALUE"""),8.0)</f>
        <v>8</v>
      </c>
      <c r="P519" s="4">
        <f>IFERROR(__xludf.DUMMYFUNCTION("""COMPUTED_VALUE"""),1.5)</f>
        <v>1.5</v>
      </c>
      <c r="Q519" s="4">
        <f>IFERROR(__xludf.DUMMYFUNCTION("""COMPUTED_VALUE"""),1.0)</f>
        <v>1</v>
      </c>
      <c r="R519" s="4">
        <f>IFERROR(__xludf.DUMMYFUNCTION("""COMPUTED_VALUE"""),0.0)</f>
        <v>0</v>
      </c>
      <c r="S519" s="4">
        <f>IFERROR(__xludf.DUMMYFUNCTION("""COMPUTED_VALUE"""),0.0)</f>
        <v>0</v>
      </c>
      <c r="T519" s="4">
        <f>IFERROR(__xludf.DUMMYFUNCTION("""COMPUTED_VALUE"""),-0.014)</f>
        <v>-0.014</v>
      </c>
      <c r="U519" s="4">
        <f>IFERROR(__xludf.DUMMYFUNCTION("""COMPUTED_VALUE"""),-6.4)</f>
        <v>-6.4</v>
      </c>
      <c r="V519" s="4">
        <f>IFERROR(__xludf.DUMMYFUNCTION("""COMPUTED_VALUE"""),0.0)</f>
        <v>0</v>
      </c>
    </row>
    <row r="520">
      <c r="A520" s="4">
        <f>IFERROR(__xludf.DUMMYFUNCTION("""COMPUTED_VALUE"""),53.0)</f>
        <v>53</v>
      </c>
      <c r="B520" s="4">
        <f>IFERROR(__xludf.DUMMYFUNCTION("""COMPUTED_VALUE"""),53.0)</f>
        <v>53</v>
      </c>
      <c r="C520" s="4" t="str">
        <f>IFERROR(__xludf.DUMMYFUNCTION("""COMPUTED_VALUE"""),"OKC")</f>
        <v>OKC</v>
      </c>
      <c r="D520" s="4" t="str">
        <f>IFERROR(__xludf.DUMMYFUNCTION("""COMPUTED_VALUE"""),"Devon Hall")</f>
        <v>Devon Hall</v>
      </c>
      <c r="E520" s="4" t="str">
        <f>IFERROR(__xludf.DUMMYFUNCTION("""COMPUTED_VALUE"""),"Virginia")</f>
        <v>Virginia</v>
      </c>
      <c r="F520" s="4">
        <f>IFERROR(__xludf.DUMMYFUNCTION("""COMPUTED_VALUE"""),1.0)</f>
        <v>1</v>
      </c>
      <c r="G520" s="4">
        <f>IFERROR(__xludf.DUMMYFUNCTION("""COMPUTED_VALUE"""),11.0)</f>
        <v>11</v>
      </c>
      <c r="H520" s="4">
        <f>IFERROR(__xludf.DUMMYFUNCTION("""COMPUTED_VALUE"""),81.0)</f>
        <v>81</v>
      </c>
      <c r="I520" s="4">
        <f>IFERROR(__xludf.DUMMYFUNCTION("""COMPUTED_VALUE"""),20.0)</f>
        <v>20</v>
      </c>
      <c r="J520" s="4">
        <f>IFERROR(__xludf.DUMMYFUNCTION("""COMPUTED_VALUE"""),7.0)</f>
        <v>7</v>
      </c>
      <c r="K520" s="4">
        <f>IFERROR(__xludf.DUMMYFUNCTION("""COMPUTED_VALUE"""),13.0)</f>
        <v>13</v>
      </c>
      <c r="L520" s="4">
        <f>IFERROR(__xludf.DUMMYFUNCTION("""COMPUTED_VALUE"""),0.2)</f>
        <v>0.2</v>
      </c>
      <c r="M520" s="4">
        <f>IFERROR(__xludf.DUMMYFUNCTION("""COMPUTED_VALUE"""),0.235)</f>
        <v>0.235</v>
      </c>
      <c r="N520" s="4">
        <f>IFERROR(__xludf.DUMMYFUNCTION("""COMPUTED_VALUE"""),0.5)</f>
        <v>0.5</v>
      </c>
      <c r="O520" s="4">
        <f>IFERROR(__xludf.DUMMYFUNCTION("""COMPUTED_VALUE"""),7.4)</f>
        <v>7.4</v>
      </c>
      <c r="P520" s="4">
        <f>IFERROR(__xludf.DUMMYFUNCTION("""COMPUTED_VALUE"""),1.8)</f>
        <v>1.8</v>
      </c>
      <c r="Q520" s="4">
        <f>IFERROR(__xludf.DUMMYFUNCTION("""COMPUTED_VALUE"""),0.6)</f>
        <v>0.6</v>
      </c>
      <c r="R520" s="4">
        <f>IFERROR(__xludf.DUMMYFUNCTION("""COMPUTED_VALUE"""),1.2)</f>
        <v>1.2</v>
      </c>
      <c r="S520" s="4">
        <f>IFERROR(__xludf.DUMMYFUNCTION("""COMPUTED_VALUE"""),-0.2)</f>
        <v>-0.2</v>
      </c>
      <c r="T520" s="4">
        <f>IFERROR(__xludf.DUMMYFUNCTION("""COMPUTED_VALUE"""),-0.116)</f>
        <v>-0.116</v>
      </c>
      <c r="U520" s="4">
        <f>IFERROR(__xludf.DUMMYFUNCTION("""COMPUTED_VALUE"""),-6.7)</f>
        <v>-6.7</v>
      </c>
      <c r="V520" s="4">
        <f>IFERROR(__xludf.DUMMYFUNCTION("""COMPUTED_VALUE"""),-0.1)</f>
        <v>-0.1</v>
      </c>
    </row>
    <row r="521">
      <c r="A521" s="4">
        <f>IFERROR(__xludf.DUMMYFUNCTION("""COMPUTED_VALUE"""),54.0)</f>
        <v>54</v>
      </c>
      <c r="B521" s="4">
        <f>IFERROR(__xludf.DUMMYFUNCTION("""COMPUTED_VALUE"""),54.0)</f>
        <v>54</v>
      </c>
      <c r="C521" s="4" t="str">
        <f>IFERROR(__xludf.DUMMYFUNCTION("""COMPUTED_VALUE"""),"DAL")</f>
        <v>DAL</v>
      </c>
      <c r="D521" s="4" t="str">
        <f>IFERROR(__xludf.DUMMYFUNCTION("""COMPUTED_VALUE"""),"Shake Milton")</f>
        <v>Shake Milton</v>
      </c>
      <c r="E521" s="4" t="str">
        <f>IFERROR(__xludf.DUMMYFUNCTION("""COMPUTED_VALUE"""),"SMU")</f>
        <v>SMU</v>
      </c>
      <c r="F521" s="4">
        <f>IFERROR(__xludf.DUMMYFUNCTION("""COMPUTED_VALUE"""),7.0)</f>
        <v>7</v>
      </c>
      <c r="G521" s="4">
        <f>IFERROR(__xludf.DUMMYFUNCTION("""COMPUTED_VALUE"""),359.0)</f>
        <v>359</v>
      </c>
      <c r="H521" s="4">
        <f>IFERROR(__xludf.DUMMYFUNCTION("""COMPUTED_VALUE"""),6698.0)</f>
        <v>6698</v>
      </c>
      <c r="I521" s="4">
        <f>IFERROR(__xludf.DUMMYFUNCTION("""COMPUTED_VALUE"""),2899.0)</f>
        <v>2899</v>
      </c>
      <c r="J521" s="4">
        <f>IFERROR(__xludf.DUMMYFUNCTION("""COMPUTED_VALUE"""),783.0)</f>
        <v>783</v>
      </c>
      <c r="K521" s="4">
        <f>IFERROR(__xludf.DUMMYFUNCTION("""COMPUTED_VALUE"""),856.0)</f>
        <v>856</v>
      </c>
      <c r="L521" s="4">
        <f>IFERROR(__xludf.DUMMYFUNCTION("""COMPUTED_VALUE"""),0.451)</f>
        <v>0.451</v>
      </c>
      <c r="M521" s="4">
        <f>IFERROR(__xludf.DUMMYFUNCTION("""COMPUTED_VALUE"""),0.358)</f>
        <v>0.358</v>
      </c>
      <c r="N521" s="4">
        <f>IFERROR(__xludf.DUMMYFUNCTION("""COMPUTED_VALUE"""),0.824)</f>
        <v>0.824</v>
      </c>
      <c r="O521" s="4">
        <f>IFERROR(__xludf.DUMMYFUNCTION("""COMPUTED_VALUE"""),18.7)</f>
        <v>18.7</v>
      </c>
      <c r="P521" s="4">
        <f>IFERROR(__xludf.DUMMYFUNCTION("""COMPUTED_VALUE"""),8.1)</f>
        <v>8.1</v>
      </c>
      <c r="Q521" s="4">
        <f>IFERROR(__xludf.DUMMYFUNCTION("""COMPUTED_VALUE"""),2.2)</f>
        <v>2.2</v>
      </c>
      <c r="R521" s="4">
        <f>IFERROR(__xludf.DUMMYFUNCTION("""COMPUTED_VALUE"""),2.4)</f>
        <v>2.4</v>
      </c>
      <c r="S521" s="4">
        <f>IFERROR(__xludf.DUMMYFUNCTION("""COMPUTED_VALUE"""),11.7)</f>
        <v>11.7</v>
      </c>
      <c r="T521" s="4">
        <f>IFERROR(__xludf.DUMMYFUNCTION("""COMPUTED_VALUE"""),0.084)</f>
        <v>0.084</v>
      </c>
      <c r="U521" s="4">
        <f>IFERROR(__xludf.DUMMYFUNCTION("""COMPUTED_VALUE"""),-2.0)</f>
        <v>-2</v>
      </c>
      <c r="V521" s="4">
        <f>IFERROR(__xludf.DUMMYFUNCTION("""COMPUTED_VALUE"""),-0.1)</f>
        <v>-0.1</v>
      </c>
    </row>
    <row r="522">
      <c r="A522" s="4">
        <f>IFERROR(__xludf.DUMMYFUNCTION("""COMPUTED_VALUE"""),55.0)</f>
        <v>55</v>
      </c>
      <c r="B522" s="4">
        <f>IFERROR(__xludf.DUMMYFUNCTION("""COMPUTED_VALUE"""),55.0)</f>
        <v>55</v>
      </c>
      <c r="C522" s="4" t="str">
        <f>IFERROR(__xludf.DUMMYFUNCTION("""COMPUTED_VALUE"""),"CHO")</f>
        <v>CHO</v>
      </c>
      <c r="D522" s="4" t="str">
        <f>IFERROR(__xludf.DUMMYFUNCTION("""COMPUTED_VALUE"""),"Arnoldas Kulboka")</f>
        <v>Arnoldas Kulboka</v>
      </c>
      <c r="E522" s="4"/>
      <c r="F522" s="4">
        <f>IFERROR(__xludf.DUMMYFUNCTION("""COMPUTED_VALUE"""),1.0)</f>
        <v>1</v>
      </c>
      <c r="G522" s="4">
        <f>IFERROR(__xludf.DUMMYFUNCTION("""COMPUTED_VALUE"""),2.0)</f>
        <v>2</v>
      </c>
      <c r="H522" s="4">
        <f>IFERROR(__xludf.DUMMYFUNCTION("""COMPUTED_VALUE"""),5.0)</f>
        <v>5</v>
      </c>
      <c r="I522" s="4">
        <f>IFERROR(__xludf.DUMMYFUNCTION("""COMPUTED_VALUE"""),0.0)</f>
        <v>0</v>
      </c>
      <c r="J522" s="4">
        <f>IFERROR(__xludf.DUMMYFUNCTION("""COMPUTED_VALUE"""),0.0)</f>
        <v>0</v>
      </c>
      <c r="K522" s="4">
        <f>IFERROR(__xludf.DUMMYFUNCTION("""COMPUTED_VALUE"""),0.0)</f>
        <v>0</v>
      </c>
      <c r="L522" s="4">
        <f>IFERROR(__xludf.DUMMYFUNCTION("""COMPUTED_VALUE"""),0.0)</f>
        <v>0</v>
      </c>
      <c r="M522" s="4">
        <f>IFERROR(__xludf.DUMMYFUNCTION("""COMPUTED_VALUE"""),0.0)</f>
        <v>0</v>
      </c>
      <c r="N522" s="4"/>
      <c r="O522" s="4">
        <f>IFERROR(__xludf.DUMMYFUNCTION("""COMPUTED_VALUE"""),2.5)</f>
        <v>2.5</v>
      </c>
      <c r="P522" s="4">
        <f>IFERROR(__xludf.DUMMYFUNCTION("""COMPUTED_VALUE"""),0.0)</f>
        <v>0</v>
      </c>
      <c r="Q522" s="4">
        <f>IFERROR(__xludf.DUMMYFUNCTION("""COMPUTED_VALUE"""),0.0)</f>
        <v>0</v>
      </c>
      <c r="R522" s="4">
        <f>IFERROR(__xludf.DUMMYFUNCTION("""COMPUTED_VALUE"""),0.0)</f>
        <v>0</v>
      </c>
      <c r="S522" s="4">
        <f>IFERROR(__xludf.DUMMYFUNCTION("""COMPUTED_VALUE"""),0.0)</f>
        <v>0</v>
      </c>
      <c r="T522" s="4">
        <f>IFERROR(__xludf.DUMMYFUNCTION("""COMPUTED_VALUE"""),-0.217)</f>
        <v>-0.217</v>
      </c>
      <c r="U522" s="4">
        <f>IFERROR(__xludf.DUMMYFUNCTION("""COMPUTED_VALUE"""),-21.8)</f>
        <v>-21.8</v>
      </c>
      <c r="V522" s="4">
        <f>IFERROR(__xludf.DUMMYFUNCTION("""COMPUTED_VALUE"""),0.0)</f>
        <v>0</v>
      </c>
    </row>
    <row r="523">
      <c r="A523" s="4">
        <f>IFERROR(__xludf.DUMMYFUNCTION("""COMPUTED_VALUE"""),56.0)</f>
        <v>56</v>
      </c>
      <c r="B523" s="4">
        <f>IFERROR(__xludf.DUMMYFUNCTION("""COMPUTED_VALUE"""),56.0)</f>
        <v>56</v>
      </c>
      <c r="C523" s="4" t="str">
        <f>IFERROR(__xludf.DUMMYFUNCTION("""COMPUTED_VALUE"""),"PHI")</f>
        <v>PHI</v>
      </c>
      <c r="D523" s="4" t="str">
        <f>IFERROR(__xludf.DUMMYFUNCTION("""COMPUTED_VALUE"""),"Ray Spalding")</f>
        <v>Ray Spalding</v>
      </c>
      <c r="E523" s="4" t="str">
        <f>IFERROR(__xludf.DUMMYFUNCTION("""COMPUTED_VALUE"""),"Louisville")</f>
        <v>Louisville</v>
      </c>
      <c r="F523" s="4">
        <f>IFERROR(__xludf.DUMMYFUNCTION("""COMPUTED_VALUE"""),2.0)</f>
        <v>2</v>
      </c>
      <c r="G523" s="4">
        <f>IFERROR(__xludf.DUMMYFUNCTION("""COMPUTED_VALUE"""),16.0)</f>
        <v>16</v>
      </c>
      <c r="H523" s="4">
        <f>IFERROR(__xludf.DUMMYFUNCTION("""COMPUTED_VALUE"""),167.0)</f>
        <v>167</v>
      </c>
      <c r="I523" s="4">
        <f>IFERROR(__xludf.DUMMYFUNCTION("""COMPUTED_VALUE"""),58.0)</f>
        <v>58</v>
      </c>
      <c r="J523" s="4">
        <f>IFERROR(__xludf.DUMMYFUNCTION("""COMPUTED_VALUE"""),52.0)</f>
        <v>52</v>
      </c>
      <c r="K523" s="4">
        <f>IFERROR(__xludf.DUMMYFUNCTION("""COMPUTED_VALUE"""),5.0)</f>
        <v>5</v>
      </c>
      <c r="L523" s="4">
        <f>IFERROR(__xludf.DUMMYFUNCTION("""COMPUTED_VALUE"""),0.529)</f>
        <v>0.529</v>
      </c>
      <c r="M523" s="4">
        <f>IFERROR(__xludf.DUMMYFUNCTION("""COMPUTED_VALUE"""),0.0)</f>
        <v>0</v>
      </c>
      <c r="N523" s="4">
        <f>IFERROR(__xludf.DUMMYFUNCTION("""COMPUTED_VALUE"""),0.286)</f>
        <v>0.286</v>
      </c>
      <c r="O523" s="4">
        <f>IFERROR(__xludf.DUMMYFUNCTION("""COMPUTED_VALUE"""),10.4)</f>
        <v>10.4</v>
      </c>
      <c r="P523" s="4">
        <f>IFERROR(__xludf.DUMMYFUNCTION("""COMPUTED_VALUE"""),3.6)</f>
        <v>3.6</v>
      </c>
      <c r="Q523" s="4">
        <f>IFERROR(__xludf.DUMMYFUNCTION("""COMPUTED_VALUE"""),3.3)</f>
        <v>3.3</v>
      </c>
      <c r="R523" s="4">
        <f>IFERROR(__xludf.DUMMYFUNCTION("""COMPUTED_VALUE"""),0.3)</f>
        <v>0.3</v>
      </c>
      <c r="S523" s="4">
        <f>IFERROR(__xludf.DUMMYFUNCTION("""COMPUTED_VALUE"""),0.1)</f>
        <v>0.1</v>
      </c>
      <c r="T523" s="4">
        <f>IFERROR(__xludf.DUMMYFUNCTION("""COMPUTED_VALUE"""),0.024)</f>
        <v>0.024</v>
      </c>
      <c r="U523" s="4">
        <f>IFERROR(__xludf.DUMMYFUNCTION("""COMPUTED_VALUE"""),-6.2)</f>
        <v>-6.2</v>
      </c>
      <c r="V523" s="4">
        <f>IFERROR(__xludf.DUMMYFUNCTION("""COMPUTED_VALUE"""),-0.2)</f>
        <v>-0.2</v>
      </c>
    </row>
    <row r="524">
      <c r="A524" s="4">
        <f>IFERROR(__xludf.DUMMYFUNCTION("""COMPUTED_VALUE"""),57.0)</f>
        <v>57</v>
      </c>
      <c r="B524" s="4">
        <f>IFERROR(__xludf.DUMMYFUNCTION("""COMPUTED_VALUE"""),57.0)</f>
        <v>57</v>
      </c>
      <c r="C524" s="4" t="str">
        <f>IFERROR(__xludf.DUMMYFUNCTION("""COMPUTED_VALUE"""),"OKC")</f>
        <v>OKC</v>
      </c>
      <c r="D524" s="4" t="str">
        <f>IFERROR(__xludf.DUMMYFUNCTION("""COMPUTED_VALUE"""),"Kevin Hervey")</f>
        <v>Kevin Hervey</v>
      </c>
      <c r="E524" s="4" t="str">
        <f>IFERROR(__xludf.DUMMYFUNCTION("""COMPUTED_VALUE"""),"UT Arlington")</f>
        <v>UT Arlington</v>
      </c>
      <c r="F524" s="4">
        <f>IFERROR(__xludf.DUMMYFUNCTION("""COMPUTED_VALUE"""),1.0)</f>
        <v>1</v>
      </c>
      <c r="G524" s="4">
        <f>IFERROR(__xludf.DUMMYFUNCTION("""COMPUTED_VALUE"""),10.0)</f>
        <v>10</v>
      </c>
      <c r="H524" s="4">
        <f>IFERROR(__xludf.DUMMYFUNCTION("""COMPUTED_VALUE"""),52.0)</f>
        <v>52</v>
      </c>
      <c r="I524" s="4">
        <f>IFERROR(__xludf.DUMMYFUNCTION("""COMPUTED_VALUE"""),17.0)</f>
        <v>17</v>
      </c>
      <c r="J524" s="4">
        <f>IFERROR(__xludf.DUMMYFUNCTION("""COMPUTED_VALUE"""),12.0)</f>
        <v>12</v>
      </c>
      <c r="K524" s="4">
        <f>IFERROR(__xludf.DUMMYFUNCTION("""COMPUTED_VALUE"""),5.0)</f>
        <v>5</v>
      </c>
      <c r="L524" s="4">
        <f>IFERROR(__xludf.DUMMYFUNCTION("""COMPUTED_VALUE"""),0.259)</f>
        <v>0.259</v>
      </c>
      <c r="M524" s="4">
        <f>IFERROR(__xludf.DUMMYFUNCTION("""COMPUTED_VALUE"""),0.15)</f>
        <v>0.15</v>
      </c>
      <c r="N524" s="4"/>
      <c r="O524" s="4">
        <f>IFERROR(__xludf.DUMMYFUNCTION("""COMPUTED_VALUE"""),5.2)</f>
        <v>5.2</v>
      </c>
      <c r="P524" s="4">
        <f>IFERROR(__xludf.DUMMYFUNCTION("""COMPUTED_VALUE"""),1.7)</f>
        <v>1.7</v>
      </c>
      <c r="Q524" s="4">
        <f>IFERROR(__xludf.DUMMYFUNCTION("""COMPUTED_VALUE"""),1.2)</f>
        <v>1.2</v>
      </c>
      <c r="R524" s="4">
        <f>IFERROR(__xludf.DUMMYFUNCTION("""COMPUTED_VALUE"""),0.5)</f>
        <v>0.5</v>
      </c>
      <c r="S524" s="4">
        <f>IFERROR(__xludf.DUMMYFUNCTION("""COMPUTED_VALUE"""),-0.1)</f>
        <v>-0.1</v>
      </c>
      <c r="T524" s="4">
        <f>IFERROR(__xludf.DUMMYFUNCTION("""COMPUTED_VALUE"""),-0.085)</f>
        <v>-0.085</v>
      </c>
      <c r="U524" s="4">
        <f>IFERROR(__xludf.DUMMYFUNCTION("""COMPUTED_VALUE"""),-5.1)</f>
        <v>-5.1</v>
      </c>
      <c r="V524" s="4">
        <f>IFERROR(__xludf.DUMMYFUNCTION("""COMPUTED_VALUE"""),0.0)</f>
        <v>0</v>
      </c>
    </row>
    <row r="525">
      <c r="A525" s="4">
        <f>IFERROR(__xludf.DUMMYFUNCTION("""COMPUTED_VALUE"""),58.0)</f>
        <v>58</v>
      </c>
      <c r="B525" s="4">
        <f>IFERROR(__xludf.DUMMYFUNCTION("""COMPUTED_VALUE"""),58.0)</f>
        <v>58</v>
      </c>
      <c r="C525" s="4" t="str">
        <f>IFERROR(__xludf.DUMMYFUNCTION("""COMPUTED_VALUE"""),"DEN")</f>
        <v>DEN</v>
      </c>
      <c r="D525" s="4" t="str">
        <f>IFERROR(__xludf.DUMMYFUNCTION("""COMPUTED_VALUE"""),"Thomas Welsh")</f>
        <v>Thomas Welsh</v>
      </c>
      <c r="E525" s="4" t="str">
        <f>IFERROR(__xludf.DUMMYFUNCTION("""COMPUTED_VALUE"""),"UCLA")</f>
        <v>UCLA</v>
      </c>
      <c r="F525" s="4">
        <f>IFERROR(__xludf.DUMMYFUNCTION("""COMPUTED_VALUE"""),1.0)</f>
        <v>1</v>
      </c>
      <c r="G525" s="4">
        <f>IFERROR(__xludf.DUMMYFUNCTION("""COMPUTED_VALUE"""),11.0)</f>
        <v>11</v>
      </c>
      <c r="H525" s="4">
        <f>IFERROR(__xludf.DUMMYFUNCTION("""COMPUTED_VALUE"""),36.0)</f>
        <v>36</v>
      </c>
      <c r="I525" s="4">
        <f>IFERROR(__xludf.DUMMYFUNCTION("""COMPUTED_VALUE"""),18.0)</f>
        <v>18</v>
      </c>
      <c r="J525" s="4">
        <f>IFERROR(__xludf.DUMMYFUNCTION("""COMPUTED_VALUE"""),4.0)</f>
        <v>4</v>
      </c>
      <c r="K525" s="4">
        <f>IFERROR(__xludf.DUMMYFUNCTION("""COMPUTED_VALUE"""),5.0)</f>
        <v>5</v>
      </c>
      <c r="L525" s="4">
        <f>IFERROR(__xludf.DUMMYFUNCTION("""COMPUTED_VALUE"""),0.538)</f>
        <v>0.538</v>
      </c>
      <c r="M525" s="4">
        <f>IFERROR(__xludf.DUMMYFUNCTION("""COMPUTED_VALUE"""),0.429)</f>
        <v>0.429</v>
      </c>
      <c r="N525" s="4">
        <f>IFERROR(__xludf.DUMMYFUNCTION("""COMPUTED_VALUE"""),0.5)</f>
        <v>0.5</v>
      </c>
      <c r="O525" s="4">
        <f>IFERROR(__xludf.DUMMYFUNCTION("""COMPUTED_VALUE"""),3.3)</f>
        <v>3.3</v>
      </c>
      <c r="P525" s="4">
        <f>IFERROR(__xludf.DUMMYFUNCTION("""COMPUTED_VALUE"""),1.6)</f>
        <v>1.6</v>
      </c>
      <c r="Q525" s="4">
        <f>IFERROR(__xludf.DUMMYFUNCTION("""COMPUTED_VALUE"""),0.4)</f>
        <v>0.4</v>
      </c>
      <c r="R525" s="4">
        <f>IFERROR(__xludf.DUMMYFUNCTION("""COMPUTED_VALUE"""),0.5)</f>
        <v>0.5</v>
      </c>
      <c r="S525" s="4">
        <f>IFERROR(__xludf.DUMMYFUNCTION("""COMPUTED_VALUE"""),0.1)</f>
        <v>0.1</v>
      </c>
      <c r="T525" s="4">
        <f>IFERROR(__xludf.DUMMYFUNCTION("""COMPUTED_VALUE"""),0.162)</f>
        <v>0.162</v>
      </c>
      <c r="U525" s="4">
        <f>IFERROR(__xludf.DUMMYFUNCTION("""COMPUTED_VALUE"""),1.2)</f>
        <v>1.2</v>
      </c>
      <c r="V525" s="4">
        <f>IFERROR(__xludf.DUMMYFUNCTION("""COMPUTED_VALUE"""),0.0)</f>
        <v>0</v>
      </c>
    </row>
    <row r="526">
      <c r="A526" s="4">
        <f>IFERROR(__xludf.DUMMYFUNCTION("""COMPUTED_VALUE"""),59.0)</f>
        <v>59</v>
      </c>
      <c r="B526" s="4">
        <f>IFERROR(__xludf.DUMMYFUNCTION("""COMPUTED_VALUE"""),59.0)</f>
        <v>59</v>
      </c>
      <c r="C526" s="4" t="str">
        <f>IFERROR(__xludf.DUMMYFUNCTION("""COMPUTED_VALUE"""),"PHO")</f>
        <v>PHO</v>
      </c>
      <c r="D526" s="4" t="str">
        <f>IFERROR(__xludf.DUMMYFUNCTION("""COMPUTED_VALUE"""),"George King")</f>
        <v>George King</v>
      </c>
      <c r="E526" s="4" t="str">
        <f>IFERROR(__xludf.DUMMYFUNCTION("""COMPUTED_VALUE"""),"Colorado")</f>
        <v>Colorado</v>
      </c>
      <c r="F526" s="4">
        <f>IFERROR(__xludf.DUMMYFUNCTION("""COMPUTED_VALUE"""),2.0)</f>
        <v>2</v>
      </c>
      <c r="G526" s="4">
        <f>IFERROR(__xludf.DUMMYFUNCTION("""COMPUTED_VALUE"""),5.0)</f>
        <v>5</v>
      </c>
      <c r="H526" s="4">
        <f>IFERROR(__xludf.DUMMYFUNCTION("""COMPUTED_VALUE"""),25.0)</f>
        <v>25</v>
      </c>
      <c r="I526" s="4">
        <f>IFERROR(__xludf.DUMMYFUNCTION("""COMPUTED_VALUE"""),1.0)</f>
        <v>1</v>
      </c>
      <c r="J526" s="4">
        <f>IFERROR(__xludf.DUMMYFUNCTION("""COMPUTED_VALUE"""),6.0)</f>
        <v>6</v>
      </c>
      <c r="K526" s="4">
        <f>IFERROR(__xludf.DUMMYFUNCTION("""COMPUTED_VALUE"""),0.0)</f>
        <v>0</v>
      </c>
      <c r="L526" s="4">
        <f>IFERROR(__xludf.DUMMYFUNCTION("""COMPUTED_VALUE"""),0.0)</f>
        <v>0</v>
      </c>
      <c r="M526" s="4">
        <f>IFERROR(__xludf.DUMMYFUNCTION("""COMPUTED_VALUE"""),0.0)</f>
        <v>0</v>
      </c>
      <c r="N526" s="4">
        <f>IFERROR(__xludf.DUMMYFUNCTION("""COMPUTED_VALUE"""),0.5)</f>
        <v>0.5</v>
      </c>
      <c r="O526" s="4">
        <f>IFERROR(__xludf.DUMMYFUNCTION("""COMPUTED_VALUE"""),5.0)</f>
        <v>5</v>
      </c>
      <c r="P526" s="4">
        <f>IFERROR(__xludf.DUMMYFUNCTION("""COMPUTED_VALUE"""),0.2)</f>
        <v>0.2</v>
      </c>
      <c r="Q526" s="4">
        <f>IFERROR(__xludf.DUMMYFUNCTION("""COMPUTED_VALUE"""),1.2)</f>
        <v>1.2</v>
      </c>
      <c r="R526" s="4">
        <f>IFERROR(__xludf.DUMMYFUNCTION("""COMPUTED_VALUE"""),0.0)</f>
        <v>0</v>
      </c>
      <c r="S526" s="4">
        <f>IFERROR(__xludf.DUMMYFUNCTION("""COMPUTED_VALUE"""),-0.1)</f>
        <v>-0.1</v>
      </c>
      <c r="T526" s="4">
        <f>IFERROR(__xludf.DUMMYFUNCTION("""COMPUTED_VALUE"""),-0.225)</f>
        <v>-0.225</v>
      </c>
      <c r="U526" s="4">
        <f>IFERROR(__xludf.DUMMYFUNCTION("""COMPUTED_VALUE"""),-17.2)</f>
        <v>-17.2</v>
      </c>
      <c r="V526" s="4">
        <f>IFERROR(__xludf.DUMMYFUNCTION("""COMPUTED_VALUE"""),-0.1)</f>
        <v>-0.1</v>
      </c>
    </row>
    <row r="527">
      <c r="A527" s="4">
        <f>IFERROR(__xludf.DUMMYFUNCTION("""COMPUTED_VALUE"""),60.0)</f>
        <v>60</v>
      </c>
      <c r="B527" s="4">
        <f>IFERROR(__xludf.DUMMYFUNCTION("""COMPUTED_VALUE"""),60.0)</f>
        <v>60</v>
      </c>
      <c r="C527" s="4" t="str">
        <f>IFERROR(__xludf.DUMMYFUNCTION("""COMPUTED_VALUE"""),"PHI")</f>
        <v>PHI</v>
      </c>
      <c r="D527" s="4" t="str">
        <f>IFERROR(__xludf.DUMMYFUNCTION("""COMPUTED_VALUE"""),"Kostas Antetokounmpo")</f>
        <v>Kostas Antetokounmpo</v>
      </c>
      <c r="E527" s="4" t="str">
        <f>IFERROR(__xludf.DUMMYFUNCTION("""COMPUTED_VALUE"""),"Dayton")</f>
        <v>Dayton</v>
      </c>
      <c r="F527" s="4">
        <f>IFERROR(__xludf.DUMMYFUNCTION("""COMPUTED_VALUE"""),3.0)</f>
        <v>3</v>
      </c>
      <c r="G527" s="4">
        <f>IFERROR(__xludf.DUMMYFUNCTION("""COMPUTED_VALUE"""),22.0)</f>
        <v>22</v>
      </c>
      <c r="H527" s="4">
        <f>IFERROR(__xludf.DUMMYFUNCTION("""COMPUTED_VALUE"""),87.0)</f>
        <v>87</v>
      </c>
      <c r="I527" s="4">
        <f>IFERROR(__xludf.DUMMYFUNCTION("""COMPUTED_VALUE"""),21.0)</f>
        <v>21</v>
      </c>
      <c r="J527" s="4">
        <f>IFERROR(__xludf.DUMMYFUNCTION("""COMPUTED_VALUE"""),23.0)</f>
        <v>23</v>
      </c>
      <c r="K527" s="4">
        <f>IFERROR(__xludf.DUMMYFUNCTION("""COMPUTED_VALUE"""),3.0)</f>
        <v>3</v>
      </c>
      <c r="L527" s="4">
        <f>IFERROR(__xludf.DUMMYFUNCTION("""COMPUTED_VALUE"""),0.375)</f>
        <v>0.375</v>
      </c>
      <c r="M527" s="4"/>
      <c r="N527" s="4">
        <f>IFERROR(__xludf.DUMMYFUNCTION("""COMPUTED_VALUE"""),0.474)</f>
        <v>0.474</v>
      </c>
      <c r="O527" s="4">
        <f>IFERROR(__xludf.DUMMYFUNCTION("""COMPUTED_VALUE"""),4.0)</f>
        <v>4</v>
      </c>
      <c r="P527" s="4">
        <f>IFERROR(__xludf.DUMMYFUNCTION("""COMPUTED_VALUE"""),1.0)</f>
        <v>1</v>
      </c>
      <c r="Q527" s="4">
        <f>IFERROR(__xludf.DUMMYFUNCTION("""COMPUTED_VALUE"""),1.0)</f>
        <v>1</v>
      </c>
      <c r="R527" s="4">
        <f>IFERROR(__xludf.DUMMYFUNCTION("""COMPUTED_VALUE"""),0.1)</f>
        <v>0.1</v>
      </c>
      <c r="S527" s="4">
        <f>IFERROR(__xludf.DUMMYFUNCTION("""COMPUTED_VALUE"""),-0.2)</f>
        <v>-0.2</v>
      </c>
      <c r="T527" s="4">
        <f>IFERROR(__xludf.DUMMYFUNCTION("""COMPUTED_VALUE"""),-0.098)</f>
        <v>-0.098</v>
      </c>
      <c r="U527" s="4">
        <f>IFERROR(__xludf.DUMMYFUNCTION("""COMPUTED_VALUE"""),-9.9)</f>
        <v>-9.9</v>
      </c>
      <c r="V527" s="4">
        <f>IFERROR(__xludf.DUMMYFUNCTION("""COMPUTED_VALUE"""),-0.2)</f>
        <v>-0.2</v>
      </c>
    </row>
    <row r="529">
      <c r="A529" s="2">
        <v>2017.0</v>
      </c>
    </row>
    <row r="530">
      <c r="A530" s="4" t="str">
        <f>IFERROR(__xludf.DUMMYFUNCTION("IMPORTHTML(""https://www.basketball-reference.com/draft/NBA_2017.html"", ""table"", 1)"),"")</f>
        <v/>
      </c>
      <c r="B530" s="4"/>
      <c r="C530" s="4"/>
      <c r="D530" s="4" t="str">
        <f>IFERROR(__xludf.DUMMYFUNCTION("""COMPUTED_VALUE"""),"Round 1")</f>
        <v>Round 1</v>
      </c>
      <c r="E530" s="4"/>
      <c r="F530" s="4"/>
      <c r="G530" s="4" t="str">
        <f>IFERROR(__xludf.DUMMYFUNCTION("""COMPUTED_VALUE"""),"Totals")</f>
        <v>Totals</v>
      </c>
      <c r="H530" s="4"/>
      <c r="I530" s="4"/>
      <c r="J530" s="4"/>
      <c r="K530" s="4"/>
      <c r="L530" s="4" t="str">
        <f>IFERROR(__xludf.DUMMYFUNCTION("""COMPUTED_VALUE"""),"Shooting")</f>
        <v>Shooting</v>
      </c>
      <c r="M530" s="4"/>
      <c r="N530" s="4"/>
      <c r="O530" s="4" t="str">
        <f>IFERROR(__xludf.DUMMYFUNCTION("""COMPUTED_VALUE"""),"Per Game")</f>
        <v>Per Game</v>
      </c>
      <c r="P530" s="4"/>
      <c r="Q530" s="4"/>
      <c r="R530" s="4"/>
      <c r="S530" s="4" t="str">
        <f>IFERROR(__xludf.DUMMYFUNCTION("""COMPUTED_VALUE"""),"Advanced")</f>
        <v>Advanced</v>
      </c>
      <c r="T530" s="4"/>
      <c r="U530" s="4"/>
      <c r="V530" s="4"/>
    </row>
    <row r="531">
      <c r="A531" s="4" t="str">
        <f>IFERROR(__xludf.DUMMYFUNCTION("""COMPUTED_VALUE"""),"Rk")</f>
        <v>Rk</v>
      </c>
      <c r="B531" s="4" t="str">
        <f>IFERROR(__xludf.DUMMYFUNCTION("""COMPUTED_VALUE"""),"Pk")</f>
        <v>Pk</v>
      </c>
      <c r="C531" s="4" t="str">
        <f>IFERROR(__xludf.DUMMYFUNCTION("""COMPUTED_VALUE"""),"Tm")</f>
        <v>Tm</v>
      </c>
      <c r="D531" s="4" t="str">
        <f>IFERROR(__xludf.DUMMYFUNCTION("""COMPUTED_VALUE"""),"Player")</f>
        <v>Player</v>
      </c>
      <c r="E531" s="4" t="str">
        <f>IFERROR(__xludf.DUMMYFUNCTION("""COMPUTED_VALUE"""),"College")</f>
        <v>College</v>
      </c>
      <c r="F531" s="4" t="str">
        <f>IFERROR(__xludf.DUMMYFUNCTION("""COMPUTED_VALUE"""),"Yrs")</f>
        <v>Yrs</v>
      </c>
      <c r="G531" s="4" t="str">
        <f>IFERROR(__xludf.DUMMYFUNCTION("""COMPUTED_VALUE"""),"G")</f>
        <v>G</v>
      </c>
      <c r="H531" s="4" t="str">
        <f>IFERROR(__xludf.DUMMYFUNCTION("""COMPUTED_VALUE"""),"MP")</f>
        <v>MP</v>
      </c>
      <c r="I531" s="4" t="str">
        <f>IFERROR(__xludf.DUMMYFUNCTION("""COMPUTED_VALUE"""),"PTS")</f>
        <v>PTS</v>
      </c>
      <c r="J531" s="4" t="str">
        <f>IFERROR(__xludf.DUMMYFUNCTION("""COMPUTED_VALUE"""),"TRB")</f>
        <v>TRB</v>
      </c>
      <c r="K531" s="4" t="str">
        <f>IFERROR(__xludf.DUMMYFUNCTION("""COMPUTED_VALUE"""),"AST")</f>
        <v>AST</v>
      </c>
      <c r="L531" s="4" t="str">
        <f>IFERROR(__xludf.DUMMYFUNCTION("""COMPUTED_VALUE"""),"FG%")</f>
        <v>FG%</v>
      </c>
      <c r="M531" s="4" t="str">
        <f>IFERROR(__xludf.DUMMYFUNCTION("""COMPUTED_VALUE"""),"3P%")</f>
        <v>3P%</v>
      </c>
      <c r="N531" s="4" t="str">
        <f>IFERROR(__xludf.DUMMYFUNCTION("""COMPUTED_VALUE"""),"FT%")</f>
        <v>FT%</v>
      </c>
      <c r="O531" s="4" t="str">
        <f>IFERROR(__xludf.DUMMYFUNCTION("""COMPUTED_VALUE"""),"MP")</f>
        <v>MP</v>
      </c>
      <c r="P531" s="4" t="str">
        <f>IFERROR(__xludf.DUMMYFUNCTION("""COMPUTED_VALUE"""),"PTS")</f>
        <v>PTS</v>
      </c>
      <c r="Q531" s="4" t="str">
        <f>IFERROR(__xludf.DUMMYFUNCTION("""COMPUTED_VALUE"""),"TRB")</f>
        <v>TRB</v>
      </c>
      <c r="R531" s="4" t="str">
        <f>IFERROR(__xludf.DUMMYFUNCTION("""COMPUTED_VALUE"""),"AST")</f>
        <v>AST</v>
      </c>
      <c r="S531" s="4" t="str">
        <f>IFERROR(__xludf.DUMMYFUNCTION("""COMPUTED_VALUE"""),"WS")</f>
        <v>WS</v>
      </c>
      <c r="T531" s="4" t="str">
        <f>IFERROR(__xludf.DUMMYFUNCTION("""COMPUTED_VALUE"""),"WS/48")</f>
        <v>WS/48</v>
      </c>
      <c r="U531" s="4" t="str">
        <f>IFERROR(__xludf.DUMMYFUNCTION("""COMPUTED_VALUE"""),"BPM")</f>
        <v>BPM</v>
      </c>
      <c r="V531" s="4" t="str">
        <f>IFERROR(__xludf.DUMMYFUNCTION("""COMPUTED_VALUE"""),"VORP")</f>
        <v>VORP</v>
      </c>
    </row>
    <row r="532">
      <c r="A532" s="4">
        <f>IFERROR(__xludf.DUMMYFUNCTION("""COMPUTED_VALUE"""),1.0)</f>
        <v>1</v>
      </c>
      <c r="B532" s="4">
        <f>IFERROR(__xludf.DUMMYFUNCTION("""COMPUTED_VALUE"""),1.0)</f>
        <v>1</v>
      </c>
      <c r="C532" s="4" t="str">
        <f>IFERROR(__xludf.DUMMYFUNCTION("""COMPUTED_VALUE"""),"PHI")</f>
        <v>PHI</v>
      </c>
      <c r="D532" s="4" t="str">
        <f>IFERROR(__xludf.DUMMYFUNCTION("""COMPUTED_VALUE"""),"Markelle Fultz")</f>
        <v>Markelle Fultz</v>
      </c>
      <c r="E532" s="4" t="str">
        <f>IFERROR(__xludf.DUMMYFUNCTION("""COMPUTED_VALUE"""),"Washington")</f>
        <v>Washington</v>
      </c>
      <c r="F532" s="4">
        <f>IFERROR(__xludf.DUMMYFUNCTION("""COMPUTED_VALUE"""),8.0)</f>
        <v>8</v>
      </c>
      <c r="G532" s="4">
        <f>IFERROR(__xludf.DUMMYFUNCTION("""COMPUTED_VALUE"""),255.0)</f>
        <v>255</v>
      </c>
      <c r="H532" s="4">
        <f>IFERROR(__xludf.DUMMYFUNCTION("""COMPUTED_VALUE"""),6123.0)</f>
        <v>6123</v>
      </c>
      <c r="I532" s="4">
        <f>IFERROR(__xludf.DUMMYFUNCTION("""COMPUTED_VALUE"""),2656.0)</f>
        <v>2656</v>
      </c>
      <c r="J532" s="4">
        <f>IFERROR(__xludf.DUMMYFUNCTION("""COMPUTED_VALUE"""),817.0)</f>
        <v>817</v>
      </c>
      <c r="K532" s="4">
        <f>IFERROR(__xludf.DUMMYFUNCTION("""COMPUTED_VALUE"""),1111.0)</f>
        <v>1111</v>
      </c>
      <c r="L532" s="4">
        <f>IFERROR(__xludf.DUMMYFUNCTION("""COMPUTED_VALUE"""),0.47)</f>
        <v>0.47</v>
      </c>
      <c r="M532" s="4">
        <f>IFERROR(__xludf.DUMMYFUNCTION("""COMPUTED_VALUE"""),0.28)</f>
        <v>0.28</v>
      </c>
      <c r="N532" s="4">
        <f>IFERROR(__xludf.DUMMYFUNCTION("""COMPUTED_VALUE"""),0.732)</f>
        <v>0.732</v>
      </c>
      <c r="O532" s="4">
        <f>IFERROR(__xludf.DUMMYFUNCTION("""COMPUTED_VALUE"""),24.0)</f>
        <v>24</v>
      </c>
      <c r="P532" s="4">
        <f>IFERROR(__xludf.DUMMYFUNCTION("""COMPUTED_VALUE"""),10.4)</f>
        <v>10.4</v>
      </c>
      <c r="Q532" s="4">
        <f>IFERROR(__xludf.DUMMYFUNCTION("""COMPUTED_VALUE"""),3.2)</f>
        <v>3.2</v>
      </c>
      <c r="R532" s="4">
        <f>IFERROR(__xludf.DUMMYFUNCTION("""COMPUTED_VALUE"""),4.4)</f>
        <v>4.4</v>
      </c>
      <c r="S532" s="4">
        <f>IFERROR(__xludf.DUMMYFUNCTION("""COMPUTED_VALUE"""),8.4)</f>
        <v>8.4</v>
      </c>
      <c r="T532" s="4">
        <f>IFERROR(__xludf.DUMMYFUNCTION("""COMPUTED_VALUE"""),0.066)</f>
        <v>0.066</v>
      </c>
      <c r="U532" s="4">
        <f>IFERROR(__xludf.DUMMYFUNCTION("""COMPUTED_VALUE"""),-1.2)</f>
        <v>-1.2</v>
      </c>
      <c r="V532" s="4">
        <f>IFERROR(__xludf.DUMMYFUNCTION("""COMPUTED_VALUE"""),1.2)</f>
        <v>1.2</v>
      </c>
    </row>
    <row r="533">
      <c r="A533" s="4">
        <f>IFERROR(__xludf.DUMMYFUNCTION("""COMPUTED_VALUE"""),2.0)</f>
        <v>2</v>
      </c>
      <c r="B533" s="4">
        <f>IFERROR(__xludf.DUMMYFUNCTION("""COMPUTED_VALUE"""),2.0)</f>
        <v>2</v>
      </c>
      <c r="C533" s="4" t="str">
        <f>IFERROR(__xludf.DUMMYFUNCTION("""COMPUTED_VALUE"""),"LAL")</f>
        <v>LAL</v>
      </c>
      <c r="D533" s="4" t="str">
        <f>IFERROR(__xludf.DUMMYFUNCTION("""COMPUTED_VALUE"""),"Lonzo Ball")</f>
        <v>Lonzo Ball</v>
      </c>
      <c r="E533" s="4" t="str">
        <f>IFERROR(__xludf.DUMMYFUNCTION("""COMPUTED_VALUE"""),"UCLA")</f>
        <v>UCLA</v>
      </c>
      <c r="F533" s="4">
        <f>IFERROR(__xludf.DUMMYFUNCTION("""COMPUTED_VALUE"""),7.0)</f>
        <v>7</v>
      </c>
      <c r="G533" s="4">
        <f>IFERROR(__xludf.DUMMYFUNCTION("""COMPUTED_VALUE"""),303.0)</f>
        <v>303</v>
      </c>
      <c r="H533" s="4">
        <f>IFERROR(__xludf.DUMMYFUNCTION("""COMPUTED_VALUE"""),9341.0)</f>
        <v>9341</v>
      </c>
      <c r="I533" s="4">
        <f>IFERROR(__xludf.DUMMYFUNCTION("""COMPUTED_VALUE"""),3356.0)</f>
        <v>3356</v>
      </c>
      <c r="J533" s="4">
        <f>IFERROR(__xludf.DUMMYFUNCTION("""COMPUTED_VALUE"""),1635.0)</f>
        <v>1635</v>
      </c>
      <c r="K533" s="4">
        <f>IFERROR(__xludf.DUMMYFUNCTION("""COMPUTED_VALUE"""),1760.0)</f>
        <v>1760</v>
      </c>
      <c r="L533" s="4">
        <f>IFERROR(__xludf.DUMMYFUNCTION("""COMPUTED_VALUE"""),0.395)</f>
        <v>0.395</v>
      </c>
      <c r="M533" s="4">
        <f>IFERROR(__xludf.DUMMYFUNCTION("""COMPUTED_VALUE"""),0.359)</f>
        <v>0.359</v>
      </c>
      <c r="N533" s="4">
        <f>IFERROR(__xludf.DUMMYFUNCTION("""COMPUTED_VALUE"""),0.601)</f>
        <v>0.601</v>
      </c>
      <c r="O533" s="4">
        <f>IFERROR(__xludf.DUMMYFUNCTION("""COMPUTED_VALUE"""),30.8)</f>
        <v>30.8</v>
      </c>
      <c r="P533" s="4">
        <f>IFERROR(__xludf.DUMMYFUNCTION("""COMPUTED_VALUE"""),11.1)</f>
        <v>11.1</v>
      </c>
      <c r="Q533" s="4">
        <f>IFERROR(__xludf.DUMMYFUNCTION("""COMPUTED_VALUE"""),5.4)</f>
        <v>5.4</v>
      </c>
      <c r="R533" s="4">
        <f>IFERROR(__xludf.DUMMYFUNCTION("""COMPUTED_VALUE"""),5.8)</f>
        <v>5.8</v>
      </c>
      <c r="S533" s="4">
        <f>IFERROR(__xludf.DUMMYFUNCTION("""COMPUTED_VALUE"""),12.9)</f>
        <v>12.9</v>
      </c>
      <c r="T533" s="4">
        <f>IFERROR(__xludf.DUMMYFUNCTION("""COMPUTED_VALUE"""),0.066)</f>
        <v>0.066</v>
      </c>
      <c r="U533" s="4">
        <f>IFERROR(__xludf.DUMMYFUNCTION("""COMPUTED_VALUE"""),0.9)</f>
        <v>0.9</v>
      </c>
      <c r="V533" s="4">
        <f>IFERROR(__xludf.DUMMYFUNCTION("""COMPUTED_VALUE"""),6.7)</f>
        <v>6.7</v>
      </c>
    </row>
    <row r="534">
      <c r="A534" s="4">
        <f>IFERROR(__xludf.DUMMYFUNCTION("""COMPUTED_VALUE"""),3.0)</f>
        <v>3</v>
      </c>
      <c r="B534" s="4">
        <f>IFERROR(__xludf.DUMMYFUNCTION("""COMPUTED_VALUE"""),3.0)</f>
        <v>3</v>
      </c>
      <c r="C534" s="4" t="str">
        <f>IFERROR(__xludf.DUMMYFUNCTION("""COMPUTED_VALUE"""),"BOS")</f>
        <v>BOS</v>
      </c>
      <c r="D534" s="4" t="str">
        <f>IFERROR(__xludf.DUMMYFUNCTION("""COMPUTED_VALUE"""),"Jayson Tatum")</f>
        <v>Jayson Tatum</v>
      </c>
      <c r="E534" s="4" t="str">
        <f>IFERROR(__xludf.DUMMYFUNCTION("""COMPUTED_VALUE"""),"Duke")</f>
        <v>Duke</v>
      </c>
      <c r="F534" s="4">
        <f>IFERROR(__xludf.DUMMYFUNCTION("""COMPUTED_VALUE"""),8.0)</f>
        <v>8</v>
      </c>
      <c r="G534" s="4">
        <f>IFERROR(__xludf.DUMMYFUNCTION("""COMPUTED_VALUE"""),585.0)</f>
        <v>585</v>
      </c>
      <c r="H534" s="4">
        <f>IFERROR(__xludf.DUMMYFUNCTION("""COMPUTED_VALUE"""),20185.0)</f>
        <v>20185</v>
      </c>
      <c r="I534" s="4">
        <f>IFERROR(__xludf.DUMMYFUNCTION("""COMPUTED_VALUE"""),13784.0)</f>
        <v>13784</v>
      </c>
      <c r="J534" s="4">
        <f>IFERROR(__xludf.DUMMYFUNCTION("""COMPUTED_VALUE"""),4293.0)</f>
        <v>4293</v>
      </c>
      <c r="K534" s="4">
        <f>IFERROR(__xludf.DUMMYFUNCTION("""COMPUTED_VALUE"""),2243.0)</f>
        <v>2243</v>
      </c>
      <c r="L534" s="4">
        <f>IFERROR(__xludf.DUMMYFUNCTION("""COMPUTED_VALUE"""),0.459)</f>
        <v>0.459</v>
      </c>
      <c r="M534" s="4">
        <f>IFERROR(__xludf.DUMMYFUNCTION("""COMPUTED_VALUE"""),0.37)</f>
        <v>0.37</v>
      </c>
      <c r="N534" s="4">
        <f>IFERROR(__xludf.DUMMYFUNCTION("""COMPUTED_VALUE"""),0.84)</f>
        <v>0.84</v>
      </c>
      <c r="O534" s="4">
        <f>IFERROR(__xludf.DUMMYFUNCTION("""COMPUTED_VALUE"""),34.5)</f>
        <v>34.5</v>
      </c>
      <c r="P534" s="4">
        <f>IFERROR(__xludf.DUMMYFUNCTION("""COMPUTED_VALUE"""),23.6)</f>
        <v>23.6</v>
      </c>
      <c r="Q534" s="4">
        <f>IFERROR(__xludf.DUMMYFUNCTION("""COMPUTED_VALUE"""),7.3)</f>
        <v>7.3</v>
      </c>
      <c r="R534" s="4">
        <f>IFERROR(__xludf.DUMMYFUNCTION("""COMPUTED_VALUE"""),3.8)</f>
        <v>3.8</v>
      </c>
      <c r="S534" s="4">
        <f>IFERROR(__xludf.DUMMYFUNCTION("""COMPUTED_VALUE"""),65.5)</f>
        <v>65.5</v>
      </c>
      <c r="T534" s="4">
        <f>IFERROR(__xludf.DUMMYFUNCTION("""COMPUTED_VALUE"""),0.156)</f>
        <v>0.156</v>
      </c>
      <c r="U534" s="4">
        <f>IFERROR(__xludf.DUMMYFUNCTION("""COMPUTED_VALUE"""),3.8)</f>
        <v>3.8</v>
      </c>
      <c r="V534" s="4">
        <f>IFERROR(__xludf.DUMMYFUNCTION("""COMPUTED_VALUE"""),29.4)</f>
        <v>29.4</v>
      </c>
    </row>
    <row r="535">
      <c r="A535" s="4">
        <f>IFERROR(__xludf.DUMMYFUNCTION("""COMPUTED_VALUE"""),4.0)</f>
        <v>4</v>
      </c>
      <c r="B535" s="4">
        <f>IFERROR(__xludf.DUMMYFUNCTION("""COMPUTED_VALUE"""),4.0)</f>
        <v>4</v>
      </c>
      <c r="C535" s="4" t="str">
        <f>IFERROR(__xludf.DUMMYFUNCTION("""COMPUTED_VALUE"""),"PHO")</f>
        <v>PHO</v>
      </c>
      <c r="D535" s="4" t="str">
        <f>IFERROR(__xludf.DUMMYFUNCTION("""COMPUTED_VALUE"""),"Josh Jackson")</f>
        <v>Josh Jackson</v>
      </c>
      <c r="E535" s="4" t="str">
        <f>IFERROR(__xludf.DUMMYFUNCTION("""COMPUTED_VALUE"""),"Kansas")</f>
        <v>Kansas</v>
      </c>
      <c r="F535" s="4">
        <f>IFERROR(__xludf.DUMMYFUNCTION("""COMPUTED_VALUE"""),5.0)</f>
        <v>5</v>
      </c>
      <c r="G535" s="4">
        <f>IFERROR(__xludf.DUMMYFUNCTION("""COMPUTED_VALUE"""),291.0)</f>
        <v>291</v>
      </c>
      <c r="H535" s="4">
        <f>IFERROR(__xludf.DUMMYFUNCTION("""COMPUTED_VALUE"""),6718.0)</f>
        <v>6718</v>
      </c>
      <c r="I535" s="4">
        <f>IFERROR(__xludf.DUMMYFUNCTION("""COMPUTED_VALUE"""),3276.0)</f>
        <v>3276</v>
      </c>
      <c r="J535" s="4">
        <f>IFERROR(__xludf.DUMMYFUNCTION("""COMPUTED_VALUE"""),1159.0)</f>
        <v>1159</v>
      </c>
      <c r="K535" s="4">
        <f>IFERROR(__xludf.DUMMYFUNCTION("""COMPUTED_VALUE"""),534.0)</f>
        <v>534</v>
      </c>
      <c r="L535" s="4">
        <f>IFERROR(__xludf.DUMMYFUNCTION("""COMPUTED_VALUE"""),0.416)</f>
        <v>0.416</v>
      </c>
      <c r="M535" s="4">
        <f>IFERROR(__xludf.DUMMYFUNCTION("""COMPUTED_VALUE"""),0.292)</f>
        <v>0.292</v>
      </c>
      <c r="N535" s="4">
        <f>IFERROR(__xludf.DUMMYFUNCTION("""COMPUTED_VALUE"""),0.68)</f>
        <v>0.68</v>
      </c>
      <c r="O535" s="4">
        <f>IFERROR(__xludf.DUMMYFUNCTION("""COMPUTED_VALUE"""),23.1)</f>
        <v>23.1</v>
      </c>
      <c r="P535" s="4">
        <f>IFERROR(__xludf.DUMMYFUNCTION("""COMPUTED_VALUE"""),11.3)</f>
        <v>11.3</v>
      </c>
      <c r="Q535" s="4">
        <f>IFERROR(__xludf.DUMMYFUNCTION("""COMPUTED_VALUE"""),4.0)</f>
        <v>4</v>
      </c>
      <c r="R535" s="4">
        <f>IFERROR(__xludf.DUMMYFUNCTION("""COMPUTED_VALUE"""),1.8)</f>
        <v>1.8</v>
      </c>
      <c r="S535" s="4">
        <f>IFERROR(__xludf.DUMMYFUNCTION("""COMPUTED_VALUE"""),-1.7)</f>
        <v>-1.7</v>
      </c>
      <c r="T535" s="4">
        <f>IFERROR(__xludf.DUMMYFUNCTION("""COMPUTED_VALUE"""),-0.012)</f>
        <v>-0.012</v>
      </c>
      <c r="U535" s="4">
        <f>IFERROR(__xludf.DUMMYFUNCTION("""COMPUTED_VALUE"""),-3.8)</f>
        <v>-3.8</v>
      </c>
      <c r="V535" s="4">
        <f>IFERROR(__xludf.DUMMYFUNCTION("""COMPUTED_VALUE"""),-3.1)</f>
        <v>-3.1</v>
      </c>
    </row>
    <row r="536">
      <c r="A536" s="4">
        <f>IFERROR(__xludf.DUMMYFUNCTION("""COMPUTED_VALUE"""),5.0)</f>
        <v>5</v>
      </c>
      <c r="B536" s="4">
        <f>IFERROR(__xludf.DUMMYFUNCTION("""COMPUTED_VALUE"""),5.0)</f>
        <v>5</v>
      </c>
      <c r="C536" s="4" t="str">
        <f>IFERROR(__xludf.DUMMYFUNCTION("""COMPUTED_VALUE"""),"SAC")</f>
        <v>SAC</v>
      </c>
      <c r="D536" s="4" t="str">
        <f>IFERROR(__xludf.DUMMYFUNCTION("""COMPUTED_VALUE"""),"De'Aaron Fox")</f>
        <v>De'Aaron Fox</v>
      </c>
      <c r="E536" s="4" t="str">
        <f>IFERROR(__xludf.DUMMYFUNCTION("""COMPUTED_VALUE"""),"Kentucky")</f>
        <v>Kentucky</v>
      </c>
      <c r="F536" s="4">
        <f>IFERROR(__xludf.DUMMYFUNCTION("""COMPUTED_VALUE"""),9.0)</f>
        <v>9</v>
      </c>
      <c r="G536" s="4">
        <f>IFERROR(__xludf.DUMMYFUNCTION("""COMPUTED_VALUE"""),543.0)</f>
        <v>543</v>
      </c>
      <c r="H536" s="4">
        <f>IFERROR(__xludf.DUMMYFUNCTION("""COMPUTED_VALUE"""),18060.0)</f>
        <v>18060</v>
      </c>
      <c r="I536" s="4">
        <f>IFERROR(__xludf.DUMMYFUNCTION("""COMPUTED_VALUE"""),11693.0)</f>
        <v>11693</v>
      </c>
      <c r="J536" s="4">
        <f>IFERROR(__xludf.DUMMYFUNCTION("""COMPUTED_VALUE"""),2124.0)</f>
        <v>2124</v>
      </c>
      <c r="K536" s="4">
        <f>IFERROR(__xludf.DUMMYFUNCTION("""COMPUTED_VALUE"""),3339.0)</f>
        <v>3339</v>
      </c>
      <c r="L536" s="4">
        <f>IFERROR(__xludf.DUMMYFUNCTION("""COMPUTED_VALUE"""),0.47)</f>
        <v>0.47</v>
      </c>
      <c r="M536" s="4">
        <f>IFERROR(__xludf.DUMMYFUNCTION("""COMPUTED_VALUE"""),0.332)</f>
        <v>0.332</v>
      </c>
      <c r="N536" s="4">
        <f>IFERROR(__xludf.DUMMYFUNCTION("""COMPUTED_VALUE"""),0.749)</f>
        <v>0.749</v>
      </c>
      <c r="O536" s="4">
        <f>IFERROR(__xludf.DUMMYFUNCTION("""COMPUTED_VALUE"""),33.3)</f>
        <v>33.3</v>
      </c>
      <c r="P536" s="4">
        <f>IFERROR(__xludf.DUMMYFUNCTION("""COMPUTED_VALUE"""),21.5)</f>
        <v>21.5</v>
      </c>
      <c r="Q536" s="4">
        <f>IFERROR(__xludf.DUMMYFUNCTION("""COMPUTED_VALUE"""),3.9)</f>
        <v>3.9</v>
      </c>
      <c r="R536" s="4">
        <f>IFERROR(__xludf.DUMMYFUNCTION("""COMPUTED_VALUE"""),6.1)</f>
        <v>6.1</v>
      </c>
      <c r="S536" s="4">
        <f>IFERROR(__xludf.DUMMYFUNCTION("""COMPUTED_VALUE"""),35.3)</f>
        <v>35.3</v>
      </c>
      <c r="T536" s="4">
        <f>IFERROR(__xludf.DUMMYFUNCTION("""COMPUTED_VALUE"""),0.094)</f>
        <v>0.094</v>
      </c>
      <c r="U536" s="4">
        <f>IFERROR(__xludf.DUMMYFUNCTION("""COMPUTED_VALUE"""),0.9)</f>
        <v>0.9</v>
      </c>
      <c r="V536" s="4">
        <f>IFERROR(__xludf.DUMMYFUNCTION("""COMPUTED_VALUE"""),13.2)</f>
        <v>13.2</v>
      </c>
    </row>
    <row r="537">
      <c r="A537" s="4">
        <f>IFERROR(__xludf.DUMMYFUNCTION("""COMPUTED_VALUE"""),6.0)</f>
        <v>6</v>
      </c>
      <c r="B537" s="4">
        <f>IFERROR(__xludf.DUMMYFUNCTION("""COMPUTED_VALUE"""),6.0)</f>
        <v>6</v>
      </c>
      <c r="C537" s="4" t="str">
        <f>IFERROR(__xludf.DUMMYFUNCTION("""COMPUTED_VALUE"""),"ORL")</f>
        <v>ORL</v>
      </c>
      <c r="D537" s="4" t="str">
        <f>IFERROR(__xludf.DUMMYFUNCTION("""COMPUTED_VALUE"""),"Jonathan Isaac")</f>
        <v>Jonathan Isaac</v>
      </c>
      <c r="E537" s="4" t="str">
        <f>IFERROR(__xludf.DUMMYFUNCTION("""COMPUTED_VALUE"""),"Florida State")</f>
        <v>Florida State</v>
      </c>
      <c r="F537" s="4">
        <f>IFERROR(__xludf.DUMMYFUNCTION("""COMPUTED_VALUE"""),7.0)</f>
        <v>7</v>
      </c>
      <c r="G537" s="4">
        <f>IFERROR(__xludf.DUMMYFUNCTION("""COMPUTED_VALUE"""),295.0)</f>
        <v>295</v>
      </c>
      <c r="H537" s="4">
        <f>IFERROR(__xludf.DUMMYFUNCTION("""COMPUTED_VALUE"""),5831.0)</f>
        <v>5831</v>
      </c>
      <c r="I537" s="4">
        <f>IFERROR(__xludf.DUMMYFUNCTION("""COMPUTED_VALUE"""),2151.0)</f>
        <v>2151</v>
      </c>
      <c r="J537" s="4">
        <f>IFERROR(__xludf.DUMMYFUNCTION("""COMPUTED_VALUE"""),1418.0)</f>
        <v>1418</v>
      </c>
      <c r="K537" s="4">
        <f>IFERROR(__xludf.DUMMYFUNCTION("""COMPUTED_VALUE"""),224.0)</f>
        <v>224</v>
      </c>
      <c r="L537" s="4">
        <f>IFERROR(__xludf.DUMMYFUNCTION("""COMPUTED_VALUE"""),0.443)</f>
        <v>0.443</v>
      </c>
      <c r="M537" s="4">
        <f>IFERROR(__xludf.DUMMYFUNCTION("""COMPUTED_VALUE"""),0.32)</f>
        <v>0.32</v>
      </c>
      <c r="N537" s="4">
        <f>IFERROR(__xludf.DUMMYFUNCTION("""COMPUTED_VALUE"""),0.743)</f>
        <v>0.743</v>
      </c>
      <c r="O537" s="4">
        <f>IFERROR(__xludf.DUMMYFUNCTION("""COMPUTED_VALUE"""),19.8)</f>
        <v>19.8</v>
      </c>
      <c r="P537" s="4">
        <f>IFERROR(__xludf.DUMMYFUNCTION("""COMPUTED_VALUE"""),7.3)</f>
        <v>7.3</v>
      </c>
      <c r="Q537" s="4">
        <f>IFERROR(__xludf.DUMMYFUNCTION("""COMPUTED_VALUE"""),4.8)</f>
        <v>4.8</v>
      </c>
      <c r="R537" s="4">
        <f>IFERROR(__xludf.DUMMYFUNCTION("""COMPUTED_VALUE"""),0.8)</f>
        <v>0.8</v>
      </c>
      <c r="S537" s="4">
        <f>IFERROR(__xludf.DUMMYFUNCTION("""COMPUTED_VALUE"""),14.3)</f>
        <v>14.3</v>
      </c>
      <c r="T537" s="4">
        <f>IFERROR(__xludf.DUMMYFUNCTION("""COMPUTED_VALUE"""),0.118)</f>
        <v>0.118</v>
      </c>
      <c r="U537" s="4">
        <f>IFERROR(__xludf.DUMMYFUNCTION("""COMPUTED_VALUE"""),0.9)</f>
        <v>0.9</v>
      </c>
      <c r="V537" s="4">
        <f>IFERROR(__xludf.DUMMYFUNCTION("""COMPUTED_VALUE"""),4.3)</f>
        <v>4.3</v>
      </c>
    </row>
    <row r="538">
      <c r="A538" s="4">
        <f>IFERROR(__xludf.DUMMYFUNCTION("""COMPUTED_VALUE"""),7.0)</f>
        <v>7</v>
      </c>
      <c r="B538" s="4">
        <f>IFERROR(__xludf.DUMMYFUNCTION("""COMPUTED_VALUE"""),7.0)</f>
        <v>7</v>
      </c>
      <c r="C538" s="4" t="str">
        <f>IFERROR(__xludf.DUMMYFUNCTION("""COMPUTED_VALUE"""),"MIN")</f>
        <v>MIN</v>
      </c>
      <c r="D538" s="4" t="str">
        <f>IFERROR(__xludf.DUMMYFUNCTION("""COMPUTED_VALUE"""),"Lauri Markkanen")</f>
        <v>Lauri Markkanen</v>
      </c>
      <c r="E538" s="4" t="str">
        <f>IFERROR(__xludf.DUMMYFUNCTION("""COMPUTED_VALUE"""),"Arizona")</f>
        <v>Arizona</v>
      </c>
      <c r="F538" s="4">
        <f>IFERROR(__xludf.DUMMYFUNCTION("""COMPUTED_VALUE"""),9.0)</f>
        <v>9</v>
      </c>
      <c r="G538" s="4">
        <f>IFERROR(__xludf.DUMMYFUNCTION("""COMPUTED_VALUE"""),470.0)</f>
        <v>470</v>
      </c>
      <c r="H538" s="4">
        <f>IFERROR(__xludf.DUMMYFUNCTION("""COMPUTED_VALUE"""),14670.0)</f>
        <v>14670</v>
      </c>
      <c r="I538" s="4">
        <f>IFERROR(__xludf.DUMMYFUNCTION("""COMPUTED_VALUE"""),8760.0)</f>
        <v>8760</v>
      </c>
      <c r="J538" s="4">
        <f>IFERROR(__xludf.DUMMYFUNCTION("""COMPUTED_VALUE"""),3328.0)</f>
        <v>3328</v>
      </c>
      <c r="K538" s="4">
        <f>IFERROR(__xludf.DUMMYFUNCTION("""COMPUTED_VALUE"""),698.0)</f>
        <v>698</v>
      </c>
      <c r="L538" s="4">
        <f>IFERROR(__xludf.DUMMYFUNCTION("""COMPUTED_VALUE"""),0.456)</f>
        <v>0.456</v>
      </c>
      <c r="M538" s="4">
        <f>IFERROR(__xludf.DUMMYFUNCTION("""COMPUTED_VALUE"""),0.371)</f>
        <v>0.371</v>
      </c>
      <c r="N538" s="4">
        <f>IFERROR(__xludf.DUMMYFUNCTION("""COMPUTED_VALUE"""),0.87)</f>
        <v>0.87</v>
      </c>
      <c r="O538" s="4">
        <f>IFERROR(__xludf.DUMMYFUNCTION("""COMPUTED_VALUE"""),31.2)</f>
        <v>31.2</v>
      </c>
      <c r="P538" s="4">
        <f>IFERROR(__xludf.DUMMYFUNCTION("""COMPUTED_VALUE"""),18.6)</f>
        <v>18.6</v>
      </c>
      <c r="Q538" s="4">
        <f>IFERROR(__xludf.DUMMYFUNCTION("""COMPUTED_VALUE"""),7.1)</f>
        <v>7.1</v>
      </c>
      <c r="R538" s="4">
        <f>IFERROR(__xludf.DUMMYFUNCTION("""COMPUTED_VALUE"""),1.5)</f>
        <v>1.5</v>
      </c>
      <c r="S538" s="4">
        <f>IFERROR(__xludf.DUMMYFUNCTION("""COMPUTED_VALUE"""),35.3)</f>
        <v>35.3</v>
      </c>
      <c r="T538" s="4">
        <f>IFERROR(__xludf.DUMMYFUNCTION("""COMPUTED_VALUE"""),0.116)</f>
        <v>0.116</v>
      </c>
      <c r="U538" s="4">
        <f>IFERROR(__xludf.DUMMYFUNCTION("""COMPUTED_VALUE"""),1.1)</f>
        <v>1.1</v>
      </c>
      <c r="V538" s="4">
        <f>IFERROR(__xludf.DUMMYFUNCTION("""COMPUTED_VALUE"""),11.4)</f>
        <v>11.4</v>
      </c>
    </row>
    <row r="539">
      <c r="A539" s="4">
        <f>IFERROR(__xludf.DUMMYFUNCTION("""COMPUTED_VALUE"""),8.0)</f>
        <v>8</v>
      </c>
      <c r="B539" s="4">
        <f>IFERROR(__xludf.DUMMYFUNCTION("""COMPUTED_VALUE"""),8.0)</f>
        <v>8</v>
      </c>
      <c r="C539" s="4" t="str">
        <f>IFERROR(__xludf.DUMMYFUNCTION("""COMPUTED_VALUE"""),"NYK")</f>
        <v>NYK</v>
      </c>
      <c r="D539" s="4" t="str">
        <f>IFERROR(__xludf.DUMMYFUNCTION("""COMPUTED_VALUE"""),"Frank Ntilikina")</f>
        <v>Frank Ntilikina</v>
      </c>
      <c r="E539" s="4"/>
      <c r="F539" s="4">
        <f>IFERROR(__xludf.DUMMYFUNCTION("""COMPUTED_VALUE"""),7.0)</f>
        <v>7</v>
      </c>
      <c r="G539" s="4">
        <f>IFERROR(__xludf.DUMMYFUNCTION("""COMPUTED_VALUE"""),321.0)</f>
        <v>321</v>
      </c>
      <c r="H539" s="4">
        <f>IFERROR(__xludf.DUMMYFUNCTION("""COMPUTED_VALUE"""),5454.0)</f>
        <v>5454</v>
      </c>
      <c r="I539" s="4">
        <f>IFERROR(__xludf.DUMMYFUNCTION("""COMPUTED_VALUE"""),1535.0)</f>
        <v>1535</v>
      </c>
      <c r="J539" s="4">
        <f>IFERROR(__xludf.DUMMYFUNCTION("""COMPUTED_VALUE"""),563.0)</f>
        <v>563</v>
      </c>
      <c r="K539" s="4">
        <f>IFERROR(__xludf.DUMMYFUNCTION("""COMPUTED_VALUE"""),693.0)</f>
        <v>693</v>
      </c>
      <c r="L539" s="4">
        <f>IFERROR(__xludf.DUMMYFUNCTION("""COMPUTED_VALUE"""),0.369)</f>
        <v>0.369</v>
      </c>
      <c r="M539" s="4">
        <f>IFERROR(__xludf.DUMMYFUNCTION("""COMPUTED_VALUE"""),0.32)</f>
        <v>0.32</v>
      </c>
      <c r="N539" s="4">
        <f>IFERROR(__xludf.DUMMYFUNCTION("""COMPUTED_VALUE"""),0.762)</f>
        <v>0.762</v>
      </c>
      <c r="O539" s="4">
        <f>IFERROR(__xludf.DUMMYFUNCTION("""COMPUTED_VALUE"""),17.0)</f>
        <v>17</v>
      </c>
      <c r="P539" s="4">
        <f>IFERROR(__xludf.DUMMYFUNCTION("""COMPUTED_VALUE"""),4.8)</f>
        <v>4.8</v>
      </c>
      <c r="Q539" s="4">
        <f>IFERROR(__xludf.DUMMYFUNCTION("""COMPUTED_VALUE"""),1.8)</f>
        <v>1.8</v>
      </c>
      <c r="R539" s="4">
        <f>IFERROR(__xludf.DUMMYFUNCTION("""COMPUTED_VALUE"""),2.2)</f>
        <v>2.2</v>
      </c>
      <c r="S539" s="4">
        <f>IFERROR(__xludf.DUMMYFUNCTION("""COMPUTED_VALUE"""),0.3)</f>
        <v>0.3</v>
      </c>
      <c r="T539" s="4">
        <f>IFERROR(__xludf.DUMMYFUNCTION("""COMPUTED_VALUE"""),0.003)</f>
        <v>0.003</v>
      </c>
      <c r="U539" s="4">
        <f>IFERROR(__xludf.DUMMYFUNCTION("""COMPUTED_VALUE"""),-4.4)</f>
        <v>-4.4</v>
      </c>
      <c r="V539" s="4">
        <f>IFERROR(__xludf.DUMMYFUNCTION("""COMPUTED_VALUE"""),-3.4)</f>
        <v>-3.4</v>
      </c>
    </row>
    <row r="540">
      <c r="A540" s="4">
        <f>IFERROR(__xludf.DUMMYFUNCTION("""COMPUTED_VALUE"""),9.0)</f>
        <v>9</v>
      </c>
      <c r="B540" s="4">
        <f>IFERROR(__xludf.DUMMYFUNCTION("""COMPUTED_VALUE"""),9.0)</f>
        <v>9</v>
      </c>
      <c r="C540" s="4" t="str">
        <f>IFERROR(__xludf.DUMMYFUNCTION("""COMPUTED_VALUE"""),"DAL")</f>
        <v>DAL</v>
      </c>
      <c r="D540" s="4" t="str">
        <f>IFERROR(__xludf.DUMMYFUNCTION("""COMPUTED_VALUE"""),"Dennis Smith Jr.")</f>
        <v>Dennis Smith Jr.</v>
      </c>
      <c r="E540" s="4" t="str">
        <f>IFERROR(__xludf.DUMMYFUNCTION("""COMPUTED_VALUE"""),"NC State")</f>
        <v>NC State</v>
      </c>
      <c r="F540" s="4">
        <f>IFERROR(__xludf.DUMMYFUNCTION("""COMPUTED_VALUE"""),7.0)</f>
        <v>7</v>
      </c>
      <c r="G540" s="4">
        <f>IFERROR(__xludf.DUMMYFUNCTION("""COMPUTED_VALUE"""),326.0)</f>
        <v>326</v>
      </c>
      <c r="H540" s="4">
        <f>IFERROR(__xludf.DUMMYFUNCTION("""COMPUTED_VALUE"""),7601.0)</f>
        <v>7601</v>
      </c>
      <c r="I540" s="4">
        <f>IFERROR(__xludf.DUMMYFUNCTION("""COMPUTED_VALUE"""),3160.0)</f>
        <v>3160</v>
      </c>
      <c r="J540" s="4">
        <f>IFERROR(__xludf.DUMMYFUNCTION("""COMPUTED_VALUE"""),967.0)</f>
        <v>967</v>
      </c>
      <c r="K540" s="4">
        <f>IFERROR(__xludf.DUMMYFUNCTION("""COMPUTED_VALUE"""),1381.0)</f>
        <v>1381</v>
      </c>
      <c r="L540" s="4">
        <f>IFERROR(__xludf.DUMMYFUNCTION("""COMPUTED_VALUE"""),0.407)</f>
        <v>0.407</v>
      </c>
      <c r="M540" s="4">
        <f>IFERROR(__xludf.DUMMYFUNCTION("""COMPUTED_VALUE"""),0.298)</f>
        <v>0.298</v>
      </c>
      <c r="N540" s="4">
        <f>IFERROR(__xludf.DUMMYFUNCTION("""COMPUTED_VALUE"""),0.674)</f>
        <v>0.674</v>
      </c>
      <c r="O540" s="4">
        <f>IFERROR(__xludf.DUMMYFUNCTION("""COMPUTED_VALUE"""),23.3)</f>
        <v>23.3</v>
      </c>
      <c r="P540" s="4">
        <f>IFERROR(__xludf.DUMMYFUNCTION("""COMPUTED_VALUE"""),9.7)</f>
        <v>9.7</v>
      </c>
      <c r="Q540" s="4">
        <f>IFERROR(__xludf.DUMMYFUNCTION("""COMPUTED_VALUE"""),3.0)</f>
        <v>3</v>
      </c>
      <c r="R540" s="4">
        <f>IFERROR(__xludf.DUMMYFUNCTION("""COMPUTED_VALUE"""),4.2)</f>
        <v>4.2</v>
      </c>
      <c r="S540" s="4">
        <f>IFERROR(__xludf.DUMMYFUNCTION("""COMPUTED_VALUE"""),2.3)</f>
        <v>2.3</v>
      </c>
      <c r="T540" s="4">
        <f>IFERROR(__xludf.DUMMYFUNCTION("""COMPUTED_VALUE"""),0.015)</f>
        <v>0.015</v>
      </c>
      <c r="U540" s="4">
        <f>IFERROR(__xludf.DUMMYFUNCTION("""COMPUTED_VALUE"""),-2.1)</f>
        <v>-2.1</v>
      </c>
      <c r="V540" s="4">
        <f>IFERROR(__xludf.DUMMYFUNCTION("""COMPUTED_VALUE"""),-0.2)</f>
        <v>-0.2</v>
      </c>
    </row>
    <row r="541">
      <c r="A541" s="4">
        <f>IFERROR(__xludf.DUMMYFUNCTION("""COMPUTED_VALUE"""),10.0)</f>
        <v>10</v>
      </c>
      <c r="B541" s="4">
        <f>IFERROR(__xludf.DUMMYFUNCTION("""COMPUTED_VALUE"""),10.0)</f>
        <v>10</v>
      </c>
      <c r="C541" s="4" t="str">
        <f>IFERROR(__xludf.DUMMYFUNCTION("""COMPUTED_VALUE"""),"SAC")</f>
        <v>SAC</v>
      </c>
      <c r="D541" s="4" t="str">
        <f>IFERROR(__xludf.DUMMYFUNCTION("""COMPUTED_VALUE"""),"Zach Collins")</f>
        <v>Zach Collins</v>
      </c>
      <c r="E541" s="4" t="str">
        <f>IFERROR(__xludf.DUMMYFUNCTION("""COMPUTED_VALUE"""),"Gonzaga")</f>
        <v>Gonzaga</v>
      </c>
      <c r="F541" s="4">
        <f>IFERROR(__xludf.DUMMYFUNCTION("""COMPUTED_VALUE"""),7.0)</f>
        <v>7</v>
      </c>
      <c r="G541" s="4">
        <f>IFERROR(__xludf.DUMMYFUNCTION("""COMPUTED_VALUE"""),378.0)</f>
        <v>378</v>
      </c>
      <c r="H541" s="4">
        <f>IFERROR(__xludf.DUMMYFUNCTION("""COMPUTED_VALUE"""),7137.0)</f>
        <v>7137</v>
      </c>
      <c r="I541" s="4">
        <f>IFERROR(__xludf.DUMMYFUNCTION("""COMPUTED_VALUE"""),3013.0)</f>
        <v>3013</v>
      </c>
      <c r="J541" s="4">
        <f>IFERROR(__xludf.DUMMYFUNCTION("""COMPUTED_VALUE"""),1827.0)</f>
        <v>1827</v>
      </c>
      <c r="K541" s="4">
        <f>IFERROR(__xludf.DUMMYFUNCTION("""COMPUTED_VALUE"""),685.0)</f>
        <v>685</v>
      </c>
      <c r="L541" s="4">
        <f>IFERROR(__xludf.DUMMYFUNCTION("""COMPUTED_VALUE"""),0.482)</f>
        <v>0.482</v>
      </c>
      <c r="M541" s="4">
        <f>IFERROR(__xludf.DUMMYFUNCTION("""COMPUTED_VALUE"""),0.331)</f>
        <v>0.331</v>
      </c>
      <c r="N541" s="4">
        <f>IFERROR(__xludf.DUMMYFUNCTION("""COMPUTED_VALUE"""),0.767)</f>
        <v>0.767</v>
      </c>
      <c r="O541" s="4">
        <f>IFERROR(__xludf.DUMMYFUNCTION("""COMPUTED_VALUE"""),18.9)</f>
        <v>18.9</v>
      </c>
      <c r="P541" s="4">
        <f>IFERROR(__xludf.DUMMYFUNCTION("""COMPUTED_VALUE"""),8.0)</f>
        <v>8</v>
      </c>
      <c r="Q541" s="4">
        <f>IFERROR(__xludf.DUMMYFUNCTION("""COMPUTED_VALUE"""),4.8)</f>
        <v>4.8</v>
      </c>
      <c r="R541" s="4">
        <f>IFERROR(__xludf.DUMMYFUNCTION("""COMPUTED_VALUE"""),1.8)</f>
        <v>1.8</v>
      </c>
      <c r="S541" s="4">
        <f>IFERROR(__xludf.DUMMYFUNCTION("""COMPUTED_VALUE"""),11.9)</f>
        <v>11.9</v>
      </c>
      <c r="T541" s="4">
        <f>IFERROR(__xludf.DUMMYFUNCTION("""COMPUTED_VALUE"""),0.08)</f>
        <v>0.08</v>
      </c>
      <c r="U541" s="4">
        <f>IFERROR(__xludf.DUMMYFUNCTION("""COMPUTED_VALUE"""),-1.5)</f>
        <v>-1.5</v>
      </c>
      <c r="V541" s="4">
        <f>IFERROR(__xludf.DUMMYFUNCTION("""COMPUTED_VALUE"""),0.9)</f>
        <v>0.9</v>
      </c>
    </row>
    <row r="542">
      <c r="A542" s="4">
        <f>IFERROR(__xludf.DUMMYFUNCTION("""COMPUTED_VALUE"""),11.0)</f>
        <v>11</v>
      </c>
      <c r="B542" s="4">
        <f>IFERROR(__xludf.DUMMYFUNCTION("""COMPUTED_VALUE"""),11.0)</f>
        <v>11</v>
      </c>
      <c r="C542" s="4" t="str">
        <f>IFERROR(__xludf.DUMMYFUNCTION("""COMPUTED_VALUE"""),"CHO")</f>
        <v>CHO</v>
      </c>
      <c r="D542" s="4" t="str">
        <f>IFERROR(__xludf.DUMMYFUNCTION("""COMPUTED_VALUE"""),"Malik Monk")</f>
        <v>Malik Monk</v>
      </c>
      <c r="E542" s="4" t="str">
        <f>IFERROR(__xludf.DUMMYFUNCTION("""COMPUTED_VALUE"""),"Kentucky")</f>
        <v>Kentucky</v>
      </c>
      <c r="F542" s="4">
        <f>IFERROR(__xludf.DUMMYFUNCTION("""COMPUTED_VALUE"""),9.0)</f>
        <v>9</v>
      </c>
      <c r="G542" s="4">
        <f>IFERROR(__xludf.DUMMYFUNCTION("""COMPUTED_VALUE"""),541.0)</f>
        <v>541</v>
      </c>
      <c r="H542" s="4">
        <f>IFERROR(__xludf.DUMMYFUNCTION("""COMPUTED_VALUE"""),12380.0)</f>
        <v>12380</v>
      </c>
      <c r="I542" s="4">
        <f>IFERROR(__xludf.DUMMYFUNCTION("""COMPUTED_VALUE"""),6681.0)</f>
        <v>6681</v>
      </c>
      <c r="J542" s="4">
        <f>IFERROR(__xludf.DUMMYFUNCTION("""COMPUTED_VALUE"""),1412.0)</f>
        <v>1412</v>
      </c>
      <c r="K542" s="4">
        <f>IFERROR(__xludf.DUMMYFUNCTION("""COMPUTED_VALUE"""),1696.0)</f>
        <v>1696</v>
      </c>
      <c r="L542" s="4">
        <f>IFERROR(__xludf.DUMMYFUNCTION("""COMPUTED_VALUE"""),0.434)</f>
        <v>0.434</v>
      </c>
      <c r="M542" s="4">
        <f>IFERROR(__xludf.DUMMYFUNCTION("""COMPUTED_VALUE"""),0.352)</f>
        <v>0.352</v>
      </c>
      <c r="N542" s="4">
        <f>IFERROR(__xludf.DUMMYFUNCTION("""COMPUTED_VALUE"""),0.849)</f>
        <v>0.849</v>
      </c>
      <c r="O542" s="4">
        <f>IFERROR(__xludf.DUMMYFUNCTION("""COMPUTED_VALUE"""),22.9)</f>
        <v>22.9</v>
      </c>
      <c r="P542" s="4">
        <f>IFERROR(__xludf.DUMMYFUNCTION("""COMPUTED_VALUE"""),12.3)</f>
        <v>12.3</v>
      </c>
      <c r="Q542" s="4">
        <f>IFERROR(__xludf.DUMMYFUNCTION("""COMPUTED_VALUE"""),2.6)</f>
        <v>2.6</v>
      </c>
      <c r="R542" s="4">
        <f>IFERROR(__xludf.DUMMYFUNCTION("""COMPUTED_VALUE"""),3.1)</f>
        <v>3.1</v>
      </c>
      <c r="S542" s="4">
        <f>IFERROR(__xludf.DUMMYFUNCTION("""COMPUTED_VALUE"""),15.5)</f>
        <v>15.5</v>
      </c>
      <c r="T542" s="4">
        <f>IFERROR(__xludf.DUMMYFUNCTION("""COMPUTED_VALUE"""),0.06)</f>
        <v>0.06</v>
      </c>
      <c r="U542" s="4">
        <f>IFERROR(__xludf.DUMMYFUNCTION("""COMPUTED_VALUE"""),-1.0)</f>
        <v>-1</v>
      </c>
      <c r="V542" s="4">
        <f>IFERROR(__xludf.DUMMYFUNCTION("""COMPUTED_VALUE"""),3.0)</f>
        <v>3</v>
      </c>
    </row>
    <row r="543">
      <c r="A543" s="4">
        <f>IFERROR(__xludf.DUMMYFUNCTION("""COMPUTED_VALUE"""),12.0)</f>
        <v>12</v>
      </c>
      <c r="B543" s="4">
        <f>IFERROR(__xludf.DUMMYFUNCTION("""COMPUTED_VALUE"""),12.0)</f>
        <v>12</v>
      </c>
      <c r="C543" s="4" t="str">
        <f>IFERROR(__xludf.DUMMYFUNCTION("""COMPUTED_VALUE"""),"DET")</f>
        <v>DET</v>
      </c>
      <c r="D543" s="4" t="str">
        <f>IFERROR(__xludf.DUMMYFUNCTION("""COMPUTED_VALUE"""),"Luke Kennard")</f>
        <v>Luke Kennard</v>
      </c>
      <c r="E543" s="4" t="str">
        <f>IFERROR(__xludf.DUMMYFUNCTION("""COMPUTED_VALUE"""),"Duke")</f>
        <v>Duke</v>
      </c>
      <c r="F543" s="4">
        <f>IFERROR(__xludf.DUMMYFUNCTION("""COMPUTED_VALUE"""),9.0)</f>
        <v>9</v>
      </c>
      <c r="G543" s="4">
        <f>IFERROR(__xludf.DUMMYFUNCTION("""COMPUTED_VALUE"""),479.0)</f>
        <v>479</v>
      </c>
      <c r="H543" s="4">
        <f>IFERROR(__xludf.DUMMYFUNCTION("""COMPUTED_VALUE"""),11153.0)</f>
        <v>11153</v>
      </c>
      <c r="I543" s="4">
        <f>IFERROR(__xludf.DUMMYFUNCTION("""COMPUTED_VALUE"""),4657.0)</f>
        <v>4657</v>
      </c>
      <c r="J543" s="4">
        <f>IFERROR(__xludf.DUMMYFUNCTION("""COMPUTED_VALUE"""),1335.0)</f>
        <v>1335</v>
      </c>
      <c r="K543" s="4">
        <f>IFERROR(__xludf.DUMMYFUNCTION("""COMPUTED_VALUE"""),1091.0)</f>
        <v>1091</v>
      </c>
      <c r="L543" s="4">
        <f>IFERROR(__xludf.DUMMYFUNCTION("""COMPUTED_VALUE"""),0.457)</f>
        <v>0.457</v>
      </c>
      <c r="M543" s="4">
        <f>IFERROR(__xludf.DUMMYFUNCTION("""COMPUTED_VALUE"""),0.437)</f>
        <v>0.437</v>
      </c>
      <c r="N543" s="4">
        <f>IFERROR(__xludf.DUMMYFUNCTION("""COMPUTED_VALUE"""),0.883)</f>
        <v>0.883</v>
      </c>
      <c r="O543" s="4">
        <f>IFERROR(__xludf.DUMMYFUNCTION("""COMPUTED_VALUE"""),23.3)</f>
        <v>23.3</v>
      </c>
      <c r="P543" s="4">
        <f>IFERROR(__xludf.DUMMYFUNCTION("""COMPUTED_VALUE"""),9.7)</f>
        <v>9.7</v>
      </c>
      <c r="Q543" s="4">
        <f>IFERROR(__xludf.DUMMYFUNCTION("""COMPUTED_VALUE"""),2.8)</f>
        <v>2.8</v>
      </c>
      <c r="R543" s="4">
        <f>IFERROR(__xludf.DUMMYFUNCTION("""COMPUTED_VALUE"""),2.3)</f>
        <v>2.3</v>
      </c>
      <c r="S543" s="4">
        <f>IFERROR(__xludf.DUMMYFUNCTION("""COMPUTED_VALUE"""),24.3)</f>
        <v>24.3</v>
      </c>
      <c r="T543" s="4">
        <f>IFERROR(__xludf.DUMMYFUNCTION("""COMPUTED_VALUE"""),0.104)</f>
        <v>0.104</v>
      </c>
      <c r="U543" s="4">
        <f>IFERROR(__xludf.DUMMYFUNCTION("""COMPUTED_VALUE"""),-0.1)</f>
        <v>-0.1</v>
      </c>
      <c r="V543" s="4">
        <f>IFERROR(__xludf.DUMMYFUNCTION("""COMPUTED_VALUE"""),5.4)</f>
        <v>5.4</v>
      </c>
    </row>
    <row r="544">
      <c r="A544" s="4">
        <f>IFERROR(__xludf.DUMMYFUNCTION("""COMPUTED_VALUE"""),13.0)</f>
        <v>13</v>
      </c>
      <c r="B544" s="4">
        <f>IFERROR(__xludf.DUMMYFUNCTION("""COMPUTED_VALUE"""),13.0)</f>
        <v>13</v>
      </c>
      <c r="C544" s="4" t="str">
        <f>IFERROR(__xludf.DUMMYFUNCTION("""COMPUTED_VALUE"""),"DEN")</f>
        <v>DEN</v>
      </c>
      <c r="D544" s="4" t="str">
        <f>IFERROR(__xludf.DUMMYFUNCTION("""COMPUTED_VALUE"""),"Donovan Mitchell")</f>
        <v>Donovan Mitchell</v>
      </c>
      <c r="E544" s="4" t="str">
        <f>IFERROR(__xludf.DUMMYFUNCTION("""COMPUTED_VALUE"""),"Louisville")</f>
        <v>Louisville</v>
      </c>
      <c r="F544" s="4">
        <f>IFERROR(__xludf.DUMMYFUNCTION("""COMPUTED_VALUE"""),9.0)</f>
        <v>9</v>
      </c>
      <c r="G544" s="4">
        <f>IFERROR(__xludf.DUMMYFUNCTION("""COMPUTED_VALUE"""),559.0)</f>
        <v>559</v>
      </c>
      <c r="H544" s="4">
        <f>IFERROR(__xludf.DUMMYFUNCTION("""COMPUTED_VALUE"""),18929.0)</f>
        <v>18929</v>
      </c>
      <c r="I544" s="4">
        <f>IFERROR(__xludf.DUMMYFUNCTION("""COMPUTED_VALUE"""),13932.0)</f>
        <v>13932</v>
      </c>
      <c r="J544" s="4">
        <f>IFERROR(__xludf.DUMMYFUNCTION("""COMPUTED_VALUE"""),2424.0)</f>
        <v>2424</v>
      </c>
      <c r="K544" s="4">
        <f>IFERROR(__xludf.DUMMYFUNCTION("""COMPUTED_VALUE"""),2640.0)</f>
        <v>2640</v>
      </c>
      <c r="L544" s="4">
        <f>IFERROR(__xludf.DUMMYFUNCTION("""COMPUTED_VALUE"""),0.451)</f>
        <v>0.451</v>
      </c>
      <c r="M544" s="4">
        <f>IFERROR(__xludf.DUMMYFUNCTION("""COMPUTED_VALUE"""),0.367)</f>
        <v>0.367</v>
      </c>
      <c r="N544" s="4">
        <f>IFERROR(__xludf.DUMMYFUNCTION("""COMPUTED_VALUE"""),0.84)</f>
        <v>0.84</v>
      </c>
      <c r="O544" s="4">
        <f>IFERROR(__xludf.DUMMYFUNCTION("""COMPUTED_VALUE"""),33.9)</f>
        <v>33.9</v>
      </c>
      <c r="P544" s="4">
        <f>IFERROR(__xludf.DUMMYFUNCTION("""COMPUTED_VALUE"""),24.9)</f>
        <v>24.9</v>
      </c>
      <c r="Q544" s="4">
        <f>IFERROR(__xludf.DUMMYFUNCTION("""COMPUTED_VALUE"""),4.3)</f>
        <v>4.3</v>
      </c>
      <c r="R544" s="4">
        <f>IFERROR(__xludf.DUMMYFUNCTION("""COMPUTED_VALUE"""),4.7)</f>
        <v>4.7</v>
      </c>
      <c r="S544" s="4">
        <f>IFERROR(__xludf.DUMMYFUNCTION("""COMPUTED_VALUE"""),54.6)</f>
        <v>54.6</v>
      </c>
      <c r="T544" s="4">
        <f>IFERROR(__xludf.DUMMYFUNCTION("""COMPUTED_VALUE"""),0.139)</f>
        <v>0.139</v>
      </c>
      <c r="U544" s="4">
        <f>IFERROR(__xludf.DUMMYFUNCTION("""COMPUTED_VALUE"""),3.6)</f>
        <v>3.6</v>
      </c>
      <c r="V544" s="4">
        <f>IFERROR(__xludf.DUMMYFUNCTION("""COMPUTED_VALUE"""),26.8)</f>
        <v>26.8</v>
      </c>
    </row>
    <row r="545">
      <c r="A545" s="4">
        <f>IFERROR(__xludf.DUMMYFUNCTION("""COMPUTED_VALUE"""),14.0)</f>
        <v>14</v>
      </c>
      <c r="B545" s="4">
        <f>IFERROR(__xludf.DUMMYFUNCTION("""COMPUTED_VALUE"""),14.0)</f>
        <v>14</v>
      </c>
      <c r="C545" s="4" t="str">
        <f>IFERROR(__xludf.DUMMYFUNCTION("""COMPUTED_VALUE"""),"MIA")</f>
        <v>MIA</v>
      </c>
      <c r="D545" s="4" t="str">
        <f>IFERROR(__xludf.DUMMYFUNCTION("""COMPUTED_VALUE"""),"Bam Adebayo")</f>
        <v>Bam Adebayo</v>
      </c>
      <c r="E545" s="4" t="str">
        <f>IFERROR(__xludf.DUMMYFUNCTION("""COMPUTED_VALUE"""),"Kentucky")</f>
        <v>Kentucky</v>
      </c>
      <c r="F545" s="4">
        <f>IFERROR(__xludf.DUMMYFUNCTION("""COMPUTED_VALUE"""),9.0)</f>
        <v>9</v>
      </c>
      <c r="G545" s="4">
        <f>IFERROR(__xludf.DUMMYFUNCTION("""COMPUTED_VALUE"""),582.0)</f>
        <v>582</v>
      </c>
      <c r="H545" s="4">
        <f>IFERROR(__xludf.DUMMYFUNCTION("""COMPUTED_VALUE"""),17811.0)</f>
        <v>17811</v>
      </c>
      <c r="I545" s="4">
        <f>IFERROR(__xludf.DUMMYFUNCTION("""COMPUTED_VALUE"""),9214.0)</f>
        <v>9214</v>
      </c>
      <c r="J545" s="4">
        <f>IFERROR(__xludf.DUMMYFUNCTION("""COMPUTED_VALUE"""),5157.0)</f>
        <v>5157</v>
      </c>
      <c r="K545" s="4">
        <f>IFERROR(__xludf.DUMMYFUNCTION("""COMPUTED_VALUE"""),2083.0)</f>
        <v>2083</v>
      </c>
      <c r="L545" s="4">
        <f>IFERROR(__xludf.DUMMYFUNCTION("""COMPUTED_VALUE"""),0.534)</f>
        <v>0.534</v>
      </c>
      <c r="M545" s="4">
        <f>IFERROR(__xludf.DUMMYFUNCTION("""COMPUTED_VALUE"""),0.325)</f>
        <v>0.325</v>
      </c>
      <c r="N545" s="4">
        <f>IFERROR(__xludf.DUMMYFUNCTION("""COMPUTED_VALUE"""),0.758)</f>
        <v>0.758</v>
      </c>
      <c r="O545" s="4">
        <f>IFERROR(__xludf.DUMMYFUNCTION("""COMPUTED_VALUE"""),30.6)</f>
        <v>30.6</v>
      </c>
      <c r="P545" s="4">
        <f>IFERROR(__xludf.DUMMYFUNCTION("""COMPUTED_VALUE"""),15.8)</f>
        <v>15.8</v>
      </c>
      <c r="Q545" s="4">
        <f>IFERROR(__xludf.DUMMYFUNCTION("""COMPUTED_VALUE"""),8.9)</f>
        <v>8.9</v>
      </c>
      <c r="R545" s="4">
        <f>IFERROR(__xludf.DUMMYFUNCTION("""COMPUTED_VALUE"""),3.6)</f>
        <v>3.6</v>
      </c>
      <c r="S545" s="4">
        <f>IFERROR(__xludf.DUMMYFUNCTION("""COMPUTED_VALUE"""),58.9)</f>
        <v>58.9</v>
      </c>
      <c r="T545" s="4">
        <f>IFERROR(__xludf.DUMMYFUNCTION("""COMPUTED_VALUE"""),0.159)</f>
        <v>0.159</v>
      </c>
      <c r="U545" s="4">
        <f>IFERROR(__xludf.DUMMYFUNCTION("""COMPUTED_VALUE"""),2.5)</f>
        <v>2.5</v>
      </c>
      <c r="V545" s="4">
        <f>IFERROR(__xludf.DUMMYFUNCTION("""COMPUTED_VALUE"""),20.4)</f>
        <v>20.4</v>
      </c>
    </row>
    <row r="546">
      <c r="A546" s="4">
        <f>IFERROR(__xludf.DUMMYFUNCTION("""COMPUTED_VALUE"""),15.0)</f>
        <v>15</v>
      </c>
      <c r="B546" s="4">
        <f>IFERROR(__xludf.DUMMYFUNCTION("""COMPUTED_VALUE"""),15.0)</f>
        <v>15</v>
      </c>
      <c r="C546" s="4" t="str">
        <f>IFERROR(__xludf.DUMMYFUNCTION("""COMPUTED_VALUE"""),"POR")</f>
        <v>POR</v>
      </c>
      <c r="D546" s="4" t="str">
        <f>IFERROR(__xludf.DUMMYFUNCTION("""COMPUTED_VALUE"""),"Justin Jackson")</f>
        <v>Justin Jackson</v>
      </c>
      <c r="E546" s="4" t="str">
        <f>IFERROR(__xludf.DUMMYFUNCTION("""COMPUTED_VALUE"""),"UNC")</f>
        <v>UNC</v>
      </c>
      <c r="F546" s="4">
        <f>IFERROR(__xludf.DUMMYFUNCTION("""COMPUTED_VALUE"""),7.0)</f>
        <v>7</v>
      </c>
      <c r="G546" s="4">
        <f>IFERROR(__xludf.DUMMYFUNCTION("""COMPUTED_VALUE"""),280.0)</f>
        <v>280</v>
      </c>
      <c r="H546" s="4">
        <f>IFERROR(__xludf.DUMMYFUNCTION("""COMPUTED_VALUE"""),4886.0)</f>
        <v>4886</v>
      </c>
      <c r="I546" s="4">
        <f>IFERROR(__xludf.DUMMYFUNCTION("""COMPUTED_VALUE"""),1676.0)</f>
        <v>1676</v>
      </c>
      <c r="J546" s="4">
        <f>IFERROR(__xludf.DUMMYFUNCTION("""COMPUTED_VALUE"""),654.0)</f>
        <v>654</v>
      </c>
      <c r="K546" s="4">
        <f>IFERROR(__xludf.DUMMYFUNCTION("""COMPUTED_VALUE"""),285.0)</f>
        <v>285</v>
      </c>
      <c r="L546" s="4">
        <f>IFERROR(__xludf.DUMMYFUNCTION("""COMPUTED_VALUE"""),0.423)</f>
        <v>0.423</v>
      </c>
      <c r="M546" s="4">
        <f>IFERROR(__xludf.DUMMYFUNCTION("""COMPUTED_VALUE"""),0.319)</f>
        <v>0.319</v>
      </c>
      <c r="N546" s="4">
        <f>IFERROR(__xludf.DUMMYFUNCTION("""COMPUTED_VALUE"""),0.796)</f>
        <v>0.796</v>
      </c>
      <c r="O546" s="4">
        <f>IFERROR(__xludf.DUMMYFUNCTION("""COMPUTED_VALUE"""),17.5)</f>
        <v>17.5</v>
      </c>
      <c r="P546" s="4">
        <f>IFERROR(__xludf.DUMMYFUNCTION("""COMPUTED_VALUE"""),6.0)</f>
        <v>6</v>
      </c>
      <c r="Q546" s="4">
        <f>IFERROR(__xludf.DUMMYFUNCTION("""COMPUTED_VALUE"""),2.3)</f>
        <v>2.3</v>
      </c>
      <c r="R546" s="4">
        <f>IFERROR(__xludf.DUMMYFUNCTION("""COMPUTED_VALUE"""),1.0)</f>
        <v>1</v>
      </c>
      <c r="S546" s="4">
        <f>IFERROR(__xludf.DUMMYFUNCTION("""COMPUTED_VALUE"""),5.3)</f>
        <v>5.3</v>
      </c>
      <c r="T546" s="4">
        <f>IFERROR(__xludf.DUMMYFUNCTION("""COMPUTED_VALUE"""),0.052)</f>
        <v>0.052</v>
      </c>
      <c r="U546" s="4">
        <f>IFERROR(__xludf.DUMMYFUNCTION("""COMPUTED_VALUE"""),-2.8)</f>
        <v>-2.8</v>
      </c>
      <c r="V546" s="4">
        <f>IFERROR(__xludf.DUMMYFUNCTION("""COMPUTED_VALUE"""),-1.0)</f>
        <v>-1</v>
      </c>
    </row>
    <row r="547">
      <c r="A547" s="4">
        <f>IFERROR(__xludf.DUMMYFUNCTION("""COMPUTED_VALUE"""),16.0)</f>
        <v>16</v>
      </c>
      <c r="B547" s="4">
        <f>IFERROR(__xludf.DUMMYFUNCTION("""COMPUTED_VALUE"""),16.0)</f>
        <v>16</v>
      </c>
      <c r="C547" s="4" t="str">
        <f>IFERROR(__xludf.DUMMYFUNCTION("""COMPUTED_VALUE"""),"CHI")</f>
        <v>CHI</v>
      </c>
      <c r="D547" s="4" t="str">
        <f>IFERROR(__xludf.DUMMYFUNCTION("""COMPUTED_VALUE"""),"Justin Patton")</f>
        <v>Justin Patton</v>
      </c>
      <c r="E547" s="4" t="str">
        <f>IFERROR(__xludf.DUMMYFUNCTION("""COMPUTED_VALUE"""),"Creighton")</f>
        <v>Creighton</v>
      </c>
      <c r="F547" s="4">
        <f>IFERROR(__xludf.DUMMYFUNCTION("""COMPUTED_VALUE"""),4.0)</f>
        <v>4</v>
      </c>
      <c r="G547" s="4">
        <f>IFERROR(__xludf.DUMMYFUNCTION("""COMPUTED_VALUE"""),22.0)</f>
        <v>22</v>
      </c>
      <c r="H547" s="4">
        <f>IFERROR(__xludf.DUMMYFUNCTION("""COMPUTED_VALUE"""),296.0)</f>
        <v>296</v>
      </c>
      <c r="I547" s="4">
        <f>IFERROR(__xludf.DUMMYFUNCTION("""COMPUTED_VALUE"""),86.0)</f>
        <v>86</v>
      </c>
      <c r="J547" s="4">
        <f>IFERROR(__xludf.DUMMYFUNCTION("""COMPUTED_VALUE"""),60.0)</f>
        <v>60</v>
      </c>
      <c r="K547" s="4">
        <f>IFERROR(__xludf.DUMMYFUNCTION("""COMPUTED_VALUE"""),19.0)</f>
        <v>19</v>
      </c>
      <c r="L547" s="4">
        <f>IFERROR(__xludf.DUMMYFUNCTION("""COMPUTED_VALUE"""),0.404)</f>
        <v>0.404</v>
      </c>
      <c r="M547" s="4">
        <f>IFERROR(__xludf.DUMMYFUNCTION("""COMPUTED_VALUE"""),0.25)</f>
        <v>0.25</v>
      </c>
      <c r="N547" s="4">
        <f>IFERROR(__xludf.DUMMYFUNCTION("""COMPUTED_VALUE"""),0.667)</f>
        <v>0.667</v>
      </c>
      <c r="O547" s="4">
        <f>IFERROR(__xludf.DUMMYFUNCTION("""COMPUTED_VALUE"""),13.5)</f>
        <v>13.5</v>
      </c>
      <c r="P547" s="4">
        <f>IFERROR(__xludf.DUMMYFUNCTION("""COMPUTED_VALUE"""),3.9)</f>
        <v>3.9</v>
      </c>
      <c r="Q547" s="4">
        <f>IFERROR(__xludf.DUMMYFUNCTION("""COMPUTED_VALUE"""),2.7)</f>
        <v>2.7</v>
      </c>
      <c r="R547" s="4">
        <f>IFERROR(__xludf.DUMMYFUNCTION("""COMPUTED_VALUE"""),0.9)</f>
        <v>0.9</v>
      </c>
      <c r="S547" s="4">
        <f>IFERROR(__xludf.DUMMYFUNCTION("""COMPUTED_VALUE"""),0.4)</f>
        <v>0.4</v>
      </c>
      <c r="T547" s="4">
        <f>IFERROR(__xludf.DUMMYFUNCTION("""COMPUTED_VALUE"""),0.066)</f>
        <v>0.066</v>
      </c>
      <c r="U547" s="4">
        <f>IFERROR(__xludf.DUMMYFUNCTION("""COMPUTED_VALUE"""),-2.8)</f>
        <v>-2.8</v>
      </c>
      <c r="V547" s="4">
        <f>IFERROR(__xludf.DUMMYFUNCTION("""COMPUTED_VALUE"""),-0.1)</f>
        <v>-0.1</v>
      </c>
    </row>
    <row r="548">
      <c r="A548" s="4">
        <f>IFERROR(__xludf.DUMMYFUNCTION("""COMPUTED_VALUE"""),17.0)</f>
        <v>17</v>
      </c>
      <c r="B548" s="4">
        <f>IFERROR(__xludf.DUMMYFUNCTION("""COMPUTED_VALUE"""),17.0)</f>
        <v>17</v>
      </c>
      <c r="C548" s="4" t="str">
        <f>IFERROR(__xludf.DUMMYFUNCTION("""COMPUTED_VALUE"""),"MIL")</f>
        <v>MIL</v>
      </c>
      <c r="D548" s="4" t="str">
        <f>IFERROR(__xludf.DUMMYFUNCTION("""COMPUTED_VALUE"""),"D.J. Wilson")</f>
        <v>D.J. Wilson</v>
      </c>
      <c r="E548" s="4" t="str">
        <f>IFERROR(__xludf.DUMMYFUNCTION("""COMPUTED_VALUE"""),"Michigan")</f>
        <v>Michigan</v>
      </c>
      <c r="F548" s="4">
        <f>IFERROR(__xludf.DUMMYFUNCTION("""COMPUTED_VALUE"""),6.0)</f>
        <v>6</v>
      </c>
      <c r="G548" s="4">
        <f>IFERROR(__xludf.DUMMYFUNCTION("""COMPUTED_VALUE"""),148.0)</f>
        <v>148</v>
      </c>
      <c r="H548" s="4">
        <f>IFERROR(__xludf.DUMMYFUNCTION("""COMPUTED_VALUE"""),1818.0)</f>
        <v>1818</v>
      </c>
      <c r="I548" s="4">
        <f>IFERROR(__xludf.DUMMYFUNCTION("""COMPUTED_VALUE"""),657.0)</f>
        <v>657</v>
      </c>
      <c r="J548" s="4">
        <f>IFERROR(__xludf.DUMMYFUNCTION("""COMPUTED_VALUE"""),454.0)</f>
        <v>454</v>
      </c>
      <c r="K548" s="4">
        <f>IFERROR(__xludf.DUMMYFUNCTION("""COMPUTED_VALUE"""),110.0)</f>
        <v>110</v>
      </c>
      <c r="L548" s="4">
        <f>IFERROR(__xludf.DUMMYFUNCTION("""COMPUTED_VALUE"""),0.422)</f>
        <v>0.422</v>
      </c>
      <c r="M548" s="4">
        <f>IFERROR(__xludf.DUMMYFUNCTION("""COMPUTED_VALUE"""),0.331)</f>
        <v>0.331</v>
      </c>
      <c r="N548" s="4">
        <f>IFERROR(__xludf.DUMMYFUNCTION("""COMPUTED_VALUE"""),0.618)</f>
        <v>0.618</v>
      </c>
      <c r="O548" s="4">
        <f>IFERROR(__xludf.DUMMYFUNCTION("""COMPUTED_VALUE"""),12.3)</f>
        <v>12.3</v>
      </c>
      <c r="P548" s="4">
        <f>IFERROR(__xludf.DUMMYFUNCTION("""COMPUTED_VALUE"""),4.4)</f>
        <v>4.4</v>
      </c>
      <c r="Q548" s="4">
        <f>IFERROR(__xludf.DUMMYFUNCTION("""COMPUTED_VALUE"""),3.1)</f>
        <v>3.1</v>
      </c>
      <c r="R548" s="4">
        <f>IFERROR(__xludf.DUMMYFUNCTION("""COMPUTED_VALUE"""),0.7)</f>
        <v>0.7</v>
      </c>
      <c r="S548" s="4">
        <f>IFERROR(__xludf.DUMMYFUNCTION("""COMPUTED_VALUE"""),2.9)</f>
        <v>2.9</v>
      </c>
      <c r="T548" s="4">
        <f>IFERROR(__xludf.DUMMYFUNCTION("""COMPUTED_VALUE"""),0.077)</f>
        <v>0.077</v>
      </c>
      <c r="U548" s="4">
        <f>IFERROR(__xludf.DUMMYFUNCTION("""COMPUTED_VALUE"""),-2.4)</f>
        <v>-2.4</v>
      </c>
      <c r="V548" s="4">
        <f>IFERROR(__xludf.DUMMYFUNCTION("""COMPUTED_VALUE"""),-0.2)</f>
        <v>-0.2</v>
      </c>
    </row>
    <row r="549">
      <c r="A549" s="4">
        <f>IFERROR(__xludf.DUMMYFUNCTION("""COMPUTED_VALUE"""),18.0)</f>
        <v>18</v>
      </c>
      <c r="B549" s="4">
        <f>IFERROR(__xludf.DUMMYFUNCTION("""COMPUTED_VALUE"""),18.0)</f>
        <v>18</v>
      </c>
      <c r="C549" s="4" t="str">
        <f>IFERROR(__xludf.DUMMYFUNCTION("""COMPUTED_VALUE"""),"IND")</f>
        <v>IND</v>
      </c>
      <c r="D549" s="4" t="str">
        <f>IFERROR(__xludf.DUMMYFUNCTION("""COMPUTED_VALUE"""),"T.J. Leaf")</f>
        <v>T.J. Leaf</v>
      </c>
      <c r="E549" s="4" t="str">
        <f>IFERROR(__xludf.DUMMYFUNCTION("""COMPUTED_VALUE"""),"UCLA")</f>
        <v>UCLA</v>
      </c>
      <c r="F549" s="4">
        <f>IFERROR(__xludf.DUMMYFUNCTION("""COMPUTED_VALUE"""),4.0)</f>
        <v>4</v>
      </c>
      <c r="G549" s="4">
        <f>IFERROR(__xludf.DUMMYFUNCTION("""COMPUTED_VALUE"""),146.0)</f>
        <v>146</v>
      </c>
      <c r="H549" s="4">
        <f>IFERROR(__xludf.DUMMYFUNCTION("""COMPUTED_VALUE"""),1238.0)</f>
        <v>1238</v>
      </c>
      <c r="I549" s="4">
        <f>IFERROR(__xludf.DUMMYFUNCTION("""COMPUTED_VALUE"""),477.0)</f>
        <v>477</v>
      </c>
      <c r="J549" s="4">
        <f>IFERROR(__xludf.DUMMYFUNCTION("""COMPUTED_VALUE"""),283.0)</f>
        <v>283</v>
      </c>
      <c r="K549" s="4">
        <f>IFERROR(__xludf.DUMMYFUNCTION("""COMPUTED_VALUE"""),43.0)</f>
        <v>43</v>
      </c>
      <c r="L549" s="4">
        <f>IFERROR(__xludf.DUMMYFUNCTION("""COMPUTED_VALUE"""),0.492)</f>
        <v>0.492</v>
      </c>
      <c r="M549" s="4">
        <f>IFERROR(__xludf.DUMMYFUNCTION("""COMPUTED_VALUE"""),0.341)</f>
        <v>0.341</v>
      </c>
      <c r="N549" s="4">
        <f>IFERROR(__xludf.DUMMYFUNCTION("""COMPUTED_VALUE"""),0.585)</f>
        <v>0.585</v>
      </c>
      <c r="O549" s="4">
        <f>IFERROR(__xludf.DUMMYFUNCTION("""COMPUTED_VALUE"""),8.5)</f>
        <v>8.5</v>
      </c>
      <c r="P549" s="4">
        <f>IFERROR(__xludf.DUMMYFUNCTION("""COMPUTED_VALUE"""),3.3)</f>
        <v>3.3</v>
      </c>
      <c r="Q549" s="4">
        <f>IFERROR(__xludf.DUMMYFUNCTION("""COMPUTED_VALUE"""),1.9)</f>
        <v>1.9</v>
      </c>
      <c r="R549" s="4">
        <f>IFERROR(__xludf.DUMMYFUNCTION("""COMPUTED_VALUE"""),0.3)</f>
        <v>0.3</v>
      </c>
      <c r="S549" s="4">
        <f>IFERROR(__xludf.DUMMYFUNCTION("""COMPUTED_VALUE"""),2.7)</f>
        <v>2.7</v>
      </c>
      <c r="T549" s="4">
        <f>IFERROR(__xludf.DUMMYFUNCTION("""COMPUTED_VALUE"""),0.104)</f>
        <v>0.104</v>
      </c>
      <c r="U549" s="4">
        <f>IFERROR(__xludf.DUMMYFUNCTION("""COMPUTED_VALUE"""),-1.8)</f>
        <v>-1.8</v>
      </c>
      <c r="V549" s="4">
        <f>IFERROR(__xludf.DUMMYFUNCTION("""COMPUTED_VALUE"""),0.1)</f>
        <v>0.1</v>
      </c>
    </row>
    <row r="550">
      <c r="A550" s="4">
        <f>IFERROR(__xludf.DUMMYFUNCTION("""COMPUTED_VALUE"""),19.0)</f>
        <v>19</v>
      </c>
      <c r="B550" s="4">
        <f>IFERROR(__xludf.DUMMYFUNCTION("""COMPUTED_VALUE"""),19.0)</f>
        <v>19</v>
      </c>
      <c r="C550" s="4" t="str">
        <f>IFERROR(__xludf.DUMMYFUNCTION("""COMPUTED_VALUE"""),"ATL")</f>
        <v>ATL</v>
      </c>
      <c r="D550" s="4" t="str">
        <f>IFERROR(__xludf.DUMMYFUNCTION("""COMPUTED_VALUE"""),"John Collins")</f>
        <v>John Collins</v>
      </c>
      <c r="E550" s="4" t="str">
        <f>IFERROR(__xludf.DUMMYFUNCTION("""COMPUTED_VALUE"""),"Wake Forest")</f>
        <v>Wake Forest</v>
      </c>
      <c r="F550" s="4">
        <f>IFERROR(__xludf.DUMMYFUNCTION("""COMPUTED_VALUE"""),9.0)</f>
        <v>9</v>
      </c>
      <c r="G550" s="4">
        <f>IFERROR(__xludf.DUMMYFUNCTION("""COMPUTED_VALUE"""),493.0)</f>
        <v>493</v>
      </c>
      <c r="H550" s="4">
        <f>IFERROR(__xludf.DUMMYFUNCTION("""COMPUTED_VALUE"""),14302.0)</f>
        <v>14302</v>
      </c>
      <c r="I550" s="4">
        <f>IFERROR(__xludf.DUMMYFUNCTION("""COMPUTED_VALUE"""),7803.0)</f>
        <v>7803</v>
      </c>
      <c r="J550" s="4">
        <f>IFERROR(__xludf.DUMMYFUNCTION("""COMPUTED_VALUE"""),3908.0)</f>
        <v>3908</v>
      </c>
      <c r="K550" s="4">
        <f>IFERROR(__xludf.DUMMYFUNCTION("""COMPUTED_VALUE"""),710.0)</f>
        <v>710</v>
      </c>
      <c r="L550" s="4">
        <f>IFERROR(__xludf.DUMMYFUNCTION("""COMPUTED_VALUE"""),0.544)</f>
        <v>0.544</v>
      </c>
      <c r="M550" s="4">
        <f>IFERROR(__xludf.DUMMYFUNCTION("""COMPUTED_VALUE"""),0.361)</f>
        <v>0.361</v>
      </c>
      <c r="N550" s="4">
        <f>IFERROR(__xludf.DUMMYFUNCTION("""COMPUTED_VALUE"""),0.792)</f>
        <v>0.792</v>
      </c>
      <c r="O550" s="4">
        <f>IFERROR(__xludf.DUMMYFUNCTION("""COMPUTED_VALUE"""),29.0)</f>
        <v>29</v>
      </c>
      <c r="P550" s="4">
        <f>IFERROR(__xludf.DUMMYFUNCTION("""COMPUTED_VALUE"""),15.8)</f>
        <v>15.8</v>
      </c>
      <c r="Q550" s="4">
        <f>IFERROR(__xludf.DUMMYFUNCTION("""COMPUTED_VALUE"""),7.9)</f>
        <v>7.9</v>
      </c>
      <c r="R550" s="4">
        <f>IFERROR(__xludf.DUMMYFUNCTION("""COMPUTED_VALUE"""),1.4)</f>
        <v>1.4</v>
      </c>
      <c r="S550" s="4">
        <f>IFERROR(__xludf.DUMMYFUNCTION("""COMPUTED_VALUE"""),39.5)</f>
        <v>39.5</v>
      </c>
      <c r="T550" s="4">
        <f>IFERROR(__xludf.DUMMYFUNCTION("""COMPUTED_VALUE"""),0.133)</f>
        <v>0.133</v>
      </c>
      <c r="U550" s="4">
        <f>IFERROR(__xludf.DUMMYFUNCTION("""COMPUTED_VALUE"""),0.5)</f>
        <v>0.5</v>
      </c>
      <c r="V550" s="4">
        <f>IFERROR(__xludf.DUMMYFUNCTION("""COMPUTED_VALUE"""),8.9)</f>
        <v>8.9</v>
      </c>
    </row>
    <row r="551">
      <c r="A551" s="4">
        <f>IFERROR(__xludf.DUMMYFUNCTION("""COMPUTED_VALUE"""),20.0)</f>
        <v>20</v>
      </c>
      <c r="B551" s="4">
        <f>IFERROR(__xludf.DUMMYFUNCTION("""COMPUTED_VALUE"""),20.0)</f>
        <v>20</v>
      </c>
      <c r="C551" s="4" t="str">
        <f>IFERROR(__xludf.DUMMYFUNCTION("""COMPUTED_VALUE"""),"POR")</f>
        <v>POR</v>
      </c>
      <c r="D551" s="4" t="str">
        <f>IFERROR(__xludf.DUMMYFUNCTION("""COMPUTED_VALUE"""),"Harry Giles")</f>
        <v>Harry Giles</v>
      </c>
      <c r="E551" s="4" t="str">
        <f>IFERROR(__xludf.DUMMYFUNCTION("""COMPUTED_VALUE"""),"Duke")</f>
        <v>Duke</v>
      </c>
      <c r="F551" s="4">
        <f>IFERROR(__xludf.DUMMYFUNCTION("""COMPUTED_VALUE"""),4.0)</f>
        <v>4</v>
      </c>
      <c r="G551" s="4">
        <f>IFERROR(__xludf.DUMMYFUNCTION("""COMPUTED_VALUE"""),165.0)</f>
        <v>165</v>
      </c>
      <c r="H551" s="4">
        <f>IFERROR(__xludf.DUMMYFUNCTION("""COMPUTED_VALUE"""),1935.0)</f>
        <v>1935</v>
      </c>
      <c r="I551" s="4">
        <f>IFERROR(__xludf.DUMMYFUNCTION("""COMPUTED_VALUE"""),888.0)</f>
        <v>888</v>
      </c>
      <c r="J551" s="4">
        <f>IFERROR(__xludf.DUMMYFUNCTION("""COMPUTED_VALUE"""),573.0)</f>
        <v>573</v>
      </c>
      <c r="K551" s="4">
        <f>IFERROR(__xludf.DUMMYFUNCTION("""COMPUTED_VALUE"""),180.0)</f>
        <v>180</v>
      </c>
      <c r="L551" s="4">
        <f>IFERROR(__xludf.DUMMYFUNCTION("""COMPUTED_VALUE"""),0.508)</f>
        <v>0.508</v>
      </c>
      <c r="M551" s="4">
        <f>IFERROR(__xludf.DUMMYFUNCTION("""COMPUTED_VALUE"""),0.244)</f>
        <v>0.244</v>
      </c>
      <c r="N551" s="4">
        <f>IFERROR(__xludf.DUMMYFUNCTION("""COMPUTED_VALUE"""),0.661)</f>
        <v>0.661</v>
      </c>
      <c r="O551" s="4">
        <f>IFERROR(__xludf.DUMMYFUNCTION("""COMPUTED_VALUE"""),11.7)</f>
        <v>11.7</v>
      </c>
      <c r="P551" s="4">
        <f>IFERROR(__xludf.DUMMYFUNCTION("""COMPUTED_VALUE"""),5.4)</f>
        <v>5.4</v>
      </c>
      <c r="Q551" s="4">
        <f>IFERROR(__xludf.DUMMYFUNCTION("""COMPUTED_VALUE"""),3.5)</f>
        <v>3.5</v>
      </c>
      <c r="R551" s="4">
        <f>IFERROR(__xludf.DUMMYFUNCTION("""COMPUTED_VALUE"""),1.1)</f>
        <v>1.1</v>
      </c>
      <c r="S551" s="4">
        <f>IFERROR(__xludf.DUMMYFUNCTION("""COMPUTED_VALUE"""),3.1)</f>
        <v>3.1</v>
      </c>
      <c r="T551" s="4">
        <f>IFERROR(__xludf.DUMMYFUNCTION("""COMPUTED_VALUE"""),0.076)</f>
        <v>0.076</v>
      </c>
      <c r="U551" s="4">
        <f>IFERROR(__xludf.DUMMYFUNCTION("""COMPUTED_VALUE"""),-2.5)</f>
        <v>-2.5</v>
      </c>
      <c r="V551" s="4">
        <f>IFERROR(__xludf.DUMMYFUNCTION("""COMPUTED_VALUE"""),-0.2)</f>
        <v>-0.2</v>
      </c>
    </row>
    <row r="552">
      <c r="A552" s="4">
        <f>IFERROR(__xludf.DUMMYFUNCTION("""COMPUTED_VALUE"""),21.0)</f>
        <v>21</v>
      </c>
      <c r="B552" s="4">
        <f>IFERROR(__xludf.DUMMYFUNCTION("""COMPUTED_VALUE"""),21.0)</f>
        <v>21</v>
      </c>
      <c r="C552" s="4" t="str">
        <f>IFERROR(__xludf.DUMMYFUNCTION("""COMPUTED_VALUE"""),"OKC")</f>
        <v>OKC</v>
      </c>
      <c r="D552" s="4" t="str">
        <f>IFERROR(__xludf.DUMMYFUNCTION("""COMPUTED_VALUE"""),"Terrance Ferguson")</f>
        <v>Terrance Ferguson</v>
      </c>
      <c r="E552" s="4"/>
      <c r="F552" s="4">
        <f>IFERROR(__xludf.DUMMYFUNCTION("""COMPUTED_VALUE"""),4.0)</f>
        <v>4</v>
      </c>
      <c r="G552" s="4">
        <f>IFERROR(__xludf.DUMMYFUNCTION("""COMPUTED_VALUE"""),204.0)</f>
        <v>204</v>
      </c>
      <c r="H552" s="4">
        <f>IFERROR(__xludf.DUMMYFUNCTION("""COMPUTED_VALUE"""),4000.0)</f>
        <v>4000</v>
      </c>
      <c r="I552" s="4">
        <f>IFERROR(__xludf.DUMMYFUNCTION("""COMPUTED_VALUE"""),924.0)</f>
        <v>924</v>
      </c>
      <c r="J552" s="4">
        <f>IFERROR(__xludf.DUMMYFUNCTION("""COMPUTED_VALUE"""),263.0)</f>
        <v>263</v>
      </c>
      <c r="K552" s="4">
        <f>IFERROR(__xludf.DUMMYFUNCTION("""COMPUTED_VALUE"""),144.0)</f>
        <v>144</v>
      </c>
      <c r="L552" s="4">
        <f>IFERROR(__xludf.DUMMYFUNCTION("""COMPUTED_VALUE"""),0.404)</f>
        <v>0.404</v>
      </c>
      <c r="M552" s="4">
        <f>IFERROR(__xludf.DUMMYFUNCTION("""COMPUTED_VALUE"""),0.334)</f>
        <v>0.334</v>
      </c>
      <c r="N552" s="4">
        <f>IFERROR(__xludf.DUMMYFUNCTION("""COMPUTED_VALUE"""),0.753)</f>
        <v>0.753</v>
      </c>
      <c r="O552" s="4">
        <f>IFERROR(__xludf.DUMMYFUNCTION("""COMPUTED_VALUE"""),19.6)</f>
        <v>19.6</v>
      </c>
      <c r="P552" s="4">
        <f>IFERROR(__xludf.DUMMYFUNCTION("""COMPUTED_VALUE"""),4.5)</f>
        <v>4.5</v>
      </c>
      <c r="Q552" s="4">
        <f>IFERROR(__xludf.DUMMYFUNCTION("""COMPUTED_VALUE"""),1.3)</f>
        <v>1.3</v>
      </c>
      <c r="R552" s="4">
        <f>IFERROR(__xludf.DUMMYFUNCTION("""COMPUTED_VALUE"""),0.7)</f>
        <v>0.7</v>
      </c>
      <c r="S552" s="4">
        <f>IFERROR(__xludf.DUMMYFUNCTION("""COMPUTED_VALUE"""),4.4)</f>
        <v>4.4</v>
      </c>
      <c r="T552" s="4">
        <f>IFERROR(__xludf.DUMMYFUNCTION("""COMPUTED_VALUE"""),0.053)</f>
        <v>0.053</v>
      </c>
      <c r="U552" s="4">
        <f>IFERROR(__xludf.DUMMYFUNCTION("""COMPUTED_VALUE"""),-4.0)</f>
        <v>-4</v>
      </c>
      <c r="V552" s="4">
        <f>IFERROR(__xludf.DUMMYFUNCTION("""COMPUTED_VALUE"""),-2.1)</f>
        <v>-2.1</v>
      </c>
    </row>
    <row r="553">
      <c r="A553" s="4">
        <f>IFERROR(__xludf.DUMMYFUNCTION("""COMPUTED_VALUE"""),22.0)</f>
        <v>22</v>
      </c>
      <c r="B553" s="4">
        <f>IFERROR(__xludf.DUMMYFUNCTION("""COMPUTED_VALUE"""),22.0)</f>
        <v>22</v>
      </c>
      <c r="C553" s="4" t="str">
        <f>IFERROR(__xludf.DUMMYFUNCTION("""COMPUTED_VALUE"""),"BRK")</f>
        <v>BRK</v>
      </c>
      <c r="D553" s="4" t="str">
        <f>IFERROR(__xludf.DUMMYFUNCTION("""COMPUTED_VALUE"""),"Jarrett Allen")</f>
        <v>Jarrett Allen</v>
      </c>
      <c r="E553" s="4" t="str">
        <f>IFERROR(__xludf.DUMMYFUNCTION("""COMPUTED_VALUE"""),"Texas")</f>
        <v>Texas</v>
      </c>
      <c r="F553" s="4">
        <f>IFERROR(__xludf.DUMMYFUNCTION("""COMPUTED_VALUE"""),9.0)</f>
        <v>9</v>
      </c>
      <c r="G553" s="4">
        <f>IFERROR(__xludf.DUMMYFUNCTION("""COMPUTED_VALUE"""),583.0)</f>
        <v>583</v>
      </c>
      <c r="H553" s="4">
        <f>IFERROR(__xludf.DUMMYFUNCTION("""COMPUTED_VALUE"""),16413.0)</f>
        <v>16413</v>
      </c>
      <c r="I553" s="4">
        <f>IFERROR(__xludf.DUMMYFUNCTION("""COMPUTED_VALUE"""),7503.0)</f>
        <v>7503</v>
      </c>
      <c r="J553" s="4">
        <f>IFERROR(__xludf.DUMMYFUNCTION("""COMPUTED_VALUE"""),5353.0)</f>
        <v>5353</v>
      </c>
      <c r="K553" s="4">
        <f>IFERROR(__xludf.DUMMYFUNCTION("""COMPUTED_VALUE"""),975.0)</f>
        <v>975</v>
      </c>
      <c r="L553" s="4">
        <f>IFERROR(__xludf.DUMMYFUNCTION("""COMPUTED_VALUE"""),0.639)</f>
        <v>0.639</v>
      </c>
      <c r="M553" s="4">
        <f>IFERROR(__xludf.DUMMYFUNCTION("""COMPUTED_VALUE"""),0.158)</f>
        <v>0.158</v>
      </c>
      <c r="N553" s="4">
        <f>IFERROR(__xludf.DUMMYFUNCTION("""COMPUTED_VALUE"""),0.714)</f>
        <v>0.714</v>
      </c>
      <c r="O553" s="4">
        <f>IFERROR(__xludf.DUMMYFUNCTION("""COMPUTED_VALUE"""),28.2)</f>
        <v>28.2</v>
      </c>
      <c r="P553" s="4">
        <f>IFERROR(__xludf.DUMMYFUNCTION("""COMPUTED_VALUE"""),12.9)</f>
        <v>12.9</v>
      </c>
      <c r="Q553" s="4">
        <f>IFERROR(__xludf.DUMMYFUNCTION("""COMPUTED_VALUE"""),9.2)</f>
        <v>9.2</v>
      </c>
      <c r="R553" s="4">
        <f>IFERROR(__xludf.DUMMYFUNCTION("""COMPUTED_VALUE"""),1.7)</f>
        <v>1.7</v>
      </c>
      <c r="S553" s="4">
        <f>IFERROR(__xludf.DUMMYFUNCTION("""COMPUTED_VALUE"""),68.1)</f>
        <v>68.1</v>
      </c>
      <c r="T553" s="4">
        <f>IFERROR(__xludf.DUMMYFUNCTION("""COMPUTED_VALUE"""),0.199)</f>
        <v>0.199</v>
      </c>
      <c r="U553" s="4">
        <f>IFERROR(__xludf.DUMMYFUNCTION("""COMPUTED_VALUE"""),2.3)</f>
        <v>2.3</v>
      </c>
      <c r="V553" s="4">
        <f>IFERROR(__xludf.DUMMYFUNCTION("""COMPUTED_VALUE"""),18.0)</f>
        <v>18</v>
      </c>
    </row>
    <row r="554">
      <c r="A554" s="4">
        <f>IFERROR(__xludf.DUMMYFUNCTION("""COMPUTED_VALUE"""),23.0)</f>
        <v>23</v>
      </c>
      <c r="B554" s="4">
        <f>IFERROR(__xludf.DUMMYFUNCTION("""COMPUTED_VALUE"""),23.0)</f>
        <v>23</v>
      </c>
      <c r="C554" s="4" t="str">
        <f>IFERROR(__xludf.DUMMYFUNCTION("""COMPUTED_VALUE"""),"TOR")</f>
        <v>TOR</v>
      </c>
      <c r="D554" s="4" t="str">
        <f>IFERROR(__xludf.DUMMYFUNCTION("""COMPUTED_VALUE"""),"OG Anunoby")</f>
        <v>OG Anunoby</v>
      </c>
      <c r="E554" s="4" t="str">
        <f>IFERROR(__xludf.DUMMYFUNCTION("""COMPUTED_VALUE"""),"Indiana")</f>
        <v>Indiana</v>
      </c>
      <c r="F554" s="4">
        <f>IFERROR(__xludf.DUMMYFUNCTION("""COMPUTED_VALUE"""),9.0)</f>
        <v>9</v>
      </c>
      <c r="G554" s="4">
        <f>IFERROR(__xludf.DUMMYFUNCTION("""COMPUTED_VALUE"""),504.0)</f>
        <v>504</v>
      </c>
      <c r="H554" s="4">
        <f>IFERROR(__xludf.DUMMYFUNCTION("""COMPUTED_VALUE"""),15227.0)</f>
        <v>15227</v>
      </c>
      <c r="I554" s="4">
        <f>IFERROR(__xludf.DUMMYFUNCTION("""COMPUTED_VALUE"""),6523.0)</f>
        <v>6523</v>
      </c>
      <c r="J554" s="4">
        <f>IFERROR(__xludf.DUMMYFUNCTION("""COMPUTED_VALUE"""),2211.0)</f>
        <v>2211</v>
      </c>
      <c r="K554" s="4">
        <f>IFERROR(__xludf.DUMMYFUNCTION("""COMPUTED_VALUE"""),857.0)</f>
        <v>857</v>
      </c>
      <c r="L554" s="4">
        <f>IFERROR(__xludf.DUMMYFUNCTION("""COMPUTED_VALUE"""),0.474)</f>
        <v>0.474</v>
      </c>
      <c r="M554" s="4">
        <f>IFERROR(__xludf.DUMMYFUNCTION("""COMPUTED_VALUE"""),0.376)</f>
        <v>0.376</v>
      </c>
      <c r="N554" s="4">
        <f>IFERROR(__xludf.DUMMYFUNCTION("""COMPUTED_VALUE"""),0.761)</f>
        <v>0.761</v>
      </c>
      <c r="O554" s="4">
        <f>IFERROR(__xludf.DUMMYFUNCTION("""COMPUTED_VALUE"""),30.2)</f>
        <v>30.2</v>
      </c>
      <c r="P554" s="4">
        <f>IFERROR(__xludf.DUMMYFUNCTION("""COMPUTED_VALUE"""),12.9)</f>
        <v>12.9</v>
      </c>
      <c r="Q554" s="4">
        <f>IFERROR(__xludf.DUMMYFUNCTION("""COMPUTED_VALUE"""),4.4)</f>
        <v>4.4</v>
      </c>
      <c r="R554" s="4">
        <f>IFERROR(__xludf.DUMMYFUNCTION("""COMPUTED_VALUE"""),1.7)</f>
        <v>1.7</v>
      </c>
      <c r="S554" s="4">
        <f>IFERROR(__xludf.DUMMYFUNCTION("""COMPUTED_VALUE"""),32.3)</f>
        <v>32.3</v>
      </c>
      <c r="T554" s="4">
        <f>IFERROR(__xludf.DUMMYFUNCTION("""COMPUTED_VALUE"""),0.102)</f>
        <v>0.102</v>
      </c>
      <c r="U554" s="4">
        <f>IFERROR(__xludf.DUMMYFUNCTION("""COMPUTED_VALUE"""),0.3)</f>
        <v>0.3</v>
      </c>
      <c r="V554" s="4">
        <f>IFERROR(__xludf.DUMMYFUNCTION("""COMPUTED_VALUE"""),8.7)</f>
        <v>8.7</v>
      </c>
    </row>
    <row r="555">
      <c r="A555" s="4">
        <f>IFERROR(__xludf.DUMMYFUNCTION("""COMPUTED_VALUE"""),24.0)</f>
        <v>24</v>
      </c>
      <c r="B555" s="4">
        <f>IFERROR(__xludf.DUMMYFUNCTION("""COMPUTED_VALUE"""),24.0)</f>
        <v>24</v>
      </c>
      <c r="C555" s="4" t="str">
        <f>IFERROR(__xludf.DUMMYFUNCTION("""COMPUTED_VALUE"""),"UTA")</f>
        <v>UTA</v>
      </c>
      <c r="D555" s="4" t="str">
        <f>IFERROR(__xludf.DUMMYFUNCTION("""COMPUTED_VALUE"""),"Tyler Lydon")</f>
        <v>Tyler Lydon</v>
      </c>
      <c r="E555" s="4" t="str">
        <f>IFERROR(__xludf.DUMMYFUNCTION("""COMPUTED_VALUE"""),"Syracuse")</f>
        <v>Syracuse</v>
      </c>
      <c r="F555" s="4">
        <f>IFERROR(__xludf.DUMMYFUNCTION("""COMPUTED_VALUE"""),2.0)</f>
        <v>2</v>
      </c>
      <c r="G555" s="4">
        <f>IFERROR(__xludf.DUMMYFUNCTION("""COMPUTED_VALUE"""),26.0)</f>
        <v>26</v>
      </c>
      <c r="H555" s="4">
        <f>IFERROR(__xludf.DUMMYFUNCTION("""COMPUTED_VALUE"""),96.0)</f>
        <v>96</v>
      </c>
      <c r="I555" s="4">
        <f>IFERROR(__xludf.DUMMYFUNCTION("""COMPUTED_VALUE"""),23.0)</f>
        <v>23</v>
      </c>
      <c r="J555" s="4">
        <f>IFERROR(__xludf.DUMMYFUNCTION("""COMPUTED_VALUE"""),18.0)</f>
        <v>18</v>
      </c>
      <c r="K555" s="4">
        <f>IFERROR(__xludf.DUMMYFUNCTION("""COMPUTED_VALUE"""),6.0)</f>
        <v>6</v>
      </c>
      <c r="L555" s="4">
        <f>IFERROR(__xludf.DUMMYFUNCTION("""COMPUTED_VALUE"""),0.5)</f>
        <v>0.5</v>
      </c>
      <c r="M555" s="4">
        <f>IFERROR(__xludf.DUMMYFUNCTION("""COMPUTED_VALUE"""),0.4)</f>
        <v>0.4</v>
      </c>
      <c r="N555" s="4">
        <f>IFERROR(__xludf.DUMMYFUNCTION("""COMPUTED_VALUE"""),0.333)</f>
        <v>0.333</v>
      </c>
      <c r="O555" s="4">
        <f>IFERROR(__xludf.DUMMYFUNCTION("""COMPUTED_VALUE"""),3.7)</f>
        <v>3.7</v>
      </c>
      <c r="P555" s="4">
        <f>IFERROR(__xludf.DUMMYFUNCTION("""COMPUTED_VALUE"""),0.9)</f>
        <v>0.9</v>
      </c>
      <c r="Q555" s="4">
        <f>IFERROR(__xludf.DUMMYFUNCTION("""COMPUTED_VALUE"""),0.7)</f>
        <v>0.7</v>
      </c>
      <c r="R555" s="4">
        <f>IFERROR(__xludf.DUMMYFUNCTION("""COMPUTED_VALUE"""),0.2)</f>
        <v>0.2</v>
      </c>
      <c r="S555" s="4">
        <f>IFERROR(__xludf.DUMMYFUNCTION("""COMPUTED_VALUE"""),0.2)</f>
        <v>0.2</v>
      </c>
      <c r="T555" s="4">
        <f>IFERROR(__xludf.DUMMYFUNCTION("""COMPUTED_VALUE"""),0.084)</f>
        <v>0.084</v>
      </c>
      <c r="U555" s="4">
        <f>IFERROR(__xludf.DUMMYFUNCTION("""COMPUTED_VALUE"""),-4.3)</f>
        <v>-4.3</v>
      </c>
      <c r="V555" s="4">
        <f>IFERROR(__xludf.DUMMYFUNCTION("""COMPUTED_VALUE"""),-0.1)</f>
        <v>-0.1</v>
      </c>
    </row>
    <row r="556">
      <c r="A556" s="4">
        <f>IFERROR(__xludf.DUMMYFUNCTION("""COMPUTED_VALUE"""),25.0)</f>
        <v>25</v>
      </c>
      <c r="B556" s="4">
        <f>IFERROR(__xludf.DUMMYFUNCTION("""COMPUTED_VALUE"""),25.0)</f>
        <v>25</v>
      </c>
      <c r="C556" s="4" t="str">
        <f>IFERROR(__xludf.DUMMYFUNCTION("""COMPUTED_VALUE"""),"ORL")</f>
        <v>ORL</v>
      </c>
      <c r="D556" s="4" t="str">
        <f>IFERROR(__xludf.DUMMYFUNCTION("""COMPUTED_VALUE"""),"Anžejs Pasečņiks")</f>
        <v>Anžejs Pasečņiks</v>
      </c>
      <c r="E556" s="4"/>
      <c r="F556" s="4">
        <f>IFERROR(__xludf.DUMMYFUNCTION("""COMPUTED_VALUE"""),2.0)</f>
        <v>2</v>
      </c>
      <c r="G556" s="4">
        <f>IFERROR(__xludf.DUMMYFUNCTION("""COMPUTED_VALUE"""),28.0)</f>
        <v>28</v>
      </c>
      <c r="H556" s="4">
        <f>IFERROR(__xludf.DUMMYFUNCTION("""COMPUTED_VALUE"""),443.0)</f>
        <v>443</v>
      </c>
      <c r="I556" s="4">
        <f>IFERROR(__xludf.DUMMYFUNCTION("""COMPUTED_VALUE"""),156.0)</f>
        <v>156</v>
      </c>
      <c r="J556" s="4">
        <f>IFERROR(__xludf.DUMMYFUNCTION("""COMPUTED_VALUE"""),108.0)</f>
        <v>108</v>
      </c>
      <c r="K556" s="4">
        <f>IFERROR(__xludf.DUMMYFUNCTION("""COMPUTED_VALUE"""),19.0)</f>
        <v>19</v>
      </c>
      <c r="L556" s="4">
        <f>IFERROR(__xludf.DUMMYFUNCTION("""COMPUTED_VALUE"""),0.521)</f>
        <v>0.521</v>
      </c>
      <c r="M556" s="4">
        <f>IFERROR(__xludf.DUMMYFUNCTION("""COMPUTED_VALUE"""),0.0)</f>
        <v>0</v>
      </c>
      <c r="N556" s="4">
        <f>IFERROR(__xludf.DUMMYFUNCTION("""COMPUTED_VALUE"""),0.586)</f>
        <v>0.586</v>
      </c>
      <c r="O556" s="4">
        <f>IFERROR(__xludf.DUMMYFUNCTION("""COMPUTED_VALUE"""),15.8)</f>
        <v>15.8</v>
      </c>
      <c r="P556" s="4">
        <f>IFERROR(__xludf.DUMMYFUNCTION("""COMPUTED_VALUE"""),5.6)</f>
        <v>5.6</v>
      </c>
      <c r="Q556" s="4">
        <f>IFERROR(__xludf.DUMMYFUNCTION("""COMPUTED_VALUE"""),3.9)</f>
        <v>3.9</v>
      </c>
      <c r="R556" s="4">
        <f>IFERROR(__xludf.DUMMYFUNCTION("""COMPUTED_VALUE"""),0.7)</f>
        <v>0.7</v>
      </c>
      <c r="S556" s="4">
        <f>IFERROR(__xludf.DUMMYFUNCTION("""COMPUTED_VALUE"""),0.4)</f>
        <v>0.4</v>
      </c>
      <c r="T556" s="4">
        <f>IFERROR(__xludf.DUMMYFUNCTION("""COMPUTED_VALUE"""),0.038)</f>
        <v>0.038</v>
      </c>
      <c r="U556" s="4">
        <f>IFERROR(__xludf.DUMMYFUNCTION("""COMPUTED_VALUE"""),-6.2)</f>
        <v>-6.2</v>
      </c>
      <c r="V556" s="4">
        <f>IFERROR(__xludf.DUMMYFUNCTION("""COMPUTED_VALUE"""),-0.5)</f>
        <v>-0.5</v>
      </c>
    </row>
    <row r="557">
      <c r="A557" s="4">
        <f>IFERROR(__xludf.DUMMYFUNCTION("""COMPUTED_VALUE"""),26.0)</f>
        <v>26</v>
      </c>
      <c r="B557" s="4">
        <f>IFERROR(__xludf.DUMMYFUNCTION("""COMPUTED_VALUE"""),26.0)</f>
        <v>26</v>
      </c>
      <c r="C557" s="4" t="str">
        <f>IFERROR(__xludf.DUMMYFUNCTION("""COMPUTED_VALUE"""),"POR")</f>
        <v>POR</v>
      </c>
      <c r="D557" s="4" t="str">
        <f>IFERROR(__xludf.DUMMYFUNCTION("""COMPUTED_VALUE"""),"Caleb Swanigan")</f>
        <v>Caleb Swanigan</v>
      </c>
      <c r="E557" s="4" t="str">
        <f>IFERROR(__xludf.DUMMYFUNCTION("""COMPUTED_VALUE"""),"Purdue")</f>
        <v>Purdue</v>
      </c>
      <c r="F557" s="4">
        <f>IFERROR(__xludf.DUMMYFUNCTION("""COMPUTED_VALUE"""),3.0)</f>
        <v>3</v>
      </c>
      <c r="G557" s="4">
        <f>IFERROR(__xludf.DUMMYFUNCTION("""COMPUTED_VALUE"""),75.0)</f>
        <v>75</v>
      </c>
      <c r="H557" s="4">
        <f>IFERROR(__xludf.DUMMYFUNCTION("""COMPUTED_VALUE"""),655.0)</f>
        <v>655</v>
      </c>
      <c r="I557" s="4">
        <f>IFERROR(__xludf.DUMMYFUNCTION("""COMPUTED_VALUE"""),169.0)</f>
        <v>169</v>
      </c>
      <c r="J557" s="4">
        <f>IFERROR(__xludf.DUMMYFUNCTION("""COMPUTED_VALUE"""),218.0)</f>
        <v>218</v>
      </c>
      <c r="K557" s="4">
        <f>IFERROR(__xludf.DUMMYFUNCTION("""COMPUTED_VALUE"""),56.0)</f>
        <v>56</v>
      </c>
      <c r="L557" s="4">
        <f>IFERROR(__xludf.DUMMYFUNCTION("""COMPUTED_VALUE"""),0.438)</f>
        <v>0.438</v>
      </c>
      <c r="M557" s="4">
        <f>IFERROR(__xludf.DUMMYFUNCTION("""COMPUTED_VALUE"""),0.118)</f>
        <v>0.118</v>
      </c>
      <c r="N557" s="4">
        <f>IFERROR(__xludf.DUMMYFUNCTION("""COMPUTED_VALUE"""),0.614)</f>
        <v>0.614</v>
      </c>
      <c r="O557" s="4">
        <f>IFERROR(__xludf.DUMMYFUNCTION("""COMPUTED_VALUE"""),8.7)</f>
        <v>8.7</v>
      </c>
      <c r="P557" s="4">
        <f>IFERROR(__xludf.DUMMYFUNCTION("""COMPUTED_VALUE"""),2.3)</f>
        <v>2.3</v>
      </c>
      <c r="Q557" s="4">
        <f>IFERROR(__xludf.DUMMYFUNCTION("""COMPUTED_VALUE"""),2.9)</f>
        <v>2.9</v>
      </c>
      <c r="R557" s="4">
        <f>IFERROR(__xludf.DUMMYFUNCTION("""COMPUTED_VALUE"""),0.7)</f>
        <v>0.7</v>
      </c>
      <c r="S557" s="4">
        <f>IFERROR(__xludf.DUMMYFUNCTION("""COMPUTED_VALUE"""),-0.2)</f>
        <v>-0.2</v>
      </c>
      <c r="T557" s="4">
        <f>IFERROR(__xludf.DUMMYFUNCTION("""COMPUTED_VALUE"""),-0.015)</f>
        <v>-0.015</v>
      </c>
      <c r="U557" s="4">
        <f>IFERROR(__xludf.DUMMYFUNCTION("""COMPUTED_VALUE"""),-6.2)</f>
        <v>-6.2</v>
      </c>
      <c r="V557" s="4">
        <f>IFERROR(__xludf.DUMMYFUNCTION("""COMPUTED_VALUE"""),-0.7)</f>
        <v>-0.7</v>
      </c>
    </row>
    <row r="558">
      <c r="A558" s="4">
        <f>IFERROR(__xludf.DUMMYFUNCTION("""COMPUTED_VALUE"""),27.0)</f>
        <v>27</v>
      </c>
      <c r="B558" s="4">
        <f>IFERROR(__xludf.DUMMYFUNCTION("""COMPUTED_VALUE"""),27.0)</f>
        <v>27</v>
      </c>
      <c r="C558" s="4" t="str">
        <f>IFERROR(__xludf.DUMMYFUNCTION("""COMPUTED_VALUE"""),"BRK")</f>
        <v>BRK</v>
      </c>
      <c r="D558" s="4" t="str">
        <f>IFERROR(__xludf.DUMMYFUNCTION("""COMPUTED_VALUE"""),"Kyle Kuzma")</f>
        <v>Kyle Kuzma</v>
      </c>
      <c r="E558" s="4" t="str">
        <f>IFERROR(__xludf.DUMMYFUNCTION("""COMPUTED_VALUE"""),"Utah")</f>
        <v>Utah</v>
      </c>
      <c r="F558" s="4">
        <f>IFERROR(__xludf.DUMMYFUNCTION("""COMPUTED_VALUE"""),9.0)</f>
        <v>9</v>
      </c>
      <c r="G558" s="4">
        <f>IFERROR(__xludf.DUMMYFUNCTION("""COMPUTED_VALUE"""),562.0)</f>
        <v>562</v>
      </c>
      <c r="H558" s="4">
        <f>IFERROR(__xludf.DUMMYFUNCTION("""COMPUTED_VALUE"""),17398.0)</f>
        <v>17398</v>
      </c>
      <c r="I558" s="4">
        <f>IFERROR(__xludf.DUMMYFUNCTION("""COMPUTED_VALUE"""),9483.0)</f>
        <v>9483</v>
      </c>
      <c r="J558" s="4">
        <f>IFERROR(__xludf.DUMMYFUNCTION("""COMPUTED_VALUE"""),3506.0)</f>
        <v>3506</v>
      </c>
      <c r="K558" s="4">
        <f>IFERROR(__xludf.DUMMYFUNCTION("""COMPUTED_VALUE"""),1494.0)</f>
        <v>1494</v>
      </c>
      <c r="L558" s="4">
        <f>IFERROR(__xludf.DUMMYFUNCTION("""COMPUTED_VALUE"""),0.451)</f>
        <v>0.451</v>
      </c>
      <c r="M558" s="4">
        <f>IFERROR(__xludf.DUMMYFUNCTION("""COMPUTED_VALUE"""),0.335)</f>
        <v>0.335</v>
      </c>
      <c r="N558" s="4">
        <f>IFERROR(__xludf.DUMMYFUNCTION("""COMPUTED_VALUE"""),0.722)</f>
        <v>0.722</v>
      </c>
      <c r="O558" s="4">
        <f>IFERROR(__xludf.DUMMYFUNCTION("""COMPUTED_VALUE"""),31.0)</f>
        <v>31</v>
      </c>
      <c r="P558" s="4">
        <f>IFERROR(__xludf.DUMMYFUNCTION("""COMPUTED_VALUE"""),16.9)</f>
        <v>16.9</v>
      </c>
      <c r="Q558" s="4">
        <f>IFERROR(__xludf.DUMMYFUNCTION("""COMPUTED_VALUE"""),6.2)</f>
        <v>6.2</v>
      </c>
      <c r="R558" s="4">
        <f>IFERROR(__xludf.DUMMYFUNCTION("""COMPUTED_VALUE"""),2.7)</f>
        <v>2.7</v>
      </c>
      <c r="S558" s="4">
        <f>IFERROR(__xludf.DUMMYFUNCTION("""COMPUTED_VALUE"""),15.3)</f>
        <v>15.3</v>
      </c>
      <c r="T558" s="4">
        <f>IFERROR(__xludf.DUMMYFUNCTION("""COMPUTED_VALUE"""),0.042)</f>
        <v>0.042</v>
      </c>
      <c r="U558" s="4">
        <f>IFERROR(__xludf.DUMMYFUNCTION("""COMPUTED_VALUE"""),-1.6)</f>
        <v>-1.6</v>
      </c>
      <c r="V558" s="4">
        <f>IFERROR(__xludf.DUMMYFUNCTION("""COMPUTED_VALUE"""),1.9)</f>
        <v>1.9</v>
      </c>
    </row>
    <row r="559">
      <c r="A559" s="4">
        <f>IFERROR(__xludf.DUMMYFUNCTION("""COMPUTED_VALUE"""),28.0)</f>
        <v>28</v>
      </c>
      <c r="B559" s="4">
        <f>IFERROR(__xludf.DUMMYFUNCTION("""COMPUTED_VALUE"""),28.0)</f>
        <v>28</v>
      </c>
      <c r="C559" s="4" t="str">
        <f>IFERROR(__xludf.DUMMYFUNCTION("""COMPUTED_VALUE"""),"LAL")</f>
        <v>LAL</v>
      </c>
      <c r="D559" s="4" t="str">
        <f>IFERROR(__xludf.DUMMYFUNCTION("""COMPUTED_VALUE"""),"Tony Bradley")</f>
        <v>Tony Bradley</v>
      </c>
      <c r="E559" s="4" t="str">
        <f>IFERROR(__xludf.DUMMYFUNCTION("""COMPUTED_VALUE"""),"UNC")</f>
        <v>UNC</v>
      </c>
      <c r="F559" s="4">
        <f>IFERROR(__xludf.DUMMYFUNCTION("""COMPUTED_VALUE"""),8.0)</f>
        <v>8</v>
      </c>
      <c r="G559" s="4">
        <f>IFERROR(__xludf.DUMMYFUNCTION("""COMPUTED_VALUE"""),212.0)</f>
        <v>212</v>
      </c>
      <c r="H559" s="4">
        <f>IFERROR(__xludf.DUMMYFUNCTION("""COMPUTED_VALUE"""),2340.0)</f>
        <v>2340</v>
      </c>
      <c r="I559" s="4">
        <f>IFERROR(__xludf.DUMMYFUNCTION("""COMPUTED_VALUE"""),947.0)</f>
        <v>947</v>
      </c>
      <c r="J559" s="4">
        <f>IFERROR(__xludf.DUMMYFUNCTION("""COMPUTED_VALUE"""),822.0)</f>
        <v>822</v>
      </c>
      <c r="K559" s="4">
        <f>IFERROR(__xludf.DUMMYFUNCTION("""COMPUTED_VALUE"""),109.0)</f>
        <v>109</v>
      </c>
      <c r="L559" s="4">
        <f>IFERROR(__xludf.DUMMYFUNCTION("""COMPUTED_VALUE"""),0.627)</f>
        <v>0.627</v>
      </c>
      <c r="M559" s="4">
        <f>IFERROR(__xludf.DUMMYFUNCTION("""COMPUTED_VALUE"""),0.438)</f>
        <v>0.438</v>
      </c>
      <c r="N559" s="4">
        <f>IFERROR(__xludf.DUMMYFUNCTION("""COMPUTED_VALUE"""),0.671)</f>
        <v>0.671</v>
      </c>
      <c r="O559" s="4">
        <f>IFERROR(__xludf.DUMMYFUNCTION("""COMPUTED_VALUE"""),11.0)</f>
        <v>11</v>
      </c>
      <c r="P559" s="4">
        <f>IFERROR(__xludf.DUMMYFUNCTION("""COMPUTED_VALUE"""),4.5)</f>
        <v>4.5</v>
      </c>
      <c r="Q559" s="4">
        <f>IFERROR(__xludf.DUMMYFUNCTION("""COMPUTED_VALUE"""),3.9)</f>
        <v>3.9</v>
      </c>
      <c r="R559" s="4">
        <f>IFERROR(__xludf.DUMMYFUNCTION("""COMPUTED_VALUE"""),0.5)</f>
        <v>0.5</v>
      </c>
      <c r="S559" s="4">
        <f>IFERROR(__xludf.DUMMYFUNCTION("""COMPUTED_VALUE"""),8.5)</f>
        <v>8.5</v>
      </c>
      <c r="T559" s="4">
        <f>IFERROR(__xludf.DUMMYFUNCTION("""COMPUTED_VALUE"""),0.175)</f>
        <v>0.175</v>
      </c>
      <c r="U559" s="4">
        <f>IFERROR(__xludf.DUMMYFUNCTION("""COMPUTED_VALUE"""),-0.2)</f>
        <v>-0.2</v>
      </c>
      <c r="V559" s="4">
        <f>IFERROR(__xludf.DUMMYFUNCTION("""COMPUTED_VALUE"""),1.1)</f>
        <v>1.1</v>
      </c>
    </row>
    <row r="560">
      <c r="A560" s="4">
        <f>IFERROR(__xludf.DUMMYFUNCTION("""COMPUTED_VALUE"""),29.0)</f>
        <v>29</v>
      </c>
      <c r="B560" s="4">
        <f>IFERROR(__xludf.DUMMYFUNCTION("""COMPUTED_VALUE"""),29.0)</f>
        <v>29</v>
      </c>
      <c r="C560" s="4" t="str">
        <f>IFERROR(__xludf.DUMMYFUNCTION("""COMPUTED_VALUE"""),"SAS")</f>
        <v>SAS</v>
      </c>
      <c r="D560" s="4" t="str">
        <f>IFERROR(__xludf.DUMMYFUNCTION("""COMPUTED_VALUE"""),"Derrick White")</f>
        <v>Derrick White</v>
      </c>
      <c r="E560" s="4" t="str">
        <f>IFERROR(__xludf.DUMMYFUNCTION("""COMPUTED_VALUE"""),"Colorado")</f>
        <v>Colorado</v>
      </c>
      <c r="F560" s="4">
        <f>IFERROR(__xludf.DUMMYFUNCTION("""COMPUTED_VALUE"""),9.0)</f>
        <v>9</v>
      </c>
      <c r="G560" s="4">
        <f>IFERROR(__xludf.DUMMYFUNCTION("""COMPUTED_VALUE"""),514.0)</f>
        <v>514</v>
      </c>
      <c r="H560" s="4">
        <f>IFERROR(__xludf.DUMMYFUNCTION("""COMPUTED_VALUE"""),14748.0)</f>
        <v>14748</v>
      </c>
      <c r="I560" s="4">
        <f>IFERROR(__xludf.DUMMYFUNCTION("""COMPUTED_VALUE"""),6725.0)</f>
        <v>6725</v>
      </c>
      <c r="J560" s="4">
        <f>IFERROR(__xludf.DUMMYFUNCTION("""COMPUTED_VALUE"""),1886.0)</f>
        <v>1886</v>
      </c>
      <c r="K560" s="4">
        <f>IFERROR(__xludf.DUMMYFUNCTION("""COMPUTED_VALUE"""),2167.0)</f>
        <v>2167</v>
      </c>
      <c r="L560" s="4">
        <f>IFERROR(__xludf.DUMMYFUNCTION("""COMPUTED_VALUE"""),0.444)</f>
        <v>0.444</v>
      </c>
      <c r="M560" s="4">
        <f>IFERROR(__xludf.DUMMYFUNCTION("""COMPUTED_VALUE"""),0.366)</f>
        <v>0.366</v>
      </c>
      <c r="N560" s="4">
        <f>IFERROR(__xludf.DUMMYFUNCTION("""COMPUTED_VALUE"""),0.851)</f>
        <v>0.851</v>
      </c>
      <c r="O560" s="4">
        <f>IFERROR(__xludf.DUMMYFUNCTION("""COMPUTED_VALUE"""),28.7)</f>
        <v>28.7</v>
      </c>
      <c r="P560" s="4">
        <f>IFERROR(__xludf.DUMMYFUNCTION("""COMPUTED_VALUE"""),13.1)</f>
        <v>13.1</v>
      </c>
      <c r="Q560" s="4">
        <f>IFERROR(__xludf.DUMMYFUNCTION("""COMPUTED_VALUE"""),3.7)</f>
        <v>3.7</v>
      </c>
      <c r="R560" s="4">
        <f>IFERROR(__xludf.DUMMYFUNCTION("""COMPUTED_VALUE"""),4.2)</f>
        <v>4.2</v>
      </c>
      <c r="S560" s="4">
        <f>IFERROR(__xludf.DUMMYFUNCTION("""COMPUTED_VALUE"""),41.0)</f>
        <v>41</v>
      </c>
      <c r="T560" s="4">
        <f>IFERROR(__xludf.DUMMYFUNCTION("""COMPUTED_VALUE"""),0.134)</f>
        <v>0.134</v>
      </c>
      <c r="U560" s="4">
        <f>IFERROR(__xludf.DUMMYFUNCTION("""COMPUTED_VALUE"""),2.2)</f>
        <v>2.2</v>
      </c>
      <c r="V560" s="4">
        <f>IFERROR(__xludf.DUMMYFUNCTION("""COMPUTED_VALUE"""),15.7)</f>
        <v>15.7</v>
      </c>
    </row>
    <row r="561">
      <c r="A561" s="4">
        <f>IFERROR(__xludf.DUMMYFUNCTION("""COMPUTED_VALUE"""),30.0)</f>
        <v>30</v>
      </c>
      <c r="B561" s="4">
        <f>IFERROR(__xludf.DUMMYFUNCTION("""COMPUTED_VALUE"""),30.0)</f>
        <v>30</v>
      </c>
      <c r="C561" s="4" t="str">
        <f>IFERROR(__xludf.DUMMYFUNCTION("""COMPUTED_VALUE"""),"UTA")</f>
        <v>UTA</v>
      </c>
      <c r="D561" s="4" t="str">
        <f>IFERROR(__xludf.DUMMYFUNCTION("""COMPUTED_VALUE"""),"Josh Hart")</f>
        <v>Josh Hart</v>
      </c>
      <c r="E561" s="4" t="str">
        <f>IFERROR(__xludf.DUMMYFUNCTION("""COMPUTED_VALUE"""),"Villanova")</f>
        <v>Villanova</v>
      </c>
      <c r="F561" s="4">
        <f>IFERROR(__xludf.DUMMYFUNCTION("""COMPUTED_VALUE"""),9.0)</f>
        <v>9</v>
      </c>
      <c r="G561" s="4">
        <f>IFERROR(__xludf.DUMMYFUNCTION("""COMPUTED_VALUE"""),549.0)</f>
        <v>549</v>
      </c>
      <c r="H561" s="4">
        <f>IFERROR(__xludf.DUMMYFUNCTION("""COMPUTED_VALUE"""),16676.0)</f>
        <v>16676</v>
      </c>
      <c r="I561" s="4">
        <f>IFERROR(__xludf.DUMMYFUNCTION("""COMPUTED_VALUE"""),5698.0)</f>
        <v>5698</v>
      </c>
      <c r="J561" s="4">
        <f>IFERROR(__xludf.DUMMYFUNCTION("""COMPUTED_VALUE"""),3853.0)</f>
        <v>3853</v>
      </c>
      <c r="K561" s="4">
        <f>IFERROR(__xludf.DUMMYFUNCTION("""COMPUTED_VALUE"""),1783.0)</f>
        <v>1783</v>
      </c>
      <c r="L561" s="4">
        <f>IFERROR(__xludf.DUMMYFUNCTION("""COMPUTED_VALUE"""),0.472)</f>
        <v>0.472</v>
      </c>
      <c r="M561" s="4">
        <f>IFERROR(__xludf.DUMMYFUNCTION("""COMPUTED_VALUE"""),0.344)</f>
        <v>0.344</v>
      </c>
      <c r="N561" s="4">
        <f>IFERROR(__xludf.DUMMYFUNCTION("""COMPUTED_VALUE"""),0.754)</f>
        <v>0.754</v>
      </c>
      <c r="O561" s="4">
        <f>IFERROR(__xludf.DUMMYFUNCTION("""COMPUTED_VALUE"""),30.4)</f>
        <v>30.4</v>
      </c>
      <c r="P561" s="4">
        <f>IFERROR(__xludf.DUMMYFUNCTION("""COMPUTED_VALUE"""),10.4)</f>
        <v>10.4</v>
      </c>
      <c r="Q561" s="4">
        <f>IFERROR(__xludf.DUMMYFUNCTION("""COMPUTED_VALUE"""),7.0)</f>
        <v>7</v>
      </c>
      <c r="R561" s="4">
        <f>IFERROR(__xludf.DUMMYFUNCTION("""COMPUTED_VALUE"""),3.2)</f>
        <v>3.2</v>
      </c>
      <c r="S561" s="4">
        <f>IFERROR(__xludf.DUMMYFUNCTION("""COMPUTED_VALUE"""),38.4)</f>
        <v>38.4</v>
      </c>
      <c r="T561" s="4">
        <f>IFERROR(__xludf.DUMMYFUNCTION("""COMPUTED_VALUE"""),0.111)</f>
        <v>0.111</v>
      </c>
      <c r="U561" s="4">
        <f>IFERROR(__xludf.DUMMYFUNCTION("""COMPUTED_VALUE"""),0.6)</f>
        <v>0.6</v>
      </c>
      <c r="V561" s="4">
        <f>IFERROR(__xludf.DUMMYFUNCTION("""COMPUTED_VALUE"""),10.9)</f>
        <v>10.9</v>
      </c>
    </row>
    <row r="562">
      <c r="A562" s="4"/>
      <c r="B562" s="4"/>
      <c r="C562" s="4"/>
      <c r="D562" s="4" t="str">
        <f>IFERROR(__xludf.DUMMYFUNCTION("""COMPUTED_VALUE"""),"Round 2")</f>
        <v>Round 2</v>
      </c>
      <c r="E562" s="4"/>
      <c r="F562" s="4"/>
      <c r="G562" s="4" t="str">
        <f>IFERROR(__xludf.DUMMYFUNCTION("""COMPUTED_VALUE"""),"Totals")</f>
        <v>Totals</v>
      </c>
      <c r="H562" s="4"/>
      <c r="I562" s="4"/>
      <c r="J562" s="4"/>
      <c r="K562" s="4"/>
      <c r="L562" s="4" t="str">
        <f>IFERROR(__xludf.DUMMYFUNCTION("""COMPUTED_VALUE"""),"Shooting")</f>
        <v>Shooting</v>
      </c>
      <c r="M562" s="4"/>
      <c r="N562" s="4"/>
      <c r="O562" s="4" t="str">
        <f>IFERROR(__xludf.DUMMYFUNCTION("""COMPUTED_VALUE"""),"Per Game")</f>
        <v>Per Game</v>
      </c>
      <c r="P562" s="4"/>
      <c r="Q562" s="4"/>
      <c r="R562" s="4"/>
      <c r="S562" s="4" t="str">
        <f>IFERROR(__xludf.DUMMYFUNCTION("""COMPUTED_VALUE"""),"Advanced")</f>
        <v>Advanced</v>
      </c>
      <c r="T562" s="4"/>
      <c r="U562" s="4"/>
      <c r="V562" s="4"/>
    </row>
    <row r="563">
      <c r="A563" s="4" t="str">
        <f>IFERROR(__xludf.DUMMYFUNCTION("""COMPUTED_VALUE"""),"Rk")</f>
        <v>Rk</v>
      </c>
      <c r="B563" s="4" t="str">
        <f>IFERROR(__xludf.DUMMYFUNCTION("""COMPUTED_VALUE"""),"Pk")</f>
        <v>Pk</v>
      </c>
      <c r="C563" s="4" t="str">
        <f>IFERROR(__xludf.DUMMYFUNCTION("""COMPUTED_VALUE"""),"Tm")</f>
        <v>Tm</v>
      </c>
      <c r="D563" s="4" t="str">
        <f>IFERROR(__xludf.DUMMYFUNCTION("""COMPUTED_VALUE"""),"Player")</f>
        <v>Player</v>
      </c>
      <c r="E563" s="4" t="str">
        <f>IFERROR(__xludf.DUMMYFUNCTION("""COMPUTED_VALUE"""),"College")</f>
        <v>College</v>
      </c>
      <c r="F563" s="4" t="str">
        <f>IFERROR(__xludf.DUMMYFUNCTION("""COMPUTED_VALUE"""),"Yrs")</f>
        <v>Yrs</v>
      </c>
      <c r="G563" s="4" t="str">
        <f>IFERROR(__xludf.DUMMYFUNCTION("""COMPUTED_VALUE"""),"G")</f>
        <v>G</v>
      </c>
      <c r="H563" s="4" t="str">
        <f>IFERROR(__xludf.DUMMYFUNCTION("""COMPUTED_VALUE"""),"MP")</f>
        <v>MP</v>
      </c>
      <c r="I563" s="4" t="str">
        <f>IFERROR(__xludf.DUMMYFUNCTION("""COMPUTED_VALUE"""),"PTS")</f>
        <v>PTS</v>
      </c>
      <c r="J563" s="4" t="str">
        <f>IFERROR(__xludf.DUMMYFUNCTION("""COMPUTED_VALUE"""),"TRB")</f>
        <v>TRB</v>
      </c>
      <c r="K563" s="4" t="str">
        <f>IFERROR(__xludf.DUMMYFUNCTION("""COMPUTED_VALUE"""),"AST")</f>
        <v>AST</v>
      </c>
      <c r="L563" s="4" t="str">
        <f>IFERROR(__xludf.DUMMYFUNCTION("""COMPUTED_VALUE"""),"FG%")</f>
        <v>FG%</v>
      </c>
      <c r="M563" s="4" t="str">
        <f>IFERROR(__xludf.DUMMYFUNCTION("""COMPUTED_VALUE"""),"3P%")</f>
        <v>3P%</v>
      </c>
      <c r="N563" s="4" t="str">
        <f>IFERROR(__xludf.DUMMYFUNCTION("""COMPUTED_VALUE"""),"FT%")</f>
        <v>FT%</v>
      </c>
      <c r="O563" s="4" t="str">
        <f>IFERROR(__xludf.DUMMYFUNCTION("""COMPUTED_VALUE"""),"MP")</f>
        <v>MP</v>
      </c>
      <c r="P563" s="4" t="str">
        <f>IFERROR(__xludf.DUMMYFUNCTION("""COMPUTED_VALUE"""),"PTS")</f>
        <v>PTS</v>
      </c>
      <c r="Q563" s="4" t="str">
        <f>IFERROR(__xludf.DUMMYFUNCTION("""COMPUTED_VALUE"""),"TRB")</f>
        <v>TRB</v>
      </c>
      <c r="R563" s="4" t="str">
        <f>IFERROR(__xludf.DUMMYFUNCTION("""COMPUTED_VALUE"""),"AST")</f>
        <v>AST</v>
      </c>
      <c r="S563" s="4" t="str">
        <f>IFERROR(__xludf.DUMMYFUNCTION("""COMPUTED_VALUE"""),"WS")</f>
        <v>WS</v>
      </c>
      <c r="T563" s="4" t="str">
        <f>IFERROR(__xludf.DUMMYFUNCTION("""COMPUTED_VALUE"""),"WS/48")</f>
        <v>WS/48</v>
      </c>
      <c r="U563" s="4" t="str">
        <f>IFERROR(__xludf.DUMMYFUNCTION("""COMPUTED_VALUE"""),"BPM")</f>
        <v>BPM</v>
      </c>
      <c r="V563" s="4" t="str">
        <f>IFERROR(__xludf.DUMMYFUNCTION("""COMPUTED_VALUE"""),"VORP")</f>
        <v>VORP</v>
      </c>
    </row>
    <row r="564">
      <c r="A564" s="4">
        <f>IFERROR(__xludf.DUMMYFUNCTION("""COMPUTED_VALUE"""),31.0)</f>
        <v>31</v>
      </c>
      <c r="B564" s="4">
        <f>IFERROR(__xludf.DUMMYFUNCTION("""COMPUTED_VALUE"""),31.0)</f>
        <v>31</v>
      </c>
      <c r="C564" s="4" t="str">
        <f>IFERROR(__xludf.DUMMYFUNCTION("""COMPUTED_VALUE"""),"CHO")</f>
        <v>CHO</v>
      </c>
      <c r="D564" s="4" t="str">
        <f>IFERROR(__xludf.DUMMYFUNCTION("""COMPUTED_VALUE"""),"Frank Jackson")</f>
        <v>Frank Jackson</v>
      </c>
      <c r="E564" s="4" t="str">
        <f>IFERROR(__xludf.DUMMYFUNCTION("""COMPUTED_VALUE"""),"Duke")</f>
        <v>Duke</v>
      </c>
      <c r="F564" s="4">
        <f>IFERROR(__xludf.DUMMYFUNCTION("""COMPUTED_VALUE"""),5.0)</f>
        <v>5</v>
      </c>
      <c r="G564" s="4">
        <f>IFERROR(__xludf.DUMMYFUNCTION("""COMPUTED_VALUE"""),214.0)</f>
        <v>214</v>
      </c>
      <c r="H564" s="4">
        <f>IFERROR(__xludf.DUMMYFUNCTION("""COMPUTED_VALUE"""),3873.0)</f>
        <v>3873</v>
      </c>
      <c r="I564" s="4">
        <f>IFERROR(__xludf.DUMMYFUNCTION("""COMPUTED_VALUE"""),1816.0)</f>
        <v>1816</v>
      </c>
      <c r="J564" s="4">
        <f>IFERROR(__xludf.DUMMYFUNCTION("""COMPUTED_VALUE"""),392.0)</f>
        <v>392</v>
      </c>
      <c r="K564" s="4">
        <f>IFERROR(__xludf.DUMMYFUNCTION("""COMPUTED_VALUE"""),222.0)</f>
        <v>222</v>
      </c>
      <c r="L564" s="4">
        <f>IFERROR(__xludf.DUMMYFUNCTION("""COMPUTED_VALUE"""),0.421)</f>
        <v>0.421</v>
      </c>
      <c r="M564" s="4">
        <f>IFERROR(__xludf.DUMMYFUNCTION("""COMPUTED_VALUE"""),0.332)</f>
        <v>0.332</v>
      </c>
      <c r="N564" s="4">
        <f>IFERROR(__xludf.DUMMYFUNCTION("""COMPUTED_VALUE"""),0.786)</f>
        <v>0.786</v>
      </c>
      <c r="O564" s="4">
        <f>IFERROR(__xludf.DUMMYFUNCTION("""COMPUTED_VALUE"""),18.1)</f>
        <v>18.1</v>
      </c>
      <c r="P564" s="4">
        <f>IFERROR(__xludf.DUMMYFUNCTION("""COMPUTED_VALUE"""),8.5)</f>
        <v>8.5</v>
      </c>
      <c r="Q564" s="4">
        <f>IFERROR(__xludf.DUMMYFUNCTION("""COMPUTED_VALUE"""),1.8)</f>
        <v>1.8</v>
      </c>
      <c r="R564" s="4">
        <f>IFERROR(__xludf.DUMMYFUNCTION("""COMPUTED_VALUE"""),1.0)</f>
        <v>1</v>
      </c>
      <c r="S564" s="4">
        <f>IFERROR(__xludf.DUMMYFUNCTION("""COMPUTED_VALUE"""),2.5)</f>
        <v>2.5</v>
      </c>
      <c r="T564" s="4">
        <f>IFERROR(__xludf.DUMMYFUNCTION("""COMPUTED_VALUE"""),0.031)</f>
        <v>0.031</v>
      </c>
      <c r="U564" s="4">
        <f>IFERROR(__xludf.DUMMYFUNCTION("""COMPUTED_VALUE"""),-3.9)</f>
        <v>-3.9</v>
      </c>
      <c r="V564" s="4">
        <f>IFERROR(__xludf.DUMMYFUNCTION("""COMPUTED_VALUE"""),-1.9)</f>
        <v>-1.9</v>
      </c>
    </row>
    <row r="565">
      <c r="A565" s="4">
        <f>IFERROR(__xludf.DUMMYFUNCTION("""COMPUTED_VALUE"""),32.0)</f>
        <v>32</v>
      </c>
      <c r="B565" s="4">
        <f>IFERROR(__xludf.DUMMYFUNCTION("""COMPUTED_VALUE"""),32.0)</f>
        <v>32</v>
      </c>
      <c r="C565" s="4" t="str">
        <f>IFERROR(__xludf.DUMMYFUNCTION("""COMPUTED_VALUE"""),"PHO")</f>
        <v>PHO</v>
      </c>
      <c r="D565" s="4" t="str">
        <f>IFERROR(__xludf.DUMMYFUNCTION("""COMPUTED_VALUE"""),"Davon Reed")</f>
        <v>Davon Reed</v>
      </c>
      <c r="E565" s="4" t="str">
        <f>IFERROR(__xludf.DUMMYFUNCTION("""COMPUTED_VALUE"""),"Miami (FL)")</f>
        <v>Miami (FL)</v>
      </c>
      <c r="F565" s="4">
        <f>IFERROR(__xludf.DUMMYFUNCTION("""COMPUTED_VALUE"""),4.0)</f>
        <v>4</v>
      </c>
      <c r="G565" s="4">
        <f>IFERROR(__xludf.DUMMYFUNCTION("""COMPUTED_VALUE"""),122.0)</f>
        <v>122</v>
      </c>
      <c r="H565" s="4">
        <f>IFERROR(__xludf.DUMMYFUNCTION("""COMPUTED_VALUE"""),1299.0)</f>
        <v>1299</v>
      </c>
      <c r="I565" s="4">
        <f>IFERROR(__xludf.DUMMYFUNCTION("""COMPUTED_VALUE"""),373.0)</f>
        <v>373</v>
      </c>
      <c r="J565" s="4">
        <f>IFERROR(__xludf.DUMMYFUNCTION("""COMPUTED_VALUE"""),212.0)</f>
        <v>212</v>
      </c>
      <c r="K565" s="4">
        <f>IFERROR(__xludf.DUMMYFUNCTION("""COMPUTED_VALUE"""),92.0)</f>
        <v>92</v>
      </c>
      <c r="L565" s="4">
        <f>IFERROR(__xludf.DUMMYFUNCTION("""COMPUTED_VALUE"""),0.408)</f>
        <v>0.408</v>
      </c>
      <c r="M565" s="4">
        <f>IFERROR(__xludf.DUMMYFUNCTION("""COMPUTED_VALUE"""),0.385)</f>
        <v>0.385</v>
      </c>
      <c r="N565" s="4">
        <f>IFERROR(__xludf.DUMMYFUNCTION("""COMPUTED_VALUE"""),0.667)</f>
        <v>0.667</v>
      </c>
      <c r="O565" s="4">
        <f>IFERROR(__xludf.DUMMYFUNCTION("""COMPUTED_VALUE"""),10.6)</f>
        <v>10.6</v>
      </c>
      <c r="P565" s="4">
        <f>IFERROR(__xludf.DUMMYFUNCTION("""COMPUTED_VALUE"""),3.1)</f>
        <v>3.1</v>
      </c>
      <c r="Q565" s="4">
        <f>IFERROR(__xludf.DUMMYFUNCTION("""COMPUTED_VALUE"""),1.7)</f>
        <v>1.7</v>
      </c>
      <c r="R565" s="4">
        <f>IFERROR(__xludf.DUMMYFUNCTION("""COMPUTED_VALUE"""),0.8)</f>
        <v>0.8</v>
      </c>
      <c r="S565" s="4">
        <f>IFERROR(__xludf.DUMMYFUNCTION("""COMPUTED_VALUE"""),1.5)</f>
        <v>1.5</v>
      </c>
      <c r="T565" s="4">
        <f>IFERROR(__xludf.DUMMYFUNCTION("""COMPUTED_VALUE"""),0.054)</f>
        <v>0.054</v>
      </c>
      <c r="U565" s="4">
        <f>IFERROR(__xludf.DUMMYFUNCTION("""COMPUTED_VALUE"""),-2.9)</f>
        <v>-2.9</v>
      </c>
      <c r="V565" s="4">
        <f>IFERROR(__xludf.DUMMYFUNCTION("""COMPUTED_VALUE"""),-0.3)</f>
        <v>-0.3</v>
      </c>
    </row>
    <row r="566">
      <c r="A566" s="4">
        <f>IFERROR(__xludf.DUMMYFUNCTION("""COMPUTED_VALUE"""),33.0)</f>
        <v>33</v>
      </c>
      <c r="B566" s="4">
        <f>IFERROR(__xludf.DUMMYFUNCTION("""COMPUTED_VALUE"""),33.0)</f>
        <v>33</v>
      </c>
      <c r="C566" s="4" t="str">
        <f>IFERROR(__xludf.DUMMYFUNCTION("""COMPUTED_VALUE"""),"ORL")</f>
        <v>ORL</v>
      </c>
      <c r="D566" s="4" t="str">
        <f>IFERROR(__xludf.DUMMYFUNCTION("""COMPUTED_VALUE"""),"Wes Iwundu")</f>
        <v>Wes Iwundu</v>
      </c>
      <c r="E566" s="4" t="str">
        <f>IFERROR(__xludf.DUMMYFUNCTION("""COMPUTED_VALUE"""),"Kansas State")</f>
        <v>Kansas State</v>
      </c>
      <c r="F566" s="4">
        <f>IFERROR(__xludf.DUMMYFUNCTION("""COMPUTED_VALUE"""),5.0)</f>
        <v>5</v>
      </c>
      <c r="G566" s="4">
        <f>IFERROR(__xludf.DUMMYFUNCTION("""COMPUTED_VALUE"""),226.0)</f>
        <v>226</v>
      </c>
      <c r="H566" s="4">
        <f>IFERROR(__xludf.DUMMYFUNCTION("""COMPUTED_VALUE"""),3827.0)</f>
        <v>3827</v>
      </c>
      <c r="I566" s="4">
        <f>IFERROR(__xludf.DUMMYFUNCTION("""COMPUTED_VALUE"""),989.0)</f>
        <v>989</v>
      </c>
      <c r="J566" s="4">
        <f>IFERROR(__xludf.DUMMYFUNCTION("""COMPUTED_VALUE"""),555.0)</f>
        <v>555</v>
      </c>
      <c r="K566" s="4">
        <f>IFERROR(__xludf.DUMMYFUNCTION("""COMPUTED_VALUE"""),208.0)</f>
        <v>208</v>
      </c>
      <c r="L566" s="4">
        <f>IFERROR(__xludf.DUMMYFUNCTION("""COMPUTED_VALUE"""),0.408)</f>
        <v>0.408</v>
      </c>
      <c r="M566" s="4">
        <f>IFERROR(__xludf.DUMMYFUNCTION("""COMPUTED_VALUE"""),0.292)</f>
        <v>0.292</v>
      </c>
      <c r="N566" s="4">
        <f>IFERROR(__xludf.DUMMYFUNCTION("""COMPUTED_VALUE"""),0.798)</f>
        <v>0.798</v>
      </c>
      <c r="O566" s="4">
        <f>IFERROR(__xludf.DUMMYFUNCTION("""COMPUTED_VALUE"""),16.9)</f>
        <v>16.9</v>
      </c>
      <c r="P566" s="4">
        <f>IFERROR(__xludf.DUMMYFUNCTION("""COMPUTED_VALUE"""),4.4)</f>
        <v>4.4</v>
      </c>
      <c r="Q566" s="4">
        <f>IFERROR(__xludf.DUMMYFUNCTION("""COMPUTED_VALUE"""),2.5)</f>
        <v>2.5</v>
      </c>
      <c r="R566" s="4">
        <f>IFERROR(__xludf.DUMMYFUNCTION("""COMPUTED_VALUE"""),0.9)</f>
        <v>0.9</v>
      </c>
      <c r="S566" s="4">
        <f>IFERROR(__xludf.DUMMYFUNCTION("""COMPUTED_VALUE"""),4.2)</f>
        <v>4.2</v>
      </c>
      <c r="T566" s="4">
        <f>IFERROR(__xludf.DUMMYFUNCTION("""COMPUTED_VALUE"""),0.053)</f>
        <v>0.053</v>
      </c>
      <c r="U566" s="4">
        <f>IFERROR(__xludf.DUMMYFUNCTION("""COMPUTED_VALUE"""),-3.9)</f>
        <v>-3.9</v>
      </c>
      <c r="V566" s="4">
        <f>IFERROR(__xludf.DUMMYFUNCTION("""COMPUTED_VALUE"""),-1.8)</f>
        <v>-1.8</v>
      </c>
    </row>
    <row r="567">
      <c r="A567" s="4">
        <f>IFERROR(__xludf.DUMMYFUNCTION("""COMPUTED_VALUE"""),34.0)</f>
        <v>34</v>
      </c>
      <c r="B567" s="4">
        <f>IFERROR(__xludf.DUMMYFUNCTION("""COMPUTED_VALUE"""),34.0)</f>
        <v>34</v>
      </c>
      <c r="C567" s="4" t="str">
        <f>IFERROR(__xludf.DUMMYFUNCTION("""COMPUTED_VALUE"""),"SAC")</f>
        <v>SAC</v>
      </c>
      <c r="D567" s="4" t="str">
        <f>IFERROR(__xludf.DUMMYFUNCTION("""COMPUTED_VALUE"""),"Frank Mason III")</f>
        <v>Frank Mason III</v>
      </c>
      <c r="E567" s="4" t="str">
        <f>IFERROR(__xludf.DUMMYFUNCTION("""COMPUTED_VALUE"""),"Kansas")</f>
        <v>Kansas</v>
      </c>
      <c r="F567" s="4">
        <f>IFERROR(__xludf.DUMMYFUNCTION("""COMPUTED_VALUE"""),4.0)</f>
        <v>4</v>
      </c>
      <c r="G567" s="4">
        <f>IFERROR(__xludf.DUMMYFUNCTION("""COMPUTED_VALUE"""),103.0)</f>
        <v>103</v>
      </c>
      <c r="H567" s="4">
        <f>IFERROR(__xludf.DUMMYFUNCTION("""COMPUTED_VALUE"""),1616.0)</f>
        <v>1616</v>
      </c>
      <c r="I567" s="4">
        <f>IFERROR(__xludf.DUMMYFUNCTION("""COMPUTED_VALUE"""),695.0)</f>
        <v>695</v>
      </c>
      <c r="J567" s="4">
        <f>IFERROR(__xludf.DUMMYFUNCTION("""COMPUTED_VALUE"""),204.0)</f>
        <v>204</v>
      </c>
      <c r="K567" s="4">
        <f>IFERROR(__xludf.DUMMYFUNCTION("""COMPUTED_VALUE"""),272.0)</f>
        <v>272</v>
      </c>
      <c r="L567" s="4">
        <f>IFERROR(__xludf.DUMMYFUNCTION("""COMPUTED_VALUE"""),0.396)</f>
        <v>0.396</v>
      </c>
      <c r="M567" s="4">
        <f>IFERROR(__xludf.DUMMYFUNCTION("""COMPUTED_VALUE"""),0.301)</f>
        <v>0.301</v>
      </c>
      <c r="N567" s="4">
        <f>IFERROR(__xludf.DUMMYFUNCTION("""COMPUTED_VALUE"""),0.755)</f>
        <v>0.755</v>
      </c>
      <c r="O567" s="4">
        <f>IFERROR(__xludf.DUMMYFUNCTION("""COMPUTED_VALUE"""),15.7)</f>
        <v>15.7</v>
      </c>
      <c r="P567" s="4">
        <f>IFERROR(__xludf.DUMMYFUNCTION("""COMPUTED_VALUE"""),6.7)</f>
        <v>6.7</v>
      </c>
      <c r="Q567" s="4">
        <f>IFERROR(__xludf.DUMMYFUNCTION("""COMPUTED_VALUE"""),2.0)</f>
        <v>2</v>
      </c>
      <c r="R567" s="4">
        <f>IFERROR(__xludf.DUMMYFUNCTION("""COMPUTED_VALUE"""),2.6)</f>
        <v>2.6</v>
      </c>
      <c r="S567" s="4">
        <f>IFERROR(__xludf.DUMMYFUNCTION("""COMPUTED_VALUE"""),1.2)</f>
        <v>1.2</v>
      </c>
      <c r="T567" s="4">
        <f>IFERROR(__xludf.DUMMYFUNCTION("""COMPUTED_VALUE"""),0.035)</f>
        <v>0.035</v>
      </c>
      <c r="U567" s="4">
        <f>IFERROR(__xludf.DUMMYFUNCTION("""COMPUTED_VALUE"""),-2.7)</f>
        <v>-2.7</v>
      </c>
      <c r="V567" s="4">
        <f>IFERROR(__xludf.DUMMYFUNCTION("""COMPUTED_VALUE"""),-0.3)</f>
        <v>-0.3</v>
      </c>
    </row>
    <row r="568">
      <c r="A568" s="4">
        <f>IFERROR(__xludf.DUMMYFUNCTION("""COMPUTED_VALUE"""),35.0)</f>
        <v>35</v>
      </c>
      <c r="B568" s="4">
        <f>IFERROR(__xludf.DUMMYFUNCTION("""COMPUTED_VALUE"""),35.0)</f>
        <v>35</v>
      </c>
      <c r="C568" s="4" t="str">
        <f>IFERROR(__xludf.DUMMYFUNCTION("""COMPUTED_VALUE"""),"ORL")</f>
        <v>ORL</v>
      </c>
      <c r="D568" s="4" t="str">
        <f>IFERROR(__xludf.DUMMYFUNCTION("""COMPUTED_VALUE"""),"Ivan Rabb")</f>
        <v>Ivan Rabb</v>
      </c>
      <c r="E568" s="4" t="str">
        <f>IFERROR(__xludf.DUMMYFUNCTION("""COMPUTED_VALUE"""),"California")</f>
        <v>California</v>
      </c>
      <c r="F568" s="4">
        <f>IFERROR(__xludf.DUMMYFUNCTION("""COMPUTED_VALUE"""),2.0)</f>
        <v>2</v>
      </c>
      <c r="G568" s="4">
        <f>IFERROR(__xludf.DUMMYFUNCTION("""COMPUTED_VALUE"""),85.0)</f>
        <v>85</v>
      </c>
      <c r="H568" s="4">
        <f>IFERROR(__xludf.DUMMYFUNCTION("""COMPUTED_VALUE"""),1237.0)</f>
        <v>1237</v>
      </c>
      <c r="I568" s="4">
        <f>IFERROR(__xludf.DUMMYFUNCTION("""COMPUTED_VALUE"""),485.0)</f>
        <v>485</v>
      </c>
      <c r="J568" s="4">
        <f>IFERROR(__xludf.DUMMYFUNCTION("""COMPUTED_VALUE"""),364.0)</f>
        <v>364</v>
      </c>
      <c r="K568" s="4">
        <f>IFERROR(__xludf.DUMMYFUNCTION("""COMPUTED_VALUE"""),86.0)</f>
        <v>86</v>
      </c>
      <c r="L568" s="4">
        <f>IFERROR(__xludf.DUMMYFUNCTION("""COMPUTED_VALUE"""),0.555)</f>
        <v>0.555</v>
      </c>
      <c r="M568" s="4">
        <f>IFERROR(__xludf.DUMMYFUNCTION("""COMPUTED_VALUE"""),0.2)</f>
        <v>0.2</v>
      </c>
      <c r="N568" s="4">
        <f>IFERROR(__xludf.DUMMYFUNCTION("""COMPUTED_VALUE"""),0.743)</f>
        <v>0.743</v>
      </c>
      <c r="O568" s="4">
        <f>IFERROR(__xludf.DUMMYFUNCTION("""COMPUTED_VALUE"""),14.6)</f>
        <v>14.6</v>
      </c>
      <c r="P568" s="4">
        <f>IFERROR(__xludf.DUMMYFUNCTION("""COMPUTED_VALUE"""),5.7)</f>
        <v>5.7</v>
      </c>
      <c r="Q568" s="4">
        <f>IFERROR(__xludf.DUMMYFUNCTION("""COMPUTED_VALUE"""),4.3)</f>
        <v>4.3</v>
      </c>
      <c r="R568" s="4">
        <f>IFERROR(__xludf.DUMMYFUNCTION("""COMPUTED_VALUE"""),1.0)</f>
        <v>1</v>
      </c>
      <c r="S568" s="4">
        <f>IFERROR(__xludf.DUMMYFUNCTION("""COMPUTED_VALUE"""),3.2)</f>
        <v>3.2</v>
      </c>
      <c r="T568" s="4">
        <f>IFERROR(__xludf.DUMMYFUNCTION("""COMPUTED_VALUE"""),0.125)</f>
        <v>0.125</v>
      </c>
      <c r="U568" s="4">
        <f>IFERROR(__xludf.DUMMYFUNCTION("""COMPUTED_VALUE"""),-1.7)</f>
        <v>-1.7</v>
      </c>
      <c r="V568" s="4">
        <f>IFERROR(__xludf.DUMMYFUNCTION("""COMPUTED_VALUE"""),0.1)</f>
        <v>0.1</v>
      </c>
    </row>
    <row r="569">
      <c r="A569" s="4">
        <f>IFERROR(__xludf.DUMMYFUNCTION("""COMPUTED_VALUE"""),36.0)</f>
        <v>36</v>
      </c>
      <c r="B569" s="4">
        <f>IFERROR(__xludf.DUMMYFUNCTION("""COMPUTED_VALUE"""),36.0)</f>
        <v>36</v>
      </c>
      <c r="C569" s="4" t="str">
        <f>IFERROR(__xludf.DUMMYFUNCTION("""COMPUTED_VALUE"""),"PHI")</f>
        <v>PHI</v>
      </c>
      <c r="D569" s="4" t="str">
        <f>IFERROR(__xludf.DUMMYFUNCTION("""COMPUTED_VALUE"""),"Jonah Bolden")</f>
        <v>Jonah Bolden</v>
      </c>
      <c r="E569" s="4"/>
      <c r="F569" s="4">
        <f>IFERROR(__xludf.DUMMYFUNCTION("""COMPUTED_VALUE"""),2.0)</f>
        <v>2</v>
      </c>
      <c r="G569" s="4">
        <f>IFERROR(__xludf.DUMMYFUNCTION("""COMPUTED_VALUE"""),51.0)</f>
        <v>51</v>
      </c>
      <c r="H569" s="4">
        <f>IFERROR(__xludf.DUMMYFUNCTION("""COMPUTED_VALUE"""),686.0)</f>
        <v>686</v>
      </c>
      <c r="I569" s="4">
        <f>IFERROR(__xludf.DUMMYFUNCTION("""COMPUTED_VALUE"""),217.0)</f>
        <v>217</v>
      </c>
      <c r="J569" s="4">
        <f>IFERROR(__xludf.DUMMYFUNCTION("""COMPUTED_VALUE"""),174.0)</f>
        <v>174</v>
      </c>
      <c r="K569" s="4">
        <f>IFERROR(__xludf.DUMMYFUNCTION("""COMPUTED_VALUE"""),40.0)</f>
        <v>40</v>
      </c>
      <c r="L569" s="4">
        <f>IFERROR(__xludf.DUMMYFUNCTION("""COMPUTED_VALUE"""),0.486)</f>
        <v>0.486</v>
      </c>
      <c r="M569" s="4">
        <f>IFERROR(__xludf.DUMMYFUNCTION("""COMPUTED_VALUE"""),0.34)</f>
        <v>0.34</v>
      </c>
      <c r="N569" s="4">
        <f>IFERROR(__xludf.DUMMYFUNCTION("""COMPUTED_VALUE"""),0.484)</f>
        <v>0.484</v>
      </c>
      <c r="O569" s="4">
        <f>IFERROR(__xludf.DUMMYFUNCTION("""COMPUTED_VALUE"""),13.5)</f>
        <v>13.5</v>
      </c>
      <c r="P569" s="4">
        <f>IFERROR(__xludf.DUMMYFUNCTION("""COMPUTED_VALUE"""),4.3)</f>
        <v>4.3</v>
      </c>
      <c r="Q569" s="4">
        <f>IFERROR(__xludf.DUMMYFUNCTION("""COMPUTED_VALUE"""),3.4)</f>
        <v>3.4</v>
      </c>
      <c r="R569" s="4">
        <f>IFERROR(__xludf.DUMMYFUNCTION("""COMPUTED_VALUE"""),0.8)</f>
        <v>0.8</v>
      </c>
      <c r="S569" s="4">
        <f>IFERROR(__xludf.DUMMYFUNCTION("""COMPUTED_VALUE"""),1.4)</f>
        <v>1.4</v>
      </c>
      <c r="T569" s="4">
        <f>IFERROR(__xludf.DUMMYFUNCTION("""COMPUTED_VALUE"""),0.098)</f>
        <v>0.098</v>
      </c>
      <c r="U569" s="4">
        <f>IFERROR(__xludf.DUMMYFUNCTION("""COMPUTED_VALUE"""),-1.3)</f>
        <v>-1.3</v>
      </c>
      <c r="V569" s="4">
        <f>IFERROR(__xludf.DUMMYFUNCTION("""COMPUTED_VALUE"""),0.1)</f>
        <v>0.1</v>
      </c>
    </row>
    <row r="570">
      <c r="A570" s="4">
        <f>IFERROR(__xludf.DUMMYFUNCTION("""COMPUTED_VALUE"""),37.0)</f>
        <v>37</v>
      </c>
      <c r="B570" s="4">
        <f>IFERROR(__xludf.DUMMYFUNCTION("""COMPUTED_VALUE"""),37.0)</f>
        <v>37</v>
      </c>
      <c r="C570" s="4" t="str">
        <f>IFERROR(__xludf.DUMMYFUNCTION("""COMPUTED_VALUE"""),"BOS")</f>
        <v>BOS</v>
      </c>
      <c r="D570" s="4" t="str">
        <f>IFERROR(__xludf.DUMMYFUNCTION("""COMPUTED_VALUE"""),"Semi Ojeleye")</f>
        <v>Semi Ojeleye</v>
      </c>
      <c r="E570" s="4" t="str">
        <f>IFERROR(__xludf.DUMMYFUNCTION("""COMPUTED_VALUE"""),"SMU")</f>
        <v>SMU</v>
      </c>
      <c r="F570" s="4">
        <f>IFERROR(__xludf.DUMMYFUNCTION("""COMPUTED_VALUE"""),5.0)</f>
        <v>5</v>
      </c>
      <c r="G570" s="4">
        <f>IFERROR(__xludf.DUMMYFUNCTION("""COMPUTED_VALUE"""),284.0)</f>
        <v>284</v>
      </c>
      <c r="H570" s="4">
        <f>IFERROR(__xludf.DUMMYFUNCTION("""COMPUTED_VALUE"""),4111.0)</f>
        <v>4111</v>
      </c>
      <c r="I570" s="4">
        <f>IFERROR(__xludf.DUMMYFUNCTION("""COMPUTED_VALUE"""),975.0)</f>
        <v>975</v>
      </c>
      <c r="J570" s="4">
        <f>IFERROR(__xludf.DUMMYFUNCTION("""COMPUTED_VALUE"""),613.0)</f>
        <v>613</v>
      </c>
      <c r="K570" s="4">
        <f>IFERROR(__xludf.DUMMYFUNCTION("""COMPUTED_VALUE"""),126.0)</f>
        <v>126</v>
      </c>
      <c r="L570" s="4">
        <f>IFERROR(__xludf.DUMMYFUNCTION("""COMPUTED_VALUE"""),0.384)</f>
        <v>0.384</v>
      </c>
      <c r="M570" s="4">
        <f>IFERROR(__xludf.DUMMYFUNCTION("""COMPUTED_VALUE"""),0.344)</f>
        <v>0.344</v>
      </c>
      <c r="N570" s="4">
        <f>IFERROR(__xludf.DUMMYFUNCTION("""COMPUTED_VALUE"""),0.717)</f>
        <v>0.717</v>
      </c>
      <c r="O570" s="4">
        <f>IFERROR(__xludf.DUMMYFUNCTION("""COMPUTED_VALUE"""),14.5)</f>
        <v>14.5</v>
      </c>
      <c r="P570" s="4">
        <f>IFERROR(__xludf.DUMMYFUNCTION("""COMPUTED_VALUE"""),3.4)</f>
        <v>3.4</v>
      </c>
      <c r="Q570" s="4">
        <f>IFERROR(__xludf.DUMMYFUNCTION("""COMPUTED_VALUE"""),2.2)</f>
        <v>2.2</v>
      </c>
      <c r="R570" s="4">
        <f>IFERROR(__xludf.DUMMYFUNCTION("""COMPUTED_VALUE"""),0.4)</f>
        <v>0.4</v>
      </c>
      <c r="S570" s="4">
        <f>IFERROR(__xludf.DUMMYFUNCTION("""COMPUTED_VALUE"""),5.2)</f>
        <v>5.2</v>
      </c>
      <c r="T570" s="4">
        <f>IFERROR(__xludf.DUMMYFUNCTION("""COMPUTED_VALUE"""),0.061)</f>
        <v>0.061</v>
      </c>
      <c r="U570" s="4">
        <f>IFERROR(__xludf.DUMMYFUNCTION("""COMPUTED_VALUE"""),-3.4)</f>
        <v>-3.4</v>
      </c>
      <c r="V570" s="4">
        <f>IFERROR(__xludf.DUMMYFUNCTION("""COMPUTED_VALUE"""),-1.5)</f>
        <v>-1.5</v>
      </c>
    </row>
    <row r="571">
      <c r="A571" s="4">
        <f>IFERROR(__xludf.DUMMYFUNCTION("""COMPUTED_VALUE"""),38.0)</f>
        <v>38</v>
      </c>
      <c r="B571" s="4">
        <f>IFERROR(__xludf.DUMMYFUNCTION("""COMPUTED_VALUE"""),38.0)</f>
        <v>38</v>
      </c>
      <c r="C571" s="4" t="str">
        <f>IFERROR(__xludf.DUMMYFUNCTION("""COMPUTED_VALUE"""),"CHI")</f>
        <v>CHI</v>
      </c>
      <c r="D571" s="4" t="str">
        <f>IFERROR(__xludf.DUMMYFUNCTION("""COMPUTED_VALUE"""),"Jordan Bell")</f>
        <v>Jordan Bell</v>
      </c>
      <c r="E571" s="4" t="str">
        <f>IFERROR(__xludf.DUMMYFUNCTION("""COMPUTED_VALUE"""),"Oregon")</f>
        <v>Oregon</v>
      </c>
      <c r="F571" s="4">
        <f>IFERROR(__xludf.DUMMYFUNCTION("""COMPUTED_VALUE"""),5.0)</f>
        <v>5</v>
      </c>
      <c r="G571" s="4">
        <f>IFERROR(__xludf.DUMMYFUNCTION("""COMPUTED_VALUE"""),161.0)</f>
        <v>161</v>
      </c>
      <c r="H571" s="4">
        <f>IFERROR(__xludf.DUMMYFUNCTION("""COMPUTED_VALUE"""),1937.0)</f>
        <v>1937</v>
      </c>
      <c r="I571" s="4">
        <f>IFERROR(__xludf.DUMMYFUNCTION("""COMPUTED_VALUE"""),593.0)</f>
        <v>593</v>
      </c>
      <c r="J571" s="4">
        <f>IFERROR(__xludf.DUMMYFUNCTION("""COMPUTED_VALUE"""),497.0)</f>
        <v>497</v>
      </c>
      <c r="K571" s="4">
        <f>IFERROR(__xludf.DUMMYFUNCTION("""COMPUTED_VALUE"""),201.0)</f>
        <v>201</v>
      </c>
      <c r="L571" s="4">
        <f>IFERROR(__xludf.DUMMYFUNCTION("""COMPUTED_VALUE"""),0.552)</f>
        <v>0.552</v>
      </c>
      <c r="M571" s="4">
        <f>IFERROR(__xludf.DUMMYFUNCTION("""COMPUTED_VALUE"""),0.2)</f>
        <v>0.2</v>
      </c>
      <c r="N571" s="4">
        <f>IFERROR(__xludf.DUMMYFUNCTION("""COMPUTED_VALUE"""),0.636)</f>
        <v>0.636</v>
      </c>
      <c r="O571" s="4">
        <f>IFERROR(__xludf.DUMMYFUNCTION("""COMPUTED_VALUE"""),12.0)</f>
        <v>12</v>
      </c>
      <c r="P571" s="4">
        <f>IFERROR(__xludf.DUMMYFUNCTION("""COMPUTED_VALUE"""),3.7)</f>
        <v>3.7</v>
      </c>
      <c r="Q571" s="4">
        <f>IFERROR(__xludf.DUMMYFUNCTION("""COMPUTED_VALUE"""),3.1)</f>
        <v>3.1</v>
      </c>
      <c r="R571" s="4">
        <f>IFERROR(__xludf.DUMMYFUNCTION("""COMPUTED_VALUE"""),1.2)</f>
        <v>1.2</v>
      </c>
      <c r="S571" s="4">
        <f>IFERROR(__xludf.DUMMYFUNCTION("""COMPUTED_VALUE"""),4.9)</f>
        <v>4.9</v>
      </c>
      <c r="T571" s="4">
        <f>IFERROR(__xludf.DUMMYFUNCTION("""COMPUTED_VALUE"""),0.121)</f>
        <v>0.121</v>
      </c>
      <c r="U571" s="4">
        <f>IFERROR(__xludf.DUMMYFUNCTION("""COMPUTED_VALUE"""),0.2)</f>
        <v>0.2</v>
      </c>
      <c r="V571" s="4">
        <f>IFERROR(__xludf.DUMMYFUNCTION("""COMPUTED_VALUE"""),1.1)</f>
        <v>1.1</v>
      </c>
    </row>
    <row r="572">
      <c r="A572" s="4">
        <f>IFERROR(__xludf.DUMMYFUNCTION("""COMPUTED_VALUE"""),39.0)</f>
        <v>39</v>
      </c>
      <c r="B572" s="4">
        <f>IFERROR(__xludf.DUMMYFUNCTION("""COMPUTED_VALUE"""),39.0)</f>
        <v>39</v>
      </c>
      <c r="C572" s="4" t="str">
        <f>IFERROR(__xludf.DUMMYFUNCTION("""COMPUTED_VALUE"""),"PHI")</f>
        <v>PHI</v>
      </c>
      <c r="D572" s="4" t="str">
        <f>IFERROR(__xludf.DUMMYFUNCTION("""COMPUTED_VALUE"""),"Jawun Evans")</f>
        <v>Jawun Evans</v>
      </c>
      <c r="E572" s="4" t="str">
        <f>IFERROR(__xludf.DUMMYFUNCTION("""COMPUTED_VALUE"""),"Oklahoma State")</f>
        <v>Oklahoma State</v>
      </c>
      <c r="F572" s="4">
        <f>IFERROR(__xludf.DUMMYFUNCTION("""COMPUTED_VALUE"""),2.0)</f>
        <v>2</v>
      </c>
      <c r="G572" s="4">
        <f>IFERROR(__xludf.DUMMYFUNCTION("""COMPUTED_VALUE"""),56.0)</f>
        <v>56</v>
      </c>
      <c r="H572" s="4">
        <f>IFERROR(__xludf.DUMMYFUNCTION("""COMPUTED_VALUE"""),843.0)</f>
        <v>843</v>
      </c>
      <c r="I572" s="4">
        <f>IFERROR(__xludf.DUMMYFUNCTION("""COMPUTED_VALUE"""),237.0)</f>
        <v>237</v>
      </c>
      <c r="J572" s="4">
        <f>IFERROR(__xludf.DUMMYFUNCTION("""COMPUTED_VALUE"""),96.0)</f>
        <v>96</v>
      </c>
      <c r="K572" s="4">
        <f>IFERROR(__xludf.DUMMYFUNCTION("""COMPUTED_VALUE"""),110.0)</f>
        <v>110</v>
      </c>
      <c r="L572" s="4">
        <f>IFERROR(__xludf.DUMMYFUNCTION("""COMPUTED_VALUE"""),0.345)</f>
        <v>0.345</v>
      </c>
      <c r="M572" s="4">
        <f>IFERROR(__xludf.DUMMYFUNCTION("""COMPUTED_VALUE"""),0.263)</f>
        <v>0.263</v>
      </c>
      <c r="N572" s="4">
        <f>IFERROR(__xludf.DUMMYFUNCTION("""COMPUTED_VALUE"""),0.776)</f>
        <v>0.776</v>
      </c>
      <c r="O572" s="4">
        <f>IFERROR(__xludf.DUMMYFUNCTION("""COMPUTED_VALUE"""),15.1)</f>
        <v>15.1</v>
      </c>
      <c r="P572" s="4">
        <f>IFERROR(__xludf.DUMMYFUNCTION("""COMPUTED_VALUE"""),4.2)</f>
        <v>4.2</v>
      </c>
      <c r="Q572" s="4">
        <f>IFERROR(__xludf.DUMMYFUNCTION("""COMPUTED_VALUE"""),1.7)</f>
        <v>1.7</v>
      </c>
      <c r="R572" s="4">
        <f>IFERROR(__xludf.DUMMYFUNCTION("""COMPUTED_VALUE"""),2.0)</f>
        <v>2</v>
      </c>
      <c r="S572" s="4">
        <f>IFERROR(__xludf.DUMMYFUNCTION("""COMPUTED_VALUE"""),-0.4)</f>
        <v>-0.4</v>
      </c>
      <c r="T572" s="4">
        <f>IFERROR(__xludf.DUMMYFUNCTION("""COMPUTED_VALUE"""),-0.022)</f>
        <v>-0.022</v>
      </c>
      <c r="U572" s="4">
        <f>IFERROR(__xludf.DUMMYFUNCTION("""COMPUTED_VALUE"""),-5.4)</f>
        <v>-5.4</v>
      </c>
      <c r="V572" s="4">
        <f>IFERROR(__xludf.DUMMYFUNCTION("""COMPUTED_VALUE"""),-0.7)</f>
        <v>-0.7</v>
      </c>
    </row>
    <row r="573">
      <c r="A573" s="4">
        <f>IFERROR(__xludf.DUMMYFUNCTION("""COMPUTED_VALUE"""),40.0)</f>
        <v>40</v>
      </c>
      <c r="B573" s="4">
        <f>IFERROR(__xludf.DUMMYFUNCTION("""COMPUTED_VALUE"""),40.0)</f>
        <v>40</v>
      </c>
      <c r="C573" s="4" t="str">
        <f>IFERROR(__xludf.DUMMYFUNCTION("""COMPUTED_VALUE"""),"NOP")</f>
        <v>NOP</v>
      </c>
      <c r="D573" s="4" t="str">
        <f>IFERROR(__xludf.DUMMYFUNCTION("""COMPUTED_VALUE"""),"Dwayne Bacon")</f>
        <v>Dwayne Bacon</v>
      </c>
      <c r="E573" s="4" t="str">
        <f>IFERROR(__xludf.DUMMYFUNCTION("""COMPUTED_VALUE"""),"Florida State")</f>
        <v>Florida State</v>
      </c>
      <c r="F573" s="4">
        <f>IFERROR(__xludf.DUMMYFUNCTION("""COMPUTED_VALUE"""),4.0)</f>
        <v>4</v>
      </c>
      <c r="G573" s="4">
        <f>IFERROR(__xludf.DUMMYFUNCTION("""COMPUTED_VALUE"""),207.0)</f>
        <v>207</v>
      </c>
      <c r="H573" s="4">
        <f>IFERROR(__xludf.DUMMYFUNCTION("""COMPUTED_VALUE"""),4012.0)</f>
        <v>4012</v>
      </c>
      <c r="I573" s="4">
        <f>IFERROR(__xludf.DUMMYFUNCTION("""COMPUTED_VALUE"""),1503.0)</f>
        <v>1503</v>
      </c>
      <c r="J573" s="4">
        <f>IFERROR(__xludf.DUMMYFUNCTION("""COMPUTED_VALUE"""),537.0)</f>
        <v>537</v>
      </c>
      <c r="K573" s="4">
        <f>IFERROR(__xludf.DUMMYFUNCTION("""COMPUTED_VALUE"""),230.0)</f>
        <v>230</v>
      </c>
      <c r="L573" s="4">
        <f>IFERROR(__xludf.DUMMYFUNCTION("""COMPUTED_VALUE"""),0.402)</f>
        <v>0.402</v>
      </c>
      <c r="M573" s="4">
        <f>IFERROR(__xludf.DUMMYFUNCTION("""COMPUTED_VALUE"""),0.314)</f>
        <v>0.314</v>
      </c>
      <c r="N573" s="4">
        <f>IFERROR(__xludf.DUMMYFUNCTION("""COMPUTED_VALUE"""),0.78)</f>
        <v>0.78</v>
      </c>
      <c r="O573" s="4">
        <f>IFERROR(__xludf.DUMMYFUNCTION("""COMPUTED_VALUE"""),19.4)</f>
        <v>19.4</v>
      </c>
      <c r="P573" s="4">
        <f>IFERROR(__xludf.DUMMYFUNCTION("""COMPUTED_VALUE"""),7.3)</f>
        <v>7.3</v>
      </c>
      <c r="Q573" s="4">
        <f>IFERROR(__xludf.DUMMYFUNCTION("""COMPUTED_VALUE"""),2.6)</f>
        <v>2.6</v>
      </c>
      <c r="R573" s="4">
        <f>IFERROR(__xludf.DUMMYFUNCTION("""COMPUTED_VALUE"""),1.1)</f>
        <v>1.1</v>
      </c>
      <c r="S573" s="4">
        <f>IFERROR(__xludf.DUMMYFUNCTION("""COMPUTED_VALUE"""),0.8)</f>
        <v>0.8</v>
      </c>
      <c r="T573" s="4">
        <f>IFERROR(__xludf.DUMMYFUNCTION("""COMPUTED_VALUE"""),0.01)</f>
        <v>0.01</v>
      </c>
      <c r="U573" s="4">
        <f>IFERROR(__xludf.DUMMYFUNCTION("""COMPUTED_VALUE"""),-5.1)</f>
        <v>-5.1</v>
      </c>
      <c r="V573" s="4">
        <f>IFERROR(__xludf.DUMMYFUNCTION("""COMPUTED_VALUE"""),-3.1)</f>
        <v>-3.1</v>
      </c>
    </row>
    <row r="574">
      <c r="A574" s="4">
        <f>IFERROR(__xludf.DUMMYFUNCTION("""COMPUTED_VALUE"""),41.0)</f>
        <v>41</v>
      </c>
      <c r="B574" s="4">
        <f>IFERROR(__xludf.DUMMYFUNCTION("""COMPUTED_VALUE"""),41.0)</f>
        <v>41</v>
      </c>
      <c r="C574" s="4" t="str">
        <f>IFERROR(__xludf.DUMMYFUNCTION("""COMPUTED_VALUE"""),"ATL")</f>
        <v>ATL</v>
      </c>
      <c r="D574" s="4" t="str">
        <f>IFERROR(__xludf.DUMMYFUNCTION("""COMPUTED_VALUE"""),"Tyler Dorsey")</f>
        <v>Tyler Dorsey</v>
      </c>
      <c r="E574" s="4" t="str">
        <f>IFERROR(__xludf.DUMMYFUNCTION("""COMPUTED_VALUE"""),"Oregon")</f>
        <v>Oregon</v>
      </c>
      <c r="F574" s="4">
        <f>IFERROR(__xludf.DUMMYFUNCTION("""COMPUTED_VALUE"""),3.0)</f>
        <v>3</v>
      </c>
      <c r="G574" s="4">
        <f>IFERROR(__xludf.DUMMYFUNCTION("""COMPUTED_VALUE"""),107.0)</f>
        <v>107</v>
      </c>
      <c r="H574" s="4">
        <f>IFERROR(__xludf.DUMMYFUNCTION("""COMPUTED_VALUE"""),1680.0)</f>
        <v>1680</v>
      </c>
      <c r="I574" s="4">
        <f>IFERROR(__xludf.DUMMYFUNCTION("""COMPUTED_VALUE"""),710.0)</f>
        <v>710</v>
      </c>
      <c r="J574" s="4">
        <f>IFERROR(__xludf.DUMMYFUNCTION("""COMPUTED_VALUE"""),245.0)</f>
        <v>245</v>
      </c>
      <c r="K574" s="4">
        <f>IFERROR(__xludf.DUMMYFUNCTION("""COMPUTED_VALUE"""),135.0)</f>
        <v>135</v>
      </c>
      <c r="L574" s="4">
        <f>IFERROR(__xludf.DUMMYFUNCTION("""COMPUTED_VALUE"""),0.392)</f>
        <v>0.392</v>
      </c>
      <c r="M574" s="4">
        <f>IFERROR(__xludf.DUMMYFUNCTION("""COMPUTED_VALUE"""),0.351)</f>
        <v>0.351</v>
      </c>
      <c r="N574" s="4">
        <f>IFERROR(__xludf.DUMMYFUNCTION("""COMPUTED_VALUE"""),0.669)</f>
        <v>0.669</v>
      </c>
      <c r="O574" s="4">
        <f>IFERROR(__xludf.DUMMYFUNCTION("""COMPUTED_VALUE"""),15.7)</f>
        <v>15.7</v>
      </c>
      <c r="P574" s="4">
        <f>IFERROR(__xludf.DUMMYFUNCTION("""COMPUTED_VALUE"""),6.6)</f>
        <v>6.6</v>
      </c>
      <c r="Q574" s="4">
        <f>IFERROR(__xludf.DUMMYFUNCTION("""COMPUTED_VALUE"""),2.3)</f>
        <v>2.3</v>
      </c>
      <c r="R574" s="4">
        <f>IFERROR(__xludf.DUMMYFUNCTION("""COMPUTED_VALUE"""),1.3)</f>
        <v>1.3</v>
      </c>
      <c r="S574" s="4">
        <f>IFERROR(__xludf.DUMMYFUNCTION("""COMPUTED_VALUE"""),1.1)</f>
        <v>1.1</v>
      </c>
      <c r="T574" s="4">
        <f>IFERROR(__xludf.DUMMYFUNCTION("""COMPUTED_VALUE"""),0.031)</f>
        <v>0.031</v>
      </c>
      <c r="U574" s="4">
        <f>IFERROR(__xludf.DUMMYFUNCTION("""COMPUTED_VALUE"""),-3.0)</f>
        <v>-3</v>
      </c>
      <c r="V574" s="4">
        <f>IFERROR(__xludf.DUMMYFUNCTION("""COMPUTED_VALUE"""),-0.5)</f>
        <v>-0.5</v>
      </c>
    </row>
    <row r="575">
      <c r="A575" s="4">
        <f>IFERROR(__xludf.DUMMYFUNCTION("""COMPUTED_VALUE"""),42.0)</f>
        <v>42</v>
      </c>
      <c r="B575" s="4">
        <f>IFERROR(__xludf.DUMMYFUNCTION("""COMPUTED_VALUE"""),42.0)</f>
        <v>42</v>
      </c>
      <c r="C575" s="4" t="str">
        <f>IFERROR(__xludf.DUMMYFUNCTION("""COMPUTED_VALUE"""),"UTA")</f>
        <v>UTA</v>
      </c>
      <c r="D575" s="4" t="str">
        <f>IFERROR(__xludf.DUMMYFUNCTION("""COMPUTED_VALUE"""),"Thomas Bryant")</f>
        <v>Thomas Bryant</v>
      </c>
      <c r="E575" s="4" t="str">
        <f>IFERROR(__xludf.DUMMYFUNCTION("""COMPUTED_VALUE"""),"Indiana")</f>
        <v>Indiana</v>
      </c>
      <c r="F575" s="4">
        <f>IFERROR(__xludf.DUMMYFUNCTION("""COMPUTED_VALUE"""),9.0)</f>
        <v>9</v>
      </c>
      <c r="G575" s="4">
        <f>IFERROR(__xludf.DUMMYFUNCTION("""COMPUTED_VALUE"""),348.0)</f>
        <v>348</v>
      </c>
      <c r="H575" s="4">
        <f>IFERROR(__xludf.DUMMYFUNCTION("""COMPUTED_VALUE"""),6009.0)</f>
        <v>6009</v>
      </c>
      <c r="I575" s="4">
        <f>IFERROR(__xludf.DUMMYFUNCTION("""COMPUTED_VALUE"""),2994.0)</f>
        <v>2994</v>
      </c>
      <c r="J575" s="4">
        <f>IFERROR(__xludf.DUMMYFUNCTION("""COMPUTED_VALUE"""),1726.0)</f>
        <v>1726</v>
      </c>
      <c r="K575" s="4">
        <f>IFERROR(__xludf.DUMMYFUNCTION("""COMPUTED_VALUE"""),328.0)</f>
        <v>328</v>
      </c>
      <c r="L575" s="4">
        <f>IFERROR(__xludf.DUMMYFUNCTION("""COMPUTED_VALUE"""),0.579)</f>
        <v>0.579</v>
      </c>
      <c r="M575" s="4">
        <f>IFERROR(__xludf.DUMMYFUNCTION("""COMPUTED_VALUE"""),0.337)</f>
        <v>0.337</v>
      </c>
      <c r="N575" s="4">
        <f>IFERROR(__xludf.DUMMYFUNCTION("""COMPUTED_VALUE"""),0.775)</f>
        <v>0.775</v>
      </c>
      <c r="O575" s="4">
        <f>IFERROR(__xludf.DUMMYFUNCTION("""COMPUTED_VALUE"""),17.3)</f>
        <v>17.3</v>
      </c>
      <c r="P575" s="4">
        <f>IFERROR(__xludf.DUMMYFUNCTION("""COMPUTED_VALUE"""),8.6)</f>
        <v>8.6</v>
      </c>
      <c r="Q575" s="4">
        <f>IFERROR(__xludf.DUMMYFUNCTION("""COMPUTED_VALUE"""),5.0)</f>
        <v>5</v>
      </c>
      <c r="R575" s="4">
        <f>IFERROR(__xludf.DUMMYFUNCTION("""COMPUTED_VALUE"""),0.9)</f>
        <v>0.9</v>
      </c>
      <c r="S575" s="4">
        <f>IFERROR(__xludf.DUMMYFUNCTION("""COMPUTED_VALUE"""),20.5)</f>
        <v>20.5</v>
      </c>
      <c r="T575" s="4">
        <f>IFERROR(__xludf.DUMMYFUNCTION("""COMPUTED_VALUE"""),0.164)</f>
        <v>0.164</v>
      </c>
      <c r="U575" s="4">
        <f>IFERROR(__xludf.DUMMYFUNCTION("""COMPUTED_VALUE"""),0.9)</f>
        <v>0.9</v>
      </c>
      <c r="V575" s="4">
        <f>IFERROR(__xludf.DUMMYFUNCTION("""COMPUTED_VALUE"""),4.4)</f>
        <v>4.4</v>
      </c>
    </row>
    <row r="576">
      <c r="A576" s="4">
        <f>IFERROR(__xludf.DUMMYFUNCTION("""COMPUTED_VALUE"""),43.0)</f>
        <v>43</v>
      </c>
      <c r="B576" s="4">
        <f>IFERROR(__xludf.DUMMYFUNCTION("""COMPUTED_VALUE"""),43.0)</f>
        <v>43</v>
      </c>
      <c r="C576" s="4" t="str">
        <f>IFERROR(__xludf.DUMMYFUNCTION("""COMPUTED_VALUE"""),"HOU")</f>
        <v>HOU</v>
      </c>
      <c r="D576" s="4" t="str">
        <f>IFERROR(__xludf.DUMMYFUNCTION("""COMPUTED_VALUE"""),"Isaiah Hartenstein")</f>
        <v>Isaiah Hartenstein</v>
      </c>
      <c r="E576" s="4"/>
      <c r="F576" s="4">
        <f>IFERROR(__xludf.DUMMYFUNCTION("""COMPUTED_VALUE"""),8.0)</f>
        <v>8</v>
      </c>
      <c r="G576" s="4">
        <f>IFERROR(__xludf.DUMMYFUNCTION("""COMPUTED_VALUE"""),398.0)</f>
        <v>398</v>
      </c>
      <c r="H576" s="4">
        <f>IFERROR(__xludf.DUMMYFUNCTION("""COMPUTED_VALUE"""),7902.0)</f>
        <v>7902</v>
      </c>
      <c r="I576" s="4">
        <f>IFERROR(__xludf.DUMMYFUNCTION("""COMPUTED_VALUE"""),2816.0)</f>
        <v>2816</v>
      </c>
      <c r="J576" s="4">
        <f>IFERROR(__xludf.DUMMYFUNCTION("""COMPUTED_VALUE"""),2626.0)</f>
        <v>2626</v>
      </c>
      <c r="K576" s="4">
        <f>IFERROR(__xludf.DUMMYFUNCTION("""COMPUTED_VALUE"""),821.0)</f>
        <v>821</v>
      </c>
      <c r="L576" s="4">
        <f>IFERROR(__xludf.DUMMYFUNCTION("""COMPUTED_VALUE"""),0.598)</f>
        <v>0.598</v>
      </c>
      <c r="M576" s="4">
        <f>IFERROR(__xludf.DUMMYFUNCTION("""COMPUTED_VALUE"""),0.245)</f>
        <v>0.245</v>
      </c>
      <c r="N576" s="4">
        <f>IFERROR(__xludf.DUMMYFUNCTION("""COMPUTED_VALUE"""),0.683)</f>
        <v>0.683</v>
      </c>
      <c r="O576" s="4">
        <f>IFERROR(__xludf.DUMMYFUNCTION("""COMPUTED_VALUE"""),19.9)</f>
        <v>19.9</v>
      </c>
      <c r="P576" s="4">
        <f>IFERROR(__xludf.DUMMYFUNCTION("""COMPUTED_VALUE"""),7.1)</f>
        <v>7.1</v>
      </c>
      <c r="Q576" s="4">
        <f>IFERROR(__xludf.DUMMYFUNCTION("""COMPUTED_VALUE"""),6.6)</f>
        <v>6.6</v>
      </c>
      <c r="R576" s="4">
        <f>IFERROR(__xludf.DUMMYFUNCTION("""COMPUTED_VALUE"""),2.1)</f>
        <v>2.1</v>
      </c>
      <c r="S576" s="4">
        <f>IFERROR(__xludf.DUMMYFUNCTION("""COMPUTED_VALUE"""),30.7)</f>
        <v>30.7</v>
      </c>
      <c r="T576" s="4">
        <f>IFERROR(__xludf.DUMMYFUNCTION("""COMPUTED_VALUE"""),0.187)</f>
        <v>0.187</v>
      </c>
      <c r="U576" s="4">
        <f>IFERROR(__xludf.DUMMYFUNCTION("""COMPUTED_VALUE"""),2.2)</f>
        <v>2.2</v>
      </c>
      <c r="V576" s="4">
        <f>IFERROR(__xludf.DUMMYFUNCTION("""COMPUTED_VALUE"""),8.5)</f>
        <v>8.5</v>
      </c>
    </row>
    <row r="577">
      <c r="A577" s="4">
        <f>IFERROR(__xludf.DUMMYFUNCTION("""COMPUTED_VALUE"""),44.0)</f>
        <v>44</v>
      </c>
      <c r="B577" s="4">
        <f>IFERROR(__xludf.DUMMYFUNCTION("""COMPUTED_VALUE"""),44.0)</f>
        <v>44</v>
      </c>
      <c r="C577" s="4" t="str">
        <f>IFERROR(__xludf.DUMMYFUNCTION("""COMPUTED_VALUE"""),"NYK")</f>
        <v>NYK</v>
      </c>
      <c r="D577" s="4" t="str">
        <f>IFERROR(__xludf.DUMMYFUNCTION("""COMPUTED_VALUE"""),"Damyean Dotson")</f>
        <v>Damyean Dotson</v>
      </c>
      <c r="E577" s="4" t="str">
        <f>IFERROR(__xludf.DUMMYFUNCTION("""COMPUTED_VALUE"""),"Oregon")</f>
        <v>Oregon</v>
      </c>
      <c r="F577" s="4">
        <f>IFERROR(__xludf.DUMMYFUNCTION("""COMPUTED_VALUE"""),5.0)</f>
        <v>5</v>
      </c>
      <c r="G577" s="4">
        <f>IFERROR(__xludf.DUMMYFUNCTION("""COMPUTED_VALUE"""),213.0)</f>
        <v>213</v>
      </c>
      <c r="H577" s="4">
        <f>IFERROR(__xludf.DUMMYFUNCTION("""COMPUTED_VALUE"""),4242.0)</f>
        <v>4242</v>
      </c>
      <c r="I577" s="4">
        <f>IFERROR(__xludf.DUMMYFUNCTION("""COMPUTED_VALUE"""),1594.0)</f>
        <v>1594</v>
      </c>
      <c r="J577" s="4">
        <f>IFERROR(__xludf.DUMMYFUNCTION("""COMPUTED_VALUE"""),532.0)</f>
        <v>532</v>
      </c>
      <c r="K577" s="4">
        <f>IFERROR(__xludf.DUMMYFUNCTION("""COMPUTED_VALUE"""),315.0)</f>
        <v>315</v>
      </c>
      <c r="L577" s="4">
        <f>IFERROR(__xludf.DUMMYFUNCTION("""COMPUTED_VALUE"""),0.417)</f>
        <v>0.417</v>
      </c>
      <c r="M577" s="4">
        <f>IFERROR(__xludf.DUMMYFUNCTION("""COMPUTED_VALUE"""),0.345)</f>
        <v>0.345</v>
      </c>
      <c r="N577" s="4">
        <f>IFERROR(__xludf.DUMMYFUNCTION("""COMPUTED_VALUE"""),0.711)</f>
        <v>0.711</v>
      </c>
      <c r="O577" s="4">
        <f>IFERROR(__xludf.DUMMYFUNCTION("""COMPUTED_VALUE"""),19.9)</f>
        <v>19.9</v>
      </c>
      <c r="P577" s="4">
        <f>IFERROR(__xludf.DUMMYFUNCTION("""COMPUTED_VALUE"""),7.5)</f>
        <v>7.5</v>
      </c>
      <c r="Q577" s="4">
        <f>IFERROR(__xludf.DUMMYFUNCTION("""COMPUTED_VALUE"""),2.5)</f>
        <v>2.5</v>
      </c>
      <c r="R577" s="4">
        <f>IFERROR(__xludf.DUMMYFUNCTION("""COMPUTED_VALUE"""),1.5)</f>
        <v>1.5</v>
      </c>
      <c r="S577" s="4">
        <f>IFERROR(__xludf.DUMMYFUNCTION("""COMPUTED_VALUE"""),3.0)</f>
        <v>3</v>
      </c>
      <c r="T577" s="4">
        <f>IFERROR(__xludf.DUMMYFUNCTION("""COMPUTED_VALUE"""),0.034)</f>
        <v>0.034</v>
      </c>
      <c r="U577" s="4">
        <f>IFERROR(__xludf.DUMMYFUNCTION("""COMPUTED_VALUE"""),-2.8)</f>
        <v>-2.8</v>
      </c>
      <c r="V577" s="4">
        <f>IFERROR(__xludf.DUMMYFUNCTION("""COMPUTED_VALUE"""),-0.9)</f>
        <v>-0.9</v>
      </c>
    </row>
    <row r="578">
      <c r="A578" s="4">
        <f>IFERROR(__xludf.DUMMYFUNCTION("""COMPUTED_VALUE"""),45.0)</f>
        <v>45</v>
      </c>
      <c r="B578" s="4">
        <f>IFERROR(__xludf.DUMMYFUNCTION("""COMPUTED_VALUE"""),45.0)</f>
        <v>45</v>
      </c>
      <c r="C578" s="4" t="str">
        <f>IFERROR(__xludf.DUMMYFUNCTION("""COMPUTED_VALUE"""),"HOU")</f>
        <v>HOU</v>
      </c>
      <c r="D578" s="4" t="str">
        <f>IFERROR(__xludf.DUMMYFUNCTION("""COMPUTED_VALUE"""),"Dillon Brooks")</f>
        <v>Dillon Brooks</v>
      </c>
      <c r="E578" s="4" t="str">
        <f>IFERROR(__xludf.DUMMYFUNCTION("""COMPUTED_VALUE"""),"Oregon")</f>
        <v>Oregon</v>
      </c>
      <c r="F578" s="4">
        <f>IFERROR(__xludf.DUMMYFUNCTION("""COMPUTED_VALUE"""),9.0)</f>
        <v>9</v>
      </c>
      <c r="G578" s="4">
        <f>IFERROR(__xludf.DUMMYFUNCTION("""COMPUTED_VALUE"""),508.0)</f>
        <v>508</v>
      </c>
      <c r="H578" s="4">
        <f>IFERROR(__xludf.DUMMYFUNCTION("""COMPUTED_VALUE"""),15005.0)</f>
        <v>15005</v>
      </c>
      <c r="I578" s="4">
        <f>IFERROR(__xludf.DUMMYFUNCTION("""COMPUTED_VALUE"""),7326.0)</f>
        <v>7326</v>
      </c>
      <c r="J578" s="4">
        <f>IFERROR(__xludf.DUMMYFUNCTION("""COMPUTED_VALUE"""),1644.0)</f>
        <v>1644</v>
      </c>
      <c r="K578" s="4">
        <f>IFERROR(__xludf.DUMMYFUNCTION("""COMPUTED_VALUE"""),1010.0)</f>
        <v>1010</v>
      </c>
      <c r="L578" s="4">
        <f>IFERROR(__xludf.DUMMYFUNCTION("""COMPUTED_VALUE"""),0.421)</f>
        <v>0.421</v>
      </c>
      <c r="M578" s="4">
        <f>IFERROR(__xludf.DUMMYFUNCTION("""COMPUTED_VALUE"""),0.353)</f>
        <v>0.353</v>
      </c>
      <c r="N578" s="4">
        <f>IFERROR(__xludf.DUMMYFUNCTION("""COMPUTED_VALUE"""),0.806)</f>
        <v>0.806</v>
      </c>
      <c r="O578" s="4">
        <f>IFERROR(__xludf.DUMMYFUNCTION("""COMPUTED_VALUE"""),29.5)</f>
        <v>29.5</v>
      </c>
      <c r="P578" s="4">
        <f>IFERROR(__xludf.DUMMYFUNCTION("""COMPUTED_VALUE"""),14.4)</f>
        <v>14.4</v>
      </c>
      <c r="Q578" s="4">
        <f>IFERROR(__xludf.DUMMYFUNCTION("""COMPUTED_VALUE"""),3.2)</f>
        <v>3.2</v>
      </c>
      <c r="R578" s="4">
        <f>IFERROR(__xludf.DUMMYFUNCTION("""COMPUTED_VALUE"""),2.0)</f>
        <v>2</v>
      </c>
      <c r="S578" s="4">
        <f>IFERROR(__xludf.DUMMYFUNCTION("""COMPUTED_VALUE"""),15.5)</f>
        <v>15.5</v>
      </c>
      <c r="T578" s="4">
        <f>IFERROR(__xludf.DUMMYFUNCTION("""COMPUTED_VALUE"""),0.049)</f>
        <v>0.049</v>
      </c>
      <c r="U578" s="4">
        <f>IFERROR(__xludf.DUMMYFUNCTION("""COMPUTED_VALUE"""),-3.3)</f>
        <v>-3.3</v>
      </c>
      <c r="V578" s="4">
        <f>IFERROR(__xludf.DUMMYFUNCTION("""COMPUTED_VALUE"""),-5.0)</f>
        <v>-5</v>
      </c>
    </row>
    <row r="579">
      <c r="A579" s="4">
        <f>IFERROR(__xludf.DUMMYFUNCTION("""COMPUTED_VALUE"""),46.0)</f>
        <v>46</v>
      </c>
      <c r="B579" s="4">
        <f>IFERROR(__xludf.DUMMYFUNCTION("""COMPUTED_VALUE"""),46.0)</f>
        <v>46</v>
      </c>
      <c r="C579" s="4" t="str">
        <f>IFERROR(__xludf.DUMMYFUNCTION("""COMPUTED_VALUE"""),"PHI")</f>
        <v>PHI</v>
      </c>
      <c r="D579" s="4" t="str">
        <f>IFERROR(__xludf.DUMMYFUNCTION("""COMPUTED_VALUE"""),"Sterling Brown")</f>
        <v>Sterling Brown</v>
      </c>
      <c r="E579" s="4" t="str">
        <f>IFERROR(__xludf.DUMMYFUNCTION("""COMPUTED_VALUE"""),"SMU")</f>
        <v>SMU</v>
      </c>
      <c r="F579" s="4">
        <f>IFERROR(__xludf.DUMMYFUNCTION("""COMPUTED_VALUE"""),6.0)</f>
        <v>6</v>
      </c>
      <c r="G579" s="4">
        <f>IFERROR(__xludf.DUMMYFUNCTION("""COMPUTED_VALUE"""),268.0)</f>
        <v>268</v>
      </c>
      <c r="H579" s="4">
        <f>IFERROR(__xludf.DUMMYFUNCTION("""COMPUTED_VALUE"""),4458.0)</f>
        <v>4458</v>
      </c>
      <c r="I579" s="4">
        <f>IFERROR(__xludf.DUMMYFUNCTION("""COMPUTED_VALUE"""),1431.0)</f>
        <v>1431</v>
      </c>
      <c r="J579" s="4">
        <f>IFERROR(__xludf.DUMMYFUNCTION("""COMPUTED_VALUE"""),891.0)</f>
        <v>891</v>
      </c>
      <c r="K579" s="4">
        <f>IFERROR(__xludf.DUMMYFUNCTION("""COMPUTED_VALUE"""),268.0)</f>
        <v>268</v>
      </c>
      <c r="L579" s="4">
        <f>IFERROR(__xludf.DUMMYFUNCTION("""COMPUTED_VALUE"""),0.419)</f>
        <v>0.419</v>
      </c>
      <c r="M579" s="4">
        <f>IFERROR(__xludf.DUMMYFUNCTION("""COMPUTED_VALUE"""),0.363)</f>
        <v>0.363</v>
      </c>
      <c r="N579" s="4">
        <f>IFERROR(__xludf.DUMMYFUNCTION("""COMPUTED_VALUE"""),0.796)</f>
        <v>0.796</v>
      </c>
      <c r="O579" s="4">
        <f>IFERROR(__xludf.DUMMYFUNCTION("""COMPUTED_VALUE"""),16.6)</f>
        <v>16.6</v>
      </c>
      <c r="P579" s="4">
        <f>IFERROR(__xludf.DUMMYFUNCTION("""COMPUTED_VALUE"""),5.3)</f>
        <v>5.3</v>
      </c>
      <c r="Q579" s="4">
        <f>IFERROR(__xludf.DUMMYFUNCTION("""COMPUTED_VALUE"""),3.3)</f>
        <v>3.3</v>
      </c>
      <c r="R579" s="4">
        <f>IFERROR(__xludf.DUMMYFUNCTION("""COMPUTED_VALUE"""),1.0)</f>
        <v>1</v>
      </c>
      <c r="S579" s="4">
        <f>IFERROR(__xludf.DUMMYFUNCTION("""COMPUTED_VALUE"""),6.6)</f>
        <v>6.6</v>
      </c>
      <c r="T579" s="4">
        <f>IFERROR(__xludf.DUMMYFUNCTION("""COMPUTED_VALUE"""),0.071)</f>
        <v>0.071</v>
      </c>
      <c r="U579" s="4">
        <f>IFERROR(__xludf.DUMMYFUNCTION("""COMPUTED_VALUE"""),-2.1)</f>
        <v>-2.1</v>
      </c>
      <c r="V579" s="4">
        <f>IFERROR(__xludf.DUMMYFUNCTION("""COMPUTED_VALUE"""),-0.1)</f>
        <v>-0.1</v>
      </c>
    </row>
    <row r="580">
      <c r="A580" s="4">
        <f>IFERROR(__xludf.DUMMYFUNCTION("""COMPUTED_VALUE"""),47.0)</f>
        <v>47</v>
      </c>
      <c r="B580" s="4">
        <f>IFERROR(__xludf.DUMMYFUNCTION("""COMPUTED_VALUE"""),47.0)</f>
        <v>47</v>
      </c>
      <c r="C580" s="4" t="str">
        <f>IFERROR(__xludf.DUMMYFUNCTION("""COMPUTED_VALUE"""),"IND")</f>
        <v>IND</v>
      </c>
      <c r="D580" s="4" t="str">
        <f>IFERROR(__xludf.DUMMYFUNCTION("""COMPUTED_VALUE"""),"Ike Anigbogu")</f>
        <v>Ike Anigbogu</v>
      </c>
      <c r="E580" s="4" t="str">
        <f>IFERROR(__xludf.DUMMYFUNCTION("""COMPUTED_VALUE"""),"UCLA")</f>
        <v>UCLA</v>
      </c>
      <c r="F580" s="4">
        <f>IFERROR(__xludf.DUMMYFUNCTION("""COMPUTED_VALUE"""),2.0)</f>
        <v>2</v>
      </c>
      <c r="G580" s="4">
        <f>IFERROR(__xludf.DUMMYFUNCTION("""COMPUTED_VALUE"""),14.0)</f>
        <v>14</v>
      </c>
      <c r="H580" s="4">
        <f>IFERROR(__xludf.DUMMYFUNCTION("""COMPUTED_VALUE"""),36.0)</f>
        <v>36</v>
      </c>
      <c r="I580" s="4">
        <f>IFERROR(__xludf.DUMMYFUNCTION("""COMPUTED_VALUE"""),13.0)</f>
        <v>13</v>
      </c>
      <c r="J580" s="4">
        <f>IFERROR(__xludf.DUMMYFUNCTION("""COMPUTED_VALUE"""),12.0)</f>
        <v>12</v>
      </c>
      <c r="K580" s="4">
        <f>IFERROR(__xludf.DUMMYFUNCTION("""COMPUTED_VALUE"""),1.0)</f>
        <v>1</v>
      </c>
      <c r="L580" s="4">
        <f>IFERROR(__xludf.DUMMYFUNCTION("""COMPUTED_VALUE"""),0.333)</f>
        <v>0.333</v>
      </c>
      <c r="M580" s="4"/>
      <c r="N580" s="4">
        <f>IFERROR(__xludf.DUMMYFUNCTION("""COMPUTED_VALUE"""),0.833)</f>
        <v>0.833</v>
      </c>
      <c r="O580" s="4">
        <f>IFERROR(__xludf.DUMMYFUNCTION("""COMPUTED_VALUE"""),2.6)</f>
        <v>2.6</v>
      </c>
      <c r="P580" s="4">
        <f>IFERROR(__xludf.DUMMYFUNCTION("""COMPUTED_VALUE"""),0.9)</f>
        <v>0.9</v>
      </c>
      <c r="Q580" s="4">
        <f>IFERROR(__xludf.DUMMYFUNCTION("""COMPUTED_VALUE"""),0.9)</f>
        <v>0.9</v>
      </c>
      <c r="R580" s="4">
        <f>IFERROR(__xludf.DUMMYFUNCTION("""COMPUTED_VALUE"""),0.1)</f>
        <v>0.1</v>
      </c>
      <c r="S580" s="4">
        <f>IFERROR(__xludf.DUMMYFUNCTION("""COMPUTED_VALUE"""),0.0)</f>
        <v>0</v>
      </c>
      <c r="T580" s="4">
        <f>IFERROR(__xludf.DUMMYFUNCTION("""COMPUTED_VALUE"""),0.057)</f>
        <v>0.057</v>
      </c>
      <c r="U580" s="4">
        <f>IFERROR(__xludf.DUMMYFUNCTION("""COMPUTED_VALUE"""),-1.1)</f>
        <v>-1.1</v>
      </c>
      <c r="V580" s="4">
        <f>IFERROR(__xludf.DUMMYFUNCTION("""COMPUTED_VALUE"""),0.0)</f>
        <v>0</v>
      </c>
    </row>
    <row r="581">
      <c r="A581" s="4">
        <f>IFERROR(__xludf.DUMMYFUNCTION("""COMPUTED_VALUE"""),48.0)</f>
        <v>48</v>
      </c>
      <c r="B581" s="4">
        <f>IFERROR(__xludf.DUMMYFUNCTION("""COMPUTED_VALUE"""),48.0)</f>
        <v>48</v>
      </c>
      <c r="C581" s="4" t="str">
        <f>IFERROR(__xludf.DUMMYFUNCTION("""COMPUTED_VALUE"""),"MIL")</f>
        <v>MIL</v>
      </c>
      <c r="D581" s="4" t="str">
        <f>IFERROR(__xludf.DUMMYFUNCTION("""COMPUTED_VALUE"""),"Sindarius Thornwell")</f>
        <v>Sindarius Thornwell</v>
      </c>
      <c r="E581" s="4" t="str">
        <f>IFERROR(__xludf.DUMMYFUNCTION("""COMPUTED_VALUE"""),"South Carolina")</f>
        <v>South Carolina</v>
      </c>
      <c r="F581" s="4">
        <f>IFERROR(__xludf.DUMMYFUNCTION("""COMPUTED_VALUE"""),4.0)</f>
        <v>4</v>
      </c>
      <c r="G581" s="4">
        <f>IFERROR(__xludf.DUMMYFUNCTION("""COMPUTED_VALUE"""),160.0)</f>
        <v>160</v>
      </c>
      <c r="H581" s="4">
        <f>IFERROR(__xludf.DUMMYFUNCTION("""COMPUTED_VALUE"""),1721.0)</f>
        <v>1721</v>
      </c>
      <c r="I581" s="4">
        <f>IFERROR(__xludf.DUMMYFUNCTION("""COMPUTED_VALUE"""),401.0)</f>
        <v>401</v>
      </c>
      <c r="J581" s="4">
        <f>IFERROR(__xludf.DUMMYFUNCTION("""COMPUTED_VALUE"""),206.0)</f>
        <v>206</v>
      </c>
      <c r="K581" s="4">
        <f>IFERROR(__xludf.DUMMYFUNCTION("""COMPUTED_VALUE"""),111.0)</f>
        <v>111</v>
      </c>
      <c r="L581" s="4">
        <f>IFERROR(__xludf.DUMMYFUNCTION("""COMPUTED_VALUE"""),0.407)</f>
        <v>0.407</v>
      </c>
      <c r="M581" s="4">
        <f>IFERROR(__xludf.DUMMYFUNCTION("""COMPUTED_VALUE"""),0.34)</f>
        <v>0.34</v>
      </c>
      <c r="N581" s="4">
        <f>IFERROR(__xludf.DUMMYFUNCTION("""COMPUTED_VALUE"""),0.672)</f>
        <v>0.672</v>
      </c>
      <c r="O581" s="4">
        <f>IFERROR(__xludf.DUMMYFUNCTION("""COMPUTED_VALUE"""),10.8)</f>
        <v>10.8</v>
      </c>
      <c r="P581" s="4">
        <f>IFERROR(__xludf.DUMMYFUNCTION("""COMPUTED_VALUE"""),2.5)</f>
        <v>2.5</v>
      </c>
      <c r="Q581" s="4">
        <f>IFERROR(__xludf.DUMMYFUNCTION("""COMPUTED_VALUE"""),1.3)</f>
        <v>1.3</v>
      </c>
      <c r="R581" s="4">
        <f>IFERROR(__xludf.DUMMYFUNCTION("""COMPUTED_VALUE"""),0.7)</f>
        <v>0.7</v>
      </c>
      <c r="S581" s="4">
        <f>IFERROR(__xludf.DUMMYFUNCTION("""COMPUTED_VALUE"""),1.1)</f>
        <v>1.1</v>
      </c>
      <c r="T581" s="4">
        <f>IFERROR(__xludf.DUMMYFUNCTION("""COMPUTED_VALUE"""),0.032)</f>
        <v>0.032</v>
      </c>
      <c r="U581" s="4">
        <f>IFERROR(__xludf.DUMMYFUNCTION("""COMPUTED_VALUE"""),-3.1)</f>
        <v>-3.1</v>
      </c>
      <c r="V581" s="4">
        <f>IFERROR(__xludf.DUMMYFUNCTION("""COMPUTED_VALUE"""),-0.5)</f>
        <v>-0.5</v>
      </c>
    </row>
    <row r="582">
      <c r="A582" s="4">
        <f>IFERROR(__xludf.DUMMYFUNCTION("""COMPUTED_VALUE"""),49.0)</f>
        <v>49</v>
      </c>
      <c r="B582" s="4">
        <f>IFERROR(__xludf.DUMMYFUNCTION("""COMPUTED_VALUE"""),49.0)</f>
        <v>49</v>
      </c>
      <c r="C582" s="4" t="str">
        <f>IFERROR(__xludf.DUMMYFUNCTION("""COMPUTED_VALUE"""),"DEN")</f>
        <v>DEN</v>
      </c>
      <c r="D582" s="4" t="str">
        <f>IFERROR(__xludf.DUMMYFUNCTION("""COMPUTED_VALUE"""),"Vlatko Čančar")</f>
        <v>Vlatko Čančar</v>
      </c>
      <c r="E582" s="4"/>
      <c r="F582" s="4">
        <f>IFERROR(__xludf.DUMMYFUNCTION("""COMPUTED_VALUE"""),5.0)</f>
        <v>5</v>
      </c>
      <c r="G582" s="4">
        <f>IFERROR(__xludf.DUMMYFUNCTION("""COMPUTED_VALUE"""),143.0)</f>
        <v>143</v>
      </c>
      <c r="H582" s="4">
        <f>IFERROR(__xludf.DUMMYFUNCTION("""COMPUTED_VALUE"""),1527.0)</f>
        <v>1527</v>
      </c>
      <c r="I582" s="4">
        <f>IFERROR(__xludf.DUMMYFUNCTION("""COMPUTED_VALUE"""),485.0)</f>
        <v>485</v>
      </c>
      <c r="J582" s="4">
        <f>IFERROR(__xludf.DUMMYFUNCTION("""COMPUTED_VALUE"""),251.0)</f>
        <v>251</v>
      </c>
      <c r="K582" s="4">
        <f>IFERROR(__xludf.DUMMYFUNCTION("""COMPUTED_VALUE"""),123.0)</f>
        <v>123</v>
      </c>
      <c r="L582" s="4">
        <f>IFERROR(__xludf.DUMMYFUNCTION("""COMPUTED_VALUE"""),0.472)</f>
        <v>0.472</v>
      </c>
      <c r="M582" s="4">
        <f>IFERROR(__xludf.DUMMYFUNCTION("""COMPUTED_VALUE"""),0.354)</f>
        <v>0.354</v>
      </c>
      <c r="N582" s="4">
        <f>IFERROR(__xludf.DUMMYFUNCTION("""COMPUTED_VALUE"""),0.847)</f>
        <v>0.847</v>
      </c>
      <c r="O582" s="4">
        <f>IFERROR(__xludf.DUMMYFUNCTION("""COMPUTED_VALUE"""),10.7)</f>
        <v>10.7</v>
      </c>
      <c r="P582" s="4">
        <f>IFERROR(__xludf.DUMMYFUNCTION("""COMPUTED_VALUE"""),3.4)</f>
        <v>3.4</v>
      </c>
      <c r="Q582" s="4">
        <f>IFERROR(__xludf.DUMMYFUNCTION("""COMPUTED_VALUE"""),1.8)</f>
        <v>1.8</v>
      </c>
      <c r="R582" s="4">
        <f>IFERROR(__xludf.DUMMYFUNCTION("""COMPUTED_VALUE"""),0.9)</f>
        <v>0.9</v>
      </c>
      <c r="S582" s="4">
        <f>IFERROR(__xludf.DUMMYFUNCTION("""COMPUTED_VALUE"""),2.4)</f>
        <v>2.4</v>
      </c>
      <c r="T582" s="4">
        <f>IFERROR(__xludf.DUMMYFUNCTION("""COMPUTED_VALUE"""),0.076)</f>
        <v>0.076</v>
      </c>
      <c r="U582" s="4">
        <f>IFERROR(__xludf.DUMMYFUNCTION("""COMPUTED_VALUE"""),-2.5)</f>
        <v>-2.5</v>
      </c>
      <c r="V582" s="4">
        <f>IFERROR(__xludf.DUMMYFUNCTION("""COMPUTED_VALUE"""),-0.2)</f>
        <v>-0.2</v>
      </c>
    </row>
    <row r="583">
      <c r="A583" s="4">
        <f>IFERROR(__xludf.DUMMYFUNCTION("""COMPUTED_VALUE"""),50.0)</f>
        <v>50</v>
      </c>
      <c r="B583" s="4">
        <f>IFERROR(__xludf.DUMMYFUNCTION("""COMPUTED_VALUE"""),50.0)</f>
        <v>50</v>
      </c>
      <c r="C583" s="4" t="str">
        <f>IFERROR(__xludf.DUMMYFUNCTION("""COMPUTED_VALUE"""),"PHI")</f>
        <v>PHI</v>
      </c>
      <c r="D583" s="4" t="str">
        <f>IFERROR(__xludf.DUMMYFUNCTION("""COMPUTED_VALUE"""),"Mathias Lessort")</f>
        <v>Mathias Lessort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>
        <f>IFERROR(__xludf.DUMMYFUNCTION("""COMPUTED_VALUE"""),51.0)</f>
        <v>51</v>
      </c>
      <c r="B584" s="4">
        <f>IFERROR(__xludf.DUMMYFUNCTION("""COMPUTED_VALUE"""),51.0)</f>
        <v>51</v>
      </c>
      <c r="C584" s="4" t="str">
        <f>IFERROR(__xludf.DUMMYFUNCTION("""COMPUTED_VALUE"""),"DEN")</f>
        <v>DEN</v>
      </c>
      <c r="D584" s="4" t="str">
        <f>IFERROR(__xludf.DUMMYFUNCTION("""COMPUTED_VALUE"""),"Monte Morris")</f>
        <v>Monte Morris</v>
      </c>
      <c r="E584" s="4" t="str">
        <f>IFERROR(__xludf.DUMMYFUNCTION("""COMPUTED_VALUE"""),"Iowa State")</f>
        <v>Iowa State</v>
      </c>
      <c r="F584" s="4">
        <f>IFERROR(__xludf.DUMMYFUNCTION("""COMPUTED_VALUE"""),9.0)</f>
        <v>9</v>
      </c>
      <c r="G584" s="4">
        <f>IFERROR(__xludf.DUMMYFUNCTION("""COMPUTED_VALUE"""),426.0)</f>
        <v>426</v>
      </c>
      <c r="H584" s="4">
        <f>IFERROR(__xludf.DUMMYFUNCTION("""COMPUTED_VALUE"""),9873.0)</f>
        <v>9873</v>
      </c>
      <c r="I584" s="4">
        <f>IFERROR(__xludf.DUMMYFUNCTION("""COMPUTED_VALUE"""),3998.0)</f>
        <v>3998</v>
      </c>
      <c r="J584" s="4">
        <f>IFERROR(__xludf.DUMMYFUNCTION("""COMPUTED_VALUE"""),996.0)</f>
        <v>996</v>
      </c>
      <c r="K584" s="4">
        <f>IFERROR(__xludf.DUMMYFUNCTION("""COMPUTED_VALUE"""),1519.0)</f>
        <v>1519</v>
      </c>
      <c r="L584" s="4">
        <f>IFERROR(__xludf.DUMMYFUNCTION("""COMPUTED_VALUE"""),0.473)</f>
        <v>0.473</v>
      </c>
      <c r="M584" s="4">
        <f>IFERROR(__xludf.DUMMYFUNCTION("""COMPUTED_VALUE"""),0.388)</f>
        <v>0.388</v>
      </c>
      <c r="N584" s="4">
        <f>IFERROR(__xludf.DUMMYFUNCTION("""COMPUTED_VALUE"""),0.824)</f>
        <v>0.824</v>
      </c>
      <c r="O584" s="4">
        <f>IFERROR(__xludf.DUMMYFUNCTION("""COMPUTED_VALUE"""),23.2)</f>
        <v>23.2</v>
      </c>
      <c r="P584" s="4">
        <f>IFERROR(__xludf.DUMMYFUNCTION("""COMPUTED_VALUE"""),9.4)</f>
        <v>9.4</v>
      </c>
      <c r="Q584" s="4">
        <f>IFERROR(__xludf.DUMMYFUNCTION("""COMPUTED_VALUE"""),2.3)</f>
        <v>2.3</v>
      </c>
      <c r="R584" s="4">
        <f>IFERROR(__xludf.DUMMYFUNCTION("""COMPUTED_VALUE"""),3.6)</f>
        <v>3.6</v>
      </c>
      <c r="S584" s="4">
        <f>IFERROR(__xludf.DUMMYFUNCTION("""COMPUTED_VALUE"""),24.7)</f>
        <v>24.7</v>
      </c>
      <c r="T584" s="4">
        <f>IFERROR(__xludf.DUMMYFUNCTION("""COMPUTED_VALUE"""),0.12)</f>
        <v>0.12</v>
      </c>
      <c r="U584" s="4">
        <f>IFERROR(__xludf.DUMMYFUNCTION("""COMPUTED_VALUE"""),0.2)</f>
        <v>0.2</v>
      </c>
      <c r="V584" s="4">
        <f>IFERROR(__xludf.DUMMYFUNCTION("""COMPUTED_VALUE"""),5.6)</f>
        <v>5.6</v>
      </c>
    </row>
    <row r="585">
      <c r="A585" s="4">
        <f>IFERROR(__xludf.DUMMYFUNCTION("""COMPUTED_VALUE"""),52.0)</f>
        <v>52</v>
      </c>
      <c r="B585" s="4">
        <f>IFERROR(__xludf.DUMMYFUNCTION("""COMPUTED_VALUE"""),52.0)</f>
        <v>52</v>
      </c>
      <c r="C585" s="4" t="str">
        <f>IFERROR(__xludf.DUMMYFUNCTION("""COMPUTED_VALUE"""),"NOP")</f>
        <v>NOP</v>
      </c>
      <c r="D585" s="4" t="str">
        <f>IFERROR(__xludf.DUMMYFUNCTION("""COMPUTED_VALUE"""),"Edmond Sumner")</f>
        <v>Edmond Sumner</v>
      </c>
      <c r="E585" s="4" t="str">
        <f>IFERROR(__xludf.DUMMYFUNCTION("""COMPUTED_VALUE"""),"Xavier")</f>
        <v>Xavier</v>
      </c>
      <c r="F585" s="4">
        <f>IFERROR(__xludf.DUMMYFUNCTION("""COMPUTED_VALUE"""),5.0)</f>
        <v>5</v>
      </c>
      <c r="G585" s="4">
        <f>IFERROR(__xludf.DUMMYFUNCTION("""COMPUTED_VALUE"""),161.0)</f>
        <v>161</v>
      </c>
      <c r="H585" s="4">
        <f>IFERROR(__xludf.DUMMYFUNCTION("""COMPUTED_VALUE"""),2256.0)</f>
        <v>2256</v>
      </c>
      <c r="I585" s="4">
        <f>IFERROR(__xludf.DUMMYFUNCTION("""COMPUTED_VALUE"""),997.0)</f>
        <v>997</v>
      </c>
      <c r="J585" s="4">
        <f>IFERROR(__xludf.DUMMYFUNCTION("""COMPUTED_VALUE"""),244.0)</f>
        <v>244</v>
      </c>
      <c r="K585" s="4">
        <f>IFERROR(__xludf.DUMMYFUNCTION("""COMPUTED_VALUE"""),182.0)</f>
        <v>182</v>
      </c>
      <c r="L585" s="4">
        <f>IFERROR(__xludf.DUMMYFUNCTION("""COMPUTED_VALUE"""),0.47)</f>
        <v>0.47</v>
      </c>
      <c r="M585" s="4">
        <f>IFERROR(__xludf.DUMMYFUNCTION("""COMPUTED_VALUE"""),0.341)</f>
        <v>0.341</v>
      </c>
      <c r="N585" s="4">
        <f>IFERROR(__xludf.DUMMYFUNCTION("""COMPUTED_VALUE"""),0.811)</f>
        <v>0.811</v>
      </c>
      <c r="O585" s="4">
        <f>IFERROR(__xludf.DUMMYFUNCTION("""COMPUTED_VALUE"""),14.0)</f>
        <v>14</v>
      </c>
      <c r="P585" s="4">
        <f>IFERROR(__xludf.DUMMYFUNCTION("""COMPUTED_VALUE"""),6.2)</f>
        <v>6.2</v>
      </c>
      <c r="Q585" s="4">
        <f>IFERROR(__xludf.DUMMYFUNCTION("""COMPUTED_VALUE"""),1.5)</f>
        <v>1.5</v>
      </c>
      <c r="R585" s="4">
        <f>IFERROR(__xludf.DUMMYFUNCTION("""COMPUTED_VALUE"""),1.1)</f>
        <v>1.1</v>
      </c>
      <c r="S585" s="4">
        <f>IFERROR(__xludf.DUMMYFUNCTION("""COMPUTED_VALUE"""),3.2)</f>
        <v>3.2</v>
      </c>
      <c r="T585" s="4">
        <f>IFERROR(__xludf.DUMMYFUNCTION("""COMPUTED_VALUE"""),0.069)</f>
        <v>0.069</v>
      </c>
      <c r="U585" s="4">
        <f>IFERROR(__xludf.DUMMYFUNCTION("""COMPUTED_VALUE"""),-3.0)</f>
        <v>-3</v>
      </c>
      <c r="V585" s="4">
        <f>IFERROR(__xludf.DUMMYFUNCTION("""COMPUTED_VALUE"""),-0.6)</f>
        <v>-0.6</v>
      </c>
    </row>
    <row r="586">
      <c r="A586" s="4">
        <f>IFERROR(__xludf.DUMMYFUNCTION("""COMPUTED_VALUE"""),53.0)</f>
        <v>53</v>
      </c>
      <c r="B586" s="4">
        <f>IFERROR(__xludf.DUMMYFUNCTION("""COMPUTED_VALUE"""),53.0)</f>
        <v>53</v>
      </c>
      <c r="C586" s="4" t="str">
        <f>IFERROR(__xludf.DUMMYFUNCTION("""COMPUTED_VALUE"""),"BOS")</f>
        <v>BOS</v>
      </c>
      <c r="D586" s="4" t="str">
        <f>IFERROR(__xludf.DUMMYFUNCTION("""COMPUTED_VALUE"""),"Kadeem Allen")</f>
        <v>Kadeem Allen</v>
      </c>
      <c r="E586" s="4" t="str">
        <f>IFERROR(__xludf.DUMMYFUNCTION("""COMPUTED_VALUE"""),"Arizona")</f>
        <v>Arizona</v>
      </c>
      <c r="F586" s="4">
        <f>IFERROR(__xludf.DUMMYFUNCTION("""COMPUTED_VALUE"""),3.0)</f>
        <v>3</v>
      </c>
      <c r="G586" s="4">
        <f>IFERROR(__xludf.DUMMYFUNCTION("""COMPUTED_VALUE"""),47.0)</f>
        <v>47</v>
      </c>
      <c r="H586" s="4">
        <f>IFERROR(__xludf.DUMMYFUNCTION("""COMPUTED_VALUE"""),640.0)</f>
        <v>640</v>
      </c>
      <c r="I586" s="4">
        <f>IFERROR(__xludf.DUMMYFUNCTION("""COMPUTED_VALUE"""),258.0)</f>
        <v>258</v>
      </c>
      <c r="J586" s="4">
        <f>IFERROR(__xludf.DUMMYFUNCTION("""COMPUTED_VALUE"""),71.0)</f>
        <v>71</v>
      </c>
      <c r="K586" s="4">
        <f>IFERROR(__xludf.DUMMYFUNCTION("""COMPUTED_VALUE"""),109.0)</f>
        <v>109</v>
      </c>
      <c r="L586" s="4">
        <f>IFERROR(__xludf.DUMMYFUNCTION("""COMPUTED_VALUE"""),0.435)</f>
        <v>0.435</v>
      </c>
      <c r="M586" s="4">
        <f>IFERROR(__xludf.DUMMYFUNCTION("""COMPUTED_VALUE"""),0.349)</f>
        <v>0.349</v>
      </c>
      <c r="N586" s="4">
        <f>IFERROR(__xludf.DUMMYFUNCTION("""COMPUTED_VALUE"""),0.757)</f>
        <v>0.757</v>
      </c>
      <c r="O586" s="4">
        <f>IFERROR(__xludf.DUMMYFUNCTION("""COMPUTED_VALUE"""),13.6)</f>
        <v>13.6</v>
      </c>
      <c r="P586" s="4">
        <f>IFERROR(__xludf.DUMMYFUNCTION("""COMPUTED_VALUE"""),5.5)</f>
        <v>5.5</v>
      </c>
      <c r="Q586" s="4">
        <f>IFERROR(__xludf.DUMMYFUNCTION("""COMPUTED_VALUE"""),1.5)</f>
        <v>1.5</v>
      </c>
      <c r="R586" s="4">
        <f>IFERROR(__xludf.DUMMYFUNCTION("""COMPUTED_VALUE"""),2.3)</f>
        <v>2.3</v>
      </c>
      <c r="S586" s="4">
        <f>IFERROR(__xludf.DUMMYFUNCTION("""COMPUTED_VALUE"""),1.0)</f>
        <v>1</v>
      </c>
      <c r="T586" s="4">
        <f>IFERROR(__xludf.DUMMYFUNCTION("""COMPUTED_VALUE"""),0.075)</f>
        <v>0.075</v>
      </c>
      <c r="U586" s="4">
        <f>IFERROR(__xludf.DUMMYFUNCTION("""COMPUTED_VALUE"""),-1.2)</f>
        <v>-1.2</v>
      </c>
      <c r="V586" s="4">
        <f>IFERROR(__xludf.DUMMYFUNCTION("""COMPUTED_VALUE"""),0.1)</f>
        <v>0.1</v>
      </c>
    </row>
    <row r="587">
      <c r="A587" s="4">
        <f>IFERROR(__xludf.DUMMYFUNCTION("""COMPUTED_VALUE"""),54.0)</f>
        <v>54</v>
      </c>
      <c r="B587" s="4">
        <f>IFERROR(__xludf.DUMMYFUNCTION("""COMPUTED_VALUE"""),54.0)</f>
        <v>54</v>
      </c>
      <c r="C587" s="4" t="str">
        <f>IFERROR(__xludf.DUMMYFUNCTION("""COMPUTED_VALUE"""),"PHO")</f>
        <v>PHO</v>
      </c>
      <c r="D587" s="4" t="str">
        <f>IFERROR(__xludf.DUMMYFUNCTION("""COMPUTED_VALUE"""),"Alec Peters")</f>
        <v>Alec Peters</v>
      </c>
      <c r="E587" s="4" t="str">
        <f>IFERROR(__xludf.DUMMYFUNCTION("""COMPUTED_VALUE"""),"Valparaiso")</f>
        <v>Valparaiso</v>
      </c>
      <c r="F587" s="4">
        <f>IFERROR(__xludf.DUMMYFUNCTION("""COMPUTED_VALUE"""),1.0)</f>
        <v>1</v>
      </c>
      <c r="G587" s="4">
        <f>IFERROR(__xludf.DUMMYFUNCTION("""COMPUTED_VALUE"""),20.0)</f>
        <v>20</v>
      </c>
      <c r="H587" s="4">
        <f>IFERROR(__xludf.DUMMYFUNCTION("""COMPUTED_VALUE"""),225.0)</f>
        <v>225</v>
      </c>
      <c r="I587" s="4">
        <f>IFERROR(__xludf.DUMMYFUNCTION("""COMPUTED_VALUE"""),82.0)</f>
        <v>82</v>
      </c>
      <c r="J587" s="4">
        <f>IFERROR(__xludf.DUMMYFUNCTION("""COMPUTED_VALUE"""),37.0)</f>
        <v>37</v>
      </c>
      <c r="K587" s="4">
        <f>IFERROR(__xludf.DUMMYFUNCTION("""COMPUTED_VALUE"""),12.0)</f>
        <v>12</v>
      </c>
      <c r="L587" s="4">
        <f>IFERROR(__xludf.DUMMYFUNCTION("""COMPUTED_VALUE"""),0.378)</f>
        <v>0.378</v>
      </c>
      <c r="M587" s="4">
        <f>IFERROR(__xludf.DUMMYFUNCTION("""COMPUTED_VALUE"""),0.31)</f>
        <v>0.31</v>
      </c>
      <c r="N587" s="4">
        <f>IFERROR(__xludf.DUMMYFUNCTION("""COMPUTED_VALUE"""),0.8)</f>
        <v>0.8</v>
      </c>
      <c r="O587" s="4">
        <f>IFERROR(__xludf.DUMMYFUNCTION("""COMPUTED_VALUE"""),11.3)</f>
        <v>11.3</v>
      </c>
      <c r="P587" s="4">
        <f>IFERROR(__xludf.DUMMYFUNCTION("""COMPUTED_VALUE"""),4.1)</f>
        <v>4.1</v>
      </c>
      <c r="Q587" s="4">
        <f>IFERROR(__xludf.DUMMYFUNCTION("""COMPUTED_VALUE"""),1.9)</f>
        <v>1.9</v>
      </c>
      <c r="R587" s="4">
        <f>IFERROR(__xludf.DUMMYFUNCTION("""COMPUTED_VALUE"""),0.6)</f>
        <v>0.6</v>
      </c>
      <c r="S587" s="4">
        <f>IFERROR(__xludf.DUMMYFUNCTION("""COMPUTED_VALUE"""),0.3)</f>
        <v>0.3</v>
      </c>
      <c r="T587" s="4">
        <f>IFERROR(__xludf.DUMMYFUNCTION("""COMPUTED_VALUE"""),0.055)</f>
        <v>0.055</v>
      </c>
      <c r="U587" s="4">
        <f>IFERROR(__xludf.DUMMYFUNCTION("""COMPUTED_VALUE"""),-2.8)</f>
        <v>-2.8</v>
      </c>
      <c r="V587" s="4">
        <f>IFERROR(__xludf.DUMMYFUNCTION("""COMPUTED_VALUE"""),0.0)</f>
        <v>0</v>
      </c>
    </row>
    <row r="588">
      <c r="A588" s="4">
        <f>IFERROR(__xludf.DUMMYFUNCTION("""COMPUTED_VALUE"""),55.0)</f>
        <v>55</v>
      </c>
      <c r="B588" s="4">
        <f>IFERROR(__xludf.DUMMYFUNCTION("""COMPUTED_VALUE"""),55.0)</f>
        <v>55</v>
      </c>
      <c r="C588" s="4" t="str">
        <f>IFERROR(__xludf.DUMMYFUNCTION("""COMPUTED_VALUE"""),"UTA")</f>
        <v>UTA</v>
      </c>
      <c r="D588" s="4" t="str">
        <f>IFERROR(__xludf.DUMMYFUNCTION("""COMPUTED_VALUE"""),"Nigel Williams-Goss")</f>
        <v>Nigel Williams-Goss</v>
      </c>
      <c r="E588" s="4" t="str">
        <f>IFERROR(__xludf.DUMMYFUNCTION("""COMPUTED_VALUE"""),"Gonzaga")</f>
        <v>Gonzaga</v>
      </c>
      <c r="F588" s="4">
        <f>IFERROR(__xludf.DUMMYFUNCTION("""COMPUTED_VALUE"""),1.0)</f>
        <v>1</v>
      </c>
      <c r="G588" s="4">
        <f>IFERROR(__xludf.DUMMYFUNCTION("""COMPUTED_VALUE"""),10.0)</f>
        <v>10</v>
      </c>
      <c r="H588" s="4">
        <f>IFERROR(__xludf.DUMMYFUNCTION("""COMPUTED_VALUE"""),50.0)</f>
        <v>50</v>
      </c>
      <c r="I588" s="4">
        <f>IFERROR(__xludf.DUMMYFUNCTION("""COMPUTED_VALUE"""),14.0)</f>
        <v>14</v>
      </c>
      <c r="J588" s="4">
        <f>IFERROR(__xludf.DUMMYFUNCTION("""COMPUTED_VALUE"""),6.0)</f>
        <v>6</v>
      </c>
      <c r="K588" s="4">
        <f>IFERROR(__xludf.DUMMYFUNCTION("""COMPUTED_VALUE"""),6.0)</f>
        <v>6</v>
      </c>
      <c r="L588" s="4">
        <f>IFERROR(__xludf.DUMMYFUNCTION("""COMPUTED_VALUE"""),0.313)</f>
        <v>0.313</v>
      </c>
      <c r="M588" s="4">
        <f>IFERROR(__xludf.DUMMYFUNCTION("""COMPUTED_VALUE"""),0.286)</f>
        <v>0.286</v>
      </c>
      <c r="N588" s="4">
        <f>IFERROR(__xludf.DUMMYFUNCTION("""COMPUTED_VALUE"""),1.0)</f>
        <v>1</v>
      </c>
      <c r="O588" s="4">
        <f>IFERROR(__xludf.DUMMYFUNCTION("""COMPUTED_VALUE"""),5.0)</f>
        <v>5</v>
      </c>
      <c r="P588" s="4">
        <f>IFERROR(__xludf.DUMMYFUNCTION("""COMPUTED_VALUE"""),1.4)</f>
        <v>1.4</v>
      </c>
      <c r="Q588" s="4">
        <f>IFERROR(__xludf.DUMMYFUNCTION("""COMPUTED_VALUE"""),0.6)</f>
        <v>0.6</v>
      </c>
      <c r="R588" s="4">
        <f>IFERROR(__xludf.DUMMYFUNCTION("""COMPUTED_VALUE"""),0.6)</f>
        <v>0.6</v>
      </c>
      <c r="S588" s="4">
        <f>IFERROR(__xludf.DUMMYFUNCTION("""COMPUTED_VALUE"""),0.0)</f>
        <v>0</v>
      </c>
      <c r="T588" s="4">
        <f>IFERROR(__xludf.DUMMYFUNCTION("""COMPUTED_VALUE"""),0.017)</f>
        <v>0.017</v>
      </c>
      <c r="U588" s="4">
        <f>IFERROR(__xludf.DUMMYFUNCTION("""COMPUTED_VALUE"""),-3.9)</f>
        <v>-3.9</v>
      </c>
      <c r="V588" s="4">
        <f>IFERROR(__xludf.DUMMYFUNCTION("""COMPUTED_VALUE"""),0.0)</f>
        <v>0</v>
      </c>
    </row>
    <row r="589">
      <c r="A589" s="4">
        <f>IFERROR(__xludf.DUMMYFUNCTION("""COMPUTED_VALUE"""),56.0)</f>
        <v>56</v>
      </c>
      <c r="B589" s="4">
        <f>IFERROR(__xludf.DUMMYFUNCTION("""COMPUTED_VALUE"""),56.0)</f>
        <v>56</v>
      </c>
      <c r="C589" s="4" t="str">
        <f>IFERROR(__xludf.DUMMYFUNCTION("""COMPUTED_VALUE"""),"BOS")</f>
        <v>BOS</v>
      </c>
      <c r="D589" s="4" t="str">
        <f>IFERROR(__xludf.DUMMYFUNCTION("""COMPUTED_VALUE"""),"Jabari Bird")</f>
        <v>Jabari Bird</v>
      </c>
      <c r="E589" s="4" t="str">
        <f>IFERROR(__xludf.DUMMYFUNCTION("""COMPUTED_VALUE"""),"California")</f>
        <v>California</v>
      </c>
      <c r="F589" s="4">
        <f>IFERROR(__xludf.DUMMYFUNCTION("""COMPUTED_VALUE"""),1.0)</f>
        <v>1</v>
      </c>
      <c r="G589" s="4">
        <f>IFERROR(__xludf.DUMMYFUNCTION("""COMPUTED_VALUE"""),13.0)</f>
        <v>13</v>
      </c>
      <c r="H589" s="4">
        <f>IFERROR(__xludf.DUMMYFUNCTION("""COMPUTED_VALUE"""),115.0)</f>
        <v>115</v>
      </c>
      <c r="I589" s="4">
        <f>IFERROR(__xludf.DUMMYFUNCTION("""COMPUTED_VALUE"""),39.0)</f>
        <v>39</v>
      </c>
      <c r="J589" s="4">
        <f>IFERROR(__xludf.DUMMYFUNCTION("""COMPUTED_VALUE"""),19.0)</f>
        <v>19</v>
      </c>
      <c r="K589" s="4">
        <f>IFERROR(__xludf.DUMMYFUNCTION("""COMPUTED_VALUE"""),8.0)</f>
        <v>8</v>
      </c>
      <c r="L589" s="4">
        <f>IFERROR(__xludf.DUMMYFUNCTION("""COMPUTED_VALUE"""),0.577)</f>
        <v>0.577</v>
      </c>
      <c r="M589" s="4">
        <f>IFERROR(__xludf.DUMMYFUNCTION("""COMPUTED_VALUE"""),0.429)</f>
        <v>0.429</v>
      </c>
      <c r="N589" s="4">
        <f>IFERROR(__xludf.DUMMYFUNCTION("""COMPUTED_VALUE"""),0.462)</f>
        <v>0.462</v>
      </c>
      <c r="O589" s="4">
        <f>IFERROR(__xludf.DUMMYFUNCTION("""COMPUTED_VALUE"""),8.8)</f>
        <v>8.8</v>
      </c>
      <c r="P589" s="4">
        <f>IFERROR(__xludf.DUMMYFUNCTION("""COMPUTED_VALUE"""),3.0)</f>
        <v>3</v>
      </c>
      <c r="Q589" s="4">
        <f>IFERROR(__xludf.DUMMYFUNCTION("""COMPUTED_VALUE"""),1.5)</f>
        <v>1.5</v>
      </c>
      <c r="R589" s="4">
        <f>IFERROR(__xludf.DUMMYFUNCTION("""COMPUTED_VALUE"""),0.6)</f>
        <v>0.6</v>
      </c>
      <c r="S589" s="4">
        <f>IFERROR(__xludf.DUMMYFUNCTION("""COMPUTED_VALUE"""),0.2)</f>
        <v>0.2</v>
      </c>
      <c r="T589" s="4">
        <f>IFERROR(__xludf.DUMMYFUNCTION("""COMPUTED_VALUE"""),0.098)</f>
        <v>0.098</v>
      </c>
      <c r="U589" s="4">
        <f>IFERROR(__xludf.DUMMYFUNCTION("""COMPUTED_VALUE"""),-3.1)</f>
        <v>-3.1</v>
      </c>
      <c r="V589" s="4">
        <f>IFERROR(__xludf.DUMMYFUNCTION("""COMPUTED_VALUE"""),0.0)</f>
        <v>0</v>
      </c>
    </row>
    <row r="590">
      <c r="A590" s="4">
        <f>IFERROR(__xludf.DUMMYFUNCTION("""COMPUTED_VALUE"""),57.0)</f>
        <v>57</v>
      </c>
      <c r="B590" s="4">
        <f>IFERROR(__xludf.DUMMYFUNCTION("""COMPUTED_VALUE"""),57.0)</f>
        <v>57</v>
      </c>
      <c r="C590" s="4" t="str">
        <f>IFERROR(__xludf.DUMMYFUNCTION("""COMPUTED_VALUE"""),"BRK")</f>
        <v>BRK</v>
      </c>
      <c r="D590" s="4" t="str">
        <f>IFERROR(__xludf.DUMMYFUNCTION("""COMPUTED_VALUE"""),"Sasha Vezenkov")</f>
        <v>Sasha Vezenkov</v>
      </c>
      <c r="E590" s="4"/>
      <c r="F590" s="4">
        <f>IFERROR(__xludf.DUMMYFUNCTION("""COMPUTED_VALUE"""),1.0)</f>
        <v>1</v>
      </c>
      <c r="G590" s="4">
        <f>IFERROR(__xludf.DUMMYFUNCTION("""COMPUTED_VALUE"""),42.0)</f>
        <v>42</v>
      </c>
      <c r="H590" s="4">
        <f>IFERROR(__xludf.DUMMYFUNCTION("""COMPUTED_VALUE"""),511.0)</f>
        <v>511</v>
      </c>
      <c r="I590" s="4">
        <f>IFERROR(__xludf.DUMMYFUNCTION("""COMPUTED_VALUE"""),225.0)</f>
        <v>225</v>
      </c>
      <c r="J590" s="4">
        <f>IFERROR(__xludf.DUMMYFUNCTION("""COMPUTED_VALUE"""),96.0)</f>
        <v>96</v>
      </c>
      <c r="K590" s="4">
        <f>IFERROR(__xludf.DUMMYFUNCTION("""COMPUTED_VALUE"""),19.0)</f>
        <v>19</v>
      </c>
      <c r="L590" s="4">
        <f>IFERROR(__xludf.DUMMYFUNCTION("""COMPUTED_VALUE"""),0.44)</f>
        <v>0.44</v>
      </c>
      <c r="M590" s="4">
        <f>IFERROR(__xludf.DUMMYFUNCTION("""COMPUTED_VALUE"""),0.375)</f>
        <v>0.375</v>
      </c>
      <c r="N590" s="4">
        <f>IFERROR(__xludf.DUMMYFUNCTION("""COMPUTED_VALUE"""),0.8)</f>
        <v>0.8</v>
      </c>
      <c r="O590" s="4">
        <f>IFERROR(__xludf.DUMMYFUNCTION("""COMPUTED_VALUE"""),12.2)</f>
        <v>12.2</v>
      </c>
      <c r="P590" s="4">
        <f>IFERROR(__xludf.DUMMYFUNCTION("""COMPUTED_VALUE"""),5.4)</f>
        <v>5.4</v>
      </c>
      <c r="Q590" s="4">
        <f>IFERROR(__xludf.DUMMYFUNCTION("""COMPUTED_VALUE"""),2.3)</f>
        <v>2.3</v>
      </c>
      <c r="R590" s="4">
        <f>IFERROR(__xludf.DUMMYFUNCTION("""COMPUTED_VALUE"""),0.5)</f>
        <v>0.5</v>
      </c>
      <c r="S590" s="4">
        <f>IFERROR(__xludf.DUMMYFUNCTION("""COMPUTED_VALUE"""),1.0)</f>
        <v>1</v>
      </c>
      <c r="T590" s="4">
        <f>IFERROR(__xludf.DUMMYFUNCTION("""COMPUTED_VALUE"""),0.098)</f>
        <v>0.098</v>
      </c>
      <c r="U590" s="4">
        <f>IFERROR(__xludf.DUMMYFUNCTION("""COMPUTED_VALUE"""),-0.9)</f>
        <v>-0.9</v>
      </c>
      <c r="V590" s="4">
        <f>IFERROR(__xludf.DUMMYFUNCTION("""COMPUTED_VALUE"""),0.1)</f>
        <v>0.1</v>
      </c>
    </row>
    <row r="591">
      <c r="A591" s="4">
        <f>IFERROR(__xludf.DUMMYFUNCTION("""COMPUTED_VALUE"""),58.0)</f>
        <v>58</v>
      </c>
      <c r="B591" s="4">
        <f>IFERROR(__xludf.DUMMYFUNCTION("""COMPUTED_VALUE"""),58.0)</f>
        <v>58</v>
      </c>
      <c r="C591" s="4" t="str">
        <f>IFERROR(__xludf.DUMMYFUNCTION("""COMPUTED_VALUE"""),"NYK")</f>
        <v>NYK</v>
      </c>
      <c r="D591" s="4" t="str">
        <f>IFERROR(__xludf.DUMMYFUNCTION("""COMPUTED_VALUE"""),"Ognjen Jaramaz")</f>
        <v>Ognjen Jaramaz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>
        <f>IFERROR(__xludf.DUMMYFUNCTION("""COMPUTED_VALUE"""),59.0)</f>
        <v>59</v>
      </c>
      <c r="B592" s="4">
        <f>IFERROR(__xludf.DUMMYFUNCTION("""COMPUTED_VALUE"""),59.0)</f>
        <v>59</v>
      </c>
      <c r="C592" s="4" t="str">
        <f>IFERROR(__xludf.DUMMYFUNCTION("""COMPUTED_VALUE"""),"SAS")</f>
        <v>SAS</v>
      </c>
      <c r="D592" s="4" t="str">
        <f>IFERROR(__xludf.DUMMYFUNCTION("""COMPUTED_VALUE"""),"Jaron Blossomgame")</f>
        <v>Jaron Blossomgame</v>
      </c>
      <c r="E592" s="4" t="str">
        <f>IFERROR(__xludf.DUMMYFUNCTION("""COMPUTED_VALUE"""),"Clemson")</f>
        <v>Clemson</v>
      </c>
      <c r="F592" s="4">
        <f>IFERROR(__xludf.DUMMYFUNCTION("""COMPUTED_VALUE"""),1.0)</f>
        <v>1</v>
      </c>
      <c r="G592" s="4">
        <f>IFERROR(__xludf.DUMMYFUNCTION("""COMPUTED_VALUE"""),27.0)</f>
        <v>27</v>
      </c>
      <c r="H592" s="4">
        <f>IFERROR(__xludf.DUMMYFUNCTION("""COMPUTED_VALUE"""),439.0)</f>
        <v>439</v>
      </c>
      <c r="I592" s="4">
        <f>IFERROR(__xludf.DUMMYFUNCTION("""COMPUTED_VALUE"""),114.0)</f>
        <v>114</v>
      </c>
      <c r="J592" s="4">
        <f>IFERROR(__xludf.DUMMYFUNCTION("""COMPUTED_VALUE"""),98.0)</f>
        <v>98</v>
      </c>
      <c r="K592" s="4">
        <f>IFERROR(__xludf.DUMMYFUNCTION("""COMPUTED_VALUE"""),13.0)</f>
        <v>13</v>
      </c>
      <c r="L592" s="4">
        <f>IFERROR(__xludf.DUMMYFUNCTION("""COMPUTED_VALUE"""),0.443)</f>
        <v>0.443</v>
      </c>
      <c r="M592" s="4">
        <f>IFERROR(__xludf.DUMMYFUNCTION("""COMPUTED_VALUE"""),0.256)</f>
        <v>0.256</v>
      </c>
      <c r="N592" s="4">
        <f>IFERROR(__xludf.DUMMYFUNCTION("""COMPUTED_VALUE"""),0.769)</f>
        <v>0.769</v>
      </c>
      <c r="O592" s="4">
        <f>IFERROR(__xludf.DUMMYFUNCTION("""COMPUTED_VALUE"""),16.3)</f>
        <v>16.3</v>
      </c>
      <c r="P592" s="4">
        <f>IFERROR(__xludf.DUMMYFUNCTION("""COMPUTED_VALUE"""),4.2)</f>
        <v>4.2</v>
      </c>
      <c r="Q592" s="4">
        <f>IFERROR(__xludf.DUMMYFUNCTION("""COMPUTED_VALUE"""),3.6)</f>
        <v>3.6</v>
      </c>
      <c r="R592" s="4">
        <f>IFERROR(__xludf.DUMMYFUNCTION("""COMPUTED_VALUE"""),0.5)</f>
        <v>0.5</v>
      </c>
      <c r="S592" s="4">
        <f>IFERROR(__xludf.DUMMYFUNCTION("""COMPUTED_VALUE"""),0.3)</f>
        <v>0.3</v>
      </c>
      <c r="T592" s="4">
        <f>IFERROR(__xludf.DUMMYFUNCTION("""COMPUTED_VALUE"""),0.03)</f>
        <v>0.03</v>
      </c>
      <c r="U592" s="4">
        <f>IFERROR(__xludf.DUMMYFUNCTION("""COMPUTED_VALUE"""),-3.8)</f>
        <v>-3.8</v>
      </c>
      <c r="V592" s="4">
        <f>IFERROR(__xludf.DUMMYFUNCTION("""COMPUTED_VALUE"""),-0.2)</f>
        <v>-0.2</v>
      </c>
    </row>
    <row r="593">
      <c r="A593" s="4">
        <f>IFERROR(__xludf.DUMMYFUNCTION("""COMPUTED_VALUE"""),60.0)</f>
        <v>60</v>
      </c>
      <c r="B593" s="4">
        <f>IFERROR(__xludf.DUMMYFUNCTION("""COMPUTED_VALUE"""),60.0)</f>
        <v>60</v>
      </c>
      <c r="C593" s="4" t="str">
        <f>IFERROR(__xludf.DUMMYFUNCTION("""COMPUTED_VALUE"""),"ATL")</f>
        <v>ATL</v>
      </c>
      <c r="D593" s="4" t="str">
        <f>IFERROR(__xludf.DUMMYFUNCTION("""COMPUTED_VALUE"""),"Alpha Kaba")</f>
        <v>Alpha Kaba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5">
      <c r="A595" s="2">
        <v>2016.0</v>
      </c>
    </row>
    <row r="596">
      <c r="A596" s="4" t="str">
        <f>IFERROR(__xludf.DUMMYFUNCTION("IMPORTHTML(""https://www.basketball-reference.com/draft/NBA_2016.html"", ""table"", 1)"),"")</f>
        <v/>
      </c>
      <c r="B596" s="4"/>
      <c r="C596" s="4"/>
      <c r="D596" s="4" t="str">
        <f>IFERROR(__xludf.DUMMYFUNCTION("""COMPUTED_VALUE"""),"Round 1")</f>
        <v>Round 1</v>
      </c>
      <c r="E596" s="4"/>
      <c r="F596" s="4"/>
      <c r="G596" s="4" t="str">
        <f>IFERROR(__xludf.DUMMYFUNCTION("""COMPUTED_VALUE"""),"Totals")</f>
        <v>Totals</v>
      </c>
      <c r="H596" s="4"/>
      <c r="I596" s="4"/>
      <c r="J596" s="4"/>
      <c r="K596" s="4"/>
      <c r="L596" s="4" t="str">
        <f>IFERROR(__xludf.DUMMYFUNCTION("""COMPUTED_VALUE"""),"Shooting")</f>
        <v>Shooting</v>
      </c>
      <c r="M596" s="4"/>
      <c r="N596" s="4"/>
      <c r="O596" s="4" t="str">
        <f>IFERROR(__xludf.DUMMYFUNCTION("""COMPUTED_VALUE"""),"Per Game")</f>
        <v>Per Game</v>
      </c>
      <c r="P596" s="4"/>
      <c r="Q596" s="4"/>
      <c r="R596" s="4"/>
      <c r="S596" s="4" t="str">
        <f>IFERROR(__xludf.DUMMYFUNCTION("""COMPUTED_VALUE"""),"Advanced")</f>
        <v>Advanced</v>
      </c>
      <c r="T596" s="4"/>
      <c r="U596" s="4"/>
      <c r="V596" s="4"/>
    </row>
    <row r="597">
      <c r="A597" s="4" t="str">
        <f>IFERROR(__xludf.DUMMYFUNCTION("""COMPUTED_VALUE"""),"Rk")</f>
        <v>Rk</v>
      </c>
      <c r="B597" s="4" t="str">
        <f>IFERROR(__xludf.DUMMYFUNCTION("""COMPUTED_VALUE"""),"Pk")</f>
        <v>Pk</v>
      </c>
      <c r="C597" s="4" t="str">
        <f>IFERROR(__xludf.DUMMYFUNCTION("""COMPUTED_VALUE"""),"Tm")</f>
        <v>Tm</v>
      </c>
      <c r="D597" s="4" t="str">
        <f>IFERROR(__xludf.DUMMYFUNCTION("""COMPUTED_VALUE"""),"Player")</f>
        <v>Player</v>
      </c>
      <c r="E597" s="4" t="str">
        <f>IFERROR(__xludf.DUMMYFUNCTION("""COMPUTED_VALUE"""),"College")</f>
        <v>College</v>
      </c>
      <c r="F597" s="4" t="str">
        <f>IFERROR(__xludf.DUMMYFUNCTION("""COMPUTED_VALUE"""),"Yrs")</f>
        <v>Yrs</v>
      </c>
      <c r="G597" s="4" t="str">
        <f>IFERROR(__xludf.DUMMYFUNCTION("""COMPUTED_VALUE"""),"G")</f>
        <v>G</v>
      </c>
      <c r="H597" s="4" t="str">
        <f>IFERROR(__xludf.DUMMYFUNCTION("""COMPUTED_VALUE"""),"MP")</f>
        <v>MP</v>
      </c>
      <c r="I597" s="4" t="str">
        <f>IFERROR(__xludf.DUMMYFUNCTION("""COMPUTED_VALUE"""),"PTS")</f>
        <v>PTS</v>
      </c>
      <c r="J597" s="4" t="str">
        <f>IFERROR(__xludf.DUMMYFUNCTION("""COMPUTED_VALUE"""),"TRB")</f>
        <v>TRB</v>
      </c>
      <c r="K597" s="4" t="str">
        <f>IFERROR(__xludf.DUMMYFUNCTION("""COMPUTED_VALUE"""),"AST")</f>
        <v>AST</v>
      </c>
      <c r="L597" s="4" t="str">
        <f>IFERROR(__xludf.DUMMYFUNCTION("""COMPUTED_VALUE"""),"FG%")</f>
        <v>FG%</v>
      </c>
      <c r="M597" s="4" t="str">
        <f>IFERROR(__xludf.DUMMYFUNCTION("""COMPUTED_VALUE"""),"3P%")</f>
        <v>3P%</v>
      </c>
      <c r="N597" s="4" t="str">
        <f>IFERROR(__xludf.DUMMYFUNCTION("""COMPUTED_VALUE"""),"FT%")</f>
        <v>FT%</v>
      </c>
      <c r="O597" s="4" t="str">
        <f>IFERROR(__xludf.DUMMYFUNCTION("""COMPUTED_VALUE"""),"MP")</f>
        <v>MP</v>
      </c>
      <c r="P597" s="4" t="str">
        <f>IFERROR(__xludf.DUMMYFUNCTION("""COMPUTED_VALUE"""),"PTS")</f>
        <v>PTS</v>
      </c>
      <c r="Q597" s="4" t="str">
        <f>IFERROR(__xludf.DUMMYFUNCTION("""COMPUTED_VALUE"""),"TRB")</f>
        <v>TRB</v>
      </c>
      <c r="R597" s="4" t="str">
        <f>IFERROR(__xludf.DUMMYFUNCTION("""COMPUTED_VALUE"""),"AST")</f>
        <v>AST</v>
      </c>
      <c r="S597" s="4" t="str">
        <f>IFERROR(__xludf.DUMMYFUNCTION("""COMPUTED_VALUE"""),"WS")</f>
        <v>WS</v>
      </c>
      <c r="T597" s="4" t="str">
        <f>IFERROR(__xludf.DUMMYFUNCTION("""COMPUTED_VALUE"""),"WS/48")</f>
        <v>WS/48</v>
      </c>
      <c r="U597" s="4" t="str">
        <f>IFERROR(__xludf.DUMMYFUNCTION("""COMPUTED_VALUE"""),"BPM")</f>
        <v>BPM</v>
      </c>
      <c r="V597" s="4" t="str">
        <f>IFERROR(__xludf.DUMMYFUNCTION("""COMPUTED_VALUE"""),"VORP")</f>
        <v>VORP</v>
      </c>
    </row>
    <row r="598">
      <c r="A598" s="4">
        <f>IFERROR(__xludf.DUMMYFUNCTION("""COMPUTED_VALUE"""),1.0)</f>
        <v>1</v>
      </c>
      <c r="B598" s="4">
        <f>IFERROR(__xludf.DUMMYFUNCTION("""COMPUTED_VALUE"""),1.0)</f>
        <v>1</v>
      </c>
      <c r="C598" s="4" t="str">
        <f>IFERROR(__xludf.DUMMYFUNCTION("""COMPUTED_VALUE"""),"PHI")</f>
        <v>PHI</v>
      </c>
      <c r="D598" s="4" t="str">
        <f>IFERROR(__xludf.DUMMYFUNCTION("""COMPUTED_VALUE"""),"Ben Simmons")</f>
        <v>Ben Simmons</v>
      </c>
      <c r="E598" s="4" t="str">
        <f>IFERROR(__xludf.DUMMYFUNCTION("""COMPUTED_VALUE"""),"LSU")</f>
        <v>LSU</v>
      </c>
      <c r="F598" s="4">
        <f>IFERROR(__xludf.DUMMYFUNCTION("""COMPUTED_VALUE"""),7.0)</f>
        <v>7</v>
      </c>
      <c r="G598" s="4">
        <f>IFERROR(__xludf.DUMMYFUNCTION("""COMPUTED_VALUE"""),383.0)</f>
        <v>383</v>
      </c>
      <c r="H598" s="4">
        <f>IFERROR(__xludf.DUMMYFUNCTION("""COMPUTED_VALUE"""),11910.0)</f>
        <v>11910</v>
      </c>
      <c r="I598" s="4">
        <f>IFERROR(__xludf.DUMMYFUNCTION("""COMPUTED_VALUE"""),5021.0)</f>
        <v>5021</v>
      </c>
      <c r="J598" s="4">
        <f>IFERROR(__xludf.DUMMYFUNCTION("""COMPUTED_VALUE"""),2840.0)</f>
        <v>2840</v>
      </c>
      <c r="K598" s="4">
        <f>IFERROR(__xludf.DUMMYFUNCTION("""COMPUTED_VALUE"""),2754.0)</f>
        <v>2754</v>
      </c>
      <c r="L598" s="4">
        <f>IFERROR(__xludf.DUMMYFUNCTION("""COMPUTED_VALUE"""),0.558)</f>
        <v>0.558</v>
      </c>
      <c r="M598" s="4">
        <f>IFERROR(__xludf.DUMMYFUNCTION("""COMPUTED_VALUE"""),0.139)</f>
        <v>0.139</v>
      </c>
      <c r="N598" s="4">
        <f>IFERROR(__xludf.DUMMYFUNCTION("""COMPUTED_VALUE"""),0.592)</f>
        <v>0.592</v>
      </c>
      <c r="O598" s="4">
        <f>IFERROR(__xludf.DUMMYFUNCTION("""COMPUTED_VALUE"""),31.1)</f>
        <v>31.1</v>
      </c>
      <c r="P598" s="4">
        <f>IFERROR(__xludf.DUMMYFUNCTION("""COMPUTED_VALUE"""),13.1)</f>
        <v>13.1</v>
      </c>
      <c r="Q598" s="4">
        <f>IFERROR(__xludf.DUMMYFUNCTION("""COMPUTED_VALUE"""),7.4)</f>
        <v>7.4</v>
      </c>
      <c r="R598" s="4">
        <f>IFERROR(__xludf.DUMMYFUNCTION("""COMPUTED_VALUE"""),7.2)</f>
        <v>7.2</v>
      </c>
      <c r="S598" s="4">
        <f>IFERROR(__xludf.DUMMYFUNCTION("""COMPUTED_VALUE"""),35.4)</f>
        <v>35.4</v>
      </c>
      <c r="T598" s="4">
        <f>IFERROR(__xludf.DUMMYFUNCTION("""COMPUTED_VALUE"""),0.143)</f>
        <v>0.143</v>
      </c>
      <c r="U598" s="4">
        <f>IFERROR(__xludf.DUMMYFUNCTION("""COMPUTED_VALUE"""),3.0)</f>
        <v>3</v>
      </c>
      <c r="V598" s="4">
        <f>IFERROR(__xludf.DUMMYFUNCTION("""COMPUTED_VALUE"""),15.0)</f>
        <v>15</v>
      </c>
    </row>
    <row r="599">
      <c r="A599" s="4">
        <f>IFERROR(__xludf.DUMMYFUNCTION("""COMPUTED_VALUE"""),2.0)</f>
        <v>2</v>
      </c>
      <c r="B599" s="4">
        <f>IFERROR(__xludf.DUMMYFUNCTION("""COMPUTED_VALUE"""),2.0)</f>
        <v>2</v>
      </c>
      <c r="C599" s="4" t="str">
        <f>IFERROR(__xludf.DUMMYFUNCTION("""COMPUTED_VALUE"""),"LAL")</f>
        <v>LAL</v>
      </c>
      <c r="D599" s="4" t="str">
        <f>IFERROR(__xludf.DUMMYFUNCTION("""COMPUTED_VALUE"""),"Brandon Ingram")</f>
        <v>Brandon Ingram</v>
      </c>
      <c r="E599" s="4" t="str">
        <f>IFERROR(__xludf.DUMMYFUNCTION("""COMPUTED_VALUE"""),"Duke")</f>
        <v>Duke</v>
      </c>
      <c r="F599" s="4">
        <f>IFERROR(__xludf.DUMMYFUNCTION("""COMPUTED_VALUE"""),10.0)</f>
        <v>10</v>
      </c>
      <c r="G599" s="4">
        <f>IFERROR(__xludf.DUMMYFUNCTION("""COMPUTED_VALUE"""),517.0)</f>
        <v>517</v>
      </c>
      <c r="H599" s="4">
        <f>IFERROR(__xludf.DUMMYFUNCTION("""COMPUTED_VALUE"""),17063.0)</f>
        <v>17063</v>
      </c>
      <c r="I599" s="4">
        <f>IFERROR(__xludf.DUMMYFUNCTION("""COMPUTED_VALUE"""),10128.0)</f>
        <v>10128</v>
      </c>
      <c r="J599" s="4">
        <f>IFERROR(__xludf.DUMMYFUNCTION("""COMPUTED_VALUE"""),2692.0)</f>
        <v>2692</v>
      </c>
      <c r="K599" s="4">
        <f>IFERROR(__xludf.DUMMYFUNCTION("""COMPUTED_VALUE"""),2211.0)</f>
        <v>2211</v>
      </c>
      <c r="L599" s="4">
        <f>IFERROR(__xludf.DUMMYFUNCTION("""COMPUTED_VALUE"""),0.468)</f>
        <v>0.468</v>
      </c>
      <c r="M599" s="4">
        <f>IFERROR(__xludf.DUMMYFUNCTION("""COMPUTED_VALUE"""),0.361)</f>
        <v>0.361</v>
      </c>
      <c r="N599" s="4">
        <f>IFERROR(__xludf.DUMMYFUNCTION("""COMPUTED_VALUE"""),0.789)</f>
        <v>0.789</v>
      </c>
      <c r="O599" s="4">
        <f>IFERROR(__xludf.DUMMYFUNCTION("""COMPUTED_VALUE"""),33.0)</f>
        <v>33</v>
      </c>
      <c r="P599" s="4">
        <f>IFERROR(__xludf.DUMMYFUNCTION("""COMPUTED_VALUE"""),19.6)</f>
        <v>19.6</v>
      </c>
      <c r="Q599" s="4">
        <f>IFERROR(__xludf.DUMMYFUNCTION("""COMPUTED_VALUE"""),5.2)</f>
        <v>5.2</v>
      </c>
      <c r="R599" s="4">
        <f>IFERROR(__xludf.DUMMYFUNCTION("""COMPUTED_VALUE"""),4.3)</f>
        <v>4.3</v>
      </c>
      <c r="S599" s="4">
        <f>IFERROR(__xludf.DUMMYFUNCTION("""COMPUTED_VALUE"""),28.2)</f>
        <v>28.2</v>
      </c>
      <c r="T599" s="4">
        <f>IFERROR(__xludf.DUMMYFUNCTION("""COMPUTED_VALUE"""),0.079)</f>
        <v>0.079</v>
      </c>
      <c r="U599" s="4">
        <f>IFERROR(__xludf.DUMMYFUNCTION("""COMPUTED_VALUE"""),0.0)</f>
        <v>0</v>
      </c>
      <c r="V599" s="4">
        <f>IFERROR(__xludf.DUMMYFUNCTION("""COMPUTED_VALUE"""),8.8)</f>
        <v>8.8</v>
      </c>
    </row>
    <row r="600">
      <c r="A600" s="4">
        <f>IFERROR(__xludf.DUMMYFUNCTION("""COMPUTED_VALUE"""),3.0)</f>
        <v>3</v>
      </c>
      <c r="B600" s="4">
        <f>IFERROR(__xludf.DUMMYFUNCTION("""COMPUTED_VALUE"""),3.0)</f>
        <v>3</v>
      </c>
      <c r="C600" s="4" t="str">
        <f>IFERROR(__xludf.DUMMYFUNCTION("""COMPUTED_VALUE"""),"BOS")</f>
        <v>BOS</v>
      </c>
      <c r="D600" s="4" t="str">
        <f>IFERROR(__xludf.DUMMYFUNCTION("""COMPUTED_VALUE"""),"Jaylen Brown")</f>
        <v>Jaylen Brown</v>
      </c>
      <c r="E600" s="4" t="str">
        <f>IFERROR(__xludf.DUMMYFUNCTION("""COMPUTED_VALUE"""),"California")</f>
        <v>California</v>
      </c>
      <c r="F600" s="4">
        <f>IFERROR(__xludf.DUMMYFUNCTION("""COMPUTED_VALUE"""),10.0)</f>
        <v>10</v>
      </c>
      <c r="G600" s="4">
        <f>IFERROR(__xludf.DUMMYFUNCTION("""COMPUTED_VALUE"""),624.0)</f>
        <v>624</v>
      </c>
      <c r="H600" s="4">
        <f>IFERROR(__xludf.DUMMYFUNCTION("""COMPUTED_VALUE"""),19167.0)</f>
        <v>19167</v>
      </c>
      <c r="I600" s="4">
        <f>IFERROR(__xludf.DUMMYFUNCTION("""COMPUTED_VALUE"""),12045.0)</f>
        <v>12045</v>
      </c>
      <c r="J600" s="4">
        <f>IFERROR(__xludf.DUMMYFUNCTION("""COMPUTED_VALUE"""),3335.0)</f>
        <v>3335</v>
      </c>
      <c r="K600" s="4">
        <f>IFERROR(__xludf.DUMMYFUNCTION("""COMPUTED_VALUE"""),1689.0)</f>
        <v>1689</v>
      </c>
      <c r="L600" s="4">
        <f>IFERROR(__xludf.DUMMYFUNCTION("""COMPUTED_VALUE"""),0.479)</f>
        <v>0.479</v>
      </c>
      <c r="M600" s="4">
        <f>IFERROR(__xludf.DUMMYFUNCTION("""COMPUTED_VALUE"""),0.359)</f>
        <v>0.359</v>
      </c>
      <c r="N600" s="4">
        <f>IFERROR(__xludf.DUMMYFUNCTION("""COMPUTED_VALUE"""),0.729)</f>
        <v>0.729</v>
      </c>
      <c r="O600" s="4">
        <f>IFERROR(__xludf.DUMMYFUNCTION("""COMPUTED_VALUE"""),30.7)</f>
        <v>30.7</v>
      </c>
      <c r="P600" s="4">
        <f>IFERROR(__xludf.DUMMYFUNCTION("""COMPUTED_VALUE"""),19.3)</f>
        <v>19.3</v>
      </c>
      <c r="Q600" s="4">
        <f>IFERROR(__xludf.DUMMYFUNCTION("""COMPUTED_VALUE"""),5.3)</f>
        <v>5.3</v>
      </c>
      <c r="R600" s="4">
        <f>IFERROR(__xludf.DUMMYFUNCTION("""COMPUTED_VALUE"""),2.7)</f>
        <v>2.7</v>
      </c>
      <c r="S600" s="4">
        <f>IFERROR(__xludf.DUMMYFUNCTION("""COMPUTED_VALUE"""),42.5)</f>
        <v>42.5</v>
      </c>
      <c r="T600" s="4">
        <f>IFERROR(__xludf.DUMMYFUNCTION("""COMPUTED_VALUE"""),0.106)</f>
        <v>0.106</v>
      </c>
      <c r="U600" s="4">
        <f>IFERROR(__xludf.DUMMYFUNCTION("""COMPUTED_VALUE"""),0.4)</f>
        <v>0.4</v>
      </c>
      <c r="V600" s="4">
        <f>IFERROR(__xludf.DUMMYFUNCTION("""COMPUTED_VALUE"""),11.7)</f>
        <v>11.7</v>
      </c>
    </row>
    <row r="601">
      <c r="A601" s="4">
        <f>IFERROR(__xludf.DUMMYFUNCTION("""COMPUTED_VALUE"""),4.0)</f>
        <v>4</v>
      </c>
      <c r="B601" s="4">
        <f>IFERROR(__xludf.DUMMYFUNCTION("""COMPUTED_VALUE"""),4.0)</f>
        <v>4</v>
      </c>
      <c r="C601" s="4" t="str">
        <f>IFERROR(__xludf.DUMMYFUNCTION("""COMPUTED_VALUE"""),"PHO")</f>
        <v>PHO</v>
      </c>
      <c r="D601" s="4" t="str">
        <f>IFERROR(__xludf.DUMMYFUNCTION("""COMPUTED_VALUE"""),"Dragan Bender")</f>
        <v>Dragan Bender</v>
      </c>
      <c r="E601" s="4"/>
      <c r="F601" s="4">
        <f>IFERROR(__xludf.DUMMYFUNCTION("""COMPUTED_VALUE"""),4.0)</f>
        <v>4</v>
      </c>
      <c r="G601" s="4">
        <f>IFERROR(__xludf.DUMMYFUNCTION("""COMPUTED_VALUE"""),187.0)</f>
        <v>187</v>
      </c>
      <c r="H601" s="4">
        <f>IFERROR(__xludf.DUMMYFUNCTION("""COMPUTED_VALUE"""),3755.0)</f>
        <v>3755</v>
      </c>
      <c r="I601" s="4">
        <f>IFERROR(__xludf.DUMMYFUNCTION("""COMPUTED_VALUE"""),1014.0)</f>
        <v>1014</v>
      </c>
      <c r="J601" s="4">
        <f>IFERROR(__xludf.DUMMYFUNCTION("""COMPUTED_VALUE"""),720.0)</f>
        <v>720</v>
      </c>
      <c r="K601" s="4">
        <f>IFERROR(__xludf.DUMMYFUNCTION("""COMPUTED_VALUE"""),237.0)</f>
        <v>237</v>
      </c>
      <c r="L601" s="4">
        <f>IFERROR(__xludf.DUMMYFUNCTION("""COMPUTED_VALUE"""),0.399)</f>
        <v>0.399</v>
      </c>
      <c r="M601" s="4">
        <f>IFERROR(__xludf.DUMMYFUNCTION("""COMPUTED_VALUE"""),0.323)</f>
        <v>0.323</v>
      </c>
      <c r="N601" s="4">
        <f>IFERROR(__xludf.DUMMYFUNCTION("""COMPUTED_VALUE"""),0.654)</f>
        <v>0.654</v>
      </c>
      <c r="O601" s="4">
        <f>IFERROR(__xludf.DUMMYFUNCTION("""COMPUTED_VALUE"""),20.1)</f>
        <v>20.1</v>
      </c>
      <c r="P601" s="4">
        <f>IFERROR(__xludf.DUMMYFUNCTION("""COMPUTED_VALUE"""),5.4)</f>
        <v>5.4</v>
      </c>
      <c r="Q601" s="4">
        <f>IFERROR(__xludf.DUMMYFUNCTION("""COMPUTED_VALUE"""),3.9)</f>
        <v>3.9</v>
      </c>
      <c r="R601" s="4">
        <f>IFERROR(__xludf.DUMMYFUNCTION("""COMPUTED_VALUE"""),1.3)</f>
        <v>1.3</v>
      </c>
      <c r="S601" s="4">
        <f>IFERROR(__xludf.DUMMYFUNCTION("""COMPUTED_VALUE"""),0.5)</f>
        <v>0.5</v>
      </c>
      <c r="T601" s="4">
        <f>IFERROR(__xludf.DUMMYFUNCTION("""COMPUTED_VALUE"""),0.006)</f>
        <v>0.006</v>
      </c>
      <c r="U601" s="4">
        <f>IFERROR(__xludf.DUMMYFUNCTION("""COMPUTED_VALUE"""),-3.9)</f>
        <v>-3.9</v>
      </c>
      <c r="V601" s="4">
        <f>IFERROR(__xludf.DUMMYFUNCTION("""COMPUTED_VALUE"""),-1.9)</f>
        <v>-1.9</v>
      </c>
    </row>
    <row r="602">
      <c r="A602" s="4">
        <f>IFERROR(__xludf.DUMMYFUNCTION("""COMPUTED_VALUE"""),5.0)</f>
        <v>5</v>
      </c>
      <c r="B602" s="4">
        <f>IFERROR(__xludf.DUMMYFUNCTION("""COMPUTED_VALUE"""),5.0)</f>
        <v>5</v>
      </c>
      <c r="C602" s="4" t="str">
        <f>IFERROR(__xludf.DUMMYFUNCTION("""COMPUTED_VALUE"""),"MIN")</f>
        <v>MIN</v>
      </c>
      <c r="D602" s="4" t="str">
        <f>IFERROR(__xludf.DUMMYFUNCTION("""COMPUTED_VALUE"""),"Kris Dunn")</f>
        <v>Kris Dunn</v>
      </c>
      <c r="E602" s="4" t="str">
        <f>IFERROR(__xludf.DUMMYFUNCTION("""COMPUTED_VALUE"""),"Providence")</f>
        <v>Providence</v>
      </c>
      <c r="F602" s="4">
        <f>IFERROR(__xludf.DUMMYFUNCTION("""COMPUTED_VALUE"""),10.0)</f>
        <v>10</v>
      </c>
      <c r="G602" s="4">
        <f>IFERROR(__xludf.DUMMYFUNCTION("""COMPUTED_VALUE"""),428.0)</f>
        <v>428</v>
      </c>
      <c r="H602" s="4">
        <f>IFERROR(__xludf.DUMMYFUNCTION("""COMPUTED_VALUE"""),10052.0)</f>
        <v>10052</v>
      </c>
      <c r="I602" s="4">
        <f>IFERROR(__xludf.DUMMYFUNCTION("""COMPUTED_VALUE"""),3284.0)</f>
        <v>3284</v>
      </c>
      <c r="J602" s="4">
        <f>IFERROR(__xludf.DUMMYFUNCTION("""COMPUTED_VALUE"""),1413.0)</f>
        <v>1413</v>
      </c>
      <c r="K602" s="4">
        <f>IFERROR(__xludf.DUMMYFUNCTION("""COMPUTED_VALUE"""),1673.0)</f>
        <v>1673</v>
      </c>
      <c r="L602" s="4">
        <f>IFERROR(__xludf.DUMMYFUNCTION("""COMPUTED_VALUE"""),0.44)</f>
        <v>0.44</v>
      </c>
      <c r="M602" s="4">
        <f>IFERROR(__xludf.DUMMYFUNCTION("""COMPUTED_VALUE"""),0.329)</f>
        <v>0.329</v>
      </c>
      <c r="N602" s="4">
        <f>IFERROR(__xludf.DUMMYFUNCTION("""COMPUTED_VALUE"""),0.738)</f>
        <v>0.738</v>
      </c>
      <c r="O602" s="4">
        <f>IFERROR(__xludf.DUMMYFUNCTION("""COMPUTED_VALUE"""),23.5)</f>
        <v>23.5</v>
      </c>
      <c r="P602" s="4">
        <f>IFERROR(__xludf.DUMMYFUNCTION("""COMPUTED_VALUE"""),7.7)</f>
        <v>7.7</v>
      </c>
      <c r="Q602" s="4">
        <f>IFERROR(__xludf.DUMMYFUNCTION("""COMPUTED_VALUE"""),3.3)</f>
        <v>3.3</v>
      </c>
      <c r="R602" s="4">
        <f>IFERROR(__xludf.DUMMYFUNCTION("""COMPUTED_VALUE"""),3.9)</f>
        <v>3.9</v>
      </c>
      <c r="S602" s="4">
        <f>IFERROR(__xludf.DUMMYFUNCTION("""COMPUTED_VALUE"""),12.4)</f>
        <v>12.4</v>
      </c>
      <c r="T602" s="4">
        <f>IFERROR(__xludf.DUMMYFUNCTION("""COMPUTED_VALUE"""),0.059)</f>
        <v>0.059</v>
      </c>
      <c r="U602" s="4">
        <f>IFERROR(__xludf.DUMMYFUNCTION("""COMPUTED_VALUE"""),-1.1)</f>
        <v>-1.1</v>
      </c>
      <c r="V602" s="4">
        <f>IFERROR(__xludf.DUMMYFUNCTION("""COMPUTED_VALUE"""),2.2)</f>
        <v>2.2</v>
      </c>
    </row>
    <row r="603">
      <c r="A603" s="4">
        <f>IFERROR(__xludf.DUMMYFUNCTION("""COMPUTED_VALUE"""),6.0)</f>
        <v>6</v>
      </c>
      <c r="B603" s="4">
        <f>IFERROR(__xludf.DUMMYFUNCTION("""COMPUTED_VALUE"""),6.0)</f>
        <v>6</v>
      </c>
      <c r="C603" s="4" t="str">
        <f>IFERROR(__xludf.DUMMYFUNCTION("""COMPUTED_VALUE"""),"NOP")</f>
        <v>NOP</v>
      </c>
      <c r="D603" s="4" t="str">
        <f>IFERROR(__xludf.DUMMYFUNCTION("""COMPUTED_VALUE"""),"Buddy Hield")</f>
        <v>Buddy Hield</v>
      </c>
      <c r="E603" s="4" t="str">
        <f>IFERROR(__xludf.DUMMYFUNCTION("""COMPUTED_VALUE"""),"Oklahoma")</f>
        <v>Oklahoma</v>
      </c>
      <c r="F603" s="4">
        <f>IFERROR(__xludf.DUMMYFUNCTION("""COMPUTED_VALUE"""),10.0)</f>
        <v>10</v>
      </c>
      <c r="G603" s="4">
        <f>IFERROR(__xludf.DUMMYFUNCTION("""COMPUTED_VALUE"""),736.0)</f>
        <v>736</v>
      </c>
      <c r="H603" s="4">
        <f>IFERROR(__xludf.DUMMYFUNCTION("""COMPUTED_VALUE"""),20577.0)</f>
        <v>20577</v>
      </c>
      <c r="I603" s="4">
        <f>IFERROR(__xludf.DUMMYFUNCTION("""COMPUTED_VALUE"""),10897.0)</f>
        <v>10897</v>
      </c>
      <c r="J603" s="4">
        <f>IFERROR(__xludf.DUMMYFUNCTION("""COMPUTED_VALUE"""),2980.0)</f>
        <v>2980</v>
      </c>
      <c r="K603" s="4">
        <f>IFERROR(__xludf.DUMMYFUNCTION("""COMPUTED_VALUE"""),1810.0)</f>
        <v>1810</v>
      </c>
      <c r="L603" s="4">
        <f>IFERROR(__xludf.DUMMYFUNCTION("""COMPUTED_VALUE"""),0.432)</f>
        <v>0.432</v>
      </c>
      <c r="M603" s="4">
        <f>IFERROR(__xludf.DUMMYFUNCTION("""COMPUTED_VALUE"""),0.395)</f>
        <v>0.395</v>
      </c>
      <c r="N603" s="4">
        <f>IFERROR(__xludf.DUMMYFUNCTION("""COMPUTED_VALUE"""),0.859)</f>
        <v>0.859</v>
      </c>
      <c r="O603" s="4">
        <f>IFERROR(__xludf.DUMMYFUNCTION("""COMPUTED_VALUE"""),28.0)</f>
        <v>28</v>
      </c>
      <c r="P603" s="4">
        <f>IFERROR(__xludf.DUMMYFUNCTION("""COMPUTED_VALUE"""),14.8)</f>
        <v>14.8</v>
      </c>
      <c r="Q603" s="4">
        <f>IFERROR(__xludf.DUMMYFUNCTION("""COMPUTED_VALUE"""),4.0)</f>
        <v>4</v>
      </c>
      <c r="R603" s="4">
        <f>IFERROR(__xludf.DUMMYFUNCTION("""COMPUTED_VALUE"""),2.5)</f>
        <v>2.5</v>
      </c>
      <c r="S603" s="4">
        <f>IFERROR(__xludf.DUMMYFUNCTION("""COMPUTED_VALUE"""),28.0)</f>
        <v>28</v>
      </c>
      <c r="T603" s="4">
        <f>IFERROR(__xludf.DUMMYFUNCTION("""COMPUTED_VALUE"""),0.065)</f>
        <v>0.065</v>
      </c>
      <c r="U603" s="4">
        <f>IFERROR(__xludf.DUMMYFUNCTION("""COMPUTED_VALUE"""),0.2)</f>
        <v>0.2</v>
      </c>
      <c r="V603" s="4">
        <f>IFERROR(__xludf.DUMMYFUNCTION("""COMPUTED_VALUE"""),11.3)</f>
        <v>11.3</v>
      </c>
    </row>
    <row r="604">
      <c r="A604" s="4">
        <f>IFERROR(__xludf.DUMMYFUNCTION("""COMPUTED_VALUE"""),7.0)</f>
        <v>7</v>
      </c>
      <c r="B604" s="4">
        <f>IFERROR(__xludf.DUMMYFUNCTION("""COMPUTED_VALUE"""),7.0)</f>
        <v>7</v>
      </c>
      <c r="C604" s="4" t="str">
        <f>IFERROR(__xludf.DUMMYFUNCTION("""COMPUTED_VALUE"""),"DEN")</f>
        <v>DEN</v>
      </c>
      <c r="D604" s="4" t="str">
        <f>IFERROR(__xludf.DUMMYFUNCTION("""COMPUTED_VALUE"""),"Jamal Murray")</f>
        <v>Jamal Murray</v>
      </c>
      <c r="E604" s="4" t="str">
        <f>IFERROR(__xludf.DUMMYFUNCTION("""COMPUTED_VALUE"""),"Kentucky")</f>
        <v>Kentucky</v>
      </c>
      <c r="F604" s="4">
        <f>IFERROR(__xludf.DUMMYFUNCTION("""COMPUTED_VALUE"""),9.0)</f>
        <v>9</v>
      </c>
      <c r="G604" s="4">
        <f>IFERROR(__xludf.DUMMYFUNCTION("""COMPUTED_VALUE"""),555.0)</f>
        <v>555</v>
      </c>
      <c r="H604" s="4">
        <f>IFERROR(__xludf.DUMMYFUNCTION("""COMPUTED_VALUE"""),17457.0)</f>
        <v>17457</v>
      </c>
      <c r="I604" s="4">
        <f>IFERROR(__xludf.DUMMYFUNCTION("""COMPUTED_VALUE"""),10065.0)</f>
        <v>10065</v>
      </c>
      <c r="J604" s="4">
        <f>IFERROR(__xludf.DUMMYFUNCTION("""COMPUTED_VALUE"""),2103.0)</f>
        <v>2103</v>
      </c>
      <c r="K604" s="4">
        <f>IFERROR(__xludf.DUMMYFUNCTION("""COMPUTED_VALUE"""),2637.0)</f>
        <v>2637</v>
      </c>
      <c r="L604" s="4">
        <f>IFERROR(__xludf.DUMMYFUNCTION("""COMPUTED_VALUE"""),0.456)</f>
        <v>0.456</v>
      </c>
      <c r="M604" s="4">
        <f>IFERROR(__xludf.DUMMYFUNCTION("""COMPUTED_VALUE"""),0.383)</f>
        <v>0.383</v>
      </c>
      <c r="N604" s="4">
        <f>IFERROR(__xludf.DUMMYFUNCTION("""COMPUTED_VALUE"""),0.871)</f>
        <v>0.871</v>
      </c>
      <c r="O604" s="4">
        <f>IFERROR(__xludf.DUMMYFUNCTION("""COMPUTED_VALUE"""),31.5)</f>
        <v>31.5</v>
      </c>
      <c r="P604" s="4">
        <f>IFERROR(__xludf.DUMMYFUNCTION("""COMPUTED_VALUE"""),18.1)</f>
        <v>18.1</v>
      </c>
      <c r="Q604" s="4">
        <f>IFERROR(__xludf.DUMMYFUNCTION("""COMPUTED_VALUE"""),3.8)</f>
        <v>3.8</v>
      </c>
      <c r="R604" s="4">
        <f>IFERROR(__xludf.DUMMYFUNCTION("""COMPUTED_VALUE"""),4.8)</f>
        <v>4.8</v>
      </c>
      <c r="S604" s="4">
        <f>IFERROR(__xludf.DUMMYFUNCTION("""COMPUTED_VALUE"""),40.2)</f>
        <v>40.2</v>
      </c>
      <c r="T604" s="4">
        <f>IFERROR(__xludf.DUMMYFUNCTION("""COMPUTED_VALUE"""),0.111)</f>
        <v>0.111</v>
      </c>
      <c r="U604" s="4">
        <f>IFERROR(__xludf.DUMMYFUNCTION("""COMPUTED_VALUE"""),1.0)</f>
        <v>1</v>
      </c>
      <c r="V604" s="4">
        <f>IFERROR(__xludf.DUMMYFUNCTION("""COMPUTED_VALUE"""),13.1)</f>
        <v>13.1</v>
      </c>
    </row>
    <row r="605">
      <c r="A605" s="4">
        <f>IFERROR(__xludf.DUMMYFUNCTION("""COMPUTED_VALUE"""),8.0)</f>
        <v>8</v>
      </c>
      <c r="B605" s="4">
        <f>IFERROR(__xludf.DUMMYFUNCTION("""COMPUTED_VALUE"""),8.0)</f>
        <v>8</v>
      </c>
      <c r="C605" s="4" t="str">
        <f>IFERROR(__xludf.DUMMYFUNCTION("""COMPUTED_VALUE"""),"SAC")</f>
        <v>SAC</v>
      </c>
      <c r="D605" s="4" t="str">
        <f>IFERROR(__xludf.DUMMYFUNCTION("""COMPUTED_VALUE"""),"Marquese Chriss")</f>
        <v>Marquese Chriss</v>
      </c>
      <c r="E605" s="4" t="str">
        <f>IFERROR(__xludf.DUMMYFUNCTION("""COMPUTED_VALUE"""),"Washington")</f>
        <v>Washington</v>
      </c>
      <c r="F605" s="4">
        <f>IFERROR(__xludf.DUMMYFUNCTION("""COMPUTED_VALUE"""),6.0)</f>
        <v>6</v>
      </c>
      <c r="G605" s="4">
        <f>IFERROR(__xludf.DUMMYFUNCTION("""COMPUTED_VALUE"""),292.0)</f>
        <v>292</v>
      </c>
      <c r="H605" s="4">
        <f>IFERROR(__xludf.DUMMYFUNCTION("""COMPUTED_VALUE"""),5338.0)</f>
        <v>5338</v>
      </c>
      <c r="I605" s="4">
        <f>IFERROR(__xludf.DUMMYFUNCTION("""COMPUTED_VALUE"""),2206.0)</f>
        <v>2206</v>
      </c>
      <c r="J605" s="4">
        <f>IFERROR(__xludf.DUMMYFUNCTION("""COMPUTED_VALUE"""),1366.0)</f>
        <v>1366</v>
      </c>
      <c r="K605" s="4">
        <f>IFERROR(__xludf.DUMMYFUNCTION("""COMPUTED_VALUE"""),298.0)</f>
        <v>298</v>
      </c>
      <c r="L605" s="4">
        <f>IFERROR(__xludf.DUMMYFUNCTION("""COMPUTED_VALUE"""),0.456)</f>
        <v>0.456</v>
      </c>
      <c r="M605" s="4">
        <f>IFERROR(__xludf.DUMMYFUNCTION("""COMPUTED_VALUE"""),0.29)</f>
        <v>0.29</v>
      </c>
      <c r="N605" s="4">
        <f>IFERROR(__xludf.DUMMYFUNCTION("""COMPUTED_VALUE"""),0.667)</f>
        <v>0.667</v>
      </c>
      <c r="O605" s="4">
        <f>IFERROR(__xludf.DUMMYFUNCTION("""COMPUTED_VALUE"""),18.3)</f>
        <v>18.3</v>
      </c>
      <c r="P605" s="4">
        <f>IFERROR(__xludf.DUMMYFUNCTION("""COMPUTED_VALUE"""),7.6)</f>
        <v>7.6</v>
      </c>
      <c r="Q605" s="4">
        <f>IFERROR(__xludf.DUMMYFUNCTION("""COMPUTED_VALUE"""),4.7)</f>
        <v>4.7</v>
      </c>
      <c r="R605" s="4">
        <f>IFERROR(__xludf.DUMMYFUNCTION("""COMPUTED_VALUE"""),1.0)</f>
        <v>1</v>
      </c>
      <c r="S605" s="4">
        <f>IFERROR(__xludf.DUMMYFUNCTION("""COMPUTED_VALUE"""),6.5)</f>
        <v>6.5</v>
      </c>
      <c r="T605" s="4">
        <f>IFERROR(__xludf.DUMMYFUNCTION("""COMPUTED_VALUE"""),0.058)</f>
        <v>0.058</v>
      </c>
      <c r="U605" s="4">
        <f>IFERROR(__xludf.DUMMYFUNCTION("""COMPUTED_VALUE"""),-2.4)</f>
        <v>-2.4</v>
      </c>
      <c r="V605" s="4">
        <f>IFERROR(__xludf.DUMMYFUNCTION("""COMPUTED_VALUE"""),-0.5)</f>
        <v>-0.5</v>
      </c>
    </row>
    <row r="606">
      <c r="A606" s="4">
        <f>IFERROR(__xludf.DUMMYFUNCTION("""COMPUTED_VALUE"""),9.0)</f>
        <v>9</v>
      </c>
      <c r="B606" s="4">
        <f>IFERROR(__xludf.DUMMYFUNCTION("""COMPUTED_VALUE"""),9.0)</f>
        <v>9</v>
      </c>
      <c r="C606" s="4" t="str">
        <f>IFERROR(__xludf.DUMMYFUNCTION("""COMPUTED_VALUE"""),"TOR")</f>
        <v>TOR</v>
      </c>
      <c r="D606" s="4" t="str">
        <f>IFERROR(__xludf.DUMMYFUNCTION("""COMPUTED_VALUE"""),"Jakob Poeltl")</f>
        <v>Jakob Poeltl</v>
      </c>
      <c r="E606" s="4" t="str">
        <f>IFERROR(__xludf.DUMMYFUNCTION("""COMPUTED_VALUE"""),"Utah")</f>
        <v>Utah</v>
      </c>
      <c r="F606" s="4">
        <f>IFERROR(__xludf.DUMMYFUNCTION("""COMPUTED_VALUE"""),10.0)</f>
        <v>10</v>
      </c>
      <c r="G606" s="4">
        <f>IFERROR(__xludf.DUMMYFUNCTION("""COMPUTED_VALUE"""),611.0)</f>
        <v>611</v>
      </c>
      <c r="H606" s="4">
        <f>IFERROR(__xludf.DUMMYFUNCTION("""COMPUTED_VALUE"""),13743.0)</f>
        <v>13743</v>
      </c>
      <c r="I606" s="4">
        <f>IFERROR(__xludf.DUMMYFUNCTION("""COMPUTED_VALUE"""),5480.0)</f>
        <v>5480</v>
      </c>
      <c r="J606" s="4">
        <f>IFERROR(__xludf.DUMMYFUNCTION("""COMPUTED_VALUE"""),4285.0)</f>
        <v>4285</v>
      </c>
      <c r="K606" s="4">
        <f>IFERROR(__xludf.DUMMYFUNCTION("""COMPUTED_VALUE"""),1122.0)</f>
        <v>1122</v>
      </c>
      <c r="L606" s="4">
        <f>IFERROR(__xludf.DUMMYFUNCTION("""COMPUTED_VALUE"""),0.633)</f>
        <v>0.633</v>
      </c>
      <c r="M606" s="4">
        <f>IFERROR(__xludf.DUMMYFUNCTION("""COMPUTED_VALUE"""),0.429)</f>
        <v>0.429</v>
      </c>
      <c r="N606" s="4">
        <f>IFERROR(__xludf.DUMMYFUNCTION("""COMPUTED_VALUE"""),0.556)</f>
        <v>0.556</v>
      </c>
      <c r="O606" s="4">
        <f>IFERROR(__xludf.DUMMYFUNCTION("""COMPUTED_VALUE"""),22.5)</f>
        <v>22.5</v>
      </c>
      <c r="P606" s="4">
        <f>IFERROR(__xludf.DUMMYFUNCTION("""COMPUTED_VALUE"""),9.0)</f>
        <v>9</v>
      </c>
      <c r="Q606" s="4">
        <f>IFERROR(__xludf.DUMMYFUNCTION("""COMPUTED_VALUE"""),7.0)</f>
        <v>7</v>
      </c>
      <c r="R606" s="4">
        <f>IFERROR(__xludf.DUMMYFUNCTION("""COMPUTED_VALUE"""),1.8)</f>
        <v>1.8</v>
      </c>
      <c r="S606" s="4">
        <f>IFERROR(__xludf.DUMMYFUNCTION("""COMPUTED_VALUE"""),45.9)</f>
        <v>45.9</v>
      </c>
      <c r="T606" s="4">
        <f>IFERROR(__xludf.DUMMYFUNCTION("""COMPUTED_VALUE"""),0.16)</f>
        <v>0.16</v>
      </c>
      <c r="U606" s="4">
        <f>IFERROR(__xludf.DUMMYFUNCTION("""COMPUTED_VALUE"""),1.2)</f>
        <v>1.2</v>
      </c>
      <c r="V606" s="4">
        <f>IFERROR(__xludf.DUMMYFUNCTION("""COMPUTED_VALUE"""),11.2)</f>
        <v>11.2</v>
      </c>
    </row>
    <row r="607">
      <c r="A607" s="4">
        <f>IFERROR(__xludf.DUMMYFUNCTION("""COMPUTED_VALUE"""),10.0)</f>
        <v>10</v>
      </c>
      <c r="B607" s="4">
        <f>IFERROR(__xludf.DUMMYFUNCTION("""COMPUTED_VALUE"""),10.0)</f>
        <v>10</v>
      </c>
      <c r="C607" s="4" t="str">
        <f>IFERROR(__xludf.DUMMYFUNCTION("""COMPUTED_VALUE"""),"MIL")</f>
        <v>MIL</v>
      </c>
      <c r="D607" s="4" t="str">
        <f>IFERROR(__xludf.DUMMYFUNCTION("""COMPUTED_VALUE"""),"Thon Maker")</f>
        <v>Thon Maker</v>
      </c>
      <c r="E607" s="4"/>
      <c r="F607" s="4">
        <f>IFERROR(__xludf.DUMMYFUNCTION("""COMPUTED_VALUE"""),5.0)</f>
        <v>5</v>
      </c>
      <c r="G607" s="4">
        <f>IFERROR(__xludf.DUMMYFUNCTION("""COMPUTED_VALUE"""),263.0)</f>
        <v>263</v>
      </c>
      <c r="H607" s="4">
        <f>IFERROR(__xludf.DUMMYFUNCTION("""COMPUTED_VALUE"""),3624.0)</f>
        <v>3624</v>
      </c>
      <c r="I607" s="4">
        <f>IFERROR(__xludf.DUMMYFUNCTION("""COMPUTED_VALUE"""),1216.0)</f>
        <v>1216</v>
      </c>
      <c r="J607" s="4">
        <f>IFERROR(__xludf.DUMMYFUNCTION("""COMPUTED_VALUE"""),726.0)</f>
        <v>726</v>
      </c>
      <c r="K607" s="4">
        <f>IFERROR(__xludf.DUMMYFUNCTION("""COMPUTED_VALUE"""),161.0)</f>
        <v>161</v>
      </c>
      <c r="L607" s="4">
        <f>IFERROR(__xludf.DUMMYFUNCTION("""COMPUTED_VALUE"""),0.435)</f>
        <v>0.435</v>
      </c>
      <c r="M607" s="4">
        <f>IFERROR(__xludf.DUMMYFUNCTION("""COMPUTED_VALUE"""),0.327)</f>
        <v>0.327</v>
      </c>
      <c r="N607" s="4">
        <f>IFERROR(__xludf.DUMMYFUNCTION("""COMPUTED_VALUE"""),0.68)</f>
        <v>0.68</v>
      </c>
      <c r="O607" s="4">
        <f>IFERROR(__xludf.DUMMYFUNCTION("""COMPUTED_VALUE"""),13.8)</f>
        <v>13.8</v>
      </c>
      <c r="P607" s="4">
        <f>IFERROR(__xludf.DUMMYFUNCTION("""COMPUTED_VALUE"""),4.6)</f>
        <v>4.6</v>
      </c>
      <c r="Q607" s="4">
        <f>IFERROR(__xludf.DUMMYFUNCTION("""COMPUTED_VALUE"""),2.8)</f>
        <v>2.8</v>
      </c>
      <c r="R607" s="4">
        <f>IFERROR(__xludf.DUMMYFUNCTION("""COMPUTED_VALUE"""),0.6)</f>
        <v>0.6</v>
      </c>
      <c r="S607" s="4">
        <f>IFERROR(__xludf.DUMMYFUNCTION("""COMPUTED_VALUE"""),6.6)</f>
        <v>6.6</v>
      </c>
      <c r="T607" s="4">
        <f>IFERROR(__xludf.DUMMYFUNCTION("""COMPUTED_VALUE"""),0.087)</f>
        <v>0.087</v>
      </c>
      <c r="U607" s="4">
        <f>IFERROR(__xludf.DUMMYFUNCTION("""COMPUTED_VALUE"""),-2.1)</f>
        <v>-2.1</v>
      </c>
      <c r="V607" s="4">
        <f>IFERROR(__xludf.DUMMYFUNCTION("""COMPUTED_VALUE"""),-0.1)</f>
        <v>-0.1</v>
      </c>
    </row>
    <row r="608">
      <c r="A608" s="4">
        <f>IFERROR(__xludf.DUMMYFUNCTION("""COMPUTED_VALUE"""),11.0)</f>
        <v>11</v>
      </c>
      <c r="B608" s="4">
        <f>IFERROR(__xludf.DUMMYFUNCTION("""COMPUTED_VALUE"""),11.0)</f>
        <v>11</v>
      </c>
      <c r="C608" s="4" t="str">
        <f>IFERROR(__xludf.DUMMYFUNCTION("""COMPUTED_VALUE"""),"ORL")</f>
        <v>ORL</v>
      </c>
      <c r="D608" s="4" t="str">
        <f>IFERROR(__xludf.DUMMYFUNCTION("""COMPUTED_VALUE"""),"Domantas Sabonis")</f>
        <v>Domantas Sabonis</v>
      </c>
      <c r="E608" s="4" t="str">
        <f>IFERROR(__xludf.DUMMYFUNCTION("""COMPUTED_VALUE"""),"Gonzaga")</f>
        <v>Gonzaga</v>
      </c>
      <c r="F608" s="4">
        <f>IFERROR(__xludf.DUMMYFUNCTION("""COMPUTED_VALUE"""),10.0)</f>
        <v>10</v>
      </c>
      <c r="G608" s="4">
        <f>IFERROR(__xludf.DUMMYFUNCTION("""COMPUTED_VALUE"""),657.0)</f>
        <v>657</v>
      </c>
      <c r="H608" s="4">
        <f>IFERROR(__xludf.DUMMYFUNCTION("""COMPUTED_VALUE"""),20264.0)</f>
        <v>20264</v>
      </c>
      <c r="I608" s="4">
        <f>IFERROR(__xludf.DUMMYFUNCTION("""COMPUTED_VALUE"""),10590.0)</f>
        <v>10590</v>
      </c>
      <c r="J608" s="4">
        <f>IFERROR(__xludf.DUMMYFUNCTION("""COMPUTED_VALUE"""),7015.0)</f>
        <v>7015</v>
      </c>
      <c r="K608" s="4">
        <f>IFERROR(__xludf.DUMMYFUNCTION("""COMPUTED_VALUE"""),3203.0)</f>
        <v>3203</v>
      </c>
      <c r="L608" s="4">
        <f>IFERROR(__xludf.DUMMYFUNCTION("""COMPUTED_VALUE"""),0.559)</f>
        <v>0.559</v>
      </c>
      <c r="M608" s="4">
        <f>IFERROR(__xludf.DUMMYFUNCTION("""COMPUTED_VALUE"""),0.344)</f>
        <v>0.344</v>
      </c>
      <c r="N608" s="4">
        <f>IFERROR(__xludf.DUMMYFUNCTION("""COMPUTED_VALUE"""),0.729)</f>
        <v>0.729</v>
      </c>
      <c r="O608" s="4">
        <f>IFERROR(__xludf.DUMMYFUNCTION("""COMPUTED_VALUE"""),30.8)</f>
        <v>30.8</v>
      </c>
      <c r="P608" s="4">
        <f>IFERROR(__xludf.DUMMYFUNCTION("""COMPUTED_VALUE"""),16.1)</f>
        <v>16.1</v>
      </c>
      <c r="Q608" s="4">
        <f>IFERROR(__xludf.DUMMYFUNCTION("""COMPUTED_VALUE"""),10.7)</f>
        <v>10.7</v>
      </c>
      <c r="R608" s="4">
        <f>IFERROR(__xludf.DUMMYFUNCTION("""COMPUTED_VALUE"""),4.9)</f>
        <v>4.9</v>
      </c>
      <c r="S608" s="4">
        <f>IFERROR(__xludf.DUMMYFUNCTION("""COMPUTED_VALUE"""),70.4)</f>
        <v>70.4</v>
      </c>
      <c r="T608" s="4">
        <f>IFERROR(__xludf.DUMMYFUNCTION("""COMPUTED_VALUE"""),0.167)</f>
        <v>0.167</v>
      </c>
      <c r="U608" s="4">
        <f>IFERROR(__xludf.DUMMYFUNCTION("""COMPUTED_VALUE"""),3.3)</f>
        <v>3.3</v>
      </c>
      <c r="V608" s="4">
        <f>IFERROR(__xludf.DUMMYFUNCTION("""COMPUTED_VALUE"""),27.3)</f>
        <v>27.3</v>
      </c>
    </row>
    <row r="609">
      <c r="A609" s="4">
        <f>IFERROR(__xludf.DUMMYFUNCTION("""COMPUTED_VALUE"""),12.0)</f>
        <v>12</v>
      </c>
      <c r="B609" s="4">
        <f>IFERROR(__xludf.DUMMYFUNCTION("""COMPUTED_VALUE"""),12.0)</f>
        <v>12</v>
      </c>
      <c r="C609" s="4" t="str">
        <f>IFERROR(__xludf.DUMMYFUNCTION("""COMPUTED_VALUE"""),"UTA")</f>
        <v>UTA</v>
      </c>
      <c r="D609" s="4" t="str">
        <f>IFERROR(__xludf.DUMMYFUNCTION("""COMPUTED_VALUE"""),"Taurean Prince")</f>
        <v>Taurean Prince</v>
      </c>
      <c r="E609" s="4" t="str">
        <f>IFERROR(__xludf.DUMMYFUNCTION("""COMPUTED_VALUE"""),"Baylor")</f>
        <v>Baylor</v>
      </c>
      <c r="F609" s="4">
        <f>IFERROR(__xludf.DUMMYFUNCTION("""COMPUTED_VALUE"""),10.0)</f>
        <v>10</v>
      </c>
      <c r="G609" s="4">
        <f>IFERROR(__xludf.DUMMYFUNCTION("""COMPUTED_VALUE"""),590.0)</f>
        <v>590</v>
      </c>
      <c r="H609" s="4">
        <f>IFERROR(__xludf.DUMMYFUNCTION("""COMPUTED_VALUE"""),14571.0)</f>
        <v>14571</v>
      </c>
      <c r="I609" s="4">
        <f>IFERROR(__xludf.DUMMYFUNCTION("""COMPUTED_VALUE"""),5794.0)</f>
        <v>5794</v>
      </c>
      <c r="J609" s="4">
        <f>IFERROR(__xludf.DUMMYFUNCTION("""COMPUTED_VALUE"""),2104.0)</f>
        <v>2104</v>
      </c>
      <c r="K609" s="4">
        <f>IFERROR(__xludf.DUMMYFUNCTION("""COMPUTED_VALUE"""),1013.0)</f>
        <v>1013</v>
      </c>
      <c r="L609" s="4">
        <f>IFERROR(__xludf.DUMMYFUNCTION("""COMPUTED_VALUE"""),0.428)</f>
        <v>0.428</v>
      </c>
      <c r="M609" s="4">
        <f>IFERROR(__xludf.DUMMYFUNCTION("""COMPUTED_VALUE"""),0.384)</f>
        <v>0.384</v>
      </c>
      <c r="N609" s="4">
        <f>IFERROR(__xludf.DUMMYFUNCTION("""COMPUTED_VALUE"""),0.812)</f>
        <v>0.812</v>
      </c>
      <c r="O609" s="4">
        <f>IFERROR(__xludf.DUMMYFUNCTION("""COMPUTED_VALUE"""),24.7)</f>
        <v>24.7</v>
      </c>
      <c r="P609" s="4">
        <f>IFERROR(__xludf.DUMMYFUNCTION("""COMPUTED_VALUE"""),9.8)</f>
        <v>9.8</v>
      </c>
      <c r="Q609" s="4">
        <f>IFERROR(__xludf.DUMMYFUNCTION("""COMPUTED_VALUE"""),3.6)</f>
        <v>3.6</v>
      </c>
      <c r="R609" s="4">
        <f>IFERROR(__xludf.DUMMYFUNCTION("""COMPUTED_VALUE"""),1.7)</f>
        <v>1.7</v>
      </c>
      <c r="S609" s="4">
        <f>IFERROR(__xludf.DUMMYFUNCTION("""COMPUTED_VALUE"""),15.2)</f>
        <v>15.2</v>
      </c>
      <c r="T609" s="4">
        <f>IFERROR(__xludf.DUMMYFUNCTION("""COMPUTED_VALUE"""),0.05)</f>
        <v>0.05</v>
      </c>
      <c r="U609" s="4">
        <f>IFERROR(__xludf.DUMMYFUNCTION("""COMPUTED_VALUE"""),-2.1)</f>
        <v>-2.1</v>
      </c>
      <c r="V609" s="4">
        <f>IFERROR(__xludf.DUMMYFUNCTION("""COMPUTED_VALUE"""),-0.2)</f>
        <v>-0.2</v>
      </c>
    </row>
    <row r="610">
      <c r="A610" s="4">
        <f>IFERROR(__xludf.DUMMYFUNCTION("""COMPUTED_VALUE"""),13.0)</f>
        <v>13</v>
      </c>
      <c r="B610" s="4">
        <f>IFERROR(__xludf.DUMMYFUNCTION("""COMPUTED_VALUE"""),13.0)</f>
        <v>13</v>
      </c>
      <c r="C610" s="4" t="str">
        <f>IFERROR(__xludf.DUMMYFUNCTION("""COMPUTED_VALUE"""),"PHO")</f>
        <v>PHO</v>
      </c>
      <c r="D610" s="4" t="str">
        <f>IFERROR(__xludf.DUMMYFUNCTION("""COMPUTED_VALUE"""),"Georgios Papagiannis")</f>
        <v>Georgios Papagiannis</v>
      </c>
      <c r="E610" s="4"/>
      <c r="F610" s="4">
        <f>IFERROR(__xludf.DUMMYFUNCTION("""COMPUTED_VALUE"""),2.0)</f>
        <v>2</v>
      </c>
      <c r="G610" s="4">
        <f>IFERROR(__xludf.DUMMYFUNCTION("""COMPUTED_VALUE"""),39.0)</f>
        <v>39</v>
      </c>
      <c r="H610" s="4">
        <f>IFERROR(__xludf.DUMMYFUNCTION("""COMPUTED_VALUE"""),477.0)</f>
        <v>477</v>
      </c>
      <c r="I610" s="4">
        <f>IFERROR(__xludf.DUMMYFUNCTION("""COMPUTED_VALUE"""),160.0)</f>
        <v>160</v>
      </c>
      <c r="J610" s="4">
        <f>IFERROR(__xludf.DUMMYFUNCTION("""COMPUTED_VALUE"""),123.0)</f>
        <v>123</v>
      </c>
      <c r="K610" s="4">
        <f>IFERROR(__xludf.DUMMYFUNCTION("""COMPUTED_VALUE"""),29.0)</f>
        <v>29</v>
      </c>
      <c r="L610" s="4">
        <f>IFERROR(__xludf.DUMMYFUNCTION("""COMPUTED_VALUE"""),0.514)</f>
        <v>0.514</v>
      </c>
      <c r="M610" s="4">
        <f>IFERROR(__xludf.DUMMYFUNCTION("""COMPUTED_VALUE"""),0.0)</f>
        <v>0</v>
      </c>
      <c r="N610" s="4">
        <f>IFERROR(__xludf.DUMMYFUNCTION("""COMPUTED_VALUE"""),0.857)</f>
        <v>0.857</v>
      </c>
      <c r="O610" s="4">
        <f>IFERROR(__xludf.DUMMYFUNCTION("""COMPUTED_VALUE"""),12.2)</f>
        <v>12.2</v>
      </c>
      <c r="P610" s="4">
        <f>IFERROR(__xludf.DUMMYFUNCTION("""COMPUTED_VALUE"""),4.1)</f>
        <v>4.1</v>
      </c>
      <c r="Q610" s="4">
        <f>IFERROR(__xludf.DUMMYFUNCTION("""COMPUTED_VALUE"""),3.2)</f>
        <v>3.2</v>
      </c>
      <c r="R610" s="4">
        <f>IFERROR(__xludf.DUMMYFUNCTION("""COMPUTED_VALUE"""),0.7)</f>
        <v>0.7</v>
      </c>
      <c r="S610" s="4">
        <f>IFERROR(__xludf.DUMMYFUNCTION("""COMPUTED_VALUE"""),0.4)</f>
        <v>0.4</v>
      </c>
      <c r="T610" s="4">
        <f>IFERROR(__xludf.DUMMYFUNCTION("""COMPUTED_VALUE"""),0.044)</f>
        <v>0.044</v>
      </c>
      <c r="U610" s="4">
        <f>IFERROR(__xludf.DUMMYFUNCTION("""COMPUTED_VALUE"""),-3.9)</f>
        <v>-3.9</v>
      </c>
      <c r="V610" s="4">
        <f>IFERROR(__xludf.DUMMYFUNCTION("""COMPUTED_VALUE"""),-0.2)</f>
        <v>-0.2</v>
      </c>
    </row>
    <row r="611">
      <c r="A611" s="4">
        <f>IFERROR(__xludf.DUMMYFUNCTION("""COMPUTED_VALUE"""),14.0)</f>
        <v>14</v>
      </c>
      <c r="B611" s="4">
        <f>IFERROR(__xludf.DUMMYFUNCTION("""COMPUTED_VALUE"""),14.0)</f>
        <v>14</v>
      </c>
      <c r="C611" s="4" t="str">
        <f>IFERROR(__xludf.DUMMYFUNCTION("""COMPUTED_VALUE"""),"CHI")</f>
        <v>CHI</v>
      </c>
      <c r="D611" s="4" t="str">
        <f>IFERROR(__xludf.DUMMYFUNCTION("""COMPUTED_VALUE"""),"Denzel Valentine")</f>
        <v>Denzel Valentine</v>
      </c>
      <c r="E611" s="4" t="str">
        <f>IFERROR(__xludf.DUMMYFUNCTION("""COMPUTED_VALUE"""),"Michigan State")</f>
        <v>Michigan State</v>
      </c>
      <c r="F611" s="4">
        <f>IFERROR(__xludf.DUMMYFUNCTION("""COMPUTED_VALUE"""),5.0)</f>
        <v>5</v>
      </c>
      <c r="G611" s="4">
        <f>IFERROR(__xludf.DUMMYFUNCTION("""COMPUTED_VALUE"""),256.0)</f>
        <v>256</v>
      </c>
      <c r="H611" s="4">
        <f>IFERROR(__xludf.DUMMYFUNCTION("""COMPUTED_VALUE"""),4817.0)</f>
        <v>4817</v>
      </c>
      <c r="I611" s="4">
        <f>IFERROR(__xludf.DUMMYFUNCTION("""COMPUTED_VALUE"""),1795.0)</f>
        <v>1795</v>
      </c>
      <c r="J611" s="4">
        <f>IFERROR(__xludf.DUMMYFUNCTION("""COMPUTED_VALUE"""),857.0)</f>
        <v>857</v>
      </c>
      <c r="K611" s="4">
        <f>IFERROR(__xludf.DUMMYFUNCTION("""COMPUTED_VALUE"""),466.0)</f>
        <v>466</v>
      </c>
      <c r="L611" s="4">
        <f>IFERROR(__xludf.DUMMYFUNCTION("""COMPUTED_VALUE"""),0.394)</f>
        <v>0.394</v>
      </c>
      <c r="M611" s="4">
        <f>IFERROR(__xludf.DUMMYFUNCTION("""COMPUTED_VALUE"""),0.36)</f>
        <v>0.36</v>
      </c>
      <c r="N611" s="4">
        <f>IFERROR(__xludf.DUMMYFUNCTION("""COMPUTED_VALUE"""),0.787)</f>
        <v>0.787</v>
      </c>
      <c r="O611" s="4">
        <f>IFERROR(__xludf.DUMMYFUNCTION("""COMPUTED_VALUE"""),18.8)</f>
        <v>18.8</v>
      </c>
      <c r="P611" s="4">
        <f>IFERROR(__xludf.DUMMYFUNCTION("""COMPUTED_VALUE"""),7.0)</f>
        <v>7</v>
      </c>
      <c r="Q611" s="4">
        <f>IFERROR(__xludf.DUMMYFUNCTION("""COMPUTED_VALUE"""),3.3)</f>
        <v>3.3</v>
      </c>
      <c r="R611" s="4">
        <f>IFERROR(__xludf.DUMMYFUNCTION("""COMPUTED_VALUE"""),1.8)</f>
        <v>1.8</v>
      </c>
      <c r="S611" s="4">
        <f>IFERROR(__xludf.DUMMYFUNCTION("""COMPUTED_VALUE"""),4.5)</f>
        <v>4.5</v>
      </c>
      <c r="T611" s="4">
        <f>IFERROR(__xludf.DUMMYFUNCTION("""COMPUTED_VALUE"""),0.044)</f>
        <v>0.044</v>
      </c>
      <c r="U611" s="4">
        <f>IFERROR(__xludf.DUMMYFUNCTION("""COMPUTED_VALUE"""),-1.9)</f>
        <v>-1.9</v>
      </c>
      <c r="V611" s="4">
        <f>IFERROR(__xludf.DUMMYFUNCTION("""COMPUTED_VALUE"""),0.2)</f>
        <v>0.2</v>
      </c>
    </row>
    <row r="612">
      <c r="A612" s="4">
        <f>IFERROR(__xludf.DUMMYFUNCTION("""COMPUTED_VALUE"""),15.0)</f>
        <v>15</v>
      </c>
      <c r="B612" s="4">
        <f>IFERROR(__xludf.DUMMYFUNCTION("""COMPUTED_VALUE"""),15.0)</f>
        <v>15</v>
      </c>
      <c r="C612" s="4" t="str">
        <f>IFERROR(__xludf.DUMMYFUNCTION("""COMPUTED_VALUE"""),"DEN")</f>
        <v>DEN</v>
      </c>
      <c r="D612" s="4" t="str">
        <f>IFERROR(__xludf.DUMMYFUNCTION("""COMPUTED_VALUE"""),"Juancho Hernangómez")</f>
        <v>Juancho Hernangómez</v>
      </c>
      <c r="E612" s="4"/>
      <c r="F612" s="4">
        <f>IFERROR(__xludf.DUMMYFUNCTION("""COMPUTED_VALUE"""),7.0)</f>
        <v>7</v>
      </c>
      <c r="G612" s="4">
        <f>IFERROR(__xludf.DUMMYFUNCTION("""COMPUTED_VALUE"""),339.0)</f>
        <v>339</v>
      </c>
      <c r="H612" s="4">
        <f>IFERROR(__xludf.DUMMYFUNCTION("""COMPUTED_VALUE"""),5269.0)</f>
        <v>5269</v>
      </c>
      <c r="I612" s="4">
        <f>IFERROR(__xludf.DUMMYFUNCTION("""COMPUTED_VALUE"""),1711.0)</f>
        <v>1711</v>
      </c>
      <c r="J612" s="4">
        <f>IFERROR(__xludf.DUMMYFUNCTION("""COMPUTED_VALUE"""),1131.0)</f>
        <v>1131</v>
      </c>
      <c r="K612" s="4">
        <f>IFERROR(__xludf.DUMMYFUNCTION("""COMPUTED_VALUE"""),216.0)</f>
        <v>216</v>
      </c>
      <c r="L612" s="4">
        <f>IFERROR(__xludf.DUMMYFUNCTION("""COMPUTED_VALUE"""),0.428)</f>
        <v>0.428</v>
      </c>
      <c r="M612" s="4">
        <f>IFERROR(__xludf.DUMMYFUNCTION("""COMPUTED_VALUE"""),0.342)</f>
        <v>0.342</v>
      </c>
      <c r="N612" s="4">
        <f>IFERROR(__xludf.DUMMYFUNCTION("""COMPUTED_VALUE"""),0.676)</f>
        <v>0.676</v>
      </c>
      <c r="O612" s="4">
        <f>IFERROR(__xludf.DUMMYFUNCTION("""COMPUTED_VALUE"""),15.5)</f>
        <v>15.5</v>
      </c>
      <c r="P612" s="4">
        <f>IFERROR(__xludf.DUMMYFUNCTION("""COMPUTED_VALUE"""),5.0)</f>
        <v>5</v>
      </c>
      <c r="Q612" s="4">
        <f>IFERROR(__xludf.DUMMYFUNCTION("""COMPUTED_VALUE"""),3.3)</f>
        <v>3.3</v>
      </c>
      <c r="R612" s="4">
        <f>IFERROR(__xludf.DUMMYFUNCTION("""COMPUTED_VALUE"""),0.6)</f>
        <v>0.6</v>
      </c>
      <c r="S612" s="4">
        <f>IFERROR(__xludf.DUMMYFUNCTION("""COMPUTED_VALUE"""),8.7)</f>
        <v>8.7</v>
      </c>
      <c r="T612" s="4">
        <f>IFERROR(__xludf.DUMMYFUNCTION("""COMPUTED_VALUE"""),0.08)</f>
        <v>0.08</v>
      </c>
      <c r="U612" s="4">
        <f>IFERROR(__xludf.DUMMYFUNCTION("""COMPUTED_VALUE"""),-1.9)</f>
        <v>-1.9</v>
      </c>
      <c r="V612" s="4">
        <f>IFERROR(__xludf.DUMMYFUNCTION("""COMPUTED_VALUE"""),0.1)</f>
        <v>0.1</v>
      </c>
    </row>
    <row r="613">
      <c r="A613" s="4">
        <f>IFERROR(__xludf.DUMMYFUNCTION("""COMPUTED_VALUE"""),16.0)</f>
        <v>16</v>
      </c>
      <c r="B613" s="4">
        <f>IFERROR(__xludf.DUMMYFUNCTION("""COMPUTED_VALUE"""),16.0)</f>
        <v>16</v>
      </c>
      <c r="C613" s="4" t="str">
        <f>IFERROR(__xludf.DUMMYFUNCTION("""COMPUTED_VALUE"""),"BOS")</f>
        <v>BOS</v>
      </c>
      <c r="D613" s="4" t="str">
        <f>IFERROR(__xludf.DUMMYFUNCTION("""COMPUTED_VALUE"""),"Guerschon Yabusele")</f>
        <v>Guerschon Yabusele</v>
      </c>
      <c r="E613" s="4"/>
      <c r="F613" s="4">
        <f>IFERROR(__xludf.DUMMYFUNCTION("""COMPUTED_VALUE"""),4.0)</f>
        <v>4</v>
      </c>
      <c r="G613" s="4">
        <f>IFERROR(__xludf.DUMMYFUNCTION("""COMPUTED_VALUE"""),163.0)</f>
        <v>163</v>
      </c>
      <c r="H613" s="4">
        <f>IFERROR(__xludf.DUMMYFUNCTION("""COMPUTED_VALUE"""),2575.0)</f>
        <v>2575</v>
      </c>
      <c r="I613" s="4">
        <f>IFERROR(__xludf.DUMMYFUNCTION("""COMPUTED_VALUE"""),993.0)</f>
        <v>993</v>
      </c>
      <c r="J613" s="4">
        <f>IFERROR(__xludf.DUMMYFUNCTION("""COMPUTED_VALUE"""),544.0)</f>
        <v>544</v>
      </c>
      <c r="K613" s="4">
        <f>IFERROR(__xludf.DUMMYFUNCTION("""COMPUTED_VALUE"""),188.0)</f>
        <v>188</v>
      </c>
      <c r="L613" s="4">
        <f>IFERROR(__xludf.DUMMYFUNCTION("""COMPUTED_VALUE"""),0.479)</f>
        <v>0.479</v>
      </c>
      <c r="M613" s="4">
        <f>IFERROR(__xludf.DUMMYFUNCTION("""COMPUTED_VALUE"""),0.359)</f>
        <v>0.359</v>
      </c>
      <c r="N613" s="4">
        <f>IFERROR(__xludf.DUMMYFUNCTION("""COMPUTED_VALUE"""),0.705)</f>
        <v>0.705</v>
      </c>
      <c r="O613" s="4">
        <f>IFERROR(__xludf.DUMMYFUNCTION("""COMPUTED_VALUE"""),15.8)</f>
        <v>15.8</v>
      </c>
      <c r="P613" s="4">
        <f>IFERROR(__xludf.DUMMYFUNCTION("""COMPUTED_VALUE"""),6.1)</f>
        <v>6.1</v>
      </c>
      <c r="Q613" s="4">
        <f>IFERROR(__xludf.DUMMYFUNCTION("""COMPUTED_VALUE"""),3.3)</f>
        <v>3.3</v>
      </c>
      <c r="R613" s="4">
        <f>IFERROR(__xludf.DUMMYFUNCTION("""COMPUTED_VALUE"""),1.2)</f>
        <v>1.2</v>
      </c>
      <c r="S613" s="4">
        <f>IFERROR(__xludf.DUMMYFUNCTION("""COMPUTED_VALUE"""),5.2)</f>
        <v>5.2</v>
      </c>
      <c r="T613" s="4">
        <f>IFERROR(__xludf.DUMMYFUNCTION("""COMPUTED_VALUE"""),0.096)</f>
        <v>0.096</v>
      </c>
      <c r="U613" s="4">
        <f>IFERROR(__xludf.DUMMYFUNCTION("""COMPUTED_VALUE"""),-1.5)</f>
        <v>-1.5</v>
      </c>
      <c r="V613" s="4">
        <f>IFERROR(__xludf.DUMMYFUNCTION("""COMPUTED_VALUE"""),0.3)</f>
        <v>0.3</v>
      </c>
    </row>
    <row r="614">
      <c r="A614" s="4">
        <f>IFERROR(__xludf.DUMMYFUNCTION("""COMPUTED_VALUE"""),17.0)</f>
        <v>17</v>
      </c>
      <c r="B614" s="4">
        <f>IFERROR(__xludf.DUMMYFUNCTION("""COMPUTED_VALUE"""),17.0)</f>
        <v>17</v>
      </c>
      <c r="C614" s="4" t="str">
        <f>IFERROR(__xludf.DUMMYFUNCTION("""COMPUTED_VALUE"""),"MEM")</f>
        <v>MEM</v>
      </c>
      <c r="D614" s="4" t="str">
        <f>IFERROR(__xludf.DUMMYFUNCTION("""COMPUTED_VALUE"""),"Wade Baldwin")</f>
        <v>Wade Baldwin</v>
      </c>
      <c r="E614" s="4" t="str">
        <f>IFERROR(__xludf.DUMMYFUNCTION("""COMPUTED_VALUE"""),"Vanderbilt")</f>
        <v>Vanderbilt</v>
      </c>
      <c r="F614" s="4">
        <f>IFERROR(__xludf.DUMMYFUNCTION("""COMPUTED_VALUE"""),3.0)</f>
        <v>3</v>
      </c>
      <c r="G614" s="4">
        <f>IFERROR(__xludf.DUMMYFUNCTION("""COMPUTED_VALUE"""),56.0)</f>
        <v>56</v>
      </c>
      <c r="H614" s="4">
        <f>IFERROR(__xludf.DUMMYFUNCTION("""COMPUTED_VALUE"""),579.0)</f>
        <v>579</v>
      </c>
      <c r="I614" s="4">
        <f>IFERROR(__xludf.DUMMYFUNCTION("""COMPUTED_VALUE"""),174.0)</f>
        <v>174</v>
      </c>
      <c r="J614" s="4">
        <f>IFERROR(__xludf.DUMMYFUNCTION("""COMPUTED_VALUE"""),69.0)</f>
        <v>69</v>
      </c>
      <c r="K614" s="4">
        <f>IFERROR(__xludf.DUMMYFUNCTION("""COMPUTED_VALUE"""),78.0)</f>
        <v>78</v>
      </c>
      <c r="L614" s="4">
        <f>IFERROR(__xludf.DUMMYFUNCTION("""COMPUTED_VALUE"""),0.355)</f>
        <v>0.355</v>
      </c>
      <c r="M614" s="4">
        <f>IFERROR(__xludf.DUMMYFUNCTION("""COMPUTED_VALUE"""),0.25)</f>
        <v>0.25</v>
      </c>
      <c r="N614" s="4">
        <f>IFERROR(__xludf.DUMMYFUNCTION("""COMPUTED_VALUE"""),0.776)</f>
        <v>0.776</v>
      </c>
      <c r="O614" s="4">
        <f>IFERROR(__xludf.DUMMYFUNCTION("""COMPUTED_VALUE"""),10.3)</f>
        <v>10.3</v>
      </c>
      <c r="P614" s="4">
        <f>IFERROR(__xludf.DUMMYFUNCTION("""COMPUTED_VALUE"""),3.1)</f>
        <v>3.1</v>
      </c>
      <c r="Q614" s="4">
        <f>IFERROR(__xludf.DUMMYFUNCTION("""COMPUTED_VALUE"""),1.2)</f>
        <v>1.2</v>
      </c>
      <c r="R614" s="4">
        <f>IFERROR(__xludf.DUMMYFUNCTION("""COMPUTED_VALUE"""),1.4)</f>
        <v>1.4</v>
      </c>
      <c r="S614" s="4">
        <f>IFERROR(__xludf.DUMMYFUNCTION("""COMPUTED_VALUE"""),-0.3)</f>
        <v>-0.3</v>
      </c>
      <c r="T614" s="4">
        <f>IFERROR(__xludf.DUMMYFUNCTION("""COMPUTED_VALUE"""),-0.028)</f>
        <v>-0.028</v>
      </c>
      <c r="U614" s="4">
        <f>IFERROR(__xludf.DUMMYFUNCTION("""COMPUTED_VALUE"""),-5.3)</f>
        <v>-5.3</v>
      </c>
      <c r="V614" s="4">
        <f>IFERROR(__xludf.DUMMYFUNCTION("""COMPUTED_VALUE"""),-0.5)</f>
        <v>-0.5</v>
      </c>
    </row>
    <row r="615">
      <c r="A615" s="4">
        <f>IFERROR(__xludf.DUMMYFUNCTION("""COMPUTED_VALUE"""),18.0)</f>
        <v>18</v>
      </c>
      <c r="B615" s="4">
        <f>IFERROR(__xludf.DUMMYFUNCTION("""COMPUTED_VALUE"""),18.0)</f>
        <v>18</v>
      </c>
      <c r="C615" s="4" t="str">
        <f>IFERROR(__xludf.DUMMYFUNCTION("""COMPUTED_VALUE"""),"DET")</f>
        <v>DET</v>
      </c>
      <c r="D615" s="4" t="str">
        <f>IFERROR(__xludf.DUMMYFUNCTION("""COMPUTED_VALUE"""),"Henry Ellenson")</f>
        <v>Henry Ellenson</v>
      </c>
      <c r="E615" s="4" t="str">
        <f>IFERROR(__xludf.DUMMYFUNCTION("""COMPUTED_VALUE"""),"Marquette")</f>
        <v>Marquette</v>
      </c>
      <c r="F615" s="4">
        <f>IFERROR(__xludf.DUMMYFUNCTION("""COMPUTED_VALUE"""),5.0)</f>
        <v>5</v>
      </c>
      <c r="G615" s="4">
        <f>IFERROR(__xludf.DUMMYFUNCTION("""COMPUTED_VALUE"""),83.0)</f>
        <v>83</v>
      </c>
      <c r="H615" s="4">
        <f>IFERROR(__xludf.DUMMYFUNCTION("""COMPUTED_VALUE"""),787.0)</f>
        <v>787</v>
      </c>
      <c r="I615" s="4">
        <f>IFERROR(__xludf.DUMMYFUNCTION("""COMPUTED_VALUE"""),342.0)</f>
        <v>342</v>
      </c>
      <c r="J615" s="4">
        <f>IFERROR(__xludf.DUMMYFUNCTION("""COMPUTED_VALUE"""),206.0)</f>
        <v>206</v>
      </c>
      <c r="K615" s="4">
        <f>IFERROR(__xludf.DUMMYFUNCTION("""COMPUTED_VALUE"""),49.0)</f>
        <v>49</v>
      </c>
      <c r="L615" s="4">
        <f>IFERROR(__xludf.DUMMYFUNCTION("""COMPUTED_VALUE"""),0.371)</f>
        <v>0.371</v>
      </c>
      <c r="M615" s="4">
        <f>IFERROR(__xludf.DUMMYFUNCTION("""COMPUTED_VALUE"""),0.336)</f>
        <v>0.336</v>
      </c>
      <c r="N615" s="4">
        <f>IFERROR(__xludf.DUMMYFUNCTION("""COMPUTED_VALUE"""),0.773)</f>
        <v>0.773</v>
      </c>
      <c r="O615" s="4">
        <f>IFERROR(__xludf.DUMMYFUNCTION("""COMPUTED_VALUE"""),9.5)</f>
        <v>9.5</v>
      </c>
      <c r="P615" s="4">
        <f>IFERROR(__xludf.DUMMYFUNCTION("""COMPUTED_VALUE"""),4.1)</f>
        <v>4.1</v>
      </c>
      <c r="Q615" s="4">
        <f>IFERROR(__xludf.DUMMYFUNCTION("""COMPUTED_VALUE"""),2.5)</f>
        <v>2.5</v>
      </c>
      <c r="R615" s="4">
        <f>IFERROR(__xludf.DUMMYFUNCTION("""COMPUTED_VALUE"""),0.6)</f>
        <v>0.6</v>
      </c>
      <c r="S615" s="4">
        <f>IFERROR(__xludf.DUMMYFUNCTION("""COMPUTED_VALUE"""),0.4)</f>
        <v>0.4</v>
      </c>
      <c r="T615" s="4">
        <f>IFERROR(__xludf.DUMMYFUNCTION("""COMPUTED_VALUE"""),0.023)</f>
        <v>0.023</v>
      </c>
      <c r="U615" s="4">
        <f>IFERROR(__xludf.DUMMYFUNCTION("""COMPUTED_VALUE"""),-3.7)</f>
        <v>-3.7</v>
      </c>
      <c r="V615" s="4">
        <f>IFERROR(__xludf.DUMMYFUNCTION("""COMPUTED_VALUE"""),-0.3)</f>
        <v>-0.3</v>
      </c>
    </row>
    <row r="616">
      <c r="A616" s="4">
        <f>IFERROR(__xludf.DUMMYFUNCTION("""COMPUTED_VALUE"""),19.0)</f>
        <v>19</v>
      </c>
      <c r="B616" s="4">
        <f>IFERROR(__xludf.DUMMYFUNCTION("""COMPUTED_VALUE"""),19.0)</f>
        <v>19</v>
      </c>
      <c r="C616" s="4" t="str">
        <f>IFERROR(__xludf.DUMMYFUNCTION("""COMPUTED_VALUE"""),"DEN")</f>
        <v>DEN</v>
      </c>
      <c r="D616" s="4" t="str">
        <f>IFERROR(__xludf.DUMMYFUNCTION("""COMPUTED_VALUE"""),"Malik Beasley")</f>
        <v>Malik Beasley</v>
      </c>
      <c r="E616" s="4" t="str">
        <f>IFERROR(__xludf.DUMMYFUNCTION("""COMPUTED_VALUE"""),"Florida State")</f>
        <v>Florida State</v>
      </c>
      <c r="F616" s="4">
        <f>IFERROR(__xludf.DUMMYFUNCTION("""COMPUTED_VALUE"""),9.0)</f>
        <v>9</v>
      </c>
      <c r="G616" s="4">
        <f>IFERROR(__xludf.DUMMYFUNCTION("""COMPUTED_VALUE"""),578.0)</f>
        <v>578</v>
      </c>
      <c r="H616" s="4">
        <f>IFERROR(__xludf.DUMMYFUNCTION("""COMPUTED_VALUE"""),13739.0)</f>
        <v>13739</v>
      </c>
      <c r="I616" s="4">
        <f>IFERROR(__xludf.DUMMYFUNCTION("""COMPUTED_VALUE"""),6738.0)</f>
        <v>6738</v>
      </c>
      <c r="J616" s="4">
        <f>IFERROR(__xludf.DUMMYFUNCTION("""COMPUTED_VALUE"""),1612.0)</f>
        <v>1612</v>
      </c>
      <c r="K616" s="4">
        <f>IFERROR(__xludf.DUMMYFUNCTION("""COMPUTED_VALUE"""),789.0)</f>
        <v>789</v>
      </c>
      <c r="L616" s="4">
        <f>IFERROR(__xludf.DUMMYFUNCTION("""COMPUTED_VALUE"""),0.426)</f>
        <v>0.426</v>
      </c>
      <c r="M616" s="4">
        <f>IFERROR(__xludf.DUMMYFUNCTION("""COMPUTED_VALUE"""),0.391)</f>
        <v>0.391</v>
      </c>
      <c r="N616" s="4">
        <f>IFERROR(__xludf.DUMMYFUNCTION("""COMPUTED_VALUE"""),0.769)</f>
        <v>0.769</v>
      </c>
      <c r="O616" s="4">
        <f>IFERROR(__xludf.DUMMYFUNCTION("""COMPUTED_VALUE"""),23.8)</f>
        <v>23.8</v>
      </c>
      <c r="P616" s="4">
        <f>IFERROR(__xludf.DUMMYFUNCTION("""COMPUTED_VALUE"""),11.7)</f>
        <v>11.7</v>
      </c>
      <c r="Q616" s="4">
        <f>IFERROR(__xludf.DUMMYFUNCTION("""COMPUTED_VALUE"""),2.8)</f>
        <v>2.8</v>
      </c>
      <c r="R616" s="4">
        <f>IFERROR(__xludf.DUMMYFUNCTION("""COMPUTED_VALUE"""),1.4)</f>
        <v>1.4</v>
      </c>
      <c r="S616" s="4">
        <f>IFERROR(__xludf.DUMMYFUNCTION("""COMPUTED_VALUE"""),20.1)</f>
        <v>20.1</v>
      </c>
      <c r="T616" s="4">
        <f>IFERROR(__xludf.DUMMYFUNCTION("""COMPUTED_VALUE"""),0.07)</f>
        <v>0.07</v>
      </c>
      <c r="U616" s="4">
        <f>IFERROR(__xludf.DUMMYFUNCTION("""COMPUTED_VALUE"""),-0.9)</f>
        <v>-0.9</v>
      </c>
      <c r="V616" s="4">
        <f>IFERROR(__xludf.DUMMYFUNCTION("""COMPUTED_VALUE"""),3.7)</f>
        <v>3.7</v>
      </c>
    </row>
    <row r="617">
      <c r="A617" s="4">
        <f>IFERROR(__xludf.DUMMYFUNCTION("""COMPUTED_VALUE"""),20.0)</f>
        <v>20</v>
      </c>
      <c r="B617" s="4">
        <f>IFERROR(__xludf.DUMMYFUNCTION("""COMPUTED_VALUE"""),20.0)</f>
        <v>20</v>
      </c>
      <c r="C617" s="4" t="str">
        <f>IFERROR(__xludf.DUMMYFUNCTION("""COMPUTED_VALUE"""),"IND")</f>
        <v>IND</v>
      </c>
      <c r="D617" s="4" t="str">
        <f>IFERROR(__xludf.DUMMYFUNCTION("""COMPUTED_VALUE"""),"Caris LeVert")</f>
        <v>Caris LeVert</v>
      </c>
      <c r="E617" s="4" t="str">
        <f>IFERROR(__xludf.DUMMYFUNCTION("""COMPUTED_VALUE"""),"Michigan")</f>
        <v>Michigan</v>
      </c>
      <c r="F617" s="4">
        <f>IFERROR(__xludf.DUMMYFUNCTION("""COMPUTED_VALUE"""),10.0)</f>
        <v>10</v>
      </c>
      <c r="G617" s="4">
        <f>IFERROR(__xludf.DUMMYFUNCTION("""COMPUTED_VALUE"""),539.0)</f>
        <v>539</v>
      </c>
      <c r="H617" s="4">
        <f>IFERROR(__xludf.DUMMYFUNCTION("""COMPUTED_VALUE"""),14857.0)</f>
        <v>14857</v>
      </c>
      <c r="I617" s="4">
        <f>IFERROR(__xludf.DUMMYFUNCTION("""COMPUTED_VALUE"""),7423.0)</f>
        <v>7423</v>
      </c>
      <c r="J617" s="4">
        <f>IFERROR(__xludf.DUMMYFUNCTION("""COMPUTED_VALUE"""),2005.0)</f>
        <v>2005</v>
      </c>
      <c r="K617" s="4">
        <f>IFERROR(__xludf.DUMMYFUNCTION("""COMPUTED_VALUE"""),2148.0)</f>
        <v>2148</v>
      </c>
      <c r="L617" s="4">
        <f>IFERROR(__xludf.DUMMYFUNCTION("""COMPUTED_VALUE"""),0.438)</f>
        <v>0.438</v>
      </c>
      <c r="M617" s="4">
        <f>IFERROR(__xludf.DUMMYFUNCTION("""COMPUTED_VALUE"""),0.347)</f>
        <v>0.347</v>
      </c>
      <c r="N617" s="4">
        <f>IFERROR(__xludf.DUMMYFUNCTION("""COMPUTED_VALUE"""),0.733)</f>
        <v>0.733</v>
      </c>
      <c r="O617" s="4">
        <f>IFERROR(__xludf.DUMMYFUNCTION("""COMPUTED_VALUE"""),27.6)</f>
        <v>27.6</v>
      </c>
      <c r="P617" s="4">
        <f>IFERROR(__xludf.DUMMYFUNCTION("""COMPUTED_VALUE"""),13.8)</f>
        <v>13.8</v>
      </c>
      <c r="Q617" s="4">
        <f>IFERROR(__xludf.DUMMYFUNCTION("""COMPUTED_VALUE"""),3.7)</f>
        <v>3.7</v>
      </c>
      <c r="R617" s="4">
        <f>IFERROR(__xludf.DUMMYFUNCTION("""COMPUTED_VALUE"""),4.0)</f>
        <v>4</v>
      </c>
      <c r="S617" s="4">
        <f>IFERROR(__xludf.DUMMYFUNCTION("""COMPUTED_VALUE"""),24.5)</f>
        <v>24.5</v>
      </c>
      <c r="T617" s="4">
        <f>IFERROR(__xludf.DUMMYFUNCTION("""COMPUTED_VALUE"""),0.079)</f>
        <v>0.079</v>
      </c>
      <c r="U617" s="4">
        <f>IFERROR(__xludf.DUMMYFUNCTION("""COMPUTED_VALUE"""),-0.2)</f>
        <v>-0.2</v>
      </c>
      <c r="V617" s="4">
        <f>IFERROR(__xludf.DUMMYFUNCTION("""COMPUTED_VALUE"""),6.7)</f>
        <v>6.7</v>
      </c>
    </row>
    <row r="618">
      <c r="A618" s="4">
        <f>IFERROR(__xludf.DUMMYFUNCTION("""COMPUTED_VALUE"""),21.0)</f>
        <v>21</v>
      </c>
      <c r="B618" s="4">
        <f>IFERROR(__xludf.DUMMYFUNCTION("""COMPUTED_VALUE"""),21.0)</f>
        <v>21</v>
      </c>
      <c r="C618" s="4" t="str">
        <f>IFERROR(__xludf.DUMMYFUNCTION("""COMPUTED_VALUE"""),"ATL")</f>
        <v>ATL</v>
      </c>
      <c r="D618" s="4" t="str">
        <f>IFERROR(__xludf.DUMMYFUNCTION("""COMPUTED_VALUE"""),"DeAndre' Bembry")</f>
        <v>DeAndre' Bembry</v>
      </c>
      <c r="E618" s="4" t="str">
        <f>IFERROR(__xludf.DUMMYFUNCTION("""COMPUTED_VALUE"""),"Saint Joseph's")</f>
        <v>Saint Joseph's</v>
      </c>
      <c r="F618" s="4">
        <f>IFERROR(__xludf.DUMMYFUNCTION("""COMPUTED_VALUE"""),6.0)</f>
        <v>6</v>
      </c>
      <c r="G618" s="4">
        <f>IFERROR(__xludf.DUMMYFUNCTION("""COMPUTED_VALUE"""),296.0)</f>
        <v>296</v>
      </c>
      <c r="H618" s="4">
        <f>IFERROR(__xludf.DUMMYFUNCTION("""COMPUTED_VALUE"""),5670.0)</f>
        <v>5670</v>
      </c>
      <c r="I618" s="4">
        <f>IFERROR(__xludf.DUMMYFUNCTION("""COMPUTED_VALUE"""),1750.0)</f>
        <v>1750</v>
      </c>
      <c r="J618" s="4">
        <f>IFERROR(__xludf.DUMMYFUNCTION("""COMPUTED_VALUE"""),950.0)</f>
        <v>950</v>
      </c>
      <c r="K618" s="4">
        <f>IFERROR(__xludf.DUMMYFUNCTION("""COMPUTED_VALUE"""),533.0)</f>
        <v>533</v>
      </c>
      <c r="L618" s="4">
        <f>IFERROR(__xludf.DUMMYFUNCTION("""COMPUTED_VALUE"""),0.474)</f>
        <v>0.474</v>
      </c>
      <c r="M618" s="4">
        <f>IFERROR(__xludf.DUMMYFUNCTION("""COMPUTED_VALUE"""),0.283)</f>
        <v>0.283</v>
      </c>
      <c r="N618" s="4">
        <f>IFERROR(__xludf.DUMMYFUNCTION("""COMPUTED_VALUE"""),0.611)</f>
        <v>0.611</v>
      </c>
      <c r="O618" s="4">
        <f>IFERROR(__xludf.DUMMYFUNCTION("""COMPUTED_VALUE"""),19.2)</f>
        <v>19.2</v>
      </c>
      <c r="P618" s="4">
        <f>IFERROR(__xludf.DUMMYFUNCTION("""COMPUTED_VALUE"""),5.9)</f>
        <v>5.9</v>
      </c>
      <c r="Q618" s="4">
        <f>IFERROR(__xludf.DUMMYFUNCTION("""COMPUTED_VALUE"""),3.2)</f>
        <v>3.2</v>
      </c>
      <c r="R618" s="4">
        <f>IFERROR(__xludf.DUMMYFUNCTION("""COMPUTED_VALUE"""),1.8)</f>
        <v>1.8</v>
      </c>
      <c r="S618" s="4">
        <f>IFERROR(__xludf.DUMMYFUNCTION("""COMPUTED_VALUE"""),4.4)</f>
        <v>4.4</v>
      </c>
      <c r="T618" s="4">
        <f>IFERROR(__xludf.DUMMYFUNCTION("""COMPUTED_VALUE"""),0.038)</f>
        <v>0.038</v>
      </c>
      <c r="U618" s="4">
        <f>IFERROR(__xludf.DUMMYFUNCTION("""COMPUTED_VALUE"""),-2.3)</f>
        <v>-2.3</v>
      </c>
      <c r="V618" s="4">
        <f>IFERROR(__xludf.DUMMYFUNCTION("""COMPUTED_VALUE"""),-0.4)</f>
        <v>-0.4</v>
      </c>
    </row>
    <row r="619">
      <c r="A619" s="4">
        <f>IFERROR(__xludf.DUMMYFUNCTION("""COMPUTED_VALUE"""),22.0)</f>
        <v>22</v>
      </c>
      <c r="B619" s="4">
        <f>IFERROR(__xludf.DUMMYFUNCTION("""COMPUTED_VALUE"""),22.0)</f>
        <v>22</v>
      </c>
      <c r="C619" s="4" t="str">
        <f>IFERROR(__xludf.DUMMYFUNCTION("""COMPUTED_VALUE"""),"CHO")</f>
        <v>CHO</v>
      </c>
      <c r="D619" s="4" t="str">
        <f>IFERROR(__xludf.DUMMYFUNCTION("""COMPUTED_VALUE"""),"Malachi Richardson")</f>
        <v>Malachi Richardson</v>
      </c>
      <c r="E619" s="4" t="str">
        <f>IFERROR(__xludf.DUMMYFUNCTION("""COMPUTED_VALUE"""),"Syracuse")</f>
        <v>Syracuse</v>
      </c>
      <c r="F619" s="4">
        <f>IFERROR(__xludf.DUMMYFUNCTION("""COMPUTED_VALUE"""),3.0)</f>
        <v>3</v>
      </c>
      <c r="G619" s="4">
        <f>IFERROR(__xludf.DUMMYFUNCTION("""COMPUTED_VALUE"""),70.0)</f>
        <v>70</v>
      </c>
      <c r="H619" s="4">
        <f>IFERROR(__xludf.DUMMYFUNCTION("""COMPUTED_VALUE"""),625.0)</f>
        <v>625</v>
      </c>
      <c r="I619" s="4">
        <f>IFERROR(__xludf.DUMMYFUNCTION("""COMPUTED_VALUE"""),198.0)</f>
        <v>198</v>
      </c>
      <c r="J619" s="4">
        <f>IFERROR(__xludf.DUMMYFUNCTION("""COMPUTED_VALUE"""),70.0)</f>
        <v>70</v>
      </c>
      <c r="K619" s="4">
        <f>IFERROR(__xludf.DUMMYFUNCTION("""COMPUTED_VALUE"""),24.0)</f>
        <v>24</v>
      </c>
      <c r="L619" s="4">
        <f>IFERROR(__xludf.DUMMYFUNCTION("""COMPUTED_VALUE"""),0.358)</f>
        <v>0.358</v>
      </c>
      <c r="M619" s="4">
        <f>IFERROR(__xludf.DUMMYFUNCTION("""COMPUTED_VALUE"""),0.301)</f>
        <v>0.301</v>
      </c>
      <c r="N619" s="4">
        <f>IFERROR(__xludf.DUMMYFUNCTION("""COMPUTED_VALUE"""),0.783)</f>
        <v>0.783</v>
      </c>
      <c r="O619" s="4">
        <f>IFERROR(__xludf.DUMMYFUNCTION("""COMPUTED_VALUE"""),8.9)</f>
        <v>8.9</v>
      </c>
      <c r="P619" s="4">
        <f>IFERROR(__xludf.DUMMYFUNCTION("""COMPUTED_VALUE"""),2.8)</f>
        <v>2.8</v>
      </c>
      <c r="Q619" s="4">
        <f>IFERROR(__xludf.DUMMYFUNCTION("""COMPUTED_VALUE"""),1.0)</f>
        <v>1</v>
      </c>
      <c r="R619" s="4">
        <f>IFERROR(__xludf.DUMMYFUNCTION("""COMPUTED_VALUE"""),0.3)</f>
        <v>0.3</v>
      </c>
      <c r="S619" s="4">
        <f>IFERROR(__xludf.DUMMYFUNCTION("""COMPUTED_VALUE"""),-0.1)</f>
        <v>-0.1</v>
      </c>
      <c r="T619" s="4">
        <f>IFERROR(__xludf.DUMMYFUNCTION("""COMPUTED_VALUE"""),-0.009)</f>
        <v>-0.009</v>
      </c>
      <c r="U619" s="4">
        <f>IFERROR(__xludf.DUMMYFUNCTION("""COMPUTED_VALUE"""),-6.1)</f>
        <v>-6.1</v>
      </c>
      <c r="V619" s="4">
        <f>IFERROR(__xludf.DUMMYFUNCTION("""COMPUTED_VALUE"""),-0.7)</f>
        <v>-0.7</v>
      </c>
    </row>
    <row r="620">
      <c r="A620" s="4">
        <f>IFERROR(__xludf.DUMMYFUNCTION("""COMPUTED_VALUE"""),23.0)</f>
        <v>23</v>
      </c>
      <c r="B620" s="4">
        <f>IFERROR(__xludf.DUMMYFUNCTION("""COMPUTED_VALUE"""),23.0)</f>
        <v>23</v>
      </c>
      <c r="C620" s="4" t="str">
        <f>IFERROR(__xludf.DUMMYFUNCTION("""COMPUTED_VALUE"""),"BOS")</f>
        <v>BOS</v>
      </c>
      <c r="D620" s="4" t="str">
        <f>IFERROR(__xludf.DUMMYFUNCTION("""COMPUTED_VALUE"""),"Ante Žižić")</f>
        <v>Ante Žižić</v>
      </c>
      <c r="E620" s="4"/>
      <c r="F620" s="4">
        <f>IFERROR(__xludf.DUMMYFUNCTION("""COMPUTED_VALUE"""),3.0)</f>
        <v>3</v>
      </c>
      <c r="G620" s="4">
        <f>IFERROR(__xludf.DUMMYFUNCTION("""COMPUTED_VALUE"""),113.0)</f>
        <v>113</v>
      </c>
      <c r="H620" s="4">
        <f>IFERROR(__xludf.DUMMYFUNCTION("""COMPUTED_VALUE"""),1517.0)</f>
        <v>1517</v>
      </c>
      <c r="I620" s="4">
        <f>IFERROR(__xludf.DUMMYFUNCTION("""COMPUTED_VALUE"""),674.0)</f>
        <v>674</v>
      </c>
      <c r="J620" s="4">
        <f>IFERROR(__xludf.DUMMYFUNCTION("""COMPUTED_VALUE"""),446.0)</f>
        <v>446</v>
      </c>
      <c r="K620" s="4">
        <f>IFERROR(__xludf.DUMMYFUNCTION("""COMPUTED_VALUE"""),64.0)</f>
        <v>64</v>
      </c>
      <c r="L620" s="4">
        <f>IFERROR(__xludf.DUMMYFUNCTION("""COMPUTED_VALUE"""),0.581)</f>
        <v>0.581</v>
      </c>
      <c r="M620" s="4"/>
      <c r="N620" s="4">
        <f>IFERROR(__xludf.DUMMYFUNCTION("""COMPUTED_VALUE"""),0.711)</f>
        <v>0.711</v>
      </c>
      <c r="O620" s="4">
        <f>IFERROR(__xludf.DUMMYFUNCTION("""COMPUTED_VALUE"""),13.4)</f>
        <v>13.4</v>
      </c>
      <c r="P620" s="4">
        <f>IFERROR(__xludf.DUMMYFUNCTION("""COMPUTED_VALUE"""),6.0)</f>
        <v>6</v>
      </c>
      <c r="Q620" s="4">
        <f>IFERROR(__xludf.DUMMYFUNCTION("""COMPUTED_VALUE"""),3.9)</f>
        <v>3.9</v>
      </c>
      <c r="R620" s="4">
        <f>IFERROR(__xludf.DUMMYFUNCTION("""COMPUTED_VALUE"""),0.6)</f>
        <v>0.6</v>
      </c>
      <c r="S620" s="4">
        <f>IFERROR(__xludf.DUMMYFUNCTION("""COMPUTED_VALUE"""),3.5)</f>
        <v>3.5</v>
      </c>
      <c r="T620" s="4">
        <f>IFERROR(__xludf.DUMMYFUNCTION("""COMPUTED_VALUE"""),0.11)</f>
        <v>0.11</v>
      </c>
      <c r="U620" s="4">
        <f>IFERROR(__xludf.DUMMYFUNCTION("""COMPUTED_VALUE"""),-2.6)</f>
        <v>-2.6</v>
      </c>
      <c r="V620" s="4">
        <f>IFERROR(__xludf.DUMMYFUNCTION("""COMPUTED_VALUE"""),-0.2)</f>
        <v>-0.2</v>
      </c>
    </row>
    <row r="621">
      <c r="A621" s="4">
        <f>IFERROR(__xludf.DUMMYFUNCTION("""COMPUTED_VALUE"""),24.0)</f>
        <v>24</v>
      </c>
      <c r="B621" s="4">
        <f>IFERROR(__xludf.DUMMYFUNCTION("""COMPUTED_VALUE"""),24.0)</f>
        <v>24</v>
      </c>
      <c r="C621" s="4" t="str">
        <f>IFERROR(__xludf.DUMMYFUNCTION("""COMPUTED_VALUE"""),"PHI")</f>
        <v>PHI</v>
      </c>
      <c r="D621" s="4" t="str">
        <f>IFERROR(__xludf.DUMMYFUNCTION("""COMPUTED_VALUE"""),"Timothé Luwawu-Cabarrot")</f>
        <v>Timothé Luwawu-Cabarrot</v>
      </c>
      <c r="E621" s="4"/>
      <c r="F621" s="4">
        <f>IFERROR(__xludf.DUMMYFUNCTION("""COMPUTED_VALUE"""),6.0)</f>
        <v>6</v>
      </c>
      <c r="G621" s="4">
        <f>IFERROR(__xludf.DUMMYFUNCTION("""COMPUTED_VALUE"""),328.0)</f>
        <v>328</v>
      </c>
      <c r="H621" s="4">
        <f>IFERROR(__xludf.DUMMYFUNCTION("""COMPUTED_VALUE"""),5254.0)</f>
        <v>5254</v>
      </c>
      <c r="I621" s="4">
        <f>IFERROR(__xludf.DUMMYFUNCTION("""COMPUTED_VALUE"""),1937.0)</f>
        <v>1937</v>
      </c>
      <c r="J621" s="4">
        <f>IFERROR(__xludf.DUMMYFUNCTION("""COMPUTED_VALUE"""),656.0)</f>
        <v>656</v>
      </c>
      <c r="K621" s="4">
        <f>IFERROR(__xludf.DUMMYFUNCTION("""COMPUTED_VALUE"""),293.0)</f>
        <v>293</v>
      </c>
      <c r="L621" s="4">
        <f>IFERROR(__xludf.DUMMYFUNCTION("""COMPUTED_VALUE"""),0.391)</f>
        <v>0.391</v>
      </c>
      <c r="M621" s="4">
        <f>IFERROR(__xludf.DUMMYFUNCTION("""COMPUTED_VALUE"""),0.335)</f>
        <v>0.335</v>
      </c>
      <c r="N621" s="4">
        <f>IFERROR(__xludf.DUMMYFUNCTION("""COMPUTED_VALUE"""),0.829)</f>
        <v>0.829</v>
      </c>
      <c r="O621" s="4">
        <f>IFERROR(__xludf.DUMMYFUNCTION("""COMPUTED_VALUE"""),16.0)</f>
        <v>16</v>
      </c>
      <c r="P621" s="4">
        <f>IFERROR(__xludf.DUMMYFUNCTION("""COMPUTED_VALUE"""),5.9)</f>
        <v>5.9</v>
      </c>
      <c r="Q621" s="4">
        <f>IFERROR(__xludf.DUMMYFUNCTION("""COMPUTED_VALUE"""),2.0)</f>
        <v>2</v>
      </c>
      <c r="R621" s="4">
        <f>IFERROR(__xludf.DUMMYFUNCTION("""COMPUTED_VALUE"""),0.9)</f>
        <v>0.9</v>
      </c>
      <c r="S621" s="4">
        <f>IFERROR(__xludf.DUMMYFUNCTION("""COMPUTED_VALUE"""),4.7)</f>
        <v>4.7</v>
      </c>
      <c r="T621" s="4">
        <f>IFERROR(__xludf.DUMMYFUNCTION("""COMPUTED_VALUE"""),0.043)</f>
        <v>0.043</v>
      </c>
      <c r="U621" s="4">
        <f>IFERROR(__xludf.DUMMYFUNCTION("""COMPUTED_VALUE"""),-4.0)</f>
        <v>-4</v>
      </c>
      <c r="V621" s="4">
        <f>IFERROR(__xludf.DUMMYFUNCTION("""COMPUTED_VALUE"""),-2.7)</f>
        <v>-2.7</v>
      </c>
    </row>
    <row r="622">
      <c r="A622" s="4">
        <f>IFERROR(__xludf.DUMMYFUNCTION("""COMPUTED_VALUE"""),25.0)</f>
        <v>25</v>
      </c>
      <c r="B622" s="4">
        <f>IFERROR(__xludf.DUMMYFUNCTION("""COMPUTED_VALUE"""),25.0)</f>
        <v>25</v>
      </c>
      <c r="C622" s="4" t="str">
        <f>IFERROR(__xludf.DUMMYFUNCTION("""COMPUTED_VALUE"""),"LAC")</f>
        <v>LAC</v>
      </c>
      <c r="D622" s="4" t="str">
        <f>IFERROR(__xludf.DUMMYFUNCTION("""COMPUTED_VALUE"""),"Brice Johnson")</f>
        <v>Brice Johnson</v>
      </c>
      <c r="E622" s="4" t="str">
        <f>IFERROR(__xludf.DUMMYFUNCTION("""COMPUTED_VALUE"""),"UNC")</f>
        <v>UNC</v>
      </c>
      <c r="F622" s="4">
        <f>IFERROR(__xludf.DUMMYFUNCTION("""COMPUTED_VALUE"""),2.0)</f>
        <v>2</v>
      </c>
      <c r="G622" s="4">
        <f>IFERROR(__xludf.DUMMYFUNCTION("""COMPUTED_VALUE"""),21.0)</f>
        <v>21</v>
      </c>
      <c r="H622" s="4">
        <f>IFERROR(__xludf.DUMMYFUNCTION("""COMPUTED_VALUE"""),107.0)</f>
        <v>107</v>
      </c>
      <c r="I622" s="4">
        <f>IFERROR(__xludf.DUMMYFUNCTION("""COMPUTED_VALUE"""),47.0)</f>
        <v>47</v>
      </c>
      <c r="J622" s="4">
        <f>IFERROR(__xludf.DUMMYFUNCTION("""COMPUTED_VALUE"""),34.0)</f>
        <v>34</v>
      </c>
      <c r="K622" s="4">
        <f>IFERROR(__xludf.DUMMYFUNCTION("""COMPUTED_VALUE"""),3.0)</f>
        <v>3</v>
      </c>
      <c r="L622" s="4">
        <f>IFERROR(__xludf.DUMMYFUNCTION("""COMPUTED_VALUE"""),0.449)</f>
        <v>0.449</v>
      </c>
      <c r="M622" s="4">
        <f>IFERROR(__xludf.DUMMYFUNCTION("""COMPUTED_VALUE"""),0.0)</f>
        <v>0</v>
      </c>
      <c r="N622" s="4">
        <f>IFERROR(__xludf.DUMMYFUNCTION("""COMPUTED_VALUE"""),0.6)</f>
        <v>0.6</v>
      </c>
      <c r="O622" s="4">
        <f>IFERROR(__xludf.DUMMYFUNCTION("""COMPUTED_VALUE"""),5.1)</f>
        <v>5.1</v>
      </c>
      <c r="P622" s="4">
        <f>IFERROR(__xludf.DUMMYFUNCTION("""COMPUTED_VALUE"""),2.2)</f>
        <v>2.2</v>
      </c>
      <c r="Q622" s="4">
        <f>IFERROR(__xludf.DUMMYFUNCTION("""COMPUTED_VALUE"""),1.6)</f>
        <v>1.6</v>
      </c>
      <c r="R622" s="4">
        <f>IFERROR(__xludf.DUMMYFUNCTION("""COMPUTED_VALUE"""),0.1)</f>
        <v>0.1</v>
      </c>
      <c r="S622" s="4">
        <f>IFERROR(__xludf.DUMMYFUNCTION("""COMPUTED_VALUE"""),0.1)</f>
        <v>0.1</v>
      </c>
      <c r="T622" s="4">
        <f>IFERROR(__xludf.DUMMYFUNCTION("""COMPUTED_VALUE"""),0.062)</f>
        <v>0.062</v>
      </c>
      <c r="U622" s="4">
        <f>IFERROR(__xludf.DUMMYFUNCTION("""COMPUTED_VALUE"""),-0.6)</f>
        <v>-0.6</v>
      </c>
      <c r="V622" s="4">
        <f>IFERROR(__xludf.DUMMYFUNCTION("""COMPUTED_VALUE"""),0.0)</f>
        <v>0</v>
      </c>
    </row>
    <row r="623">
      <c r="A623" s="4">
        <f>IFERROR(__xludf.DUMMYFUNCTION("""COMPUTED_VALUE"""),26.0)</f>
        <v>26</v>
      </c>
      <c r="B623" s="4">
        <f>IFERROR(__xludf.DUMMYFUNCTION("""COMPUTED_VALUE"""),26.0)</f>
        <v>26</v>
      </c>
      <c r="C623" s="4" t="str">
        <f>IFERROR(__xludf.DUMMYFUNCTION("""COMPUTED_VALUE"""),"PHI")</f>
        <v>PHI</v>
      </c>
      <c r="D623" s="4" t="str">
        <f>IFERROR(__xludf.DUMMYFUNCTION("""COMPUTED_VALUE"""),"Furkan Korkmaz")</f>
        <v>Furkan Korkmaz</v>
      </c>
      <c r="E623" s="4"/>
      <c r="F623" s="4">
        <f>IFERROR(__xludf.DUMMYFUNCTION("""COMPUTED_VALUE"""),7.0)</f>
        <v>7</v>
      </c>
      <c r="G623" s="4">
        <f>IFERROR(__xludf.DUMMYFUNCTION("""COMPUTED_VALUE"""),328.0)</f>
        <v>328</v>
      </c>
      <c r="H623" s="4">
        <f>IFERROR(__xludf.DUMMYFUNCTION("""COMPUTED_VALUE"""),5447.0)</f>
        <v>5447</v>
      </c>
      <c r="I623" s="4">
        <f>IFERROR(__xludf.DUMMYFUNCTION("""COMPUTED_VALUE"""),2244.0)</f>
        <v>2244</v>
      </c>
      <c r="J623" s="4">
        <f>IFERROR(__xludf.DUMMYFUNCTION("""COMPUTED_VALUE"""),646.0)</f>
        <v>646</v>
      </c>
      <c r="K623" s="4">
        <f>IFERROR(__xludf.DUMMYFUNCTION("""COMPUTED_VALUE"""),391.0)</f>
        <v>391</v>
      </c>
      <c r="L623" s="4">
        <f>IFERROR(__xludf.DUMMYFUNCTION("""COMPUTED_VALUE"""),0.406)</f>
        <v>0.406</v>
      </c>
      <c r="M623" s="4">
        <f>IFERROR(__xludf.DUMMYFUNCTION("""COMPUTED_VALUE"""),0.356)</f>
        <v>0.356</v>
      </c>
      <c r="N623" s="4">
        <f>IFERROR(__xludf.DUMMYFUNCTION("""COMPUTED_VALUE"""),0.761)</f>
        <v>0.761</v>
      </c>
      <c r="O623" s="4">
        <f>IFERROR(__xludf.DUMMYFUNCTION("""COMPUTED_VALUE"""),16.6)</f>
        <v>16.6</v>
      </c>
      <c r="P623" s="4">
        <f>IFERROR(__xludf.DUMMYFUNCTION("""COMPUTED_VALUE"""),6.8)</f>
        <v>6.8</v>
      </c>
      <c r="Q623" s="4">
        <f>IFERROR(__xludf.DUMMYFUNCTION("""COMPUTED_VALUE"""),2.0)</f>
        <v>2</v>
      </c>
      <c r="R623" s="4">
        <f>IFERROR(__xludf.DUMMYFUNCTION("""COMPUTED_VALUE"""),1.2)</f>
        <v>1.2</v>
      </c>
      <c r="S623" s="4">
        <f>IFERROR(__xludf.DUMMYFUNCTION("""COMPUTED_VALUE"""),7.6)</f>
        <v>7.6</v>
      </c>
      <c r="T623" s="4">
        <f>IFERROR(__xludf.DUMMYFUNCTION("""COMPUTED_VALUE"""),0.067)</f>
        <v>0.067</v>
      </c>
      <c r="U623" s="4">
        <f>IFERROR(__xludf.DUMMYFUNCTION("""COMPUTED_VALUE"""),-2.0)</f>
        <v>-2</v>
      </c>
      <c r="V623" s="4">
        <f>IFERROR(__xludf.DUMMYFUNCTION("""COMPUTED_VALUE"""),0.1)</f>
        <v>0.1</v>
      </c>
    </row>
    <row r="624">
      <c r="A624" s="4">
        <f>IFERROR(__xludf.DUMMYFUNCTION("""COMPUTED_VALUE"""),27.0)</f>
        <v>27</v>
      </c>
      <c r="B624" s="4">
        <f>IFERROR(__xludf.DUMMYFUNCTION("""COMPUTED_VALUE"""),27.0)</f>
        <v>27</v>
      </c>
      <c r="C624" s="4" t="str">
        <f>IFERROR(__xludf.DUMMYFUNCTION("""COMPUTED_VALUE"""),"TOR")</f>
        <v>TOR</v>
      </c>
      <c r="D624" s="4" t="str">
        <f>IFERROR(__xludf.DUMMYFUNCTION("""COMPUTED_VALUE"""),"Pascal Siakam")</f>
        <v>Pascal Siakam</v>
      </c>
      <c r="E624" s="4" t="str">
        <f>IFERROR(__xludf.DUMMYFUNCTION("""COMPUTED_VALUE"""),"New Mexico State")</f>
        <v>New Mexico State</v>
      </c>
      <c r="F624" s="4">
        <f>IFERROR(__xludf.DUMMYFUNCTION("""COMPUTED_VALUE"""),10.0)</f>
        <v>10</v>
      </c>
      <c r="G624" s="4">
        <f>IFERROR(__xludf.DUMMYFUNCTION("""COMPUTED_VALUE"""),649.0)</f>
        <v>649</v>
      </c>
      <c r="H624" s="4">
        <f>IFERROR(__xludf.DUMMYFUNCTION("""COMPUTED_VALUE"""),20324.0)</f>
        <v>20324</v>
      </c>
      <c r="I624" s="4">
        <f>IFERROR(__xludf.DUMMYFUNCTION("""COMPUTED_VALUE"""),11806.0)</f>
        <v>11806</v>
      </c>
      <c r="J624" s="4">
        <f>IFERROR(__xludf.DUMMYFUNCTION("""COMPUTED_VALUE"""),4327.0)</f>
        <v>4327</v>
      </c>
      <c r="K624" s="4">
        <f>IFERROR(__xludf.DUMMYFUNCTION("""COMPUTED_VALUE"""),2346.0)</f>
        <v>2346</v>
      </c>
      <c r="L624" s="4">
        <f>IFERROR(__xludf.DUMMYFUNCTION("""COMPUTED_VALUE"""),0.498)</f>
        <v>0.498</v>
      </c>
      <c r="M624" s="4">
        <f>IFERROR(__xludf.DUMMYFUNCTION("""COMPUTED_VALUE"""),0.339)</f>
        <v>0.339</v>
      </c>
      <c r="N624" s="4">
        <f>IFERROR(__xludf.DUMMYFUNCTION("""COMPUTED_VALUE"""),0.758)</f>
        <v>0.758</v>
      </c>
      <c r="O624" s="4">
        <f>IFERROR(__xludf.DUMMYFUNCTION("""COMPUTED_VALUE"""),31.3)</f>
        <v>31.3</v>
      </c>
      <c r="P624" s="4">
        <f>IFERROR(__xludf.DUMMYFUNCTION("""COMPUTED_VALUE"""),18.2)</f>
        <v>18.2</v>
      </c>
      <c r="Q624" s="4">
        <f>IFERROR(__xludf.DUMMYFUNCTION("""COMPUTED_VALUE"""),6.7)</f>
        <v>6.7</v>
      </c>
      <c r="R624" s="4">
        <f>IFERROR(__xludf.DUMMYFUNCTION("""COMPUTED_VALUE"""),3.6)</f>
        <v>3.6</v>
      </c>
      <c r="S624" s="4">
        <f>IFERROR(__xludf.DUMMYFUNCTION("""COMPUTED_VALUE"""),56.9)</f>
        <v>56.9</v>
      </c>
      <c r="T624" s="4">
        <f>IFERROR(__xludf.DUMMYFUNCTION("""COMPUTED_VALUE"""),0.134)</f>
        <v>0.134</v>
      </c>
      <c r="U624" s="4">
        <f>IFERROR(__xludf.DUMMYFUNCTION("""COMPUTED_VALUE"""),2.0)</f>
        <v>2</v>
      </c>
      <c r="V624" s="4">
        <f>IFERROR(__xludf.DUMMYFUNCTION("""COMPUTED_VALUE"""),20.4)</f>
        <v>20.4</v>
      </c>
    </row>
    <row r="625">
      <c r="A625" s="4">
        <f>IFERROR(__xludf.DUMMYFUNCTION("""COMPUTED_VALUE"""),28.0)</f>
        <v>28</v>
      </c>
      <c r="B625" s="4">
        <f>IFERROR(__xludf.DUMMYFUNCTION("""COMPUTED_VALUE"""),28.0)</f>
        <v>28</v>
      </c>
      <c r="C625" s="4" t="str">
        <f>IFERROR(__xludf.DUMMYFUNCTION("""COMPUTED_VALUE"""),"PHO")</f>
        <v>PHO</v>
      </c>
      <c r="D625" s="4" t="str">
        <f>IFERROR(__xludf.DUMMYFUNCTION("""COMPUTED_VALUE"""),"Skal Labissière")</f>
        <v>Skal Labissière</v>
      </c>
      <c r="E625" s="4" t="str">
        <f>IFERROR(__xludf.DUMMYFUNCTION("""COMPUTED_VALUE"""),"Kentucky")</f>
        <v>Kentucky</v>
      </c>
      <c r="F625" s="4">
        <f>IFERROR(__xludf.DUMMYFUNCTION("""COMPUTED_VALUE"""),5.0)</f>
        <v>5</v>
      </c>
      <c r="G625" s="4">
        <f>IFERROR(__xludf.DUMMYFUNCTION("""COMPUTED_VALUE"""),152.0)</f>
        <v>152</v>
      </c>
      <c r="H625" s="4">
        <f>IFERROR(__xludf.DUMMYFUNCTION("""COMPUTED_VALUE"""),2607.0)</f>
        <v>2607</v>
      </c>
      <c r="I625" s="4">
        <f>IFERROR(__xludf.DUMMYFUNCTION("""COMPUTED_VALUE"""),1074.0)</f>
        <v>1074</v>
      </c>
      <c r="J625" s="4">
        <f>IFERROR(__xludf.DUMMYFUNCTION("""COMPUTED_VALUE"""),665.0)</f>
        <v>665</v>
      </c>
      <c r="K625" s="4">
        <f>IFERROR(__xludf.DUMMYFUNCTION("""COMPUTED_VALUE"""),153.0)</f>
        <v>153</v>
      </c>
      <c r="L625" s="4">
        <f>IFERROR(__xludf.DUMMYFUNCTION("""COMPUTED_VALUE"""),0.492)</f>
        <v>0.492</v>
      </c>
      <c r="M625" s="4">
        <f>IFERROR(__xludf.DUMMYFUNCTION("""COMPUTED_VALUE"""),0.36)</f>
        <v>0.36</v>
      </c>
      <c r="N625" s="4">
        <f>IFERROR(__xludf.DUMMYFUNCTION("""COMPUTED_VALUE"""),0.748)</f>
        <v>0.748</v>
      </c>
      <c r="O625" s="4">
        <f>IFERROR(__xludf.DUMMYFUNCTION("""COMPUTED_VALUE"""),17.2)</f>
        <v>17.2</v>
      </c>
      <c r="P625" s="4">
        <f>IFERROR(__xludf.DUMMYFUNCTION("""COMPUTED_VALUE"""),7.1)</f>
        <v>7.1</v>
      </c>
      <c r="Q625" s="4">
        <f>IFERROR(__xludf.DUMMYFUNCTION("""COMPUTED_VALUE"""),4.4)</f>
        <v>4.4</v>
      </c>
      <c r="R625" s="4">
        <f>IFERROR(__xludf.DUMMYFUNCTION("""COMPUTED_VALUE"""),1.0)</f>
        <v>1</v>
      </c>
      <c r="S625" s="4">
        <f>IFERROR(__xludf.DUMMYFUNCTION("""COMPUTED_VALUE"""),4.4)</f>
        <v>4.4</v>
      </c>
      <c r="T625" s="4">
        <f>IFERROR(__xludf.DUMMYFUNCTION("""COMPUTED_VALUE"""),0.081)</f>
        <v>0.081</v>
      </c>
      <c r="U625" s="4">
        <f>IFERROR(__xludf.DUMMYFUNCTION("""COMPUTED_VALUE"""),-2.3)</f>
        <v>-2.3</v>
      </c>
      <c r="V625" s="4">
        <f>IFERROR(__xludf.DUMMYFUNCTION("""COMPUTED_VALUE"""),-0.2)</f>
        <v>-0.2</v>
      </c>
    </row>
    <row r="626">
      <c r="A626" s="4">
        <f>IFERROR(__xludf.DUMMYFUNCTION("""COMPUTED_VALUE"""),29.0)</f>
        <v>29</v>
      </c>
      <c r="B626" s="4">
        <f>IFERROR(__xludf.DUMMYFUNCTION("""COMPUTED_VALUE"""),29.0)</f>
        <v>29</v>
      </c>
      <c r="C626" s="4" t="str">
        <f>IFERROR(__xludf.DUMMYFUNCTION("""COMPUTED_VALUE"""),"SAS")</f>
        <v>SAS</v>
      </c>
      <c r="D626" s="4" t="str">
        <f>IFERROR(__xludf.DUMMYFUNCTION("""COMPUTED_VALUE"""),"Dejounte Murray")</f>
        <v>Dejounte Murray</v>
      </c>
      <c r="E626" s="4" t="str">
        <f>IFERROR(__xludf.DUMMYFUNCTION("""COMPUTED_VALUE"""),"Washington")</f>
        <v>Washington</v>
      </c>
      <c r="F626" s="4">
        <f>IFERROR(__xludf.DUMMYFUNCTION("""COMPUTED_VALUE"""),8.0)</f>
        <v>8</v>
      </c>
      <c r="G626" s="4">
        <f>IFERROR(__xludf.DUMMYFUNCTION("""COMPUTED_VALUE"""),503.0)</f>
        <v>503</v>
      </c>
      <c r="H626" s="4">
        <f>IFERROR(__xludf.DUMMYFUNCTION("""COMPUTED_VALUE"""),14745.0)</f>
        <v>14745</v>
      </c>
      <c r="I626" s="4">
        <f>IFERROR(__xludf.DUMMYFUNCTION("""COMPUTED_VALUE"""),7803.0)</f>
        <v>7803</v>
      </c>
      <c r="J626" s="4">
        <f>IFERROR(__xludf.DUMMYFUNCTION("""COMPUTED_VALUE"""),2925.0)</f>
        <v>2925</v>
      </c>
      <c r="K626" s="4">
        <f>IFERROR(__xludf.DUMMYFUNCTION("""COMPUTED_VALUE"""),2718.0)</f>
        <v>2718</v>
      </c>
      <c r="L626" s="4">
        <f>IFERROR(__xludf.DUMMYFUNCTION("""COMPUTED_VALUE"""),0.453)</f>
        <v>0.453</v>
      </c>
      <c r="M626" s="4">
        <f>IFERROR(__xludf.DUMMYFUNCTION("""COMPUTED_VALUE"""),0.34)</f>
        <v>0.34</v>
      </c>
      <c r="N626" s="4">
        <f>IFERROR(__xludf.DUMMYFUNCTION("""COMPUTED_VALUE"""),0.79)</f>
        <v>0.79</v>
      </c>
      <c r="O626" s="4">
        <f>IFERROR(__xludf.DUMMYFUNCTION("""COMPUTED_VALUE"""),29.3)</f>
        <v>29.3</v>
      </c>
      <c r="P626" s="4">
        <f>IFERROR(__xludf.DUMMYFUNCTION("""COMPUTED_VALUE"""),15.5)</f>
        <v>15.5</v>
      </c>
      <c r="Q626" s="4">
        <f>IFERROR(__xludf.DUMMYFUNCTION("""COMPUTED_VALUE"""),5.8)</f>
        <v>5.8</v>
      </c>
      <c r="R626" s="4">
        <f>IFERROR(__xludf.DUMMYFUNCTION("""COMPUTED_VALUE"""),5.4)</f>
        <v>5.4</v>
      </c>
      <c r="S626" s="4">
        <f>IFERROR(__xludf.DUMMYFUNCTION("""COMPUTED_VALUE"""),26.2)</f>
        <v>26.2</v>
      </c>
      <c r="T626" s="4">
        <f>IFERROR(__xludf.DUMMYFUNCTION("""COMPUTED_VALUE"""),0.085)</f>
        <v>0.085</v>
      </c>
      <c r="U626" s="4">
        <f>IFERROR(__xludf.DUMMYFUNCTION("""COMPUTED_VALUE"""),1.4)</f>
        <v>1.4</v>
      </c>
      <c r="V626" s="4">
        <f>IFERROR(__xludf.DUMMYFUNCTION("""COMPUTED_VALUE"""),12.6)</f>
        <v>12.6</v>
      </c>
    </row>
    <row r="627">
      <c r="A627" s="4">
        <f>IFERROR(__xludf.DUMMYFUNCTION("""COMPUTED_VALUE"""),30.0)</f>
        <v>30</v>
      </c>
      <c r="B627" s="4">
        <f>IFERROR(__xludf.DUMMYFUNCTION("""COMPUTED_VALUE"""),30.0)</f>
        <v>30</v>
      </c>
      <c r="C627" s="4" t="str">
        <f>IFERROR(__xludf.DUMMYFUNCTION("""COMPUTED_VALUE"""),"GSW")</f>
        <v>GSW</v>
      </c>
      <c r="D627" s="4" t="str">
        <f>IFERROR(__xludf.DUMMYFUNCTION("""COMPUTED_VALUE"""),"Damian Jones")</f>
        <v>Damian Jones</v>
      </c>
      <c r="E627" s="4" t="str">
        <f>IFERROR(__xludf.DUMMYFUNCTION("""COMPUTED_VALUE"""),"Vanderbilt")</f>
        <v>Vanderbilt</v>
      </c>
      <c r="F627" s="4">
        <f>IFERROR(__xludf.DUMMYFUNCTION("""COMPUTED_VALUE"""),8.0)</f>
        <v>8</v>
      </c>
      <c r="G627" s="4">
        <f>IFERROR(__xludf.DUMMYFUNCTION("""COMPUTED_VALUE"""),279.0)</f>
        <v>279</v>
      </c>
      <c r="H627" s="4">
        <f>IFERROR(__xludf.DUMMYFUNCTION("""COMPUTED_VALUE"""),3782.0)</f>
        <v>3782</v>
      </c>
      <c r="I627" s="4">
        <f>IFERROR(__xludf.DUMMYFUNCTION("""COMPUTED_VALUE"""),1366.0)</f>
        <v>1366</v>
      </c>
      <c r="J627" s="4">
        <f>IFERROR(__xludf.DUMMYFUNCTION("""COMPUTED_VALUE"""),869.0)</f>
        <v>869</v>
      </c>
      <c r="K627" s="4">
        <f>IFERROR(__xludf.DUMMYFUNCTION("""COMPUTED_VALUE"""),193.0)</f>
        <v>193</v>
      </c>
      <c r="L627" s="4">
        <f>IFERROR(__xludf.DUMMYFUNCTION("""COMPUTED_VALUE"""),0.656)</f>
        <v>0.656</v>
      </c>
      <c r="M627" s="4">
        <f>IFERROR(__xludf.DUMMYFUNCTION("""COMPUTED_VALUE"""),0.351)</f>
        <v>0.351</v>
      </c>
      <c r="N627" s="4">
        <f>IFERROR(__xludf.DUMMYFUNCTION("""COMPUTED_VALUE"""),0.715)</f>
        <v>0.715</v>
      </c>
      <c r="O627" s="4">
        <f>IFERROR(__xludf.DUMMYFUNCTION("""COMPUTED_VALUE"""),13.6)</f>
        <v>13.6</v>
      </c>
      <c r="P627" s="4">
        <f>IFERROR(__xludf.DUMMYFUNCTION("""COMPUTED_VALUE"""),4.9)</f>
        <v>4.9</v>
      </c>
      <c r="Q627" s="4">
        <f>IFERROR(__xludf.DUMMYFUNCTION("""COMPUTED_VALUE"""),3.1)</f>
        <v>3.1</v>
      </c>
      <c r="R627" s="4">
        <f>IFERROR(__xludf.DUMMYFUNCTION("""COMPUTED_VALUE"""),0.7)</f>
        <v>0.7</v>
      </c>
      <c r="S627" s="4">
        <f>IFERROR(__xludf.DUMMYFUNCTION("""COMPUTED_VALUE"""),11.3)</f>
        <v>11.3</v>
      </c>
      <c r="T627" s="4">
        <f>IFERROR(__xludf.DUMMYFUNCTION("""COMPUTED_VALUE"""),0.143)</f>
        <v>0.143</v>
      </c>
      <c r="U627" s="4">
        <f>IFERROR(__xludf.DUMMYFUNCTION("""COMPUTED_VALUE"""),-1.0)</f>
        <v>-1</v>
      </c>
      <c r="V627" s="4">
        <f>IFERROR(__xludf.DUMMYFUNCTION("""COMPUTED_VALUE"""),1.0)</f>
        <v>1</v>
      </c>
    </row>
    <row r="628">
      <c r="A628" s="4"/>
      <c r="B628" s="4"/>
      <c r="C628" s="4"/>
      <c r="D628" s="4" t="str">
        <f>IFERROR(__xludf.DUMMYFUNCTION("""COMPUTED_VALUE"""),"Round 2")</f>
        <v>Round 2</v>
      </c>
      <c r="E628" s="4"/>
      <c r="F628" s="4"/>
      <c r="G628" s="4" t="str">
        <f>IFERROR(__xludf.DUMMYFUNCTION("""COMPUTED_VALUE"""),"Totals")</f>
        <v>Totals</v>
      </c>
      <c r="H628" s="4"/>
      <c r="I628" s="4"/>
      <c r="J628" s="4"/>
      <c r="K628" s="4"/>
      <c r="L628" s="4" t="str">
        <f>IFERROR(__xludf.DUMMYFUNCTION("""COMPUTED_VALUE"""),"Shooting")</f>
        <v>Shooting</v>
      </c>
      <c r="M628" s="4"/>
      <c r="N628" s="4"/>
      <c r="O628" s="4" t="str">
        <f>IFERROR(__xludf.DUMMYFUNCTION("""COMPUTED_VALUE"""),"Per Game")</f>
        <v>Per Game</v>
      </c>
      <c r="P628" s="4"/>
      <c r="Q628" s="4"/>
      <c r="R628" s="4"/>
      <c r="S628" s="4" t="str">
        <f>IFERROR(__xludf.DUMMYFUNCTION("""COMPUTED_VALUE"""),"Advanced")</f>
        <v>Advanced</v>
      </c>
      <c r="T628" s="4"/>
      <c r="U628" s="4"/>
      <c r="V628" s="4"/>
    </row>
    <row r="629">
      <c r="A629" s="4" t="str">
        <f>IFERROR(__xludf.DUMMYFUNCTION("""COMPUTED_VALUE"""),"Rk")</f>
        <v>Rk</v>
      </c>
      <c r="B629" s="4" t="str">
        <f>IFERROR(__xludf.DUMMYFUNCTION("""COMPUTED_VALUE"""),"Pk")</f>
        <v>Pk</v>
      </c>
      <c r="C629" s="4" t="str">
        <f>IFERROR(__xludf.DUMMYFUNCTION("""COMPUTED_VALUE"""),"Tm")</f>
        <v>Tm</v>
      </c>
      <c r="D629" s="4" t="str">
        <f>IFERROR(__xludf.DUMMYFUNCTION("""COMPUTED_VALUE"""),"Player")</f>
        <v>Player</v>
      </c>
      <c r="E629" s="4" t="str">
        <f>IFERROR(__xludf.DUMMYFUNCTION("""COMPUTED_VALUE"""),"College")</f>
        <v>College</v>
      </c>
      <c r="F629" s="4" t="str">
        <f>IFERROR(__xludf.DUMMYFUNCTION("""COMPUTED_VALUE"""),"Yrs")</f>
        <v>Yrs</v>
      </c>
      <c r="G629" s="4" t="str">
        <f>IFERROR(__xludf.DUMMYFUNCTION("""COMPUTED_VALUE"""),"G")</f>
        <v>G</v>
      </c>
      <c r="H629" s="4" t="str">
        <f>IFERROR(__xludf.DUMMYFUNCTION("""COMPUTED_VALUE"""),"MP")</f>
        <v>MP</v>
      </c>
      <c r="I629" s="4" t="str">
        <f>IFERROR(__xludf.DUMMYFUNCTION("""COMPUTED_VALUE"""),"PTS")</f>
        <v>PTS</v>
      </c>
      <c r="J629" s="4" t="str">
        <f>IFERROR(__xludf.DUMMYFUNCTION("""COMPUTED_VALUE"""),"TRB")</f>
        <v>TRB</v>
      </c>
      <c r="K629" s="4" t="str">
        <f>IFERROR(__xludf.DUMMYFUNCTION("""COMPUTED_VALUE"""),"AST")</f>
        <v>AST</v>
      </c>
      <c r="L629" s="4" t="str">
        <f>IFERROR(__xludf.DUMMYFUNCTION("""COMPUTED_VALUE"""),"FG%")</f>
        <v>FG%</v>
      </c>
      <c r="M629" s="4" t="str">
        <f>IFERROR(__xludf.DUMMYFUNCTION("""COMPUTED_VALUE"""),"3P%")</f>
        <v>3P%</v>
      </c>
      <c r="N629" s="4" t="str">
        <f>IFERROR(__xludf.DUMMYFUNCTION("""COMPUTED_VALUE"""),"FT%")</f>
        <v>FT%</v>
      </c>
      <c r="O629" s="4" t="str">
        <f>IFERROR(__xludf.DUMMYFUNCTION("""COMPUTED_VALUE"""),"MP")</f>
        <v>MP</v>
      </c>
      <c r="P629" s="4" t="str">
        <f>IFERROR(__xludf.DUMMYFUNCTION("""COMPUTED_VALUE"""),"PTS")</f>
        <v>PTS</v>
      </c>
      <c r="Q629" s="4" t="str">
        <f>IFERROR(__xludf.DUMMYFUNCTION("""COMPUTED_VALUE"""),"TRB")</f>
        <v>TRB</v>
      </c>
      <c r="R629" s="4" t="str">
        <f>IFERROR(__xludf.DUMMYFUNCTION("""COMPUTED_VALUE"""),"AST")</f>
        <v>AST</v>
      </c>
      <c r="S629" s="4" t="str">
        <f>IFERROR(__xludf.DUMMYFUNCTION("""COMPUTED_VALUE"""),"WS")</f>
        <v>WS</v>
      </c>
      <c r="T629" s="4" t="str">
        <f>IFERROR(__xludf.DUMMYFUNCTION("""COMPUTED_VALUE"""),"WS/48")</f>
        <v>WS/48</v>
      </c>
      <c r="U629" s="4" t="str">
        <f>IFERROR(__xludf.DUMMYFUNCTION("""COMPUTED_VALUE"""),"BPM")</f>
        <v>BPM</v>
      </c>
      <c r="V629" s="4" t="str">
        <f>IFERROR(__xludf.DUMMYFUNCTION("""COMPUTED_VALUE"""),"VORP")</f>
        <v>VORP</v>
      </c>
    </row>
    <row r="630">
      <c r="A630" s="4">
        <f>IFERROR(__xludf.DUMMYFUNCTION("""COMPUTED_VALUE"""),31.0)</f>
        <v>31</v>
      </c>
      <c r="B630" s="4">
        <f>IFERROR(__xludf.DUMMYFUNCTION("""COMPUTED_VALUE"""),31.0)</f>
        <v>31</v>
      </c>
      <c r="C630" s="4" t="str">
        <f>IFERROR(__xludf.DUMMYFUNCTION("""COMPUTED_VALUE"""),"BOS")</f>
        <v>BOS</v>
      </c>
      <c r="D630" s="4" t="str">
        <f>IFERROR(__xludf.DUMMYFUNCTION("""COMPUTED_VALUE"""),"Deyonta Davis")</f>
        <v>Deyonta Davis</v>
      </c>
      <c r="E630" s="4" t="str">
        <f>IFERROR(__xludf.DUMMYFUNCTION("""COMPUTED_VALUE"""),"Michigan State")</f>
        <v>Michigan State</v>
      </c>
      <c r="F630" s="4">
        <f>IFERROR(__xludf.DUMMYFUNCTION("""COMPUTED_VALUE"""),3.0)</f>
        <v>3</v>
      </c>
      <c r="G630" s="4">
        <f>IFERROR(__xludf.DUMMYFUNCTION("""COMPUTED_VALUE"""),107.0)</f>
        <v>107</v>
      </c>
      <c r="H630" s="4">
        <f>IFERROR(__xludf.DUMMYFUNCTION("""COMPUTED_VALUE"""),1299.0)</f>
        <v>1299</v>
      </c>
      <c r="I630" s="4">
        <f>IFERROR(__xludf.DUMMYFUNCTION("""COMPUTED_VALUE"""),454.0)</f>
        <v>454</v>
      </c>
      <c r="J630" s="4">
        <f>IFERROR(__xludf.DUMMYFUNCTION("""COMPUTED_VALUE"""),346.0)</f>
        <v>346</v>
      </c>
      <c r="K630" s="4">
        <f>IFERROR(__xludf.DUMMYFUNCTION("""COMPUTED_VALUE"""),47.0)</f>
        <v>47</v>
      </c>
      <c r="L630" s="4">
        <f>IFERROR(__xludf.DUMMYFUNCTION("""COMPUTED_VALUE"""),0.599)</f>
        <v>0.599</v>
      </c>
      <c r="M630" s="4">
        <f>IFERROR(__xludf.DUMMYFUNCTION("""COMPUTED_VALUE"""),0.0)</f>
        <v>0</v>
      </c>
      <c r="N630" s="4">
        <f>IFERROR(__xludf.DUMMYFUNCTION("""COMPUTED_VALUE"""),0.635)</f>
        <v>0.635</v>
      </c>
      <c r="O630" s="4">
        <f>IFERROR(__xludf.DUMMYFUNCTION("""COMPUTED_VALUE"""),12.1)</f>
        <v>12.1</v>
      </c>
      <c r="P630" s="4">
        <f>IFERROR(__xludf.DUMMYFUNCTION("""COMPUTED_VALUE"""),4.2)</f>
        <v>4.2</v>
      </c>
      <c r="Q630" s="4">
        <f>IFERROR(__xludf.DUMMYFUNCTION("""COMPUTED_VALUE"""),3.2)</f>
        <v>3.2</v>
      </c>
      <c r="R630" s="4">
        <f>IFERROR(__xludf.DUMMYFUNCTION("""COMPUTED_VALUE"""),0.4)</f>
        <v>0.4</v>
      </c>
      <c r="S630" s="4">
        <f>IFERROR(__xludf.DUMMYFUNCTION("""COMPUTED_VALUE"""),3.6)</f>
        <v>3.6</v>
      </c>
      <c r="T630" s="4">
        <f>IFERROR(__xludf.DUMMYFUNCTION("""COMPUTED_VALUE"""),0.131)</f>
        <v>0.131</v>
      </c>
      <c r="U630" s="4">
        <f>IFERROR(__xludf.DUMMYFUNCTION("""COMPUTED_VALUE"""),-2.1)</f>
        <v>-2.1</v>
      </c>
      <c r="V630" s="4">
        <f>IFERROR(__xludf.DUMMYFUNCTION("""COMPUTED_VALUE"""),0.0)</f>
        <v>0</v>
      </c>
    </row>
    <row r="631">
      <c r="A631" s="4">
        <f>IFERROR(__xludf.DUMMYFUNCTION("""COMPUTED_VALUE"""),32.0)</f>
        <v>32</v>
      </c>
      <c r="B631" s="4">
        <f>IFERROR(__xludf.DUMMYFUNCTION("""COMPUTED_VALUE"""),32.0)</f>
        <v>32</v>
      </c>
      <c r="C631" s="4" t="str">
        <f>IFERROR(__xludf.DUMMYFUNCTION("""COMPUTED_VALUE"""),"LAL")</f>
        <v>LAL</v>
      </c>
      <c r="D631" s="4" t="str">
        <f>IFERROR(__xludf.DUMMYFUNCTION("""COMPUTED_VALUE"""),"Ivica Zubac")</f>
        <v>Ivica Zubac</v>
      </c>
      <c r="E631" s="4"/>
      <c r="F631" s="4">
        <f>IFERROR(__xludf.DUMMYFUNCTION("""COMPUTED_VALUE"""),10.0)</f>
        <v>10</v>
      </c>
      <c r="G631" s="4">
        <f>IFERROR(__xludf.DUMMYFUNCTION("""COMPUTED_VALUE"""),605.0)</f>
        <v>605</v>
      </c>
      <c r="H631" s="4">
        <f>IFERROR(__xludf.DUMMYFUNCTION("""COMPUTED_VALUE"""),14114.0)</f>
        <v>14114</v>
      </c>
      <c r="I631" s="4">
        <f>IFERROR(__xludf.DUMMYFUNCTION("""COMPUTED_VALUE"""),6296.0)</f>
        <v>6296</v>
      </c>
      <c r="J631" s="4">
        <f>IFERROR(__xludf.DUMMYFUNCTION("""COMPUTED_VALUE"""),4985.0)</f>
        <v>4985</v>
      </c>
      <c r="K631" s="4">
        <f>IFERROR(__xludf.DUMMYFUNCTION("""COMPUTED_VALUE"""),849.0)</f>
        <v>849</v>
      </c>
      <c r="L631" s="4">
        <f>IFERROR(__xludf.DUMMYFUNCTION("""COMPUTED_VALUE"""),0.615)</f>
        <v>0.615</v>
      </c>
      <c r="M631" s="4">
        <f>IFERROR(__xludf.DUMMYFUNCTION("""COMPUTED_VALUE"""),0.083)</f>
        <v>0.083</v>
      </c>
      <c r="N631" s="4">
        <f>IFERROR(__xludf.DUMMYFUNCTION("""COMPUTED_VALUE"""),0.727)</f>
        <v>0.727</v>
      </c>
      <c r="O631" s="4">
        <f>IFERROR(__xludf.DUMMYFUNCTION("""COMPUTED_VALUE"""),23.3)</f>
        <v>23.3</v>
      </c>
      <c r="P631" s="4">
        <f>IFERROR(__xludf.DUMMYFUNCTION("""COMPUTED_VALUE"""),10.4)</f>
        <v>10.4</v>
      </c>
      <c r="Q631" s="4">
        <f>IFERROR(__xludf.DUMMYFUNCTION("""COMPUTED_VALUE"""),8.2)</f>
        <v>8.2</v>
      </c>
      <c r="R631" s="4">
        <f>IFERROR(__xludf.DUMMYFUNCTION("""COMPUTED_VALUE"""),1.4)</f>
        <v>1.4</v>
      </c>
      <c r="S631" s="4">
        <f>IFERROR(__xludf.DUMMYFUNCTION("""COMPUTED_VALUE"""),53.1)</f>
        <v>53.1</v>
      </c>
      <c r="T631" s="4">
        <f>IFERROR(__xludf.DUMMYFUNCTION("""COMPUTED_VALUE"""),0.181)</f>
        <v>0.181</v>
      </c>
      <c r="U631" s="4">
        <f>IFERROR(__xludf.DUMMYFUNCTION("""COMPUTED_VALUE"""),0.8)</f>
        <v>0.8</v>
      </c>
      <c r="V631" s="4">
        <f>IFERROR(__xludf.DUMMYFUNCTION("""COMPUTED_VALUE"""),10.1)</f>
        <v>10.1</v>
      </c>
    </row>
    <row r="632">
      <c r="A632" s="4">
        <f>IFERROR(__xludf.DUMMYFUNCTION("""COMPUTED_VALUE"""),33.0)</f>
        <v>33</v>
      </c>
      <c r="B632" s="4">
        <f>IFERROR(__xludf.DUMMYFUNCTION("""COMPUTED_VALUE"""),33.0)</f>
        <v>33</v>
      </c>
      <c r="C632" s="4" t="str">
        <f>IFERROR(__xludf.DUMMYFUNCTION("""COMPUTED_VALUE"""),"LAC")</f>
        <v>LAC</v>
      </c>
      <c r="D632" s="4" t="str">
        <f>IFERROR(__xludf.DUMMYFUNCTION("""COMPUTED_VALUE"""),"Cheick Diallo")</f>
        <v>Cheick Diallo</v>
      </c>
      <c r="E632" s="4" t="str">
        <f>IFERROR(__xludf.DUMMYFUNCTION("""COMPUTED_VALUE"""),"Kansas")</f>
        <v>Kansas</v>
      </c>
      <c r="F632" s="4">
        <f>IFERROR(__xludf.DUMMYFUNCTION("""COMPUTED_VALUE"""),5.0)</f>
        <v>5</v>
      </c>
      <c r="G632" s="4">
        <f>IFERROR(__xludf.DUMMYFUNCTION("""COMPUTED_VALUE"""),183.0)</f>
        <v>183</v>
      </c>
      <c r="H632" s="4">
        <f>IFERROR(__xludf.DUMMYFUNCTION("""COMPUTED_VALUE"""),2186.0)</f>
        <v>2186</v>
      </c>
      <c r="I632" s="4">
        <f>IFERROR(__xludf.DUMMYFUNCTION("""COMPUTED_VALUE"""),958.0)</f>
        <v>958</v>
      </c>
      <c r="J632" s="4">
        <f>IFERROR(__xludf.DUMMYFUNCTION("""COMPUTED_VALUE"""),759.0)</f>
        <v>759</v>
      </c>
      <c r="K632" s="4">
        <f>IFERROR(__xludf.DUMMYFUNCTION("""COMPUTED_VALUE"""),78.0)</f>
        <v>78</v>
      </c>
      <c r="L632" s="4">
        <f>IFERROR(__xludf.DUMMYFUNCTION("""COMPUTED_VALUE"""),0.596)</f>
        <v>0.596</v>
      </c>
      <c r="M632" s="4">
        <f>IFERROR(__xludf.DUMMYFUNCTION("""COMPUTED_VALUE"""),0.286)</f>
        <v>0.286</v>
      </c>
      <c r="N632" s="4">
        <f>IFERROR(__xludf.DUMMYFUNCTION("""COMPUTED_VALUE"""),0.774)</f>
        <v>0.774</v>
      </c>
      <c r="O632" s="4">
        <f>IFERROR(__xludf.DUMMYFUNCTION("""COMPUTED_VALUE"""),11.9)</f>
        <v>11.9</v>
      </c>
      <c r="P632" s="4">
        <f>IFERROR(__xludf.DUMMYFUNCTION("""COMPUTED_VALUE"""),5.2)</f>
        <v>5.2</v>
      </c>
      <c r="Q632" s="4">
        <f>IFERROR(__xludf.DUMMYFUNCTION("""COMPUTED_VALUE"""),4.1)</f>
        <v>4.1</v>
      </c>
      <c r="R632" s="4">
        <f>IFERROR(__xludf.DUMMYFUNCTION("""COMPUTED_VALUE"""),0.4)</f>
        <v>0.4</v>
      </c>
      <c r="S632" s="4">
        <f>IFERROR(__xludf.DUMMYFUNCTION("""COMPUTED_VALUE"""),6.3)</f>
        <v>6.3</v>
      </c>
      <c r="T632" s="4">
        <f>IFERROR(__xludf.DUMMYFUNCTION("""COMPUTED_VALUE"""),0.139)</f>
        <v>0.139</v>
      </c>
      <c r="U632" s="4">
        <f>IFERROR(__xludf.DUMMYFUNCTION("""COMPUTED_VALUE"""),-1.4)</f>
        <v>-1.4</v>
      </c>
      <c r="V632" s="4">
        <f>IFERROR(__xludf.DUMMYFUNCTION("""COMPUTED_VALUE"""),0.3)</f>
        <v>0.3</v>
      </c>
    </row>
    <row r="633">
      <c r="A633" s="4">
        <f>IFERROR(__xludf.DUMMYFUNCTION("""COMPUTED_VALUE"""),34.0)</f>
        <v>34</v>
      </c>
      <c r="B633" s="4">
        <f>IFERROR(__xludf.DUMMYFUNCTION("""COMPUTED_VALUE"""),34.0)</f>
        <v>34</v>
      </c>
      <c r="C633" s="4" t="str">
        <f>IFERROR(__xludf.DUMMYFUNCTION("""COMPUTED_VALUE"""),"PHO")</f>
        <v>PHO</v>
      </c>
      <c r="D633" s="4" t="str">
        <f>IFERROR(__xludf.DUMMYFUNCTION("""COMPUTED_VALUE"""),"Tyler Ulis")</f>
        <v>Tyler Ulis</v>
      </c>
      <c r="E633" s="4" t="str">
        <f>IFERROR(__xludf.DUMMYFUNCTION("""COMPUTED_VALUE"""),"Kentucky")</f>
        <v>Kentucky</v>
      </c>
      <c r="F633" s="4">
        <f>IFERROR(__xludf.DUMMYFUNCTION("""COMPUTED_VALUE"""),3.0)</f>
        <v>3</v>
      </c>
      <c r="G633" s="4">
        <f>IFERROR(__xludf.DUMMYFUNCTION("""COMPUTED_VALUE"""),133.0)</f>
        <v>133</v>
      </c>
      <c r="H633" s="4">
        <f>IFERROR(__xludf.DUMMYFUNCTION("""COMPUTED_VALUE"""),2782.0)</f>
        <v>2782</v>
      </c>
      <c r="I633" s="4">
        <f>IFERROR(__xludf.DUMMYFUNCTION("""COMPUTED_VALUE"""),998.0)</f>
        <v>998</v>
      </c>
      <c r="J633" s="4">
        <f>IFERROR(__xludf.DUMMYFUNCTION("""COMPUTED_VALUE"""),223.0)</f>
        <v>223</v>
      </c>
      <c r="K633" s="4">
        <f>IFERROR(__xludf.DUMMYFUNCTION("""COMPUTED_VALUE"""),537.0)</f>
        <v>537</v>
      </c>
      <c r="L633" s="4">
        <f>IFERROR(__xludf.DUMMYFUNCTION("""COMPUTED_VALUE"""),0.403)</f>
        <v>0.403</v>
      </c>
      <c r="M633" s="4">
        <f>IFERROR(__xludf.DUMMYFUNCTION("""COMPUTED_VALUE"""),0.28)</f>
        <v>0.28</v>
      </c>
      <c r="N633" s="4">
        <f>IFERROR(__xludf.DUMMYFUNCTION("""COMPUTED_VALUE"""),0.808)</f>
        <v>0.808</v>
      </c>
      <c r="O633" s="4">
        <f>IFERROR(__xludf.DUMMYFUNCTION("""COMPUTED_VALUE"""),20.9)</f>
        <v>20.9</v>
      </c>
      <c r="P633" s="4">
        <f>IFERROR(__xludf.DUMMYFUNCTION("""COMPUTED_VALUE"""),7.5)</f>
        <v>7.5</v>
      </c>
      <c r="Q633" s="4">
        <f>IFERROR(__xludf.DUMMYFUNCTION("""COMPUTED_VALUE"""),1.7)</f>
        <v>1.7</v>
      </c>
      <c r="R633" s="4">
        <f>IFERROR(__xludf.DUMMYFUNCTION("""COMPUTED_VALUE"""),4.0)</f>
        <v>4</v>
      </c>
      <c r="S633" s="4">
        <f>IFERROR(__xludf.DUMMYFUNCTION("""COMPUTED_VALUE"""),0.5)</f>
        <v>0.5</v>
      </c>
      <c r="T633" s="4">
        <f>IFERROR(__xludf.DUMMYFUNCTION("""COMPUTED_VALUE"""),0.008)</f>
        <v>0.008</v>
      </c>
      <c r="U633" s="4">
        <f>IFERROR(__xludf.DUMMYFUNCTION("""COMPUTED_VALUE"""),-3.6)</f>
        <v>-3.6</v>
      </c>
      <c r="V633" s="4">
        <f>IFERROR(__xludf.DUMMYFUNCTION("""COMPUTED_VALUE"""),-1.1)</f>
        <v>-1.1</v>
      </c>
    </row>
    <row r="634">
      <c r="A634" s="4">
        <f>IFERROR(__xludf.DUMMYFUNCTION("""COMPUTED_VALUE"""),35.0)</f>
        <v>35</v>
      </c>
      <c r="B634" s="4">
        <f>IFERROR(__xludf.DUMMYFUNCTION("""COMPUTED_VALUE"""),35.0)</f>
        <v>35</v>
      </c>
      <c r="C634" s="4" t="str">
        <f>IFERROR(__xludf.DUMMYFUNCTION("""COMPUTED_VALUE"""),"BOS")</f>
        <v>BOS</v>
      </c>
      <c r="D634" s="4" t="str">
        <f>IFERROR(__xludf.DUMMYFUNCTION("""COMPUTED_VALUE"""),"Rade Zagorac")</f>
        <v>Rade Zagorac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>
        <f>IFERROR(__xludf.DUMMYFUNCTION("""COMPUTED_VALUE"""),36.0)</f>
        <v>36</v>
      </c>
      <c r="B635" s="4">
        <f>IFERROR(__xludf.DUMMYFUNCTION("""COMPUTED_VALUE"""),36.0)</f>
        <v>36</v>
      </c>
      <c r="C635" s="4" t="str">
        <f>IFERROR(__xludf.DUMMYFUNCTION("""COMPUTED_VALUE"""),"MIL")</f>
        <v>MIL</v>
      </c>
      <c r="D635" s="4" t="str">
        <f>IFERROR(__xludf.DUMMYFUNCTION("""COMPUTED_VALUE"""),"Malcolm Brogdon")</f>
        <v>Malcolm Brogdon</v>
      </c>
      <c r="E635" s="4" t="str">
        <f>IFERROR(__xludf.DUMMYFUNCTION("""COMPUTED_VALUE"""),"Virginia")</f>
        <v>Virginia</v>
      </c>
      <c r="F635" s="4">
        <f>IFERROR(__xludf.DUMMYFUNCTION("""COMPUTED_VALUE"""),9.0)</f>
        <v>9</v>
      </c>
      <c r="G635" s="4">
        <f>IFERROR(__xludf.DUMMYFUNCTION("""COMPUTED_VALUE"""),463.0)</f>
        <v>463</v>
      </c>
      <c r="H635" s="4">
        <f>IFERROR(__xludf.DUMMYFUNCTION("""COMPUTED_VALUE"""),13481.0)</f>
        <v>13481</v>
      </c>
      <c r="I635" s="4">
        <f>IFERROR(__xludf.DUMMYFUNCTION("""COMPUTED_VALUE"""),7077.0)</f>
        <v>7077</v>
      </c>
      <c r="J635" s="4">
        <f>IFERROR(__xludf.DUMMYFUNCTION("""COMPUTED_VALUE"""),1917.0)</f>
        <v>1917</v>
      </c>
      <c r="K635" s="4">
        <f>IFERROR(__xludf.DUMMYFUNCTION("""COMPUTED_VALUE"""),2156.0)</f>
        <v>2156</v>
      </c>
      <c r="L635" s="4">
        <f>IFERROR(__xludf.DUMMYFUNCTION("""COMPUTED_VALUE"""),0.463)</f>
        <v>0.463</v>
      </c>
      <c r="M635" s="4">
        <f>IFERROR(__xludf.DUMMYFUNCTION("""COMPUTED_VALUE"""),0.388)</f>
        <v>0.388</v>
      </c>
      <c r="N635" s="4">
        <f>IFERROR(__xludf.DUMMYFUNCTION("""COMPUTED_VALUE"""),0.874)</f>
        <v>0.874</v>
      </c>
      <c r="O635" s="4">
        <f>IFERROR(__xludf.DUMMYFUNCTION("""COMPUTED_VALUE"""),29.1)</f>
        <v>29.1</v>
      </c>
      <c r="P635" s="4">
        <f>IFERROR(__xludf.DUMMYFUNCTION("""COMPUTED_VALUE"""),15.3)</f>
        <v>15.3</v>
      </c>
      <c r="Q635" s="4">
        <f>IFERROR(__xludf.DUMMYFUNCTION("""COMPUTED_VALUE"""),4.1)</f>
        <v>4.1</v>
      </c>
      <c r="R635" s="4">
        <f>IFERROR(__xludf.DUMMYFUNCTION("""COMPUTED_VALUE"""),4.7)</f>
        <v>4.7</v>
      </c>
      <c r="S635" s="4">
        <f>IFERROR(__xludf.DUMMYFUNCTION("""COMPUTED_VALUE"""),33.4)</f>
        <v>33.4</v>
      </c>
      <c r="T635" s="4">
        <f>IFERROR(__xludf.DUMMYFUNCTION("""COMPUTED_VALUE"""),0.119)</f>
        <v>0.119</v>
      </c>
      <c r="U635" s="4">
        <f>IFERROR(__xludf.DUMMYFUNCTION("""COMPUTED_VALUE"""),1.3)</f>
        <v>1.3</v>
      </c>
      <c r="V635" s="4">
        <f>IFERROR(__xludf.DUMMYFUNCTION("""COMPUTED_VALUE"""),11.2)</f>
        <v>11.2</v>
      </c>
    </row>
    <row r="636">
      <c r="A636" s="4">
        <f>IFERROR(__xludf.DUMMYFUNCTION("""COMPUTED_VALUE"""),37.0)</f>
        <v>37</v>
      </c>
      <c r="B636" s="4">
        <f>IFERROR(__xludf.DUMMYFUNCTION("""COMPUTED_VALUE"""),37.0)</f>
        <v>37</v>
      </c>
      <c r="C636" s="4" t="str">
        <f>IFERROR(__xludf.DUMMYFUNCTION("""COMPUTED_VALUE"""),"HOU")</f>
        <v>HOU</v>
      </c>
      <c r="D636" s="4" t="str">
        <f>IFERROR(__xludf.DUMMYFUNCTION("""COMPUTED_VALUE"""),"Chinanu Onuaku")</f>
        <v>Chinanu Onuaku</v>
      </c>
      <c r="E636" s="4" t="str">
        <f>IFERROR(__xludf.DUMMYFUNCTION("""COMPUTED_VALUE"""),"Louisville")</f>
        <v>Louisville</v>
      </c>
      <c r="F636" s="4">
        <f>IFERROR(__xludf.DUMMYFUNCTION("""COMPUTED_VALUE"""),2.0)</f>
        <v>2</v>
      </c>
      <c r="G636" s="4">
        <f>IFERROR(__xludf.DUMMYFUNCTION("""COMPUTED_VALUE"""),6.0)</f>
        <v>6</v>
      </c>
      <c r="H636" s="4">
        <f>IFERROR(__xludf.DUMMYFUNCTION("""COMPUTED_VALUE"""),74.0)</f>
        <v>74</v>
      </c>
      <c r="I636" s="4">
        <f>IFERROR(__xludf.DUMMYFUNCTION("""COMPUTED_VALUE"""),18.0)</f>
        <v>18</v>
      </c>
      <c r="J636" s="4">
        <f>IFERROR(__xludf.DUMMYFUNCTION("""COMPUTED_VALUE"""),14.0)</f>
        <v>14</v>
      </c>
      <c r="K636" s="4">
        <f>IFERROR(__xludf.DUMMYFUNCTION("""COMPUTED_VALUE"""),4.0)</f>
        <v>4</v>
      </c>
      <c r="L636" s="4">
        <f>IFERROR(__xludf.DUMMYFUNCTION("""COMPUTED_VALUE"""),0.583)</f>
        <v>0.583</v>
      </c>
      <c r="M636" s="4"/>
      <c r="N636" s="4">
        <f>IFERROR(__xludf.DUMMYFUNCTION("""COMPUTED_VALUE"""),1.0)</f>
        <v>1</v>
      </c>
      <c r="O636" s="4">
        <f>IFERROR(__xludf.DUMMYFUNCTION("""COMPUTED_VALUE"""),12.3)</f>
        <v>12.3</v>
      </c>
      <c r="P636" s="4">
        <f>IFERROR(__xludf.DUMMYFUNCTION("""COMPUTED_VALUE"""),3.0)</f>
        <v>3</v>
      </c>
      <c r="Q636" s="4">
        <f>IFERROR(__xludf.DUMMYFUNCTION("""COMPUTED_VALUE"""),2.3)</f>
        <v>2.3</v>
      </c>
      <c r="R636" s="4">
        <f>IFERROR(__xludf.DUMMYFUNCTION("""COMPUTED_VALUE"""),0.7)</f>
        <v>0.7</v>
      </c>
      <c r="S636" s="4">
        <f>IFERROR(__xludf.DUMMYFUNCTION("""COMPUTED_VALUE"""),0.1)</f>
        <v>0.1</v>
      </c>
      <c r="T636" s="4">
        <f>IFERROR(__xludf.DUMMYFUNCTION("""COMPUTED_VALUE"""),0.043)</f>
        <v>0.043</v>
      </c>
      <c r="U636" s="4">
        <f>IFERROR(__xludf.DUMMYFUNCTION("""COMPUTED_VALUE"""),-5.4)</f>
        <v>-5.4</v>
      </c>
      <c r="V636" s="4">
        <f>IFERROR(__xludf.DUMMYFUNCTION("""COMPUTED_VALUE"""),-0.1)</f>
        <v>-0.1</v>
      </c>
    </row>
    <row r="637">
      <c r="A637" s="4">
        <f>IFERROR(__xludf.DUMMYFUNCTION("""COMPUTED_VALUE"""),38.0)</f>
        <v>38</v>
      </c>
      <c r="B637" s="4">
        <f>IFERROR(__xludf.DUMMYFUNCTION("""COMPUTED_VALUE"""),38.0)</f>
        <v>38</v>
      </c>
      <c r="C637" s="4" t="str">
        <f>IFERROR(__xludf.DUMMYFUNCTION("""COMPUTED_VALUE"""),"MIL")</f>
        <v>MIL</v>
      </c>
      <c r="D637" s="4" t="str">
        <f>IFERROR(__xludf.DUMMYFUNCTION("""COMPUTED_VALUE"""),"Patrick McCaw")</f>
        <v>Patrick McCaw</v>
      </c>
      <c r="E637" s="4" t="str">
        <f>IFERROR(__xludf.DUMMYFUNCTION("""COMPUTED_VALUE"""),"UNLV")</f>
        <v>UNLV</v>
      </c>
      <c r="F637" s="4">
        <f>IFERROR(__xludf.DUMMYFUNCTION("""COMPUTED_VALUE"""),5.0)</f>
        <v>5</v>
      </c>
      <c r="G637" s="4">
        <f>IFERROR(__xludf.DUMMYFUNCTION("""COMPUTED_VALUE"""),199.0)</f>
        <v>199</v>
      </c>
      <c r="H637" s="4">
        <f>IFERROR(__xludf.DUMMYFUNCTION("""COMPUTED_VALUE"""),3373.0)</f>
        <v>3373</v>
      </c>
      <c r="I637" s="4">
        <f>IFERROR(__xludf.DUMMYFUNCTION("""COMPUTED_VALUE"""),760.0)</f>
        <v>760</v>
      </c>
      <c r="J637" s="4">
        <f>IFERROR(__xludf.DUMMYFUNCTION("""COMPUTED_VALUE"""),319.0)</f>
        <v>319</v>
      </c>
      <c r="K637" s="4">
        <f>IFERROR(__xludf.DUMMYFUNCTION("""COMPUTED_VALUE"""),270.0)</f>
        <v>270</v>
      </c>
      <c r="L637" s="4">
        <f>IFERROR(__xludf.DUMMYFUNCTION("""COMPUTED_VALUE"""),0.42)</f>
        <v>0.42</v>
      </c>
      <c r="M637" s="4">
        <f>IFERROR(__xludf.DUMMYFUNCTION("""COMPUTED_VALUE"""),0.305)</f>
        <v>0.305</v>
      </c>
      <c r="N637" s="4">
        <f>IFERROR(__xludf.DUMMYFUNCTION("""COMPUTED_VALUE"""),0.785)</f>
        <v>0.785</v>
      </c>
      <c r="O637" s="4">
        <f>IFERROR(__xludf.DUMMYFUNCTION("""COMPUTED_VALUE"""),16.9)</f>
        <v>16.9</v>
      </c>
      <c r="P637" s="4">
        <f>IFERROR(__xludf.DUMMYFUNCTION("""COMPUTED_VALUE"""),3.8)</f>
        <v>3.8</v>
      </c>
      <c r="Q637" s="4">
        <f>IFERROR(__xludf.DUMMYFUNCTION("""COMPUTED_VALUE"""),1.6)</f>
        <v>1.6</v>
      </c>
      <c r="R637" s="4">
        <f>IFERROR(__xludf.DUMMYFUNCTION("""COMPUTED_VALUE"""),1.4)</f>
        <v>1.4</v>
      </c>
      <c r="S637" s="4">
        <f>IFERROR(__xludf.DUMMYFUNCTION("""COMPUTED_VALUE"""),4.4)</f>
        <v>4.4</v>
      </c>
      <c r="T637" s="4">
        <f>IFERROR(__xludf.DUMMYFUNCTION("""COMPUTED_VALUE"""),0.062)</f>
        <v>0.062</v>
      </c>
      <c r="U637" s="4">
        <f>IFERROR(__xludf.DUMMYFUNCTION("""COMPUTED_VALUE"""),-2.8)</f>
        <v>-2.8</v>
      </c>
      <c r="V637" s="4">
        <f>IFERROR(__xludf.DUMMYFUNCTION("""COMPUTED_VALUE"""),-0.6)</f>
        <v>-0.6</v>
      </c>
    </row>
    <row r="638">
      <c r="A638" s="4">
        <f>IFERROR(__xludf.DUMMYFUNCTION("""COMPUTED_VALUE"""),39.0)</f>
        <v>39</v>
      </c>
      <c r="B638" s="4">
        <f>IFERROR(__xludf.DUMMYFUNCTION("""COMPUTED_VALUE"""),39.0)</f>
        <v>39</v>
      </c>
      <c r="C638" s="4" t="str">
        <f>IFERROR(__xludf.DUMMYFUNCTION("""COMPUTED_VALUE"""),"NOP")</f>
        <v>NOP</v>
      </c>
      <c r="D638" s="4" t="str">
        <f>IFERROR(__xludf.DUMMYFUNCTION("""COMPUTED_VALUE"""),"David Michineau")</f>
        <v>David Michineau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>
        <f>IFERROR(__xludf.DUMMYFUNCTION("""COMPUTED_VALUE"""),40.0)</f>
        <v>40</v>
      </c>
      <c r="B639" s="4">
        <f>IFERROR(__xludf.DUMMYFUNCTION("""COMPUTED_VALUE"""),40.0)</f>
        <v>40</v>
      </c>
      <c r="C639" s="4" t="str">
        <f>IFERROR(__xludf.DUMMYFUNCTION("""COMPUTED_VALUE"""),"NOP")</f>
        <v>NOP</v>
      </c>
      <c r="D639" s="4" t="str">
        <f>IFERROR(__xludf.DUMMYFUNCTION("""COMPUTED_VALUE"""),"Diamond Stone")</f>
        <v>Diamond Stone</v>
      </c>
      <c r="E639" s="4" t="str">
        <f>IFERROR(__xludf.DUMMYFUNCTION("""COMPUTED_VALUE"""),"Maryland")</f>
        <v>Maryland</v>
      </c>
      <c r="F639" s="4">
        <f>IFERROR(__xludf.DUMMYFUNCTION("""COMPUTED_VALUE"""),1.0)</f>
        <v>1</v>
      </c>
      <c r="G639" s="4">
        <f>IFERROR(__xludf.DUMMYFUNCTION("""COMPUTED_VALUE"""),7.0)</f>
        <v>7</v>
      </c>
      <c r="H639" s="4">
        <f>IFERROR(__xludf.DUMMYFUNCTION("""COMPUTED_VALUE"""),24.0)</f>
        <v>24</v>
      </c>
      <c r="I639" s="4">
        <f>IFERROR(__xludf.DUMMYFUNCTION("""COMPUTED_VALUE"""),10.0)</f>
        <v>10</v>
      </c>
      <c r="J639" s="4">
        <f>IFERROR(__xludf.DUMMYFUNCTION("""COMPUTED_VALUE"""),6.0)</f>
        <v>6</v>
      </c>
      <c r="K639" s="4">
        <f>IFERROR(__xludf.DUMMYFUNCTION("""COMPUTED_VALUE"""),0.0)</f>
        <v>0</v>
      </c>
      <c r="L639" s="4">
        <f>IFERROR(__xludf.DUMMYFUNCTION("""COMPUTED_VALUE"""),0.231)</f>
        <v>0.231</v>
      </c>
      <c r="M639" s="4"/>
      <c r="N639" s="4">
        <f>IFERROR(__xludf.DUMMYFUNCTION("""COMPUTED_VALUE"""),1.0)</f>
        <v>1</v>
      </c>
      <c r="O639" s="4">
        <f>IFERROR(__xludf.DUMMYFUNCTION("""COMPUTED_VALUE"""),3.4)</f>
        <v>3.4</v>
      </c>
      <c r="P639" s="4">
        <f>IFERROR(__xludf.DUMMYFUNCTION("""COMPUTED_VALUE"""),1.4)</f>
        <v>1.4</v>
      </c>
      <c r="Q639" s="4">
        <f>IFERROR(__xludf.DUMMYFUNCTION("""COMPUTED_VALUE"""),0.9)</f>
        <v>0.9</v>
      </c>
      <c r="R639" s="4">
        <f>IFERROR(__xludf.DUMMYFUNCTION("""COMPUTED_VALUE"""),0.0)</f>
        <v>0</v>
      </c>
      <c r="S639" s="4">
        <f>IFERROR(__xludf.DUMMYFUNCTION("""COMPUTED_VALUE"""),-0.1)</f>
        <v>-0.1</v>
      </c>
      <c r="T639" s="4">
        <f>IFERROR(__xludf.DUMMYFUNCTION("""COMPUTED_VALUE"""),-0.211)</f>
        <v>-0.211</v>
      </c>
      <c r="U639" s="4">
        <f>IFERROR(__xludf.DUMMYFUNCTION("""COMPUTED_VALUE"""),-20.8)</f>
        <v>-20.8</v>
      </c>
      <c r="V639" s="4">
        <f>IFERROR(__xludf.DUMMYFUNCTION("""COMPUTED_VALUE"""),-0.1)</f>
        <v>-0.1</v>
      </c>
    </row>
    <row r="640">
      <c r="A640" s="4">
        <f>IFERROR(__xludf.DUMMYFUNCTION("""COMPUTED_VALUE"""),41.0)</f>
        <v>41</v>
      </c>
      <c r="B640" s="4">
        <f>IFERROR(__xludf.DUMMYFUNCTION("""COMPUTED_VALUE"""),41.0)</f>
        <v>41</v>
      </c>
      <c r="C640" s="4" t="str">
        <f>IFERROR(__xludf.DUMMYFUNCTION("""COMPUTED_VALUE"""),"ORL")</f>
        <v>ORL</v>
      </c>
      <c r="D640" s="4" t="str">
        <f>IFERROR(__xludf.DUMMYFUNCTION("""COMPUTED_VALUE"""),"Stephen Zimmerman")</f>
        <v>Stephen Zimmerman</v>
      </c>
      <c r="E640" s="4" t="str">
        <f>IFERROR(__xludf.DUMMYFUNCTION("""COMPUTED_VALUE"""),"UNLV")</f>
        <v>UNLV</v>
      </c>
      <c r="F640" s="4">
        <f>IFERROR(__xludf.DUMMYFUNCTION("""COMPUTED_VALUE"""),1.0)</f>
        <v>1</v>
      </c>
      <c r="G640" s="4">
        <f>IFERROR(__xludf.DUMMYFUNCTION("""COMPUTED_VALUE"""),19.0)</f>
        <v>19</v>
      </c>
      <c r="H640" s="4">
        <f>IFERROR(__xludf.DUMMYFUNCTION("""COMPUTED_VALUE"""),108.0)</f>
        <v>108</v>
      </c>
      <c r="I640" s="4">
        <f>IFERROR(__xludf.DUMMYFUNCTION("""COMPUTED_VALUE"""),23.0)</f>
        <v>23</v>
      </c>
      <c r="J640" s="4">
        <f>IFERROR(__xludf.DUMMYFUNCTION("""COMPUTED_VALUE"""),35.0)</f>
        <v>35</v>
      </c>
      <c r="K640" s="4">
        <f>IFERROR(__xludf.DUMMYFUNCTION("""COMPUTED_VALUE"""),4.0)</f>
        <v>4</v>
      </c>
      <c r="L640" s="4">
        <f>IFERROR(__xludf.DUMMYFUNCTION("""COMPUTED_VALUE"""),0.323)</f>
        <v>0.323</v>
      </c>
      <c r="M640" s="4"/>
      <c r="N640" s="4">
        <f>IFERROR(__xludf.DUMMYFUNCTION("""COMPUTED_VALUE"""),0.6)</f>
        <v>0.6</v>
      </c>
      <c r="O640" s="4">
        <f>IFERROR(__xludf.DUMMYFUNCTION("""COMPUTED_VALUE"""),5.7)</f>
        <v>5.7</v>
      </c>
      <c r="P640" s="4">
        <f>IFERROR(__xludf.DUMMYFUNCTION("""COMPUTED_VALUE"""),1.2)</f>
        <v>1.2</v>
      </c>
      <c r="Q640" s="4">
        <f>IFERROR(__xludf.DUMMYFUNCTION("""COMPUTED_VALUE"""),1.8)</f>
        <v>1.8</v>
      </c>
      <c r="R640" s="4">
        <f>IFERROR(__xludf.DUMMYFUNCTION("""COMPUTED_VALUE"""),0.2)</f>
        <v>0.2</v>
      </c>
      <c r="S640" s="4">
        <f>IFERROR(__xludf.DUMMYFUNCTION("""COMPUTED_VALUE"""),0.0)</f>
        <v>0</v>
      </c>
      <c r="T640" s="4">
        <f>IFERROR(__xludf.DUMMYFUNCTION("""COMPUTED_VALUE"""),-0.005)</f>
        <v>-0.005</v>
      </c>
      <c r="U640" s="4">
        <f>IFERROR(__xludf.DUMMYFUNCTION("""COMPUTED_VALUE"""),-8.3)</f>
        <v>-8.3</v>
      </c>
      <c r="V640" s="4">
        <f>IFERROR(__xludf.DUMMYFUNCTION("""COMPUTED_VALUE"""),-0.2)</f>
        <v>-0.2</v>
      </c>
    </row>
    <row r="641">
      <c r="A641" s="4">
        <f>IFERROR(__xludf.DUMMYFUNCTION("""COMPUTED_VALUE"""),42.0)</f>
        <v>42</v>
      </c>
      <c r="B641" s="4">
        <f>IFERROR(__xludf.DUMMYFUNCTION("""COMPUTED_VALUE"""),42.0)</f>
        <v>42</v>
      </c>
      <c r="C641" s="4" t="str">
        <f>IFERROR(__xludf.DUMMYFUNCTION("""COMPUTED_VALUE"""),"UTA")</f>
        <v>UTA</v>
      </c>
      <c r="D641" s="4" t="str">
        <f>IFERROR(__xludf.DUMMYFUNCTION("""COMPUTED_VALUE"""),"Isaiah Whitehead")</f>
        <v>Isaiah Whitehead</v>
      </c>
      <c r="E641" s="4" t="str">
        <f>IFERROR(__xludf.DUMMYFUNCTION("""COMPUTED_VALUE"""),"Seton Hall")</f>
        <v>Seton Hall</v>
      </c>
      <c r="F641" s="4">
        <f>IFERROR(__xludf.DUMMYFUNCTION("""COMPUTED_VALUE"""),2.0)</f>
        <v>2</v>
      </c>
      <c r="G641" s="4">
        <f>IFERROR(__xludf.DUMMYFUNCTION("""COMPUTED_VALUE"""),89.0)</f>
        <v>89</v>
      </c>
      <c r="H641" s="4">
        <f>IFERROR(__xludf.DUMMYFUNCTION("""COMPUTED_VALUE"""),1823.0)</f>
        <v>1823</v>
      </c>
      <c r="I641" s="4">
        <f>IFERROR(__xludf.DUMMYFUNCTION("""COMPUTED_VALUE"""),643.0)</f>
        <v>643</v>
      </c>
      <c r="J641" s="4">
        <f>IFERROR(__xludf.DUMMYFUNCTION("""COMPUTED_VALUE"""),210.0)</f>
        <v>210</v>
      </c>
      <c r="K641" s="4">
        <f>IFERROR(__xludf.DUMMYFUNCTION("""COMPUTED_VALUE"""),212.0)</f>
        <v>212</v>
      </c>
      <c r="L641" s="4">
        <f>IFERROR(__xludf.DUMMYFUNCTION("""COMPUTED_VALUE"""),0.411)</f>
        <v>0.411</v>
      </c>
      <c r="M641" s="4">
        <f>IFERROR(__xludf.DUMMYFUNCTION("""COMPUTED_VALUE"""),0.305)</f>
        <v>0.305</v>
      </c>
      <c r="N641" s="4">
        <f>IFERROR(__xludf.DUMMYFUNCTION("""COMPUTED_VALUE"""),0.788)</f>
        <v>0.788</v>
      </c>
      <c r="O641" s="4">
        <f>IFERROR(__xludf.DUMMYFUNCTION("""COMPUTED_VALUE"""),20.5)</f>
        <v>20.5</v>
      </c>
      <c r="P641" s="4">
        <f>IFERROR(__xludf.DUMMYFUNCTION("""COMPUTED_VALUE"""),7.2)</f>
        <v>7.2</v>
      </c>
      <c r="Q641" s="4">
        <f>IFERROR(__xludf.DUMMYFUNCTION("""COMPUTED_VALUE"""),2.4)</f>
        <v>2.4</v>
      </c>
      <c r="R641" s="4">
        <f>IFERROR(__xludf.DUMMYFUNCTION("""COMPUTED_VALUE"""),2.4)</f>
        <v>2.4</v>
      </c>
      <c r="S641" s="4">
        <f>IFERROR(__xludf.DUMMYFUNCTION("""COMPUTED_VALUE"""),-0.9)</f>
        <v>-0.9</v>
      </c>
      <c r="T641" s="4">
        <f>IFERROR(__xludf.DUMMYFUNCTION("""COMPUTED_VALUE"""),-0.025)</f>
        <v>-0.025</v>
      </c>
      <c r="U641" s="4">
        <f>IFERROR(__xludf.DUMMYFUNCTION("""COMPUTED_VALUE"""),-5.0)</f>
        <v>-5</v>
      </c>
      <c r="V641" s="4">
        <f>IFERROR(__xludf.DUMMYFUNCTION("""COMPUTED_VALUE"""),-1.4)</f>
        <v>-1.4</v>
      </c>
    </row>
    <row r="642">
      <c r="A642" s="4">
        <f>IFERROR(__xludf.DUMMYFUNCTION("""COMPUTED_VALUE"""),43.0)</f>
        <v>43</v>
      </c>
      <c r="B642" s="4">
        <f>IFERROR(__xludf.DUMMYFUNCTION("""COMPUTED_VALUE"""),43.0)</f>
        <v>43</v>
      </c>
      <c r="C642" s="4" t="str">
        <f>IFERROR(__xludf.DUMMYFUNCTION("""COMPUTED_VALUE"""),"HOU")</f>
        <v>HOU</v>
      </c>
      <c r="D642" s="4" t="str">
        <f>IFERROR(__xludf.DUMMYFUNCTION("""COMPUTED_VALUE"""),"Zhou Qi")</f>
        <v>Zhou Qi</v>
      </c>
      <c r="E642" s="4"/>
      <c r="F642" s="4">
        <f>IFERROR(__xludf.DUMMYFUNCTION("""COMPUTED_VALUE"""),2.0)</f>
        <v>2</v>
      </c>
      <c r="G642" s="4">
        <f>IFERROR(__xludf.DUMMYFUNCTION("""COMPUTED_VALUE"""),19.0)</f>
        <v>19</v>
      </c>
      <c r="H642" s="4">
        <f>IFERROR(__xludf.DUMMYFUNCTION("""COMPUTED_VALUE"""),125.0)</f>
        <v>125</v>
      </c>
      <c r="I642" s="4">
        <f>IFERROR(__xludf.DUMMYFUNCTION("""COMPUTED_VALUE"""),24.0)</f>
        <v>24</v>
      </c>
      <c r="J642" s="4">
        <f>IFERROR(__xludf.DUMMYFUNCTION("""COMPUTED_VALUE"""),22.0)</f>
        <v>22</v>
      </c>
      <c r="K642" s="4">
        <f>IFERROR(__xludf.DUMMYFUNCTION("""COMPUTED_VALUE"""),2.0)</f>
        <v>2</v>
      </c>
      <c r="L642" s="4">
        <f>IFERROR(__xludf.DUMMYFUNCTION("""COMPUTED_VALUE"""),0.212)</f>
        <v>0.212</v>
      </c>
      <c r="M642" s="4">
        <f>IFERROR(__xludf.DUMMYFUNCTION("""COMPUTED_VALUE"""),0.105)</f>
        <v>0.105</v>
      </c>
      <c r="N642" s="4">
        <f>IFERROR(__xludf.DUMMYFUNCTION("""COMPUTED_VALUE"""),0.667)</f>
        <v>0.667</v>
      </c>
      <c r="O642" s="4">
        <f>IFERROR(__xludf.DUMMYFUNCTION("""COMPUTED_VALUE"""),6.6)</f>
        <v>6.6</v>
      </c>
      <c r="P642" s="4">
        <f>IFERROR(__xludf.DUMMYFUNCTION("""COMPUTED_VALUE"""),1.3)</f>
        <v>1.3</v>
      </c>
      <c r="Q642" s="4">
        <f>IFERROR(__xludf.DUMMYFUNCTION("""COMPUTED_VALUE"""),1.2)</f>
        <v>1.2</v>
      </c>
      <c r="R642" s="4">
        <f>IFERROR(__xludf.DUMMYFUNCTION("""COMPUTED_VALUE"""),0.1)</f>
        <v>0.1</v>
      </c>
      <c r="S642" s="4">
        <f>IFERROR(__xludf.DUMMYFUNCTION("""COMPUTED_VALUE"""),-0.2)</f>
        <v>-0.2</v>
      </c>
      <c r="T642" s="4">
        <f>IFERROR(__xludf.DUMMYFUNCTION("""COMPUTED_VALUE"""),-0.093)</f>
        <v>-0.093</v>
      </c>
      <c r="U642" s="4">
        <f>IFERROR(__xludf.DUMMYFUNCTION("""COMPUTED_VALUE"""),-9.6)</f>
        <v>-9.6</v>
      </c>
      <c r="V642" s="4">
        <f>IFERROR(__xludf.DUMMYFUNCTION("""COMPUTED_VALUE"""),-0.2)</f>
        <v>-0.2</v>
      </c>
    </row>
    <row r="643">
      <c r="A643" s="4">
        <f>IFERROR(__xludf.DUMMYFUNCTION("""COMPUTED_VALUE"""),44.0)</f>
        <v>44</v>
      </c>
      <c r="B643" s="4">
        <f>IFERROR(__xludf.DUMMYFUNCTION("""COMPUTED_VALUE"""),44.0)</f>
        <v>44</v>
      </c>
      <c r="C643" s="4" t="str">
        <f>IFERROR(__xludf.DUMMYFUNCTION("""COMPUTED_VALUE"""),"ATL")</f>
        <v>ATL</v>
      </c>
      <c r="D643" s="4" t="str">
        <f>IFERROR(__xludf.DUMMYFUNCTION("""COMPUTED_VALUE"""),"Isaïa Cordinier")</f>
        <v>Isaïa Cordinier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>
        <f>IFERROR(__xludf.DUMMYFUNCTION("""COMPUTED_VALUE"""),45.0)</f>
        <v>45</v>
      </c>
      <c r="B644" s="4">
        <f>IFERROR(__xludf.DUMMYFUNCTION("""COMPUTED_VALUE"""),45.0)</f>
        <v>45</v>
      </c>
      <c r="C644" s="4" t="str">
        <f>IFERROR(__xludf.DUMMYFUNCTION("""COMPUTED_VALUE"""),"BOS")</f>
        <v>BOS</v>
      </c>
      <c r="D644" s="4" t="str">
        <f>IFERROR(__xludf.DUMMYFUNCTION("""COMPUTED_VALUE"""),"Demetrius Jackson")</f>
        <v>Demetrius Jackson</v>
      </c>
      <c r="E644" s="4" t="str">
        <f>IFERROR(__xludf.DUMMYFUNCTION("""COMPUTED_VALUE"""),"Notre Dame")</f>
        <v>Notre Dame</v>
      </c>
      <c r="F644" s="4">
        <f>IFERROR(__xludf.DUMMYFUNCTION("""COMPUTED_VALUE"""),3.0)</f>
        <v>3</v>
      </c>
      <c r="G644" s="4">
        <f>IFERROR(__xludf.DUMMYFUNCTION("""COMPUTED_VALUE"""),26.0)</f>
        <v>26</v>
      </c>
      <c r="H644" s="4">
        <f>IFERROR(__xludf.DUMMYFUNCTION("""COMPUTED_VALUE"""),136.0)</f>
        <v>136</v>
      </c>
      <c r="I644" s="4">
        <f>IFERROR(__xludf.DUMMYFUNCTION("""COMPUTED_VALUE"""),48.0)</f>
        <v>48</v>
      </c>
      <c r="J644" s="4">
        <f>IFERROR(__xludf.DUMMYFUNCTION("""COMPUTED_VALUE"""),19.0)</f>
        <v>19</v>
      </c>
      <c r="K644" s="4">
        <f>IFERROR(__xludf.DUMMYFUNCTION("""COMPUTED_VALUE"""),17.0)</f>
        <v>17</v>
      </c>
      <c r="L644" s="4">
        <f>IFERROR(__xludf.DUMMYFUNCTION("""COMPUTED_VALUE"""),0.486)</f>
        <v>0.486</v>
      </c>
      <c r="M644" s="4">
        <f>IFERROR(__xludf.DUMMYFUNCTION("""COMPUTED_VALUE"""),0.286)</f>
        <v>0.286</v>
      </c>
      <c r="N644" s="4">
        <f>IFERROR(__xludf.DUMMYFUNCTION("""COMPUTED_VALUE"""),0.667)</f>
        <v>0.667</v>
      </c>
      <c r="O644" s="4">
        <f>IFERROR(__xludf.DUMMYFUNCTION("""COMPUTED_VALUE"""),5.2)</f>
        <v>5.2</v>
      </c>
      <c r="P644" s="4">
        <f>IFERROR(__xludf.DUMMYFUNCTION("""COMPUTED_VALUE"""),1.8)</f>
        <v>1.8</v>
      </c>
      <c r="Q644" s="4">
        <f>IFERROR(__xludf.DUMMYFUNCTION("""COMPUTED_VALUE"""),0.7)</f>
        <v>0.7</v>
      </c>
      <c r="R644" s="4">
        <f>IFERROR(__xludf.DUMMYFUNCTION("""COMPUTED_VALUE"""),0.7)</f>
        <v>0.7</v>
      </c>
      <c r="S644" s="4">
        <f>IFERROR(__xludf.DUMMYFUNCTION("""COMPUTED_VALUE"""),0.2)</f>
        <v>0.2</v>
      </c>
      <c r="T644" s="4">
        <f>IFERROR(__xludf.DUMMYFUNCTION("""COMPUTED_VALUE"""),0.087)</f>
        <v>0.087</v>
      </c>
      <c r="U644" s="4">
        <f>IFERROR(__xludf.DUMMYFUNCTION("""COMPUTED_VALUE"""),-0.5)</f>
        <v>-0.5</v>
      </c>
      <c r="V644" s="4">
        <f>IFERROR(__xludf.DUMMYFUNCTION("""COMPUTED_VALUE"""),0.1)</f>
        <v>0.1</v>
      </c>
    </row>
    <row r="645">
      <c r="A645" s="4">
        <f>IFERROR(__xludf.DUMMYFUNCTION("""COMPUTED_VALUE"""),46.0)</f>
        <v>46</v>
      </c>
      <c r="B645" s="4">
        <f>IFERROR(__xludf.DUMMYFUNCTION("""COMPUTED_VALUE"""),46.0)</f>
        <v>46</v>
      </c>
      <c r="C645" s="4" t="str">
        <f>IFERROR(__xludf.DUMMYFUNCTION("""COMPUTED_VALUE"""),"DAL")</f>
        <v>DAL</v>
      </c>
      <c r="D645" s="4" t="str">
        <f>IFERROR(__xludf.DUMMYFUNCTION("""COMPUTED_VALUE"""),"A.J. Hammons")</f>
        <v>A.J. Hammons</v>
      </c>
      <c r="E645" s="4" t="str">
        <f>IFERROR(__xludf.DUMMYFUNCTION("""COMPUTED_VALUE"""),"Purdue")</f>
        <v>Purdue</v>
      </c>
      <c r="F645" s="4">
        <f>IFERROR(__xludf.DUMMYFUNCTION("""COMPUTED_VALUE"""),1.0)</f>
        <v>1</v>
      </c>
      <c r="G645" s="4">
        <f>IFERROR(__xludf.DUMMYFUNCTION("""COMPUTED_VALUE"""),22.0)</f>
        <v>22</v>
      </c>
      <c r="H645" s="4">
        <f>IFERROR(__xludf.DUMMYFUNCTION("""COMPUTED_VALUE"""),163.0)</f>
        <v>163</v>
      </c>
      <c r="I645" s="4">
        <f>IFERROR(__xludf.DUMMYFUNCTION("""COMPUTED_VALUE"""),48.0)</f>
        <v>48</v>
      </c>
      <c r="J645" s="4">
        <f>IFERROR(__xludf.DUMMYFUNCTION("""COMPUTED_VALUE"""),36.0)</f>
        <v>36</v>
      </c>
      <c r="K645" s="4">
        <f>IFERROR(__xludf.DUMMYFUNCTION("""COMPUTED_VALUE"""),4.0)</f>
        <v>4</v>
      </c>
      <c r="L645" s="4">
        <f>IFERROR(__xludf.DUMMYFUNCTION("""COMPUTED_VALUE"""),0.405)</f>
        <v>0.405</v>
      </c>
      <c r="M645" s="4">
        <f>IFERROR(__xludf.DUMMYFUNCTION("""COMPUTED_VALUE"""),0.5)</f>
        <v>0.5</v>
      </c>
      <c r="N645" s="4">
        <f>IFERROR(__xludf.DUMMYFUNCTION("""COMPUTED_VALUE"""),0.45)</f>
        <v>0.45</v>
      </c>
      <c r="O645" s="4">
        <f>IFERROR(__xludf.DUMMYFUNCTION("""COMPUTED_VALUE"""),7.4)</f>
        <v>7.4</v>
      </c>
      <c r="P645" s="4">
        <f>IFERROR(__xludf.DUMMYFUNCTION("""COMPUTED_VALUE"""),2.2)</f>
        <v>2.2</v>
      </c>
      <c r="Q645" s="4">
        <f>IFERROR(__xludf.DUMMYFUNCTION("""COMPUTED_VALUE"""),1.6)</f>
        <v>1.6</v>
      </c>
      <c r="R645" s="4">
        <f>IFERROR(__xludf.DUMMYFUNCTION("""COMPUTED_VALUE"""),0.2)</f>
        <v>0.2</v>
      </c>
      <c r="S645" s="4">
        <f>IFERROR(__xludf.DUMMYFUNCTION("""COMPUTED_VALUE"""),0.0)</f>
        <v>0</v>
      </c>
      <c r="T645" s="4">
        <f>IFERROR(__xludf.DUMMYFUNCTION("""COMPUTED_VALUE"""),-0.001)</f>
        <v>-0.001</v>
      </c>
      <c r="U645" s="4">
        <f>IFERROR(__xludf.DUMMYFUNCTION("""COMPUTED_VALUE"""),-6.6)</f>
        <v>-6.6</v>
      </c>
      <c r="V645" s="4">
        <f>IFERROR(__xludf.DUMMYFUNCTION("""COMPUTED_VALUE"""),-0.2)</f>
        <v>-0.2</v>
      </c>
    </row>
    <row r="646">
      <c r="A646" s="4">
        <f>IFERROR(__xludf.DUMMYFUNCTION("""COMPUTED_VALUE"""),47.0)</f>
        <v>47</v>
      </c>
      <c r="B646" s="4">
        <f>IFERROR(__xludf.DUMMYFUNCTION("""COMPUTED_VALUE"""),47.0)</f>
        <v>47</v>
      </c>
      <c r="C646" s="4" t="str">
        <f>IFERROR(__xludf.DUMMYFUNCTION("""COMPUTED_VALUE"""),"ORL")</f>
        <v>ORL</v>
      </c>
      <c r="D646" s="4" t="str">
        <f>IFERROR(__xludf.DUMMYFUNCTION("""COMPUTED_VALUE"""),"Jake Layman")</f>
        <v>Jake Layman</v>
      </c>
      <c r="E646" s="4" t="str">
        <f>IFERROR(__xludf.DUMMYFUNCTION("""COMPUTED_VALUE"""),"Maryland")</f>
        <v>Maryland</v>
      </c>
      <c r="F646" s="4">
        <f>IFERROR(__xludf.DUMMYFUNCTION("""COMPUTED_VALUE"""),6.0)</f>
        <v>6</v>
      </c>
      <c r="G646" s="4">
        <f>IFERROR(__xludf.DUMMYFUNCTION("""COMPUTED_VALUE"""),243.0)</f>
        <v>243</v>
      </c>
      <c r="H646" s="4">
        <f>IFERROR(__xludf.DUMMYFUNCTION("""COMPUTED_VALUE"""),3099.0)</f>
        <v>3099</v>
      </c>
      <c r="I646" s="4">
        <f>IFERROR(__xludf.DUMMYFUNCTION("""COMPUTED_VALUE"""),1175.0)</f>
        <v>1175</v>
      </c>
      <c r="J646" s="4">
        <f>IFERROR(__xludf.DUMMYFUNCTION("""COMPUTED_VALUE"""),417.0)</f>
        <v>417</v>
      </c>
      <c r="K646" s="4">
        <f>IFERROR(__xludf.DUMMYFUNCTION("""COMPUTED_VALUE"""),127.0)</f>
        <v>127</v>
      </c>
      <c r="L646" s="4">
        <f>IFERROR(__xludf.DUMMYFUNCTION("""COMPUTED_VALUE"""),0.46)</f>
        <v>0.46</v>
      </c>
      <c r="M646" s="4">
        <f>IFERROR(__xludf.DUMMYFUNCTION("""COMPUTED_VALUE"""),0.3)</f>
        <v>0.3</v>
      </c>
      <c r="N646" s="4">
        <f>IFERROR(__xludf.DUMMYFUNCTION("""COMPUTED_VALUE"""),0.719)</f>
        <v>0.719</v>
      </c>
      <c r="O646" s="4">
        <f>IFERROR(__xludf.DUMMYFUNCTION("""COMPUTED_VALUE"""),12.8)</f>
        <v>12.8</v>
      </c>
      <c r="P646" s="4">
        <f>IFERROR(__xludf.DUMMYFUNCTION("""COMPUTED_VALUE"""),4.8)</f>
        <v>4.8</v>
      </c>
      <c r="Q646" s="4">
        <f>IFERROR(__xludf.DUMMYFUNCTION("""COMPUTED_VALUE"""),1.7)</f>
        <v>1.7</v>
      </c>
      <c r="R646" s="4">
        <f>IFERROR(__xludf.DUMMYFUNCTION("""COMPUTED_VALUE"""),0.5)</f>
        <v>0.5</v>
      </c>
      <c r="S646" s="4">
        <f>IFERROR(__xludf.DUMMYFUNCTION("""COMPUTED_VALUE"""),3.8)</f>
        <v>3.8</v>
      </c>
      <c r="T646" s="4">
        <f>IFERROR(__xludf.DUMMYFUNCTION("""COMPUTED_VALUE"""),0.059)</f>
        <v>0.059</v>
      </c>
      <c r="U646" s="4">
        <f>IFERROR(__xludf.DUMMYFUNCTION("""COMPUTED_VALUE"""),-2.3)</f>
        <v>-2.3</v>
      </c>
      <c r="V646" s="4">
        <f>IFERROR(__xludf.DUMMYFUNCTION("""COMPUTED_VALUE"""),-0.2)</f>
        <v>-0.2</v>
      </c>
    </row>
    <row r="647">
      <c r="A647" s="4">
        <f>IFERROR(__xludf.DUMMYFUNCTION("""COMPUTED_VALUE"""),48.0)</f>
        <v>48</v>
      </c>
      <c r="B647" s="4">
        <f>IFERROR(__xludf.DUMMYFUNCTION("""COMPUTED_VALUE"""),48.0)</f>
        <v>48</v>
      </c>
      <c r="C647" s="4" t="str">
        <f>IFERROR(__xludf.DUMMYFUNCTION("""COMPUTED_VALUE"""),"CHI")</f>
        <v>CHI</v>
      </c>
      <c r="D647" s="4" t="str">
        <f>IFERROR(__xludf.DUMMYFUNCTION("""COMPUTED_VALUE"""),"Paul Zipser")</f>
        <v>Paul Zipser</v>
      </c>
      <c r="E647" s="4"/>
      <c r="F647" s="4">
        <f>IFERROR(__xludf.DUMMYFUNCTION("""COMPUTED_VALUE"""),2.0)</f>
        <v>2</v>
      </c>
      <c r="G647" s="4">
        <f>IFERROR(__xludf.DUMMYFUNCTION("""COMPUTED_VALUE"""),98.0)</f>
        <v>98</v>
      </c>
      <c r="H647" s="4">
        <f>IFERROR(__xludf.DUMMYFUNCTION("""COMPUTED_VALUE"""),1667.0)</f>
        <v>1667</v>
      </c>
      <c r="I647" s="4">
        <f>IFERROR(__xludf.DUMMYFUNCTION("""COMPUTED_VALUE"""),458.0)</f>
        <v>458</v>
      </c>
      <c r="J647" s="4">
        <f>IFERROR(__xludf.DUMMYFUNCTION("""COMPUTED_VALUE"""),256.0)</f>
        <v>256</v>
      </c>
      <c r="K647" s="4">
        <f>IFERROR(__xludf.DUMMYFUNCTION("""COMPUTED_VALUE"""),82.0)</f>
        <v>82</v>
      </c>
      <c r="L647" s="4">
        <f>IFERROR(__xludf.DUMMYFUNCTION("""COMPUTED_VALUE"""),0.371)</f>
        <v>0.371</v>
      </c>
      <c r="M647" s="4">
        <f>IFERROR(__xludf.DUMMYFUNCTION("""COMPUTED_VALUE"""),0.335)</f>
        <v>0.335</v>
      </c>
      <c r="N647" s="4">
        <f>IFERROR(__xludf.DUMMYFUNCTION("""COMPUTED_VALUE"""),0.769)</f>
        <v>0.769</v>
      </c>
      <c r="O647" s="4">
        <f>IFERROR(__xludf.DUMMYFUNCTION("""COMPUTED_VALUE"""),17.0)</f>
        <v>17</v>
      </c>
      <c r="P647" s="4">
        <f>IFERROR(__xludf.DUMMYFUNCTION("""COMPUTED_VALUE"""),4.7)</f>
        <v>4.7</v>
      </c>
      <c r="Q647" s="4">
        <f>IFERROR(__xludf.DUMMYFUNCTION("""COMPUTED_VALUE"""),2.6)</f>
        <v>2.6</v>
      </c>
      <c r="R647" s="4">
        <f>IFERROR(__xludf.DUMMYFUNCTION("""COMPUTED_VALUE"""),0.8)</f>
        <v>0.8</v>
      </c>
      <c r="S647" s="4">
        <f>IFERROR(__xludf.DUMMYFUNCTION("""COMPUTED_VALUE"""),0.0)</f>
        <v>0</v>
      </c>
      <c r="T647" s="4">
        <f>IFERROR(__xludf.DUMMYFUNCTION("""COMPUTED_VALUE"""),-0.001)</f>
        <v>-0.001</v>
      </c>
      <c r="U647" s="4">
        <f>IFERROR(__xludf.DUMMYFUNCTION("""COMPUTED_VALUE"""),-5.2)</f>
        <v>-5.2</v>
      </c>
      <c r="V647" s="4">
        <f>IFERROR(__xludf.DUMMYFUNCTION("""COMPUTED_VALUE"""),-1.4)</f>
        <v>-1.4</v>
      </c>
    </row>
    <row r="648">
      <c r="A648" s="4">
        <f>IFERROR(__xludf.DUMMYFUNCTION("""COMPUTED_VALUE"""),49.0)</f>
        <v>49</v>
      </c>
      <c r="B648" s="4">
        <f>IFERROR(__xludf.DUMMYFUNCTION("""COMPUTED_VALUE"""),49.0)</f>
        <v>49</v>
      </c>
      <c r="C648" s="4" t="str">
        <f>IFERROR(__xludf.DUMMYFUNCTION("""COMPUTED_VALUE"""),"DET")</f>
        <v>DET</v>
      </c>
      <c r="D648" s="4" t="str">
        <f>IFERROR(__xludf.DUMMYFUNCTION("""COMPUTED_VALUE"""),"Michael Gbinije")</f>
        <v>Michael Gbinije</v>
      </c>
      <c r="E648" s="4" t="str">
        <f>IFERROR(__xludf.DUMMYFUNCTION("""COMPUTED_VALUE"""),"Syracuse")</f>
        <v>Syracuse</v>
      </c>
      <c r="F648" s="4">
        <f>IFERROR(__xludf.DUMMYFUNCTION("""COMPUTED_VALUE"""),1.0)</f>
        <v>1</v>
      </c>
      <c r="G648" s="4">
        <f>IFERROR(__xludf.DUMMYFUNCTION("""COMPUTED_VALUE"""),9.0)</f>
        <v>9</v>
      </c>
      <c r="H648" s="4">
        <f>IFERROR(__xludf.DUMMYFUNCTION("""COMPUTED_VALUE"""),32.0)</f>
        <v>32</v>
      </c>
      <c r="I648" s="4">
        <f>IFERROR(__xludf.DUMMYFUNCTION("""COMPUTED_VALUE"""),4.0)</f>
        <v>4</v>
      </c>
      <c r="J648" s="4">
        <f>IFERROR(__xludf.DUMMYFUNCTION("""COMPUTED_VALUE"""),3.0)</f>
        <v>3</v>
      </c>
      <c r="K648" s="4">
        <f>IFERROR(__xludf.DUMMYFUNCTION("""COMPUTED_VALUE"""),2.0)</f>
        <v>2</v>
      </c>
      <c r="L648" s="4">
        <f>IFERROR(__xludf.DUMMYFUNCTION("""COMPUTED_VALUE"""),0.1)</f>
        <v>0.1</v>
      </c>
      <c r="M648" s="4">
        <f>IFERROR(__xludf.DUMMYFUNCTION("""COMPUTED_VALUE"""),0.0)</f>
        <v>0</v>
      </c>
      <c r="N648" s="4">
        <f>IFERROR(__xludf.DUMMYFUNCTION("""COMPUTED_VALUE"""),1.0)</f>
        <v>1</v>
      </c>
      <c r="O648" s="4">
        <f>IFERROR(__xludf.DUMMYFUNCTION("""COMPUTED_VALUE"""),3.6)</f>
        <v>3.6</v>
      </c>
      <c r="P648" s="4">
        <f>IFERROR(__xludf.DUMMYFUNCTION("""COMPUTED_VALUE"""),0.4)</f>
        <v>0.4</v>
      </c>
      <c r="Q648" s="4">
        <f>IFERROR(__xludf.DUMMYFUNCTION("""COMPUTED_VALUE"""),0.3)</f>
        <v>0.3</v>
      </c>
      <c r="R648" s="4">
        <f>IFERROR(__xludf.DUMMYFUNCTION("""COMPUTED_VALUE"""),0.2)</f>
        <v>0.2</v>
      </c>
      <c r="S648" s="4">
        <f>IFERROR(__xludf.DUMMYFUNCTION("""COMPUTED_VALUE"""),-0.1)</f>
        <v>-0.1</v>
      </c>
      <c r="T648" s="4">
        <f>IFERROR(__xludf.DUMMYFUNCTION("""COMPUTED_VALUE"""),-0.136)</f>
        <v>-0.136</v>
      </c>
      <c r="U648" s="4">
        <f>IFERROR(__xludf.DUMMYFUNCTION("""COMPUTED_VALUE"""),-12.1)</f>
        <v>-12.1</v>
      </c>
      <c r="V648" s="4">
        <f>IFERROR(__xludf.DUMMYFUNCTION("""COMPUTED_VALUE"""),-0.1)</f>
        <v>-0.1</v>
      </c>
    </row>
    <row r="649">
      <c r="A649" s="4">
        <f>IFERROR(__xludf.DUMMYFUNCTION("""COMPUTED_VALUE"""),50.0)</f>
        <v>50</v>
      </c>
      <c r="B649" s="4">
        <f>IFERROR(__xludf.DUMMYFUNCTION("""COMPUTED_VALUE"""),50.0)</f>
        <v>50</v>
      </c>
      <c r="C649" s="4" t="str">
        <f>IFERROR(__xludf.DUMMYFUNCTION("""COMPUTED_VALUE"""),"IND")</f>
        <v>IND</v>
      </c>
      <c r="D649" s="4" t="str">
        <f>IFERROR(__xludf.DUMMYFUNCTION("""COMPUTED_VALUE"""),"Georges Niang")</f>
        <v>Georges Niang</v>
      </c>
      <c r="E649" s="4" t="str">
        <f>IFERROR(__xludf.DUMMYFUNCTION("""COMPUTED_VALUE"""),"Iowa State")</f>
        <v>Iowa State</v>
      </c>
      <c r="F649" s="4">
        <f>IFERROR(__xludf.DUMMYFUNCTION("""COMPUTED_VALUE"""),9.0)</f>
        <v>9</v>
      </c>
      <c r="G649" s="4">
        <f>IFERROR(__xludf.DUMMYFUNCTION("""COMPUTED_VALUE"""),544.0)</f>
        <v>544</v>
      </c>
      <c r="H649" s="4">
        <f>IFERROR(__xludf.DUMMYFUNCTION("""COMPUTED_VALUE"""),9494.0)</f>
        <v>9494</v>
      </c>
      <c r="I649" s="4">
        <f>IFERROR(__xludf.DUMMYFUNCTION("""COMPUTED_VALUE"""),4046.0)</f>
        <v>4046</v>
      </c>
      <c r="J649" s="4">
        <f>IFERROR(__xludf.DUMMYFUNCTION("""COMPUTED_VALUE"""),1354.0)</f>
        <v>1354</v>
      </c>
      <c r="K649" s="4">
        <f>IFERROR(__xludf.DUMMYFUNCTION("""COMPUTED_VALUE"""),534.0)</f>
        <v>534</v>
      </c>
      <c r="L649" s="4">
        <f>IFERROR(__xludf.DUMMYFUNCTION("""COMPUTED_VALUE"""),0.445)</f>
        <v>0.445</v>
      </c>
      <c r="M649" s="4">
        <f>IFERROR(__xludf.DUMMYFUNCTION("""COMPUTED_VALUE"""),0.399)</f>
        <v>0.399</v>
      </c>
      <c r="N649" s="4">
        <f>IFERROR(__xludf.DUMMYFUNCTION("""COMPUTED_VALUE"""),0.852)</f>
        <v>0.852</v>
      </c>
      <c r="O649" s="4">
        <f>IFERROR(__xludf.DUMMYFUNCTION("""COMPUTED_VALUE"""),17.5)</f>
        <v>17.5</v>
      </c>
      <c r="P649" s="4">
        <f>IFERROR(__xludf.DUMMYFUNCTION("""COMPUTED_VALUE"""),7.4)</f>
        <v>7.4</v>
      </c>
      <c r="Q649" s="4">
        <f>IFERROR(__xludf.DUMMYFUNCTION("""COMPUTED_VALUE"""),2.5)</f>
        <v>2.5</v>
      </c>
      <c r="R649" s="4">
        <f>IFERROR(__xludf.DUMMYFUNCTION("""COMPUTED_VALUE"""),1.0)</f>
        <v>1</v>
      </c>
      <c r="S649" s="4">
        <f>IFERROR(__xludf.DUMMYFUNCTION("""COMPUTED_VALUE"""),15.9)</f>
        <v>15.9</v>
      </c>
      <c r="T649" s="4">
        <f>IFERROR(__xludf.DUMMYFUNCTION("""COMPUTED_VALUE"""),0.08)</f>
        <v>0.08</v>
      </c>
      <c r="U649" s="4">
        <f>IFERROR(__xludf.DUMMYFUNCTION("""COMPUTED_VALUE"""),-1.7)</f>
        <v>-1.7</v>
      </c>
      <c r="V649" s="4">
        <f>IFERROR(__xludf.DUMMYFUNCTION("""COMPUTED_VALUE"""),0.7)</f>
        <v>0.7</v>
      </c>
    </row>
    <row r="650">
      <c r="A650" s="4">
        <f>IFERROR(__xludf.DUMMYFUNCTION("""COMPUTED_VALUE"""),51.0)</f>
        <v>51</v>
      </c>
      <c r="B650" s="4">
        <f>IFERROR(__xludf.DUMMYFUNCTION("""COMPUTED_VALUE"""),51.0)</f>
        <v>51</v>
      </c>
      <c r="C650" s="4" t="str">
        <f>IFERROR(__xludf.DUMMYFUNCTION("""COMPUTED_VALUE"""),"BOS")</f>
        <v>BOS</v>
      </c>
      <c r="D650" s="4" t="str">
        <f>IFERROR(__xludf.DUMMYFUNCTION("""COMPUTED_VALUE"""),"Ben Bentil")</f>
        <v>Ben Bentil</v>
      </c>
      <c r="E650" s="4" t="str">
        <f>IFERROR(__xludf.DUMMYFUNCTION("""COMPUTED_VALUE"""),"Providence")</f>
        <v>Providence</v>
      </c>
      <c r="F650" s="4">
        <f>IFERROR(__xludf.DUMMYFUNCTION("""COMPUTED_VALUE"""),1.0)</f>
        <v>1</v>
      </c>
      <c r="G650" s="4">
        <f>IFERROR(__xludf.DUMMYFUNCTION("""COMPUTED_VALUE"""),3.0)</f>
        <v>3</v>
      </c>
      <c r="H650" s="4">
        <f>IFERROR(__xludf.DUMMYFUNCTION("""COMPUTED_VALUE"""),10.0)</f>
        <v>10</v>
      </c>
      <c r="I650" s="4">
        <f>IFERROR(__xludf.DUMMYFUNCTION("""COMPUTED_VALUE"""),0.0)</f>
        <v>0</v>
      </c>
      <c r="J650" s="4">
        <f>IFERROR(__xludf.DUMMYFUNCTION("""COMPUTED_VALUE"""),2.0)</f>
        <v>2</v>
      </c>
      <c r="K650" s="4">
        <f>IFERROR(__xludf.DUMMYFUNCTION("""COMPUTED_VALUE"""),0.0)</f>
        <v>0</v>
      </c>
      <c r="L650" s="4">
        <f>IFERROR(__xludf.DUMMYFUNCTION("""COMPUTED_VALUE"""),0.0)</f>
        <v>0</v>
      </c>
      <c r="M650" s="4">
        <f>IFERROR(__xludf.DUMMYFUNCTION("""COMPUTED_VALUE"""),0.0)</f>
        <v>0</v>
      </c>
      <c r="N650" s="4"/>
      <c r="O650" s="4">
        <f>IFERROR(__xludf.DUMMYFUNCTION("""COMPUTED_VALUE"""),3.3)</f>
        <v>3.3</v>
      </c>
      <c r="P650" s="4">
        <f>IFERROR(__xludf.DUMMYFUNCTION("""COMPUTED_VALUE"""),0.0)</f>
        <v>0</v>
      </c>
      <c r="Q650" s="4">
        <f>IFERROR(__xludf.DUMMYFUNCTION("""COMPUTED_VALUE"""),0.7)</f>
        <v>0.7</v>
      </c>
      <c r="R650" s="4">
        <f>IFERROR(__xludf.DUMMYFUNCTION("""COMPUTED_VALUE"""),0.0)</f>
        <v>0</v>
      </c>
      <c r="S650" s="4">
        <f>IFERROR(__xludf.DUMMYFUNCTION("""COMPUTED_VALUE"""),-0.1)</f>
        <v>-0.1</v>
      </c>
      <c r="T650" s="4">
        <f>IFERROR(__xludf.DUMMYFUNCTION("""COMPUTED_VALUE"""),-0.473)</f>
        <v>-0.473</v>
      </c>
      <c r="U650" s="4">
        <f>IFERROR(__xludf.DUMMYFUNCTION("""COMPUTED_VALUE"""),-25.9)</f>
        <v>-25.9</v>
      </c>
      <c r="V650" s="4">
        <f>IFERROR(__xludf.DUMMYFUNCTION("""COMPUTED_VALUE"""),-0.1)</f>
        <v>-0.1</v>
      </c>
    </row>
    <row r="651">
      <c r="A651" s="4">
        <f>IFERROR(__xludf.DUMMYFUNCTION("""COMPUTED_VALUE"""),52.0)</f>
        <v>52</v>
      </c>
      <c r="B651" s="4">
        <f>IFERROR(__xludf.DUMMYFUNCTION("""COMPUTED_VALUE"""),52.0)</f>
        <v>52</v>
      </c>
      <c r="C651" s="4" t="str">
        <f>IFERROR(__xludf.DUMMYFUNCTION("""COMPUTED_VALUE"""),"UTA")</f>
        <v>UTA</v>
      </c>
      <c r="D651" s="4" t="str">
        <f>IFERROR(__xludf.DUMMYFUNCTION("""COMPUTED_VALUE"""),"Joel Bolomboy")</f>
        <v>Joel Bolomboy</v>
      </c>
      <c r="E651" s="4" t="str">
        <f>IFERROR(__xludf.DUMMYFUNCTION("""COMPUTED_VALUE"""),"Weber State")</f>
        <v>Weber State</v>
      </c>
      <c r="F651" s="4">
        <f>IFERROR(__xludf.DUMMYFUNCTION("""COMPUTED_VALUE"""),2.0)</f>
        <v>2</v>
      </c>
      <c r="G651" s="4">
        <f>IFERROR(__xludf.DUMMYFUNCTION("""COMPUTED_VALUE"""),18.0)</f>
        <v>18</v>
      </c>
      <c r="H651" s="4">
        <f>IFERROR(__xludf.DUMMYFUNCTION("""COMPUTED_VALUE"""),91.0)</f>
        <v>91</v>
      </c>
      <c r="I651" s="4">
        <f>IFERROR(__xludf.DUMMYFUNCTION("""COMPUTED_VALUE"""),31.0)</f>
        <v>31</v>
      </c>
      <c r="J651" s="4">
        <f>IFERROR(__xludf.DUMMYFUNCTION("""COMPUTED_VALUE"""),27.0)</f>
        <v>27</v>
      </c>
      <c r="K651" s="4">
        <f>IFERROR(__xludf.DUMMYFUNCTION("""COMPUTED_VALUE"""),2.0)</f>
        <v>2</v>
      </c>
      <c r="L651" s="4">
        <f>IFERROR(__xludf.DUMMYFUNCTION("""COMPUTED_VALUE"""),0.545)</f>
        <v>0.545</v>
      </c>
      <c r="M651" s="4">
        <f>IFERROR(__xludf.DUMMYFUNCTION("""COMPUTED_VALUE"""),0.2)</f>
        <v>0.2</v>
      </c>
      <c r="N651" s="4">
        <f>IFERROR(__xludf.DUMMYFUNCTION("""COMPUTED_VALUE"""),0.5)</f>
        <v>0.5</v>
      </c>
      <c r="O651" s="4">
        <f>IFERROR(__xludf.DUMMYFUNCTION("""COMPUTED_VALUE"""),5.1)</f>
        <v>5.1</v>
      </c>
      <c r="P651" s="4">
        <f>IFERROR(__xludf.DUMMYFUNCTION("""COMPUTED_VALUE"""),1.7)</f>
        <v>1.7</v>
      </c>
      <c r="Q651" s="4">
        <f>IFERROR(__xludf.DUMMYFUNCTION("""COMPUTED_VALUE"""),1.5)</f>
        <v>1.5</v>
      </c>
      <c r="R651" s="4">
        <f>IFERROR(__xludf.DUMMYFUNCTION("""COMPUTED_VALUE"""),0.1)</f>
        <v>0.1</v>
      </c>
      <c r="S651" s="4">
        <f>IFERROR(__xludf.DUMMYFUNCTION("""COMPUTED_VALUE"""),0.3)</f>
        <v>0.3</v>
      </c>
      <c r="T651" s="4">
        <f>IFERROR(__xludf.DUMMYFUNCTION("""COMPUTED_VALUE"""),0.132)</f>
        <v>0.132</v>
      </c>
      <c r="U651" s="4">
        <f>IFERROR(__xludf.DUMMYFUNCTION("""COMPUTED_VALUE"""),-0.1)</f>
        <v>-0.1</v>
      </c>
      <c r="V651" s="4">
        <f>IFERROR(__xludf.DUMMYFUNCTION("""COMPUTED_VALUE"""),0.0)</f>
        <v>0</v>
      </c>
    </row>
    <row r="652">
      <c r="A652" s="4">
        <f>IFERROR(__xludf.DUMMYFUNCTION("""COMPUTED_VALUE"""),53.0)</f>
        <v>53</v>
      </c>
      <c r="B652" s="4">
        <f>IFERROR(__xludf.DUMMYFUNCTION("""COMPUTED_VALUE"""),53.0)</f>
        <v>53</v>
      </c>
      <c r="C652" s="4" t="str">
        <f>IFERROR(__xludf.DUMMYFUNCTION("""COMPUTED_VALUE"""),"DEN")</f>
        <v>DEN</v>
      </c>
      <c r="D652" s="4" t="str">
        <f>IFERROR(__xludf.DUMMYFUNCTION("""COMPUTED_VALUE"""),"Petr Cornelie")</f>
        <v>Petr Cornelie</v>
      </c>
      <c r="E652" s="4"/>
      <c r="F652" s="4">
        <f>IFERROR(__xludf.DUMMYFUNCTION("""COMPUTED_VALUE"""),1.0)</f>
        <v>1</v>
      </c>
      <c r="G652" s="4">
        <f>IFERROR(__xludf.DUMMYFUNCTION("""COMPUTED_VALUE"""),13.0)</f>
        <v>13</v>
      </c>
      <c r="H652" s="4">
        <f>IFERROR(__xludf.DUMMYFUNCTION("""COMPUTED_VALUE"""),38.0)</f>
        <v>38</v>
      </c>
      <c r="I652" s="4">
        <f>IFERROR(__xludf.DUMMYFUNCTION("""COMPUTED_VALUE"""),14.0)</f>
        <v>14</v>
      </c>
      <c r="J652" s="4">
        <f>IFERROR(__xludf.DUMMYFUNCTION("""COMPUTED_VALUE"""),14.0)</f>
        <v>14</v>
      </c>
      <c r="K652" s="4">
        <f>IFERROR(__xludf.DUMMYFUNCTION("""COMPUTED_VALUE"""),3.0)</f>
        <v>3</v>
      </c>
      <c r="L652" s="4">
        <f>IFERROR(__xludf.DUMMYFUNCTION("""COMPUTED_VALUE"""),0.333)</f>
        <v>0.333</v>
      </c>
      <c r="M652" s="4">
        <f>IFERROR(__xludf.DUMMYFUNCTION("""COMPUTED_VALUE"""),0.125)</f>
        <v>0.125</v>
      </c>
      <c r="N652" s="4">
        <f>IFERROR(__xludf.DUMMYFUNCTION("""COMPUTED_VALUE"""),0.75)</f>
        <v>0.75</v>
      </c>
      <c r="O652" s="4">
        <f>IFERROR(__xludf.DUMMYFUNCTION("""COMPUTED_VALUE"""),2.9)</f>
        <v>2.9</v>
      </c>
      <c r="P652" s="4">
        <f>IFERROR(__xludf.DUMMYFUNCTION("""COMPUTED_VALUE"""),1.1)</f>
        <v>1.1</v>
      </c>
      <c r="Q652" s="4">
        <f>IFERROR(__xludf.DUMMYFUNCTION("""COMPUTED_VALUE"""),1.1)</f>
        <v>1.1</v>
      </c>
      <c r="R652" s="4">
        <f>IFERROR(__xludf.DUMMYFUNCTION("""COMPUTED_VALUE"""),0.2)</f>
        <v>0.2</v>
      </c>
      <c r="S652" s="4">
        <f>IFERROR(__xludf.DUMMYFUNCTION("""COMPUTED_VALUE"""),0.0)</f>
        <v>0</v>
      </c>
      <c r="T652" s="4">
        <f>IFERROR(__xludf.DUMMYFUNCTION("""COMPUTED_VALUE"""),-0.015)</f>
        <v>-0.015</v>
      </c>
      <c r="U652" s="4">
        <f>IFERROR(__xludf.DUMMYFUNCTION("""COMPUTED_VALUE"""),-8.8)</f>
        <v>-8.8</v>
      </c>
      <c r="V652" s="4">
        <f>IFERROR(__xludf.DUMMYFUNCTION("""COMPUTED_VALUE"""),-0.1)</f>
        <v>-0.1</v>
      </c>
    </row>
    <row r="653">
      <c r="A653" s="4">
        <f>IFERROR(__xludf.DUMMYFUNCTION("""COMPUTED_VALUE"""),54.0)</f>
        <v>54</v>
      </c>
      <c r="B653" s="4">
        <f>IFERROR(__xludf.DUMMYFUNCTION("""COMPUTED_VALUE"""),54.0)</f>
        <v>54</v>
      </c>
      <c r="C653" s="4" t="str">
        <f>IFERROR(__xludf.DUMMYFUNCTION("""COMPUTED_VALUE"""),"ATL")</f>
        <v>ATL</v>
      </c>
      <c r="D653" s="4" t="str">
        <f>IFERROR(__xludf.DUMMYFUNCTION("""COMPUTED_VALUE"""),"Kay Felder")</f>
        <v>Kay Felder</v>
      </c>
      <c r="E653" s="4" t="str">
        <f>IFERROR(__xludf.DUMMYFUNCTION("""COMPUTED_VALUE"""),"Oakland")</f>
        <v>Oakland</v>
      </c>
      <c r="F653" s="4">
        <f>IFERROR(__xludf.DUMMYFUNCTION("""COMPUTED_VALUE"""),2.0)</f>
        <v>2</v>
      </c>
      <c r="G653" s="4">
        <f>IFERROR(__xludf.DUMMYFUNCTION("""COMPUTED_VALUE"""),58.0)</f>
        <v>58</v>
      </c>
      <c r="H653" s="4">
        <f>IFERROR(__xludf.DUMMYFUNCTION("""COMPUTED_VALUE"""),526.0)</f>
        <v>526</v>
      </c>
      <c r="I653" s="4">
        <f>IFERROR(__xludf.DUMMYFUNCTION("""COMPUTED_VALUE"""),223.0)</f>
        <v>223</v>
      </c>
      <c r="J653" s="4">
        <f>IFERROR(__xludf.DUMMYFUNCTION("""COMPUTED_VALUE"""),59.0)</f>
        <v>59</v>
      </c>
      <c r="K653" s="4">
        <f>IFERROR(__xludf.DUMMYFUNCTION("""COMPUTED_VALUE"""),78.0)</f>
        <v>78</v>
      </c>
      <c r="L653" s="4">
        <f>IFERROR(__xludf.DUMMYFUNCTION("""COMPUTED_VALUE"""),0.364)</f>
        <v>0.364</v>
      </c>
      <c r="M653" s="4">
        <f>IFERROR(__xludf.DUMMYFUNCTION("""COMPUTED_VALUE"""),0.268)</f>
        <v>0.268</v>
      </c>
      <c r="N653" s="4">
        <f>IFERROR(__xludf.DUMMYFUNCTION("""COMPUTED_VALUE"""),0.754)</f>
        <v>0.754</v>
      </c>
      <c r="O653" s="4">
        <f>IFERROR(__xludf.DUMMYFUNCTION("""COMPUTED_VALUE"""),9.1)</f>
        <v>9.1</v>
      </c>
      <c r="P653" s="4">
        <f>IFERROR(__xludf.DUMMYFUNCTION("""COMPUTED_VALUE"""),3.8)</f>
        <v>3.8</v>
      </c>
      <c r="Q653" s="4">
        <f>IFERROR(__xludf.DUMMYFUNCTION("""COMPUTED_VALUE"""),1.0)</f>
        <v>1</v>
      </c>
      <c r="R653" s="4">
        <f>IFERROR(__xludf.DUMMYFUNCTION("""COMPUTED_VALUE"""),1.3)</f>
        <v>1.3</v>
      </c>
      <c r="S653" s="4">
        <f>IFERROR(__xludf.DUMMYFUNCTION("""COMPUTED_VALUE"""),-0.4)</f>
        <v>-0.4</v>
      </c>
      <c r="T653" s="4">
        <f>IFERROR(__xludf.DUMMYFUNCTION("""COMPUTED_VALUE"""),-0.041)</f>
        <v>-0.041</v>
      </c>
      <c r="U653" s="4">
        <f>IFERROR(__xludf.DUMMYFUNCTION("""COMPUTED_VALUE"""),-4.7)</f>
        <v>-4.7</v>
      </c>
      <c r="V653" s="4">
        <f>IFERROR(__xludf.DUMMYFUNCTION("""COMPUTED_VALUE"""),-0.4)</f>
        <v>-0.4</v>
      </c>
    </row>
    <row r="654">
      <c r="A654" s="4">
        <f>IFERROR(__xludf.DUMMYFUNCTION("""COMPUTED_VALUE"""),55.0)</f>
        <v>55</v>
      </c>
      <c r="B654" s="4">
        <f>IFERROR(__xludf.DUMMYFUNCTION("""COMPUTED_VALUE"""),55.0)</f>
        <v>55</v>
      </c>
      <c r="C654" s="4" t="str">
        <f>IFERROR(__xludf.DUMMYFUNCTION("""COMPUTED_VALUE"""),"BRK")</f>
        <v>BRK</v>
      </c>
      <c r="D654" s="4" t="str">
        <f>IFERROR(__xludf.DUMMYFUNCTION("""COMPUTED_VALUE"""),"Marcus Paige")</f>
        <v>Marcus Paige</v>
      </c>
      <c r="E654" s="4" t="str">
        <f>IFERROR(__xludf.DUMMYFUNCTION("""COMPUTED_VALUE"""),"UNC")</f>
        <v>UNC</v>
      </c>
      <c r="F654" s="4">
        <f>IFERROR(__xludf.DUMMYFUNCTION("""COMPUTED_VALUE"""),1.0)</f>
        <v>1</v>
      </c>
      <c r="G654" s="4">
        <f>IFERROR(__xludf.DUMMYFUNCTION("""COMPUTED_VALUE"""),5.0)</f>
        <v>5</v>
      </c>
      <c r="H654" s="4">
        <f>IFERROR(__xludf.DUMMYFUNCTION("""COMPUTED_VALUE"""),28.0)</f>
        <v>28</v>
      </c>
      <c r="I654" s="4">
        <f>IFERROR(__xludf.DUMMYFUNCTION("""COMPUTED_VALUE"""),12.0)</f>
        <v>12</v>
      </c>
      <c r="J654" s="4">
        <f>IFERROR(__xludf.DUMMYFUNCTION("""COMPUTED_VALUE"""),4.0)</f>
        <v>4</v>
      </c>
      <c r="K654" s="4">
        <f>IFERROR(__xludf.DUMMYFUNCTION("""COMPUTED_VALUE"""),3.0)</f>
        <v>3</v>
      </c>
      <c r="L654" s="4">
        <f>IFERROR(__xludf.DUMMYFUNCTION("""COMPUTED_VALUE"""),0.286)</f>
        <v>0.286</v>
      </c>
      <c r="M654" s="4">
        <f>IFERROR(__xludf.DUMMYFUNCTION("""COMPUTED_VALUE"""),0.25)</f>
        <v>0.25</v>
      </c>
      <c r="N654" s="4">
        <f>IFERROR(__xludf.DUMMYFUNCTION("""COMPUTED_VALUE"""),1.0)</f>
        <v>1</v>
      </c>
      <c r="O654" s="4">
        <f>IFERROR(__xludf.DUMMYFUNCTION("""COMPUTED_VALUE"""),5.6)</f>
        <v>5.6</v>
      </c>
      <c r="P654" s="4">
        <f>IFERROR(__xludf.DUMMYFUNCTION("""COMPUTED_VALUE"""),2.4)</f>
        <v>2.4</v>
      </c>
      <c r="Q654" s="4">
        <f>IFERROR(__xludf.DUMMYFUNCTION("""COMPUTED_VALUE"""),0.8)</f>
        <v>0.8</v>
      </c>
      <c r="R654" s="4">
        <f>IFERROR(__xludf.DUMMYFUNCTION("""COMPUTED_VALUE"""),0.6)</f>
        <v>0.6</v>
      </c>
      <c r="S654" s="4">
        <f>IFERROR(__xludf.DUMMYFUNCTION("""COMPUTED_VALUE"""),0.0)</f>
        <v>0</v>
      </c>
      <c r="T654" s="4">
        <f>IFERROR(__xludf.DUMMYFUNCTION("""COMPUTED_VALUE"""),-0.006)</f>
        <v>-0.006</v>
      </c>
      <c r="U654" s="4">
        <f>IFERROR(__xludf.DUMMYFUNCTION("""COMPUTED_VALUE"""),-8.8)</f>
        <v>-8.8</v>
      </c>
      <c r="V654" s="4">
        <f>IFERROR(__xludf.DUMMYFUNCTION("""COMPUTED_VALUE"""),0.0)</f>
        <v>0</v>
      </c>
    </row>
    <row r="655">
      <c r="A655" s="4">
        <f>IFERROR(__xludf.DUMMYFUNCTION("""COMPUTED_VALUE"""),56.0)</f>
        <v>56</v>
      </c>
      <c r="B655" s="4">
        <f>IFERROR(__xludf.DUMMYFUNCTION("""COMPUTED_VALUE"""),56.0)</f>
        <v>56</v>
      </c>
      <c r="C655" s="4" t="str">
        <f>IFERROR(__xludf.DUMMYFUNCTION("""COMPUTED_VALUE"""),"DEN")</f>
        <v>DEN</v>
      </c>
      <c r="D655" s="4" t="str">
        <f>IFERROR(__xludf.DUMMYFUNCTION("""COMPUTED_VALUE"""),"Daniel Hamilton")</f>
        <v>Daniel Hamilton</v>
      </c>
      <c r="E655" s="4" t="str">
        <f>IFERROR(__xludf.DUMMYFUNCTION("""COMPUTED_VALUE"""),"UConn")</f>
        <v>UConn</v>
      </c>
      <c r="F655" s="4">
        <f>IFERROR(__xludf.DUMMYFUNCTION("""COMPUTED_VALUE"""),2.0)</f>
        <v>2</v>
      </c>
      <c r="G655" s="4">
        <f>IFERROR(__xludf.DUMMYFUNCTION("""COMPUTED_VALUE"""),25.0)</f>
        <v>25</v>
      </c>
      <c r="H655" s="4">
        <f>IFERROR(__xludf.DUMMYFUNCTION("""COMPUTED_VALUE"""),232.0)</f>
        <v>232</v>
      </c>
      <c r="I655" s="4">
        <f>IFERROR(__xludf.DUMMYFUNCTION("""COMPUTED_VALUE"""),69.0)</f>
        <v>69</v>
      </c>
      <c r="J655" s="4">
        <f>IFERROR(__xludf.DUMMYFUNCTION("""COMPUTED_VALUE"""),52.0)</f>
        <v>52</v>
      </c>
      <c r="K655" s="4">
        <f>IFERROR(__xludf.DUMMYFUNCTION("""COMPUTED_VALUE"""),30.0)</f>
        <v>30</v>
      </c>
      <c r="L655" s="4">
        <f>IFERROR(__xludf.DUMMYFUNCTION("""COMPUTED_VALUE"""),0.394)</f>
        <v>0.394</v>
      </c>
      <c r="M655" s="4">
        <f>IFERROR(__xludf.DUMMYFUNCTION("""COMPUTED_VALUE"""),0.357)</f>
        <v>0.357</v>
      </c>
      <c r="N655" s="4">
        <f>IFERROR(__xludf.DUMMYFUNCTION("""COMPUTED_VALUE"""),0.5)</f>
        <v>0.5</v>
      </c>
      <c r="O655" s="4">
        <f>IFERROR(__xludf.DUMMYFUNCTION("""COMPUTED_VALUE"""),9.3)</f>
        <v>9.3</v>
      </c>
      <c r="P655" s="4">
        <f>IFERROR(__xludf.DUMMYFUNCTION("""COMPUTED_VALUE"""),2.8)</f>
        <v>2.8</v>
      </c>
      <c r="Q655" s="4">
        <f>IFERROR(__xludf.DUMMYFUNCTION("""COMPUTED_VALUE"""),2.1)</f>
        <v>2.1</v>
      </c>
      <c r="R655" s="4">
        <f>IFERROR(__xludf.DUMMYFUNCTION("""COMPUTED_VALUE"""),1.2)</f>
        <v>1.2</v>
      </c>
      <c r="S655" s="4">
        <f>IFERROR(__xludf.DUMMYFUNCTION("""COMPUTED_VALUE"""),0.0)</f>
        <v>0</v>
      </c>
      <c r="T655" s="4">
        <f>IFERROR(__xludf.DUMMYFUNCTION("""COMPUTED_VALUE"""),0.0)</f>
        <v>0</v>
      </c>
      <c r="U655" s="4">
        <f>IFERROR(__xludf.DUMMYFUNCTION("""COMPUTED_VALUE"""),-3.3)</f>
        <v>-3.3</v>
      </c>
      <c r="V655" s="4">
        <f>IFERROR(__xludf.DUMMYFUNCTION("""COMPUTED_VALUE"""),-0.1)</f>
        <v>-0.1</v>
      </c>
    </row>
    <row r="656">
      <c r="A656" s="4">
        <f>IFERROR(__xludf.DUMMYFUNCTION("""COMPUTED_VALUE"""),57.0)</f>
        <v>57</v>
      </c>
      <c r="B656" s="4">
        <f>IFERROR(__xludf.DUMMYFUNCTION("""COMPUTED_VALUE"""),57.0)</f>
        <v>57</v>
      </c>
      <c r="C656" s="4" t="str">
        <f>IFERROR(__xludf.DUMMYFUNCTION("""COMPUTED_VALUE"""),"MEM")</f>
        <v>MEM</v>
      </c>
      <c r="D656" s="4" t="str">
        <f>IFERROR(__xludf.DUMMYFUNCTION("""COMPUTED_VALUE"""),"Wang Zhelin")</f>
        <v>Wang Zhelin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>
        <f>IFERROR(__xludf.DUMMYFUNCTION("""COMPUTED_VALUE"""),58.0)</f>
        <v>58</v>
      </c>
      <c r="B657" s="4">
        <f>IFERROR(__xludf.DUMMYFUNCTION("""COMPUTED_VALUE"""),58.0)</f>
        <v>58</v>
      </c>
      <c r="C657" s="4" t="str">
        <f>IFERROR(__xludf.DUMMYFUNCTION("""COMPUTED_VALUE"""),"BOS")</f>
        <v>BOS</v>
      </c>
      <c r="D657" s="4" t="str">
        <f>IFERROR(__xludf.DUMMYFUNCTION("""COMPUTED_VALUE"""),"Abdel Nader")</f>
        <v>Abdel Nader</v>
      </c>
      <c r="E657" s="4" t="str">
        <f>IFERROR(__xludf.DUMMYFUNCTION("""COMPUTED_VALUE"""),"Iowa State")</f>
        <v>Iowa State</v>
      </c>
      <c r="F657" s="4">
        <f>IFERROR(__xludf.DUMMYFUNCTION("""COMPUTED_VALUE"""),5.0)</f>
        <v>5</v>
      </c>
      <c r="G657" s="4">
        <f>IFERROR(__xludf.DUMMYFUNCTION("""COMPUTED_VALUE"""),202.0)</f>
        <v>202</v>
      </c>
      <c r="H657" s="4">
        <f>IFERROR(__xludf.DUMMYFUNCTION("""COMPUTED_VALUE"""),2583.0)</f>
        <v>2583</v>
      </c>
      <c r="I657" s="4">
        <f>IFERROR(__xludf.DUMMYFUNCTION("""COMPUTED_VALUE"""),926.0)</f>
        <v>926</v>
      </c>
      <c r="J657" s="4">
        <f>IFERROR(__xludf.DUMMYFUNCTION("""COMPUTED_VALUE"""),376.0)</f>
        <v>376</v>
      </c>
      <c r="K657" s="4">
        <f>IFERROR(__xludf.DUMMYFUNCTION("""COMPUTED_VALUE"""),110.0)</f>
        <v>110</v>
      </c>
      <c r="L657" s="4">
        <f>IFERROR(__xludf.DUMMYFUNCTION("""COMPUTED_VALUE"""),0.428)</f>
        <v>0.428</v>
      </c>
      <c r="M657" s="4">
        <f>IFERROR(__xludf.DUMMYFUNCTION("""COMPUTED_VALUE"""),0.357)</f>
        <v>0.357</v>
      </c>
      <c r="N657" s="4">
        <f>IFERROR(__xludf.DUMMYFUNCTION("""COMPUTED_VALUE"""),0.718)</f>
        <v>0.718</v>
      </c>
      <c r="O657" s="4">
        <f>IFERROR(__xludf.DUMMYFUNCTION("""COMPUTED_VALUE"""),12.8)</f>
        <v>12.8</v>
      </c>
      <c r="P657" s="4">
        <f>IFERROR(__xludf.DUMMYFUNCTION("""COMPUTED_VALUE"""),4.6)</f>
        <v>4.6</v>
      </c>
      <c r="Q657" s="4">
        <f>IFERROR(__xludf.DUMMYFUNCTION("""COMPUTED_VALUE"""),1.9)</f>
        <v>1.9</v>
      </c>
      <c r="R657" s="4">
        <f>IFERROR(__xludf.DUMMYFUNCTION("""COMPUTED_VALUE"""),0.5)</f>
        <v>0.5</v>
      </c>
      <c r="S657" s="4">
        <f>IFERROR(__xludf.DUMMYFUNCTION("""COMPUTED_VALUE"""),2.8)</f>
        <v>2.8</v>
      </c>
      <c r="T657" s="4">
        <f>IFERROR(__xludf.DUMMYFUNCTION("""COMPUTED_VALUE"""),0.052)</f>
        <v>0.052</v>
      </c>
      <c r="U657" s="4">
        <f>IFERROR(__xludf.DUMMYFUNCTION("""COMPUTED_VALUE"""),-2.6)</f>
        <v>-2.6</v>
      </c>
      <c r="V657" s="4">
        <f>IFERROR(__xludf.DUMMYFUNCTION("""COMPUTED_VALUE"""),-0.4)</f>
        <v>-0.4</v>
      </c>
    </row>
    <row r="658">
      <c r="A658" s="4">
        <f>IFERROR(__xludf.DUMMYFUNCTION("""COMPUTED_VALUE"""),59.0)</f>
        <v>59</v>
      </c>
      <c r="B658" s="4">
        <f>IFERROR(__xludf.DUMMYFUNCTION("""COMPUTED_VALUE"""),59.0)</f>
        <v>59</v>
      </c>
      <c r="C658" s="4" t="str">
        <f>IFERROR(__xludf.DUMMYFUNCTION("""COMPUTED_VALUE"""),"SAC")</f>
        <v>SAC</v>
      </c>
      <c r="D658" s="4" t="str">
        <f>IFERROR(__xludf.DUMMYFUNCTION("""COMPUTED_VALUE"""),"Isaiah Cousins")</f>
        <v>Isaiah Cousins</v>
      </c>
      <c r="E658" s="4" t="str">
        <f>IFERROR(__xludf.DUMMYFUNCTION("""COMPUTED_VALUE"""),"Oklahoma")</f>
        <v>Oklahoma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>
        <f>IFERROR(__xludf.DUMMYFUNCTION("""COMPUTED_VALUE"""),60.0)</f>
        <v>60</v>
      </c>
      <c r="B659" s="4">
        <f>IFERROR(__xludf.DUMMYFUNCTION("""COMPUTED_VALUE"""),60.0)</f>
        <v>60</v>
      </c>
      <c r="C659" s="4" t="str">
        <f>IFERROR(__xludf.DUMMYFUNCTION("""COMPUTED_VALUE"""),"UTA")</f>
        <v>UTA</v>
      </c>
      <c r="D659" s="4" t="str">
        <f>IFERROR(__xludf.DUMMYFUNCTION("""COMPUTED_VALUE"""),"Tyrone Wallace")</f>
        <v>Tyrone Wallace</v>
      </c>
      <c r="E659" s="4" t="str">
        <f>IFERROR(__xludf.DUMMYFUNCTION("""COMPUTED_VALUE"""),"California")</f>
        <v>California</v>
      </c>
      <c r="F659" s="4">
        <f>IFERROR(__xludf.DUMMYFUNCTION("""COMPUTED_VALUE"""),4.0)</f>
        <v>4</v>
      </c>
      <c r="G659" s="4">
        <f>IFERROR(__xludf.DUMMYFUNCTION("""COMPUTED_VALUE"""),112.0)</f>
        <v>112</v>
      </c>
      <c r="H659" s="4">
        <f>IFERROR(__xludf.DUMMYFUNCTION("""COMPUTED_VALUE"""),1714.0)</f>
        <v>1714</v>
      </c>
      <c r="I659" s="4">
        <f>IFERROR(__xludf.DUMMYFUNCTION("""COMPUTED_VALUE"""),566.0)</f>
        <v>566</v>
      </c>
      <c r="J659" s="4">
        <f>IFERROR(__xludf.DUMMYFUNCTION("""COMPUTED_VALUE"""),236.0)</f>
        <v>236</v>
      </c>
      <c r="K659" s="4">
        <f>IFERROR(__xludf.DUMMYFUNCTION("""COMPUTED_VALUE"""),127.0)</f>
        <v>127</v>
      </c>
      <c r="L659" s="4">
        <f>IFERROR(__xludf.DUMMYFUNCTION("""COMPUTED_VALUE"""),0.422)</f>
        <v>0.422</v>
      </c>
      <c r="M659" s="4">
        <f>IFERROR(__xludf.DUMMYFUNCTION("""COMPUTED_VALUE"""),0.207)</f>
        <v>0.207</v>
      </c>
      <c r="N659" s="4">
        <f>IFERROR(__xludf.DUMMYFUNCTION("""COMPUTED_VALUE"""),0.656)</f>
        <v>0.656</v>
      </c>
      <c r="O659" s="4">
        <f>IFERROR(__xludf.DUMMYFUNCTION("""COMPUTED_VALUE"""),15.3)</f>
        <v>15.3</v>
      </c>
      <c r="P659" s="4">
        <f>IFERROR(__xludf.DUMMYFUNCTION("""COMPUTED_VALUE"""),5.1)</f>
        <v>5.1</v>
      </c>
      <c r="Q659" s="4">
        <f>IFERROR(__xludf.DUMMYFUNCTION("""COMPUTED_VALUE"""),2.1)</f>
        <v>2.1</v>
      </c>
      <c r="R659" s="4">
        <f>IFERROR(__xludf.DUMMYFUNCTION("""COMPUTED_VALUE"""),1.1)</f>
        <v>1.1</v>
      </c>
      <c r="S659" s="4">
        <f>IFERROR(__xludf.DUMMYFUNCTION("""COMPUTED_VALUE"""),0.1)</f>
        <v>0.1</v>
      </c>
      <c r="T659" s="4">
        <f>IFERROR(__xludf.DUMMYFUNCTION("""COMPUTED_VALUE"""),0.003)</f>
        <v>0.003</v>
      </c>
      <c r="U659" s="4">
        <f>IFERROR(__xludf.DUMMYFUNCTION("""COMPUTED_VALUE"""),-5.2)</f>
        <v>-5.2</v>
      </c>
      <c r="V659" s="4">
        <f>IFERROR(__xludf.DUMMYFUNCTION("""COMPUTED_VALUE"""),-1.4)</f>
        <v>-1.4</v>
      </c>
    </row>
    <row r="661">
      <c r="A661" s="2">
        <v>2015.0</v>
      </c>
    </row>
    <row r="662">
      <c r="A662" s="4" t="str">
        <f>IFERROR(__xludf.DUMMYFUNCTION("IMPORTHTML(""https://www.basketball-reference.com/draft/NBA_2015.html"", ""table"", 1)"),"")</f>
        <v/>
      </c>
      <c r="B662" s="4"/>
      <c r="C662" s="4"/>
      <c r="D662" s="4" t="str">
        <f>IFERROR(__xludf.DUMMYFUNCTION("""COMPUTED_VALUE"""),"Round 1")</f>
        <v>Round 1</v>
      </c>
      <c r="E662" s="4"/>
      <c r="F662" s="4"/>
      <c r="G662" s="4" t="str">
        <f>IFERROR(__xludf.DUMMYFUNCTION("""COMPUTED_VALUE"""),"Totals")</f>
        <v>Totals</v>
      </c>
      <c r="H662" s="4"/>
      <c r="I662" s="4"/>
      <c r="J662" s="4"/>
      <c r="K662" s="4"/>
      <c r="L662" s="4" t="str">
        <f>IFERROR(__xludf.DUMMYFUNCTION("""COMPUTED_VALUE"""),"Shooting")</f>
        <v>Shooting</v>
      </c>
      <c r="M662" s="4"/>
      <c r="N662" s="4"/>
      <c r="O662" s="4" t="str">
        <f>IFERROR(__xludf.DUMMYFUNCTION("""COMPUTED_VALUE"""),"Per Game")</f>
        <v>Per Game</v>
      </c>
      <c r="P662" s="4"/>
      <c r="Q662" s="4"/>
      <c r="R662" s="4"/>
      <c r="S662" s="4" t="str">
        <f>IFERROR(__xludf.DUMMYFUNCTION("""COMPUTED_VALUE"""),"Advanced")</f>
        <v>Advanced</v>
      </c>
      <c r="T662" s="4"/>
      <c r="U662" s="4"/>
      <c r="V662" s="4"/>
    </row>
    <row r="663">
      <c r="A663" s="4" t="str">
        <f>IFERROR(__xludf.DUMMYFUNCTION("""COMPUTED_VALUE"""),"Rk")</f>
        <v>Rk</v>
      </c>
      <c r="B663" s="4" t="str">
        <f>IFERROR(__xludf.DUMMYFUNCTION("""COMPUTED_VALUE"""),"Pk")</f>
        <v>Pk</v>
      </c>
      <c r="C663" s="4" t="str">
        <f>IFERROR(__xludf.DUMMYFUNCTION("""COMPUTED_VALUE"""),"Tm")</f>
        <v>Tm</v>
      </c>
      <c r="D663" s="4" t="str">
        <f>IFERROR(__xludf.DUMMYFUNCTION("""COMPUTED_VALUE"""),"Player")</f>
        <v>Player</v>
      </c>
      <c r="E663" s="4" t="str">
        <f>IFERROR(__xludf.DUMMYFUNCTION("""COMPUTED_VALUE"""),"College")</f>
        <v>College</v>
      </c>
      <c r="F663" s="4" t="str">
        <f>IFERROR(__xludf.DUMMYFUNCTION("""COMPUTED_VALUE"""),"Yrs")</f>
        <v>Yrs</v>
      </c>
      <c r="G663" s="4" t="str">
        <f>IFERROR(__xludf.DUMMYFUNCTION("""COMPUTED_VALUE"""),"G")</f>
        <v>G</v>
      </c>
      <c r="H663" s="4" t="str">
        <f>IFERROR(__xludf.DUMMYFUNCTION("""COMPUTED_VALUE"""),"MP")</f>
        <v>MP</v>
      </c>
      <c r="I663" s="4" t="str">
        <f>IFERROR(__xludf.DUMMYFUNCTION("""COMPUTED_VALUE"""),"PTS")</f>
        <v>PTS</v>
      </c>
      <c r="J663" s="4" t="str">
        <f>IFERROR(__xludf.DUMMYFUNCTION("""COMPUTED_VALUE"""),"TRB")</f>
        <v>TRB</v>
      </c>
      <c r="K663" s="4" t="str">
        <f>IFERROR(__xludf.DUMMYFUNCTION("""COMPUTED_VALUE"""),"AST")</f>
        <v>AST</v>
      </c>
      <c r="L663" s="4" t="str">
        <f>IFERROR(__xludf.DUMMYFUNCTION("""COMPUTED_VALUE"""),"FG%")</f>
        <v>FG%</v>
      </c>
      <c r="M663" s="4" t="str">
        <f>IFERROR(__xludf.DUMMYFUNCTION("""COMPUTED_VALUE"""),"3P%")</f>
        <v>3P%</v>
      </c>
      <c r="N663" s="4" t="str">
        <f>IFERROR(__xludf.DUMMYFUNCTION("""COMPUTED_VALUE"""),"FT%")</f>
        <v>FT%</v>
      </c>
      <c r="O663" s="4" t="str">
        <f>IFERROR(__xludf.DUMMYFUNCTION("""COMPUTED_VALUE"""),"MP")</f>
        <v>MP</v>
      </c>
      <c r="P663" s="4" t="str">
        <f>IFERROR(__xludf.DUMMYFUNCTION("""COMPUTED_VALUE"""),"PTS")</f>
        <v>PTS</v>
      </c>
      <c r="Q663" s="4" t="str">
        <f>IFERROR(__xludf.DUMMYFUNCTION("""COMPUTED_VALUE"""),"TRB")</f>
        <v>TRB</v>
      </c>
      <c r="R663" s="4" t="str">
        <f>IFERROR(__xludf.DUMMYFUNCTION("""COMPUTED_VALUE"""),"AST")</f>
        <v>AST</v>
      </c>
      <c r="S663" s="4" t="str">
        <f>IFERROR(__xludf.DUMMYFUNCTION("""COMPUTED_VALUE"""),"WS")</f>
        <v>WS</v>
      </c>
      <c r="T663" s="4" t="str">
        <f>IFERROR(__xludf.DUMMYFUNCTION("""COMPUTED_VALUE"""),"WS/48")</f>
        <v>WS/48</v>
      </c>
      <c r="U663" s="4" t="str">
        <f>IFERROR(__xludf.DUMMYFUNCTION("""COMPUTED_VALUE"""),"BPM")</f>
        <v>BPM</v>
      </c>
      <c r="V663" s="4" t="str">
        <f>IFERROR(__xludf.DUMMYFUNCTION("""COMPUTED_VALUE"""),"VORP")</f>
        <v>VORP</v>
      </c>
    </row>
    <row r="664">
      <c r="A664" s="4">
        <f>IFERROR(__xludf.DUMMYFUNCTION("""COMPUTED_VALUE"""),1.0)</f>
        <v>1</v>
      </c>
      <c r="B664" s="4">
        <f>IFERROR(__xludf.DUMMYFUNCTION("""COMPUTED_VALUE"""),1.0)</f>
        <v>1</v>
      </c>
      <c r="C664" s="4" t="str">
        <f>IFERROR(__xludf.DUMMYFUNCTION("""COMPUTED_VALUE"""),"MIN")</f>
        <v>MIN</v>
      </c>
      <c r="D664" s="4" t="str">
        <f>IFERROR(__xludf.DUMMYFUNCTION("""COMPUTED_VALUE"""),"Karl-Anthony Towns")</f>
        <v>Karl-Anthony Towns</v>
      </c>
      <c r="E664" s="4" t="str">
        <f>IFERROR(__xludf.DUMMYFUNCTION("""COMPUTED_VALUE"""),"Kentucky")</f>
        <v>Kentucky</v>
      </c>
      <c r="F664" s="4">
        <f>IFERROR(__xludf.DUMMYFUNCTION("""COMPUTED_VALUE"""),11.0)</f>
        <v>11</v>
      </c>
      <c r="G664" s="4">
        <f>IFERROR(__xludf.DUMMYFUNCTION("""COMPUTED_VALUE"""),665.0)</f>
        <v>665</v>
      </c>
      <c r="H664" s="4">
        <f>IFERROR(__xludf.DUMMYFUNCTION("""COMPUTED_VALUE"""),22639.0)</f>
        <v>22639</v>
      </c>
      <c r="I664" s="4">
        <f>IFERROR(__xludf.DUMMYFUNCTION("""COMPUTED_VALUE"""),15321.0)</f>
        <v>15321</v>
      </c>
      <c r="J664" s="4">
        <f>IFERROR(__xludf.DUMMYFUNCTION("""COMPUTED_VALUE"""),7370.0)</f>
        <v>7370</v>
      </c>
      <c r="K664" s="4">
        <f>IFERROR(__xludf.DUMMYFUNCTION("""COMPUTED_VALUE"""),2102.0)</f>
        <v>2102</v>
      </c>
      <c r="L664" s="4">
        <f>IFERROR(__xludf.DUMMYFUNCTION("""COMPUTED_VALUE"""),0.522)</f>
        <v>0.522</v>
      </c>
      <c r="M664" s="4">
        <f>IFERROR(__xludf.DUMMYFUNCTION("""COMPUTED_VALUE"""),0.398)</f>
        <v>0.398</v>
      </c>
      <c r="N664" s="4">
        <f>IFERROR(__xludf.DUMMYFUNCTION("""COMPUTED_VALUE"""),0.839)</f>
        <v>0.839</v>
      </c>
      <c r="O664" s="4">
        <f>IFERROR(__xludf.DUMMYFUNCTION("""COMPUTED_VALUE"""),34.0)</f>
        <v>34</v>
      </c>
      <c r="P664" s="4">
        <f>IFERROR(__xludf.DUMMYFUNCTION("""COMPUTED_VALUE"""),23.0)</f>
        <v>23</v>
      </c>
      <c r="Q664" s="4">
        <f>IFERROR(__xludf.DUMMYFUNCTION("""COMPUTED_VALUE"""),11.1)</f>
        <v>11.1</v>
      </c>
      <c r="R664" s="4">
        <f>IFERROR(__xludf.DUMMYFUNCTION("""COMPUTED_VALUE"""),3.2)</f>
        <v>3.2</v>
      </c>
      <c r="S664" s="4">
        <f>IFERROR(__xludf.DUMMYFUNCTION("""COMPUTED_VALUE"""),87.4)</f>
        <v>87.4</v>
      </c>
      <c r="T664" s="4">
        <f>IFERROR(__xludf.DUMMYFUNCTION("""COMPUTED_VALUE"""),0.185)</f>
        <v>0.185</v>
      </c>
      <c r="U664" s="4">
        <f>IFERROR(__xludf.DUMMYFUNCTION("""COMPUTED_VALUE"""),4.3)</f>
        <v>4.3</v>
      </c>
      <c r="V664" s="4">
        <f>IFERROR(__xludf.DUMMYFUNCTION("""COMPUTED_VALUE"""),36.0)</f>
        <v>36</v>
      </c>
    </row>
    <row r="665">
      <c r="A665" s="4">
        <f>IFERROR(__xludf.DUMMYFUNCTION("""COMPUTED_VALUE"""),2.0)</f>
        <v>2</v>
      </c>
      <c r="B665" s="4">
        <f>IFERROR(__xludf.DUMMYFUNCTION("""COMPUTED_VALUE"""),2.0)</f>
        <v>2</v>
      </c>
      <c r="C665" s="4" t="str">
        <f>IFERROR(__xludf.DUMMYFUNCTION("""COMPUTED_VALUE"""),"LAL")</f>
        <v>LAL</v>
      </c>
      <c r="D665" s="4" t="str">
        <f>IFERROR(__xludf.DUMMYFUNCTION("""COMPUTED_VALUE"""),"D'Angelo Russell")</f>
        <v>D'Angelo Russell</v>
      </c>
      <c r="E665" s="4" t="str">
        <f>IFERROR(__xludf.DUMMYFUNCTION("""COMPUTED_VALUE"""),"Ohio State")</f>
        <v>Ohio State</v>
      </c>
      <c r="F665" s="4">
        <f>IFERROR(__xludf.DUMMYFUNCTION("""COMPUTED_VALUE"""),11.0)</f>
        <v>11</v>
      </c>
      <c r="G665" s="4">
        <f>IFERROR(__xludf.DUMMYFUNCTION("""COMPUTED_VALUE"""),647.0)</f>
        <v>647</v>
      </c>
      <c r="H665" s="4">
        <f>IFERROR(__xludf.DUMMYFUNCTION("""COMPUTED_VALUE"""),19127.0)</f>
        <v>19127</v>
      </c>
      <c r="I665" s="4">
        <f>IFERROR(__xludf.DUMMYFUNCTION("""COMPUTED_VALUE"""),11078.0)</f>
        <v>11078</v>
      </c>
      <c r="J665" s="4">
        <f>IFERROR(__xludf.DUMMYFUNCTION("""COMPUTED_VALUE"""),2164.0)</f>
        <v>2164</v>
      </c>
      <c r="K665" s="4">
        <f>IFERROR(__xludf.DUMMYFUNCTION("""COMPUTED_VALUE"""),3670.0)</f>
        <v>3670</v>
      </c>
      <c r="L665" s="4">
        <f>IFERROR(__xludf.DUMMYFUNCTION("""COMPUTED_VALUE"""),0.426)</f>
        <v>0.426</v>
      </c>
      <c r="M665" s="4">
        <f>IFERROR(__xludf.DUMMYFUNCTION("""COMPUTED_VALUE"""),0.363)</f>
        <v>0.363</v>
      </c>
      <c r="N665" s="4">
        <f>IFERROR(__xludf.DUMMYFUNCTION("""COMPUTED_VALUE"""),0.793)</f>
        <v>0.793</v>
      </c>
      <c r="O665" s="4">
        <f>IFERROR(__xludf.DUMMYFUNCTION("""COMPUTED_VALUE"""),29.6)</f>
        <v>29.6</v>
      </c>
      <c r="P665" s="4">
        <f>IFERROR(__xludf.DUMMYFUNCTION("""COMPUTED_VALUE"""),17.1)</f>
        <v>17.1</v>
      </c>
      <c r="Q665" s="4">
        <f>IFERROR(__xludf.DUMMYFUNCTION("""COMPUTED_VALUE"""),3.3)</f>
        <v>3.3</v>
      </c>
      <c r="R665" s="4">
        <f>IFERROR(__xludf.DUMMYFUNCTION("""COMPUTED_VALUE"""),5.7)</f>
        <v>5.7</v>
      </c>
      <c r="S665" s="4">
        <f>IFERROR(__xludf.DUMMYFUNCTION("""COMPUTED_VALUE"""),26.4)</f>
        <v>26.4</v>
      </c>
      <c r="T665" s="4">
        <f>IFERROR(__xludf.DUMMYFUNCTION("""COMPUTED_VALUE"""),0.066)</f>
        <v>0.066</v>
      </c>
      <c r="U665" s="4">
        <f>IFERROR(__xludf.DUMMYFUNCTION("""COMPUTED_VALUE"""),0.6)</f>
        <v>0.6</v>
      </c>
      <c r="V665" s="4">
        <f>IFERROR(__xludf.DUMMYFUNCTION("""COMPUTED_VALUE"""),12.3)</f>
        <v>12.3</v>
      </c>
    </row>
    <row r="666">
      <c r="A666" s="4">
        <f>IFERROR(__xludf.DUMMYFUNCTION("""COMPUTED_VALUE"""),3.0)</f>
        <v>3</v>
      </c>
      <c r="B666" s="4">
        <f>IFERROR(__xludf.DUMMYFUNCTION("""COMPUTED_VALUE"""),3.0)</f>
        <v>3</v>
      </c>
      <c r="C666" s="4" t="str">
        <f>IFERROR(__xludf.DUMMYFUNCTION("""COMPUTED_VALUE"""),"PHI")</f>
        <v>PHI</v>
      </c>
      <c r="D666" s="4" t="str">
        <f>IFERROR(__xludf.DUMMYFUNCTION("""COMPUTED_VALUE"""),"Jahlil Okafor")</f>
        <v>Jahlil Okafor</v>
      </c>
      <c r="E666" s="4" t="str">
        <f>IFERROR(__xludf.DUMMYFUNCTION("""COMPUTED_VALUE"""),"Duke")</f>
        <v>Duke</v>
      </c>
      <c r="F666" s="4">
        <f>IFERROR(__xludf.DUMMYFUNCTION("""COMPUTED_VALUE"""),7.0)</f>
        <v>7</v>
      </c>
      <c r="G666" s="4">
        <f>IFERROR(__xludf.DUMMYFUNCTION("""COMPUTED_VALUE"""),248.0)</f>
        <v>248</v>
      </c>
      <c r="H666" s="4">
        <f>IFERROR(__xludf.DUMMYFUNCTION("""COMPUTED_VALUE"""),4830.0)</f>
        <v>4830</v>
      </c>
      <c r="I666" s="4">
        <f>IFERROR(__xludf.DUMMYFUNCTION("""COMPUTED_VALUE"""),2566.0)</f>
        <v>2566</v>
      </c>
      <c r="J666" s="4">
        <f>IFERROR(__xludf.DUMMYFUNCTION("""COMPUTED_VALUE"""),1170.0)</f>
        <v>1170</v>
      </c>
      <c r="K666" s="4">
        <f>IFERROR(__xludf.DUMMYFUNCTION("""COMPUTED_VALUE"""),226.0)</f>
        <v>226</v>
      </c>
      <c r="L666" s="4">
        <f>IFERROR(__xludf.DUMMYFUNCTION("""COMPUTED_VALUE"""),0.542)</f>
        <v>0.542</v>
      </c>
      <c r="M666" s="4">
        <f>IFERROR(__xludf.DUMMYFUNCTION("""COMPUTED_VALUE"""),0.222)</f>
        <v>0.222</v>
      </c>
      <c r="N666" s="4">
        <f>IFERROR(__xludf.DUMMYFUNCTION("""COMPUTED_VALUE"""),0.676)</f>
        <v>0.676</v>
      </c>
      <c r="O666" s="4">
        <f>IFERROR(__xludf.DUMMYFUNCTION("""COMPUTED_VALUE"""),19.5)</f>
        <v>19.5</v>
      </c>
      <c r="P666" s="4">
        <f>IFERROR(__xludf.DUMMYFUNCTION("""COMPUTED_VALUE"""),10.3)</f>
        <v>10.3</v>
      </c>
      <c r="Q666" s="4">
        <f>IFERROR(__xludf.DUMMYFUNCTION("""COMPUTED_VALUE"""),4.7)</f>
        <v>4.7</v>
      </c>
      <c r="R666" s="4">
        <f>IFERROR(__xludf.DUMMYFUNCTION("""COMPUTED_VALUE"""),0.9)</f>
        <v>0.9</v>
      </c>
      <c r="S666" s="4">
        <f>IFERROR(__xludf.DUMMYFUNCTION("""COMPUTED_VALUE"""),7.2)</f>
        <v>7.2</v>
      </c>
      <c r="T666" s="4">
        <f>IFERROR(__xludf.DUMMYFUNCTION("""COMPUTED_VALUE"""),0.071)</f>
        <v>0.071</v>
      </c>
      <c r="U666" s="4">
        <f>IFERROR(__xludf.DUMMYFUNCTION("""COMPUTED_VALUE"""),-2.0)</f>
        <v>-2</v>
      </c>
      <c r="V666" s="4">
        <f>IFERROR(__xludf.DUMMYFUNCTION("""COMPUTED_VALUE"""),0.0)</f>
        <v>0</v>
      </c>
    </row>
    <row r="667">
      <c r="A667" s="4">
        <f>IFERROR(__xludf.DUMMYFUNCTION("""COMPUTED_VALUE"""),4.0)</f>
        <v>4</v>
      </c>
      <c r="B667" s="4">
        <f>IFERROR(__xludf.DUMMYFUNCTION("""COMPUTED_VALUE"""),4.0)</f>
        <v>4</v>
      </c>
      <c r="C667" s="4" t="str">
        <f>IFERROR(__xludf.DUMMYFUNCTION("""COMPUTED_VALUE"""),"NYK")</f>
        <v>NYK</v>
      </c>
      <c r="D667" s="4" t="str">
        <f>IFERROR(__xludf.DUMMYFUNCTION("""COMPUTED_VALUE"""),"Kristaps Porziņģis")</f>
        <v>Kristaps Porziņģis</v>
      </c>
      <c r="E667" s="4"/>
      <c r="F667" s="4">
        <f>IFERROR(__xludf.DUMMYFUNCTION("""COMPUTED_VALUE"""),10.0)</f>
        <v>10</v>
      </c>
      <c r="G667" s="4">
        <f>IFERROR(__xludf.DUMMYFUNCTION("""COMPUTED_VALUE"""),513.0)</f>
        <v>513</v>
      </c>
      <c r="H667" s="4">
        <f>IFERROR(__xludf.DUMMYFUNCTION("""COMPUTED_VALUE"""),15722.0)</f>
        <v>15722</v>
      </c>
      <c r="I667" s="4">
        <f>IFERROR(__xludf.DUMMYFUNCTION("""COMPUTED_VALUE"""),10063.0)</f>
        <v>10063</v>
      </c>
      <c r="J667" s="4">
        <f>IFERROR(__xludf.DUMMYFUNCTION("""COMPUTED_VALUE"""),3959.0)</f>
        <v>3959</v>
      </c>
      <c r="K667" s="4">
        <f>IFERROR(__xludf.DUMMYFUNCTION("""COMPUTED_VALUE"""),952.0)</f>
        <v>952</v>
      </c>
      <c r="L667" s="4">
        <f>IFERROR(__xludf.DUMMYFUNCTION("""COMPUTED_VALUE"""),0.462)</f>
        <v>0.462</v>
      </c>
      <c r="M667" s="4">
        <f>IFERROR(__xludf.DUMMYFUNCTION("""COMPUTED_VALUE"""),0.365)</f>
        <v>0.365</v>
      </c>
      <c r="N667" s="4">
        <f>IFERROR(__xludf.DUMMYFUNCTION("""COMPUTED_VALUE"""),0.83)</f>
        <v>0.83</v>
      </c>
      <c r="O667" s="4">
        <f>IFERROR(__xludf.DUMMYFUNCTION("""COMPUTED_VALUE"""),30.6)</f>
        <v>30.6</v>
      </c>
      <c r="P667" s="4">
        <f>IFERROR(__xludf.DUMMYFUNCTION("""COMPUTED_VALUE"""),19.6)</f>
        <v>19.6</v>
      </c>
      <c r="Q667" s="4">
        <f>IFERROR(__xludf.DUMMYFUNCTION("""COMPUTED_VALUE"""),7.7)</f>
        <v>7.7</v>
      </c>
      <c r="R667" s="4">
        <f>IFERROR(__xludf.DUMMYFUNCTION("""COMPUTED_VALUE"""),1.9)</f>
        <v>1.9</v>
      </c>
      <c r="S667" s="4">
        <f>IFERROR(__xludf.DUMMYFUNCTION("""COMPUTED_VALUE"""),49.4)</f>
        <v>49.4</v>
      </c>
      <c r="T667" s="4">
        <f>IFERROR(__xludf.DUMMYFUNCTION("""COMPUTED_VALUE"""),0.151)</f>
        <v>0.151</v>
      </c>
      <c r="U667" s="4">
        <f>IFERROR(__xludf.DUMMYFUNCTION("""COMPUTED_VALUE"""),2.7)</f>
        <v>2.7</v>
      </c>
      <c r="V667" s="4">
        <f>IFERROR(__xludf.DUMMYFUNCTION("""COMPUTED_VALUE"""),18.7)</f>
        <v>18.7</v>
      </c>
    </row>
    <row r="668">
      <c r="A668" s="4">
        <f>IFERROR(__xludf.DUMMYFUNCTION("""COMPUTED_VALUE"""),5.0)</f>
        <v>5</v>
      </c>
      <c r="B668" s="4">
        <f>IFERROR(__xludf.DUMMYFUNCTION("""COMPUTED_VALUE"""),5.0)</f>
        <v>5</v>
      </c>
      <c r="C668" s="4" t="str">
        <f>IFERROR(__xludf.DUMMYFUNCTION("""COMPUTED_VALUE"""),"ORL")</f>
        <v>ORL</v>
      </c>
      <c r="D668" s="4" t="str">
        <f>IFERROR(__xludf.DUMMYFUNCTION("""COMPUTED_VALUE"""),"Mario Hezonja")</f>
        <v>Mario Hezonja</v>
      </c>
      <c r="E668" s="4"/>
      <c r="F668" s="4">
        <f>IFERROR(__xludf.DUMMYFUNCTION("""COMPUTED_VALUE"""),5.0)</f>
        <v>5</v>
      </c>
      <c r="G668" s="4">
        <f>IFERROR(__xludf.DUMMYFUNCTION("""COMPUTED_VALUE"""),330.0)</f>
        <v>330</v>
      </c>
      <c r="H668" s="4">
        <f>IFERROR(__xludf.DUMMYFUNCTION("""COMPUTED_VALUE"""),6107.0)</f>
        <v>6107</v>
      </c>
      <c r="I668" s="4">
        <f>IFERROR(__xludf.DUMMYFUNCTION("""COMPUTED_VALUE"""),2284.0)</f>
        <v>2284</v>
      </c>
      <c r="J668" s="4">
        <f>IFERROR(__xludf.DUMMYFUNCTION("""COMPUTED_VALUE"""),1026.0)</f>
        <v>1026</v>
      </c>
      <c r="K668" s="4">
        <f>IFERROR(__xludf.DUMMYFUNCTION("""COMPUTED_VALUE"""),415.0)</f>
        <v>415</v>
      </c>
      <c r="L668" s="4">
        <f>IFERROR(__xludf.DUMMYFUNCTION("""COMPUTED_VALUE"""),0.417)</f>
        <v>0.417</v>
      </c>
      <c r="M668" s="4">
        <f>IFERROR(__xludf.DUMMYFUNCTION("""COMPUTED_VALUE"""),0.319)</f>
        <v>0.319</v>
      </c>
      <c r="N668" s="4">
        <f>IFERROR(__xludf.DUMMYFUNCTION("""COMPUTED_VALUE"""),0.812)</f>
        <v>0.812</v>
      </c>
      <c r="O668" s="4">
        <f>IFERROR(__xludf.DUMMYFUNCTION("""COMPUTED_VALUE"""),18.5)</f>
        <v>18.5</v>
      </c>
      <c r="P668" s="4">
        <f>IFERROR(__xludf.DUMMYFUNCTION("""COMPUTED_VALUE"""),6.9)</f>
        <v>6.9</v>
      </c>
      <c r="Q668" s="4">
        <f>IFERROR(__xludf.DUMMYFUNCTION("""COMPUTED_VALUE"""),3.1)</f>
        <v>3.1</v>
      </c>
      <c r="R668" s="4">
        <f>IFERROR(__xludf.DUMMYFUNCTION("""COMPUTED_VALUE"""),1.3)</f>
        <v>1.3</v>
      </c>
      <c r="S668" s="4">
        <f>IFERROR(__xludf.DUMMYFUNCTION("""COMPUTED_VALUE"""),3.2)</f>
        <v>3.2</v>
      </c>
      <c r="T668" s="4">
        <f>IFERROR(__xludf.DUMMYFUNCTION("""COMPUTED_VALUE"""),0.025)</f>
        <v>0.025</v>
      </c>
      <c r="U668" s="4">
        <f>IFERROR(__xludf.DUMMYFUNCTION("""COMPUTED_VALUE"""),-2.8)</f>
        <v>-2.8</v>
      </c>
      <c r="V668" s="4">
        <f>IFERROR(__xludf.DUMMYFUNCTION("""COMPUTED_VALUE"""),-1.2)</f>
        <v>-1.2</v>
      </c>
    </row>
    <row r="669">
      <c r="A669" s="4">
        <f>IFERROR(__xludf.DUMMYFUNCTION("""COMPUTED_VALUE"""),6.0)</f>
        <v>6</v>
      </c>
      <c r="B669" s="4">
        <f>IFERROR(__xludf.DUMMYFUNCTION("""COMPUTED_VALUE"""),6.0)</f>
        <v>6</v>
      </c>
      <c r="C669" s="4" t="str">
        <f>IFERROR(__xludf.DUMMYFUNCTION("""COMPUTED_VALUE"""),"SAC")</f>
        <v>SAC</v>
      </c>
      <c r="D669" s="4" t="str">
        <f>IFERROR(__xludf.DUMMYFUNCTION("""COMPUTED_VALUE"""),"Willie Cauley-Stein")</f>
        <v>Willie Cauley-Stein</v>
      </c>
      <c r="E669" s="4" t="str">
        <f>IFERROR(__xludf.DUMMYFUNCTION("""COMPUTED_VALUE"""),"Kentucky")</f>
        <v>Kentucky</v>
      </c>
      <c r="F669" s="4">
        <f>IFERROR(__xludf.DUMMYFUNCTION("""COMPUTED_VALUE"""),7.0)</f>
        <v>7</v>
      </c>
      <c r="G669" s="4">
        <f>IFERROR(__xludf.DUMMYFUNCTION("""COMPUTED_VALUE"""),422.0)</f>
        <v>422</v>
      </c>
      <c r="H669" s="4">
        <f>IFERROR(__xludf.DUMMYFUNCTION("""COMPUTED_VALUE"""),9276.0)</f>
        <v>9276</v>
      </c>
      <c r="I669" s="4">
        <f>IFERROR(__xludf.DUMMYFUNCTION("""COMPUTED_VALUE"""),3675.0)</f>
        <v>3675</v>
      </c>
      <c r="J669" s="4">
        <f>IFERROR(__xludf.DUMMYFUNCTION("""COMPUTED_VALUE"""),2470.0)</f>
        <v>2470</v>
      </c>
      <c r="K669" s="4">
        <f>IFERROR(__xludf.DUMMYFUNCTION("""COMPUTED_VALUE"""),598.0)</f>
        <v>598</v>
      </c>
      <c r="L669" s="4">
        <f>IFERROR(__xludf.DUMMYFUNCTION("""COMPUTED_VALUE"""),0.544)</f>
        <v>0.544</v>
      </c>
      <c r="M669" s="4">
        <f>IFERROR(__xludf.DUMMYFUNCTION("""COMPUTED_VALUE"""),0.188)</f>
        <v>0.188</v>
      </c>
      <c r="N669" s="4">
        <f>IFERROR(__xludf.DUMMYFUNCTION("""COMPUTED_VALUE"""),0.612)</f>
        <v>0.612</v>
      </c>
      <c r="O669" s="4">
        <f>IFERROR(__xludf.DUMMYFUNCTION("""COMPUTED_VALUE"""),22.0)</f>
        <v>22</v>
      </c>
      <c r="P669" s="4">
        <f>IFERROR(__xludf.DUMMYFUNCTION("""COMPUTED_VALUE"""),8.7)</f>
        <v>8.7</v>
      </c>
      <c r="Q669" s="4">
        <f>IFERROR(__xludf.DUMMYFUNCTION("""COMPUTED_VALUE"""),5.9)</f>
        <v>5.9</v>
      </c>
      <c r="R669" s="4">
        <f>IFERROR(__xludf.DUMMYFUNCTION("""COMPUTED_VALUE"""),1.4)</f>
        <v>1.4</v>
      </c>
      <c r="S669" s="4">
        <f>IFERROR(__xludf.DUMMYFUNCTION("""COMPUTED_VALUE"""),23.3)</f>
        <v>23.3</v>
      </c>
      <c r="T669" s="4">
        <f>IFERROR(__xludf.DUMMYFUNCTION("""COMPUTED_VALUE"""),0.121)</f>
        <v>0.121</v>
      </c>
      <c r="U669" s="4">
        <f>IFERROR(__xludf.DUMMYFUNCTION("""COMPUTED_VALUE"""),-0.1)</f>
        <v>-0.1</v>
      </c>
      <c r="V669" s="4">
        <f>IFERROR(__xludf.DUMMYFUNCTION("""COMPUTED_VALUE"""),4.4)</f>
        <v>4.4</v>
      </c>
    </row>
    <row r="670">
      <c r="A670" s="4">
        <f>IFERROR(__xludf.DUMMYFUNCTION("""COMPUTED_VALUE"""),7.0)</f>
        <v>7</v>
      </c>
      <c r="B670" s="4">
        <f>IFERROR(__xludf.DUMMYFUNCTION("""COMPUTED_VALUE"""),7.0)</f>
        <v>7</v>
      </c>
      <c r="C670" s="4" t="str">
        <f>IFERROR(__xludf.DUMMYFUNCTION("""COMPUTED_VALUE"""),"DEN")</f>
        <v>DEN</v>
      </c>
      <c r="D670" s="4" t="str">
        <f>IFERROR(__xludf.DUMMYFUNCTION("""COMPUTED_VALUE"""),"Emmanuel Mudiay")</f>
        <v>Emmanuel Mudiay</v>
      </c>
      <c r="E670" s="4"/>
      <c r="F670" s="4">
        <f>IFERROR(__xludf.DUMMYFUNCTION("""COMPUTED_VALUE"""),6.0)</f>
        <v>6</v>
      </c>
      <c r="G670" s="4">
        <f>IFERROR(__xludf.DUMMYFUNCTION("""COMPUTED_VALUE"""),302.0)</f>
        <v>302</v>
      </c>
      <c r="H670" s="4">
        <f>IFERROR(__xludf.DUMMYFUNCTION("""COMPUTED_VALUE"""),7187.0)</f>
        <v>7187</v>
      </c>
      <c r="I670" s="4">
        <f>IFERROR(__xludf.DUMMYFUNCTION("""COMPUTED_VALUE"""),3299.0)</f>
        <v>3299</v>
      </c>
      <c r="J670" s="4">
        <f>IFERROR(__xludf.DUMMYFUNCTION("""COMPUTED_VALUE"""),884.0)</f>
        <v>884</v>
      </c>
      <c r="K670" s="4">
        <f>IFERROR(__xludf.DUMMYFUNCTION("""COMPUTED_VALUE"""),1143.0)</f>
        <v>1143</v>
      </c>
      <c r="L670" s="4">
        <f>IFERROR(__xludf.DUMMYFUNCTION("""COMPUTED_VALUE"""),0.401)</f>
        <v>0.401</v>
      </c>
      <c r="M670" s="4">
        <f>IFERROR(__xludf.DUMMYFUNCTION("""COMPUTED_VALUE"""),0.323)</f>
        <v>0.323</v>
      </c>
      <c r="N670" s="4">
        <f>IFERROR(__xludf.DUMMYFUNCTION("""COMPUTED_VALUE"""),0.744)</f>
        <v>0.744</v>
      </c>
      <c r="O670" s="4">
        <f>IFERROR(__xludf.DUMMYFUNCTION("""COMPUTED_VALUE"""),23.8)</f>
        <v>23.8</v>
      </c>
      <c r="P670" s="4">
        <f>IFERROR(__xludf.DUMMYFUNCTION("""COMPUTED_VALUE"""),10.9)</f>
        <v>10.9</v>
      </c>
      <c r="Q670" s="4">
        <f>IFERROR(__xludf.DUMMYFUNCTION("""COMPUTED_VALUE"""),2.9)</f>
        <v>2.9</v>
      </c>
      <c r="R670" s="4">
        <f>IFERROR(__xludf.DUMMYFUNCTION("""COMPUTED_VALUE"""),3.8)</f>
        <v>3.8</v>
      </c>
      <c r="S670" s="4">
        <f>IFERROR(__xludf.DUMMYFUNCTION("""COMPUTED_VALUE"""),-0.2)</f>
        <v>-0.2</v>
      </c>
      <c r="T670" s="4">
        <f>IFERROR(__xludf.DUMMYFUNCTION("""COMPUTED_VALUE"""),-0.001)</f>
        <v>-0.001</v>
      </c>
      <c r="U670" s="4">
        <f>IFERROR(__xludf.DUMMYFUNCTION("""COMPUTED_VALUE"""),-3.2)</f>
        <v>-3.2</v>
      </c>
      <c r="V670" s="4">
        <f>IFERROR(__xludf.DUMMYFUNCTION("""COMPUTED_VALUE"""),-2.2)</f>
        <v>-2.2</v>
      </c>
    </row>
    <row r="671">
      <c r="A671" s="4">
        <f>IFERROR(__xludf.DUMMYFUNCTION("""COMPUTED_VALUE"""),8.0)</f>
        <v>8</v>
      </c>
      <c r="B671" s="4">
        <f>IFERROR(__xludf.DUMMYFUNCTION("""COMPUTED_VALUE"""),8.0)</f>
        <v>8</v>
      </c>
      <c r="C671" s="4" t="str">
        <f>IFERROR(__xludf.DUMMYFUNCTION("""COMPUTED_VALUE"""),"DET")</f>
        <v>DET</v>
      </c>
      <c r="D671" s="4" t="str">
        <f>IFERROR(__xludf.DUMMYFUNCTION("""COMPUTED_VALUE"""),"Stanley Johnson")</f>
        <v>Stanley Johnson</v>
      </c>
      <c r="E671" s="4" t="str">
        <f>IFERROR(__xludf.DUMMYFUNCTION("""COMPUTED_VALUE"""),"Arizona")</f>
        <v>Arizona</v>
      </c>
      <c r="F671" s="4">
        <f>IFERROR(__xludf.DUMMYFUNCTION("""COMPUTED_VALUE"""),8.0)</f>
        <v>8</v>
      </c>
      <c r="G671" s="4">
        <f>IFERROR(__xludf.DUMMYFUNCTION("""COMPUTED_VALUE"""),449.0)</f>
        <v>449</v>
      </c>
      <c r="H671" s="4">
        <f>IFERROR(__xludf.DUMMYFUNCTION("""COMPUTED_VALUE"""),8879.0)</f>
        <v>8879</v>
      </c>
      <c r="I671" s="4">
        <f>IFERROR(__xludf.DUMMYFUNCTION("""COMPUTED_VALUE"""),2806.0)</f>
        <v>2806</v>
      </c>
      <c r="J671" s="4">
        <f>IFERROR(__xludf.DUMMYFUNCTION("""COMPUTED_VALUE"""),1404.0)</f>
        <v>1404</v>
      </c>
      <c r="K671" s="4">
        <f>IFERROR(__xludf.DUMMYFUNCTION("""COMPUTED_VALUE"""),679.0)</f>
        <v>679</v>
      </c>
      <c r="L671" s="4">
        <f>IFERROR(__xludf.DUMMYFUNCTION("""COMPUTED_VALUE"""),0.391)</f>
        <v>0.391</v>
      </c>
      <c r="M671" s="4">
        <f>IFERROR(__xludf.DUMMYFUNCTION("""COMPUTED_VALUE"""),0.305)</f>
        <v>0.305</v>
      </c>
      <c r="N671" s="4">
        <f>IFERROR(__xludf.DUMMYFUNCTION("""COMPUTED_VALUE"""),0.748)</f>
        <v>0.748</v>
      </c>
      <c r="O671" s="4">
        <f>IFERROR(__xludf.DUMMYFUNCTION("""COMPUTED_VALUE"""),19.8)</f>
        <v>19.8</v>
      </c>
      <c r="P671" s="4">
        <f>IFERROR(__xludf.DUMMYFUNCTION("""COMPUTED_VALUE"""),6.2)</f>
        <v>6.2</v>
      </c>
      <c r="Q671" s="4">
        <f>IFERROR(__xludf.DUMMYFUNCTION("""COMPUTED_VALUE"""),3.1)</f>
        <v>3.1</v>
      </c>
      <c r="R671" s="4">
        <f>IFERROR(__xludf.DUMMYFUNCTION("""COMPUTED_VALUE"""),1.5)</f>
        <v>1.5</v>
      </c>
      <c r="S671" s="4">
        <f>IFERROR(__xludf.DUMMYFUNCTION("""COMPUTED_VALUE"""),6.9)</f>
        <v>6.9</v>
      </c>
      <c r="T671" s="4">
        <f>IFERROR(__xludf.DUMMYFUNCTION("""COMPUTED_VALUE"""),0.037)</f>
        <v>0.037</v>
      </c>
      <c r="U671" s="4">
        <f>IFERROR(__xludf.DUMMYFUNCTION("""COMPUTED_VALUE"""),-2.7)</f>
        <v>-2.7</v>
      </c>
      <c r="V671" s="4">
        <f>IFERROR(__xludf.DUMMYFUNCTION("""COMPUTED_VALUE"""),-1.6)</f>
        <v>-1.6</v>
      </c>
    </row>
    <row r="672">
      <c r="A672" s="4">
        <f>IFERROR(__xludf.DUMMYFUNCTION("""COMPUTED_VALUE"""),9.0)</f>
        <v>9</v>
      </c>
      <c r="B672" s="4">
        <f>IFERROR(__xludf.DUMMYFUNCTION("""COMPUTED_VALUE"""),9.0)</f>
        <v>9</v>
      </c>
      <c r="C672" s="4" t="str">
        <f>IFERROR(__xludf.DUMMYFUNCTION("""COMPUTED_VALUE"""),"CHO")</f>
        <v>CHO</v>
      </c>
      <c r="D672" s="4" t="str">
        <f>IFERROR(__xludf.DUMMYFUNCTION("""COMPUTED_VALUE"""),"Frank Kaminsky")</f>
        <v>Frank Kaminsky</v>
      </c>
      <c r="E672" s="4" t="str">
        <f>IFERROR(__xludf.DUMMYFUNCTION("""COMPUTED_VALUE"""),"Wisconsin")</f>
        <v>Wisconsin</v>
      </c>
      <c r="F672" s="4">
        <f>IFERROR(__xludf.DUMMYFUNCTION("""COMPUTED_VALUE"""),8.0)</f>
        <v>8</v>
      </c>
      <c r="G672" s="4">
        <f>IFERROR(__xludf.DUMMYFUNCTION("""COMPUTED_VALUE"""),413.0)</f>
        <v>413</v>
      </c>
      <c r="H672" s="4">
        <f>IFERROR(__xludf.DUMMYFUNCTION("""COMPUTED_VALUE"""),8160.0)</f>
        <v>8160</v>
      </c>
      <c r="I672" s="4">
        <f>IFERROR(__xludf.DUMMYFUNCTION("""COMPUTED_VALUE"""),3630.0)</f>
        <v>3630</v>
      </c>
      <c r="J672" s="4">
        <f>IFERROR(__xludf.DUMMYFUNCTION("""COMPUTED_VALUE"""),1579.0)</f>
        <v>1579</v>
      </c>
      <c r="K672" s="4">
        <f>IFERROR(__xludf.DUMMYFUNCTION("""COMPUTED_VALUE"""),651.0)</f>
        <v>651</v>
      </c>
      <c r="L672" s="4">
        <f>IFERROR(__xludf.DUMMYFUNCTION("""COMPUTED_VALUE"""),0.43)</f>
        <v>0.43</v>
      </c>
      <c r="M672" s="4">
        <f>IFERROR(__xludf.DUMMYFUNCTION("""COMPUTED_VALUE"""),0.349)</f>
        <v>0.349</v>
      </c>
      <c r="N672" s="4">
        <f>IFERROR(__xludf.DUMMYFUNCTION("""COMPUTED_VALUE"""),0.746)</f>
        <v>0.746</v>
      </c>
      <c r="O672" s="4">
        <f>IFERROR(__xludf.DUMMYFUNCTION("""COMPUTED_VALUE"""),19.8)</f>
        <v>19.8</v>
      </c>
      <c r="P672" s="4">
        <f>IFERROR(__xludf.DUMMYFUNCTION("""COMPUTED_VALUE"""),8.8)</f>
        <v>8.8</v>
      </c>
      <c r="Q672" s="4">
        <f>IFERROR(__xludf.DUMMYFUNCTION("""COMPUTED_VALUE"""),3.8)</f>
        <v>3.8</v>
      </c>
      <c r="R672" s="4">
        <f>IFERROR(__xludf.DUMMYFUNCTION("""COMPUTED_VALUE"""),1.6)</f>
        <v>1.6</v>
      </c>
      <c r="S672" s="4">
        <f>IFERROR(__xludf.DUMMYFUNCTION("""COMPUTED_VALUE"""),15.9)</f>
        <v>15.9</v>
      </c>
      <c r="T672" s="4">
        <f>IFERROR(__xludf.DUMMYFUNCTION("""COMPUTED_VALUE"""),0.094)</f>
        <v>0.094</v>
      </c>
      <c r="U672" s="4">
        <f>IFERROR(__xludf.DUMMYFUNCTION("""COMPUTED_VALUE"""),-0.2)</f>
        <v>-0.2</v>
      </c>
      <c r="V672" s="4">
        <f>IFERROR(__xludf.DUMMYFUNCTION("""COMPUTED_VALUE"""),3.7)</f>
        <v>3.7</v>
      </c>
    </row>
    <row r="673">
      <c r="A673" s="4">
        <f>IFERROR(__xludf.DUMMYFUNCTION("""COMPUTED_VALUE"""),10.0)</f>
        <v>10</v>
      </c>
      <c r="B673" s="4">
        <f>IFERROR(__xludf.DUMMYFUNCTION("""COMPUTED_VALUE"""),10.0)</f>
        <v>10</v>
      </c>
      <c r="C673" s="4" t="str">
        <f>IFERROR(__xludf.DUMMYFUNCTION("""COMPUTED_VALUE"""),"MIA")</f>
        <v>MIA</v>
      </c>
      <c r="D673" s="4" t="str">
        <f>IFERROR(__xludf.DUMMYFUNCTION("""COMPUTED_VALUE"""),"Justise Winslow")</f>
        <v>Justise Winslow</v>
      </c>
      <c r="E673" s="4" t="str">
        <f>IFERROR(__xludf.DUMMYFUNCTION("""COMPUTED_VALUE"""),"Duke")</f>
        <v>Duke</v>
      </c>
      <c r="F673" s="4">
        <f>IFERROR(__xludf.DUMMYFUNCTION("""COMPUTED_VALUE"""),8.0)</f>
        <v>8</v>
      </c>
      <c r="G673" s="4">
        <f>IFERROR(__xludf.DUMMYFUNCTION("""COMPUTED_VALUE"""),344.0)</f>
        <v>344</v>
      </c>
      <c r="H673" s="4">
        <f>IFERROR(__xludf.DUMMYFUNCTION("""COMPUTED_VALUE"""),8906.0)</f>
        <v>8906</v>
      </c>
      <c r="I673" s="4">
        <f>IFERROR(__xludf.DUMMYFUNCTION("""COMPUTED_VALUE"""),2829.0)</f>
        <v>2829</v>
      </c>
      <c r="J673" s="4">
        <f>IFERROR(__xludf.DUMMYFUNCTION("""COMPUTED_VALUE"""),1760.0)</f>
        <v>1760</v>
      </c>
      <c r="K673" s="4">
        <f>IFERROR(__xludf.DUMMYFUNCTION("""COMPUTED_VALUE"""),889.0)</f>
        <v>889</v>
      </c>
      <c r="L673" s="4">
        <f>IFERROR(__xludf.DUMMYFUNCTION("""COMPUTED_VALUE"""),0.412)</f>
        <v>0.412</v>
      </c>
      <c r="M673" s="4">
        <f>IFERROR(__xludf.DUMMYFUNCTION("""COMPUTED_VALUE"""),0.315)</f>
        <v>0.315</v>
      </c>
      <c r="N673" s="4">
        <f>IFERROR(__xludf.DUMMYFUNCTION("""COMPUTED_VALUE"""),0.638)</f>
        <v>0.638</v>
      </c>
      <c r="O673" s="4">
        <f>IFERROR(__xludf.DUMMYFUNCTION("""COMPUTED_VALUE"""),25.9)</f>
        <v>25.9</v>
      </c>
      <c r="P673" s="4">
        <f>IFERROR(__xludf.DUMMYFUNCTION("""COMPUTED_VALUE"""),8.2)</f>
        <v>8.2</v>
      </c>
      <c r="Q673" s="4">
        <f>IFERROR(__xludf.DUMMYFUNCTION("""COMPUTED_VALUE"""),5.1)</f>
        <v>5.1</v>
      </c>
      <c r="R673" s="4">
        <f>IFERROR(__xludf.DUMMYFUNCTION("""COMPUTED_VALUE"""),2.6)</f>
        <v>2.6</v>
      </c>
      <c r="S673" s="4">
        <f>IFERROR(__xludf.DUMMYFUNCTION("""COMPUTED_VALUE"""),8.2)</f>
        <v>8.2</v>
      </c>
      <c r="T673" s="4">
        <f>IFERROR(__xludf.DUMMYFUNCTION("""COMPUTED_VALUE"""),0.044)</f>
        <v>0.044</v>
      </c>
      <c r="U673" s="4">
        <f>IFERROR(__xludf.DUMMYFUNCTION("""COMPUTED_VALUE"""),-2.1)</f>
        <v>-2.1</v>
      </c>
      <c r="V673" s="4">
        <f>IFERROR(__xludf.DUMMYFUNCTION("""COMPUTED_VALUE"""),-0.3)</f>
        <v>-0.3</v>
      </c>
    </row>
    <row r="674">
      <c r="A674" s="4">
        <f>IFERROR(__xludf.DUMMYFUNCTION("""COMPUTED_VALUE"""),11.0)</f>
        <v>11</v>
      </c>
      <c r="B674" s="4">
        <f>IFERROR(__xludf.DUMMYFUNCTION("""COMPUTED_VALUE"""),11.0)</f>
        <v>11</v>
      </c>
      <c r="C674" s="4" t="str">
        <f>IFERROR(__xludf.DUMMYFUNCTION("""COMPUTED_VALUE"""),"IND")</f>
        <v>IND</v>
      </c>
      <c r="D674" s="4" t="str">
        <f>IFERROR(__xludf.DUMMYFUNCTION("""COMPUTED_VALUE"""),"Myles Turner")</f>
        <v>Myles Turner</v>
      </c>
      <c r="E674" s="4" t="str">
        <f>IFERROR(__xludf.DUMMYFUNCTION("""COMPUTED_VALUE"""),"Texas")</f>
        <v>Texas</v>
      </c>
      <c r="F674" s="4">
        <f>IFERROR(__xludf.DUMMYFUNCTION("""COMPUTED_VALUE"""),11.0)</f>
        <v>11</v>
      </c>
      <c r="G674" s="4">
        <f>IFERROR(__xludf.DUMMYFUNCTION("""COMPUTED_VALUE"""),664.0)</f>
        <v>664</v>
      </c>
      <c r="H674" s="4">
        <f>IFERROR(__xludf.DUMMYFUNCTION("""COMPUTED_VALUE"""),19104.0)</f>
        <v>19104</v>
      </c>
      <c r="I674" s="4">
        <f>IFERROR(__xludf.DUMMYFUNCTION("""COMPUTED_VALUE"""),9307.0)</f>
        <v>9307</v>
      </c>
      <c r="J674" s="4">
        <f>IFERROR(__xludf.DUMMYFUNCTION("""COMPUTED_VALUE"""),4485.0)</f>
        <v>4485</v>
      </c>
      <c r="K674" s="4">
        <f>IFERROR(__xludf.DUMMYFUNCTION("""COMPUTED_VALUE"""),853.0)</f>
        <v>853</v>
      </c>
      <c r="L674" s="4">
        <f>IFERROR(__xludf.DUMMYFUNCTION("""COMPUTED_VALUE"""),0.497)</f>
        <v>0.497</v>
      </c>
      <c r="M674" s="4">
        <f>IFERROR(__xludf.DUMMYFUNCTION("""COMPUTED_VALUE"""),0.364)</f>
        <v>0.364</v>
      </c>
      <c r="N674" s="4">
        <f>IFERROR(__xludf.DUMMYFUNCTION("""COMPUTED_VALUE"""),0.77)</f>
        <v>0.77</v>
      </c>
      <c r="O674" s="4">
        <f>IFERROR(__xludf.DUMMYFUNCTION("""COMPUTED_VALUE"""),28.8)</f>
        <v>28.8</v>
      </c>
      <c r="P674" s="4">
        <f>IFERROR(__xludf.DUMMYFUNCTION("""COMPUTED_VALUE"""),14.0)</f>
        <v>14</v>
      </c>
      <c r="Q674" s="4">
        <f>IFERROR(__xludf.DUMMYFUNCTION("""COMPUTED_VALUE"""),6.8)</f>
        <v>6.8</v>
      </c>
      <c r="R674" s="4">
        <f>IFERROR(__xludf.DUMMYFUNCTION("""COMPUTED_VALUE"""),1.3)</f>
        <v>1.3</v>
      </c>
      <c r="S674" s="4">
        <f>IFERROR(__xludf.DUMMYFUNCTION("""COMPUTED_VALUE"""),49.9)</f>
        <v>49.9</v>
      </c>
      <c r="T674" s="4">
        <f>IFERROR(__xludf.DUMMYFUNCTION("""COMPUTED_VALUE"""),0.125)</f>
        <v>0.125</v>
      </c>
      <c r="U674" s="4">
        <f>IFERROR(__xludf.DUMMYFUNCTION("""COMPUTED_VALUE"""),0.7)</f>
        <v>0.7</v>
      </c>
      <c r="V674" s="4">
        <f>IFERROR(__xludf.DUMMYFUNCTION("""COMPUTED_VALUE"""),13.2)</f>
        <v>13.2</v>
      </c>
    </row>
    <row r="675">
      <c r="A675" s="4">
        <f>IFERROR(__xludf.DUMMYFUNCTION("""COMPUTED_VALUE"""),12.0)</f>
        <v>12</v>
      </c>
      <c r="B675" s="4">
        <f>IFERROR(__xludf.DUMMYFUNCTION("""COMPUTED_VALUE"""),12.0)</f>
        <v>12</v>
      </c>
      <c r="C675" s="4" t="str">
        <f>IFERROR(__xludf.DUMMYFUNCTION("""COMPUTED_VALUE"""),"UTA")</f>
        <v>UTA</v>
      </c>
      <c r="D675" s="4" t="str">
        <f>IFERROR(__xludf.DUMMYFUNCTION("""COMPUTED_VALUE"""),"Trey Lyles")</f>
        <v>Trey Lyles</v>
      </c>
      <c r="E675" s="4" t="str">
        <f>IFERROR(__xludf.DUMMYFUNCTION("""COMPUTED_VALUE"""),"Kentucky")</f>
        <v>Kentucky</v>
      </c>
      <c r="F675" s="4">
        <f>IFERROR(__xludf.DUMMYFUNCTION("""COMPUTED_VALUE"""),10.0)</f>
        <v>10</v>
      </c>
      <c r="G675" s="4">
        <f>IFERROR(__xludf.DUMMYFUNCTION("""COMPUTED_VALUE"""),650.0)</f>
        <v>650</v>
      </c>
      <c r="H675" s="4">
        <f>IFERROR(__xludf.DUMMYFUNCTION("""COMPUTED_VALUE"""),11970.0)</f>
        <v>11970</v>
      </c>
      <c r="I675" s="4">
        <f>IFERROR(__xludf.DUMMYFUNCTION("""COMPUTED_VALUE"""),4935.0)</f>
        <v>4935</v>
      </c>
      <c r="J675" s="4">
        <f>IFERROR(__xludf.DUMMYFUNCTION("""COMPUTED_VALUE"""),2826.0)</f>
        <v>2826</v>
      </c>
      <c r="K675" s="4">
        <f>IFERROR(__xludf.DUMMYFUNCTION("""COMPUTED_VALUE"""),697.0)</f>
        <v>697</v>
      </c>
      <c r="L675" s="4">
        <f>IFERROR(__xludf.DUMMYFUNCTION("""COMPUTED_VALUE"""),0.441)</f>
        <v>0.441</v>
      </c>
      <c r="M675" s="4">
        <f>IFERROR(__xludf.DUMMYFUNCTION("""COMPUTED_VALUE"""),0.347)</f>
        <v>0.347</v>
      </c>
      <c r="N675" s="4">
        <f>IFERROR(__xludf.DUMMYFUNCTION("""COMPUTED_VALUE"""),0.741)</f>
        <v>0.741</v>
      </c>
      <c r="O675" s="4">
        <f>IFERROR(__xludf.DUMMYFUNCTION("""COMPUTED_VALUE"""),18.4)</f>
        <v>18.4</v>
      </c>
      <c r="P675" s="4">
        <f>IFERROR(__xludf.DUMMYFUNCTION("""COMPUTED_VALUE"""),7.6)</f>
        <v>7.6</v>
      </c>
      <c r="Q675" s="4">
        <f>IFERROR(__xludf.DUMMYFUNCTION("""COMPUTED_VALUE"""),4.3)</f>
        <v>4.3</v>
      </c>
      <c r="R675" s="4">
        <f>IFERROR(__xludf.DUMMYFUNCTION("""COMPUTED_VALUE"""),1.1)</f>
        <v>1.1</v>
      </c>
      <c r="S675" s="4">
        <f>IFERROR(__xludf.DUMMYFUNCTION("""COMPUTED_VALUE"""),22.0)</f>
        <v>22</v>
      </c>
      <c r="T675" s="4">
        <f>IFERROR(__xludf.DUMMYFUNCTION("""COMPUTED_VALUE"""),0.088)</f>
        <v>0.088</v>
      </c>
      <c r="U675" s="4">
        <f>IFERROR(__xludf.DUMMYFUNCTION("""COMPUTED_VALUE"""),-1.0)</f>
        <v>-1</v>
      </c>
      <c r="V675" s="4">
        <f>IFERROR(__xludf.DUMMYFUNCTION("""COMPUTED_VALUE"""),3.0)</f>
        <v>3</v>
      </c>
    </row>
    <row r="676">
      <c r="A676" s="4">
        <f>IFERROR(__xludf.DUMMYFUNCTION("""COMPUTED_VALUE"""),13.0)</f>
        <v>13</v>
      </c>
      <c r="B676" s="4">
        <f>IFERROR(__xludf.DUMMYFUNCTION("""COMPUTED_VALUE"""),13.0)</f>
        <v>13</v>
      </c>
      <c r="C676" s="4" t="str">
        <f>IFERROR(__xludf.DUMMYFUNCTION("""COMPUTED_VALUE"""),"PHO")</f>
        <v>PHO</v>
      </c>
      <c r="D676" s="4" t="str">
        <f>IFERROR(__xludf.DUMMYFUNCTION("""COMPUTED_VALUE"""),"Devin Booker")</f>
        <v>Devin Booker</v>
      </c>
      <c r="E676" s="4" t="str">
        <f>IFERROR(__xludf.DUMMYFUNCTION("""COMPUTED_VALUE"""),"Kentucky")</f>
        <v>Kentucky</v>
      </c>
      <c r="F676" s="4">
        <f>IFERROR(__xludf.DUMMYFUNCTION("""COMPUTED_VALUE"""),11.0)</f>
        <v>11</v>
      </c>
      <c r="G676" s="4">
        <f>IFERROR(__xludf.DUMMYFUNCTION("""COMPUTED_VALUE"""),695.0)</f>
        <v>695</v>
      </c>
      <c r="H676" s="4">
        <f>IFERROR(__xludf.DUMMYFUNCTION("""COMPUTED_VALUE"""),23912.0)</f>
        <v>23912</v>
      </c>
      <c r="I676" s="4">
        <f>IFERROR(__xludf.DUMMYFUNCTION("""COMPUTED_VALUE"""),17002.0)</f>
        <v>17002</v>
      </c>
      <c r="J676" s="4">
        <f>IFERROR(__xludf.DUMMYFUNCTION("""COMPUTED_VALUE"""),2813.0)</f>
        <v>2813</v>
      </c>
      <c r="K676" s="4">
        <f>IFERROR(__xludf.DUMMYFUNCTION("""COMPUTED_VALUE"""),3669.0)</f>
        <v>3669</v>
      </c>
      <c r="L676" s="4">
        <f>IFERROR(__xludf.DUMMYFUNCTION("""COMPUTED_VALUE"""),0.464)</f>
        <v>0.464</v>
      </c>
      <c r="M676" s="4">
        <f>IFERROR(__xludf.DUMMYFUNCTION("""COMPUTED_VALUE"""),0.353)</f>
        <v>0.353</v>
      </c>
      <c r="N676" s="4">
        <f>IFERROR(__xludf.DUMMYFUNCTION("""COMPUTED_VALUE"""),0.873)</f>
        <v>0.873</v>
      </c>
      <c r="O676" s="4">
        <f>IFERROR(__xludf.DUMMYFUNCTION("""COMPUTED_VALUE"""),34.4)</f>
        <v>34.4</v>
      </c>
      <c r="P676" s="4">
        <f>IFERROR(__xludf.DUMMYFUNCTION("""COMPUTED_VALUE"""),24.5)</f>
        <v>24.5</v>
      </c>
      <c r="Q676" s="4">
        <f>IFERROR(__xludf.DUMMYFUNCTION("""COMPUTED_VALUE"""),4.0)</f>
        <v>4</v>
      </c>
      <c r="R676" s="4">
        <f>IFERROR(__xludf.DUMMYFUNCTION("""COMPUTED_VALUE"""),5.3)</f>
        <v>5.3</v>
      </c>
      <c r="S676" s="4">
        <f>IFERROR(__xludf.DUMMYFUNCTION("""COMPUTED_VALUE"""),53.6)</f>
        <v>53.6</v>
      </c>
      <c r="T676" s="4">
        <f>IFERROR(__xludf.DUMMYFUNCTION("""COMPUTED_VALUE"""),0.108)</f>
        <v>0.108</v>
      </c>
      <c r="U676" s="4">
        <f>IFERROR(__xludf.DUMMYFUNCTION("""COMPUTED_VALUE"""),1.1)</f>
        <v>1.1</v>
      </c>
      <c r="V676" s="4">
        <f>IFERROR(__xludf.DUMMYFUNCTION("""COMPUTED_VALUE"""),18.5)</f>
        <v>18.5</v>
      </c>
    </row>
    <row r="677">
      <c r="A677" s="4">
        <f>IFERROR(__xludf.DUMMYFUNCTION("""COMPUTED_VALUE"""),14.0)</f>
        <v>14</v>
      </c>
      <c r="B677" s="4">
        <f>IFERROR(__xludf.DUMMYFUNCTION("""COMPUTED_VALUE"""),14.0)</f>
        <v>14</v>
      </c>
      <c r="C677" s="4" t="str">
        <f>IFERROR(__xludf.DUMMYFUNCTION("""COMPUTED_VALUE"""),"OKC")</f>
        <v>OKC</v>
      </c>
      <c r="D677" s="4" t="str">
        <f>IFERROR(__xludf.DUMMYFUNCTION("""COMPUTED_VALUE"""),"Cameron Payne")</f>
        <v>Cameron Payne</v>
      </c>
      <c r="E677" s="4" t="str">
        <f>IFERROR(__xludf.DUMMYFUNCTION("""COMPUTED_VALUE"""),"Murray State")</f>
        <v>Murray State</v>
      </c>
      <c r="F677" s="4">
        <f>IFERROR(__xludf.DUMMYFUNCTION("""COMPUTED_VALUE"""),10.0)</f>
        <v>10</v>
      </c>
      <c r="G677" s="4">
        <f>IFERROR(__xludf.DUMMYFUNCTION("""COMPUTED_VALUE"""),477.0)</f>
        <v>477</v>
      </c>
      <c r="H677" s="4">
        <f>IFERROR(__xludf.DUMMYFUNCTION("""COMPUTED_VALUE"""),8356.0)</f>
        <v>8356</v>
      </c>
      <c r="I677" s="4">
        <f>IFERROR(__xludf.DUMMYFUNCTION("""COMPUTED_VALUE"""),3703.0)</f>
        <v>3703</v>
      </c>
      <c r="J677" s="4">
        <f>IFERROR(__xludf.DUMMYFUNCTION("""COMPUTED_VALUE"""),951.0)</f>
        <v>951</v>
      </c>
      <c r="K677" s="4">
        <f>IFERROR(__xludf.DUMMYFUNCTION("""COMPUTED_VALUE"""),1527.0)</f>
        <v>1527</v>
      </c>
      <c r="L677" s="4">
        <f>IFERROR(__xludf.DUMMYFUNCTION("""COMPUTED_VALUE"""),0.419)</f>
        <v>0.419</v>
      </c>
      <c r="M677" s="4">
        <f>IFERROR(__xludf.DUMMYFUNCTION("""COMPUTED_VALUE"""),0.368)</f>
        <v>0.368</v>
      </c>
      <c r="N677" s="4">
        <f>IFERROR(__xludf.DUMMYFUNCTION("""COMPUTED_VALUE"""),0.836)</f>
        <v>0.836</v>
      </c>
      <c r="O677" s="4">
        <f>IFERROR(__xludf.DUMMYFUNCTION("""COMPUTED_VALUE"""),17.5)</f>
        <v>17.5</v>
      </c>
      <c r="P677" s="4">
        <f>IFERROR(__xludf.DUMMYFUNCTION("""COMPUTED_VALUE"""),7.8)</f>
        <v>7.8</v>
      </c>
      <c r="Q677" s="4">
        <f>IFERROR(__xludf.DUMMYFUNCTION("""COMPUTED_VALUE"""),2.0)</f>
        <v>2</v>
      </c>
      <c r="R677" s="4">
        <f>IFERROR(__xludf.DUMMYFUNCTION("""COMPUTED_VALUE"""),3.2)</f>
        <v>3.2</v>
      </c>
      <c r="S677" s="4">
        <f>IFERROR(__xludf.DUMMYFUNCTION("""COMPUTED_VALUE"""),13.9)</f>
        <v>13.9</v>
      </c>
      <c r="T677" s="4">
        <f>IFERROR(__xludf.DUMMYFUNCTION("""COMPUTED_VALUE"""),0.08)</f>
        <v>0.08</v>
      </c>
      <c r="U677" s="4">
        <f>IFERROR(__xludf.DUMMYFUNCTION("""COMPUTED_VALUE"""),-0.6)</f>
        <v>-0.6</v>
      </c>
      <c r="V677" s="4">
        <f>IFERROR(__xludf.DUMMYFUNCTION("""COMPUTED_VALUE"""),3.0)</f>
        <v>3</v>
      </c>
    </row>
    <row r="678">
      <c r="A678" s="4">
        <f>IFERROR(__xludf.DUMMYFUNCTION("""COMPUTED_VALUE"""),15.0)</f>
        <v>15</v>
      </c>
      <c r="B678" s="4">
        <f>IFERROR(__xludf.DUMMYFUNCTION("""COMPUTED_VALUE"""),15.0)</f>
        <v>15</v>
      </c>
      <c r="C678" s="4" t="str">
        <f>IFERROR(__xludf.DUMMYFUNCTION("""COMPUTED_VALUE"""),"ATL")</f>
        <v>ATL</v>
      </c>
      <c r="D678" s="4" t="str">
        <f>IFERROR(__xludf.DUMMYFUNCTION("""COMPUTED_VALUE"""),"Kelly Oubre Jr.")</f>
        <v>Kelly Oubre Jr.</v>
      </c>
      <c r="E678" s="4" t="str">
        <f>IFERROR(__xludf.DUMMYFUNCTION("""COMPUTED_VALUE"""),"Kansas")</f>
        <v>Kansas</v>
      </c>
      <c r="F678" s="4">
        <f>IFERROR(__xludf.DUMMYFUNCTION("""COMPUTED_VALUE"""),11.0)</f>
        <v>11</v>
      </c>
      <c r="G678" s="4">
        <f>IFERROR(__xludf.DUMMYFUNCTION("""COMPUTED_VALUE"""),667.0)</f>
        <v>667</v>
      </c>
      <c r="H678" s="4">
        <f>IFERROR(__xludf.DUMMYFUNCTION("""COMPUTED_VALUE"""),18160.0)</f>
        <v>18160</v>
      </c>
      <c r="I678" s="4">
        <f>IFERROR(__xludf.DUMMYFUNCTION("""COMPUTED_VALUE"""),8897.0)</f>
        <v>8897</v>
      </c>
      <c r="J678" s="4">
        <f>IFERROR(__xludf.DUMMYFUNCTION("""COMPUTED_VALUE"""),3093.0)</f>
        <v>3093</v>
      </c>
      <c r="K678" s="4">
        <f>IFERROR(__xludf.DUMMYFUNCTION("""COMPUTED_VALUE"""),763.0)</f>
        <v>763</v>
      </c>
      <c r="L678" s="4">
        <f>IFERROR(__xludf.DUMMYFUNCTION("""COMPUTED_VALUE"""),0.439)</f>
        <v>0.439</v>
      </c>
      <c r="M678" s="4">
        <f>IFERROR(__xludf.DUMMYFUNCTION("""COMPUTED_VALUE"""),0.325)</f>
        <v>0.325</v>
      </c>
      <c r="N678" s="4">
        <f>IFERROR(__xludf.DUMMYFUNCTION("""COMPUTED_VALUE"""),0.752)</f>
        <v>0.752</v>
      </c>
      <c r="O678" s="4">
        <f>IFERROR(__xludf.DUMMYFUNCTION("""COMPUTED_VALUE"""),27.2)</f>
        <v>27.2</v>
      </c>
      <c r="P678" s="4">
        <f>IFERROR(__xludf.DUMMYFUNCTION("""COMPUTED_VALUE"""),13.3)</f>
        <v>13.3</v>
      </c>
      <c r="Q678" s="4">
        <f>IFERROR(__xludf.DUMMYFUNCTION("""COMPUTED_VALUE"""),4.6)</f>
        <v>4.6</v>
      </c>
      <c r="R678" s="4">
        <f>IFERROR(__xludf.DUMMYFUNCTION("""COMPUTED_VALUE"""),1.1)</f>
        <v>1.1</v>
      </c>
      <c r="S678" s="4">
        <f>IFERROR(__xludf.DUMMYFUNCTION("""COMPUTED_VALUE"""),25.6)</f>
        <v>25.6</v>
      </c>
      <c r="T678" s="4">
        <f>IFERROR(__xludf.DUMMYFUNCTION("""COMPUTED_VALUE"""),0.068)</f>
        <v>0.068</v>
      </c>
      <c r="U678" s="4">
        <f>IFERROR(__xludf.DUMMYFUNCTION("""COMPUTED_VALUE"""),-1.8)</f>
        <v>-1.8</v>
      </c>
      <c r="V678" s="4">
        <f>IFERROR(__xludf.DUMMYFUNCTION("""COMPUTED_VALUE"""),0.7)</f>
        <v>0.7</v>
      </c>
    </row>
    <row r="679">
      <c r="A679" s="4">
        <f>IFERROR(__xludf.DUMMYFUNCTION("""COMPUTED_VALUE"""),16.0)</f>
        <v>16</v>
      </c>
      <c r="B679" s="4">
        <f>IFERROR(__xludf.DUMMYFUNCTION("""COMPUTED_VALUE"""),16.0)</f>
        <v>16</v>
      </c>
      <c r="C679" s="4" t="str">
        <f>IFERROR(__xludf.DUMMYFUNCTION("""COMPUTED_VALUE"""),"BOS")</f>
        <v>BOS</v>
      </c>
      <c r="D679" s="4" t="str">
        <f>IFERROR(__xludf.DUMMYFUNCTION("""COMPUTED_VALUE"""),"Terry Rozier")</f>
        <v>Terry Rozier</v>
      </c>
      <c r="E679" s="4" t="str">
        <f>IFERROR(__xludf.DUMMYFUNCTION("""COMPUTED_VALUE"""),"Louisville")</f>
        <v>Louisville</v>
      </c>
      <c r="F679" s="4">
        <f>IFERROR(__xludf.DUMMYFUNCTION("""COMPUTED_VALUE"""),10.0)</f>
        <v>10</v>
      </c>
      <c r="G679" s="4">
        <f>IFERROR(__xludf.DUMMYFUNCTION("""COMPUTED_VALUE"""),665.0)</f>
        <v>665</v>
      </c>
      <c r="H679" s="4">
        <f>IFERROR(__xludf.DUMMYFUNCTION("""COMPUTED_VALUE"""),18357.0)</f>
        <v>18357</v>
      </c>
      <c r="I679" s="4">
        <f>IFERROR(__xludf.DUMMYFUNCTION("""COMPUTED_VALUE"""),9252.0)</f>
        <v>9252</v>
      </c>
      <c r="J679" s="4">
        <f>IFERROR(__xludf.DUMMYFUNCTION("""COMPUTED_VALUE"""),2610.0)</f>
        <v>2610</v>
      </c>
      <c r="K679" s="4">
        <f>IFERROR(__xludf.DUMMYFUNCTION("""COMPUTED_VALUE"""),2337.0)</f>
        <v>2337</v>
      </c>
      <c r="L679" s="4">
        <f>IFERROR(__xludf.DUMMYFUNCTION("""COMPUTED_VALUE"""),0.418)</f>
        <v>0.418</v>
      </c>
      <c r="M679" s="4">
        <f>IFERROR(__xludf.DUMMYFUNCTION("""COMPUTED_VALUE"""),0.361)</f>
        <v>0.361</v>
      </c>
      <c r="N679" s="4">
        <f>IFERROR(__xludf.DUMMYFUNCTION("""COMPUTED_VALUE"""),0.829)</f>
        <v>0.829</v>
      </c>
      <c r="O679" s="4">
        <f>IFERROR(__xludf.DUMMYFUNCTION("""COMPUTED_VALUE"""),27.6)</f>
        <v>27.6</v>
      </c>
      <c r="P679" s="4">
        <f>IFERROR(__xludf.DUMMYFUNCTION("""COMPUTED_VALUE"""),13.9)</f>
        <v>13.9</v>
      </c>
      <c r="Q679" s="4">
        <f>IFERROR(__xludf.DUMMYFUNCTION("""COMPUTED_VALUE"""),3.9)</f>
        <v>3.9</v>
      </c>
      <c r="R679" s="4">
        <f>IFERROR(__xludf.DUMMYFUNCTION("""COMPUTED_VALUE"""),3.5)</f>
        <v>3.5</v>
      </c>
      <c r="S679" s="4">
        <f>IFERROR(__xludf.DUMMYFUNCTION("""COMPUTED_VALUE"""),30.6)</f>
        <v>30.6</v>
      </c>
      <c r="T679" s="4">
        <f>IFERROR(__xludf.DUMMYFUNCTION("""COMPUTED_VALUE"""),0.08)</f>
        <v>0.08</v>
      </c>
      <c r="U679" s="4">
        <f>IFERROR(__xludf.DUMMYFUNCTION("""COMPUTED_VALUE"""),0.2)</f>
        <v>0.2</v>
      </c>
      <c r="V679" s="4">
        <f>IFERROR(__xludf.DUMMYFUNCTION("""COMPUTED_VALUE"""),10.1)</f>
        <v>10.1</v>
      </c>
    </row>
    <row r="680">
      <c r="A680" s="4">
        <f>IFERROR(__xludf.DUMMYFUNCTION("""COMPUTED_VALUE"""),17.0)</f>
        <v>17</v>
      </c>
      <c r="B680" s="4">
        <f>IFERROR(__xludf.DUMMYFUNCTION("""COMPUTED_VALUE"""),17.0)</f>
        <v>17</v>
      </c>
      <c r="C680" s="4" t="str">
        <f>IFERROR(__xludf.DUMMYFUNCTION("""COMPUTED_VALUE"""),"MIL")</f>
        <v>MIL</v>
      </c>
      <c r="D680" s="4" t="str">
        <f>IFERROR(__xludf.DUMMYFUNCTION("""COMPUTED_VALUE"""),"Rashad Vaughn")</f>
        <v>Rashad Vaughn</v>
      </c>
      <c r="E680" s="4" t="str">
        <f>IFERROR(__xludf.DUMMYFUNCTION("""COMPUTED_VALUE"""),"UNLV")</f>
        <v>UNLV</v>
      </c>
      <c r="F680" s="4">
        <f>IFERROR(__xludf.DUMMYFUNCTION("""COMPUTED_VALUE"""),3.0)</f>
        <v>3</v>
      </c>
      <c r="G680" s="4">
        <f>IFERROR(__xludf.DUMMYFUNCTION("""COMPUTED_VALUE"""),139.0)</f>
        <v>139</v>
      </c>
      <c r="H680" s="4">
        <f>IFERROR(__xludf.DUMMYFUNCTION("""COMPUTED_VALUE"""),1671.0)</f>
        <v>1671</v>
      </c>
      <c r="I680" s="4">
        <f>IFERROR(__xludf.DUMMYFUNCTION("""COMPUTED_VALUE"""),423.0)</f>
        <v>423</v>
      </c>
      <c r="J680" s="4">
        <f>IFERROR(__xludf.DUMMYFUNCTION("""COMPUTED_VALUE"""),158.0)</f>
        <v>158</v>
      </c>
      <c r="K680" s="4">
        <f>IFERROR(__xludf.DUMMYFUNCTION("""COMPUTED_VALUE"""),75.0)</f>
        <v>75</v>
      </c>
      <c r="L680" s="4">
        <f>IFERROR(__xludf.DUMMYFUNCTION("""COMPUTED_VALUE"""),0.337)</f>
        <v>0.337</v>
      </c>
      <c r="M680" s="4">
        <f>IFERROR(__xludf.DUMMYFUNCTION("""COMPUTED_VALUE"""),0.313)</f>
        <v>0.313</v>
      </c>
      <c r="N680" s="4">
        <f>IFERROR(__xludf.DUMMYFUNCTION("""COMPUTED_VALUE"""),0.692)</f>
        <v>0.692</v>
      </c>
      <c r="O680" s="4">
        <f>IFERROR(__xludf.DUMMYFUNCTION("""COMPUTED_VALUE"""),12.0)</f>
        <v>12</v>
      </c>
      <c r="P680" s="4">
        <f>IFERROR(__xludf.DUMMYFUNCTION("""COMPUTED_VALUE"""),3.0)</f>
        <v>3</v>
      </c>
      <c r="Q680" s="4">
        <f>IFERROR(__xludf.DUMMYFUNCTION("""COMPUTED_VALUE"""),1.1)</f>
        <v>1.1</v>
      </c>
      <c r="R680" s="4">
        <f>IFERROR(__xludf.DUMMYFUNCTION("""COMPUTED_VALUE"""),0.5)</f>
        <v>0.5</v>
      </c>
      <c r="S680" s="4">
        <f>IFERROR(__xludf.DUMMYFUNCTION("""COMPUTED_VALUE"""),-0.6)</f>
        <v>-0.6</v>
      </c>
      <c r="T680" s="4">
        <f>IFERROR(__xludf.DUMMYFUNCTION("""COMPUTED_VALUE"""),-0.017)</f>
        <v>-0.017</v>
      </c>
      <c r="U680" s="4">
        <f>IFERROR(__xludf.DUMMYFUNCTION("""COMPUTED_VALUE"""),-4.7)</f>
        <v>-4.7</v>
      </c>
      <c r="V680" s="4">
        <f>IFERROR(__xludf.DUMMYFUNCTION("""COMPUTED_VALUE"""),-1.2)</f>
        <v>-1.2</v>
      </c>
    </row>
    <row r="681">
      <c r="A681" s="4">
        <f>IFERROR(__xludf.DUMMYFUNCTION("""COMPUTED_VALUE"""),18.0)</f>
        <v>18</v>
      </c>
      <c r="B681" s="4">
        <f>IFERROR(__xludf.DUMMYFUNCTION("""COMPUTED_VALUE"""),18.0)</f>
        <v>18</v>
      </c>
      <c r="C681" s="4" t="str">
        <f>IFERROR(__xludf.DUMMYFUNCTION("""COMPUTED_VALUE"""),"HOU")</f>
        <v>HOU</v>
      </c>
      <c r="D681" s="4" t="str">
        <f>IFERROR(__xludf.DUMMYFUNCTION("""COMPUTED_VALUE"""),"Sam Dekker")</f>
        <v>Sam Dekker</v>
      </c>
      <c r="E681" s="4" t="str">
        <f>IFERROR(__xludf.DUMMYFUNCTION("""COMPUTED_VALUE"""),"Wisconsin")</f>
        <v>Wisconsin</v>
      </c>
      <c r="F681" s="4">
        <f>IFERROR(__xludf.DUMMYFUNCTION("""COMPUTED_VALUE"""),5.0)</f>
        <v>5</v>
      </c>
      <c r="G681" s="4">
        <f>IFERROR(__xludf.DUMMYFUNCTION("""COMPUTED_VALUE"""),201.0)</f>
        <v>201</v>
      </c>
      <c r="H681" s="4">
        <f>IFERROR(__xludf.DUMMYFUNCTION("""COMPUTED_VALUE"""),3097.0)</f>
        <v>3097</v>
      </c>
      <c r="I681" s="4">
        <f>IFERROR(__xludf.DUMMYFUNCTION("""COMPUTED_VALUE"""),1094.0)</f>
        <v>1094</v>
      </c>
      <c r="J681" s="4">
        <f>IFERROR(__xludf.DUMMYFUNCTION("""COMPUTED_VALUE"""),607.0)</f>
        <v>607</v>
      </c>
      <c r="K681" s="4">
        <f>IFERROR(__xludf.DUMMYFUNCTION("""COMPUTED_VALUE"""),160.0)</f>
        <v>160</v>
      </c>
      <c r="L681" s="4">
        <f>IFERROR(__xludf.DUMMYFUNCTION("""COMPUTED_VALUE"""),0.478)</f>
        <v>0.478</v>
      </c>
      <c r="M681" s="4">
        <f>IFERROR(__xludf.DUMMYFUNCTION("""COMPUTED_VALUE"""),0.288)</f>
        <v>0.288</v>
      </c>
      <c r="N681" s="4">
        <f>IFERROR(__xludf.DUMMYFUNCTION("""COMPUTED_VALUE"""),0.606)</f>
        <v>0.606</v>
      </c>
      <c r="O681" s="4">
        <f>IFERROR(__xludf.DUMMYFUNCTION("""COMPUTED_VALUE"""),15.4)</f>
        <v>15.4</v>
      </c>
      <c r="P681" s="4">
        <f>IFERROR(__xludf.DUMMYFUNCTION("""COMPUTED_VALUE"""),5.4)</f>
        <v>5.4</v>
      </c>
      <c r="Q681" s="4">
        <f>IFERROR(__xludf.DUMMYFUNCTION("""COMPUTED_VALUE"""),3.0)</f>
        <v>3</v>
      </c>
      <c r="R681" s="4">
        <f>IFERROR(__xludf.DUMMYFUNCTION("""COMPUTED_VALUE"""),0.8)</f>
        <v>0.8</v>
      </c>
      <c r="S681" s="4">
        <f>IFERROR(__xludf.DUMMYFUNCTION("""COMPUTED_VALUE"""),5.4)</f>
        <v>5.4</v>
      </c>
      <c r="T681" s="4">
        <f>IFERROR(__xludf.DUMMYFUNCTION("""COMPUTED_VALUE"""),0.083)</f>
        <v>0.083</v>
      </c>
      <c r="U681" s="4">
        <f>IFERROR(__xludf.DUMMYFUNCTION("""COMPUTED_VALUE"""),-1.4)</f>
        <v>-1.4</v>
      </c>
      <c r="V681" s="4">
        <f>IFERROR(__xludf.DUMMYFUNCTION("""COMPUTED_VALUE"""),0.5)</f>
        <v>0.5</v>
      </c>
    </row>
    <row r="682">
      <c r="A682" s="4">
        <f>IFERROR(__xludf.DUMMYFUNCTION("""COMPUTED_VALUE"""),19.0)</f>
        <v>19</v>
      </c>
      <c r="B682" s="4">
        <f>IFERROR(__xludf.DUMMYFUNCTION("""COMPUTED_VALUE"""),19.0)</f>
        <v>19</v>
      </c>
      <c r="C682" s="4" t="str">
        <f>IFERROR(__xludf.DUMMYFUNCTION("""COMPUTED_VALUE"""),"WAS")</f>
        <v>WAS</v>
      </c>
      <c r="D682" s="4" t="str">
        <f>IFERROR(__xludf.DUMMYFUNCTION("""COMPUTED_VALUE"""),"Jerian Grant")</f>
        <v>Jerian Grant</v>
      </c>
      <c r="E682" s="4" t="str">
        <f>IFERROR(__xludf.DUMMYFUNCTION("""COMPUTED_VALUE"""),"Notre Dame")</f>
        <v>Notre Dame</v>
      </c>
      <c r="F682" s="4">
        <f>IFERROR(__xludf.DUMMYFUNCTION("""COMPUTED_VALUE"""),5.0)</f>
        <v>5</v>
      </c>
      <c r="G682" s="4">
        <f>IFERROR(__xludf.DUMMYFUNCTION("""COMPUTED_VALUE"""),279.0)</f>
        <v>279</v>
      </c>
      <c r="H682" s="4">
        <f>IFERROR(__xludf.DUMMYFUNCTION("""COMPUTED_VALUE"""),4998.0)</f>
        <v>4998</v>
      </c>
      <c r="I682" s="4">
        <f>IFERROR(__xludf.DUMMYFUNCTION("""COMPUTED_VALUE"""),1692.0)</f>
        <v>1692</v>
      </c>
      <c r="J682" s="4">
        <f>IFERROR(__xludf.DUMMYFUNCTION("""COMPUTED_VALUE"""),529.0)</f>
        <v>529</v>
      </c>
      <c r="K682" s="4">
        <f>IFERROR(__xludf.DUMMYFUNCTION("""COMPUTED_VALUE"""),805.0)</f>
        <v>805</v>
      </c>
      <c r="L682" s="4">
        <f>IFERROR(__xludf.DUMMYFUNCTION("""COMPUTED_VALUE"""),0.411)</f>
        <v>0.411</v>
      </c>
      <c r="M682" s="4">
        <f>IFERROR(__xludf.DUMMYFUNCTION("""COMPUTED_VALUE"""),0.323)</f>
        <v>0.323</v>
      </c>
      <c r="N682" s="4">
        <f>IFERROR(__xludf.DUMMYFUNCTION("""COMPUTED_VALUE"""),0.77)</f>
        <v>0.77</v>
      </c>
      <c r="O682" s="4">
        <f>IFERROR(__xludf.DUMMYFUNCTION("""COMPUTED_VALUE"""),17.9)</f>
        <v>17.9</v>
      </c>
      <c r="P682" s="4">
        <f>IFERROR(__xludf.DUMMYFUNCTION("""COMPUTED_VALUE"""),6.1)</f>
        <v>6.1</v>
      </c>
      <c r="Q682" s="4">
        <f>IFERROR(__xludf.DUMMYFUNCTION("""COMPUTED_VALUE"""),1.9)</f>
        <v>1.9</v>
      </c>
      <c r="R682" s="4">
        <f>IFERROR(__xludf.DUMMYFUNCTION("""COMPUTED_VALUE"""),2.9)</f>
        <v>2.9</v>
      </c>
      <c r="S682" s="4">
        <f>IFERROR(__xludf.DUMMYFUNCTION("""COMPUTED_VALUE"""),8.3)</f>
        <v>8.3</v>
      </c>
      <c r="T682" s="4">
        <f>IFERROR(__xludf.DUMMYFUNCTION("""COMPUTED_VALUE"""),0.08)</f>
        <v>0.08</v>
      </c>
      <c r="U682" s="4">
        <f>IFERROR(__xludf.DUMMYFUNCTION("""COMPUTED_VALUE"""),-1.6)</f>
        <v>-1.6</v>
      </c>
      <c r="V682" s="4">
        <f>IFERROR(__xludf.DUMMYFUNCTION("""COMPUTED_VALUE"""),0.5)</f>
        <v>0.5</v>
      </c>
    </row>
    <row r="683">
      <c r="A683" s="4">
        <f>IFERROR(__xludf.DUMMYFUNCTION("""COMPUTED_VALUE"""),20.0)</f>
        <v>20</v>
      </c>
      <c r="B683" s="4">
        <f>IFERROR(__xludf.DUMMYFUNCTION("""COMPUTED_VALUE"""),20.0)</f>
        <v>20</v>
      </c>
      <c r="C683" s="4" t="str">
        <f>IFERROR(__xludf.DUMMYFUNCTION("""COMPUTED_VALUE"""),"TOR")</f>
        <v>TOR</v>
      </c>
      <c r="D683" s="4" t="str">
        <f>IFERROR(__xludf.DUMMYFUNCTION("""COMPUTED_VALUE"""),"Delon Wright")</f>
        <v>Delon Wright</v>
      </c>
      <c r="E683" s="4" t="str">
        <f>IFERROR(__xludf.DUMMYFUNCTION("""COMPUTED_VALUE"""),"Utah")</f>
        <v>Utah</v>
      </c>
      <c r="F683" s="4">
        <f>IFERROR(__xludf.DUMMYFUNCTION("""COMPUTED_VALUE"""),10.0)</f>
        <v>10</v>
      </c>
      <c r="G683" s="4">
        <f>IFERROR(__xludf.DUMMYFUNCTION("""COMPUTED_VALUE"""),548.0)</f>
        <v>548</v>
      </c>
      <c r="H683" s="4">
        <f>IFERROR(__xludf.DUMMYFUNCTION("""COMPUTED_VALUE"""),11175.0)</f>
        <v>11175</v>
      </c>
      <c r="I683" s="4">
        <f>IFERROR(__xludf.DUMMYFUNCTION("""COMPUTED_VALUE"""),3656.0)</f>
        <v>3656</v>
      </c>
      <c r="J683" s="4">
        <f>IFERROR(__xludf.DUMMYFUNCTION("""COMPUTED_VALUE"""),1650.0)</f>
        <v>1650</v>
      </c>
      <c r="K683" s="4">
        <f>IFERROR(__xludf.DUMMYFUNCTION("""COMPUTED_VALUE"""),1636.0)</f>
        <v>1636</v>
      </c>
      <c r="L683" s="4">
        <f>IFERROR(__xludf.DUMMYFUNCTION("""COMPUTED_VALUE"""),0.447)</f>
        <v>0.447</v>
      </c>
      <c r="M683" s="4">
        <f>IFERROR(__xludf.DUMMYFUNCTION("""COMPUTED_VALUE"""),0.348)</f>
        <v>0.348</v>
      </c>
      <c r="N683" s="4">
        <f>IFERROR(__xludf.DUMMYFUNCTION("""COMPUTED_VALUE"""),0.799)</f>
        <v>0.799</v>
      </c>
      <c r="O683" s="4">
        <f>IFERROR(__xludf.DUMMYFUNCTION("""COMPUTED_VALUE"""),20.4)</f>
        <v>20.4</v>
      </c>
      <c r="P683" s="4">
        <f>IFERROR(__xludf.DUMMYFUNCTION("""COMPUTED_VALUE"""),6.7)</f>
        <v>6.7</v>
      </c>
      <c r="Q683" s="4">
        <f>IFERROR(__xludf.DUMMYFUNCTION("""COMPUTED_VALUE"""),3.0)</f>
        <v>3</v>
      </c>
      <c r="R683" s="4">
        <f>IFERROR(__xludf.DUMMYFUNCTION("""COMPUTED_VALUE"""),3.0)</f>
        <v>3</v>
      </c>
      <c r="S683" s="4">
        <f>IFERROR(__xludf.DUMMYFUNCTION("""COMPUTED_VALUE"""),28.9)</f>
        <v>28.9</v>
      </c>
      <c r="T683" s="4">
        <f>IFERROR(__xludf.DUMMYFUNCTION("""COMPUTED_VALUE"""),0.124)</f>
        <v>0.124</v>
      </c>
      <c r="U683" s="4">
        <f>IFERROR(__xludf.DUMMYFUNCTION("""COMPUTED_VALUE"""),1.9)</f>
        <v>1.9</v>
      </c>
      <c r="V683" s="4">
        <f>IFERROR(__xludf.DUMMYFUNCTION("""COMPUTED_VALUE"""),11.1)</f>
        <v>11.1</v>
      </c>
    </row>
    <row r="684">
      <c r="A684" s="4">
        <f>IFERROR(__xludf.DUMMYFUNCTION("""COMPUTED_VALUE"""),21.0)</f>
        <v>21</v>
      </c>
      <c r="B684" s="4">
        <f>IFERROR(__xludf.DUMMYFUNCTION("""COMPUTED_VALUE"""),21.0)</f>
        <v>21</v>
      </c>
      <c r="C684" s="4" t="str">
        <f>IFERROR(__xludf.DUMMYFUNCTION("""COMPUTED_VALUE"""),"DAL")</f>
        <v>DAL</v>
      </c>
      <c r="D684" s="4" t="str">
        <f>IFERROR(__xludf.DUMMYFUNCTION("""COMPUTED_VALUE"""),"Justin Anderson")</f>
        <v>Justin Anderson</v>
      </c>
      <c r="E684" s="4" t="str">
        <f>IFERROR(__xludf.DUMMYFUNCTION("""COMPUTED_VALUE"""),"Virginia")</f>
        <v>Virginia</v>
      </c>
      <c r="F684" s="4">
        <f>IFERROR(__xludf.DUMMYFUNCTION("""COMPUTED_VALUE"""),6.0)</f>
        <v>6</v>
      </c>
      <c r="G684" s="4">
        <f>IFERROR(__xludf.DUMMYFUNCTION("""COMPUTED_VALUE"""),242.0)</f>
        <v>242</v>
      </c>
      <c r="H684" s="4">
        <f>IFERROR(__xludf.DUMMYFUNCTION("""COMPUTED_VALUE"""),3280.0)</f>
        <v>3280</v>
      </c>
      <c r="I684" s="4">
        <f>IFERROR(__xludf.DUMMYFUNCTION("""COMPUTED_VALUE"""),1284.0)</f>
        <v>1284</v>
      </c>
      <c r="J684" s="4">
        <f>IFERROR(__xludf.DUMMYFUNCTION("""COMPUTED_VALUE"""),621.0)</f>
        <v>621</v>
      </c>
      <c r="K684" s="4">
        <f>IFERROR(__xludf.DUMMYFUNCTION("""COMPUTED_VALUE"""),184.0)</f>
        <v>184</v>
      </c>
      <c r="L684" s="4">
        <f>IFERROR(__xludf.DUMMYFUNCTION("""COMPUTED_VALUE"""),0.41)</f>
        <v>0.41</v>
      </c>
      <c r="M684" s="4">
        <f>IFERROR(__xludf.DUMMYFUNCTION("""COMPUTED_VALUE"""),0.292)</f>
        <v>0.292</v>
      </c>
      <c r="N684" s="4">
        <f>IFERROR(__xludf.DUMMYFUNCTION("""COMPUTED_VALUE"""),0.775)</f>
        <v>0.775</v>
      </c>
      <c r="O684" s="4">
        <f>IFERROR(__xludf.DUMMYFUNCTION("""COMPUTED_VALUE"""),13.6)</f>
        <v>13.6</v>
      </c>
      <c r="P684" s="4">
        <f>IFERROR(__xludf.DUMMYFUNCTION("""COMPUTED_VALUE"""),5.3)</f>
        <v>5.3</v>
      </c>
      <c r="Q684" s="4">
        <f>IFERROR(__xludf.DUMMYFUNCTION("""COMPUTED_VALUE"""),2.6)</f>
        <v>2.6</v>
      </c>
      <c r="R684" s="4">
        <f>IFERROR(__xludf.DUMMYFUNCTION("""COMPUTED_VALUE"""),0.8)</f>
        <v>0.8</v>
      </c>
      <c r="S684" s="4">
        <f>IFERROR(__xludf.DUMMYFUNCTION("""COMPUTED_VALUE"""),4.9)</f>
        <v>4.9</v>
      </c>
      <c r="T684" s="4">
        <f>IFERROR(__xludf.DUMMYFUNCTION("""COMPUTED_VALUE"""),0.072)</f>
        <v>0.072</v>
      </c>
      <c r="U684" s="4">
        <f>IFERROR(__xludf.DUMMYFUNCTION("""COMPUTED_VALUE"""),-1.5)</f>
        <v>-1.5</v>
      </c>
      <c r="V684" s="4">
        <f>IFERROR(__xludf.DUMMYFUNCTION("""COMPUTED_VALUE"""),0.4)</f>
        <v>0.4</v>
      </c>
    </row>
    <row r="685">
      <c r="A685" s="4">
        <f>IFERROR(__xludf.DUMMYFUNCTION("""COMPUTED_VALUE"""),22.0)</f>
        <v>22</v>
      </c>
      <c r="B685" s="4">
        <f>IFERROR(__xludf.DUMMYFUNCTION("""COMPUTED_VALUE"""),22.0)</f>
        <v>22</v>
      </c>
      <c r="C685" s="4" t="str">
        <f>IFERROR(__xludf.DUMMYFUNCTION("""COMPUTED_VALUE"""),"CHI")</f>
        <v>CHI</v>
      </c>
      <c r="D685" s="4" t="str">
        <f>IFERROR(__xludf.DUMMYFUNCTION("""COMPUTED_VALUE"""),"Bobby Portis")</f>
        <v>Bobby Portis</v>
      </c>
      <c r="E685" s="4" t="str">
        <f>IFERROR(__xludf.DUMMYFUNCTION("""COMPUTED_VALUE"""),"Arkansas")</f>
        <v>Arkansas</v>
      </c>
      <c r="F685" s="4">
        <f>IFERROR(__xludf.DUMMYFUNCTION("""COMPUTED_VALUE"""),11.0)</f>
        <v>11</v>
      </c>
      <c r="G685" s="4">
        <f>IFERROR(__xludf.DUMMYFUNCTION("""COMPUTED_VALUE"""),676.0)</f>
        <v>676</v>
      </c>
      <c r="H685" s="4">
        <f>IFERROR(__xludf.DUMMYFUNCTION("""COMPUTED_VALUE"""),15376.0)</f>
        <v>15376</v>
      </c>
      <c r="I685" s="4">
        <f>IFERROR(__xludf.DUMMYFUNCTION("""COMPUTED_VALUE"""),8060.0)</f>
        <v>8060</v>
      </c>
      <c r="J685" s="4">
        <f>IFERROR(__xludf.DUMMYFUNCTION("""COMPUTED_VALUE"""),4806.0)</f>
        <v>4806</v>
      </c>
      <c r="K685" s="4">
        <f>IFERROR(__xludf.DUMMYFUNCTION("""COMPUTED_VALUE"""),876.0)</f>
        <v>876</v>
      </c>
      <c r="L685" s="4">
        <f>IFERROR(__xludf.DUMMYFUNCTION("""COMPUTED_VALUE"""),0.478)</f>
        <v>0.478</v>
      </c>
      <c r="M685" s="4">
        <f>IFERROR(__xludf.DUMMYFUNCTION("""COMPUTED_VALUE"""),0.386)</f>
        <v>0.386</v>
      </c>
      <c r="N685" s="4">
        <f>IFERROR(__xludf.DUMMYFUNCTION("""COMPUTED_VALUE"""),0.764)</f>
        <v>0.764</v>
      </c>
      <c r="O685" s="4">
        <f>IFERROR(__xludf.DUMMYFUNCTION("""COMPUTED_VALUE"""),22.7)</f>
        <v>22.7</v>
      </c>
      <c r="P685" s="4">
        <f>IFERROR(__xludf.DUMMYFUNCTION("""COMPUTED_VALUE"""),11.9)</f>
        <v>11.9</v>
      </c>
      <c r="Q685" s="4">
        <f>IFERROR(__xludf.DUMMYFUNCTION("""COMPUTED_VALUE"""),7.1)</f>
        <v>7.1</v>
      </c>
      <c r="R685" s="4">
        <f>IFERROR(__xludf.DUMMYFUNCTION("""COMPUTED_VALUE"""),1.3)</f>
        <v>1.3</v>
      </c>
      <c r="S685" s="4">
        <f>IFERROR(__xludf.DUMMYFUNCTION("""COMPUTED_VALUE"""),34.3)</f>
        <v>34.3</v>
      </c>
      <c r="T685" s="4">
        <f>IFERROR(__xludf.DUMMYFUNCTION("""COMPUTED_VALUE"""),0.107)</f>
        <v>0.107</v>
      </c>
      <c r="U685" s="4">
        <f>IFERROR(__xludf.DUMMYFUNCTION("""COMPUTED_VALUE"""),-0.5)</f>
        <v>-0.5</v>
      </c>
      <c r="V685" s="4">
        <f>IFERROR(__xludf.DUMMYFUNCTION("""COMPUTED_VALUE"""),5.8)</f>
        <v>5.8</v>
      </c>
    </row>
    <row r="686">
      <c r="A686" s="4">
        <f>IFERROR(__xludf.DUMMYFUNCTION("""COMPUTED_VALUE"""),23.0)</f>
        <v>23</v>
      </c>
      <c r="B686" s="4">
        <f>IFERROR(__xludf.DUMMYFUNCTION("""COMPUTED_VALUE"""),23.0)</f>
        <v>23</v>
      </c>
      <c r="C686" s="4" t="str">
        <f>IFERROR(__xludf.DUMMYFUNCTION("""COMPUTED_VALUE"""),"POR")</f>
        <v>POR</v>
      </c>
      <c r="D686" s="4" t="str">
        <f>IFERROR(__xludf.DUMMYFUNCTION("""COMPUTED_VALUE"""),"Rondae Hollis-Jefferson")</f>
        <v>Rondae Hollis-Jefferson</v>
      </c>
      <c r="E686" s="4" t="str">
        <f>IFERROR(__xludf.DUMMYFUNCTION("""COMPUTED_VALUE"""),"Arizona")</f>
        <v>Arizona</v>
      </c>
      <c r="F686" s="4">
        <f>IFERROR(__xludf.DUMMYFUNCTION("""COMPUTED_VALUE"""),6.0)</f>
        <v>6</v>
      </c>
      <c r="G686" s="4">
        <f>IFERROR(__xludf.DUMMYFUNCTION("""COMPUTED_VALUE"""),305.0)</f>
        <v>305</v>
      </c>
      <c r="H686" s="4">
        <f>IFERROR(__xludf.DUMMYFUNCTION("""COMPUTED_VALUE"""),6759.0)</f>
        <v>6759</v>
      </c>
      <c r="I686" s="4">
        <f>IFERROR(__xludf.DUMMYFUNCTION("""COMPUTED_VALUE"""),2760.0)</f>
        <v>2760</v>
      </c>
      <c r="J686" s="4">
        <f>IFERROR(__xludf.DUMMYFUNCTION("""COMPUTED_VALUE"""),1684.0)</f>
        <v>1684</v>
      </c>
      <c r="K686" s="4">
        <f>IFERROR(__xludf.DUMMYFUNCTION("""COMPUTED_VALUE"""),579.0)</f>
        <v>579</v>
      </c>
      <c r="L686" s="4">
        <f>IFERROR(__xludf.DUMMYFUNCTION("""COMPUTED_VALUE"""),0.449)</f>
        <v>0.449</v>
      </c>
      <c r="M686" s="4">
        <f>IFERROR(__xludf.DUMMYFUNCTION("""COMPUTED_VALUE"""),0.212)</f>
        <v>0.212</v>
      </c>
      <c r="N686" s="4">
        <f>IFERROR(__xludf.DUMMYFUNCTION("""COMPUTED_VALUE"""),0.735)</f>
        <v>0.735</v>
      </c>
      <c r="O686" s="4">
        <f>IFERROR(__xludf.DUMMYFUNCTION("""COMPUTED_VALUE"""),22.2)</f>
        <v>22.2</v>
      </c>
      <c r="P686" s="4">
        <f>IFERROR(__xludf.DUMMYFUNCTION("""COMPUTED_VALUE"""),9.0)</f>
        <v>9</v>
      </c>
      <c r="Q686" s="4">
        <f>IFERROR(__xludf.DUMMYFUNCTION("""COMPUTED_VALUE"""),5.5)</f>
        <v>5.5</v>
      </c>
      <c r="R686" s="4">
        <f>IFERROR(__xludf.DUMMYFUNCTION("""COMPUTED_VALUE"""),1.9)</f>
        <v>1.9</v>
      </c>
      <c r="S686" s="4">
        <f>IFERROR(__xludf.DUMMYFUNCTION("""COMPUTED_VALUE"""),12.9)</f>
        <v>12.9</v>
      </c>
      <c r="T686" s="4">
        <f>IFERROR(__xludf.DUMMYFUNCTION("""COMPUTED_VALUE"""),0.091)</f>
        <v>0.091</v>
      </c>
      <c r="U686" s="4">
        <f>IFERROR(__xludf.DUMMYFUNCTION("""COMPUTED_VALUE"""),-0.7)</f>
        <v>-0.7</v>
      </c>
      <c r="V686" s="4">
        <f>IFERROR(__xludf.DUMMYFUNCTION("""COMPUTED_VALUE"""),2.3)</f>
        <v>2.3</v>
      </c>
    </row>
    <row r="687">
      <c r="A687" s="4">
        <f>IFERROR(__xludf.DUMMYFUNCTION("""COMPUTED_VALUE"""),24.0)</f>
        <v>24</v>
      </c>
      <c r="B687" s="4">
        <f>IFERROR(__xludf.DUMMYFUNCTION("""COMPUTED_VALUE"""),24.0)</f>
        <v>24</v>
      </c>
      <c r="C687" s="4" t="str">
        <f>IFERROR(__xludf.DUMMYFUNCTION("""COMPUTED_VALUE"""),"CLE")</f>
        <v>CLE</v>
      </c>
      <c r="D687" s="4" t="str">
        <f>IFERROR(__xludf.DUMMYFUNCTION("""COMPUTED_VALUE"""),"Tyus Jones")</f>
        <v>Tyus Jones</v>
      </c>
      <c r="E687" s="4" t="str">
        <f>IFERROR(__xludf.DUMMYFUNCTION("""COMPUTED_VALUE"""),"Duke")</f>
        <v>Duke</v>
      </c>
      <c r="F687" s="4">
        <f>IFERROR(__xludf.DUMMYFUNCTION("""COMPUTED_VALUE"""),11.0)</f>
        <v>11</v>
      </c>
      <c r="G687" s="4">
        <f>IFERROR(__xludf.DUMMYFUNCTION("""COMPUTED_VALUE"""),703.0)</f>
        <v>703</v>
      </c>
      <c r="H687" s="4">
        <f>IFERROR(__xludf.DUMMYFUNCTION("""COMPUTED_VALUE"""),14716.0)</f>
        <v>14716</v>
      </c>
      <c r="I687" s="4">
        <f>IFERROR(__xludf.DUMMYFUNCTION("""COMPUTED_VALUE"""),5290.0)</f>
        <v>5290</v>
      </c>
      <c r="J687" s="4">
        <f>IFERROR(__xludf.DUMMYFUNCTION("""COMPUTED_VALUE"""),1392.0)</f>
        <v>1392</v>
      </c>
      <c r="K687" s="4">
        <f>IFERROR(__xludf.DUMMYFUNCTION("""COMPUTED_VALUE"""),3066.0)</f>
        <v>3066</v>
      </c>
      <c r="L687" s="4">
        <f>IFERROR(__xludf.DUMMYFUNCTION("""COMPUTED_VALUE"""),0.444)</f>
        <v>0.444</v>
      </c>
      <c r="M687" s="4">
        <f>IFERROR(__xludf.DUMMYFUNCTION("""COMPUTED_VALUE"""),0.375)</f>
        <v>0.375</v>
      </c>
      <c r="N687" s="4">
        <f>IFERROR(__xludf.DUMMYFUNCTION("""COMPUTED_VALUE"""),0.822)</f>
        <v>0.822</v>
      </c>
      <c r="O687" s="4">
        <f>IFERROR(__xludf.DUMMYFUNCTION("""COMPUTED_VALUE"""),20.9)</f>
        <v>20.9</v>
      </c>
      <c r="P687" s="4">
        <f>IFERROR(__xludf.DUMMYFUNCTION("""COMPUTED_VALUE"""),7.5)</f>
        <v>7.5</v>
      </c>
      <c r="Q687" s="4">
        <f>IFERROR(__xludf.DUMMYFUNCTION("""COMPUTED_VALUE"""),2.0)</f>
        <v>2</v>
      </c>
      <c r="R687" s="4">
        <f>IFERROR(__xludf.DUMMYFUNCTION("""COMPUTED_VALUE"""),4.4)</f>
        <v>4.4</v>
      </c>
      <c r="S687" s="4">
        <f>IFERROR(__xludf.DUMMYFUNCTION("""COMPUTED_VALUE"""),34.2)</f>
        <v>34.2</v>
      </c>
      <c r="T687" s="4">
        <f>IFERROR(__xludf.DUMMYFUNCTION("""COMPUTED_VALUE"""),0.111)</f>
        <v>0.111</v>
      </c>
      <c r="U687" s="4">
        <f>IFERROR(__xludf.DUMMYFUNCTION("""COMPUTED_VALUE"""),0.5)</f>
        <v>0.5</v>
      </c>
      <c r="V687" s="4">
        <f>IFERROR(__xludf.DUMMYFUNCTION("""COMPUTED_VALUE"""),9.3)</f>
        <v>9.3</v>
      </c>
    </row>
    <row r="688">
      <c r="A688" s="4">
        <f>IFERROR(__xludf.DUMMYFUNCTION("""COMPUTED_VALUE"""),25.0)</f>
        <v>25</v>
      </c>
      <c r="B688" s="4">
        <f>IFERROR(__xludf.DUMMYFUNCTION("""COMPUTED_VALUE"""),25.0)</f>
        <v>25</v>
      </c>
      <c r="C688" s="4" t="str">
        <f>IFERROR(__xludf.DUMMYFUNCTION("""COMPUTED_VALUE"""),"MEM")</f>
        <v>MEM</v>
      </c>
      <c r="D688" s="4" t="str">
        <f>IFERROR(__xludf.DUMMYFUNCTION("""COMPUTED_VALUE"""),"Jarell Martin")</f>
        <v>Jarell Martin</v>
      </c>
      <c r="E688" s="4" t="str">
        <f>IFERROR(__xludf.DUMMYFUNCTION("""COMPUTED_VALUE"""),"LSU")</f>
        <v>LSU</v>
      </c>
      <c r="F688" s="4">
        <f>IFERROR(__xludf.DUMMYFUNCTION("""COMPUTED_VALUE"""),4.0)</f>
        <v>4</v>
      </c>
      <c r="G688" s="4">
        <f>IFERROR(__xludf.DUMMYFUNCTION("""COMPUTED_VALUE"""),184.0)</f>
        <v>184</v>
      </c>
      <c r="H688" s="4">
        <f>IFERROR(__xludf.DUMMYFUNCTION("""COMPUTED_VALUE"""),2927.0)</f>
        <v>2927</v>
      </c>
      <c r="I688" s="4">
        <f>IFERROR(__xludf.DUMMYFUNCTION("""COMPUTED_VALUE"""),998.0)</f>
        <v>998</v>
      </c>
      <c r="J688" s="4">
        <f>IFERROR(__xludf.DUMMYFUNCTION("""COMPUTED_VALUE"""),639.0)</f>
        <v>639</v>
      </c>
      <c r="K688" s="4">
        <f>IFERROR(__xludf.DUMMYFUNCTION("""COMPUTED_VALUE"""),114.0)</f>
        <v>114</v>
      </c>
      <c r="L688" s="4">
        <f>IFERROR(__xludf.DUMMYFUNCTION("""COMPUTED_VALUE"""),0.434)</f>
        <v>0.434</v>
      </c>
      <c r="M688" s="4">
        <f>IFERROR(__xludf.DUMMYFUNCTION("""COMPUTED_VALUE"""),0.346)</f>
        <v>0.346</v>
      </c>
      <c r="N688" s="4">
        <f>IFERROR(__xludf.DUMMYFUNCTION("""COMPUTED_VALUE"""),0.766)</f>
        <v>0.766</v>
      </c>
      <c r="O688" s="4">
        <f>IFERROR(__xludf.DUMMYFUNCTION("""COMPUTED_VALUE"""),15.9)</f>
        <v>15.9</v>
      </c>
      <c r="P688" s="4">
        <f>IFERROR(__xludf.DUMMYFUNCTION("""COMPUTED_VALUE"""),5.4)</f>
        <v>5.4</v>
      </c>
      <c r="Q688" s="4">
        <f>IFERROR(__xludf.DUMMYFUNCTION("""COMPUTED_VALUE"""),3.5)</f>
        <v>3.5</v>
      </c>
      <c r="R688" s="4">
        <f>IFERROR(__xludf.DUMMYFUNCTION("""COMPUTED_VALUE"""),0.6)</f>
        <v>0.6</v>
      </c>
      <c r="S688" s="4">
        <f>IFERROR(__xludf.DUMMYFUNCTION("""COMPUTED_VALUE"""),3.2)</f>
        <v>3.2</v>
      </c>
      <c r="T688" s="4">
        <f>IFERROR(__xludf.DUMMYFUNCTION("""COMPUTED_VALUE"""),0.053)</f>
        <v>0.053</v>
      </c>
      <c r="U688" s="4">
        <f>IFERROR(__xludf.DUMMYFUNCTION("""COMPUTED_VALUE"""),-4.3)</f>
        <v>-4.3</v>
      </c>
      <c r="V688" s="4">
        <f>IFERROR(__xludf.DUMMYFUNCTION("""COMPUTED_VALUE"""),-1.7)</f>
        <v>-1.7</v>
      </c>
    </row>
    <row r="689">
      <c r="A689" s="4">
        <f>IFERROR(__xludf.DUMMYFUNCTION("""COMPUTED_VALUE"""),26.0)</f>
        <v>26</v>
      </c>
      <c r="B689" s="4">
        <f>IFERROR(__xludf.DUMMYFUNCTION("""COMPUTED_VALUE"""),26.0)</f>
        <v>26</v>
      </c>
      <c r="C689" s="4" t="str">
        <f>IFERROR(__xludf.DUMMYFUNCTION("""COMPUTED_VALUE"""),"SAS")</f>
        <v>SAS</v>
      </c>
      <c r="D689" s="4" t="str">
        <f>IFERROR(__xludf.DUMMYFUNCTION("""COMPUTED_VALUE"""),"Nikola Milutinov")</f>
        <v>Nikola Milutinov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>
        <f>IFERROR(__xludf.DUMMYFUNCTION("""COMPUTED_VALUE"""),27.0)</f>
        <v>27</v>
      </c>
      <c r="B690" s="4">
        <f>IFERROR(__xludf.DUMMYFUNCTION("""COMPUTED_VALUE"""),27.0)</f>
        <v>27</v>
      </c>
      <c r="C690" s="4" t="str">
        <f>IFERROR(__xludf.DUMMYFUNCTION("""COMPUTED_VALUE"""),"LAL")</f>
        <v>LAL</v>
      </c>
      <c r="D690" s="4" t="str">
        <f>IFERROR(__xludf.DUMMYFUNCTION("""COMPUTED_VALUE"""),"Larry Nance Jr.")</f>
        <v>Larry Nance Jr.</v>
      </c>
      <c r="E690" s="4" t="str">
        <f>IFERROR(__xludf.DUMMYFUNCTION("""COMPUTED_VALUE"""),"Wyoming")</f>
        <v>Wyoming</v>
      </c>
      <c r="F690" s="4">
        <f>IFERROR(__xludf.DUMMYFUNCTION("""COMPUTED_VALUE"""),11.0)</f>
        <v>11</v>
      </c>
      <c r="G690" s="4">
        <f>IFERROR(__xludf.DUMMYFUNCTION("""COMPUTED_VALUE"""),562.0)</f>
        <v>562</v>
      </c>
      <c r="H690" s="4">
        <f>IFERROR(__xludf.DUMMYFUNCTION("""COMPUTED_VALUE"""),12827.0)</f>
        <v>12827</v>
      </c>
      <c r="I690" s="4">
        <f>IFERROR(__xludf.DUMMYFUNCTION("""COMPUTED_VALUE"""),4261.0)</f>
        <v>4261</v>
      </c>
      <c r="J690" s="4">
        <f>IFERROR(__xludf.DUMMYFUNCTION("""COMPUTED_VALUE"""),3386.0)</f>
        <v>3386</v>
      </c>
      <c r="K690" s="4">
        <f>IFERROR(__xludf.DUMMYFUNCTION("""COMPUTED_VALUE"""),1037.0)</f>
        <v>1037</v>
      </c>
      <c r="L690" s="4">
        <f>IFERROR(__xludf.DUMMYFUNCTION("""COMPUTED_VALUE"""),0.535)</f>
        <v>0.535</v>
      </c>
      <c r="M690" s="4">
        <f>IFERROR(__xludf.DUMMYFUNCTION("""COMPUTED_VALUE"""),0.351)</f>
        <v>0.351</v>
      </c>
      <c r="N690" s="4">
        <f>IFERROR(__xludf.DUMMYFUNCTION("""COMPUTED_VALUE"""),0.695)</f>
        <v>0.695</v>
      </c>
      <c r="O690" s="4">
        <f>IFERROR(__xludf.DUMMYFUNCTION("""COMPUTED_VALUE"""),22.8)</f>
        <v>22.8</v>
      </c>
      <c r="P690" s="4">
        <f>IFERROR(__xludf.DUMMYFUNCTION("""COMPUTED_VALUE"""),7.6)</f>
        <v>7.6</v>
      </c>
      <c r="Q690" s="4">
        <f>IFERROR(__xludf.DUMMYFUNCTION("""COMPUTED_VALUE"""),6.0)</f>
        <v>6</v>
      </c>
      <c r="R690" s="4">
        <f>IFERROR(__xludf.DUMMYFUNCTION("""COMPUTED_VALUE"""),1.8)</f>
        <v>1.8</v>
      </c>
      <c r="S690" s="4">
        <f>IFERROR(__xludf.DUMMYFUNCTION("""COMPUTED_VALUE"""),34.8)</f>
        <v>34.8</v>
      </c>
      <c r="T690" s="4">
        <f>IFERROR(__xludf.DUMMYFUNCTION("""COMPUTED_VALUE"""),0.13)</f>
        <v>0.13</v>
      </c>
      <c r="U690" s="4">
        <f>IFERROR(__xludf.DUMMYFUNCTION("""COMPUTED_VALUE"""),1.1)</f>
        <v>1.1</v>
      </c>
      <c r="V690" s="4">
        <f>IFERROR(__xludf.DUMMYFUNCTION("""COMPUTED_VALUE"""),10.1)</f>
        <v>10.1</v>
      </c>
    </row>
    <row r="691">
      <c r="A691" s="4">
        <f>IFERROR(__xludf.DUMMYFUNCTION("""COMPUTED_VALUE"""),28.0)</f>
        <v>28</v>
      </c>
      <c r="B691" s="4">
        <f>IFERROR(__xludf.DUMMYFUNCTION("""COMPUTED_VALUE"""),28.0)</f>
        <v>28</v>
      </c>
      <c r="C691" s="4" t="str">
        <f>IFERROR(__xludf.DUMMYFUNCTION("""COMPUTED_VALUE"""),"BOS")</f>
        <v>BOS</v>
      </c>
      <c r="D691" s="4" t="str">
        <f>IFERROR(__xludf.DUMMYFUNCTION("""COMPUTED_VALUE"""),"R.J. Hunter")</f>
        <v>R.J. Hunter</v>
      </c>
      <c r="E691" s="4" t="str">
        <f>IFERROR(__xludf.DUMMYFUNCTION("""COMPUTED_VALUE"""),"Georgia State University")</f>
        <v>Georgia State University</v>
      </c>
      <c r="F691" s="4">
        <f>IFERROR(__xludf.DUMMYFUNCTION("""COMPUTED_VALUE"""),4.0)</f>
        <v>4</v>
      </c>
      <c r="G691" s="4">
        <f>IFERROR(__xludf.DUMMYFUNCTION("""COMPUTED_VALUE"""),45.0)</f>
        <v>45</v>
      </c>
      <c r="H691" s="4">
        <f>IFERROR(__xludf.DUMMYFUNCTION("""COMPUTED_VALUE"""),395.0)</f>
        <v>395</v>
      </c>
      <c r="I691" s="4">
        <f>IFERROR(__xludf.DUMMYFUNCTION("""COMPUTED_VALUE"""),133.0)</f>
        <v>133</v>
      </c>
      <c r="J691" s="4">
        <f>IFERROR(__xludf.DUMMYFUNCTION("""COMPUTED_VALUE"""),46.0)</f>
        <v>46</v>
      </c>
      <c r="K691" s="4">
        <f>IFERROR(__xludf.DUMMYFUNCTION("""COMPUTED_VALUE"""),19.0)</f>
        <v>19</v>
      </c>
      <c r="L691" s="4">
        <f>IFERROR(__xludf.DUMMYFUNCTION("""COMPUTED_VALUE"""),0.371)</f>
        <v>0.371</v>
      </c>
      <c r="M691" s="4">
        <f>IFERROR(__xludf.DUMMYFUNCTION("""COMPUTED_VALUE"""),0.295)</f>
        <v>0.295</v>
      </c>
      <c r="N691" s="4">
        <f>IFERROR(__xludf.DUMMYFUNCTION("""COMPUTED_VALUE"""),0.818)</f>
        <v>0.818</v>
      </c>
      <c r="O691" s="4">
        <f>IFERROR(__xludf.DUMMYFUNCTION("""COMPUTED_VALUE"""),8.8)</f>
        <v>8.8</v>
      </c>
      <c r="P691" s="4">
        <f>IFERROR(__xludf.DUMMYFUNCTION("""COMPUTED_VALUE"""),3.0)</f>
        <v>3</v>
      </c>
      <c r="Q691" s="4">
        <f>IFERROR(__xludf.DUMMYFUNCTION("""COMPUTED_VALUE"""),1.0)</f>
        <v>1</v>
      </c>
      <c r="R691" s="4">
        <f>IFERROR(__xludf.DUMMYFUNCTION("""COMPUTED_VALUE"""),0.4)</f>
        <v>0.4</v>
      </c>
      <c r="S691" s="4">
        <f>IFERROR(__xludf.DUMMYFUNCTION("""COMPUTED_VALUE"""),0.4)</f>
        <v>0.4</v>
      </c>
      <c r="T691" s="4">
        <f>IFERROR(__xludf.DUMMYFUNCTION("""COMPUTED_VALUE"""),0.051)</f>
        <v>0.051</v>
      </c>
      <c r="U691" s="4">
        <f>IFERROR(__xludf.DUMMYFUNCTION("""COMPUTED_VALUE"""),-2.0)</f>
        <v>-2</v>
      </c>
      <c r="V691" s="4">
        <f>IFERROR(__xludf.DUMMYFUNCTION("""COMPUTED_VALUE"""),0.0)</f>
        <v>0</v>
      </c>
    </row>
    <row r="692">
      <c r="A692" s="4">
        <f>IFERROR(__xludf.DUMMYFUNCTION("""COMPUTED_VALUE"""),29.0)</f>
        <v>29</v>
      </c>
      <c r="B692" s="4">
        <f>IFERROR(__xludf.DUMMYFUNCTION("""COMPUTED_VALUE"""),29.0)</f>
        <v>29</v>
      </c>
      <c r="C692" s="4" t="str">
        <f>IFERROR(__xludf.DUMMYFUNCTION("""COMPUTED_VALUE"""),"BRK")</f>
        <v>BRK</v>
      </c>
      <c r="D692" s="4" t="str">
        <f>IFERROR(__xludf.DUMMYFUNCTION("""COMPUTED_VALUE"""),"Chris McCullough")</f>
        <v>Chris McCullough</v>
      </c>
      <c r="E692" s="4" t="str">
        <f>IFERROR(__xludf.DUMMYFUNCTION("""COMPUTED_VALUE"""),"Syracuse")</f>
        <v>Syracuse</v>
      </c>
      <c r="F692" s="4">
        <f>IFERROR(__xludf.DUMMYFUNCTION("""COMPUTED_VALUE"""),3.0)</f>
        <v>3</v>
      </c>
      <c r="G692" s="4">
        <f>IFERROR(__xludf.DUMMYFUNCTION("""COMPUTED_VALUE"""),59.0)</f>
        <v>59</v>
      </c>
      <c r="H692" s="4">
        <f>IFERROR(__xludf.DUMMYFUNCTION("""COMPUTED_VALUE"""),532.0)</f>
        <v>532</v>
      </c>
      <c r="I692" s="4">
        <f>IFERROR(__xludf.DUMMYFUNCTION("""COMPUTED_VALUE"""),194.0)</f>
        <v>194</v>
      </c>
      <c r="J692" s="4">
        <f>IFERROR(__xludf.DUMMYFUNCTION("""COMPUTED_VALUE"""),112.0)</f>
        <v>112</v>
      </c>
      <c r="K692" s="4">
        <f>IFERROR(__xludf.DUMMYFUNCTION("""COMPUTED_VALUE"""),15.0)</f>
        <v>15</v>
      </c>
      <c r="L692" s="4">
        <f>IFERROR(__xludf.DUMMYFUNCTION("""COMPUTED_VALUE"""),0.426)</f>
        <v>0.426</v>
      </c>
      <c r="M692" s="4">
        <f>IFERROR(__xludf.DUMMYFUNCTION("""COMPUTED_VALUE"""),0.306)</f>
        <v>0.306</v>
      </c>
      <c r="N692" s="4">
        <f>IFERROR(__xludf.DUMMYFUNCTION("""COMPUTED_VALUE"""),0.548)</f>
        <v>0.548</v>
      </c>
      <c r="O692" s="4">
        <f>IFERROR(__xludf.DUMMYFUNCTION("""COMPUTED_VALUE"""),9.0)</f>
        <v>9</v>
      </c>
      <c r="P692" s="4">
        <f>IFERROR(__xludf.DUMMYFUNCTION("""COMPUTED_VALUE"""),3.3)</f>
        <v>3.3</v>
      </c>
      <c r="Q692" s="4">
        <f>IFERROR(__xludf.DUMMYFUNCTION("""COMPUTED_VALUE"""),1.9)</f>
        <v>1.9</v>
      </c>
      <c r="R692" s="4">
        <f>IFERROR(__xludf.DUMMYFUNCTION("""COMPUTED_VALUE"""),0.3)</f>
        <v>0.3</v>
      </c>
      <c r="S692" s="4">
        <f>IFERROR(__xludf.DUMMYFUNCTION("""COMPUTED_VALUE"""),0.6)</f>
        <v>0.6</v>
      </c>
      <c r="T692" s="4">
        <f>IFERROR(__xludf.DUMMYFUNCTION("""COMPUTED_VALUE"""),0.054)</f>
        <v>0.054</v>
      </c>
      <c r="U692" s="4">
        <f>IFERROR(__xludf.DUMMYFUNCTION("""COMPUTED_VALUE"""),-2.5)</f>
        <v>-2.5</v>
      </c>
      <c r="V692" s="4">
        <f>IFERROR(__xludf.DUMMYFUNCTION("""COMPUTED_VALUE"""),-0.1)</f>
        <v>-0.1</v>
      </c>
    </row>
    <row r="693">
      <c r="A693" s="4">
        <f>IFERROR(__xludf.DUMMYFUNCTION("""COMPUTED_VALUE"""),30.0)</f>
        <v>30</v>
      </c>
      <c r="B693" s="4">
        <f>IFERROR(__xludf.DUMMYFUNCTION("""COMPUTED_VALUE"""),30.0)</f>
        <v>30</v>
      </c>
      <c r="C693" s="4" t="str">
        <f>IFERROR(__xludf.DUMMYFUNCTION("""COMPUTED_VALUE"""),"GSW")</f>
        <v>GSW</v>
      </c>
      <c r="D693" s="4" t="str">
        <f>IFERROR(__xludf.DUMMYFUNCTION("""COMPUTED_VALUE"""),"Kevon Looney")</f>
        <v>Kevon Looney</v>
      </c>
      <c r="E693" s="4" t="str">
        <f>IFERROR(__xludf.DUMMYFUNCTION("""COMPUTED_VALUE"""),"UCLA")</f>
        <v>UCLA</v>
      </c>
      <c r="F693" s="4">
        <f>IFERROR(__xludf.DUMMYFUNCTION("""COMPUTED_VALUE"""),11.0)</f>
        <v>11</v>
      </c>
      <c r="G693" s="4">
        <f>IFERROR(__xludf.DUMMYFUNCTION("""COMPUTED_VALUE"""),611.0)</f>
        <v>611</v>
      </c>
      <c r="H693" s="4">
        <f>IFERROR(__xludf.DUMMYFUNCTION("""COMPUTED_VALUE"""),10464.0)</f>
        <v>10464</v>
      </c>
      <c r="I693" s="4">
        <f>IFERROR(__xludf.DUMMYFUNCTION("""COMPUTED_VALUE"""),3009.0)</f>
        <v>3009</v>
      </c>
      <c r="J693" s="4">
        <f>IFERROR(__xludf.DUMMYFUNCTION("""COMPUTED_VALUE"""),3438.0)</f>
        <v>3438</v>
      </c>
      <c r="K693" s="4">
        <f>IFERROR(__xludf.DUMMYFUNCTION("""COMPUTED_VALUE"""),973.0)</f>
        <v>973</v>
      </c>
      <c r="L693" s="4">
        <f>IFERROR(__xludf.DUMMYFUNCTION("""COMPUTED_VALUE"""),0.572)</f>
        <v>0.572</v>
      </c>
      <c r="M693" s="4">
        <f>IFERROR(__xludf.DUMMYFUNCTION("""COMPUTED_VALUE"""),0.181)</f>
        <v>0.181</v>
      </c>
      <c r="N693" s="4">
        <f>IFERROR(__xludf.DUMMYFUNCTION("""COMPUTED_VALUE"""),0.608)</f>
        <v>0.608</v>
      </c>
      <c r="O693" s="4">
        <f>IFERROR(__xludf.DUMMYFUNCTION("""COMPUTED_VALUE"""),17.1)</f>
        <v>17.1</v>
      </c>
      <c r="P693" s="4">
        <f>IFERROR(__xludf.DUMMYFUNCTION("""COMPUTED_VALUE"""),4.9)</f>
        <v>4.9</v>
      </c>
      <c r="Q693" s="4">
        <f>IFERROR(__xludf.DUMMYFUNCTION("""COMPUTED_VALUE"""),5.6)</f>
        <v>5.6</v>
      </c>
      <c r="R693" s="4">
        <f>IFERROR(__xludf.DUMMYFUNCTION("""COMPUTED_VALUE"""),1.6)</f>
        <v>1.6</v>
      </c>
      <c r="S693" s="4">
        <f>IFERROR(__xludf.DUMMYFUNCTION("""COMPUTED_VALUE"""),37.6)</f>
        <v>37.6</v>
      </c>
      <c r="T693" s="4">
        <f>IFERROR(__xludf.DUMMYFUNCTION("""COMPUTED_VALUE"""),0.172)</f>
        <v>0.172</v>
      </c>
      <c r="U693" s="4">
        <f>IFERROR(__xludf.DUMMYFUNCTION("""COMPUTED_VALUE"""),0.3)</f>
        <v>0.3</v>
      </c>
      <c r="V693" s="4">
        <f>IFERROR(__xludf.DUMMYFUNCTION("""COMPUTED_VALUE"""),6.1)</f>
        <v>6.1</v>
      </c>
    </row>
    <row r="694">
      <c r="A694" s="4"/>
      <c r="B694" s="4"/>
      <c r="C694" s="4"/>
      <c r="D694" s="4" t="str">
        <f>IFERROR(__xludf.DUMMYFUNCTION("""COMPUTED_VALUE"""),"Round 2")</f>
        <v>Round 2</v>
      </c>
      <c r="E694" s="4"/>
      <c r="F694" s="4"/>
      <c r="G694" s="4" t="str">
        <f>IFERROR(__xludf.DUMMYFUNCTION("""COMPUTED_VALUE"""),"Totals")</f>
        <v>Totals</v>
      </c>
      <c r="H694" s="4"/>
      <c r="I694" s="4"/>
      <c r="J694" s="4"/>
      <c r="K694" s="4"/>
      <c r="L694" s="4" t="str">
        <f>IFERROR(__xludf.DUMMYFUNCTION("""COMPUTED_VALUE"""),"Shooting")</f>
        <v>Shooting</v>
      </c>
      <c r="M694" s="4"/>
      <c r="N694" s="4"/>
      <c r="O694" s="4" t="str">
        <f>IFERROR(__xludf.DUMMYFUNCTION("""COMPUTED_VALUE"""),"Per Game")</f>
        <v>Per Game</v>
      </c>
      <c r="P694" s="4"/>
      <c r="Q694" s="4"/>
      <c r="R694" s="4"/>
      <c r="S694" s="4" t="str">
        <f>IFERROR(__xludf.DUMMYFUNCTION("""COMPUTED_VALUE"""),"Advanced")</f>
        <v>Advanced</v>
      </c>
      <c r="T694" s="4"/>
      <c r="U694" s="4"/>
      <c r="V694" s="4"/>
    </row>
    <row r="695">
      <c r="A695" s="4" t="str">
        <f>IFERROR(__xludf.DUMMYFUNCTION("""COMPUTED_VALUE"""),"Rk")</f>
        <v>Rk</v>
      </c>
      <c r="B695" s="4" t="str">
        <f>IFERROR(__xludf.DUMMYFUNCTION("""COMPUTED_VALUE"""),"Pk")</f>
        <v>Pk</v>
      </c>
      <c r="C695" s="4" t="str">
        <f>IFERROR(__xludf.DUMMYFUNCTION("""COMPUTED_VALUE"""),"Tm")</f>
        <v>Tm</v>
      </c>
      <c r="D695" s="4" t="str">
        <f>IFERROR(__xludf.DUMMYFUNCTION("""COMPUTED_VALUE"""),"Player")</f>
        <v>Player</v>
      </c>
      <c r="E695" s="4" t="str">
        <f>IFERROR(__xludf.DUMMYFUNCTION("""COMPUTED_VALUE"""),"College")</f>
        <v>College</v>
      </c>
      <c r="F695" s="4" t="str">
        <f>IFERROR(__xludf.DUMMYFUNCTION("""COMPUTED_VALUE"""),"Yrs")</f>
        <v>Yrs</v>
      </c>
      <c r="G695" s="4" t="str">
        <f>IFERROR(__xludf.DUMMYFUNCTION("""COMPUTED_VALUE"""),"G")</f>
        <v>G</v>
      </c>
      <c r="H695" s="4" t="str">
        <f>IFERROR(__xludf.DUMMYFUNCTION("""COMPUTED_VALUE"""),"MP")</f>
        <v>MP</v>
      </c>
      <c r="I695" s="4" t="str">
        <f>IFERROR(__xludf.DUMMYFUNCTION("""COMPUTED_VALUE"""),"PTS")</f>
        <v>PTS</v>
      </c>
      <c r="J695" s="4" t="str">
        <f>IFERROR(__xludf.DUMMYFUNCTION("""COMPUTED_VALUE"""),"TRB")</f>
        <v>TRB</v>
      </c>
      <c r="K695" s="4" t="str">
        <f>IFERROR(__xludf.DUMMYFUNCTION("""COMPUTED_VALUE"""),"AST")</f>
        <v>AST</v>
      </c>
      <c r="L695" s="4" t="str">
        <f>IFERROR(__xludf.DUMMYFUNCTION("""COMPUTED_VALUE"""),"FG%")</f>
        <v>FG%</v>
      </c>
      <c r="M695" s="4" t="str">
        <f>IFERROR(__xludf.DUMMYFUNCTION("""COMPUTED_VALUE"""),"3P%")</f>
        <v>3P%</v>
      </c>
      <c r="N695" s="4" t="str">
        <f>IFERROR(__xludf.DUMMYFUNCTION("""COMPUTED_VALUE"""),"FT%")</f>
        <v>FT%</v>
      </c>
      <c r="O695" s="4" t="str">
        <f>IFERROR(__xludf.DUMMYFUNCTION("""COMPUTED_VALUE"""),"MP")</f>
        <v>MP</v>
      </c>
      <c r="P695" s="4" t="str">
        <f>IFERROR(__xludf.DUMMYFUNCTION("""COMPUTED_VALUE"""),"PTS")</f>
        <v>PTS</v>
      </c>
      <c r="Q695" s="4" t="str">
        <f>IFERROR(__xludf.DUMMYFUNCTION("""COMPUTED_VALUE"""),"TRB")</f>
        <v>TRB</v>
      </c>
      <c r="R695" s="4" t="str">
        <f>IFERROR(__xludf.DUMMYFUNCTION("""COMPUTED_VALUE"""),"AST")</f>
        <v>AST</v>
      </c>
      <c r="S695" s="4" t="str">
        <f>IFERROR(__xludf.DUMMYFUNCTION("""COMPUTED_VALUE"""),"WS")</f>
        <v>WS</v>
      </c>
      <c r="T695" s="4" t="str">
        <f>IFERROR(__xludf.DUMMYFUNCTION("""COMPUTED_VALUE"""),"WS/48")</f>
        <v>WS/48</v>
      </c>
      <c r="U695" s="4" t="str">
        <f>IFERROR(__xludf.DUMMYFUNCTION("""COMPUTED_VALUE"""),"BPM")</f>
        <v>BPM</v>
      </c>
      <c r="V695" s="4" t="str">
        <f>IFERROR(__xludf.DUMMYFUNCTION("""COMPUTED_VALUE"""),"VORP")</f>
        <v>VORP</v>
      </c>
    </row>
    <row r="696">
      <c r="A696" s="4">
        <f>IFERROR(__xludf.DUMMYFUNCTION("""COMPUTED_VALUE"""),31.0)</f>
        <v>31</v>
      </c>
      <c r="B696" s="4">
        <f>IFERROR(__xludf.DUMMYFUNCTION("""COMPUTED_VALUE"""),31.0)</f>
        <v>31</v>
      </c>
      <c r="C696" s="4" t="str">
        <f>IFERROR(__xludf.DUMMYFUNCTION("""COMPUTED_VALUE"""),"MIN")</f>
        <v>MIN</v>
      </c>
      <c r="D696" s="4" t="str">
        <f>IFERROR(__xludf.DUMMYFUNCTION("""COMPUTED_VALUE"""),"Cedi Osman")</f>
        <v>Cedi Osman</v>
      </c>
      <c r="E696" s="4"/>
      <c r="F696" s="4">
        <f>IFERROR(__xludf.DUMMYFUNCTION("""COMPUTED_VALUE"""),7.0)</f>
        <v>7</v>
      </c>
      <c r="G696" s="4">
        <f>IFERROR(__xludf.DUMMYFUNCTION("""COMPUTED_VALUE"""),476.0)</f>
        <v>476</v>
      </c>
      <c r="H696" s="4">
        <f>IFERROR(__xludf.DUMMYFUNCTION("""COMPUTED_VALUE"""),10815.0)</f>
        <v>10815</v>
      </c>
      <c r="I696" s="4">
        <f>IFERROR(__xludf.DUMMYFUNCTION("""COMPUTED_VALUE"""),4427.0)</f>
        <v>4427</v>
      </c>
      <c r="J696" s="4">
        <f>IFERROR(__xludf.DUMMYFUNCTION("""COMPUTED_VALUE"""),1411.0)</f>
        <v>1411</v>
      </c>
      <c r="K696" s="4">
        <f>IFERROR(__xludf.DUMMYFUNCTION("""COMPUTED_VALUE"""),933.0)</f>
        <v>933</v>
      </c>
      <c r="L696" s="4">
        <f>IFERROR(__xludf.DUMMYFUNCTION("""COMPUTED_VALUE"""),0.432)</f>
        <v>0.432</v>
      </c>
      <c r="M696" s="4">
        <f>IFERROR(__xludf.DUMMYFUNCTION("""COMPUTED_VALUE"""),0.357)</f>
        <v>0.357</v>
      </c>
      <c r="N696" s="4">
        <f>IFERROR(__xludf.DUMMYFUNCTION("""COMPUTED_VALUE"""),0.711)</f>
        <v>0.711</v>
      </c>
      <c r="O696" s="4">
        <f>IFERROR(__xludf.DUMMYFUNCTION("""COMPUTED_VALUE"""),22.7)</f>
        <v>22.7</v>
      </c>
      <c r="P696" s="4">
        <f>IFERROR(__xludf.DUMMYFUNCTION("""COMPUTED_VALUE"""),9.3)</f>
        <v>9.3</v>
      </c>
      <c r="Q696" s="4">
        <f>IFERROR(__xludf.DUMMYFUNCTION("""COMPUTED_VALUE"""),3.0)</f>
        <v>3</v>
      </c>
      <c r="R696" s="4">
        <f>IFERROR(__xludf.DUMMYFUNCTION("""COMPUTED_VALUE"""),2.0)</f>
        <v>2</v>
      </c>
      <c r="S696" s="4">
        <f>IFERROR(__xludf.DUMMYFUNCTION("""COMPUTED_VALUE"""),12.5)</f>
        <v>12.5</v>
      </c>
      <c r="T696" s="4">
        <f>IFERROR(__xludf.DUMMYFUNCTION("""COMPUTED_VALUE"""),0.055)</f>
        <v>0.055</v>
      </c>
      <c r="U696" s="4">
        <f>IFERROR(__xludf.DUMMYFUNCTION("""COMPUTED_VALUE"""),-2.1)</f>
        <v>-2.1</v>
      </c>
      <c r="V696" s="4">
        <f>IFERROR(__xludf.DUMMYFUNCTION("""COMPUTED_VALUE"""),-0.3)</f>
        <v>-0.3</v>
      </c>
    </row>
    <row r="697">
      <c r="A697" s="4">
        <f>IFERROR(__xludf.DUMMYFUNCTION("""COMPUTED_VALUE"""),32.0)</f>
        <v>32</v>
      </c>
      <c r="B697" s="4">
        <f>IFERROR(__xludf.DUMMYFUNCTION("""COMPUTED_VALUE"""),32.0)</f>
        <v>32</v>
      </c>
      <c r="C697" s="4" t="str">
        <f>IFERROR(__xludf.DUMMYFUNCTION("""COMPUTED_VALUE"""),"HOU")</f>
        <v>HOU</v>
      </c>
      <c r="D697" s="4" t="str">
        <f>IFERROR(__xludf.DUMMYFUNCTION("""COMPUTED_VALUE"""),"Montrezl Harrell")</f>
        <v>Montrezl Harrell</v>
      </c>
      <c r="E697" s="4" t="str">
        <f>IFERROR(__xludf.DUMMYFUNCTION("""COMPUTED_VALUE"""),"Louisville")</f>
        <v>Louisville</v>
      </c>
      <c r="F697" s="4">
        <f>IFERROR(__xludf.DUMMYFUNCTION("""COMPUTED_VALUE"""),8.0)</f>
        <v>8</v>
      </c>
      <c r="G697" s="4">
        <f>IFERROR(__xludf.DUMMYFUNCTION("""COMPUTED_VALUE"""),515.0)</f>
        <v>515</v>
      </c>
      <c r="H697" s="4">
        <f>IFERROR(__xludf.DUMMYFUNCTION("""COMPUTED_VALUE"""),10544.0)</f>
        <v>10544</v>
      </c>
      <c r="I697" s="4">
        <f>IFERROR(__xludf.DUMMYFUNCTION("""COMPUTED_VALUE"""),6220.0)</f>
        <v>6220</v>
      </c>
      <c r="J697" s="4">
        <f>IFERROR(__xludf.DUMMYFUNCTION("""COMPUTED_VALUE"""),2588.0)</f>
        <v>2588</v>
      </c>
      <c r="K697" s="4">
        <f>IFERROR(__xludf.DUMMYFUNCTION("""COMPUTED_VALUE"""),675.0)</f>
        <v>675</v>
      </c>
      <c r="L697" s="4">
        <f>IFERROR(__xludf.DUMMYFUNCTION("""COMPUTED_VALUE"""),0.619)</f>
        <v>0.619</v>
      </c>
      <c r="M697" s="4">
        <f>IFERROR(__xludf.DUMMYFUNCTION("""COMPUTED_VALUE"""),0.108)</f>
        <v>0.108</v>
      </c>
      <c r="N697" s="4">
        <f>IFERROR(__xludf.DUMMYFUNCTION("""COMPUTED_VALUE"""),0.664)</f>
        <v>0.664</v>
      </c>
      <c r="O697" s="4">
        <f>IFERROR(__xludf.DUMMYFUNCTION("""COMPUTED_VALUE"""),20.5)</f>
        <v>20.5</v>
      </c>
      <c r="P697" s="4">
        <f>IFERROR(__xludf.DUMMYFUNCTION("""COMPUTED_VALUE"""),12.1)</f>
        <v>12.1</v>
      </c>
      <c r="Q697" s="4">
        <f>IFERROR(__xludf.DUMMYFUNCTION("""COMPUTED_VALUE"""),5.0)</f>
        <v>5</v>
      </c>
      <c r="R697" s="4">
        <f>IFERROR(__xludf.DUMMYFUNCTION("""COMPUTED_VALUE"""),1.3)</f>
        <v>1.3</v>
      </c>
      <c r="S697" s="4">
        <f>IFERROR(__xludf.DUMMYFUNCTION("""COMPUTED_VALUE"""),42.9)</f>
        <v>42.9</v>
      </c>
      <c r="T697" s="4">
        <f>IFERROR(__xludf.DUMMYFUNCTION("""COMPUTED_VALUE"""),0.195)</f>
        <v>0.195</v>
      </c>
      <c r="U697" s="4">
        <f>IFERROR(__xludf.DUMMYFUNCTION("""COMPUTED_VALUE"""),2.6)</f>
        <v>2.6</v>
      </c>
      <c r="V697" s="4">
        <f>IFERROR(__xludf.DUMMYFUNCTION("""COMPUTED_VALUE"""),12.2)</f>
        <v>12.2</v>
      </c>
    </row>
    <row r="698">
      <c r="A698" s="4">
        <f>IFERROR(__xludf.DUMMYFUNCTION("""COMPUTED_VALUE"""),33.0)</f>
        <v>33</v>
      </c>
      <c r="B698" s="4">
        <f>IFERROR(__xludf.DUMMYFUNCTION("""COMPUTED_VALUE"""),33.0)</f>
        <v>33</v>
      </c>
      <c r="C698" s="4" t="str">
        <f>IFERROR(__xludf.DUMMYFUNCTION("""COMPUTED_VALUE"""),"BOS")</f>
        <v>BOS</v>
      </c>
      <c r="D698" s="4" t="str">
        <f>IFERROR(__xludf.DUMMYFUNCTION("""COMPUTED_VALUE"""),"Jordan Mickey")</f>
        <v>Jordan Mickey</v>
      </c>
      <c r="E698" s="4" t="str">
        <f>IFERROR(__xludf.DUMMYFUNCTION("""COMPUTED_VALUE"""),"LSU")</f>
        <v>LSU</v>
      </c>
      <c r="F698" s="4">
        <f>IFERROR(__xludf.DUMMYFUNCTION("""COMPUTED_VALUE"""),3.0)</f>
        <v>3</v>
      </c>
      <c r="G698" s="4">
        <f>IFERROR(__xludf.DUMMYFUNCTION("""COMPUTED_VALUE"""),64.0)</f>
        <v>64</v>
      </c>
      <c r="H698" s="4">
        <f>IFERROR(__xludf.DUMMYFUNCTION("""COMPUTED_VALUE"""),482.0)</f>
        <v>482</v>
      </c>
      <c r="I698" s="4">
        <f>IFERROR(__xludf.DUMMYFUNCTION("""COMPUTED_VALUE"""),152.0)</f>
        <v>152</v>
      </c>
      <c r="J698" s="4">
        <f>IFERROR(__xludf.DUMMYFUNCTION("""COMPUTED_VALUE"""),128.0)</f>
        <v>128</v>
      </c>
      <c r="K698" s="4">
        <f>IFERROR(__xludf.DUMMYFUNCTION("""COMPUTED_VALUE"""),17.0)</f>
        <v>17</v>
      </c>
      <c r="L698" s="4">
        <f>IFERROR(__xludf.DUMMYFUNCTION("""COMPUTED_VALUE"""),0.449)</f>
        <v>0.449</v>
      </c>
      <c r="M698" s="4">
        <f>IFERROR(__xludf.DUMMYFUNCTION("""COMPUTED_VALUE"""),0.118)</f>
        <v>0.118</v>
      </c>
      <c r="N698" s="4">
        <f>IFERROR(__xludf.DUMMYFUNCTION("""COMPUTED_VALUE"""),0.605)</f>
        <v>0.605</v>
      </c>
      <c r="O698" s="4">
        <f>IFERROR(__xludf.DUMMYFUNCTION("""COMPUTED_VALUE"""),7.5)</f>
        <v>7.5</v>
      </c>
      <c r="P698" s="4">
        <f>IFERROR(__xludf.DUMMYFUNCTION("""COMPUTED_VALUE"""),2.4)</f>
        <v>2.4</v>
      </c>
      <c r="Q698" s="4">
        <f>IFERROR(__xludf.DUMMYFUNCTION("""COMPUTED_VALUE"""),2.0)</f>
        <v>2</v>
      </c>
      <c r="R698" s="4">
        <f>IFERROR(__xludf.DUMMYFUNCTION("""COMPUTED_VALUE"""),0.3)</f>
        <v>0.3</v>
      </c>
      <c r="S698" s="4">
        <f>IFERROR(__xludf.DUMMYFUNCTION("""COMPUTED_VALUE"""),0.5)</f>
        <v>0.5</v>
      </c>
      <c r="T698" s="4">
        <f>IFERROR(__xludf.DUMMYFUNCTION("""COMPUTED_VALUE"""),0.05)</f>
        <v>0.05</v>
      </c>
      <c r="U698" s="4">
        <f>IFERROR(__xludf.DUMMYFUNCTION("""COMPUTED_VALUE"""),-4.8)</f>
        <v>-4.8</v>
      </c>
      <c r="V698" s="4">
        <f>IFERROR(__xludf.DUMMYFUNCTION("""COMPUTED_VALUE"""),-0.3)</f>
        <v>-0.3</v>
      </c>
    </row>
    <row r="699">
      <c r="A699" s="4">
        <f>IFERROR(__xludf.DUMMYFUNCTION("""COMPUTED_VALUE"""),34.0)</f>
        <v>34</v>
      </c>
      <c r="B699" s="4">
        <f>IFERROR(__xludf.DUMMYFUNCTION("""COMPUTED_VALUE"""),34.0)</f>
        <v>34</v>
      </c>
      <c r="C699" s="4" t="str">
        <f>IFERROR(__xludf.DUMMYFUNCTION("""COMPUTED_VALUE"""),"LAL")</f>
        <v>LAL</v>
      </c>
      <c r="D699" s="4" t="str">
        <f>IFERROR(__xludf.DUMMYFUNCTION("""COMPUTED_VALUE"""),"Anthony Brown")</f>
        <v>Anthony Brown</v>
      </c>
      <c r="E699" s="4" t="str">
        <f>IFERROR(__xludf.DUMMYFUNCTION("""COMPUTED_VALUE"""),"Stanford")</f>
        <v>Stanford</v>
      </c>
      <c r="F699" s="4">
        <f>IFERROR(__xludf.DUMMYFUNCTION("""COMPUTED_VALUE"""),3.0)</f>
        <v>3</v>
      </c>
      <c r="G699" s="4">
        <f>IFERROR(__xludf.DUMMYFUNCTION("""COMPUTED_VALUE"""),41.0)</f>
        <v>41</v>
      </c>
      <c r="H699" s="4">
        <f>IFERROR(__xludf.DUMMYFUNCTION("""COMPUTED_VALUE"""),762.0)</f>
        <v>762</v>
      </c>
      <c r="I699" s="4">
        <f>IFERROR(__xludf.DUMMYFUNCTION("""COMPUTED_VALUE"""),161.0)</f>
        <v>161</v>
      </c>
      <c r="J699" s="4">
        <f>IFERROR(__xludf.DUMMYFUNCTION("""COMPUTED_VALUE"""),103.0)</f>
        <v>103</v>
      </c>
      <c r="K699" s="4">
        <f>IFERROR(__xludf.DUMMYFUNCTION("""COMPUTED_VALUE"""),28.0)</f>
        <v>28</v>
      </c>
      <c r="L699" s="4">
        <f>IFERROR(__xludf.DUMMYFUNCTION("""COMPUTED_VALUE"""),0.328)</f>
        <v>0.328</v>
      </c>
      <c r="M699" s="4">
        <f>IFERROR(__xludf.DUMMYFUNCTION("""COMPUTED_VALUE"""),0.286)</f>
        <v>0.286</v>
      </c>
      <c r="N699" s="4">
        <f>IFERROR(__xludf.DUMMYFUNCTION("""COMPUTED_VALUE"""),0.85)</f>
        <v>0.85</v>
      </c>
      <c r="O699" s="4">
        <f>IFERROR(__xludf.DUMMYFUNCTION("""COMPUTED_VALUE"""),18.6)</f>
        <v>18.6</v>
      </c>
      <c r="P699" s="4">
        <f>IFERROR(__xludf.DUMMYFUNCTION("""COMPUTED_VALUE"""),3.9)</f>
        <v>3.9</v>
      </c>
      <c r="Q699" s="4">
        <f>IFERROR(__xludf.DUMMYFUNCTION("""COMPUTED_VALUE"""),2.5)</f>
        <v>2.5</v>
      </c>
      <c r="R699" s="4">
        <f>IFERROR(__xludf.DUMMYFUNCTION("""COMPUTED_VALUE"""),0.7)</f>
        <v>0.7</v>
      </c>
      <c r="S699" s="4">
        <f>IFERROR(__xludf.DUMMYFUNCTION("""COMPUTED_VALUE"""),-0.2)</f>
        <v>-0.2</v>
      </c>
      <c r="T699" s="4">
        <f>IFERROR(__xludf.DUMMYFUNCTION("""COMPUTED_VALUE"""),-0.016)</f>
        <v>-0.016</v>
      </c>
      <c r="U699" s="4">
        <f>IFERROR(__xludf.DUMMYFUNCTION("""COMPUTED_VALUE"""),-5.1)</f>
        <v>-5.1</v>
      </c>
      <c r="V699" s="4">
        <f>IFERROR(__xludf.DUMMYFUNCTION("""COMPUTED_VALUE"""),-0.6)</f>
        <v>-0.6</v>
      </c>
    </row>
    <row r="700">
      <c r="A700" s="4">
        <f>IFERROR(__xludf.DUMMYFUNCTION("""COMPUTED_VALUE"""),35.0)</f>
        <v>35</v>
      </c>
      <c r="B700" s="4">
        <f>IFERROR(__xludf.DUMMYFUNCTION("""COMPUTED_VALUE"""),35.0)</f>
        <v>35</v>
      </c>
      <c r="C700" s="4" t="str">
        <f>IFERROR(__xludf.DUMMYFUNCTION("""COMPUTED_VALUE"""),"PHI")</f>
        <v>PHI</v>
      </c>
      <c r="D700" s="4" t="str">
        <f>IFERROR(__xludf.DUMMYFUNCTION("""COMPUTED_VALUE"""),"Willy Hernangómez")</f>
        <v>Willy Hernangómez</v>
      </c>
      <c r="E700" s="4"/>
      <c r="F700" s="4">
        <f>IFERROR(__xludf.DUMMYFUNCTION("""COMPUTED_VALUE"""),7.0)</f>
        <v>7</v>
      </c>
      <c r="G700" s="4">
        <f>IFERROR(__xludf.DUMMYFUNCTION("""COMPUTED_VALUE"""),344.0)</f>
        <v>344</v>
      </c>
      <c r="H700" s="4">
        <f>IFERROR(__xludf.DUMMYFUNCTION("""COMPUTED_VALUE"""),5149.0)</f>
        <v>5149</v>
      </c>
      <c r="I700" s="4">
        <f>IFERROR(__xludf.DUMMYFUNCTION("""COMPUTED_VALUE"""),2524.0)</f>
        <v>2524</v>
      </c>
      <c r="J700" s="4">
        <f>IFERROR(__xludf.DUMMYFUNCTION("""COMPUTED_VALUE"""),1982.0)</f>
        <v>1982</v>
      </c>
      <c r="K700" s="4">
        <f>IFERROR(__xludf.DUMMYFUNCTION("""COMPUTED_VALUE"""),364.0)</f>
        <v>364</v>
      </c>
      <c r="L700" s="4">
        <f>IFERROR(__xludf.DUMMYFUNCTION("""COMPUTED_VALUE"""),0.533)</f>
        <v>0.533</v>
      </c>
      <c r="M700" s="4">
        <f>IFERROR(__xludf.DUMMYFUNCTION("""COMPUTED_VALUE"""),0.306)</f>
        <v>0.306</v>
      </c>
      <c r="N700" s="4">
        <f>IFERROR(__xludf.DUMMYFUNCTION("""COMPUTED_VALUE"""),0.713)</f>
        <v>0.713</v>
      </c>
      <c r="O700" s="4">
        <f>IFERROR(__xludf.DUMMYFUNCTION("""COMPUTED_VALUE"""),15.0)</f>
        <v>15</v>
      </c>
      <c r="P700" s="4">
        <f>IFERROR(__xludf.DUMMYFUNCTION("""COMPUTED_VALUE"""),7.3)</f>
        <v>7.3</v>
      </c>
      <c r="Q700" s="4">
        <f>IFERROR(__xludf.DUMMYFUNCTION("""COMPUTED_VALUE"""),5.8)</f>
        <v>5.8</v>
      </c>
      <c r="R700" s="4">
        <f>IFERROR(__xludf.DUMMYFUNCTION("""COMPUTED_VALUE"""),1.1)</f>
        <v>1.1</v>
      </c>
      <c r="S700" s="4">
        <f>IFERROR(__xludf.DUMMYFUNCTION("""COMPUTED_VALUE"""),16.3)</f>
        <v>16.3</v>
      </c>
      <c r="T700" s="4">
        <f>IFERROR(__xludf.DUMMYFUNCTION("""COMPUTED_VALUE"""),0.152)</f>
        <v>0.152</v>
      </c>
      <c r="U700" s="4">
        <f>IFERROR(__xludf.DUMMYFUNCTION("""COMPUTED_VALUE"""),0.1)</f>
        <v>0.1</v>
      </c>
      <c r="V700" s="4">
        <f>IFERROR(__xludf.DUMMYFUNCTION("""COMPUTED_VALUE"""),2.8)</f>
        <v>2.8</v>
      </c>
    </row>
    <row r="701">
      <c r="A701" s="4">
        <f>IFERROR(__xludf.DUMMYFUNCTION("""COMPUTED_VALUE"""),36.0)</f>
        <v>36</v>
      </c>
      <c r="B701" s="4">
        <f>IFERROR(__xludf.DUMMYFUNCTION("""COMPUTED_VALUE"""),36.0)</f>
        <v>36</v>
      </c>
      <c r="C701" s="4" t="str">
        <f>IFERROR(__xludf.DUMMYFUNCTION("""COMPUTED_VALUE"""),"MIN")</f>
        <v>MIN</v>
      </c>
      <c r="D701" s="4" t="str">
        <f>IFERROR(__xludf.DUMMYFUNCTION("""COMPUTED_VALUE"""),"Rakeem Christmas")</f>
        <v>Rakeem Christmas</v>
      </c>
      <c r="E701" s="4" t="str">
        <f>IFERROR(__xludf.DUMMYFUNCTION("""COMPUTED_VALUE"""),"Syracuse")</f>
        <v>Syracuse</v>
      </c>
      <c r="F701" s="4">
        <f>IFERROR(__xludf.DUMMYFUNCTION("""COMPUTED_VALUE"""),2.0)</f>
        <v>2</v>
      </c>
      <c r="G701" s="4">
        <f>IFERROR(__xludf.DUMMYFUNCTION("""COMPUTED_VALUE"""),30.0)</f>
        <v>30</v>
      </c>
      <c r="H701" s="4">
        <f>IFERROR(__xludf.DUMMYFUNCTION("""COMPUTED_VALUE"""),225.0)</f>
        <v>225</v>
      </c>
      <c r="I701" s="4">
        <f>IFERROR(__xludf.DUMMYFUNCTION("""COMPUTED_VALUE"""),63.0)</f>
        <v>63</v>
      </c>
      <c r="J701" s="4">
        <f>IFERROR(__xludf.DUMMYFUNCTION("""COMPUTED_VALUE"""),57.0)</f>
        <v>57</v>
      </c>
      <c r="K701" s="4">
        <f>IFERROR(__xludf.DUMMYFUNCTION("""COMPUTED_VALUE"""),4.0)</f>
        <v>4</v>
      </c>
      <c r="L701" s="4">
        <f>IFERROR(__xludf.DUMMYFUNCTION("""COMPUTED_VALUE"""),0.467)</f>
        <v>0.467</v>
      </c>
      <c r="M701" s="4"/>
      <c r="N701" s="4">
        <f>IFERROR(__xludf.DUMMYFUNCTION("""COMPUTED_VALUE"""),0.724)</f>
        <v>0.724</v>
      </c>
      <c r="O701" s="4">
        <f>IFERROR(__xludf.DUMMYFUNCTION("""COMPUTED_VALUE"""),7.5)</f>
        <v>7.5</v>
      </c>
      <c r="P701" s="4">
        <f>IFERROR(__xludf.DUMMYFUNCTION("""COMPUTED_VALUE"""),2.1)</f>
        <v>2.1</v>
      </c>
      <c r="Q701" s="4">
        <f>IFERROR(__xludf.DUMMYFUNCTION("""COMPUTED_VALUE"""),1.9)</f>
        <v>1.9</v>
      </c>
      <c r="R701" s="4">
        <f>IFERROR(__xludf.DUMMYFUNCTION("""COMPUTED_VALUE"""),0.1)</f>
        <v>0.1</v>
      </c>
      <c r="S701" s="4">
        <f>IFERROR(__xludf.DUMMYFUNCTION("""COMPUTED_VALUE"""),0.5)</f>
        <v>0.5</v>
      </c>
      <c r="T701" s="4">
        <f>IFERROR(__xludf.DUMMYFUNCTION("""COMPUTED_VALUE"""),0.105)</f>
        <v>0.105</v>
      </c>
      <c r="U701" s="4">
        <f>IFERROR(__xludf.DUMMYFUNCTION("""COMPUTED_VALUE"""),-4.7)</f>
        <v>-4.7</v>
      </c>
      <c r="V701" s="4">
        <f>IFERROR(__xludf.DUMMYFUNCTION("""COMPUTED_VALUE"""),-0.2)</f>
        <v>-0.2</v>
      </c>
    </row>
    <row r="702">
      <c r="A702" s="4">
        <f>IFERROR(__xludf.DUMMYFUNCTION("""COMPUTED_VALUE"""),37.0)</f>
        <v>37</v>
      </c>
      <c r="B702" s="4">
        <f>IFERROR(__xludf.DUMMYFUNCTION("""COMPUTED_VALUE"""),37.0)</f>
        <v>37</v>
      </c>
      <c r="C702" s="4" t="str">
        <f>IFERROR(__xludf.DUMMYFUNCTION("""COMPUTED_VALUE"""),"PHI")</f>
        <v>PHI</v>
      </c>
      <c r="D702" s="4" t="str">
        <f>IFERROR(__xludf.DUMMYFUNCTION("""COMPUTED_VALUE"""),"Richaun Holmes")</f>
        <v>Richaun Holmes</v>
      </c>
      <c r="E702" s="4" t="str">
        <f>IFERROR(__xludf.DUMMYFUNCTION("""COMPUTED_VALUE"""),"Bowling Green")</f>
        <v>Bowling Green</v>
      </c>
      <c r="F702" s="4">
        <f>IFERROR(__xludf.DUMMYFUNCTION("""COMPUTED_VALUE"""),10.0)</f>
        <v>10</v>
      </c>
      <c r="G702" s="4">
        <f>IFERROR(__xludf.DUMMYFUNCTION("""COMPUTED_VALUE"""),489.0)</f>
        <v>489</v>
      </c>
      <c r="H702" s="4">
        <f>IFERROR(__xludf.DUMMYFUNCTION("""COMPUTED_VALUE"""),9360.0)</f>
        <v>9360</v>
      </c>
      <c r="I702" s="4">
        <f>IFERROR(__xludf.DUMMYFUNCTION("""COMPUTED_VALUE"""),4164.0)</f>
        <v>4164</v>
      </c>
      <c r="J702" s="4">
        <f>IFERROR(__xludf.DUMMYFUNCTION("""COMPUTED_VALUE"""),2606.0)</f>
        <v>2606</v>
      </c>
      <c r="K702" s="4">
        <f>IFERROR(__xludf.DUMMYFUNCTION("""COMPUTED_VALUE"""),479.0)</f>
        <v>479</v>
      </c>
      <c r="L702" s="4">
        <f>IFERROR(__xludf.DUMMYFUNCTION("""COMPUTED_VALUE"""),0.605)</f>
        <v>0.605</v>
      </c>
      <c r="M702" s="4">
        <f>IFERROR(__xludf.DUMMYFUNCTION("""COMPUTED_VALUE"""),0.269)</f>
        <v>0.269</v>
      </c>
      <c r="N702" s="4">
        <f>IFERROR(__xludf.DUMMYFUNCTION("""COMPUTED_VALUE"""),0.751)</f>
        <v>0.751</v>
      </c>
      <c r="O702" s="4">
        <f>IFERROR(__xludf.DUMMYFUNCTION("""COMPUTED_VALUE"""),19.1)</f>
        <v>19.1</v>
      </c>
      <c r="P702" s="4">
        <f>IFERROR(__xludf.DUMMYFUNCTION("""COMPUTED_VALUE"""),8.5)</f>
        <v>8.5</v>
      </c>
      <c r="Q702" s="4">
        <f>IFERROR(__xludf.DUMMYFUNCTION("""COMPUTED_VALUE"""),5.3)</f>
        <v>5.3</v>
      </c>
      <c r="R702" s="4">
        <f>IFERROR(__xludf.DUMMYFUNCTION("""COMPUTED_VALUE"""),1.0)</f>
        <v>1</v>
      </c>
      <c r="S702" s="4">
        <f>IFERROR(__xludf.DUMMYFUNCTION("""COMPUTED_VALUE"""),30.7)</f>
        <v>30.7</v>
      </c>
      <c r="T702" s="4">
        <f>IFERROR(__xludf.DUMMYFUNCTION("""COMPUTED_VALUE"""),0.158)</f>
        <v>0.158</v>
      </c>
      <c r="U702" s="4">
        <f>IFERROR(__xludf.DUMMYFUNCTION("""COMPUTED_VALUE"""),0.1)</f>
        <v>0.1</v>
      </c>
      <c r="V702" s="4">
        <f>IFERROR(__xludf.DUMMYFUNCTION("""COMPUTED_VALUE"""),5.0)</f>
        <v>5</v>
      </c>
    </row>
    <row r="703">
      <c r="A703" s="4">
        <f>IFERROR(__xludf.DUMMYFUNCTION("""COMPUTED_VALUE"""),38.0)</f>
        <v>38</v>
      </c>
      <c r="B703" s="4">
        <f>IFERROR(__xludf.DUMMYFUNCTION("""COMPUTED_VALUE"""),38.0)</f>
        <v>38</v>
      </c>
      <c r="C703" s="4" t="str">
        <f>IFERROR(__xludf.DUMMYFUNCTION("""COMPUTED_VALUE"""),"DET")</f>
        <v>DET</v>
      </c>
      <c r="D703" s="4" t="str">
        <f>IFERROR(__xludf.DUMMYFUNCTION("""COMPUTED_VALUE"""),"Darrun Hilliard")</f>
        <v>Darrun Hilliard</v>
      </c>
      <c r="E703" s="4" t="str">
        <f>IFERROR(__xludf.DUMMYFUNCTION("""COMPUTED_VALUE"""),"Villanova")</f>
        <v>Villanova</v>
      </c>
      <c r="F703" s="4">
        <f>IFERROR(__xludf.DUMMYFUNCTION("""COMPUTED_VALUE"""),3.0)</f>
        <v>3</v>
      </c>
      <c r="G703" s="4">
        <f>IFERROR(__xludf.DUMMYFUNCTION("""COMPUTED_VALUE"""),91.0)</f>
        <v>91</v>
      </c>
      <c r="H703" s="4">
        <f>IFERROR(__xludf.DUMMYFUNCTION("""COMPUTED_VALUE"""),859.0)</f>
        <v>859</v>
      </c>
      <c r="I703" s="4">
        <f>IFERROR(__xludf.DUMMYFUNCTION("""COMPUTED_VALUE"""),295.0)</f>
        <v>295</v>
      </c>
      <c r="J703" s="4">
        <f>IFERROR(__xludf.DUMMYFUNCTION("""COMPUTED_VALUE"""),85.0)</f>
        <v>85</v>
      </c>
      <c r="K703" s="4">
        <f>IFERROR(__xludf.DUMMYFUNCTION("""COMPUTED_VALUE"""),71.0)</f>
        <v>71</v>
      </c>
      <c r="L703" s="4">
        <f>IFERROR(__xludf.DUMMYFUNCTION("""COMPUTED_VALUE"""),0.377)</f>
        <v>0.377</v>
      </c>
      <c r="M703" s="4">
        <f>IFERROR(__xludf.DUMMYFUNCTION("""COMPUTED_VALUE"""),0.304)</f>
        <v>0.304</v>
      </c>
      <c r="N703" s="4">
        <f>IFERROR(__xludf.DUMMYFUNCTION("""COMPUTED_VALUE"""),0.747)</f>
        <v>0.747</v>
      </c>
      <c r="O703" s="4">
        <f>IFERROR(__xludf.DUMMYFUNCTION("""COMPUTED_VALUE"""),9.4)</f>
        <v>9.4</v>
      </c>
      <c r="P703" s="4">
        <f>IFERROR(__xludf.DUMMYFUNCTION("""COMPUTED_VALUE"""),3.2)</f>
        <v>3.2</v>
      </c>
      <c r="Q703" s="4">
        <f>IFERROR(__xludf.DUMMYFUNCTION("""COMPUTED_VALUE"""),0.9)</f>
        <v>0.9</v>
      </c>
      <c r="R703" s="4">
        <f>IFERROR(__xludf.DUMMYFUNCTION("""COMPUTED_VALUE"""),0.8)</f>
        <v>0.8</v>
      </c>
      <c r="S703" s="4">
        <f>IFERROR(__xludf.DUMMYFUNCTION("""COMPUTED_VALUE"""),0.3)</f>
        <v>0.3</v>
      </c>
      <c r="T703" s="4">
        <f>IFERROR(__xludf.DUMMYFUNCTION("""COMPUTED_VALUE"""),0.016)</f>
        <v>0.016</v>
      </c>
      <c r="U703" s="4">
        <f>IFERROR(__xludf.DUMMYFUNCTION("""COMPUTED_VALUE"""),-4.7)</f>
        <v>-4.7</v>
      </c>
      <c r="V703" s="4">
        <f>IFERROR(__xludf.DUMMYFUNCTION("""COMPUTED_VALUE"""),-0.6)</f>
        <v>-0.6</v>
      </c>
    </row>
    <row r="704">
      <c r="A704" s="4">
        <f>IFERROR(__xludf.DUMMYFUNCTION("""COMPUTED_VALUE"""),39.0)</f>
        <v>39</v>
      </c>
      <c r="B704" s="4">
        <f>IFERROR(__xludf.DUMMYFUNCTION("""COMPUTED_VALUE"""),39.0)</f>
        <v>39</v>
      </c>
      <c r="C704" s="4" t="str">
        <f>IFERROR(__xludf.DUMMYFUNCTION("""COMPUTED_VALUE"""),"CHO")</f>
        <v>CHO</v>
      </c>
      <c r="D704" s="4" t="str">
        <f>IFERROR(__xludf.DUMMYFUNCTION("""COMPUTED_VALUE"""),"Juan Pablo Vaulet")</f>
        <v>Juan Pablo Vaulet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>
        <f>IFERROR(__xludf.DUMMYFUNCTION("""COMPUTED_VALUE"""),40.0)</f>
        <v>40</v>
      </c>
      <c r="B705" s="4">
        <f>IFERROR(__xludf.DUMMYFUNCTION("""COMPUTED_VALUE"""),40.0)</f>
        <v>40</v>
      </c>
      <c r="C705" s="4" t="str">
        <f>IFERROR(__xludf.DUMMYFUNCTION("""COMPUTED_VALUE"""),"MIA")</f>
        <v>MIA</v>
      </c>
      <c r="D705" s="4" t="str">
        <f>IFERROR(__xludf.DUMMYFUNCTION("""COMPUTED_VALUE"""),"Josh Richardson")</f>
        <v>Josh Richardson</v>
      </c>
      <c r="E705" s="4" t="str">
        <f>IFERROR(__xludf.DUMMYFUNCTION("""COMPUTED_VALUE"""),"Tennessee")</f>
        <v>Tennessee</v>
      </c>
      <c r="F705" s="4">
        <f>IFERROR(__xludf.DUMMYFUNCTION("""COMPUTED_VALUE"""),10.0)</f>
        <v>10</v>
      </c>
      <c r="G705" s="4">
        <f>IFERROR(__xludf.DUMMYFUNCTION("""COMPUTED_VALUE"""),554.0)</f>
        <v>554</v>
      </c>
      <c r="H705" s="4">
        <f>IFERROR(__xludf.DUMMYFUNCTION("""COMPUTED_VALUE"""),15815.0)</f>
        <v>15815</v>
      </c>
      <c r="I705" s="4">
        <f>IFERROR(__xludf.DUMMYFUNCTION("""COMPUTED_VALUE"""),6381.0)</f>
        <v>6381</v>
      </c>
      <c r="J705" s="4">
        <f>IFERROR(__xludf.DUMMYFUNCTION("""COMPUTED_VALUE"""),1685.0)</f>
        <v>1685</v>
      </c>
      <c r="K705" s="4">
        <f>IFERROR(__xludf.DUMMYFUNCTION("""COMPUTED_VALUE"""),1463.0)</f>
        <v>1463</v>
      </c>
      <c r="L705" s="4">
        <f>IFERROR(__xludf.DUMMYFUNCTION("""COMPUTED_VALUE"""),0.428)</f>
        <v>0.428</v>
      </c>
      <c r="M705" s="4">
        <f>IFERROR(__xludf.DUMMYFUNCTION("""COMPUTED_VALUE"""),0.363)</f>
        <v>0.363</v>
      </c>
      <c r="N705" s="4">
        <f>IFERROR(__xludf.DUMMYFUNCTION("""COMPUTED_VALUE"""),0.846)</f>
        <v>0.846</v>
      </c>
      <c r="O705" s="4">
        <f>IFERROR(__xludf.DUMMYFUNCTION("""COMPUTED_VALUE"""),28.5)</f>
        <v>28.5</v>
      </c>
      <c r="P705" s="4">
        <f>IFERROR(__xludf.DUMMYFUNCTION("""COMPUTED_VALUE"""),11.5)</f>
        <v>11.5</v>
      </c>
      <c r="Q705" s="4">
        <f>IFERROR(__xludf.DUMMYFUNCTION("""COMPUTED_VALUE"""),3.0)</f>
        <v>3</v>
      </c>
      <c r="R705" s="4">
        <f>IFERROR(__xludf.DUMMYFUNCTION("""COMPUTED_VALUE"""),2.6)</f>
        <v>2.6</v>
      </c>
      <c r="S705" s="4">
        <f>IFERROR(__xludf.DUMMYFUNCTION("""COMPUTED_VALUE"""),27.7)</f>
        <v>27.7</v>
      </c>
      <c r="T705" s="4">
        <f>IFERROR(__xludf.DUMMYFUNCTION("""COMPUTED_VALUE"""),0.084)</f>
        <v>0.084</v>
      </c>
      <c r="U705" s="4">
        <f>IFERROR(__xludf.DUMMYFUNCTION("""COMPUTED_VALUE"""),-0.6)</f>
        <v>-0.6</v>
      </c>
      <c r="V705" s="4">
        <f>IFERROR(__xludf.DUMMYFUNCTION("""COMPUTED_VALUE"""),5.5)</f>
        <v>5.5</v>
      </c>
    </row>
    <row r="706">
      <c r="A706" s="4">
        <f>IFERROR(__xludf.DUMMYFUNCTION("""COMPUTED_VALUE"""),41.0)</f>
        <v>41</v>
      </c>
      <c r="B706" s="4">
        <f>IFERROR(__xludf.DUMMYFUNCTION("""COMPUTED_VALUE"""),41.0)</f>
        <v>41</v>
      </c>
      <c r="C706" s="4" t="str">
        <f>IFERROR(__xludf.DUMMYFUNCTION("""COMPUTED_VALUE"""),"BRK")</f>
        <v>BRK</v>
      </c>
      <c r="D706" s="4" t="str">
        <f>IFERROR(__xludf.DUMMYFUNCTION("""COMPUTED_VALUE"""),"Pat Connaughton")</f>
        <v>Pat Connaughton</v>
      </c>
      <c r="E706" s="4" t="str">
        <f>IFERROR(__xludf.DUMMYFUNCTION("""COMPUTED_VALUE"""),"Notre Dame")</f>
        <v>Notre Dame</v>
      </c>
      <c r="F706" s="4">
        <f>IFERROR(__xludf.DUMMYFUNCTION("""COMPUTED_VALUE"""),11.0)</f>
        <v>11</v>
      </c>
      <c r="G706" s="4">
        <f>IFERROR(__xludf.DUMMYFUNCTION("""COMPUTED_VALUE"""),607.0)</f>
        <v>607</v>
      </c>
      <c r="H706" s="4">
        <f>IFERROR(__xludf.DUMMYFUNCTION("""COMPUTED_VALUE"""),11555.0)</f>
        <v>11555</v>
      </c>
      <c r="I706" s="4">
        <f>IFERROR(__xludf.DUMMYFUNCTION("""COMPUTED_VALUE"""),3630.0)</f>
        <v>3630</v>
      </c>
      <c r="J706" s="4">
        <f>IFERROR(__xludf.DUMMYFUNCTION("""COMPUTED_VALUE"""),2046.0)</f>
        <v>2046</v>
      </c>
      <c r="K706" s="4">
        <f>IFERROR(__xludf.DUMMYFUNCTION("""COMPUTED_VALUE"""),836.0)</f>
        <v>836</v>
      </c>
      <c r="L706" s="4">
        <f>IFERROR(__xludf.DUMMYFUNCTION("""COMPUTED_VALUE"""),0.438)</f>
        <v>0.438</v>
      </c>
      <c r="M706" s="4">
        <f>IFERROR(__xludf.DUMMYFUNCTION("""COMPUTED_VALUE"""),0.356)</f>
        <v>0.356</v>
      </c>
      <c r="N706" s="4">
        <f>IFERROR(__xludf.DUMMYFUNCTION("""COMPUTED_VALUE"""),0.771)</f>
        <v>0.771</v>
      </c>
      <c r="O706" s="4">
        <f>IFERROR(__xludf.DUMMYFUNCTION("""COMPUTED_VALUE"""),19.0)</f>
        <v>19</v>
      </c>
      <c r="P706" s="4">
        <f>IFERROR(__xludf.DUMMYFUNCTION("""COMPUTED_VALUE"""),6.0)</f>
        <v>6</v>
      </c>
      <c r="Q706" s="4">
        <f>IFERROR(__xludf.DUMMYFUNCTION("""COMPUTED_VALUE"""),3.4)</f>
        <v>3.4</v>
      </c>
      <c r="R706" s="4">
        <f>IFERROR(__xludf.DUMMYFUNCTION("""COMPUTED_VALUE"""),1.4)</f>
        <v>1.4</v>
      </c>
      <c r="S706" s="4">
        <f>IFERROR(__xludf.DUMMYFUNCTION("""COMPUTED_VALUE"""),24.9)</f>
        <v>24.9</v>
      </c>
      <c r="T706" s="4">
        <f>IFERROR(__xludf.DUMMYFUNCTION("""COMPUTED_VALUE"""),0.103)</f>
        <v>0.103</v>
      </c>
      <c r="U706" s="4">
        <f>IFERROR(__xludf.DUMMYFUNCTION("""COMPUTED_VALUE"""),-0.5)</f>
        <v>-0.5</v>
      </c>
      <c r="V706" s="4">
        <f>IFERROR(__xludf.DUMMYFUNCTION("""COMPUTED_VALUE"""),4.5)</f>
        <v>4.5</v>
      </c>
    </row>
    <row r="707">
      <c r="A707" s="4">
        <f>IFERROR(__xludf.DUMMYFUNCTION("""COMPUTED_VALUE"""),42.0)</f>
        <v>42</v>
      </c>
      <c r="B707" s="4">
        <f>IFERROR(__xludf.DUMMYFUNCTION("""COMPUTED_VALUE"""),42.0)</f>
        <v>42</v>
      </c>
      <c r="C707" s="4" t="str">
        <f>IFERROR(__xludf.DUMMYFUNCTION("""COMPUTED_VALUE"""),"UTA")</f>
        <v>UTA</v>
      </c>
      <c r="D707" s="4" t="str">
        <f>IFERROR(__xludf.DUMMYFUNCTION("""COMPUTED_VALUE"""),"Olivier Hanlan")</f>
        <v>Olivier Hanlan</v>
      </c>
      <c r="E707" s="4" t="str">
        <f>IFERROR(__xludf.DUMMYFUNCTION("""COMPUTED_VALUE"""),"Boston College")</f>
        <v>Boston College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>
        <f>IFERROR(__xludf.DUMMYFUNCTION("""COMPUTED_VALUE"""),43.0)</f>
        <v>43</v>
      </c>
      <c r="B708" s="4">
        <f>IFERROR(__xludf.DUMMYFUNCTION("""COMPUTED_VALUE"""),43.0)</f>
        <v>43</v>
      </c>
      <c r="C708" s="4" t="str">
        <f>IFERROR(__xludf.DUMMYFUNCTION("""COMPUTED_VALUE"""),"IND")</f>
        <v>IND</v>
      </c>
      <c r="D708" s="4" t="str">
        <f>IFERROR(__xludf.DUMMYFUNCTION("""COMPUTED_VALUE"""),"Joe Young")</f>
        <v>Joe Young</v>
      </c>
      <c r="E708" s="4" t="str">
        <f>IFERROR(__xludf.DUMMYFUNCTION("""COMPUTED_VALUE"""),"Oregon")</f>
        <v>Oregon</v>
      </c>
      <c r="F708" s="4">
        <f>IFERROR(__xludf.DUMMYFUNCTION("""COMPUTED_VALUE"""),3.0)</f>
        <v>3</v>
      </c>
      <c r="G708" s="4">
        <f>IFERROR(__xludf.DUMMYFUNCTION("""COMPUTED_VALUE"""),127.0)</f>
        <v>127</v>
      </c>
      <c r="H708" s="4">
        <f>IFERROR(__xludf.DUMMYFUNCTION("""COMPUTED_VALUE"""),1077.0)</f>
        <v>1077</v>
      </c>
      <c r="I708" s="4">
        <f>IFERROR(__xludf.DUMMYFUNCTION("""COMPUTED_VALUE"""),429.0)</f>
        <v>429</v>
      </c>
      <c r="J708" s="4">
        <f>IFERROR(__xludf.DUMMYFUNCTION("""COMPUTED_VALUE"""),130.0)</f>
        <v>130</v>
      </c>
      <c r="K708" s="4">
        <f>IFERROR(__xludf.DUMMYFUNCTION("""COMPUTED_VALUE"""),119.0)</f>
        <v>119</v>
      </c>
      <c r="L708" s="4">
        <f>IFERROR(__xludf.DUMMYFUNCTION("""COMPUTED_VALUE"""),0.393)</f>
        <v>0.393</v>
      </c>
      <c r="M708" s="4">
        <f>IFERROR(__xludf.DUMMYFUNCTION("""COMPUTED_VALUE"""),0.296)</f>
        <v>0.296</v>
      </c>
      <c r="N708" s="4">
        <f>IFERROR(__xludf.DUMMYFUNCTION("""COMPUTED_VALUE"""),0.768)</f>
        <v>0.768</v>
      </c>
      <c r="O708" s="4">
        <f>IFERROR(__xludf.DUMMYFUNCTION("""COMPUTED_VALUE"""),8.5)</f>
        <v>8.5</v>
      </c>
      <c r="P708" s="4">
        <f>IFERROR(__xludf.DUMMYFUNCTION("""COMPUTED_VALUE"""),3.4)</f>
        <v>3.4</v>
      </c>
      <c r="Q708" s="4">
        <f>IFERROR(__xludf.DUMMYFUNCTION("""COMPUTED_VALUE"""),1.0)</f>
        <v>1</v>
      </c>
      <c r="R708" s="4">
        <f>IFERROR(__xludf.DUMMYFUNCTION("""COMPUTED_VALUE"""),0.9)</f>
        <v>0.9</v>
      </c>
      <c r="S708" s="4">
        <f>IFERROR(__xludf.DUMMYFUNCTION("""COMPUTED_VALUE"""),0.4)</f>
        <v>0.4</v>
      </c>
      <c r="T708" s="4">
        <f>IFERROR(__xludf.DUMMYFUNCTION("""COMPUTED_VALUE"""),0.016)</f>
        <v>0.016</v>
      </c>
      <c r="U708" s="4">
        <f>IFERROR(__xludf.DUMMYFUNCTION("""COMPUTED_VALUE"""),-4.1)</f>
        <v>-4.1</v>
      </c>
      <c r="V708" s="4">
        <f>IFERROR(__xludf.DUMMYFUNCTION("""COMPUTED_VALUE"""),-0.6)</f>
        <v>-0.6</v>
      </c>
    </row>
    <row r="709">
      <c r="A709" s="4">
        <f>IFERROR(__xludf.DUMMYFUNCTION("""COMPUTED_VALUE"""),44.0)</f>
        <v>44</v>
      </c>
      <c r="B709" s="4">
        <f>IFERROR(__xludf.DUMMYFUNCTION("""COMPUTED_VALUE"""),44.0)</f>
        <v>44</v>
      </c>
      <c r="C709" s="4" t="str">
        <f>IFERROR(__xludf.DUMMYFUNCTION("""COMPUTED_VALUE"""),"PHO")</f>
        <v>PHO</v>
      </c>
      <c r="D709" s="4" t="str">
        <f>IFERROR(__xludf.DUMMYFUNCTION("""COMPUTED_VALUE"""),"Andrew Harrison")</f>
        <v>Andrew Harrison</v>
      </c>
      <c r="E709" s="4" t="str">
        <f>IFERROR(__xludf.DUMMYFUNCTION("""COMPUTED_VALUE"""),"Kentucky")</f>
        <v>Kentucky</v>
      </c>
      <c r="F709" s="4">
        <f>IFERROR(__xludf.DUMMYFUNCTION("""COMPUTED_VALUE"""),3.0)</f>
        <v>3</v>
      </c>
      <c r="G709" s="4">
        <f>IFERROR(__xludf.DUMMYFUNCTION("""COMPUTED_VALUE"""),145.0)</f>
        <v>145</v>
      </c>
      <c r="H709" s="4">
        <f>IFERROR(__xludf.DUMMYFUNCTION("""COMPUTED_VALUE"""),2987.0)</f>
        <v>2987</v>
      </c>
      <c r="I709" s="4">
        <f>IFERROR(__xludf.DUMMYFUNCTION("""COMPUTED_VALUE"""),1012.0)</f>
        <v>1012</v>
      </c>
      <c r="J709" s="4">
        <f>IFERROR(__xludf.DUMMYFUNCTION("""COMPUTED_VALUE"""),287.0)</f>
        <v>287</v>
      </c>
      <c r="K709" s="4">
        <f>IFERROR(__xludf.DUMMYFUNCTION("""COMPUTED_VALUE"""),399.0)</f>
        <v>399</v>
      </c>
      <c r="L709" s="4">
        <f>IFERROR(__xludf.DUMMYFUNCTION("""COMPUTED_VALUE"""),0.373)</f>
        <v>0.373</v>
      </c>
      <c r="M709" s="4">
        <f>IFERROR(__xludf.DUMMYFUNCTION("""COMPUTED_VALUE"""),0.294)</f>
        <v>0.294</v>
      </c>
      <c r="N709" s="4">
        <f>IFERROR(__xludf.DUMMYFUNCTION("""COMPUTED_VALUE"""),0.779)</f>
        <v>0.779</v>
      </c>
      <c r="O709" s="4">
        <f>IFERROR(__xludf.DUMMYFUNCTION("""COMPUTED_VALUE"""),20.6)</f>
        <v>20.6</v>
      </c>
      <c r="P709" s="4">
        <f>IFERROR(__xludf.DUMMYFUNCTION("""COMPUTED_VALUE"""),7.0)</f>
        <v>7</v>
      </c>
      <c r="Q709" s="4">
        <f>IFERROR(__xludf.DUMMYFUNCTION("""COMPUTED_VALUE"""),2.0)</f>
        <v>2</v>
      </c>
      <c r="R709" s="4">
        <f>IFERROR(__xludf.DUMMYFUNCTION("""COMPUTED_VALUE"""),2.8)</f>
        <v>2.8</v>
      </c>
      <c r="S709" s="4">
        <f>IFERROR(__xludf.DUMMYFUNCTION("""COMPUTED_VALUE"""),3.2)</f>
        <v>3.2</v>
      </c>
      <c r="T709" s="4">
        <f>IFERROR(__xludf.DUMMYFUNCTION("""COMPUTED_VALUE"""),0.051)</f>
        <v>0.051</v>
      </c>
      <c r="U709" s="4">
        <f>IFERROR(__xludf.DUMMYFUNCTION("""COMPUTED_VALUE"""),-2.8)</f>
        <v>-2.8</v>
      </c>
      <c r="V709" s="4">
        <f>IFERROR(__xludf.DUMMYFUNCTION("""COMPUTED_VALUE"""),-0.6)</f>
        <v>-0.6</v>
      </c>
    </row>
    <row r="710">
      <c r="A710" s="4">
        <f>IFERROR(__xludf.DUMMYFUNCTION("""COMPUTED_VALUE"""),45.0)</f>
        <v>45</v>
      </c>
      <c r="B710" s="4">
        <f>IFERROR(__xludf.DUMMYFUNCTION("""COMPUTED_VALUE"""),45.0)</f>
        <v>45</v>
      </c>
      <c r="C710" s="4" t="str">
        <f>IFERROR(__xludf.DUMMYFUNCTION("""COMPUTED_VALUE"""),"BOS")</f>
        <v>BOS</v>
      </c>
      <c r="D710" s="4" t="str">
        <f>IFERROR(__xludf.DUMMYFUNCTION("""COMPUTED_VALUE"""),"Marcus Thornton")</f>
        <v>Marcus Thornton</v>
      </c>
      <c r="E710" s="4" t="str">
        <f>IFERROR(__xludf.DUMMYFUNCTION("""COMPUTED_VALUE"""),"William &amp; Mary")</f>
        <v>William &amp; Mary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>
        <f>IFERROR(__xludf.DUMMYFUNCTION("""COMPUTED_VALUE"""),46.0)</f>
        <v>46</v>
      </c>
      <c r="B711" s="4">
        <f>IFERROR(__xludf.DUMMYFUNCTION("""COMPUTED_VALUE"""),46.0)</f>
        <v>46</v>
      </c>
      <c r="C711" s="4" t="str">
        <f>IFERROR(__xludf.DUMMYFUNCTION("""COMPUTED_VALUE"""),"MIL")</f>
        <v>MIL</v>
      </c>
      <c r="D711" s="4" t="str">
        <f>IFERROR(__xludf.DUMMYFUNCTION("""COMPUTED_VALUE"""),"Norman Powell")</f>
        <v>Norman Powell</v>
      </c>
      <c r="E711" s="4" t="str">
        <f>IFERROR(__xludf.DUMMYFUNCTION("""COMPUTED_VALUE"""),"UCLA")</f>
        <v>UCLA</v>
      </c>
      <c r="F711" s="4">
        <f>IFERROR(__xludf.DUMMYFUNCTION("""COMPUTED_VALUE"""),11.0)</f>
        <v>11</v>
      </c>
      <c r="G711" s="4">
        <f>IFERROR(__xludf.DUMMYFUNCTION("""COMPUTED_VALUE"""),634.0)</f>
        <v>634</v>
      </c>
      <c r="H711" s="4">
        <f>IFERROR(__xludf.DUMMYFUNCTION("""COMPUTED_VALUE"""),15459.0)</f>
        <v>15459</v>
      </c>
      <c r="I711" s="4">
        <f>IFERROR(__xludf.DUMMYFUNCTION("""COMPUTED_VALUE"""),8582.0)</f>
        <v>8582</v>
      </c>
      <c r="J711" s="4">
        <f>IFERROR(__xludf.DUMMYFUNCTION("""COMPUTED_VALUE"""),1711.0)</f>
        <v>1711</v>
      </c>
      <c r="K711" s="4">
        <f>IFERROR(__xludf.DUMMYFUNCTION("""COMPUTED_VALUE"""),982.0)</f>
        <v>982</v>
      </c>
      <c r="L711" s="4">
        <f>IFERROR(__xludf.DUMMYFUNCTION("""COMPUTED_VALUE"""),0.473)</f>
        <v>0.473</v>
      </c>
      <c r="M711" s="4">
        <f>IFERROR(__xludf.DUMMYFUNCTION("""COMPUTED_VALUE"""),0.401)</f>
        <v>0.401</v>
      </c>
      <c r="N711" s="4">
        <f>IFERROR(__xludf.DUMMYFUNCTION("""COMPUTED_VALUE"""),0.827)</f>
        <v>0.827</v>
      </c>
      <c r="O711" s="4">
        <f>IFERROR(__xludf.DUMMYFUNCTION("""COMPUTED_VALUE"""),24.4)</f>
        <v>24.4</v>
      </c>
      <c r="P711" s="4">
        <f>IFERROR(__xludf.DUMMYFUNCTION("""COMPUTED_VALUE"""),13.5)</f>
        <v>13.5</v>
      </c>
      <c r="Q711" s="4">
        <f>IFERROR(__xludf.DUMMYFUNCTION("""COMPUTED_VALUE"""),2.7)</f>
        <v>2.7</v>
      </c>
      <c r="R711" s="4">
        <f>IFERROR(__xludf.DUMMYFUNCTION("""COMPUTED_VALUE"""),1.5)</f>
        <v>1.5</v>
      </c>
      <c r="S711" s="4">
        <f>IFERROR(__xludf.DUMMYFUNCTION("""COMPUTED_VALUE"""),34.3)</f>
        <v>34.3</v>
      </c>
      <c r="T711" s="4">
        <f>IFERROR(__xludf.DUMMYFUNCTION("""COMPUTED_VALUE"""),0.106)</f>
        <v>0.106</v>
      </c>
      <c r="U711" s="4">
        <f>IFERROR(__xludf.DUMMYFUNCTION("""COMPUTED_VALUE"""),0.2)</f>
        <v>0.2</v>
      </c>
      <c r="V711" s="4">
        <f>IFERROR(__xludf.DUMMYFUNCTION("""COMPUTED_VALUE"""),8.5)</f>
        <v>8.5</v>
      </c>
    </row>
    <row r="712">
      <c r="A712" s="4">
        <f>IFERROR(__xludf.DUMMYFUNCTION("""COMPUTED_VALUE"""),47.0)</f>
        <v>47</v>
      </c>
      <c r="B712" s="4">
        <f>IFERROR(__xludf.DUMMYFUNCTION("""COMPUTED_VALUE"""),47.0)</f>
        <v>47</v>
      </c>
      <c r="C712" s="4" t="str">
        <f>IFERROR(__xludf.DUMMYFUNCTION("""COMPUTED_VALUE"""),"PHI")</f>
        <v>PHI</v>
      </c>
      <c r="D712" s="4" t="str">
        <f>IFERROR(__xludf.DUMMYFUNCTION("""COMPUTED_VALUE"""),"Artūras Gudaitis")</f>
        <v>Artūras Gudaitis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>
        <f>IFERROR(__xludf.DUMMYFUNCTION("""COMPUTED_VALUE"""),48.0)</f>
        <v>48</v>
      </c>
      <c r="B713" s="4">
        <f>IFERROR(__xludf.DUMMYFUNCTION("""COMPUTED_VALUE"""),48.0)</f>
        <v>48</v>
      </c>
      <c r="C713" s="4" t="str">
        <f>IFERROR(__xludf.DUMMYFUNCTION("""COMPUTED_VALUE"""),"OKC")</f>
        <v>OKC</v>
      </c>
      <c r="D713" s="4" t="str">
        <f>IFERROR(__xludf.DUMMYFUNCTION("""COMPUTED_VALUE"""),"Dakari Johnson")</f>
        <v>Dakari Johnson</v>
      </c>
      <c r="E713" s="4" t="str">
        <f>IFERROR(__xludf.DUMMYFUNCTION("""COMPUTED_VALUE"""),"Kentucky")</f>
        <v>Kentucky</v>
      </c>
      <c r="F713" s="4">
        <f>IFERROR(__xludf.DUMMYFUNCTION("""COMPUTED_VALUE"""),1.0)</f>
        <v>1</v>
      </c>
      <c r="G713" s="4">
        <f>IFERROR(__xludf.DUMMYFUNCTION("""COMPUTED_VALUE"""),31.0)</f>
        <v>31</v>
      </c>
      <c r="H713" s="4">
        <f>IFERROR(__xludf.DUMMYFUNCTION("""COMPUTED_VALUE"""),161.0)</f>
        <v>161</v>
      </c>
      <c r="I713" s="4">
        <f>IFERROR(__xludf.DUMMYFUNCTION("""COMPUTED_VALUE"""),55.0)</f>
        <v>55</v>
      </c>
      <c r="J713" s="4">
        <f>IFERROR(__xludf.DUMMYFUNCTION("""COMPUTED_VALUE"""),34.0)</f>
        <v>34</v>
      </c>
      <c r="K713" s="4">
        <f>IFERROR(__xludf.DUMMYFUNCTION("""COMPUTED_VALUE"""),8.0)</f>
        <v>8</v>
      </c>
      <c r="L713" s="4">
        <f>IFERROR(__xludf.DUMMYFUNCTION("""COMPUTED_VALUE"""),0.564)</f>
        <v>0.564</v>
      </c>
      <c r="M713" s="4"/>
      <c r="N713" s="4">
        <f>IFERROR(__xludf.DUMMYFUNCTION("""COMPUTED_VALUE"""),0.55)</f>
        <v>0.55</v>
      </c>
      <c r="O713" s="4">
        <f>IFERROR(__xludf.DUMMYFUNCTION("""COMPUTED_VALUE"""),5.2)</f>
        <v>5.2</v>
      </c>
      <c r="P713" s="4">
        <f>IFERROR(__xludf.DUMMYFUNCTION("""COMPUTED_VALUE"""),1.8)</f>
        <v>1.8</v>
      </c>
      <c r="Q713" s="4">
        <f>IFERROR(__xludf.DUMMYFUNCTION("""COMPUTED_VALUE"""),1.1)</f>
        <v>1.1</v>
      </c>
      <c r="R713" s="4">
        <f>IFERROR(__xludf.DUMMYFUNCTION("""COMPUTED_VALUE"""),0.3)</f>
        <v>0.3</v>
      </c>
      <c r="S713" s="4">
        <f>IFERROR(__xludf.DUMMYFUNCTION("""COMPUTED_VALUE"""),0.6)</f>
        <v>0.6</v>
      </c>
      <c r="T713" s="4">
        <f>IFERROR(__xludf.DUMMYFUNCTION("""COMPUTED_VALUE"""),0.178)</f>
        <v>0.178</v>
      </c>
      <c r="U713" s="4">
        <f>IFERROR(__xludf.DUMMYFUNCTION("""COMPUTED_VALUE"""),-0.3)</f>
        <v>-0.3</v>
      </c>
      <c r="V713" s="4">
        <f>IFERROR(__xludf.DUMMYFUNCTION("""COMPUTED_VALUE"""),0.1)</f>
        <v>0.1</v>
      </c>
    </row>
    <row r="714">
      <c r="A714" s="4">
        <f>IFERROR(__xludf.DUMMYFUNCTION("""COMPUTED_VALUE"""),49.0)</f>
        <v>49</v>
      </c>
      <c r="B714" s="4">
        <f>IFERROR(__xludf.DUMMYFUNCTION("""COMPUTED_VALUE"""),49.0)</f>
        <v>49</v>
      </c>
      <c r="C714" s="4" t="str">
        <f>IFERROR(__xludf.DUMMYFUNCTION("""COMPUTED_VALUE"""),"WAS")</f>
        <v>WAS</v>
      </c>
      <c r="D714" s="4" t="str">
        <f>IFERROR(__xludf.DUMMYFUNCTION("""COMPUTED_VALUE"""),"Aaron White")</f>
        <v>Aaron White</v>
      </c>
      <c r="E714" s="4" t="str">
        <f>IFERROR(__xludf.DUMMYFUNCTION("""COMPUTED_VALUE"""),"Iowa")</f>
        <v>Iowa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>
        <f>IFERROR(__xludf.DUMMYFUNCTION("""COMPUTED_VALUE"""),50.0)</f>
        <v>50</v>
      </c>
      <c r="B715" s="4">
        <f>IFERROR(__xludf.DUMMYFUNCTION("""COMPUTED_VALUE"""),50.0)</f>
        <v>50</v>
      </c>
      <c r="C715" s="4" t="str">
        <f>IFERROR(__xludf.DUMMYFUNCTION("""COMPUTED_VALUE"""),"ATL")</f>
        <v>ATL</v>
      </c>
      <c r="D715" s="4" t="str">
        <f>IFERROR(__xludf.DUMMYFUNCTION("""COMPUTED_VALUE"""),"Marcus Eriksson")</f>
        <v>Marcus Eriksson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>
        <f>IFERROR(__xludf.DUMMYFUNCTION("""COMPUTED_VALUE"""),51.0)</f>
        <v>51</v>
      </c>
      <c r="B716" s="4">
        <f>IFERROR(__xludf.DUMMYFUNCTION("""COMPUTED_VALUE"""),51.0)</f>
        <v>51</v>
      </c>
      <c r="C716" s="4" t="str">
        <f>IFERROR(__xludf.DUMMYFUNCTION("""COMPUTED_VALUE"""),"ORL")</f>
        <v>ORL</v>
      </c>
      <c r="D716" s="4" t="str">
        <f>IFERROR(__xludf.DUMMYFUNCTION("""COMPUTED_VALUE"""),"Tyler Harvey")</f>
        <v>Tyler Harvey</v>
      </c>
      <c r="E716" s="4" t="str">
        <f>IFERROR(__xludf.DUMMYFUNCTION("""COMPUTED_VALUE"""),"Eastern Washington")</f>
        <v>Eastern Washington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>
        <f>IFERROR(__xludf.DUMMYFUNCTION("""COMPUTED_VALUE"""),52.0)</f>
        <v>52</v>
      </c>
      <c r="B717" s="4">
        <f>IFERROR(__xludf.DUMMYFUNCTION("""COMPUTED_VALUE"""),52.0)</f>
        <v>52</v>
      </c>
      <c r="C717" s="4" t="str">
        <f>IFERROR(__xludf.DUMMYFUNCTION("""COMPUTED_VALUE"""),"DAL")</f>
        <v>DAL</v>
      </c>
      <c r="D717" s="4" t="str">
        <f>IFERROR(__xludf.DUMMYFUNCTION("""COMPUTED_VALUE"""),"Satnam Singh")</f>
        <v>Satnam Singh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>
        <f>IFERROR(__xludf.DUMMYFUNCTION("""COMPUTED_VALUE"""),53.0)</f>
        <v>53</v>
      </c>
      <c r="B718" s="4">
        <f>IFERROR(__xludf.DUMMYFUNCTION("""COMPUTED_VALUE"""),53.0)</f>
        <v>53</v>
      </c>
      <c r="C718" s="4" t="str">
        <f>IFERROR(__xludf.DUMMYFUNCTION("""COMPUTED_VALUE"""),"CLE")</f>
        <v>CLE</v>
      </c>
      <c r="D718" s="4" t="str">
        <f>IFERROR(__xludf.DUMMYFUNCTION("""COMPUTED_VALUE"""),"Sir'Dominic Pointer")</f>
        <v>Sir'Dominic Pointer</v>
      </c>
      <c r="E718" s="4" t="str">
        <f>IFERROR(__xludf.DUMMYFUNCTION("""COMPUTED_VALUE"""),"St. John's")</f>
        <v>St. John's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>
        <f>IFERROR(__xludf.DUMMYFUNCTION("""COMPUTED_VALUE"""),54.0)</f>
        <v>54</v>
      </c>
      <c r="B719" s="4">
        <f>IFERROR(__xludf.DUMMYFUNCTION("""COMPUTED_VALUE"""),54.0)</f>
        <v>54</v>
      </c>
      <c r="C719" s="4" t="str">
        <f>IFERROR(__xludf.DUMMYFUNCTION("""COMPUTED_VALUE"""),"UTA")</f>
        <v>UTA</v>
      </c>
      <c r="D719" s="4" t="str">
        <f>IFERROR(__xludf.DUMMYFUNCTION("""COMPUTED_VALUE"""),"Dani Díez")</f>
        <v>Dani Díez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>
        <f>IFERROR(__xludf.DUMMYFUNCTION("""COMPUTED_VALUE"""),55.0)</f>
        <v>55</v>
      </c>
      <c r="B720" s="4">
        <f>IFERROR(__xludf.DUMMYFUNCTION("""COMPUTED_VALUE"""),55.0)</f>
        <v>55</v>
      </c>
      <c r="C720" s="4" t="str">
        <f>IFERROR(__xludf.DUMMYFUNCTION("""COMPUTED_VALUE"""),"SAS")</f>
        <v>SAS</v>
      </c>
      <c r="D720" s="4" t="str">
        <f>IFERROR(__xludf.DUMMYFUNCTION("""COMPUTED_VALUE"""),"Cady Lalanne")</f>
        <v>Cady Lalanne</v>
      </c>
      <c r="E720" s="4" t="str">
        <f>IFERROR(__xludf.DUMMYFUNCTION("""COMPUTED_VALUE"""),"UMass")</f>
        <v>UMass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>
        <f>IFERROR(__xludf.DUMMYFUNCTION("""COMPUTED_VALUE"""),56.0)</f>
        <v>56</v>
      </c>
      <c r="B721" s="4">
        <f>IFERROR(__xludf.DUMMYFUNCTION("""COMPUTED_VALUE"""),56.0)</f>
        <v>56</v>
      </c>
      <c r="C721" s="4" t="str">
        <f>IFERROR(__xludf.DUMMYFUNCTION("""COMPUTED_VALUE"""),"NOP")</f>
        <v>NOP</v>
      </c>
      <c r="D721" s="4" t="str">
        <f>IFERROR(__xludf.DUMMYFUNCTION("""COMPUTED_VALUE"""),"Branden Dawson")</f>
        <v>Branden Dawson</v>
      </c>
      <c r="E721" s="4" t="str">
        <f>IFERROR(__xludf.DUMMYFUNCTION("""COMPUTED_VALUE"""),"Michigan State")</f>
        <v>Michigan State</v>
      </c>
      <c r="F721" s="4">
        <f>IFERROR(__xludf.DUMMYFUNCTION("""COMPUTED_VALUE"""),1.0)</f>
        <v>1</v>
      </c>
      <c r="G721" s="4">
        <f>IFERROR(__xludf.DUMMYFUNCTION("""COMPUTED_VALUE"""),6.0)</f>
        <v>6</v>
      </c>
      <c r="H721" s="4">
        <f>IFERROR(__xludf.DUMMYFUNCTION("""COMPUTED_VALUE"""),29.0)</f>
        <v>29</v>
      </c>
      <c r="I721" s="4">
        <f>IFERROR(__xludf.DUMMYFUNCTION("""COMPUTED_VALUE"""),5.0)</f>
        <v>5</v>
      </c>
      <c r="J721" s="4">
        <f>IFERROR(__xludf.DUMMYFUNCTION("""COMPUTED_VALUE"""),4.0)</f>
        <v>4</v>
      </c>
      <c r="K721" s="4">
        <f>IFERROR(__xludf.DUMMYFUNCTION("""COMPUTED_VALUE"""),0.0)</f>
        <v>0</v>
      </c>
      <c r="L721" s="4">
        <f>IFERROR(__xludf.DUMMYFUNCTION("""COMPUTED_VALUE"""),0.4)</f>
        <v>0.4</v>
      </c>
      <c r="M721" s="4"/>
      <c r="N721" s="4">
        <f>IFERROR(__xludf.DUMMYFUNCTION("""COMPUTED_VALUE"""),1.0)</f>
        <v>1</v>
      </c>
      <c r="O721" s="4">
        <f>IFERROR(__xludf.DUMMYFUNCTION("""COMPUTED_VALUE"""),4.8)</f>
        <v>4.8</v>
      </c>
      <c r="P721" s="4">
        <f>IFERROR(__xludf.DUMMYFUNCTION("""COMPUTED_VALUE"""),0.8)</f>
        <v>0.8</v>
      </c>
      <c r="Q721" s="4">
        <f>IFERROR(__xludf.DUMMYFUNCTION("""COMPUTED_VALUE"""),0.7)</f>
        <v>0.7</v>
      </c>
      <c r="R721" s="4">
        <f>IFERROR(__xludf.DUMMYFUNCTION("""COMPUTED_VALUE"""),0.0)</f>
        <v>0</v>
      </c>
      <c r="S721" s="4">
        <f>IFERROR(__xludf.DUMMYFUNCTION("""COMPUTED_VALUE"""),0.0)</f>
        <v>0</v>
      </c>
      <c r="T721" s="4">
        <f>IFERROR(__xludf.DUMMYFUNCTION("""COMPUTED_VALUE"""),0.069)</f>
        <v>0.069</v>
      </c>
      <c r="U721" s="4">
        <f>IFERROR(__xludf.DUMMYFUNCTION("""COMPUTED_VALUE"""),-5.7)</f>
        <v>-5.7</v>
      </c>
      <c r="V721" s="4">
        <f>IFERROR(__xludf.DUMMYFUNCTION("""COMPUTED_VALUE"""),0.0)</f>
        <v>0</v>
      </c>
    </row>
    <row r="722">
      <c r="A722" s="4">
        <f>IFERROR(__xludf.DUMMYFUNCTION("""COMPUTED_VALUE"""),57.0)</f>
        <v>57</v>
      </c>
      <c r="B722" s="4">
        <f>IFERROR(__xludf.DUMMYFUNCTION("""COMPUTED_VALUE"""),57.0)</f>
        <v>57</v>
      </c>
      <c r="C722" s="4" t="str">
        <f>IFERROR(__xludf.DUMMYFUNCTION("""COMPUTED_VALUE"""),"DEN")</f>
        <v>DEN</v>
      </c>
      <c r="D722" s="4" t="str">
        <f>IFERROR(__xludf.DUMMYFUNCTION("""COMPUTED_VALUE"""),"Nikola Radičević")</f>
        <v>Nikola Radičević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>
        <f>IFERROR(__xludf.DUMMYFUNCTION("""COMPUTED_VALUE"""),58.0)</f>
        <v>58</v>
      </c>
      <c r="B723" s="4">
        <f>IFERROR(__xludf.DUMMYFUNCTION("""COMPUTED_VALUE"""),58.0)</f>
        <v>58</v>
      </c>
      <c r="C723" s="4" t="str">
        <f>IFERROR(__xludf.DUMMYFUNCTION("""COMPUTED_VALUE"""),"PHI")</f>
        <v>PHI</v>
      </c>
      <c r="D723" s="4" t="str">
        <f>IFERROR(__xludf.DUMMYFUNCTION("""COMPUTED_VALUE"""),"J.P. Tokoto")</f>
        <v>J.P. Tokoto</v>
      </c>
      <c r="E723" s="4" t="str">
        <f>IFERROR(__xludf.DUMMYFUNCTION("""COMPUTED_VALUE"""),"UNC")</f>
        <v>UNC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>
        <f>IFERROR(__xludf.DUMMYFUNCTION("""COMPUTED_VALUE"""),59.0)</f>
        <v>59</v>
      </c>
      <c r="B724" s="4">
        <f>IFERROR(__xludf.DUMMYFUNCTION("""COMPUTED_VALUE"""),59.0)</f>
        <v>59</v>
      </c>
      <c r="C724" s="4" t="str">
        <f>IFERROR(__xludf.DUMMYFUNCTION("""COMPUTED_VALUE"""),"ATL")</f>
        <v>ATL</v>
      </c>
      <c r="D724" s="4" t="str">
        <f>IFERROR(__xludf.DUMMYFUNCTION("""COMPUTED_VALUE"""),"Dimitrios Agravanis")</f>
        <v>Dimitrios Agravanis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>
        <f>IFERROR(__xludf.DUMMYFUNCTION("""COMPUTED_VALUE"""),60.0)</f>
        <v>60</v>
      </c>
      <c r="B725" s="4">
        <f>IFERROR(__xludf.DUMMYFUNCTION("""COMPUTED_VALUE"""),60.0)</f>
        <v>60</v>
      </c>
      <c r="C725" s="4" t="str">
        <f>IFERROR(__xludf.DUMMYFUNCTION("""COMPUTED_VALUE"""),"PHI")</f>
        <v>PHI</v>
      </c>
      <c r="D725" s="4" t="str">
        <f>IFERROR(__xludf.DUMMYFUNCTION("""COMPUTED_VALUE"""),"Luka Mitrović")</f>
        <v>Luka Mitrović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7">
      <c r="A727" s="2">
        <v>2014.0</v>
      </c>
    </row>
    <row r="728">
      <c r="A728" s="4" t="str">
        <f>IFERROR(__xludf.DUMMYFUNCTION("IMPORTHTML(""https://www.basketball-reference.com/draft/NBA_2014.html"", ""table"", 1)"),"")</f>
        <v/>
      </c>
      <c r="B728" s="4"/>
      <c r="C728" s="4"/>
      <c r="D728" s="4" t="str">
        <f>IFERROR(__xludf.DUMMYFUNCTION("""COMPUTED_VALUE"""),"Round 1")</f>
        <v>Round 1</v>
      </c>
      <c r="E728" s="4"/>
      <c r="F728" s="4"/>
      <c r="G728" s="4" t="str">
        <f>IFERROR(__xludf.DUMMYFUNCTION("""COMPUTED_VALUE"""),"Totals")</f>
        <v>Totals</v>
      </c>
      <c r="H728" s="4"/>
      <c r="I728" s="4"/>
      <c r="J728" s="4"/>
      <c r="K728" s="4"/>
      <c r="L728" s="4" t="str">
        <f>IFERROR(__xludf.DUMMYFUNCTION("""COMPUTED_VALUE"""),"Shooting")</f>
        <v>Shooting</v>
      </c>
      <c r="M728" s="4"/>
      <c r="N728" s="4"/>
      <c r="O728" s="4" t="str">
        <f>IFERROR(__xludf.DUMMYFUNCTION("""COMPUTED_VALUE"""),"Per Game")</f>
        <v>Per Game</v>
      </c>
      <c r="P728" s="4"/>
      <c r="Q728" s="4"/>
      <c r="R728" s="4"/>
      <c r="S728" s="4" t="str">
        <f>IFERROR(__xludf.DUMMYFUNCTION("""COMPUTED_VALUE"""),"Advanced")</f>
        <v>Advanced</v>
      </c>
      <c r="T728" s="4"/>
      <c r="U728" s="4"/>
      <c r="V728" s="4"/>
    </row>
    <row r="729">
      <c r="A729" s="4" t="str">
        <f>IFERROR(__xludf.DUMMYFUNCTION("""COMPUTED_VALUE"""),"Rk")</f>
        <v>Rk</v>
      </c>
      <c r="B729" s="4" t="str">
        <f>IFERROR(__xludf.DUMMYFUNCTION("""COMPUTED_VALUE"""),"Pk")</f>
        <v>Pk</v>
      </c>
      <c r="C729" s="4" t="str">
        <f>IFERROR(__xludf.DUMMYFUNCTION("""COMPUTED_VALUE"""),"Tm")</f>
        <v>Tm</v>
      </c>
      <c r="D729" s="4" t="str">
        <f>IFERROR(__xludf.DUMMYFUNCTION("""COMPUTED_VALUE"""),"Player")</f>
        <v>Player</v>
      </c>
      <c r="E729" s="4" t="str">
        <f>IFERROR(__xludf.DUMMYFUNCTION("""COMPUTED_VALUE"""),"College")</f>
        <v>College</v>
      </c>
      <c r="F729" s="4" t="str">
        <f>IFERROR(__xludf.DUMMYFUNCTION("""COMPUTED_VALUE"""),"Yrs")</f>
        <v>Yrs</v>
      </c>
      <c r="G729" s="4" t="str">
        <f>IFERROR(__xludf.DUMMYFUNCTION("""COMPUTED_VALUE"""),"G")</f>
        <v>G</v>
      </c>
      <c r="H729" s="4" t="str">
        <f>IFERROR(__xludf.DUMMYFUNCTION("""COMPUTED_VALUE"""),"MP")</f>
        <v>MP</v>
      </c>
      <c r="I729" s="4" t="str">
        <f>IFERROR(__xludf.DUMMYFUNCTION("""COMPUTED_VALUE"""),"PTS")</f>
        <v>PTS</v>
      </c>
      <c r="J729" s="4" t="str">
        <f>IFERROR(__xludf.DUMMYFUNCTION("""COMPUTED_VALUE"""),"TRB")</f>
        <v>TRB</v>
      </c>
      <c r="K729" s="4" t="str">
        <f>IFERROR(__xludf.DUMMYFUNCTION("""COMPUTED_VALUE"""),"AST")</f>
        <v>AST</v>
      </c>
      <c r="L729" s="4" t="str">
        <f>IFERROR(__xludf.DUMMYFUNCTION("""COMPUTED_VALUE"""),"FG%")</f>
        <v>FG%</v>
      </c>
      <c r="M729" s="4" t="str">
        <f>IFERROR(__xludf.DUMMYFUNCTION("""COMPUTED_VALUE"""),"3P%")</f>
        <v>3P%</v>
      </c>
      <c r="N729" s="4" t="str">
        <f>IFERROR(__xludf.DUMMYFUNCTION("""COMPUTED_VALUE"""),"FT%")</f>
        <v>FT%</v>
      </c>
      <c r="O729" s="4" t="str">
        <f>IFERROR(__xludf.DUMMYFUNCTION("""COMPUTED_VALUE"""),"MP")</f>
        <v>MP</v>
      </c>
      <c r="P729" s="4" t="str">
        <f>IFERROR(__xludf.DUMMYFUNCTION("""COMPUTED_VALUE"""),"PTS")</f>
        <v>PTS</v>
      </c>
      <c r="Q729" s="4" t="str">
        <f>IFERROR(__xludf.DUMMYFUNCTION("""COMPUTED_VALUE"""),"TRB")</f>
        <v>TRB</v>
      </c>
      <c r="R729" s="4" t="str">
        <f>IFERROR(__xludf.DUMMYFUNCTION("""COMPUTED_VALUE"""),"AST")</f>
        <v>AST</v>
      </c>
      <c r="S729" s="4" t="str">
        <f>IFERROR(__xludf.DUMMYFUNCTION("""COMPUTED_VALUE"""),"WS")</f>
        <v>WS</v>
      </c>
      <c r="T729" s="4" t="str">
        <f>IFERROR(__xludf.DUMMYFUNCTION("""COMPUTED_VALUE"""),"WS/48")</f>
        <v>WS/48</v>
      </c>
      <c r="U729" s="4" t="str">
        <f>IFERROR(__xludf.DUMMYFUNCTION("""COMPUTED_VALUE"""),"BPM")</f>
        <v>BPM</v>
      </c>
      <c r="V729" s="4" t="str">
        <f>IFERROR(__xludf.DUMMYFUNCTION("""COMPUTED_VALUE"""),"VORP")</f>
        <v>VORP</v>
      </c>
    </row>
    <row r="730">
      <c r="A730" s="4">
        <f>IFERROR(__xludf.DUMMYFUNCTION("""COMPUTED_VALUE"""),1.0)</f>
        <v>1</v>
      </c>
      <c r="B730" s="4">
        <f>IFERROR(__xludf.DUMMYFUNCTION("""COMPUTED_VALUE"""),1.0)</f>
        <v>1</v>
      </c>
      <c r="C730" s="4" t="str">
        <f>IFERROR(__xludf.DUMMYFUNCTION("""COMPUTED_VALUE"""),"CLE")</f>
        <v>CLE</v>
      </c>
      <c r="D730" s="4" t="str">
        <f>IFERROR(__xludf.DUMMYFUNCTION("""COMPUTED_VALUE"""),"Andrew Wiggins")</f>
        <v>Andrew Wiggins</v>
      </c>
      <c r="E730" s="4" t="str">
        <f>IFERROR(__xludf.DUMMYFUNCTION("""COMPUTED_VALUE"""),"Kansas")</f>
        <v>Kansas</v>
      </c>
      <c r="F730" s="4">
        <f>IFERROR(__xludf.DUMMYFUNCTION("""COMPUTED_VALUE"""),12.0)</f>
        <v>12</v>
      </c>
      <c r="G730" s="4">
        <f>IFERROR(__xludf.DUMMYFUNCTION("""COMPUTED_VALUE"""),784.0)</f>
        <v>784</v>
      </c>
      <c r="H730" s="4">
        <f>IFERROR(__xludf.DUMMYFUNCTION("""COMPUTED_VALUE"""),26484.0)</f>
        <v>26484</v>
      </c>
      <c r="I730" s="4">
        <f>IFERROR(__xludf.DUMMYFUNCTION("""COMPUTED_VALUE"""),14484.0)</f>
        <v>14484</v>
      </c>
      <c r="J730" s="4">
        <f>IFERROR(__xludf.DUMMYFUNCTION("""COMPUTED_VALUE"""),3516.0)</f>
        <v>3516</v>
      </c>
      <c r="K730" s="4">
        <f>IFERROR(__xludf.DUMMYFUNCTION("""COMPUTED_VALUE"""),1807.0)</f>
        <v>1807</v>
      </c>
      <c r="L730" s="4">
        <f>IFERROR(__xludf.DUMMYFUNCTION("""COMPUTED_VALUE"""),0.45)</f>
        <v>0.45</v>
      </c>
      <c r="M730" s="4">
        <f>IFERROR(__xludf.DUMMYFUNCTION("""COMPUTED_VALUE"""),0.357)</f>
        <v>0.357</v>
      </c>
      <c r="N730" s="4">
        <f>IFERROR(__xludf.DUMMYFUNCTION("""COMPUTED_VALUE"""),0.725)</f>
        <v>0.725</v>
      </c>
      <c r="O730" s="4">
        <f>IFERROR(__xludf.DUMMYFUNCTION("""COMPUTED_VALUE"""),33.8)</f>
        <v>33.8</v>
      </c>
      <c r="P730" s="4">
        <f>IFERROR(__xludf.DUMMYFUNCTION("""COMPUTED_VALUE"""),18.5)</f>
        <v>18.5</v>
      </c>
      <c r="Q730" s="4">
        <f>IFERROR(__xludf.DUMMYFUNCTION("""COMPUTED_VALUE"""),4.5)</f>
        <v>4.5</v>
      </c>
      <c r="R730" s="4">
        <f>IFERROR(__xludf.DUMMYFUNCTION("""COMPUTED_VALUE"""),2.3)</f>
        <v>2.3</v>
      </c>
      <c r="S730" s="4">
        <f>IFERROR(__xludf.DUMMYFUNCTION("""COMPUTED_VALUE"""),34.2)</f>
        <v>34.2</v>
      </c>
      <c r="T730" s="4">
        <f>IFERROR(__xludf.DUMMYFUNCTION("""COMPUTED_VALUE"""),0.062)</f>
        <v>0.062</v>
      </c>
      <c r="U730" s="4">
        <f>IFERROR(__xludf.DUMMYFUNCTION("""COMPUTED_VALUE"""),-1.3)</f>
        <v>-1.3</v>
      </c>
      <c r="V730" s="4">
        <f>IFERROR(__xludf.DUMMYFUNCTION("""COMPUTED_VALUE"""),4.5)</f>
        <v>4.5</v>
      </c>
    </row>
    <row r="731">
      <c r="A731" s="4">
        <f>IFERROR(__xludf.DUMMYFUNCTION("""COMPUTED_VALUE"""),2.0)</f>
        <v>2</v>
      </c>
      <c r="B731" s="4">
        <f>IFERROR(__xludf.DUMMYFUNCTION("""COMPUTED_VALUE"""),2.0)</f>
        <v>2</v>
      </c>
      <c r="C731" s="4" t="str">
        <f>IFERROR(__xludf.DUMMYFUNCTION("""COMPUTED_VALUE"""),"MIL")</f>
        <v>MIL</v>
      </c>
      <c r="D731" s="4" t="str">
        <f>IFERROR(__xludf.DUMMYFUNCTION("""COMPUTED_VALUE"""),"Jabari Parker")</f>
        <v>Jabari Parker</v>
      </c>
      <c r="E731" s="4" t="str">
        <f>IFERROR(__xludf.DUMMYFUNCTION("""COMPUTED_VALUE"""),"Duke")</f>
        <v>Duke</v>
      </c>
      <c r="F731" s="4">
        <f>IFERROR(__xludf.DUMMYFUNCTION("""COMPUTED_VALUE"""),8.0)</f>
        <v>8</v>
      </c>
      <c r="G731" s="4">
        <f>IFERROR(__xludf.DUMMYFUNCTION("""COMPUTED_VALUE"""),310.0)</f>
        <v>310</v>
      </c>
      <c r="H731" s="4">
        <f>IFERROR(__xludf.DUMMYFUNCTION("""COMPUTED_VALUE"""),8535.0)</f>
        <v>8535</v>
      </c>
      <c r="I731" s="4">
        <f>IFERROR(__xludf.DUMMYFUNCTION("""COMPUTED_VALUE"""),4380.0)</f>
        <v>4380</v>
      </c>
      <c r="J731" s="4">
        <f>IFERROR(__xludf.DUMMYFUNCTION("""COMPUTED_VALUE"""),1703.0)</f>
        <v>1703</v>
      </c>
      <c r="K731" s="4">
        <f>IFERROR(__xludf.DUMMYFUNCTION("""COMPUTED_VALUE"""),610.0)</f>
        <v>610</v>
      </c>
      <c r="L731" s="4">
        <f>IFERROR(__xludf.DUMMYFUNCTION("""COMPUTED_VALUE"""),0.494)</f>
        <v>0.494</v>
      </c>
      <c r="M731" s="4">
        <f>IFERROR(__xludf.DUMMYFUNCTION("""COMPUTED_VALUE"""),0.326)</f>
        <v>0.326</v>
      </c>
      <c r="N731" s="4">
        <f>IFERROR(__xludf.DUMMYFUNCTION("""COMPUTED_VALUE"""),0.743)</f>
        <v>0.743</v>
      </c>
      <c r="O731" s="4">
        <f>IFERROR(__xludf.DUMMYFUNCTION("""COMPUTED_VALUE"""),27.5)</f>
        <v>27.5</v>
      </c>
      <c r="P731" s="4">
        <f>IFERROR(__xludf.DUMMYFUNCTION("""COMPUTED_VALUE"""),14.1)</f>
        <v>14.1</v>
      </c>
      <c r="Q731" s="4">
        <f>IFERROR(__xludf.DUMMYFUNCTION("""COMPUTED_VALUE"""),5.5)</f>
        <v>5.5</v>
      </c>
      <c r="R731" s="4">
        <f>IFERROR(__xludf.DUMMYFUNCTION("""COMPUTED_VALUE"""),2.0)</f>
        <v>2</v>
      </c>
      <c r="S731" s="4">
        <f>IFERROR(__xludf.DUMMYFUNCTION("""COMPUTED_VALUE"""),13.8)</f>
        <v>13.8</v>
      </c>
      <c r="T731" s="4">
        <f>IFERROR(__xludf.DUMMYFUNCTION("""COMPUTED_VALUE"""),0.078)</f>
        <v>0.078</v>
      </c>
      <c r="U731" s="4">
        <f>IFERROR(__xludf.DUMMYFUNCTION("""COMPUTED_VALUE"""),-0.8)</f>
        <v>-0.8</v>
      </c>
      <c r="V731" s="4">
        <f>IFERROR(__xludf.DUMMYFUNCTION("""COMPUTED_VALUE"""),2.5)</f>
        <v>2.5</v>
      </c>
    </row>
    <row r="732">
      <c r="A732" s="4">
        <f>IFERROR(__xludf.DUMMYFUNCTION("""COMPUTED_VALUE"""),3.0)</f>
        <v>3</v>
      </c>
      <c r="B732" s="4">
        <f>IFERROR(__xludf.DUMMYFUNCTION("""COMPUTED_VALUE"""),3.0)</f>
        <v>3</v>
      </c>
      <c r="C732" s="4" t="str">
        <f>IFERROR(__xludf.DUMMYFUNCTION("""COMPUTED_VALUE"""),"PHI")</f>
        <v>PHI</v>
      </c>
      <c r="D732" s="4" t="str">
        <f>IFERROR(__xludf.DUMMYFUNCTION("""COMPUTED_VALUE"""),"Joel Embiid")</f>
        <v>Joel Embiid</v>
      </c>
      <c r="E732" s="4" t="str">
        <f>IFERROR(__xludf.DUMMYFUNCTION("""COMPUTED_VALUE"""),"Kansas")</f>
        <v>Kansas</v>
      </c>
      <c r="F732" s="4">
        <f>IFERROR(__xludf.DUMMYFUNCTION("""COMPUTED_VALUE"""),10.0)</f>
        <v>10</v>
      </c>
      <c r="G732" s="4">
        <f>IFERROR(__xludf.DUMMYFUNCTION("""COMPUTED_VALUE"""),459.0)</f>
        <v>459</v>
      </c>
      <c r="H732" s="4">
        <f>IFERROR(__xludf.DUMMYFUNCTION("""COMPUTED_VALUE"""),14577.0)</f>
        <v>14577</v>
      </c>
      <c r="I732" s="4">
        <f>IFERROR(__xludf.DUMMYFUNCTION("""COMPUTED_VALUE"""),12659.0)</f>
        <v>12659</v>
      </c>
      <c r="J732" s="4">
        <f>IFERROR(__xludf.DUMMYFUNCTION("""COMPUTED_VALUE"""),5024.0)</f>
        <v>5024</v>
      </c>
      <c r="K732" s="4">
        <f>IFERROR(__xludf.DUMMYFUNCTION("""COMPUTED_VALUE"""),1680.0)</f>
        <v>1680</v>
      </c>
      <c r="L732" s="4">
        <f>IFERROR(__xludf.DUMMYFUNCTION("""COMPUTED_VALUE"""),0.501)</f>
        <v>0.501</v>
      </c>
      <c r="M732" s="4">
        <f>IFERROR(__xludf.DUMMYFUNCTION("""COMPUTED_VALUE"""),0.338)</f>
        <v>0.338</v>
      </c>
      <c r="N732" s="4">
        <f>IFERROR(__xludf.DUMMYFUNCTION("""COMPUTED_VALUE"""),0.828)</f>
        <v>0.828</v>
      </c>
      <c r="O732" s="4">
        <f>IFERROR(__xludf.DUMMYFUNCTION("""COMPUTED_VALUE"""),31.8)</f>
        <v>31.8</v>
      </c>
      <c r="P732" s="4">
        <f>IFERROR(__xludf.DUMMYFUNCTION("""COMPUTED_VALUE"""),27.6)</f>
        <v>27.6</v>
      </c>
      <c r="Q732" s="4">
        <f>IFERROR(__xludf.DUMMYFUNCTION("""COMPUTED_VALUE"""),10.9)</f>
        <v>10.9</v>
      </c>
      <c r="R732" s="4">
        <f>IFERROR(__xludf.DUMMYFUNCTION("""COMPUTED_VALUE"""),3.7)</f>
        <v>3.7</v>
      </c>
      <c r="S732" s="4">
        <f>IFERROR(__xludf.DUMMYFUNCTION("""COMPUTED_VALUE"""),65.3)</f>
        <v>65.3</v>
      </c>
      <c r="T732" s="4">
        <f>IFERROR(__xludf.DUMMYFUNCTION("""COMPUTED_VALUE"""),0.215)</f>
        <v>0.215</v>
      </c>
      <c r="U732" s="4">
        <f>IFERROR(__xludf.DUMMYFUNCTION("""COMPUTED_VALUE"""),6.8)</f>
        <v>6.8</v>
      </c>
      <c r="V732" s="4">
        <f>IFERROR(__xludf.DUMMYFUNCTION("""COMPUTED_VALUE"""),32.4)</f>
        <v>32.4</v>
      </c>
    </row>
    <row r="733">
      <c r="A733" s="4">
        <f>IFERROR(__xludf.DUMMYFUNCTION("""COMPUTED_VALUE"""),4.0)</f>
        <v>4</v>
      </c>
      <c r="B733" s="4">
        <f>IFERROR(__xludf.DUMMYFUNCTION("""COMPUTED_VALUE"""),4.0)</f>
        <v>4</v>
      </c>
      <c r="C733" s="4" t="str">
        <f>IFERROR(__xludf.DUMMYFUNCTION("""COMPUTED_VALUE"""),"ORL")</f>
        <v>ORL</v>
      </c>
      <c r="D733" s="4" t="str">
        <f>IFERROR(__xludf.DUMMYFUNCTION("""COMPUTED_VALUE"""),"Aaron Gordon")</f>
        <v>Aaron Gordon</v>
      </c>
      <c r="E733" s="4" t="str">
        <f>IFERROR(__xludf.DUMMYFUNCTION("""COMPUTED_VALUE"""),"Arizona")</f>
        <v>Arizona</v>
      </c>
      <c r="F733" s="4">
        <f>IFERROR(__xludf.DUMMYFUNCTION("""COMPUTED_VALUE"""),12.0)</f>
        <v>12</v>
      </c>
      <c r="G733" s="4">
        <f>IFERROR(__xludf.DUMMYFUNCTION("""COMPUTED_VALUE"""),733.0)</f>
        <v>733</v>
      </c>
      <c r="H733" s="4">
        <f>IFERROR(__xludf.DUMMYFUNCTION("""COMPUTED_VALUE"""),21444.0)</f>
        <v>21444</v>
      </c>
      <c r="I733" s="4">
        <f>IFERROR(__xludf.DUMMYFUNCTION("""COMPUTED_VALUE"""),10001.0)</f>
        <v>10001</v>
      </c>
      <c r="J733" s="4">
        <f>IFERROR(__xludf.DUMMYFUNCTION("""COMPUTED_VALUE"""),4551.0)</f>
        <v>4551</v>
      </c>
      <c r="K733" s="4">
        <f>IFERROR(__xludf.DUMMYFUNCTION("""COMPUTED_VALUE"""),1956.0)</f>
        <v>1956</v>
      </c>
      <c r="L733" s="4">
        <f>IFERROR(__xludf.DUMMYFUNCTION("""COMPUTED_VALUE"""),0.485)</f>
        <v>0.485</v>
      </c>
      <c r="M733" s="4">
        <f>IFERROR(__xludf.DUMMYFUNCTION("""COMPUTED_VALUE"""),0.334)</f>
        <v>0.334</v>
      </c>
      <c r="N733" s="4">
        <f>IFERROR(__xludf.DUMMYFUNCTION("""COMPUTED_VALUE"""),0.697)</f>
        <v>0.697</v>
      </c>
      <c r="O733" s="4">
        <f>IFERROR(__xludf.DUMMYFUNCTION("""COMPUTED_VALUE"""),29.3)</f>
        <v>29.3</v>
      </c>
      <c r="P733" s="4">
        <f>IFERROR(__xludf.DUMMYFUNCTION("""COMPUTED_VALUE"""),13.6)</f>
        <v>13.6</v>
      </c>
      <c r="Q733" s="4">
        <f>IFERROR(__xludf.DUMMYFUNCTION("""COMPUTED_VALUE"""),6.2)</f>
        <v>6.2</v>
      </c>
      <c r="R733" s="4">
        <f>IFERROR(__xludf.DUMMYFUNCTION("""COMPUTED_VALUE"""),2.7)</f>
        <v>2.7</v>
      </c>
      <c r="S733" s="4">
        <f>IFERROR(__xludf.DUMMYFUNCTION("""COMPUTED_VALUE"""),48.3)</f>
        <v>48.3</v>
      </c>
      <c r="T733" s="4">
        <f>IFERROR(__xludf.DUMMYFUNCTION("""COMPUTED_VALUE"""),0.108)</f>
        <v>0.108</v>
      </c>
      <c r="U733" s="4">
        <f>IFERROR(__xludf.DUMMYFUNCTION("""COMPUTED_VALUE"""),0.4)</f>
        <v>0.4</v>
      </c>
      <c r="V733" s="4">
        <f>IFERROR(__xludf.DUMMYFUNCTION("""COMPUTED_VALUE"""),12.8)</f>
        <v>12.8</v>
      </c>
    </row>
    <row r="734">
      <c r="A734" s="4">
        <f>IFERROR(__xludf.DUMMYFUNCTION("""COMPUTED_VALUE"""),5.0)</f>
        <v>5</v>
      </c>
      <c r="B734" s="4">
        <f>IFERROR(__xludf.DUMMYFUNCTION("""COMPUTED_VALUE"""),5.0)</f>
        <v>5</v>
      </c>
      <c r="C734" s="4" t="str">
        <f>IFERROR(__xludf.DUMMYFUNCTION("""COMPUTED_VALUE"""),"UTA")</f>
        <v>UTA</v>
      </c>
      <c r="D734" s="4" t="str">
        <f>IFERROR(__xludf.DUMMYFUNCTION("""COMPUTED_VALUE"""),"Dante Exum")</f>
        <v>Dante Exum</v>
      </c>
      <c r="E734" s="4"/>
      <c r="F734" s="4">
        <f>IFERROR(__xludf.DUMMYFUNCTION("""COMPUTED_VALUE"""),8.0)</f>
        <v>8</v>
      </c>
      <c r="G734" s="4">
        <f>IFERROR(__xludf.DUMMYFUNCTION("""COMPUTED_VALUE"""),320.0)</f>
        <v>320</v>
      </c>
      <c r="H734" s="4">
        <f>IFERROR(__xludf.DUMMYFUNCTION("""COMPUTED_VALUE"""),6005.0)</f>
        <v>6005</v>
      </c>
      <c r="I734" s="4">
        <f>IFERROR(__xludf.DUMMYFUNCTION("""COMPUTED_VALUE"""),1991.0)</f>
        <v>1991</v>
      </c>
      <c r="J734" s="4">
        <f>IFERROR(__xludf.DUMMYFUNCTION("""COMPUTED_VALUE"""),623.0)</f>
        <v>623</v>
      </c>
      <c r="K734" s="4">
        <f>IFERROR(__xludf.DUMMYFUNCTION("""COMPUTED_VALUE"""),728.0)</f>
        <v>728</v>
      </c>
      <c r="L734" s="4">
        <f>IFERROR(__xludf.DUMMYFUNCTION("""COMPUTED_VALUE"""),0.435)</f>
        <v>0.435</v>
      </c>
      <c r="M734" s="4">
        <f>IFERROR(__xludf.DUMMYFUNCTION("""COMPUTED_VALUE"""),0.343)</f>
        <v>0.343</v>
      </c>
      <c r="N734" s="4">
        <f>IFERROR(__xludf.DUMMYFUNCTION("""COMPUTED_VALUE"""),0.765)</f>
        <v>0.765</v>
      </c>
      <c r="O734" s="4">
        <f>IFERROR(__xludf.DUMMYFUNCTION("""COMPUTED_VALUE"""),18.8)</f>
        <v>18.8</v>
      </c>
      <c r="P734" s="4">
        <f>IFERROR(__xludf.DUMMYFUNCTION("""COMPUTED_VALUE"""),6.2)</f>
        <v>6.2</v>
      </c>
      <c r="Q734" s="4">
        <f>IFERROR(__xludf.DUMMYFUNCTION("""COMPUTED_VALUE"""),1.9)</f>
        <v>1.9</v>
      </c>
      <c r="R734" s="4">
        <f>IFERROR(__xludf.DUMMYFUNCTION("""COMPUTED_VALUE"""),2.3)</f>
        <v>2.3</v>
      </c>
      <c r="S734" s="4">
        <f>IFERROR(__xludf.DUMMYFUNCTION("""COMPUTED_VALUE"""),6.6)</f>
        <v>6.6</v>
      </c>
      <c r="T734" s="4">
        <f>IFERROR(__xludf.DUMMYFUNCTION("""COMPUTED_VALUE"""),0.053)</f>
        <v>0.053</v>
      </c>
      <c r="U734" s="4">
        <f>IFERROR(__xludf.DUMMYFUNCTION("""COMPUTED_VALUE"""),-2.8)</f>
        <v>-2.8</v>
      </c>
      <c r="V734" s="4">
        <f>IFERROR(__xludf.DUMMYFUNCTION("""COMPUTED_VALUE"""),-1.2)</f>
        <v>-1.2</v>
      </c>
    </row>
    <row r="735">
      <c r="A735" s="4">
        <f>IFERROR(__xludf.DUMMYFUNCTION("""COMPUTED_VALUE"""),6.0)</f>
        <v>6</v>
      </c>
      <c r="B735" s="4">
        <f>IFERROR(__xludf.DUMMYFUNCTION("""COMPUTED_VALUE"""),6.0)</f>
        <v>6</v>
      </c>
      <c r="C735" s="4" t="str">
        <f>IFERROR(__xludf.DUMMYFUNCTION("""COMPUTED_VALUE"""),"BOS")</f>
        <v>BOS</v>
      </c>
      <c r="D735" s="4" t="str">
        <f>IFERROR(__xludf.DUMMYFUNCTION("""COMPUTED_VALUE"""),"Marcus Smart")</f>
        <v>Marcus Smart</v>
      </c>
      <c r="E735" s="4" t="str">
        <f>IFERROR(__xludf.DUMMYFUNCTION("""COMPUTED_VALUE"""),"Oklahoma State")</f>
        <v>Oklahoma State</v>
      </c>
      <c r="F735" s="4">
        <f>IFERROR(__xludf.DUMMYFUNCTION("""COMPUTED_VALUE"""),12.0)</f>
        <v>12</v>
      </c>
      <c r="G735" s="4">
        <f>IFERROR(__xludf.DUMMYFUNCTION("""COMPUTED_VALUE"""),649.0)</f>
        <v>649</v>
      </c>
      <c r="H735" s="4">
        <f>IFERROR(__xludf.DUMMYFUNCTION("""COMPUTED_VALUE"""),19101.0)</f>
        <v>19101</v>
      </c>
      <c r="I735" s="4">
        <f>IFERROR(__xludf.DUMMYFUNCTION("""COMPUTED_VALUE"""),6865.0)</f>
        <v>6865</v>
      </c>
      <c r="J735" s="4">
        <f>IFERROR(__xludf.DUMMYFUNCTION("""COMPUTED_VALUE"""),2215.0)</f>
        <v>2215</v>
      </c>
      <c r="K735" s="4">
        <f>IFERROR(__xludf.DUMMYFUNCTION("""COMPUTED_VALUE"""),2936.0)</f>
        <v>2936</v>
      </c>
      <c r="L735" s="4">
        <f>IFERROR(__xludf.DUMMYFUNCTION("""COMPUTED_VALUE"""),0.388)</f>
        <v>0.388</v>
      </c>
      <c r="M735" s="4">
        <f>IFERROR(__xludf.DUMMYFUNCTION("""COMPUTED_VALUE"""),0.322)</f>
        <v>0.322</v>
      </c>
      <c r="N735" s="4">
        <f>IFERROR(__xludf.DUMMYFUNCTION("""COMPUTED_VALUE"""),0.779)</f>
        <v>0.779</v>
      </c>
      <c r="O735" s="4">
        <f>IFERROR(__xludf.DUMMYFUNCTION("""COMPUTED_VALUE"""),29.4)</f>
        <v>29.4</v>
      </c>
      <c r="P735" s="4">
        <f>IFERROR(__xludf.DUMMYFUNCTION("""COMPUTED_VALUE"""),10.6)</f>
        <v>10.6</v>
      </c>
      <c r="Q735" s="4">
        <f>IFERROR(__xludf.DUMMYFUNCTION("""COMPUTED_VALUE"""),3.4)</f>
        <v>3.4</v>
      </c>
      <c r="R735" s="4">
        <f>IFERROR(__xludf.DUMMYFUNCTION("""COMPUTED_VALUE"""),4.5)</f>
        <v>4.5</v>
      </c>
      <c r="S735" s="4">
        <f>IFERROR(__xludf.DUMMYFUNCTION("""COMPUTED_VALUE"""),34.7)</f>
        <v>34.7</v>
      </c>
      <c r="T735" s="4">
        <f>IFERROR(__xludf.DUMMYFUNCTION("""COMPUTED_VALUE"""),0.087)</f>
        <v>0.087</v>
      </c>
      <c r="U735" s="4">
        <f>IFERROR(__xludf.DUMMYFUNCTION("""COMPUTED_VALUE"""),-0.4)</f>
        <v>-0.4</v>
      </c>
      <c r="V735" s="4">
        <f>IFERROR(__xludf.DUMMYFUNCTION("""COMPUTED_VALUE"""),7.7)</f>
        <v>7.7</v>
      </c>
    </row>
    <row r="736">
      <c r="A736" s="4">
        <f>IFERROR(__xludf.DUMMYFUNCTION("""COMPUTED_VALUE"""),7.0)</f>
        <v>7</v>
      </c>
      <c r="B736" s="4">
        <f>IFERROR(__xludf.DUMMYFUNCTION("""COMPUTED_VALUE"""),7.0)</f>
        <v>7</v>
      </c>
      <c r="C736" s="4" t="str">
        <f>IFERROR(__xludf.DUMMYFUNCTION("""COMPUTED_VALUE"""),"LAL")</f>
        <v>LAL</v>
      </c>
      <c r="D736" s="4" t="str">
        <f>IFERROR(__xludf.DUMMYFUNCTION("""COMPUTED_VALUE"""),"Julius Randle")</f>
        <v>Julius Randle</v>
      </c>
      <c r="E736" s="4" t="str">
        <f>IFERROR(__xludf.DUMMYFUNCTION("""COMPUTED_VALUE"""),"Kentucky")</f>
        <v>Kentucky</v>
      </c>
      <c r="F736" s="4">
        <f>IFERROR(__xludf.DUMMYFUNCTION("""COMPUTED_VALUE"""),12.0)</f>
        <v>12</v>
      </c>
      <c r="G736" s="4">
        <f>IFERROR(__xludf.DUMMYFUNCTION("""COMPUTED_VALUE"""),731.0)</f>
        <v>731</v>
      </c>
      <c r="H736" s="4">
        <f>IFERROR(__xludf.DUMMYFUNCTION("""COMPUTED_VALUE"""),23441.0)</f>
        <v>23441</v>
      </c>
      <c r="I736" s="4">
        <f>IFERROR(__xludf.DUMMYFUNCTION("""COMPUTED_VALUE"""),13993.0)</f>
        <v>13993</v>
      </c>
      <c r="J736" s="4">
        <f>IFERROR(__xludf.DUMMYFUNCTION("""COMPUTED_VALUE"""),6646.0)</f>
        <v>6646</v>
      </c>
      <c r="K736" s="4">
        <f>IFERROR(__xludf.DUMMYFUNCTION("""COMPUTED_VALUE"""),2836.0)</f>
        <v>2836</v>
      </c>
      <c r="L736" s="4">
        <f>IFERROR(__xludf.DUMMYFUNCTION("""COMPUTED_VALUE"""),0.472)</f>
        <v>0.472</v>
      </c>
      <c r="M736" s="4">
        <f>IFERROR(__xludf.DUMMYFUNCTION("""COMPUTED_VALUE"""),0.335)</f>
        <v>0.335</v>
      </c>
      <c r="N736" s="4">
        <f>IFERROR(__xludf.DUMMYFUNCTION("""COMPUTED_VALUE"""),0.756)</f>
        <v>0.756</v>
      </c>
      <c r="O736" s="4">
        <f>IFERROR(__xludf.DUMMYFUNCTION("""COMPUTED_VALUE"""),32.1)</f>
        <v>32.1</v>
      </c>
      <c r="P736" s="4">
        <f>IFERROR(__xludf.DUMMYFUNCTION("""COMPUTED_VALUE"""),19.1)</f>
        <v>19.1</v>
      </c>
      <c r="Q736" s="4">
        <f>IFERROR(__xludf.DUMMYFUNCTION("""COMPUTED_VALUE"""),9.1)</f>
        <v>9.1</v>
      </c>
      <c r="R736" s="4">
        <f>IFERROR(__xludf.DUMMYFUNCTION("""COMPUTED_VALUE"""),3.9)</f>
        <v>3.9</v>
      </c>
      <c r="S736" s="4">
        <f>IFERROR(__xludf.DUMMYFUNCTION("""COMPUTED_VALUE"""),52.3)</f>
        <v>52.3</v>
      </c>
      <c r="T736" s="4">
        <f>IFERROR(__xludf.DUMMYFUNCTION("""COMPUTED_VALUE"""),0.107)</f>
        <v>0.107</v>
      </c>
      <c r="U736" s="4">
        <f>IFERROR(__xludf.DUMMYFUNCTION("""COMPUTED_VALUE"""),1.1)</f>
        <v>1.1</v>
      </c>
      <c r="V736" s="4">
        <f>IFERROR(__xludf.DUMMYFUNCTION("""COMPUTED_VALUE"""),18.2)</f>
        <v>18.2</v>
      </c>
    </row>
    <row r="737">
      <c r="A737" s="4">
        <f>IFERROR(__xludf.DUMMYFUNCTION("""COMPUTED_VALUE"""),8.0)</f>
        <v>8</v>
      </c>
      <c r="B737" s="4">
        <f>IFERROR(__xludf.DUMMYFUNCTION("""COMPUTED_VALUE"""),8.0)</f>
        <v>8</v>
      </c>
      <c r="C737" s="4" t="str">
        <f>IFERROR(__xludf.DUMMYFUNCTION("""COMPUTED_VALUE"""),"SAC")</f>
        <v>SAC</v>
      </c>
      <c r="D737" s="4" t="str">
        <f>IFERROR(__xludf.DUMMYFUNCTION("""COMPUTED_VALUE"""),"Nik Stauskas")</f>
        <v>Nik Stauskas</v>
      </c>
      <c r="E737" s="4" t="str">
        <f>IFERROR(__xludf.DUMMYFUNCTION("""COMPUTED_VALUE"""),"Michigan")</f>
        <v>Michigan</v>
      </c>
      <c r="F737" s="4">
        <f>IFERROR(__xludf.DUMMYFUNCTION("""COMPUTED_VALUE"""),6.0)</f>
        <v>6</v>
      </c>
      <c r="G737" s="4">
        <f>IFERROR(__xludf.DUMMYFUNCTION("""COMPUTED_VALUE"""),343.0)</f>
        <v>343</v>
      </c>
      <c r="H737" s="4">
        <f>IFERROR(__xludf.DUMMYFUNCTION("""COMPUTED_VALUE"""),6701.0)</f>
        <v>6701</v>
      </c>
      <c r="I737" s="4">
        <f>IFERROR(__xludf.DUMMYFUNCTION("""COMPUTED_VALUE"""),2290.0)</f>
        <v>2290</v>
      </c>
      <c r="J737" s="4">
        <f>IFERROR(__xludf.DUMMYFUNCTION("""COMPUTED_VALUE"""),691.0)</f>
        <v>691</v>
      </c>
      <c r="K737" s="4">
        <f>IFERROR(__xludf.DUMMYFUNCTION("""COMPUTED_VALUE"""),515.0)</f>
        <v>515</v>
      </c>
      <c r="L737" s="4">
        <f>IFERROR(__xludf.DUMMYFUNCTION("""COMPUTED_VALUE"""),0.389)</f>
        <v>0.389</v>
      </c>
      <c r="M737" s="4">
        <f>IFERROR(__xludf.DUMMYFUNCTION("""COMPUTED_VALUE"""),0.354)</f>
        <v>0.354</v>
      </c>
      <c r="N737" s="4">
        <f>IFERROR(__xludf.DUMMYFUNCTION("""COMPUTED_VALUE"""),0.812)</f>
        <v>0.812</v>
      </c>
      <c r="O737" s="4">
        <f>IFERROR(__xludf.DUMMYFUNCTION("""COMPUTED_VALUE"""),19.5)</f>
        <v>19.5</v>
      </c>
      <c r="P737" s="4">
        <f>IFERROR(__xludf.DUMMYFUNCTION("""COMPUTED_VALUE"""),6.7)</f>
        <v>6.7</v>
      </c>
      <c r="Q737" s="4">
        <f>IFERROR(__xludf.DUMMYFUNCTION("""COMPUTED_VALUE"""),2.0)</f>
        <v>2</v>
      </c>
      <c r="R737" s="4">
        <f>IFERROR(__xludf.DUMMYFUNCTION("""COMPUTED_VALUE"""),1.5)</f>
        <v>1.5</v>
      </c>
      <c r="S737" s="4">
        <f>IFERROR(__xludf.DUMMYFUNCTION("""COMPUTED_VALUE"""),3.9)</f>
        <v>3.9</v>
      </c>
      <c r="T737" s="4">
        <f>IFERROR(__xludf.DUMMYFUNCTION("""COMPUTED_VALUE"""),0.028)</f>
        <v>0.028</v>
      </c>
      <c r="U737" s="4">
        <f>IFERROR(__xludf.DUMMYFUNCTION("""COMPUTED_VALUE"""),-3.0)</f>
        <v>-3</v>
      </c>
      <c r="V737" s="4">
        <f>IFERROR(__xludf.DUMMYFUNCTION("""COMPUTED_VALUE"""),-1.7)</f>
        <v>-1.7</v>
      </c>
    </row>
    <row r="738">
      <c r="A738" s="4">
        <f>IFERROR(__xludf.DUMMYFUNCTION("""COMPUTED_VALUE"""),9.0)</f>
        <v>9</v>
      </c>
      <c r="B738" s="4">
        <f>IFERROR(__xludf.DUMMYFUNCTION("""COMPUTED_VALUE"""),9.0)</f>
        <v>9</v>
      </c>
      <c r="C738" s="4" t="str">
        <f>IFERROR(__xludf.DUMMYFUNCTION("""COMPUTED_VALUE"""),"CHO")</f>
        <v>CHO</v>
      </c>
      <c r="D738" s="4" t="str">
        <f>IFERROR(__xludf.DUMMYFUNCTION("""COMPUTED_VALUE"""),"Noah Vonleh")</f>
        <v>Noah Vonleh</v>
      </c>
      <c r="E738" s="4" t="str">
        <f>IFERROR(__xludf.DUMMYFUNCTION("""COMPUTED_VALUE"""),"Indiana")</f>
        <v>Indiana</v>
      </c>
      <c r="F738" s="4">
        <f>IFERROR(__xludf.DUMMYFUNCTION("""COMPUTED_VALUE"""),8.0)</f>
        <v>8</v>
      </c>
      <c r="G738" s="4">
        <f>IFERROR(__xludf.DUMMYFUNCTION("""COMPUTED_VALUE"""),362.0)</f>
        <v>362</v>
      </c>
      <c r="H738" s="4">
        <f>IFERROR(__xludf.DUMMYFUNCTION("""COMPUTED_VALUE"""),5854.0)</f>
        <v>5854</v>
      </c>
      <c r="I738" s="4">
        <f>IFERROR(__xludf.DUMMYFUNCTION("""COMPUTED_VALUE"""),1685.0)</f>
        <v>1685</v>
      </c>
      <c r="J738" s="4">
        <f>IFERROR(__xludf.DUMMYFUNCTION("""COMPUTED_VALUE"""),1790.0)</f>
        <v>1790</v>
      </c>
      <c r="K738" s="4">
        <f>IFERROR(__xludf.DUMMYFUNCTION("""COMPUTED_VALUE"""),264.0)</f>
        <v>264</v>
      </c>
      <c r="L738" s="4">
        <f>IFERROR(__xludf.DUMMYFUNCTION("""COMPUTED_VALUE"""),0.459)</f>
        <v>0.459</v>
      </c>
      <c r="M738" s="4">
        <f>IFERROR(__xludf.DUMMYFUNCTION("""COMPUTED_VALUE"""),0.307)</f>
        <v>0.307</v>
      </c>
      <c r="N738" s="4">
        <f>IFERROR(__xludf.DUMMYFUNCTION("""COMPUTED_VALUE"""),0.692)</f>
        <v>0.692</v>
      </c>
      <c r="O738" s="4">
        <f>IFERROR(__xludf.DUMMYFUNCTION("""COMPUTED_VALUE"""),16.2)</f>
        <v>16.2</v>
      </c>
      <c r="P738" s="4">
        <f>IFERROR(__xludf.DUMMYFUNCTION("""COMPUTED_VALUE"""),4.7)</f>
        <v>4.7</v>
      </c>
      <c r="Q738" s="4">
        <f>IFERROR(__xludf.DUMMYFUNCTION("""COMPUTED_VALUE"""),4.9)</f>
        <v>4.9</v>
      </c>
      <c r="R738" s="4">
        <f>IFERROR(__xludf.DUMMYFUNCTION("""COMPUTED_VALUE"""),0.7)</f>
        <v>0.7</v>
      </c>
      <c r="S738" s="4">
        <f>IFERROR(__xludf.DUMMYFUNCTION("""COMPUTED_VALUE"""),9.4)</f>
        <v>9.4</v>
      </c>
      <c r="T738" s="4">
        <f>IFERROR(__xludf.DUMMYFUNCTION("""COMPUTED_VALUE"""),0.077)</f>
        <v>0.077</v>
      </c>
      <c r="U738" s="4">
        <f>IFERROR(__xludf.DUMMYFUNCTION("""COMPUTED_VALUE"""),-2.5)</f>
        <v>-2.5</v>
      </c>
      <c r="V738" s="4">
        <f>IFERROR(__xludf.DUMMYFUNCTION("""COMPUTED_VALUE"""),-0.7)</f>
        <v>-0.7</v>
      </c>
    </row>
    <row r="739">
      <c r="A739" s="4">
        <f>IFERROR(__xludf.DUMMYFUNCTION("""COMPUTED_VALUE"""),10.0)</f>
        <v>10</v>
      </c>
      <c r="B739" s="4">
        <f>IFERROR(__xludf.DUMMYFUNCTION("""COMPUTED_VALUE"""),10.0)</f>
        <v>10</v>
      </c>
      <c r="C739" s="4" t="str">
        <f>IFERROR(__xludf.DUMMYFUNCTION("""COMPUTED_VALUE"""),"PHI")</f>
        <v>PHI</v>
      </c>
      <c r="D739" s="4" t="str">
        <f>IFERROR(__xludf.DUMMYFUNCTION("""COMPUTED_VALUE"""),"Elfrid Payton")</f>
        <v>Elfrid Payton</v>
      </c>
      <c r="E739" s="4" t="str">
        <f>IFERROR(__xludf.DUMMYFUNCTION("""COMPUTED_VALUE"""),"Louisiana")</f>
        <v>Louisiana</v>
      </c>
      <c r="F739" s="4">
        <f>IFERROR(__xludf.DUMMYFUNCTION("""COMPUTED_VALUE"""),9.0)</f>
        <v>9</v>
      </c>
      <c r="G739" s="4">
        <f>IFERROR(__xludf.DUMMYFUNCTION("""COMPUTED_VALUE"""),524.0)</f>
        <v>524</v>
      </c>
      <c r="H739" s="4">
        <f>IFERROR(__xludf.DUMMYFUNCTION("""COMPUTED_VALUE"""),13894.0)</f>
        <v>13894</v>
      </c>
      <c r="I739" s="4">
        <f>IFERROR(__xludf.DUMMYFUNCTION("""COMPUTED_VALUE"""),5121.0)</f>
        <v>5121</v>
      </c>
      <c r="J739" s="4">
        <f>IFERROR(__xludf.DUMMYFUNCTION("""COMPUTED_VALUE"""),2086.0)</f>
        <v>2086</v>
      </c>
      <c r="K739" s="4">
        <f>IFERROR(__xludf.DUMMYFUNCTION("""COMPUTED_VALUE"""),3034.0)</f>
        <v>3034</v>
      </c>
      <c r="L739" s="4">
        <f>IFERROR(__xludf.DUMMYFUNCTION("""COMPUTED_VALUE"""),0.444)</f>
        <v>0.444</v>
      </c>
      <c r="M739" s="4">
        <f>IFERROR(__xludf.DUMMYFUNCTION("""COMPUTED_VALUE"""),0.286)</f>
        <v>0.286</v>
      </c>
      <c r="N739" s="4">
        <f>IFERROR(__xludf.DUMMYFUNCTION("""COMPUTED_VALUE"""),0.623)</f>
        <v>0.623</v>
      </c>
      <c r="O739" s="4">
        <f>IFERROR(__xludf.DUMMYFUNCTION("""COMPUTED_VALUE"""),26.5)</f>
        <v>26.5</v>
      </c>
      <c r="P739" s="4">
        <f>IFERROR(__xludf.DUMMYFUNCTION("""COMPUTED_VALUE"""),9.8)</f>
        <v>9.8</v>
      </c>
      <c r="Q739" s="4">
        <f>IFERROR(__xludf.DUMMYFUNCTION("""COMPUTED_VALUE"""),4.0)</f>
        <v>4</v>
      </c>
      <c r="R739" s="4">
        <f>IFERROR(__xludf.DUMMYFUNCTION("""COMPUTED_VALUE"""),5.8)</f>
        <v>5.8</v>
      </c>
      <c r="S739" s="4">
        <f>IFERROR(__xludf.DUMMYFUNCTION("""COMPUTED_VALUE"""),15.1)</f>
        <v>15.1</v>
      </c>
      <c r="T739" s="4">
        <f>IFERROR(__xludf.DUMMYFUNCTION("""COMPUTED_VALUE"""),0.052)</f>
        <v>0.052</v>
      </c>
      <c r="U739" s="4">
        <f>IFERROR(__xludf.DUMMYFUNCTION("""COMPUTED_VALUE"""),-1.1)</f>
        <v>-1.1</v>
      </c>
      <c r="V739" s="4">
        <f>IFERROR(__xludf.DUMMYFUNCTION("""COMPUTED_VALUE"""),3.1)</f>
        <v>3.1</v>
      </c>
    </row>
    <row r="740">
      <c r="A740" s="4">
        <f>IFERROR(__xludf.DUMMYFUNCTION("""COMPUTED_VALUE"""),11.0)</f>
        <v>11</v>
      </c>
      <c r="B740" s="4">
        <f>IFERROR(__xludf.DUMMYFUNCTION("""COMPUTED_VALUE"""),11.0)</f>
        <v>11</v>
      </c>
      <c r="C740" s="4" t="str">
        <f>IFERROR(__xludf.DUMMYFUNCTION("""COMPUTED_VALUE"""),"DEN")</f>
        <v>DEN</v>
      </c>
      <c r="D740" s="4" t="str">
        <f>IFERROR(__xludf.DUMMYFUNCTION("""COMPUTED_VALUE"""),"Doug McDermott")</f>
        <v>Doug McDermott</v>
      </c>
      <c r="E740" s="4" t="str">
        <f>IFERROR(__xludf.DUMMYFUNCTION("""COMPUTED_VALUE"""),"Creighton")</f>
        <v>Creighton</v>
      </c>
      <c r="F740" s="4">
        <f>IFERROR(__xludf.DUMMYFUNCTION("""COMPUTED_VALUE"""),12.0)</f>
        <v>12</v>
      </c>
      <c r="G740" s="4">
        <f>IFERROR(__xludf.DUMMYFUNCTION("""COMPUTED_VALUE"""),698.0)</f>
        <v>698</v>
      </c>
      <c r="H740" s="4">
        <f>IFERROR(__xludf.DUMMYFUNCTION("""COMPUTED_VALUE"""),13580.0)</f>
        <v>13580</v>
      </c>
      <c r="I740" s="4">
        <f>IFERROR(__xludf.DUMMYFUNCTION("""COMPUTED_VALUE"""),6004.0)</f>
        <v>6004</v>
      </c>
      <c r="J740" s="4">
        <f>IFERROR(__xludf.DUMMYFUNCTION("""COMPUTED_VALUE"""),1456.0)</f>
        <v>1456</v>
      </c>
      <c r="K740" s="4">
        <f>IFERROR(__xludf.DUMMYFUNCTION("""COMPUTED_VALUE"""),664.0)</f>
        <v>664</v>
      </c>
      <c r="L740" s="4">
        <f>IFERROR(__xludf.DUMMYFUNCTION("""COMPUTED_VALUE"""),0.471)</f>
        <v>0.471</v>
      </c>
      <c r="M740" s="4">
        <f>IFERROR(__xludf.DUMMYFUNCTION("""COMPUTED_VALUE"""),0.411)</f>
        <v>0.411</v>
      </c>
      <c r="N740" s="4">
        <f>IFERROR(__xludf.DUMMYFUNCTION("""COMPUTED_VALUE"""),0.804)</f>
        <v>0.804</v>
      </c>
      <c r="O740" s="4">
        <f>IFERROR(__xludf.DUMMYFUNCTION("""COMPUTED_VALUE"""),19.5)</f>
        <v>19.5</v>
      </c>
      <c r="P740" s="4">
        <f>IFERROR(__xludf.DUMMYFUNCTION("""COMPUTED_VALUE"""),8.6)</f>
        <v>8.6</v>
      </c>
      <c r="Q740" s="4">
        <f>IFERROR(__xludf.DUMMYFUNCTION("""COMPUTED_VALUE"""),2.1)</f>
        <v>2.1</v>
      </c>
      <c r="R740" s="4">
        <f>IFERROR(__xludf.DUMMYFUNCTION("""COMPUTED_VALUE"""),1.0)</f>
        <v>1</v>
      </c>
      <c r="S740" s="4">
        <f>IFERROR(__xludf.DUMMYFUNCTION("""COMPUTED_VALUE"""),21.5)</f>
        <v>21.5</v>
      </c>
      <c r="T740" s="4">
        <f>IFERROR(__xludf.DUMMYFUNCTION("""COMPUTED_VALUE"""),0.076)</f>
        <v>0.076</v>
      </c>
      <c r="U740" s="4">
        <f>IFERROR(__xludf.DUMMYFUNCTION("""COMPUTED_VALUE"""),-2.1)</f>
        <v>-2.1</v>
      </c>
      <c r="V740" s="4">
        <f>IFERROR(__xludf.DUMMYFUNCTION("""COMPUTED_VALUE"""),-0.4)</f>
        <v>-0.4</v>
      </c>
    </row>
    <row r="741">
      <c r="A741" s="4">
        <f>IFERROR(__xludf.DUMMYFUNCTION("""COMPUTED_VALUE"""),12.0)</f>
        <v>12</v>
      </c>
      <c r="B741" s="4">
        <f>IFERROR(__xludf.DUMMYFUNCTION("""COMPUTED_VALUE"""),12.0)</f>
        <v>12</v>
      </c>
      <c r="C741" s="4" t="str">
        <f>IFERROR(__xludf.DUMMYFUNCTION("""COMPUTED_VALUE"""),"ORL")</f>
        <v>ORL</v>
      </c>
      <c r="D741" s="4" t="str">
        <f>IFERROR(__xludf.DUMMYFUNCTION("""COMPUTED_VALUE"""),"Dario Šarić")</f>
        <v>Dario Šarić</v>
      </c>
      <c r="E741" s="4"/>
      <c r="F741" s="4">
        <f>IFERROR(__xludf.DUMMYFUNCTION("""COMPUTED_VALUE"""),9.0)</f>
        <v>9</v>
      </c>
      <c r="G741" s="4">
        <f>IFERROR(__xludf.DUMMYFUNCTION("""COMPUTED_VALUE"""),496.0)</f>
        <v>496</v>
      </c>
      <c r="H741" s="4">
        <f>IFERROR(__xludf.DUMMYFUNCTION("""COMPUTED_VALUE"""),11107.0)</f>
        <v>11107</v>
      </c>
      <c r="I741" s="4">
        <f>IFERROR(__xludf.DUMMYFUNCTION("""COMPUTED_VALUE"""),5118.0)</f>
        <v>5118</v>
      </c>
      <c r="J741" s="4">
        <f>IFERROR(__xludf.DUMMYFUNCTION("""COMPUTED_VALUE"""),2631.0)</f>
        <v>2631</v>
      </c>
      <c r="K741" s="4">
        <f>IFERROR(__xludf.DUMMYFUNCTION("""COMPUTED_VALUE"""),942.0)</f>
        <v>942</v>
      </c>
      <c r="L741" s="4">
        <f>IFERROR(__xludf.DUMMYFUNCTION("""COMPUTED_VALUE"""),0.443)</f>
        <v>0.443</v>
      </c>
      <c r="M741" s="4">
        <f>IFERROR(__xludf.DUMMYFUNCTION("""COMPUTED_VALUE"""),0.36)</f>
        <v>0.36</v>
      </c>
      <c r="N741" s="4">
        <f>IFERROR(__xludf.DUMMYFUNCTION("""COMPUTED_VALUE"""),0.838)</f>
        <v>0.838</v>
      </c>
      <c r="O741" s="4">
        <f>IFERROR(__xludf.DUMMYFUNCTION("""COMPUTED_VALUE"""),22.4)</f>
        <v>22.4</v>
      </c>
      <c r="P741" s="4">
        <f>IFERROR(__xludf.DUMMYFUNCTION("""COMPUTED_VALUE"""),10.3)</f>
        <v>10.3</v>
      </c>
      <c r="Q741" s="4">
        <f>IFERROR(__xludf.DUMMYFUNCTION("""COMPUTED_VALUE"""),5.3)</f>
        <v>5.3</v>
      </c>
      <c r="R741" s="4">
        <f>IFERROR(__xludf.DUMMYFUNCTION("""COMPUTED_VALUE"""),1.9)</f>
        <v>1.9</v>
      </c>
      <c r="S741" s="4">
        <f>IFERROR(__xludf.DUMMYFUNCTION("""COMPUTED_VALUE"""),20.9)</f>
        <v>20.9</v>
      </c>
      <c r="T741" s="4">
        <f>IFERROR(__xludf.DUMMYFUNCTION("""COMPUTED_VALUE"""),0.09)</f>
        <v>0.09</v>
      </c>
      <c r="U741" s="4">
        <f>IFERROR(__xludf.DUMMYFUNCTION("""COMPUTED_VALUE"""),-0.8)</f>
        <v>-0.8</v>
      </c>
      <c r="V741" s="4">
        <f>IFERROR(__xludf.DUMMYFUNCTION("""COMPUTED_VALUE"""),3.5)</f>
        <v>3.5</v>
      </c>
    </row>
    <row r="742">
      <c r="A742" s="4">
        <f>IFERROR(__xludf.DUMMYFUNCTION("""COMPUTED_VALUE"""),13.0)</f>
        <v>13</v>
      </c>
      <c r="B742" s="4">
        <f>IFERROR(__xludf.DUMMYFUNCTION("""COMPUTED_VALUE"""),13.0)</f>
        <v>13</v>
      </c>
      <c r="C742" s="4" t="str">
        <f>IFERROR(__xludf.DUMMYFUNCTION("""COMPUTED_VALUE"""),"MIN")</f>
        <v>MIN</v>
      </c>
      <c r="D742" s="4" t="str">
        <f>IFERROR(__xludf.DUMMYFUNCTION("""COMPUTED_VALUE"""),"Zach LaVine")</f>
        <v>Zach LaVine</v>
      </c>
      <c r="E742" s="4" t="str">
        <f>IFERROR(__xludf.DUMMYFUNCTION("""COMPUTED_VALUE"""),"UCLA")</f>
        <v>UCLA</v>
      </c>
      <c r="F742" s="4">
        <f>IFERROR(__xludf.DUMMYFUNCTION("""COMPUTED_VALUE"""),12.0)</f>
        <v>12</v>
      </c>
      <c r="G742" s="4">
        <f>IFERROR(__xludf.DUMMYFUNCTION("""COMPUTED_VALUE"""),673.0)</f>
        <v>673</v>
      </c>
      <c r="H742" s="4">
        <f>IFERROR(__xludf.DUMMYFUNCTION("""COMPUTED_VALUE"""),22103.0)</f>
        <v>22103</v>
      </c>
      <c r="I742" s="4">
        <f>IFERROR(__xludf.DUMMYFUNCTION("""COMPUTED_VALUE"""),13984.0)</f>
        <v>13984</v>
      </c>
      <c r="J742" s="4">
        <f>IFERROR(__xludf.DUMMYFUNCTION("""COMPUTED_VALUE"""),2725.0)</f>
        <v>2725</v>
      </c>
      <c r="K742" s="4">
        <f>IFERROR(__xludf.DUMMYFUNCTION("""COMPUTED_VALUE"""),2641.0)</f>
        <v>2641</v>
      </c>
      <c r="L742" s="4">
        <f>IFERROR(__xludf.DUMMYFUNCTION("""COMPUTED_VALUE"""),0.47)</f>
        <v>0.47</v>
      </c>
      <c r="M742" s="4">
        <f>IFERROR(__xludf.DUMMYFUNCTION("""COMPUTED_VALUE"""),0.39)</f>
        <v>0.39</v>
      </c>
      <c r="N742" s="4">
        <f>IFERROR(__xludf.DUMMYFUNCTION("""COMPUTED_VALUE"""),0.833)</f>
        <v>0.833</v>
      </c>
      <c r="O742" s="4">
        <f>IFERROR(__xludf.DUMMYFUNCTION("""COMPUTED_VALUE"""),32.8)</f>
        <v>32.8</v>
      </c>
      <c r="P742" s="4">
        <f>IFERROR(__xludf.DUMMYFUNCTION("""COMPUTED_VALUE"""),20.8)</f>
        <v>20.8</v>
      </c>
      <c r="Q742" s="4">
        <f>IFERROR(__xludf.DUMMYFUNCTION("""COMPUTED_VALUE"""),4.0)</f>
        <v>4</v>
      </c>
      <c r="R742" s="4">
        <f>IFERROR(__xludf.DUMMYFUNCTION("""COMPUTED_VALUE"""),3.9)</f>
        <v>3.9</v>
      </c>
      <c r="S742" s="4">
        <f>IFERROR(__xludf.DUMMYFUNCTION("""COMPUTED_VALUE"""),37.7)</f>
        <v>37.7</v>
      </c>
      <c r="T742" s="4">
        <f>IFERROR(__xludf.DUMMYFUNCTION("""COMPUTED_VALUE"""),0.082)</f>
        <v>0.082</v>
      </c>
      <c r="U742" s="4">
        <f>IFERROR(__xludf.DUMMYFUNCTION("""COMPUTED_VALUE"""),0.6)</f>
        <v>0.6</v>
      </c>
      <c r="V742" s="4">
        <f>IFERROR(__xludf.DUMMYFUNCTION("""COMPUTED_VALUE"""),14.4)</f>
        <v>14.4</v>
      </c>
    </row>
    <row r="743">
      <c r="A743" s="4">
        <f>IFERROR(__xludf.DUMMYFUNCTION("""COMPUTED_VALUE"""),14.0)</f>
        <v>14</v>
      </c>
      <c r="B743" s="4">
        <f>IFERROR(__xludf.DUMMYFUNCTION("""COMPUTED_VALUE"""),14.0)</f>
        <v>14</v>
      </c>
      <c r="C743" s="4" t="str">
        <f>IFERROR(__xludf.DUMMYFUNCTION("""COMPUTED_VALUE"""),"PHO")</f>
        <v>PHO</v>
      </c>
      <c r="D743" s="4" t="str">
        <f>IFERROR(__xludf.DUMMYFUNCTION("""COMPUTED_VALUE"""),"T.J. Warren")</f>
        <v>T.J. Warren</v>
      </c>
      <c r="E743" s="4" t="str">
        <f>IFERROR(__xludf.DUMMYFUNCTION("""COMPUTED_VALUE"""),"NC State")</f>
        <v>NC State</v>
      </c>
      <c r="F743" s="4">
        <f>IFERROR(__xludf.DUMMYFUNCTION("""COMPUTED_VALUE"""),9.0)</f>
        <v>9</v>
      </c>
      <c r="G743" s="4">
        <f>IFERROR(__xludf.DUMMYFUNCTION("""COMPUTED_VALUE"""),385.0)</f>
        <v>385</v>
      </c>
      <c r="H743" s="4">
        <f>IFERROR(__xludf.DUMMYFUNCTION("""COMPUTED_VALUE"""),10365.0)</f>
        <v>10365</v>
      </c>
      <c r="I743" s="4">
        <f>IFERROR(__xludf.DUMMYFUNCTION("""COMPUTED_VALUE"""),5497.0)</f>
        <v>5497</v>
      </c>
      <c r="J743" s="4">
        <f>IFERROR(__xludf.DUMMYFUNCTION("""COMPUTED_VALUE"""),1515.0)</f>
        <v>1515</v>
      </c>
      <c r="K743" s="4">
        <f>IFERROR(__xludf.DUMMYFUNCTION("""COMPUTED_VALUE"""),446.0)</f>
        <v>446</v>
      </c>
      <c r="L743" s="4">
        <f>IFERROR(__xludf.DUMMYFUNCTION("""COMPUTED_VALUE"""),0.505)</f>
        <v>0.505</v>
      </c>
      <c r="M743" s="4">
        <f>IFERROR(__xludf.DUMMYFUNCTION("""COMPUTED_VALUE"""),0.351)</f>
        <v>0.351</v>
      </c>
      <c r="N743" s="4">
        <f>IFERROR(__xludf.DUMMYFUNCTION("""COMPUTED_VALUE"""),0.78)</f>
        <v>0.78</v>
      </c>
      <c r="O743" s="4">
        <f>IFERROR(__xludf.DUMMYFUNCTION("""COMPUTED_VALUE"""),26.9)</f>
        <v>26.9</v>
      </c>
      <c r="P743" s="4">
        <f>IFERROR(__xludf.DUMMYFUNCTION("""COMPUTED_VALUE"""),14.3)</f>
        <v>14.3</v>
      </c>
      <c r="Q743" s="4">
        <f>IFERROR(__xludf.DUMMYFUNCTION("""COMPUTED_VALUE"""),3.9)</f>
        <v>3.9</v>
      </c>
      <c r="R743" s="4">
        <f>IFERROR(__xludf.DUMMYFUNCTION("""COMPUTED_VALUE"""),1.2)</f>
        <v>1.2</v>
      </c>
      <c r="S743" s="4">
        <f>IFERROR(__xludf.DUMMYFUNCTION("""COMPUTED_VALUE"""),20.9)</f>
        <v>20.9</v>
      </c>
      <c r="T743" s="4">
        <f>IFERROR(__xludf.DUMMYFUNCTION("""COMPUTED_VALUE"""),0.097)</f>
        <v>0.097</v>
      </c>
      <c r="U743" s="4">
        <f>IFERROR(__xludf.DUMMYFUNCTION("""COMPUTED_VALUE"""),-0.4)</f>
        <v>-0.4</v>
      </c>
      <c r="V743" s="4">
        <f>IFERROR(__xludf.DUMMYFUNCTION("""COMPUTED_VALUE"""),4.1)</f>
        <v>4.1</v>
      </c>
    </row>
    <row r="744">
      <c r="A744" s="4">
        <f>IFERROR(__xludf.DUMMYFUNCTION("""COMPUTED_VALUE"""),15.0)</f>
        <v>15</v>
      </c>
      <c r="B744" s="4">
        <f>IFERROR(__xludf.DUMMYFUNCTION("""COMPUTED_VALUE"""),15.0)</f>
        <v>15</v>
      </c>
      <c r="C744" s="4" t="str">
        <f>IFERROR(__xludf.DUMMYFUNCTION("""COMPUTED_VALUE"""),"ATL")</f>
        <v>ATL</v>
      </c>
      <c r="D744" s="4" t="str">
        <f>IFERROR(__xludf.DUMMYFUNCTION("""COMPUTED_VALUE"""),"Adreian Payne")</f>
        <v>Adreian Payne</v>
      </c>
      <c r="E744" s="4" t="str">
        <f>IFERROR(__xludf.DUMMYFUNCTION("""COMPUTED_VALUE"""),"Michigan State")</f>
        <v>Michigan State</v>
      </c>
      <c r="F744" s="4">
        <f>IFERROR(__xludf.DUMMYFUNCTION("""COMPUTED_VALUE"""),4.0)</f>
        <v>4</v>
      </c>
      <c r="G744" s="4">
        <f>IFERROR(__xludf.DUMMYFUNCTION("""COMPUTED_VALUE"""),107.0)</f>
        <v>107</v>
      </c>
      <c r="H744" s="4">
        <f>IFERROR(__xludf.DUMMYFUNCTION("""COMPUTED_VALUE"""),1403.0)</f>
        <v>1403</v>
      </c>
      <c r="I744" s="4">
        <f>IFERROR(__xludf.DUMMYFUNCTION("""COMPUTED_VALUE"""),429.0)</f>
        <v>429</v>
      </c>
      <c r="J744" s="4">
        <f>IFERROR(__xludf.DUMMYFUNCTION("""COMPUTED_VALUE"""),315.0)</f>
        <v>315</v>
      </c>
      <c r="K744" s="4">
        <f>IFERROR(__xludf.DUMMYFUNCTION("""COMPUTED_VALUE"""),66.0)</f>
        <v>66</v>
      </c>
      <c r="L744" s="4">
        <f>IFERROR(__xludf.DUMMYFUNCTION("""COMPUTED_VALUE"""),0.406)</f>
        <v>0.406</v>
      </c>
      <c r="M744" s="4">
        <f>IFERROR(__xludf.DUMMYFUNCTION("""COMPUTED_VALUE"""),0.254)</f>
        <v>0.254</v>
      </c>
      <c r="N744" s="4">
        <f>IFERROR(__xludf.DUMMYFUNCTION("""COMPUTED_VALUE"""),0.68)</f>
        <v>0.68</v>
      </c>
      <c r="O744" s="4">
        <f>IFERROR(__xludf.DUMMYFUNCTION("""COMPUTED_VALUE"""),13.1)</f>
        <v>13.1</v>
      </c>
      <c r="P744" s="4">
        <f>IFERROR(__xludf.DUMMYFUNCTION("""COMPUTED_VALUE"""),4.0)</f>
        <v>4</v>
      </c>
      <c r="Q744" s="4">
        <f>IFERROR(__xludf.DUMMYFUNCTION("""COMPUTED_VALUE"""),2.9)</f>
        <v>2.9</v>
      </c>
      <c r="R744" s="4">
        <f>IFERROR(__xludf.DUMMYFUNCTION("""COMPUTED_VALUE"""),0.6)</f>
        <v>0.6</v>
      </c>
      <c r="S744" s="4">
        <f>IFERROR(__xludf.DUMMYFUNCTION("""COMPUTED_VALUE"""),-0.6)</f>
        <v>-0.6</v>
      </c>
      <c r="T744" s="4">
        <f>IFERROR(__xludf.DUMMYFUNCTION("""COMPUTED_VALUE"""),-0.019)</f>
        <v>-0.019</v>
      </c>
      <c r="U744" s="4">
        <f>IFERROR(__xludf.DUMMYFUNCTION("""COMPUTED_VALUE"""),-5.9)</f>
        <v>-5.9</v>
      </c>
      <c r="V744" s="4">
        <f>IFERROR(__xludf.DUMMYFUNCTION("""COMPUTED_VALUE"""),-1.4)</f>
        <v>-1.4</v>
      </c>
    </row>
    <row r="745">
      <c r="A745" s="4">
        <f>IFERROR(__xludf.DUMMYFUNCTION("""COMPUTED_VALUE"""),16.0)</f>
        <v>16</v>
      </c>
      <c r="B745" s="4">
        <f>IFERROR(__xludf.DUMMYFUNCTION("""COMPUTED_VALUE"""),16.0)</f>
        <v>16</v>
      </c>
      <c r="C745" s="4" t="str">
        <f>IFERROR(__xludf.DUMMYFUNCTION("""COMPUTED_VALUE"""),"CHI")</f>
        <v>CHI</v>
      </c>
      <c r="D745" s="4" t="str">
        <f>IFERROR(__xludf.DUMMYFUNCTION("""COMPUTED_VALUE"""),"Jusuf Nurkić")</f>
        <v>Jusuf Nurkić</v>
      </c>
      <c r="E745" s="4"/>
      <c r="F745" s="4">
        <f>IFERROR(__xludf.DUMMYFUNCTION("""COMPUTED_VALUE"""),12.0)</f>
        <v>12</v>
      </c>
      <c r="G745" s="4">
        <f>IFERROR(__xludf.DUMMYFUNCTION("""COMPUTED_VALUE"""),610.0)</f>
        <v>610</v>
      </c>
      <c r="H745" s="4">
        <f>IFERROR(__xludf.DUMMYFUNCTION("""COMPUTED_VALUE"""),14838.0)</f>
        <v>14838</v>
      </c>
      <c r="I745" s="4">
        <f>IFERROR(__xludf.DUMMYFUNCTION("""COMPUTED_VALUE"""),7160.0)</f>
        <v>7160</v>
      </c>
      <c r="J745" s="4">
        <f>IFERROR(__xludf.DUMMYFUNCTION("""COMPUTED_VALUE"""),5408.0)</f>
        <v>5408</v>
      </c>
      <c r="K745" s="4">
        <f>IFERROR(__xludf.DUMMYFUNCTION("""COMPUTED_VALUE"""),1548.0)</f>
        <v>1548</v>
      </c>
      <c r="L745" s="4">
        <f>IFERROR(__xludf.DUMMYFUNCTION("""COMPUTED_VALUE"""),0.5)</f>
        <v>0.5</v>
      </c>
      <c r="M745" s="4">
        <f>IFERROR(__xludf.DUMMYFUNCTION("""COMPUTED_VALUE"""),0.282)</f>
        <v>0.282</v>
      </c>
      <c r="N745" s="4">
        <f>IFERROR(__xludf.DUMMYFUNCTION("""COMPUTED_VALUE"""),0.664)</f>
        <v>0.664</v>
      </c>
      <c r="O745" s="4">
        <f>IFERROR(__xludf.DUMMYFUNCTION("""COMPUTED_VALUE"""),24.3)</f>
        <v>24.3</v>
      </c>
      <c r="P745" s="4">
        <f>IFERROR(__xludf.DUMMYFUNCTION("""COMPUTED_VALUE"""),11.7)</f>
        <v>11.7</v>
      </c>
      <c r="Q745" s="4">
        <f>IFERROR(__xludf.DUMMYFUNCTION("""COMPUTED_VALUE"""),8.9)</f>
        <v>8.9</v>
      </c>
      <c r="R745" s="4">
        <f>IFERROR(__xludf.DUMMYFUNCTION("""COMPUTED_VALUE"""),2.5)</f>
        <v>2.5</v>
      </c>
      <c r="S745" s="4">
        <f>IFERROR(__xludf.DUMMYFUNCTION("""COMPUTED_VALUE"""),33.5)</f>
        <v>33.5</v>
      </c>
      <c r="T745" s="4">
        <f>IFERROR(__xludf.DUMMYFUNCTION("""COMPUTED_VALUE"""),0.108)</f>
        <v>0.108</v>
      </c>
      <c r="U745" s="4">
        <f>IFERROR(__xludf.DUMMYFUNCTION("""COMPUTED_VALUE"""),0.3)</f>
        <v>0.3</v>
      </c>
      <c r="V745" s="4">
        <f>IFERROR(__xludf.DUMMYFUNCTION("""COMPUTED_VALUE"""),8.7)</f>
        <v>8.7</v>
      </c>
    </row>
    <row r="746">
      <c r="A746" s="4">
        <f>IFERROR(__xludf.DUMMYFUNCTION("""COMPUTED_VALUE"""),17.0)</f>
        <v>17</v>
      </c>
      <c r="B746" s="4">
        <f>IFERROR(__xludf.DUMMYFUNCTION("""COMPUTED_VALUE"""),17.0)</f>
        <v>17</v>
      </c>
      <c r="C746" s="4" t="str">
        <f>IFERROR(__xludf.DUMMYFUNCTION("""COMPUTED_VALUE"""),"BOS")</f>
        <v>BOS</v>
      </c>
      <c r="D746" s="4" t="str">
        <f>IFERROR(__xludf.DUMMYFUNCTION("""COMPUTED_VALUE"""),"James Young")</f>
        <v>James Young</v>
      </c>
      <c r="E746" s="4" t="str">
        <f>IFERROR(__xludf.DUMMYFUNCTION("""COMPUTED_VALUE"""),"Kentucky")</f>
        <v>Kentucky</v>
      </c>
      <c r="F746" s="4">
        <f>IFERROR(__xludf.DUMMYFUNCTION("""COMPUTED_VALUE"""),4.0)</f>
        <v>4</v>
      </c>
      <c r="G746" s="4">
        <f>IFERROR(__xludf.DUMMYFUNCTION("""COMPUTED_VALUE"""),95.0)</f>
        <v>95</v>
      </c>
      <c r="H746" s="4">
        <f>IFERROR(__xludf.DUMMYFUNCTION("""COMPUTED_VALUE"""),812.0)</f>
        <v>812</v>
      </c>
      <c r="I746" s="4">
        <f>IFERROR(__xludf.DUMMYFUNCTION("""COMPUTED_VALUE"""),219.0)</f>
        <v>219</v>
      </c>
      <c r="J746" s="4">
        <f>IFERROR(__xludf.DUMMYFUNCTION("""COMPUTED_VALUE"""),96.0)</f>
        <v>96</v>
      </c>
      <c r="K746" s="4">
        <f>IFERROR(__xludf.DUMMYFUNCTION("""COMPUTED_VALUE"""),28.0)</f>
        <v>28</v>
      </c>
      <c r="L746" s="4">
        <f>IFERROR(__xludf.DUMMYFUNCTION("""COMPUTED_VALUE"""),0.367)</f>
        <v>0.367</v>
      </c>
      <c r="M746" s="4">
        <f>IFERROR(__xludf.DUMMYFUNCTION("""COMPUTED_VALUE"""),0.277)</f>
        <v>0.277</v>
      </c>
      <c r="N746" s="4">
        <f>IFERROR(__xludf.DUMMYFUNCTION("""COMPUTED_VALUE"""),0.563)</f>
        <v>0.563</v>
      </c>
      <c r="O746" s="4">
        <f>IFERROR(__xludf.DUMMYFUNCTION("""COMPUTED_VALUE"""),8.5)</f>
        <v>8.5</v>
      </c>
      <c r="P746" s="4">
        <f>IFERROR(__xludf.DUMMYFUNCTION("""COMPUTED_VALUE"""),2.3)</f>
        <v>2.3</v>
      </c>
      <c r="Q746" s="4">
        <f>IFERROR(__xludf.DUMMYFUNCTION("""COMPUTED_VALUE"""),1.0)</f>
        <v>1</v>
      </c>
      <c r="R746" s="4">
        <f>IFERROR(__xludf.DUMMYFUNCTION("""COMPUTED_VALUE"""),0.3)</f>
        <v>0.3</v>
      </c>
      <c r="S746" s="4">
        <f>IFERROR(__xludf.DUMMYFUNCTION("""COMPUTED_VALUE"""),0.8)</f>
        <v>0.8</v>
      </c>
      <c r="T746" s="4">
        <f>IFERROR(__xludf.DUMMYFUNCTION("""COMPUTED_VALUE"""),0.046)</f>
        <v>0.046</v>
      </c>
      <c r="U746" s="4">
        <f>IFERROR(__xludf.DUMMYFUNCTION("""COMPUTED_VALUE"""),-3.4)</f>
        <v>-3.4</v>
      </c>
      <c r="V746" s="4">
        <f>IFERROR(__xludf.DUMMYFUNCTION("""COMPUTED_VALUE"""),-0.3)</f>
        <v>-0.3</v>
      </c>
    </row>
    <row r="747">
      <c r="A747" s="4">
        <f>IFERROR(__xludf.DUMMYFUNCTION("""COMPUTED_VALUE"""),18.0)</f>
        <v>18</v>
      </c>
      <c r="B747" s="4">
        <f>IFERROR(__xludf.DUMMYFUNCTION("""COMPUTED_VALUE"""),18.0)</f>
        <v>18</v>
      </c>
      <c r="C747" s="4" t="str">
        <f>IFERROR(__xludf.DUMMYFUNCTION("""COMPUTED_VALUE"""),"PHO")</f>
        <v>PHO</v>
      </c>
      <c r="D747" s="4" t="str">
        <f>IFERROR(__xludf.DUMMYFUNCTION("""COMPUTED_VALUE"""),"Tyler Ennis")</f>
        <v>Tyler Ennis</v>
      </c>
      <c r="E747" s="4" t="str">
        <f>IFERROR(__xludf.DUMMYFUNCTION("""COMPUTED_VALUE"""),"Syracuse")</f>
        <v>Syracuse</v>
      </c>
      <c r="F747" s="4">
        <f>IFERROR(__xludf.DUMMYFUNCTION("""COMPUTED_VALUE"""),4.0)</f>
        <v>4</v>
      </c>
      <c r="G747" s="4">
        <f>IFERROR(__xludf.DUMMYFUNCTION("""COMPUTED_VALUE"""),186.0)</f>
        <v>186</v>
      </c>
      <c r="H747" s="4">
        <f>IFERROR(__xludf.DUMMYFUNCTION("""COMPUTED_VALUE"""),2336.0)</f>
        <v>2336</v>
      </c>
      <c r="I747" s="4">
        <f>IFERROR(__xludf.DUMMYFUNCTION("""COMPUTED_VALUE"""),779.0)</f>
        <v>779</v>
      </c>
      <c r="J747" s="4">
        <f>IFERROR(__xludf.DUMMYFUNCTION("""COMPUTED_VALUE"""),250.0)</f>
        <v>250</v>
      </c>
      <c r="K747" s="4">
        <f>IFERROR(__xludf.DUMMYFUNCTION("""COMPUTED_VALUE"""),359.0)</f>
        <v>359</v>
      </c>
      <c r="L747" s="4">
        <f>IFERROR(__xludf.DUMMYFUNCTION("""COMPUTED_VALUE"""),0.419)</f>
        <v>0.419</v>
      </c>
      <c r="M747" s="4">
        <f>IFERROR(__xludf.DUMMYFUNCTION("""COMPUTED_VALUE"""),0.317)</f>
        <v>0.317</v>
      </c>
      <c r="N747" s="4">
        <f>IFERROR(__xludf.DUMMYFUNCTION("""COMPUTED_VALUE"""),0.768)</f>
        <v>0.768</v>
      </c>
      <c r="O747" s="4">
        <f>IFERROR(__xludf.DUMMYFUNCTION("""COMPUTED_VALUE"""),12.6)</f>
        <v>12.6</v>
      </c>
      <c r="P747" s="4">
        <f>IFERROR(__xludf.DUMMYFUNCTION("""COMPUTED_VALUE"""),4.2)</f>
        <v>4.2</v>
      </c>
      <c r="Q747" s="4">
        <f>IFERROR(__xludf.DUMMYFUNCTION("""COMPUTED_VALUE"""),1.3)</f>
        <v>1.3</v>
      </c>
      <c r="R747" s="4">
        <f>IFERROR(__xludf.DUMMYFUNCTION("""COMPUTED_VALUE"""),1.9)</f>
        <v>1.9</v>
      </c>
      <c r="S747" s="4">
        <f>IFERROR(__xludf.DUMMYFUNCTION("""COMPUTED_VALUE"""),1.3)</f>
        <v>1.3</v>
      </c>
      <c r="T747" s="4">
        <f>IFERROR(__xludf.DUMMYFUNCTION("""COMPUTED_VALUE"""),0.026)</f>
        <v>0.026</v>
      </c>
      <c r="U747" s="4">
        <f>IFERROR(__xludf.DUMMYFUNCTION("""COMPUTED_VALUE"""),-3.4)</f>
        <v>-3.4</v>
      </c>
      <c r="V747" s="4">
        <f>IFERROR(__xludf.DUMMYFUNCTION("""COMPUTED_VALUE"""),-0.8)</f>
        <v>-0.8</v>
      </c>
    </row>
    <row r="748">
      <c r="A748" s="4">
        <f>IFERROR(__xludf.DUMMYFUNCTION("""COMPUTED_VALUE"""),19.0)</f>
        <v>19</v>
      </c>
      <c r="B748" s="4">
        <f>IFERROR(__xludf.DUMMYFUNCTION("""COMPUTED_VALUE"""),19.0)</f>
        <v>19</v>
      </c>
      <c r="C748" s="4" t="str">
        <f>IFERROR(__xludf.DUMMYFUNCTION("""COMPUTED_VALUE"""),"CHI")</f>
        <v>CHI</v>
      </c>
      <c r="D748" s="4" t="str">
        <f>IFERROR(__xludf.DUMMYFUNCTION("""COMPUTED_VALUE"""),"Gary Harris")</f>
        <v>Gary Harris</v>
      </c>
      <c r="E748" s="4" t="str">
        <f>IFERROR(__xludf.DUMMYFUNCTION("""COMPUTED_VALUE"""),"Michigan State")</f>
        <v>Michigan State</v>
      </c>
      <c r="F748" s="4">
        <f>IFERROR(__xludf.DUMMYFUNCTION("""COMPUTED_VALUE"""),12.0)</f>
        <v>12</v>
      </c>
      <c r="G748" s="4">
        <f>IFERROR(__xludf.DUMMYFUNCTION("""COMPUTED_VALUE"""),632.0)</f>
        <v>632</v>
      </c>
      <c r="H748" s="4">
        <f>IFERROR(__xludf.DUMMYFUNCTION("""COMPUTED_VALUE"""),16844.0)</f>
        <v>16844</v>
      </c>
      <c r="I748" s="4">
        <f>IFERROR(__xludf.DUMMYFUNCTION("""COMPUTED_VALUE"""),6474.0)</f>
        <v>6474</v>
      </c>
      <c r="J748" s="4">
        <f>IFERROR(__xludf.DUMMYFUNCTION("""COMPUTED_VALUE"""),1433.0)</f>
        <v>1433</v>
      </c>
      <c r="K748" s="4">
        <f>IFERROR(__xludf.DUMMYFUNCTION("""COMPUTED_VALUE"""),1158.0)</f>
        <v>1158</v>
      </c>
      <c r="L748" s="4">
        <f>IFERROR(__xludf.DUMMYFUNCTION("""COMPUTED_VALUE"""),0.446)</f>
        <v>0.446</v>
      </c>
      <c r="M748" s="4">
        <f>IFERROR(__xludf.DUMMYFUNCTION("""COMPUTED_VALUE"""),0.369)</f>
        <v>0.369</v>
      </c>
      <c r="N748" s="4">
        <f>IFERROR(__xludf.DUMMYFUNCTION("""COMPUTED_VALUE"""),0.81)</f>
        <v>0.81</v>
      </c>
      <c r="O748" s="4">
        <f>IFERROR(__xludf.DUMMYFUNCTION("""COMPUTED_VALUE"""),26.7)</f>
        <v>26.7</v>
      </c>
      <c r="P748" s="4">
        <f>IFERROR(__xludf.DUMMYFUNCTION("""COMPUTED_VALUE"""),10.2)</f>
        <v>10.2</v>
      </c>
      <c r="Q748" s="4">
        <f>IFERROR(__xludf.DUMMYFUNCTION("""COMPUTED_VALUE"""),2.3)</f>
        <v>2.3</v>
      </c>
      <c r="R748" s="4">
        <f>IFERROR(__xludf.DUMMYFUNCTION("""COMPUTED_VALUE"""),1.8)</f>
        <v>1.8</v>
      </c>
      <c r="S748" s="4">
        <f>IFERROR(__xludf.DUMMYFUNCTION("""COMPUTED_VALUE"""),27.1)</f>
        <v>27.1</v>
      </c>
      <c r="T748" s="4">
        <f>IFERROR(__xludf.DUMMYFUNCTION("""COMPUTED_VALUE"""),0.077)</f>
        <v>0.077</v>
      </c>
      <c r="U748" s="4">
        <f>IFERROR(__xludf.DUMMYFUNCTION("""COMPUTED_VALUE"""),-1.4)</f>
        <v>-1.4</v>
      </c>
      <c r="V748" s="4">
        <f>IFERROR(__xludf.DUMMYFUNCTION("""COMPUTED_VALUE"""),2.7)</f>
        <v>2.7</v>
      </c>
    </row>
    <row r="749">
      <c r="A749" s="4">
        <f>IFERROR(__xludf.DUMMYFUNCTION("""COMPUTED_VALUE"""),20.0)</f>
        <v>20</v>
      </c>
      <c r="B749" s="4">
        <f>IFERROR(__xludf.DUMMYFUNCTION("""COMPUTED_VALUE"""),20.0)</f>
        <v>20</v>
      </c>
      <c r="C749" s="4" t="str">
        <f>IFERROR(__xludf.DUMMYFUNCTION("""COMPUTED_VALUE"""),"TOR")</f>
        <v>TOR</v>
      </c>
      <c r="D749" s="4" t="str">
        <f>IFERROR(__xludf.DUMMYFUNCTION("""COMPUTED_VALUE"""),"Bruno Caboclo")</f>
        <v>Bruno Caboclo</v>
      </c>
      <c r="E749" s="4"/>
      <c r="F749" s="4">
        <f>IFERROR(__xludf.DUMMYFUNCTION("""COMPUTED_VALUE"""),7.0)</f>
        <v>7</v>
      </c>
      <c r="G749" s="4">
        <f>IFERROR(__xludf.DUMMYFUNCTION("""COMPUTED_VALUE"""),105.0)</f>
        <v>105</v>
      </c>
      <c r="H749" s="4">
        <f>IFERROR(__xludf.DUMMYFUNCTION("""COMPUTED_VALUE"""),1293.0)</f>
        <v>1293</v>
      </c>
      <c r="I749" s="4">
        <f>IFERROR(__xludf.DUMMYFUNCTION("""COMPUTED_VALUE"""),442.0)</f>
        <v>442</v>
      </c>
      <c r="J749" s="4">
        <f>IFERROR(__xludf.DUMMYFUNCTION("""COMPUTED_VALUE"""),268.0)</f>
        <v>268</v>
      </c>
      <c r="K749" s="4">
        <f>IFERROR(__xludf.DUMMYFUNCTION("""COMPUTED_VALUE"""),72.0)</f>
        <v>72</v>
      </c>
      <c r="L749" s="4">
        <f>IFERROR(__xludf.DUMMYFUNCTION("""COMPUTED_VALUE"""),0.403)</f>
        <v>0.403</v>
      </c>
      <c r="M749" s="4">
        <f>IFERROR(__xludf.DUMMYFUNCTION("""COMPUTED_VALUE"""),0.308)</f>
        <v>0.308</v>
      </c>
      <c r="N749" s="4">
        <f>IFERROR(__xludf.DUMMYFUNCTION("""COMPUTED_VALUE"""),0.836)</f>
        <v>0.836</v>
      </c>
      <c r="O749" s="4">
        <f>IFERROR(__xludf.DUMMYFUNCTION("""COMPUTED_VALUE"""),12.3)</f>
        <v>12.3</v>
      </c>
      <c r="P749" s="4">
        <f>IFERROR(__xludf.DUMMYFUNCTION("""COMPUTED_VALUE"""),4.2)</f>
        <v>4.2</v>
      </c>
      <c r="Q749" s="4">
        <f>IFERROR(__xludf.DUMMYFUNCTION("""COMPUTED_VALUE"""),2.6)</f>
        <v>2.6</v>
      </c>
      <c r="R749" s="4">
        <f>IFERROR(__xludf.DUMMYFUNCTION("""COMPUTED_VALUE"""),0.7)</f>
        <v>0.7</v>
      </c>
      <c r="S749" s="4">
        <f>IFERROR(__xludf.DUMMYFUNCTION("""COMPUTED_VALUE"""),1.5)</f>
        <v>1.5</v>
      </c>
      <c r="T749" s="4">
        <f>IFERROR(__xludf.DUMMYFUNCTION("""COMPUTED_VALUE"""),0.054)</f>
        <v>0.054</v>
      </c>
      <c r="U749" s="4">
        <f>IFERROR(__xludf.DUMMYFUNCTION("""COMPUTED_VALUE"""),-2.7)</f>
        <v>-2.7</v>
      </c>
      <c r="V749" s="4">
        <f>IFERROR(__xludf.DUMMYFUNCTION("""COMPUTED_VALUE"""),-0.2)</f>
        <v>-0.2</v>
      </c>
    </row>
    <row r="750">
      <c r="A750" s="4">
        <f>IFERROR(__xludf.DUMMYFUNCTION("""COMPUTED_VALUE"""),21.0)</f>
        <v>21</v>
      </c>
      <c r="B750" s="4">
        <f>IFERROR(__xludf.DUMMYFUNCTION("""COMPUTED_VALUE"""),21.0)</f>
        <v>21</v>
      </c>
      <c r="C750" s="4" t="str">
        <f>IFERROR(__xludf.DUMMYFUNCTION("""COMPUTED_VALUE"""),"OKC")</f>
        <v>OKC</v>
      </c>
      <c r="D750" s="4" t="str">
        <f>IFERROR(__xludf.DUMMYFUNCTION("""COMPUTED_VALUE"""),"Mitch McGary")</f>
        <v>Mitch McGary</v>
      </c>
      <c r="E750" s="4" t="str">
        <f>IFERROR(__xludf.DUMMYFUNCTION("""COMPUTED_VALUE"""),"Michigan")</f>
        <v>Michigan</v>
      </c>
      <c r="F750" s="4">
        <f>IFERROR(__xludf.DUMMYFUNCTION("""COMPUTED_VALUE"""),2.0)</f>
        <v>2</v>
      </c>
      <c r="G750" s="4">
        <f>IFERROR(__xludf.DUMMYFUNCTION("""COMPUTED_VALUE"""),52.0)</f>
        <v>52</v>
      </c>
      <c r="H750" s="4">
        <f>IFERROR(__xludf.DUMMYFUNCTION("""COMPUTED_VALUE"""),557.0)</f>
        <v>557</v>
      </c>
      <c r="I750" s="4">
        <f>IFERROR(__xludf.DUMMYFUNCTION("""COMPUTED_VALUE"""),227.0)</f>
        <v>227</v>
      </c>
      <c r="J750" s="4">
        <f>IFERROR(__xludf.DUMMYFUNCTION("""COMPUTED_VALUE"""),183.0)</f>
        <v>183</v>
      </c>
      <c r="K750" s="4">
        <f>IFERROR(__xludf.DUMMYFUNCTION("""COMPUTED_VALUE"""),17.0)</f>
        <v>17</v>
      </c>
      <c r="L750" s="4">
        <f>IFERROR(__xludf.DUMMYFUNCTION("""COMPUTED_VALUE"""),0.527)</f>
        <v>0.527</v>
      </c>
      <c r="M750" s="4">
        <f>IFERROR(__xludf.DUMMYFUNCTION("""COMPUTED_VALUE"""),0.0)</f>
        <v>0</v>
      </c>
      <c r="N750" s="4">
        <f>IFERROR(__xludf.DUMMYFUNCTION("""COMPUTED_VALUE"""),0.58)</f>
        <v>0.58</v>
      </c>
      <c r="O750" s="4">
        <f>IFERROR(__xludf.DUMMYFUNCTION("""COMPUTED_VALUE"""),10.7)</f>
        <v>10.7</v>
      </c>
      <c r="P750" s="4">
        <f>IFERROR(__xludf.DUMMYFUNCTION("""COMPUTED_VALUE"""),4.4)</f>
        <v>4.4</v>
      </c>
      <c r="Q750" s="4">
        <f>IFERROR(__xludf.DUMMYFUNCTION("""COMPUTED_VALUE"""),3.5)</f>
        <v>3.5</v>
      </c>
      <c r="R750" s="4">
        <f>IFERROR(__xludf.DUMMYFUNCTION("""COMPUTED_VALUE"""),0.3)</f>
        <v>0.3</v>
      </c>
      <c r="S750" s="4">
        <f>IFERROR(__xludf.DUMMYFUNCTION("""COMPUTED_VALUE"""),1.3)</f>
        <v>1.3</v>
      </c>
      <c r="T750" s="4">
        <f>IFERROR(__xludf.DUMMYFUNCTION("""COMPUTED_VALUE"""),0.108)</f>
        <v>0.108</v>
      </c>
      <c r="U750" s="4">
        <f>IFERROR(__xludf.DUMMYFUNCTION("""COMPUTED_VALUE"""),-2.6)</f>
        <v>-2.6</v>
      </c>
      <c r="V750" s="4">
        <f>IFERROR(__xludf.DUMMYFUNCTION("""COMPUTED_VALUE"""),-0.1)</f>
        <v>-0.1</v>
      </c>
    </row>
    <row r="751">
      <c r="A751" s="4">
        <f>IFERROR(__xludf.DUMMYFUNCTION("""COMPUTED_VALUE"""),22.0)</f>
        <v>22</v>
      </c>
      <c r="B751" s="4">
        <f>IFERROR(__xludf.DUMMYFUNCTION("""COMPUTED_VALUE"""),22.0)</f>
        <v>22</v>
      </c>
      <c r="C751" s="4" t="str">
        <f>IFERROR(__xludf.DUMMYFUNCTION("""COMPUTED_VALUE"""),"MEM")</f>
        <v>MEM</v>
      </c>
      <c r="D751" s="4" t="str">
        <f>IFERROR(__xludf.DUMMYFUNCTION("""COMPUTED_VALUE"""),"Jordan Adams")</f>
        <v>Jordan Adams</v>
      </c>
      <c r="E751" s="4" t="str">
        <f>IFERROR(__xludf.DUMMYFUNCTION("""COMPUTED_VALUE"""),"UCLA")</f>
        <v>UCLA</v>
      </c>
      <c r="F751" s="4">
        <f>IFERROR(__xludf.DUMMYFUNCTION("""COMPUTED_VALUE"""),2.0)</f>
        <v>2</v>
      </c>
      <c r="G751" s="4">
        <f>IFERROR(__xludf.DUMMYFUNCTION("""COMPUTED_VALUE"""),32.0)</f>
        <v>32</v>
      </c>
      <c r="H751" s="4">
        <f>IFERROR(__xludf.DUMMYFUNCTION("""COMPUTED_VALUE"""),263.0)</f>
        <v>263</v>
      </c>
      <c r="I751" s="4">
        <f>IFERROR(__xludf.DUMMYFUNCTION("""COMPUTED_VALUE"""),101.0)</f>
        <v>101</v>
      </c>
      <c r="J751" s="4">
        <f>IFERROR(__xludf.DUMMYFUNCTION("""COMPUTED_VALUE"""),30.0)</f>
        <v>30</v>
      </c>
      <c r="K751" s="4">
        <f>IFERROR(__xludf.DUMMYFUNCTION("""COMPUTED_VALUE"""),19.0)</f>
        <v>19</v>
      </c>
      <c r="L751" s="4">
        <f>IFERROR(__xludf.DUMMYFUNCTION("""COMPUTED_VALUE"""),0.402)</f>
        <v>0.402</v>
      </c>
      <c r="M751" s="4">
        <f>IFERROR(__xludf.DUMMYFUNCTION("""COMPUTED_VALUE"""),0.385)</f>
        <v>0.385</v>
      </c>
      <c r="N751" s="4">
        <f>IFERROR(__xludf.DUMMYFUNCTION("""COMPUTED_VALUE"""),0.607)</f>
        <v>0.607</v>
      </c>
      <c r="O751" s="4">
        <f>IFERROR(__xludf.DUMMYFUNCTION("""COMPUTED_VALUE"""),8.2)</f>
        <v>8.2</v>
      </c>
      <c r="P751" s="4">
        <f>IFERROR(__xludf.DUMMYFUNCTION("""COMPUTED_VALUE"""),3.2)</f>
        <v>3.2</v>
      </c>
      <c r="Q751" s="4">
        <f>IFERROR(__xludf.DUMMYFUNCTION("""COMPUTED_VALUE"""),0.9)</f>
        <v>0.9</v>
      </c>
      <c r="R751" s="4">
        <f>IFERROR(__xludf.DUMMYFUNCTION("""COMPUTED_VALUE"""),0.6)</f>
        <v>0.6</v>
      </c>
      <c r="S751" s="4">
        <f>IFERROR(__xludf.DUMMYFUNCTION("""COMPUTED_VALUE"""),0.4)</f>
        <v>0.4</v>
      </c>
      <c r="T751" s="4">
        <f>IFERROR(__xludf.DUMMYFUNCTION("""COMPUTED_VALUE"""),0.07)</f>
        <v>0.07</v>
      </c>
      <c r="U751" s="4">
        <f>IFERROR(__xludf.DUMMYFUNCTION("""COMPUTED_VALUE"""),1.7)</f>
        <v>1.7</v>
      </c>
      <c r="V751" s="4">
        <f>IFERROR(__xludf.DUMMYFUNCTION("""COMPUTED_VALUE"""),0.2)</f>
        <v>0.2</v>
      </c>
    </row>
    <row r="752">
      <c r="A752" s="4">
        <f>IFERROR(__xludf.DUMMYFUNCTION("""COMPUTED_VALUE"""),23.0)</f>
        <v>23</v>
      </c>
      <c r="B752" s="4">
        <f>IFERROR(__xludf.DUMMYFUNCTION("""COMPUTED_VALUE"""),23.0)</f>
        <v>23</v>
      </c>
      <c r="C752" s="4" t="str">
        <f>IFERROR(__xludf.DUMMYFUNCTION("""COMPUTED_VALUE"""),"UTA")</f>
        <v>UTA</v>
      </c>
      <c r="D752" s="4" t="str">
        <f>IFERROR(__xludf.DUMMYFUNCTION("""COMPUTED_VALUE"""),"Rodney Hood")</f>
        <v>Rodney Hood</v>
      </c>
      <c r="E752" s="4" t="str">
        <f>IFERROR(__xludf.DUMMYFUNCTION("""COMPUTED_VALUE"""),"Duke")</f>
        <v>Duke</v>
      </c>
      <c r="F752" s="4">
        <f>IFERROR(__xludf.DUMMYFUNCTION("""COMPUTED_VALUE"""),8.0)</f>
        <v>8</v>
      </c>
      <c r="G752" s="4">
        <f>IFERROR(__xludf.DUMMYFUNCTION("""COMPUTED_VALUE"""),448.0)</f>
        <v>448</v>
      </c>
      <c r="H752" s="4">
        <f>IFERROR(__xludf.DUMMYFUNCTION("""COMPUTED_VALUE"""),10977.0)</f>
        <v>10977</v>
      </c>
      <c r="I752" s="4">
        <f>IFERROR(__xludf.DUMMYFUNCTION("""COMPUTED_VALUE"""),4656.0)</f>
        <v>4656</v>
      </c>
      <c r="J752" s="4">
        <f>IFERROR(__xludf.DUMMYFUNCTION("""COMPUTED_VALUE"""),1160.0)</f>
        <v>1160</v>
      </c>
      <c r="K752" s="4">
        <f>IFERROR(__xludf.DUMMYFUNCTION("""COMPUTED_VALUE"""),736.0)</f>
        <v>736</v>
      </c>
      <c r="L752" s="4">
        <f>IFERROR(__xludf.DUMMYFUNCTION("""COMPUTED_VALUE"""),0.42)</f>
        <v>0.42</v>
      </c>
      <c r="M752" s="4">
        <f>IFERROR(__xludf.DUMMYFUNCTION("""COMPUTED_VALUE"""),0.366)</f>
        <v>0.366</v>
      </c>
      <c r="N752" s="4">
        <f>IFERROR(__xludf.DUMMYFUNCTION("""COMPUTED_VALUE"""),0.841)</f>
        <v>0.841</v>
      </c>
      <c r="O752" s="4">
        <f>IFERROR(__xludf.DUMMYFUNCTION("""COMPUTED_VALUE"""),24.5)</f>
        <v>24.5</v>
      </c>
      <c r="P752" s="4">
        <f>IFERROR(__xludf.DUMMYFUNCTION("""COMPUTED_VALUE"""),10.4)</f>
        <v>10.4</v>
      </c>
      <c r="Q752" s="4">
        <f>IFERROR(__xludf.DUMMYFUNCTION("""COMPUTED_VALUE"""),2.6)</f>
        <v>2.6</v>
      </c>
      <c r="R752" s="4">
        <f>IFERROR(__xludf.DUMMYFUNCTION("""COMPUTED_VALUE"""),1.6)</f>
        <v>1.6</v>
      </c>
      <c r="S752" s="4">
        <f>IFERROR(__xludf.DUMMYFUNCTION("""COMPUTED_VALUE"""),17.4)</f>
        <v>17.4</v>
      </c>
      <c r="T752" s="4">
        <f>IFERROR(__xludf.DUMMYFUNCTION("""COMPUTED_VALUE"""),0.076)</f>
        <v>0.076</v>
      </c>
      <c r="U752" s="4">
        <f>IFERROR(__xludf.DUMMYFUNCTION("""COMPUTED_VALUE"""),-1.2)</f>
        <v>-1.2</v>
      </c>
      <c r="V752" s="4">
        <f>IFERROR(__xludf.DUMMYFUNCTION("""COMPUTED_VALUE"""),2.2)</f>
        <v>2.2</v>
      </c>
    </row>
    <row r="753">
      <c r="A753" s="4">
        <f>IFERROR(__xludf.DUMMYFUNCTION("""COMPUTED_VALUE"""),24.0)</f>
        <v>24</v>
      </c>
      <c r="B753" s="4">
        <f>IFERROR(__xludf.DUMMYFUNCTION("""COMPUTED_VALUE"""),24.0)</f>
        <v>24</v>
      </c>
      <c r="C753" s="4" t="str">
        <f>IFERROR(__xludf.DUMMYFUNCTION("""COMPUTED_VALUE"""),"CHO")</f>
        <v>CHO</v>
      </c>
      <c r="D753" s="4" t="str">
        <f>IFERROR(__xludf.DUMMYFUNCTION("""COMPUTED_VALUE"""),"Shabazz Napier")</f>
        <v>Shabazz Napier</v>
      </c>
      <c r="E753" s="4" t="str">
        <f>IFERROR(__xludf.DUMMYFUNCTION("""COMPUTED_VALUE"""),"UConn")</f>
        <v>UConn</v>
      </c>
      <c r="F753" s="4">
        <f>IFERROR(__xludf.DUMMYFUNCTION("""COMPUTED_VALUE"""),6.0)</f>
        <v>6</v>
      </c>
      <c r="G753" s="4">
        <f>IFERROR(__xludf.DUMMYFUNCTION("""COMPUTED_VALUE"""),345.0)</f>
        <v>345</v>
      </c>
      <c r="H753" s="4">
        <f>IFERROR(__xludf.DUMMYFUNCTION("""COMPUTED_VALUE"""),5986.0)</f>
        <v>5986</v>
      </c>
      <c r="I753" s="4">
        <f>IFERROR(__xludf.DUMMYFUNCTION("""COMPUTED_VALUE"""),2433.0)</f>
        <v>2433</v>
      </c>
      <c r="J753" s="4">
        <f>IFERROR(__xludf.DUMMYFUNCTION("""COMPUTED_VALUE"""),657.0)</f>
        <v>657</v>
      </c>
      <c r="K753" s="4">
        <f>IFERROR(__xludf.DUMMYFUNCTION("""COMPUTED_VALUE"""),849.0)</f>
        <v>849</v>
      </c>
      <c r="L753" s="4">
        <f>IFERROR(__xludf.DUMMYFUNCTION("""COMPUTED_VALUE"""),0.397)</f>
        <v>0.397</v>
      </c>
      <c r="M753" s="4">
        <f>IFERROR(__xludf.DUMMYFUNCTION("""COMPUTED_VALUE"""),0.345)</f>
        <v>0.345</v>
      </c>
      <c r="N753" s="4">
        <f>IFERROR(__xludf.DUMMYFUNCTION("""COMPUTED_VALUE"""),0.815)</f>
        <v>0.815</v>
      </c>
      <c r="O753" s="4">
        <f>IFERROR(__xludf.DUMMYFUNCTION("""COMPUTED_VALUE"""),17.4)</f>
        <v>17.4</v>
      </c>
      <c r="P753" s="4">
        <f>IFERROR(__xludf.DUMMYFUNCTION("""COMPUTED_VALUE"""),7.1)</f>
        <v>7.1</v>
      </c>
      <c r="Q753" s="4">
        <f>IFERROR(__xludf.DUMMYFUNCTION("""COMPUTED_VALUE"""),1.9)</f>
        <v>1.9</v>
      </c>
      <c r="R753" s="4">
        <f>IFERROR(__xludf.DUMMYFUNCTION("""COMPUTED_VALUE"""),2.5)</f>
        <v>2.5</v>
      </c>
      <c r="S753" s="4">
        <f>IFERROR(__xludf.DUMMYFUNCTION("""COMPUTED_VALUE"""),8.1)</f>
        <v>8.1</v>
      </c>
      <c r="T753" s="4">
        <f>IFERROR(__xludf.DUMMYFUNCTION("""COMPUTED_VALUE"""),0.065)</f>
        <v>0.065</v>
      </c>
      <c r="U753" s="4">
        <f>IFERROR(__xludf.DUMMYFUNCTION("""COMPUTED_VALUE"""),-0.7)</f>
        <v>-0.7</v>
      </c>
      <c r="V753" s="4">
        <f>IFERROR(__xludf.DUMMYFUNCTION("""COMPUTED_VALUE"""),2.0)</f>
        <v>2</v>
      </c>
    </row>
    <row r="754">
      <c r="A754" s="4">
        <f>IFERROR(__xludf.DUMMYFUNCTION("""COMPUTED_VALUE"""),25.0)</f>
        <v>25</v>
      </c>
      <c r="B754" s="4">
        <f>IFERROR(__xludf.DUMMYFUNCTION("""COMPUTED_VALUE"""),25.0)</f>
        <v>25</v>
      </c>
      <c r="C754" s="4" t="str">
        <f>IFERROR(__xludf.DUMMYFUNCTION("""COMPUTED_VALUE"""),"HOU")</f>
        <v>HOU</v>
      </c>
      <c r="D754" s="4" t="str">
        <f>IFERROR(__xludf.DUMMYFUNCTION("""COMPUTED_VALUE"""),"Clint Capela")</f>
        <v>Clint Capela</v>
      </c>
      <c r="E754" s="4"/>
      <c r="F754" s="4">
        <f>IFERROR(__xludf.DUMMYFUNCTION("""COMPUTED_VALUE"""),12.0)</f>
        <v>12</v>
      </c>
      <c r="G754" s="4">
        <f>IFERROR(__xludf.DUMMYFUNCTION("""COMPUTED_VALUE"""),681.0)</f>
        <v>681</v>
      </c>
      <c r="H754" s="4">
        <f>IFERROR(__xludf.DUMMYFUNCTION("""COMPUTED_VALUE"""),17584.0)</f>
        <v>17584</v>
      </c>
      <c r="I754" s="4">
        <f>IFERROR(__xludf.DUMMYFUNCTION("""COMPUTED_VALUE"""),8014.0)</f>
        <v>8014</v>
      </c>
      <c r="J754" s="4">
        <f>IFERROR(__xludf.DUMMYFUNCTION("""COMPUTED_VALUE"""),7062.0)</f>
        <v>7062</v>
      </c>
      <c r="K754" s="4">
        <f>IFERROR(__xludf.DUMMYFUNCTION("""COMPUTED_VALUE"""),682.0)</f>
        <v>682</v>
      </c>
      <c r="L754" s="4">
        <f>IFERROR(__xludf.DUMMYFUNCTION("""COMPUTED_VALUE"""),0.616)</f>
        <v>0.616</v>
      </c>
      <c r="M754" s="4">
        <f>IFERROR(__xludf.DUMMYFUNCTION("""COMPUTED_VALUE"""),0.0)</f>
        <v>0</v>
      </c>
      <c r="N754" s="4">
        <f>IFERROR(__xludf.DUMMYFUNCTION("""COMPUTED_VALUE"""),0.546)</f>
        <v>0.546</v>
      </c>
      <c r="O754" s="4">
        <f>IFERROR(__xludf.DUMMYFUNCTION("""COMPUTED_VALUE"""),25.8)</f>
        <v>25.8</v>
      </c>
      <c r="P754" s="4">
        <f>IFERROR(__xludf.DUMMYFUNCTION("""COMPUTED_VALUE"""),11.8)</f>
        <v>11.8</v>
      </c>
      <c r="Q754" s="4">
        <f>IFERROR(__xludf.DUMMYFUNCTION("""COMPUTED_VALUE"""),10.4)</f>
        <v>10.4</v>
      </c>
      <c r="R754" s="4">
        <f>IFERROR(__xludf.DUMMYFUNCTION("""COMPUTED_VALUE"""),1.0)</f>
        <v>1</v>
      </c>
      <c r="S754" s="4">
        <f>IFERROR(__xludf.DUMMYFUNCTION("""COMPUTED_VALUE"""),70.4)</f>
        <v>70.4</v>
      </c>
      <c r="T754" s="4">
        <f>IFERROR(__xludf.DUMMYFUNCTION("""COMPUTED_VALUE"""),0.192)</f>
        <v>0.192</v>
      </c>
      <c r="U754" s="4">
        <f>IFERROR(__xludf.DUMMYFUNCTION("""COMPUTED_VALUE"""),1.6)</f>
        <v>1.6</v>
      </c>
      <c r="V754" s="4">
        <f>IFERROR(__xludf.DUMMYFUNCTION("""COMPUTED_VALUE"""),16.1)</f>
        <v>16.1</v>
      </c>
    </row>
    <row r="755">
      <c r="A755" s="4">
        <f>IFERROR(__xludf.DUMMYFUNCTION("""COMPUTED_VALUE"""),26.0)</f>
        <v>26</v>
      </c>
      <c r="B755" s="4">
        <f>IFERROR(__xludf.DUMMYFUNCTION("""COMPUTED_VALUE"""),26.0)</f>
        <v>26</v>
      </c>
      <c r="C755" s="4" t="str">
        <f>IFERROR(__xludf.DUMMYFUNCTION("""COMPUTED_VALUE"""),"MIA")</f>
        <v>MIA</v>
      </c>
      <c r="D755" s="4" t="str">
        <f>IFERROR(__xludf.DUMMYFUNCTION("""COMPUTED_VALUE"""),"P.J. Hairston")</f>
        <v>P.J. Hairston</v>
      </c>
      <c r="E755" s="4" t="str">
        <f>IFERROR(__xludf.DUMMYFUNCTION("""COMPUTED_VALUE"""),"UNC")</f>
        <v>UNC</v>
      </c>
      <c r="F755" s="4">
        <f>IFERROR(__xludf.DUMMYFUNCTION("""COMPUTED_VALUE"""),2.0)</f>
        <v>2</v>
      </c>
      <c r="G755" s="4">
        <f>IFERROR(__xludf.DUMMYFUNCTION("""COMPUTED_VALUE"""),111.0)</f>
        <v>111</v>
      </c>
      <c r="H755" s="4">
        <f>IFERROR(__xludf.DUMMYFUNCTION("""COMPUTED_VALUE"""),2000.0)</f>
        <v>2000</v>
      </c>
      <c r="I755" s="4">
        <f>IFERROR(__xludf.DUMMYFUNCTION("""COMPUTED_VALUE"""),664.0)</f>
        <v>664</v>
      </c>
      <c r="J755" s="4">
        <f>IFERROR(__xludf.DUMMYFUNCTION("""COMPUTED_VALUE"""),266.0)</f>
        <v>266</v>
      </c>
      <c r="K755" s="4">
        <f>IFERROR(__xludf.DUMMYFUNCTION("""COMPUTED_VALUE"""),59.0)</f>
        <v>59</v>
      </c>
      <c r="L755" s="4">
        <f>IFERROR(__xludf.DUMMYFUNCTION("""COMPUTED_VALUE"""),0.343)</f>
        <v>0.343</v>
      </c>
      <c r="M755" s="4">
        <f>IFERROR(__xludf.DUMMYFUNCTION("""COMPUTED_VALUE"""),0.295)</f>
        <v>0.295</v>
      </c>
      <c r="N755" s="4">
        <f>IFERROR(__xludf.DUMMYFUNCTION("""COMPUTED_VALUE"""),0.81)</f>
        <v>0.81</v>
      </c>
      <c r="O755" s="4">
        <f>IFERROR(__xludf.DUMMYFUNCTION("""COMPUTED_VALUE"""),18.0)</f>
        <v>18</v>
      </c>
      <c r="P755" s="4">
        <f>IFERROR(__xludf.DUMMYFUNCTION("""COMPUTED_VALUE"""),6.0)</f>
        <v>6</v>
      </c>
      <c r="Q755" s="4">
        <f>IFERROR(__xludf.DUMMYFUNCTION("""COMPUTED_VALUE"""),2.4)</f>
        <v>2.4</v>
      </c>
      <c r="R755" s="4">
        <f>IFERROR(__xludf.DUMMYFUNCTION("""COMPUTED_VALUE"""),0.5)</f>
        <v>0.5</v>
      </c>
      <c r="S755" s="4">
        <f>IFERROR(__xludf.DUMMYFUNCTION("""COMPUTED_VALUE"""),0.9)</f>
        <v>0.9</v>
      </c>
      <c r="T755" s="4">
        <f>IFERROR(__xludf.DUMMYFUNCTION("""COMPUTED_VALUE"""),0.021)</f>
        <v>0.021</v>
      </c>
      <c r="U755" s="4">
        <f>IFERROR(__xludf.DUMMYFUNCTION("""COMPUTED_VALUE"""),-3.9)</f>
        <v>-3.9</v>
      </c>
      <c r="V755" s="4">
        <f>IFERROR(__xludf.DUMMYFUNCTION("""COMPUTED_VALUE"""),-1.0)</f>
        <v>-1</v>
      </c>
    </row>
    <row r="756">
      <c r="A756" s="4">
        <f>IFERROR(__xludf.DUMMYFUNCTION("""COMPUTED_VALUE"""),27.0)</f>
        <v>27</v>
      </c>
      <c r="B756" s="4">
        <f>IFERROR(__xludf.DUMMYFUNCTION("""COMPUTED_VALUE"""),27.0)</f>
        <v>27</v>
      </c>
      <c r="C756" s="4" t="str">
        <f>IFERROR(__xludf.DUMMYFUNCTION("""COMPUTED_VALUE"""),"PHO")</f>
        <v>PHO</v>
      </c>
      <c r="D756" s="4" t="str">
        <f>IFERROR(__xludf.DUMMYFUNCTION("""COMPUTED_VALUE"""),"Bogdan Bogdanović")</f>
        <v>Bogdan Bogdanović</v>
      </c>
      <c r="E756" s="4"/>
      <c r="F756" s="4">
        <f>IFERROR(__xludf.DUMMYFUNCTION("""COMPUTED_VALUE"""),9.0)</f>
        <v>9</v>
      </c>
      <c r="G756" s="4">
        <f>IFERROR(__xludf.DUMMYFUNCTION("""COMPUTED_VALUE"""),512.0)</f>
        <v>512</v>
      </c>
      <c r="H756" s="4">
        <f>IFERROR(__xludf.DUMMYFUNCTION("""COMPUTED_VALUE"""),14529.0)</f>
        <v>14529</v>
      </c>
      <c r="I756" s="4">
        <f>IFERROR(__xludf.DUMMYFUNCTION("""COMPUTED_VALUE"""),7256.0)</f>
        <v>7256</v>
      </c>
      <c r="J756" s="4">
        <f>IFERROR(__xludf.DUMMYFUNCTION("""COMPUTED_VALUE"""),1710.0)</f>
        <v>1710</v>
      </c>
      <c r="K756" s="4">
        <f>IFERROR(__xludf.DUMMYFUNCTION("""COMPUTED_VALUE"""),1646.0)</f>
        <v>1646</v>
      </c>
      <c r="L756" s="4">
        <f>IFERROR(__xludf.DUMMYFUNCTION("""COMPUTED_VALUE"""),0.436)</f>
        <v>0.436</v>
      </c>
      <c r="M756" s="4">
        <f>IFERROR(__xludf.DUMMYFUNCTION("""COMPUTED_VALUE"""),0.382)</f>
        <v>0.382</v>
      </c>
      <c r="N756" s="4">
        <f>IFERROR(__xludf.DUMMYFUNCTION("""COMPUTED_VALUE"""),0.846)</f>
        <v>0.846</v>
      </c>
      <c r="O756" s="4">
        <f>IFERROR(__xludf.DUMMYFUNCTION("""COMPUTED_VALUE"""),28.4)</f>
        <v>28.4</v>
      </c>
      <c r="P756" s="4">
        <f>IFERROR(__xludf.DUMMYFUNCTION("""COMPUTED_VALUE"""),14.2)</f>
        <v>14.2</v>
      </c>
      <c r="Q756" s="4">
        <f>IFERROR(__xludf.DUMMYFUNCTION("""COMPUTED_VALUE"""),3.3)</f>
        <v>3.3</v>
      </c>
      <c r="R756" s="4">
        <f>IFERROR(__xludf.DUMMYFUNCTION("""COMPUTED_VALUE"""),3.2)</f>
        <v>3.2</v>
      </c>
      <c r="S756" s="4">
        <f>IFERROR(__xludf.DUMMYFUNCTION("""COMPUTED_VALUE"""),24.9)</f>
        <v>24.9</v>
      </c>
      <c r="T756" s="4">
        <f>IFERROR(__xludf.DUMMYFUNCTION("""COMPUTED_VALUE"""),0.082)</f>
        <v>0.082</v>
      </c>
      <c r="U756" s="4">
        <f>IFERROR(__xludf.DUMMYFUNCTION("""COMPUTED_VALUE"""),0.1)</f>
        <v>0.1</v>
      </c>
      <c r="V756" s="4">
        <f>IFERROR(__xludf.DUMMYFUNCTION("""COMPUTED_VALUE"""),7.8)</f>
        <v>7.8</v>
      </c>
    </row>
    <row r="757">
      <c r="A757" s="4">
        <f>IFERROR(__xludf.DUMMYFUNCTION("""COMPUTED_VALUE"""),28.0)</f>
        <v>28</v>
      </c>
      <c r="B757" s="4">
        <f>IFERROR(__xludf.DUMMYFUNCTION("""COMPUTED_VALUE"""),28.0)</f>
        <v>28</v>
      </c>
      <c r="C757" s="4" t="str">
        <f>IFERROR(__xludf.DUMMYFUNCTION("""COMPUTED_VALUE"""),"LAC")</f>
        <v>LAC</v>
      </c>
      <c r="D757" s="4" t="str">
        <f>IFERROR(__xludf.DUMMYFUNCTION("""COMPUTED_VALUE"""),"C.J. Wilcox")</f>
        <v>C.J. Wilcox</v>
      </c>
      <c r="E757" s="4" t="str">
        <f>IFERROR(__xludf.DUMMYFUNCTION("""COMPUTED_VALUE"""),"Washington")</f>
        <v>Washington</v>
      </c>
      <c r="F757" s="4">
        <f>IFERROR(__xludf.DUMMYFUNCTION("""COMPUTED_VALUE"""),3.0)</f>
        <v>3</v>
      </c>
      <c r="G757" s="4">
        <f>IFERROR(__xludf.DUMMYFUNCTION("""COMPUTED_VALUE"""),66.0)</f>
        <v>66</v>
      </c>
      <c r="H757" s="4">
        <f>IFERROR(__xludf.DUMMYFUNCTION("""COMPUTED_VALUE"""),376.0)</f>
        <v>376</v>
      </c>
      <c r="I757" s="4">
        <f>IFERROR(__xludf.DUMMYFUNCTION("""COMPUTED_VALUE"""),132.0)</f>
        <v>132</v>
      </c>
      <c r="J757" s="4">
        <f>IFERROR(__xludf.DUMMYFUNCTION("""COMPUTED_VALUE"""),31.0)</f>
        <v>31</v>
      </c>
      <c r="K757" s="4">
        <f>IFERROR(__xludf.DUMMYFUNCTION("""COMPUTED_VALUE"""),30.0)</f>
        <v>30</v>
      </c>
      <c r="L757" s="4">
        <f>IFERROR(__xludf.DUMMYFUNCTION("""COMPUTED_VALUE"""),0.37)</f>
        <v>0.37</v>
      </c>
      <c r="M757" s="4">
        <f>IFERROR(__xludf.DUMMYFUNCTION("""COMPUTED_VALUE"""),0.333)</f>
        <v>0.333</v>
      </c>
      <c r="N757" s="4">
        <f>IFERROR(__xludf.DUMMYFUNCTION("""COMPUTED_VALUE"""),0.813)</f>
        <v>0.813</v>
      </c>
      <c r="O757" s="4">
        <f>IFERROR(__xludf.DUMMYFUNCTION("""COMPUTED_VALUE"""),5.7)</f>
        <v>5.7</v>
      </c>
      <c r="P757" s="4">
        <f>IFERROR(__xludf.DUMMYFUNCTION("""COMPUTED_VALUE"""),2.0)</f>
        <v>2</v>
      </c>
      <c r="Q757" s="4">
        <f>IFERROR(__xludf.DUMMYFUNCTION("""COMPUTED_VALUE"""),0.5)</f>
        <v>0.5</v>
      </c>
      <c r="R757" s="4">
        <f>IFERROR(__xludf.DUMMYFUNCTION("""COMPUTED_VALUE"""),0.5)</f>
        <v>0.5</v>
      </c>
      <c r="S757" s="4">
        <f>IFERROR(__xludf.DUMMYFUNCTION("""COMPUTED_VALUE"""),0.1)</f>
        <v>0.1</v>
      </c>
      <c r="T757" s="4">
        <f>IFERROR(__xludf.DUMMYFUNCTION("""COMPUTED_VALUE"""),0.007)</f>
        <v>0.007</v>
      </c>
      <c r="U757" s="4">
        <f>IFERROR(__xludf.DUMMYFUNCTION("""COMPUTED_VALUE"""),-4.3)</f>
        <v>-4.3</v>
      </c>
      <c r="V757" s="4">
        <f>IFERROR(__xludf.DUMMYFUNCTION("""COMPUTED_VALUE"""),-0.2)</f>
        <v>-0.2</v>
      </c>
    </row>
    <row r="758">
      <c r="A758" s="4">
        <f>IFERROR(__xludf.DUMMYFUNCTION("""COMPUTED_VALUE"""),29.0)</f>
        <v>29</v>
      </c>
      <c r="B758" s="4">
        <f>IFERROR(__xludf.DUMMYFUNCTION("""COMPUTED_VALUE"""),29.0)</f>
        <v>29</v>
      </c>
      <c r="C758" s="4" t="str">
        <f>IFERROR(__xludf.DUMMYFUNCTION("""COMPUTED_VALUE"""),"OKC")</f>
        <v>OKC</v>
      </c>
      <c r="D758" s="4" t="str">
        <f>IFERROR(__xludf.DUMMYFUNCTION("""COMPUTED_VALUE"""),"Josh Huestis")</f>
        <v>Josh Huestis</v>
      </c>
      <c r="E758" s="4" t="str">
        <f>IFERROR(__xludf.DUMMYFUNCTION("""COMPUTED_VALUE"""),"Stanford")</f>
        <v>Stanford</v>
      </c>
      <c r="F758" s="4">
        <f>IFERROR(__xludf.DUMMYFUNCTION("""COMPUTED_VALUE"""),3.0)</f>
        <v>3</v>
      </c>
      <c r="G758" s="4">
        <f>IFERROR(__xludf.DUMMYFUNCTION("""COMPUTED_VALUE"""),76.0)</f>
        <v>76</v>
      </c>
      <c r="H758" s="4">
        <f>IFERROR(__xludf.DUMMYFUNCTION("""COMPUTED_VALUE"""),1068.0)</f>
        <v>1068</v>
      </c>
      <c r="I758" s="4">
        <f>IFERROR(__xludf.DUMMYFUNCTION("""COMPUTED_VALUE"""),187.0)</f>
        <v>187</v>
      </c>
      <c r="J758" s="4">
        <f>IFERROR(__xludf.DUMMYFUNCTION("""COMPUTED_VALUE"""),180.0)</f>
        <v>180</v>
      </c>
      <c r="K758" s="4">
        <f>IFERROR(__xludf.DUMMYFUNCTION("""COMPUTED_VALUE"""),23.0)</f>
        <v>23</v>
      </c>
      <c r="L758" s="4">
        <f>IFERROR(__xludf.DUMMYFUNCTION("""COMPUTED_VALUE"""),0.346)</f>
        <v>0.346</v>
      </c>
      <c r="M758" s="4">
        <f>IFERROR(__xludf.DUMMYFUNCTION("""COMPUTED_VALUE"""),0.312)</f>
        <v>0.312</v>
      </c>
      <c r="N758" s="4">
        <f>IFERROR(__xludf.DUMMYFUNCTION("""COMPUTED_VALUE"""),0.24)</f>
        <v>0.24</v>
      </c>
      <c r="O758" s="4">
        <f>IFERROR(__xludf.DUMMYFUNCTION("""COMPUTED_VALUE"""),14.1)</f>
        <v>14.1</v>
      </c>
      <c r="P758" s="4">
        <f>IFERROR(__xludf.DUMMYFUNCTION("""COMPUTED_VALUE"""),2.5)</f>
        <v>2.5</v>
      </c>
      <c r="Q758" s="4">
        <f>IFERROR(__xludf.DUMMYFUNCTION("""COMPUTED_VALUE"""),2.4)</f>
        <v>2.4</v>
      </c>
      <c r="R758" s="4">
        <f>IFERROR(__xludf.DUMMYFUNCTION("""COMPUTED_VALUE"""),0.3)</f>
        <v>0.3</v>
      </c>
      <c r="S758" s="4">
        <f>IFERROR(__xludf.DUMMYFUNCTION("""COMPUTED_VALUE"""),0.7)</f>
        <v>0.7</v>
      </c>
      <c r="T758" s="4">
        <f>IFERROR(__xludf.DUMMYFUNCTION("""COMPUTED_VALUE"""),0.03)</f>
        <v>0.03</v>
      </c>
      <c r="U758" s="4">
        <f>IFERROR(__xludf.DUMMYFUNCTION("""COMPUTED_VALUE"""),-3.5)</f>
        <v>-3.5</v>
      </c>
      <c r="V758" s="4">
        <f>IFERROR(__xludf.DUMMYFUNCTION("""COMPUTED_VALUE"""),-0.4)</f>
        <v>-0.4</v>
      </c>
    </row>
    <row r="759">
      <c r="A759" s="4">
        <f>IFERROR(__xludf.DUMMYFUNCTION("""COMPUTED_VALUE"""),30.0)</f>
        <v>30</v>
      </c>
      <c r="B759" s="4">
        <f>IFERROR(__xludf.DUMMYFUNCTION("""COMPUTED_VALUE"""),30.0)</f>
        <v>30</v>
      </c>
      <c r="C759" s="4" t="str">
        <f>IFERROR(__xludf.DUMMYFUNCTION("""COMPUTED_VALUE"""),"SAS")</f>
        <v>SAS</v>
      </c>
      <c r="D759" s="4" t="str">
        <f>IFERROR(__xludf.DUMMYFUNCTION("""COMPUTED_VALUE"""),"Kyle Anderson")</f>
        <v>Kyle Anderson</v>
      </c>
      <c r="E759" s="4" t="str">
        <f>IFERROR(__xludf.DUMMYFUNCTION("""COMPUTED_VALUE"""),"UCLA")</f>
        <v>UCLA</v>
      </c>
      <c r="F759" s="4">
        <f>IFERROR(__xludf.DUMMYFUNCTION("""COMPUTED_VALUE"""),12.0)</f>
        <v>12</v>
      </c>
      <c r="G759" s="4">
        <f>IFERROR(__xludf.DUMMYFUNCTION("""COMPUTED_VALUE"""),720.0)</f>
        <v>720</v>
      </c>
      <c r="H759" s="4">
        <f>IFERROR(__xludf.DUMMYFUNCTION("""COMPUTED_VALUE"""),15441.0)</f>
        <v>15441</v>
      </c>
      <c r="I759" s="4">
        <f>IFERROR(__xludf.DUMMYFUNCTION("""COMPUTED_VALUE"""),4921.0)</f>
        <v>4921</v>
      </c>
      <c r="J759" s="4">
        <f>IFERROR(__xludf.DUMMYFUNCTION("""COMPUTED_VALUE"""),3083.0)</f>
        <v>3083</v>
      </c>
      <c r="K759" s="4">
        <f>IFERROR(__xludf.DUMMYFUNCTION("""COMPUTED_VALUE"""),2001.0)</f>
        <v>2001</v>
      </c>
      <c r="L759" s="4">
        <f>IFERROR(__xludf.DUMMYFUNCTION("""COMPUTED_VALUE"""),0.478)</f>
        <v>0.478</v>
      </c>
      <c r="M759" s="4">
        <f>IFERROR(__xludf.DUMMYFUNCTION("""COMPUTED_VALUE"""),0.34)</f>
        <v>0.34</v>
      </c>
      <c r="N759" s="4">
        <f>IFERROR(__xludf.DUMMYFUNCTION("""COMPUTED_VALUE"""),0.715)</f>
        <v>0.715</v>
      </c>
      <c r="O759" s="4">
        <f>IFERROR(__xludf.DUMMYFUNCTION("""COMPUTED_VALUE"""),21.4)</f>
        <v>21.4</v>
      </c>
      <c r="P759" s="4">
        <f>IFERROR(__xludf.DUMMYFUNCTION("""COMPUTED_VALUE"""),6.8)</f>
        <v>6.8</v>
      </c>
      <c r="Q759" s="4">
        <f>IFERROR(__xludf.DUMMYFUNCTION("""COMPUTED_VALUE"""),4.3)</f>
        <v>4.3</v>
      </c>
      <c r="R759" s="4">
        <f>IFERROR(__xludf.DUMMYFUNCTION("""COMPUTED_VALUE"""),2.8)</f>
        <v>2.8</v>
      </c>
      <c r="S759" s="4">
        <f>IFERROR(__xludf.DUMMYFUNCTION("""COMPUTED_VALUE"""),39.6)</f>
        <v>39.6</v>
      </c>
      <c r="T759" s="4">
        <f>IFERROR(__xludf.DUMMYFUNCTION("""COMPUTED_VALUE"""),0.123)</f>
        <v>0.123</v>
      </c>
      <c r="U759" s="4">
        <f>IFERROR(__xludf.DUMMYFUNCTION("""COMPUTED_VALUE"""),1.7)</f>
        <v>1.7</v>
      </c>
      <c r="V759" s="4">
        <f>IFERROR(__xludf.DUMMYFUNCTION("""COMPUTED_VALUE"""),14.6)</f>
        <v>14.6</v>
      </c>
    </row>
    <row r="760">
      <c r="A760" s="4"/>
      <c r="B760" s="4"/>
      <c r="C760" s="4"/>
      <c r="D760" s="4" t="str">
        <f>IFERROR(__xludf.DUMMYFUNCTION("""COMPUTED_VALUE"""),"Round 2")</f>
        <v>Round 2</v>
      </c>
      <c r="E760" s="4"/>
      <c r="F760" s="4"/>
      <c r="G760" s="4" t="str">
        <f>IFERROR(__xludf.DUMMYFUNCTION("""COMPUTED_VALUE"""),"Totals")</f>
        <v>Totals</v>
      </c>
      <c r="H760" s="4"/>
      <c r="I760" s="4"/>
      <c r="J760" s="4"/>
      <c r="K760" s="4"/>
      <c r="L760" s="4" t="str">
        <f>IFERROR(__xludf.DUMMYFUNCTION("""COMPUTED_VALUE"""),"Shooting")</f>
        <v>Shooting</v>
      </c>
      <c r="M760" s="4"/>
      <c r="N760" s="4"/>
      <c r="O760" s="4" t="str">
        <f>IFERROR(__xludf.DUMMYFUNCTION("""COMPUTED_VALUE"""),"Per Game")</f>
        <v>Per Game</v>
      </c>
      <c r="P760" s="4"/>
      <c r="Q760" s="4"/>
      <c r="R760" s="4"/>
      <c r="S760" s="4" t="str">
        <f>IFERROR(__xludf.DUMMYFUNCTION("""COMPUTED_VALUE"""),"Advanced")</f>
        <v>Advanced</v>
      </c>
      <c r="T760" s="4"/>
      <c r="U760" s="4"/>
      <c r="V760" s="4"/>
    </row>
    <row r="761">
      <c r="A761" s="4" t="str">
        <f>IFERROR(__xludf.DUMMYFUNCTION("""COMPUTED_VALUE"""),"Rk")</f>
        <v>Rk</v>
      </c>
      <c r="B761" s="4" t="str">
        <f>IFERROR(__xludf.DUMMYFUNCTION("""COMPUTED_VALUE"""),"Pk")</f>
        <v>Pk</v>
      </c>
      <c r="C761" s="4" t="str">
        <f>IFERROR(__xludf.DUMMYFUNCTION("""COMPUTED_VALUE"""),"Tm")</f>
        <v>Tm</v>
      </c>
      <c r="D761" s="4" t="str">
        <f>IFERROR(__xludf.DUMMYFUNCTION("""COMPUTED_VALUE"""),"Player")</f>
        <v>Player</v>
      </c>
      <c r="E761" s="4" t="str">
        <f>IFERROR(__xludf.DUMMYFUNCTION("""COMPUTED_VALUE"""),"College")</f>
        <v>College</v>
      </c>
      <c r="F761" s="4" t="str">
        <f>IFERROR(__xludf.DUMMYFUNCTION("""COMPUTED_VALUE"""),"Yrs")</f>
        <v>Yrs</v>
      </c>
      <c r="G761" s="4" t="str">
        <f>IFERROR(__xludf.DUMMYFUNCTION("""COMPUTED_VALUE"""),"G")</f>
        <v>G</v>
      </c>
      <c r="H761" s="4" t="str">
        <f>IFERROR(__xludf.DUMMYFUNCTION("""COMPUTED_VALUE"""),"MP")</f>
        <v>MP</v>
      </c>
      <c r="I761" s="4" t="str">
        <f>IFERROR(__xludf.DUMMYFUNCTION("""COMPUTED_VALUE"""),"PTS")</f>
        <v>PTS</v>
      </c>
      <c r="J761" s="4" t="str">
        <f>IFERROR(__xludf.DUMMYFUNCTION("""COMPUTED_VALUE"""),"TRB")</f>
        <v>TRB</v>
      </c>
      <c r="K761" s="4" t="str">
        <f>IFERROR(__xludf.DUMMYFUNCTION("""COMPUTED_VALUE"""),"AST")</f>
        <v>AST</v>
      </c>
      <c r="L761" s="4" t="str">
        <f>IFERROR(__xludf.DUMMYFUNCTION("""COMPUTED_VALUE"""),"FG%")</f>
        <v>FG%</v>
      </c>
      <c r="M761" s="4" t="str">
        <f>IFERROR(__xludf.DUMMYFUNCTION("""COMPUTED_VALUE"""),"3P%")</f>
        <v>3P%</v>
      </c>
      <c r="N761" s="4" t="str">
        <f>IFERROR(__xludf.DUMMYFUNCTION("""COMPUTED_VALUE"""),"FT%")</f>
        <v>FT%</v>
      </c>
      <c r="O761" s="4" t="str">
        <f>IFERROR(__xludf.DUMMYFUNCTION("""COMPUTED_VALUE"""),"MP")</f>
        <v>MP</v>
      </c>
      <c r="P761" s="4" t="str">
        <f>IFERROR(__xludf.DUMMYFUNCTION("""COMPUTED_VALUE"""),"PTS")</f>
        <v>PTS</v>
      </c>
      <c r="Q761" s="4" t="str">
        <f>IFERROR(__xludf.DUMMYFUNCTION("""COMPUTED_VALUE"""),"TRB")</f>
        <v>TRB</v>
      </c>
      <c r="R761" s="4" t="str">
        <f>IFERROR(__xludf.DUMMYFUNCTION("""COMPUTED_VALUE"""),"AST")</f>
        <v>AST</v>
      </c>
      <c r="S761" s="4" t="str">
        <f>IFERROR(__xludf.DUMMYFUNCTION("""COMPUTED_VALUE"""),"WS")</f>
        <v>WS</v>
      </c>
      <c r="T761" s="4" t="str">
        <f>IFERROR(__xludf.DUMMYFUNCTION("""COMPUTED_VALUE"""),"WS/48")</f>
        <v>WS/48</v>
      </c>
      <c r="U761" s="4" t="str">
        <f>IFERROR(__xludf.DUMMYFUNCTION("""COMPUTED_VALUE"""),"BPM")</f>
        <v>BPM</v>
      </c>
      <c r="V761" s="4" t="str">
        <f>IFERROR(__xludf.DUMMYFUNCTION("""COMPUTED_VALUE"""),"VORP")</f>
        <v>VORP</v>
      </c>
    </row>
    <row r="762">
      <c r="A762" s="4">
        <f>IFERROR(__xludf.DUMMYFUNCTION("""COMPUTED_VALUE"""),31.0)</f>
        <v>31</v>
      </c>
      <c r="B762" s="4">
        <f>IFERROR(__xludf.DUMMYFUNCTION("""COMPUTED_VALUE"""),31.0)</f>
        <v>31</v>
      </c>
      <c r="C762" s="4" t="str">
        <f>IFERROR(__xludf.DUMMYFUNCTION("""COMPUTED_VALUE"""),"MIL")</f>
        <v>MIL</v>
      </c>
      <c r="D762" s="4" t="str">
        <f>IFERROR(__xludf.DUMMYFUNCTION("""COMPUTED_VALUE"""),"Damien Inglis")</f>
        <v>Damien Inglis</v>
      </c>
      <c r="E762" s="4"/>
      <c r="F762" s="4">
        <f>IFERROR(__xludf.DUMMYFUNCTION("""COMPUTED_VALUE"""),1.0)</f>
        <v>1</v>
      </c>
      <c r="G762" s="4">
        <f>IFERROR(__xludf.DUMMYFUNCTION("""COMPUTED_VALUE"""),20.0)</f>
        <v>20</v>
      </c>
      <c r="H762" s="4">
        <f>IFERROR(__xludf.DUMMYFUNCTION("""COMPUTED_VALUE"""),156.0)</f>
        <v>156</v>
      </c>
      <c r="I762" s="4">
        <f>IFERROR(__xludf.DUMMYFUNCTION("""COMPUTED_VALUE"""),36.0)</f>
        <v>36</v>
      </c>
      <c r="J762" s="4">
        <f>IFERROR(__xludf.DUMMYFUNCTION("""COMPUTED_VALUE"""),31.0)</f>
        <v>31</v>
      </c>
      <c r="K762" s="4">
        <f>IFERROR(__xludf.DUMMYFUNCTION("""COMPUTED_VALUE"""),10.0)</f>
        <v>10</v>
      </c>
      <c r="L762" s="4">
        <f>IFERROR(__xludf.DUMMYFUNCTION("""COMPUTED_VALUE"""),0.351)</f>
        <v>0.351</v>
      </c>
      <c r="M762" s="4">
        <f>IFERROR(__xludf.DUMMYFUNCTION("""COMPUTED_VALUE"""),0.231)</f>
        <v>0.231</v>
      </c>
      <c r="N762" s="4">
        <f>IFERROR(__xludf.DUMMYFUNCTION("""COMPUTED_VALUE"""),0.875)</f>
        <v>0.875</v>
      </c>
      <c r="O762" s="4">
        <f>IFERROR(__xludf.DUMMYFUNCTION("""COMPUTED_VALUE"""),7.8)</f>
        <v>7.8</v>
      </c>
      <c r="P762" s="4">
        <f>IFERROR(__xludf.DUMMYFUNCTION("""COMPUTED_VALUE"""),1.8)</f>
        <v>1.8</v>
      </c>
      <c r="Q762" s="4">
        <f>IFERROR(__xludf.DUMMYFUNCTION("""COMPUTED_VALUE"""),1.6)</f>
        <v>1.6</v>
      </c>
      <c r="R762" s="4">
        <f>IFERROR(__xludf.DUMMYFUNCTION("""COMPUTED_VALUE"""),0.5)</f>
        <v>0.5</v>
      </c>
      <c r="S762" s="4">
        <f>IFERROR(__xludf.DUMMYFUNCTION("""COMPUTED_VALUE"""),-0.1)</f>
        <v>-0.1</v>
      </c>
      <c r="T762" s="4">
        <f>IFERROR(__xludf.DUMMYFUNCTION("""COMPUTED_VALUE"""),-0.024)</f>
        <v>-0.024</v>
      </c>
      <c r="U762" s="4">
        <f>IFERROR(__xludf.DUMMYFUNCTION("""COMPUTED_VALUE"""),-5.6)</f>
        <v>-5.6</v>
      </c>
      <c r="V762" s="4">
        <f>IFERROR(__xludf.DUMMYFUNCTION("""COMPUTED_VALUE"""),-0.1)</f>
        <v>-0.1</v>
      </c>
    </row>
    <row r="763">
      <c r="A763" s="4">
        <f>IFERROR(__xludf.DUMMYFUNCTION("""COMPUTED_VALUE"""),32.0)</f>
        <v>32</v>
      </c>
      <c r="B763" s="4">
        <f>IFERROR(__xludf.DUMMYFUNCTION("""COMPUTED_VALUE"""),32.0)</f>
        <v>32</v>
      </c>
      <c r="C763" s="4" t="str">
        <f>IFERROR(__xludf.DUMMYFUNCTION("""COMPUTED_VALUE"""),"PHI")</f>
        <v>PHI</v>
      </c>
      <c r="D763" s="4" t="str">
        <f>IFERROR(__xludf.DUMMYFUNCTION("""COMPUTED_VALUE"""),"K.J. McDaniels")</f>
        <v>K.J. McDaniels</v>
      </c>
      <c r="E763" s="4" t="str">
        <f>IFERROR(__xludf.DUMMYFUNCTION("""COMPUTED_VALUE"""),"Clemson")</f>
        <v>Clemson</v>
      </c>
      <c r="F763" s="4">
        <f>IFERROR(__xludf.DUMMYFUNCTION("""COMPUTED_VALUE"""),3.0)</f>
        <v>3</v>
      </c>
      <c r="G763" s="4">
        <f>IFERROR(__xludf.DUMMYFUNCTION("""COMPUTED_VALUE"""),148.0)</f>
        <v>148</v>
      </c>
      <c r="H763" s="4">
        <f>IFERROR(__xludf.DUMMYFUNCTION("""COMPUTED_VALUE"""),2092.0)</f>
        <v>2092</v>
      </c>
      <c r="I763" s="4">
        <f>IFERROR(__xludf.DUMMYFUNCTION("""COMPUTED_VALUE"""),782.0)</f>
        <v>782</v>
      </c>
      <c r="J763" s="4">
        <f>IFERROR(__xludf.DUMMYFUNCTION("""COMPUTED_VALUE"""),324.0)</f>
        <v>324</v>
      </c>
      <c r="K763" s="4">
        <f>IFERROR(__xludf.DUMMYFUNCTION("""COMPUTED_VALUE"""),95.0)</f>
        <v>95</v>
      </c>
      <c r="L763" s="4">
        <f>IFERROR(__xludf.DUMMYFUNCTION("""COMPUTED_VALUE"""),0.412)</f>
        <v>0.412</v>
      </c>
      <c r="M763" s="4">
        <f>IFERROR(__xludf.DUMMYFUNCTION("""COMPUTED_VALUE"""),0.29)</f>
        <v>0.29</v>
      </c>
      <c r="N763" s="4">
        <f>IFERROR(__xludf.DUMMYFUNCTION("""COMPUTED_VALUE"""),0.776)</f>
        <v>0.776</v>
      </c>
      <c r="O763" s="4">
        <f>IFERROR(__xludf.DUMMYFUNCTION("""COMPUTED_VALUE"""),14.1)</f>
        <v>14.1</v>
      </c>
      <c r="P763" s="4">
        <f>IFERROR(__xludf.DUMMYFUNCTION("""COMPUTED_VALUE"""),5.3)</f>
        <v>5.3</v>
      </c>
      <c r="Q763" s="4">
        <f>IFERROR(__xludf.DUMMYFUNCTION("""COMPUTED_VALUE"""),2.2)</f>
        <v>2.2</v>
      </c>
      <c r="R763" s="4">
        <f>IFERROR(__xludf.DUMMYFUNCTION("""COMPUTED_VALUE"""),0.6)</f>
        <v>0.6</v>
      </c>
      <c r="S763" s="4">
        <f>IFERROR(__xludf.DUMMYFUNCTION("""COMPUTED_VALUE"""),1.3)</f>
        <v>1.3</v>
      </c>
      <c r="T763" s="4">
        <f>IFERROR(__xludf.DUMMYFUNCTION("""COMPUTED_VALUE"""),0.03)</f>
        <v>0.03</v>
      </c>
      <c r="U763" s="4">
        <f>IFERROR(__xludf.DUMMYFUNCTION("""COMPUTED_VALUE"""),-2.8)</f>
        <v>-2.8</v>
      </c>
      <c r="V763" s="4">
        <f>IFERROR(__xludf.DUMMYFUNCTION("""COMPUTED_VALUE"""),-0.4)</f>
        <v>-0.4</v>
      </c>
    </row>
    <row r="764">
      <c r="A764" s="4">
        <f>IFERROR(__xludf.DUMMYFUNCTION("""COMPUTED_VALUE"""),33.0)</f>
        <v>33</v>
      </c>
      <c r="B764" s="4">
        <f>IFERROR(__xludf.DUMMYFUNCTION("""COMPUTED_VALUE"""),33.0)</f>
        <v>33</v>
      </c>
      <c r="C764" s="4" t="str">
        <f>IFERROR(__xludf.DUMMYFUNCTION("""COMPUTED_VALUE"""),"CLE")</f>
        <v>CLE</v>
      </c>
      <c r="D764" s="4" t="str">
        <f>IFERROR(__xludf.DUMMYFUNCTION("""COMPUTED_VALUE"""),"Joe Harris")</f>
        <v>Joe Harris</v>
      </c>
      <c r="E764" s="4" t="str">
        <f>IFERROR(__xludf.DUMMYFUNCTION("""COMPUTED_VALUE"""),"Virginia")</f>
        <v>Virginia</v>
      </c>
      <c r="F764" s="4">
        <f>IFERROR(__xludf.DUMMYFUNCTION("""COMPUTED_VALUE"""),10.0)</f>
        <v>10</v>
      </c>
      <c r="G764" s="4">
        <f>IFERROR(__xludf.DUMMYFUNCTION("""COMPUTED_VALUE"""),504.0)</f>
        <v>504</v>
      </c>
      <c r="H764" s="4">
        <f>IFERROR(__xludf.DUMMYFUNCTION("""COMPUTED_VALUE"""),12298.0)</f>
        <v>12298</v>
      </c>
      <c r="I764" s="4">
        <f>IFERROR(__xludf.DUMMYFUNCTION("""COMPUTED_VALUE"""),5185.0)</f>
        <v>5185</v>
      </c>
      <c r="J764" s="4">
        <f>IFERROR(__xludf.DUMMYFUNCTION("""COMPUTED_VALUE"""),1521.0)</f>
        <v>1521</v>
      </c>
      <c r="K764" s="4">
        <f>IFERROR(__xludf.DUMMYFUNCTION("""COMPUTED_VALUE"""),790.0)</f>
        <v>790</v>
      </c>
      <c r="L764" s="4">
        <f>IFERROR(__xludf.DUMMYFUNCTION("""COMPUTED_VALUE"""),0.479)</f>
        <v>0.479</v>
      </c>
      <c r="M764" s="4">
        <f>IFERROR(__xludf.DUMMYFUNCTION("""COMPUTED_VALUE"""),0.436)</f>
        <v>0.436</v>
      </c>
      <c r="N764" s="4">
        <f>IFERROR(__xludf.DUMMYFUNCTION("""COMPUTED_VALUE"""),0.771)</f>
        <v>0.771</v>
      </c>
      <c r="O764" s="4">
        <f>IFERROR(__xludf.DUMMYFUNCTION("""COMPUTED_VALUE"""),24.4)</f>
        <v>24.4</v>
      </c>
      <c r="P764" s="4">
        <f>IFERROR(__xludf.DUMMYFUNCTION("""COMPUTED_VALUE"""),10.3)</f>
        <v>10.3</v>
      </c>
      <c r="Q764" s="4">
        <f>IFERROR(__xludf.DUMMYFUNCTION("""COMPUTED_VALUE"""),3.0)</f>
        <v>3</v>
      </c>
      <c r="R764" s="4">
        <f>IFERROR(__xludf.DUMMYFUNCTION("""COMPUTED_VALUE"""),1.6)</f>
        <v>1.6</v>
      </c>
      <c r="S764" s="4">
        <f>IFERROR(__xludf.DUMMYFUNCTION("""COMPUTED_VALUE"""),23.1)</f>
        <v>23.1</v>
      </c>
      <c r="T764" s="4">
        <f>IFERROR(__xludf.DUMMYFUNCTION("""COMPUTED_VALUE"""),0.09)</f>
        <v>0.09</v>
      </c>
      <c r="U764" s="4">
        <f>IFERROR(__xludf.DUMMYFUNCTION("""COMPUTED_VALUE"""),-0.7)</f>
        <v>-0.7</v>
      </c>
      <c r="V764" s="4">
        <f>IFERROR(__xludf.DUMMYFUNCTION("""COMPUTED_VALUE"""),4.1)</f>
        <v>4.1</v>
      </c>
    </row>
    <row r="765">
      <c r="A765" s="4">
        <f>IFERROR(__xludf.DUMMYFUNCTION("""COMPUTED_VALUE"""),34.0)</f>
        <v>34</v>
      </c>
      <c r="B765" s="4">
        <f>IFERROR(__xludf.DUMMYFUNCTION("""COMPUTED_VALUE"""),34.0)</f>
        <v>34</v>
      </c>
      <c r="C765" s="4" t="str">
        <f>IFERROR(__xludf.DUMMYFUNCTION("""COMPUTED_VALUE"""),"NYK")</f>
        <v>NYK</v>
      </c>
      <c r="D765" s="4" t="str">
        <f>IFERROR(__xludf.DUMMYFUNCTION("""COMPUTED_VALUE"""),"Cleanthony Early")</f>
        <v>Cleanthony Early</v>
      </c>
      <c r="E765" s="4" t="str">
        <f>IFERROR(__xludf.DUMMYFUNCTION("""COMPUTED_VALUE"""),"Wichita State")</f>
        <v>Wichita State</v>
      </c>
      <c r="F765" s="4">
        <f>IFERROR(__xludf.DUMMYFUNCTION("""COMPUTED_VALUE"""),2.0)</f>
        <v>2</v>
      </c>
      <c r="G765" s="4">
        <f>IFERROR(__xludf.DUMMYFUNCTION("""COMPUTED_VALUE"""),56.0)</f>
        <v>56</v>
      </c>
      <c r="H765" s="4">
        <f>IFERROR(__xludf.DUMMYFUNCTION("""COMPUTED_VALUE"""),801.0)</f>
        <v>801</v>
      </c>
      <c r="I765" s="4">
        <f>IFERROR(__xludf.DUMMYFUNCTION("""COMPUTED_VALUE"""),241.0)</f>
        <v>241</v>
      </c>
      <c r="J765" s="4">
        <f>IFERROR(__xludf.DUMMYFUNCTION("""COMPUTED_VALUE"""),123.0)</f>
        <v>123</v>
      </c>
      <c r="K765" s="4">
        <f>IFERROR(__xludf.DUMMYFUNCTION("""COMPUTED_VALUE"""),42.0)</f>
        <v>42</v>
      </c>
      <c r="L765" s="4">
        <f>IFERROR(__xludf.DUMMYFUNCTION("""COMPUTED_VALUE"""),0.346)</f>
        <v>0.346</v>
      </c>
      <c r="M765" s="4">
        <f>IFERROR(__xludf.DUMMYFUNCTION("""COMPUTED_VALUE"""),0.263)</f>
        <v>0.263</v>
      </c>
      <c r="N765" s="4">
        <f>IFERROR(__xludf.DUMMYFUNCTION("""COMPUTED_VALUE"""),0.75)</f>
        <v>0.75</v>
      </c>
      <c r="O765" s="4">
        <f>IFERROR(__xludf.DUMMYFUNCTION("""COMPUTED_VALUE"""),14.3)</f>
        <v>14.3</v>
      </c>
      <c r="P765" s="4">
        <f>IFERROR(__xludf.DUMMYFUNCTION("""COMPUTED_VALUE"""),4.3)</f>
        <v>4.3</v>
      </c>
      <c r="Q765" s="4">
        <f>IFERROR(__xludf.DUMMYFUNCTION("""COMPUTED_VALUE"""),2.2)</f>
        <v>2.2</v>
      </c>
      <c r="R765" s="4">
        <f>IFERROR(__xludf.DUMMYFUNCTION("""COMPUTED_VALUE"""),0.8)</f>
        <v>0.8</v>
      </c>
      <c r="S765" s="4">
        <f>IFERROR(__xludf.DUMMYFUNCTION("""COMPUTED_VALUE"""),-0.6)</f>
        <v>-0.6</v>
      </c>
      <c r="T765" s="4">
        <f>IFERROR(__xludf.DUMMYFUNCTION("""COMPUTED_VALUE"""),-0.039)</f>
        <v>-0.039</v>
      </c>
      <c r="U765" s="4">
        <f>IFERROR(__xludf.DUMMYFUNCTION("""COMPUTED_VALUE"""),-5.9)</f>
        <v>-5.9</v>
      </c>
      <c r="V765" s="4">
        <f>IFERROR(__xludf.DUMMYFUNCTION("""COMPUTED_VALUE"""),-0.8)</f>
        <v>-0.8</v>
      </c>
    </row>
    <row r="766">
      <c r="A766" s="4">
        <f>IFERROR(__xludf.DUMMYFUNCTION("""COMPUTED_VALUE"""),35.0)</f>
        <v>35</v>
      </c>
      <c r="B766" s="4">
        <f>IFERROR(__xludf.DUMMYFUNCTION("""COMPUTED_VALUE"""),35.0)</f>
        <v>35</v>
      </c>
      <c r="C766" s="4" t="str">
        <f>IFERROR(__xludf.DUMMYFUNCTION("""COMPUTED_VALUE"""),"UTA")</f>
        <v>UTA</v>
      </c>
      <c r="D766" s="4" t="str">
        <f>IFERROR(__xludf.DUMMYFUNCTION("""COMPUTED_VALUE"""),"Jarnell Stokes")</f>
        <v>Jarnell Stokes</v>
      </c>
      <c r="E766" s="4" t="str">
        <f>IFERROR(__xludf.DUMMYFUNCTION("""COMPUTED_VALUE"""),"Tennessee")</f>
        <v>Tennessee</v>
      </c>
      <c r="F766" s="4">
        <f>IFERROR(__xludf.DUMMYFUNCTION("""COMPUTED_VALUE"""),3.0)</f>
        <v>3</v>
      </c>
      <c r="G766" s="4">
        <f>IFERROR(__xludf.DUMMYFUNCTION("""COMPUTED_VALUE"""),28.0)</f>
        <v>28</v>
      </c>
      <c r="H766" s="4">
        <f>IFERROR(__xludf.DUMMYFUNCTION("""COMPUTED_VALUE"""),151.0)</f>
        <v>151</v>
      </c>
      <c r="I766" s="4">
        <f>IFERROR(__xludf.DUMMYFUNCTION("""COMPUTED_VALUE"""),67.0)</f>
        <v>67</v>
      </c>
      <c r="J766" s="4">
        <f>IFERROR(__xludf.DUMMYFUNCTION("""COMPUTED_VALUE"""),40.0)</f>
        <v>40</v>
      </c>
      <c r="K766" s="4">
        <f>IFERROR(__xludf.DUMMYFUNCTION("""COMPUTED_VALUE"""),7.0)</f>
        <v>7</v>
      </c>
      <c r="L766" s="4">
        <f>IFERROR(__xludf.DUMMYFUNCTION("""COMPUTED_VALUE"""),0.581)</f>
        <v>0.581</v>
      </c>
      <c r="M766" s="4"/>
      <c r="N766" s="4">
        <f>IFERROR(__xludf.DUMMYFUNCTION("""COMPUTED_VALUE"""),0.531)</f>
        <v>0.531</v>
      </c>
      <c r="O766" s="4">
        <f>IFERROR(__xludf.DUMMYFUNCTION("""COMPUTED_VALUE"""),5.4)</f>
        <v>5.4</v>
      </c>
      <c r="P766" s="4">
        <f>IFERROR(__xludf.DUMMYFUNCTION("""COMPUTED_VALUE"""),2.4)</f>
        <v>2.4</v>
      </c>
      <c r="Q766" s="4">
        <f>IFERROR(__xludf.DUMMYFUNCTION("""COMPUTED_VALUE"""),1.4)</f>
        <v>1.4</v>
      </c>
      <c r="R766" s="4">
        <f>IFERROR(__xludf.DUMMYFUNCTION("""COMPUTED_VALUE"""),0.3)</f>
        <v>0.3</v>
      </c>
      <c r="S766" s="4">
        <f>IFERROR(__xludf.DUMMYFUNCTION("""COMPUTED_VALUE"""),0.6)</f>
        <v>0.6</v>
      </c>
      <c r="T766" s="4">
        <f>IFERROR(__xludf.DUMMYFUNCTION("""COMPUTED_VALUE"""),0.202)</f>
        <v>0.202</v>
      </c>
      <c r="U766" s="4">
        <f>IFERROR(__xludf.DUMMYFUNCTION("""COMPUTED_VALUE"""),0.1)</f>
        <v>0.1</v>
      </c>
      <c r="V766" s="4">
        <f>IFERROR(__xludf.DUMMYFUNCTION("""COMPUTED_VALUE"""),0.1)</f>
        <v>0.1</v>
      </c>
    </row>
    <row r="767">
      <c r="A767" s="4">
        <f>IFERROR(__xludf.DUMMYFUNCTION("""COMPUTED_VALUE"""),36.0)</f>
        <v>36</v>
      </c>
      <c r="B767" s="4">
        <f>IFERROR(__xludf.DUMMYFUNCTION("""COMPUTED_VALUE"""),36.0)</f>
        <v>36</v>
      </c>
      <c r="C767" s="4" t="str">
        <f>IFERROR(__xludf.DUMMYFUNCTION("""COMPUTED_VALUE"""),"MIL")</f>
        <v>MIL</v>
      </c>
      <c r="D767" s="4" t="str">
        <f>IFERROR(__xludf.DUMMYFUNCTION("""COMPUTED_VALUE"""),"Johnny O'Bryant")</f>
        <v>Johnny O'Bryant</v>
      </c>
      <c r="E767" s="4" t="str">
        <f>IFERROR(__xludf.DUMMYFUNCTION("""COMPUTED_VALUE"""),"LSU")</f>
        <v>LSU</v>
      </c>
      <c r="F767" s="4">
        <f>IFERROR(__xludf.DUMMYFUNCTION("""COMPUTED_VALUE"""),4.0)</f>
        <v>4</v>
      </c>
      <c r="G767" s="4">
        <f>IFERROR(__xludf.DUMMYFUNCTION("""COMPUTED_VALUE"""),147.0)</f>
        <v>147</v>
      </c>
      <c r="H767" s="4">
        <f>IFERROR(__xludf.DUMMYFUNCTION("""COMPUTED_VALUE"""),1684.0)</f>
        <v>1684</v>
      </c>
      <c r="I767" s="4">
        <f>IFERROR(__xludf.DUMMYFUNCTION("""COMPUTED_VALUE"""),509.0)</f>
        <v>509</v>
      </c>
      <c r="J767" s="4">
        <f>IFERROR(__xludf.DUMMYFUNCTION("""COMPUTED_VALUE"""),352.0)</f>
        <v>352</v>
      </c>
      <c r="K767" s="4">
        <f>IFERROR(__xludf.DUMMYFUNCTION("""COMPUTED_VALUE"""),69.0)</f>
        <v>69</v>
      </c>
      <c r="L767" s="4">
        <f>IFERROR(__xludf.DUMMYFUNCTION("""COMPUTED_VALUE"""),0.402)</f>
        <v>0.402</v>
      </c>
      <c r="M767" s="4">
        <f>IFERROR(__xludf.DUMMYFUNCTION("""COMPUTED_VALUE"""),0.36)</f>
        <v>0.36</v>
      </c>
      <c r="N767" s="4">
        <f>IFERROR(__xludf.DUMMYFUNCTION("""COMPUTED_VALUE"""),0.663)</f>
        <v>0.663</v>
      </c>
      <c r="O767" s="4">
        <f>IFERROR(__xludf.DUMMYFUNCTION("""COMPUTED_VALUE"""),11.5)</f>
        <v>11.5</v>
      </c>
      <c r="P767" s="4">
        <f>IFERROR(__xludf.DUMMYFUNCTION("""COMPUTED_VALUE"""),3.5)</f>
        <v>3.5</v>
      </c>
      <c r="Q767" s="4">
        <f>IFERROR(__xludf.DUMMYFUNCTION("""COMPUTED_VALUE"""),2.4)</f>
        <v>2.4</v>
      </c>
      <c r="R767" s="4">
        <f>IFERROR(__xludf.DUMMYFUNCTION("""COMPUTED_VALUE"""),0.5)</f>
        <v>0.5</v>
      </c>
      <c r="S767" s="4">
        <f>IFERROR(__xludf.DUMMYFUNCTION("""COMPUTED_VALUE"""),0.2)</f>
        <v>0.2</v>
      </c>
      <c r="T767" s="4">
        <f>IFERROR(__xludf.DUMMYFUNCTION("""COMPUTED_VALUE"""),0.006)</f>
        <v>0.006</v>
      </c>
      <c r="U767" s="4">
        <f>IFERROR(__xludf.DUMMYFUNCTION("""COMPUTED_VALUE"""),-6.2)</f>
        <v>-6.2</v>
      </c>
      <c r="V767" s="4">
        <f>IFERROR(__xludf.DUMMYFUNCTION("""COMPUTED_VALUE"""),-1.8)</f>
        <v>-1.8</v>
      </c>
    </row>
    <row r="768">
      <c r="A768" s="4">
        <f>IFERROR(__xludf.DUMMYFUNCTION("""COMPUTED_VALUE"""),37.0)</f>
        <v>37</v>
      </c>
      <c r="B768" s="4">
        <f>IFERROR(__xludf.DUMMYFUNCTION("""COMPUTED_VALUE"""),37.0)</f>
        <v>37</v>
      </c>
      <c r="C768" s="4" t="str">
        <f>IFERROR(__xludf.DUMMYFUNCTION("""COMPUTED_VALUE"""),"TOR")</f>
        <v>TOR</v>
      </c>
      <c r="D768" s="4" t="str">
        <f>IFERROR(__xludf.DUMMYFUNCTION("""COMPUTED_VALUE"""),"DeAndre Daniels")</f>
        <v>DeAndre Daniels</v>
      </c>
      <c r="E768" s="4" t="str">
        <f>IFERROR(__xludf.DUMMYFUNCTION("""COMPUTED_VALUE"""),"UConn")</f>
        <v>UConn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>
        <f>IFERROR(__xludf.DUMMYFUNCTION("""COMPUTED_VALUE"""),38.0)</f>
        <v>38</v>
      </c>
      <c r="B769" s="4">
        <f>IFERROR(__xludf.DUMMYFUNCTION("""COMPUTED_VALUE"""),38.0)</f>
        <v>38</v>
      </c>
      <c r="C769" s="4" t="str">
        <f>IFERROR(__xludf.DUMMYFUNCTION("""COMPUTED_VALUE"""),"DET")</f>
        <v>DET</v>
      </c>
      <c r="D769" s="4" t="str">
        <f>IFERROR(__xludf.DUMMYFUNCTION("""COMPUTED_VALUE"""),"Spencer Dinwiddie")</f>
        <v>Spencer Dinwiddie</v>
      </c>
      <c r="E769" s="4" t="str">
        <f>IFERROR(__xludf.DUMMYFUNCTION("""COMPUTED_VALUE"""),"Colorado")</f>
        <v>Colorado</v>
      </c>
      <c r="F769" s="4">
        <f>IFERROR(__xludf.DUMMYFUNCTION("""COMPUTED_VALUE"""),11.0)</f>
        <v>11</v>
      </c>
      <c r="G769" s="4">
        <f>IFERROR(__xludf.DUMMYFUNCTION("""COMPUTED_VALUE"""),621.0)</f>
        <v>621</v>
      </c>
      <c r="H769" s="4">
        <f>IFERROR(__xludf.DUMMYFUNCTION("""COMPUTED_VALUE"""),17219.0)</f>
        <v>17219</v>
      </c>
      <c r="I769" s="4">
        <f>IFERROR(__xludf.DUMMYFUNCTION("""COMPUTED_VALUE"""),8078.0)</f>
        <v>8078</v>
      </c>
      <c r="J769" s="4">
        <f>IFERROR(__xludf.DUMMYFUNCTION("""COMPUTED_VALUE"""),1851.0)</f>
        <v>1851</v>
      </c>
      <c r="K769" s="4">
        <f>IFERROR(__xludf.DUMMYFUNCTION("""COMPUTED_VALUE"""),3153.0)</f>
        <v>3153</v>
      </c>
      <c r="L769" s="4">
        <f>IFERROR(__xludf.DUMMYFUNCTION("""COMPUTED_VALUE"""),0.414)</f>
        <v>0.414</v>
      </c>
      <c r="M769" s="4">
        <f>IFERROR(__xludf.DUMMYFUNCTION("""COMPUTED_VALUE"""),0.333)</f>
        <v>0.333</v>
      </c>
      <c r="N769" s="4">
        <f>IFERROR(__xludf.DUMMYFUNCTION("""COMPUTED_VALUE"""),0.796)</f>
        <v>0.796</v>
      </c>
      <c r="O769" s="4">
        <f>IFERROR(__xludf.DUMMYFUNCTION("""COMPUTED_VALUE"""),27.7)</f>
        <v>27.7</v>
      </c>
      <c r="P769" s="4">
        <f>IFERROR(__xludf.DUMMYFUNCTION("""COMPUTED_VALUE"""),13.0)</f>
        <v>13</v>
      </c>
      <c r="Q769" s="4">
        <f>IFERROR(__xludf.DUMMYFUNCTION("""COMPUTED_VALUE"""),3.0)</f>
        <v>3</v>
      </c>
      <c r="R769" s="4">
        <f>IFERROR(__xludf.DUMMYFUNCTION("""COMPUTED_VALUE"""),5.1)</f>
        <v>5.1</v>
      </c>
      <c r="S769" s="4">
        <f>IFERROR(__xludf.DUMMYFUNCTION("""COMPUTED_VALUE"""),36.0)</f>
        <v>36</v>
      </c>
      <c r="T769" s="4">
        <f>IFERROR(__xludf.DUMMYFUNCTION("""COMPUTED_VALUE"""),0.1)</f>
        <v>0.1</v>
      </c>
      <c r="U769" s="4">
        <f>IFERROR(__xludf.DUMMYFUNCTION("""COMPUTED_VALUE"""),-0.1)</f>
        <v>-0.1</v>
      </c>
      <c r="V769" s="4">
        <f>IFERROR(__xludf.DUMMYFUNCTION("""COMPUTED_VALUE"""),8.1)</f>
        <v>8.1</v>
      </c>
    </row>
    <row r="770">
      <c r="A770" s="4">
        <f>IFERROR(__xludf.DUMMYFUNCTION("""COMPUTED_VALUE"""),39.0)</f>
        <v>39</v>
      </c>
      <c r="B770" s="4">
        <f>IFERROR(__xludf.DUMMYFUNCTION("""COMPUTED_VALUE"""),39.0)</f>
        <v>39</v>
      </c>
      <c r="C770" s="4" t="str">
        <f>IFERROR(__xludf.DUMMYFUNCTION("""COMPUTED_VALUE"""),"PHI")</f>
        <v>PHI</v>
      </c>
      <c r="D770" s="4" t="str">
        <f>IFERROR(__xludf.DUMMYFUNCTION("""COMPUTED_VALUE"""),"Jerami Grant")</f>
        <v>Jerami Grant</v>
      </c>
      <c r="E770" s="4" t="str">
        <f>IFERROR(__xludf.DUMMYFUNCTION("""COMPUTED_VALUE"""),"Syracuse")</f>
        <v>Syracuse</v>
      </c>
      <c r="F770" s="4">
        <f>IFERROR(__xludf.DUMMYFUNCTION("""COMPUTED_VALUE"""),12.0)</f>
        <v>12</v>
      </c>
      <c r="G770" s="4">
        <f>IFERROR(__xludf.DUMMYFUNCTION("""COMPUTED_VALUE"""),739.0)</f>
        <v>739</v>
      </c>
      <c r="H770" s="4">
        <f>IFERROR(__xludf.DUMMYFUNCTION("""COMPUTED_VALUE"""),20638.0)</f>
        <v>20638</v>
      </c>
      <c r="I770" s="4">
        <f>IFERROR(__xludf.DUMMYFUNCTION("""COMPUTED_VALUE"""),9810.0)</f>
        <v>9810</v>
      </c>
      <c r="J770" s="4">
        <f>IFERROR(__xludf.DUMMYFUNCTION("""COMPUTED_VALUE"""),2896.0)</f>
        <v>2896</v>
      </c>
      <c r="K770" s="4">
        <f>IFERROR(__xludf.DUMMYFUNCTION("""COMPUTED_VALUE"""),1198.0)</f>
        <v>1198</v>
      </c>
      <c r="L770" s="4">
        <f>IFERROR(__xludf.DUMMYFUNCTION("""COMPUTED_VALUE"""),0.449)</f>
        <v>0.449</v>
      </c>
      <c r="M770" s="4">
        <f>IFERROR(__xludf.DUMMYFUNCTION("""COMPUTED_VALUE"""),0.365)</f>
        <v>0.365</v>
      </c>
      <c r="N770" s="4">
        <f>IFERROR(__xludf.DUMMYFUNCTION("""COMPUTED_VALUE"""),0.757)</f>
        <v>0.757</v>
      </c>
      <c r="O770" s="4">
        <f>IFERROR(__xludf.DUMMYFUNCTION("""COMPUTED_VALUE"""),27.9)</f>
        <v>27.9</v>
      </c>
      <c r="P770" s="4">
        <f>IFERROR(__xludf.DUMMYFUNCTION("""COMPUTED_VALUE"""),13.3)</f>
        <v>13.3</v>
      </c>
      <c r="Q770" s="4">
        <f>IFERROR(__xludf.DUMMYFUNCTION("""COMPUTED_VALUE"""),3.9)</f>
        <v>3.9</v>
      </c>
      <c r="R770" s="4">
        <f>IFERROR(__xludf.DUMMYFUNCTION("""COMPUTED_VALUE"""),1.6)</f>
        <v>1.6</v>
      </c>
      <c r="S770" s="4">
        <f>IFERROR(__xludf.DUMMYFUNCTION("""COMPUTED_VALUE"""),38.2)</f>
        <v>38.2</v>
      </c>
      <c r="T770" s="4">
        <f>IFERROR(__xludf.DUMMYFUNCTION("""COMPUTED_VALUE"""),0.089)</f>
        <v>0.089</v>
      </c>
      <c r="U770" s="4">
        <f>IFERROR(__xludf.DUMMYFUNCTION("""COMPUTED_VALUE"""),-0.4)</f>
        <v>-0.4</v>
      </c>
      <c r="V770" s="4">
        <f>IFERROR(__xludf.DUMMYFUNCTION("""COMPUTED_VALUE"""),8.2)</f>
        <v>8.2</v>
      </c>
    </row>
    <row r="771">
      <c r="A771" s="4">
        <f>IFERROR(__xludf.DUMMYFUNCTION("""COMPUTED_VALUE"""),40.0)</f>
        <v>40</v>
      </c>
      <c r="B771" s="4">
        <f>IFERROR(__xludf.DUMMYFUNCTION("""COMPUTED_VALUE"""),40.0)</f>
        <v>40</v>
      </c>
      <c r="C771" s="4" t="str">
        <f>IFERROR(__xludf.DUMMYFUNCTION("""COMPUTED_VALUE"""),"MIN")</f>
        <v>MIN</v>
      </c>
      <c r="D771" s="4" t="str">
        <f>IFERROR(__xludf.DUMMYFUNCTION("""COMPUTED_VALUE"""),"Glenn Robinson III")</f>
        <v>Glenn Robinson III</v>
      </c>
      <c r="E771" s="4" t="str">
        <f>IFERROR(__xludf.DUMMYFUNCTION("""COMPUTED_VALUE"""),"Michigan")</f>
        <v>Michigan</v>
      </c>
      <c r="F771" s="4">
        <f>IFERROR(__xludf.DUMMYFUNCTION("""COMPUTED_VALUE"""),7.0)</f>
        <v>7</v>
      </c>
      <c r="G771" s="4">
        <f>IFERROR(__xludf.DUMMYFUNCTION("""COMPUTED_VALUE"""),304.0)</f>
        <v>304</v>
      </c>
      <c r="H771" s="4">
        <f>IFERROR(__xludf.DUMMYFUNCTION("""COMPUTED_VALUE"""),5299.0)</f>
        <v>5299</v>
      </c>
      <c r="I771" s="4">
        <f>IFERROR(__xludf.DUMMYFUNCTION("""COMPUTED_VALUE"""),1804.0)</f>
        <v>1804</v>
      </c>
      <c r="J771" s="4">
        <f>IFERROR(__xludf.DUMMYFUNCTION("""COMPUTED_VALUE"""),776.0)</f>
        <v>776</v>
      </c>
      <c r="K771" s="4">
        <f>IFERROR(__xludf.DUMMYFUNCTION("""COMPUTED_VALUE"""),238.0)</f>
        <v>238</v>
      </c>
      <c r="L771" s="4">
        <f>IFERROR(__xludf.DUMMYFUNCTION("""COMPUTED_VALUE"""),0.457)</f>
        <v>0.457</v>
      </c>
      <c r="M771" s="4">
        <f>IFERROR(__xludf.DUMMYFUNCTION("""COMPUTED_VALUE"""),0.373)</f>
        <v>0.373</v>
      </c>
      <c r="N771" s="4">
        <f>IFERROR(__xludf.DUMMYFUNCTION("""COMPUTED_VALUE"""),0.779)</f>
        <v>0.779</v>
      </c>
      <c r="O771" s="4">
        <f>IFERROR(__xludf.DUMMYFUNCTION("""COMPUTED_VALUE"""),17.4)</f>
        <v>17.4</v>
      </c>
      <c r="P771" s="4">
        <f>IFERROR(__xludf.DUMMYFUNCTION("""COMPUTED_VALUE"""),5.9)</f>
        <v>5.9</v>
      </c>
      <c r="Q771" s="4">
        <f>IFERROR(__xludf.DUMMYFUNCTION("""COMPUTED_VALUE"""),2.6)</f>
        <v>2.6</v>
      </c>
      <c r="R771" s="4">
        <f>IFERROR(__xludf.DUMMYFUNCTION("""COMPUTED_VALUE"""),0.8)</f>
        <v>0.8</v>
      </c>
      <c r="S771" s="4">
        <f>IFERROR(__xludf.DUMMYFUNCTION("""COMPUTED_VALUE"""),7.9)</f>
        <v>7.9</v>
      </c>
      <c r="T771" s="4">
        <f>IFERROR(__xludf.DUMMYFUNCTION("""COMPUTED_VALUE"""),0.071)</f>
        <v>0.071</v>
      </c>
      <c r="U771" s="4">
        <f>IFERROR(__xludf.DUMMYFUNCTION("""COMPUTED_VALUE"""),-1.7)</f>
        <v>-1.7</v>
      </c>
      <c r="V771" s="4">
        <f>IFERROR(__xludf.DUMMYFUNCTION("""COMPUTED_VALUE"""),0.4)</f>
        <v>0.4</v>
      </c>
    </row>
    <row r="772">
      <c r="A772" s="4">
        <f>IFERROR(__xludf.DUMMYFUNCTION("""COMPUTED_VALUE"""),41.0)</f>
        <v>41</v>
      </c>
      <c r="B772" s="4">
        <f>IFERROR(__xludf.DUMMYFUNCTION("""COMPUTED_VALUE"""),41.0)</f>
        <v>41</v>
      </c>
      <c r="C772" s="4" t="str">
        <f>IFERROR(__xludf.DUMMYFUNCTION("""COMPUTED_VALUE"""),"DEN")</f>
        <v>DEN</v>
      </c>
      <c r="D772" s="4" t="str">
        <f>IFERROR(__xludf.DUMMYFUNCTION("""COMPUTED_VALUE"""),"Nikola Jokić")</f>
        <v>Nikola Jokić</v>
      </c>
      <c r="E772" s="4"/>
      <c r="F772" s="4">
        <f>IFERROR(__xludf.DUMMYFUNCTION("""COMPUTED_VALUE"""),11.0)</f>
        <v>11</v>
      </c>
      <c r="G772" s="4">
        <f>IFERROR(__xludf.DUMMYFUNCTION("""COMPUTED_VALUE"""),765.0)</f>
        <v>765</v>
      </c>
      <c r="H772" s="4">
        <f>IFERROR(__xludf.DUMMYFUNCTION("""COMPUTED_VALUE"""),24346.0)</f>
        <v>24346</v>
      </c>
      <c r="I772" s="4">
        <f>IFERROR(__xludf.DUMMYFUNCTION("""COMPUTED_VALUE"""),16789.0)</f>
        <v>16789</v>
      </c>
      <c r="J772" s="4">
        <f>IFERROR(__xludf.DUMMYFUNCTION("""COMPUTED_VALUE"""),8397.0)</f>
        <v>8397</v>
      </c>
      <c r="K772" s="4">
        <f>IFERROR(__xludf.DUMMYFUNCTION("""COMPUTED_VALUE"""),5604.0)</f>
        <v>5604</v>
      </c>
      <c r="L772" s="4">
        <f>IFERROR(__xludf.DUMMYFUNCTION("""COMPUTED_VALUE"""),0.561)</f>
        <v>0.561</v>
      </c>
      <c r="M772" s="4">
        <f>IFERROR(__xludf.DUMMYFUNCTION("""COMPUTED_VALUE"""),0.363)</f>
        <v>0.363</v>
      </c>
      <c r="N772" s="4">
        <f>IFERROR(__xludf.DUMMYFUNCTION("""COMPUTED_VALUE"""),0.825)</f>
        <v>0.825</v>
      </c>
      <c r="O772" s="4">
        <f>IFERROR(__xludf.DUMMYFUNCTION("""COMPUTED_VALUE"""),31.8)</f>
        <v>31.8</v>
      </c>
      <c r="P772" s="4">
        <f>IFERROR(__xludf.DUMMYFUNCTION("""COMPUTED_VALUE"""),21.9)</f>
        <v>21.9</v>
      </c>
      <c r="Q772" s="4">
        <f>IFERROR(__xludf.DUMMYFUNCTION("""COMPUTED_VALUE"""),11.0)</f>
        <v>11</v>
      </c>
      <c r="R772" s="4">
        <f>IFERROR(__xludf.DUMMYFUNCTION("""COMPUTED_VALUE"""),7.3)</f>
        <v>7.3</v>
      </c>
      <c r="S772" s="4">
        <f>IFERROR(__xludf.DUMMYFUNCTION("""COMPUTED_VALUE"""),133.7)</f>
        <v>133.7</v>
      </c>
      <c r="T772" s="4">
        <f>IFERROR(__xludf.DUMMYFUNCTION("""COMPUTED_VALUE"""),0.264)</f>
        <v>0.264</v>
      </c>
      <c r="U772" s="4">
        <f>IFERROR(__xludf.DUMMYFUNCTION("""COMPUTED_VALUE"""),10.5)</f>
        <v>10.5</v>
      </c>
      <c r="V772" s="4">
        <f>IFERROR(__xludf.DUMMYFUNCTION("""COMPUTED_VALUE"""),76.7)</f>
        <v>76.7</v>
      </c>
    </row>
    <row r="773">
      <c r="A773" s="4">
        <f>IFERROR(__xludf.DUMMYFUNCTION("""COMPUTED_VALUE"""),42.0)</f>
        <v>42</v>
      </c>
      <c r="B773" s="4">
        <f>IFERROR(__xludf.DUMMYFUNCTION("""COMPUTED_VALUE"""),42.0)</f>
        <v>42</v>
      </c>
      <c r="C773" s="4" t="str">
        <f>IFERROR(__xludf.DUMMYFUNCTION("""COMPUTED_VALUE"""),"HOU")</f>
        <v>HOU</v>
      </c>
      <c r="D773" s="4" t="str">
        <f>IFERROR(__xludf.DUMMYFUNCTION("""COMPUTED_VALUE"""),"Nick Johnson")</f>
        <v>Nick Johnson</v>
      </c>
      <c r="E773" s="4" t="str">
        <f>IFERROR(__xludf.DUMMYFUNCTION("""COMPUTED_VALUE"""),"Arizona")</f>
        <v>Arizona</v>
      </c>
      <c r="F773" s="4">
        <f>IFERROR(__xludf.DUMMYFUNCTION("""COMPUTED_VALUE"""),1.0)</f>
        <v>1</v>
      </c>
      <c r="G773" s="4">
        <f>IFERROR(__xludf.DUMMYFUNCTION("""COMPUTED_VALUE"""),28.0)</f>
        <v>28</v>
      </c>
      <c r="H773" s="4">
        <f>IFERROR(__xludf.DUMMYFUNCTION("""COMPUTED_VALUE"""),262.0)</f>
        <v>262</v>
      </c>
      <c r="I773" s="4">
        <f>IFERROR(__xludf.DUMMYFUNCTION("""COMPUTED_VALUE"""),74.0)</f>
        <v>74</v>
      </c>
      <c r="J773" s="4">
        <f>IFERROR(__xludf.DUMMYFUNCTION("""COMPUTED_VALUE"""),39.0)</f>
        <v>39</v>
      </c>
      <c r="K773" s="4">
        <f>IFERROR(__xludf.DUMMYFUNCTION("""COMPUTED_VALUE"""),11.0)</f>
        <v>11</v>
      </c>
      <c r="L773" s="4">
        <f>IFERROR(__xludf.DUMMYFUNCTION("""COMPUTED_VALUE"""),0.347)</f>
        <v>0.347</v>
      </c>
      <c r="M773" s="4">
        <f>IFERROR(__xludf.DUMMYFUNCTION("""COMPUTED_VALUE"""),0.238)</f>
        <v>0.238</v>
      </c>
      <c r="N773" s="4">
        <f>IFERROR(__xludf.DUMMYFUNCTION("""COMPUTED_VALUE"""),0.68)</f>
        <v>0.68</v>
      </c>
      <c r="O773" s="4">
        <f>IFERROR(__xludf.DUMMYFUNCTION("""COMPUTED_VALUE"""),9.4)</f>
        <v>9.4</v>
      </c>
      <c r="P773" s="4">
        <f>IFERROR(__xludf.DUMMYFUNCTION("""COMPUTED_VALUE"""),2.6)</f>
        <v>2.6</v>
      </c>
      <c r="Q773" s="4">
        <f>IFERROR(__xludf.DUMMYFUNCTION("""COMPUTED_VALUE"""),1.4)</f>
        <v>1.4</v>
      </c>
      <c r="R773" s="4">
        <f>IFERROR(__xludf.DUMMYFUNCTION("""COMPUTED_VALUE"""),0.4)</f>
        <v>0.4</v>
      </c>
      <c r="S773" s="4">
        <f>IFERROR(__xludf.DUMMYFUNCTION("""COMPUTED_VALUE"""),-0.1)</f>
        <v>-0.1</v>
      </c>
      <c r="T773" s="4">
        <f>IFERROR(__xludf.DUMMYFUNCTION("""COMPUTED_VALUE"""),-0.02)</f>
        <v>-0.02</v>
      </c>
      <c r="U773" s="4">
        <f>IFERROR(__xludf.DUMMYFUNCTION("""COMPUTED_VALUE"""),-6.5)</f>
        <v>-6.5</v>
      </c>
      <c r="V773" s="4">
        <f>IFERROR(__xludf.DUMMYFUNCTION("""COMPUTED_VALUE"""),-0.3)</f>
        <v>-0.3</v>
      </c>
    </row>
    <row r="774">
      <c r="A774" s="4">
        <f>IFERROR(__xludf.DUMMYFUNCTION("""COMPUTED_VALUE"""),43.0)</f>
        <v>43</v>
      </c>
      <c r="B774" s="4">
        <f>IFERROR(__xludf.DUMMYFUNCTION("""COMPUTED_VALUE"""),43.0)</f>
        <v>43</v>
      </c>
      <c r="C774" s="4" t="str">
        <f>IFERROR(__xludf.DUMMYFUNCTION("""COMPUTED_VALUE"""),"ATL")</f>
        <v>ATL</v>
      </c>
      <c r="D774" s="4" t="str">
        <f>IFERROR(__xludf.DUMMYFUNCTION("""COMPUTED_VALUE"""),"Edy Tavares")</f>
        <v>Edy Tavares</v>
      </c>
      <c r="E774" s="4"/>
      <c r="F774" s="4">
        <f>IFERROR(__xludf.DUMMYFUNCTION("""COMPUTED_VALUE"""),2.0)</f>
        <v>2</v>
      </c>
      <c r="G774" s="4">
        <f>IFERROR(__xludf.DUMMYFUNCTION("""COMPUTED_VALUE"""),13.0)</f>
        <v>13</v>
      </c>
      <c r="H774" s="4">
        <f>IFERROR(__xludf.DUMMYFUNCTION("""COMPUTED_VALUE"""),101.0)</f>
        <v>101</v>
      </c>
      <c r="I774" s="4">
        <f>IFERROR(__xludf.DUMMYFUNCTION("""COMPUTED_VALUE"""),33.0)</f>
        <v>33</v>
      </c>
      <c r="J774" s="4">
        <f>IFERROR(__xludf.DUMMYFUNCTION("""COMPUTED_VALUE"""),32.0)</f>
        <v>32</v>
      </c>
      <c r="K774" s="4">
        <f>IFERROR(__xludf.DUMMYFUNCTION("""COMPUTED_VALUE"""),4.0)</f>
        <v>4</v>
      </c>
      <c r="L774" s="4">
        <f>IFERROR(__xludf.DUMMYFUNCTION("""COMPUTED_VALUE"""),0.625)</f>
        <v>0.625</v>
      </c>
      <c r="M774" s="4"/>
      <c r="N774" s="4">
        <f>IFERROR(__xludf.DUMMYFUNCTION("""COMPUTED_VALUE"""),0.273)</f>
        <v>0.273</v>
      </c>
      <c r="O774" s="4">
        <f>IFERROR(__xludf.DUMMYFUNCTION("""COMPUTED_VALUE"""),7.8)</f>
        <v>7.8</v>
      </c>
      <c r="P774" s="4">
        <f>IFERROR(__xludf.DUMMYFUNCTION("""COMPUTED_VALUE"""),2.5)</f>
        <v>2.5</v>
      </c>
      <c r="Q774" s="4">
        <f>IFERROR(__xludf.DUMMYFUNCTION("""COMPUTED_VALUE"""),2.5)</f>
        <v>2.5</v>
      </c>
      <c r="R774" s="4">
        <f>IFERROR(__xludf.DUMMYFUNCTION("""COMPUTED_VALUE"""),0.3)</f>
        <v>0.3</v>
      </c>
      <c r="S774" s="4">
        <f>IFERROR(__xludf.DUMMYFUNCTION("""COMPUTED_VALUE"""),0.2)</f>
        <v>0.2</v>
      </c>
      <c r="T774" s="4">
        <f>IFERROR(__xludf.DUMMYFUNCTION("""COMPUTED_VALUE"""),0.118)</f>
        <v>0.118</v>
      </c>
      <c r="U774" s="4">
        <f>IFERROR(__xludf.DUMMYFUNCTION("""COMPUTED_VALUE"""),-0.4)</f>
        <v>-0.4</v>
      </c>
      <c r="V774" s="4">
        <f>IFERROR(__xludf.DUMMYFUNCTION("""COMPUTED_VALUE"""),0.0)</f>
        <v>0</v>
      </c>
    </row>
    <row r="775">
      <c r="A775" s="4">
        <f>IFERROR(__xludf.DUMMYFUNCTION("""COMPUTED_VALUE"""),44.0)</f>
        <v>44</v>
      </c>
      <c r="B775" s="4">
        <f>IFERROR(__xludf.DUMMYFUNCTION("""COMPUTED_VALUE"""),44.0)</f>
        <v>44</v>
      </c>
      <c r="C775" s="4" t="str">
        <f>IFERROR(__xludf.DUMMYFUNCTION("""COMPUTED_VALUE"""),"MIN")</f>
        <v>MIN</v>
      </c>
      <c r="D775" s="4" t="str">
        <f>IFERROR(__xludf.DUMMYFUNCTION("""COMPUTED_VALUE"""),"Markel Brown")</f>
        <v>Markel Brown</v>
      </c>
      <c r="E775" s="4" t="str">
        <f>IFERROR(__xludf.DUMMYFUNCTION("""COMPUTED_VALUE"""),"Oklahoma State")</f>
        <v>Oklahoma State</v>
      </c>
      <c r="F775" s="4">
        <f>IFERROR(__xludf.DUMMYFUNCTION("""COMPUTED_VALUE"""),3.0)</f>
        <v>3</v>
      </c>
      <c r="G775" s="4">
        <f>IFERROR(__xludf.DUMMYFUNCTION("""COMPUTED_VALUE"""),113.0)</f>
        <v>113</v>
      </c>
      <c r="H775" s="4">
        <f>IFERROR(__xludf.DUMMYFUNCTION("""COMPUTED_VALUE"""),1794.0)</f>
        <v>1794</v>
      </c>
      <c r="I775" s="4">
        <f>IFERROR(__xludf.DUMMYFUNCTION("""COMPUTED_VALUE"""),584.0)</f>
        <v>584</v>
      </c>
      <c r="J775" s="4">
        <f>IFERROR(__xludf.DUMMYFUNCTION("""COMPUTED_VALUE"""),234.0)</f>
        <v>234</v>
      </c>
      <c r="K775" s="4">
        <f>IFERROR(__xludf.DUMMYFUNCTION("""COMPUTED_VALUE"""),132.0)</f>
        <v>132</v>
      </c>
      <c r="L775" s="4">
        <f>IFERROR(__xludf.DUMMYFUNCTION("""COMPUTED_VALUE"""),0.38)</f>
        <v>0.38</v>
      </c>
      <c r="M775" s="4">
        <f>IFERROR(__xludf.DUMMYFUNCTION("""COMPUTED_VALUE"""),0.295)</f>
        <v>0.295</v>
      </c>
      <c r="N775" s="4">
        <f>IFERROR(__xludf.DUMMYFUNCTION("""COMPUTED_VALUE"""),0.781)</f>
        <v>0.781</v>
      </c>
      <c r="O775" s="4">
        <f>IFERROR(__xludf.DUMMYFUNCTION("""COMPUTED_VALUE"""),15.9)</f>
        <v>15.9</v>
      </c>
      <c r="P775" s="4">
        <f>IFERROR(__xludf.DUMMYFUNCTION("""COMPUTED_VALUE"""),5.2)</f>
        <v>5.2</v>
      </c>
      <c r="Q775" s="4">
        <f>IFERROR(__xludf.DUMMYFUNCTION("""COMPUTED_VALUE"""),2.1)</f>
        <v>2.1</v>
      </c>
      <c r="R775" s="4">
        <f>IFERROR(__xludf.DUMMYFUNCTION("""COMPUTED_VALUE"""),1.2)</f>
        <v>1.2</v>
      </c>
      <c r="S775" s="4">
        <f>IFERROR(__xludf.DUMMYFUNCTION("""COMPUTED_VALUE"""),1.1)</f>
        <v>1.1</v>
      </c>
      <c r="T775" s="4">
        <f>IFERROR(__xludf.DUMMYFUNCTION("""COMPUTED_VALUE"""),0.029)</f>
        <v>0.029</v>
      </c>
      <c r="U775" s="4">
        <f>IFERROR(__xludf.DUMMYFUNCTION("""COMPUTED_VALUE"""),-2.9)</f>
        <v>-2.9</v>
      </c>
      <c r="V775" s="4">
        <f>IFERROR(__xludf.DUMMYFUNCTION("""COMPUTED_VALUE"""),-0.4)</f>
        <v>-0.4</v>
      </c>
    </row>
    <row r="776">
      <c r="A776" s="4">
        <f>IFERROR(__xludf.DUMMYFUNCTION("""COMPUTED_VALUE"""),45.0)</f>
        <v>45</v>
      </c>
      <c r="B776" s="4">
        <f>IFERROR(__xludf.DUMMYFUNCTION("""COMPUTED_VALUE"""),45.0)</f>
        <v>45</v>
      </c>
      <c r="C776" s="4" t="str">
        <f>IFERROR(__xludf.DUMMYFUNCTION("""COMPUTED_VALUE"""),"CHO")</f>
        <v>CHO</v>
      </c>
      <c r="D776" s="4" t="str">
        <f>IFERROR(__xludf.DUMMYFUNCTION("""COMPUTED_VALUE"""),"Dwight Powell")</f>
        <v>Dwight Powell</v>
      </c>
      <c r="E776" s="4" t="str">
        <f>IFERROR(__xludf.DUMMYFUNCTION("""COMPUTED_VALUE"""),"Stanford")</f>
        <v>Stanford</v>
      </c>
      <c r="F776" s="4">
        <f>IFERROR(__xludf.DUMMYFUNCTION("""COMPUTED_VALUE"""),12.0)</f>
        <v>12</v>
      </c>
      <c r="G776" s="4">
        <f>IFERROR(__xludf.DUMMYFUNCTION("""COMPUTED_VALUE"""),722.0)</f>
        <v>722</v>
      </c>
      <c r="H776" s="4">
        <f>IFERROR(__xludf.DUMMYFUNCTION("""COMPUTED_VALUE"""),12743.0)</f>
        <v>12743</v>
      </c>
      <c r="I776" s="4">
        <f>IFERROR(__xludf.DUMMYFUNCTION("""COMPUTED_VALUE"""),4794.0)</f>
        <v>4794</v>
      </c>
      <c r="J776" s="4">
        <f>IFERROR(__xludf.DUMMYFUNCTION("""COMPUTED_VALUE"""),3031.0)</f>
        <v>3031</v>
      </c>
      <c r="K776" s="4">
        <f>IFERROR(__xludf.DUMMYFUNCTION("""COMPUTED_VALUE"""),748.0)</f>
        <v>748</v>
      </c>
      <c r="L776" s="4">
        <f>IFERROR(__xludf.DUMMYFUNCTION("""COMPUTED_VALUE"""),0.604)</f>
        <v>0.604</v>
      </c>
      <c r="M776" s="4">
        <f>IFERROR(__xludf.DUMMYFUNCTION("""COMPUTED_VALUE"""),0.294)</f>
        <v>0.294</v>
      </c>
      <c r="N776" s="4">
        <f>IFERROR(__xludf.DUMMYFUNCTION("""COMPUTED_VALUE"""),0.737)</f>
        <v>0.737</v>
      </c>
      <c r="O776" s="4">
        <f>IFERROR(__xludf.DUMMYFUNCTION("""COMPUTED_VALUE"""),17.6)</f>
        <v>17.6</v>
      </c>
      <c r="P776" s="4">
        <f>IFERROR(__xludf.DUMMYFUNCTION("""COMPUTED_VALUE"""),6.6)</f>
        <v>6.6</v>
      </c>
      <c r="Q776" s="4">
        <f>IFERROR(__xludf.DUMMYFUNCTION("""COMPUTED_VALUE"""),4.2)</f>
        <v>4.2</v>
      </c>
      <c r="R776" s="4">
        <f>IFERROR(__xludf.DUMMYFUNCTION("""COMPUTED_VALUE"""),1.0)</f>
        <v>1</v>
      </c>
      <c r="S776" s="4">
        <f>IFERROR(__xludf.DUMMYFUNCTION("""COMPUTED_VALUE"""),48.6)</f>
        <v>48.6</v>
      </c>
      <c r="T776" s="4">
        <f>IFERROR(__xludf.DUMMYFUNCTION("""COMPUTED_VALUE"""),0.183)</f>
        <v>0.183</v>
      </c>
      <c r="U776" s="4">
        <f>IFERROR(__xludf.DUMMYFUNCTION("""COMPUTED_VALUE"""),0.8)</f>
        <v>0.8</v>
      </c>
      <c r="V776" s="4">
        <f>IFERROR(__xludf.DUMMYFUNCTION("""COMPUTED_VALUE"""),9.0)</f>
        <v>9</v>
      </c>
    </row>
    <row r="777">
      <c r="A777" s="4">
        <f>IFERROR(__xludf.DUMMYFUNCTION("""COMPUTED_VALUE"""),46.0)</f>
        <v>46</v>
      </c>
      <c r="B777" s="4">
        <f>IFERROR(__xludf.DUMMYFUNCTION("""COMPUTED_VALUE"""),46.0)</f>
        <v>46</v>
      </c>
      <c r="C777" s="4" t="str">
        <f>IFERROR(__xludf.DUMMYFUNCTION("""COMPUTED_VALUE"""),"WAS")</f>
        <v>WAS</v>
      </c>
      <c r="D777" s="4" t="str">
        <f>IFERROR(__xludf.DUMMYFUNCTION("""COMPUTED_VALUE"""),"Jordan Clarkson")</f>
        <v>Jordan Clarkson</v>
      </c>
      <c r="E777" s="4" t="str">
        <f>IFERROR(__xludf.DUMMYFUNCTION("""COMPUTED_VALUE"""),"Missouri")</f>
        <v>Missouri</v>
      </c>
      <c r="F777" s="4">
        <f>IFERROR(__xludf.DUMMYFUNCTION("""COMPUTED_VALUE"""),12.0)</f>
        <v>12</v>
      </c>
      <c r="G777" s="4">
        <f>IFERROR(__xludf.DUMMYFUNCTION("""COMPUTED_VALUE"""),773.0)</f>
        <v>773</v>
      </c>
      <c r="H777" s="4">
        <f>IFERROR(__xludf.DUMMYFUNCTION("""COMPUTED_VALUE"""),21210.0)</f>
        <v>21210</v>
      </c>
      <c r="I777" s="4">
        <f>IFERROR(__xludf.DUMMYFUNCTION("""COMPUTED_VALUE"""),12233.0)</f>
        <v>12233</v>
      </c>
      <c r="J777" s="4">
        <f>IFERROR(__xludf.DUMMYFUNCTION("""COMPUTED_VALUE"""),2560.0)</f>
        <v>2560</v>
      </c>
      <c r="K777" s="4">
        <f>IFERROR(__xludf.DUMMYFUNCTION("""COMPUTED_VALUE"""),2244.0)</f>
        <v>2244</v>
      </c>
      <c r="L777" s="4">
        <f>IFERROR(__xludf.DUMMYFUNCTION("""COMPUTED_VALUE"""),0.436)</f>
        <v>0.436</v>
      </c>
      <c r="M777" s="4">
        <f>IFERROR(__xludf.DUMMYFUNCTION("""COMPUTED_VALUE"""),0.336)</f>
        <v>0.336</v>
      </c>
      <c r="N777" s="4">
        <f>IFERROR(__xludf.DUMMYFUNCTION("""COMPUTED_VALUE"""),0.83)</f>
        <v>0.83</v>
      </c>
      <c r="O777" s="4">
        <f>IFERROR(__xludf.DUMMYFUNCTION("""COMPUTED_VALUE"""),27.4)</f>
        <v>27.4</v>
      </c>
      <c r="P777" s="4">
        <f>IFERROR(__xludf.DUMMYFUNCTION("""COMPUTED_VALUE"""),15.8)</f>
        <v>15.8</v>
      </c>
      <c r="Q777" s="4">
        <f>IFERROR(__xludf.DUMMYFUNCTION("""COMPUTED_VALUE"""),3.3)</f>
        <v>3.3</v>
      </c>
      <c r="R777" s="4">
        <f>IFERROR(__xludf.DUMMYFUNCTION("""COMPUTED_VALUE"""),2.9)</f>
        <v>2.9</v>
      </c>
      <c r="S777" s="4">
        <f>IFERROR(__xludf.DUMMYFUNCTION("""COMPUTED_VALUE"""),24.6)</f>
        <v>24.6</v>
      </c>
      <c r="T777" s="4">
        <f>IFERROR(__xludf.DUMMYFUNCTION("""COMPUTED_VALUE"""),0.056)</f>
        <v>0.056</v>
      </c>
      <c r="U777" s="4">
        <f>IFERROR(__xludf.DUMMYFUNCTION("""COMPUTED_VALUE"""),-1.0)</f>
        <v>-1</v>
      </c>
      <c r="V777" s="4">
        <f>IFERROR(__xludf.DUMMYFUNCTION("""COMPUTED_VALUE"""),5.4)</f>
        <v>5.4</v>
      </c>
    </row>
    <row r="778">
      <c r="A778" s="4">
        <f>IFERROR(__xludf.DUMMYFUNCTION("""COMPUTED_VALUE"""),47.0)</f>
        <v>47</v>
      </c>
      <c r="B778" s="4">
        <f>IFERROR(__xludf.DUMMYFUNCTION("""COMPUTED_VALUE"""),47.0)</f>
        <v>47</v>
      </c>
      <c r="C778" s="4" t="str">
        <f>IFERROR(__xludf.DUMMYFUNCTION("""COMPUTED_VALUE"""),"PHI")</f>
        <v>PHI</v>
      </c>
      <c r="D778" s="4" t="str">
        <f>IFERROR(__xludf.DUMMYFUNCTION("""COMPUTED_VALUE"""),"Russ Smith")</f>
        <v>Russ Smith</v>
      </c>
      <c r="E778" s="4" t="str">
        <f>IFERROR(__xludf.DUMMYFUNCTION("""COMPUTED_VALUE"""),"Louisville")</f>
        <v>Louisville</v>
      </c>
      <c r="F778" s="4">
        <f>IFERROR(__xludf.DUMMYFUNCTION("""COMPUTED_VALUE"""),2.0)</f>
        <v>2</v>
      </c>
      <c r="G778" s="4">
        <f>IFERROR(__xludf.DUMMYFUNCTION("""COMPUTED_VALUE"""),27.0)</f>
        <v>27</v>
      </c>
      <c r="H778" s="4">
        <f>IFERROR(__xludf.DUMMYFUNCTION("""COMPUTED_VALUE"""),131.0)</f>
        <v>131</v>
      </c>
      <c r="I778" s="4">
        <f>IFERROR(__xludf.DUMMYFUNCTION("""COMPUTED_VALUE"""),53.0)</f>
        <v>53</v>
      </c>
      <c r="J778" s="4">
        <f>IFERROR(__xludf.DUMMYFUNCTION("""COMPUTED_VALUE"""),15.0)</f>
        <v>15</v>
      </c>
      <c r="K778" s="4">
        <f>IFERROR(__xludf.DUMMYFUNCTION("""COMPUTED_VALUE"""),19.0)</f>
        <v>19</v>
      </c>
      <c r="L778" s="4">
        <f>IFERROR(__xludf.DUMMYFUNCTION("""COMPUTED_VALUE"""),0.319)</f>
        <v>0.319</v>
      </c>
      <c r="M778" s="4">
        <f>IFERROR(__xludf.DUMMYFUNCTION("""COMPUTED_VALUE"""),0.188)</f>
        <v>0.188</v>
      </c>
      <c r="N778" s="4">
        <f>IFERROR(__xludf.DUMMYFUNCTION("""COMPUTED_VALUE"""),0.769)</f>
        <v>0.769</v>
      </c>
      <c r="O778" s="4">
        <f>IFERROR(__xludf.DUMMYFUNCTION("""COMPUTED_VALUE"""),4.9)</f>
        <v>4.9</v>
      </c>
      <c r="P778" s="4">
        <f>IFERROR(__xludf.DUMMYFUNCTION("""COMPUTED_VALUE"""),2.0)</f>
        <v>2</v>
      </c>
      <c r="Q778" s="4">
        <f>IFERROR(__xludf.DUMMYFUNCTION("""COMPUTED_VALUE"""),0.6)</f>
        <v>0.6</v>
      </c>
      <c r="R778" s="4">
        <f>IFERROR(__xludf.DUMMYFUNCTION("""COMPUTED_VALUE"""),0.7)</f>
        <v>0.7</v>
      </c>
      <c r="S778" s="4">
        <f>IFERROR(__xludf.DUMMYFUNCTION("""COMPUTED_VALUE"""),-0.2)</f>
        <v>-0.2</v>
      </c>
      <c r="T778" s="4">
        <f>IFERROR(__xludf.DUMMYFUNCTION("""COMPUTED_VALUE"""),-0.068)</f>
        <v>-0.068</v>
      </c>
      <c r="U778" s="4">
        <f>IFERROR(__xludf.DUMMYFUNCTION("""COMPUTED_VALUE"""),-5.1)</f>
        <v>-5.1</v>
      </c>
      <c r="V778" s="4">
        <f>IFERROR(__xludf.DUMMYFUNCTION("""COMPUTED_VALUE"""),-0.1)</f>
        <v>-0.1</v>
      </c>
    </row>
    <row r="779">
      <c r="A779" s="4">
        <f>IFERROR(__xludf.DUMMYFUNCTION("""COMPUTED_VALUE"""),48.0)</f>
        <v>48</v>
      </c>
      <c r="B779" s="4">
        <f>IFERROR(__xludf.DUMMYFUNCTION("""COMPUTED_VALUE"""),48.0)</f>
        <v>48</v>
      </c>
      <c r="C779" s="4" t="str">
        <f>IFERROR(__xludf.DUMMYFUNCTION("""COMPUTED_VALUE"""),"MIL")</f>
        <v>MIL</v>
      </c>
      <c r="D779" s="4" t="str">
        <f>IFERROR(__xludf.DUMMYFUNCTION("""COMPUTED_VALUE"""),"Lamar Patterson")</f>
        <v>Lamar Patterson</v>
      </c>
      <c r="E779" s="4" t="str">
        <f>IFERROR(__xludf.DUMMYFUNCTION("""COMPUTED_VALUE"""),"Pitt")</f>
        <v>Pitt</v>
      </c>
      <c r="F779" s="4">
        <f>IFERROR(__xludf.DUMMYFUNCTION("""COMPUTED_VALUE"""),2.0)</f>
        <v>2</v>
      </c>
      <c r="G779" s="4">
        <f>IFERROR(__xludf.DUMMYFUNCTION("""COMPUTED_VALUE"""),40.0)</f>
        <v>40</v>
      </c>
      <c r="H779" s="4">
        <f>IFERROR(__xludf.DUMMYFUNCTION("""COMPUTED_VALUE"""),435.0)</f>
        <v>435</v>
      </c>
      <c r="I779" s="4">
        <f>IFERROR(__xludf.DUMMYFUNCTION("""COMPUTED_VALUE"""),93.0)</f>
        <v>93</v>
      </c>
      <c r="J779" s="4">
        <f>IFERROR(__xludf.DUMMYFUNCTION("""COMPUTED_VALUE"""),57.0)</f>
        <v>57</v>
      </c>
      <c r="K779" s="4">
        <f>IFERROR(__xludf.DUMMYFUNCTION("""COMPUTED_VALUE"""),45.0)</f>
        <v>45</v>
      </c>
      <c r="L779" s="4">
        <f>IFERROR(__xludf.DUMMYFUNCTION("""COMPUTED_VALUE"""),0.326)</f>
        <v>0.326</v>
      </c>
      <c r="M779" s="4">
        <f>IFERROR(__xludf.DUMMYFUNCTION("""COMPUTED_VALUE"""),0.236)</f>
        <v>0.236</v>
      </c>
      <c r="N779" s="4">
        <f>IFERROR(__xludf.DUMMYFUNCTION("""COMPUTED_VALUE"""),0.72)</f>
        <v>0.72</v>
      </c>
      <c r="O779" s="4">
        <f>IFERROR(__xludf.DUMMYFUNCTION("""COMPUTED_VALUE"""),10.9)</f>
        <v>10.9</v>
      </c>
      <c r="P779" s="4">
        <f>IFERROR(__xludf.DUMMYFUNCTION("""COMPUTED_VALUE"""),2.3)</f>
        <v>2.3</v>
      </c>
      <c r="Q779" s="4">
        <f>IFERROR(__xludf.DUMMYFUNCTION("""COMPUTED_VALUE"""),1.4)</f>
        <v>1.4</v>
      </c>
      <c r="R779" s="4">
        <f>IFERROR(__xludf.DUMMYFUNCTION("""COMPUTED_VALUE"""),1.1)</f>
        <v>1.1</v>
      </c>
      <c r="S779" s="4">
        <f>IFERROR(__xludf.DUMMYFUNCTION("""COMPUTED_VALUE"""),0.1)</f>
        <v>0.1</v>
      </c>
      <c r="T779" s="4">
        <f>IFERROR(__xludf.DUMMYFUNCTION("""COMPUTED_VALUE"""),0.006)</f>
        <v>0.006</v>
      </c>
      <c r="U779" s="4">
        <f>IFERROR(__xludf.DUMMYFUNCTION("""COMPUTED_VALUE"""),-5.7)</f>
        <v>-5.7</v>
      </c>
      <c r="V779" s="4">
        <f>IFERROR(__xludf.DUMMYFUNCTION("""COMPUTED_VALUE"""),-0.4)</f>
        <v>-0.4</v>
      </c>
    </row>
    <row r="780">
      <c r="A780" s="4">
        <f>IFERROR(__xludf.DUMMYFUNCTION("""COMPUTED_VALUE"""),49.0)</f>
        <v>49</v>
      </c>
      <c r="B780" s="4">
        <f>IFERROR(__xludf.DUMMYFUNCTION("""COMPUTED_VALUE"""),49.0)</f>
        <v>49</v>
      </c>
      <c r="C780" s="4" t="str">
        <f>IFERROR(__xludf.DUMMYFUNCTION("""COMPUTED_VALUE"""),"CHI")</f>
        <v>CHI</v>
      </c>
      <c r="D780" s="4" t="str">
        <f>IFERROR(__xludf.DUMMYFUNCTION("""COMPUTED_VALUE"""),"Cameron Bairstow")</f>
        <v>Cameron Bairstow</v>
      </c>
      <c r="E780" s="4" t="str">
        <f>IFERROR(__xludf.DUMMYFUNCTION("""COMPUTED_VALUE"""),"New Mexico")</f>
        <v>New Mexico</v>
      </c>
      <c r="F780" s="4">
        <f>IFERROR(__xludf.DUMMYFUNCTION("""COMPUTED_VALUE"""),2.0)</f>
        <v>2</v>
      </c>
      <c r="G780" s="4">
        <f>IFERROR(__xludf.DUMMYFUNCTION("""COMPUTED_VALUE"""),36.0)</f>
        <v>36</v>
      </c>
      <c r="H780" s="4">
        <f>IFERROR(__xludf.DUMMYFUNCTION("""COMPUTED_VALUE"""),167.0)</f>
        <v>167</v>
      </c>
      <c r="I780" s="4">
        <f>IFERROR(__xludf.DUMMYFUNCTION("""COMPUTED_VALUE"""),44.0)</f>
        <v>44</v>
      </c>
      <c r="J780" s="4">
        <f>IFERROR(__xludf.DUMMYFUNCTION("""COMPUTED_VALUE"""),36.0)</f>
        <v>36</v>
      </c>
      <c r="K780" s="4">
        <f>IFERROR(__xludf.DUMMYFUNCTION("""COMPUTED_VALUE"""),7.0)</f>
        <v>7</v>
      </c>
      <c r="L780" s="4">
        <f>IFERROR(__xludf.DUMMYFUNCTION("""COMPUTED_VALUE"""),0.296)</f>
        <v>0.296</v>
      </c>
      <c r="M780" s="4">
        <f>IFERROR(__xludf.DUMMYFUNCTION("""COMPUTED_VALUE"""),0.2)</f>
        <v>0.2</v>
      </c>
      <c r="N780" s="4">
        <f>IFERROR(__xludf.DUMMYFUNCTION("""COMPUTED_VALUE"""),0.846)</f>
        <v>0.846</v>
      </c>
      <c r="O780" s="4">
        <f>IFERROR(__xludf.DUMMYFUNCTION("""COMPUTED_VALUE"""),4.6)</f>
        <v>4.6</v>
      </c>
      <c r="P780" s="4">
        <f>IFERROR(__xludf.DUMMYFUNCTION("""COMPUTED_VALUE"""),1.2)</f>
        <v>1.2</v>
      </c>
      <c r="Q780" s="4">
        <f>IFERROR(__xludf.DUMMYFUNCTION("""COMPUTED_VALUE"""),1.0)</f>
        <v>1</v>
      </c>
      <c r="R780" s="4">
        <f>IFERROR(__xludf.DUMMYFUNCTION("""COMPUTED_VALUE"""),0.2)</f>
        <v>0.2</v>
      </c>
      <c r="S780" s="4">
        <f>IFERROR(__xludf.DUMMYFUNCTION("""COMPUTED_VALUE"""),-0.1)</f>
        <v>-0.1</v>
      </c>
      <c r="T780" s="4">
        <f>IFERROR(__xludf.DUMMYFUNCTION("""COMPUTED_VALUE"""),-0.021)</f>
        <v>-0.021</v>
      </c>
      <c r="U780" s="4">
        <f>IFERROR(__xludf.DUMMYFUNCTION("""COMPUTED_VALUE"""),-8.1)</f>
        <v>-8.1</v>
      </c>
      <c r="V780" s="4">
        <f>IFERROR(__xludf.DUMMYFUNCTION("""COMPUTED_VALUE"""),-0.3)</f>
        <v>-0.3</v>
      </c>
    </row>
    <row r="781">
      <c r="A781" s="4">
        <f>IFERROR(__xludf.DUMMYFUNCTION("""COMPUTED_VALUE"""),50.0)</f>
        <v>50</v>
      </c>
      <c r="B781" s="4">
        <f>IFERROR(__xludf.DUMMYFUNCTION("""COMPUTED_VALUE"""),50.0)</f>
        <v>50</v>
      </c>
      <c r="C781" s="4" t="str">
        <f>IFERROR(__xludf.DUMMYFUNCTION("""COMPUTED_VALUE"""),"PHO")</f>
        <v>PHO</v>
      </c>
      <c r="D781" s="4" t="str">
        <f>IFERROR(__xludf.DUMMYFUNCTION("""COMPUTED_VALUE"""),"Alec Brown")</f>
        <v>Alec Brown</v>
      </c>
      <c r="E781" s="4" t="str">
        <f>IFERROR(__xludf.DUMMYFUNCTION("""COMPUTED_VALUE"""),"Green Bay")</f>
        <v>Green Bay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>
        <f>IFERROR(__xludf.DUMMYFUNCTION("""COMPUTED_VALUE"""),51.0)</f>
        <v>51</v>
      </c>
      <c r="B782" s="4">
        <f>IFERROR(__xludf.DUMMYFUNCTION("""COMPUTED_VALUE"""),51.0)</f>
        <v>51</v>
      </c>
      <c r="C782" s="4" t="str">
        <f>IFERROR(__xludf.DUMMYFUNCTION("""COMPUTED_VALUE"""),"NYK")</f>
        <v>NYK</v>
      </c>
      <c r="D782" s="4" t="str">
        <f>IFERROR(__xludf.DUMMYFUNCTION("""COMPUTED_VALUE"""),"Thanasis Antetokounmpo")</f>
        <v>Thanasis Antetokounmpo</v>
      </c>
      <c r="E782" s="4"/>
      <c r="F782" s="4">
        <f>IFERROR(__xludf.DUMMYFUNCTION("""COMPUTED_VALUE"""),7.0)</f>
        <v>7</v>
      </c>
      <c r="G782" s="4">
        <f>IFERROR(__xludf.DUMMYFUNCTION("""COMPUTED_VALUE"""),205.0)</f>
        <v>205</v>
      </c>
      <c r="H782" s="4">
        <f>IFERROR(__xludf.DUMMYFUNCTION("""COMPUTED_VALUE"""),1538.0)</f>
        <v>1538</v>
      </c>
      <c r="I782" s="4">
        <f>IFERROR(__xludf.DUMMYFUNCTION("""COMPUTED_VALUE"""),490.0)</f>
        <v>490</v>
      </c>
      <c r="J782" s="4">
        <f>IFERROR(__xludf.DUMMYFUNCTION("""COMPUTED_VALUE"""),309.0)</f>
        <v>309</v>
      </c>
      <c r="K782" s="4">
        <f>IFERROR(__xludf.DUMMYFUNCTION("""COMPUTED_VALUE"""),115.0)</f>
        <v>115</v>
      </c>
      <c r="L782" s="4">
        <f>IFERROR(__xludf.DUMMYFUNCTION("""COMPUTED_VALUE"""),0.511)</f>
        <v>0.511</v>
      </c>
      <c r="M782" s="4">
        <f>IFERROR(__xludf.DUMMYFUNCTION("""COMPUTED_VALUE"""),0.143)</f>
        <v>0.143</v>
      </c>
      <c r="N782" s="4">
        <f>IFERROR(__xludf.DUMMYFUNCTION("""COMPUTED_VALUE"""),0.54)</f>
        <v>0.54</v>
      </c>
      <c r="O782" s="4">
        <f>IFERROR(__xludf.DUMMYFUNCTION("""COMPUTED_VALUE"""),7.5)</f>
        <v>7.5</v>
      </c>
      <c r="P782" s="4">
        <f>IFERROR(__xludf.DUMMYFUNCTION("""COMPUTED_VALUE"""),2.4)</f>
        <v>2.4</v>
      </c>
      <c r="Q782" s="4">
        <f>IFERROR(__xludf.DUMMYFUNCTION("""COMPUTED_VALUE"""),1.5)</f>
        <v>1.5</v>
      </c>
      <c r="R782" s="4">
        <f>IFERROR(__xludf.DUMMYFUNCTION("""COMPUTED_VALUE"""),0.6)</f>
        <v>0.6</v>
      </c>
      <c r="S782" s="4">
        <f>IFERROR(__xludf.DUMMYFUNCTION("""COMPUTED_VALUE"""),2.0)</f>
        <v>2</v>
      </c>
      <c r="T782" s="4">
        <f>IFERROR(__xludf.DUMMYFUNCTION("""COMPUTED_VALUE"""),0.063)</f>
        <v>0.063</v>
      </c>
      <c r="U782" s="4">
        <f>IFERROR(__xludf.DUMMYFUNCTION("""COMPUTED_VALUE"""),-4.1)</f>
        <v>-4.1</v>
      </c>
      <c r="V782" s="4">
        <f>IFERROR(__xludf.DUMMYFUNCTION("""COMPUTED_VALUE"""),-0.8)</f>
        <v>-0.8</v>
      </c>
    </row>
    <row r="783">
      <c r="A783" s="4">
        <f>IFERROR(__xludf.DUMMYFUNCTION("""COMPUTED_VALUE"""),52.0)</f>
        <v>52</v>
      </c>
      <c r="B783" s="4">
        <f>IFERROR(__xludf.DUMMYFUNCTION("""COMPUTED_VALUE"""),52.0)</f>
        <v>52</v>
      </c>
      <c r="C783" s="4" t="str">
        <f>IFERROR(__xludf.DUMMYFUNCTION("""COMPUTED_VALUE"""),"PHI")</f>
        <v>PHI</v>
      </c>
      <c r="D783" s="4" t="str">
        <f>IFERROR(__xludf.DUMMYFUNCTION("""COMPUTED_VALUE"""),"Vasilije Micić")</f>
        <v>Vasilije Micić</v>
      </c>
      <c r="E783" s="4"/>
      <c r="F783" s="4">
        <f>IFERROR(__xludf.DUMMYFUNCTION("""COMPUTED_VALUE"""),2.0)</f>
        <v>2</v>
      </c>
      <c r="G783" s="4">
        <f>IFERROR(__xludf.DUMMYFUNCTION("""COMPUTED_VALUE"""),101.0)</f>
        <v>101</v>
      </c>
      <c r="H783" s="4">
        <f>IFERROR(__xludf.DUMMYFUNCTION("""COMPUTED_VALUE"""),1961.0)</f>
        <v>1961</v>
      </c>
      <c r="I783" s="4">
        <f>IFERROR(__xludf.DUMMYFUNCTION("""COMPUTED_VALUE"""),691.0)</f>
        <v>691</v>
      </c>
      <c r="J783" s="4">
        <f>IFERROR(__xludf.DUMMYFUNCTION("""COMPUTED_VALUE"""),177.0)</f>
        <v>177</v>
      </c>
      <c r="K783" s="4">
        <f>IFERROR(__xludf.DUMMYFUNCTION("""COMPUTED_VALUE"""),390.0)</f>
        <v>390</v>
      </c>
      <c r="L783" s="4">
        <f>IFERROR(__xludf.DUMMYFUNCTION("""COMPUTED_VALUE"""),0.395)</f>
        <v>0.395</v>
      </c>
      <c r="M783" s="4">
        <f>IFERROR(__xludf.DUMMYFUNCTION("""COMPUTED_VALUE"""),0.315)</f>
        <v>0.315</v>
      </c>
      <c r="N783" s="4">
        <f>IFERROR(__xludf.DUMMYFUNCTION("""COMPUTED_VALUE"""),0.819)</f>
        <v>0.819</v>
      </c>
      <c r="O783" s="4">
        <f>IFERROR(__xludf.DUMMYFUNCTION("""COMPUTED_VALUE"""),19.4)</f>
        <v>19.4</v>
      </c>
      <c r="P783" s="4">
        <f>IFERROR(__xludf.DUMMYFUNCTION("""COMPUTED_VALUE"""),6.8)</f>
        <v>6.8</v>
      </c>
      <c r="Q783" s="4">
        <f>IFERROR(__xludf.DUMMYFUNCTION("""COMPUTED_VALUE"""),1.8)</f>
        <v>1.8</v>
      </c>
      <c r="R783" s="4">
        <f>IFERROR(__xludf.DUMMYFUNCTION("""COMPUTED_VALUE"""),3.9)</f>
        <v>3.9</v>
      </c>
      <c r="S783" s="4">
        <f>IFERROR(__xludf.DUMMYFUNCTION("""COMPUTED_VALUE"""),-0.6)</f>
        <v>-0.6</v>
      </c>
      <c r="T783" s="4">
        <f>IFERROR(__xludf.DUMMYFUNCTION("""COMPUTED_VALUE"""),-0.015)</f>
        <v>-0.015</v>
      </c>
      <c r="U783" s="4">
        <f>IFERROR(__xludf.DUMMYFUNCTION("""COMPUTED_VALUE"""),-5.6)</f>
        <v>-5.6</v>
      </c>
      <c r="V783" s="4">
        <f>IFERROR(__xludf.DUMMYFUNCTION("""COMPUTED_VALUE"""),-1.8)</f>
        <v>-1.8</v>
      </c>
    </row>
    <row r="784">
      <c r="A784" s="4">
        <f>IFERROR(__xludf.DUMMYFUNCTION("""COMPUTED_VALUE"""),53.0)</f>
        <v>53</v>
      </c>
      <c r="B784" s="4">
        <f>IFERROR(__xludf.DUMMYFUNCTION("""COMPUTED_VALUE"""),53.0)</f>
        <v>53</v>
      </c>
      <c r="C784" s="4" t="str">
        <f>IFERROR(__xludf.DUMMYFUNCTION("""COMPUTED_VALUE"""),"MIN")</f>
        <v>MIN</v>
      </c>
      <c r="D784" s="4" t="str">
        <f>IFERROR(__xludf.DUMMYFUNCTION("""COMPUTED_VALUE"""),"Alessandro Gentile")</f>
        <v>Alessandro Gentile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>
        <f>IFERROR(__xludf.DUMMYFUNCTION("""COMPUTED_VALUE"""),54.0)</f>
        <v>54</v>
      </c>
      <c r="B785" s="4">
        <f>IFERROR(__xludf.DUMMYFUNCTION("""COMPUTED_VALUE"""),54.0)</f>
        <v>54</v>
      </c>
      <c r="C785" s="4" t="str">
        <f>IFERROR(__xludf.DUMMYFUNCTION("""COMPUTED_VALUE"""),"PHI")</f>
        <v>PHI</v>
      </c>
      <c r="D785" s="4" t="str">
        <f>IFERROR(__xludf.DUMMYFUNCTION("""COMPUTED_VALUE"""),"Nemanja Dangubić")</f>
        <v>Nemanja Dangubić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>
        <f>IFERROR(__xludf.DUMMYFUNCTION("""COMPUTED_VALUE"""),55.0)</f>
        <v>55</v>
      </c>
      <c r="B786" s="4">
        <f>IFERROR(__xludf.DUMMYFUNCTION("""COMPUTED_VALUE"""),55.0)</f>
        <v>55</v>
      </c>
      <c r="C786" s="4" t="str">
        <f>IFERROR(__xludf.DUMMYFUNCTION("""COMPUTED_VALUE"""),"MIA")</f>
        <v>MIA</v>
      </c>
      <c r="D786" s="4" t="str">
        <f>IFERROR(__xludf.DUMMYFUNCTION("""COMPUTED_VALUE"""),"Semaj Christon")</f>
        <v>Semaj Christon</v>
      </c>
      <c r="E786" s="4" t="str">
        <f>IFERROR(__xludf.DUMMYFUNCTION("""COMPUTED_VALUE"""),"Xavier")</f>
        <v>Xavier</v>
      </c>
      <c r="F786" s="4">
        <f>IFERROR(__xludf.DUMMYFUNCTION("""COMPUTED_VALUE"""),1.0)</f>
        <v>1</v>
      </c>
      <c r="G786" s="4">
        <f>IFERROR(__xludf.DUMMYFUNCTION("""COMPUTED_VALUE"""),64.0)</f>
        <v>64</v>
      </c>
      <c r="H786" s="4">
        <f>IFERROR(__xludf.DUMMYFUNCTION("""COMPUTED_VALUE"""),973.0)</f>
        <v>973</v>
      </c>
      <c r="I786" s="4">
        <f>IFERROR(__xludf.DUMMYFUNCTION("""COMPUTED_VALUE"""),183.0)</f>
        <v>183</v>
      </c>
      <c r="J786" s="4">
        <f>IFERROR(__xludf.DUMMYFUNCTION("""COMPUTED_VALUE"""),87.0)</f>
        <v>87</v>
      </c>
      <c r="K786" s="4">
        <f>IFERROR(__xludf.DUMMYFUNCTION("""COMPUTED_VALUE"""),130.0)</f>
        <v>130</v>
      </c>
      <c r="L786" s="4">
        <f>IFERROR(__xludf.DUMMYFUNCTION("""COMPUTED_VALUE"""),0.345)</f>
        <v>0.345</v>
      </c>
      <c r="M786" s="4">
        <f>IFERROR(__xludf.DUMMYFUNCTION("""COMPUTED_VALUE"""),0.19)</f>
        <v>0.19</v>
      </c>
      <c r="N786" s="4">
        <f>IFERROR(__xludf.DUMMYFUNCTION("""COMPUTED_VALUE"""),0.548)</f>
        <v>0.548</v>
      </c>
      <c r="O786" s="4">
        <f>IFERROR(__xludf.DUMMYFUNCTION("""COMPUTED_VALUE"""),15.2)</f>
        <v>15.2</v>
      </c>
      <c r="P786" s="4">
        <f>IFERROR(__xludf.DUMMYFUNCTION("""COMPUTED_VALUE"""),2.9)</f>
        <v>2.9</v>
      </c>
      <c r="Q786" s="4">
        <f>IFERROR(__xludf.DUMMYFUNCTION("""COMPUTED_VALUE"""),1.4)</f>
        <v>1.4</v>
      </c>
      <c r="R786" s="4">
        <f>IFERROR(__xludf.DUMMYFUNCTION("""COMPUTED_VALUE"""),2.0)</f>
        <v>2</v>
      </c>
      <c r="S786" s="4">
        <f>IFERROR(__xludf.DUMMYFUNCTION("""COMPUTED_VALUE"""),0.1)</f>
        <v>0.1</v>
      </c>
      <c r="T786" s="4">
        <f>IFERROR(__xludf.DUMMYFUNCTION("""COMPUTED_VALUE"""),0.006)</f>
        <v>0.006</v>
      </c>
      <c r="U786" s="4">
        <f>IFERROR(__xludf.DUMMYFUNCTION("""COMPUTED_VALUE"""),-5.1)</f>
        <v>-5.1</v>
      </c>
      <c r="V786" s="4">
        <f>IFERROR(__xludf.DUMMYFUNCTION("""COMPUTED_VALUE"""),-0.8)</f>
        <v>-0.8</v>
      </c>
    </row>
    <row r="787">
      <c r="A787" s="4">
        <f>IFERROR(__xludf.DUMMYFUNCTION("""COMPUTED_VALUE"""),56.0)</f>
        <v>56</v>
      </c>
      <c r="B787" s="4">
        <f>IFERROR(__xludf.DUMMYFUNCTION("""COMPUTED_VALUE"""),56.0)</f>
        <v>56</v>
      </c>
      <c r="C787" s="4" t="str">
        <f>IFERROR(__xludf.DUMMYFUNCTION("""COMPUTED_VALUE"""),"DEN")</f>
        <v>DEN</v>
      </c>
      <c r="D787" s="4" t="str">
        <f>IFERROR(__xludf.DUMMYFUNCTION("""COMPUTED_VALUE"""),"Devyn Marble")</f>
        <v>Devyn Marble</v>
      </c>
      <c r="E787" s="4" t="str">
        <f>IFERROR(__xludf.DUMMYFUNCTION("""COMPUTED_VALUE"""),"Iowa")</f>
        <v>Iowa</v>
      </c>
      <c r="F787" s="4">
        <f>IFERROR(__xludf.DUMMYFUNCTION("""COMPUTED_VALUE"""),2.0)</f>
        <v>2</v>
      </c>
      <c r="G787" s="4">
        <f>IFERROR(__xludf.DUMMYFUNCTION("""COMPUTED_VALUE"""),44.0)</f>
        <v>44</v>
      </c>
      <c r="H787" s="4">
        <f>IFERROR(__xludf.DUMMYFUNCTION("""COMPUTED_VALUE"""),457.0)</f>
        <v>457</v>
      </c>
      <c r="I787" s="4">
        <f>IFERROR(__xludf.DUMMYFUNCTION("""COMPUTED_VALUE"""),97.0)</f>
        <v>97</v>
      </c>
      <c r="J787" s="4">
        <f>IFERROR(__xludf.DUMMYFUNCTION("""COMPUTED_VALUE"""),69.0)</f>
        <v>69</v>
      </c>
      <c r="K787" s="4">
        <f>IFERROR(__xludf.DUMMYFUNCTION("""COMPUTED_VALUE"""),29.0)</f>
        <v>29</v>
      </c>
      <c r="L787" s="4">
        <f>IFERROR(__xludf.DUMMYFUNCTION("""COMPUTED_VALUE"""),0.304)</f>
        <v>0.304</v>
      </c>
      <c r="M787" s="4">
        <f>IFERROR(__xludf.DUMMYFUNCTION("""COMPUTED_VALUE"""),0.222)</f>
        <v>0.222</v>
      </c>
      <c r="N787" s="4">
        <f>IFERROR(__xludf.DUMMYFUNCTION("""COMPUTED_VALUE"""),0.375)</f>
        <v>0.375</v>
      </c>
      <c r="O787" s="4">
        <f>IFERROR(__xludf.DUMMYFUNCTION("""COMPUTED_VALUE"""),10.4)</f>
        <v>10.4</v>
      </c>
      <c r="P787" s="4">
        <f>IFERROR(__xludf.DUMMYFUNCTION("""COMPUTED_VALUE"""),2.2)</f>
        <v>2.2</v>
      </c>
      <c r="Q787" s="4">
        <f>IFERROR(__xludf.DUMMYFUNCTION("""COMPUTED_VALUE"""),1.6)</f>
        <v>1.6</v>
      </c>
      <c r="R787" s="4">
        <f>IFERROR(__xludf.DUMMYFUNCTION("""COMPUTED_VALUE"""),0.7)</f>
        <v>0.7</v>
      </c>
      <c r="S787" s="4">
        <f>IFERROR(__xludf.DUMMYFUNCTION("""COMPUTED_VALUE"""),-0.3)</f>
        <v>-0.3</v>
      </c>
      <c r="T787" s="4">
        <f>IFERROR(__xludf.DUMMYFUNCTION("""COMPUTED_VALUE"""),-0.028)</f>
        <v>-0.028</v>
      </c>
      <c r="U787" s="4">
        <f>IFERROR(__xludf.DUMMYFUNCTION("""COMPUTED_VALUE"""),-5.5)</f>
        <v>-5.5</v>
      </c>
      <c r="V787" s="4">
        <f>IFERROR(__xludf.DUMMYFUNCTION("""COMPUTED_VALUE"""),-0.4)</f>
        <v>-0.4</v>
      </c>
    </row>
    <row r="788">
      <c r="A788" s="4">
        <f>IFERROR(__xludf.DUMMYFUNCTION("""COMPUTED_VALUE"""),57.0)</f>
        <v>57</v>
      </c>
      <c r="B788" s="4">
        <f>IFERROR(__xludf.DUMMYFUNCTION("""COMPUTED_VALUE"""),57.0)</f>
        <v>57</v>
      </c>
      <c r="C788" s="4" t="str">
        <f>IFERROR(__xludf.DUMMYFUNCTION("""COMPUTED_VALUE"""),"IND")</f>
        <v>IND</v>
      </c>
      <c r="D788" s="4" t="str">
        <f>IFERROR(__xludf.DUMMYFUNCTION("""COMPUTED_VALUE"""),"Louis Labeyrie")</f>
        <v>Louis Labeyrie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>
        <f>IFERROR(__xludf.DUMMYFUNCTION("""COMPUTED_VALUE"""),58.0)</f>
        <v>58</v>
      </c>
      <c r="B789" s="4">
        <f>IFERROR(__xludf.DUMMYFUNCTION("""COMPUTED_VALUE"""),58.0)</f>
        <v>58</v>
      </c>
      <c r="C789" s="4" t="str">
        <f>IFERROR(__xludf.DUMMYFUNCTION("""COMPUTED_VALUE"""),"SAS")</f>
        <v>SAS</v>
      </c>
      <c r="D789" s="4" t="str">
        <f>IFERROR(__xludf.DUMMYFUNCTION("""COMPUTED_VALUE"""),"Jordan McRae")</f>
        <v>Jordan McRae</v>
      </c>
      <c r="E789" s="4" t="str">
        <f>IFERROR(__xludf.DUMMYFUNCTION("""COMPUTED_VALUE"""),"Tennessee")</f>
        <v>Tennessee</v>
      </c>
      <c r="F789" s="4">
        <f>IFERROR(__xludf.DUMMYFUNCTION("""COMPUTED_VALUE"""),4.0)</f>
        <v>4</v>
      </c>
      <c r="G789" s="4">
        <f>IFERROR(__xludf.DUMMYFUNCTION("""COMPUTED_VALUE"""),123.0)</f>
        <v>123</v>
      </c>
      <c r="H789" s="4">
        <f>IFERROR(__xludf.DUMMYFUNCTION("""COMPUTED_VALUE"""),1696.0)</f>
        <v>1696</v>
      </c>
      <c r="I789" s="4">
        <f>IFERROR(__xludf.DUMMYFUNCTION("""COMPUTED_VALUE"""),846.0)</f>
        <v>846</v>
      </c>
      <c r="J789" s="4">
        <f>IFERROR(__xludf.DUMMYFUNCTION("""COMPUTED_VALUE"""),225.0)</f>
        <v>225</v>
      </c>
      <c r="K789" s="4">
        <f>IFERROR(__xludf.DUMMYFUNCTION("""COMPUTED_VALUE"""),167.0)</f>
        <v>167</v>
      </c>
      <c r="L789" s="4">
        <f>IFERROR(__xludf.DUMMYFUNCTION("""COMPUTED_VALUE"""),0.417)</f>
        <v>0.417</v>
      </c>
      <c r="M789" s="4">
        <f>IFERROR(__xludf.DUMMYFUNCTION("""COMPUTED_VALUE"""),0.355)</f>
        <v>0.355</v>
      </c>
      <c r="N789" s="4">
        <f>IFERROR(__xludf.DUMMYFUNCTION("""COMPUTED_VALUE"""),0.772)</f>
        <v>0.772</v>
      </c>
      <c r="O789" s="4">
        <f>IFERROR(__xludf.DUMMYFUNCTION("""COMPUTED_VALUE"""),13.8)</f>
        <v>13.8</v>
      </c>
      <c r="P789" s="4">
        <f>IFERROR(__xludf.DUMMYFUNCTION("""COMPUTED_VALUE"""),6.9)</f>
        <v>6.9</v>
      </c>
      <c r="Q789" s="4">
        <f>IFERROR(__xludf.DUMMYFUNCTION("""COMPUTED_VALUE"""),1.8)</f>
        <v>1.8</v>
      </c>
      <c r="R789" s="4">
        <f>IFERROR(__xludf.DUMMYFUNCTION("""COMPUTED_VALUE"""),1.4)</f>
        <v>1.4</v>
      </c>
      <c r="S789" s="4">
        <f>IFERROR(__xludf.DUMMYFUNCTION("""COMPUTED_VALUE"""),1.7)</f>
        <v>1.7</v>
      </c>
      <c r="T789" s="4">
        <f>IFERROR(__xludf.DUMMYFUNCTION("""COMPUTED_VALUE"""),0.048)</f>
        <v>0.048</v>
      </c>
      <c r="U789" s="4">
        <f>IFERROR(__xludf.DUMMYFUNCTION("""COMPUTED_VALUE"""),-2.1)</f>
        <v>-2.1</v>
      </c>
      <c r="V789" s="4">
        <f>IFERROR(__xludf.DUMMYFUNCTION("""COMPUTED_VALUE"""),0.0)</f>
        <v>0</v>
      </c>
    </row>
    <row r="790">
      <c r="A790" s="4">
        <f>IFERROR(__xludf.DUMMYFUNCTION("""COMPUTED_VALUE"""),59.0)</f>
        <v>59</v>
      </c>
      <c r="B790" s="4">
        <f>IFERROR(__xludf.DUMMYFUNCTION("""COMPUTED_VALUE"""),59.0)</f>
        <v>59</v>
      </c>
      <c r="C790" s="4" t="str">
        <f>IFERROR(__xludf.DUMMYFUNCTION("""COMPUTED_VALUE"""),"TOR")</f>
        <v>TOR</v>
      </c>
      <c r="D790" s="4" t="str">
        <f>IFERROR(__xludf.DUMMYFUNCTION("""COMPUTED_VALUE"""),"Xavier Thames")</f>
        <v>Xavier Thames</v>
      </c>
      <c r="E790" s="4" t="str">
        <f>IFERROR(__xludf.DUMMYFUNCTION("""COMPUTED_VALUE"""),"San Diego State")</f>
        <v>San Diego State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>
        <f>IFERROR(__xludf.DUMMYFUNCTION("""COMPUTED_VALUE"""),60.0)</f>
        <v>60</v>
      </c>
      <c r="B791" s="4">
        <f>IFERROR(__xludf.DUMMYFUNCTION("""COMPUTED_VALUE"""),60.0)</f>
        <v>60</v>
      </c>
      <c r="C791" s="4" t="str">
        <f>IFERROR(__xludf.DUMMYFUNCTION("""COMPUTED_VALUE"""),"SAS")</f>
        <v>SAS</v>
      </c>
      <c r="D791" s="4" t="str">
        <f>IFERROR(__xludf.DUMMYFUNCTION("""COMPUTED_VALUE"""),"Cory Jefferson")</f>
        <v>Cory Jefferson</v>
      </c>
      <c r="E791" s="4" t="str">
        <f>IFERROR(__xludf.DUMMYFUNCTION("""COMPUTED_VALUE"""),"Baylor")</f>
        <v>Baylor</v>
      </c>
      <c r="F791" s="4">
        <f>IFERROR(__xludf.DUMMYFUNCTION("""COMPUTED_VALUE"""),2.0)</f>
        <v>2</v>
      </c>
      <c r="G791" s="4">
        <f>IFERROR(__xludf.DUMMYFUNCTION("""COMPUTED_VALUE"""),58.0)</f>
        <v>58</v>
      </c>
      <c r="H791" s="4">
        <f>IFERROR(__xludf.DUMMYFUNCTION("""COMPUTED_VALUE"""),581.0)</f>
        <v>581</v>
      </c>
      <c r="I791" s="4">
        <f>IFERROR(__xludf.DUMMYFUNCTION("""COMPUTED_VALUE"""),205.0)</f>
        <v>205</v>
      </c>
      <c r="J791" s="4">
        <f>IFERROR(__xludf.DUMMYFUNCTION("""COMPUTED_VALUE"""),161.0)</f>
        <v>161</v>
      </c>
      <c r="K791" s="4">
        <f>IFERROR(__xludf.DUMMYFUNCTION("""COMPUTED_VALUE"""),16.0)</f>
        <v>16</v>
      </c>
      <c r="L791" s="4">
        <f>IFERROR(__xludf.DUMMYFUNCTION("""COMPUTED_VALUE"""),0.444)</f>
        <v>0.444</v>
      </c>
      <c r="M791" s="4">
        <f>IFERROR(__xludf.DUMMYFUNCTION("""COMPUTED_VALUE"""),0.125)</f>
        <v>0.125</v>
      </c>
      <c r="N791" s="4">
        <f>IFERROR(__xludf.DUMMYFUNCTION("""COMPUTED_VALUE"""),0.583)</f>
        <v>0.583</v>
      </c>
      <c r="O791" s="4">
        <f>IFERROR(__xludf.DUMMYFUNCTION("""COMPUTED_VALUE"""),10.0)</f>
        <v>10</v>
      </c>
      <c r="P791" s="4">
        <f>IFERROR(__xludf.DUMMYFUNCTION("""COMPUTED_VALUE"""),3.5)</f>
        <v>3.5</v>
      </c>
      <c r="Q791" s="4">
        <f>IFERROR(__xludf.DUMMYFUNCTION("""COMPUTED_VALUE"""),2.8)</f>
        <v>2.8</v>
      </c>
      <c r="R791" s="4">
        <f>IFERROR(__xludf.DUMMYFUNCTION("""COMPUTED_VALUE"""),0.3)</f>
        <v>0.3</v>
      </c>
      <c r="S791" s="4">
        <f>IFERROR(__xludf.DUMMYFUNCTION("""COMPUTED_VALUE"""),0.9)</f>
        <v>0.9</v>
      </c>
      <c r="T791" s="4">
        <f>IFERROR(__xludf.DUMMYFUNCTION("""COMPUTED_VALUE"""),0.071)</f>
        <v>0.071</v>
      </c>
      <c r="U791" s="4">
        <f>IFERROR(__xludf.DUMMYFUNCTION("""COMPUTED_VALUE"""),-3.3)</f>
        <v>-3.3</v>
      </c>
      <c r="V791" s="4">
        <f>IFERROR(__xludf.DUMMYFUNCTION("""COMPUTED_VALUE"""),-0.2)</f>
        <v>-0.2</v>
      </c>
    </row>
    <row r="793">
      <c r="A793" s="2">
        <v>2013.0</v>
      </c>
    </row>
    <row r="794">
      <c r="A794" s="4" t="str">
        <f>IFERROR(__xludf.DUMMYFUNCTION("IMPORTHTML(""https://www.basketball-reference.com/draft/NBA_2013.html"", ""table"", 1)"),"")</f>
        <v/>
      </c>
      <c r="B794" s="4"/>
      <c r="C794" s="4"/>
      <c r="D794" s="4" t="str">
        <f>IFERROR(__xludf.DUMMYFUNCTION("""COMPUTED_VALUE"""),"Round 1")</f>
        <v>Round 1</v>
      </c>
      <c r="E794" s="4"/>
      <c r="F794" s="4"/>
      <c r="G794" s="4" t="str">
        <f>IFERROR(__xludf.DUMMYFUNCTION("""COMPUTED_VALUE"""),"Totals")</f>
        <v>Totals</v>
      </c>
      <c r="H794" s="4"/>
      <c r="I794" s="4"/>
      <c r="J794" s="4"/>
      <c r="K794" s="4"/>
      <c r="L794" s="4" t="str">
        <f>IFERROR(__xludf.DUMMYFUNCTION("""COMPUTED_VALUE"""),"Shooting")</f>
        <v>Shooting</v>
      </c>
      <c r="M794" s="4"/>
      <c r="N794" s="4"/>
      <c r="O794" s="4" t="str">
        <f>IFERROR(__xludf.DUMMYFUNCTION("""COMPUTED_VALUE"""),"Per Game")</f>
        <v>Per Game</v>
      </c>
      <c r="P794" s="4"/>
      <c r="Q794" s="4"/>
      <c r="R794" s="4"/>
      <c r="S794" s="4" t="str">
        <f>IFERROR(__xludf.DUMMYFUNCTION("""COMPUTED_VALUE"""),"Advanced")</f>
        <v>Advanced</v>
      </c>
      <c r="T794" s="4"/>
      <c r="U794" s="4"/>
      <c r="V794" s="4"/>
    </row>
    <row r="795">
      <c r="A795" s="4" t="str">
        <f>IFERROR(__xludf.DUMMYFUNCTION("""COMPUTED_VALUE"""),"Rk")</f>
        <v>Rk</v>
      </c>
      <c r="B795" s="4" t="str">
        <f>IFERROR(__xludf.DUMMYFUNCTION("""COMPUTED_VALUE"""),"Pk")</f>
        <v>Pk</v>
      </c>
      <c r="C795" s="4" t="str">
        <f>IFERROR(__xludf.DUMMYFUNCTION("""COMPUTED_VALUE"""),"Tm")</f>
        <v>Tm</v>
      </c>
      <c r="D795" s="4" t="str">
        <f>IFERROR(__xludf.DUMMYFUNCTION("""COMPUTED_VALUE"""),"Player")</f>
        <v>Player</v>
      </c>
      <c r="E795" s="4" t="str">
        <f>IFERROR(__xludf.DUMMYFUNCTION("""COMPUTED_VALUE"""),"College")</f>
        <v>College</v>
      </c>
      <c r="F795" s="4" t="str">
        <f>IFERROR(__xludf.DUMMYFUNCTION("""COMPUTED_VALUE"""),"Yrs")</f>
        <v>Yrs</v>
      </c>
      <c r="G795" s="4" t="str">
        <f>IFERROR(__xludf.DUMMYFUNCTION("""COMPUTED_VALUE"""),"G")</f>
        <v>G</v>
      </c>
      <c r="H795" s="4" t="str">
        <f>IFERROR(__xludf.DUMMYFUNCTION("""COMPUTED_VALUE"""),"MP")</f>
        <v>MP</v>
      </c>
      <c r="I795" s="4" t="str">
        <f>IFERROR(__xludf.DUMMYFUNCTION("""COMPUTED_VALUE"""),"PTS")</f>
        <v>PTS</v>
      </c>
      <c r="J795" s="4" t="str">
        <f>IFERROR(__xludf.DUMMYFUNCTION("""COMPUTED_VALUE"""),"TRB")</f>
        <v>TRB</v>
      </c>
      <c r="K795" s="4" t="str">
        <f>IFERROR(__xludf.DUMMYFUNCTION("""COMPUTED_VALUE"""),"AST")</f>
        <v>AST</v>
      </c>
      <c r="L795" s="4" t="str">
        <f>IFERROR(__xludf.DUMMYFUNCTION("""COMPUTED_VALUE"""),"FG%")</f>
        <v>FG%</v>
      </c>
      <c r="M795" s="4" t="str">
        <f>IFERROR(__xludf.DUMMYFUNCTION("""COMPUTED_VALUE"""),"3P%")</f>
        <v>3P%</v>
      </c>
      <c r="N795" s="4" t="str">
        <f>IFERROR(__xludf.DUMMYFUNCTION("""COMPUTED_VALUE"""),"FT%")</f>
        <v>FT%</v>
      </c>
      <c r="O795" s="4" t="str">
        <f>IFERROR(__xludf.DUMMYFUNCTION("""COMPUTED_VALUE"""),"MP")</f>
        <v>MP</v>
      </c>
      <c r="P795" s="4" t="str">
        <f>IFERROR(__xludf.DUMMYFUNCTION("""COMPUTED_VALUE"""),"PTS")</f>
        <v>PTS</v>
      </c>
      <c r="Q795" s="4" t="str">
        <f>IFERROR(__xludf.DUMMYFUNCTION("""COMPUTED_VALUE"""),"TRB")</f>
        <v>TRB</v>
      </c>
      <c r="R795" s="4" t="str">
        <f>IFERROR(__xludf.DUMMYFUNCTION("""COMPUTED_VALUE"""),"AST")</f>
        <v>AST</v>
      </c>
      <c r="S795" s="4" t="str">
        <f>IFERROR(__xludf.DUMMYFUNCTION("""COMPUTED_VALUE"""),"WS")</f>
        <v>WS</v>
      </c>
      <c r="T795" s="4" t="str">
        <f>IFERROR(__xludf.DUMMYFUNCTION("""COMPUTED_VALUE"""),"WS/48")</f>
        <v>WS/48</v>
      </c>
      <c r="U795" s="4" t="str">
        <f>IFERROR(__xludf.DUMMYFUNCTION("""COMPUTED_VALUE"""),"BPM")</f>
        <v>BPM</v>
      </c>
      <c r="V795" s="4" t="str">
        <f>IFERROR(__xludf.DUMMYFUNCTION("""COMPUTED_VALUE"""),"VORP")</f>
        <v>VORP</v>
      </c>
    </row>
    <row r="796">
      <c r="A796" s="4">
        <f>IFERROR(__xludf.DUMMYFUNCTION("""COMPUTED_VALUE"""),1.0)</f>
        <v>1</v>
      </c>
      <c r="B796" s="4">
        <f>IFERROR(__xludf.DUMMYFUNCTION("""COMPUTED_VALUE"""),1.0)</f>
        <v>1</v>
      </c>
      <c r="C796" s="4" t="str">
        <f>IFERROR(__xludf.DUMMYFUNCTION("""COMPUTED_VALUE"""),"CLE")</f>
        <v>CLE</v>
      </c>
      <c r="D796" s="4" t="str">
        <f>IFERROR(__xludf.DUMMYFUNCTION("""COMPUTED_VALUE"""),"Anthony Bennett")</f>
        <v>Anthony Bennett</v>
      </c>
      <c r="E796" s="4" t="str">
        <f>IFERROR(__xludf.DUMMYFUNCTION("""COMPUTED_VALUE"""),"UNLV")</f>
        <v>UNLV</v>
      </c>
      <c r="F796" s="4">
        <f>IFERROR(__xludf.DUMMYFUNCTION("""COMPUTED_VALUE"""),4.0)</f>
        <v>4</v>
      </c>
      <c r="G796" s="4">
        <f>IFERROR(__xludf.DUMMYFUNCTION("""COMPUTED_VALUE"""),151.0)</f>
        <v>151</v>
      </c>
      <c r="H796" s="4">
        <f>IFERROR(__xludf.DUMMYFUNCTION("""COMPUTED_VALUE"""),1905.0)</f>
        <v>1905</v>
      </c>
      <c r="I796" s="4">
        <f>IFERROR(__xludf.DUMMYFUNCTION("""COMPUTED_VALUE"""),658.0)</f>
        <v>658</v>
      </c>
      <c r="J796" s="4">
        <f>IFERROR(__xludf.DUMMYFUNCTION("""COMPUTED_VALUE"""),472.0)</f>
        <v>472</v>
      </c>
      <c r="K796" s="4">
        <f>IFERROR(__xludf.DUMMYFUNCTION("""COMPUTED_VALUE"""),77.0)</f>
        <v>77</v>
      </c>
      <c r="L796" s="4">
        <f>IFERROR(__xludf.DUMMYFUNCTION("""COMPUTED_VALUE"""),0.392)</f>
        <v>0.392</v>
      </c>
      <c r="M796" s="4">
        <f>IFERROR(__xludf.DUMMYFUNCTION("""COMPUTED_VALUE"""),0.261)</f>
        <v>0.261</v>
      </c>
      <c r="N796" s="4">
        <f>IFERROR(__xludf.DUMMYFUNCTION("""COMPUTED_VALUE"""),0.67)</f>
        <v>0.67</v>
      </c>
      <c r="O796" s="4">
        <f>IFERROR(__xludf.DUMMYFUNCTION("""COMPUTED_VALUE"""),12.6)</f>
        <v>12.6</v>
      </c>
      <c r="P796" s="4">
        <f>IFERROR(__xludf.DUMMYFUNCTION("""COMPUTED_VALUE"""),4.4)</f>
        <v>4.4</v>
      </c>
      <c r="Q796" s="4">
        <f>IFERROR(__xludf.DUMMYFUNCTION("""COMPUTED_VALUE"""),3.1)</f>
        <v>3.1</v>
      </c>
      <c r="R796" s="4">
        <f>IFERROR(__xludf.DUMMYFUNCTION("""COMPUTED_VALUE"""),0.5)</f>
        <v>0.5</v>
      </c>
      <c r="S796" s="4">
        <f>IFERROR(__xludf.DUMMYFUNCTION("""COMPUTED_VALUE"""),0.5)</f>
        <v>0.5</v>
      </c>
      <c r="T796" s="4">
        <f>IFERROR(__xludf.DUMMYFUNCTION("""COMPUTED_VALUE"""),0.013)</f>
        <v>0.013</v>
      </c>
      <c r="U796" s="4">
        <f>IFERROR(__xludf.DUMMYFUNCTION("""COMPUTED_VALUE"""),-4.8)</f>
        <v>-4.8</v>
      </c>
      <c r="V796" s="4">
        <f>IFERROR(__xludf.DUMMYFUNCTION("""COMPUTED_VALUE"""),-1.3)</f>
        <v>-1.3</v>
      </c>
    </row>
    <row r="797">
      <c r="A797" s="4">
        <f>IFERROR(__xludf.DUMMYFUNCTION("""COMPUTED_VALUE"""),2.0)</f>
        <v>2</v>
      </c>
      <c r="B797" s="4">
        <f>IFERROR(__xludf.DUMMYFUNCTION("""COMPUTED_VALUE"""),2.0)</f>
        <v>2</v>
      </c>
      <c r="C797" s="4" t="str">
        <f>IFERROR(__xludf.DUMMYFUNCTION("""COMPUTED_VALUE"""),"ORL")</f>
        <v>ORL</v>
      </c>
      <c r="D797" s="4" t="str">
        <f>IFERROR(__xludf.DUMMYFUNCTION("""COMPUTED_VALUE"""),"Victor Oladipo")</f>
        <v>Victor Oladipo</v>
      </c>
      <c r="E797" s="4" t="str">
        <f>IFERROR(__xludf.DUMMYFUNCTION("""COMPUTED_VALUE"""),"Indiana")</f>
        <v>Indiana</v>
      </c>
      <c r="F797" s="4">
        <f>IFERROR(__xludf.DUMMYFUNCTION("""COMPUTED_VALUE"""),10.0)</f>
        <v>10</v>
      </c>
      <c r="G797" s="4">
        <f>IFERROR(__xludf.DUMMYFUNCTION("""COMPUTED_VALUE"""),504.0)</f>
        <v>504</v>
      </c>
      <c r="H797" s="4">
        <f>IFERROR(__xludf.DUMMYFUNCTION("""COMPUTED_VALUE"""),16247.0)</f>
        <v>16247</v>
      </c>
      <c r="I797" s="4">
        <f>IFERROR(__xludf.DUMMYFUNCTION("""COMPUTED_VALUE"""),8503.0)</f>
        <v>8503</v>
      </c>
      <c r="J797" s="4">
        <f>IFERROR(__xludf.DUMMYFUNCTION("""COMPUTED_VALUE"""),2245.0)</f>
        <v>2245</v>
      </c>
      <c r="K797" s="4">
        <f>IFERROR(__xludf.DUMMYFUNCTION("""COMPUTED_VALUE"""),1970.0)</f>
        <v>1970</v>
      </c>
      <c r="L797" s="4">
        <f>IFERROR(__xludf.DUMMYFUNCTION("""COMPUTED_VALUE"""),0.436)</f>
        <v>0.436</v>
      </c>
      <c r="M797" s="4">
        <f>IFERROR(__xludf.DUMMYFUNCTION("""COMPUTED_VALUE"""),0.347)</f>
        <v>0.347</v>
      </c>
      <c r="N797" s="4">
        <f>IFERROR(__xludf.DUMMYFUNCTION("""COMPUTED_VALUE"""),0.788)</f>
        <v>0.788</v>
      </c>
      <c r="O797" s="4">
        <f>IFERROR(__xludf.DUMMYFUNCTION("""COMPUTED_VALUE"""),32.2)</f>
        <v>32.2</v>
      </c>
      <c r="P797" s="4">
        <f>IFERROR(__xludf.DUMMYFUNCTION("""COMPUTED_VALUE"""),16.9)</f>
        <v>16.9</v>
      </c>
      <c r="Q797" s="4">
        <f>IFERROR(__xludf.DUMMYFUNCTION("""COMPUTED_VALUE"""),4.5)</f>
        <v>4.5</v>
      </c>
      <c r="R797" s="4">
        <f>IFERROR(__xludf.DUMMYFUNCTION("""COMPUTED_VALUE"""),3.9)</f>
        <v>3.9</v>
      </c>
      <c r="S797" s="4">
        <f>IFERROR(__xludf.DUMMYFUNCTION("""COMPUTED_VALUE"""),25.6)</f>
        <v>25.6</v>
      </c>
      <c r="T797" s="4">
        <f>IFERROR(__xludf.DUMMYFUNCTION("""COMPUTED_VALUE"""),0.076)</f>
        <v>0.076</v>
      </c>
      <c r="U797" s="4">
        <f>IFERROR(__xludf.DUMMYFUNCTION("""COMPUTED_VALUE"""),0.7)</f>
        <v>0.7</v>
      </c>
      <c r="V797" s="4">
        <f>IFERROR(__xludf.DUMMYFUNCTION("""COMPUTED_VALUE"""),11.0)</f>
        <v>11</v>
      </c>
    </row>
    <row r="798">
      <c r="A798" s="4">
        <f>IFERROR(__xludf.DUMMYFUNCTION("""COMPUTED_VALUE"""),3.0)</f>
        <v>3</v>
      </c>
      <c r="B798" s="4">
        <f>IFERROR(__xludf.DUMMYFUNCTION("""COMPUTED_VALUE"""),3.0)</f>
        <v>3</v>
      </c>
      <c r="C798" s="4" t="str">
        <f>IFERROR(__xludf.DUMMYFUNCTION("""COMPUTED_VALUE"""),"WAS")</f>
        <v>WAS</v>
      </c>
      <c r="D798" s="4" t="str">
        <f>IFERROR(__xludf.DUMMYFUNCTION("""COMPUTED_VALUE"""),"Otto Porter Jr.")</f>
        <v>Otto Porter Jr.</v>
      </c>
      <c r="E798" s="4" t="str">
        <f>IFERROR(__xludf.DUMMYFUNCTION("""COMPUTED_VALUE"""),"Georgetown")</f>
        <v>Georgetown</v>
      </c>
      <c r="F798" s="4">
        <f>IFERROR(__xludf.DUMMYFUNCTION("""COMPUTED_VALUE"""),11.0)</f>
        <v>11</v>
      </c>
      <c r="G798" s="4">
        <f>IFERROR(__xludf.DUMMYFUNCTION("""COMPUTED_VALUE"""),527.0)</f>
        <v>527</v>
      </c>
      <c r="H798" s="4">
        <f>IFERROR(__xludf.DUMMYFUNCTION("""COMPUTED_VALUE"""),13400.0)</f>
        <v>13400</v>
      </c>
      <c r="I798" s="4">
        <f>IFERROR(__xludf.DUMMYFUNCTION("""COMPUTED_VALUE"""),5419.0)</f>
        <v>5419</v>
      </c>
      <c r="J798" s="4">
        <f>IFERROR(__xludf.DUMMYFUNCTION("""COMPUTED_VALUE"""),2599.0)</f>
        <v>2599</v>
      </c>
      <c r="K798" s="4">
        <f>IFERROR(__xludf.DUMMYFUNCTION("""COMPUTED_VALUE"""),783.0)</f>
        <v>783</v>
      </c>
      <c r="L798" s="4">
        <f>IFERROR(__xludf.DUMMYFUNCTION("""COMPUTED_VALUE"""),0.477)</f>
        <v>0.477</v>
      </c>
      <c r="M798" s="4">
        <f>IFERROR(__xludf.DUMMYFUNCTION("""COMPUTED_VALUE"""),0.397)</f>
        <v>0.397</v>
      </c>
      <c r="N798" s="4">
        <f>IFERROR(__xludf.DUMMYFUNCTION("""COMPUTED_VALUE"""),0.797)</f>
        <v>0.797</v>
      </c>
      <c r="O798" s="4">
        <f>IFERROR(__xludf.DUMMYFUNCTION("""COMPUTED_VALUE"""),25.4)</f>
        <v>25.4</v>
      </c>
      <c r="P798" s="4">
        <f>IFERROR(__xludf.DUMMYFUNCTION("""COMPUTED_VALUE"""),10.3)</f>
        <v>10.3</v>
      </c>
      <c r="Q798" s="4">
        <f>IFERROR(__xludf.DUMMYFUNCTION("""COMPUTED_VALUE"""),4.9)</f>
        <v>4.9</v>
      </c>
      <c r="R798" s="4">
        <f>IFERROR(__xludf.DUMMYFUNCTION("""COMPUTED_VALUE"""),1.5)</f>
        <v>1.5</v>
      </c>
      <c r="S798" s="4">
        <f>IFERROR(__xludf.DUMMYFUNCTION("""COMPUTED_VALUE"""),36.7)</f>
        <v>36.7</v>
      </c>
      <c r="T798" s="4">
        <f>IFERROR(__xludf.DUMMYFUNCTION("""COMPUTED_VALUE"""),0.132)</f>
        <v>0.132</v>
      </c>
      <c r="U798" s="4">
        <f>IFERROR(__xludf.DUMMYFUNCTION("""COMPUTED_VALUE"""),1.7)</f>
        <v>1.7</v>
      </c>
      <c r="V798" s="4">
        <f>IFERROR(__xludf.DUMMYFUNCTION("""COMPUTED_VALUE"""),12.5)</f>
        <v>12.5</v>
      </c>
    </row>
    <row r="799">
      <c r="A799" s="4">
        <f>IFERROR(__xludf.DUMMYFUNCTION("""COMPUTED_VALUE"""),4.0)</f>
        <v>4</v>
      </c>
      <c r="B799" s="4">
        <f>IFERROR(__xludf.DUMMYFUNCTION("""COMPUTED_VALUE"""),4.0)</f>
        <v>4</v>
      </c>
      <c r="C799" s="4" t="str">
        <f>IFERROR(__xludf.DUMMYFUNCTION("""COMPUTED_VALUE"""),"CHA")</f>
        <v>CHA</v>
      </c>
      <c r="D799" s="4" t="str">
        <f>IFERROR(__xludf.DUMMYFUNCTION("""COMPUTED_VALUE"""),"Cody Zeller")</f>
        <v>Cody Zeller</v>
      </c>
      <c r="E799" s="4" t="str">
        <f>IFERROR(__xludf.DUMMYFUNCTION("""COMPUTED_VALUE"""),"Indiana")</f>
        <v>Indiana</v>
      </c>
      <c r="F799" s="4">
        <f>IFERROR(__xludf.DUMMYFUNCTION("""COMPUTED_VALUE"""),11.0)</f>
        <v>11</v>
      </c>
      <c r="G799" s="4">
        <f>IFERROR(__xludf.DUMMYFUNCTION("""COMPUTED_VALUE"""),552.0)</f>
        <v>552</v>
      </c>
      <c r="H799" s="4">
        <f>IFERROR(__xludf.DUMMYFUNCTION("""COMPUTED_VALUE"""),11510.0)</f>
        <v>11510</v>
      </c>
      <c r="I799" s="4">
        <f>IFERROR(__xludf.DUMMYFUNCTION("""COMPUTED_VALUE"""),4376.0)</f>
        <v>4376</v>
      </c>
      <c r="J799" s="4">
        <f>IFERROR(__xludf.DUMMYFUNCTION("""COMPUTED_VALUE"""),3125.0)</f>
        <v>3125</v>
      </c>
      <c r="K799" s="4">
        <f>IFERROR(__xludf.DUMMYFUNCTION("""COMPUTED_VALUE"""),740.0)</f>
        <v>740</v>
      </c>
      <c r="L799" s="4">
        <f>IFERROR(__xludf.DUMMYFUNCTION("""COMPUTED_VALUE"""),0.52)</f>
        <v>0.52</v>
      </c>
      <c r="M799" s="4">
        <f>IFERROR(__xludf.DUMMYFUNCTION("""COMPUTED_VALUE"""),0.22)</f>
        <v>0.22</v>
      </c>
      <c r="N799" s="4">
        <f>IFERROR(__xludf.DUMMYFUNCTION("""COMPUTED_VALUE"""),0.727)</f>
        <v>0.727</v>
      </c>
      <c r="O799" s="4">
        <f>IFERROR(__xludf.DUMMYFUNCTION("""COMPUTED_VALUE"""),20.9)</f>
        <v>20.9</v>
      </c>
      <c r="P799" s="4">
        <f>IFERROR(__xludf.DUMMYFUNCTION("""COMPUTED_VALUE"""),7.9)</f>
        <v>7.9</v>
      </c>
      <c r="Q799" s="4">
        <f>IFERROR(__xludf.DUMMYFUNCTION("""COMPUTED_VALUE"""),5.7)</f>
        <v>5.7</v>
      </c>
      <c r="R799" s="4">
        <f>IFERROR(__xludf.DUMMYFUNCTION("""COMPUTED_VALUE"""),1.3)</f>
        <v>1.3</v>
      </c>
      <c r="S799" s="4">
        <f>IFERROR(__xludf.DUMMYFUNCTION("""COMPUTED_VALUE"""),33.5)</f>
        <v>33.5</v>
      </c>
      <c r="T799" s="4">
        <f>IFERROR(__xludf.DUMMYFUNCTION("""COMPUTED_VALUE"""),0.14)</f>
        <v>0.14</v>
      </c>
      <c r="U799" s="4">
        <f>IFERROR(__xludf.DUMMYFUNCTION("""COMPUTED_VALUE"""),-0.7)</f>
        <v>-0.7</v>
      </c>
      <c r="V799" s="4">
        <f>IFERROR(__xludf.DUMMYFUNCTION("""COMPUTED_VALUE"""),3.9)</f>
        <v>3.9</v>
      </c>
    </row>
    <row r="800">
      <c r="A800" s="4">
        <f>IFERROR(__xludf.DUMMYFUNCTION("""COMPUTED_VALUE"""),5.0)</f>
        <v>5</v>
      </c>
      <c r="B800" s="4">
        <f>IFERROR(__xludf.DUMMYFUNCTION("""COMPUTED_VALUE"""),5.0)</f>
        <v>5</v>
      </c>
      <c r="C800" s="4" t="str">
        <f>IFERROR(__xludf.DUMMYFUNCTION("""COMPUTED_VALUE"""),"PHO")</f>
        <v>PHO</v>
      </c>
      <c r="D800" s="4" t="str">
        <f>IFERROR(__xludf.DUMMYFUNCTION("""COMPUTED_VALUE"""),"Alex Len")</f>
        <v>Alex Len</v>
      </c>
      <c r="E800" s="4" t="str">
        <f>IFERROR(__xludf.DUMMYFUNCTION("""COMPUTED_VALUE"""),"Maryland")</f>
        <v>Maryland</v>
      </c>
      <c r="F800" s="4">
        <f>IFERROR(__xludf.DUMMYFUNCTION("""COMPUTED_VALUE"""),12.0)</f>
        <v>12</v>
      </c>
      <c r="G800" s="4">
        <f>IFERROR(__xludf.DUMMYFUNCTION("""COMPUTED_VALUE"""),690.0)</f>
        <v>690</v>
      </c>
      <c r="H800" s="4">
        <f>IFERROR(__xludf.DUMMYFUNCTION("""COMPUTED_VALUE"""),11754.0)</f>
        <v>11754</v>
      </c>
      <c r="I800" s="4">
        <f>IFERROR(__xludf.DUMMYFUNCTION("""COMPUTED_VALUE"""),4608.0)</f>
        <v>4608</v>
      </c>
      <c r="J800" s="4">
        <f>IFERROR(__xludf.DUMMYFUNCTION("""COMPUTED_VALUE"""),3624.0)</f>
        <v>3624</v>
      </c>
      <c r="K800" s="4">
        <f>IFERROR(__xludf.DUMMYFUNCTION("""COMPUTED_VALUE"""),589.0)</f>
        <v>589</v>
      </c>
      <c r="L800" s="4">
        <f>IFERROR(__xludf.DUMMYFUNCTION("""COMPUTED_VALUE"""),0.51)</f>
        <v>0.51</v>
      </c>
      <c r="M800" s="4">
        <f>IFERROR(__xludf.DUMMYFUNCTION("""COMPUTED_VALUE"""),0.322)</f>
        <v>0.322</v>
      </c>
      <c r="N800" s="4">
        <f>IFERROR(__xludf.DUMMYFUNCTION("""COMPUTED_VALUE"""),0.678)</f>
        <v>0.678</v>
      </c>
      <c r="O800" s="4">
        <f>IFERROR(__xludf.DUMMYFUNCTION("""COMPUTED_VALUE"""),17.0)</f>
        <v>17</v>
      </c>
      <c r="P800" s="4">
        <f>IFERROR(__xludf.DUMMYFUNCTION("""COMPUTED_VALUE"""),6.7)</f>
        <v>6.7</v>
      </c>
      <c r="Q800" s="4">
        <f>IFERROR(__xludf.DUMMYFUNCTION("""COMPUTED_VALUE"""),5.3)</f>
        <v>5.3</v>
      </c>
      <c r="R800" s="4">
        <f>IFERROR(__xludf.DUMMYFUNCTION("""COMPUTED_VALUE"""),0.9)</f>
        <v>0.9</v>
      </c>
      <c r="S800" s="4">
        <f>IFERROR(__xludf.DUMMYFUNCTION("""COMPUTED_VALUE"""),23.9)</f>
        <v>23.9</v>
      </c>
      <c r="T800" s="4">
        <f>IFERROR(__xludf.DUMMYFUNCTION("""COMPUTED_VALUE"""),0.097)</f>
        <v>0.097</v>
      </c>
      <c r="U800" s="4">
        <f>IFERROR(__xludf.DUMMYFUNCTION("""COMPUTED_VALUE"""),-1.9)</f>
        <v>-1.9</v>
      </c>
      <c r="V800" s="4">
        <f>IFERROR(__xludf.DUMMYFUNCTION("""COMPUTED_VALUE"""),0.3)</f>
        <v>0.3</v>
      </c>
    </row>
    <row r="801">
      <c r="A801" s="4">
        <f>IFERROR(__xludf.DUMMYFUNCTION("""COMPUTED_VALUE"""),6.0)</f>
        <v>6</v>
      </c>
      <c r="B801" s="4">
        <f>IFERROR(__xludf.DUMMYFUNCTION("""COMPUTED_VALUE"""),6.0)</f>
        <v>6</v>
      </c>
      <c r="C801" s="4" t="str">
        <f>IFERROR(__xludf.DUMMYFUNCTION("""COMPUTED_VALUE"""),"NOH")</f>
        <v>NOH</v>
      </c>
      <c r="D801" s="4" t="str">
        <f>IFERROR(__xludf.DUMMYFUNCTION("""COMPUTED_VALUE"""),"Nerlens Noel")</f>
        <v>Nerlens Noel</v>
      </c>
      <c r="E801" s="4" t="str">
        <f>IFERROR(__xludf.DUMMYFUNCTION("""COMPUTED_VALUE"""),"Kentucky")</f>
        <v>Kentucky</v>
      </c>
      <c r="F801" s="4">
        <f>IFERROR(__xludf.DUMMYFUNCTION("""COMPUTED_VALUE"""),9.0)</f>
        <v>9</v>
      </c>
      <c r="G801" s="4">
        <f>IFERROR(__xludf.DUMMYFUNCTION("""COMPUTED_VALUE"""),467.0)</f>
        <v>467</v>
      </c>
      <c r="H801" s="4">
        <f>IFERROR(__xludf.DUMMYFUNCTION("""COMPUTED_VALUE"""),10281.0)</f>
        <v>10281</v>
      </c>
      <c r="I801" s="4">
        <f>IFERROR(__xludf.DUMMYFUNCTION("""COMPUTED_VALUE"""),3338.0)</f>
        <v>3338</v>
      </c>
      <c r="J801" s="4">
        <f>IFERROR(__xludf.DUMMYFUNCTION("""COMPUTED_VALUE"""),2835.0)</f>
        <v>2835</v>
      </c>
      <c r="K801" s="4">
        <f>IFERROR(__xludf.DUMMYFUNCTION("""COMPUTED_VALUE"""),501.0)</f>
        <v>501</v>
      </c>
      <c r="L801" s="4">
        <f>IFERROR(__xludf.DUMMYFUNCTION("""COMPUTED_VALUE"""),0.546)</f>
        <v>0.546</v>
      </c>
      <c r="M801" s="4">
        <f>IFERROR(__xludf.DUMMYFUNCTION("""COMPUTED_VALUE"""),0.2)</f>
        <v>0.2</v>
      </c>
      <c r="N801" s="4">
        <f>IFERROR(__xludf.DUMMYFUNCTION("""COMPUTED_VALUE"""),0.655)</f>
        <v>0.655</v>
      </c>
      <c r="O801" s="4">
        <f>IFERROR(__xludf.DUMMYFUNCTION("""COMPUTED_VALUE"""),22.0)</f>
        <v>22</v>
      </c>
      <c r="P801" s="4">
        <f>IFERROR(__xludf.DUMMYFUNCTION("""COMPUTED_VALUE"""),7.1)</f>
        <v>7.1</v>
      </c>
      <c r="Q801" s="4">
        <f>IFERROR(__xludf.DUMMYFUNCTION("""COMPUTED_VALUE"""),6.1)</f>
        <v>6.1</v>
      </c>
      <c r="R801" s="4">
        <f>IFERROR(__xludf.DUMMYFUNCTION("""COMPUTED_VALUE"""),1.1)</f>
        <v>1.1</v>
      </c>
      <c r="S801" s="4">
        <f>IFERROR(__xludf.DUMMYFUNCTION("""COMPUTED_VALUE"""),28.3)</f>
        <v>28.3</v>
      </c>
      <c r="T801" s="4">
        <f>IFERROR(__xludf.DUMMYFUNCTION("""COMPUTED_VALUE"""),0.132)</f>
        <v>0.132</v>
      </c>
      <c r="U801" s="4">
        <f>IFERROR(__xludf.DUMMYFUNCTION("""COMPUTED_VALUE"""),0.9)</f>
        <v>0.9</v>
      </c>
      <c r="V801" s="4">
        <f>IFERROR(__xludf.DUMMYFUNCTION("""COMPUTED_VALUE"""),7.4)</f>
        <v>7.4</v>
      </c>
    </row>
    <row r="802">
      <c r="A802" s="4">
        <f>IFERROR(__xludf.DUMMYFUNCTION("""COMPUTED_VALUE"""),7.0)</f>
        <v>7</v>
      </c>
      <c r="B802" s="4">
        <f>IFERROR(__xludf.DUMMYFUNCTION("""COMPUTED_VALUE"""),7.0)</f>
        <v>7</v>
      </c>
      <c r="C802" s="4" t="str">
        <f>IFERROR(__xludf.DUMMYFUNCTION("""COMPUTED_VALUE"""),"SAC")</f>
        <v>SAC</v>
      </c>
      <c r="D802" s="4" t="str">
        <f>IFERROR(__xludf.DUMMYFUNCTION("""COMPUTED_VALUE"""),"Ben McLemore")</f>
        <v>Ben McLemore</v>
      </c>
      <c r="E802" s="4" t="str">
        <f>IFERROR(__xludf.DUMMYFUNCTION("""COMPUTED_VALUE"""),"Kansas")</f>
        <v>Kansas</v>
      </c>
      <c r="F802" s="4">
        <f>IFERROR(__xludf.DUMMYFUNCTION("""COMPUTED_VALUE"""),9.0)</f>
        <v>9</v>
      </c>
      <c r="G802" s="4">
        <f>IFERROR(__xludf.DUMMYFUNCTION("""COMPUTED_VALUE"""),556.0)</f>
        <v>556</v>
      </c>
      <c r="H802" s="4">
        <f>IFERROR(__xludf.DUMMYFUNCTION("""COMPUTED_VALUE"""),12534.0)</f>
        <v>12534</v>
      </c>
      <c r="I802" s="4">
        <f>IFERROR(__xludf.DUMMYFUNCTION("""COMPUTED_VALUE"""),5015.0)</f>
        <v>5015</v>
      </c>
      <c r="J802" s="4">
        <f>IFERROR(__xludf.DUMMYFUNCTION("""COMPUTED_VALUE"""),1269.0)</f>
        <v>1269</v>
      </c>
      <c r="K802" s="4">
        <f>IFERROR(__xludf.DUMMYFUNCTION("""COMPUTED_VALUE"""),563.0)</f>
        <v>563</v>
      </c>
      <c r="L802" s="4">
        <f>IFERROR(__xludf.DUMMYFUNCTION("""COMPUTED_VALUE"""),0.414)</f>
        <v>0.414</v>
      </c>
      <c r="M802" s="4">
        <f>IFERROR(__xludf.DUMMYFUNCTION("""COMPUTED_VALUE"""),0.363)</f>
        <v>0.363</v>
      </c>
      <c r="N802" s="4">
        <f>IFERROR(__xludf.DUMMYFUNCTION("""COMPUTED_VALUE"""),0.78)</f>
        <v>0.78</v>
      </c>
      <c r="O802" s="4">
        <f>IFERROR(__xludf.DUMMYFUNCTION("""COMPUTED_VALUE"""),22.5)</f>
        <v>22.5</v>
      </c>
      <c r="P802" s="4">
        <f>IFERROR(__xludf.DUMMYFUNCTION("""COMPUTED_VALUE"""),9.0)</f>
        <v>9</v>
      </c>
      <c r="Q802" s="4">
        <f>IFERROR(__xludf.DUMMYFUNCTION("""COMPUTED_VALUE"""),2.3)</f>
        <v>2.3</v>
      </c>
      <c r="R802" s="4">
        <f>IFERROR(__xludf.DUMMYFUNCTION("""COMPUTED_VALUE"""),1.0)</f>
        <v>1</v>
      </c>
      <c r="S802" s="4">
        <f>IFERROR(__xludf.DUMMYFUNCTION("""COMPUTED_VALUE"""),9.0)</f>
        <v>9</v>
      </c>
      <c r="T802" s="4">
        <f>IFERROR(__xludf.DUMMYFUNCTION("""COMPUTED_VALUE"""),0.035)</f>
        <v>0.035</v>
      </c>
      <c r="U802" s="4">
        <f>IFERROR(__xludf.DUMMYFUNCTION("""COMPUTED_VALUE"""),-3.1)</f>
        <v>-3.1</v>
      </c>
      <c r="V802" s="4">
        <f>IFERROR(__xludf.DUMMYFUNCTION("""COMPUTED_VALUE"""),-3.4)</f>
        <v>-3.4</v>
      </c>
    </row>
    <row r="803">
      <c r="A803" s="4">
        <f>IFERROR(__xludf.DUMMYFUNCTION("""COMPUTED_VALUE"""),8.0)</f>
        <v>8</v>
      </c>
      <c r="B803" s="4">
        <f>IFERROR(__xludf.DUMMYFUNCTION("""COMPUTED_VALUE"""),8.0)</f>
        <v>8</v>
      </c>
      <c r="C803" s="4" t="str">
        <f>IFERROR(__xludf.DUMMYFUNCTION("""COMPUTED_VALUE"""),"DET")</f>
        <v>DET</v>
      </c>
      <c r="D803" s="4" t="str">
        <f>IFERROR(__xludf.DUMMYFUNCTION("""COMPUTED_VALUE"""),"Kentavious Caldwell-Pope")</f>
        <v>Kentavious Caldwell-Pope</v>
      </c>
      <c r="E803" s="4" t="str">
        <f>IFERROR(__xludf.DUMMYFUNCTION("""COMPUTED_VALUE"""),"Georgia")</f>
        <v>Georgia</v>
      </c>
      <c r="F803" s="4">
        <f>IFERROR(__xludf.DUMMYFUNCTION("""COMPUTED_VALUE"""),13.0)</f>
        <v>13</v>
      </c>
      <c r="G803" s="4">
        <f>IFERROR(__xludf.DUMMYFUNCTION("""COMPUTED_VALUE"""),934.0)</f>
        <v>934</v>
      </c>
      <c r="H803" s="4">
        <f>IFERROR(__xludf.DUMMYFUNCTION("""COMPUTED_VALUE"""),27519.0)</f>
        <v>27519</v>
      </c>
      <c r="I803" s="4">
        <f>IFERROR(__xludf.DUMMYFUNCTION("""COMPUTED_VALUE"""),10334.0)</f>
        <v>10334</v>
      </c>
      <c r="J803" s="4">
        <f>IFERROR(__xludf.DUMMYFUNCTION("""COMPUTED_VALUE"""),2761.0)</f>
        <v>2761</v>
      </c>
      <c r="K803" s="4">
        <f>IFERROR(__xludf.DUMMYFUNCTION("""COMPUTED_VALUE"""),1717.0)</f>
        <v>1717</v>
      </c>
      <c r="L803" s="4">
        <f>IFERROR(__xludf.DUMMYFUNCTION("""COMPUTED_VALUE"""),0.427)</f>
        <v>0.427</v>
      </c>
      <c r="M803" s="4">
        <f>IFERROR(__xludf.DUMMYFUNCTION("""COMPUTED_VALUE"""),0.366)</f>
        <v>0.366</v>
      </c>
      <c r="N803" s="4">
        <f>IFERROR(__xludf.DUMMYFUNCTION("""COMPUTED_VALUE"""),0.824)</f>
        <v>0.824</v>
      </c>
      <c r="O803" s="4">
        <f>IFERROR(__xludf.DUMMYFUNCTION("""COMPUTED_VALUE"""),29.5)</f>
        <v>29.5</v>
      </c>
      <c r="P803" s="4">
        <f>IFERROR(__xludf.DUMMYFUNCTION("""COMPUTED_VALUE"""),11.1)</f>
        <v>11.1</v>
      </c>
      <c r="Q803" s="4">
        <f>IFERROR(__xludf.DUMMYFUNCTION("""COMPUTED_VALUE"""),3.0)</f>
        <v>3</v>
      </c>
      <c r="R803" s="4">
        <f>IFERROR(__xludf.DUMMYFUNCTION("""COMPUTED_VALUE"""),1.8)</f>
        <v>1.8</v>
      </c>
      <c r="S803" s="4">
        <f>IFERROR(__xludf.DUMMYFUNCTION("""COMPUTED_VALUE"""),48.7)</f>
        <v>48.7</v>
      </c>
      <c r="T803" s="4">
        <f>IFERROR(__xludf.DUMMYFUNCTION("""COMPUTED_VALUE"""),0.085)</f>
        <v>0.085</v>
      </c>
      <c r="U803" s="4">
        <f>IFERROR(__xludf.DUMMYFUNCTION("""COMPUTED_VALUE"""),-1.0)</f>
        <v>-1</v>
      </c>
      <c r="V803" s="4">
        <f>IFERROR(__xludf.DUMMYFUNCTION("""COMPUTED_VALUE"""),7.2)</f>
        <v>7.2</v>
      </c>
    </row>
    <row r="804">
      <c r="A804" s="4">
        <f>IFERROR(__xludf.DUMMYFUNCTION("""COMPUTED_VALUE"""),9.0)</f>
        <v>9</v>
      </c>
      <c r="B804" s="4">
        <f>IFERROR(__xludf.DUMMYFUNCTION("""COMPUTED_VALUE"""),9.0)</f>
        <v>9</v>
      </c>
      <c r="C804" s="4" t="str">
        <f>IFERROR(__xludf.DUMMYFUNCTION("""COMPUTED_VALUE"""),"MIN")</f>
        <v>MIN</v>
      </c>
      <c r="D804" s="4" t="str">
        <f>IFERROR(__xludf.DUMMYFUNCTION("""COMPUTED_VALUE"""),"Trey Burke")</f>
        <v>Trey Burke</v>
      </c>
      <c r="E804" s="4" t="str">
        <f>IFERROR(__xludf.DUMMYFUNCTION("""COMPUTED_VALUE"""),"Michigan")</f>
        <v>Michigan</v>
      </c>
      <c r="F804" s="4">
        <f>IFERROR(__xludf.DUMMYFUNCTION("""COMPUTED_VALUE"""),9.0)</f>
        <v>9</v>
      </c>
      <c r="G804" s="4">
        <f>IFERROR(__xludf.DUMMYFUNCTION("""COMPUTED_VALUE"""),498.0)</f>
        <v>498</v>
      </c>
      <c r="H804" s="4">
        <f>IFERROR(__xludf.DUMMYFUNCTION("""COMPUTED_VALUE"""),10401.0)</f>
        <v>10401</v>
      </c>
      <c r="I804" s="4">
        <f>IFERROR(__xludf.DUMMYFUNCTION("""COMPUTED_VALUE"""),4792.0)</f>
        <v>4792</v>
      </c>
      <c r="J804" s="4">
        <f>IFERROR(__xludf.DUMMYFUNCTION("""COMPUTED_VALUE"""),878.0)</f>
        <v>878</v>
      </c>
      <c r="K804" s="4">
        <f>IFERROR(__xludf.DUMMYFUNCTION("""COMPUTED_VALUE"""),1522.0)</f>
        <v>1522</v>
      </c>
      <c r="L804" s="4">
        <f>IFERROR(__xludf.DUMMYFUNCTION("""COMPUTED_VALUE"""),0.41)</f>
        <v>0.41</v>
      </c>
      <c r="M804" s="4">
        <f>IFERROR(__xludf.DUMMYFUNCTION("""COMPUTED_VALUE"""),0.345)</f>
        <v>0.345</v>
      </c>
      <c r="N804" s="4">
        <f>IFERROR(__xludf.DUMMYFUNCTION("""COMPUTED_VALUE"""),0.81)</f>
        <v>0.81</v>
      </c>
      <c r="O804" s="4">
        <f>IFERROR(__xludf.DUMMYFUNCTION("""COMPUTED_VALUE"""),20.9)</f>
        <v>20.9</v>
      </c>
      <c r="P804" s="4">
        <f>IFERROR(__xludf.DUMMYFUNCTION("""COMPUTED_VALUE"""),9.6)</f>
        <v>9.6</v>
      </c>
      <c r="Q804" s="4">
        <f>IFERROR(__xludf.DUMMYFUNCTION("""COMPUTED_VALUE"""),1.8)</f>
        <v>1.8</v>
      </c>
      <c r="R804" s="4">
        <f>IFERROR(__xludf.DUMMYFUNCTION("""COMPUTED_VALUE"""),3.1)</f>
        <v>3.1</v>
      </c>
      <c r="S804" s="4">
        <f>IFERROR(__xludf.DUMMYFUNCTION("""COMPUTED_VALUE"""),12.9)</f>
        <v>12.9</v>
      </c>
      <c r="T804" s="4">
        <f>IFERROR(__xludf.DUMMYFUNCTION("""COMPUTED_VALUE"""),0.06)</f>
        <v>0.06</v>
      </c>
      <c r="U804" s="4">
        <f>IFERROR(__xludf.DUMMYFUNCTION("""COMPUTED_VALUE"""),-1.3)</f>
        <v>-1.3</v>
      </c>
      <c r="V804" s="4">
        <f>IFERROR(__xludf.DUMMYFUNCTION("""COMPUTED_VALUE"""),1.7)</f>
        <v>1.7</v>
      </c>
    </row>
    <row r="805">
      <c r="A805" s="4">
        <f>IFERROR(__xludf.DUMMYFUNCTION("""COMPUTED_VALUE"""),10.0)</f>
        <v>10</v>
      </c>
      <c r="B805" s="4">
        <f>IFERROR(__xludf.DUMMYFUNCTION("""COMPUTED_VALUE"""),10.0)</f>
        <v>10</v>
      </c>
      <c r="C805" s="4" t="str">
        <f>IFERROR(__xludf.DUMMYFUNCTION("""COMPUTED_VALUE"""),"POR")</f>
        <v>POR</v>
      </c>
      <c r="D805" s="4" t="str">
        <f>IFERROR(__xludf.DUMMYFUNCTION("""COMPUTED_VALUE"""),"CJ McCollum")</f>
        <v>CJ McCollum</v>
      </c>
      <c r="E805" s="4" t="str">
        <f>IFERROR(__xludf.DUMMYFUNCTION("""COMPUTED_VALUE"""),"Lehigh")</f>
        <v>Lehigh</v>
      </c>
      <c r="F805" s="4">
        <f>IFERROR(__xludf.DUMMYFUNCTION("""COMPUTED_VALUE"""),13.0)</f>
        <v>13</v>
      </c>
      <c r="G805" s="4">
        <f>IFERROR(__xludf.DUMMYFUNCTION("""COMPUTED_VALUE"""),807.0)</f>
        <v>807</v>
      </c>
      <c r="H805" s="4">
        <f>IFERROR(__xludf.DUMMYFUNCTION("""COMPUTED_VALUE"""),25857.0)</f>
        <v>25857</v>
      </c>
      <c r="I805" s="4">
        <f>IFERROR(__xludf.DUMMYFUNCTION("""COMPUTED_VALUE"""),15773.0)</f>
        <v>15773</v>
      </c>
      <c r="J805" s="4">
        <f>IFERROR(__xludf.DUMMYFUNCTION("""COMPUTED_VALUE"""),2932.0)</f>
        <v>2932</v>
      </c>
      <c r="K805" s="4">
        <f>IFERROR(__xludf.DUMMYFUNCTION("""COMPUTED_VALUE"""),3073.0)</f>
        <v>3073</v>
      </c>
      <c r="L805" s="4">
        <f>IFERROR(__xludf.DUMMYFUNCTION("""COMPUTED_VALUE"""),0.452)</f>
        <v>0.452</v>
      </c>
      <c r="M805" s="4">
        <f>IFERROR(__xludf.DUMMYFUNCTION("""COMPUTED_VALUE"""),0.397)</f>
        <v>0.397</v>
      </c>
      <c r="N805" s="4">
        <f>IFERROR(__xludf.DUMMYFUNCTION("""COMPUTED_VALUE"""),0.798)</f>
        <v>0.798</v>
      </c>
      <c r="O805" s="4">
        <f>IFERROR(__xludf.DUMMYFUNCTION("""COMPUTED_VALUE"""),32.0)</f>
        <v>32</v>
      </c>
      <c r="P805" s="4">
        <f>IFERROR(__xludf.DUMMYFUNCTION("""COMPUTED_VALUE"""),19.5)</f>
        <v>19.5</v>
      </c>
      <c r="Q805" s="4">
        <f>IFERROR(__xludf.DUMMYFUNCTION("""COMPUTED_VALUE"""),3.6)</f>
        <v>3.6</v>
      </c>
      <c r="R805" s="4">
        <f>IFERROR(__xludf.DUMMYFUNCTION("""COMPUTED_VALUE"""),3.8)</f>
        <v>3.8</v>
      </c>
      <c r="S805" s="4">
        <f>IFERROR(__xludf.DUMMYFUNCTION("""COMPUTED_VALUE"""),52.4)</f>
        <v>52.4</v>
      </c>
      <c r="T805" s="4">
        <f>IFERROR(__xludf.DUMMYFUNCTION("""COMPUTED_VALUE"""),0.097)</f>
        <v>0.097</v>
      </c>
      <c r="U805" s="4">
        <f>IFERROR(__xludf.DUMMYFUNCTION("""COMPUTED_VALUE"""),1.1)</f>
        <v>1.1</v>
      </c>
      <c r="V805" s="4">
        <f>IFERROR(__xludf.DUMMYFUNCTION("""COMPUTED_VALUE"""),20.5)</f>
        <v>20.5</v>
      </c>
    </row>
    <row r="806">
      <c r="A806" s="4">
        <f>IFERROR(__xludf.DUMMYFUNCTION("""COMPUTED_VALUE"""),11.0)</f>
        <v>11</v>
      </c>
      <c r="B806" s="4">
        <f>IFERROR(__xludf.DUMMYFUNCTION("""COMPUTED_VALUE"""),11.0)</f>
        <v>11</v>
      </c>
      <c r="C806" s="4" t="str">
        <f>IFERROR(__xludf.DUMMYFUNCTION("""COMPUTED_VALUE"""),"PHI")</f>
        <v>PHI</v>
      </c>
      <c r="D806" s="4" t="str">
        <f>IFERROR(__xludf.DUMMYFUNCTION("""COMPUTED_VALUE"""),"Michael Carter-Williams")</f>
        <v>Michael Carter-Williams</v>
      </c>
      <c r="E806" s="4" t="str">
        <f>IFERROR(__xludf.DUMMYFUNCTION("""COMPUTED_VALUE"""),"Syracuse")</f>
        <v>Syracuse</v>
      </c>
      <c r="F806" s="4">
        <f>IFERROR(__xludf.DUMMYFUNCTION("""COMPUTED_VALUE"""),9.0)</f>
        <v>9</v>
      </c>
      <c r="G806" s="4">
        <f>IFERROR(__xludf.DUMMYFUNCTION("""COMPUTED_VALUE"""),395.0)</f>
        <v>395</v>
      </c>
      <c r="H806" s="4">
        <f>IFERROR(__xludf.DUMMYFUNCTION("""COMPUTED_VALUE"""),9942.0)</f>
        <v>9942</v>
      </c>
      <c r="I806" s="4">
        <f>IFERROR(__xludf.DUMMYFUNCTION("""COMPUTED_VALUE"""),4040.0)</f>
        <v>4040</v>
      </c>
      <c r="J806" s="4">
        <f>IFERROR(__xludf.DUMMYFUNCTION("""COMPUTED_VALUE"""),1718.0)</f>
        <v>1718</v>
      </c>
      <c r="K806" s="4">
        <f>IFERROR(__xludf.DUMMYFUNCTION("""COMPUTED_VALUE"""),1708.0)</f>
        <v>1708</v>
      </c>
      <c r="L806" s="4">
        <f>IFERROR(__xludf.DUMMYFUNCTION("""COMPUTED_VALUE"""),0.402)</f>
        <v>0.402</v>
      </c>
      <c r="M806" s="4">
        <f>IFERROR(__xludf.DUMMYFUNCTION("""COMPUTED_VALUE"""),0.256)</f>
        <v>0.256</v>
      </c>
      <c r="N806" s="4">
        <f>IFERROR(__xludf.DUMMYFUNCTION("""COMPUTED_VALUE"""),0.705)</f>
        <v>0.705</v>
      </c>
      <c r="O806" s="4">
        <f>IFERROR(__xludf.DUMMYFUNCTION("""COMPUTED_VALUE"""),25.2)</f>
        <v>25.2</v>
      </c>
      <c r="P806" s="4">
        <f>IFERROR(__xludf.DUMMYFUNCTION("""COMPUTED_VALUE"""),10.2)</f>
        <v>10.2</v>
      </c>
      <c r="Q806" s="4">
        <f>IFERROR(__xludf.DUMMYFUNCTION("""COMPUTED_VALUE"""),4.3)</f>
        <v>4.3</v>
      </c>
      <c r="R806" s="4">
        <f>IFERROR(__xludf.DUMMYFUNCTION("""COMPUTED_VALUE"""),4.3)</f>
        <v>4.3</v>
      </c>
      <c r="S806" s="4">
        <f>IFERROR(__xludf.DUMMYFUNCTION("""COMPUTED_VALUE"""),6.6)</f>
        <v>6.6</v>
      </c>
      <c r="T806" s="4">
        <f>IFERROR(__xludf.DUMMYFUNCTION("""COMPUTED_VALUE"""),0.032)</f>
        <v>0.032</v>
      </c>
      <c r="U806" s="4">
        <f>IFERROR(__xludf.DUMMYFUNCTION("""COMPUTED_VALUE"""),-1.2)</f>
        <v>-1.2</v>
      </c>
      <c r="V806" s="4">
        <f>IFERROR(__xludf.DUMMYFUNCTION("""COMPUTED_VALUE"""),1.8)</f>
        <v>1.8</v>
      </c>
    </row>
    <row r="807">
      <c r="A807" s="4">
        <f>IFERROR(__xludf.DUMMYFUNCTION("""COMPUTED_VALUE"""),12.0)</f>
        <v>12</v>
      </c>
      <c r="B807" s="4">
        <f>IFERROR(__xludf.DUMMYFUNCTION("""COMPUTED_VALUE"""),12.0)</f>
        <v>12</v>
      </c>
      <c r="C807" s="4" t="str">
        <f>IFERROR(__xludf.DUMMYFUNCTION("""COMPUTED_VALUE"""),"OKC")</f>
        <v>OKC</v>
      </c>
      <c r="D807" s="4" t="str">
        <f>IFERROR(__xludf.DUMMYFUNCTION("""COMPUTED_VALUE"""),"Steven Adams")</f>
        <v>Steven Adams</v>
      </c>
      <c r="E807" s="4" t="str">
        <f>IFERROR(__xludf.DUMMYFUNCTION("""COMPUTED_VALUE"""),"Pitt")</f>
        <v>Pitt</v>
      </c>
      <c r="F807" s="4">
        <f>IFERROR(__xludf.DUMMYFUNCTION("""COMPUTED_VALUE"""),12.0)</f>
        <v>12</v>
      </c>
      <c r="G807" s="4">
        <f>IFERROR(__xludf.DUMMYFUNCTION("""COMPUTED_VALUE"""),779.0)</f>
        <v>779</v>
      </c>
      <c r="H807" s="4">
        <f>IFERROR(__xludf.DUMMYFUNCTION("""COMPUTED_VALUE"""),20062.0)</f>
        <v>20062</v>
      </c>
      <c r="I807" s="4">
        <f>IFERROR(__xludf.DUMMYFUNCTION("""COMPUTED_VALUE"""),6840.0)</f>
        <v>6840</v>
      </c>
      <c r="J807" s="4">
        <f>IFERROR(__xludf.DUMMYFUNCTION("""COMPUTED_VALUE"""),6256.0)</f>
        <v>6256</v>
      </c>
      <c r="K807" s="4">
        <f>IFERROR(__xludf.DUMMYFUNCTION("""COMPUTED_VALUE"""),1168.0)</f>
        <v>1168</v>
      </c>
      <c r="L807" s="4">
        <f>IFERROR(__xludf.DUMMYFUNCTION("""COMPUTED_VALUE"""),0.585)</f>
        <v>0.585</v>
      </c>
      <c r="M807" s="4">
        <f>IFERROR(__xludf.DUMMYFUNCTION("""COMPUTED_VALUE"""),0.059)</f>
        <v>0.059</v>
      </c>
      <c r="N807" s="4">
        <f>IFERROR(__xludf.DUMMYFUNCTION("""COMPUTED_VALUE"""),0.537)</f>
        <v>0.537</v>
      </c>
      <c r="O807" s="4">
        <f>IFERROR(__xludf.DUMMYFUNCTION("""COMPUTED_VALUE"""),25.8)</f>
        <v>25.8</v>
      </c>
      <c r="P807" s="4">
        <f>IFERROR(__xludf.DUMMYFUNCTION("""COMPUTED_VALUE"""),8.8)</f>
        <v>8.8</v>
      </c>
      <c r="Q807" s="4">
        <f>IFERROR(__xludf.DUMMYFUNCTION("""COMPUTED_VALUE"""),8.0)</f>
        <v>8</v>
      </c>
      <c r="R807" s="4">
        <f>IFERROR(__xludf.DUMMYFUNCTION("""COMPUTED_VALUE"""),1.5)</f>
        <v>1.5</v>
      </c>
      <c r="S807" s="4">
        <f>IFERROR(__xludf.DUMMYFUNCTION("""COMPUTED_VALUE"""),63.0)</f>
        <v>63</v>
      </c>
      <c r="T807" s="4">
        <f>IFERROR(__xludf.DUMMYFUNCTION("""COMPUTED_VALUE"""),0.151)</f>
        <v>0.151</v>
      </c>
      <c r="U807" s="4">
        <f>IFERROR(__xludf.DUMMYFUNCTION("""COMPUTED_VALUE"""),0.5)</f>
        <v>0.5</v>
      </c>
      <c r="V807" s="4">
        <f>IFERROR(__xludf.DUMMYFUNCTION("""COMPUTED_VALUE"""),12.9)</f>
        <v>12.9</v>
      </c>
    </row>
    <row r="808">
      <c r="A808" s="4">
        <f>IFERROR(__xludf.DUMMYFUNCTION("""COMPUTED_VALUE"""),13.0)</f>
        <v>13</v>
      </c>
      <c r="B808" s="4">
        <f>IFERROR(__xludf.DUMMYFUNCTION("""COMPUTED_VALUE"""),13.0)</f>
        <v>13</v>
      </c>
      <c r="C808" s="4" t="str">
        <f>IFERROR(__xludf.DUMMYFUNCTION("""COMPUTED_VALUE"""),"DAL")</f>
        <v>DAL</v>
      </c>
      <c r="D808" s="4" t="str">
        <f>IFERROR(__xludf.DUMMYFUNCTION("""COMPUTED_VALUE"""),"Kelly Olynyk")</f>
        <v>Kelly Olynyk</v>
      </c>
      <c r="E808" s="4" t="str">
        <f>IFERROR(__xludf.DUMMYFUNCTION("""COMPUTED_VALUE"""),"Gonzaga")</f>
        <v>Gonzaga</v>
      </c>
      <c r="F808" s="4">
        <f>IFERROR(__xludf.DUMMYFUNCTION("""COMPUTED_VALUE"""),13.0)</f>
        <v>13</v>
      </c>
      <c r="G808" s="4">
        <f>IFERROR(__xludf.DUMMYFUNCTION("""COMPUTED_VALUE"""),811.0)</f>
        <v>811</v>
      </c>
      <c r="H808" s="4">
        <f>IFERROR(__xludf.DUMMYFUNCTION("""COMPUTED_VALUE"""),18123.0)</f>
        <v>18123</v>
      </c>
      <c r="I808" s="4">
        <f>IFERROR(__xludf.DUMMYFUNCTION("""COMPUTED_VALUE"""),8188.0)</f>
        <v>8188</v>
      </c>
      <c r="J808" s="4">
        <f>IFERROR(__xludf.DUMMYFUNCTION("""COMPUTED_VALUE"""),4154.0)</f>
        <v>4154</v>
      </c>
      <c r="K808" s="4">
        <f>IFERROR(__xludf.DUMMYFUNCTION("""COMPUTED_VALUE"""),1994.0)</f>
        <v>1994</v>
      </c>
      <c r="L808" s="4">
        <f>IFERROR(__xludf.DUMMYFUNCTION("""COMPUTED_VALUE"""),0.486)</f>
        <v>0.486</v>
      </c>
      <c r="M808" s="4">
        <f>IFERROR(__xludf.DUMMYFUNCTION("""COMPUTED_VALUE"""),0.37)</f>
        <v>0.37</v>
      </c>
      <c r="N808" s="4">
        <f>IFERROR(__xludf.DUMMYFUNCTION("""COMPUTED_VALUE"""),0.796)</f>
        <v>0.796</v>
      </c>
      <c r="O808" s="4">
        <f>IFERROR(__xludf.DUMMYFUNCTION("""COMPUTED_VALUE"""),22.3)</f>
        <v>22.3</v>
      </c>
      <c r="P808" s="4">
        <f>IFERROR(__xludf.DUMMYFUNCTION("""COMPUTED_VALUE"""),10.1)</f>
        <v>10.1</v>
      </c>
      <c r="Q808" s="4">
        <f>IFERROR(__xludf.DUMMYFUNCTION("""COMPUTED_VALUE"""),5.1)</f>
        <v>5.1</v>
      </c>
      <c r="R808" s="4">
        <f>IFERROR(__xludf.DUMMYFUNCTION("""COMPUTED_VALUE"""),2.5)</f>
        <v>2.5</v>
      </c>
      <c r="S808" s="4">
        <f>IFERROR(__xludf.DUMMYFUNCTION("""COMPUTED_VALUE"""),46.5)</f>
        <v>46.5</v>
      </c>
      <c r="T808" s="4">
        <f>IFERROR(__xludf.DUMMYFUNCTION("""COMPUTED_VALUE"""),0.123)</f>
        <v>0.123</v>
      </c>
      <c r="U808" s="4">
        <f>IFERROR(__xludf.DUMMYFUNCTION("""COMPUTED_VALUE"""),0.9)</f>
        <v>0.9</v>
      </c>
      <c r="V808" s="4">
        <f>IFERROR(__xludf.DUMMYFUNCTION("""COMPUTED_VALUE"""),13.0)</f>
        <v>13</v>
      </c>
    </row>
    <row r="809">
      <c r="A809" s="4">
        <f>IFERROR(__xludf.DUMMYFUNCTION("""COMPUTED_VALUE"""),14.0)</f>
        <v>14</v>
      </c>
      <c r="B809" s="4">
        <f>IFERROR(__xludf.DUMMYFUNCTION("""COMPUTED_VALUE"""),14.0)</f>
        <v>14</v>
      </c>
      <c r="C809" s="4" t="str">
        <f>IFERROR(__xludf.DUMMYFUNCTION("""COMPUTED_VALUE"""),"UTA")</f>
        <v>UTA</v>
      </c>
      <c r="D809" s="4" t="str">
        <f>IFERROR(__xludf.DUMMYFUNCTION("""COMPUTED_VALUE"""),"Shabazz Muhammad")</f>
        <v>Shabazz Muhammad</v>
      </c>
      <c r="E809" s="4" t="str">
        <f>IFERROR(__xludf.DUMMYFUNCTION("""COMPUTED_VALUE"""),"UCLA")</f>
        <v>UCLA</v>
      </c>
      <c r="F809" s="4">
        <f>IFERROR(__xludf.DUMMYFUNCTION("""COMPUTED_VALUE"""),5.0)</f>
        <v>5</v>
      </c>
      <c r="G809" s="4">
        <f>IFERROR(__xludf.DUMMYFUNCTION("""COMPUTED_VALUE"""),278.0)</f>
        <v>278</v>
      </c>
      <c r="H809" s="4">
        <f>IFERROR(__xludf.DUMMYFUNCTION("""COMPUTED_VALUE"""),4772.0)</f>
        <v>4772</v>
      </c>
      <c r="I809" s="4">
        <f>IFERROR(__xludf.DUMMYFUNCTION("""COMPUTED_VALUE"""),2504.0)</f>
        <v>2504</v>
      </c>
      <c r="J809" s="4">
        <f>IFERROR(__xludf.DUMMYFUNCTION("""COMPUTED_VALUE"""),770.0)</f>
        <v>770</v>
      </c>
      <c r="K809" s="4">
        <f>IFERROR(__xludf.DUMMYFUNCTION("""COMPUTED_VALUE"""),151.0)</f>
        <v>151</v>
      </c>
      <c r="L809" s="4">
        <f>IFERROR(__xludf.DUMMYFUNCTION("""COMPUTED_VALUE"""),0.473)</f>
        <v>0.473</v>
      </c>
      <c r="M809" s="4">
        <f>IFERROR(__xludf.DUMMYFUNCTION("""COMPUTED_VALUE"""),0.319)</f>
        <v>0.319</v>
      </c>
      <c r="N809" s="4">
        <f>IFERROR(__xludf.DUMMYFUNCTION("""COMPUTED_VALUE"""),0.751)</f>
        <v>0.751</v>
      </c>
      <c r="O809" s="4">
        <f>IFERROR(__xludf.DUMMYFUNCTION("""COMPUTED_VALUE"""),17.2)</f>
        <v>17.2</v>
      </c>
      <c r="P809" s="4">
        <f>IFERROR(__xludf.DUMMYFUNCTION("""COMPUTED_VALUE"""),9.0)</f>
        <v>9</v>
      </c>
      <c r="Q809" s="4">
        <f>IFERROR(__xludf.DUMMYFUNCTION("""COMPUTED_VALUE"""),2.8)</f>
        <v>2.8</v>
      </c>
      <c r="R809" s="4">
        <f>IFERROR(__xludf.DUMMYFUNCTION("""COMPUTED_VALUE"""),0.5)</f>
        <v>0.5</v>
      </c>
      <c r="S809" s="4">
        <f>IFERROR(__xludf.DUMMYFUNCTION("""COMPUTED_VALUE"""),8.5)</f>
        <v>8.5</v>
      </c>
      <c r="T809" s="4">
        <f>IFERROR(__xludf.DUMMYFUNCTION("""COMPUTED_VALUE"""),0.085)</f>
        <v>0.085</v>
      </c>
      <c r="U809" s="4">
        <f>IFERROR(__xludf.DUMMYFUNCTION("""COMPUTED_VALUE"""),-2.0)</f>
        <v>-2</v>
      </c>
      <c r="V809" s="4">
        <f>IFERROR(__xludf.DUMMYFUNCTION("""COMPUTED_VALUE"""),0.0)</f>
        <v>0</v>
      </c>
    </row>
    <row r="810">
      <c r="A810" s="4">
        <f>IFERROR(__xludf.DUMMYFUNCTION("""COMPUTED_VALUE"""),15.0)</f>
        <v>15</v>
      </c>
      <c r="B810" s="4">
        <f>IFERROR(__xludf.DUMMYFUNCTION("""COMPUTED_VALUE"""),15.0)</f>
        <v>15</v>
      </c>
      <c r="C810" s="4" t="str">
        <f>IFERROR(__xludf.DUMMYFUNCTION("""COMPUTED_VALUE"""),"MIL")</f>
        <v>MIL</v>
      </c>
      <c r="D810" s="4" t="str">
        <f>IFERROR(__xludf.DUMMYFUNCTION("""COMPUTED_VALUE"""),"Giannis Antetokounmpo")</f>
        <v>Giannis Antetokounmpo</v>
      </c>
      <c r="E810" s="4"/>
      <c r="F810" s="4">
        <f>IFERROR(__xludf.DUMMYFUNCTION("""COMPUTED_VALUE"""),13.0)</f>
        <v>13</v>
      </c>
      <c r="G810" s="4">
        <f>IFERROR(__xludf.DUMMYFUNCTION("""COMPUTED_VALUE"""),875.0)</f>
        <v>875</v>
      </c>
      <c r="H810" s="4">
        <f>IFERROR(__xludf.DUMMYFUNCTION("""COMPUTED_VALUE"""),28726.0)</f>
        <v>28726</v>
      </c>
      <c r="I810" s="4">
        <f>IFERROR(__xludf.DUMMYFUNCTION("""COMPUTED_VALUE"""),21028.0)</f>
        <v>21028</v>
      </c>
      <c r="J810" s="4">
        <f>IFERROR(__xludf.DUMMYFUNCTION("""COMPUTED_VALUE"""),8701.0)</f>
        <v>8701</v>
      </c>
      <c r="K810" s="4">
        <f>IFERROR(__xludf.DUMMYFUNCTION("""COMPUTED_VALUE"""),4391.0)</f>
        <v>4391</v>
      </c>
      <c r="L810" s="4">
        <f>IFERROR(__xludf.DUMMYFUNCTION("""COMPUTED_VALUE"""),0.552)</f>
        <v>0.552</v>
      </c>
      <c r="M810" s="4">
        <f>IFERROR(__xludf.DUMMYFUNCTION("""COMPUTED_VALUE"""),0.286)</f>
        <v>0.286</v>
      </c>
      <c r="N810" s="4">
        <f>IFERROR(__xludf.DUMMYFUNCTION("""COMPUTED_VALUE"""),0.692)</f>
        <v>0.692</v>
      </c>
      <c r="O810" s="4">
        <f>IFERROR(__xludf.DUMMYFUNCTION("""COMPUTED_VALUE"""),32.8)</f>
        <v>32.8</v>
      </c>
      <c r="P810" s="4">
        <f>IFERROR(__xludf.DUMMYFUNCTION("""COMPUTED_VALUE"""),24.0)</f>
        <v>24</v>
      </c>
      <c r="Q810" s="4">
        <f>IFERROR(__xludf.DUMMYFUNCTION("""COMPUTED_VALUE"""),9.9)</f>
        <v>9.9</v>
      </c>
      <c r="R810" s="4">
        <f>IFERROR(__xludf.DUMMYFUNCTION("""COMPUTED_VALUE"""),5.0)</f>
        <v>5</v>
      </c>
      <c r="S810" s="4">
        <f>IFERROR(__xludf.DUMMYFUNCTION("""COMPUTED_VALUE"""),123.6)</f>
        <v>123.6</v>
      </c>
      <c r="T810" s="4">
        <f>IFERROR(__xludf.DUMMYFUNCTION("""COMPUTED_VALUE"""),0.207)</f>
        <v>0.207</v>
      </c>
      <c r="U810" s="4">
        <f>IFERROR(__xludf.DUMMYFUNCTION("""COMPUTED_VALUE"""),6.8)</f>
        <v>6.8</v>
      </c>
      <c r="V810" s="4">
        <f>IFERROR(__xludf.DUMMYFUNCTION("""COMPUTED_VALUE"""),64.0)</f>
        <v>64</v>
      </c>
    </row>
    <row r="811">
      <c r="A811" s="4">
        <f>IFERROR(__xludf.DUMMYFUNCTION("""COMPUTED_VALUE"""),16.0)</f>
        <v>16</v>
      </c>
      <c r="B811" s="4">
        <f>IFERROR(__xludf.DUMMYFUNCTION("""COMPUTED_VALUE"""),16.0)</f>
        <v>16</v>
      </c>
      <c r="C811" s="4" t="str">
        <f>IFERROR(__xludf.DUMMYFUNCTION("""COMPUTED_VALUE"""),"BOS")</f>
        <v>BOS</v>
      </c>
      <c r="D811" s="4" t="str">
        <f>IFERROR(__xludf.DUMMYFUNCTION("""COMPUTED_VALUE"""),"Lucas Nogueira")</f>
        <v>Lucas Nogueira</v>
      </c>
      <c r="E811" s="4"/>
      <c r="F811" s="4">
        <f>IFERROR(__xludf.DUMMYFUNCTION("""COMPUTED_VALUE"""),4.0)</f>
        <v>4</v>
      </c>
      <c r="G811" s="4">
        <f>IFERROR(__xludf.DUMMYFUNCTION("""COMPUTED_VALUE"""),141.0)</f>
        <v>141</v>
      </c>
      <c r="H811" s="4">
        <f>IFERROR(__xludf.DUMMYFUNCTION("""COMPUTED_VALUE"""),1754.0)</f>
        <v>1754</v>
      </c>
      <c r="I811" s="4">
        <f>IFERROR(__xludf.DUMMYFUNCTION("""COMPUTED_VALUE"""),446.0)</f>
        <v>446</v>
      </c>
      <c r="J811" s="4">
        <f>IFERROR(__xludf.DUMMYFUNCTION("""COMPUTED_VALUE"""),388.0)</f>
        <v>388</v>
      </c>
      <c r="K811" s="4">
        <f>IFERROR(__xludf.DUMMYFUNCTION("""COMPUTED_VALUE"""),72.0)</f>
        <v>72</v>
      </c>
      <c r="L811" s="4">
        <f>IFERROR(__xludf.DUMMYFUNCTION("""COMPUTED_VALUE"""),0.632)</f>
        <v>0.632</v>
      </c>
      <c r="M811" s="4">
        <f>IFERROR(__xludf.DUMMYFUNCTION("""COMPUTED_VALUE"""),0.265)</f>
        <v>0.265</v>
      </c>
      <c r="N811" s="4">
        <f>IFERROR(__xludf.DUMMYFUNCTION("""COMPUTED_VALUE"""),0.64)</f>
        <v>0.64</v>
      </c>
      <c r="O811" s="4">
        <f>IFERROR(__xludf.DUMMYFUNCTION("""COMPUTED_VALUE"""),12.4)</f>
        <v>12.4</v>
      </c>
      <c r="P811" s="4">
        <f>IFERROR(__xludf.DUMMYFUNCTION("""COMPUTED_VALUE"""),3.2)</f>
        <v>3.2</v>
      </c>
      <c r="Q811" s="4">
        <f>IFERROR(__xludf.DUMMYFUNCTION("""COMPUTED_VALUE"""),2.8)</f>
        <v>2.8</v>
      </c>
      <c r="R811" s="4">
        <f>IFERROR(__xludf.DUMMYFUNCTION("""COMPUTED_VALUE"""),0.5)</f>
        <v>0.5</v>
      </c>
      <c r="S811" s="4">
        <f>IFERROR(__xludf.DUMMYFUNCTION("""COMPUTED_VALUE"""),6.0)</f>
        <v>6</v>
      </c>
      <c r="T811" s="4">
        <f>IFERROR(__xludf.DUMMYFUNCTION("""COMPUTED_VALUE"""),0.165)</f>
        <v>0.165</v>
      </c>
      <c r="U811" s="4">
        <f>IFERROR(__xludf.DUMMYFUNCTION("""COMPUTED_VALUE"""),2.3)</f>
        <v>2.3</v>
      </c>
      <c r="V811" s="4">
        <f>IFERROR(__xludf.DUMMYFUNCTION("""COMPUTED_VALUE"""),1.9)</f>
        <v>1.9</v>
      </c>
    </row>
    <row r="812">
      <c r="A812" s="4">
        <f>IFERROR(__xludf.DUMMYFUNCTION("""COMPUTED_VALUE"""),17.0)</f>
        <v>17</v>
      </c>
      <c r="B812" s="4">
        <f>IFERROR(__xludf.DUMMYFUNCTION("""COMPUTED_VALUE"""),17.0)</f>
        <v>17</v>
      </c>
      <c r="C812" s="4" t="str">
        <f>IFERROR(__xludf.DUMMYFUNCTION("""COMPUTED_VALUE"""),"ATL")</f>
        <v>ATL</v>
      </c>
      <c r="D812" s="4" t="str">
        <f>IFERROR(__xludf.DUMMYFUNCTION("""COMPUTED_VALUE"""),"Dennis Schröder")</f>
        <v>Dennis Schröder</v>
      </c>
      <c r="E812" s="4"/>
      <c r="F812" s="4">
        <f>IFERROR(__xludf.DUMMYFUNCTION("""COMPUTED_VALUE"""),13.0)</f>
        <v>13</v>
      </c>
      <c r="G812" s="4">
        <f>IFERROR(__xludf.DUMMYFUNCTION("""COMPUTED_VALUE"""),860.0)</f>
        <v>860</v>
      </c>
      <c r="H812" s="4">
        <f>IFERROR(__xludf.DUMMYFUNCTION("""COMPUTED_VALUE"""),23549.0)</f>
        <v>23549</v>
      </c>
      <c r="I812" s="4">
        <f>IFERROR(__xludf.DUMMYFUNCTION("""COMPUTED_VALUE"""),11961.0)</f>
        <v>11961</v>
      </c>
      <c r="J812" s="4">
        <f>IFERROR(__xludf.DUMMYFUNCTION("""COMPUTED_VALUE"""),2500.0)</f>
        <v>2500</v>
      </c>
      <c r="K812" s="4">
        <f>IFERROR(__xludf.DUMMYFUNCTION("""COMPUTED_VALUE"""),4205.0)</f>
        <v>4205</v>
      </c>
      <c r="L812" s="4">
        <f>IFERROR(__xludf.DUMMYFUNCTION("""COMPUTED_VALUE"""),0.431)</f>
        <v>0.431</v>
      </c>
      <c r="M812" s="4">
        <f>IFERROR(__xludf.DUMMYFUNCTION("""COMPUTED_VALUE"""),0.342)</f>
        <v>0.342</v>
      </c>
      <c r="N812" s="4">
        <f>IFERROR(__xludf.DUMMYFUNCTION("""COMPUTED_VALUE"""),0.835)</f>
        <v>0.835</v>
      </c>
      <c r="O812" s="4">
        <f>IFERROR(__xludf.DUMMYFUNCTION("""COMPUTED_VALUE"""),27.4)</f>
        <v>27.4</v>
      </c>
      <c r="P812" s="4">
        <f>IFERROR(__xludf.DUMMYFUNCTION("""COMPUTED_VALUE"""),13.9)</f>
        <v>13.9</v>
      </c>
      <c r="Q812" s="4">
        <f>IFERROR(__xludf.DUMMYFUNCTION("""COMPUTED_VALUE"""),2.9)</f>
        <v>2.9</v>
      </c>
      <c r="R812" s="4">
        <f>IFERROR(__xludf.DUMMYFUNCTION("""COMPUTED_VALUE"""),4.9)</f>
        <v>4.9</v>
      </c>
      <c r="S812" s="4">
        <f>IFERROR(__xludf.DUMMYFUNCTION("""COMPUTED_VALUE"""),32.7)</f>
        <v>32.7</v>
      </c>
      <c r="T812" s="4">
        <f>IFERROR(__xludf.DUMMYFUNCTION("""COMPUTED_VALUE"""),0.067)</f>
        <v>0.067</v>
      </c>
      <c r="U812" s="4">
        <f>IFERROR(__xludf.DUMMYFUNCTION("""COMPUTED_VALUE"""),-1.5)</f>
        <v>-1.5</v>
      </c>
      <c r="V812" s="4">
        <f>IFERROR(__xludf.DUMMYFUNCTION("""COMPUTED_VALUE"""),2.8)</f>
        <v>2.8</v>
      </c>
    </row>
    <row r="813">
      <c r="A813" s="4">
        <f>IFERROR(__xludf.DUMMYFUNCTION("""COMPUTED_VALUE"""),18.0)</f>
        <v>18</v>
      </c>
      <c r="B813" s="4">
        <f>IFERROR(__xludf.DUMMYFUNCTION("""COMPUTED_VALUE"""),18.0)</f>
        <v>18</v>
      </c>
      <c r="C813" s="4" t="str">
        <f>IFERROR(__xludf.DUMMYFUNCTION("""COMPUTED_VALUE"""),"ATL")</f>
        <v>ATL</v>
      </c>
      <c r="D813" s="4" t="str">
        <f>IFERROR(__xludf.DUMMYFUNCTION("""COMPUTED_VALUE"""),"Shane Larkin")</f>
        <v>Shane Larkin</v>
      </c>
      <c r="E813" s="4" t="str">
        <f>IFERROR(__xludf.DUMMYFUNCTION("""COMPUTED_VALUE"""),"Miami (FL)")</f>
        <v>Miami (FL)</v>
      </c>
      <c r="F813" s="4">
        <f>IFERROR(__xludf.DUMMYFUNCTION("""COMPUTED_VALUE"""),4.0)</f>
        <v>4</v>
      </c>
      <c r="G813" s="4">
        <f>IFERROR(__xludf.DUMMYFUNCTION("""COMPUTED_VALUE"""),256.0)</f>
        <v>256</v>
      </c>
      <c r="H813" s="4">
        <f>IFERROR(__xludf.DUMMYFUNCTION("""COMPUTED_VALUE"""),4880.0)</f>
        <v>4880</v>
      </c>
      <c r="I813" s="4">
        <f>IFERROR(__xludf.DUMMYFUNCTION("""COMPUTED_VALUE"""),1399.0)</f>
        <v>1399</v>
      </c>
      <c r="J813" s="4">
        <f>IFERROR(__xludf.DUMMYFUNCTION("""COMPUTED_VALUE"""),490.0)</f>
        <v>490</v>
      </c>
      <c r="K813" s="4">
        <f>IFERROR(__xludf.DUMMYFUNCTION("""COMPUTED_VALUE"""),737.0)</f>
        <v>737</v>
      </c>
      <c r="L813" s="4">
        <f>IFERROR(__xludf.DUMMYFUNCTION("""COMPUTED_VALUE"""),0.422)</f>
        <v>0.422</v>
      </c>
      <c r="M813" s="4">
        <f>IFERROR(__xludf.DUMMYFUNCTION("""COMPUTED_VALUE"""),0.336)</f>
        <v>0.336</v>
      </c>
      <c r="N813" s="4">
        <f>IFERROR(__xludf.DUMMYFUNCTION("""COMPUTED_VALUE"""),0.777)</f>
        <v>0.777</v>
      </c>
      <c r="O813" s="4">
        <f>IFERROR(__xludf.DUMMYFUNCTION("""COMPUTED_VALUE"""),19.1)</f>
        <v>19.1</v>
      </c>
      <c r="P813" s="4">
        <f>IFERROR(__xludf.DUMMYFUNCTION("""COMPUTED_VALUE"""),5.5)</f>
        <v>5.5</v>
      </c>
      <c r="Q813" s="4">
        <f>IFERROR(__xludf.DUMMYFUNCTION("""COMPUTED_VALUE"""),1.9)</f>
        <v>1.9</v>
      </c>
      <c r="R813" s="4">
        <f>IFERROR(__xludf.DUMMYFUNCTION("""COMPUTED_VALUE"""),2.9)</f>
        <v>2.9</v>
      </c>
      <c r="S813" s="4">
        <f>IFERROR(__xludf.DUMMYFUNCTION("""COMPUTED_VALUE"""),4.4)</f>
        <v>4.4</v>
      </c>
      <c r="T813" s="4">
        <f>IFERROR(__xludf.DUMMYFUNCTION("""COMPUTED_VALUE"""),0.044)</f>
        <v>0.044</v>
      </c>
      <c r="U813" s="4">
        <f>IFERROR(__xludf.DUMMYFUNCTION("""COMPUTED_VALUE"""),-2.4)</f>
        <v>-2.4</v>
      </c>
      <c r="V813" s="4">
        <f>IFERROR(__xludf.DUMMYFUNCTION("""COMPUTED_VALUE"""),-0.6)</f>
        <v>-0.6</v>
      </c>
    </row>
    <row r="814">
      <c r="A814" s="4">
        <f>IFERROR(__xludf.DUMMYFUNCTION("""COMPUTED_VALUE"""),19.0)</f>
        <v>19</v>
      </c>
      <c r="B814" s="4">
        <f>IFERROR(__xludf.DUMMYFUNCTION("""COMPUTED_VALUE"""),19.0)</f>
        <v>19</v>
      </c>
      <c r="C814" s="4" t="str">
        <f>IFERROR(__xludf.DUMMYFUNCTION("""COMPUTED_VALUE"""),"CLE")</f>
        <v>CLE</v>
      </c>
      <c r="D814" s="4" t="str">
        <f>IFERROR(__xludf.DUMMYFUNCTION("""COMPUTED_VALUE"""),"Sergey Karasev")</f>
        <v>Sergey Karasev</v>
      </c>
      <c r="E814" s="4"/>
      <c r="F814" s="4">
        <f>IFERROR(__xludf.DUMMYFUNCTION("""COMPUTED_VALUE"""),3.0)</f>
        <v>3</v>
      </c>
      <c r="G814" s="4">
        <f>IFERROR(__xludf.DUMMYFUNCTION("""COMPUTED_VALUE"""),95.0)</f>
        <v>95</v>
      </c>
      <c r="H814" s="4">
        <f>IFERROR(__xludf.DUMMYFUNCTION("""COMPUTED_VALUE"""),1110.0)</f>
        <v>1110</v>
      </c>
      <c r="I814" s="4">
        <f>IFERROR(__xludf.DUMMYFUNCTION("""COMPUTED_VALUE"""),287.0)</f>
        <v>287</v>
      </c>
      <c r="J814" s="4">
        <f>IFERROR(__xludf.DUMMYFUNCTION("""COMPUTED_VALUE"""),140.0)</f>
        <v>140</v>
      </c>
      <c r="K814" s="4">
        <f>IFERROR(__xludf.DUMMYFUNCTION("""COMPUTED_VALUE"""),87.0)</f>
        <v>87</v>
      </c>
      <c r="L814" s="4">
        <f>IFERROR(__xludf.DUMMYFUNCTION("""COMPUTED_VALUE"""),0.395)</f>
        <v>0.395</v>
      </c>
      <c r="M814" s="4">
        <f>IFERROR(__xludf.DUMMYFUNCTION("""COMPUTED_VALUE"""),0.282)</f>
        <v>0.282</v>
      </c>
      <c r="N814" s="4">
        <f>IFERROR(__xludf.DUMMYFUNCTION("""COMPUTED_VALUE"""),0.842)</f>
        <v>0.842</v>
      </c>
      <c r="O814" s="4">
        <f>IFERROR(__xludf.DUMMYFUNCTION("""COMPUTED_VALUE"""),11.7)</f>
        <v>11.7</v>
      </c>
      <c r="P814" s="4">
        <f>IFERROR(__xludf.DUMMYFUNCTION("""COMPUTED_VALUE"""),3.0)</f>
        <v>3</v>
      </c>
      <c r="Q814" s="4">
        <f>IFERROR(__xludf.DUMMYFUNCTION("""COMPUTED_VALUE"""),1.5)</f>
        <v>1.5</v>
      </c>
      <c r="R814" s="4">
        <f>IFERROR(__xludf.DUMMYFUNCTION("""COMPUTED_VALUE"""),0.9)</f>
        <v>0.9</v>
      </c>
      <c r="S814" s="4">
        <f>IFERROR(__xludf.DUMMYFUNCTION("""COMPUTED_VALUE"""),0.8)</f>
        <v>0.8</v>
      </c>
      <c r="T814" s="4">
        <f>IFERROR(__xludf.DUMMYFUNCTION("""COMPUTED_VALUE"""),0.036)</f>
        <v>0.036</v>
      </c>
      <c r="U814" s="4">
        <f>IFERROR(__xludf.DUMMYFUNCTION("""COMPUTED_VALUE"""),-3.4)</f>
        <v>-3.4</v>
      </c>
      <c r="V814" s="4">
        <f>IFERROR(__xludf.DUMMYFUNCTION("""COMPUTED_VALUE"""),-0.4)</f>
        <v>-0.4</v>
      </c>
    </row>
    <row r="815">
      <c r="A815" s="4">
        <f>IFERROR(__xludf.DUMMYFUNCTION("""COMPUTED_VALUE"""),20.0)</f>
        <v>20</v>
      </c>
      <c r="B815" s="4">
        <f>IFERROR(__xludf.DUMMYFUNCTION("""COMPUTED_VALUE"""),20.0)</f>
        <v>20</v>
      </c>
      <c r="C815" s="4" t="str">
        <f>IFERROR(__xludf.DUMMYFUNCTION("""COMPUTED_VALUE"""),"CHI")</f>
        <v>CHI</v>
      </c>
      <c r="D815" s="4" t="str">
        <f>IFERROR(__xludf.DUMMYFUNCTION("""COMPUTED_VALUE"""),"Tony Snell")</f>
        <v>Tony Snell</v>
      </c>
      <c r="E815" s="4" t="str">
        <f>IFERROR(__xludf.DUMMYFUNCTION("""COMPUTED_VALUE"""),"New Mexico")</f>
        <v>New Mexico</v>
      </c>
      <c r="F815" s="4">
        <f>IFERROR(__xludf.DUMMYFUNCTION("""COMPUTED_VALUE"""),9.0)</f>
        <v>9</v>
      </c>
      <c r="G815" s="4">
        <f>IFERROR(__xludf.DUMMYFUNCTION("""COMPUTED_VALUE"""),601.0)</f>
        <v>601</v>
      </c>
      <c r="H815" s="4">
        <f>IFERROR(__xludf.DUMMYFUNCTION("""COMPUTED_VALUE"""),13092.0)</f>
        <v>13092</v>
      </c>
      <c r="I815" s="4">
        <f>IFERROR(__xludf.DUMMYFUNCTION("""COMPUTED_VALUE"""),3672.0)</f>
        <v>3672</v>
      </c>
      <c r="J815" s="4">
        <f>IFERROR(__xludf.DUMMYFUNCTION("""COMPUTED_VALUE"""),1371.0)</f>
        <v>1371</v>
      </c>
      <c r="K815" s="4">
        <f>IFERROR(__xludf.DUMMYFUNCTION("""COMPUTED_VALUE"""),669.0)</f>
        <v>669</v>
      </c>
      <c r="L815" s="4">
        <f>IFERROR(__xludf.DUMMYFUNCTION("""COMPUTED_VALUE"""),0.431)</f>
        <v>0.431</v>
      </c>
      <c r="M815" s="4">
        <f>IFERROR(__xludf.DUMMYFUNCTION("""COMPUTED_VALUE"""),0.394)</f>
        <v>0.394</v>
      </c>
      <c r="N815" s="4">
        <f>IFERROR(__xludf.DUMMYFUNCTION("""COMPUTED_VALUE"""),0.846)</f>
        <v>0.846</v>
      </c>
      <c r="O815" s="4">
        <f>IFERROR(__xludf.DUMMYFUNCTION("""COMPUTED_VALUE"""),21.8)</f>
        <v>21.8</v>
      </c>
      <c r="P815" s="4">
        <f>IFERROR(__xludf.DUMMYFUNCTION("""COMPUTED_VALUE"""),6.1)</f>
        <v>6.1</v>
      </c>
      <c r="Q815" s="4">
        <f>IFERROR(__xludf.DUMMYFUNCTION("""COMPUTED_VALUE"""),2.3)</f>
        <v>2.3</v>
      </c>
      <c r="R815" s="4">
        <f>IFERROR(__xludf.DUMMYFUNCTION("""COMPUTED_VALUE"""),1.1)</f>
        <v>1.1</v>
      </c>
      <c r="S815" s="4">
        <f>IFERROR(__xludf.DUMMYFUNCTION("""COMPUTED_VALUE"""),18.5)</f>
        <v>18.5</v>
      </c>
      <c r="T815" s="4">
        <f>IFERROR(__xludf.DUMMYFUNCTION("""COMPUTED_VALUE"""),0.068)</f>
        <v>0.068</v>
      </c>
      <c r="U815" s="4">
        <f>IFERROR(__xludf.DUMMYFUNCTION("""COMPUTED_VALUE"""),-2.0)</f>
        <v>-2</v>
      </c>
      <c r="V815" s="4">
        <f>IFERROR(__xludf.DUMMYFUNCTION("""COMPUTED_VALUE"""),-0.1)</f>
        <v>-0.1</v>
      </c>
    </row>
    <row r="816">
      <c r="A816" s="4">
        <f>IFERROR(__xludf.DUMMYFUNCTION("""COMPUTED_VALUE"""),21.0)</f>
        <v>21</v>
      </c>
      <c r="B816" s="4">
        <f>IFERROR(__xludf.DUMMYFUNCTION("""COMPUTED_VALUE"""),21.0)</f>
        <v>21</v>
      </c>
      <c r="C816" s="4" t="str">
        <f>IFERROR(__xludf.DUMMYFUNCTION("""COMPUTED_VALUE"""),"UTA")</f>
        <v>UTA</v>
      </c>
      <c r="D816" s="4" t="str">
        <f>IFERROR(__xludf.DUMMYFUNCTION("""COMPUTED_VALUE"""),"Gorgui Dieng")</f>
        <v>Gorgui Dieng</v>
      </c>
      <c r="E816" s="4" t="str">
        <f>IFERROR(__xludf.DUMMYFUNCTION("""COMPUTED_VALUE"""),"Louisville")</f>
        <v>Louisville</v>
      </c>
      <c r="F816" s="4">
        <f>IFERROR(__xludf.DUMMYFUNCTION("""COMPUTED_VALUE"""),10.0)</f>
        <v>10</v>
      </c>
      <c r="G816" s="4">
        <f>IFERROR(__xludf.DUMMYFUNCTION("""COMPUTED_VALUE"""),628.0)</f>
        <v>628</v>
      </c>
      <c r="H816" s="4">
        <f>IFERROR(__xludf.DUMMYFUNCTION("""COMPUTED_VALUE"""),12625.0)</f>
        <v>12625</v>
      </c>
      <c r="I816" s="4">
        <f>IFERROR(__xludf.DUMMYFUNCTION("""COMPUTED_VALUE"""),4591.0)</f>
        <v>4591</v>
      </c>
      <c r="J816" s="4">
        <f>IFERROR(__xludf.DUMMYFUNCTION("""COMPUTED_VALUE"""),3534.0)</f>
        <v>3534</v>
      </c>
      <c r="K816" s="4">
        <f>IFERROR(__xludf.DUMMYFUNCTION("""COMPUTED_VALUE"""),837.0)</f>
        <v>837</v>
      </c>
      <c r="L816" s="4">
        <f>IFERROR(__xludf.DUMMYFUNCTION("""COMPUTED_VALUE"""),0.496)</f>
        <v>0.496</v>
      </c>
      <c r="M816" s="4">
        <f>IFERROR(__xludf.DUMMYFUNCTION("""COMPUTED_VALUE"""),0.355)</f>
        <v>0.355</v>
      </c>
      <c r="N816" s="4">
        <f>IFERROR(__xludf.DUMMYFUNCTION("""COMPUTED_VALUE"""),0.791)</f>
        <v>0.791</v>
      </c>
      <c r="O816" s="4">
        <f>IFERROR(__xludf.DUMMYFUNCTION("""COMPUTED_VALUE"""),20.1)</f>
        <v>20.1</v>
      </c>
      <c r="P816" s="4">
        <f>IFERROR(__xludf.DUMMYFUNCTION("""COMPUTED_VALUE"""),7.3)</f>
        <v>7.3</v>
      </c>
      <c r="Q816" s="4">
        <f>IFERROR(__xludf.DUMMYFUNCTION("""COMPUTED_VALUE"""),5.6)</f>
        <v>5.6</v>
      </c>
      <c r="R816" s="4">
        <f>IFERROR(__xludf.DUMMYFUNCTION("""COMPUTED_VALUE"""),1.3)</f>
        <v>1.3</v>
      </c>
      <c r="S816" s="4">
        <f>IFERROR(__xludf.DUMMYFUNCTION("""COMPUTED_VALUE"""),30.7)</f>
        <v>30.7</v>
      </c>
      <c r="T816" s="4">
        <f>IFERROR(__xludf.DUMMYFUNCTION("""COMPUTED_VALUE"""),0.117)</f>
        <v>0.117</v>
      </c>
      <c r="U816" s="4">
        <f>IFERROR(__xludf.DUMMYFUNCTION("""COMPUTED_VALUE"""),0.2)</f>
        <v>0.2</v>
      </c>
      <c r="V816" s="4">
        <f>IFERROR(__xludf.DUMMYFUNCTION("""COMPUTED_VALUE"""),7.1)</f>
        <v>7.1</v>
      </c>
    </row>
    <row r="817">
      <c r="A817" s="4">
        <f>IFERROR(__xludf.DUMMYFUNCTION("""COMPUTED_VALUE"""),22.0)</f>
        <v>22</v>
      </c>
      <c r="B817" s="4">
        <f>IFERROR(__xludf.DUMMYFUNCTION("""COMPUTED_VALUE"""),22.0)</f>
        <v>22</v>
      </c>
      <c r="C817" s="4" t="str">
        <f>IFERROR(__xludf.DUMMYFUNCTION("""COMPUTED_VALUE"""),"BRK")</f>
        <v>BRK</v>
      </c>
      <c r="D817" s="4" t="str">
        <f>IFERROR(__xludf.DUMMYFUNCTION("""COMPUTED_VALUE"""),"Mason Plumlee")</f>
        <v>Mason Plumlee</v>
      </c>
      <c r="E817" s="4" t="str">
        <f>IFERROR(__xludf.DUMMYFUNCTION("""COMPUTED_VALUE"""),"Duke")</f>
        <v>Duke</v>
      </c>
      <c r="F817" s="4">
        <f>IFERROR(__xludf.DUMMYFUNCTION("""COMPUTED_VALUE"""),13.0)</f>
        <v>13</v>
      </c>
      <c r="G817" s="4">
        <f>IFERROR(__xludf.DUMMYFUNCTION("""COMPUTED_VALUE"""),868.0)</f>
        <v>868</v>
      </c>
      <c r="H817" s="4">
        <f>IFERROR(__xludf.DUMMYFUNCTION("""COMPUTED_VALUE"""),18863.0)</f>
        <v>18863</v>
      </c>
      <c r="I817" s="4">
        <f>IFERROR(__xludf.DUMMYFUNCTION("""COMPUTED_VALUE"""),6930.0)</f>
        <v>6930</v>
      </c>
      <c r="J817" s="4">
        <f>IFERROR(__xludf.DUMMYFUNCTION("""COMPUTED_VALUE"""),5786.0)</f>
        <v>5786</v>
      </c>
      <c r="K817" s="4">
        <f>IFERROR(__xludf.DUMMYFUNCTION("""COMPUTED_VALUE"""),2054.0)</f>
        <v>2054</v>
      </c>
      <c r="L817" s="4">
        <f>IFERROR(__xludf.DUMMYFUNCTION("""COMPUTED_VALUE"""),0.596)</f>
        <v>0.596</v>
      </c>
      <c r="M817" s="4">
        <f>IFERROR(__xludf.DUMMYFUNCTION("""COMPUTED_VALUE"""),0.039)</f>
        <v>0.039</v>
      </c>
      <c r="N817" s="4">
        <f>IFERROR(__xludf.DUMMYFUNCTION("""COMPUTED_VALUE"""),0.577)</f>
        <v>0.577</v>
      </c>
      <c r="O817" s="4">
        <f>IFERROR(__xludf.DUMMYFUNCTION("""COMPUTED_VALUE"""),21.7)</f>
        <v>21.7</v>
      </c>
      <c r="P817" s="4">
        <f>IFERROR(__xludf.DUMMYFUNCTION("""COMPUTED_VALUE"""),8.0)</f>
        <v>8</v>
      </c>
      <c r="Q817" s="4">
        <f>IFERROR(__xludf.DUMMYFUNCTION("""COMPUTED_VALUE"""),6.7)</f>
        <v>6.7</v>
      </c>
      <c r="R817" s="4">
        <f>IFERROR(__xludf.DUMMYFUNCTION("""COMPUTED_VALUE"""),2.4)</f>
        <v>2.4</v>
      </c>
      <c r="S817" s="4">
        <f>IFERROR(__xludf.DUMMYFUNCTION("""COMPUTED_VALUE"""),58.0)</f>
        <v>58</v>
      </c>
      <c r="T817" s="4">
        <f>IFERROR(__xludf.DUMMYFUNCTION("""COMPUTED_VALUE"""),0.148)</f>
        <v>0.148</v>
      </c>
      <c r="U817" s="4">
        <f>IFERROR(__xludf.DUMMYFUNCTION("""COMPUTED_VALUE"""),1.2)</f>
        <v>1.2</v>
      </c>
      <c r="V817" s="4">
        <f>IFERROR(__xludf.DUMMYFUNCTION("""COMPUTED_VALUE"""),15.1)</f>
        <v>15.1</v>
      </c>
    </row>
    <row r="818">
      <c r="A818" s="4">
        <f>IFERROR(__xludf.DUMMYFUNCTION("""COMPUTED_VALUE"""),23.0)</f>
        <v>23</v>
      </c>
      <c r="B818" s="4">
        <f>IFERROR(__xludf.DUMMYFUNCTION("""COMPUTED_VALUE"""),23.0)</f>
        <v>23</v>
      </c>
      <c r="C818" s="4" t="str">
        <f>IFERROR(__xludf.DUMMYFUNCTION("""COMPUTED_VALUE"""),"IND")</f>
        <v>IND</v>
      </c>
      <c r="D818" s="4" t="str">
        <f>IFERROR(__xludf.DUMMYFUNCTION("""COMPUTED_VALUE"""),"Solomon Hill")</f>
        <v>Solomon Hill</v>
      </c>
      <c r="E818" s="4" t="str">
        <f>IFERROR(__xludf.DUMMYFUNCTION("""COMPUTED_VALUE"""),"Arizona")</f>
        <v>Arizona</v>
      </c>
      <c r="F818" s="4">
        <f>IFERROR(__xludf.DUMMYFUNCTION("""COMPUTED_VALUE"""),9.0)</f>
        <v>9</v>
      </c>
      <c r="G818" s="4">
        <f>IFERROR(__xludf.DUMMYFUNCTION("""COMPUTED_VALUE"""),448.0)</f>
        <v>448</v>
      </c>
      <c r="H818" s="4">
        <f>IFERROR(__xludf.DUMMYFUNCTION("""COMPUTED_VALUE"""),9652.0)</f>
        <v>9652</v>
      </c>
      <c r="I818" s="4">
        <f>IFERROR(__xludf.DUMMYFUNCTION("""COMPUTED_VALUE"""),2453.0)</f>
        <v>2453</v>
      </c>
      <c r="J818" s="4">
        <f>IFERROR(__xludf.DUMMYFUNCTION("""COMPUTED_VALUE"""),1399.0)</f>
        <v>1399</v>
      </c>
      <c r="K818" s="4">
        <f>IFERROR(__xludf.DUMMYFUNCTION("""COMPUTED_VALUE"""),662.0)</f>
        <v>662</v>
      </c>
      <c r="L818" s="4">
        <f>IFERROR(__xludf.DUMMYFUNCTION("""COMPUTED_VALUE"""),0.388)</f>
        <v>0.388</v>
      </c>
      <c r="M818" s="4">
        <f>IFERROR(__xludf.DUMMYFUNCTION("""COMPUTED_VALUE"""),0.331)</f>
        <v>0.331</v>
      </c>
      <c r="N818" s="4">
        <f>IFERROR(__xludf.DUMMYFUNCTION("""COMPUTED_VALUE"""),0.797)</f>
        <v>0.797</v>
      </c>
      <c r="O818" s="4">
        <f>IFERROR(__xludf.DUMMYFUNCTION("""COMPUTED_VALUE"""),21.5)</f>
        <v>21.5</v>
      </c>
      <c r="P818" s="4">
        <f>IFERROR(__xludf.DUMMYFUNCTION("""COMPUTED_VALUE"""),5.5)</f>
        <v>5.5</v>
      </c>
      <c r="Q818" s="4">
        <f>IFERROR(__xludf.DUMMYFUNCTION("""COMPUTED_VALUE"""),3.1)</f>
        <v>3.1</v>
      </c>
      <c r="R818" s="4">
        <f>IFERROR(__xludf.DUMMYFUNCTION("""COMPUTED_VALUE"""),1.5)</f>
        <v>1.5</v>
      </c>
      <c r="S818" s="4">
        <f>IFERROR(__xludf.DUMMYFUNCTION("""COMPUTED_VALUE"""),11.9)</f>
        <v>11.9</v>
      </c>
      <c r="T818" s="4">
        <f>IFERROR(__xludf.DUMMYFUNCTION("""COMPUTED_VALUE"""),0.059)</f>
        <v>0.059</v>
      </c>
      <c r="U818" s="4">
        <f>IFERROR(__xludf.DUMMYFUNCTION("""COMPUTED_VALUE"""),-2.1)</f>
        <v>-2.1</v>
      </c>
      <c r="V818" s="4">
        <f>IFERROR(__xludf.DUMMYFUNCTION("""COMPUTED_VALUE"""),-0.3)</f>
        <v>-0.3</v>
      </c>
    </row>
    <row r="819">
      <c r="A819" s="4">
        <f>IFERROR(__xludf.DUMMYFUNCTION("""COMPUTED_VALUE"""),24.0)</f>
        <v>24</v>
      </c>
      <c r="B819" s="4">
        <f>IFERROR(__xludf.DUMMYFUNCTION("""COMPUTED_VALUE"""),24.0)</f>
        <v>24</v>
      </c>
      <c r="C819" s="4" t="str">
        <f>IFERROR(__xludf.DUMMYFUNCTION("""COMPUTED_VALUE"""),"NYK")</f>
        <v>NYK</v>
      </c>
      <c r="D819" s="4" t="str">
        <f>IFERROR(__xludf.DUMMYFUNCTION("""COMPUTED_VALUE"""),"Tim Hardaway Jr.")</f>
        <v>Tim Hardaway Jr.</v>
      </c>
      <c r="E819" s="4" t="str">
        <f>IFERROR(__xludf.DUMMYFUNCTION("""COMPUTED_VALUE"""),"Michigan")</f>
        <v>Michigan</v>
      </c>
      <c r="F819" s="4">
        <f>IFERROR(__xludf.DUMMYFUNCTION("""COMPUTED_VALUE"""),13.0)</f>
        <v>13</v>
      </c>
      <c r="G819" s="4">
        <f>IFERROR(__xludf.DUMMYFUNCTION("""COMPUTED_VALUE"""),833.0)</f>
        <v>833</v>
      </c>
      <c r="H819" s="4">
        <f>IFERROR(__xludf.DUMMYFUNCTION("""COMPUTED_VALUE"""),22753.0)</f>
        <v>22753</v>
      </c>
      <c r="I819" s="4">
        <f>IFERROR(__xludf.DUMMYFUNCTION("""COMPUTED_VALUE"""),11390.0)</f>
        <v>11390</v>
      </c>
      <c r="J819" s="4">
        <f>IFERROR(__xludf.DUMMYFUNCTION("""COMPUTED_VALUE"""),2376.0)</f>
        <v>2376</v>
      </c>
      <c r="K819" s="4">
        <f>IFERROR(__xludf.DUMMYFUNCTION("""COMPUTED_VALUE"""),1517.0)</f>
        <v>1517</v>
      </c>
      <c r="L819" s="4">
        <f>IFERROR(__xludf.DUMMYFUNCTION("""COMPUTED_VALUE"""),0.418)</f>
        <v>0.418</v>
      </c>
      <c r="M819" s="4">
        <f>IFERROR(__xludf.DUMMYFUNCTION("""COMPUTED_VALUE"""),0.362)</f>
        <v>0.362</v>
      </c>
      <c r="N819" s="4">
        <f>IFERROR(__xludf.DUMMYFUNCTION("""COMPUTED_VALUE"""),0.816)</f>
        <v>0.816</v>
      </c>
      <c r="O819" s="4">
        <f>IFERROR(__xludf.DUMMYFUNCTION("""COMPUTED_VALUE"""),27.3)</f>
        <v>27.3</v>
      </c>
      <c r="P819" s="4">
        <f>IFERROR(__xludf.DUMMYFUNCTION("""COMPUTED_VALUE"""),13.7)</f>
        <v>13.7</v>
      </c>
      <c r="Q819" s="4">
        <f>IFERROR(__xludf.DUMMYFUNCTION("""COMPUTED_VALUE"""),2.9)</f>
        <v>2.9</v>
      </c>
      <c r="R819" s="4">
        <f>IFERROR(__xludf.DUMMYFUNCTION("""COMPUTED_VALUE"""),1.8)</f>
        <v>1.8</v>
      </c>
      <c r="S819" s="4">
        <f>IFERROR(__xludf.DUMMYFUNCTION("""COMPUTED_VALUE"""),35.1)</f>
        <v>35.1</v>
      </c>
      <c r="T819" s="4">
        <f>IFERROR(__xludf.DUMMYFUNCTION("""COMPUTED_VALUE"""),0.074)</f>
        <v>0.074</v>
      </c>
      <c r="U819" s="4">
        <f>IFERROR(__xludf.DUMMYFUNCTION("""COMPUTED_VALUE"""),-1.2)</f>
        <v>-1.2</v>
      </c>
      <c r="V819" s="4">
        <f>IFERROR(__xludf.DUMMYFUNCTION("""COMPUTED_VALUE"""),4.7)</f>
        <v>4.7</v>
      </c>
    </row>
    <row r="820">
      <c r="A820" s="4">
        <f>IFERROR(__xludf.DUMMYFUNCTION("""COMPUTED_VALUE"""),25.0)</f>
        <v>25</v>
      </c>
      <c r="B820" s="4">
        <f>IFERROR(__xludf.DUMMYFUNCTION("""COMPUTED_VALUE"""),25.0)</f>
        <v>25</v>
      </c>
      <c r="C820" s="4" t="str">
        <f>IFERROR(__xludf.DUMMYFUNCTION("""COMPUTED_VALUE"""),"LAC")</f>
        <v>LAC</v>
      </c>
      <c r="D820" s="4" t="str">
        <f>IFERROR(__xludf.DUMMYFUNCTION("""COMPUTED_VALUE"""),"Reggie Bullock")</f>
        <v>Reggie Bullock</v>
      </c>
      <c r="E820" s="4" t="str">
        <f>IFERROR(__xludf.DUMMYFUNCTION("""COMPUTED_VALUE"""),"UNC")</f>
        <v>UNC</v>
      </c>
      <c r="F820" s="4">
        <f>IFERROR(__xludf.DUMMYFUNCTION("""COMPUTED_VALUE"""),11.0)</f>
        <v>11</v>
      </c>
      <c r="G820" s="4">
        <f>IFERROR(__xludf.DUMMYFUNCTION("""COMPUTED_VALUE"""),556.0)</f>
        <v>556</v>
      </c>
      <c r="H820" s="4">
        <f>IFERROR(__xludf.DUMMYFUNCTION("""COMPUTED_VALUE"""),12556.0)</f>
        <v>12556</v>
      </c>
      <c r="I820" s="4">
        <f>IFERROR(__xludf.DUMMYFUNCTION("""COMPUTED_VALUE"""),4039.0)</f>
        <v>4039</v>
      </c>
      <c r="J820" s="4">
        <f>IFERROR(__xludf.DUMMYFUNCTION("""COMPUTED_VALUE"""),1451.0)</f>
        <v>1451</v>
      </c>
      <c r="K820" s="4">
        <f>IFERROR(__xludf.DUMMYFUNCTION("""COMPUTED_VALUE"""),647.0)</f>
        <v>647</v>
      </c>
      <c r="L820" s="4">
        <f>IFERROR(__xludf.DUMMYFUNCTION("""COMPUTED_VALUE"""),0.424)</f>
        <v>0.424</v>
      </c>
      <c r="M820" s="4">
        <f>IFERROR(__xludf.DUMMYFUNCTION("""COMPUTED_VALUE"""),0.385)</f>
        <v>0.385</v>
      </c>
      <c r="N820" s="4">
        <f>IFERROR(__xludf.DUMMYFUNCTION("""COMPUTED_VALUE"""),0.827)</f>
        <v>0.827</v>
      </c>
      <c r="O820" s="4">
        <f>IFERROR(__xludf.DUMMYFUNCTION("""COMPUTED_VALUE"""),22.6)</f>
        <v>22.6</v>
      </c>
      <c r="P820" s="4">
        <f>IFERROR(__xludf.DUMMYFUNCTION("""COMPUTED_VALUE"""),7.3)</f>
        <v>7.3</v>
      </c>
      <c r="Q820" s="4">
        <f>IFERROR(__xludf.DUMMYFUNCTION("""COMPUTED_VALUE"""),2.6)</f>
        <v>2.6</v>
      </c>
      <c r="R820" s="4">
        <f>IFERROR(__xludf.DUMMYFUNCTION("""COMPUTED_VALUE"""),1.2)</f>
        <v>1.2</v>
      </c>
      <c r="S820" s="4">
        <f>IFERROR(__xludf.DUMMYFUNCTION("""COMPUTED_VALUE"""),21.4)</f>
        <v>21.4</v>
      </c>
      <c r="T820" s="4">
        <f>IFERROR(__xludf.DUMMYFUNCTION("""COMPUTED_VALUE"""),0.082)</f>
        <v>0.082</v>
      </c>
      <c r="U820" s="4">
        <f>IFERROR(__xludf.DUMMYFUNCTION("""COMPUTED_VALUE"""),-1.2)</f>
        <v>-1.2</v>
      </c>
      <c r="V820" s="4">
        <f>IFERROR(__xludf.DUMMYFUNCTION("""COMPUTED_VALUE"""),2.6)</f>
        <v>2.6</v>
      </c>
    </row>
    <row r="821">
      <c r="A821" s="4">
        <f>IFERROR(__xludf.DUMMYFUNCTION("""COMPUTED_VALUE"""),26.0)</f>
        <v>26</v>
      </c>
      <c r="B821" s="4">
        <f>IFERROR(__xludf.DUMMYFUNCTION("""COMPUTED_VALUE"""),26.0)</f>
        <v>26</v>
      </c>
      <c r="C821" s="4" t="str">
        <f>IFERROR(__xludf.DUMMYFUNCTION("""COMPUTED_VALUE"""),"MIN")</f>
        <v>MIN</v>
      </c>
      <c r="D821" s="4" t="str">
        <f>IFERROR(__xludf.DUMMYFUNCTION("""COMPUTED_VALUE"""),"Andre Roberson")</f>
        <v>Andre Roberson</v>
      </c>
      <c r="E821" s="4" t="str">
        <f>IFERROR(__xludf.DUMMYFUNCTION("""COMPUTED_VALUE"""),"Colorado")</f>
        <v>Colorado</v>
      </c>
      <c r="F821" s="4">
        <f>IFERROR(__xludf.DUMMYFUNCTION("""COMPUTED_VALUE"""),7.0)</f>
        <v>7</v>
      </c>
      <c r="G821" s="4">
        <f>IFERROR(__xludf.DUMMYFUNCTION("""COMPUTED_VALUE"""),307.0)</f>
        <v>307</v>
      </c>
      <c r="H821" s="4">
        <f>IFERROR(__xludf.DUMMYFUNCTION("""COMPUTED_VALUE"""),6801.0)</f>
        <v>6801</v>
      </c>
      <c r="I821" s="4">
        <f>IFERROR(__xludf.DUMMYFUNCTION("""COMPUTED_VALUE"""),1382.0)</f>
        <v>1382</v>
      </c>
      <c r="J821" s="4">
        <f>IFERROR(__xludf.DUMMYFUNCTION("""COMPUTED_VALUE"""),1230.0)</f>
        <v>1230</v>
      </c>
      <c r="K821" s="4">
        <f>IFERROR(__xludf.DUMMYFUNCTION("""COMPUTED_VALUE"""),265.0)</f>
        <v>265</v>
      </c>
      <c r="L821" s="4">
        <f>IFERROR(__xludf.DUMMYFUNCTION("""COMPUTED_VALUE"""),0.473)</f>
        <v>0.473</v>
      </c>
      <c r="M821" s="4">
        <f>IFERROR(__xludf.DUMMYFUNCTION("""COMPUTED_VALUE"""),0.253)</f>
        <v>0.253</v>
      </c>
      <c r="N821" s="4">
        <f>IFERROR(__xludf.DUMMYFUNCTION("""COMPUTED_VALUE"""),0.468)</f>
        <v>0.468</v>
      </c>
      <c r="O821" s="4">
        <f>IFERROR(__xludf.DUMMYFUNCTION("""COMPUTED_VALUE"""),22.2)</f>
        <v>22.2</v>
      </c>
      <c r="P821" s="4">
        <f>IFERROR(__xludf.DUMMYFUNCTION("""COMPUTED_VALUE"""),4.5)</f>
        <v>4.5</v>
      </c>
      <c r="Q821" s="4">
        <f>IFERROR(__xludf.DUMMYFUNCTION("""COMPUTED_VALUE"""),4.0)</f>
        <v>4</v>
      </c>
      <c r="R821" s="4">
        <f>IFERROR(__xludf.DUMMYFUNCTION("""COMPUTED_VALUE"""),0.9)</f>
        <v>0.9</v>
      </c>
      <c r="S821" s="4">
        <f>IFERROR(__xludf.DUMMYFUNCTION("""COMPUTED_VALUE"""),12.6)</f>
        <v>12.6</v>
      </c>
      <c r="T821" s="4">
        <f>IFERROR(__xludf.DUMMYFUNCTION("""COMPUTED_VALUE"""),0.089)</f>
        <v>0.089</v>
      </c>
      <c r="U821" s="4">
        <f>IFERROR(__xludf.DUMMYFUNCTION("""COMPUTED_VALUE"""),-0.6)</f>
        <v>-0.6</v>
      </c>
      <c r="V821" s="4">
        <f>IFERROR(__xludf.DUMMYFUNCTION("""COMPUTED_VALUE"""),2.3)</f>
        <v>2.3</v>
      </c>
    </row>
    <row r="822">
      <c r="A822" s="4">
        <f>IFERROR(__xludf.DUMMYFUNCTION("""COMPUTED_VALUE"""),27.0)</f>
        <v>27</v>
      </c>
      <c r="B822" s="4">
        <f>IFERROR(__xludf.DUMMYFUNCTION("""COMPUTED_VALUE"""),27.0)</f>
        <v>27</v>
      </c>
      <c r="C822" s="4" t="str">
        <f>IFERROR(__xludf.DUMMYFUNCTION("""COMPUTED_VALUE"""),"DEN")</f>
        <v>DEN</v>
      </c>
      <c r="D822" s="4" t="str">
        <f>IFERROR(__xludf.DUMMYFUNCTION("""COMPUTED_VALUE"""),"Rudy Gobert")</f>
        <v>Rudy Gobert</v>
      </c>
      <c r="E822" s="4"/>
      <c r="F822" s="4">
        <f>IFERROR(__xludf.DUMMYFUNCTION("""COMPUTED_VALUE"""),13.0)</f>
        <v>13</v>
      </c>
      <c r="G822" s="4">
        <f>IFERROR(__xludf.DUMMYFUNCTION("""COMPUTED_VALUE"""),850.0)</f>
        <v>850</v>
      </c>
      <c r="H822" s="4">
        <f>IFERROR(__xludf.DUMMYFUNCTION("""COMPUTED_VALUE"""),26106.0)</f>
        <v>26106</v>
      </c>
      <c r="I822" s="4">
        <f>IFERROR(__xludf.DUMMYFUNCTION("""COMPUTED_VALUE"""),10691.0)</f>
        <v>10691</v>
      </c>
      <c r="J822" s="4">
        <f>IFERROR(__xludf.DUMMYFUNCTION("""COMPUTED_VALUE"""),9915.0)</f>
        <v>9915</v>
      </c>
      <c r="K822" s="4">
        <f>IFERROR(__xludf.DUMMYFUNCTION("""COMPUTED_VALUE"""),1162.0)</f>
        <v>1162</v>
      </c>
      <c r="L822" s="4">
        <f>IFERROR(__xludf.DUMMYFUNCTION("""COMPUTED_VALUE"""),0.658)</f>
        <v>0.658</v>
      </c>
      <c r="M822" s="4">
        <f>IFERROR(__xludf.DUMMYFUNCTION("""COMPUTED_VALUE"""),0.0)</f>
        <v>0</v>
      </c>
      <c r="N822" s="4">
        <f>IFERROR(__xludf.DUMMYFUNCTION("""COMPUTED_VALUE"""),0.639)</f>
        <v>0.639</v>
      </c>
      <c r="O822" s="4">
        <f>IFERROR(__xludf.DUMMYFUNCTION("""COMPUTED_VALUE"""),30.7)</f>
        <v>30.7</v>
      </c>
      <c r="P822" s="4">
        <f>IFERROR(__xludf.DUMMYFUNCTION("""COMPUTED_VALUE"""),12.6)</f>
        <v>12.6</v>
      </c>
      <c r="Q822" s="4">
        <f>IFERROR(__xludf.DUMMYFUNCTION("""COMPUTED_VALUE"""),11.7)</f>
        <v>11.7</v>
      </c>
      <c r="R822" s="4">
        <f>IFERROR(__xludf.DUMMYFUNCTION("""COMPUTED_VALUE"""),1.4)</f>
        <v>1.4</v>
      </c>
      <c r="S822" s="4">
        <f>IFERROR(__xludf.DUMMYFUNCTION("""COMPUTED_VALUE"""),118.5)</f>
        <v>118.5</v>
      </c>
      <c r="T822" s="4">
        <f>IFERROR(__xludf.DUMMYFUNCTION("""COMPUTED_VALUE"""),0.218)</f>
        <v>0.218</v>
      </c>
      <c r="U822" s="4">
        <f>IFERROR(__xludf.DUMMYFUNCTION("""COMPUTED_VALUE"""),3.2)</f>
        <v>3.2</v>
      </c>
      <c r="V822" s="4">
        <f>IFERROR(__xludf.DUMMYFUNCTION("""COMPUTED_VALUE"""),34.4)</f>
        <v>34.4</v>
      </c>
    </row>
    <row r="823">
      <c r="A823" s="4">
        <f>IFERROR(__xludf.DUMMYFUNCTION("""COMPUTED_VALUE"""),28.0)</f>
        <v>28</v>
      </c>
      <c r="B823" s="4">
        <f>IFERROR(__xludf.DUMMYFUNCTION("""COMPUTED_VALUE"""),28.0)</f>
        <v>28</v>
      </c>
      <c r="C823" s="4" t="str">
        <f>IFERROR(__xludf.DUMMYFUNCTION("""COMPUTED_VALUE"""),"SAS")</f>
        <v>SAS</v>
      </c>
      <c r="D823" s="4" t="str">
        <f>IFERROR(__xludf.DUMMYFUNCTION("""COMPUTED_VALUE"""),"Livio Jean-Charles")</f>
        <v>Livio Jean-Charles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>
        <f>IFERROR(__xludf.DUMMYFUNCTION("""COMPUTED_VALUE"""),29.0)</f>
        <v>29</v>
      </c>
      <c r="B824" s="4">
        <f>IFERROR(__xludf.DUMMYFUNCTION("""COMPUTED_VALUE"""),29.0)</f>
        <v>29</v>
      </c>
      <c r="C824" s="4" t="str">
        <f>IFERROR(__xludf.DUMMYFUNCTION("""COMPUTED_VALUE"""),"OKC")</f>
        <v>OKC</v>
      </c>
      <c r="D824" s="4" t="str">
        <f>IFERROR(__xludf.DUMMYFUNCTION("""COMPUTED_VALUE"""),"Archie Goodwin")</f>
        <v>Archie Goodwin</v>
      </c>
      <c r="E824" s="4" t="str">
        <f>IFERROR(__xludf.DUMMYFUNCTION("""COMPUTED_VALUE"""),"Kentucky")</f>
        <v>Kentucky</v>
      </c>
      <c r="F824" s="4">
        <f>IFERROR(__xludf.DUMMYFUNCTION("""COMPUTED_VALUE"""),4.0)</f>
        <v>4</v>
      </c>
      <c r="G824" s="4">
        <f>IFERROR(__xludf.DUMMYFUNCTION("""COMPUTED_VALUE"""),165.0)</f>
        <v>165</v>
      </c>
      <c r="H824" s="4">
        <f>IFERROR(__xludf.DUMMYFUNCTION("""COMPUTED_VALUE"""),2396.0)</f>
        <v>2396</v>
      </c>
      <c r="I824" s="4">
        <f>IFERROR(__xludf.DUMMYFUNCTION("""COMPUTED_VALUE"""),1040.0)</f>
        <v>1040</v>
      </c>
      <c r="J824" s="4">
        <f>IFERROR(__xludf.DUMMYFUNCTION("""COMPUTED_VALUE"""),331.0)</f>
        <v>331</v>
      </c>
      <c r="K824" s="4">
        <f>IFERROR(__xludf.DUMMYFUNCTION("""COMPUTED_VALUE"""),206.0)</f>
        <v>206</v>
      </c>
      <c r="L824" s="4">
        <f>IFERROR(__xludf.DUMMYFUNCTION("""COMPUTED_VALUE"""),0.429)</f>
        <v>0.429</v>
      </c>
      <c r="M824" s="4">
        <f>IFERROR(__xludf.DUMMYFUNCTION("""COMPUTED_VALUE"""),0.236)</f>
        <v>0.236</v>
      </c>
      <c r="N824" s="4">
        <f>IFERROR(__xludf.DUMMYFUNCTION("""COMPUTED_VALUE"""),0.7)</f>
        <v>0.7</v>
      </c>
      <c r="O824" s="4">
        <f>IFERROR(__xludf.DUMMYFUNCTION("""COMPUTED_VALUE"""),14.5)</f>
        <v>14.5</v>
      </c>
      <c r="P824" s="4">
        <f>IFERROR(__xludf.DUMMYFUNCTION("""COMPUTED_VALUE"""),6.3)</f>
        <v>6.3</v>
      </c>
      <c r="Q824" s="4">
        <f>IFERROR(__xludf.DUMMYFUNCTION("""COMPUTED_VALUE"""),2.0)</f>
        <v>2</v>
      </c>
      <c r="R824" s="4">
        <f>IFERROR(__xludf.DUMMYFUNCTION("""COMPUTED_VALUE"""),1.2)</f>
        <v>1.2</v>
      </c>
      <c r="S824" s="4">
        <f>IFERROR(__xludf.DUMMYFUNCTION("""COMPUTED_VALUE"""),1.1)</f>
        <v>1.1</v>
      </c>
      <c r="T824" s="4">
        <f>IFERROR(__xludf.DUMMYFUNCTION("""COMPUTED_VALUE"""),0.022)</f>
        <v>0.022</v>
      </c>
      <c r="U824" s="4">
        <f>IFERROR(__xludf.DUMMYFUNCTION("""COMPUTED_VALUE"""),-3.0)</f>
        <v>-3</v>
      </c>
      <c r="V824" s="4">
        <f>IFERROR(__xludf.DUMMYFUNCTION("""COMPUTED_VALUE"""),-0.6)</f>
        <v>-0.6</v>
      </c>
    </row>
    <row r="825">
      <c r="A825" s="4">
        <f>IFERROR(__xludf.DUMMYFUNCTION("""COMPUTED_VALUE"""),30.0)</f>
        <v>30</v>
      </c>
      <c r="B825" s="4">
        <f>IFERROR(__xludf.DUMMYFUNCTION("""COMPUTED_VALUE"""),30.0)</f>
        <v>30</v>
      </c>
      <c r="C825" s="4" t="str">
        <f>IFERROR(__xludf.DUMMYFUNCTION("""COMPUTED_VALUE"""),"PHO")</f>
        <v>PHO</v>
      </c>
      <c r="D825" s="4" t="str">
        <f>IFERROR(__xludf.DUMMYFUNCTION("""COMPUTED_VALUE"""),"Nemanja Nedović")</f>
        <v>Nemanja Nedović</v>
      </c>
      <c r="E825" s="4"/>
      <c r="F825" s="4">
        <f>IFERROR(__xludf.DUMMYFUNCTION("""COMPUTED_VALUE"""),1.0)</f>
        <v>1</v>
      </c>
      <c r="G825" s="4">
        <f>IFERROR(__xludf.DUMMYFUNCTION("""COMPUTED_VALUE"""),24.0)</f>
        <v>24</v>
      </c>
      <c r="H825" s="4">
        <f>IFERROR(__xludf.DUMMYFUNCTION("""COMPUTED_VALUE"""),142.0)</f>
        <v>142</v>
      </c>
      <c r="I825" s="4">
        <f>IFERROR(__xludf.DUMMYFUNCTION("""COMPUTED_VALUE"""),26.0)</f>
        <v>26</v>
      </c>
      <c r="J825" s="4">
        <f>IFERROR(__xludf.DUMMYFUNCTION("""COMPUTED_VALUE"""),15.0)</f>
        <v>15</v>
      </c>
      <c r="K825" s="4">
        <f>IFERROR(__xludf.DUMMYFUNCTION("""COMPUTED_VALUE"""),13.0)</f>
        <v>13</v>
      </c>
      <c r="L825" s="4">
        <f>IFERROR(__xludf.DUMMYFUNCTION("""COMPUTED_VALUE"""),0.205)</f>
        <v>0.205</v>
      </c>
      <c r="M825" s="4">
        <f>IFERROR(__xludf.DUMMYFUNCTION("""COMPUTED_VALUE"""),0.167)</f>
        <v>0.167</v>
      </c>
      <c r="N825" s="4">
        <f>IFERROR(__xludf.DUMMYFUNCTION("""COMPUTED_VALUE"""),0.875)</f>
        <v>0.875</v>
      </c>
      <c r="O825" s="4">
        <f>IFERROR(__xludf.DUMMYFUNCTION("""COMPUTED_VALUE"""),5.9)</f>
        <v>5.9</v>
      </c>
      <c r="P825" s="4">
        <f>IFERROR(__xludf.DUMMYFUNCTION("""COMPUTED_VALUE"""),1.1)</f>
        <v>1.1</v>
      </c>
      <c r="Q825" s="4">
        <f>IFERROR(__xludf.DUMMYFUNCTION("""COMPUTED_VALUE"""),0.6)</f>
        <v>0.6</v>
      </c>
      <c r="R825" s="4">
        <f>IFERROR(__xludf.DUMMYFUNCTION("""COMPUTED_VALUE"""),0.5)</f>
        <v>0.5</v>
      </c>
      <c r="S825" s="4">
        <f>IFERROR(__xludf.DUMMYFUNCTION("""COMPUTED_VALUE"""),-0.4)</f>
        <v>-0.4</v>
      </c>
      <c r="T825" s="4">
        <f>IFERROR(__xludf.DUMMYFUNCTION("""COMPUTED_VALUE"""),-0.132)</f>
        <v>-0.132</v>
      </c>
      <c r="U825" s="4">
        <f>IFERROR(__xludf.DUMMYFUNCTION("""COMPUTED_VALUE"""),-10.0)</f>
        <v>-10</v>
      </c>
      <c r="V825" s="4">
        <f>IFERROR(__xludf.DUMMYFUNCTION("""COMPUTED_VALUE"""),-0.3)</f>
        <v>-0.3</v>
      </c>
    </row>
    <row r="826">
      <c r="A826" s="4"/>
      <c r="B826" s="4"/>
      <c r="C826" s="4"/>
      <c r="D826" s="4" t="str">
        <f>IFERROR(__xludf.DUMMYFUNCTION("""COMPUTED_VALUE"""),"Round 2")</f>
        <v>Round 2</v>
      </c>
      <c r="E826" s="4"/>
      <c r="F826" s="4"/>
      <c r="G826" s="4" t="str">
        <f>IFERROR(__xludf.DUMMYFUNCTION("""COMPUTED_VALUE"""),"Totals")</f>
        <v>Totals</v>
      </c>
      <c r="H826" s="4"/>
      <c r="I826" s="4"/>
      <c r="J826" s="4"/>
      <c r="K826" s="4"/>
      <c r="L826" s="4" t="str">
        <f>IFERROR(__xludf.DUMMYFUNCTION("""COMPUTED_VALUE"""),"Shooting")</f>
        <v>Shooting</v>
      </c>
      <c r="M826" s="4"/>
      <c r="N826" s="4"/>
      <c r="O826" s="4" t="str">
        <f>IFERROR(__xludf.DUMMYFUNCTION("""COMPUTED_VALUE"""),"Per Game")</f>
        <v>Per Game</v>
      </c>
      <c r="P826" s="4"/>
      <c r="Q826" s="4"/>
      <c r="R826" s="4"/>
      <c r="S826" s="4" t="str">
        <f>IFERROR(__xludf.DUMMYFUNCTION("""COMPUTED_VALUE"""),"Advanced")</f>
        <v>Advanced</v>
      </c>
      <c r="T826" s="4"/>
      <c r="U826" s="4"/>
      <c r="V826" s="4"/>
    </row>
    <row r="827">
      <c r="A827" s="4" t="str">
        <f>IFERROR(__xludf.DUMMYFUNCTION("""COMPUTED_VALUE"""),"Rk")</f>
        <v>Rk</v>
      </c>
      <c r="B827" s="4" t="str">
        <f>IFERROR(__xludf.DUMMYFUNCTION("""COMPUTED_VALUE"""),"Pk")</f>
        <v>Pk</v>
      </c>
      <c r="C827" s="4" t="str">
        <f>IFERROR(__xludf.DUMMYFUNCTION("""COMPUTED_VALUE"""),"Tm")</f>
        <v>Tm</v>
      </c>
      <c r="D827" s="4" t="str">
        <f>IFERROR(__xludf.DUMMYFUNCTION("""COMPUTED_VALUE"""),"Player")</f>
        <v>Player</v>
      </c>
      <c r="E827" s="4" t="str">
        <f>IFERROR(__xludf.DUMMYFUNCTION("""COMPUTED_VALUE"""),"College")</f>
        <v>College</v>
      </c>
      <c r="F827" s="4" t="str">
        <f>IFERROR(__xludf.DUMMYFUNCTION("""COMPUTED_VALUE"""),"Yrs")</f>
        <v>Yrs</v>
      </c>
      <c r="G827" s="4" t="str">
        <f>IFERROR(__xludf.DUMMYFUNCTION("""COMPUTED_VALUE"""),"G")</f>
        <v>G</v>
      </c>
      <c r="H827" s="4" t="str">
        <f>IFERROR(__xludf.DUMMYFUNCTION("""COMPUTED_VALUE"""),"MP")</f>
        <v>MP</v>
      </c>
      <c r="I827" s="4" t="str">
        <f>IFERROR(__xludf.DUMMYFUNCTION("""COMPUTED_VALUE"""),"PTS")</f>
        <v>PTS</v>
      </c>
      <c r="J827" s="4" t="str">
        <f>IFERROR(__xludf.DUMMYFUNCTION("""COMPUTED_VALUE"""),"TRB")</f>
        <v>TRB</v>
      </c>
      <c r="K827" s="4" t="str">
        <f>IFERROR(__xludf.DUMMYFUNCTION("""COMPUTED_VALUE"""),"AST")</f>
        <v>AST</v>
      </c>
      <c r="L827" s="4" t="str">
        <f>IFERROR(__xludf.DUMMYFUNCTION("""COMPUTED_VALUE"""),"FG%")</f>
        <v>FG%</v>
      </c>
      <c r="M827" s="4" t="str">
        <f>IFERROR(__xludf.DUMMYFUNCTION("""COMPUTED_VALUE"""),"3P%")</f>
        <v>3P%</v>
      </c>
      <c r="N827" s="4" t="str">
        <f>IFERROR(__xludf.DUMMYFUNCTION("""COMPUTED_VALUE"""),"FT%")</f>
        <v>FT%</v>
      </c>
      <c r="O827" s="4" t="str">
        <f>IFERROR(__xludf.DUMMYFUNCTION("""COMPUTED_VALUE"""),"MP")</f>
        <v>MP</v>
      </c>
      <c r="P827" s="4" t="str">
        <f>IFERROR(__xludf.DUMMYFUNCTION("""COMPUTED_VALUE"""),"PTS")</f>
        <v>PTS</v>
      </c>
      <c r="Q827" s="4" t="str">
        <f>IFERROR(__xludf.DUMMYFUNCTION("""COMPUTED_VALUE"""),"TRB")</f>
        <v>TRB</v>
      </c>
      <c r="R827" s="4" t="str">
        <f>IFERROR(__xludf.DUMMYFUNCTION("""COMPUTED_VALUE"""),"AST")</f>
        <v>AST</v>
      </c>
      <c r="S827" s="4" t="str">
        <f>IFERROR(__xludf.DUMMYFUNCTION("""COMPUTED_VALUE"""),"WS")</f>
        <v>WS</v>
      </c>
      <c r="T827" s="4" t="str">
        <f>IFERROR(__xludf.DUMMYFUNCTION("""COMPUTED_VALUE"""),"WS/48")</f>
        <v>WS/48</v>
      </c>
      <c r="U827" s="4" t="str">
        <f>IFERROR(__xludf.DUMMYFUNCTION("""COMPUTED_VALUE"""),"BPM")</f>
        <v>BPM</v>
      </c>
      <c r="V827" s="4" t="str">
        <f>IFERROR(__xludf.DUMMYFUNCTION("""COMPUTED_VALUE"""),"VORP")</f>
        <v>VORP</v>
      </c>
    </row>
    <row r="828">
      <c r="A828" s="4">
        <f>IFERROR(__xludf.DUMMYFUNCTION("""COMPUTED_VALUE"""),31.0)</f>
        <v>31</v>
      </c>
      <c r="B828" s="4">
        <f>IFERROR(__xludf.DUMMYFUNCTION("""COMPUTED_VALUE"""),31.0)</f>
        <v>31</v>
      </c>
      <c r="C828" s="4" t="str">
        <f>IFERROR(__xludf.DUMMYFUNCTION("""COMPUTED_VALUE"""),"CLE")</f>
        <v>CLE</v>
      </c>
      <c r="D828" s="4" t="str">
        <f>IFERROR(__xludf.DUMMYFUNCTION("""COMPUTED_VALUE"""),"Allen Crabbe")</f>
        <v>Allen Crabbe</v>
      </c>
      <c r="E828" s="4" t="str">
        <f>IFERROR(__xludf.DUMMYFUNCTION("""COMPUTED_VALUE"""),"California")</f>
        <v>California</v>
      </c>
      <c r="F828" s="4">
        <f>IFERROR(__xludf.DUMMYFUNCTION("""COMPUTED_VALUE"""),7.0)</f>
        <v>7</v>
      </c>
      <c r="G828" s="4">
        <f>IFERROR(__xludf.DUMMYFUNCTION("""COMPUTED_VALUE"""),381.0)</f>
        <v>381</v>
      </c>
      <c r="H828" s="4">
        <f>IFERROR(__xludf.DUMMYFUNCTION("""COMPUTED_VALUE"""),9125.0)</f>
        <v>9125</v>
      </c>
      <c r="I828" s="4">
        <f>IFERROR(__xludf.DUMMYFUNCTION("""COMPUTED_VALUE"""),3453.0)</f>
        <v>3453</v>
      </c>
      <c r="J828" s="4">
        <f>IFERROR(__xludf.DUMMYFUNCTION("""COMPUTED_VALUE"""),1073.0)</f>
        <v>1073</v>
      </c>
      <c r="K828" s="4">
        <f>IFERROR(__xludf.DUMMYFUNCTION("""COMPUTED_VALUE"""),434.0)</f>
        <v>434</v>
      </c>
      <c r="L828" s="4">
        <f>IFERROR(__xludf.DUMMYFUNCTION("""COMPUTED_VALUE"""),0.425)</f>
        <v>0.425</v>
      </c>
      <c r="M828" s="4">
        <f>IFERROR(__xludf.DUMMYFUNCTION("""COMPUTED_VALUE"""),0.387)</f>
        <v>0.387</v>
      </c>
      <c r="N828" s="4">
        <f>IFERROR(__xludf.DUMMYFUNCTION("""COMPUTED_VALUE"""),0.831)</f>
        <v>0.831</v>
      </c>
      <c r="O828" s="4">
        <f>IFERROR(__xludf.DUMMYFUNCTION("""COMPUTED_VALUE"""),24.0)</f>
        <v>24</v>
      </c>
      <c r="P828" s="4">
        <f>IFERROR(__xludf.DUMMYFUNCTION("""COMPUTED_VALUE"""),9.1)</f>
        <v>9.1</v>
      </c>
      <c r="Q828" s="4">
        <f>IFERROR(__xludf.DUMMYFUNCTION("""COMPUTED_VALUE"""),2.8)</f>
        <v>2.8</v>
      </c>
      <c r="R828" s="4">
        <f>IFERROR(__xludf.DUMMYFUNCTION("""COMPUTED_VALUE"""),1.1)</f>
        <v>1.1</v>
      </c>
      <c r="S828" s="4">
        <f>IFERROR(__xludf.DUMMYFUNCTION("""COMPUTED_VALUE"""),13.7)</f>
        <v>13.7</v>
      </c>
      <c r="T828" s="4">
        <f>IFERROR(__xludf.DUMMYFUNCTION("""COMPUTED_VALUE"""),0.072)</f>
        <v>0.072</v>
      </c>
      <c r="U828" s="4">
        <f>IFERROR(__xludf.DUMMYFUNCTION("""COMPUTED_VALUE"""),-1.6)</f>
        <v>-1.6</v>
      </c>
      <c r="V828" s="4">
        <f>IFERROR(__xludf.DUMMYFUNCTION("""COMPUTED_VALUE"""),0.9)</f>
        <v>0.9</v>
      </c>
    </row>
    <row r="829">
      <c r="A829" s="4">
        <f>IFERROR(__xludf.DUMMYFUNCTION("""COMPUTED_VALUE"""),32.0)</f>
        <v>32</v>
      </c>
      <c r="B829" s="4">
        <f>IFERROR(__xludf.DUMMYFUNCTION("""COMPUTED_VALUE"""),32.0)</f>
        <v>32</v>
      </c>
      <c r="C829" s="4" t="str">
        <f>IFERROR(__xludf.DUMMYFUNCTION("""COMPUTED_VALUE"""),"OKC")</f>
        <v>OKC</v>
      </c>
      <c r="D829" s="4" t="str">
        <f>IFERROR(__xludf.DUMMYFUNCTION("""COMPUTED_VALUE"""),"Álex Abrines")</f>
        <v>Álex Abrines</v>
      </c>
      <c r="E829" s="4"/>
      <c r="F829" s="4">
        <f>IFERROR(__xludf.DUMMYFUNCTION("""COMPUTED_VALUE"""),3.0)</f>
        <v>3</v>
      </c>
      <c r="G829" s="4">
        <f>IFERROR(__xludf.DUMMYFUNCTION("""COMPUTED_VALUE"""),174.0)</f>
        <v>174</v>
      </c>
      <c r="H829" s="4">
        <f>IFERROR(__xludf.DUMMYFUNCTION("""COMPUTED_VALUE"""),2777.0)</f>
        <v>2777</v>
      </c>
      <c r="I829" s="4">
        <f>IFERROR(__xludf.DUMMYFUNCTION("""COMPUTED_VALUE"""),924.0)</f>
        <v>924</v>
      </c>
      <c r="J829" s="4">
        <f>IFERROR(__xludf.DUMMYFUNCTION("""COMPUTED_VALUE"""),248.0)</f>
        <v>248</v>
      </c>
      <c r="K829" s="4">
        <f>IFERROR(__xludf.DUMMYFUNCTION("""COMPUTED_VALUE"""),88.0)</f>
        <v>88</v>
      </c>
      <c r="L829" s="4">
        <f>IFERROR(__xludf.DUMMYFUNCTION("""COMPUTED_VALUE"""),0.387)</f>
        <v>0.387</v>
      </c>
      <c r="M829" s="4">
        <f>IFERROR(__xludf.DUMMYFUNCTION("""COMPUTED_VALUE"""),0.368)</f>
        <v>0.368</v>
      </c>
      <c r="N829" s="4">
        <f>IFERROR(__xludf.DUMMYFUNCTION("""COMPUTED_VALUE"""),0.88)</f>
        <v>0.88</v>
      </c>
      <c r="O829" s="4">
        <f>IFERROR(__xludf.DUMMYFUNCTION("""COMPUTED_VALUE"""),16.0)</f>
        <v>16</v>
      </c>
      <c r="P829" s="4">
        <f>IFERROR(__xludf.DUMMYFUNCTION("""COMPUTED_VALUE"""),5.3)</f>
        <v>5.3</v>
      </c>
      <c r="Q829" s="4">
        <f>IFERROR(__xludf.DUMMYFUNCTION("""COMPUTED_VALUE"""),1.4)</f>
        <v>1.4</v>
      </c>
      <c r="R829" s="4">
        <f>IFERROR(__xludf.DUMMYFUNCTION("""COMPUTED_VALUE"""),0.5)</f>
        <v>0.5</v>
      </c>
      <c r="S829" s="4">
        <f>IFERROR(__xludf.DUMMYFUNCTION("""COMPUTED_VALUE"""),5.0)</f>
        <v>5</v>
      </c>
      <c r="T829" s="4">
        <f>IFERROR(__xludf.DUMMYFUNCTION("""COMPUTED_VALUE"""),0.086)</f>
        <v>0.086</v>
      </c>
      <c r="U829" s="4">
        <f>IFERROR(__xludf.DUMMYFUNCTION("""COMPUTED_VALUE"""),-1.9)</f>
        <v>-1.9</v>
      </c>
      <c r="V829" s="4">
        <f>IFERROR(__xludf.DUMMYFUNCTION("""COMPUTED_VALUE"""),0.1)</f>
        <v>0.1</v>
      </c>
    </row>
    <row r="830">
      <c r="A830" s="4">
        <f>IFERROR(__xludf.DUMMYFUNCTION("""COMPUTED_VALUE"""),33.0)</f>
        <v>33</v>
      </c>
      <c r="B830" s="4">
        <f>IFERROR(__xludf.DUMMYFUNCTION("""COMPUTED_VALUE"""),33.0)</f>
        <v>33</v>
      </c>
      <c r="C830" s="4" t="str">
        <f>IFERROR(__xludf.DUMMYFUNCTION("""COMPUTED_VALUE"""),"CLE")</f>
        <v>CLE</v>
      </c>
      <c r="D830" s="4" t="str">
        <f>IFERROR(__xludf.DUMMYFUNCTION("""COMPUTED_VALUE"""),"Carrick Felix")</f>
        <v>Carrick Felix</v>
      </c>
      <c r="E830" s="4" t="str">
        <f>IFERROR(__xludf.DUMMYFUNCTION("""COMPUTED_VALUE"""),"Arizona State")</f>
        <v>Arizona State</v>
      </c>
      <c r="F830" s="4">
        <f>IFERROR(__xludf.DUMMYFUNCTION("""COMPUTED_VALUE"""),1.0)</f>
        <v>1</v>
      </c>
      <c r="G830" s="4">
        <f>IFERROR(__xludf.DUMMYFUNCTION("""COMPUTED_VALUE"""),7.0)</f>
        <v>7</v>
      </c>
      <c r="H830" s="4">
        <f>IFERROR(__xludf.DUMMYFUNCTION("""COMPUTED_VALUE"""),38.0)</f>
        <v>38</v>
      </c>
      <c r="I830" s="4">
        <f>IFERROR(__xludf.DUMMYFUNCTION("""COMPUTED_VALUE"""),19.0)</f>
        <v>19</v>
      </c>
      <c r="J830" s="4">
        <f>IFERROR(__xludf.DUMMYFUNCTION("""COMPUTED_VALUE"""),6.0)</f>
        <v>6</v>
      </c>
      <c r="K830" s="4">
        <f>IFERROR(__xludf.DUMMYFUNCTION("""COMPUTED_VALUE"""),4.0)</f>
        <v>4</v>
      </c>
      <c r="L830" s="4">
        <f>IFERROR(__xludf.DUMMYFUNCTION("""COMPUTED_VALUE"""),0.5)</f>
        <v>0.5</v>
      </c>
      <c r="M830" s="4">
        <f>IFERROR(__xludf.DUMMYFUNCTION("""COMPUTED_VALUE"""),0.4)</f>
        <v>0.4</v>
      </c>
      <c r="N830" s="4">
        <f>IFERROR(__xludf.DUMMYFUNCTION("""COMPUTED_VALUE"""),0.75)</f>
        <v>0.75</v>
      </c>
      <c r="O830" s="4">
        <f>IFERROR(__xludf.DUMMYFUNCTION("""COMPUTED_VALUE"""),5.4)</f>
        <v>5.4</v>
      </c>
      <c r="P830" s="4">
        <f>IFERROR(__xludf.DUMMYFUNCTION("""COMPUTED_VALUE"""),2.7)</f>
        <v>2.7</v>
      </c>
      <c r="Q830" s="4">
        <f>IFERROR(__xludf.DUMMYFUNCTION("""COMPUTED_VALUE"""),0.9)</f>
        <v>0.9</v>
      </c>
      <c r="R830" s="4">
        <f>IFERROR(__xludf.DUMMYFUNCTION("""COMPUTED_VALUE"""),0.6)</f>
        <v>0.6</v>
      </c>
      <c r="S830" s="4">
        <f>IFERROR(__xludf.DUMMYFUNCTION("""COMPUTED_VALUE"""),0.0)</f>
        <v>0</v>
      </c>
      <c r="T830" s="4">
        <f>IFERROR(__xludf.DUMMYFUNCTION("""COMPUTED_VALUE"""),0.057)</f>
        <v>0.057</v>
      </c>
      <c r="U830" s="4">
        <f>IFERROR(__xludf.DUMMYFUNCTION("""COMPUTED_VALUE"""),-3.4)</f>
        <v>-3.4</v>
      </c>
      <c r="V830" s="4">
        <f>IFERROR(__xludf.DUMMYFUNCTION("""COMPUTED_VALUE"""),0.0)</f>
        <v>0</v>
      </c>
    </row>
    <row r="831">
      <c r="A831" s="4">
        <f>IFERROR(__xludf.DUMMYFUNCTION("""COMPUTED_VALUE"""),34.0)</f>
        <v>34</v>
      </c>
      <c r="B831" s="4">
        <f>IFERROR(__xludf.DUMMYFUNCTION("""COMPUTED_VALUE"""),34.0)</f>
        <v>34</v>
      </c>
      <c r="C831" s="4" t="str">
        <f>IFERROR(__xludf.DUMMYFUNCTION("""COMPUTED_VALUE"""),"HOU")</f>
        <v>HOU</v>
      </c>
      <c r="D831" s="4" t="str">
        <f>IFERROR(__xludf.DUMMYFUNCTION("""COMPUTED_VALUE"""),"Isaiah Canaan")</f>
        <v>Isaiah Canaan</v>
      </c>
      <c r="E831" s="4" t="str">
        <f>IFERROR(__xludf.DUMMYFUNCTION("""COMPUTED_VALUE"""),"Murray State")</f>
        <v>Murray State</v>
      </c>
      <c r="F831" s="4">
        <f>IFERROR(__xludf.DUMMYFUNCTION("""COMPUTED_VALUE"""),6.0)</f>
        <v>6</v>
      </c>
      <c r="G831" s="4">
        <f>IFERROR(__xludf.DUMMYFUNCTION("""COMPUTED_VALUE"""),235.0)</f>
        <v>235</v>
      </c>
      <c r="H831" s="4">
        <f>IFERROR(__xludf.DUMMYFUNCTION("""COMPUTED_VALUE"""),4799.0)</f>
        <v>4799</v>
      </c>
      <c r="I831" s="4">
        <f>IFERROR(__xludf.DUMMYFUNCTION("""COMPUTED_VALUE"""),1913.0)</f>
        <v>1913</v>
      </c>
      <c r="J831" s="4">
        <f>IFERROR(__xludf.DUMMYFUNCTION("""COMPUTED_VALUE"""),438.0)</f>
        <v>438</v>
      </c>
      <c r="K831" s="4">
        <f>IFERROR(__xludf.DUMMYFUNCTION("""COMPUTED_VALUE"""),454.0)</f>
        <v>454</v>
      </c>
      <c r="L831" s="4">
        <f>IFERROR(__xludf.DUMMYFUNCTION("""COMPUTED_VALUE"""),0.371)</f>
        <v>0.371</v>
      </c>
      <c r="M831" s="4">
        <f>IFERROR(__xludf.DUMMYFUNCTION("""COMPUTED_VALUE"""),0.351)</f>
        <v>0.351</v>
      </c>
      <c r="N831" s="4">
        <f>IFERROR(__xludf.DUMMYFUNCTION("""COMPUTED_VALUE"""),0.836)</f>
        <v>0.836</v>
      </c>
      <c r="O831" s="4">
        <f>IFERROR(__xludf.DUMMYFUNCTION("""COMPUTED_VALUE"""),20.4)</f>
        <v>20.4</v>
      </c>
      <c r="P831" s="4">
        <f>IFERROR(__xludf.DUMMYFUNCTION("""COMPUTED_VALUE"""),8.1)</f>
        <v>8.1</v>
      </c>
      <c r="Q831" s="4">
        <f>IFERROR(__xludf.DUMMYFUNCTION("""COMPUTED_VALUE"""),1.9)</f>
        <v>1.9</v>
      </c>
      <c r="R831" s="4">
        <f>IFERROR(__xludf.DUMMYFUNCTION("""COMPUTED_VALUE"""),1.9)</f>
        <v>1.9</v>
      </c>
      <c r="S831" s="4">
        <f>IFERROR(__xludf.DUMMYFUNCTION("""COMPUTED_VALUE"""),4.3)</f>
        <v>4.3</v>
      </c>
      <c r="T831" s="4">
        <f>IFERROR(__xludf.DUMMYFUNCTION("""COMPUTED_VALUE"""),0.043)</f>
        <v>0.043</v>
      </c>
      <c r="U831" s="4">
        <f>IFERROR(__xludf.DUMMYFUNCTION("""COMPUTED_VALUE"""),-2.4)</f>
        <v>-2.4</v>
      </c>
      <c r="V831" s="4">
        <f>IFERROR(__xludf.DUMMYFUNCTION("""COMPUTED_VALUE"""),-0.5)</f>
        <v>-0.5</v>
      </c>
    </row>
    <row r="832">
      <c r="A832" s="4">
        <f>IFERROR(__xludf.DUMMYFUNCTION("""COMPUTED_VALUE"""),35.0)</f>
        <v>35</v>
      </c>
      <c r="B832" s="4">
        <f>IFERROR(__xludf.DUMMYFUNCTION("""COMPUTED_VALUE"""),35.0)</f>
        <v>35</v>
      </c>
      <c r="C832" s="4" t="str">
        <f>IFERROR(__xludf.DUMMYFUNCTION("""COMPUTED_VALUE"""),"PHI")</f>
        <v>PHI</v>
      </c>
      <c r="D832" s="4" t="str">
        <f>IFERROR(__xludf.DUMMYFUNCTION("""COMPUTED_VALUE"""),"Glen Rice Jr.")</f>
        <v>Glen Rice Jr.</v>
      </c>
      <c r="E832" s="4" t="str">
        <f>IFERROR(__xludf.DUMMYFUNCTION("""COMPUTED_VALUE"""),"Georgia Tech")</f>
        <v>Georgia Tech</v>
      </c>
      <c r="F832" s="4">
        <f>IFERROR(__xludf.DUMMYFUNCTION("""COMPUTED_VALUE"""),2.0)</f>
        <v>2</v>
      </c>
      <c r="G832" s="4">
        <f>IFERROR(__xludf.DUMMYFUNCTION("""COMPUTED_VALUE"""),16.0)</f>
        <v>16</v>
      </c>
      <c r="H832" s="4">
        <f>IFERROR(__xludf.DUMMYFUNCTION("""COMPUTED_VALUE"""),152.0)</f>
        <v>152</v>
      </c>
      <c r="I832" s="4">
        <f>IFERROR(__xludf.DUMMYFUNCTION("""COMPUTED_VALUE"""),43.0)</f>
        <v>43</v>
      </c>
      <c r="J832" s="4">
        <f>IFERROR(__xludf.DUMMYFUNCTION("""COMPUTED_VALUE"""),24.0)</f>
        <v>24</v>
      </c>
      <c r="K832" s="4">
        <f>IFERROR(__xludf.DUMMYFUNCTION("""COMPUTED_VALUE"""),9.0)</f>
        <v>9</v>
      </c>
      <c r="L832" s="4">
        <f>IFERROR(__xludf.DUMMYFUNCTION("""COMPUTED_VALUE"""),0.269)</f>
        <v>0.269</v>
      </c>
      <c r="M832" s="4">
        <f>IFERROR(__xludf.DUMMYFUNCTION("""COMPUTED_VALUE"""),0.25)</f>
        <v>0.25</v>
      </c>
      <c r="N832" s="4">
        <f>IFERROR(__xludf.DUMMYFUNCTION("""COMPUTED_VALUE"""),0.692)</f>
        <v>0.692</v>
      </c>
      <c r="O832" s="4">
        <f>IFERROR(__xludf.DUMMYFUNCTION("""COMPUTED_VALUE"""),9.5)</f>
        <v>9.5</v>
      </c>
      <c r="P832" s="4">
        <f>IFERROR(__xludf.DUMMYFUNCTION("""COMPUTED_VALUE"""),2.7)</f>
        <v>2.7</v>
      </c>
      <c r="Q832" s="4">
        <f>IFERROR(__xludf.DUMMYFUNCTION("""COMPUTED_VALUE"""),1.5)</f>
        <v>1.5</v>
      </c>
      <c r="R832" s="4">
        <f>IFERROR(__xludf.DUMMYFUNCTION("""COMPUTED_VALUE"""),0.6)</f>
        <v>0.6</v>
      </c>
      <c r="S832" s="4">
        <f>IFERROR(__xludf.DUMMYFUNCTION("""COMPUTED_VALUE"""),-0.2)</f>
        <v>-0.2</v>
      </c>
      <c r="T832" s="4">
        <f>IFERROR(__xludf.DUMMYFUNCTION("""COMPUTED_VALUE"""),-0.065)</f>
        <v>-0.065</v>
      </c>
      <c r="U832" s="4">
        <f>IFERROR(__xludf.DUMMYFUNCTION("""COMPUTED_VALUE"""),-6.6)</f>
        <v>-6.6</v>
      </c>
      <c r="V832" s="4">
        <f>IFERROR(__xludf.DUMMYFUNCTION("""COMPUTED_VALUE"""),-0.2)</f>
        <v>-0.2</v>
      </c>
    </row>
    <row r="833">
      <c r="A833" s="4">
        <f>IFERROR(__xludf.DUMMYFUNCTION("""COMPUTED_VALUE"""),36.0)</f>
        <v>36</v>
      </c>
      <c r="B833" s="4">
        <f>IFERROR(__xludf.DUMMYFUNCTION("""COMPUTED_VALUE"""),36.0)</f>
        <v>36</v>
      </c>
      <c r="C833" s="4" t="str">
        <f>IFERROR(__xludf.DUMMYFUNCTION("""COMPUTED_VALUE"""),"SAC")</f>
        <v>SAC</v>
      </c>
      <c r="D833" s="4" t="str">
        <f>IFERROR(__xludf.DUMMYFUNCTION("""COMPUTED_VALUE"""),"Ray McCallum")</f>
        <v>Ray McCallum</v>
      </c>
      <c r="E833" s="4" t="str">
        <f>IFERROR(__xludf.DUMMYFUNCTION("""COMPUTED_VALUE"""),"Detroit Mercy")</f>
        <v>Detroit Mercy</v>
      </c>
      <c r="F833" s="4">
        <f>IFERROR(__xludf.DUMMYFUNCTION("""COMPUTED_VALUE"""),3.0)</f>
        <v>3</v>
      </c>
      <c r="G833" s="4">
        <f>IFERROR(__xludf.DUMMYFUNCTION("""COMPUTED_VALUE"""),154.0)</f>
        <v>154</v>
      </c>
      <c r="H833" s="4">
        <f>IFERROR(__xludf.DUMMYFUNCTION("""COMPUTED_VALUE"""),2808.0)</f>
        <v>2808</v>
      </c>
      <c r="I833" s="4">
        <f>IFERROR(__xludf.DUMMYFUNCTION("""COMPUTED_VALUE"""),920.0)</f>
        <v>920</v>
      </c>
      <c r="J833" s="4">
        <f>IFERROR(__xludf.DUMMYFUNCTION("""COMPUTED_VALUE"""),306.0)</f>
        <v>306</v>
      </c>
      <c r="K833" s="4">
        <f>IFERROR(__xludf.DUMMYFUNCTION("""COMPUTED_VALUE"""),368.0)</f>
        <v>368</v>
      </c>
      <c r="L833" s="4">
        <f>IFERROR(__xludf.DUMMYFUNCTION("""COMPUTED_VALUE"""),0.408)</f>
        <v>0.408</v>
      </c>
      <c r="M833" s="4">
        <f>IFERROR(__xludf.DUMMYFUNCTION("""COMPUTED_VALUE"""),0.335)</f>
        <v>0.335</v>
      </c>
      <c r="N833" s="4">
        <f>IFERROR(__xludf.DUMMYFUNCTION("""COMPUTED_VALUE"""),0.711)</f>
        <v>0.711</v>
      </c>
      <c r="O833" s="4">
        <f>IFERROR(__xludf.DUMMYFUNCTION("""COMPUTED_VALUE"""),18.2)</f>
        <v>18.2</v>
      </c>
      <c r="P833" s="4">
        <f>IFERROR(__xludf.DUMMYFUNCTION("""COMPUTED_VALUE"""),6.0)</f>
        <v>6</v>
      </c>
      <c r="Q833" s="4">
        <f>IFERROR(__xludf.DUMMYFUNCTION("""COMPUTED_VALUE"""),2.0)</f>
        <v>2</v>
      </c>
      <c r="R833" s="4">
        <f>IFERROR(__xludf.DUMMYFUNCTION("""COMPUTED_VALUE"""),2.4)</f>
        <v>2.4</v>
      </c>
      <c r="S833" s="4">
        <f>IFERROR(__xludf.DUMMYFUNCTION("""COMPUTED_VALUE"""),2.1)</f>
        <v>2.1</v>
      </c>
      <c r="T833" s="4">
        <f>IFERROR(__xludf.DUMMYFUNCTION("""COMPUTED_VALUE"""),0.035)</f>
        <v>0.035</v>
      </c>
      <c r="U833" s="4">
        <f>IFERROR(__xludf.DUMMYFUNCTION("""COMPUTED_VALUE"""),-2.6)</f>
        <v>-2.6</v>
      </c>
      <c r="V833" s="4">
        <f>IFERROR(__xludf.DUMMYFUNCTION("""COMPUTED_VALUE"""),-0.4)</f>
        <v>-0.4</v>
      </c>
    </row>
    <row r="834">
      <c r="A834" s="4">
        <f>IFERROR(__xludf.DUMMYFUNCTION("""COMPUTED_VALUE"""),37.0)</f>
        <v>37</v>
      </c>
      <c r="B834" s="4">
        <f>IFERROR(__xludf.DUMMYFUNCTION("""COMPUTED_VALUE"""),37.0)</f>
        <v>37</v>
      </c>
      <c r="C834" s="4" t="str">
        <f>IFERROR(__xludf.DUMMYFUNCTION("""COMPUTED_VALUE"""),"DET")</f>
        <v>DET</v>
      </c>
      <c r="D834" s="4" t="str">
        <f>IFERROR(__xludf.DUMMYFUNCTION("""COMPUTED_VALUE"""),"Tony Mitchell")</f>
        <v>Tony Mitchell</v>
      </c>
      <c r="E834" s="4" t="str">
        <f>IFERROR(__xludf.DUMMYFUNCTION("""COMPUTED_VALUE"""),"University of North Texas")</f>
        <v>University of North Texas</v>
      </c>
      <c r="F834" s="4">
        <f>IFERROR(__xludf.DUMMYFUNCTION("""COMPUTED_VALUE"""),1.0)</f>
        <v>1</v>
      </c>
      <c r="G834" s="4">
        <f>IFERROR(__xludf.DUMMYFUNCTION("""COMPUTED_VALUE"""),21.0)</f>
        <v>21</v>
      </c>
      <c r="H834" s="4">
        <f>IFERROR(__xludf.DUMMYFUNCTION("""COMPUTED_VALUE"""),79.0)</f>
        <v>79</v>
      </c>
      <c r="I834" s="4">
        <f>IFERROR(__xludf.DUMMYFUNCTION("""COMPUTED_VALUE"""),22.0)</f>
        <v>22</v>
      </c>
      <c r="J834" s="4">
        <f>IFERROR(__xludf.DUMMYFUNCTION("""COMPUTED_VALUE"""),26.0)</f>
        <v>26</v>
      </c>
      <c r="K834" s="4">
        <f>IFERROR(__xludf.DUMMYFUNCTION("""COMPUTED_VALUE"""),2.0)</f>
        <v>2</v>
      </c>
      <c r="L834" s="4">
        <f>IFERROR(__xludf.DUMMYFUNCTION("""COMPUTED_VALUE"""),0.417)</f>
        <v>0.417</v>
      </c>
      <c r="M834" s="4">
        <f>IFERROR(__xludf.DUMMYFUNCTION("""COMPUTED_VALUE"""),1.0)</f>
        <v>1</v>
      </c>
      <c r="N834" s="4">
        <f>IFERROR(__xludf.DUMMYFUNCTION("""COMPUTED_VALUE"""),0.579)</f>
        <v>0.579</v>
      </c>
      <c r="O834" s="4">
        <f>IFERROR(__xludf.DUMMYFUNCTION("""COMPUTED_VALUE"""),3.8)</f>
        <v>3.8</v>
      </c>
      <c r="P834" s="4">
        <f>IFERROR(__xludf.DUMMYFUNCTION("""COMPUTED_VALUE"""),1.0)</f>
        <v>1</v>
      </c>
      <c r="Q834" s="4">
        <f>IFERROR(__xludf.DUMMYFUNCTION("""COMPUTED_VALUE"""),1.2)</f>
        <v>1.2</v>
      </c>
      <c r="R834" s="4">
        <f>IFERROR(__xludf.DUMMYFUNCTION("""COMPUTED_VALUE"""),0.1)</f>
        <v>0.1</v>
      </c>
      <c r="S834" s="4">
        <f>IFERROR(__xludf.DUMMYFUNCTION("""COMPUTED_VALUE"""),0.2)</f>
        <v>0.2</v>
      </c>
      <c r="T834" s="4">
        <f>IFERROR(__xludf.DUMMYFUNCTION("""COMPUTED_VALUE"""),0.151)</f>
        <v>0.151</v>
      </c>
      <c r="U834" s="4">
        <f>IFERROR(__xludf.DUMMYFUNCTION("""COMPUTED_VALUE"""),0.4)</f>
        <v>0.4</v>
      </c>
      <c r="V834" s="4">
        <f>IFERROR(__xludf.DUMMYFUNCTION("""COMPUTED_VALUE"""),0.0)</f>
        <v>0</v>
      </c>
    </row>
    <row r="835">
      <c r="A835" s="4">
        <f>IFERROR(__xludf.DUMMYFUNCTION("""COMPUTED_VALUE"""),38.0)</f>
        <v>38</v>
      </c>
      <c r="B835" s="4">
        <f>IFERROR(__xludf.DUMMYFUNCTION("""COMPUTED_VALUE"""),38.0)</f>
        <v>38</v>
      </c>
      <c r="C835" s="4" t="str">
        <f>IFERROR(__xludf.DUMMYFUNCTION("""COMPUTED_VALUE"""),"WAS")</f>
        <v>WAS</v>
      </c>
      <c r="D835" s="4" t="str">
        <f>IFERROR(__xludf.DUMMYFUNCTION("""COMPUTED_VALUE"""),"Nate Wolters")</f>
        <v>Nate Wolters</v>
      </c>
      <c r="E835" s="4" t="str">
        <f>IFERROR(__xludf.DUMMYFUNCTION("""COMPUTED_VALUE"""),"South Dakota State")</f>
        <v>South Dakota State</v>
      </c>
      <c r="F835" s="4">
        <f>IFERROR(__xludf.DUMMYFUNCTION("""COMPUTED_VALUE"""),3.0)</f>
        <v>3</v>
      </c>
      <c r="G835" s="4">
        <f>IFERROR(__xludf.DUMMYFUNCTION("""COMPUTED_VALUE"""),84.0)</f>
        <v>84</v>
      </c>
      <c r="H835" s="4">
        <f>IFERROR(__xludf.DUMMYFUNCTION("""COMPUTED_VALUE"""),1575.0)</f>
        <v>1575</v>
      </c>
      <c r="I835" s="4">
        <f>IFERROR(__xludf.DUMMYFUNCTION("""COMPUTED_VALUE"""),461.0)</f>
        <v>461</v>
      </c>
      <c r="J835" s="4">
        <f>IFERROR(__xludf.DUMMYFUNCTION("""COMPUTED_VALUE"""),185.0)</f>
        <v>185</v>
      </c>
      <c r="K835" s="4">
        <f>IFERROR(__xludf.DUMMYFUNCTION("""COMPUTED_VALUE"""),209.0)</f>
        <v>209</v>
      </c>
      <c r="L835" s="4">
        <f>IFERROR(__xludf.DUMMYFUNCTION("""COMPUTED_VALUE"""),0.423)</f>
        <v>0.423</v>
      </c>
      <c r="M835" s="4">
        <f>IFERROR(__xludf.DUMMYFUNCTION("""COMPUTED_VALUE"""),0.261)</f>
        <v>0.261</v>
      </c>
      <c r="N835" s="4">
        <f>IFERROR(__xludf.DUMMYFUNCTION("""COMPUTED_VALUE"""),0.635)</f>
        <v>0.635</v>
      </c>
      <c r="O835" s="4">
        <f>IFERROR(__xludf.DUMMYFUNCTION("""COMPUTED_VALUE"""),18.8)</f>
        <v>18.8</v>
      </c>
      <c r="P835" s="4">
        <f>IFERROR(__xludf.DUMMYFUNCTION("""COMPUTED_VALUE"""),5.5)</f>
        <v>5.5</v>
      </c>
      <c r="Q835" s="4">
        <f>IFERROR(__xludf.DUMMYFUNCTION("""COMPUTED_VALUE"""),2.2)</f>
        <v>2.2</v>
      </c>
      <c r="R835" s="4">
        <f>IFERROR(__xludf.DUMMYFUNCTION("""COMPUTED_VALUE"""),2.5)</f>
        <v>2.5</v>
      </c>
      <c r="S835" s="4">
        <f>IFERROR(__xludf.DUMMYFUNCTION("""COMPUTED_VALUE"""),0.9)</f>
        <v>0.9</v>
      </c>
      <c r="T835" s="4">
        <f>IFERROR(__xludf.DUMMYFUNCTION("""COMPUTED_VALUE"""),0.028)</f>
        <v>0.028</v>
      </c>
      <c r="U835" s="4">
        <f>IFERROR(__xludf.DUMMYFUNCTION("""COMPUTED_VALUE"""),-2.6)</f>
        <v>-2.6</v>
      </c>
      <c r="V835" s="4">
        <f>IFERROR(__xludf.DUMMYFUNCTION("""COMPUTED_VALUE"""),-0.2)</f>
        <v>-0.2</v>
      </c>
    </row>
    <row r="836">
      <c r="A836" s="4">
        <f>IFERROR(__xludf.DUMMYFUNCTION("""COMPUTED_VALUE"""),39.0)</f>
        <v>39</v>
      </c>
      <c r="B836" s="4">
        <f>IFERROR(__xludf.DUMMYFUNCTION("""COMPUTED_VALUE"""),39.0)</f>
        <v>39</v>
      </c>
      <c r="C836" s="4" t="str">
        <f>IFERROR(__xludf.DUMMYFUNCTION("""COMPUTED_VALUE"""),"POR")</f>
        <v>POR</v>
      </c>
      <c r="D836" s="4" t="str">
        <f>IFERROR(__xludf.DUMMYFUNCTION("""COMPUTED_VALUE"""),"Jeff Withey")</f>
        <v>Jeff Withey</v>
      </c>
      <c r="E836" s="4" t="str">
        <f>IFERROR(__xludf.DUMMYFUNCTION("""COMPUTED_VALUE"""),"Kansas")</f>
        <v>Kansas</v>
      </c>
      <c r="F836" s="4">
        <f>IFERROR(__xludf.DUMMYFUNCTION("""COMPUTED_VALUE"""),5.0)</f>
        <v>5</v>
      </c>
      <c r="G836" s="4">
        <f>IFERROR(__xludf.DUMMYFUNCTION("""COMPUTED_VALUE"""),207.0)</f>
        <v>207</v>
      </c>
      <c r="H836" s="4">
        <f>IFERROR(__xludf.DUMMYFUNCTION("""COMPUTED_VALUE"""),2072.0)</f>
        <v>2072</v>
      </c>
      <c r="I836" s="4">
        <f>IFERROR(__xludf.DUMMYFUNCTION("""COMPUTED_VALUE"""),666.0)</f>
        <v>666</v>
      </c>
      <c r="J836" s="4">
        <f>IFERROR(__xludf.DUMMYFUNCTION("""COMPUTED_VALUE"""),518.0)</f>
        <v>518</v>
      </c>
      <c r="K836" s="4">
        <f>IFERROR(__xludf.DUMMYFUNCTION("""COMPUTED_VALUE"""),64.0)</f>
        <v>64</v>
      </c>
      <c r="L836" s="4">
        <f>IFERROR(__xludf.DUMMYFUNCTION("""COMPUTED_VALUE"""),0.525)</f>
        <v>0.525</v>
      </c>
      <c r="M836" s="4">
        <f>IFERROR(__xludf.DUMMYFUNCTION("""COMPUTED_VALUE"""),0.143)</f>
        <v>0.143</v>
      </c>
      <c r="N836" s="4">
        <f>IFERROR(__xludf.DUMMYFUNCTION("""COMPUTED_VALUE"""),0.716)</f>
        <v>0.716</v>
      </c>
      <c r="O836" s="4">
        <f>IFERROR(__xludf.DUMMYFUNCTION("""COMPUTED_VALUE"""),10.0)</f>
        <v>10</v>
      </c>
      <c r="P836" s="4">
        <f>IFERROR(__xludf.DUMMYFUNCTION("""COMPUTED_VALUE"""),3.2)</f>
        <v>3.2</v>
      </c>
      <c r="Q836" s="4">
        <f>IFERROR(__xludf.DUMMYFUNCTION("""COMPUTED_VALUE"""),2.5)</f>
        <v>2.5</v>
      </c>
      <c r="R836" s="4">
        <f>IFERROR(__xludf.DUMMYFUNCTION("""COMPUTED_VALUE"""),0.3)</f>
        <v>0.3</v>
      </c>
      <c r="S836" s="4">
        <f>IFERROR(__xludf.DUMMYFUNCTION("""COMPUTED_VALUE"""),6.8)</f>
        <v>6.8</v>
      </c>
      <c r="T836" s="4">
        <f>IFERROR(__xludf.DUMMYFUNCTION("""COMPUTED_VALUE"""),0.157)</f>
        <v>0.157</v>
      </c>
      <c r="U836" s="4">
        <f>IFERROR(__xludf.DUMMYFUNCTION("""COMPUTED_VALUE"""),0.5)</f>
        <v>0.5</v>
      </c>
      <c r="V836" s="4">
        <f>IFERROR(__xludf.DUMMYFUNCTION("""COMPUTED_VALUE"""),1.3)</f>
        <v>1.3</v>
      </c>
    </row>
    <row r="837">
      <c r="A837" s="4">
        <f>IFERROR(__xludf.DUMMYFUNCTION("""COMPUTED_VALUE"""),40.0)</f>
        <v>40</v>
      </c>
      <c r="B837" s="4">
        <f>IFERROR(__xludf.DUMMYFUNCTION("""COMPUTED_VALUE"""),40.0)</f>
        <v>40</v>
      </c>
      <c r="C837" s="4" t="str">
        <f>IFERROR(__xludf.DUMMYFUNCTION("""COMPUTED_VALUE"""),"POR")</f>
        <v>POR</v>
      </c>
      <c r="D837" s="4" t="str">
        <f>IFERROR(__xludf.DUMMYFUNCTION("""COMPUTED_VALUE"""),"Grant Jerrett")</f>
        <v>Grant Jerrett</v>
      </c>
      <c r="E837" s="4" t="str">
        <f>IFERROR(__xludf.DUMMYFUNCTION("""COMPUTED_VALUE"""),"Arizona")</f>
        <v>Arizona</v>
      </c>
      <c r="F837" s="4">
        <f>IFERROR(__xludf.DUMMYFUNCTION("""COMPUTED_VALUE"""),1.0)</f>
        <v>1</v>
      </c>
      <c r="G837" s="4">
        <f>IFERROR(__xludf.DUMMYFUNCTION("""COMPUTED_VALUE"""),8.0)</f>
        <v>8</v>
      </c>
      <c r="H837" s="4">
        <f>IFERROR(__xludf.DUMMYFUNCTION("""COMPUTED_VALUE"""),51.0)</f>
        <v>51</v>
      </c>
      <c r="I837" s="4">
        <f>IFERROR(__xludf.DUMMYFUNCTION("""COMPUTED_VALUE"""),16.0)</f>
        <v>16</v>
      </c>
      <c r="J837" s="4">
        <f>IFERROR(__xludf.DUMMYFUNCTION("""COMPUTED_VALUE"""),9.0)</f>
        <v>9</v>
      </c>
      <c r="K837" s="4">
        <f>IFERROR(__xludf.DUMMYFUNCTION("""COMPUTED_VALUE"""),3.0)</f>
        <v>3</v>
      </c>
      <c r="L837" s="4">
        <f>IFERROR(__xludf.DUMMYFUNCTION("""COMPUTED_VALUE"""),0.269)</f>
        <v>0.269</v>
      </c>
      <c r="M837" s="4">
        <f>IFERROR(__xludf.DUMMYFUNCTION("""COMPUTED_VALUE"""),0.067)</f>
        <v>0.067</v>
      </c>
      <c r="N837" s="4">
        <f>IFERROR(__xludf.DUMMYFUNCTION("""COMPUTED_VALUE"""),1.0)</f>
        <v>1</v>
      </c>
      <c r="O837" s="4">
        <f>IFERROR(__xludf.DUMMYFUNCTION("""COMPUTED_VALUE"""),6.4)</f>
        <v>6.4</v>
      </c>
      <c r="P837" s="4">
        <f>IFERROR(__xludf.DUMMYFUNCTION("""COMPUTED_VALUE"""),2.0)</f>
        <v>2</v>
      </c>
      <c r="Q837" s="4">
        <f>IFERROR(__xludf.DUMMYFUNCTION("""COMPUTED_VALUE"""),1.1)</f>
        <v>1.1</v>
      </c>
      <c r="R837" s="4">
        <f>IFERROR(__xludf.DUMMYFUNCTION("""COMPUTED_VALUE"""),0.4)</f>
        <v>0.4</v>
      </c>
      <c r="S837" s="4">
        <f>IFERROR(__xludf.DUMMYFUNCTION("""COMPUTED_VALUE"""),-0.1)</f>
        <v>-0.1</v>
      </c>
      <c r="T837" s="4">
        <f>IFERROR(__xludf.DUMMYFUNCTION("""COMPUTED_VALUE"""),-0.128)</f>
        <v>-0.128</v>
      </c>
      <c r="U837" s="4">
        <f>IFERROR(__xludf.DUMMYFUNCTION("""COMPUTED_VALUE"""),-10.8)</f>
        <v>-10.8</v>
      </c>
      <c r="V837" s="4">
        <f>IFERROR(__xludf.DUMMYFUNCTION("""COMPUTED_VALUE"""),-0.1)</f>
        <v>-0.1</v>
      </c>
    </row>
    <row r="838">
      <c r="A838" s="4">
        <f>IFERROR(__xludf.DUMMYFUNCTION("""COMPUTED_VALUE"""),41.0)</f>
        <v>41</v>
      </c>
      <c r="B838" s="4">
        <f>IFERROR(__xludf.DUMMYFUNCTION("""COMPUTED_VALUE"""),41.0)</f>
        <v>41</v>
      </c>
      <c r="C838" s="4" t="str">
        <f>IFERROR(__xludf.DUMMYFUNCTION("""COMPUTED_VALUE"""),"MEM")</f>
        <v>MEM</v>
      </c>
      <c r="D838" s="4" t="str">
        <f>IFERROR(__xludf.DUMMYFUNCTION("""COMPUTED_VALUE"""),"Jamaal Franklin")</f>
        <v>Jamaal Franklin</v>
      </c>
      <c r="E838" s="4" t="str">
        <f>IFERROR(__xludf.DUMMYFUNCTION("""COMPUTED_VALUE"""),"San Diego State")</f>
        <v>San Diego State</v>
      </c>
      <c r="F838" s="4">
        <f>IFERROR(__xludf.DUMMYFUNCTION("""COMPUTED_VALUE"""),2.0)</f>
        <v>2</v>
      </c>
      <c r="G838" s="4">
        <f>IFERROR(__xludf.DUMMYFUNCTION("""COMPUTED_VALUE"""),24.0)</f>
        <v>24</v>
      </c>
      <c r="H838" s="4">
        <f>IFERROR(__xludf.DUMMYFUNCTION("""COMPUTED_VALUE"""),174.0)</f>
        <v>174</v>
      </c>
      <c r="I838" s="4">
        <f>IFERROR(__xludf.DUMMYFUNCTION("""COMPUTED_VALUE"""),42.0)</f>
        <v>42</v>
      </c>
      <c r="J838" s="4">
        <f>IFERROR(__xludf.DUMMYFUNCTION("""COMPUTED_VALUE"""),25.0)</f>
        <v>25</v>
      </c>
      <c r="K838" s="4">
        <f>IFERROR(__xludf.DUMMYFUNCTION("""COMPUTED_VALUE"""),9.0)</f>
        <v>9</v>
      </c>
      <c r="L838" s="4">
        <f>IFERROR(__xludf.DUMMYFUNCTION("""COMPUTED_VALUE"""),0.415)</f>
        <v>0.415</v>
      </c>
      <c r="M838" s="4">
        <f>IFERROR(__xludf.DUMMYFUNCTION("""COMPUTED_VALUE"""),0.462)</f>
        <v>0.462</v>
      </c>
      <c r="N838" s="4">
        <f>IFERROR(__xludf.DUMMYFUNCTION("""COMPUTED_VALUE"""),1.0)</f>
        <v>1</v>
      </c>
      <c r="O838" s="4">
        <f>IFERROR(__xludf.DUMMYFUNCTION("""COMPUTED_VALUE"""),7.3)</f>
        <v>7.3</v>
      </c>
      <c r="P838" s="4">
        <f>IFERROR(__xludf.DUMMYFUNCTION("""COMPUTED_VALUE"""),1.8)</f>
        <v>1.8</v>
      </c>
      <c r="Q838" s="4">
        <f>IFERROR(__xludf.DUMMYFUNCTION("""COMPUTED_VALUE"""),1.0)</f>
        <v>1</v>
      </c>
      <c r="R838" s="4">
        <f>IFERROR(__xludf.DUMMYFUNCTION("""COMPUTED_VALUE"""),0.4)</f>
        <v>0.4</v>
      </c>
      <c r="S838" s="4">
        <f>IFERROR(__xludf.DUMMYFUNCTION("""COMPUTED_VALUE"""),0.0)</f>
        <v>0</v>
      </c>
      <c r="T838" s="4">
        <f>IFERROR(__xludf.DUMMYFUNCTION("""COMPUTED_VALUE"""),-0.006)</f>
        <v>-0.006</v>
      </c>
      <c r="U838" s="4">
        <f>IFERROR(__xludf.DUMMYFUNCTION("""COMPUTED_VALUE"""),-5.9)</f>
        <v>-5.9</v>
      </c>
      <c r="V838" s="4">
        <f>IFERROR(__xludf.DUMMYFUNCTION("""COMPUTED_VALUE"""),-0.2)</f>
        <v>-0.2</v>
      </c>
    </row>
    <row r="839">
      <c r="A839" s="4">
        <f>IFERROR(__xludf.DUMMYFUNCTION("""COMPUTED_VALUE"""),42.0)</f>
        <v>42</v>
      </c>
      <c r="B839" s="4">
        <f>IFERROR(__xludf.DUMMYFUNCTION("""COMPUTED_VALUE"""),42.0)</f>
        <v>42</v>
      </c>
      <c r="C839" s="4" t="str">
        <f>IFERROR(__xludf.DUMMYFUNCTION("""COMPUTED_VALUE"""),"PHI")</f>
        <v>PHI</v>
      </c>
      <c r="D839" s="4" t="str">
        <f>IFERROR(__xludf.DUMMYFUNCTION("""COMPUTED_VALUE"""),"Pierre Jackson")</f>
        <v>Pierre Jackson</v>
      </c>
      <c r="E839" s="4" t="str">
        <f>IFERROR(__xludf.DUMMYFUNCTION("""COMPUTED_VALUE"""),"Baylor")</f>
        <v>Baylor</v>
      </c>
      <c r="F839" s="4">
        <f>IFERROR(__xludf.DUMMYFUNCTION("""COMPUTED_VALUE"""),1.0)</f>
        <v>1</v>
      </c>
      <c r="G839" s="4">
        <f>IFERROR(__xludf.DUMMYFUNCTION("""COMPUTED_VALUE"""),8.0)</f>
        <v>8</v>
      </c>
      <c r="H839" s="4">
        <f>IFERROR(__xludf.DUMMYFUNCTION("""COMPUTED_VALUE"""),84.0)</f>
        <v>84</v>
      </c>
      <c r="I839" s="4">
        <f>IFERROR(__xludf.DUMMYFUNCTION("""COMPUTED_VALUE"""),35.0)</f>
        <v>35</v>
      </c>
      <c r="J839" s="4">
        <f>IFERROR(__xludf.DUMMYFUNCTION("""COMPUTED_VALUE"""),9.0)</f>
        <v>9</v>
      </c>
      <c r="K839" s="4">
        <f>IFERROR(__xludf.DUMMYFUNCTION("""COMPUTED_VALUE"""),19.0)</f>
        <v>19</v>
      </c>
      <c r="L839" s="4">
        <f>IFERROR(__xludf.DUMMYFUNCTION("""COMPUTED_VALUE"""),0.333)</f>
        <v>0.333</v>
      </c>
      <c r="M839" s="4">
        <f>IFERROR(__xludf.DUMMYFUNCTION("""COMPUTED_VALUE"""),0.273)</f>
        <v>0.273</v>
      </c>
      <c r="N839" s="4">
        <f>IFERROR(__xludf.DUMMYFUNCTION("""COMPUTED_VALUE"""),0.857)</f>
        <v>0.857</v>
      </c>
      <c r="O839" s="4">
        <f>IFERROR(__xludf.DUMMYFUNCTION("""COMPUTED_VALUE"""),10.5)</f>
        <v>10.5</v>
      </c>
      <c r="P839" s="4">
        <f>IFERROR(__xludf.DUMMYFUNCTION("""COMPUTED_VALUE"""),4.4)</f>
        <v>4.4</v>
      </c>
      <c r="Q839" s="4">
        <f>IFERROR(__xludf.DUMMYFUNCTION("""COMPUTED_VALUE"""),1.1)</f>
        <v>1.1</v>
      </c>
      <c r="R839" s="4">
        <f>IFERROR(__xludf.DUMMYFUNCTION("""COMPUTED_VALUE"""),2.4)</f>
        <v>2.4</v>
      </c>
      <c r="S839" s="4">
        <f>IFERROR(__xludf.DUMMYFUNCTION("""COMPUTED_VALUE"""),0.0)</f>
        <v>0</v>
      </c>
      <c r="T839" s="4">
        <f>IFERROR(__xludf.DUMMYFUNCTION("""COMPUTED_VALUE"""),0.021)</f>
        <v>0.021</v>
      </c>
      <c r="U839" s="4">
        <f>IFERROR(__xludf.DUMMYFUNCTION("""COMPUTED_VALUE"""),-4.4)</f>
        <v>-4.4</v>
      </c>
      <c r="V839" s="4">
        <f>IFERROR(__xludf.DUMMYFUNCTION("""COMPUTED_VALUE"""),-0.1)</f>
        <v>-0.1</v>
      </c>
    </row>
    <row r="840">
      <c r="A840" s="4">
        <f>IFERROR(__xludf.DUMMYFUNCTION("""COMPUTED_VALUE"""),43.0)</f>
        <v>43</v>
      </c>
      <c r="B840" s="4">
        <f>IFERROR(__xludf.DUMMYFUNCTION("""COMPUTED_VALUE"""),43.0)</f>
        <v>43</v>
      </c>
      <c r="C840" s="4" t="str">
        <f>IFERROR(__xludf.DUMMYFUNCTION("""COMPUTED_VALUE"""),"MIL")</f>
        <v>MIL</v>
      </c>
      <c r="D840" s="4" t="str">
        <f>IFERROR(__xludf.DUMMYFUNCTION("""COMPUTED_VALUE"""),"Ricky Ledo")</f>
        <v>Ricky Ledo</v>
      </c>
      <c r="E840" s="4" t="str">
        <f>IFERROR(__xludf.DUMMYFUNCTION("""COMPUTED_VALUE"""),"Providence")</f>
        <v>Providence</v>
      </c>
      <c r="F840" s="4">
        <f>IFERROR(__xludf.DUMMYFUNCTION("""COMPUTED_VALUE"""),2.0)</f>
        <v>2</v>
      </c>
      <c r="G840" s="4">
        <f>IFERROR(__xludf.DUMMYFUNCTION("""COMPUTED_VALUE"""),28.0)</f>
        <v>28</v>
      </c>
      <c r="H840" s="4">
        <f>IFERROR(__xludf.DUMMYFUNCTION("""COMPUTED_VALUE"""),277.0)</f>
        <v>277</v>
      </c>
      <c r="I840" s="4">
        <f>IFERROR(__xludf.DUMMYFUNCTION("""COMPUTED_VALUE"""),109.0)</f>
        <v>109</v>
      </c>
      <c r="J840" s="4">
        <f>IFERROR(__xludf.DUMMYFUNCTION("""COMPUTED_VALUE"""),38.0)</f>
        <v>38</v>
      </c>
      <c r="K840" s="4">
        <f>IFERROR(__xludf.DUMMYFUNCTION("""COMPUTED_VALUE"""),21.0)</f>
        <v>21</v>
      </c>
      <c r="L840" s="4">
        <f>IFERROR(__xludf.DUMMYFUNCTION("""COMPUTED_VALUE"""),0.336)</f>
        <v>0.336</v>
      </c>
      <c r="M840" s="4">
        <f>IFERROR(__xludf.DUMMYFUNCTION("""COMPUTED_VALUE"""),0.371)</f>
        <v>0.371</v>
      </c>
      <c r="N840" s="4">
        <f>IFERROR(__xludf.DUMMYFUNCTION("""COMPUTED_VALUE"""),0.769)</f>
        <v>0.769</v>
      </c>
      <c r="O840" s="4">
        <f>IFERROR(__xludf.DUMMYFUNCTION("""COMPUTED_VALUE"""),9.9)</f>
        <v>9.9</v>
      </c>
      <c r="P840" s="4">
        <f>IFERROR(__xludf.DUMMYFUNCTION("""COMPUTED_VALUE"""),3.9)</f>
        <v>3.9</v>
      </c>
      <c r="Q840" s="4">
        <f>IFERROR(__xludf.DUMMYFUNCTION("""COMPUTED_VALUE"""),1.4)</f>
        <v>1.4</v>
      </c>
      <c r="R840" s="4">
        <f>IFERROR(__xludf.DUMMYFUNCTION("""COMPUTED_VALUE"""),0.8)</f>
        <v>0.8</v>
      </c>
      <c r="S840" s="4">
        <f>IFERROR(__xludf.DUMMYFUNCTION("""COMPUTED_VALUE"""),-0.6)</f>
        <v>-0.6</v>
      </c>
      <c r="T840" s="4">
        <f>IFERROR(__xludf.DUMMYFUNCTION("""COMPUTED_VALUE"""),-0.096)</f>
        <v>-0.096</v>
      </c>
      <c r="U840" s="4">
        <f>IFERROR(__xludf.DUMMYFUNCTION("""COMPUTED_VALUE"""),-7.6)</f>
        <v>-7.6</v>
      </c>
      <c r="V840" s="4">
        <f>IFERROR(__xludf.DUMMYFUNCTION("""COMPUTED_VALUE"""),-0.4)</f>
        <v>-0.4</v>
      </c>
    </row>
    <row r="841">
      <c r="A841" s="4">
        <f>IFERROR(__xludf.DUMMYFUNCTION("""COMPUTED_VALUE"""),44.0)</f>
        <v>44</v>
      </c>
      <c r="B841" s="4">
        <f>IFERROR(__xludf.DUMMYFUNCTION("""COMPUTED_VALUE"""),44.0)</f>
        <v>44</v>
      </c>
      <c r="C841" s="4" t="str">
        <f>IFERROR(__xludf.DUMMYFUNCTION("""COMPUTED_VALUE"""),"DAL")</f>
        <v>DAL</v>
      </c>
      <c r="D841" s="4" t="str">
        <f>IFERROR(__xludf.DUMMYFUNCTION("""COMPUTED_VALUE"""),"Mike Muscala")</f>
        <v>Mike Muscala</v>
      </c>
      <c r="E841" s="4" t="str">
        <f>IFERROR(__xludf.DUMMYFUNCTION("""COMPUTED_VALUE"""),"Bucknell")</f>
        <v>Bucknell</v>
      </c>
      <c r="F841" s="4">
        <f>IFERROR(__xludf.DUMMYFUNCTION("""COMPUTED_VALUE"""),11.0)</f>
        <v>11</v>
      </c>
      <c r="G841" s="4">
        <f>IFERROR(__xludf.DUMMYFUNCTION("""COMPUTED_VALUE"""),548.0)</f>
        <v>548</v>
      </c>
      <c r="H841" s="4">
        <f>IFERROR(__xludf.DUMMYFUNCTION("""COMPUTED_VALUE"""),8239.0)</f>
        <v>8239</v>
      </c>
      <c r="I841" s="4">
        <f>IFERROR(__xludf.DUMMYFUNCTION("""COMPUTED_VALUE"""),3206.0)</f>
        <v>3206</v>
      </c>
      <c r="J841" s="4">
        <f>IFERROR(__xludf.DUMMYFUNCTION("""COMPUTED_VALUE"""),1699.0)</f>
        <v>1699</v>
      </c>
      <c r="K841" s="4">
        <f>IFERROR(__xludf.DUMMYFUNCTION("""COMPUTED_VALUE"""),464.0)</f>
        <v>464</v>
      </c>
      <c r="L841" s="4">
        <f>IFERROR(__xludf.DUMMYFUNCTION("""COMPUTED_VALUE"""),0.451)</f>
        <v>0.451</v>
      </c>
      <c r="M841" s="4">
        <f>IFERROR(__xludf.DUMMYFUNCTION("""COMPUTED_VALUE"""),0.373)</f>
        <v>0.373</v>
      </c>
      <c r="N841" s="4">
        <f>IFERROR(__xludf.DUMMYFUNCTION("""COMPUTED_VALUE"""),0.83)</f>
        <v>0.83</v>
      </c>
      <c r="O841" s="4">
        <f>IFERROR(__xludf.DUMMYFUNCTION("""COMPUTED_VALUE"""),15.0)</f>
        <v>15</v>
      </c>
      <c r="P841" s="4">
        <f>IFERROR(__xludf.DUMMYFUNCTION("""COMPUTED_VALUE"""),5.9)</f>
        <v>5.9</v>
      </c>
      <c r="Q841" s="4">
        <f>IFERROR(__xludf.DUMMYFUNCTION("""COMPUTED_VALUE"""),3.1)</f>
        <v>3.1</v>
      </c>
      <c r="R841" s="4">
        <f>IFERROR(__xludf.DUMMYFUNCTION("""COMPUTED_VALUE"""),0.8)</f>
        <v>0.8</v>
      </c>
      <c r="S841" s="4">
        <f>IFERROR(__xludf.DUMMYFUNCTION("""COMPUTED_VALUE"""),19.2)</f>
        <v>19.2</v>
      </c>
      <c r="T841" s="4">
        <f>IFERROR(__xludf.DUMMYFUNCTION("""COMPUTED_VALUE"""),0.112)</f>
        <v>0.112</v>
      </c>
      <c r="U841" s="4">
        <f>IFERROR(__xludf.DUMMYFUNCTION("""COMPUTED_VALUE"""),-0.2)</f>
        <v>-0.2</v>
      </c>
      <c r="V841" s="4">
        <f>IFERROR(__xludf.DUMMYFUNCTION("""COMPUTED_VALUE"""),3.7)</f>
        <v>3.7</v>
      </c>
    </row>
    <row r="842">
      <c r="A842" s="4">
        <f>IFERROR(__xludf.DUMMYFUNCTION("""COMPUTED_VALUE"""),45.0)</f>
        <v>45</v>
      </c>
      <c r="B842" s="4">
        <f>IFERROR(__xludf.DUMMYFUNCTION("""COMPUTED_VALUE"""),45.0)</f>
        <v>45</v>
      </c>
      <c r="C842" s="4" t="str">
        <f>IFERROR(__xludf.DUMMYFUNCTION("""COMPUTED_VALUE"""),"POR")</f>
        <v>POR</v>
      </c>
      <c r="D842" s="4" t="str">
        <f>IFERROR(__xludf.DUMMYFUNCTION("""COMPUTED_VALUE"""),"Marko Todorović")</f>
        <v>Marko Todorović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>
        <f>IFERROR(__xludf.DUMMYFUNCTION("""COMPUTED_VALUE"""),46.0)</f>
        <v>46</v>
      </c>
      <c r="B843" s="4">
        <f>IFERROR(__xludf.DUMMYFUNCTION("""COMPUTED_VALUE"""),46.0)</f>
        <v>46</v>
      </c>
      <c r="C843" s="4" t="str">
        <f>IFERROR(__xludf.DUMMYFUNCTION("""COMPUTED_VALUE"""),"UTA")</f>
        <v>UTA</v>
      </c>
      <c r="D843" s="4" t="str">
        <f>IFERROR(__xludf.DUMMYFUNCTION("""COMPUTED_VALUE"""),"Erick Green")</f>
        <v>Erick Green</v>
      </c>
      <c r="E843" s="4" t="str">
        <f>IFERROR(__xludf.DUMMYFUNCTION("""COMPUTED_VALUE"""),"Virginia Tech")</f>
        <v>Virginia Tech</v>
      </c>
      <c r="F843" s="4">
        <f>IFERROR(__xludf.DUMMYFUNCTION("""COMPUTED_VALUE"""),2.0)</f>
        <v>2</v>
      </c>
      <c r="G843" s="4">
        <f>IFERROR(__xludf.DUMMYFUNCTION("""COMPUTED_VALUE"""),52.0)</f>
        <v>52</v>
      </c>
      <c r="H843" s="4">
        <f>IFERROR(__xludf.DUMMYFUNCTION("""COMPUTED_VALUE"""),452.0)</f>
        <v>452</v>
      </c>
      <c r="I843" s="4">
        <f>IFERROR(__xludf.DUMMYFUNCTION("""COMPUTED_VALUE"""),159.0)</f>
        <v>159</v>
      </c>
      <c r="J843" s="4">
        <f>IFERROR(__xludf.DUMMYFUNCTION("""COMPUTED_VALUE"""),37.0)</f>
        <v>37</v>
      </c>
      <c r="K843" s="4">
        <f>IFERROR(__xludf.DUMMYFUNCTION("""COMPUTED_VALUE"""),42.0)</f>
        <v>42</v>
      </c>
      <c r="L843" s="4">
        <f>IFERROR(__xludf.DUMMYFUNCTION("""COMPUTED_VALUE"""),0.377)</f>
        <v>0.377</v>
      </c>
      <c r="M843" s="4">
        <f>IFERROR(__xludf.DUMMYFUNCTION("""COMPUTED_VALUE"""),0.288)</f>
        <v>0.288</v>
      </c>
      <c r="N843" s="4">
        <f>IFERROR(__xludf.DUMMYFUNCTION("""COMPUTED_VALUE"""),0.857)</f>
        <v>0.857</v>
      </c>
      <c r="O843" s="4">
        <f>IFERROR(__xludf.DUMMYFUNCTION("""COMPUTED_VALUE"""),8.7)</f>
        <v>8.7</v>
      </c>
      <c r="P843" s="4">
        <f>IFERROR(__xludf.DUMMYFUNCTION("""COMPUTED_VALUE"""),3.1)</f>
        <v>3.1</v>
      </c>
      <c r="Q843" s="4">
        <f>IFERROR(__xludf.DUMMYFUNCTION("""COMPUTED_VALUE"""),0.7)</f>
        <v>0.7</v>
      </c>
      <c r="R843" s="4">
        <f>IFERROR(__xludf.DUMMYFUNCTION("""COMPUTED_VALUE"""),0.8)</f>
        <v>0.8</v>
      </c>
      <c r="S843" s="4">
        <f>IFERROR(__xludf.DUMMYFUNCTION("""COMPUTED_VALUE"""),0.1)</f>
        <v>0.1</v>
      </c>
      <c r="T843" s="4">
        <f>IFERROR(__xludf.DUMMYFUNCTION("""COMPUTED_VALUE"""),0.011)</f>
        <v>0.011</v>
      </c>
      <c r="U843" s="4">
        <f>IFERROR(__xludf.DUMMYFUNCTION("""COMPUTED_VALUE"""),-4.0)</f>
        <v>-4</v>
      </c>
      <c r="V843" s="4">
        <f>IFERROR(__xludf.DUMMYFUNCTION("""COMPUTED_VALUE"""),-0.2)</f>
        <v>-0.2</v>
      </c>
    </row>
    <row r="844">
      <c r="A844" s="4">
        <f>IFERROR(__xludf.DUMMYFUNCTION("""COMPUTED_VALUE"""),47.0)</f>
        <v>47</v>
      </c>
      <c r="B844" s="4">
        <f>IFERROR(__xludf.DUMMYFUNCTION("""COMPUTED_VALUE"""),47.0)</f>
        <v>47</v>
      </c>
      <c r="C844" s="4" t="str">
        <f>IFERROR(__xludf.DUMMYFUNCTION("""COMPUTED_VALUE"""),"ATL")</f>
        <v>ATL</v>
      </c>
      <c r="D844" s="4" t="str">
        <f>IFERROR(__xludf.DUMMYFUNCTION("""COMPUTED_VALUE"""),"Raul Neto")</f>
        <v>Raul Neto</v>
      </c>
      <c r="E844" s="4"/>
      <c r="F844" s="4">
        <f>IFERROR(__xludf.DUMMYFUNCTION("""COMPUTED_VALUE"""),8.0)</f>
        <v>8</v>
      </c>
      <c r="G844" s="4">
        <f>IFERROR(__xludf.DUMMYFUNCTION("""COMPUTED_VALUE"""),435.0)</f>
        <v>435</v>
      </c>
      <c r="H844" s="4">
        <f>IFERROR(__xludf.DUMMYFUNCTION("""COMPUTED_VALUE"""),6765.0)</f>
        <v>6765</v>
      </c>
      <c r="I844" s="4">
        <f>IFERROR(__xludf.DUMMYFUNCTION("""COMPUTED_VALUE"""),2470.0)</f>
        <v>2470</v>
      </c>
      <c r="J844" s="4">
        <f>IFERROR(__xludf.DUMMYFUNCTION("""COMPUTED_VALUE"""),658.0)</f>
        <v>658</v>
      </c>
      <c r="K844" s="4">
        <f>IFERROR(__xludf.DUMMYFUNCTION("""COMPUTED_VALUE"""),913.0)</f>
        <v>913</v>
      </c>
      <c r="L844" s="4">
        <f>IFERROR(__xludf.DUMMYFUNCTION("""COMPUTED_VALUE"""),0.458)</f>
        <v>0.458</v>
      </c>
      <c r="M844" s="4">
        <f>IFERROR(__xludf.DUMMYFUNCTION("""COMPUTED_VALUE"""),0.361)</f>
        <v>0.361</v>
      </c>
      <c r="N844" s="4">
        <f>IFERROR(__xludf.DUMMYFUNCTION("""COMPUTED_VALUE"""),0.812)</f>
        <v>0.812</v>
      </c>
      <c r="O844" s="4">
        <f>IFERROR(__xludf.DUMMYFUNCTION("""COMPUTED_VALUE"""),15.6)</f>
        <v>15.6</v>
      </c>
      <c r="P844" s="4">
        <f>IFERROR(__xludf.DUMMYFUNCTION("""COMPUTED_VALUE"""),5.7)</f>
        <v>5.7</v>
      </c>
      <c r="Q844" s="4">
        <f>IFERROR(__xludf.DUMMYFUNCTION("""COMPUTED_VALUE"""),1.5)</f>
        <v>1.5</v>
      </c>
      <c r="R844" s="4">
        <f>IFERROR(__xludf.DUMMYFUNCTION("""COMPUTED_VALUE"""),2.1)</f>
        <v>2.1</v>
      </c>
      <c r="S844" s="4">
        <f>IFERROR(__xludf.DUMMYFUNCTION("""COMPUTED_VALUE"""),11.6)</f>
        <v>11.6</v>
      </c>
      <c r="T844" s="4">
        <f>IFERROR(__xludf.DUMMYFUNCTION("""COMPUTED_VALUE"""),0.082)</f>
        <v>0.082</v>
      </c>
      <c r="U844" s="4">
        <f>IFERROR(__xludf.DUMMYFUNCTION("""COMPUTED_VALUE"""),-1.5)</f>
        <v>-1.5</v>
      </c>
      <c r="V844" s="4">
        <f>IFERROR(__xludf.DUMMYFUNCTION("""COMPUTED_VALUE"""),0.8)</f>
        <v>0.8</v>
      </c>
    </row>
    <row r="845">
      <c r="A845" s="4">
        <f>IFERROR(__xludf.DUMMYFUNCTION("""COMPUTED_VALUE"""),48.0)</f>
        <v>48</v>
      </c>
      <c r="B845" s="4">
        <f>IFERROR(__xludf.DUMMYFUNCTION("""COMPUTED_VALUE"""),48.0)</f>
        <v>48</v>
      </c>
      <c r="C845" s="4" t="str">
        <f>IFERROR(__xludf.DUMMYFUNCTION("""COMPUTED_VALUE"""),"LAL")</f>
        <v>LAL</v>
      </c>
      <c r="D845" s="4" t="str">
        <f>IFERROR(__xludf.DUMMYFUNCTION("""COMPUTED_VALUE"""),"Ryan Kelly")</f>
        <v>Ryan Kelly</v>
      </c>
      <c r="E845" s="4" t="str">
        <f>IFERROR(__xludf.DUMMYFUNCTION("""COMPUTED_VALUE"""),"Duke")</f>
        <v>Duke</v>
      </c>
      <c r="F845" s="4">
        <f>IFERROR(__xludf.DUMMYFUNCTION("""COMPUTED_VALUE"""),4.0)</f>
        <v>4</v>
      </c>
      <c r="G845" s="4">
        <f>IFERROR(__xludf.DUMMYFUNCTION("""COMPUTED_VALUE"""),163.0)</f>
        <v>163</v>
      </c>
      <c r="H845" s="4">
        <f>IFERROR(__xludf.DUMMYFUNCTION("""COMPUTED_VALUE"""),3125.0)</f>
        <v>3125</v>
      </c>
      <c r="I845" s="4">
        <f>IFERROR(__xludf.DUMMYFUNCTION("""COMPUTED_VALUE"""),981.0)</f>
        <v>981</v>
      </c>
      <c r="J845" s="4">
        <f>IFERROR(__xludf.DUMMYFUNCTION("""COMPUTED_VALUE"""),504.0)</f>
        <v>504</v>
      </c>
      <c r="K845" s="4">
        <f>IFERROR(__xludf.DUMMYFUNCTION("""COMPUTED_VALUE"""),215.0)</f>
        <v>215</v>
      </c>
      <c r="L845" s="4">
        <f>IFERROR(__xludf.DUMMYFUNCTION("""COMPUTED_VALUE"""),0.378)</f>
        <v>0.378</v>
      </c>
      <c r="M845" s="4">
        <f>IFERROR(__xludf.DUMMYFUNCTION("""COMPUTED_VALUE"""),0.316)</f>
        <v>0.316</v>
      </c>
      <c r="N845" s="4">
        <f>IFERROR(__xludf.DUMMYFUNCTION("""COMPUTED_VALUE"""),0.797)</f>
        <v>0.797</v>
      </c>
      <c r="O845" s="4">
        <f>IFERROR(__xludf.DUMMYFUNCTION("""COMPUTED_VALUE"""),19.2)</f>
        <v>19.2</v>
      </c>
      <c r="P845" s="4">
        <f>IFERROR(__xludf.DUMMYFUNCTION("""COMPUTED_VALUE"""),6.0)</f>
        <v>6</v>
      </c>
      <c r="Q845" s="4">
        <f>IFERROR(__xludf.DUMMYFUNCTION("""COMPUTED_VALUE"""),3.1)</f>
        <v>3.1</v>
      </c>
      <c r="R845" s="4">
        <f>IFERROR(__xludf.DUMMYFUNCTION("""COMPUTED_VALUE"""),1.3)</f>
        <v>1.3</v>
      </c>
      <c r="S845" s="4">
        <f>IFERROR(__xludf.DUMMYFUNCTION("""COMPUTED_VALUE"""),3.0)</f>
        <v>3</v>
      </c>
      <c r="T845" s="4">
        <f>IFERROR(__xludf.DUMMYFUNCTION("""COMPUTED_VALUE"""),0.046)</f>
        <v>0.046</v>
      </c>
      <c r="U845" s="4">
        <f>IFERROR(__xludf.DUMMYFUNCTION("""COMPUTED_VALUE"""),-2.6)</f>
        <v>-2.6</v>
      </c>
      <c r="V845" s="4">
        <f>IFERROR(__xludf.DUMMYFUNCTION("""COMPUTED_VALUE"""),-0.5)</f>
        <v>-0.5</v>
      </c>
    </row>
    <row r="846">
      <c r="A846" s="4">
        <f>IFERROR(__xludf.DUMMYFUNCTION("""COMPUTED_VALUE"""),49.0)</f>
        <v>49</v>
      </c>
      <c r="B846" s="4">
        <f>IFERROR(__xludf.DUMMYFUNCTION("""COMPUTED_VALUE"""),49.0)</f>
        <v>49</v>
      </c>
      <c r="C846" s="4" t="str">
        <f>IFERROR(__xludf.DUMMYFUNCTION("""COMPUTED_VALUE"""),"CHI")</f>
        <v>CHI</v>
      </c>
      <c r="D846" s="4" t="str">
        <f>IFERROR(__xludf.DUMMYFUNCTION("""COMPUTED_VALUE"""),"Erik Murphy")</f>
        <v>Erik Murphy</v>
      </c>
      <c r="E846" s="4" t="str">
        <f>IFERROR(__xludf.DUMMYFUNCTION("""COMPUTED_VALUE"""),"Florida")</f>
        <v>Florida</v>
      </c>
      <c r="F846" s="4">
        <f>IFERROR(__xludf.DUMMYFUNCTION("""COMPUTED_VALUE"""),1.0)</f>
        <v>1</v>
      </c>
      <c r="G846" s="4">
        <f>IFERROR(__xludf.DUMMYFUNCTION("""COMPUTED_VALUE"""),24.0)</f>
        <v>24</v>
      </c>
      <c r="H846" s="4">
        <f>IFERROR(__xludf.DUMMYFUNCTION("""COMPUTED_VALUE"""),62.0)</f>
        <v>62</v>
      </c>
      <c r="I846" s="4">
        <f>IFERROR(__xludf.DUMMYFUNCTION("""COMPUTED_VALUE"""),6.0)</f>
        <v>6</v>
      </c>
      <c r="J846" s="4">
        <f>IFERROR(__xludf.DUMMYFUNCTION("""COMPUTED_VALUE"""),8.0)</f>
        <v>8</v>
      </c>
      <c r="K846" s="4">
        <f>IFERROR(__xludf.DUMMYFUNCTION("""COMPUTED_VALUE"""),2.0)</f>
        <v>2</v>
      </c>
      <c r="L846" s="4">
        <f>IFERROR(__xludf.DUMMYFUNCTION("""COMPUTED_VALUE"""),0.231)</f>
        <v>0.231</v>
      </c>
      <c r="M846" s="4">
        <f>IFERROR(__xludf.DUMMYFUNCTION("""COMPUTED_VALUE"""),0.0)</f>
        <v>0</v>
      </c>
      <c r="N846" s="4"/>
      <c r="O846" s="4">
        <f>IFERROR(__xludf.DUMMYFUNCTION("""COMPUTED_VALUE"""),2.6)</f>
        <v>2.6</v>
      </c>
      <c r="P846" s="4">
        <f>IFERROR(__xludf.DUMMYFUNCTION("""COMPUTED_VALUE"""),0.3)</f>
        <v>0.3</v>
      </c>
      <c r="Q846" s="4">
        <f>IFERROR(__xludf.DUMMYFUNCTION("""COMPUTED_VALUE"""),0.3)</f>
        <v>0.3</v>
      </c>
      <c r="R846" s="4">
        <f>IFERROR(__xludf.DUMMYFUNCTION("""COMPUTED_VALUE"""),0.1)</f>
        <v>0.1</v>
      </c>
      <c r="S846" s="4">
        <f>IFERROR(__xludf.DUMMYFUNCTION("""COMPUTED_VALUE"""),-0.1)</f>
        <v>-0.1</v>
      </c>
      <c r="T846" s="4">
        <f>IFERROR(__xludf.DUMMYFUNCTION("""COMPUTED_VALUE"""),-0.055)</f>
        <v>-0.055</v>
      </c>
      <c r="U846" s="4">
        <f>IFERROR(__xludf.DUMMYFUNCTION("""COMPUTED_VALUE"""),-8.6)</f>
        <v>-8.6</v>
      </c>
      <c r="V846" s="4">
        <f>IFERROR(__xludf.DUMMYFUNCTION("""COMPUTED_VALUE"""),-0.1)</f>
        <v>-0.1</v>
      </c>
    </row>
    <row r="847">
      <c r="A847" s="4">
        <f>IFERROR(__xludf.DUMMYFUNCTION("""COMPUTED_VALUE"""),50.0)</f>
        <v>50</v>
      </c>
      <c r="B847" s="4">
        <f>IFERROR(__xludf.DUMMYFUNCTION("""COMPUTED_VALUE"""),50.0)</f>
        <v>50</v>
      </c>
      <c r="C847" s="4" t="str">
        <f>IFERROR(__xludf.DUMMYFUNCTION("""COMPUTED_VALUE"""),"ATL")</f>
        <v>ATL</v>
      </c>
      <c r="D847" s="4" t="str">
        <f>IFERROR(__xludf.DUMMYFUNCTION("""COMPUTED_VALUE"""),"James Ennis III")</f>
        <v>James Ennis III</v>
      </c>
      <c r="E847" s="4" t="str">
        <f>IFERROR(__xludf.DUMMYFUNCTION("""COMPUTED_VALUE"""),"Cal State Long Beach")</f>
        <v>Cal State Long Beach</v>
      </c>
      <c r="F847" s="4">
        <f>IFERROR(__xludf.DUMMYFUNCTION("""COMPUTED_VALUE"""),8.0)</f>
        <v>8</v>
      </c>
      <c r="G847" s="4">
        <f>IFERROR(__xludf.DUMMYFUNCTION("""COMPUTED_VALUE"""),395.0)</f>
        <v>395</v>
      </c>
      <c r="H847" s="4">
        <f>IFERROR(__xludf.DUMMYFUNCTION("""COMPUTED_VALUE"""),8022.0)</f>
        <v>8022</v>
      </c>
      <c r="I847" s="4">
        <f>IFERROR(__xludf.DUMMYFUNCTION("""COMPUTED_VALUE"""),2629.0)</f>
        <v>2629</v>
      </c>
      <c r="J847" s="4">
        <f>IFERROR(__xludf.DUMMYFUNCTION("""COMPUTED_VALUE"""),1306.0)</f>
        <v>1306</v>
      </c>
      <c r="K847" s="4">
        <f>IFERROR(__xludf.DUMMYFUNCTION("""COMPUTED_VALUE"""),373.0)</f>
        <v>373</v>
      </c>
      <c r="L847" s="4">
        <f>IFERROR(__xludf.DUMMYFUNCTION("""COMPUTED_VALUE"""),0.457)</f>
        <v>0.457</v>
      </c>
      <c r="M847" s="4">
        <f>IFERROR(__xludf.DUMMYFUNCTION("""COMPUTED_VALUE"""),0.36)</f>
        <v>0.36</v>
      </c>
      <c r="N847" s="4">
        <f>IFERROR(__xludf.DUMMYFUNCTION("""COMPUTED_VALUE"""),0.797)</f>
        <v>0.797</v>
      </c>
      <c r="O847" s="4">
        <f>IFERROR(__xludf.DUMMYFUNCTION("""COMPUTED_VALUE"""),20.3)</f>
        <v>20.3</v>
      </c>
      <c r="P847" s="4">
        <f>IFERROR(__xludf.DUMMYFUNCTION("""COMPUTED_VALUE"""),6.7)</f>
        <v>6.7</v>
      </c>
      <c r="Q847" s="4">
        <f>IFERROR(__xludf.DUMMYFUNCTION("""COMPUTED_VALUE"""),3.3)</f>
        <v>3.3</v>
      </c>
      <c r="R847" s="4">
        <f>IFERROR(__xludf.DUMMYFUNCTION("""COMPUTED_VALUE"""),0.9)</f>
        <v>0.9</v>
      </c>
      <c r="S847" s="4">
        <f>IFERROR(__xludf.DUMMYFUNCTION("""COMPUTED_VALUE"""),16.2)</f>
        <v>16.2</v>
      </c>
      <c r="T847" s="4">
        <f>IFERROR(__xludf.DUMMYFUNCTION("""COMPUTED_VALUE"""),0.097)</f>
        <v>0.097</v>
      </c>
      <c r="U847" s="4">
        <f>IFERROR(__xludf.DUMMYFUNCTION("""COMPUTED_VALUE"""),-1.5)</f>
        <v>-1.5</v>
      </c>
      <c r="V847" s="4">
        <f>IFERROR(__xludf.DUMMYFUNCTION("""COMPUTED_VALUE"""),0.9)</f>
        <v>0.9</v>
      </c>
    </row>
    <row r="848">
      <c r="A848" s="4">
        <f>IFERROR(__xludf.DUMMYFUNCTION("""COMPUTED_VALUE"""),51.0)</f>
        <v>51</v>
      </c>
      <c r="B848" s="4">
        <f>IFERROR(__xludf.DUMMYFUNCTION("""COMPUTED_VALUE"""),51.0)</f>
        <v>51</v>
      </c>
      <c r="C848" s="4" t="str">
        <f>IFERROR(__xludf.DUMMYFUNCTION("""COMPUTED_VALUE"""),"ORL")</f>
        <v>ORL</v>
      </c>
      <c r="D848" s="4" t="str">
        <f>IFERROR(__xludf.DUMMYFUNCTION("""COMPUTED_VALUE"""),"Romero Osby")</f>
        <v>Romero Osby</v>
      </c>
      <c r="E848" s="4" t="str">
        <f>IFERROR(__xludf.DUMMYFUNCTION("""COMPUTED_VALUE"""),"Oklahoma")</f>
        <v>Oklahoma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>
        <f>IFERROR(__xludf.DUMMYFUNCTION("""COMPUTED_VALUE"""),52.0)</f>
        <v>52</v>
      </c>
      <c r="B849" s="4">
        <f>IFERROR(__xludf.DUMMYFUNCTION("""COMPUTED_VALUE"""),52.0)</f>
        <v>52</v>
      </c>
      <c r="C849" s="4" t="str">
        <f>IFERROR(__xludf.DUMMYFUNCTION("""COMPUTED_VALUE"""),"MIN")</f>
        <v>MIN</v>
      </c>
      <c r="D849" s="4" t="str">
        <f>IFERROR(__xludf.DUMMYFUNCTION("""COMPUTED_VALUE"""),"Lorenzo Brown")</f>
        <v>Lorenzo Brown</v>
      </c>
      <c r="E849" s="4" t="str">
        <f>IFERROR(__xludf.DUMMYFUNCTION("""COMPUTED_VALUE"""),"NC State")</f>
        <v>NC State</v>
      </c>
      <c r="F849" s="4">
        <f>IFERROR(__xludf.DUMMYFUNCTION("""COMPUTED_VALUE"""),5.0)</f>
        <v>5</v>
      </c>
      <c r="G849" s="4">
        <f>IFERROR(__xludf.DUMMYFUNCTION("""COMPUTED_VALUE"""),103.0)</f>
        <v>103</v>
      </c>
      <c r="H849" s="4">
        <f>IFERROR(__xludf.DUMMYFUNCTION("""COMPUTED_VALUE"""),1185.0)</f>
        <v>1185</v>
      </c>
      <c r="I849" s="4">
        <f>IFERROR(__xludf.DUMMYFUNCTION("""COMPUTED_VALUE"""),293.0)</f>
        <v>293</v>
      </c>
      <c r="J849" s="4">
        <f>IFERROR(__xludf.DUMMYFUNCTION("""COMPUTED_VALUE"""),151.0)</f>
        <v>151</v>
      </c>
      <c r="K849" s="4">
        <f>IFERROR(__xludf.DUMMYFUNCTION("""COMPUTED_VALUE"""),183.0)</f>
        <v>183</v>
      </c>
      <c r="L849" s="4">
        <f>IFERROR(__xludf.DUMMYFUNCTION("""COMPUTED_VALUE"""),0.364)</f>
        <v>0.364</v>
      </c>
      <c r="M849" s="4">
        <f>IFERROR(__xludf.DUMMYFUNCTION("""COMPUTED_VALUE"""),0.17)</f>
        <v>0.17</v>
      </c>
      <c r="N849" s="4">
        <f>IFERROR(__xludf.DUMMYFUNCTION("""COMPUTED_VALUE"""),0.707)</f>
        <v>0.707</v>
      </c>
      <c r="O849" s="4">
        <f>IFERROR(__xludf.DUMMYFUNCTION("""COMPUTED_VALUE"""),11.5)</f>
        <v>11.5</v>
      </c>
      <c r="P849" s="4">
        <f>IFERROR(__xludf.DUMMYFUNCTION("""COMPUTED_VALUE"""),2.8)</f>
        <v>2.8</v>
      </c>
      <c r="Q849" s="4">
        <f>IFERROR(__xludf.DUMMYFUNCTION("""COMPUTED_VALUE"""),1.5)</f>
        <v>1.5</v>
      </c>
      <c r="R849" s="4">
        <f>IFERROR(__xludf.DUMMYFUNCTION("""COMPUTED_VALUE"""),1.8)</f>
        <v>1.8</v>
      </c>
      <c r="S849" s="4">
        <f>IFERROR(__xludf.DUMMYFUNCTION("""COMPUTED_VALUE"""),-0.2)</f>
        <v>-0.2</v>
      </c>
      <c r="T849" s="4">
        <f>IFERROR(__xludf.DUMMYFUNCTION("""COMPUTED_VALUE"""),-0.007)</f>
        <v>-0.007</v>
      </c>
      <c r="U849" s="4">
        <f>IFERROR(__xludf.DUMMYFUNCTION("""COMPUTED_VALUE"""),-3.5)</f>
        <v>-3.5</v>
      </c>
      <c r="V849" s="4">
        <f>IFERROR(__xludf.DUMMYFUNCTION("""COMPUTED_VALUE"""),-0.5)</f>
        <v>-0.5</v>
      </c>
    </row>
    <row r="850">
      <c r="A850" s="4">
        <f>IFERROR(__xludf.DUMMYFUNCTION("""COMPUTED_VALUE"""),53.0)</f>
        <v>53</v>
      </c>
      <c r="B850" s="4">
        <f>IFERROR(__xludf.DUMMYFUNCTION("""COMPUTED_VALUE"""),53.0)</f>
        <v>53</v>
      </c>
      <c r="C850" s="4" t="str">
        <f>IFERROR(__xludf.DUMMYFUNCTION("""COMPUTED_VALUE"""),"IND")</f>
        <v>IND</v>
      </c>
      <c r="D850" s="4" t="str">
        <f>IFERROR(__xludf.DUMMYFUNCTION("""COMPUTED_VALUE"""),"Colton Iverson")</f>
        <v>Colton Iverson</v>
      </c>
      <c r="E850" s="4" t="str">
        <f>IFERROR(__xludf.DUMMYFUNCTION("""COMPUTED_VALUE"""),"Colorado State")</f>
        <v>Colorado State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>
        <f>IFERROR(__xludf.DUMMYFUNCTION("""COMPUTED_VALUE"""),54.0)</f>
        <v>54</v>
      </c>
      <c r="B851" s="4">
        <f>IFERROR(__xludf.DUMMYFUNCTION("""COMPUTED_VALUE"""),54.0)</f>
        <v>54</v>
      </c>
      <c r="C851" s="4" t="str">
        <f>IFERROR(__xludf.DUMMYFUNCTION("""COMPUTED_VALUE"""),"WAS")</f>
        <v>WAS</v>
      </c>
      <c r="D851" s="4" t="str">
        <f>IFERROR(__xludf.DUMMYFUNCTION("""COMPUTED_VALUE"""),"Arsalan Kazemi")</f>
        <v>Arsalan Kazemi</v>
      </c>
      <c r="E851" s="4" t="str">
        <f>IFERROR(__xludf.DUMMYFUNCTION("""COMPUTED_VALUE"""),"Oregon")</f>
        <v>Oregon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>
        <f>IFERROR(__xludf.DUMMYFUNCTION("""COMPUTED_VALUE"""),55.0)</f>
        <v>55</v>
      </c>
      <c r="B852" s="4">
        <f>IFERROR(__xludf.DUMMYFUNCTION("""COMPUTED_VALUE"""),55.0)</f>
        <v>55</v>
      </c>
      <c r="C852" s="4" t="str">
        <f>IFERROR(__xludf.DUMMYFUNCTION("""COMPUTED_VALUE"""),"MEM")</f>
        <v>MEM</v>
      </c>
      <c r="D852" s="4" t="str">
        <f>IFERROR(__xludf.DUMMYFUNCTION("""COMPUTED_VALUE"""),"Joffrey Lauvergne")</f>
        <v>Joffrey Lauvergne</v>
      </c>
      <c r="E852" s="4"/>
      <c r="F852" s="4">
        <f>IFERROR(__xludf.DUMMYFUNCTION("""COMPUTED_VALUE"""),4.0)</f>
        <v>4</v>
      </c>
      <c r="G852" s="4">
        <f>IFERROR(__xludf.DUMMYFUNCTION("""COMPUTED_VALUE"""),208.0)</f>
        <v>208</v>
      </c>
      <c r="H852" s="4">
        <f>IFERROR(__xludf.DUMMYFUNCTION("""COMPUTED_VALUE"""),2823.0)</f>
        <v>2823</v>
      </c>
      <c r="I852" s="4">
        <f>IFERROR(__xludf.DUMMYFUNCTION("""COMPUTED_VALUE"""),1159.0)</f>
        <v>1159</v>
      </c>
      <c r="J852" s="4">
        <f>IFERROR(__xludf.DUMMYFUNCTION("""COMPUTED_VALUE"""),789.0)</f>
        <v>789</v>
      </c>
      <c r="K852" s="4">
        <f>IFERROR(__xludf.DUMMYFUNCTION("""COMPUTED_VALUE"""),180.0)</f>
        <v>180</v>
      </c>
      <c r="L852" s="4">
        <f>IFERROR(__xludf.DUMMYFUNCTION("""COMPUTED_VALUE"""),0.479)</f>
        <v>0.479</v>
      </c>
      <c r="M852" s="4">
        <f>IFERROR(__xludf.DUMMYFUNCTION("""COMPUTED_VALUE"""),0.285)</f>
        <v>0.285</v>
      </c>
      <c r="N852" s="4">
        <f>IFERROR(__xludf.DUMMYFUNCTION("""COMPUTED_VALUE"""),0.719)</f>
        <v>0.719</v>
      </c>
      <c r="O852" s="4">
        <f>IFERROR(__xludf.DUMMYFUNCTION("""COMPUTED_VALUE"""),13.6)</f>
        <v>13.6</v>
      </c>
      <c r="P852" s="4">
        <f>IFERROR(__xludf.DUMMYFUNCTION("""COMPUTED_VALUE"""),5.6)</f>
        <v>5.6</v>
      </c>
      <c r="Q852" s="4">
        <f>IFERROR(__xludf.DUMMYFUNCTION("""COMPUTED_VALUE"""),3.8)</f>
        <v>3.8</v>
      </c>
      <c r="R852" s="4">
        <f>IFERROR(__xludf.DUMMYFUNCTION("""COMPUTED_VALUE"""),0.9)</f>
        <v>0.9</v>
      </c>
      <c r="S852" s="4">
        <f>IFERROR(__xludf.DUMMYFUNCTION("""COMPUTED_VALUE"""),5.2)</f>
        <v>5.2</v>
      </c>
      <c r="T852" s="4">
        <f>IFERROR(__xludf.DUMMYFUNCTION("""COMPUTED_VALUE"""),0.089)</f>
        <v>0.089</v>
      </c>
      <c r="U852" s="4">
        <f>IFERROR(__xludf.DUMMYFUNCTION("""COMPUTED_VALUE"""),-2.1)</f>
        <v>-2.1</v>
      </c>
      <c r="V852" s="4">
        <f>IFERROR(__xludf.DUMMYFUNCTION("""COMPUTED_VALUE"""),-0.1)</f>
        <v>-0.1</v>
      </c>
    </row>
    <row r="853">
      <c r="A853" s="4">
        <f>IFERROR(__xludf.DUMMYFUNCTION("""COMPUTED_VALUE"""),56.0)</f>
        <v>56</v>
      </c>
      <c r="B853" s="4">
        <f>IFERROR(__xludf.DUMMYFUNCTION("""COMPUTED_VALUE"""),56.0)</f>
        <v>56</v>
      </c>
      <c r="C853" s="4" t="str">
        <f>IFERROR(__xludf.DUMMYFUNCTION("""COMPUTED_VALUE"""),"DET")</f>
        <v>DET</v>
      </c>
      <c r="D853" s="4" t="str">
        <f>IFERROR(__xludf.DUMMYFUNCTION("""COMPUTED_VALUE"""),"Peyton Siva")</f>
        <v>Peyton Siva</v>
      </c>
      <c r="E853" s="4" t="str">
        <f>IFERROR(__xludf.DUMMYFUNCTION("""COMPUTED_VALUE"""),"Louisville")</f>
        <v>Louisville</v>
      </c>
      <c r="F853" s="4">
        <f>IFERROR(__xludf.DUMMYFUNCTION("""COMPUTED_VALUE"""),1.0)</f>
        <v>1</v>
      </c>
      <c r="G853" s="4">
        <f>IFERROR(__xludf.DUMMYFUNCTION("""COMPUTED_VALUE"""),24.0)</f>
        <v>24</v>
      </c>
      <c r="H853" s="4">
        <f>IFERROR(__xludf.DUMMYFUNCTION("""COMPUTED_VALUE"""),224.0)</f>
        <v>224</v>
      </c>
      <c r="I853" s="4">
        <f>IFERROR(__xludf.DUMMYFUNCTION("""COMPUTED_VALUE"""),54.0)</f>
        <v>54</v>
      </c>
      <c r="J853" s="4">
        <f>IFERROR(__xludf.DUMMYFUNCTION("""COMPUTED_VALUE"""),14.0)</f>
        <v>14</v>
      </c>
      <c r="K853" s="4">
        <f>IFERROR(__xludf.DUMMYFUNCTION("""COMPUTED_VALUE"""),34.0)</f>
        <v>34</v>
      </c>
      <c r="L853" s="4">
        <f>IFERROR(__xludf.DUMMYFUNCTION("""COMPUTED_VALUE"""),0.316)</f>
        <v>0.316</v>
      </c>
      <c r="M853" s="4">
        <f>IFERROR(__xludf.DUMMYFUNCTION("""COMPUTED_VALUE"""),0.28)</f>
        <v>0.28</v>
      </c>
      <c r="N853" s="4">
        <f>IFERROR(__xludf.DUMMYFUNCTION("""COMPUTED_VALUE"""),0.733)</f>
        <v>0.733</v>
      </c>
      <c r="O853" s="4">
        <f>IFERROR(__xludf.DUMMYFUNCTION("""COMPUTED_VALUE"""),9.3)</f>
        <v>9.3</v>
      </c>
      <c r="P853" s="4">
        <f>IFERROR(__xludf.DUMMYFUNCTION("""COMPUTED_VALUE"""),2.3)</f>
        <v>2.3</v>
      </c>
      <c r="Q853" s="4">
        <f>IFERROR(__xludf.DUMMYFUNCTION("""COMPUTED_VALUE"""),0.6)</f>
        <v>0.6</v>
      </c>
      <c r="R853" s="4">
        <f>IFERROR(__xludf.DUMMYFUNCTION("""COMPUTED_VALUE"""),1.4)</f>
        <v>1.4</v>
      </c>
      <c r="S853" s="4">
        <f>IFERROR(__xludf.DUMMYFUNCTION("""COMPUTED_VALUE"""),-0.2)</f>
        <v>-0.2</v>
      </c>
      <c r="T853" s="4">
        <f>IFERROR(__xludf.DUMMYFUNCTION("""COMPUTED_VALUE"""),-0.032)</f>
        <v>-0.032</v>
      </c>
      <c r="U853" s="4">
        <f>IFERROR(__xludf.DUMMYFUNCTION("""COMPUTED_VALUE"""),-6.4)</f>
        <v>-6.4</v>
      </c>
      <c r="V853" s="4">
        <f>IFERROR(__xludf.DUMMYFUNCTION("""COMPUTED_VALUE"""),-0.2)</f>
        <v>-0.2</v>
      </c>
    </row>
    <row r="854">
      <c r="A854" s="4">
        <f>IFERROR(__xludf.DUMMYFUNCTION("""COMPUTED_VALUE"""),57.0)</f>
        <v>57</v>
      </c>
      <c r="B854" s="4">
        <f>IFERROR(__xludf.DUMMYFUNCTION("""COMPUTED_VALUE"""),57.0)</f>
        <v>57</v>
      </c>
      <c r="C854" s="4" t="str">
        <f>IFERROR(__xludf.DUMMYFUNCTION("""COMPUTED_VALUE"""),"PHO")</f>
        <v>PHO</v>
      </c>
      <c r="D854" s="4" t="str">
        <f>IFERROR(__xludf.DUMMYFUNCTION("""COMPUTED_VALUE"""),"Alex Oriakhi")</f>
        <v>Alex Oriakhi</v>
      </c>
      <c r="E854" s="4" t="str">
        <f>IFERROR(__xludf.DUMMYFUNCTION("""COMPUTED_VALUE"""),"Missouri")</f>
        <v>Missouri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>
        <f>IFERROR(__xludf.DUMMYFUNCTION("""COMPUTED_VALUE"""),58.0)</f>
        <v>58</v>
      </c>
      <c r="B855" s="4">
        <f>IFERROR(__xludf.DUMMYFUNCTION("""COMPUTED_VALUE"""),58.0)</f>
        <v>58</v>
      </c>
      <c r="C855" s="4" t="str">
        <f>IFERROR(__xludf.DUMMYFUNCTION("""COMPUTED_VALUE"""),"SAS")</f>
        <v>SAS</v>
      </c>
      <c r="D855" s="4" t="str">
        <f>IFERROR(__xludf.DUMMYFUNCTION("""COMPUTED_VALUE"""),"Deshaun Thomas")</f>
        <v>Deshaun Thomas</v>
      </c>
      <c r="E855" s="4" t="str">
        <f>IFERROR(__xludf.DUMMYFUNCTION("""COMPUTED_VALUE"""),"Ohio State")</f>
        <v>Ohio State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>
        <f>IFERROR(__xludf.DUMMYFUNCTION("""COMPUTED_VALUE"""),59.0)</f>
        <v>59</v>
      </c>
      <c r="B856" s="4">
        <f>IFERROR(__xludf.DUMMYFUNCTION("""COMPUTED_VALUE"""),59.0)</f>
        <v>59</v>
      </c>
      <c r="C856" s="4" t="str">
        <f>IFERROR(__xludf.DUMMYFUNCTION("""COMPUTED_VALUE"""),"MIN")</f>
        <v>MIN</v>
      </c>
      <c r="D856" s="4" t="str">
        <f>IFERROR(__xludf.DUMMYFUNCTION("""COMPUTED_VALUE"""),"Bojan Dubljević")</f>
        <v>Bojan Dubljević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>
        <f>IFERROR(__xludf.DUMMYFUNCTION("""COMPUTED_VALUE"""),60.0)</f>
        <v>60</v>
      </c>
      <c r="B857" s="4">
        <f>IFERROR(__xludf.DUMMYFUNCTION("""COMPUTED_VALUE"""),60.0)</f>
        <v>60</v>
      </c>
      <c r="C857" s="4" t="str">
        <f>IFERROR(__xludf.DUMMYFUNCTION("""COMPUTED_VALUE"""),"MEM")</f>
        <v>MEM</v>
      </c>
      <c r="D857" s="4" t="str">
        <f>IFERROR(__xludf.DUMMYFUNCTION("""COMPUTED_VALUE"""),"Jānis Timma")</f>
        <v>Jānis Timma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9">
      <c r="A859" s="2">
        <v>2012.0</v>
      </c>
    </row>
    <row r="860">
      <c r="A860" s="4" t="str">
        <f>IFERROR(__xludf.DUMMYFUNCTION("IMPORTHTML(""https://www.basketball-reference.com/draft/NBA_2012.html"", ""table"", 1)"),"")</f>
        <v/>
      </c>
      <c r="B860" s="4"/>
      <c r="C860" s="4"/>
      <c r="D860" s="4" t="str">
        <f>IFERROR(__xludf.DUMMYFUNCTION("""COMPUTED_VALUE"""),"Round 1")</f>
        <v>Round 1</v>
      </c>
      <c r="E860" s="4"/>
      <c r="F860" s="4"/>
      <c r="G860" s="4" t="str">
        <f>IFERROR(__xludf.DUMMYFUNCTION("""COMPUTED_VALUE"""),"Totals")</f>
        <v>Totals</v>
      </c>
      <c r="H860" s="4"/>
      <c r="I860" s="4"/>
      <c r="J860" s="4"/>
      <c r="K860" s="4"/>
      <c r="L860" s="4" t="str">
        <f>IFERROR(__xludf.DUMMYFUNCTION("""COMPUTED_VALUE"""),"Shooting")</f>
        <v>Shooting</v>
      </c>
      <c r="M860" s="4"/>
      <c r="N860" s="4"/>
      <c r="O860" s="4" t="str">
        <f>IFERROR(__xludf.DUMMYFUNCTION("""COMPUTED_VALUE"""),"Per Game")</f>
        <v>Per Game</v>
      </c>
      <c r="P860" s="4"/>
      <c r="Q860" s="4"/>
      <c r="R860" s="4"/>
      <c r="S860" s="4" t="str">
        <f>IFERROR(__xludf.DUMMYFUNCTION("""COMPUTED_VALUE"""),"Advanced")</f>
        <v>Advanced</v>
      </c>
      <c r="T860" s="4"/>
      <c r="U860" s="4"/>
      <c r="V860" s="4"/>
    </row>
    <row r="861">
      <c r="A861" s="4" t="str">
        <f>IFERROR(__xludf.DUMMYFUNCTION("""COMPUTED_VALUE"""),"Rk")</f>
        <v>Rk</v>
      </c>
      <c r="B861" s="4" t="str">
        <f>IFERROR(__xludf.DUMMYFUNCTION("""COMPUTED_VALUE"""),"Pk")</f>
        <v>Pk</v>
      </c>
      <c r="C861" s="4" t="str">
        <f>IFERROR(__xludf.DUMMYFUNCTION("""COMPUTED_VALUE"""),"Tm")</f>
        <v>Tm</v>
      </c>
      <c r="D861" s="4" t="str">
        <f>IFERROR(__xludf.DUMMYFUNCTION("""COMPUTED_VALUE"""),"Player")</f>
        <v>Player</v>
      </c>
      <c r="E861" s="4" t="str">
        <f>IFERROR(__xludf.DUMMYFUNCTION("""COMPUTED_VALUE"""),"College")</f>
        <v>College</v>
      </c>
      <c r="F861" s="4" t="str">
        <f>IFERROR(__xludf.DUMMYFUNCTION("""COMPUTED_VALUE"""),"Yrs")</f>
        <v>Yrs</v>
      </c>
      <c r="G861" s="4" t="str">
        <f>IFERROR(__xludf.DUMMYFUNCTION("""COMPUTED_VALUE"""),"G")</f>
        <v>G</v>
      </c>
      <c r="H861" s="4" t="str">
        <f>IFERROR(__xludf.DUMMYFUNCTION("""COMPUTED_VALUE"""),"MP")</f>
        <v>MP</v>
      </c>
      <c r="I861" s="4" t="str">
        <f>IFERROR(__xludf.DUMMYFUNCTION("""COMPUTED_VALUE"""),"PTS")</f>
        <v>PTS</v>
      </c>
      <c r="J861" s="4" t="str">
        <f>IFERROR(__xludf.DUMMYFUNCTION("""COMPUTED_VALUE"""),"TRB")</f>
        <v>TRB</v>
      </c>
      <c r="K861" s="4" t="str">
        <f>IFERROR(__xludf.DUMMYFUNCTION("""COMPUTED_VALUE"""),"AST")</f>
        <v>AST</v>
      </c>
      <c r="L861" s="4" t="str">
        <f>IFERROR(__xludf.DUMMYFUNCTION("""COMPUTED_VALUE"""),"FG%")</f>
        <v>FG%</v>
      </c>
      <c r="M861" s="4" t="str">
        <f>IFERROR(__xludf.DUMMYFUNCTION("""COMPUTED_VALUE"""),"3P%")</f>
        <v>3P%</v>
      </c>
      <c r="N861" s="4" t="str">
        <f>IFERROR(__xludf.DUMMYFUNCTION("""COMPUTED_VALUE"""),"FT%")</f>
        <v>FT%</v>
      </c>
      <c r="O861" s="4" t="str">
        <f>IFERROR(__xludf.DUMMYFUNCTION("""COMPUTED_VALUE"""),"MP")</f>
        <v>MP</v>
      </c>
      <c r="P861" s="4" t="str">
        <f>IFERROR(__xludf.DUMMYFUNCTION("""COMPUTED_VALUE"""),"PTS")</f>
        <v>PTS</v>
      </c>
      <c r="Q861" s="4" t="str">
        <f>IFERROR(__xludf.DUMMYFUNCTION("""COMPUTED_VALUE"""),"TRB")</f>
        <v>TRB</v>
      </c>
      <c r="R861" s="4" t="str">
        <f>IFERROR(__xludf.DUMMYFUNCTION("""COMPUTED_VALUE"""),"AST")</f>
        <v>AST</v>
      </c>
      <c r="S861" s="4" t="str">
        <f>IFERROR(__xludf.DUMMYFUNCTION("""COMPUTED_VALUE"""),"WS")</f>
        <v>WS</v>
      </c>
      <c r="T861" s="4" t="str">
        <f>IFERROR(__xludf.DUMMYFUNCTION("""COMPUTED_VALUE"""),"WS/48")</f>
        <v>WS/48</v>
      </c>
      <c r="U861" s="4" t="str">
        <f>IFERROR(__xludf.DUMMYFUNCTION("""COMPUTED_VALUE"""),"BPM")</f>
        <v>BPM</v>
      </c>
      <c r="V861" s="4" t="str">
        <f>IFERROR(__xludf.DUMMYFUNCTION("""COMPUTED_VALUE"""),"VORP")</f>
        <v>VORP</v>
      </c>
    </row>
    <row r="862">
      <c r="A862" s="4">
        <f>IFERROR(__xludf.DUMMYFUNCTION("""COMPUTED_VALUE"""),1.0)</f>
        <v>1</v>
      </c>
      <c r="B862" s="4">
        <f>IFERROR(__xludf.DUMMYFUNCTION("""COMPUTED_VALUE"""),1.0)</f>
        <v>1</v>
      </c>
      <c r="C862" s="4" t="str">
        <f>IFERROR(__xludf.DUMMYFUNCTION("""COMPUTED_VALUE"""),"NOH")</f>
        <v>NOH</v>
      </c>
      <c r="D862" s="4" t="str">
        <f>IFERROR(__xludf.DUMMYFUNCTION("""COMPUTED_VALUE"""),"Anthony Davis")</f>
        <v>Anthony Davis</v>
      </c>
      <c r="E862" s="4" t="str">
        <f>IFERROR(__xludf.DUMMYFUNCTION("""COMPUTED_VALUE"""),"Kentucky")</f>
        <v>Kentucky</v>
      </c>
      <c r="F862" s="4">
        <f>IFERROR(__xludf.DUMMYFUNCTION("""COMPUTED_VALUE"""),14.0)</f>
        <v>14</v>
      </c>
      <c r="G862" s="4">
        <f>IFERROR(__xludf.DUMMYFUNCTION("""COMPUTED_VALUE"""),794.0)</f>
        <v>794</v>
      </c>
      <c r="H862" s="4">
        <f>IFERROR(__xludf.DUMMYFUNCTION("""COMPUTED_VALUE"""),27325.0)</f>
        <v>27325</v>
      </c>
      <c r="I862" s="4">
        <f>IFERROR(__xludf.DUMMYFUNCTION("""COMPUTED_VALUE"""),19126.0)</f>
        <v>19126</v>
      </c>
      <c r="J862" s="4">
        <f>IFERROR(__xludf.DUMMYFUNCTION("""COMPUTED_VALUE"""),8485.0)</f>
        <v>8485</v>
      </c>
      <c r="K862" s="4">
        <f>IFERROR(__xludf.DUMMYFUNCTION("""COMPUTED_VALUE"""),2029.0)</f>
        <v>2029</v>
      </c>
      <c r="L862" s="4">
        <f>IFERROR(__xludf.DUMMYFUNCTION("""COMPUTED_VALUE"""),0.523)</f>
        <v>0.523</v>
      </c>
      <c r="M862" s="4">
        <f>IFERROR(__xludf.DUMMYFUNCTION("""COMPUTED_VALUE"""),0.296)</f>
        <v>0.296</v>
      </c>
      <c r="N862" s="4">
        <f>IFERROR(__xludf.DUMMYFUNCTION("""COMPUTED_VALUE"""),0.794)</f>
        <v>0.794</v>
      </c>
      <c r="O862" s="4">
        <f>IFERROR(__xludf.DUMMYFUNCTION("""COMPUTED_VALUE"""),34.4)</f>
        <v>34.4</v>
      </c>
      <c r="P862" s="4">
        <f>IFERROR(__xludf.DUMMYFUNCTION("""COMPUTED_VALUE"""),24.1)</f>
        <v>24.1</v>
      </c>
      <c r="Q862" s="4">
        <f>IFERROR(__xludf.DUMMYFUNCTION("""COMPUTED_VALUE"""),10.7)</f>
        <v>10.7</v>
      </c>
      <c r="R862" s="4">
        <f>IFERROR(__xludf.DUMMYFUNCTION("""COMPUTED_VALUE"""),2.6)</f>
        <v>2.6</v>
      </c>
      <c r="S862" s="4">
        <f>IFERROR(__xludf.DUMMYFUNCTION("""COMPUTED_VALUE"""),119.6)</f>
        <v>119.6</v>
      </c>
      <c r="T862" s="4">
        <f>IFERROR(__xludf.DUMMYFUNCTION("""COMPUTED_VALUE"""),0.21)</f>
        <v>0.21</v>
      </c>
      <c r="U862" s="4">
        <f>IFERROR(__xludf.DUMMYFUNCTION("""COMPUTED_VALUE"""),5.9)</f>
        <v>5.9</v>
      </c>
      <c r="V862" s="4">
        <f>IFERROR(__xludf.DUMMYFUNCTION("""COMPUTED_VALUE"""),54.6)</f>
        <v>54.6</v>
      </c>
    </row>
    <row r="863">
      <c r="A863" s="4">
        <f>IFERROR(__xludf.DUMMYFUNCTION("""COMPUTED_VALUE"""),2.0)</f>
        <v>2</v>
      </c>
      <c r="B863" s="4">
        <f>IFERROR(__xludf.DUMMYFUNCTION("""COMPUTED_VALUE"""),2.0)</f>
        <v>2</v>
      </c>
      <c r="C863" s="4" t="str">
        <f>IFERROR(__xludf.DUMMYFUNCTION("""COMPUTED_VALUE"""),"CHA")</f>
        <v>CHA</v>
      </c>
      <c r="D863" s="4" t="str">
        <f>IFERROR(__xludf.DUMMYFUNCTION("""COMPUTED_VALUE"""),"Michael Kidd-Gilchrist")</f>
        <v>Michael Kidd-Gilchrist</v>
      </c>
      <c r="E863" s="4" t="str">
        <f>IFERROR(__xludf.DUMMYFUNCTION("""COMPUTED_VALUE"""),"Kentucky")</f>
        <v>Kentucky</v>
      </c>
      <c r="F863" s="4">
        <f>IFERROR(__xludf.DUMMYFUNCTION("""COMPUTED_VALUE"""),8.0)</f>
        <v>8</v>
      </c>
      <c r="G863" s="4">
        <f>IFERROR(__xludf.DUMMYFUNCTION("""COMPUTED_VALUE"""),446.0)</f>
        <v>446</v>
      </c>
      <c r="H863" s="4">
        <f>IFERROR(__xludf.DUMMYFUNCTION("""COMPUTED_VALUE"""),10978.0)</f>
        <v>10978</v>
      </c>
      <c r="I863" s="4">
        <f>IFERROR(__xludf.DUMMYFUNCTION("""COMPUTED_VALUE"""),3750.0)</f>
        <v>3750</v>
      </c>
      <c r="J863" s="4">
        <f>IFERROR(__xludf.DUMMYFUNCTION("""COMPUTED_VALUE"""),2420.0)</f>
        <v>2420</v>
      </c>
      <c r="K863" s="4">
        <f>IFERROR(__xludf.DUMMYFUNCTION("""COMPUTED_VALUE"""),515.0)</f>
        <v>515</v>
      </c>
      <c r="L863" s="4">
        <f>IFERROR(__xludf.DUMMYFUNCTION("""COMPUTED_VALUE"""),0.474)</f>
        <v>0.474</v>
      </c>
      <c r="M863" s="4">
        <f>IFERROR(__xludf.DUMMYFUNCTION("""COMPUTED_VALUE"""),0.272)</f>
        <v>0.272</v>
      </c>
      <c r="N863" s="4">
        <f>IFERROR(__xludf.DUMMYFUNCTION("""COMPUTED_VALUE"""),0.715)</f>
        <v>0.715</v>
      </c>
      <c r="O863" s="4">
        <f>IFERROR(__xludf.DUMMYFUNCTION("""COMPUTED_VALUE"""),24.6)</f>
        <v>24.6</v>
      </c>
      <c r="P863" s="4">
        <f>IFERROR(__xludf.DUMMYFUNCTION("""COMPUTED_VALUE"""),8.4)</f>
        <v>8.4</v>
      </c>
      <c r="Q863" s="4">
        <f>IFERROR(__xludf.DUMMYFUNCTION("""COMPUTED_VALUE"""),5.4)</f>
        <v>5.4</v>
      </c>
      <c r="R863" s="4">
        <f>IFERROR(__xludf.DUMMYFUNCTION("""COMPUTED_VALUE"""),1.2)</f>
        <v>1.2</v>
      </c>
      <c r="S863" s="4">
        <f>IFERROR(__xludf.DUMMYFUNCTION("""COMPUTED_VALUE"""),21.0)</f>
        <v>21</v>
      </c>
      <c r="T863" s="4">
        <f>IFERROR(__xludf.DUMMYFUNCTION("""COMPUTED_VALUE"""),0.092)</f>
        <v>0.092</v>
      </c>
      <c r="U863" s="4">
        <f>IFERROR(__xludf.DUMMYFUNCTION("""COMPUTED_VALUE"""),-1.8)</f>
        <v>-1.8</v>
      </c>
      <c r="V863" s="4">
        <f>IFERROR(__xludf.DUMMYFUNCTION("""COMPUTED_VALUE"""),0.6)</f>
        <v>0.6</v>
      </c>
    </row>
    <row r="864">
      <c r="A864" s="4">
        <f>IFERROR(__xludf.DUMMYFUNCTION("""COMPUTED_VALUE"""),3.0)</f>
        <v>3</v>
      </c>
      <c r="B864" s="4">
        <f>IFERROR(__xludf.DUMMYFUNCTION("""COMPUTED_VALUE"""),3.0)</f>
        <v>3</v>
      </c>
      <c r="C864" s="4" t="str">
        <f>IFERROR(__xludf.DUMMYFUNCTION("""COMPUTED_VALUE"""),"WAS")</f>
        <v>WAS</v>
      </c>
      <c r="D864" s="4" t="str">
        <f>IFERROR(__xludf.DUMMYFUNCTION("""COMPUTED_VALUE"""),"Bradley Beal")</f>
        <v>Bradley Beal</v>
      </c>
      <c r="E864" s="4" t="str">
        <f>IFERROR(__xludf.DUMMYFUNCTION("""COMPUTED_VALUE"""),"Florida")</f>
        <v>Florida</v>
      </c>
      <c r="F864" s="4">
        <f>IFERROR(__xludf.DUMMYFUNCTION("""COMPUTED_VALUE"""),14.0)</f>
        <v>14</v>
      </c>
      <c r="G864" s="4">
        <f>IFERROR(__xludf.DUMMYFUNCTION("""COMPUTED_VALUE"""),807.0)</f>
        <v>807</v>
      </c>
      <c r="H864" s="4">
        <f>IFERROR(__xludf.DUMMYFUNCTION("""COMPUTED_VALUE"""),27681.0)</f>
        <v>27681</v>
      </c>
      <c r="I864" s="4">
        <f>IFERROR(__xludf.DUMMYFUNCTION("""COMPUTED_VALUE"""),17306.0)</f>
        <v>17306</v>
      </c>
      <c r="J864" s="4">
        <f>IFERROR(__xludf.DUMMYFUNCTION("""COMPUTED_VALUE"""),3251.0)</f>
        <v>3251</v>
      </c>
      <c r="K864" s="4">
        <f>IFERROR(__xludf.DUMMYFUNCTION("""COMPUTED_VALUE"""),3442.0)</f>
        <v>3442</v>
      </c>
      <c r="L864" s="4">
        <f>IFERROR(__xludf.DUMMYFUNCTION("""COMPUTED_VALUE"""),0.464)</f>
        <v>0.464</v>
      </c>
      <c r="M864" s="4">
        <f>IFERROR(__xludf.DUMMYFUNCTION("""COMPUTED_VALUE"""),0.376)</f>
        <v>0.376</v>
      </c>
      <c r="N864" s="4">
        <f>IFERROR(__xludf.DUMMYFUNCTION("""COMPUTED_VALUE"""),0.821)</f>
        <v>0.821</v>
      </c>
      <c r="O864" s="4">
        <f>IFERROR(__xludf.DUMMYFUNCTION("""COMPUTED_VALUE"""),34.3)</f>
        <v>34.3</v>
      </c>
      <c r="P864" s="4">
        <f>IFERROR(__xludf.DUMMYFUNCTION("""COMPUTED_VALUE"""),21.4)</f>
        <v>21.4</v>
      </c>
      <c r="Q864" s="4">
        <f>IFERROR(__xludf.DUMMYFUNCTION("""COMPUTED_VALUE"""),4.0)</f>
        <v>4</v>
      </c>
      <c r="R864" s="4">
        <f>IFERROR(__xludf.DUMMYFUNCTION("""COMPUTED_VALUE"""),4.3)</f>
        <v>4.3</v>
      </c>
      <c r="S864" s="4">
        <f>IFERROR(__xludf.DUMMYFUNCTION("""COMPUTED_VALUE"""),58.3)</f>
        <v>58.3</v>
      </c>
      <c r="T864" s="4">
        <f>IFERROR(__xludf.DUMMYFUNCTION("""COMPUTED_VALUE"""),0.101)</f>
        <v>0.101</v>
      </c>
      <c r="U864" s="4">
        <f>IFERROR(__xludf.DUMMYFUNCTION("""COMPUTED_VALUE"""),1.4)</f>
        <v>1.4</v>
      </c>
      <c r="V864" s="4">
        <f>IFERROR(__xludf.DUMMYFUNCTION("""COMPUTED_VALUE"""),23.7)</f>
        <v>23.7</v>
      </c>
    </row>
    <row r="865">
      <c r="A865" s="4">
        <f>IFERROR(__xludf.DUMMYFUNCTION("""COMPUTED_VALUE"""),4.0)</f>
        <v>4</v>
      </c>
      <c r="B865" s="4">
        <f>IFERROR(__xludf.DUMMYFUNCTION("""COMPUTED_VALUE"""),4.0)</f>
        <v>4</v>
      </c>
      <c r="C865" s="4" t="str">
        <f>IFERROR(__xludf.DUMMYFUNCTION("""COMPUTED_VALUE"""),"CLE")</f>
        <v>CLE</v>
      </c>
      <c r="D865" s="4" t="str">
        <f>IFERROR(__xludf.DUMMYFUNCTION("""COMPUTED_VALUE"""),"Dion Waiters")</f>
        <v>Dion Waiters</v>
      </c>
      <c r="E865" s="4" t="str">
        <f>IFERROR(__xludf.DUMMYFUNCTION("""COMPUTED_VALUE"""),"Syracuse")</f>
        <v>Syracuse</v>
      </c>
      <c r="F865" s="4">
        <f>IFERROR(__xludf.DUMMYFUNCTION("""COMPUTED_VALUE"""),8.0)</f>
        <v>8</v>
      </c>
      <c r="G865" s="4">
        <f>IFERROR(__xludf.DUMMYFUNCTION("""COMPUTED_VALUE"""),419.0)</f>
        <v>419</v>
      </c>
      <c r="H865" s="4">
        <f>IFERROR(__xludf.DUMMYFUNCTION("""COMPUTED_VALUE"""),11835.0)</f>
        <v>11835</v>
      </c>
      <c r="I865" s="4">
        <f>IFERROR(__xludf.DUMMYFUNCTION("""COMPUTED_VALUE"""),5505.0)</f>
        <v>5505</v>
      </c>
      <c r="J865" s="4">
        <f>IFERROR(__xludf.DUMMYFUNCTION("""COMPUTED_VALUE"""),1108.0)</f>
        <v>1108</v>
      </c>
      <c r="K865" s="4">
        <f>IFERROR(__xludf.DUMMYFUNCTION("""COMPUTED_VALUE"""),1163.0)</f>
        <v>1163</v>
      </c>
      <c r="L865" s="4">
        <f>IFERROR(__xludf.DUMMYFUNCTION("""COMPUTED_VALUE"""),0.412)</f>
        <v>0.412</v>
      </c>
      <c r="M865" s="4">
        <f>IFERROR(__xludf.DUMMYFUNCTION("""COMPUTED_VALUE"""),0.346)</f>
        <v>0.346</v>
      </c>
      <c r="N865" s="4">
        <f>IFERROR(__xludf.DUMMYFUNCTION("""COMPUTED_VALUE"""),0.694)</f>
        <v>0.694</v>
      </c>
      <c r="O865" s="4">
        <f>IFERROR(__xludf.DUMMYFUNCTION("""COMPUTED_VALUE"""),28.2)</f>
        <v>28.2</v>
      </c>
      <c r="P865" s="4">
        <f>IFERROR(__xludf.DUMMYFUNCTION("""COMPUTED_VALUE"""),13.1)</f>
        <v>13.1</v>
      </c>
      <c r="Q865" s="4">
        <f>IFERROR(__xludf.DUMMYFUNCTION("""COMPUTED_VALUE"""),2.6)</f>
        <v>2.6</v>
      </c>
      <c r="R865" s="4">
        <f>IFERROR(__xludf.DUMMYFUNCTION("""COMPUTED_VALUE"""),2.8)</f>
        <v>2.8</v>
      </c>
      <c r="S865" s="4">
        <f>IFERROR(__xludf.DUMMYFUNCTION("""COMPUTED_VALUE"""),8.8)</f>
        <v>8.8</v>
      </c>
      <c r="T865" s="4">
        <f>IFERROR(__xludf.DUMMYFUNCTION("""COMPUTED_VALUE"""),0.036)</f>
        <v>0.036</v>
      </c>
      <c r="U865" s="4">
        <f>IFERROR(__xludf.DUMMYFUNCTION("""COMPUTED_VALUE"""),-2.1)</f>
        <v>-2.1</v>
      </c>
      <c r="V865" s="4">
        <f>IFERROR(__xludf.DUMMYFUNCTION("""COMPUTED_VALUE"""),-0.4)</f>
        <v>-0.4</v>
      </c>
    </row>
    <row r="866">
      <c r="A866" s="4">
        <f>IFERROR(__xludf.DUMMYFUNCTION("""COMPUTED_VALUE"""),5.0)</f>
        <v>5</v>
      </c>
      <c r="B866" s="4">
        <f>IFERROR(__xludf.DUMMYFUNCTION("""COMPUTED_VALUE"""),5.0)</f>
        <v>5</v>
      </c>
      <c r="C866" s="4" t="str">
        <f>IFERROR(__xludf.DUMMYFUNCTION("""COMPUTED_VALUE"""),"SAC")</f>
        <v>SAC</v>
      </c>
      <c r="D866" s="4" t="str">
        <f>IFERROR(__xludf.DUMMYFUNCTION("""COMPUTED_VALUE"""),"Thomas Robinson")</f>
        <v>Thomas Robinson</v>
      </c>
      <c r="E866" s="4" t="str">
        <f>IFERROR(__xludf.DUMMYFUNCTION("""COMPUTED_VALUE"""),"Kansas")</f>
        <v>Kansas</v>
      </c>
      <c r="F866" s="4">
        <f>IFERROR(__xludf.DUMMYFUNCTION("""COMPUTED_VALUE"""),5.0)</f>
        <v>5</v>
      </c>
      <c r="G866" s="4">
        <f>IFERROR(__xludf.DUMMYFUNCTION("""COMPUTED_VALUE"""),313.0)</f>
        <v>313</v>
      </c>
      <c r="H866" s="4">
        <f>IFERROR(__xludf.DUMMYFUNCTION("""COMPUTED_VALUE"""),4204.0)</f>
        <v>4204</v>
      </c>
      <c r="I866" s="4">
        <f>IFERROR(__xludf.DUMMYFUNCTION("""COMPUTED_VALUE"""),1528.0)</f>
        <v>1528</v>
      </c>
      <c r="J866" s="4">
        <f>IFERROR(__xludf.DUMMYFUNCTION("""COMPUTED_VALUE"""),1507.0)</f>
        <v>1507</v>
      </c>
      <c r="K866" s="4">
        <f>IFERROR(__xludf.DUMMYFUNCTION("""COMPUTED_VALUE"""),190.0)</f>
        <v>190</v>
      </c>
      <c r="L866" s="4">
        <f>IFERROR(__xludf.DUMMYFUNCTION("""COMPUTED_VALUE"""),0.47)</f>
        <v>0.47</v>
      </c>
      <c r="M866" s="4">
        <f>IFERROR(__xludf.DUMMYFUNCTION("""COMPUTED_VALUE"""),0.0)</f>
        <v>0</v>
      </c>
      <c r="N866" s="4">
        <f>IFERROR(__xludf.DUMMYFUNCTION("""COMPUTED_VALUE"""),0.505)</f>
        <v>0.505</v>
      </c>
      <c r="O866" s="4">
        <f>IFERROR(__xludf.DUMMYFUNCTION("""COMPUTED_VALUE"""),13.4)</f>
        <v>13.4</v>
      </c>
      <c r="P866" s="4">
        <f>IFERROR(__xludf.DUMMYFUNCTION("""COMPUTED_VALUE"""),4.9)</f>
        <v>4.9</v>
      </c>
      <c r="Q866" s="4">
        <f>IFERROR(__xludf.DUMMYFUNCTION("""COMPUTED_VALUE"""),4.8)</f>
        <v>4.8</v>
      </c>
      <c r="R866" s="4">
        <f>IFERROR(__xludf.DUMMYFUNCTION("""COMPUTED_VALUE"""),0.6)</f>
        <v>0.6</v>
      </c>
      <c r="S866" s="4">
        <f>IFERROR(__xludf.DUMMYFUNCTION("""COMPUTED_VALUE"""),4.6)</f>
        <v>4.6</v>
      </c>
      <c r="T866" s="4">
        <f>IFERROR(__xludf.DUMMYFUNCTION("""COMPUTED_VALUE"""),0.053)</f>
        <v>0.053</v>
      </c>
      <c r="U866" s="4">
        <f>IFERROR(__xludf.DUMMYFUNCTION("""COMPUTED_VALUE"""),-3.5)</f>
        <v>-3.5</v>
      </c>
      <c r="V866" s="4">
        <f>IFERROR(__xludf.DUMMYFUNCTION("""COMPUTED_VALUE"""),-1.6)</f>
        <v>-1.6</v>
      </c>
    </row>
    <row r="867">
      <c r="A867" s="4">
        <f>IFERROR(__xludf.DUMMYFUNCTION("""COMPUTED_VALUE"""),6.0)</f>
        <v>6</v>
      </c>
      <c r="B867" s="4">
        <f>IFERROR(__xludf.DUMMYFUNCTION("""COMPUTED_VALUE"""),6.0)</f>
        <v>6</v>
      </c>
      <c r="C867" s="4" t="str">
        <f>IFERROR(__xludf.DUMMYFUNCTION("""COMPUTED_VALUE"""),"POR")</f>
        <v>POR</v>
      </c>
      <c r="D867" s="4" t="str">
        <f>IFERROR(__xludf.DUMMYFUNCTION("""COMPUTED_VALUE"""),"Damian Lillard")</f>
        <v>Damian Lillard</v>
      </c>
      <c r="E867" s="4" t="str">
        <f>IFERROR(__xludf.DUMMYFUNCTION("""COMPUTED_VALUE"""),"Weber State")</f>
        <v>Weber State</v>
      </c>
      <c r="F867" s="4">
        <f>IFERROR(__xludf.DUMMYFUNCTION("""COMPUTED_VALUE"""),13.0)</f>
        <v>13</v>
      </c>
      <c r="G867" s="4">
        <f>IFERROR(__xludf.DUMMYFUNCTION("""COMPUTED_VALUE"""),900.0)</f>
        <v>900</v>
      </c>
      <c r="H867" s="4">
        <f>IFERROR(__xludf.DUMMYFUNCTION("""COMPUTED_VALUE"""),32614.0)</f>
        <v>32614</v>
      </c>
      <c r="I867" s="4">
        <f>IFERROR(__xludf.DUMMYFUNCTION("""COMPUTED_VALUE"""),22598.0)</f>
        <v>22598</v>
      </c>
      <c r="J867" s="4">
        <f>IFERROR(__xludf.DUMMYFUNCTION("""COMPUTED_VALUE"""),3845.0)</f>
        <v>3845</v>
      </c>
      <c r="K867" s="4">
        <f>IFERROR(__xludf.DUMMYFUNCTION("""COMPUTED_VALUE"""),6069.0)</f>
        <v>6069</v>
      </c>
      <c r="L867" s="4">
        <f>IFERROR(__xludf.DUMMYFUNCTION("""COMPUTED_VALUE"""),0.439)</f>
        <v>0.439</v>
      </c>
      <c r="M867" s="4">
        <f>IFERROR(__xludf.DUMMYFUNCTION("""COMPUTED_VALUE"""),0.371)</f>
        <v>0.371</v>
      </c>
      <c r="N867" s="4">
        <f>IFERROR(__xludf.DUMMYFUNCTION("""COMPUTED_VALUE"""),0.899)</f>
        <v>0.899</v>
      </c>
      <c r="O867" s="4">
        <f>IFERROR(__xludf.DUMMYFUNCTION("""COMPUTED_VALUE"""),36.2)</f>
        <v>36.2</v>
      </c>
      <c r="P867" s="4">
        <f>IFERROR(__xludf.DUMMYFUNCTION("""COMPUTED_VALUE"""),25.1)</f>
        <v>25.1</v>
      </c>
      <c r="Q867" s="4">
        <f>IFERROR(__xludf.DUMMYFUNCTION("""COMPUTED_VALUE"""),4.3)</f>
        <v>4.3</v>
      </c>
      <c r="R867" s="4">
        <f>IFERROR(__xludf.DUMMYFUNCTION("""COMPUTED_VALUE"""),6.7)</f>
        <v>6.7</v>
      </c>
      <c r="S867" s="4">
        <f>IFERROR(__xludf.DUMMYFUNCTION("""COMPUTED_VALUE"""),118.4)</f>
        <v>118.4</v>
      </c>
      <c r="T867" s="4">
        <f>IFERROR(__xludf.DUMMYFUNCTION("""COMPUTED_VALUE"""),0.174)</f>
        <v>0.174</v>
      </c>
      <c r="U867" s="4">
        <f>IFERROR(__xludf.DUMMYFUNCTION("""COMPUTED_VALUE"""),4.6)</f>
        <v>4.6</v>
      </c>
      <c r="V867" s="4">
        <f>IFERROR(__xludf.DUMMYFUNCTION("""COMPUTED_VALUE"""),54.5)</f>
        <v>54.5</v>
      </c>
    </row>
    <row r="868">
      <c r="A868" s="4">
        <f>IFERROR(__xludf.DUMMYFUNCTION("""COMPUTED_VALUE"""),7.0)</f>
        <v>7</v>
      </c>
      <c r="B868" s="4">
        <f>IFERROR(__xludf.DUMMYFUNCTION("""COMPUTED_VALUE"""),7.0)</f>
        <v>7</v>
      </c>
      <c r="C868" s="4" t="str">
        <f>IFERROR(__xludf.DUMMYFUNCTION("""COMPUTED_VALUE"""),"GSW")</f>
        <v>GSW</v>
      </c>
      <c r="D868" s="4" t="str">
        <f>IFERROR(__xludf.DUMMYFUNCTION("""COMPUTED_VALUE"""),"Harrison Barnes")</f>
        <v>Harrison Barnes</v>
      </c>
      <c r="E868" s="4" t="str">
        <f>IFERROR(__xludf.DUMMYFUNCTION("""COMPUTED_VALUE"""),"UNC")</f>
        <v>UNC</v>
      </c>
      <c r="F868" s="4">
        <f>IFERROR(__xludf.DUMMYFUNCTION("""COMPUTED_VALUE"""),14.0)</f>
        <v>14</v>
      </c>
      <c r="G868" s="4">
        <f>IFERROR(__xludf.DUMMYFUNCTION("""COMPUTED_VALUE"""),1013.0)</f>
        <v>1013</v>
      </c>
      <c r="H868" s="4">
        <f>IFERROR(__xludf.DUMMYFUNCTION("""COMPUTED_VALUE"""),31647.0)</f>
        <v>31647</v>
      </c>
      <c r="I868" s="4">
        <f>IFERROR(__xludf.DUMMYFUNCTION("""COMPUTED_VALUE"""),14073.0)</f>
        <v>14073</v>
      </c>
      <c r="J868" s="4">
        <f>IFERROR(__xludf.DUMMYFUNCTION("""COMPUTED_VALUE"""),4809.0)</f>
        <v>4809</v>
      </c>
      <c r="K868" s="4">
        <f>IFERROR(__xludf.DUMMYFUNCTION("""COMPUTED_VALUE"""),1784.0)</f>
        <v>1784</v>
      </c>
      <c r="L868" s="4">
        <f>IFERROR(__xludf.DUMMYFUNCTION("""COMPUTED_VALUE"""),0.46)</f>
        <v>0.46</v>
      </c>
      <c r="M868" s="4">
        <f>IFERROR(__xludf.DUMMYFUNCTION("""COMPUTED_VALUE"""),0.386)</f>
        <v>0.386</v>
      </c>
      <c r="N868" s="4">
        <f>IFERROR(__xludf.DUMMYFUNCTION("""COMPUTED_VALUE"""),0.811)</f>
        <v>0.811</v>
      </c>
      <c r="O868" s="4">
        <f>IFERROR(__xludf.DUMMYFUNCTION("""COMPUTED_VALUE"""),31.2)</f>
        <v>31.2</v>
      </c>
      <c r="P868" s="4">
        <f>IFERROR(__xludf.DUMMYFUNCTION("""COMPUTED_VALUE"""),13.9)</f>
        <v>13.9</v>
      </c>
      <c r="Q868" s="4">
        <f>IFERROR(__xludf.DUMMYFUNCTION("""COMPUTED_VALUE"""),4.7)</f>
        <v>4.7</v>
      </c>
      <c r="R868" s="4">
        <f>IFERROR(__xludf.DUMMYFUNCTION("""COMPUTED_VALUE"""),1.8)</f>
        <v>1.8</v>
      </c>
      <c r="S868" s="4">
        <f>IFERROR(__xludf.DUMMYFUNCTION("""COMPUTED_VALUE"""),63.2)</f>
        <v>63.2</v>
      </c>
      <c r="T868" s="4">
        <f>IFERROR(__xludf.DUMMYFUNCTION("""COMPUTED_VALUE"""),0.096)</f>
        <v>0.096</v>
      </c>
      <c r="U868" s="4">
        <f>IFERROR(__xludf.DUMMYFUNCTION("""COMPUTED_VALUE"""),-0.8)</f>
        <v>-0.8</v>
      </c>
      <c r="V868" s="4">
        <f>IFERROR(__xludf.DUMMYFUNCTION("""COMPUTED_VALUE"""),9.5)</f>
        <v>9.5</v>
      </c>
    </row>
    <row r="869">
      <c r="A869" s="4">
        <f>IFERROR(__xludf.DUMMYFUNCTION("""COMPUTED_VALUE"""),8.0)</f>
        <v>8</v>
      </c>
      <c r="B869" s="4">
        <f>IFERROR(__xludf.DUMMYFUNCTION("""COMPUTED_VALUE"""),8.0)</f>
        <v>8</v>
      </c>
      <c r="C869" s="4" t="str">
        <f>IFERROR(__xludf.DUMMYFUNCTION("""COMPUTED_VALUE"""),"TOR")</f>
        <v>TOR</v>
      </c>
      <c r="D869" s="4" t="str">
        <f>IFERROR(__xludf.DUMMYFUNCTION("""COMPUTED_VALUE"""),"Terrence Ross")</f>
        <v>Terrence Ross</v>
      </c>
      <c r="E869" s="4" t="str">
        <f>IFERROR(__xludf.DUMMYFUNCTION("""COMPUTED_VALUE"""),"Washington")</f>
        <v>Washington</v>
      </c>
      <c r="F869" s="4">
        <f>IFERROR(__xludf.DUMMYFUNCTION("""COMPUTED_VALUE"""),11.0)</f>
        <v>11</v>
      </c>
      <c r="G869" s="4">
        <f>IFERROR(__xludf.DUMMYFUNCTION("""COMPUTED_VALUE"""),733.0)</f>
        <v>733</v>
      </c>
      <c r="H869" s="4">
        <f>IFERROR(__xludf.DUMMYFUNCTION("""COMPUTED_VALUE"""),17956.0)</f>
        <v>17956</v>
      </c>
      <c r="I869" s="4">
        <f>IFERROR(__xludf.DUMMYFUNCTION("""COMPUTED_VALUE"""),8047.0)</f>
        <v>8047</v>
      </c>
      <c r="J869" s="4">
        <f>IFERROR(__xludf.DUMMYFUNCTION("""COMPUTED_VALUE"""),2061.0)</f>
        <v>2061</v>
      </c>
      <c r="K869" s="4">
        <f>IFERROR(__xludf.DUMMYFUNCTION("""COMPUTED_VALUE"""),936.0)</f>
        <v>936</v>
      </c>
      <c r="L869" s="4">
        <f>IFERROR(__xludf.DUMMYFUNCTION("""COMPUTED_VALUE"""),0.418)</f>
        <v>0.418</v>
      </c>
      <c r="M869" s="4">
        <f>IFERROR(__xludf.DUMMYFUNCTION("""COMPUTED_VALUE"""),0.362)</f>
        <v>0.362</v>
      </c>
      <c r="N869" s="4">
        <f>IFERROR(__xludf.DUMMYFUNCTION("""COMPUTED_VALUE"""),0.837)</f>
        <v>0.837</v>
      </c>
      <c r="O869" s="4">
        <f>IFERROR(__xludf.DUMMYFUNCTION("""COMPUTED_VALUE"""),24.5)</f>
        <v>24.5</v>
      </c>
      <c r="P869" s="4">
        <f>IFERROR(__xludf.DUMMYFUNCTION("""COMPUTED_VALUE"""),11.0)</f>
        <v>11</v>
      </c>
      <c r="Q869" s="4">
        <f>IFERROR(__xludf.DUMMYFUNCTION("""COMPUTED_VALUE"""),2.8)</f>
        <v>2.8</v>
      </c>
      <c r="R869" s="4">
        <f>IFERROR(__xludf.DUMMYFUNCTION("""COMPUTED_VALUE"""),1.3)</f>
        <v>1.3</v>
      </c>
      <c r="S869" s="4">
        <f>IFERROR(__xludf.DUMMYFUNCTION("""COMPUTED_VALUE"""),25.0)</f>
        <v>25</v>
      </c>
      <c r="T869" s="4">
        <f>IFERROR(__xludf.DUMMYFUNCTION("""COMPUTED_VALUE"""),0.067)</f>
        <v>0.067</v>
      </c>
      <c r="U869" s="4">
        <f>IFERROR(__xludf.DUMMYFUNCTION("""COMPUTED_VALUE"""),-1.0)</f>
        <v>-1</v>
      </c>
      <c r="V869" s="4">
        <f>IFERROR(__xludf.DUMMYFUNCTION("""COMPUTED_VALUE"""),4.5)</f>
        <v>4.5</v>
      </c>
    </row>
    <row r="870">
      <c r="A870" s="4">
        <f>IFERROR(__xludf.DUMMYFUNCTION("""COMPUTED_VALUE"""),9.0)</f>
        <v>9</v>
      </c>
      <c r="B870" s="4">
        <f>IFERROR(__xludf.DUMMYFUNCTION("""COMPUTED_VALUE"""),9.0)</f>
        <v>9</v>
      </c>
      <c r="C870" s="4" t="str">
        <f>IFERROR(__xludf.DUMMYFUNCTION("""COMPUTED_VALUE"""),"DET")</f>
        <v>DET</v>
      </c>
      <c r="D870" s="4" t="str">
        <f>IFERROR(__xludf.DUMMYFUNCTION("""COMPUTED_VALUE"""),"Andre Drummond")</f>
        <v>Andre Drummond</v>
      </c>
      <c r="E870" s="4" t="str">
        <f>IFERROR(__xludf.DUMMYFUNCTION("""COMPUTED_VALUE"""),"UConn")</f>
        <v>UConn</v>
      </c>
      <c r="F870" s="4">
        <f>IFERROR(__xludf.DUMMYFUNCTION("""COMPUTED_VALUE"""),14.0)</f>
        <v>14</v>
      </c>
      <c r="G870" s="4">
        <f>IFERROR(__xludf.DUMMYFUNCTION("""COMPUTED_VALUE"""),923.0)</f>
        <v>923</v>
      </c>
      <c r="H870" s="4">
        <f>IFERROR(__xludf.DUMMYFUNCTION("""COMPUTED_VALUE"""),24641.0)</f>
        <v>24641</v>
      </c>
      <c r="I870" s="4">
        <f>IFERROR(__xludf.DUMMYFUNCTION("""COMPUTED_VALUE"""),11446.0)</f>
        <v>11446</v>
      </c>
      <c r="J870" s="4">
        <f>IFERROR(__xludf.DUMMYFUNCTION("""COMPUTED_VALUE"""),11167.0)</f>
        <v>11167</v>
      </c>
      <c r="K870" s="4">
        <f>IFERROR(__xludf.DUMMYFUNCTION("""COMPUTED_VALUE"""),1122.0)</f>
        <v>1122</v>
      </c>
      <c r="L870" s="4">
        <f>IFERROR(__xludf.DUMMYFUNCTION("""COMPUTED_VALUE"""),0.542)</f>
        <v>0.542</v>
      </c>
      <c r="M870" s="4">
        <f>IFERROR(__xludf.DUMMYFUNCTION("""COMPUTED_VALUE"""),0.176)</f>
        <v>0.176</v>
      </c>
      <c r="N870" s="4">
        <f>IFERROR(__xludf.DUMMYFUNCTION("""COMPUTED_VALUE"""),0.487)</f>
        <v>0.487</v>
      </c>
      <c r="O870" s="4">
        <f>IFERROR(__xludf.DUMMYFUNCTION("""COMPUTED_VALUE"""),26.7)</f>
        <v>26.7</v>
      </c>
      <c r="P870" s="4">
        <f>IFERROR(__xludf.DUMMYFUNCTION("""COMPUTED_VALUE"""),12.4)</f>
        <v>12.4</v>
      </c>
      <c r="Q870" s="4">
        <f>IFERROR(__xludf.DUMMYFUNCTION("""COMPUTED_VALUE"""),12.1)</f>
        <v>12.1</v>
      </c>
      <c r="R870" s="4">
        <f>IFERROR(__xludf.DUMMYFUNCTION("""COMPUTED_VALUE"""),1.2)</f>
        <v>1.2</v>
      </c>
      <c r="S870" s="4">
        <f>IFERROR(__xludf.DUMMYFUNCTION("""COMPUTED_VALUE"""),78.1)</f>
        <v>78.1</v>
      </c>
      <c r="T870" s="4">
        <f>IFERROR(__xludf.DUMMYFUNCTION("""COMPUTED_VALUE"""),0.152)</f>
        <v>0.152</v>
      </c>
      <c r="U870" s="4">
        <f>IFERROR(__xludf.DUMMYFUNCTION("""COMPUTED_VALUE"""),1.0)</f>
        <v>1</v>
      </c>
      <c r="V870" s="4">
        <f>IFERROR(__xludf.DUMMYFUNCTION("""COMPUTED_VALUE"""),18.7)</f>
        <v>18.7</v>
      </c>
    </row>
    <row r="871">
      <c r="A871" s="4">
        <f>IFERROR(__xludf.DUMMYFUNCTION("""COMPUTED_VALUE"""),10.0)</f>
        <v>10</v>
      </c>
      <c r="B871" s="4">
        <f>IFERROR(__xludf.DUMMYFUNCTION("""COMPUTED_VALUE"""),10.0)</f>
        <v>10</v>
      </c>
      <c r="C871" s="4" t="str">
        <f>IFERROR(__xludf.DUMMYFUNCTION("""COMPUTED_VALUE"""),"NOH")</f>
        <v>NOH</v>
      </c>
      <c r="D871" s="4" t="str">
        <f>IFERROR(__xludf.DUMMYFUNCTION("""COMPUTED_VALUE"""),"Austin Rivers")</f>
        <v>Austin Rivers</v>
      </c>
      <c r="E871" s="4" t="str">
        <f>IFERROR(__xludf.DUMMYFUNCTION("""COMPUTED_VALUE"""),"Duke")</f>
        <v>Duke</v>
      </c>
      <c r="F871" s="4">
        <f>IFERROR(__xludf.DUMMYFUNCTION("""COMPUTED_VALUE"""),11.0)</f>
        <v>11</v>
      </c>
      <c r="G871" s="4">
        <f>IFERROR(__xludf.DUMMYFUNCTION("""COMPUTED_VALUE"""),707.0)</f>
        <v>707</v>
      </c>
      <c r="H871" s="4">
        <f>IFERROR(__xludf.DUMMYFUNCTION("""COMPUTED_VALUE"""),16858.0)</f>
        <v>16858</v>
      </c>
      <c r="I871" s="4">
        <f>IFERROR(__xludf.DUMMYFUNCTION("""COMPUTED_VALUE"""),5996.0)</f>
        <v>5996</v>
      </c>
      <c r="J871" s="4">
        <f>IFERROR(__xludf.DUMMYFUNCTION("""COMPUTED_VALUE"""),1442.0)</f>
        <v>1442</v>
      </c>
      <c r="K871" s="4">
        <f>IFERROR(__xludf.DUMMYFUNCTION("""COMPUTED_VALUE"""),1513.0)</f>
        <v>1513</v>
      </c>
      <c r="L871" s="4">
        <f>IFERROR(__xludf.DUMMYFUNCTION("""COMPUTED_VALUE"""),0.419)</f>
        <v>0.419</v>
      </c>
      <c r="M871" s="4">
        <f>IFERROR(__xludf.DUMMYFUNCTION("""COMPUTED_VALUE"""),0.349)</f>
        <v>0.349</v>
      </c>
      <c r="N871" s="4">
        <f>IFERROR(__xludf.DUMMYFUNCTION("""COMPUTED_VALUE"""),0.653)</f>
        <v>0.653</v>
      </c>
      <c r="O871" s="4">
        <f>IFERROR(__xludf.DUMMYFUNCTION("""COMPUTED_VALUE"""),23.8)</f>
        <v>23.8</v>
      </c>
      <c r="P871" s="4">
        <f>IFERROR(__xludf.DUMMYFUNCTION("""COMPUTED_VALUE"""),8.5)</f>
        <v>8.5</v>
      </c>
      <c r="Q871" s="4">
        <f>IFERROR(__xludf.DUMMYFUNCTION("""COMPUTED_VALUE"""),2.0)</f>
        <v>2</v>
      </c>
      <c r="R871" s="4">
        <f>IFERROR(__xludf.DUMMYFUNCTION("""COMPUTED_VALUE"""),2.1)</f>
        <v>2.1</v>
      </c>
      <c r="S871" s="4">
        <f>IFERROR(__xludf.DUMMYFUNCTION("""COMPUTED_VALUE"""),15.2)</f>
        <v>15.2</v>
      </c>
      <c r="T871" s="4">
        <f>IFERROR(__xludf.DUMMYFUNCTION("""COMPUTED_VALUE"""),0.043)</f>
        <v>0.043</v>
      </c>
      <c r="U871" s="4">
        <f>IFERROR(__xludf.DUMMYFUNCTION("""COMPUTED_VALUE"""),-3.1)</f>
        <v>-3.1</v>
      </c>
      <c r="V871" s="4">
        <f>IFERROR(__xludf.DUMMYFUNCTION("""COMPUTED_VALUE"""),-4.5)</f>
        <v>-4.5</v>
      </c>
    </row>
    <row r="872">
      <c r="A872" s="4">
        <f>IFERROR(__xludf.DUMMYFUNCTION("""COMPUTED_VALUE"""),11.0)</f>
        <v>11</v>
      </c>
      <c r="B872" s="4">
        <f>IFERROR(__xludf.DUMMYFUNCTION("""COMPUTED_VALUE"""),11.0)</f>
        <v>11</v>
      </c>
      <c r="C872" s="4" t="str">
        <f>IFERROR(__xludf.DUMMYFUNCTION("""COMPUTED_VALUE"""),"POR")</f>
        <v>POR</v>
      </c>
      <c r="D872" s="4" t="str">
        <f>IFERROR(__xludf.DUMMYFUNCTION("""COMPUTED_VALUE"""),"Meyers Leonard")</f>
        <v>Meyers Leonard</v>
      </c>
      <c r="E872" s="4" t="str">
        <f>IFERROR(__xludf.DUMMYFUNCTION("""COMPUTED_VALUE"""),"Illinois")</f>
        <v>Illinois</v>
      </c>
      <c r="F872" s="4">
        <f>IFERROR(__xludf.DUMMYFUNCTION("""COMPUTED_VALUE"""),10.0)</f>
        <v>10</v>
      </c>
      <c r="G872" s="4">
        <f>IFERROR(__xludf.DUMMYFUNCTION("""COMPUTED_VALUE"""),456.0)</f>
        <v>456</v>
      </c>
      <c r="H872" s="4">
        <f>IFERROR(__xludf.DUMMYFUNCTION("""COMPUTED_VALUE"""),7272.0)</f>
        <v>7272</v>
      </c>
      <c r="I872" s="4">
        <f>IFERROR(__xludf.DUMMYFUNCTION("""COMPUTED_VALUE"""),2545.0)</f>
        <v>2545</v>
      </c>
      <c r="J872" s="4">
        <f>IFERROR(__xludf.DUMMYFUNCTION("""COMPUTED_VALUE"""),1771.0)</f>
        <v>1771</v>
      </c>
      <c r="K872" s="4">
        <f>IFERROR(__xludf.DUMMYFUNCTION("""COMPUTED_VALUE"""),396.0)</f>
        <v>396</v>
      </c>
      <c r="L872" s="4">
        <f>IFERROR(__xludf.DUMMYFUNCTION("""COMPUTED_VALUE"""),0.482)</f>
        <v>0.482</v>
      </c>
      <c r="M872" s="4">
        <f>IFERROR(__xludf.DUMMYFUNCTION("""COMPUTED_VALUE"""),0.39)</f>
        <v>0.39</v>
      </c>
      <c r="N872" s="4">
        <f>IFERROR(__xludf.DUMMYFUNCTION("""COMPUTED_VALUE"""),0.812)</f>
        <v>0.812</v>
      </c>
      <c r="O872" s="4">
        <f>IFERROR(__xludf.DUMMYFUNCTION("""COMPUTED_VALUE"""),15.9)</f>
        <v>15.9</v>
      </c>
      <c r="P872" s="4">
        <f>IFERROR(__xludf.DUMMYFUNCTION("""COMPUTED_VALUE"""),5.6)</f>
        <v>5.6</v>
      </c>
      <c r="Q872" s="4">
        <f>IFERROR(__xludf.DUMMYFUNCTION("""COMPUTED_VALUE"""),3.9)</f>
        <v>3.9</v>
      </c>
      <c r="R872" s="4">
        <f>IFERROR(__xludf.DUMMYFUNCTION("""COMPUTED_VALUE"""),0.9)</f>
        <v>0.9</v>
      </c>
      <c r="S872" s="4">
        <f>IFERROR(__xludf.DUMMYFUNCTION("""COMPUTED_VALUE"""),15.8)</f>
        <v>15.8</v>
      </c>
      <c r="T872" s="4">
        <f>IFERROR(__xludf.DUMMYFUNCTION("""COMPUTED_VALUE"""),0.104)</f>
        <v>0.104</v>
      </c>
      <c r="U872" s="4">
        <f>IFERROR(__xludf.DUMMYFUNCTION("""COMPUTED_VALUE"""),-1.5)</f>
        <v>-1.5</v>
      </c>
      <c r="V872" s="4">
        <f>IFERROR(__xludf.DUMMYFUNCTION("""COMPUTED_VALUE"""),1.0)</f>
        <v>1</v>
      </c>
    </row>
    <row r="873">
      <c r="A873" s="4">
        <f>IFERROR(__xludf.DUMMYFUNCTION("""COMPUTED_VALUE"""),12.0)</f>
        <v>12</v>
      </c>
      <c r="B873" s="4">
        <f>IFERROR(__xludf.DUMMYFUNCTION("""COMPUTED_VALUE"""),12.0)</f>
        <v>12</v>
      </c>
      <c r="C873" s="4" t="str">
        <f>IFERROR(__xludf.DUMMYFUNCTION("""COMPUTED_VALUE"""),"HOU")</f>
        <v>HOU</v>
      </c>
      <c r="D873" s="4" t="str">
        <f>IFERROR(__xludf.DUMMYFUNCTION("""COMPUTED_VALUE"""),"Jeremy Lamb")</f>
        <v>Jeremy Lamb</v>
      </c>
      <c r="E873" s="4" t="str">
        <f>IFERROR(__xludf.DUMMYFUNCTION("""COMPUTED_VALUE"""),"UConn")</f>
        <v>UConn</v>
      </c>
      <c r="F873" s="4">
        <f>IFERROR(__xludf.DUMMYFUNCTION("""COMPUTED_VALUE"""),10.0)</f>
        <v>10</v>
      </c>
      <c r="G873" s="4">
        <f>IFERROR(__xludf.DUMMYFUNCTION("""COMPUTED_VALUE"""),573.0)</f>
        <v>573</v>
      </c>
      <c r="H873" s="4">
        <f>IFERROR(__xludf.DUMMYFUNCTION("""COMPUTED_VALUE"""),11896.0)</f>
        <v>11896</v>
      </c>
      <c r="I873" s="4">
        <f>IFERROR(__xludf.DUMMYFUNCTION("""COMPUTED_VALUE"""),5805.0)</f>
        <v>5805</v>
      </c>
      <c r="J873" s="4">
        <f>IFERROR(__xludf.DUMMYFUNCTION("""COMPUTED_VALUE"""),2073.0)</f>
        <v>2073</v>
      </c>
      <c r="K873" s="4">
        <f>IFERROR(__xludf.DUMMYFUNCTION("""COMPUTED_VALUE"""),904.0)</f>
        <v>904</v>
      </c>
      <c r="L873" s="4">
        <f>IFERROR(__xludf.DUMMYFUNCTION("""COMPUTED_VALUE"""),0.439)</f>
        <v>0.439</v>
      </c>
      <c r="M873" s="4">
        <f>IFERROR(__xludf.DUMMYFUNCTION("""COMPUTED_VALUE"""),0.342)</f>
        <v>0.342</v>
      </c>
      <c r="N873" s="4">
        <f>IFERROR(__xludf.DUMMYFUNCTION("""COMPUTED_VALUE"""),0.857)</f>
        <v>0.857</v>
      </c>
      <c r="O873" s="4">
        <f>IFERROR(__xludf.DUMMYFUNCTION("""COMPUTED_VALUE"""),20.8)</f>
        <v>20.8</v>
      </c>
      <c r="P873" s="4">
        <f>IFERROR(__xludf.DUMMYFUNCTION("""COMPUTED_VALUE"""),10.1)</f>
        <v>10.1</v>
      </c>
      <c r="Q873" s="4">
        <f>IFERROR(__xludf.DUMMYFUNCTION("""COMPUTED_VALUE"""),3.6)</f>
        <v>3.6</v>
      </c>
      <c r="R873" s="4">
        <f>IFERROR(__xludf.DUMMYFUNCTION("""COMPUTED_VALUE"""),1.6)</f>
        <v>1.6</v>
      </c>
      <c r="S873" s="4">
        <f>IFERROR(__xludf.DUMMYFUNCTION("""COMPUTED_VALUE"""),26.8)</f>
        <v>26.8</v>
      </c>
      <c r="T873" s="4">
        <f>IFERROR(__xludf.DUMMYFUNCTION("""COMPUTED_VALUE"""),0.108)</f>
        <v>0.108</v>
      </c>
      <c r="U873" s="4">
        <f>IFERROR(__xludf.DUMMYFUNCTION("""COMPUTED_VALUE"""),0.6)</f>
        <v>0.6</v>
      </c>
      <c r="V873" s="4">
        <f>IFERROR(__xludf.DUMMYFUNCTION("""COMPUTED_VALUE"""),7.9)</f>
        <v>7.9</v>
      </c>
    </row>
    <row r="874">
      <c r="A874" s="4">
        <f>IFERROR(__xludf.DUMMYFUNCTION("""COMPUTED_VALUE"""),13.0)</f>
        <v>13</v>
      </c>
      <c r="B874" s="4">
        <f>IFERROR(__xludf.DUMMYFUNCTION("""COMPUTED_VALUE"""),13.0)</f>
        <v>13</v>
      </c>
      <c r="C874" s="4" t="str">
        <f>IFERROR(__xludf.DUMMYFUNCTION("""COMPUTED_VALUE"""),"PHO")</f>
        <v>PHO</v>
      </c>
      <c r="D874" s="4" t="str">
        <f>IFERROR(__xludf.DUMMYFUNCTION("""COMPUTED_VALUE"""),"Kendall Marshall")</f>
        <v>Kendall Marshall</v>
      </c>
      <c r="E874" s="4" t="str">
        <f>IFERROR(__xludf.DUMMYFUNCTION("""COMPUTED_VALUE"""),"UNC")</f>
        <v>UNC</v>
      </c>
      <c r="F874" s="4">
        <f>IFERROR(__xludf.DUMMYFUNCTION("""COMPUTED_VALUE"""),4.0)</f>
        <v>4</v>
      </c>
      <c r="G874" s="4">
        <f>IFERROR(__xludf.DUMMYFUNCTION("""COMPUTED_VALUE"""),160.0)</f>
        <v>160</v>
      </c>
      <c r="H874" s="4">
        <f>IFERROR(__xludf.DUMMYFUNCTION("""COMPUTED_VALUE"""),3083.0)</f>
        <v>3083</v>
      </c>
      <c r="I874" s="4">
        <f>IFERROR(__xludf.DUMMYFUNCTION("""COMPUTED_VALUE"""),802.0)</f>
        <v>802</v>
      </c>
      <c r="J874" s="4">
        <f>IFERROR(__xludf.DUMMYFUNCTION("""COMPUTED_VALUE"""),253.0)</f>
        <v>253</v>
      </c>
      <c r="K874" s="4">
        <f>IFERROR(__xludf.DUMMYFUNCTION("""COMPUTED_VALUE"""),779.0)</f>
        <v>779</v>
      </c>
      <c r="L874" s="4">
        <f>IFERROR(__xludf.DUMMYFUNCTION("""COMPUTED_VALUE"""),0.399)</f>
        <v>0.399</v>
      </c>
      <c r="M874" s="4">
        <f>IFERROR(__xludf.DUMMYFUNCTION("""COMPUTED_VALUE"""),0.37)</f>
        <v>0.37</v>
      </c>
      <c r="N874" s="4">
        <f>IFERROR(__xludf.DUMMYFUNCTION("""COMPUTED_VALUE"""),0.611)</f>
        <v>0.611</v>
      </c>
      <c r="O874" s="4">
        <f>IFERROR(__xludf.DUMMYFUNCTION("""COMPUTED_VALUE"""),19.3)</f>
        <v>19.3</v>
      </c>
      <c r="P874" s="4">
        <f>IFERROR(__xludf.DUMMYFUNCTION("""COMPUTED_VALUE"""),5.0)</f>
        <v>5</v>
      </c>
      <c r="Q874" s="4">
        <f>IFERROR(__xludf.DUMMYFUNCTION("""COMPUTED_VALUE"""),1.6)</f>
        <v>1.6</v>
      </c>
      <c r="R874" s="4">
        <f>IFERROR(__xludf.DUMMYFUNCTION("""COMPUTED_VALUE"""),4.9)</f>
        <v>4.9</v>
      </c>
      <c r="S874" s="4">
        <f>IFERROR(__xludf.DUMMYFUNCTION("""COMPUTED_VALUE"""),1.0)</f>
        <v>1</v>
      </c>
      <c r="T874" s="4">
        <f>IFERROR(__xludf.DUMMYFUNCTION("""COMPUTED_VALUE"""),0.015)</f>
        <v>0.015</v>
      </c>
      <c r="U874" s="4">
        <f>IFERROR(__xludf.DUMMYFUNCTION("""COMPUTED_VALUE"""),-3.5)</f>
        <v>-3.5</v>
      </c>
      <c r="V874" s="4">
        <f>IFERROR(__xludf.DUMMYFUNCTION("""COMPUTED_VALUE"""),-1.1)</f>
        <v>-1.1</v>
      </c>
    </row>
    <row r="875">
      <c r="A875" s="4">
        <f>IFERROR(__xludf.DUMMYFUNCTION("""COMPUTED_VALUE"""),14.0)</f>
        <v>14</v>
      </c>
      <c r="B875" s="4">
        <f>IFERROR(__xludf.DUMMYFUNCTION("""COMPUTED_VALUE"""),14.0)</f>
        <v>14</v>
      </c>
      <c r="C875" s="4" t="str">
        <f>IFERROR(__xludf.DUMMYFUNCTION("""COMPUTED_VALUE"""),"MIL")</f>
        <v>MIL</v>
      </c>
      <c r="D875" s="4" t="str">
        <f>IFERROR(__xludf.DUMMYFUNCTION("""COMPUTED_VALUE"""),"John Henson")</f>
        <v>John Henson</v>
      </c>
      <c r="E875" s="4" t="str">
        <f>IFERROR(__xludf.DUMMYFUNCTION("""COMPUTED_VALUE"""),"UNC")</f>
        <v>UNC</v>
      </c>
      <c r="F875" s="4">
        <f>IFERROR(__xludf.DUMMYFUNCTION("""COMPUTED_VALUE"""),8.0)</f>
        <v>8</v>
      </c>
      <c r="G875" s="4">
        <f>IFERROR(__xludf.DUMMYFUNCTION("""COMPUTED_VALUE"""),445.0)</f>
        <v>445</v>
      </c>
      <c r="H875" s="4">
        <f>IFERROR(__xludf.DUMMYFUNCTION("""COMPUTED_VALUE"""),8752.0)</f>
        <v>8752</v>
      </c>
      <c r="I875" s="4">
        <f>IFERROR(__xludf.DUMMYFUNCTION("""COMPUTED_VALUE"""),3383.0)</f>
        <v>3383</v>
      </c>
      <c r="J875" s="4">
        <f>IFERROR(__xludf.DUMMYFUNCTION("""COMPUTED_VALUE"""),2368.0)</f>
        <v>2368</v>
      </c>
      <c r="K875" s="4">
        <f>IFERROR(__xludf.DUMMYFUNCTION("""COMPUTED_VALUE"""),496.0)</f>
        <v>496</v>
      </c>
      <c r="L875" s="4">
        <f>IFERROR(__xludf.DUMMYFUNCTION("""COMPUTED_VALUE"""),0.54)</f>
        <v>0.54</v>
      </c>
      <c r="M875" s="4">
        <f>IFERROR(__xludf.DUMMYFUNCTION("""COMPUTED_VALUE"""),0.25)</f>
        <v>0.25</v>
      </c>
      <c r="N875" s="4">
        <f>IFERROR(__xludf.DUMMYFUNCTION("""COMPUTED_VALUE"""),0.568)</f>
        <v>0.568</v>
      </c>
      <c r="O875" s="4">
        <f>IFERROR(__xludf.DUMMYFUNCTION("""COMPUTED_VALUE"""),19.7)</f>
        <v>19.7</v>
      </c>
      <c r="P875" s="4">
        <f>IFERROR(__xludf.DUMMYFUNCTION("""COMPUTED_VALUE"""),7.6)</f>
        <v>7.6</v>
      </c>
      <c r="Q875" s="4">
        <f>IFERROR(__xludf.DUMMYFUNCTION("""COMPUTED_VALUE"""),5.3)</f>
        <v>5.3</v>
      </c>
      <c r="R875" s="4">
        <f>IFERROR(__xludf.DUMMYFUNCTION("""COMPUTED_VALUE"""),1.1)</f>
        <v>1.1</v>
      </c>
      <c r="S875" s="4">
        <f>IFERROR(__xludf.DUMMYFUNCTION("""COMPUTED_VALUE"""),20.7)</f>
        <v>20.7</v>
      </c>
      <c r="T875" s="4">
        <f>IFERROR(__xludf.DUMMYFUNCTION("""COMPUTED_VALUE"""),0.113)</f>
        <v>0.113</v>
      </c>
      <c r="U875" s="4">
        <f>IFERROR(__xludf.DUMMYFUNCTION("""COMPUTED_VALUE"""),-0.5)</f>
        <v>-0.5</v>
      </c>
      <c r="V875" s="4">
        <f>IFERROR(__xludf.DUMMYFUNCTION("""COMPUTED_VALUE"""),3.4)</f>
        <v>3.4</v>
      </c>
    </row>
    <row r="876">
      <c r="A876" s="4">
        <f>IFERROR(__xludf.DUMMYFUNCTION("""COMPUTED_VALUE"""),15.0)</f>
        <v>15</v>
      </c>
      <c r="B876" s="4">
        <f>IFERROR(__xludf.DUMMYFUNCTION("""COMPUTED_VALUE"""),15.0)</f>
        <v>15</v>
      </c>
      <c r="C876" s="4" t="str">
        <f>IFERROR(__xludf.DUMMYFUNCTION("""COMPUTED_VALUE"""),"PHI")</f>
        <v>PHI</v>
      </c>
      <c r="D876" s="4" t="str">
        <f>IFERROR(__xludf.DUMMYFUNCTION("""COMPUTED_VALUE"""),"Maurice Harkless")</f>
        <v>Maurice Harkless</v>
      </c>
      <c r="E876" s="4" t="str">
        <f>IFERROR(__xludf.DUMMYFUNCTION("""COMPUTED_VALUE"""),"St. John's")</f>
        <v>St. John's</v>
      </c>
      <c r="F876" s="4">
        <f>IFERROR(__xludf.DUMMYFUNCTION("""COMPUTED_VALUE"""),10.0)</f>
        <v>10</v>
      </c>
      <c r="G876" s="4">
        <f>IFERROR(__xludf.DUMMYFUNCTION("""COMPUTED_VALUE"""),621.0)</f>
        <v>621</v>
      </c>
      <c r="H876" s="4">
        <f>IFERROR(__xludf.DUMMYFUNCTION("""COMPUTED_VALUE"""),14019.0)</f>
        <v>14019</v>
      </c>
      <c r="I876" s="4">
        <f>IFERROR(__xludf.DUMMYFUNCTION("""COMPUTED_VALUE"""),4259.0)</f>
        <v>4259</v>
      </c>
      <c r="J876" s="4">
        <f>IFERROR(__xludf.DUMMYFUNCTION("""COMPUTED_VALUE"""),2198.0)</f>
        <v>2198</v>
      </c>
      <c r="K876" s="4">
        <f>IFERROR(__xludf.DUMMYFUNCTION("""COMPUTED_VALUE"""),572.0)</f>
        <v>572</v>
      </c>
      <c r="L876" s="4">
        <f>IFERROR(__xludf.DUMMYFUNCTION("""COMPUTED_VALUE"""),0.474)</f>
        <v>0.474</v>
      </c>
      <c r="M876" s="4">
        <f>IFERROR(__xludf.DUMMYFUNCTION("""COMPUTED_VALUE"""),0.32)</f>
        <v>0.32</v>
      </c>
      <c r="N876" s="4">
        <f>IFERROR(__xludf.DUMMYFUNCTION("""COMPUTED_VALUE"""),0.624)</f>
        <v>0.624</v>
      </c>
      <c r="O876" s="4">
        <f>IFERROR(__xludf.DUMMYFUNCTION("""COMPUTED_VALUE"""),22.6)</f>
        <v>22.6</v>
      </c>
      <c r="P876" s="4">
        <f>IFERROR(__xludf.DUMMYFUNCTION("""COMPUTED_VALUE"""),6.9)</f>
        <v>6.9</v>
      </c>
      <c r="Q876" s="4">
        <f>IFERROR(__xludf.DUMMYFUNCTION("""COMPUTED_VALUE"""),3.5)</f>
        <v>3.5</v>
      </c>
      <c r="R876" s="4">
        <f>IFERROR(__xludf.DUMMYFUNCTION("""COMPUTED_VALUE"""),0.9)</f>
        <v>0.9</v>
      </c>
      <c r="S876" s="4">
        <f>IFERROR(__xludf.DUMMYFUNCTION("""COMPUTED_VALUE"""),23.0)</f>
        <v>23</v>
      </c>
      <c r="T876" s="4">
        <f>IFERROR(__xludf.DUMMYFUNCTION("""COMPUTED_VALUE"""),0.079)</f>
        <v>0.079</v>
      </c>
      <c r="U876" s="4">
        <f>IFERROR(__xludf.DUMMYFUNCTION("""COMPUTED_VALUE"""),-0.8)</f>
        <v>-0.8</v>
      </c>
      <c r="V876" s="4">
        <f>IFERROR(__xludf.DUMMYFUNCTION("""COMPUTED_VALUE"""),4.1)</f>
        <v>4.1</v>
      </c>
    </row>
    <row r="877">
      <c r="A877" s="4">
        <f>IFERROR(__xludf.DUMMYFUNCTION("""COMPUTED_VALUE"""),16.0)</f>
        <v>16</v>
      </c>
      <c r="B877" s="4">
        <f>IFERROR(__xludf.DUMMYFUNCTION("""COMPUTED_VALUE"""),16.0)</f>
        <v>16</v>
      </c>
      <c r="C877" s="4" t="str">
        <f>IFERROR(__xludf.DUMMYFUNCTION("""COMPUTED_VALUE"""),"HOU")</f>
        <v>HOU</v>
      </c>
      <c r="D877" s="4" t="str">
        <f>IFERROR(__xludf.DUMMYFUNCTION("""COMPUTED_VALUE"""),"Royce White")</f>
        <v>Royce White</v>
      </c>
      <c r="E877" s="4" t="str">
        <f>IFERROR(__xludf.DUMMYFUNCTION("""COMPUTED_VALUE"""),"Iowa State")</f>
        <v>Iowa State</v>
      </c>
      <c r="F877" s="4">
        <f>IFERROR(__xludf.DUMMYFUNCTION("""COMPUTED_VALUE"""),1.0)</f>
        <v>1</v>
      </c>
      <c r="G877" s="4">
        <f>IFERROR(__xludf.DUMMYFUNCTION("""COMPUTED_VALUE"""),3.0)</f>
        <v>3</v>
      </c>
      <c r="H877" s="4">
        <f>IFERROR(__xludf.DUMMYFUNCTION("""COMPUTED_VALUE"""),9.0)</f>
        <v>9</v>
      </c>
      <c r="I877" s="4">
        <f>IFERROR(__xludf.DUMMYFUNCTION("""COMPUTED_VALUE"""),0.0)</f>
        <v>0</v>
      </c>
      <c r="J877" s="4">
        <f>IFERROR(__xludf.DUMMYFUNCTION("""COMPUTED_VALUE"""),0.0)</f>
        <v>0</v>
      </c>
      <c r="K877" s="4">
        <f>IFERROR(__xludf.DUMMYFUNCTION("""COMPUTED_VALUE"""),0.0)</f>
        <v>0</v>
      </c>
      <c r="L877" s="4">
        <f>IFERROR(__xludf.DUMMYFUNCTION("""COMPUTED_VALUE"""),0.0)</f>
        <v>0</v>
      </c>
      <c r="M877" s="4"/>
      <c r="N877" s="4"/>
      <c r="O877" s="4">
        <f>IFERROR(__xludf.DUMMYFUNCTION("""COMPUTED_VALUE"""),3.0)</f>
        <v>3</v>
      </c>
      <c r="P877" s="4">
        <f>IFERROR(__xludf.DUMMYFUNCTION("""COMPUTED_VALUE"""),0.0)</f>
        <v>0</v>
      </c>
      <c r="Q877" s="4">
        <f>IFERROR(__xludf.DUMMYFUNCTION("""COMPUTED_VALUE"""),0.0)</f>
        <v>0</v>
      </c>
      <c r="R877" s="4">
        <f>IFERROR(__xludf.DUMMYFUNCTION("""COMPUTED_VALUE"""),0.0)</f>
        <v>0</v>
      </c>
      <c r="S877" s="4">
        <f>IFERROR(__xludf.DUMMYFUNCTION("""COMPUTED_VALUE"""),0.0)</f>
        <v>0</v>
      </c>
      <c r="T877" s="4">
        <f>IFERROR(__xludf.DUMMYFUNCTION("""COMPUTED_VALUE"""),-0.121)</f>
        <v>-0.121</v>
      </c>
      <c r="U877" s="4">
        <f>IFERROR(__xludf.DUMMYFUNCTION("""COMPUTED_VALUE"""),-16.9)</f>
        <v>-16.9</v>
      </c>
      <c r="V877" s="4">
        <f>IFERROR(__xludf.DUMMYFUNCTION("""COMPUTED_VALUE"""),0.0)</f>
        <v>0</v>
      </c>
    </row>
    <row r="878">
      <c r="A878" s="4">
        <f>IFERROR(__xludf.DUMMYFUNCTION("""COMPUTED_VALUE"""),17.0)</f>
        <v>17</v>
      </c>
      <c r="B878" s="4">
        <f>IFERROR(__xludf.DUMMYFUNCTION("""COMPUTED_VALUE"""),17.0)</f>
        <v>17</v>
      </c>
      <c r="C878" s="4" t="str">
        <f>IFERROR(__xludf.DUMMYFUNCTION("""COMPUTED_VALUE"""),"DAL")</f>
        <v>DAL</v>
      </c>
      <c r="D878" s="4" t="str">
        <f>IFERROR(__xludf.DUMMYFUNCTION("""COMPUTED_VALUE"""),"Tyler Zeller")</f>
        <v>Tyler Zeller</v>
      </c>
      <c r="E878" s="4" t="str">
        <f>IFERROR(__xludf.DUMMYFUNCTION("""COMPUTED_VALUE"""),"UNC")</f>
        <v>UNC</v>
      </c>
      <c r="F878" s="4">
        <f>IFERROR(__xludf.DUMMYFUNCTION("""COMPUTED_VALUE"""),8.0)</f>
        <v>8</v>
      </c>
      <c r="G878" s="4">
        <f>IFERROR(__xludf.DUMMYFUNCTION("""COMPUTED_VALUE"""),414.0)</f>
        <v>414</v>
      </c>
      <c r="H878" s="4">
        <f>IFERROR(__xludf.DUMMYFUNCTION("""COMPUTED_VALUE"""),7254.0)</f>
        <v>7254</v>
      </c>
      <c r="I878" s="4">
        <f>IFERROR(__xludf.DUMMYFUNCTION("""COMPUTED_VALUE"""),2873.0)</f>
        <v>2873</v>
      </c>
      <c r="J878" s="4">
        <f>IFERROR(__xludf.DUMMYFUNCTION("""COMPUTED_VALUE"""),1820.0)</f>
        <v>1820</v>
      </c>
      <c r="K878" s="4">
        <f>IFERROR(__xludf.DUMMYFUNCTION("""COMPUTED_VALUE"""),367.0)</f>
        <v>367</v>
      </c>
      <c r="L878" s="4">
        <f>IFERROR(__xludf.DUMMYFUNCTION("""COMPUTED_VALUE"""),0.508)</f>
        <v>0.508</v>
      </c>
      <c r="M878" s="4">
        <f>IFERROR(__xludf.DUMMYFUNCTION("""COMPUTED_VALUE"""),0.286)</f>
        <v>0.286</v>
      </c>
      <c r="N878" s="4">
        <f>IFERROR(__xludf.DUMMYFUNCTION("""COMPUTED_VALUE"""),0.764)</f>
        <v>0.764</v>
      </c>
      <c r="O878" s="4">
        <f>IFERROR(__xludf.DUMMYFUNCTION("""COMPUTED_VALUE"""),17.5)</f>
        <v>17.5</v>
      </c>
      <c r="P878" s="4">
        <f>IFERROR(__xludf.DUMMYFUNCTION("""COMPUTED_VALUE"""),6.9)</f>
        <v>6.9</v>
      </c>
      <c r="Q878" s="4">
        <f>IFERROR(__xludf.DUMMYFUNCTION("""COMPUTED_VALUE"""),4.4)</f>
        <v>4.4</v>
      </c>
      <c r="R878" s="4">
        <f>IFERROR(__xludf.DUMMYFUNCTION("""COMPUTED_VALUE"""),0.9)</f>
        <v>0.9</v>
      </c>
      <c r="S878" s="4">
        <f>IFERROR(__xludf.DUMMYFUNCTION("""COMPUTED_VALUE"""),17.1)</f>
        <v>17.1</v>
      </c>
      <c r="T878" s="4">
        <f>IFERROR(__xludf.DUMMYFUNCTION("""COMPUTED_VALUE"""),0.113)</f>
        <v>0.113</v>
      </c>
      <c r="U878" s="4">
        <f>IFERROR(__xludf.DUMMYFUNCTION("""COMPUTED_VALUE"""),-2.0)</f>
        <v>-2</v>
      </c>
      <c r="V878" s="4">
        <f>IFERROR(__xludf.DUMMYFUNCTION("""COMPUTED_VALUE"""),0.0)</f>
        <v>0</v>
      </c>
    </row>
    <row r="879">
      <c r="A879" s="4">
        <f>IFERROR(__xludf.DUMMYFUNCTION("""COMPUTED_VALUE"""),18.0)</f>
        <v>18</v>
      </c>
      <c r="B879" s="4">
        <f>IFERROR(__xludf.DUMMYFUNCTION("""COMPUTED_VALUE"""),18.0)</f>
        <v>18</v>
      </c>
      <c r="C879" s="4" t="str">
        <f>IFERROR(__xludf.DUMMYFUNCTION("""COMPUTED_VALUE"""),"HOU")</f>
        <v>HOU</v>
      </c>
      <c r="D879" s="4" t="str">
        <f>IFERROR(__xludf.DUMMYFUNCTION("""COMPUTED_VALUE"""),"Terrence Jones")</f>
        <v>Terrence Jones</v>
      </c>
      <c r="E879" s="4" t="str">
        <f>IFERROR(__xludf.DUMMYFUNCTION("""COMPUTED_VALUE"""),"Kentucky")</f>
        <v>Kentucky</v>
      </c>
      <c r="F879" s="4">
        <f>IFERROR(__xludf.DUMMYFUNCTION("""COMPUTED_VALUE"""),6.0)</f>
        <v>6</v>
      </c>
      <c r="G879" s="4">
        <f>IFERROR(__xludf.DUMMYFUNCTION("""COMPUTED_VALUE"""),234.0)</f>
        <v>234</v>
      </c>
      <c r="H879" s="4">
        <f>IFERROR(__xludf.DUMMYFUNCTION("""COMPUTED_VALUE"""),5562.0)</f>
        <v>5562</v>
      </c>
      <c r="I879" s="4">
        <f>IFERROR(__xludf.DUMMYFUNCTION("""COMPUTED_VALUE"""),2431.0)</f>
        <v>2431</v>
      </c>
      <c r="J879" s="4">
        <f>IFERROR(__xludf.DUMMYFUNCTION("""COMPUTED_VALUE"""),1334.0)</f>
        <v>1334</v>
      </c>
      <c r="K879" s="4">
        <f>IFERROR(__xludf.DUMMYFUNCTION("""COMPUTED_VALUE"""),238.0)</f>
        <v>238</v>
      </c>
      <c r="L879" s="4">
        <f>IFERROR(__xludf.DUMMYFUNCTION("""COMPUTED_VALUE"""),0.501)</f>
        <v>0.501</v>
      </c>
      <c r="M879" s="4">
        <f>IFERROR(__xludf.DUMMYFUNCTION("""COMPUTED_VALUE"""),0.297)</f>
        <v>0.297</v>
      </c>
      <c r="N879" s="4">
        <f>IFERROR(__xludf.DUMMYFUNCTION("""COMPUTED_VALUE"""),0.621)</f>
        <v>0.621</v>
      </c>
      <c r="O879" s="4">
        <f>IFERROR(__xludf.DUMMYFUNCTION("""COMPUTED_VALUE"""),23.8)</f>
        <v>23.8</v>
      </c>
      <c r="P879" s="4">
        <f>IFERROR(__xludf.DUMMYFUNCTION("""COMPUTED_VALUE"""),10.4)</f>
        <v>10.4</v>
      </c>
      <c r="Q879" s="4">
        <f>IFERROR(__xludf.DUMMYFUNCTION("""COMPUTED_VALUE"""),5.7)</f>
        <v>5.7</v>
      </c>
      <c r="R879" s="4">
        <f>IFERROR(__xludf.DUMMYFUNCTION("""COMPUTED_VALUE"""),1.0)</f>
        <v>1</v>
      </c>
      <c r="S879" s="4">
        <f>IFERROR(__xludf.DUMMYFUNCTION("""COMPUTED_VALUE"""),14.7)</f>
        <v>14.7</v>
      </c>
      <c r="T879" s="4">
        <f>IFERROR(__xludf.DUMMYFUNCTION("""COMPUTED_VALUE"""),0.127)</f>
        <v>0.127</v>
      </c>
      <c r="U879" s="4">
        <f>IFERROR(__xludf.DUMMYFUNCTION("""COMPUTED_VALUE"""),0.5)</f>
        <v>0.5</v>
      </c>
      <c r="V879" s="4">
        <f>IFERROR(__xludf.DUMMYFUNCTION("""COMPUTED_VALUE"""),3.6)</f>
        <v>3.6</v>
      </c>
    </row>
    <row r="880">
      <c r="A880" s="4">
        <f>IFERROR(__xludf.DUMMYFUNCTION("""COMPUTED_VALUE"""),19.0)</f>
        <v>19</v>
      </c>
      <c r="B880" s="4">
        <f>IFERROR(__xludf.DUMMYFUNCTION("""COMPUTED_VALUE"""),19.0)</f>
        <v>19</v>
      </c>
      <c r="C880" s="4" t="str">
        <f>IFERROR(__xludf.DUMMYFUNCTION("""COMPUTED_VALUE"""),"ORL")</f>
        <v>ORL</v>
      </c>
      <c r="D880" s="4" t="str">
        <f>IFERROR(__xludf.DUMMYFUNCTION("""COMPUTED_VALUE"""),"Andrew Nicholson")</f>
        <v>Andrew Nicholson</v>
      </c>
      <c r="E880" s="4" t="str">
        <f>IFERROR(__xludf.DUMMYFUNCTION("""COMPUTED_VALUE"""),"St. Bonaventure")</f>
        <v>St. Bonaventure</v>
      </c>
      <c r="F880" s="4">
        <f>IFERROR(__xludf.DUMMYFUNCTION("""COMPUTED_VALUE"""),5.0)</f>
        <v>5</v>
      </c>
      <c r="G880" s="4">
        <f>IFERROR(__xludf.DUMMYFUNCTION("""COMPUTED_VALUE"""),285.0)</f>
        <v>285</v>
      </c>
      <c r="H880" s="4">
        <f>IFERROR(__xludf.DUMMYFUNCTION("""COMPUTED_VALUE"""),4080.0)</f>
        <v>4080</v>
      </c>
      <c r="I880" s="4">
        <f>IFERROR(__xludf.DUMMYFUNCTION("""COMPUTED_VALUE"""),1700.0)</f>
        <v>1700</v>
      </c>
      <c r="J880" s="4">
        <f>IFERROR(__xludf.DUMMYFUNCTION("""COMPUTED_VALUE"""),857.0)</f>
        <v>857</v>
      </c>
      <c r="K880" s="4">
        <f>IFERROR(__xludf.DUMMYFUNCTION("""COMPUTED_VALUE"""),126.0)</f>
        <v>126</v>
      </c>
      <c r="L880" s="4">
        <f>IFERROR(__xludf.DUMMYFUNCTION("""COMPUTED_VALUE"""),0.467)</f>
        <v>0.467</v>
      </c>
      <c r="M880" s="4">
        <f>IFERROR(__xludf.DUMMYFUNCTION("""COMPUTED_VALUE"""),0.321)</f>
        <v>0.321</v>
      </c>
      <c r="N880" s="4">
        <f>IFERROR(__xludf.DUMMYFUNCTION("""COMPUTED_VALUE"""),0.773)</f>
        <v>0.773</v>
      </c>
      <c r="O880" s="4">
        <f>IFERROR(__xludf.DUMMYFUNCTION("""COMPUTED_VALUE"""),14.3)</f>
        <v>14.3</v>
      </c>
      <c r="P880" s="4">
        <f>IFERROR(__xludf.DUMMYFUNCTION("""COMPUTED_VALUE"""),6.0)</f>
        <v>6</v>
      </c>
      <c r="Q880" s="4">
        <f>IFERROR(__xludf.DUMMYFUNCTION("""COMPUTED_VALUE"""),3.0)</f>
        <v>3</v>
      </c>
      <c r="R880" s="4">
        <f>IFERROR(__xludf.DUMMYFUNCTION("""COMPUTED_VALUE"""),0.4)</f>
        <v>0.4</v>
      </c>
      <c r="S880" s="4">
        <f>IFERROR(__xludf.DUMMYFUNCTION("""COMPUTED_VALUE"""),3.8)</f>
        <v>3.8</v>
      </c>
      <c r="T880" s="4">
        <f>IFERROR(__xludf.DUMMYFUNCTION("""COMPUTED_VALUE"""),0.045)</f>
        <v>0.045</v>
      </c>
      <c r="U880" s="4">
        <f>IFERROR(__xludf.DUMMYFUNCTION("""COMPUTED_VALUE"""),-3.6)</f>
        <v>-3.6</v>
      </c>
      <c r="V880" s="4">
        <f>IFERROR(__xludf.DUMMYFUNCTION("""COMPUTED_VALUE"""),-1.6)</f>
        <v>-1.6</v>
      </c>
    </row>
    <row r="881">
      <c r="A881" s="4">
        <f>IFERROR(__xludf.DUMMYFUNCTION("""COMPUTED_VALUE"""),20.0)</f>
        <v>20</v>
      </c>
      <c r="B881" s="4">
        <f>IFERROR(__xludf.DUMMYFUNCTION("""COMPUTED_VALUE"""),20.0)</f>
        <v>20</v>
      </c>
      <c r="C881" s="4" t="str">
        <f>IFERROR(__xludf.DUMMYFUNCTION("""COMPUTED_VALUE"""),"DEN")</f>
        <v>DEN</v>
      </c>
      <c r="D881" s="4" t="str">
        <f>IFERROR(__xludf.DUMMYFUNCTION("""COMPUTED_VALUE"""),"Evan Fournier")</f>
        <v>Evan Fournier</v>
      </c>
      <c r="E881" s="4"/>
      <c r="F881" s="4">
        <f>IFERROR(__xludf.DUMMYFUNCTION("""COMPUTED_VALUE"""),12.0)</f>
        <v>12</v>
      </c>
      <c r="G881" s="4">
        <f>IFERROR(__xludf.DUMMYFUNCTION("""COMPUTED_VALUE"""),704.0)</f>
        <v>704</v>
      </c>
      <c r="H881" s="4">
        <f>IFERROR(__xludf.DUMMYFUNCTION("""COMPUTED_VALUE"""),19514.0)</f>
        <v>19514</v>
      </c>
      <c r="I881" s="4">
        <f>IFERROR(__xludf.DUMMYFUNCTION("""COMPUTED_VALUE"""),9607.0)</f>
        <v>9607</v>
      </c>
      <c r="J881" s="4">
        <f>IFERROR(__xludf.DUMMYFUNCTION("""COMPUTED_VALUE"""),1878.0)</f>
        <v>1878</v>
      </c>
      <c r="K881" s="4">
        <f>IFERROR(__xludf.DUMMYFUNCTION("""COMPUTED_VALUE"""),1759.0)</f>
        <v>1759</v>
      </c>
      <c r="L881" s="4">
        <f>IFERROR(__xludf.DUMMYFUNCTION("""COMPUTED_VALUE"""),0.441)</f>
        <v>0.441</v>
      </c>
      <c r="M881" s="4">
        <f>IFERROR(__xludf.DUMMYFUNCTION("""COMPUTED_VALUE"""),0.374)</f>
        <v>0.374</v>
      </c>
      <c r="N881" s="4">
        <f>IFERROR(__xludf.DUMMYFUNCTION("""COMPUTED_VALUE"""),0.799)</f>
        <v>0.799</v>
      </c>
      <c r="O881" s="4">
        <f>IFERROR(__xludf.DUMMYFUNCTION("""COMPUTED_VALUE"""),27.7)</f>
        <v>27.7</v>
      </c>
      <c r="P881" s="4">
        <f>IFERROR(__xludf.DUMMYFUNCTION("""COMPUTED_VALUE"""),13.6)</f>
        <v>13.6</v>
      </c>
      <c r="Q881" s="4">
        <f>IFERROR(__xludf.DUMMYFUNCTION("""COMPUTED_VALUE"""),2.7)</f>
        <v>2.7</v>
      </c>
      <c r="R881" s="4">
        <f>IFERROR(__xludf.DUMMYFUNCTION("""COMPUTED_VALUE"""),2.5)</f>
        <v>2.5</v>
      </c>
      <c r="S881" s="4">
        <f>IFERROR(__xludf.DUMMYFUNCTION("""COMPUTED_VALUE"""),30.5)</f>
        <v>30.5</v>
      </c>
      <c r="T881" s="4">
        <f>IFERROR(__xludf.DUMMYFUNCTION("""COMPUTED_VALUE"""),0.075)</f>
        <v>0.075</v>
      </c>
      <c r="U881" s="4">
        <f>IFERROR(__xludf.DUMMYFUNCTION("""COMPUTED_VALUE"""),-1.1)</f>
        <v>-1.1</v>
      </c>
      <c r="V881" s="4">
        <f>IFERROR(__xludf.DUMMYFUNCTION("""COMPUTED_VALUE"""),4.3)</f>
        <v>4.3</v>
      </c>
    </row>
    <row r="882">
      <c r="A882" s="4">
        <f>IFERROR(__xludf.DUMMYFUNCTION("""COMPUTED_VALUE"""),21.0)</f>
        <v>21</v>
      </c>
      <c r="B882" s="4">
        <f>IFERROR(__xludf.DUMMYFUNCTION("""COMPUTED_VALUE"""),21.0)</f>
        <v>21</v>
      </c>
      <c r="C882" s="4" t="str">
        <f>IFERROR(__xludf.DUMMYFUNCTION("""COMPUTED_VALUE"""),"BOS")</f>
        <v>BOS</v>
      </c>
      <c r="D882" s="4" t="str">
        <f>IFERROR(__xludf.DUMMYFUNCTION("""COMPUTED_VALUE"""),"Jared Sullinger")</f>
        <v>Jared Sullinger</v>
      </c>
      <c r="E882" s="4" t="str">
        <f>IFERROR(__xludf.DUMMYFUNCTION("""COMPUTED_VALUE"""),"Ohio State")</f>
        <v>Ohio State</v>
      </c>
      <c r="F882" s="4">
        <f>IFERROR(__xludf.DUMMYFUNCTION("""COMPUTED_VALUE"""),5.0)</f>
        <v>5</v>
      </c>
      <c r="G882" s="4">
        <f>IFERROR(__xludf.DUMMYFUNCTION("""COMPUTED_VALUE"""),269.0)</f>
        <v>269</v>
      </c>
      <c r="H882" s="4">
        <f>IFERROR(__xludf.DUMMYFUNCTION("""COMPUTED_VALUE"""),6532.0)</f>
        <v>6532</v>
      </c>
      <c r="I882" s="4">
        <f>IFERROR(__xludf.DUMMYFUNCTION("""COMPUTED_VALUE"""),2893.0)</f>
        <v>2893</v>
      </c>
      <c r="J882" s="4">
        <f>IFERROR(__xludf.DUMMYFUNCTION("""COMPUTED_VALUE"""),2006.0)</f>
        <v>2006</v>
      </c>
      <c r="K882" s="4">
        <f>IFERROR(__xludf.DUMMYFUNCTION("""COMPUTED_VALUE"""),477.0)</f>
        <v>477</v>
      </c>
      <c r="L882" s="4">
        <f>IFERROR(__xludf.DUMMYFUNCTION("""COMPUTED_VALUE"""),0.436)</f>
        <v>0.436</v>
      </c>
      <c r="M882" s="4">
        <f>IFERROR(__xludf.DUMMYFUNCTION("""COMPUTED_VALUE"""),0.272)</f>
        <v>0.272</v>
      </c>
      <c r="N882" s="4">
        <f>IFERROR(__xludf.DUMMYFUNCTION("""COMPUTED_VALUE"""),0.723)</f>
        <v>0.723</v>
      </c>
      <c r="O882" s="4">
        <f>IFERROR(__xludf.DUMMYFUNCTION("""COMPUTED_VALUE"""),24.3)</f>
        <v>24.3</v>
      </c>
      <c r="P882" s="4">
        <f>IFERROR(__xludf.DUMMYFUNCTION("""COMPUTED_VALUE"""),10.8)</f>
        <v>10.8</v>
      </c>
      <c r="Q882" s="4">
        <f>IFERROR(__xludf.DUMMYFUNCTION("""COMPUTED_VALUE"""),7.5)</f>
        <v>7.5</v>
      </c>
      <c r="R882" s="4">
        <f>IFERROR(__xludf.DUMMYFUNCTION("""COMPUTED_VALUE"""),1.8)</f>
        <v>1.8</v>
      </c>
      <c r="S882" s="4">
        <f>IFERROR(__xludf.DUMMYFUNCTION("""COMPUTED_VALUE"""),15.3)</f>
        <v>15.3</v>
      </c>
      <c r="T882" s="4">
        <f>IFERROR(__xludf.DUMMYFUNCTION("""COMPUTED_VALUE"""),0.113)</f>
        <v>0.113</v>
      </c>
      <c r="U882" s="4">
        <f>IFERROR(__xludf.DUMMYFUNCTION("""COMPUTED_VALUE"""),-0.4)</f>
        <v>-0.4</v>
      </c>
      <c r="V882" s="4">
        <f>IFERROR(__xludf.DUMMYFUNCTION("""COMPUTED_VALUE"""),2.7)</f>
        <v>2.7</v>
      </c>
    </row>
    <row r="883">
      <c r="A883" s="4">
        <f>IFERROR(__xludf.DUMMYFUNCTION("""COMPUTED_VALUE"""),22.0)</f>
        <v>22</v>
      </c>
      <c r="B883" s="4">
        <f>IFERROR(__xludf.DUMMYFUNCTION("""COMPUTED_VALUE"""),22.0)</f>
        <v>22</v>
      </c>
      <c r="C883" s="4" t="str">
        <f>IFERROR(__xludf.DUMMYFUNCTION("""COMPUTED_VALUE"""),"BOS")</f>
        <v>BOS</v>
      </c>
      <c r="D883" s="4" t="str">
        <f>IFERROR(__xludf.DUMMYFUNCTION("""COMPUTED_VALUE"""),"Fab Melo")</f>
        <v>Fab Melo</v>
      </c>
      <c r="E883" s="4" t="str">
        <f>IFERROR(__xludf.DUMMYFUNCTION("""COMPUTED_VALUE"""),"Syracuse")</f>
        <v>Syracuse</v>
      </c>
      <c r="F883" s="4">
        <f>IFERROR(__xludf.DUMMYFUNCTION("""COMPUTED_VALUE"""),1.0)</f>
        <v>1</v>
      </c>
      <c r="G883" s="4">
        <f>IFERROR(__xludf.DUMMYFUNCTION("""COMPUTED_VALUE"""),6.0)</f>
        <v>6</v>
      </c>
      <c r="H883" s="4">
        <f>IFERROR(__xludf.DUMMYFUNCTION("""COMPUTED_VALUE"""),36.0)</f>
        <v>36</v>
      </c>
      <c r="I883" s="4">
        <f>IFERROR(__xludf.DUMMYFUNCTION("""COMPUTED_VALUE"""),7.0)</f>
        <v>7</v>
      </c>
      <c r="J883" s="4">
        <f>IFERROR(__xludf.DUMMYFUNCTION("""COMPUTED_VALUE"""),3.0)</f>
        <v>3</v>
      </c>
      <c r="K883" s="4">
        <f>IFERROR(__xludf.DUMMYFUNCTION("""COMPUTED_VALUE"""),0.0)</f>
        <v>0</v>
      </c>
      <c r="L883" s="4">
        <f>IFERROR(__xludf.DUMMYFUNCTION("""COMPUTED_VALUE"""),0.5)</f>
        <v>0.5</v>
      </c>
      <c r="M883" s="4"/>
      <c r="N883" s="4">
        <f>IFERROR(__xludf.DUMMYFUNCTION("""COMPUTED_VALUE"""),0.25)</f>
        <v>0.25</v>
      </c>
      <c r="O883" s="4">
        <f>IFERROR(__xludf.DUMMYFUNCTION("""COMPUTED_VALUE"""),6.0)</f>
        <v>6</v>
      </c>
      <c r="P883" s="4">
        <f>IFERROR(__xludf.DUMMYFUNCTION("""COMPUTED_VALUE"""),1.2)</f>
        <v>1.2</v>
      </c>
      <c r="Q883" s="4">
        <f>IFERROR(__xludf.DUMMYFUNCTION("""COMPUTED_VALUE"""),0.5)</f>
        <v>0.5</v>
      </c>
      <c r="R883" s="4">
        <f>IFERROR(__xludf.DUMMYFUNCTION("""COMPUTED_VALUE"""),0.0)</f>
        <v>0</v>
      </c>
      <c r="S883" s="4">
        <f>IFERROR(__xludf.DUMMYFUNCTION("""COMPUTED_VALUE"""),0.0)</f>
        <v>0</v>
      </c>
      <c r="T883" s="4">
        <f>IFERROR(__xludf.DUMMYFUNCTION("""COMPUTED_VALUE"""),0.021)</f>
        <v>0.021</v>
      </c>
      <c r="U883" s="4">
        <f>IFERROR(__xludf.DUMMYFUNCTION("""COMPUTED_VALUE"""),-7.6)</f>
        <v>-7.6</v>
      </c>
      <c r="V883" s="4">
        <f>IFERROR(__xludf.DUMMYFUNCTION("""COMPUTED_VALUE"""),-0.1)</f>
        <v>-0.1</v>
      </c>
    </row>
    <row r="884">
      <c r="A884" s="4">
        <f>IFERROR(__xludf.DUMMYFUNCTION("""COMPUTED_VALUE"""),23.0)</f>
        <v>23</v>
      </c>
      <c r="B884" s="4">
        <f>IFERROR(__xludf.DUMMYFUNCTION("""COMPUTED_VALUE"""),23.0)</f>
        <v>23</v>
      </c>
      <c r="C884" s="4" t="str">
        <f>IFERROR(__xludf.DUMMYFUNCTION("""COMPUTED_VALUE"""),"ATL")</f>
        <v>ATL</v>
      </c>
      <c r="D884" s="4" t="str">
        <f>IFERROR(__xludf.DUMMYFUNCTION("""COMPUTED_VALUE"""),"John Jenkins")</f>
        <v>John Jenkins</v>
      </c>
      <c r="E884" s="4" t="str">
        <f>IFERROR(__xludf.DUMMYFUNCTION("""COMPUTED_VALUE"""),"Vanderbilt")</f>
        <v>Vanderbilt</v>
      </c>
      <c r="F884" s="4">
        <f>IFERROR(__xludf.DUMMYFUNCTION("""COMPUTED_VALUE"""),6.0)</f>
        <v>6</v>
      </c>
      <c r="G884" s="4">
        <f>IFERROR(__xludf.DUMMYFUNCTION("""COMPUTED_VALUE"""),171.0)</f>
        <v>171</v>
      </c>
      <c r="H884" s="4">
        <f>IFERROR(__xludf.DUMMYFUNCTION("""COMPUTED_VALUE"""),2183.0)</f>
        <v>2183</v>
      </c>
      <c r="I884" s="4">
        <f>IFERROR(__xludf.DUMMYFUNCTION("""COMPUTED_VALUE"""),855.0)</f>
        <v>855</v>
      </c>
      <c r="J884" s="4">
        <f>IFERROR(__xludf.DUMMYFUNCTION("""COMPUTED_VALUE"""),250.0)</f>
        <v>250</v>
      </c>
      <c r="K884" s="4">
        <f>IFERROR(__xludf.DUMMYFUNCTION("""COMPUTED_VALUE"""),138.0)</f>
        <v>138</v>
      </c>
      <c r="L884" s="4">
        <f>IFERROR(__xludf.DUMMYFUNCTION("""COMPUTED_VALUE"""),0.441)</f>
        <v>0.441</v>
      </c>
      <c r="M884" s="4">
        <f>IFERROR(__xludf.DUMMYFUNCTION("""COMPUTED_VALUE"""),0.367)</f>
        <v>0.367</v>
      </c>
      <c r="N884" s="4">
        <f>IFERROR(__xludf.DUMMYFUNCTION("""COMPUTED_VALUE"""),0.847)</f>
        <v>0.847</v>
      </c>
      <c r="O884" s="4">
        <f>IFERROR(__xludf.DUMMYFUNCTION("""COMPUTED_VALUE"""),12.8)</f>
        <v>12.8</v>
      </c>
      <c r="P884" s="4">
        <f>IFERROR(__xludf.DUMMYFUNCTION("""COMPUTED_VALUE"""),5.0)</f>
        <v>5</v>
      </c>
      <c r="Q884" s="4">
        <f>IFERROR(__xludf.DUMMYFUNCTION("""COMPUTED_VALUE"""),1.5)</f>
        <v>1.5</v>
      </c>
      <c r="R884" s="4">
        <f>IFERROR(__xludf.DUMMYFUNCTION("""COMPUTED_VALUE"""),0.8)</f>
        <v>0.8</v>
      </c>
      <c r="S884" s="4">
        <f>IFERROR(__xludf.DUMMYFUNCTION("""COMPUTED_VALUE"""),3.0)</f>
        <v>3</v>
      </c>
      <c r="T884" s="4">
        <f>IFERROR(__xludf.DUMMYFUNCTION("""COMPUTED_VALUE"""),0.065)</f>
        <v>0.065</v>
      </c>
      <c r="U884" s="4">
        <f>IFERROR(__xludf.DUMMYFUNCTION("""COMPUTED_VALUE"""),-1.9)</f>
        <v>-1.9</v>
      </c>
      <c r="V884" s="4">
        <f>IFERROR(__xludf.DUMMYFUNCTION("""COMPUTED_VALUE"""),0.1)</f>
        <v>0.1</v>
      </c>
    </row>
    <row r="885">
      <c r="A885" s="4">
        <f>IFERROR(__xludf.DUMMYFUNCTION("""COMPUTED_VALUE"""),24.0)</f>
        <v>24</v>
      </c>
      <c r="B885" s="4">
        <f>IFERROR(__xludf.DUMMYFUNCTION("""COMPUTED_VALUE"""),24.0)</f>
        <v>24</v>
      </c>
      <c r="C885" s="4" t="str">
        <f>IFERROR(__xludf.DUMMYFUNCTION("""COMPUTED_VALUE"""),"CLE")</f>
        <v>CLE</v>
      </c>
      <c r="D885" s="4" t="str">
        <f>IFERROR(__xludf.DUMMYFUNCTION("""COMPUTED_VALUE"""),"Jared Cunningham")</f>
        <v>Jared Cunningham</v>
      </c>
      <c r="E885" s="4" t="str">
        <f>IFERROR(__xludf.DUMMYFUNCTION("""COMPUTED_VALUE"""),"Oregon State")</f>
        <v>Oregon State</v>
      </c>
      <c r="F885" s="4">
        <f>IFERROR(__xludf.DUMMYFUNCTION("""COMPUTED_VALUE"""),4.0)</f>
        <v>4</v>
      </c>
      <c r="G885" s="4">
        <f>IFERROR(__xludf.DUMMYFUNCTION("""COMPUTED_VALUE"""),84.0)</f>
        <v>84</v>
      </c>
      <c r="H885" s="4">
        <f>IFERROR(__xludf.DUMMYFUNCTION("""COMPUTED_VALUE"""),605.0)</f>
        <v>605</v>
      </c>
      <c r="I885" s="4">
        <f>IFERROR(__xludf.DUMMYFUNCTION("""COMPUTED_VALUE"""),197.0)</f>
        <v>197</v>
      </c>
      <c r="J885" s="4">
        <f>IFERROR(__xludf.DUMMYFUNCTION("""COMPUTED_VALUE"""),56.0)</f>
        <v>56</v>
      </c>
      <c r="K885" s="4">
        <f>IFERROR(__xludf.DUMMYFUNCTION("""COMPUTED_VALUE"""),39.0)</f>
        <v>39</v>
      </c>
      <c r="L885" s="4">
        <f>IFERROR(__xludf.DUMMYFUNCTION("""COMPUTED_VALUE"""),0.347)</f>
        <v>0.347</v>
      </c>
      <c r="M885" s="4">
        <f>IFERROR(__xludf.DUMMYFUNCTION("""COMPUTED_VALUE"""),0.306)</f>
        <v>0.306</v>
      </c>
      <c r="N885" s="4">
        <f>IFERROR(__xludf.DUMMYFUNCTION("""COMPUTED_VALUE"""),0.674)</f>
        <v>0.674</v>
      </c>
      <c r="O885" s="4">
        <f>IFERROR(__xludf.DUMMYFUNCTION("""COMPUTED_VALUE"""),7.2)</f>
        <v>7.2</v>
      </c>
      <c r="P885" s="4">
        <f>IFERROR(__xludf.DUMMYFUNCTION("""COMPUTED_VALUE"""),2.3)</f>
        <v>2.3</v>
      </c>
      <c r="Q885" s="4">
        <f>IFERROR(__xludf.DUMMYFUNCTION("""COMPUTED_VALUE"""),0.7)</f>
        <v>0.7</v>
      </c>
      <c r="R885" s="4">
        <f>IFERROR(__xludf.DUMMYFUNCTION("""COMPUTED_VALUE"""),0.5)</f>
        <v>0.5</v>
      </c>
      <c r="S885" s="4">
        <f>IFERROR(__xludf.DUMMYFUNCTION("""COMPUTED_VALUE"""),0.2)</f>
        <v>0.2</v>
      </c>
      <c r="T885" s="4">
        <f>IFERROR(__xludf.DUMMYFUNCTION("""COMPUTED_VALUE"""),0.017)</f>
        <v>0.017</v>
      </c>
      <c r="U885" s="4">
        <f>IFERROR(__xludf.DUMMYFUNCTION("""COMPUTED_VALUE"""),-5.7)</f>
        <v>-5.7</v>
      </c>
      <c r="V885" s="4">
        <f>IFERROR(__xludf.DUMMYFUNCTION("""COMPUTED_VALUE"""),-0.6)</f>
        <v>-0.6</v>
      </c>
    </row>
    <row r="886">
      <c r="A886" s="4">
        <f>IFERROR(__xludf.DUMMYFUNCTION("""COMPUTED_VALUE"""),25.0)</f>
        <v>25</v>
      </c>
      <c r="B886" s="4">
        <f>IFERROR(__xludf.DUMMYFUNCTION("""COMPUTED_VALUE"""),25.0)</f>
        <v>25</v>
      </c>
      <c r="C886" s="4" t="str">
        <f>IFERROR(__xludf.DUMMYFUNCTION("""COMPUTED_VALUE"""),"MEM")</f>
        <v>MEM</v>
      </c>
      <c r="D886" s="4" t="str">
        <f>IFERROR(__xludf.DUMMYFUNCTION("""COMPUTED_VALUE"""),"Tony Wroten")</f>
        <v>Tony Wroten</v>
      </c>
      <c r="E886" s="4" t="str">
        <f>IFERROR(__xludf.DUMMYFUNCTION("""COMPUTED_VALUE"""),"Washington")</f>
        <v>Washington</v>
      </c>
      <c r="F886" s="4">
        <f>IFERROR(__xludf.DUMMYFUNCTION("""COMPUTED_VALUE"""),4.0)</f>
        <v>4</v>
      </c>
      <c r="G886" s="4">
        <f>IFERROR(__xludf.DUMMYFUNCTION("""COMPUTED_VALUE"""),145.0)</f>
        <v>145</v>
      </c>
      <c r="H886" s="4">
        <f>IFERROR(__xludf.DUMMYFUNCTION("""COMPUTED_VALUE"""),3076.0)</f>
        <v>3076</v>
      </c>
      <c r="I886" s="4">
        <f>IFERROR(__xludf.DUMMYFUNCTION("""COMPUTED_VALUE"""),1604.0)</f>
        <v>1604</v>
      </c>
      <c r="J886" s="4">
        <f>IFERROR(__xludf.DUMMYFUNCTION("""COMPUTED_VALUE"""),363.0)</f>
        <v>363</v>
      </c>
      <c r="K886" s="4">
        <f>IFERROR(__xludf.DUMMYFUNCTION("""COMPUTED_VALUE"""),437.0)</f>
        <v>437</v>
      </c>
      <c r="L886" s="4">
        <f>IFERROR(__xludf.DUMMYFUNCTION("""COMPUTED_VALUE"""),0.413)</f>
        <v>0.413</v>
      </c>
      <c r="M886" s="4">
        <f>IFERROR(__xludf.DUMMYFUNCTION("""COMPUTED_VALUE"""),0.231)</f>
        <v>0.231</v>
      </c>
      <c r="N886" s="4">
        <f>IFERROR(__xludf.DUMMYFUNCTION("""COMPUTED_VALUE"""),0.647)</f>
        <v>0.647</v>
      </c>
      <c r="O886" s="4">
        <f>IFERROR(__xludf.DUMMYFUNCTION("""COMPUTED_VALUE"""),21.2)</f>
        <v>21.2</v>
      </c>
      <c r="P886" s="4">
        <f>IFERROR(__xludf.DUMMYFUNCTION("""COMPUTED_VALUE"""),11.1)</f>
        <v>11.1</v>
      </c>
      <c r="Q886" s="4">
        <f>IFERROR(__xludf.DUMMYFUNCTION("""COMPUTED_VALUE"""),2.5)</f>
        <v>2.5</v>
      </c>
      <c r="R886" s="4">
        <f>IFERROR(__xludf.DUMMYFUNCTION("""COMPUTED_VALUE"""),3.0)</f>
        <v>3</v>
      </c>
      <c r="S886" s="4">
        <f>IFERROR(__xludf.DUMMYFUNCTION("""COMPUTED_VALUE"""),-1.3)</f>
        <v>-1.3</v>
      </c>
      <c r="T886" s="4">
        <f>IFERROR(__xludf.DUMMYFUNCTION("""COMPUTED_VALUE"""),-0.021)</f>
        <v>-0.021</v>
      </c>
      <c r="U886" s="4">
        <f>IFERROR(__xludf.DUMMYFUNCTION("""COMPUTED_VALUE"""),-3.4)</f>
        <v>-3.4</v>
      </c>
      <c r="V886" s="4">
        <f>IFERROR(__xludf.DUMMYFUNCTION("""COMPUTED_VALUE"""),-1.1)</f>
        <v>-1.1</v>
      </c>
    </row>
    <row r="887">
      <c r="A887" s="4">
        <f>IFERROR(__xludf.DUMMYFUNCTION("""COMPUTED_VALUE"""),26.0)</f>
        <v>26</v>
      </c>
      <c r="B887" s="4">
        <f>IFERROR(__xludf.DUMMYFUNCTION("""COMPUTED_VALUE"""),26.0)</f>
        <v>26</v>
      </c>
      <c r="C887" s="4" t="str">
        <f>IFERROR(__xludf.DUMMYFUNCTION("""COMPUTED_VALUE"""),"IND")</f>
        <v>IND</v>
      </c>
      <c r="D887" s="4" t="str">
        <f>IFERROR(__xludf.DUMMYFUNCTION("""COMPUTED_VALUE"""),"Miles Plumlee")</f>
        <v>Miles Plumlee</v>
      </c>
      <c r="E887" s="4" t="str">
        <f>IFERROR(__xludf.DUMMYFUNCTION("""COMPUTED_VALUE"""),"Duke")</f>
        <v>Duke</v>
      </c>
      <c r="F887" s="4">
        <f>IFERROR(__xludf.DUMMYFUNCTION("""COMPUTED_VALUE"""),7.0)</f>
        <v>7</v>
      </c>
      <c r="G887" s="4">
        <f>IFERROR(__xludf.DUMMYFUNCTION("""COMPUTED_VALUE"""),346.0)</f>
        <v>346</v>
      </c>
      <c r="H887" s="4">
        <f>IFERROR(__xludf.DUMMYFUNCTION("""COMPUTED_VALUE"""),5658.0)</f>
        <v>5658</v>
      </c>
      <c r="I887" s="4">
        <f>IFERROR(__xludf.DUMMYFUNCTION("""COMPUTED_VALUE"""),1697.0)</f>
        <v>1697</v>
      </c>
      <c r="J887" s="4">
        <f>IFERROR(__xludf.DUMMYFUNCTION("""COMPUTED_VALUE"""),1562.0)</f>
        <v>1562</v>
      </c>
      <c r="K887" s="4">
        <f>IFERROR(__xludf.DUMMYFUNCTION("""COMPUTED_VALUE"""),178.0)</f>
        <v>178</v>
      </c>
      <c r="L887" s="4">
        <f>IFERROR(__xludf.DUMMYFUNCTION("""COMPUTED_VALUE"""),0.542)</f>
        <v>0.542</v>
      </c>
      <c r="M887" s="4"/>
      <c r="N887" s="4">
        <f>IFERROR(__xludf.DUMMYFUNCTION("""COMPUTED_VALUE"""),0.543)</f>
        <v>0.543</v>
      </c>
      <c r="O887" s="4">
        <f>IFERROR(__xludf.DUMMYFUNCTION("""COMPUTED_VALUE"""),16.4)</f>
        <v>16.4</v>
      </c>
      <c r="P887" s="4">
        <f>IFERROR(__xludf.DUMMYFUNCTION("""COMPUTED_VALUE"""),4.9)</f>
        <v>4.9</v>
      </c>
      <c r="Q887" s="4">
        <f>IFERROR(__xludf.DUMMYFUNCTION("""COMPUTED_VALUE"""),4.5)</f>
        <v>4.5</v>
      </c>
      <c r="R887" s="4">
        <f>IFERROR(__xludf.DUMMYFUNCTION("""COMPUTED_VALUE"""),0.5)</f>
        <v>0.5</v>
      </c>
      <c r="S887" s="4">
        <f>IFERROR(__xludf.DUMMYFUNCTION("""COMPUTED_VALUE"""),10.6)</f>
        <v>10.6</v>
      </c>
      <c r="T887" s="4">
        <f>IFERROR(__xludf.DUMMYFUNCTION("""COMPUTED_VALUE"""),0.09)</f>
        <v>0.09</v>
      </c>
      <c r="U887" s="4">
        <f>IFERROR(__xludf.DUMMYFUNCTION("""COMPUTED_VALUE"""),-1.9)</f>
        <v>-1.9</v>
      </c>
      <c r="V887" s="4">
        <f>IFERROR(__xludf.DUMMYFUNCTION("""COMPUTED_VALUE"""),0.2)</f>
        <v>0.2</v>
      </c>
    </row>
    <row r="888">
      <c r="A888" s="4">
        <f>IFERROR(__xludf.DUMMYFUNCTION("""COMPUTED_VALUE"""),27.0)</f>
        <v>27</v>
      </c>
      <c r="B888" s="4">
        <f>IFERROR(__xludf.DUMMYFUNCTION("""COMPUTED_VALUE"""),27.0)</f>
        <v>27</v>
      </c>
      <c r="C888" s="4" t="str">
        <f>IFERROR(__xludf.DUMMYFUNCTION("""COMPUTED_VALUE"""),"MIA")</f>
        <v>MIA</v>
      </c>
      <c r="D888" s="4" t="str">
        <f>IFERROR(__xludf.DUMMYFUNCTION("""COMPUTED_VALUE"""),"Arnett Moultrie")</f>
        <v>Arnett Moultrie</v>
      </c>
      <c r="E888" s="4" t="str">
        <f>IFERROR(__xludf.DUMMYFUNCTION("""COMPUTED_VALUE"""),"Mississippi State")</f>
        <v>Mississippi State</v>
      </c>
      <c r="F888" s="4">
        <f>IFERROR(__xludf.DUMMYFUNCTION("""COMPUTED_VALUE"""),2.0)</f>
        <v>2</v>
      </c>
      <c r="G888" s="4">
        <f>IFERROR(__xludf.DUMMYFUNCTION("""COMPUTED_VALUE"""),59.0)</f>
        <v>59</v>
      </c>
      <c r="H888" s="4">
        <f>IFERROR(__xludf.DUMMYFUNCTION("""COMPUTED_VALUE"""),729.0)</f>
        <v>729</v>
      </c>
      <c r="I888" s="4">
        <f>IFERROR(__xludf.DUMMYFUNCTION("""COMPUTED_VALUE"""),210.0)</f>
        <v>210</v>
      </c>
      <c r="J888" s="4">
        <f>IFERROR(__xludf.DUMMYFUNCTION("""COMPUTED_VALUE"""),180.0)</f>
        <v>180</v>
      </c>
      <c r="K888" s="4">
        <f>IFERROR(__xludf.DUMMYFUNCTION("""COMPUTED_VALUE"""),12.0)</f>
        <v>12</v>
      </c>
      <c r="L888" s="4">
        <f>IFERROR(__xludf.DUMMYFUNCTION("""COMPUTED_VALUE"""),0.547)</f>
        <v>0.547</v>
      </c>
      <c r="M888" s="4"/>
      <c r="N888" s="4">
        <f>IFERROR(__xludf.DUMMYFUNCTION("""COMPUTED_VALUE"""),0.667)</f>
        <v>0.667</v>
      </c>
      <c r="O888" s="4">
        <f>IFERROR(__xludf.DUMMYFUNCTION("""COMPUTED_VALUE"""),12.4)</f>
        <v>12.4</v>
      </c>
      <c r="P888" s="4">
        <f>IFERROR(__xludf.DUMMYFUNCTION("""COMPUTED_VALUE"""),3.6)</f>
        <v>3.6</v>
      </c>
      <c r="Q888" s="4">
        <f>IFERROR(__xludf.DUMMYFUNCTION("""COMPUTED_VALUE"""),3.1)</f>
        <v>3.1</v>
      </c>
      <c r="R888" s="4">
        <f>IFERROR(__xludf.DUMMYFUNCTION("""COMPUTED_VALUE"""),0.2)</f>
        <v>0.2</v>
      </c>
      <c r="S888" s="4">
        <f>IFERROR(__xludf.DUMMYFUNCTION("""COMPUTED_VALUE"""),1.7)</f>
        <v>1.7</v>
      </c>
      <c r="T888" s="4">
        <f>IFERROR(__xludf.DUMMYFUNCTION("""COMPUTED_VALUE"""),0.113)</f>
        <v>0.113</v>
      </c>
      <c r="U888" s="4">
        <f>IFERROR(__xludf.DUMMYFUNCTION("""COMPUTED_VALUE"""),-2.8)</f>
        <v>-2.8</v>
      </c>
      <c r="V888" s="4">
        <f>IFERROR(__xludf.DUMMYFUNCTION("""COMPUTED_VALUE"""),-0.1)</f>
        <v>-0.1</v>
      </c>
    </row>
    <row r="889">
      <c r="A889" s="4">
        <f>IFERROR(__xludf.DUMMYFUNCTION("""COMPUTED_VALUE"""),28.0)</f>
        <v>28</v>
      </c>
      <c r="B889" s="4">
        <f>IFERROR(__xludf.DUMMYFUNCTION("""COMPUTED_VALUE"""),28.0)</f>
        <v>28</v>
      </c>
      <c r="C889" s="4" t="str">
        <f>IFERROR(__xludf.DUMMYFUNCTION("""COMPUTED_VALUE"""),"OKC")</f>
        <v>OKC</v>
      </c>
      <c r="D889" s="4" t="str">
        <f>IFERROR(__xludf.DUMMYFUNCTION("""COMPUTED_VALUE"""),"Perry Jones")</f>
        <v>Perry Jones</v>
      </c>
      <c r="E889" s="4" t="str">
        <f>IFERROR(__xludf.DUMMYFUNCTION("""COMPUTED_VALUE"""),"Baylor")</f>
        <v>Baylor</v>
      </c>
      <c r="F889" s="4">
        <f>IFERROR(__xludf.DUMMYFUNCTION("""COMPUTED_VALUE"""),3.0)</f>
        <v>3</v>
      </c>
      <c r="G889" s="4">
        <f>IFERROR(__xludf.DUMMYFUNCTION("""COMPUTED_VALUE"""),143.0)</f>
        <v>143</v>
      </c>
      <c r="H889" s="4">
        <f>IFERROR(__xludf.DUMMYFUNCTION("""COMPUTED_VALUE"""),1675.0)</f>
        <v>1675</v>
      </c>
      <c r="I889" s="4">
        <f>IFERROR(__xludf.DUMMYFUNCTION("""COMPUTED_VALUE"""),488.0)</f>
        <v>488</v>
      </c>
      <c r="J889" s="4">
        <f>IFERROR(__xludf.DUMMYFUNCTION("""COMPUTED_VALUE"""),252.0)</f>
        <v>252</v>
      </c>
      <c r="K889" s="4">
        <f>IFERROR(__xludf.DUMMYFUNCTION("""COMPUTED_VALUE"""),54.0)</f>
        <v>54</v>
      </c>
      <c r="L889" s="4">
        <f>IFERROR(__xludf.DUMMYFUNCTION("""COMPUTED_VALUE"""),0.42)</f>
        <v>0.42</v>
      </c>
      <c r="M889" s="4">
        <f>IFERROR(__xludf.DUMMYFUNCTION("""COMPUTED_VALUE"""),0.293)</f>
        <v>0.293</v>
      </c>
      <c r="N889" s="4">
        <f>IFERROR(__xludf.DUMMYFUNCTION("""COMPUTED_VALUE"""),0.66)</f>
        <v>0.66</v>
      </c>
      <c r="O889" s="4">
        <f>IFERROR(__xludf.DUMMYFUNCTION("""COMPUTED_VALUE"""),11.7)</f>
        <v>11.7</v>
      </c>
      <c r="P889" s="4">
        <f>IFERROR(__xludf.DUMMYFUNCTION("""COMPUTED_VALUE"""),3.4)</f>
        <v>3.4</v>
      </c>
      <c r="Q889" s="4">
        <f>IFERROR(__xludf.DUMMYFUNCTION("""COMPUTED_VALUE"""),1.8)</f>
        <v>1.8</v>
      </c>
      <c r="R889" s="4">
        <f>IFERROR(__xludf.DUMMYFUNCTION("""COMPUTED_VALUE"""),0.4)</f>
        <v>0.4</v>
      </c>
      <c r="S889" s="4">
        <f>IFERROR(__xludf.DUMMYFUNCTION("""COMPUTED_VALUE"""),1.7)</f>
        <v>1.7</v>
      </c>
      <c r="T889" s="4">
        <f>IFERROR(__xludf.DUMMYFUNCTION("""COMPUTED_VALUE"""),0.048)</f>
        <v>0.048</v>
      </c>
      <c r="U889" s="4">
        <f>IFERROR(__xludf.DUMMYFUNCTION("""COMPUTED_VALUE"""),-3.5)</f>
        <v>-3.5</v>
      </c>
      <c r="V889" s="4">
        <f>IFERROR(__xludf.DUMMYFUNCTION("""COMPUTED_VALUE"""),-0.6)</f>
        <v>-0.6</v>
      </c>
    </row>
    <row r="890">
      <c r="A890" s="4">
        <f>IFERROR(__xludf.DUMMYFUNCTION("""COMPUTED_VALUE"""),29.0)</f>
        <v>29</v>
      </c>
      <c r="B890" s="4">
        <f>IFERROR(__xludf.DUMMYFUNCTION("""COMPUTED_VALUE"""),29.0)</f>
        <v>29</v>
      </c>
      <c r="C890" s="4" t="str">
        <f>IFERROR(__xludf.DUMMYFUNCTION("""COMPUTED_VALUE"""),"CHI")</f>
        <v>CHI</v>
      </c>
      <c r="D890" s="4" t="str">
        <f>IFERROR(__xludf.DUMMYFUNCTION("""COMPUTED_VALUE"""),"Marquis Teague")</f>
        <v>Marquis Teague</v>
      </c>
      <c r="E890" s="4" t="str">
        <f>IFERROR(__xludf.DUMMYFUNCTION("""COMPUTED_VALUE"""),"Kentucky")</f>
        <v>Kentucky</v>
      </c>
      <c r="F890" s="4">
        <f>IFERROR(__xludf.DUMMYFUNCTION("""COMPUTED_VALUE"""),3.0)</f>
        <v>3</v>
      </c>
      <c r="G890" s="4">
        <f>IFERROR(__xludf.DUMMYFUNCTION("""COMPUTED_VALUE"""),91.0)</f>
        <v>91</v>
      </c>
      <c r="H890" s="4">
        <f>IFERROR(__xludf.DUMMYFUNCTION("""COMPUTED_VALUE"""),909.0)</f>
        <v>909</v>
      </c>
      <c r="I890" s="4">
        <f>IFERROR(__xludf.DUMMYFUNCTION("""COMPUTED_VALUE"""),217.0)</f>
        <v>217</v>
      </c>
      <c r="J890" s="4">
        <f>IFERROR(__xludf.DUMMYFUNCTION("""COMPUTED_VALUE"""),90.0)</f>
        <v>90</v>
      </c>
      <c r="K890" s="4">
        <f>IFERROR(__xludf.DUMMYFUNCTION("""COMPUTED_VALUE"""),134.0)</f>
        <v>134</v>
      </c>
      <c r="L890" s="4">
        <f>IFERROR(__xludf.DUMMYFUNCTION("""COMPUTED_VALUE"""),0.343)</f>
        <v>0.343</v>
      </c>
      <c r="M890" s="4">
        <f>IFERROR(__xludf.DUMMYFUNCTION("""COMPUTED_VALUE"""),0.222)</f>
        <v>0.222</v>
      </c>
      <c r="N890" s="4">
        <f>IFERROR(__xludf.DUMMYFUNCTION("""COMPUTED_VALUE"""),0.661)</f>
        <v>0.661</v>
      </c>
      <c r="O890" s="4">
        <f>IFERROR(__xludf.DUMMYFUNCTION("""COMPUTED_VALUE"""),10.0)</f>
        <v>10</v>
      </c>
      <c r="P890" s="4">
        <f>IFERROR(__xludf.DUMMYFUNCTION("""COMPUTED_VALUE"""),2.4)</f>
        <v>2.4</v>
      </c>
      <c r="Q890" s="4">
        <f>IFERROR(__xludf.DUMMYFUNCTION("""COMPUTED_VALUE"""),1.0)</f>
        <v>1</v>
      </c>
      <c r="R890" s="4">
        <f>IFERROR(__xludf.DUMMYFUNCTION("""COMPUTED_VALUE"""),1.5)</f>
        <v>1.5</v>
      </c>
      <c r="S890" s="4">
        <f>IFERROR(__xludf.DUMMYFUNCTION("""COMPUTED_VALUE"""),-0.9)</f>
        <v>-0.9</v>
      </c>
      <c r="T890" s="4">
        <f>IFERROR(__xludf.DUMMYFUNCTION("""COMPUTED_VALUE"""),-0.045)</f>
        <v>-0.045</v>
      </c>
      <c r="U890" s="4">
        <f>IFERROR(__xludf.DUMMYFUNCTION("""COMPUTED_VALUE"""),-6.5)</f>
        <v>-6.5</v>
      </c>
      <c r="V890" s="4">
        <f>IFERROR(__xludf.DUMMYFUNCTION("""COMPUTED_VALUE"""),-1.0)</f>
        <v>-1</v>
      </c>
    </row>
    <row r="891">
      <c r="A891" s="4">
        <f>IFERROR(__xludf.DUMMYFUNCTION("""COMPUTED_VALUE"""),30.0)</f>
        <v>30</v>
      </c>
      <c r="B891" s="4">
        <f>IFERROR(__xludf.DUMMYFUNCTION("""COMPUTED_VALUE"""),30.0)</f>
        <v>30</v>
      </c>
      <c r="C891" s="4" t="str">
        <f>IFERROR(__xludf.DUMMYFUNCTION("""COMPUTED_VALUE"""),"GSW")</f>
        <v>GSW</v>
      </c>
      <c r="D891" s="4" t="str">
        <f>IFERROR(__xludf.DUMMYFUNCTION("""COMPUTED_VALUE"""),"Festus Ezeli")</f>
        <v>Festus Ezeli</v>
      </c>
      <c r="E891" s="4" t="str">
        <f>IFERROR(__xludf.DUMMYFUNCTION("""COMPUTED_VALUE"""),"Vanderbilt")</f>
        <v>Vanderbilt</v>
      </c>
      <c r="F891" s="4">
        <f>IFERROR(__xludf.DUMMYFUNCTION("""COMPUTED_VALUE"""),3.0)</f>
        <v>3</v>
      </c>
      <c r="G891" s="4">
        <f>IFERROR(__xludf.DUMMYFUNCTION("""COMPUTED_VALUE"""),170.0)</f>
        <v>170</v>
      </c>
      <c r="H891" s="4">
        <f>IFERROR(__xludf.DUMMYFUNCTION("""COMPUTED_VALUE"""),2394.0)</f>
        <v>2394</v>
      </c>
      <c r="I891" s="4">
        <f>IFERROR(__xludf.DUMMYFUNCTION("""COMPUTED_VALUE"""),712.0)</f>
        <v>712</v>
      </c>
      <c r="J891" s="4">
        <f>IFERROR(__xludf.DUMMYFUNCTION("""COMPUTED_VALUE"""),725.0)</f>
        <v>725</v>
      </c>
      <c r="K891" s="4">
        <f>IFERROR(__xludf.DUMMYFUNCTION("""COMPUTED_VALUE"""),63.0)</f>
        <v>63</v>
      </c>
      <c r="L891" s="4">
        <f>IFERROR(__xludf.DUMMYFUNCTION("""COMPUTED_VALUE"""),0.513)</f>
        <v>0.513</v>
      </c>
      <c r="M891" s="4"/>
      <c r="N891" s="4">
        <f>IFERROR(__xludf.DUMMYFUNCTION("""COMPUTED_VALUE"""),0.557)</f>
        <v>0.557</v>
      </c>
      <c r="O891" s="4">
        <f>IFERROR(__xludf.DUMMYFUNCTION("""COMPUTED_VALUE"""),14.1)</f>
        <v>14.1</v>
      </c>
      <c r="P891" s="4">
        <f>IFERROR(__xludf.DUMMYFUNCTION("""COMPUTED_VALUE"""),4.2)</f>
        <v>4.2</v>
      </c>
      <c r="Q891" s="4">
        <f>IFERROR(__xludf.DUMMYFUNCTION("""COMPUTED_VALUE"""),4.3)</f>
        <v>4.3</v>
      </c>
      <c r="R891" s="4">
        <f>IFERROR(__xludf.DUMMYFUNCTION("""COMPUTED_VALUE"""),0.4)</f>
        <v>0.4</v>
      </c>
      <c r="S891" s="4">
        <f>IFERROR(__xludf.DUMMYFUNCTION("""COMPUTED_VALUE"""),5.9)</f>
        <v>5.9</v>
      </c>
      <c r="T891" s="4">
        <f>IFERROR(__xludf.DUMMYFUNCTION("""COMPUTED_VALUE"""),0.119)</f>
        <v>0.119</v>
      </c>
      <c r="U891" s="4">
        <f>IFERROR(__xludf.DUMMYFUNCTION("""COMPUTED_VALUE"""),-2.0)</f>
        <v>-2</v>
      </c>
      <c r="V891" s="4">
        <f>IFERROR(__xludf.DUMMYFUNCTION("""COMPUTED_VALUE"""),0.0)</f>
        <v>0</v>
      </c>
    </row>
    <row r="892">
      <c r="A892" s="4"/>
      <c r="B892" s="4"/>
      <c r="C892" s="4"/>
      <c r="D892" s="4" t="str">
        <f>IFERROR(__xludf.DUMMYFUNCTION("""COMPUTED_VALUE"""),"Round 2")</f>
        <v>Round 2</v>
      </c>
      <c r="E892" s="4"/>
      <c r="F892" s="4"/>
      <c r="G892" s="4" t="str">
        <f>IFERROR(__xludf.DUMMYFUNCTION("""COMPUTED_VALUE"""),"Totals")</f>
        <v>Totals</v>
      </c>
      <c r="H892" s="4"/>
      <c r="I892" s="4"/>
      <c r="J892" s="4"/>
      <c r="K892" s="4"/>
      <c r="L892" s="4" t="str">
        <f>IFERROR(__xludf.DUMMYFUNCTION("""COMPUTED_VALUE"""),"Shooting")</f>
        <v>Shooting</v>
      </c>
      <c r="M892" s="4"/>
      <c r="N892" s="4"/>
      <c r="O892" s="4" t="str">
        <f>IFERROR(__xludf.DUMMYFUNCTION("""COMPUTED_VALUE"""),"Per Game")</f>
        <v>Per Game</v>
      </c>
      <c r="P892" s="4"/>
      <c r="Q892" s="4"/>
      <c r="R892" s="4"/>
      <c r="S892" s="4" t="str">
        <f>IFERROR(__xludf.DUMMYFUNCTION("""COMPUTED_VALUE"""),"Advanced")</f>
        <v>Advanced</v>
      </c>
      <c r="T892" s="4"/>
      <c r="U892" s="4"/>
      <c r="V892" s="4"/>
    </row>
    <row r="893">
      <c r="A893" s="4" t="str">
        <f>IFERROR(__xludf.DUMMYFUNCTION("""COMPUTED_VALUE"""),"Rk")</f>
        <v>Rk</v>
      </c>
      <c r="B893" s="4" t="str">
        <f>IFERROR(__xludf.DUMMYFUNCTION("""COMPUTED_VALUE"""),"Pk")</f>
        <v>Pk</v>
      </c>
      <c r="C893" s="4" t="str">
        <f>IFERROR(__xludf.DUMMYFUNCTION("""COMPUTED_VALUE"""),"Tm")</f>
        <v>Tm</v>
      </c>
      <c r="D893" s="4" t="str">
        <f>IFERROR(__xludf.DUMMYFUNCTION("""COMPUTED_VALUE"""),"Player")</f>
        <v>Player</v>
      </c>
      <c r="E893" s="4" t="str">
        <f>IFERROR(__xludf.DUMMYFUNCTION("""COMPUTED_VALUE"""),"College")</f>
        <v>College</v>
      </c>
      <c r="F893" s="4" t="str">
        <f>IFERROR(__xludf.DUMMYFUNCTION("""COMPUTED_VALUE"""),"Yrs")</f>
        <v>Yrs</v>
      </c>
      <c r="G893" s="4" t="str">
        <f>IFERROR(__xludf.DUMMYFUNCTION("""COMPUTED_VALUE"""),"G")</f>
        <v>G</v>
      </c>
      <c r="H893" s="4" t="str">
        <f>IFERROR(__xludf.DUMMYFUNCTION("""COMPUTED_VALUE"""),"MP")</f>
        <v>MP</v>
      </c>
      <c r="I893" s="4" t="str">
        <f>IFERROR(__xludf.DUMMYFUNCTION("""COMPUTED_VALUE"""),"PTS")</f>
        <v>PTS</v>
      </c>
      <c r="J893" s="4" t="str">
        <f>IFERROR(__xludf.DUMMYFUNCTION("""COMPUTED_VALUE"""),"TRB")</f>
        <v>TRB</v>
      </c>
      <c r="K893" s="4" t="str">
        <f>IFERROR(__xludf.DUMMYFUNCTION("""COMPUTED_VALUE"""),"AST")</f>
        <v>AST</v>
      </c>
      <c r="L893" s="4" t="str">
        <f>IFERROR(__xludf.DUMMYFUNCTION("""COMPUTED_VALUE"""),"FG%")</f>
        <v>FG%</v>
      </c>
      <c r="M893" s="4" t="str">
        <f>IFERROR(__xludf.DUMMYFUNCTION("""COMPUTED_VALUE"""),"3P%")</f>
        <v>3P%</v>
      </c>
      <c r="N893" s="4" t="str">
        <f>IFERROR(__xludf.DUMMYFUNCTION("""COMPUTED_VALUE"""),"FT%")</f>
        <v>FT%</v>
      </c>
      <c r="O893" s="4" t="str">
        <f>IFERROR(__xludf.DUMMYFUNCTION("""COMPUTED_VALUE"""),"MP")</f>
        <v>MP</v>
      </c>
      <c r="P893" s="4" t="str">
        <f>IFERROR(__xludf.DUMMYFUNCTION("""COMPUTED_VALUE"""),"PTS")</f>
        <v>PTS</v>
      </c>
      <c r="Q893" s="4" t="str">
        <f>IFERROR(__xludf.DUMMYFUNCTION("""COMPUTED_VALUE"""),"TRB")</f>
        <v>TRB</v>
      </c>
      <c r="R893" s="4" t="str">
        <f>IFERROR(__xludf.DUMMYFUNCTION("""COMPUTED_VALUE"""),"AST")</f>
        <v>AST</v>
      </c>
      <c r="S893" s="4" t="str">
        <f>IFERROR(__xludf.DUMMYFUNCTION("""COMPUTED_VALUE"""),"WS")</f>
        <v>WS</v>
      </c>
      <c r="T893" s="4" t="str">
        <f>IFERROR(__xludf.DUMMYFUNCTION("""COMPUTED_VALUE"""),"WS/48")</f>
        <v>WS/48</v>
      </c>
      <c r="U893" s="4" t="str">
        <f>IFERROR(__xludf.DUMMYFUNCTION("""COMPUTED_VALUE"""),"BPM")</f>
        <v>BPM</v>
      </c>
      <c r="V893" s="4" t="str">
        <f>IFERROR(__xludf.DUMMYFUNCTION("""COMPUTED_VALUE"""),"VORP")</f>
        <v>VORP</v>
      </c>
    </row>
    <row r="894">
      <c r="A894" s="4">
        <f>IFERROR(__xludf.DUMMYFUNCTION("""COMPUTED_VALUE"""),31.0)</f>
        <v>31</v>
      </c>
      <c r="B894" s="4">
        <f>IFERROR(__xludf.DUMMYFUNCTION("""COMPUTED_VALUE"""),31.0)</f>
        <v>31</v>
      </c>
      <c r="C894" s="4" t="str">
        <f>IFERROR(__xludf.DUMMYFUNCTION("""COMPUTED_VALUE"""),"CHA")</f>
        <v>CHA</v>
      </c>
      <c r="D894" s="4" t="str">
        <f>IFERROR(__xludf.DUMMYFUNCTION("""COMPUTED_VALUE"""),"Jeff Taylor")</f>
        <v>Jeff Taylor</v>
      </c>
      <c r="E894" s="4" t="str">
        <f>IFERROR(__xludf.DUMMYFUNCTION("""COMPUTED_VALUE"""),"Vanderbilt")</f>
        <v>Vanderbilt</v>
      </c>
      <c r="F894" s="4">
        <f>IFERROR(__xludf.DUMMYFUNCTION("""COMPUTED_VALUE"""),3.0)</f>
        <v>3</v>
      </c>
      <c r="G894" s="4">
        <f>IFERROR(__xludf.DUMMYFUNCTION("""COMPUTED_VALUE"""),132.0)</f>
        <v>132</v>
      </c>
      <c r="H894" s="4">
        <f>IFERROR(__xludf.DUMMYFUNCTION("""COMPUTED_VALUE"""),2566.0)</f>
        <v>2566</v>
      </c>
      <c r="I894" s="4">
        <f>IFERROR(__xludf.DUMMYFUNCTION("""COMPUTED_VALUE"""),807.0)</f>
        <v>807</v>
      </c>
      <c r="J894" s="4">
        <f>IFERROR(__xludf.DUMMYFUNCTION("""COMPUTED_VALUE"""),263.0)</f>
        <v>263</v>
      </c>
      <c r="K894" s="4">
        <f>IFERROR(__xludf.DUMMYFUNCTION("""COMPUTED_VALUE"""),107.0)</f>
        <v>107</v>
      </c>
      <c r="L894" s="4">
        <f>IFERROR(__xludf.DUMMYFUNCTION("""COMPUTED_VALUE"""),0.409)</f>
        <v>0.409</v>
      </c>
      <c r="M894" s="4">
        <f>IFERROR(__xludf.DUMMYFUNCTION("""COMPUTED_VALUE"""),0.319)</f>
        <v>0.319</v>
      </c>
      <c r="N894" s="4">
        <f>IFERROR(__xludf.DUMMYFUNCTION("""COMPUTED_VALUE"""),0.665)</f>
        <v>0.665</v>
      </c>
      <c r="O894" s="4">
        <f>IFERROR(__xludf.DUMMYFUNCTION("""COMPUTED_VALUE"""),19.4)</f>
        <v>19.4</v>
      </c>
      <c r="P894" s="4">
        <f>IFERROR(__xludf.DUMMYFUNCTION("""COMPUTED_VALUE"""),6.1)</f>
        <v>6.1</v>
      </c>
      <c r="Q894" s="4">
        <f>IFERROR(__xludf.DUMMYFUNCTION("""COMPUTED_VALUE"""),2.0)</f>
        <v>2</v>
      </c>
      <c r="R894" s="4">
        <f>IFERROR(__xludf.DUMMYFUNCTION("""COMPUTED_VALUE"""),0.8)</f>
        <v>0.8</v>
      </c>
      <c r="S894" s="4">
        <f>IFERROR(__xludf.DUMMYFUNCTION("""COMPUTED_VALUE"""),1.3)</f>
        <v>1.3</v>
      </c>
      <c r="T894" s="4">
        <f>IFERROR(__xludf.DUMMYFUNCTION("""COMPUTED_VALUE"""),0.024)</f>
        <v>0.024</v>
      </c>
      <c r="U894" s="4">
        <f>IFERROR(__xludf.DUMMYFUNCTION("""COMPUTED_VALUE"""),-4.2)</f>
        <v>-4.2</v>
      </c>
      <c r="V894" s="4">
        <f>IFERROR(__xludf.DUMMYFUNCTION("""COMPUTED_VALUE"""),-1.5)</f>
        <v>-1.5</v>
      </c>
    </row>
    <row r="895">
      <c r="A895" s="4">
        <f>IFERROR(__xludf.DUMMYFUNCTION("""COMPUTED_VALUE"""),32.0)</f>
        <v>32</v>
      </c>
      <c r="B895" s="4">
        <f>IFERROR(__xludf.DUMMYFUNCTION("""COMPUTED_VALUE"""),32.0)</f>
        <v>32</v>
      </c>
      <c r="C895" s="4" t="str">
        <f>IFERROR(__xludf.DUMMYFUNCTION("""COMPUTED_VALUE"""),"WAS")</f>
        <v>WAS</v>
      </c>
      <c r="D895" s="4" t="str">
        <f>IFERROR(__xludf.DUMMYFUNCTION("""COMPUTED_VALUE"""),"Tomáš Satoranský")</f>
        <v>Tomáš Satoranský</v>
      </c>
      <c r="E895" s="4"/>
      <c r="F895" s="4">
        <f>IFERROR(__xludf.DUMMYFUNCTION("""COMPUTED_VALUE"""),6.0)</f>
        <v>6</v>
      </c>
      <c r="G895" s="4">
        <f>IFERROR(__xludf.DUMMYFUNCTION("""COMPUTED_VALUE"""),388.0)</f>
        <v>388</v>
      </c>
      <c r="H895" s="4">
        <f>IFERROR(__xludf.DUMMYFUNCTION("""COMPUTED_VALUE"""),8617.0)</f>
        <v>8617</v>
      </c>
      <c r="I895" s="4">
        <f>IFERROR(__xludf.DUMMYFUNCTION("""COMPUTED_VALUE"""),2676.0)</f>
        <v>2676</v>
      </c>
      <c r="J895" s="4">
        <f>IFERROR(__xludf.DUMMYFUNCTION("""COMPUTED_VALUE"""),1117.0)</f>
        <v>1117</v>
      </c>
      <c r="K895" s="4">
        <f>IFERROR(__xludf.DUMMYFUNCTION("""COMPUTED_VALUE"""),1586.0)</f>
        <v>1586</v>
      </c>
      <c r="L895" s="4">
        <f>IFERROR(__xludf.DUMMYFUNCTION("""COMPUTED_VALUE"""),0.468)</f>
        <v>0.468</v>
      </c>
      <c r="M895" s="4">
        <f>IFERROR(__xludf.DUMMYFUNCTION("""COMPUTED_VALUE"""),0.354)</f>
        <v>0.354</v>
      </c>
      <c r="N895" s="4">
        <f>IFERROR(__xludf.DUMMYFUNCTION("""COMPUTED_VALUE"""),0.82)</f>
        <v>0.82</v>
      </c>
      <c r="O895" s="4">
        <f>IFERROR(__xludf.DUMMYFUNCTION("""COMPUTED_VALUE"""),22.2)</f>
        <v>22.2</v>
      </c>
      <c r="P895" s="4">
        <f>IFERROR(__xludf.DUMMYFUNCTION("""COMPUTED_VALUE"""),6.9)</f>
        <v>6.9</v>
      </c>
      <c r="Q895" s="4">
        <f>IFERROR(__xludf.DUMMYFUNCTION("""COMPUTED_VALUE"""),2.9)</f>
        <v>2.9</v>
      </c>
      <c r="R895" s="4">
        <f>IFERROR(__xludf.DUMMYFUNCTION("""COMPUTED_VALUE"""),4.1)</f>
        <v>4.1</v>
      </c>
      <c r="S895" s="4">
        <f>IFERROR(__xludf.DUMMYFUNCTION("""COMPUTED_VALUE"""),17.9)</f>
        <v>17.9</v>
      </c>
      <c r="T895" s="4">
        <f>IFERROR(__xludf.DUMMYFUNCTION("""COMPUTED_VALUE"""),0.1)</f>
        <v>0.1</v>
      </c>
      <c r="U895" s="4">
        <f>IFERROR(__xludf.DUMMYFUNCTION("""COMPUTED_VALUE"""),-0.9)</f>
        <v>-0.9</v>
      </c>
      <c r="V895" s="4">
        <f>IFERROR(__xludf.DUMMYFUNCTION("""COMPUTED_VALUE"""),2.4)</f>
        <v>2.4</v>
      </c>
    </row>
    <row r="896">
      <c r="A896" s="4">
        <f>IFERROR(__xludf.DUMMYFUNCTION("""COMPUTED_VALUE"""),33.0)</f>
        <v>33</v>
      </c>
      <c r="B896" s="4">
        <f>IFERROR(__xludf.DUMMYFUNCTION("""COMPUTED_VALUE"""),33.0)</f>
        <v>33</v>
      </c>
      <c r="C896" s="4" t="str">
        <f>IFERROR(__xludf.DUMMYFUNCTION("""COMPUTED_VALUE"""),"CLE")</f>
        <v>CLE</v>
      </c>
      <c r="D896" s="4" t="str">
        <f>IFERROR(__xludf.DUMMYFUNCTION("""COMPUTED_VALUE"""),"Bernard James")</f>
        <v>Bernard James</v>
      </c>
      <c r="E896" s="4" t="str">
        <f>IFERROR(__xludf.DUMMYFUNCTION("""COMPUTED_VALUE"""),"Florida State")</f>
        <v>Florida State</v>
      </c>
      <c r="F896" s="4">
        <f>IFERROR(__xludf.DUMMYFUNCTION("""COMPUTED_VALUE"""),3.0)</f>
        <v>3</v>
      </c>
      <c r="G896" s="4">
        <f>IFERROR(__xludf.DUMMYFUNCTION("""COMPUTED_VALUE"""),92.0)</f>
        <v>92</v>
      </c>
      <c r="H896" s="4">
        <f>IFERROR(__xludf.DUMMYFUNCTION("""COMPUTED_VALUE"""),761.0)</f>
        <v>761</v>
      </c>
      <c r="I896" s="4">
        <f>IFERROR(__xludf.DUMMYFUNCTION("""COMPUTED_VALUE"""),203.0)</f>
        <v>203</v>
      </c>
      <c r="J896" s="4">
        <f>IFERROR(__xludf.DUMMYFUNCTION("""COMPUTED_VALUE"""),212.0)</f>
        <v>212</v>
      </c>
      <c r="K896" s="4">
        <f>IFERROR(__xludf.DUMMYFUNCTION("""COMPUTED_VALUE"""),13.0)</f>
        <v>13</v>
      </c>
      <c r="L896" s="4">
        <f>IFERROR(__xludf.DUMMYFUNCTION("""COMPUTED_VALUE"""),0.497)</f>
        <v>0.497</v>
      </c>
      <c r="M896" s="4">
        <f>IFERROR(__xludf.DUMMYFUNCTION("""COMPUTED_VALUE"""),0.0)</f>
        <v>0</v>
      </c>
      <c r="N896" s="4">
        <f>IFERROR(__xludf.DUMMYFUNCTION("""COMPUTED_VALUE"""),0.68)</f>
        <v>0.68</v>
      </c>
      <c r="O896" s="4">
        <f>IFERROR(__xludf.DUMMYFUNCTION("""COMPUTED_VALUE"""),8.3)</f>
        <v>8.3</v>
      </c>
      <c r="P896" s="4">
        <f>IFERROR(__xludf.DUMMYFUNCTION("""COMPUTED_VALUE"""),2.2)</f>
        <v>2.2</v>
      </c>
      <c r="Q896" s="4">
        <f>IFERROR(__xludf.DUMMYFUNCTION("""COMPUTED_VALUE"""),2.3)</f>
        <v>2.3</v>
      </c>
      <c r="R896" s="4">
        <f>IFERROR(__xludf.DUMMYFUNCTION("""COMPUTED_VALUE"""),0.1)</f>
        <v>0.1</v>
      </c>
      <c r="S896" s="4">
        <f>IFERROR(__xludf.DUMMYFUNCTION("""COMPUTED_VALUE"""),1.9)</f>
        <v>1.9</v>
      </c>
      <c r="T896" s="4">
        <f>IFERROR(__xludf.DUMMYFUNCTION("""COMPUTED_VALUE"""),0.117)</f>
        <v>0.117</v>
      </c>
      <c r="U896" s="4">
        <f>IFERROR(__xludf.DUMMYFUNCTION("""COMPUTED_VALUE"""),-1.8)</f>
        <v>-1.8</v>
      </c>
      <c r="V896" s="4">
        <f>IFERROR(__xludf.DUMMYFUNCTION("""COMPUTED_VALUE"""),0.0)</f>
        <v>0</v>
      </c>
    </row>
    <row r="897">
      <c r="A897" s="4">
        <f>IFERROR(__xludf.DUMMYFUNCTION("""COMPUTED_VALUE"""),34.0)</f>
        <v>34</v>
      </c>
      <c r="B897" s="4">
        <f>IFERROR(__xludf.DUMMYFUNCTION("""COMPUTED_VALUE"""),34.0)</f>
        <v>34</v>
      </c>
      <c r="C897" s="4" t="str">
        <f>IFERROR(__xludf.DUMMYFUNCTION("""COMPUTED_VALUE"""),"CLE")</f>
        <v>CLE</v>
      </c>
      <c r="D897" s="4" t="str">
        <f>IFERROR(__xludf.DUMMYFUNCTION("""COMPUTED_VALUE"""),"Jae Crowder")</f>
        <v>Jae Crowder</v>
      </c>
      <c r="E897" s="4" t="str">
        <f>IFERROR(__xludf.DUMMYFUNCTION("""COMPUTED_VALUE"""),"Marquette")</f>
        <v>Marquette</v>
      </c>
      <c r="F897" s="4">
        <f>IFERROR(__xludf.DUMMYFUNCTION("""COMPUTED_VALUE"""),13.0)</f>
        <v>13</v>
      </c>
      <c r="G897" s="4">
        <f>IFERROR(__xludf.DUMMYFUNCTION("""COMPUTED_VALUE"""),812.0)</f>
        <v>812</v>
      </c>
      <c r="H897" s="4">
        <f>IFERROR(__xludf.DUMMYFUNCTION("""COMPUTED_VALUE"""),20161.0)</f>
        <v>20161</v>
      </c>
      <c r="I897" s="4">
        <f>IFERROR(__xludf.DUMMYFUNCTION("""COMPUTED_VALUE"""),7515.0)</f>
        <v>7515</v>
      </c>
      <c r="J897" s="4">
        <f>IFERROR(__xludf.DUMMYFUNCTION("""COMPUTED_VALUE"""),3391.0)</f>
        <v>3391</v>
      </c>
      <c r="K897" s="4">
        <f>IFERROR(__xludf.DUMMYFUNCTION("""COMPUTED_VALUE"""),1281.0)</f>
        <v>1281</v>
      </c>
      <c r="L897" s="4">
        <f>IFERROR(__xludf.DUMMYFUNCTION("""COMPUTED_VALUE"""),0.418)</f>
        <v>0.418</v>
      </c>
      <c r="M897" s="4">
        <f>IFERROR(__xludf.DUMMYFUNCTION("""COMPUTED_VALUE"""),0.347)</f>
        <v>0.347</v>
      </c>
      <c r="N897" s="4">
        <f>IFERROR(__xludf.DUMMYFUNCTION("""COMPUTED_VALUE"""),0.777)</f>
        <v>0.777</v>
      </c>
      <c r="O897" s="4">
        <f>IFERROR(__xludf.DUMMYFUNCTION("""COMPUTED_VALUE"""),24.8)</f>
        <v>24.8</v>
      </c>
      <c r="P897" s="4">
        <f>IFERROR(__xludf.DUMMYFUNCTION("""COMPUTED_VALUE"""),9.3)</f>
        <v>9.3</v>
      </c>
      <c r="Q897" s="4">
        <f>IFERROR(__xludf.DUMMYFUNCTION("""COMPUTED_VALUE"""),4.2)</f>
        <v>4.2</v>
      </c>
      <c r="R897" s="4">
        <f>IFERROR(__xludf.DUMMYFUNCTION("""COMPUTED_VALUE"""),1.6)</f>
        <v>1.6</v>
      </c>
      <c r="S897" s="4">
        <f>IFERROR(__xludf.DUMMYFUNCTION("""COMPUTED_VALUE"""),43.0)</f>
        <v>43</v>
      </c>
      <c r="T897" s="4">
        <f>IFERROR(__xludf.DUMMYFUNCTION("""COMPUTED_VALUE"""),0.102)</f>
        <v>0.102</v>
      </c>
      <c r="U897" s="4">
        <f>IFERROR(__xludf.DUMMYFUNCTION("""COMPUTED_VALUE"""),0.1)</f>
        <v>0.1</v>
      </c>
      <c r="V897" s="4">
        <f>IFERROR(__xludf.DUMMYFUNCTION("""COMPUTED_VALUE"""),10.9)</f>
        <v>10.9</v>
      </c>
    </row>
    <row r="898">
      <c r="A898" s="4">
        <f>IFERROR(__xludf.DUMMYFUNCTION("""COMPUTED_VALUE"""),35.0)</f>
        <v>35</v>
      </c>
      <c r="B898" s="4">
        <f>IFERROR(__xludf.DUMMYFUNCTION("""COMPUTED_VALUE"""),35.0)</f>
        <v>35</v>
      </c>
      <c r="C898" s="4" t="str">
        <f>IFERROR(__xludf.DUMMYFUNCTION("""COMPUTED_VALUE"""),"GSW")</f>
        <v>GSW</v>
      </c>
      <c r="D898" s="4" t="str">
        <f>IFERROR(__xludf.DUMMYFUNCTION("""COMPUTED_VALUE"""),"Draymond Green")</f>
        <v>Draymond Green</v>
      </c>
      <c r="E898" s="4" t="str">
        <f>IFERROR(__xludf.DUMMYFUNCTION("""COMPUTED_VALUE"""),"Michigan State")</f>
        <v>Michigan State</v>
      </c>
      <c r="F898" s="4">
        <f>IFERROR(__xludf.DUMMYFUNCTION("""COMPUTED_VALUE"""),14.0)</f>
        <v>14</v>
      </c>
      <c r="G898" s="4">
        <f>IFERROR(__xludf.DUMMYFUNCTION("""COMPUTED_VALUE"""),900.0)</f>
        <v>900</v>
      </c>
      <c r="H898" s="4">
        <f>IFERROR(__xludf.DUMMYFUNCTION("""COMPUTED_VALUE"""),25835.0)</f>
        <v>25835</v>
      </c>
      <c r="I898" s="4">
        <f>IFERROR(__xludf.DUMMYFUNCTION("""COMPUTED_VALUE"""),7822.0)</f>
        <v>7822</v>
      </c>
      <c r="J898" s="4">
        <f>IFERROR(__xludf.DUMMYFUNCTION("""COMPUTED_VALUE"""),6206.0)</f>
        <v>6206</v>
      </c>
      <c r="K898" s="4">
        <f>IFERROR(__xludf.DUMMYFUNCTION("""COMPUTED_VALUE"""),5057.0)</f>
        <v>5057</v>
      </c>
      <c r="L898" s="4">
        <f>IFERROR(__xludf.DUMMYFUNCTION("""COMPUTED_VALUE"""),0.448)</f>
        <v>0.448</v>
      </c>
      <c r="M898" s="4">
        <f>IFERROR(__xludf.DUMMYFUNCTION("""COMPUTED_VALUE"""),0.321)</f>
        <v>0.321</v>
      </c>
      <c r="N898" s="4">
        <f>IFERROR(__xludf.DUMMYFUNCTION("""COMPUTED_VALUE"""),0.709)</f>
        <v>0.709</v>
      </c>
      <c r="O898" s="4">
        <f>IFERROR(__xludf.DUMMYFUNCTION("""COMPUTED_VALUE"""),28.7)</f>
        <v>28.7</v>
      </c>
      <c r="P898" s="4">
        <f>IFERROR(__xludf.DUMMYFUNCTION("""COMPUTED_VALUE"""),8.7)</f>
        <v>8.7</v>
      </c>
      <c r="Q898" s="4">
        <f>IFERROR(__xludf.DUMMYFUNCTION("""COMPUTED_VALUE"""),6.9)</f>
        <v>6.9</v>
      </c>
      <c r="R898" s="4">
        <f>IFERROR(__xludf.DUMMYFUNCTION("""COMPUTED_VALUE"""),5.6)</f>
        <v>5.6</v>
      </c>
      <c r="S898" s="4">
        <f>IFERROR(__xludf.DUMMYFUNCTION("""COMPUTED_VALUE"""),64.8)</f>
        <v>64.8</v>
      </c>
      <c r="T898" s="4">
        <f>IFERROR(__xludf.DUMMYFUNCTION("""COMPUTED_VALUE"""),0.12)</f>
        <v>0.12</v>
      </c>
      <c r="U898" s="4">
        <f>IFERROR(__xludf.DUMMYFUNCTION("""COMPUTED_VALUE"""),2.2)</f>
        <v>2.2</v>
      </c>
      <c r="V898" s="4">
        <f>IFERROR(__xludf.DUMMYFUNCTION("""COMPUTED_VALUE"""),27.6)</f>
        <v>27.6</v>
      </c>
    </row>
    <row r="899">
      <c r="A899" s="4">
        <f>IFERROR(__xludf.DUMMYFUNCTION("""COMPUTED_VALUE"""),36.0)</f>
        <v>36</v>
      </c>
      <c r="B899" s="4">
        <f>IFERROR(__xludf.DUMMYFUNCTION("""COMPUTED_VALUE"""),36.0)</f>
        <v>36</v>
      </c>
      <c r="C899" s="4" t="str">
        <f>IFERROR(__xludf.DUMMYFUNCTION("""COMPUTED_VALUE"""),"SAC")</f>
        <v>SAC</v>
      </c>
      <c r="D899" s="4" t="str">
        <f>IFERROR(__xludf.DUMMYFUNCTION("""COMPUTED_VALUE"""),"Orlando Johnson")</f>
        <v>Orlando Johnson</v>
      </c>
      <c r="E899" s="4" t="str">
        <f>IFERROR(__xludf.DUMMYFUNCTION("""COMPUTED_VALUE"""),"UC Santa Barbara")</f>
        <v>UC Santa Barbara</v>
      </c>
      <c r="F899" s="4">
        <f>IFERROR(__xludf.DUMMYFUNCTION("""COMPUTED_VALUE"""),3.0)</f>
        <v>3</v>
      </c>
      <c r="G899" s="4">
        <f>IFERROR(__xludf.DUMMYFUNCTION("""COMPUTED_VALUE"""),103.0)</f>
        <v>103</v>
      </c>
      <c r="H899" s="4">
        <f>IFERROR(__xludf.DUMMYFUNCTION("""COMPUTED_VALUE"""),1112.0)</f>
        <v>1112</v>
      </c>
      <c r="I899" s="4">
        <f>IFERROR(__xludf.DUMMYFUNCTION("""COMPUTED_VALUE"""),329.0)</f>
        <v>329</v>
      </c>
      <c r="J899" s="4">
        <f>IFERROR(__xludf.DUMMYFUNCTION("""COMPUTED_VALUE"""),180.0)</f>
        <v>180</v>
      </c>
      <c r="K899" s="4">
        <f>IFERROR(__xludf.DUMMYFUNCTION("""COMPUTED_VALUE"""),69.0)</f>
        <v>69</v>
      </c>
      <c r="L899" s="4">
        <f>IFERROR(__xludf.DUMMYFUNCTION("""COMPUTED_VALUE"""),0.358)</f>
        <v>0.358</v>
      </c>
      <c r="M899" s="4">
        <f>IFERROR(__xludf.DUMMYFUNCTION("""COMPUTED_VALUE"""),0.311)</f>
        <v>0.311</v>
      </c>
      <c r="N899" s="4">
        <f>IFERROR(__xludf.DUMMYFUNCTION("""COMPUTED_VALUE"""),0.727)</f>
        <v>0.727</v>
      </c>
      <c r="O899" s="4">
        <f>IFERROR(__xludf.DUMMYFUNCTION("""COMPUTED_VALUE"""),10.8)</f>
        <v>10.8</v>
      </c>
      <c r="P899" s="4">
        <f>IFERROR(__xludf.DUMMYFUNCTION("""COMPUTED_VALUE"""),3.2)</f>
        <v>3.2</v>
      </c>
      <c r="Q899" s="4">
        <f>IFERROR(__xludf.DUMMYFUNCTION("""COMPUTED_VALUE"""),1.7)</f>
        <v>1.7</v>
      </c>
      <c r="R899" s="4">
        <f>IFERROR(__xludf.DUMMYFUNCTION("""COMPUTED_VALUE"""),0.7)</f>
        <v>0.7</v>
      </c>
      <c r="S899" s="4">
        <f>IFERROR(__xludf.DUMMYFUNCTION("""COMPUTED_VALUE"""),1.4)</f>
        <v>1.4</v>
      </c>
      <c r="T899" s="4">
        <f>IFERROR(__xludf.DUMMYFUNCTION("""COMPUTED_VALUE"""),0.059)</f>
        <v>0.059</v>
      </c>
      <c r="U899" s="4">
        <f>IFERROR(__xludf.DUMMYFUNCTION("""COMPUTED_VALUE"""),-2.4)</f>
        <v>-2.4</v>
      </c>
      <c r="V899" s="4">
        <f>IFERROR(__xludf.DUMMYFUNCTION("""COMPUTED_VALUE"""),-0.1)</f>
        <v>-0.1</v>
      </c>
    </row>
    <row r="900">
      <c r="A900" s="4">
        <f>IFERROR(__xludf.DUMMYFUNCTION("""COMPUTED_VALUE"""),37.0)</f>
        <v>37</v>
      </c>
      <c r="B900" s="4">
        <f>IFERROR(__xludf.DUMMYFUNCTION("""COMPUTED_VALUE"""),37.0)</f>
        <v>37</v>
      </c>
      <c r="C900" s="4" t="str">
        <f>IFERROR(__xludf.DUMMYFUNCTION("""COMPUTED_VALUE"""),"TOR")</f>
        <v>TOR</v>
      </c>
      <c r="D900" s="4" t="str">
        <f>IFERROR(__xludf.DUMMYFUNCTION("""COMPUTED_VALUE"""),"Quincy Acy")</f>
        <v>Quincy Acy</v>
      </c>
      <c r="E900" s="4" t="str">
        <f>IFERROR(__xludf.DUMMYFUNCTION("""COMPUTED_VALUE"""),"Baylor")</f>
        <v>Baylor</v>
      </c>
      <c r="F900" s="4">
        <f>IFERROR(__xludf.DUMMYFUNCTION("""COMPUTED_VALUE"""),7.0)</f>
        <v>7</v>
      </c>
      <c r="G900" s="4">
        <f>IFERROR(__xludf.DUMMYFUNCTION("""COMPUTED_VALUE"""),337.0)</f>
        <v>337</v>
      </c>
      <c r="H900" s="4">
        <f>IFERROR(__xludf.DUMMYFUNCTION("""COMPUTED_VALUE"""),5392.0)</f>
        <v>5392</v>
      </c>
      <c r="I900" s="4">
        <f>IFERROR(__xludf.DUMMYFUNCTION("""COMPUTED_VALUE"""),1642.0)</f>
        <v>1642</v>
      </c>
      <c r="J900" s="4">
        <f>IFERROR(__xludf.DUMMYFUNCTION("""COMPUTED_VALUE"""),1179.0)</f>
        <v>1179</v>
      </c>
      <c r="K900" s="4">
        <f>IFERROR(__xludf.DUMMYFUNCTION("""COMPUTED_VALUE"""),217.0)</f>
        <v>217</v>
      </c>
      <c r="L900" s="4">
        <f>IFERROR(__xludf.DUMMYFUNCTION("""COMPUTED_VALUE"""),0.444)</f>
        <v>0.444</v>
      </c>
      <c r="M900" s="4">
        <f>IFERROR(__xludf.DUMMYFUNCTION("""COMPUTED_VALUE"""),0.35)</f>
        <v>0.35</v>
      </c>
      <c r="N900" s="4">
        <f>IFERROR(__xludf.DUMMYFUNCTION("""COMPUTED_VALUE"""),0.759)</f>
        <v>0.759</v>
      </c>
      <c r="O900" s="4">
        <f>IFERROR(__xludf.DUMMYFUNCTION("""COMPUTED_VALUE"""),16.0)</f>
        <v>16</v>
      </c>
      <c r="P900" s="4">
        <f>IFERROR(__xludf.DUMMYFUNCTION("""COMPUTED_VALUE"""),4.9)</f>
        <v>4.9</v>
      </c>
      <c r="Q900" s="4">
        <f>IFERROR(__xludf.DUMMYFUNCTION("""COMPUTED_VALUE"""),3.5)</f>
        <v>3.5</v>
      </c>
      <c r="R900" s="4">
        <f>IFERROR(__xludf.DUMMYFUNCTION("""COMPUTED_VALUE"""),0.6)</f>
        <v>0.6</v>
      </c>
      <c r="S900" s="4">
        <f>IFERROR(__xludf.DUMMYFUNCTION("""COMPUTED_VALUE"""),8.7)</f>
        <v>8.7</v>
      </c>
      <c r="T900" s="4">
        <f>IFERROR(__xludf.DUMMYFUNCTION("""COMPUTED_VALUE"""),0.078)</f>
        <v>0.078</v>
      </c>
      <c r="U900" s="4">
        <f>IFERROR(__xludf.DUMMYFUNCTION("""COMPUTED_VALUE"""),-2.0)</f>
        <v>-2</v>
      </c>
      <c r="V900" s="4">
        <f>IFERROR(__xludf.DUMMYFUNCTION("""COMPUTED_VALUE"""),-0.1)</f>
        <v>-0.1</v>
      </c>
    </row>
    <row r="901">
      <c r="A901" s="4">
        <f>IFERROR(__xludf.DUMMYFUNCTION("""COMPUTED_VALUE"""),38.0)</f>
        <v>38</v>
      </c>
      <c r="B901" s="4">
        <f>IFERROR(__xludf.DUMMYFUNCTION("""COMPUTED_VALUE"""),38.0)</f>
        <v>38</v>
      </c>
      <c r="C901" s="4" t="str">
        <f>IFERROR(__xludf.DUMMYFUNCTION("""COMPUTED_VALUE"""),"DEN")</f>
        <v>DEN</v>
      </c>
      <c r="D901" s="4" t="str">
        <f>IFERROR(__xludf.DUMMYFUNCTION("""COMPUTED_VALUE"""),"Quincy Miller")</f>
        <v>Quincy Miller</v>
      </c>
      <c r="E901" s="4" t="str">
        <f>IFERROR(__xludf.DUMMYFUNCTION("""COMPUTED_VALUE"""),"Baylor")</f>
        <v>Baylor</v>
      </c>
      <c r="F901" s="4">
        <f>IFERROR(__xludf.DUMMYFUNCTION("""COMPUTED_VALUE"""),3.0)</f>
        <v>3</v>
      </c>
      <c r="G901" s="4">
        <f>IFERROR(__xludf.DUMMYFUNCTION("""COMPUTED_VALUE"""),69.0)</f>
        <v>69</v>
      </c>
      <c r="H901" s="4">
        <f>IFERROR(__xludf.DUMMYFUNCTION("""COMPUTED_VALUE"""),934.0)</f>
        <v>934</v>
      </c>
      <c r="I901" s="4">
        <f>IFERROR(__xludf.DUMMYFUNCTION("""COMPUTED_VALUE"""),295.0)</f>
        <v>295</v>
      </c>
      <c r="J901" s="4">
        <f>IFERROR(__xludf.DUMMYFUNCTION("""COMPUTED_VALUE"""),169.0)</f>
        <v>169</v>
      </c>
      <c r="K901" s="4">
        <f>IFERROR(__xludf.DUMMYFUNCTION("""COMPUTED_VALUE"""),37.0)</f>
        <v>37</v>
      </c>
      <c r="L901" s="4">
        <f>IFERROR(__xludf.DUMMYFUNCTION("""COMPUTED_VALUE"""),0.35)</f>
        <v>0.35</v>
      </c>
      <c r="M901" s="4">
        <f>IFERROR(__xludf.DUMMYFUNCTION("""COMPUTED_VALUE"""),0.292)</f>
        <v>0.292</v>
      </c>
      <c r="N901" s="4">
        <f>IFERROR(__xludf.DUMMYFUNCTION("""COMPUTED_VALUE"""),0.706)</f>
        <v>0.706</v>
      </c>
      <c r="O901" s="4">
        <f>IFERROR(__xludf.DUMMYFUNCTION("""COMPUTED_VALUE"""),13.5)</f>
        <v>13.5</v>
      </c>
      <c r="P901" s="4">
        <f>IFERROR(__xludf.DUMMYFUNCTION("""COMPUTED_VALUE"""),4.3)</f>
        <v>4.3</v>
      </c>
      <c r="Q901" s="4">
        <f>IFERROR(__xludf.DUMMYFUNCTION("""COMPUTED_VALUE"""),2.4)</f>
        <v>2.4</v>
      </c>
      <c r="R901" s="4">
        <f>IFERROR(__xludf.DUMMYFUNCTION("""COMPUTED_VALUE"""),0.5)</f>
        <v>0.5</v>
      </c>
      <c r="S901" s="4">
        <f>IFERROR(__xludf.DUMMYFUNCTION("""COMPUTED_VALUE"""),-0.1)</f>
        <v>-0.1</v>
      </c>
      <c r="T901" s="4">
        <f>IFERROR(__xludf.DUMMYFUNCTION("""COMPUTED_VALUE"""),-0.003)</f>
        <v>-0.003</v>
      </c>
      <c r="U901" s="4">
        <f>IFERROR(__xludf.DUMMYFUNCTION("""COMPUTED_VALUE"""),-3.9)</f>
        <v>-3.9</v>
      </c>
      <c r="V901" s="4">
        <f>IFERROR(__xludf.DUMMYFUNCTION("""COMPUTED_VALUE"""),-0.5)</f>
        <v>-0.5</v>
      </c>
    </row>
    <row r="902">
      <c r="A902" s="4">
        <f>IFERROR(__xludf.DUMMYFUNCTION("""COMPUTED_VALUE"""),39.0)</f>
        <v>39</v>
      </c>
      <c r="B902" s="4">
        <f>IFERROR(__xludf.DUMMYFUNCTION("""COMPUTED_VALUE"""),39.0)</f>
        <v>39</v>
      </c>
      <c r="C902" s="4" t="str">
        <f>IFERROR(__xludf.DUMMYFUNCTION("""COMPUTED_VALUE"""),"DET")</f>
        <v>DET</v>
      </c>
      <c r="D902" s="4" t="str">
        <f>IFERROR(__xludf.DUMMYFUNCTION("""COMPUTED_VALUE"""),"Khris Middleton")</f>
        <v>Khris Middleton</v>
      </c>
      <c r="E902" s="4" t="str">
        <f>IFERROR(__xludf.DUMMYFUNCTION("""COMPUTED_VALUE"""),"Texas A&amp;M")</f>
        <v>Texas A&amp;M</v>
      </c>
      <c r="F902" s="4">
        <f>IFERROR(__xludf.DUMMYFUNCTION("""COMPUTED_VALUE"""),14.0)</f>
        <v>14</v>
      </c>
      <c r="G902" s="4">
        <f>IFERROR(__xludf.DUMMYFUNCTION("""COMPUTED_VALUE"""),791.0)</f>
        <v>791</v>
      </c>
      <c r="H902" s="4">
        <f>IFERROR(__xludf.DUMMYFUNCTION("""COMPUTED_VALUE"""),24211.0)</f>
        <v>24211</v>
      </c>
      <c r="I902" s="4">
        <f>IFERROR(__xludf.DUMMYFUNCTION("""COMPUTED_VALUE"""),13052.0)</f>
        <v>13052</v>
      </c>
      <c r="J902" s="4">
        <f>IFERROR(__xludf.DUMMYFUNCTION("""COMPUTED_VALUE"""),3764.0)</f>
        <v>3764</v>
      </c>
      <c r="K902" s="4">
        <f>IFERROR(__xludf.DUMMYFUNCTION("""COMPUTED_VALUE"""),3118.0)</f>
        <v>3118</v>
      </c>
      <c r="L902" s="4">
        <f>IFERROR(__xludf.DUMMYFUNCTION("""COMPUTED_VALUE"""),0.46)</f>
        <v>0.46</v>
      </c>
      <c r="M902" s="4">
        <f>IFERROR(__xludf.DUMMYFUNCTION("""COMPUTED_VALUE"""),0.386)</f>
        <v>0.386</v>
      </c>
      <c r="N902" s="4">
        <f>IFERROR(__xludf.DUMMYFUNCTION("""COMPUTED_VALUE"""),0.877)</f>
        <v>0.877</v>
      </c>
      <c r="O902" s="4">
        <f>IFERROR(__xludf.DUMMYFUNCTION("""COMPUTED_VALUE"""),30.6)</f>
        <v>30.6</v>
      </c>
      <c r="P902" s="4">
        <f>IFERROR(__xludf.DUMMYFUNCTION("""COMPUTED_VALUE"""),16.5)</f>
        <v>16.5</v>
      </c>
      <c r="Q902" s="4">
        <f>IFERROR(__xludf.DUMMYFUNCTION("""COMPUTED_VALUE"""),4.8)</f>
        <v>4.8</v>
      </c>
      <c r="R902" s="4">
        <f>IFERROR(__xludf.DUMMYFUNCTION("""COMPUTED_VALUE"""),3.9)</f>
        <v>3.9</v>
      </c>
      <c r="S902" s="4">
        <f>IFERROR(__xludf.DUMMYFUNCTION("""COMPUTED_VALUE"""),58.1)</f>
        <v>58.1</v>
      </c>
      <c r="T902" s="4">
        <f>IFERROR(__xludf.DUMMYFUNCTION("""COMPUTED_VALUE"""),0.115)</f>
        <v>0.115</v>
      </c>
      <c r="U902" s="4">
        <f>IFERROR(__xludf.DUMMYFUNCTION("""COMPUTED_VALUE"""),0.7)</f>
        <v>0.7</v>
      </c>
      <c r="V902" s="4">
        <f>IFERROR(__xludf.DUMMYFUNCTION("""COMPUTED_VALUE"""),16.4)</f>
        <v>16.4</v>
      </c>
    </row>
    <row r="903">
      <c r="A903" s="4">
        <f>IFERROR(__xludf.DUMMYFUNCTION("""COMPUTED_VALUE"""),40.0)</f>
        <v>40</v>
      </c>
      <c r="B903" s="4">
        <f>IFERROR(__xludf.DUMMYFUNCTION("""COMPUTED_VALUE"""),40.0)</f>
        <v>40</v>
      </c>
      <c r="C903" s="4" t="str">
        <f>IFERROR(__xludf.DUMMYFUNCTION("""COMPUTED_VALUE"""),"POR")</f>
        <v>POR</v>
      </c>
      <c r="D903" s="4" t="str">
        <f>IFERROR(__xludf.DUMMYFUNCTION("""COMPUTED_VALUE"""),"Will Barton")</f>
        <v>Will Barton</v>
      </c>
      <c r="E903" s="4" t="str">
        <f>IFERROR(__xludf.DUMMYFUNCTION("""COMPUTED_VALUE"""),"Memphis")</f>
        <v>Memphis</v>
      </c>
      <c r="F903" s="4">
        <f>IFERROR(__xludf.DUMMYFUNCTION("""COMPUTED_VALUE"""),11.0)</f>
        <v>11</v>
      </c>
      <c r="G903" s="4">
        <f>IFERROR(__xludf.DUMMYFUNCTION("""COMPUTED_VALUE"""),679.0)</f>
        <v>679</v>
      </c>
      <c r="H903" s="4">
        <f>IFERROR(__xludf.DUMMYFUNCTION("""COMPUTED_VALUE"""),17116.0)</f>
        <v>17116</v>
      </c>
      <c r="I903" s="4">
        <f>IFERROR(__xludf.DUMMYFUNCTION("""COMPUTED_VALUE"""),7625.0)</f>
        <v>7625</v>
      </c>
      <c r="J903" s="4">
        <f>IFERROR(__xludf.DUMMYFUNCTION("""COMPUTED_VALUE"""),2792.0)</f>
        <v>2792</v>
      </c>
      <c r="K903" s="4">
        <f>IFERROR(__xludf.DUMMYFUNCTION("""COMPUTED_VALUE"""),1817.0)</f>
        <v>1817</v>
      </c>
      <c r="L903" s="4">
        <f>IFERROR(__xludf.DUMMYFUNCTION("""COMPUTED_VALUE"""),0.43)</f>
        <v>0.43</v>
      </c>
      <c r="M903" s="4">
        <f>IFERROR(__xludf.DUMMYFUNCTION("""COMPUTED_VALUE"""),0.355)</f>
        <v>0.355</v>
      </c>
      <c r="N903" s="4">
        <f>IFERROR(__xludf.DUMMYFUNCTION("""COMPUTED_VALUE"""),0.787)</f>
        <v>0.787</v>
      </c>
      <c r="O903" s="4">
        <f>IFERROR(__xludf.DUMMYFUNCTION("""COMPUTED_VALUE"""),25.2)</f>
        <v>25.2</v>
      </c>
      <c r="P903" s="4">
        <f>IFERROR(__xludf.DUMMYFUNCTION("""COMPUTED_VALUE"""),11.2)</f>
        <v>11.2</v>
      </c>
      <c r="Q903" s="4">
        <f>IFERROR(__xludf.DUMMYFUNCTION("""COMPUTED_VALUE"""),4.1)</f>
        <v>4.1</v>
      </c>
      <c r="R903" s="4">
        <f>IFERROR(__xludf.DUMMYFUNCTION("""COMPUTED_VALUE"""),2.7)</f>
        <v>2.7</v>
      </c>
      <c r="S903" s="4">
        <f>IFERROR(__xludf.DUMMYFUNCTION("""COMPUTED_VALUE"""),26.5)</f>
        <v>26.5</v>
      </c>
      <c r="T903" s="4">
        <f>IFERROR(__xludf.DUMMYFUNCTION("""COMPUTED_VALUE"""),0.074)</f>
        <v>0.074</v>
      </c>
      <c r="U903" s="4">
        <f>IFERROR(__xludf.DUMMYFUNCTION("""COMPUTED_VALUE"""),-0.4)</f>
        <v>-0.4</v>
      </c>
      <c r="V903" s="4">
        <f>IFERROR(__xludf.DUMMYFUNCTION("""COMPUTED_VALUE"""),6.9)</f>
        <v>6.9</v>
      </c>
    </row>
    <row r="904">
      <c r="A904" s="4">
        <f>IFERROR(__xludf.DUMMYFUNCTION("""COMPUTED_VALUE"""),41.0)</f>
        <v>41</v>
      </c>
      <c r="B904" s="4">
        <f>IFERROR(__xludf.DUMMYFUNCTION("""COMPUTED_VALUE"""),41.0)</f>
        <v>41</v>
      </c>
      <c r="C904" s="4" t="str">
        <f>IFERROR(__xludf.DUMMYFUNCTION("""COMPUTED_VALUE"""),"POR")</f>
        <v>POR</v>
      </c>
      <c r="D904" s="4" t="str">
        <f>IFERROR(__xludf.DUMMYFUNCTION("""COMPUTED_VALUE"""),"Tyshawn Taylor")</f>
        <v>Tyshawn Taylor</v>
      </c>
      <c r="E904" s="4" t="str">
        <f>IFERROR(__xludf.DUMMYFUNCTION("""COMPUTED_VALUE"""),"Kansas")</f>
        <v>Kansas</v>
      </c>
      <c r="F904" s="4">
        <f>IFERROR(__xludf.DUMMYFUNCTION("""COMPUTED_VALUE"""),2.0)</f>
        <v>2</v>
      </c>
      <c r="G904" s="4">
        <f>IFERROR(__xludf.DUMMYFUNCTION("""COMPUTED_VALUE"""),61.0)</f>
        <v>61</v>
      </c>
      <c r="H904" s="4">
        <f>IFERROR(__xludf.DUMMYFUNCTION("""COMPUTED_VALUE"""),491.0)</f>
        <v>491</v>
      </c>
      <c r="I904" s="4">
        <f>IFERROR(__xludf.DUMMYFUNCTION("""COMPUTED_VALUE"""),174.0)</f>
        <v>174</v>
      </c>
      <c r="J904" s="4">
        <f>IFERROR(__xludf.DUMMYFUNCTION("""COMPUTED_VALUE"""),33.0)</f>
        <v>33</v>
      </c>
      <c r="K904" s="4">
        <f>IFERROR(__xludf.DUMMYFUNCTION("""COMPUTED_VALUE"""),57.0)</f>
        <v>57</v>
      </c>
      <c r="L904" s="4">
        <f>IFERROR(__xludf.DUMMYFUNCTION("""COMPUTED_VALUE"""),0.354)</f>
        <v>0.354</v>
      </c>
      <c r="M904" s="4">
        <f>IFERROR(__xludf.DUMMYFUNCTION("""COMPUTED_VALUE"""),0.36)</f>
        <v>0.36</v>
      </c>
      <c r="N904" s="4">
        <f>IFERROR(__xludf.DUMMYFUNCTION("""COMPUTED_VALUE"""),0.684)</f>
        <v>0.684</v>
      </c>
      <c r="O904" s="4">
        <f>IFERROR(__xludf.DUMMYFUNCTION("""COMPUTED_VALUE"""),8.0)</f>
        <v>8</v>
      </c>
      <c r="P904" s="4">
        <f>IFERROR(__xludf.DUMMYFUNCTION("""COMPUTED_VALUE"""),2.9)</f>
        <v>2.9</v>
      </c>
      <c r="Q904" s="4">
        <f>IFERROR(__xludf.DUMMYFUNCTION("""COMPUTED_VALUE"""),0.5)</f>
        <v>0.5</v>
      </c>
      <c r="R904" s="4">
        <f>IFERROR(__xludf.DUMMYFUNCTION("""COMPUTED_VALUE"""),0.9)</f>
        <v>0.9</v>
      </c>
      <c r="S904" s="4">
        <f>IFERROR(__xludf.DUMMYFUNCTION("""COMPUTED_VALUE"""),-0.9)</f>
        <v>-0.9</v>
      </c>
      <c r="T904" s="4">
        <f>IFERROR(__xludf.DUMMYFUNCTION("""COMPUTED_VALUE"""),-0.088)</f>
        <v>-0.088</v>
      </c>
      <c r="U904" s="4">
        <f>IFERROR(__xludf.DUMMYFUNCTION("""COMPUTED_VALUE"""),-8.1)</f>
        <v>-8.1</v>
      </c>
      <c r="V904" s="4">
        <f>IFERROR(__xludf.DUMMYFUNCTION("""COMPUTED_VALUE"""),-0.8)</f>
        <v>-0.8</v>
      </c>
    </row>
    <row r="905">
      <c r="A905" s="4">
        <f>IFERROR(__xludf.DUMMYFUNCTION("""COMPUTED_VALUE"""),42.0)</f>
        <v>42</v>
      </c>
      <c r="B905" s="4">
        <f>IFERROR(__xludf.DUMMYFUNCTION("""COMPUTED_VALUE"""),42.0)</f>
        <v>42</v>
      </c>
      <c r="C905" s="4" t="str">
        <f>IFERROR(__xludf.DUMMYFUNCTION("""COMPUTED_VALUE"""),"MIL")</f>
        <v>MIL</v>
      </c>
      <c r="D905" s="4" t="str">
        <f>IFERROR(__xludf.DUMMYFUNCTION("""COMPUTED_VALUE"""),"Doron Lamb")</f>
        <v>Doron Lamb</v>
      </c>
      <c r="E905" s="4" t="str">
        <f>IFERROR(__xludf.DUMMYFUNCTION("""COMPUTED_VALUE"""),"Kentucky")</f>
        <v>Kentucky</v>
      </c>
      <c r="F905" s="4">
        <f>IFERROR(__xludf.DUMMYFUNCTION("""COMPUTED_VALUE"""),2.0)</f>
        <v>2</v>
      </c>
      <c r="G905" s="4">
        <f>IFERROR(__xludf.DUMMYFUNCTION("""COMPUTED_VALUE"""),100.0)</f>
        <v>100</v>
      </c>
      <c r="H905" s="4">
        <f>IFERROR(__xludf.DUMMYFUNCTION("""COMPUTED_VALUE"""),1272.0)</f>
        <v>1272</v>
      </c>
      <c r="I905" s="4">
        <f>IFERROR(__xludf.DUMMYFUNCTION("""COMPUTED_VALUE"""),345.0)</f>
        <v>345</v>
      </c>
      <c r="J905" s="4">
        <f>IFERROR(__xludf.DUMMYFUNCTION("""COMPUTED_VALUE"""),95.0)</f>
        <v>95</v>
      </c>
      <c r="K905" s="4">
        <f>IFERROR(__xludf.DUMMYFUNCTION("""COMPUTED_VALUE"""),75.0)</f>
        <v>75</v>
      </c>
      <c r="L905" s="4">
        <f>IFERROR(__xludf.DUMMYFUNCTION("""COMPUTED_VALUE"""),0.381)</f>
        <v>0.381</v>
      </c>
      <c r="M905" s="4">
        <f>IFERROR(__xludf.DUMMYFUNCTION("""COMPUTED_VALUE"""),0.394)</f>
        <v>0.394</v>
      </c>
      <c r="N905" s="4">
        <f>IFERROR(__xludf.DUMMYFUNCTION("""COMPUTED_VALUE"""),0.7)</f>
        <v>0.7</v>
      </c>
      <c r="O905" s="4">
        <f>IFERROR(__xludf.DUMMYFUNCTION("""COMPUTED_VALUE"""),12.7)</f>
        <v>12.7</v>
      </c>
      <c r="P905" s="4">
        <f>IFERROR(__xludf.DUMMYFUNCTION("""COMPUTED_VALUE"""),3.5)</f>
        <v>3.5</v>
      </c>
      <c r="Q905" s="4">
        <f>IFERROR(__xludf.DUMMYFUNCTION("""COMPUTED_VALUE"""),1.0)</f>
        <v>1</v>
      </c>
      <c r="R905" s="4">
        <f>IFERROR(__xludf.DUMMYFUNCTION("""COMPUTED_VALUE"""),0.8)</f>
        <v>0.8</v>
      </c>
      <c r="S905" s="4">
        <f>IFERROR(__xludf.DUMMYFUNCTION("""COMPUTED_VALUE"""),0.1)</f>
        <v>0.1</v>
      </c>
      <c r="T905" s="4">
        <f>IFERROR(__xludf.DUMMYFUNCTION("""COMPUTED_VALUE"""),0.005)</f>
        <v>0.005</v>
      </c>
      <c r="U905" s="4">
        <f>IFERROR(__xludf.DUMMYFUNCTION("""COMPUTED_VALUE"""),-5.8)</f>
        <v>-5.8</v>
      </c>
      <c r="V905" s="4">
        <f>IFERROR(__xludf.DUMMYFUNCTION("""COMPUTED_VALUE"""),-1.2)</f>
        <v>-1.2</v>
      </c>
    </row>
    <row r="906">
      <c r="A906" s="4">
        <f>IFERROR(__xludf.DUMMYFUNCTION("""COMPUTED_VALUE"""),43.0)</f>
        <v>43</v>
      </c>
      <c r="B906" s="4">
        <f>IFERROR(__xludf.DUMMYFUNCTION("""COMPUTED_VALUE"""),43.0)</f>
        <v>43</v>
      </c>
      <c r="C906" s="4" t="str">
        <f>IFERROR(__xludf.DUMMYFUNCTION("""COMPUTED_VALUE"""),"ATL")</f>
        <v>ATL</v>
      </c>
      <c r="D906" s="4" t="str">
        <f>IFERROR(__xludf.DUMMYFUNCTION("""COMPUTED_VALUE"""),"Mike Scott")</f>
        <v>Mike Scott</v>
      </c>
      <c r="E906" s="4" t="str">
        <f>IFERROR(__xludf.DUMMYFUNCTION("""COMPUTED_VALUE"""),"Virginia")</f>
        <v>Virginia</v>
      </c>
      <c r="F906" s="4">
        <f>IFERROR(__xludf.DUMMYFUNCTION("""COMPUTED_VALUE"""),9.0)</f>
        <v>9</v>
      </c>
      <c r="G906" s="4">
        <f>IFERROR(__xludf.DUMMYFUNCTION("""COMPUTED_VALUE"""),555.0)</f>
        <v>555</v>
      </c>
      <c r="H906" s="4">
        <f>IFERROR(__xludf.DUMMYFUNCTION("""COMPUTED_VALUE"""),9182.0)</f>
        <v>9182</v>
      </c>
      <c r="I906" s="4">
        <f>IFERROR(__xludf.DUMMYFUNCTION("""COMPUTED_VALUE"""),3736.0)</f>
        <v>3736</v>
      </c>
      <c r="J906" s="4">
        <f>IFERROR(__xludf.DUMMYFUNCTION("""COMPUTED_VALUE"""),1727.0)</f>
        <v>1727</v>
      </c>
      <c r="K906" s="4">
        <f>IFERROR(__xludf.DUMMYFUNCTION("""COMPUTED_VALUE"""),499.0)</f>
        <v>499</v>
      </c>
      <c r="L906" s="4">
        <f>IFERROR(__xludf.DUMMYFUNCTION("""COMPUTED_VALUE"""),0.453)</f>
        <v>0.453</v>
      </c>
      <c r="M906" s="4">
        <f>IFERROR(__xludf.DUMMYFUNCTION("""COMPUTED_VALUE"""),0.362)</f>
        <v>0.362</v>
      </c>
      <c r="N906" s="4">
        <f>IFERROR(__xludf.DUMMYFUNCTION("""COMPUTED_VALUE"""),0.757)</f>
        <v>0.757</v>
      </c>
      <c r="O906" s="4">
        <f>IFERROR(__xludf.DUMMYFUNCTION("""COMPUTED_VALUE"""),16.5)</f>
        <v>16.5</v>
      </c>
      <c r="P906" s="4">
        <f>IFERROR(__xludf.DUMMYFUNCTION("""COMPUTED_VALUE"""),6.7)</f>
        <v>6.7</v>
      </c>
      <c r="Q906" s="4">
        <f>IFERROR(__xludf.DUMMYFUNCTION("""COMPUTED_VALUE"""),3.1)</f>
        <v>3.1</v>
      </c>
      <c r="R906" s="4">
        <f>IFERROR(__xludf.DUMMYFUNCTION("""COMPUTED_VALUE"""),0.9)</f>
        <v>0.9</v>
      </c>
      <c r="S906" s="4">
        <f>IFERROR(__xludf.DUMMYFUNCTION("""COMPUTED_VALUE"""),16.8)</f>
        <v>16.8</v>
      </c>
      <c r="T906" s="4">
        <f>IFERROR(__xludf.DUMMYFUNCTION("""COMPUTED_VALUE"""),0.088)</f>
        <v>0.088</v>
      </c>
      <c r="U906" s="4">
        <f>IFERROR(__xludf.DUMMYFUNCTION("""COMPUTED_VALUE"""),-1.7)</f>
        <v>-1.7</v>
      </c>
      <c r="V906" s="4">
        <f>IFERROR(__xludf.DUMMYFUNCTION("""COMPUTED_VALUE"""),0.6)</f>
        <v>0.6</v>
      </c>
    </row>
    <row r="907">
      <c r="A907" s="4">
        <f>IFERROR(__xludf.DUMMYFUNCTION("""COMPUTED_VALUE"""),44.0)</f>
        <v>44</v>
      </c>
      <c r="B907" s="4">
        <f>IFERROR(__xludf.DUMMYFUNCTION("""COMPUTED_VALUE"""),44.0)</f>
        <v>44</v>
      </c>
      <c r="C907" s="4" t="str">
        <f>IFERROR(__xludf.DUMMYFUNCTION("""COMPUTED_VALUE"""),"DET")</f>
        <v>DET</v>
      </c>
      <c r="D907" s="4" t="str">
        <f>IFERROR(__xludf.DUMMYFUNCTION("""COMPUTED_VALUE"""),"Kim English")</f>
        <v>Kim English</v>
      </c>
      <c r="E907" s="4" t="str">
        <f>IFERROR(__xludf.DUMMYFUNCTION("""COMPUTED_VALUE"""),"Missouri")</f>
        <v>Missouri</v>
      </c>
      <c r="F907" s="4">
        <f>IFERROR(__xludf.DUMMYFUNCTION("""COMPUTED_VALUE"""),1.0)</f>
        <v>1</v>
      </c>
      <c r="G907" s="4">
        <f>IFERROR(__xludf.DUMMYFUNCTION("""COMPUTED_VALUE"""),41.0)</f>
        <v>41</v>
      </c>
      <c r="H907" s="4">
        <f>IFERROR(__xludf.DUMMYFUNCTION("""COMPUTED_VALUE"""),407.0)</f>
        <v>407</v>
      </c>
      <c r="I907" s="4">
        <f>IFERROR(__xludf.DUMMYFUNCTION("""COMPUTED_VALUE"""),119.0)</f>
        <v>119</v>
      </c>
      <c r="J907" s="4">
        <f>IFERROR(__xludf.DUMMYFUNCTION("""COMPUTED_VALUE"""),37.0)</f>
        <v>37</v>
      </c>
      <c r="K907" s="4">
        <f>IFERROR(__xludf.DUMMYFUNCTION("""COMPUTED_VALUE"""),26.0)</f>
        <v>26</v>
      </c>
      <c r="L907" s="4">
        <f>IFERROR(__xludf.DUMMYFUNCTION("""COMPUTED_VALUE"""),0.375)</f>
        <v>0.375</v>
      </c>
      <c r="M907" s="4">
        <f>IFERROR(__xludf.DUMMYFUNCTION("""COMPUTED_VALUE"""),0.28)</f>
        <v>0.28</v>
      </c>
      <c r="N907" s="4">
        <f>IFERROR(__xludf.DUMMYFUNCTION("""COMPUTED_VALUE"""),0.724)</f>
        <v>0.724</v>
      </c>
      <c r="O907" s="4">
        <f>IFERROR(__xludf.DUMMYFUNCTION("""COMPUTED_VALUE"""),9.9)</f>
        <v>9.9</v>
      </c>
      <c r="P907" s="4">
        <f>IFERROR(__xludf.DUMMYFUNCTION("""COMPUTED_VALUE"""),2.9)</f>
        <v>2.9</v>
      </c>
      <c r="Q907" s="4">
        <f>IFERROR(__xludf.DUMMYFUNCTION("""COMPUTED_VALUE"""),0.9)</f>
        <v>0.9</v>
      </c>
      <c r="R907" s="4">
        <f>IFERROR(__xludf.DUMMYFUNCTION("""COMPUTED_VALUE"""),0.6)</f>
        <v>0.6</v>
      </c>
      <c r="S907" s="4">
        <f>IFERROR(__xludf.DUMMYFUNCTION("""COMPUTED_VALUE"""),0.2)</f>
        <v>0.2</v>
      </c>
      <c r="T907" s="4">
        <f>IFERROR(__xludf.DUMMYFUNCTION("""COMPUTED_VALUE"""),0.021)</f>
        <v>0.021</v>
      </c>
      <c r="U907" s="4">
        <f>IFERROR(__xludf.DUMMYFUNCTION("""COMPUTED_VALUE"""),-4.2)</f>
        <v>-4.2</v>
      </c>
      <c r="V907" s="4">
        <f>IFERROR(__xludf.DUMMYFUNCTION("""COMPUTED_VALUE"""),-0.2)</f>
        <v>-0.2</v>
      </c>
    </row>
    <row r="908">
      <c r="A908" s="4">
        <f>IFERROR(__xludf.DUMMYFUNCTION("""COMPUTED_VALUE"""),45.0)</f>
        <v>45</v>
      </c>
      <c r="B908" s="4">
        <f>IFERROR(__xludf.DUMMYFUNCTION("""COMPUTED_VALUE"""),45.0)</f>
        <v>45</v>
      </c>
      <c r="C908" s="4" t="str">
        <f>IFERROR(__xludf.DUMMYFUNCTION("""COMPUTED_VALUE"""),"PHI")</f>
        <v>PHI</v>
      </c>
      <c r="D908" s="4" t="str">
        <f>IFERROR(__xludf.DUMMYFUNCTION("""COMPUTED_VALUE"""),"Justin Hamilton")</f>
        <v>Justin Hamilton</v>
      </c>
      <c r="E908" s="4" t="str">
        <f>IFERROR(__xludf.DUMMYFUNCTION("""COMPUTED_VALUE"""),"LSU")</f>
        <v>LSU</v>
      </c>
      <c r="F908" s="4">
        <f>IFERROR(__xludf.DUMMYFUNCTION("""COMPUTED_VALUE"""),3.0)</f>
        <v>3</v>
      </c>
      <c r="G908" s="4">
        <f>IFERROR(__xludf.DUMMYFUNCTION("""COMPUTED_VALUE"""),113.0)</f>
        <v>113</v>
      </c>
      <c r="H908" s="4">
        <f>IFERROR(__xludf.DUMMYFUNCTION("""COMPUTED_VALUE"""),1961.0)</f>
        <v>1961</v>
      </c>
      <c r="I908" s="4">
        <f>IFERROR(__xludf.DUMMYFUNCTION("""COMPUTED_VALUE"""),687.0)</f>
        <v>687</v>
      </c>
      <c r="J908" s="4">
        <f>IFERROR(__xludf.DUMMYFUNCTION("""COMPUTED_VALUE"""),403.0)</f>
        <v>403</v>
      </c>
      <c r="K908" s="4">
        <f>IFERROR(__xludf.DUMMYFUNCTION("""COMPUTED_VALUE"""),91.0)</f>
        <v>91</v>
      </c>
      <c r="L908" s="4">
        <f>IFERROR(__xludf.DUMMYFUNCTION("""COMPUTED_VALUE"""),0.464)</f>
        <v>0.464</v>
      </c>
      <c r="M908" s="4">
        <f>IFERROR(__xludf.DUMMYFUNCTION("""COMPUTED_VALUE"""),0.309)</f>
        <v>0.309</v>
      </c>
      <c r="N908" s="4">
        <f>IFERROR(__xludf.DUMMYFUNCTION("""COMPUTED_VALUE"""),0.798)</f>
        <v>0.798</v>
      </c>
      <c r="O908" s="4">
        <f>IFERROR(__xludf.DUMMYFUNCTION("""COMPUTED_VALUE"""),17.4)</f>
        <v>17.4</v>
      </c>
      <c r="P908" s="4">
        <f>IFERROR(__xludf.DUMMYFUNCTION("""COMPUTED_VALUE"""),6.1)</f>
        <v>6.1</v>
      </c>
      <c r="Q908" s="4">
        <f>IFERROR(__xludf.DUMMYFUNCTION("""COMPUTED_VALUE"""),3.6)</f>
        <v>3.6</v>
      </c>
      <c r="R908" s="4">
        <f>IFERROR(__xludf.DUMMYFUNCTION("""COMPUTED_VALUE"""),0.8)</f>
        <v>0.8</v>
      </c>
      <c r="S908" s="4">
        <f>IFERROR(__xludf.DUMMYFUNCTION("""COMPUTED_VALUE"""),3.7)</f>
        <v>3.7</v>
      </c>
      <c r="T908" s="4">
        <f>IFERROR(__xludf.DUMMYFUNCTION("""COMPUTED_VALUE"""),0.091)</f>
        <v>0.091</v>
      </c>
      <c r="U908" s="4">
        <f>IFERROR(__xludf.DUMMYFUNCTION("""COMPUTED_VALUE"""),-0.9)</f>
        <v>-0.9</v>
      </c>
      <c r="V908" s="4">
        <f>IFERROR(__xludf.DUMMYFUNCTION("""COMPUTED_VALUE"""),0.5)</f>
        <v>0.5</v>
      </c>
    </row>
    <row r="909">
      <c r="A909" s="4">
        <f>IFERROR(__xludf.DUMMYFUNCTION("""COMPUTED_VALUE"""),46.0)</f>
        <v>46</v>
      </c>
      <c r="B909" s="4">
        <f>IFERROR(__xludf.DUMMYFUNCTION("""COMPUTED_VALUE"""),46.0)</f>
        <v>46</v>
      </c>
      <c r="C909" s="4" t="str">
        <f>IFERROR(__xludf.DUMMYFUNCTION("""COMPUTED_VALUE"""),"NOH")</f>
        <v>NOH</v>
      </c>
      <c r="D909" s="4" t="str">
        <f>IFERROR(__xludf.DUMMYFUNCTION("""COMPUTED_VALUE"""),"Darius Miller")</f>
        <v>Darius Miller</v>
      </c>
      <c r="E909" s="4" t="str">
        <f>IFERROR(__xludf.DUMMYFUNCTION("""COMPUTED_VALUE"""),"Kentucky")</f>
        <v>Kentucky</v>
      </c>
      <c r="F909" s="4">
        <f>IFERROR(__xludf.DUMMYFUNCTION("""COMPUTED_VALUE"""),6.0)</f>
        <v>6</v>
      </c>
      <c r="G909" s="4">
        <f>IFERROR(__xludf.DUMMYFUNCTION("""COMPUTED_VALUE"""),271.0)</f>
        <v>271</v>
      </c>
      <c r="H909" s="4">
        <f>IFERROR(__xludf.DUMMYFUNCTION("""COMPUTED_VALUE"""),5358.0)</f>
        <v>5358</v>
      </c>
      <c r="I909" s="4">
        <f>IFERROR(__xludf.DUMMYFUNCTION("""COMPUTED_VALUE"""),1597.0)</f>
        <v>1597</v>
      </c>
      <c r="J909" s="4">
        <f>IFERROR(__xludf.DUMMYFUNCTION("""COMPUTED_VALUE"""),447.0)</f>
        <v>447</v>
      </c>
      <c r="K909" s="4">
        <f>IFERROR(__xludf.DUMMYFUNCTION("""COMPUTED_VALUE"""),367.0)</f>
        <v>367</v>
      </c>
      <c r="L909" s="4">
        <f>IFERROR(__xludf.DUMMYFUNCTION("""COMPUTED_VALUE"""),0.419)</f>
        <v>0.419</v>
      </c>
      <c r="M909" s="4">
        <f>IFERROR(__xludf.DUMMYFUNCTION("""COMPUTED_VALUE"""),0.383)</f>
        <v>0.383</v>
      </c>
      <c r="N909" s="4">
        <f>IFERROR(__xludf.DUMMYFUNCTION("""COMPUTED_VALUE"""),0.84)</f>
        <v>0.84</v>
      </c>
      <c r="O909" s="4">
        <f>IFERROR(__xludf.DUMMYFUNCTION("""COMPUTED_VALUE"""),19.8)</f>
        <v>19.8</v>
      </c>
      <c r="P909" s="4">
        <f>IFERROR(__xludf.DUMMYFUNCTION("""COMPUTED_VALUE"""),5.9)</f>
        <v>5.9</v>
      </c>
      <c r="Q909" s="4">
        <f>IFERROR(__xludf.DUMMYFUNCTION("""COMPUTED_VALUE"""),1.6)</f>
        <v>1.6</v>
      </c>
      <c r="R909" s="4">
        <f>IFERROR(__xludf.DUMMYFUNCTION("""COMPUTED_VALUE"""),1.4)</f>
        <v>1.4</v>
      </c>
      <c r="S909" s="4">
        <f>IFERROR(__xludf.DUMMYFUNCTION("""COMPUTED_VALUE"""),6.5)</f>
        <v>6.5</v>
      </c>
      <c r="T909" s="4">
        <f>IFERROR(__xludf.DUMMYFUNCTION("""COMPUTED_VALUE"""),0.059)</f>
        <v>0.059</v>
      </c>
      <c r="U909" s="4">
        <f>IFERROR(__xludf.DUMMYFUNCTION("""COMPUTED_VALUE"""),-2.3)</f>
        <v>-2.3</v>
      </c>
      <c r="V909" s="4">
        <f>IFERROR(__xludf.DUMMYFUNCTION("""COMPUTED_VALUE"""),-0.4)</f>
        <v>-0.4</v>
      </c>
    </row>
    <row r="910">
      <c r="A910" s="4">
        <f>IFERROR(__xludf.DUMMYFUNCTION("""COMPUTED_VALUE"""),47.0)</f>
        <v>47</v>
      </c>
      <c r="B910" s="4">
        <f>IFERROR(__xludf.DUMMYFUNCTION("""COMPUTED_VALUE"""),47.0)</f>
        <v>47</v>
      </c>
      <c r="C910" s="4" t="str">
        <f>IFERROR(__xludf.DUMMYFUNCTION("""COMPUTED_VALUE"""),"UTA")</f>
        <v>UTA</v>
      </c>
      <c r="D910" s="4" t="str">
        <f>IFERROR(__xludf.DUMMYFUNCTION("""COMPUTED_VALUE"""),"Kevin Murphy")</f>
        <v>Kevin Murphy</v>
      </c>
      <c r="E910" s="4" t="str">
        <f>IFERROR(__xludf.DUMMYFUNCTION("""COMPUTED_VALUE"""),"Tennessee Technological University")</f>
        <v>Tennessee Technological University</v>
      </c>
      <c r="F910" s="4">
        <f>IFERROR(__xludf.DUMMYFUNCTION("""COMPUTED_VALUE"""),1.0)</f>
        <v>1</v>
      </c>
      <c r="G910" s="4">
        <f>IFERROR(__xludf.DUMMYFUNCTION("""COMPUTED_VALUE"""),17.0)</f>
        <v>17</v>
      </c>
      <c r="H910" s="4">
        <f>IFERROR(__xludf.DUMMYFUNCTION("""COMPUTED_VALUE"""),52.0)</f>
        <v>52</v>
      </c>
      <c r="I910" s="4">
        <f>IFERROR(__xludf.DUMMYFUNCTION("""COMPUTED_VALUE"""),15.0)</f>
        <v>15</v>
      </c>
      <c r="J910" s="4">
        <f>IFERROR(__xludf.DUMMYFUNCTION("""COMPUTED_VALUE"""),4.0)</f>
        <v>4</v>
      </c>
      <c r="K910" s="4">
        <f>IFERROR(__xludf.DUMMYFUNCTION("""COMPUTED_VALUE"""),2.0)</f>
        <v>2</v>
      </c>
      <c r="L910" s="4">
        <f>IFERROR(__xludf.DUMMYFUNCTION("""COMPUTED_VALUE"""),0.25)</f>
        <v>0.25</v>
      </c>
      <c r="M910" s="4">
        <f>IFERROR(__xludf.DUMMYFUNCTION("""COMPUTED_VALUE"""),0.2)</f>
        <v>0.2</v>
      </c>
      <c r="N910" s="4"/>
      <c r="O910" s="4">
        <f>IFERROR(__xludf.DUMMYFUNCTION("""COMPUTED_VALUE"""),3.1)</f>
        <v>3.1</v>
      </c>
      <c r="P910" s="4">
        <f>IFERROR(__xludf.DUMMYFUNCTION("""COMPUTED_VALUE"""),0.9)</f>
        <v>0.9</v>
      </c>
      <c r="Q910" s="4">
        <f>IFERROR(__xludf.DUMMYFUNCTION("""COMPUTED_VALUE"""),0.2)</f>
        <v>0.2</v>
      </c>
      <c r="R910" s="4">
        <f>IFERROR(__xludf.DUMMYFUNCTION("""COMPUTED_VALUE"""),0.1)</f>
        <v>0.1</v>
      </c>
      <c r="S910" s="4">
        <f>IFERROR(__xludf.DUMMYFUNCTION("""COMPUTED_VALUE"""),-0.3)</f>
        <v>-0.3</v>
      </c>
      <c r="T910" s="4">
        <f>IFERROR(__xludf.DUMMYFUNCTION("""COMPUTED_VALUE"""),-0.272)</f>
        <v>-0.272</v>
      </c>
      <c r="U910" s="4">
        <f>IFERROR(__xludf.DUMMYFUNCTION("""COMPUTED_VALUE"""),-16.8)</f>
        <v>-16.8</v>
      </c>
      <c r="V910" s="4">
        <f>IFERROR(__xludf.DUMMYFUNCTION("""COMPUTED_VALUE"""),-0.2)</f>
        <v>-0.2</v>
      </c>
    </row>
    <row r="911">
      <c r="A911" s="4">
        <f>IFERROR(__xludf.DUMMYFUNCTION("""COMPUTED_VALUE"""),48.0)</f>
        <v>48</v>
      </c>
      <c r="B911" s="4">
        <f>IFERROR(__xludf.DUMMYFUNCTION("""COMPUTED_VALUE"""),48.0)</f>
        <v>48</v>
      </c>
      <c r="C911" s="4" t="str">
        <f>IFERROR(__xludf.DUMMYFUNCTION("""COMPUTED_VALUE"""),"NYK")</f>
        <v>NYK</v>
      </c>
      <c r="D911" s="4" t="str">
        <f>IFERROR(__xludf.DUMMYFUNCTION("""COMPUTED_VALUE"""),"Kostas Papanikolaou")</f>
        <v>Kostas Papanikolaou</v>
      </c>
      <c r="E911" s="4"/>
      <c r="F911" s="4">
        <f>IFERROR(__xludf.DUMMYFUNCTION("""COMPUTED_VALUE"""),2.0)</f>
        <v>2</v>
      </c>
      <c r="G911" s="4">
        <f>IFERROR(__xludf.DUMMYFUNCTION("""COMPUTED_VALUE"""),69.0)</f>
        <v>69</v>
      </c>
      <c r="H911" s="4">
        <f>IFERROR(__xludf.DUMMYFUNCTION("""COMPUTED_VALUE"""),1089.0)</f>
        <v>1089</v>
      </c>
      <c r="I911" s="4">
        <f>IFERROR(__xludf.DUMMYFUNCTION("""COMPUTED_VALUE"""),249.0)</f>
        <v>249</v>
      </c>
      <c r="J911" s="4">
        <f>IFERROR(__xludf.DUMMYFUNCTION("""COMPUTED_VALUE"""),158.0)</f>
        <v>158</v>
      </c>
      <c r="K911" s="4">
        <f>IFERROR(__xludf.DUMMYFUNCTION("""COMPUTED_VALUE"""),101.0)</f>
        <v>101</v>
      </c>
      <c r="L911" s="4">
        <f>IFERROR(__xludf.DUMMYFUNCTION("""COMPUTED_VALUE"""),0.354)</f>
        <v>0.354</v>
      </c>
      <c r="M911" s="4">
        <f>IFERROR(__xludf.DUMMYFUNCTION("""COMPUTED_VALUE"""),0.297)</f>
        <v>0.297</v>
      </c>
      <c r="N911" s="4">
        <f>IFERROR(__xludf.DUMMYFUNCTION("""COMPUTED_VALUE"""),0.688)</f>
        <v>0.688</v>
      </c>
      <c r="O911" s="4">
        <f>IFERROR(__xludf.DUMMYFUNCTION("""COMPUTED_VALUE"""),15.8)</f>
        <v>15.8</v>
      </c>
      <c r="P911" s="4">
        <f>IFERROR(__xludf.DUMMYFUNCTION("""COMPUTED_VALUE"""),3.6)</f>
        <v>3.6</v>
      </c>
      <c r="Q911" s="4">
        <f>IFERROR(__xludf.DUMMYFUNCTION("""COMPUTED_VALUE"""),2.3)</f>
        <v>2.3</v>
      </c>
      <c r="R911" s="4">
        <f>IFERROR(__xludf.DUMMYFUNCTION("""COMPUTED_VALUE"""),1.5)</f>
        <v>1.5</v>
      </c>
      <c r="S911" s="4">
        <f>IFERROR(__xludf.DUMMYFUNCTION("""COMPUTED_VALUE"""),0.3)</f>
        <v>0.3</v>
      </c>
      <c r="T911" s="4">
        <f>IFERROR(__xludf.DUMMYFUNCTION("""COMPUTED_VALUE"""),0.015)</f>
        <v>0.015</v>
      </c>
      <c r="U911" s="4">
        <f>IFERROR(__xludf.DUMMYFUNCTION("""COMPUTED_VALUE"""),-2.7)</f>
        <v>-2.7</v>
      </c>
      <c r="V911" s="4">
        <f>IFERROR(__xludf.DUMMYFUNCTION("""COMPUTED_VALUE"""),-0.2)</f>
        <v>-0.2</v>
      </c>
    </row>
    <row r="912">
      <c r="A912" s="4">
        <f>IFERROR(__xludf.DUMMYFUNCTION("""COMPUTED_VALUE"""),49.0)</f>
        <v>49</v>
      </c>
      <c r="B912" s="4">
        <f>IFERROR(__xludf.DUMMYFUNCTION("""COMPUTED_VALUE"""),49.0)</f>
        <v>49</v>
      </c>
      <c r="C912" s="4" t="str">
        <f>IFERROR(__xludf.DUMMYFUNCTION("""COMPUTED_VALUE"""),"ORL")</f>
        <v>ORL</v>
      </c>
      <c r="D912" s="4" t="str">
        <f>IFERROR(__xludf.DUMMYFUNCTION("""COMPUTED_VALUE"""),"Kyle O'Quinn")</f>
        <v>Kyle O'Quinn</v>
      </c>
      <c r="E912" s="4" t="str">
        <f>IFERROR(__xludf.DUMMYFUNCTION("""COMPUTED_VALUE"""),"Norfolk State")</f>
        <v>Norfolk State</v>
      </c>
      <c r="F912" s="4">
        <f>IFERROR(__xludf.DUMMYFUNCTION("""COMPUTED_VALUE"""),8.0)</f>
        <v>8</v>
      </c>
      <c r="G912" s="4">
        <f>IFERROR(__xludf.DUMMYFUNCTION("""COMPUTED_VALUE"""),472.0)</f>
        <v>472</v>
      </c>
      <c r="H912" s="4">
        <f>IFERROR(__xludf.DUMMYFUNCTION("""COMPUTED_VALUE"""),6714.0)</f>
        <v>6714</v>
      </c>
      <c r="I912" s="4">
        <f>IFERROR(__xludf.DUMMYFUNCTION("""COMPUTED_VALUE"""),2568.0)</f>
        <v>2568</v>
      </c>
      <c r="J912" s="4">
        <f>IFERROR(__xludf.DUMMYFUNCTION("""COMPUTED_VALUE"""),2166.0)</f>
        <v>2166</v>
      </c>
      <c r="K912" s="4">
        <f>IFERROR(__xludf.DUMMYFUNCTION("""COMPUTED_VALUE"""),643.0)</f>
        <v>643</v>
      </c>
      <c r="L912" s="4">
        <f>IFERROR(__xludf.DUMMYFUNCTION("""COMPUTED_VALUE"""),0.517)</f>
        <v>0.517</v>
      </c>
      <c r="M912" s="4">
        <f>IFERROR(__xludf.DUMMYFUNCTION("""COMPUTED_VALUE"""),0.218)</f>
        <v>0.218</v>
      </c>
      <c r="N912" s="4">
        <f>IFERROR(__xludf.DUMMYFUNCTION("""COMPUTED_VALUE"""),0.74)</f>
        <v>0.74</v>
      </c>
      <c r="O912" s="4">
        <f>IFERROR(__xludf.DUMMYFUNCTION("""COMPUTED_VALUE"""),14.2)</f>
        <v>14.2</v>
      </c>
      <c r="P912" s="4">
        <f>IFERROR(__xludf.DUMMYFUNCTION("""COMPUTED_VALUE"""),5.4)</f>
        <v>5.4</v>
      </c>
      <c r="Q912" s="4">
        <f>IFERROR(__xludf.DUMMYFUNCTION("""COMPUTED_VALUE"""),4.6)</f>
        <v>4.6</v>
      </c>
      <c r="R912" s="4">
        <f>IFERROR(__xludf.DUMMYFUNCTION("""COMPUTED_VALUE"""),1.4)</f>
        <v>1.4</v>
      </c>
      <c r="S912" s="4">
        <f>IFERROR(__xludf.DUMMYFUNCTION("""COMPUTED_VALUE"""),17.8)</f>
        <v>17.8</v>
      </c>
      <c r="T912" s="4">
        <f>IFERROR(__xludf.DUMMYFUNCTION("""COMPUTED_VALUE"""),0.128)</f>
        <v>0.128</v>
      </c>
      <c r="U912" s="4">
        <f>IFERROR(__xludf.DUMMYFUNCTION("""COMPUTED_VALUE"""),0.9)</f>
        <v>0.9</v>
      </c>
      <c r="V912" s="4">
        <f>IFERROR(__xludf.DUMMYFUNCTION("""COMPUTED_VALUE"""),5.0)</f>
        <v>5</v>
      </c>
    </row>
    <row r="913">
      <c r="A913" s="4">
        <f>IFERROR(__xludf.DUMMYFUNCTION("""COMPUTED_VALUE"""),50.0)</f>
        <v>50</v>
      </c>
      <c r="B913" s="4">
        <f>IFERROR(__xludf.DUMMYFUNCTION("""COMPUTED_VALUE"""),50.0)</f>
        <v>50</v>
      </c>
      <c r="C913" s="4" t="str">
        <f>IFERROR(__xludf.DUMMYFUNCTION("""COMPUTED_VALUE"""),"DEN")</f>
        <v>DEN</v>
      </c>
      <c r="D913" s="4" t="str">
        <f>IFERROR(__xludf.DUMMYFUNCTION("""COMPUTED_VALUE"""),"İzzet Türkyılmaz")</f>
        <v>İzzet Türkyılmaz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>
        <f>IFERROR(__xludf.DUMMYFUNCTION("""COMPUTED_VALUE"""),51.0)</f>
        <v>51</v>
      </c>
      <c r="B914" s="4">
        <f>IFERROR(__xludf.DUMMYFUNCTION("""COMPUTED_VALUE"""),51.0)</f>
        <v>51</v>
      </c>
      <c r="C914" s="4" t="str">
        <f>IFERROR(__xludf.DUMMYFUNCTION("""COMPUTED_VALUE"""),"BOS")</f>
        <v>BOS</v>
      </c>
      <c r="D914" s="4" t="str">
        <f>IFERROR(__xludf.DUMMYFUNCTION("""COMPUTED_VALUE"""),"Kris Joseph")</f>
        <v>Kris Joseph</v>
      </c>
      <c r="E914" s="4" t="str">
        <f>IFERROR(__xludf.DUMMYFUNCTION("""COMPUTED_VALUE"""),"Syracuse")</f>
        <v>Syracuse</v>
      </c>
      <c r="F914" s="4">
        <f>IFERROR(__xludf.DUMMYFUNCTION("""COMPUTED_VALUE"""),1.0)</f>
        <v>1</v>
      </c>
      <c r="G914" s="4">
        <f>IFERROR(__xludf.DUMMYFUNCTION("""COMPUTED_VALUE"""),10.0)</f>
        <v>10</v>
      </c>
      <c r="H914" s="4">
        <f>IFERROR(__xludf.DUMMYFUNCTION("""COMPUTED_VALUE"""),54.0)</f>
        <v>54</v>
      </c>
      <c r="I914" s="4">
        <f>IFERROR(__xludf.DUMMYFUNCTION("""COMPUTED_VALUE"""),9.0)</f>
        <v>9</v>
      </c>
      <c r="J914" s="4">
        <f>IFERROR(__xludf.DUMMYFUNCTION("""COMPUTED_VALUE"""),7.0)</f>
        <v>7</v>
      </c>
      <c r="K914" s="4">
        <f>IFERROR(__xludf.DUMMYFUNCTION("""COMPUTED_VALUE"""),1.0)</f>
        <v>1</v>
      </c>
      <c r="L914" s="4">
        <f>IFERROR(__xludf.DUMMYFUNCTION("""COMPUTED_VALUE"""),0.143)</f>
        <v>0.143</v>
      </c>
      <c r="M914" s="4">
        <f>IFERROR(__xludf.DUMMYFUNCTION("""COMPUTED_VALUE"""),0.0)</f>
        <v>0</v>
      </c>
      <c r="N914" s="4">
        <f>IFERROR(__xludf.DUMMYFUNCTION("""COMPUTED_VALUE"""),0.625)</f>
        <v>0.625</v>
      </c>
      <c r="O914" s="4">
        <f>IFERROR(__xludf.DUMMYFUNCTION("""COMPUTED_VALUE"""),5.4)</f>
        <v>5.4</v>
      </c>
      <c r="P914" s="4">
        <f>IFERROR(__xludf.DUMMYFUNCTION("""COMPUTED_VALUE"""),0.9)</f>
        <v>0.9</v>
      </c>
      <c r="Q914" s="4">
        <f>IFERROR(__xludf.DUMMYFUNCTION("""COMPUTED_VALUE"""),0.7)</f>
        <v>0.7</v>
      </c>
      <c r="R914" s="4">
        <f>IFERROR(__xludf.DUMMYFUNCTION("""COMPUTED_VALUE"""),0.1)</f>
        <v>0.1</v>
      </c>
      <c r="S914" s="4">
        <f>IFERROR(__xludf.DUMMYFUNCTION("""COMPUTED_VALUE"""),-0.1)</f>
        <v>-0.1</v>
      </c>
      <c r="T914" s="4">
        <f>IFERROR(__xludf.DUMMYFUNCTION("""COMPUTED_VALUE"""),-0.127)</f>
        <v>-0.127</v>
      </c>
      <c r="U914" s="4">
        <f>IFERROR(__xludf.DUMMYFUNCTION("""COMPUTED_VALUE"""),-9.9)</f>
        <v>-9.9</v>
      </c>
      <c r="V914" s="4">
        <f>IFERROR(__xludf.DUMMYFUNCTION("""COMPUTED_VALUE"""),-0.1)</f>
        <v>-0.1</v>
      </c>
    </row>
    <row r="915">
      <c r="A915" s="4">
        <f>IFERROR(__xludf.DUMMYFUNCTION("""COMPUTED_VALUE"""),52.0)</f>
        <v>52</v>
      </c>
      <c r="B915" s="4">
        <f>IFERROR(__xludf.DUMMYFUNCTION("""COMPUTED_VALUE"""),52.0)</f>
        <v>52</v>
      </c>
      <c r="C915" s="4" t="str">
        <f>IFERROR(__xludf.DUMMYFUNCTION("""COMPUTED_VALUE"""),"GSW")</f>
        <v>GSW</v>
      </c>
      <c r="D915" s="4" t="str">
        <f>IFERROR(__xludf.DUMMYFUNCTION("""COMPUTED_VALUE"""),"Ognjen Kuzmić")</f>
        <v>Ognjen Kuzmić</v>
      </c>
      <c r="E915" s="4"/>
      <c r="F915" s="4">
        <f>IFERROR(__xludf.DUMMYFUNCTION("""COMPUTED_VALUE"""),2.0)</f>
        <v>2</v>
      </c>
      <c r="G915" s="4">
        <f>IFERROR(__xludf.DUMMYFUNCTION("""COMPUTED_VALUE"""),37.0)</f>
        <v>37</v>
      </c>
      <c r="H915" s="4">
        <f>IFERROR(__xludf.DUMMYFUNCTION("""COMPUTED_VALUE"""),164.0)</f>
        <v>164</v>
      </c>
      <c r="I915" s="4">
        <f>IFERROR(__xludf.DUMMYFUNCTION("""COMPUTED_VALUE"""),35.0)</f>
        <v>35</v>
      </c>
      <c r="J915" s="4">
        <f>IFERROR(__xludf.DUMMYFUNCTION("""COMPUTED_VALUE"""),38.0)</f>
        <v>38</v>
      </c>
      <c r="K915" s="4">
        <f>IFERROR(__xludf.DUMMYFUNCTION("""COMPUTED_VALUE"""),8.0)</f>
        <v>8</v>
      </c>
      <c r="L915" s="4">
        <f>IFERROR(__xludf.DUMMYFUNCTION("""COMPUTED_VALUE"""),0.52)</f>
        <v>0.52</v>
      </c>
      <c r="M915" s="4"/>
      <c r="N915" s="4">
        <f>IFERROR(__xludf.DUMMYFUNCTION("""COMPUTED_VALUE"""),0.6)</f>
        <v>0.6</v>
      </c>
      <c r="O915" s="4">
        <f>IFERROR(__xludf.DUMMYFUNCTION("""COMPUTED_VALUE"""),4.4)</f>
        <v>4.4</v>
      </c>
      <c r="P915" s="4">
        <f>IFERROR(__xludf.DUMMYFUNCTION("""COMPUTED_VALUE"""),0.9)</f>
        <v>0.9</v>
      </c>
      <c r="Q915" s="4">
        <f>IFERROR(__xludf.DUMMYFUNCTION("""COMPUTED_VALUE"""),1.0)</f>
        <v>1</v>
      </c>
      <c r="R915" s="4">
        <f>IFERROR(__xludf.DUMMYFUNCTION("""COMPUTED_VALUE"""),0.2)</f>
        <v>0.2</v>
      </c>
      <c r="S915" s="4">
        <f>IFERROR(__xludf.DUMMYFUNCTION("""COMPUTED_VALUE"""),0.2)</f>
        <v>0.2</v>
      </c>
      <c r="T915" s="4">
        <f>IFERROR(__xludf.DUMMYFUNCTION("""COMPUTED_VALUE"""),0.061)</f>
        <v>0.061</v>
      </c>
      <c r="U915" s="4">
        <f>IFERROR(__xludf.DUMMYFUNCTION("""COMPUTED_VALUE"""),-5.6)</f>
        <v>-5.6</v>
      </c>
      <c r="V915" s="4">
        <f>IFERROR(__xludf.DUMMYFUNCTION("""COMPUTED_VALUE"""),-0.2)</f>
        <v>-0.2</v>
      </c>
    </row>
    <row r="916">
      <c r="A916" s="4">
        <f>IFERROR(__xludf.DUMMYFUNCTION("""COMPUTED_VALUE"""),53.0)</f>
        <v>53</v>
      </c>
      <c r="B916" s="4">
        <f>IFERROR(__xludf.DUMMYFUNCTION("""COMPUTED_VALUE"""),53.0)</f>
        <v>53</v>
      </c>
      <c r="C916" s="4" t="str">
        <f>IFERROR(__xludf.DUMMYFUNCTION("""COMPUTED_VALUE"""),"LAC")</f>
        <v>LAC</v>
      </c>
      <c r="D916" s="4" t="str">
        <f>IFERROR(__xludf.DUMMYFUNCTION("""COMPUTED_VALUE"""),"Furkan Aldemir")</f>
        <v>Furkan Aldemir</v>
      </c>
      <c r="E916" s="4"/>
      <c r="F916" s="4">
        <f>IFERROR(__xludf.DUMMYFUNCTION("""COMPUTED_VALUE"""),1.0)</f>
        <v>1</v>
      </c>
      <c r="G916" s="4">
        <f>IFERROR(__xludf.DUMMYFUNCTION("""COMPUTED_VALUE"""),41.0)</f>
        <v>41</v>
      </c>
      <c r="H916" s="4">
        <f>IFERROR(__xludf.DUMMYFUNCTION("""COMPUTED_VALUE"""),540.0)</f>
        <v>540</v>
      </c>
      <c r="I916" s="4">
        <f>IFERROR(__xludf.DUMMYFUNCTION("""COMPUTED_VALUE"""),93.0)</f>
        <v>93</v>
      </c>
      <c r="J916" s="4">
        <f>IFERROR(__xludf.DUMMYFUNCTION("""COMPUTED_VALUE"""),176.0)</f>
        <v>176</v>
      </c>
      <c r="K916" s="4">
        <f>IFERROR(__xludf.DUMMYFUNCTION("""COMPUTED_VALUE"""),28.0)</f>
        <v>28</v>
      </c>
      <c r="L916" s="4">
        <f>IFERROR(__xludf.DUMMYFUNCTION("""COMPUTED_VALUE"""),0.513)</f>
        <v>0.513</v>
      </c>
      <c r="M916" s="4">
        <f>IFERROR(__xludf.DUMMYFUNCTION("""COMPUTED_VALUE"""),0.0)</f>
        <v>0</v>
      </c>
      <c r="N916" s="4">
        <f>IFERROR(__xludf.DUMMYFUNCTION("""COMPUTED_VALUE"""),0.481)</f>
        <v>0.481</v>
      </c>
      <c r="O916" s="4">
        <f>IFERROR(__xludf.DUMMYFUNCTION("""COMPUTED_VALUE"""),13.2)</f>
        <v>13.2</v>
      </c>
      <c r="P916" s="4">
        <f>IFERROR(__xludf.DUMMYFUNCTION("""COMPUTED_VALUE"""),2.3)</f>
        <v>2.3</v>
      </c>
      <c r="Q916" s="4">
        <f>IFERROR(__xludf.DUMMYFUNCTION("""COMPUTED_VALUE"""),4.3)</f>
        <v>4.3</v>
      </c>
      <c r="R916" s="4">
        <f>IFERROR(__xludf.DUMMYFUNCTION("""COMPUTED_VALUE"""),0.7)</f>
        <v>0.7</v>
      </c>
      <c r="S916" s="4">
        <f>IFERROR(__xludf.DUMMYFUNCTION("""COMPUTED_VALUE"""),1.4)</f>
        <v>1.4</v>
      </c>
      <c r="T916" s="4">
        <f>IFERROR(__xludf.DUMMYFUNCTION("""COMPUTED_VALUE"""),0.122)</f>
        <v>0.122</v>
      </c>
      <c r="U916" s="4">
        <f>IFERROR(__xludf.DUMMYFUNCTION("""COMPUTED_VALUE"""),-3.6)</f>
        <v>-3.6</v>
      </c>
      <c r="V916" s="4">
        <f>IFERROR(__xludf.DUMMYFUNCTION("""COMPUTED_VALUE"""),-0.2)</f>
        <v>-0.2</v>
      </c>
    </row>
    <row r="917">
      <c r="A917" s="4">
        <f>IFERROR(__xludf.DUMMYFUNCTION("""COMPUTED_VALUE"""),54.0)</f>
        <v>54</v>
      </c>
      <c r="B917" s="4">
        <f>IFERROR(__xludf.DUMMYFUNCTION("""COMPUTED_VALUE"""),54.0)</f>
        <v>54</v>
      </c>
      <c r="C917" s="4" t="str">
        <f>IFERROR(__xludf.DUMMYFUNCTION("""COMPUTED_VALUE"""),"PHI")</f>
        <v>PHI</v>
      </c>
      <c r="D917" s="4" t="str">
        <f>IFERROR(__xludf.DUMMYFUNCTION("""COMPUTED_VALUE"""),"Tornike Shengelia")</f>
        <v>Tornike Shengelia</v>
      </c>
      <c r="E917" s="4"/>
      <c r="F917" s="4">
        <f>IFERROR(__xludf.DUMMYFUNCTION("""COMPUTED_VALUE"""),2.0)</f>
        <v>2</v>
      </c>
      <c r="G917" s="4">
        <f>IFERROR(__xludf.DUMMYFUNCTION("""COMPUTED_VALUE"""),45.0)</f>
        <v>45</v>
      </c>
      <c r="H917" s="4">
        <f>IFERROR(__xludf.DUMMYFUNCTION("""COMPUTED_VALUE"""),247.0)</f>
        <v>247</v>
      </c>
      <c r="I917" s="4">
        <f>IFERROR(__xludf.DUMMYFUNCTION("""COMPUTED_VALUE"""),59.0)</f>
        <v>59</v>
      </c>
      <c r="J917" s="4">
        <f>IFERROR(__xludf.DUMMYFUNCTION("""COMPUTED_VALUE"""),39.0)</f>
        <v>39</v>
      </c>
      <c r="K917" s="4">
        <f>IFERROR(__xludf.DUMMYFUNCTION("""COMPUTED_VALUE"""),17.0)</f>
        <v>17</v>
      </c>
      <c r="L917" s="4">
        <f>IFERROR(__xludf.DUMMYFUNCTION("""COMPUTED_VALUE"""),0.451)</f>
        <v>0.451</v>
      </c>
      <c r="M917" s="4">
        <f>IFERROR(__xludf.DUMMYFUNCTION("""COMPUTED_VALUE"""),0.125)</f>
        <v>0.125</v>
      </c>
      <c r="N917" s="4">
        <f>IFERROR(__xludf.DUMMYFUNCTION("""COMPUTED_VALUE"""),0.5)</f>
        <v>0.5</v>
      </c>
      <c r="O917" s="4">
        <f>IFERROR(__xludf.DUMMYFUNCTION("""COMPUTED_VALUE"""),5.5)</f>
        <v>5.5</v>
      </c>
      <c r="P917" s="4">
        <f>IFERROR(__xludf.DUMMYFUNCTION("""COMPUTED_VALUE"""),1.3)</f>
        <v>1.3</v>
      </c>
      <c r="Q917" s="4">
        <f>IFERROR(__xludf.DUMMYFUNCTION("""COMPUTED_VALUE"""),0.9)</f>
        <v>0.9</v>
      </c>
      <c r="R917" s="4">
        <f>IFERROR(__xludf.DUMMYFUNCTION("""COMPUTED_VALUE"""),0.4)</f>
        <v>0.4</v>
      </c>
      <c r="S917" s="4">
        <f>IFERROR(__xludf.DUMMYFUNCTION("""COMPUTED_VALUE"""),-0.2)</f>
        <v>-0.2</v>
      </c>
      <c r="T917" s="4">
        <f>IFERROR(__xludf.DUMMYFUNCTION("""COMPUTED_VALUE"""),-0.032)</f>
        <v>-0.032</v>
      </c>
      <c r="U917" s="4">
        <f>IFERROR(__xludf.DUMMYFUNCTION("""COMPUTED_VALUE"""),-7.0)</f>
        <v>-7</v>
      </c>
      <c r="V917" s="4">
        <f>IFERROR(__xludf.DUMMYFUNCTION("""COMPUTED_VALUE"""),-0.3)</f>
        <v>-0.3</v>
      </c>
    </row>
    <row r="918">
      <c r="A918" s="4">
        <f>IFERROR(__xludf.DUMMYFUNCTION("""COMPUTED_VALUE"""),55.0)</f>
        <v>55</v>
      </c>
      <c r="B918" s="4">
        <f>IFERROR(__xludf.DUMMYFUNCTION("""COMPUTED_VALUE"""),55.0)</f>
        <v>55</v>
      </c>
      <c r="C918" s="4" t="str">
        <f>IFERROR(__xludf.DUMMYFUNCTION("""COMPUTED_VALUE"""),"DAL")</f>
        <v>DAL</v>
      </c>
      <c r="D918" s="4" t="str">
        <f>IFERROR(__xludf.DUMMYFUNCTION("""COMPUTED_VALUE"""),"Darius Johnson-Odom")</f>
        <v>Darius Johnson-Odom</v>
      </c>
      <c r="E918" s="4" t="str">
        <f>IFERROR(__xludf.DUMMYFUNCTION("""COMPUTED_VALUE"""),"Marquette")</f>
        <v>Marquette</v>
      </c>
      <c r="F918" s="4">
        <f>IFERROR(__xludf.DUMMYFUNCTION("""COMPUTED_VALUE"""),2.0)</f>
        <v>2</v>
      </c>
      <c r="G918" s="4">
        <f>IFERROR(__xludf.DUMMYFUNCTION("""COMPUTED_VALUE"""),7.0)</f>
        <v>7</v>
      </c>
      <c r="H918" s="4">
        <f>IFERROR(__xludf.DUMMYFUNCTION("""COMPUTED_VALUE"""),21.0)</f>
        <v>21</v>
      </c>
      <c r="I918" s="4">
        <f>IFERROR(__xludf.DUMMYFUNCTION("""COMPUTED_VALUE"""),0.0)</f>
        <v>0</v>
      </c>
      <c r="J918" s="4">
        <f>IFERROR(__xludf.DUMMYFUNCTION("""COMPUTED_VALUE"""),6.0)</f>
        <v>6</v>
      </c>
      <c r="K918" s="4">
        <f>IFERROR(__xludf.DUMMYFUNCTION("""COMPUTED_VALUE"""),2.0)</f>
        <v>2</v>
      </c>
      <c r="L918" s="4">
        <f>IFERROR(__xludf.DUMMYFUNCTION("""COMPUTED_VALUE"""),0.0)</f>
        <v>0</v>
      </c>
      <c r="M918" s="4">
        <f>IFERROR(__xludf.DUMMYFUNCTION("""COMPUTED_VALUE"""),0.0)</f>
        <v>0</v>
      </c>
      <c r="N918" s="4">
        <f>IFERROR(__xludf.DUMMYFUNCTION("""COMPUTED_VALUE"""),0.0)</f>
        <v>0</v>
      </c>
      <c r="O918" s="4">
        <f>IFERROR(__xludf.DUMMYFUNCTION("""COMPUTED_VALUE"""),3.0)</f>
        <v>3</v>
      </c>
      <c r="P918" s="4">
        <f>IFERROR(__xludf.DUMMYFUNCTION("""COMPUTED_VALUE"""),0.0)</f>
        <v>0</v>
      </c>
      <c r="Q918" s="4">
        <f>IFERROR(__xludf.DUMMYFUNCTION("""COMPUTED_VALUE"""),0.9)</f>
        <v>0.9</v>
      </c>
      <c r="R918" s="4">
        <f>IFERROR(__xludf.DUMMYFUNCTION("""COMPUTED_VALUE"""),0.3)</f>
        <v>0.3</v>
      </c>
      <c r="S918" s="4">
        <f>IFERROR(__xludf.DUMMYFUNCTION("""COMPUTED_VALUE"""),-0.3)</f>
        <v>-0.3</v>
      </c>
      <c r="T918" s="4">
        <f>IFERROR(__xludf.DUMMYFUNCTION("""COMPUTED_VALUE"""),-0.597)</f>
        <v>-0.597</v>
      </c>
      <c r="U918" s="4">
        <f>IFERROR(__xludf.DUMMYFUNCTION("""COMPUTED_VALUE"""),-25.5)</f>
        <v>-25.5</v>
      </c>
      <c r="V918" s="4">
        <f>IFERROR(__xludf.DUMMYFUNCTION("""COMPUTED_VALUE"""),-0.1)</f>
        <v>-0.1</v>
      </c>
    </row>
    <row r="919">
      <c r="A919" s="4">
        <f>IFERROR(__xludf.DUMMYFUNCTION("""COMPUTED_VALUE"""),56.0)</f>
        <v>56</v>
      </c>
      <c r="B919" s="4">
        <f>IFERROR(__xludf.DUMMYFUNCTION("""COMPUTED_VALUE"""),56.0)</f>
        <v>56</v>
      </c>
      <c r="C919" s="4" t="str">
        <f>IFERROR(__xludf.DUMMYFUNCTION("""COMPUTED_VALUE"""),"TOR")</f>
        <v>TOR</v>
      </c>
      <c r="D919" s="4" t="str">
        <f>IFERROR(__xludf.DUMMYFUNCTION("""COMPUTED_VALUE"""),"Tomislav Zubčić")</f>
        <v>Tomislav Zubčić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>
        <f>IFERROR(__xludf.DUMMYFUNCTION("""COMPUTED_VALUE"""),57.0)</f>
        <v>57</v>
      </c>
      <c r="B920" s="4">
        <f>IFERROR(__xludf.DUMMYFUNCTION("""COMPUTED_VALUE"""),57.0)</f>
        <v>57</v>
      </c>
      <c r="C920" s="4" t="str">
        <f>IFERROR(__xludf.DUMMYFUNCTION("""COMPUTED_VALUE"""),"NJN")</f>
        <v>NJN</v>
      </c>
      <c r="D920" s="4" t="str">
        <f>IFERROR(__xludf.DUMMYFUNCTION("""COMPUTED_VALUE"""),"İlkan Karaman")</f>
        <v>İlkan Karaman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>
        <f>IFERROR(__xludf.DUMMYFUNCTION("""COMPUTED_VALUE"""),58.0)</f>
        <v>58</v>
      </c>
      <c r="B921" s="4">
        <f>IFERROR(__xludf.DUMMYFUNCTION("""COMPUTED_VALUE"""),58.0)</f>
        <v>58</v>
      </c>
      <c r="C921" s="4" t="str">
        <f>IFERROR(__xludf.DUMMYFUNCTION("""COMPUTED_VALUE"""),"MIN")</f>
        <v>MIN</v>
      </c>
      <c r="D921" s="4" t="str">
        <f>IFERROR(__xludf.DUMMYFUNCTION("""COMPUTED_VALUE"""),"Robbie Hummel")</f>
        <v>Robbie Hummel</v>
      </c>
      <c r="E921" s="4" t="str">
        <f>IFERROR(__xludf.DUMMYFUNCTION("""COMPUTED_VALUE"""),"Purdue")</f>
        <v>Purdue</v>
      </c>
      <c r="F921" s="4">
        <f>IFERROR(__xludf.DUMMYFUNCTION("""COMPUTED_VALUE"""),2.0)</f>
        <v>2</v>
      </c>
      <c r="G921" s="4">
        <f>IFERROR(__xludf.DUMMYFUNCTION("""COMPUTED_VALUE"""),98.0)</f>
        <v>98</v>
      </c>
      <c r="H921" s="4">
        <f>IFERROR(__xludf.DUMMYFUNCTION("""COMPUTED_VALUE"""),1397.0)</f>
        <v>1397</v>
      </c>
      <c r="I921" s="4">
        <f>IFERROR(__xludf.DUMMYFUNCTION("""COMPUTED_VALUE"""),379.0)</f>
        <v>379</v>
      </c>
      <c r="J921" s="4">
        <f>IFERROR(__xludf.DUMMYFUNCTION("""COMPUTED_VALUE"""),266.0)</f>
        <v>266</v>
      </c>
      <c r="K921" s="4">
        <f>IFERROR(__xludf.DUMMYFUNCTION("""COMPUTED_VALUE"""),50.0)</f>
        <v>50</v>
      </c>
      <c r="L921" s="4">
        <f>IFERROR(__xludf.DUMMYFUNCTION("""COMPUTED_VALUE"""),0.418)</f>
        <v>0.418</v>
      </c>
      <c r="M921" s="4">
        <f>IFERROR(__xludf.DUMMYFUNCTION("""COMPUTED_VALUE"""),0.343)</f>
        <v>0.343</v>
      </c>
      <c r="N921" s="4">
        <f>IFERROR(__xludf.DUMMYFUNCTION("""COMPUTED_VALUE"""),0.867)</f>
        <v>0.867</v>
      </c>
      <c r="O921" s="4">
        <f>IFERROR(__xludf.DUMMYFUNCTION("""COMPUTED_VALUE"""),14.3)</f>
        <v>14.3</v>
      </c>
      <c r="P921" s="4">
        <f>IFERROR(__xludf.DUMMYFUNCTION("""COMPUTED_VALUE"""),3.9)</f>
        <v>3.9</v>
      </c>
      <c r="Q921" s="4">
        <f>IFERROR(__xludf.DUMMYFUNCTION("""COMPUTED_VALUE"""),2.7)</f>
        <v>2.7</v>
      </c>
      <c r="R921" s="4">
        <f>IFERROR(__xludf.DUMMYFUNCTION("""COMPUTED_VALUE"""),0.5)</f>
        <v>0.5</v>
      </c>
      <c r="S921" s="4">
        <f>IFERROR(__xludf.DUMMYFUNCTION("""COMPUTED_VALUE"""),1.9)</f>
        <v>1.9</v>
      </c>
      <c r="T921" s="4">
        <f>IFERROR(__xludf.DUMMYFUNCTION("""COMPUTED_VALUE"""),0.066)</f>
        <v>0.066</v>
      </c>
      <c r="U921" s="4">
        <f>IFERROR(__xludf.DUMMYFUNCTION("""COMPUTED_VALUE"""),-3.1)</f>
        <v>-3.1</v>
      </c>
      <c r="V921" s="4">
        <f>IFERROR(__xludf.DUMMYFUNCTION("""COMPUTED_VALUE"""),-0.4)</f>
        <v>-0.4</v>
      </c>
    </row>
    <row r="922">
      <c r="A922" s="4">
        <f>IFERROR(__xludf.DUMMYFUNCTION("""COMPUTED_VALUE"""),59.0)</f>
        <v>59</v>
      </c>
      <c r="B922" s="4">
        <f>IFERROR(__xludf.DUMMYFUNCTION("""COMPUTED_VALUE"""),59.0)</f>
        <v>59</v>
      </c>
      <c r="C922" s="4" t="str">
        <f>IFERROR(__xludf.DUMMYFUNCTION("""COMPUTED_VALUE"""),"SAS")</f>
        <v>SAS</v>
      </c>
      <c r="D922" s="4" t="str">
        <f>IFERROR(__xludf.DUMMYFUNCTION("""COMPUTED_VALUE"""),"Marcus Denmon")</f>
        <v>Marcus Denmon</v>
      </c>
      <c r="E922" s="4" t="str">
        <f>IFERROR(__xludf.DUMMYFUNCTION("""COMPUTED_VALUE"""),"Missouri")</f>
        <v>Missouri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>
        <f>IFERROR(__xludf.DUMMYFUNCTION("""COMPUTED_VALUE"""),60.0)</f>
        <v>60</v>
      </c>
      <c r="B923" s="4">
        <f>IFERROR(__xludf.DUMMYFUNCTION("""COMPUTED_VALUE"""),60.0)</f>
        <v>60</v>
      </c>
      <c r="C923" s="4" t="str">
        <f>IFERROR(__xludf.DUMMYFUNCTION("""COMPUTED_VALUE"""),"LAL")</f>
        <v>LAL</v>
      </c>
      <c r="D923" s="4" t="str">
        <f>IFERROR(__xludf.DUMMYFUNCTION("""COMPUTED_VALUE"""),"Robert Sacre")</f>
        <v>Robert Sacre</v>
      </c>
      <c r="E923" s="4" t="str">
        <f>IFERROR(__xludf.DUMMYFUNCTION("""COMPUTED_VALUE"""),"Gonzaga")</f>
        <v>Gonzaga</v>
      </c>
      <c r="F923" s="4">
        <f>IFERROR(__xludf.DUMMYFUNCTION("""COMPUTED_VALUE"""),4.0)</f>
        <v>4</v>
      </c>
      <c r="G923" s="4">
        <f>IFERROR(__xludf.DUMMYFUNCTION("""COMPUTED_VALUE"""),189.0)</f>
        <v>189</v>
      </c>
      <c r="H923" s="4">
        <f>IFERROR(__xludf.DUMMYFUNCTION("""COMPUTED_VALUE"""),2745.0)</f>
        <v>2745</v>
      </c>
      <c r="I923" s="4">
        <f>IFERROR(__xludf.DUMMYFUNCTION("""COMPUTED_VALUE"""),787.0)</f>
        <v>787</v>
      </c>
      <c r="J923" s="4">
        <f>IFERROR(__xludf.DUMMYFUNCTION("""COMPUTED_VALUE"""),593.0)</f>
        <v>593</v>
      </c>
      <c r="K923" s="4">
        <f>IFERROR(__xludf.DUMMYFUNCTION("""COMPUTED_VALUE"""),126.0)</f>
        <v>126</v>
      </c>
      <c r="L923" s="4">
        <f>IFERROR(__xludf.DUMMYFUNCTION("""COMPUTED_VALUE"""),0.436)</f>
        <v>0.436</v>
      </c>
      <c r="M923" s="4">
        <f>IFERROR(__xludf.DUMMYFUNCTION("""COMPUTED_VALUE"""),0.0)</f>
        <v>0</v>
      </c>
      <c r="N923" s="4">
        <f>IFERROR(__xludf.DUMMYFUNCTION("""COMPUTED_VALUE"""),0.671)</f>
        <v>0.671</v>
      </c>
      <c r="O923" s="4">
        <f>IFERROR(__xludf.DUMMYFUNCTION("""COMPUTED_VALUE"""),14.5)</f>
        <v>14.5</v>
      </c>
      <c r="P923" s="4">
        <f>IFERROR(__xludf.DUMMYFUNCTION("""COMPUTED_VALUE"""),4.2)</f>
        <v>4.2</v>
      </c>
      <c r="Q923" s="4">
        <f>IFERROR(__xludf.DUMMYFUNCTION("""COMPUTED_VALUE"""),3.1)</f>
        <v>3.1</v>
      </c>
      <c r="R923" s="4">
        <f>IFERROR(__xludf.DUMMYFUNCTION("""COMPUTED_VALUE"""),0.7)</f>
        <v>0.7</v>
      </c>
      <c r="S923" s="4">
        <f>IFERROR(__xludf.DUMMYFUNCTION("""COMPUTED_VALUE"""),2.4)</f>
        <v>2.4</v>
      </c>
      <c r="T923" s="4">
        <f>IFERROR(__xludf.DUMMYFUNCTION("""COMPUTED_VALUE"""),0.042)</f>
        <v>0.042</v>
      </c>
      <c r="U923" s="4">
        <f>IFERROR(__xludf.DUMMYFUNCTION("""COMPUTED_VALUE"""),-4.0)</f>
        <v>-4</v>
      </c>
      <c r="V923" s="4">
        <f>IFERROR(__xludf.DUMMYFUNCTION("""COMPUTED_VALUE"""),-1.4)</f>
        <v>-1.4</v>
      </c>
    </row>
    <row r="925">
      <c r="A925" s="2">
        <v>2011.0</v>
      </c>
    </row>
    <row r="926">
      <c r="A926" s="4" t="str">
        <f>IFERROR(__xludf.DUMMYFUNCTION("IMPORTHTML(""https://www.basketball-reference.com/draft/NBA_2011.html"", ""table"", 1)"),"")</f>
        <v/>
      </c>
      <c r="B926" s="4"/>
      <c r="C926" s="4"/>
      <c r="D926" s="4" t="str">
        <f>IFERROR(__xludf.DUMMYFUNCTION("""COMPUTED_VALUE"""),"Round 1")</f>
        <v>Round 1</v>
      </c>
      <c r="E926" s="4"/>
      <c r="F926" s="4"/>
      <c r="G926" s="4" t="str">
        <f>IFERROR(__xludf.DUMMYFUNCTION("""COMPUTED_VALUE"""),"Totals")</f>
        <v>Totals</v>
      </c>
      <c r="H926" s="4"/>
      <c r="I926" s="4"/>
      <c r="J926" s="4"/>
      <c r="K926" s="4"/>
      <c r="L926" s="4" t="str">
        <f>IFERROR(__xludf.DUMMYFUNCTION("""COMPUTED_VALUE"""),"Shooting")</f>
        <v>Shooting</v>
      </c>
      <c r="M926" s="4"/>
      <c r="N926" s="4"/>
      <c r="O926" s="4" t="str">
        <f>IFERROR(__xludf.DUMMYFUNCTION("""COMPUTED_VALUE"""),"Per Game")</f>
        <v>Per Game</v>
      </c>
      <c r="P926" s="4"/>
      <c r="Q926" s="4"/>
      <c r="R926" s="4"/>
      <c r="S926" s="4" t="str">
        <f>IFERROR(__xludf.DUMMYFUNCTION("""COMPUTED_VALUE"""),"Advanced")</f>
        <v>Advanced</v>
      </c>
      <c r="T926" s="4"/>
      <c r="U926" s="4"/>
      <c r="V926" s="4"/>
    </row>
    <row r="927">
      <c r="A927" s="4" t="str">
        <f>IFERROR(__xludf.DUMMYFUNCTION("""COMPUTED_VALUE"""),"Rk")</f>
        <v>Rk</v>
      </c>
      <c r="B927" s="4" t="str">
        <f>IFERROR(__xludf.DUMMYFUNCTION("""COMPUTED_VALUE"""),"Pk")</f>
        <v>Pk</v>
      </c>
      <c r="C927" s="4" t="str">
        <f>IFERROR(__xludf.DUMMYFUNCTION("""COMPUTED_VALUE"""),"Tm")</f>
        <v>Tm</v>
      </c>
      <c r="D927" s="4" t="str">
        <f>IFERROR(__xludf.DUMMYFUNCTION("""COMPUTED_VALUE"""),"Player")</f>
        <v>Player</v>
      </c>
      <c r="E927" s="4" t="str">
        <f>IFERROR(__xludf.DUMMYFUNCTION("""COMPUTED_VALUE"""),"College")</f>
        <v>College</v>
      </c>
      <c r="F927" s="4" t="str">
        <f>IFERROR(__xludf.DUMMYFUNCTION("""COMPUTED_VALUE"""),"Yrs")</f>
        <v>Yrs</v>
      </c>
      <c r="G927" s="4" t="str">
        <f>IFERROR(__xludf.DUMMYFUNCTION("""COMPUTED_VALUE"""),"G")</f>
        <v>G</v>
      </c>
      <c r="H927" s="4" t="str">
        <f>IFERROR(__xludf.DUMMYFUNCTION("""COMPUTED_VALUE"""),"MP")</f>
        <v>MP</v>
      </c>
      <c r="I927" s="4" t="str">
        <f>IFERROR(__xludf.DUMMYFUNCTION("""COMPUTED_VALUE"""),"PTS")</f>
        <v>PTS</v>
      </c>
      <c r="J927" s="4" t="str">
        <f>IFERROR(__xludf.DUMMYFUNCTION("""COMPUTED_VALUE"""),"TRB")</f>
        <v>TRB</v>
      </c>
      <c r="K927" s="4" t="str">
        <f>IFERROR(__xludf.DUMMYFUNCTION("""COMPUTED_VALUE"""),"AST")</f>
        <v>AST</v>
      </c>
      <c r="L927" s="4" t="str">
        <f>IFERROR(__xludf.DUMMYFUNCTION("""COMPUTED_VALUE"""),"FG%")</f>
        <v>FG%</v>
      </c>
      <c r="M927" s="4" t="str">
        <f>IFERROR(__xludf.DUMMYFUNCTION("""COMPUTED_VALUE"""),"3P%")</f>
        <v>3P%</v>
      </c>
      <c r="N927" s="4" t="str">
        <f>IFERROR(__xludf.DUMMYFUNCTION("""COMPUTED_VALUE"""),"FT%")</f>
        <v>FT%</v>
      </c>
      <c r="O927" s="4" t="str">
        <f>IFERROR(__xludf.DUMMYFUNCTION("""COMPUTED_VALUE"""),"MP")</f>
        <v>MP</v>
      </c>
      <c r="P927" s="4" t="str">
        <f>IFERROR(__xludf.DUMMYFUNCTION("""COMPUTED_VALUE"""),"PTS")</f>
        <v>PTS</v>
      </c>
      <c r="Q927" s="4" t="str">
        <f>IFERROR(__xludf.DUMMYFUNCTION("""COMPUTED_VALUE"""),"TRB")</f>
        <v>TRB</v>
      </c>
      <c r="R927" s="4" t="str">
        <f>IFERROR(__xludf.DUMMYFUNCTION("""COMPUTED_VALUE"""),"AST")</f>
        <v>AST</v>
      </c>
      <c r="S927" s="4" t="str">
        <f>IFERROR(__xludf.DUMMYFUNCTION("""COMPUTED_VALUE"""),"WS")</f>
        <v>WS</v>
      </c>
      <c r="T927" s="4" t="str">
        <f>IFERROR(__xludf.DUMMYFUNCTION("""COMPUTED_VALUE"""),"WS/48")</f>
        <v>WS/48</v>
      </c>
      <c r="U927" s="4" t="str">
        <f>IFERROR(__xludf.DUMMYFUNCTION("""COMPUTED_VALUE"""),"BPM")</f>
        <v>BPM</v>
      </c>
      <c r="V927" s="4" t="str">
        <f>IFERROR(__xludf.DUMMYFUNCTION("""COMPUTED_VALUE"""),"VORP")</f>
        <v>VORP</v>
      </c>
    </row>
    <row r="928">
      <c r="A928" s="4">
        <f>IFERROR(__xludf.DUMMYFUNCTION("""COMPUTED_VALUE"""),1.0)</f>
        <v>1</v>
      </c>
      <c r="B928" s="4">
        <f>IFERROR(__xludf.DUMMYFUNCTION("""COMPUTED_VALUE"""),1.0)</f>
        <v>1</v>
      </c>
      <c r="C928" s="4" t="str">
        <f>IFERROR(__xludf.DUMMYFUNCTION("""COMPUTED_VALUE"""),"CLE")</f>
        <v>CLE</v>
      </c>
      <c r="D928" s="4" t="str">
        <f>IFERROR(__xludf.DUMMYFUNCTION("""COMPUTED_VALUE"""),"Kyrie Irving")</f>
        <v>Kyrie Irving</v>
      </c>
      <c r="E928" s="4" t="str">
        <f>IFERROR(__xludf.DUMMYFUNCTION("""COMPUTED_VALUE"""),"Duke")</f>
        <v>Duke</v>
      </c>
      <c r="F928" s="4">
        <f>IFERROR(__xludf.DUMMYFUNCTION("""COMPUTED_VALUE"""),14.0)</f>
        <v>14</v>
      </c>
      <c r="G928" s="4">
        <f>IFERROR(__xludf.DUMMYFUNCTION("""COMPUTED_VALUE"""),779.0)</f>
        <v>779</v>
      </c>
      <c r="H928" s="4">
        <f>IFERROR(__xludf.DUMMYFUNCTION("""COMPUTED_VALUE"""),26879.0)</f>
        <v>26879</v>
      </c>
      <c r="I928" s="4">
        <f>IFERROR(__xludf.DUMMYFUNCTION("""COMPUTED_VALUE"""),18433.0)</f>
        <v>18433</v>
      </c>
      <c r="J928" s="4">
        <f>IFERROR(__xludf.DUMMYFUNCTION("""COMPUTED_VALUE"""),3173.0)</f>
        <v>3173</v>
      </c>
      <c r="K928" s="4">
        <f>IFERROR(__xludf.DUMMYFUNCTION("""COMPUTED_VALUE"""),4364.0)</f>
        <v>4364</v>
      </c>
      <c r="L928" s="4">
        <f>IFERROR(__xludf.DUMMYFUNCTION("""COMPUTED_VALUE"""),0.474)</f>
        <v>0.474</v>
      </c>
      <c r="M928" s="4">
        <f>IFERROR(__xludf.DUMMYFUNCTION("""COMPUTED_VALUE"""),0.394)</f>
        <v>0.394</v>
      </c>
      <c r="N928" s="4">
        <f>IFERROR(__xludf.DUMMYFUNCTION("""COMPUTED_VALUE"""),0.888)</f>
        <v>0.888</v>
      </c>
      <c r="O928" s="4">
        <f>IFERROR(__xludf.DUMMYFUNCTION("""COMPUTED_VALUE"""),34.5)</f>
        <v>34.5</v>
      </c>
      <c r="P928" s="4">
        <f>IFERROR(__xludf.DUMMYFUNCTION("""COMPUTED_VALUE"""),23.7)</f>
        <v>23.7</v>
      </c>
      <c r="Q928" s="4">
        <f>IFERROR(__xludf.DUMMYFUNCTION("""COMPUTED_VALUE"""),4.1)</f>
        <v>4.1</v>
      </c>
      <c r="R928" s="4">
        <f>IFERROR(__xludf.DUMMYFUNCTION("""COMPUTED_VALUE"""),5.6)</f>
        <v>5.6</v>
      </c>
      <c r="S928" s="4">
        <f>IFERROR(__xludf.DUMMYFUNCTION("""COMPUTED_VALUE"""),91.0)</f>
        <v>91</v>
      </c>
      <c r="T928" s="4">
        <f>IFERROR(__xludf.DUMMYFUNCTION("""COMPUTED_VALUE"""),0.163)</f>
        <v>0.163</v>
      </c>
      <c r="U928" s="4">
        <f>IFERROR(__xludf.DUMMYFUNCTION("""COMPUTED_VALUE"""),4.5)</f>
        <v>4.5</v>
      </c>
      <c r="V928" s="4">
        <f>IFERROR(__xludf.DUMMYFUNCTION("""COMPUTED_VALUE"""),43.7)</f>
        <v>43.7</v>
      </c>
    </row>
    <row r="929">
      <c r="A929" s="4">
        <f>IFERROR(__xludf.DUMMYFUNCTION("""COMPUTED_VALUE"""),2.0)</f>
        <v>2</v>
      </c>
      <c r="B929" s="4">
        <f>IFERROR(__xludf.DUMMYFUNCTION("""COMPUTED_VALUE"""),2.0)</f>
        <v>2</v>
      </c>
      <c r="C929" s="4" t="str">
        <f>IFERROR(__xludf.DUMMYFUNCTION("""COMPUTED_VALUE"""),"MIN")</f>
        <v>MIN</v>
      </c>
      <c r="D929" s="4" t="str">
        <f>IFERROR(__xludf.DUMMYFUNCTION("""COMPUTED_VALUE"""),"Derrick Williams")</f>
        <v>Derrick Williams</v>
      </c>
      <c r="E929" s="4" t="str">
        <f>IFERROR(__xludf.DUMMYFUNCTION("""COMPUTED_VALUE"""),"Arizona")</f>
        <v>Arizona</v>
      </c>
      <c r="F929" s="4">
        <f>IFERROR(__xludf.DUMMYFUNCTION("""COMPUTED_VALUE"""),7.0)</f>
        <v>7</v>
      </c>
      <c r="G929" s="4">
        <f>IFERROR(__xludf.DUMMYFUNCTION("""COMPUTED_VALUE"""),428.0)</f>
        <v>428</v>
      </c>
      <c r="H929" s="4">
        <f>IFERROR(__xludf.DUMMYFUNCTION("""COMPUTED_VALUE"""),8864.0)</f>
        <v>8864</v>
      </c>
      <c r="I929" s="4">
        <f>IFERROR(__xludf.DUMMYFUNCTION("""COMPUTED_VALUE"""),3809.0)</f>
        <v>3809</v>
      </c>
      <c r="J929" s="4">
        <f>IFERROR(__xludf.DUMMYFUNCTION("""COMPUTED_VALUE"""),1693.0)</f>
        <v>1693</v>
      </c>
      <c r="K929" s="4">
        <f>IFERROR(__xludf.DUMMYFUNCTION("""COMPUTED_VALUE"""),293.0)</f>
        <v>293</v>
      </c>
      <c r="L929" s="4">
        <f>IFERROR(__xludf.DUMMYFUNCTION("""COMPUTED_VALUE"""),0.434)</f>
        <v>0.434</v>
      </c>
      <c r="M929" s="4">
        <f>IFERROR(__xludf.DUMMYFUNCTION("""COMPUTED_VALUE"""),0.3)</f>
        <v>0.3</v>
      </c>
      <c r="N929" s="4">
        <f>IFERROR(__xludf.DUMMYFUNCTION("""COMPUTED_VALUE"""),0.71)</f>
        <v>0.71</v>
      </c>
      <c r="O929" s="4">
        <f>IFERROR(__xludf.DUMMYFUNCTION("""COMPUTED_VALUE"""),20.7)</f>
        <v>20.7</v>
      </c>
      <c r="P929" s="4">
        <f>IFERROR(__xludf.DUMMYFUNCTION("""COMPUTED_VALUE"""),8.9)</f>
        <v>8.9</v>
      </c>
      <c r="Q929" s="4">
        <f>IFERROR(__xludf.DUMMYFUNCTION("""COMPUTED_VALUE"""),4.0)</f>
        <v>4</v>
      </c>
      <c r="R929" s="4">
        <f>IFERROR(__xludf.DUMMYFUNCTION("""COMPUTED_VALUE"""),0.7)</f>
        <v>0.7</v>
      </c>
      <c r="S929" s="4">
        <f>IFERROR(__xludf.DUMMYFUNCTION("""COMPUTED_VALUE"""),14.1)</f>
        <v>14.1</v>
      </c>
      <c r="T929" s="4">
        <f>IFERROR(__xludf.DUMMYFUNCTION("""COMPUTED_VALUE"""),0.076)</f>
        <v>0.076</v>
      </c>
      <c r="U929" s="4">
        <f>IFERROR(__xludf.DUMMYFUNCTION("""COMPUTED_VALUE"""),-1.6)</f>
        <v>-1.6</v>
      </c>
      <c r="V929" s="4">
        <f>IFERROR(__xludf.DUMMYFUNCTION("""COMPUTED_VALUE"""),0.8)</f>
        <v>0.8</v>
      </c>
    </row>
    <row r="930">
      <c r="A930" s="4">
        <f>IFERROR(__xludf.DUMMYFUNCTION("""COMPUTED_VALUE"""),3.0)</f>
        <v>3</v>
      </c>
      <c r="B930" s="4">
        <f>IFERROR(__xludf.DUMMYFUNCTION("""COMPUTED_VALUE"""),3.0)</f>
        <v>3</v>
      </c>
      <c r="C930" s="4" t="str">
        <f>IFERROR(__xludf.DUMMYFUNCTION("""COMPUTED_VALUE"""),"UTA")</f>
        <v>UTA</v>
      </c>
      <c r="D930" s="4" t="str">
        <f>IFERROR(__xludf.DUMMYFUNCTION("""COMPUTED_VALUE"""),"Enes Freedom")</f>
        <v>Enes Freedom</v>
      </c>
      <c r="E930" s="4"/>
      <c r="F930" s="4">
        <f>IFERROR(__xludf.DUMMYFUNCTION("""COMPUTED_VALUE"""),11.0)</f>
        <v>11</v>
      </c>
      <c r="G930" s="4">
        <f>IFERROR(__xludf.DUMMYFUNCTION("""COMPUTED_VALUE"""),748.0)</f>
        <v>748</v>
      </c>
      <c r="H930" s="4">
        <f>IFERROR(__xludf.DUMMYFUNCTION("""COMPUTED_VALUE"""),16101.0)</f>
        <v>16101</v>
      </c>
      <c r="I930" s="4">
        <f>IFERROR(__xludf.DUMMYFUNCTION("""COMPUTED_VALUE"""),8349.0)</f>
        <v>8349</v>
      </c>
      <c r="J930" s="4">
        <f>IFERROR(__xludf.DUMMYFUNCTION("""COMPUTED_VALUE"""),5822.0)</f>
        <v>5822</v>
      </c>
      <c r="K930" s="4">
        <f>IFERROR(__xludf.DUMMYFUNCTION("""COMPUTED_VALUE"""),638.0)</f>
        <v>638</v>
      </c>
      <c r="L930" s="4">
        <f>IFERROR(__xludf.DUMMYFUNCTION("""COMPUTED_VALUE"""),0.548)</f>
        <v>0.548</v>
      </c>
      <c r="M930" s="4">
        <f>IFERROR(__xludf.DUMMYFUNCTION("""COMPUTED_VALUE"""),0.289)</f>
        <v>0.289</v>
      </c>
      <c r="N930" s="4">
        <f>IFERROR(__xludf.DUMMYFUNCTION("""COMPUTED_VALUE"""),0.777)</f>
        <v>0.777</v>
      </c>
      <c r="O930" s="4">
        <f>IFERROR(__xludf.DUMMYFUNCTION("""COMPUTED_VALUE"""),21.5)</f>
        <v>21.5</v>
      </c>
      <c r="P930" s="4">
        <f>IFERROR(__xludf.DUMMYFUNCTION("""COMPUTED_VALUE"""),11.2)</f>
        <v>11.2</v>
      </c>
      <c r="Q930" s="4">
        <f>IFERROR(__xludf.DUMMYFUNCTION("""COMPUTED_VALUE"""),7.8)</f>
        <v>7.8</v>
      </c>
      <c r="R930" s="4">
        <f>IFERROR(__xludf.DUMMYFUNCTION("""COMPUTED_VALUE"""),0.9)</f>
        <v>0.9</v>
      </c>
      <c r="S930" s="4">
        <f>IFERROR(__xludf.DUMMYFUNCTION("""COMPUTED_VALUE"""),52.8)</f>
        <v>52.8</v>
      </c>
      <c r="T930" s="4">
        <f>IFERROR(__xludf.DUMMYFUNCTION("""COMPUTED_VALUE"""),0.157)</f>
        <v>0.157</v>
      </c>
      <c r="U930" s="4">
        <f>IFERROR(__xludf.DUMMYFUNCTION("""COMPUTED_VALUE"""),-0.1)</f>
        <v>-0.1</v>
      </c>
      <c r="V930" s="4">
        <f>IFERROR(__xludf.DUMMYFUNCTION("""COMPUTED_VALUE"""),7.6)</f>
        <v>7.6</v>
      </c>
    </row>
    <row r="931">
      <c r="A931" s="4">
        <f>IFERROR(__xludf.DUMMYFUNCTION("""COMPUTED_VALUE"""),4.0)</f>
        <v>4</v>
      </c>
      <c r="B931" s="4">
        <f>IFERROR(__xludf.DUMMYFUNCTION("""COMPUTED_VALUE"""),4.0)</f>
        <v>4</v>
      </c>
      <c r="C931" s="4" t="str">
        <f>IFERROR(__xludf.DUMMYFUNCTION("""COMPUTED_VALUE"""),"CLE")</f>
        <v>CLE</v>
      </c>
      <c r="D931" s="4" t="str">
        <f>IFERROR(__xludf.DUMMYFUNCTION("""COMPUTED_VALUE"""),"Tristan Thompson")</f>
        <v>Tristan Thompson</v>
      </c>
      <c r="E931" s="4" t="str">
        <f>IFERROR(__xludf.DUMMYFUNCTION("""COMPUTED_VALUE"""),"Texas")</f>
        <v>Texas</v>
      </c>
      <c r="F931" s="4">
        <f>IFERROR(__xludf.DUMMYFUNCTION("""COMPUTED_VALUE"""),13.0)</f>
        <v>13</v>
      </c>
      <c r="G931" s="4">
        <f>IFERROR(__xludf.DUMMYFUNCTION("""COMPUTED_VALUE"""),819.0)</f>
        <v>819</v>
      </c>
      <c r="H931" s="4">
        <f>IFERROR(__xludf.DUMMYFUNCTION("""COMPUTED_VALUE"""),20432.0)</f>
        <v>20432</v>
      </c>
      <c r="I931" s="4">
        <f>IFERROR(__xludf.DUMMYFUNCTION("""COMPUTED_VALUE"""),6822.0)</f>
        <v>6822</v>
      </c>
      <c r="J931" s="4">
        <f>IFERROR(__xludf.DUMMYFUNCTION("""COMPUTED_VALUE"""),6428.0)</f>
        <v>6428</v>
      </c>
      <c r="K931" s="4">
        <f>IFERROR(__xludf.DUMMYFUNCTION("""COMPUTED_VALUE"""),800.0)</f>
        <v>800</v>
      </c>
      <c r="L931" s="4">
        <f>IFERROR(__xludf.DUMMYFUNCTION("""COMPUTED_VALUE"""),0.52)</f>
        <v>0.52</v>
      </c>
      <c r="M931" s="4">
        <f>IFERROR(__xludf.DUMMYFUNCTION("""COMPUTED_VALUE"""),0.238)</f>
        <v>0.238</v>
      </c>
      <c r="N931" s="4">
        <f>IFERROR(__xludf.DUMMYFUNCTION("""COMPUTED_VALUE"""),0.592)</f>
        <v>0.592</v>
      </c>
      <c r="O931" s="4">
        <f>IFERROR(__xludf.DUMMYFUNCTION("""COMPUTED_VALUE"""),24.9)</f>
        <v>24.9</v>
      </c>
      <c r="P931" s="4">
        <f>IFERROR(__xludf.DUMMYFUNCTION("""COMPUTED_VALUE"""),8.3)</f>
        <v>8.3</v>
      </c>
      <c r="Q931" s="4">
        <f>IFERROR(__xludf.DUMMYFUNCTION("""COMPUTED_VALUE"""),7.8)</f>
        <v>7.8</v>
      </c>
      <c r="R931" s="4">
        <f>IFERROR(__xludf.DUMMYFUNCTION("""COMPUTED_VALUE"""),1.0)</f>
        <v>1</v>
      </c>
      <c r="S931" s="4">
        <f>IFERROR(__xludf.DUMMYFUNCTION("""COMPUTED_VALUE"""),49.3)</f>
        <v>49.3</v>
      </c>
      <c r="T931" s="4">
        <f>IFERROR(__xludf.DUMMYFUNCTION("""COMPUTED_VALUE"""),0.116)</f>
        <v>0.116</v>
      </c>
      <c r="U931" s="4">
        <f>IFERROR(__xludf.DUMMYFUNCTION("""COMPUTED_VALUE"""),-1.7)</f>
        <v>-1.7</v>
      </c>
      <c r="V931" s="4">
        <f>IFERROR(__xludf.DUMMYFUNCTION("""COMPUTED_VALUE"""),1.3)</f>
        <v>1.3</v>
      </c>
    </row>
    <row r="932">
      <c r="A932" s="4">
        <f>IFERROR(__xludf.DUMMYFUNCTION("""COMPUTED_VALUE"""),5.0)</f>
        <v>5</v>
      </c>
      <c r="B932" s="4">
        <f>IFERROR(__xludf.DUMMYFUNCTION("""COMPUTED_VALUE"""),5.0)</f>
        <v>5</v>
      </c>
      <c r="C932" s="4" t="str">
        <f>IFERROR(__xludf.DUMMYFUNCTION("""COMPUTED_VALUE"""),"TOR")</f>
        <v>TOR</v>
      </c>
      <c r="D932" s="4" t="str">
        <f>IFERROR(__xludf.DUMMYFUNCTION("""COMPUTED_VALUE"""),"Jonas Valančiūnas")</f>
        <v>Jonas Valančiūnas</v>
      </c>
      <c r="E932" s="4"/>
      <c r="F932" s="4">
        <f>IFERROR(__xludf.DUMMYFUNCTION("""COMPUTED_VALUE"""),14.0)</f>
        <v>14</v>
      </c>
      <c r="G932" s="4">
        <f>IFERROR(__xludf.DUMMYFUNCTION("""COMPUTED_VALUE"""),957.0)</f>
        <v>957</v>
      </c>
      <c r="H932" s="4">
        <f>IFERROR(__xludf.DUMMYFUNCTION("""COMPUTED_VALUE"""),23809.0)</f>
        <v>23809</v>
      </c>
      <c r="I932" s="4">
        <f>IFERROR(__xludf.DUMMYFUNCTION("""COMPUTED_VALUE"""),12442.0)</f>
        <v>12442</v>
      </c>
      <c r="J932" s="4">
        <f>IFERROR(__xludf.DUMMYFUNCTION("""COMPUTED_VALUE"""),8818.0)</f>
        <v>8818</v>
      </c>
      <c r="K932" s="4">
        <f>IFERROR(__xludf.DUMMYFUNCTION("""COMPUTED_VALUE"""),1324.0)</f>
        <v>1324</v>
      </c>
      <c r="L932" s="4">
        <f>IFERROR(__xludf.DUMMYFUNCTION("""COMPUTED_VALUE"""),0.56)</f>
        <v>0.56</v>
      </c>
      <c r="M932" s="4">
        <f>IFERROR(__xludf.DUMMYFUNCTION("""COMPUTED_VALUE"""),0.339)</f>
        <v>0.339</v>
      </c>
      <c r="N932" s="4">
        <f>IFERROR(__xludf.DUMMYFUNCTION("""COMPUTED_VALUE"""),0.794)</f>
        <v>0.794</v>
      </c>
      <c r="O932" s="4">
        <f>IFERROR(__xludf.DUMMYFUNCTION("""COMPUTED_VALUE"""),24.9)</f>
        <v>24.9</v>
      </c>
      <c r="P932" s="4">
        <f>IFERROR(__xludf.DUMMYFUNCTION("""COMPUTED_VALUE"""),13.0)</f>
        <v>13</v>
      </c>
      <c r="Q932" s="4">
        <f>IFERROR(__xludf.DUMMYFUNCTION("""COMPUTED_VALUE"""),9.2)</f>
        <v>9.2</v>
      </c>
      <c r="R932" s="4">
        <f>IFERROR(__xludf.DUMMYFUNCTION("""COMPUTED_VALUE"""),1.4)</f>
        <v>1.4</v>
      </c>
      <c r="S932" s="4">
        <f>IFERROR(__xludf.DUMMYFUNCTION("""COMPUTED_VALUE"""),85.5)</f>
        <v>85.5</v>
      </c>
      <c r="T932" s="4">
        <f>IFERROR(__xludf.DUMMYFUNCTION("""COMPUTED_VALUE"""),0.172)</f>
        <v>0.172</v>
      </c>
      <c r="U932" s="4">
        <f>IFERROR(__xludf.DUMMYFUNCTION("""COMPUTED_VALUE"""),1.0)</f>
        <v>1</v>
      </c>
      <c r="V932" s="4">
        <f>IFERROR(__xludf.DUMMYFUNCTION("""COMPUTED_VALUE"""),17.8)</f>
        <v>17.8</v>
      </c>
    </row>
    <row r="933">
      <c r="A933" s="4">
        <f>IFERROR(__xludf.DUMMYFUNCTION("""COMPUTED_VALUE"""),6.0)</f>
        <v>6</v>
      </c>
      <c r="B933" s="4">
        <f>IFERROR(__xludf.DUMMYFUNCTION("""COMPUTED_VALUE"""),6.0)</f>
        <v>6</v>
      </c>
      <c r="C933" s="4" t="str">
        <f>IFERROR(__xludf.DUMMYFUNCTION("""COMPUTED_VALUE"""),"WAS")</f>
        <v>WAS</v>
      </c>
      <c r="D933" s="4" t="str">
        <f>IFERROR(__xludf.DUMMYFUNCTION("""COMPUTED_VALUE"""),"Jan Veselý")</f>
        <v>Jan Veselý</v>
      </c>
      <c r="E933" s="4"/>
      <c r="F933" s="4">
        <f>IFERROR(__xludf.DUMMYFUNCTION("""COMPUTED_VALUE"""),3.0)</f>
        <v>3</v>
      </c>
      <c r="G933" s="4">
        <f>IFERROR(__xludf.DUMMYFUNCTION("""COMPUTED_VALUE"""),162.0)</f>
        <v>162</v>
      </c>
      <c r="H933" s="4">
        <f>IFERROR(__xludf.DUMMYFUNCTION("""COMPUTED_VALUE"""),2455.0)</f>
        <v>2455</v>
      </c>
      <c r="I933" s="4">
        <f>IFERROR(__xludf.DUMMYFUNCTION("""COMPUTED_VALUE"""),590.0)</f>
        <v>590</v>
      </c>
      <c r="J933" s="4">
        <f>IFERROR(__xludf.DUMMYFUNCTION("""COMPUTED_VALUE"""),562.0)</f>
        <v>562</v>
      </c>
      <c r="K933" s="4">
        <f>IFERROR(__xludf.DUMMYFUNCTION("""COMPUTED_VALUE"""),96.0)</f>
        <v>96</v>
      </c>
      <c r="L933" s="4">
        <f>IFERROR(__xludf.DUMMYFUNCTION("""COMPUTED_VALUE"""),0.521)</f>
        <v>0.521</v>
      </c>
      <c r="M933" s="4">
        <f>IFERROR(__xludf.DUMMYFUNCTION("""COMPUTED_VALUE"""),0.0)</f>
        <v>0</v>
      </c>
      <c r="N933" s="4">
        <f>IFERROR(__xludf.DUMMYFUNCTION("""COMPUTED_VALUE"""),0.408)</f>
        <v>0.408</v>
      </c>
      <c r="O933" s="4">
        <f>IFERROR(__xludf.DUMMYFUNCTION("""COMPUTED_VALUE"""),15.2)</f>
        <v>15.2</v>
      </c>
      <c r="P933" s="4">
        <f>IFERROR(__xludf.DUMMYFUNCTION("""COMPUTED_VALUE"""),3.6)</f>
        <v>3.6</v>
      </c>
      <c r="Q933" s="4">
        <f>IFERROR(__xludf.DUMMYFUNCTION("""COMPUTED_VALUE"""),3.5)</f>
        <v>3.5</v>
      </c>
      <c r="R933" s="4">
        <f>IFERROR(__xludf.DUMMYFUNCTION("""COMPUTED_VALUE"""),0.6)</f>
        <v>0.6</v>
      </c>
      <c r="S933" s="4">
        <f>IFERROR(__xludf.DUMMYFUNCTION("""COMPUTED_VALUE"""),4.0)</f>
        <v>4</v>
      </c>
      <c r="T933" s="4">
        <f>IFERROR(__xludf.DUMMYFUNCTION("""COMPUTED_VALUE"""),0.078)</f>
        <v>0.078</v>
      </c>
      <c r="U933" s="4">
        <f>IFERROR(__xludf.DUMMYFUNCTION("""COMPUTED_VALUE"""),-2.6)</f>
        <v>-2.6</v>
      </c>
      <c r="V933" s="4">
        <f>IFERROR(__xludf.DUMMYFUNCTION("""COMPUTED_VALUE"""),-0.4)</f>
        <v>-0.4</v>
      </c>
    </row>
    <row r="934">
      <c r="A934" s="4">
        <f>IFERROR(__xludf.DUMMYFUNCTION("""COMPUTED_VALUE"""),7.0)</f>
        <v>7</v>
      </c>
      <c r="B934" s="4">
        <f>IFERROR(__xludf.DUMMYFUNCTION("""COMPUTED_VALUE"""),7.0)</f>
        <v>7</v>
      </c>
      <c r="C934" s="4" t="str">
        <f>IFERROR(__xludf.DUMMYFUNCTION("""COMPUTED_VALUE"""),"SAC")</f>
        <v>SAC</v>
      </c>
      <c r="D934" s="4" t="str">
        <f>IFERROR(__xludf.DUMMYFUNCTION("""COMPUTED_VALUE"""),"Bismack Biyombo")</f>
        <v>Bismack Biyombo</v>
      </c>
      <c r="E934" s="4"/>
      <c r="F934" s="4">
        <f>IFERROR(__xludf.DUMMYFUNCTION("""COMPUTED_VALUE"""),15.0)</f>
        <v>15</v>
      </c>
      <c r="G934" s="4">
        <f>IFERROR(__xludf.DUMMYFUNCTION("""COMPUTED_VALUE"""),874.0)</f>
        <v>874</v>
      </c>
      <c r="H934" s="4">
        <f>IFERROR(__xludf.DUMMYFUNCTION("""COMPUTED_VALUE"""),16960.0)</f>
        <v>16960</v>
      </c>
      <c r="I934" s="4">
        <f>IFERROR(__xludf.DUMMYFUNCTION("""COMPUTED_VALUE"""),4398.0)</f>
        <v>4398</v>
      </c>
      <c r="J934" s="4">
        <f>IFERROR(__xludf.DUMMYFUNCTION("""COMPUTED_VALUE"""),5115.0)</f>
        <v>5115</v>
      </c>
      <c r="K934" s="4">
        <f>IFERROR(__xludf.DUMMYFUNCTION("""COMPUTED_VALUE"""),584.0)</f>
        <v>584</v>
      </c>
      <c r="L934" s="4">
        <f>IFERROR(__xludf.DUMMYFUNCTION("""COMPUTED_VALUE"""),0.537)</f>
        <v>0.537</v>
      </c>
      <c r="M934" s="4">
        <f>IFERROR(__xludf.DUMMYFUNCTION("""COMPUTED_VALUE"""),0.0)</f>
        <v>0</v>
      </c>
      <c r="N934" s="4">
        <f>IFERROR(__xludf.DUMMYFUNCTION("""COMPUTED_VALUE"""),0.551)</f>
        <v>0.551</v>
      </c>
      <c r="O934" s="4">
        <f>IFERROR(__xludf.DUMMYFUNCTION("""COMPUTED_VALUE"""),19.4)</f>
        <v>19.4</v>
      </c>
      <c r="P934" s="4">
        <f>IFERROR(__xludf.DUMMYFUNCTION("""COMPUTED_VALUE"""),5.0)</f>
        <v>5</v>
      </c>
      <c r="Q934" s="4">
        <f>IFERROR(__xludf.DUMMYFUNCTION("""COMPUTED_VALUE"""),5.9)</f>
        <v>5.9</v>
      </c>
      <c r="R934" s="4">
        <f>IFERROR(__xludf.DUMMYFUNCTION("""COMPUTED_VALUE"""),0.7)</f>
        <v>0.7</v>
      </c>
      <c r="S934" s="4">
        <f>IFERROR(__xludf.DUMMYFUNCTION("""COMPUTED_VALUE"""),33.2)</f>
        <v>33.2</v>
      </c>
      <c r="T934" s="4">
        <f>IFERROR(__xludf.DUMMYFUNCTION("""COMPUTED_VALUE"""),0.094)</f>
        <v>0.094</v>
      </c>
      <c r="U934" s="4">
        <f>IFERROR(__xludf.DUMMYFUNCTION("""COMPUTED_VALUE"""),-2.6)</f>
        <v>-2.6</v>
      </c>
      <c r="V934" s="4">
        <f>IFERROR(__xludf.DUMMYFUNCTION("""COMPUTED_VALUE"""),-2.5)</f>
        <v>-2.5</v>
      </c>
    </row>
    <row r="935">
      <c r="A935" s="4">
        <f>IFERROR(__xludf.DUMMYFUNCTION("""COMPUTED_VALUE"""),8.0)</f>
        <v>8</v>
      </c>
      <c r="B935" s="4">
        <f>IFERROR(__xludf.DUMMYFUNCTION("""COMPUTED_VALUE"""),8.0)</f>
        <v>8</v>
      </c>
      <c r="C935" s="4" t="str">
        <f>IFERROR(__xludf.DUMMYFUNCTION("""COMPUTED_VALUE"""),"DET")</f>
        <v>DET</v>
      </c>
      <c r="D935" s="4" t="str">
        <f>IFERROR(__xludf.DUMMYFUNCTION("""COMPUTED_VALUE"""),"Brandon Knight")</f>
        <v>Brandon Knight</v>
      </c>
      <c r="E935" s="4" t="str">
        <f>IFERROR(__xludf.DUMMYFUNCTION("""COMPUTED_VALUE"""),"Kentucky")</f>
        <v>Kentucky</v>
      </c>
      <c r="F935" s="4">
        <f>IFERROR(__xludf.DUMMYFUNCTION("""COMPUTED_VALUE"""),9.0)</f>
        <v>9</v>
      </c>
      <c r="G935" s="4">
        <f>IFERROR(__xludf.DUMMYFUNCTION("""COMPUTED_VALUE"""),451.0)</f>
        <v>451</v>
      </c>
      <c r="H935" s="4">
        <f>IFERROR(__xludf.DUMMYFUNCTION("""COMPUTED_VALUE"""),13202.0)</f>
        <v>13202</v>
      </c>
      <c r="I935" s="4">
        <f>IFERROR(__xludf.DUMMYFUNCTION("""COMPUTED_VALUE"""),6301.0)</f>
        <v>6301</v>
      </c>
      <c r="J935" s="4">
        <f>IFERROR(__xludf.DUMMYFUNCTION("""COMPUTED_VALUE"""),1385.0)</f>
        <v>1385</v>
      </c>
      <c r="K935" s="4">
        <f>IFERROR(__xludf.DUMMYFUNCTION("""COMPUTED_VALUE"""),1777.0)</f>
        <v>1777</v>
      </c>
      <c r="L935" s="4">
        <f>IFERROR(__xludf.DUMMYFUNCTION("""COMPUTED_VALUE"""),0.411)</f>
        <v>0.411</v>
      </c>
      <c r="M935" s="4">
        <f>IFERROR(__xludf.DUMMYFUNCTION("""COMPUTED_VALUE"""),0.352)</f>
        <v>0.352</v>
      </c>
      <c r="N935" s="4">
        <f>IFERROR(__xludf.DUMMYFUNCTION("""COMPUTED_VALUE"""),0.807)</f>
        <v>0.807</v>
      </c>
      <c r="O935" s="4">
        <f>IFERROR(__xludf.DUMMYFUNCTION("""COMPUTED_VALUE"""),29.3)</f>
        <v>29.3</v>
      </c>
      <c r="P935" s="4">
        <f>IFERROR(__xludf.DUMMYFUNCTION("""COMPUTED_VALUE"""),14.0)</f>
        <v>14</v>
      </c>
      <c r="Q935" s="4">
        <f>IFERROR(__xludf.DUMMYFUNCTION("""COMPUTED_VALUE"""),3.1)</f>
        <v>3.1</v>
      </c>
      <c r="R935" s="4">
        <f>IFERROR(__xludf.DUMMYFUNCTION("""COMPUTED_VALUE"""),3.9)</f>
        <v>3.9</v>
      </c>
      <c r="S935" s="4">
        <f>IFERROR(__xludf.DUMMYFUNCTION("""COMPUTED_VALUE"""),11.6)</f>
        <v>11.6</v>
      </c>
      <c r="T935" s="4">
        <f>IFERROR(__xludf.DUMMYFUNCTION("""COMPUTED_VALUE"""),0.042)</f>
        <v>0.042</v>
      </c>
      <c r="U935" s="4">
        <f>IFERROR(__xludf.DUMMYFUNCTION("""COMPUTED_VALUE"""),-1.6)</f>
        <v>-1.6</v>
      </c>
      <c r="V935" s="4">
        <f>IFERROR(__xludf.DUMMYFUNCTION("""COMPUTED_VALUE"""),1.4)</f>
        <v>1.4</v>
      </c>
    </row>
    <row r="936">
      <c r="A936" s="4">
        <f>IFERROR(__xludf.DUMMYFUNCTION("""COMPUTED_VALUE"""),9.0)</f>
        <v>9</v>
      </c>
      <c r="B936" s="4">
        <f>IFERROR(__xludf.DUMMYFUNCTION("""COMPUTED_VALUE"""),9.0)</f>
        <v>9</v>
      </c>
      <c r="C936" s="4" t="str">
        <f>IFERROR(__xludf.DUMMYFUNCTION("""COMPUTED_VALUE"""),"CHA")</f>
        <v>CHA</v>
      </c>
      <c r="D936" s="4" t="str">
        <f>IFERROR(__xludf.DUMMYFUNCTION("""COMPUTED_VALUE"""),"Kemba Walker")</f>
        <v>Kemba Walker</v>
      </c>
      <c r="E936" s="4" t="str">
        <f>IFERROR(__xludf.DUMMYFUNCTION("""COMPUTED_VALUE"""),"UConn")</f>
        <v>UConn</v>
      </c>
      <c r="F936" s="4">
        <f>IFERROR(__xludf.DUMMYFUNCTION("""COMPUTED_VALUE"""),12.0)</f>
        <v>12</v>
      </c>
      <c r="G936" s="4">
        <f>IFERROR(__xludf.DUMMYFUNCTION("""COMPUTED_VALUE"""),750.0)</f>
        <v>750</v>
      </c>
      <c r="H936" s="4">
        <f>IFERROR(__xludf.DUMMYFUNCTION("""COMPUTED_VALUE"""),24810.0)</f>
        <v>24810</v>
      </c>
      <c r="I936" s="4">
        <f>IFERROR(__xludf.DUMMYFUNCTION("""COMPUTED_VALUE"""),14486.0)</f>
        <v>14486</v>
      </c>
      <c r="J936" s="4">
        <f>IFERROR(__xludf.DUMMYFUNCTION("""COMPUTED_VALUE"""),2831.0)</f>
        <v>2831</v>
      </c>
      <c r="K936" s="4">
        <f>IFERROR(__xludf.DUMMYFUNCTION("""COMPUTED_VALUE"""),3938.0)</f>
        <v>3938</v>
      </c>
      <c r="L936" s="4">
        <f>IFERROR(__xludf.DUMMYFUNCTION("""COMPUTED_VALUE"""),0.418)</f>
        <v>0.418</v>
      </c>
      <c r="M936" s="4">
        <f>IFERROR(__xludf.DUMMYFUNCTION("""COMPUTED_VALUE"""),0.36)</f>
        <v>0.36</v>
      </c>
      <c r="N936" s="4">
        <f>IFERROR(__xludf.DUMMYFUNCTION("""COMPUTED_VALUE"""),0.84)</f>
        <v>0.84</v>
      </c>
      <c r="O936" s="4">
        <f>IFERROR(__xludf.DUMMYFUNCTION("""COMPUTED_VALUE"""),33.1)</f>
        <v>33.1</v>
      </c>
      <c r="P936" s="4">
        <f>IFERROR(__xludf.DUMMYFUNCTION("""COMPUTED_VALUE"""),19.3)</f>
        <v>19.3</v>
      </c>
      <c r="Q936" s="4">
        <f>IFERROR(__xludf.DUMMYFUNCTION("""COMPUTED_VALUE"""),3.8)</f>
        <v>3.8</v>
      </c>
      <c r="R936" s="4">
        <f>IFERROR(__xludf.DUMMYFUNCTION("""COMPUTED_VALUE"""),5.3)</f>
        <v>5.3</v>
      </c>
      <c r="S936" s="4">
        <f>IFERROR(__xludf.DUMMYFUNCTION("""COMPUTED_VALUE"""),59.8)</f>
        <v>59.8</v>
      </c>
      <c r="T936" s="4">
        <f>IFERROR(__xludf.DUMMYFUNCTION("""COMPUTED_VALUE"""),0.116)</f>
        <v>0.116</v>
      </c>
      <c r="U936" s="4">
        <f>IFERROR(__xludf.DUMMYFUNCTION("""COMPUTED_VALUE"""),2.8)</f>
        <v>2.8</v>
      </c>
      <c r="V936" s="4">
        <f>IFERROR(__xludf.DUMMYFUNCTION("""COMPUTED_VALUE"""),29.8)</f>
        <v>29.8</v>
      </c>
    </row>
    <row r="937">
      <c r="A937" s="4">
        <f>IFERROR(__xludf.DUMMYFUNCTION("""COMPUTED_VALUE"""),10.0)</f>
        <v>10</v>
      </c>
      <c r="B937" s="4">
        <f>IFERROR(__xludf.DUMMYFUNCTION("""COMPUTED_VALUE"""),10.0)</f>
        <v>10</v>
      </c>
      <c r="C937" s="4" t="str">
        <f>IFERROR(__xludf.DUMMYFUNCTION("""COMPUTED_VALUE"""),"MIL")</f>
        <v>MIL</v>
      </c>
      <c r="D937" s="4" t="str">
        <f>IFERROR(__xludf.DUMMYFUNCTION("""COMPUTED_VALUE"""),"Jimmer Fredette")</f>
        <v>Jimmer Fredette</v>
      </c>
      <c r="E937" s="4" t="str">
        <f>IFERROR(__xludf.DUMMYFUNCTION("""COMPUTED_VALUE"""),"BYU")</f>
        <v>BYU</v>
      </c>
      <c r="F937" s="4">
        <f>IFERROR(__xludf.DUMMYFUNCTION("""COMPUTED_VALUE"""),6.0)</f>
        <v>6</v>
      </c>
      <c r="G937" s="4">
        <f>IFERROR(__xludf.DUMMYFUNCTION("""COMPUTED_VALUE"""),241.0)</f>
        <v>241</v>
      </c>
      <c r="H937" s="4">
        <f>IFERROR(__xludf.DUMMYFUNCTION("""COMPUTED_VALUE"""),3213.0)</f>
        <v>3213</v>
      </c>
      <c r="I937" s="4">
        <f>IFERROR(__xludf.DUMMYFUNCTION("""COMPUTED_VALUE"""),1438.0)</f>
        <v>1438</v>
      </c>
      <c r="J937" s="4">
        <f>IFERROR(__xludf.DUMMYFUNCTION("""COMPUTED_VALUE"""),243.0)</f>
        <v>243</v>
      </c>
      <c r="K937" s="4">
        <f>IFERROR(__xludf.DUMMYFUNCTION("""COMPUTED_VALUE"""),331.0)</f>
        <v>331</v>
      </c>
      <c r="L937" s="4">
        <f>IFERROR(__xludf.DUMMYFUNCTION("""COMPUTED_VALUE"""),0.409)</f>
        <v>0.409</v>
      </c>
      <c r="M937" s="4">
        <f>IFERROR(__xludf.DUMMYFUNCTION("""COMPUTED_VALUE"""),0.372)</f>
        <v>0.372</v>
      </c>
      <c r="N937" s="4">
        <f>IFERROR(__xludf.DUMMYFUNCTION("""COMPUTED_VALUE"""),0.879)</f>
        <v>0.879</v>
      </c>
      <c r="O937" s="4">
        <f>IFERROR(__xludf.DUMMYFUNCTION("""COMPUTED_VALUE"""),13.3)</f>
        <v>13.3</v>
      </c>
      <c r="P937" s="4">
        <f>IFERROR(__xludf.DUMMYFUNCTION("""COMPUTED_VALUE"""),6.0)</f>
        <v>6</v>
      </c>
      <c r="Q937" s="4">
        <f>IFERROR(__xludf.DUMMYFUNCTION("""COMPUTED_VALUE"""),1.0)</f>
        <v>1</v>
      </c>
      <c r="R937" s="4">
        <f>IFERROR(__xludf.DUMMYFUNCTION("""COMPUTED_VALUE"""),1.4)</f>
        <v>1.4</v>
      </c>
      <c r="S937" s="4">
        <f>IFERROR(__xludf.DUMMYFUNCTION("""COMPUTED_VALUE"""),2.2)</f>
        <v>2.2</v>
      </c>
      <c r="T937" s="4">
        <f>IFERROR(__xludf.DUMMYFUNCTION("""COMPUTED_VALUE"""),0.033)</f>
        <v>0.033</v>
      </c>
      <c r="U937" s="4">
        <f>IFERROR(__xludf.DUMMYFUNCTION("""COMPUTED_VALUE"""),-2.5)</f>
        <v>-2.5</v>
      </c>
      <c r="V937" s="4">
        <f>IFERROR(__xludf.DUMMYFUNCTION("""COMPUTED_VALUE"""),-0.4)</f>
        <v>-0.4</v>
      </c>
    </row>
    <row r="938">
      <c r="A938" s="4">
        <f>IFERROR(__xludf.DUMMYFUNCTION("""COMPUTED_VALUE"""),11.0)</f>
        <v>11</v>
      </c>
      <c r="B938" s="4">
        <f>IFERROR(__xludf.DUMMYFUNCTION("""COMPUTED_VALUE"""),11.0)</f>
        <v>11</v>
      </c>
      <c r="C938" s="4" t="str">
        <f>IFERROR(__xludf.DUMMYFUNCTION("""COMPUTED_VALUE"""),"GSW")</f>
        <v>GSW</v>
      </c>
      <c r="D938" s="4" t="str">
        <f>IFERROR(__xludf.DUMMYFUNCTION("""COMPUTED_VALUE"""),"Klay Thompson")</f>
        <v>Klay Thompson</v>
      </c>
      <c r="E938" s="4" t="str">
        <f>IFERROR(__xludf.DUMMYFUNCTION("""COMPUTED_VALUE"""),"Washington State")</f>
        <v>Washington State</v>
      </c>
      <c r="F938" s="4">
        <f>IFERROR(__xludf.DUMMYFUNCTION("""COMPUTED_VALUE"""),13.0)</f>
        <v>13</v>
      </c>
      <c r="G938" s="4">
        <f>IFERROR(__xludf.DUMMYFUNCTION("""COMPUTED_VALUE"""),886.0)</f>
        <v>886</v>
      </c>
      <c r="H938" s="4">
        <f>IFERROR(__xludf.DUMMYFUNCTION("""COMPUTED_VALUE"""),28267.0)</f>
        <v>28267</v>
      </c>
      <c r="I938" s="4">
        <f>IFERROR(__xludf.DUMMYFUNCTION("""COMPUTED_VALUE"""),16769.0)</f>
        <v>16769</v>
      </c>
      <c r="J938" s="4">
        <f>IFERROR(__xludf.DUMMYFUNCTION("""COMPUTED_VALUE"""),3093.0)</f>
        <v>3093</v>
      </c>
      <c r="K938" s="4">
        <f>IFERROR(__xludf.DUMMYFUNCTION("""COMPUTED_VALUE"""),2018.0)</f>
        <v>2018</v>
      </c>
      <c r="L938" s="4">
        <f>IFERROR(__xludf.DUMMYFUNCTION("""COMPUTED_VALUE"""),0.449)</f>
        <v>0.449</v>
      </c>
      <c r="M938" s="4">
        <f>IFERROR(__xludf.DUMMYFUNCTION("""COMPUTED_VALUE"""),0.41)</f>
        <v>0.41</v>
      </c>
      <c r="N938" s="4">
        <f>IFERROR(__xludf.DUMMYFUNCTION("""COMPUTED_VALUE"""),0.859)</f>
        <v>0.859</v>
      </c>
      <c r="O938" s="4">
        <f>IFERROR(__xludf.DUMMYFUNCTION("""COMPUTED_VALUE"""),31.9)</f>
        <v>31.9</v>
      </c>
      <c r="P938" s="4">
        <f>IFERROR(__xludf.DUMMYFUNCTION("""COMPUTED_VALUE"""),18.9)</f>
        <v>18.9</v>
      </c>
      <c r="Q938" s="4">
        <f>IFERROR(__xludf.DUMMYFUNCTION("""COMPUTED_VALUE"""),3.5)</f>
        <v>3.5</v>
      </c>
      <c r="R938" s="4">
        <f>IFERROR(__xludf.DUMMYFUNCTION("""COMPUTED_VALUE"""),2.3)</f>
        <v>2.3</v>
      </c>
      <c r="S938" s="4">
        <f>IFERROR(__xludf.DUMMYFUNCTION("""COMPUTED_VALUE"""),57.2)</f>
        <v>57.2</v>
      </c>
      <c r="T938" s="4">
        <f>IFERROR(__xludf.DUMMYFUNCTION("""COMPUTED_VALUE"""),0.097)</f>
        <v>0.097</v>
      </c>
      <c r="U938" s="4">
        <f>IFERROR(__xludf.DUMMYFUNCTION("""COMPUTED_VALUE"""),0.4)</f>
        <v>0.4</v>
      </c>
      <c r="V938" s="4">
        <f>IFERROR(__xludf.DUMMYFUNCTION("""COMPUTED_VALUE"""),17.3)</f>
        <v>17.3</v>
      </c>
    </row>
    <row r="939">
      <c r="A939" s="4">
        <f>IFERROR(__xludf.DUMMYFUNCTION("""COMPUTED_VALUE"""),12.0)</f>
        <v>12</v>
      </c>
      <c r="B939" s="4">
        <f>IFERROR(__xludf.DUMMYFUNCTION("""COMPUTED_VALUE"""),12.0)</f>
        <v>12</v>
      </c>
      <c r="C939" s="4" t="str">
        <f>IFERROR(__xludf.DUMMYFUNCTION("""COMPUTED_VALUE"""),"UTA")</f>
        <v>UTA</v>
      </c>
      <c r="D939" s="4" t="str">
        <f>IFERROR(__xludf.DUMMYFUNCTION("""COMPUTED_VALUE"""),"Alec Burks")</f>
        <v>Alec Burks</v>
      </c>
      <c r="E939" s="4" t="str">
        <f>IFERROR(__xludf.DUMMYFUNCTION("""COMPUTED_VALUE"""),"Colorado")</f>
        <v>Colorado</v>
      </c>
      <c r="F939" s="4">
        <f>IFERROR(__xludf.DUMMYFUNCTION("""COMPUTED_VALUE"""),14.0)</f>
        <v>14</v>
      </c>
      <c r="G939" s="4">
        <f>IFERROR(__xludf.DUMMYFUNCTION("""COMPUTED_VALUE"""),791.0)</f>
        <v>791</v>
      </c>
      <c r="H939" s="4">
        <f>IFERROR(__xludf.DUMMYFUNCTION("""COMPUTED_VALUE"""),17576.0)</f>
        <v>17576</v>
      </c>
      <c r="I939" s="4">
        <f>IFERROR(__xludf.DUMMYFUNCTION("""COMPUTED_VALUE"""),8346.0)</f>
        <v>8346</v>
      </c>
      <c r="J939" s="4">
        <f>IFERROR(__xludf.DUMMYFUNCTION("""COMPUTED_VALUE"""),2642.0)</f>
        <v>2642</v>
      </c>
      <c r="K939" s="4">
        <f>IFERROR(__xludf.DUMMYFUNCTION("""COMPUTED_VALUE"""),1521.0)</f>
        <v>1521</v>
      </c>
      <c r="L939" s="4">
        <f>IFERROR(__xludf.DUMMYFUNCTION("""COMPUTED_VALUE"""),0.415)</f>
        <v>0.415</v>
      </c>
      <c r="M939" s="4">
        <f>IFERROR(__xludf.DUMMYFUNCTION("""COMPUTED_VALUE"""),0.386)</f>
        <v>0.386</v>
      </c>
      <c r="N939" s="4">
        <f>IFERROR(__xludf.DUMMYFUNCTION("""COMPUTED_VALUE"""),0.805)</f>
        <v>0.805</v>
      </c>
      <c r="O939" s="4">
        <f>IFERROR(__xludf.DUMMYFUNCTION("""COMPUTED_VALUE"""),22.2)</f>
        <v>22.2</v>
      </c>
      <c r="P939" s="4">
        <f>IFERROR(__xludf.DUMMYFUNCTION("""COMPUTED_VALUE"""),10.6)</f>
        <v>10.6</v>
      </c>
      <c r="Q939" s="4">
        <f>IFERROR(__xludf.DUMMYFUNCTION("""COMPUTED_VALUE"""),3.3)</f>
        <v>3.3</v>
      </c>
      <c r="R939" s="4">
        <f>IFERROR(__xludf.DUMMYFUNCTION("""COMPUTED_VALUE"""),1.9)</f>
        <v>1.9</v>
      </c>
      <c r="S939" s="4">
        <f>IFERROR(__xludf.DUMMYFUNCTION("""COMPUTED_VALUE"""),31.7)</f>
        <v>31.7</v>
      </c>
      <c r="T939" s="4">
        <f>IFERROR(__xludf.DUMMYFUNCTION("""COMPUTED_VALUE"""),0.087)</f>
        <v>0.087</v>
      </c>
      <c r="U939" s="4">
        <f>IFERROR(__xludf.DUMMYFUNCTION("""COMPUTED_VALUE"""),-0.5)</f>
        <v>-0.5</v>
      </c>
      <c r="V939" s="4">
        <f>IFERROR(__xludf.DUMMYFUNCTION("""COMPUTED_VALUE"""),6.6)</f>
        <v>6.6</v>
      </c>
    </row>
    <row r="940">
      <c r="A940" s="4">
        <f>IFERROR(__xludf.DUMMYFUNCTION("""COMPUTED_VALUE"""),13.0)</f>
        <v>13</v>
      </c>
      <c r="B940" s="4">
        <f>IFERROR(__xludf.DUMMYFUNCTION("""COMPUTED_VALUE"""),13.0)</f>
        <v>13</v>
      </c>
      <c r="C940" s="4" t="str">
        <f>IFERROR(__xludf.DUMMYFUNCTION("""COMPUTED_VALUE"""),"PHO")</f>
        <v>PHO</v>
      </c>
      <c r="D940" s="4" t="str">
        <f>IFERROR(__xludf.DUMMYFUNCTION("""COMPUTED_VALUE"""),"Markieff Morris")</f>
        <v>Markieff Morris</v>
      </c>
      <c r="E940" s="4" t="str">
        <f>IFERROR(__xludf.DUMMYFUNCTION("""COMPUTED_VALUE"""),"Kansas")</f>
        <v>Kansas</v>
      </c>
      <c r="F940" s="4">
        <f>IFERROR(__xludf.DUMMYFUNCTION("""COMPUTED_VALUE"""),14.0)</f>
        <v>14</v>
      </c>
      <c r="G940" s="4">
        <f>IFERROR(__xludf.DUMMYFUNCTION("""COMPUTED_VALUE"""),791.0)</f>
        <v>791</v>
      </c>
      <c r="H940" s="4">
        <f>IFERROR(__xludf.DUMMYFUNCTION("""COMPUTED_VALUE"""),18460.0)</f>
        <v>18460</v>
      </c>
      <c r="I940" s="4">
        <f>IFERROR(__xludf.DUMMYFUNCTION("""COMPUTED_VALUE"""),8076.0)</f>
        <v>8076</v>
      </c>
      <c r="J940" s="4">
        <f>IFERROR(__xludf.DUMMYFUNCTION("""COMPUTED_VALUE"""),3847.0)</f>
        <v>3847</v>
      </c>
      <c r="K940" s="4">
        <f>IFERROR(__xludf.DUMMYFUNCTION("""COMPUTED_VALUE"""),1221.0)</f>
        <v>1221</v>
      </c>
      <c r="L940" s="4">
        <f>IFERROR(__xludf.DUMMYFUNCTION("""COMPUTED_VALUE"""),0.443)</f>
        <v>0.443</v>
      </c>
      <c r="M940" s="4">
        <f>IFERROR(__xludf.DUMMYFUNCTION("""COMPUTED_VALUE"""),0.341)</f>
        <v>0.341</v>
      </c>
      <c r="N940" s="4">
        <f>IFERROR(__xludf.DUMMYFUNCTION("""COMPUTED_VALUE"""),0.779)</f>
        <v>0.779</v>
      </c>
      <c r="O940" s="4">
        <f>IFERROR(__xludf.DUMMYFUNCTION("""COMPUTED_VALUE"""),23.3)</f>
        <v>23.3</v>
      </c>
      <c r="P940" s="4">
        <f>IFERROR(__xludf.DUMMYFUNCTION("""COMPUTED_VALUE"""),10.2)</f>
        <v>10.2</v>
      </c>
      <c r="Q940" s="4">
        <f>IFERROR(__xludf.DUMMYFUNCTION("""COMPUTED_VALUE"""),4.9)</f>
        <v>4.9</v>
      </c>
      <c r="R940" s="4">
        <f>IFERROR(__xludf.DUMMYFUNCTION("""COMPUTED_VALUE"""),1.5)</f>
        <v>1.5</v>
      </c>
      <c r="S940" s="4">
        <f>IFERROR(__xludf.DUMMYFUNCTION("""COMPUTED_VALUE"""),27.3)</f>
        <v>27.3</v>
      </c>
      <c r="T940" s="4">
        <f>IFERROR(__xludf.DUMMYFUNCTION("""COMPUTED_VALUE"""),0.071)</f>
        <v>0.071</v>
      </c>
      <c r="U940" s="4">
        <f>IFERROR(__xludf.DUMMYFUNCTION("""COMPUTED_VALUE"""),-1.5)</f>
        <v>-1.5</v>
      </c>
      <c r="V940" s="4">
        <f>IFERROR(__xludf.DUMMYFUNCTION("""COMPUTED_VALUE"""),2.3)</f>
        <v>2.3</v>
      </c>
    </row>
    <row r="941">
      <c r="A941" s="4">
        <f>IFERROR(__xludf.DUMMYFUNCTION("""COMPUTED_VALUE"""),14.0)</f>
        <v>14</v>
      </c>
      <c r="B941" s="4">
        <f>IFERROR(__xludf.DUMMYFUNCTION("""COMPUTED_VALUE"""),14.0)</f>
        <v>14</v>
      </c>
      <c r="C941" s="4" t="str">
        <f>IFERROR(__xludf.DUMMYFUNCTION("""COMPUTED_VALUE"""),"HOU")</f>
        <v>HOU</v>
      </c>
      <c r="D941" s="4" t="str">
        <f>IFERROR(__xludf.DUMMYFUNCTION("""COMPUTED_VALUE"""),"Marcus Morris")</f>
        <v>Marcus Morris</v>
      </c>
      <c r="E941" s="4" t="str">
        <f>IFERROR(__xludf.DUMMYFUNCTION("""COMPUTED_VALUE"""),"Kansas")</f>
        <v>Kansas</v>
      </c>
      <c r="F941" s="4">
        <f>IFERROR(__xludf.DUMMYFUNCTION("""COMPUTED_VALUE"""),13.0)</f>
        <v>13</v>
      </c>
      <c r="G941" s="4">
        <f>IFERROR(__xludf.DUMMYFUNCTION("""COMPUTED_VALUE"""),832.0)</f>
        <v>832</v>
      </c>
      <c r="H941" s="4">
        <f>IFERROR(__xludf.DUMMYFUNCTION("""COMPUTED_VALUE"""),22093.0)</f>
        <v>22093</v>
      </c>
      <c r="I941" s="4">
        <f>IFERROR(__xludf.DUMMYFUNCTION("""COMPUTED_VALUE"""),9965.0)</f>
        <v>9965</v>
      </c>
      <c r="J941" s="4">
        <f>IFERROR(__xludf.DUMMYFUNCTION("""COMPUTED_VALUE"""),3690.0)</f>
        <v>3690</v>
      </c>
      <c r="K941" s="4">
        <f>IFERROR(__xludf.DUMMYFUNCTION("""COMPUTED_VALUE"""),1235.0)</f>
        <v>1235</v>
      </c>
      <c r="L941" s="4">
        <f>IFERROR(__xludf.DUMMYFUNCTION("""COMPUTED_VALUE"""),0.435)</f>
        <v>0.435</v>
      </c>
      <c r="M941" s="4">
        <f>IFERROR(__xludf.DUMMYFUNCTION("""COMPUTED_VALUE"""),0.377)</f>
        <v>0.377</v>
      </c>
      <c r="N941" s="4">
        <f>IFERROR(__xludf.DUMMYFUNCTION("""COMPUTED_VALUE"""),0.774)</f>
        <v>0.774</v>
      </c>
      <c r="O941" s="4">
        <f>IFERROR(__xludf.DUMMYFUNCTION("""COMPUTED_VALUE"""),26.6)</f>
        <v>26.6</v>
      </c>
      <c r="P941" s="4">
        <f>IFERROR(__xludf.DUMMYFUNCTION("""COMPUTED_VALUE"""),12.0)</f>
        <v>12</v>
      </c>
      <c r="Q941" s="4">
        <f>IFERROR(__xludf.DUMMYFUNCTION("""COMPUTED_VALUE"""),4.4)</f>
        <v>4.4</v>
      </c>
      <c r="R941" s="4">
        <f>IFERROR(__xludf.DUMMYFUNCTION("""COMPUTED_VALUE"""),1.5)</f>
        <v>1.5</v>
      </c>
      <c r="S941" s="4">
        <f>IFERROR(__xludf.DUMMYFUNCTION("""COMPUTED_VALUE"""),39.4)</f>
        <v>39.4</v>
      </c>
      <c r="T941" s="4">
        <f>IFERROR(__xludf.DUMMYFUNCTION("""COMPUTED_VALUE"""),0.086)</f>
        <v>0.086</v>
      </c>
      <c r="U941" s="4">
        <f>IFERROR(__xludf.DUMMYFUNCTION("""COMPUTED_VALUE"""),-0.8)</f>
        <v>-0.8</v>
      </c>
      <c r="V941" s="4">
        <f>IFERROR(__xludf.DUMMYFUNCTION("""COMPUTED_VALUE"""),6.7)</f>
        <v>6.7</v>
      </c>
    </row>
    <row r="942">
      <c r="A942" s="4">
        <f>IFERROR(__xludf.DUMMYFUNCTION("""COMPUTED_VALUE"""),15.0)</f>
        <v>15</v>
      </c>
      <c r="B942" s="4">
        <f>IFERROR(__xludf.DUMMYFUNCTION("""COMPUTED_VALUE"""),15.0)</f>
        <v>15</v>
      </c>
      <c r="C942" s="4" t="str">
        <f>IFERROR(__xludf.DUMMYFUNCTION("""COMPUTED_VALUE"""),"IND")</f>
        <v>IND</v>
      </c>
      <c r="D942" s="4" t="str">
        <f>IFERROR(__xludf.DUMMYFUNCTION("""COMPUTED_VALUE"""),"Kawhi Leonard")</f>
        <v>Kawhi Leonard</v>
      </c>
      <c r="E942" s="4" t="str">
        <f>IFERROR(__xludf.DUMMYFUNCTION("""COMPUTED_VALUE"""),"San Diego State")</f>
        <v>San Diego State</v>
      </c>
      <c r="F942" s="4">
        <f>IFERROR(__xludf.DUMMYFUNCTION("""COMPUTED_VALUE"""),14.0)</f>
        <v>14</v>
      </c>
      <c r="G942" s="4">
        <f>IFERROR(__xludf.DUMMYFUNCTION("""COMPUTED_VALUE"""),744.0)</f>
        <v>744</v>
      </c>
      <c r="H942" s="4">
        <f>IFERROR(__xludf.DUMMYFUNCTION("""COMPUTED_VALUE"""),23626.0)</f>
        <v>23626</v>
      </c>
      <c r="I942" s="4">
        <f>IFERROR(__xludf.DUMMYFUNCTION("""COMPUTED_VALUE"""),15023.0)</f>
        <v>15023</v>
      </c>
      <c r="J942" s="4">
        <f>IFERROR(__xludf.DUMMYFUNCTION("""COMPUTED_VALUE"""),4722.0)</f>
        <v>4722</v>
      </c>
      <c r="K942" s="4">
        <f>IFERROR(__xludf.DUMMYFUNCTION("""COMPUTED_VALUE"""),2267.0)</f>
        <v>2267</v>
      </c>
      <c r="L942" s="4">
        <f>IFERROR(__xludf.DUMMYFUNCTION("""COMPUTED_VALUE"""),0.499)</f>
        <v>0.499</v>
      </c>
      <c r="M942" s="4">
        <f>IFERROR(__xludf.DUMMYFUNCTION("""COMPUTED_VALUE"""),0.393)</f>
        <v>0.393</v>
      </c>
      <c r="N942" s="4">
        <f>IFERROR(__xludf.DUMMYFUNCTION("""COMPUTED_VALUE"""),0.862)</f>
        <v>0.862</v>
      </c>
      <c r="O942" s="4">
        <f>IFERROR(__xludf.DUMMYFUNCTION("""COMPUTED_VALUE"""),31.8)</f>
        <v>31.8</v>
      </c>
      <c r="P942" s="4">
        <f>IFERROR(__xludf.DUMMYFUNCTION("""COMPUTED_VALUE"""),20.2)</f>
        <v>20.2</v>
      </c>
      <c r="Q942" s="4">
        <f>IFERROR(__xludf.DUMMYFUNCTION("""COMPUTED_VALUE"""),6.3)</f>
        <v>6.3</v>
      </c>
      <c r="R942" s="4">
        <f>IFERROR(__xludf.DUMMYFUNCTION("""COMPUTED_VALUE"""),3.0)</f>
        <v>3</v>
      </c>
      <c r="S942" s="4">
        <f>IFERROR(__xludf.DUMMYFUNCTION("""COMPUTED_VALUE"""),104.0)</f>
        <v>104</v>
      </c>
      <c r="T942" s="4">
        <f>IFERROR(__xludf.DUMMYFUNCTION("""COMPUTED_VALUE"""),0.211)</f>
        <v>0.211</v>
      </c>
      <c r="U942" s="4">
        <f>IFERROR(__xludf.DUMMYFUNCTION("""COMPUTED_VALUE"""),6.5)</f>
        <v>6.5</v>
      </c>
      <c r="V942" s="4">
        <f>IFERROR(__xludf.DUMMYFUNCTION("""COMPUTED_VALUE"""),50.6)</f>
        <v>50.6</v>
      </c>
    </row>
    <row r="943">
      <c r="A943" s="4">
        <f>IFERROR(__xludf.DUMMYFUNCTION("""COMPUTED_VALUE"""),16.0)</f>
        <v>16</v>
      </c>
      <c r="B943" s="4">
        <f>IFERROR(__xludf.DUMMYFUNCTION("""COMPUTED_VALUE"""),16.0)</f>
        <v>16</v>
      </c>
      <c r="C943" s="4" t="str">
        <f>IFERROR(__xludf.DUMMYFUNCTION("""COMPUTED_VALUE"""),"PHI")</f>
        <v>PHI</v>
      </c>
      <c r="D943" s="4" t="str">
        <f>IFERROR(__xludf.DUMMYFUNCTION("""COMPUTED_VALUE"""),"Nikola Vučević")</f>
        <v>Nikola Vučević</v>
      </c>
      <c r="E943" s="4" t="str">
        <f>IFERROR(__xludf.DUMMYFUNCTION("""COMPUTED_VALUE"""),"USC")</f>
        <v>USC</v>
      </c>
      <c r="F943" s="4">
        <f>IFERROR(__xludf.DUMMYFUNCTION("""COMPUTED_VALUE"""),15.0)</f>
        <v>15</v>
      </c>
      <c r="G943" s="4">
        <f>IFERROR(__xludf.DUMMYFUNCTION("""COMPUTED_VALUE"""),991.0)</f>
        <v>991</v>
      </c>
      <c r="H943" s="4">
        <f>IFERROR(__xludf.DUMMYFUNCTION("""COMPUTED_VALUE"""),31089.0)</f>
        <v>31089</v>
      </c>
      <c r="I943" s="4">
        <f>IFERROR(__xludf.DUMMYFUNCTION("""COMPUTED_VALUE"""),17035.0)</f>
        <v>17035</v>
      </c>
      <c r="J943" s="4">
        <f>IFERROR(__xludf.DUMMYFUNCTION("""COMPUTED_VALUE"""),10357.0)</f>
        <v>10357</v>
      </c>
      <c r="K943" s="4">
        <f>IFERROR(__xludf.DUMMYFUNCTION("""COMPUTED_VALUE"""),2881.0)</f>
        <v>2881</v>
      </c>
      <c r="L943" s="4">
        <f>IFERROR(__xludf.DUMMYFUNCTION("""COMPUTED_VALUE"""),0.497)</f>
        <v>0.497</v>
      </c>
      <c r="M943" s="4">
        <f>IFERROR(__xludf.DUMMYFUNCTION("""COMPUTED_VALUE"""),0.35)</f>
        <v>0.35</v>
      </c>
      <c r="N943" s="4">
        <f>IFERROR(__xludf.DUMMYFUNCTION("""COMPUTED_VALUE"""),0.771)</f>
        <v>0.771</v>
      </c>
      <c r="O943" s="4">
        <f>IFERROR(__xludf.DUMMYFUNCTION("""COMPUTED_VALUE"""),31.4)</f>
        <v>31.4</v>
      </c>
      <c r="P943" s="4">
        <f>IFERROR(__xludf.DUMMYFUNCTION("""COMPUTED_VALUE"""),17.2)</f>
        <v>17.2</v>
      </c>
      <c r="Q943" s="4">
        <f>IFERROR(__xludf.DUMMYFUNCTION("""COMPUTED_VALUE"""),10.5)</f>
        <v>10.5</v>
      </c>
      <c r="R943" s="4">
        <f>IFERROR(__xludf.DUMMYFUNCTION("""COMPUTED_VALUE"""),2.9)</f>
        <v>2.9</v>
      </c>
      <c r="S943" s="4">
        <f>IFERROR(__xludf.DUMMYFUNCTION("""COMPUTED_VALUE"""),81.4)</f>
        <v>81.4</v>
      </c>
      <c r="T943" s="4">
        <f>IFERROR(__xludf.DUMMYFUNCTION("""COMPUTED_VALUE"""),0.126)</f>
        <v>0.126</v>
      </c>
      <c r="U943" s="4">
        <f>IFERROR(__xludf.DUMMYFUNCTION("""COMPUTED_VALUE"""),2.1)</f>
        <v>2.1</v>
      </c>
      <c r="V943" s="4">
        <f>IFERROR(__xludf.DUMMYFUNCTION("""COMPUTED_VALUE"""),32.1)</f>
        <v>32.1</v>
      </c>
    </row>
    <row r="944">
      <c r="A944" s="4">
        <f>IFERROR(__xludf.DUMMYFUNCTION("""COMPUTED_VALUE"""),17.0)</f>
        <v>17</v>
      </c>
      <c r="B944" s="4">
        <f>IFERROR(__xludf.DUMMYFUNCTION("""COMPUTED_VALUE"""),17.0)</f>
        <v>17</v>
      </c>
      <c r="C944" s="4" t="str">
        <f>IFERROR(__xludf.DUMMYFUNCTION("""COMPUTED_VALUE"""),"NYK")</f>
        <v>NYK</v>
      </c>
      <c r="D944" s="4" t="str">
        <f>IFERROR(__xludf.DUMMYFUNCTION("""COMPUTED_VALUE"""),"Iman Shumpert")</f>
        <v>Iman Shumpert</v>
      </c>
      <c r="E944" s="4" t="str">
        <f>IFERROR(__xludf.DUMMYFUNCTION("""COMPUTED_VALUE"""),"Georgia Tech")</f>
        <v>Georgia Tech</v>
      </c>
      <c r="F944" s="4">
        <f>IFERROR(__xludf.DUMMYFUNCTION("""COMPUTED_VALUE"""),10.0)</f>
        <v>10</v>
      </c>
      <c r="G944" s="4">
        <f>IFERROR(__xludf.DUMMYFUNCTION("""COMPUTED_VALUE"""),461.0)</f>
        <v>461</v>
      </c>
      <c r="H944" s="4">
        <f>IFERROR(__xludf.DUMMYFUNCTION("""COMPUTED_VALUE"""),11470.0)</f>
        <v>11470</v>
      </c>
      <c r="I944" s="4">
        <f>IFERROR(__xludf.DUMMYFUNCTION("""COMPUTED_VALUE"""),3320.0)</f>
        <v>3320</v>
      </c>
      <c r="J944" s="4">
        <f>IFERROR(__xludf.DUMMYFUNCTION("""COMPUTED_VALUE"""),1534.0)</f>
        <v>1534</v>
      </c>
      <c r="K944" s="4">
        <f>IFERROR(__xludf.DUMMYFUNCTION("""COMPUTED_VALUE"""),845.0)</f>
        <v>845</v>
      </c>
      <c r="L944" s="4">
        <f>IFERROR(__xludf.DUMMYFUNCTION("""COMPUTED_VALUE"""),0.391)</f>
        <v>0.391</v>
      </c>
      <c r="M944" s="4">
        <f>IFERROR(__xludf.DUMMYFUNCTION("""COMPUTED_VALUE"""),0.337)</f>
        <v>0.337</v>
      </c>
      <c r="N944" s="4">
        <f>IFERROR(__xludf.DUMMYFUNCTION("""COMPUTED_VALUE"""),0.764)</f>
        <v>0.764</v>
      </c>
      <c r="O944" s="4">
        <f>IFERROR(__xludf.DUMMYFUNCTION("""COMPUTED_VALUE"""),24.9)</f>
        <v>24.9</v>
      </c>
      <c r="P944" s="4">
        <f>IFERROR(__xludf.DUMMYFUNCTION("""COMPUTED_VALUE"""),7.2)</f>
        <v>7.2</v>
      </c>
      <c r="Q944" s="4">
        <f>IFERROR(__xludf.DUMMYFUNCTION("""COMPUTED_VALUE"""),3.3)</f>
        <v>3.3</v>
      </c>
      <c r="R944" s="4">
        <f>IFERROR(__xludf.DUMMYFUNCTION("""COMPUTED_VALUE"""),1.8)</f>
        <v>1.8</v>
      </c>
      <c r="S944" s="4">
        <f>IFERROR(__xludf.DUMMYFUNCTION("""COMPUTED_VALUE"""),12.9)</f>
        <v>12.9</v>
      </c>
      <c r="T944" s="4">
        <f>IFERROR(__xludf.DUMMYFUNCTION("""COMPUTED_VALUE"""),0.054)</f>
        <v>0.054</v>
      </c>
      <c r="U944" s="4">
        <f>IFERROR(__xludf.DUMMYFUNCTION("""COMPUTED_VALUE"""),-1.7)</f>
        <v>-1.7</v>
      </c>
      <c r="V944" s="4">
        <f>IFERROR(__xludf.DUMMYFUNCTION("""COMPUTED_VALUE"""),0.9)</f>
        <v>0.9</v>
      </c>
    </row>
    <row r="945">
      <c r="A945" s="4">
        <f>IFERROR(__xludf.DUMMYFUNCTION("""COMPUTED_VALUE"""),18.0)</f>
        <v>18</v>
      </c>
      <c r="B945" s="4">
        <f>IFERROR(__xludf.DUMMYFUNCTION("""COMPUTED_VALUE"""),18.0)</f>
        <v>18</v>
      </c>
      <c r="C945" s="4" t="str">
        <f>IFERROR(__xludf.DUMMYFUNCTION("""COMPUTED_VALUE"""),"WAS")</f>
        <v>WAS</v>
      </c>
      <c r="D945" s="4" t="str">
        <f>IFERROR(__xludf.DUMMYFUNCTION("""COMPUTED_VALUE"""),"Chris Singleton")</f>
        <v>Chris Singleton</v>
      </c>
      <c r="E945" s="4" t="str">
        <f>IFERROR(__xludf.DUMMYFUNCTION("""COMPUTED_VALUE"""),"Florida State")</f>
        <v>Florida State</v>
      </c>
      <c r="F945" s="4">
        <f>IFERROR(__xludf.DUMMYFUNCTION("""COMPUTED_VALUE"""),3.0)</f>
        <v>3</v>
      </c>
      <c r="G945" s="4">
        <f>IFERROR(__xludf.DUMMYFUNCTION("""COMPUTED_VALUE"""),148.0)</f>
        <v>148</v>
      </c>
      <c r="H945" s="4">
        <f>IFERROR(__xludf.DUMMYFUNCTION("""COMPUTED_VALUE"""),2605.0)</f>
        <v>2605</v>
      </c>
      <c r="I945" s="4">
        <f>IFERROR(__xludf.DUMMYFUNCTION("""COMPUTED_VALUE"""),612.0)</f>
        <v>612</v>
      </c>
      <c r="J945" s="4">
        <f>IFERROR(__xludf.DUMMYFUNCTION("""COMPUTED_VALUE"""),472.0)</f>
        <v>472</v>
      </c>
      <c r="K945" s="4">
        <f>IFERROR(__xludf.DUMMYFUNCTION("""COMPUTED_VALUE"""),92.0)</f>
        <v>92</v>
      </c>
      <c r="L945" s="4">
        <f>IFERROR(__xludf.DUMMYFUNCTION("""COMPUTED_VALUE"""),0.376)</f>
        <v>0.376</v>
      </c>
      <c r="M945" s="4">
        <f>IFERROR(__xludf.DUMMYFUNCTION("""COMPUTED_VALUE"""),0.319)</f>
        <v>0.319</v>
      </c>
      <c r="N945" s="4">
        <f>IFERROR(__xludf.DUMMYFUNCTION("""COMPUTED_VALUE"""),0.633)</f>
        <v>0.633</v>
      </c>
      <c r="O945" s="4">
        <f>IFERROR(__xludf.DUMMYFUNCTION("""COMPUTED_VALUE"""),17.6)</f>
        <v>17.6</v>
      </c>
      <c r="P945" s="4">
        <f>IFERROR(__xludf.DUMMYFUNCTION("""COMPUTED_VALUE"""),4.1)</f>
        <v>4.1</v>
      </c>
      <c r="Q945" s="4">
        <f>IFERROR(__xludf.DUMMYFUNCTION("""COMPUTED_VALUE"""),3.2)</f>
        <v>3.2</v>
      </c>
      <c r="R945" s="4">
        <f>IFERROR(__xludf.DUMMYFUNCTION("""COMPUTED_VALUE"""),0.6)</f>
        <v>0.6</v>
      </c>
      <c r="S945" s="4">
        <f>IFERROR(__xludf.DUMMYFUNCTION("""COMPUTED_VALUE"""),2.3)</f>
        <v>2.3</v>
      </c>
      <c r="T945" s="4">
        <f>IFERROR(__xludf.DUMMYFUNCTION("""COMPUTED_VALUE"""),0.042)</f>
        <v>0.042</v>
      </c>
      <c r="U945" s="4">
        <f>IFERROR(__xludf.DUMMYFUNCTION("""COMPUTED_VALUE"""),-3.2)</f>
        <v>-3.2</v>
      </c>
      <c r="V945" s="4">
        <f>IFERROR(__xludf.DUMMYFUNCTION("""COMPUTED_VALUE"""),-0.8)</f>
        <v>-0.8</v>
      </c>
    </row>
    <row r="946">
      <c r="A946" s="4">
        <f>IFERROR(__xludf.DUMMYFUNCTION("""COMPUTED_VALUE"""),19.0)</f>
        <v>19</v>
      </c>
      <c r="B946" s="4">
        <f>IFERROR(__xludf.DUMMYFUNCTION("""COMPUTED_VALUE"""),19.0)</f>
        <v>19</v>
      </c>
      <c r="C946" s="4" t="str">
        <f>IFERROR(__xludf.DUMMYFUNCTION("""COMPUTED_VALUE"""),"CHA")</f>
        <v>CHA</v>
      </c>
      <c r="D946" s="4" t="str">
        <f>IFERROR(__xludf.DUMMYFUNCTION("""COMPUTED_VALUE"""),"Tobias Harris")</f>
        <v>Tobias Harris</v>
      </c>
      <c r="E946" s="4" t="str">
        <f>IFERROR(__xludf.DUMMYFUNCTION("""COMPUTED_VALUE"""),"Tennessee")</f>
        <v>Tennessee</v>
      </c>
      <c r="F946" s="4">
        <f>IFERROR(__xludf.DUMMYFUNCTION("""COMPUTED_VALUE"""),15.0)</f>
        <v>15</v>
      </c>
      <c r="G946" s="4">
        <f>IFERROR(__xludf.DUMMYFUNCTION("""COMPUTED_VALUE"""),982.0)</f>
        <v>982</v>
      </c>
      <c r="H946" s="4">
        <f>IFERROR(__xludf.DUMMYFUNCTION("""COMPUTED_VALUE"""),31084.0)</f>
        <v>31084</v>
      </c>
      <c r="I946" s="4">
        <f>IFERROR(__xludf.DUMMYFUNCTION("""COMPUTED_VALUE"""),15780.0)</f>
        <v>15780</v>
      </c>
      <c r="J946" s="4">
        <f>IFERROR(__xludf.DUMMYFUNCTION("""COMPUTED_VALUE"""),6031.0)</f>
        <v>6031</v>
      </c>
      <c r="K946" s="4">
        <f>IFERROR(__xludf.DUMMYFUNCTION("""COMPUTED_VALUE"""),2323.0)</f>
        <v>2323</v>
      </c>
      <c r="L946" s="4">
        <f>IFERROR(__xludf.DUMMYFUNCTION("""COMPUTED_VALUE"""),0.478)</f>
        <v>0.478</v>
      </c>
      <c r="M946" s="4">
        <f>IFERROR(__xludf.DUMMYFUNCTION("""COMPUTED_VALUE"""),0.366)</f>
        <v>0.366</v>
      </c>
      <c r="N946" s="4">
        <f>IFERROR(__xludf.DUMMYFUNCTION("""COMPUTED_VALUE"""),0.837)</f>
        <v>0.837</v>
      </c>
      <c r="O946" s="4">
        <f>IFERROR(__xludf.DUMMYFUNCTION("""COMPUTED_VALUE"""),31.7)</f>
        <v>31.7</v>
      </c>
      <c r="P946" s="4">
        <f>IFERROR(__xludf.DUMMYFUNCTION("""COMPUTED_VALUE"""),16.1)</f>
        <v>16.1</v>
      </c>
      <c r="Q946" s="4">
        <f>IFERROR(__xludf.DUMMYFUNCTION("""COMPUTED_VALUE"""),6.1)</f>
        <v>6.1</v>
      </c>
      <c r="R946" s="4">
        <f>IFERROR(__xludf.DUMMYFUNCTION("""COMPUTED_VALUE"""),2.4)</f>
        <v>2.4</v>
      </c>
      <c r="S946" s="4">
        <f>IFERROR(__xludf.DUMMYFUNCTION("""COMPUTED_VALUE"""),76.2)</f>
        <v>76.2</v>
      </c>
      <c r="T946" s="4">
        <f>IFERROR(__xludf.DUMMYFUNCTION("""COMPUTED_VALUE"""),0.118)</f>
        <v>0.118</v>
      </c>
      <c r="U946" s="4">
        <f>IFERROR(__xludf.DUMMYFUNCTION("""COMPUTED_VALUE"""),0.9)</f>
        <v>0.9</v>
      </c>
      <c r="V946" s="4">
        <f>IFERROR(__xludf.DUMMYFUNCTION("""COMPUTED_VALUE"""),23.0)</f>
        <v>23</v>
      </c>
    </row>
    <row r="947">
      <c r="A947" s="4">
        <f>IFERROR(__xludf.DUMMYFUNCTION("""COMPUTED_VALUE"""),20.0)</f>
        <v>20</v>
      </c>
      <c r="B947" s="4">
        <f>IFERROR(__xludf.DUMMYFUNCTION("""COMPUTED_VALUE"""),20.0)</f>
        <v>20</v>
      </c>
      <c r="C947" s="4" t="str">
        <f>IFERROR(__xludf.DUMMYFUNCTION("""COMPUTED_VALUE"""),"MIN")</f>
        <v>MIN</v>
      </c>
      <c r="D947" s="4" t="str">
        <f>IFERROR(__xludf.DUMMYFUNCTION("""COMPUTED_VALUE"""),"Donatas Motiejūnas")</f>
        <v>Donatas Motiejūnas</v>
      </c>
      <c r="E947" s="4"/>
      <c r="F947" s="4">
        <f>IFERROR(__xludf.DUMMYFUNCTION("""COMPUTED_VALUE"""),6.0)</f>
        <v>6</v>
      </c>
      <c r="G947" s="4">
        <f>IFERROR(__xludf.DUMMYFUNCTION("""COMPUTED_VALUE"""),251.0)</f>
        <v>251</v>
      </c>
      <c r="H947" s="4">
        <f>IFERROR(__xludf.DUMMYFUNCTION("""COMPUTED_VALUE"""),4566.0)</f>
        <v>4566</v>
      </c>
      <c r="I947" s="4">
        <f>IFERROR(__xludf.DUMMYFUNCTION("""COMPUTED_VALUE"""),1832.0)</f>
        <v>1832</v>
      </c>
      <c r="J947" s="4">
        <f>IFERROR(__xludf.DUMMYFUNCTION("""COMPUTED_VALUE"""),952.0)</f>
        <v>952</v>
      </c>
      <c r="K947" s="4">
        <f>IFERROR(__xludf.DUMMYFUNCTION("""COMPUTED_VALUE"""),269.0)</f>
        <v>269</v>
      </c>
      <c r="L947" s="4">
        <f>IFERROR(__xludf.DUMMYFUNCTION("""COMPUTED_VALUE"""),0.469)</f>
        <v>0.469</v>
      </c>
      <c r="M947" s="4">
        <f>IFERROR(__xludf.DUMMYFUNCTION("""COMPUTED_VALUE"""),0.3)</f>
        <v>0.3</v>
      </c>
      <c r="N947" s="4">
        <f>IFERROR(__xludf.DUMMYFUNCTION("""COMPUTED_VALUE"""),0.597)</f>
        <v>0.597</v>
      </c>
      <c r="O947" s="4">
        <f>IFERROR(__xludf.DUMMYFUNCTION("""COMPUTED_VALUE"""),18.2)</f>
        <v>18.2</v>
      </c>
      <c r="P947" s="4">
        <f>IFERROR(__xludf.DUMMYFUNCTION("""COMPUTED_VALUE"""),7.3)</f>
        <v>7.3</v>
      </c>
      <c r="Q947" s="4">
        <f>IFERROR(__xludf.DUMMYFUNCTION("""COMPUTED_VALUE"""),3.8)</f>
        <v>3.8</v>
      </c>
      <c r="R947" s="4">
        <f>IFERROR(__xludf.DUMMYFUNCTION("""COMPUTED_VALUE"""),1.1)</f>
        <v>1.1</v>
      </c>
      <c r="S947" s="4">
        <f>IFERROR(__xludf.DUMMYFUNCTION("""COMPUTED_VALUE"""),7.1)</f>
        <v>7.1</v>
      </c>
      <c r="T947" s="4">
        <f>IFERROR(__xludf.DUMMYFUNCTION("""COMPUTED_VALUE"""),0.075)</f>
        <v>0.075</v>
      </c>
      <c r="U947" s="4">
        <f>IFERROR(__xludf.DUMMYFUNCTION("""COMPUTED_VALUE"""),-2.5)</f>
        <v>-2.5</v>
      </c>
      <c r="V947" s="4">
        <f>IFERROR(__xludf.DUMMYFUNCTION("""COMPUTED_VALUE"""),-0.5)</f>
        <v>-0.5</v>
      </c>
    </row>
    <row r="948">
      <c r="A948" s="4">
        <f>IFERROR(__xludf.DUMMYFUNCTION("""COMPUTED_VALUE"""),21.0)</f>
        <v>21</v>
      </c>
      <c r="B948" s="4">
        <f>IFERROR(__xludf.DUMMYFUNCTION("""COMPUTED_VALUE"""),21.0)</f>
        <v>21</v>
      </c>
      <c r="C948" s="4" t="str">
        <f>IFERROR(__xludf.DUMMYFUNCTION("""COMPUTED_VALUE"""),"POR")</f>
        <v>POR</v>
      </c>
      <c r="D948" s="4" t="str">
        <f>IFERROR(__xludf.DUMMYFUNCTION("""COMPUTED_VALUE"""),"Nolan Smith")</f>
        <v>Nolan Smith</v>
      </c>
      <c r="E948" s="4" t="str">
        <f>IFERROR(__xludf.DUMMYFUNCTION("""COMPUTED_VALUE"""),"Duke")</f>
        <v>Duke</v>
      </c>
      <c r="F948" s="4">
        <f>IFERROR(__xludf.DUMMYFUNCTION("""COMPUTED_VALUE"""),2.0)</f>
        <v>2</v>
      </c>
      <c r="G948" s="4">
        <f>IFERROR(__xludf.DUMMYFUNCTION("""COMPUTED_VALUE"""),84.0)</f>
        <v>84</v>
      </c>
      <c r="H948" s="4">
        <f>IFERROR(__xludf.DUMMYFUNCTION("""COMPUTED_VALUE"""),829.0)</f>
        <v>829</v>
      </c>
      <c r="I948" s="4">
        <f>IFERROR(__xludf.DUMMYFUNCTION("""COMPUTED_VALUE"""),277.0)</f>
        <v>277</v>
      </c>
      <c r="J948" s="4">
        <f>IFERROR(__xludf.DUMMYFUNCTION("""COMPUTED_VALUE"""),83.0)</f>
        <v>83</v>
      </c>
      <c r="K948" s="4">
        <f>IFERROR(__xludf.DUMMYFUNCTION("""COMPUTED_VALUE"""),97.0)</f>
        <v>97</v>
      </c>
      <c r="L948" s="4">
        <f>IFERROR(__xludf.DUMMYFUNCTION("""COMPUTED_VALUE"""),0.371)</f>
        <v>0.371</v>
      </c>
      <c r="M948" s="4">
        <f>IFERROR(__xludf.DUMMYFUNCTION("""COMPUTED_VALUE"""),0.26)</f>
        <v>0.26</v>
      </c>
      <c r="N948" s="4">
        <f>IFERROR(__xludf.DUMMYFUNCTION("""COMPUTED_VALUE"""),0.714)</f>
        <v>0.714</v>
      </c>
      <c r="O948" s="4">
        <f>IFERROR(__xludf.DUMMYFUNCTION("""COMPUTED_VALUE"""),9.9)</f>
        <v>9.9</v>
      </c>
      <c r="P948" s="4">
        <f>IFERROR(__xludf.DUMMYFUNCTION("""COMPUTED_VALUE"""),3.3)</f>
        <v>3.3</v>
      </c>
      <c r="Q948" s="4">
        <f>IFERROR(__xludf.DUMMYFUNCTION("""COMPUTED_VALUE"""),1.0)</f>
        <v>1</v>
      </c>
      <c r="R948" s="4">
        <f>IFERROR(__xludf.DUMMYFUNCTION("""COMPUTED_VALUE"""),1.2)</f>
        <v>1.2</v>
      </c>
      <c r="S948" s="4">
        <f>IFERROR(__xludf.DUMMYFUNCTION("""COMPUTED_VALUE"""),-0.8)</f>
        <v>-0.8</v>
      </c>
      <c r="T948" s="4">
        <f>IFERROR(__xludf.DUMMYFUNCTION("""COMPUTED_VALUE"""),-0.047)</f>
        <v>-0.047</v>
      </c>
      <c r="U948" s="4">
        <f>IFERROR(__xludf.DUMMYFUNCTION("""COMPUTED_VALUE"""),-6.0)</f>
        <v>-6</v>
      </c>
      <c r="V948" s="4">
        <f>IFERROR(__xludf.DUMMYFUNCTION("""COMPUTED_VALUE"""),-0.8)</f>
        <v>-0.8</v>
      </c>
    </row>
    <row r="949">
      <c r="A949" s="4">
        <f>IFERROR(__xludf.DUMMYFUNCTION("""COMPUTED_VALUE"""),22.0)</f>
        <v>22</v>
      </c>
      <c r="B949" s="4">
        <f>IFERROR(__xludf.DUMMYFUNCTION("""COMPUTED_VALUE"""),22.0)</f>
        <v>22</v>
      </c>
      <c r="C949" s="4" t="str">
        <f>IFERROR(__xludf.DUMMYFUNCTION("""COMPUTED_VALUE"""),"DEN")</f>
        <v>DEN</v>
      </c>
      <c r="D949" s="4" t="str">
        <f>IFERROR(__xludf.DUMMYFUNCTION("""COMPUTED_VALUE"""),"Kenneth Faried")</f>
        <v>Kenneth Faried</v>
      </c>
      <c r="E949" s="4" t="str">
        <f>IFERROR(__xludf.DUMMYFUNCTION("""COMPUTED_VALUE"""),"Morehead State University")</f>
        <v>Morehead State University</v>
      </c>
      <c r="F949" s="4">
        <f>IFERROR(__xludf.DUMMYFUNCTION("""COMPUTED_VALUE"""),8.0)</f>
        <v>8</v>
      </c>
      <c r="G949" s="4">
        <f>IFERROR(__xludf.DUMMYFUNCTION("""COMPUTED_VALUE"""),478.0)</f>
        <v>478</v>
      </c>
      <c r="H949" s="4">
        <f>IFERROR(__xludf.DUMMYFUNCTION("""COMPUTED_VALUE"""),11728.0)</f>
        <v>11728</v>
      </c>
      <c r="I949" s="4">
        <f>IFERROR(__xludf.DUMMYFUNCTION("""COMPUTED_VALUE"""),5430.0)</f>
        <v>5430</v>
      </c>
      <c r="J949" s="4">
        <f>IFERROR(__xludf.DUMMYFUNCTION("""COMPUTED_VALUE"""),3884.0)</f>
        <v>3884</v>
      </c>
      <c r="K949" s="4">
        <f>IFERROR(__xludf.DUMMYFUNCTION("""COMPUTED_VALUE"""),470.0)</f>
        <v>470</v>
      </c>
      <c r="L949" s="4">
        <f>IFERROR(__xludf.DUMMYFUNCTION("""COMPUTED_VALUE"""),0.546)</f>
        <v>0.546</v>
      </c>
      <c r="M949" s="4">
        <f>IFERROR(__xludf.DUMMYFUNCTION("""COMPUTED_VALUE"""),0.222)</f>
        <v>0.222</v>
      </c>
      <c r="N949" s="4">
        <f>IFERROR(__xludf.DUMMYFUNCTION("""COMPUTED_VALUE"""),0.654)</f>
        <v>0.654</v>
      </c>
      <c r="O949" s="4">
        <f>IFERROR(__xludf.DUMMYFUNCTION("""COMPUTED_VALUE"""),24.5)</f>
        <v>24.5</v>
      </c>
      <c r="P949" s="4">
        <f>IFERROR(__xludf.DUMMYFUNCTION("""COMPUTED_VALUE"""),11.4)</f>
        <v>11.4</v>
      </c>
      <c r="Q949" s="4">
        <f>IFERROR(__xludf.DUMMYFUNCTION("""COMPUTED_VALUE"""),8.1)</f>
        <v>8.1</v>
      </c>
      <c r="R949" s="4">
        <f>IFERROR(__xludf.DUMMYFUNCTION("""COMPUTED_VALUE"""),1.0)</f>
        <v>1</v>
      </c>
      <c r="S949" s="4">
        <f>IFERROR(__xludf.DUMMYFUNCTION("""COMPUTED_VALUE"""),38.8)</f>
        <v>38.8</v>
      </c>
      <c r="T949" s="4">
        <f>IFERROR(__xludf.DUMMYFUNCTION("""COMPUTED_VALUE"""),0.159)</f>
        <v>0.159</v>
      </c>
      <c r="U949" s="4">
        <f>IFERROR(__xludf.DUMMYFUNCTION("""COMPUTED_VALUE"""),0.5)</f>
        <v>0.5</v>
      </c>
      <c r="V949" s="4">
        <f>IFERROR(__xludf.DUMMYFUNCTION("""COMPUTED_VALUE"""),7.5)</f>
        <v>7.5</v>
      </c>
    </row>
    <row r="950">
      <c r="A950" s="4">
        <f>IFERROR(__xludf.DUMMYFUNCTION("""COMPUTED_VALUE"""),23.0)</f>
        <v>23</v>
      </c>
      <c r="B950" s="4">
        <f>IFERROR(__xludf.DUMMYFUNCTION("""COMPUTED_VALUE"""),23.0)</f>
        <v>23</v>
      </c>
      <c r="C950" s="4" t="str">
        <f>IFERROR(__xludf.DUMMYFUNCTION("""COMPUTED_VALUE"""),"HOU")</f>
        <v>HOU</v>
      </c>
      <c r="D950" s="4" t="str">
        <f>IFERROR(__xludf.DUMMYFUNCTION("""COMPUTED_VALUE"""),"Nikola Mirotić")</f>
        <v>Nikola Mirotić</v>
      </c>
      <c r="E950" s="4"/>
      <c r="F950" s="4">
        <f>IFERROR(__xludf.DUMMYFUNCTION("""COMPUTED_VALUE"""),5.0)</f>
        <v>5</v>
      </c>
      <c r="G950" s="4">
        <f>IFERROR(__xludf.DUMMYFUNCTION("""COMPUTED_VALUE"""),319.0)</f>
        <v>319</v>
      </c>
      <c r="H950" s="4">
        <f>IFERROR(__xludf.DUMMYFUNCTION("""COMPUTED_VALUE"""),7718.0)</f>
        <v>7718</v>
      </c>
      <c r="I950" s="4">
        <f>IFERROR(__xludf.DUMMYFUNCTION("""COMPUTED_VALUE"""),3910.0)</f>
        <v>3910</v>
      </c>
      <c r="J950" s="4">
        <f>IFERROR(__xludf.DUMMYFUNCTION("""COMPUTED_VALUE"""),1894.0)</f>
        <v>1894</v>
      </c>
      <c r="K950" s="4">
        <f>IFERROR(__xludf.DUMMYFUNCTION("""COMPUTED_VALUE"""),407.0)</f>
        <v>407</v>
      </c>
      <c r="L950" s="4">
        <f>IFERROR(__xludf.DUMMYFUNCTION("""COMPUTED_VALUE"""),0.423)</f>
        <v>0.423</v>
      </c>
      <c r="M950" s="4">
        <f>IFERROR(__xludf.DUMMYFUNCTION("""COMPUTED_VALUE"""),0.359)</f>
        <v>0.359</v>
      </c>
      <c r="N950" s="4">
        <f>IFERROR(__xludf.DUMMYFUNCTION("""COMPUTED_VALUE"""),0.808)</f>
        <v>0.808</v>
      </c>
      <c r="O950" s="4">
        <f>IFERROR(__xludf.DUMMYFUNCTION("""COMPUTED_VALUE"""),24.2)</f>
        <v>24.2</v>
      </c>
      <c r="P950" s="4">
        <f>IFERROR(__xludf.DUMMYFUNCTION("""COMPUTED_VALUE"""),12.3)</f>
        <v>12.3</v>
      </c>
      <c r="Q950" s="4">
        <f>IFERROR(__xludf.DUMMYFUNCTION("""COMPUTED_VALUE"""),5.9)</f>
        <v>5.9</v>
      </c>
      <c r="R950" s="4">
        <f>IFERROR(__xludf.DUMMYFUNCTION("""COMPUTED_VALUE"""),1.3)</f>
        <v>1.3</v>
      </c>
      <c r="S950" s="4">
        <f>IFERROR(__xludf.DUMMYFUNCTION("""COMPUTED_VALUE"""),20.8)</f>
        <v>20.8</v>
      </c>
      <c r="T950" s="4">
        <f>IFERROR(__xludf.DUMMYFUNCTION("""COMPUTED_VALUE"""),0.129)</f>
        <v>0.129</v>
      </c>
      <c r="U950" s="4">
        <f>IFERROR(__xludf.DUMMYFUNCTION("""COMPUTED_VALUE"""),1.6)</f>
        <v>1.6</v>
      </c>
      <c r="V950" s="4">
        <f>IFERROR(__xludf.DUMMYFUNCTION("""COMPUTED_VALUE"""),7.1)</f>
        <v>7.1</v>
      </c>
    </row>
    <row r="951">
      <c r="A951" s="4">
        <f>IFERROR(__xludf.DUMMYFUNCTION("""COMPUTED_VALUE"""),24.0)</f>
        <v>24</v>
      </c>
      <c r="B951" s="4">
        <f>IFERROR(__xludf.DUMMYFUNCTION("""COMPUTED_VALUE"""),24.0)</f>
        <v>24</v>
      </c>
      <c r="C951" s="4" t="str">
        <f>IFERROR(__xludf.DUMMYFUNCTION("""COMPUTED_VALUE"""),"OKC")</f>
        <v>OKC</v>
      </c>
      <c r="D951" s="4" t="str">
        <f>IFERROR(__xludf.DUMMYFUNCTION("""COMPUTED_VALUE"""),"Reggie Jackson")</f>
        <v>Reggie Jackson</v>
      </c>
      <c r="E951" s="4" t="str">
        <f>IFERROR(__xludf.DUMMYFUNCTION("""COMPUTED_VALUE"""),"Boston College")</f>
        <v>Boston College</v>
      </c>
      <c r="F951" s="4">
        <f>IFERROR(__xludf.DUMMYFUNCTION("""COMPUTED_VALUE"""),14.0)</f>
        <v>14</v>
      </c>
      <c r="G951" s="4">
        <f>IFERROR(__xludf.DUMMYFUNCTION("""COMPUTED_VALUE"""),884.0)</f>
        <v>884</v>
      </c>
      <c r="H951" s="4">
        <f>IFERROR(__xludf.DUMMYFUNCTION("""COMPUTED_VALUE"""),21859.0)</f>
        <v>21859</v>
      </c>
      <c r="I951" s="4">
        <f>IFERROR(__xludf.DUMMYFUNCTION("""COMPUTED_VALUE"""),10845.0)</f>
        <v>10845</v>
      </c>
      <c r="J951" s="4">
        <f>IFERROR(__xludf.DUMMYFUNCTION("""COMPUTED_VALUE"""),2463.0)</f>
        <v>2463</v>
      </c>
      <c r="K951" s="4">
        <f>IFERROR(__xludf.DUMMYFUNCTION("""COMPUTED_VALUE"""),3606.0)</f>
        <v>3606</v>
      </c>
      <c r="L951" s="4">
        <f>IFERROR(__xludf.DUMMYFUNCTION("""COMPUTED_VALUE"""),0.423)</f>
        <v>0.423</v>
      </c>
      <c r="M951" s="4">
        <f>IFERROR(__xludf.DUMMYFUNCTION("""COMPUTED_VALUE"""),0.345)</f>
        <v>0.345</v>
      </c>
      <c r="N951" s="4">
        <f>IFERROR(__xludf.DUMMYFUNCTION("""COMPUTED_VALUE"""),0.854)</f>
        <v>0.854</v>
      </c>
      <c r="O951" s="4">
        <f>IFERROR(__xludf.DUMMYFUNCTION("""COMPUTED_VALUE"""),24.7)</f>
        <v>24.7</v>
      </c>
      <c r="P951" s="4">
        <f>IFERROR(__xludf.DUMMYFUNCTION("""COMPUTED_VALUE"""),12.3)</f>
        <v>12.3</v>
      </c>
      <c r="Q951" s="4">
        <f>IFERROR(__xludf.DUMMYFUNCTION("""COMPUTED_VALUE"""),2.8)</f>
        <v>2.8</v>
      </c>
      <c r="R951" s="4">
        <f>IFERROR(__xludf.DUMMYFUNCTION("""COMPUTED_VALUE"""),4.1)</f>
        <v>4.1</v>
      </c>
      <c r="S951" s="4">
        <f>IFERROR(__xludf.DUMMYFUNCTION("""COMPUTED_VALUE"""),36.3)</f>
        <v>36.3</v>
      </c>
      <c r="T951" s="4">
        <f>IFERROR(__xludf.DUMMYFUNCTION("""COMPUTED_VALUE"""),0.08)</f>
        <v>0.08</v>
      </c>
      <c r="U951" s="4">
        <f>IFERROR(__xludf.DUMMYFUNCTION("""COMPUTED_VALUE"""),-0.6)</f>
        <v>-0.6</v>
      </c>
      <c r="V951" s="4">
        <f>IFERROR(__xludf.DUMMYFUNCTION("""COMPUTED_VALUE"""),7.5)</f>
        <v>7.5</v>
      </c>
    </row>
    <row r="952">
      <c r="A952" s="4">
        <f>IFERROR(__xludf.DUMMYFUNCTION("""COMPUTED_VALUE"""),25.0)</f>
        <v>25</v>
      </c>
      <c r="B952" s="4">
        <f>IFERROR(__xludf.DUMMYFUNCTION("""COMPUTED_VALUE"""),25.0)</f>
        <v>25</v>
      </c>
      <c r="C952" s="4" t="str">
        <f>IFERROR(__xludf.DUMMYFUNCTION("""COMPUTED_VALUE"""),"BOS")</f>
        <v>BOS</v>
      </c>
      <c r="D952" s="4" t="str">
        <f>IFERROR(__xludf.DUMMYFUNCTION("""COMPUTED_VALUE"""),"MarShon Brooks")</f>
        <v>MarShon Brooks</v>
      </c>
      <c r="E952" s="4" t="str">
        <f>IFERROR(__xludf.DUMMYFUNCTION("""COMPUTED_VALUE"""),"Providence")</f>
        <v>Providence</v>
      </c>
      <c r="F952" s="4">
        <f>IFERROR(__xludf.DUMMYFUNCTION("""COMPUTED_VALUE"""),5.0)</f>
        <v>5</v>
      </c>
      <c r="G952" s="4">
        <f>IFERROR(__xludf.DUMMYFUNCTION("""COMPUTED_VALUE"""),200.0)</f>
        <v>200</v>
      </c>
      <c r="H952" s="4">
        <f>IFERROR(__xludf.DUMMYFUNCTION("""COMPUTED_VALUE"""),3456.0)</f>
        <v>3456</v>
      </c>
      <c r="I952" s="4">
        <f>IFERROR(__xludf.DUMMYFUNCTION("""COMPUTED_VALUE"""),1592.0)</f>
        <v>1592</v>
      </c>
      <c r="J952" s="4">
        <f>IFERROR(__xludf.DUMMYFUNCTION("""COMPUTED_VALUE"""),424.0)</f>
        <v>424</v>
      </c>
      <c r="K952" s="4">
        <f>IFERROR(__xludf.DUMMYFUNCTION("""COMPUTED_VALUE"""),282.0)</f>
        <v>282</v>
      </c>
      <c r="L952" s="4">
        <f>IFERROR(__xludf.DUMMYFUNCTION("""COMPUTED_VALUE"""),0.447)</f>
        <v>0.447</v>
      </c>
      <c r="M952" s="4">
        <f>IFERROR(__xludf.DUMMYFUNCTION("""COMPUTED_VALUE"""),0.345)</f>
        <v>0.345</v>
      </c>
      <c r="N952" s="4">
        <f>IFERROR(__xludf.DUMMYFUNCTION("""COMPUTED_VALUE"""),0.751)</f>
        <v>0.751</v>
      </c>
      <c r="O952" s="4">
        <f>IFERROR(__xludf.DUMMYFUNCTION("""COMPUTED_VALUE"""),17.3)</f>
        <v>17.3</v>
      </c>
      <c r="P952" s="4">
        <f>IFERROR(__xludf.DUMMYFUNCTION("""COMPUTED_VALUE"""),8.0)</f>
        <v>8</v>
      </c>
      <c r="Q952" s="4">
        <f>IFERROR(__xludf.DUMMYFUNCTION("""COMPUTED_VALUE"""),2.1)</f>
        <v>2.1</v>
      </c>
      <c r="R952" s="4">
        <f>IFERROR(__xludf.DUMMYFUNCTION("""COMPUTED_VALUE"""),1.4)</f>
        <v>1.4</v>
      </c>
      <c r="S952" s="4">
        <f>IFERROR(__xludf.DUMMYFUNCTION("""COMPUTED_VALUE"""),3.3)</f>
        <v>3.3</v>
      </c>
      <c r="T952" s="4">
        <f>IFERROR(__xludf.DUMMYFUNCTION("""COMPUTED_VALUE"""),0.046)</f>
        <v>0.046</v>
      </c>
      <c r="U952" s="4">
        <f>IFERROR(__xludf.DUMMYFUNCTION("""COMPUTED_VALUE"""),-1.6)</f>
        <v>-1.6</v>
      </c>
      <c r="V952" s="4">
        <f>IFERROR(__xludf.DUMMYFUNCTION("""COMPUTED_VALUE"""),0.4)</f>
        <v>0.4</v>
      </c>
    </row>
    <row r="953">
      <c r="A953" s="4">
        <f>IFERROR(__xludf.DUMMYFUNCTION("""COMPUTED_VALUE"""),26.0)</f>
        <v>26</v>
      </c>
      <c r="B953" s="4">
        <f>IFERROR(__xludf.DUMMYFUNCTION("""COMPUTED_VALUE"""),26.0)</f>
        <v>26</v>
      </c>
      <c r="C953" s="4" t="str">
        <f>IFERROR(__xludf.DUMMYFUNCTION("""COMPUTED_VALUE"""),"DAL")</f>
        <v>DAL</v>
      </c>
      <c r="D953" s="4" t="str">
        <f>IFERROR(__xludf.DUMMYFUNCTION("""COMPUTED_VALUE"""),"Jordan Hamilton")</f>
        <v>Jordan Hamilton</v>
      </c>
      <c r="E953" s="4" t="str">
        <f>IFERROR(__xludf.DUMMYFUNCTION("""COMPUTED_VALUE"""),"Texas")</f>
        <v>Texas</v>
      </c>
      <c r="F953" s="4">
        <f>IFERROR(__xludf.DUMMYFUNCTION("""COMPUTED_VALUE"""),5.0)</f>
        <v>5</v>
      </c>
      <c r="G953" s="4">
        <f>IFERROR(__xludf.DUMMYFUNCTION("""COMPUTED_VALUE"""),151.0)</f>
        <v>151</v>
      </c>
      <c r="H953" s="4">
        <f>IFERROR(__xludf.DUMMYFUNCTION("""COMPUTED_VALUE"""),2100.0)</f>
        <v>2100</v>
      </c>
      <c r="I953" s="4">
        <f>IFERROR(__xludf.DUMMYFUNCTION("""COMPUTED_VALUE"""),890.0)</f>
        <v>890</v>
      </c>
      <c r="J953" s="4">
        <f>IFERROR(__xludf.DUMMYFUNCTION("""COMPUTED_VALUE"""),429.0)</f>
        <v>429</v>
      </c>
      <c r="K953" s="4">
        <f>IFERROR(__xludf.DUMMYFUNCTION("""COMPUTED_VALUE"""),127.0)</f>
        <v>127</v>
      </c>
      <c r="L953" s="4">
        <f>IFERROR(__xludf.DUMMYFUNCTION("""COMPUTED_VALUE"""),0.408)</f>
        <v>0.408</v>
      </c>
      <c r="M953" s="4">
        <f>IFERROR(__xludf.DUMMYFUNCTION("""COMPUTED_VALUE"""),0.357)</f>
        <v>0.357</v>
      </c>
      <c r="N953" s="4">
        <f>IFERROR(__xludf.DUMMYFUNCTION("""COMPUTED_VALUE"""),0.67)</f>
        <v>0.67</v>
      </c>
      <c r="O953" s="4">
        <f>IFERROR(__xludf.DUMMYFUNCTION("""COMPUTED_VALUE"""),13.9)</f>
        <v>13.9</v>
      </c>
      <c r="P953" s="4">
        <f>IFERROR(__xludf.DUMMYFUNCTION("""COMPUTED_VALUE"""),5.9)</f>
        <v>5.9</v>
      </c>
      <c r="Q953" s="4">
        <f>IFERROR(__xludf.DUMMYFUNCTION("""COMPUTED_VALUE"""),2.8)</f>
        <v>2.8</v>
      </c>
      <c r="R953" s="4">
        <f>IFERROR(__xludf.DUMMYFUNCTION("""COMPUTED_VALUE"""),0.8)</f>
        <v>0.8</v>
      </c>
      <c r="S953" s="4">
        <f>IFERROR(__xludf.DUMMYFUNCTION("""COMPUTED_VALUE"""),3.0)</f>
        <v>3</v>
      </c>
      <c r="T953" s="4">
        <f>IFERROR(__xludf.DUMMYFUNCTION("""COMPUTED_VALUE"""),0.069)</f>
        <v>0.069</v>
      </c>
      <c r="U953" s="4">
        <f>IFERROR(__xludf.DUMMYFUNCTION("""COMPUTED_VALUE"""),-0.1)</f>
        <v>-0.1</v>
      </c>
      <c r="V953" s="4">
        <f>IFERROR(__xludf.DUMMYFUNCTION("""COMPUTED_VALUE"""),1.0)</f>
        <v>1</v>
      </c>
    </row>
    <row r="954">
      <c r="A954" s="4">
        <f>IFERROR(__xludf.DUMMYFUNCTION("""COMPUTED_VALUE"""),27.0)</f>
        <v>27</v>
      </c>
      <c r="B954" s="4">
        <f>IFERROR(__xludf.DUMMYFUNCTION("""COMPUTED_VALUE"""),27.0)</f>
        <v>27</v>
      </c>
      <c r="C954" s="4" t="str">
        <f>IFERROR(__xludf.DUMMYFUNCTION("""COMPUTED_VALUE"""),"NJN")</f>
        <v>NJN</v>
      </c>
      <c r="D954" s="4" t="str">
        <f>IFERROR(__xludf.DUMMYFUNCTION("""COMPUTED_VALUE"""),"JaJuan Johnson")</f>
        <v>JaJuan Johnson</v>
      </c>
      <c r="E954" s="4" t="str">
        <f>IFERROR(__xludf.DUMMYFUNCTION("""COMPUTED_VALUE"""),"Purdue")</f>
        <v>Purdue</v>
      </c>
      <c r="F954" s="4">
        <f>IFERROR(__xludf.DUMMYFUNCTION("""COMPUTED_VALUE"""),1.0)</f>
        <v>1</v>
      </c>
      <c r="G954" s="4">
        <f>IFERROR(__xludf.DUMMYFUNCTION("""COMPUTED_VALUE"""),36.0)</f>
        <v>36</v>
      </c>
      <c r="H954" s="4">
        <f>IFERROR(__xludf.DUMMYFUNCTION("""COMPUTED_VALUE"""),298.0)</f>
        <v>298</v>
      </c>
      <c r="I954" s="4">
        <f>IFERROR(__xludf.DUMMYFUNCTION("""COMPUTED_VALUE"""),114.0)</f>
        <v>114</v>
      </c>
      <c r="J954" s="4">
        <f>IFERROR(__xludf.DUMMYFUNCTION("""COMPUTED_VALUE"""),58.0)</f>
        <v>58</v>
      </c>
      <c r="K954" s="4">
        <f>IFERROR(__xludf.DUMMYFUNCTION("""COMPUTED_VALUE"""),6.0)</f>
        <v>6</v>
      </c>
      <c r="L954" s="4">
        <f>IFERROR(__xludf.DUMMYFUNCTION("""COMPUTED_VALUE"""),0.446)</f>
        <v>0.446</v>
      </c>
      <c r="M954" s="4"/>
      <c r="N954" s="4">
        <f>IFERROR(__xludf.DUMMYFUNCTION("""COMPUTED_VALUE"""),0.667)</f>
        <v>0.667</v>
      </c>
      <c r="O954" s="4">
        <f>IFERROR(__xludf.DUMMYFUNCTION("""COMPUTED_VALUE"""),8.3)</f>
        <v>8.3</v>
      </c>
      <c r="P954" s="4">
        <f>IFERROR(__xludf.DUMMYFUNCTION("""COMPUTED_VALUE"""),3.2)</f>
        <v>3.2</v>
      </c>
      <c r="Q954" s="4">
        <f>IFERROR(__xludf.DUMMYFUNCTION("""COMPUTED_VALUE"""),1.6)</f>
        <v>1.6</v>
      </c>
      <c r="R954" s="4">
        <f>IFERROR(__xludf.DUMMYFUNCTION("""COMPUTED_VALUE"""),0.2)</f>
        <v>0.2</v>
      </c>
      <c r="S954" s="4">
        <f>IFERROR(__xludf.DUMMYFUNCTION("""COMPUTED_VALUE"""),0.2)</f>
        <v>0.2</v>
      </c>
      <c r="T954" s="4">
        <f>IFERROR(__xludf.DUMMYFUNCTION("""COMPUTED_VALUE"""),0.032)</f>
        <v>0.032</v>
      </c>
      <c r="U954" s="4">
        <f>IFERROR(__xludf.DUMMYFUNCTION("""COMPUTED_VALUE"""),-3.9)</f>
        <v>-3.9</v>
      </c>
      <c r="V954" s="4">
        <f>IFERROR(__xludf.DUMMYFUNCTION("""COMPUTED_VALUE"""),-0.1)</f>
        <v>-0.1</v>
      </c>
    </row>
    <row r="955">
      <c r="A955" s="4">
        <f>IFERROR(__xludf.DUMMYFUNCTION("""COMPUTED_VALUE"""),28.0)</f>
        <v>28</v>
      </c>
      <c r="B955" s="4">
        <f>IFERROR(__xludf.DUMMYFUNCTION("""COMPUTED_VALUE"""),28.0)</f>
        <v>28</v>
      </c>
      <c r="C955" s="4" t="str">
        <f>IFERROR(__xludf.DUMMYFUNCTION("""COMPUTED_VALUE"""),"CHI")</f>
        <v>CHI</v>
      </c>
      <c r="D955" s="4" t="str">
        <f>IFERROR(__xludf.DUMMYFUNCTION("""COMPUTED_VALUE"""),"Norris Cole")</f>
        <v>Norris Cole</v>
      </c>
      <c r="E955" s="4" t="str">
        <f>IFERROR(__xludf.DUMMYFUNCTION("""COMPUTED_VALUE"""),"Cleveland State University")</f>
        <v>Cleveland State University</v>
      </c>
      <c r="F955" s="4">
        <f>IFERROR(__xludf.DUMMYFUNCTION("""COMPUTED_VALUE"""),6.0)</f>
        <v>6</v>
      </c>
      <c r="G955" s="4">
        <f>IFERROR(__xludf.DUMMYFUNCTION("""COMPUTED_VALUE"""),360.0)</f>
        <v>360</v>
      </c>
      <c r="H955" s="4">
        <f>IFERROR(__xludf.DUMMYFUNCTION("""COMPUTED_VALUE"""),8018.0)</f>
        <v>8018</v>
      </c>
      <c r="I955" s="4">
        <f>IFERROR(__xludf.DUMMYFUNCTION("""COMPUTED_VALUE"""),2506.0)</f>
        <v>2506</v>
      </c>
      <c r="J955" s="4">
        <f>IFERROR(__xludf.DUMMYFUNCTION("""COMPUTED_VALUE"""),702.0)</f>
        <v>702</v>
      </c>
      <c r="K955" s="4">
        <f>IFERROR(__xludf.DUMMYFUNCTION("""COMPUTED_VALUE"""),981.0)</f>
        <v>981</v>
      </c>
      <c r="L955" s="4">
        <f>IFERROR(__xludf.DUMMYFUNCTION("""COMPUTED_VALUE"""),0.407)</f>
        <v>0.407</v>
      </c>
      <c r="M955" s="4">
        <f>IFERROR(__xludf.DUMMYFUNCTION("""COMPUTED_VALUE"""),0.324)</f>
        <v>0.324</v>
      </c>
      <c r="N955" s="4">
        <f>IFERROR(__xludf.DUMMYFUNCTION("""COMPUTED_VALUE"""),0.743)</f>
        <v>0.743</v>
      </c>
      <c r="O955" s="4">
        <f>IFERROR(__xludf.DUMMYFUNCTION("""COMPUTED_VALUE"""),22.3)</f>
        <v>22.3</v>
      </c>
      <c r="P955" s="4">
        <f>IFERROR(__xludf.DUMMYFUNCTION("""COMPUTED_VALUE"""),7.0)</f>
        <v>7</v>
      </c>
      <c r="Q955" s="4">
        <f>IFERROR(__xludf.DUMMYFUNCTION("""COMPUTED_VALUE"""),2.0)</f>
        <v>2</v>
      </c>
      <c r="R955" s="4">
        <f>IFERROR(__xludf.DUMMYFUNCTION("""COMPUTED_VALUE"""),2.7)</f>
        <v>2.7</v>
      </c>
      <c r="S955" s="4">
        <f>IFERROR(__xludf.DUMMYFUNCTION("""COMPUTED_VALUE"""),3.0)</f>
        <v>3</v>
      </c>
      <c r="T955" s="4">
        <f>IFERROR(__xludf.DUMMYFUNCTION("""COMPUTED_VALUE"""),0.018)</f>
        <v>0.018</v>
      </c>
      <c r="U955" s="4">
        <f>IFERROR(__xludf.DUMMYFUNCTION("""COMPUTED_VALUE"""),-4.1)</f>
        <v>-4.1</v>
      </c>
      <c r="V955" s="4">
        <f>IFERROR(__xludf.DUMMYFUNCTION("""COMPUTED_VALUE"""),-4.1)</f>
        <v>-4.1</v>
      </c>
    </row>
    <row r="956">
      <c r="A956" s="4">
        <f>IFERROR(__xludf.DUMMYFUNCTION("""COMPUTED_VALUE"""),29.0)</f>
        <v>29</v>
      </c>
      <c r="B956" s="4">
        <f>IFERROR(__xludf.DUMMYFUNCTION("""COMPUTED_VALUE"""),29.0)</f>
        <v>29</v>
      </c>
      <c r="C956" s="4" t="str">
        <f>IFERROR(__xludf.DUMMYFUNCTION("""COMPUTED_VALUE"""),"SAS")</f>
        <v>SAS</v>
      </c>
      <c r="D956" s="4" t="str">
        <f>IFERROR(__xludf.DUMMYFUNCTION("""COMPUTED_VALUE"""),"Cory Joseph")</f>
        <v>Cory Joseph</v>
      </c>
      <c r="E956" s="4" t="str">
        <f>IFERROR(__xludf.DUMMYFUNCTION("""COMPUTED_VALUE"""),"Texas")</f>
        <v>Texas</v>
      </c>
      <c r="F956" s="4">
        <f>IFERROR(__xludf.DUMMYFUNCTION("""COMPUTED_VALUE"""),14.0)</f>
        <v>14</v>
      </c>
      <c r="G956" s="4">
        <f>IFERROR(__xludf.DUMMYFUNCTION("""COMPUTED_VALUE"""),866.0)</f>
        <v>866</v>
      </c>
      <c r="H956" s="4">
        <f>IFERROR(__xludf.DUMMYFUNCTION("""COMPUTED_VALUE"""),18296.0)</f>
        <v>18296</v>
      </c>
      <c r="I956" s="4">
        <f>IFERROR(__xludf.DUMMYFUNCTION("""COMPUTED_VALUE"""),5828.0)</f>
        <v>5828</v>
      </c>
      <c r="J956" s="4">
        <f>IFERROR(__xludf.DUMMYFUNCTION("""COMPUTED_VALUE"""),2094.0)</f>
        <v>2094</v>
      </c>
      <c r="K956" s="4">
        <f>IFERROR(__xludf.DUMMYFUNCTION("""COMPUTED_VALUE"""),2517.0)</f>
        <v>2517</v>
      </c>
      <c r="L956" s="4">
        <f>IFERROR(__xludf.DUMMYFUNCTION("""COMPUTED_VALUE"""),0.44)</f>
        <v>0.44</v>
      </c>
      <c r="M956" s="4">
        <f>IFERROR(__xludf.DUMMYFUNCTION("""COMPUTED_VALUE"""),0.35)</f>
        <v>0.35</v>
      </c>
      <c r="N956" s="4">
        <f>IFERROR(__xludf.DUMMYFUNCTION("""COMPUTED_VALUE"""),0.786)</f>
        <v>0.786</v>
      </c>
      <c r="O956" s="4">
        <f>IFERROR(__xludf.DUMMYFUNCTION("""COMPUTED_VALUE"""),21.1)</f>
        <v>21.1</v>
      </c>
      <c r="P956" s="4">
        <f>IFERROR(__xludf.DUMMYFUNCTION("""COMPUTED_VALUE"""),6.7)</f>
        <v>6.7</v>
      </c>
      <c r="Q956" s="4">
        <f>IFERROR(__xludf.DUMMYFUNCTION("""COMPUTED_VALUE"""),2.4)</f>
        <v>2.4</v>
      </c>
      <c r="R956" s="4">
        <f>IFERROR(__xludf.DUMMYFUNCTION("""COMPUTED_VALUE"""),2.9)</f>
        <v>2.9</v>
      </c>
      <c r="S956" s="4">
        <f>IFERROR(__xludf.DUMMYFUNCTION("""COMPUTED_VALUE"""),32.1)</f>
        <v>32.1</v>
      </c>
      <c r="T956" s="4">
        <f>IFERROR(__xludf.DUMMYFUNCTION("""COMPUTED_VALUE"""),0.084)</f>
        <v>0.084</v>
      </c>
      <c r="U956" s="4">
        <f>IFERROR(__xludf.DUMMYFUNCTION("""COMPUTED_VALUE"""),-1.1)</f>
        <v>-1.1</v>
      </c>
      <c r="V956" s="4">
        <f>IFERROR(__xludf.DUMMYFUNCTION("""COMPUTED_VALUE"""),4.0)</f>
        <v>4</v>
      </c>
    </row>
    <row r="957">
      <c r="A957" s="4">
        <f>IFERROR(__xludf.DUMMYFUNCTION("""COMPUTED_VALUE"""),30.0)</f>
        <v>30</v>
      </c>
      <c r="B957" s="4">
        <f>IFERROR(__xludf.DUMMYFUNCTION("""COMPUTED_VALUE"""),30.0)</f>
        <v>30</v>
      </c>
      <c r="C957" s="4" t="str">
        <f>IFERROR(__xludf.DUMMYFUNCTION("""COMPUTED_VALUE"""),"CHI")</f>
        <v>CHI</v>
      </c>
      <c r="D957" s="4" t="str">
        <f>IFERROR(__xludf.DUMMYFUNCTION("""COMPUTED_VALUE"""),"Jimmy Butler")</f>
        <v>Jimmy Butler</v>
      </c>
      <c r="E957" s="4" t="str">
        <f>IFERROR(__xludf.DUMMYFUNCTION("""COMPUTED_VALUE"""),"Marquette")</f>
        <v>Marquette</v>
      </c>
      <c r="F957" s="4">
        <f>IFERROR(__xludf.DUMMYFUNCTION("""COMPUTED_VALUE"""),15.0)</f>
        <v>15</v>
      </c>
      <c r="G957" s="4">
        <f>IFERROR(__xludf.DUMMYFUNCTION("""COMPUTED_VALUE"""),889.0)</f>
        <v>889</v>
      </c>
      <c r="H957" s="4">
        <f>IFERROR(__xludf.DUMMYFUNCTION("""COMPUTED_VALUE"""),29407.0)</f>
        <v>29407</v>
      </c>
      <c r="I957" s="4">
        <f>IFERROR(__xludf.DUMMYFUNCTION("""COMPUTED_VALUE"""),16288.0)</f>
        <v>16288</v>
      </c>
      <c r="J957" s="4">
        <f>IFERROR(__xludf.DUMMYFUNCTION("""COMPUTED_VALUE"""),4759.0)</f>
        <v>4759</v>
      </c>
      <c r="K957" s="4">
        <f>IFERROR(__xludf.DUMMYFUNCTION("""COMPUTED_VALUE"""),3871.0)</f>
        <v>3871</v>
      </c>
      <c r="L957" s="4">
        <f>IFERROR(__xludf.DUMMYFUNCTION("""COMPUTED_VALUE"""),0.473)</f>
        <v>0.473</v>
      </c>
      <c r="M957" s="4">
        <f>IFERROR(__xludf.DUMMYFUNCTION("""COMPUTED_VALUE"""),0.33)</f>
        <v>0.33</v>
      </c>
      <c r="N957" s="4">
        <f>IFERROR(__xludf.DUMMYFUNCTION("""COMPUTED_VALUE"""),0.844)</f>
        <v>0.844</v>
      </c>
      <c r="O957" s="4">
        <f>IFERROR(__xludf.DUMMYFUNCTION("""COMPUTED_VALUE"""),33.1)</f>
        <v>33.1</v>
      </c>
      <c r="P957" s="4">
        <f>IFERROR(__xludf.DUMMYFUNCTION("""COMPUTED_VALUE"""),18.3)</f>
        <v>18.3</v>
      </c>
      <c r="Q957" s="4">
        <f>IFERROR(__xludf.DUMMYFUNCTION("""COMPUTED_VALUE"""),5.4)</f>
        <v>5.4</v>
      </c>
      <c r="R957" s="4">
        <f>IFERROR(__xludf.DUMMYFUNCTION("""COMPUTED_VALUE"""),4.4)</f>
        <v>4.4</v>
      </c>
      <c r="S957" s="4">
        <f>IFERROR(__xludf.DUMMYFUNCTION("""COMPUTED_VALUE"""),127.0)</f>
        <v>127</v>
      </c>
      <c r="T957" s="4">
        <f>IFERROR(__xludf.DUMMYFUNCTION("""COMPUTED_VALUE"""),0.207)</f>
        <v>0.207</v>
      </c>
      <c r="U957" s="4">
        <f>IFERROR(__xludf.DUMMYFUNCTION("""COMPUTED_VALUE"""),5.0)</f>
        <v>5</v>
      </c>
      <c r="V957" s="4">
        <f>IFERROR(__xludf.DUMMYFUNCTION("""COMPUTED_VALUE"""),51.8)</f>
        <v>51.8</v>
      </c>
    </row>
    <row r="958">
      <c r="A958" s="4"/>
      <c r="B958" s="4"/>
      <c r="C958" s="4"/>
      <c r="D958" s="4" t="str">
        <f>IFERROR(__xludf.DUMMYFUNCTION("""COMPUTED_VALUE"""),"Round 2")</f>
        <v>Round 2</v>
      </c>
      <c r="E958" s="4"/>
      <c r="F958" s="4"/>
      <c r="G958" s="4" t="str">
        <f>IFERROR(__xludf.DUMMYFUNCTION("""COMPUTED_VALUE"""),"Totals")</f>
        <v>Totals</v>
      </c>
      <c r="H958" s="4"/>
      <c r="I958" s="4"/>
      <c r="J958" s="4"/>
      <c r="K958" s="4"/>
      <c r="L958" s="4" t="str">
        <f>IFERROR(__xludf.DUMMYFUNCTION("""COMPUTED_VALUE"""),"Shooting")</f>
        <v>Shooting</v>
      </c>
      <c r="M958" s="4"/>
      <c r="N958" s="4"/>
      <c r="O958" s="4" t="str">
        <f>IFERROR(__xludf.DUMMYFUNCTION("""COMPUTED_VALUE"""),"Per Game")</f>
        <v>Per Game</v>
      </c>
      <c r="P958" s="4"/>
      <c r="Q958" s="4"/>
      <c r="R958" s="4"/>
      <c r="S958" s="4" t="str">
        <f>IFERROR(__xludf.DUMMYFUNCTION("""COMPUTED_VALUE"""),"Advanced")</f>
        <v>Advanced</v>
      </c>
      <c r="T958" s="4"/>
      <c r="U958" s="4"/>
      <c r="V958" s="4"/>
    </row>
    <row r="959">
      <c r="A959" s="4" t="str">
        <f>IFERROR(__xludf.DUMMYFUNCTION("""COMPUTED_VALUE"""),"Rk")</f>
        <v>Rk</v>
      </c>
      <c r="B959" s="4" t="str">
        <f>IFERROR(__xludf.DUMMYFUNCTION("""COMPUTED_VALUE"""),"Pk")</f>
        <v>Pk</v>
      </c>
      <c r="C959" s="4" t="str">
        <f>IFERROR(__xludf.DUMMYFUNCTION("""COMPUTED_VALUE"""),"Tm")</f>
        <v>Tm</v>
      </c>
      <c r="D959" s="4" t="str">
        <f>IFERROR(__xludf.DUMMYFUNCTION("""COMPUTED_VALUE"""),"Player")</f>
        <v>Player</v>
      </c>
      <c r="E959" s="4" t="str">
        <f>IFERROR(__xludf.DUMMYFUNCTION("""COMPUTED_VALUE"""),"College")</f>
        <v>College</v>
      </c>
      <c r="F959" s="4" t="str">
        <f>IFERROR(__xludf.DUMMYFUNCTION("""COMPUTED_VALUE"""),"Yrs")</f>
        <v>Yrs</v>
      </c>
      <c r="G959" s="4" t="str">
        <f>IFERROR(__xludf.DUMMYFUNCTION("""COMPUTED_VALUE"""),"G")</f>
        <v>G</v>
      </c>
      <c r="H959" s="4" t="str">
        <f>IFERROR(__xludf.DUMMYFUNCTION("""COMPUTED_VALUE"""),"MP")</f>
        <v>MP</v>
      </c>
      <c r="I959" s="4" t="str">
        <f>IFERROR(__xludf.DUMMYFUNCTION("""COMPUTED_VALUE"""),"PTS")</f>
        <v>PTS</v>
      </c>
      <c r="J959" s="4" t="str">
        <f>IFERROR(__xludf.DUMMYFUNCTION("""COMPUTED_VALUE"""),"TRB")</f>
        <v>TRB</v>
      </c>
      <c r="K959" s="4" t="str">
        <f>IFERROR(__xludf.DUMMYFUNCTION("""COMPUTED_VALUE"""),"AST")</f>
        <v>AST</v>
      </c>
      <c r="L959" s="4" t="str">
        <f>IFERROR(__xludf.DUMMYFUNCTION("""COMPUTED_VALUE"""),"FG%")</f>
        <v>FG%</v>
      </c>
      <c r="M959" s="4" t="str">
        <f>IFERROR(__xludf.DUMMYFUNCTION("""COMPUTED_VALUE"""),"3P%")</f>
        <v>3P%</v>
      </c>
      <c r="N959" s="4" t="str">
        <f>IFERROR(__xludf.DUMMYFUNCTION("""COMPUTED_VALUE"""),"FT%")</f>
        <v>FT%</v>
      </c>
      <c r="O959" s="4" t="str">
        <f>IFERROR(__xludf.DUMMYFUNCTION("""COMPUTED_VALUE"""),"MP")</f>
        <v>MP</v>
      </c>
      <c r="P959" s="4" t="str">
        <f>IFERROR(__xludf.DUMMYFUNCTION("""COMPUTED_VALUE"""),"PTS")</f>
        <v>PTS</v>
      </c>
      <c r="Q959" s="4" t="str">
        <f>IFERROR(__xludf.DUMMYFUNCTION("""COMPUTED_VALUE"""),"TRB")</f>
        <v>TRB</v>
      </c>
      <c r="R959" s="4" t="str">
        <f>IFERROR(__xludf.DUMMYFUNCTION("""COMPUTED_VALUE"""),"AST")</f>
        <v>AST</v>
      </c>
      <c r="S959" s="4" t="str">
        <f>IFERROR(__xludf.DUMMYFUNCTION("""COMPUTED_VALUE"""),"WS")</f>
        <v>WS</v>
      </c>
      <c r="T959" s="4" t="str">
        <f>IFERROR(__xludf.DUMMYFUNCTION("""COMPUTED_VALUE"""),"WS/48")</f>
        <v>WS/48</v>
      </c>
      <c r="U959" s="4" t="str">
        <f>IFERROR(__xludf.DUMMYFUNCTION("""COMPUTED_VALUE"""),"BPM")</f>
        <v>BPM</v>
      </c>
      <c r="V959" s="4" t="str">
        <f>IFERROR(__xludf.DUMMYFUNCTION("""COMPUTED_VALUE"""),"VORP")</f>
        <v>VORP</v>
      </c>
    </row>
    <row r="960">
      <c r="A960" s="4">
        <f>IFERROR(__xludf.DUMMYFUNCTION("""COMPUTED_VALUE"""),31.0)</f>
        <v>31</v>
      </c>
      <c r="B960" s="4">
        <f>IFERROR(__xludf.DUMMYFUNCTION("""COMPUTED_VALUE"""),31.0)</f>
        <v>31</v>
      </c>
      <c r="C960" s="4" t="str">
        <f>IFERROR(__xludf.DUMMYFUNCTION("""COMPUTED_VALUE"""),"MIA")</f>
        <v>MIA</v>
      </c>
      <c r="D960" s="4" t="str">
        <f>IFERROR(__xludf.DUMMYFUNCTION("""COMPUTED_VALUE"""),"Bojan Bogdanović")</f>
        <v>Bojan Bogdanović</v>
      </c>
      <c r="E960" s="4"/>
      <c r="F960" s="4">
        <f>IFERROR(__xludf.DUMMYFUNCTION("""COMPUTED_VALUE"""),10.0)</f>
        <v>10</v>
      </c>
      <c r="G960" s="4">
        <f>IFERROR(__xludf.DUMMYFUNCTION("""COMPUTED_VALUE"""),719.0)</f>
        <v>719</v>
      </c>
      <c r="H960" s="4">
        <f>IFERROR(__xludf.DUMMYFUNCTION("""COMPUTED_VALUE"""),20890.0)</f>
        <v>20890</v>
      </c>
      <c r="I960" s="4">
        <f>IFERROR(__xludf.DUMMYFUNCTION("""COMPUTED_VALUE"""),11184.0)</f>
        <v>11184</v>
      </c>
      <c r="J960" s="4">
        <f>IFERROR(__xludf.DUMMYFUNCTION("""COMPUTED_VALUE"""),2559.0)</f>
        <v>2559</v>
      </c>
      <c r="K960" s="4">
        <f>IFERROR(__xludf.DUMMYFUNCTION("""COMPUTED_VALUE"""),1194.0)</f>
        <v>1194</v>
      </c>
      <c r="L960" s="4">
        <f>IFERROR(__xludf.DUMMYFUNCTION("""COMPUTED_VALUE"""),0.46)</f>
        <v>0.46</v>
      </c>
      <c r="M960" s="4">
        <f>IFERROR(__xludf.DUMMYFUNCTION("""COMPUTED_VALUE"""),0.394)</f>
        <v>0.394</v>
      </c>
      <c r="N960" s="4">
        <f>IFERROR(__xludf.DUMMYFUNCTION("""COMPUTED_VALUE"""),0.859)</f>
        <v>0.859</v>
      </c>
      <c r="O960" s="4">
        <f>IFERROR(__xludf.DUMMYFUNCTION("""COMPUTED_VALUE"""),29.1)</f>
        <v>29.1</v>
      </c>
      <c r="P960" s="4">
        <f>IFERROR(__xludf.DUMMYFUNCTION("""COMPUTED_VALUE"""),15.6)</f>
        <v>15.6</v>
      </c>
      <c r="Q960" s="4">
        <f>IFERROR(__xludf.DUMMYFUNCTION("""COMPUTED_VALUE"""),3.6)</f>
        <v>3.6</v>
      </c>
      <c r="R960" s="4">
        <f>IFERROR(__xludf.DUMMYFUNCTION("""COMPUTED_VALUE"""),1.7)</f>
        <v>1.7</v>
      </c>
      <c r="S960" s="4">
        <f>IFERROR(__xludf.DUMMYFUNCTION("""COMPUTED_VALUE"""),37.6)</f>
        <v>37.6</v>
      </c>
      <c r="T960" s="4">
        <f>IFERROR(__xludf.DUMMYFUNCTION("""COMPUTED_VALUE"""),0.086)</f>
        <v>0.086</v>
      </c>
      <c r="U960" s="4">
        <f>IFERROR(__xludf.DUMMYFUNCTION("""COMPUTED_VALUE"""),-0.9)</f>
        <v>-0.9</v>
      </c>
      <c r="V960" s="4">
        <f>IFERROR(__xludf.DUMMYFUNCTION("""COMPUTED_VALUE"""),5.8)</f>
        <v>5.8</v>
      </c>
    </row>
    <row r="961">
      <c r="A961" s="4">
        <f>IFERROR(__xludf.DUMMYFUNCTION("""COMPUTED_VALUE"""),32.0)</f>
        <v>32</v>
      </c>
      <c r="B961" s="4">
        <f>IFERROR(__xludf.DUMMYFUNCTION("""COMPUTED_VALUE"""),32.0)</f>
        <v>32</v>
      </c>
      <c r="C961" s="4" t="str">
        <f>IFERROR(__xludf.DUMMYFUNCTION("""COMPUTED_VALUE"""),"CLE")</f>
        <v>CLE</v>
      </c>
      <c r="D961" s="4" t="str">
        <f>IFERROR(__xludf.DUMMYFUNCTION("""COMPUTED_VALUE"""),"Justin Harper")</f>
        <v>Justin Harper</v>
      </c>
      <c r="E961" s="4" t="str">
        <f>IFERROR(__xludf.DUMMYFUNCTION("""COMPUTED_VALUE"""),"Richmond")</f>
        <v>Richmond</v>
      </c>
      <c r="F961" s="4">
        <f>IFERROR(__xludf.DUMMYFUNCTION("""COMPUTED_VALUE"""),3.0)</f>
        <v>3</v>
      </c>
      <c r="G961" s="4">
        <f>IFERROR(__xludf.DUMMYFUNCTION("""COMPUTED_VALUE"""),22.0)</f>
        <v>22</v>
      </c>
      <c r="H961" s="4">
        <f>IFERROR(__xludf.DUMMYFUNCTION("""COMPUTED_VALUE"""),150.0)</f>
        <v>150</v>
      </c>
      <c r="I961" s="4">
        <f>IFERROR(__xludf.DUMMYFUNCTION("""COMPUTED_VALUE"""),45.0)</f>
        <v>45</v>
      </c>
      <c r="J961" s="4">
        <f>IFERROR(__xludf.DUMMYFUNCTION("""COMPUTED_VALUE"""),18.0)</f>
        <v>18</v>
      </c>
      <c r="K961" s="4">
        <f>IFERROR(__xludf.DUMMYFUNCTION("""COMPUTED_VALUE"""),4.0)</f>
        <v>4</v>
      </c>
      <c r="L961" s="4">
        <f>IFERROR(__xludf.DUMMYFUNCTION("""COMPUTED_VALUE"""),0.34)</f>
        <v>0.34</v>
      </c>
      <c r="M961" s="4">
        <f>IFERROR(__xludf.DUMMYFUNCTION("""COMPUTED_VALUE"""),0.276)</f>
        <v>0.276</v>
      </c>
      <c r="N961" s="4">
        <f>IFERROR(__xludf.DUMMYFUNCTION("""COMPUTED_VALUE"""),0.333)</f>
        <v>0.333</v>
      </c>
      <c r="O961" s="4">
        <f>IFERROR(__xludf.DUMMYFUNCTION("""COMPUTED_VALUE"""),6.8)</f>
        <v>6.8</v>
      </c>
      <c r="P961" s="4">
        <f>IFERROR(__xludf.DUMMYFUNCTION("""COMPUTED_VALUE"""),2.0)</f>
        <v>2</v>
      </c>
      <c r="Q961" s="4">
        <f>IFERROR(__xludf.DUMMYFUNCTION("""COMPUTED_VALUE"""),0.8)</f>
        <v>0.8</v>
      </c>
      <c r="R961" s="4">
        <f>IFERROR(__xludf.DUMMYFUNCTION("""COMPUTED_VALUE"""),0.2)</f>
        <v>0.2</v>
      </c>
      <c r="S961" s="4">
        <f>IFERROR(__xludf.DUMMYFUNCTION("""COMPUTED_VALUE"""),-0.3)</f>
        <v>-0.3</v>
      </c>
      <c r="T961" s="4">
        <f>IFERROR(__xludf.DUMMYFUNCTION("""COMPUTED_VALUE"""),-0.093)</f>
        <v>-0.093</v>
      </c>
      <c r="U961" s="4">
        <f>IFERROR(__xludf.DUMMYFUNCTION("""COMPUTED_VALUE"""),-8.7)</f>
        <v>-8.7</v>
      </c>
      <c r="V961" s="4">
        <f>IFERROR(__xludf.DUMMYFUNCTION("""COMPUTED_VALUE"""),-0.2)</f>
        <v>-0.2</v>
      </c>
    </row>
    <row r="962">
      <c r="A962" s="4">
        <f>IFERROR(__xludf.DUMMYFUNCTION("""COMPUTED_VALUE"""),33.0)</f>
        <v>33</v>
      </c>
      <c r="B962" s="4">
        <f>IFERROR(__xludf.DUMMYFUNCTION("""COMPUTED_VALUE"""),33.0)</f>
        <v>33</v>
      </c>
      <c r="C962" s="4" t="str">
        <f>IFERROR(__xludf.DUMMYFUNCTION("""COMPUTED_VALUE"""),"DET")</f>
        <v>DET</v>
      </c>
      <c r="D962" s="4" t="str">
        <f>IFERROR(__xludf.DUMMYFUNCTION("""COMPUTED_VALUE"""),"Kyle Singler")</f>
        <v>Kyle Singler</v>
      </c>
      <c r="E962" s="4" t="str">
        <f>IFERROR(__xludf.DUMMYFUNCTION("""COMPUTED_VALUE"""),"Duke")</f>
        <v>Duke</v>
      </c>
      <c r="F962" s="4">
        <f>IFERROR(__xludf.DUMMYFUNCTION("""COMPUTED_VALUE"""),6.0)</f>
        <v>6</v>
      </c>
      <c r="G962" s="4">
        <f>IFERROR(__xludf.DUMMYFUNCTION("""COMPUTED_VALUE"""),356.0)</f>
        <v>356</v>
      </c>
      <c r="H962" s="4">
        <f>IFERROR(__xludf.DUMMYFUNCTION("""COMPUTED_VALUE"""),7794.0)</f>
        <v>7794</v>
      </c>
      <c r="I962" s="4">
        <f>IFERROR(__xludf.DUMMYFUNCTION("""COMPUTED_VALUE"""),2326.0)</f>
        <v>2326</v>
      </c>
      <c r="J962" s="4">
        <f>IFERROR(__xludf.DUMMYFUNCTION("""COMPUTED_VALUE"""),1026.0)</f>
        <v>1026</v>
      </c>
      <c r="K962" s="4">
        <f>IFERROR(__xludf.DUMMYFUNCTION("""COMPUTED_VALUE"""),272.0)</f>
        <v>272</v>
      </c>
      <c r="L962" s="4">
        <f>IFERROR(__xludf.DUMMYFUNCTION("""COMPUTED_VALUE"""),0.418)</f>
        <v>0.418</v>
      </c>
      <c r="M962" s="4">
        <f>IFERROR(__xludf.DUMMYFUNCTION("""COMPUTED_VALUE"""),0.362)</f>
        <v>0.362</v>
      </c>
      <c r="N962" s="4">
        <f>IFERROR(__xludf.DUMMYFUNCTION("""COMPUTED_VALUE"""),0.786)</f>
        <v>0.786</v>
      </c>
      <c r="O962" s="4">
        <f>IFERROR(__xludf.DUMMYFUNCTION("""COMPUTED_VALUE"""),21.9)</f>
        <v>21.9</v>
      </c>
      <c r="P962" s="4">
        <f>IFERROR(__xludf.DUMMYFUNCTION("""COMPUTED_VALUE"""),6.5)</f>
        <v>6.5</v>
      </c>
      <c r="Q962" s="4">
        <f>IFERROR(__xludf.DUMMYFUNCTION("""COMPUTED_VALUE"""),2.9)</f>
        <v>2.9</v>
      </c>
      <c r="R962" s="4">
        <f>IFERROR(__xludf.DUMMYFUNCTION("""COMPUTED_VALUE"""),0.8)</f>
        <v>0.8</v>
      </c>
      <c r="S962" s="4">
        <f>IFERROR(__xludf.DUMMYFUNCTION("""COMPUTED_VALUE"""),10.0)</f>
        <v>10</v>
      </c>
      <c r="T962" s="4">
        <f>IFERROR(__xludf.DUMMYFUNCTION("""COMPUTED_VALUE"""),0.062)</f>
        <v>0.062</v>
      </c>
      <c r="U962" s="4">
        <f>IFERROR(__xludf.DUMMYFUNCTION("""COMPUTED_VALUE"""),-2.5)</f>
        <v>-2.5</v>
      </c>
      <c r="V962" s="4">
        <f>IFERROR(__xludf.DUMMYFUNCTION("""COMPUTED_VALUE"""),-0.9)</f>
        <v>-0.9</v>
      </c>
    </row>
    <row r="963">
      <c r="A963" s="4">
        <f>IFERROR(__xludf.DUMMYFUNCTION("""COMPUTED_VALUE"""),34.0)</f>
        <v>34</v>
      </c>
      <c r="B963" s="4">
        <f>IFERROR(__xludf.DUMMYFUNCTION("""COMPUTED_VALUE"""),34.0)</f>
        <v>34</v>
      </c>
      <c r="C963" s="4" t="str">
        <f>IFERROR(__xludf.DUMMYFUNCTION("""COMPUTED_VALUE"""),"WAS")</f>
        <v>WAS</v>
      </c>
      <c r="D963" s="4" t="str">
        <f>IFERROR(__xludf.DUMMYFUNCTION("""COMPUTED_VALUE"""),"Shelvin Mack")</f>
        <v>Shelvin Mack</v>
      </c>
      <c r="E963" s="4" t="str">
        <f>IFERROR(__xludf.DUMMYFUNCTION("""COMPUTED_VALUE"""),"Butler")</f>
        <v>Butler</v>
      </c>
      <c r="F963" s="4">
        <f>IFERROR(__xludf.DUMMYFUNCTION("""COMPUTED_VALUE"""),8.0)</f>
        <v>8</v>
      </c>
      <c r="G963" s="4">
        <f>IFERROR(__xludf.DUMMYFUNCTION("""COMPUTED_VALUE"""),456.0)</f>
        <v>456</v>
      </c>
      <c r="H963" s="4">
        <f>IFERROR(__xludf.DUMMYFUNCTION("""COMPUTED_VALUE"""),8392.0)</f>
        <v>8392</v>
      </c>
      <c r="I963" s="4">
        <f>IFERROR(__xludf.DUMMYFUNCTION("""COMPUTED_VALUE"""),2997.0)</f>
        <v>2997</v>
      </c>
      <c r="J963" s="4">
        <f>IFERROR(__xludf.DUMMYFUNCTION("""COMPUTED_VALUE"""),894.0)</f>
        <v>894</v>
      </c>
      <c r="K963" s="4">
        <f>IFERROR(__xludf.DUMMYFUNCTION("""COMPUTED_VALUE"""),1421.0)</f>
        <v>1421</v>
      </c>
      <c r="L963" s="4">
        <f>IFERROR(__xludf.DUMMYFUNCTION("""COMPUTED_VALUE"""),0.423)</f>
        <v>0.423</v>
      </c>
      <c r="M963" s="4">
        <f>IFERROR(__xludf.DUMMYFUNCTION("""COMPUTED_VALUE"""),0.33)</f>
        <v>0.33</v>
      </c>
      <c r="N963" s="4">
        <f>IFERROR(__xludf.DUMMYFUNCTION("""COMPUTED_VALUE"""),0.731)</f>
        <v>0.731</v>
      </c>
      <c r="O963" s="4">
        <f>IFERROR(__xludf.DUMMYFUNCTION("""COMPUTED_VALUE"""),18.4)</f>
        <v>18.4</v>
      </c>
      <c r="P963" s="4">
        <f>IFERROR(__xludf.DUMMYFUNCTION("""COMPUTED_VALUE"""),6.6)</f>
        <v>6.6</v>
      </c>
      <c r="Q963" s="4">
        <f>IFERROR(__xludf.DUMMYFUNCTION("""COMPUTED_VALUE"""),2.0)</f>
        <v>2</v>
      </c>
      <c r="R963" s="4">
        <f>IFERROR(__xludf.DUMMYFUNCTION("""COMPUTED_VALUE"""),3.1)</f>
        <v>3.1</v>
      </c>
      <c r="S963" s="4">
        <f>IFERROR(__xludf.DUMMYFUNCTION("""COMPUTED_VALUE"""),10.3)</f>
        <v>10.3</v>
      </c>
      <c r="T963" s="4">
        <f>IFERROR(__xludf.DUMMYFUNCTION("""COMPUTED_VALUE"""),0.059)</f>
        <v>0.059</v>
      </c>
      <c r="U963" s="4">
        <f>IFERROR(__xludf.DUMMYFUNCTION("""COMPUTED_VALUE"""),-1.9)</f>
        <v>-1.9</v>
      </c>
      <c r="V963" s="4">
        <f>IFERROR(__xludf.DUMMYFUNCTION("""COMPUTED_VALUE"""),0.1)</f>
        <v>0.1</v>
      </c>
    </row>
    <row r="964">
      <c r="A964" s="4">
        <f>IFERROR(__xludf.DUMMYFUNCTION("""COMPUTED_VALUE"""),35.0)</f>
        <v>35</v>
      </c>
      <c r="B964" s="4">
        <f>IFERROR(__xludf.DUMMYFUNCTION("""COMPUTED_VALUE"""),35.0)</f>
        <v>35</v>
      </c>
      <c r="C964" s="4" t="str">
        <f>IFERROR(__xludf.DUMMYFUNCTION("""COMPUTED_VALUE"""),"SAC")</f>
        <v>SAC</v>
      </c>
      <c r="D964" s="4" t="str">
        <f>IFERROR(__xludf.DUMMYFUNCTION("""COMPUTED_VALUE"""),"Tyler Honeycutt")</f>
        <v>Tyler Honeycutt</v>
      </c>
      <c r="E964" s="4" t="str">
        <f>IFERROR(__xludf.DUMMYFUNCTION("""COMPUTED_VALUE"""),"UCLA")</f>
        <v>UCLA</v>
      </c>
      <c r="F964" s="4">
        <f>IFERROR(__xludf.DUMMYFUNCTION("""COMPUTED_VALUE"""),2.0)</f>
        <v>2</v>
      </c>
      <c r="G964" s="4">
        <f>IFERROR(__xludf.DUMMYFUNCTION("""COMPUTED_VALUE"""),24.0)</f>
        <v>24</v>
      </c>
      <c r="H964" s="4">
        <f>IFERROR(__xludf.DUMMYFUNCTION("""COMPUTED_VALUE"""),120.0)</f>
        <v>120</v>
      </c>
      <c r="I964" s="4">
        <f>IFERROR(__xludf.DUMMYFUNCTION("""COMPUTED_VALUE"""),28.0)</f>
        <v>28</v>
      </c>
      <c r="J964" s="4">
        <f>IFERROR(__xludf.DUMMYFUNCTION("""COMPUTED_VALUE"""),24.0)</f>
        <v>24</v>
      </c>
      <c r="K964" s="4">
        <f>IFERROR(__xludf.DUMMYFUNCTION("""COMPUTED_VALUE"""),9.0)</f>
        <v>9</v>
      </c>
      <c r="L964" s="4">
        <f>IFERROR(__xludf.DUMMYFUNCTION("""COMPUTED_VALUE"""),0.314)</f>
        <v>0.314</v>
      </c>
      <c r="M964" s="4">
        <f>IFERROR(__xludf.DUMMYFUNCTION("""COMPUTED_VALUE"""),0.2)</f>
        <v>0.2</v>
      </c>
      <c r="N964" s="4">
        <f>IFERROR(__xludf.DUMMYFUNCTION("""COMPUTED_VALUE"""),0.714)</f>
        <v>0.714</v>
      </c>
      <c r="O964" s="4">
        <f>IFERROR(__xludf.DUMMYFUNCTION("""COMPUTED_VALUE"""),5.0)</f>
        <v>5</v>
      </c>
      <c r="P964" s="4">
        <f>IFERROR(__xludf.DUMMYFUNCTION("""COMPUTED_VALUE"""),1.2)</f>
        <v>1.2</v>
      </c>
      <c r="Q964" s="4">
        <f>IFERROR(__xludf.DUMMYFUNCTION("""COMPUTED_VALUE"""),1.0)</f>
        <v>1</v>
      </c>
      <c r="R964" s="4">
        <f>IFERROR(__xludf.DUMMYFUNCTION("""COMPUTED_VALUE"""),0.4)</f>
        <v>0.4</v>
      </c>
      <c r="S964" s="4">
        <f>IFERROR(__xludf.DUMMYFUNCTION("""COMPUTED_VALUE"""),-0.1)</f>
        <v>-0.1</v>
      </c>
      <c r="T964" s="4">
        <f>IFERROR(__xludf.DUMMYFUNCTION("""COMPUTED_VALUE"""),-0.049)</f>
        <v>-0.049</v>
      </c>
      <c r="U964" s="4">
        <f>IFERROR(__xludf.DUMMYFUNCTION("""COMPUTED_VALUE"""),-5.1)</f>
        <v>-5.1</v>
      </c>
      <c r="V964" s="4">
        <f>IFERROR(__xludf.DUMMYFUNCTION("""COMPUTED_VALUE"""),-0.1)</f>
        <v>-0.1</v>
      </c>
    </row>
    <row r="965">
      <c r="A965" s="4">
        <f>IFERROR(__xludf.DUMMYFUNCTION("""COMPUTED_VALUE"""),36.0)</f>
        <v>36</v>
      </c>
      <c r="B965" s="4">
        <f>IFERROR(__xludf.DUMMYFUNCTION("""COMPUTED_VALUE"""),36.0)</f>
        <v>36</v>
      </c>
      <c r="C965" s="4" t="str">
        <f>IFERROR(__xludf.DUMMYFUNCTION("""COMPUTED_VALUE"""),"NJN")</f>
        <v>NJN</v>
      </c>
      <c r="D965" s="4" t="str">
        <f>IFERROR(__xludf.DUMMYFUNCTION("""COMPUTED_VALUE"""),"Jordan Williams")</f>
        <v>Jordan Williams</v>
      </c>
      <c r="E965" s="4" t="str">
        <f>IFERROR(__xludf.DUMMYFUNCTION("""COMPUTED_VALUE"""),"Maryland")</f>
        <v>Maryland</v>
      </c>
      <c r="F965" s="4">
        <f>IFERROR(__xludf.DUMMYFUNCTION("""COMPUTED_VALUE"""),1.0)</f>
        <v>1</v>
      </c>
      <c r="G965" s="4">
        <f>IFERROR(__xludf.DUMMYFUNCTION("""COMPUTED_VALUE"""),43.0)</f>
        <v>43</v>
      </c>
      <c r="H965" s="4">
        <f>IFERROR(__xludf.DUMMYFUNCTION("""COMPUTED_VALUE"""),635.0)</f>
        <v>635</v>
      </c>
      <c r="I965" s="4">
        <f>IFERROR(__xludf.DUMMYFUNCTION("""COMPUTED_VALUE"""),197.0)</f>
        <v>197</v>
      </c>
      <c r="J965" s="4">
        <f>IFERROR(__xludf.DUMMYFUNCTION("""COMPUTED_VALUE"""),156.0)</f>
        <v>156</v>
      </c>
      <c r="K965" s="4">
        <f>IFERROR(__xludf.DUMMYFUNCTION("""COMPUTED_VALUE"""),11.0)</f>
        <v>11</v>
      </c>
      <c r="L965" s="4">
        <f>IFERROR(__xludf.DUMMYFUNCTION("""COMPUTED_VALUE"""),0.507)</f>
        <v>0.507</v>
      </c>
      <c r="M965" s="4"/>
      <c r="N965" s="4">
        <f>IFERROR(__xludf.DUMMYFUNCTION("""COMPUTED_VALUE"""),0.652)</f>
        <v>0.652</v>
      </c>
      <c r="O965" s="4">
        <f>IFERROR(__xludf.DUMMYFUNCTION("""COMPUTED_VALUE"""),14.8)</f>
        <v>14.8</v>
      </c>
      <c r="P965" s="4">
        <f>IFERROR(__xludf.DUMMYFUNCTION("""COMPUTED_VALUE"""),4.6)</f>
        <v>4.6</v>
      </c>
      <c r="Q965" s="4">
        <f>IFERROR(__xludf.DUMMYFUNCTION("""COMPUTED_VALUE"""),3.6)</f>
        <v>3.6</v>
      </c>
      <c r="R965" s="4">
        <f>IFERROR(__xludf.DUMMYFUNCTION("""COMPUTED_VALUE"""),0.3)</f>
        <v>0.3</v>
      </c>
      <c r="S965" s="4">
        <f>IFERROR(__xludf.DUMMYFUNCTION("""COMPUTED_VALUE"""),1.3)</f>
        <v>1.3</v>
      </c>
      <c r="T965" s="4">
        <f>IFERROR(__xludf.DUMMYFUNCTION("""COMPUTED_VALUE"""),0.101)</f>
        <v>0.101</v>
      </c>
      <c r="U965" s="4">
        <f>IFERROR(__xludf.DUMMYFUNCTION("""COMPUTED_VALUE"""),-2.1)</f>
        <v>-2.1</v>
      </c>
      <c r="V965" s="4">
        <f>IFERROR(__xludf.DUMMYFUNCTION("""COMPUTED_VALUE"""),0.0)</f>
        <v>0</v>
      </c>
    </row>
    <row r="966">
      <c r="A966" s="4">
        <f>IFERROR(__xludf.DUMMYFUNCTION("""COMPUTED_VALUE"""),37.0)</f>
        <v>37</v>
      </c>
      <c r="B966" s="4">
        <f>IFERROR(__xludf.DUMMYFUNCTION("""COMPUTED_VALUE"""),37.0)</f>
        <v>37</v>
      </c>
      <c r="C966" s="4" t="str">
        <f>IFERROR(__xludf.DUMMYFUNCTION("""COMPUTED_VALUE"""),"LAC")</f>
        <v>LAC</v>
      </c>
      <c r="D966" s="4" t="str">
        <f>IFERROR(__xludf.DUMMYFUNCTION("""COMPUTED_VALUE"""),"Trey Thompkins")</f>
        <v>Trey Thompkins</v>
      </c>
      <c r="E966" s="4" t="str">
        <f>IFERROR(__xludf.DUMMYFUNCTION("""COMPUTED_VALUE"""),"Georgia")</f>
        <v>Georgia</v>
      </c>
      <c r="F966" s="4">
        <f>IFERROR(__xludf.DUMMYFUNCTION("""COMPUTED_VALUE"""),1.0)</f>
        <v>1</v>
      </c>
      <c r="G966" s="4">
        <f>IFERROR(__xludf.DUMMYFUNCTION("""COMPUTED_VALUE"""),24.0)</f>
        <v>24</v>
      </c>
      <c r="H966" s="4">
        <f>IFERROR(__xludf.DUMMYFUNCTION("""COMPUTED_VALUE"""),119.0)</f>
        <v>119</v>
      </c>
      <c r="I966" s="4">
        <f>IFERROR(__xludf.DUMMYFUNCTION("""COMPUTED_VALUE"""),57.0)</f>
        <v>57</v>
      </c>
      <c r="J966" s="4">
        <f>IFERROR(__xludf.DUMMYFUNCTION("""COMPUTED_VALUE"""),24.0)</f>
        <v>24</v>
      </c>
      <c r="K966" s="4">
        <f>IFERROR(__xludf.DUMMYFUNCTION("""COMPUTED_VALUE"""),3.0)</f>
        <v>3</v>
      </c>
      <c r="L966" s="4">
        <f>IFERROR(__xludf.DUMMYFUNCTION("""COMPUTED_VALUE"""),0.393)</f>
        <v>0.393</v>
      </c>
      <c r="M966" s="4">
        <f>IFERROR(__xludf.DUMMYFUNCTION("""COMPUTED_VALUE"""),0.308)</f>
        <v>0.308</v>
      </c>
      <c r="N966" s="4">
        <f>IFERROR(__xludf.DUMMYFUNCTION("""COMPUTED_VALUE"""),0.714)</f>
        <v>0.714</v>
      </c>
      <c r="O966" s="4">
        <f>IFERROR(__xludf.DUMMYFUNCTION("""COMPUTED_VALUE"""),5.0)</f>
        <v>5</v>
      </c>
      <c r="P966" s="4">
        <f>IFERROR(__xludf.DUMMYFUNCTION("""COMPUTED_VALUE"""),2.4)</f>
        <v>2.4</v>
      </c>
      <c r="Q966" s="4">
        <f>IFERROR(__xludf.DUMMYFUNCTION("""COMPUTED_VALUE"""),1.0)</f>
        <v>1</v>
      </c>
      <c r="R966" s="4">
        <f>IFERROR(__xludf.DUMMYFUNCTION("""COMPUTED_VALUE"""),0.1)</f>
        <v>0.1</v>
      </c>
      <c r="S966" s="4">
        <f>IFERROR(__xludf.DUMMYFUNCTION("""COMPUTED_VALUE"""),0.0)</f>
        <v>0</v>
      </c>
      <c r="T966" s="4">
        <f>IFERROR(__xludf.DUMMYFUNCTION("""COMPUTED_VALUE"""),0.004)</f>
        <v>0.004</v>
      </c>
      <c r="U966" s="4">
        <f>IFERROR(__xludf.DUMMYFUNCTION("""COMPUTED_VALUE"""),-5.7)</f>
        <v>-5.7</v>
      </c>
      <c r="V966" s="4">
        <f>IFERROR(__xludf.DUMMYFUNCTION("""COMPUTED_VALUE"""),-0.1)</f>
        <v>-0.1</v>
      </c>
    </row>
    <row r="967">
      <c r="A967" s="4">
        <f>IFERROR(__xludf.DUMMYFUNCTION("""COMPUTED_VALUE"""),38.0)</f>
        <v>38</v>
      </c>
      <c r="B967" s="4">
        <f>IFERROR(__xludf.DUMMYFUNCTION("""COMPUTED_VALUE"""),38.0)</f>
        <v>38</v>
      </c>
      <c r="C967" s="4" t="str">
        <f>IFERROR(__xludf.DUMMYFUNCTION("""COMPUTED_VALUE"""),"HOU")</f>
        <v>HOU</v>
      </c>
      <c r="D967" s="4" t="str">
        <f>IFERROR(__xludf.DUMMYFUNCTION("""COMPUTED_VALUE"""),"Chandler Parsons")</f>
        <v>Chandler Parsons</v>
      </c>
      <c r="E967" s="4" t="str">
        <f>IFERROR(__xludf.DUMMYFUNCTION("""COMPUTED_VALUE"""),"Florida")</f>
        <v>Florida</v>
      </c>
      <c r="F967" s="4">
        <f>IFERROR(__xludf.DUMMYFUNCTION("""COMPUTED_VALUE"""),9.0)</f>
        <v>9</v>
      </c>
      <c r="G967" s="4">
        <f>IFERROR(__xludf.DUMMYFUNCTION("""COMPUTED_VALUE"""),440.0)</f>
        <v>440</v>
      </c>
      <c r="H967" s="4">
        <f>IFERROR(__xludf.DUMMYFUNCTION("""COMPUTED_VALUE"""),13246.0)</f>
        <v>13246</v>
      </c>
      <c r="I967" s="4">
        <f>IFERROR(__xludf.DUMMYFUNCTION("""COMPUTED_VALUE"""),5571.0)</f>
        <v>5571</v>
      </c>
      <c r="J967" s="4">
        <f>IFERROR(__xludf.DUMMYFUNCTION("""COMPUTED_VALUE"""),1972.0)</f>
        <v>1972</v>
      </c>
      <c r="K967" s="4">
        <f>IFERROR(__xludf.DUMMYFUNCTION("""COMPUTED_VALUE"""),1201.0)</f>
        <v>1201</v>
      </c>
      <c r="L967" s="4">
        <f>IFERROR(__xludf.DUMMYFUNCTION("""COMPUTED_VALUE"""),0.462)</f>
        <v>0.462</v>
      </c>
      <c r="M967" s="4">
        <f>IFERROR(__xludf.DUMMYFUNCTION("""COMPUTED_VALUE"""),0.373)</f>
        <v>0.373</v>
      </c>
      <c r="N967" s="4">
        <f>IFERROR(__xludf.DUMMYFUNCTION("""COMPUTED_VALUE"""),0.713)</f>
        <v>0.713</v>
      </c>
      <c r="O967" s="4">
        <f>IFERROR(__xludf.DUMMYFUNCTION("""COMPUTED_VALUE"""),30.1)</f>
        <v>30.1</v>
      </c>
      <c r="P967" s="4">
        <f>IFERROR(__xludf.DUMMYFUNCTION("""COMPUTED_VALUE"""),12.7)</f>
        <v>12.7</v>
      </c>
      <c r="Q967" s="4">
        <f>IFERROR(__xludf.DUMMYFUNCTION("""COMPUTED_VALUE"""),4.5)</f>
        <v>4.5</v>
      </c>
      <c r="R967" s="4">
        <f>IFERROR(__xludf.DUMMYFUNCTION("""COMPUTED_VALUE"""),2.7)</f>
        <v>2.7</v>
      </c>
      <c r="S967" s="4">
        <f>IFERROR(__xludf.DUMMYFUNCTION("""COMPUTED_VALUE"""),28.9)</f>
        <v>28.9</v>
      </c>
      <c r="T967" s="4">
        <f>IFERROR(__xludf.DUMMYFUNCTION("""COMPUTED_VALUE"""),0.105)</f>
        <v>0.105</v>
      </c>
      <c r="U967" s="4">
        <f>IFERROR(__xludf.DUMMYFUNCTION("""COMPUTED_VALUE"""),1.1)</f>
        <v>1.1</v>
      </c>
      <c r="V967" s="4">
        <f>IFERROR(__xludf.DUMMYFUNCTION("""COMPUTED_VALUE"""),10.2)</f>
        <v>10.2</v>
      </c>
    </row>
    <row r="968">
      <c r="A968" s="4">
        <f>IFERROR(__xludf.DUMMYFUNCTION("""COMPUTED_VALUE"""),39.0)</f>
        <v>39</v>
      </c>
      <c r="B968" s="4">
        <f>IFERROR(__xludf.DUMMYFUNCTION("""COMPUTED_VALUE"""),39.0)</f>
        <v>39</v>
      </c>
      <c r="C968" s="4" t="str">
        <f>IFERROR(__xludf.DUMMYFUNCTION("""COMPUTED_VALUE"""),"CHA")</f>
        <v>CHA</v>
      </c>
      <c r="D968" s="4" t="str">
        <f>IFERROR(__xludf.DUMMYFUNCTION("""COMPUTED_VALUE"""),"Jeremy Tyler")</f>
        <v>Jeremy Tyler</v>
      </c>
      <c r="E968" s="4"/>
      <c r="F968" s="4">
        <f>IFERROR(__xludf.DUMMYFUNCTION("""COMPUTED_VALUE"""),3.0)</f>
        <v>3</v>
      </c>
      <c r="G968" s="4">
        <f>IFERROR(__xludf.DUMMYFUNCTION("""COMPUTED_VALUE"""),104.0)</f>
        <v>104</v>
      </c>
      <c r="H968" s="4">
        <f>IFERROR(__xludf.DUMMYFUNCTION("""COMPUTED_VALUE"""),1034.0)</f>
        <v>1034</v>
      </c>
      <c r="I968" s="4">
        <f>IFERROR(__xludf.DUMMYFUNCTION("""COMPUTED_VALUE"""),373.0)</f>
        <v>373</v>
      </c>
      <c r="J968" s="4">
        <f>IFERROR(__xludf.DUMMYFUNCTION("""COMPUTED_VALUE"""),269.0)</f>
        <v>269</v>
      </c>
      <c r="K968" s="4">
        <f>IFERROR(__xludf.DUMMYFUNCTION("""COMPUTED_VALUE"""),25.0)</f>
        <v>25</v>
      </c>
      <c r="L968" s="4">
        <f>IFERROR(__xludf.DUMMYFUNCTION("""COMPUTED_VALUE"""),0.45)</f>
        <v>0.45</v>
      </c>
      <c r="M968" s="4">
        <f>IFERROR(__xludf.DUMMYFUNCTION("""COMPUTED_VALUE"""),0.0)</f>
        <v>0</v>
      </c>
      <c r="N968" s="4">
        <f>IFERROR(__xludf.DUMMYFUNCTION("""COMPUTED_VALUE"""),0.557)</f>
        <v>0.557</v>
      </c>
      <c r="O968" s="4">
        <f>IFERROR(__xludf.DUMMYFUNCTION("""COMPUTED_VALUE"""),9.9)</f>
        <v>9.9</v>
      </c>
      <c r="P968" s="4">
        <f>IFERROR(__xludf.DUMMYFUNCTION("""COMPUTED_VALUE"""),3.6)</f>
        <v>3.6</v>
      </c>
      <c r="Q968" s="4">
        <f>IFERROR(__xludf.DUMMYFUNCTION("""COMPUTED_VALUE"""),2.6)</f>
        <v>2.6</v>
      </c>
      <c r="R968" s="4">
        <f>IFERROR(__xludf.DUMMYFUNCTION("""COMPUTED_VALUE"""),0.2)</f>
        <v>0.2</v>
      </c>
      <c r="S968" s="4">
        <f>IFERROR(__xludf.DUMMYFUNCTION("""COMPUTED_VALUE"""),0.3)</f>
        <v>0.3</v>
      </c>
      <c r="T968" s="4">
        <f>IFERROR(__xludf.DUMMYFUNCTION("""COMPUTED_VALUE"""),0.014)</f>
        <v>0.014</v>
      </c>
      <c r="U968" s="4">
        <f>IFERROR(__xludf.DUMMYFUNCTION("""COMPUTED_VALUE"""),-7.0)</f>
        <v>-7</v>
      </c>
      <c r="V968" s="4">
        <f>IFERROR(__xludf.DUMMYFUNCTION("""COMPUTED_VALUE"""),-1.3)</f>
        <v>-1.3</v>
      </c>
    </row>
    <row r="969">
      <c r="A969" s="4">
        <f>IFERROR(__xludf.DUMMYFUNCTION("""COMPUTED_VALUE"""),40.0)</f>
        <v>40</v>
      </c>
      <c r="B969" s="4">
        <f>IFERROR(__xludf.DUMMYFUNCTION("""COMPUTED_VALUE"""),40.0)</f>
        <v>40</v>
      </c>
      <c r="C969" s="4" t="str">
        <f>IFERROR(__xludf.DUMMYFUNCTION("""COMPUTED_VALUE"""),"MIL")</f>
        <v>MIL</v>
      </c>
      <c r="D969" s="4" t="str">
        <f>IFERROR(__xludf.DUMMYFUNCTION("""COMPUTED_VALUE"""),"Jon Leuer")</f>
        <v>Jon Leuer</v>
      </c>
      <c r="E969" s="4" t="str">
        <f>IFERROR(__xludf.DUMMYFUNCTION("""COMPUTED_VALUE"""),"Wisconsin")</f>
        <v>Wisconsin</v>
      </c>
      <c r="F969" s="4">
        <f>IFERROR(__xludf.DUMMYFUNCTION("""COMPUTED_VALUE"""),8.0)</f>
        <v>8</v>
      </c>
      <c r="G969" s="4">
        <f>IFERROR(__xludf.DUMMYFUNCTION("""COMPUTED_VALUE"""),377.0)</f>
        <v>377</v>
      </c>
      <c r="H969" s="4">
        <f>IFERROR(__xludf.DUMMYFUNCTION("""COMPUTED_VALUE"""),5945.0)</f>
        <v>5945</v>
      </c>
      <c r="I969" s="4">
        <f>IFERROR(__xludf.DUMMYFUNCTION("""COMPUTED_VALUE"""),2395.0)</f>
        <v>2395</v>
      </c>
      <c r="J969" s="4">
        <f>IFERROR(__xludf.DUMMYFUNCTION("""COMPUTED_VALUE"""),1426.0)</f>
        <v>1426</v>
      </c>
      <c r="K969" s="4">
        <f>IFERROR(__xludf.DUMMYFUNCTION("""COMPUTED_VALUE"""),301.0)</f>
        <v>301</v>
      </c>
      <c r="L969" s="4">
        <f>IFERROR(__xludf.DUMMYFUNCTION("""COMPUTED_VALUE"""),0.484)</f>
        <v>0.484</v>
      </c>
      <c r="M969" s="4">
        <f>IFERROR(__xludf.DUMMYFUNCTION("""COMPUTED_VALUE"""),0.328)</f>
        <v>0.328</v>
      </c>
      <c r="N969" s="4">
        <f>IFERROR(__xludf.DUMMYFUNCTION("""COMPUTED_VALUE"""),0.767)</f>
        <v>0.767</v>
      </c>
      <c r="O969" s="4">
        <f>IFERROR(__xludf.DUMMYFUNCTION("""COMPUTED_VALUE"""),15.8)</f>
        <v>15.8</v>
      </c>
      <c r="P969" s="4">
        <f>IFERROR(__xludf.DUMMYFUNCTION("""COMPUTED_VALUE"""),6.4)</f>
        <v>6.4</v>
      </c>
      <c r="Q969" s="4">
        <f>IFERROR(__xludf.DUMMYFUNCTION("""COMPUTED_VALUE"""),3.8)</f>
        <v>3.8</v>
      </c>
      <c r="R969" s="4">
        <f>IFERROR(__xludf.DUMMYFUNCTION("""COMPUTED_VALUE"""),0.8)</f>
        <v>0.8</v>
      </c>
      <c r="S969" s="4">
        <f>IFERROR(__xludf.DUMMYFUNCTION("""COMPUTED_VALUE"""),13.2)</f>
        <v>13.2</v>
      </c>
      <c r="T969" s="4">
        <f>IFERROR(__xludf.DUMMYFUNCTION("""COMPUTED_VALUE"""),0.107)</f>
        <v>0.107</v>
      </c>
      <c r="U969" s="4">
        <f>IFERROR(__xludf.DUMMYFUNCTION("""COMPUTED_VALUE"""),-0.7)</f>
        <v>-0.7</v>
      </c>
      <c r="V969" s="4">
        <f>IFERROR(__xludf.DUMMYFUNCTION("""COMPUTED_VALUE"""),2.0)</f>
        <v>2</v>
      </c>
    </row>
    <row r="970">
      <c r="A970" s="4">
        <f>IFERROR(__xludf.DUMMYFUNCTION("""COMPUTED_VALUE"""),41.0)</f>
        <v>41</v>
      </c>
      <c r="B970" s="4">
        <f>IFERROR(__xludf.DUMMYFUNCTION("""COMPUTED_VALUE"""),41.0)</f>
        <v>41</v>
      </c>
      <c r="C970" s="4" t="str">
        <f>IFERROR(__xludf.DUMMYFUNCTION("""COMPUTED_VALUE"""),"LAL")</f>
        <v>LAL</v>
      </c>
      <c r="D970" s="4" t="str">
        <f>IFERROR(__xludf.DUMMYFUNCTION("""COMPUTED_VALUE"""),"Darius Morris")</f>
        <v>Darius Morris</v>
      </c>
      <c r="E970" s="4" t="str">
        <f>IFERROR(__xludf.DUMMYFUNCTION("""COMPUTED_VALUE"""),"Michigan")</f>
        <v>Michigan</v>
      </c>
      <c r="F970" s="4">
        <f>IFERROR(__xludf.DUMMYFUNCTION("""COMPUTED_VALUE"""),4.0)</f>
        <v>4</v>
      </c>
      <c r="G970" s="4">
        <f>IFERROR(__xludf.DUMMYFUNCTION("""COMPUTED_VALUE"""),132.0)</f>
        <v>132</v>
      </c>
      <c r="H970" s="4">
        <f>IFERROR(__xludf.DUMMYFUNCTION("""COMPUTED_VALUE"""),1464.0)</f>
        <v>1464</v>
      </c>
      <c r="I970" s="4">
        <f>IFERROR(__xludf.DUMMYFUNCTION("""COMPUTED_VALUE"""),430.0)</f>
        <v>430</v>
      </c>
      <c r="J970" s="4">
        <f>IFERROR(__xludf.DUMMYFUNCTION("""COMPUTED_VALUE"""),126.0)</f>
        <v>126</v>
      </c>
      <c r="K970" s="4">
        <f>IFERROR(__xludf.DUMMYFUNCTION("""COMPUTED_VALUE"""),189.0)</f>
        <v>189</v>
      </c>
      <c r="L970" s="4">
        <f>IFERROR(__xludf.DUMMYFUNCTION("""COMPUTED_VALUE"""),0.384)</f>
        <v>0.384</v>
      </c>
      <c r="M970" s="4">
        <f>IFERROR(__xludf.DUMMYFUNCTION("""COMPUTED_VALUE"""),0.322)</f>
        <v>0.322</v>
      </c>
      <c r="N970" s="4">
        <f>IFERROR(__xludf.DUMMYFUNCTION("""COMPUTED_VALUE"""),0.63)</f>
        <v>0.63</v>
      </c>
      <c r="O970" s="4">
        <f>IFERROR(__xludf.DUMMYFUNCTION("""COMPUTED_VALUE"""),11.1)</f>
        <v>11.1</v>
      </c>
      <c r="P970" s="4">
        <f>IFERROR(__xludf.DUMMYFUNCTION("""COMPUTED_VALUE"""),3.3)</f>
        <v>3.3</v>
      </c>
      <c r="Q970" s="4">
        <f>IFERROR(__xludf.DUMMYFUNCTION("""COMPUTED_VALUE"""),1.0)</f>
        <v>1</v>
      </c>
      <c r="R970" s="4">
        <f>IFERROR(__xludf.DUMMYFUNCTION("""COMPUTED_VALUE"""),1.4)</f>
        <v>1.4</v>
      </c>
      <c r="S970" s="4">
        <f>IFERROR(__xludf.DUMMYFUNCTION("""COMPUTED_VALUE"""),-0.3)</f>
        <v>-0.3</v>
      </c>
      <c r="T970" s="4">
        <f>IFERROR(__xludf.DUMMYFUNCTION("""COMPUTED_VALUE"""),-0.01)</f>
        <v>-0.01</v>
      </c>
      <c r="U970" s="4">
        <f>IFERROR(__xludf.DUMMYFUNCTION("""COMPUTED_VALUE"""),-5.1)</f>
        <v>-5.1</v>
      </c>
      <c r="V970" s="4">
        <f>IFERROR(__xludf.DUMMYFUNCTION("""COMPUTED_VALUE"""),-1.2)</f>
        <v>-1.2</v>
      </c>
    </row>
    <row r="971">
      <c r="A971" s="4">
        <f>IFERROR(__xludf.DUMMYFUNCTION("""COMPUTED_VALUE"""),42.0)</f>
        <v>42</v>
      </c>
      <c r="B971" s="4">
        <f>IFERROR(__xludf.DUMMYFUNCTION("""COMPUTED_VALUE"""),42.0)</f>
        <v>42</v>
      </c>
      <c r="C971" s="4" t="str">
        <f>IFERROR(__xludf.DUMMYFUNCTION("""COMPUTED_VALUE"""),"IND")</f>
        <v>IND</v>
      </c>
      <c r="D971" s="4" t="str">
        <f>IFERROR(__xludf.DUMMYFUNCTION("""COMPUTED_VALUE"""),"Dāvis Bertāns")</f>
        <v>Dāvis Bertāns</v>
      </c>
      <c r="E971" s="4"/>
      <c r="F971" s="4">
        <f>IFERROR(__xludf.DUMMYFUNCTION("""COMPUTED_VALUE"""),8.0)</f>
        <v>8</v>
      </c>
      <c r="G971" s="4">
        <f>IFERROR(__xludf.DUMMYFUNCTION("""COMPUTED_VALUE"""),475.0)</f>
        <v>475</v>
      </c>
      <c r="H971" s="4">
        <f>IFERROR(__xludf.DUMMYFUNCTION("""COMPUTED_VALUE"""),8545.0)</f>
        <v>8545</v>
      </c>
      <c r="I971" s="4">
        <f>IFERROR(__xludf.DUMMYFUNCTION("""COMPUTED_VALUE"""),3661.0)</f>
        <v>3661</v>
      </c>
      <c r="J971" s="4">
        <f>IFERROR(__xludf.DUMMYFUNCTION("""COMPUTED_VALUE"""),1159.0)</f>
        <v>1159</v>
      </c>
      <c r="K971" s="4">
        <f>IFERROR(__xludf.DUMMYFUNCTION("""COMPUTED_VALUE"""),448.0)</f>
        <v>448</v>
      </c>
      <c r="L971" s="4">
        <f>IFERROR(__xludf.DUMMYFUNCTION("""COMPUTED_VALUE"""),0.422)</f>
        <v>0.422</v>
      </c>
      <c r="M971" s="4">
        <f>IFERROR(__xludf.DUMMYFUNCTION("""COMPUTED_VALUE"""),0.396)</f>
        <v>0.396</v>
      </c>
      <c r="N971" s="4">
        <f>IFERROR(__xludf.DUMMYFUNCTION("""COMPUTED_VALUE"""),0.863)</f>
        <v>0.863</v>
      </c>
      <c r="O971" s="4">
        <f>IFERROR(__xludf.DUMMYFUNCTION("""COMPUTED_VALUE"""),18.0)</f>
        <v>18</v>
      </c>
      <c r="P971" s="4">
        <f>IFERROR(__xludf.DUMMYFUNCTION("""COMPUTED_VALUE"""),7.7)</f>
        <v>7.7</v>
      </c>
      <c r="Q971" s="4">
        <f>IFERROR(__xludf.DUMMYFUNCTION("""COMPUTED_VALUE"""),2.4)</f>
        <v>2.4</v>
      </c>
      <c r="R971" s="4">
        <f>IFERROR(__xludf.DUMMYFUNCTION("""COMPUTED_VALUE"""),0.9)</f>
        <v>0.9</v>
      </c>
      <c r="S971" s="4">
        <f>IFERROR(__xludf.DUMMYFUNCTION("""COMPUTED_VALUE"""),18.6)</f>
        <v>18.6</v>
      </c>
      <c r="T971" s="4">
        <f>IFERROR(__xludf.DUMMYFUNCTION("""COMPUTED_VALUE"""),0.105)</f>
        <v>0.105</v>
      </c>
      <c r="U971" s="4">
        <f>IFERROR(__xludf.DUMMYFUNCTION("""COMPUTED_VALUE"""),0.2)</f>
        <v>0.2</v>
      </c>
      <c r="V971" s="4">
        <f>IFERROR(__xludf.DUMMYFUNCTION("""COMPUTED_VALUE"""),4.7)</f>
        <v>4.7</v>
      </c>
    </row>
    <row r="972">
      <c r="A972" s="4">
        <f>IFERROR(__xludf.DUMMYFUNCTION("""COMPUTED_VALUE"""),43.0)</f>
        <v>43</v>
      </c>
      <c r="B972" s="4">
        <f>IFERROR(__xludf.DUMMYFUNCTION("""COMPUTED_VALUE"""),43.0)</f>
        <v>43</v>
      </c>
      <c r="C972" s="4" t="str">
        <f>IFERROR(__xludf.DUMMYFUNCTION("""COMPUTED_VALUE"""),"CHI")</f>
        <v>CHI</v>
      </c>
      <c r="D972" s="4" t="str">
        <f>IFERROR(__xludf.DUMMYFUNCTION("""COMPUTED_VALUE"""),"Malcolm Lee")</f>
        <v>Malcolm Lee</v>
      </c>
      <c r="E972" s="4" t="str">
        <f>IFERROR(__xludf.DUMMYFUNCTION("""COMPUTED_VALUE"""),"UCLA")</f>
        <v>UCLA</v>
      </c>
      <c r="F972" s="4">
        <f>IFERROR(__xludf.DUMMYFUNCTION("""COMPUTED_VALUE"""),3.0)</f>
        <v>3</v>
      </c>
      <c r="G972" s="4">
        <f>IFERROR(__xludf.DUMMYFUNCTION("""COMPUTED_VALUE"""),36.0)</f>
        <v>36</v>
      </c>
      <c r="H972" s="4">
        <f>IFERROR(__xludf.DUMMYFUNCTION("""COMPUTED_VALUE"""),534.0)</f>
        <v>534</v>
      </c>
      <c r="I972" s="4">
        <f>IFERROR(__xludf.DUMMYFUNCTION("""COMPUTED_VALUE"""),140.0)</f>
        <v>140</v>
      </c>
      <c r="J972" s="4">
        <f>IFERROR(__xludf.DUMMYFUNCTION("""COMPUTED_VALUE"""),65.0)</f>
        <v>65</v>
      </c>
      <c r="K972" s="4">
        <f>IFERROR(__xludf.DUMMYFUNCTION("""COMPUTED_VALUE"""),51.0)</f>
        <v>51</v>
      </c>
      <c r="L972" s="4">
        <f>IFERROR(__xludf.DUMMYFUNCTION("""COMPUTED_VALUE"""),0.382)</f>
        <v>0.382</v>
      </c>
      <c r="M972" s="4">
        <f>IFERROR(__xludf.DUMMYFUNCTION("""COMPUTED_VALUE"""),0.294)</f>
        <v>0.294</v>
      </c>
      <c r="N972" s="4">
        <f>IFERROR(__xludf.DUMMYFUNCTION("""COMPUTED_VALUE"""),0.703)</f>
        <v>0.703</v>
      </c>
      <c r="O972" s="4">
        <f>IFERROR(__xludf.DUMMYFUNCTION("""COMPUTED_VALUE"""),14.8)</f>
        <v>14.8</v>
      </c>
      <c r="P972" s="4">
        <f>IFERROR(__xludf.DUMMYFUNCTION("""COMPUTED_VALUE"""),3.9)</f>
        <v>3.9</v>
      </c>
      <c r="Q972" s="4">
        <f>IFERROR(__xludf.DUMMYFUNCTION("""COMPUTED_VALUE"""),1.8)</f>
        <v>1.8</v>
      </c>
      <c r="R972" s="4">
        <f>IFERROR(__xludf.DUMMYFUNCTION("""COMPUTED_VALUE"""),1.4)</f>
        <v>1.4</v>
      </c>
      <c r="S972" s="4">
        <f>IFERROR(__xludf.DUMMYFUNCTION("""COMPUTED_VALUE"""),0.4)</f>
        <v>0.4</v>
      </c>
      <c r="T972" s="4">
        <f>IFERROR(__xludf.DUMMYFUNCTION("""COMPUTED_VALUE"""),0.04)</f>
        <v>0.04</v>
      </c>
      <c r="U972" s="4">
        <f>IFERROR(__xludf.DUMMYFUNCTION("""COMPUTED_VALUE"""),-2.5)</f>
        <v>-2.5</v>
      </c>
      <c r="V972" s="4">
        <f>IFERROR(__xludf.DUMMYFUNCTION("""COMPUTED_VALUE"""),-0.1)</f>
        <v>-0.1</v>
      </c>
    </row>
    <row r="973">
      <c r="A973" s="4">
        <f>IFERROR(__xludf.DUMMYFUNCTION("""COMPUTED_VALUE"""),44.0)</f>
        <v>44</v>
      </c>
      <c r="B973" s="4">
        <f>IFERROR(__xludf.DUMMYFUNCTION("""COMPUTED_VALUE"""),44.0)</f>
        <v>44</v>
      </c>
      <c r="C973" s="4" t="str">
        <f>IFERROR(__xludf.DUMMYFUNCTION("""COMPUTED_VALUE"""),"GSW")</f>
        <v>GSW</v>
      </c>
      <c r="D973" s="4" t="str">
        <f>IFERROR(__xludf.DUMMYFUNCTION("""COMPUTED_VALUE"""),"Charles Jenkins")</f>
        <v>Charles Jenkins</v>
      </c>
      <c r="E973" s="4" t="str">
        <f>IFERROR(__xludf.DUMMYFUNCTION("""COMPUTED_VALUE"""),"Hofstra")</f>
        <v>Hofstra</v>
      </c>
      <c r="F973" s="4">
        <f>IFERROR(__xludf.DUMMYFUNCTION("""COMPUTED_VALUE"""),2.0)</f>
        <v>2</v>
      </c>
      <c r="G973" s="4">
        <f>IFERROR(__xludf.DUMMYFUNCTION("""COMPUTED_VALUE"""),110.0)</f>
        <v>110</v>
      </c>
      <c r="H973" s="4">
        <f>IFERROR(__xludf.DUMMYFUNCTION("""COMPUTED_VALUE"""),1334.0)</f>
        <v>1334</v>
      </c>
      <c r="I973" s="4">
        <f>IFERROR(__xludf.DUMMYFUNCTION("""COMPUTED_VALUE"""),408.0)</f>
        <v>408</v>
      </c>
      <c r="J973" s="4">
        <f>IFERROR(__xludf.DUMMYFUNCTION("""COMPUTED_VALUE"""),100.0)</f>
        <v>100</v>
      </c>
      <c r="K973" s="4">
        <f>IFERROR(__xludf.DUMMYFUNCTION("""COMPUTED_VALUE"""),214.0)</f>
        <v>214</v>
      </c>
      <c r="L973" s="4">
        <f>IFERROR(__xludf.DUMMYFUNCTION("""COMPUTED_VALUE"""),0.434)</f>
        <v>0.434</v>
      </c>
      <c r="M973" s="4">
        <f>IFERROR(__xludf.DUMMYFUNCTION("""COMPUTED_VALUE"""),0.182)</f>
        <v>0.182</v>
      </c>
      <c r="N973" s="4">
        <f>IFERROR(__xludf.DUMMYFUNCTION("""COMPUTED_VALUE"""),0.754)</f>
        <v>0.754</v>
      </c>
      <c r="O973" s="4">
        <f>IFERROR(__xludf.DUMMYFUNCTION("""COMPUTED_VALUE"""),12.1)</f>
        <v>12.1</v>
      </c>
      <c r="P973" s="4">
        <f>IFERROR(__xludf.DUMMYFUNCTION("""COMPUTED_VALUE"""),3.7)</f>
        <v>3.7</v>
      </c>
      <c r="Q973" s="4">
        <f>IFERROR(__xludf.DUMMYFUNCTION("""COMPUTED_VALUE"""),0.9)</f>
        <v>0.9</v>
      </c>
      <c r="R973" s="4">
        <f>IFERROR(__xludf.DUMMYFUNCTION("""COMPUTED_VALUE"""),1.9)</f>
        <v>1.9</v>
      </c>
      <c r="S973" s="4">
        <f>IFERROR(__xludf.DUMMYFUNCTION("""COMPUTED_VALUE"""),0.5)</f>
        <v>0.5</v>
      </c>
      <c r="T973" s="4">
        <f>IFERROR(__xludf.DUMMYFUNCTION("""COMPUTED_VALUE"""),0.017)</f>
        <v>0.017</v>
      </c>
      <c r="U973" s="4">
        <f>IFERROR(__xludf.DUMMYFUNCTION("""COMPUTED_VALUE"""),-4.5)</f>
        <v>-4.5</v>
      </c>
      <c r="V973" s="4">
        <f>IFERROR(__xludf.DUMMYFUNCTION("""COMPUTED_VALUE"""),-0.8)</f>
        <v>-0.8</v>
      </c>
    </row>
    <row r="974">
      <c r="A974" s="4">
        <f>IFERROR(__xludf.DUMMYFUNCTION("""COMPUTED_VALUE"""),45.0)</f>
        <v>45</v>
      </c>
      <c r="B974" s="4">
        <f>IFERROR(__xludf.DUMMYFUNCTION("""COMPUTED_VALUE"""),45.0)</f>
        <v>45</v>
      </c>
      <c r="C974" s="4" t="str">
        <f>IFERROR(__xludf.DUMMYFUNCTION("""COMPUTED_VALUE"""),"NOH")</f>
        <v>NOH</v>
      </c>
      <c r="D974" s="4" t="str">
        <f>IFERROR(__xludf.DUMMYFUNCTION("""COMPUTED_VALUE"""),"Josh Harrellson")</f>
        <v>Josh Harrellson</v>
      </c>
      <c r="E974" s="4" t="str">
        <f>IFERROR(__xludf.DUMMYFUNCTION("""COMPUTED_VALUE"""),"Kentucky")</f>
        <v>Kentucky</v>
      </c>
      <c r="F974" s="4">
        <f>IFERROR(__xludf.DUMMYFUNCTION("""COMPUTED_VALUE"""),3.0)</f>
        <v>3</v>
      </c>
      <c r="G974" s="4">
        <f>IFERROR(__xludf.DUMMYFUNCTION("""COMPUTED_VALUE"""),75.0)</f>
        <v>75</v>
      </c>
      <c r="H974" s="4">
        <f>IFERROR(__xludf.DUMMYFUNCTION("""COMPUTED_VALUE"""),888.0)</f>
        <v>888</v>
      </c>
      <c r="I974" s="4">
        <f>IFERROR(__xludf.DUMMYFUNCTION("""COMPUTED_VALUE"""),265.0)</f>
        <v>265</v>
      </c>
      <c r="J974" s="4">
        <f>IFERROR(__xludf.DUMMYFUNCTION("""COMPUTED_VALUE"""),227.0)</f>
        <v>227</v>
      </c>
      <c r="K974" s="4">
        <f>IFERROR(__xludf.DUMMYFUNCTION("""COMPUTED_VALUE"""),26.0)</f>
        <v>26</v>
      </c>
      <c r="L974" s="4">
        <f>IFERROR(__xludf.DUMMYFUNCTION("""COMPUTED_VALUE"""),0.438)</f>
        <v>0.438</v>
      </c>
      <c r="M974" s="4">
        <f>IFERROR(__xludf.DUMMYFUNCTION("""COMPUTED_VALUE"""),0.347)</f>
        <v>0.347</v>
      </c>
      <c r="N974" s="4">
        <f>IFERROR(__xludf.DUMMYFUNCTION("""COMPUTED_VALUE"""),0.629)</f>
        <v>0.629</v>
      </c>
      <c r="O974" s="4">
        <f>IFERROR(__xludf.DUMMYFUNCTION("""COMPUTED_VALUE"""),11.8)</f>
        <v>11.8</v>
      </c>
      <c r="P974" s="4">
        <f>IFERROR(__xludf.DUMMYFUNCTION("""COMPUTED_VALUE"""),3.5)</f>
        <v>3.5</v>
      </c>
      <c r="Q974" s="4">
        <f>IFERROR(__xludf.DUMMYFUNCTION("""COMPUTED_VALUE"""),3.0)</f>
        <v>3</v>
      </c>
      <c r="R974" s="4">
        <f>IFERROR(__xludf.DUMMYFUNCTION("""COMPUTED_VALUE"""),0.3)</f>
        <v>0.3</v>
      </c>
      <c r="S974" s="4">
        <f>IFERROR(__xludf.DUMMYFUNCTION("""COMPUTED_VALUE"""),2.1)</f>
        <v>2.1</v>
      </c>
      <c r="T974" s="4">
        <f>IFERROR(__xludf.DUMMYFUNCTION("""COMPUTED_VALUE"""),0.116)</f>
        <v>0.116</v>
      </c>
      <c r="U974" s="4">
        <f>IFERROR(__xludf.DUMMYFUNCTION("""COMPUTED_VALUE"""),-0.4)</f>
        <v>-0.4</v>
      </c>
      <c r="V974" s="4">
        <f>IFERROR(__xludf.DUMMYFUNCTION("""COMPUTED_VALUE"""),0.4)</f>
        <v>0.4</v>
      </c>
    </row>
    <row r="975">
      <c r="A975" s="4">
        <f>IFERROR(__xludf.DUMMYFUNCTION("""COMPUTED_VALUE"""),46.0)</f>
        <v>46</v>
      </c>
      <c r="B975" s="4">
        <f>IFERROR(__xludf.DUMMYFUNCTION("""COMPUTED_VALUE"""),46.0)</f>
        <v>46</v>
      </c>
      <c r="C975" s="4" t="str">
        <f>IFERROR(__xludf.DUMMYFUNCTION("""COMPUTED_VALUE"""),"LAL")</f>
        <v>LAL</v>
      </c>
      <c r="D975" s="4" t="str">
        <f>IFERROR(__xludf.DUMMYFUNCTION("""COMPUTED_VALUE"""),"Andrew Goudelock")</f>
        <v>Andrew Goudelock</v>
      </c>
      <c r="E975" s="4" t="str">
        <f>IFERROR(__xludf.DUMMYFUNCTION("""COMPUTED_VALUE"""),"College of Charleston")</f>
        <v>College of Charleston</v>
      </c>
      <c r="F975" s="4">
        <f>IFERROR(__xludf.DUMMYFUNCTION("""COMPUTED_VALUE"""),3.0)</f>
        <v>3</v>
      </c>
      <c r="G975" s="4">
        <f>IFERROR(__xludf.DUMMYFUNCTION("""COMPUTED_VALUE"""),49.0)</f>
        <v>49</v>
      </c>
      <c r="H975" s="4">
        <f>IFERROR(__xludf.DUMMYFUNCTION("""COMPUTED_VALUE"""),475.0)</f>
        <v>475</v>
      </c>
      <c r="I975" s="4">
        <f>IFERROR(__xludf.DUMMYFUNCTION("""COMPUTED_VALUE"""),197.0)</f>
        <v>197</v>
      </c>
      <c r="J975" s="4">
        <f>IFERROR(__xludf.DUMMYFUNCTION("""COMPUTED_VALUE"""),34.0)</f>
        <v>34</v>
      </c>
      <c r="K975" s="4">
        <f>IFERROR(__xludf.DUMMYFUNCTION("""COMPUTED_VALUE"""),24.0)</f>
        <v>24</v>
      </c>
      <c r="L975" s="4">
        <f>IFERROR(__xludf.DUMMYFUNCTION("""COMPUTED_VALUE"""),0.393)</f>
        <v>0.393</v>
      </c>
      <c r="M975" s="4">
        <f>IFERROR(__xludf.DUMMYFUNCTION("""COMPUTED_VALUE"""),0.345)</f>
        <v>0.345</v>
      </c>
      <c r="N975" s="4">
        <f>IFERROR(__xludf.DUMMYFUNCTION("""COMPUTED_VALUE"""),0.875)</f>
        <v>0.875</v>
      </c>
      <c r="O975" s="4">
        <f>IFERROR(__xludf.DUMMYFUNCTION("""COMPUTED_VALUE"""),9.7)</f>
        <v>9.7</v>
      </c>
      <c r="P975" s="4">
        <f>IFERROR(__xludf.DUMMYFUNCTION("""COMPUTED_VALUE"""),4.0)</f>
        <v>4</v>
      </c>
      <c r="Q975" s="4">
        <f>IFERROR(__xludf.DUMMYFUNCTION("""COMPUTED_VALUE"""),0.7)</f>
        <v>0.7</v>
      </c>
      <c r="R975" s="4">
        <f>IFERROR(__xludf.DUMMYFUNCTION("""COMPUTED_VALUE"""),0.5)</f>
        <v>0.5</v>
      </c>
      <c r="S975" s="4">
        <f>IFERROR(__xludf.DUMMYFUNCTION("""COMPUTED_VALUE"""),0.0)</f>
        <v>0</v>
      </c>
      <c r="T975" s="4">
        <f>IFERROR(__xludf.DUMMYFUNCTION("""COMPUTED_VALUE"""),0.003)</f>
        <v>0.003</v>
      </c>
      <c r="U975" s="4">
        <f>IFERROR(__xludf.DUMMYFUNCTION("""COMPUTED_VALUE"""),-5.0)</f>
        <v>-5</v>
      </c>
      <c r="V975" s="4">
        <f>IFERROR(__xludf.DUMMYFUNCTION("""COMPUTED_VALUE"""),-0.3)</f>
        <v>-0.3</v>
      </c>
    </row>
    <row r="976">
      <c r="A976" s="4">
        <f>IFERROR(__xludf.DUMMYFUNCTION("""COMPUTED_VALUE"""),47.0)</f>
        <v>47</v>
      </c>
      <c r="B976" s="4">
        <f>IFERROR(__xludf.DUMMYFUNCTION("""COMPUTED_VALUE"""),47.0)</f>
        <v>47</v>
      </c>
      <c r="C976" s="4" t="str">
        <f>IFERROR(__xludf.DUMMYFUNCTION("""COMPUTED_VALUE"""),"LAC")</f>
        <v>LAC</v>
      </c>
      <c r="D976" s="4" t="str">
        <f>IFERROR(__xludf.DUMMYFUNCTION("""COMPUTED_VALUE"""),"Travis Leslie")</f>
        <v>Travis Leslie</v>
      </c>
      <c r="E976" s="4" t="str">
        <f>IFERROR(__xludf.DUMMYFUNCTION("""COMPUTED_VALUE"""),"Georgia")</f>
        <v>Georgia</v>
      </c>
      <c r="F976" s="4">
        <f>IFERROR(__xludf.DUMMYFUNCTION("""COMPUTED_VALUE"""),1.0)</f>
        <v>1</v>
      </c>
      <c r="G976" s="4">
        <f>IFERROR(__xludf.DUMMYFUNCTION("""COMPUTED_VALUE"""),10.0)</f>
        <v>10</v>
      </c>
      <c r="H976" s="4">
        <f>IFERROR(__xludf.DUMMYFUNCTION("""COMPUTED_VALUE"""),45.0)</f>
        <v>45</v>
      </c>
      <c r="I976" s="4">
        <f>IFERROR(__xludf.DUMMYFUNCTION("""COMPUTED_VALUE"""),14.0)</f>
        <v>14</v>
      </c>
      <c r="J976" s="4">
        <f>IFERROR(__xludf.DUMMYFUNCTION("""COMPUTED_VALUE"""),9.0)</f>
        <v>9</v>
      </c>
      <c r="K976" s="4">
        <f>IFERROR(__xludf.DUMMYFUNCTION("""COMPUTED_VALUE"""),5.0)</f>
        <v>5</v>
      </c>
      <c r="L976" s="4">
        <f>IFERROR(__xludf.DUMMYFUNCTION("""COMPUTED_VALUE"""),0.357)</f>
        <v>0.357</v>
      </c>
      <c r="M976" s="4"/>
      <c r="N976" s="4">
        <f>IFERROR(__xludf.DUMMYFUNCTION("""COMPUTED_VALUE"""),0.444)</f>
        <v>0.444</v>
      </c>
      <c r="O976" s="4">
        <f>IFERROR(__xludf.DUMMYFUNCTION("""COMPUTED_VALUE"""),4.5)</f>
        <v>4.5</v>
      </c>
      <c r="P976" s="4">
        <f>IFERROR(__xludf.DUMMYFUNCTION("""COMPUTED_VALUE"""),1.4)</f>
        <v>1.4</v>
      </c>
      <c r="Q976" s="4">
        <f>IFERROR(__xludf.DUMMYFUNCTION("""COMPUTED_VALUE"""),0.9)</f>
        <v>0.9</v>
      </c>
      <c r="R976" s="4">
        <f>IFERROR(__xludf.DUMMYFUNCTION("""COMPUTED_VALUE"""),0.5)</f>
        <v>0.5</v>
      </c>
      <c r="S976" s="4">
        <f>IFERROR(__xludf.DUMMYFUNCTION("""COMPUTED_VALUE"""),0.1)</f>
        <v>0.1</v>
      </c>
      <c r="T976" s="4">
        <f>IFERROR(__xludf.DUMMYFUNCTION("""COMPUTED_VALUE"""),0.06)</f>
        <v>0.06</v>
      </c>
      <c r="U976" s="4">
        <f>IFERROR(__xludf.DUMMYFUNCTION("""COMPUTED_VALUE"""),-0.3)</f>
        <v>-0.3</v>
      </c>
      <c r="V976" s="4">
        <f>IFERROR(__xludf.DUMMYFUNCTION("""COMPUTED_VALUE"""),0.0)</f>
        <v>0</v>
      </c>
    </row>
    <row r="977">
      <c r="A977" s="4">
        <f>IFERROR(__xludf.DUMMYFUNCTION("""COMPUTED_VALUE"""),48.0)</f>
        <v>48</v>
      </c>
      <c r="B977" s="4">
        <f>IFERROR(__xludf.DUMMYFUNCTION("""COMPUTED_VALUE"""),48.0)</f>
        <v>48</v>
      </c>
      <c r="C977" s="4" t="str">
        <f>IFERROR(__xludf.DUMMYFUNCTION("""COMPUTED_VALUE"""),"ATL")</f>
        <v>ATL</v>
      </c>
      <c r="D977" s="4" t="str">
        <f>IFERROR(__xludf.DUMMYFUNCTION("""COMPUTED_VALUE"""),"Keith Benson")</f>
        <v>Keith Benson</v>
      </c>
      <c r="E977" s="4" t="str">
        <f>IFERROR(__xludf.DUMMYFUNCTION("""COMPUTED_VALUE"""),"Oakland")</f>
        <v>Oakland</v>
      </c>
      <c r="F977" s="4">
        <f>IFERROR(__xludf.DUMMYFUNCTION("""COMPUTED_VALUE"""),1.0)</f>
        <v>1</v>
      </c>
      <c r="G977" s="4">
        <f>IFERROR(__xludf.DUMMYFUNCTION("""COMPUTED_VALUE"""),3.0)</f>
        <v>3</v>
      </c>
      <c r="H977" s="4">
        <f>IFERROR(__xludf.DUMMYFUNCTION("""COMPUTED_VALUE"""),9.0)</f>
        <v>9</v>
      </c>
      <c r="I977" s="4">
        <f>IFERROR(__xludf.DUMMYFUNCTION("""COMPUTED_VALUE"""),0.0)</f>
        <v>0</v>
      </c>
      <c r="J977" s="4">
        <f>IFERROR(__xludf.DUMMYFUNCTION("""COMPUTED_VALUE"""),3.0)</f>
        <v>3</v>
      </c>
      <c r="K977" s="4">
        <f>IFERROR(__xludf.DUMMYFUNCTION("""COMPUTED_VALUE"""),0.0)</f>
        <v>0</v>
      </c>
      <c r="L977" s="4">
        <f>IFERROR(__xludf.DUMMYFUNCTION("""COMPUTED_VALUE"""),0.0)</f>
        <v>0</v>
      </c>
      <c r="M977" s="4"/>
      <c r="N977" s="4"/>
      <c r="O977" s="4">
        <f>IFERROR(__xludf.DUMMYFUNCTION("""COMPUTED_VALUE"""),3.0)</f>
        <v>3</v>
      </c>
      <c r="P977" s="4">
        <f>IFERROR(__xludf.DUMMYFUNCTION("""COMPUTED_VALUE"""),0.0)</f>
        <v>0</v>
      </c>
      <c r="Q977" s="4">
        <f>IFERROR(__xludf.DUMMYFUNCTION("""COMPUTED_VALUE"""),1.0)</f>
        <v>1</v>
      </c>
      <c r="R977" s="4">
        <f>IFERROR(__xludf.DUMMYFUNCTION("""COMPUTED_VALUE"""),0.0)</f>
        <v>0</v>
      </c>
      <c r="S977" s="4">
        <f>IFERROR(__xludf.DUMMYFUNCTION("""COMPUTED_VALUE"""),0.0)</f>
        <v>0</v>
      </c>
      <c r="T977" s="4">
        <f>IFERROR(__xludf.DUMMYFUNCTION("""COMPUTED_VALUE"""),-0.005)</f>
        <v>-0.005</v>
      </c>
      <c r="U977" s="4">
        <f>IFERROR(__xludf.DUMMYFUNCTION("""COMPUTED_VALUE"""),-7.7)</f>
        <v>-7.7</v>
      </c>
      <c r="V977" s="4">
        <f>IFERROR(__xludf.DUMMYFUNCTION("""COMPUTED_VALUE"""),0.0)</f>
        <v>0</v>
      </c>
    </row>
    <row r="978">
      <c r="A978" s="4">
        <f>IFERROR(__xludf.DUMMYFUNCTION("""COMPUTED_VALUE"""),49.0)</f>
        <v>49</v>
      </c>
      <c r="B978" s="4">
        <f>IFERROR(__xludf.DUMMYFUNCTION("""COMPUTED_VALUE"""),49.0)</f>
        <v>49</v>
      </c>
      <c r="C978" s="4" t="str">
        <f>IFERROR(__xludf.DUMMYFUNCTION("""COMPUTED_VALUE"""),"MEM")</f>
        <v>MEM</v>
      </c>
      <c r="D978" s="4" t="str">
        <f>IFERROR(__xludf.DUMMYFUNCTION("""COMPUTED_VALUE"""),"Josh Selby")</f>
        <v>Josh Selby</v>
      </c>
      <c r="E978" s="4" t="str">
        <f>IFERROR(__xludf.DUMMYFUNCTION("""COMPUTED_VALUE"""),"Kansas")</f>
        <v>Kansas</v>
      </c>
      <c r="F978" s="4">
        <f>IFERROR(__xludf.DUMMYFUNCTION("""COMPUTED_VALUE"""),2.0)</f>
        <v>2</v>
      </c>
      <c r="G978" s="4">
        <f>IFERROR(__xludf.DUMMYFUNCTION("""COMPUTED_VALUE"""),38.0)</f>
        <v>38</v>
      </c>
      <c r="H978" s="4">
        <f>IFERROR(__xludf.DUMMYFUNCTION("""COMPUTED_VALUE"""),296.0)</f>
        <v>296</v>
      </c>
      <c r="I978" s="4">
        <f>IFERROR(__xludf.DUMMYFUNCTION("""COMPUTED_VALUE"""),83.0)</f>
        <v>83</v>
      </c>
      <c r="J978" s="4">
        <f>IFERROR(__xludf.DUMMYFUNCTION("""COMPUTED_VALUE"""),20.0)</f>
        <v>20</v>
      </c>
      <c r="K978" s="4">
        <f>IFERROR(__xludf.DUMMYFUNCTION("""COMPUTED_VALUE"""),34.0)</f>
        <v>34</v>
      </c>
      <c r="L978" s="4">
        <f>IFERROR(__xludf.DUMMYFUNCTION("""COMPUTED_VALUE"""),0.33)</f>
        <v>0.33</v>
      </c>
      <c r="M978" s="4">
        <f>IFERROR(__xludf.DUMMYFUNCTION("""COMPUTED_VALUE"""),0.143)</f>
        <v>0.143</v>
      </c>
      <c r="N978" s="4">
        <f>IFERROR(__xludf.DUMMYFUNCTION("""COMPUTED_VALUE"""),0.72)</f>
        <v>0.72</v>
      </c>
      <c r="O978" s="4">
        <f>IFERROR(__xludf.DUMMYFUNCTION("""COMPUTED_VALUE"""),7.8)</f>
        <v>7.8</v>
      </c>
      <c r="P978" s="4">
        <f>IFERROR(__xludf.DUMMYFUNCTION("""COMPUTED_VALUE"""),2.2)</f>
        <v>2.2</v>
      </c>
      <c r="Q978" s="4">
        <f>IFERROR(__xludf.DUMMYFUNCTION("""COMPUTED_VALUE"""),0.5)</f>
        <v>0.5</v>
      </c>
      <c r="R978" s="4">
        <f>IFERROR(__xludf.DUMMYFUNCTION("""COMPUTED_VALUE"""),0.9)</f>
        <v>0.9</v>
      </c>
      <c r="S978" s="4">
        <f>IFERROR(__xludf.DUMMYFUNCTION("""COMPUTED_VALUE"""),-0.7)</f>
        <v>-0.7</v>
      </c>
      <c r="T978" s="4">
        <f>IFERROR(__xludf.DUMMYFUNCTION("""COMPUTED_VALUE"""),-0.113)</f>
        <v>-0.113</v>
      </c>
      <c r="U978" s="4">
        <f>IFERROR(__xludf.DUMMYFUNCTION("""COMPUTED_VALUE"""),-9.5)</f>
        <v>-9.5</v>
      </c>
      <c r="V978" s="4">
        <f>IFERROR(__xludf.DUMMYFUNCTION("""COMPUTED_VALUE"""),-0.6)</f>
        <v>-0.6</v>
      </c>
    </row>
    <row r="979">
      <c r="A979" s="4">
        <f>IFERROR(__xludf.DUMMYFUNCTION("""COMPUTED_VALUE"""),50.0)</f>
        <v>50</v>
      </c>
      <c r="B979" s="4">
        <f>IFERROR(__xludf.DUMMYFUNCTION("""COMPUTED_VALUE"""),50.0)</f>
        <v>50</v>
      </c>
      <c r="C979" s="4" t="str">
        <f>IFERROR(__xludf.DUMMYFUNCTION("""COMPUTED_VALUE"""),"PHI")</f>
        <v>PHI</v>
      </c>
      <c r="D979" s="4" t="str">
        <f>IFERROR(__xludf.DUMMYFUNCTION("""COMPUTED_VALUE"""),"Lavoy Allen")</f>
        <v>Lavoy Allen</v>
      </c>
      <c r="E979" s="4" t="str">
        <f>IFERROR(__xludf.DUMMYFUNCTION("""COMPUTED_VALUE"""),"Temple")</f>
        <v>Temple</v>
      </c>
      <c r="F979" s="4">
        <f>IFERROR(__xludf.DUMMYFUNCTION("""COMPUTED_VALUE"""),6.0)</f>
        <v>6</v>
      </c>
      <c r="G979" s="4">
        <f>IFERROR(__xludf.DUMMYFUNCTION("""COMPUTED_VALUE"""),388.0)</f>
        <v>388</v>
      </c>
      <c r="H979" s="4">
        <f>IFERROR(__xludf.DUMMYFUNCTION("""COMPUTED_VALUE"""),6905.0)</f>
        <v>6905</v>
      </c>
      <c r="I979" s="4">
        <f>IFERROR(__xludf.DUMMYFUNCTION("""COMPUTED_VALUE"""),1847.0)</f>
        <v>1847</v>
      </c>
      <c r="J979" s="4">
        <f>IFERROR(__xludf.DUMMYFUNCTION("""COMPUTED_VALUE"""),1843.0)</f>
        <v>1843</v>
      </c>
      <c r="K979" s="4">
        <f>IFERROR(__xludf.DUMMYFUNCTION("""COMPUTED_VALUE"""),384.0)</f>
        <v>384</v>
      </c>
      <c r="L979" s="4">
        <f>IFERROR(__xludf.DUMMYFUNCTION("""COMPUTED_VALUE"""),0.471)</f>
        <v>0.471</v>
      </c>
      <c r="M979" s="4">
        <f>IFERROR(__xludf.DUMMYFUNCTION("""COMPUTED_VALUE"""),0.133)</f>
        <v>0.133</v>
      </c>
      <c r="N979" s="4">
        <f>IFERROR(__xludf.DUMMYFUNCTION("""COMPUTED_VALUE"""),0.682)</f>
        <v>0.682</v>
      </c>
      <c r="O979" s="4">
        <f>IFERROR(__xludf.DUMMYFUNCTION("""COMPUTED_VALUE"""),17.8)</f>
        <v>17.8</v>
      </c>
      <c r="P979" s="4">
        <f>IFERROR(__xludf.DUMMYFUNCTION("""COMPUTED_VALUE"""),4.8)</f>
        <v>4.8</v>
      </c>
      <c r="Q979" s="4">
        <f>IFERROR(__xludf.DUMMYFUNCTION("""COMPUTED_VALUE"""),4.8)</f>
        <v>4.8</v>
      </c>
      <c r="R979" s="4">
        <f>IFERROR(__xludf.DUMMYFUNCTION("""COMPUTED_VALUE"""),1.0)</f>
        <v>1</v>
      </c>
      <c r="S979" s="4">
        <f>IFERROR(__xludf.DUMMYFUNCTION("""COMPUTED_VALUE"""),13.8)</f>
        <v>13.8</v>
      </c>
      <c r="T979" s="4">
        <f>IFERROR(__xludf.DUMMYFUNCTION("""COMPUTED_VALUE"""),0.096)</f>
        <v>0.096</v>
      </c>
      <c r="U979" s="4">
        <f>IFERROR(__xludf.DUMMYFUNCTION("""COMPUTED_VALUE"""),-2.1)</f>
        <v>-2.1</v>
      </c>
      <c r="V979" s="4">
        <f>IFERROR(__xludf.DUMMYFUNCTION("""COMPUTED_VALUE"""),-0.1)</f>
        <v>-0.1</v>
      </c>
    </row>
    <row r="980">
      <c r="A980" s="4">
        <f>IFERROR(__xludf.DUMMYFUNCTION("""COMPUTED_VALUE"""),51.0)</f>
        <v>51</v>
      </c>
      <c r="B980" s="4">
        <f>IFERROR(__xludf.DUMMYFUNCTION("""COMPUTED_VALUE"""),51.0)</f>
        <v>51</v>
      </c>
      <c r="C980" s="4" t="str">
        <f>IFERROR(__xludf.DUMMYFUNCTION("""COMPUTED_VALUE"""),"POR")</f>
        <v>POR</v>
      </c>
      <c r="D980" s="4" t="str">
        <f>IFERROR(__xludf.DUMMYFUNCTION("""COMPUTED_VALUE"""),"Jon Diebler")</f>
        <v>Jon Diebler</v>
      </c>
      <c r="E980" s="4" t="str">
        <f>IFERROR(__xludf.DUMMYFUNCTION("""COMPUTED_VALUE"""),"Ohio State")</f>
        <v>Ohio State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>
        <f>IFERROR(__xludf.DUMMYFUNCTION("""COMPUTED_VALUE"""),52.0)</f>
        <v>52</v>
      </c>
      <c r="B981" s="4">
        <f>IFERROR(__xludf.DUMMYFUNCTION("""COMPUTED_VALUE"""),52.0)</f>
        <v>52</v>
      </c>
      <c r="C981" s="4" t="str">
        <f>IFERROR(__xludf.DUMMYFUNCTION("""COMPUTED_VALUE"""),"DET")</f>
        <v>DET</v>
      </c>
      <c r="D981" s="4" t="str">
        <f>IFERROR(__xludf.DUMMYFUNCTION("""COMPUTED_VALUE"""),"Vernon Macklin")</f>
        <v>Vernon Macklin</v>
      </c>
      <c r="E981" s="4" t="str">
        <f>IFERROR(__xludf.DUMMYFUNCTION("""COMPUTED_VALUE"""),"Florida")</f>
        <v>Florida</v>
      </c>
      <c r="F981" s="4">
        <f>IFERROR(__xludf.DUMMYFUNCTION("""COMPUTED_VALUE"""),1.0)</f>
        <v>1</v>
      </c>
      <c r="G981" s="4">
        <f>IFERROR(__xludf.DUMMYFUNCTION("""COMPUTED_VALUE"""),23.0)</f>
        <v>23</v>
      </c>
      <c r="H981" s="4">
        <f>IFERROR(__xludf.DUMMYFUNCTION("""COMPUTED_VALUE"""),135.0)</f>
        <v>135</v>
      </c>
      <c r="I981" s="4">
        <f>IFERROR(__xludf.DUMMYFUNCTION("""COMPUTED_VALUE"""),46.0)</f>
        <v>46</v>
      </c>
      <c r="J981" s="4">
        <f>IFERROR(__xludf.DUMMYFUNCTION("""COMPUTED_VALUE"""),34.0)</f>
        <v>34</v>
      </c>
      <c r="K981" s="4">
        <f>IFERROR(__xludf.DUMMYFUNCTION("""COMPUTED_VALUE"""),5.0)</f>
        <v>5</v>
      </c>
      <c r="L981" s="4">
        <f>IFERROR(__xludf.DUMMYFUNCTION("""COMPUTED_VALUE"""),0.543)</f>
        <v>0.543</v>
      </c>
      <c r="M981" s="4"/>
      <c r="N981" s="4">
        <f>IFERROR(__xludf.DUMMYFUNCTION("""COMPUTED_VALUE"""),0.571)</f>
        <v>0.571</v>
      </c>
      <c r="O981" s="4">
        <f>IFERROR(__xludf.DUMMYFUNCTION("""COMPUTED_VALUE"""),5.9)</f>
        <v>5.9</v>
      </c>
      <c r="P981" s="4">
        <f>IFERROR(__xludf.DUMMYFUNCTION("""COMPUTED_VALUE"""),2.0)</f>
        <v>2</v>
      </c>
      <c r="Q981" s="4">
        <f>IFERROR(__xludf.DUMMYFUNCTION("""COMPUTED_VALUE"""),1.5)</f>
        <v>1.5</v>
      </c>
      <c r="R981" s="4">
        <f>IFERROR(__xludf.DUMMYFUNCTION("""COMPUTED_VALUE"""),0.2)</f>
        <v>0.2</v>
      </c>
      <c r="S981" s="4">
        <f>IFERROR(__xludf.DUMMYFUNCTION("""COMPUTED_VALUE"""),0.5)</f>
        <v>0.5</v>
      </c>
      <c r="T981" s="4">
        <f>IFERROR(__xludf.DUMMYFUNCTION("""COMPUTED_VALUE"""),0.161)</f>
        <v>0.161</v>
      </c>
      <c r="U981" s="4">
        <f>IFERROR(__xludf.DUMMYFUNCTION("""COMPUTED_VALUE"""),1.2)</f>
        <v>1.2</v>
      </c>
      <c r="V981" s="4">
        <f>IFERROR(__xludf.DUMMYFUNCTION("""COMPUTED_VALUE"""),0.1)</f>
        <v>0.1</v>
      </c>
    </row>
    <row r="982">
      <c r="A982" s="4">
        <f>IFERROR(__xludf.DUMMYFUNCTION("""COMPUTED_VALUE"""),53.0)</f>
        <v>53</v>
      </c>
      <c r="B982" s="4">
        <f>IFERROR(__xludf.DUMMYFUNCTION("""COMPUTED_VALUE"""),53.0)</f>
        <v>53</v>
      </c>
      <c r="C982" s="4" t="str">
        <f>IFERROR(__xludf.DUMMYFUNCTION("""COMPUTED_VALUE"""),"ORL")</f>
        <v>ORL</v>
      </c>
      <c r="D982" s="4" t="str">
        <f>IFERROR(__xludf.DUMMYFUNCTION("""COMPUTED_VALUE"""),"DeAndre Liggins")</f>
        <v>DeAndre Liggins</v>
      </c>
      <c r="E982" s="4" t="str">
        <f>IFERROR(__xludf.DUMMYFUNCTION("""COMPUTED_VALUE"""),"Kentucky")</f>
        <v>Kentucky</v>
      </c>
      <c r="F982" s="4">
        <f>IFERROR(__xludf.DUMMYFUNCTION("""COMPUTED_VALUE"""),5.0)</f>
        <v>5</v>
      </c>
      <c r="G982" s="4">
        <f>IFERROR(__xludf.DUMMYFUNCTION("""COMPUTED_VALUE"""),177.0)</f>
        <v>177</v>
      </c>
      <c r="H982" s="4">
        <f>IFERROR(__xludf.DUMMYFUNCTION("""COMPUTED_VALUE"""),1907.0)</f>
        <v>1907</v>
      </c>
      <c r="I982" s="4">
        <f>IFERROR(__xludf.DUMMYFUNCTION("""COMPUTED_VALUE"""),346.0)</f>
        <v>346</v>
      </c>
      <c r="J982" s="4">
        <f>IFERROR(__xludf.DUMMYFUNCTION("""COMPUTED_VALUE"""),252.0)</f>
        <v>252</v>
      </c>
      <c r="K982" s="4">
        <f>IFERROR(__xludf.DUMMYFUNCTION("""COMPUTED_VALUE"""),122.0)</f>
        <v>122</v>
      </c>
      <c r="L982" s="4">
        <f>IFERROR(__xludf.DUMMYFUNCTION("""COMPUTED_VALUE"""),0.402)</f>
        <v>0.402</v>
      </c>
      <c r="M982" s="4">
        <f>IFERROR(__xludf.DUMMYFUNCTION("""COMPUTED_VALUE"""),0.352)</f>
        <v>0.352</v>
      </c>
      <c r="N982" s="4">
        <f>IFERROR(__xludf.DUMMYFUNCTION("""COMPUTED_VALUE"""),0.549)</f>
        <v>0.549</v>
      </c>
      <c r="O982" s="4">
        <f>IFERROR(__xludf.DUMMYFUNCTION("""COMPUTED_VALUE"""),10.8)</f>
        <v>10.8</v>
      </c>
      <c r="P982" s="4">
        <f>IFERROR(__xludf.DUMMYFUNCTION("""COMPUTED_VALUE"""),2.0)</f>
        <v>2</v>
      </c>
      <c r="Q982" s="4">
        <f>IFERROR(__xludf.DUMMYFUNCTION("""COMPUTED_VALUE"""),1.4)</f>
        <v>1.4</v>
      </c>
      <c r="R982" s="4">
        <f>IFERROR(__xludf.DUMMYFUNCTION("""COMPUTED_VALUE"""),0.7)</f>
        <v>0.7</v>
      </c>
      <c r="S982" s="4">
        <f>IFERROR(__xludf.DUMMYFUNCTION("""COMPUTED_VALUE"""),1.6)</f>
        <v>1.6</v>
      </c>
      <c r="T982" s="4">
        <f>IFERROR(__xludf.DUMMYFUNCTION("""COMPUTED_VALUE"""),0.04)</f>
        <v>0.04</v>
      </c>
      <c r="U982" s="4">
        <f>IFERROR(__xludf.DUMMYFUNCTION("""COMPUTED_VALUE"""),-2.2)</f>
        <v>-2.2</v>
      </c>
      <c r="V982" s="4">
        <f>IFERROR(__xludf.DUMMYFUNCTION("""COMPUTED_VALUE"""),-0.1)</f>
        <v>-0.1</v>
      </c>
    </row>
    <row r="983">
      <c r="A983" s="4">
        <f>IFERROR(__xludf.DUMMYFUNCTION("""COMPUTED_VALUE"""),54.0)</f>
        <v>54</v>
      </c>
      <c r="B983" s="4">
        <f>IFERROR(__xludf.DUMMYFUNCTION("""COMPUTED_VALUE"""),54.0)</f>
        <v>54</v>
      </c>
      <c r="C983" s="4" t="str">
        <f>IFERROR(__xludf.DUMMYFUNCTION("""COMPUTED_VALUE"""),"CLE")</f>
        <v>CLE</v>
      </c>
      <c r="D983" s="4" t="str">
        <f>IFERROR(__xludf.DUMMYFUNCTION("""COMPUTED_VALUE"""),"Milan Mačvan")</f>
        <v>Milan Mačvan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>
        <f>IFERROR(__xludf.DUMMYFUNCTION("""COMPUTED_VALUE"""),55.0)</f>
        <v>55</v>
      </c>
      <c r="B984" s="4">
        <f>IFERROR(__xludf.DUMMYFUNCTION("""COMPUTED_VALUE"""),55.0)</f>
        <v>55</v>
      </c>
      <c r="C984" s="4" t="str">
        <f>IFERROR(__xludf.DUMMYFUNCTION("""COMPUTED_VALUE"""),"BOS")</f>
        <v>BOS</v>
      </c>
      <c r="D984" s="4" t="str">
        <f>IFERROR(__xludf.DUMMYFUNCTION("""COMPUTED_VALUE"""),"E'Twaun Moore")</f>
        <v>E'Twaun Moore</v>
      </c>
      <c r="E984" s="4" t="str">
        <f>IFERROR(__xludf.DUMMYFUNCTION("""COMPUTED_VALUE"""),"Purdue")</f>
        <v>Purdue</v>
      </c>
      <c r="F984" s="4">
        <f>IFERROR(__xludf.DUMMYFUNCTION("""COMPUTED_VALUE"""),10.0)</f>
        <v>10</v>
      </c>
      <c r="G984" s="4">
        <f>IFERROR(__xludf.DUMMYFUNCTION("""COMPUTED_VALUE"""),598.0)</f>
        <v>598</v>
      </c>
      <c r="H984" s="4">
        <f>IFERROR(__xludf.DUMMYFUNCTION("""COMPUTED_VALUE"""),12564.0)</f>
        <v>12564</v>
      </c>
      <c r="I984" s="4">
        <f>IFERROR(__xludf.DUMMYFUNCTION("""COMPUTED_VALUE"""),4743.0)</f>
        <v>4743</v>
      </c>
      <c r="J984" s="4">
        <f>IFERROR(__xludf.DUMMYFUNCTION("""COMPUTED_VALUE"""),1208.0)</f>
        <v>1208</v>
      </c>
      <c r="K984" s="4">
        <f>IFERROR(__xludf.DUMMYFUNCTION("""COMPUTED_VALUE"""),1055.0)</f>
        <v>1055</v>
      </c>
      <c r="L984" s="4">
        <f>IFERROR(__xludf.DUMMYFUNCTION("""COMPUTED_VALUE"""),0.455)</f>
        <v>0.455</v>
      </c>
      <c r="M984" s="4">
        <f>IFERROR(__xludf.DUMMYFUNCTION("""COMPUTED_VALUE"""),0.388)</f>
        <v>0.388</v>
      </c>
      <c r="N984" s="4">
        <f>IFERROR(__xludf.DUMMYFUNCTION("""COMPUTED_VALUE"""),0.742)</f>
        <v>0.742</v>
      </c>
      <c r="O984" s="4">
        <f>IFERROR(__xludf.DUMMYFUNCTION("""COMPUTED_VALUE"""),21.0)</f>
        <v>21</v>
      </c>
      <c r="P984" s="4">
        <f>IFERROR(__xludf.DUMMYFUNCTION("""COMPUTED_VALUE"""),7.9)</f>
        <v>7.9</v>
      </c>
      <c r="Q984" s="4">
        <f>IFERROR(__xludf.DUMMYFUNCTION("""COMPUTED_VALUE"""),2.0)</f>
        <v>2</v>
      </c>
      <c r="R984" s="4">
        <f>IFERROR(__xludf.DUMMYFUNCTION("""COMPUTED_VALUE"""),1.8)</f>
        <v>1.8</v>
      </c>
      <c r="S984" s="4">
        <f>IFERROR(__xludf.DUMMYFUNCTION("""COMPUTED_VALUE"""),14.8)</f>
        <v>14.8</v>
      </c>
      <c r="T984" s="4">
        <f>IFERROR(__xludf.DUMMYFUNCTION("""COMPUTED_VALUE"""),0.057)</f>
        <v>0.057</v>
      </c>
      <c r="U984" s="4">
        <f>IFERROR(__xludf.DUMMYFUNCTION("""COMPUTED_VALUE"""),-1.9)</f>
        <v>-1.9</v>
      </c>
      <c r="V984" s="4">
        <f>IFERROR(__xludf.DUMMYFUNCTION("""COMPUTED_VALUE"""),0.2)</f>
        <v>0.2</v>
      </c>
    </row>
    <row r="985">
      <c r="A985" s="4">
        <f>IFERROR(__xludf.DUMMYFUNCTION("""COMPUTED_VALUE"""),56.0)</f>
        <v>56</v>
      </c>
      <c r="B985" s="4">
        <f>IFERROR(__xludf.DUMMYFUNCTION("""COMPUTED_VALUE"""),56.0)</f>
        <v>56</v>
      </c>
      <c r="C985" s="4" t="str">
        <f>IFERROR(__xludf.DUMMYFUNCTION("""COMPUTED_VALUE"""),"LAL")</f>
        <v>LAL</v>
      </c>
      <c r="D985" s="4" t="str">
        <f>IFERROR(__xludf.DUMMYFUNCTION("""COMPUTED_VALUE"""),"Chukwudiebere Maduabum")</f>
        <v>Chukwudiebere Maduabum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>
        <f>IFERROR(__xludf.DUMMYFUNCTION("""COMPUTED_VALUE"""),57.0)</f>
        <v>57</v>
      </c>
      <c r="B986" s="4">
        <f>IFERROR(__xludf.DUMMYFUNCTION("""COMPUTED_VALUE"""),57.0)</f>
        <v>57</v>
      </c>
      <c r="C986" s="4" t="str">
        <f>IFERROR(__xludf.DUMMYFUNCTION("""COMPUTED_VALUE"""),"DAL")</f>
        <v>DAL</v>
      </c>
      <c r="D986" s="4" t="str">
        <f>IFERROR(__xludf.DUMMYFUNCTION("""COMPUTED_VALUE"""),"Tanguy Ngombo")</f>
        <v>Tanguy Ngombo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>
        <f>IFERROR(__xludf.DUMMYFUNCTION("""COMPUTED_VALUE"""),58.0)</f>
        <v>58</v>
      </c>
      <c r="B987" s="4">
        <f>IFERROR(__xludf.DUMMYFUNCTION("""COMPUTED_VALUE"""),58.0)</f>
        <v>58</v>
      </c>
      <c r="C987" s="4" t="str">
        <f>IFERROR(__xludf.DUMMYFUNCTION("""COMPUTED_VALUE"""),"LAL")</f>
        <v>LAL</v>
      </c>
      <c r="D987" s="4" t="str">
        <f>IFERROR(__xludf.DUMMYFUNCTION("""COMPUTED_VALUE"""),"Ater Majok")</f>
        <v>Ater Majok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>
        <f>IFERROR(__xludf.DUMMYFUNCTION("""COMPUTED_VALUE"""),59.0)</f>
        <v>59</v>
      </c>
      <c r="B988" s="4">
        <f>IFERROR(__xludf.DUMMYFUNCTION("""COMPUTED_VALUE"""),59.0)</f>
        <v>59</v>
      </c>
      <c r="C988" s="4" t="str">
        <f>IFERROR(__xludf.DUMMYFUNCTION("""COMPUTED_VALUE"""),"SAS")</f>
        <v>SAS</v>
      </c>
      <c r="D988" s="4" t="str">
        <f>IFERROR(__xludf.DUMMYFUNCTION("""COMPUTED_VALUE"""),"Ádám Hanga")</f>
        <v>Ádám Hanga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>
        <f>IFERROR(__xludf.DUMMYFUNCTION("""COMPUTED_VALUE"""),60.0)</f>
        <v>60</v>
      </c>
      <c r="B989" s="4">
        <f>IFERROR(__xludf.DUMMYFUNCTION("""COMPUTED_VALUE"""),60.0)</f>
        <v>60</v>
      </c>
      <c r="C989" s="4" t="str">
        <f>IFERROR(__xludf.DUMMYFUNCTION("""COMPUTED_VALUE"""),"SAC")</f>
        <v>SAC</v>
      </c>
      <c r="D989" s="4" t="str">
        <f>IFERROR(__xludf.DUMMYFUNCTION("""COMPUTED_VALUE"""),"Isaiah Thomas")</f>
        <v>Isaiah Thomas</v>
      </c>
      <c r="E989" s="4" t="str">
        <f>IFERROR(__xludf.DUMMYFUNCTION("""COMPUTED_VALUE"""),"Washington")</f>
        <v>Washington</v>
      </c>
      <c r="F989" s="4">
        <f>IFERROR(__xludf.DUMMYFUNCTION("""COMPUTED_VALUE"""),12.0)</f>
        <v>12</v>
      </c>
      <c r="G989" s="4">
        <f>IFERROR(__xludf.DUMMYFUNCTION("""COMPUTED_VALUE"""),556.0)</f>
        <v>556</v>
      </c>
      <c r="H989" s="4">
        <f>IFERROR(__xludf.DUMMYFUNCTION("""COMPUTED_VALUE"""),15582.0)</f>
        <v>15582</v>
      </c>
      <c r="I989" s="4">
        <f>IFERROR(__xludf.DUMMYFUNCTION("""COMPUTED_VALUE"""),9723.0)</f>
        <v>9723</v>
      </c>
      <c r="J989" s="4">
        <f>IFERROR(__xludf.DUMMYFUNCTION("""COMPUTED_VALUE"""),1321.0)</f>
        <v>1321</v>
      </c>
      <c r="K989" s="4">
        <f>IFERROR(__xludf.DUMMYFUNCTION("""COMPUTED_VALUE"""),2641.0)</f>
        <v>2641</v>
      </c>
      <c r="L989" s="4">
        <f>IFERROR(__xludf.DUMMYFUNCTION("""COMPUTED_VALUE"""),0.434)</f>
        <v>0.434</v>
      </c>
      <c r="M989" s="4">
        <f>IFERROR(__xludf.DUMMYFUNCTION("""COMPUTED_VALUE"""),0.363)</f>
        <v>0.363</v>
      </c>
      <c r="N989" s="4">
        <f>IFERROR(__xludf.DUMMYFUNCTION("""COMPUTED_VALUE"""),0.872)</f>
        <v>0.872</v>
      </c>
      <c r="O989" s="4">
        <f>IFERROR(__xludf.DUMMYFUNCTION("""COMPUTED_VALUE"""),28.0)</f>
        <v>28</v>
      </c>
      <c r="P989" s="4">
        <f>IFERROR(__xludf.DUMMYFUNCTION("""COMPUTED_VALUE"""),17.5)</f>
        <v>17.5</v>
      </c>
      <c r="Q989" s="4">
        <f>IFERROR(__xludf.DUMMYFUNCTION("""COMPUTED_VALUE"""),2.4)</f>
        <v>2.4</v>
      </c>
      <c r="R989" s="4">
        <f>IFERROR(__xludf.DUMMYFUNCTION("""COMPUTED_VALUE"""),4.8)</f>
        <v>4.8</v>
      </c>
      <c r="S989" s="4">
        <f>IFERROR(__xludf.DUMMYFUNCTION("""COMPUTED_VALUE"""),45.3)</f>
        <v>45.3</v>
      </c>
      <c r="T989" s="4">
        <f>IFERROR(__xludf.DUMMYFUNCTION("""COMPUTED_VALUE"""),0.14)</f>
        <v>0.14</v>
      </c>
      <c r="U989" s="4">
        <f>IFERROR(__xludf.DUMMYFUNCTION("""COMPUTED_VALUE"""),2.1)</f>
        <v>2.1</v>
      </c>
      <c r="V989" s="4">
        <f>IFERROR(__xludf.DUMMYFUNCTION("""COMPUTED_VALUE"""),16.1)</f>
        <v>16.1</v>
      </c>
    </row>
    <row r="991">
      <c r="A991" s="2">
        <v>2010.0</v>
      </c>
    </row>
    <row r="992">
      <c r="A992" s="4" t="str">
        <f>IFERROR(__xludf.DUMMYFUNCTION("IMPORTHTML(""https://www.basketball-reference.com/draft/NBA_2010.html"", ""table"", 1)"),"")</f>
        <v/>
      </c>
      <c r="B992" s="4"/>
      <c r="C992" s="4"/>
      <c r="D992" s="4" t="str">
        <f>IFERROR(__xludf.DUMMYFUNCTION("""COMPUTED_VALUE"""),"Round 1")</f>
        <v>Round 1</v>
      </c>
      <c r="E992" s="4"/>
      <c r="F992" s="4"/>
      <c r="G992" s="4" t="str">
        <f>IFERROR(__xludf.DUMMYFUNCTION("""COMPUTED_VALUE"""),"Totals")</f>
        <v>Totals</v>
      </c>
      <c r="H992" s="4"/>
      <c r="I992" s="4"/>
      <c r="J992" s="4"/>
      <c r="K992" s="4"/>
      <c r="L992" s="4" t="str">
        <f>IFERROR(__xludf.DUMMYFUNCTION("""COMPUTED_VALUE"""),"Shooting")</f>
        <v>Shooting</v>
      </c>
      <c r="M992" s="4"/>
      <c r="N992" s="4"/>
      <c r="O992" s="4" t="str">
        <f>IFERROR(__xludf.DUMMYFUNCTION("""COMPUTED_VALUE"""),"Per Game")</f>
        <v>Per Game</v>
      </c>
      <c r="P992" s="4"/>
      <c r="Q992" s="4"/>
      <c r="R992" s="4"/>
      <c r="S992" s="4" t="str">
        <f>IFERROR(__xludf.DUMMYFUNCTION("""COMPUTED_VALUE"""),"Advanced")</f>
        <v>Advanced</v>
      </c>
      <c r="T992" s="4"/>
      <c r="U992" s="4"/>
      <c r="V992" s="4"/>
    </row>
    <row r="993">
      <c r="A993" s="4" t="str">
        <f>IFERROR(__xludf.DUMMYFUNCTION("""COMPUTED_VALUE"""),"Rk")</f>
        <v>Rk</v>
      </c>
      <c r="B993" s="4" t="str">
        <f>IFERROR(__xludf.DUMMYFUNCTION("""COMPUTED_VALUE"""),"Pk")</f>
        <v>Pk</v>
      </c>
      <c r="C993" s="4" t="str">
        <f>IFERROR(__xludf.DUMMYFUNCTION("""COMPUTED_VALUE"""),"Tm")</f>
        <v>Tm</v>
      </c>
      <c r="D993" s="4" t="str">
        <f>IFERROR(__xludf.DUMMYFUNCTION("""COMPUTED_VALUE"""),"Player")</f>
        <v>Player</v>
      </c>
      <c r="E993" s="4" t="str">
        <f>IFERROR(__xludf.DUMMYFUNCTION("""COMPUTED_VALUE"""),"College")</f>
        <v>College</v>
      </c>
      <c r="F993" s="4" t="str">
        <f>IFERROR(__xludf.DUMMYFUNCTION("""COMPUTED_VALUE"""),"Yrs")</f>
        <v>Yrs</v>
      </c>
      <c r="G993" s="4" t="str">
        <f>IFERROR(__xludf.DUMMYFUNCTION("""COMPUTED_VALUE"""),"G")</f>
        <v>G</v>
      </c>
      <c r="H993" s="4" t="str">
        <f>IFERROR(__xludf.DUMMYFUNCTION("""COMPUTED_VALUE"""),"MP")</f>
        <v>MP</v>
      </c>
      <c r="I993" s="4" t="str">
        <f>IFERROR(__xludf.DUMMYFUNCTION("""COMPUTED_VALUE"""),"PTS")</f>
        <v>PTS</v>
      </c>
      <c r="J993" s="4" t="str">
        <f>IFERROR(__xludf.DUMMYFUNCTION("""COMPUTED_VALUE"""),"TRB")</f>
        <v>TRB</v>
      </c>
      <c r="K993" s="4" t="str">
        <f>IFERROR(__xludf.DUMMYFUNCTION("""COMPUTED_VALUE"""),"AST")</f>
        <v>AST</v>
      </c>
      <c r="L993" s="4" t="str">
        <f>IFERROR(__xludf.DUMMYFUNCTION("""COMPUTED_VALUE"""),"FG%")</f>
        <v>FG%</v>
      </c>
      <c r="M993" s="4" t="str">
        <f>IFERROR(__xludf.DUMMYFUNCTION("""COMPUTED_VALUE"""),"3P%")</f>
        <v>3P%</v>
      </c>
      <c r="N993" s="4" t="str">
        <f>IFERROR(__xludf.DUMMYFUNCTION("""COMPUTED_VALUE"""),"FT%")</f>
        <v>FT%</v>
      </c>
      <c r="O993" s="4" t="str">
        <f>IFERROR(__xludf.DUMMYFUNCTION("""COMPUTED_VALUE"""),"MP")</f>
        <v>MP</v>
      </c>
      <c r="P993" s="4" t="str">
        <f>IFERROR(__xludf.DUMMYFUNCTION("""COMPUTED_VALUE"""),"PTS")</f>
        <v>PTS</v>
      </c>
      <c r="Q993" s="4" t="str">
        <f>IFERROR(__xludf.DUMMYFUNCTION("""COMPUTED_VALUE"""),"TRB")</f>
        <v>TRB</v>
      </c>
      <c r="R993" s="4" t="str">
        <f>IFERROR(__xludf.DUMMYFUNCTION("""COMPUTED_VALUE"""),"AST")</f>
        <v>AST</v>
      </c>
      <c r="S993" s="4" t="str">
        <f>IFERROR(__xludf.DUMMYFUNCTION("""COMPUTED_VALUE"""),"WS")</f>
        <v>WS</v>
      </c>
      <c r="T993" s="4" t="str">
        <f>IFERROR(__xludf.DUMMYFUNCTION("""COMPUTED_VALUE"""),"WS/48")</f>
        <v>WS/48</v>
      </c>
      <c r="U993" s="4" t="str">
        <f>IFERROR(__xludf.DUMMYFUNCTION("""COMPUTED_VALUE"""),"BPM")</f>
        <v>BPM</v>
      </c>
      <c r="V993" s="4" t="str">
        <f>IFERROR(__xludf.DUMMYFUNCTION("""COMPUTED_VALUE"""),"VORP")</f>
        <v>VORP</v>
      </c>
    </row>
    <row r="994">
      <c r="A994" s="4">
        <f>IFERROR(__xludf.DUMMYFUNCTION("""COMPUTED_VALUE"""),1.0)</f>
        <v>1</v>
      </c>
      <c r="B994" s="4">
        <f>IFERROR(__xludf.DUMMYFUNCTION("""COMPUTED_VALUE"""),1.0)</f>
        <v>1</v>
      </c>
      <c r="C994" s="4" t="str">
        <f>IFERROR(__xludf.DUMMYFUNCTION("""COMPUTED_VALUE"""),"WAS")</f>
        <v>WAS</v>
      </c>
      <c r="D994" s="4" t="str">
        <f>IFERROR(__xludf.DUMMYFUNCTION("""COMPUTED_VALUE"""),"John Wall")</f>
        <v>John Wall</v>
      </c>
      <c r="E994" s="4" t="str">
        <f>IFERROR(__xludf.DUMMYFUNCTION("""COMPUTED_VALUE"""),"Kentucky")</f>
        <v>Kentucky</v>
      </c>
      <c r="F994" s="4">
        <f>IFERROR(__xludf.DUMMYFUNCTION("""COMPUTED_VALUE"""),11.0)</f>
        <v>11</v>
      </c>
      <c r="G994" s="4">
        <f>IFERROR(__xludf.DUMMYFUNCTION("""COMPUTED_VALUE"""),647.0)</f>
        <v>647</v>
      </c>
      <c r="H994" s="4">
        <f>IFERROR(__xludf.DUMMYFUNCTION("""COMPUTED_VALUE"""),22588.0)</f>
        <v>22588</v>
      </c>
      <c r="I994" s="4">
        <f>IFERROR(__xludf.DUMMYFUNCTION("""COMPUTED_VALUE"""),12088.0)</f>
        <v>12088</v>
      </c>
      <c r="J994" s="4">
        <f>IFERROR(__xludf.DUMMYFUNCTION("""COMPUTED_VALUE"""),2704.0)</f>
        <v>2704</v>
      </c>
      <c r="K994" s="4">
        <f>IFERROR(__xludf.DUMMYFUNCTION("""COMPUTED_VALUE"""),5735.0)</f>
        <v>5735</v>
      </c>
      <c r="L994" s="4">
        <f>IFERROR(__xludf.DUMMYFUNCTION("""COMPUTED_VALUE"""),0.43)</f>
        <v>0.43</v>
      </c>
      <c r="M994" s="4">
        <f>IFERROR(__xludf.DUMMYFUNCTION("""COMPUTED_VALUE"""),0.322)</f>
        <v>0.322</v>
      </c>
      <c r="N994" s="4">
        <f>IFERROR(__xludf.DUMMYFUNCTION("""COMPUTED_VALUE"""),0.776)</f>
        <v>0.776</v>
      </c>
      <c r="O994" s="4">
        <f>IFERROR(__xludf.DUMMYFUNCTION("""COMPUTED_VALUE"""),34.9)</f>
        <v>34.9</v>
      </c>
      <c r="P994" s="4">
        <f>IFERROR(__xludf.DUMMYFUNCTION("""COMPUTED_VALUE"""),18.7)</f>
        <v>18.7</v>
      </c>
      <c r="Q994" s="4">
        <f>IFERROR(__xludf.DUMMYFUNCTION("""COMPUTED_VALUE"""),4.2)</f>
        <v>4.2</v>
      </c>
      <c r="R994" s="4">
        <f>IFERROR(__xludf.DUMMYFUNCTION("""COMPUTED_VALUE"""),8.9)</f>
        <v>8.9</v>
      </c>
      <c r="S994" s="4">
        <f>IFERROR(__xludf.DUMMYFUNCTION("""COMPUTED_VALUE"""),44.5)</f>
        <v>44.5</v>
      </c>
      <c r="T994" s="4">
        <f>IFERROR(__xludf.DUMMYFUNCTION("""COMPUTED_VALUE"""),0.094)</f>
        <v>0.094</v>
      </c>
      <c r="U994" s="4">
        <f>IFERROR(__xludf.DUMMYFUNCTION("""COMPUTED_VALUE"""),2.2)</f>
        <v>2.2</v>
      </c>
      <c r="V994" s="4">
        <f>IFERROR(__xludf.DUMMYFUNCTION("""COMPUTED_VALUE"""),24.1)</f>
        <v>24.1</v>
      </c>
    </row>
    <row r="995">
      <c r="A995" s="4">
        <f>IFERROR(__xludf.DUMMYFUNCTION("""COMPUTED_VALUE"""),2.0)</f>
        <v>2</v>
      </c>
      <c r="B995" s="4">
        <f>IFERROR(__xludf.DUMMYFUNCTION("""COMPUTED_VALUE"""),2.0)</f>
        <v>2</v>
      </c>
      <c r="C995" s="4" t="str">
        <f>IFERROR(__xludf.DUMMYFUNCTION("""COMPUTED_VALUE"""),"PHI")</f>
        <v>PHI</v>
      </c>
      <c r="D995" s="4" t="str">
        <f>IFERROR(__xludf.DUMMYFUNCTION("""COMPUTED_VALUE"""),"Evan Turner")</f>
        <v>Evan Turner</v>
      </c>
      <c r="E995" s="4" t="str">
        <f>IFERROR(__xludf.DUMMYFUNCTION("""COMPUTED_VALUE"""),"Ohio State")</f>
        <v>Ohio State</v>
      </c>
      <c r="F995" s="4">
        <f>IFERROR(__xludf.DUMMYFUNCTION("""COMPUTED_VALUE"""),10.0)</f>
        <v>10</v>
      </c>
      <c r="G995" s="4">
        <f>IFERROR(__xludf.DUMMYFUNCTION("""COMPUTED_VALUE"""),705.0)</f>
        <v>705</v>
      </c>
      <c r="H995" s="4">
        <f>IFERROR(__xludf.DUMMYFUNCTION("""COMPUTED_VALUE"""),18938.0)</f>
        <v>18938</v>
      </c>
      <c r="I995" s="4">
        <f>IFERROR(__xludf.DUMMYFUNCTION("""COMPUTED_VALUE"""),6824.0)</f>
        <v>6824</v>
      </c>
      <c r="J995" s="4">
        <f>IFERROR(__xludf.DUMMYFUNCTION("""COMPUTED_VALUE"""),3278.0)</f>
        <v>3278</v>
      </c>
      <c r="K995" s="4">
        <f>IFERROR(__xludf.DUMMYFUNCTION("""COMPUTED_VALUE"""),2462.0)</f>
        <v>2462</v>
      </c>
      <c r="L995" s="4">
        <f>IFERROR(__xludf.DUMMYFUNCTION("""COMPUTED_VALUE"""),0.434)</f>
        <v>0.434</v>
      </c>
      <c r="M995" s="4">
        <f>IFERROR(__xludf.DUMMYFUNCTION("""COMPUTED_VALUE"""),0.294)</f>
        <v>0.294</v>
      </c>
      <c r="N995" s="4">
        <f>IFERROR(__xludf.DUMMYFUNCTION("""COMPUTED_VALUE"""),0.782)</f>
        <v>0.782</v>
      </c>
      <c r="O995" s="4">
        <f>IFERROR(__xludf.DUMMYFUNCTION("""COMPUTED_VALUE"""),26.9)</f>
        <v>26.9</v>
      </c>
      <c r="P995" s="4">
        <f>IFERROR(__xludf.DUMMYFUNCTION("""COMPUTED_VALUE"""),9.7)</f>
        <v>9.7</v>
      </c>
      <c r="Q995" s="4">
        <f>IFERROR(__xludf.DUMMYFUNCTION("""COMPUTED_VALUE"""),4.6)</f>
        <v>4.6</v>
      </c>
      <c r="R995" s="4">
        <f>IFERROR(__xludf.DUMMYFUNCTION("""COMPUTED_VALUE"""),3.5)</f>
        <v>3.5</v>
      </c>
      <c r="S995" s="4">
        <f>IFERROR(__xludf.DUMMYFUNCTION("""COMPUTED_VALUE"""),20.2)</f>
        <v>20.2</v>
      </c>
      <c r="T995" s="4">
        <f>IFERROR(__xludf.DUMMYFUNCTION("""COMPUTED_VALUE"""),0.051)</f>
        <v>0.051</v>
      </c>
      <c r="U995" s="4">
        <f>IFERROR(__xludf.DUMMYFUNCTION("""COMPUTED_VALUE"""),-1.9)</f>
        <v>-1.9</v>
      </c>
      <c r="V995" s="4">
        <f>IFERROR(__xludf.DUMMYFUNCTION("""COMPUTED_VALUE"""),0.5)</f>
        <v>0.5</v>
      </c>
    </row>
    <row r="996">
      <c r="A996" s="4">
        <f>IFERROR(__xludf.DUMMYFUNCTION("""COMPUTED_VALUE"""),3.0)</f>
        <v>3</v>
      </c>
      <c r="B996" s="4">
        <f>IFERROR(__xludf.DUMMYFUNCTION("""COMPUTED_VALUE"""),3.0)</f>
        <v>3</v>
      </c>
      <c r="C996" s="4" t="str">
        <f>IFERROR(__xludf.DUMMYFUNCTION("""COMPUTED_VALUE"""),"NJN")</f>
        <v>NJN</v>
      </c>
      <c r="D996" s="4" t="str">
        <f>IFERROR(__xludf.DUMMYFUNCTION("""COMPUTED_VALUE"""),"Derrick Favors")</f>
        <v>Derrick Favors</v>
      </c>
      <c r="E996" s="4" t="str">
        <f>IFERROR(__xludf.DUMMYFUNCTION("""COMPUTED_VALUE"""),"Georgia Tech")</f>
        <v>Georgia Tech</v>
      </c>
      <c r="F996" s="4">
        <f>IFERROR(__xludf.DUMMYFUNCTION("""COMPUTED_VALUE"""),12.0)</f>
        <v>12</v>
      </c>
      <c r="G996" s="4">
        <f>IFERROR(__xludf.DUMMYFUNCTION("""COMPUTED_VALUE"""),790.0)</f>
        <v>790</v>
      </c>
      <c r="H996" s="4">
        <f>IFERROR(__xludf.DUMMYFUNCTION("""COMPUTED_VALUE"""),19202.0)</f>
        <v>19202</v>
      </c>
      <c r="I996" s="4">
        <f>IFERROR(__xludf.DUMMYFUNCTION("""COMPUTED_VALUE"""),8354.0)</f>
        <v>8354</v>
      </c>
      <c r="J996" s="4">
        <f>IFERROR(__xludf.DUMMYFUNCTION("""COMPUTED_VALUE"""),5608.0)</f>
        <v>5608</v>
      </c>
      <c r="K996" s="4">
        <f>IFERROR(__xludf.DUMMYFUNCTION("""COMPUTED_VALUE"""),851.0)</f>
        <v>851</v>
      </c>
      <c r="L996" s="4">
        <f>IFERROR(__xludf.DUMMYFUNCTION("""COMPUTED_VALUE"""),0.534)</f>
        <v>0.534</v>
      </c>
      <c r="M996" s="4">
        <f>IFERROR(__xludf.DUMMYFUNCTION("""COMPUTED_VALUE"""),0.198)</f>
        <v>0.198</v>
      </c>
      <c r="N996" s="4">
        <f>IFERROR(__xludf.DUMMYFUNCTION("""COMPUTED_VALUE"""),0.663)</f>
        <v>0.663</v>
      </c>
      <c r="O996" s="4">
        <f>IFERROR(__xludf.DUMMYFUNCTION("""COMPUTED_VALUE"""),24.3)</f>
        <v>24.3</v>
      </c>
      <c r="P996" s="4">
        <f>IFERROR(__xludf.DUMMYFUNCTION("""COMPUTED_VALUE"""),10.6)</f>
        <v>10.6</v>
      </c>
      <c r="Q996" s="4">
        <f>IFERROR(__xludf.DUMMYFUNCTION("""COMPUTED_VALUE"""),7.1)</f>
        <v>7.1</v>
      </c>
      <c r="R996" s="4">
        <f>IFERROR(__xludf.DUMMYFUNCTION("""COMPUTED_VALUE"""),1.1)</f>
        <v>1.1</v>
      </c>
      <c r="S996" s="4">
        <f>IFERROR(__xludf.DUMMYFUNCTION("""COMPUTED_VALUE"""),60.2)</f>
        <v>60.2</v>
      </c>
      <c r="T996" s="4">
        <f>IFERROR(__xludf.DUMMYFUNCTION("""COMPUTED_VALUE"""),0.15)</f>
        <v>0.15</v>
      </c>
      <c r="U996" s="4">
        <f>IFERROR(__xludf.DUMMYFUNCTION("""COMPUTED_VALUE"""),0.9)</f>
        <v>0.9</v>
      </c>
      <c r="V996" s="4">
        <f>IFERROR(__xludf.DUMMYFUNCTION("""COMPUTED_VALUE"""),14.0)</f>
        <v>14</v>
      </c>
    </row>
    <row r="997">
      <c r="A997" s="4">
        <f>IFERROR(__xludf.DUMMYFUNCTION("""COMPUTED_VALUE"""),4.0)</f>
        <v>4</v>
      </c>
      <c r="B997" s="4">
        <f>IFERROR(__xludf.DUMMYFUNCTION("""COMPUTED_VALUE"""),4.0)</f>
        <v>4</v>
      </c>
      <c r="C997" s="4" t="str">
        <f>IFERROR(__xludf.DUMMYFUNCTION("""COMPUTED_VALUE"""),"MIN")</f>
        <v>MIN</v>
      </c>
      <c r="D997" s="4" t="str">
        <f>IFERROR(__xludf.DUMMYFUNCTION("""COMPUTED_VALUE"""),"Wesley Johnson")</f>
        <v>Wesley Johnson</v>
      </c>
      <c r="E997" s="4" t="str">
        <f>IFERROR(__xludf.DUMMYFUNCTION("""COMPUTED_VALUE"""),"Syracuse")</f>
        <v>Syracuse</v>
      </c>
      <c r="F997" s="4">
        <f>IFERROR(__xludf.DUMMYFUNCTION("""COMPUTED_VALUE"""),9.0)</f>
        <v>9</v>
      </c>
      <c r="G997" s="4">
        <f>IFERROR(__xludf.DUMMYFUNCTION("""COMPUTED_VALUE"""),609.0)</f>
        <v>609</v>
      </c>
      <c r="H997" s="4">
        <f>IFERROR(__xludf.DUMMYFUNCTION("""COMPUTED_VALUE"""),13472.0)</f>
        <v>13472</v>
      </c>
      <c r="I997" s="4">
        <f>IFERROR(__xludf.DUMMYFUNCTION("""COMPUTED_VALUE"""),4235.0)</f>
        <v>4235</v>
      </c>
      <c r="J997" s="4">
        <f>IFERROR(__xludf.DUMMYFUNCTION("""COMPUTED_VALUE"""),1924.0)</f>
        <v>1924</v>
      </c>
      <c r="K997" s="4">
        <f>IFERROR(__xludf.DUMMYFUNCTION("""COMPUTED_VALUE"""),645.0)</f>
        <v>645</v>
      </c>
      <c r="L997" s="4">
        <f>IFERROR(__xludf.DUMMYFUNCTION("""COMPUTED_VALUE"""),0.404)</f>
        <v>0.404</v>
      </c>
      <c r="M997" s="4">
        <f>IFERROR(__xludf.DUMMYFUNCTION("""COMPUTED_VALUE"""),0.337)</f>
        <v>0.337</v>
      </c>
      <c r="N997" s="4">
        <f>IFERROR(__xludf.DUMMYFUNCTION("""COMPUTED_VALUE"""),0.741)</f>
        <v>0.741</v>
      </c>
      <c r="O997" s="4">
        <f>IFERROR(__xludf.DUMMYFUNCTION("""COMPUTED_VALUE"""),22.1)</f>
        <v>22.1</v>
      </c>
      <c r="P997" s="4">
        <f>IFERROR(__xludf.DUMMYFUNCTION("""COMPUTED_VALUE"""),7.0)</f>
        <v>7</v>
      </c>
      <c r="Q997" s="4">
        <f>IFERROR(__xludf.DUMMYFUNCTION("""COMPUTED_VALUE"""),3.2)</f>
        <v>3.2</v>
      </c>
      <c r="R997" s="4">
        <f>IFERROR(__xludf.DUMMYFUNCTION("""COMPUTED_VALUE"""),1.1)</f>
        <v>1.1</v>
      </c>
      <c r="S997" s="4">
        <f>IFERROR(__xludf.DUMMYFUNCTION("""COMPUTED_VALUE"""),10.7)</f>
        <v>10.7</v>
      </c>
      <c r="T997" s="4">
        <f>IFERROR(__xludf.DUMMYFUNCTION("""COMPUTED_VALUE"""),0.038)</f>
        <v>0.038</v>
      </c>
      <c r="U997" s="4">
        <f>IFERROR(__xludf.DUMMYFUNCTION("""COMPUTED_VALUE"""),-1.6)</f>
        <v>-1.6</v>
      </c>
      <c r="V997" s="4">
        <f>IFERROR(__xludf.DUMMYFUNCTION("""COMPUTED_VALUE"""),1.2)</f>
        <v>1.2</v>
      </c>
    </row>
    <row r="998">
      <c r="A998" s="4">
        <f>IFERROR(__xludf.DUMMYFUNCTION("""COMPUTED_VALUE"""),5.0)</f>
        <v>5</v>
      </c>
      <c r="B998" s="4">
        <f>IFERROR(__xludf.DUMMYFUNCTION("""COMPUTED_VALUE"""),5.0)</f>
        <v>5</v>
      </c>
      <c r="C998" s="4" t="str">
        <f>IFERROR(__xludf.DUMMYFUNCTION("""COMPUTED_VALUE"""),"SAC")</f>
        <v>SAC</v>
      </c>
      <c r="D998" s="4" t="str">
        <f>IFERROR(__xludf.DUMMYFUNCTION("""COMPUTED_VALUE"""),"DeMarcus Cousins")</f>
        <v>DeMarcus Cousins</v>
      </c>
      <c r="E998" s="4" t="str">
        <f>IFERROR(__xludf.DUMMYFUNCTION("""COMPUTED_VALUE"""),"Kentucky")</f>
        <v>Kentucky</v>
      </c>
      <c r="F998" s="4">
        <f>IFERROR(__xludf.DUMMYFUNCTION("""COMPUTED_VALUE"""),11.0)</f>
        <v>11</v>
      </c>
      <c r="G998" s="4">
        <f>IFERROR(__xludf.DUMMYFUNCTION("""COMPUTED_VALUE"""),654.0)</f>
        <v>654</v>
      </c>
      <c r="H998" s="4">
        <f>IFERROR(__xludf.DUMMYFUNCTION("""COMPUTED_VALUE"""),19508.0)</f>
        <v>19508</v>
      </c>
      <c r="I998" s="4">
        <f>IFERROR(__xludf.DUMMYFUNCTION("""COMPUTED_VALUE"""),12802.0)</f>
        <v>12802</v>
      </c>
      <c r="J998" s="4">
        <f>IFERROR(__xludf.DUMMYFUNCTION("""COMPUTED_VALUE"""),6664.0)</f>
        <v>6664</v>
      </c>
      <c r="K998" s="4">
        <f>IFERROR(__xludf.DUMMYFUNCTION("""COMPUTED_VALUE"""),1979.0)</f>
        <v>1979</v>
      </c>
      <c r="L998" s="4">
        <f>IFERROR(__xludf.DUMMYFUNCTION("""COMPUTED_VALUE"""),0.46)</f>
        <v>0.46</v>
      </c>
      <c r="M998" s="4">
        <f>IFERROR(__xludf.DUMMYFUNCTION("""COMPUTED_VALUE"""),0.331)</f>
        <v>0.331</v>
      </c>
      <c r="N998" s="4">
        <f>IFERROR(__xludf.DUMMYFUNCTION("""COMPUTED_VALUE"""),0.737)</f>
        <v>0.737</v>
      </c>
      <c r="O998" s="4">
        <f>IFERROR(__xludf.DUMMYFUNCTION("""COMPUTED_VALUE"""),29.8)</f>
        <v>29.8</v>
      </c>
      <c r="P998" s="4">
        <f>IFERROR(__xludf.DUMMYFUNCTION("""COMPUTED_VALUE"""),19.6)</f>
        <v>19.6</v>
      </c>
      <c r="Q998" s="4">
        <f>IFERROR(__xludf.DUMMYFUNCTION("""COMPUTED_VALUE"""),10.2)</f>
        <v>10.2</v>
      </c>
      <c r="R998" s="4">
        <f>IFERROR(__xludf.DUMMYFUNCTION("""COMPUTED_VALUE"""),3.0)</f>
        <v>3</v>
      </c>
      <c r="S998" s="4">
        <f>IFERROR(__xludf.DUMMYFUNCTION("""COMPUTED_VALUE"""),46.8)</f>
        <v>46.8</v>
      </c>
      <c r="T998" s="4">
        <f>IFERROR(__xludf.DUMMYFUNCTION("""COMPUTED_VALUE"""),0.115)</f>
        <v>0.115</v>
      </c>
      <c r="U998" s="4">
        <f>IFERROR(__xludf.DUMMYFUNCTION("""COMPUTED_VALUE"""),2.4)</f>
        <v>2.4</v>
      </c>
      <c r="V998" s="4">
        <f>IFERROR(__xludf.DUMMYFUNCTION("""COMPUTED_VALUE"""),21.6)</f>
        <v>21.6</v>
      </c>
    </row>
    <row r="999">
      <c r="A999" s="4">
        <f>IFERROR(__xludf.DUMMYFUNCTION("""COMPUTED_VALUE"""),6.0)</f>
        <v>6</v>
      </c>
      <c r="B999" s="4">
        <f>IFERROR(__xludf.DUMMYFUNCTION("""COMPUTED_VALUE"""),6.0)</f>
        <v>6</v>
      </c>
      <c r="C999" s="4" t="str">
        <f>IFERROR(__xludf.DUMMYFUNCTION("""COMPUTED_VALUE"""),"GSW")</f>
        <v>GSW</v>
      </c>
      <c r="D999" s="4" t="str">
        <f>IFERROR(__xludf.DUMMYFUNCTION("""COMPUTED_VALUE"""),"Ekpe Udoh")</f>
        <v>Ekpe Udoh</v>
      </c>
      <c r="E999" s="4" t="str">
        <f>IFERROR(__xludf.DUMMYFUNCTION("""COMPUTED_VALUE"""),"Baylor")</f>
        <v>Baylor</v>
      </c>
      <c r="F999" s="4">
        <f>IFERROR(__xludf.DUMMYFUNCTION("""COMPUTED_VALUE"""),7.0)</f>
        <v>7</v>
      </c>
      <c r="G999" s="4">
        <f>IFERROR(__xludf.DUMMYFUNCTION("""COMPUTED_VALUE"""),384.0)</f>
        <v>384</v>
      </c>
      <c r="H999" s="4">
        <f>IFERROR(__xludf.DUMMYFUNCTION("""COMPUTED_VALUE"""),5694.0)</f>
        <v>5694</v>
      </c>
      <c r="I999" s="4">
        <f>IFERROR(__xludf.DUMMYFUNCTION("""COMPUTED_VALUE"""),1353.0)</f>
        <v>1353</v>
      </c>
      <c r="J999" s="4">
        <f>IFERROR(__xludf.DUMMYFUNCTION("""COMPUTED_VALUE"""),1100.0)</f>
        <v>1100</v>
      </c>
      <c r="K999" s="4">
        <f>IFERROR(__xludf.DUMMYFUNCTION("""COMPUTED_VALUE"""),260.0)</f>
        <v>260</v>
      </c>
      <c r="L999" s="4">
        <f>IFERROR(__xludf.DUMMYFUNCTION("""COMPUTED_VALUE"""),0.453)</f>
        <v>0.453</v>
      </c>
      <c r="M999" s="4">
        <f>IFERROR(__xludf.DUMMYFUNCTION("""COMPUTED_VALUE"""),0.0)</f>
        <v>0</v>
      </c>
      <c r="N999" s="4">
        <f>IFERROR(__xludf.DUMMYFUNCTION("""COMPUTED_VALUE"""),0.718)</f>
        <v>0.718</v>
      </c>
      <c r="O999" s="4">
        <f>IFERROR(__xludf.DUMMYFUNCTION("""COMPUTED_VALUE"""),14.8)</f>
        <v>14.8</v>
      </c>
      <c r="P999" s="4">
        <f>IFERROR(__xludf.DUMMYFUNCTION("""COMPUTED_VALUE"""),3.5)</f>
        <v>3.5</v>
      </c>
      <c r="Q999" s="4">
        <f>IFERROR(__xludf.DUMMYFUNCTION("""COMPUTED_VALUE"""),2.9)</f>
        <v>2.9</v>
      </c>
      <c r="R999" s="4">
        <f>IFERROR(__xludf.DUMMYFUNCTION("""COMPUTED_VALUE"""),0.7)</f>
        <v>0.7</v>
      </c>
      <c r="S999" s="4">
        <f>IFERROR(__xludf.DUMMYFUNCTION("""COMPUTED_VALUE"""),10.4)</f>
        <v>10.4</v>
      </c>
      <c r="T999" s="4">
        <f>IFERROR(__xludf.DUMMYFUNCTION("""COMPUTED_VALUE"""),0.088)</f>
        <v>0.088</v>
      </c>
      <c r="U999" s="4">
        <f>IFERROR(__xludf.DUMMYFUNCTION("""COMPUTED_VALUE"""),-1.4)</f>
        <v>-1.4</v>
      </c>
      <c r="V999" s="4">
        <f>IFERROR(__xludf.DUMMYFUNCTION("""COMPUTED_VALUE"""),0.8)</f>
        <v>0.8</v>
      </c>
    </row>
    <row r="1000">
      <c r="A1000" s="4">
        <f>IFERROR(__xludf.DUMMYFUNCTION("""COMPUTED_VALUE"""),7.0)</f>
        <v>7</v>
      </c>
      <c r="B1000" s="4">
        <f>IFERROR(__xludf.DUMMYFUNCTION("""COMPUTED_VALUE"""),7.0)</f>
        <v>7</v>
      </c>
      <c r="C1000" s="4" t="str">
        <f>IFERROR(__xludf.DUMMYFUNCTION("""COMPUTED_VALUE"""),"DET")</f>
        <v>DET</v>
      </c>
      <c r="D1000" s="4" t="str">
        <f>IFERROR(__xludf.DUMMYFUNCTION("""COMPUTED_VALUE"""),"Greg Monroe")</f>
        <v>Greg Monroe</v>
      </c>
      <c r="E1000" s="4" t="str">
        <f>IFERROR(__xludf.DUMMYFUNCTION("""COMPUTED_VALUE"""),"Georgetown")</f>
        <v>Georgetown</v>
      </c>
      <c r="F1000" s="4">
        <f>IFERROR(__xludf.DUMMYFUNCTION("""COMPUTED_VALUE"""),10.0)</f>
        <v>10</v>
      </c>
      <c r="G1000" s="4">
        <f>IFERROR(__xludf.DUMMYFUNCTION("""COMPUTED_VALUE"""),646.0)</f>
        <v>646</v>
      </c>
      <c r="H1000" s="4">
        <f>IFERROR(__xludf.DUMMYFUNCTION("""COMPUTED_VALUE"""),17670.0)</f>
        <v>17670</v>
      </c>
      <c r="I1000" s="4">
        <f>IFERROR(__xludf.DUMMYFUNCTION("""COMPUTED_VALUE"""),8402.0)</f>
        <v>8402</v>
      </c>
      <c r="J1000" s="4">
        <f>IFERROR(__xludf.DUMMYFUNCTION("""COMPUTED_VALUE"""),5293.0)</f>
        <v>5293</v>
      </c>
      <c r="K1000" s="4">
        <f>IFERROR(__xludf.DUMMYFUNCTION("""COMPUTED_VALUE"""),1376.0)</f>
        <v>1376</v>
      </c>
      <c r="L1000" s="4">
        <f>IFERROR(__xludf.DUMMYFUNCTION("""COMPUTED_VALUE"""),0.514)</f>
        <v>0.514</v>
      </c>
      <c r="M1000" s="4">
        <f>IFERROR(__xludf.DUMMYFUNCTION("""COMPUTED_VALUE"""),0.059)</f>
        <v>0.059</v>
      </c>
      <c r="N1000" s="4">
        <f>IFERROR(__xludf.DUMMYFUNCTION("""COMPUTED_VALUE"""),0.703)</f>
        <v>0.703</v>
      </c>
      <c r="O1000" s="4">
        <f>IFERROR(__xludf.DUMMYFUNCTION("""COMPUTED_VALUE"""),27.4)</f>
        <v>27.4</v>
      </c>
      <c r="P1000" s="4">
        <f>IFERROR(__xludf.DUMMYFUNCTION("""COMPUTED_VALUE"""),13.0)</f>
        <v>13</v>
      </c>
      <c r="Q1000" s="4">
        <f>IFERROR(__xludf.DUMMYFUNCTION("""COMPUTED_VALUE"""),8.2)</f>
        <v>8.2</v>
      </c>
      <c r="R1000" s="4">
        <f>IFERROR(__xludf.DUMMYFUNCTION("""COMPUTED_VALUE"""),2.1)</f>
        <v>2.1</v>
      </c>
      <c r="S1000" s="4">
        <f>IFERROR(__xludf.DUMMYFUNCTION("""COMPUTED_VALUE"""),50.4)</f>
        <v>50.4</v>
      </c>
      <c r="T1000" s="4">
        <f>IFERROR(__xludf.DUMMYFUNCTION("""COMPUTED_VALUE"""),0.137)</f>
        <v>0.137</v>
      </c>
      <c r="U1000" s="4">
        <f>IFERROR(__xludf.DUMMYFUNCTION("""COMPUTED_VALUE"""),1.4)</f>
        <v>1.4</v>
      </c>
      <c r="V1000" s="4">
        <f>IFERROR(__xludf.DUMMYFUNCTION("""COMPUTED_VALUE"""),15.3)</f>
        <v>15.3</v>
      </c>
    </row>
    <row r="1001">
      <c r="A1001" s="4">
        <f>IFERROR(__xludf.DUMMYFUNCTION("""COMPUTED_VALUE"""),8.0)</f>
        <v>8</v>
      </c>
      <c r="B1001" s="4">
        <f>IFERROR(__xludf.DUMMYFUNCTION("""COMPUTED_VALUE"""),8.0)</f>
        <v>8</v>
      </c>
      <c r="C1001" s="4" t="str">
        <f>IFERROR(__xludf.DUMMYFUNCTION("""COMPUTED_VALUE"""),"LAC")</f>
        <v>LAC</v>
      </c>
      <c r="D1001" s="4" t="str">
        <f>IFERROR(__xludf.DUMMYFUNCTION("""COMPUTED_VALUE"""),"Al-Farouq Aminu")</f>
        <v>Al-Farouq Aminu</v>
      </c>
      <c r="E1001" s="4" t="str">
        <f>IFERROR(__xludf.DUMMYFUNCTION("""COMPUTED_VALUE"""),"Wake Forest")</f>
        <v>Wake Forest</v>
      </c>
      <c r="F1001" s="4">
        <f>IFERROR(__xludf.DUMMYFUNCTION("""COMPUTED_VALUE"""),11.0)</f>
        <v>11</v>
      </c>
      <c r="G1001" s="4">
        <f>IFERROR(__xludf.DUMMYFUNCTION("""COMPUTED_VALUE"""),711.0)</f>
        <v>711</v>
      </c>
      <c r="H1001" s="4">
        <f>IFERROR(__xludf.DUMMYFUNCTION("""COMPUTED_VALUE"""),17698.0)</f>
        <v>17698</v>
      </c>
      <c r="I1001" s="4">
        <f>IFERROR(__xludf.DUMMYFUNCTION("""COMPUTED_VALUE"""),5350.0)</f>
        <v>5350</v>
      </c>
      <c r="J1001" s="4">
        <f>IFERROR(__xludf.DUMMYFUNCTION("""COMPUTED_VALUE"""),4280.0)</f>
        <v>4280</v>
      </c>
      <c r="K1001" s="4">
        <f>IFERROR(__xludf.DUMMYFUNCTION("""COMPUTED_VALUE"""),879.0)</f>
        <v>879</v>
      </c>
      <c r="L1001" s="4">
        <f>IFERROR(__xludf.DUMMYFUNCTION("""COMPUTED_VALUE"""),0.42)</f>
        <v>0.42</v>
      </c>
      <c r="M1001" s="4">
        <f>IFERROR(__xludf.DUMMYFUNCTION("""COMPUTED_VALUE"""),0.332)</f>
        <v>0.332</v>
      </c>
      <c r="N1001" s="4">
        <f>IFERROR(__xludf.DUMMYFUNCTION("""COMPUTED_VALUE"""),0.746)</f>
        <v>0.746</v>
      </c>
      <c r="O1001" s="4">
        <f>IFERROR(__xludf.DUMMYFUNCTION("""COMPUTED_VALUE"""),24.9)</f>
        <v>24.9</v>
      </c>
      <c r="P1001" s="4">
        <f>IFERROR(__xludf.DUMMYFUNCTION("""COMPUTED_VALUE"""),7.5)</f>
        <v>7.5</v>
      </c>
      <c r="Q1001" s="4">
        <f>IFERROR(__xludf.DUMMYFUNCTION("""COMPUTED_VALUE"""),6.0)</f>
        <v>6</v>
      </c>
      <c r="R1001" s="4">
        <f>IFERROR(__xludf.DUMMYFUNCTION("""COMPUTED_VALUE"""),1.2)</f>
        <v>1.2</v>
      </c>
      <c r="S1001" s="4">
        <f>IFERROR(__xludf.DUMMYFUNCTION("""COMPUTED_VALUE"""),27.6)</f>
        <v>27.6</v>
      </c>
      <c r="T1001" s="4">
        <f>IFERROR(__xludf.DUMMYFUNCTION("""COMPUTED_VALUE"""),0.075)</f>
        <v>0.075</v>
      </c>
      <c r="U1001" s="4">
        <f>IFERROR(__xludf.DUMMYFUNCTION("""COMPUTED_VALUE"""),-0.6)</f>
        <v>-0.6</v>
      </c>
      <c r="V1001" s="4">
        <f>IFERROR(__xludf.DUMMYFUNCTION("""COMPUTED_VALUE"""),6.5)</f>
        <v>6.5</v>
      </c>
    </row>
    <row r="1002">
      <c r="A1002" s="4">
        <f>IFERROR(__xludf.DUMMYFUNCTION("""COMPUTED_VALUE"""),9.0)</f>
        <v>9</v>
      </c>
      <c r="B1002" s="4">
        <f>IFERROR(__xludf.DUMMYFUNCTION("""COMPUTED_VALUE"""),9.0)</f>
        <v>9</v>
      </c>
      <c r="C1002" s="4" t="str">
        <f>IFERROR(__xludf.DUMMYFUNCTION("""COMPUTED_VALUE"""),"UTA")</f>
        <v>UTA</v>
      </c>
      <c r="D1002" s="4" t="str">
        <f>IFERROR(__xludf.DUMMYFUNCTION("""COMPUTED_VALUE"""),"Gordon Hayward")</f>
        <v>Gordon Hayward</v>
      </c>
      <c r="E1002" s="4" t="str">
        <f>IFERROR(__xludf.DUMMYFUNCTION("""COMPUTED_VALUE"""),"Butler")</f>
        <v>Butler</v>
      </c>
      <c r="F1002" s="4">
        <f>IFERROR(__xludf.DUMMYFUNCTION("""COMPUTED_VALUE"""),14.0)</f>
        <v>14</v>
      </c>
      <c r="G1002" s="4">
        <f>IFERROR(__xludf.DUMMYFUNCTION("""COMPUTED_VALUE"""),835.0)</f>
        <v>835</v>
      </c>
      <c r="H1002" s="4">
        <f>IFERROR(__xludf.DUMMYFUNCTION("""COMPUTED_VALUE"""),25654.0)</f>
        <v>25654</v>
      </c>
      <c r="I1002" s="4">
        <f>IFERROR(__xludf.DUMMYFUNCTION("""COMPUTED_VALUE"""),12687.0)</f>
        <v>12687</v>
      </c>
      <c r="J1002" s="4">
        <f>IFERROR(__xludf.DUMMYFUNCTION("""COMPUTED_VALUE"""),3698.0)</f>
        <v>3698</v>
      </c>
      <c r="K1002" s="4">
        <f>IFERROR(__xludf.DUMMYFUNCTION("""COMPUTED_VALUE"""),2940.0)</f>
        <v>2940</v>
      </c>
      <c r="L1002" s="4">
        <f>IFERROR(__xludf.DUMMYFUNCTION("""COMPUTED_VALUE"""),0.455)</f>
        <v>0.455</v>
      </c>
      <c r="M1002" s="4">
        <f>IFERROR(__xludf.DUMMYFUNCTION("""COMPUTED_VALUE"""),0.37)</f>
        <v>0.37</v>
      </c>
      <c r="N1002" s="4">
        <f>IFERROR(__xludf.DUMMYFUNCTION("""COMPUTED_VALUE"""),0.822)</f>
        <v>0.822</v>
      </c>
      <c r="O1002" s="4">
        <f>IFERROR(__xludf.DUMMYFUNCTION("""COMPUTED_VALUE"""),30.7)</f>
        <v>30.7</v>
      </c>
      <c r="P1002" s="4">
        <f>IFERROR(__xludf.DUMMYFUNCTION("""COMPUTED_VALUE"""),15.2)</f>
        <v>15.2</v>
      </c>
      <c r="Q1002" s="4">
        <f>IFERROR(__xludf.DUMMYFUNCTION("""COMPUTED_VALUE"""),4.4)</f>
        <v>4.4</v>
      </c>
      <c r="R1002" s="4">
        <f>IFERROR(__xludf.DUMMYFUNCTION("""COMPUTED_VALUE"""),3.5)</f>
        <v>3.5</v>
      </c>
      <c r="S1002" s="4">
        <f>IFERROR(__xludf.DUMMYFUNCTION("""COMPUTED_VALUE"""),63.5)</f>
        <v>63.5</v>
      </c>
      <c r="T1002" s="4">
        <f>IFERROR(__xludf.DUMMYFUNCTION("""COMPUTED_VALUE"""),0.119)</f>
        <v>0.119</v>
      </c>
      <c r="U1002" s="4">
        <f>IFERROR(__xludf.DUMMYFUNCTION("""COMPUTED_VALUE"""),1.6)</f>
        <v>1.6</v>
      </c>
      <c r="V1002" s="4">
        <f>IFERROR(__xludf.DUMMYFUNCTION("""COMPUTED_VALUE"""),23.0)</f>
        <v>23</v>
      </c>
    </row>
    <row r="1003">
      <c r="A1003" s="4">
        <f>IFERROR(__xludf.DUMMYFUNCTION("""COMPUTED_VALUE"""),10.0)</f>
        <v>10</v>
      </c>
      <c r="B1003" s="4">
        <f>IFERROR(__xludf.DUMMYFUNCTION("""COMPUTED_VALUE"""),10.0)</f>
        <v>10</v>
      </c>
      <c r="C1003" s="4" t="str">
        <f>IFERROR(__xludf.DUMMYFUNCTION("""COMPUTED_VALUE"""),"IND")</f>
        <v>IND</v>
      </c>
      <c r="D1003" s="4" t="str">
        <f>IFERROR(__xludf.DUMMYFUNCTION("""COMPUTED_VALUE"""),"Paul George")</f>
        <v>Paul George</v>
      </c>
      <c r="E1003" s="4" t="str">
        <f>IFERROR(__xludf.DUMMYFUNCTION("""COMPUTED_VALUE"""),"Fresno State")</f>
        <v>Fresno State</v>
      </c>
      <c r="F1003" s="4">
        <f>IFERROR(__xludf.DUMMYFUNCTION("""COMPUTED_VALUE"""),16.0)</f>
        <v>16</v>
      </c>
      <c r="G1003" s="4">
        <f>IFERROR(__xludf.DUMMYFUNCTION("""COMPUTED_VALUE"""),914.0)</f>
        <v>914</v>
      </c>
      <c r="H1003" s="4">
        <f>IFERROR(__xludf.DUMMYFUNCTION("""COMPUTED_VALUE"""),30649.0)</f>
        <v>30649</v>
      </c>
      <c r="I1003" s="4">
        <f>IFERROR(__xludf.DUMMYFUNCTION("""COMPUTED_VALUE"""),18778.0)</f>
        <v>18778</v>
      </c>
      <c r="J1003" s="4">
        <f>IFERROR(__xludf.DUMMYFUNCTION("""COMPUTED_VALUE"""),5713.0)</f>
        <v>5713</v>
      </c>
      <c r="K1003" s="4">
        <f>IFERROR(__xludf.DUMMYFUNCTION("""COMPUTED_VALUE"""),3386.0)</f>
        <v>3386</v>
      </c>
      <c r="L1003" s="4">
        <f>IFERROR(__xludf.DUMMYFUNCTION("""COMPUTED_VALUE"""),0.44)</f>
        <v>0.44</v>
      </c>
      <c r="M1003" s="4">
        <f>IFERROR(__xludf.DUMMYFUNCTION("""COMPUTED_VALUE"""),0.383)</f>
        <v>0.383</v>
      </c>
      <c r="N1003" s="4">
        <f>IFERROR(__xludf.DUMMYFUNCTION("""COMPUTED_VALUE"""),0.852)</f>
        <v>0.852</v>
      </c>
      <c r="O1003" s="4">
        <f>IFERROR(__xludf.DUMMYFUNCTION("""COMPUTED_VALUE"""),33.5)</f>
        <v>33.5</v>
      </c>
      <c r="P1003" s="4">
        <f>IFERROR(__xludf.DUMMYFUNCTION("""COMPUTED_VALUE"""),20.5)</f>
        <v>20.5</v>
      </c>
      <c r="Q1003" s="4">
        <f>IFERROR(__xludf.DUMMYFUNCTION("""COMPUTED_VALUE"""),6.3)</f>
        <v>6.3</v>
      </c>
      <c r="R1003" s="4">
        <f>IFERROR(__xludf.DUMMYFUNCTION("""COMPUTED_VALUE"""),3.7)</f>
        <v>3.7</v>
      </c>
      <c r="S1003" s="4">
        <f>IFERROR(__xludf.DUMMYFUNCTION("""COMPUTED_VALUE"""),89.7)</f>
        <v>89.7</v>
      </c>
      <c r="T1003" s="4">
        <f>IFERROR(__xludf.DUMMYFUNCTION("""COMPUTED_VALUE"""),0.14)</f>
        <v>0.14</v>
      </c>
      <c r="U1003" s="4">
        <f>IFERROR(__xludf.DUMMYFUNCTION("""COMPUTED_VALUE"""),3.7)</f>
        <v>3.7</v>
      </c>
      <c r="V1003" s="4">
        <f>IFERROR(__xludf.DUMMYFUNCTION("""COMPUTED_VALUE"""),44.3)</f>
        <v>44.3</v>
      </c>
    </row>
    <row r="1004">
      <c r="A1004" s="4">
        <f>IFERROR(__xludf.DUMMYFUNCTION("""COMPUTED_VALUE"""),11.0)</f>
        <v>11</v>
      </c>
      <c r="B1004" s="4">
        <f>IFERROR(__xludf.DUMMYFUNCTION("""COMPUTED_VALUE"""),11.0)</f>
        <v>11</v>
      </c>
      <c r="C1004" s="4" t="str">
        <f>IFERROR(__xludf.DUMMYFUNCTION("""COMPUTED_VALUE"""),"NOH")</f>
        <v>NOH</v>
      </c>
      <c r="D1004" s="4" t="str">
        <f>IFERROR(__xludf.DUMMYFUNCTION("""COMPUTED_VALUE"""),"Cole Aldrich")</f>
        <v>Cole Aldrich</v>
      </c>
      <c r="E1004" s="4" t="str">
        <f>IFERROR(__xludf.DUMMYFUNCTION("""COMPUTED_VALUE"""),"Kansas")</f>
        <v>Kansas</v>
      </c>
      <c r="F1004" s="4">
        <f>IFERROR(__xludf.DUMMYFUNCTION("""COMPUTED_VALUE"""),8.0)</f>
        <v>8</v>
      </c>
      <c r="G1004" s="4">
        <f>IFERROR(__xludf.DUMMYFUNCTION("""COMPUTED_VALUE"""),339.0)</f>
        <v>339</v>
      </c>
      <c r="H1004" s="4">
        <f>IFERROR(__xludf.DUMMYFUNCTION("""COMPUTED_VALUE"""),3389.0)</f>
        <v>3389</v>
      </c>
      <c r="I1004" s="4">
        <f>IFERROR(__xludf.DUMMYFUNCTION("""COMPUTED_VALUE"""),1050.0)</f>
        <v>1050</v>
      </c>
      <c r="J1004" s="4">
        <f>IFERROR(__xludf.DUMMYFUNCTION("""COMPUTED_VALUE"""),1131.0)</f>
        <v>1131</v>
      </c>
      <c r="K1004" s="4">
        <f>IFERROR(__xludf.DUMMYFUNCTION("""COMPUTED_VALUE"""),183.0)</f>
        <v>183</v>
      </c>
      <c r="L1004" s="4">
        <f>IFERROR(__xludf.DUMMYFUNCTION("""COMPUTED_VALUE"""),0.527)</f>
        <v>0.527</v>
      </c>
      <c r="M1004" s="4"/>
      <c r="N1004" s="4">
        <f>IFERROR(__xludf.DUMMYFUNCTION("""COMPUTED_VALUE"""),0.738)</f>
        <v>0.738</v>
      </c>
      <c r="O1004" s="4">
        <f>IFERROR(__xludf.DUMMYFUNCTION("""COMPUTED_VALUE"""),10.0)</f>
        <v>10</v>
      </c>
      <c r="P1004" s="4">
        <f>IFERROR(__xludf.DUMMYFUNCTION("""COMPUTED_VALUE"""),3.1)</f>
        <v>3.1</v>
      </c>
      <c r="Q1004" s="4">
        <f>IFERROR(__xludf.DUMMYFUNCTION("""COMPUTED_VALUE"""),3.3)</f>
        <v>3.3</v>
      </c>
      <c r="R1004" s="4">
        <f>IFERROR(__xludf.DUMMYFUNCTION("""COMPUTED_VALUE"""),0.5)</f>
        <v>0.5</v>
      </c>
      <c r="S1004" s="4">
        <f>IFERROR(__xludf.DUMMYFUNCTION("""COMPUTED_VALUE"""),9.6)</f>
        <v>9.6</v>
      </c>
      <c r="T1004" s="4">
        <f>IFERROR(__xludf.DUMMYFUNCTION("""COMPUTED_VALUE"""),0.135)</f>
        <v>0.135</v>
      </c>
      <c r="U1004" s="4">
        <f>IFERROR(__xludf.DUMMYFUNCTION("""COMPUTED_VALUE"""),0.1)</f>
        <v>0.1</v>
      </c>
      <c r="V1004" s="4">
        <f>IFERROR(__xludf.DUMMYFUNCTION("""COMPUTED_VALUE"""),1.8)</f>
        <v>1.8</v>
      </c>
    </row>
    <row r="1005">
      <c r="A1005" s="4">
        <f>IFERROR(__xludf.DUMMYFUNCTION("""COMPUTED_VALUE"""),12.0)</f>
        <v>12</v>
      </c>
      <c r="B1005" s="4">
        <f>IFERROR(__xludf.DUMMYFUNCTION("""COMPUTED_VALUE"""),12.0)</f>
        <v>12</v>
      </c>
      <c r="C1005" s="4" t="str">
        <f>IFERROR(__xludf.DUMMYFUNCTION("""COMPUTED_VALUE"""),"MEM")</f>
        <v>MEM</v>
      </c>
      <c r="D1005" s="4" t="str">
        <f>IFERROR(__xludf.DUMMYFUNCTION("""COMPUTED_VALUE"""),"Xavier Henry")</f>
        <v>Xavier Henry</v>
      </c>
      <c r="E1005" s="4" t="str">
        <f>IFERROR(__xludf.DUMMYFUNCTION("""COMPUTED_VALUE"""),"Kansas")</f>
        <v>Kansas</v>
      </c>
      <c r="F1005" s="4">
        <f>IFERROR(__xludf.DUMMYFUNCTION("""COMPUTED_VALUE"""),5.0)</f>
        <v>5</v>
      </c>
      <c r="G1005" s="4">
        <f>IFERROR(__xludf.DUMMYFUNCTION("""COMPUTED_VALUE"""),185.0)</f>
        <v>185</v>
      </c>
      <c r="H1005" s="4">
        <f>IFERROR(__xludf.DUMMYFUNCTION("""COMPUTED_VALUE"""),2905.0)</f>
        <v>2905</v>
      </c>
      <c r="I1005" s="4">
        <f>IFERROR(__xludf.DUMMYFUNCTION("""COMPUTED_VALUE"""),1050.0)</f>
        <v>1050</v>
      </c>
      <c r="J1005" s="4">
        <f>IFERROR(__xludf.DUMMYFUNCTION("""COMPUTED_VALUE"""),351.0)</f>
        <v>351</v>
      </c>
      <c r="K1005" s="4">
        <f>IFERROR(__xludf.DUMMYFUNCTION("""COMPUTED_VALUE"""),120.0)</f>
        <v>120</v>
      </c>
      <c r="L1005" s="4">
        <f>IFERROR(__xludf.DUMMYFUNCTION("""COMPUTED_VALUE"""),0.406)</f>
        <v>0.406</v>
      </c>
      <c r="M1005" s="4">
        <f>IFERROR(__xludf.DUMMYFUNCTION("""COMPUTED_VALUE"""),0.325)</f>
        <v>0.325</v>
      </c>
      <c r="N1005" s="4">
        <f>IFERROR(__xludf.DUMMYFUNCTION("""COMPUTED_VALUE"""),0.635)</f>
        <v>0.635</v>
      </c>
      <c r="O1005" s="4">
        <f>IFERROR(__xludf.DUMMYFUNCTION("""COMPUTED_VALUE"""),15.7)</f>
        <v>15.7</v>
      </c>
      <c r="P1005" s="4">
        <f>IFERROR(__xludf.DUMMYFUNCTION("""COMPUTED_VALUE"""),5.7)</f>
        <v>5.7</v>
      </c>
      <c r="Q1005" s="4">
        <f>IFERROR(__xludf.DUMMYFUNCTION("""COMPUTED_VALUE"""),1.9)</f>
        <v>1.9</v>
      </c>
      <c r="R1005" s="4">
        <f>IFERROR(__xludf.DUMMYFUNCTION("""COMPUTED_VALUE"""),0.6)</f>
        <v>0.6</v>
      </c>
      <c r="S1005" s="4">
        <f>IFERROR(__xludf.DUMMYFUNCTION("""COMPUTED_VALUE"""),0.8)</f>
        <v>0.8</v>
      </c>
      <c r="T1005" s="4">
        <f>IFERROR(__xludf.DUMMYFUNCTION("""COMPUTED_VALUE"""),0.013)</f>
        <v>0.013</v>
      </c>
      <c r="U1005" s="4">
        <f>IFERROR(__xludf.DUMMYFUNCTION("""COMPUTED_VALUE"""),-4.4)</f>
        <v>-4.4</v>
      </c>
      <c r="V1005" s="4">
        <f>IFERROR(__xludf.DUMMYFUNCTION("""COMPUTED_VALUE"""),-1.7)</f>
        <v>-1.7</v>
      </c>
    </row>
    <row r="1006">
      <c r="A1006" s="4">
        <f>IFERROR(__xludf.DUMMYFUNCTION("""COMPUTED_VALUE"""),13.0)</f>
        <v>13</v>
      </c>
      <c r="B1006" s="4">
        <f>IFERROR(__xludf.DUMMYFUNCTION("""COMPUTED_VALUE"""),13.0)</f>
        <v>13</v>
      </c>
      <c r="C1006" s="4" t="str">
        <f>IFERROR(__xludf.DUMMYFUNCTION("""COMPUTED_VALUE"""),"TOR")</f>
        <v>TOR</v>
      </c>
      <c r="D1006" s="4" t="str">
        <f>IFERROR(__xludf.DUMMYFUNCTION("""COMPUTED_VALUE"""),"Ed Davis")</f>
        <v>Ed Davis</v>
      </c>
      <c r="E1006" s="4" t="str">
        <f>IFERROR(__xludf.DUMMYFUNCTION("""COMPUTED_VALUE"""),"UNC")</f>
        <v>UNC</v>
      </c>
      <c r="F1006" s="4">
        <f>IFERROR(__xludf.DUMMYFUNCTION("""COMPUTED_VALUE"""),12.0)</f>
        <v>12</v>
      </c>
      <c r="G1006" s="4">
        <f>IFERROR(__xludf.DUMMYFUNCTION("""COMPUTED_VALUE"""),722.0)</f>
        <v>722</v>
      </c>
      <c r="H1006" s="4">
        <f>IFERROR(__xludf.DUMMYFUNCTION("""COMPUTED_VALUE"""),13756.0)</f>
        <v>13756</v>
      </c>
      <c r="I1006" s="4">
        <f>IFERROR(__xludf.DUMMYFUNCTION("""COMPUTED_VALUE"""),4291.0)</f>
        <v>4291</v>
      </c>
      <c r="J1006" s="4">
        <f>IFERROR(__xludf.DUMMYFUNCTION("""COMPUTED_VALUE"""),4616.0)</f>
        <v>4616</v>
      </c>
      <c r="K1006" s="4">
        <f>IFERROR(__xludf.DUMMYFUNCTION("""COMPUTED_VALUE"""),539.0)</f>
        <v>539</v>
      </c>
      <c r="L1006" s="4">
        <f>IFERROR(__xludf.DUMMYFUNCTION("""COMPUTED_VALUE"""),0.567)</f>
        <v>0.567</v>
      </c>
      <c r="M1006" s="4">
        <f>IFERROR(__xludf.DUMMYFUNCTION("""COMPUTED_VALUE"""),0.0)</f>
        <v>0</v>
      </c>
      <c r="N1006" s="4">
        <f>IFERROR(__xludf.DUMMYFUNCTION("""COMPUTED_VALUE"""),0.583)</f>
        <v>0.583</v>
      </c>
      <c r="O1006" s="4">
        <f>IFERROR(__xludf.DUMMYFUNCTION("""COMPUTED_VALUE"""),19.1)</f>
        <v>19.1</v>
      </c>
      <c r="P1006" s="4">
        <f>IFERROR(__xludf.DUMMYFUNCTION("""COMPUTED_VALUE"""),5.9)</f>
        <v>5.9</v>
      </c>
      <c r="Q1006" s="4">
        <f>IFERROR(__xludf.DUMMYFUNCTION("""COMPUTED_VALUE"""),6.4)</f>
        <v>6.4</v>
      </c>
      <c r="R1006" s="4">
        <f>IFERROR(__xludf.DUMMYFUNCTION("""COMPUTED_VALUE"""),0.7)</f>
        <v>0.7</v>
      </c>
      <c r="S1006" s="4">
        <f>IFERROR(__xludf.DUMMYFUNCTION("""COMPUTED_VALUE"""),43.3)</f>
        <v>43.3</v>
      </c>
      <c r="T1006" s="4">
        <f>IFERROR(__xludf.DUMMYFUNCTION("""COMPUTED_VALUE"""),0.151)</f>
        <v>0.151</v>
      </c>
      <c r="U1006" s="4">
        <f>IFERROR(__xludf.DUMMYFUNCTION("""COMPUTED_VALUE"""),-0.2)</f>
        <v>-0.2</v>
      </c>
      <c r="V1006" s="4">
        <f>IFERROR(__xludf.DUMMYFUNCTION("""COMPUTED_VALUE"""),6.2)</f>
        <v>6.2</v>
      </c>
    </row>
    <row r="1007">
      <c r="A1007" s="4">
        <f>IFERROR(__xludf.DUMMYFUNCTION("""COMPUTED_VALUE"""),14.0)</f>
        <v>14</v>
      </c>
      <c r="B1007" s="4">
        <f>IFERROR(__xludf.DUMMYFUNCTION("""COMPUTED_VALUE"""),14.0)</f>
        <v>14</v>
      </c>
      <c r="C1007" s="4" t="str">
        <f>IFERROR(__xludf.DUMMYFUNCTION("""COMPUTED_VALUE"""),"HOU")</f>
        <v>HOU</v>
      </c>
      <c r="D1007" s="4" t="str">
        <f>IFERROR(__xludf.DUMMYFUNCTION("""COMPUTED_VALUE"""),"Patrick Patterson")</f>
        <v>Patrick Patterson</v>
      </c>
      <c r="E1007" s="4" t="str">
        <f>IFERROR(__xludf.DUMMYFUNCTION("""COMPUTED_VALUE"""),"Kentucky")</f>
        <v>Kentucky</v>
      </c>
      <c r="F1007" s="4">
        <f>IFERROR(__xludf.DUMMYFUNCTION("""COMPUTED_VALUE"""),11.0)</f>
        <v>11</v>
      </c>
      <c r="G1007" s="4">
        <f>IFERROR(__xludf.DUMMYFUNCTION("""COMPUTED_VALUE"""),719.0)</f>
        <v>719</v>
      </c>
      <c r="H1007" s="4">
        <f>IFERROR(__xludf.DUMMYFUNCTION("""COMPUTED_VALUE"""),14923.0)</f>
        <v>14923</v>
      </c>
      <c r="I1007" s="4">
        <f>IFERROR(__xludf.DUMMYFUNCTION("""COMPUTED_VALUE"""),4782.0)</f>
        <v>4782</v>
      </c>
      <c r="J1007" s="4">
        <f>IFERROR(__xludf.DUMMYFUNCTION("""COMPUTED_VALUE"""),2799.0)</f>
        <v>2799</v>
      </c>
      <c r="K1007" s="4">
        <f>IFERROR(__xludf.DUMMYFUNCTION("""COMPUTED_VALUE"""),736.0)</f>
        <v>736</v>
      </c>
      <c r="L1007" s="4">
        <f>IFERROR(__xludf.DUMMYFUNCTION("""COMPUTED_VALUE"""),0.447)</f>
        <v>0.447</v>
      </c>
      <c r="M1007" s="4">
        <f>IFERROR(__xludf.DUMMYFUNCTION("""COMPUTED_VALUE"""),0.369)</f>
        <v>0.369</v>
      </c>
      <c r="N1007" s="4">
        <f>IFERROR(__xludf.DUMMYFUNCTION("""COMPUTED_VALUE"""),0.755)</f>
        <v>0.755</v>
      </c>
      <c r="O1007" s="4">
        <f>IFERROR(__xludf.DUMMYFUNCTION("""COMPUTED_VALUE"""),20.8)</f>
        <v>20.8</v>
      </c>
      <c r="P1007" s="4">
        <f>IFERROR(__xludf.DUMMYFUNCTION("""COMPUTED_VALUE"""),6.7)</f>
        <v>6.7</v>
      </c>
      <c r="Q1007" s="4">
        <f>IFERROR(__xludf.DUMMYFUNCTION("""COMPUTED_VALUE"""),3.9)</f>
        <v>3.9</v>
      </c>
      <c r="R1007" s="4">
        <f>IFERROR(__xludf.DUMMYFUNCTION("""COMPUTED_VALUE"""),1.0)</f>
        <v>1</v>
      </c>
      <c r="S1007" s="4">
        <f>IFERROR(__xludf.DUMMYFUNCTION("""COMPUTED_VALUE"""),31.9)</f>
        <v>31.9</v>
      </c>
      <c r="T1007" s="4">
        <f>IFERROR(__xludf.DUMMYFUNCTION("""COMPUTED_VALUE"""),0.102)</f>
        <v>0.102</v>
      </c>
      <c r="U1007" s="4">
        <f>IFERROR(__xludf.DUMMYFUNCTION("""COMPUTED_VALUE"""),0.0)</f>
        <v>0</v>
      </c>
      <c r="V1007" s="4">
        <f>IFERROR(__xludf.DUMMYFUNCTION("""COMPUTED_VALUE"""),7.4)</f>
        <v>7.4</v>
      </c>
    </row>
    <row r="1008">
      <c r="A1008" s="4">
        <f>IFERROR(__xludf.DUMMYFUNCTION("""COMPUTED_VALUE"""),15.0)</f>
        <v>15</v>
      </c>
      <c r="B1008" s="4">
        <f>IFERROR(__xludf.DUMMYFUNCTION("""COMPUTED_VALUE"""),15.0)</f>
        <v>15</v>
      </c>
      <c r="C1008" s="4" t="str">
        <f>IFERROR(__xludf.DUMMYFUNCTION("""COMPUTED_VALUE"""),"MIL")</f>
        <v>MIL</v>
      </c>
      <c r="D1008" s="4" t="str">
        <f>IFERROR(__xludf.DUMMYFUNCTION("""COMPUTED_VALUE"""),"Larry Sanders")</f>
        <v>Larry Sanders</v>
      </c>
      <c r="E1008" s="4" t="str">
        <f>IFERROR(__xludf.DUMMYFUNCTION("""COMPUTED_VALUE"""),"VCU")</f>
        <v>VCU</v>
      </c>
      <c r="F1008" s="4">
        <f>IFERROR(__xludf.DUMMYFUNCTION("""COMPUTED_VALUE"""),6.0)</f>
        <v>6</v>
      </c>
      <c r="G1008" s="4">
        <f>IFERROR(__xludf.DUMMYFUNCTION("""COMPUTED_VALUE"""),238.0)</f>
        <v>238</v>
      </c>
      <c r="H1008" s="4">
        <f>IFERROR(__xludf.DUMMYFUNCTION("""COMPUTED_VALUE"""),4635.0)</f>
        <v>4635</v>
      </c>
      <c r="I1008" s="4">
        <f>IFERROR(__xludf.DUMMYFUNCTION("""COMPUTED_VALUE"""),1520.0)</f>
        <v>1520</v>
      </c>
      <c r="J1008" s="4">
        <f>IFERROR(__xludf.DUMMYFUNCTION("""COMPUTED_VALUE"""),1345.0)</f>
        <v>1345</v>
      </c>
      <c r="K1008" s="4">
        <f>IFERROR(__xludf.DUMMYFUNCTION("""COMPUTED_VALUE"""),174.0)</f>
        <v>174</v>
      </c>
      <c r="L1008" s="4">
        <f>IFERROR(__xludf.DUMMYFUNCTION("""COMPUTED_VALUE"""),0.48)</f>
        <v>0.48</v>
      </c>
      <c r="M1008" s="4">
        <f>IFERROR(__xludf.DUMMYFUNCTION("""COMPUTED_VALUE"""),0.0)</f>
        <v>0</v>
      </c>
      <c r="N1008" s="4">
        <f>IFERROR(__xludf.DUMMYFUNCTION("""COMPUTED_VALUE"""),0.553)</f>
        <v>0.553</v>
      </c>
      <c r="O1008" s="4">
        <f>IFERROR(__xludf.DUMMYFUNCTION("""COMPUTED_VALUE"""),19.5)</f>
        <v>19.5</v>
      </c>
      <c r="P1008" s="4">
        <f>IFERROR(__xludf.DUMMYFUNCTION("""COMPUTED_VALUE"""),6.4)</f>
        <v>6.4</v>
      </c>
      <c r="Q1008" s="4">
        <f>IFERROR(__xludf.DUMMYFUNCTION("""COMPUTED_VALUE"""),5.7)</f>
        <v>5.7</v>
      </c>
      <c r="R1008" s="4">
        <f>IFERROR(__xludf.DUMMYFUNCTION("""COMPUTED_VALUE"""),0.7)</f>
        <v>0.7</v>
      </c>
      <c r="S1008" s="4">
        <f>IFERROR(__xludf.DUMMYFUNCTION("""COMPUTED_VALUE"""),10.3)</f>
        <v>10.3</v>
      </c>
      <c r="T1008" s="4">
        <f>IFERROR(__xludf.DUMMYFUNCTION("""COMPUTED_VALUE"""),0.107)</f>
        <v>0.107</v>
      </c>
      <c r="U1008" s="4">
        <f>IFERROR(__xludf.DUMMYFUNCTION("""COMPUTED_VALUE"""),-1.1)</f>
        <v>-1.1</v>
      </c>
      <c r="V1008" s="4">
        <f>IFERROR(__xludf.DUMMYFUNCTION("""COMPUTED_VALUE"""),1.1)</f>
        <v>1.1</v>
      </c>
    </row>
    <row r="1009">
      <c r="A1009" s="4">
        <f>IFERROR(__xludf.DUMMYFUNCTION("""COMPUTED_VALUE"""),16.0)</f>
        <v>16</v>
      </c>
      <c r="B1009" s="4">
        <f>IFERROR(__xludf.DUMMYFUNCTION("""COMPUTED_VALUE"""),16.0)</f>
        <v>16</v>
      </c>
      <c r="C1009" s="4" t="str">
        <f>IFERROR(__xludf.DUMMYFUNCTION("""COMPUTED_VALUE"""),"MIN")</f>
        <v>MIN</v>
      </c>
      <c r="D1009" s="4" t="str">
        <f>IFERROR(__xludf.DUMMYFUNCTION("""COMPUTED_VALUE"""),"Luke Babbitt")</f>
        <v>Luke Babbitt</v>
      </c>
      <c r="E1009" s="4" t="str">
        <f>IFERROR(__xludf.DUMMYFUNCTION("""COMPUTED_VALUE"""),"Nevada")</f>
        <v>Nevada</v>
      </c>
      <c r="F1009" s="4">
        <f>IFERROR(__xludf.DUMMYFUNCTION("""COMPUTED_VALUE"""),8.0)</f>
        <v>8</v>
      </c>
      <c r="G1009" s="4">
        <f>IFERROR(__xludf.DUMMYFUNCTION("""COMPUTED_VALUE"""),381.0)</f>
        <v>381</v>
      </c>
      <c r="H1009" s="4">
        <f>IFERROR(__xludf.DUMMYFUNCTION("""COMPUTED_VALUE"""),5332.0)</f>
        <v>5332</v>
      </c>
      <c r="I1009" s="4">
        <f>IFERROR(__xludf.DUMMYFUNCTION("""COMPUTED_VALUE"""),1818.0)</f>
        <v>1818</v>
      </c>
      <c r="J1009" s="4">
        <f>IFERROR(__xludf.DUMMYFUNCTION("""COMPUTED_VALUE"""),846.0)</f>
        <v>846</v>
      </c>
      <c r="K1009" s="4">
        <f>IFERROR(__xludf.DUMMYFUNCTION("""COMPUTED_VALUE"""),224.0)</f>
        <v>224</v>
      </c>
      <c r="L1009" s="4">
        <f>IFERROR(__xludf.DUMMYFUNCTION("""COMPUTED_VALUE"""),0.408)</f>
        <v>0.408</v>
      </c>
      <c r="M1009" s="4">
        <f>IFERROR(__xludf.DUMMYFUNCTION("""COMPUTED_VALUE"""),0.402)</f>
        <v>0.402</v>
      </c>
      <c r="N1009" s="4">
        <f>IFERROR(__xludf.DUMMYFUNCTION("""COMPUTED_VALUE"""),0.747)</f>
        <v>0.747</v>
      </c>
      <c r="O1009" s="4">
        <f>IFERROR(__xludf.DUMMYFUNCTION("""COMPUTED_VALUE"""),14.0)</f>
        <v>14</v>
      </c>
      <c r="P1009" s="4">
        <f>IFERROR(__xludf.DUMMYFUNCTION("""COMPUTED_VALUE"""),4.8)</f>
        <v>4.8</v>
      </c>
      <c r="Q1009" s="4">
        <f>IFERROR(__xludf.DUMMYFUNCTION("""COMPUTED_VALUE"""),2.2)</f>
        <v>2.2</v>
      </c>
      <c r="R1009" s="4">
        <f>IFERROR(__xludf.DUMMYFUNCTION("""COMPUTED_VALUE"""),0.6)</f>
        <v>0.6</v>
      </c>
      <c r="S1009" s="4">
        <f>IFERROR(__xludf.DUMMYFUNCTION("""COMPUTED_VALUE"""),7.2)</f>
        <v>7.2</v>
      </c>
      <c r="T1009" s="4">
        <f>IFERROR(__xludf.DUMMYFUNCTION("""COMPUTED_VALUE"""),0.065)</f>
        <v>0.065</v>
      </c>
      <c r="U1009" s="4">
        <f>IFERROR(__xludf.DUMMYFUNCTION("""COMPUTED_VALUE"""),-2.1)</f>
        <v>-2.1</v>
      </c>
      <c r="V1009" s="4">
        <f>IFERROR(__xludf.DUMMYFUNCTION("""COMPUTED_VALUE"""),-0.1)</f>
        <v>-0.1</v>
      </c>
    </row>
    <row r="1010">
      <c r="A1010" s="4">
        <f>IFERROR(__xludf.DUMMYFUNCTION("""COMPUTED_VALUE"""),17.0)</f>
        <v>17</v>
      </c>
      <c r="B1010" s="4">
        <f>IFERROR(__xludf.DUMMYFUNCTION("""COMPUTED_VALUE"""),17.0)</f>
        <v>17</v>
      </c>
      <c r="C1010" s="4" t="str">
        <f>IFERROR(__xludf.DUMMYFUNCTION("""COMPUTED_VALUE"""),"CHI")</f>
        <v>CHI</v>
      </c>
      <c r="D1010" s="4" t="str">
        <f>IFERROR(__xludf.DUMMYFUNCTION("""COMPUTED_VALUE"""),"Kevin Séraphin")</f>
        <v>Kevin Séraphin</v>
      </c>
      <c r="E1010" s="4"/>
      <c r="F1010" s="4">
        <f>IFERROR(__xludf.DUMMYFUNCTION("""COMPUTED_VALUE"""),7.0)</f>
        <v>7</v>
      </c>
      <c r="G1010" s="4">
        <f>IFERROR(__xludf.DUMMYFUNCTION("""COMPUTED_VALUE"""),423.0)</f>
        <v>423</v>
      </c>
      <c r="H1010" s="4">
        <f>IFERROR(__xludf.DUMMYFUNCTION("""COMPUTED_VALUE"""),6430.0)</f>
        <v>6430</v>
      </c>
      <c r="I1010" s="4">
        <f>IFERROR(__xludf.DUMMYFUNCTION("""COMPUTED_VALUE"""),2516.0)</f>
        <v>2516</v>
      </c>
      <c r="J1010" s="4">
        <f>IFERROR(__xludf.DUMMYFUNCTION("""COMPUTED_VALUE"""),1462.0)</f>
        <v>1462</v>
      </c>
      <c r="K1010" s="4">
        <f>IFERROR(__xludf.DUMMYFUNCTION("""COMPUTED_VALUE"""),246.0)</f>
        <v>246</v>
      </c>
      <c r="L1010" s="4">
        <f>IFERROR(__xludf.DUMMYFUNCTION("""COMPUTED_VALUE"""),0.489)</f>
        <v>0.489</v>
      </c>
      <c r="M1010" s="4">
        <f>IFERROR(__xludf.DUMMYFUNCTION("""COMPUTED_VALUE"""),0.0)</f>
        <v>0</v>
      </c>
      <c r="N1010" s="4">
        <f>IFERROR(__xludf.DUMMYFUNCTION("""COMPUTED_VALUE"""),0.715)</f>
        <v>0.715</v>
      </c>
      <c r="O1010" s="4">
        <f>IFERROR(__xludf.DUMMYFUNCTION("""COMPUTED_VALUE"""),15.2)</f>
        <v>15.2</v>
      </c>
      <c r="P1010" s="4">
        <f>IFERROR(__xludf.DUMMYFUNCTION("""COMPUTED_VALUE"""),5.9)</f>
        <v>5.9</v>
      </c>
      <c r="Q1010" s="4">
        <f>IFERROR(__xludf.DUMMYFUNCTION("""COMPUTED_VALUE"""),3.5)</f>
        <v>3.5</v>
      </c>
      <c r="R1010" s="4">
        <f>IFERROR(__xludf.DUMMYFUNCTION("""COMPUTED_VALUE"""),0.6)</f>
        <v>0.6</v>
      </c>
      <c r="S1010" s="4">
        <f>IFERROR(__xludf.DUMMYFUNCTION("""COMPUTED_VALUE"""),5.9)</f>
        <v>5.9</v>
      </c>
      <c r="T1010" s="4">
        <f>IFERROR(__xludf.DUMMYFUNCTION("""COMPUTED_VALUE"""),0.044)</f>
        <v>0.044</v>
      </c>
      <c r="U1010" s="4">
        <f>IFERROR(__xludf.DUMMYFUNCTION("""COMPUTED_VALUE"""),-4.3)</f>
        <v>-4.3</v>
      </c>
      <c r="V1010" s="4">
        <f>IFERROR(__xludf.DUMMYFUNCTION("""COMPUTED_VALUE"""),-3.6)</f>
        <v>-3.6</v>
      </c>
    </row>
    <row r="1011">
      <c r="A1011" s="4">
        <f>IFERROR(__xludf.DUMMYFUNCTION("""COMPUTED_VALUE"""),18.0)</f>
        <v>18</v>
      </c>
      <c r="B1011" s="4">
        <f>IFERROR(__xludf.DUMMYFUNCTION("""COMPUTED_VALUE"""),18.0)</f>
        <v>18</v>
      </c>
      <c r="C1011" s="4" t="str">
        <f>IFERROR(__xludf.DUMMYFUNCTION("""COMPUTED_VALUE"""),"OKC")</f>
        <v>OKC</v>
      </c>
      <c r="D1011" s="4" t="str">
        <f>IFERROR(__xludf.DUMMYFUNCTION("""COMPUTED_VALUE"""),"Eric Bledsoe")</f>
        <v>Eric Bledsoe</v>
      </c>
      <c r="E1011" s="4" t="str">
        <f>IFERROR(__xludf.DUMMYFUNCTION("""COMPUTED_VALUE"""),"Kentucky")</f>
        <v>Kentucky</v>
      </c>
      <c r="F1011" s="4">
        <f>IFERROR(__xludf.DUMMYFUNCTION("""COMPUTED_VALUE"""),12.0)</f>
        <v>12</v>
      </c>
      <c r="G1011" s="4">
        <f>IFERROR(__xludf.DUMMYFUNCTION("""COMPUTED_VALUE"""),756.0)</f>
        <v>756</v>
      </c>
      <c r="H1011" s="4">
        <f>IFERROR(__xludf.DUMMYFUNCTION("""COMPUTED_VALUE"""),21021.0)</f>
        <v>21021</v>
      </c>
      <c r="I1011" s="4">
        <f>IFERROR(__xludf.DUMMYFUNCTION("""COMPUTED_VALUE"""),10348.0)</f>
        <v>10348</v>
      </c>
      <c r="J1011" s="4">
        <f>IFERROR(__xludf.DUMMYFUNCTION("""COMPUTED_VALUE"""),2937.0)</f>
        <v>2937</v>
      </c>
      <c r="K1011" s="4">
        <f>IFERROR(__xludf.DUMMYFUNCTION("""COMPUTED_VALUE"""),3545.0)</f>
        <v>3545</v>
      </c>
      <c r="L1011" s="4">
        <f>IFERROR(__xludf.DUMMYFUNCTION("""COMPUTED_VALUE"""),0.452)</f>
        <v>0.452</v>
      </c>
      <c r="M1011" s="4">
        <f>IFERROR(__xludf.DUMMYFUNCTION("""COMPUTED_VALUE"""),0.336)</f>
        <v>0.336</v>
      </c>
      <c r="N1011" s="4">
        <f>IFERROR(__xludf.DUMMYFUNCTION("""COMPUTED_VALUE"""),0.784)</f>
        <v>0.784</v>
      </c>
      <c r="O1011" s="4">
        <f>IFERROR(__xludf.DUMMYFUNCTION("""COMPUTED_VALUE"""),27.8)</f>
        <v>27.8</v>
      </c>
      <c r="P1011" s="4">
        <f>IFERROR(__xludf.DUMMYFUNCTION("""COMPUTED_VALUE"""),13.7)</f>
        <v>13.7</v>
      </c>
      <c r="Q1011" s="4">
        <f>IFERROR(__xludf.DUMMYFUNCTION("""COMPUTED_VALUE"""),3.9)</f>
        <v>3.9</v>
      </c>
      <c r="R1011" s="4">
        <f>IFERROR(__xludf.DUMMYFUNCTION("""COMPUTED_VALUE"""),4.7)</f>
        <v>4.7</v>
      </c>
      <c r="S1011" s="4">
        <f>IFERROR(__xludf.DUMMYFUNCTION("""COMPUTED_VALUE"""),46.1)</f>
        <v>46.1</v>
      </c>
      <c r="T1011" s="4">
        <f>IFERROR(__xludf.DUMMYFUNCTION("""COMPUTED_VALUE"""),0.105)</f>
        <v>0.105</v>
      </c>
      <c r="U1011" s="4">
        <f>IFERROR(__xludf.DUMMYFUNCTION("""COMPUTED_VALUE"""),1.6)</f>
        <v>1.6</v>
      </c>
      <c r="V1011" s="4">
        <f>IFERROR(__xludf.DUMMYFUNCTION("""COMPUTED_VALUE"""),18.8)</f>
        <v>18.8</v>
      </c>
    </row>
    <row r="1012">
      <c r="A1012" s="4">
        <f>IFERROR(__xludf.DUMMYFUNCTION("""COMPUTED_VALUE"""),19.0)</f>
        <v>19</v>
      </c>
      <c r="B1012" s="4">
        <f>IFERROR(__xludf.DUMMYFUNCTION("""COMPUTED_VALUE"""),19.0)</f>
        <v>19</v>
      </c>
      <c r="C1012" s="4" t="str">
        <f>IFERROR(__xludf.DUMMYFUNCTION("""COMPUTED_VALUE"""),"BOS")</f>
        <v>BOS</v>
      </c>
      <c r="D1012" s="4" t="str">
        <f>IFERROR(__xludf.DUMMYFUNCTION("""COMPUTED_VALUE"""),"Avery Bradley")</f>
        <v>Avery Bradley</v>
      </c>
      <c r="E1012" s="4" t="str">
        <f>IFERROR(__xludf.DUMMYFUNCTION("""COMPUTED_VALUE"""),"Texas")</f>
        <v>Texas</v>
      </c>
      <c r="F1012" s="4">
        <f>IFERROR(__xludf.DUMMYFUNCTION("""COMPUTED_VALUE"""),12.0)</f>
        <v>12</v>
      </c>
      <c r="G1012" s="4">
        <f>IFERROR(__xludf.DUMMYFUNCTION("""COMPUTED_VALUE"""),660.0)</f>
        <v>660</v>
      </c>
      <c r="H1012" s="4">
        <f>IFERROR(__xludf.DUMMYFUNCTION("""COMPUTED_VALUE"""),18151.0)</f>
        <v>18151</v>
      </c>
      <c r="I1012" s="4">
        <f>IFERROR(__xludf.DUMMYFUNCTION("""COMPUTED_VALUE"""),7279.0)</f>
        <v>7279</v>
      </c>
      <c r="J1012" s="4">
        <f>IFERROR(__xludf.DUMMYFUNCTION("""COMPUTED_VALUE"""),1863.0)</f>
        <v>1863</v>
      </c>
      <c r="K1012" s="4">
        <f>IFERROR(__xludf.DUMMYFUNCTION("""COMPUTED_VALUE"""),1105.0)</f>
        <v>1105</v>
      </c>
      <c r="L1012" s="4">
        <f>IFERROR(__xludf.DUMMYFUNCTION("""COMPUTED_VALUE"""),0.434)</f>
        <v>0.434</v>
      </c>
      <c r="M1012" s="4">
        <f>IFERROR(__xludf.DUMMYFUNCTION("""COMPUTED_VALUE"""),0.365)</f>
        <v>0.365</v>
      </c>
      <c r="N1012" s="4">
        <f>IFERROR(__xludf.DUMMYFUNCTION("""COMPUTED_VALUE"""),0.783)</f>
        <v>0.783</v>
      </c>
      <c r="O1012" s="4">
        <f>IFERROR(__xludf.DUMMYFUNCTION("""COMPUTED_VALUE"""),27.5)</f>
        <v>27.5</v>
      </c>
      <c r="P1012" s="4">
        <f>IFERROR(__xludf.DUMMYFUNCTION("""COMPUTED_VALUE"""),11.0)</f>
        <v>11</v>
      </c>
      <c r="Q1012" s="4">
        <f>IFERROR(__xludf.DUMMYFUNCTION("""COMPUTED_VALUE"""),2.8)</f>
        <v>2.8</v>
      </c>
      <c r="R1012" s="4">
        <f>IFERROR(__xludf.DUMMYFUNCTION("""COMPUTED_VALUE"""),1.7)</f>
        <v>1.7</v>
      </c>
      <c r="S1012" s="4">
        <f>IFERROR(__xludf.DUMMYFUNCTION("""COMPUTED_VALUE"""),17.2)</f>
        <v>17.2</v>
      </c>
      <c r="T1012" s="4">
        <f>IFERROR(__xludf.DUMMYFUNCTION("""COMPUTED_VALUE"""),0.045)</f>
        <v>0.045</v>
      </c>
      <c r="U1012" s="4">
        <f>IFERROR(__xludf.DUMMYFUNCTION("""COMPUTED_VALUE"""),-2.4)</f>
        <v>-2.4</v>
      </c>
      <c r="V1012" s="4">
        <f>IFERROR(__xludf.DUMMYFUNCTION("""COMPUTED_VALUE"""),-1.8)</f>
        <v>-1.8</v>
      </c>
    </row>
    <row r="1013">
      <c r="A1013" s="4">
        <f>IFERROR(__xludf.DUMMYFUNCTION("""COMPUTED_VALUE"""),20.0)</f>
        <v>20</v>
      </c>
      <c r="B1013" s="4">
        <f>IFERROR(__xludf.DUMMYFUNCTION("""COMPUTED_VALUE"""),20.0)</f>
        <v>20</v>
      </c>
      <c r="C1013" s="4" t="str">
        <f>IFERROR(__xludf.DUMMYFUNCTION("""COMPUTED_VALUE"""),"SAS")</f>
        <v>SAS</v>
      </c>
      <c r="D1013" s="4" t="str">
        <f>IFERROR(__xludf.DUMMYFUNCTION("""COMPUTED_VALUE"""),"James Anderson")</f>
        <v>James Anderson</v>
      </c>
      <c r="E1013" s="4" t="str">
        <f>IFERROR(__xludf.DUMMYFUNCTION("""COMPUTED_VALUE"""),"Oklahoma State")</f>
        <v>Oklahoma State</v>
      </c>
      <c r="F1013" s="4">
        <f>IFERROR(__xludf.DUMMYFUNCTION("""COMPUTED_VALUE"""),5.0)</f>
        <v>5</v>
      </c>
      <c r="G1013" s="4">
        <f>IFERROR(__xludf.DUMMYFUNCTION("""COMPUTED_VALUE"""),247.0)</f>
        <v>247</v>
      </c>
      <c r="H1013" s="4">
        <f>IFERROR(__xludf.DUMMYFUNCTION("""COMPUTED_VALUE"""),4320.0)</f>
        <v>4320</v>
      </c>
      <c r="I1013" s="4">
        <f>IFERROR(__xludf.DUMMYFUNCTION("""COMPUTED_VALUE"""),1422.0)</f>
        <v>1422</v>
      </c>
      <c r="J1013" s="4">
        <f>IFERROR(__xludf.DUMMYFUNCTION("""COMPUTED_VALUE"""),560.0)</f>
        <v>560</v>
      </c>
      <c r="K1013" s="4">
        <f>IFERROR(__xludf.DUMMYFUNCTION("""COMPUTED_VALUE"""),291.0)</f>
        <v>291</v>
      </c>
      <c r="L1013" s="4">
        <f>IFERROR(__xludf.DUMMYFUNCTION("""COMPUTED_VALUE"""),0.411)</f>
        <v>0.411</v>
      </c>
      <c r="M1013" s="4">
        <f>IFERROR(__xludf.DUMMYFUNCTION("""COMPUTED_VALUE"""),0.321)</f>
        <v>0.321</v>
      </c>
      <c r="N1013" s="4">
        <f>IFERROR(__xludf.DUMMYFUNCTION("""COMPUTED_VALUE"""),0.755)</f>
        <v>0.755</v>
      </c>
      <c r="O1013" s="4">
        <f>IFERROR(__xludf.DUMMYFUNCTION("""COMPUTED_VALUE"""),17.5)</f>
        <v>17.5</v>
      </c>
      <c r="P1013" s="4">
        <f>IFERROR(__xludf.DUMMYFUNCTION("""COMPUTED_VALUE"""),5.8)</f>
        <v>5.8</v>
      </c>
      <c r="Q1013" s="4">
        <f>IFERROR(__xludf.DUMMYFUNCTION("""COMPUTED_VALUE"""),2.3)</f>
        <v>2.3</v>
      </c>
      <c r="R1013" s="4">
        <f>IFERROR(__xludf.DUMMYFUNCTION("""COMPUTED_VALUE"""),1.2)</f>
        <v>1.2</v>
      </c>
      <c r="S1013" s="4">
        <f>IFERROR(__xludf.DUMMYFUNCTION("""COMPUTED_VALUE"""),3.3)</f>
        <v>3.3</v>
      </c>
      <c r="T1013" s="4">
        <f>IFERROR(__xludf.DUMMYFUNCTION("""COMPUTED_VALUE"""),0.037)</f>
        <v>0.037</v>
      </c>
      <c r="U1013" s="4">
        <f>IFERROR(__xludf.DUMMYFUNCTION("""COMPUTED_VALUE"""),-2.7)</f>
        <v>-2.7</v>
      </c>
      <c r="V1013" s="4">
        <f>IFERROR(__xludf.DUMMYFUNCTION("""COMPUTED_VALUE"""),-0.8)</f>
        <v>-0.8</v>
      </c>
    </row>
    <row r="1014">
      <c r="A1014" s="4">
        <f>IFERROR(__xludf.DUMMYFUNCTION("""COMPUTED_VALUE"""),21.0)</f>
        <v>21</v>
      </c>
      <c r="B1014" s="4">
        <f>IFERROR(__xludf.DUMMYFUNCTION("""COMPUTED_VALUE"""),21.0)</f>
        <v>21</v>
      </c>
      <c r="C1014" s="4" t="str">
        <f>IFERROR(__xludf.DUMMYFUNCTION("""COMPUTED_VALUE"""),"OKC")</f>
        <v>OKC</v>
      </c>
      <c r="D1014" s="4" t="str">
        <f>IFERROR(__xludf.DUMMYFUNCTION("""COMPUTED_VALUE"""),"Craig Brackins")</f>
        <v>Craig Brackins</v>
      </c>
      <c r="E1014" s="4" t="str">
        <f>IFERROR(__xludf.DUMMYFUNCTION("""COMPUTED_VALUE"""),"Iowa State")</f>
        <v>Iowa State</v>
      </c>
      <c r="F1014" s="4">
        <f>IFERROR(__xludf.DUMMYFUNCTION("""COMPUTED_VALUE"""),2.0)</f>
        <v>2</v>
      </c>
      <c r="G1014" s="4">
        <f>IFERROR(__xludf.DUMMYFUNCTION("""COMPUTED_VALUE"""),17.0)</f>
        <v>17</v>
      </c>
      <c r="H1014" s="4">
        <f>IFERROR(__xludf.DUMMYFUNCTION("""COMPUTED_VALUE"""),121.0)</f>
        <v>121</v>
      </c>
      <c r="I1014" s="4">
        <f>IFERROR(__xludf.DUMMYFUNCTION("""COMPUTED_VALUE"""),30.0)</f>
        <v>30</v>
      </c>
      <c r="J1014" s="4">
        <f>IFERROR(__xludf.DUMMYFUNCTION("""COMPUTED_VALUE"""),19.0)</f>
        <v>19</v>
      </c>
      <c r="K1014" s="4">
        <f>IFERROR(__xludf.DUMMYFUNCTION("""COMPUTED_VALUE"""),9.0)</f>
        <v>9</v>
      </c>
      <c r="L1014" s="4">
        <f>IFERROR(__xludf.DUMMYFUNCTION("""COMPUTED_VALUE"""),0.265)</f>
        <v>0.265</v>
      </c>
      <c r="M1014" s="4">
        <f>IFERROR(__xludf.DUMMYFUNCTION("""COMPUTED_VALUE"""),0.214)</f>
        <v>0.214</v>
      </c>
      <c r="N1014" s="4">
        <f>IFERROR(__xludf.DUMMYFUNCTION("""COMPUTED_VALUE"""),0.5)</f>
        <v>0.5</v>
      </c>
      <c r="O1014" s="4">
        <f>IFERROR(__xludf.DUMMYFUNCTION("""COMPUTED_VALUE"""),7.1)</f>
        <v>7.1</v>
      </c>
      <c r="P1014" s="4">
        <f>IFERROR(__xludf.DUMMYFUNCTION("""COMPUTED_VALUE"""),1.8)</f>
        <v>1.8</v>
      </c>
      <c r="Q1014" s="4">
        <f>IFERROR(__xludf.DUMMYFUNCTION("""COMPUTED_VALUE"""),1.1)</f>
        <v>1.1</v>
      </c>
      <c r="R1014" s="4">
        <f>IFERROR(__xludf.DUMMYFUNCTION("""COMPUTED_VALUE"""),0.5)</f>
        <v>0.5</v>
      </c>
      <c r="S1014" s="4">
        <f>IFERROR(__xludf.DUMMYFUNCTION("""COMPUTED_VALUE"""),-0.2)</f>
        <v>-0.2</v>
      </c>
      <c r="T1014" s="4">
        <f>IFERROR(__xludf.DUMMYFUNCTION("""COMPUTED_VALUE"""),-0.089)</f>
        <v>-0.089</v>
      </c>
      <c r="U1014" s="4">
        <f>IFERROR(__xludf.DUMMYFUNCTION("""COMPUTED_VALUE"""),-9.9)</f>
        <v>-9.9</v>
      </c>
      <c r="V1014" s="4">
        <f>IFERROR(__xludf.DUMMYFUNCTION("""COMPUTED_VALUE"""),-0.2)</f>
        <v>-0.2</v>
      </c>
    </row>
    <row r="1015">
      <c r="A1015" s="4">
        <f>IFERROR(__xludf.DUMMYFUNCTION("""COMPUTED_VALUE"""),22.0)</f>
        <v>22</v>
      </c>
      <c r="B1015" s="4">
        <f>IFERROR(__xludf.DUMMYFUNCTION("""COMPUTED_VALUE"""),22.0)</f>
        <v>22</v>
      </c>
      <c r="C1015" s="4" t="str">
        <f>IFERROR(__xludf.DUMMYFUNCTION("""COMPUTED_VALUE"""),"POR")</f>
        <v>POR</v>
      </c>
      <c r="D1015" s="4" t="str">
        <f>IFERROR(__xludf.DUMMYFUNCTION("""COMPUTED_VALUE"""),"Elliot Williams")</f>
        <v>Elliot Williams</v>
      </c>
      <c r="E1015" s="4" t="str">
        <f>IFERROR(__xludf.DUMMYFUNCTION("""COMPUTED_VALUE"""),"Memphis")</f>
        <v>Memphis</v>
      </c>
      <c r="F1015" s="4">
        <f>IFERROR(__xludf.DUMMYFUNCTION("""COMPUTED_VALUE"""),4.0)</f>
        <v>4</v>
      </c>
      <c r="G1015" s="4">
        <f>IFERROR(__xludf.DUMMYFUNCTION("""COMPUTED_VALUE"""),109.0)</f>
        <v>109</v>
      </c>
      <c r="H1015" s="4">
        <f>IFERROR(__xludf.DUMMYFUNCTION("""COMPUTED_VALUE"""),1470.0)</f>
        <v>1470</v>
      </c>
      <c r="I1015" s="4">
        <f>IFERROR(__xludf.DUMMYFUNCTION("""COMPUTED_VALUE"""),537.0)</f>
        <v>537</v>
      </c>
      <c r="J1015" s="4">
        <f>IFERROR(__xludf.DUMMYFUNCTION("""COMPUTED_VALUE"""),161.0)</f>
        <v>161</v>
      </c>
      <c r="K1015" s="4">
        <f>IFERROR(__xludf.DUMMYFUNCTION("""COMPUTED_VALUE"""),94.0)</f>
        <v>94</v>
      </c>
      <c r="L1015" s="4">
        <f>IFERROR(__xludf.DUMMYFUNCTION("""COMPUTED_VALUE"""),0.421)</f>
        <v>0.421</v>
      </c>
      <c r="M1015" s="4">
        <f>IFERROR(__xludf.DUMMYFUNCTION("""COMPUTED_VALUE"""),0.31)</f>
        <v>0.31</v>
      </c>
      <c r="N1015" s="4">
        <f>IFERROR(__xludf.DUMMYFUNCTION("""COMPUTED_VALUE"""),0.669)</f>
        <v>0.669</v>
      </c>
      <c r="O1015" s="4">
        <f>IFERROR(__xludf.DUMMYFUNCTION("""COMPUTED_VALUE"""),13.5)</f>
        <v>13.5</v>
      </c>
      <c r="P1015" s="4">
        <f>IFERROR(__xludf.DUMMYFUNCTION("""COMPUTED_VALUE"""),4.9)</f>
        <v>4.9</v>
      </c>
      <c r="Q1015" s="4">
        <f>IFERROR(__xludf.DUMMYFUNCTION("""COMPUTED_VALUE"""),1.5)</f>
        <v>1.5</v>
      </c>
      <c r="R1015" s="4">
        <f>IFERROR(__xludf.DUMMYFUNCTION("""COMPUTED_VALUE"""),0.9)</f>
        <v>0.9</v>
      </c>
      <c r="S1015" s="4">
        <f>IFERROR(__xludf.DUMMYFUNCTION("""COMPUTED_VALUE"""),0.7)</f>
        <v>0.7</v>
      </c>
      <c r="T1015" s="4">
        <f>IFERROR(__xludf.DUMMYFUNCTION("""COMPUTED_VALUE"""),0.024)</f>
        <v>0.024</v>
      </c>
      <c r="U1015" s="4">
        <f>IFERROR(__xludf.DUMMYFUNCTION("""COMPUTED_VALUE"""),-4.9)</f>
        <v>-4.9</v>
      </c>
      <c r="V1015" s="4">
        <f>IFERROR(__xludf.DUMMYFUNCTION("""COMPUTED_VALUE"""),-1.1)</f>
        <v>-1.1</v>
      </c>
    </row>
    <row r="1016">
      <c r="A1016" s="4">
        <f>IFERROR(__xludf.DUMMYFUNCTION("""COMPUTED_VALUE"""),23.0)</f>
        <v>23</v>
      </c>
      <c r="B1016" s="4">
        <f>IFERROR(__xludf.DUMMYFUNCTION("""COMPUTED_VALUE"""),23.0)</f>
        <v>23</v>
      </c>
      <c r="C1016" s="4" t="str">
        <f>IFERROR(__xludf.DUMMYFUNCTION("""COMPUTED_VALUE"""),"MIN")</f>
        <v>MIN</v>
      </c>
      <c r="D1016" s="4" t="str">
        <f>IFERROR(__xludf.DUMMYFUNCTION("""COMPUTED_VALUE"""),"Trevor Booker")</f>
        <v>Trevor Booker</v>
      </c>
      <c r="E1016" s="4" t="str">
        <f>IFERROR(__xludf.DUMMYFUNCTION("""COMPUTED_VALUE"""),"Clemson")</f>
        <v>Clemson</v>
      </c>
      <c r="F1016" s="4">
        <f>IFERROR(__xludf.DUMMYFUNCTION("""COMPUTED_VALUE"""),8.0)</f>
        <v>8</v>
      </c>
      <c r="G1016" s="4">
        <f>IFERROR(__xludf.DUMMYFUNCTION("""COMPUTED_VALUE"""),532.0)</f>
        <v>532</v>
      </c>
      <c r="H1016" s="4">
        <f>IFERROR(__xludf.DUMMYFUNCTION("""COMPUTED_VALUE"""),10872.0)</f>
        <v>10872</v>
      </c>
      <c r="I1016" s="4">
        <f>IFERROR(__xludf.DUMMYFUNCTION("""COMPUTED_VALUE"""),3679.0)</f>
        <v>3679</v>
      </c>
      <c r="J1016" s="4">
        <f>IFERROR(__xludf.DUMMYFUNCTION("""COMPUTED_VALUE"""),2932.0)</f>
        <v>2932</v>
      </c>
      <c r="K1016" s="4">
        <f>IFERROR(__xludf.DUMMYFUNCTION("""COMPUTED_VALUE"""),565.0)</f>
        <v>565</v>
      </c>
      <c r="L1016" s="4">
        <f>IFERROR(__xludf.DUMMYFUNCTION("""COMPUTED_VALUE"""),0.515)</f>
        <v>0.515</v>
      </c>
      <c r="M1016" s="4">
        <f>IFERROR(__xludf.DUMMYFUNCTION("""COMPUTED_VALUE"""),0.305)</f>
        <v>0.305</v>
      </c>
      <c r="N1016" s="4">
        <f>IFERROR(__xludf.DUMMYFUNCTION("""COMPUTED_VALUE"""),0.636)</f>
        <v>0.636</v>
      </c>
      <c r="O1016" s="4">
        <f>IFERROR(__xludf.DUMMYFUNCTION("""COMPUTED_VALUE"""),20.4)</f>
        <v>20.4</v>
      </c>
      <c r="P1016" s="4">
        <f>IFERROR(__xludf.DUMMYFUNCTION("""COMPUTED_VALUE"""),6.9)</f>
        <v>6.9</v>
      </c>
      <c r="Q1016" s="4">
        <f>IFERROR(__xludf.DUMMYFUNCTION("""COMPUTED_VALUE"""),5.5)</f>
        <v>5.5</v>
      </c>
      <c r="R1016" s="4">
        <f>IFERROR(__xludf.DUMMYFUNCTION("""COMPUTED_VALUE"""),1.1)</f>
        <v>1.1</v>
      </c>
      <c r="S1016" s="4">
        <f>IFERROR(__xludf.DUMMYFUNCTION("""COMPUTED_VALUE"""),26.2)</f>
        <v>26.2</v>
      </c>
      <c r="T1016" s="4">
        <f>IFERROR(__xludf.DUMMYFUNCTION("""COMPUTED_VALUE"""),0.116)</f>
        <v>0.116</v>
      </c>
      <c r="U1016" s="4">
        <f>IFERROR(__xludf.DUMMYFUNCTION("""COMPUTED_VALUE"""),-0.5)</f>
        <v>-0.5</v>
      </c>
      <c r="V1016" s="4">
        <f>IFERROR(__xludf.DUMMYFUNCTION("""COMPUTED_VALUE"""),4.2)</f>
        <v>4.2</v>
      </c>
    </row>
    <row r="1017">
      <c r="A1017" s="4">
        <f>IFERROR(__xludf.DUMMYFUNCTION("""COMPUTED_VALUE"""),24.0)</f>
        <v>24</v>
      </c>
      <c r="B1017" s="4">
        <f>IFERROR(__xludf.DUMMYFUNCTION("""COMPUTED_VALUE"""),24.0)</f>
        <v>24</v>
      </c>
      <c r="C1017" s="4" t="str">
        <f>IFERROR(__xludf.DUMMYFUNCTION("""COMPUTED_VALUE"""),"ATL")</f>
        <v>ATL</v>
      </c>
      <c r="D1017" s="4" t="str">
        <f>IFERROR(__xludf.DUMMYFUNCTION("""COMPUTED_VALUE"""),"Damion James")</f>
        <v>Damion James</v>
      </c>
      <c r="E1017" s="4" t="str">
        <f>IFERROR(__xludf.DUMMYFUNCTION("""COMPUTED_VALUE"""),"Texas")</f>
        <v>Texas</v>
      </c>
      <c r="F1017" s="4">
        <f>IFERROR(__xludf.DUMMYFUNCTION("""COMPUTED_VALUE"""),4.0)</f>
        <v>4</v>
      </c>
      <c r="G1017" s="4">
        <f>IFERROR(__xludf.DUMMYFUNCTION("""COMPUTED_VALUE"""),39.0)</f>
        <v>39</v>
      </c>
      <c r="H1017" s="4">
        <f>IFERROR(__xludf.DUMMYFUNCTION("""COMPUTED_VALUE"""),623.0)</f>
        <v>623</v>
      </c>
      <c r="I1017" s="4">
        <f>IFERROR(__xludf.DUMMYFUNCTION("""COMPUTED_VALUE"""),150.0)</f>
        <v>150</v>
      </c>
      <c r="J1017" s="4">
        <f>IFERROR(__xludf.DUMMYFUNCTION("""COMPUTED_VALUE"""),131.0)</f>
        <v>131</v>
      </c>
      <c r="K1017" s="4">
        <f>IFERROR(__xludf.DUMMYFUNCTION("""COMPUTED_VALUE"""),26.0)</f>
        <v>26</v>
      </c>
      <c r="L1017" s="4">
        <f>IFERROR(__xludf.DUMMYFUNCTION("""COMPUTED_VALUE"""),0.415)</f>
        <v>0.415</v>
      </c>
      <c r="M1017" s="4">
        <f>IFERROR(__xludf.DUMMYFUNCTION("""COMPUTED_VALUE"""),0.0)</f>
        <v>0</v>
      </c>
      <c r="N1017" s="4">
        <f>IFERROR(__xludf.DUMMYFUNCTION("""COMPUTED_VALUE"""),0.667)</f>
        <v>0.667</v>
      </c>
      <c r="O1017" s="4">
        <f>IFERROR(__xludf.DUMMYFUNCTION("""COMPUTED_VALUE"""),16.0)</f>
        <v>16</v>
      </c>
      <c r="P1017" s="4">
        <f>IFERROR(__xludf.DUMMYFUNCTION("""COMPUTED_VALUE"""),3.8)</f>
        <v>3.8</v>
      </c>
      <c r="Q1017" s="4">
        <f>IFERROR(__xludf.DUMMYFUNCTION("""COMPUTED_VALUE"""),3.4)</f>
        <v>3.4</v>
      </c>
      <c r="R1017" s="4">
        <f>IFERROR(__xludf.DUMMYFUNCTION("""COMPUTED_VALUE"""),0.7)</f>
        <v>0.7</v>
      </c>
      <c r="S1017" s="4">
        <f>IFERROR(__xludf.DUMMYFUNCTION("""COMPUTED_VALUE"""),0.0)</f>
        <v>0</v>
      </c>
      <c r="T1017" s="4">
        <f>IFERROR(__xludf.DUMMYFUNCTION("""COMPUTED_VALUE"""),-0.001)</f>
        <v>-0.001</v>
      </c>
      <c r="U1017" s="4">
        <f>IFERROR(__xludf.DUMMYFUNCTION("""COMPUTED_VALUE"""),-3.7)</f>
        <v>-3.7</v>
      </c>
      <c r="V1017" s="4">
        <f>IFERROR(__xludf.DUMMYFUNCTION("""COMPUTED_VALUE"""),-0.3)</f>
        <v>-0.3</v>
      </c>
    </row>
    <row r="1018">
      <c r="A1018" s="4">
        <f>IFERROR(__xludf.DUMMYFUNCTION("""COMPUTED_VALUE"""),25.0)</f>
        <v>25</v>
      </c>
      <c r="B1018" s="4">
        <f>IFERROR(__xludf.DUMMYFUNCTION("""COMPUTED_VALUE"""),25.0)</f>
        <v>25</v>
      </c>
      <c r="C1018" s="4" t="str">
        <f>IFERROR(__xludf.DUMMYFUNCTION("""COMPUTED_VALUE"""),"MEM")</f>
        <v>MEM</v>
      </c>
      <c r="D1018" s="4" t="str">
        <f>IFERROR(__xludf.DUMMYFUNCTION("""COMPUTED_VALUE"""),"Dominique Jones")</f>
        <v>Dominique Jones</v>
      </c>
      <c r="E1018" s="4" t="str">
        <f>IFERROR(__xludf.DUMMYFUNCTION("""COMPUTED_VALUE"""),"South Florida")</f>
        <v>South Florida</v>
      </c>
      <c r="F1018" s="4">
        <f>IFERROR(__xludf.DUMMYFUNCTION("""COMPUTED_VALUE"""),3.0)</f>
        <v>3</v>
      </c>
      <c r="G1018" s="4">
        <f>IFERROR(__xludf.DUMMYFUNCTION("""COMPUTED_VALUE"""),80.0)</f>
        <v>80</v>
      </c>
      <c r="H1018" s="4">
        <f>IFERROR(__xludf.DUMMYFUNCTION("""COMPUTED_VALUE"""),741.0)</f>
        <v>741</v>
      </c>
      <c r="I1018" s="4">
        <f>IFERROR(__xludf.DUMMYFUNCTION("""COMPUTED_VALUE"""),246.0)</f>
        <v>246</v>
      </c>
      <c r="J1018" s="4">
        <f>IFERROR(__xludf.DUMMYFUNCTION("""COMPUTED_VALUE"""),114.0)</f>
        <v>114</v>
      </c>
      <c r="K1018" s="4">
        <f>IFERROR(__xludf.DUMMYFUNCTION("""COMPUTED_VALUE"""),144.0)</f>
        <v>144</v>
      </c>
      <c r="L1018" s="4">
        <f>IFERROR(__xludf.DUMMYFUNCTION("""COMPUTED_VALUE"""),0.366)</f>
        <v>0.366</v>
      </c>
      <c r="M1018" s="4">
        <f>IFERROR(__xludf.DUMMYFUNCTION("""COMPUTED_VALUE"""),0.095)</f>
        <v>0.095</v>
      </c>
      <c r="N1018" s="4">
        <f>IFERROR(__xludf.DUMMYFUNCTION("""COMPUTED_VALUE"""),0.729)</f>
        <v>0.729</v>
      </c>
      <c r="O1018" s="4">
        <f>IFERROR(__xludf.DUMMYFUNCTION("""COMPUTED_VALUE"""),9.3)</f>
        <v>9.3</v>
      </c>
      <c r="P1018" s="4">
        <f>IFERROR(__xludf.DUMMYFUNCTION("""COMPUTED_VALUE"""),3.1)</f>
        <v>3.1</v>
      </c>
      <c r="Q1018" s="4">
        <f>IFERROR(__xludf.DUMMYFUNCTION("""COMPUTED_VALUE"""),1.4)</f>
        <v>1.4</v>
      </c>
      <c r="R1018" s="4">
        <f>IFERROR(__xludf.DUMMYFUNCTION("""COMPUTED_VALUE"""),1.8)</f>
        <v>1.8</v>
      </c>
      <c r="S1018" s="4">
        <f>IFERROR(__xludf.DUMMYFUNCTION("""COMPUTED_VALUE"""),0.3)</f>
        <v>0.3</v>
      </c>
      <c r="T1018" s="4">
        <f>IFERROR(__xludf.DUMMYFUNCTION("""COMPUTED_VALUE"""),0.017)</f>
        <v>0.017</v>
      </c>
      <c r="U1018" s="4">
        <f>IFERROR(__xludf.DUMMYFUNCTION("""COMPUTED_VALUE"""),-2.4)</f>
        <v>-2.4</v>
      </c>
      <c r="V1018" s="4">
        <f>IFERROR(__xludf.DUMMYFUNCTION("""COMPUTED_VALUE"""),-0.1)</f>
        <v>-0.1</v>
      </c>
    </row>
    <row r="1019">
      <c r="A1019" s="4">
        <f>IFERROR(__xludf.DUMMYFUNCTION("""COMPUTED_VALUE"""),26.0)</f>
        <v>26</v>
      </c>
      <c r="B1019" s="4">
        <f>IFERROR(__xludf.DUMMYFUNCTION("""COMPUTED_VALUE"""),26.0)</f>
        <v>26</v>
      </c>
      <c r="C1019" s="4" t="str">
        <f>IFERROR(__xludf.DUMMYFUNCTION("""COMPUTED_VALUE"""),"OKC")</f>
        <v>OKC</v>
      </c>
      <c r="D1019" s="4" t="str">
        <f>IFERROR(__xludf.DUMMYFUNCTION("""COMPUTED_VALUE"""),"Quincy Pondexter")</f>
        <v>Quincy Pondexter</v>
      </c>
      <c r="E1019" s="4" t="str">
        <f>IFERROR(__xludf.DUMMYFUNCTION("""COMPUTED_VALUE"""),"Washington")</f>
        <v>Washington</v>
      </c>
      <c r="F1019" s="4">
        <f>IFERROR(__xludf.DUMMYFUNCTION("""COMPUTED_VALUE"""),7.0)</f>
        <v>7</v>
      </c>
      <c r="G1019" s="4">
        <f>IFERROR(__xludf.DUMMYFUNCTION("""COMPUTED_VALUE"""),355.0)</f>
        <v>355</v>
      </c>
      <c r="H1019" s="4">
        <f>IFERROR(__xludf.DUMMYFUNCTION("""COMPUTED_VALUE"""),5530.0)</f>
        <v>5530</v>
      </c>
      <c r="I1019" s="4">
        <f>IFERROR(__xludf.DUMMYFUNCTION("""COMPUTED_VALUE"""),1609.0)</f>
        <v>1609</v>
      </c>
      <c r="J1019" s="4">
        <f>IFERROR(__xludf.DUMMYFUNCTION("""COMPUTED_VALUE"""),640.0)</f>
        <v>640</v>
      </c>
      <c r="K1019" s="4">
        <f>IFERROR(__xludf.DUMMYFUNCTION("""COMPUTED_VALUE"""),263.0)</f>
        <v>263</v>
      </c>
      <c r="L1019" s="4">
        <f>IFERROR(__xludf.DUMMYFUNCTION("""COMPUTED_VALUE"""),0.423)</f>
        <v>0.423</v>
      </c>
      <c r="M1019" s="4">
        <f>IFERROR(__xludf.DUMMYFUNCTION("""COMPUTED_VALUE"""),0.356)</f>
        <v>0.356</v>
      </c>
      <c r="N1019" s="4">
        <f>IFERROR(__xludf.DUMMYFUNCTION("""COMPUTED_VALUE"""),0.746)</f>
        <v>0.746</v>
      </c>
      <c r="O1019" s="4">
        <f>IFERROR(__xludf.DUMMYFUNCTION("""COMPUTED_VALUE"""),15.6)</f>
        <v>15.6</v>
      </c>
      <c r="P1019" s="4">
        <f>IFERROR(__xludf.DUMMYFUNCTION("""COMPUTED_VALUE"""),4.5)</f>
        <v>4.5</v>
      </c>
      <c r="Q1019" s="4">
        <f>IFERROR(__xludf.DUMMYFUNCTION("""COMPUTED_VALUE"""),1.8)</f>
        <v>1.8</v>
      </c>
      <c r="R1019" s="4">
        <f>IFERROR(__xludf.DUMMYFUNCTION("""COMPUTED_VALUE"""),0.7)</f>
        <v>0.7</v>
      </c>
      <c r="S1019" s="4">
        <f>IFERROR(__xludf.DUMMYFUNCTION("""COMPUTED_VALUE"""),9.7)</f>
        <v>9.7</v>
      </c>
      <c r="T1019" s="4">
        <f>IFERROR(__xludf.DUMMYFUNCTION("""COMPUTED_VALUE"""),0.084)</f>
        <v>0.084</v>
      </c>
      <c r="U1019" s="4">
        <f>IFERROR(__xludf.DUMMYFUNCTION("""COMPUTED_VALUE"""),-1.8)</f>
        <v>-1.8</v>
      </c>
      <c r="V1019" s="4">
        <f>IFERROR(__xludf.DUMMYFUNCTION("""COMPUTED_VALUE"""),0.3)</f>
        <v>0.3</v>
      </c>
    </row>
    <row r="1020">
      <c r="A1020" s="4">
        <f>IFERROR(__xludf.DUMMYFUNCTION("""COMPUTED_VALUE"""),27.0)</f>
        <v>27</v>
      </c>
      <c r="B1020" s="4">
        <f>IFERROR(__xludf.DUMMYFUNCTION("""COMPUTED_VALUE"""),27.0)</f>
        <v>27</v>
      </c>
      <c r="C1020" s="4" t="str">
        <f>IFERROR(__xludf.DUMMYFUNCTION("""COMPUTED_VALUE"""),"NJN")</f>
        <v>NJN</v>
      </c>
      <c r="D1020" s="4" t="str">
        <f>IFERROR(__xludf.DUMMYFUNCTION("""COMPUTED_VALUE"""),"Jordan Crawford")</f>
        <v>Jordan Crawford</v>
      </c>
      <c r="E1020" s="4" t="str">
        <f>IFERROR(__xludf.DUMMYFUNCTION("""COMPUTED_VALUE"""),"Xavier")</f>
        <v>Xavier</v>
      </c>
      <c r="F1020" s="4">
        <f>IFERROR(__xludf.DUMMYFUNCTION("""COMPUTED_VALUE"""),6.0)</f>
        <v>6</v>
      </c>
      <c r="G1020" s="4">
        <f>IFERROR(__xludf.DUMMYFUNCTION("""COMPUTED_VALUE"""),281.0)</f>
        <v>281</v>
      </c>
      <c r="H1020" s="4">
        <f>IFERROR(__xludf.DUMMYFUNCTION("""COMPUTED_VALUE"""),6843.0)</f>
        <v>6843</v>
      </c>
      <c r="I1020" s="4">
        <f>IFERROR(__xludf.DUMMYFUNCTION("""COMPUTED_VALUE"""),3432.0)</f>
        <v>3432</v>
      </c>
      <c r="J1020" s="4">
        <f>IFERROR(__xludf.DUMMYFUNCTION("""COMPUTED_VALUE"""),703.0)</f>
        <v>703</v>
      </c>
      <c r="K1020" s="4">
        <f>IFERROR(__xludf.DUMMYFUNCTION("""COMPUTED_VALUE"""),883.0)</f>
        <v>883</v>
      </c>
      <c r="L1020" s="4">
        <f>IFERROR(__xludf.DUMMYFUNCTION("""COMPUTED_VALUE"""),0.411)</f>
        <v>0.411</v>
      </c>
      <c r="M1020" s="4">
        <f>IFERROR(__xludf.DUMMYFUNCTION("""COMPUTED_VALUE"""),0.317)</f>
        <v>0.317</v>
      </c>
      <c r="N1020" s="4">
        <f>IFERROR(__xludf.DUMMYFUNCTION("""COMPUTED_VALUE"""),0.826)</f>
        <v>0.826</v>
      </c>
      <c r="O1020" s="4">
        <f>IFERROR(__xludf.DUMMYFUNCTION("""COMPUTED_VALUE"""),24.4)</f>
        <v>24.4</v>
      </c>
      <c r="P1020" s="4">
        <f>IFERROR(__xludf.DUMMYFUNCTION("""COMPUTED_VALUE"""),12.2)</f>
        <v>12.2</v>
      </c>
      <c r="Q1020" s="4">
        <f>IFERROR(__xludf.DUMMYFUNCTION("""COMPUTED_VALUE"""),2.5)</f>
        <v>2.5</v>
      </c>
      <c r="R1020" s="4">
        <f>IFERROR(__xludf.DUMMYFUNCTION("""COMPUTED_VALUE"""),3.1)</f>
        <v>3.1</v>
      </c>
      <c r="S1020" s="4">
        <f>IFERROR(__xludf.DUMMYFUNCTION("""COMPUTED_VALUE"""),6.3)</f>
        <v>6.3</v>
      </c>
      <c r="T1020" s="4">
        <f>IFERROR(__xludf.DUMMYFUNCTION("""COMPUTED_VALUE"""),0.044)</f>
        <v>0.044</v>
      </c>
      <c r="U1020" s="4">
        <f>IFERROR(__xludf.DUMMYFUNCTION("""COMPUTED_VALUE"""),-1.3)</f>
        <v>-1.3</v>
      </c>
      <c r="V1020" s="4">
        <f>IFERROR(__xludf.DUMMYFUNCTION("""COMPUTED_VALUE"""),1.3)</f>
        <v>1.3</v>
      </c>
    </row>
    <row r="1021">
      <c r="A1021" s="4">
        <f>IFERROR(__xludf.DUMMYFUNCTION("""COMPUTED_VALUE"""),28.0)</f>
        <v>28</v>
      </c>
      <c r="B1021" s="4">
        <f>IFERROR(__xludf.DUMMYFUNCTION("""COMPUTED_VALUE"""),28.0)</f>
        <v>28</v>
      </c>
      <c r="C1021" s="4" t="str">
        <f>IFERROR(__xludf.DUMMYFUNCTION("""COMPUTED_VALUE"""),"MEM")</f>
        <v>MEM</v>
      </c>
      <c r="D1021" s="4" t="str">
        <f>IFERROR(__xludf.DUMMYFUNCTION("""COMPUTED_VALUE"""),"Greivis Vásquez")</f>
        <v>Greivis Vásquez</v>
      </c>
      <c r="E1021" s="4" t="str">
        <f>IFERROR(__xludf.DUMMYFUNCTION("""COMPUTED_VALUE"""),"Maryland")</f>
        <v>Maryland</v>
      </c>
      <c r="F1021" s="4">
        <f>IFERROR(__xludf.DUMMYFUNCTION("""COMPUTED_VALUE"""),7.0)</f>
        <v>7</v>
      </c>
      <c r="G1021" s="4">
        <f>IFERROR(__xludf.DUMMYFUNCTION("""COMPUTED_VALUE"""),401.0)</f>
        <v>401</v>
      </c>
      <c r="H1021" s="4">
        <f>IFERROR(__xludf.DUMMYFUNCTION("""COMPUTED_VALUE"""),9520.0)</f>
        <v>9520</v>
      </c>
      <c r="I1021" s="4">
        <f>IFERROR(__xludf.DUMMYFUNCTION("""COMPUTED_VALUE"""),3591.0)</f>
        <v>3591</v>
      </c>
      <c r="J1021" s="4">
        <f>IFERROR(__xludf.DUMMYFUNCTION("""COMPUTED_VALUE"""),1021.0)</f>
        <v>1021</v>
      </c>
      <c r="K1021" s="4">
        <f>IFERROR(__xludf.DUMMYFUNCTION("""COMPUTED_VALUE"""),1935.0)</f>
        <v>1935</v>
      </c>
      <c r="L1021" s="4">
        <f>IFERROR(__xludf.DUMMYFUNCTION("""COMPUTED_VALUE"""),0.418)</f>
        <v>0.418</v>
      </c>
      <c r="M1021" s="4">
        <f>IFERROR(__xludf.DUMMYFUNCTION("""COMPUTED_VALUE"""),0.349)</f>
        <v>0.349</v>
      </c>
      <c r="N1021" s="4">
        <f>IFERROR(__xludf.DUMMYFUNCTION("""COMPUTED_VALUE"""),0.817)</f>
        <v>0.817</v>
      </c>
      <c r="O1021" s="4">
        <f>IFERROR(__xludf.DUMMYFUNCTION("""COMPUTED_VALUE"""),23.7)</f>
        <v>23.7</v>
      </c>
      <c r="P1021" s="4">
        <f>IFERROR(__xludf.DUMMYFUNCTION("""COMPUTED_VALUE"""),9.0)</f>
        <v>9</v>
      </c>
      <c r="Q1021" s="4">
        <f>IFERROR(__xludf.DUMMYFUNCTION("""COMPUTED_VALUE"""),2.5)</f>
        <v>2.5</v>
      </c>
      <c r="R1021" s="4">
        <f>IFERROR(__xludf.DUMMYFUNCTION("""COMPUTED_VALUE"""),4.8)</f>
        <v>4.8</v>
      </c>
      <c r="S1021" s="4">
        <f>IFERROR(__xludf.DUMMYFUNCTION("""COMPUTED_VALUE"""),12.6)</f>
        <v>12.6</v>
      </c>
      <c r="T1021" s="4">
        <f>IFERROR(__xludf.DUMMYFUNCTION("""COMPUTED_VALUE"""),0.064)</f>
        <v>0.064</v>
      </c>
      <c r="U1021" s="4">
        <f>IFERROR(__xludf.DUMMYFUNCTION("""COMPUTED_VALUE"""),-1.2)</f>
        <v>-1.2</v>
      </c>
      <c r="V1021" s="4">
        <f>IFERROR(__xludf.DUMMYFUNCTION("""COMPUTED_VALUE"""),1.8)</f>
        <v>1.8</v>
      </c>
    </row>
    <row r="1022">
      <c r="A1022" s="4">
        <f>IFERROR(__xludf.DUMMYFUNCTION("""COMPUTED_VALUE"""),29.0)</f>
        <v>29</v>
      </c>
      <c r="B1022" s="4">
        <f>IFERROR(__xludf.DUMMYFUNCTION("""COMPUTED_VALUE"""),29.0)</f>
        <v>29</v>
      </c>
      <c r="C1022" s="4" t="str">
        <f>IFERROR(__xludf.DUMMYFUNCTION("""COMPUTED_VALUE"""),"ORL")</f>
        <v>ORL</v>
      </c>
      <c r="D1022" s="4" t="str">
        <f>IFERROR(__xludf.DUMMYFUNCTION("""COMPUTED_VALUE"""),"Daniel Orton")</f>
        <v>Daniel Orton</v>
      </c>
      <c r="E1022" s="4" t="str">
        <f>IFERROR(__xludf.DUMMYFUNCTION("""COMPUTED_VALUE"""),"Kentucky")</f>
        <v>Kentucky</v>
      </c>
      <c r="F1022" s="4">
        <f>IFERROR(__xludf.DUMMYFUNCTION("""COMPUTED_VALUE"""),3.0)</f>
        <v>3</v>
      </c>
      <c r="G1022" s="4">
        <f>IFERROR(__xludf.DUMMYFUNCTION("""COMPUTED_VALUE"""),51.0)</f>
        <v>51</v>
      </c>
      <c r="H1022" s="4">
        <f>IFERROR(__xludf.DUMMYFUNCTION("""COMPUTED_VALUE"""),542.0)</f>
        <v>542</v>
      </c>
      <c r="I1022" s="4">
        <f>IFERROR(__xludf.DUMMYFUNCTION("""COMPUTED_VALUE"""),143.0)</f>
        <v>143</v>
      </c>
      <c r="J1022" s="4">
        <f>IFERROR(__xludf.DUMMYFUNCTION("""COMPUTED_VALUE"""),126.0)</f>
        <v>126</v>
      </c>
      <c r="K1022" s="4">
        <f>IFERROR(__xludf.DUMMYFUNCTION("""COMPUTED_VALUE"""),24.0)</f>
        <v>24</v>
      </c>
      <c r="L1022" s="4">
        <f>IFERROR(__xludf.DUMMYFUNCTION("""COMPUTED_VALUE"""),0.485)</f>
        <v>0.485</v>
      </c>
      <c r="M1022" s="4">
        <f>IFERROR(__xludf.DUMMYFUNCTION("""COMPUTED_VALUE"""),0.0)</f>
        <v>0</v>
      </c>
      <c r="N1022" s="4">
        <f>IFERROR(__xludf.DUMMYFUNCTION("""COMPUTED_VALUE"""),0.597)</f>
        <v>0.597</v>
      </c>
      <c r="O1022" s="4">
        <f>IFERROR(__xludf.DUMMYFUNCTION("""COMPUTED_VALUE"""),10.6)</f>
        <v>10.6</v>
      </c>
      <c r="P1022" s="4">
        <f>IFERROR(__xludf.DUMMYFUNCTION("""COMPUTED_VALUE"""),2.8)</f>
        <v>2.8</v>
      </c>
      <c r="Q1022" s="4">
        <f>IFERROR(__xludf.DUMMYFUNCTION("""COMPUTED_VALUE"""),2.5)</f>
        <v>2.5</v>
      </c>
      <c r="R1022" s="4">
        <f>IFERROR(__xludf.DUMMYFUNCTION("""COMPUTED_VALUE"""),0.5)</f>
        <v>0.5</v>
      </c>
      <c r="S1022" s="4">
        <f>IFERROR(__xludf.DUMMYFUNCTION("""COMPUTED_VALUE"""),1.0)</f>
        <v>1</v>
      </c>
      <c r="T1022" s="4">
        <f>IFERROR(__xludf.DUMMYFUNCTION("""COMPUTED_VALUE"""),0.093)</f>
        <v>0.093</v>
      </c>
      <c r="U1022" s="4">
        <f>IFERROR(__xludf.DUMMYFUNCTION("""COMPUTED_VALUE"""),-3.5)</f>
        <v>-3.5</v>
      </c>
      <c r="V1022" s="4">
        <f>IFERROR(__xludf.DUMMYFUNCTION("""COMPUTED_VALUE"""),-0.2)</f>
        <v>-0.2</v>
      </c>
    </row>
    <row r="1023">
      <c r="A1023" s="4">
        <f>IFERROR(__xludf.DUMMYFUNCTION("""COMPUTED_VALUE"""),30.0)</f>
        <v>30</v>
      </c>
      <c r="B1023" s="4">
        <f>IFERROR(__xludf.DUMMYFUNCTION("""COMPUTED_VALUE"""),30.0)</f>
        <v>30</v>
      </c>
      <c r="C1023" s="4" t="str">
        <f>IFERROR(__xludf.DUMMYFUNCTION("""COMPUTED_VALUE"""),"WAS")</f>
        <v>WAS</v>
      </c>
      <c r="D1023" s="4" t="str">
        <f>IFERROR(__xludf.DUMMYFUNCTION("""COMPUTED_VALUE"""),"Lazar Hayward")</f>
        <v>Lazar Hayward</v>
      </c>
      <c r="E1023" s="4" t="str">
        <f>IFERROR(__xludf.DUMMYFUNCTION("""COMPUTED_VALUE"""),"Marquette")</f>
        <v>Marquette</v>
      </c>
      <c r="F1023" s="4">
        <f>IFERROR(__xludf.DUMMYFUNCTION("""COMPUTED_VALUE"""),3.0)</f>
        <v>3</v>
      </c>
      <c r="G1023" s="4">
        <f>IFERROR(__xludf.DUMMYFUNCTION("""COMPUTED_VALUE"""),72.0)</f>
        <v>72</v>
      </c>
      <c r="H1023" s="4">
        <f>IFERROR(__xludf.DUMMYFUNCTION("""COMPUTED_VALUE"""),591.0)</f>
        <v>591</v>
      </c>
      <c r="I1023" s="4">
        <f>IFERROR(__xludf.DUMMYFUNCTION("""COMPUTED_VALUE"""),207.0)</f>
        <v>207</v>
      </c>
      <c r="J1023" s="4">
        <f>IFERROR(__xludf.DUMMYFUNCTION("""COMPUTED_VALUE"""),90.0)</f>
        <v>90</v>
      </c>
      <c r="K1023" s="4">
        <f>IFERROR(__xludf.DUMMYFUNCTION("""COMPUTED_VALUE"""),35.0)</f>
        <v>35</v>
      </c>
      <c r="L1023" s="4">
        <f>IFERROR(__xludf.DUMMYFUNCTION("""COMPUTED_VALUE"""),0.347)</f>
        <v>0.347</v>
      </c>
      <c r="M1023" s="4">
        <f>IFERROR(__xludf.DUMMYFUNCTION("""COMPUTED_VALUE"""),0.269)</f>
        <v>0.269</v>
      </c>
      <c r="N1023" s="4">
        <f>IFERROR(__xludf.DUMMYFUNCTION("""COMPUTED_VALUE"""),0.767)</f>
        <v>0.767</v>
      </c>
      <c r="O1023" s="4">
        <f>IFERROR(__xludf.DUMMYFUNCTION("""COMPUTED_VALUE"""),8.2)</f>
        <v>8.2</v>
      </c>
      <c r="P1023" s="4">
        <f>IFERROR(__xludf.DUMMYFUNCTION("""COMPUTED_VALUE"""),2.9)</f>
        <v>2.9</v>
      </c>
      <c r="Q1023" s="4">
        <f>IFERROR(__xludf.DUMMYFUNCTION("""COMPUTED_VALUE"""),1.3)</f>
        <v>1.3</v>
      </c>
      <c r="R1023" s="4">
        <f>IFERROR(__xludf.DUMMYFUNCTION("""COMPUTED_VALUE"""),0.5)</f>
        <v>0.5</v>
      </c>
      <c r="S1023" s="4">
        <f>IFERROR(__xludf.DUMMYFUNCTION("""COMPUTED_VALUE"""),0.2)</f>
        <v>0.2</v>
      </c>
      <c r="T1023" s="4">
        <f>IFERROR(__xludf.DUMMYFUNCTION("""COMPUTED_VALUE"""),0.02)</f>
        <v>0.02</v>
      </c>
      <c r="U1023" s="4">
        <f>IFERROR(__xludf.DUMMYFUNCTION("""COMPUTED_VALUE"""),-4.2)</f>
        <v>-4.2</v>
      </c>
      <c r="V1023" s="4">
        <f>IFERROR(__xludf.DUMMYFUNCTION("""COMPUTED_VALUE"""),-0.3)</f>
        <v>-0.3</v>
      </c>
    </row>
    <row r="1024">
      <c r="A1024" s="4"/>
      <c r="B1024" s="4"/>
      <c r="C1024" s="4"/>
      <c r="D1024" s="4" t="str">
        <f>IFERROR(__xludf.DUMMYFUNCTION("""COMPUTED_VALUE"""),"Round 2")</f>
        <v>Round 2</v>
      </c>
      <c r="E1024" s="4"/>
      <c r="F1024" s="4"/>
      <c r="G1024" s="4" t="str">
        <f>IFERROR(__xludf.DUMMYFUNCTION("""COMPUTED_VALUE"""),"Totals")</f>
        <v>Totals</v>
      </c>
      <c r="H1024" s="4"/>
      <c r="I1024" s="4"/>
      <c r="J1024" s="4"/>
      <c r="K1024" s="4"/>
      <c r="L1024" s="4" t="str">
        <f>IFERROR(__xludf.DUMMYFUNCTION("""COMPUTED_VALUE"""),"Shooting")</f>
        <v>Shooting</v>
      </c>
      <c r="M1024" s="4"/>
      <c r="N1024" s="4"/>
      <c r="O1024" s="4" t="str">
        <f>IFERROR(__xludf.DUMMYFUNCTION("""COMPUTED_VALUE"""),"Per Game")</f>
        <v>Per Game</v>
      </c>
      <c r="P1024" s="4"/>
      <c r="Q1024" s="4"/>
      <c r="R1024" s="4"/>
      <c r="S1024" s="4" t="str">
        <f>IFERROR(__xludf.DUMMYFUNCTION("""COMPUTED_VALUE"""),"Advanced")</f>
        <v>Advanced</v>
      </c>
      <c r="T1024" s="4"/>
      <c r="U1024" s="4"/>
      <c r="V1024" s="4"/>
    </row>
    <row r="1025">
      <c r="A1025" s="4" t="str">
        <f>IFERROR(__xludf.DUMMYFUNCTION("""COMPUTED_VALUE"""),"Rk")</f>
        <v>Rk</v>
      </c>
      <c r="B1025" s="4" t="str">
        <f>IFERROR(__xludf.DUMMYFUNCTION("""COMPUTED_VALUE"""),"Pk")</f>
        <v>Pk</v>
      </c>
      <c r="C1025" s="4" t="str">
        <f>IFERROR(__xludf.DUMMYFUNCTION("""COMPUTED_VALUE"""),"Tm")</f>
        <v>Tm</v>
      </c>
      <c r="D1025" s="4" t="str">
        <f>IFERROR(__xludf.DUMMYFUNCTION("""COMPUTED_VALUE"""),"Player")</f>
        <v>Player</v>
      </c>
      <c r="E1025" s="4" t="str">
        <f>IFERROR(__xludf.DUMMYFUNCTION("""COMPUTED_VALUE"""),"College")</f>
        <v>College</v>
      </c>
      <c r="F1025" s="4" t="str">
        <f>IFERROR(__xludf.DUMMYFUNCTION("""COMPUTED_VALUE"""),"Yrs")</f>
        <v>Yrs</v>
      </c>
      <c r="G1025" s="4" t="str">
        <f>IFERROR(__xludf.DUMMYFUNCTION("""COMPUTED_VALUE"""),"G")</f>
        <v>G</v>
      </c>
      <c r="H1025" s="4" t="str">
        <f>IFERROR(__xludf.DUMMYFUNCTION("""COMPUTED_VALUE"""),"MP")</f>
        <v>MP</v>
      </c>
      <c r="I1025" s="4" t="str">
        <f>IFERROR(__xludf.DUMMYFUNCTION("""COMPUTED_VALUE"""),"PTS")</f>
        <v>PTS</v>
      </c>
      <c r="J1025" s="4" t="str">
        <f>IFERROR(__xludf.DUMMYFUNCTION("""COMPUTED_VALUE"""),"TRB")</f>
        <v>TRB</v>
      </c>
      <c r="K1025" s="4" t="str">
        <f>IFERROR(__xludf.DUMMYFUNCTION("""COMPUTED_VALUE"""),"AST")</f>
        <v>AST</v>
      </c>
      <c r="L1025" s="4" t="str">
        <f>IFERROR(__xludf.DUMMYFUNCTION("""COMPUTED_VALUE"""),"FG%")</f>
        <v>FG%</v>
      </c>
      <c r="M1025" s="4" t="str">
        <f>IFERROR(__xludf.DUMMYFUNCTION("""COMPUTED_VALUE"""),"3P%")</f>
        <v>3P%</v>
      </c>
      <c r="N1025" s="4" t="str">
        <f>IFERROR(__xludf.DUMMYFUNCTION("""COMPUTED_VALUE"""),"FT%")</f>
        <v>FT%</v>
      </c>
      <c r="O1025" s="4" t="str">
        <f>IFERROR(__xludf.DUMMYFUNCTION("""COMPUTED_VALUE"""),"MP")</f>
        <v>MP</v>
      </c>
      <c r="P1025" s="4" t="str">
        <f>IFERROR(__xludf.DUMMYFUNCTION("""COMPUTED_VALUE"""),"PTS")</f>
        <v>PTS</v>
      </c>
      <c r="Q1025" s="4" t="str">
        <f>IFERROR(__xludf.DUMMYFUNCTION("""COMPUTED_VALUE"""),"TRB")</f>
        <v>TRB</v>
      </c>
      <c r="R1025" s="4" t="str">
        <f>IFERROR(__xludf.DUMMYFUNCTION("""COMPUTED_VALUE"""),"AST")</f>
        <v>AST</v>
      </c>
      <c r="S1025" s="4" t="str">
        <f>IFERROR(__xludf.DUMMYFUNCTION("""COMPUTED_VALUE"""),"WS")</f>
        <v>WS</v>
      </c>
      <c r="T1025" s="4" t="str">
        <f>IFERROR(__xludf.DUMMYFUNCTION("""COMPUTED_VALUE"""),"WS/48")</f>
        <v>WS/48</v>
      </c>
      <c r="U1025" s="4" t="str">
        <f>IFERROR(__xludf.DUMMYFUNCTION("""COMPUTED_VALUE"""),"BPM")</f>
        <v>BPM</v>
      </c>
      <c r="V1025" s="4" t="str">
        <f>IFERROR(__xludf.DUMMYFUNCTION("""COMPUTED_VALUE"""),"VORP")</f>
        <v>VORP</v>
      </c>
    </row>
    <row r="1026">
      <c r="A1026" s="4">
        <f>IFERROR(__xludf.DUMMYFUNCTION("""COMPUTED_VALUE"""),31.0)</f>
        <v>31</v>
      </c>
      <c r="B1026" s="4">
        <f>IFERROR(__xludf.DUMMYFUNCTION("""COMPUTED_VALUE"""),31.0)</f>
        <v>31</v>
      </c>
      <c r="C1026" s="4" t="str">
        <f>IFERROR(__xludf.DUMMYFUNCTION("""COMPUTED_VALUE"""),"NJN")</f>
        <v>NJN</v>
      </c>
      <c r="D1026" s="4" t="str">
        <f>IFERROR(__xludf.DUMMYFUNCTION("""COMPUTED_VALUE"""),"Tibor Pleiß")</f>
        <v>Tibor Pleiß</v>
      </c>
      <c r="E1026" s="4"/>
      <c r="F1026" s="4">
        <f>IFERROR(__xludf.DUMMYFUNCTION("""COMPUTED_VALUE"""),1.0)</f>
        <v>1</v>
      </c>
      <c r="G1026" s="4">
        <f>IFERROR(__xludf.DUMMYFUNCTION("""COMPUTED_VALUE"""),12.0)</f>
        <v>12</v>
      </c>
      <c r="H1026" s="4">
        <f>IFERROR(__xludf.DUMMYFUNCTION("""COMPUTED_VALUE"""),82.0)</f>
        <v>82</v>
      </c>
      <c r="I1026" s="4">
        <f>IFERROR(__xludf.DUMMYFUNCTION("""COMPUTED_VALUE"""),24.0)</f>
        <v>24</v>
      </c>
      <c r="J1026" s="4">
        <f>IFERROR(__xludf.DUMMYFUNCTION("""COMPUTED_VALUE"""),15.0)</f>
        <v>15</v>
      </c>
      <c r="K1026" s="4">
        <f>IFERROR(__xludf.DUMMYFUNCTION("""COMPUTED_VALUE"""),2.0)</f>
        <v>2</v>
      </c>
      <c r="L1026" s="4">
        <f>IFERROR(__xludf.DUMMYFUNCTION("""COMPUTED_VALUE"""),0.44)</f>
        <v>0.44</v>
      </c>
      <c r="M1026" s="4">
        <f>IFERROR(__xludf.DUMMYFUNCTION("""COMPUTED_VALUE"""),0.0)</f>
        <v>0</v>
      </c>
      <c r="N1026" s="4">
        <f>IFERROR(__xludf.DUMMYFUNCTION("""COMPUTED_VALUE"""),1.0)</f>
        <v>1</v>
      </c>
      <c r="O1026" s="4">
        <f>IFERROR(__xludf.DUMMYFUNCTION("""COMPUTED_VALUE"""),6.8)</f>
        <v>6.8</v>
      </c>
      <c r="P1026" s="4">
        <f>IFERROR(__xludf.DUMMYFUNCTION("""COMPUTED_VALUE"""),2.0)</f>
        <v>2</v>
      </c>
      <c r="Q1026" s="4">
        <f>IFERROR(__xludf.DUMMYFUNCTION("""COMPUTED_VALUE"""),1.3)</f>
        <v>1.3</v>
      </c>
      <c r="R1026" s="4">
        <f>IFERROR(__xludf.DUMMYFUNCTION("""COMPUTED_VALUE"""),0.2)</f>
        <v>0.2</v>
      </c>
      <c r="S1026" s="4">
        <f>IFERROR(__xludf.DUMMYFUNCTION("""COMPUTED_VALUE"""),-0.1)</f>
        <v>-0.1</v>
      </c>
      <c r="T1026" s="4">
        <f>IFERROR(__xludf.DUMMYFUNCTION("""COMPUTED_VALUE"""),-0.041)</f>
        <v>-0.041</v>
      </c>
      <c r="U1026" s="4">
        <f>IFERROR(__xludf.DUMMYFUNCTION("""COMPUTED_VALUE"""),-11.6)</f>
        <v>-11.6</v>
      </c>
      <c r="V1026" s="4">
        <f>IFERROR(__xludf.DUMMYFUNCTION("""COMPUTED_VALUE"""),-0.2)</f>
        <v>-0.2</v>
      </c>
    </row>
    <row r="1027">
      <c r="A1027" s="4">
        <f>IFERROR(__xludf.DUMMYFUNCTION("""COMPUTED_VALUE"""),32.0)</f>
        <v>32</v>
      </c>
      <c r="B1027" s="4">
        <f>IFERROR(__xludf.DUMMYFUNCTION("""COMPUTED_VALUE"""),32.0)</f>
        <v>32</v>
      </c>
      <c r="C1027" s="4" t="str">
        <f>IFERROR(__xludf.DUMMYFUNCTION("""COMPUTED_VALUE"""),"MIA")</f>
        <v>MIA</v>
      </c>
      <c r="D1027" s="4" t="str">
        <f>IFERROR(__xludf.DUMMYFUNCTION("""COMPUTED_VALUE"""),"Dexter Pittman")</f>
        <v>Dexter Pittman</v>
      </c>
      <c r="E1027" s="4" t="str">
        <f>IFERROR(__xludf.DUMMYFUNCTION("""COMPUTED_VALUE"""),"Texas")</f>
        <v>Texas</v>
      </c>
      <c r="F1027" s="4">
        <f>IFERROR(__xludf.DUMMYFUNCTION("""COMPUTED_VALUE"""),4.0)</f>
        <v>4</v>
      </c>
      <c r="G1027" s="4">
        <f>IFERROR(__xludf.DUMMYFUNCTION("""COMPUTED_VALUE"""),50.0)</f>
        <v>50</v>
      </c>
      <c r="H1027" s="4">
        <f>IFERROR(__xludf.DUMMYFUNCTION("""COMPUTED_VALUE"""),347.0)</f>
        <v>347</v>
      </c>
      <c r="I1027" s="4">
        <f>IFERROR(__xludf.DUMMYFUNCTION("""COMPUTED_VALUE"""),116.0)</f>
        <v>116</v>
      </c>
      <c r="J1027" s="4">
        <f>IFERROR(__xludf.DUMMYFUNCTION("""COMPUTED_VALUE"""),89.0)</f>
        <v>89</v>
      </c>
      <c r="K1027" s="4">
        <f>IFERROR(__xludf.DUMMYFUNCTION("""COMPUTED_VALUE"""),9.0)</f>
        <v>9</v>
      </c>
      <c r="L1027" s="4">
        <f>IFERROR(__xludf.DUMMYFUNCTION("""COMPUTED_VALUE"""),0.45)</f>
        <v>0.45</v>
      </c>
      <c r="M1027" s="4"/>
      <c r="N1027" s="4">
        <f>IFERROR(__xludf.DUMMYFUNCTION("""COMPUTED_VALUE"""),0.545)</f>
        <v>0.545</v>
      </c>
      <c r="O1027" s="4">
        <f>IFERROR(__xludf.DUMMYFUNCTION("""COMPUTED_VALUE"""),6.9)</f>
        <v>6.9</v>
      </c>
      <c r="P1027" s="4">
        <f>IFERROR(__xludf.DUMMYFUNCTION("""COMPUTED_VALUE"""),2.3)</f>
        <v>2.3</v>
      </c>
      <c r="Q1027" s="4">
        <f>IFERROR(__xludf.DUMMYFUNCTION("""COMPUTED_VALUE"""),1.8)</f>
        <v>1.8</v>
      </c>
      <c r="R1027" s="4">
        <f>IFERROR(__xludf.DUMMYFUNCTION("""COMPUTED_VALUE"""),0.2)</f>
        <v>0.2</v>
      </c>
      <c r="S1027" s="4">
        <f>IFERROR(__xludf.DUMMYFUNCTION("""COMPUTED_VALUE"""),0.5)</f>
        <v>0.5</v>
      </c>
      <c r="T1027" s="4">
        <f>IFERROR(__xludf.DUMMYFUNCTION("""COMPUTED_VALUE"""),0.068)</f>
        <v>0.068</v>
      </c>
      <c r="U1027" s="4">
        <f>IFERROR(__xludf.DUMMYFUNCTION("""COMPUTED_VALUE"""),-7.7)</f>
        <v>-7.7</v>
      </c>
      <c r="V1027" s="4">
        <f>IFERROR(__xludf.DUMMYFUNCTION("""COMPUTED_VALUE"""),-0.5)</f>
        <v>-0.5</v>
      </c>
    </row>
    <row r="1028">
      <c r="A1028" s="4">
        <f>IFERROR(__xludf.DUMMYFUNCTION("""COMPUTED_VALUE"""),33.0)</f>
        <v>33</v>
      </c>
      <c r="B1028" s="4">
        <f>IFERROR(__xludf.DUMMYFUNCTION("""COMPUTED_VALUE"""),33.0)</f>
        <v>33</v>
      </c>
      <c r="C1028" s="4" t="str">
        <f>IFERROR(__xludf.DUMMYFUNCTION("""COMPUTED_VALUE"""),"SAC")</f>
        <v>SAC</v>
      </c>
      <c r="D1028" s="4" t="str">
        <f>IFERROR(__xludf.DUMMYFUNCTION("""COMPUTED_VALUE"""),"Hassan Whiteside")</f>
        <v>Hassan Whiteside</v>
      </c>
      <c r="E1028" s="4" t="str">
        <f>IFERROR(__xludf.DUMMYFUNCTION("""COMPUTED_VALUE"""),"Marshall")</f>
        <v>Marshall</v>
      </c>
      <c r="F1028" s="4">
        <f>IFERROR(__xludf.DUMMYFUNCTION("""COMPUTED_VALUE"""),10.0)</f>
        <v>10</v>
      </c>
      <c r="G1028" s="4">
        <f>IFERROR(__xludf.DUMMYFUNCTION("""COMPUTED_VALUE"""),511.0)</f>
        <v>511</v>
      </c>
      <c r="H1028" s="4">
        <f>IFERROR(__xludf.DUMMYFUNCTION("""COMPUTED_VALUE"""),12645.0)</f>
        <v>12645</v>
      </c>
      <c r="I1028" s="4">
        <f>IFERROR(__xludf.DUMMYFUNCTION("""COMPUTED_VALUE"""),6450.0)</f>
        <v>6450</v>
      </c>
      <c r="J1028" s="4">
        <f>IFERROR(__xludf.DUMMYFUNCTION("""COMPUTED_VALUE"""),5523.0)</f>
        <v>5523</v>
      </c>
      <c r="K1028" s="4">
        <f>IFERROR(__xludf.DUMMYFUNCTION("""COMPUTED_VALUE"""),327.0)</f>
        <v>327</v>
      </c>
      <c r="L1028" s="4">
        <f>IFERROR(__xludf.DUMMYFUNCTION("""COMPUTED_VALUE"""),0.586)</f>
        <v>0.586</v>
      </c>
      <c r="M1028" s="4">
        <f>IFERROR(__xludf.DUMMYFUNCTION("""COMPUTED_VALUE"""),0.308)</f>
        <v>0.308</v>
      </c>
      <c r="N1028" s="4">
        <f>IFERROR(__xludf.DUMMYFUNCTION("""COMPUTED_VALUE"""),0.605)</f>
        <v>0.605</v>
      </c>
      <c r="O1028" s="4">
        <f>IFERROR(__xludf.DUMMYFUNCTION("""COMPUTED_VALUE"""),24.7)</f>
        <v>24.7</v>
      </c>
      <c r="P1028" s="4">
        <f>IFERROR(__xludf.DUMMYFUNCTION("""COMPUTED_VALUE"""),12.6)</f>
        <v>12.6</v>
      </c>
      <c r="Q1028" s="4">
        <f>IFERROR(__xludf.DUMMYFUNCTION("""COMPUTED_VALUE"""),10.8)</f>
        <v>10.8</v>
      </c>
      <c r="R1028" s="4">
        <f>IFERROR(__xludf.DUMMYFUNCTION("""COMPUTED_VALUE"""),0.6)</f>
        <v>0.6</v>
      </c>
      <c r="S1028" s="4">
        <f>IFERROR(__xludf.DUMMYFUNCTION("""COMPUTED_VALUE"""),52.0)</f>
        <v>52</v>
      </c>
      <c r="T1028" s="4">
        <f>IFERROR(__xludf.DUMMYFUNCTION("""COMPUTED_VALUE"""),0.197)</f>
        <v>0.197</v>
      </c>
      <c r="U1028" s="4">
        <f>IFERROR(__xludf.DUMMYFUNCTION("""COMPUTED_VALUE"""),2.5)</f>
        <v>2.5</v>
      </c>
      <c r="V1028" s="4">
        <f>IFERROR(__xludf.DUMMYFUNCTION("""COMPUTED_VALUE"""),14.5)</f>
        <v>14.5</v>
      </c>
    </row>
    <row r="1029">
      <c r="A1029" s="4">
        <f>IFERROR(__xludf.DUMMYFUNCTION("""COMPUTED_VALUE"""),34.0)</f>
        <v>34</v>
      </c>
      <c r="B1029" s="4">
        <f>IFERROR(__xludf.DUMMYFUNCTION("""COMPUTED_VALUE"""),34.0)</f>
        <v>34</v>
      </c>
      <c r="C1029" s="4" t="str">
        <f>IFERROR(__xludf.DUMMYFUNCTION("""COMPUTED_VALUE"""),"POR")</f>
        <v>POR</v>
      </c>
      <c r="D1029" s="4" t="str">
        <f>IFERROR(__xludf.DUMMYFUNCTION("""COMPUTED_VALUE"""),"Armon Johnson")</f>
        <v>Armon Johnson</v>
      </c>
      <c r="E1029" s="4" t="str">
        <f>IFERROR(__xludf.DUMMYFUNCTION("""COMPUTED_VALUE"""),"Nevada")</f>
        <v>Nevada</v>
      </c>
      <c r="F1029" s="4">
        <f>IFERROR(__xludf.DUMMYFUNCTION("""COMPUTED_VALUE"""),2.0)</f>
        <v>2</v>
      </c>
      <c r="G1029" s="4">
        <f>IFERROR(__xludf.DUMMYFUNCTION("""COMPUTED_VALUE"""),47.0)</f>
        <v>47</v>
      </c>
      <c r="H1029" s="4">
        <f>IFERROR(__xludf.DUMMYFUNCTION("""COMPUTED_VALUE"""),401.0)</f>
        <v>401</v>
      </c>
      <c r="I1029" s="4">
        <f>IFERROR(__xludf.DUMMYFUNCTION("""COMPUTED_VALUE"""),157.0)</f>
        <v>157</v>
      </c>
      <c r="J1029" s="4">
        <f>IFERROR(__xludf.DUMMYFUNCTION("""COMPUTED_VALUE"""),49.0)</f>
        <v>49</v>
      </c>
      <c r="K1029" s="4">
        <f>IFERROR(__xludf.DUMMYFUNCTION("""COMPUTED_VALUE"""),56.0)</f>
        <v>56</v>
      </c>
      <c r="L1029" s="4">
        <f>IFERROR(__xludf.DUMMYFUNCTION("""COMPUTED_VALUE"""),0.458)</f>
        <v>0.458</v>
      </c>
      <c r="M1029" s="4">
        <f>IFERROR(__xludf.DUMMYFUNCTION("""COMPUTED_VALUE"""),0.4)</f>
        <v>0.4</v>
      </c>
      <c r="N1029" s="4">
        <f>IFERROR(__xludf.DUMMYFUNCTION("""COMPUTED_VALUE"""),0.679)</f>
        <v>0.679</v>
      </c>
      <c r="O1029" s="4">
        <f>IFERROR(__xludf.DUMMYFUNCTION("""COMPUTED_VALUE"""),8.5)</f>
        <v>8.5</v>
      </c>
      <c r="P1029" s="4">
        <f>IFERROR(__xludf.DUMMYFUNCTION("""COMPUTED_VALUE"""),3.3)</f>
        <v>3.3</v>
      </c>
      <c r="Q1029" s="4">
        <f>IFERROR(__xludf.DUMMYFUNCTION("""COMPUTED_VALUE"""),1.0)</f>
        <v>1</v>
      </c>
      <c r="R1029" s="4">
        <f>IFERROR(__xludf.DUMMYFUNCTION("""COMPUTED_VALUE"""),1.2)</f>
        <v>1.2</v>
      </c>
      <c r="S1029" s="4">
        <f>IFERROR(__xludf.DUMMYFUNCTION("""COMPUTED_VALUE"""),-0.1)</f>
        <v>-0.1</v>
      </c>
      <c r="T1029" s="4">
        <f>IFERROR(__xludf.DUMMYFUNCTION("""COMPUTED_VALUE"""),-0.015)</f>
        <v>-0.015</v>
      </c>
      <c r="U1029" s="4">
        <f>IFERROR(__xludf.DUMMYFUNCTION("""COMPUTED_VALUE"""),-4.1)</f>
        <v>-4.1</v>
      </c>
      <c r="V1029" s="4">
        <f>IFERROR(__xludf.DUMMYFUNCTION("""COMPUTED_VALUE"""),-0.2)</f>
        <v>-0.2</v>
      </c>
    </row>
    <row r="1030">
      <c r="A1030" s="4">
        <f>IFERROR(__xludf.DUMMYFUNCTION("""COMPUTED_VALUE"""),35.0)</f>
        <v>35</v>
      </c>
      <c r="B1030" s="4">
        <f>IFERROR(__xludf.DUMMYFUNCTION("""COMPUTED_VALUE"""),35.0)</f>
        <v>35</v>
      </c>
      <c r="C1030" s="4" t="str">
        <f>IFERROR(__xludf.DUMMYFUNCTION("""COMPUTED_VALUE"""),"WAS")</f>
        <v>WAS</v>
      </c>
      <c r="D1030" s="4" t="str">
        <f>IFERROR(__xludf.DUMMYFUNCTION("""COMPUTED_VALUE"""),"Nemanja Bjelica")</f>
        <v>Nemanja Bjelica</v>
      </c>
      <c r="E1030" s="4"/>
      <c r="F1030" s="4">
        <f>IFERROR(__xludf.DUMMYFUNCTION("""COMPUTED_VALUE"""),7.0)</f>
        <v>7</v>
      </c>
      <c r="G1030" s="4">
        <f>IFERROR(__xludf.DUMMYFUNCTION("""COMPUTED_VALUE"""),449.0)</f>
        <v>449</v>
      </c>
      <c r="H1030" s="4">
        <f>IFERROR(__xludf.DUMMYFUNCTION("""COMPUTED_VALUE"""),9173.0)</f>
        <v>9173</v>
      </c>
      <c r="I1030" s="4">
        <f>IFERROR(__xludf.DUMMYFUNCTION("""COMPUTED_VALUE"""),3412.0)</f>
        <v>3412</v>
      </c>
      <c r="J1030" s="4">
        <f>IFERROR(__xludf.DUMMYFUNCTION("""COMPUTED_VALUE"""),2051.0)</f>
        <v>2051</v>
      </c>
      <c r="K1030" s="4">
        <f>IFERROR(__xludf.DUMMYFUNCTION("""COMPUTED_VALUE"""),826.0)</f>
        <v>826</v>
      </c>
      <c r="L1030" s="4">
        <f>IFERROR(__xludf.DUMMYFUNCTION("""COMPUTED_VALUE"""),0.466)</f>
        <v>0.466</v>
      </c>
      <c r="M1030" s="4">
        <f>IFERROR(__xludf.DUMMYFUNCTION("""COMPUTED_VALUE"""),0.384)</f>
        <v>0.384</v>
      </c>
      <c r="N1030" s="4">
        <f>IFERROR(__xludf.DUMMYFUNCTION("""COMPUTED_VALUE"""),0.759)</f>
        <v>0.759</v>
      </c>
      <c r="O1030" s="4">
        <f>IFERROR(__xludf.DUMMYFUNCTION("""COMPUTED_VALUE"""),20.4)</f>
        <v>20.4</v>
      </c>
      <c r="P1030" s="4">
        <f>IFERROR(__xludf.DUMMYFUNCTION("""COMPUTED_VALUE"""),7.6)</f>
        <v>7.6</v>
      </c>
      <c r="Q1030" s="4">
        <f>IFERROR(__xludf.DUMMYFUNCTION("""COMPUTED_VALUE"""),4.6)</f>
        <v>4.6</v>
      </c>
      <c r="R1030" s="4">
        <f>IFERROR(__xludf.DUMMYFUNCTION("""COMPUTED_VALUE"""),1.8)</f>
        <v>1.8</v>
      </c>
      <c r="S1030" s="4">
        <f>IFERROR(__xludf.DUMMYFUNCTION("""COMPUTED_VALUE"""),20.0)</f>
        <v>20</v>
      </c>
      <c r="T1030" s="4">
        <f>IFERROR(__xludf.DUMMYFUNCTION("""COMPUTED_VALUE"""),0.104)</f>
        <v>0.104</v>
      </c>
      <c r="U1030" s="4">
        <f>IFERROR(__xludf.DUMMYFUNCTION("""COMPUTED_VALUE"""),0.3)</f>
        <v>0.3</v>
      </c>
      <c r="V1030" s="4">
        <f>IFERROR(__xludf.DUMMYFUNCTION("""COMPUTED_VALUE"""),5.4)</f>
        <v>5.4</v>
      </c>
    </row>
    <row r="1031">
      <c r="A1031" s="4">
        <f>IFERROR(__xludf.DUMMYFUNCTION("""COMPUTED_VALUE"""),36.0)</f>
        <v>36</v>
      </c>
      <c r="B1031" s="4">
        <f>IFERROR(__xludf.DUMMYFUNCTION("""COMPUTED_VALUE"""),36.0)</f>
        <v>36</v>
      </c>
      <c r="C1031" s="4" t="str">
        <f>IFERROR(__xludf.DUMMYFUNCTION("""COMPUTED_VALUE"""),"DET")</f>
        <v>DET</v>
      </c>
      <c r="D1031" s="4" t="str">
        <f>IFERROR(__xludf.DUMMYFUNCTION("""COMPUTED_VALUE"""),"Terrico White")</f>
        <v>Terrico White</v>
      </c>
      <c r="E1031" s="4" t="str">
        <f>IFERROR(__xludf.DUMMYFUNCTION("""COMPUTED_VALUE"""),"Ole Miss")</f>
        <v>Ole Miss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>
      <c r="A1032" s="4">
        <f>IFERROR(__xludf.DUMMYFUNCTION("""COMPUTED_VALUE"""),37.0)</f>
        <v>37</v>
      </c>
      <c r="B1032" s="4">
        <f>IFERROR(__xludf.DUMMYFUNCTION("""COMPUTED_VALUE"""),37.0)</f>
        <v>37</v>
      </c>
      <c r="C1032" s="4" t="str">
        <f>IFERROR(__xludf.DUMMYFUNCTION("""COMPUTED_VALUE"""),"MIL")</f>
        <v>MIL</v>
      </c>
      <c r="D1032" s="4" t="str">
        <f>IFERROR(__xludf.DUMMYFUNCTION("""COMPUTED_VALUE"""),"Darington Hobson")</f>
        <v>Darington Hobson</v>
      </c>
      <c r="E1032" s="4" t="str">
        <f>IFERROR(__xludf.DUMMYFUNCTION("""COMPUTED_VALUE"""),"New Mexico")</f>
        <v>New Mexico</v>
      </c>
      <c r="F1032" s="4">
        <f>IFERROR(__xludf.DUMMYFUNCTION("""COMPUTED_VALUE"""),1.0)</f>
        <v>1</v>
      </c>
      <c r="G1032" s="4">
        <f>IFERROR(__xludf.DUMMYFUNCTION("""COMPUTED_VALUE"""),5.0)</f>
        <v>5</v>
      </c>
      <c r="H1032" s="4">
        <f>IFERROR(__xludf.DUMMYFUNCTION("""COMPUTED_VALUE"""),39.0)</f>
        <v>39</v>
      </c>
      <c r="I1032" s="4">
        <f>IFERROR(__xludf.DUMMYFUNCTION("""COMPUTED_VALUE"""),4.0)</f>
        <v>4</v>
      </c>
      <c r="J1032" s="4">
        <f>IFERROR(__xludf.DUMMYFUNCTION("""COMPUTED_VALUE"""),3.0)</f>
        <v>3</v>
      </c>
      <c r="K1032" s="4">
        <f>IFERROR(__xludf.DUMMYFUNCTION("""COMPUTED_VALUE"""),6.0)</f>
        <v>6</v>
      </c>
      <c r="L1032" s="4">
        <f>IFERROR(__xludf.DUMMYFUNCTION("""COMPUTED_VALUE"""),0.154)</f>
        <v>0.154</v>
      </c>
      <c r="M1032" s="4">
        <f>IFERROR(__xludf.DUMMYFUNCTION("""COMPUTED_VALUE"""),0.0)</f>
        <v>0</v>
      </c>
      <c r="N1032" s="4"/>
      <c r="O1032" s="4">
        <f>IFERROR(__xludf.DUMMYFUNCTION("""COMPUTED_VALUE"""),7.8)</f>
        <v>7.8</v>
      </c>
      <c r="P1032" s="4">
        <f>IFERROR(__xludf.DUMMYFUNCTION("""COMPUTED_VALUE"""),0.8)</f>
        <v>0.8</v>
      </c>
      <c r="Q1032" s="4">
        <f>IFERROR(__xludf.DUMMYFUNCTION("""COMPUTED_VALUE"""),0.6)</f>
        <v>0.6</v>
      </c>
      <c r="R1032" s="4">
        <f>IFERROR(__xludf.DUMMYFUNCTION("""COMPUTED_VALUE"""),1.2)</f>
        <v>1.2</v>
      </c>
      <c r="S1032" s="4">
        <f>IFERROR(__xludf.DUMMYFUNCTION("""COMPUTED_VALUE"""),-0.2)</f>
        <v>-0.2</v>
      </c>
      <c r="T1032" s="4">
        <f>IFERROR(__xludf.DUMMYFUNCTION("""COMPUTED_VALUE"""),-0.225)</f>
        <v>-0.225</v>
      </c>
      <c r="U1032" s="4">
        <f>IFERROR(__xludf.DUMMYFUNCTION("""COMPUTED_VALUE"""),-13.0)</f>
        <v>-13</v>
      </c>
      <c r="V1032" s="4">
        <f>IFERROR(__xludf.DUMMYFUNCTION("""COMPUTED_VALUE"""),-0.1)</f>
        <v>-0.1</v>
      </c>
    </row>
    <row r="1033">
      <c r="A1033" s="4">
        <f>IFERROR(__xludf.DUMMYFUNCTION("""COMPUTED_VALUE"""),38.0)</f>
        <v>38</v>
      </c>
      <c r="B1033" s="4">
        <f>IFERROR(__xludf.DUMMYFUNCTION("""COMPUTED_VALUE"""),38.0)</f>
        <v>38</v>
      </c>
      <c r="C1033" s="4" t="str">
        <f>IFERROR(__xludf.DUMMYFUNCTION("""COMPUTED_VALUE"""),"NYK")</f>
        <v>NYK</v>
      </c>
      <c r="D1033" s="4" t="str">
        <f>IFERROR(__xludf.DUMMYFUNCTION("""COMPUTED_VALUE"""),"Andy Rautins")</f>
        <v>Andy Rautins</v>
      </c>
      <c r="E1033" s="4" t="str">
        <f>IFERROR(__xludf.DUMMYFUNCTION("""COMPUTED_VALUE"""),"Syracuse")</f>
        <v>Syracuse</v>
      </c>
      <c r="F1033" s="4">
        <f>IFERROR(__xludf.DUMMYFUNCTION("""COMPUTED_VALUE"""),1.0)</f>
        <v>1</v>
      </c>
      <c r="G1033" s="4">
        <f>IFERROR(__xludf.DUMMYFUNCTION("""COMPUTED_VALUE"""),5.0)</f>
        <v>5</v>
      </c>
      <c r="H1033" s="4">
        <f>IFERROR(__xludf.DUMMYFUNCTION("""COMPUTED_VALUE"""),24.0)</f>
        <v>24</v>
      </c>
      <c r="I1033" s="4">
        <f>IFERROR(__xludf.DUMMYFUNCTION("""COMPUTED_VALUE"""),8.0)</f>
        <v>8</v>
      </c>
      <c r="J1033" s="4">
        <f>IFERROR(__xludf.DUMMYFUNCTION("""COMPUTED_VALUE"""),1.0)</f>
        <v>1</v>
      </c>
      <c r="K1033" s="4">
        <f>IFERROR(__xludf.DUMMYFUNCTION("""COMPUTED_VALUE"""),3.0)</f>
        <v>3</v>
      </c>
      <c r="L1033" s="4">
        <f>IFERROR(__xludf.DUMMYFUNCTION("""COMPUTED_VALUE"""),0.429)</f>
        <v>0.429</v>
      </c>
      <c r="M1033" s="4">
        <f>IFERROR(__xludf.DUMMYFUNCTION("""COMPUTED_VALUE"""),0.25)</f>
        <v>0.25</v>
      </c>
      <c r="N1033" s="4">
        <f>IFERROR(__xludf.DUMMYFUNCTION("""COMPUTED_VALUE"""),0.5)</f>
        <v>0.5</v>
      </c>
      <c r="O1033" s="4">
        <f>IFERROR(__xludf.DUMMYFUNCTION("""COMPUTED_VALUE"""),4.8)</f>
        <v>4.8</v>
      </c>
      <c r="P1033" s="4">
        <f>IFERROR(__xludf.DUMMYFUNCTION("""COMPUTED_VALUE"""),1.6)</f>
        <v>1.6</v>
      </c>
      <c r="Q1033" s="4">
        <f>IFERROR(__xludf.DUMMYFUNCTION("""COMPUTED_VALUE"""),0.2)</f>
        <v>0.2</v>
      </c>
      <c r="R1033" s="4">
        <f>IFERROR(__xludf.DUMMYFUNCTION("""COMPUTED_VALUE"""),0.6)</f>
        <v>0.6</v>
      </c>
      <c r="S1033" s="4">
        <f>IFERROR(__xludf.DUMMYFUNCTION("""COMPUTED_VALUE"""),-0.2)</f>
        <v>-0.2</v>
      </c>
      <c r="T1033" s="4">
        <f>IFERROR(__xludf.DUMMYFUNCTION("""COMPUTED_VALUE"""),-0.314)</f>
        <v>-0.314</v>
      </c>
      <c r="U1033" s="4">
        <f>IFERROR(__xludf.DUMMYFUNCTION("""COMPUTED_VALUE"""),-13.2)</f>
        <v>-13.2</v>
      </c>
      <c r="V1033" s="4">
        <f>IFERROR(__xludf.DUMMYFUNCTION("""COMPUTED_VALUE"""),-0.1)</f>
        <v>-0.1</v>
      </c>
    </row>
    <row r="1034">
      <c r="A1034" s="4">
        <f>IFERROR(__xludf.DUMMYFUNCTION("""COMPUTED_VALUE"""),39.0)</f>
        <v>39</v>
      </c>
      <c r="B1034" s="4">
        <f>IFERROR(__xludf.DUMMYFUNCTION("""COMPUTED_VALUE"""),39.0)</f>
        <v>39</v>
      </c>
      <c r="C1034" s="4" t="str">
        <f>IFERROR(__xludf.DUMMYFUNCTION("""COMPUTED_VALUE"""),"NYK")</f>
        <v>NYK</v>
      </c>
      <c r="D1034" s="4" t="str">
        <f>IFERROR(__xludf.DUMMYFUNCTION("""COMPUTED_VALUE"""),"Landry Fields")</f>
        <v>Landry Fields</v>
      </c>
      <c r="E1034" s="4" t="str">
        <f>IFERROR(__xludf.DUMMYFUNCTION("""COMPUTED_VALUE"""),"Stanford")</f>
        <v>Stanford</v>
      </c>
      <c r="F1034" s="4">
        <f>IFERROR(__xludf.DUMMYFUNCTION("""COMPUTED_VALUE"""),5.0)</f>
        <v>5</v>
      </c>
      <c r="G1034" s="4">
        <f>IFERROR(__xludf.DUMMYFUNCTION("""COMPUTED_VALUE"""),255.0)</f>
        <v>255</v>
      </c>
      <c r="H1034" s="4">
        <f>IFERROR(__xludf.DUMMYFUNCTION("""COMPUTED_VALUE"""),6010.0)</f>
        <v>6010</v>
      </c>
      <c r="I1034" s="4">
        <f>IFERROR(__xludf.DUMMYFUNCTION("""COMPUTED_VALUE"""),1731.0)</f>
        <v>1731</v>
      </c>
      <c r="J1034" s="4">
        <f>IFERROR(__xludf.DUMMYFUNCTION("""COMPUTED_VALUE"""),1092.0)</f>
        <v>1092</v>
      </c>
      <c r="K1034" s="4">
        <f>IFERROR(__xludf.DUMMYFUNCTION("""COMPUTED_VALUE"""),419.0)</f>
        <v>419</v>
      </c>
      <c r="L1034" s="4">
        <f>IFERROR(__xludf.DUMMYFUNCTION("""COMPUTED_VALUE"""),0.473)</f>
        <v>0.473</v>
      </c>
      <c r="M1034" s="4">
        <f>IFERROR(__xludf.DUMMYFUNCTION("""COMPUTED_VALUE"""),0.332)</f>
        <v>0.332</v>
      </c>
      <c r="N1034" s="4">
        <f>IFERROR(__xludf.DUMMYFUNCTION("""COMPUTED_VALUE"""),0.666)</f>
        <v>0.666</v>
      </c>
      <c r="O1034" s="4">
        <f>IFERROR(__xludf.DUMMYFUNCTION("""COMPUTED_VALUE"""),23.6)</f>
        <v>23.6</v>
      </c>
      <c r="P1034" s="4">
        <f>IFERROR(__xludf.DUMMYFUNCTION("""COMPUTED_VALUE"""),6.8)</f>
        <v>6.8</v>
      </c>
      <c r="Q1034" s="4">
        <f>IFERROR(__xludf.DUMMYFUNCTION("""COMPUTED_VALUE"""),4.3)</f>
        <v>4.3</v>
      </c>
      <c r="R1034" s="4">
        <f>IFERROR(__xludf.DUMMYFUNCTION("""COMPUTED_VALUE"""),1.6)</f>
        <v>1.6</v>
      </c>
      <c r="S1034" s="4">
        <f>IFERROR(__xludf.DUMMYFUNCTION("""COMPUTED_VALUE"""),10.5)</f>
        <v>10.5</v>
      </c>
      <c r="T1034" s="4">
        <f>IFERROR(__xludf.DUMMYFUNCTION("""COMPUTED_VALUE"""),0.084)</f>
        <v>0.084</v>
      </c>
      <c r="U1034" s="4">
        <f>IFERROR(__xludf.DUMMYFUNCTION("""COMPUTED_VALUE"""),-0.3)</f>
        <v>-0.3</v>
      </c>
      <c r="V1034" s="4">
        <f>IFERROR(__xludf.DUMMYFUNCTION("""COMPUTED_VALUE"""),2.6)</f>
        <v>2.6</v>
      </c>
    </row>
    <row r="1035">
      <c r="A1035" s="4">
        <f>IFERROR(__xludf.DUMMYFUNCTION("""COMPUTED_VALUE"""),40.0)</f>
        <v>40</v>
      </c>
      <c r="B1035" s="4">
        <f>IFERROR(__xludf.DUMMYFUNCTION("""COMPUTED_VALUE"""),40.0)</f>
        <v>40</v>
      </c>
      <c r="C1035" s="4" t="str">
        <f>IFERROR(__xludf.DUMMYFUNCTION("""COMPUTED_VALUE"""),"IND")</f>
        <v>IND</v>
      </c>
      <c r="D1035" s="4" t="str">
        <f>IFERROR(__xludf.DUMMYFUNCTION("""COMPUTED_VALUE"""),"Lance Stephenson")</f>
        <v>Lance Stephenson</v>
      </c>
      <c r="E1035" s="4" t="str">
        <f>IFERROR(__xludf.DUMMYFUNCTION("""COMPUTED_VALUE"""),"Cincinnati")</f>
        <v>Cincinnati</v>
      </c>
      <c r="F1035" s="4">
        <f>IFERROR(__xludf.DUMMYFUNCTION("""COMPUTED_VALUE"""),10.0)</f>
        <v>10</v>
      </c>
      <c r="G1035" s="4">
        <f>IFERROR(__xludf.DUMMYFUNCTION("""COMPUTED_VALUE"""),554.0)</f>
        <v>554</v>
      </c>
      <c r="H1035" s="4">
        <f>IFERROR(__xludf.DUMMYFUNCTION("""COMPUTED_VALUE"""),12680.0)</f>
        <v>12680</v>
      </c>
      <c r="I1035" s="4">
        <f>IFERROR(__xludf.DUMMYFUNCTION("""COMPUTED_VALUE"""),4738.0)</f>
        <v>4738</v>
      </c>
      <c r="J1035" s="4">
        <f>IFERROR(__xludf.DUMMYFUNCTION("""COMPUTED_VALUE"""),2251.0)</f>
        <v>2251</v>
      </c>
      <c r="K1035" s="4">
        <f>IFERROR(__xludf.DUMMYFUNCTION("""COMPUTED_VALUE"""),1621.0)</f>
        <v>1621</v>
      </c>
      <c r="L1035" s="4">
        <f>IFERROR(__xludf.DUMMYFUNCTION("""COMPUTED_VALUE"""),0.445)</f>
        <v>0.445</v>
      </c>
      <c r="M1035" s="4">
        <f>IFERROR(__xludf.DUMMYFUNCTION("""COMPUTED_VALUE"""),0.314)</f>
        <v>0.314</v>
      </c>
      <c r="N1035" s="4">
        <f>IFERROR(__xludf.DUMMYFUNCTION("""COMPUTED_VALUE"""),0.694)</f>
        <v>0.694</v>
      </c>
      <c r="O1035" s="4">
        <f>IFERROR(__xludf.DUMMYFUNCTION("""COMPUTED_VALUE"""),22.9)</f>
        <v>22.9</v>
      </c>
      <c r="P1035" s="4">
        <f>IFERROR(__xludf.DUMMYFUNCTION("""COMPUTED_VALUE"""),8.6)</f>
        <v>8.6</v>
      </c>
      <c r="Q1035" s="4">
        <f>IFERROR(__xludf.DUMMYFUNCTION("""COMPUTED_VALUE"""),4.1)</f>
        <v>4.1</v>
      </c>
      <c r="R1035" s="4">
        <f>IFERROR(__xludf.DUMMYFUNCTION("""COMPUTED_VALUE"""),2.9)</f>
        <v>2.9</v>
      </c>
      <c r="S1035" s="4">
        <f>IFERROR(__xludf.DUMMYFUNCTION("""COMPUTED_VALUE"""),17.5)</f>
        <v>17.5</v>
      </c>
      <c r="T1035" s="4">
        <f>IFERROR(__xludf.DUMMYFUNCTION("""COMPUTED_VALUE"""),0.066)</f>
        <v>0.066</v>
      </c>
      <c r="U1035" s="4">
        <f>IFERROR(__xludf.DUMMYFUNCTION("""COMPUTED_VALUE"""),-1.3)</f>
        <v>-1.3</v>
      </c>
      <c r="V1035" s="4">
        <f>IFERROR(__xludf.DUMMYFUNCTION("""COMPUTED_VALUE"""),2.3)</f>
        <v>2.3</v>
      </c>
    </row>
    <row r="1036">
      <c r="A1036" s="4">
        <f>IFERROR(__xludf.DUMMYFUNCTION("""COMPUTED_VALUE"""),41.0)</f>
        <v>41</v>
      </c>
      <c r="B1036" s="4">
        <f>IFERROR(__xludf.DUMMYFUNCTION("""COMPUTED_VALUE"""),41.0)</f>
        <v>41</v>
      </c>
      <c r="C1036" s="4" t="str">
        <f>IFERROR(__xludf.DUMMYFUNCTION("""COMPUTED_VALUE"""),"MIA")</f>
        <v>MIA</v>
      </c>
      <c r="D1036" s="4" t="str">
        <f>IFERROR(__xludf.DUMMYFUNCTION("""COMPUTED_VALUE"""),"Jarvis Varnado")</f>
        <v>Jarvis Varnado</v>
      </c>
      <c r="E1036" s="4" t="str">
        <f>IFERROR(__xludf.DUMMYFUNCTION("""COMPUTED_VALUE"""),"Mississippi State")</f>
        <v>Mississippi State</v>
      </c>
      <c r="F1036" s="4">
        <f>IFERROR(__xludf.DUMMYFUNCTION("""COMPUTED_VALUE"""),2.0)</f>
        <v>2</v>
      </c>
      <c r="G1036" s="4">
        <f>IFERROR(__xludf.DUMMYFUNCTION("""COMPUTED_VALUE"""),37.0)</f>
        <v>37</v>
      </c>
      <c r="H1036" s="4">
        <f>IFERROR(__xludf.DUMMYFUNCTION("""COMPUTED_VALUE"""),397.0)</f>
        <v>397</v>
      </c>
      <c r="I1036" s="4">
        <f>IFERROR(__xludf.DUMMYFUNCTION("""COMPUTED_VALUE"""),107.0)</f>
        <v>107</v>
      </c>
      <c r="J1036" s="4">
        <f>IFERROR(__xludf.DUMMYFUNCTION("""COMPUTED_VALUE"""),72.0)</f>
        <v>72</v>
      </c>
      <c r="K1036" s="4">
        <f>IFERROR(__xludf.DUMMYFUNCTION("""COMPUTED_VALUE"""),16.0)</f>
        <v>16</v>
      </c>
      <c r="L1036" s="4">
        <f>IFERROR(__xludf.DUMMYFUNCTION("""COMPUTED_VALUE"""),0.582)</f>
        <v>0.582</v>
      </c>
      <c r="M1036" s="4"/>
      <c r="N1036" s="4">
        <f>IFERROR(__xludf.DUMMYFUNCTION("""COMPUTED_VALUE"""),0.518)</f>
        <v>0.518</v>
      </c>
      <c r="O1036" s="4">
        <f>IFERROR(__xludf.DUMMYFUNCTION("""COMPUTED_VALUE"""),10.7)</f>
        <v>10.7</v>
      </c>
      <c r="P1036" s="4">
        <f>IFERROR(__xludf.DUMMYFUNCTION("""COMPUTED_VALUE"""),2.9)</f>
        <v>2.9</v>
      </c>
      <c r="Q1036" s="4">
        <f>IFERROR(__xludf.DUMMYFUNCTION("""COMPUTED_VALUE"""),1.9)</f>
        <v>1.9</v>
      </c>
      <c r="R1036" s="4">
        <f>IFERROR(__xludf.DUMMYFUNCTION("""COMPUTED_VALUE"""),0.4)</f>
        <v>0.4</v>
      </c>
      <c r="S1036" s="4">
        <f>IFERROR(__xludf.DUMMYFUNCTION("""COMPUTED_VALUE"""),0.7)</f>
        <v>0.7</v>
      </c>
      <c r="T1036" s="4">
        <f>IFERROR(__xludf.DUMMYFUNCTION("""COMPUTED_VALUE"""),0.089)</f>
        <v>0.089</v>
      </c>
      <c r="U1036" s="4">
        <f>IFERROR(__xludf.DUMMYFUNCTION("""COMPUTED_VALUE"""),-3.3)</f>
        <v>-3.3</v>
      </c>
      <c r="V1036" s="4">
        <f>IFERROR(__xludf.DUMMYFUNCTION("""COMPUTED_VALUE"""),-0.1)</f>
        <v>-0.1</v>
      </c>
    </row>
    <row r="1037">
      <c r="A1037" s="4">
        <f>IFERROR(__xludf.DUMMYFUNCTION("""COMPUTED_VALUE"""),42.0)</f>
        <v>42</v>
      </c>
      <c r="B1037" s="4">
        <f>IFERROR(__xludf.DUMMYFUNCTION("""COMPUTED_VALUE"""),42.0)</f>
        <v>42</v>
      </c>
      <c r="C1037" s="4" t="str">
        <f>IFERROR(__xludf.DUMMYFUNCTION("""COMPUTED_VALUE"""),"MIA")</f>
        <v>MIA</v>
      </c>
      <c r="D1037" s="4" t="str">
        <f>IFERROR(__xludf.DUMMYFUNCTION("""COMPUTED_VALUE"""),"Da'Sean Butler")</f>
        <v>Da'Sean Butler</v>
      </c>
      <c r="E1037" s="4" t="str">
        <f>IFERROR(__xludf.DUMMYFUNCTION("""COMPUTED_VALUE"""),"West Virginia")</f>
        <v>West Virginia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>
      <c r="A1038" s="4">
        <f>IFERROR(__xludf.DUMMYFUNCTION("""COMPUTED_VALUE"""),43.0)</f>
        <v>43</v>
      </c>
      <c r="B1038" s="4">
        <f>IFERROR(__xludf.DUMMYFUNCTION("""COMPUTED_VALUE"""),43.0)</f>
        <v>43</v>
      </c>
      <c r="C1038" s="4" t="str">
        <f>IFERROR(__xludf.DUMMYFUNCTION("""COMPUTED_VALUE"""),"LAL")</f>
        <v>LAL</v>
      </c>
      <c r="D1038" s="4" t="str">
        <f>IFERROR(__xludf.DUMMYFUNCTION("""COMPUTED_VALUE"""),"Devin Ebanks")</f>
        <v>Devin Ebanks</v>
      </c>
      <c r="E1038" s="4" t="str">
        <f>IFERROR(__xludf.DUMMYFUNCTION("""COMPUTED_VALUE"""),"West Virginia")</f>
        <v>West Virginia</v>
      </c>
      <c r="F1038" s="4">
        <f>IFERROR(__xludf.DUMMYFUNCTION("""COMPUTED_VALUE"""),3.0)</f>
        <v>3</v>
      </c>
      <c r="G1038" s="4">
        <f>IFERROR(__xludf.DUMMYFUNCTION("""COMPUTED_VALUE"""),63.0)</f>
        <v>63</v>
      </c>
      <c r="H1038" s="4">
        <f>IFERROR(__xludf.DUMMYFUNCTION("""COMPUTED_VALUE"""),711.0)</f>
        <v>711</v>
      </c>
      <c r="I1038" s="4">
        <f>IFERROR(__xludf.DUMMYFUNCTION("""COMPUTED_VALUE"""),224.0)</f>
        <v>224</v>
      </c>
      <c r="J1038" s="4">
        <f>IFERROR(__xludf.DUMMYFUNCTION("""COMPUTED_VALUE"""),122.0)</f>
        <v>122</v>
      </c>
      <c r="K1038" s="4">
        <f>IFERROR(__xludf.DUMMYFUNCTION("""COMPUTED_VALUE"""),24.0)</f>
        <v>24</v>
      </c>
      <c r="L1038" s="4">
        <f>IFERROR(__xludf.DUMMYFUNCTION("""COMPUTED_VALUE"""),0.385)</f>
        <v>0.385</v>
      </c>
      <c r="M1038" s="4">
        <f>IFERROR(__xludf.DUMMYFUNCTION("""COMPUTED_VALUE"""),0.222)</f>
        <v>0.222</v>
      </c>
      <c r="N1038" s="4">
        <f>IFERROR(__xludf.DUMMYFUNCTION("""COMPUTED_VALUE"""),0.722)</f>
        <v>0.722</v>
      </c>
      <c r="O1038" s="4">
        <f>IFERROR(__xludf.DUMMYFUNCTION("""COMPUTED_VALUE"""),11.3)</f>
        <v>11.3</v>
      </c>
      <c r="P1038" s="4">
        <f>IFERROR(__xludf.DUMMYFUNCTION("""COMPUTED_VALUE"""),3.6)</f>
        <v>3.6</v>
      </c>
      <c r="Q1038" s="4">
        <f>IFERROR(__xludf.DUMMYFUNCTION("""COMPUTED_VALUE"""),1.9)</f>
        <v>1.9</v>
      </c>
      <c r="R1038" s="4">
        <f>IFERROR(__xludf.DUMMYFUNCTION("""COMPUTED_VALUE"""),0.4)</f>
        <v>0.4</v>
      </c>
      <c r="S1038" s="4">
        <f>IFERROR(__xludf.DUMMYFUNCTION("""COMPUTED_VALUE"""),0.5)</f>
        <v>0.5</v>
      </c>
      <c r="T1038" s="4">
        <f>IFERROR(__xludf.DUMMYFUNCTION("""COMPUTED_VALUE"""),0.035)</f>
        <v>0.035</v>
      </c>
      <c r="U1038" s="4">
        <f>IFERROR(__xludf.DUMMYFUNCTION("""COMPUTED_VALUE"""),-4.8)</f>
        <v>-4.8</v>
      </c>
      <c r="V1038" s="4">
        <f>IFERROR(__xludf.DUMMYFUNCTION("""COMPUTED_VALUE"""),-0.5)</f>
        <v>-0.5</v>
      </c>
    </row>
    <row r="1039">
      <c r="A1039" s="4">
        <f>IFERROR(__xludf.DUMMYFUNCTION("""COMPUTED_VALUE"""),44.0)</f>
        <v>44</v>
      </c>
      <c r="B1039" s="4">
        <f>IFERROR(__xludf.DUMMYFUNCTION("""COMPUTED_VALUE"""),44.0)</f>
        <v>44</v>
      </c>
      <c r="C1039" s="4" t="str">
        <f>IFERROR(__xludf.DUMMYFUNCTION("""COMPUTED_VALUE"""),"MIL")</f>
        <v>MIL</v>
      </c>
      <c r="D1039" s="4" t="str">
        <f>IFERROR(__xludf.DUMMYFUNCTION("""COMPUTED_VALUE"""),"Jerome Jordan")</f>
        <v>Jerome Jordan</v>
      </c>
      <c r="E1039" s="4" t="str">
        <f>IFERROR(__xludf.DUMMYFUNCTION("""COMPUTED_VALUE"""),"Tulsa")</f>
        <v>Tulsa</v>
      </c>
      <c r="F1039" s="4">
        <f>IFERROR(__xludf.DUMMYFUNCTION("""COMPUTED_VALUE"""),2.0)</f>
        <v>2</v>
      </c>
      <c r="G1039" s="4">
        <f>IFERROR(__xludf.DUMMYFUNCTION("""COMPUTED_VALUE"""),65.0)</f>
        <v>65</v>
      </c>
      <c r="H1039" s="4">
        <f>IFERROR(__xludf.DUMMYFUNCTION("""COMPUTED_VALUE"""),491.0)</f>
        <v>491</v>
      </c>
      <c r="I1039" s="4">
        <f>IFERROR(__xludf.DUMMYFUNCTION("""COMPUTED_VALUE"""),180.0)</f>
        <v>180</v>
      </c>
      <c r="J1039" s="4">
        <f>IFERROR(__xludf.DUMMYFUNCTION("""COMPUTED_VALUE"""),132.0)</f>
        <v>132</v>
      </c>
      <c r="K1039" s="4">
        <f>IFERROR(__xludf.DUMMYFUNCTION("""COMPUTED_VALUE"""),17.0)</f>
        <v>17</v>
      </c>
      <c r="L1039" s="4">
        <f>IFERROR(__xludf.DUMMYFUNCTION("""COMPUTED_VALUE"""),0.528)</f>
        <v>0.528</v>
      </c>
      <c r="M1039" s="4"/>
      <c r="N1039" s="4">
        <f>IFERROR(__xludf.DUMMYFUNCTION("""COMPUTED_VALUE"""),0.852)</f>
        <v>0.852</v>
      </c>
      <c r="O1039" s="4">
        <f>IFERROR(__xludf.DUMMYFUNCTION("""COMPUTED_VALUE"""),7.6)</f>
        <v>7.6</v>
      </c>
      <c r="P1039" s="4">
        <f>IFERROR(__xludf.DUMMYFUNCTION("""COMPUTED_VALUE"""),2.8)</f>
        <v>2.8</v>
      </c>
      <c r="Q1039" s="4">
        <f>IFERROR(__xludf.DUMMYFUNCTION("""COMPUTED_VALUE"""),2.0)</f>
        <v>2</v>
      </c>
      <c r="R1039" s="4">
        <f>IFERROR(__xludf.DUMMYFUNCTION("""COMPUTED_VALUE"""),0.3)</f>
        <v>0.3</v>
      </c>
      <c r="S1039" s="4">
        <f>IFERROR(__xludf.DUMMYFUNCTION("""COMPUTED_VALUE"""),1.7)</f>
        <v>1.7</v>
      </c>
      <c r="T1039" s="4">
        <f>IFERROR(__xludf.DUMMYFUNCTION("""COMPUTED_VALUE"""),0.168)</f>
        <v>0.168</v>
      </c>
      <c r="U1039" s="4">
        <f>IFERROR(__xludf.DUMMYFUNCTION("""COMPUTED_VALUE"""),-1.0)</f>
        <v>-1</v>
      </c>
      <c r="V1039" s="4">
        <f>IFERROR(__xludf.DUMMYFUNCTION("""COMPUTED_VALUE"""),0.1)</f>
        <v>0.1</v>
      </c>
    </row>
    <row r="1040">
      <c r="A1040" s="4">
        <f>IFERROR(__xludf.DUMMYFUNCTION("""COMPUTED_VALUE"""),45.0)</f>
        <v>45</v>
      </c>
      <c r="B1040" s="4">
        <f>IFERROR(__xludf.DUMMYFUNCTION("""COMPUTED_VALUE"""),45.0)</f>
        <v>45</v>
      </c>
      <c r="C1040" s="4" t="str">
        <f>IFERROR(__xludf.DUMMYFUNCTION("""COMPUTED_VALUE"""),"MIN")</f>
        <v>MIN</v>
      </c>
      <c r="D1040" s="4" t="str">
        <f>IFERROR(__xludf.DUMMYFUNCTION("""COMPUTED_VALUE"""),"Paulão Prestes")</f>
        <v>Paulão Prestes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>
      <c r="A1041" s="4">
        <f>IFERROR(__xludf.DUMMYFUNCTION("""COMPUTED_VALUE"""),46.0)</f>
        <v>46</v>
      </c>
      <c r="B1041" s="4">
        <f>IFERROR(__xludf.DUMMYFUNCTION("""COMPUTED_VALUE"""),46.0)</f>
        <v>46</v>
      </c>
      <c r="C1041" s="4" t="str">
        <f>IFERROR(__xludf.DUMMYFUNCTION("""COMPUTED_VALUE"""),"PHO")</f>
        <v>PHO</v>
      </c>
      <c r="D1041" s="4" t="str">
        <f>IFERROR(__xludf.DUMMYFUNCTION("""COMPUTED_VALUE"""),"Gani Lawal")</f>
        <v>Gani Lawal</v>
      </c>
      <c r="E1041" s="4" t="str">
        <f>IFERROR(__xludf.DUMMYFUNCTION("""COMPUTED_VALUE"""),"Georgia Tech")</f>
        <v>Georgia Tech</v>
      </c>
      <c r="F1041" s="4">
        <f>IFERROR(__xludf.DUMMYFUNCTION("""COMPUTED_VALUE"""),1.0)</f>
        <v>1</v>
      </c>
      <c r="G1041" s="4">
        <f>IFERROR(__xludf.DUMMYFUNCTION("""COMPUTED_VALUE"""),1.0)</f>
        <v>1</v>
      </c>
      <c r="H1041" s="4">
        <f>IFERROR(__xludf.DUMMYFUNCTION("""COMPUTED_VALUE"""),2.0)</f>
        <v>2</v>
      </c>
      <c r="I1041" s="4">
        <f>IFERROR(__xludf.DUMMYFUNCTION("""COMPUTED_VALUE"""),0.0)</f>
        <v>0</v>
      </c>
      <c r="J1041" s="4">
        <f>IFERROR(__xludf.DUMMYFUNCTION("""COMPUTED_VALUE"""),0.0)</f>
        <v>0</v>
      </c>
      <c r="K1041" s="4">
        <f>IFERROR(__xludf.DUMMYFUNCTION("""COMPUTED_VALUE"""),0.0)</f>
        <v>0</v>
      </c>
      <c r="L1041" s="4"/>
      <c r="M1041" s="4"/>
      <c r="N1041" s="4"/>
      <c r="O1041" s="4">
        <f>IFERROR(__xludf.DUMMYFUNCTION("""COMPUTED_VALUE"""),2.0)</f>
        <v>2</v>
      </c>
      <c r="P1041" s="4">
        <f>IFERROR(__xludf.DUMMYFUNCTION("""COMPUTED_VALUE"""),0.0)</f>
        <v>0</v>
      </c>
      <c r="Q1041" s="4">
        <f>IFERROR(__xludf.DUMMYFUNCTION("""COMPUTED_VALUE"""),0.0)</f>
        <v>0</v>
      </c>
      <c r="R1041" s="4">
        <f>IFERROR(__xludf.DUMMYFUNCTION("""COMPUTED_VALUE"""),0.0)</f>
        <v>0</v>
      </c>
      <c r="S1041" s="4">
        <f>IFERROR(__xludf.DUMMYFUNCTION("""COMPUTED_VALUE"""),0.0)</f>
        <v>0</v>
      </c>
      <c r="T1041" s="4">
        <f>IFERROR(__xludf.DUMMYFUNCTION("""COMPUTED_VALUE"""),-0.009)</f>
        <v>-0.009</v>
      </c>
      <c r="U1041" s="4">
        <f>IFERROR(__xludf.DUMMYFUNCTION("""COMPUTED_VALUE"""),-15.0)</f>
        <v>-15</v>
      </c>
      <c r="V1041" s="4">
        <f>IFERROR(__xludf.DUMMYFUNCTION("""COMPUTED_VALUE"""),0.0)</f>
        <v>0</v>
      </c>
    </row>
    <row r="1042">
      <c r="A1042" s="4">
        <f>IFERROR(__xludf.DUMMYFUNCTION("""COMPUTED_VALUE"""),47.0)</f>
        <v>47</v>
      </c>
      <c r="B1042" s="4">
        <f>IFERROR(__xludf.DUMMYFUNCTION("""COMPUTED_VALUE"""),47.0)</f>
        <v>47</v>
      </c>
      <c r="C1042" s="4" t="str">
        <f>IFERROR(__xludf.DUMMYFUNCTION("""COMPUTED_VALUE"""),"MIL")</f>
        <v>MIL</v>
      </c>
      <c r="D1042" s="4" t="str">
        <f>IFERROR(__xludf.DUMMYFUNCTION("""COMPUTED_VALUE"""),"Tiny Gallon")</f>
        <v>Tiny Gallon</v>
      </c>
      <c r="E1042" s="4" t="str">
        <f>IFERROR(__xludf.DUMMYFUNCTION("""COMPUTED_VALUE"""),"Oklahoma")</f>
        <v>Oklahoma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>
      <c r="A1043" s="4">
        <f>IFERROR(__xludf.DUMMYFUNCTION("""COMPUTED_VALUE"""),48.0)</f>
        <v>48</v>
      </c>
      <c r="B1043" s="4">
        <f>IFERROR(__xludf.DUMMYFUNCTION("""COMPUTED_VALUE"""),48.0)</f>
        <v>48</v>
      </c>
      <c r="C1043" s="4" t="str">
        <f>IFERROR(__xludf.DUMMYFUNCTION("""COMPUTED_VALUE"""),"MIA")</f>
        <v>MIA</v>
      </c>
      <c r="D1043" s="4" t="str">
        <f>IFERROR(__xludf.DUMMYFUNCTION("""COMPUTED_VALUE"""),"Latavious Williams")</f>
        <v>Latavious Williams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>
      <c r="A1044" s="4">
        <f>IFERROR(__xludf.DUMMYFUNCTION("""COMPUTED_VALUE"""),49.0)</f>
        <v>49</v>
      </c>
      <c r="B1044" s="4">
        <f>IFERROR(__xludf.DUMMYFUNCTION("""COMPUTED_VALUE"""),49.0)</f>
        <v>49</v>
      </c>
      <c r="C1044" s="4" t="str">
        <f>IFERROR(__xludf.DUMMYFUNCTION("""COMPUTED_VALUE"""),"SAS")</f>
        <v>SAS</v>
      </c>
      <c r="D1044" s="4" t="str">
        <f>IFERROR(__xludf.DUMMYFUNCTION("""COMPUTED_VALUE"""),"Ryan Richards")</f>
        <v>Ryan Richards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>
      <c r="A1045" s="4">
        <f>IFERROR(__xludf.DUMMYFUNCTION("""COMPUTED_VALUE"""),50.0)</f>
        <v>50</v>
      </c>
      <c r="B1045" s="4">
        <f>IFERROR(__xludf.DUMMYFUNCTION("""COMPUTED_VALUE"""),50.0)</f>
        <v>50</v>
      </c>
      <c r="C1045" s="4" t="str">
        <f>IFERROR(__xludf.DUMMYFUNCTION("""COMPUTED_VALUE"""),"DAL")</f>
        <v>DAL</v>
      </c>
      <c r="D1045" s="4" t="str">
        <f>IFERROR(__xludf.DUMMYFUNCTION("""COMPUTED_VALUE"""),"Solomon Alabi")</f>
        <v>Solomon Alabi</v>
      </c>
      <c r="E1045" s="4" t="str">
        <f>IFERROR(__xludf.DUMMYFUNCTION("""COMPUTED_VALUE"""),"Florida State")</f>
        <v>Florida State</v>
      </c>
      <c r="F1045" s="4">
        <f>IFERROR(__xludf.DUMMYFUNCTION("""COMPUTED_VALUE"""),2.0)</f>
        <v>2</v>
      </c>
      <c r="G1045" s="4">
        <f>IFERROR(__xludf.DUMMYFUNCTION("""COMPUTED_VALUE"""),26.0)</f>
        <v>26</v>
      </c>
      <c r="H1045" s="4">
        <f>IFERROR(__xludf.DUMMYFUNCTION("""COMPUTED_VALUE"""),181.0)</f>
        <v>181</v>
      </c>
      <c r="I1045" s="4">
        <f>IFERROR(__xludf.DUMMYFUNCTION("""COMPUTED_VALUE"""),39.0)</f>
        <v>39</v>
      </c>
      <c r="J1045" s="4">
        <f>IFERROR(__xludf.DUMMYFUNCTION("""COMPUTED_VALUE"""),61.0)</f>
        <v>61</v>
      </c>
      <c r="K1045" s="4">
        <f>IFERROR(__xludf.DUMMYFUNCTION("""COMPUTED_VALUE"""),5.0)</f>
        <v>5</v>
      </c>
      <c r="L1045" s="4">
        <f>IFERROR(__xludf.DUMMYFUNCTION("""COMPUTED_VALUE"""),0.314)</f>
        <v>0.314</v>
      </c>
      <c r="M1045" s="4"/>
      <c r="N1045" s="4">
        <f>IFERROR(__xludf.DUMMYFUNCTION("""COMPUTED_VALUE"""),0.7)</f>
        <v>0.7</v>
      </c>
      <c r="O1045" s="4">
        <f>IFERROR(__xludf.DUMMYFUNCTION("""COMPUTED_VALUE"""),7.0)</f>
        <v>7</v>
      </c>
      <c r="P1045" s="4">
        <f>IFERROR(__xludf.DUMMYFUNCTION("""COMPUTED_VALUE"""),1.5)</f>
        <v>1.5</v>
      </c>
      <c r="Q1045" s="4">
        <f>IFERROR(__xludf.DUMMYFUNCTION("""COMPUTED_VALUE"""),2.3)</f>
        <v>2.3</v>
      </c>
      <c r="R1045" s="4">
        <f>IFERROR(__xludf.DUMMYFUNCTION("""COMPUTED_VALUE"""),0.2)</f>
        <v>0.2</v>
      </c>
      <c r="S1045" s="4">
        <f>IFERROR(__xludf.DUMMYFUNCTION("""COMPUTED_VALUE"""),0.0)</f>
        <v>0</v>
      </c>
      <c r="T1045" s="4">
        <f>IFERROR(__xludf.DUMMYFUNCTION("""COMPUTED_VALUE"""),0.01)</f>
        <v>0.01</v>
      </c>
      <c r="U1045" s="4">
        <f>IFERROR(__xludf.DUMMYFUNCTION("""COMPUTED_VALUE"""),-4.4)</f>
        <v>-4.4</v>
      </c>
      <c r="V1045" s="4">
        <f>IFERROR(__xludf.DUMMYFUNCTION("""COMPUTED_VALUE"""),-0.1)</f>
        <v>-0.1</v>
      </c>
    </row>
    <row r="1046">
      <c r="A1046" s="4">
        <f>IFERROR(__xludf.DUMMYFUNCTION("""COMPUTED_VALUE"""),51.0)</f>
        <v>51</v>
      </c>
      <c r="B1046" s="4">
        <f>IFERROR(__xludf.DUMMYFUNCTION("""COMPUTED_VALUE"""),51.0)</f>
        <v>51</v>
      </c>
      <c r="C1046" s="4" t="str">
        <f>IFERROR(__xludf.DUMMYFUNCTION("""COMPUTED_VALUE"""),"OKC")</f>
        <v>OKC</v>
      </c>
      <c r="D1046" s="4" t="str">
        <f>IFERROR(__xludf.DUMMYFUNCTION("""COMPUTED_VALUE"""),"Magnum Rolle")</f>
        <v>Magnum Rolle</v>
      </c>
      <c r="E1046" s="4" t="str">
        <f>IFERROR(__xludf.DUMMYFUNCTION("""COMPUTED_VALUE"""),"Louisiana Tech")</f>
        <v>Louisiana Tech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>
      <c r="A1047" s="4">
        <f>IFERROR(__xludf.DUMMYFUNCTION("""COMPUTED_VALUE"""),52.0)</f>
        <v>52</v>
      </c>
      <c r="B1047" s="4">
        <f>IFERROR(__xludf.DUMMYFUNCTION("""COMPUTED_VALUE"""),52.0)</f>
        <v>52</v>
      </c>
      <c r="C1047" s="4" t="str">
        <f>IFERROR(__xludf.DUMMYFUNCTION("""COMPUTED_VALUE"""),"BOS")</f>
        <v>BOS</v>
      </c>
      <c r="D1047" s="4" t="str">
        <f>IFERROR(__xludf.DUMMYFUNCTION("""COMPUTED_VALUE"""),"Luke Harangody")</f>
        <v>Luke Harangody</v>
      </c>
      <c r="E1047" s="4" t="str">
        <f>IFERROR(__xludf.DUMMYFUNCTION("""COMPUTED_VALUE"""),"Notre Dame")</f>
        <v>Notre Dame</v>
      </c>
      <c r="F1047" s="4">
        <f>IFERROR(__xludf.DUMMYFUNCTION("""COMPUTED_VALUE"""),2.0)</f>
        <v>2</v>
      </c>
      <c r="G1047" s="4">
        <f>IFERROR(__xludf.DUMMYFUNCTION("""COMPUTED_VALUE"""),70.0)</f>
        <v>70</v>
      </c>
      <c r="H1047" s="4">
        <f>IFERROR(__xludf.DUMMYFUNCTION("""COMPUTED_VALUE"""),871.0)</f>
        <v>871</v>
      </c>
      <c r="I1047" s="4">
        <f>IFERROR(__xludf.DUMMYFUNCTION("""COMPUTED_VALUE"""),253.0)</f>
        <v>253</v>
      </c>
      <c r="J1047" s="4">
        <f>IFERROR(__xludf.DUMMYFUNCTION("""COMPUTED_VALUE"""),196.0)</f>
        <v>196</v>
      </c>
      <c r="K1047" s="4">
        <f>IFERROR(__xludf.DUMMYFUNCTION("""COMPUTED_VALUE"""),36.0)</f>
        <v>36</v>
      </c>
      <c r="L1047" s="4">
        <f>IFERROR(__xludf.DUMMYFUNCTION("""COMPUTED_VALUE"""),0.376)</f>
        <v>0.376</v>
      </c>
      <c r="M1047" s="4">
        <f>IFERROR(__xludf.DUMMYFUNCTION("""COMPUTED_VALUE"""),0.241)</f>
        <v>0.241</v>
      </c>
      <c r="N1047" s="4">
        <f>IFERROR(__xludf.DUMMYFUNCTION("""COMPUTED_VALUE"""),0.737)</f>
        <v>0.737</v>
      </c>
      <c r="O1047" s="4">
        <f>IFERROR(__xludf.DUMMYFUNCTION("""COMPUTED_VALUE"""),12.4)</f>
        <v>12.4</v>
      </c>
      <c r="P1047" s="4">
        <f>IFERROR(__xludf.DUMMYFUNCTION("""COMPUTED_VALUE"""),3.6)</f>
        <v>3.6</v>
      </c>
      <c r="Q1047" s="4">
        <f>IFERROR(__xludf.DUMMYFUNCTION("""COMPUTED_VALUE"""),2.8)</f>
        <v>2.8</v>
      </c>
      <c r="R1047" s="4">
        <f>IFERROR(__xludf.DUMMYFUNCTION("""COMPUTED_VALUE"""),0.5)</f>
        <v>0.5</v>
      </c>
      <c r="S1047" s="4">
        <f>IFERROR(__xludf.DUMMYFUNCTION("""COMPUTED_VALUE"""),0.9)</f>
        <v>0.9</v>
      </c>
      <c r="T1047" s="4">
        <f>IFERROR(__xludf.DUMMYFUNCTION("""COMPUTED_VALUE"""),0.048)</f>
        <v>0.048</v>
      </c>
      <c r="U1047" s="4">
        <f>IFERROR(__xludf.DUMMYFUNCTION("""COMPUTED_VALUE"""),-3.5)</f>
        <v>-3.5</v>
      </c>
      <c r="V1047" s="4">
        <f>IFERROR(__xludf.DUMMYFUNCTION("""COMPUTED_VALUE"""),-0.3)</f>
        <v>-0.3</v>
      </c>
    </row>
    <row r="1048">
      <c r="A1048" s="4">
        <f>IFERROR(__xludf.DUMMYFUNCTION("""COMPUTED_VALUE"""),53.0)</f>
        <v>53</v>
      </c>
      <c r="B1048" s="4">
        <f>IFERROR(__xludf.DUMMYFUNCTION("""COMPUTED_VALUE"""),53.0)</f>
        <v>53</v>
      </c>
      <c r="C1048" s="4" t="str">
        <f>IFERROR(__xludf.DUMMYFUNCTION("""COMPUTED_VALUE"""),"ATL")</f>
        <v>ATL</v>
      </c>
      <c r="D1048" s="4" t="str">
        <f>IFERROR(__xludf.DUMMYFUNCTION("""COMPUTED_VALUE"""),"Pape Sy")</f>
        <v>Pape Sy</v>
      </c>
      <c r="E1048" s="4"/>
      <c r="F1048" s="4">
        <f>IFERROR(__xludf.DUMMYFUNCTION("""COMPUTED_VALUE"""),1.0)</f>
        <v>1</v>
      </c>
      <c r="G1048" s="4">
        <f>IFERROR(__xludf.DUMMYFUNCTION("""COMPUTED_VALUE"""),3.0)</f>
        <v>3</v>
      </c>
      <c r="H1048" s="4">
        <f>IFERROR(__xludf.DUMMYFUNCTION("""COMPUTED_VALUE"""),21.0)</f>
        <v>21</v>
      </c>
      <c r="I1048" s="4">
        <f>IFERROR(__xludf.DUMMYFUNCTION("""COMPUTED_VALUE"""),7.0)</f>
        <v>7</v>
      </c>
      <c r="J1048" s="4">
        <f>IFERROR(__xludf.DUMMYFUNCTION("""COMPUTED_VALUE"""),3.0)</f>
        <v>3</v>
      </c>
      <c r="K1048" s="4">
        <f>IFERROR(__xludf.DUMMYFUNCTION("""COMPUTED_VALUE"""),2.0)</f>
        <v>2</v>
      </c>
      <c r="L1048" s="4">
        <f>IFERROR(__xludf.DUMMYFUNCTION("""COMPUTED_VALUE"""),0.333)</f>
        <v>0.333</v>
      </c>
      <c r="M1048" s="4">
        <f>IFERROR(__xludf.DUMMYFUNCTION("""COMPUTED_VALUE"""),0.0)</f>
        <v>0</v>
      </c>
      <c r="N1048" s="4">
        <f>IFERROR(__xludf.DUMMYFUNCTION("""COMPUTED_VALUE"""),1.0)</f>
        <v>1</v>
      </c>
      <c r="O1048" s="4">
        <f>IFERROR(__xludf.DUMMYFUNCTION("""COMPUTED_VALUE"""),7.0)</f>
        <v>7</v>
      </c>
      <c r="P1048" s="4">
        <f>IFERROR(__xludf.DUMMYFUNCTION("""COMPUTED_VALUE"""),2.3)</f>
        <v>2.3</v>
      </c>
      <c r="Q1048" s="4">
        <f>IFERROR(__xludf.DUMMYFUNCTION("""COMPUTED_VALUE"""),1.0)</f>
        <v>1</v>
      </c>
      <c r="R1048" s="4">
        <f>IFERROR(__xludf.DUMMYFUNCTION("""COMPUTED_VALUE"""),0.7)</f>
        <v>0.7</v>
      </c>
      <c r="S1048" s="4">
        <f>IFERROR(__xludf.DUMMYFUNCTION("""COMPUTED_VALUE"""),0.0)</f>
        <v>0</v>
      </c>
      <c r="T1048" s="4">
        <f>IFERROR(__xludf.DUMMYFUNCTION("""COMPUTED_VALUE"""),-0.047)</f>
        <v>-0.047</v>
      </c>
      <c r="U1048" s="4">
        <f>IFERROR(__xludf.DUMMYFUNCTION("""COMPUTED_VALUE"""),-6.0)</f>
        <v>-6</v>
      </c>
      <c r="V1048" s="4">
        <f>IFERROR(__xludf.DUMMYFUNCTION("""COMPUTED_VALUE"""),0.0)</f>
        <v>0</v>
      </c>
    </row>
    <row r="1049">
      <c r="A1049" s="4">
        <f>IFERROR(__xludf.DUMMYFUNCTION("""COMPUTED_VALUE"""),54.0)</f>
        <v>54</v>
      </c>
      <c r="B1049" s="4">
        <f>IFERROR(__xludf.DUMMYFUNCTION("""COMPUTED_VALUE"""),54.0)</f>
        <v>54</v>
      </c>
      <c r="C1049" s="4" t="str">
        <f>IFERROR(__xludf.DUMMYFUNCTION("""COMPUTED_VALUE"""),"LAC")</f>
        <v>LAC</v>
      </c>
      <c r="D1049" s="4" t="str">
        <f>IFERROR(__xludf.DUMMYFUNCTION("""COMPUTED_VALUE"""),"Willie Warren")</f>
        <v>Willie Warren</v>
      </c>
      <c r="E1049" s="4" t="str">
        <f>IFERROR(__xludf.DUMMYFUNCTION("""COMPUTED_VALUE"""),"Oklahoma")</f>
        <v>Oklahoma</v>
      </c>
      <c r="F1049" s="4">
        <f>IFERROR(__xludf.DUMMYFUNCTION("""COMPUTED_VALUE"""),1.0)</f>
        <v>1</v>
      </c>
      <c r="G1049" s="4">
        <f>IFERROR(__xludf.DUMMYFUNCTION("""COMPUTED_VALUE"""),19.0)</f>
        <v>19</v>
      </c>
      <c r="H1049" s="4">
        <f>IFERROR(__xludf.DUMMYFUNCTION("""COMPUTED_VALUE"""),134.0)</f>
        <v>134</v>
      </c>
      <c r="I1049" s="4">
        <f>IFERROR(__xludf.DUMMYFUNCTION("""COMPUTED_VALUE"""),37.0)</f>
        <v>37</v>
      </c>
      <c r="J1049" s="4">
        <f>IFERROR(__xludf.DUMMYFUNCTION("""COMPUTED_VALUE"""),12.0)</f>
        <v>12</v>
      </c>
      <c r="K1049" s="4">
        <f>IFERROR(__xludf.DUMMYFUNCTION("""COMPUTED_VALUE"""),27.0)</f>
        <v>27</v>
      </c>
      <c r="L1049" s="4">
        <f>IFERROR(__xludf.DUMMYFUNCTION("""COMPUTED_VALUE"""),0.371)</f>
        <v>0.371</v>
      </c>
      <c r="M1049" s="4">
        <f>IFERROR(__xludf.DUMMYFUNCTION("""COMPUTED_VALUE"""),0.333)</f>
        <v>0.333</v>
      </c>
      <c r="N1049" s="4">
        <f>IFERROR(__xludf.DUMMYFUNCTION("""COMPUTED_VALUE"""),0.75)</f>
        <v>0.75</v>
      </c>
      <c r="O1049" s="4">
        <f>IFERROR(__xludf.DUMMYFUNCTION("""COMPUTED_VALUE"""),7.1)</f>
        <v>7.1</v>
      </c>
      <c r="P1049" s="4">
        <f>IFERROR(__xludf.DUMMYFUNCTION("""COMPUTED_VALUE"""),1.9)</f>
        <v>1.9</v>
      </c>
      <c r="Q1049" s="4">
        <f>IFERROR(__xludf.DUMMYFUNCTION("""COMPUTED_VALUE"""),0.6)</f>
        <v>0.6</v>
      </c>
      <c r="R1049" s="4">
        <f>IFERROR(__xludf.DUMMYFUNCTION("""COMPUTED_VALUE"""),1.4)</f>
        <v>1.4</v>
      </c>
      <c r="S1049" s="4">
        <f>IFERROR(__xludf.DUMMYFUNCTION("""COMPUTED_VALUE"""),0.2)</f>
        <v>0.2</v>
      </c>
      <c r="T1049" s="4">
        <f>IFERROR(__xludf.DUMMYFUNCTION("""COMPUTED_VALUE"""),0.065)</f>
        <v>0.065</v>
      </c>
      <c r="U1049" s="4">
        <f>IFERROR(__xludf.DUMMYFUNCTION("""COMPUTED_VALUE"""),-2.7)</f>
        <v>-2.7</v>
      </c>
      <c r="V1049" s="4">
        <f>IFERROR(__xludf.DUMMYFUNCTION("""COMPUTED_VALUE"""),0.0)</f>
        <v>0</v>
      </c>
    </row>
    <row r="1050">
      <c r="A1050" s="4">
        <f>IFERROR(__xludf.DUMMYFUNCTION("""COMPUTED_VALUE"""),55.0)</f>
        <v>55</v>
      </c>
      <c r="B1050" s="4">
        <f>IFERROR(__xludf.DUMMYFUNCTION("""COMPUTED_VALUE"""),55.0)</f>
        <v>55</v>
      </c>
      <c r="C1050" s="4" t="str">
        <f>IFERROR(__xludf.DUMMYFUNCTION("""COMPUTED_VALUE"""),"UTA")</f>
        <v>UTA</v>
      </c>
      <c r="D1050" s="4" t="str">
        <f>IFERROR(__xludf.DUMMYFUNCTION("""COMPUTED_VALUE"""),"Jeremy Evans")</f>
        <v>Jeremy Evans</v>
      </c>
      <c r="E1050" s="4" t="str">
        <f>IFERROR(__xludf.DUMMYFUNCTION("""COMPUTED_VALUE"""),"Western Kentucky")</f>
        <v>Western Kentucky</v>
      </c>
      <c r="F1050" s="4">
        <f>IFERROR(__xludf.DUMMYFUNCTION("""COMPUTED_VALUE"""),7.0)</f>
        <v>7</v>
      </c>
      <c r="G1050" s="4">
        <f>IFERROR(__xludf.DUMMYFUNCTION("""COMPUTED_VALUE"""),250.0)</f>
        <v>250</v>
      </c>
      <c r="H1050" s="4">
        <f>IFERROR(__xludf.DUMMYFUNCTION("""COMPUTED_VALUE"""),2626.0)</f>
        <v>2626</v>
      </c>
      <c r="I1050" s="4">
        <f>IFERROR(__xludf.DUMMYFUNCTION("""COMPUTED_VALUE"""),879.0)</f>
        <v>879</v>
      </c>
      <c r="J1050" s="4">
        <f>IFERROR(__xludf.DUMMYFUNCTION("""COMPUTED_VALUE"""),641.0)</f>
        <v>641</v>
      </c>
      <c r="K1050" s="4">
        <f>IFERROR(__xludf.DUMMYFUNCTION("""COMPUTED_VALUE"""),107.0)</f>
        <v>107</v>
      </c>
      <c r="L1050" s="4">
        <f>IFERROR(__xludf.DUMMYFUNCTION("""COMPUTED_VALUE"""),0.569)</f>
        <v>0.569</v>
      </c>
      <c r="M1050" s="4">
        <f>IFERROR(__xludf.DUMMYFUNCTION("""COMPUTED_VALUE"""),0.231)</f>
        <v>0.231</v>
      </c>
      <c r="N1050" s="4">
        <f>IFERROR(__xludf.DUMMYFUNCTION("""COMPUTED_VALUE"""),0.687)</f>
        <v>0.687</v>
      </c>
      <c r="O1050" s="4">
        <f>IFERROR(__xludf.DUMMYFUNCTION("""COMPUTED_VALUE"""),10.5)</f>
        <v>10.5</v>
      </c>
      <c r="P1050" s="4">
        <f>IFERROR(__xludf.DUMMYFUNCTION("""COMPUTED_VALUE"""),3.5)</f>
        <v>3.5</v>
      </c>
      <c r="Q1050" s="4">
        <f>IFERROR(__xludf.DUMMYFUNCTION("""COMPUTED_VALUE"""),2.6)</f>
        <v>2.6</v>
      </c>
      <c r="R1050" s="4">
        <f>IFERROR(__xludf.DUMMYFUNCTION("""COMPUTED_VALUE"""),0.4)</f>
        <v>0.4</v>
      </c>
      <c r="S1050" s="4">
        <f>IFERROR(__xludf.DUMMYFUNCTION("""COMPUTED_VALUE"""),8.2)</f>
        <v>8.2</v>
      </c>
      <c r="T1050" s="4">
        <f>IFERROR(__xludf.DUMMYFUNCTION("""COMPUTED_VALUE"""),0.15)</f>
        <v>0.15</v>
      </c>
      <c r="U1050" s="4">
        <f>IFERROR(__xludf.DUMMYFUNCTION("""COMPUTED_VALUE"""),0.9)</f>
        <v>0.9</v>
      </c>
      <c r="V1050" s="4">
        <f>IFERROR(__xludf.DUMMYFUNCTION("""COMPUTED_VALUE"""),1.9)</f>
        <v>1.9</v>
      </c>
    </row>
    <row r="1051">
      <c r="A1051" s="4">
        <f>IFERROR(__xludf.DUMMYFUNCTION("""COMPUTED_VALUE"""),56.0)</f>
        <v>56</v>
      </c>
      <c r="B1051" s="4">
        <f>IFERROR(__xludf.DUMMYFUNCTION("""COMPUTED_VALUE"""),56.0)</f>
        <v>56</v>
      </c>
      <c r="C1051" s="4" t="str">
        <f>IFERROR(__xludf.DUMMYFUNCTION("""COMPUTED_VALUE"""),"MIN")</f>
        <v>MIN</v>
      </c>
      <c r="D1051" s="4" t="str">
        <f>IFERROR(__xludf.DUMMYFUNCTION("""COMPUTED_VALUE"""),"Hamady N'Diaye")</f>
        <v>Hamady N'Diaye</v>
      </c>
      <c r="E1051" s="4" t="str">
        <f>IFERROR(__xludf.DUMMYFUNCTION("""COMPUTED_VALUE"""),"Rutgers University")</f>
        <v>Rutgers University</v>
      </c>
      <c r="F1051" s="4">
        <f>IFERROR(__xludf.DUMMYFUNCTION("""COMPUTED_VALUE"""),3.0)</f>
        <v>3</v>
      </c>
      <c r="G1051" s="4">
        <f>IFERROR(__xludf.DUMMYFUNCTION("""COMPUTED_VALUE"""),33.0)</f>
        <v>33</v>
      </c>
      <c r="H1051" s="4">
        <f>IFERROR(__xludf.DUMMYFUNCTION("""COMPUTED_VALUE"""),157.0)</f>
        <v>157</v>
      </c>
      <c r="I1051" s="4">
        <f>IFERROR(__xludf.DUMMYFUNCTION("""COMPUTED_VALUE"""),20.0)</f>
        <v>20</v>
      </c>
      <c r="J1051" s="4">
        <f>IFERROR(__xludf.DUMMYFUNCTION("""COMPUTED_VALUE"""),25.0)</f>
        <v>25</v>
      </c>
      <c r="K1051" s="4">
        <f>IFERROR(__xludf.DUMMYFUNCTION("""COMPUTED_VALUE"""),3.0)</f>
        <v>3</v>
      </c>
      <c r="L1051" s="4">
        <f>IFERROR(__xludf.DUMMYFUNCTION("""COMPUTED_VALUE"""),0.467)</f>
        <v>0.467</v>
      </c>
      <c r="M1051" s="4"/>
      <c r="N1051" s="4">
        <f>IFERROR(__xludf.DUMMYFUNCTION("""COMPUTED_VALUE"""),0.462)</f>
        <v>0.462</v>
      </c>
      <c r="O1051" s="4">
        <f>IFERROR(__xludf.DUMMYFUNCTION("""COMPUTED_VALUE"""),4.8)</f>
        <v>4.8</v>
      </c>
      <c r="P1051" s="4">
        <f>IFERROR(__xludf.DUMMYFUNCTION("""COMPUTED_VALUE"""),0.6)</f>
        <v>0.6</v>
      </c>
      <c r="Q1051" s="4">
        <f>IFERROR(__xludf.DUMMYFUNCTION("""COMPUTED_VALUE"""),0.8)</f>
        <v>0.8</v>
      </c>
      <c r="R1051" s="4">
        <f>IFERROR(__xludf.DUMMYFUNCTION("""COMPUTED_VALUE"""),0.1)</f>
        <v>0.1</v>
      </c>
      <c r="S1051" s="4">
        <f>IFERROR(__xludf.DUMMYFUNCTION("""COMPUTED_VALUE"""),0.0)</f>
        <v>0</v>
      </c>
      <c r="T1051" s="4">
        <f>IFERROR(__xludf.DUMMYFUNCTION("""COMPUTED_VALUE"""),0.013)</f>
        <v>0.013</v>
      </c>
      <c r="U1051" s="4">
        <f>IFERROR(__xludf.DUMMYFUNCTION("""COMPUTED_VALUE"""),-7.3)</f>
        <v>-7.3</v>
      </c>
      <c r="V1051" s="4">
        <f>IFERROR(__xludf.DUMMYFUNCTION("""COMPUTED_VALUE"""),-0.2)</f>
        <v>-0.2</v>
      </c>
    </row>
    <row r="1052">
      <c r="A1052" s="4">
        <f>IFERROR(__xludf.DUMMYFUNCTION("""COMPUTED_VALUE"""),57.0)</f>
        <v>57</v>
      </c>
      <c r="B1052" s="4">
        <f>IFERROR(__xludf.DUMMYFUNCTION("""COMPUTED_VALUE"""),57.0)</f>
        <v>57</v>
      </c>
      <c r="C1052" s="4" t="str">
        <f>IFERROR(__xludf.DUMMYFUNCTION("""COMPUTED_VALUE"""),"IND")</f>
        <v>IND</v>
      </c>
      <c r="D1052" s="4" t="str">
        <f>IFERROR(__xludf.DUMMYFUNCTION("""COMPUTED_VALUE"""),"Ryan Reid")</f>
        <v>Ryan Reid</v>
      </c>
      <c r="E1052" s="4" t="str">
        <f>IFERROR(__xludf.DUMMYFUNCTION("""COMPUTED_VALUE"""),"Florida State")</f>
        <v>Florida State</v>
      </c>
      <c r="F1052" s="4">
        <f>IFERROR(__xludf.DUMMYFUNCTION("""COMPUTED_VALUE"""),1.0)</f>
        <v>1</v>
      </c>
      <c r="G1052" s="4">
        <f>IFERROR(__xludf.DUMMYFUNCTION("""COMPUTED_VALUE"""),5.0)</f>
        <v>5</v>
      </c>
      <c r="H1052" s="4">
        <f>IFERROR(__xludf.DUMMYFUNCTION("""COMPUTED_VALUE"""),17.0)</f>
        <v>17</v>
      </c>
      <c r="I1052" s="4">
        <f>IFERROR(__xludf.DUMMYFUNCTION("""COMPUTED_VALUE"""),8.0)</f>
        <v>8</v>
      </c>
      <c r="J1052" s="4">
        <f>IFERROR(__xludf.DUMMYFUNCTION("""COMPUTED_VALUE"""),2.0)</f>
        <v>2</v>
      </c>
      <c r="K1052" s="4">
        <f>IFERROR(__xludf.DUMMYFUNCTION("""COMPUTED_VALUE"""),0.0)</f>
        <v>0</v>
      </c>
      <c r="L1052" s="4">
        <f>IFERROR(__xludf.DUMMYFUNCTION("""COMPUTED_VALUE"""),0.8)</f>
        <v>0.8</v>
      </c>
      <c r="M1052" s="4"/>
      <c r="N1052" s="4"/>
      <c r="O1052" s="4">
        <f>IFERROR(__xludf.DUMMYFUNCTION("""COMPUTED_VALUE"""),3.4)</f>
        <v>3.4</v>
      </c>
      <c r="P1052" s="4">
        <f>IFERROR(__xludf.DUMMYFUNCTION("""COMPUTED_VALUE"""),1.6)</f>
        <v>1.6</v>
      </c>
      <c r="Q1052" s="4">
        <f>IFERROR(__xludf.DUMMYFUNCTION("""COMPUTED_VALUE"""),0.4)</f>
        <v>0.4</v>
      </c>
      <c r="R1052" s="4">
        <f>IFERROR(__xludf.DUMMYFUNCTION("""COMPUTED_VALUE"""),0.0)</f>
        <v>0</v>
      </c>
      <c r="S1052" s="4">
        <f>IFERROR(__xludf.DUMMYFUNCTION("""COMPUTED_VALUE"""),0.1)</f>
        <v>0.1</v>
      </c>
      <c r="T1052" s="4">
        <f>IFERROR(__xludf.DUMMYFUNCTION("""COMPUTED_VALUE"""),0.142)</f>
        <v>0.142</v>
      </c>
      <c r="U1052" s="4">
        <f>IFERROR(__xludf.DUMMYFUNCTION("""COMPUTED_VALUE"""),-2.0)</f>
        <v>-2</v>
      </c>
      <c r="V1052" s="4">
        <f>IFERROR(__xludf.DUMMYFUNCTION("""COMPUTED_VALUE"""),0.0)</f>
        <v>0</v>
      </c>
    </row>
    <row r="1053">
      <c r="A1053" s="4">
        <f>IFERROR(__xludf.DUMMYFUNCTION("""COMPUTED_VALUE"""),58.0)</f>
        <v>58</v>
      </c>
      <c r="B1053" s="4">
        <f>IFERROR(__xludf.DUMMYFUNCTION("""COMPUTED_VALUE"""),58.0)</f>
        <v>58</v>
      </c>
      <c r="C1053" s="4" t="str">
        <f>IFERROR(__xludf.DUMMYFUNCTION("""COMPUTED_VALUE"""),"LAL")</f>
        <v>LAL</v>
      </c>
      <c r="D1053" s="4" t="str">
        <f>IFERROR(__xludf.DUMMYFUNCTION("""COMPUTED_VALUE"""),"Derrick Caracter")</f>
        <v>Derrick Caracter</v>
      </c>
      <c r="E1053" s="4" t="str">
        <f>IFERROR(__xludf.DUMMYFUNCTION("""COMPUTED_VALUE"""),"Texas-El Paso")</f>
        <v>Texas-El Paso</v>
      </c>
      <c r="F1053" s="4">
        <f>IFERROR(__xludf.DUMMYFUNCTION("""COMPUTED_VALUE"""),1.0)</f>
        <v>1</v>
      </c>
      <c r="G1053" s="4">
        <f>IFERROR(__xludf.DUMMYFUNCTION("""COMPUTED_VALUE"""),41.0)</f>
        <v>41</v>
      </c>
      <c r="H1053" s="4">
        <f>IFERROR(__xludf.DUMMYFUNCTION("""COMPUTED_VALUE"""),215.0)</f>
        <v>215</v>
      </c>
      <c r="I1053" s="4">
        <f>IFERROR(__xludf.DUMMYFUNCTION("""COMPUTED_VALUE"""),81.0)</f>
        <v>81</v>
      </c>
      <c r="J1053" s="4">
        <f>IFERROR(__xludf.DUMMYFUNCTION("""COMPUTED_VALUE"""),43.0)</f>
        <v>43</v>
      </c>
      <c r="K1053" s="4">
        <f>IFERROR(__xludf.DUMMYFUNCTION("""COMPUTED_VALUE"""),7.0)</f>
        <v>7</v>
      </c>
      <c r="L1053" s="4">
        <f>IFERROR(__xludf.DUMMYFUNCTION("""COMPUTED_VALUE"""),0.485)</f>
        <v>0.485</v>
      </c>
      <c r="M1053" s="4"/>
      <c r="N1053" s="4">
        <f>IFERROR(__xludf.DUMMYFUNCTION("""COMPUTED_VALUE"""),0.739)</f>
        <v>0.739</v>
      </c>
      <c r="O1053" s="4">
        <f>IFERROR(__xludf.DUMMYFUNCTION("""COMPUTED_VALUE"""),5.2)</f>
        <v>5.2</v>
      </c>
      <c r="P1053" s="4">
        <f>IFERROR(__xludf.DUMMYFUNCTION("""COMPUTED_VALUE"""),2.0)</f>
        <v>2</v>
      </c>
      <c r="Q1053" s="4">
        <f>IFERROR(__xludf.DUMMYFUNCTION("""COMPUTED_VALUE"""),1.0)</f>
        <v>1</v>
      </c>
      <c r="R1053" s="4">
        <f>IFERROR(__xludf.DUMMYFUNCTION("""COMPUTED_VALUE"""),0.2)</f>
        <v>0.2</v>
      </c>
      <c r="S1053" s="4">
        <f>IFERROR(__xludf.DUMMYFUNCTION("""COMPUTED_VALUE"""),0.3)</f>
        <v>0.3</v>
      </c>
      <c r="T1053" s="4">
        <f>IFERROR(__xludf.DUMMYFUNCTION("""COMPUTED_VALUE"""),0.057)</f>
        <v>0.057</v>
      </c>
      <c r="U1053" s="4">
        <f>IFERROR(__xludf.DUMMYFUNCTION("""COMPUTED_VALUE"""),-7.1)</f>
        <v>-7.1</v>
      </c>
      <c r="V1053" s="4">
        <f>IFERROR(__xludf.DUMMYFUNCTION("""COMPUTED_VALUE"""),-0.3)</f>
        <v>-0.3</v>
      </c>
    </row>
    <row r="1054">
      <c r="A1054" s="4">
        <f>IFERROR(__xludf.DUMMYFUNCTION("""COMPUTED_VALUE"""),59.0)</f>
        <v>59</v>
      </c>
      <c r="B1054" s="4">
        <f>IFERROR(__xludf.DUMMYFUNCTION("""COMPUTED_VALUE"""),59.0)</f>
        <v>59</v>
      </c>
      <c r="C1054" s="4" t="str">
        <f>IFERROR(__xludf.DUMMYFUNCTION("""COMPUTED_VALUE"""),"ORL")</f>
        <v>ORL</v>
      </c>
      <c r="D1054" s="4" t="str">
        <f>IFERROR(__xludf.DUMMYFUNCTION("""COMPUTED_VALUE"""),"Stanley Robinson")</f>
        <v>Stanley Robinson</v>
      </c>
      <c r="E1054" s="4" t="str">
        <f>IFERROR(__xludf.DUMMYFUNCTION("""COMPUTED_VALUE"""),"UConn")</f>
        <v>UConn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>
      <c r="A1055" s="4">
        <f>IFERROR(__xludf.DUMMYFUNCTION("""COMPUTED_VALUE"""),60.0)</f>
        <v>60</v>
      </c>
      <c r="B1055" s="4">
        <f>IFERROR(__xludf.DUMMYFUNCTION("""COMPUTED_VALUE"""),60.0)</f>
        <v>60</v>
      </c>
      <c r="C1055" s="4" t="str">
        <f>IFERROR(__xludf.DUMMYFUNCTION("""COMPUTED_VALUE"""),"PHO")</f>
        <v>PHO</v>
      </c>
      <c r="D1055" s="4" t="str">
        <f>IFERROR(__xludf.DUMMYFUNCTION("""COMPUTED_VALUE"""),"Dwayne Collins")</f>
        <v>Dwayne Collins</v>
      </c>
      <c r="E1055" s="4" t="str">
        <f>IFERROR(__xludf.DUMMYFUNCTION("""COMPUTED_VALUE"""),"Miami (FL)")</f>
        <v>Miami (FL)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7">
      <c r="A1057" s="2">
        <v>2009.0</v>
      </c>
    </row>
    <row r="1058">
      <c r="A1058" s="4" t="str">
        <f>IFERROR(__xludf.DUMMYFUNCTION("IMPORTHTML(""https://www.basketball-reference.com/draft/NBA_2009.html"", ""table"", 1)"),"")</f>
        <v/>
      </c>
      <c r="B1058" s="4"/>
      <c r="C1058" s="4"/>
      <c r="D1058" s="4" t="str">
        <f>IFERROR(__xludf.DUMMYFUNCTION("""COMPUTED_VALUE"""),"Round 1")</f>
        <v>Round 1</v>
      </c>
      <c r="E1058" s="4"/>
      <c r="F1058" s="4"/>
      <c r="G1058" s="4" t="str">
        <f>IFERROR(__xludf.DUMMYFUNCTION("""COMPUTED_VALUE"""),"Totals")</f>
        <v>Totals</v>
      </c>
      <c r="H1058" s="4"/>
      <c r="I1058" s="4"/>
      <c r="J1058" s="4"/>
      <c r="K1058" s="4"/>
      <c r="L1058" s="4" t="str">
        <f>IFERROR(__xludf.DUMMYFUNCTION("""COMPUTED_VALUE"""),"Shooting")</f>
        <v>Shooting</v>
      </c>
      <c r="M1058" s="4"/>
      <c r="N1058" s="4"/>
      <c r="O1058" s="4" t="str">
        <f>IFERROR(__xludf.DUMMYFUNCTION("""COMPUTED_VALUE"""),"Per Game")</f>
        <v>Per Game</v>
      </c>
      <c r="P1058" s="4"/>
      <c r="Q1058" s="4"/>
      <c r="R1058" s="4"/>
      <c r="S1058" s="4" t="str">
        <f>IFERROR(__xludf.DUMMYFUNCTION("""COMPUTED_VALUE"""),"Advanced")</f>
        <v>Advanced</v>
      </c>
      <c r="T1058" s="4"/>
      <c r="U1058" s="4"/>
      <c r="V1058" s="4"/>
    </row>
    <row r="1059">
      <c r="A1059" s="4" t="str">
        <f>IFERROR(__xludf.DUMMYFUNCTION("""COMPUTED_VALUE"""),"Rk")</f>
        <v>Rk</v>
      </c>
      <c r="B1059" s="4" t="str">
        <f>IFERROR(__xludf.DUMMYFUNCTION("""COMPUTED_VALUE"""),"Pk")</f>
        <v>Pk</v>
      </c>
      <c r="C1059" s="4" t="str">
        <f>IFERROR(__xludf.DUMMYFUNCTION("""COMPUTED_VALUE"""),"Tm")</f>
        <v>Tm</v>
      </c>
      <c r="D1059" s="4" t="str">
        <f>IFERROR(__xludf.DUMMYFUNCTION("""COMPUTED_VALUE"""),"Player")</f>
        <v>Player</v>
      </c>
      <c r="E1059" s="4" t="str">
        <f>IFERROR(__xludf.DUMMYFUNCTION("""COMPUTED_VALUE"""),"College")</f>
        <v>College</v>
      </c>
      <c r="F1059" s="4" t="str">
        <f>IFERROR(__xludf.DUMMYFUNCTION("""COMPUTED_VALUE"""),"Yrs")</f>
        <v>Yrs</v>
      </c>
      <c r="G1059" s="4" t="str">
        <f>IFERROR(__xludf.DUMMYFUNCTION("""COMPUTED_VALUE"""),"G")</f>
        <v>G</v>
      </c>
      <c r="H1059" s="4" t="str">
        <f>IFERROR(__xludf.DUMMYFUNCTION("""COMPUTED_VALUE"""),"MP")</f>
        <v>MP</v>
      </c>
      <c r="I1059" s="4" t="str">
        <f>IFERROR(__xludf.DUMMYFUNCTION("""COMPUTED_VALUE"""),"PTS")</f>
        <v>PTS</v>
      </c>
      <c r="J1059" s="4" t="str">
        <f>IFERROR(__xludf.DUMMYFUNCTION("""COMPUTED_VALUE"""),"TRB")</f>
        <v>TRB</v>
      </c>
      <c r="K1059" s="4" t="str">
        <f>IFERROR(__xludf.DUMMYFUNCTION("""COMPUTED_VALUE"""),"AST")</f>
        <v>AST</v>
      </c>
      <c r="L1059" s="4" t="str">
        <f>IFERROR(__xludf.DUMMYFUNCTION("""COMPUTED_VALUE"""),"FG%")</f>
        <v>FG%</v>
      </c>
      <c r="M1059" s="4" t="str">
        <f>IFERROR(__xludf.DUMMYFUNCTION("""COMPUTED_VALUE"""),"3P%")</f>
        <v>3P%</v>
      </c>
      <c r="N1059" s="4" t="str">
        <f>IFERROR(__xludf.DUMMYFUNCTION("""COMPUTED_VALUE"""),"FT%")</f>
        <v>FT%</v>
      </c>
      <c r="O1059" s="4" t="str">
        <f>IFERROR(__xludf.DUMMYFUNCTION("""COMPUTED_VALUE"""),"MP")</f>
        <v>MP</v>
      </c>
      <c r="P1059" s="4" t="str">
        <f>IFERROR(__xludf.DUMMYFUNCTION("""COMPUTED_VALUE"""),"PTS")</f>
        <v>PTS</v>
      </c>
      <c r="Q1059" s="4" t="str">
        <f>IFERROR(__xludf.DUMMYFUNCTION("""COMPUTED_VALUE"""),"TRB")</f>
        <v>TRB</v>
      </c>
      <c r="R1059" s="4" t="str">
        <f>IFERROR(__xludf.DUMMYFUNCTION("""COMPUTED_VALUE"""),"AST")</f>
        <v>AST</v>
      </c>
      <c r="S1059" s="4" t="str">
        <f>IFERROR(__xludf.DUMMYFUNCTION("""COMPUTED_VALUE"""),"WS")</f>
        <v>WS</v>
      </c>
      <c r="T1059" s="4" t="str">
        <f>IFERROR(__xludf.DUMMYFUNCTION("""COMPUTED_VALUE"""),"WS/48")</f>
        <v>WS/48</v>
      </c>
      <c r="U1059" s="4" t="str">
        <f>IFERROR(__xludf.DUMMYFUNCTION("""COMPUTED_VALUE"""),"BPM")</f>
        <v>BPM</v>
      </c>
      <c r="V1059" s="4" t="str">
        <f>IFERROR(__xludf.DUMMYFUNCTION("""COMPUTED_VALUE"""),"VORP")</f>
        <v>VORP</v>
      </c>
    </row>
    <row r="1060">
      <c r="A1060" s="4">
        <f>IFERROR(__xludf.DUMMYFUNCTION("""COMPUTED_VALUE"""),1.0)</f>
        <v>1</v>
      </c>
      <c r="B1060" s="4">
        <f>IFERROR(__xludf.DUMMYFUNCTION("""COMPUTED_VALUE"""),1.0)</f>
        <v>1</v>
      </c>
      <c r="C1060" s="4" t="str">
        <f>IFERROR(__xludf.DUMMYFUNCTION("""COMPUTED_VALUE"""),"LAC")</f>
        <v>LAC</v>
      </c>
      <c r="D1060" s="4" t="str">
        <f>IFERROR(__xludf.DUMMYFUNCTION("""COMPUTED_VALUE"""),"Blake Griffin")</f>
        <v>Blake Griffin</v>
      </c>
      <c r="E1060" s="4" t="str">
        <f>IFERROR(__xludf.DUMMYFUNCTION("""COMPUTED_VALUE"""),"Oklahoma")</f>
        <v>Oklahoma</v>
      </c>
      <c r="F1060" s="4">
        <f>IFERROR(__xludf.DUMMYFUNCTION("""COMPUTED_VALUE"""),13.0)</f>
        <v>13</v>
      </c>
      <c r="G1060" s="4">
        <f>IFERROR(__xludf.DUMMYFUNCTION("""COMPUTED_VALUE"""),765.0)</f>
        <v>765</v>
      </c>
      <c r="H1060" s="4">
        <f>IFERROR(__xludf.DUMMYFUNCTION("""COMPUTED_VALUE"""),24384.0)</f>
        <v>24384</v>
      </c>
      <c r="I1060" s="4">
        <f>IFERROR(__xludf.DUMMYFUNCTION("""COMPUTED_VALUE"""),14513.0)</f>
        <v>14513</v>
      </c>
      <c r="J1060" s="4">
        <f>IFERROR(__xludf.DUMMYFUNCTION("""COMPUTED_VALUE"""),6109.0)</f>
        <v>6109</v>
      </c>
      <c r="K1060" s="4">
        <f>IFERROR(__xludf.DUMMYFUNCTION("""COMPUTED_VALUE"""),3055.0)</f>
        <v>3055</v>
      </c>
      <c r="L1060" s="4">
        <f>IFERROR(__xludf.DUMMYFUNCTION("""COMPUTED_VALUE"""),0.493)</f>
        <v>0.493</v>
      </c>
      <c r="M1060" s="4">
        <f>IFERROR(__xludf.DUMMYFUNCTION("""COMPUTED_VALUE"""),0.328)</f>
        <v>0.328</v>
      </c>
      <c r="N1060" s="4">
        <f>IFERROR(__xludf.DUMMYFUNCTION("""COMPUTED_VALUE"""),0.696)</f>
        <v>0.696</v>
      </c>
      <c r="O1060" s="4">
        <f>IFERROR(__xludf.DUMMYFUNCTION("""COMPUTED_VALUE"""),31.9)</f>
        <v>31.9</v>
      </c>
      <c r="P1060" s="4">
        <f>IFERROR(__xludf.DUMMYFUNCTION("""COMPUTED_VALUE"""),19.0)</f>
        <v>19</v>
      </c>
      <c r="Q1060" s="4">
        <f>IFERROR(__xludf.DUMMYFUNCTION("""COMPUTED_VALUE"""),8.0)</f>
        <v>8</v>
      </c>
      <c r="R1060" s="4">
        <f>IFERROR(__xludf.DUMMYFUNCTION("""COMPUTED_VALUE"""),4.0)</f>
        <v>4</v>
      </c>
      <c r="S1060" s="4">
        <f>IFERROR(__xludf.DUMMYFUNCTION("""COMPUTED_VALUE"""),81.1)</f>
        <v>81.1</v>
      </c>
      <c r="T1060" s="4">
        <f>IFERROR(__xludf.DUMMYFUNCTION("""COMPUTED_VALUE"""),0.16)</f>
        <v>0.16</v>
      </c>
      <c r="U1060" s="4">
        <f>IFERROR(__xludf.DUMMYFUNCTION("""COMPUTED_VALUE"""),3.3)</f>
        <v>3.3</v>
      </c>
      <c r="V1060" s="4">
        <f>IFERROR(__xludf.DUMMYFUNCTION("""COMPUTED_VALUE"""),32.8)</f>
        <v>32.8</v>
      </c>
    </row>
    <row r="1061">
      <c r="A1061" s="4">
        <f>IFERROR(__xludf.DUMMYFUNCTION("""COMPUTED_VALUE"""),2.0)</f>
        <v>2</v>
      </c>
      <c r="B1061" s="4">
        <f>IFERROR(__xludf.DUMMYFUNCTION("""COMPUTED_VALUE"""),2.0)</f>
        <v>2</v>
      </c>
      <c r="C1061" s="4" t="str">
        <f>IFERROR(__xludf.DUMMYFUNCTION("""COMPUTED_VALUE"""),"MEM")</f>
        <v>MEM</v>
      </c>
      <c r="D1061" s="4" t="str">
        <f>IFERROR(__xludf.DUMMYFUNCTION("""COMPUTED_VALUE"""),"Hasheem Thabeet")</f>
        <v>Hasheem Thabeet</v>
      </c>
      <c r="E1061" s="4" t="str">
        <f>IFERROR(__xludf.DUMMYFUNCTION("""COMPUTED_VALUE"""),"UConn")</f>
        <v>UConn</v>
      </c>
      <c r="F1061" s="4">
        <f>IFERROR(__xludf.DUMMYFUNCTION("""COMPUTED_VALUE"""),5.0)</f>
        <v>5</v>
      </c>
      <c r="G1061" s="4">
        <f>IFERROR(__xludf.DUMMYFUNCTION("""COMPUTED_VALUE"""),224.0)</f>
        <v>224</v>
      </c>
      <c r="H1061" s="4">
        <f>IFERROR(__xludf.DUMMYFUNCTION("""COMPUTED_VALUE"""),2357.0)</f>
        <v>2357</v>
      </c>
      <c r="I1061" s="4">
        <f>IFERROR(__xludf.DUMMYFUNCTION("""COMPUTED_VALUE"""),483.0)</f>
        <v>483</v>
      </c>
      <c r="J1061" s="4">
        <f>IFERROR(__xludf.DUMMYFUNCTION("""COMPUTED_VALUE"""),595.0)</f>
        <v>595</v>
      </c>
      <c r="K1061" s="4">
        <f>IFERROR(__xludf.DUMMYFUNCTION("""COMPUTED_VALUE"""),27.0)</f>
        <v>27</v>
      </c>
      <c r="L1061" s="4">
        <f>IFERROR(__xludf.DUMMYFUNCTION("""COMPUTED_VALUE"""),0.567)</f>
        <v>0.567</v>
      </c>
      <c r="M1061" s="4"/>
      <c r="N1061" s="4">
        <f>IFERROR(__xludf.DUMMYFUNCTION("""COMPUTED_VALUE"""),0.578)</f>
        <v>0.578</v>
      </c>
      <c r="O1061" s="4">
        <f>IFERROR(__xludf.DUMMYFUNCTION("""COMPUTED_VALUE"""),10.5)</f>
        <v>10.5</v>
      </c>
      <c r="P1061" s="4">
        <f>IFERROR(__xludf.DUMMYFUNCTION("""COMPUTED_VALUE"""),2.2)</f>
        <v>2.2</v>
      </c>
      <c r="Q1061" s="4">
        <f>IFERROR(__xludf.DUMMYFUNCTION("""COMPUTED_VALUE"""),2.7)</f>
        <v>2.7</v>
      </c>
      <c r="R1061" s="4">
        <f>IFERROR(__xludf.DUMMYFUNCTION("""COMPUTED_VALUE"""),0.1)</f>
        <v>0.1</v>
      </c>
      <c r="S1061" s="4">
        <f>IFERROR(__xludf.DUMMYFUNCTION("""COMPUTED_VALUE"""),4.8)</f>
        <v>4.8</v>
      </c>
      <c r="T1061" s="4">
        <f>IFERROR(__xludf.DUMMYFUNCTION("""COMPUTED_VALUE"""),0.099)</f>
        <v>0.099</v>
      </c>
      <c r="U1061" s="4">
        <f>IFERROR(__xludf.DUMMYFUNCTION("""COMPUTED_VALUE"""),-2.7)</f>
        <v>-2.7</v>
      </c>
      <c r="V1061" s="4">
        <f>IFERROR(__xludf.DUMMYFUNCTION("""COMPUTED_VALUE"""),-0.4)</f>
        <v>-0.4</v>
      </c>
    </row>
    <row r="1062">
      <c r="A1062" s="4">
        <f>IFERROR(__xludf.DUMMYFUNCTION("""COMPUTED_VALUE"""),3.0)</f>
        <v>3</v>
      </c>
      <c r="B1062" s="4">
        <f>IFERROR(__xludf.DUMMYFUNCTION("""COMPUTED_VALUE"""),3.0)</f>
        <v>3</v>
      </c>
      <c r="C1062" s="4" t="str">
        <f>IFERROR(__xludf.DUMMYFUNCTION("""COMPUTED_VALUE"""),"OKC")</f>
        <v>OKC</v>
      </c>
      <c r="D1062" s="4" t="str">
        <f>IFERROR(__xludf.DUMMYFUNCTION("""COMPUTED_VALUE"""),"James Harden")</f>
        <v>James Harden</v>
      </c>
      <c r="E1062" s="4" t="str">
        <f>IFERROR(__xludf.DUMMYFUNCTION("""COMPUTED_VALUE"""),"Arizona State")</f>
        <v>Arizona State</v>
      </c>
      <c r="F1062" s="4">
        <f>IFERROR(__xludf.DUMMYFUNCTION("""COMPUTED_VALUE"""),17.0)</f>
        <v>17</v>
      </c>
      <c r="G1062" s="4">
        <f>IFERROR(__xludf.DUMMYFUNCTION("""COMPUTED_VALUE"""),1171.0)</f>
        <v>1171</v>
      </c>
      <c r="H1062" s="4">
        <f>IFERROR(__xludf.DUMMYFUNCTION("""COMPUTED_VALUE"""),40713.0)</f>
        <v>40713</v>
      </c>
      <c r="I1062" s="4">
        <f>IFERROR(__xludf.DUMMYFUNCTION("""COMPUTED_VALUE"""),28224.0)</f>
        <v>28224</v>
      </c>
      <c r="J1062" s="4">
        <f>IFERROR(__xludf.DUMMYFUNCTION("""COMPUTED_VALUE"""),6587.0)</f>
        <v>6587</v>
      </c>
      <c r="K1062" s="4">
        <f>IFERROR(__xludf.DUMMYFUNCTION("""COMPUTED_VALUE"""),8484.0)</f>
        <v>8484</v>
      </c>
      <c r="L1062" s="4">
        <f>IFERROR(__xludf.DUMMYFUNCTION("""COMPUTED_VALUE"""),0.439)</f>
        <v>0.439</v>
      </c>
      <c r="M1062" s="4">
        <f>IFERROR(__xludf.DUMMYFUNCTION("""COMPUTED_VALUE"""),0.363)</f>
        <v>0.363</v>
      </c>
      <c r="N1062" s="4">
        <f>IFERROR(__xludf.DUMMYFUNCTION("""COMPUTED_VALUE"""),0.862)</f>
        <v>0.862</v>
      </c>
      <c r="O1062" s="4">
        <f>IFERROR(__xludf.DUMMYFUNCTION("""COMPUTED_VALUE"""),34.8)</f>
        <v>34.8</v>
      </c>
      <c r="P1062" s="4">
        <f>IFERROR(__xludf.DUMMYFUNCTION("""COMPUTED_VALUE"""),24.1)</f>
        <v>24.1</v>
      </c>
      <c r="Q1062" s="4">
        <f>IFERROR(__xludf.DUMMYFUNCTION("""COMPUTED_VALUE"""),5.6)</f>
        <v>5.6</v>
      </c>
      <c r="R1062" s="4">
        <f>IFERROR(__xludf.DUMMYFUNCTION("""COMPUTED_VALUE"""),7.2)</f>
        <v>7.2</v>
      </c>
      <c r="S1062" s="4">
        <f>IFERROR(__xludf.DUMMYFUNCTION("""COMPUTED_VALUE"""),176.9)</f>
        <v>176.9</v>
      </c>
      <c r="T1062" s="4">
        <f>IFERROR(__xludf.DUMMYFUNCTION("""COMPUTED_VALUE"""),0.209)</f>
        <v>0.209</v>
      </c>
      <c r="U1062" s="4">
        <f>IFERROR(__xludf.DUMMYFUNCTION("""COMPUTED_VALUE"""),6.3)</f>
        <v>6.3</v>
      </c>
      <c r="V1062" s="4">
        <f>IFERROR(__xludf.DUMMYFUNCTION("""COMPUTED_VALUE"""),85.5)</f>
        <v>85.5</v>
      </c>
    </row>
    <row r="1063">
      <c r="A1063" s="4">
        <f>IFERROR(__xludf.DUMMYFUNCTION("""COMPUTED_VALUE"""),4.0)</f>
        <v>4</v>
      </c>
      <c r="B1063" s="4">
        <f>IFERROR(__xludf.DUMMYFUNCTION("""COMPUTED_VALUE"""),4.0)</f>
        <v>4</v>
      </c>
      <c r="C1063" s="4" t="str">
        <f>IFERROR(__xludf.DUMMYFUNCTION("""COMPUTED_VALUE"""),"SAC")</f>
        <v>SAC</v>
      </c>
      <c r="D1063" s="4" t="str">
        <f>IFERROR(__xludf.DUMMYFUNCTION("""COMPUTED_VALUE"""),"Tyreke Evans")</f>
        <v>Tyreke Evans</v>
      </c>
      <c r="E1063" s="4" t="str">
        <f>IFERROR(__xludf.DUMMYFUNCTION("""COMPUTED_VALUE"""),"Memphis")</f>
        <v>Memphis</v>
      </c>
      <c r="F1063" s="4">
        <f>IFERROR(__xludf.DUMMYFUNCTION("""COMPUTED_VALUE"""),10.0)</f>
        <v>10</v>
      </c>
      <c r="G1063" s="4">
        <f>IFERROR(__xludf.DUMMYFUNCTION("""COMPUTED_VALUE"""),594.0)</f>
        <v>594</v>
      </c>
      <c r="H1063" s="4">
        <f>IFERROR(__xludf.DUMMYFUNCTION("""COMPUTED_VALUE"""),18242.0)</f>
        <v>18242</v>
      </c>
      <c r="I1063" s="4">
        <f>IFERROR(__xludf.DUMMYFUNCTION("""COMPUTED_VALUE"""),9347.0)</f>
        <v>9347</v>
      </c>
      <c r="J1063" s="4">
        <f>IFERROR(__xludf.DUMMYFUNCTION("""COMPUTED_VALUE"""),2720.0)</f>
        <v>2720</v>
      </c>
      <c r="K1063" s="4">
        <f>IFERROR(__xludf.DUMMYFUNCTION("""COMPUTED_VALUE"""),2852.0)</f>
        <v>2852</v>
      </c>
      <c r="L1063" s="4">
        <f>IFERROR(__xludf.DUMMYFUNCTION("""COMPUTED_VALUE"""),0.44)</f>
        <v>0.44</v>
      </c>
      <c r="M1063" s="4">
        <f>IFERROR(__xludf.DUMMYFUNCTION("""COMPUTED_VALUE"""),0.323)</f>
        <v>0.323</v>
      </c>
      <c r="N1063" s="4">
        <f>IFERROR(__xludf.DUMMYFUNCTION("""COMPUTED_VALUE"""),0.757)</f>
        <v>0.757</v>
      </c>
      <c r="O1063" s="4">
        <f>IFERROR(__xludf.DUMMYFUNCTION("""COMPUTED_VALUE"""),30.7)</f>
        <v>30.7</v>
      </c>
      <c r="P1063" s="4">
        <f>IFERROR(__xludf.DUMMYFUNCTION("""COMPUTED_VALUE"""),15.7)</f>
        <v>15.7</v>
      </c>
      <c r="Q1063" s="4">
        <f>IFERROR(__xludf.DUMMYFUNCTION("""COMPUTED_VALUE"""),4.6)</f>
        <v>4.6</v>
      </c>
      <c r="R1063" s="4">
        <f>IFERROR(__xludf.DUMMYFUNCTION("""COMPUTED_VALUE"""),4.8)</f>
        <v>4.8</v>
      </c>
      <c r="S1063" s="4">
        <f>IFERROR(__xludf.DUMMYFUNCTION("""COMPUTED_VALUE"""),28.4)</f>
        <v>28.4</v>
      </c>
      <c r="T1063" s="4">
        <f>IFERROR(__xludf.DUMMYFUNCTION("""COMPUTED_VALUE"""),0.075)</f>
        <v>0.075</v>
      </c>
      <c r="U1063" s="4">
        <f>IFERROR(__xludf.DUMMYFUNCTION("""COMPUTED_VALUE"""),0.8)</f>
        <v>0.8</v>
      </c>
      <c r="V1063" s="4">
        <f>IFERROR(__xludf.DUMMYFUNCTION("""COMPUTED_VALUE"""),13.1)</f>
        <v>13.1</v>
      </c>
    </row>
    <row r="1064">
      <c r="A1064" s="4">
        <f>IFERROR(__xludf.DUMMYFUNCTION("""COMPUTED_VALUE"""),5.0)</f>
        <v>5</v>
      </c>
      <c r="B1064" s="4">
        <f>IFERROR(__xludf.DUMMYFUNCTION("""COMPUTED_VALUE"""),5.0)</f>
        <v>5</v>
      </c>
      <c r="C1064" s="4" t="str">
        <f>IFERROR(__xludf.DUMMYFUNCTION("""COMPUTED_VALUE"""),"MIN")</f>
        <v>MIN</v>
      </c>
      <c r="D1064" s="4" t="str">
        <f>IFERROR(__xludf.DUMMYFUNCTION("""COMPUTED_VALUE"""),"Ricky Rubio")</f>
        <v>Ricky Rubio</v>
      </c>
      <c r="E1064" s="4"/>
      <c r="F1064" s="4">
        <f>IFERROR(__xludf.DUMMYFUNCTION("""COMPUTED_VALUE"""),12.0)</f>
        <v>12</v>
      </c>
      <c r="G1064" s="4">
        <f>IFERROR(__xludf.DUMMYFUNCTION("""COMPUTED_VALUE"""),698.0)</f>
        <v>698</v>
      </c>
      <c r="H1064" s="4">
        <f>IFERROR(__xludf.DUMMYFUNCTION("""COMPUTED_VALUE"""),20694.0)</f>
        <v>20694</v>
      </c>
      <c r="I1064" s="4">
        <f>IFERROR(__xludf.DUMMYFUNCTION("""COMPUTED_VALUE"""),7570.0)</f>
        <v>7570</v>
      </c>
      <c r="J1064" s="4">
        <f>IFERROR(__xludf.DUMMYFUNCTION("""COMPUTED_VALUE"""),2830.0)</f>
        <v>2830</v>
      </c>
      <c r="K1064" s="4">
        <f>IFERROR(__xludf.DUMMYFUNCTION("""COMPUTED_VALUE"""),5160.0)</f>
        <v>5160</v>
      </c>
      <c r="L1064" s="4">
        <f>IFERROR(__xludf.DUMMYFUNCTION("""COMPUTED_VALUE"""),0.388)</f>
        <v>0.388</v>
      </c>
      <c r="M1064" s="4">
        <f>IFERROR(__xludf.DUMMYFUNCTION("""COMPUTED_VALUE"""),0.324)</f>
        <v>0.324</v>
      </c>
      <c r="N1064" s="4">
        <f>IFERROR(__xludf.DUMMYFUNCTION("""COMPUTED_VALUE"""),0.843)</f>
        <v>0.843</v>
      </c>
      <c r="O1064" s="4">
        <f>IFERROR(__xludf.DUMMYFUNCTION("""COMPUTED_VALUE"""),29.6)</f>
        <v>29.6</v>
      </c>
      <c r="P1064" s="4">
        <f>IFERROR(__xludf.DUMMYFUNCTION("""COMPUTED_VALUE"""),10.8)</f>
        <v>10.8</v>
      </c>
      <c r="Q1064" s="4">
        <f>IFERROR(__xludf.DUMMYFUNCTION("""COMPUTED_VALUE"""),4.1)</f>
        <v>4.1</v>
      </c>
      <c r="R1064" s="4">
        <f>IFERROR(__xludf.DUMMYFUNCTION("""COMPUTED_VALUE"""),7.4)</f>
        <v>7.4</v>
      </c>
      <c r="S1064" s="4">
        <f>IFERROR(__xludf.DUMMYFUNCTION("""COMPUTED_VALUE"""),42.3)</f>
        <v>42.3</v>
      </c>
      <c r="T1064" s="4">
        <f>IFERROR(__xludf.DUMMYFUNCTION("""COMPUTED_VALUE"""),0.098)</f>
        <v>0.098</v>
      </c>
      <c r="U1064" s="4">
        <f>IFERROR(__xludf.DUMMYFUNCTION("""COMPUTED_VALUE"""),0.5)</f>
        <v>0.5</v>
      </c>
      <c r="V1064" s="4">
        <f>IFERROR(__xludf.DUMMYFUNCTION("""COMPUTED_VALUE"""),13.3)</f>
        <v>13.3</v>
      </c>
    </row>
    <row r="1065">
      <c r="A1065" s="4">
        <f>IFERROR(__xludf.DUMMYFUNCTION("""COMPUTED_VALUE"""),6.0)</f>
        <v>6</v>
      </c>
      <c r="B1065" s="4">
        <f>IFERROR(__xludf.DUMMYFUNCTION("""COMPUTED_VALUE"""),6.0)</f>
        <v>6</v>
      </c>
      <c r="C1065" s="4" t="str">
        <f>IFERROR(__xludf.DUMMYFUNCTION("""COMPUTED_VALUE"""),"MIN")</f>
        <v>MIN</v>
      </c>
      <c r="D1065" s="4" t="str">
        <f>IFERROR(__xludf.DUMMYFUNCTION("""COMPUTED_VALUE"""),"Jonny Flynn")</f>
        <v>Jonny Flynn</v>
      </c>
      <c r="E1065" s="4" t="str">
        <f>IFERROR(__xludf.DUMMYFUNCTION("""COMPUTED_VALUE"""),"Syracuse")</f>
        <v>Syracuse</v>
      </c>
      <c r="F1065" s="4">
        <f>IFERROR(__xludf.DUMMYFUNCTION("""COMPUTED_VALUE"""),3.0)</f>
        <v>3</v>
      </c>
      <c r="G1065" s="4">
        <f>IFERROR(__xludf.DUMMYFUNCTION("""COMPUTED_VALUE"""),163.0)</f>
        <v>163</v>
      </c>
      <c r="H1065" s="4">
        <f>IFERROR(__xludf.DUMMYFUNCTION("""COMPUTED_VALUE"""),3738.0)</f>
        <v>3738</v>
      </c>
      <c r="I1065" s="4">
        <f>IFERROR(__xludf.DUMMYFUNCTION("""COMPUTED_VALUE"""),1504.0)</f>
        <v>1504</v>
      </c>
      <c r="J1065" s="4">
        <f>IFERROR(__xludf.DUMMYFUNCTION("""COMPUTED_VALUE"""),307.0)</f>
        <v>307</v>
      </c>
      <c r="K1065" s="4">
        <f>IFERROR(__xludf.DUMMYFUNCTION("""COMPUTED_VALUE"""),634.0)</f>
        <v>634</v>
      </c>
      <c r="L1065" s="4">
        <f>IFERROR(__xludf.DUMMYFUNCTION("""COMPUTED_VALUE"""),0.4)</f>
        <v>0.4</v>
      </c>
      <c r="M1065" s="4">
        <f>IFERROR(__xludf.DUMMYFUNCTION("""COMPUTED_VALUE"""),0.338)</f>
        <v>0.338</v>
      </c>
      <c r="N1065" s="4">
        <f>IFERROR(__xludf.DUMMYFUNCTION("""COMPUTED_VALUE"""),0.809)</f>
        <v>0.809</v>
      </c>
      <c r="O1065" s="4">
        <f>IFERROR(__xludf.DUMMYFUNCTION("""COMPUTED_VALUE"""),22.9)</f>
        <v>22.9</v>
      </c>
      <c r="P1065" s="4">
        <f>IFERROR(__xludf.DUMMYFUNCTION("""COMPUTED_VALUE"""),9.2)</f>
        <v>9.2</v>
      </c>
      <c r="Q1065" s="4">
        <f>IFERROR(__xludf.DUMMYFUNCTION("""COMPUTED_VALUE"""),1.9)</f>
        <v>1.9</v>
      </c>
      <c r="R1065" s="4">
        <f>IFERROR(__xludf.DUMMYFUNCTION("""COMPUTED_VALUE"""),3.9)</f>
        <v>3.9</v>
      </c>
      <c r="S1065" s="4">
        <f>IFERROR(__xludf.DUMMYFUNCTION("""COMPUTED_VALUE"""),-1.1)</f>
        <v>-1.1</v>
      </c>
      <c r="T1065" s="4">
        <f>IFERROR(__xludf.DUMMYFUNCTION("""COMPUTED_VALUE"""),-0.015)</f>
        <v>-0.015</v>
      </c>
      <c r="U1065" s="4">
        <f>IFERROR(__xludf.DUMMYFUNCTION("""COMPUTED_VALUE"""),-4.0)</f>
        <v>-4</v>
      </c>
      <c r="V1065" s="4">
        <f>IFERROR(__xludf.DUMMYFUNCTION("""COMPUTED_VALUE"""),-1.9)</f>
        <v>-1.9</v>
      </c>
    </row>
    <row r="1066">
      <c r="A1066" s="4">
        <f>IFERROR(__xludf.DUMMYFUNCTION("""COMPUTED_VALUE"""),7.0)</f>
        <v>7</v>
      </c>
      <c r="B1066" s="4">
        <f>IFERROR(__xludf.DUMMYFUNCTION("""COMPUTED_VALUE"""),7.0)</f>
        <v>7</v>
      </c>
      <c r="C1066" s="4" t="str">
        <f>IFERROR(__xludf.DUMMYFUNCTION("""COMPUTED_VALUE"""),"GSW")</f>
        <v>GSW</v>
      </c>
      <c r="D1066" s="4" t="str">
        <f>IFERROR(__xludf.DUMMYFUNCTION("""COMPUTED_VALUE"""),"Stephen Curry")</f>
        <v>Stephen Curry</v>
      </c>
      <c r="E1066" s="4" t="str">
        <f>IFERROR(__xludf.DUMMYFUNCTION("""COMPUTED_VALUE"""),"Davidson")</f>
        <v>Davidson</v>
      </c>
      <c r="F1066" s="4">
        <f>IFERROR(__xludf.DUMMYFUNCTION("""COMPUTED_VALUE"""),17.0)</f>
        <v>17</v>
      </c>
      <c r="G1066" s="4">
        <f>IFERROR(__xludf.DUMMYFUNCTION("""COMPUTED_VALUE"""),1042.0)</f>
        <v>1042</v>
      </c>
      <c r="H1066" s="4">
        <f>IFERROR(__xludf.DUMMYFUNCTION("""COMPUTED_VALUE"""),35472.0)</f>
        <v>35472</v>
      </c>
      <c r="I1066" s="4">
        <f>IFERROR(__xludf.DUMMYFUNCTION("""COMPUTED_VALUE"""),25832.0)</f>
        <v>25832</v>
      </c>
      <c r="J1066" s="4">
        <f>IFERROR(__xludf.DUMMYFUNCTION("""COMPUTED_VALUE"""),4878.0)</f>
        <v>4878</v>
      </c>
      <c r="K1066" s="4">
        <f>IFERROR(__xludf.DUMMYFUNCTION("""COMPUTED_VALUE"""),6604.0)</f>
        <v>6604</v>
      </c>
      <c r="L1066" s="4">
        <f>IFERROR(__xludf.DUMMYFUNCTION("""COMPUTED_VALUE"""),0.471)</f>
        <v>0.471</v>
      </c>
      <c r="M1066" s="4">
        <f>IFERROR(__xludf.DUMMYFUNCTION("""COMPUTED_VALUE"""),0.423)</f>
        <v>0.423</v>
      </c>
      <c r="N1066" s="4">
        <f>IFERROR(__xludf.DUMMYFUNCTION("""COMPUTED_VALUE"""),0.912)</f>
        <v>0.912</v>
      </c>
      <c r="O1066" s="4">
        <f>IFERROR(__xludf.DUMMYFUNCTION("""COMPUTED_VALUE"""),34.0)</f>
        <v>34</v>
      </c>
      <c r="P1066" s="4">
        <f>IFERROR(__xludf.DUMMYFUNCTION("""COMPUTED_VALUE"""),24.8)</f>
        <v>24.8</v>
      </c>
      <c r="Q1066" s="4">
        <f>IFERROR(__xludf.DUMMYFUNCTION("""COMPUTED_VALUE"""),4.7)</f>
        <v>4.7</v>
      </c>
      <c r="R1066" s="4">
        <f>IFERROR(__xludf.DUMMYFUNCTION("""COMPUTED_VALUE"""),6.3)</f>
        <v>6.3</v>
      </c>
      <c r="S1066" s="4">
        <f>IFERROR(__xludf.DUMMYFUNCTION("""COMPUTED_VALUE"""),144.5)</f>
        <v>144.5</v>
      </c>
      <c r="T1066" s="4">
        <f>IFERROR(__xludf.DUMMYFUNCTION("""COMPUTED_VALUE"""),0.196)</f>
        <v>0.196</v>
      </c>
      <c r="U1066" s="4">
        <f>IFERROR(__xludf.DUMMYFUNCTION("""COMPUTED_VALUE"""),6.4)</f>
        <v>6.4</v>
      </c>
      <c r="V1066" s="4">
        <f>IFERROR(__xludf.DUMMYFUNCTION("""COMPUTED_VALUE"""),75.7)</f>
        <v>75.7</v>
      </c>
    </row>
    <row r="1067">
      <c r="A1067" s="4">
        <f>IFERROR(__xludf.DUMMYFUNCTION("""COMPUTED_VALUE"""),8.0)</f>
        <v>8</v>
      </c>
      <c r="B1067" s="4">
        <f>IFERROR(__xludf.DUMMYFUNCTION("""COMPUTED_VALUE"""),8.0)</f>
        <v>8</v>
      </c>
      <c r="C1067" s="4" t="str">
        <f>IFERROR(__xludf.DUMMYFUNCTION("""COMPUTED_VALUE"""),"NYK")</f>
        <v>NYK</v>
      </c>
      <c r="D1067" s="4" t="str">
        <f>IFERROR(__xludf.DUMMYFUNCTION("""COMPUTED_VALUE"""),"Jordan Hill")</f>
        <v>Jordan Hill</v>
      </c>
      <c r="E1067" s="4" t="str">
        <f>IFERROR(__xludf.DUMMYFUNCTION("""COMPUTED_VALUE"""),"Arizona")</f>
        <v>Arizona</v>
      </c>
      <c r="F1067" s="4">
        <f>IFERROR(__xludf.DUMMYFUNCTION("""COMPUTED_VALUE"""),8.0)</f>
        <v>8</v>
      </c>
      <c r="G1067" s="4">
        <f>IFERROR(__xludf.DUMMYFUNCTION("""COMPUTED_VALUE"""),409.0)</f>
        <v>409</v>
      </c>
      <c r="H1067" s="4">
        <f>IFERROR(__xludf.DUMMYFUNCTION("""COMPUTED_VALUE"""),7692.0)</f>
        <v>7692</v>
      </c>
      <c r="I1067" s="4">
        <f>IFERROR(__xludf.DUMMYFUNCTION("""COMPUTED_VALUE"""),3232.0)</f>
        <v>3232</v>
      </c>
      <c r="J1067" s="4">
        <f>IFERROR(__xludf.DUMMYFUNCTION("""COMPUTED_VALUE"""),2389.0)</f>
        <v>2389</v>
      </c>
      <c r="K1067" s="4">
        <f>IFERROR(__xludf.DUMMYFUNCTION("""COMPUTED_VALUE"""),322.0)</f>
        <v>322</v>
      </c>
      <c r="L1067" s="4">
        <f>IFERROR(__xludf.DUMMYFUNCTION("""COMPUTED_VALUE"""),0.497)</f>
        <v>0.497</v>
      </c>
      <c r="M1067" s="4">
        <f>IFERROR(__xludf.DUMMYFUNCTION("""COMPUTED_VALUE"""),0.136)</f>
        <v>0.136</v>
      </c>
      <c r="N1067" s="4">
        <f>IFERROR(__xludf.DUMMYFUNCTION("""COMPUTED_VALUE"""),0.699)</f>
        <v>0.699</v>
      </c>
      <c r="O1067" s="4">
        <f>IFERROR(__xludf.DUMMYFUNCTION("""COMPUTED_VALUE"""),18.8)</f>
        <v>18.8</v>
      </c>
      <c r="P1067" s="4">
        <f>IFERROR(__xludf.DUMMYFUNCTION("""COMPUTED_VALUE"""),7.9)</f>
        <v>7.9</v>
      </c>
      <c r="Q1067" s="4">
        <f>IFERROR(__xludf.DUMMYFUNCTION("""COMPUTED_VALUE"""),5.8)</f>
        <v>5.8</v>
      </c>
      <c r="R1067" s="4">
        <f>IFERROR(__xludf.DUMMYFUNCTION("""COMPUTED_VALUE"""),0.8)</f>
        <v>0.8</v>
      </c>
      <c r="S1067" s="4">
        <f>IFERROR(__xludf.DUMMYFUNCTION("""COMPUTED_VALUE"""),16.4)</f>
        <v>16.4</v>
      </c>
      <c r="T1067" s="4">
        <f>IFERROR(__xludf.DUMMYFUNCTION("""COMPUTED_VALUE"""),0.102)</f>
        <v>0.102</v>
      </c>
      <c r="U1067" s="4">
        <f>IFERROR(__xludf.DUMMYFUNCTION("""COMPUTED_VALUE"""),-2.0)</f>
        <v>-2</v>
      </c>
      <c r="V1067" s="4">
        <f>IFERROR(__xludf.DUMMYFUNCTION("""COMPUTED_VALUE"""),0.0)</f>
        <v>0</v>
      </c>
    </row>
    <row r="1068">
      <c r="A1068" s="4">
        <f>IFERROR(__xludf.DUMMYFUNCTION("""COMPUTED_VALUE"""),9.0)</f>
        <v>9</v>
      </c>
      <c r="B1068" s="4">
        <f>IFERROR(__xludf.DUMMYFUNCTION("""COMPUTED_VALUE"""),9.0)</f>
        <v>9</v>
      </c>
      <c r="C1068" s="4" t="str">
        <f>IFERROR(__xludf.DUMMYFUNCTION("""COMPUTED_VALUE"""),"TOR")</f>
        <v>TOR</v>
      </c>
      <c r="D1068" s="4" t="str">
        <f>IFERROR(__xludf.DUMMYFUNCTION("""COMPUTED_VALUE"""),"DeMar DeRozan")</f>
        <v>DeMar DeRozan</v>
      </c>
      <c r="E1068" s="4" t="str">
        <f>IFERROR(__xludf.DUMMYFUNCTION("""COMPUTED_VALUE"""),"USC")</f>
        <v>USC</v>
      </c>
      <c r="F1068" s="4">
        <f>IFERROR(__xludf.DUMMYFUNCTION("""COMPUTED_VALUE"""),17.0)</f>
        <v>17</v>
      </c>
      <c r="G1068" s="4">
        <f>IFERROR(__xludf.DUMMYFUNCTION("""COMPUTED_VALUE"""),1208.0)</f>
        <v>1208</v>
      </c>
      <c r="H1068" s="4">
        <f>IFERROR(__xludf.DUMMYFUNCTION("""COMPUTED_VALUE"""),41924.0)</f>
        <v>41924</v>
      </c>
      <c r="I1068" s="4">
        <f>IFERROR(__xludf.DUMMYFUNCTION("""COMPUTED_VALUE"""),25678.0)</f>
        <v>25678</v>
      </c>
      <c r="J1068" s="4">
        <f>IFERROR(__xludf.DUMMYFUNCTION("""COMPUTED_VALUE"""),5270.0)</f>
        <v>5270</v>
      </c>
      <c r="K1068" s="4">
        <f>IFERROR(__xludf.DUMMYFUNCTION("""COMPUTED_VALUE"""),4944.0)</f>
        <v>4944</v>
      </c>
      <c r="L1068" s="4">
        <f>IFERROR(__xludf.DUMMYFUNCTION("""COMPUTED_VALUE"""),0.47)</f>
        <v>0.47</v>
      </c>
      <c r="M1068" s="4">
        <f>IFERROR(__xludf.DUMMYFUNCTION("""COMPUTED_VALUE"""),0.302)</f>
        <v>0.302</v>
      </c>
      <c r="N1068" s="4">
        <f>IFERROR(__xludf.DUMMYFUNCTION("""COMPUTED_VALUE"""),0.843)</f>
        <v>0.843</v>
      </c>
      <c r="O1068" s="4">
        <f>IFERROR(__xludf.DUMMYFUNCTION("""COMPUTED_VALUE"""),34.7)</f>
        <v>34.7</v>
      </c>
      <c r="P1068" s="4">
        <f>IFERROR(__xludf.DUMMYFUNCTION("""COMPUTED_VALUE"""),21.3)</f>
        <v>21.3</v>
      </c>
      <c r="Q1068" s="4">
        <f>IFERROR(__xludf.DUMMYFUNCTION("""COMPUTED_VALUE"""),4.4)</f>
        <v>4.4</v>
      </c>
      <c r="R1068" s="4">
        <f>IFERROR(__xludf.DUMMYFUNCTION("""COMPUTED_VALUE"""),4.1)</f>
        <v>4.1</v>
      </c>
      <c r="S1068" s="4">
        <f>IFERROR(__xludf.DUMMYFUNCTION("""COMPUTED_VALUE"""),109.9)</f>
        <v>109.9</v>
      </c>
      <c r="T1068" s="4">
        <f>IFERROR(__xludf.DUMMYFUNCTION("""COMPUTED_VALUE"""),0.126)</f>
        <v>0.126</v>
      </c>
      <c r="U1068" s="4">
        <f>IFERROR(__xludf.DUMMYFUNCTION("""COMPUTED_VALUE"""),0.8)</f>
        <v>0.8</v>
      </c>
      <c r="V1068" s="4">
        <f>IFERROR(__xludf.DUMMYFUNCTION("""COMPUTED_VALUE"""),29.7)</f>
        <v>29.7</v>
      </c>
    </row>
    <row r="1069">
      <c r="A1069" s="4">
        <f>IFERROR(__xludf.DUMMYFUNCTION("""COMPUTED_VALUE"""),10.0)</f>
        <v>10</v>
      </c>
      <c r="B1069" s="4">
        <f>IFERROR(__xludf.DUMMYFUNCTION("""COMPUTED_VALUE"""),10.0)</f>
        <v>10</v>
      </c>
      <c r="C1069" s="4" t="str">
        <f>IFERROR(__xludf.DUMMYFUNCTION("""COMPUTED_VALUE"""),"MIL")</f>
        <v>MIL</v>
      </c>
      <c r="D1069" s="4" t="str">
        <f>IFERROR(__xludf.DUMMYFUNCTION("""COMPUTED_VALUE"""),"Brandon Jennings")</f>
        <v>Brandon Jennings</v>
      </c>
      <c r="E1069" s="4"/>
      <c r="F1069" s="4">
        <f>IFERROR(__xludf.DUMMYFUNCTION("""COMPUTED_VALUE"""),9.0)</f>
        <v>9</v>
      </c>
      <c r="G1069" s="4">
        <f>IFERROR(__xludf.DUMMYFUNCTION("""COMPUTED_VALUE"""),555.0)</f>
        <v>555</v>
      </c>
      <c r="H1069" s="4">
        <f>IFERROR(__xludf.DUMMYFUNCTION("""COMPUTED_VALUE"""),16844.0)</f>
        <v>16844</v>
      </c>
      <c r="I1069" s="4">
        <f>IFERROR(__xludf.DUMMYFUNCTION("""COMPUTED_VALUE"""),7801.0)</f>
        <v>7801</v>
      </c>
      <c r="J1069" s="4">
        <f>IFERROR(__xludf.DUMMYFUNCTION("""COMPUTED_VALUE"""),1659.0)</f>
        <v>1659</v>
      </c>
      <c r="K1069" s="4">
        <f>IFERROR(__xludf.DUMMYFUNCTION("""COMPUTED_VALUE"""),3151.0)</f>
        <v>3151</v>
      </c>
      <c r="L1069" s="4">
        <f>IFERROR(__xludf.DUMMYFUNCTION("""COMPUTED_VALUE"""),0.387)</f>
        <v>0.387</v>
      </c>
      <c r="M1069" s="4">
        <f>IFERROR(__xludf.DUMMYFUNCTION("""COMPUTED_VALUE"""),0.345)</f>
        <v>0.345</v>
      </c>
      <c r="N1069" s="4">
        <f>IFERROR(__xludf.DUMMYFUNCTION("""COMPUTED_VALUE"""),0.796)</f>
        <v>0.796</v>
      </c>
      <c r="O1069" s="4">
        <f>IFERROR(__xludf.DUMMYFUNCTION("""COMPUTED_VALUE"""),30.3)</f>
        <v>30.3</v>
      </c>
      <c r="P1069" s="4">
        <f>IFERROR(__xludf.DUMMYFUNCTION("""COMPUTED_VALUE"""),14.1)</f>
        <v>14.1</v>
      </c>
      <c r="Q1069" s="4">
        <f>IFERROR(__xludf.DUMMYFUNCTION("""COMPUTED_VALUE"""),3.0)</f>
        <v>3</v>
      </c>
      <c r="R1069" s="4">
        <f>IFERROR(__xludf.DUMMYFUNCTION("""COMPUTED_VALUE"""),5.7)</f>
        <v>5.7</v>
      </c>
      <c r="S1069" s="4">
        <f>IFERROR(__xludf.DUMMYFUNCTION("""COMPUTED_VALUE"""),29.9)</f>
        <v>29.9</v>
      </c>
      <c r="T1069" s="4">
        <f>IFERROR(__xludf.DUMMYFUNCTION("""COMPUTED_VALUE"""),0.085)</f>
        <v>0.085</v>
      </c>
      <c r="U1069" s="4">
        <f>IFERROR(__xludf.DUMMYFUNCTION("""COMPUTED_VALUE"""),0.8)</f>
        <v>0.8</v>
      </c>
      <c r="V1069" s="4">
        <f>IFERROR(__xludf.DUMMYFUNCTION("""COMPUTED_VALUE"""),11.8)</f>
        <v>11.8</v>
      </c>
    </row>
    <row r="1070">
      <c r="A1070" s="4">
        <f>IFERROR(__xludf.DUMMYFUNCTION("""COMPUTED_VALUE"""),11.0)</f>
        <v>11</v>
      </c>
      <c r="B1070" s="4">
        <f>IFERROR(__xludf.DUMMYFUNCTION("""COMPUTED_VALUE"""),11.0)</f>
        <v>11</v>
      </c>
      <c r="C1070" s="4" t="str">
        <f>IFERROR(__xludf.DUMMYFUNCTION("""COMPUTED_VALUE"""),"NJN")</f>
        <v>NJN</v>
      </c>
      <c r="D1070" s="4" t="str">
        <f>IFERROR(__xludf.DUMMYFUNCTION("""COMPUTED_VALUE"""),"Terrence Williams")</f>
        <v>Terrence Williams</v>
      </c>
      <c r="E1070" s="4" t="str">
        <f>IFERROR(__xludf.DUMMYFUNCTION("""COMPUTED_VALUE"""),"Louisville")</f>
        <v>Louisville</v>
      </c>
      <c r="F1070" s="4">
        <f>IFERROR(__xludf.DUMMYFUNCTION("""COMPUTED_VALUE"""),4.0)</f>
        <v>4</v>
      </c>
      <c r="G1070" s="4">
        <f>IFERROR(__xludf.DUMMYFUNCTION("""COMPUTED_VALUE"""),153.0)</f>
        <v>153</v>
      </c>
      <c r="H1070" s="4">
        <f>IFERROR(__xludf.DUMMYFUNCTION("""COMPUTED_VALUE"""),2922.0)</f>
        <v>2922</v>
      </c>
      <c r="I1070" s="4">
        <f>IFERROR(__xludf.DUMMYFUNCTION("""COMPUTED_VALUE"""),1085.0)</f>
        <v>1085</v>
      </c>
      <c r="J1070" s="4">
        <f>IFERROR(__xludf.DUMMYFUNCTION("""COMPUTED_VALUE"""),545.0)</f>
        <v>545</v>
      </c>
      <c r="K1070" s="4">
        <f>IFERROR(__xludf.DUMMYFUNCTION("""COMPUTED_VALUE"""),364.0)</f>
        <v>364</v>
      </c>
      <c r="L1070" s="4">
        <f>IFERROR(__xludf.DUMMYFUNCTION("""COMPUTED_VALUE"""),0.412)</f>
        <v>0.412</v>
      </c>
      <c r="M1070" s="4">
        <f>IFERROR(__xludf.DUMMYFUNCTION("""COMPUTED_VALUE"""),0.317)</f>
        <v>0.317</v>
      </c>
      <c r="N1070" s="4">
        <f>IFERROR(__xludf.DUMMYFUNCTION("""COMPUTED_VALUE"""),0.659)</f>
        <v>0.659</v>
      </c>
      <c r="O1070" s="4">
        <f>IFERROR(__xludf.DUMMYFUNCTION("""COMPUTED_VALUE"""),19.1)</f>
        <v>19.1</v>
      </c>
      <c r="P1070" s="4">
        <f>IFERROR(__xludf.DUMMYFUNCTION("""COMPUTED_VALUE"""),7.1)</f>
        <v>7.1</v>
      </c>
      <c r="Q1070" s="4">
        <f>IFERROR(__xludf.DUMMYFUNCTION("""COMPUTED_VALUE"""),3.6)</f>
        <v>3.6</v>
      </c>
      <c r="R1070" s="4">
        <f>IFERROR(__xludf.DUMMYFUNCTION("""COMPUTED_VALUE"""),2.4)</f>
        <v>2.4</v>
      </c>
      <c r="S1070" s="4">
        <f>IFERROR(__xludf.DUMMYFUNCTION("""COMPUTED_VALUE"""),-0.2)</f>
        <v>-0.2</v>
      </c>
      <c r="T1070" s="4">
        <f>IFERROR(__xludf.DUMMYFUNCTION("""COMPUTED_VALUE"""),-0.004)</f>
        <v>-0.004</v>
      </c>
      <c r="U1070" s="4">
        <f>IFERROR(__xludf.DUMMYFUNCTION("""COMPUTED_VALUE"""),-2.8)</f>
        <v>-2.8</v>
      </c>
      <c r="V1070" s="4">
        <f>IFERROR(__xludf.DUMMYFUNCTION("""COMPUTED_VALUE"""),-0.6)</f>
        <v>-0.6</v>
      </c>
    </row>
    <row r="1071">
      <c r="A1071" s="4">
        <f>IFERROR(__xludf.DUMMYFUNCTION("""COMPUTED_VALUE"""),12.0)</f>
        <v>12</v>
      </c>
      <c r="B1071" s="4">
        <f>IFERROR(__xludf.DUMMYFUNCTION("""COMPUTED_VALUE"""),12.0)</f>
        <v>12</v>
      </c>
      <c r="C1071" s="4" t="str">
        <f>IFERROR(__xludf.DUMMYFUNCTION("""COMPUTED_VALUE"""),"CHA")</f>
        <v>CHA</v>
      </c>
      <c r="D1071" s="4" t="str">
        <f>IFERROR(__xludf.DUMMYFUNCTION("""COMPUTED_VALUE"""),"Gerald Henderson")</f>
        <v>Gerald Henderson</v>
      </c>
      <c r="E1071" s="4" t="str">
        <f>IFERROR(__xludf.DUMMYFUNCTION("""COMPUTED_VALUE"""),"Duke")</f>
        <v>Duke</v>
      </c>
      <c r="F1071" s="4">
        <f>IFERROR(__xludf.DUMMYFUNCTION("""COMPUTED_VALUE"""),8.0)</f>
        <v>8</v>
      </c>
      <c r="G1071" s="4">
        <f>IFERROR(__xludf.DUMMYFUNCTION("""COMPUTED_VALUE"""),535.0)</f>
        <v>535</v>
      </c>
      <c r="H1071" s="4">
        <f>IFERROR(__xludf.DUMMYFUNCTION("""COMPUTED_VALUE"""),13854.0)</f>
        <v>13854</v>
      </c>
      <c r="I1071" s="4">
        <f>IFERROR(__xludf.DUMMYFUNCTION("""COMPUTED_VALUE"""),5987.0)</f>
        <v>5987</v>
      </c>
      <c r="J1071" s="4">
        <f>IFERROR(__xludf.DUMMYFUNCTION("""COMPUTED_VALUE"""),1716.0)</f>
        <v>1716</v>
      </c>
      <c r="K1071" s="4">
        <f>IFERROR(__xludf.DUMMYFUNCTION("""COMPUTED_VALUE"""),1009.0)</f>
        <v>1009</v>
      </c>
      <c r="L1071" s="4">
        <f>IFERROR(__xludf.DUMMYFUNCTION("""COMPUTED_VALUE"""),0.44)</f>
        <v>0.44</v>
      </c>
      <c r="M1071" s="4">
        <f>IFERROR(__xludf.DUMMYFUNCTION("""COMPUTED_VALUE"""),0.327)</f>
        <v>0.327</v>
      </c>
      <c r="N1071" s="4">
        <f>IFERROR(__xludf.DUMMYFUNCTION("""COMPUTED_VALUE"""),0.793)</f>
        <v>0.793</v>
      </c>
      <c r="O1071" s="4">
        <f>IFERROR(__xludf.DUMMYFUNCTION("""COMPUTED_VALUE"""),25.9)</f>
        <v>25.9</v>
      </c>
      <c r="P1071" s="4">
        <f>IFERROR(__xludf.DUMMYFUNCTION("""COMPUTED_VALUE"""),11.2)</f>
        <v>11.2</v>
      </c>
      <c r="Q1071" s="4">
        <f>IFERROR(__xludf.DUMMYFUNCTION("""COMPUTED_VALUE"""),3.2)</f>
        <v>3.2</v>
      </c>
      <c r="R1071" s="4">
        <f>IFERROR(__xludf.DUMMYFUNCTION("""COMPUTED_VALUE"""),1.9)</f>
        <v>1.9</v>
      </c>
      <c r="S1071" s="4">
        <f>IFERROR(__xludf.DUMMYFUNCTION("""COMPUTED_VALUE"""),18.3)</f>
        <v>18.3</v>
      </c>
      <c r="T1071" s="4">
        <f>IFERROR(__xludf.DUMMYFUNCTION("""COMPUTED_VALUE"""),0.063)</f>
        <v>0.063</v>
      </c>
      <c r="U1071" s="4">
        <f>IFERROR(__xludf.DUMMYFUNCTION("""COMPUTED_VALUE"""),-1.8)</f>
        <v>-1.8</v>
      </c>
      <c r="V1071" s="4">
        <f>IFERROR(__xludf.DUMMYFUNCTION("""COMPUTED_VALUE"""),0.6)</f>
        <v>0.6</v>
      </c>
    </row>
    <row r="1072">
      <c r="A1072" s="4">
        <f>IFERROR(__xludf.DUMMYFUNCTION("""COMPUTED_VALUE"""),13.0)</f>
        <v>13</v>
      </c>
      <c r="B1072" s="4">
        <f>IFERROR(__xludf.DUMMYFUNCTION("""COMPUTED_VALUE"""),13.0)</f>
        <v>13</v>
      </c>
      <c r="C1072" s="4" t="str">
        <f>IFERROR(__xludf.DUMMYFUNCTION("""COMPUTED_VALUE"""),"IND")</f>
        <v>IND</v>
      </c>
      <c r="D1072" s="4" t="str">
        <f>IFERROR(__xludf.DUMMYFUNCTION("""COMPUTED_VALUE"""),"Tyler Hansbrough")</f>
        <v>Tyler Hansbrough</v>
      </c>
      <c r="E1072" s="4" t="str">
        <f>IFERROR(__xludf.DUMMYFUNCTION("""COMPUTED_VALUE"""),"UNC")</f>
        <v>UNC</v>
      </c>
      <c r="F1072" s="4">
        <f>IFERROR(__xludf.DUMMYFUNCTION("""COMPUTED_VALUE"""),7.0)</f>
        <v>7</v>
      </c>
      <c r="G1072" s="4">
        <f>IFERROR(__xludf.DUMMYFUNCTION("""COMPUTED_VALUE"""),428.0)</f>
        <v>428</v>
      </c>
      <c r="H1072" s="4">
        <f>IFERROR(__xludf.DUMMYFUNCTION("""COMPUTED_VALUE"""),7233.0)</f>
        <v>7233</v>
      </c>
      <c r="I1072" s="4">
        <f>IFERROR(__xludf.DUMMYFUNCTION("""COMPUTED_VALUE"""),2881.0)</f>
        <v>2881</v>
      </c>
      <c r="J1072" s="4">
        <f>IFERROR(__xludf.DUMMYFUNCTION("""COMPUTED_VALUE"""),1808.0)</f>
        <v>1808</v>
      </c>
      <c r="K1072" s="4">
        <f>IFERROR(__xludf.DUMMYFUNCTION("""COMPUTED_VALUE"""),181.0)</f>
        <v>181</v>
      </c>
      <c r="L1072" s="4">
        <f>IFERROR(__xludf.DUMMYFUNCTION("""COMPUTED_VALUE"""),0.439)</f>
        <v>0.439</v>
      </c>
      <c r="M1072" s="4">
        <f>IFERROR(__xludf.DUMMYFUNCTION("""COMPUTED_VALUE"""),0.136)</f>
        <v>0.136</v>
      </c>
      <c r="N1072" s="4">
        <f>IFERROR(__xludf.DUMMYFUNCTION("""COMPUTED_VALUE"""),0.738)</f>
        <v>0.738</v>
      </c>
      <c r="O1072" s="4">
        <f>IFERROR(__xludf.DUMMYFUNCTION("""COMPUTED_VALUE"""),16.9)</f>
        <v>16.9</v>
      </c>
      <c r="P1072" s="4">
        <f>IFERROR(__xludf.DUMMYFUNCTION("""COMPUTED_VALUE"""),6.7)</f>
        <v>6.7</v>
      </c>
      <c r="Q1072" s="4">
        <f>IFERROR(__xludf.DUMMYFUNCTION("""COMPUTED_VALUE"""),4.2)</f>
        <v>4.2</v>
      </c>
      <c r="R1072" s="4">
        <f>IFERROR(__xludf.DUMMYFUNCTION("""COMPUTED_VALUE"""),0.4)</f>
        <v>0.4</v>
      </c>
      <c r="S1072" s="4">
        <f>IFERROR(__xludf.DUMMYFUNCTION("""COMPUTED_VALUE"""),20.2)</f>
        <v>20.2</v>
      </c>
      <c r="T1072" s="4">
        <f>IFERROR(__xludf.DUMMYFUNCTION("""COMPUTED_VALUE"""),0.134)</f>
        <v>0.134</v>
      </c>
      <c r="U1072" s="4">
        <f>IFERROR(__xludf.DUMMYFUNCTION("""COMPUTED_VALUE"""),-2.0)</f>
        <v>-2</v>
      </c>
      <c r="V1072" s="4">
        <f>IFERROR(__xludf.DUMMYFUNCTION("""COMPUTED_VALUE"""),0.0)</f>
        <v>0</v>
      </c>
    </row>
    <row r="1073">
      <c r="A1073" s="4">
        <f>IFERROR(__xludf.DUMMYFUNCTION("""COMPUTED_VALUE"""),14.0)</f>
        <v>14</v>
      </c>
      <c r="B1073" s="4">
        <f>IFERROR(__xludf.DUMMYFUNCTION("""COMPUTED_VALUE"""),14.0)</f>
        <v>14</v>
      </c>
      <c r="C1073" s="4" t="str">
        <f>IFERROR(__xludf.DUMMYFUNCTION("""COMPUTED_VALUE"""),"PHO")</f>
        <v>PHO</v>
      </c>
      <c r="D1073" s="4" t="str">
        <f>IFERROR(__xludf.DUMMYFUNCTION("""COMPUTED_VALUE"""),"Earl Clark")</f>
        <v>Earl Clark</v>
      </c>
      <c r="E1073" s="4" t="str">
        <f>IFERROR(__xludf.DUMMYFUNCTION("""COMPUTED_VALUE"""),"Louisville")</f>
        <v>Louisville</v>
      </c>
      <c r="F1073" s="4">
        <f>IFERROR(__xludf.DUMMYFUNCTION("""COMPUTED_VALUE"""),6.0)</f>
        <v>6</v>
      </c>
      <c r="G1073" s="4">
        <f>IFERROR(__xludf.DUMMYFUNCTION("""COMPUTED_VALUE"""),261.0)</f>
        <v>261</v>
      </c>
      <c r="H1073" s="4">
        <f>IFERROR(__xludf.DUMMYFUNCTION("""COMPUTED_VALUE"""),3630.0)</f>
        <v>3630</v>
      </c>
      <c r="I1073" s="4">
        <f>IFERROR(__xludf.DUMMYFUNCTION("""COMPUTED_VALUE"""),1138.0)</f>
        <v>1138</v>
      </c>
      <c r="J1073" s="4">
        <f>IFERROR(__xludf.DUMMYFUNCTION("""COMPUTED_VALUE"""),778.0)</f>
        <v>778</v>
      </c>
      <c r="K1073" s="4">
        <f>IFERROR(__xludf.DUMMYFUNCTION("""COMPUTED_VALUE"""),134.0)</f>
        <v>134</v>
      </c>
      <c r="L1073" s="4">
        <f>IFERROR(__xludf.DUMMYFUNCTION("""COMPUTED_VALUE"""),0.403)</f>
        <v>0.403</v>
      </c>
      <c r="M1073" s="4">
        <f>IFERROR(__xludf.DUMMYFUNCTION("""COMPUTED_VALUE"""),0.328)</f>
        <v>0.328</v>
      </c>
      <c r="N1073" s="4">
        <f>IFERROR(__xludf.DUMMYFUNCTION("""COMPUTED_VALUE"""),0.664)</f>
        <v>0.664</v>
      </c>
      <c r="O1073" s="4">
        <f>IFERROR(__xludf.DUMMYFUNCTION("""COMPUTED_VALUE"""),13.9)</f>
        <v>13.9</v>
      </c>
      <c r="P1073" s="4">
        <f>IFERROR(__xludf.DUMMYFUNCTION("""COMPUTED_VALUE"""),4.4)</f>
        <v>4.4</v>
      </c>
      <c r="Q1073" s="4">
        <f>IFERROR(__xludf.DUMMYFUNCTION("""COMPUTED_VALUE"""),3.0)</f>
        <v>3</v>
      </c>
      <c r="R1073" s="4">
        <f>IFERROR(__xludf.DUMMYFUNCTION("""COMPUTED_VALUE"""),0.5)</f>
        <v>0.5</v>
      </c>
      <c r="S1073" s="4">
        <f>IFERROR(__xludf.DUMMYFUNCTION("""COMPUTED_VALUE"""),2.9)</f>
        <v>2.9</v>
      </c>
      <c r="T1073" s="4">
        <f>IFERROR(__xludf.DUMMYFUNCTION("""COMPUTED_VALUE"""),0.038)</f>
        <v>0.038</v>
      </c>
      <c r="U1073" s="4">
        <f>IFERROR(__xludf.DUMMYFUNCTION("""COMPUTED_VALUE"""),-2.8)</f>
        <v>-2.8</v>
      </c>
      <c r="V1073" s="4">
        <f>IFERROR(__xludf.DUMMYFUNCTION("""COMPUTED_VALUE"""),-0.8)</f>
        <v>-0.8</v>
      </c>
    </row>
    <row r="1074">
      <c r="A1074" s="4">
        <f>IFERROR(__xludf.DUMMYFUNCTION("""COMPUTED_VALUE"""),15.0)</f>
        <v>15</v>
      </c>
      <c r="B1074" s="4">
        <f>IFERROR(__xludf.DUMMYFUNCTION("""COMPUTED_VALUE"""),15.0)</f>
        <v>15</v>
      </c>
      <c r="C1074" s="4" t="str">
        <f>IFERROR(__xludf.DUMMYFUNCTION("""COMPUTED_VALUE"""),"DET")</f>
        <v>DET</v>
      </c>
      <c r="D1074" s="4" t="str">
        <f>IFERROR(__xludf.DUMMYFUNCTION("""COMPUTED_VALUE"""),"Austin Daye")</f>
        <v>Austin Daye</v>
      </c>
      <c r="E1074" s="4" t="str">
        <f>IFERROR(__xludf.DUMMYFUNCTION("""COMPUTED_VALUE"""),"Gonzaga")</f>
        <v>Gonzaga</v>
      </c>
      <c r="F1074" s="4">
        <f>IFERROR(__xludf.DUMMYFUNCTION("""COMPUTED_VALUE"""),6.0)</f>
        <v>6</v>
      </c>
      <c r="G1074" s="4">
        <f>IFERROR(__xludf.DUMMYFUNCTION("""COMPUTED_VALUE"""),293.0)</f>
        <v>293</v>
      </c>
      <c r="H1074" s="4">
        <f>IFERROR(__xludf.DUMMYFUNCTION("""COMPUTED_VALUE"""),4132.0)</f>
        <v>4132</v>
      </c>
      <c r="I1074" s="4">
        <f>IFERROR(__xludf.DUMMYFUNCTION("""COMPUTED_VALUE"""),1522.0)</f>
        <v>1522</v>
      </c>
      <c r="J1074" s="4">
        <f>IFERROR(__xludf.DUMMYFUNCTION("""COMPUTED_VALUE"""),764.0)</f>
        <v>764</v>
      </c>
      <c r="K1074" s="4">
        <f>IFERROR(__xludf.DUMMYFUNCTION("""COMPUTED_VALUE"""),212.0)</f>
        <v>212</v>
      </c>
      <c r="L1074" s="4">
        <f>IFERROR(__xludf.DUMMYFUNCTION("""COMPUTED_VALUE"""),0.402)</f>
        <v>0.402</v>
      </c>
      <c r="M1074" s="4">
        <f>IFERROR(__xludf.DUMMYFUNCTION("""COMPUTED_VALUE"""),0.351)</f>
        <v>0.351</v>
      </c>
      <c r="N1074" s="4">
        <f>IFERROR(__xludf.DUMMYFUNCTION("""COMPUTED_VALUE"""),0.778)</f>
        <v>0.778</v>
      </c>
      <c r="O1074" s="4">
        <f>IFERROR(__xludf.DUMMYFUNCTION("""COMPUTED_VALUE"""),14.1)</f>
        <v>14.1</v>
      </c>
      <c r="P1074" s="4">
        <f>IFERROR(__xludf.DUMMYFUNCTION("""COMPUTED_VALUE"""),5.2)</f>
        <v>5.2</v>
      </c>
      <c r="Q1074" s="4">
        <f>IFERROR(__xludf.DUMMYFUNCTION("""COMPUTED_VALUE"""),2.6)</f>
        <v>2.6</v>
      </c>
      <c r="R1074" s="4">
        <f>IFERROR(__xludf.DUMMYFUNCTION("""COMPUTED_VALUE"""),0.7)</f>
        <v>0.7</v>
      </c>
      <c r="S1074" s="4">
        <f>IFERROR(__xludf.DUMMYFUNCTION("""COMPUTED_VALUE"""),4.5)</f>
        <v>4.5</v>
      </c>
      <c r="T1074" s="4">
        <f>IFERROR(__xludf.DUMMYFUNCTION("""COMPUTED_VALUE"""),0.053)</f>
        <v>0.053</v>
      </c>
      <c r="U1074" s="4">
        <f>IFERROR(__xludf.DUMMYFUNCTION("""COMPUTED_VALUE"""),-2.0)</f>
        <v>-2</v>
      </c>
      <c r="V1074" s="4">
        <f>IFERROR(__xludf.DUMMYFUNCTION("""COMPUTED_VALUE"""),0.0)</f>
        <v>0</v>
      </c>
    </row>
    <row r="1075">
      <c r="A1075" s="4">
        <f>IFERROR(__xludf.DUMMYFUNCTION("""COMPUTED_VALUE"""),16.0)</f>
        <v>16</v>
      </c>
      <c r="B1075" s="4">
        <f>IFERROR(__xludf.DUMMYFUNCTION("""COMPUTED_VALUE"""),16.0)</f>
        <v>16</v>
      </c>
      <c r="C1075" s="4" t="str">
        <f>IFERROR(__xludf.DUMMYFUNCTION("""COMPUTED_VALUE"""),"CHI")</f>
        <v>CHI</v>
      </c>
      <c r="D1075" s="4" t="str">
        <f>IFERROR(__xludf.DUMMYFUNCTION("""COMPUTED_VALUE"""),"James Johnson")</f>
        <v>James Johnson</v>
      </c>
      <c r="E1075" s="4" t="str">
        <f>IFERROR(__xludf.DUMMYFUNCTION("""COMPUTED_VALUE"""),"Wake Forest")</f>
        <v>Wake Forest</v>
      </c>
      <c r="F1075" s="4">
        <f>IFERROR(__xludf.DUMMYFUNCTION("""COMPUTED_VALUE"""),16.0)</f>
        <v>16</v>
      </c>
      <c r="G1075" s="4">
        <f>IFERROR(__xludf.DUMMYFUNCTION("""COMPUTED_VALUE"""),786.0)</f>
        <v>786</v>
      </c>
      <c r="H1075" s="4">
        <f>IFERROR(__xludf.DUMMYFUNCTION("""COMPUTED_VALUE"""),15561.0)</f>
        <v>15561</v>
      </c>
      <c r="I1075" s="4">
        <f>IFERROR(__xludf.DUMMYFUNCTION("""COMPUTED_VALUE"""),5830.0)</f>
        <v>5830</v>
      </c>
      <c r="J1075" s="4">
        <f>IFERROR(__xludf.DUMMYFUNCTION("""COMPUTED_VALUE"""),2716.0)</f>
        <v>2716</v>
      </c>
      <c r="K1075" s="4">
        <f>IFERROR(__xludf.DUMMYFUNCTION("""COMPUTED_VALUE"""),1610.0)</f>
        <v>1610</v>
      </c>
      <c r="L1075" s="4">
        <f>IFERROR(__xludf.DUMMYFUNCTION("""COMPUTED_VALUE"""),0.473)</f>
        <v>0.473</v>
      </c>
      <c r="M1075" s="4">
        <f>IFERROR(__xludf.DUMMYFUNCTION("""COMPUTED_VALUE"""),0.3)</f>
        <v>0.3</v>
      </c>
      <c r="N1075" s="4">
        <f>IFERROR(__xludf.DUMMYFUNCTION("""COMPUTED_VALUE"""),0.678)</f>
        <v>0.678</v>
      </c>
      <c r="O1075" s="4">
        <f>IFERROR(__xludf.DUMMYFUNCTION("""COMPUTED_VALUE"""),19.8)</f>
        <v>19.8</v>
      </c>
      <c r="P1075" s="4">
        <f>IFERROR(__xludf.DUMMYFUNCTION("""COMPUTED_VALUE"""),7.4)</f>
        <v>7.4</v>
      </c>
      <c r="Q1075" s="4">
        <f>IFERROR(__xludf.DUMMYFUNCTION("""COMPUTED_VALUE"""),3.5)</f>
        <v>3.5</v>
      </c>
      <c r="R1075" s="4">
        <f>IFERROR(__xludf.DUMMYFUNCTION("""COMPUTED_VALUE"""),2.0)</f>
        <v>2</v>
      </c>
      <c r="S1075" s="4">
        <f>IFERROR(__xludf.DUMMYFUNCTION("""COMPUTED_VALUE"""),27.4)</f>
        <v>27.4</v>
      </c>
      <c r="T1075" s="4">
        <f>IFERROR(__xludf.DUMMYFUNCTION("""COMPUTED_VALUE"""),0.084)</f>
        <v>0.084</v>
      </c>
      <c r="U1075" s="4">
        <f>IFERROR(__xludf.DUMMYFUNCTION("""COMPUTED_VALUE"""),0.4)</f>
        <v>0.4</v>
      </c>
      <c r="V1075" s="4">
        <f>IFERROR(__xludf.DUMMYFUNCTION("""COMPUTED_VALUE"""),9.3)</f>
        <v>9.3</v>
      </c>
    </row>
    <row r="1076">
      <c r="A1076" s="4">
        <f>IFERROR(__xludf.DUMMYFUNCTION("""COMPUTED_VALUE"""),17.0)</f>
        <v>17</v>
      </c>
      <c r="B1076" s="4">
        <f>IFERROR(__xludf.DUMMYFUNCTION("""COMPUTED_VALUE"""),17.0)</f>
        <v>17</v>
      </c>
      <c r="C1076" s="4" t="str">
        <f>IFERROR(__xludf.DUMMYFUNCTION("""COMPUTED_VALUE"""),"PHI")</f>
        <v>PHI</v>
      </c>
      <c r="D1076" s="4" t="str">
        <f>IFERROR(__xludf.DUMMYFUNCTION("""COMPUTED_VALUE"""),"Jrue Holiday")</f>
        <v>Jrue Holiday</v>
      </c>
      <c r="E1076" s="4" t="str">
        <f>IFERROR(__xludf.DUMMYFUNCTION("""COMPUTED_VALUE"""),"UCLA")</f>
        <v>UCLA</v>
      </c>
      <c r="F1076" s="4">
        <f>IFERROR(__xludf.DUMMYFUNCTION("""COMPUTED_VALUE"""),17.0)</f>
        <v>17</v>
      </c>
      <c r="G1076" s="4">
        <f>IFERROR(__xludf.DUMMYFUNCTION("""COMPUTED_VALUE"""),1049.0)</f>
        <v>1049</v>
      </c>
      <c r="H1076" s="4">
        <f>IFERROR(__xludf.DUMMYFUNCTION("""COMPUTED_VALUE"""),34561.0)</f>
        <v>34561</v>
      </c>
      <c r="I1076" s="4">
        <f>IFERROR(__xludf.DUMMYFUNCTION("""COMPUTED_VALUE"""),16622.0)</f>
        <v>16622</v>
      </c>
      <c r="J1076" s="4">
        <f>IFERROR(__xludf.DUMMYFUNCTION("""COMPUTED_VALUE"""),4403.0)</f>
        <v>4403</v>
      </c>
      <c r="K1076" s="4">
        <f>IFERROR(__xludf.DUMMYFUNCTION("""COMPUTED_VALUE"""),6539.0)</f>
        <v>6539</v>
      </c>
      <c r="L1076" s="4">
        <f>IFERROR(__xludf.DUMMYFUNCTION("""COMPUTED_VALUE"""),0.462)</f>
        <v>0.462</v>
      </c>
      <c r="M1076" s="4">
        <f>IFERROR(__xludf.DUMMYFUNCTION("""COMPUTED_VALUE"""),0.369)</f>
        <v>0.369</v>
      </c>
      <c r="N1076" s="4">
        <f>IFERROR(__xludf.DUMMYFUNCTION("""COMPUTED_VALUE"""),0.788)</f>
        <v>0.788</v>
      </c>
      <c r="O1076" s="4">
        <f>IFERROR(__xludf.DUMMYFUNCTION("""COMPUTED_VALUE"""),32.9)</f>
        <v>32.9</v>
      </c>
      <c r="P1076" s="4">
        <f>IFERROR(__xludf.DUMMYFUNCTION("""COMPUTED_VALUE"""),15.8)</f>
        <v>15.8</v>
      </c>
      <c r="Q1076" s="4">
        <f>IFERROR(__xludf.DUMMYFUNCTION("""COMPUTED_VALUE"""),4.2)</f>
        <v>4.2</v>
      </c>
      <c r="R1076" s="4">
        <f>IFERROR(__xludf.DUMMYFUNCTION("""COMPUTED_VALUE"""),6.2)</f>
        <v>6.2</v>
      </c>
      <c r="S1076" s="4">
        <f>IFERROR(__xludf.DUMMYFUNCTION("""COMPUTED_VALUE"""),75.5)</f>
        <v>75.5</v>
      </c>
      <c r="T1076" s="4">
        <f>IFERROR(__xludf.DUMMYFUNCTION("""COMPUTED_VALUE"""),0.105)</f>
        <v>0.105</v>
      </c>
      <c r="U1076" s="4">
        <f>IFERROR(__xludf.DUMMYFUNCTION("""COMPUTED_VALUE"""),1.6)</f>
        <v>1.6</v>
      </c>
      <c r="V1076" s="4">
        <f>IFERROR(__xludf.DUMMYFUNCTION("""COMPUTED_VALUE"""),31.6)</f>
        <v>31.6</v>
      </c>
    </row>
    <row r="1077">
      <c r="A1077" s="4">
        <f>IFERROR(__xludf.DUMMYFUNCTION("""COMPUTED_VALUE"""),18.0)</f>
        <v>18</v>
      </c>
      <c r="B1077" s="4">
        <f>IFERROR(__xludf.DUMMYFUNCTION("""COMPUTED_VALUE"""),18.0)</f>
        <v>18</v>
      </c>
      <c r="C1077" s="4" t="str">
        <f>IFERROR(__xludf.DUMMYFUNCTION("""COMPUTED_VALUE"""),"MIN")</f>
        <v>MIN</v>
      </c>
      <c r="D1077" s="4" t="str">
        <f>IFERROR(__xludf.DUMMYFUNCTION("""COMPUTED_VALUE"""),"Ty Lawson")</f>
        <v>Ty Lawson</v>
      </c>
      <c r="E1077" s="4" t="str">
        <f>IFERROR(__xludf.DUMMYFUNCTION("""COMPUTED_VALUE"""),"UNC")</f>
        <v>UNC</v>
      </c>
      <c r="F1077" s="4">
        <f>IFERROR(__xludf.DUMMYFUNCTION("""COMPUTED_VALUE"""),8.0)</f>
        <v>8</v>
      </c>
      <c r="G1077" s="4">
        <f>IFERROR(__xludf.DUMMYFUNCTION("""COMPUTED_VALUE"""),551.0)</f>
        <v>551</v>
      </c>
      <c r="H1077" s="4">
        <f>IFERROR(__xludf.DUMMYFUNCTION("""COMPUTED_VALUE"""),16088.0)</f>
        <v>16088</v>
      </c>
      <c r="I1077" s="4">
        <f>IFERROR(__xludf.DUMMYFUNCTION("""COMPUTED_VALUE"""),6977.0)</f>
        <v>6977</v>
      </c>
      <c r="J1077" s="4">
        <f>IFERROR(__xludf.DUMMYFUNCTION("""COMPUTED_VALUE"""),1506.0)</f>
        <v>1506</v>
      </c>
      <c r="K1077" s="4">
        <f>IFERROR(__xludf.DUMMYFUNCTION("""COMPUTED_VALUE"""),3316.0)</f>
        <v>3316</v>
      </c>
      <c r="L1077" s="4">
        <f>IFERROR(__xludf.DUMMYFUNCTION("""COMPUTED_VALUE"""),0.46)</f>
        <v>0.46</v>
      </c>
      <c r="M1077" s="4">
        <f>IFERROR(__xludf.DUMMYFUNCTION("""COMPUTED_VALUE"""),0.359)</f>
        <v>0.359</v>
      </c>
      <c r="N1077" s="4">
        <f>IFERROR(__xludf.DUMMYFUNCTION("""COMPUTED_VALUE"""),0.77)</f>
        <v>0.77</v>
      </c>
      <c r="O1077" s="4">
        <f>IFERROR(__xludf.DUMMYFUNCTION("""COMPUTED_VALUE"""),29.2)</f>
        <v>29.2</v>
      </c>
      <c r="P1077" s="4">
        <f>IFERROR(__xludf.DUMMYFUNCTION("""COMPUTED_VALUE"""),12.7)</f>
        <v>12.7</v>
      </c>
      <c r="Q1077" s="4">
        <f>IFERROR(__xludf.DUMMYFUNCTION("""COMPUTED_VALUE"""),2.7)</f>
        <v>2.7</v>
      </c>
      <c r="R1077" s="4">
        <f>IFERROR(__xludf.DUMMYFUNCTION("""COMPUTED_VALUE"""),6.0)</f>
        <v>6</v>
      </c>
      <c r="S1077" s="4">
        <f>IFERROR(__xludf.DUMMYFUNCTION("""COMPUTED_VALUE"""),42.1)</f>
        <v>42.1</v>
      </c>
      <c r="T1077" s="4">
        <f>IFERROR(__xludf.DUMMYFUNCTION("""COMPUTED_VALUE"""),0.126)</f>
        <v>0.126</v>
      </c>
      <c r="U1077" s="4">
        <f>IFERROR(__xludf.DUMMYFUNCTION("""COMPUTED_VALUE"""),1.4)</f>
        <v>1.4</v>
      </c>
      <c r="V1077" s="4">
        <f>IFERROR(__xludf.DUMMYFUNCTION("""COMPUTED_VALUE"""),13.6)</f>
        <v>13.6</v>
      </c>
    </row>
    <row r="1078">
      <c r="A1078" s="4">
        <f>IFERROR(__xludf.DUMMYFUNCTION("""COMPUTED_VALUE"""),19.0)</f>
        <v>19</v>
      </c>
      <c r="B1078" s="4">
        <f>IFERROR(__xludf.DUMMYFUNCTION("""COMPUTED_VALUE"""),19.0)</f>
        <v>19</v>
      </c>
      <c r="C1078" s="4" t="str">
        <f>IFERROR(__xludf.DUMMYFUNCTION("""COMPUTED_VALUE"""),"ATL")</f>
        <v>ATL</v>
      </c>
      <c r="D1078" s="4" t="str">
        <f>IFERROR(__xludf.DUMMYFUNCTION("""COMPUTED_VALUE"""),"Jeff Teague")</f>
        <v>Jeff Teague</v>
      </c>
      <c r="E1078" s="4" t="str">
        <f>IFERROR(__xludf.DUMMYFUNCTION("""COMPUTED_VALUE"""),"Wake Forest")</f>
        <v>Wake Forest</v>
      </c>
      <c r="F1078" s="4">
        <f>IFERROR(__xludf.DUMMYFUNCTION("""COMPUTED_VALUE"""),12.0)</f>
        <v>12</v>
      </c>
      <c r="G1078" s="4">
        <f>IFERROR(__xludf.DUMMYFUNCTION("""COMPUTED_VALUE"""),826.0)</f>
        <v>826</v>
      </c>
      <c r="H1078" s="4">
        <f>IFERROR(__xludf.DUMMYFUNCTION("""COMPUTED_VALUE"""),22164.0)</f>
        <v>22164</v>
      </c>
      <c r="I1078" s="4">
        <f>IFERROR(__xludf.DUMMYFUNCTION("""COMPUTED_VALUE"""),10061.0)</f>
        <v>10061</v>
      </c>
      <c r="J1078" s="4">
        <f>IFERROR(__xludf.DUMMYFUNCTION("""COMPUTED_VALUE"""),1989.0)</f>
        <v>1989</v>
      </c>
      <c r="K1078" s="4">
        <f>IFERROR(__xludf.DUMMYFUNCTION("""COMPUTED_VALUE"""),4585.0)</f>
        <v>4585</v>
      </c>
      <c r="L1078" s="4">
        <f>IFERROR(__xludf.DUMMYFUNCTION("""COMPUTED_VALUE"""),0.444)</f>
        <v>0.444</v>
      </c>
      <c r="M1078" s="4">
        <f>IFERROR(__xludf.DUMMYFUNCTION("""COMPUTED_VALUE"""),0.36)</f>
        <v>0.36</v>
      </c>
      <c r="N1078" s="4">
        <f>IFERROR(__xludf.DUMMYFUNCTION("""COMPUTED_VALUE"""),0.844)</f>
        <v>0.844</v>
      </c>
      <c r="O1078" s="4">
        <f>IFERROR(__xludf.DUMMYFUNCTION("""COMPUTED_VALUE"""),26.8)</f>
        <v>26.8</v>
      </c>
      <c r="P1078" s="4">
        <f>IFERROR(__xludf.DUMMYFUNCTION("""COMPUTED_VALUE"""),12.2)</f>
        <v>12.2</v>
      </c>
      <c r="Q1078" s="4">
        <f>IFERROR(__xludf.DUMMYFUNCTION("""COMPUTED_VALUE"""),2.4)</f>
        <v>2.4</v>
      </c>
      <c r="R1078" s="4">
        <f>IFERROR(__xludf.DUMMYFUNCTION("""COMPUTED_VALUE"""),5.6)</f>
        <v>5.6</v>
      </c>
      <c r="S1078" s="4">
        <f>IFERROR(__xludf.DUMMYFUNCTION("""COMPUTED_VALUE"""),52.4)</f>
        <v>52.4</v>
      </c>
      <c r="T1078" s="4">
        <f>IFERROR(__xludf.DUMMYFUNCTION("""COMPUTED_VALUE"""),0.113)</f>
        <v>0.113</v>
      </c>
      <c r="U1078" s="4">
        <f>IFERROR(__xludf.DUMMYFUNCTION("""COMPUTED_VALUE"""),0.6)</f>
        <v>0.6</v>
      </c>
      <c r="V1078" s="4">
        <f>IFERROR(__xludf.DUMMYFUNCTION("""COMPUTED_VALUE"""),14.3)</f>
        <v>14.3</v>
      </c>
    </row>
    <row r="1079">
      <c r="A1079" s="4">
        <f>IFERROR(__xludf.DUMMYFUNCTION("""COMPUTED_VALUE"""),20.0)</f>
        <v>20</v>
      </c>
      <c r="B1079" s="4">
        <f>IFERROR(__xludf.DUMMYFUNCTION("""COMPUTED_VALUE"""),20.0)</f>
        <v>20</v>
      </c>
      <c r="C1079" s="4" t="str">
        <f>IFERROR(__xludf.DUMMYFUNCTION("""COMPUTED_VALUE"""),"UTA")</f>
        <v>UTA</v>
      </c>
      <c r="D1079" s="4" t="str">
        <f>IFERROR(__xludf.DUMMYFUNCTION("""COMPUTED_VALUE"""),"Eric Maynor")</f>
        <v>Eric Maynor</v>
      </c>
      <c r="E1079" s="4" t="str">
        <f>IFERROR(__xludf.DUMMYFUNCTION("""COMPUTED_VALUE"""),"VCU")</f>
        <v>VCU</v>
      </c>
      <c r="F1079" s="4">
        <f>IFERROR(__xludf.DUMMYFUNCTION("""COMPUTED_VALUE"""),5.0)</f>
        <v>5</v>
      </c>
      <c r="G1079" s="4">
        <f>IFERROR(__xludf.DUMMYFUNCTION("""COMPUTED_VALUE"""),267.0)</f>
        <v>267</v>
      </c>
      <c r="H1079" s="4">
        <f>IFERROR(__xludf.DUMMYFUNCTION("""COMPUTED_VALUE"""),3896.0)</f>
        <v>3896</v>
      </c>
      <c r="I1079" s="4">
        <f>IFERROR(__xludf.DUMMYFUNCTION("""COMPUTED_VALUE"""),1141.0)</f>
        <v>1141</v>
      </c>
      <c r="J1079" s="4">
        <f>IFERROR(__xludf.DUMMYFUNCTION("""COMPUTED_VALUE"""),348.0)</f>
        <v>348</v>
      </c>
      <c r="K1079" s="4">
        <f>IFERROR(__xludf.DUMMYFUNCTION("""COMPUTED_VALUE"""),760.0)</f>
        <v>760</v>
      </c>
      <c r="L1079" s="4">
        <f>IFERROR(__xludf.DUMMYFUNCTION("""COMPUTED_VALUE"""),0.392)</f>
        <v>0.392</v>
      </c>
      <c r="M1079" s="4">
        <f>IFERROR(__xludf.DUMMYFUNCTION("""COMPUTED_VALUE"""),0.35)</f>
        <v>0.35</v>
      </c>
      <c r="N1079" s="4">
        <f>IFERROR(__xludf.DUMMYFUNCTION("""COMPUTED_VALUE"""),0.721)</f>
        <v>0.721</v>
      </c>
      <c r="O1079" s="4">
        <f>IFERROR(__xludf.DUMMYFUNCTION("""COMPUTED_VALUE"""),14.6)</f>
        <v>14.6</v>
      </c>
      <c r="P1079" s="4">
        <f>IFERROR(__xludf.DUMMYFUNCTION("""COMPUTED_VALUE"""),4.3)</f>
        <v>4.3</v>
      </c>
      <c r="Q1079" s="4">
        <f>IFERROR(__xludf.DUMMYFUNCTION("""COMPUTED_VALUE"""),1.3)</f>
        <v>1.3</v>
      </c>
      <c r="R1079" s="4">
        <f>IFERROR(__xludf.DUMMYFUNCTION("""COMPUTED_VALUE"""),2.8)</f>
        <v>2.8</v>
      </c>
      <c r="S1079" s="4">
        <f>IFERROR(__xludf.DUMMYFUNCTION("""COMPUTED_VALUE"""),3.3)</f>
        <v>3.3</v>
      </c>
      <c r="T1079" s="4">
        <f>IFERROR(__xludf.DUMMYFUNCTION("""COMPUTED_VALUE"""),0.041)</f>
        <v>0.041</v>
      </c>
      <c r="U1079" s="4">
        <f>IFERROR(__xludf.DUMMYFUNCTION("""COMPUTED_VALUE"""),-2.9)</f>
        <v>-2.9</v>
      </c>
      <c r="V1079" s="4">
        <f>IFERROR(__xludf.DUMMYFUNCTION("""COMPUTED_VALUE"""),-0.8)</f>
        <v>-0.8</v>
      </c>
    </row>
    <row r="1080">
      <c r="A1080" s="4">
        <f>IFERROR(__xludf.DUMMYFUNCTION("""COMPUTED_VALUE"""),21.0)</f>
        <v>21</v>
      </c>
      <c r="B1080" s="4">
        <f>IFERROR(__xludf.DUMMYFUNCTION("""COMPUTED_VALUE"""),21.0)</f>
        <v>21</v>
      </c>
      <c r="C1080" s="4" t="str">
        <f>IFERROR(__xludf.DUMMYFUNCTION("""COMPUTED_VALUE"""),"NOH")</f>
        <v>NOH</v>
      </c>
      <c r="D1080" s="4" t="str">
        <f>IFERROR(__xludf.DUMMYFUNCTION("""COMPUTED_VALUE"""),"Darren Collison")</f>
        <v>Darren Collison</v>
      </c>
      <c r="E1080" s="4" t="str">
        <f>IFERROR(__xludf.DUMMYFUNCTION("""COMPUTED_VALUE"""),"UCLA")</f>
        <v>UCLA</v>
      </c>
      <c r="F1080" s="4">
        <f>IFERROR(__xludf.DUMMYFUNCTION("""COMPUTED_VALUE"""),11.0)</f>
        <v>11</v>
      </c>
      <c r="G1080" s="4">
        <f>IFERROR(__xludf.DUMMYFUNCTION("""COMPUTED_VALUE"""),711.0)</f>
        <v>711</v>
      </c>
      <c r="H1080" s="4">
        <f>IFERROR(__xludf.DUMMYFUNCTION("""COMPUTED_VALUE"""),20833.0)</f>
        <v>20833</v>
      </c>
      <c r="I1080" s="4">
        <f>IFERROR(__xludf.DUMMYFUNCTION("""COMPUTED_VALUE"""),8861.0)</f>
        <v>8861</v>
      </c>
      <c r="J1080" s="4">
        <f>IFERROR(__xludf.DUMMYFUNCTION("""COMPUTED_VALUE"""),1889.0)</f>
        <v>1889</v>
      </c>
      <c r="K1080" s="4">
        <f>IFERROR(__xludf.DUMMYFUNCTION("""COMPUTED_VALUE"""),3545.0)</f>
        <v>3545</v>
      </c>
      <c r="L1080" s="4">
        <f>IFERROR(__xludf.DUMMYFUNCTION("""COMPUTED_VALUE"""),0.471)</f>
        <v>0.471</v>
      </c>
      <c r="M1080" s="4">
        <f>IFERROR(__xludf.DUMMYFUNCTION("""COMPUTED_VALUE"""),0.394)</f>
        <v>0.394</v>
      </c>
      <c r="N1080" s="4">
        <f>IFERROR(__xludf.DUMMYFUNCTION("""COMPUTED_VALUE"""),0.853)</f>
        <v>0.853</v>
      </c>
      <c r="O1080" s="4">
        <f>IFERROR(__xludf.DUMMYFUNCTION("""COMPUTED_VALUE"""),29.3)</f>
        <v>29.3</v>
      </c>
      <c r="P1080" s="4">
        <f>IFERROR(__xludf.DUMMYFUNCTION("""COMPUTED_VALUE"""),12.5)</f>
        <v>12.5</v>
      </c>
      <c r="Q1080" s="4">
        <f>IFERROR(__xludf.DUMMYFUNCTION("""COMPUTED_VALUE"""),2.7)</f>
        <v>2.7</v>
      </c>
      <c r="R1080" s="4">
        <f>IFERROR(__xludf.DUMMYFUNCTION("""COMPUTED_VALUE"""),5.0)</f>
        <v>5</v>
      </c>
      <c r="S1080" s="4">
        <f>IFERROR(__xludf.DUMMYFUNCTION("""COMPUTED_VALUE"""),49.9)</f>
        <v>49.9</v>
      </c>
      <c r="T1080" s="4">
        <f>IFERROR(__xludf.DUMMYFUNCTION("""COMPUTED_VALUE"""),0.115)</f>
        <v>0.115</v>
      </c>
      <c r="U1080" s="4">
        <f>IFERROR(__xludf.DUMMYFUNCTION("""COMPUTED_VALUE"""),0.5)</f>
        <v>0.5</v>
      </c>
      <c r="V1080" s="4">
        <f>IFERROR(__xludf.DUMMYFUNCTION("""COMPUTED_VALUE"""),13.4)</f>
        <v>13.4</v>
      </c>
    </row>
    <row r="1081">
      <c r="A1081" s="4">
        <f>IFERROR(__xludf.DUMMYFUNCTION("""COMPUTED_VALUE"""),22.0)</f>
        <v>22</v>
      </c>
      <c r="B1081" s="4">
        <f>IFERROR(__xludf.DUMMYFUNCTION("""COMPUTED_VALUE"""),22.0)</f>
        <v>22</v>
      </c>
      <c r="C1081" s="4" t="str">
        <f>IFERROR(__xludf.DUMMYFUNCTION("""COMPUTED_VALUE"""),"POR")</f>
        <v>POR</v>
      </c>
      <c r="D1081" s="4" t="str">
        <f>IFERROR(__xludf.DUMMYFUNCTION("""COMPUTED_VALUE"""),"Victor Claver")</f>
        <v>Victor Claver</v>
      </c>
      <c r="E1081" s="4"/>
      <c r="F1081" s="4">
        <f>IFERROR(__xludf.DUMMYFUNCTION("""COMPUTED_VALUE"""),3.0)</f>
        <v>3</v>
      </c>
      <c r="G1081" s="4">
        <f>IFERROR(__xludf.DUMMYFUNCTION("""COMPUTED_VALUE"""),80.0)</f>
        <v>80</v>
      </c>
      <c r="H1081" s="4">
        <f>IFERROR(__xludf.DUMMYFUNCTION("""COMPUTED_VALUE"""),1072.0)</f>
        <v>1072</v>
      </c>
      <c r="I1081" s="4">
        <f>IFERROR(__xludf.DUMMYFUNCTION("""COMPUTED_VALUE"""),258.0)</f>
        <v>258</v>
      </c>
      <c r="J1081" s="4">
        <f>IFERROR(__xludf.DUMMYFUNCTION("""COMPUTED_VALUE"""),178.0)</f>
        <v>178</v>
      </c>
      <c r="K1081" s="4">
        <f>IFERROR(__xludf.DUMMYFUNCTION("""COMPUTED_VALUE"""),56.0)</f>
        <v>56</v>
      </c>
      <c r="L1081" s="4">
        <f>IFERROR(__xludf.DUMMYFUNCTION("""COMPUTED_VALUE"""),0.398)</f>
        <v>0.398</v>
      </c>
      <c r="M1081" s="4">
        <f>IFERROR(__xludf.DUMMYFUNCTION("""COMPUTED_VALUE"""),0.293)</f>
        <v>0.293</v>
      </c>
      <c r="N1081" s="4">
        <f>IFERROR(__xludf.DUMMYFUNCTION("""COMPUTED_VALUE"""),0.585)</f>
        <v>0.585</v>
      </c>
      <c r="O1081" s="4">
        <f>IFERROR(__xludf.DUMMYFUNCTION("""COMPUTED_VALUE"""),13.4)</f>
        <v>13.4</v>
      </c>
      <c r="P1081" s="4">
        <f>IFERROR(__xludf.DUMMYFUNCTION("""COMPUTED_VALUE"""),3.2)</f>
        <v>3.2</v>
      </c>
      <c r="Q1081" s="4">
        <f>IFERROR(__xludf.DUMMYFUNCTION("""COMPUTED_VALUE"""),2.2)</f>
        <v>2.2</v>
      </c>
      <c r="R1081" s="4">
        <f>IFERROR(__xludf.DUMMYFUNCTION("""COMPUTED_VALUE"""),0.7)</f>
        <v>0.7</v>
      </c>
      <c r="S1081" s="4">
        <f>IFERROR(__xludf.DUMMYFUNCTION("""COMPUTED_VALUE"""),0.2)</f>
        <v>0.2</v>
      </c>
      <c r="T1081" s="4">
        <f>IFERROR(__xludf.DUMMYFUNCTION("""COMPUTED_VALUE"""),0.011)</f>
        <v>0.011</v>
      </c>
      <c r="U1081" s="4">
        <f>IFERROR(__xludf.DUMMYFUNCTION("""COMPUTED_VALUE"""),-3.6)</f>
        <v>-3.6</v>
      </c>
      <c r="V1081" s="4">
        <f>IFERROR(__xludf.DUMMYFUNCTION("""COMPUTED_VALUE"""),-0.4)</f>
        <v>-0.4</v>
      </c>
    </row>
    <row r="1082">
      <c r="A1082" s="4">
        <f>IFERROR(__xludf.DUMMYFUNCTION("""COMPUTED_VALUE"""),23.0)</f>
        <v>23</v>
      </c>
      <c r="B1082" s="4">
        <f>IFERROR(__xludf.DUMMYFUNCTION("""COMPUTED_VALUE"""),23.0)</f>
        <v>23</v>
      </c>
      <c r="C1082" s="4" t="str">
        <f>IFERROR(__xludf.DUMMYFUNCTION("""COMPUTED_VALUE"""),"SAC")</f>
        <v>SAC</v>
      </c>
      <c r="D1082" s="4" t="str">
        <f>IFERROR(__xludf.DUMMYFUNCTION("""COMPUTED_VALUE"""),"Omri Casspi")</f>
        <v>Omri Casspi</v>
      </c>
      <c r="E1082" s="4"/>
      <c r="F1082" s="4">
        <f>IFERROR(__xludf.DUMMYFUNCTION("""COMPUTED_VALUE"""),10.0)</f>
        <v>10</v>
      </c>
      <c r="G1082" s="4">
        <f>IFERROR(__xludf.DUMMYFUNCTION("""COMPUTED_VALUE"""),588.0)</f>
        <v>588</v>
      </c>
      <c r="H1082" s="4">
        <f>IFERROR(__xludf.DUMMYFUNCTION("""COMPUTED_VALUE"""),11959.0)</f>
        <v>11959</v>
      </c>
      <c r="I1082" s="4">
        <f>IFERROR(__xludf.DUMMYFUNCTION("""COMPUTED_VALUE"""),4642.0)</f>
        <v>4642</v>
      </c>
      <c r="J1082" s="4">
        <f>IFERROR(__xludf.DUMMYFUNCTION("""COMPUTED_VALUE"""),2355.0)</f>
        <v>2355</v>
      </c>
      <c r="K1082" s="4">
        <f>IFERROR(__xludf.DUMMYFUNCTION("""COMPUTED_VALUE"""),662.0)</f>
        <v>662</v>
      </c>
      <c r="L1082" s="4">
        <f>IFERROR(__xludf.DUMMYFUNCTION("""COMPUTED_VALUE"""),0.454)</f>
        <v>0.454</v>
      </c>
      <c r="M1082" s="4">
        <f>IFERROR(__xludf.DUMMYFUNCTION("""COMPUTED_VALUE"""),0.368)</f>
        <v>0.368</v>
      </c>
      <c r="N1082" s="4">
        <f>IFERROR(__xludf.DUMMYFUNCTION("""COMPUTED_VALUE"""),0.678)</f>
        <v>0.678</v>
      </c>
      <c r="O1082" s="4">
        <f>IFERROR(__xludf.DUMMYFUNCTION("""COMPUTED_VALUE"""),20.3)</f>
        <v>20.3</v>
      </c>
      <c r="P1082" s="4">
        <f>IFERROR(__xludf.DUMMYFUNCTION("""COMPUTED_VALUE"""),7.9)</f>
        <v>7.9</v>
      </c>
      <c r="Q1082" s="4">
        <f>IFERROR(__xludf.DUMMYFUNCTION("""COMPUTED_VALUE"""),4.0)</f>
        <v>4</v>
      </c>
      <c r="R1082" s="4">
        <f>IFERROR(__xludf.DUMMYFUNCTION("""COMPUTED_VALUE"""),1.1)</f>
        <v>1.1</v>
      </c>
      <c r="S1082" s="4">
        <f>IFERROR(__xludf.DUMMYFUNCTION("""COMPUTED_VALUE"""),19.6)</f>
        <v>19.6</v>
      </c>
      <c r="T1082" s="4">
        <f>IFERROR(__xludf.DUMMYFUNCTION("""COMPUTED_VALUE"""),0.078)</f>
        <v>0.078</v>
      </c>
      <c r="U1082" s="4">
        <f>IFERROR(__xludf.DUMMYFUNCTION("""COMPUTED_VALUE"""),-0.8)</f>
        <v>-0.8</v>
      </c>
      <c r="V1082" s="4">
        <f>IFERROR(__xludf.DUMMYFUNCTION("""COMPUTED_VALUE"""),3.5)</f>
        <v>3.5</v>
      </c>
    </row>
    <row r="1083">
      <c r="A1083" s="4">
        <f>IFERROR(__xludf.DUMMYFUNCTION("""COMPUTED_VALUE"""),24.0)</f>
        <v>24</v>
      </c>
      <c r="B1083" s="4">
        <f>IFERROR(__xludf.DUMMYFUNCTION("""COMPUTED_VALUE"""),24.0)</f>
        <v>24</v>
      </c>
      <c r="C1083" s="4" t="str">
        <f>IFERROR(__xludf.DUMMYFUNCTION("""COMPUTED_VALUE"""),"DAL")</f>
        <v>DAL</v>
      </c>
      <c r="D1083" s="4" t="str">
        <f>IFERROR(__xludf.DUMMYFUNCTION("""COMPUTED_VALUE"""),"Byron Mullens")</f>
        <v>Byron Mullens</v>
      </c>
      <c r="E1083" s="4" t="str">
        <f>IFERROR(__xludf.DUMMYFUNCTION("""COMPUTED_VALUE"""),"Ohio State")</f>
        <v>Ohio State</v>
      </c>
      <c r="F1083" s="4">
        <f>IFERROR(__xludf.DUMMYFUNCTION("""COMPUTED_VALUE"""),5.0)</f>
        <v>5</v>
      </c>
      <c r="G1083" s="4">
        <f>IFERROR(__xludf.DUMMYFUNCTION("""COMPUTED_VALUE"""),189.0)</f>
        <v>189</v>
      </c>
      <c r="H1083" s="4">
        <f>IFERROR(__xludf.DUMMYFUNCTION("""COMPUTED_VALUE"""),3446.0)</f>
        <v>3446</v>
      </c>
      <c r="I1083" s="4">
        <f>IFERROR(__xludf.DUMMYFUNCTION("""COMPUTED_VALUE"""),1398.0)</f>
        <v>1398</v>
      </c>
      <c r="J1083" s="4">
        <f>IFERROR(__xludf.DUMMYFUNCTION("""COMPUTED_VALUE"""),790.0)</f>
        <v>790</v>
      </c>
      <c r="K1083" s="4">
        <f>IFERROR(__xludf.DUMMYFUNCTION("""COMPUTED_VALUE"""),153.0)</f>
        <v>153</v>
      </c>
      <c r="L1083" s="4">
        <f>IFERROR(__xludf.DUMMYFUNCTION("""COMPUTED_VALUE"""),0.408)</f>
        <v>0.408</v>
      </c>
      <c r="M1083" s="4">
        <f>IFERROR(__xludf.DUMMYFUNCTION("""COMPUTED_VALUE"""),0.319)</f>
        <v>0.319</v>
      </c>
      <c r="N1083" s="4">
        <f>IFERROR(__xludf.DUMMYFUNCTION("""COMPUTED_VALUE"""),0.706)</f>
        <v>0.706</v>
      </c>
      <c r="O1083" s="4">
        <f>IFERROR(__xludf.DUMMYFUNCTION("""COMPUTED_VALUE"""),18.2)</f>
        <v>18.2</v>
      </c>
      <c r="P1083" s="4">
        <f>IFERROR(__xludf.DUMMYFUNCTION("""COMPUTED_VALUE"""),7.4)</f>
        <v>7.4</v>
      </c>
      <c r="Q1083" s="4">
        <f>IFERROR(__xludf.DUMMYFUNCTION("""COMPUTED_VALUE"""),4.2)</f>
        <v>4.2</v>
      </c>
      <c r="R1083" s="4">
        <f>IFERROR(__xludf.DUMMYFUNCTION("""COMPUTED_VALUE"""),0.8)</f>
        <v>0.8</v>
      </c>
      <c r="S1083" s="4">
        <f>IFERROR(__xludf.DUMMYFUNCTION("""COMPUTED_VALUE"""),0.6)</f>
        <v>0.6</v>
      </c>
      <c r="T1083" s="4">
        <f>IFERROR(__xludf.DUMMYFUNCTION("""COMPUTED_VALUE"""),0.008)</f>
        <v>0.008</v>
      </c>
      <c r="U1083" s="4">
        <f>IFERROR(__xludf.DUMMYFUNCTION("""COMPUTED_VALUE"""),-4.0)</f>
        <v>-4</v>
      </c>
      <c r="V1083" s="4">
        <f>IFERROR(__xludf.DUMMYFUNCTION("""COMPUTED_VALUE"""),-1.8)</f>
        <v>-1.8</v>
      </c>
    </row>
    <row r="1084">
      <c r="A1084" s="4">
        <f>IFERROR(__xludf.DUMMYFUNCTION("""COMPUTED_VALUE"""),25.0)</f>
        <v>25</v>
      </c>
      <c r="B1084" s="4">
        <f>IFERROR(__xludf.DUMMYFUNCTION("""COMPUTED_VALUE"""),25.0)</f>
        <v>25</v>
      </c>
      <c r="C1084" s="4" t="str">
        <f>IFERROR(__xludf.DUMMYFUNCTION("""COMPUTED_VALUE"""),"OKC")</f>
        <v>OKC</v>
      </c>
      <c r="D1084" s="4" t="str">
        <f>IFERROR(__xludf.DUMMYFUNCTION("""COMPUTED_VALUE"""),"Rodrigue Beaubois")</f>
        <v>Rodrigue Beaubois</v>
      </c>
      <c r="E1084" s="4"/>
      <c r="F1084" s="4">
        <f>IFERROR(__xludf.DUMMYFUNCTION("""COMPUTED_VALUE"""),4.0)</f>
        <v>4</v>
      </c>
      <c r="G1084" s="4">
        <f>IFERROR(__xludf.DUMMYFUNCTION("""COMPUTED_VALUE"""),182.0)</f>
        <v>182</v>
      </c>
      <c r="H1084" s="4">
        <f>IFERROR(__xludf.DUMMYFUNCTION("""COMPUTED_VALUE"""),2896.0)</f>
        <v>2896</v>
      </c>
      <c r="I1084" s="4">
        <f>IFERROR(__xludf.DUMMYFUNCTION("""COMPUTED_VALUE"""),1286.0)</f>
        <v>1286</v>
      </c>
      <c r="J1084" s="4">
        <f>IFERROR(__xludf.DUMMYFUNCTION("""COMPUTED_VALUE"""),338.0)</f>
        <v>338</v>
      </c>
      <c r="K1084" s="4">
        <f>IFERROR(__xludf.DUMMYFUNCTION("""COMPUTED_VALUE"""),374.0)</f>
        <v>374</v>
      </c>
      <c r="L1084" s="4">
        <f>IFERROR(__xludf.DUMMYFUNCTION("""COMPUTED_VALUE"""),0.439)</f>
        <v>0.439</v>
      </c>
      <c r="M1084" s="4">
        <f>IFERROR(__xludf.DUMMYFUNCTION("""COMPUTED_VALUE"""),0.325)</f>
        <v>0.325</v>
      </c>
      <c r="N1084" s="4">
        <f>IFERROR(__xludf.DUMMYFUNCTION("""COMPUTED_VALUE"""),0.81)</f>
        <v>0.81</v>
      </c>
      <c r="O1084" s="4">
        <f>IFERROR(__xludf.DUMMYFUNCTION("""COMPUTED_VALUE"""),15.9)</f>
        <v>15.9</v>
      </c>
      <c r="P1084" s="4">
        <f>IFERROR(__xludf.DUMMYFUNCTION("""COMPUTED_VALUE"""),7.1)</f>
        <v>7.1</v>
      </c>
      <c r="Q1084" s="4">
        <f>IFERROR(__xludf.DUMMYFUNCTION("""COMPUTED_VALUE"""),1.9)</f>
        <v>1.9</v>
      </c>
      <c r="R1084" s="4">
        <f>IFERROR(__xludf.DUMMYFUNCTION("""COMPUTED_VALUE"""),2.1)</f>
        <v>2.1</v>
      </c>
      <c r="S1084" s="4">
        <f>IFERROR(__xludf.DUMMYFUNCTION("""COMPUTED_VALUE"""),4.8)</f>
        <v>4.8</v>
      </c>
      <c r="T1084" s="4">
        <f>IFERROR(__xludf.DUMMYFUNCTION("""COMPUTED_VALUE"""),0.079)</f>
        <v>0.079</v>
      </c>
      <c r="U1084" s="4">
        <f>IFERROR(__xludf.DUMMYFUNCTION("""COMPUTED_VALUE"""),-0.1)</f>
        <v>-0.1</v>
      </c>
      <c r="V1084" s="4">
        <f>IFERROR(__xludf.DUMMYFUNCTION("""COMPUTED_VALUE"""),1.4)</f>
        <v>1.4</v>
      </c>
    </row>
    <row r="1085">
      <c r="A1085" s="4">
        <f>IFERROR(__xludf.DUMMYFUNCTION("""COMPUTED_VALUE"""),26.0)</f>
        <v>26</v>
      </c>
      <c r="B1085" s="4">
        <f>IFERROR(__xludf.DUMMYFUNCTION("""COMPUTED_VALUE"""),26.0)</f>
        <v>26</v>
      </c>
      <c r="C1085" s="4" t="str">
        <f>IFERROR(__xludf.DUMMYFUNCTION("""COMPUTED_VALUE"""),"CHI")</f>
        <v>CHI</v>
      </c>
      <c r="D1085" s="4" t="str">
        <f>IFERROR(__xludf.DUMMYFUNCTION("""COMPUTED_VALUE"""),"Taj Gibson")</f>
        <v>Taj Gibson</v>
      </c>
      <c r="E1085" s="4" t="str">
        <f>IFERROR(__xludf.DUMMYFUNCTION("""COMPUTED_VALUE"""),"USC")</f>
        <v>USC</v>
      </c>
      <c r="F1085" s="4">
        <f>IFERROR(__xludf.DUMMYFUNCTION("""COMPUTED_VALUE"""),16.0)</f>
        <v>16</v>
      </c>
      <c r="G1085" s="4">
        <f>IFERROR(__xludf.DUMMYFUNCTION("""COMPUTED_VALUE"""),1002.0)</f>
        <v>1002</v>
      </c>
      <c r="H1085" s="4">
        <f>IFERROR(__xludf.DUMMYFUNCTION("""COMPUTED_VALUE"""),23069.0)</f>
        <v>23069</v>
      </c>
      <c r="I1085" s="4">
        <f>IFERROR(__xludf.DUMMYFUNCTION("""COMPUTED_VALUE"""),8397.0)</f>
        <v>8397</v>
      </c>
      <c r="J1085" s="4">
        <f>IFERROR(__xludf.DUMMYFUNCTION("""COMPUTED_VALUE"""),5727.0)</f>
        <v>5727</v>
      </c>
      <c r="K1085" s="4">
        <f>IFERROR(__xludf.DUMMYFUNCTION("""COMPUTED_VALUE"""),946.0)</f>
        <v>946</v>
      </c>
      <c r="L1085" s="4">
        <f>IFERROR(__xludf.DUMMYFUNCTION("""COMPUTED_VALUE"""),0.517)</f>
        <v>0.517</v>
      </c>
      <c r="M1085" s="4">
        <f>IFERROR(__xludf.DUMMYFUNCTION("""COMPUTED_VALUE"""),0.266)</f>
        <v>0.266</v>
      </c>
      <c r="N1085" s="4">
        <f>IFERROR(__xludf.DUMMYFUNCTION("""COMPUTED_VALUE"""),0.712)</f>
        <v>0.712</v>
      </c>
      <c r="O1085" s="4">
        <f>IFERROR(__xludf.DUMMYFUNCTION("""COMPUTED_VALUE"""),23.0)</f>
        <v>23</v>
      </c>
      <c r="P1085" s="4">
        <f>IFERROR(__xludf.DUMMYFUNCTION("""COMPUTED_VALUE"""),8.4)</f>
        <v>8.4</v>
      </c>
      <c r="Q1085" s="4">
        <f>IFERROR(__xludf.DUMMYFUNCTION("""COMPUTED_VALUE"""),5.7)</f>
        <v>5.7</v>
      </c>
      <c r="R1085" s="4">
        <f>IFERROR(__xludf.DUMMYFUNCTION("""COMPUTED_VALUE"""),0.9)</f>
        <v>0.9</v>
      </c>
      <c r="S1085" s="4">
        <f>IFERROR(__xludf.DUMMYFUNCTION("""COMPUTED_VALUE"""),60.2)</f>
        <v>60.2</v>
      </c>
      <c r="T1085" s="4">
        <f>IFERROR(__xludf.DUMMYFUNCTION("""COMPUTED_VALUE"""),0.125)</f>
        <v>0.125</v>
      </c>
      <c r="U1085" s="4">
        <f>IFERROR(__xludf.DUMMYFUNCTION("""COMPUTED_VALUE"""),-0.9)</f>
        <v>-0.9</v>
      </c>
      <c r="V1085" s="4">
        <f>IFERROR(__xludf.DUMMYFUNCTION("""COMPUTED_VALUE"""),6.5)</f>
        <v>6.5</v>
      </c>
    </row>
    <row r="1086">
      <c r="A1086" s="4">
        <f>IFERROR(__xludf.DUMMYFUNCTION("""COMPUTED_VALUE"""),27.0)</f>
        <v>27</v>
      </c>
      <c r="B1086" s="4">
        <f>IFERROR(__xludf.DUMMYFUNCTION("""COMPUTED_VALUE"""),27.0)</f>
        <v>27</v>
      </c>
      <c r="C1086" s="4" t="str">
        <f>IFERROR(__xludf.DUMMYFUNCTION("""COMPUTED_VALUE"""),"MEM")</f>
        <v>MEM</v>
      </c>
      <c r="D1086" s="4" t="str">
        <f>IFERROR(__xludf.DUMMYFUNCTION("""COMPUTED_VALUE"""),"DeMarre Carroll")</f>
        <v>DeMarre Carroll</v>
      </c>
      <c r="E1086" s="4" t="str">
        <f>IFERROR(__xludf.DUMMYFUNCTION("""COMPUTED_VALUE"""),"Missouri")</f>
        <v>Missouri</v>
      </c>
      <c r="F1086" s="4">
        <f>IFERROR(__xludf.DUMMYFUNCTION("""COMPUTED_VALUE"""),11.0)</f>
        <v>11</v>
      </c>
      <c r="G1086" s="4">
        <f>IFERROR(__xludf.DUMMYFUNCTION("""COMPUTED_VALUE"""),578.0)</f>
        <v>578</v>
      </c>
      <c r="H1086" s="4">
        <f>IFERROR(__xludf.DUMMYFUNCTION("""COMPUTED_VALUE"""),13675.0)</f>
        <v>13675</v>
      </c>
      <c r="I1086" s="4">
        <f>IFERROR(__xludf.DUMMYFUNCTION("""COMPUTED_VALUE"""),5150.0)</f>
        <v>5150</v>
      </c>
      <c r="J1086" s="4">
        <f>IFERROR(__xludf.DUMMYFUNCTION("""COMPUTED_VALUE"""),2454.0)</f>
        <v>2454</v>
      </c>
      <c r="K1086" s="4">
        <f>IFERROR(__xludf.DUMMYFUNCTION("""COMPUTED_VALUE"""),726.0)</f>
        <v>726</v>
      </c>
      <c r="L1086" s="4">
        <f>IFERROR(__xludf.DUMMYFUNCTION("""COMPUTED_VALUE"""),0.43)</f>
        <v>0.43</v>
      </c>
      <c r="M1086" s="4">
        <f>IFERROR(__xludf.DUMMYFUNCTION("""COMPUTED_VALUE"""),0.358)</f>
        <v>0.358</v>
      </c>
      <c r="N1086" s="4">
        <f>IFERROR(__xludf.DUMMYFUNCTION("""COMPUTED_VALUE"""),0.741)</f>
        <v>0.741</v>
      </c>
      <c r="O1086" s="4">
        <f>IFERROR(__xludf.DUMMYFUNCTION("""COMPUTED_VALUE"""),23.7)</f>
        <v>23.7</v>
      </c>
      <c r="P1086" s="4">
        <f>IFERROR(__xludf.DUMMYFUNCTION("""COMPUTED_VALUE"""),8.9)</f>
        <v>8.9</v>
      </c>
      <c r="Q1086" s="4">
        <f>IFERROR(__xludf.DUMMYFUNCTION("""COMPUTED_VALUE"""),4.2)</f>
        <v>4.2</v>
      </c>
      <c r="R1086" s="4">
        <f>IFERROR(__xludf.DUMMYFUNCTION("""COMPUTED_VALUE"""),1.3)</f>
        <v>1.3</v>
      </c>
      <c r="S1086" s="4">
        <f>IFERROR(__xludf.DUMMYFUNCTION("""COMPUTED_VALUE"""),29.5)</f>
        <v>29.5</v>
      </c>
      <c r="T1086" s="4">
        <f>IFERROR(__xludf.DUMMYFUNCTION("""COMPUTED_VALUE"""),0.104)</f>
        <v>0.104</v>
      </c>
      <c r="U1086" s="4">
        <f>IFERROR(__xludf.DUMMYFUNCTION("""COMPUTED_VALUE"""),0.0)</f>
        <v>0</v>
      </c>
      <c r="V1086" s="4">
        <f>IFERROR(__xludf.DUMMYFUNCTION("""COMPUTED_VALUE"""),6.7)</f>
        <v>6.7</v>
      </c>
    </row>
    <row r="1087">
      <c r="A1087" s="4">
        <f>IFERROR(__xludf.DUMMYFUNCTION("""COMPUTED_VALUE"""),28.0)</f>
        <v>28</v>
      </c>
      <c r="B1087" s="4">
        <f>IFERROR(__xludf.DUMMYFUNCTION("""COMPUTED_VALUE"""),28.0)</f>
        <v>28</v>
      </c>
      <c r="C1087" s="4" t="str">
        <f>IFERROR(__xludf.DUMMYFUNCTION("""COMPUTED_VALUE"""),"MIN")</f>
        <v>MIN</v>
      </c>
      <c r="D1087" s="4" t="str">
        <f>IFERROR(__xludf.DUMMYFUNCTION("""COMPUTED_VALUE"""),"Wayne Ellington")</f>
        <v>Wayne Ellington</v>
      </c>
      <c r="E1087" s="4" t="str">
        <f>IFERROR(__xludf.DUMMYFUNCTION("""COMPUTED_VALUE"""),"UNC")</f>
        <v>UNC</v>
      </c>
      <c r="F1087" s="4">
        <f>IFERROR(__xludf.DUMMYFUNCTION("""COMPUTED_VALUE"""),13.0)</f>
        <v>13</v>
      </c>
      <c r="G1087" s="4">
        <f>IFERROR(__xludf.DUMMYFUNCTION("""COMPUTED_VALUE"""),770.0)</f>
        <v>770</v>
      </c>
      <c r="H1087" s="4">
        <f>IFERROR(__xludf.DUMMYFUNCTION("""COMPUTED_VALUE"""),16100.0)</f>
        <v>16100</v>
      </c>
      <c r="I1087" s="4">
        <f>IFERROR(__xludf.DUMMYFUNCTION("""COMPUTED_VALUE"""),6190.0)</f>
        <v>6190</v>
      </c>
      <c r="J1087" s="4">
        <f>IFERROR(__xludf.DUMMYFUNCTION("""COMPUTED_VALUE"""),1643.0)</f>
        <v>1643</v>
      </c>
      <c r="K1087" s="4">
        <f>IFERROR(__xludf.DUMMYFUNCTION("""COMPUTED_VALUE"""),852.0)</f>
        <v>852</v>
      </c>
      <c r="L1087" s="4">
        <f>IFERROR(__xludf.DUMMYFUNCTION("""COMPUTED_VALUE"""),0.41)</f>
        <v>0.41</v>
      </c>
      <c r="M1087" s="4">
        <f>IFERROR(__xludf.DUMMYFUNCTION("""COMPUTED_VALUE"""),0.382)</f>
        <v>0.382</v>
      </c>
      <c r="N1087" s="4">
        <f>IFERROR(__xludf.DUMMYFUNCTION("""COMPUTED_VALUE"""),0.843)</f>
        <v>0.843</v>
      </c>
      <c r="O1087" s="4">
        <f>IFERROR(__xludf.DUMMYFUNCTION("""COMPUTED_VALUE"""),20.9)</f>
        <v>20.9</v>
      </c>
      <c r="P1087" s="4">
        <f>IFERROR(__xludf.DUMMYFUNCTION("""COMPUTED_VALUE"""),8.0)</f>
        <v>8</v>
      </c>
      <c r="Q1087" s="4">
        <f>IFERROR(__xludf.DUMMYFUNCTION("""COMPUTED_VALUE"""),2.1)</f>
        <v>2.1</v>
      </c>
      <c r="R1087" s="4">
        <f>IFERROR(__xludf.DUMMYFUNCTION("""COMPUTED_VALUE"""),1.1)</f>
        <v>1.1</v>
      </c>
      <c r="S1087" s="4">
        <f>IFERROR(__xludf.DUMMYFUNCTION("""COMPUTED_VALUE"""),21.1)</f>
        <v>21.1</v>
      </c>
      <c r="T1087" s="4">
        <f>IFERROR(__xludf.DUMMYFUNCTION("""COMPUTED_VALUE"""),0.063)</f>
        <v>0.063</v>
      </c>
      <c r="U1087" s="4">
        <f>IFERROR(__xludf.DUMMYFUNCTION("""COMPUTED_VALUE"""),-1.5)</f>
        <v>-1.5</v>
      </c>
      <c r="V1087" s="4">
        <f>IFERROR(__xludf.DUMMYFUNCTION("""COMPUTED_VALUE"""),2.2)</f>
        <v>2.2</v>
      </c>
    </row>
    <row r="1088">
      <c r="A1088" s="4">
        <f>IFERROR(__xludf.DUMMYFUNCTION("""COMPUTED_VALUE"""),29.0)</f>
        <v>29</v>
      </c>
      <c r="B1088" s="4">
        <f>IFERROR(__xludf.DUMMYFUNCTION("""COMPUTED_VALUE"""),29.0)</f>
        <v>29</v>
      </c>
      <c r="C1088" s="4" t="str">
        <f>IFERROR(__xludf.DUMMYFUNCTION("""COMPUTED_VALUE"""),"LAL")</f>
        <v>LAL</v>
      </c>
      <c r="D1088" s="4" t="str">
        <f>IFERROR(__xludf.DUMMYFUNCTION("""COMPUTED_VALUE"""),"Toney Douglas")</f>
        <v>Toney Douglas</v>
      </c>
      <c r="E1088" s="4" t="str">
        <f>IFERROR(__xludf.DUMMYFUNCTION("""COMPUTED_VALUE"""),"Florida State")</f>
        <v>Florida State</v>
      </c>
      <c r="F1088" s="4">
        <f>IFERROR(__xludf.DUMMYFUNCTION("""COMPUTED_VALUE"""),8.0)</f>
        <v>8</v>
      </c>
      <c r="G1088" s="4">
        <f>IFERROR(__xludf.DUMMYFUNCTION("""COMPUTED_VALUE"""),394.0)</f>
        <v>394</v>
      </c>
      <c r="H1088" s="4">
        <f>IFERROR(__xludf.DUMMYFUNCTION("""COMPUTED_VALUE"""),7511.0)</f>
        <v>7511</v>
      </c>
      <c r="I1088" s="4">
        <f>IFERROR(__xludf.DUMMYFUNCTION("""COMPUTED_VALUE"""),3009.0)</f>
        <v>3009</v>
      </c>
      <c r="J1088" s="4">
        <f>IFERROR(__xludf.DUMMYFUNCTION("""COMPUTED_VALUE"""),875.0)</f>
        <v>875</v>
      </c>
      <c r="K1088" s="4">
        <f>IFERROR(__xludf.DUMMYFUNCTION("""COMPUTED_VALUE"""),889.0)</f>
        <v>889</v>
      </c>
      <c r="L1088" s="4">
        <f>IFERROR(__xludf.DUMMYFUNCTION("""COMPUTED_VALUE"""),0.404)</f>
        <v>0.404</v>
      </c>
      <c r="M1088" s="4">
        <f>IFERROR(__xludf.DUMMYFUNCTION("""COMPUTED_VALUE"""),0.354)</f>
        <v>0.354</v>
      </c>
      <c r="N1088" s="4">
        <f>IFERROR(__xludf.DUMMYFUNCTION("""COMPUTED_VALUE"""),0.824)</f>
        <v>0.824</v>
      </c>
      <c r="O1088" s="4">
        <f>IFERROR(__xludf.DUMMYFUNCTION("""COMPUTED_VALUE"""),19.1)</f>
        <v>19.1</v>
      </c>
      <c r="P1088" s="4">
        <f>IFERROR(__xludf.DUMMYFUNCTION("""COMPUTED_VALUE"""),7.6)</f>
        <v>7.6</v>
      </c>
      <c r="Q1088" s="4">
        <f>IFERROR(__xludf.DUMMYFUNCTION("""COMPUTED_VALUE"""),2.2)</f>
        <v>2.2</v>
      </c>
      <c r="R1088" s="4">
        <f>IFERROR(__xludf.DUMMYFUNCTION("""COMPUTED_VALUE"""),2.3)</f>
        <v>2.3</v>
      </c>
      <c r="S1088" s="4">
        <f>IFERROR(__xludf.DUMMYFUNCTION("""COMPUTED_VALUE"""),12.1)</f>
        <v>12.1</v>
      </c>
      <c r="T1088" s="4">
        <f>IFERROR(__xludf.DUMMYFUNCTION("""COMPUTED_VALUE"""),0.077)</f>
        <v>0.077</v>
      </c>
      <c r="U1088" s="4">
        <f>IFERROR(__xludf.DUMMYFUNCTION("""COMPUTED_VALUE"""),-0.8)</f>
        <v>-0.8</v>
      </c>
      <c r="V1088" s="4">
        <f>IFERROR(__xludf.DUMMYFUNCTION("""COMPUTED_VALUE"""),2.2)</f>
        <v>2.2</v>
      </c>
    </row>
    <row r="1089">
      <c r="A1089" s="4">
        <f>IFERROR(__xludf.DUMMYFUNCTION("""COMPUTED_VALUE"""),30.0)</f>
        <v>30</v>
      </c>
      <c r="B1089" s="4">
        <f>IFERROR(__xludf.DUMMYFUNCTION("""COMPUTED_VALUE"""),30.0)</f>
        <v>30</v>
      </c>
      <c r="C1089" s="4" t="str">
        <f>IFERROR(__xludf.DUMMYFUNCTION("""COMPUTED_VALUE"""),"CLE")</f>
        <v>CLE</v>
      </c>
      <c r="D1089" s="4" t="str">
        <f>IFERROR(__xludf.DUMMYFUNCTION("""COMPUTED_VALUE"""),"Christian Eyenga")</f>
        <v>Christian Eyenga</v>
      </c>
      <c r="E1089" s="4"/>
      <c r="F1089" s="4">
        <f>IFERROR(__xludf.DUMMYFUNCTION("""COMPUTED_VALUE"""),2.0)</f>
        <v>2</v>
      </c>
      <c r="G1089" s="4">
        <f>IFERROR(__xludf.DUMMYFUNCTION("""COMPUTED_VALUE"""),51.0)</f>
        <v>51</v>
      </c>
      <c r="H1089" s="4">
        <f>IFERROR(__xludf.DUMMYFUNCTION("""COMPUTED_VALUE"""),1049.0)</f>
        <v>1049</v>
      </c>
      <c r="I1089" s="4">
        <f>IFERROR(__xludf.DUMMYFUNCTION("""COMPUTED_VALUE"""),320.0)</f>
        <v>320</v>
      </c>
      <c r="J1089" s="4">
        <f>IFERROR(__xludf.DUMMYFUNCTION("""COMPUTED_VALUE"""),137.0)</f>
        <v>137</v>
      </c>
      <c r="K1089" s="4">
        <f>IFERROR(__xludf.DUMMYFUNCTION("""COMPUTED_VALUE"""),40.0)</f>
        <v>40</v>
      </c>
      <c r="L1089" s="4">
        <f>IFERROR(__xludf.DUMMYFUNCTION("""COMPUTED_VALUE"""),0.411)</f>
        <v>0.411</v>
      </c>
      <c r="M1089" s="4">
        <f>IFERROR(__xludf.DUMMYFUNCTION("""COMPUTED_VALUE"""),0.277)</f>
        <v>0.277</v>
      </c>
      <c r="N1089" s="4">
        <f>IFERROR(__xludf.DUMMYFUNCTION("""COMPUTED_VALUE"""),0.611)</f>
        <v>0.611</v>
      </c>
      <c r="O1089" s="4">
        <f>IFERROR(__xludf.DUMMYFUNCTION("""COMPUTED_VALUE"""),20.6)</f>
        <v>20.6</v>
      </c>
      <c r="P1089" s="4">
        <f>IFERROR(__xludf.DUMMYFUNCTION("""COMPUTED_VALUE"""),6.3)</f>
        <v>6.3</v>
      </c>
      <c r="Q1089" s="4">
        <f>IFERROR(__xludf.DUMMYFUNCTION("""COMPUTED_VALUE"""),2.7)</f>
        <v>2.7</v>
      </c>
      <c r="R1089" s="4">
        <f>IFERROR(__xludf.DUMMYFUNCTION("""COMPUTED_VALUE"""),0.8)</f>
        <v>0.8</v>
      </c>
      <c r="S1089" s="4">
        <f>IFERROR(__xludf.DUMMYFUNCTION("""COMPUTED_VALUE"""),-0.4)</f>
        <v>-0.4</v>
      </c>
      <c r="T1089" s="4">
        <f>IFERROR(__xludf.DUMMYFUNCTION("""COMPUTED_VALUE"""),-0.02)</f>
        <v>-0.02</v>
      </c>
      <c r="U1089" s="4">
        <f>IFERROR(__xludf.DUMMYFUNCTION("""COMPUTED_VALUE"""),-4.2)</f>
        <v>-4.2</v>
      </c>
      <c r="V1089" s="4">
        <f>IFERROR(__xludf.DUMMYFUNCTION("""COMPUTED_VALUE"""),-0.6)</f>
        <v>-0.6</v>
      </c>
    </row>
    <row r="1090">
      <c r="A1090" s="4"/>
      <c r="B1090" s="4"/>
      <c r="C1090" s="4"/>
      <c r="D1090" s="4" t="str">
        <f>IFERROR(__xludf.DUMMYFUNCTION("""COMPUTED_VALUE"""),"Round 2")</f>
        <v>Round 2</v>
      </c>
      <c r="E1090" s="4"/>
      <c r="F1090" s="4"/>
      <c r="G1090" s="4" t="str">
        <f>IFERROR(__xludf.DUMMYFUNCTION("""COMPUTED_VALUE"""),"Totals")</f>
        <v>Totals</v>
      </c>
      <c r="H1090" s="4"/>
      <c r="I1090" s="4"/>
      <c r="J1090" s="4"/>
      <c r="K1090" s="4"/>
      <c r="L1090" s="4" t="str">
        <f>IFERROR(__xludf.DUMMYFUNCTION("""COMPUTED_VALUE"""),"Shooting")</f>
        <v>Shooting</v>
      </c>
      <c r="M1090" s="4"/>
      <c r="N1090" s="4"/>
      <c r="O1090" s="4" t="str">
        <f>IFERROR(__xludf.DUMMYFUNCTION("""COMPUTED_VALUE"""),"Per Game")</f>
        <v>Per Game</v>
      </c>
      <c r="P1090" s="4"/>
      <c r="Q1090" s="4"/>
      <c r="R1090" s="4"/>
      <c r="S1090" s="4" t="str">
        <f>IFERROR(__xludf.DUMMYFUNCTION("""COMPUTED_VALUE"""),"Advanced")</f>
        <v>Advanced</v>
      </c>
      <c r="T1090" s="4"/>
      <c r="U1090" s="4"/>
      <c r="V1090" s="4"/>
    </row>
    <row r="1091">
      <c r="A1091" s="4" t="str">
        <f>IFERROR(__xludf.DUMMYFUNCTION("""COMPUTED_VALUE"""),"Rk")</f>
        <v>Rk</v>
      </c>
      <c r="B1091" s="4" t="str">
        <f>IFERROR(__xludf.DUMMYFUNCTION("""COMPUTED_VALUE"""),"Pk")</f>
        <v>Pk</v>
      </c>
      <c r="C1091" s="4" t="str">
        <f>IFERROR(__xludf.DUMMYFUNCTION("""COMPUTED_VALUE"""),"Tm")</f>
        <v>Tm</v>
      </c>
      <c r="D1091" s="4" t="str">
        <f>IFERROR(__xludf.DUMMYFUNCTION("""COMPUTED_VALUE"""),"Player")</f>
        <v>Player</v>
      </c>
      <c r="E1091" s="4" t="str">
        <f>IFERROR(__xludf.DUMMYFUNCTION("""COMPUTED_VALUE"""),"College")</f>
        <v>College</v>
      </c>
      <c r="F1091" s="4" t="str">
        <f>IFERROR(__xludf.DUMMYFUNCTION("""COMPUTED_VALUE"""),"Yrs")</f>
        <v>Yrs</v>
      </c>
      <c r="G1091" s="4" t="str">
        <f>IFERROR(__xludf.DUMMYFUNCTION("""COMPUTED_VALUE"""),"G")</f>
        <v>G</v>
      </c>
      <c r="H1091" s="4" t="str">
        <f>IFERROR(__xludf.DUMMYFUNCTION("""COMPUTED_VALUE"""),"MP")</f>
        <v>MP</v>
      </c>
      <c r="I1091" s="4" t="str">
        <f>IFERROR(__xludf.DUMMYFUNCTION("""COMPUTED_VALUE"""),"PTS")</f>
        <v>PTS</v>
      </c>
      <c r="J1091" s="4" t="str">
        <f>IFERROR(__xludf.DUMMYFUNCTION("""COMPUTED_VALUE"""),"TRB")</f>
        <v>TRB</v>
      </c>
      <c r="K1091" s="4" t="str">
        <f>IFERROR(__xludf.DUMMYFUNCTION("""COMPUTED_VALUE"""),"AST")</f>
        <v>AST</v>
      </c>
      <c r="L1091" s="4" t="str">
        <f>IFERROR(__xludf.DUMMYFUNCTION("""COMPUTED_VALUE"""),"FG%")</f>
        <v>FG%</v>
      </c>
      <c r="M1091" s="4" t="str">
        <f>IFERROR(__xludf.DUMMYFUNCTION("""COMPUTED_VALUE"""),"3P%")</f>
        <v>3P%</v>
      </c>
      <c r="N1091" s="4" t="str">
        <f>IFERROR(__xludf.DUMMYFUNCTION("""COMPUTED_VALUE"""),"FT%")</f>
        <v>FT%</v>
      </c>
      <c r="O1091" s="4" t="str">
        <f>IFERROR(__xludf.DUMMYFUNCTION("""COMPUTED_VALUE"""),"MP")</f>
        <v>MP</v>
      </c>
      <c r="P1091" s="4" t="str">
        <f>IFERROR(__xludf.DUMMYFUNCTION("""COMPUTED_VALUE"""),"PTS")</f>
        <v>PTS</v>
      </c>
      <c r="Q1091" s="4" t="str">
        <f>IFERROR(__xludf.DUMMYFUNCTION("""COMPUTED_VALUE"""),"TRB")</f>
        <v>TRB</v>
      </c>
      <c r="R1091" s="4" t="str">
        <f>IFERROR(__xludf.DUMMYFUNCTION("""COMPUTED_VALUE"""),"AST")</f>
        <v>AST</v>
      </c>
      <c r="S1091" s="4" t="str">
        <f>IFERROR(__xludf.DUMMYFUNCTION("""COMPUTED_VALUE"""),"WS")</f>
        <v>WS</v>
      </c>
      <c r="T1091" s="4" t="str">
        <f>IFERROR(__xludf.DUMMYFUNCTION("""COMPUTED_VALUE"""),"WS/48")</f>
        <v>WS/48</v>
      </c>
      <c r="U1091" s="4" t="str">
        <f>IFERROR(__xludf.DUMMYFUNCTION("""COMPUTED_VALUE"""),"BPM")</f>
        <v>BPM</v>
      </c>
      <c r="V1091" s="4" t="str">
        <f>IFERROR(__xludf.DUMMYFUNCTION("""COMPUTED_VALUE"""),"VORP")</f>
        <v>VORP</v>
      </c>
    </row>
    <row r="1092">
      <c r="A1092" s="4">
        <f>IFERROR(__xludf.DUMMYFUNCTION("""COMPUTED_VALUE"""),31.0)</f>
        <v>31</v>
      </c>
      <c r="B1092" s="4">
        <f>IFERROR(__xludf.DUMMYFUNCTION("""COMPUTED_VALUE"""),31.0)</f>
        <v>31</v>
      </c>
      <c r="C1092" s="4" t="str">
        <f>IFERROR(__xludf.DUMMYFUNCTION("""COMPUTED_VALUE"""),"SAC")</f>
        <v>SAC</v>
      </c>
      <c r="D1092" s="4" t="str">
        <f>IFERROR(__xludf.DUMMYFUNCTION("""COMPUTED_VALUE"""),"Jeff Ayres")</f>
        <v>Jeff Ayres</v>
      </c>
      <c r="E1092" s="4" t="str">
        <f>IFERROR(__xludf.DUMMYFUNCTION("""COMPUTED_VALUE"""),"Arizona State")</f>
        <v>Arizona State</v>
      </c>
      <c r="F1092" s="4">
        <f>IFERROR(__xludf.DUMMYFUNCTION("""COMPUTED_VALUE"""),6.0)</f>
        <v>6</v>
      </c>
      <c r="G1092" s="4">
        <f>IFERROR(__xludf.DUMMYFUNCTION("""COMPUTED_VALUE"""),237.0)</f>
        <v>237</v>
      </c>
      <c r="H1092" s="4">
        <f>IFERROR(__xludf.DUMMYFUNCTION("""COMPUTED_VALUE"""),2322.0)</f>
        <v>2322</v>
      </c>
      <c r="I1092" s="4">
        <f>IFERROR(__xludf.DUMMYFUNCTION("""COMPUTED_VALUE"""),690.0)</f>
        <v>690</v>
      </c>
      <c r="J1092" s="4">
        <f>IFERROR(__xludf.DUMMYFUNCTION("""COMPUTED_VALUE"""),632.0)</f>
        <v>632</v>
      </c>
      <c r="K1092" s="4">
        <f>IFERROR(__xludf.DUMMYFUNCTION("""COMPUTED_VALUE"""),99.0)</f>
        <v>99</v>
      </c>
      <c r="L1092" s="4">
        <f>IFERROR(__xludf.DUMMYFUNCTION("""COMPUTED_VALUE"""),0.553)</f>
        <v>0.553</v>
      </c>
      <c r="M1092" s="4">
        <f>IFERROR(__xludf.DUMMYFUNCTION("""COMPUTED_VALUE"""),0.4)</f>
        <v>0.4</v>
      </c>
      <c r="N1092" s="4">
        <f>IFERROR(__xludf.DUMMYFUNCTION("""COMPUTED_VALUE"""),0.776)</f>
        <v>0.776</v>
      </c>
      <c r="O1092" s="4">
        <f>IFERROR(__xludf.DUMMYFUNCTION("""COMPUTED_VALUE"""),9.8)</f>
        <v>9.8</v>
      </c>
      <c r="P1092" s="4">
        <f>IFERROR(__xludf.DUMMYFUNCTION("""COMPUTED_VALUE"""),2.9)</f>
        <v>2.9</v>
      </c>
      <c r="Q1092" s="4">
        <f>IFERROR(__xludf.DUMMYFUNCTION("""COMPUTED_VALUE"""),2.7)</f>
        <v>2.7</v>
      </c>
      <c r="R1092" s="4">
        <f>IFERROR(__xludf.DUMMYFUNCTION("""COMPUTED_VALUE"""),0.4)</f>
        <v>0.4</v>
      </c>
      <c r="S1092" s="4">
        <f>IFERROR(__xludf.DUMMYFUNCTION("""COMPUTED_VALUE"""),6.3)</f>
        <v>6.3</v>
      </c>
      <c r="T1092" s="4">
        <f>IFERROR(__xludf.DUMMYFUNCTION("""COMPUTED_VALUE"""),0.131)</f>
        <v>0.131</v>
      </c>
      <c r="U1092" s="4">
        <f>IFERROR(__xludf.DUMMYFUNCTION("""COMPUTED_VALUE"""),-2.3)</f>
        <v>-2.3</v>
      </c>
      <c r="V1092" s="4">
        <f>IFERROR(__xludf.DUMMYFUNCTION("""COMPUTED_VALUE"""),-0.2)</f>
        <v>-0.2</v>
      </c>
    </row>
    <row r="1093">
      <c r="A1093" s="4">
        <f>IFERROR(__xludf.DUMMYFUNCTION("""COMPUTED_VALUE"""),32.0)</f>
        <v>32</v>
      </c>
      <c r="B1093" s="4">
        <f>IFERROR(__xludf.DUMMYFUNCTION("""COMPUTED_VALUE"""),32.0)</f>
        <v>32</v>
      </c>
      <c r="C1093" s="4" t="str">
        <f>IFERROR(__xludf.DUMMYFUNCTION("""COMPUTED_VALUE"""),"WAS")</f>
        <v>WAS</v>
      </c>
      <c r="D1093" s="4" t="str">
        <f>IFERROR(__xludf.DUMMYFUNCTION("""COMPUTED_VALUE"""),"Jermaine Taylor")</f>
        <v>Jermaine Taylor</v>
      </c>
      <c r="E1093" s="4" t="str">
        <f>IFERROR(__xludf.DUMMYFUNCTION("""COMPUTED_VALUE"""),"Central Florida")</f>
        <v>Central Florida</v>
      </c>
      <c r="F1093" s="4">
        <f>IFERROR(__xludf.DUMMYFUNCTION("""COMPUTED_VALUE"""),2.0)</f>
        <v>2</v>
      </c>
      <c r="G1093" s="4">
        <f>IFERROR(__xludf.DUMMYFUNCTION("""COMPUTED_VALUE"""),65.0)</f>
        <v>65</v>
      </c>
      <c r="H1093" s="4">
        <f>IFERROR(__xludf.DUMMYFUNCTION("""COMPUTED_VALUE"""),786.0)</f>
        <v>786</v>
      </c>
      <c r="I1093" s="4">
        <f>IFERROR(__xludf.DUMMYFUNCTION("""COMPUTED_VALUE"""),351.0)</f>
        <v>351</v>
      </c>
      <c r="J1093" s="4">
        <f>IFERROR(__xludf.DUMMYFUNCTION("""COMPUTED_VALUE"""),108.0)</f>
        <v>108</v>
      </c>
      <c r="K1093" s="4">
        <f>IFERROR(__xludf.DUMMYFUNCTION("""COMPUTED_VALUE"""),48.0)</f>
        <v>48</v>
      </c>
      <c r="L1093" s="4">
        <f>IFERROR(__xludf.DUMMYFUNCTION("""COMPUTED_VALUE"""),0.441)</f>
        <v>0.441</v>
      </c>
      <c r="M1093" s="4">
        <f>IFERROR(__xludf.DUMMYFUNCTION("""COMPUTED_VALUE"""),0.284)</f>
        <v>0.284</v>
      </c>
      <c r="N1093" s="4">
        <f>IFERROR(__xludf.DUMMYFUNCTION("""COMPUTED_VALUE"""),0.73)</f>
        <v>0.73</v>
      </c>
      <c r="O1093" s="4">
        <f>IFERROR(__xludf.DUMMYFUNCTION("""COMPUTED_VALUE"""),12.1)</f>
        <v>12.1</v>
      </c>
      <c r="P1093" s="4">
        <f>IFERROR(__xludf.DUMMYFUNCTION("""COMPUTED_VALUE"""),5.4)</f>
        <v>5.4</v>
      </c>
      <c r="Q1093" s="4">
        <f>IFERROR(__xludf.DUMMYFUNCTION("""COMPUTED_VALUE"""),1.7)</f>
        <v>1.7</v>
      </c>
      <c r="R1093" s="4">
        <f>IFERROR(__xludf.DUMMYFUNCTION("""COMPUTED_VALUE"""),0.7)</f>
        <v>0.7</v>
      </c>
      <c r="S1093" s="4">
        <f>IFERROR(__xludf.DUMMYFUNCTION("""COMPUTED_VALUE"""),0.2)</f>
        <v>0.2</v>
      </c>
      <c r="T1093" s="4">
        <f>IFERROR(__xludf.DUMMYFUNCTION("""COMPUTED_VALUE"""),0.014)</f>
        <v>0.014</v>
      </c>
      <c r="U1093" s="4">
        <f>IFERROR(__xludf.DUMMYFUNCTION("""COMPUTED_VALUE"""),-3.7)</f>
        <v>-3.7</v>
      </c>
      <c r="V1093" s="4">
        <f>IFERROR(__xludf.DUMMYFUNCTION("""COMPUTED_VALUE"""),-0.3)</f>
        <v>-0.3</v>
      </c>
    </row>
    <row r="1094">
      <c r="A1094" s="4">
        <f>IFERROR(__xludf.DUMMYFUNCTION("""COMPUTED_VALUE"""),33.0)</f>
        <v>33</v>
      </c>
      <c r="B1094" s="4">
        <f>IFERROR(__xludf.DUMMYFUNCTION("""COMPUTED_VALUE"""),33.0)</f>
        <v>33</v>
      </c>
      <c r="C1094" s="4" t="str">
        <f>IFERROR(__xludf.DUMMYFUNCTION("""COMPUTED_VALUE"""),"POR")</f>
        <v>POR</v>
      </c>
      <c r="D1094" s="4" t="str">
        <f>IFERROR(__xludf.DUMMYFUNCTION("""COMPUTED_VALUE"""),"Dante Cunningham")</f>
        <v>Dante Cunningham</v>
      </c>
      <c r="E1094" s="4" t="str">
        <f>IFERROR(__xludf.DUMMYFUNCTION("""COMPUTED_VALUE"""),"Villanova")</f>
        <v>Villanova</v>
      </c>
      <c r="F1094" s="4">
        <f>IFERROR(__xludf.DUMMYFUNCTION("""COMPUTED_VALUE"""),10.0)</f>
        <v>10</v>
      </c>
      <c r="G1094" s="4">
        <f>IFERROR(__xludf.DUMMYFUNCTION("""COMPUTED_VALUE"""),715.0)</f>
        <v>715</v>
      </c>
      <c r="H1094" s="4">
        <f>IFERROR(__xludf.DUMMYFUNCTION("""COMPUTED_VALUE"""),14875.0)</f>
        <v>14875</v>
      </c>
      <c r="I1094" s="4">
        <f>IFERROR(__xludf.DUMMYFUNCTION("""COMPUTED_VALUE"""),4133.0)</f>
        <v>4133</v>
      </c>
      <c r="J1094" s="4">
        <f>IFERROR(__xludf.DUMMYFUNCTION("""COMPUTED_VALUE"""),2676.0)</f>
        <v>2676</v>
      </c>
      <c r="K1094" s="4">
        <f>IFERROR(__xludf.DUMMYFUNCTION("""COMPUTED_VALUE"""),506.0)</f>
        <v>506</v>
      </c>
      <c r="L1094" s="4">
        <f>IFERROR(__xludf.DUMMYFUNCTION("""COMPUTED_VALUE"""),0.469)</f>
        <v>0.469</v>
      </c>
      <c r="M1094" s="4">
        <f>IFERROR(__xludf.DUMMYFUNCTION("""COMPUTED_VALUE"""),0.345)</f>
        <v>0.345</v>
      </c>
      <c r="N1094" s="4">
        <f>IFERROR(__xludf.DUMMYFUNCTION("""COMPUTED_VALUE"""),0.649)</f>
        <v>0.649</v>
      </c>
      <c r="O1094" s="4">
        <f>IFERROR(__xludf.DUMMYFUNCTION("""COMPUTED_VALUE"""),20.8)</f>
        <v>20.8</v>
      </c>
      <c r="P1094" s="4">
        <f>IFERROR(__xludf.DUMMYFUNCTION("""COMPUTED_VALUE"""),5.8)</f>
        <v>5.8</v>
      </c>
      <c r="Q1094" s="4">
        <f>IFERROR(__xludf.DUMMYFUNCTION("""COMPUTED_VALUE"""),3.7)</f>
        <v>3.7</v>
      </c>
      <c r="R1094" s="4">
        <f>IFERROR(__xludf.DUMMYFUNCTION("""COMPUTED_VALUE"""),0.7)</f>
        <v>0.7</v>
      </c>
      <c r="S1094" s="4">
        <f>IFERROR(__xludf.DUMMYFUNCTION("""COMPUTED_VALUE"""),24.9)</f>
        <v>24.9</v>
      </c>
      <c r="T1094" s="4">
        <f>IFERROR(__xludf.DUMMYFUNCTION("""COMPUTED_VALUE"""),0.08)</f>
        <v>0.08</v>
      </c>
      <c r="U1094" s="4">
        <f>IFERROR(__xludf.DUMMYFUNCTION("""COMPUTED_VALUE"""),-1.7)</f>
        <v>-1.7</v>
      </c>
      <c r="V1094" s="4">
        <f>IFERROR(__xludf.DUMMYFUNCTION("""COMPUTED_VALUE"""),1.1)</f>
        <v>1.1</v>
      </c>
    </row>
    <row r="1095">
      <c r="A1095" s="4">
        <f>IFERROR(__xludf.DUMMYFUNCTION("""COMPUTED_VALUE"""),34.0)</f>
        <v>34</v>
      </c>
      <c r="B1095" s="4">
        <f>IFERROR(__xludf.DUMMYFUNCTION("""COMPUTED_VALUE"""),34.0)</f>
        <v>34</v>
      </c>
      <c r="C1095" s="4" t="str">
        <f>IFERROR(__xludf.DUMMYFUNCTION("""COMPUTED_VALUE"""),"DEN")</f>
        <v>DEN</v>
      </c>
      <c r="D1095" s="4" t="str">
        <f>IFERROR(__xludf.DUMMYFUNCTION("""COMPUTED_VALUE"""),"Sergio Llull")</f>
        <v>Sergio Llull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>
      <c r="A1096" s="4">
        <f>IFERROR(__xludf.DUMMYFUNCTION("""COMPUTED_VALUE"""),35.0)</f>
        <v>35</v>
      </c>
      <c r="B1096" s="4">
        <f>IFERROR(__xludf.DUMMYFUNCTION("""COMPUTED_VALUE"""),35.0)</f>
        <v>35</v>
      </c>
      <c r="C1096" s="4" t="str">
        <f>IFERROR(__xludf.DUMMYFUNCTION("""COMPUTED_VALUE"""),"DET")</f>
        <v>DET</v>
      </c>
      <c r="D1096" s="4" t="str">
        <f>IFERROR(__xludf.DUMMYFUNCTION("""COMPUTED_VALUE"""),"DaJuan Summers")</f>
        <v>DaJuan Summers</v>
      </c>
      <c r="E1096" s="4" t="str">
        <f>IFERROR(__xludf.DUMMYFUNCTION("""COMPUTED_VALUE"""),"Georgetown")</f>
        <v>Georgetown</v>
      </c>
      <c r="F1096" s="4">
        <f>IFERROR(__xludf.DUMMYFUNCTION("""COMPUTED_VALUE"""),4.0)</f>
        <v>4</v>
      </c>
      <c r="G1096" s="4">
        <f>IFERROR(__xludf.DUMMYFUNCTION("""COMPUTED_VALUE"""),83.0)</f>
        <v>83</v>
      </c>
      <c r="H1096" s="4">
        <f>IFERROR(__xludf.DUMMYFUNCTION("""COMPUTED_VALUE"""),820.0)</f>
        <v>820</v>
      </c>
      <c r="I1096" s="4">
        <f>IFERROR(__xludf.DUMMYFUNCTION("""COMPUTED_VALUE"""),278.0)</f>
        <v>278</v>
      </c>
      <c r="J1096" s="4">
        <f>IFERROR(__xludf.DUMMYFUNCTION("""COMPUTED_VALUE"""),82.0)</f>
        <v>82</v>
      </c>
      <c r="K1096" s="4">
        <f>IFERROR(__xludf.DUMMYFUNCTION("""COMPUTED_VALUE"""),29.0)</f>
        <v>29</v>
      </c>
      <c r="L1096" s="4">
        <f>IFERROR(__xludf.DUMMYFUNCTION("""COMPUTED_VALUE"""),0.384)</f>
        <v>0.384</v>
      </c>
      <c r="M1096" s="4">
        <f>IFERROR(__xludf.DUMMYFUNCTION("""COMPUTED_VALUE"""),0.367)</f>
        <v>0.367</v>
      </c>
      <c r="N1096" s="4">
        <f>IFERROR(__xludf.DUMMYFUNCTION("""COMPUTED_VALUE"""),0.642)</f>
        <v>0.642</v>
      </c>
      <c r="O1096" s="4">
        <f>IFERROR(__xludf.DUMMYFUNCTION("""COMPUTED_VALUE"""),9.9)</f>
        <v>9.9</v>
      </c>
      <c r="P1096" s="4">
        <f>IFERROR(__xludf.DUMMYFUNCTION("""COMPUTED_VALUE"""),3.3)</f>
        <v>3.3</v>
      </c>
      <c r="Q1096" s="4">
        <f>IFERROR(__xludf.DUMMYFUNCTION("""COMPUTED_VALUE"""),1.0)</f>
        <v>1</v>
      </c>
      <c r="R1096" s="4">
        <f>IFERROR(__xludf.DUMMYFUNCTION("""COMPUTED_VALUE"""),0.3)</f>
        <v>0.3</v>
      </c>
      <c r="S1096" s="4">
        <f>IFERROR(__xludf.DUMMYFUNCTION("""COMPUTED_VALUE"""),-0.1)</f>
        <v>-0.1</v>
      </c>
      <c r="T1096" s="4">
        <f>IFERROR(__xludf.DUMMYFUNCTION("""COMPUTED_VALUE"""),-0.008)</f>
        <v>-0.008</v>
      </c>
      <c r="U1096" s="4">
        <f>IFERROR(__xludf.DUMMYFUNCTION("""COMPUTED_VALUE"""),-5.8)</f>
        <v>-5.8</v>
      </c>
      <c r="V1096" s="4">
        <f>IFERROR(__xludf.DUMMYFUNCTION("""COMPUTED_VALUE"""),-0.8)</f>
        <v>-0.8</v>
      </c>
    </row>
    <row r="1097">
      <c r="A1097" s="4">
        <f>IFERROR(__xludf.DUMMYFUNCTION("""COMPUTED_VALUE"""),36.0)</f>
        <v>36</v>
      </c>
      <c r="B1097" s="4">
        <f>IFERROR(__xludf.DUMMYFUNCTION("""COMPUTED_VALUE"""),36.0)</f>
        <v>36</v>
      </c>
      <c r="C1097" s="4" t="str">
        <f>IFERROR(__xludf.DUMMYFUNCTION("""COMPUTED_VALUE"""),"MEM")</f>
        <v>MEM</v>
      </c>
      <c r="D1097" s="4" t="str">
        <f>IFERROR(__xludf.DUMMYFUNCTION("""COMPUTED_VALUE"""),"Sam Young")</f>
        <v>Sam Young</v>
      </c>
      <c r="E1097" s="4" t="str">
        <f>IFERROR(__xludf.DUMMYFUNCTION("""COMPUTED_VALUE"""),"Pitt")</f>
        <v>Pitt</v>
      </c>
      <c r="F1097" s="4">
        <f>IFERROR(__xludf.DUMMYFUNCTION("""COMPUTED_VALUE"""),4.0)</f>
        <v>4</v>
      </c>
      <c r="G1097" s="4">
        <f>IFERROR(__xludf.DUMMYFUNCTION("""COMPUTED_VALUE"""),249.0)</f>
        <v>249</v>
      </c>
      <c r="H1097" s="4">
        <f>IFERROR(__xludf.DUMMYFUNCTION("""COMPUTED_VALUE"""),3966.0)</f>
        <v>3966</v>
      </c>
      <c r="I1097" s="4">
        <f>IFERROR(__xludf.DUMMYFUNCTION("""COMPUTED_VALUE"""),1436.0)</f>
        <v>1436</v>
      </c>
      <c r="J1097" s="4">
        <f>IFERROR(__xludf.DUMMYFUNCTION("""COMPUTED_VALUE"""),573.0)</f>
        <v>573</v>
      </c>
      <c r="K1097" s="4">
        <f>IFERROR(__xludf.DUMMYFUNCTION("""COMPUTED_VALUE"""),180.0)</f>
        <v>180</v>
      </c>
      <c r="L1097" s="4">
        <f>IFERROR(__xludf.DUMMYFUNCTION("""COMPUTED_VALUE"""),0.442)</f>
        <v>0.442</v>
      </c>
      <c r="M1097" s="4">
        <f>IFERROR(__xludf.DUMMYFUNCTION("""COMPUTED_VALUE"""),0.28)</f>
        <v>0.28</v>
      </c>
      <c r="N1097" s="4">
        <f>IFERROR(__xludf.DUMMYFUNCTION("""COMPUTED_VALUE"""),0.742)</f>
        <v>0.742</v>
      </c>
      <c r="O1097" s="4">
        <f>IFERROR(__xludf.DUMMYFUNCTION("""COMPUTED_VALUE"""),15.9)</f>
        <v>15.9</v>
      </c>
      <c r="P1097" s="4">
        <f>IFERROR(__xludf.DUMMYFUNCTION("""COMPUTED_VALUE"""),5.8)</f>
        <v>5.8</v>
      </c>
      <c r="Q1097" s="4">
        <f>IFERROR(__xludf.DUMMYFUNCTION("""COMPUTED_VALUE"""),2.3)</f>
        <v>2.3</v>
      </c>
      <c r="R1097" s="4">
        <f>IFERROR(__xludf.DUMMYFUNCTION("""COMPUTED_VALUE"""),0.7)</f>
        <v>0.7</v>
      </c>
      <c r="S1097" s="4">
        <f>IFERROR(__xludf.DUMMYFUNCTION("""COMPUTED_VALUE"""),5.2)</f>
        <v>5.2</v>
      </c>
      <c r="T1097" s="4">
        <f>IFERROR(__xludf.DUMMYFUNCTION("""COMPUTED_VALUE"""),0.063)</f>
        <v>0.063</v>
      </c>
      <c r="U1097" s="4">
        <f>IFERROR(__xludf.DUMMYFUNCTION("""COMPUTED_VALUE"""),-2.1)</f>
        <v>-2.1</v>
      </c>
      <c r="V1097" s="4">
        <f>IFERROR(__xludf.DUMMYFUNCTION("""COMPUTED_VALUE"""),-0.1)</f>
        <v>-0.1</v>
      </c>
    </row>
    <row r="1098">
      <c r="A1098" s="4">
        <f>IFERROR(__xludf.DUMMYFUNCTION("""COMPUTED_VALUE"""),37.0)</f>
        <v>37</v>
      </c>
      <c r="B1098" s="4">
        <f>IFERROR(__xludf.DUMMYFUNCTION("""COMPUTED_VALUE"""),37.0)</f>
        <v>37</v>
      </c>
      <c r="C1098" s="4" t="str">
        <f>IFERROR(__xludf.DUMMYFUNCTION("""COMPUTED_VALUE"""),"SAS")</f>
        <v>SAS</v>
      </c>
      <c r="D1098" s="4" t="str">
        <f>IFERROR(__xludf.DUMMYFUNCTION("""COMPUTED_VALUE"""),"DeJuan Blair")</f>
        <v>DeJuan Blair</v>
      </c>
      <c r="E1098" s="4" t="str">
        <f>IFERROR(__xludf.DUMMYFUNCTION("""COMPUTED_VALUE"""),"Pitt")</f>
        <v>Pitt</v>
      </c>
      <c r="F1098" s="4">
        <f>IFERROR(__xludf.DUMMYFUNCTION("""COMPUTED_VALUE"""),7.0)</f>
        <v>7</v>
      </c>
      <c r="G1098" s="4">
        <f>IFERROR(__xludf.DUMMYFUNCTION("""COMPUTED_VALUE"""),424.0)</f>
        <v>424</v>
      </c>
      <c r="H1098" s="4">
        <f>IFERROR(__xludf.DUMMYFUNCTION("""COMPUTED_VALUE"""),7054.0)</f>
        <v>7054</v>
      </c>
      <c r="I1098" s="4">
        <f>IFERROR(__xludf.DUMMYFUNCTION("""COMPUTED_VALUE"""),2865.0)</f>
        <v>2865</v>
      </c>
      <c r="J1098" s="4">
        <f>IFERROR(__xludf.DUMMYFUNCTION("""COMPUTED_VALUE"""),2153.0)</f>
        <v>2153</v>
      </c>
      <c r="K1098" s="4">
        <f>IFERROR(__xludf.DUMMYFUNCTION("""COMPUTED_VALUE"""),349.0)</f>
        <v>349</v>
      </c>
      <c r="L1098" s="4">
        <f>IFERROR(__xludf.DUMMYFUNCTION("""COMPUTED_VALUE"""),0.524)</f>
        <v>0.524</v>
      </c>
      <c r="M1098" s="4">
        <f>IFERROR(__xludf.DUMMYFUNCTION("""COMPUTED_VALUE"""),0.0)</f>
        <v>0</v>
      </c>
      <c r="N1098" s="4">
        <f>IFERROR(__xludf.DUMMYFUNCTION("""COMPUTED_VALUE"""),0.608)</f>
        <v>0.608</v>
      </c>
      <c r="O1098" s="4">
        <f>IFERROR(__xludf.DUMMYFUNCTION("""COMPUTED_VALUE"""),16.6)</f>
        <v>16.6</v>
      </c>
      <c r="P1098" s="4">
        <f>IFERROR(__xludf.DUMMYFUNCTION("""COMPUTED_VALUE"""),6.8)</f>
        <v>6.8</v>
      </c>
      <c r="Q1098" s="4">
        <f>IFERROR(__xludf.DUMMYFUNCTION("""COMPUTED_VALUE"""),5.1)</f>
        <v>5.1</v>
      </c>
      <c r="R1098" s="4">
        <f>IFERROR(__xludf.DUMMYFUNCTION("""COMPUTED_VALUE"""),0.8)</f>
        <v>0.8</v>
      </c>
      <c r="S1098" s="4">
        <f>IFERROR(__xludf.DUMMYFUNCTION("""COMPUTED_VALUE"""),19.0)</f>
        <v>19</v>
      </c>
      <c r="T1098" s="4">
        <f>IFERROR(__xludf.DUMMYFUNCTION("""COMPUTED_VALUE"""),0.129)</f>
        <v>0.129</v>
      </c>
      <c r="U1098" s="4">
        <f>IFERROR(__xludf.DUMMYFUNCTION("""COMPUTED_VALUE"""),-1.2)</f>
        <v>-1.2</v>
      </c>
      <c r="V1098" s="4">
        <f>IFERROR(__xludf.DUMMYFUNCTION("""COMPUTED_VALUE"""),1.4)</f>
        <v>1.4</v>
      </c>
    </row>
    <row r="1099">
      <c r="A1099" s="4">
        <f>IFERROR(__xludf.DUMMYFUNCTION("""COMPUTED_VALUE"""),38.0)</f>
        <v>38</v>
      </c>
      <c r="B1099" s="4">
        <f>IFERROR(__xludf.DUMMYFUNCTION("""COMPUTED_VALUE"""),38.0)</f>
        <v>38</v>
      </c>
      <c r="C1099" s="4" t="str">
        <f>IFERROR(__xludf.DUMMYFUNCTION("""COMPUTED_VALUE"""),"POR")</f>
        <v>POR</v>
      </c>
      <c r="D1099" s="4" t="str">
        <f>IFERROR(__xludf.DUMMYFUNCTION("""COMPUTED_VALUE"""),"Jon Brockman")</f>
        <v>Jon Brockman</v>
      </c>
      <c r="E1099" s="4" t="str">
        <f>IFERROR(__xludf.DUMMYFUNCTION("""COMPUTED_VALUE"""),"Washington")</f>
        <v>Washington</v>
      </c>
      <c r="F1099" s="4">
        <f>IFERROR(__xludf.DUMMYFUNCTION("""COMPUTED_VALUE"""),3.0)</f>
        <v>3</v>
      </c>
      <c r="G1099" s="4">
        <f>IFERROR(__xludf.DUMMYFUNCTION("""COMPUTED_VALUE"""),150.0)</f>
        <v>150</v>
      </c>
      <c r="H1099" s="4">
        <f>IFERROR(__xludf.DUMMYFUNCTION("""COMPUTED_VALUE"""),1570.0)</f>
        <v>1570</v>
      </c>
      <c r="I1099" s="4">
        <f>IFERROR(__xludf.DUMMYFUNCTION("""COMPUTED_VALUE"""),320.0)</f>
        <v>320</v>
      </c>
      <c r="J1099" s="4">
        <f>IFERROR(__xludf.DUMMYFUNCTION("""COMPUTED_VALUE"""),472.0)</f>
        <v>472</v>
      </c>
      <c r="K1099" s="4">
        <f>IFERROR(__xludf.DUMMYFUNCTION("""COMPUTED_VALUE"""),49.0)</f>
        <v>49</v>
      </c>
      <c r="L1099" s="4">
        <f>IFERROR(__xludf.DUMMYFUNCTION("""COMPUTED_VALUE"""),0.488)</f>
        <v>0.488</v>
      </c>
      <c r="M1099" s="4">
        <f>IFERROR(__xludf.DUMMYFUNCTION("""COMPUTED_VALUE"""),0.0)</f>
        <v>0</v>
      </c>
      <c r="N1099" s="4">
        <f>IFERROR(__xludf.DUMMYFUNCTION("""COMPUTED_VALUE"""),0.618)</f>
        <v>0.618</v>
      </c>
      <c r="O1099" s="4">
        <f>IFERROR(__xludf.DUMMYFUNCTION("""COMPUTED_VALUE"""),10.5)</f>
        <v>10.5</v>
      </c>
      <c r="P1099" s="4">
        <f>IFERROR(__xludf.DUMMYFUNCTION("""COMPUTED_VALUE"""),2.1)</f>
        <v>2.1</v>
      </c>
      <c r="Q1099" s="4">
        <f>IFERROR(__xludf.DUMMYFUNCTION("""COMPUTED_VALUE"""),3.1)</f>
        <v>3.1</v>
      </c>
      <c r="R1099" s="4">
        <f>IFERROR(__xludf.DUMMYFUNCTION("""COMPUTED_VALUE"""),0.3)</f>
        <v>0.3</v>
      </c>
      <c r="S1099" s="4">
        <f>IFERROR(__xludf.DUMMYFUNCTION("""COMPUTED_VALUE"""),3.7)</f>
        <v>3.7</v>
      </c>
      <c r="T1099" s="4">
        <f>IFERROR(__xludf.DUMMYFUNCTION("""COMPUTED_VALUE"""),0.113)</f>
        <v>0.113</v>
      </c>
      <c r="U1099" s="4">
        <f>IFERROR(__xludf.DUMMYFUNCTION("""COMPUTED_VALUE"""),-3.9)</f>
        <v>-3.9</v>
      </c>
      <c r="V1099" s="4">
        <f>IFERROR(__xludf.DUMMYFUNCTION("""COMPUTED_VALUE"""),-0.8)</f>
        <v>-0.8</v>
      </c>
    </row>
    <row r="1100">
      <c r="A1100" s="4">
        <f>IFERROR(__xludf.DUMMYFUNCTION("""COMPUTED_VALUE"""),39.0)</f>
        <v>39</v>
      </c>
      <c r="B1100" s="4">
        <f>IFERROR(__xludf.DUMMYFUNCTION("""COMPUTED_VALUE"""),39.0)</f>
        <v>39</v>
      </c>
      <c r="C1100" s="4" t="str">
        <f>IFERROR(__xludf.DUMMYFUNCTION("""COMPUTED_VALUE"""),"DET")</f>
        <v>DET</v>
      </c>
      <c r="D1100" s="4" t="str">
        <f>IFERROR(__xludf.DUMMYFUNCTION("""COMPUTED_VALUE"""),"Jonas Jerebko")</f>
        <v>Jonas Jerebko</v>
      </c>
      <c r="E1100" s="4"/>
      <c r="F1100" s="4">
        <f>IFERROR(__xludf.DUMMYFUNCTION("""COMPUTED_VALUE"""),9.0)</f>
        <v>9</v>
      </c>
      <c r="G1100" s="4">
        <f>IFERROR(__xludf.DUMMYFUNCTION("""COMPUTED_VALUE"""),635.0)</f>
        <v>635</v>
      </c>
      <c r="H1100" s="4">
        <f>IFERROR(__xludf.DUMMYFUNCTION("""COMPUTED_VALUE"""),11323.0)</f>
        <v>11323</v>
      </c>
      <c r="I1100" s="4">
        <f>IFERROR(__xludf.DUMMYFUNCTION("""COMPUTED_VALUE"""),3919.0)</f>
        <v>3919</v>
      </c>
      <c r="J1100" s="4">
        <f>IFERROR(__xludf.DUMMYFUNCTION("""COMPUTED_VALUE"""),2522.0)</f>
        <v>2522</v>
      </c>
      <c r="K1100" s="4">
        <f>IFERROR(__xludf.DUMMYFUNCTION("""COMPUTED_VALUE"""),525.0)</f>
        <v>525</v>
      </c>
      <c r="L1100" s="4">
        <f>IFERROR(__xludf.DUMMYFUNCTION("""COMPUTED_VALUE"""),0.457)</f>
        <v>0.457</v>
      </c>
      <c r="M1100" s="4">
        <f>IFERROR(__xludf.DUMMYFUNCTION("""COMPUTED_VALUE"""),0.363)</f>
        <v>0.363</v>
      </c>
      <c r="N1100" s="4">
        <f>IFERROR(__xludf.DUMMYFUNCTION("""COMPUTED_VALUE"""),0.77)</f>
        <v>0.77</v>
      </c>
      <c r="O1100" s="4">
        <f>IFERROR(__xludf.DUMMYFUNCTION("""COMPUTED_VALUE"""),17.8)</f>
        <v>17.8</v>
      </c>
      <c r="P1100" s="4">
        <f>IFERROR(__xludf.DUMMYFUNCTION("""COMPUTED_VALUE"""),6.2)</f>
        <v>6.2</v>
      </c>
      <c r="Q1100" s="4">
        <f>IFERROR(__xludf.DUMMYFUNCTION("""COMPUTED_VALUE"""),4.0)</f>
        <v>4</v>
      </c>
      <c r="R1100" s="4">
        <f>IFERROR(__xludf.DUMMYFUNCTION("""COMPUTED_VALUE"""),0.8)</f>
        <v>0.8</v>
      </c>
      <c r="S1100" s="4">
        <f>IFERROR(__xludf.DUMMYFUNCTION("""COMPUTED_VALUE"""),25.8)</f>
        <v>25.8</v>
      </c>
      <c r="T1100" s="4">
        <f>IFERROR(__xludf.DUMMYFUNCTION("""COMPUTED_VALUE"""),0.109)</f>
        <v>0.109</v>
      </c>
      <c r="U1100" s="4">
        <f>IFERROR(__xludf.DUMMYFUNCTION("""COMPUTED_VALUE"""),-1.0)</f>
        <v>-1</v>
      </c>
      <c r="V1100" s="4">
        <f>IFERROR(__xludf.DUMMYFUNCTION("""COMPUTED_VALUE"""),2.9)</f>
        <v>2.9</v>
      </c>
    </row>
    <row r="1101">
      <c r="A1101" s="4">
        <f>IFERROR(__xludf.DUMMYFUNCTION("""COMPUTED_VALUE"""),40.0)</f>
        <v>40</v>
      </c>
      <c r="B1101" s="4">
        <f>IFERROR(__xludf.DUMMYFUNCTION("""COMPUTED_VALUE"""),40.0)</f>
        <v>40</v>
      </c>
      <c r="C1101" s="4" t="str">
        <f>IFERROR(__xludf.DUMMYFUNCTION("""COMPUTED_VALUE"""),"CHA")</f>
        <v>CHA</v>
      </c>
      <c r="D1101" s="4" t="str">
        <f>IFERROR(__xludf.DUMMYFUNCTION("""COMPUTED_VALUE"""),"Derrick Brown")</f>
        <v>Derrick Brown</v>
      </c>
      <c r="E1101" s="4" t="str">
        <f>IFERROR(__xludf.DUMMYFUNCTION("""COMPUTED_VALUE"""),"Xavier")</f>
        <v>Xavier</v>
      </c>
      <c r="F1101" s="4">
        <f>IFERROR(__xludf.DUMMYFUNCTION("""COMPUTED_VALUE"""),3.0)</f>
        <v>3</v>
      </c>
      <c r="G1101" s="4">
        <f>IFERROR(__xludf.DUMMYFUNCTION("""COMPUTED_VALUE"""),171.0)</f>
        <v>171</v>
      </c>
      <c r="H1101" s="4">
        <f>IFERROR(__xludf.DUMMYFUNCTION("""COMPUTED_VALUE"""),2554.0)</f>
        <v>2554</v>
      </c>
      <c r="I1101" s="4">
        <f>IFERROR(__xludf.DUMMYFUNCTION("""COMPUTED_VALUE"""),895.0)</f>
        <v>895</v>
      </c>
      <c r="J1101" s="4">
        <f>IFERROR(__xludf.DUMMYFUNCTION("""COMPUTED_VALUE"""),413.0)</f>
        <v>413</v>
      </c>
      <c r="K1101" s="4">
        <f>IFERROR(__xludf.DUMMYFUNCTION("""COMPUTED_VALUE"""),119.0)</f>
        <v>119</v>
      </c>
      <c r="L1101" s="4">
        <f>IFERROR(__xludf.DUMMYFUNCTION("""COMPUTED_VALUE"""),0.515)</f>
        <v>0.515</v>
      </c>
      <c r="M1101" s="4">
        <f>IFERROR(__xludf.DUMMYFUNCTION("""COMPUTED_VALUE"""),0.317)</f>
        <v>0.317</v>
      </c>
      <c r="N1101" s="4">
        <f>IFERROR(__xludf.DUMMYFUNCTION("""COMPUTED_VALUE"""),0.637)</f>
        <v>0.637</v>
      </c>
      <c r="O1101" s="4">
        <f>IFERROR(__xludf.DUMMYFUNCTION("""COMPUTED_VALUE"""),14.9)</f>
        <v>14.9</v>
      </c>
      <c r="P1101" s="4">
        <f>IFERROR(__xludf.DUMMYFUNCTION("""COMPUTED_VALUE"""),5.2)</f>
        <v>5.2</v>
      </c>
      <c r="Q1101" s="4">
        <f>IFERROR(__xludf.DUMMYFUNCTION("""COMPUTED_VALUE"""),2.4)</f>
        <v>2.4</v>
      </c>
      <c r="R1101" s="4">
        <f>IFERROR(__xludf.DUMMYFUNCTION("""COMPUTED_VALUE"""),0.7)</f>
        <v>0.7</v>
      </c>
      <c r="S1101" s="4">
        <f>IFERROR(__xludf.DUMMYFUNCTION("""COMPUTED_VALUE"""),4.5)</f>
        <v>4.5</v>
      </c>
      <c r="T1101" s="4">
        <f>IFERROR(__xludf.DUMMYFUNCTION("""COMPUTED_VALUE"""),0.085)</f>
        <v>0.085</v>
      </c>
      <c r="U1101" s="4">
        <f>IFERROR(__xludf.DUMMYFUNCTION("""COMPUTED_VALUE"""),-1.3)</f>
        <v>-1.3</v>
      </c>
      <c r="V1101" s="4">
        <f>IFERROR(__xludf.DUMMYFUNCTION("""COMPUTED_VALUE"""),0.4)</f>
        <v>0.4</v>
      </c>
    </row>
    <row r="1102">
      <c r="A1102" s="4">
        <f>IFERROR(__xludf.DUMMYFUNCTION("""COMPUTED_VALUE"""),41.0)</f>
        <v>41</v>
      </c>
      <c r="B1102" s="4">
        <f>IFERROR(__xludf.DUMMYFUNCTION("""COMPUTED_VALUE"""),41.0)</f>
        <v>41</v>
      </c>
      <c r="C1102" s="4" t="str">
        <f>IFERROR(__xludf.DUMMYFUNCTION("""COMPUTED_VALUE"""),"MIL")</f>
        <v>MIL</v>
      </c>
      <c r="D1102" s="4" t="str">
        <f>IFERROR(__xludf.DUMMYFUNCTION("""COMPUTED_VALUE"""),"Jodie Meeks")</f>
        <v>Jodie Meeks</v>
      </c>
      <c r="E1102" s="4" t="str">
        <f>IFERROR(__xludf.DUMMYFUNCTION("""COMPUTED_VALUE"""),"Kentucky")</f>
        <v>Kentucky</v>
      </c>
      <c r="F1102" s="4">
        <f>IFERROR(__xludf.DUMMYFUNCTION("""COMPUTED_VALUE"""),10.0)</f>
        <v>10</v>
      </c>
      <c r="G1102" s="4">
        <f>IFERROR(__xludf.DUMMYFUNCTION("""COMPUTED_VALUE"""),539.0)</f>
        <v>539</v>
      </c>
      <c r="H1102" s="4">
        <f>IFERROR(__xludf.DUMMYFUNCTION("""COMPUTED_VALUE"""),12110.0)</f>
        <v>12110</v>
      </c>
      <c r="I1102" s="4">
        <f>IFERROR(__xludf.DUMMYFUNCTION("""COMPUTED_VALUE"""),4988.0)</f>
        <v>4988</v>
      </c>
      <c r="J1102" s="4">
        <f>IFERROR(__xludf.DUMMYFUNCTION("""COMPUTED_VALUE"""),1120.0)</f>
        <v>1120</v>
      </c>
      <c r="K1102" s="4">
        <f>IFERROR(__xludf.DUMMYFUNCTION("""COMPUTED_VALUE"""),583.0)</f>
        <v>583</v>
      </c>
      <c r="L1102" s="4">
        <f>IFERROR(__xludf.DUMMYFUNCTION("""COMPUTED_VALUE"""),0.42)</f>
        <v>0.42</v>
      </c>
      <c r="M1102" s="4">
        <f>IFERROR(__xludf.DUMMYFUNCTION("""COMPUTED_VALUE"""),0.373)</f>
        <v>0.373</v>
      </c>
      <c r="N1102" s="4">
        <f>IFERROR(__xludf.DUMMYFUNCTION("""COMPUTED_VALUE"""),0.879)</f>
        <v>0.879</v>
      </c>
      <c r="O1102" s="4">
        <f>IFERROR(__xludf.DUMMYFUNCTION("""COMPUTED_VALUE"""),22.5)</f>
        <v>22.5</v>
      </c>
      <c r="P1102" s="4">
        <f>IFERROR(__xludf.DUMMYFUNCTION("""COMPUTED_VALUE"""),9.3)</f>
        <v>9.3</v>
      </c>
      <c r="Q1102" s="4">
        <f>IFERROR(__xludf.DUMMYFUNCTION("""COMPUTED_VALUE"""),2.1)</f>
        <v>2.1</v>
      </c>
      <c r="R1102" s="4">
        <f>IFERROR(__xludf.DUMMYFUNCTION("""COMPUTED_VALUE"""),1.1)</f>
        <v>1.1</v>
      </c>
      <c r="S1102" s="4">
        <f>IFERROR(__xludf.DUMMYFUNCTION("""COMPUTED_VALUE"""),24.3)</f>
        <v>24.3</v>
      </c>
      <c r="T1102" s="4">
        <f>IFERROR(__xludf.DUMMYFUNCTION("""COMPUTED_VALUE"""),0.096)</f>
        <v>0.096</v>
      </c>
      <c r="U1102" s="4">
        <f>IFERROR(__xludf.DUMMYFUNCTION("""COMPUTED_VALUE"""),-0.6)</f>
        <v>-0.6</v>
      </c>
      <c r="V1102" s="4">
        <f>IFERROR(__xludf.DUMMYFUNCTION("""COMPUTED_VALUE"""),4.2)</f>
        <v>4.2</v>
      </c>
    </row>
    <row r="1103">
      <c r="A1103" s="4">
        <f>IFERROR(__xludf.DUMMYFUNCTION("""COMPUTED_VALUE"""),42.0)</f>
        <v>42</v>
      </c>
      <c r="B1103" s="4">
        <f>IFERROR(__xludf.DUMMYFUNCTION("""COMPUTED_VALUE"""),42.0)</f>
        <v>42</v>
      </c>
      <c r="C1103" s="4" t="str">
        <f>IFERROR(__xludf.DUMMYFUNCTION("""COMPUTED_VALUE"""),"LAL")</f>
        <v>LAL</v>
      </c>
      <c r="D1103" s="4" t="str">
        <f>IFERROR(__xludf.DUMMYFUNCTION("""COMPUTED_VALUE"""),"Patrick Beverley")</f>
        <v>Patrick Beverley</v>
      </c>
      <c r="E1103" s="4" t="str">
        <f>IFERROR(__xludf.DUMMYFUNCTION("""COMPUTED_VALUE"""),"Arkansas")</f>
        <v>Arkansas</v>
      </c>
      <c r="F1103" s="4">
        <f>IFERROR(__xludf.DUMMYFUNCTION("""COMPUTED_VALUE"""),12.0)</f>
        <v>12</v>
      </c>
      <c r="G1103" s="4">
        <f>IFERROR(__xludf.DUMMYFUNCTION("""COMPUTED_VALUE"""),666.0)</f>
        <v>666</v>
      </c>
      <c r="H1103" s="4">
        <f>IFERROR(__xludf.DUMMYFUNCTION("""COMPUTED_VALUE"""),17689.0)</f>
        <v>17689</v>
      </c>
      <c r="I1103" s="4">
        <f>IFERROR(__xludf.DUMMYFUNCTION("""COMPUTED_VALUE"""),5520.0)</f>
        <v>5520</v>
      </c>
      <c r="J1103" s="4">
        <f>IFERROR(__xludf.DUMMYFUNCTION("""COMPUTED_VALUE"""),2729.0)</f>
        <v>2729</v>
      </c>
      <c r="K1103" s="4">
        <f>IFERROR(__xludf.DUMMYFUNCTION("""COMPUTED_VALUE"""),2245.0)</f>
        <v>2245</v>
      </c>
      <c r="L1103" s="4">
        <f>IFERROR(__xludf.DUMMYFUNCTION("""COMPUTED_VALUE"""),0.413)</f>
        <v>0.413</v>
      </c>
      <c r="M1103" s="4">
        <f>IFERROR(__xludf.DUMMYFUNCTION("""COMPUTED_VALUE"""),0.371)</f>
        <v>0.371</v>
      </c>
      <c r="N1103" s="4">
        <f>IFERROR(__xludf.DUMMYFUNCTION("""COMPUTED_VALUE"""),0.76)</f>
        <v>0.76</v>
      </c>
      <c r="O1103" s="4">
        <f>IFERROR(__xludf.DUMMYFUNCTION("""COMPUTED_VALUE"""),26.6)</f>
        <v>26.6</v>
      </c>
      <c r="P1103" s="4">
        <f>IFERROR(__xludf.DUMMYFUNCTION("""COMPUTED_VALUE"""),8.3)</f>
        <v>8.3</v>
      </c>
      <c r="Q1103" s="4">
        <f>IFERROR(__xludf.DUMMYFUNCTION("""COMPUTED_VALUE"""),4.1)</f>
        <v>4.1</v>
      </c>
      <c r="R1103" s="4">
        <f>IFERROR(__xludf.DUMMYFUNCTION("""COMPUTED_VALUE"""),3.4)</f>
        <v>3.4</v>
      </c>
      <c r="S1103" s="4">
        <f>IFERROR(__xludf.DUMMYFUNCTION("""COMPUTED_VALUE"""),40.2)</f>
        <v>40.2</v>
      </c>
      <c r="T1103" s="4">
        <f>IFERROR(__xludf.DUMMYFUNCTION("""COMPUTED_VALUE"""),0.109)</f>
        <v>0.109</v>
      </c>
      <c r="U1103" s="4">
        <f>IFERROR(__xludf.DUMMYFUNCTION("""COMPUTED_VALUE"""),0.7)</f>
        <v>0.7</v>
      </c>
      <c r="V1103" s="4">
        <f>IFERROR(__xludf.DUMMYFUNCTION("""COMPUTED_VALUE"""),12.1)</f>
        <v>12.1</v>
      </c>
    </row>
    <row r="1104">
      <c r="A1104" s="4">
        <f>IFERROR(__xludf.DUMMYFUNCTION("""COMPUTED_VALUE"""),43.0)</f>
        <v>43</v>
      </c>
      <c r="B1104" s="4">
        <f>IFERROR(__xludf.DUMMYFUNCTION("""COMPUTED_VALUE"""),43.0)</f>
        <v>43</v>
      </c>
      <c r="C1104" s="4" t="str">
        <f>IFERROR(__xludf.DUMMYFUNCTION("""COMPUTED_VALUE"""),"MIA")</f>
        <v>MIA</v>
      </c>
      <c r="D1104" s="4" t="str">
        <f>IFERROR(__xludf.DUMMYFUNCTION("""COMPUTED_VALUE"""),"Marcus Thornton")</f>
        <v>Marcus Thornton</v>
      </c>
      <c r="E1104" s="4" t="str">
        <f>IFERROR(__xludf.DUMMYFUNCTION("""COMPUTED_VALUE"""),"LSU")</f>
        <v>LSU</v>
      </c>
      <c r="F1104" s="4">
        <f>IFERROR(__xludf.DUMMYFUNCTION("""COMPUTED_VALUE"""),8.0)</f>
        <v>8</v>
      </c>
      <c r="G1104" s="4">
        <f>IFERROR(__xludf.DUMMYFUNCTION("""COMPUTED_VALUE"""),483.0)</f>
        <v>483</v>
      </c>
      <c r="H1104" s="4">
        <f>IFERROR(__xludf.DUMMYFUNCTION("""COMPUTED_VALUE"""),11299.0)</f>
        <v>11299</v>
      </c>
      <c r="I1104" s="4">
        <f>IFERROR(__xludf.DUMMYFUNCTION("""COMPUTED_VALUE"""),5750.0)</f>
        <v>5750</v>
      </c>
      <c r="J1104" s="4">
        <f>IFERROR(__xludf.DUMMYFUNCTION("""COMPUTED_VALUE"""),1348.0)</f>
        <v>1348</v>
      </c>
      <c r="K1104" s="4">
        <f>IFERROR(__xludf.DUMMYFUNCTION("""COMPUTED_VALUE"""),677.0)</f>
        <v>677</v>
      </c>
      <c r="L1104" s="4">
        <f>IFERROR(__xludf.DUMMYFUNCTION("""COMPUTED_VALUE"""),0.425)</f>
        <v>0.425</v>
      </c>
      <c r="M1104" s="4">
        <f>IFERROR(__xludf.DUMMYFUNCTION("""COMPUTED_VALUE"""),0.358)</f>
        <v>0.358</v>
      </c>
      <c r="N1104" s="4">
        <f>IFERROR(__xludf.DUMMYFUNCTION("""COMPUTED_VALUE"""),0.83)</f>
        <v>0.83</v>
      </c>
      <c r="O1104" s="4">
        <f>IFERROR(__xludf.DUMMYFUNCTION("""COMPUTED_VALUE"""),23.4)</f>
        <v>23.4</v>
      </c>
      <c r="P1104" s="4">
        <f>IFERROR(__xludf.DUMMYFUNCTION("""COMPUTED_VALUE"""),11.9)</f>
        <v>11.9</v>
      </c>
      <c r="Q1104" s="4">
        <f>IFERROR(__xludf.DUMMYFUNCTION("""COMPUTED_VALUE"""),2.8)</f>
        <v>2.8</v>
      </c>
      <c r="R1104" s="4">
        <f>IFERROR(__xludf.DUMMYFUNCTION("""COMPUTED_VALUE"""),1.4)</f>
        <v>1.4</v>
      </c>
      <c r="S1104" s="4">
        <f>IFERROR(__xludf.DUMMYFUNCTION("""COMPUTED_VALUE"""),20.0)</f>
        <v>20</v>
      </c>
      <c r="T1104" s="4">
        <f>IFERROR(__xludf.DUMMYFUNCTION("""COMPUTED_VALUE"""),0.085)</f>
        <v>0.085</v>
      </c>
      <c r="U1104" s="4">
        <f>IFERROR(__xludf.DUMMYFUNCTION("""COMPUTED_VALUE"""),0.2)</f>
        <v>0.2</v>
      </c>
      <c r="V1104" s="4">
        <f>IFERROR(__xludf.DUMMYFUNCTION("""COMPUTED_VALUE"""),6.2)</f>
        <v>6.2</v>
      </c>
    </row>
    <row r="1105">
      <c r="A1105" s="4">
        <f>IFERROR(__xludf.DUMMYFUNCTION("""COMPUTED_VALUE"""),44.0)</f>
        <v>44</v>
      </c>
      <c r="B1105" s="4">
        <f>IFERROR(__xludf.DUMMYFUNCTION("""COMPUTED_VALUE"""),44.0)</f>
        <v>44</v>
      </c>
      <c r="C1105" s="4" t="str">
        <f>IFERROR(__xludf.DUMMYFUNCTION("""COMPUTED_VALUE"""),"DET")</f>
        <v>DET</v>
      </c>
      <c r="D1105" s="4" t="str">
        <f>IFERROR(__xludf.DUMMYFUNCTION("""COMPUTED_VALUE"""),"Chase Budinger")</f>
        <v>Chase Budinger</v>
      </c>
      <c r="E1105" s="4" t="str">
        <f>IFERROR(__xludf.DUMMYFUNCTION("""COMPUTED_VALUE"""),"Arizona")</f>
        <v>Arizona</v>
      </c>
      <c r="F1105" s="4">
        <f>IFERROR(__xludf.DUMMYFUNCTION("""COMPUTED_VALUE"""),7.0)</f>
        <v>7</v>
      </c>
      <c r="G1105" s="4">
        <f>IFERROR(__xludf.DUMMYFUNCTION("""COMPUTED_VALUE"""),407.0)</f>
        <v>407</v>
      </c>
      <c r="H1105" s="4">
        <f>IFERROR(__xludf.DUMMYFUNCTION("""COMPUTED_VALUE"""),7998.0)</f>
        <v>7998</v>
      </c>
      <c r="I1105" s="4">
        <f>IFERROR(__xludf.DUMMYFUNCTION("""COMPUTED_VALUE"""),3198.0)</f>
        <v>3198</v>
      </c>
      <c r="J1105" s="4">
        <f>IFERROR(__xludf.DUMMYFUNCTION("""COMPUTED_VALUE"""),1240.0)</f>
        <v>1240</v>
      </c>
      <c r="K1105" s="4">
        <f>IFERROR(__xludf.DUMMYFUNCTION("""COMPUTED_VALUE"""),473.0)</f>
        <v>473</v>
      </c>
      <c r="L1105" s="4">
        <f>IFERROR(__xludf.DUMMYFUNCTION("""COMPUTED_VALUE"""),0.43)</f>
        <v>0.43</v>
      </c>
      <c r="M1105" s="4">
        <f>IFERROR(__xludf.DUMMYFUNCTION("""COMPUTED_VALUE"""),0.352)</f>
        <v>0.352</v>
      </c>
      <c r="N1105" s="4">
        <f>IFERROR(__xludf.DUMMYFUNCTION("""COMPUTED_VALUE"""),0.797)</f>
        <v>0.797</v>
      </c>
      <c r="O1105" s="4">
        <f>IFERROR(__xludf.DUMMYFUNCTION("""COMPUTED_VALUE"""),19.7)</f>
        <v>19.7</v>
      </c>
      <c r="P1105" s="4">
        <f>IFERROR(__xludf.DUMMYFUNCTION("""COMPUTED_VALUE"""),7.9)</f>
        <v>7.9</v>
      </c>
      <c r="Q1105" s="4">
        <f>IFERROR(__xludf.DUMMYFUNCTION("""COMPUTED_VALUE"""),3.0)</f>
        <v>3</v>
      </c>
      <c r="R1105" s="4">
        <f>IFERROR(__xludf.DUMMYFUNCTION("""COMPUTED_VALUE"""),1.2)</f>
        <v>1.2</v>
      </c>
      <c r="S1105" s="4">
        <f>IFERROR(__xludf.DUMMYFUNCTION("""COMPUTED_VALUE"""),13.9)</f>
        <v>13.9</v>
      </c>
      <c r="T1105" s="4">
        <f>IFERROR(__xludf.DUMMYFUNCTION("""COMPUTED_VALUE"""),0.083)</f>
        <v>0.083</v>
      </c>
      <c r="U1105" s="4">
        <f>IFERROR(__xludf.DUMMYFUNCTION("""COMPUTED_VALUE"""),-0.5)</f>
        <v>-0.5</v>
      </c>
      <c r="V1105" s="4">
        <f>IFERROR(__xludf.DUMMYFUNCTION("""COMPUTED_VALUE"""),2.9)</f>
        <v>2.9</v>
      </c>
    </row>
    <row r="1106">
      <c r="A1106" s="4">
        <f>IFERROR(__xludf.DUMMYFUNCTION("""COMPUTED_VALUE"""),45.0)</f>
        <v>45</v>
      </c>
      <c r="B1106" s="4">
        <f>IFERROR(__xludf.DUMMYFUNCTION("""COMPUTED_VALUE"""),45.0)</f>
        <v>45</v>
      </c>
      <c r="C1106" s="4" t="str">
        <f>IFERROR(__xludf.DUMMYFUNCTION("""COMPUTED_VALUE"""),"MIN")</f>
        <v>MIN</v>
      </c>
      <c r="D1106" s="4" t="str">
        <f>IFERROR(__xludf.DUMMYFUNCTION("""COMPUTED_VALUE"""),"Nick Calathes")</f>
        <v>Nick Calathes</v>
      </c>
      <c r="E1106" s="4" t="str">
        <f>IFERROR(__xludf.DUMMYFUNCTION("""COMPUTED_VALUE"""),"Florida")</f>
        <v>Florida</v>
      </c>
      <c r="F1106" s="4">
        <f>IFERROR(__xludf.DUMMYFUNCTION("""COMPUTED_VALUE"""),2.0)</f>
        <v>2</v>
      </c>
      <c r="G1106" s="4">
        <f>IFERROR(__xludf.DUMMYFUNCTION("""COMPUTED_VALUE"""),129.0)</f>
        <v>129</v>
      </c>
      <c r="H1106" s="4">
        <f>IFERROR(__xludf.DUMMYFUNCTION("""COMPUTED_VALUE"""),2011.0)</f>
        <v>2011</v>
      </c>
      <c r="I1106" s="4">
        <f>IFERROR(__xludf.DUMMYFUNCTION("""COMPUTED_VALUE"""),590.0)</f>
        <v>590</v>
      </c>
      <c r="J1106" s="4">
        <f>IFERROR(__xludf.DUMMYFUNCTION("""COMPUTED_VALUE"""),243.0)</f>
        <v>243</v>
      </c>
      <c r="K1106" s="4">
        <f>IFERROR(__xludf.DUMMYFUNCTION("""COMPUTED_VALUE"""),353.0)</f>
        <v>353</v>
      </c>
      <c r="L1106" s="4">
        <f>IFERROR(__xludf.DUMMYFUNCTION("""COMPUTED_VALUE"""),0.441)</f>
        <v>0.441</v>
      </c>
      <c r="M1106" s="4">
        <f>IFERROR(__xludf.DUMMYFUNCTION("""COMPUTED_VALUE"""),0.288)</f>
        <v>0.288</v>
      </c>
      <c r="N1106" s="4">
        <f>IFERROR(__xludf.DUMMYFUNCTION("""COMPUTED_VALUE"""),0.581)</f>
        <v>0.581</v>
      </c>
      <c r="O1106" s="4">
        <f>IFERROR(__xludf.DUMMYFUNCTION("""COMPUTED_VALUE"""),15.6)</f>
        <v>15.6</v>
      </c>
      <c r="P1106" s="4">
        <f>IFERROR(__xludf.DUMMYFUNCTION("""COMPUTED_VALUE"""),4.6)</f>
        <v>4.6</v>
      </c>
      <c r="Q1106" s="4">
        <f>IFERROR(__xludf.DUMMYFUNCTION("""COMPUTED_VALUE"""),1.9)</f>
        <v>1.9</v>
      </c>
      <c r="R1106" s="4">
        <f>IFERROR(__xludf.DUMMYFUNCTION("""COMPUTED_VALUE"""),2.7)</f>
        <v>2.7</v>
      </c>
      <c r="S1106" s="4">
        <f>IFERROR(__xludf.DUMMYFUNCTION("""COMPUTED_VALUE"""),2.6)</f>
        <v>2.6</v>
      </c>
      <c r="T1106" s="4">
        <f>IFERROR(__xludf.DUMMYFUNCTION("""COMPUTED_VALUE"""),0.063)</f>
        <v>0.063</v>
      </c>
      <c r="U1106" s="4">
        <f>IFERROR(__xludf.DUMMYFUNCTION("""COMPUTED_VALUE"""),-0.5)</f>
        <v>-0.5</v>
      </c>
      <c r="V1106" s="4">
        <f>IFERROR(__xludf.DUMMYFUNCTION("""COMPUTED_VALUE"""),0.8)</f>
        <v>0.8</v>
      </c>
    </row>
    <row r="1107">
      <c r="A1107" s="4">
        <f>IFERROR(__xludf.DUMMYFUNCTION("""COMPUTED_VALUE"""),46.0)</f>
        <v>46</v>
      </c>
      <c r="B1107" s="4">
        <f>IFERROR(__xludf.DUMMYFUNCTION("""COMPUTED_VALUE"""),46.0)</f>
        <v>46</v>
      </c>
      <c r="C1107" s="4" t="str">
        <f>IFERROR(__xludf.DUMMYFUNCTION("""COMPUTED_VALUE"""),"CLE")</f>
        <v>CLE</v>
      </c>
      <c r="D1107" s="4" t="str">
        <f>IFERROR(__xludf.DUMMYFUNCTION("""COMPUTED_VALUE"""),"Danny Green")</f>
        <v>Danny Green</v>
      </c>
      <c r="E1107" s="4" t="str">
        <f>IFERROR(__xludf.DUMMYFUNCTION("""COMPUTED_VALUE"""),"UNC")</f>
        <v>UNC</v>
      </c>
      <c r="F1107" s="4">
        <f>IFERROR(__xludf.DUMMYFUNCTION("""COMPUTED_VALUE"""),15.0)</f>
        <v>15</v>
      </c>
      <c r="G1107" s="4">
        <f>IFERROR(__xludf.DUMMYFUNCTION("""COMPUTED_VALUE"""),832.0)</f>
        <v>832</v>
      </c>
      <c r="H1107" s="4">
        <f>IFERROR(__xludf.DUMMYFUNCTION("""COMPUTED_VALUE"""),20899.0)</f>
        <v>20899</v>
      </c>
      <c r="I1107" s="4">
        <f>IFERROR(__xludf.DUMMYFUNCTION("""COMPUTED_VALUE"""),7204.0)</f>
        <v>7204</v>
      </c>
      <c r="J1107" s="4">
        <f>IFERROR(__xludf.DUMMYFUNCTION("""COMPUTED_VALUE"""),2827.0)</f>
        <v>2827</v>
      </c>
      <c r="K1107" s="4">
        <f>IFERROR(__xludf.DUMMYFUNCTION("""COMPUTED_VALUE"""),1277.0)</f>
        <v>1277</v>
      </c>
      <c r="L1107" s="4">
        <f>IFERROR(__xludf.DUMMYFUNCTION("""COMPUTED_VALUE"""),0.421)</f>
        <v>0.421</v>
      </c>
      <c r="M1107" s="4">
        <f>IFERROR(__xludf.DUMMYFUNCTION("""COMPUTED_VALUE"""),0.4)</f>
        <v>0.4</v>
      </c>
      <c r="N1107" s="4">
        <f>IFERROR(__xludf.DUMMYFUNCTION("""COMPUTED_VALUE"""),0.805)</f>
        <v>0.805</v>
      </c>
      <c r="O1107" s="4">
        <f>IFERROR(__xludf.DUMMYFUNCTION("""COMPUTED_VALUE"""),25.1)</f>
        <v>25.1</v>
      </c>
      <c r="P1107" s="4">
        <f>IFERROR(__xludf.DUMMYFUNCTION("""COMPUTED_VALUE"""),8.7)</f>
        <v>8.7</v>
      </c>
      <c r="Q1107" s="4">
        <f>IFERROR(__xludf.DUMMYFUNCTION("""COMPUTED_VALUE"""),3.4)</f>
        <v>3.4</v>
      </c>
      <c r="R1107" s="4">
        <f>IFERROR(__xludf.DUMMYFUNCTION("""COMPUTED_VALUE"""),1.5)</f>
        <v>1.5</v>
      </c>
      <c r="S1107" s="4">
        <f>IFERROR(__xludf.DUMMYFUNCTION("""COMPUTED_VALUE"""),49.3)</f>
        <v>49.3</v>
      </c>
      <c r="T1107" s="4">
        <f>IFERROR(__xludf.DUMMYFUNCTION("""COMPUTED_VALUE"""),0.113)</f>
        <v>0.113</v>
      </c>
      <c r="U1107" s="4">
        <f>IFERROR(__xludf.DUMMYFUNCTION("""COMPUTED_VALUE"""),1.8)</f>
        <v>1.8</v>
      </c>
      <c r="V1107" s="4">
        <f>IFERROR(__xludf.DUMMYFUNCTION("""COMPUTED_VALUE"""),20.2)</f>
        <v>20.2</v>
      </c>
    </row>
    <row r="1108">
      <c r="A1108" s="4">
        <f>IFERROR(__xludf.DUMMYFUNCTION("""COMPUTED_VALUE"""),47.0)</f>
        <v>47</v>
      </c>
      <c r="B1108" s="4">
        <f>IFERROR(__xludf.DUMMYFUNCTION("""COMPUTED_VALUE"""),47.0)</f>
        <v>47</v>
      </c>
      <c r="C1108" s="4" t="str">
        <f>IFERROR(__xludf.DUMMYFUNCTION("""COMPUTED_VALUE"""),"MIN")</f>
        <v>MIN</v>
      </c>
      <c r="D1108" s="4" t="str">
        <f>IFERROR(__xludf.DUMMYFUNCTION("""COMPUTED_VALUE"""),"Henk Norel")</f>
        <v>Henk Norel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>
      <c r="A1109" s="4">
        <f>IFERROR(__xludf.DUMMYFUNCTION("""COMPUTED_VALUE"""),48.0)</f>
        <v>48</v>
      </c>
      <c r="B1109" s="4">
        <f>IFERROR(__xludf.DUMMYFUNCTION("""COMPUTED_VALUE"""),48.0)</f>
        <v>48</v>
      </c>
      <c r="C1109" s="4" t="str">
        <f>IFERROR(__xludf.DUMMYFUNCTION("""COMPUTED_VALUE"""),"PHO")</f>
        <v>PHO</v>
      </c>
      <c r="D1109" s="4" t="str">
        <f>IFERROR(__xludf.DUMMYFUNCTION("""COMPUTED_VALUE"""),"Taylor Griffin")</f>
        <v>Taylor Griffin</v>
      </c>
      <c r="E1109" s="4" t="str">
        <f>IFERROR(__xludf.DUMMYFUNCTION("""COMPUTED_VALUE"""),"Oklahoma")</f>
        <v>Oklahoma</v>
      </c>
      <c r="F1109" s="4">
        <f>IFERROR(__xludf.DUMMYFUNCTION("""COMPUTED_VALUE"""),1.0)</f>
        <v>1</v>
      </c>
      <c r="G1109" s="4">
        <f>IFERROR(__xludf.DUMMYFUNCTION("""COMPUTED_VALUE"""),8.0)</f>
        <v>8</v>
      </c>
      <c r="H1109" s="4">
        <f>IFERROR(__xludf.DUMMYFUNCTION("""COMPUTED_VALUE"""),32.0)</f>
        <v>32</v>
      </c>
      <c r="I1109" s="4">
        <f>IFERROR(__xludf.DUMMYFUNCTION("""COMPUTED_VALUE"""),10.0)</f>
        <v>10</v>
      </c>
      <c r="J1109" s="4">
        <f>IFERROR(__xludf.DUMMYFUNCTION("""COMPUTED_VALUE"""),2.0)</f>
        <v>2</v>
      </c>
      <c r="K1109" s="4">
        <f>IFERROR(__xludf.DUMMYFUNCTION("""COMPUTED_VALUE"""),1.0)</f>
        <v>1</v>
      </c>
      <c r="L1109" s="4">
        <f>IFERROR(__xludf.DUMMYFUNCTION("""COMPUTED_VALUE"""),0.4)</f>
        <v>0.4</v>
      </c>
      <c r="M1109" s="4">
        <f>IFERROR(__xludf.DUMMYFUNCTION("""COMPUTED_VALUE"""),0.0)</f>
        <v>0</v>
      </c>
      <c r="N1109" s="4">
        <f>IFERROR(__xludf.DUMMYFUNCTION("""COMPUTED_VALUE"""),0.5)</f>
        <v>0.5</v>
      </c>
      <c r="O1109" s="4">
        <f>IFERROR(__xludf.DUMMYFUNCTION("""COMPUTED_VALUE"""),4.0)</f>
        <v>4</v>
      </c>
      <c r="P1109" s="4">
        <f>IFERROR(__xludf.DUMMYFUNCTION("""COMPUTED_VALUE"""),1.3)</f>
        <v>1.3</v>
      </c>
      <c r="Q1109" s="4">
        <f>IFERROR(__xludf.DUMMYFUNCTION("""COMPUTED_VALUE"""),0.3)</f>
        <v>0.3</v>
      </c>
      <c r="R1109" s="4">
        <f>IFERROR(__xludf.DUMMYFUNCTION("""COMPUTED_VALUE"""),0.1)</f>
        <v>0.1</v>
      </c>
      <c r="S1109" s="4">
        <f>IFERROR(__xludf.DUMMYFUNCTION("""COMPUTED_VALUE"""),0.0)</f>
        <v>0</v>
      </c>
      <c r="T1109" s="4">
        <f>IFERROR(__xludf.DUMMYFUNCTION("""COMPUTED_VALUE"""),-0.039)</f>
        <v>-0.039</v>
      </c>
      <c r="U1109" s="4">
        <f>IFERROR(__xludf.DUMMYFUNCTION("""COMPUTED_VALUE"""),-8.1)</f>
        <v>-8.1</v>
      </c>
      <c r="V1109" s="4">
        <f>IFERROR(__xludf.DUMMYFUNCTION("""COMPUTED_VALUE"""),-0.1)</f>
        <v>-0.1</v>
      </c>
    </row>
    <row r="1110">
      <c r="A1110" s="4">
        <f>IFERROR(__xludf.DUMMYFUNCTION("""COMPUTED_VALUE"""),49.0)</f>
        <v>49</v>
      </c>
      <c r="B1110" s="4">
        <f>IFERROR(__xludf.DUMMYFUNCTION("""COMPUTED_VALUE"""),49.0)</f>
        <v>49</v>
      </c>
      <c r="C1110" s="4" t="str">
        <f>IFERROR(__xludf.DUMMYFUNCTION("""COMPUTED_VALUE"""),"ATL")</f>
        <v>ATL</v>
      </c>
      <c r="D1110" s="4" t="str">
        <f>IFERROR(__xludf.DUMMYFUNCTION("""COMPUTED_VALUE"""),"Sergiy Gladyr")</f>
        <v>Sergiy Gladyr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>
      <c r="A1111" s="4">
        <f>IFERROR(__xludf.DUMMYFUNCTION("""COMPUTED_VALUE"""),50.0)</f>
        <v>50</v>
      </c>
      <c r="B1111" s="4">
        <f>IFERROR(__xludf.DUMMYFUNCTION("""COMPUTED_VALUE"""),50.0)</f>
        <v>50</v>
      </c>
      <c r="C1111" s="4" t="str">
        <f>IFERROR(__xludf.DUMMYFUNCTION("""COMPUTED_VALUE"""),"UTA")</f>
        <v>UTA</v>
      </c>
      <c r="D1111" s="4" t="str">
        <f>IFERROR(__xludf.DUMMYFUNCTION("""COMPUTED_VALUE"""),"Goran Suton")</f>
        <v>Goran Suton</v>
      </c>
      <c r="E1111" s="4" t="str">
        <f>IFERROR(__xludf.DUMMYFUNCTION("""COMPUTED_VALUE"""),"Michigan State")</f>
        <v>Michigan State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>
      <c r="A1112" s="4">
        <f>IFERROR(__xludf.DUMMYFUNCTION("""COMPUTED_VALUE"""),51.0)</f>
        <v>51</v>
      </c>
      <c r="B1112" s="4">
        <f>IFERROR(__xludf.DUMMYFUNCTION("""COMPUTED_VALUE"""),51.0)</f>
        <v>51</v>
      </c>
      <c r="C1112" s="4" t="str">
        <f>IFERROR(__xludf.DUMMYFUNCTION("""COMPUTED_VALUE"""),"SAS")</f>
        <v>SAS</v>
      </c>
      <c r="D1112" s="4" t="str">
        <f>IFERROR(__xludf.DUMMYFUNCTION("""COMPUTED_VALUE"""),"Jack McClinton")</f>
        <v>Jack McClinton</v>
      </c>
      <c r="E1112" s="4" t="str">
        <f>IFERROR(__xludf.DUMMYFUNCTION("""COMPUTED_VALUE"""),"Miami (FL)")</f>
        <v>Miami (FL)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>
      <c r="A1113" s="4">
        <f>IFERROR(__xludf.DUMMYFUNCTION("""COMPUTED_VALUE"""),52.0)</f>
        <v>52</v>
      </c>
      <c r="B1113" s="4">
        <f>IFERROR(__xludf.DUMMYFUNCTION("""COMPUTED_VALUE"""),52.0)</f>
        <v>52</v>
      </c>
      <c r="C1113" s="4" t="str">
        <f>IFERROR(__xludf.DUMMYFUNCTION("""COMPUTED_VALUE"""),"IND")</f>
        <v>IND</v>
      </c>
      <c r="D1113" s="4" t="str">
        <f>IFERROR(__xludf.DUMMYFUNCTION("""COMPUTED_VALUE"""),"A.J. Price")</f>
        <v>A.J. Price</v>
      </c>
      <c r="E1113" s="4" t="str">
        <f>IFERROR(__xludf.DUMMYFUNCTION("""COMPUTED_VALUE"""),"UConn")</f>
        <v>UConn</v>
      </c>
      <c r="F1113" s="4">
        <f>IFERROR(__xludf.DUMMYFUNCTION("""COMPUTED_VALUE"""),6.0)</f>
        <v>6</v>
      </c>
      <c r="G1113" s="4">
        <f>IFERROR(__xludf.DUMMYFUNCTION("""COMPUTED_VALUE"""),261.0)</f>
        <v>261</v>
      </c>
      <c r="H1113" s="4">
        <f>IFERROR(__xludf.DUMMYFUNCTION("""COMPUTED_VALUE"""),3929.0)</f>
        <v>3929</v>
      </c>
      <c r="I1113" s="4">
        <f>IFERROR(__xludf.DUMMYFUNCTION("""COMPUTED_VALUE"""),1523.0)</f>
        <v>1523</v>
      </c>
      <c r="J1113" s="4">
        <f>IFERROR(__xludf.DUMMYFUNCTION("""COMPUTED_VALUE"""),377.0)</f>
        <v>377</v>
      </c>
      <c r="K1113" s="4">
        <f>IFERROR(__xludf.DUMMYFUNCTION("""COMPUTED_VALUE"""),567.0)</f>
        <v>567</v>
      </c>
      <c r="L1113" s="4">
        <f>IFERROR(__xludf.DUMMYFUNCTION("""COMPUTED_VALUE"""),0.38)</f>
        <v>0.38</v>
      </c>
      <c r="M1113" s="4">
        <f>IFERROR(__xludf.DUMMYFUNCTION("""COMPUTED_VALUE"""),0.316)</f>
        <v>0.316</v>
      </c>
      <c r="N1113" s="4">
        <f>IFERROR(__xludf.DUMMYFUNCTION("""COMPUTED_VALUE"""),0.742)</f>
        <v>0.742</v>
      </c>
      <c r="O1113" s="4">
        <f>IFERROR(__xludf.DUMMYFUNCTION("""COMPUTED_VALUE"""),15.1)</f>
        <v>15.1</v>
      </c>
      <c r="P1113" s="4">
        <f>IFERROR(__xludf.DUMMYFUNCTION("""COMPUTED_VALUE"""),5.8)</f>
        <v>5.8</v>
      </c>
      <c r="Q1113" s="4">
        <f>IFERROR(__xludf.DUMMYFUNCTION("""COMPUTED_VALUE"""),1.4)</f>
        <v>1.4</v>
      </c>
      <c r="R1113" s="4">
        <f>IFERROR(__xludf.DUMMYFUNCTION("""COMPUTED_VALUE"""),2.2)</f>
        <v>2.2</v>
      </c>
      <c r="S1113" s="4">
        <f>IFERROR(__xludf.DUMMYFUNCTION("""COMPUTED_VALUE"""),4.7)</f>
        <v>4.7</v>
      </c>
      <c r="T1113" s="4">
        <f>IFERROR(__xludf.DUMMYFUNCTION("""COMPUTED_VALUE"""),0.058)</f>
        <v>0.058</v>
      </c>
      <c r="U1113" s="4">
        <f>IFERROR(__xludf.DUMMYFUNCTION("""COMPUTED_VALUE"""),-1.3)</f>
        <v>-1.3</v>
      </c>
      <c r="V1113" s="4">
        <f>IFERROR(__xludf.DUMMYFUNCTION("""COMPUTED_VALUE"""),0.7)</f>
        <v>0.7</v>
      </c>
    </row>
    <row r="1114">
      <c r="A1114" s="4">
        <f>IFERROR(__xludf.DUMMYFUNCTION("""COMPUTED_VALUE"""),53.0)</f>
        <v>53</v>
      </c>
      <c r="B1114" s="4">
        <f>IFERROR(__xludf.DUMMYFUNCTION("""COMPUTED_VALUE"""),53.0)</f>
        <v>53</v>
      </c>
      <c r="C1114" s="4" t="str">
        <f>IFERROR(__xludf.DUMMYFUNCTION("""COMPUTED_VALUE"""),"SAS")</f>
        <v>SAS</v>
      </c>
      <c r="D1114" s="4" t="str">
        <f>IFERROR(__xludf.DUMMYFUNCTION("""COMPUTED_VALUE"""),"Nando De Colo")</f>
        <v>Nando De Colo</v>
      </c>
      <c r="E1114" s="4"/>
      <c r="F1114" s="4">
        <f>IFERROR(__xludf.DUMMYFUNCTION("""COMPUTED_VALUE"""),2.0)</f>
        <v>2</v>
      </c>
      <c r="G1114" s="4">
        <f>IFERROR(__xludf.DUMMYFUNCTION("""COMPUTED_VALUE"""),119.0)</f>
        <v>119</v>
      </c>
      <c r="H1114" s="4">
        <f>IFERROR(__xludf.DUMMYFUNCTION("""COMPUTED_VALUE"""),1414.0)</f>
        <v>1414</v>
      </c>
      <c r="I1114" s="4">
        <f>IFERROR(__xludf.DUMMYFUNCTION("""COMPUTED_VALUE"""),453.0)</f>
        <v>453</v>
      </c>
      <c r="J1114" s="4">
        <f>IFERROR(__xludf.DUMMYFUNCTION("""COMPUTED_VALUE"""),211.0)</f>
        <v>211</v>
      </c>
      <c r="K1114" s="4">
        <f>IFERROR(__xludf.DUMMYFUNCTION("""COMPUTED_VALUE"""),203.0)</f>
        <v>203</v>
      </c>
      <c r="L1114" s="4">
        <f>IFERROR(__xludf.DUMMYFUNCTION("""COMPUTED_VALUE"""),0.429)</f>
        <v>0.429</v>
      </c>
      <c r="M1114" s="4">
        <f>IFERROR(__xludf.DUMMYFUNCTION("""COMPUTED_VALUE"""),0.363)</f>
        <v>0.363</v>
      </c>
      <c r="N1114" s="4">
        <f>IFERROR(__xludf.DUMMYFUNCTION("""COMPUTED_VALUE"""),0.835)</f>
        <v>0.835</v>
      </c>
      <c r="O1114" s="4">
        <f>IFERROR(__xludf.DUMMYFUNCTION("""COMPUTED_VALUE"""),11.9)</f>
        <v>11.9</v>
      </c>
      <c r="P1114" s="4">
        <f>IFERROR(__xludf.DUMMYFUNCTION("""COMPUTED_VALUE"""),3.8)</f>
        <v>3.8</v>
      </c>
      <c r="Q1114" s="4">
        <f>IFERROR(__xludf.DUMMYFUNCTION("""COMPUTED_VALUE"""),1.8)</f>
        <v>1.8</v>
      </c>
      <c r="R1114" s="4">
        <f>IFERROR(__xludf.DUMMYFUNCTION("""COMPUTED_VALUE"""),1.7)</f>
        <v>1.7</v>
      </c>
      <c r="S1114" s="4">
        <f>IFERROR(__xludf.DUMMYFUNCTION("""COMPUTED_VALUE"""),2.4)</f>
        <v>2.4</v>
      </c>
      <c r="T1114" s="4">
        <f>IFERROR(__xludf.DUMMYFUNCTION("""COMPUTED_VALUE"""),0.081)</f>
        <v>0.081</v>
      </c>
      <c r="U1114" s="4">
        <f>IFERROR(__xludf.DUMMYFUNCTION("""COMPUTED_VALUE"""),-0.7)</f>
        <v>-0.7</v>
      </c>
      <c r="V1114" s="4">
        <f>IFERROR(__xludf.DUMMYFUNCTION("""COMPUTED_VALUE"""),0.5)</f>
        <v>0.5</v>
      </c>
    </row>
    <row r="1115">
      <c r="A1115" s="4">
        <f>IFERROR(__xludf.DUMMYFUNCTION("""COMPUTED_VALUE"""),54.0)</f>
        <v>54</v>
      </c>
      <c r="B1115" s="4">
        <f>IFERROR(__xludf.DUMMYFUNCTION("""COMPUTED_VALUE"""),54.0)</f>
        <v>54</v>
      </c>
      <c r="C1115" s="4" t="str">
        <f>IFERROR(__xludf.DUMMYFUNCTION("""COMPUTED_VALUE"""),"CHA")</f>
        <v>CHA</v>
      </c>
      <c r="D1115" s="4" t="str">
        <f>IFERROR(__xludf.DUMMYFUNCTION("""COMPUTED_VALUE"""),"Robert Vaden")</f>
        <v>Robert Vaden</v>
      </c>
      <c r="E1115" s="4" t="str">
        <f>IFERROR(__xludf.DUMMYFUNCTION("""COMPUTED_VALUE"""),"UAB")</f>
        <v>UAB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>
      <c r="A1116" s="4">
        <f>IFERROR(__xludf.DUMMYFUNCTION("""COMPUTED_VALUE"""),55.0)</f>
        <v>55</v>
      </c>
      <c r="B1116" s="4">
        <f>IFERROR(__xludf.DUMMYFUNCTION("""COMPUTED_VALUE"""),55.0)</f>
        <v>55</v>
      </c>
      <c r="C1116" s="4" t="str">
        <f>IFERROR(__xludf.DUMMYFUNCTION("""COMPUTED_VALUE"""),"POR")</f>
        <v>POR</v>
      </c>
      <c r="D1116" s="4" t="str">
        <f>IFERROR(__xludf.DUMMYFUNCTION("""COMPUTED_VALUE"""),"Patty Mills")</f>
        <v>Patty Mills</v>
      </c>
      <c r="E1116" s="4" t="str">
        <f>IFERROR(__xludf.DUMMYFUNCTION("""COMPUTED_VALUE"""),"Saint Mary's")</f>
        <v>Saint Mary's</v>
      </c>
      <c r="F1116" s="4">
        <f>IFERROR(__xludf.DUMMYFUNCTION("""COMPUTED_VALUE"""),16.0)</f>
        <v>16</v>
      </c>
      <c r="G1116" s="4">
        <f>IFERROR(__xludf.DUMMYFUNCTION("""COMPUTED_VALUE"""),921.0)</f>
        <v>921</v>
      </c>
      <c r="H1116" s="4">
        <f>IFERROR(__xludf.DUMMYFUNCTION("""COMPUTED_VALUE"""),18316.0)</f>
        <v>18316</v>
      </c>
      <c r="I1116" s="4">
        <f>IFERROR(__xludf.DUMMYFUNCTION("""COMPUTED_VALUE"""),8004.0)</f>
        <v>8004</v>
      </c>
      <c r="J1116" s="4">
        <f>IFERROR(__xludf.DUMMYFUNCTION("""COMPUTED_VALUE"""),1491.0)</f>
        <v>1491</v>
      </c>
      <c r="K1116" s="4">
        <f>IFERROR(__xludf.DUMMYFUNCTION("""COMPUTED_VALUE"""),2010.0)</f>
        <v>2010</v>
      </c>
      <c r="L1116" s="4">
        <f>IFERROR(__xludf.DUMMYFUNCTION("""COMPUTED_VALUE"""),0.423)</f>
        <v>0.423</v>
      </c>
      <c r="M1116" s="4">
        <f>IFERROR(__xludf.DUMMYFUNCTION("""COMPUTED_VALUE"""),0.385)</f>
        <v>0.385</v>
      </c>
      <c r="N1116" s="4">
        <f>IFERROR(__xludf.DUMMYFUNCTION("""COMPUTED_VALUE"""),0.857)</f>
        <v>0.857</v>
      </c>
      <c r="O1116" s="4">
        <f>IFERROR(__xludf.DUMMYFUNCTION("""COMPUTED_VALUE"""),19.9)</f>
        <v>19.9</v>
      </c>
      <c r="P1116" s="4">
        <f>IFERROR(__xludf.DUMMYFUNCTION("""COMPUTED_VALUE"""),8.7)</f>
        <v>8.7</v>
      </c>
      <c r="Q1116" s="4">
        <f>IFERROR(__xludf.DUMMYFUNCTION("""COMPUTED_VALUE"""),1.6)</f>
        <v>1.6</v>
      </c>
      <c r="R1116" s="4">
        <f>IFERROR(__xludf.DUMMYFUNCTION("""COMPUTED_VALUE"""),2.2)</f>
        <v>2.2</v>
      </c>
      <c r="S1116" s="4">
        <f>IFERROR(__xludf.DUMMYFUNCTION("""COMPUTED_VALUE"""),35.9)</f>
        <v>35.9</v>
      </c>
      <c r="T1116" s="4">
        <f>IFERROR(__xludf.DUMMYFUNCTION("""COMPUTED_VALUE"""),0.094)</f>
        <v>0.094</v>
      </c>
      <c r="U1116" s="4">
        <f>IFERROR(__xludf.DUMMYFUNCTION("""COMPUTED_VALUE"""),-0.2)</f>
        <v>-0.2</v>
      </c>
      <c r="V1116" s="4">
        <f>IFERROR(__xludf.DUMMYFUNCTION("""COMPUTED_VALUE"""),8.5)</f>
        <v>8.5</v>
      </c>
    </row>
    <row r="1117">
      <c r="A1117" s="4">
        <f>IFERROR(__xludf.DUMMYFUNCTION("""COMPUTED_VALUE"""),56.0)</f>
        <v>56</v>
      </c>
      <c r="B1117" s="4">
        <f>IFERROR(__xludf.DUMMYFUNCTION("""COMPUTED_VALUE"""),56.0)</f>
        <v>56</v>
      </c>
      <c r="C1117" s="4" t="str">
        <f>IFERROR(__xludf.DUMMYFUNCTION("""COMPUTED_VALUE"""),"DAL")</f>
        <v>DAL</v>
      </c>
      <c r="D1117" s="4" t="str">
        <f>IFERROR(__xludf.DUMMYFUNCTION("""COMPUTED_VALUE"""),"Ahmad Nivins")</f>
        <v>Ahmad Nivins</v>
      </c>
      <c r="E1117" s="4" t="str">
        <f>IFERROR(__xludf.DUMMYFUNCTION("""COMPUTED_VALUE"""),"Saint Joseph's")</f>
        <v>Saint Joseph's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>
      <c r="A1118" s="4">
        <f>IFERROR(__xludf.DUMMYFUNCTION("""COMPUTED_VALUE"""),57.0)</f>
        <v>57</v>
      </c>
      <c r="B1118" s="4">
        <f>IFERROR(__xludf.DUMMYFUNCTION("""COMPUTED_VALUE"""),57.0)</f>
        <v>57</v>
      </c>
      <c r="C1118" s="4" t="str">
        <f>IFERROR(__xludf.DUMMYFUNCTION("""COMPUTED_VALUE"""),"PHO")</f>
        <v>PHO</v>
      </c>
      <c r="D1118" s="4" t="str">
        <f>IFERROR(__xludf.DUMMYFUNCTION("""COMPUTED_VALUE"""),"Emir Preldžić")</f>
        <v>Emir Preldžić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>
      <c r="A1119" s="4">
        <f>IFERROR(__xludf.DUMMYFUNCTION("""COMPUTED_VALUE"""),58.0)</f>
        <v>58</v>
      </c>
      <c r="B1119" s="4">
        <f>IFERROR(__xludf.DUMMYFUNCTION("""COMPUTED_VALUE"""),58.0)</f>
        <v>58</v>
      </c>
      <c r="C1119" s="4" t="str">
        <f>IFERROR(__xludf.DUMMYFUNCTION("""COMPUTED_VALUE"""),"BOS")</f>
        <v>BOS</v>
      </c>
      <c r="D1119" s="4" t="str">
        <f>IFERROR(__xludf.DUMMYFUNCTION("""COMPUTED_VALUE"""),"Lester Hudson")</f>
        <v>Lester Hudson</v>
      </c>
      <c r="E1119" s="4" t="str">
        <f>IFERROR(__xludf.DUMMYFUNCTION("""COMPUTED_VALUE"""),"University of Tennessee at Martin")</f>
        <v>University of Tennessee at Martin</v>
      </c>
      <c r="F1119" s="4">
        <f>IFERROR(__xludf.DUMMYFUNCTION("""COMPUTED_VALUE"""),4.0)</f>
        <v>4</v>
      </c>
      <c r="G1119" s="4">
        <f>IFERROR(__xludf.DUMMYFUNCTION("""COMPUTED_VALUE"""),57.0)</f>
        <v>57</v>
      </c>
      <c r="H1119" s="4">
        <f>IFERROR(__xludf.DUMMYFUNCTION("""COMPUTED_VALUE"""),594.0)</f>
        <v>594</v>
      </c>
      <c r="I1119" s="4">
        <f>IFERROR(__xludf.DUMMYFUNCTION("""COMPUTED_VALUE"""),268.0)</f>
        <v>268</v>
      </c>
      <c r="J1119" s="4">
        <f>IFERROR(__xludf.DUMMYFUNCTION("""COMPUTED_VALUE"""),77.0)</f>
        <v>77</v>
      </c>
      <c r="K1119" s="4">
        <f>IFERROR(__xludf.DUMMYFUNCTION("""COMPUTED_VALUE"""),71.0)</f>
        <v>71</v>
      </c>
      <c r="L1119" s="4">
        <f>IFERROR(__xludf.DUMMYFUNCTION("""COMPUTED_VALUE"""),0.375)</f>
        <v>0.375</v>
      </c>
      <c r="M1119" s="4">
        <f>IFERROR(__xludf.DUMMYFUNCTION("""COMPUTED_VALUE"""),0.277)</f>
        <v>0.277</v>
      </c>
      <c r="N1119" s="4">
        <f>IFERROR(__xludf.DUMMYFUNCTION("""COMPUTED_VALUE"""),0.806)</f>
        <v>0.806</v>
      </c>
      <c r="O1119" s="4">
        <f>IFERROR(__xludf.DUMMYFUNCTION("""COMPUTED_VALUE"""),10.4)</f>
        <v>10.4</v>
      </c>
      <c r="P1119" s="4">
        <f>IFERROR(__xludf.DUMMYFUNCTION("""COMPUTED_VALUE"""),4.7)</f>
        <v>4.7</v>
      </c>
      <c r="Q1119" s="4">
        <f>IFERROR(__xludf.DUMMYFUNCTION("""COMPUTED_VALUE"""),1.4)</f>
        <v>1.4</v>
      </c>
      <c r="R1119" s="4">
        <f>IFERROR(__xludf.DUMMYFUNCTION("""COMPUTED_VALUE"""),1.2)</f>
        <v>1.2</v>
      </c>
      <c r="S1119" s="4">
        <f>IFERROR(__xludf.DUMMYFUNCTION("""COMPUTED_VALUE"""),0.2)</f>
        <v>0.2</v>
      </c>
      <c r="T1119" s="4">
        <f>IFERROR(__xludf.DUMMYFUNCTION("""COMPUTED_VALUE"""),0.016)</f>
        <v>0.016</v>
      </c>
      <c r="U1119" s="4">
        <f>IFERROR(__xludf.DUMMYFUNCTION("""COMPUTED_VALUE"""),-2.1)</f>
        <v>-2.1</v>
      </c>
      <c r="V1119" s="4">
        <f>IFERROR(__xludf.DUMMYFUNCTION("""COMPUTED_VALUE"""),0.0)</f>
        <v>0</v>
      </c>
    </row>
    <row r="1120">
      <c r="A1120" s="4">
        <f>IFERROR(__xludf.DUMMYFUNCTION("""COMPUTED_VALUE"""),59.0)</f>
        <v>59</v>
      </c>
      <c r="B1120" s="4">
        <f>IFERROR(__xludf.DUMMYFUNCTION("""COMPUTED_VALUE"""),59.0)</f>
        <v>59</v>
      </c>
      <c r="C1120" s="4" t="str">
        <f>IFERROR(__xludf.DUMMYFUNCTION("""COMPUTED_VALUE"""),"LAL")</f>
        <v>LAL</v>
      </c>
      <c r="D1120" s="4" t="str">
        <f>IFERROR(__xludf.DUMMYFUNCTION("""COMPUTED_VALUE"""),"Chinemelu Elonu")</f>
        <v>Chinemelu Elonu</v>
      </c>
      <c r="E1120" s="4" t="str">
        <f>IFERROR(__xludf.DUMMYFUNCTION("""COMPUTED_VALUE"""),"Texas A&amp;M")</f>
        <v>Texas A&amp;M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>
      <c r="A1121" s="4">
        <f>IFERROR(__xludf.DUMMYFUNCTION("""COMPUTED_VALUE"""),60.0)</f>
        <v>60</v>
      </c>
      <c r="B1121" s="4">
        <f>IFERROR(__xludf.DUMMYFUNCTION("""COMPUTED_VALUE"""),60.0)</f>
        <v>60</v>
      </c>
      <c r="C1121" s="4" t="str">
        <f>IFERROR(__xludf.DUMMYFUNCTION("""COMPUTED_VALUE"""),"MIA")</f>
        <v>MIA</v>
      </c>
      <c r="D1121" s="4" t="str">
        <f>IFERROR(__xludf.DUMMYFUNCTION("""COMPUTED_VALUE"""),"Robert Dozier")</f>
        <v>Robert Dozier</v>
      </c>
      <c r="E1121" s="4" t="str">
        <f>IFERROR(__xludf.DUMMYFUNCTION("""COMPUTED_VALUE"""),"Memphis")</f>
        <v>Memphis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3">
      <c r="A1123" s="2">
        <v>2008.0</v>
      </c>
    </row>
    <row r="1124">
      <c r="A1124" s="4" t="str">
        <f>IFERROR(__xludf.DUMMYFUNCTION("IMPORTHTML(""https://www.basketball-reference.com/draft/NBA_2008.html"", ""table"", 1)"),"")</f>
        <v/>
      </c>
      <c r="B1124" s="4"/>
      <c r="C1124" s="4"/>
      <c r="D1124" s="4" t="str">
        <f>IFERROR(__xludf.DUMMYFUNCTION("""COMPUTED_VALUE"""),"Round 1")</f>
        <v>Round 1</v>
      </c>
      <c r="E1124" s="4"/>
      <c r="F1124" s="4"/>
      <c r="G1124" s="4" t="str">
        <f>IFERROR(__xludf.DUMMYFUNCTION("""COMPUTED_VALUE"""),"Totals")</f>
        <v>Totals</v>
      </c>
      <c r="H1124" s="4"/>
      <c r="I1124" s="4"/>
      <c r="J1124" s="4"/>
      <c r="K1124" s="4"/>
      <c r="L1124" s="4" t="str">
        <f>IFERROR(__xludf.DUMMYFUNCTION("""COMPUTED_VALUE"""),"Shooting")</f>
        <v>Shooting</v>
      </c>
      <c r="M1124" s="4"/>
      <c r="N1124" s="4"/>
      <c r="O1124" s="4" t="str">
        <f>IFERROR(__xludf.DUMMYFUNCTION("""COMPUTED_VALUE"""),"Per Game")</f>
        <v>Per Game</v>
      </c>
      <c r="P1124" s="4"/>
      <c r="Q1124" s="4"/>
      <c r="R1124" s="4"/>
      <c r="S1124" s="4" t="str">
        <f>IFERROR(__xludf.DUMMYFUNCTION("""COMPUTED_VALUE"""),"Advanced")</f>
        <v>Advanced</v>
      </c>
      <c r="T1124" s="4"/>
      <c r="U1124" s="4"/>
      <c r="V1124" s="4"/>
    </row>
    <row r="1125">
      <c r="A1125" s="4" t="str">
        <f>IFERROR(__xludf.DUMMYFUNCTION("""COMPUTED_VALUE"""),"Rk")</f>
        <v>Rk</v>
      </c>
      <c r="B1125" s="4" t="str">
        <f>IFERROR(__xludf.DUMMYFUNCTION("""COMPUTED_VALUE"""),"Pk")</f>
        <v>Pk</v>
      </c>
      <c r="C1125" s="4" t="str">
        <f>IFERROR(__xludf.DUMMYFUNCTION("""COMPUTED_VALUE"""),"Tm")</f>
        <v>Tm</v>
      </c>
      <c r="D1125" s="4" t="str">
        <f>IFERROR(__xludf.DUMMYFUNCTION("""COMPUTED_VALUE"""),"Player")</f>
        <v>Player</v>
      </c>
      <c r="E1125" s="4" t="str">
        <f>IFERROR(__xludf.DUMMYFUNCTION("""COMPUTED_VALUE"""),"College")</f>
        <v>College</v>
      </c>
      <c r="F1125" s="4" t="str">
        <f>IFERROR(__xludf.DUMMYFUNCTION("""COMPUTED_VALUE"""),"Yrs")</f>
        <v>Yrs</v>
      </c>
      <c r="G1125" s="4" t="str">
        <f>IFERROR(__xludf.DUMMYFUNCTION("""COMPUTED_VALUE"""),"G")</f>
        <v>G</v>
      </c>
      <c r="H1125" s="4" t="str">
        <f>IFERROR(__xludf.DUMMYFUNCTION("""COMPUTED_VALUE"""),"MP")</f>
        <v>MP</v>
      </c>
      <c r="I1125" s="4" t="str">
        <f>IFERROR(__xludf.DUMMYFUNCTION("""COMPUTED_VALUE"""),"PTS")</f>
        <v>PTS</v>
      </c>
      <c r="J1125" s="4" t="str">
        <f>IFERROR(__xludf.DUMMYFUNCTION("""COMPUTED_VALUE"""),"TRB")</f>
        <v>TRB</v>
      </c>
      <c r="K1125" s="4" t="str">
        <f>IFERROR(__xludf.DUMMYFUNCTION("""COMPUTED_VALUE"""),"AST")</f>
        <v>AST</v>
      </c>
      <c r="L1125" s="4" t="str">
        <f>IFERROR(__xludf.DUMMYFUNCTION("""COMPUTED_VALUE"""),"FG%")</f>
        <v>FG%</v>
      </c>
      <c r="M1125" s="4" t="str">
        <f>IFERROR(__xludf.DUMMYFUNCTION("""COMPUTED_VALUE"""),"3P%")</f>
        <v>3P%</v>
      </c>
      <c r="N1125" s="4" t="str">
        <f>IFERROR(__xludf.DUMMYFUNCTION("""COMPUTED_VALUE"""),"FT%")</f>
        <v>FT%</v>
      </c>
      <c r="O1125" s="4" t="str">
        <f>IFERROR(__xludf.DUMMYFUNCTION("""COMPUTED_VALUE"""),"MP")</f>
        <v>MP</v>
      </c>
      <c r="P1125" s="4" t="str">
        <f>IFERROR(__xludf.DUMMYFUNCTION("""COMPUTED_VALUE"""),"PTS")</f>
        <v>PTS</v>
      </c>
      <c r="Q1125" s="4" t="str">
        <f>IFERROR(__xludf.DUMMYFUNCTION("""COMPUTED_VALUE"""),"TRB")</f>
        <v>TRB</v>
      </c>
      <c r="R1125" s="4" t="str">
        <f>IFERROR(__xludf.DUMMYFUNCTION("""COMPUTED_VALUE"""),"AST")</f>
        <v>AST</v>
      </c>
      <c r="S1125" s="4" t="str">
        <f>IFERROR(__xludf.DUMMYFUNCTION("""COMPUTED_VALUE"""),"WS")</f>
        <v>WS</v>
      </c>
      <c r="T1125" s="4" t="str">
        <f>IFERROR(__xludf.DUMMYFUNCTION("""COMPUTED_VALUE"""),"WS/48")</f>
        <v>WS/48</v>
      </c>
      <c r="U1125" s="4" t="str">
        <f>IFERROR(__xludf.DUMMYFUNCTION("""COMPUTED_VALUE"""),"BPM")</f>
        <v>BPM</v>
      </c>
      <c r="V1125" s="4" t="str">
        <f>IFERROR(__xludf.DUMMYFUNCTION("""COMPUTED_VALUE"""),"VORP")</f>
        <v>VORP</v>
      </c>
    </row>
    <row r="1126">
      <c r="A1126" s="4">
        <f>IFERROR(__xludf.DUMMYFUNCTION("""COMPUTED_VALUE"""),1.0)</f>
        <v>1</v>
      </c>
      <c r="B1126" s="4">
        <f>IFERROR(__xludf.DUMMYFUNCTION("""COMPUTED_VALUE"""),1.0)</f>
        <v>1</v>
      </c>
      <c r="C1126" s="4" t="str">
        <f>IFERROR(__xludf.DUMMYFUNCTION("""COMPUTED_VALUE"""),"CHI")</f>
        <v>CHI</v>
      </c>
      <c r="D1126" s="4" t="str">
        <f>IFERROR(__xludf.DUMMYFUNCTION("""COMPUTED_VALUE"""),"Derrick Rose")</f>
        <v>Derrick Rose</v>
      </c>
      <c r="E1126" s="4" t="str">
        <f>IFERROR(__xludf.DUMMYFUNCTION("""COMPUTED_VALUE"""),"Memphis")</f>
        <v>Memphis</v>
      </c>
      <c r="F1126" s="4">
        <f>IFERROR(__xludf.DUMMYFUNCTION("""COMPUTED_VALUE"""),15.0)</f>
        <v>15</v>
      </c>
      <c r="G1126" s="4">
        <f>IFERROR(__xludf.DUMMYFUNCTION("""COMPUTED_VALUE"""),723.0)</f>
        <v>723</v>
      </c>
      <c r="H1126" s="4">
        <f>IFERROR(__xludf.DUMMYFUNCTION("""COMPUTED_VALUE"""),22054.0)</f>
        <v>22054</v>
      </c>
      <c r="I1126" s="4">
        <f>IFERROR(__xludf.DUMMYFUNCTION("""COMPUTED_VALUE"""),12573.0)</f>
        <v>12573</v>
      </c>
      <c r="J1126" s="4">
        <f>IFERROR(__xludf.DUMMYFUNCTION("""COMPUTED_VALUE"""),2324.0)</f>
        <v>2324</v>
      </c>
      <c r="K1126" s="4">
        <f>IFERROR(__xludf.DUMMYFUNCTION("""COMPUTED_VALUE"""),3770.0)</f>
        <v>3770</v>
      </c>
      <c r="L1126" s="4">
        <f>IFERROR(__xludf.DUMMYFUNCTION("""COMPUTED_VALUE"""),0.456)</f>
        <v>0.456</v>
      </c>
      <c r="M1126" s="4">
        <f>IFERROR(__xludf.DUMMYFUNCTION("""COMPUTED_VALUE"""),0.316)</f>
        <v>0.316</v>
      </c>
      <c r="N1126" s="4">
        <f>IFERROR(__xludf.DUMMYFUNCTION("""COMPUTED_VALUE"""),0.831)</f>
        <v>0.831</v>
      </c>
      <c r="O1126" s="4">
        <f>IFERROR(__xludf.DUMMYFUNCTION("""COMPUTED_VALUE"""),30.5)</f>
        <v>30.5</v>
      </c>
      <c r="P1126" s="4">
        <f>IFERROR(__xludf.DUMMYFUNCTION("""COMPUTED_VALUE"""),17.4)</f>
        <v>17.4</v>
      </c>
      <c r="Q1126" s="4">
        <f>IFERROR(__xludf.DUMMYFUNCTION("""COMPUTED_VALUE"""),3.2)</f>
        <v>3.2</v>
      </c>
      <c r="R1126" s="4">
        <f>IFERROR(__xludf.DUMMYFUNCTION("""COMPUTED_VALUE"""),5.2)</f>
        <v>5.2</v>
      </c>
      <c r="S1126" s="4">
        <f>IFERROR(__xludf.DUMMYFUNCTION("""COMPUTED_VALUE"""),44.6)</f>
        <v>44.6</v>
      </c>
      <c r="T1126" s="4">
        <f>IFERROR(__xludf.DUMMYFUNCTION("""COMPUTED_VALUE"""),0.097)</f>
        <v>0.097</v>
      </c>
      <c r="U1126" s="4">
        <f>IFERROR(__xludf.DUMMYFUNCTION("""COMPUTED_VALUE"""),1.2)</f>
        <v>1.2</v>
      </c>
      <c r="V1126" s="4">
        <f>IFERROR(__xludf.DUMMYFUNCTION("""COMPUTED_VALUE"""),18.2)</f>
        <v>18.2</v>
      </c>
    </row>
    <row r="1127">
      <c r="A1127" s="4">
        <f>IFERROR(__xludf.DUMMYFUNCTION("""COMPUTED_VALUE"""),2.0)</f>
        <v>2</v>
      </c>
      <c r="B1127" s="4">
        <f>IFERROR(__xludf.DUMMYFUNCTION("""COMPUTED_VALUE"""),2.0)</f>
        <v>2</v>
      </c>
      <c r="C1127" s="4" t="str">
        <f>IFERROR(__xludf.DUMMYFUNCTION("""COMPUTED_VALUE"""),"MIA")</f>
        <v>MIA</v>
      </c>
      <c r="D1127" s="4" t="str">
        <f>IFERROR(__xludf.DUMMYFUNCTION("""COMPUTED_VALUE"""),"Michael Beasley")</f>
        <v>Michael Beasley</v>
      </c>
      <c r="E1127" s="4" t="str">
        <f>IFERROR(__xludf.DUMMYFUNCTION("""COMPUTED_VALUE"""),"Kansas State")</f>
        <v>Kansas State</v>
      </c>
      <c r="F1127" s="4">
        <f>IFERROR(__xludf.DUMMYFUNCTION("""COMPUTED_VALUE"""),11.0)</f>
        <v>11</v>
      </c>
      <c r="G1127" s="4">
        <f>IFERROR(__xludf.DUMMYFUNCTION("""COMPUTED_VALUE"""),609.0)</f>
        <v>609</v>
      </c>
      <c r="H1127" s="4">
        <f>IFERROR(__xludf.DUMMYFUNCTION("""COMPUTED_VALUE"""),13903.0)</f>
        <v>13903</v>
      </c>
      <c r="I1127" s="4">
        <f>IFERROR(__xludf.DUMMYFUNCTION("""COMPUTED_VALUE"""),7568.0)</f>
        <v>7568</v>
      </c>
      <c r="J1127" s="4">
        <f>IFERROR(__xludf.DUMMYFUNCTION("""COMPUTED_VALUE"""),2861.0)</f>
        <v>2861</v>
      </c>
      <c r="K1127" s="4">
        <f>IFERROR(__xludf.DUMMYFUNCTION("""COMPUTED_VALUE"""),788.0)</f>
        <v>788</v>
      </c>
      <c r="L1127" s="4">
        <f>IFERROR(__xludf.DUMMYFUNCTION("""COMPUTED_VALUE"""),0.465)</f>
        <v>0.465</v>
      </c>
      <c r="M1127" s="4">
        <f>IFERROR(__xludf.DUMMYFUNCTION("""COMPUTED_VALUE"""),0.349)</f>
        <v>0.349</v>
      </c>
      <c r="N1127" s="4">
        <f>IFERROR(__xludf.DUMMYFUNCTION("""COMPUTED_VALUE"""),0.759)</f>
        <v>0.759</v>
      </c>
      <c r="O1127" s="4">
        <f>IFERROR(__xludf.DUMMYFUNCTION("""COMPUTED_VALUE"""),22.8)</f>
        <v>22.8</v>
      </c>
      <c r="P1127" s="4">
        <f>IFERROR(__xludf.DUMMYFUNCTION("""COMPUTED_VALUE"""),12.4)</f>
        <v>12.4</v>
      </c>
      <c r="Q1127" s="4">
        <f>IFERROR(__xludf.DUMMYFUNCTION("""COMPUTED_VALUE"""),4.7)</f>
        <v>4.7</v>
      </c>
      <c r="R1127" s="4">
        <f>IFERROR(__xludf.DUMMYFUNCTION("""COMPUTED_VALUE"""),1.3)</f>
        <v>1.3</v>
      </c>
      <c r="S1127" s="4">
        <f>IFERROR(__xludf.DUMMYFUNCTION("""COMPUTED_VALUE"""),15.6)</f>
        <v>15.6</v>
      </c>
      <c r="T1127" s="4">
        <f>IFERROR(__xludf.DUMMYFUNCTION("""COMPUTED_VALUE"""),0.054)</f>
        <v>0.054</v>
      </c>
      <c r="U1127" s="4">
        <f>IFERROR(__xludf.DUMMYFUNCTION("""COMPUTED_VALUE"""),-1.7)</f>
        <v>-1.7</v>
      </c>
      <c r="V1127" s="4">
        <f>IFERROR(__xludf.DUMMYFUNCTION("""COMPUTED_VALUE"""),0.9)</f>
        <v>0.9</v>
      </c>
    </row>
    <row r="1128">
      <c r="A1128" s="4">
        <f>IFERROR(__xludf.DUMMYFUNCTION("""COMPUTED_VALUE"""),3.0)</f>
        <v>3</v>
      </c>
      <c r="B1128" s="4">
        <f>IFERROR(__xludf.DUMMYFUNCTION("""COMPUTED_VALUE"""),3.0)</f>
        <v>3</v>
      </c>
      <c r="C1128" s="4" t="str">
        <f>IFERROR(__xludf.DUMMYFUNCTION("""COMPUTED_VALUE"""),"MIN")</f>
        <v>MIN</v>
      </c>
      <c r="D1128" s="4" t="str">
        <f>IFERROR(__xludf.DUMMYFUNCTION("""COMPUTED_VALUE"""),"O.J. Mayo")</f>
        <v>O.J. Mayo</v>
      </c>
      <c r="E1128" s="4" t="str">
        <f>IFERROR(__xludf.DUMMYFUNCTION("""COMPUTED_VALUE"""),"USC")</f>
        <v>USC</v>
      </c>
      <c r="F1128" s="4">
        <f>IFERROR(__xludf.DUMMYFUNCTION("""COMPUTED_VALUE"""),8.0)</f>
        <v>8</v>
      </c>
      <c r="G1128" s="4">
        <f>IFERROR(__xludf.DUMMYFUNCTION("""COMPUTED_VALUE"""),547.0)</f>
        <v>547</v>
      </c>
      <c r="H1128" s="4">
        <f>IFERROR(__xludf.DUMMYFUNCTION("""COMPUTED_VALUE"""),16919.0)</f>
        <v>16919</v>
      </c>
      <c r="I1128" s="4">
        <f>IFERROR(__xludf.DUMMYFUNCTION("""COMPUTED_VALUE"""),7574.0)</f>
        <v>7574</v>
      </c>
      <c r="J1128" s="4">
        <f>IFERROR(__xludf.DUMMYFUNCTION("""COMPUTED_VALUE"""),1706.0)</f>
        <v>1706</v>
      </c>
      <c r="K1128" s="4">
        <f>IFERROR(__xludf.DUMMYFUNCTION("""COMPUTED_VALUE"""),1607.0)</f>
        <v>1607</v>
      </c>
      <c r="L1128" s="4">
        <f>IFERROR(__xludf.DUMMYFUNCTION("""COMPUTED_VALUE"""),0.429)</f>
        <v>0.429</v>
      </c>
      <c r="M1128" s="4">
        <f>IFERROR(__xludf.DUMMYFUNCTION("""COMPUTED_VALUE"""),0.373)</f>
        <v>0.373</v>
      </c>
      <c r="N1128" s="4">
        <f>IFERROR(__xludf.DUMMYFUNCTION("""COMPUTED_VALUE"""),0.82)</f>
        <v>0.82</v>
      </c>
      <c r="O1128" s="4">
        <f>IFERROR(__xludf.DUMMYFUNCTION("""COMPUTED_VALUE"""),30.9)</f>
        <v>30.9</v>
      </c>
      <c r="P1128" s="4">
        <f>IFERROR(__xludf.DUMMYFUNCTION("""COMPUTED_VALUE"""),13.8)</f>
        <v>13.8</v>
      </c>
      <c r="Q1128" s="4">
        <f>IFERROR(__xludf.DUMMYFUNCTION("""COMPUTED_VALUE"""),3.1)</f>
        <v>3.1</v>
      </c>
      <c r="R1128" s="4">
        <f>IFERROR(__xludf.DUMMYFUNCTION("""COMPUTED_VALUE"""),2.9)</f>
        <v>2.9</v>
      </c>
      <c r="S1128" s="4">
        <f>IFERROR(__xludf.DUMMYFUNCTION("""COMPUTED_VALUE"""),21.8)</f>
        <v>21.8</v>
      </c>
      <c r="T1128" s="4">
        <f>IFERROR(__xludf.DUMMYFUNCTION("""COMPUTED_VALUE"""),0.062)</f>
        <v>0.062</v>
      </c>
      <c r="U1128" s="4">
        <f>IFERROR(__xludf.DUMMYFUNCTION("""COMPUTED_VALUE"""),-0.9)</f>
        <v>-0.9</v>
      </c>
      <c r="V1128" s="4">
        <f>IFERROR(__xludf.DUMMYFUNCTION("""COMPUTED_VALUE"""),4.7)</f>
        <v>4.7</v>
      </c>
    </row>
    <row r="1129">
      <c r="A1129" s="4">
        <f>IFERROR(__xludf.DUMMYFUNCTION("""COMPUTED_VALUE"""),4.0)</f>
        <v>4</v>
      </c>
      <c r="B1129" s="4">
        <f>IFERROR(__xludf.DUMMYFUNCTION("""COMPUTED_VALUE"""),4.0)</f>
        <v>4</v>
      </c>
      <c r="C1129" s="4" t="str">
        <f>IFERROR(__xludf.DUMMYFUNCTION("""COMPUTED_VALUE"""),"SEA")</f>
        <v>SEA</v>
      </c>
      <c r="D1129" s="4" t="str">
        <f>IFERROR(__xludf.DUMMYFUNCTION("""COMPUTED_VALUE"""),"Russell Westbrook")</f>
        <v>Russell Westbrook</v>
      </c>
      <c r="E1129" s="4" t="str">
        <f>IFERROR(__xludf.DUMMYFUNCTION("""COMPUTED_VALUE"""),"UCLA")</f>
        <v>UCLA</v>
      </c>
      <c r="F1129" s="4">
        <f>IFERROR(__xludf.DUMMYFUNCTION("""COMPUTED_VALUE"""),18.0)</f>
        <v>18</v>
      </c>
      <c r="G1129" s="4">
        <f>IFERROR(__xludf.DUMMYFUNCTION("""COMPUTED_VALUE"""),1258.0)</f>
        <v>1258</v>
      </c>
      <c r="H1129" s="4">
        <f>IFERROR(__xludf.DUMMYFUNCTION("""COMPUTED_VALUE"""),41765.0)</f>
        <v>41765</v>
      </c>
      <c r="I1129" s="4">
        <f>IFERROR(__xludf.DUMMYFUNCTION("""COMPUTED_VALUE"""),26490.0)</f>
        <v>26490</v>
      </c>
      <c r="J1129" s="4">
        <f>IFERROR(__xludf.DUMMYFUNCTION("""COMPUTED_VALUE"""),8827.0)</f>
        <v>8827</v>
      </c>
      <c r="K1129" s="4">
        <f>IFERROR(__xludf.DUMMYFUNCTION("""COMPUTED_VALUE"""),10067.0)</f>
        <v>10067</v>
      </c>
      <c r="L1129" s="4">
        <f>IFERROR(__xludf.DUMMYFUNCTION("""COMPUTED_VALUE"""),0.439)</f>
        <v>0.439</v>
      </c>
      <c r="M1129" s="4">
        <f>IFERROR(__xludf.DUMMYFUNCTION("""COMPUTED_VALUE"""),0.307)</f>
        <v>0.307</v>
      </c>
      <c r="N1129" s="4">
        <f>IFERROR(__xludf.DUMMYFUNCTION("""COMPUTED_VALUE"""),0.771)</f>
        <v>0.771</v>
      </c>
      <c r="O1129" s="4">
        <f>IFERROR(__xludf.DUMMYFUNCTION("""COMPUTED_VALUE"""),33.2)</f>
        <v>33.2</v>
      </c>
      <c r="P1129" s="4">
        <f>IFERROR(__xludf.DUMMYFUNCTION("""COMPUTED_VALUE"""),21.1)</f>
        <v>21.1</v>
      </c>
      <c r="Q1129" s="4">
        <f>IFERROR(__xludf.DUMMYFUNCTION("""COMPUTED_VALUE"""),7.0)</f>
        <v>7</v>
      </c>
      <c r="R1129" s="4">
        <f>IFERROR(__xludf.DUMMYFUNCTION("""COMPUTED_VALUE"""),8.0)</f>
        <v>8</v>
      </c>
      <c r="S1129" s="4">
        <f>IFERROR(__xludf.DUMMYFUNCTION("""COMPUTED_VALUE"""),112.7)</f>
        <v>112.7</v>
      </c>
      <c r="T1129" s="4">
        <f>IFERROR(__xludf.DUMMYFUNCTION("""COMPUTED_VALUE"""),0.13)</f>
        <v>0.13</v>
      </c>
      <c r="U1129" s="4">
        <f>IFERROR(__xludf.DUMMYFUNCTION("""COMPUTED_VALUE"""),3.6)</f>
        <v>3.6</v>
      </c>
      <c r="V1129" s="4">
        <f>IFERROR(__xludf.DUMMYFUNCTION("""COMPUTED_VALUE"""),58.8)</f>
        <v>58.8</v>
      </c>
    </row>
    <row r="1130">
      <c r="A1130" s="4">
        <f>IFERROR(__xludf.DUMMYFUNCTION("""COMPUTED_VALUE"""),5.0)</f>
        <v>5</v>
      </c>
      <c r="B1130" s="4">
        <f>IFERROR(__xludf.DUMMYFUNCTION("""COMPUTED_VALUE"""),5.0)</f>
        <v>5</v>
      </c>
      <c r="C1130" s="4" t="str">
        <f>IFERROR(__xludf.DUMMYFUNCTION("""COMPUTED_VALUE"""),"MEM")</f>
        <v>MEM</v>
      </c>
      <c r="D1130" s="4" t="str">
        <f>IFERROR(__xludf.DUMMYFUNCTION("""COMPUTED_VALUE"""),"Kevin Love")</f>
        <v>Kevin Love</v>
      </c>
      <c r="E1130" s="4" t="str">
        <f>IFERROR(__xludf.DUMMYFUNCTION("""COMPUTED_VALUE"""),"UCLA")</f>
        <v>UCLA</v>
      </c>
      <c r="F1130" s="4">
        <f>IFERROR(__xludf.DUMMYFUNCTION("""COMPUTED_VALUE"""),18.0)</f>
        <v>18</v>
      </c>
      <c r="G1130" s="4">
        <f>IFERROR(__xludf.DUMMYFUNCTION("""COMPUTED_VALUE"""),964.0)</f>
        <v>964</v>
      </c>
      <c r="H1130" s="4">
        <f>IFERROR(__xludf.DUMMYFUNCTION("""COMPUTED_VALUE"""),27677.0)</f>
        <v>27677</v>
      </c>
      <c r="I1130" s="4">
        <f>IFERROR(__xludf.DUMMYFUNCTION("""COMPUTED_VALUE"""),15491.0)</f>
        <v>15491</v>
      </c>
      <c r="J1130" s="4">
        <f>IFERROR(__xludf.DUMMYFUNCTION("""COMPUTED_VALUE"""),9553.0)</f>
        <v>9553</v>
      </c>
      <c r="K1130" s="4">
        <f>IFERROR(__xludf.DUMMYFUNCTION("""COMPUTED_VALUE"""),2195.0)</f>
        <v>2195</v>
      </c>
      <c r="L1130" s="4">
        <f>IFERROR(__xludf.DUMMYFUNCTION("""COMPUTED_VALUE"""),0.438)</f>
        <v>0.438</v>
      </c>
      <c r="M1130" s="4">
        <f>IFERROR(__xludf.DUMMYFUNCTION("""COMPUTED_VALUE"""),0.368)</f>
        <v>0.368</v>
      </c>
      <c r="N1130" s="4">
        <f>IFERROR(__xludf.DUMMYFUNCTION("""COMPUTED_VALUE"""),0.828)</f>
        <v>0.828</v>
      </c>
      <c r="O1130" s="4">
        <f>IFERROR(__xludf.DUMMYFUNCTION("""COMPUTED_VALUE"""),28.7)</f>
        <v>28.7</v>
      </c>
      <c r="P1130" s="4">
        <f>IFERROR(__xludf.DUMMYFUNCTION("""COMPUTED_VALUE"""),16.1)</f>
        <v>16.1</v>
      </c>
      <c r="Q1130" s="4">
        <f>IFERROR(__xludf.DUMMYFUNCTION("""COMPUTED_VALUE"""),9.9)</f>
        <v>9.9</v>
      </c>
      <c r="R1130" s="4">
        <f>IFERROR(__xludf.DUMMYFUNCTION("""COMPUTED_VALUE"""),2.3)</f>
        <v>2.3</v>
      </c>
      <c r="S1130" s="4">
        <f>IFERROR(__xludf.DUMMYFUNCTION("""COMPUTED_VALUE"""),95.3)</f>
        <v>95.3</v>
      </c>
      <c r="T1130" s="4">
        <f>IFERROR(__xludf.DUMMYFUNCTION("""COMPUTED_VALUE"""),0.165)</f>
        <v>0.165</v>
      </c>
      <c r="U1130" s="4">
        <f>IFERROR(__xludf.DUMMYFUNCTION("""COMPUTED_VALUE"""),3.2)</f>
        <v>3.2</v>
      </c>
      <c r="V1130" s="4">
        <f>IFERROR(__xludf.DUMMYFUNCTION("""COMPUTED_VALUE"""),36.5)</f>
        <v>36.5</v>
      </c>
    </row>
    <row r="1131">
      <c r="A1131" s="4">
        <f>IFERROR(__xludf.DUMMYFUNCTION("""COMPUTED_VALUE"""),6.0)</f>
        <v>6</v>
      </c>
      <c r="B1131" s="4">
        <f>IFERROR(__xludf.DUMMYFUNCTION("""COMPUTED_VALUE"""),6.0)</f>
        <v>6</v>
      </c>
      <c r="C1131" s="4" t="str">
        <f>IFERROR(__xludf.DUMMYFUNCTION("""COMPUTED_VALUE"""),"NYK")</f>
        <v>NYK</v>
      </c>
      <c r="D1131" s="4" t="str">
        <f>IFERROR(__xludf.DUMMYFUNCTION("""COMPUTED_VALUE"""),"Danilo Gallinari")</f>
        <v>Danilo Gallinari</v>
      </c>
      <c r="E1131" s="4"/>
      <c r="F1131" s="4">
        <f>IFERROR(__xludf.DUMMYFUNCTION("""COMPUTED_VALUE"""),14.0)</f>
        <v>14</v>
      </c>
      <c r="G1131" s="4">
        <f>IFERROR(__xludf.DUMMYFUNCTION("""COMPUTED_VALUE"""),777.0)</f>
        <v>777</v>
      </c>
      <c r="H1131" s="4">
        <f>IFERROR(__xludf.DUMMYFUNCTION("""COMPUTED_VALUE"""),22410.0)</f>
        <v>22410</v>
      </c>
      <c r="I1131" s="4">
        <f>IFERROR(__xludf.DUMMYFUNCTION("""COMPUTED_VALUE"""),11607.0)</f>
        <v>11607</v>
      </c>
      <c r="J1131" s="4">
        <f>IFERROR(__xludf.DUMMYFUNCTION("""COMPUTED_VALUE"""),3618.0)</f>
        <v>3618</v>
      </c>
      <c r="K1131" s="4">
        <f>IFERROR(__xludf.DUMMYFUNCTION("""COMPUTED_VALUE"""),1469.0)</f>
        <v>1469</v>
      </c>
      <c r="L1131" s="4">
        <f>IFERROR(__xludf.DUMMYFUNCTION("""COMPUTED_VALUE"""),0.428)</f>
        <v>0.428</v>
      </c>
      <c r="M1131" s="4">
        <f>IFERROR(__xludf.DUMMYFUNCTION("""COMPUTED_VALUE"""),0.381)</f>
        <v>0.381</v>
      </c>
      <c r="N1131" s="4">
        <f>IFERROR(__xludf.DUMMYFUNCTION("""COMPUTED_VALUE"""),0.876)</f>
        <v>0.876</v>
      </c>
      <c r="O1131" s="4">
        <f>IFERROR(__xludf.DUMMYFUNCTION("""COMPUTED_VALUE"""),28.8)</f>
        <v>28.8</v>
      </c>
      <c r="P1131" s="4">
        <f>IFERROR(__xludf.DUMMYFUNCTION("""COMPUTED_VALUE"""),14.9)</f>
        <v>14.9</v>
      </c>
      <c r="Q1131" s="4">
        <f>IFERROR(__xludf.DUMMYFUNCTION("""COMPUTED_VALUE"""),4.7)</f>
        <v>4.7</v>
      </c>
      <c r="R1131" s="4">
        <f>IFERROR(__xludf.DUMMYFUNCTION("""COMPUTED_VALUE"""),1.9)</f>
        <v>1.9</v>
      </c>
      <c r="S1131" s="4">
        <f>IFERROR(__xludf.DUMMYFUNCTION("""COMPUTED_VALUE"""),65.4)</f>
        <v>65.4</v>
      </c>
      <c r="T1131" s="4">
        <f>IFERROR(__xludf.DUMMYFUNCTION("""COMPUTED_VALUE"""),0.14)</f>
        <v>0.14</v>
      </c>
      <c r="U1131" s="4">
        <f>IFERROR(__xludf.DUMMYFUNCTION("""COMPUTED_VALUE"""),1.7)</f>
        <v>1.7</v>
      </c>
      <c r="V1131" s="4">
        <f>IFERROR(__xludf.DUMMYFUNCTION("""COMPUTED_VALUE"""),20.8)</f>
        <v>20.8</v>
      </c>
    </row>
    <row r="1132">
      <c r="A1132" s="4">
        <f>IFERROR(__xludf.DUMMYFUNCTION("""COMPUTED_VALUE"""),7.0)</f>
        <v>7</v>
      </c>
      <c r="B1132" s="4">
        <f>IFERROR(__xludf.DUMMYFUNCTION("""COMPUTED_VALUE"""),7.0)</f>
        <v>7</v>
      </c>
      <c r="C1132" s="4" t="str">
        <f>IFERROR(__xludf.DUMMYFUNCTION("""COMPUTED_VALUE"""),"LAC")</f>
        <v>LAC</v>
      </c>
      <c r="D1132" s="4" t="str">
        <f>IFERROR(__xludf.DUMMYFUNCTION("""COMPUTED_VALUE"""),"Eric Gordon")</f>
        <v>Eric Gordon</v>
      </c>
      <c r="E1132" s="4" t="str">
        <f>IFERROR(__xludf.DUMMYFUNCTION("""COMPUTED_VALUE"""),"Indiana")</f>
        <v>Indiana</v>
      </c>
      <c r="F1132" s="4">
        <f>IFERROR(__xludf.DUMMYFUNCTION("""COMPUTED_VALUE"""),18.0)</f>
        <v>18</v>
      </c>
      <c r="G1132" s="4">
        <f>IFERROR(__xludf.DUMMYFUNCTION("""COMPUTED_VALUE"""),930.0)</f>
        <v>930</v>
      </c>
      <c r="H1132" s="4">
        <f>IFERROR(__xludf.DUMMYFUNCTION("""COMPUTED_VALUE"""),28941.0)</f>
        <v>28941</v>
      </c>
      <c r="I1132" s="4">
        <f>IFERROR(__xludf.DUMMYFUNCTION("""COMPUTED_VALUE"""),14155.0)</f>
        <v>14155</v>
      </c>
      <c r="J1132" s="4">
        <f>IFERROR(__xludf.DUMMYFUNCTION("""COMPUTED_VALUE"""),2115.0)</f>
        <v>2115</v>
      </c>
      <c r="K1132" s="4">
        <f>IFERROR(__xludf.DUMMYFUNCTION("""COMPUTED_VALUE"""),2511.0)</f>
        <v>2511</v>
      </c>
      <c r="L1132" s="4">
        <f>IFERROR(__xludf.DUMMYFUNCTION("""COMPUTED_VALUE"""),0.43)</f>
        <v>0.43</v>
      </c>
      <c r="M1132" s="4">
        <f>IFERROR(__xludf.DUMMYFUNCTION("""COMPUTED_VALUE"""),0.372)</f>
        <v>0.372</v>
      </c>
      <c r="N1132" s="4">
        <f>IFERROR(__xludf.DUMMYFUNCTION("""COMPUTED_VALUE"""),0.81)</f>
        <v>0.81</v>
      </c>
      <c r="O1132" s="4">
        <f>IFERROR(__xludf.DUMMYFUNCTION("""COMPUTED_VALUE"""),31.1)</f>
        <v>31.1</v>
      </c>
      <c r="P1132" s="4">
        <f>IFERROR(__xludf.DUMMYFUNCTION("""COMPUTED_VALUE"""),15.2)</f>
        <v>15.2</v>
      </c>
      <c r="Q1132" s="4">
        <f>IFERROR(__xludf.DUMMYFUNCTION("""COMPUTED_VALUE"""),2.3)</f>
        <v>2.3</v>
      </c>
      <c r="R1132" s="4">
        <f>IFERROR(__xludf.DUMMYFUNCTION("""COMPUTED_VALUE"""),2.7)</f>
        <v>2.7</v>
      </c>
      <c r="S1132" s="4">
        <f>IFERROR(__xludf.DUMMYFUNCTION("""COMPUTED_VALUE"""),42.0)</f>
        <v>42</v>
      </c>
      <c r="T1132" s="4">
        <f>IFERROR(__xludf.DUMMYFUNCTION("""COMPUTED_VALUE"""),0.07)</f>
        <v>0.07</v>
      </c>
      <c r="U1132" s="4">
        <f>IFERROR(__xludf.DUMMYFUNCTION("""COMPUTED_VALUE"""),-0.8)</f>
        <v>-0.8</v>
      </c>
      <c r="V1132" s="4">
        <f>IFERROR(__xludf.DUMMYFUNCTION("""COMPUTED_VALUE"""),9.0)</f>
        <v>9</v>
      </c>
    </row>
    <row r="1133">
      <c r="A1133" s="4">
        <f>IFERROR(__xludf.DUMMYFUNCTION("""COMPUTED_VALUE"""),8.0)</f>
        <v>8</v>
      </c>
      <c r="B1133" s="4">
        <f>IFERROR(__xludf.DUMMYFUNCTION("""COMPUTED_VALUE"""),8.0)</f>
        <v>8</v>
      </c>
      <c r="C1133" s="4" t="str">
        <f>IFERROR(__xludf.DUMMYFUNCTION("""COMPUTED_VALUE"""),"MIL")</f>
        <v>MIL</v>
      </c>
      <c r="D1133" s="4" t="str">
        <f>IFERROR(__xludf.DUMMYFUNCTION("""COMPUTED_VALUE"""),"Joe Alexander")</f>
        <v>Joe Alexander</v>
      </c>
      <c r="E1133" s="4" t="str">
        <f>IFERROR(__xludf.DUMMYFUNCTION("""COMPUTED_VALUE"""),"West Virginia")</f>
        <v>West Virginia</v>
      </c>
      <c r="F1133" s="4">
        <f>IFERROR(__xludf.DUMMYFUNCTION("""COMPUTED_VALUE"""),2.0)</f>
        <v>2</v>
      </c>
      <c r="G1133" s="4">
        <f>IFERROR(__xludf.DUMMYFUNCTION("""COMPUTED_VALUE"""),67.0)</f>
        <v>67</v>
      </c>
      <c r="H1133" s="4">
        <f>IFERROR(__xludf.DUMMYFUNCTION("""COMPUTED_VALUE"""),745.0)</f>
        <v>745</v>
      </c>
      <c r="I1133" s="4">
        <f>IFERROR(__xludf.DUMMYFUNCTION("""COMPUTED_VALUE"""),282.0)</f>
        <v>282</v>
      </c>
      <c r="J1133" s="4">
        <f>IFERROR(__xludf.DUMMYFUNCTION("""COMPUTED_VALUE"""),120.0)</f>
        <v>120</v>
      </c>
      <c r="K1133" s="4">
        <f>IFERROR(__xludf.DUMMYFUNCTION("""COMPUTED_VALUE"""),44.0)</f>
        <v>44</v>
      </c>
      <c r="L1133" s="4">
        <f>IFERROR(__xludf.DUMMYFUNCTION("""COMPUTED_VALUE"""),0.41)</f>
        <v>0.41</v>
      </c>
      <c r="M1133" s="4">
        <f>IFERROR(__xludf.DUMMYFUNCTION("""COMPUTED_VALUE"""),0.34)</f>
        <v>0.34</v>
      </c>
      <c r="N1133" s="4">
        <f>IFERROR(__xludf.DUMMYFUNCTION("""COMPUTED_VALUE"""),0.698)</f>
        <v>0.698</v>
      </c>
      <c r="O1133" s="4">
        <f>IFERROR(__xludf.DUMMYFUNCTION("""COMPUTED_VALUE"""),11.1)</f>
        <v>11.1</v>
      </c>
      <c r="P1133" s="4">
        <f>IFERROR(__xludf.DUMMYFUNCTION("""COMPUTED_VALUE"""),4.2)</f>
        <v>4.2</v>
      </c>
      <c r="Q1133" s="4">
        <f>IFERROR(__xludf.DUMMYFUNCTION("""COMPUTED_VALUE"""),1.8)</f>
        <v>1.8</v>
      </c>
      <c r="R1133" s="4">
        <f>IFERROR(__xludf.DUMMYFUNCTION("""COMPUTED_VALUE"""),0.7)</f>
        <v>0.7</v>
      </c>
      <c r="S1133" s="4">
        <f>IFERROR(__xludf.DUMMYFUNCTION("""COMPUTED_VALUE"""),0.5)</f>
        <v>0.5</v>
      </c>
      <c r="T1133" s="4">
        <f>IFERROR(__xludf.DUMMYFUNCTION("""COMPUTED_VALUE"""),0.03)</f>
        <v>0.03</v>
      </c>
      <c r="U1133" s="4">
        <f>IFERROR(__xludf.DUMMYFUNCTION("""COMPUTED_VALUE"""),-3.6)</f>
        <v>-3.6</v>
      </c>
      <c r="V1133" s="4">
        <f>IFERROR(__xludf.DUMMYFUNCTION("""COMPUTED_VALUE"""),-0.3)</f>
        <v>-0.3</v>
      </c>
    </row>
    <row r="1134">
      <c r="A1134" s="4">
        <f>IFERROR(__xludf.DUMMYFUNCTION("""COMPUTED_VALUE"""),9.0)</f>
        <v>9</v>
      </c>
      <c r="B1134" s="4">
        <f>IFERROR(__xludf.DUMMYFUNCTION("""COMPUTED_VALUE"""),9.0)</f>
        <v>9</v>
      </c>
      <c r="C1134" s="4" t="str">
        <f>IFERROR(__xludf.DUMMYFUNCTION("""COMPUTED_VALUE"""),"CHA")</f>
        <v>CHA</v>
      </c>
      <c r="D1134" s="4" t="str">
        <f>IFERROR(__xludf.DUMMYFUNCTION("""COMPUTED_VALUE"""),"D.J. Augustin")</f>
        <v>D.J. Augustin</v>
      </c>
      <c r="E1134" s="4" t="str">
        <f>IFERROR(__xludf.DUMMYFUNCTION("""COMPUTED_VALUE"""),"Texas")</f>
        <v>Texas</v>
      </c>
      <c r="F1134" s="4">
        <f>IFERROR(__xludf.DUMMYFUNCTION("""COMPUTED_VALUE"""),14.0)</f>
        <v>14</v>
      </c>
      <c r="G1134" s="4">
        <f>IFERROR(__xludf.DUMMYFUNCTION("""COMPUTED_VALUE"""),976.0)</f>
        <v>976</v>
      </c>
      <c r="H1134" s="4">
        <f>IFERROR(__xludf.DUMMYFUNCTION("""COMPUTED_VALUE"""),22851.0)</f>
        <v>22851</v>
      </c>
      <c r="I1134" s="4">
        <f>IFERROR(__xludf.DUMMYFUNCTION("""COMPUTED_VALUE"""),9259.0)</f>
        <v>9259</v>
      </c>
      <c r="J1134" s="4">
        <f>IFERROR(__xludf.DUMMYFUNCTION("""COMPUTED_VALUE"""),1805.0)</f>
        <v>1805</v>
      </c>
      <c r="K1134" s="4">
        <f>IFERROR(__xludf.DUMMYFUNCTION("""COMPUTED_VALUE"""),3761.0)</f>
        <v>3761</v>
      </c>
      <c r="L1134" s="4">
        <f>IFERROR(__xludf.DUMMYFUNCTION("""COMPUTED_VALUE"""),0.412)</f>
        <v>0.412</v>
      </c>
      <c r="M1134" s="4">
        <f>IFERROR(__xludf.DUMMYFUNCTION("""COMPUTED_VALUE"""),0.381)</f>
        <v>0.381</v>
      </c>
      <c r="N1134" s="4">
        <f>IFERROR(__xludf.DUMMYFUNCTION("""COMPUTED_VALUE"""),0.867)</f>
        <v>0.867</v>
      </c>
      <c r="O1134" s="4">
        <f>IFERROR(__xludf.DUMMYFUNCTION("""COMPUTED_VALUE"""),23.4)</f>
        <v>23.4</v>
      </c>
      <c r="P1134" s="4">
        <f>IFERROR(__xludf.DUMMYFUNCTION("""COMPUTED_VALUE"""),9.5)</f>
        <v>9.5</v>
      </c>
      <c r="Q1134" s="4">
        <f>IFERROR(__xludf.DUMMYFUNCTION("""COMPUTED_VALUE"""),1.8)</f>
        <v>1.8</v>
      </c>
      <c r="R1134" s="4">
        <f>IFERROR(__xludf.DUMMYFUNCTION("""COMPUTED_VALUE"""),3.9)</f>
        <v>3.9</v>
      </c>
      <c r="S1134" s="4">
        <f>IFERROR(__xludf.DUMMYFUNCTION("""COMPUTED_VALUE"""),47.7)</f>
        <v>47.7</v>
      </c>
      <c r="T1134" s="4">
        <f>IFERROR(__xludf.DUMMYFUNCTION("""COMPUTED_VALUE"""),0.1)</f>
        <v>0.1</v>
      </c>
      <c r="U1134" s="4">
        <f>IFERROR(__xludf.DUMMYFUNCTION("""COMPUTED_VALUE"""),-0.7)</f>
        <v>-0.7</v>
      </c>
      <c r="V1134" s="4">
        <f>IFERROR(__xludf.DUMMYFUNCTION("""COMPUTED_VALUE"""),7.6)</f>
        <v>7.6</v>
      </c>
    </row>
    <row r="1135">
      <c r="A1135" s="4">
        <f>IFERROR(__xludf.DUMMYFUNCTION("""COMPUTED_VALUE"""),10.0)</f>
        <v>10</v>
      </c>
      <c r="B1135" s="4">
        <f>IFERROR(__xludf.DUMMYFUNCTION("""COMPUTED_VALUE"""),10.0)</f>
        <v>10</v>
      </c>
      <c r="C1135" s="4" t="str">
        <f>IFERROR(__xludf.DUMMYFUNCTION("""COMPUTED_VALUE"""),"NJN")</f>
        <v>NJN</v>
      </c>
      <c r="D1135" s="4" t="str">
        <f>IFERROR(__xludf.DUMMYFUNCTION("""COMPUTED_VALUE"""),"Brook Lopez")</f>
        <v>Brook Lopez</v>
      </c>
      <c r="E1135" s="4" t="str">
        <f>IFERROR(__xludf.DUMMYFUNCTION("""COMPUTED_VALUE"""),"Stanford")</f>
        <v>Stanford</v>
      </c>
      <c r="F1135" s="4">
        <f>IFERROR(__xludf.DUMMYFUNCTION("""COMPUTED_VALUE"""),18.0)</f>
        <v>18</v>
      </c>
      <c r="G1135" s="4">
        <f>IFERROR(__xludf.DUMMYFUNCTION("""COMPUTED_VALUE"""),1122.0)</f>
        <v>1122</v>
      </c>
      <c r="H1135" s="4">
        <f>IFERROR(__xludf.DUMMYFUNCTION("""COMPUTED_VALUE"""),33767.0)</f>
        <v>33767</v>
      </c>
      <c r="I1135" s="4">
        <f>IFERROR(__xludf.DUMMYFUNCTION("""COMPUTED_VALUE"""),17624.0)</f>
        <v>17624</v>
      </c>
      <c r="J1135" s="4">
        <f>IFERROR(__xludf.DUMMYFUNCTION("""COMPUTED_VALUE"""),6770.0)</f>
        <v>6770</v>
      </c>
      <c r="K1135" s="4">
        <f>IFERROR(__xludf.DUMMYFUNCTION("""COMPUTED_VALUE"""),1624.0)</f>
        <v>1624</v>
      </c>
      <c r="L1135" s="4">
        <f>IFERROR(__xludf.DUMMYFUNCTION("""COMPUTED_VALUE"""),0.496)</f>
        <v>0.496</v>
      </c>
      <c r="M1135" s="4">
        <f>IFERROR(__xludf.DUMMYFUNCTION("""COMPUTED_VALUE"""),0.352)</f>
        <v>0.352</v>
      </c>
      <c r="N1135" s="4">
        <f>IFERROR(__xludf.DUMMYFUNCTION("""COMPUTED_VALUE"""),0.797)</f>
        <v>0.797</v>
      </c>
      <c r="O1135" s="4">
        <f>IFERROR(__xludf.DUMMYFUNCTION("""COMPUTED_VALUE"""),30.1)</f>
        <v>30.1</v>
      </c>
      <c r="P1135" s="4">
        <f>IFERROR(__xludf.DUMMYFUNCTION("""COMPUTED_VALUE"""),15.7)</f>
        <v>15.7</v>
      </c>
      <c r="Q1135" s="4">
        <f>IFERROR(__xludf.DUMMYFUNCTION("""COMPUTED_VALUE"""),6.0)</f>
        <v>6</v>
      </c>
      <c r="R1135" s="4">
        <f>IFERROR(__xludf.DUMMYFUNCTION("""COMPUTED_VALUE"""),1.4)</f>
        <v>1.4</v>
      </c>
      <c r="S1135" s="4">
        <f>IFERROR(__xludf.DUMMYFUNCTION("""COMPUTED_VALUE"""),91.8)</f>
        <v>91.8</v>
      </c>
      <c r="T1135" s="4">
        <f>IFERROR(__xludf.DUMMYFUNCTION("""COMPUTED_VALUE"""),0.131)</f>
        <v>0.131</v>
      </c>
      <c r="U1135" s="4">
        <f>IFERROR(__xludf.DUMMYFUNCTION("""COMPUTED_VALUE"""),1.3)</f>
        <v>1.3</v>
      </c>
      <c r="V1135" s="4">
        <f>IFERROR(__xludf.DUMMYFUNCTION("""COMPUTED_VALUE"""),27.7)</f>
        <v>27.7</v>
      </c>
    </row>
    <row r="1136">
      <c r="A1136" s="4">
        <f>IFERROR(__xludf.DUMMYFUNCTION("""COMPUTED_VALUE"""),11.0)</f>
        <v>11</v>
      </c>
      <c r="B1136" s="4">
        <f>IFERROR(__xludf.DUMMYFUNCTION("""COMPUTED_VALUE"""),11.0)</f>
        <v>11</v>
      </c>
      <c r="C1136" s="4" t="str">
        <f>IFERROR(__xludf.DUMMYFUNCTION("""COMPUTED_VALUE"""),"IND")</f>
        <v>IND</v>
      </c>
      <c r="D1136" s="4" t="str">
        <f>IFERROR(__xludf.DUMMYFUNCTION("""COMPUTED_VALUE"""),"Jerryd Bayless")</f>
        <v>Jerryd Bayless</v>
      </c>
      <c r="E1136" s="4" t="str">
        <f>IFERROR(__xludf.DUMMYFUNCTION("""COMPUTED_VALUE"""),"Arizona")</f>
        <v>Arizona</v>
      </c>
      <c r="F1136" s="4">
        <f>IFERROR(__xludf.DUMMYFUNCTION("""COMPUTED_VALUE"""),11.0)</f>
        <v>11</v>
      </c>
      <c r="G1136" s="4">
        <f>IFERROR(__xludf.DUMMYFUNCTION("""COMPUTED_VALUE"""),586.0)</f>
        <v>586</v>
      </c>
      <c r="H1136" s="4">
        <f>IFERROR(__xludf.DUMMYFUNCTION("""COMPUTED_VALUE"""),12486.0)</f>
        <v>12486</v>
      </c>
      <c r="I1136" s="4">
        <f>IFERROR(__xludf.DUMMYFUNCTION("""COMPUTED_VALUE"""),4909.0)</f>
        <v>4909</v>
      </c>
      <c r="J1136" s="4">
        <f>IFERROR(__xludf.DUMMYFUNCTION("""COMPUTED_VALUE"""),1235.0)</f>
        <v>1235</v>
      </c>
      <c r="K1136" s="4">
        <f>IFERROR(__xludf.DUMMYFUNCTION("""COMPUTED_VALUE"""),1674.0)</f>
        <v>1674</v>
      </c>
      <c r="L1136" s="4">
        <f>IFERROR(__xludf.DUMMYFUNCTION("""COMPUTED_VALUE"""),0.411)</f>
        <v>0.411</v>
      </c>
      <c r="M1136" s="4">
        <f>IFERROR(__xludf.DUMMYFUNCTION("""COMPUTED_VALUE"""),0.361)</f>
        <v>0.361</v>
      </c>
      <c r="N1136" s="4">
        <f>IFERROR(__xludf.DUMMYFUNCTION("""COMPUTED_VALUE"""),0.818)</f>
        <v>0.818</v>
      </c>
      <c r="O1136" s="4">
        <f>IFERROR(__xludf.DUMMYFUNCTION("""COMPUTED_VALUE"""),21.3)</f>
        <v>21.3</v>
      </c>
      <c r="P1136" s="4">
        <f>IFERROR(__xludf.DUMMYFUNCTION("""COMPUTED_VALUE"""),8.4)</f>
        <v>8.4</v>
      </c>
      <c r="Q1136" s="4">
        <f>IFERROR(__xludf.DUMMYFUNCTION("""COMPUTED_VALUE"""),2.1)</f>
        <v>2.1</v>
      </c>
      <c r="R1136" s="4">
        <f>IFERROR(__xludf.DUMMYFUNCTION("""COMPUTED_VALUE"""),2.9)</f>
        <v>2.9</v>
      </c>
      <c r="S1136" s="4">
        <f>IFERROR(__xludf.DUMMYFUNCTION("""COMPUTED_VALUE"""),18.6)</f>
        <v>18.6</v>
      </c>
      <c r="T1136" s="4">
        <f>IFERROR(__xludf.DUMMYFUNCTION("""COMPUTED_VALUE"""),0.072)</f>
        <v>0.072</v>
      </c>
      <c r="U1136" s="4">
        <f>IFERROR(__xludf.DUMMYFUNCTION("""COMPUTED_VALUE"""),-1.6)</f>
        <v>-1.6</v>
      </c>
      <c r="V1136" s="4">
        <f>IFERROR(__xludf.DUMMYFUNCTION("""COMPUTED_VALUE"""),1.1)</f>
        <v>1.1</v>
      </c>
    </row>
    <row r="1137">
      <c r="A1137" s="4">
        <f>IFERROR(__xludf.DUMMYFUNCTION("""COMPUTED_VALUE"""),12.0)</f>
        <v>12</v>
      </c>
      <c r="B1137" s="4">
        <f>IFERROR(__xludf.DUMMYFUNCTION("""COMPUTED_VALUE"""),12.0)</f>
        <v>12</v>
      </c>
      <c r="C1137" s="4" t="str">
        <f>IFERROR(__xludf.DUMMYFUNCTION("""COMPUTED_VALUE"""),"SAC")</f>
        <v>SAC</v>
      </c>
      <c r="D1137" s="4" t="str">
        <f>IFERROR(__xludf.DUMMYFUNCTION("""COMPUTED_VALUE"""),"Jason Thompson")</f>
        <v>Jason Thompson</v>
      </c>
      <c r="E1137" s="4" t="str">
        <f>IFERROR(__xludf.DUMMYFUNCTION("""COMPUTED_VALUE"""),"Rider University")</f>
        <v>Rider University</v>
      </c>
      <c r="F1137" s="4">
        <f>IFERROR(__xludf.DUMMYFUNCTION("""COMPUTED_VALUE"""),8.0)</f>
        <v>8</v>
      </c>
      <c r="G1137" s="4">
        <f>IFERROR(__xludf.DUMMYFUNCTION("""COMPUTED_VALUE"""),588.0)</f>
        <v>588</v>
      </c>
      <c r="H1137" s="4">
        <f>IFERROR(__xludf.DUMMYFUNCTION("""COMPUTED_VALUE"""),14819.0)</f>
        <v>14819</v>
      </c>
      <c r="I1137" s="4">
        <f>IFERROR(__xludf.DUMMYFUNCTION("""COMPUTED_VALUE"""),5210.0)</f>
        <v>5210</v>
      </c>
      <c r="J1137" s="4">
        <f>IFERROR(__xludf.DUMMYFUNCTION("""COMPUTED_VALUE"""),3880.0)</f>
        <v>3880</v>
      </c>
      <c r="K1137" s="4">
        <f>IFERROR(__xludf.DUMMYFUNCTION("""COMPUTED_VALUE"""),635.0)</f>
        <v>635</v>
      </c>
      <c r="L1137" s="4">
        <f>IFERROR(__xludf.DUMMYFUNCTION("""COMPUTED_VALUE"""),0.496)</f>
        <v>0.496</v>
      </c>
      <c r="M1137" s="4">
        <f>IFERROR(__xludf.DUMMYFUNCTION("""COMPUTED_VALUE"""),0.143)</f>
        <v>0.143</v>
      </c>
      <c r="N1137" s="4">
        <f>IFERROR(__xludf.DUMMYFUNCTION("""COMPUTED_VALUE"""),0.657)</f>
        <v>0.657</v>
      </c>
      <c r="O1137" s="4">
        <f>IFERROR(__xludf.DUMMYFUNCTION("""COMPUTED_VALUE"""),25.2)</f>
        <v>25.2</v>
      </c>
      <c r="P1137" s="4">
        <f>IFERROR(__xludf.DUMMYFUNCTION("""COMPUTED_VALUE"""),8.9)</f>
        <v>8.9</v>
      </c>
      <c r="Q1137" s="4">
        <f>IFERROR(__xludf.DUMMYFUNCTION("""COMPUTED_VALUE"""),6.6)</f>
        <v>6.6</v>
      </c>
      <c r="R1137" s="4">
        <f>IFERROR(__xludf.DUMMYFUNCTION("""COMPUTED_VALUE"""),1.1)</f>
        <v>1.1</v>
      </c>
      <c r="S1137" s="4">
        <f>IFERROR(__xludf.DUMMYFUNCTION("""COMPUTED_VALUE"""),23.8)</f>
        <v>23.8</v>
      </c>
      <c r="T1137" s="4">
        <f>IFERROR(__xludf.DUMMYFUNCTION("""COMPUTED_VALUE"""),0.077)</f>
        <v>0.077</v>
      </c>
      <c r="U1137" s="4">
        <f>IFERROR(__xludf.DUMMYFUNCTION("""COMPUTED_VALUE"""),-2.6)</f>
        <v>-2.6</v>
      </c>
      <c r="V1137" s="4">
        <f>IFERROR(__xludf.DUMMYFUNCTION("""COMPUTED_VALUE"""),-2.4)</f>
        <v>-2.4</v>
      </c>
    </row>
    <row r="1138">
      <c r="A1138" s="4">
        <f>IFERROR(__xludf.DUMMYFUNCTION("""COMPUTED_VALUE"""),13.0)</f>
        <v>13</v>
      </c>
      <c r="B1138" s="4">
        <f>IFERROR(__xludf.DUMMYFUNCTION("""COMPUTED_VALUE"""),13.0)</f>
        <v>13</v>
      </c>
      <c r="C1138" s="4" t="str">
        <f>IFERROR(__xludf.DUMMYFUNCTION("""COMPUTED_VALUE"""),"POR")</f>
        <v>POR</v>
      </c>
      <c r="D1138" s="4" t="str">
        <f>IFERROR(__xludf.DUMMYFUNCTION("""COMPUTED_VALUE"""),"Brandon Rush")</f>
        <v>Brandon Rush</v>
      </c>
      <c r="E1138" s="4" t="str">
        <f>IFERROR(__xludf.DUMMYFUNCTION("""COMPUTED_VALUE"""),"Kansas")</f>
        <v>Kansas</v>
      </c>
      <c r="F1138" s="4">
        <f>IFERROR(__xludf.DUMMYFUNCTION("""COMPUTED_VALUE"""),9.0)</f>
        <v>9</v>
      </c>
      <c r="G1138" s="4">
        <f>IFERROR(__xludf.DUMMYFUNCTION("""COMPUTED_VALUE"""),481.0)</f>
        <v>481</v>
      </c>
      <c r="H1138" s="4">
        <f>IFERROR(__xludf.DUMMYFUNCTION("""COMPUTED_VALUE"""),10564.0)</f>
        <v>10564</v>
      </c>
      <c r="I1138" s="4">
        <f>IFERROR(__xludf.DUMMYFUNCTION("""COMPUTED_VALUE"""),3250.0)</f>
        <v>3250</v>
      </c>
      <c r="J1138" s="4">
        <f>IFERROR(__xludf.DUMMYFUNCTION("""COMPUTED_VALUE"""),1413.0)</f>
        <v>1413</v>
      </c>
      <c r="K1138" s="4">
        <f>IFERROR(__xludf.DUMMYFUNCTION("""COMPUTED_VALUE"""),468.0)</f>
        <v>468</v>
      </c>
      <c r="L1138" s="4">
        <f>IFERROR(__xludf.DUMMYFUNCTION("""COMPUTED_VALUE"""),0.426)</f>
        <v>0.426</v>
      </c>
      <c r="M1138" s="4">
        <f>IFERROR(__xludf.DUMMYFUNCTION("""COMPUTED_VALUE"""),0.402)</f>
        <v>0.402</v>
      </c>
      <c r="N1138" s="4">
        <f>IFERROR(__xludf.DUMMYFUNCTION("""COMPUTED_VALUE"""),0.706)</f>
        <v>0.706</v>
      </c>
      <c r="O1138" s="4">
        <f>IFERROR(__xludf.DUMMYFUNCTION("""COMPUTED_VALUE"""),22.0)</f>
        <v>22</v>
      </c>
      <c r="P1138" s="4">
        <f>IFERROR(__xludf.DUMMYFUNCTION("""COMPUTED_VALUE"""),6.8)</f>
        <v>6.8</v>
      </c>
      <c r="Q1138" s="4">
        <f>IFERROR(__xludf.DUMMYFUNCTION("""COMPUTED_VALUE"""),2.9)</f>
        <v>2.9</v>
      </c>
      <c r="R1138" s="4">
        <f>IFERROR(__xludf.DUMMYFUNCTION("""COMPUTED_VALUE"""),1.0)</f>
        <v>1</v>
      </c>
      <c r="S1138" s="4">
        <f>IFERROR(__xludf.DUMMYFUNCTION("""COMPUTED_VALUE"""),11.2)</f>
        <v>11.2</v>
      </c>
      <c r="T1138" s="4">
        <f>IFERROR(__xludf.DUMMYFUNCTION("""COMPUTED_VALUE"""),0.051)</f>
        <v>0.051</v>
      </c>
      <c r="U1138" s="4">
        <f>IFERROR(__xludf.DUMMYFUNCTION("""COMPUTED_VALUE"""),-1.4)</f>
        <v>-1.4</v>
      </c>
      <c r="V1138" s="4">
        <f>IFERROR(__xludf.DUMMYFUNCTION("""COMPUTED_VALUE"""),1.6)</f>
        <v>1.6</v>
      </c>
    </row>
    <row r="1139">
      <c r="A1139" s="4">
        <f>IFERROR(__xludf.DUMMYFUNCTION("""COMPUTED_VALUE"""),14.0)</f>
        <v>14</v>
      </c>
      <c r="B1139" s="4">
        <f>IFERROR(__xludf.DUMMYFUNCTION("""COMPUTED_VALUE"""),14.0)</f>
        <v>14</v>
      </c>
      <c r="C1139" s="4" t="str">
        <f>IFERROR(__xludf.DUMMYFUNCTION("""COMPUTED_VALUE"""),"GSW")</f>
        <v>GSW</v>
      </c>
      <c r="D1139" s="4" t="str">
        <f>IFERROR(__xludf.DUMMYFUNCTION("""COMPUTED_VALUE"""),"Anthony Randolph")</f>
        <v>Anthony Randolph</v>
      </c>
      <c r="E1139" s="4" t="str">
        <f>IFERROR(__xludf.DUMMYFUNCTION("""COMPUTED_VALUE"""),"LSU")</f>
        <v>LSU</v>
      </c>
      <c r="F1139" s="4">
        <f>IFERROR(__xludf.DUMMYFUNCTION("""COMPUTED_VALUE"""),6.0)</f>
        <v>6</v>
      </c>
      <c r="G1139" s="4">
        <f>IFERROR(__xludf.DUMMYFUNCTION("""COMPUTED_VALUE"""),252.0)</f>
        <v>252</v>
      </c>
      <c r="H1139" s="4">
        <f>IFERROR(__xludf.DUMMYFUNCTION("""COMPUTED_VALUE"""),3841.0)</f>
        <v>3841</v>
      </c>
      <c r="I1139" s="4">
        <f>IFERROR(__xludf.DUMMYFUNCTION("""COMPUTED_VALUE"""),1789.0)</f>
        <v>1789</v>
      </c>
      <c r="J1139" s="4">
        <f>IFERROR(__xludf.DUMMYFUNCTION("""COMPUTED_VALUE"""),1078.0)</f>
        <v>1078</v>
      </c>
      <c r="K1139" s="4">
        <f>IFERROR(__xludf.DUMMYFUNCTION("""COMPUTED_VALUE"""),187.0)</f>
        <v>187</v>
      </c>
      <c r="L1139" s="4">
        <f>IFERROR(__xludf.DUMMYFUNCTION("""COMPUTED_VALUE"""),0.453)</f>
        <v>0.453</v>
      </c>
      <c r="M1139" s="4">
        <f>IFERROR(__xludf.DUMMYFUNCTION("""COMPUTED_VALUE"""),0.241)</f>
        <v>0.241</v>
      </c>
      <c r="N1139" s="4">
        <f>IFERROR(__xludf.DUMMYFUNCTION("""COMPUTED_VALUE"""),0.74)</f>
        <v>0.74</v>
      </c>
      <c r="O1139" s="4">
        <f>IFERROR(__xludf.DUMMYFUNCTION("""COMPUTED_VALUE"""),15.2)</f>
        <v>15.2</v>
      </c>
      <c r="P1139" s="4">
        <f>IFERROR(__xludf.DUMMYFUNCTION("""COMPUTED_VALUE"""),7.1)</f>
        <v>7.1</v>
      </c>
      <c r="Q1139" s="4">
        <f>IFERROR(__xludf.DUMMYFUNCTION("""COMPUTED_VALUE"""),4.3)</f>
        <v>4.3</v>
      </c>
      <c r="R1139" s="4">
        <f>IFERROR(__xludf.DUMMYFUNCTION("""COMPUTED_VALUE"""),0.7)</f>
        <v>0.7</v>
      </c>
      <c r="S1139" s="4">
        <f>IFERROR(__xludf.DUMMYFUNCTION("""COMPUTED_VALUE"""),5.8)</f>
        <v>5.8</v>
      </c>
      <c r="T1139" s="4">
        <f>IFERROR(__xludf.DUMMYFUNCTION("""COMPUTED_VALUE"""),0.072)</f>
        <v>0.072</v>
      </c>
      <c r="U1139" s="4">
        <f>IFERROR(__xludf.DUMMYFUNCTION("""COMPUTED_VALUE"""),-1.6)</f>
        <v>-1.6</v>
      </c>
      <c r="V1139" s="4">
        <f>IFERROR(__xludf.DUMMYFUNCTION("""COMPUTED_VALUE"""),0.4)</f>
        <v>0.4</v>
      </c>
    </row>
    <row r="1140">
      <c r="A1140" s="4">
        <f>IFERROR(__xludf.DUMMYFUNCTION("""COMPUTED_VALUE"""),15.0)</f>
        <v>15</v>
      </c>
      <c r="B1140" s="4">
        <f>IFERROR(__xludf.DUMMYFUNCTION("""COMPUTED_VALUE"""),15.0)</f>
        <v>15</v>
      </c>
      <c r="C1140" s="4" t="str">
        <f>IFERROR(__xludf.DUMMYFUNCTION("""COMPUTED_VALUE"""),"PHO")</f>
        <v>PHO</v>
      </c>
      <c r="D1140" s="4" t="str">
        <f>IFERROR(__xludf.DUMMYFUNCTION("""COMPUTED_VALUE"""),"Robin Lopez")</f>
        <v>Robin Lopez</v>
      </c>
      <c r="E1140" s="4" t="str">
        <f>IFERROR(__xludf.DUMMYFUNCTION("""COMPUTED_VALUE"""),"Stanford")</f>
        <v>Stanford</v>
      </c>
      <c r="F1140" s="4">
        <f>IFERROR(__xludf.DUMMYFUNCTION("""COMPUTED_VALUE"""),16.0)</f>
        <v>16</v>
      </c>
      <c r="G1140" s="4">
        <f>IFERROR(__xludf.DUMMYFUNCTION("""COMPUTED_VALUE"""),992.0)</f>
        <v>992</v>
      </c>
      <c r="H1140" s="4">
        <f>IFERROR(__xludf.DUMMYFUNCTION("""COMPUTED_VALUE"""),20937.0)</f>
        <v>20937</v>
      </c>
      <c r="I1140" s="4">
        <f>IFERROR(__xludf.DUMMYFUNCTION("""COMPUTED_VALUE"""),8326.0)</f>
        <v>8326</v>
      </c>
      <c r="J1140" s="4">
        <f>IFERROR(__xludf.DUMMYFUNCTION("""COMPUTED_VALUE"""),4660.0)</f>
        <v>4660</v>
      </c>
      <c r="K1140" s="4">
        <f>IFERROR(__xludf.DUMMYFUNCTION("""COMPUTED_VALUE"""),819.0)</f>
        <v>819</v>
      </c>
      <c r="L1140" s="4">
        <f>IFERROR(__xludf.DUMMYFUNCTION("""COMPUTED_VALUE"""),0.537)</f>
        <v>0.537</v>
      </c>
      <c r="M1140" s="4">
        <f>IFERROR(__xludf.DUMMYFUNCTION("""COMPUTED_VALUE"""),0.297)</f>
        <v>0.297</v>
      </c>
      <c r="N1140" s="4">
        <f>IFERROR(__xludf.DUMMYFUNCTION("""COMPUTED_VALUE"""),0.743)</f>
        <v>0.743</v>
      </c>
      <c r="O1140" s="4">
        <f>IFERROR(__xludf.DUMMYFUNCTION("""COMPUTED_VALUE"""),21.1)</f>
        <v>21.1</v>
      </c>
      <c r="P1140" s="4">
        <f>IFERROR(__xludf.DUMMYFUNCTION("""COMPUTED_VALUE"""),8.4)</f>
        <v>8.4</v>
      </c>
      <c r="Q1140" s="4">
        <f>IFERROR(__xludf.DUMMYFUNCTION("""COMPUTED_VALUE"""),4.7)</f>
        <v>4.7</v>
      </c>
      <c r="R1140" s="4">
        <f>IFERROR(__xludf.DUMMYFUNCTION("""COMPUTED_VALUE"""),0.8)</f>
        <v>0.8</v>
      </c>
      <c r="S1140" s="4">
        <f>IFERROR(__xludf.DUMMYFUNCTION("""COMPUTED_VALUE"""),49.6)</f>
        <v>49.6</v>
      </c>
      <c r="T1140" s="4">
        <f>IFERROR(__xludf.DUMMYFUNCTION("""COMPUTED_VALUE"""),0.114)</f>
        <v>0.114</v>
      </c>
      <c r="U1140" s="4">
        <f>IFERROR(__xludf.DUMMYFUNCTION("""COMPUTED_VALUE"""),-1.1)</f>
        <v>-1.1</v>
      </c>
      <c r="V1140" s="4">
        <f>IFERROR(__xludf.DUMMYFUNCTION("""COMPUTED_VALUE"""),4.6)</f>
        <v>4.6</v>
      </c>
    </row>
    <row r="1141">
      <c r="A1141" s="4">
        <f>IFERROR(__xludf.DUMMYFUNCTION("""COMPUTED_VALUE"""),16.0)</f>
        <v>16</v>
      </c>
      <c r="B1141" s="4">
        <f>IFERROR(__xludf.DUMMYFUNCTION("""COMPUTED_VALUE"""),16.0)</f>
        <v>16</v>
      </c>
      <c r="C1141" s="4" t="str">
        <f>IFERROR(__xludf.DUMMYFUNCTION("""COMPUTED_VALUE"""),"PHI")</f>
        <v>PHI</v>
      </c>
      <c r="D1141" s="4" t="str">
        <f>IFERROR(__xludf.DUMMYFUNCTION("""COMPUTED_VALUE"""),"Marreese Speights")</f>
        <v>Marreese Speights</v>
      </c>
      <c r="E1141" s="4" t="str">
        <f>IFERROR(__xludf.DUMMYFUNCTION("""COMPUTED_VALUE"""),"Florida")</f>
        <v>Florida</v>
      </c>
      <c r="F1141" s="4">
        <f>IFERROR(__xludf.DUMMYFUNCTION("""COMPUTED_VALUE"""),10.0)</f>
        <v>10</v>
      </c>
      <c r="G1141" s="4">
        <f>IFERROR(__xludf.DUMMYFUNCTION("""COMPUTED_VALUE"""),705.0)</f>
        <v>705</v>
      </c>
      <c r="H1141" s="4">
        <f>IFERROR(__xludf.DUMMYFUNCTION("""COMPUTED_VALUE"""),10640.0)</f>
        <v>10640</v>
      </c>
      <c r="I1141" s="4">
        <f>IFERROR(__xludf.DUMMYFUNCTION("""COMPUTED_VALUE"""),5592.0)</f>
        <v>5592</v>
      </c>
      <c r="J1141" s="4">
        <f>IFERROR(__xludf.DUMMYFUNCTION("""COMPUTED_VALUE"""),2875.0)</f>
        <v>2875</v>
      </c>
      <c r="K1141" s="4">
        <f>IFERROR(__xludf.DUMMYFUNCTION("""COMPUTED_VALUE"""),461.0)</f>
        <v>461</v>
      </c>
      <c r="L1141" s="4">
        <f>IFERROR(__xludf.DUMMYFUNCTION("""COMPUTED_VALUE"""),0.459)</f>
        <v>0.459</v>
      </c>
      <c r="M1141" s="4">
        <f>IFERROR(__xludf.DUMMYFUNCTION("""COMPUTED_VALUE"""),0.356)</f>
        <v>0.356</v>
      </c>
      <c r="N1141" s="4">
        <f>IFERROR(__xludf.DUMMYFUNCTION("""COMPUTED_VALUE"""),0.797)</f>
        <v>0.797</v>
      </c>
      <c r="O1141" s="4">
        <f>IFERROR(__xludf.DUMMYFUNCTION("""COMPUTED_VALUE"""),15.1)</f>
        <v>15.1</v>
      </c>
      <c r="P1141" s="4">
        <f>IFERROR(__xludf.DUMMYFUNCTION("""COMPUTED_VALUE"""),7.9)</f>
        <v>7.9</v>
      </c>
      <c r="Q1141" s="4">
        <f>IFERROR(__xludf.DUMMYFUNCTION("""COMPUTED_VALUE"""),4.1)</f>
        <v>4.1</v>
      </c>
      <c r="R1141" s="4">
        <f>IFERROR(__xludf.DUMMYFUNCTION("""COMPUTED_VALUE"""),0.7)</f>
        <v>0.7</v>
      </c>
      <c r="S1141" s="4">
        <f>IFERROR(__xludf.DUMMYFUNCTION("""COMPUTED_VALUE"""),25.8)</f>
        <v>25.8</v>
      </c>
      <c r="T1141" s="4">
        <f>IFERROR(__xludf.DUMMYFUNCTION("""COMPUTED_VALUE"""),0.116)</f>
        <v>0.116</v>
      </c>
      <c r="U1141" s="4">
        <f>IFERROR(__xludf.DUMMYFUNCTION("""COMPUTED_VALUE"""),-2.2)</f>
        <v>-2.2</v>
      </c>
      <c r="V1141" s="4">
        <f>IFERROR(__xludf.DUMMYFUNCTION("""COMPUTED_VALUE"""),-0.6)</f>
        <v>-0.6</v>
      </c>
    </row>
    <row r="1142">
      <c r="A1142" s="4">
        <f>IFERROR(__xludf.DUMMYFUNCTION("""COMPUTED_VALUE"""),17.0)</f>
        <v>17</v>
      </c>
      <c r="B1142" s="4">
        <f>IFERROR(__xludf.DUMMYFUNCTION("""COMPUTED_VALUE"""),17.0)</f>
        <v>17</v>
      </c>
      <c r="C1142" s="4" t="str">
        <f>IFERROR(__xludf.DUMMYFUNCTION("""COMPUTED_VALUE"""),"TOR")</f>
        <v>TOR</v>
      </c>
      <c r="D1142" s="4" t="str">
        <f>IFERROR(__xludf.DUMMYFUNCTION("""COMPUTED_VALUE"""),"Roy Hibbert")</f>
        <v>Roy Hibbert</v>
      </c>
      <c r="E1142" s="4" t="str">
        <f>IFERROR(__xludf.DUMMYFUNCTION("""COMPUTED_VALUE"""),"Georgetown")</f>
        <v>Georgetown</v>
      </c>
      <c r="F1142" s="4">
        <f>IFERROR(__xludf.DUMMYFUNCTION("""COMPUTED_VALUE"""),9.0)</f>
        <v>9</v>
      </c>
      <c r="G1142" s="4">
        <f>IFERROR(__xludf.DUMMYFUNCTION("""COMPUTED_VALUE"""),662.0)</f>
        <v>662</v>
      </c>
      <c r="H1142" s="4">
        <f>IFERROR(__xludf.DUMMYFUNCTION("""COMPUTED_VALUE"""),16389.0)</f>
        <v>16389</v>
      </c>
      <c r="I1142" s="4">
        <f>IFERROR(__xludf.DUMMYFUNCTION("""COMPUTED_VALUE"""),6611.0)</f>
        <v>6611</v>
      </c>
      <c r="J1142" s="4">
        <f>IFERROR(__xludf.DUMMYFUNCTION("""COMPUTED_VALUE"""),4173.0)</f>
        <v>4173</v>
      </c>
      <c r="K1142" s="4">
        <f>IFERROR(__xludf.DUMMYFUNCTION("""COMPUTED_VALUE"""),885.0)</f>
        <v>885</v>
      </c>
      <c r="L1142" s="4">
        <f>IFERROR(__xludf.DUMMYFUNCTION("""COMPUTED_VALUE"""),0.465)</f>
        <v>0.465</v>
      </c>
      <c r="M1142" s="4">
        <f>IFERROR(__xludf.DUMMYFUNCTION("""COMPUTED_VALUE"""),0.25)</f>
        <v>0.25</v>
      </c>
      <c r="N1142" s="4">
        <f>IFERROR(__xludf.DUMMYFUNCTION("""COMPUTED_VALUE"""),0.755)</f>
        <v>0.755</v>
      </c>
      <c r="O1142" s="4">
        <f>IFERROR(__xludf.DUMMYFUNCTION("""COMPUTED_VALUE"""),24.8)</f>
        <v>24.8</v>
      </c>
      <c r="P1142" s="4">
        <f>IFERROR(__xludf.DUMMYFUNCTION("""COMPUTED_VALUE"""),10.0)</f>
        <v>10</v>
      </c>
      <c r="Q1142" s="4">
        <f>IFERROR(__xludf.DUMMYFUNCTION("""COMPUTED_VALUE"""),6.3)</f>
        <v>6.3</v>
      </c>
      <c r="R1142" s="4">
        <f>IFERROR(__xludf.DUMMYFUNCTION("""COMPUTED_VALUE"""),1.3)</f>
        <v>1.3</v>
      </c>
      <c r="S1142" s="4">
        <f>IFERROR(__xludf.DUMMYFUNCTION("""COMPUTED_VALUE"""),35.9)</f>
        <v>35.9</v>
      </c>
      <c r="T1142" s="4">
        <f>IFERROR(__xludf.DUMMYFUNCTION("""COMPUTED_VALUE"""),0.105)</f>
        <v>0.105</v>
      </c>
      <c r="U1142" s="4">
        <f>IFERROR(__xludf.DUMMYFUNCTION("""COMPUTED_VALUE"""),-1.1)</f>
        <v>-1.1</v>
      </c>
      <c r="V1142" s="4">
        <f>IFERROR(__xludf.DUMMYFUNCTION("""COMPUTED_VALUE"""),3.5)</f>
        <v>3.5</v>
      </c>
    </row>
    <row r="1143">
      <c r="A1143" s="4">
        <f>IFERROR(__xludf.DUMMYFUNCTION("""COMPUTED_VALUE"""),18.0)</f>
        <v>18</v>
      </c>
      <c r="B1143" s="4">
        <f>IFERROR(__xludf.DUMMYFUNCTION("""COMPUTED_VALUE"""),18.0)</f>
        <v>18</v>
      </c>
      <c r="C1143" s="4" t="str">
        <f>IFERROR(__xludf.DUMMYFUNCTION("""COMPUTED_VALUE"""),"WAS")</f>
        <v>WAS</v>
      </c>
      <c r="D1143" s="4" t="str">
        <f>IFERROR(__xludf.DUMMYFUNCTION("""COMPUTED_VALUE"""),"JaVale McGee")</f>
        <v>JaVale McGee</v>
      </c>
      <c r="E1143" s="4" t="str">
        <f>IFERROR(__xludf.DUMMYFUNCTION("""COMPUTED_VALUE"""),"Nevada")</f>
        <v>Nevada</v>
      </c>
      <c r="F1143" s="4">
        <f>IFERROR(__xludf.DUMMYFUNCTION("""COMPUTED_VALUE"""),16.0)</f>
        <v>16</v>
      </c>
      <c r="G1143" s="4">
        <f>IFERROR(__xludf.DUMMYFUNCTION("""COMPUTED_VALUE"""),909.0)</f>
        <v>909</v>
      </c>
      <c r="H1143" s="4">
        <f>IFERROR(__xludf.DUMMYFUNCTION("""COMPUTED_VALUE"""),14676.0)</f>
        <v>14676</v>
      </c>
      <c r="I1143" s="4">
        <f>IFERROR(__xludf.DUMMYFUNCTION("""COMPUTED_VALUE"""),6907.0)</f>
        <v>6907</v>
      </c>
      <c r="J1143" s="4">
        <f>IFERROR(__xludf.DUMMYFUNCTION("""COMPUTED_VALUE"""),4577.0)</f>
        <v>4577</v>
      </c>
      <c r="K1143" s="4">
        <f>IFERROR(__xludf.DUMMYFUNCTION("""COMPUTED_VALUE"""),386.0)</f>
        <v>386</v>
      </c>
      <c r="L1143" s="4">
        <f>IFERROR(__xludf.DUMMYFUNCTION("""COMPUTED_VALUE"""),0.578)</f>
        <v>0.578</v>
      </c>
      <c r="M1143" s="4">
        <f>IFERROR(__xludf.DUMMYFUNCTION("""COMPUTED_VALUE"""),0.192)</f>
        <v>0.192</v>
      </c>
      <c r="N1143" s="4">
        <f>IFERROR(__xludf.DUMMYFUNCTION("""COMPUTED_VALUE"""),0.604)</f>
        <v>0.604</v>
      </c>
      <c r="O1143" s="4">
        <f>IFERROR(__xludf.DUMMYFUNCTION("""COMPUTED_VALUE"""),16.1)</f>
        <v>16.1</v>
      </c>
      <c r="P1143" s="4">
        <f>IFERROR(__xludf.DUMMYFUNCTION("""COMPUTED_VALUE"""),7.6)</f>
        <v>7.6</v>
      </c>
      <c r="Q1143" s="4">
        <f>IFERROR(__xludf.DUMMYFUNCTION("""COMPUTED_VALUE"""),5.0)</f>
        <v>5</v>
      </c>
      <c r="R1143" s="4">
        <f>IFERROR(__xludf.DUMMYFUNCTION("""COMPUTED_VALUE"""),0.4)</f>
        <v>0.4</v>
      </c>
      <c r="S1143" s="4">
        <f>IFERROR(__xludf.DUMMYFUNCTION("""COMPUTED_VALUE"""),43.7)</f>
        <v>43.7</v>
      </c>
      <c r="T1143" s="4">
        <f>IFERROR(__xludf.DUMMYFUNCTION("""COMPUTED_VALUE"""),0.143)</f>
        <v>0.143</v>
      </c>
      <c r="U1143" s="4">
        <f>IFERROR(__xludf.DUMMYFUNCTION("""COMPUTED_VALUE"""),0.0)</f>
        <v>0</v>
      </c>
      <c r="V1143" s="4">
        <f>IFERROR(__xludf.DUMMYFUNCTION("""COMPUTED_VALUE"""),7.3)</f>
        <v>7.3</v>
      </c>
    </row>
    <row r="1144">
      <c r="A1144" s="4">
        <f>IFERROR(__xludf.DUMMYFUNCTION("""COMPUTED_VALUE"""),19.0)</f>
        <v>19</v>
      </c>
      <c r="B1144" s="4">
        <f>IFERROR(__xludf.DUMMYFUNCTION("""COMPUTED_VALUE"""),19.0)</f>
        <v>19</v>
      </c>
      <c r="C1144" s="4" t="str">
        <f>IFERROR(__xludf.DUMMYFUNCTION("""COMPUTED_VALUE"""),"CLE")</f>
        <v>CLE</v>
      </c>
      <c r="D1144" s="4" t="str">
        <f>IFERROR(__xludf.DUMMYFUNCTION("""COMPUTED_VALUE"""),"J.J. Hickson")</f>
        <v>J.J. Hickson</v>
      </c>
      <c r="E1144" s="4" t="str">
        <f>IFERROR(__xludf.DUMMYFUNCTION("""COMPUTED_VALUE"""),"NC State")</f>
        <v>NC State</v>
      </c>
      <c r="F1144" s="4">
        <f>IFERROR(__xludf.DUMMYFUNCTION("""COMPUTED_VALUE"""),8.0)</f>
        <v>8</v>
      </c>
      <c r="G1144" s="4">
        <f>IFERROR(__xludf.DUMMYFUNCTION("""COMPUTED_VALUE"""),534.0)</f>
        <v>534</v>
      </c>
      <c r="H1144" s="4">
        <f>IFERROR(__xludf.DUMMYFUNCTION("""COMPUTED_VALUE"""),11925.0)</f>
        <v>11925</v>
      </c>
      <c r="I1144" s="4">
        <f>IFERROR(__xludf.DUMMYFUNCTION("""COMPUTED_VALUE"""),5081.0)</f>
        <v>5081</v>
      </c>
      <c r="J1144" s="4">
        <f>IFERROR(__xludf.DUMMYFUNCTION("""COMPUTED_VALUE"""),3639.0)</f>
        <v>3639</v>
      </c>
      <c r="K1144" s="4">
        <f>IFERROR(__xludf.DUMMYFUNCTION("""COMPUTED_VALUE"""),449.0)</f>
        <v>449</v>
      </c>
      <c r="L1144" s="4">
        <f>IFERROR(__xludf.DUMMYFUNCTION("""COMPUTED_VALUE"""),0.505)</f>
        <v>0.505</v>
      </c>
      <c r="M1144" s="4">
        <f>IFERROR(__xludf.DUMMYFUNCTION("""COMPUTED_VALUE"""),0.0)</f>
        <v>0</v>
      </c>
      <c r="N1144" s="4">
        <f>IFERROR(__xludf.DUMMYFUNCTION("""COMPUTED_VALUE"""),0.617)</f>
        <v>0.617</v>
      </c>
      <c r="O1144" s="4">
        <f>IFERROR(__xludf.DUMMYFUNCTION("""COMPUTED_VALUE"""),22.3)</f>
        <v>22.3</v>
      </c>
      <c r="P1144" s="4">
        <f>IFERROR(__xludf.DUMMYFUNCTION("""COMPUTED_VALUE"""),9.5)</f>
        <v>9.5</v>
      </c>
      <c r="Q1144" s="4">
        <f>IFERROR(__xludf.DUMMYFUNCTION("""COMPUTED_VALUE"""),6.8)</f>
        <v>6.8</v>
      </c>
      <c r="R1144" s="4">
        <f>IFERROR(__xludf.DUMMYFUNCTION("""COMPUTED_VALUE"""),0.8)</f>
        <v>0.8</v>
      </c>
      <c r="S1144" s="4">
        <f>IFERROR(__xludf.DUMMYFUNCTION("""COMPUTED_VALUE"""),21.9)</f>
        <v>21.9</v>
      </c>
      <c r="T1144" s="4">
        <f>IFERROR(__xludf.DUMMYFUNCTION("""COMPUTED_VALUE"""),0.088)</f>
        <v>0.088</v>
      </c>
      <c r="U1144" s="4">
        <f>IFERROR(__xludf.DUMMYFUNCTION("""COMPUTED_VALUE"""),-1.8)</f>
        <v>-1.8</v>
      </c>
      <c r="V1144" s="4">
        <f>IFERROR(__xludf.DUMMYFUNCTION("""COMPUTED_VALUE"""),0.5)</f>
        <v>0.5</v>
      </c>
    </row>
    <row r="1145">
      <c r="A1145" s="4">
        <f>IFERROR(__xludf.DUMMYFUNCTION("""COMPUTED_VALUE"""),20.0)</f>
        <v>20</v>
      </c>
      <c r="B1145" s="4">
        <f>IFERROR(__xludf.DUMMYFUNCTION("""COMPUTED_VALUE"""),20.0)</f>
        <v>20</v>
      </c>
      <c r="C1145" s="4" t="str">
        <f>IFERROR(__xludf.DUMMYFUNCTION("""COMPUTED_VALUE"""),"CHA")</f>
        <v>CHA</v>
      </c>
      <c r="D1145" s="4" t="str">
        <f>IFERROR(__xludf.DUMMYFUNCTION("""COMPUTED_VALUE"""),"Alexis Ajinça")</f>
        <v>Alexis Ajinça</v>
      </c>
      <c r="E1145" s="4"/>
      <c r="F1145" s="4">
        <f>IFERROR(__xludf.DUMMYFUNCTION("""COMPUTED_VALUE"""),7.0)</f>
        <v>7</v>
      </c>
      <c r="G1145" s="4">
        <f>IFERROR(__xludf.DUMMYFUNCTION("""COMPUTED_VALUE"""),293.0)</f>
        <v>293</v>
      </c>
      <c r="H1145" s="4">
        <f>IFERROR(__xludf.DUMMYFUNCTION("""COMPUTED_VALUE"""),3905.0)</f>
        <v>3905</v>
      </c>
      <c r="I1145" s="4">
        <f>IFERROR(__xludf.DUMMYFUNCTION("""COMPUTED_VALUE"""),1553.0)</f>
        <v>1553</v>
      </c>
      <c r="J1145" s="4">
        <f>IFERROR(__xludf.DUMMYFUNCTION("""COMPUTED_VALUE"""),1150.0)</f>
        <v>1150</v>
      </c>
      <c r="K1145" s="4">
        <f>IFERROR(__xludf.DUMMYFUNCTION("""COMPUTED_VALUE"""),143.0)</f>
        <v>143</v>
      </c>
      <c r="L1145" s="4">
        <f>IFERROR(__xludf.DUMMYFUNCTION("""COMPUTED_VALUE"""),0.503)</f>
        <v>0.503</v>
      </c>
      <c r="M1145" s="4">
        <f>IFERROR(__xludf.DUMMYFUNCTION("""COMPUTED_VALUE"""),0.286)</f>
        <v>0.286</v>
      </c>
      <c r="N1145" s="4">
        <f>IFERROR(__xludf.DUMMYFUNCTION("""COMPUTED_VALUE"""),0.797)</f>
        <v>0.797</v>
      </c>
      <c r="O1145" s="4">
        <f>IFERROR(__xludf.DUMMYFUNCTION("""COMPUTED_VALUE"""),13.3)</f>
        <v>13.3</v>
      </c>
      <c r="P1145" s="4">
        <f>IFERROR(__xludf.DUMMYFUNCTION("""COMPUTED_VALUE"""),5.3)</f>
        <v>5.3</v>
      </c>
      <c r="Q1145" s="4">
        <f>IFERROR(__xludf.DUMMYFUNCTION("""COMPUTED_VALUE"""),3.9)</f>
        <v>3.9</v>
      </c>
      <c r="R1145" s="4">
        <f>IFERROR(__xludf.DUMMYFUNCTION("""COMPUTED_VALUE"""),0.5)</f>
        <v>0.5</v>
      </c>
      <c r="S1145" s="4">
        <f>IFERROR(__xludf.DUMMYFUNCTION("""COMPUTED_VALUE"""),7.5)</f>
        <v>7.5</v>
      </c>
      <c r="T1145" s="4">
        <f>IFERROR(__xludf.DUMMYFUNCTION("""COMPUTED_VALUE"""),0.093)</f>
        <v>0.093</v>
      </c>
      <c r="U1145" s="4">
        <f>IFERROR(__xludf.DUMMYFUNCTION("""COMPUTED_VALUE"""),-2.8)</f>
        <v>-2.8</v>
      </c>
      <c r="V1145" s="4">
        <f>IFERROR(__xludf.DUMMYFUNCTION("""COMPUTED_VALUE"""),-0.8)</f>
        <v>-0.8</v>
      </c>
    </row>
    <row r="1146">
      <c r="A1146" s="4">
        <f>IFERROR(__xludf.DUMMYFUNCTION("""COMPUTED_VALUE"""),21.0)</f>
        <v>21</v>
      </c>
      <c r="B1146" s="4">
        <f>IFERROR(__xludf.DUMMYFUNCTION("""COMPUTED_VALUE"""),21.0)</f>
        <v>21</v>
      </c>
      <c r="C1146" s="4" t="str">
        <f>IFERROR(__xludf.DUMMYFUNCTION("""COMPUTED_VALUE"""),"NJN")</f>
        <v>NJN</v>
      </c>
      <c r="D1146" s="4" t="str">
        <f>IFERROR(__xludf.DUMMYFUNCTION("""COMPUTED_VALUE"""),"Ryan Anderson")</f>
        <v>Ryan Anderson</v>
      </c>
      <c r="E1146" s="4" t="str">
        <f>IFERROR(__xludf.DUMMYFUNCTION("""COMPUTED_VALUE"""),"California")</f>
        <v>California</v>
      </c>
      <c r="F1146" s="4">
        <f>IFERROR(__xludf.DUMMYFUNCTION("""COMPUTED_VALUE"""),12.0)</f>
        <v>12</v>
      </c>
      <c r="G1146" s="4">
        <f>IFERROR(__xludf.DUMMYFUNCTION("""COMPUTED_VALUE"""),649.0)</f>
        <v>649</v>
      </c>
      <c r="H1146" s="4">
        <f>IFERROR(__xludf.DUMMYFUNCTION("""COMPUTED_VALUE"""),16769.0)</f>
        <v>16769</v>
      </c>
      <c r="I1146" s="4">
        <f>IFERROR(__xludf.DUMMYFUNCTION("""COMPUTED_VALUE"""),8001.0)</f>
        <v>8001</v>
      </c>
      <c r="J1146" s="4">
        <f>IFERROR(__xludf.DUMMYFUNCTION("""COMPUTED_VALUE"""),3413.0)</f>
        <v>3413</v>
      </c>
      <c r="K1146" s="4">
        <f>IFERROR(__xludf.DUMMYFUNCTION("""COMPUTED_VALUE"""),586.0)</f>
        <v>586</v>
      </c>
      <c r="L1146" s="4">
        <f>IFERROR(__xludf.DUMMYFUNCTION("""COMPUTED_VALUE"""),0.422)</f>
        <v>0.422</v>
      </c>
      <c r="M1146" s="4">
        <f>IFERROR(__xludf.DUMMYFUNCTION("""COMPUTED_VALUE"""),0.38)</f>
        <v>0.38</v>
      </c>
      <c r="N1146" s="4">
        <f>IFERROR(__xludf.DUMMYFUNCTION("""COMPUTED_VALUE"""),0.854)</f>
        <v>0.854</v>
      </c>
      <c r="O1146" s="4">
        <f>IFERROR(__xludf.DUMMYFUNCTION("""COMPUTED_VALUE"""),25.8)</f>
        <v>25.8</v>
      </c>
      <c r="P1146" s="4">
        <f>IFERROR(__xludf.DUMMYFUNCTION("""COMPUTED_VALUE"""),12.3)</f>
        <v>12.3</v>
      </c>
      <c r="Q1146" s="4">
        <f>IFERROR(__xludf.DUMMYFUNCTION("""COMPUTED_VALUE"""),5.3)</f>
        <v>5.3</v>
      </c>
      <c r="R1146" s="4">
        <f>IFERROR(__xludf.DUMMYFUNCTION("""COMPUTED_VALUE"""),0.9)</f>
        <v>0.9</v>
      </c>
      <c r="S1146" s="4">
        <f>IFERROR(__xludf.DUMMYFUNCTION("""COMPUTED_VALUE"""),46.7)</f>
        <v>46.7</v>
      </c>
      <c r="T1146" s="4">
        <f>IFERROR(__xludf.DUMMYFUNCTION("""COMPUTED_VALUE"""),0.134)</f>
        <v>0.134</v>
      </c>
      <c r="U1146" s="4">
        <f>IFERROR(__xludf.DUMMYFUNCTION("""COMPUTED_VALUE"""),1.0)</f>
        <v>1</v>
      </c>
      <c r="V1146" s="4">
        <f>IFERROR(__xludf.DUMMYFUNCTION("""COMPUTED_VALUE"""),12.8)</f>
        <v>12.8</v>
      </c>
    </row>
    <row r="1147">
      <c r="A1147" s="4">
        <f>IFERROR(__xludf.DUMMYFUNCTION("""COMPUTED_VALUE"""),22.0)</f>
        <v>22</v>
      </c>
      <c r="B1147" s="4">
        <f>IFERROR(__xludf.DUMMYFUNCTION("""COMPUTED_VALUE"""),22.0)</f>
        <v>22</v>
      </c>
      <c r="C1147" s="4" t="str">
        <f>IFERROR(__xludf.DUMMYFUNCTION("""COMPUTED_VALUE"""),"ORL")</f>
        <v>ORL</v>
      </c>
      <c r="D1147" s="4" t="str">
        <f>IFERROR(__xludf.DUMMYFUNCTION("""COMPUTED_VALUE"""),"Courtney Lee")</f>
        <v>Courtney Lee</v>
      </c>
      <c r="E1147" s="4" t="str">
        <f>IFERROR(__xludf.DUMMYFUNCTION("""COMPUTED_VALUE"""),"Western Kentucky")</f>
        <v>Western Kentucky</v>
      </c>
      <c r="F1147" s="4">
        <f>IFERROR(__xludf.DUMMYFUNCTION("""COMPUTED_VALUE"""),12.0)</f>
        <v>12</v>
      </c>
      <c r="G1147" s="4">
        <f>IFERROR(__xludf.DUMMYFUNCTION("""COMPUTED_VALUE"""),811.0)</f>
        <v>811</v>
      </c>
      <c r="H1147" s="4">
        <f>IFERROR(__xludf.DUMMYFUNCTION("""COMPUTED_VALUE"""),21938.0)</f>
        <v>21938</v>
      </c>
      <c r="I1147" s="4">
        <f>IFERROR(__xludf.DUMMYFUNCTION("""COMPUTED_VALUE"""),7765.0)</f>
        <v>7765</v>
      </c>
      <c r="J1147" s="4">
        <f>IFERROR(__xludf.DUMMYFUNCTION("""COMPUTED_VALUE"""),2127.0)</f>
        <v>2127</v>
      </c>
      <c r="K1147" s="4">
        <f>IFERROR(__xludf.DUMMYFUNCTION("""COMPUTED_VALUE"""),1353.0)</f>
        <v>1353</v>
      </c>
      <c r="L1147" s="4">
        <f>IFERROR(__xludf.DUMMYFUNCTION("""COMPUTED_VALUE"""),0.451)</f>
        <v>0.451</v>
      </c>
      <c r="M1147" s="4">
        <f>IFERROR(__xludf.DUMMYFUNCTION("""COMPUTED_VALUE"""),0.388)</f>
        <v>0.388</v>
      </c>
      <c r="N1147" s="4">
        <f>IFERROR(__xludf.DUMMYFUNCTION("""COMPUTED_VALUE"""),0.853)</f>
        <v>0.853</v>
      </c>
      <c r="O1147" s="4">
        <f>IFERROR(__xludf.DUMMYFUNCTION("""COMPUTED_VALUE"""),27.1)</f>
        <v>27.1</v>
      </c>
      <c r="P1147" s="4">
        <f>IFERROR(__xludf.DUMMYFUNCTION("""COMPUTED_VALUE"""),9.6)</f>
        <v>9.6</v>
      </c>
      <c r="Q1147" s="4">
        <f>IFERROR(__xludf.DUMMYFUNCTION("""COMPUTED_VALUE"""),2.6)</f>
        <v>2.6</v>
      </c>
      <c r="R1147" s="4">
        <f>IFERROR(__xludf.DUMMYFUNCTION("""COMPUTED_VALUE"""),1.7)</f>
        <v>1.7</v>
      </c>
      <c r="S1147" s="4">
        <f>IFERROR(__xludf.DUMMYFUNCTION("""COMPUTED_VALUE"""),39.3)</f>
        <v>39.3</v>
      </c>
      <c r="T1147" s="4">
        <f>IFERROR(__xludf.DUMMYFUNCTION("""COMPUTED_VALUE"""),0.086)</f>
        <v>0.086</v>
      </c>
      <c r="U1147" s="4">
        <f>IFERROR(__xludf.DUMMYFUNCTION("""COMPUTED_VALUE"""),-0.6)</f>
        <v>-0.6</v>
      </c>
      <c r="V1147" s="4">
        <f>IFERROR(__xludf.DUMMYFUNCTION("""COMPUTED_VALUE"""),7.9)</f>
        <v>7.9</v>
      </c>
    </row>
    <row r="1148">
      <c r="A1148" s="4">
        <f>IFERROR(__xludf.DUMMYFUNCTION("""COMPUTED_VALUE"""),23.0)</f>
        <v>23</v>
      </c>
      <c r="B1148" s="4">
        <f>IFERROR(__xludf.DUMMYFUNCTION("""COMPUTED_VALUE"""),23.0)</f>
        <v>23</v>
      </c>
      <c r="C1148" s="4" t="str">
        <f>IFERROR(__xludf.DUMMYFUNCTION("""COMPUTED_VALUE"""),"UTA")</f>
        <v>UTA</v>
      </c>
      <c r="D1148" s="4" t="str">
        <f>IFERROR(__xludf.DUMMYFUNCTION("""COMPUTED_VALUE"""),"Kosta Koufos")</f>
        <v>Kosta Koufos</v>
      </c>
      <c r="E1148" s="4" t="str">
        <f>IFERROR(__xludf.DUMMYFUNCTION("""COMPUTED_VALUE"""),"Ohio State")</f>
        <v>Ohio State</v>
      </c>
      <c r="F1148" s="4">
        <f>IFERROR(__xludf.DUMMYFUNCTION("""COMPUTED_VALUE"""),11.0)</f>
        <v>11</v>
      </c>
      <c r="G1148" s="4">
        <f>IFERROR(__xludf.DUMMYFUNCTION("""COMPUTED_VALUE"""),686.0)</f>
        <v>686</v>
      </c>
      <c r="H1148" s="4">
        <f>IFERROR(__xludf.DUMMYFUNCTION("""COMPUTED_VALUE"""),11271.0)</f>
        <v>11271</v>
      </c>
      <c r="I1148" s="4">
        <f>IFERROR(__xludf.DUMMYFUNCTION("""COMPUTED_VALUE"""),3913.0)</f>
        <v>3913</v>
      </c>
      <c r="J1148" s="4">
        <f>IFERROR(__xludf.DUMMYFUNCTION("""COMPUTED_VALUE"""),3452.0)</f>
        <v>3452</v>
      </c>
      <c r="K1148" s="4">
        <f>IFERROR(__xludf.DUMMYFUNCTION("""COMPUTED_VALUE"""),359.0)</f>
        <v>359</v>
      </c>
      <c r="L1148" s="4">
        <f>IFERROR(__xludf.DUMMYFUNCTION("""COMPUTED_VALUE"""),0.534)</f>
        <v>0.534</v>
      </c>
      <c r="M1148" s="4">
        <f>IFERROR(__xludf.DUMMYFUNCTION("""COMPUTED_VALUE"""),0.0)</f>
        <v>0</v>
      </c>
      <c r="N1148" s="4">
        <f>IFERROR(__xludf.DUMMYFUNCTION("""COMPUTED_VALUE"""),0.582)</f>
        <v>0.582</v>
      </c>
      <c r="O1148" s="4">
        <f>IFERROR(__xludf.DUMMYFUNCTION("""COMPUTED_VALUE"""),16.4)</f>
        <v>16.4</v>
      </c>
      <c r="P1148" s="4">
        <f>IFERROR(__xludf.DUMMYFUNCTION("""COMPUTED_VALUE"""),5.7)</f>
        <v>5.7</v>
      </c>
      <c r="Q1148" s="4">
        <f>IFERROR(__xludf.DUMMYFUNCTION("""COMPUTED_VALUE"""),5.0)</f>
        <v>5</v>
      </c>
      <c r="R1148" s="4">
        <f>IFERROR(__xludf.DUMMYFUNCTION("""COMPUTED_VALUE"""),0.5)</f>
        <v>0.5</v>
      </c>
      <c r="S1148" s="4">
        <f>IFERROR(__xludf.DUMMYFUNCTION("""COMPUTED_VALUE"""),28.3)</f>
        <v>28.3</v>
      </c>
      <c r="T1148" s="4">
        <f>IFERROR(__xludf.DUMMYFUNCTION("""COMPUTED_VALUE"""),0.12)</f>
        <v>0.12</v>
      </c>
      <c r="U1148" s="4">
        <f>IFERROR(__xludf.DUMMYFUNCTION("""COMPUTED_VALUE"""),-1.3)</f>
        <v>-1.3</v>
      </c>
      <c r="V1148" s="4">
        <f>IFERROR(__xludf.DUMMYFUNCTION("""COMPUTED_VALUE"""),2.0)</f>
        <v>2</v>
      </c>
    </row>
    <row r="1149">
      <c r="A1149" s="4">
        <f>IFERROR(__xludf.DUMMYFUNCTION("""COMPUTED_VALUE"""),24.0)</f>
        <v>24</v>
      </c>
      <c r="B1149" s="4">
        <f>IFERROR(__xludf.DUMMYFUNCTION("""COMPUTED_VALUE"""),24.0)</f>
        <v>24</v>
      </c>
      <c r="C1149" s="4" t="str">
        <f>IFERROR(__xludf.DUMMYFUNCTION("""COMPUTED_VALUE"""),"SEA")</f>
        <v>SEA</v>
      </c>
      <c r="D1149" s="4" t="str">
        <f>IFERROR(__xludf.DUMMYFUNCTION("""COMPUTED_VALUE"""),"Serge Ibaka")</f>
        <v>Serge Ibaka</v>
      </c>
      <c r="E1149" s="4"/>
      <c r="F1149" s="4">
        <f>IFERROR(__xludf.DUMMYFUNCTION("""COMPUTED_VALUE"""),14.0)</f>
        <v>14</v>
      </c>
      <c r="G1149" s="4">
        <f>IFERROR(__xludf.DUMMYFUNCTION("""COMPUTED_VALUE"""),919.0)</f>
        <v>919</v>
      </c>
      <c r="H1149" s="4">
        <f>IFERROR(__xludf.DUMMYFUNCTION("""COMPUTED_VALUE"""),25127.0)</f>
        <v>25127</v>
      </c>
      <c r="I1149" s="4">
        <f>IFERROR(__xludf.DUMMYFUNCTION("""COMPUTED_VALUE"""),11028.0)</f>
        <v>11028</v>
      </c>
      <c r="J1149" s="4">
        <f>IFERROR(__xludf.DUMMYFUNCTION("""COMPUTED_VALUE"""),6513.0)</f>
        <v>6513</v>
      </c>
      <c r="K1149" s="4">
        <f>IFERROR(__xludf.DUMMYFUNCTION("""COMPUTED_VALUE"""),749.0)</f>
        <v>749</v>
      </c>
      <c r="L1149" s="4">
        <f>IFERROR(__xludf.DUMMYFUNCTION("""COMPUTED_VALUE"""),0.513)</f>
        <v>0.513</v>
      </c>
      <c r="M1149" s="4">
        <f>IFERROR(__xludf.DUMMYFUNCTION("""COMPUTED_VALUE"""),0.359)</f>
        <v>0.359</v>
      </c>
      <c r="N1149" s="4">
        <f>IFERROR(__xludf.DUMMYFUNCTION("""COMPUTED_VALUE"""),0.757)</f>
        <v>0.757</v>
      </c>
      <c r="O1149" s="4">
        <f>IFERROR(__xludf.DUMMYFUNCTION("""COMPUTED_VALUE"""),27.3)</f>
        <v>27.3</v>
      </c>
      <c r="P1149" s="4">
        <f>IFERROR(__xludf.DUMMYFUNCTION("""COMPUTED_VALUE"""),12.0)</f>
        <v>12</v>
      </c>
      <c r="Q1149" s="4">
        <f>IFERROR(__xludf.DUMMYFUNCTION("""COMPUTED_VALUE"""),7.1)</f>
        <v>7.1</v>
      </c>
      <c r="R1149" s="4">
        <f>IFERROR(__xludf.DUMMYFUNCTION("""COMPUTED_VALUE"""),0.8)</f>
        <v>0.8</v>
      </c>
      <c r="S1149" s="4">
        <f>IFERROR(__xludf.DUMMYFUNCTION("""COMPUTED_VALUE"""),73.0)</f>
        <v>73</v>
      </c>
      <c r="T1149" s="4">
        <f>IFERROR(__xludf.DUMMYFUNCTION("""COMPUTED_VALUE"""),0.139)</f>
        <v>0.139</v>
      </c>
      <c r="U1149" s="4">
        <f>IFERROR(__xludf.DUMMYFUNCTION("""COMPUTED_VALUE"""),0.5)</f>
        <v>0.5</v>
      </c>
      <c r="V1149" s="4">
        <f>IFERROR(__xludf.DUMMYFUNCTION("""COMPUTED_VALUE"""),15.7)</f>
        <v>15.7</v>
      </c>
    </row>
    <row r="1150">
      <c r="A1150" s="4">
        <f>IFERROR(__xludf.DUMMYFUNCTION("""COMPUTED_VALUE"""),25.0)</f>
        <v>25</v>
      </c>
      <c r="B1150" s="4">
        <f>IFERROR(__xludf.DUMMYFUNCTION("""COMPUTED_VALUE"""),25.0)</f>
        <v>25</v>
      </c>
      <c r="C1150" s="4" t="str">
        <f>IFERROR(__xludf.DUMMYFUNCTION("""COMPUTED_VALUE"""),"HOU")</f>
        <v>HOU</v>
      </c>
      <c r="D1150" s="4" t="str">
        <f>IFERROR(__xludf.DUMMYFUNCTION("""COMPUTED_VALUE"""),"Nicolas Batum")</f>
        <v>Nicolas Batum</v>
      </c>
      <c r="E1150" s="4"/>
      <c r="F1150" s="4">
        <f>IFERROR(__xludf.DUMMYFUNCTION("""COMPUTED_VALUE"""),18.0)</f>
        <v>18</v>
      </c>
      <c r="G1150" s="4">
        <f>IFERROR(__xludf.DUMMYFUNCTION("""COMPUTED_VALUE"""),1152.0)</f>
        <v>1152</v>
      </c>
      <c r="H1150" s="4">
        <f>IFERROR(__xludf.DUMMYFUNCTION("""COMPUTED_VALUE"""),33033.0)</f>
        <v>33033</v>
      </c>
      <c r="I1150" s="4">
        <f>IFERROR(__xludf.DUMMYFUNCTION("""COMPUTED_VALUE"""),11351.0)</f>
        <v>11351</v>
      </c>
      <c r="J1150" s="4">
        <f>IFERROR(__xludf.DUMMYFUNCTION("""COMPUTED_VALUE"""),5528.0)</f>
        <v>5528</v>
      </c>
      <c r="K1150" s="4">
        <f>IFERROR(__xludf.DUMMYFUNCTION("""COMPUTED_VALUE"""),3560.0)</f>
        <v>3560</v>
      </c>
      <c r="L1150" s="4">
        <f>IFERROR(__xludf.DUMMYFUNCTION("""COMPUTED_VALUE"""),0.436)</f>
        <v>0.436</v>
      </c>
      <c r="M1150" s="4">
        <f>IFERROR(__xludf.DUMMYFUNCTION("""COMPUTED_VALUE"""),0.369)</f>
        <v>0.369</v>
      </c>
      <c r="N1150" s="4">
        <f>IFERROR(__xludf.DUMMYFUNCTION("""COMPUTED_VALUE"""),0.832)</f>
        <v>0.832</v>
      </c>
      <c r="O1150" s="4">
        <f>IFERROR(__xludf.DUMMYFUNCTION("""COMPUTED_VALUE"""),28.7)</f>
        <v>28.7</v>
      </c>
      <c r="P1150" s="4">
        <f>IFERROR(__xludf.DUMMYFUNCTION("""COMPUTED_VALUE"""),9.9)</f>
        <v>9.9</v>
      </c>
      <c r="Q1150" s="4">
        <f>IFERROR(__xludf.DUMMYFUNCTION("""COMPUTED_VALUE"""),4.8)</f>
        <v>4.8</v>
      </c>
      <c r="R1150" s="4">
        <f>IFERROR(__xludf.DUMMYFUNCTION("""COMPUTED_VALUE"""),3.1)</f>
        <v>3.1</v>
      </c>
      <c r="S1150" s="4">
        <f>IFERROR(__xludf.DUMMYFUNCTION("""COMPUTED_VALUE"""),74.1)</f>
        <v>74.1</v>
      </c>
      <c r="T1150" s="4">
        <f>IFERROR(__xludf.DUMMYFUNCTION("""COMPUTED_VALUE"""),0.108)</f>
        <v>0.108</v>
      </c>
      <c r="U1150" s="4">
        <f>IFERROR(__xludf.DUMMYFUNCTION("""COMPUTED_VALUE"""),1.4)</f>
        <v>1.4</v>
      </c>
      <c r="V1150" s="4">
        <f>IFERROR(__xludf.DUMMYFUNCTION("""COMPUTED_VALUE"""),28.7)</f>
        <v>28.7</v>
      </c>
    </row>
    <row r="1151">
      <c r="A1151" s="4">
        <f>IFERROR(__xludf.DUMMYFUNCTION("""COMPUTED_VALUE"""),26.0)</f>
        <v>26</v>
      </c>
      <c r="B1151" s="4">
        <f>IFERROR(__xludf.DUMMYFUNCTION("""COMPUTED_VALUE"""),26.0)</f>
        <v>26</v>
      </c>
      <c r="C1151" s="4" t="str">
        <f>IFERROR(__xludf.DUMMYFUNCTION("""COMPUTED_VALUE"""),"SAS")</f>
        <v>SAS</v>
      </c>
      <c r="D1151" s="4" t="str">
        <f>IFERROR(__xludf.DUMMYFUNCTION("""COMPUTED_VALUE"""),"George Hill")</f>
        <v>George Hill</v>
      </c>
      <c r="E1151" s="4" t="str">
        <f>IFERROR(__xludf.DUMMYFUNCTION("""COMPUTED_VALUE"""),"IUPUI")</f>
        <v>IUPUI</v>
      </c>
      <c r="F1151" s="4">
        <f>IFERROR(__xludf.DUMMYFUNCTION("""COMPUTED_VALUE"""),15.0)</f>
        <v>15</v>
      </c>
      <c r="G1151" s="4">
        <f>IFERROR(__xludf.DUMMYFUNCTION("""COMPUTED_VALUE"""),915.0)</f>
        <v>915</v>
      </c>
      <c r="H1151" s="4">
        <f>IFERROR(__xludf.DUMMYFUNCTION("""COMPUTED_VALUE"""),24501.0)</f>
        <v>24501</v>
      </c>
      <c r="I1151" s="4">
        <f>IFERROR(__xludf.DUMMYFUNCTION("""COMPUTED_VALUE"""),9545.0)</f>
        <v>9545</v>
      </c>
      <c r="J1151" s="4">
        <f>IFERROR(__xludf.DUMMYFUNCTION("""COMPUTED_VALUE"""),2731.0)</f>
        <v>2731</v>
      </c>
      <c r="K1151" s="4">
        <f>IFERROR(__xludf.DUMMYFUNCTION("""COMPUTED_VALUE"""),2807.0)</f>
        <v>2807</v>
      </c>
      <c r="L1151" s="4">
        <f>IFERROR(__xludf.DUMMYFUNCTION("""COMPUTED_VALUE"""),0.457)</f>
        <v>0.457</v>
      </c>
      <c r="M1151" s="4">
        <f>IFERROR(__xludf.DUMMYFUNCTION("""COMPUTED_VALUE"""),0.38)</f>
        <v>0.38</v>
      </c>
      <c r="N1151" s="4">
        <f>IFERROR(__xludf.DUMMYFUNCTION("""COMPUTED_VALUE"""),0.806)</f>
        <v>0.806</v>
      </c>
      <c r="O1151" s="4">
        <f>IFERROR(__xludf.DUMMYFUNCTION("""COMPUTED_VALUE"""),26.8)</f>
        <v>26.8</v>
      </c>
      <c r="P1151" s="4">
        <f>IFERROR(__xludf.DUMMYFUNCTION("""COMPUTED_VALUE"""),10.4)</f>
        <v>10.4</v>
      </c>
      <c r="Q1151" s="4">
        <f>IFERROR(__xludf.DUMMYFUNCTION("""COMPUTED_VALUE"""),3.0)</f>
        <v>3</v>
      </c>
      <c r="R1151" s="4">
        <f>IFERROR(__xludf.DUMMYFUNCTION("""COMPUTED_VALUE"""),3.1)</f>
        <v>3.1</v>
      </c>
      <c r="S1151" s="4">
        <f>IFERROR(__xludf.DUMMYFUNCTION("""COMPUTED_VALUE"""),71.0)</f>
        <v>71</v>
      </c>
      <c r="T1151" s="4">
        <f>IFERROR(__xludf.DUMMYFUNCTION("""COMPUTED_VALUE"""),0.139)</f>
        <v>0.139</v>
      </c>
      <c r="U1151" s="4">
        <f>IFERROR(__xludf.DUMMYFUNCTION("""COMPUTED_VALUE"""),1.1)</f>
        <v>1.1</v>
      </c>
      <c r="V1151" s="4">
        <f>IFERROR(__xludf.DUMMYFUNCTION("""COMPUTED_VALUE"""),19.4)</f>
        <v>19.4</v>
      </c>
    </row>
    <row r="1152">
      <c r="A1152" s="4">
        <f>IFERROR(__xludf.DUMMYFUNCTION("""COMPUTED_VALUE"""),27.0)</f>
        <v>27</v>
      </c>
      <c r="B1152" s="4">
        <f>IFERROR(__xludf.DUMMYFUNCTION("""COMPUTED_VALUE"""),27.0)</f>
        <v>27</v>
      </c>
      <c r="C1152" s="4" t="str">
        <f>IFERROR(__xludf.DUMMYFUNCTION("""COMPUTED_VALUE"""),"NOH")</f>
        <v>NOH</v>
      </c>
      <c r="D1152" s="4" t="str">
        <f>IFERROR(__xludf.DUMMYFUNCTION("""COMPUTED_VALUE"""),"Darrell Arthur")</f>
        <v>Darrell Arthur</v>
      </c>
      <c r="E1152" s="4" t="str">
        <f>IFERROR(__xludf.DUMMYFUNCTION("""COMPUTED_VALUE"""),"Kansas")</f>
        <v>Kansas</v>
      </c>
      <c r="F1152" s="4">
        <f>IFERROR(__xludf.DUMMYFUNCTION("""COMPUTED_VALUE"""),9.0)</f>
        <v>9</v>
      </c>
      <c r="G1152" s="4">
        <f>IFERROR(__xludf.DUMMYFUNCTION("""COMPUTED_VALUE"""),503.0)</f>
        <v>503</v>
      </c>
      <c r="H1152" s="4">
        <f>IFERROR(__xludf.DUMMYFUNCTION("""COMPUTED_VALUE"""),8945.0)</f>
        <v>8945</v>
      </c>
      <c r="I1152" s="4">
        <f>IFERROR(__xludf.DUMMYFUNCTION("""COMPUTED_VALUE"""),3282.0)</f>
        <v>3282</v>
      </c>
      <c r="J1152" s="4">
        <f>IFERROR(__xludf.DUMMYFUNCTION("""COMPUTED_VALUE"""),1768.0)</f>
        <v>1768</v>
      </c>
      <c r="K1152" s="4">
        <f>IFERROR(__xludf.DUMMYFUNCTION("""COMPUTED_VALUE"""),409.0)</f>
        <v>409</v>
      </c>
      <c r="L1152" s="4">
        <f>IFERROR(__xludf.DUMMYFUNCTION("""COMPUTED_VALUE"""),0.444)</f>
        <v>0.444</v>
      </c>
      <c r="M1152" s="4">
        <f>IFERROR(__xludf.DUMMYFUNCTION("""COMPUTED_VALUE"""),0.352)</f>
        <v>0.352</v>
      </c>
      <c r="N1152" s="4">
        <f>IFERROR(__xludf.DUMMYFUNCTION("""COMPUTED_VALUE"""),0.765)</f>
        <v>0.765</v>
      </c>
      <c r="O1152" s="4">
        <f>IFERROR(__xludf.DUMMYFUNCTION("""COMPUTED_VALUE"""),17.8)</f>
        <v>17.8</v>
      </c>
      <c r="P1152" s="4">
        <f>IFERROR(__xludf.DUMMYFUNCTION("""COMPUTED_VALUE"""),6.5)</f>
        <v>6.5</v>
      </c>
      <c r="Q1152" s="4">
        <f>IFERROR(__xludf.DUMMYFUNCTION("""COMPUTED_VALUE"""),3.5)</f>
        <v>3.5</v>
      </c>
      <c r="R1152" s="4">
        <f>IFERROR(__xludf.DUMMYFUNCTION("""COMPUTED_VALUE"""),0.8)</f>
        <v>0.8</v>
      </c>
      <c r="S1152" s="4">
        <f>IFERROR(__xludf.DUMMYFUNCTION("""COMPUTED_VALUE"""),12.3)</f>
        <v>12.3</v>
      </c>
      <c r="T1152" s="4">
        <f>IFERROR(__xludf.DUMMYFUNCTION("""COMPUTED_VALUE"""),0.066)</f>
        <v>0.066</v>
      </c>
      <c r="U1152" s="4">
        <f>IFERROR(__xludf.DUMMYFUNCTION("""COMPUTED_VALUE"""),-2.2)</f>
        <v>-2.2</v>
      </c>
      <c r="V1152" s="4">
        <f>IFERROR(__xludf.DUMMYFUNCTION("""COMPUTED_VALUE"""),-0.4)</f>
        <v>-0.4</v>
      </c>
    </row>
    <row r="1153">
      <c r="A1153" s="4">
        <f>IFERROR(__xludf.DUMMYFUNCTION("""COMPUTED_VALUE"""),28.0)</f>
        <v>28</v>
      </c>
      <c r="B1153" s="4">
        <f>IFERROR(__xludf.DUMMYFUNCTION("""COMPUTED_VALUE"""),28.0)</f>
        <v>28</v>
      </c>
      <c r="C1153" s="4" t="str">
        <f>IFERROR(__xludf.DUMMYFUNCTION("""COMPUTED_VALUE"""),"MEM")</f>
        <v>MEM</v>
      </c>
      <c r="D1153" s="4" t="str">
        <f>IFERROR(__xludf.DUMMYFUNCTION("""COMPUTED_VALUE"""),"Donté Greene")</f>
        <v>Donté Greene</v>
      </c>
      <c r="E1153" s="4" t="str">
        <f>IFERROR(__xludf.DUMMYFUNCTION("""COMPUTED_VALUE"""),"Syracuse")</f>
        <v>Syracuse</v>
      </c>
      <c r="F1153" s="4">
        <f>IFERROR(__xludf.DUMMYFUNCTION("""COMPUTED_VALUE"""),4.0)</f>
        <v>4</v>
      </c>
      <c r="G1153" s="4">
        <f>IFERROR(__xludf.DUMMYFUNCTION("""COMPUTED_VALUE"""),253.0)</f>
        <v>253</v>
      </c>
      <c r="H1153" s="4">
        <f>IFERROR(__xludf.DUMMYFUNCTION("""COMPUTED_VALUE"""),4259.0)</f>
        <v>4259</v>
      </c>
      <c r="I1153" s="4">
        <f>IFERROR(__xludf.DUMMYFUNCTION("""COMPUTED_VALUE"""),1541.0)</f>
        <v>1541</v>
      </c>
      <c r="J1153" s="4">
        <f>IFERROR(__xludf.DUMMYFUNCTION("""COMPUTED_VALUE"""),600.0)</f>
        <v>600</v>
      </c>
      <c r="K1153" s="4">
        <f>IFERROR(__xludf.DUMMYFUNCTION("""COMPUTED_VALUE"""),183.0)</f>
        <v>183</v>
      </c>
      <c r="L1153" s="4">
        <f>IFERROR(__xludf.DUMMYFUNCTION("""COMPUTED_VALUE"""),0.406)</f>
        <v>0.406</v>
      </c>
      <c r="M1153" s="4">
        <f>IFERROR(__xludf.DUMMYFUNCTION("""COMPUTED_VALUE"""),0.304)</f>
        <v>0.304</v>
      </c>
      <c r="N1153" s="4">
        <f>IFERROR(__xludf.DUMMYFUNCTION("""COMPUTED_VALUE"""),0.701)</f>
        <v>0.701</v>
      </c>
      <c r="O1153" s="4">
        <f>IFERROR(__xludf.DUMMYFUNCTION("""COMPUTED_VALUE"""),16.8)</f>
        <v>16.8</v>
      </c>
      <c r="P1153" s="4">
        <f>IFERROR(__xludf.DUMMYFUNCTION("""COMPUTED_VALUE"""),6.1)</f>
        <v>6.1</v>
      </c>
      <c r="Q1153" s="4">
        <f>IFERROR(__xludf.DUMMYFUNCTION("""COMPUTED_VALUE"""),2.4)</f>
        <v>2.4</v>
      </c>
      <c r="R1153" s="4">
        <f>IFERROR(__xludf.DUMMYFUNCTION("""COMPUTED_VALUE"""),0.7)</f>
        <v>0.7</v>
      </c>
      <c r="S1153" s="4">
        <f>IFERROR(__xludf.DUMMYFUNCTION("""COMPUTED_VALUE"""),1.5)</f>
        <v>1.5</v>
      </c>
      <c r="T1153" s="4">
        <f>IFERROR(__xludf.DUMMYFUNCTION("""COMPUTED_VALUE"""),0.017)</f>
        <v>0.017</v>
      </c>
      <c r="U1153" s="4">
        <f>IFERROR(__xludf.DUMMYFUNCTION("""COMPUTED_VALUE"""),-2.8)</f>
        <v>-2.8</v>
      </c>
      <c r="V1153" s="4">
        <f>IFERROR(__xludf.DUMMYFUNCTION("""COMPUTED_VALUE"""),-0.9)</f>
        <v>-0.9</v>
      </c>
    </row>
    <row r="1154">
      <c r="A1154" s="4">
        <f>IFERROR(__xludf.DUMMYFUNCTION("""COMPUTED_VALUE"""),29.0)</f>
        <v>29</v>
      </c>
      <c r="B1154" s="4">
        <f>IFERROR(__xludf.DUMMYFUNCTION("""COMPUTED_VALUE"""),29.0)</f>
        <v>29</v>
      </c>
      <c r="C1154" s="4" t="str">
        <f>IFERROR(__xludf.DUMMYFUNCTION("""COMPUTED_VALUE"""),"DET")</f>
        <v>DET</v>
      </c>
      <c r="D1154" s="4" t="str">
        <f>IFERROR(__xludf.DUMMYFUNCTION("""COMPUTED_VALUE"""),"D.J. White")</f>
        <v>D.J. White</v>
      </c>
      <c r="E1154" s="4" t="str">
        <f>IFERROR(__xludf.DUMMYFUNCTION("""COMPUTED_VALUE"""),"Indiana")</f>
        <v>Indiana</v>
      </c>
      <c r="F1154" s="4">
        <f>IFERROR(__xludf.DUMMYFUNCTION("""COMPUTED_VALUE"""),6.0)</f>
        <v>6</v>
      </c>
      <c r="G1154" s="4">
        <f>IFERROR(__xludf.DUMMYFUNCTION("""COMPUTED_VALUE"""),138.0)</f>
        <v>138</v>
      </c>
      <c r="H1154" s="4">
        <f>IFERROR(__xludf.DUMMYFUNCTION("""COMPUTED_VALUE"""),2111.0)</f>
        <v>2111</v>
      </c>
      <c r="I1154" s="4">
        <f>IFERROR(__xludf.DUMMYFUNCTION("""COMPUTED_VALUE"""),810.0)</f>
        <v>810</v>
      </c>
      <c r="J1154" s="4">
        <f>IFERROR(__xludf.DUMMYFUNCTION("""COMPUTED_VALUE"""),437.0)</f>
        <v>437</v>
      </c>
      <c r="K1154" s="4">
        <f>IFERROR(__xludf.DUMMYFUNCTION("""COMPUTED_VALUE"""),80.0)</f>
        <v>80</v>
      </c>
      <c r="L1154" s="4">
        <f>IFERROR(__xludf.DUMMYFUNCTION("""COMPUTED_VALUE"""),0.507)</f>
        <v>0.507</v>
      </c>
      <c r="M1154" s="4">
        <f>IFERROR(__xludf.DUMMYFUNCTION("""COMPUTED_VALUE"""),0.333)</f>
        <v>0.333</v>
      </c>
      <c r="N1154" s="4">
        <f>IFERROR(__xludf.DUMMYFUNCTION("""COMPUTED_VALUE"""),0.72)</f>
        <v>0.72</v>
      </c>
      <c r="O1154" s="4">
        <f>IFERROR(__xludf.DUMMYFUNCTION("""COMPUTED_VALUE"""),15.3)</f>
        <v>15.3</v>
      </c>
      <c r="P1154" s="4">
        <f>IFERROR(__xludf.DUMMYFUNCTION("""COMPUTED_VALUE"""),5.9)</f>
        <v>5.9</v>
      </c>
      <c r="Q1154" s="4">
        <f>IFERROR(__xludf.DUMMYFUNCTION("""COMPUTED_VALUE"""),3.2)</f>
        <v>3.2</v>
      </c>
      <c r="R1154" s="4">
        <f>IFERROR(__xludf.DUMMYFUNCTION("""COMPUTED_VALUE"""),0.6)</f>
        <v>0.6</v>
      </c>
      <c r="S1154" s="4">
        <f>IFERROR(__xludf.DUMMYFUNCTION("""COMPUTED_VALUE"""),3.8)</f>
        <v>3.8</v>
      </c>
      <c r="T1154" s="4">
        <f>IFERROR(__xludf.DUMMYFUNCTION("""COMPUTED_VALUE"""),0.087)</f>
        <v>0.087</v>
      </c>
      <c r="U1154" s="4">
        <f>IFERROR(__xludf.DUMMYFUNCTION("""COMPUTED_VALUE"""),-2.1)</f>
        <v>-2.1</v>
      </c>
      <c r="V1154" s="4">
        <f>IFERROR(__xludf.DUMMYFUNCTION("""COMPUTED_VALUE"""),0.0)</f>
        <v>0</v>
      </c>
    </row>
    <row r="1155">
      <c r="A1155" s="4">
        <f>IFERROR(__xludf.DUMMYFUNCTION("""COMPUTED_VALUE"""),30.0)</f>
        <v>30</v>
      </c>
      <c r="B1155" s="4">
        <f>IFERROR(__xludf.DUMMYFUNCTION("""COMPUTED_VALUE"""),30.0)</f>
        <v>30</v>
      </c>
      <c r="C1155" s="4" t="str">
        <f>IFERROR(__xludf.DUMMYFUNCTION("""COMPUTED_VALUE"""),"BOS")</f>
        <v>BOS</v>
      </c>
      <c r="D1155" s="4" t="str">
        <f>IFERROR(__xludf.DUMMYFUNCTION("""COMPUTED_VALUE"""),"J.R. Giddens")</f>
        <v>J.R. Giddens</v>
      </c>
      <c r="E1155" s="4" t="str">
        <f>IFERROR(__xludf.DUMMYFUNCTION("""COMPUTED_VALUE"""),"New Mexico")</f>
        <v>New Mexico</v>
      </c>
      <c r="F1155" s="4">
        <f>IFERROR(__xludf.DUMMYFUNCTION("""COMPUTED_VALUE"""),2.0)</f>
        <v>2</v>
      </c>
      <c r="G1155" s="4">
        <f>IFERROR(__xludf.DUMMYFUNCTION("""COMPUTED_VALUE"""),38.0)</f>
        <v>38</v>
      </c>
      <c r="H1155" s="4">
        <f>IFERROR(__xludf.DUMMYFUNCTION("""COMPUTED_VALUE"""),247.0)</f>
        <v>247</v>
      </c>
      <c r="I1155" s="4">
        <f>IFERROR(__xludf.DUMMYFUNCTION("""COMPUTED_VALUE"""),73.0)</f>
        <v>73</v>
      </c>
      <c r="J1155" s="4">
        <f>IFERROR(__xludf.DUMMYFUNCTION("""COMPUTED_VALUE"""),54.0)</f>
        <v>54</v>
      </c>
      <c r="K1155" s="4">
        <f>IFERROR(__xludf.DUMMYFUNCTION("""COMPUTED_VALUE"""),13.0)</f>
        <v>13</v>
      </c>
      <c r="L1155" s="4">
        <f>IFERROR(__xludf.DUMMYFUNCTION("""COMPUTED_VALUE"""),0.476)</f>
        <v>0.476</v>
      </c>
      <c r="M1155" s="4">
        <f>IFERROR(__xludf.DUMMYFUNCTION("""COMPUTED_VALUE"""),0.0)</f>
        <v>0</v>
      </c>
      <c r="N1155" s="4">
        <f>IFERROR(__xludf.DUMMYFUNCTION("""COMPUTED_VALUE"""),0.565)</f>
        <v>0.565</v>
      </c>
      <c r="O1155" s="4">
        <f>IFERROR(__xludf.DUMMYFUNCTION("""COMPUTED_VALUE"""),6.5)</f>
        <v>6.5</v>
      </c>
      <c r="P1155" s="4">
        <f>IFERROR(__xludf.DUMMYFUNCTION("""COMPUTED_VALUE"""),1.9)</f>
        <v>1.9</v>
      </c>
      <c r="Q1155" s="4">
        <f>IFERROR(__xludf.DUMMYFUNCTION("""COMPUTED_VALUE"""),1.4)</f>
        <v>1.4</v>
      </c>
      <c r="R1155" s="4">
        <f>IFERROR(__xludf.DUMMYFUNCTION("""COMPUTED_VALUE"""),0.3)</f>
        <v>0.3</v>
      </c>
      <c r="S1155" s="4">
        <f>IFERROR(__xludf.DUMMYFUNCTION("""COMPUTED_VALUE"""),0.1)</f>
        <v>0.1</v>
      </c>
      <c r="T1155" s="4">
        <f>IFERROR(__xludf.DUMMYFUNCTION("""COMPUTED_VALUE"""),0.027)</f>
        <v>0.027</v>
      </c>
      <c r="U1155" s="4">
        <f>IFERROR(__xludf.DUMMYFUNCTION("""COMPUTED_VALUE"""),-4.3)</f>
        <v>-4.3</v>
      </c>
      <c r="V1155" s="4">
        <f>IFERROR(__xludf.DUMMYFUNCTION("""COMPUTED_VALUE"""),-0.1)</f>
        <v>-0.1</v>
      </c>
    </row>
    <row r="1156">
      <c r="A1156" s="4"/>
      <c r="B1156" s="4"/>
      <c r="C1156" s="4"/>
      <c r="D1156" s="4" t="str">
        <f>IFERROR(__xludf.DUMMYFUNCTION("""COMPUTED_VALUE"""),"Round 2")</f>
        <v>Round 2</v>
      </c>
      <c r="E1156" s="4"/>
      <c r="F1156" s="4"/>
      <c r="G1156" s="4" t="str">
        <f>IFERROR(__xludf.DUMMYFUNCTION("""COMPUTED_VALUE"""),"Totals")</f>
        <v>Totals</v>
      </c>
      <c r="H1156" s="4"/>
      <c r="I1156" s="4"/>
      <c r="J1156" s="4"/>
      <c r="K1156" s="4"/>
      <c r="L1156" s="4" t="str">
        <f>IFERROR(__xludf.DUMMYFUNCTION("""COMPUTED_VALUE"""),"Shooting")</f>
        <v>Shooting</v>
      </c>
      <c r="M1156" s="4"/>
      <c r="N1156" s="4"/>
      <c r="O1156" s="4" t="str">
        <f>IFERROR(__xludf.DUMMYFUNCTION("""COMPUTED_VALUE"""),"Per Game")</f>
        <v>Per Game</v>
      </c>
      <c r="P1156" s="4"/>
      <c r="Q1156" s="4"/>
      <c r="R1156" s="4"/>
      <c r="S1156" s="4" t="str">
        <f>IFERROR(__xludf.DUMMYFUNCTION("""COMPUTED_VALUE"""),"Advanced")</f>
        <v>Advanced</v>
      </c>
      <c r="T1156" s="4"/>
      <c r="U1156" s="4"/>
      <c r="V1156" s="4"/>
    </row>
    <row r="1157">
      <c r="A1157" s="4" t="str">
        <f>IFERROR(__xludf.DUMMYFUNCTION("""COMPUTED_VALUE"""),"Rk")</f>
        <v>Rk</v>
      </c>
      <c r="B1157" s="4" t="str">
        <f>IFERROR(__xludf.DUMMYFUNCTION("""COMPUTED_VALUE"""),"Pk")</f>
        <v>Pk</v>
      </c>
      <c r="C1157" s="4" t="str">
        <f>IFERROR(__xludf.DUMMYFUNCTION("""COMPUTED_VALUE"""),"Tm")</f>
        <v>Tm</v>
      </c>
      <c r="D1157" s="4" t="str">
        <f>IFERROR(__xludf.DUMMYFUNCTION("""COMPUTED_VALUE"""),"Player")</f>
        <v>Player</v>
      </c>
      <c r="E1157" s="4" t="str">
        <f>IFERROR(__xludf.DUMMYFUNCTION("""COMPUTED_VALUE"""),"College")</f>
        <v>College</v>
      </c>
      <c r="F1157" s="4" t="str">
        <f>IFERROR(__xludf.DUMMYFUNCTION("""COMPUTED_VALUE"""),"Yrs")</f>
        <v>Yrs</v>
      </c>
      <c r="G1157" s="4" t="str">
        <f>IFERROR(__xludf.DUMMYFUNCTION("""COMPUTED_VALUE"""),"G")</f>
        <v>G</v>
      </c>
      <c r="H1157" s="4" t="str">
        <f>IFERROR(__xludf.DUMMYFUNCTION("""COMPUTED_VALUE"""),"MP")</f>
        <v>MP</v>
      </c>
      <c r="I1157" s="4" t="str">
        <f>IFERROR(__xludf.DUMMYFUNCTION("""COMPUTED_VALUE"""),"PTS")</f>
        <v>PTS</v>
      </c>
      <c r="J1157" s="4" t="str">
        <f>IFERROR(__xludf.DUMMYFUNCTION("""COMPUTED_VALUE"""),"TRB")</f>
        <v>TRB</v>
      </c>
      <c r="K1157" s="4" t="str">
        <f>IFERROR(__xludf.DUMMYFUNCTION("""COMPUTED_VALUE"""),"AST")</f>
        <v>AST</v>
      </c>
      <c r="L1157" s="4" t="str">
        <f>IFERROR(__xludf.DUMMYFUNCTION("""COMPUTED_VALUE"""),"FG%")</f>
        <v>FG%</v>
      </c>
      <c r="M1157" s="4" t="str">
        <f>IFERROR(__xludf.DUMMYFUNCTION("""COMPUTED_VALUE"""),"3P%")</f>
        <v>3P%</v>
      </c>
      <c r="N1157" s="4" t="str">
        <f>IFERROR(__xludf.DUMMYFUNCTION("""COMPUTED_VALUE"""),"FT%")</f>
        <v>FT%</v>
      </c>
      <c r="O1157" s="4" t="str">
        <f>IFERROR(__xludf.DUMMYFUNCTION("""COMPUTED_VALUE"""),"MP")</f>
        <v>MP</v>
      </c>
      <c r="P1157" s="4" t="str">
        <f>IFERROR(__xludf.DUMMYFUNCTION("""COMPUTED_VALUE"""),"PTS")</f>
        <v>PTS</v>
      </c>
      <c r="Q1157" s="4" t="str">
        <f>IFERROR(__xludf.DUMMYFUNCTION("""COMPUTED_VALUE"""),"TRB")</f>
        <v>TRB</v>
      </c>
      <c r="R1157" s="4" t="str">
        <f>IFERROR(__xludf.DUMMYFUNCTION("""COMPUTED_VALUE"""),"AST")</f>
        <v>AST</v>
      </c>
      <c r="S1157" s="4" t="str">
        <f>IFERROR(__xludf.DUMMYFUNCTION("""COMPUTED_VALUE"""),"WS")</f>
        <v>WS</v>
      </c>
      <c r="T1157" s="4" t="str">
        <f>IFERROR(__xludf.DUMMYFUNCTION("""COMPUTED_VALUE"""),"WS/48")</f>
        <v>WS/48</v>
      </c>
      <c r="U1157" s="4" t="str">
        <f>IFERROR(__xludf.DUMMYFUNCTION("""COMPUTED_VALUE"""),"BPM")</f>
        <v>BPM</v>
      </c>
      <c r="V1157" s="4" t="str">
        <f>IFERROR(__xludf.DUMMYFUNCTION("""COMPUTED_VALUE"""),"VORP")</f>
        <v>VORP</v>
      </c>
    </row>
    <row r="1158">
      <c r="A1158" s="4">
        <f>IFERROR(__xludf.DUMMYFUNCTION("""COMPUTED_VALUE"""),31.0)</f>
        <v>31</v>
      </c>
      <c r="B1158" s="4">
        <f>IFERROR(__xludf.DUMMYFUNCTION("""COMPUTED_VALUE"""),31.0)</f>
        <v>31</v>
      </c>
      <c r="C1158" s="4" t="str">
        <f>IFERROR(__xludf.DUMMYFUNCTION("""COMPUTED_VALUE"""),"MIN")</f>
        <v>MIN</v>
      </c>
      <c r="D1158" s="4" t="str">
        <f>IFERROR(__xludf.DUMMYFUNCTION("""COMPUTED_VALUE"""),"Nikola Peković")</f>
        <v>Nikola Peković</v>
      </c>
      <c r="E1158" s="4"/>
      <c r="F1158" s="4">
        <f>IFERROR(__xludf.DUMMYFUNCTION("""COMPUTED_VALUE"""),6.0)</f>
        <v>6</v>
      </c>
      <c r="G1158" s="4">
        <f>IFERROR(__xludf.DUMMYFUNCTION("""COMPUTED_VALUE"""),271.0)</f>
        <v>271</v>
      </c>
      <c r="H1158" s="4">
        <f>IFERROR(__xludf.DUMMYFUNCTION("""COMPUTED_VALUE"""),6744.0)</f>
        <v>6744</v>
      </c>
      <c r="I1158" s="4">
        <f>IFERROR(__xludf.DUMMYFUNCTION("""COMPUTED_VALUE"""),3405.0)</f>
        <v>3405</v>
      </c>
      <c r="J1158" s="4">
        <f>IFERROR(__xludf.DUMMYFUNCTION("""COMPUTED_VALUE"""),1807.0)</f>
        <v>1807</v>
      </c>
      <c r="K1158" s="4">
        <f>IFERROR(__xludf.DUMMYFUNCTION("""COMPUTED_VALUE"""),199.0)</f>
        <v>199</v>
      </c>
      <c r="L1158" s="4">
        <f>IFERROR(__xludf.DUMMYFUNCTION("""COMPUTED_VALUE"""),0.518)</f>
        <v>0.518</v>
      </c>
      <c r="M1158" s="4"/>
      <c r="N1158" s="4">
        <f>IFERROR(__xludf.DUMMYFUNCTION("""COMPUTED_VALUE"""),0.76)</f>
        <v>0.76</v>
      </c>
      <c r="O1158" s="4">
        <f>IFERROR(__xludf.DUMMYFUNCTION("""COMPUTED_VALUE"""),24.9)</f>
        <v>24.9</v>
      </c>
      <c r="P1158" s="4">
        <f>IFERROR(__xludf.DUMMYFUNCTION("""COMPUTED_VALUE"""),12.6)</f>
        <v>12.6</v>
      </c>
      <c r="Q1158" s="4">
        <f>IFERROR(__xludf.DUMMYFUNCTION("""COMPUTED_VALUE"""),6.7)</f>
        <v>6.7</v>
      </c>
      <c r="R1158" s="4">
        <f>IFERROR(__xludf.DUMMYFUNCTION("""COMPUTED_VALUE"""),0.7)</f>
        <v>0.7</v>
      </c>
      <c r="S1158" s="4">
        <f>IFERROR(__xludf.DUMMYFUNCTION("""COMPUTED_VALUE"""),18.8)</f>
        <v>18.8</v>
      </c>
      <c r="T1158" s="4">
        <f>IFERROR(__xludf.DUMMYFUNCTION("""COMPUTED_VALUE"""),0.134)</f>
        <v>0.134</v>
      </c>
      <c r="U1158" s="4">
        <f>IFERROR(__xludf.DUMMYFUNCTION("""COMPUTED_VALUE"""),-0.7)</f>
        <v>-0.7</v>
      </c>
      <c r="V1158" s="4">
        <f>IFERROR(__xludf.DUMMYFUNCTION("""COMPUTED_VALUE"""),2.2)</f>
        <v>2.2</v>
      </c>
    </row>
    <row r="1159">
      <c r="A1159" s="4">
        <f>IFERROR(__xludf.DUMMYFUNCTION("""COMPUTED_VALUE"""),32.0)</f>
        <v>32</v>
      </c>
      <c r="B1159" s="4">
        <f>IFERROR(__xludf.DUMMYFUNCTION("""COMPUTED_VALUE"""),32.0)</f>
        <v>32</v>
      </c>
      <c r="C1159" s="4" t="str">
        <f>IFERROR(__xludf.DUMMYFUNCTION("""COMPUTED_VALUE"""),"SEA")</f>
        <v>SEA</v>
      </c>
      <c r="D1159" s="4" t="str">
        <f>IFERROR(__xludf.DUMMYFUNCTION("""COMPUTED_VALUE"""),"Walter Sharpe")</f>
        <v>Walter Sharpe</v>
      </c>
      <c r="E1159" s="4" t="str">
        <f>IFERROR(__xludf.DUMMYFUNCTION("""COMPUTED_VALUE"""),"UAB")</f>
        <v>UAB</v>
      </c>
      <c r="F1159" s="4">
        <f>IFERROR(__xludf.DUMMYFUNCTION("""COMPUTED_VALUE"""),1.0)</f>
        <v>1</v>
      </c>
      <c r="G1159" s="4">
        <f>IFERROR(__xludf.DUMMYFUNCTION("""COMPUTED_VALUE"""),8.0)</f>
        <v>8</v>
      </c>
      <c r="H1159" s="4">
        <f>IFERROR(__xludf.DUMMYFUNCTION("""COMPUTED_VALUE"""),20.0)</f>
        <v>20</v>
      </c>
      <c r="I1159" s="4">
        <f>IFERROR(__xludf.DUMMYFUNCTION("""COMPUTED_VALUE"""),8.0)</f>
        <v>8</v>
      </c>
      <c r="J1159" s="4">
        <f>IFERROR(__xludf.DUMMYFUNCTION("""COMPUTED_VALUE"""),3.0)</f>
        <v>3</v>
      </c>
      <c r="K1159" s="4">
        <f>IFERROR(__xludf.DUMMYFUNCTION("""COMPUTED_VALUE"""),0.0)</f>
        <v>0</v>
      </c>
      <c r="L1159" s="4">
        <f>IFERROR(__xludf.DUMMYFUNCTION("""COMPUTED_VALUE"""),0.364)</f>
        <v>0.364</v>
      </c>
      <c r="M1159" s="4">
        <f>IFERROR(__xludf.DUMMYFUNCTION("""COMPUTED_VALUE"""),0.0)</f>
        <v>0</v>
      </c>
      <c r="N1159" s="4">
        <f>IFERROR(__xludf.DUMMYFUNCTION("""COMPUTED_VALUE"""),0.0)</f>
        <v>0</v>
      </c>
      <c r="O1159" s="4">
        <f>IFERROR(__xludf.DUMMYFUNCTION("""COMPUTED_VALUE"""),2.5)</f>
        <v>2.5</v>
      </c>
      <c r="P1159" s="4">
        <f>IFERROR(__xludf.DUMMYFUNCTION("""COMPUTED_VALUE"""),1.0)</f>
        <v>1</v>
      </c>
      <c r="Q1159" s="4">
        <f>IFERROR(__xludf.DUMMYFUNCTION("""COMPUTED_VALUE"""),0.4)</f>
        <v>0.4</v>
      </c>
      <c r="R1159" s="4">
        <f>IFERROR(__xludf.DUMMYFUNCTION("""COMPUTED_VALUE"""),0.0)</f>
        <v>0</v>
      </c>
      <c r="S1159" s="4">
        <f>IFERROR(__xludf.DUMMYFUNCTION("""COMPUTED_VALUE"""),-0.1)</f>
        <v>-0.1</v>
      </c>
      <c r="T1159" s="4">
        <f>IFERROR(__xludf.DUMMYFUNCTION("""COMPUTED_VALUE"""),-0.131)</f>
        <v>-0.131</v>
      </c>
      <c r="U1159" s="4">
        <f>IFERROR(__xludf.DUMMYFUNCTION("""COMPUTED_VALUE"""),-10.1)</f>
        <v>-10.1</v>
      </c>
      <c r="V1159" s="4">
        <f>IFERROR(__xludf.DUMMYFUNCTION("""COMPUTED_VALUE"""),0.0)</f>
        <v>0</v>
      </c>
    </row>
    <row r="1160">
      <c r="A1160" s="4">
        <f>IFERROR(__xludf.DUMMYFUNCTION("""COMPUTED_VALUE"""),33.0)</f>
        <v>33</v>
      </c>
      <c r="B1160" s="4">
        <f>IFERROR(__xludf.DUMMYFUNCTION("""COMPUTED_VALUE"""),33.0)</f>
        <v>33</v>
      </c>
      <c r="C1160" s="4" t="str">
        <f>IFERROR(__xludf.DUMMYFUNCTION("""COMPUTED_VALUE"""),"POR")</f>
        <v>POR</v>
      </c>
      <c r="D1160" s="4" t="str">
        <f>IFERROR(__xludf.DUMMYFUNCTION("""COMPUTED_VALUE"""),"Joey Dorsey")</f>
        <v>Joey Dorsey</v>
      </c>
      <c r="E1160" s="4" t="str">
        <f>IFERROR(__xludf.DUMMYFUNCTION("""COMPUTED_VALUE"""),"Memphis")</f>
        <v>Memphis</v>
      </c>
      <c r="F1160" s="4">
        <f>IFERROR(__xludf.DUMMYFUNCTION("""COMPUTED_VALUE"""),4.0)</f>
        <v>4</v>
      </c>
      <c r="G1160" s="4">
        <f>IFERROR(__xludf.DUMMYFUNCTION("""COMPUTED_VALUE"""),130.0)</f>
        <v>130</v>
      </c>
      <c r="H1160" s="4">
        <f>IFERROR(__xludf.DUMMYFUNCTION("""COMPUTED_VALUE"""),1488.0)</f>
        <v>1488</v>
      </c>
      <c r="I1160" s="4">
        <f>IFERROR(__xludf.DUMMYFUNCTION("""COMPUTED_VALUE"""),344.0)</f>
        <v>344</v>
      </c>
      <c r="J1160" s="4">
        <f>IFERROR(__xludf.DUMMYFUNCTION("""COMPUTED_VALUE"""),513.0)</f>
        <v>513</v>
      </c>
      <c r="K1160" s="4">
        <f>IFERROR(__xludf.DUMMYFUNCTION("""COMPUTED_VALUE"""),55.0)</f>
        <v>55</v>
      </c>
      <c r="L1160" s="4">
        <f>IFERROR(__xludf.DUMMYFUNCTION("""COMPUTED_VALUE"""),0.534)</f>
        <v>0.534</v>
      </c>
      <c r="M1160" s="4">
        <f>IFERROR(__xludf.DUMMYFUNCTION("""COMPUTED_VALUE"""),0.0)</f>
        <v>0</v>
      </c>
      <c r="N1160" s="4">
        <f>IFERROR(__xludf.DUMMYFUNCTION("""COMPUTED_VALUE"""),0.375)</f>
        <v>0.375</v>
      </c>
      <c r="O1160" s="4">
        <f>IFERROR(__xludf.DUMMYFUNCTION("""COMPUTED_VALUE"""),11.4)</f>
        <v>11.4</v>
      </c>
      <c r="P1160" s="4">
        <f>IFERROR(__xludf.DUMMYFUNCTION("""COMPUTED_VALUE"""),2.6)</f>
        <v>2.6</v>
      </c>
      <c r="Q1160" s="4">
        <f>IFERROR(__xludf.DUMMYFUNCTION("""COMPUTED_VALUE"""),3.9)</f>
        <v>3.9</v>
      </c>
      <c r="R1160" s="4">
        <f>IFERROR(__xludf.DUMMYFUNCTION("""COMPUTED_VALUE"""),0.4)</f>
        <v>0.4</v>
      </c>
      <c r="S1160" s="4">
        <f>IFERROR(__xludf.DUMMYFUNCTION("""COMPUTED_VALUE"""),2.9)</f>
        <v>2.9</v>
      </c>
      <c r="T1160" s="4">
        <f>IFERROR(__xludf.DUMMYFUNCTION("""COMPUTED_VALUE"""),0.092)</f>
        <v>0.092</v>
      </c>
      <c r="U1160" s="4">
        <f>IFERROR(__xludf.DUMMYFUNCTION("""COMPUTED_VALUE"""),-2.7)</f>
        <v>-2.7</v>
      </c>
      <c r="V1160" s="4">
        <f>IFERROR(__xludf.DUMMYFUNCTION("""COMPUTED_VALUE"""),-0.3)</f>
        <v>-0.3</v>
      </c>
    </row>
    <row r="1161">
      <c r="A1161" s="4">
        <f>IFERROR(__xludf.DUMMYFUNCTION("""COMPUTED_VALUE"""),34.0)</f>
        <v>34</v>
      </c>
      <c r="B1161" s="4">
        <f>IFERROR(__xludf.DUMMYFUNCTION("""COMPUTED_VALUE"""),34.0)</f>
        <v>34</v>
      </c>
      <c r="C1161" s="4" t="str">
        <f>IFERROR(__xludf.DUMMYFUNCTION("""COMPUTED_VALUE"""),"MIN")</f>
        <v>MIN</v>
      </c>
      <c r="D1161" s="4" t="str">
        <f>IFERROR(__xludf.DUMMYFUNCTION("""COMPUTED_VALUE"""),"Mario Chalmers")</f>
        <v>Mario Chalmers</v>
      </c>
      <c r="E1161" s="4" t="str">
        <f>IFERROR(__xludf.DUMMYFUNCTION("""COMPUTED_VALUE"""),"Kansas")</f>
        <v>Kansas</v>
      </c>
      <c r="F1161" s="4">
        <f>IFERROR(__xludf.DUMMYFUNCTION("""COMPUTED_VALUE"""),9.0)</f>
        <v>9</v>
      </c>
      <c r="G1161" s="4">
        <f>IFERROR(__xludf.DUMMYFUNCTION("""COMPUTED_VALUE"""),646.0)</f>
        <v>646</v>
      </c>
      <c r="H1161" s="4">
        <f>IFERROR(__xludf.DUMMYFUNCTION("""COMPUTED_VALUE"""),17245.0)</f>
        <v>17245</v>
      </c>
      <c r="I1161" s="4">
        <f>IFERROR(__xludf.DUMMYFUNCTION("""COMPUTED_VALUE"""),5743.0)</f>
        <v>5743</v>
      </c>
      <c r="J1161" s="4">
        <f>IFERROR(__xludf.DUMMYFUNCTION("""COMPUTED_VALUE"""),1585.0)</f>
        <v>1585</v>
      </c>
      <c r="K1161" s="4">
        <f>IFERROR(__xludf.DUMMYFUNCTION("""COMPUTED_VALUE"""),2412.0)</f>
        <v>2412</v>
      </c>
      <c r="L1161" s="4">
        <f>IFERROR(__xludf.DUMMYFUNCTION("""COMPUTED_VALUE"""),0.417)</f>
        <v>0.417</v>
      </c>
      <c r="M1161" s="4">
        <f>IFERROR(__xludf.DUMMYFUNCTION("""COMPUTED_VALUE"""),0.351)</f>
        <v>0.351</v>
      </c>
      <c r="N1161" s="4">
        <f>IFERROR(__xludf.DUMMYFUNCTION("""COMPUTED_VALUE"""),0.793)</f>
        <v>0.793</v>
      </c>
      <c r="O1161" s="4">
        <f>IFERROR(__xludf.DUMMYFUNCTION("""COMPUTED_VALUE"""),26.7)</f>
        <v>26.7</v>
      </c>
      <c r="P1161" s="4">
        <f>IFERROR(__xludf.DUMMYFUNCTION("""COMPUTED_VALUE"""),8.9)</f>
        <v>8.9</v>
      </c>
      <c r="Q1161" s="4">
        <f>IFERROR(__xludf.DUMMYFUNCTION("""COMPUTED_VALUE"""),2.5)</f>
        <v>2.5</v>
      </c>
      <c r="R1161" s="4">
        <f>IFERROR(__xludf.DUMMYFUNCTION("""COMPUTED_VALUE"""),3.7)</f>
        <v>3.7</v>
      </c>
      <c r="S1161" s="4">
        <f>IFERROR(__xludf.DUMMYFUNCTION("""COMPUTED_VALUE"""),32.3)</f>
        <v>32.3</v>
      </c>
      <c r="T1161" s="4">
        <f>IFERROR(__xludf.DUMMYFUNCTION("""COMPUTED_VALUE"""),0.09)</f>
        <v>0.09</v>
      </c>
      <c r="U1161" s="4">
        <f>IFERROR(__xludf.DUMMYFUNCTION("""COMPUTED_VALUE"""),-0.6)</f>
        <v>-0.6</v>
      </c>
      <c r="V1161" s="4">
        <f>IFERROR(__xludf.DUMMYFUNCTION("""COMPUTED_VALUE"""),5.9)</f>
        <v>5.9</v>
      </c>
    </row>
    <row r="1162">
      <c r="A1162" s="4">
        <f>IFERROR(__xludf.DUMMYFUNCTION("""COMPUTED_VALUE"""),35.0)</f>
        <v>35</v>
      </c>
      <c r="B1162" s="4">
        <f>IFERROR(__xludf.DUMMYFUNCTION("""COMPUTED_VALUE"""),35.0)</f>
        <v>35</v>
      </c>
      <c r="C1162" s="4" t="str">
        <f>IFERROR(__xludf.DUMMYFUNCTION("""COMPUTED_VALUE"""),"LAC")</f>
        <v>LAC</v>
      </c>
      <c r="D1162" s="4" t="str">
        <f>IFERROR(__xludf.DUMMYFUNCTION("""COMPUTED_VALUE"""),"DeAndre Jordan")</f>
        <v>DeAndre Jordan</v>
      </c>
      <c r="E1162" s="4" t="str">
        <f>IFERROR(__xludf.DUMMYFUNCTION("""COMPUTED_VALUE"""),"Texas A&amp;M")</f>
        <v>Texas A&amp;M</v>
      </c>
      <c r="F1162" s="4">
        <f>IFERROR(__xludf.DUMMYFUNCTION("""COMPUTED_VALUE"""),18.0)</f>
        <v>18</v>
      </c>
      <c r="G1162" s="4">
        <f>IFERROR(__xludf.DUMMYFUNCTION("""COMPUTED_VALUE"""),1113.0)</f>
        <v>1113</v>
      </c>
      <c r="H1162" s="4">
        <f>IFERROR(__xludf.DUMMYFUNCTION("""COMPUTED_VALUE"""),27890.0)</f>
        <v>27890</v>
      </c>
      <c r="I1162" s="4">
        <f>IFERROR(__xludf.DUMMYFUNCTION("""COMPUTED_VALUE"""),9492.0)</f>
        <v>9492</v>
      </c>
      <c r="J1162" s="4">
        <f>IFERROR(__xludf.DUMMYFUNCTION("""COMPUTED_VALUE"""),10795.0)</f>
        <v>10795</v>
      </c>
      <c r="K1162" s="4">
        <f>IFERROR(__xludf.DUMMYFUNCTION("""COMPUTED_VALUE"""),1045.0)</f>
        <v>1045</v>
      </c>
      <c r="L1162" s="4">
        <f>IFERROR(__xludf.DUMMYFUNCTION("""COMPUTED_VALUE"""),0.674)</f>
        <v>0.674</v>
      </c>
      <c r="M1162" s="4">
        <f>IFERROR(__xludf.DUMMYFUNCTION("""COMPUTED_VALUE"""),0.154)</f>
        <v>0.154</v>
      </c>
      <c r="N1162" s="4">
        <f>IFERROR(__xludf.DUMMYFUNCTION("""COMPUTED_VALUE"""),0.475)</f>
        <v>0.475</v>
      </c>
      <c r="O1162" s="4">
        <f>IFERROR(__xludf.DUMMYFUNCTION("""COMPUTED_VALUE"""),25.1)</f>
        <v>25.1</v>
      </c>
      <c r="P1162" s="4">
        <f>IFERROR(__xludf.DUMMYFUNCTION("""COMPUTED_VALUE"""),8.5)</f>
        <v>8.5</v>
      </c>
      <c r="Q1162" s="4">
        <f>IFERROR(__xludf.DUMMYFUNCTION("""COMPUTED_VALUE"""),9.7)</f>
        <v>9.7</v>
      </c>
      <c r="R1162" s="4">
        <f>IFERROR(__xludf.DUMMYFUNCTION("""COMPUTED_VALUE"""),0.9)</f>
        <v>0.9</v>
      </c>
      <c r="S1162" s="4">
        <f>IFERROR(__xludf.DUMMYFUNCTION("""COMPUTED_VALUE"""),98.9)</f>
        <v>98.9</v>
      </c>
      <c r="T1162" s="4">
        <f>IFERROR(__xludf.DUMMYFUNCTION("""COMPUTED_VALUE"""),0.17)</f>
        <v>0.17</v>
      </c>
      <c r="U1162" s="4">
        <f>IFERROR(__xludf.DUMMYFUNCTION("""COMPUTED_VALUE"""),1.1)</f>
        <v>1.1</v>
      </c>
      <c r="V1162" s="4">
        <f>IFERROR(__xludf.DUMMYFUNCTION("""COMPUTED_VALUE"""),22.2)</f>
        <v>22.2</v>
      </c>
    </row>
    <row r="1163">
      <c r="A1163" s="4">
        <f>IFERROR(__xludf.DUMMYFUNCTION("""COMPUTED_VALUE"""),36.0)</f>
        <v>36</v>
      </c>
      <c r="B1163" s="4">
        <f>IFERROR(__xludf.DUMMYFUNCTION("""COMPUTED_VALUE"""),36.0)</f>
        <v>36</v>
      </c>
      <c r="C1163" s="4" t="str">
        <f>IFERROR(__xludf.DUMMYFUNCTION("""COMPUTED_VALUE"""),"POR")</f>
        <v>POR</v>
      </c>
      <c r="D1163" s="4" t="str">
        <f>IFERROR(__xludf.DUMMYFUNCTION("""COMPUTED_VALUE"""),"Ömer Aşık")</f>
        <v>Ömer Aşık</v>
      </c>
      <c r="E1163" s="4"/>
      <c r="F1163" s="4">
        <f>IFERROR(__xludf.DUMMYFUNCTION("""COMPUTED_VALUE"""),8.0)</f>
        <v>8</v>
      </c>
      <c r="G1163" s="4">
        <f>IFERROR(__xludf.DUMMYFUNCTION("""COMPUTED_VALUE"""),471.0)</f>
        <v>471</v>
      </c>
      <c r="H1163" s="4">
        <f>IFERROR(__xludf.DUMMYFUNCTION("""COMPUTED_VALUE"""),9216.0)</f>
        <v>9216</v>
      </c>
      <c r="I1163" s="4">
        <f>IFERROR(__xludf.DUMMYFUNCTION("""COMPUTED_VALUE"""),2479.0)</f>
        <v>2479</v>
      </c>
      <c r="J1163" s="4">
        <f>IFERROR(__xludf.DUMMYFUNCTION("""COMPUTED_VALUE"""),3362.0)</f>
        <v>3362</v>
      </c>
      <c r="K1163" s="4">
        <f>IFERROR(__xludf.DUMMYFUNCTION("""COMPUTED_VALUE"""),280.0)</f>
        <v>280</v>
      </c>
      <c r="L1163" s="4">
        <f>IFERROR(__xludf.DUMMYFUNCTION("""COMPUTED_VALUE"""),0.528)</f>
        <v>0.528</v>
      </c>
      <c r="M1163" s="4">
        <f>IFERROR(__xludf.DUMMYFUNCTION("""COMPUTED_VALUE"""),0.0)</f>
        <v>0</v>
      </c>
      <c r="N1163" s="4">
        <f>IFERROR(__xludf.DUMMYFUNCTION("""COMPUTED_VALUE"""),0.551)</f>
        <v>0.551</v>
      </c>
      <c r="O1163" s="4">
        <f>IFERROR(__xludf.DUMMYFUNCTION("""COMPUTED_VALUE"""),19.6)</f>
        <v>19.6</v>
      </c>
      <c r="P1163" s="4">
        <f>IFERROR(__xludf.DUMMYFUNCTION("""COMPUTED_VALUE"""),5.3)</f>
        <v>5.3</v>
      </c>
      <c r="Q1163" s="4">
        <f>IFERROR(__xludf.DUMMYFUNCTION("""COMPUTED_VALUE"""),7.1)</f>
        <v>7.1</v>
      </c>
      <c r="R1163" s="4">
        <f>IFERROR(__xludf.DUMMYFUNCTION("""COMPUTED_VALUE"""),0.6)</f>
        <v>0.6</v>
      </c>
      <c r="S1163" s="4">
        <f>IFERROR(__xludf.DUMMYFUNCTION("""COMPUTED_VALUE"""),20.9)</f>
        <v>20.9</v>
      </c>
      <c r="T1163" s="4">
        <f>IFERROR(__xludf.DUMMYFUNCTION("""COMPUTED_VALUE"""),0.109)</f>
        <v>0.109</v>
      </c>
      <c r="U1163" s="4">
        <f>IFERROR(__xludf.DUMMYFUNCTION("""COMPUTED_VALUE"""),-1.9)</f>
        <v>-1.9</v>
      </c>
      <c r="V1163" s="4">
        <f>IFERROR(__xludf.DUMMYFUNCTION("""COMPUTED_VALUE"""),0.1)</f>
        <v>0.1</v>
      </c>
    </row>
    <row r="1164">
      <c r="A1164" s="4">
        <f>IFERROR(__xludf.DUMMYFUNCTION("""COMPUTED_VALUE"""),37.0)</f>
        <v>37</v>
      </c>
      <c r="B1164" s="4">
        <f>IFERROR(__xludf.DUMMYFUNCTION("""COMPUTED_VALUE"""),37.0)</f>
        <v>37</v>
      </c>
      <c r="C1164" s="4" t="str">
        <f>IFERROR(__xludf.DUMMYFUNCTION("""COMPUTED_VALUE"""),"MIL")</f>
        <v>MIL</v>
      </c>
      <c r="D1164" s="4" t="str">
        <f>IFERROR(__xludf.DUMMYFUNCTION("""COMPUTED_VALUE"""),"Luc Mbah a Moute")</f>
        <v>Luc Mbah a Moute</v>
      </c>
      <c r="E1164" s="4" t="str">
        <f>IFERROR(__xludf.DUMMYFUNCTION("""COMPUTED_VALUE"""),"UCLA")</f>
        <v>UCLA</v>
      </c>
      <c r="F1164" s="4">
        <f>IFERROR(__xludf.DUMMYFUNCTION("""COMPUTED_VALUE"""),12.0)</f>
        <v>12</v>
      </c>
      <c r="G1164" s="4">
        <f>IFERROR(__xludf.DUMMYFUNCTION("""COMPUTED_VALUE"""),689.0)</f>
        <v>689</v>
      </c>
      <c r="H1164" s="4">
        <f>IFERROR(__xludf.DUMMYFUNCTION("""COMPUTED_VALUE"""),16038.0)</f>
        <v>16038</v>
      </c>
      <c r="I1164" s="4">
        <f>IFERROR(__xludf.DUMMYFUNCTION("""COMPUTED_VALUE"""),4380.0)</f>
        <v>4380</v>
      </c>
      <c r="J1164" s="4">
        <f>IFERROR(__xludf.DUMMYFUNCTION("""COMPUTED_VALUE"""),2800.0)</f>
        <v>2800</v>
      </c>
      <c r="K1164" s="4">
        <f>IFERROR(__xludf.DUMMYFUNCTION("""COMPUTED_VALUE"""),588.0)</f>
        <v>588</v>
      </c>
      <c r="L1164" s="4">
        <f>IFERROR(__xludf.DUMMYFUNCTION("""COMPUTED_VALUE"""),0.454)</f>
        <v>0.454</v>
      </c>
      <c r="M1164" s="4">
        <f>IFERROR(__xludf.DUMMYFUNCTION("""COMPUTED_VALUE"""),0.334)</f>
        <v>0.334</v>
      </c>
      <c r="N1164" s="4">
        <f>IFERROR(__xludf.DUMMYFUNCTION("""COMPUTED_VALUE"""),0.659)</f>
        <v>0.659</v>
      </c>
      <c r="O1164" s="4">
        <f>IFERROR(__xludf.DUMMYFUNCTION("""COMPUTED_VALUE"""),23.3)</f>
        <v>23.3</v>
      </c>
      <c r="P1164" s="4">
        <f>IFERROR(__xludf.DUMMYFUNCTION("""COMPUTED_VALUE"""),6.4)</f>
        <v>6.4</v>
      </c>
      <c r="Q1164" s="4">
        <f>IFERROR(__xludf.DUMMYFUNCTION("""COMPUTED_VALUE"""),4.1)</f>
        <v>4.1</v>
      </c>
      <c r="R1164" s="4">
        <f>IFERROR(__xludf.DUMMYFUNCTION("""COMPUTED_VALUE"""),0.9)</f>
        <v>0.9</v>
      </c>
      <c r="S1164" s="4">
        <f>IFERROR(__xludf.DUMMYFUNCTION("""COMPUTED_VALUE"""),26.0)</f>
        <v>26</v>
      </c>
      <c r="T1164" s="4">
        <f>IFERROR(__xludf.DUMMYFUNCTION("""COMPUTED_VALUE"""),0.078)</f>
        <v>0.078</v>
      </c>
      <c r="U1164" s="4">
        <f>IFERROR(__xludf.DUMMYFUNCTION("""COMPUTED_VALUE"""),-1.5)</f>
        <v>-1.5</v>
      </c>
      <c r="V1164" s="4">
        <f>IFERROR(__xludf.DUMMYFUNCTION("""COMPUTED_VALUE"""),2.0)</f>
        <v>2</v>
      </c>
    </row>
    <row r="1165">
      <c r="A1165" s="4">
        <f>IFERROR(__xludf.DUMMYFUNCTION("""COMPUTED_VALUE"""),38.0)</f>
        <v>38</v>
      </c>
      <c r="B1165" s="4">
        <f>IFERROR(__xludf.DUMMYFUNCTION("""COMPUTED_VALUE"""),38.0)</f>
        <v>38</v>
      </c>
      <c r="C1165" s="4" t="str">
        <f>IFERROR(__xludf.DUMMYFUNCTION("""COMPUTED_VALUE"""),"CHA")</f>
        <v>CHA</v>
      </c>
      <c r="D1165" s="4" t="str">
        <f>IFERROR(__xludf.DUMMYFUNCTION("""COMPUTED_VALUE"""),"Kyle Weaver")</f>
        <v>Kyle Weaver</v>
      </c>
      <c r="E1165" s="4" t="str">
        <f>IFERROR(__xludf.DUMMYFUNCTION("""COMPUTED_VALUE"""),"Washington State")</f>
        <v>Washington State</v>
      </c>
      <c r="F1165" s="4">
        <f>IFERROR(__xludf.DUMMYFUNCTION("""COMPUTED_VALUE"""),3.0)</f>
        <v>3</v>
      </c>
      <c r="G1165" s="4">
        <f>IFERROR(__xludf.DUMMYFUNCTION("""COMPUTED_VALUE"""),73.0)</f>
        <v>73</v>
      </c>
      <c r="H1165" s="4">
        <f>IFERROR(__xludf.DUMMYFUNCTION("""COMPUTED_VALUE"""),1379.0)</f>
        <v>1379</v>
      </c>
      <c r="I1165" s="4">
        <f>IFERROR(__xludf.DUMMYFUNCTION("""COMPUTED_VALUE"""),363.0)</f>
        <v>363</v>
      </c>
      <c r="J1165" s="4">
        <f>IFERROR(__xludf.DUMMYFUNCTION("""COMPUTED_VALUE"""),158.0)</f>
        <v>158</v>
      </c>
      <c r="K1165" s="4">
        <f>IFERROR(__xludf.DUMMYFUNCTION("""COMPUTED_VALUE"""),119.0)</f>
        <v>119</v>
      </c>
      <c r="L1165" s="4">
        <f>IFERROR(__xludf.DUMMYFUNCTION("""COMPUTED_VALUE"""),0.441)</f>
        <v>0.441</v>
      </c>
      <c r="M1165" s="4">
        <f>IFERROR(__xludf.DUMMYFUNCTION("""COMPUTED_VALUE"""),0.353)</f>
        <v>0.353</v>
      </c>
      <c r="N1165" s="4">
        <f>IFERROR(__xludf.DUMMYFUNCTION("""COMPUTED_VALUE"""),0.736)</f>
        <v>0.736</v>
      </c>
      <c r="O1165" s="4">
        <f>IFERROR(__xludf.DUMMYFUNCTION("""COMPUTED_VALUE"""),18.9)</f>
        <v>18.9</v>
      </c>
      <c r="P1165" s="4">
        <f>IFERROR(__xludf.DUMMYFUNCTION("""COMPUTED_VALUE"""),5.0)</f>
        <v>5</v>
      </c>
      <c r="Q1165" s="4">
        <f>IFERROR(__xludf.DUMMYFUNCTION("""COMPUTED_VALUE"""),2.2)</f>
        <v>2.2</v>
      </c>
      <c r="R1165" s="4">
        <f>IFERROR(__xludf.DUMMYFUNCTION("""COMPUTED_VALUE"""),1.6)</f>
        <v>1.6</v>
      </c>
      <c r="S1165" s="4">
        <f>IFERROR(__xludf.DUMMYFUNCTION("""COMPUTED_VALUE"""),1.5)</f>
        <v>1.5</v>
      </c>
      <c r="T1165" s="4">
        <f>IFERROR(__xludf.DUMMYFUNCTION("""COMPUTED_VALUE"""),0.051)</f>
        <v>0.051</v>
      </c>
      <c r="U1165" s="4">
        <f>IFERROR(__xludf.DUMMYFUNCTION("""COMPUTED_VALUE"""),-1.1)</f>
        <v>-1.1</v>
      </c>
      <c r="V1165" s="4">
        <f>IFERROR(__xludf.DUMMYFUNCTION("""COMPUTED_VALUE"""),0.3)</f>
        <v>0.3</v>
      </c>
    </row>
    <row r="1166">
      <c r="A1166" s="4">
        <f>IFERROR(__xludf.DUMMYFUNCTION("""COMPUTED_VALUE"""),39.0)</f>
        <v>39</v>
      </c>
      <c r="B1166" s="4">
        <f>IFERROR(__xludf.DUMMYFUNCTION("""COMPUTED_VALUE"""),39.0)</f>
        <v>39</v>
      </c>
      <c r="C1166" s="4" t="str">
        <f>IFERROR(__xludf.DUMMYFUNCTION("""COMPUTED_VALUE"""),"CHI")</f>
        <v>CHI</v>
      </c>
      <c r="D1166" s="4" t="str">
        <f>IFERROR(__xludf.DUMMYFUNCTION("""COMPUTED_VALUE"""),"Sonny Weems")</f>
        <v>Sonny Weems</v>
      </c>
      <c r="E1166" s="4" t="str">
        <f>IFERROR(__xludf.DUMMYFUNCTION("""COMPUTED_VALUE"""),"Arkansas")</f>
        <v>Arkansas</v>
      </c>
      <c r="F1166" s="4">
        <f>IFERROR(__xludf.DUMMYFUNCTION("""COMPUTED_VALUE"""),4.0)</f>
        <v>4</v>
      </c>
      <c r="G1166" s="4">
        <f>IFERROR(__xludf.DUMMYFUNCTION("""COMPUTED_VALUE"""),183.0)</f>
        <v>183</v>
      </c>
      <c r="H1166" s="4">
        <f>IFERROR(__xludf.DUMMYFUNCTION("""COMPUTED_VALUE"""),3335.0)</f>
        <v>3335</v>
      </c>
      <c r="I1166" s="4">
        <f>IFERROR(__xludf.DUMMYFUNCTION("""COMPUTED_VALUE"""),1189.0)</f>
        <v>1189</v>
      </c>
      <c r="J1166" s="4">
        <f>IFERROR(__xludf.DUMMYFUNCTION("""COMPUTED_VALUE"""),402.0)</f>
        <v>402</v>
      </c>
      <c r="K1166" s="4">
        <f>IFERROR(__xludf.DUMMYFUNCTION("""COMPUTED_VALUE"""),257.0)</f>
        <v>257</v>
      </c>
      <c r="L1166" s="4">
        <f>IFERROR(__xludf.DUMMYFUNCTION("""COMPUTED_VALUE"""),0.465)</f>
        <v>0.465</v>
      </c>
      <c r="M1166" s="4">
        <f>IFERROR(__xludf.DUMMYFUNCTION("""COMPUTED_VALUE"""),0.283)</f>
        <v>0.283</v>
      </c>
      <c r="N1166" s="4">
        <f>IFERROR(__xludf.DUMMYFUNCTION("""COMPUTED_VALUE"""),0.702)</f>
        <v>0.702</v>
      </c>
      <c r="O1166" s="4">
        <f>IFERROR(__xludf.DUMMYFUNCTION("""COMPUTED_VALUE"""),18.2)</f>
        <v>18.2</v>
      </c>
      <c r="P1166" s="4">
        <f>IFERROR(__xludf.DUMMYFUNCTION("""COMPUTED_VALUE"""),6.5)</f>
        <v>6.5</v>
      </c>
      <c r="Q1166" s="4">
        <f>IFERROR(__xludf.DUMMYFUNCTION("""COMPUTED_VALUE"""),2.2)</f>
        <v>2.2</v>
      </c>
      <c r="R1166" s="4">
        <f>IFERROR(__xludf.DUMMYFUNCTION("""COMPUTED_VALUE"""),1.4)</f>
        <v>1.4</v>
      </c>
      <c r="S1166" s="4">
        <f>IFERROR(__xludf.DUMMYFUNCTION("""COMPUTED_VALUE"""),0.0)</f>
        <v>0</v>
      </c>
      <c r="T1166" s="4">
        <f>IFERROR(__xludf.DUMMYFUNCTION("""COMPUTED_VALUE"""),0.001)</f>
        <v>0.001</v>
      </c>
      <c r="U1166" s="4">
        <f>IFERROR(__xludf.DUMMYFUNCTION("""COMPUTED_VALUE"""),-4.2)</f>
        <v>-4.2</v>
      </c>
      <c r="V1166" s="4">
        <f>IFERROR(__xludf.DUMMYFUNCTION("""COMPUTED_VALUE"""),-1.8)</f>
        <v>-1.8</v>
      </c>
    </row>
    <row r="1167">
      <c r="A1167" s="4">
        <f>IFERROR(__xludf.DUMMYFUNCTION("""COMPUTED_VALUE"""),40.0)</f>
        <v>40</v>
      </c>
      <c r="B1167" s="4">
        <f>IFERROR(__xludf.DUMMYFUNCTION("""COMPUTED_VALUE"""),40.0)</f>
        <v>40</v>
      </c>
      <c r="C1167" s="4" t="str">
        <f>IFERROR(__xludf.DUMMYFUNCTION("""COMPUTED_VALUE"""),"NJN")</f>
        <v>NJN</v>
      </c>
      <c r="D1167" s="4" t="str">
        <f>IFERROR(__xludf.DUMMYFUNCTION("""COMPUTED_VALUE"""),"Chris Douglas-Roberts")</f>
        <v>Chris Douglas-Roberts</v>
      </c>
      <c r="E1167" s="4" t="str">
        <f>IFERROR(__xludf.DUMMYFUNCTION("""COMPUTED_VALUE"""),"Memphis")</f>
        <v>Memphis</v>
      </c>
      <c r="F1167" s="4">
        <f>IFERROR(__xludf.DUMMYFUNCTION("""COMPUTED_VALUE"""),6.0)</f>
        <v>6</v>
      </c>
      <c r="G1167" s="4">
        <f>IFERROR(__xludf.DUMMYFUNCTION("""COMPUTED_VALUE"""),222.0)</f>
        <v>222</v>
      </c>
      <c r="H1167" s="4">
        <f>IFERROR(__xludf.DUMMYFUNCTION("""COMPUTED_VALUE"""),4381.0)</f>
        <v>4381</v>
      </c>
      <c r="I1167" s="4">
        <f>IFERROR(__xludf.DUMMYFUNCTION("""COMPUTED_VALUE"""),1571.0)</f>
        <v>1571</v>
      </c>
      <c r="J1167" s="4">
        <f>IFERROR(__xludf.DUMMYFUNCTION("""COMPUTED_VALUE"""),472.0)</f>
        <v>472</v>
      </c>
      <c r="K1167" s="4">
        <f>IFERROR(__xludf.DUMMYFUNCTION("""COMPUTED_VALUE"""),254.0)</f>
        <v>254</v>
      </c>
      <c r="L1167" s="4">
        <f>IFERROR(__xludf.DUMMYFUNCTION("""COMPUTED_VALUE"""),0.439)</f>
        <v>0.439</v>
      </c>
      <c r="M1167" s="4">
        <f>IFERROR(__xludf.DUMMYFUNCTION("""COMPUTED_VALUE"""),0.329)</f>
        <v>0.329</v>
      </c>
      <c r="N1167" s="4">
        <f>IFERROR(__xludf.DUMMYFUNCTION("""COMPUTED_VALUE"""),0.831)</f>
        <v>0.831</v>
      </c>
      <c r="O1167" s="4">
        <f>IFERROR(__xludf.DUMMYFUNCTION("""COMPUTED_VALUE"""),19.7)</f>
        <v>19.7</v>
      </c>
      <c r="P1167" s="4">
        <f>IFERROR(__xludf.DUMMYFUNCTION("""COMPUTED_VALUE"""),7.1)</f>
        <v>7.1</v>
      </c>
      <c r="Q1167" s="4">
        <f>IFERROR(__xludf.DUMMYFUNCTION("""COMPUTED_VALUE"""),2.1)</f>
        <v>2.1</v>
      </c>
      <c r="R1167" s="4">
        <f>IFERROR(__xludf.DUMMYFUNCTION("""COMPUTED_VALUE"""),1.1)</f>
        <v>1.1</v>
      </c>
      <c r="S1167" s="4">
        <f>IFERROR(__xludf.DUMMYFUNCTION("""COMPUTED_VALUE"""),5.4)</f>
        <v>5.4</v>
      </c>
      <c r="T1167" s="4">
        <f>IFERROR(__xludf.DUMMYFUNCTION("""COMPUTED_VALUE"""),0.059)</f>
        <v>0.059</v>
      </c>
      <c r="U1167" s="4">
        <f>IFERROR(__xludf.DUMMYFUNCTION("""COMPUTED_VALUE"""),-2.2)</f>
        <v>-2.2</v>
      </c>
      <c r="V1167" s="4">
        <f>IFERROR(__xludf.DUMMYFUNCTION("""COMPUTED_VALUE"""),-0.2)</f>
        <v>-0.2</v>
      </c>
    </row>
    <row r="1168">
      <c r="A1168" s="4">
        <f>IFERROR(__xludf.DUMMYFUNCTION("""COMPUTED_VALUE"""),41.0)</f>
        <v>41</v>
      </c>
      <c r="B1168" s="4">
        <f>IFERROR(__xludf.DUMMYFUNCTION("""COMPUTED_VALUE"""),41.0)</f>
        <v>41</v>
      </c>
      <c r="C1168" s="4" t="str">
        <f>IFERROR(__xludf.DUMMYFUNCTION("""COMPUTED_VALUE"""),"IND")</f>
        <v>IND</v>
      </c>
      <c r="D1168" s="4" t="str">
        <f>IFERROR(__xludf.DUMMYFUNCTION("""COMPUTED_VALUE"""),"Nathan Jawai")</f>
        <v>Nathan Jawai</v>
      </c>
      <c r="E1168" s="4"/>
      <c r="F1168" s="4">
        <f>IFERROR(__xludf.DUMMYFUNCTION("""COMPUTED_VALUE"""),2.0)</f>
        <v>2</v>
      </c>
      <c r="G1168" s="4">
        <f>IFERROR(__xludf.DUMMYFUNCTION("""COMPUTED_VALUE"""),45.0)</f>
        <v>45</v>
      </c>
      <c r="H1168" s="4">
        <f>IFERROR(__xludf.DUMMYFUNCTION("""COMPUTED_VALUE"""),431.0)</f>
        <v>431</v>
      </c>
      <c r="I1168" s="4">
        <f>IFERROR(__xludf.DUMMYFUNCTION("""COMPUTED_VALUE"""),126.0)</f>
        <v>126</v>
      </c>
      <c r="J1168" s="4">
        <f>IFERROR(__xludf.DUMMYFUNCTION("""COMPUTED_VALUE"""),106.0)</f>
        <v>106</v>
      </c>
      <c r="K1168" s="4">
        <f>IFERROR(__xludf.DUMMYFUNCTION("""COMPUTED_VALUE"""),24.0)</f>
        <v>24</v>
      </c>
      <c r="L1168" s="4">
        <f>IFERROR(__xludf.DUMMYFUNCTION("""COMPUTED_VALUE"""),0.435)</f>
        <v>0.435</v>
      </c>
      <c r="M1168" s="4">
        <f>IFERROR(__xludf.DUMMYFUNCTION("""COMPUTED_VALUE"""),0.0)</f>
        <v>0</v>
      </c>
      <c r="N1168" s="4">
        <f>IFERROR(__xludf.DUMMYFUNCTION("""COMPUTED_VALUE"""),0.684)</f>
        <v>0.684</v>
      </c>
      <c r="O1168" s="4">
        <f>IFERROR(__xludf.DUMMYFUNCTION("""COMPUTED_VALUE"""),9.6)</f>
        <v>9.6</v>
      </c>
      <c r="P1168" s="4">
        <f>IFERROR(__xludf.DUMMYFUNCTION("""COMPUTED_VALUE"""),2.8)</f>
        <v>2.8</v>
      </c>
      <c r="Q1168" s="4">
        <f>IFERROR(__xludf.DUMMYFUNCTION("""COMPUTED_VALUE"""),2.4)</f>
        <v>2.4</v>
      </c>
      <c r="R1168" s="4">
        <f>IFERROR(__xludf.DUMMYFUNCTION("""COMPUTED_VALUE"""),0.5)</f>
        <v>0.5</v>
      </c>
      <c r="S1168" s="4">
        <f>IFERROR(__xludf.DUMMYFUNCTION("""COMPUTED_VALUE"""),0.2)</f>
        <v>0.2</v>
      </c>
      <c r="T1168" s="4">
        <f>IFERROR(__xludf.DUMMYFUNCTION("""COMPUTED_VALUE"""),0.02)</f>
        <v>0.02</v>
      </c>
      <c r="U1168" s="4">
        <f>IFERROR(__xludf.DUMMYFUNCTION("""COMPUTED_VALUE"""),-4.4)</f>
        <v>-4.4</v>
      </c>
      <c r="V1168" s="4">
        <f>IFERROR(__xludf.DUMMYFUNCTION("""COMPUTED_VALUE"""),-0.3)</f>
        <v>-0.3</v>
      </c>
    </row>
    <row r="1169">
      <c r="A1169" s="4">
        <f>IFERROR(__xludf.DUMMYFUNCTION("""COMPUTED_VALUE"""),42.0)</f>
        <v>42</v>
      </c>
      <c r="B1169" s="4">
        <f>IFERROR(__xludf.DUMMYFUNCTION("""COMPUTED_VALUE"""),42.0)</f>
        <v>42</v>
      </c>
      <c r="C1169" s="4" t="str">
        <f>IFERROR(__xludf.DUMMYFUNCTION("""COMPUTED_VALUE"""),"SAC")</f>
        <v>SAC</v>
      </c>
      <c r="D1169" s="4" t="str">
        <f>IFERROR(__xludf.DUMMYFUNCTION("""COMPUTED_VALUE"""),"Sean Singletary")</f>
        <v>Sean Singletary</v>
      </c>
      <c r="E1169" s="4" t="str">
        <f>IFERROR(__xludf.DUMMYFUNCTION("""COMPUTED_VALUE"""),"Virginia")</f>
        <v>Virginia</v>
      </c>
      <c r="F1169" s="4">
        <f>IFERROR(__xludf.DUMMYFUNCTION("""COMPUTED_VALUE"""),1.0)</f>
        <v>1</v>
      </c>
      <c r="G1169" s="4">
        <f>IFERROR(__xludf.DUMMYFUNCTION("""COMPUTED_VALUE"""),37.0)</f>
        <v>37</v>
      </c>
      <c r="H1169" s="4">
        <f>IFERROR(__xludf.DUMMYFUNCTION("""COMPUTED_VALUE"""),303.0)</f>
        <v>303</v>
      </c>
      <c r="I1169" s="4">
        <f>IFERROR(__xludf.DUMMYFUNCTION("""COMPUTED_VALUE"""),90.0)</f>
        <v>90</v>
      </c>
      <c r="J1169" s="4">
        <f>IFERROR(__xludf.DUMMYFUNCTION("""COMPUTED_VALUE"""),35.0)</f>
        <v>35</v>
      </c>
      <c r="K1169" s="4">
        <f>IFERROR(__xludf.DUMMYFUNCTION("""COMPUTED_VALUE"""),29.0)</f>
        <v>29</v>
      </c>
      <c r="L1169" s="4">
        <f>IFERROR(__xludf.DUMMYFUNCTION("""COMPUTED_VALUE"""),0.365)</f>
        <v>0.365</v>
      </c>
      <c r="M1169" s="4">
        <f>IFERROR(__xludf.DUMMYFUNCTION("""COMPUTED_VALUE"""),0.4)</f>
        <v>0.4</v>
      </c>
      <c r="N1169" s="4">
        <f>IFERROR(__xludf.DUMMYFUNCTION("""COMPUTED_VALUE"""),0.857)</f>
        <v>0.857</v>
      </c>
      <c r="O1169" s="4">
        <f>IFERROR(__xludf.DUMMYFUNCTION("""COMPUTED_VALUE"""),8.2)</f>
        <v>8.2</v>
      </c>
      <c r="P1169" s="4">
        <f>IFERROR(__xludf.DUMMYFUNCTION("""COMPUTED_VALUE"""),2.4)</f>
        <v>2.4</v>
      </c>
      <c r="Q1169" s="4">
        <f>IFERROR(__xludf.DUMMYFUNCTION("""COMPUTED_VALUE"""),0.9)</f>
        <v>0.9</v>
      </c>
      <c r="R1169" s="4">
        <f>IFERROR(__xludf.DUMMYFUNCTION("""COMPUTED_VALUE"""),0.8)</f>
        <v>0.8</v>
      </c>
      <c r="S1169" s="4">
        <f>IFERROR(__xludf.DUMMYFUNCTION("""COMPUTED_VALUE"""),0.0)</f>
        <v>0</v>
      </c>
      <c r="T1169" s="4">
        <f>IFERROR(__xludf.DUMMYFUNCTION("""COMPUTED_VALUE"""),0.006)</f>
        <v>0.006</v>
      </c>
      <c r="U1169" s="4">
        <f>IFERROR(__xludf.DUMMYFUNCTION("""COMPUTED_VALUE"""),-5.1)</f>
        <v>-5.1</v>
      </c>
      <c r="V1169" s="4">
        <f>IFERROR(__xludf.DUMMYFUNCTION("""COMPUTED_VALUE"""),-0.2)</f>
        <v>-0.2</v>
      </c>
    </row>
    <row r="1170">
      <c r="A1170" s="4">
        <f>IFERROR(__xludf.DUMMYFUNCTION("""COMPUTED_VALUE"""),43.0)</f>
        <v>43</v>
      </c>
      <c r="B1170" s="4">
        <f>IFERROR(__xludf.DUMMYFUNCTION("""COMPUTED_VALUE"""),43.0)</f>
        <v>43</v>
      </c>
      <c r="C1170" s="4" t="str">
        <f>IFERROR(__xludf.DUMMYFUNCTION("""COMPUTED_VALUE"""),"SAC")</f>
        <v>SAC</v>
      </c>
      <c r="D1170" s="4" t="str">
        <f>IFERROR(__xludf.DUMMYFUNCTION("""COMPUTED_VALUE"""),"Patrick Ewing")</f>
        <v>Patrick Ewing</v>
      </c>
      <c r="E1170" s="4" t="str">
        <f>IFERROR(__xludf.DUMMYFUNCTION("""COMPUTED_VALUE"""),"Georgetown")</f>
        <v>Georgetown</v>
      </c>
      <c r="F1170" s="4">
        <f>IFERROR(__xludf.DUMMYFUNCTION("""COMPUTED_VALUE"""),1.0)</f>
        <v>1</v>
      </c>
      <c r="G1170" s="4">
        <f>IFERROR(__xludf.DUMMYFUNCTION("""COMPUTED_VALUE"""),7.0)</f>
        <v>7</v>
      </c>
      <c r="H1170" s="4">
        <f>IFERROR(__xludf.DUMMYFUNCTION("""COMPUTED_VALUE"""),19.0)</f>
        <v>19</v>
      </c>
      <c r="I1170" s="4">
        <f>IFERROR(__xludf.DUMMYFUNCTION("""COMPUTED_VALUE"""),3.0)</f>
        <v>3</v>
      </c>
      <c r="J1170" s="4">
        <f>IFERROR(__xludf.DUMMYFUNCTION("""COMPUTED_VALUE"""),2.0)</f>
        <v>2</v>
      </c>
      <c r="K1170" s="4">
        <f>IFERROR(__xludf.DUMMYFUNCTION("""COMPUTED_VALUE"""),2.0)</f>
        <v>2</v>
      </c>
      <c r="L1170" s="4">
        <f>IFERROR(__xludf.DUMMYFUNCTION("""COMPUTED_VALUE"""),0.0)</f>
        <v>0</v>
      </c>
      <c r="M1170" s="4">
        <f>IFERROR(__xludf.DUMMYFUNCTION("""COMPUTED_VALUE"""),0.0)</f>
        <v>0</v>
      </c>
      <c r="N1170" s="4">
        <f>IFERROR(__xludf.DUMMYFUNCTION("""COMPUTED_VALUE"""),0.75)</f>
        <v>0.75</v>
      </c>
      <c r="O1170" s="4">
        <f>IFERROR(__xludf.DUMMYFUNCTION("""COMPUTED_VALUE"""),2.7)</f>
        <v>2.7</v>
      </c>
      <c r="P1170" s="4">
        <f>IFERROR(__xludf.DUMMYFUNCTION("""COMPUTED_VALUE"""),0.4)</f>
        <v>0.4</v>
      </c>
      <c r="Q1170" s="4">
        <f>IFERROR(__xludf.DUMMYFUNCTION("""COMPUTED_VALUE"""),0.3)</f>
        <v>0.3</v>
      </c>
      <c r="R1170" s="4">
        <f>IFERROR(__xludf.DUMMYFUNCTION("""COMPUTED_VALUE"""),0.3)</f>
        <v>0.3</v>
      </c>
      <c r="S1170" s="4">
        <f>IFERROR(__xludf.DUMMYFUNCTION("""COMPUTED_VALUE"""),-0.1)</f>
        <v>-0.1</v>
      </c>
      <c r="T1170" s="4">
        <f>IFERROR(__xludf.DUMMYFUNCTION("""COMPUTED_VALUE"""),-0.158)</f>
        <v>-0.158</v>
      </c>
      <c r="U1170" s="4">
        <f>IFERROR(__xludf.DUMMYFUNCTION("""COMPUTED_VALUE"""),-9.1)</f>
        <v>-9.1</v>
      </c>
      <c r="V1170" s="4">
        <f>IFERROR(__xludf.DUMMYFUNCTION("""COMPUTED_VALUE"""),0.0)</f>
        <v>0</v>
      </c>
    </row>
    <row r="1171">
      <c r="A1171" s="4">
        <f>IFERROR(__xludf.DUMMYFUNCTION("""COMPUTED_VALUE"""),44.0)</f>
        <v>44</v>
      </c>
      <c r="B1171" s="4">
        <f>IFERROR(__xludf.DUMMYFUNCTION("""COMPUTED_VALUE"""),44.0)</f>
        <v>44</v>
      </c>
      <c r="C1171" s="4" t="str">
        <f>IFERROR(__xludf.DUMMYFUNCTION("""COMPUTED_VALUE"""),"UTA")</f>
        <v>UTA</v>
      </c>
      <c r="D1171" s="4" t="str">
        <f>IFERROR(__xludf.DUMMYFUNCTION("""COMPUTED_VALUE"""),"Ante Tomić")</f>
        <v>Ante Tomić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>
      <c r="A1172" s="4">
        <f>IFERROR(__xludf.DUMMYFUNCTION("""COMPUTED_VALUE"""),45.0)</f>
        <v>45</v>
      </c>
      <c r="B1172" s="4">
        <f>IFERROR(__xludf.DUMMYFUNCTION("""COMPUTED_VALUE"""),45.0)</f>
        <v>45</v>
      </c>
      <c r="C1172" s="4" t="str">
        <f>IFERROR(__xludf.DUMMYFUNCTION("""COMPUTED_VALUE"""),"SAS")</f>
        <v>SAS</v>
      </c>
      <c r="D1172" s="4" t="str">
        <f>IFERROR(__xludf.DUMMYFUNCTION("""COMPUTED_VALUE"""),"Goran Dragić")</f>
        <v>Goran Dragić</v>
      </c>
      <c r="E1172" s="4"/>
      <c r="F1172" s="4">
        <f>IFERROR(__xludf.DUMMYFUNCTION("""COMPUTED_VALUE"""),15.0)</f>
        <v>15</v>
      </c>
      <c r="G1172" s="4">
        <f>IFERROR(__xludf.DUMMYFUNCTION("""COMPUTED_VALUE"""),946.0)</f>
        <v>946</v>
      </c>
      <c r="H1172" s="4">
        <f>IFERROR(__xludf.DUMMYFUNCTION("""COMPUTED_VALUE"""),25603.0)</f>
        <v>25603</v>
      </c>
      <c r="I1172" s="4">
        <f>IFERROR(__xludf.DUMMYFUNCTION("""COMPUTED_VALUE"""),12568.0)</f>
        <v>12568</v>
      </c>
      <c r="J1172" s="4">
        <f>IFERROR(__xludf.DUMMYFUNCTION("""COMPUTED_VALUE"""),2816.0)</f>
        <v>2816</v>
      </c>
      <c r="K1172" s="4">
        <f>IFERROR(__xludf.DUMMYFUNCTION("""COMPUTED_VALUE"""),4405.0)</f>
        <v>4405</v>
      </c>
      <c r="L1172" s="4">
        <f>IFERROR(__xludf.DUMMYFUNCTION("""COMPUTED_VALUE"""),0.459)</f>
        <v>0.459</v>
      </c>
      <c r="M1172" s="4">
        <f>IFERROR(__xludf.DUMMYFUNCTION("""COMPUTED_VALUE"""),0.362)</f>
        <v>0.362</v>
      </c>
      <c r="N1172" s="4">
        <f>IFERROR(__xludf.DUMMYFUNCTION("""COMPUTED_VALUE"""),0.766)</f>
        <v>0.766</v>
      </c>
      <c r="O1172" s="4">
        <f>IFERROR(__xludf.DUMMYFUNCTION("""COMPUTED_VALUE"""),27.1)</f>
        <v>27.1</v>
      </c>
      <c r="P1172" s="4">
        <f>IFERROR(__xludf.DUMMYFUNCTION("""COMPUTED_VALUE"""),13.3)</f>
        <v>13.3</v>
      </c>
      <c r="Q1172" s="4">
        <f>IFERROR(__xludf.DUMMYFUNCTION("""COMPUTED_VALUE"""),3.0)</f>
        <v>3</v>
      </c>
      <c r="R1172" s="4">
        <f>IFERROR(__xludf.DUMMYFUNCTION("""COMPUTED_VALUE"""),4.7)</f>
        <v>4.7</v>
      </c>
      <c r="S1172" s="4">
        <f>IFERROR(__xludf.DUMMYFUNCTION("""COMPUTED_VALUE"""),56.7)</f>
        <v>56.7</v>
      </c>
      <c r="T1172" s="4">
        <f>IFERROR(__xludf.DUMMYFUNCTION("""COMPUTED_VALUE"""),0.106)</f>
        <v>0.106</v>
      </c>
      <c r="U1172" s="4">
        <f>IFERROR(__xludf.DUMMYFUNCTION("""COMPUTED_VALUE"""),0.5)</f>
        <v>0.5</v>
      </c>
      <c r="V1172" s="4">
        <f>IFERROR(__xludf.DUMMYFUNCTION("""COMPUTED_VALUE"""),15.9)</f>
        <v>15.9</v>
      </c>
    </row>
    <row r="1173">
      <c r="A1173" s="4">
        <f>IFERROR(__xludf.DUMMYFUNCTION("""COMPUTED_VALUE"""),46.0)</f>
        <v>46</v>
      </c>
      <c r="B1173" s="4">
        <f>IFERROR(__xludf.DUMMYFUNCTION("""COMPUTED_VALUE"""),46.0)</f>
        <v>46</v>
      </c>
      <c r="C1173" s="4" t="str">
        <f>IFERROR(__xludf.DUMMYFUNCTION("""COMPUTED_VALUE"""),"SEA")</f>
        <v>SEA</v>
      </c>
      <c r="D1173" s="4" t="str">
        <f>IFERROR(__xludf.DUMMYFUNCTION("""COMPUTED_VALUE"""),"Trent Plaisted")</f>
        <v>Trent Plaisted</v>
      </c>
      <c r="E1173" s="4" t="str">
        <f>IFERROR(__xludf.DUMMYFUNCTION("""COMPUTED_VALUE"""),"BYU")</f>
        <v>BYU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>
      <c r="A1174" s="4">
        <f>IFERROR(__xludf.DUMMYFUNCTION("""COMPUTED_VALUE"""),47.0)</f>
        <v>47</v>
      </c>
      <c r="B1174" s="4">
        <f>IFERROR(__xludf.DUMMYFUNCTION("""COMPUTED_VALUE"""),47.0)</f>
        <v>47</v>
      </c>
      <c r="C1174" s="4" t="str">
        <f>IFERROR(__xludf.DUMMYFUNCTION("""COMPUTED_VALUE"""),"WAS")</f>
        <v>WAS</v>
      </c>
      <c r="D1174" s="4" t="str">
        <f>IFERROR(__xludf.DUMMYFUNCTION("""COMPUTED_VALUE"""),"Henry Walker")</f>
        <v>Henry Walker</v>
      </c>
      <c r="E1174" s="4" t="str">
        <f>IFERROR(__xludf.DUMMYFUNCTION("""COMPUTED_VALUE"""),"Kansas State")</f>
        <v>Kansas State</v>
      </c>
      <c r="F1174" s="4">
        <f>IFERROR(__xludf.DUMMYFUNCTION("""COMPUTED_VALUE"""),5.0)</f>
        <v>5</v>
      </c>
      <c r="G1174" s="4">
        <f>IFERROR(__xludf.DUMMYFUNCTION("""COMPUTED_VALUE"""),181.0)</f>
        <v>181</v>
      </c>
      <c r="H1174" s="4">
        <f>IFERROR(__xludf.DUMMYFUNCTION("""COMPUTED_VALUE"""),3016.0)</f>
        <v>3016</v>
      </c>
      <c r="I1174" s="4">
        <f>IFERROR(__xludf.DUMMYFUNCTION("""COMPUTED_VALUE"""),1079.0)</f>
        <v>1079</v>
      </c>
      <c r="J1174" s="4">
        <f>IFERROR(__xludf.DUMMYFUNCTION("""COMPUTED_VALUE"""),401.0)</f>
        <v>401</v>
      </c>
      <c r="K1174" s="4">
        <f>IFERROR(__xludf.DUMMYFUNCTION("""COMPUTED_VALUE"""),153.0)</f>
        <v>153</v>
      </c>
      <c r="L1174" s="4">
        <f>IFERROR(__xludf.DUMMYFUNCTION("""COMPUTED_VALUE"""),0.446)</f>
        <v>0.446</v>
      </c>
      <c r="M1174" s="4">
        <f>IFERROR(__xludf.DUMMYFUNCTION("""COMPUTED_VALUE"""),0.369)</f>
        <v>0.369</v>
      </c>
      <c r="N1174" s="4">
        <f>IFERROR(__xludf.DUMMYFUNCTION("""COMPUTED_VALUE"""),0.76)</f>
        <v>0.76</v>
      </c>
      <c r="O1174" s="4">
        <f>IFERROR(__xludf.DUMMYFUNCTION("""COMPUTED_VALUE"""),16.7)</f>
        <v>16.7</v>
      </c>
      <c r="P1174" s="4">
        <f>IFERROR(__xludf.DUMMYFUNCTION("""COMPUTED_VALUE"""),6.0)</f>
        <v>6</v>
      </c>
      <c r="Q1174" s="4">
        <f>IFERROR(__xludf.DUMMYFUNCTION("""COMPUTED_VALUE"""),2.2)</f>
        <v>2.2</v>
      </c>
      <c r="R1174" s="4">
        <f>IFERROR(__xludf.DUMMYFUNCTION("""COMPUTED_VALUE"""),0.8)</f>
        <v>0.8</v>
      </c>
      <c r="S1174" s="4">
        <f>IFERROR(__xludf.DUMMYFUNCTION("""COMPUTED_VALUE"""),5.0)</f>
        <v>5</v>
      </c>
      <c r="T1174" s="4">
        <f>IFERROR(__xludf.DUMMYFUNCTION("""COMPUTED_VALUE"""),0.079)</f>
        <v>0.079</v>
      </c>
      <c r="U1174" s="4">
        <f>IFERROR(__xludf.DUMMYFUNCTION("""COMPUTED_VALUE"""),-1.8)</f>
        <v>-1.8</v>
      </c>
      <c r="V1174" s="4">
        <f>IFERROR(__xludf.DUMMYFUNCTION("""COMPUTED_VALUE"""),0.2)</f>
        <v>0.2</v>
      </c>
    </row>
    <row r="1175">
      <c r="A1175" s="4">
        <f>IFERROR(__xludf.DUMMYFUNCTION("""COMPUTED_VALUE"""),48.0)</f>
        <v>48</v>
      </c>
      <c r="B1175" s="4">
        <f>IFERROR(__xludf.DUMMYFUNCTION("""COMPUTED_VALUE"""),48.0)</f>
        <v>48</v>
      </c>
      <c r="C1175" s="4" t="str">
        <f>IFERROR(__xludf.DUMMYFUNCTION("""COMPUTED_VALUE"""),"PHO")</f>
        <v>PHO</v>
      </c>
      <c r="D1175" s="4" t="str">
        <f>IFERROR(__xludf.DUMMYFUNCTION("""COMPUTED_VALUE"""),"Malik Hairston")</f>
        <v>Malik Hairston</v>
      </c>
      <c r="E1175" s="4" t="str">
        <f>IFERROR(__xludf.DUMMYFUNCTION("""COMPUTED_VALUE"""),"Oregon")</f>
        <v>Oregon</v>
      </c>
      <c r="F1175" s="4">
        <f>IFERROR(__xludf.DUMMYFUNCTION("""COMPUTED_VALUE"""),2.0)</f>
        <v>2</v>
      </c>
      <c r="G1175" s="4">
        <f>IFERROR(__xludf.DUMMYFUNCTION("""COMPUTED_VALUE"""),62.0)</f>
        <v>62</v>
      </c>
      <c r="H1175" s="4">
        <f>IFERROR(__xludf.DUMMYFUNCTION("""COMPUTED_VALUE"""),472.0)</f>
        <v>472</v>
      </c>
      <c r="I1175" s="4">
        <f>IFERROR(__xludf.DUMMYFUNCTION("""COMPUTED_VALUE"""),149.0)</f>
        <v>149</v>
      </c>
      <c r="J1175" s="4">
        <f>IFERROR(__xludf.DUMMYFUNCTION("""COMPUTED_VALUE"""),77.0)</f>
        <v>77</v>
      </c>
      <c r="K1175" s="4">
        <f>IFERROR(__xludf.DUMMYFUNCTION("""COMPUTED_VALUE"""),29.0)</f>
        <v>29</v>
      </c>
      <c r="L1175" s="4">
        <f>IFERROR(__xludf.DUMMYFUNCTION("""COMPUTED_VALUE"""),0.512)</f>
        <v>0.512</v>
      </c>
      <c r="M1175" s="4">
        <f>IFERROR(__xludf.DUMMYFUNCTION("""COMPUTED_VALUE"""),0.167)</f>
        <v>0.167</v>
      </c>
      <c r="N1175" s="4">
        <f>IFERROR(__xludf.DUMMYFUNCTION("""COMPUTED_VALUE"""),0.514)</f>
        <v>0.514</v>
      </c>
      <c r="O1175" s="4">
        <f>IFERROR(__xludf.DUMMYFUNCTION("""COMPUTED_VALUE"""),7.6)</f>
        <v>7.6</v>
      </c>
      <c r="P1175" s="4">
        <f>IFERROR(__xludf.DUMMYFUNCTION("""COMPUTED_VALUE"""),2.4)</f>
        <v>2.4</v>
      </c>
      <c r="Q1175" s="4">
        <f>IFERROR(__xludf.DUMMYFUNCTION("""COMPUTED_VALUE"""),1.2)</f>
        <v>1.2</v>
      </c>
      <c r="R1175" s="4">
        <f>IFERROR(__xludf.DUMMYFUNCTION("""COMPUTED_VALUE"""),0.5)</f>
        <v>0.5</v>
      </c>
      <c r="S1175" s="4">
        <f>IFERROR(__xludf.DUMMYFUNCTION("""COMPUTED_VALUE"""),0.8)</f>
        <v>0.8</v>
      </c>
      <c r="T1175" s="4">
        <f>IFERROR(__xludf.DUMMYFUNCTION("""COMPUTED_VALUE"""),0.086)</f>
        <v>0.086</v>
      </c>
      <c r="U1175" s="4">
        <f>IFERROR(__xludf.DUMMYFUNCTION("""COMPUTED_VALUE"""),-2.0)</f>
        <v>-2</v>
      </c>
      <c r="V1175" s="4">
        <f>IFERROR(__xludf.DUMMYFUNCTION("""COMPUTED_VALUE"""),0.0)</f>
        <v>0</v>
      </c>
    </row>
    <row r="1176">
      <c r="A1176" s="4">
        <f>IFERROR(__xludf.DUMMYFUNCTION("""COMPUTED_VALUE"""),49.0)</f>
        <v>49</v>
      </c>
      <c r="B1176" s="4">
        <f>IFERROR(__xludf.DUMMYFUNCTION("""COMPUTED_VALUE"""),49.0)</f>
        <v>49</v>
      </c>
      <c r="C1176" s="4" t="str">
        <f>IFERROR(__xludf.DUMMYFUNCTION("""COMPUTED_VALUE"""),"GSW")</f>
        <v>GSW</v>
      </c>
      <c r="D1176" s="4" t="str">
        <f>IFERROR(__xludf.DUMMYFUNCTION("""COMPUTED_VALUE"""),"Richard Hendrix")</f>
        <v>Richard Hendrix</v>
      </c>
      <c r="E1176" s="4" t="str">
        <f>IFERROR(__xludf.DUMMYFUNCTION("""COMPUTED_VALUE"""),"Alabama")</f>
        <v>Alabama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>
      <c r="A1177" s="4">
        <f>IFERROR(__xludf.DUMMYFUNCTION("""COMPUTED_VALUE"""),50.0)</f>
        <v>50</v>
      </c>
      <c r="B1177" s="4">
        <f>IFERROR(__xludf.DUMMYFUNCTION("""COMPUTED_VALUE"""),50.0)</f>
        <v>50</v>
      </c>
      <c r="C1177" s="4" t="str">
        <f>IFERROR(__xludf.DUMMYFUNCTION("""COMPUTED_VALUE"""),"SEA")</f>
        <v>SEA</v>
      </c>
      <c r="D1177" s="4" t="str">
        <f>IFERROR(__xludf.DUMMYFUNCTION("""COMPUTED_VALUE"""),"DeVon Hardin")</f>
        <v>DeVon Hardin</v>
      </c>
      <c r="E1177" s="4" t="str">
        <f>IFERROR(__xludf.DUMMYFUNCTION("""COMPUTED_VALUE"""),"California")</f>
        <v>California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>
      <c r="A1178" s="4">
        <f>IFERROR(__xludf.DUMMYFUNCTION("""COMPUTED_VALUE"""),51.0)</f>
        <v>51</v>
      </c>
      <c r="B1178" s="4">
        <f>IFERROR(__xludf.DUMMYFUNCTION("""COMPUTED_VALUE"""),51.0)</f>
        <v>51</v>
      </c>
      <c r="C1178" s="4" t="str">
        <f>IFERROR(__xludf.DUMMYFUNCTION("""COMPUTED_VALUE"""),"DAL")</f>
        <v>DAL</v>
      </c>
      <c r="D1178" s="4" t="str">
        <f>IFERROR(__xludf.DUMMYFUNCTION("""COMPUTED_VALUE"""),"Shan Foster")</f>
        <v>Shan Foster</v>
      </c>
      <c r="E1178" s="4" t="str">
        <f>IFERROR(__xludf.DUMMYFUNCTION("""COMPUTED_VALUE"""),"Vanderbilt")</f>
        <v>Vanderbilt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>
      <c r="A1179" s="4">
        <f>IFERROR(__xludf.DUMMYFUNCTION("""COMPUTED_VALUE"""),52.0)</f>
        <v>52</v>
      </c>
      <c r="B1179" s="4">
        <f>IFERROR(__xludf.DUMMYFUNCTION("""COMPUTED_VALUE"""),52.0)</f>
        <v>52</v>
      </c>
      <c r="C1179" s="4" t="str">
        <f>IFERROR(__xludf.DUMMYFUNCTION("""COMPUTED_VALUE"""),"MIA")</f>
        <v>MIA</v>
      </c>
      <c r="D1179" s="4" t="str">
        <f>IFERROR(__xludf.DUMMYFUNCTION("""COMPUTED_VALUE"""),"Darnell Jackson")</f>
        <v>Darnell Jackson</v>
      </c>
      <c r="E1179" s="4" t="str">
        <f>IFERROR(__xludf.DUMMYFUNCTION("""COMPUTED_VALUE"""),"Kansas")</f>
        <v>Kansas</v>
      </c>
      <c r="F1179" s="4">
        <f>IFERROR(__xludf.DUMMYFUNCTION("""COMPUTED_VALUE"""),3.0)</f>
        <v>3</v>
      </c>
      <c r="G1179" s="4">
        <f>IFERROR(__xludf.DUMMYFUNCTION("""COMPUTED_VALUE"""),138.0)</f>
        <v>138</v>
      </c>
      <c r="H1179" s="4">
        <f>IFERROR(__xludf.DUMMYFUNCTION("""COMPUTED_VALUE"""),1039.0)</f>
        <v>1039</v>
      </c>
      <c r="I1179" s="4">
        <f>IFERROR(__xludf.DUMMYFUNCTION("""COMPUTED_VALUE"""),308.0)</f>
        <v>308</v>
      </c>
      <c r="J1179" s="4">
        <f>IFERROR(__xludf.DUMMYFUNCTION("""COMPUTED_VALUE"""),203.0)</f>
        <v>203</v>
      </c>
      <c r="K1179" s="4">
        <f>IFERROR(__xludf.DUMMYFUNCTION("""COMPUTED_VALUE"""),26.0)</f>
        <v>26</v>
      </c>
      <c r="L1179" s="4">
        <f>IFERROR(__xludf.DUMMYFUNCTION("""COMPUTED_VALUE"""),0.449)</f>
        <v>0.449</v>
      </c>
      <c r="M1179" s="4">
        <f>IFERROR(__xludf.DUMMYFUNCTION("""COMPUTED_VALUE"""),0.235)</f>
        <v>0.235</v>
      </c>
      <c r="N1179" s="4">
        <f>IFERROR(__xludf.DUMMYFUNCTION("""COMPUTED_VALUE"""),0.644)</f>
        <v>0.644</v>
      </c>
      <c r="O1179" s="4">
        <f>IFERROR(__xludf.DUMMYFUNCTION("""COMPUTED_VALUE"""),7.5)</f>
        <v>7.5</v>
      </c>
      <c r="P1179" s="4">
        <f>IFERROR(__xludf.DUMMYFUNCTION("""COMPUTED_VALUE"""),2.2)</f>
        <v>2.2</v>
      </c>
      <c r="Q1179" s="4">
        <f>IFERROR(__xludf.DUMMYFUNCTION("""COMPUTED_VALUE"""),1.5)</f>
        <v>1.5</v>
      </c>
      <c r="R1179" s="4">
        <f>IFERROR(__xludf.DUMMYFUNCTION("""COMPUTED_VALUE"""),0.2)</f>
        <v>0.2</v>
      </c>
      <c r="S1179" s="4">
        <f>IFERROR(__xludf.DUMMYFUNCTION("""COMPUTED_VALUE"""),1.3)</f>
        <v>1.3</v>
      </c>
      <c r="T1179" s="4">
        <f>IFERROR(__xludf.DUMMYFUNCTION("""COMPUTED_VALUE"""),0.059)</f>
        <v>0.059</v>
      </c>
      <c r="U1179" s="4">
        <f>IFERROR(__xludf.DUMMYFUNCTION("""COMPUTED_VALUE"""),-5.2)</f>
        <v>-5.2</v>
      </c>
      <c r="V1179" s="4">
        <f>IFERROR(__xludf.DUMMYFUNCTION("""COMPUTED_VALUE"""),-0.8)</f>
        <v>-0.8</v>
      </c>
    </row>
    <row r="1180">
      <c r="A1180" s="4">
        <f>IFERROR(__xludf.DUMMYFUNCTION("""COMPUTED_VALUE"""),53.0)</f>
        <v>53</v>
      </c>
      <c r="B1180" s="4">
        <f>IFERROR(__xludf.DUMMYFUNCTION("""COMPUTED_VALUE"""),53.0)</f>
        <v>53</v>
      </c>
      <c r="C1180" s="4" t="str">
        <f>IFERROR(__xludf.DUMMYFUNCTION("""COMPUTED_VALUE"""),"UTA")</f>
        <v>UTA</v>
      </c>
      <c r="D1180" s="4" t="str">
        <f>IFERROR(__xludf.DUMMYFUNCTION("""COMPUTED_VALUE"""),"Tadija Dragićević")</f>
        <v>Tadija Dragićević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>
      <c r="A1181" s="4">
        <f>IFERROR(__xludf.DUMMYFUNCTION("""COMPUTED_VALUE"""),54.0)</f>
        <v>54</v>
      </c>
      <c r="B1181" s="4">
        <f>IFERROR(__xludf.DUMMYFUNCTION("""COMPUTED_VALUE"""),54.0)</f>
        <v>54</v>
      </c>
      <c r="C1181" s="4" t="str">
        <f>IFERROR(__xludf.DUMMYFUNCTION("""COMPUTED_VALUE"""),"HOU")</f>
        <v>HOU</v>
      </c>
      <c r="D1181" s="4" t="str">
        <f>IFERROR(__xludf.DUMMYFUNCTION("""COMPUTED_VALUE"""),"Maarty Leunen")</f>
        <v>Maarty Leunen</v>
      </c>
      <c r="E1181" s="4" t="str">
        <f>IFERROR(__xludf.DUMMYFUNCTION("""COMPUTED_VALUE"""),"Oregon")</f>
        <v>Oregon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>
      <c r="A1182" s="4">
        <f>IFERROR(__xludf.DUMMYFUNCTION("""COMPUTED_VALUE"""),55.0)</f>
        <v>55</v>
      </c>
      <c r="B1182" s="4">
        <f>IFERROR(__xludf.DUMMYFUNCTION("""COMPUTED_VALUE"""),55.0)</f>
        <v>55</v>
      </c>
      <c r="C1182" s="4" t="str">
        <f>IFERROR(__xludf.DUMMYFUNCTION("""COMPUTED_VALUE"""),"POR")</f>
        <v>POR</v>
      </c>
      <c r="D1182" s="4" t="str">
        <f>IFERROR(__xludf.DUMMYFUNCTION("""COMPUTED_VALUE"""),"Mike Taylor")</f>
        <v>Mike Taylor</v>
      </c>
      <c r="E1182" s="4" t="str">
        <f>IFERROR(__xludf.DUMMYFUNCTION("""COMPUTED_VALUE"""),"Iowa State")</f>
        <v>Iowa State</v>
      </c>
      <c r="F1182" s="4">
        <f>IFERROR(__xludf.DUMMYFUNCTION("""COMPUTED_VALUE"""),1.0)</f>
        <v>1</v>
      </c>
      <c r="G1182" s="4">
        <f>IFERROR(__xludf.DUMMYFUNCTION("""COMPUTED_VALUE"""),51.0)</f>
        <v>51</v>
      </c>
      <c r="H1182" s="4">
        <f>IFERROR(__xludf.DUMMYFUNCTION("""COMPUTED_VALUE"""),771.0)</f>
        <v>771</v>
      </c>
      <c r="I1182" s="4">
        <f>IFERROR(__xludf.DUMMYFUNCTION("""COMPUTED_VALUE"""),289.0)</f>
        <v>289</v>
      </c>
      <c r="J1182" s="4">
        <f>IFERROR(__xludf.DUMMYFUNCTION("""COMPUTED_VALUE"""),87.0)</f>
        <v>87</v>
      </c>
      <c r="K1182" s="4">
        <f>IFERROR(__xludf.DUMMYFUNCTION("""COMPUTED_VALUE"""),106.0)</f>
        <v>106</v>
      </c>
      <c r="L1182" s="4">
        <f>IFERROR(__xludf.DUMMYFUNCTION("""COMPUTED_VALUE"""),0.412)</f>
        <v>0.412</v>
      </c>
      <c r="M1182" s="4">
        <f>IFERROR(__xludf.DUMMYFUNCTION("""COMPUTED_VALUE"""),0.325)</f>
        <v>0.325</v>
      </c>
      <c r="N1182" s="4">
        <f>IFERROR(__xludf.DUMMYFUNCTION("""COMPUTED_VALUE"""),0.691)</f>
        <v>0.691</v>
      </c>
      <c r="O1182" s="4">
        <f>IFERROR(__xludf.DUMMYFUNCTION("""COMPUTED_VALUE"""),15.1)</f>
        <v>15.1</v>
      </c>
      <c r="P1182" s="4">
        <f>IFERROR(__xludf.DUMMYFUNCTION("""COMPUTED_VALUE"""),5.7)</f>
        <v>5.7</v>
      </c>
      <c r="Q1182" s="4">
        <f>IFERROR(__xludf.DUMMYFUNCTION("""COMPUTED_VALUE"""),1.7)</f>
        <v>1.7</v>
      </c>
      <c r="R1182" s="4">
        <f>IFERROR(__xludf.DUMMYFUNCTION("""COMPUTED_VALUE"""),2.1)</f>
        <v>2.1</v>
      </c>
      <c r="S1182" s="4">
        <f>IFERROR(__xludf.DUMMYFUNCTION("""COMPUTED_VALUE"""),-0.4)</f>
        <v>-0.4</v>
      </c>
      <c r="T1182" s="4">
        <f>IFERROR(__xludf.DUMMYFUNCTION("""COMPUTED_VALUE"""),-0.028)</f>
        <v>-0.028</v>
      </c>
      <c r="U1182" s="4">
        <f>IFERROR(__xludf.DUMMYFUNCTION("""COMPUTED_VALUE"""),-5.2)</f>
        <v>-5.2</v>
      </c>
      <c r="V1182" s="4">
        <f>IFERROR(__xludf.DUMMYFUNCTION("""COMPUTED_VALUE"""),-0.6)</f>
        <v>-0.6</v>
      </c>
    </row>
    <row r="1183">
      <c r="A1183" s="4">
        <f>IFERROR(__xludf.DUMMYFUNCTION("""COMPUTED_VALUE"""),56.0)</f>
        <v>56</v>
      </c>
      <c r="B1183" s="4">
        <f>IFERROR(__xludf.DUMMYFUNCTION("""COMPUTED_VALUE"""),56.0)</f>
        <v>56</v>
      </c>
      <c r="C1183" s="4" t="str">
        <f>IFERROR(__xludf.DUMMYFUNCTION("""COMPUTED_VALUE"""),"SEA")</f>
        <v>SEA</v>
      </c>
      <c r="D1183" s="4" t="str">
        <f>IFERROR(__xludf.DUMMYFUNCTION("""COMPUTED_VALUE"""),"Sasha Kaun")</f>
        <v>Sasha Kaun</v>
      </c>
      <c r="E1183" s="4" t="str">
        <f>IFERROR(__xludf.DUMMYFUNCTION("""COMPUTED_VALUE"""),"Kansas")</f>
        <v>Kansas</v>
      </c>
      <c r="F1183" s="4">
        <f>IFERROR(__xludf.DUMMYFUNCTION("""COMPUTED_VALUE"""),1.0)</f>
        <v>1</v>
      </c>
      <c r="G1183" s="4">
        <f>IFERROR(__xludf.DUMMYFUNCTION("""COMPUTED_VALUE"""),25.0)</f>
        <v>25</v>
      </c>
      <c r="H1183" s="4">
        <f>IFERROR(__xludf.DUMMYFUNCTION("""COMPUTED_VALUE"""),95.0)</f>
        <v>95</v>
      </c>
      <c r="I1183" s="4">
        <f>IFERROR(__xludf.DUMMYFUNCTION("""COMPUTED_VALUE"""),23.0)</f>
        <v>23</v>
      </c>
      <c r="J1183" s="4">
        <f>IFERROR(__xludf.DUMMYFUNCTION("""COMPUTED_VALUE"""),26.0)</f>
        <v>26</v>
      </c>
      <c r="K1183" s="4">
        <f>IFERROR(__xludf.DUMMYFUNCTION("""COMPUTED_VALUE"""),3.0)</f>
        <v>3</v>
      </c>
      <c r="L1183" s="4">
        <f>IFERROR(__xludf.DUMMYFUNCTION("""COMPUTED_VALUE"""),0.529)</f>
        <v>0.529</v>
      </c>
      <c r="M1183" s="4"/>
      <c r="N1183" s="4">
        <f>IFERROR(__xludf.DUMMYFUNCTION("""COMPUTED_VALUE"""),0.455)</f>
        <v>0.455</v>
      </c>
      <c r="O1183" s="4">
        <f>IFERROR(__xludf.DUMMYFUNCTION("""COMPUTED_VALUE"""),3.8)</f>
        <v>3.8</v>
      </c>
      <c r="P1183" s="4">
        <f>IFERROR(__xludf.DUMMYFUNCTION("""COMPUTED_VALUE"""),0.9)</f>
        <v>0.9</v>
      </c>
      <c r="Q1183" s="4">
        <f>IFERROR(__xludf.DUMMYFUNCTION("""COMPUTED_VALUE"""),1.0)</f>
        <v>1</v>
      </c>
      <c r="R1183" s="4">
        <f>IFERROR(__xludf.DUMMYFUNCTION("""COMPUTED_VALUE"""),0.1)</f>
        <v>0.1</v>
      </c>
      <c r="S1183" s="4">
        <f>IFERROR(__xludf.DUMMYFUNCTION("""COMPUTED_VALUE"""),0.2)</f>
        <v>0.2</v>
      </c>
      <c r="T1183" s="4">
        <f>IFERROR(__xludf.DUMMYFUNCTION("""COMPUTED_VALUE"""),0.096)</f>
        <v>0.096</v>
      </c>
      <c r="U1183" s="4">
        <f>IFERROR(__xludf.DUMMYFUNCTION("""COMPUTED_VALUE"""),-2.8)</f>
        <v>-2.8</v>
      </c>
      <c r="V1183" s="4">
        <f>IFERROR(__xludf.DUMMYFUNCTION("""COMPUTED_VALUE"""),0.0)</f>
        <v>0</v>
      </c>
    </row>
    <row r="1184">
      <c r="A1184" s="4">
        <f>IFERROR(__xludf.DUMMYFUNCTION("""COMPUTED_VALUE"""),57.0)</f>
        <v>57</v>
      </c>
      <c r="B1184" s="4">
        <f>IFERROR(__xludf.DUMMYFUNCTION("""COMPUTED_VALUE"""),57.0)</f>
        <v>57</v>
      </c>
      <c r="C1184" s="4" t="str">
        <f>IFERROR(__xludf.DUMMYFUNCTION("""COMPUTED_VALUE"""),"SAS")</f>
        <v>SAS</v>
      </c>
      <c r="D1184" s="4" t="str">
        <f>IFERROR(__xludf.DUMMYFUNCTION("""COMPUTED_VALUE"""),"James Gist")</f>
        <v>James Gist</v>
      </c>
      <c r="E1184" s="4" t="str">
        <f>IFERROR(__xludf.DUMMYFUNCTION("""COMPUTED_VALUE"""),"Maryland")</f>
        <v>Maryland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>
      <c r="A1185" s="4">
        <f>IFERROR(__xludf.DUMMYFUNCTION("""COMPUTED_VALUE"""),58.0)</f>
        <v>58</v>
      </c>
      <c r="B1185" s="4">
        <f>IFERROR(__xludf.DUMMYFUNCTION("""COMPUTED_VALUE"""),58.0)</f>
        <v>58</v>
      </c>
      <c r="C1185" s="4" t="str">
        <f>IFERROR(__xludf.DUMMYFUNCTION("""COMPUTED_VALUE"""),"LAL")</f>
        <v>LAL</v>
      </c>
      <c r="D1185" s="4" t="str">
        <f>IFERROR(__xludf.DUMMYFUNCTION("""COMPUTED_VALUE"""),"Joe Crawford")</f>
        <v>Joe Crawford</v>
      </c>
      <c r="E1185" s="4" t="str">
        <f>IFERROR(__xludf.DUMMYFUNCTION("""COMPUTED_VALUE"""),"Kentucky")</f>
        <v>Kentucky</v>
      </c>
      <c r="F1185" s="4">
        <f>IFERROR(__xludf.DUMMYFUNCTION("""COMPUTED_VALUE"""),1.0)</f>
        <v>1</v>
      </c>
      <c r="G1185" s="4">
        <f>IFERROR(__xludf.DUMMYFUNCTION("""COMPUTED_VALUE"""),2.0)</f>
        <v>2</v>
      </c>
      <c r="H1185" s="4">
        <f>IFERROR(__xludf.DUMMYFUNCTION("""COMPUTED_VALUE"""),23.0)</f>
        <v>23</v>
      </c>
      <c r="I1185" s="4">
        <f>IFERROR(__xludf.DUMMYFUNCTION("""COMPUTED_VALUE"""),9.0)</f>
        <v>9</v>
      </c>
      <c r="J1185" s="4">
        <f>IFERROR(__xludf.DUMMYFUNCTION("""COMPUTED_VALUE"""),4.0)</f>
        <v>4</v>
      </c>
      <c r="K1185" s="4">
        <f>IFERROR(__xludf.DUMMYFUNCTION("""COMPUTED_VALUE"""),1.0)</f>
        <v>1</v>
      </c>
      <c r="L1185" s="4">
        <f>IFERROR(__xludf.DUMMYFUNCTION("""COMPUTED_VALUE"""),0.3)</f>
        <v>0.3</v>
      </c>
      <c r="M1185" s="4">
        <f>IFERROR(__xludf.DUMMYFUNCTION("""COMPUTED_VALUE"""),0.25)</f>
        <v>0.25</v>
      </c>
      <c r="N1185" s="4">
        <f>IFERROR(__xludf.DUMMYFUNCTION("""COMPUTED_VALUE"""),1.0)</f>
        <v>1</v>
      </c>
      <c r="O1185" s="4">
        <f>IFERROR(__xludf.DUMMYFUNCTION("""COMPUTED_VALUE"""),11.5)</f>
        <v>11.5</v>
      </c>
      <c r="P1185" s="4">
        <f>IFERROR(__xludf.DUMMYFUNCTION("""COMPUTED_VALUE"""),4.5)</f>
        <v>4.5</v>
      </c>
      <c r="Q1185" s="4">
        <f>IFERROR(__xludf.DUMMYFUNCTION("""COMPUTED_VALUE"""),2.0)</f>
        <v>2</v>
      </c>
      <c r="R1185" s="4">
        <f>IFERROR(__xludf.DUMMYFUNCTION("""COMPUTED_VALUE"""),0.5)</f>
        <v>0.5</v>
      </c>
      <c r="S1185" s="4">
        <f>IFERROR(__xludf.DUMMYFUNCTION("""COMPUTED_VALUE"""),0.0)</f>
        <v>0</v>
      </c>
      <c r="T1185" s="4">
        <f>IFERROR(__xludf.DUMMYFUNCTION("""COMPUTED_VALUE"""),0.037)</f>
        <v>0.037</v>
      </c>
      <c r="U1185" s="4">
        <f>IFERROR(__xludf.DUMMYFUNCTION("""COMPUTED_VALUE"""),-2.7)</f>
        <v>-2.7</v>
      </c>
      <c r="V1185" s="4">
        <f>IFERROR(__xludf.DUMMYFUNCTION("""COMPUTED_VALUE"""),0.0)</f>
        <v>0</v>
      </c>
    </row>
    <row r="1186">
      <c r="A1186" s="4">
        <f>IFERROR(__xludf.DUMMYFUNCTION("""COMPUTED_VALUE"""),59.0)</f>
        <v>59</v>
      </c>
      <c r="B1186" s="4">
        <f>IFERROR(__xludf.DUMMYFUNCTION("""COMPUTED_VALUE"""),59.0)</f>
        <v>59</v>
      </c>
      <c r="C1186" s="4" t="str">
        <f>IFERROR(__xludf.DUMMYFUNCTION("""COMPUTED_VALUE"""),"DET")</f>
        <v>DET</v>
      </c>
      <c r="D1186" s="4" t="str">
        <f>IFERROR(__xludf.DUMMYFUNCTION("""COMPUTED_VALUE"""),"Deron Washington")</f>
        <v>Deron Washington</v>
      </c>
      <c r="E1186" s="4" t="str">
        <f>IFERROR(__xludf.DUMMYFUNCTION("""COMPUTED_VALUE"""),"Virginia Tech")</f>
        <v>Virginia Tech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>
      <c r="A1187" s="4">
        <f>IFERROR(__xludf.DUMMYFUNCTION("""COMPUTED_VALUE"""),60.0)</f>
        <v>60</v>
      </c>
      <c r="B1187" s="4">
        <f>IFERROR(__xludf.DUMMYFUNCTION("""COMPUTED_VALUE"""),60.0)</f>
        <v>60</v>
      </c>
      <c r="C1187" s="4" t="str">
        <f>IFERROR(__xludf.DUMMYFUNCTION("""COMPUTED_VALUE"""),"BOS")</f>
        <v>BOS</v>
      </c>
      <c r="D1187" s="4" t="str">
        <f>IFERROR(__xludf.DUMMYFUNCTION("""COMPUTED_VALUE"""),"Semih Erden")</f>
        <v>Semih Erden</v>
      </c>
      <c r="E1187" s="4"/>
      <c r="F1187" s="4">
        <f>IFERROR(__xludf.DUMMYFUNCTION("""COMPUTED_VALUE"""),2.0)</f>
        <v>2</v>
      </c>
      <c r="G1187" s="4">
        <f>IFERROR(__xludf.DUMMYFUNCTION("""COMPUTED_VALUE"""),69.0)</f>
        <v>69</v>
      </c>
      <c r="H1187" s="4">
        <f>IFERROR(__xludf.DUMMYFUNCTION("""COMPUTED_VALUE"""),928.0)</f>
        <v>928</v>
      </c>
      <c r="I1187" s="4">
        <f>IFERROR(__xludf.DUMMYFUNCTION("""COMPUTED_VALUE"""),262.0)</f>
        <v>262</v>
      </c>
      <c r="J1187" s="4">
        <f>IFERROR(__xludf.DUMMYFUNCTION("""COMPUTED_VALUE"""),190.0)</f>
        <v>190</v>
      </c>
      <c r="K1187" s="4">
        <f>IFERROR(__xludf.DUMMYFUNCTION("""COMPUTED_VALUE"""),29.0)</f>
        <v>29</v>
      </c>
      <c r="L1187" s="4">
        <f>IFERROR(__xludf.DUMMYFUNCTION("""COMPUTED_VALUE"""),0.546)</f>
        <v>0.546</v>
      </c>
      <c r="M1187" s="4"/>
      <c r="N1187" s="4">
        <f>IFERROR(__xludf.DUMMYFUNCTION("""COMPUTED_VALUE"""),0.594)</f>
        <v>0.594</v>
      </c>
      <c r="O1187" s="4">
        <f>IFERROR(__xludf.DUMMYFUNCTION("""COMPUTED_VALUE"""),13.4)</f>
        <v>13.4</v>
      </c>
      <c r="P1187" s="4">
        <f>IFERROR(__xludf.DUMMYFUNCTION("""COMPUTED_VALUE"""),3.8)</f>
        <v>3.8</v>
      </c>
      <c r="Q1187" s="4">
        <f>IFERROR(__xludf.DUMMYFUNCTION("""COMPUTED_VALUE"""),2.8)</f>
        <v>2.8</v>
      </c>
      <c r="R1187" s="4">
        <f>IFERROR(__xludf.DUMMYFUNCTION("""COMPUTED_VALUE"""),0.4)</f>
        <v>0.4</v>
      </c>
      <c r="S1187" s="4">
        <f>IFERROR(__xludf.DUMMYFUNCTION("""COMPUTED_VALUE"""),1.8)</f>
        <v>1.8</v>
      </c>
      <c r="T1187" s="4">
        <f>IFERROR(__xludf.DUMMYFUNCTION("""COMPUTED_VALUE"""),0.094)</f>
        <v>0.094</v>
      </c>
      <c r="U1187" s="4">
        <f>IFERROR(__xludf.DUMMYFUNCTION("""COMPUTED_VALUE"""),-3.6)</f>
        <v>-3.6</v>
      </c>
      <c r="V1187" s="4">
        <f>IFERROR(__xludf.DUMMYFUNCTION("""COMPUTED_VALUE"""),-0.4)</f>
        <v>-0.4</v>
      </c>
    </row>
    <row r="1189">
      <c r="A1189" s="2">
        <v>2007.0</v>
      </c>
    </row>
    <row r="1190">
      <c r="A1190" s="4" t="str">
        <f>IFERROR(__xludf.DUMMYFUNCTION("IMPORTHTML(""https://www.basketball-reference.com/draft/NBA_2007.html"", ""table"", 1)"),"")</f>
        <v/>
      </c>
      <c r="B1190" s="4"/>
      <c r="C1190" s="4"/>
      <c r="D1190" s="4" t="str">
        <f>IFERROR(__xludf.DUMMYFUNCTION("""COMPUTED_VALUE"""),"Round 1")</f>
        <v>Round 1</v>
      </c>
      <c r="E1190" s="4"/>
      <c r="F1190" s="4"/>
      <c r="G1190" s="4" t="str">
        <f>IFERROR(__xludf.DUMMYFUNCTION("""COMPUTED_VALUE"""),"Totals")</f>
        <v>Totals</v>
      </c>
      <c r="H1190" s="4"/>
      <c r="I1190" s="4"/>
      <c r="J1190" s="4"/>
      <c r="K1190" s="4"/>
      <c r="L1190" s="4" t="str">
        <f>IFERROR(__xludf.DUMMYFUNCTION("""COMPUTED_VALUE"""),"Shooting")</f>
        <v>Shooting</v>
      </c>
      <c r="M1190" s="4"/>
      <c r="N1190" s="4"/>
      <c r="O1190" s="4" t="str">
        <f>IFERROR(__xludf.DUMMYFUNCTION("""COMPUTED_VALUE"""),"Per Game")</f>
        <v>Per Game</v>
      </c>
      <c r="P1190" s="4"/>
      <c r="Q1190" s="4"/>
      <c r="R1190" s="4"/>
      <c r="S1190" s="4" t="str">
        <f>IFERROR(__xludf.DUMMYFUNCTION("""COMPUTED_VALUE"""),"Advanced")</f>
        <v>Advanced</v>
      </c>
      <c r="T1190" s="4"/>
      <c r="U1190" s="4"/>
      <c r="V1190" s="4"/>
    </row>
    <row r="1191">
      <c r="A1191" s="4" t="str">
        <f>IFERROR(__xludf.DUMMYFUNCTION("""COMPUTED_VALUE"""),"Rk")</f>
        <v>Rk</v>
      </c>
      <c r="B1191" s="4" t="str">
        <f>IFERROR(__xludf.DUMMYFUNCTION("""COMPUTED_VALUE"""),"Pk")</f>
        <v>Pk</v>
      </c>
      <c r="C1191" s="4" t="str">
        <f>IFERROR(__xludf.DUMMYFUNCTION("""COMPUTED_VALUE"""),"Tm")</f>
        <v>Tm</v>
      </c>
      <c r="D1191" s="4" t="str">
        <f>IFERROR(__xludf.DUMMYFUNCTION("""COMPUTED_VALUE"""),"Player")</f>
        <v>Player</v>
      </c>
      <c r="E1191" s="4" t="str">
        <f>IFERROR(__xludf.DUMMYFUNCTION("""COMPUTED_VALUE"""),"College")</f>
        <v>College</v>
      </c>
      <c r="F1191" s="4" t="str">
        <f>IFERROR(__xludf.DUMMYFUNCTION("""COMPUTED_VALUE"""),"Yrs")</f>
        <v>Yrs</v>
      </c>
      <c r="G1191" s="4" t="str">
        <f>IFERROR(__xludf.DUMMYFUNCTION("""COMPUTED_VALUE"""),"G")</f>
        <v>G</v>
      </c>
      <c r="H1191" s="4" t="str">
        <f>IFERROR(__xludf.DUMMYFUNCTION("""COMPUTED_VALUE"""),"MP")</f>
        <v>MP</v>
      </c>
      <c r="I1191" s="4" t="str">
        <f>IFERROR(__xludf.DUMMYFUNCTION("""COMPUTED_VALUE"""),"PTS")</f>
        <v>PTS</v>
      </c>
      <c r="J1191" s="4" t="str">
        <f>IFERROR(__xludf.DUMMYFUNCTION("""COMPUTED_VALUE"""),"TRB")</f>
        <v>TRB</v>
      </c>
      <c r="K1191" s="4" t="str">
        <f>IFERROR(__xludf.DUMMYFUNCTION("""COMPUTED_VALUE"""),"AST")</f>
        <v>AST</v>
      </c>
      <c r="L1191" s="4" t="str">
        <f>IFERROR(__xludf.DUMMYFUNCTION("""COMPUTED_VALUE"""),"FG%")</f>
        <v>FG%</v>
      </c>
      <c r="M1191" s="4" t="str">
        <f>IFERROR(__xludf.DUMMYFUNCTION("""COMPUTED_VALUE"""),"3P%")</f>
        <v>3P%</v>
      </c>
      <c r="N1191" s="4" t="str">
        <f>IFERROR(__xludf.DUMMYFUNCTION("""COMPUTED_VALUE"""),"FT%")</f>
        <v>FT%</v>
      </c>
      <c r="O1191" s="4" t="str">
        <f>IFERROR(__xludf.DUMMYFUNCTION("""COMPUTED_VALUE"""),"MP")</f>
        <v>MP</v>
      </c>
      <c r="P1191" s="4" t="str">
        <f>IFERROR(__xludf.DUMMYFUNCTION("""COMPUTED_VALUE"""),"PTS")</f>
        <v>PTS</v>
      </c>
      <c r="Q1191" s="4" t="str">
        <f>IFERROR(__xludf.DUMMYFUNCTION("""COMPUTED_VALUE"""),"TRB")</f>
        <v>TRB</v>
      </c>
      <c r="R1191" s="4" t="str">
        <f>IFERROR(__xludf.DUMMYFUNCTION("""COMPUTED_VALUE"""),"AST")</f>
        <v>AST</v>
      </c>
      <c r="S1191" s="4" t="str">
        <f>IFERROR(__xludf.DUMMYFUNCTION("""COMPUTED_VALUE"""),"WS")</f>
        <v>WS</v>
      </c>
      <c r="T1191" s="4" t="str">
        <f>IFERROR(__xludf.DUMMYFUNCTION("""COMPUTED_VALUE"""),"WS/48")</f>
        <v>WS/48</v>
      </c>
      <c r="U1191" s="4" t="str">
        <f>IFERROR(__xludf.DUMMYFUNCTION("""COMPUTED_VALUE"""),"BPM")</f>
        <v>BPM</v>
      </c>
      <c r="V1191" s="4" t="str">
        <f>IFERROR(__xludf.DUMMYFUNCTION("""COMPUTED_VALUE"""),"VORP")</f>
        <v>VORP</v>
      </c>
    </row>
    <row r="1192">
      <c r="A1192" s="4">
        <f>IFERROR(__xludf.DUMMYFUNCTION("""COMPUTED_VALUE"""),1.0)</f>
        <v>1</v>
      </c>
      <c r="B1192" s="4">
        <f>IFERROR(__xludf.DUMMYFUNCTION("""COMPUTED_VALUE"""),1.0)</f>
        <v>1</v>
      </c>
      <c r="C1192" s="4" t="str">
        <f>IFERROR(__xludf.DUMMYFUNCTION("""COMPUTED_VALUE"""),"POR")</f>
        <v>POR</v>
      </c>
      <c r="D1192" s="4" t="str">
        <f>IFERROR(__xludf.DUMMYFUNCTION("""COMPUTED_VALUE"""),"Greg Oden")</f>
        <v>Greg Oden</v>
      </c>
      <c r="E1192" s="4" t="str">
        <f>IFERROR(__xludf.DUMMYFUNCTION("""COMPUTED_VALUE"""),"Ohio State")</f>
        <v>Ohio State</v>
      </c>
      <c r="F1192" s="4">
        <f>IFERROR(__xludf.DUMMYFUNCTION("""COMPUTED_VALUE"""),3.0)</f>
        <v>3</v>
      </c>
      <c r="G1192" s="4">
        <f>IFERROR(__xludf.DUMMYFUNCTION("""COMPUTED_VALUE"""),105.0)</f>
        <v>105</v>
      </c>
      <c r="H1192" s="4">
        <f>IFERROR(__xludf.DUMMYFUNCTION("""COMPUTED_VALUE"""),2028.0)</f>
        <v>2028</v>
      </c>
      <c r="I1192" s="4">
        <f>IFERROR(__xludf.DUMMYFUNCTION("""COMPUTED_VALUE"""),840.0)</f>
        <v>840</v>
      </c>
      <c r="J1192" s="4">
        <f>IFERROR(__xludf.DUMMYFUNCTION("""COMPUTED_VALUE"""),656.0)</f>
        <v>656</v>
      </c>
      <c r="K1192" s="4">
        <f>IFERROR(__xludf.DUMMYFUNCTION("""COMPUTED_VALUE"""),51.0)</f>
        <v>51</v>
      </c>
      <c r="L1192" s="4">
        <f>IFERROR(__xludf.DUMMYFUNCTION("""COMPUTED_VALUE"""),0.574)</f>
        <v>0.574</v>
      </c>
      <c r="M1192" s="4"/>
      <c r="N1192" s="4">
        <f>IFERROR(__xludf.DUMMYFUNCTION("""COMPUTED_VALUE"""),0.658)</f>
        <v>0.658</v>
      </c>
      <c r="O1192" s="4">
        <f>IFERROR(__xludf.DUMMYFUNCTION("""COMPUTED_VALUE"""),19.3)</f>
        <v>19.3</v>
      </c>
      <c r="P1192" s="4">
        <f>IFERROR(__xludf.DUMMYFUNCTION("""COMPUTED_VALUE"""),8.0)</f>
        <v>8</v>
      </c>
      <c r="Q1192" s="4">
        <f>IFERROR(__xludf.DUMMYFUNCTION("""COMPUTED_VALUE"""),6.2)</f>
        <v>6.2</v>
      </c>
      <c r="R1192" s="4">
        <f>IFERROR(__xludf.DUMMYFUNCTION("""COMPUTED_VALUE"""),0.5)</f>
        <v>0.5</v>
      </c>
      <c r="S1192" s="4">
        <f>IFERROR(__xludf.DUMMYFUNCTION("""COMPUTED_VALUE"""),7.3)</f>
        <v>7.3</v>
      </c>
      <c r="T1192" s="4">
        <f>IFERROR(__xludf.DUMMYFUNCTION("""COMPUTED_VALUE"""),0.174)</f>
        <v>0.174</v>
      </c>
      <c r="U1192" s="4">
        <f>IFERROR(__xludf.DUMMYFUNCTION("""COMPUTED_VALUE"""),-0.4)</f>
        <v>-0.4</v>
      </c>
      <c r="V1192" s="4">
        <f>IFERROR(__xludf.DUMMYFUNCTION("""COMPUTED_VALUE"""),0.8)</f>
        <v>0.8</v>
      </c>
    </row>
    <row r="1193">
      <c r="A1193" s="4">
        <f>IFERROR(__xludf.DUMMYFUNCTION("""COMPUTED_VALUE"""),2.0)</f>
        <v>2</v>
      </c>
      <c r="B1193" s="4">
        <f>IFERROR(__xludf.DUMMYFUNCTION("""COMPUTED_VALUE"""),2.0)</f>
        <v>2</v>
      </c>
      <c r="C1193" s="4" t="str">
        <f>IFERROR(__xludf.DUMMYFUNCTION("""COMPUTED_VALUE"""),"SEA")</f>
        <v>SEA</v>
      </c>
      <c r="D1193" s="4" t="str">
        <f>IFERROR(__xludf.DUMMYFUNCTION("""COMPUTED_VALUE"""),"Kevin Durant")</f>
        <v>Kevin Durant</v>
      </c>
      <c r="E1193" s="4" t="str">
        <f>IFERROR(__xludf.DUMMYFUNCTION("""COMPUTED_VALUE"""),"Texas")</f>
        <v>Texas</v>
      </c>
      <c r="F1193" s="4">
        <f>IFERROR(__xludf.DUMMYFUNCTION("""COMPUTED_VALUE"""),18.0)</f>
        <v>18</v>
      </c>
      <c r="G1193" s="4">
        <f>IFERROR(__xludf.DUMMYFUNCTION("""COMPUTED_VALUE"""),1139.0)</f>
        <v>1139</v>
      </c>
      <c r="H1193" s="4">
        <f>IFERROR(__xludf.DUMMYFUNCTION("""COMPUTED_VALUE"""),41812.0)</f>
        <v>41812</v>
      </c>
      <c r="I1193" s="4">
        <f>IFERROR(__xludf.DUMMYFUNCTION("""COMPUTED_VALUE"""),30972.0)</f>
        <v>30972</v>
      </c>
      <c r="J1193" s="4">
        <f>IFERROR(__xludf.DUMMYFUNCTION("""COMPUTED_VALUE"""),7911.0)</f>
        <v>7911</v>
      </c>
      <c r="K1193" s="4">
        <f>IFERROR(__xludf.DUMMYFUNCTION("""COMPUTED_VALUE"""),4963.0)</f>
        <v>4963</v>
      </c>
      <c r="L1193" s="4">
        <f>IFERROR(__xludf.DUMMYFUNCTION("""COMPUTED_VALUE"""),0.502)</f>
        <v>0.502</v>
      </c>
      <c r="M1193" s="4">
        <f>IFERROR(__xludf.DUMMYFUNCTION("""COMPUTED_VALUE"""),0.39)</f>
        <v>0.39</v>
      </c>
      <c r="N1193" s="4">
        <f>IFERROR(__xludf.DUMMYFUNCTION("""COMPUTED_VALUE"""),0.882)</f>
        <v>0.882</v>
      </c>
      <c r="O1193" s="4">
        <f>IFERROR(__xludf.DUMMYFUNCTION("""COMPUTED_VALUE"""),36.7)</f>
        <v>36.7</v>
      </c>
      <c r="P1193" s="4">
        <f>IFERROR(__xludf.DUMMYFUNCTION("""COMPUTED_VALUE"""),27.2)</f>
        <v>27.2</v>
      </c>
      <c r="Q1193" s="4">
        <f>IFERROR(__xludf.DUMMYFUNCTION("""COMPUTED_VALUE"""),6.9)</f>
        <v>6.9</v>
      </c>
      <c r="R1193" s="4">
        <f>IFERROR(__xludf.DUMMYFUNCTION("""COMPUTED_VALUE"""),4.4)</f>
        <v>4.4</v>
      </c>
      <c r="S1193" s="4">
        <f>IFERROR(__xludf.DUMMYFUNCTION("""COMPUTED_VALUE"""),177.3)</f>
        <v>177.3</v>
      </c>
      <c r="T1193" s="4">
        <f>IFERROR(__xludf.DUMMYFUNCTION("""COMPUTED_VALUE"""),0.204)</f>
        <v>0.204</v>
      </c>
      <c r="U1193" s="4">
        <f>IFERROR(__xludf.DUMMYFUNCTION("""COMPUTED_VALUE"""),6.4)</f>
        <v>6.4</v>
      </c>
      <c r="V1193" s="4">
        <f>IFERROR(__xludf.DUMMYFUNCTION("""COMPUTED_VALUE"""),88.1)</f>
        <v>88.1</v>
      </c>
    </row>
    <row r="1194">
      <c r="A1194" s="4">
        <f>IFERROR(__xludf.DUMMYFUNCTION("""COMPUTED_VALUE"""),3.0)</f>
        <v>3</v>
      </c>
      <c r="B1194" s="4">
        <f>IFERROR(__xludf.DUMMYFUNCTION("""COMPUTED_VALUE"""),3.0)</f>
        <v>3</v>
      </c>
      <c r="C1194" s="4" t="str">
        <f>IFERROR(__xludf.DUMMYFUNCTION("""COMPUTED_VALUE"""),"ATL")</f>
        <v>ATL</v>
      </c>
      <c r="D1194" s="4" t="str">
        <f>IFERROR(__xludf.DUMMYFUNCTION("""COMPUTED_VALUE"""),"Al Horford")</f>
        <v>Al Horford</v>
      </c>
      <c r="E1194" s="4" t="str">
        <f>IFERROR(__xludf.DUMMYFUNCTION("""COMPUTED_VALUE"""),"Florida")</f>
        <v>Florida</v>
      </c>
      <c r="F1194" s="4">
        <f>IFERROR(__xludf.DUMMYFUNCTION("""COMPUTED_VALUE"""),19.0)</f>
        <v>19</v>
      </c>
      <c r="G1194" s="4">
        <f>IFERROR(__xludf.DUMMYFUNCTION("""COMPUTED_VALUE"""),1150.0)</f>
        <v>1150</v>
      </c>
      <c r="H1194" s="4">
        <f>IFERROR(__xludf.DUMMYFUNCTION("""COMPUTED_VALUE"""),36179.0)</f>
        <v>36179</v>
      </c>
      <c r="I1194" s="4">
        <f>IFERROR(__xludf.DUMMYFUNCTION("""COMPUTED_VALUE"""),14775.0)</f>
        <v>14775</v>
      </c>
      <c r="J1194" s="4">
        <f>IFERROR(__xludf.DUMMYFUNCTION("""COMPUTED_VALUE"""),8994.0)</f>
        <v>8994</v>
      </c>
      <c r="K1194" s="4">
        <f>IFERROR(__xludf.DUMMYFUNCTION("""COMPUTED_VALUE"""),3651.0)</f>
        <v>3651</v>
      </c>
      <c r="L1194" s="4">
        <f>IFERROR(__xludf.DUMMYFUNCTION("""COMPUTED_VALUE"""),0.508)</f>
        <v>0.508</v>
      </c>
      <c r="M1194" s="4">
        <f>IFERROR(__xludf.DUMMYFUNCTION("""COMPUTED_VALUE"""),0.376)</f>
        <v>0.376</v>
      </c>
      <c r="N1194" s="4">
        <f>IFERROR(__xludf.DUMMYFUNCTION("""COMPUTED_VALUE"""),0.764)</f>
        <v>0.764</v>
      </c>
      <c r="O1194" s="4">
        <f>IFERROR(__xludf.DUMMYFUNCTION("""COMPUTED_VALUE"""),31.5)</f>
        <v>31.5</v>
      </c>
      <c r="P1194" s="4">
        <f>IFERROR(__xludf.DUMMYFUNCTION("""COMPUTED_VALUE"""),12.8)</f>
        <v>12.8</v>
      </c>
      <c r="Q1194" s="4">
        <f>IFERROR(__xludf.DUMMYFUNCTION("""COMPUTED_VALUE"""),7.8)</f>
        <v>7.8</v>
      </c>
      <c r="R1194" s="4">
        <f>IFERROR(__xludf.DUMMYFUNCTION("""COMPUTED_VALUE"""),3.2)</f>
        <v>3.2</v>
      </c>
      <c r="S1194" s="4">
        <f>IFERROR(__xludf.DUMMYFUNCTION("""COMPUTED_VALUE"""),117.5)</f>
        <v>117.5</v>
      </c>
      <c r="T1194" s="4">
        <f>IFERROR(__xludf.DUMMYFUNCTION("""COMPUTED_VALUE"""),0.156)</f>
        <v>0.156</v>
      </c>
      <c r="U1194" s="4">
        <f>IFERROR(__xludf.DUMMYFUNCTION("""COMPUTED_VALUE"""),2.8)</f>
        <v>2.8</v>
      </c>
      <c r="V1194" s="4">
        <f>IFERROR(__xludf.DUMMYFUNCTION("""COMPUTED_VALUE"""),44.2)</f>
        <v>44.2</v>
      </c>
    </row>
    <row r="1195">
      <c r="A1195" s="4">
        <f>IFERROR(__xludf.DUMMYFUNCTION("""COMPUTED_VALUE"""),4.0)</f>
        <v>4</v>
      </c>
      <c r="B1195" s="4">
        <f>IFERROR(__xludf.DUMMYFUNCTION("""COMPUTED_VALUE"""),4.0)</f>
        <v>4</v>
      </c>
      <c r="C1195" s="4" t="str">
        <f>IFERROR(__xludf.DUMMYFUNCTION("""COMPUTED_VALUE"""),"MEM")</f>
        <v>MEM</v>
      </c>
      <c r="D1195" s="4" t="str">
        <f>IFERROR(__xludf.DUMMYFUNCTION("""COMPUTED_VALUE"""),"Mike Conley")</f>
        <v>Mike Conley</v>
      </c>
      <c r="E1195" s="4" t="str">
        <f>IFERROR(__xludf.DUMMYFUNCTION("""COMPUTED_VALUE"""),"Ohio State")</f>
        <v>Ohio State</v>
      </c>
      <c r="F1195" s="4">
        <f>IFERROR(__xludf.DUMMYFUNCTION("""COMPUTED_VALUE"""),19.0)</f>
        <v>19</v>
      </c>
      <c r="G1195" s="4">
        <f>IFERROR(__xludf.DUMMYFUNCTION("""COMPUTED_VALUE"""),1193.0)</f>
        <v>1193</v>
      </c>
      <c r="H1195" s="4">
        <f>IFERROR(__xludf.DUMMYFUNCTION("""COMPUTED_VALUE"""),37006.0)</f>
        <v>37006</v>
      </c>
      <c r="I1195" s="4">
        <f>IFERROR(__xludf.DUMMYFUNCTION("""COMPUTED_VALUE"""),16590.0)</f>
        <v>16590</v>
      </c>
      <c r="J1195" s="4">
        <f>IFERROR(__xludf.DUMMYFUNCTION("""COMPUTED_VALUE"""),3493.0)</f>
        <v>3493</v>
      </c>
      <c r="K1195" s="4">
        <f>IFERROR(__xludf.DUMMYFUNCTION("""COMPUTED_VALUE"""),6695.0)</f>
        <v>6695</v>
      </c>
      <c r="L1195" s="4">
        <f>IFERROR(__xludf.DUMMYFUNCTION("""COMPUTED_VALUE"""),0.438)</f>
        <v>0.438</v>
      </c>
      <c r="M1195" s="4">
        <f>IFERROR(__xludf.DUMMYFUNCTION("""COMPUTED_VALUE"""),0.389)</f>
        <v>0.389</v>
      </c>
      <c r="N1195" s="4">
        <f>IFERROR(__xludf.DUMMYFUNCTION("""COMPUTED_VALUE"""),0.826)</f>
        <v>0.826</v>
      </c>
      <c r="O1195" s="4">
        <f>IFERROR(__xludf.DUMMYFUNCTION("""COMPUTED_VALUE"""),31.0)</f>
        <v>31</v>
      </c>
      <c r="P1195" s="4">
        <f>IFERROR(__xludf.DUMMYFUNCTION("""COMPUTED_VALUE"""),13.9)</f>
        <v>13.9</v>
      </c>
      <c r="Q1195" s="4">
        <f>IFERROR(__xludf.DUMMYFUNCTION("""COMPUTED_VALUE"""),2.9)</f>
        <v>2.9</v>
      </c>
      <c r="R1195" s="4">
        <f>IFERROR(__xludf.DUMMYFUNCTION("""COMPUTED_VALUE"""),5.6)</f>
        <v>5.6</v>
      </c>
      <c r="S1195" s="4">
        <f>IFERROR(__xludf.DUMMYFUNCTION("""COMPUTED_VALUE"""),106.8)</f>
        <v>106.8</v>
      </c>
      <c r="T1195" s="4">
        <f>IFERROR(__xludf.DUMMYFUNCTION("""COMPUTED_VALUE"""),0.139)</f>
        <v>0.139</v>
      </c>
      <c r="U1195" s="4">
        <f>IFERROR(__xludf.DUMMYFUNCTION("""COMPUTED_VALUE"""),2.4)</f>
        <v>2.4</v>
      </c>
      <c r="V1195" s="4">
        <f>IFERROR(__xludf.DUMMYFUNCTION("""COMPUTED_VALUE"""),40.9)</f>
        <v>40.9</v>
      </c>
    </row>
    <row r="1196">
      <c r="A1196" s="4">
        <f>IFERROR(__xludf.DUMMYFUNCTION("""COMPUTED_VALUE"""),5.0)</f>
        <v>5</v>
      </c>
      <c r="B1196" s="4">
        <f>IFERROR(__xludf.DUMMYFUNCTION("""COMPUTED_VALUE"""),5.0)</f>
        <v>5</v>
      </c>
      <c r="C1196" s="4" t="str">
        <f>IFERROR(__xludf.DUMMYFUNCTION("""COMPUTED_VALUE"""),"BOS")</f>
        <v>BOS</v>
      </c>
      <c r="D1196" s="4" t="str">
        <f>IFERROR(__xludf.DUMMYFUNCTION("""COMPUTED_VALUE"""),"Jeff Green")</f>
        <v>Jeff Green</v>
      </c>
      <c r="E1196" s="4" t="str">
        <f>IFERROR(__xludf.DUMMYFUNCTION("""COMPUTED_VALUE"""),"Georgetown")</f>
        <v>Georgetown</v>
      </c>
      <c r="F1196" s="4">
        <f>IFERROR(__xludf.DUMMYFUNCTION("""COMPUTED_VALUE"""),18.0)</f>
        <v>18</v>
      </c>
      <c r="G1196" s="4">
        <f>IFERROR(__xludf.DUMMYFUNCTION("""COMPUTED_VALUE"""),1224.0)</f>
        <v>1224</v>
      </c>
      <c r="H1196" s="4">
        <f>IFERROR(__xludf.DUMMYFUNCTION("""COMPUTED_VALUE"""),33288.0)</f>
        <v>33288</v>
      </c>
      <c r="I1196" s="4">
        <f>IFERROR(__xludf.DUMMYFUNCTION("""COMPUTED_VALUE"""),14429.0)</f>
        <v>14429</v>
      </c>
      <c r="J1196" s="4">
        <f>IFERROR(__xludf.DUMMYFUNCTION("""COMPUTED_VALUE"""),4885.0)</f>
        <v>4885</v>
      </c>
      <c r="K1196" s="4">
        <f>IFERROR(__xludf.DUMMYFUNCTION("""COMPUTED_VALUE"""),1784.0)</f>
        <v>1784</v>
      </c>
      <c r="L1196" s="4">
        <f>IFERROR(__xludf.DUMMYFUNCTION("""COMPUTED_VALUE"""),0.45)</f>
        <v>0.45</v>
      </c>
      <c r="M1196" s="4">
        <f>IFERROR(__xludf.DUMMYFUNCTION("""COMPUTED_VALUE"""),0.338)</f>
        <v>0.338</v>
      </c>
      <c r="N1196" s="4">
        <f>IFERROR(__xludf.DUMMYFUNCTION("""COMPUTED_VALUE"""),0.804)</f>
        <v>0.804</v>
      </c>
      <c r="O1196" s="4">
        <f>IFERROR(__xludf.DUMMYFUNCTION("""COMPUTED_VALUE"""),27.2)</f>
        <v>27.2</v>
      </c>
      <c r="P1196" s="4">
        <f>IFERROR(__xludf.DUMMYFUNCTION("""COMPUTED_VALUE"""),11.8)</f>
        <v>11.8</v>
      </c>
      <c r="Q1196" s="4">
        <f>IFERROR(__xludf.DUMMYFUNCTION("""COMPUTED_VALUE"""),4.0)</f>
        <v>4</v>
      </c>
      <c r="R1196" s="4">
        <f>IFERROR(__xludf.DUMMYFUNCTION("""COMPUTED_VALUE"""),1.5)</f>
        <v>1.5</v>
      </c>
      <c r="S1196" s="4">
        <f>IFERROR(__xludf.DUMMYFUNCTION("""COMPUTED_VALUE"""),56.0)</f>
        <v>56</v>
      </c>
      <c r="T1196" s="4">
        <f>IFERROR(__xludf.DUMMYFUNCTION("""COMPUTED_VALUE"""),0.081)</f>
        <v>0.081</v>
      </c>
      <c r="U1196" s="4">
        <f>IFERROR(__xludf.DUMMYFUNCTION("""COMPUTED_VALUE"""),-1.4)</f>
        <v>-1.4</v>
      </c>
      <c r="V1196" s="4">
        <f>IFERROR(__xludf.DUMMYFUNCTION("""COMPUTED_VALUE"""),4.6)</f>
        <v>4.6</v>
      </c>
    </row>
    <row r="1197">
      <c r="A1197" s="4">
        <f>IFERROR(__xludf.DUMMYFUNCTION("""COMPUTED_VALUE"""),6.0)</f>
        <v>6</v>
      </c>
      <c r="B1197" s="4">
        <f>IFERROR(__xludf.DUMMYFUNCTION("""COMPUTED_VALUE"""),6.0)</f>
        <v>6</v>
      </c>
      <c r="C1197" s="4" t="str">
        <f>IFERROR(__xludf.DUMMYFUNCTION("""COMPUTED_VALUE"""),"MIL")</f>
        <v>MIL</v>
      </c>
      <c r="D1197" s="4" t="str">
        <f>IFERROR(__xludf.DUMMYFUNCTION("""COMPUTED_VALUE"""),"Yi Jianlian")</f>
        <v>Yi Jianlian</v>
      </c>
      <c r="E1197" s="4"/>
      <c r="F1197" s="4">
        <f>IFERROR(__xludf.DUMMYFUNCTION("""COMPUTED_VALUE"""),5.0)</f>
        <v>5</v>
      </c>
      <c r="G1197" s="4">
        <f>IFERROR(__xludf.DUMMYFUNCTION("""COMPUTED_VALUE"""),272.0)</f>
        <v>272</v>
      </c>
      <c r="H1197" s="4">
        <f>IFERROR(__xludf.DUMMYFUNCTION("""COMPUTED_VALUE"""),6038.0)</f>
        <v>6038</v>
      </c>
      <c r="I1197" s="4">
        <f>IFERROR(__xludf.DUMMYFUNCTION("""COMPUTED_VALUE"""),2148.0)</f>
        <v>2148</v>
      </c>
      <c r="J1197" s="4">
        <f>IFERROR(__xludf.DUMMYFUNCTION("""COMPUTED_VALUE"""),1339.0)</f>
        <v>1339</v>
      </c>
      <c r="K1197" s="4">
        <f>IFERROR(__xludf.DUMMYFUNCTION("""COMPUTED_VALUE"""),192.0)</f>
        <v>192</v>
      </c>
      <c r="L1197" s="4">
        <f>IFERROR(__xludf.DUMMYFUNCTION("""COMPUTED_VALUE"""),0.404)</f>
        <v>0.404</v>
      </c>
      <c r="M1197" s="4">
        <f>IFERROR(__xludf.DUMMYFUNCTION("""COMPUTED_VALUE"""),0.333)</f>
        <v>0.333</v>
      </c>
      <c r="N1197" s="4">
        <f>IFERROR(__xludf.DUMMYFUNCTION("""COMPUTED_VALUE"""),0.78)</f>
        <v>0.78</v>
      </c>
      <c r="O1197" s="4">
        <f>IFERROR(__xludf.DUMMYFUNCTION("""COMPUTED_VALUE"""),22.2)</f>
        <v>22.2</v>
      </c>
      <c r="P1197" s="4">
        <f>IFERROR(__xludf.DUMMYFUNCTION("""COMPUTED_VALUE"""),7.9)</f>
        <v>7.9</v>
      </c>
      <c r="Q1197" s="4">
        <f>IFERROR(__xludf.DUMMYFUNCTION("""COMPUTED_VALUE"""),4.9)</f>
        <v>4.9</v>
      </c>
      <c r="R1197" s="4">
        <f>IFERROR(__xludf.DUMMYFUNCTION("""COMPUTED_VALUE"""),0.7)</f>
        <v>0.7</v>
      </c>
      <c r="S1197" s="4">
        <f>IFERROR(__xludf.DUMMYFUNCTION("""COMPUTED_VALUE"""),3.1)</f>
        <v>3.1</v>
      </c>
      <c r="T1197" s="4">
        <f>IFERROR(__xludf.DUMMYFUNCTION("""COMPUTED_VALUE"""),0.025)</f>
        <v>0.025</v>
      </c>
      <c r="U1197" s="4">
        <f>IFERROR(__xludf.DUMMYFUNCTION("""COMPUTED_VALUE"""),-4.3)</f>
        <v>-4.3</v>
      </c>
      <c r="V1197" s="4">
        <f>IFERROR(__xludf.DUMMYFUNCTION("""COMPUTED_VALUE"""),-3.5)</f>
        <v>-3.5</v>
      </c>
    </row>
    <row r="1198">
      <c r="A1198" s="4">
        <f>IFERROR(__xludf.DUMMYFUNCTION("""COMPUTED_VALUE"""),7.0)</f>
        <v>7</v>
      </c>
      <c r="B1198" s="4">
        <f>IFERROR(__xludf.DUMMYFUNCTION("""COMPUTED_VALUE"""),7.0)</f>
        <v>7</v>
      </c>
      <c r="C1198" s="4" t="str">
        <f>IFERROR(__xludf.DUMMYFUNCTION("""COMPUTED_VALUE"""),"MIN")</f>
        <v>MIN</v>
      </c>
      <c r="D1198" s="4" t="str">
        <f>IFERROR(__xludf.DUMMYFUNCTION("""COMPUTED_VALUE"""),"Corey Brewer")</f>
        <v>Corey Brewer</v>
      </c>
      <c r="E1198" s="4" t="str">
        <f>IFERROR(__xludf.DUMMYFUNCTION("""COMPUTED_VALUE"""),"Florida")</f>
        <v>Florida</v>
      </c>
      <c r="F1198" s="4">
        <f>IFERROR(__xludf.DUMMYFUNCTION("""COMPUTED_VALUE"""),13.0)</f>
        <v>13</v>
      </c>
      <c r="G1198" s="4">
        <f>IFERROR(__xludf.DUMMYFUNCTION("""COMPUTED_VALUE"""),819.0)</f>
        <v>819</v>
      </c>
      <c r="H1198" s="4">
        <f>IFERROR(__xludf.DUMMYFUNCTION("""COMPUTED_VALUE"""),18771.0)</f>
        <v>18771</v>
      </c>
      <c r="I1198" s="4">
        <f>IFERROR(__xludf.DUMMYFUNCTION("""COMPUTED_VALUE"""),7097.0)</f>
        <v>7097</v>
      </c>
      <c r="J1198" s="4">
        <f>IFERROR(__xludf.DUMMYFUNCTION("""COMPUTED_VALUE"""),2287.0)</f>
        <v>2287</v>
      </c>
      <c r="K1198" s="4">
        <f>IFERROR(__xludf.DUMMYFUNCTION("""COMPUTED_VALUE"""),1250.0)</f>
        <v>1250</v>
      </c>
      <c r="L1198" s="4">
        <f>IFERROR(__xludf.DUMMYFUNCTION("""COMPUTED_VALUE"""),0.425)</f>
        <v>0.425</v>
      </c>
      <c r="M1198" s="4">
        <f>IFERROR(__xludf.DUMMYFUNCTION("""COMPUTED_VALUE"""),0.284)</f>
        <v>0.284</v>
      </c>
      <c r="N1198" s="4">
        <f>IFERROR(__xludf.DUMMYFUNCTION("""COMPUTED_VALUE"""),0.713)</f>
        <v>0.713</v>
      </c>
      <c r="O1198" s="4">
        <f>IFERROR(__xludf.DUMMYFUNCTION("""COMPUTED_VALUE"""),22.9)</f>
        <v>22.9</v>
      </c>
      <c r="P1198" s="4">
        <f>IFERROR(__xludf.DUMMYFUNCTION("""COMPUTED_VALUE"""),8.7)</f>
        <v>8.7</v>
      </c>
      <c r="Q1198" s="4">
        <f>IFERROR(__xludf.DUMMYFUNCTION("""COMPUTED_VALUE"""),2.8)</f>
        <v>2.8</v>
      </c>
      <c r="R1198" s="4">
        <f>IFERROR(__xludf.DUMMYFUNCTION("""COMPUTED_VALUE"""),1.5)</f>
        <v>1.5</v>
      </c>
      <c r="S1198" s="4">
        <f>IFERROR(__xludf.DUMMYFUNCTION("""COMPUTED_VALUE"""),22.5)</f>
        <v>22.5</v>
      </c>
      <c r="T1198" s="4">
        <f>IFERROR(__xludf.DUMMYFUNCTION("""COMPUTED_VALUE"""),0.058)</f>
        <v>0.058</v>
      </c>
      <c r="U1198" s="4">
        <f>IFERROR(__xludf.DUMMYFUNCTION("""COMPUTED_VALUE"""),-1.6)</f>
        <v>-1.6</v>
      </c>
      <c r="V1198" s="4">
        <f>IFERROR(__xludf.DUMMYFUNCTION("""COMPUTED_VALUE"""),2.0)</f>
        <v>2</v>
      </c>
    </row>
    <row r="1199">
      <c r="A1199" s="4">
        <f>IFERROR(__xludf.DUMMYFUNCTION("""COMPUTED_VALUE"""),8.0)</f>
        <v>8</v>
      </c>
      <c r="B1199" s="4">
        <f>IFERROR(__xludf.DUMMYFUNCTION("""COMPUTED_VALUE"""),8.0)</f>
        <v>8</v>
      </c>
      <c r="C1199" s="4" t="str">
        <f>IFERROR(__xludf.DUMMYFUNCTION("""COMPUTED_VALUE"""),"CHA")</f>
        <v>CHA</v>
      </c>
      <c r="D1199" s="4" t="str">
        <f>IFERROR(__xludf.DUMMYFUNCTION("""COMPUTED_VALUE"""),"Brandan Wright")</f>
        <v>Brandan Wright</v>
      </c>
      <c r="E1199" s="4" t="str">
        <f>IFERROR(__xludf.DUMMYFUNCTION("""COMPUTED_VALUE"""),"UNC")</f>
        <v>UNC</v>
      </c>
      <c r="F1199" s="4">
        <f>IFERROR(__xludf.DUMMYFUNCTION("""COMPUTED_VALUE"""),10.0)</f>
        <v>10</v>
      </c>
      <c r="G1199" s="4">
        <f>IFERROR(__xludf.DUMMYFUNCTION("""COMPUTED_VALUE"""),428.0)</f>
        <v>428</v>
      </c>
      <c r="H1199" s="4">
        <f>IFERROR(__xludf.DUMMYFUNCTION("""COMPUTED_VALUE"""),6949.0)</f>
        <v>6949</v>
      </c>
      <c r="I1199" s="4">
        <f>IFERROR(__xludf.DUMMYFUNCTION("""COMPUTED_VALUE"""),2976.0)</f>
        <v>2976</v>
      </c>
      <c r="J1199" s="4">
        <f>IFERROR(__xludf.DUMMYFUNCTION("""COMPUTED_VALUE"""),1560.0)</f>
        <v>1560</v>
      </c>
      <c r="K1199" s="4">
        <f>IFERROR(__xludf.DUMMYFUNCTION("""COMPUTED_VALUE"""),199.0)</f>
        <v>199</v>
      </c>
      <c r="L1199" s="4">
        <f>IFERROR(__xludf.DUMMYFUNCTION("""COMPUTED_VALUE"""),0.607)</f>
        <v>0.607</v>
      </c>
      <c r="M1199" s="4">
        <f>IFERROR(__xludf.DUMMYFUNCTION("""COMPUTED_VALUE"""),0.0)</f>
        <v>0</v>
      </c>
      <c r="N1199" s="4">
        <f>IFERROR(__xludf.DUMMYFUNCTION("""COMPUTED_VALUE"""),0.674)</f>
        <v>0.674</v>
      </c>
      <c r="O1199" s="4">
        <f>IFERROR(__xludf.DUMMYFUNCTION("""COMPUTED_VALUE"""),16.2)</f>
        <v>16.2</v>
      </c>
      <c r="P1199" s="4">
        <f>IFERROR(__xludf.DUMMYFUNCTION("""COMPUTED_VALUE"""),7.0)</f>
        <v>7</v>
      </c>
      <c r="Q1199" s="4">
        <f>IFERROR(__xludf.DUMMYFUNCTION("""COMPUTED_VALUE"""),3.6)</f>
        <v>3.6</v>
      </c>
      <c r="R1199" s="4">
        <f>IFERROR(__xludf.DUMMYFUNCTION("""COMPUTED_VALUE"""),0.5)</f>
        <v>0.5</v>
      </c>
      <c r="S1199" s="4">
        <f>IFERROR(__xludf.DUMMYFUNCTION("""COMPUTED_VALUE"""),26.2)</f>
        <v>26.2</v>
      </c>
      <c r="T1199" s="4">
        <f>IFERROR(__xludf.DUMMYFUNCTION("""COMPUTED_VALUE"""),0.181)</f>
        <v>0.181</v>
      </c>
      <c r="U1199" s="4">
        <f>IFERROR(__xludf.DUMMYFUNCTION("""COMPUTED_VALUE"""),2.3)</f>
        <v>2.3</v>
      </c>
      <c r="V1199" s="4">
        <f>IFERROR(__xludf.DUMMYFUNCTION("""COMPUTED_VALUE"""),7.5)</f>
        <v>7.5</v>
      </c>
    </row>
    <row r="1200">
      <c r="A1200" s="4">
        <f>IFERROR(__xludf.DUMMYFUNCTION("""COMPUTED_VALUE"""),9.0)</f>
        <v>9</v>
      </c>
      <c r="B1200" s="4">
        <f>IFERROR(__xludf.DUMMYFUNCTION("""COMPUTED_VALUE"""),9.0)</f>
        <v>9</v>
      </c>
      <c r="C1200" s="4" t="str">
        <f>IFERROR(__xludf.DUMMYFUNCTION("""COMPUTED_VALUE"""),"CHI")</f>
        <v>CHI</v>
      </c>
      <c r="D1200" s="4" t="str">
        <f>IFERROR(__xludf.DUMMYFUNCTION("""COMPUTED_VALUE"""),"Joakim Noah")</f>
        <v>Joakim Noah</v>
      </c>
      <c r="E1200" s="4" t="str">
        <f>IFERROR(__xludf.DUMMYFUNCTION("""COMPUTED_VALUE"""),"Florida")</f>
        <v>Florida</v>
      </c>
      <c r="F1200" s="4">
        <f>IFERROR(__xludf.DUMMYFUNCTION("""COMPUTED_VALUE"""),13.0)</f>
        <v>13</v>
      </c>
      <c r="G1200" s="4">
        <f>IFERROR(__xludf.DUMMYFUNCTION("""COMPUTED_VALUE"""),672.0)</f>
        <v>672</v>
      </c>
      <c r="H1200" s="4">
        <f>IFERROR(__xludf.DUMMYFUNCTION("""COMPUTED_VALUE"""),18646.0)</f>
        <v>18646</v>
      </c>
      <c r="I1200" s="4">
        <f>IFERROR(__xludf.DUMMYFUNCTION("""COMPUTED_VALUE"""),5881.0)</f>
        <v>5881</v>
      </c>
      <c r="J1200" s="4">
        <f>IFERROR(__xludf.DUMMYFUNCTION("""COMPUTED_VALUE"""),6058.0)</f>
        <v>6058</v>
      </c>
      <c r="K1200" s="4">
        <f>IFERROR(__xludf.DUMMYFUNCTION("""COMPUTED_VALUE"""),1907.0)</f>
        <v>1907</v>
      </c>
      <c r="L1200" s="4">
        <f>IFERROR(__xludf.DUMMYFUNCTION("""COMPUTED_VALUE"""),0.491)</f>
        <v>0.491</v>
      </c>
      <c r="M1200" s="4">
        <f>IFERROR(__xludf.DUMMYFUNCTION("""COMPUTED_VALUE"""),0.0)</f>
        <v>0</v>
      </c>
      <c r="N1200" s="4">
        <f>IFERROR(__xludf.DUMMYFUNCTION("""COMPUTED_VALUE"""),0.7)</f>
        <v>0.7</v>
      </c>
      <c r="O1200" s="4">
        <f>IFERROR(__xludf.DUMMYFUNCTION("""COMPUTED_VALUE"""),27.7)</f>
        <v>27.7</v>
      </c>
      <c r="P1200" s="4">
        <f>IFERROR(__xludf.DUMMYFUNCTION("""COMPUTED_VALUE"""),8.8)</f>
        <v>8.8</v>
      </c>
      <c r="Q1200" s="4">
        <f>IFERROR(__xludf.DUMMYFUNCTION("""COMPUTED_VALUE"""),9.0)</f>
        <v>9</v>
      </c>
      <c r="R1200" s="4">
        <f>IFERROR(__xludf.DUMMYFUNCTION("""COMPUTED_VALUE"""),2.8)</f>
        <v>2.8</v>
      </c>
      <c r="S1200" s="4">
        <f>IFERROR(__xludf.DUMMYFUNCTION("""COMPUTED_VALUE"""),61.9)</f>
        <v>61.9</v>
      </c>
      <c r="T1200" s="4">
        <f>IFERROR(__xludf.DUMMYFUNCTION("""COMPUTED_VALUE"""),0.159)</f>
        <v>0.159</v>
      </c>
      <c r="U1200" s="4">
        <f>IFERROR(__xludf.DUMMYFUNCTION("""COMPUTED_VALUE"""),2.5)</f>
        <v>2.5</v>
      </c>
      <c r="V1200" s="4">
        <f>IFERROR(__xludf.DUMMYFUNCTION("""COMPUTED_VALUE"""),20.9)</f>
        <v>20.9</v>
      </c>
    </row>
    <row r="1201">
      <c r="A1201" s="4">
        <f>IFERROR(__xludf.DUMMYFUNCTION("""COMPUTED_VALUE"""),10.0)</f>
        <v>10</v>
      </c>
      <c r="B1201" s="4">
        <f>IFERROR(__xludf.DUMMYFUNCTION("""COMPUTED_VALUE"""),10.0)</f>
        <v>10</v>
      </c>
      <c r="C1201" s="4" t="str">
        <f>IFERROR(__xludf.DUMMYFUNCTION("""COMPUTED_VALUE"""),"SAC")</f>
        <v>SAC</v>
      </c>
      <c r="D1201" s="4" t="str">
        <f>IFERROR(__xludf.DUMMYFUNCTION("""COMPUTED_VALUE"""),"Spencer Hawes")</f>
        <v>Spencer Hawes</v>
      </c>
      <c r="E1201" s="4" t="str">
        <f>IFERROR(__xludf.DUMMYFUNCTION("""COMPUTED_VALUE"""),"Washington")</f>
        <v>Washington</v>
      </c>
      <c r="F1201" s="4">
        <f>IFERROR(__xludf.DUMMYFUNCTION("""COMPUTED_VALUE"""),10.0)</f>
        <v>10</v>
      </c>
      <c r="G1201" s="4">
        <f>IFERROR(__xludf.DUMMYFUNCTION("""COMPUTED_VALUE"""),684.0)</f>
        <v>684</v>
      </c>
      <c r="H1201" s="4">
        <f>IFERROR(__xludf.DUMMYFUNCTION("""COMPUTED_VALUE"""),15541.0)</f>
        <v>15541</v>
      </c>
      <c r="I1201" s="4">
        <f>IFERROR(__xludf.DUMMYFUNCTION("""COMPUTED_VALUE"""),5932.0)</f>
        <v>5932</v>
      </c>
      <c r="J1201" s="4">
        <f>IFERROR(__xludf.DUMMYFUNCTION("""COMPUTED_VALUE"""),3893.0)</f>
        <v>3893</v>
      </c>
      <c r="K1201" s="4">
        <f>IFERROR(__xludf.DUMMYFUNCTION("""COMPUTED_VALUE"""),1271.0)</f>
        <v>1271</v>
      </c>
      <c r="L1201" s="4">
        <f>IFERROR(__xludf.DUMMYFUNCTION("""COMPUTED_VALUE"""),0.457)</f>
        <v>0.457</v>
      </c>
      <c r="M1201" s="4">
        <f>IFERROR(__xludf.DUMMYFUNCTION("""COMPUTED_VALUE"""),0.35)</f>
        <v>0.35</v>
      </c>
      <c r="N1201" s="4">
        <f>IFERROR(__xludf.DUMMYFUNCTION("""COMPUTED_VALUE"""),0.716)</f>
        <v>0.716</v>
      </c>
      <c r="O1201" s="4">
        <f>IFERROR(__xludf.DUMMYFUNCTION("""COMPUTED_VALUE"""),22.7)</f>
        <v>22.7</v>
      </c>
      <c r="P1201" s="4">
        <f>IFERROR(__xludf.DUMMYFUNCTION("""COMPUTED_VALUE"""),8.7)</f>
        <v>8.7</v>
      </c>
      <c r="Q1201" s="4">
        <f>IFERROR(__xludf.DUMMYFUNCTION("""COMPUTED_VALUE"""),5.7)</f>
        <v>5.7</v>
      </c>
      <c r="R1201" s="4">
        <f>IFERROR(__xludf.DUMMYFUNCTION("""COMPUTED_VALUE"""),1.9)</f>
        <v>1.9</v>
      </c>
      <c r="S1201" s="4">
        <f>IFERROR(__xludf.DUMMYFUNCTION("""COMPUTED_VALUE"""),22.6)</f>
        <v>22.6</v>
      </c>
      <c r="T1201" s="4">
        <f>IFERROR(__xludf.DUMMYFUNCTION("""COMPUTED_VALUE"""),0.07)</f>
        <v>0.07</v>
      </c>
      <c r="U1201" s="4">
        <f>IFERROR(__xludf.DUMMYFUNCTION("""COMPUTED_VALUE"""),-1.1)</f>
        <v>-1.1</v>
      </c>
      <c r="V1201" s="4">
        <f>IFERROR(__xludf.DUMMYFUNCTION("""COMPUTED_VALUE"""),3.4)</f>
        <v>3.4</v>
      </c>
    </row>
    <row r="1202">
      <c r="A1202" s="4">
        <f>IFERROR(__xludf.DUMMYFUNCTION("""COMPUTED_VALUE"""),11.0)</f>
        <v>11</v>
      </c>
      <c r="B1202" s="4">
        <f>IFERROR(__xludf.DUMMYFUNCTION("""COMPUTED_VALUE"""),11.0)</f>
        <v>11</v>
      </c>
      <c r="C1202" s="4" t="str">
        <f>IFERROR(__xludf.DUMMYFUNCTION("""COMPUTED_VALUE"""),"ATL")</f>
        <v>ATL</v>
      </c>
      <c r="D1202" s="4" t="str">
        <f>IFERROR(__xludf.DUMMYFUNCTION("""COMPUTED_VALUE"""),"Acie Law")</f>
        <v>Acie Law</v>
      </c>
      <c r="E1202" s="4" t="str">
        <f>IFERROR(__xludf.DUMMYFUNCTION("""COMPUTED_VALUE"""),"Texas A&amp;M")</f>
        <v>Texas A&amp;M</v>
      </c>
      <c r="F1202" s="4">
        <f>IFERROR(__xludf.DUMMYFUNCTION("""COMPUTED_VALUE"""),4.0)</f>
        <v>4</v>
      </c>
      <c r="G1202" s="4">
        <f>IFERROR(__xludf.DUMMYFUNCTION("""COMPUTED_VALUE"""),188.0)</f>
        <v>188</v>
      </c>
      <c r="H1202" s="4">
        <f>IFERROR(__xludf.DUMMYFUNCTION("""COMPUTED_VALUE"""),2385.0)</f>
        <v>2385</v>
      </c>
      <c r="I1202" s="4">
        <f>IFERROR(__xludf.DUMMYFUNCTION("""COMPUTED_VALUE"""),725.0)</f>
        <v>725</v>
      </c>
      <c r="J1202" s="4">
        <f>IFERROR(__xludf.DUMMYFUNCTION("""COMPUTED_VALUE"""),195.0)</f>
        <v>195</v>
      </c>
      <c r="K1202" s="4">
        <f>IFERROR(__xludf.DUMMYFUNCTION("""COMPUTED_VALUE"""),309.0)</f>
        <v>309</v>
      </c>
      <c r="L1202" s="4">
        <f>IFERROR(__xludf.DUMMYFUNCTION("""COMPUTED_VALUE"""),0.413)</f>
        <v>0.413</v>
      </c>
      <c r="M1202" s="4">
        <f>IFERROR(__xludf.DUMMYFUNCTION("""COMPUTED_VALUE"""),0.235)</f>
        <v>0.235</v>
      </c>
      <c r="N1202" s="4">
        <f>IFERROR(__xludf.DUMMYFUNCTION("""COMPUTED_VALUE"""),0.778)</f>
        <v>0.778</v>
      </c>
      <c r="O1202" s="4">
        <f>IFERROR(__xludf.DUMMYFUNCTION("""COMPUTED_VALUE"""),12.7)</f>
        <v>12.7</v>
      </c>
      <c r="P1202" s="4">
        <f>IFERROR(__xludf.DUMMYFUNCTION("""COMPUTED_VALUE"""),3.9)</f>
        <v>3.9</v>
      </c>
      <c r="Q1202" s="4">
        <f>IFERROR(__xludf.DUMMYFUNCTION("""COMPUTED_VALUE"""),1.0)</f>
        <v>1</v>
      </c>
      <c r="R1202" s="4">
        <f>IFERROR(__xludf.DUMMYFUNCTION("""COMPUTED_VALUE"""),1.6)</f>
        <v>1.6</v>
      </c>
      <c r="S1202" s="4">
        <f>IFERROR(__xludf.DUMMYFUNCTION("""COMPUTED_VALUE"""),1.6)</f>
        <v>1.6</v>
      </c>
      <c r="T1202" s="4">
        <f>IFERROR(__xludf.DUMMYFUNCTION("""COMPUTED_VALUE"""),0.032)</f>
        <v>0.032</v>
      </c>
      <c r="U1202" s="4">
        <f>IFERROR(__xludf.DUMMYFUNCTION("""COMPUTED_VALUE"""),-3.9)</f>
        <v>-3.9</v>
      </c>
      <c r="V1202" s="4">
        <f>IFERROR(__xludf.DUMMYFUNCTION("""COMPUTED_VALUE"""),-1.1)</f>
        <v>-1.1</v>
      </c>
    </row>
    <row r="1203">
      <c r="A1203" s="4">
        <f>IFERROR(__xludf.DUMMYFUNCTION("""COMPUTED_VALUE"""),12.0)</f>
        <v>12</v>
      </c>
      <c r="B1203" s="4">
        <f>IFERROR(__xludf.DUMMYFUNCTION("""COMPUTED_VALUE"""),12.0)</f>
        <v>12</v>
      </c>
      <c r="C1203" s="4" t="str">
        <f>IFERROR(__xludf.DUMMYFUNCTION("""COMPUTED_VALUE"""),"PHI")</f>
        <v>PHI</v>
      </c>
      <c r="D1203" s="4" t="str">
        <f>IFERROR(__xludf.DUMMYFUNCTION("""COMPUTED_VALUE"""),"Thaddeus Young")</f>
        <v>Thaddeus Young</v>
      </c>
      <c r="E1203" s="4" t="str">
        <f>IFERROR(__xludf.DUMMYFUNCTION("""COMPUTED_VALUE"""),"Georgia Tech")</f>
        <v>Georgia Tech</v>
      </c>
      <c r="F1203" s="4">
        <f>IFERROR(__xludf.DUMMYFUNCTION("""COMPUTED_VALUE"""),17.0)</f>
        <v>17</v>
      </c>
      <c r="G1203" s="4">
        <f>IFERROR(__xludf.DUMMYFUNCTION("""COMPUTED_VALUE"""),1172.0)</f>
        <v>1172</v>
      </c>
      <c r="H1203" s="4">
        <f>IFERROR(__xludf.DUMMYFUNCTION("""COMPUTED_VALUE"""),33012.0)</f>
        <v>33012</v>
      </c>
      <c r="I1203" s="4">
        <f>IFERROR(__xludf.DUMMYFUNCTION("""COMPUTED_VALUE"""),14225.0)</f>
        <v>14225</v>
      </c>
      <c r="J1203" s="4">
        <f>IFERROR(__xludf.DUMMYFUNCTION("""COMPUTED_VALUE"""),6614.0)</f>
        <v>6614</v>
      </c>
      <c r="K1203" s="4">
        <f>IFERROR(__xludf.DUMMYFUNCTION("""COMPUTED_VALUE"""),2135.0)</f>
        <v>2135</v>
      </c>
      <c r="L1203" s="4">
        <f>IFERROR(__xludf.DUMMYFUNCTION("""COMPUTED_VALUE"""),0.503)</f>
        <v>0.503</v>
      </c>
      <c r="M1203" s="4">
        <f>IFERROR(__xludf.DUMMYFUNCTION("""COMPUTED_VALUE"""),0.328)</f>
        <v>0.328</v>
      </c>
      <c r="N1203" s="4">
        <f>IFERROR(__xludf.DUMMYFUNCTION("""COMPUTED_VALUE"""),0.661)</f>
        <v>0.661</v>
      </c>
      <c r="O1203" s="4">
        <f>IFERROR(__xludf.DUMMYFUNCTION("""COMPUTED_VALUE"""),28.2)</f>
        <v>28.2</v>
      </c>
      <c r="P1203" s="4">
        <f>IFERROR(__xludf.DUMMYFUNCTION("""COMPUTED_VALUE"""),12.1)</f>
        <v>12.1</v>
      </c>
      <c r="Q1203" s="4">
        <f>IFERROR(__xludf.DUMMYFUNCTION("""COMPUTED_VALUE"""),5.6)</f>
        <v>5.6</v>
      </c>
      <c r="R1203" s="4">
        <f>IFERROR(__xludf.DUMMYFUNCTION("""COMPUTED_VALUE"""),1.8)</f>
        <v>1.8</v>
      </c>
      <c r="S1203" s="4">
        <f>IFERROR(__xludf.DUMMYFUNCTION("""COMPUTED_VALUE"""),71.9)</f>
        <v>71.9</v>
      </c>
      <c r="T1203" s="4">
        <f>IFERROR(__xludf.DUMMYFUNCTION("""COMPUTED_VALUE"""),0.105)</f>
        <v>0.105</v>
      </c>
      <c r="U1203" s="4">
        <f>IFERROR(__xludf.DUMMYFUNCTION("""COMPUTED_VALUE"""),0.5)</f>
        <v>0.5</v>
      </c>
      <c r="V1203" s="4">
        <f>IFERROR(__xludf.DUMMYFUNCTION("""COMPUTED_VALUE"""),20.7)</f>
        <v>20.7</v>
      </c>
    </row>
    <row r="1204">
      <c r="A1204" s="4">
        <f>IFERROR(__xludf.DUMMYFUNCTION("""COMPUTED_VALUE"""),13.0)</f>
        <v>13</v>
      </c>
      <c r="B1204" s="4">
        <f>IFERROR(__xludf.DUMMYFUNCTION("""COMPUTED_VALUE"""),13.0)</f>
        <v>13</v>
      </c>
      <c r="C1204" s="4" t="str">
        <f>IFERROR(__xludf.DUMMYFUNCTION("""COMPUTED_VALUE"""),"NOK")</f>
        <v>NOK</v>
      </c>
      <c r="D1204" s="4" t="str">
        <f>IFERROR(__xludf.DUMMYFUNCTION("""COMPUTED_VALUE"""),"Julian Wright")</f>
        <v>Julian Wright</v>
      </c>
      <c r="E1204" s="4" t="str">
        <f>IFERROR(__xludf.DUMMYFUNCTION("""COMPUTED_VALUE"""),"Kansas")</f>
        <v>Kansas</v>
      </c>
      <c r="F1204" s="4">
        <f>IFERROR(__xludf.DUMMYFUNCTION("""COMPUTED_VALUE"""),4.0)</f>
        <v>4</v>
      </c>
      <c r="G1204" s="4">
        <f>IFERROR(__xludf.DUMMYFUNCTION("""COMPUTED_VALUE"""),231.0)</f>
        <v>231</v>
      </c>
      <c r="H1204" s="4">
        <f>IFERROR(__xludf.DUMMYFUNCTION("""COMPUTED_VALUE"""),3049.0)</f>
        <v>3049</v>
      </c>
      <c r="I1204" s="4">
        <f>IFERROR(__xludf.DUMMYFUNCTION("""COMPUTED_VALUE"""),907.0)</f>
        <v>907</v>
      </c>
      <c r="J1204" s="4">
        <f>IFERROR(__xludf.DUMMYFUNCTION("""COMPUTED_VALUE"""),531.0)</f>
        <v>531</v>
      </c>
      <c r="K1204" s="4">
        <f>IFERROR(__xludf.DUMMYFUNCTION("""COMPUTED_VALUE"""),182.0)</f>
        <v>182</v>
      </c>
      <c r="L1204" s="4">
        <f>IFERROR(__xludf.DUMMYFUNCTION("""COMPUTED_VALUE"""),0.499)</f>
        <v>0.499</v>
      </c>
      <c r="M1204" s="4">
        <f>IFERROR(__xludf.DUMMYFUNCTION("""COMPUTED_VALUE"""),0.262)</f>
        <v>0.262</v>
      </c>
      <c r="N1204" s="4">
        <f>IFERROR(__xludf.DUMMYFUNCTION("""COMPUTED_VALUE"""),0.584)</f>
        <v>0.584</v>
      </c>
      <c r="O1204" s="4">
        <f>IFERROR(__xludf.DUMMYFUNCTION("""COMPUTED_VALUE"""),13.2)</f>
        <v>13.2</v>
      </c>
      <c r="P1204" s="4">
        <f>IFERROR(__xludf.DUMMYFUNCTION("""COMPUTED_VALUE"""),3.9)</f>
        <v>3.9</v>
      </c>
      <c r="Q1204" s="4">
        <f>IFERROR(__xludf.DUMMYFUNCTION("""COMPUTED_VALUE"""),2.3)</f>
        <v>2.3</v>
      </c>
      <c r="R1204" s="4">
        <f>IFERROR(__xludf.DUMMYFUNCTION("""COMPUTED_VALUE"""),0.8)</f>
        <v>0.8</v>
      </c>
      <c r="S1204" s="4">
        <f>IFERROR(__xludf.DUMMYFUNCTION("""COMPUTED_VALUE"""),3.9)</f>
        <v>3.9</v>
      </c>
      <c r="T1204" s="4">
        <f>IFERROR(__xludf.DUMMYFUNCTION("""COMPUTED_VALUE"""),0.061)</f>
        <v>0.061</v>
      </c>
      <c r="U1204" s="4">
        <f>IFERROR(__xludf.DUMMYFUNCTION("""COMPUTED_VALUE"""),-0.5)</f>
        <v>-0.5</v>
      </c>
      <c r="V1204" s="4">
        <f>IFERROR(__xludf.DUMMYFUNCTION("""COMPUTED_VALUE"""),1.2)</f>
        <v>1.2</v>
      </c>
    </row>
    <row r="1205">
      <c r="A1205" s="4">
        <f>IFERROR(__xludf.DUMMYFUNCTION("""COMPUTED_VALUE"""),14.0)</f>
        <v>14</v>
      </c>
      <c r="B1205" s="4">
        <f>IFERROR(__xludf.DUMMYFUNCTION("""COMPUTED_VALUE"""),14.0)</f>
        <v>14</v>
      </c>
      <c r="C1205" s="4" t="str">
        <f>IFERROR(__xludf.DUMMYFUNCTION("""COMPUTED_VALUE"""),"LAC")</f>
        <v>LAC</v>
      </c>
      <c r="D1205" s="4" t="str">
        <f>IFERROR(__xludf.DUMMYFUNCTION("""COMPUTED_VALUE"""),"Al Thornton")</f>
        <v>Al Thornton</v>
      </c>
      <c r="E1205" s="4" t="str">
        <f>IFERROR(__xludf.DUMMYFUNCTION("""COMPUTED_VALUE"""),"Florida State")</f>
        <v>Florida State</v>
      </c>
      <c r="F1205" s="4">
        <f>IFERROR(__xludf.DUMMYFUNCTION("""COMPUTED_VALUE"""),4.0)</f>
        <v>4</v>
      </c>
      <c r="G1205" s="4">
        <f>IFERROR(__xludf.DUMMYFUNCTION("""COMPUTED_VALUE"""),296.0)</f>
        <v>296</v>
      </c>
      <c r="H1205" s="4">
        <f>IFERROR(__xludf.DUMMYFUNCTION("""COMPUTED_VALUE"""),8274.0)</f>
        <v>8274</v>
      </c>
      <c r="I1205" s="4">
        <f>IFERROR(__xludf.DUMMYFUNCTION("""COMPUTED_VALUE"""),3527.0)</f>
        <v>3527</v>
      </c>
      <c r="J1205" s="4">
        <f>IFERROR(__xludf.DUMMYFUNCTION("""COMPUTED_VALUE"""),1233.0)</f>
        <v>1233</v>
      </c>
      <c r="K1205" s="4">
        <f>IFERROR(__xludf.DUMMYFUNCTION("""COMPUTED_VALUE"""),353.0)</f>
        <v>353</v>
      </c>
      <c r="L1205" s="4">
        <f>IFERROR(__xludf.DUMMYFUNCTION("""COMPUTED_VALUE"""),0.452)</f>
        <v>0.452</v>
      </c>
      <c r="M1205" s="4">
        <f>IFERROR(__xludf.DUMMYFUNCTION("""COMPUTED_VALUE"""),0.293)</f>
        <v>0.293</v>
      </c>
      <c r="N1205" s="4">
        <f>IFERROR(__xludf.DUMMYFUNCTION("""COMPUTED_VALUE"""),0.747)</f>
        <v>0.747</v>
      </c>
      <c r="O1205" s="4">
        <f>IFERROR(__xludf.DUMMYFUNCTION("""COMPUTED_VALUE"""),28.0)</f>
        <v>28</v>
      </c>
      <c r="P1205" s="4">
        <f>IFERROR(__xludf.DUMMYFUNCTION("""COMPUTED_VALUE"""),11.9)</f>
        <v>11.9</v>
      </c>
      <c r="Q1205" s="4">
        <f>IFERROR(__xludf.DUMMYFUNCTION("""COMPUTED_VALUE"""),4.2)</f>
        <v>4.2</v>
      </c>
      <c r="R1205" s="4">
        <f>IFERROR(__xludf.DUMMYFUNCTION("""COMPUTED_VALUE"""),1.2)</f>
        <v>1.2</v>
      </c>
      <c r="S1205" s="4">
        <f>IFERROR(__xludf.DUMMYFUNCTION("""COMPUTED_VALUE"""),6.1)</f>
        <v>6.1</v>
      </c>
      <c r="T1205" s="4">
        <f>IFERROR(__xludf.DUMMYFUNCTION("""COMPUTED_VALUE"""),0.035)</f>
        <v>0.035</v>
      </c>
      <c r="U1205" s="4">
        <f>IFERROR(__xludf.DUMMYFUNCTION("""COMPUTED_VALUE"""),-3.5)</f>
        <v>-3.5</v>
      </c>
      <c r="V1205" s="4">
        <f>IFERROR(__xludf.DUMMYFUNCTION("""COMPUTED_VALUE"""),-3.2)</f>
        <v>-3.2</v>
      </c>
    </row>
    <row r="1206">
      <c r="A1206" s="4">
        <f>IFERROR(__xludf.DUMMYFUNCTION("""COMPUTED_VALUE"""),15.0)</f>
        <v>15</v>
      </c>
      <c r="B1206" s="4">
        <f>IFERROR(__xludf.DUMMYFUNCTION("""COMPUTED_VALUE"""),15.0)</f>
        <v>15</v>
      </c>
      <c r="C1206" s="4" t="str">
        <f>IFERROR(__xludf.DUMMYFUNCTION("""COMPUTED_VALUE"""),"DET")</f>
        <v>DET</v>
      </c>
      <c r="D1206" s="4" t="str">
        <f>IFERROR(__xludf.DUMMYFUNCTION("""COMPUTED_VALUE"""),"Rodney Stuckey")</f>
        <v>Rodney Stuckey</v>
      </c>
      <c r="E1206" s="4" t="str">
        <f>IFERROR(__xludf.DUMMYFUNCTION("""COMPUTED_VALUE"""),"Eastern Washington")</f>
        <v>Eastern Washington</v>
      </c>
      <c r="F1206" s="4">
        <f>IFERROR(__xludf.DUMMYFUNCTION("""COMPUTED_VALUE"""),10.0)</f>
        <v>10</v>
      </c>
      <c r="G1206" s="4">
        <f>IFERROR(__xludf.DUMMYFUNCTION("""COMPUTED_VALUE"""),651.0)</f>
        <v>651</v>
      </c>
      <c r="H1206" s="4">
        <f>IFERROR(__xludf.DUMMYFUNCTION("""COMPUTED_VALUE"""),17890.0)</f>
        <v>17890</v>
      </c>
      <c r="I1206" s="4">
        <f>IFERROR(__xludf.DUMMYFUNCTION("""COMPUTED_VALUE"""),8185.0)</f>
        <v>8185</v>
      </c>
      <c r="J1206" s="4">
        <f>IFERROR(__xludf.DUMMYFUNCTION("""COMPUTED_VALUE"""),1912.0)</f>
        <v>1912</v>
      </c>
      <c r="K1206" s="4">
        <f>IFERROR(__xludf.DUMMYFUNCTION("""COMPUTED_VALUE"""),2333.0)</f>
        <v>2333</v>
      </c>
      <c r="L1206" s="4">
        <f>IFERROR(__xludf.DUMMYFUNCTION("""COMPUTED_VALUE"""),0.423)</f>
        <v>0.423</v>
      </c>
      <c r="M1206" s="4">
        <f>IFERROR(__xludf.DUMMYFUNCTION("""COMPUTED_VALUE"""),0.3)</f>
        <v>0.3</v>
      </c>
      <c r="N1206" s="4">
        <f>IFERROR(__xludf.DUMMYFUNCTION("""COMPUTED_VALUE"""),0.824)</f>
        <v>0.824</v>
      </c>
      <c r="O1206" s="4">
        <f>IFERROR(__xludf.DUMMYFUNCTION("""COMPUTED_VALUE"""),27.5)</f>
        <v>27.5</v>
      </c>
      <c r="P1206" s="4">
        <f>IFERROR(__xludf.DUMMYFUNCTION("""COMPUTED_VALUE"""),12.6)</f>
        <v>12.6</v>
      </c>
      <c r="Q1206" s="4">
        <f>IFERROR(__xludf.DUMMYFUNCTION("""COMPUTED_VALUE"""),2.9)</f>
        <v>2.9</v>
      </c>
      <c r="R1206" s="4">
        <f>IFERROR(__xludf.DUMMYFUNCTION("""COMPUTED_VALUE"""),3.6)</f>
        <v>3.6</v>
      </c>
      <c r="S1206" s="4">
        <f>IFERROR(__xludf.DUMMYFUNCTION("""COMPUTED_VALUE"""),28.7)</f>
        <v>28.7</v>
      </c>
      <c r="T1206" s="4">
        <f>IFERROR(__xludf.DUMMYFUNCTION("""COMPUTED_VALUE"""),0.077)</f>
        <v>0.077</v>
      </c>
      <c r="U1206" s="4">
        <f>IFERROR(__xludf.DUMMYFUNCTION("""COMPUTED_VALUE"""),-0.9)</f>
        <v>-0.9</v>
      </c>
      <c r="V1206" s="4">
        <f>IFERROR(__xludf.DUMMYFUNCTION("""COMPUTED_VALUE"""),4.9)</f>
        <v>4.9</v>
      </c>
    </row>
    <row r="1207">
      <c r="A1207" s="4">
        <f>IFERROR(__xludf.DUMMYFUNCTION("""COMPUTED_VALUE"""),16.0)</f>
        <v>16</v>
      </c>
      <c r="B1207" s="4">
        <f>IFERROR(__xludf.DUMMYFUNCTION("""COMPUTED_VALUE"""),16.0)</f>
        <v>16</v>
      </c>
      <c r="C1207" s="4" t="str">
        <f>IFERROR(__xludf.DUMMYFUNCTION("""COMPUTED_VALUE"""),"WAS")</f>
        <v>WAS</v>
      </c>
      <c r="D1207" s="4" t="str">
        <f>IFERROR(__xludf.DUMMYFUNCTION("""COMPUTED_VALUE"""),"Nick Young")</f>
        <v>Nick Young</v>
      </c>
      <c r="E1207" s="4" t="str">
        <f>IFERROR(__xludf.DUMMYFUNCTION("""COMPUTED_VALUE"""),"USC")</f>
        <v>USC</v>
      </c>
      <c r="F1207" s="4">
        <f>IFERROR(__xludf.DUMMYFUNCTION("""COMPUTED_VALUE"""),12.0)</f>
        <v>12</v>
      </c>
      <c r="G1207" s="4">
        <f>IFERROR(__xludf.DUMMYFUNCTION("""COMPUTED_VALUE"""),720.0)</f>
        <v>720</v>
      </c>
      <c r="H1207" s="4">
        <f>IFERROR(__xludf.DUMMYFUNCTION("""COMPUTED_VALUE"""),16419.0)</f>
        <v>16419</v>
      </c>
      <c r="I1207" s="4">
        <f>IFERROR(__xludf.DUMMYFUNCTION("""COMPUTED_VALUE"""),8194.0)</f>
        <v>8194</v>
      </c>
      <c r="J1207" s="4">
        <f>IFERROR(__xludf.DUMMYFUNCTION("""COMPUTED_VALUE"""),1427.0)</f>
        <v>1427</v>
      </c>
      <c r="K1207" s="4">
        <f>IFERROR(__xludf.DUMMYFUNCTION("""COMPUTED_VALUE"""),687.0)</f>
        <v>687</v>
      </c>
      <c r="L1207" s="4">
        <f>IFERROR(__xludf.DUMMYFUNCTION("""COMPUTED_VALUE"""),0.418)</f>
        <v>0.418</v>
      </c>
      <c r="M1207" s="4">
        <f>IFERROR(__xludf.DUMMYFUNCTION("""COMPUTED_VALUE"""),0.376)</f>
        <v>0.376</v>
      </c>
      <c r="N1207" s="4">
        <f>IFERROR(__xludf.DUMMYFUNCTION("""COMPUTED_VALUE"""),0.836)</f>
        <v>0.836</v>
      </c>
      <c r="O1207" s="4">
        <f>IFERROR(__xludf.DUMMYFUNCTION("""COMPUTED_VALUE"""),22.8)</f>
        <v>22.8</v>
      </c>
      <c r="P1207" s="4">
        <f>IFERROR(__xludf.DUMMYFUNCTION("""COMPUTED_VALUE"""),11.4)</f>
        <v>11.4</v>
      </c>
      <c r="Q1207" s="4">
        <f>IFERROR(__xludf.DUMMYFUNCTION("""COMPUTED_VALUE"""),2.0)</f>
        <v>2</v>
      </c>
      <c r="R1207" s="4">
        <f>IFERROR(__xludf.DUMMYFUNCTION("""COMPUTED_VALUE"""),1.0)</f>
        <v>1</v>
      </c>
      <c r="S1207" s="4">
        <f>IFERROR(__xludf.DUMMYFUNCTION("""COMPUTED_VALUE"""),18.6)</f>
        <v>18.6</v>
      </c>
      <c r="T1207" s="4">
        <f>IFERROR(__xludf.DUMMYFUNCTION("""COMPUTED_VALUE"""),0.054)</f>
        <v>0.054</v>
      </c>
      <c r="U1207" s="4">
        <f>IFERROR(__xludf.DUMMYFUNCTION("""COMPUTED_VALUE"""),-2.2)</f>
        <v>-2.2</v>
      </c>
      <c r="V1207" s="4">
        <f>IFERROR(__xludf.DUMMYFUNCTION("""COMPUTED_VALUE"""),-0.8)</f>
        <v>-0.8</v>
      </c>
    </row>
    <row r="1208">
      <c r="A1208" s="4">
        <f>IFERROR(__xludf.DUMMYFUNCTION("""COMPUTED_VALUE"""),17.0)</f>
        <v>17</v>
      </c>
      <c r="B1208" s="4">
        <f>IFERROR(__xludf.DUMMYFUNCTION("""COMPUTED_VALUE"""),17.0)</f>
        <v>17</v>
      </c>
      <c r="C1208" s="4" t="str">
        <f>IFERROR(__xludf.DUMMYFUNCTION("""COMPUTED_VALUE"""),"NJN")</f>
        <v>NJN</v>
      </c>
      <c r="D1208" s="4" t="str">
        <f>IFERROR(__xludf.DUMMYFUNCTION("""COMPUTED_VALUE"""),"Sean Williams")</f>
        <v>Sean Williams</v>
      </c>
      <c r="E1208" s="4" t="str">
        <f>IFERROR(__xludf.DUMMYFUNCTION("""COMPUTED_VALUE"""),"Boston College")</f>
        <v>Boston College</v>
      </c>
      <c r="F1208" s="4">
        <f>IFERROR(__xludf.DUMMYFUNCTION("""COMPUTED_VALUE"""),4.0)</f>
        <v>4</v>
      </c>
      <c r="G1208" s="4">
        <f>IFERROR(__xludf.DUMMYFUNCTION("""COMPUTED_VALUE"""),137.0)</f>
        <v>137</v>
      </c>
      <c r="H1208" s="4">
        <f>IFERROR(__xludf.DUMMYFUNCTION("""COMPUTED_VALUE"""),1978.0)</f>
        <v>1978</v>
      </c>
      <c r="I1208" s="4">
        <f>IFERROR(__xludf.DUMMYFUNCTION("""COMPUTED_VALUE"""),581.0)</f>
        <v>581</v>
      </c>
      <c r="J1208" s="4">
        <f>IFERROR(__xludf.DUMMYFUNCTION("""COMPUTED_VALUE"""),472.0)</f>
        <v>472</v>
      </c>
      <c r="K1208" s="4">
        <f>IFERROR(__xludf.DUMMYFUNCTION("""COMPUTED_VALUE"""),47.0)</f>
        <v>47</v>
      </c>
      <c r="L1208" s="4">
        <f>IFERROR(__xludf.DUMMYFUNCTION("""COMPUTED_VALUE"""),0.511)</f>
        <v>0.511</v>
      </c>
      <c r="M1208" s="4">
        <f>IFERROR(__xludf.DUMMYFUNCTION("""COMPUTED_VALUE"""),0.0)</f>
        <v>0</v>
      </c>
      <c r="N1208" s="4">
        <f>IFERROR(__xludf.DUMMYFUNCTION("""COMPUTED_VALUE"""),0.624)</f>
        <v>0.624</v>
      </c>
      <c r="O1208" s="4">
        <f>IFERROR(__xludf.DUMMYFUNCTION("""COMPUTED_VALUE"""),14.4)</f>
        <v>14.4</v>
      </c>
      <c r="P1208" s="4">
        <f>IFERROR(__xludf.DUMMYFUNCTION("""COMPUTED_VALUE"""),4.2)</f>
        <v>4.2</v>
      </c>
      <c r="Q1208" s="4">
        <f>IFERROR(__xludf.DUMMYFUNCTION("""COMPUTED_VALUE"""),3.4)</f>
        <v>3.4</v>
      </c>
      <c r="R1208" s="4">
        <f>IFERROR(__xludf.DUMMYFUNCTION("""COMPUTED_VALUE"""),0.3)</f>
        <v>0.3</v>
      </c>
      <c r="S1208" s="4">
        <f>IFERROR(__xludf.DUMMYFUNCTION("""COMPUTED_VALUE"""),3.0)</f>
        <v>3</v>
      </c>
      <c r="T1208" s="4">
        <f>IFERROR(__xludf.DUMMYFUNCTION("""COMPUTED_VALUE"""),0.073)</f>
        <v>0.073</v>
      </c>
      <c r="U1208" s="4">
        <f>IFERROR(__xludf.DUMMYFUNCTION("""COMPUTED_VALUE"""),-3.1)</f>
        <v>-3.1</v>
      </c>
      <c r="V1208" s="4">
        <f>IFERROR(__xludf.DUMMYFUNCTION("""COMPUTED_VALUE"""),-0.6)</f>
        <v>-0.6</v>
      </c>
    </row>
    <row r="1209">
      <c r="A1209" s="4">
        <f>IFERROR(__xludf.DUMMYFUNCTION("""COMPUTED_VALUE"""),18.0)</f>
        <v>18</v>
      </c>
      <c r="B1209" s="4">
        <f>IFERROR(__xludf.DUMMYFUNCTION("""COMPUTED_VALUE"""),18.0)</f>
        <v>18</v>
      </c>
      <c r="C1209" s="4" t="str">
        <f>IFERROR(__xludf.DUMMYFUNCTION("""COMPUTED_VALUE"""),"GSW")</f>
        <v>GSW</v>
      </c>
      <c r="D1209" s="4" t="str">
        <f>IFERROR(__xludf.DUMMYFUNCTION("""COMPUTED_VALUE"""),"Marco Belinelli")</f>
        <v>Marco Belinelli</v>
      </c>
      <c r="E1209" s="4"/>
      <c r="F1209" s="4">
        <f>IFERROR(__xludf.DUMMYFUNCTION("""COMPUTED_VALUE"""),13.0)</f>
        <v>13</v>
      </c>
      <c r="G1209" s="4">
        <f>IFERROR(__xludf.DUMMYFUNCTION("""COMPUTED_VALUE"""),860.0)</f>
        <v>860</v>
      </c>
      <c r="H1209" s="4">
        <f>IFERROR(__xludf.DUMMYFUNCTION("""COMPUTED_VALUE"""),19548.0)</f>
        <v>19548</v>
      </c>
      <c r="I1209" s="4">
        <f>IFERROR(__xludf.DUMMYFUNCTION("""COMPUTED_VALUE"""),8370.0)</f>
        <v>8370</v>
      </c>
      <c r="J1209" s="4">
        <f>IFERROR(__xludf.DUMMYFUNCTION("""COMPUTED_VALUE"""),1769.0)</f>
        <v>1769</v>
      </c>
      <c r="K1209" s="4">
        <f>IFERROR(__xludf.DUMMYFUNCTION("""COMPUTED_VALUE"""),1429.0)</f>
        <v>1429</v>
      </c>
      <c r="L1209" s="4">
        <f>IFERROR(__xludf.DUMMYFUNCTION("""COMPUTED_VALUE"""),0.424)</f>
        <v>0.424</v>
      </c>
      <c r="M1209" s="4">
        <f>IFERROR(__xludf.DUMMYFUNCTION("""COMPUTED_VALUE"""),0.376)</f>
        <v>0.376</v>
      </c>
      <c r="N1209" s="4">
        <f>IFERROR(__xludf.DUMMYFUNCTION("""COMPUTED_VALUE"""),0.846)</f>
        <v>0.846</v>
      </c>
      <c r="O1209" s="4">
        <f>IFERROR(__xludf.DUMMYFUNCTION("""COMPUTED_VALUE"""),22.7)</f>
        <v>22.7</v>
      </c>
      <c r="P1209" s="4">
        <f>IFERROR(__xludf.DUMMYFUNCTION("""COMPUTED_VALUE"""),9.7)</f>
        <v>9.7</v>
      </c>
      <c r="Q1209" s="4">
        <f>IFERROR(__xludf.DUMMYFUNCTION("""COMPUTED_VALUE"""),2.1)</f>
        <v>2.1</v>
      </c>
      <c r="R1209" s="4">
        <f>IFERROR(__xludf.DUMMYFUNCTION("""COMPUTED_VALUE"""),1.7)</f>
        <v>1.7</v>
      </c>
      <c r="S1209" s="4">
        <f>IFERROR(__xludf.DUMMYFUNCTION("""COMPUTED_VALUE"""),30.5)</f>
        <v>30.5</v>
      </c>
      <c r="T1209" s="4">
        <f>IFERROR(__xludf.DUMMYFUNCTION("""COMPUTED_VALUE"""),0.075)</f>
        <v>0.075</v>
      </c>
      <c r="U1209" s="4">
        <f>IFERROR(__xludf.DUMMYFUNCTION("""COMPUTED_VALUE"""),-1.3)</f>
        <v>-1.3</v>
      </c>
      <c r="V1209" s="4">
        <f>IFERROR(__xludf.DUMMYFUNCTION("""COMPUTED_VALUE"""),3.3)</f>
        <v>3.3</v>
      </c>
    </row>
    <row r="1210">
      <c r="A1210" s="4">
        <f>IFERROR(__xludf.DUMMYFUNCTION("""COMPUTED_VALUE"""),19.0)</f>
        <v>19</v>
      </c>
      <c r="B1210" s="4">
        <f>IFERROR(__xludf.DUMMYFUNCTION("""COMPUTED_VALUE"""),19.0)</f>
        <v>19</v>
      </c>
      <c r="C1210" s="4" t="str">
        <f>IFERROR(__xludf.DUMMYFUNCTION("""COMPUTED_VALUE"""),"LAL")</f>
        <v>LAL</v>
      </c>
      <c r="D1210" s="4" t="str">
        <f>IFERROR(__xludf.DUMMYFUNCTION("""COMPUTED_VALUE"""),"Javaris Crittenton")</f>
        <v>Javaris Crittenton</v>
      </c>
      <c r="E1210" s="4" t="str">
        <f>IFERROR(__xludf.DUMMYFUNCTION("""COMPUTED_VALUE"""),"Georgia Tech")</f>
        <v>Georgia Tech</v>
      </c>
      <c r="F1210" s="4">
        <f>IFERROR(__xludf.DUMMYFUNCTION("""COMPUTED_VALUE"""),2.0)</f>
        <v>2</v>
      </c>
      <c r="G1210" s="4">
        <f>IFERROR(__xludf.DUMMYFUNCTION("""COMPUTED_VALUE"""),113.0)</f>
        <v>113</v>
      </c>
      <c r="H1210" s="4">
        <f>IFERROR(__xludf.DUMMYFUNCTION("""COMPUTED_VALUE"""),1853.0)</f>
        <v>1853</v>
      </c>
      <c r="I1210" s="4">
        <f>IFERROR(__xludf.DUMMYFUNCTION("""COMPUTED_VALUE"""),595.0)</f>
        <v>595</v>
      </c>
      <c r="J1210" s="4">
        <f>IFERROR(__xludf.DUMMYFUNCTION("""COMPUTED_VALUE"""),276.0)</f>
        <v>276</v>
      </c>
      <c r="K1210" s="4">
        <f>IFERROR(__xludf.DUMMYFUNCTION("""COMPUTED_VALUE"""),201.0)</f>
        <v>201</v>
      </c>
      <c r="L1210" s="4">
        <f>IFERROR(__xludf.DUMMYFUNCTION("""COMPUTED_VALUE"""),0.442)</f>
        <v>0.442</v>
      </c>
      <c r="M1210" s="4">
        <f>IFERROR(__xludf.DUMMYFUNCTION("""COMPUTED_VALUE"""),0.231)</f>
        <v>0.231</v>
      </c>
      <c r="N1210" s="4">
        <f>IFERROR(__xludf.DUMMYFUNCTION("""COMPUTED_VALUE"""),0.638)</f>
        <v>0.638</v>
      </c>
      <c r="O1210" s="4">
        <f>IFERROR(__xludf.DUMMYFUNCTION("""COMPUTED_VALUE"""),16.4)</f>
        <v>16.4</v>
      </c>
      <c r="P1210" s="4">
        <f>IFERROR(__xludf.DUMMYFUNCTION("""COMPUTED_VALUE"""),5.3)</f>
        <v>5.3</v>
      </c>
      <c r="Q1210" s="4">
        <f>IFERROR(__xludf.DUMMYFUNCTION("""COMPUTED_VALUE"""),2.4)</f>
        <v>2.4</v>
      </c>
      <c r="R1210" s="4">
        <f>IFERROR(__xludf.DUMMYFUNCTION("""COMPUTED_VALUE"""),1.8)</f>
        <v>1.8</v>
      </c>
      <c r="S1210" s="4">
        <f>IFERROR(__xludf.DUMMYFUNCTION("""COMPUTED_VALUE"""),0.1)</f>
        <v>0.1</v>
      </c>
      <c r="T1210" s="4">
        <f>IFERROR(__xludf.DUMMYFUNCTION("""COMPUTED_VALUE"""),0.002)</f>
        <v>0.002</v>
      </c>
      <c r="U1210" s="4">
        <f>IFERROR(__xludf.DUMMYFUNCTION("""COMPUTED_VALUE"""),-4.2)</f>
        <v>-4.2</v>
      </c>
      <c r="V1210" s="4">
        <f>IFERROR(__xludf.DUMMYFUNCTION("""COMPUTED_VALUE"""),-1.0)</f>
        <v>-1</v>
      </c>
    </row>
    <row r="1211">
      <c r="A1211" s="4">
        <f>IFERROR(__xludf.DUMMYFUNCTION("""COMPUTED_VALUE"""),20.0)</f>
        <v>20</v>
      </c>
      <c r="B1211" s="4">
        <f>IFERROR(__xludf.DUMMYFUNCTION("""COMPUTED_VALUE"""),20.0)</f>
        <v>20</v>
      </c>
      <c r="C1211" s="4" t="str">
        <f>IFERROR(__xludf.DUMMYFUNCTION("""COMPUTED_VALUE"""),"MIA")</f>
        <v>MIA</v>
      </c>
      <c r="D1211" s="4" t="str">
        <f>IFERROR(__xludf.DUMMYFUNCTION("""COMPUTED_VALUE"""),"Jason Smith")</f>
        <v>Jason Smith</v>
      </c>
      <c r="E1211" s="4" t="str">
        <f>IFERROR(__xludf.DUMMYFUNCTION("""COMPUTED_VALUE"""),"Colorado State")</f>
        <v>Colorado State</v>
      </c>
      <c r="F1211" s="4">
        <f>IFERROR(__xludf.DUMMYFUNCTION("""COMPUTED_VALUE"""),11.0)</f>
        <v>11</v>
      </c>
      <c r="G1211" s="4">
        <f>IFERROR(__xludf.DUMMYFUNCTION("""COMPUTED_VALUE"""),616.0)</f>
        <v>616</v>
      </c>
      <c r="H1211" s="4">
        <f>IFERROR(__xludf.DUMMYFUNCTION("""COMPUTED_VALUE"""),10029.0)</f>
        <v>10029</v>
      </c>
      <c r="I1211" s="4">
        <f>IFERROR(__xludf.DUMMYFUNCTION("""COMPUTED_VALUE"""),3777.0)</f>
        <v>3777</v>
      </c>
      <c r="J1211" s="4">
        <f>IFERROR(__xludf.DUMMYFUNCTION("""COMPUTED_VALUE"""),2075.0)</f>
        <v>2075</v>
      </c>
      <c r="K1211" s="4">
        <f>IFERROR(__xludf.DUMMYFUNCTION("""COMPUTED_VALUE"""),453.0)</f>
        <v>453</v>
      </c>
      <c r="L1211" s="4">
        <f>IFERROR(__xludf.DUMMYFUNCTION("""COMPUTED_VALUE"""),0.468)</f>
        <v>0.468</v>
      </c>
      <c r="M1211" s="4">
        <f>IFERROR(__xludf.DUMMYFUNCTION("""COMPUTED_VALUE"""),0.333)</f>
        <v>0.333</v>
      </c>
      <c r="N1211" s="4">
        <f>IFERROR(__xludf.DUMMYFUNCTION("""COMPUTED_VALUE"""),0.783)</f>
        <v>0.783</v>
      </c>
      <c r="O1211" s="4">
        <f>IFERROR(__xludf.DUMMYFUNCTION("""COMPUTED_VALUE"""),16.3)</f>
        <v>16.3</v>
      </c>
      <c r="P1211" s="4">
        <f>IFERROR(__xludf.DUMMYFUNCTION("""COMPUTED_VALUE"""),6.1)</f>
        <v>6.1</v>
      </c>
      <c r="Q1211" s="4">
        <f>IFERROR(__xludf.DUMMYFUNCTION("""COMPUTED_VALUE"""),3.4)</f>
        <v>3.4</v>
      </c>
      <c r="R1211" s="4">
        <f>IFERROR(__xludf.DUMMYFUNCTION("""COMPUTED_VALUE"""),0.7)</f>
        <v>0.7</v>
      </c>
      <c r="S1211" s="4">
        <f>IFERROR(__xludf.DUMMYFUNCTION("""COMPUTED_VALUE"""),14.1)</f>
        <v>14.1</v>
      </c>
      <c r="T1211" s="4">
        <f>IFERROR(__xludf.DUMMYFUNCTION("""COMPUTED_VALUE"""),0.067)</f>
        <v>0.067</v>
      </c>
      <c r="U1211" s="4">
        <f>IFERROR(__xludf.DUMMYFUNCTION("""COMPUTED_VALUE"""),-2.9)</f>
        <v>-2.9</v>
      </c>
      <c r="V1211" s="4">
        <f>IFERROR(__xludf.DUMMYFUNCTION("""COMPUTED_VALUE"""),-2.4)</f>
        <v>-2.4</v>
      </c>
    </row>
    <row r="1212">
      <c r="A1212" s="4">
        <f>IFERROR(__xludf.DUMMYFUNCTION("""COMPUTED_VALUE"""),21.0)</f>
        <v>21</v>
      </c>
      <c r="B1212" s="4">
        <f>IFERROR(__xludf.DUMMYFUNCTION("""COMPUTED_VALUE"""),21.0)</f>
        <v>21</v>
      </c>
      <c r="C1212" s="4" t="str">
        <f>IFERROR(__xludf.DUMMYFUNCTION("""COMPUTED_VALUE"""),"PHI")</f>
        <v>PHI</v>
      </c>
      <c r="D1212" s="4" t="str">
        <f>IFERROR(__xludf.DUMMYFUNCTION("""COMPUTED_VALUE"""),"Daequan Cook")</f>
        <v>Daequan Cook</v>
      </c>
      <c r="E1212" s="4" t="str">
        <f>IFERROR(__xludf.DUMMYFUNCTION("""COMPUTED_VALUE"""),"Ohio State")</f>
        <v>Ohio State</v>
      </c>
      <c r="F1212" s="4">
        <f>IFERROR(__xludf.DUMMYFUNCTION("""COMPUTED_VALUE"""),6.0)</f>
        <v>6</v>
      </c>
      <c r="G1212" s="4">
        <f>IFERROR(__xludf.DUMMYFUNCTION("""COMPUTED_VALUE"""),328.0)</f>
        <v>328</v>
      </c>
      <c r="H1212" s="4">
        <f>IFERROR(__xludf.DUMMYFUNCTION("""COMPUTED_VALUE"""),5993.0)</f>
        <v>5993</v>
      </c>
      <c r="I1212" s="4">
        <f>IFERROR(__xludf.DUMMYFUNCTION("""COMPUTED_VALUE"""),2114.0)</f>
        <v>2114</v>
      </c>
      <c r="J1212" s="4">
        <f>IFERROR(__xludf.DUMMYFUNCTION("""COMPUTED_VALUE"""),703.0)</f>
        <v>703</v>
      </c>
      <c r="K1212" s="4">
        <f>IFERROR(__xludf.DUMMYFUNCTION("""COMPUTED_VALUE"""),243.0)</f>
        <v>243</v>
      </c>
      <c r="L1212" s="4">
        <f>IFERROR(__xludf.DUMMYFUNCTION("""COMPUTED_VALUE"""),0.369)</f>
        <v>0.369</v>
      </c>
      <c r="M1212" s="4">
        <f>IFERROR(__xludf.DUMMYFUNCTION("""COMPUTED_VALUE"""),0.359)</f>
        <v>0.359</v>
      </c>
      <c r="N1212" s="4">
        <f>IFERROR(__xludf.DUMMYFUNCTION("""COMPUTED_VALUE"""),0.813)</f>
        <v>0.813</v>
      </c>
      <c r="O1212" s="4">
        <f>IFERROR(__xludf.DUMMYFUNCTION("""COMPUTED_VALUE"""),18.3)</f>
        <v>18.3</v>
      </c>
      <c r="P1212" s="4">
        <f>IFERROR(__xludf.DUMMYFUNCTION("""COMPUTED_VALUE"""),6.4)</f>
        <v>6.4</v>
      </c>
      <c r="Q1212" s="4">
        <f>IFERROR(__xludf.DUMMYFUNCTION("""COMPUTED_VALUE"""),2.1)</f>
        <v>2.1</v>
      </c>
      <c r="R1212" s="4">
        <f>IFERROR(__xludf.DUMMYFUNCTION("""COMPUTED_VALUE"""),0.7)</f>
        <v>0.7</v>
      </c>
      <c r="S1212" s="4">
        <f>IFERROR(__xludf.DUMMYFUNCTION("""COMPUTED_VALUE"""),4.9)</f>
        <v>4.9</v>
      </c>
      <c r="T1212" s="4">
        <f>IFERROR(__xludf.DUMMYFUNCTION("""COMPUTED_VALUE"""),0.039)</f>
        <v>0.039</v>
      </c>
      <c r="U1212" s="4">
        <f>IFERROR(__xludf.DUMMYFUNCTION("""COMPUTED_VALUE"""),-2.7)</f>
        <v>-2.7</v>
      </c>
      <c r="V1212" s="4">
        <f>IFERROR(__xludf.DUMMYFUNCTION("""COMPUTED_VALUE"""),-1.1)</f>
        <v>-1.1</v>
      </c>
    </row>
    <row r="1213">
      <c r="A1213" s="4">
        <f>IFERROR(__xludf.DUMMYFUNCTION("""COMPUTED_VALUE"""),22.0)</f>
        <v>22</v>
      </c>
      <c r="B1213" s="4">
        <f>IFERROR(__xludf.DUMMYFUNCTION("""COMPUTED_VALUE"""),22.0)</f>
        <v>22</v>
      </c>
      <c r="C1213" s="4" t="str">
        <f>IFERROR(__xludf.DUMMYFUNCTION("""COMPUTED_VALUE"""),"CHA")</f>
        <v>CHA</v>
      </c>
      <c r="D1213" s="4" t="str">
        <f>IFERROR(__xludf.DUMMYFUNCTION("""COMPUTED_VALUE"""),"Jared Dudley")</f>
        <v>Jared Dudley</v>
      </c>
      <c r="E1213" s="4" t="str">
        <f>IFERROR(__xludf.DUMMYFUNCTION("""COMPUTED_VALUE"""),"Boston College")</f>
        <v>Boston College</v>
      </c>
      <c r="F1213" s="4">
        <f>IFERROR(__xludf.DUMMYFUNCTION("""COMPUTED_VALUE"""),14.0)</f>
        <v>14</v>
      </c>
      <c r="G1213" s="4">
        <f>IFERROR(__xludf.DUMMYFUNCTION("""COMPUTED_VALUE"""),904.0)</f>
        <v>904</v>
      </c>
      <c r="H1213" s="4">
        <f>IFERROR(__xludf.DUMMYFUNCTION("""COMPUTED_VALUE"""),20117.0)</f>
        <v>20117</v>
      </c>
      <c r="I1213" s="4">
        <f>IFERROR(__xludf.DUMMYFUNCTION("""COMPUTED_VALUE"""),6633.0)</f>
        <v>6633</v>
      </c>
      <c r="J1213" s="4">
        <f>IFERROR(__xludf.DUMMYFUNCTION("""COMPUTED_VALUE"""),2849.0)</f>
        <v>2849</v>
      </c>
      <c r="K1213" s="4">
        <f>IFERROR(__xludf.DUMMYFUNCTION("""COMPUTED_VALUE"""),1394.0)</f>
        <v>1394</v>
      </c>
      <c r="L1213" s="4">
        <f>IFERROR(__xludf.DUMMYFUNCTION("""COMPUTED_VALUE"""),0.463)</f>
        <v>0.463</v>
      </c>
      <c r="M1213" s="4">
        <f>IFERROR(__xludf.DUMMYFUNCTION("""COMPUTED_VALUE"""),0.393)</f>
        <v>0.393</v>
      </c>
      <c r="N1213" s="4">
        <f>IFERROR(__xludf.DUMMYFUNCTION("""COMPUTED_VALUE"""),0.732)</f>
        <v>0.732</v>
      </c>
      <c r="O1213" s="4">
        <f>IFERROR(__xludf.DUMMYFUNCTION("""COMPUTED_VALUE"""),22.3)</f>
        <v>22.3</v>
      </c>
      <c r="P1213" s="4">
        <f>IFERROR(__xludf.DUMMYFUNCTION("""COMPUTED_VALUE"""),7.3)</f>
        <v>7.3</v>
      </c>
      <c r="Q1213" s="4">
        <f>IFERROR(__xludf.DUMMYFUNCTION("""COMPUTED_VALUE"""),3.2)</f>
        <v>3.2</v>
      </c>
      <c r="R1213" s="4">
        <f>IFERROR(__xludf.DUMMYFUNCTION("""COMPUTED_VALUE"""),1.5)</f>
        <v>1.5</v>
      </c>
      <c r="S1213" s="4">
        <f>IFERROR(__xludf.DUMMYFUNCTION("""COMPUTED_VALUE"""),43.0)</f>
        <v>43</v>
      </c>
      <c r="T1213" s="4">
        <f>IFERROR(__xludf.DUMMYFUNCTION("""COMPUTED_VALUE"""),0.103)</f>
        <v>0.103</v>
      </c>
      <c r="U1213" s="4">
        <f>IFERROR(__xludf.DUMMYFUNCTION("""COMPUTED_VALUE"""),0.2)</f>
        <v>0.2</v>
      </c>
      <c r="V1213" s="4">
        <f>IFERROR(__xludf.DUMMYFUNCTION("""COMPUTED_VALUE"""),11.0)</f>
        <v>11</v>
      </c>
    </row>
    <row r="1214">
      <c r="A1214" s="4">
        <f>IFERROR(__xludf.DUMMYFUNCTION("""COMPUTED_VALUE"""),23.0)</f>
        <v>23</v>
      </c>
      <c r="B1214" s="4">
        <f>IFERROR(__xludf.DUMMYFUNCTION("""COMPUTED_VALUE"""),23.0)</f>
        <v>23</v>
      </c>
      <c r="C1214" s="4" t="str">
        <f>IFERROR(__xludf.DUMMYFUNCTION("""COMPUTED_VALUE"""),"NYK")</f>
        <v>NYK</v>
      </c>
      <c r="D1214" s="4" t="str">
        <f>IFERROR(__xludf.DUMMYFUNCTION("""COMPUTED_VALUE"""),"Wilson Chandler")</f>
        <v>Wilson Chandler</v>
      </c>
      <c r="E1214" s="4" t="str">
        <f>IFERROR(__xludf.DUMMYFUNCTION("""COMPUTED_VALUE"""),"DePaul")</f>
        <v>DePaul</v>
      </c>
      <c r="F1214" s="4">
        <f>IFERROR(__xludf.DUMMYFUNCTION("""COMPUTED_VALUE"""),12.0)</f>
        <v>12</v>
      </c>
      <c r="G1214" s="4">
        <f>IFERROR(__xludf.DUMMYFUNCTION("""COMPUTED_VALUE"""),676.0)</f>
        <v>676</v>
      </c>
      <c r="H1214" s="4">
        <f>IFERROR(__xludf.DUMMYFUNCTION("""COMPUTED_VALUE"""),20287.0)</f>
        <v>20287</v>
      </c>
      <c r="I1214" s="4">
        <f>IFERROR(__xludf.DUMMYFUNCTION("""COMPUTED_VALUE"""),8463.0)</f>
        <v>8463</v>
      </c>
      <c r="J1214" s="4">
        <f>IFERROR(__xludf.DUMMYFUNCTION("""COMPUTED_VALUE"""),3574.0)</f>
        <v>3574</v>
      </c>
      <c r="K1214" s="4">
        <f>IFERROR(__xludf.DUMMYFUNCTION("""COMPUTED_VALUE"""),1205.0)</f>
        <v>1205</v>
      </c>
      <c r="L1214" s="4">
        <f>IFERROR(__xludf.DUMMYFUNCTION("""COMPUTED_VALUE"""),0.443)</f>
        <v>0.443</v>
      </c>
      <c r="M1214" s="4">
        <f>IFERROR(__xludf.DUMMYFUNCTION("""COMPUTED_VALUE"""),0.341)</f>
        <v>0.341</v>
      </c>
      <c r="N1214" s="4">
        <f>IFERROR(__xludf.DUMMYFUNCTION("""COMPUTED_VALUE"""),0.77)</f>
        <v>0.77</v>
      </c>
      <c r="O1214" s="4">
        <f>IFERROR(__xludf.DUMMYFUNCTION("""COMPUTED_VALUE"""),30.0)</f>
        <v>30</v>
      </c>
      <c r="P1214" s="4">
        <f>IFERROR(__xludf.DUMMYFUNCTION("""COMPUTED_VALUE"""),12.5)</f>
        <v>12.5</v>
      </c>
      <c r="Q1214" s="4">
        <f>IFERROR(__xludf.DUMMYFUNCTION("""COMPUTED_VALUE"""),5.3)</f>
        <v>5.3</v>
      </c>
      <c r="R1214" s="4">
        <f>IFERROR(__xludf.DUMMYFUNCTION("""COMPUTED_VALUE"""),1.8)</f>
        <v>1.8</v>
      </c>
      <c r="S1214" s="4">
        <f>IFERROR(__xludf.DUMMYFUNCTION("""COMPUTED_VALUE"""),29.0)</f>
        <v>29</v>
      </c>
      <c r="T1214" s="4">
        <f>IFERROR(__xludf.DUMMYFUNCTION("""COMPUTED_VALUE"""),0.069)</f>
        <v>0.069</v>
      </c>
      <c r="U1214" s="4">
        <f>IFERROR(__xludf.DUMMYFUNCTION("""COMPUTED_VALUE"""),-1.3)</f>
        <v>-1.3</v>
      </c>
      <c r="V1214" s="4">
        <f>IFERROR(__xludf.DUMMYFUNCTION("""COMPUTED_VALUE"""),3.5)</f>
        <v>3.5</v>
      </c>
    </row>
    <row r="1215">
      <c r="A1215" s="4">
        <f>IFERROR(__xludf.DUMMYFUNCTION("""COMPUTED_VALUE"""),24.0)</f>
        <v>24</v>
      </c>
      <c r="B1215" s="4">
        <f>IFERROR(__xludf.DUMMYFUNCTION("""COMPUTED_VALUE"""),24.0)</f>
        <v>24</v>
      </c>
      <c r="C1215" s="4" t="str">
        <f>IFERROR(__xludf.DUMMYFUNCTION("""COMPUTED_VALUE"""),"PHO")</f>
        <v>PHO</v>
      </c>
      <c r="D1215" s="4" t="str">
        <f>IFERROR(__xludf.DUMMYFUNCTION("""COMPUTED_VALUE"""),"Rudy Fernández")</f>
        <v>Rudy Fernández</v>
      </c>
      <c r="E1215" s="4"/>
      <c r="F1215" s="4">
        <f>IFERROR(__xludf.DUMMYFUNCTION("""COMPUTED_VALUE"""),4.0)</f>
        <v>4</v>
      </c>
      <c r="G1215" s="4">
        <f>IFERROR(__xludf.DUMMYFUNCTION("""COMPUTED_VALUE"""),249.0)</f>
        <v>249</v>
      </c>
      <c r="H1215" s="4">
        <f>IFERROR(__xludf.DUMMYFUNCTION("""COMPUTED_VALUE"""),5965.0)</f>
        <v>5965</v>
      </c>
      <c r="I1215" s="4">
        <f>IFERROR(__xludf.DUMMYFUNCTION("""COMPUTED_VALUE"""),2254.0)</f>
        <v>2254</v>
      </c>
      <c r="J1215" s="4">
        <f>IFERROR(__xludf.DUMMYFUNCTION("""COMPUTED_VALUE"""),608.0)</f>
        <v>608</v>
      </c>
      <c r="K1215" s="4">
        <f>IFERROR(__xludf.DUMMYFUNCTION("""COMPUTED_VALUE"""),554.0)</f>
        <v>554</v>
      </c>
      <c r="L1215" s="4">
        <f>IFERROR(__xludf.DUMMYFUNCTION("""COMPUTED_VALUE"""),0.399)</f>
        <v>0.399</v>
      </c>
      <c r="M1215" s="4">
        <f>IFERROR(__xludf.DUMMYFUNCTION("""COMPUTED_VALUE"""),0.36)</f>
        <v>0.36</v>
      </c>
      <c r="N1215" s="4">
        <f>IFERROR(__xludf.DUMMYFUNCTION("""COMPUTED_VALUE"""),0.84)</f>
        <v>0.84</v>
      </c>
      <c r="O1215" s="4">
        <f>IFERROR(__xludf.DUMMYFUNCTION("""COMPUTED_VALUE"""),24.0)</f>
        <v>24</v>
      </c>
      <c r="P1215" s="4">
        <f>IFERROR(__xludf.DUMMYFUNCTION("""COMPUTED_VALUE"""),9.1)</f>
        <v>9.1</v>
      </c>
      <c r="Q1215" s="4">
        <f>IFERROR(__xludf.DUMMYFUNCTION("""COMPUTED_VALUE"""),2.4)</f>
        <v>2.4</v>
      </c>
      <c r="R1215" s="4">
        <f>IFERROR(__xludf.DUMMYFUNCTION("""COMPUTED_VALUE"""),2.2)</f>
        <v>2.2</v>
      </c>
      <c r="S1215" s="4">
        <f>IFERROR(__xludf.DUMMYFUNCTION("""COMPUTED_VALUE"""),14.2)</f>
        <v>14.2</v>
      </c>
      <c r="T1215" s="4">
        <f>IFERROR(__xludf.DUMMYFUNCTION("""COMPUTED_VALUE"""),0.114)</f>
        <v>0.114</v>
      </c>
      <c r="U1215" s="4">
        <f>IFERROR(__xludf.DUMMYFUNCTION("""COMPUTED_VALUE"""),1.7)</f>
        <v>1.7</v>
      </c>
      <c r="V1215" s="4">
        <f>IFERROR(__xludf.DUMMYFUNCTION("""COMPUTED_VALUE"""),5.6)</f>
        <v>5.6</v>
      </c>
    </row>
    <row r="1216">
      <c r="A1216" s="4">
        <f>IFERROR(__xludf.DUMMYFUNCTION("""COMPUTED_VALUE"""),25.0)</f>
        <v>25</v>
      </c>
      <c r="B1216" s="4">
        <f>IFERROR(__xludf.DUMMYFUNCTION("""COMPUTED_VALUE"""),25.0)</f>
        <v>25</v>
      </c>
      <c r="C1216" s="4" t="str">
        <f>IFERROR(__xludf.DUMMYFUNCTION("""COMPUTED_VALUE"""),"UTA")</f>
        <v>UTA</v>
      </c>
      <c r="D1216" s="4" t="str">
        <f>IFERROR(__xludf.DUMMYFUNCTION("""COMPUTED_VALUE"""),"Morris Almond")</f>
        <v>Morris Almond</v>
      </c>
      <c r="E1216" s="4" t="str">
        <f>IFERROR(__xludf.DUMMYFUNCTION("""COMPUTED_VALUE"""),"Rice University")</f>
        <v>Rice University</v>
      </c>
      <c r="F1216" s="4">
        <f>IFERROR(__xludf.DUMMYFUNCTION("""COMPUTED_VALUE"""),3.0)</f>
        <v>3</v>
      </c>
      <c r="G1216" s="4">
        <f>IFERROR(__xludf.DUMMYFUNCTION("""COMPUTED_VALUE"""),38.0)</f>
        <v>38</v>
      </c>
      <c r="H1216" s="4">
        <f>IFERROR(__xludf.DUMMYFUNCTION("""COMPUTED_VALUE"""),361.0)</f>
        <v>361</v>
      </c>
      <c r="I1216" s="4">
        <f>IFERROR(__xludf.DUMMYFUNCTION("""COMPUTED_VALUE"""),119.0)</f>
        <v>119</v>
      </c>
      <c r="J1216" s="4">
        <f>IFERROR(__xludf.DUMMYFUNCTION("""COMPUTED_VALUE"""),46.0)</f>
        <v>46</v>
      </c>
      <c r="K1216" s="4">
        <f>IFERROR(__xludf.DUMMYFUNCTION("""COMPUTED_VALUE"""),12.0)</f>
        <v>12</v>
      </c>
      <c r="L1216" s="4">
        <f>IFERROR(__xludf.DUMMYFUNCTION("""COMPUTED_VALUE"""),0.381)</f>
        <v>0.381</v>
      </c>
      <c r="M1216" s="4">
        <f>IFERROR(__xludf.DUMMYFUNCTION("""COMPUTED_VALUE"""),0.292)</f>
        <v>0.292</v>
      </c>
      <c r="N1216" s="4">
        <f>IFERROR(__xludf.DUMMYFUNCTION("""COMPUTED_VALUE"""),0.743)</f>
        <v>0.743</v>
      </c>
      <c r="O1216" s="4">
        <f>IFERROR(__xludf.DUMMYFUNCTION("""COMPUTED_VALUE"""),9.5)</f>
        <v>9.5</v>
      </c>
      <c r="P1216" s="4">
        <f>IFERROR(__xludf.DUMMYFUNCTION("""COMPUTED_VALUE"""),3.1)</f>
        <v>3.1</v>
      </c>
      <c r="Q1216" s="4">
        <f>IFERROR(__xludf.DUMMYFUNCTION("""COMPUTED_VALUE"""),1.2)</f>
        <v>1.2</v>
      </c>
      <c r="R1216" s="4">
        <f>IFERROR(__xludf.DUMMYFUNCTION("""COMPUTED_VALUE"""),0.3)</f>
        <v>0.3</v>
      </c>
      <c r="S1216" s="4">
        <f>IFERROR(__xludf.DUMMYFUNCTION("""COMPUTED_VALUE"""),0.0)</f>
        <v>0</v>
      </c>
      <c r="T1216" s="4">
        <f>IFERROR(__xludf.DUMMYFUNCTION("""COMPUTED_VALUE"""),0.005)</f>
        <v>0.005</v>
      </c>
      <c r="U1216" s="4">
        <f>IFERROR(__xludf.DUMMYFUNCTION("""COMPUTED_VALUE"""),-6.1)</f>
        <v>-6.1</v>
      </c>
      <c r="V1216" s="4">
        <f>IFERROR(__xludf.DUMMYFUNCTION("""COMPUTED_VALUE"""),-0.4)</f>
        <v>-0.4</v>
      </c>
    </row>
    <row r="1217">
      <c r="A1217" s="4">
        <f>IFERROR(__xludf.DUMMYFUNCTION("""COMPUTED_VALUE"""),26.0)</f>
        <v>26</v>
      </c>
      <c r="B1217" s="4">
        <f>IFERROR(__xludf.DUMMYFUNCTION("""COMPUTED_VALUE"""),26.0)</f>
        <v>26</v>
      </c>
      <c r="C1217" s="4" t="str">
        <f>IFERROR(__xludf.DUMMYFUNCTION("""COMPUTED_VALUE"""),"HOU")</f>
        <v>HOU</v>
      </c>
      <c r="D1217" s="4" t="str">
        <f>IFERROR(__xludf.DUMMYFUNCTION("""COMPUTED_VALUE"""),"Aaron Brooks")</f>
        <v>Aaron Brooks</v>
      </c>
      <c r="E1217" s="4" t="str">
        <f>IFERROR(__xludf.DUMMYFUNCTION("""COMPUTED_VALUE"""),"Oregon")</f>
        <v>Oregon</v>
      </c>
      <c r="F1217" s="4">
        <f>IFERROR(__xludf.DUMMYFUNCTION("""COMPUTED_VALUE"""),10.0)</f>
        <v>10</v>
      </c>
      <c r="G1217" s="4">
        <f>IFERROR(__xludf.DUMMYFUNCTION("""COMPUTED_VALUE"""),645.0)</f>
        <v>645</v>
      </c>
      <c r="H1217" s="4">
        <f>IFERROR(__xludf.DUMMYFUNCTION("""COMPUTED_VALUE"""),13439.0)</f>
        <v>13439</v>
      </c>
      <c r="I1217" s="4">
        <f>IFERROR(__xludf.DUMMYFUNCTION("""COMPUTED_VALUE"""),6259.0)</f>
        <v>6259</v>
      </c>
      <c r="J1217" s="4">
        <f>IFERROR(__xludf.DUMMYFUNCTION("""COMPUTED_VALUE"""),1079.0)</f>
        <v>1079</v>
      </c>
      <c r="K1217" s="4">
        <f>IFERROR(__xludf.DUMMYFUNCTION("""COMPUTED_VALUE"""),1925.0)</f>
        <v>1925</v>
      </c>
      <c r="L1217" s="4">
        <f>IFERROR(__xludf.DUMMYFUNCTION("""COMPUTED_VALUE"""),0.413)</f>
        <v>0.413</v>
      </c>
      <c r="M1217" s="4">
        <f>IFERROR(__xludf.DUMMYFUNCTION("""COMPUTED_VALUE"""),0.37)</f>
        <v>0.37</v>
      </c>
      <c r="N1217" s="4">
        <f>IFERROR(__xludf.DUMMYFUNCTION("""COMPUTED_VALUE"""),0.837)</f>
        <v>0.837</v>
      </c>
      <c r="O1217" s="4">
        <f>IFERROR(__xludf.DUMMYFUNCTION("""COMPUTED_VALUE"""),20.8)</f>
        <v>20.8</v>
      </c>
      <c r="P1217" s="4">
        <f>IFERROR(__xludf.DUMMYFUNCTION("""COMPUTED_VALUE"""),9.7)</f>
        <v>9.7</v>
      </c>
      <c r="Q1217" s="4">
        <f>IFERROR(__xludf.DUMMYFUNCTION("""COMPUTED_VALUE"""),1.7)</f>
        <v>1.7</v>
      </c>
      <c r="R1217" s="4">
        <f>IFERROR(__xludf.DUMMYFUNCTION("""COMPUTED_VALUE"""),3.0)</f>
        <v>3</v>
      </c>
      <c r="S1217" s="4">
        <f>IFERROR(__xludf.DUMMYFUNCTION("""COMPUTED_VALUE"""),19.2)</f>
        <v>19.2</v>
      </c>
      <c r="T1217" s="4">
        <f>IFERROR(__xludf.DUMMYFUNCTION("""COMPUTED_VALUE"""),0.069)</f>
        <v>0.069</v>
      </c>
      <c r="U1217" s="4">
        <f>IFERROR(__xludf.DUMMYFUNCTION("""COMPUTED_VALUE"""),-1.2)</f>
        <v>-1.2</v>
      </c>
      <c r="V1217" s="4">
        <f>IFERROR(__xludf.DUMMYFUNCTION("""COMPUTED_VALUE"""),2.7)</f>
        <v>2.7</v>
      </c>
    </row>
    <row r="1218">
      <c r="A1218" s="4">
        <f>IFERROR(__xludf.DUMMYFUNCTION("""COMPUTED_VALUE"""),27.0)</f>
        <v>27</v>
      </c>
      <c r="B1218" s="4">
        <f>IFERROR(__xludf.DUMMYFUNCTION("""COMPUTED_VALUE"""),27.0)</f>
        <v>27</v>
      </c>
      <c r="C1218" s="4" t="str">
        <f>IFERROR(__xludf.DUMMYFUNCTION("""COMPUTED_VALUE"""),"DET")</f>
        <v>DET</v>
      </c>
      <c r="D1218" s="4" t="str">
        <f>IFERROR(__xludf.DUMMYFUNCTION("""COMPUTED_VALUE"""),"Arron Afflalo")</f>
        <v>Arron Afflalo</v>
      </c>
      <c r="E1218" s="4" t="str">
        <f>IFERROR(__xludf.DUMMYFUNCTION("""COMPUTED_VALUE"""),"UCLA")</f>
        <v>UCLA</v>
      </c>
      <c r="F1218" s="4">
        <f>IFERROR(__xludf.DUMMYFUNCTION("""COMPUTED_VALUE"""),11.0)</f>
        <v>11</v>
      </c>
      <c r="G1218" s="4">
        <f>IFERROR(__xludf.DUMMYFUNCTION("""COMPUTED_VALUE"""),762.0)</f>
        <v>762</v>
      </c>
      <c r="H1218" s="4">
        <f>IFERROR(__xludf.DUMMYFUNCTION("""COMPUTED_VALUE"""),20829.0)</f>
        <v>20829</v>
      </c>
      <c r="I1218" s="4">
        <f>IFERROR(__xludf.DUMMYFUNCTION("""COMPUTED_VALUE"""),8198.0)</f>
        <v>8198</v>
      </c>
      <c r="J1218" s="4">
        <f>IFERROR(__xludf.DUMMYFUNCTION("""COMPUTED_VALUE"""),2176.0)</f>
        <v>2176</v>
      </c>
      <c r="K1218" s="4">
        <f>IFERROR(__xludf.DUMMYFUNCTION("""COMPUTED_VALUE"""),1386.0)</f>
        <v>1386</v>
      </c>
      <c r="L1218" s="4">
        <f>IFERROR(__xludf.DUMMYFUNCTION("""COMPUTED_VALUE"""),0.45)</f>
        <v>0.45</v>
      </c>
      <c r="M1218" s="4">
        <f>IFERROR(__xludf.DUMMYFUNCTION("""COMPUTED_VALUE"""),0.386)</f>
        <v>0.386</v>
      </c>
      <c r="N1218" s="4">
        <f>IFERROR(__xludf.DUMMYFUNCTION("""COMPUTED_VALUE"""),0.825)</f>
        <v>0.825</v>
      </c>
      <c r="O1218" s="4">
        <f>IFERROR(__xludf.DUMMYFUNCTION("""COMPUTED_VALUE"""),27.3)</f>
        <v>27.3</v>
      </c>
      <c r="P1218" s="4">
        <f>IFERROR(__xludf.DUMMYFUNCTION("""COMPUTED_VALUE"""),10.8)</f>
        <v>10.8</v>
      </c>
      <c r="Q1218" s="4">
        <f>IFERROR(__xludf.DUMMYFUNCTION("""COMPUTED_VALUE"""),2.9)</f>
        <v>2.9</v>
      </c>
      <c r="R1218" s="4">
        <f>IFERROR(__xludf.DUMMYFUNCTION("""COMPUTED_VALUE"""),1.8)</f>
        <v>1.8</v>
      </c>
      <c r="S1218" s="4">
        <f>IFERROR(__xludf.DUMMYFUNCTION("""COMPUTED_VALUE"""),33.5)</f>
        <v>33.5</v>
      </c>
      <c r="T1218" s="4">
        <f>IFERROR(__xludf.DUMMYFUNCTION("""COMPUTED_VALUE"""),0.077)</f>
        <v>0.077</v>
      </c>
      <c r="U1218" s="4">
        <f>IFERROR(__xludf.DUMMYFUNCTION("""COMPUTED_VALUE"""),-1.5)</f>
        <v>-1.5</v>
      </c>
      <c r="V1218" s="4">
        <f>IFERROR(__xludf.DUMMYFUNCTION("""COMPUTED_VALUE"""),2.4)</f>
        <v>2.4</v>
      </c>
    </row>
    <row r="1219">
      <c r="A1219" s="4">
        <f>IFERROR(__xludf.DUMMYFUNCTION("""COMPUTED_VALUE"""),28.0)</f>
        <v>28</v>
      </c>
      <c r="B1219" s="4">
        <f>IFERROR(__xludf.DUMMYFUNCTION("""COMPUTED_VALUE"""),28.0)</f>
        <v>28</v>
      </c>
      <c r="C1219" s="4" t="str">
        <f>IFERROR(__xludf.DUMMYFUNCTION("""COMPUTED_VALUE"""),"SAS")</f>
        <v>SAS</v>
      </c>
      <c r="D1219" s="4" t="str">
        <f>IFERROR(__xludf.DUMMYFUNCTION("""COMPUTED_VALUE"""),"Tiago Splitter")</f>
        <v>Tiago Splitter</v>
      </c>
      <c r="E1219" s="4"/>
      <c r="F1219" s="4">
        <f>IFERROR(__xludf.DUMMYFUNCTION("""COMPUTED_VALUE"""),7.0)</f>
        <v>7</v>
      </c>
      <c r="G1219" s="4">
        <f>IFERROR(__xludf.DUMMYFUNCTION("""COMPUTED_VALUE"""),355.0)</f>
        <v>355</v>
      </c>
      <c r="H1219" s="4">
        <f>IFERROR(__xludf.DUMMYFUNCTION("""COMPUTED_VALUE"""),6812.0)</f>
        <v>6812</v>
      </c>
      <c r="I1219" s="4">
        <f>IFERROR(__xludf.DUMMYFUNCTION("""COMPUTED_VALUE"""),2816.0)</f>
        <v>2816</v>
      </c>
      <c r="J1219" s="4">
        <f>IFERROR(__xludf.DUMMYFUNCTION("""COMPUTED_VALUE"""),1779.0)</f>
        <v>1779</v>
      </c>
      <c r="K1219" s="4">
        <f>IFERROR(__xludf.DUMMYFUNCTION("""COMPUTED_VALUE"""),423.0)</f>
        <v>423</v>
      </c>
      <c r="L1219" s="4">
        <f>IFERROR(__xludf.DUMMYFUNCTION("""COMPUTED_VALUE"""),0.555)</f>
        <v>0.555</v>
      </c>
      <c r="M1219" s="4">
        <f>IFERROR(__xludf.DUMMYFUNCTION("""COMPUTED_VALUE"""),0.143)</f>
        <v>0.143</v>
      </c>
      <c r="N1219" s="4">
        <f>IFERROR(__xludf.DUMMYFUNCTION("""COMPUTED_VALUE"""),0.697)</f>
        <v>0.697</v>
      </c>
      <c r="O1219" s="4">
        <f>IFERROR(__xludf.DUMMYFUNCTION("""COMPUTED_VALUE"""),19.2)</f>
        <v>19.2</v>
      </c>
      <c r="P1219" s="4">
        <f>IFERROR(__xludf.DUMMYFUNCTION("""COMPUTED_VALUE"""),7.9)</f>
        <v>7.9</v>
      </c>
      <c r="Q1219" s="4">
        <f>IFERROR(__xludf.DUMMYFUNCTION("""COMPUTED_VALUE"""),5.0)</f>
        <v>5</v>
      </c>
      <c r="R1219" s="4">
        <f>IFERROR(__xludf.DUMMYFUNCTION("""COMPUTED_VALUE"""),1.2)</f>
        <v>1.2</v>
      </c>
      <c r="S1219" s="4">
        <f>IFERROR(__xludf.DUMMYFUNCTION("""COMPUTED_VALUE"""),25.3)</f>
        <v>25.3</v>
      </c>
      <c r="T1219" s="4">
        <f>IFERROR(__xludf.DUMMYFUNCTION("""COMPUTED_VALUE"""),0.178)</f>
        <v>0.178</v>
      </c>
      <c r="U1219" s="4">
        <f>IFERROR(__xludf.DUMMYFUNCTION("""COMPUTED_VALUE"""),1.1)</f>
        <v>1.1</v>
      </c>
      <c r="V1219" s="4">
        <f>IFERROR(__xludf.DUMMYFUNCTION("""COMPUTED_VALUE"""),5.4)</f>
        <v>5.4</v>
      </c>
    </row>
    <row r="1220">
      <c r="A1220" s="4">
        <f>IFERROR(__xludf.DUMMYFUNCTION("""COMPUTED_VALUE"""),29.0)</f>
        <v>29</v>
      </c>
      <c r="B1220" s="4">
        <f>IFERROR(__xludf.DUMMYFUNCTION("""COMPUTED_VALUE"""),29.0)</f>
        <v>29</v>
      </c>
      <c r="C1220" s="4" t="str">
        <f>IFERROR(__xludf.DUMMYFUNCTION("""COMPUTED_VALUE"""),"PHO")</f>
        <v>PHO</v>
      </c>
      <c r="D1220" s="4" t="str">
        <f>IFERROR(__xludf.DUMMYFUNCTION("""COMPUTED_VALUE"""),"Alando Tucker")</f>
        <v>Alando Tucker</v>
      </c>
      <c r="E1220" s="4" t="str">
        <f>IFERROR(__xludf.DUMMYFUNCTION("""COMPUTED_VALUE"""),"Wisconsin")</f>
        <v>Wisconsin</v>
      </c>
      <c r="F1220" s="4">
        <f>IFERROR(__xludf.DUMMYFUNCTION("""COMPUTED_VALUE"""),3.0)</f>
        <v>3</v>
      </c>
      <c r="G1220" s="4">
        <f>IFERROR(__xludf.DUMMYFUNCTION("""COMPUTED_VALUE"""),51.0)</f>
        <v>51</v>
      </c>
      <c r="H1220" s="4">
        <f>IFERROR(__xludf.DUMMYFUNCTION("""COMPUTED_VALUE"""),426.0)</f>
        <v>426</v>
      </c>
      <c r="I1220" s="4">
        <f>IFERROR(__xludf.DUMMYFUNCTION("""COMPUTED_VALUE"""),211.0)</f>
        <v>211</v>
      </c>
      <c r="J1220" s="4">
        <f>IFERROR(__xludf.DUMMYFUNCTION("""COMPUTED_VALUE"""),49.0)</f>
        <v>49</v>
      </c>
      <c r="K1220" s="4">
        <f>IFERROR(__xludf.DUMMYFUNCTION("""COMPUTED_VALUE"""),16.0)</f>
        <v>16</v>
      </c>
      <c r="L1220" s="4">
        <f>IFERROR(__xludf.DUMMYFUNCTION("""COMPUTED_VALUE"""),0.423)</f>
        <v>0.423</v>
      </c>
      <c r="M1220" s="4">
        <f>IFERROR(__xludf.DUMMYFUNCTION("""COMPUTED_VALUE"""),0.294)</f>
        <v>0.294</v>
      </c>
      <c r="N1220" s="4">
        <f>IFERROR(__xludf.DUMMYFUNCTION("""COMPUTED_VALUE"""),0.783)</f>
        <v>0.783</v>
      </c>
      <c r="O1220" s="4">
        <f>IFERROR(__xludf.DUMMYFUNCTION("""COMPUTED_VALUE"""),8.4)</f>
        <v>8.4</v>
      </c>
      <c r="P1220" s="4">
        <f>IFERROR(__xludf.DUMMYFUNCTION("""COMPUTED_VALUE"""),4.1)</f>
        <v>4.1</v>
      </c>
      <c r="Q1220" s="4">
        <f>IFERROR(__xludf.DUMMYFUNCTION("""COMPUTED_VALUE"""),1.0)</f>
        <v>1</v>
      </c>
      <c r="R1220" s="4">
        <f>IFERROR(__xludf.DUMMYFUNCTION("""COMPUTED_VALUE"""),0.3)</f>
        <v>0.3</v>
      </c>
      <c r="S1220" s="4">
        <f>IFERROR(__xludf.DUMMYFUNCTION("""COMPUTED_VALUE"""),0.4)</f>
        <v>0.4</v>
      </c>
      <c r="T1220" s="4">
        <f>IFERROR(__xludf.DUMMYFUNCTION("""COMPUTED_VALUE"""),0.045)</f>
        <v>0.045</v>
      </c>
      <c r="U1220" s="4">
        <f>IFERROR(__xludf.DUMMYFUNCTION("""COMPUTED_VALUE"""),-4.5)</f>
        <v>-4.5</v>
      </c>
      <c r="V1220" s="4">
        <f>IFERROR(__xludf.DUMMYFUNCTION("""COMPUTED_VALUE"""),-0.3)</f>
        <v>-0.3</v>
      </c>
    </row>
    <row r="1221">
      <c r="A1221" s="4">
        <f>IFERROR(__xludf.DUMMYFUNCTION("""COMPUTED_VALUE"""),30.0)</f>
        <v>30</v>
      </c>
      <c r="B1221" s="4">
        <f>IFERROR(__xludf.DUMMYFUNCTION("""COMPUTED_VALUE"""),30.0)</f>
        <v>30</v>
      </c>
      <c r="C1221" s="4" t="str">
        <f>IFERROR(__xludf.DUMMYFUNCTION("""COMPUTED_VALUE"""),"PHI")</f>
        <v>PHI</v>
      </c>
      <c r="D1221" s="4" t="str">
        <f>IFERROR(__xludf.DUMMYFUNCTION("""COMPUTED_VALUE"""),"Petteri Koponen")</f>
        <v>Petteri Koponen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>
      <c r="A1222" s="4"/>
      <c r="B1222" s="4"/>
      <c r="C1222" s="4"/>
      <c r="D1222" s="4" t="str">
        <f>IFERROR(__xludf.DUMMYFUNCTION("""COMPUTED_VALUE"""),"Round 2")</f>
        <v>Round 2</v>
      </c>
      <c r="E1222" s="4"/>
      <c r="F1222" s="4"/>
      <c r="G1222" s="4" t="str">
        <f>IFERROR(__xludf.DUMMYFUNCTION("""COMPUTED_VALUE"""),"Totals")</f>
        <v>Totals</v>
      </c>
      <c r="H1222" s="4"/>
      <c r="I1222" s="4"/>
      <c r="J1222" s="4"/>
      <c r="K1222" s="4"/>
      <c r="L1222" s="4" t="str">
        <f>IFERROR(__xludf.DUMMYFUNCTION("""COMPUTED_VALUE"""),"Shooting")</f>
        <v>Shooting</v>
      </c>
      <c r="M1222" s="4"/>
      <c r="N1222" s="4"/>
      <c r="O1222" s="4" t="str">
        <f>IFERROR(__xludf.DUMMYFUNCTION("""COMPUTED_VALUE"""),"Per Game")</f>
        <v>Per Game</v>
      </c>
      <c r="P1222" s="4"/>
      <c r="Q1222" s="4"/>
      <c r="R1222" s="4"/>
      <c r="S1222" s="4" t="str">
        <f>IFERROR(__xludf.DUMMYFUNCTION("""COMPUTED_VALUE"""),"Advanced")</f>
        <v>Advanced</v>
      </c>
      <c r="T1222" s="4"/>
      <c r="U1222" s="4"/>
      <c r="V1222" s="4"/>
    </row>
    <row r="1223">
      <c r="A1223" s="4" t="str">
        <f>IFERROR(__xludf.DUMMYFUNCTION("""COMPUTED_VALUE"""),"Rk")</f>
        <v>Rk</v>
      </c>
      <c r="B1223" s="4" t="str">
        <f>IFERROR(__xludf.DUMMYFUNCTION("""COMPUTED_VALUE"""),"Pk")</f>
        <v>Pk</v>
      </c>
      <c r="C1223" s="4" t="str">
        <f>IFERROR(__xludf.DUMMYFUNCTION("""COMPUTED_VALUE"""),"Tm")</f>
        <v>Tm</v>
      </c>
      <c r="D1223" s="4" t="str">
        <f>IFERROR(__xludf.DUMMYFUNCTION("""COMPUTED_VALUE"""),"Player")</f>
        <v>Player</v>
      </c>
      <c r="E1223" s="4" t="str">
        <f>IFERROR(__xludf.DUMMYFUNCTION("""COMPUTED_VALUE"""),"College")</f>
        <v>College</v>
      </c>
      <c r="F1223" s="4" t="str">
        <f>IFERROR(__xludf.DUMMYFUNCTION("""COMPUTED_VALUE"""),"Yrs")</f>
        <v>Yrs</v>
      </c>
      <c r="G1223" s="4" t="str">
        <f>IFERROR(__xludf.DUMMYFUNCTION("""COMPUTED_VALUE"""),"G")</f>
        <v>G</v>
      </c>
      <c r="H1223" s="4" t="str">
        <f>IFERROR(__xludf.DUMMYFUNCTION("""COMPUTED_VALUE"""),"MP")</f>
        <v>MP</v>
      </c>
      <c r="I1223" s="4" t="str">
        <f>IFERROR(__xludf.DUMMYFUNCTION("""COMPUTED_VALUE"""),"PTS")</f>
        <v>PTS</v>
      </c>
      <c r="J1223" s="4" t="str">
        <f>IFERROR(__xludf.DUMMYFUNCTION("""COMPUTED_VALUE"""),"TRB")</f>
        <v>TRB</v>
      </c>
      <c r="K1223" s="4" t="str">
        <f>IFERROR(__xludf.DUMMYFUNCTION("""COMPUTED_VALUE"""),"AST")</f>
        <v>AST</v>
      </c>
      <c r="L1223" s="4" t="str">
        <f>IFERROR(__xludf.DUMMYFUNCTION("""COMPUTED_VALUE"""),"FG%")</f>
        <v>FG%</v>
      </c>
      <c r="M1223" s="4" t="str">
        <f>IFERROR(__xludf.DUMMYFUNCTION("""COMPUTED_VALUE"""),"3P%")</f>
        <v>3P%</v>
      </c>
      <c r="N1223" s="4" t="str">
        <f>IFERROR(__xludf.DUMMYFUNCTION("""COMPUTED_VALUE"""),"FT%")</f>
        <v>FT%</v>
      </c>
      <c r="O1223" s="4" t="str">
        <f>IFERROR(__xludf.DUMMYFUNCTION("""COMPUTED_VALUE"""),"MP")</f>
        <v>MP</v>
      </c>
      <c r="P1223" s="4" t="str">
        <f>IFERROR(__xludf.DUMMYFUNCTION("""COMPUTED_VALUE"""),"PTS")</f>
        <v>PTS</v>
      </c>
      <c r="Q1223" s="4" t="str">
        <f>IFERROR(__xludf.DUMMYFUNCTION("""COMPUTED_VALUE"""),"TRB")</f>
        <v>TRB</v>
      </c>
      <c r="R1223" s="4" t="str">
        <f>IFERROR(__xludf.DUMMYFUNCTION("""COMPUTED_VALUE"""),"AST")</f>
        <v>AST</v>
      </c>
      <c r="S1223" s="4" t="str">
        <f>IFERROR(__xludf.DUMMYFUNCTION("""COMPUTED_VALUE"""),"WS")</f>
        <v>WS</v>
      </c>
      <c r="T1223" s="4" t="str">
        <f>IFERROR(__xludf.DUMMYFUNCTION("""COMPUTED_VALUE"""),"WS/48")</f>
        <v>WS/48</v>
      </c>
      <c r="U1223" s="4" t="str">
        <f>IFERROR(__xludf.DUMMYFUNCTION("""COMPUTED_VALUE"""),"BPM")</f>
        <v>BPM</v>
      </c>
      <c r="V1223" s="4" t="str">
        <f>IFERROR(__xludf.DUMMYFUNCTION("""COMPUTED_VALUE"""),"VORP")</f>
        <v>VORP</v>
      </c>
    </row>
    <row r="1224">
      <c r="A1224" s="4">
        <f>IFERROR(__xludf.DUMMYFUNCTION("""COMPUTED_VALUE"""),31.0)</f>
        <v>31</v>
      </c>
      <c r="B1224" s="4">
        <f>IFERROR(__xludf.DUMMYFUNCTION("""COMPUTED_VALUE"""),31.0)</f>
        <v>31</v>
      </c>
      <c r="C1224" s="4" t="str">
        <f>IFERROR(__xludf.DUMMYFUNCTION("""COMPUTED_VALUE"""),"SEA")</f>
        <v>SEA</v>
      </c>
      <c r="D1224" s="4" t="str">
        <f>IFERROR(__xludf.DUMMYFUNCTION("""COMPUTED_VALUE"""),"Carl Landry")</f>
        <v>Carl Landry</v>
      </c>
      <c r="E1224" s="4" t="str">
        <f>IFERROR(__xludf.DUMMYFUNCTION("""COMPUTED_VALUE"""),"Purdue")</f>
        <v>Purdue</v>
      </c>
      <c r="F1224" s="4">
        <f>IFERROR(__xludf.DUMMYFUNCTION("""COMPUTED_VALUE"""),9.0)</f>
        <v>9</v>
      </c>
      <c r="G1224" s="4">
        <f>IFERROR(__xludf.DUMMYFUNCTION("""COMPUTED_VALUE"""),513.0)</f>
        <v>513</v>
      </c>
      <c r="H1224" s="4">
        <f>IFERROR(__xludf.DUMMYFUNCTION("""COMPUTED_VALUE"""),11524.0)</f>
        <v>11524</v>
      </c>
      <c r="I1224" s="4">
        <f>IFERROR(__xludf.DUMMYFUNCTION("""COMPUTED_VALUE"""),5541.0)</f>
        <v>5541</v>
      </c>
      <c r="J1224" s="4">
        <f>IFERROR(__xludf.DUMMYFUNCTION("""COMPUTED_VALUE"""),2533.0)</f>
        <v>2533</v>
      </c>
      <c r="K1224" s="4">
        <f>IFERROR(__xludf.DUMMYFUNCTION("""COMPUTED_VALUE"""),355.0)</f>
        <v>355</v>
      </c>
      <c r="L1224" s="4">
        <f>IFERROR(__xludf.DUMMYFUNCTION("""COMPUTED_VALUE"""),0.535)</f>
        <v>0.535</v>
      </c>
      <c r="M1224" s="4">
        <f>IFERROR(__xludf.DUMMYFUNCTION("""COMPUTED_VALUE"""),0.3)</f>
        <v>0.3</v>
      </c>
      <c r="N1224" s="4">
        <f>IFERROR(__xludf.DUMMYFUNCTION("""COMPUTED_VALUE"""),0.785)</f>
        <v>0.785</v>
      </c>
      <c r="O1224" s="4">
        <f>IFERROR(__xludf.DUMMYFUNCTION("""COMPUTED_VALUE"""),22.5)</f>
        <v>22.5</v>
      </c>
      <c r="P1224" s="4">
        <f>IFERROR(__xludf.DUMMYFUNCTION("""COMPUTED_VALUE"""),10.8)</f>
        <v>10.8</v>
      </c>
      <c r="Q1224" s="4">
        <f>IFERROR(__xludf.DUMMYFUNCTION("""COMPUTED_VALUE"""),4.9)</f>
        <v>4.9</v>
      </c>
      <c r="R1224" s="4">
        <f>IFERROR(__xludf.DUMMYFUNCTION("""COMPUTED_VALUE"""),0.7)</f>
        <v>0.7</v>
      </c>
      <c r="S1224" s="4">
        <f>IFERROR(__xludf.DUMMYFUNCTION("""COMPUTED_VALUE"""),35.9)</f>
        <v>35.9</v>
      </c>
      <c r="T1224" s="4">
        <f>IFERROR(__xludf.DUMMYFUNCTION("""COMPUTED_VALUE"""),0.149)</f>
        <v>0.149</v>
      </c>
      <c r="U1224" s="4">
        <f>IFERROR(__xludf.DUMMYFUNCTION("""COMPUTED_VALUE"""),-0.3)</f>
        <v>-0.3</v>
      </c>
      <c r="V1224" s="4">
        <f>IFERROR(__xludf.DUMMYFUNCTION("""COMPUTED_VALUE"""),5.0)</f>
        <v>5</v>
      </c>
    </row>
    <row r="1225">
      <c r="A1225" s="4">
        <f>IFERROR(__xludf.DUMMYFUNCTION("""COMPUTED_VALUE"""),32.0)</f>
        <v>32</v>
      </c>
      <c r="B1225" s="4">
        <f>IFERROR(__xludf.DUMMYFUNCTION("""COMPUTED_VALUE"""),32.0)</f>
        <v>32</v>
      </c>
      <c r="C1225" s="4" t="str">
        <f>IFERROR(__xludf.DUMMYFUNCTION("""COMPUTED_VALUE"""),"BOS")</f>
        <v>BOS</v>
      </c>
      <c r="D1225" s="4" t="str">
        <f>IFERROR(__xludf.DUMMYFUNCTION("""COMPUTED_VALUE"""),"Gabe Pruitt")</f>
        <v>Gabe Pruitt</v>
      </c>
      <c r="E1225" s="4" t="str">
        <f>IFERROR(__xludf.DUMMYFUNCTION("""COMPUTED_VALUE"""),"USC")</f>
        <v>USC</v>
      </c>
      <c r="F1225" s="4">
        <f>IFERROR(__xludf.DUMMYFUNCTION("""COMPUTED_VALUE"""),2.0)</f>
        <v>2</v>
      </c>
      <c r="G1225" s="4">
        <f>IFERROR(__xludf.DUMMYFUNCTION("""COMPUTED_VALUE"""),62.0)</f>
        <v>62</v>
      </c>
      <c r="H1225" s="4">
        <f>IFERROR(__xludf.DUMMYFUNCTION("""COMPUTED_VALUE"""),461.0)</f>
        <v>461</v>
      </c>
      <c r="I1225" s="4">
        <f>IFERROR(__xludf.DUMMYFUNCTION("""COMPUTED_VALUE"""),125.0)</f>
        <v>125</v>
      </c>
      <c r="J1225" s="4">
        <f>IFERROR(__xludf.DUMMYFUNCTION("""COMPUTED_VALUE"""),51.0)</f>
        <v>51</v>
      </c>
      <c r="K1225" s="4">
        <f>IFERROR(__xludf.DUMMYFUNCTION("""COMPUTED_VALUE"""),52.0)</f>
        <v>52</v>
      </c>
      <c r="L1225" s="4">
        <f>IFERROR(__xludf.DUMMYFUNCTION("""COMPUTED_VALUE"""),0.321)</f>
        <v>0.321</v>
      </c>
      <c r="M1225" s="4">
        <f>IFERROR(__xludf.DUMMYFUNCTION("""COMPUTED_VALUE"""),0.283)</f>
        <v>0.283</v>
      </c>
      <c r="N1225" s="4">
        <f>IFERROR(__xludf.DUMMYFUNCTION("""COMPUTED_VALUE"""),0.783)</f>
        <v>0.783</v>
      </c>
      <c r="O1225" s="4">
        <f>IFERROR(__xludf.DUMMYFUNCTION("""COMPUTED_VALUE"""),7.4)</f>
        <v>7.4</v>
      </c>
      <c r="P1225" s="4">
        <f>IFERROR(__xludf.DUMMYFUNCTION("""COMPUTED_VALUE"""),2.0)</f>
        <v>2</v>
      </c>
      <c r="Q1225" s="4">
        <f>IFERROR(__xludf.DUMMYFUNCTION("""COMPUTED_VALUE"""),0.8)</f>
        <v>0.8</v>
      </c>
      <c r="R1225" s="4">
        <f>IFERROR(__xludf.DUMMYFUNCTION("""COMPUTED_VALUE"""),0.8)</f>
        <v>0.8</v>
      </c>
      <c r="S1225" s="4">
        <f>IFERROR(__xludf.DUMMYFUNCTION("""COMPUTED_VALUE"""),0.4)</f>
        <v>0.4</v>
      </c>
      <c r="T1225" s="4">
        <f>IFERROR(__xludf.DUMMYFUNCTION("""COMPUTED_VALUE"""),0.043)</f>
        <v>0.043</v>
      </c>
      <c r="U1225" s="4">
        <f>IFERROR(__xludf.DUMMYFUNCTION("""COMPUTED_VALUE"""),-2.8)</f>
        <v>-2.8</v>
      </c>
      <c r="V1225" s="4">
        <f>IFERROR(__xludf.DUMMYFUNCTION("""COMPUTED_VALUE"""),-0.1)</f>
        <v>-0.1</v>
      </c>
    </row>
    <row r="1226">
      <c r="A1226" s="4">
        <f>IFERROR(__xludf.DUMMYFUNCTION("""COMPUTED_VALUE"""),33.0)</f>
        <v>33</v>
      </c>
      <c r="B1226" s="4">
        <f>IFERROR(__xludf.DUMMYFUNCTION("""COMPUTED_VALUE"""),33.0)</f>
        <v>33</v>
      </c>
      <c r="C1226" s="4" t="str">
        <f>IFERROR(__xludf.DUMMYFUNCTION("""COMPUTED_VALUE"""),"SAS")</f>
        <v>SAS</v>
      </c>
      <c r="D1226" s="4" t="str">
        <f>IFERROR(__xludf.DUMMYFUNCTION("""COMPUTED_VALUE"""),"Marcus Williams")</f>
        <v>Marcus Williams</v>
      </c>
      <c r="E1226" s="4" t="str">
        <f>IFERROR(__xludf.DUMMYFUNCTION("""COMPUTED_VALUE"""),"Arizona")</f>
        <v>Arizona</v>
      </c>
      <c r="F1226" s="4">
        <f>IFERROR(__xludf.DUMMYFUNCTION("""COMPUTED_VALUE"""),2.0)</f>
        <v>2</v>
      </c>
      <c r="G1226" s="4">
        <f>IFERROR(__xludf.DUMMYFUNCTION("""COMPUTED_VALUE"""),13.0)</f>
        <v>13</v>
      </c>
      <c r="H1226" s="4">
        <f>IFERROR(__xludf.DUMMYFUNCTION("""COMPUTED_VALUE"""),39.0)</f>
        <v>39</v>
      </c>
      <c r="I1226" s="4">
        <f>IFERROR(__xludf.DUMMYFUNCTION("""COMPUTED_VALUE"""),14.0)</f>
        <v>14</v>
      </c>
      <c r="J1226" s="4">
        <f>IFERROR(__xludf.DUMMYFUNCTION("""COMPUTED_VALUE"""),12.0)</f>
        <v>12</v>
      </c>
      <c r="K1226" s="4">
        <f>IFERROR(__xludf.DUMMYFUNCTION("""COMPUTED_VALUE"""),3.0)</f>
        <v>3</v>
      </c>
      <c r="L1226" s="4">
        <f>IFERROR(__xludf.DUMMYFUNCTION("""COMPUTED_VALUE"""),0.318)</f>
        <v>0.318</v>
      </c>
      <c r="M1226" s="4"/>
      <c r="N1226" s="4"/>
      <c r="O1226" s="4">
        <f>IFERROR(__xludf.DUMMYFUNCTION("""COMPUTED_VALUE"""),3.0)</f>
        <v>3</v>
      </c>
      <c r="P1226" s="4">
        <f>IFERROR(__xludf.DUMMYFUNCTION("""COMPUTED_VALUE"""),1.1)</f>
        <v>1.1</v>
      </c>
      <c r="Q1226" s="4">
        <f>IFERROR(__xludf.DUMMYFUNCTION("""COMPUTED_VALUE"""),0.9)</f>
        <v>0.9</v>
      </c>
      <c r="R1226" s="4">
        <f>IFERROR(__xludf.DUMMYFUNCTION("""COMPUTED_VALUE"""),0.2)</f>
        <v>0.2</v>
      </c>
      <c r="S1226" s="4">
        <f>IFERROR(__xludf.DUMMYFUNCTION("""COMPUTED_VALUE"""),-0.1)</f>
        <v>-0.1</v>
      </c>
      <c r="T1226" s="4">
        <f>IFERROR(__xludf.DUMMYFUNCTION("""COMPUTED_VALUE"""),-0.084)</f>
        <v>-0.084</v>
      </c>
      <c r="U1226" s="4">
        <f>IFERROR(__xludf.DUMMYFUNCTION("""COMPUTED_VALUE"""),-5.4)</f>
        <v>-5.4</v>
      </c>
      <c r="V1226" s="4">
        <f>IFERROR(__xludf.DUMMYFUNCTION("""COMPUTED_VALUE"""),0.0)</f>
        <v>0</v>
      </c>
    </row>
    <row r="1227">
      <c r="A1227" s="4">
        <f>IFERROR(__xludf.DUMMYFUNCTION("""COMPUTED_VALUE"""),34.0)</f>
        <v>34</v>
      </c>
      <c r="B1227" s="4">
        <f>IFERROR(__xludf.DUMMYFUNCTION("""COMPUTED_VALUE"""),34.0)</f>
        <v>34</v>
      </c>
      <c r="C1227" s="4" t="str">
        <f>IFERROR(__xludf.DUMMYFUNCTION("""COMPUTED_VALUE"""),"DAL")</f>
        <v>DAL</v>
      </c>
      <c r="D1227" s="4" t="str">
        <f>IFERROR(__xludf.DUMMYFUNCTION("""COMPUTED_VALUE"""),"Nick Fazekas")</f>
        <v>Nick Fazekas</v>
      </c>
      <c r="E1227" s="4" t="str">
        <f>IFERROR(__xludf.DUMMYFUNCTION("""COMPUTED_VALUE"""),"Nevada")</f>
        <v>Nevada</v>
      </c>
      <c r="F1227" s="4">
        <f>IFERROR(__xludf.DUMMYFUNCTION("""COMPUTED_VALUE"""),1.0)</f>
        <v>1</v>
      </c>
      <c r="G1227" s="4">
        <f>IFERROR(__xludf.DUMMYFUNCTION("""COMPUTED_VALUE"""),26.0)</f>
        <v>26</v>
      </c>
      <c r="H1227" s="4">
        <f>IFERROR(__xludf.DUMMYFUNCTION("""COMPUTED_VALUE"""),269.0)</f>
        <v>269</v>
      </c>
      <c r="I1227" s="4">
        <f>IFERROR(__xludf.DUMMYFUNCTION("""COMPUTED_VALUE"""),107.0)</f>
        <v>107</v>
      </c>
      <c r="J1227" s="4">
        <f>IFERROR(__xludf.DUMMYFUNCTION("""COMPUTED_VALUE"""),89.0)</f>
        <v>89</v>
      </c>
      <c r="K1227" s="4">
        <f>IFERROR(__xludf.DUMMYFUNCTION("""COMPUTED_VALUE"""),11.0)</f>
        <v>11</v>
      </c>
      <c r="L1227" s="4">
        <f>IFERROR(__xludf.DUMMYFUNCTION("""COMPUTED_VALUE"""),0.561)</f>
        <v>0.561</v>
      </c>
      <c r="M1227" s="4">
        <f>IFERROR(__xludf.DUMMYFUNCTION("""COMPUTED_VALUE"""),0.0)</f>
        <v>0</v>
      </c>
      <c r="N1227" s="4">
        <f>IFERROR(__xludf.DUMMYFUNCTION("""COMPUTED_VALUE"""),0.682)</f>
        <v>0.682</v>
      </c>
      <c r="O1227" s="4">
        <f>IFERROR(__xludf.DUMMYFUNCTION("""COMPUTED_VALUE"""),10.3)</f>
        <v>10.3</v>
      </c>
      <c r="P1227" s="4">
        <f>IFERROR(__xludf.DUMMYFUNCTION("""COMPUTED_VALUE"""),4.1)</f>
        <v>4.1</v>
      </c>
      <c r="Q1227" s="4">
        <f>IFERROR(__xludf.DUMMYFUNCTION("""COMPUTED_VALUE"""),3.4)</f>
        <v>3.4</v>
      </c>
      <c r="R1227" s="4">
        <f>IFERROR(__xludf.DUMMYFUNCTION("""COMPUTED_VALUE"""),0.4)</f>
        <v>0.4</v>
      </c>
      <c r="S1227" s="4">
        <f>IFERROR(__xludf.DUMMYFUNCTION("""COMPUTED_VALUE"""),0.8)</f>
        <v>0.8</v>
      </c>
      <c r="T1227" s="4">
        <f>IFERROR(__xludf.DUMMYFUNCTION("""COMPUTED_VALUE"""),0.148)</f>
        <v>0.148</v>
      </c>
      <c r="U1227" s="4">
        <f>IFERROR(__xludf.DUMMYFUNCTION("""COMPUTED_VALUE"""),0.5)</f>
        <v>0.5</v>
      </c>
      <c r="V1227" s="4">
        <f>IFERROR(__xludf.DUMMYFUNCTION("""COMPUTED_VALUE"""),0.2)</f>
        <v>0.2</v>
      </c>
    </row>
    <row r="1228">
      <c r="A1228" s="4">
        <f>IFERROR(__xludf.DUMMYFUNCTION("""COMPUTED_VALUE"""),35.0)</f>
        <v>35</v>
      </c>
      <c r="B1228" s="4">
        <f>IFERROR(__xludf.DUMMYFUNCTION("""COMPUTED_VALUE"""),35.0)</f>
        <v>35</v>
      </c>
      <c r="C1228" s="4" t="str">
        <f>IFERROR(__xludf.DUMMYFUNCTION("""COMPUTED_VALUE"""),"SEA")</f>
        <v>SEA</v>
      </c>
      <c r="D1228" s="4" t="str">
        <f>IFERROR(__xludf.DUMMYFUNCTION("""COMPUTED_VALUE"""),"Glen Davis")</f>
        <v>Glen Davis</v>
      </c>
      <c r="E1228" s="4" t="str">
        <f>IFERROR(__xludf.DUMMYFUNCTION("""COMPUTED_VALUE"""),"LSU")</f>
        <v>LSU</v>
      </c>
      <c r="F1228" s="4">
        <f>IFERROR(__xludf.DUMMYFUNCTION("""COMPUTED_VALUE"""),8.0)</f>
        <v>8</v>
      </c>
      <c r="G1228" s="4">
        <f>IFERROR(__xludf.DUMMYFUNCTION("""COMPUTED_VALUE"""),514.0)</f>
        <v>514</v>
      </c>
      <c r="H1228" s="4">
        <f>IFERROR(__xludf.DUMMYFUNCTION("""COMPUTED_VALUE"""),10865.0)</f>
        <v>10865</v>
      </c>
      <c r="I1228" s="4">
        <f>IFERROR(__xludf.DUMMYFUNCTION("""COMPUTED_VALUE"""),4111.0)</f>
        <v>4111</v>
      </c>
      <c r="J1228" s="4">
        <f>IFERROR(__xludf.DUMMYFUNCTION("""COMPUTED_VALUE"""),2236.0)</f>
        <v>2236</v>
      </c>
      <c r="K1228" s="4">
        <f>IFERROR(__xludf.DUMMYFUNCTION("""COMPUTED_VALUE"""),457.0)</f>
        <v>457</v>
      </c>
      <c r="L1228" s="4">
        <f>IFERROR(__xludf.DUMMYFUNCTION("""COMPUTED_VALUE"""),0.447)</f>
        <v>0.447</v>
      </c>
      <c r="M1228" s="4">
        <f>IFERROR(__xludf.DUMMYFUNCTION("""COMPUTED_VALUE"""),0.182)</f>
        <v>0.182</v>
      </c>
      <c r="N1228" s="4">
        <f>IFERROR(__xludf.DUMMYFUNCTION("""COMPUTED_VALUE"""),0.7)</f>
        <v>0.7</v>
      </c>
      <c r="O1228" s="4">
        <f>IFERROR(__xludf.DUMMYFUNCTION("""COMPUTED_VALUE"""),21.1)</f>
        <v>21.1</v>
      </c>
      <c r="P1228" s="4">
        <f>IFERROR(__xludf.DUMMYFUNCTION("""COMPUTED_VALUE"""),8.0)</f>
        <v>8</v>
      </c>
      <c r="Q1228" s="4">
        <f>IFERROR(__xludf.DUMMYFUNCTION("""COMPUTED_VALUE"""),4.4)</f>
        <v>4.4</v>
      </c>
      <c r="R1228" s="4">
        <f>IFERROR(__xludf.DUMMYFUNCTION("""COMPUTED_VALUE"""),0.9)</f>
        <v>0.9</v>
      </c>
      <c r="S1228" s="4">
        <f>IFERROR(__xludf.DUMMYFUNCTION("""COMPUTED_VALUE"""),18.6)</f>
        <v>18.6</v>
      </c>
      <c r="T1228" s="4">
        <f>IFERROR(__xludf.DUMMYFUNCTION("""COMPUTED_VALUE"""),0.082)</f>
        <v>0.082</v>
      </c>
      <c r="U1228" s="4">
        <f>IFERROR(__xludf.DUMMYFUNCTION("""COMPUTED_VALUE"""),-2.6)</f>
        <v>-2.6</v>
      </c>
      <c r="V1228" s="4">
        <f>IFERROR(__xludf.DUMMYFUNCTION("""COMPUTED_VALUE"""),-1.7)</f>
        <v>-1.7</v>
      </c>
    </row>
    <row r="1229">
      <c r="A1229" s="4">
        <f>IFERROR(__xludf.DUMMYFUNCTION("""COMPUTED_VALUE"""),36.0)</f>
        <v>36</v>
      </c>
      <c r="B1229" s="4">
        <f>IFERROR(__xludf.DUMMYFUNCTION("""COMPUTED_VALUE"""),36.0)</f>
        <v>36</v>
      </c>
      <c r="C1229" s="4" t="str">
        <f>IFERROR(__xludf.DUMMYFUNCTION("""COMPUTED_VALUE"""),"GSW")</f>
        <v>GSW</v>
      </c>
      <c r="D1229" s="4" t="str">
        <f>IFERROR(__xludf.DUMMYFUNCTION("""COMPUTED_VALUE"""),"Jermareo Davidson")</f>
        <v>Jermareo Davidson</v>
      </c>
      <c r="E1229" s="4" t="str">
        <f>IFERROR(__xludf.DUMMYFUNCTION("""COMPUTED_VALUE"""),"Alabama")</f>
        <v>Alabama</v>
      </c>
      <c r="F1229" s="4">
        <f>IFERROR(__xludf.DUMMYFUNCTION("""COMPUTED_VALUE"""),2.0)</f>
        <v>2</v>
      </c>
      <c r="G1229" s="4">
        <f>IFERROR(__xludf.DUMMYFUNCTION("""COMPUTED_VALUE"""),52.0)</f>
        <v>52</v>
      </c>
      <c r="H1229" s="4">
        <f>IFERROR(__xludf.DUMMYFUNCTION("""COMPUTED_VALUE"""),433.0)</f>
        <v>433</v>
      </c>
      <c r="I1229" s="4">
        <f>IFERROR(__xludf.DUMMYFUNCTION("""COMPUTED_VALUE"""),162.0)</f>
        <v>162</v>
      </c>
      <c r="J1229" s="4">
        <f>IFERROR(__xludf.DUMMYFUNCTION("""COMPUTED_VALUE"""),96.0)</f>
        <v>96</v>
      </c>
      <c r="K1229" s="4">
        <f>IFERROR(__xludf.DUMMYFUNCTION("""COMPUTED_VALUE"""),14.0)</f>
        <v>14</v>
      </c>
      <c r="L1229" s="4">
        <f>IFERROR(__xludf.DUMMYFUNCTION("""COMPUTED_VALUE"""),0.425)</f>
        <v>0.425</v>
      </c>
      <c r="M1229" s="4"/>
      <c r="N1229" s="4">
        <f>IFERROR(__xludf.DUMMYFUNCTION("""COMPUTED_VALUE"""),0.578)</f>
        <v>0.578</v>
      </c>
      <c r="O1229" s="4">
        <f>IFERROR(__xludf.DUMMYFUNCTION("""COMPUTED_VALUE"""),8.3)</f>
        <v>8.3</v>
      </c>
      <c r="P1229" s="4">
        <f>IFERROR(__xludf.DUMMYFUNCTION("""COMPUTED_VALUE"""),3.1)</f>
        <v>3.1</v>
      </c>
      <c r="Q1229" s="4">
        <f>IFERROR(__xludf.DUMMYFUNCTION("""COMPUTED_VALUE"""),1.8)</f>
        <v>1.8</v>
      </c>
      <c r="R1229" s="4">
        <f>IFERROR(__xludf.DUMMYFUNCTION("""COMPUTED_VALUE"""),0.3)</f>
        <v>0.3</v>
      </c>
      <c r="S1229" s="4">
        <f>IFERROR(__xludf.DUMMYFUNCTION("""COMPUTED_VALUE"""),0.0)</f>
        <v>0</v>
      </c>
      <c r="T1229" s="4">
        <f>IFERROR(__xludf.DUMMYFUNCTION("""COMPUTED_VALUE"""),0.0)</f>
        <v>0</v>
      </c>
      <c r="U1229" s="4">
        <f>IFERROR(__xludf.DUMMYFUNCTION("""COMPUTED_VALUE"""),-5.2)</f>
        <v>-5.2</v>
      </c>
      <c r="V1229" s="4">
        <f>IFERROR(__xludf.DUMMYFUNCTION("""COMPUTED_VALUE"""),-0.3)</f>
        <v>-0.3</v>
      </c>
    </row>
    <row r="1230">
      <c r="A1230" s="4">
        <f>IFERROR(__xludf.DUMMYFUNCTION("""COMPUTED_VALUE"""),37.0)</f>
        <v>37</v>
      </c>
      <c r="B1230" s="4">
        <f>IFERROR(__xludf.DUMMYFUNCTION("""COMPUTED_VALUE"""),37.0)</f>
        <v>37</v>
      </c>
      <c r="C1230" s="4" t="str">
        <f>IFERROR(__xludf.DUMMYFUNCTION("""COMPUTED_VALUE"""),"POR")</f>
        <v>POR</v>
      </c>
      <c r="D1230" s="4" t="str">
        <f>IFERROR(__xludf.DUMMYFUNCTION("""COMPUTED_VALUE"""),"Josh McRoberts")</f>
        <v>Josh McRoberts</v>
      </c>
      <c r="E1230" s="4" t="str">
        <f>IFERROR(__xludf.DUMMYFUNCTION("""COMPUTED_VALUE"""),"Duke")</f>
        <v>Duke</v>
      </c>
      <c r="F1230" s="4">
        <f>IFERROR(__xludf.DUMMYFUNCTION("""COMPUTED_VALUE"""),11.0)</f>
        <v>11</v>
      </c>
      <c r="G1230" s="4">
        <f>IFERROR(__xludf.DUMMYFUNCTION("""COMPUTED_VALUE"""),433.0)</f>
        <v>433</v>
      </c>
      <c r="H1230" s="4">
        <f>IFERROR(__xludf.DUMMYFUNCTION("""COMPUTED_VALUE"""),8271.0)</f>
        <v>8271</v>
      </c>
      <c r="I1230" s="4">
        <f>IFERROR(__xludf.DUMMYFUNCTION("""COMPUTED_VALUE"""),2333.0)</f>
        <v>2333</v>
      </c>
      <c r="J1230" s="4">
        <f>IFERROR(__xludf.DUMMYFUNCTION("""COMPUTED_VALUE"""),1686.0)</f>
        <v>1686</v>
      </c>
      <c r="K1230" s="4">
        <f>IFERROR(__xludf.DUMMYFUNCTION("""COMPUTED_VALUE"""),901.0)</f>
        <v>901</v>
      </c>
      <c r="L1230" s="4">
        <f>IFERROR(__xludf.DUMMYFUNCTION("""COMPUTED_VALUE"""),0.463)</f>
        <v>0.463</v>
      </c>
      <c r="M1230" s="4">
        <f>IFERROR(__xludf.DUMMYFUNCTION("""COMPUTED_VALUE"""),0.34)</f>
        <v>0.34</v>
      </c>
      <c r="N1230" s="4">
        <f>IFERROR(__xludf.DUMMYFUNCTION("""COMPUTED_VALUE"""),0.705)</f>
        <v>0.705</v>
      </c>
      <c r="O1230" s="4">
        <f>IFERROR(__xludf.DUMMYFUNCTION("""COMPUTED_VALUE"""),19.1)</f>
        <v>19.1</v>
      </c>
      <c r="P1230" s="4">
        <f>IFERROR(__xludf.DUMMYFUNCTION("""COMPUTED_VALUE"""),5.4)</f>
        <v>5.4</v>
      </c>
      <c r="Q1230" s="4">
        <f>IFERROR(__xludf.DUMMYFUNCTION("""COMPUTED_VALUE"""),3.9)</f>
        <v>3.9</v>
      </c>
      <c r="R1230" s="4">
        <f>IFERROR(__xludf.DUMMYFUNCTION("""COMPUTED_VALUE"""),2.1)</f>
        <v>2.1</v>
      </c>
      <c r="S1230" s="4">
        <f>IFERROR(__xludf.DUMMYFUNCTION("""COMPUTED_VALUE"""),18.5)</f>
        <v>18.5</v>
      </c>
      <c r="T1230" s="4">
        <f>IFERROR(__xludf.DUMMYFUNCTION("""COMPUTED_VALUE"""),0.107)</f>
        <v>0.107</v>
      </c>
      <c r="U1230" s="4">
        <f>IFERROR(__xludf.DUMMYFUNCTION("""COMPUTED_VALUE"""),0.3)</f>
        <v>0.3</v>
      </c>
      <c r="V1230" s="4">
        <f>IFERROR(__xludf.DUMMYFUNCTION("""COMPUTED_VALUE"""),4.7)</f>
        <v>4.7</v>
      </c>
    </row>
    <row r="1231">
      <c r="A1231" s="4">
        <f>IFERROR(__xludf.DUMMYFUNCTION("""COMPUTED_VALUE"""),38.0)</f>
        <v>38</v>
      </c>
      <c r="B1231" s="4">
        <f>IFERROR(__xludf.DUMMYFUNCTION("""COMPUTED_VALUE"""),38.0)</f>
        <v>38</v>
      </c>
      <c r="C1231" s="4" t="str">
        <f>IFERROR(__xludf.DUMMYFUNCTION("""COMPUTED_VALUE"""),"PHI")</f>
        <v>PHI</v>
      </c>
      <c r="D1231" s="4" t="str">
        <f>IFERROR(__xludf.DUMMYFUNCTION("""COMPUTED_VALUE"""),"Kyrylo Fesenko")</f>
        <v>Kyrylo Fesenko</v>
      </c>
      <c r="E1231" s="4"/>
      <c r="F1231" s="4">
        <f>IFERROR(__xludf.DUMMYFUNCTION("""COMPUTED_VALUE"""),5.0)</f>
        <v>5</v>
      </c>
      <c r="G1231" s="4">
        <f>IFERROR(__xludf.DUMMYFUNCTION("""COMPUTED_VALUE"""),135.0)</f>
        <v>135</v>
      </c>
      <c r="H1231" s="4">
        <f>IFERROR(__xludf.DUMMYFUNCTION("""COMPUTED_VALUE"""),1107.0)</f>
        <v>1107</v>
      </c>
      <c r="I1231" s="4">
        <f>IFERROR(__xludf.DUMMYFUNCTION("""COMPUTED_VALUE"""),305.0)</f>
        <v>305</v>
      </c>
      <c r="J1231" s="4">
        <f>IFERROR(__xludf.DUMMYFUNCTION("""COMPUTED_VALUE"""),269.0)</f>
        <v>269</v>
      </c>
      <c r="K1231" s="4">
        <f>IFERROR(__xludf.DUMMYFUNCTION("""COMPUTED_VALUE"""),40.0)</f>
        <v>40</v>
      </c>
      <c r="L1231" s="4">
        <f>IFERROR(__xludf.DUMMYFUNCTION("""COMPUTED_VALUE"""),0.496)</f>
        <v>0.496</v>
      </c>
      <c r="M1231" s="4">
        <f>IFERROR(__xludf.DUMMYFUNCTION("""COMPUTED_VALUE"""),0.0)</f>
        <v>0</v>
      </c>
      <c r="N1231" s="4">
        <f>IFERROR(__xludf.DUMMYFUNCTION("""COMPUTED_VALUE"""),0.41)</f>
        <v>0.41</v>
      </c>
      <c r="O1231" s="4">
        <f>IFERROR(__xludf.DUMMYFUNCTION("""COMPUTED_VALUE"""),8.2)</f>
        <v>8.2</v>
      </c>
      <c r="P1231" s="4">
        <f>IFERROR(__xludf.DUMMYFUNCTION("""COMPUTED_VALUE"""),2.3)</f>
        <v>2.3</v>
      </c>
      <c r="Q1231" s="4">
        <f>IFERROR(__xludf.DUMMYFUNCTION("""COMPUTED_VALUE"""),2.0)</f>
        <v>2</v>
      </c>
      <c r="R1231" s="4">
        <f>IFERROR(__xludf.DUMMYFUNCTION("""COMPUTED_VALUE"""),0.3)</f>
        <v>0.3</v>
      </c>
      <c r="S1231" s="4">
        <f>IFERROR(__xludf.DUMMYFUNCTION("""COMPUTED_VALUE"""),0.9)</f>
        <v>0.9</v>
      </c>
      <c r="T1231" s="4">
        <f>IFERROR(__xludf.DUMMYFUNCTION("""COMPUTED_VALUE"""),0.038)</f>
        <v>0.038</v>
      </c>
      <c r="U1231" s="4">
        <f>IFERROR(__xludf.DUMMYFUNCTION("""COMPUTED_VALUE"""),-5.7)</f>
        <v>-5.7</v>
      </c>
      <c r="V1231" s="4">
        <f>IFERROR(__xludf.DUMMYFUNCTION("""COMPUTED_VALUE"""),-1.1)</f>
        <v>-1.1</v>
      </c>
    </row>
    <row r="1232">
      <c r="A1232" s="4">
        <f>IFERROR(__xludf.DUMMYFUNCTION("""COMPUTED_VALUE"""),39.0)</f>
        <v>39</v>
      </c>
      <c r="B1232" s="4">
        <f>IFERROR(__xludf.DUMMYFUNCTION("""COMPUTED_VALUE"""),39.0)</f>
        <v>39</v>
      </c>
      <c r="C1232" s="4" t="str">
        <f>IFERROR(__xludf.DUMMYFUNCTION("""COMPUTED_VALUE"""),"MIA")</f>
        <v>MIA</v>
      </c>
      <c r="D1232" s="4" t="str">
        <f>IFERROR(__xludf.DUMMYFUNCTION("""COMPUTED_VALUE"""),"Stanko Barać")</f>
        <v>Stanko Barać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>
      <c r="A1233" s="4">
        <f>IFERROR(__xludf.DUMMYFUNCTION("""COMPUTED_VALUE"""),40.0)</f>
        <v>40</v>
      </c>
      <c r="B1233" s="4">
        <f>IFERROR(__xludf.DUMMYFUNCTION("""COMPUTED_VALUE"""),40.0)</f>
        <v>40</v>
      </c>
      <c r="C1233" s="4" t="str">
        <f>IFERROR(__xludf.DUMMYFUNCTION("""COMPUTED_VALUE"""),"LAL")</f>
        <v>LAL</v>
      </c>
      <c r="D1233" s="4" t="str">
        <f>IFERROR(__xludf.DUMMYFUNCTION("""COMPUTED_VALUE"""),"Sun Yue")</f>
        <v>Sun Yue</v>
      </c>
      <c r="E1233" s="4"/>
      <c r="F1233" s="4">
        <f>IFERROR(__xludf.DUMMYFUNCTION("""COMPUTED_VALUE"""),1.0)</f>
        <v>1</v>
      </c>
      <c r="G1233" s="4">
        <f>IFERROR(__xludf.DUMMYFUNCTION("""COMPUTED_VALUE"""),10.0)</f>
        <v>10</v>
      </c>
      <c r="H1233" s="4">
        <f>IFERROR(__xludf.DUMMYFUNCTION("""COMPUTED_VALUE"""),28.0)</f>
        <v>28</v>
      </c>
      <c r="I1233" s="4">
        <f>IFERROR(__xludf.DUMMYFUNCTION("""COMPUTED_VALUE"""),6.0)</f>
        <v>6</v>
      </c>
      <c r="J1233" s="4">
        <f>IFERROR(__xludf.DUMMYFUNCTION("""COMPUTED_VALUE"""),0.0)</f>
        <v>0</v>
      </c>
      <c r="K1233" s="4">
        <f>IFERROR(__xludf.DUMMYFUNCTION("""COMPUTED_VALUE"""),2.0)</f>
        <v>2</v>
      </c>
      <c r="L1233" s="4">
        <f>IFERROR(__xludf.DUMMYFUNCTION("""COMPUTED_VALUE"""),0.273)</f>
        <v>0.273</v>
      </c>
      <c r="M1233" s="4">
        <f>IFERROR(__xludf.DUMMYFUNCTION("""COMPUTED_VALUE"""),0.0)</f>
        <v>0</v>
      </c>
      <c r="N1233" s="4"/>
      <c r="O1233" s="4">
        <f>IFERROR(__xludf.DUMMYFUNCTION("""COMPUTED_VALUE"""),2.8)</f>
        <v>2.8</v>
      </c>
      <c r="P1233" s="4">
        <f>IFERROR(__xludf.DUMMYFUNCTION("""COMPUTED_VALUE"""),0.6)</f>
        <v>0.6</v>
      </c>
      <c r="Q1233" s="4">
        <f>IFERROR(__xludf.DUMMYFUNCTION("""COMPUTED_VALUE"""),0.0)</f>
        <v>0</v>
      </c>
      <c r="R1233" s="4">
        <f>IFERROR(__xludf.DUMMYFUNCTION("""COMPUTED_VALUE"""),0.2)</f>
        <v>0.2</v>
      </c>
      <c r="S1233" s="4">
        <f>IFERROR(__xludf.DUMMYFUNCTION("""COMPUTED_VALUE"""),-0.1)</f>
        <v>-0.1</v>
      </c>
      <c r="T1233" s="4">
        <f>IFERROR(__xludf.DUMMYFUNCTION("""COMPUTED_VALUE"""),-0.226)</f>
        <v>-0.226</v>
      </c>
      <c r="U1233" s="4">
        <f>IFERROR(__xludf.DUMMYFUNCTION("""COMPUTED_VALUE"""),-19.4)</f>
        <v>-19.4</v>
      </c>
      <c r="V1233" s="4">
        <f>IFERROR(__xludf.DUMMYFUNCTION("""COMPUTED_VALUE"""),-0.1)</f>
        <v>-0.1</v>
      </c>
    </row>
    <row r="1234">
      <c r="A1234" s="4">
        <f>IFERROR(__xludf.DUMMYFUNCTION("""COMPUTED_VALUE"""),41.0)</f>
        <v>41</v>
      </c>
      <c r="B1234" s="4">
        <f>IFERROR(__xludf.DUMMYFUNCTION("""COMPUTED_VALUE"""),41.0)</f>
        <v>41</v>
      </c>
      <c r="C1234" s="4" t="str">
        <f>IFERROR(__xludf.DUMMYFUNCTION("""COMPUTED_VALUE"""),"MIN")</f>
        <v>MIN</v>
      </c>
      <c r="D1234" s="4" t="str">
        <f>IFERROR(__xludf.DUMMYFUNCTION("""COMPUTED_VALUE"""),"Chris Richard")</f>
        <v>Chris Richard</v>
      </c>
      <c r="E1234" s="4" t="str">
        <f>IFERROR(__xludf.DUMMYFUNCTION("""COMPUTED_VALUE"""),"Florida")</f>
        <v>Florida</v>
      </c>
      <c r="F1234" s="4">
        <f>IFERROR(__xludf.DUMMYFUNCTION("""COMPUTED_VALUE"""),2.0)</f>
        <v>2</v>
      </c>
      <c r="G1234" s="4">
        <f>IFERROR(__xludf.DUMMYFUNCTION("""COMPUTED_VALUE"""),70.0)</f>
        <v>70</v>
      </c>
      <c r="H1234" s="4">
        <f>IFERROR(__xludf.DUMMYFUNCTION("""COMPUTED_VALUE"""),780.0)</f>
        <v>780</v>
      </c>
      <c r="I1234" s="4">
        <f>IFERROR(__xludf.DUMMYFUNCTION("""COMPUTED_VALUE"""),135.0)</f>
        <v>135</v>
      </c>
      <c r="J1234" s="4">
        <f>IFERROR(__xludf.DUMMYFUNCTION("""COMPUTED_VALUE"""),194.0)</f>
        <v>194</v>
      </c>
      <c r="K1234" s="4">
        <f>IFERROR(__xludf.DUMMYFUNCTION("""COMPUTED_VALUE"""),25.0)</f>
        <v>25</v>
      </c>
      <c r="L1234" s="4">
        <f>IFERROR(__xludf.DUMMYFUNCTION("""COMPUTED_VALUE"""),0.483)</f>
        <v>0.483</v>
      </c>
      <c r="M1234" s="4"/>
      <c r="N1234" s="4">
        <f>IFERROR(__xludf.DUMMYFUNCTION("""COMPUTED_VALUE"""),0.605)</f>
        <v>0.605</v>
      </c>
      <c r="O1234" s="4">
        <f>IFERROR(__xludf.DUMMYFUNCTION("""COMPUTED_VALUE"""),11.1)</f>
        <v>11.1</v>
      </c>
      <c r="P1234" s="4">
        <f>IFERROR(__xludf.DUMMYFUNCTION("""COMPUTED_VALUE"""),1.9)</f>
        <v>1.9</v>
      </c>
      <c r="Q1234" s="4">
        <f>IFERROR(__xludf.DUMMYFUNCTION("""COMPUTED_VALUE"""),2.8)</f>
        <v>2.8</v>
      </c>
      <c r="R1234" s="4">
        <f>IFERROR(__xludf.DUMMYFUNCTION("""COMPUTED_VALUE"""),0.4)</f>
        <v>0.4</v>
      </c>
      <c r="S1234" s="4">
        <f>IFERROR(__xludf.DUMMYFUNCTION("""COMPUTED_VALUE"""),0.7)</f>
        <v>0.7</v>
      </c>
      <c r="T1234" s="4">
        <f>IFERROR(__xludf.DUMMYFUNCTION("""COMPUTED_VALUE"""),0.045)</f>
        <v>0.045</v>
      </c>
      <c r="U1234" s="4">
        <f>IFERROR(__xludf.DUMMYFUNCTION("""COMPUTED_VALUE"""),-5.7)</f>
        <v>-5.7</v>
      </c>
      <c r="V1234" s="4">
        <f>IFERROR(__xludf.DUMMYFUNCTION("""COMPUTED_VALUE"""),-0.7)</f>
        <v>-0.7</v>
      </c>
    </row>
    <row r="1235">
      <c r="A1235" s="4">
        <f>IFERROR(__xludf.DUMMYFUNCTION("""COMPUTED_VALUE"""),42.0)</f>
        <v>42</v>
      </c>
      <c r="B1235" s="4">
        <f>IFERROR(__xludf.DUMMYFUNCTION("""COMPUTED_VALUE"""),42.0)</f>
        <v>42</v>
      </c>
      <c r="C1235" s="4" t="str">
        <f>IFERROR(__xludf.DUMMYFUNCTION("""COMPUTED_VALUE"""),"POR")</f>
        <v>POR</v>
      </c>
      <c r="D1235" s="4" t="str">
        <f>IFERROR(__xludf.DUMMYFUNCTION("""COMPUTED_VALUE"""),"Derrick Byars")</f>
        <v>Derrick Byars</v>
      </c>
      <c r="E1235" s="4" t="str">
        <f>IFERROR(__xludf.DUMMYFUNCTION("""COMPUTED_VALUE"""),"Vanderbilt")</f>
        <v>Vanderbilt</v>
      </c>
      <c r="F1235" s="4">
        <f>IFERROR(__xludf.DUMMYFUNCTION("""COMPUTED_VALUE"""),1.0)</f>
        <v>1</v>
      </c>
      <c r="G1235" s="4">
        <f>IFERROR(__xludf.DUMMYFUNCTION("""COMPUTED_VALUE"""),2.0)</f>
        <v>2</v>
      </c>
      <c r="H1235" s="4">
        <f>IFERROR(__xludf.DUMMYFUNCTION("""COMPUTED_VALUE"""),37.0)</f>
        <v>37</v>
      </c>
      <c r="I1235" s="4">
        <f>IFERROR(__xludf.DUMMYFUNCTION("""COMPUTED_VALUE"""),10.0)</f>
        <v>10</v>
      </c>
      <c r="J1235" s="4">
        <f>IFERROR(__xludf.DUMMYFUNCTION("""COMPUTED_VALUE"""),11.0)</f>
        <v>11</v>
      </c>
      <c r="K1235" s="4">
        <f>IFERROR(__xludf.DUMMYFUNCTION("""COMPUTED_VALUE"""),1.0)</f>
        <v>1</v>
      </c>
      <c r="L1235" s="4">
        <f>IFERROR(__xludf.DUMMYFUNCTION("""COMPUTED_VALUE"""),0.273)</f>
        <v>0.273</v>
      </c>
      <c r="M1235" s="4">
        <f>IFERROR(__xludf.DUMMYFUNCTION("""COMPUTED_VALUE"""),0.0)</f>
        <v>0</v>
      </c>
      <c r="N1235" s="4">
        <f>IFERROR(__xludf.DUMMYFUNCTION("""COMPUTED_VALUE"""),1.0)</f>
        <v>1</v>
      </c>
      <c r="O1235" s="4">
        <f>IFERROR(__xludf.DUMMYFUNCTION("""COMPUTED_VALUE"""),18.5)</f>
        <v>18.5</v>
      </c>
      <c r="P1235" s="4">
        <f>IFERROR(__xludf.DUMMYFUNCTION("""COMPUTED_VALUE"""),5.0)</f>
        <v>5</v>
      </c>
      <c r="Q1235" s="4">
        <f>IFERROR(__xludf.DUMMYFUNCTION("""COMPUTED_VALUE"""),5.5)</f>
        <v>5.5</v>
      </c>
      <c r="R1235" s="4">
        <f>IFERROR(__xludf.DUMMYFUNCTION("""COMPUTED_VALUE"""),0.5)</f>
        <v>0.5</v>
      </c>
      <c r="S1235" s="4">
        <f>IFERROR(__xludf.DUMMYFUNCTION("""COMPUTED_VALUE"""),0.1)</f>
        <v>0.1</v>
      </c>
      <c r="T1235" s="4">
        <f>IFERROR(__xludf.DUMMYFUNCTION("""COMPUTED_VALUE"""),0.147)</f>
        <v>0.147</v>
      </c>
      <c r="U1235" s="4">
        <f>IFERROR(__xludf.DUMMYFUNCTION("""COMPUTED_VALUE"""),-4.7)</f>
        <v>-4.7</v>
      </c>
      <c r="V1235" s="4">
        <f>IFERROR(__xludf.DUMMYFUNCTION("""COMPUTED_VALUE"""),0.0)</f>
        <v>0</v>
      </c>
    </row>
    <row r="1236">
      <c r="A1236" s="4">
        <f>IFERROR(__xludf.DUMMYFUNCTION("""COMPUTED_VALUE"""),43.0)</f>
        <v>43</v>
      </c>
      <c r="B1236" s="4">
        <f>IFERROR(__xludf.DUMMYFUNCTION("""COMPUTED_VALUE"""),43.0)</f>
        <v>43</v>
      </c>
      <c r="C1236" s="4" t="str">
        <f>IFERROR(__xludf.DUMMYFUNCTION("""COMPUTED_VALUE"""),"NOK")</f>
        <v>NOK</v>
      </c>
      <c r="D1236" s="4" t="str">
        <f>IFERROR(__xludf.DUMMYFUNCTION("""COMPUTED_VALUE"""),"Adam Haluska")</f>
        <v>Adam Haluska</v>
      </c>
      <c r="E1236" s="4" t="str">
        <f>IFERROR(__xludf.DUMMYFUNCTION("""COMPUTED_VALUE"""),"Iowa")</f>
        <v>Iowa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>
      <c r="A1237" s="4">
        <f>IFERROR(__xludf.DUMMYFUNCTION("""COMPUTED_VALUE"""),44.0)</f>
        <v>44</v>
      </c>
      <c r="B1237" s="4">
        <f>IFERROR(__xludf.DUMMYFUNCTION("""COMPUTED_VALUE"""),44.0)</f>
        <v>44</v>
      </c>
      <c r="C1237" s="4" t="str">
        <f>IFERROR(__xludf.DUMMYFUNCTION("""COMPUTED_VALUE"""),"ORL")</f>
        <v>ORL</v>
      </c>
      <c r="D1237" s="4" t="str">
        <f>IFERROR(__xludf.DUMMYFUNCTION("""COMPUTED_VALUE"""),"Reyshawn Terry")</f>
        <v>Reyshawn Terry</v>
      </c>
      <c r="E1237" s="4" t="str">
        <f>IFERROR(__xludf.DUMMYFUNCTION("""COMPUTED_VALUE"""),"UNC")</f>
        <v>UNC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>
      <c r="A1238" s="4">
        <f>IFERROR(__xludf.DUMMYFUNCTION("""COMPUTED_VALUE"""),45.0)</f>
        <v>45</v>
      </c>
      <c r="B1238" s="4">
        <f>IFERROR(__xludf.DUMMYFUNCTION("""COMPUTED_VALUE"""),45.0)</f>
        <v>45</v>
      </c>
      <c r="C1238" s="4" t="str">
        <f>IFERROR(__xludf.DUMMYFUNCTION("""COMPUTED_VALUE"""),"LAC")</f>
        <v>LAC</v>
      </c>
      <c r="D1238" s="4" t="str">
        <f>IFERROR(__xludf.DUMMYFUNCTION("""COMPUTED_VALUE"""),"Jared Jordan")</f>
        <v>Jared Jordan</v>
      </c>
      <c r="E1238" s="4" t="str">
        <f>IFERROR(__xludf.DUMMYFUNCTION("""COMPUTED_VALUE"""),"Marist College")</f>
        <v>Marist College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>
      <c r="A1239" s="4">
        <f>IFERROR(__xludf.DUMMYFUNCTION("""COMPUTED_VALUE"""),46.0)</f>
        <v>46</v>
      </c>
      <c r="B1239" s="4">
        <f>IFERROR(__xludf.DUMMYFUNCTION("""COMPUTED_VALUE"""),46.0)</f>
        <v>46</v>
      </c>
      <c r="C1239" s="4" t="str">
        <f>IFERROR(__xludf.DUMMYFUNCTION("""COMPUTED_VALUE"""),"GSW")</f>
        <v>GSW</v>
      </c>
      <c r="D1239" s="4" t="str">
        <f>IFERROR(__xludf.DUMMYFUNCTION("""COMPUTED_VALUE"""),"Stéphane Lasme")</f>
        <v>Stéphane Lasme</v>
      </c>
      <c r="E1239" s="4" t="str">
        <f>IFERROR(__xludf.DUMMYFUNCTION("""COMPUTED_VALUE"""),"UMass")</f>
        <v>UMass</v>
      </c>
      <c r="F1239" s="4">
        <f>IFERROR(__xludf.DUMMYFUNCTION("""COMPUTED_VALUE"""),1.0)</f>
        <v>1</v>
      </c>
      <c r="G1239" s="4">
        <f>IFERROR(__xludf.DUMMYFUNCTION("""COMPUTED_VALUE"""),16.0)</f>
        <v>16</v>
      </c>
      <c r="H1239" s="4">
        <f>IFERROR(__xludf.DUMMYFUNCTION("""COMPUTED_VALUE"""),303.0)</f>
        <v>303</v>
      </c>
      <c r="I1239" s="4">
        <f>IFERROR(__xludf.DUMMYFUNCTION("""COMPUTED_VALUE"""),83.0)</f>
        <v>83</v>
      </c>
      <c r="J1239" s="4">
        <f>IFERROR(__xludf.DUMMYFUNCTION("""COMPUTED_VALUE"""),53.0)</f>
        <v>53</v>
      </c>
      <c r="K1239" s="4">
        <f>IFERROR(__xludf.DUMMYFUNCTION("""COMPUTED_VALUE"""),3.0)</f>
        <v>3</v>
      </c>
      <c r="L1239" s="4">
        <f>IFERROR(__xludf.DUMMYFUNCTION("""COMPUTED_VALUE"""),0.451)</f>
        <v>0.451</v>
      </c>
      <c r="M1239" s="4"/>
      <c r="N1239" s="4">
        <f>IFERROR(__xludf.DUMMYFUNCTION("""COMPUTED_VALUE"""),0.594)</f>
        <v>0.594</v>
      </c>
      <c r="O1239" s="4">
        <f>IFERROR(__xludf.DUMMYFUNCTION("""COMPUTED_VALUE"""),18.9)</f>
        <v>18.9</v>
      </c>
      <c r="P1239" s="4">
        <f>IFERROR(__xludf.DUMMYFUNCTION("""COMPUTED_VALUE"""),5.2)</f>
        <v>5.2</v>
      </c>
      <c r="Q1239" s="4">
        <f>IFERROR(__xludf.DUMMYFUNCTION("""COMPUTED_VALUE"""),3.3)</f>
        <v>3.3</v>
      </c>
      <c r="R1239" s="4">
        <f>IFERROR(__xludf.DUMMYFUNCTION("""COMPUTED_VALUE"""),0.2)</f>
        <v>0.2</v>
      </c>
      <c r="S1239" s="4">
        <f>IFERROR(__xludf.DUMMYFUNCTION("""COMPUTED_VALUE"""),0.3)</f>
        <v>0.3</v>
      </c>
      <c r="T1239" s="4">
        <f>IFERROR(__xludf.DUMMYFUNCTION("""COMPUTED_VALUE"""),0.041)</f>
        <v>0.041</v>
      </c>
      <c r="U1239" s="4">
        <f>IFERROR(__xludf.DUMMYFUNCTION("""COMPUTED_VALUE"""),-4.4)</f>
        <v>-4.4</v>
      </c>
      <c r="V1239" s="4">
        <f>IFERROR(__xludf.DUMMYFUNCTION("""COMPUTED_VALUE"""),-0.2)</f>
        <v>-0.2</v>
      </c>
    </row>
    <row r="1240">
      <c r="A1240" s="4">
        <f>IFERROR(__xludf.DUMMYFUNCTION("""COMPUTED_VALUE"""),47.0)</f>
        <v>47</v>
      </c>
      <c r="B1240" s="4">
        <f>IFERROR(__xludf.DUMMYFUNCTION("""COMPUTED_VALUE"""),47.0)</f>
        <v>47</v>
      </c>
      <c r="C1240" s="4" t="str">
        <f>IFERROR(__xludf.DUMMYFUNCTION("""COMPUTED_VALUE"""),"WAS")</f>
        <v>WAS</v>
      </c>
      <c r="D1240" s="4" t="str">
        <f>IFERROR(__xludf.DUMMYFUNCTION("""COMPUTED_VALUE"""),"Dominic McGuire")</f>
        <v>Dominic McGuire</v>
      </c>
      <c r="E1240" s="4" t="str">
        <f>IFERROR(__xludf.DUMMYFUNCTION("""COMPUTED_VALUE"""),"Fresno State")</f>
        <v>Fresno State</v>
      </c>
      <c r="F1240" s="4">
        <f>IFERROR(__xludf.DUMMYFUNCTION("""COMPUTED_VALUE"""),6.0)</f>
        <v>6</v>
      </c>
      <c r="G1240" s="4">
        <f>IFERROR(__xludf.DUMMYFUNCTION("""COMPUTED_VALUE"""),342.0)</f>
        <v>342</v>
      </c>
      <c r="H1240" s="4">
        <f>IFERROR(__xludf.DUMMYFUNCTION("""COMPUTED_VALUE"""),5348.0)</f>
        <v>5348</v>
      </c>
      <c r="I1240" s="4">
        <f>IFERROR(__xludf.DUMMYFUNCTION("""COMPUTED_VALUE"""),939.0)</f>
        <v>939</v>
      </c>
      <c r="J1240" s="4">
        <f>IFERROR(__xludf.DUMMYFUNCTION("""COMPUTED_VALUE"""),1169.0)</f>
        <v>1169</v>
      </c>
      <c r="K1240" s="4">
        <f>IFERROR(__xludf.DUMMYFUNCTION("""COMPUTED_VALUE"""),422.0)</f>
        <v>422</v>
      </c>
      <c r="L1240" s="4">
        <f>IFERROR(__xludf.DUMMYFUNCTION("""COMPUTED_VALUE"""),0.419)</f>
        <v>0.419</v>
      </c>
      <c r="M1240" s="4">
        <f>IFERROR(__xludf.DUMMYFUNCTION("""COMPUTED_VALUE"""),0.188)</f>
        <v>0.188</v>
      </c>
      <c r="N1240" s="4">
        <f>IFERROR(__xludf.DUMMYFUNCTION("""COMPUTED_VALUE"""),0.658)</f>
        <v>0.658</v>
      </c>
      <c r="O1240" s="4">
        <f>IFERROR(__xludf.DUMMYFUNCTION("""COMPUTED_VALUE"""),15.6)</f>
        <v>15.6</v>
      </c>
      <c r="P1240" s="4">
        <f>IFERROR(__xludf.DUMMYFUNCTION("""COMPUTED_VALUE"""),2.7)</f>
        <v>2.7</v>
      </c>
      <c r="Q1240" s="4">
        <f>IFERROR(__xludf.DUMMYFUNCTION("""COMPUTED_VALUE"""),3.4)</f>
        <v>3.4</v>
      </c>
      <c r="R1240" s="4">
        <f>IFERROR(__xludf.DUMMYFUNCTION("""COMPUTED_VALUE"""),1.2)</f>
        <v>1.2</v>
      </c>
      <c r="S1240" s="4">
        <f>IFERROR(__xludf.DUMMYFUNCTION("""COMPUTED_VALUE"""),4.1)</f>
        <v>4.1</v>
      </c>
      <c r="T1240" s="4">
        <f>IFERROR(__xludf.DUMMYFUNCTION("""COMPUTED_VALUE"""),0.037)</f>
        <v>0.037</v>
      </c>
      <c r="U1240" s="4">
        <f>IFERROR(__xludf.DUMMYFUNCTION("""COMPUTED_VALUE"""),-2.1)</f>
        <v>-2.1</v>
      </c>
      <c r="V1240" s="4">
        <f>IFERROR(__xludf.DUMMYFUNCTION("""COMPUTED_VALUE"""),-0.1)</f>
        <v>-0.1</v>
      </c>
    </row>
    <row r="1241">
      <c r="A1241" s="4">
        <f>IFERROR(__xludf.DUMMYFUNCTION("""COMPUTED_VALUE"""),48.0)</f>
        <v>48</v>
      </c>
      <c r="B1241" s="4">
        <f>IFERROR(__xludf.DUMMYFUNCTION("""COMPUTED_VALUE"""),48.0)</f>
        <v>48</v>
      </c>
      <c r="C1241" s="4" t="str">
        <f>IFERROR(__xludf.DUMMYFUNCTION("""COMPUTED_VALUE"""),"LAL")</f>
        <v>LAL</v>
      </c>
      <c r="D1241" s="4" t="str">
        <f>IFERROR(__xludf.DUMMYFUNCTION("""COMPUTED_VALUE"""),"Marc Gasol")</f>
        <v>Marc Gasol</v>
      </c>
      <c r="E1241" s="4"/>
      <c r="F1241" s="4">
        <f>IFERROR(__xludf.DUMMYFUNCTION("""COMPUTED_VALUE"""),13.0)</f>
        <v>13</v>
      </c>
      <c r="G1241" s="4">
        <f>IFERROR(__xludf.DUMMYFUNCTION("""COMPUTED_VALUE"""),891.0)</f>
        <v>891</v>
      </c>
      <c r="H1241" s="4">
        <f>IFERROR(__xludf.DUMMYFUNCTION("""COMPUTED_VALUE"""),28719.0)</f>
        <v>28719</v>
      </c>
      <c r="I1241" s="4">
        <f>IFERROR(__xludf.DUMMYFUNCTION("""COMPUTED_VALUE"""),12514.0)</f>
        <v>12514</v>
      </c>
      <c r="J1241" s="4">
        <f>IFERROR(__xludf.DUMMYFUNCTION("""COMPUTED_VALUE"""),6604.0)</f>
        <v>6604</v>
      </c>
      <c r="K1241" s="4">
        <f>IFERROR(__xludf.DUMMYFUNCTION("""COMPUTED_VALUE"""),2996.0)</f>
        <v>2996</v>
      </c>
      <c r="L1241" s="4">
        <f>IFERROR(__xludf.DUMMYFUNCTION("""COMPUTED_VALUE"""),0.481)</f>
        <v>0.481</v>
      </c>
      <c r="M1241" s="4">
        <f>IFERROR(__xludf.DUMMYFUNCTION("""COMPUTED_VALUE"""),0.36)</f>
        <v>0.36</v>
      </c>
      <c r="N1241" s="4">
        <f>IFERROR(__xludf.DUMMYFUNCTION("""COMPUTED_VALUE"""),0.776)</f>
        <v>0.776</v>
      </c>
      <c r="O1241" s="4">
        <f>IFERROR(__xludf.DUMMYFUNCTION("""COMPUTED_VALUE"""),32.2)</f>
        <v>32.2</v>
      </c>
      <c r="P1241" s="4">
        <f>IFERROR(__xludf.DUMMYFUNCTION("""COMPUTED_VALUE"""),14.0)</f>
        <v>14</v>
      </c>
      <c r="Q1241" s="4">
        <f>IFERROR(__xludf.DUMMYFUNCTION("""COMPUTED_VALUE"""),7.4)</f>
        <v>7.4</v>
      </c>
      <c r="R1241" s="4">
        <f>IFERROR(__xludf.DUMMYFUNCTION("""COMPUTED_VALUE"""),3.4)</f>
        <v>3.4</v>
      </c>
      <c r="S1241" s="4">
        <f>IFERROR(__xludf.DUMMYFUNCTION("""COMPUTED_VALUE"""),85.3)</f>
        <v>85.3</v>
      </c>
      <c r="T1241" s="4">
        <f>IFERROR(__xludf.DUMMYFUNCTION("""COMPUTED_VALUE"""),0.143)</f>
        <v>0.143</v>
      </c>
      <c r="U1241" s="4">
        <f>IFERROR(__xludf.DUMMYFUNCTION("""COMPUTED_VALUE"""),3.1)</f>
        <v>3.1</v>
      </c>
      <c r="V1241" s="4">
        <f>IFERROR(__xludf.DUMMYFUNCTION("""COMPUTED_VALUE"""),36.5)</f>
        <v>36.5</v>
      </c>
    </row>
    <row r="1242">
      <c r="A1242" s="4">
        <f>IFERROR(__xludf.DUMMYFUNCTION("""COMPUTED_VALUE"""),49.0)</f>
        <v>49</v>
      </c>
      <c r="B1242" s="4">
        <f>IFERROR(__xludf.DUMMYFUNCTION("""COMPUTED_VALUE"""),49.0)</f>
        <v>49</v>
      </c>
      <c r="C1242" s="4" t="str">
        <f>IFERROR(__xludf.DUMMYFUNCTION("""COMPUTED_VALUE"""),"CHI")</f>
        <v>CHI</v>
      </c>
      <c r="D1242" s="4" t="str">
        <f>IFERROR(__xludf.DUMMYFUNCTION("""COMPUTED_VALUE"""),"Aaron Gray")</f>
        <v>Aaron Gray</v>
      </c>
      <c r="E1242" s="4" t="str">
        <f>IFERROR(__xludf.DUMMYFUNCTION("""COMPUTED_VALUE"""),"Pitt")</f>
        <v>Pitt</v>
      </c>
      <c r="F1242" s="4">
        <f>IFERROR(__xludf.DUMMYFUNCTION("""COMPUTED_VALUE"""),7.0)</f>
        <v>7</v>
      </c>
      <c r="G1242" s="4">
        <f>IFERROR(__xludf.DUMMYFUNCTION("""COMPUTED_VALUE"""),318.0)</f>
        <v>318</v>
      </c>
      <c r="H1242" s="4">
        <f>IFERROR(__xludf.DUMMYFUNCTION("""COMPUTED_VALUE"""),3851.0)</f>
        <v>3851</v>
      </c>
      <c r="I1242" s="4">
        <f>IFERROR(__xludf.DUMMYFUNCTION("""COMPUTED_VALUE"""),1066.0)</f>
        <v>1066</v>
      </c>
      <c r="J1242" s="4">
        <f>IFERROR(__xludf.DUMMYFUNCTION("""COMPUTED_VALUE"""),1190.0)</f>
        <v>1190</v>
      </c>
      <c r="K1242" s="4">
        <f>IFERROR(__xludf.DUMMYFUNCTION("""COMPUTED_VALUE"""),207.0)</f>
        <v>207</v>
      </c>
      <c r="L1242" s="4">
        <f>IFERROR(__xludf.DUMMYFUNCTION("""COMPUTED_VALUE"""),0.509)</f>
        <v>0.509</v>
      </c>
      <c r="M1242" s="4">
        <f>IFERROR(__xludf.DUMMYFUNCTION("""COMPUTED_VALUE"""),0.0)</f>
        <v>0</v>
      </c>
      <c r="N1242" s="4">
        <f>IFERROR(__xludf.DUMMYFUNCTION("""COMPUTED_VALUE"""),0.562)</f>
        <v>0.562</v>
      </c>
      <c r="O1242" s="4">
        <f>IFERROR(__xludf.DUMMYFUNCTION("""COMPUTED_VALUE"""),12.1)</f>
        <v>12.1</v>
      </c>
      <c r="P1242" s="4">
        <f>IFERROR(__xludf.DUMMYFUNCTION("""COMPUTED_VALUE"""),3.4)</f>
        <v>3.4</v>
      </c>
      <c r="Q1242" s="4">
        <f>IFERROR(__xludf.DUMMYFUNCTION("""COMPUTED_VALUE"""),3.7)</f>
        <v>3.7</v>
      </c>
      <c r="R1242" s="4">
        <f>IFERROR(__xludf.DUMMYFUNCTION("""COMPUTED_VALUE"""),0.7)</f>
        <v>0.7</v>
      </c>
      <c r="S1242" s="4">
        <f>IFERROR(__xludf.DUMMYFUNCTION("""COMPUTED_VALUE"""),6.2)</f>
        <v>6.2</v>
      </c>
      <c r="T1242" s="4">
        <f>IFERROR(__xludf.DUMMYFUNCTION("""COMPUTED_VALUE"""),0.077)</f>
        <v>0.077</v>
      </c>
      <c r="U1242" s="4">
        <f>IFERROR(__xludf.DUMMYFUNCTION("""COMPUTED_VALUE"""),-3.6)</f>
        <v>-3.6</v>
      </c>
      <c r="V1242" s="4">
        <f>IFERROR(__xludf.DUMMYFUNCTION("""COMPUTED_VALUE"""),-1.5)</f>
        <v>-1.5</v>
      </c>
    </row>
    <row r="1243">
      <c r="A1243" s="4">
        <f>IFERROR(__xludf.DUMMYFUNCTION("""COMPUTED_VALUE"""),50.0)</f>
        <v>50</v>
      </c>
      <c r="B1243" s="4">
        <f>IFERROR(__xludf.DUMMYFUNCTION("""COMPUTED_VALUE"""),50.0)</f>
        <v>50</v>
      </c>
      <c r="C1243" s="4" t="str">
        <f>IFERROR(__xludf.DUMMYFUNCTION("""COMPUTED_VALUE"""),"DAL")</f>
        <v>DAL</v>
      </c>
      <c r="D1243" s="4" t="str">
        <f>IFERROR(__xludf.DUMMYFUNCTION("""COMPUTED_VALUE"""),"Renaldas Seibutis")</f>
        <v>Renaldas Seibutis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>
      <c r="A1244" s="4">
        <f>IFERROR(__xludf.DUMMYFUNCTION("""COMPUTED_VALUE"""),51.0)</f>
        <v>51</v>
      </c>
      <c r="B1244" s="4">
        <f>IFERROR(__xludf.DUMMYFUNCTION("""COMPUTED_VALUE"""),51.0)</f>
        <v>51</v>
      </c>
      <c r="C1244" s="4" t="str">
        <f>IFERROR(__xludf.DUMMYFUNCTION("""COMPUTED_VALUE"""),"CHI")</f>
        <v>CHI</v>
      </c>
      <c r="D1244" s="4" t="str">
        <f>IFERROR(__xludf.DUMMYFUNCTION("""COMPUTED_VALUE"""),"JamesOn Curry")</f>
        <v>JamesOn Curry</v>
      </c>
      <c r="E1244" s="4" t="str">
        <f>IFERROR(__xludf.DUMMYFUNCTION("""COMPUTED_VALUE"""),"Oklahoma State")</f>
        <v>Oklahoma State</v>
      </c>
      <c r="F1244" s="4">
        <f>IFERROR(__xludf.DUMMYFUNCTION("""COMPUTED_VALUE"""),1.0)</f>
        <v>1</v>
      </c>
      <c r="G1244" s="4">
        <f>IFERROR(__xludf.DUMMYFUNCTION("""COMPUTED_VALUE"""),1.0)</f>
        <v>1</v>
      </c>
      <c r="H1244" s="4">
        <f>IFERROR(__xludf.DUMMYFUNCTION("""COMPUTED_VALUE"""),0.0)</f>
        <v>0</v>
      </c>
      <c r="I1244" s="4">
        <f>IFERROR(__xludf.DUMMYFUNCTION("""COMPUTED_VALUE"""),0.0)</f>
        <v>0</v>
      </c>
      <c r="J1244" s="4">
        <f>IFERROR(__xludf.DUMMYFUNCTION("""COMPUTED_VALUE"""),0.0)</f>
        <v>0</v>
      </c>
      <c r="K1244" s="4">
        <f>IFERROR(__xludf.DUMMYFUNCTION("""COMPUTED_VALUE"""),0.0)</f>
        <v>0</v>
      </c>
      <c r="L1244" s="4"/>
      <c r="M1244" s="4"/>
      <c r="N1244" s="4"/>
      <c r="O1244" s="4">
        <f>IFERROR(__xludf.DUMMYFUNCTION("""COMPUTED_VALUE"""),0.0)</f>
        <v>0</v>
      </c>
      <c r="P1244" s="4">
        <f>IFERROR(__xludf.DUMMYFUNCTION("""COMPUTED_VALUE"""),0.0)</f>
        <v>0</v>
      </c>
      <c r="Q1244" s="4">
        <f>IFERROR(__xludf.DUMMYFUNCTION("""COMPUTED_VALUE"""),0.0)</f>
        <v>0</v>
      </c>
      <c r="R1244" s="4">
        <f>IFERROR(__xludf.DUMMYFUNCTION("""COMPUTED_VALUE"""),0.0)</f>
        <v>0</v>
      </c>
      <c r="S1244" s="4">
        <f>IFERROR(__xludf.DUMMYFUNCTION("""COMPUTED_VALUE"""),0.0)</f>
        <v>0</v>
      </c>
      <c r="T1244" s="4"/>
      <c r="U1244" s="4"/>
      <c r="V1244" s="4">
        <f>IFERROR(__xludf.DUMMYFUNCTION("""COMPUTED_VALUE"""),0.0)</f>
        <v>0</v>
      </c>
    </row>
    <row r="1245">
      <c r="A1245" s="4">
        <f>IFERROR(__xludf.DUMMYFUNCTION("""COMPUTED_VALUE"""),52.0)</f>
        <v>52</v>
      </c>
      <c r="B1245" s="4">
        <f>IFERROR(__xludf.DUMMYFUNCTION("""COMPUTED_VALUE"""),52.0)</f>
        <v>52</v>
      </c>
      <c r="C1245" s="4" t="str">
        <f>IFERROR(__xludf.DUMMYFUNCTION("""COMPUTED_VALUE"""),"POR")</f>
        <v>POR</v>
      </c>
      <c r="D1245" s="4" t="str">
        <f>IFERROR(__xludf.DUMMYFUNCTION("""COMPUTED_VALUE"""),"Taurean Green")</f>
        <v>Taurean Green</v>
      </c>
      <c r="E1245" s="4" t="str">
        <f>IFERROR(__xludf.DUMMYFUNCTION("""COMPUTED_VALUE"""),"Florida")</f>
        <v>Florida</v>
      </c>
      <c r="F1245" s="4">
        <f>IFERROR(__xludf.DUMMYFUNCTION("""COMPUTED_VALUE"""),1.0)</f>
        <v>1</v>
      </c>
      <c r="G1245" s="4">
        <f>IFERROR(__xludf.DUMMYFUNCTION("""COMPUTED_VALUE"""),17.0)</f>
        <v>17</v>
      </c>
      <c r="H1245" s="4">
        <f>IFERROR(__xludf.DUMMYFUNCTION("""COMPUTED_VALUE"""),74.0)</f>
        <v>74</v>
      </c>
      <c r="I1245" s="4">
        <f>IFERROR(__xludf.DUMMYFUNCTION("""COMPUTED_VALUE"""),27.0)</f>
        <v>27</v>
      </c>
      <c r="J1245" s="4">
        <f>IFERROR(__xludf.DUMMYFUNCTION("""COMPUTED_VALUE"""),10.0)</f>
        <v>10</v>
      </c>
      <c r="K1245" s="4">
        <f>IFERROR(__xludf.DUMMYFUNCTION("""COMPUTED_VALUE"""),11.0)</f>
        <v>11</v>
      </c>
      <c r="L1245" s="4">
        <f>IFERROR(__xludf.DUMMYFUNCTION("""COMPUTED_VALUE"""),0.28)</f>
        <v>0.28</v>
      </c>
      <c r="M1245" s="4">
        <f>IFERROR(__xludf.DUMMYFUNCTION("""COMPUTED_VALUE"""),0.182)</f>
        <v>0.182</v>
      </c>
      <c r="N1245" s="4">
        <f>IFERROR(__xludf.DUMMYFUNCTION("""COMPUTED_VALUE"""),0.917)</f>
        <v>0.917</v>
      </c>
      <c r="O1245" s="4">
        <f>IFERROR(__xludf.DUMMYFUNCTION("""COMPUTED_VALUE"""),4.4)</f>
        <v>4.4</v>
      </c>
      <c r="P1245" s="4">
        <f>IFERROR(__xludf.DUMMYFUNCTION("""COMPUTED_VALUE"""),1.6)</f>
        <v>1.6</v>
      </c>
      <c r="Q1245" s="4">
        <f>IFERROR(__xludf.DUMMYFUNCTION("""COMPUTED_VALUE"""),0.6)</f>
        <v>0.6</v>
      </c>
      <c r="R1245" s="4">
        <f>IFERROR(__xludf.DUMMYFUNCTION("""COMPUTED_VALUE"""),0.6)</f>
        <v>0.6</v>
      </c>
      <c r="S1245" s="4">
        <f>IFERROR(__xludf.DUMMYFUNCTION("""COMPUTED_VALUE"""),-0.1)</f>
        <v>-0.1</v>
      </c>
      <c r="T1245" s="4">
        <f>IFERROR(__xludf.DUMMYFUNCTION("""COMPUTED_VALUE"""),-0.066)</f>
        <v>-0.066</v>
      </c>
      <c r="U1245" s="4">
        <f>IFERROR(__xludf.DUMMYFUNCTION("""COMPUTED_VALUE"""),-7.5)</f>
        <v>-7.5</v>
      </c>
      <c r="V1245" s="4">
        <f>IFERROR(__xludf.DUMMYFUNCTION("""COMPUTED_VALUE"""),-0.1)</f>
        <v>-0.1</v>
      </c>
    </row>
    <row r="1246">
      <c r="A1246" s="4">
        <f>IFERROR(__xludf.DUMMYFUNCTION("""COMPUTED_VALUE"""),53.0)</f>
        <v>53</v>
      </c>
      <c r="B1246" s="4">
        <f>IFERROR(__xludf.DUMMYFUNCTION("""COMPUTED_VALUE"""),53.0)</f>
        <v>53</v>
      </c>
      <c r="C1246" s="4" t="str">
        <f>IFERROR(__xludf.DUMMYFUNCTION("""COMPUTED_VALUE"""),"POR")</f>
        <v>POR</v>
      </c>
      <c r="D1246" s="4" t="str">
        <f>IFERROR(__xludf.DUMMYFUNCTION("""COMPUTED_VALUE"""),"Demetris Nichols")</f>
        <v>Demetris Nichols</v>
      </c>
      <c r="E1246" s="4" t="str">
        <f>IFERROR(__xludf.DUMMYFUNCTION("""COMPUTED_VALUE"""),"Syracuse")</f>
        <v>Syracuse</v>
      </c>
      <c r="F1246" s="4">
        <f>IFERROR(__xludf.DUMMYFUNCTION("""COMPUTED_VALUE"""),2.0)</f>
        <v>2</v>
      </c>
      <c r="G1246" s="4">
        <f>IFERROR(__xludf.DUMMYFUNCTION("""COMPUTED_VALUE"""),18.0)</f>
        <v>18</v>
      </c>
      <c r="H1246" s="4">
        <f>IFERROR(__xludf.DUMMYFUNCTION("""COMPUTED_VALUE"""),58.0)</f>
        <v>58</v>
      </c>
      <c r="I1246" s="4">
        <f>IFERROR(__xludf.DUMMYFUNCTION("""COMPUTED_VALUE"""),22.0)</f>
        <v>22</v>
      </c>
      <c r="J1246" s="4">
        <f>IFERROR(__xludf.DUMMYFUNCTION("""COMPUTED_VALUE"""),7.0)</f>
        <v>7</v>
      </c>
      <c r="K1246" s="4">
        <f>IFERROR(__xludf.DUMMYFUNCTION("""COMPUTED_VALUE"""),2.0)</f>
        <v>2</v>
      </c>
      <c r="L1246" s="4">
        <f>IFERROR(__xludf.DUMMYFUNCTION("""COMPUTED_VALUE"""),0.281)</f>
        <v>0.281</v>
      </c>
      <c r="M1246" s="4">
        <f>IFERROR(__xludf.DUMMYFUNCTION("""COMPUTED_VALUE"""),0.2)</f>
        <v>0.2</v>
      </c>
      <c r="N1246" s="4">
        <f>IFERROR(__xludf.DUMMYFUNCTION("""COMPUTED_VALUE"""),0.5)</f>
        <v>0.5</v>
      </c>
      <c r="O1246" s="4">
        <f>IFERROR(__xludf.DUMMYFUNCTION("""COMPUTED_VALUE"""),3.2)</f>
        <v>3.2</v>
      </c>
      <c r="P1246" s="4">
        <f>IFERROR(__xludf.DUMMYFUNCTION("""COMPUTED_VALUE"""),1.2)</f>
        <v>1.2</v>
      </c>
      <c r="Q1246" s="4">
        <f>IFERROR(__xludf.DUMMYFUNCTION("""COMPUTED_VALUE"""),0.4)</f>
        <v>0.4</v>
      </c>
      <c r="R1246" s="4">
        <f>IFERROR(__xludf.DUMMYFUNCTION("""COMPUTED_VALUE"""),0.1)</f>
        <v>0.1</v>
      </c>
      <c r="S1246" s="4">
        <f>IFERROR(__xludf.DUMMYFUNCTION("""COMPUTED_VALUE"""),-0.2)</f>
        <v>-0.2</v>
      </c>
      <c r="T1246" s="4">
        <f>IFERROR(__xludf.DUMMYFUNCTION("""COMPUTED_VALUE"""),-0.203)</f>
        <v>-0.203</v>
      </c>
      <c r="U1246" s="4">
        <f>IFERROR(__xludf.DUMMYFUNCTION("""COMPUTED_VALUE"""),-10.3)</f>
        <v>-10.3</v>
      </c>
      <c r="V1246" s="4">
        <f>IFERROR(__xludf.DUMMYFUNCTION("""COMPUTED_VALUE"""),-0.1)</f>
        <v>-0.1</v>
      </c>
    </row>
    <row r="1247">
      <c r="A1247" s="4">
        <f>IFERROR(__xludf.DUMMYFUNCTION("""COMPUTED_VALUE"""),54.0)</f>
        <v>54</v>
      </c>
      <c r="B1247" s="4">
        <f>IFERROR(__xludf.DUMMYFUNCTION("""COMPUTED_VALUE"""),54.0)</f>
        <v>54</v>
      </c>
      <c r="C1247" s="4" t="str">
        <f>IFERROR(__xludf.DUMMYFUNCTION("""COMPUTED_VALUE"""),"HOU")</f>
        <v>HOU</v>
      </c>
      <c r="D1247" s="4" t="str">
        <f>IFERROR(__xludf.DUMMYFUNCTION("""COMPUTED_VALUE"""),"Brad Newley")</f>
        <v>Brad Newley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>
      <c r="A1248" s="4">
        <f>IFERROR(__xludf.DUMMYFUNCTION("""COMPUTED_VALUE"""),55.0)</f>
        <v>55</v>
      </c>
      <c r="B1248" s="4">
        <f>IFERROR(__xludf.DUMMYFUNCTION("""COMPUTED_VALUE"""),55.0)</f>
        <v>55</v>
      </c>
      <c r="C1248" s="4" t="str">
        <f>IFERROR(__xludf.DUMMYFUNCTION("""COMPUTED_VALUE"""),"UTA")</f>
        <v>UTA</v>
      </c>
      <c r="D1248" s="4" t="str">
        <f>IFERROR(__xludf.DUMMYFUNCTION("""COMPUTED_VALUE"""),"Herbert Hill")</f>
        <v>Herbert Hill</v>
      </c>
      <c r="E1248" s="4" t="str">
        <f>IFERROR(__xludf.DUMMYFUNCTION("""COMPUTED_VALUE"""),"Providence")</f>
        <v>Providence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>
      <c r="A1249" s="4">
        <f>IFERROR(__xludf.DUMMYFUNCTION("""COMPUTED_VALUE"""),56.0)</f>
        <v>56</v>
      </c>
      <c r="B1249" s="4">
        <f>IFERROR(__xludf.DUMMYFUNCTION("""COMPUTED_VALUE"""),56.0)</f>
        <v>56</v>
      </c>
      <c r="C1249" s="4" t="str">
        <f>IFERROR(__xludf.DUMMYFUNCTION("""COMPUTED_VALUE"""),"MIL")</f>
        <v>MIL</v>
      </c>
      <c r="D1249" s="4" t="str">
        <f>IFERROR(__xludf.DUMMYFUNCTION("""COMPUTED_VALUE"""),"Ramon Sessions")</f>
        <v>Ramon Sessions</v>
      </c>
      <c r="E1249" s="4" t="str">
        <f>IFERROR(__xludf.DUMMYFUNCTION("""COMPUTED_VALUE"""),"Nevada")</f>
        <v>Nevada</v>
      </c>
      <c r="F1249" s="4">
        <f>IFERROR(__xludf.DUMMYFUNCTION("""COMPUTED_VALUE"""),11.0)</f>
        <v>11</v>
      </c>
      <c r="G1249" s="4">
        <f>IFERROR(__xludf.DUMMYFUNCTION("""COMPUTED_VALUE"""),691.0)</f>
        <v>691</v>
      </c>
      <c r="H1249" s="4">
        <f>IFERROR(__xludf.DUMMYFUNCTION("""COMPUTED_VALUE"""),16119.0)</f>
        <v>16119</v>
      </c>
      <c r="I1249" s="4">
        <f>IFERROR(__xludf.DUMMYFUNCTION("""COMPUTED_VALUE"""),7141.0)</f>
        <v>7141</v>
      </c>
      <c r="J1249" s="4">
        <f>IFERROR(__xludf.DUMMYFUNCTION("""COMPUTED_VALUE"""),1840.0)</f>
        <v>1840</v>
      </c>
      <c r="K1249" s="4">
        <f>IFERROR(__xludf.DUMMYFUNCTION("""COMPUTED_VALUE"""),2807.0)</f>
        <v>2807</v>
      </c>
      <c r="L1249" s="4">
        <f>IFERROR(__xludf.DUMMYFUNCTION("""COMPUTED_VALUE"""),0.434)</f>
        <v>0.434</v>
      </c>
      <c r="M1249" s="4">
        <f>IFERROR(__xludf.DUMMYFUNCTION("""COMPUTED_VALUE"""),0.316)</f>
        <v>0.316</v>
      </c>
      <c r="N1249" s="4">
        <f>IFERROR(__xludf.DUMMYFUNCTION("""COMPUTED_VALUE"""),0.791)</f>
        <v>0.791</v>
      </c>
      <c r="O1249" s="4">
        <f>IFERROR(__xludf.DUMMYFUNCTION("""COMPUTED_VALUE"""),23.3)</f>
        <v>23.3</v>
      </c>
      <c r="P1249" s="4">
        <f>IFERROR(__xludf.DUMMYFUNCTION("""COMPUTED_VALUE"""),10.3)</f>
        <v>10.3</v>
      </c>
      <c r="Q1249" s="4">
        <f>IFERROR(__xludf.DUMMYFUNCTION("""COMPUTED_VALUE"""),2.7)</f>
        <v>2.7</v>
      </c>
      <c r="R1249" s="4">
        <f>IFERROR(__xludf.DUMMYFUNCTION("""COMPUTED_VALUE"""),4.1)</f>
        <v>4.1</v>
      </c>
      <c r="S1249" s="4">
        <f>IFERROR(__xludf.DUMMYFUNCTION("""COMPUTED_VALUE"""),28.8)</f>
        <v>28.8</v>
      </c>
      <c r="T1249" s="4">
        <f>IFERROR(__xludf.DUMMYFUNCTION("""COMPUTED_VALUE"""),0.086)</f>
        <v>0.086</v>
      </c>
      <c r="U1249" s="4">
        <f>IFERROR(__xludf.DUMMYFUNCTION("""COMPUTED_VALUE"""),-0.7)</f>
        <v>-0.7</v>
      </c>
      <c r="V1249" s="4">
        <f>IFERROR(__xludf.DUMMYFUNCTION("""COMPUTED_VALUE"""),5.2)</f>
        <v>5.2</v>
      </c>
    </row>
    <row r="1250">
      <c r="A1250" s="4">
        <f>IFERROR(__xludf.DUMMYFUNCTION("""COMPUTED_VALUE"""),57.0)</f>
        <v>57</v>
      </c>
      <c r="B1250" s="4">
        <f>IFERROR(__xludf.DUMMYFUNCTION("""COMPUTED_VALUE"""),57.0)</f>
        <v>57</v>
      </c>
      <c r="C1250" s="4" t="str">
        <f>IFERROR(__xludf.DUMMYFUNCTION("""COMPUTED_VALUE"""),"DET")</f>
        <v>DET</v>
      </c>
      <c r="D1250" s="4" t="str">
        <f>IFERROR(__xludf.DUMMYFUNCTION("""COMPUTED_VALUE"""),"Sammy Mejia")</f>
        <v>Sammy Mejia</v>
      </c>
      <c r="E1250" s="4" t="str">
        <f>IFERROR(__xludf.DUMMYFUNCTION("""COMPUTED_VALUE"""),"DePaul")</f>
        <v>DePaul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>
      <c r="A1251" s="4">
        <f>IFERROR(__xludf.DUMMYFUNCTION("""COMPUTED_VALUE"""),58.0)</f>
        <v>58</v>
      </c>
      <c r="B1251" s="4">
        <f>IFERROR(__xludf.DUMMYFUNCTION("""COMPUTED_VALUE"""),58.0)</f>
        <v>58</v>
      </c>
      <c r="C1251" s="4" t="str">
        <f>IFERROR(__xludf.DUMMYFUNCTION("""COMPUTED_VALUE"""),"SAS")</f>
        <v>SAS</v>
      </c>
      <c r="D1251" s="4" t="str">
        <f>IFERROR(__xludf.DUMMYFUNCTION("""COMPUTED_VALUE"""),"Georgios Printezis")</f>
        <v>Georgios Printezis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>
      <c r="A1252" s="4">
        <f>IFERROR(__xludf.DUMMYFUNCTION("""COMPUTED_VALUE"""),59.0)</f>
        <v>59</v>
      </c>
      <c r="B1252" s="4">
        <f>IFERROR(__xludf.DUMMYFUNCTION("""COMPUTED_VALUE"""),59.0)</f>
        <v>59</v>
      </c>
      <c r="C1252" s="4" t="str">
        <f>IFERROR(__xludf.DUMMYFUNCTION("""COMPUTED_VALUE"""),"PHO")</f>
        <v>PHO</v>
      </c>
      <c r="D1252" s="4" t="str">
        <f>IFERROR(__xludf.DUMMYFUNCTION("""COMPUTED_VALUE"""),"D.J. Strawberry")</f>
        <v>D.J. Strawberry</v>
      </c>
      <c r="E1252" s="4" t="str">
        <f>IFERROR(__xludf.DUMMYFUNCTION("""COMPUTED_VALUE"""),"Maryland")</f>
        <v>Maryland</v>
      </c>
      <c r="F1252" s="4">
        <f>IFERROR(__xludf.DUMMYFUNCTION("""COMPUTED_VALUE"""),1.0)</f>
        <v>1</v>
      </c>
      <c r="G1252" s="4">
        <f>IFERROR(__xludf.DUMMYFUNCTION("""COMPUTED_VALUE"""),33.0)</f>
        <v>33</v>
      </c>
      <c r="H1252" s="4">
        <f>IFERROR(__xludf.DUMMYFUNCTION("""COMPUTED_VALUE"""),270.0)</f>
        <v>270</v>
      </c>
      <c r="I1252" s="4">
        <f>IFERROR(__xludf.DUMMYFUNCTION("""COMPUTED_VALUE"""),73.0)</f>
        <v>73</v>
      </c>
      <c r="J1252" s="4">
        <f>IFERROR(__xludf.DUMMYFUNCTION("""COMPUTED_VALUE"""),28.0)</f>
        <v>28</v>
      </c>
      <c r="K1252" s="4">
        <f>IFERROR(__xludf.DUMMYFUNCTION("""COMPUTED_VALUE"""),30.0)</f>
        <v>30</v>
      </c>
      <c r="L1252" s="4">
        <f>IFERROR(__xludf.DUMMYFUNCTION("""COMPUTED_VALUE"""),0.315)</f>
        <v>0.315</v>
      </c>
      <c r="M1252" s="4">
        <f>IFERROR(__xludf.DUMMYFUNCTION("""COMPUTED_VALUE"""),0.24)</f>
        <v>0.24</v>
      </c>
      <c r="N1252" s="4">
        <f>IFERROR(__xludf.DUMMYFUNCTION("""COMPUTED_VALUE"""),0.474)</f>
        <v>0.474</v>
      </c>
      <c r="O1252" s="4">
        <f>IFERROR(__xludf.DUMMYFUNCTION("""COMPUTED_VALUE"""),8.2)</f>
        <v>8.2</v>
      </c>
      <c r="P1252" s="4">
        <f>IFERROR(__xludf.DUMMYFUNCTION("""COMPUTED_VALUE"""),2.2)</f>
        <v>2.2</v>
      </c>
      <c r="Q1252" s="4">
        <f>IFERROR(__xludf.DUMMYFUNCTION("""COMPUTED_VALUE"""),0.8)</f>
        <v>0.8</v>
      </c>
      <c r="R1252" s="4">
        <f>IFERROR(__xludf.DUMMYFUNCTION("""COMPUTED_VALUE"""),0.9)</f>
        <v>0.9</v>
      </c>
      <c r="S1252" s="4">
        <f>IFERROR(__xludf.DUMMYFUNCTION("""COMPUTED_VALUE"""),-0.2)</f>
        <v>-0.2</v>
      </c>
      <c r="T1252" s="4">
        <f>IFERROR(__xludf.DUMMYFUNCTION("""COMPUTED_VALUE"""),-0.031)</f>
        <v>-0.031</v>
      </c>
      <c r="U1252" s="4">
        <f>IFERROR(__xludf.DUMMYFUNCTION("""COMPUTED_VALUE"""),-5.6)</f>
        <v>-5.6</v>
      </c>
      <c r="V1252" s="4">
        <f>IFERROR(__xludf.DUMMYFUNCTION("""COMPUTED_VALUE"""),-0.2)</f>
        <v>-0.2</v>
      </c>
    </row>
    <row r="1253">
      <c r="A1253" s="4">
        <f>IFERROR(__xludf.DUMMYFUNCTION("""COMPUTED_VALUE"""),60.0)</f>
        <v>60</v>
      </c>
      <c r="B1253" s="4">
        <f>IFERROR(__xludf.DUMMYFUNCTION("""COMPUTED_VALUE"""),60.0)</f>
        <v>60</v>
      </c>
      <c r="C1253" s="4" t="str">
        <f>IFERROR(__xludf.DUMMYFUNCTION("""COMPUTED_VALUE"""),"DAL")</f>
        <v>DAL</v>
      </c>
      <c r="D1253" s="4" t="str">
        <f>IFERROR(__xludf.DUMMYFUNCTION("""COMPUTED_VALUE"""),"Milovan Raković")</f>
        <v>Milovan Raković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5">
      <c r="A1255" s="2">
        <v>2006.0</v>
      </c>
    </row>
    <row r="1256">
      <c r="A1256" s="4" t="str">
        <f>IFERROR(__xludf.DUMMYFUNCTION("IMPORTHTML(""https://www.basketball-reference.com/draft/NBA_2006.html"", ""table"", 1)"),"")</f>
        <v/>
      </c>
      <c r="B1256" s="4"/>
      <c r="C1256" s="4"/>
      <c r="D1256" s="4" t="str">
        <f>IFERROR(__xludf.DUMMYFUNCTION("""COMPUTED_VALUE"""),"Round 1")</f>
        <v>Round 1</v>
      </c>
      <c r="E1256" s="4"/>
      <c r="F1256" s="4"/>
      <c r="G1256" s="4" t="str">
        <f>IFERROR(__xludf.DUMMYFUNCTION("""COMPUTED_VALUE"""),"Totals")</f>
        <v>Totals</v>
      </c>
      <c r="H1256" s="4"/>
      <c r="I1256" s="4"/>
      <c r="J1256" s="4"/>
      <c r="K1256" s="4"/>
      <c r="L1256" s="4" t="str">
        <f>IFERROR(__xludf.DUMMYFUNCTION("""COMPUTED_VALUE"""),"Shooting")</f>
        <v>Shooting</v>
      </c>
      <c r="M1256" s="4"/>
      <c r="N1256" s="4"/>
      <c r="O1256" s="4" t="str">
        <f>IFERROR(__xludf.DUMMYFUNCTION("""COMPUTED_VALUE"""),"Per Game")</f>
        <v>Per Game</v>
      </c>
      <c r="P1256" s="4"/>
      <c r="Q1256" s="4"/>
      <c r="R1256" s="4"/>
      <c r="S1256" s="4" t="str">
        <f>IFERROR(__xludf.DUMMYFUNCTION("""COMPUTED_VALUE"""),"Advanced")</f>
        <v>Advanced</v>
      </c>
      <c r="T1256" s="4"/>
      <c r="U1256" s="4"/>
      <c r="V1256" s="4"/>
    </row>
    <row r="1257">
      <c r="A1257" s="4" t="str">
        <f>IFERROR(__xludf.DUMMYFUNCTION("""COMPUTED_VALUE"""),"Rk")</f>
        <v>Rk</v>
      </c>
      <c r="B1257" s="4" t="str">
        <f>IFERROR(__xludf.DUMMYFUNCTION("""COMPUTED_VALUE"""),"Pk")</f>
        <v>Pk</v>
      </c>
      <c r="C1257" s="4" t="str">
        <f>IFERROR(__xludf.DUMMYFUNCTION("""COMPUTED_VALUE"""),"Tm")</f>
        <v>Tm</v>
      </c>
      <c r="D1257" s="4" t="str">
        <f>IFERROR(__xludf.DUMMYFUNCTION("""COMPUTED_VALUE"""),"Player")</f>
        <v>Player</v>
      </c>
      <c r="E1257" s="4" t="str">
        <f>IFERROR(__xludf.DUMMYFUNCTION("""COMPUTED_VALUE"""),"College")</f>
        <v>College</v>
      </c>
      <c r="F1257" s="4" t="str">
        <f>IFERROR(__xludf.DUMMYFUNCTION("""COMPUTED_VALUE"""),"Yrs")</f>
        <v>Yrs</v>
      </c>
      <c r="G1257" s="4" t="str">
        <f>IFERROR(__xludf.DUMMYFUNCTION("""COMPUTED_VALUE"""),"G")</f>
        <v>G</v>
      </c>
      <c r="H1257" s="4" t="str">
        <f>IFERROR(__xludf.DUMMYFUNCTION("""COMPUTED_VALUE"""),"MP")</f>
        <v>MP</v>
      </c>
      <c r="I1257" s="4" t="str">
        <f>IFERROR(__xludf.DUMMYFUNCTION("""COMPUTED_VALUE"""),"PTS")</f>
        <v>PTS</v>
      </c>
      <c r="J1257" s="4" t="str">
        <f>IFERROR(__xludf.DUMMYFUNCTION("""COMPUTED_VALUE"""),"TRB")</f>
        <v>TRB</v>
      </c>
      <c r="K1257" s="4" t="str">
        <f>IFERROR(__xludf.DUMMYFUNCTION("""COMPUTED_VALUE"""),"AST")</f>
        <v>AST</v>
      </c>
      <c r="L1257" s="4" t="str">
        <f>IFERROR(__xludf.DUMMYFUNCTION("""COMPUTED_VALUE"""),"FG%")</f>
        <v>FG%</v>
      </c>
      <c r="M1257" s="4" t="str">
        <f>IFERROR(__xludf.DUMMYFUNCTION("""COMPUTED_VALUE"""),"3P%")</f>
        <v>3P%</v>
      </c>
      <c r="N1257" s="4" t="str">
        <f>IFERROR(__xludf.DUMMYFUNCTION("""COMPUTED_VALUE"""),"FT%")</f>
        <v>FT%</v>
      </c>
      <c r="O1257" s="4" t="str">
        <f>IFERROR(__xludf.DUMMYFUNCTION("""COMPUTED_VALUE"""),"MP")</f>
        <v>MP</v>
      </c>
      <c r="P1257" s="4" t="str">
        <f>IFERROR(__xludf.DUMMYFUNCTION("""COMPUTED_VALUE"""),"PTS")</f>
        <v>PTS</v>
      </c>
      <c r="Q1257" s="4" t="str">
        <f>IFERROR(__xludf.DUMMYFUNCTION("""COMPUTED_VALUE"""),"TRB")</f>
        <v>TRB</v>
      </c>
      <c r="R1257" s="4" t="str">
        <f>IFERROR(__xludf.DUMMYFUNCTION("""COMPUTED_VALUE"""),"AST")</f>
        <v>AST</v>
      </c>
      <c r="S1257" s="4" t="str">
        <f>IFERROR(__xludf.DUMMYFUNCTION("""COMPUTED_VALUE"""),"WS")</f>
        <v>WS</v>
      </c>
      <c r="T1257" s="4" t="str">
        <f>IFERROR(__xludf.DUMMYFUNCTION("""COMPUTED_VALUE"""),"WS/48")</f>
        <v>WS/48</v>
      </c>
      <c r="U1257" s="4" t="str">
        <f>IFERROR(__xludf.DUMMYFUNCTION("""COMPUTED_VALUE"""),"BPM")</f>
        <v>BPM</v>
      </c>
      <c r="V1257" s="4" t="str">
        <f>IFERROR(__xludf.DUMMYFUNCTION("""COMPUTED_VALUE"""),"VORP")</f>
        <v>VORP</v>
      </c>
    </row>
    <row r="1258">
      <c r="A1258" s="4">
        <f>IFERROR(__xludf.DUMMYFUNCTION("""COMPUTED_VALUE"""),1.0)</f>
        <v>1</v>
      </c>
      <c r="B1258" s="4">
        <f>IFERROR(__xludf.DUMMYFUNCTION("""COMPUTED_VALUE"""),1.0)</f>
        <v>1</v>
      </c>
      <c r="C1258" s="4" t="str">
        <f>IFERROR(__xludf.DUMMYFUNCTION("""COMPUTED_VALUE"""),"TOR")</f>
        <v>TOR</v>
      </c>
      <c r="D1258" s="4" t="str">
        <f>IFERROR(__xludf.DUMMYFUNCTION("""COMPUTED_VALUE"""),"Andrea Bargnani")</f>
        <v>Andrea Bargnani</v>
      </c>
      <c r="E1258" s="4"/>
      <c r="F1258" s="4">
        <f>IFERROR(__xludf.DUMMYFUNCTION("""COMPUTED_VALUE"""),10.0)</f>
        <v>10</v>
      </c>
      <c r="G1258" s="4">
        <f>IFERROR(__xludf.DUMMYFUNCTION("""COMPUTED_VALUE"""),550.0)</f>
        <v>550</v>
      </c>
      <c r="H1258" s="4">
        <f>IFERROR(__xludf.DUMMYFUNCTION("""COMPUTED_VALUE"""),15806.0)</f>
        <v>15806</v>
      </c>
      <c r="I1258" s="4">
        <f>IFERROR(__xludf.DUMMYFUNCTION("""COMPUTED_VALUE"""),7873.0)</f>
        <v>7873</v>
      </c>
      <c r="J1258" s="4">
        <f>IFERROR(__xludf.DUMMYFUNCTION("""COMPUTED_VALUE"""),2541.0)</f>
        <v>2541</v>
      </c>
      <c r="K1258" s="4">
        <f>IFERROR(__xludf.DUMMYFUNCTION("""COMPUTED_VALUE"""),653.0)</f>
        <v>653</v>
      </c>
      <c r="L1258" s="4">
        <f>IFERROR(__xludf.DUMMYFUNCTION("""COMPUTED_VALUE"""),0.439)</f>
        <v>0.439</v>
      </c>
      <c r="M1258" s="4">
        <f>IFERROR(__xludf.DUMMYFUNCTION("""COMPUTED_VALUE"""),0.354)</f>
        <v>0.354</v>
      </c>
      <c r="N1258" s="4">
        <f>IFERROR(__xludf.DUMMYFUNCTION("""COMPUTED_VALUE"""),0.824)</f>
        <v>0.824</v>
      </c>
      <c r="O1258" s="4">
        <f>IFERROR(__xludf.DUMMYFUNCTION("""COMPUTED_VALUE"""),28.7)</f>
        <v>28.7</v>
      </c>
      <c r="P1258" s="4">
        <f>IFERROR(__xludf.DUMMYFUNCTION("""COMPUTED_VALUE"""),14.3)</f>
        <v>14.3</v>
      </c>
      <c r="Q1258" s="4">
        <f>IFERROR(__xludf.DUMMYFUNCTION("""COMPUTED_VALUE"""),4.6)</f>
        <v>4.6</v>
      </c>
      <c r="R1258" s="4">
        <f>IFERROR(__xludf.DUMMYFUNCTION("""COMPUTED_VALUE"""),1.2)</f>
        <v>1.2</v>
      </c>
      <c r="S1258" s="4">
        <f>IFERROR(__xludf.DUMMYFUNCTION("""COMPUTED_VALUE"""),18.9)</f>
        <v>18.9</v>
      </c>
      <c r="T1258" s="4">
        <f>IFERROR(__xludf.DUMMYFUNCTION("""COMPUTED_VALUE"""),0.057)</f>
        <v>0.057</v>
      </c>
      <c r="U1258" s="4">
        <f>IFERROR(__xludf.DUMMYFUNCTION("""COMPUTED_VALUE"""),-1.6)</f>
        <v>-1.6</v>
      </c>
      <c r="V1258" s="4">
        <f>IFERROR(__xludf.DUMMYFUNCTION("""COMPUTED_VALUE"""),1.5)</f>
        <v>1.5</v>
      </c>
    </row>
    <row r="1259">
      <c r="A1259" s="4">
        <f>IFERROR(__xludf.DUMMYFUNCTION("""COMPUTED_VALUE"""),2.0)</f>
        <v>2</v>
      </c>
      <c r="B1259" s="4">
        <f>IFERROR(__xludf.DUMMYFUNCTION("""COMPUTED_VALUE"""),2.0)</f>
        <v>2</v>
      </c>
      <c r="C1259" s="4" t="str">
        <f>IFERROR(__xludf.DUMMYFUNCTION("""COMPUTED_VALUE"""),"CHI")</f>
        <v>CHI</v>
      </c>
      <c r="D1259" s="4" t="str">
        <f>IFERROR(__xludf.DUMMYFUNCTION("""COMPUTED_VALUE"""),"LaMarcus Aldridge")</f>
        <v>LaMarcus Aldridge</v>
      </c>
      <c r="E1259" s="4" t="str">
        <f>IFERROR(__xludf.DUMMYFUNCTION("""COMPUTED_VALUE"""),"Texas")</f>
        <v>Texas</v>
      </c>
      <c r="F1259" s="4">
        <f>IFERROR(__xludf.DUMMYFUNCTION("""COMPUTED_VALUE"""),16.0)</f>
        <v>16</v>
      </c>
      <c r="G1259" s="4">
        <f>IFERROR(__xludf.DUMMYFUNCTION("""COMPUTED_VALUE"""),1076.0)</f>
        <v>1076</v>
      </c>
      <c r="H1259" s="4">
        <f>IFERROR(__xludf.DUMMYFUNCTION("""COMPUTED_VALUE"""),36242.0)</f>
        <v>36242</v>
      </c>
      <c r="I1259" s="4">
        <f>IFERROR(__xludf.DUMMYFUNCTION("""COMPUTED_VALUE"""),20558.0)</f>
        <v>20558</v>
      </c>
      <c r="J1259" s="4">
        <f>IFERROR(__xludf.DUMMYFUNCTION("""COMPUTED_VALUE"""),8736.0)</f>
        <v>8736</v>
      </c>
      <c r="K1259" s="4">
        <f>IFERROR(__xludf.DUMMYFUNCTION("""COMPUTED_VALUE"""),2076.0)</f>
        <v>2076</v>
      </c>
      <c r="L1259" s="4">
        <f>IFERROR(__xludf.DUMMYFUNCTION("""COMPUTED_VALUE"""),0.493)</f>
        <v>0.493</v>
      </c>
      <c r="M1259" s="4">
        <f>IFERROR(__xludf.DUMMYFUNCTION("""COMPUTED_VALUE"""),0.32)</f>
        <v>0.32</v>
      </c>
      <c r="N1259" s="4">
        <f>IFERROR(__xludf.DUMMYFUNCTION("""COMPUTED_VALUE"""),0.813)</f>
        <v>0.813</v>
      </c>
      <c r="O1259" s="4">
        <f>IFERROR(__xludf.DUMMYFUNCTION("""COMPUTED_VALUE"""),33.7)</f>
        <v>33.7</v>
      </c>
      <c r="P1259" s="4">
        <f>IFERROR(__xludf.DUMMYFUNCTION("""COMPUTED_VALUE"""),19.1)</f>
        <v>19.1</v>
      </c>
      <c r="Q1259" s="4">
        <f>IFERROR(__xludf.DUMMYFUNCTION("""COMPUTED_VALUE"""),8.1)</f>
        <v>8.1</v>
      </c>
      <c r="R1259" s="4">
        <f>IFERROR(__xludf.DUMMYFUNCTION("""COMPUTED_VALUE"""),1.9)</f>
        <v>1.9</v>
      </c>
      <c r="S1259" s="4">
        <f>IFERROR(__xludf.DUMMYFUNCTION("""COMPUTED_VALUE"""),115.6)</f>
        <v>115.6</v>
      </c>
      <c r="T1259" s="4">
        <f>IFERROR(__xludf.DUMMYFUNCTION("""COMPUTED_VALUE"""),0.153)</f>
        <v>0.153</v>
      </c>
      <c r="U1259" s="4">
        <f>IFERROR(__xludf.DUMMYFUNCTION("""COMPUTED_VALUE"""),1.7)</f>
        <v>1.7</v>
      </c>
      <c r="V1259" s="4">
        <f>IFERROR(__xludf.DUMMYFUNCTION("""COMPUTED_VALUE"""),33.4)</f>
        <v>33.4</v>
      </c>
    </row>
    <row r="1260">
      <c r="A1260" s="4">
        <f>IFERROR(__xludf.DUMMYFUNCTION("""COMPUTED_VALUE"""),3.0)</f>
        <v>3</v>
      </c>
      <c r="B1260" s="4">
        <f>IFERROR(__xludf.DUMMYFUNCTION("""COMPUTED_VALUE"""),3.0)</f>
        <v>3</v>
      </c>
      <c r="C1260" s="4" t="str">
        <f>IFERROR(__xludf.DUMMYFUNCTION("""COMPUTED_VALUE"""),"CHA")</f>
        <v>CHA</v>
      </c>
      <c r="D1260" s="4" t="str">
        <f>IFERROR(__xludf.DUMMYFUNCTION("""COMPUTED_VALUE"""),"Adam Morrison")</f>
        <v>Adam Morrison</v>
      </c>
      <c r="E1260" s="4" t="str">
        <f>IFERROR(__xludf.DUMMYFUNCTION("""COMPUTED_VALUE"""),"Gonzaga")</f>
        <v>Gonzaga</v>
      </c>
      <c r="F1260" s="4">
        <f>IFERROR(__xludf.DUMMYFUNCTION("""COMPUTED_VALUE"""),3.0)</f>
        <v>3</v>
      </c>
      <c r="G1260" s="4">
        <f>IFERROR(__xludf.DUMMYFUNCTION("""COMPUTED_VALUE"""),161.0)</f>
        <v>161</v>
      </c>
      <c r="H1260" s="4">
        <f>IFERROR(__xludf.DUMMYFUNCTION("""COMPUTED_VALUE"""),3278.0)</f>
        <v>3278</v>
      </c>
      <c r="I1260" s="4">
        <f>IFERROR(__xludf.DUMMYFUNCTION("""COMPUTED_VALUE"""),1200.0)</f>
        <v>1200</v>
      </c>
      <c r="J1260" s="4">
        <f>IFERROR(__xludf.DUMMYFUNCTION("""COMPUTED_VALUE"""),342.0)</f>
        <v>342</v>
      </c>
      <c r="K1260" s="4">
        <f>IFERROR(__xludf.DUMMYFUNCTION("""COMPUTED_VALUE"""),222.0)</f>
        <v>222</v>
      </c>
      <c r="L1260" s="4">
        <f>IFERROR(__xludf.DUMMYFUNCTION("""COMPUTED_VALUE"""),0.373)</f>
        <v>0.373</v>
      </c>
      <c r="M1260" s="4">
        <f>IFERROR(__xludf.DUMMYFUNCTION("""COMPUTED_VALUE"""),0.331)</f>
        <v>0.331</v>
      </c>
      <c r="N1260" s="4">
        <f>IFERROR(__xludf.DUMMYFUNCTION("""COMPUTED_VALUE"""),0.71)</f>
        <v>0.71</v>
      </c>
      <c r="O1260" s="4">
        <f>IFERROR(__xludf.DUMMYFUNCTION("""COMPUTED_VALUE"""),20.4)</f>
        <v>20.4</v>
      </c>
      <c r="P1260" s="4">
        <f>IFERROR(__xludf.DUMMYFUNCTION("""COMPUTED_VALUE"""),7.5)</f>
        <v>7.5</v>
      </c>
      <c r="Q1260" s="4">
        <f>IFERROR(__xludf.DUMMYFUNCTION("""COMPUTED_VALUE"""),2.1)</f>
        <v>2.1</v>
      </c>
      <c r="R1260" s="4">
        <f>IFERROR(__xludf.DUMMYFUNCTION("""COMPUTED_VALUE"""),1.4)</f>
        <v>1.4</v>
      </c>
      <c r="S1260" s="4">
        <f>IFERROR(__xludf.DUMMYFUNCTION("""COMPUTED_VALUE"""),-1.4)</f>
        <v>-1.4</v>
      </c>
      <c r="T1260" s="4">
        <f>IFERROR(__xludf.DUMMYFUNCTION("""COMPUTED_VALUE"""),-0.021)</f>
        <v>-0.021</v>
      </c>
      <c r="U1260" s="4">
        <f>IFERROR(__xludf.DUMMYFUNCTION("""COMPUTED_VALUE"""),-5.0)</f>
        <v>-5</v>
      </c>
      <c r="V1260" s="4">
        <f>IFERROR(__xludf.DUMMYFUNCTION("""COMPUTED_VALUE"""),-2.4)</f>
        <v>-2.4</v>
      </c>
    </row>
    <row r="1261">
      <c r="A1261" s="4">
        <f>IFERROR(__xludf.DUMMYFUNCTION("""COMPUTED_VALUE"""),4.0)</f>
        <v>4</v>
      </c>
      <c r="B1261" s="4">
        <f>IFERROR(__xludf.DUMMYFUNCTION("""COMPUTED_VALUE"""),4.0)</f>
        <v>4</v>
      </c>
      <c r="C1261" s="4" t="str">
        <f>IFERROR(__xludf.DUMMYFUNCTION("""COMPUTED_VALUE"""),"POR")</f>
        <v>POR</v>
      </c>
      <c r="D1261" s="4" t="str">
        <f>IFERROR(__xludf.DUMMYFUNCTION("""COMPUTED_VALUE"""),"Tyrus Thomas")</f>
        <v>Tyrus Thomas</v>
      </c>
      <c r="E1261" s="4" t="str">
        <f>IFERROR(__xludf.DUMMYFUNCTION("""COMPUTED_VALUE"""),"LSU")</f>
        <v>LSU</v>
      </c>
      <c r="F1261" s="4">
        <f>IFERROR(__xludf.DUMMYFUNCTION("""COMPUTED_VALUE"""),8.0)</f>
        <v>8</v>
      </c>
      <c r="G1261" s="4">
        <f>IFERROR(__xludf.DUMMYFUNCTION("""COMPUTED_VALUE"""),402.0)</f>
        <v>402</v>
      </c>
      <c r="H1261" s="4">
        <f>IFERROR(__xludf.DUMMYFUNCTION("""COMPUTED_VALUE"""),7932.0)</f>
        <v>7932</v>
      </c>
      <c r="I1261" s="4">
        <f>IFERROR(__xludf.DUMMYFUNCTION("""COMPUTED_VALUE"""),3093.0)</f>
        <v>3093</v>
      </c>
      <c r="J1261" s="4">
        <f>IFERROR(__xludf.DUMMYFUNCTION("""COMPUTED_VALUE"""),1938.0)</f>
        <v>1938</v>
      </c>
      <c r="K1261" s="4">
        <f>IFERROR(__xludf.DUMMYFUNCTION("""COMPUTED_VALUE"""),347.0)</f>
        <v>347</v>
      </c>
      <c r="L1261" s="4">
        <f>IFERROR(__xludf.DUMMYFUNCTION("""COMPUTED_VALUE"""),0.438)</f>
        <v>0.438</v>
      </c>
      <c r="M1261" s="4">
        <f>IFERROR(__xludf.DUMMYFUNCTION("""COMPUTED_VALUE"""),0.235)</f>
        <v>0.235</v>
      </c>
      <c r="N1261" s="4">
        <f>IFERROR(__xludf.DUMMYFUNCTION("""COMPUTED_VALUE"""),0.732)</f>
        <v>0.732</v>
      </c>
      <c r="O1261" s="4">
        <f>IFERROR(__xludf.DUMMYFUNCTION("""COMPUTED_VALUE"""),19.7)</f>
        <v>19.7</v>
      </c>
      <c r="P1261" s="4">
        <f>IFERROR(__xludf.DUMMYFUNCTION("""COMPUTED_VALUE"""),7.7)</f>
        <v>7.7</v>
      </c>
      <c r="Q1261" s="4">
        <f>IFERROR(__xludf.DUMMYFUNCTION("""COMPUTED_VALUE"""),4.8)</f>
        <v>4.8</v>
      </c>
      <c r="R1261" s="4">
        <f>IFERROR(__xludf.DUMMYFUNCTION("""COMPUTED_VALUE"""),0.9)</f>
        <v>0.9</v>
      </c>
      <c r="S1261" s="4">
        <f>IFERROR(__xludf.DUMMYFUNCTION("""COMPUTED_VALUE"""),13.0)</f>
        <v>13</v>
      </c>
      <c r="T1261" s="4">
        <f>IFERROR(__xludf.DUMMYFUNCTION("""COMPUTED_VALUE"""),0.078)</f>
        <v>0.078</v>
      </c>
      <c r="U1261" s="4">
        <f>IFERROR(__xludf.DUMMYFUNCTION("""COMPUTED_VALUE"""),-1.2)</f>
        <v>-1.2</v>
      </c>
      <c r="V1261" s="4">
        <f>IFERROR(__xludf.DUMMYFUNCTION("""COMPUTED_VALUE"""),1.7)</f>
        <v>1.7</v>
      </c>
    </row>
    <row r="1262">
      <c r="A1262" s="4">
        <f>IFERROR(__xludf.DUMMYFUNCTION("""COMPUTED_VALUE"""),5.0)</f>
        <v>5</v>
      </c>
      <c r="B1262" s="4">
        <f>IFERROR(__xludf.DUMMYFUNCTION("""COMPUTED_VALUE"""),5.0)</f>
        <v>5</v>
      </c>
      <c r="C1262" s="4" t="str">
        <f>IFERROR(__xludf.DUMMYFUNCTION("""COMPUTED_VALUE"""),"ATL")</f>
        <v>ATL</v>
      </c>
      <c r="D1262" s="4" t="str">
        <f>IFERROR(__xludf.DUMMYFUNCTION("""COMPUTED_VALUE"""),"Shelden Williams")</f>
        <v>Shelden Williams</v>
      </c>
      <c r="E1262" s="4" t="str">
        <f>IFERROR(__xludf.DUMMYFUNCTION("""COMPUTED_VALUE"""),"Duke")</f>
        <v>Duke</v>
      </c>
      <c r="F1262" s="4">
        <f>IFERROR(__xludf.DUMMYFUNCTION("""COMPUTED_VALUE"""),6.0)</f>
        <v>6</v>
      </c>
      <c r="G1262" s="4">
        <f>IFERROR(__xludf.DUMMYFUNCTION("""COMPUTED_VALUE"""),361.0)</f>
        <v>361</v>
      </c>
      <c r="H1262" s="4">
        <f>IFERROR(__xludf.DUMMYFUNCTION("""COMPUTED_VALUE"""),5586.0)</f>
        <v>5586</v>
      </c>
      <c r="I1262" s="4">
        <f>IFERROR(__xludf.DUMMYFUNCTION("""COMPUTED_VALUE"""),1618.0)</f>
        <v>1618</v>
      </c>
      <c r="J1262" s="4">
        <f>IFERROR(__xludf.DUMMYFUNCTION("""COMPUTED_VALUE"""),1562.0)</f>
        <v>1562</v>
      </c>
      <c r="K1262" s="4">
        <f>IFERROR(__xludf.DUMMYFUNCTION("""COMPUTED_VALUE"""),163.0)</f>
        <v>163</v>
      </c>
      <c r="L1262" s="4">
        <f>IFERROR(__xludf.DUMMYFUNCTION("""COMPUTED_VALUE"""),0.462)</f>
        <v>0.462</v>
      </c>
      <c r="M1262" s="4">
        <f>IFERROR(__xludf.DUMMYFUNCTION("""COMPUTED_VALUE"""),0.222)</f>
        <v>0.222</v>
      </c>
      <c r="N1262" s="4">
        <f>IFERROR(__xludf.DUMMYFUNCTION("""COMPUTED_VALUE"""),0.74)</f>
        <v>0.74</v>
      </c>
      <c r="O1262" s="4">
        <f>IFERROR(__xludf.DUMMYFUNCTION("""COMPUTED_VALUE"""),15.5)</f>
        <v>15.5</v>
      </c>
      <c r="P1262" s="4">
        <f>IFERROR(__xludf.DUMMYFUNCTION("""COMPUTED_VALUE"""),4.5)</f>
        <v>4.5</v>
      </c>
      <c r="Q1262" s="4">
        <f>IFERROR(__xludf.DUMMYFUNCTION("""COMPUTED_VALUE"""),4.3)</f>
        <v>4.3</v>
      </c>
      <c r="R1262" s="4">
        <f>IFERROR(__xludf.DUMMYFUNCTION("""COMPUTED_VALUE"""),0.5)</f>
        <v>0.5</v>
      </c>
      <c r="S1262" s="4">
        <f>IFERROR(__xludf.DUMMYFUNCTION("""COMPUTED_VALUE"""),9.9)</f>
        <v>9.9</v>
      </c>
      <c r="T1262" s="4">
        <f>IFERROR(__xludf.DUMMYFUNCTION("""COMPUTED_VALUE"""),0.085)</f>
        <v>0.085</v>
      </c>
      <c r="U1262" s="4">
        <f>IFERROR(__xludf.DUMMYFUNCTION("""COMPUTED_VALUE"""),-3.0)</f>
        <v>-3</v>
      </c>
      <c r="V1262" s="4">
        <f>IFERROR(__xludf.DUMMYFUNCTION("""COMPUTED_VALUE"""),-1.5)</f>
        <v>-1.5</v>
      </c>
    </row>
    <row r="1263">
      <c r="A1263" s="4">
        <f>IFERROR(__xludf.DUMMYFUNCTION("""COMPUTED_VALUE"""),6.0)</f>
        <v>6</v>
      </c>
      <c r="B1263" s="4">
        <f>IFERROR(__xludf.DUMMYFUNCTION("""COMPUTED_VALUE"""),6.0)</f>
        <v>6</v>
      </c>
      <c r="C1263" s="4" t="str">
        <f>IFERROR(__xludf.DUMMYFUNCTION("""COMPUTED_VALUE"""),"MIN")</f>
        <v>MIN</v>
      </c>
      <c r="D1263" s="4" t="str">
        <f>IFERROR(__xludf.DUMMYFUNCTION("""COMPUTED_VALUE"""),"Brandon Roy")</f>
        <v>Brandon Roy</v>
      </c>
      <c r="E1263" s="4" t="str">
        <f>IFERROR(__xludf.DUMMYFUNCTION("""COMPUTED_VALUE"""),"Washington")</f>
        <v>Washington</v>
      </c>
      <c r="F1263" s="4">
        <f>IFERROR(__xludf.DUMMYFUNCTION("""COMPUTED_VALUE"""),6.0)</f>
        <v>6</v>
      </c>
      <c r="G1263" s="4">
        <f>IFERROR(__xludf.DUMMYFUNCTION("""COMPUTED_VALUE"""),326.0)</f>
        <v>326</v>
      </c>
      <c r="H1263" s="4">
        <f>IFERROR(__xludf.DUMMYFUNCTION("""COMPUTED_VALUE"""),11561.0)</f>
        <v>11561</v>
      </c>
      <c r="I1263" s="4">
        <f>IFERROR(__xludf.DUMMYFUNCTION("""COMPUTED_VALUE"""),6136.0)</f>
        <v>6136</v>
      </c>
      <c r="J1263" s="4">
        <f>IFERROR(__xludf.DUMMYFUNCTION("""COMPUTED_VALUE"""),1388.0)</f>
        <v>1388</v>
      </c>
      <c r="K1263" s="4">
        <f>IFERROR(__xludf.DUMMYFUNCTION("""COMPUTED_VALUE"""),1517.0)</f>
        <v>1517</v>
      </c>
      <c r="L1263" s="4">
        <f>IFERROR(__xludf.DUMMYFUNCTION("""COMPUTED_VALUE"""),0.459)</f>
        <v>0.459</v>
      </c>
      <c r="M1263" s="4">
        <f>IFERROR(__xludf.DUMMYFUNCTION("""COMPUTED_VALUE"""),0.348)</f>
        <v>0.348</v>
      </c>
      <c r="N1263" s="4">
        <f>IFERROR(__xludf.DUMMYFUNCTION("""COMPUTED_VALUE"""),0.8)</f>
        <v>0.8</v>
      </c>
      <c r="O1263" s="4">
        <f>IFERROR(__xludf.DUMMYFUNCTION("""COMPUTED_VALUE"""),35.5)</f>
        <v>35.5</v>
      </c>
      <c r="P1263" s="4">
        <f>IFERROR(__xludf.DUMMYFUNCTION("""COMPUTED_VALUE"""),18.8)</f>
        <v>18.8</v>
      </c>
      <c r="Q1263" s="4">
        <f>IFERROR(__xludf.DUMMYFUNCTION("""COMPUTED_VALUE"""),4.3)</f>
        <v>4.3</v>
      </c>
      <c r="R1263" s="4">
        <f>IFERROR(__xludf.DUMMYFUNCTION("""COMPUTED_VALUE"""),4.7)</f>
        <v>4.7</v>
      </c>
      <c r="S1263" s="4">
        <f>IFERROR(__xludf.DUMMYFUNCTION("""COMPUTED_VALUE"""),37.4)</f>
        <v>37.4</v>
      </c>
      <c r="T1263" s="4">
        <f>IFERROR(__xludf.DUMMYFUNCTION("""COMPUTED_VALUE"""),0.155)</f>
        <v>0.155</v>
      </c>
      <c r="U1263" s="4">
        <f>IFERROR(__xludf.DUMMYFUNCTION("""COMPUTED_VALUE"""),3.6)</f>
        <v>3.6</v>
      </c>
      <c r="V1263" s="4">
        <f>IFERROR(__xludf.DUMMYFUNCTION("""COMPUTED_VALUE"""),16.3)</f>
        <v>16.3</v>
      </c>
    </row>
    <row r="1264">
      <c r="A1264" s="4">
        <f>IFERROR(__xludf.DUMMYFUNCTION("""COMPUTED_VALUE"""),7.0)</f>
        <v>7</v>
      </c>
      <c r="B1264" s="4">
        <f>IFERROR(__xludf.DUMMYFUNCTION("""COMPUTED_VALUE"""),7.0)</f>
        <v>7</v>
      </c>
      <c r="C1264" s="4" t="str">
        <f>IFERROR(__xludf.DUMMYFUNCTION("""COMPUTED_VALUE"""),"BOS")</f>
        <v>BOS</v>
      </c>
      <c r="D1264" s="4" t="str">
        <f>IFERROR(__xludf.DUMMYFUNCTION("""COMPUTED_VALUE"""),"Randy Foye")</f>
        <v>Randy Foye</v>
      </c>
      <c r="E1264" s="4" t="str">
        <f>IFERROR(__xludf.DUMMYFUNCTION("""COMPUTED_VALUE"""),"Villanova")</f>
        <v>Villanova</v>
      </c>
      <c r="F1264" s="4">
        <f>IFERROR(__xludf.DUMMYFUNCTION("""COMPUTED_VALUE"""),11.0)</f>
        <v>11</v>
      </c>
      <c r="G1264" s="4">
        <f>IFERROR(__xludf.DUMMYFUNCTION("""COMPUTED_VALUE"""),752.0)</f>
        <v>752</v>
      </c>
      <c r="H1264" s="4">
        <f>IFERROR(__xludf.DUMMYFUNCTION("""COMPUTED_VALUE"""),19279.0)</f>
        <v>19279</v>
      </c>
      <c r="I1264" s="4">
        <f>IFERROR(__xludf.DUMMYFUNCTION("""COMPUTED_VALUE"""),7729.0)</f>
        <v>7729</v>
      </c>
      <c r="J1264" s="4">
        <f>IFERROR(__xludf.DUMMYFUNCTION("""COMPUTED_VALUE"""),1686.0)</f>
        <v>1686</v>
      </c>
      <c r="K1264" s="4">
        <f>IFERROR(__xludf.DUMMYFUNCTION("""COMPUTED_VALUE"""),2112.0)</f>
        <v>2112</v>
      </c>
      <c r="L1264" s="4">
        <f>IFERROR(__xludf.DUMMYFUNCTION("""COMPUTED_VALUE"""),0.401)</f>
        <v>0.401</v>
      </c>
      <c r="M1264" s="4">
        <f>IFERROR(__xludf.DUMMYFUNCTION("""COMPUTED_VALUE"""),0.366)</f>
        <v>0.366</v>
      </c>
      <c r="N1264" s="4">
        <f>IFERROR(__xludf.DUMMYFUNCTION("""COMPUTED_VALUE"""),0.852)</f>
        <v>0.852</v>
      </c>
      <c r="O1264" s="4">
        <f>IFERROR(__xludf.DUMMYFUNCTION("""COMPUTED_VALUE"""),25.6)</f>
        <v>25.6</v>
      </c>
      <c r="P1264" s="4">
        <f>IFERROR(__xludf.DUMMYFUNCTION("""COMPUTED_VALUE"""),10.3)</f>
        <v>10.3</v>
      </c>
      <c r="Q1264" s="4">
        <f>IFERROR(__xludf.DUMMYFUNCTION("""COMPUTED_VALUE"""),2.2)</f>
        <v>2.2</v>
      </c>
      <c r="R1264" s="4">
        <f>IFERROR(__xludf.DUMMYFUNCTION("""COMPUTED_VALUE"""),2.8)</f>
        <v>2.8</v>
      </c>
      <c r="S1264" s="4">
        <f>IFERROR(__xludf.DUMMYFUNCTION("""COMPUTED_VALUE"""),23.5)</f>
        <v>23.5</v>
      </c>
      <c r="T1264" s="4">
        <f>IFERROR(__xludf.DUMMYFUNCTION("""COMPUTED_VALUE"""),0.058)</f>
        <v>0.058</v>
      </c>
      <c r="U1264" s="4">
        <f>IFERROR(__xludf.DUMMYFUNCTION("""COMPUTED_VALUE"""),-1.2)</f>
        <v>-1.2</v>
      </c>
      <c r="V1264" s="4">
        <f>IFERROR(__xludf.DUMMYFUNCTION("""COMPUTED_VALUE"""),3.8)</f>
        <v>3.8</v>
      </c>
    </row>
    <row r="1265">
      <c r="A1265" s="4">
        <f>IFERROR(__xludf.DUMMYFUNCTION("""COMPUTED_VALUE"""),8.0)</f>
        <v>8</v>
      </c>
      <c r="B1265" s="4">
        <f>IFERROR(__xludf.DUMMYFUNCTION("""COMPUTED_VALUE"""),8.0)</f>
        <v>8</v>
      </c>
      <c r="C1265" s="4" t="str">
        <f>IFERROR(__xludf.DUMMYFUNCTION("""COMPUTED_VALUE"""),"HOU")</f>
        <v>HOU</v>
      </c>
      <c r="D1265" s="4" t="str">
        <f>IFERROR(__xludf.DUMMYFUNCTION("""COMPUTED_VALUE"""),"Rudy Gay")</f>
        <v>Rudy Gay</v>
      </c>
      <c r="E1265" s="4" t="str">
        <f>IFERROR(__xludf.DUMMYFUNCTION("""COMPUTED_VALUE"""),"UConn")</f>
        <v>UConn</v>
      </c>
      <c r="F1265" s="4">
        <f>IFERROR(__xludf.DUMMYFUNCTION("""COMPUTED_VALUE"""),17.0)</f>
        <v>17</v>
      </c>
      <c r="G1265" s="4">
        <f>IFERROR(__xludf.DUMMYFUNCTION("""COMPUTED_VALUE"""),1120.0)</f>
        <v>1120</v>
      </c>
      <c r="H1265" s="4">
        <f>IFERROR(__xludf.DUMMYFUNCTION("""COMPUTED_VALUE"""),34561.0)</f>
        <v>34561</v>
      </c>
      <c r="I1265" s="4">
        <f>IFERROR(__xludf.DUMMYFUNCTION("""COMPUTED_VALUE"""),17642.0)</f>
        <v>17642</v>
      </c>
      <c r="J1265" s="4">
        <f>IFERROR(__xludf.DUMMYFUNCTION("""COMPUTED_VALUE"""),6283.0)</f>
        <v>6283</v>
      </c>
      <c r="K1265" s="4">
        <f>IFERROR(__xludf.DUMMYFUNCTION("""COMPUTED_VALUE"""),2280.0)</f>
        <v>2280</v>
      </c>
      <c r="L1265" s="4">
        <f>IFERROR(__xludf.DUMMYFUNCTION("""COMPUTED_VALUE"""),0.452)</f>
        <v>0.452</v>
      </c>
      <c r="M1265" s="4">
        <f>IFERROR(__xludf.DUMMYFUNCTION("""COMPUTED_VALUE"""),0.346)</f>
        <v>0.346</v>
      </c>
      <c r="N1265" s="4">
        <f>IFERROR(__xludf.DUMMYFUNCTION("""COMPUTED_VALUE"""),0.799)</f>
        <v>0.799</v>
      </c>
      <c r="O1265" s="4">
        <f>IFERROR(__xludf.DUMMYFUNCTION("""COMPUTED_VALUE"""),30.9)</f>
        <v>30.9</v>
      </c>
      <c r="P1265" s="4">
        <f>IFERROR(__xludf.DUMMYFUNCTION("""COMPUTED_VALUE"""),15.8)</f>
        <v>15.8</v>
      </c>
      <c r="Q1265" s="4">
        <f>IFERROR(__xludf.DUMMYFUNCTION("""COMPUTED_VALUE"""),5.6)</f>
        <v>5.6</v>
      </c>
      <c r="R1265" s="4">
        <f>IFERROR(__xludf.DUMMYFUNCTION("""COMPUTED_VALUE"""),2.0)</f>
        <v>2</v>
      </c>
      <c r="S1265" s="4">
        <f>IFERROR(__xludf.DUMMYFUNCTION("""COMPUTED_VALUE"""),61.0)</f>
        <v>61</v>
      </c>
      <c r="T1265" s="4">
        <f>IFERROR(__xludf.DUMMYFUNCTION("""COMPUTED_VALUE"""),0.085)</f>
        <v>0.085</v>
      </c>
      <c r="U1265" s="4">
        <f>IFERROR(__xludf.DUMMYFUNCTION("""COMPUTED_VALUE"""),0.6)</f>
        <v>0.6</v>
      </c>
      <c r="V1265" s="4">
        <f>IFERROR(__xludf.DUMMYFUNCTION("""COMPUTED_VALUE"""),22.4)</f>
        <v>22.4</v>
      </c>
    </row>
    <row r="1266">
      <c r="A1266" s="4">
        <f>IFERROR(__xludf.DUMMYFUNCTION("""COMPUTED_VALUE"""),9.0)</f>
        <v>9</v>
      </c>
      <c r="B1266" s="4">
        <f>IFERROR(__xludf.DUMMYFUNCTION("""COMPUTED_VALUE"""),9.0)</f>
        <v>9</v>
      </c>
      <c r="C1266" s="4" t="str">
        <f>IFERROR(__xludf.DUMMYFUNCTION("""COMPUTED_VALUE"""),"GSW")</f>
        <v>GSW</v>
      </c>
      <c r="D1266" s="4" t="str">
        <f>IFERROR(__xludf.DUMMYFUNCTION("""COMPUTED_VALUE"""),"Patrick O'Bryant")</f>
        <v>Patrick O'Bryant</v>
      </c>
      <c r="E1266" s="4" t="str">
        <f>IFERROR(__xludf.DUMMYFUNCTION("""COMPUTED_VALUE"""),"Bradley")</f>
        <v>Bradley</v>
      </c>
      <c r="F1266" s="4">
        <f>IFERROR(__xludf.DUMMYFUNCTION("""COMPUTED_VALUE"""),4.0)</f>
        <v>4</v>
      </c>
      <c r="G1266" s="4">
        <f>IFERROR(__xludf.DUMMYFUNCTION("""COMPUTED_VALUE"""),90.0)</f>
        <v>90</v>
      </c>
      <c r="H1266" s="4">
        <f>IFERROR(__xludf.DUMMYFUNCTION("""COMPUTED_VALUE"""),524.0)</f>
        <v>524</v>
      </c>
      <c r="I1266" s="4">
        <f>IFERROR(__xludf.DUMMYFUNCTION("""COMPUTED_VALUE"""),186.0)</f>
        <v>186</v>
      </c>
      <c r="J1266" s="4">
        <f>IFERROR(__xludf.DUMMYFUNCTION("""COMPUTED_VALUE"""),127.0)</f>
        <v>127</v>
      </c>
      <c r="K1266" s="4">
        <f>IFERROR(__xludf.DUMMYFUNCTION("""COMPUTED_VALUE"""),25.0)</f>
        <v>25</v>
      </c>
      <c r="L1266" s="4">
        <f>IFERROR(__xludf.DUMMYFUNCTION("""COMPUTED_VALUE"""),0.494)</f>
        <v>0.494</v>
      </c>
      <c r="M1266" s="4">
        <f>IFERROR(__xludf.DUMMYFUNCTION("""COMPUTED_VALUE"""),0.0)</f>
        <v>0</v>
      </c>
      <c r="N1266" s="4">
        <f>IFERROR(__xludf.DUMMYFUNCTION("""COMPUTED_VALUE"""),0.583)</f>
        <v>0.583</v>
      </c>
      <c r="O1266" s="4">
        <f>IFERROR(__xludf.DUMMYFUNCTION("""COMPUTED_VALUE"""),5.8)</f>
        <v>5.8</v>
      </c>
      <c r="P1266" s="4">
        <f>IFERROR(__xludf.DUMMYFUNCTION("""COMPUTED_VALUE"""),2.1)</f>
        <v>2.1</v>
      </c>
      <c r="Q1266" s="4">
        <f>IFERROR(__xludf.DUMMYFUNCTION("""COMPUTED_VALUE"""),1.4)</f>
        <v>1.4</v>
      </c>
      <c r="R1266" s="4">
        <f>IFERROR(__xludf.DUMMYFUNCTION("""COMPUTED_VALUE"""),0.3)</f>
        <v>0.3</v>
      </c>
      <c r="S1266" s="4">
        <f>IFERROR(__xludf.DUMMYFUNCTION("""COMPUTED_VALUE"""),0.5)</f>
        <v>0.5</v>
      </c>
      <c r="T1266" s="4">
        <f>IFERROR(__xludf.DUMMYFUNCTION("""COMPUTED_VALUE"""),0.046)</f>
        <v>0.046</v>
      </c>
      <c r="U1266" s="4">
        <f>IFERROR(__xludf.DUMMYFUNCTION("""COMPUTED_VALUE"""),-4.6)</f>
        <v>-4.6</v>
      </c>
      <c r="V1266" s="4">
        <f>IFERROR(__xludf.DUMMYFUNCTION("""COMPUTED_VALUE"""),-0.3)</f>
        <v>-0.3</v>
      </c>
    </row>
    <row r="1267">
      <c r="A1267" s="4">
        <f>IFERROR(__xludf.DUMMYFUNCTION("""COMPUTED_VALUE"""),10.0)</f>
        <v>10</v>
      </c>
      <c r="B1267" s="4">
        <f>IFERROR(__xludf.DUMMYFUNCTION("""COMPUTED_VALUE"""),10.0)</f>
        <v>10</v>
      </c>
      <c r="C1267" s="4" t="str">
        <f>IFERROR(__xludf.DUMMYFUNCTION("""COMPUTED_VALUE"""),"SEA")</f>
        <v>SEA</v>
      </c>
      <c r="D1267" s="4" t="str">
        <f>IFERROR(__xludf.DUMMYFUNCTION("""COMPUTED_VALUE"""),"Mouhamed Sene")</f>
        <v>Mouhamed Sene</v>
      </c>
      <c r="E1267" s="4"/>
      <c r="F1267" s="4">
        <f>IFERROR(__xludf.DUMMYFUNCTION("""COMPUTED_VALUE"""),3.0)</f>
        <v>3</v>
      </c>
      <c r="G1267" s="4">
        <f>IFERROR(__xludf.DUMMYFUNCTION("""COMPUTED_VALUE"""),47.0)</f>
        <v>47</v>
      </c>
      <c r="H1267" s="4">
        <f>IFERROR(__xludf.DUMMYFUNCTION("""COMPUTED_VALUE"""),260.0)</f>
        <v>260</v>
      </c>
      <c r="I1267" s="4">
        <f>IFERROR(__xludf.DUMMYFUNCTION("""COMPUTED_VALUE"""),103.0)</f>
        <v>103</v>
      </c>
      <c r="J1267" s="4">
        <f>IFERROR(__xludf.DUMMYFUNCTION("""COMPUTED_VALUE"""),75.0)</f>
        <v>75</v>
      </c>
      <c r="K1267" s="4">
        <f>IFERROR(__xludf.DUMMYFUNCTION("""COMPUTED_VALUE"""),1.0)</f>
        <v>1</v>
      </c>
      <c r="L1267" s="4">
        <f>IFERROR(__xludf.DUMMYFUNCTION("""COMPUTED_VALUE"""),0.427)</f>
        <v>0.427</v>
      </c>
      <c r="M1267" s="4"/>
      <c r="N1267" s="4">
        <f>IFERROR(__xludf.DUMMYFUNCTION("""COMPUTED_VALUE"""),0.589)</f>
        <v>0.589</v>
      </c>
      <c r="O1267" s="4">
        <f>IFERROR(__xludf.DUMMYFUNCTION("""COMPUTED_VALUE"""),5.5)</f>
        <v>5.5</v>
      </c>
      <c r="P1267" s="4">
        <f>IFERROR(__xludf.DUMMYFUNCTION("""COMPUTED_VALUE"""),2.2)</f>
        <v>2.2</v>
      </c>
      <c r="Q1267" s="4">
        <f>IFERROR(__xludf.DUMMYFUNCTION("""COMPUTED_VALUE"""),1.6)</f>
        <v>1.6</v>
      </c>
      <c r="R1267" s="4">
        <f>IFERROR(__xludf.DUMMYFUNCTION("""COMPUTED_VALUE"""),0.0)</f>
        <v>0</v>
      </c>
      <c r="S1267" s="4">
        <f>IFERROR(__xludf.DUMMYFUNCTION("""COMPUTED_VALUE"""),0.3)</f>
        <v>0.3</v>
      </c>
      <c r="T1267" s="4">
        <f>IFERROR(__xludf.DUMMYFUNCTION("""COMPUTED_VALUE"""),0.052)</f>
        <v>0.052</v>
      </c>
      <c r="U1267" s="4">
        <f>IFERROR(__xludf.DUMMYFUNCTION("""COMPUTED_VALUE"""),-5.1)</f>
        <v>-5.1</v>
      </c>
      <c r="V1267" s="4">
        <f>IFERROR(__xludf.DUMMYFUNCTION("""COMPUTED_VALUE"""),-0.2)</f>
        <v>-0.2</v>
      </c>
    </row>
    <row r="1268">
      <c r="A1268" s="4">
        <f>IFERROR(__xludf.DUMMYFUNCTION("""COMPUTED_VALUE"""),11.0)</f>
        <v>11</v>
      </c>
      <c r="B1268" s="4">
        <f>IFERROR(__xludf.DUMMYFUNCTION("""COMPUTED_VALUE"""),11.0)</f>
        <v>11</v>
      </c>
      <c r="C1268" s="4" t="str">
        <f>IFERROR(__xludf.DUMMYFUNCTION("""COMPUTED_VALUE"""),"ORL")</f>
        <v>ORL</v>
      </c>
      <c r="D1268" s="4" t="str">
        <f>IFERROR(__xludf.DUMMYFUNCTION("""COMPUTED_VALUE"""),"JJ Redick")</f>
        <v>JJ Redick</v>
      </c>
      <c r="E1268" s="4" t="str">
        <f>IFERROR(__xludf.DUMMYFUNCTION("""COMPUTED_VALUE"""),"Duke")</f>
        <v>Duke</v>
      </c>
      <c r="F1268" s="4">
        <f>IFERROR(__xludf.DUMMYFUNCTION("""COMPUTED_VALUE"""),15.0)</f>
        <v>15</v>
      </c>
      <c r="G1268" s="4">
        <f>IFERROR(__xludf.DUMMYFUNCTION("""COMPUTED_VALUE"""),940.0)</f>
        <v>940</v>
      </c>
      <c r="H1268" s="4">
        <f>IFERROR(__xludf.DUMMYFUNCTION("""COMPUTED_VALUE"""),23964.0)</f>
        <v>23964</v>
      </c>
      <c r="I1268" s="4">
        <f>IFERROR(__xludf.DUMMYFUNCTION("""COMPUTED_VALUE"""),12028.0)</f>
        <v>12028</v>
      </c>
      <c r="J1268" s="4">
        <f>IFERROR(__xludf.DUMMYFUNCTION("""COMPUTED_VALUE"""),1903.0)</f>
        <v>1903</v>
      </c>
      <c r="K1268" s="4">
        <f>IFERROR(__xludf.DUMMYFUNCTION("""COMPUTED_VALUE"""),1862.0)</f>
        <v>1862</v>
      </c>
      <c r="L1268" s="4">
        <f>IFERROR(__xludf.DUMMYFUNCTION("""COMPUTED_VALUE"""),0.447)</f>
        <v>0.447</v>
      </c>
      <c r="M1268" s="4">
        <f>IFERROR(__xludf.DUMMYFUNCTION("""COMPUTED_VALUE"""),0.415)</f>
        <v>0.415</v>
      </c>
      <c r="N1268" s="4">
        <f>IFERROR(__xludf.DUMMYFUNCTION("""COMPUTED_VALUE"""),0.892)</f>
        <v>0.892</v>
      </c>
      <c r="O1268" s="4">
        <f>IFERROR(__xludf.DUMMYFUNCTION("""COMPUTED_VALUE"""),25.5)</f>
        <v>25.5</v>
      </c>
      <c r="P1268" s="4">
        <f>IFERROR(__xludf.DUMMYFUNCTION("""COMPUTED_VALUE"""),12.8)</f>
        <v>12.8</v>
      </c>
      <c r="Q1268" s="4">
        <f>IFERROR(__xludf.DUMMYFUNCTION("""COMPUTED_VALUE"""),2.0)</f>
        <v>2</v>
      </c>
      <c r="R1268" s="4">
        <f>IFERROR(__xludf.DUMMYFUNCTION("""COMPUTED_VALUE"""),2.0)</f>
        <v>2</v>
      </c>
      <c r="S1268" s="4">
        <f>IFERROR(__xludf.DUMMYFUNCTION("""COMPUTED_VALUE"""),63.7)</f>
        <v>63.7</v>
      </c>
      <c r="T1268" s="4">
        <f>IFERROR(__xludf.DUMMYFUNCTION("""COMPUTED_VALUE"""),0.128)</f>
        <v>0.128</v>
      </c>
      <c r="U1268" s="4">
        <f>IFERROR(__xludf.DUMMYFUNCTION("""COMPUTED_VALUE"""),0.6)</f>
        <v>0.6</v>
      </c>
      <c r="V1268" s="4">
        <f>IFERROR(__xludf.DUMMYFUNCTION("""COMPUTED_VALUE"""),16.0)</f>
        <v>16</v>
      </c>
    </row>
    <row r="1269">
      <c r="A1269" s="4">
        <f>IFERROR(__xludf.DUMMYFUNCTION("""COMPUTED_VALUE"""),12.0)</f>
        <v>12</v>
      </c>
      <c r="B1269" s="4">
        <f>IFERROR(__xludf.DUMMYFUNCTION("""COMPUTED_VALUE"""),12.0)</f>
        <v>12</v>
      </c>
      <c r="C1269" s="4" t="str">
        <f>IFERROR(__xludf.DUMMYFUNCTION("""COMPUTED_VALUE"""),"NOK")</f>
        <v>NOK</v>
      </c>
      <c r="D1269" s="4" t="str">
        <f>IFERROR(__xludf.DUMMYFUNCTION("""COMPUTED_VALUE"""),"Hilton Armstrong")</f>
        <v>Hilton Armstrong</v>
      </c>
      <c r="E1269" s="4" t="str">
        <f>IFERROR(__xludf.DUMMYFUNCTION("""COMPUTED_VALUE"""),"UConn")</f>
        <v>UConn</v>
      </c>
      <c r="F1269" s="4">
        <f>IFERROR(__xludf.DUMMYFUNCTION("""COMPUTED_VALUE"""),6.0)</f>
        <v>6</v>
      </c>
      <c r="G1269" s="4">
        <f>IFERROR(__xludf.DUMMYFUNCTION("""COMPUTED_VALUE"""),292.0)</f>
        <v>292</v>
      </c>
      <c r="H1269" s="4">
        <f>IFERROR(__xludf.DUMMYFUNCTION("""COMPUTED_VALUE"""),3378.0)</f>
        <v>3378</v>
      </c>
      <c r="I1269" s="4">
        <f>IFERROR(__xludf.DUMMYFUNCTION("""COMPUTED_VALUE"""),880.0)</f>
        <v>880</v>
      </c>
      <c r="J1269" s="4">
        <f>IFERROR(__xludf.DUMMYFUNCTION("""COMPUTED_VALUE"""),766.0)</f>
        <v>766</v>
      </c>
      <c r="K1269" s="4">
        <f>IFERROR(__xludf.DUMMYFUNCTION("""COMPUTED_VALUE"""),102.0)</f>
        <v>102</v>
      </c>
      <c r="L1269" s="4">
        <f>IFERROR(__xludf.DUMMYFUNCTION("""COMPUTED_VALUE"""),0.501)</f>
        <v>0.501</v>
      </c>
      <c r="M1269" s="4">
        <f>IFERROR(__xludf.DUMMYFUNCTION("""COMPUTED_VALUE"""),0.286)</f>
        <v>0.286</v>
      </c>
      <c r="N1269" s="4">
        <f>IFERROR(__xludf.DUMMYFUNCTION("""COMPUTED_VALUE"""),0.582)</f>
        <v>0.582</v>
      </c>
      <c r="O1269" s="4">
        <f>IFERROR(__xludf.DUMMYFUNCTION("""COMPUTED_VALUE"""),11.6)</f>
        <v>11.6</v>
      </c>
      <c r="P1269" s="4">
        <f>IFERROR(__xludf.DUMMYFUNCTION("""COMPUTED_VALUE"""),3.0)</f>
        <v>3</v>
      </c>
      <c r="Q1269" s="4">
        <f>IFERROR(__xludf.DUMMYFUNCTION("""COMPUTED_VALUE"""),2.6)</f>
        <v>2.6</v>
      </c>
      <c r="R1269" s="4">
        <f>IFERROR(__xludf.DUMMYFUNCTION("""COMPUTED_VALUE"""),0.3)</f>
        <v>0.3</v>
      </c>
      <c r="S1269" s="4">
        <f>IFERROR(__xludf.DUMMYFUNCTION("""COMPUTED_VALUE"""),3.9)</f>
        <v>3.9</v>
      </c>
      <c r="T1269" s="4">
        <f>IFERROR(__xludf.DUMMYFUNCTION("""COMPUTED_VALUE"""),0.055)</f>
        <v>0.055</v>
      </c>
      <c r="U1269" s="4">
        <f>IFERROR(__xludf.DUMMYFUNCTION("""COMPUTED_VALUE"""),-4.1)</f>
        <v>-4.1</v>
      </c>
      <c r="V1269" s="4">
        <f>IFERROR(__xludf.DUMMYFUNCTION("""COMPUTED_VALUE"""),-1.8)</f>
        <v>-1.8</v>
      </c>
    </row>
    <row r="1270">
      <c r="A1270" s="4">
        <f>IFERROR(__xludf.DUMMYFUNCTION("""COMPUTED_VALUE"""),13.0)</f>
        <v>13</v>
      </c>
      <c r="B1270" s="4">
        <f>IFERROR(__xludf.DUMMYFUNCTION("""COMPUTED_VALUE"""),13.0)</f>
        <v>13</v>
      </c>
      <c r="C1270" s="4" t="str">
        <f>IFERROR(__xludf.DUMMYFUNCTION("""COMPUTED_VALUE"""),"PHI")</f>
        <v>PHI</v>
      </c>
      <c r="D1270" s="4" t="str">
        <f>IFERROR(__xludf.DUMMYFUNCTION("""COMPUTED_VALUE"""),"Thabo Sefolosha")</f>
        <v>Thabo Sefolosha</v>
      </c>
      <c r="E1270" s="4"/>
      <c r="F1270" s="4">
        <f>IFERROR(__xludf.DUMMYFUNCTION("""COMPUTED_VALUE"""),14.0)</f>
        <v>14</v>
      </c>
      <c r="G1270" s="4">
        <f>IFERROR(__xludf.DUMMYFUNCTION("""COMPUTED_VALUE"""),869.0)</f>
        <v>869</v>
      </c>
      <c r="H1270" s="4">
        <f>IFERROR(__xludf.DUMMYFUNCTION("""COMPUTED_VALUE"""),19062.0)</f>
        <v>19062</v>
      </c>
      <c r="I1270" s="4">
        <f>IFERROR(__xludf.DUMMYFUNCTION("""COMPUTED_VALUE"""),4994.0)</f>
        <v>4994</v>
      </c>
      <c r="J1270" s="4">
        <f>IFERROR(__xludf.DUMMYFUNCTION("""COMPUTED_VALUE"""),3252.0)</f>
        <v>3252</v>
      </c>
      <c r="K1270" s="4">
        <f>IFERROR(__xludf.DUMMYFUNCTION("""COMPUTED_VALUE"""),1196.0)</f>
        <v>1196</v>
      </c>
      <c r="L1270" s="4">
        <f>IFERROR(__xludf.DUMMYFUNCTION("""COMPUTED_VALUE"""),0.449)</f>
        <v>0.449</v>
      </c>
      <c r="M1270" s="4">
        <f>IFERROR(__xludf.DUMMYFUNCTION("""COMPUTED_VALUE"""),0.349)</f>
        <v>0.349</v>
      </c>
      <c r="N1270" s="4">
        <f>IFERROR(__xludf.DUMMYFUNCTION("""COMPUTED_VALUE"""),0.732)</f>
        <v>0.732</v>
      </c>
      <c r="O1270" s="4">
        <f>IFERROR(__xludf.DUMMYFUNCTION("""COMPUTED_VALUE"""),21.9)</f>
        <v>21.9</v>
      </c>
      <c r="P1270" s="4">
        <f>IFERROR(__xludf.DUMMYFUNCTION("""COMPUTED_VALUE"""),5.7)</f>
        <v>5.7</v>
      </c>
      <c r="Q1270" s="4">
        <f>IFERROR(__xludf.DUMMYFUNCTION("""COMPUTED_VALUE"""),3.7)</f>
        <v>3.7</v>
      </c>
      <c r="R1270" s="4">
        <f>IFERROR(__xludf.DUMMYFUNCTION("""COMPUTED_VALUE"""),1.4)</f>
        <v>1.4</v>
      </c>
      <c r="S1270" s="4">
        <f>IFERROR(__xludf.DUMMYFUNCTION("""COMPUTED_VALUE"""),39.3)</f>
        <v>39.3</v>
      </c>
      <c r="T1270" s="4">
        <f>IFERROR(__xludf.DUMMYFUNCTION("""COMPUTED_VALUE"""),0.099)</f>
        <v>0.099</v>
      </c>
      <c r="U1270" s="4">
        <f>IFERROR(__xludf.DUMMYFUNCTION("""COMPUTED_VALUE"""),0.6)</f>
        <v>0.6</v>
      </c>
      <c r="V1270" s="4">
        <f>IFERROR(__xludf.DUMMYFUNCTION("""COMPUTED_VALUE"""),12.4)</f>
        <v>12.4</v>
      </c>
    </row>
    <row r="1271">
      <c r="A1271" s="4">
        <f>IFERROR(__xludf.DUMMYFUNCTION("""COMPUTED_VALUE"""),14.0)</f>
        <v>14</v>
      </c>
      <c r="B1271" s="4">
        <f>IFERROR(__xludf.DUMMYFUNCTION("""COMPUTED_VALUE"""),14.0)</f>
        <v>14</v>
      </c>
      <c r="C1271" s="4" t="str">
        <f>IFERROR(__xludf.DUMMYFUNCTION("""COMPUTED_VALUE"""),"UTA")</f>
        <v>UTA</v>
      </c>
      <c r="D1271" s="4" t="str">
        <f>IFERROR(__xludf.DUMMYFUNCTION("""COMPUTED_VALUE"""),"Ronnie Brewer")</f>
        <v>Ronnie Brewer</v>
      </c>
      <c r="E1271" s="4" t="str">
        <f>IFERROR(__xludf.DUMMYFUNCTION("""COMPUTED_VALUE"""),"Arkansas")</f>
        <v>Arkansas</v>
      </c>
      <c r="F1271" s="4">
        <f>IFERROR(__xludf.DUMMYFUNCTION("""COMPUTED_VALUE"""),8.0)</f>
        <v>8</v>
      </c>
      <c r="G1271" s="4">
        <f>IFERROR(__xludf.DUMMYFUNCTION("""COMPUTED_VALUE"""),502.0)</f>
        <v>502</v>
      </c>
      <c r="H1271" s="4">
        <f>IFERROR(__xludf.DUMMYFUNCTION("""COMPUTED_VALUE"""),11539.0)</f>
        <v>11539</v>
      </c>
      <c r="I1271" s="4">
        <f>IFERROR(__xludf.DUMMYFUNCTION("""COMPUTED_VALUE"""),3940.0)</f>
        <v>3940</v>
      </c>
      <c r="J1271" s="4">
        <f>IFERROR(__xludf.DUMMYFUNCTION("""COMPUTED_VALUE"""),1427.0)</f>
        <v>1427</v>
      </c>
      <c r="K1271" s="4">
        <f>IFERROR(__xludf.DUMMYFUNCTION("""COMPUTED_VALUE"""),828.0)</f>
        <v>828</v>
      </c>
      <c r="L1271" s="4">
        <f>IFERROR(__xludf.DUMMYFUNCTION("""COMPUTED_VALUE"""),0.49)</f>
        <v>0.49</v>
      </c>
      <c r="M1271" s="4">
        <f>IFERROR(__xludf.DUMMYFUNCTION("""COMPUTED_VALUE"""),0.254)</f>
        <v>0.254</v>
      </c>
      <c r="N1271" s="4">
        <f>IFERROR(__xludf.DUMMYFUNCTION("""COMPUTED_VALUE"""),0.675)</f>
        <v>0.675</v>
      </c>
      <c r="O1271" s="4">
        <f>IFERROR(__xludf.DUMMYFUNCTION("""COMPUTED_VALUE"""),23.0)</f>
        <v>23</v>
      </c>
      <c r="P1271" s="4">
        <f>IFERROR(__xludf.DUMMYFUNCTION("""COMPUTED_VALUE"""),7.8)</f>
        <v>7.8</v>
      </c>
      <c r="Q1271" s="4">
        <f>IFERROR(__xludf.DUMMYFUNCTION("""COMPUTED_VALUE"""),2.8)</f>
        <v>2.8</v>
      </c>
      <c r="R1271" s="4">
        <f>IFERROR(__xludf.DUMMYFUNCTION("""COMPUTED_VALUE"""),1.6)</f>
        <v>1.6</v>
      </c>
      <c r="S1271" s="4">
        <f>IFERROR(__xludf.DUMMYFUNCTION("""COMPUTED_VALUE"""),30.4)</f>
        <v>30.4</v>
      </c>
      <c r="T1271" s="4">
        <f>IFERROR(__xludf.DUMMYFUNCTION("""COMPUTED_VALUE"""),0.127)</f>
        <v>0.127</v>
      </c>
      <c r="U1271" s="4">
        <f>IFERROR(__xludf.DUMMYFUNCTION("""COMPUTED_VALUE"""),1.6)</f>
        <v>1.6</v>
      </c>
      <c r="V1271" s="4">
        <f>IFERROR(__xludf.DUMMYFUNCTION("""COMPUTED_VALUE"""),10.6)</f>
        <v>10.6</v>
      </c>
    </row>
    <row r="1272">
      <c r="A1272" s="4">
        <f>IFERROR(__xludf.DUMMYFUNCTION("""COMPUTED_VALUE"""),15.0)</f>
        <v>15</v>
      </c>
      <c r="B1272" s="4">
        <f>IFERROR(__xludf.DUMMYFUNCTION("""COMPUTED_VALUE"""),15.0)</f>
        <v>15</v>
      </c>
      <c r="C1272" s="4" t="str">
        <f>IFERROR(__xludf.DUMMYFUNCTION("""COMPUTED_VALUE"""),"NOK")</f>
        <v>NOK</v>
      </c>
      <c r="D1272" s="4" t="str">
        <f>IFERROR(__xludf.DUMMYFUNCTION("""COMPUTED_VALUE"""),"Cedric Simmons")</f>
        <v>Cedric Simmons</v>
      </c>
      <c r="E1272" s="4" t="str">
        <f>IFERROR(__xludf.DUMMYFUNCTION("""COMPUTED_VALUE"""),"NC State")</f>
        <v>NC State</v>
      </c>
      <c r="F1272" s="4">
        <f>IFERROR(__xludf.DUMMYFUNCTION("""COMPUTED_VALUE"""),3.0)</f>
        <v>3</v>
      </c>
      <c r="G1272" s="4">
        <f>IFERROR(__xludf.DUMMYFUNCTION("""COMPUTED_VALUE"""),75.0)</f>
        <v>75</v>
      </c>
      <c r="H1272" s="4">
        <f>IFERROR(__xludf.DUMMYFUNCTION("""COMPUTED_VALUE"""),705.0)</f>
        <v>705</v>
      </c>
      <c r="I1272" s="4">
        <f>IFERROR(__xludf.DUMMYFUNCTION("""COMPUTED_VALUE"""),163.0)</f>
        <v>163</v>
      </c>
      <c r="J1272" s="4">
        <f>IFERROR(__xludf.DUMMYFUNCTION("""COMPUTED_VALUE"""),141.0)</f>
        <v>141</v>
      </c>
      <c r="K1272" s="4">
        <f>IFERROR(__xludf.DUMMYFUNCTION("""COMPUTED_VALUE"""),14.0)</f>
        <v>14</v>
      </c>
      <c r="L1272" s="4">
        <f>IFERROR(__xludf.DUMMYFUNCTION("""COMPUTED_VALUE"""),0.409)</f>
        <v>0.409</v>
      </c>
      <c r="M1272" s="4"/>
      <c r="N1272" s="4">
        <f>IFERROR(__xludf.DUMMYFUNCTION("""COMPUTED_VALUE"""),0.39)</f>
        <v>0.39</v>
      </c>
      <c r="O1272" s="4">
        <f>IFERROR(__xludf.DUMMYFUNCTION("""COMPUTED_VALUE"""),9.4)</f>
        <v>9.4</v>
      </c>
      <c r="P1272" s="4">
        <f>IFERROR(__xludf.DUMMYFUNCTION("""COMPUTED_VALUE"""),2.2)</f>
        <v>2.2</v>
      </c>
      <c r="Q1272" s="4">
        <f>IFERROR(__xludf.DUMMYFUNCTION("""COMPUTED_VALUE"""),1.9)</f>
        <v>1.9</v>
      </c>
      <c r="R1272" s="4">
        <f>IFERROR(__xludf.DUMMYFUNCTION("""COMPUTED_VALUE"""),0.2)</f>
        <v>0.2</v>
      </c>
      <c r="S1272" s="4">
        <f>IFERROR(__xludf.DUMMYFUNCTION("""COMPUTED_VALUE"""),0.1)</f>
        <v>0.1</v>
      </c>
      <c r="T1272" s="4">
        <f>IFERROR(__xludf.DUMMYFUNCTION("""COMPUTED_VALUE"""),0.005)</f>
        <v>0.005</v>
      </c>
      <c r="U1272" s="4">
        <f>IFERROR(__xludf.DUMMYFUNCTION("""COMPUTED_VALUE"""),-5.0)</f>
        <v>-5</v>
      </c>
      <c r="V1272" s="4">
        <f>IFERROR(__xludf.DUMMYFUNCTION("""COMPUTED_VALUE"""),-0.5)</f>
        <v>-0.5</v>
      </c>
    </row>
    <row r="1273">
      <c r="A1273" s="4">
        <f>IFERROR(__xludf.DUMMYFUNCTION("""COMPUTED_VALUE"""),16.0)</f>
        <v>16</v>
      </c>
      <c r="B1273" s="4">
        <f>IFERROR(__xludf.DUMMYFUNCTION("""COMPUTED_VALUE"""),16.0)</f>
        <v>16</v>
      </c>
      <c r="C1273" s="4" t="str">
        <f>IFERROR(__xludf.DUMMYFUNCTION("""COMPUTED_VALUE"""),"CHI")</f>
        <v>CHI</v>
      </c>
      <c r="D1273" s="4" t="str">
        <f>IFERROR(__xludf.DUMMYFUNCTION("""COMPUTED_VALUE"""),"Rodney Carney")</f>
        <v>Rodney Carney</v>
      </c>
      <c r="E1273" s="4" t="str">
        <f>IFERROR(__xludf.DUMMYFUNCTION("""COMPUTED_VALUE"""),"Memphis")</f>
        <v>Memphis</v>
      </c>
      <c r="F1273" s="4">
        <f>IFERROR(__xludf.DUMMYFUNCTION("""COMPUTED_VALUE"""),5.0)</f>
        <v>5</v>
      </c>
      <c r="G1273" s="4">
        <f>IFERROR(__xludf.DUMMYFUNCTION("""COMPUTED_VALUE"""),299.0)</f>
        <v>299</v>
      </c>
      <c r="H1273" s="4">
        <f>IFERROR(__xludf.DUMMYFUNCTION("""COMPUTED_VALUE"""),4600.0)</f>
        <v>4600</v>
      </c>
      <c r="I1273" s="4">
        <f>IFERROR(__xludf.DUMMYFUNCTION("""COMPUTED_VALUE"""),1778.0)</f>
        <v>1778</v>
      </c>
      <c r="J1273" s="4">
        <f>IFERROR(__xludf.DUMMYFUNCTION("""COMPUTED_VALUE"""),588.0)</f>
        <v>588</v>
      </c>
      <c r="K1273" s="4">
        <f>IFERROR(__xludf.DUMMYFUNCTION("""COMPUTED_VALUE"""),132.0)</f>
        <v>132</v>
      </c>
      <c r="L1273" s="4">
        <f>IFERROR(__xludf.DUMMYFUNCTION("""COMPUTED_VALUE"""),0.422)</f>
        <v>0.422</v>
      </c>
      <c r="M1273" s="4">
        <f>IFERROR(__xludf.DUMMYFUNCTION("""COMPUTED_VALUE"""),0.338)</f>
        <v>0.338</v>
      </c>
      <c r="N1273" s="4">
        <f>IFERROR(__xludf.DUMMYFUNCTION("""COMPUTED_VALUE"""),0.704)</f>
        <v>0.704</v>
      </c>
      <c r="O1273" s="4">
        <f>IFERROR(__xludf.DUMMYFUNCTION("""COMPUTED_VALUE"""),15.4)</f>
        <v>15.4</v>
      </c>
      <c r="P1273" s="4">
        <f>IFERROR(__xludf.DUMMYFUNCTION("""COMPUTED_VALUE"""),5.9)</f>
        <v>5.9</v>
      </c>
      <c r="Q1273" s="4">
        <f>IFERROR(__xludf.DUMMYFUNCTION("""COMPUTED_VALUE"""),2.0)</f>
        <v>2</v>
      </c>
      <c r="R1273" s="4">
        <f>IFERROR(__xludf.DUMMYFUNCTION("""COMPUTED_VALUE"""),0.4)</f>
        <v>0.4</v>
      </c>
      <c r="S1273" s="4">
        <f>IFERROR(__xludf.DUMMYFUNCTION("""COMPUTED_VALUE"""),6.2)</f>
        <v>6.2</v>
      </c>
      <c r="T1273" s="4">
        <f>IFERROR(__xludf.DUMMYFUNCTION("""COMPUTED_VALUE"""),0.064)</f>
        <v>0.064</v>
      </c>
      <c r="U1273" s="4">
        <f>IFERROR(__xludf.DUMMYFUNCTION("""COMPUTED_VALUE"""),-1.6)</f>
        <v>-1.6</v>
      </c>
      <c r="V1273" s="4">
        <f>IFERROR(__xludf.DUMMYFUNCTION("""COMPUTED_VALUE"""),0.5)</f>
        <v>0.5</v>
      </c>
    </row>
    <row r="1274">
      <c r="A1274" s="4">
        <f>IFERROR(__xludf.DUMMYFUNCTION("""COMPUTED_VALUE"""),17.0)</f>
        <v>17</v>
      </c>
      <c r="B1274" s="4">
        <f>IFERROR(__xludf.DUMMYFUNCTION("""COMPUTED_VALUE"""),17.0)</f>
        <v>17</v>
      </c>
      <c r="C1274" s="4" t="str">
        <f>IFERROR(__xludf.DUMMYFUNCTION("""COMPUTED_VALUE"""),"IND")</f>
        <v>IND</v>
      </c>
      <c r="D1274" s="4" t="str">
        <f>IFERROR(__xludf.DUMMYFUNCTION("""COMPUTED_VALUE"""),"Shawne Williams")</f>
        <v>Shawne Williams</v>
      </c>
      <c r="E1274" s="4" t="str">
        <f>IFERROR(__xludf.DUMMYFUNCTION("""COMPUTED_VALUE"""),"Memphis")</f>
        <v>Memphis</v>
      </c>
      <c r="F1274" s="4">
        <f>IFERROR(__xludf.DUMMYFUNCTION("""COMPUTED_VALUE"""),7.0)</f>
        <v>7</v>
      </c>
      <c r="G1274" s="4">
        <f>IFERROR(__xludf.DUMMYFUNCTION("""COMPUTED_VALUE"""),314.0)</f>
        <v>314</v>
      </c>
      <c r="H1274" s="4">
        <f>IFERROR(__xludf.DUMMYFUNCTION("""COMPUTED_VALUE"""),5368.0)</f>
        <v>5368</v>
      </c>
      <c r="I1274" s="4">
        <f>IFERROR(__xludf.DUMMYFUNCTION("""COMPUTED_VALUE"""),1769.0)</f>
        <v>1769</v>
      </c>
      <c r="J1274" s="4">
        <f>IFERROR(__xludf.DUMMYFUNCTION("""COMPUTED_VALUE"""),945.0)</f>
        <v>945</v>
      </c>
      <c r="K1274" s="4">
        <f>IFERROR(__xludf.DUMMYFUNCTION("""COMPUTED_VALUE"""),220.0)</f>
        <v>220</v>
      </c>
      <c r="L1274" s="4">
        <f>IFERROR(__xludf.DUMMYFUNCTION("""COMPUTED_VALUE"""),0.403)</f>
        <v>0.403</v>
      </c>
      <c r="M1274" s="4">
        <f>IFERROR(__xludf.DUMMYFUNCTION("""COMPUTED_VALUE"""),0.339)</f>
        <v>0.339</v>
      </c>
      <c r="N1274" s="4">
        <f>IFERROR(__xludf.DUMMYFUNCTION("""COMPUTED_VALUE"""),0.755)</f>
        <v>0.755</v>
      </c>
      <c r="O1274" s="4">
        <f>IFERROR(__xludf.DUMMYFUNCTION("""COMPUTED_VALUE"""),17.1)</f>
        <v>17.1</v>
      </c>
      <c r="P1274" s="4">
        <f>IFERROR(__xludf.DUMMYFUNCTION("""COMPUTED_VALUE"""),5.6)</f>
        <v>5.6</v>
      </c>
      <c r="Q1274" s="4">
        <f>IFERROR(__xludf.DUMMYFUNCTION("""COMPUTED_VALUE"""),3.0)</f>
        <v>3</v>
      </c>
      <c r="R1274" s="4">
        <f>IFERROR(__xludf.DUMMYFUNCTION("""COMPUTED_VALUE"""),0.7)</f>
        <v>0.7</v>
      </c>
      <c r="S1274" s="4">
        <f>IFERROR(__xludf.DUMMYFUNCTION("""COMPUTED_VALUE"""),6.7)</f>
        <v>6.7</v>
      </c>
      <c r="T1274" s="4">
        <f>IFERROR(__xludf.DUMMYFUNCTION("""COMPUTED_VALUE"""),0.06)</f>
        <v>0.06</v>
      </c>
      <c r="U1274" s="4">
        <f>IFERROR(__xludf.DUMMYFUNCTION("""COMPUTED_VALUE"""),-2.2)</f>
        <v>-2.2</v>
      </c>
      <c r="V1274" s="4">
        <f>IFERROR(__xludf.DUMMYFUNCTION("""COMPUTED_VALUE"""),-0.3)</f>
        <v>-0.3</v>
      </c>
    </row>
    <row r="1275">
      <c r="A1275" s="4">
        <f>IFERROR(__xludf.DUMMYFUNCTION("""COMPUTED_VALUE"""),18.0)</f>
        <v>18</v>
      </c>
      <c r="B1275" s="4">
        <f>IFERROR(__xludf.DUMMYFUNCTION("""COMPUTED_VALUE"""),18.0)</f>
        <v>18</v>
      </c>
      <c r="C1275" s="4" t="str">
        <f>IFERROR(__xludf.DUMMYFUNCTION("""COMPUTED_VALUE"""),"WAS")</f>
        <v>WAS</v>
      </c>
      <c r="D1275" s="4" t="str">
        <f>IFERROR(__xludf.DUMMYFUNCTION("""COMPUTED_VALUE"""),"Oleksiy Pecherov")</f>
        <v>Oleksiy Pecherov</v>
      </c>
      <c r="E1275" s="4"/>
      <c r="F1275" s="4">
        <f>IFERROR(__xludf.DUMMYFUNCTION("""COMPUTED_VALUE"""),3.0)</f>
        <v>3</v>
      </c>
      <c r="G1275" s="4">
        <f>IFERROR(__xludf.DUMMYFUNCTION("""COMPUTED_VALUE"""),111.0)</f>
        <v>111</v>
      </c>
      <c r="H1275" s="4">
        <f>IFERROR(__xludf.DUMMYFUNCTION("""COMPUTED_VALUE"""),1044.0)</f>
        <v>1044</v>
      </c>
      <c r="I1275" s="4">
        <f>IFERROR(__xludf.DUMMYFUNCTION("""COMPUTED_VALUE"""),438.0)</f>
        <v>438</v>
      </c>
      <c r="J1275" s="4">
        <f>IFERROR(__xludf.DUMMYFUNCTION("""COMPUTED_VALUE"""),266.0)</f>
        <v>266</v>
      </c>
      <c r="K1275" s="4">
        <f>IFERROR(__xludf.DUMMYFUNCTION("""COMPUTED_VALUE"""),20.0)</f>
        <v>20</v>
      </c>
      <c r="L1275" s="4">
        <f>IFERROR(__xludf.DUMMYFUNCTION("""COMPUTED_VALUE"""),0.386)</f>
        <v>0.386</v>
      </c>
      <c r="M1275" s="4">
        <f>IFERROR(__xludf.DUMMYFUNCTION("""COMPUTED_VALUE"""),0.29)</f>
        <v>0.29</v>
      </c>
      <c r="N1275" s="4">
        <f>IFERROR(__xludf.DUMMYFUNCTION("""COMPUTED_VALUE"""),0.793)</f>
        <v>0.793</v>
      </c>
      <c r="O1275" s="4">
        <f>IFERROR(__xludf.DUMMYFUNCTION("""COMPUTED_VALUE"""),9.4)</f>
        <v>9.4</v>
      </c>
      <c r="P1275" s="4">
        <f>IFERROR(__xludf.DUMMYFUNCTION("""COMPUTED_VALUE"""),3.9)</f>
        <v>3.9</v>
      </c>
      <c r="Q1275" s="4">
        <f>IFERROR(__xludf.DUMMYFUNCTION("""COMPUTED_VALUE"""),2.4)</f>
        <v>2.4</v>
      </c>
      <c r="R1275" s="4">
        <f>IFERROR(__xludf.DUMMYFUNCTION("""COMPUTED_VALUE"""),0.2)</f>
        <v>0.2</v>
      </c>
      <c r="S1275" s="4">
        <f>IFERROR(__xludf.DUMMYFUNCTION("""COMPUTED_VALUE"""),0.5)</f>
        <v>0.5</v>
      </c>
      <c r="T1275" s="4">
        <f>IFERROR(__xludf.DUMMYFUNCTION("""COMPUTED_VALUE"""),0.025)</f>
        <v>0.025</v>
      </c>
      <c r="U1275" s="4">
        <f>IFERROR(__xludf.DUMMYFUNCTION("""COMPUTED_VALUE"""),-4.8)</f>
        <v>-4.8</v>
      </c>
      <c r="V1275" s="4">
        <f>IFERROR(__xludf.DUMMYFUNCTION("""COMPUTED_VALUE"""),-0.7)</f>
        <v>-0.7</v>
      </c>
    </row>
    <row r="1276">
      <c r="A1276" s="4">
        <f>IFERROR(__xludf.DUMMYFUNCTION("""COMPUTED_VALUE"""),19.0)</f>
        <v>19</v>
      </c>
      <c r="B1276" s="4">
        <f>IFERROR(__xludf.DUMMYFUNCTION("""COMPUTED_VALUE"""),19.0)</f>
        <v>19</v>
      </c>
      <c r="C1276" s="4" t="str">
        <f>IFERROR(__xludf.DUMMYFUNCTION("""COMPUTED_VALUE"""),"SAC")</f>
        <v>SAC</v>
      </c>
      <c r="D1276" s="4" t="str">
        <f>IFERROR(__xludf.DUMMYFUNCTION("""COMPUTED_VALUE"""),"Quincy Douby")</f>
        <v>Quincy Douby</v>
      </c>
      <c r="E1276" s="4" t="str">
        <f>IFERROR(__xludf.DUMMYFUNCTION("""COMPUTED_VALUE"""),"Rutgers University")</f>
        <v>Rutgers University</v>
      </c>
      <c r="F1276" s="4">
        <f>IFERROR(__xludf.DUMMYFUNCTION("""COMPUTED_VALUE"""),3.0)</f>
        <v>3</v>
      </c>
      <c r="G1276" s="4">
        <f>IFERROR(__xludf.DUMMYFUNCTION("""COMPUTED_VALUE"""),143.0)</f>
        <v>143</v>
      </c>
      <c r="H1276" s="4">
        <f>IFERROR(__xludf.DUMMYFUNCTION("""COMPUTED_VALUE"""),1535.0)</f>
        <v>1535</v>
      </c>
      <c r="I1276" s="4">
        <f>IFERROR(__xludf.DUMMYFUNCTION("""COMPUTED_VALUE"""),588.0)</f>
        <v>588</v>
      </c>
      <c r="J1276" s="4">
        <f>IFERROR(__xludf.DUMMYFUNCTION("""COMPUTED_VALUE"""),152.0)</f>
        <v>152</v>
      </c>
      <c r="K1276" s="4">
        <f>IFERROR(__xludf.DUMMYFUNCTION("""COMPUTED_VALUE"""),93.0)</f>
        <v>93</v>
      </c>
      <c r="L1276" s="4">
        <f>IFERROR(__xludf.DUMMYFUNCTION("""COMPUTED_VALUE"""),0.389)</f>
        <v>0.389</v>
      </c>
      <c r="M1276" s="4">
        <f>IFERROR(__xludf.DUMMYFUNCTION("""COMPUTED_VALUE"""),0.312)</f>
        <v>0.312</v>
      </c>
      <c r="N1276" s="4">
        <f>IFERROR(__xludf.DUMMYFUNCTION("""COMPUTED_VALUE"""),0.884)</f>
        <v>0.884</v>
      </c>
      <c r="O1276" s="4">
        <f>IFERROR(__xludf.DUMMYFUNCTION("""COMPUTED_VALUE"""),10.7)</f>
        <v>10.7</v>
      </c>
      <c r="P1276" s="4">
        <f>IFERROR(__xludf.DUMMYFUNCTION("""COMPUTED_VALUE"""),4.1)</f>
        <v>4.1</v>
      </c>
      <c r="Q1276" s="4">
        <f>IFERROR(__xludf.DUMMYFUNCTION("""COMPUTED_VALUE"""),1.1)</f>
        <v>1.1</v>
      </c>
      <c r="R1276" s="4">
        <f>IFERROR(__xludf.DUMMYFUNCTION("""COMPUTED_VALUE"""),0.7)</f>
        <v>0.7</v>
      </c>
      <c r="S1276" s="4">
        <f>IFERROR(__xludf.DUMMYFUNCTION("""COMPUTED_VALUE"""),0.0)</f>
        <v>0</v>
      </c>
      <c r="T1276" s="4">
        <f>IFERROR(__xludf.DUMMYFUNCTION("""COMPUTED_VALUE"""),0.0)</f>
        <v>0</v>
      </c>
      <c r="U1276" s="4">
        <f>IFERROR(__xludf.DUMMYFUNCTION("""COMPUTED_VALUE"""),-3.5)</f>
        <v>-3.5</v>
      </c>
      <c r="V1276" s="4">
        <f>IFERROR(__xludf.DUMMYFUNCTION("""COMPUTED_VALUE"""),-0.6)</f>
        <v>-0.6</v>
      </c>
    </row>
    <row r="1277">
      <c r="A1277" s="4">
        <f>IFERROR(__xludf.DUMMYFUNCTION("""COMPUTED_VALUE"""),20.0)</f>
        <v>20</v>
      </c>
      <c r="B1277" s="4">
        <f>IFERROR(__xludf.DUMMYFUNCTION("""COMPUTED_VALUE"""),20.0)</f>
        <v>20</v>
      </c>
      <c r="C1277" s="4" t="str">
        <f>IFERROR(__xludf.DUMMYFUNCTION("""COMPUTED_VALUE"""),"NYK")</f>
        <v>NYK</v>
      </c>
      <c r="D1277" s="4" t="str">
        <f>IFERROR(__xludf.DUMMYFUNCTION("""COMPUTED_VALUE"""),"Renaldo Balkman")</f>
        <v>Renaldo Balkman</v>
      </c>
      <c r="E1277" s="4" t="str">
        <f>IFERROR(__xludf.DUMMYFUNCTION("""COMPUTED_VALUE"""),"South Carolina")</f>
        <v>South Carolina</v>
      </c>
      <c r="F1277" s="4">
        <f>IFERROR(__xludf.DUMMYFUNCTION("""COMPUTED_VALUE"""),6.0)</f>
        <v>6</v>
      </c>
      <c r="G1277" s="4">
        <f>IFERROR(__xludf.DUMMYFUNCTION("""COMPUTED_VALUE"""),221.0)</f>
        <v>221</v>
      </c>
      <c r="H1277" s="4">
        <f>IFERROR(__xludf.DUMMYFUNCTION("""COMPUTED_VALUE"""),3064.0)</f>
        <v>3064</v>
      </c>
      <c r="I1277" s="4">
        <f>IFERROR(__xludf.DUMMYFUNCTION("""COMPUTED_VALUE"""),894.0)</f>
        <v>894</v>
      </c>
      <c r="J1277" s="4">
        <f>IFERROR(__xludf.DUMMYFUNCTION("""COMPUTED_VALUE"""),769.0)</f>
        <v>769</v>
      </c>
      <c r="K1277" s="4">
        <f>IFERROR(__xludf.DUMMYFUNCTION("""COMPUTED_VALUE"""),132.0)</f>
        <v>132</v>
      </c>
      <c r="L1277" s="4">
        <f>IFERROR(__xludf.DUMMYFUNCTION("""COMPUTED_VALUE"""),0.51)</f>
        <v>0.51</v>
      </c>
      <c r="M1277" s="4">
        <f>IFERROR(__xludf.DUMMYFUNCTION("""COMPUTED_VALUE"""),0.172)</f>
        <v>0.172</v>
      </c>
      <c r="N1277" s="4">
        <f>IFERROR(__xludf.DUMMYFUNCTION("""COMPUTED_VALUE"""),0.542)</f>
        <v>0.542</v>
      </c>
      <c r="O1277" s="4">
        <f>IFERROR(__xludf.DUMMYFUNCTION("""COMPUTED_VALUE"""),13.9)</f>
        <v>13.9</v>
      </c>
      <c r="P1277" s="4">
        <f>IFERROR(__xludf.DUMMYFUNCTION("""COMPUTED_VALUE"""),4.0)</f>
        <v>4</v>
      </c>
      <c r="Q1277" s="4">
        <f>IFERROR(__xludf.DUMMYFUNCTION("""COMPUTED_VALUE"""),3.5)</f>
        <v>3.5</v>
      </c>
      <c r="R1277" s="4">
        <f>IFERROR(__xludf.DUMMYFUNCTION("""COMPUTED_VALUE"""),0.6)</f>
        <v>0.6</v>
      </c>
      <c r="S1277" s="4">
        <f>IFERROR(__xludf.DUMMYFUNCTION("""COMPUTED_VALUE"""),7.2)</f>
        <v>7.2</v>
      </c>
      <c r="T1277" s="4">
        <f>IFERROR(__xludf.DUMMYFUNCTION("""COMPUTED_VALUE"""),0.113)</f>
        <v>0.113</v>
      </c>
      <c r="U1277" s="4">
        <f>IFERROR(__xludf.DUMMYFUNCTION("""COMPUTED_VALUE"""),0.1)</f>
        <v>0.1</v>
      </c>
      <c r="V1277" s="4">
        <f>IFERROR(__xludf.DUMMYFUNCTION("""COMPUTED_VALUE"""),1.6)</f>
        <v>1.6</v>
      </c>
    </row>
    <row r="1278">
      <c r="A1278" s="4">
        <f>IFERROR(__xludf.DUMMYFUNCTION("""COMPUTED_VALUE"""),21.0)</f>
        <v>21</v>
      </c>
      <c r="B1278" s="4">
        <f>IFERROR(__xludf.DUMMYFUNCTION("""COMPUTED_VALUE"""),21.0)</f>
        <v>21</v>
      </c>
      <c r="C1278" s="4" t="str">
        <f>IFERROR(__xludf.DUMMYFUNCTION("""COMPUTED_VALUE"""),"PHO")</f>
        <v>PHO</v>
      </c>
      <c r="D1278" s="4" t="str">
        <f>IFERROR(__xludf.DUMMYFUNCTION("""COMPUTED_VALUE"""),"Rajon Rondo")</f>
        <v>Rajon Rondo</v>
      </c>
      <c r="E1278" s="4" t="str">
        <f>IFERROR(__xludf.DUMMYFUNCTION("""COMPUTED_VALUE"""),"Kentucky")</f>
        <v>Kentucky</v>
      </c>
      <c r="F1278" s="4">
        <f>IFERROR(__xludf.DUMMYFUNCTION("""COMPUTED_VALUE"""),16.0)</f>
        <v>16</v>
      </c>
      <c r="G1278" s="4">
        <f>IFERROR(__xludf.DUMMYFUNCTION("""COMPUTED_VALUE"""),957.0)</f>
        <v>957</v>
      </c>
      <c r="H1278" s="4">
        <f>IFERROR(__xludf.DUMMYFUNCTION("""COMPUTED_VALUE"""),28571.0)</f>
        <v>28571</v>
      </c>
      <c r="I1278" s="4">
        <f>IFERROR(__xludf.DUMMYFUNCTION("""COMPUTED_VALUE"""),9337.0)</f>
        <v>9337</v>
      </c>
      <c r="J1278" s="4">
        <f>IFERROR(__xludf.DUMMYFUNCTION("""COMPUTED_VALUE"""),4349.0)</f>
        <v>4349</v>
      </c>
      <c r="K1278" s="4">
        <f>IFERROR(__xludf.DUMMYFUNCTION("""COMPUTED_VALUE"""),7584.0)</f>
        <v>7584</v>
      </c>
      <c r="L1278" s="4">
        <f>IFERROR(__xludf.DUMMYFUNCTION("""COMPUTED_VALUE"""),0.456)</f>
        <v>0.456</v>
      </c>
      <c r="M1278" s="4">
        <f>IFERROR(__xludf.DUMMYFUNCTION("""COMPUTED_VALUE"""),0.324)</f>
        <v>0.324</v>
      </c>
      <c r="N1278" s="4">
        <f>IFERROR(__xludf.DUMMYFUNCTION("""COMPUTED_VALUE"""),0.611)</f>
        <v>0.611</v>
      </c>
      <c r="O1278" s="4">
        <f>IFERROR(__xludf.DUMMYFUNCTION("""COMPUTED_VALUE"""),29.9)</f>
        <v>29.9</v>
      </c>
      <c r="P1278" s="4">
        <f>IFERROR(__xludf.DUMMYFUNCTION("""COMPUTED_VALUE"""),9.8)</f>
        <v>9.8</v>
      </c>
      <c r="Q1278" s="4">
        <f>IFERROR(__xludf.DUMMYFUNCTION("""COMPUTED_VALUE"""),4.5)</f>
        <v>4.5</v>
      </c>
      <c r="R1278" s="4">
        <f>IFERROR(__xludf.DUMMYFUNCTION("""COMPUTED_VALUE"""),7.9)</f>
        <v>7.9</v>
      </c>
      <c r="S1278" s="4">
        <f>IFERROR(__xludf.DUMMYFUNCTION("""COMPUTED_VALUE"""),61.8)</f>
        <v>61.8</v>
      </c>
      <c r="T1278" s="4">
        <f>IFERROR(__xludf.DUMMYFUNCTION("""COMPUTED_VALUE"""),0.104)</f>
        <v>0.104</v>
      </c>
      <c r="U1278" s="4">
        <f>IFERROR(__xludf.DUMMYFUNCTION("""COMPUTED_VALUE"""),1.2)</f>
        <v>1.2</v>
      </c>
      <c r="V1278" s="4">
        <f>IFERROR(__xludf.DUMMYFUNCTION("""COMPUTED_VALUE"""),23.2)</f>
        <v>23.2</v>
      </c>
    </row>
    <row r="1279">
      <c r="A1279" s="4">
        <f>IFERROR(__xludf.DUMMYFUNCTION("""COMPUTED_VALUE"""),22.0)</f>
        <v>22</v>
      </c>
      <c r="B1279" s="4">
        <f>IFERROR(__xludf.DUMMYFUNCTION("""COMPUTED_VALUE"""),22.0)</f>
        <v>22</v>
      </c>
      <c r="C1279" s="4" t="str">
        <f>IFERROR(__xludf.DUMMYFUNCTION("""COMPUTED_VALUE"""),"NJN")</f>
        <v>NJN</v>
      </c>
      <c r="D1279" s="4" t="str">
        <f>IFERROR(__xludf.DUMMYFUNCTION("""COMPUTED_VALUE"""),"Marcus Williams")</f>
        <v>Marcus Williams</v>
      </c>
      <c r="E1279" s="4" t="str">
        <f>IFERROR(__xludf.DUMMYFUNCTION("""COMPUTED_VALUE"""),"UConn")</f>
        <v>UConn</v>
      </c>
      <c r="F1279" s="4">
        <f>IFERROR(__xludf.DUMMYFUNCTION("""COMPUTED_VALUE"""),4.0)</f>
        <v>4</v>
      </c>
      <c r="G1279" s="4">
        <f>IFERROR(__xludf.DUMMYFUNCTION("""COMPUTED_VALUE"""),203.0)</f>
        <v>203</v>
      </c>
      <c r="H1279" s="4">
        <f>IFERROR(__xludf.DUMMYFUNCTION("""COMPUTED_VALUE"""),3095.0)</f>
        <v>3095</v>
      </c>
      <c r="I1279" s="4">
        <f>IFERROR(__xludf.DUMMYFUNCTION("""COMPUTED_VALUE"""),1128.0)</f>
        <v>1128</v>
      </c>
      <c r="J1279" s="4">
        <f>IFERROR(__xludf.DUMMYFUNCTION("""COMPUTED_VALUE"""),361.0)</f>
        <v>361</v>
      </c>
      <c r="K1279" s="4">
        <f>IFERROR(__xludf.DUMMYFUNCTION("""COMPUTED_VALUE"""),574.0)</f>
        <v>574</v>
      </c>
      <c r="L1279" s="4">
        <f>IFERROR(__xludf.DUMMYFUNCTION("""COMPUTED_VALUE"""),0.386)</f>
        <v>0.386</v>
      </c>
      <c r="M1279" s="4">
        <f>IFERROR(__xludf.DUMMYFUNCTION("""COMPUTED_VALUE"""),0.321)</f>
        <v>0.321</v>
      </c>
      <c r="N1279" s="4">
        <f>IFERROR(__xludf.DUMMYFUNCTION("""COMPUTED_VALUE"""),0.767)</f>
        <v>0.767</v>
      </c>
      <c r="O1279" s="4">
        <f>IFERROR(__xludf.DUMMYFUNCTION("""COMPUTED_VALUE"""),15.2)</f>
        <v>15.2</v>
      </c>
      <c r="P1279" s="4">
        <f>IFERROR(__xludf.DUMMYFUNCTION("""COMPUTED_VALUE"""),5.6)</f>
        <v>5.6</v>
      </c>
      <c r="Q1279" s="4">
        <f>IFERROR(__xludf.DUMMYFUNCTION("""COMPUTED_VALUE"""),1.8)</f>
        <v>1.8</v>
      </c>
      <c r="R1279" s="4">
        <f>IFERROR(__xludf.DUMMYFUNCTION("""COMPUTED_VALUE"""),2.8)</f>
        <v>2.8</v>
      </c>
      <c r="S1279" s="4">
        <f>IFERROR(__xludf.DUMMYFUNCTION("""COMPUTED_VALUE"""),0.0)</f>
        <v>0</v>
      </c>
      <c r="T1279" s="4">
        <f>IFERROR(__xludf.DUMMYFUNCTION("""COMPUTED_VALUE"""),-0.001)</f>
        <v>-0.001</v>
      </c>
      <c r="U1279" s="4">
        <f>IFERROR(__xludf.DUMMYFUNCTION("""COMPUTED_VALUE"""),-3.3)</f>
        <v>-3.3</v>
      </c>
      <c r="V1279" s="4">
        <f>IFERROR(__xludf.DUMMYFUNCTION("""COMPUTED_VALUE"""),-1.0)</f>
        <v>-1</v>
      </c>
    </row>
    <row r="1280">
      <c r="A1280" s="4">
        <f>IFERROR(__xludf.DUMMYFUNCTION("""COMPUTED_VALUE"""),23.0)</f>
        <v>23</v>
      </c>
      <c r="B1280" s="4">
        <f>IFERROR(__xludf.DUMMYFUNCTION("""COMPUTED_VALUE"""),23.0)</f>
        <v>23</v>
      </c>
      <c r="C1280" s="4" t="str">
        <f>IFERROR(__xludf.DUMMYFUNCTION("""COMPUTED_VALUE"""),"NJN")</f>
        <v>NJN</v>
      </c>
      <c r="D1280" s="4" t="str">
        <f>IFERROR(__xludf.DUMMYFUNCTION("""COMPUTED_VALUE"""),"Josh Boone")</f>
        <v>Josh Boone</v>
      </c>
      <c r="E1280" s="4" t="str">
        <f>IFERROR(__xludf.DUMMYFUNCTION("""COMPUTED_VALUE"""),"UConn")</f>
        <v>UConn</v>
      </c>
      <c r="F1280" s="4">
        <f>IFERROR(__xludf.DUMMYFUNCTION("""COMPUTED_VALUE"""),4.0)</f>
        <v>4</v>
      </c>
      <c r="G1280" s="4">
        <f>IFERROR(__xludf.DUMMYFUNCTION("""COMPUTED_VALUE"""),256.0)</f>
        <v>256</v>
      </c>
      <c r="H1280" s="4">
        <f>IFERROR(__xludf.DUMMYFUNCTION("""COMPUTED_VALUE"""),4482.0)</f>
        <v>4482</v>
      </c>
      <c r="I1280" s="4">
        <f>IFERROR(__xludf.DUMMYFUNCTION("""COMPUTED_VALUE"""),1340.0)</f>
        <v>1340</v>
      </c>
      <c r="J1280" s="4">
        <f>IFERROR(__xludf.DUMMYFUNCTION("""COMPUTED_VALUE"""),1258.0)</f>
        <v>1258</v>
      </c>
      <c r="K1280" s="4">
        <f>IFERROR(__xludf.DUMMYFUNCTION("""COMPUTED_VALUE"""),125.0)</f>
        <v>125</v>
      </c>
      <c r="L1280" s="4">
        <f>IFERROR(__xludf.DUMMYFUNCTION("""COMPUTED_VALUE"""),0.544)</f>
        <v>0.544</v>
      </c>
      <c r="M1280" s="4"/>
      <c r="N1280" s="4">
        <f>IFERROR(__xludf.DUMMYFUNCTION("""COMPUTED_VALUE"""),0.445)</f>
        <v>0.445</v>
      </c>
      <c r="O1280" s="4">
        <f>IFERROR(__xludf.DUMMYFUNCTION("""COMPUTED_VALUE"""),17.5)</f>
        <v>17.5</v>
      </c>
      <c r="P1280" s="4">
        <f>IFERROR(__xludf.DUMMYFUNCTION("""COMPUTED_VALUE"""),5.2)</f>
        <v>5.2</v>
      </c>
      <c r="Q1280" s="4">
        <f>IFERROR(__xludf.DUMMYFUNCTION("""COMPUTED_VALUE"""),4.9)</f>
        <v>4.9</v>
      </c>
      <c r="R1280" s="4">
        <f>IFERROR(__xludf.DUMMYFUNCTION("""COMPUTED_VALUE"""),0.5)</f>
        <v>0.5</v>
      </c>
      <c r="S1280" s="4">
        <f>IFERROR(__xludf.DUMMYFUNCTION("""COMPUTED_VALUE"""),9.1)</f>
        <v>9.1</v>
      </c>
      <c r="T1280" s="4">
        <f>IFERROR(__xludf.DUMMYFUNCTION("""COMPUTED_VALUE"""),0.097)</f>
        <v>0.097</v>
      </c>
      <c r="U1280" s="4">
        <f>IFERROR(__xludf.DUMMYFUNCTION("""COMPUTED_VALUE"""),-2.0)</f>
        <v>-2</v>
      </c>
      <c r="V1280" s="4">
        <f>IFERROR(__xludf.DUMMYFUNCTION("""COMPUTED_VALUE"""),0.0)</f>
        <v>0</v>
      </c>
    </row>
    <row r="1281">
      <c r="A1281" s="4">
        <f>IFERROR(__xludf.DUMMYFUNCTION("""COMPUTED_VALUE"""),24.0)</f>
        <v>24</v>
      </c>
      <c r="B1281" s="4">
        <f>IFERROR(__xludf.DUMMYFUNCTION("""COMPUTED_VALUE"""),24.0)</f>
        <v>24</v>
      </c>
      <c r="C1281" s="4" t="str">
        <f>IFERROR(__xludf.DUMMYFUNCTION("""COMPUTED_VALUE"""),"MEM")</f>
        <v>MEM</v>
      </c>
      <c r="D1281" s="4" t="str">
        <f>IFERROR(__xludf.DUMMYFUNCTION("""COMPUTED_VALUE"""),"Kyle Lowry")</f>
        <v>Kyle Lowry</v>
      </c>
      <c r="E1281" s="4" t="str">
        <f>IFERROR(__xludf.DUMMYFUNCTION("""COMPUTED_VALUE"""),"Villanova")</f>
        <v>Villanova</v>
      </c>
      <c r="F1281" s="4">
        <f>IFERROR(__xludf.DUMMYFUNCTION("""COMPUTED_VALUE"""),20.0)</f>
        <v>20</v>
      </c>
      <c r="G1281" s="4">
        <f>IFERROR(__xludf.DUMMYFUNCTION("""COMPUTED_VALUE"""),1175.0)</f>
        <v>1175</v>
      </c>
      <c r="H1281" s="4">
        <f>IFERROR(__xludf.DUMMYFUNCTION("""COMPUTED_VALUE"""),36694.0)</f>
        <v>36694</v>
      </c>
      <c r="I1281" s="4">
        <f>IFERROR(__xludf.DUMMYFUNCTION("""COMPUTED_VALUE"""),16359.0)</f>
        <v>16359</v>
      </c>
      <c r="J1281" s="4">
        <f>IFERROR(__xludf.DUMMYFUNCTION("""COMPUTED_VALUE"""),4961.0)</f>
        <v>4961</v>
      </c>
      <c r="K1281" s="4">
        <f>IFERROR(__xludf.DUMMYFUNCTION("""COMPUTED_VALUE"""),7102.0)</f>
        <v>7102</v>
      </c>
      <c r="L1281" s="4">
        <f>IFERROR(__xludf.DUMMYFUNCTION("""COMPUTED_VALUE"""),0.423)</f>
        <v>0.423</v>
      </c>
      <c r="M1281" s="4">
        <f>IFERROR(__xludf.DUMMYFUNCTION("""COMPUTED_VALUE"""),0.368)</f>
        <v>0.368</v>
      </c>
      <c r="N1281" s="4">
        <f>IFERROR(__xludf.DUMMYFUNCTION("""COMPUTED_VALUE"""),0.815)</f>
        <v>0.815</v>
      </c>
      <c r="O1281" s="4">
        <f>IFERROR(__xludf.DUMMYFUNCTION("""COMPUTED_VALUE"""),31.2)</f>
        <v>31.2</v>
      </c>
      <c r="P1281" s="4">
        <f>IFERROR(__xludf.DUMMYFUNCTION("""COMPUTED_VALUE"""),13.9)</f>
        <v>13.9</v>
      </c>
      <c r="Q1281" s="4">
        <f>IFERROR(__xludf.DUMMYFUNCTION("""COMPUTED_VALUE"""),4.2)</f>
        <v>4.2</v>
      </c>
      <c r="R1281" s="4">
        <f>IFERROR(__xludf.DUMMYFUNCTION("""COMPUTED_VALUE"""),6.0)</f>
        <v>6</v>
      </c>
      <c r="S1281" s="4">
        <f>IFERROR(__xludf.DUMMYFUNCTION("""COMPUTED_VALUE"""),112.6)</f>
        <v>112.6</v>
      </c>
      <c r="T1281" s="4">
        <f>IFERROR(__xludf.DUMMYFUNCTION("""COMPUTED_VALUE"""),0.147)</f>
        <v>0.147</v>
      </c>
      <c r="U1281" s="4">
        <f>IFERROR(__xludf.DUMMYFUNCTION("""COMPUTED_VALUE"""),2.7)</f>
        <v>2.7</v>
      </c>
      <c r="V1281" s="4">
        <f>IFERROR(__xludf.DUMMYFUNCTION("""COMPUTED_VALUE"""),43.3)</f>
        <v>43.3</v>
      </c>
    </row>
    <row r="1282">
      <c r="A1282" s="4">
        <f>IFERROR(__xludf.DUMMYFUNCTION("""COMPUTED_VALUE"""),25.0)</f>
        <v>25</v>
      </c>
      <c r="B1282" s="4">
        <f>IFERROR(__xludf.DUMMYFUNCTION("""COMPUTED_VALUE"""),25.0)</f>
        <v>25</v>
      </c>
      <c r="C1282" s="4" t="str">
        <f>IFERROR(__xludf.DUMMYFUNCTION("""COMPUTED_VALUE"""),"CLE")</f>
        <v>CLE</v>
      </c>
      <c r="D1282" s="4" t="str">
        <f>IFERROR(__xludf.DUMMYFUNCTION("""COMPUTED_VALUE"""),"Shannon Brown")</f>
        <v>Shannon Brown</v>
      </c>
      <c r="E1282" s="4" t="str">
        <f>IFERROR(__xludf.DUMMYFUNCTION("""COMPUTED_VALUE"""),"Michigan State")</f>
        <v>Michigan State</v>
      </c>
      <c r="F1282" s="4">
        <f>IFERROR(__xludf.DUMMYFUNCTION("""COMPUTED_VALUE"""),9.0)</f>
        <v>9</v>
      </c>
      <c r="G1282" s="4">
        <f>IFERROR(__xludf.DUMMYFUNCTION("""COMPUTED_VALUE"""),408.0)</f>
        <v>408</v>
      </c>
      <c r="H1282" s="4">
        <f>IFERROR(__xludf.DUMMYFUNCTION("""COMPUTED_VALUE"""),7329.0)</f>
        <v>7329</v>
      </c>
      <c r="I1282" s="4">
        <f>IFERROR(__xludf.DUMMYFUNCTION("""COMPUTED_VALUE"""),3118.0)</f>
        <v>3118</v>
      </c>
      <c r="J1282" s="4">
        <f>IFERROR(__xludf.DUMMYFUNCTION("""COMPUTED_VALUE"""),760.0)</f>
        <v>760</v>
      </c>
      <c r="K1282" s="4">
        <f>IFERROR(__xludf.DUMMYFUNCTION("""COMPUTED_VALUE"""),458.0)</f>
        <v>458</v>
      </c>
      <c r="L1282" s="4">
        <f>IFERROR(__xludf.DUMMYFUNCTION("""COMPUTED_VALUE"""),0.42)</f>
        <v>0.42</v>
      </c>
      <c r="M1282" s="4">
        <f>IFERROR(__xludf.DUMMYFUNCTION("""COMPUTED_VALUE"""),0.332)</f>
        <v>0.332</v>
      </c>
      <c r="N1282" s="4">
        <f>IFERROR(__xludf.DUMMYFUNCTION("""COMPUTED_VALUE"""),0.807)</f>
        <v>0.807</v>
      </c>
      <c r="O1282" s="4">
        <f>IFERROR(__xludf.DUMMYFUNCTION("""COMPUTED_VALUE"""),18.0)</f>
        <v>18</v>
      </c>
      <c r="P1282" s="4">
        <f>IFERROR(__xludf.DUMMYFUNCTION("""COMPUTED_VALUE"""),7.6)</f>
        <v>7.6</v>
      </c>
      <c r="Q1282" s="4">
        <f>IFERROR(__xludf.DUMMYFUNCTION("""COMPUTED_VALUE"""),1.9)</f>
        <v>1.9</v>
      </c>
      <c r="R1282" s="4">
        <f>IFERROR(__xludf.DUMMYFUNCTION("""COMPUTED_VALUE"""),1.1)</f>
        <v>1.1</v>
      </c>
      <c r="S1282" s="4">
        <f>IFERROR(__xludf.DUMMYFUNCTION("""COMPUTED_VALUE"""),9.2)</f>
        <v>9.2</v>
      </c>
      <c r="T1282" s="4">
        <f>IFERROR(__xludf.DUMMYFUNCTION("""COMPUTED_VALUE"""),0.06)</f>
        <v>0.06</v>
      </c>
      <c r="U1282" s="4">
        <f>IFERROR(__xludf.DUMMYFUNCTION("""COMPUTED_VALUE"""),-1.5)</f>
        <v>-1.5</v>
      </c>
      <c r="V1282" s="4">
        <f>IFERROR(__xludf.DUMMYFUNCTION("""COMPUTED_VALUE"""),1.0)</f>
        <v>1</v>
      </c>
    </row>
    <row r="1283">
      <c r="A1283" s="4">
        <f>IFERROR(__xludf.DUMMYFUNCTION("""COMPUTED_VALUE"""),26.0)</f>
        <v>26</v>
      </c>
      <c r="B1283" s="4">
        <f>IFERROR(__xludf.DUMMYFUNCTION("""COMPUTED_VALUE"""),26.0)</f>
        <v>26</v>
      </c>
      <c r="C1283" s="4" t="str">
        <f>IFERROR(__xludf.DUMMYFUNCTION("""COMPUTED_VALUE"""),"LAL")</f>
        <v>LAL</v>
      </c>
      <c r="D1283" s="4" t="str">
        <f>IFERROR(__xludf.DUMMYFUNCTION("""COMPUTED_VALUE"""),"Jordan Farmar")</f>
        <v>Jordan Farmar</v>
      </c>
      <c r="E1283" s="4" t="str">
        <f>IFERROR(__xludf.DUMMYFUNCTION("""COMPUTED_VALUE"""),"UCLA")</f>
        <v>UCLA</v>
      </c>
      <c r="F1283" s="4">
        <f>IFERROR(__xludf.DUMMYFUNCTION("""COMPUTED_VALUE"""),10.0)</f>
        <v>10</v>
      </c>
      <c r="G1283" s="4">
        <f>IFERROR(__xludf.DUMMYFUNCTION("""COMPUTED_VALUE"""),504.0)</f>
        <v>504</v>
      </c>
      <c r="H1283" s="4">
        <f>IFERROR(__xludf.DUMMYFUNCTION("""COMPUTED_VALUE"""),9840.0)</f>
        <v>9840</v>
      </c>
      <c r="I1283" s="4">
        <f>IFERROR(__xludf.DUMMYFUNCTION("""COMPUTED_VALUE"""),3888.0)</f>
        <v>3888</v>
      </c>
      <c r="J1283" s="4">
        <f>IFERROR(__xludf.DUMMYFUNCTION("""COMPUTED_VALUE"""),958.0)</f>
        <v>958</v>
      </c>
      <c r="K1283" s="4">
        <f>IFERROR(__xludf.DUMMYFUNCTION("""COMPUTED_VALUE"""),1453.0)</f>
        <v>1453</v>
      </c>
      <c r="L1283" s="4">
        <f>IFERROR(__xludf.DUMMYFUNCTION("""COMPUTED_VALUE"""),0.423)</f>
        <v>0.423</v>
      </c>
      <c r="M1283" s="4">
        <f>IFERROR(__xludf.DUMMYFUNCTION("""COMPUTED_VALUE"""),0.374)</f>
        <v>0.374</v>
      </c>
      <c r="N1283" s="4">
        <f>IFERROR(__xludf.DUMMYFUNCTION("""COMPUTED_VALUE"""),0.739)</f>
        <v>0.739</v>
      </c>
      <c r="O1283" s="4">
        <f>IFERROR(__xludf.DUMMYFUNCTION("""COMPUTED_VALUE"""),19.5)</f>
        <v>19.5</v>
      </c>
      <c r="P1283" s="4">
        <f>IFERROR(__xludf.DUMMYFUNCTION("""COMPUTED_VALUE"""),7.7)</f>
        <v>7.7</v>
      </c>
      <c r="Q1283" s="4">
        <f>IFERROR(__xludf.DUMMYFUNCTION("""COMPUTED_VALUE"""),1.9)</f>
        <v>1.9</v>
      </c>
      <c r="R1283" s="4">
        <f>IFERROR(__xludf.DUMMYFUNCTION("""COMPUTED_VALUE"""),2.9)</f>
        <v>2.9</v>
      </c>
      <c r="S1283" s="4">
        <f>IFERROR(__xludf.DUMMYFUNCTION("""COMPUTED_VALUE"""),13.9)</f>
        <v>13.9</v>
      </c>
      <c r="T1283" s="4">
        <f>IFERROR(__xludf.DUMMYFUNCTION("""COMPUTED_VALUE"""),0.068)</f>
        <v>0.068</v>
      </c>
      <c r="U1283" s="4">
        <f>IFERROR(__xludf.DUMMYFUNCTION("""COMPUTED_VALUE"""),-0.5)</f>
        <v>-0.5</v>
      </c>
      <c r="V1283" s="4">
        <f>IFERROR(__xludf.DUMMYFUNCTION("""COMPUTED_VALUE"""),3.7)</f>
        <v>3.7</v>
      </c>
    </row>
    <row r="1284">
      <c r="A1284" s="4">
        <f>IFERROR(__xludf.DUMMYFUNCTION("""COMPUTED_VALUE"""),27.0)</f>
        <v>27</v>
      </c>
      <c r="B1284" s="4">
        <f>IFERROR(__xludf.DUMMYFUNCTION("""COMPUTED_VALUE"""),27.0)</f>
        <v>27</v>
      </c>
      <c r="C1284" s="4" t="str">
        <f>IFERROR(__xludf.DUMMYFUNCTION("""COMPUTED_VALUE"""),"PHO")</f>
        <v>PHO</v>
      </c>
      <c r="D1284" s="4" t="str">
        <f>IFERROR(__xludf.DUMMYFUNCTION("""COMPUTED_VALUE"""),"Sergio Rodríguez")</f>
        <v>Sergio Rodríguez</v>
      </c>
      <c r="E1284" s="4"/>
      <c r="F1284" s="4">
        <f>IFERROR(__xludf.DUMMYFUNCTION("""COMPUTED_VALUE"""),5.0)</f>
        <v>5</v>
      </c>
      <c r="G1284" s="4">
        <f>IFERROR(__xludf.DUMMYFUNCTION("""COMPUTED_VALUE"""),353.0)</f>
        <v>353</v>
      </c>
      <c r="H1284" s="4">
        <f>IFERROR(__xludf.DUMMYFUNCTION("""COMPUTED_VALUE"""),5281.0)</f>
        <v>5281</v>
      </c>
      <c r="I1284" s="4">
        <f>IFERROR(__xludf.DUMMYFUNCTION("""COMPUTED_VALUE"""),1747.0)</f>
        <v>1747</v>
      </c>
      <c r="J1284" s="4">
        <f>IFERROR(__xludf.DUMMYFUNCTION("""COMPUTED_VALUE"""),525.0)</f>
        <v>525</v>
      </c>
      <c r="K1284" s="4">
        <f>IFERROR(__xludf.DUMMYFUNCTION("""COMPUTED_VALUE"""),1183.0)</f>
        <v>1183</v>
      </c>
      <c r="L1284" s="4">
        <f>IFERROR(__xludf.DUMMYFUNCTION("""COMPUTED_VALUE"""),0.409)</f>
        <v>0.409</v>
      </c>
      <c r="M1284" s="4">
        <f>IFERROR(__xludf.DUMMYFUNCTION("""COMPUTED_VALUE"""),0.337)</f>
        <v>0.337</v>
      </c>
      <c r="N1284" s="4">
        <f>IFERROR(__xludf.DUMMYFUNCTION("""COMPUTED_VALUE"""),0.739)</f>
        <v>0.739</v>
      </c>
      <c r="O1284" s="4">
        <f>IFERROR(__xludf.DUMMYFUNCTION("""COMPUTED_VALUE"""),15.0)</f>
        <v>15</v>
      </c>
      <c r="P1284" s="4">
        <f>IFERROR(__xludf.DUMMYFUNCTION("""COMPUTED_VALUE"""),4.9)</f>
        <v>4.9</v>
      </c>
      <c r="Q1284" s="4">
        <f>IFERROR(__xludf.DUMMYFUNCTION("""COMPUTED_VALUE"""),1.5)</f>
        <v>1.5</v>
      </c>
      <c r="R1284" s="4">
        <f>IFERROR(__xludf.DUMMYFUNCTION("""COMPUTED_VALUE"""),3.4)</f>
        <v>3.4</v>
      </c>
      <c r="S1284" s="4">
        <f>IFERROR(__xludf.DUMMYFUNCTION("""COMPUTED_VALUE"""),4.3)</f>
        <v>4.3</v>
      </c>
      <c r="T1284" s="4">
        <f>IFERROR(__xludf.DUMMYFUNCTION("""COMPUTED_VALUE"""),0.039)</f>
        <v>0.039</v>
      </c>
      <c r="U1284" s="4">
        <f>IFERROR(__xludf.DUMMYFUNCTION("""COMPUTED_VALUE"""),-2.0)</f>
        <v>-2</v>
      </c>
      <c r="V1284" s="4">
        <f>IFERROR(__xludf.DUMMYFUNCTION("""COMPUTED_VALUE"""),0.1)</f>
        <v>0.1</v>
      </c>
    </row>
    <row r="1285">
      <c r="A1285" s="4">
        <f>IFERROR(__xludf.DUMMYFUNCTION("""COMPUTED_VALUE"""),28.0)</f>
        <v>28</v>
      </c>
      <c r="B1285" s="4">
        <f>IFERROR(__xludf.DUMMYFUNCTION("""COMPUTED_VALUE"""),28.0)</f>
        <v>28</v>
      </c>
      <c r="C1285" s="4" t="str">
        <f>IFERROR(__xludf.DUMMYFUNCTION("""COMPUTED_VALUE"""),"DAL")</f>
        <v>DAL</v>
      </c>
      <c r="D1285" s="4" t="str">
        <f>IFERROR(__xludf.DUMMYFUNCTION("""COMPUTED_VALUE"""),"Maurice Ager")</f>
        <v>Maurice Ager</v>
      </c>
      <c r="E1285" s="4" t="str">
        <f>IFERROR(__xludf.DUMMYFUNCTION("""COMPUTED_VALUE"""),"Michigan State")</f>
        <v>Michigan State</v>
      </c>
      <c r="F1285" s="4">
        <f>IFERROR(__xludf.DUMMYFUNCTION("""COMPUTED_VALUE"""),4.0)</f>
        <v>4</v>
      </c>
      <c r="G1285" s="4">
        <f>IFERROR(__xludf.DUMMYFUNCTION("""COMPUTED_VALUE"""),82.0)</f>
        <v>82</v>
      </c>
      <c r="H1285" s="4">
        <f>IFERROR(__xludf.DUMMYFUNCTION("""COMPUTED_VALUE"""),505.0)</f>
        <v>505</v>
      </c>
      <c r="I1285" s="4">
        <f>IFERROR(__xludf.DUMMYFUNCTION("""COMPUTED_VALUE"""),169.0)</f>
        <v>169</v>
      </c>
      <c r="J1285" s="4">
        <f>IFERROR(__xludf.DUMMYFUNCTION("""COMPUTED_VALUE"""),46.0)</f>
        <v>46</v>
      </c>
      <c r="K1285" s="4">
        <f>IFERROR(__xludf.DUMMYFUNCTION("""COMPUTED_VALUE"""),19.0)</f>
        <v>19</v>
      </c>
      <c r="L1285" s="4">
        <f>IFERROR(__xludf.DUMMYFUNCTION("""COMPUTED_VALUE"""),0.339)</f>
        <v>0.339</v>
      </c>
      <c r="M1285" s="4">
        <f>IFERROR(__xludf.DUMMYFUNCTION("""COMPUTED_VALUE"""),0.25)</f>
        <v>0.25</v>
      </c>
      <c r="N1285" s="4">
        <f>IFERROR(__xludf.DUMMYFUNCTION("""COMPUTED_VALUE"""),0.566)</f>
        <v>0.566</v>
      </c>
      <c r="O1285" s="4">
        <f>IFERROR(__xludf.DUMMYFUNCTION("""COMPUTED_VALUE"""),6.2)</f>
        <v>6.2</v>
      </c>
      <c r="P1285" s="4">
        <f>IFERROR(__xludf.DUMMYFUNCTION("""COMPUTED_VALUE"""),2.1)</f>
        <v>2.1</v>
      </c>
      <c r="Q1285" s="4">
        <f>IFERROR(__xludf.DUMMYFUNCTION("""COMPUTED_VALUE"""),0.6)</f>
        <v>0.6</v>
      </c>
      <c r="R1285" s="4">
        <f>IFERROR(__xludf.DUMMYFUNCTION("""COMPUTED_VALUE"""),0.2)</f>
        <v>0.2</v>
      </c>
      <c r="S1285" s="4">
        <f>IFERROR(__xludf.DUMMYFUNCTION("""COMPUTED_VALUE"""),-0.9)</f>
        <v>-0.9</v>
      </c>
      <c r="T1285" s="4">
        <f>IFERROR(__xludf.DUMMYFUNCTION("""COMPUTED_VALUE"""),-0.089)</f>
        <v>-0.089</v>
      </c>
      <c r="U1285" s="4">
        <f>IFERROR(__xludf.DUMMYFUNCTION("""COMPUTED_VALUE"""),-9.4)</f>
        <v>-9.4</v>
      </c>
      <c r="V1285" s="4">
        <f>IFERROR(__xludf.DUMMYFUNCTION("""COMPUTED_VALUE"""),-0.9)</f>
        <v>-0.9</v>
      </c>
    </row>
    <row r="1286">
      <c r="A1286" s="4">
        <f>IFERROR(__xludf.DUMMYFUNCTION("""COMPUTED_VALUE"""),29.0)</f>
        <v>29</v>
      </c>
      <c r="B1286" s="4">
        <f>IFERROR(__xludf.DUMMYFUNCTION("""COMPUTED_VALUE"""),29.0)</f>
        <v>29</v>
      </c>
      <c r="C1286" s="4" t="str">
        <f>IFERROR(__xludf.DUMMYFUNCTION("""COMPUTED_VALUE"""),"NYK")</f>
        <v>NYK</v>
      </c>
      <c r="D1286" s="4" t="str">
        <f>IFERROR(__xludf.DUMMYFUNCTION("""COMPUTED_VALUE"""),"Mardy Collins")</f>
        <v>Mardy Collins</v>
      </c>
      <c r="E1286" s="4" t="str">
        <f>IFERROR(__xludf.DUMMYFUNCTION("""COMPUTED_VALUE"""),"Temple")</f>
        <v>Temple</v>
      </c>
      <c r="F1286" s="4">
        <f>IFERROR(__xludf.DUMMYFUNCTION("""COMPUTED_VALUE"""),4.0)</f>
        <v>4</v>
      </c>
      <c r="G1286" s="4">
        <f>IFERROR(__xludf.DUMMYFUNCTION("""COMPUTED_VALUE"""),189.0)</f>
        <v>189</v>
      </c>
      <c r="H1286" s="4">
        <f>IFERROR(__xludf.DUMMYFUNCTION("""COMPUTED_VALUE"""),2771.0)</f>
        <v>2771</v>
      </c>
      <c r="I1286" s="4">
        <f>IFERROR(__xludf.DUMMYFUNCTION("""COMPUTED_VALUE"""),742.0)</f>
        <v>742</v>
      </c>
      <c r="J1286" s="4">
        <f>IFERROR(__xludf.DUMMYFUNCTION("""COMPUTED_VALUE"""),336.0)</f>
        <v>336</v>
      </c>
      <c r="K1286" s="4">
        <f>IFERROR(__xludf.DUMMYFUNCTION("""COMPUTED_VALUE"""),327.0)</f>
        <v>327</v>
      </c>
      <c r="L1286" s="4">
        <f>IFERROR(__xludf.DUMMYFUNCTION("""COMPUTED_VALUE"""),0.38)</f>
        <v>0.38</v>
      </c>
      <c r="M1286" s="4">
        <f>IFERROR(__xludf.DUMMYFUNCTION("""COMPUTED_VALUE"""),0.299)</f>
        <v>0.299</v>
      </c>
      <c r="N1286" s="4">
        <f>IFERROR(__xludf.DUMMYFUNCTION("""COMPUTED_VALUE"""),0.599)</f>
        <v>0.599</v>
      </c>
      <c r="O1286" s="4">
        <f>IFERROR(__xludf.DUMMYFUNCTION("""COMPUTED_VALUE"""),14.7)</f>
        <v>14.7</v>
      </c>
      <c r="P1286" s="4">
        <f>IFERROR(__xludf.DUMMYFUNCTION("""COMPUTED_VALUE"""),3.9)</f>
        <v>3.9</v>
      </c>
      <c r="Q1286" s="4">
        <f>IFERROR(__xludf.DUMMYFUNCTION("""COMPUTED_VALUE"""),1.8)</f>
        <v>1.8</v>
      </c>
      <c r="R1286" s="4">
        <f>IFERROR(__xludf.DUMMYFUNCTION("""COMPUTED_VALUE"""),1.7)</f>
        <v>1.7</v>
      </c>
      <c r="S1286" s="4">
        <f>IFERROR(__xludf.DUMMYFUNCTION("""COMPUTED_VALUE"""),-1.6)</f>
        <v>-1.6</v>
      </c>
      <c r="T1286" s="4">
        <f>IFERROR(__xludf.DUMMYFUNCTION("""COMPUTED_VALUE"""),-0.027)</f>
        <v>-0.027</v>
      </c>
      <c r="U1286" s="4">
        <f>IFERROR(__xludf.DUMMYFUNCTION("""COMPUTED_VALUE"""),-4.4)</f>
        <v>-4.4</v>
      </c>
      <c r="V1286" s="4">
        <f>IFERROR(__xludf.DUMMYFUNCTION("""COMPUTED_VALUE"""),-1.7)</f>
        <v>-1.7</v>
      </c>
    </row>
    <row r="1287">
      <c r="A1287" s="4">
        <f>IFERROR(__xludf.DUMMYFUNCTION("""COMPUTED_VALUE"""),30.0)</f>
        <v>30</v>
      </c>
      <c r="B1287" s="4">
        <f>IFERROR(__xludf.DUMMYFUNCTION("""COMPUTED_VALUE"""),30.0)</f>
        <v>30</v>
      </c>
      <c r="C1287" s="4" t="str">
        <f>IFERROR(__xludf.DUMMYFUNCTION("""COMPUTED_VALUE"""),"POR")</f>
        <v>POR</v>
      </c>
      <c r="D1287" s="4" t="str">
        <f>IFERROR(__xludf.DUMMYFUNCTION("""COMPUTED_VALUE"""),"Joel Freeland")</f>
        <v>Joel Freeland</v>
      </c>
      <c r="E1287" s="4"/>
      <c r="F1287" s="4">
        <f>IFERROR(__xludf.DUMMYFUNCTION("""COMPUTED_VALUE"""),3.0)</f>
        <v>3</v>
      </c>
      <c r="G1287" s="4">
        <f>IFERROR(__xludf.DUMMYFUNCTION("""COMPUTED_VALUE"""),151.0)</f>
        <v>151</v>
      </c>
      <c r="H1287" s="4">
        <f>IFERROR(__xludf.DUMMYFUNCTION("""COMPUTED_VALUE"""),1821.0)</f>
        <v>1821</v>
      </c>
      <c r="I1287" s="4">
        <f>IFERROR(__xludf.DUMMYFUNCTION("""COMPUTED_VALUE"""),477.0)</f>
        <v>477</v>
      </c>
      <c r="J1287" s="4">
        <f>IFERROR(__xludf.DUMMYFUNCTION("""COMPUTED_VALUE"""),518.0)</f>
        <v>518</v>
      </c>
      <c r="K1287" s="4">
        <f>IFERROR(__xludf.DUMMYFUNCTION("""COMPUTED_VALUE"""),65.0)</f>
        <v>65</v>
      </c>
      <c r="L1287" s="4">
        <f>IFERROR(__xludf.DUMMYFUNCTION("""COMPUTED_VALUE"""),0.459)</f>
        <v>0.459</v>
      </c>
      <c r="M1287" s="4">
        <f>IFERROR(__xludf.DUMMYFUNCTION("""COMPUTED_VALUE"""),0.0)</f>
        <v>0</v>
      </c>
      <c r="N1287" s="4">
        <f>IFERROR(__xludf.DUMMYFUNCTION("""COMPUTED_VALUE"""),0.728)</f>
        <v>0.728</v>
      </c>
      <c r="O1287" s="4">
        <f>IFERROR(__xludf.DUMMYFUNCTION("""COMPUTED_VALUE"""),12.1)</f>
        <v>12.1</v>
      </c>
      <c r="P1287" s="4">
        <f>IFERROR(__xludf.DUMMYFUNCTION("""COMPUTED_VALUE"""),3.2)</f>
        <v>3.2</v>
      </c>
      <c r="Q1287" s="4">
        <f>IFERROR(__xludf.DUMMYFUNCTION("""COMPUTED_VALUE"""),3.4)</f>
        <v>3.4</v>
      </c>
      <c r="R1287" s="4">
        <f>IFERROR(__xludf.DUMMYFUNCTION("""COMPUTED_VALUE"""),0.4)</f>
        <v>0.4</v>
      </c>
      <c r="S1287" s="4">
        <f>IFERROR(__xludf.DUMMYFUNCTION("""COMPUTED_VALUE"""),3.2)</f>
        <v>3.2</v>
      </c>
      <c r="T1287" s="4">
        <f>IFERROR(__xludf.DUMMYFUNCTION("""COMPUTED_VALUE"""),0.084)</f>
        <v>0.084</v>
      </c>
      <c r="U1287" s="4">
        <f>IFERROR(__xludf.DUMMYFUNCTION("""COMPUTED_VALUE"""),-3.3)</f>
        <v>-3.3</v>
      </c>
      <c r="V1287" s="4">
        <f>IFERROR(__xludf.DUMMYFUNCTION("""COMPUTED_VALUE"""),-0.6)</f>
        <v>-0.6</v>
      </c>
    </row>
    <row r="1288">
      <c r="A1288" s="4"/>
      <c r="B1288" s="4"/>
      <c r="C1288" s="4"/>
      <c r="D1288" s="4" t="str">
        <f>IFERROR(__xludf.DUMMYFUNCTION("""COMPUTED_VALUE"""),"Round 2")</f>
        <v>Round 2</v>
      </c>
      <c r="E1288" s="4"/>
      <c r="F1288" s="4"/>
      <c r="G1288" s="4" t="str">
        <f>IFERROR(__xludf.DUMMYFUNCTION("""COMPUTED_VALUE"""),"Totals")</f>
        <v>Totals</v>
      </c>
      <c r="H1288" s="4"/>
      <c r="I1288" s="4"/>
      <c r="J1288" s="4"/>
      <c r="K1288" s="4"/>
      <c r="L1288" s="4" t="str">
        <f>IFERROR(__xludf.DUMMYFUNCTION("""COMPUTED_VALUE"""),"Shooting")</f>
        <v>Shooting</v>
      </c>
      <c r="M1288" s="4"/>
      <c r="N1288" s="4"/>
      <c r="O1288" s="4" t="str">
        <f>IFERROR(__xludf.DUMMYFUNCTION("""COMPUTED_VALUE"""),"Per Game")</f>
        <v>Per Game</v>
      </c>
      <c r="P1288" s="4"/>
      <c r="Q1288" s="4"/>
      <c r="R1288" s="4"/>
      <c r="S1288" s="4" t="str">
        <f>IFERROR(__xludf.DUMMYFUNCTION("""COMPUTED_VALUE"""),"Advanced")</f>
        <v>Advanced</v>
      </c>
      <c r="T1288" s="4"/>
      <c r="U1288" s="4"/>
      <c r="V1288" s="4"/>
    </row>
    <row r="1289">
      <c r="A1289" s="4" t="str">
        <f>IFERROR(__xludf.DUMMYFUNCTION("""COMPUTED_VALUE"""),"Rk")</f>
        <v>Rk</v>
      </c>
      <c r="B1289" s="4" t="str">
        <f>IFERROR(__xludf.DUMMYFUNCTION("""COMPUTED_VALUE"""),"Pk")</f>
        <v>Pk</v>
      </c>
      <c r="C1289" s="4" t="str">
        <f>IFERROR(__xludf.DUMMYFUNCTION("""COMPUTED_VALUE"""),"Tm")</f>
        <v>Tm</v>
      </c>
      <c r="D1289" s="4" t="str">
        <f>IFERROR(__xludf.DUMMYFUNCTION("""COMPUTED_VALUE"""),"Player")</f>
        <v>Player</v>
      </c>
      <c r="E1289" s="4" t="str">
        <f>IFERROR(__xludf.DUMMYFUNCTION("""COMPUTED_VALUE"""),"College")</f>
        <v>College</v>
      </c>
      <c r="F1289" s="4" t="str">
        <f>IFERROR(__xludf.DUMMYFUNCTION("""COMPUTED_VALUE"""),"Yrs")</f>
        <v>Yrs</v>
      </c>
      <c r="G1289" s="4" t="str">
        <f>IFERROR(__xludf.DUMMYFUNCTION("""COMPUTED_VALUE"""),"G")</f>
        <v>G</v>
      </c>
      <c r="H1289" s="4" t="str">
        <f>IFERROR(__xludf.DUMMYFUNCTION("""COMPUTED_VALUE"""),"MP")</f>
        <v>MP</v>
      </c>
      <c r="I1289" s="4" t="str">
        <f>IFERROR(__xludf.DUMMYFUNCTION("""COMPUTED_VALUE"""),"PTS")</f>
        <v>PTS</v>
      </c>
      <c r="J1289" s="4" t="str">
        <f>IFERROR(__xludf.DUMMYFUNCTION("""COMPUTED_VALUE"""),"TRB")</f>
        <v>TRB</v>
      </c>
      <c r="K1289" s="4" t="str">
        <f>IFERROR(__xludf.DUMMYFUNCTION("""COMPUTED_VALUE"""),"AST")</f>
        <v>AST</v>
      </c>
      <c r="L1289" s="4" t="str">
        <f>IFERROR(__xludf.DUMMYFUNCTION("""COMPUTED_VALUE"""),"FG%")</f>
        <v>FG%</v>
      </c>
      <c r="M1289" s="4" t="str">
        <f>IFERROR(__xludf.DUMMYFUNCTION("""COMPUTED_VALUE"""),"3P%")</f>
        <v>3P%</v>
      </c>
      <c r="N1289" s="4" t="str">
        <f>IFERROR(__xludf.DUMMYFUNCTION("""COMPUTED_VALUE"""),"FT%")</f>
        <v>FT%</v>
      </c>
      <c r="O1289" s="4" t="str">
        <f>IFERROR(__xludf.DUMMYFUNCTION("""COMPUTED_VALUE"""),"MP")</f>
        <v>MP</v>
      </c>
      <c r="P1289" s="4" t="str">
        <f>IFERROR(__xludf.DUMMYFUNCTION("""COMPUTED_VALUE"""),"PTS")</f>
        <v>PTS</v>
      </c>
      <c r="Q1289" s="4" t="str">
        <f>IFERROR(__xludf.DUMMYFUNCTION("""COMPUTED_VALUE"""),"TRB")</f>
        <v>TRB</v>
      </c>
      <c r="R1289" s="4" t="str">
        <f>IFERROR(__xludf.DUMMYFUNCTION("""COMPUTED_VALUE"""),"AST")</f>
        <v>AST</v>
      </c>
      <c r="S1289" s="4" t="str">
        <f>IFERROR(__xludf.DUMMYFUNCTION("""COMPUTED_VALUE"""),"WS")</f>
        <v>WS</v>
      </c>
      <c r="T1289" s="4" t="str">
        <f>IFERROR(__xludf.DUMMYFUNCTION("""COMPUTED_VALUE"""),"WS/48")</f>
        <v>WS/48</v>
      </c>
      <c r="U1289" s="4" t="str">
        <f>IFERROR(__xludf.DUMMYFUNCTION("""COMPUTED_VALUE"""),"BPM")</f>
        <v>BPM</v>
      </c>
      <c r="V1289" s="4" t="str">
        <f>IFERROR(__xludf.DUMMYFUNCTION("""COMPUTED_VALUE"""),"VORP")</f>
        <v>VORP</v>
      </c>
    </row>
    <row r="1290">
      <c r="A1290" s="4">
        <f>IFERROR(__xludf.DUMMYFUNCTION("""COMPUTED_VALUE"""),31.0)</f>
        <v>31</v>
      </c>
      <c r="B1290" s="4">
        <f>IFERROR(__xludf.DUMMYFUNCTION("""COMPUTED_VALUE"""),31.0)</f>
        <v>31</v>
      </c>
      <c r="C1290" s="4" t="str">
        <f>IFERROR(__xludf.DUMMYFUNCTION("""COMPUTED_VALUE"""),"POR")</f>
        <v>POR</v>
      </c>
      <c r="D1290" s="4" t="str">
        <f>IFERROR(__xludf.DUMMYFUNCTION("""COMPUTED_VALUE"""),"James White")</f>
        <v>James White</v>
      </c>
      <c r="E1290" s="4" t="str">
        <f>IFERROR(__xludf.DUMMYFUNCTION("""COMPUTED_VALUE"""),"Cincinnati")</f>
        <v>Cincinnati</v>
      </c>
      <c r="F1290" s="4">
        <f>IFERROR(__xludf.DUMMYFUNCTION("""COMPUTED_VALUE"""),3.0)</f>
        <v>3</v>
      </c>
      <c r="G1290" s="4">
        <f>IFERROR(__xludf.DUMMYFUNCTION("""COMPUTED_VALUE"""),67.0)</f>
        <v>67</v>
      </c>
      <c r="H1290" s="4">
        <f>IFERROR(__xludf.DUMMYFUNCTION("""COMPUTED_VALUE"""),583.0)</f>
        <v>583</v>
      </c>
      <c r="I1290" s="4">
        <f>IFERROR(__xludf.DUMMYFUNCTION("""COMPUTED_VALUE"""),182.0)</f>
        <v>182</v>
      </c>
      <c r="J1290" s="4">
        <f>IFERROR(__xludf.DUMMYFUNCTION("""COMPUTED_VALUE"""),68.0)</f>
        <v>68</v>
      </c>
      <c r="K1290" s="4">
        <f>IFERROR(__xludf.DUMMYFUNCTION("""COMPUTED_VALUE"""),35.0)</f>
        <v>35</v>
      </c>
      <c r="L1290" s="4">
        <f>IFERROR(__xludf.DUMMYFUNCTION("""COMPUTED_VALUE"""),0.438)</f>
        <v>0.438</v>
      </c>
      <c r="M1290" s="4">
        <f>IFERROR(__xludf.DUMMYFUNCTION("""COMPUTED_VALUE"""),0.34)</f>
        <v>0.34</v>
      </c>
      <c r="N1290" s="4">
        <f>IFERROR(__xludf.DUMMYFUNCTION("""COMPUTED_VALUE"""),0.676)</f>
        <v>0.676</v>
      </c>
      <c r="O1290" s="4">
        <f>IFERROR(__xludf.DUMMYFUNCTION("""COMPUTED_VALUE"""),8.7)</f>
        <v>8.7</v>
      </c>
      <c r="P1290" s="4">
        <f>IFERROR(__xludf.DUMMYFUNCTION("""COMPUTED_VALUE"""),2.7)</f>
        <v>2.7</v>
      </c>
      <c r="Q1290" s="4">
        <f>IFERROR(__xludf.DUMMYFUNCTION("""COMPUTED_VALUE"""),1.0)</f>
        <v>1</v>
      </c>
      <c r="R1290" s="4">
        <f>IFERROR(__xludf.DUMMYFUNCTION("""COMPUTED_VALUE"""),0.5)</f>
        <v>0.5</v>
      </c>
      <c r="S1290" s="4">
        <f>IFERROR(__xludf.DUMMYFUNCTION("""COMPUTED_VALUE"""),0.8)</f>
        <v>0.8</v>
      </c>
      <c r="T1290" s="4">
        <f>IFERROR(__xludf.DUMMYFUNCTION("""COMPUTED_VALUE"""),0.062)</f>
        <v>0.062</v>
      </c>
      <c r="U1290" s="4">
        <f>IFERROR(__xludf.DUMMYFUNCTION("""COMPUTED_VALUE"""),-3.2)</f>
        <v>-3.2</v>
      </c>
      <c r="V1290" s="4">
        <f>IFERROR(__xludf.DUMMYFUNCTION("""COMPUTED_VALUE"""),-0.2)</f>
        <v>-0.2</v>
      </c>
    </row>
    <row r="1291">
      <c r="A1291" s="4">
        <f>IFERROR(__xludf.DUMMYFUNCTION("""COMPUTED_VALUE"""),32.0)</f>
        <v>32</v>
      </c>
      <c r="B1291" s="4">
        <f>IFERROR(__xludf.DUMMYFUNCTION("""COMPUTED_VALUE"""),32.0)</f>
        <v>32</v>
      </c>
      <c r="C1291" s="4" t="str">
        <f>IFERROR(__xludf.DUMMYFUNCTION("""COMPUTED_VALUE"""),"HOU")</f>
        <v>HOU</v>
      </c>
      <c r="D1291" s="4" t="str">
        <f>IFERROR(__xludf.DUMMYFUNCTION("""COMPUTED_VALUE"""),"Steve Novak")</f>
        <v>Steve Novak</v>
      </c>
      <c r="E1291" s="4" t="str">
        <f>IFERROR(__xludf.DUMMYFUNCTION("""COMPUTED_VALUE"""),"Marquette")</f>
        <v>Marquette</v>
      </c>
      <c r="F1291" s="4">
        <f>IFERROR(__xludf.DUMMYFUNCTION("""COMPUTED_VALUE"""),11.0)</f>
        <v>11</v>
      </c>
      <c r="G1291" s="4">
        <f>IFERROR(__xludf.DUMMYFUNCTION("""COMPUTED_VALUE"""),467.0)</f>
        <v>467</v>
      </c>
      <c r="H1291" s="4">
        <f>IFERROR(__xludf.DUMMYFUNCTION("""COMPUTED_VALUE"""),5657.0)</f>
        <v>5657</v>
      </c>
      <c r="I1291" s="4">
        <f>IFERROR(__xludf.DUMMYFUNCTION("""COMPUTED_VALUE"""),2177.0)</f>
        <v>2177</v>
      </c>
      <c r="J1291" s="4">
        <f>IFERROR(__xludf.DUMMYFUNCTION("""COMPUTED_VALUE"""),591.0)</f>
        <v>591</v>
      </c>
      <c r="K1291" s="4">
        <f>IFERROR(__xludf.DUMMYFUNCTION("""COMPUTED_VALUE"""),132.0)</f>
        <v>132</v>
      </c>
      <c r="L1291" s="4">
        <f>IFERROR(__xludf.DUMMYFUNCTION("""COMPUTED_VALUE"""),0.437)</f>
        <v>0.437</v>
      </c>
      <c r="M1291" s="4">
        <f>IFERROR(__xludf.DUMMYFUNCTION("""COMPUTED_VALUE"""),0.43)</f>
        <v>0.43</v>
      </c>
      <c r="N1291" s="4">
        <f>IFERROR(__xludf.DUMMYFUNCTION("""COMPUTED_VALUE"""),0.877)</f>
        <v>0.877</v>
      </c>
      <c r="O1291" s="4">
        <f>IFERROR(__xludf.DUMMYFUNCTION("""COMPUTED_VALUE"""),12.1)</f>
        <v>12.1</v>
      </c>
      <c r="P1291" s="4">
        <f>IFERROR(__xludf.DUMMYFUNCTION("""COMPUTED_VALUE"""),4.7)</f>
        <v>4.7</v>
      </c>
      <c r="Q1291" s="4">
        <f>IFERROR(__xludf.DUMMYFUNCTION("""COMPUTED_VALUE"""),1.3)</f>
        <v>1.3</v>
      </c>
      <c r="R1291" s="4">
        <f>IFERROR(__xludf.DUMMYFUNCTION("""COMPUTED_VALUE"""),0.3)</f>
        <v>0.3</v>
      </c>
      <c r="S1291" s="4">
        <f>IFERROR(__xludf.DUMMYFUNCTION("""COMPUTED_VALUE"""),14.5)</f>
        <v>14.5</v>
      </c>
      <c r="T1291" s="4">
        <f>IFERROR(__xludf.DUMMYFUNCTION("""COMPUTED_VALUE"""),0.123)</f>
        <v>0.123</v>
      </c>
      <c r="U1291" s="4">
        <f>IFERROR(__xludf.DUMMYFUNCTION("""COMPUTED_VALUE"""),0.8)</f>
        <v>0.8</v>
      </c>
      <c r="V1291" s="4">
        <f>IFERROR(__xludf.DUMMYFUNCTION("""COMPUTED_VALUE"""),4.0)</f>
        <v>4</v>
      </c>
    </row>
    <row r="1292">
      <c r="A1292" s="4">
        <f>IFERROR(__xludf.DUMMYFUNCTION("""COMPUTED_VALUE"""),33.0)</f>
        <v>33</v>
      </c>
      <c r="B1292" s="4">
        <f>IFERROR(__xludf.DUMMYFUNCTION("""COMPUTED_VALUE"""),33.0)</f>
        <v>33</v>
      </c>
      <c r="C1292" s="4" t="str">
        <f>IFERROR(__xludf.DUMMYFUNCTION("""COMPUTED_VALUE"""),"ATL")</f>
        <v>ATL</v>
      </c>
      <c r="D1292" s="4" t="str">
        <f>IFERROR(__xludf.DUMMYFUNCTION("""COMPUTED_VALUE"""),"Solomon Jones")</f>
        <v>Solomon Jones</v>
      </c>
      <c r="E1292" s="4" t="str">
        <f>IFERROR(__xludf.DUMMYFUNCTION("""COMPUTED_VALUE"""),"South Florida")</f>
        <v>South Florida</v>
      </c>
      <c r="F1292" s="4">
        <f>IFERROR(__xludf.DUMMYFUNCTION("""COMPUTED_VALUE"""),8.0)</f>
        <v>8</v>
      </c>
      <c r="G1292" s="4">
        <f>IFERROR(__xludf.DUMMYFUNCTION("""COMPUTED_VALUE"""),281.0)</f>
        <v>281</v>
      </c>
      <c r="H1292" s="4">
        <f>IFERROR(__xludf.DUMMYFUNCTION("""COMPUTED_VALUE"""),3092.0)</f>
        <v>3092</v>
      </c>
      <c r="I1292" s="4">
        <f>IFERROR(__xludf.DUMMYFUNCTION("""COMPUTED_VALUE"""),839.0)</f>
        <v>839</v>
      </c>
      <c r="J1292" s="4">
        <f>IFERROR(__xludf.DUMMYFUNCTION("""COMPUTED_VALUE"""),654.0)</f>
        <v>654</v>
      </c>
      <c r="K1292" s="4">
        <f>IFERROR(__xludf.DUMMYFUNCTION("""COMPUTED_VALUE"""),99.0)</f>
        <v>99</v>
      </c>
      <c r="L1292" s="4">
        <f>IFERROR(__xludf.DUMMYFUNCTION("""COMPUTED_VALUE"""),0.467)</f>
        <v>0.467</v>
      </c>
      <c r="M1292" s="4">
        <f>IFERROR(__xludf.DUMMYFUNCTION("""COMPUTED_VALUE"""),0.111)</f>
        <v>0.111</v>
      </c>
      <c r="N1292" s="4">
        <f>IFERROR(__xludf.DUMMYFUNCTION("""COMPUTED_VALUE"""),0.717)</f>
        <v>0.717</v>
      </c>
      <c r="O1292" s="4">
        <f>IFERROR(__xludf.DUMMYFUNCTION("""COMPUTED_VALUE"""),11.0)</f>
        <v>11</v>
      </c>
      <c r="P1292" s="4">
        <f>IFERROR(__xludf.DUMMYFUNCTION("""COMPUTED_VALUE"""),3.0)</f>
        <v>3</v>
      </c>
      <c r="Q1292" s="4">
        <f>IFERROR(__xludf.DUMMYFUNCTION("""COMPUTED_VALUE"""),2.3)</f>
        <v>2.3</v>
      </c>
      <c r="R1292" s="4">
        <f>IFERROR(__xludf.DUMMYFUNCTION("""COMPUTED_VALUE"""),0.4)</f>
        <v>0.4</v>
      </c>
      <c r="S1292" s="4">
        <f>IFERROR(__xludf.DUMMYFUNCTION("""COMPUTED_VALUE"""),5.0)</f>
        <v>5</v>
      </c>
      <c r="T1292" s="4">
        <f>IFERROR(__xludf.DUMMYFUNCTION("""COMPUTED_VALUE"""),0.078)</f>
        <v>0.078</v>
      </c>
      <c r="U1292" s="4">
        <f>IFERROR(__xludf.DUMMYFUNCTION("""COMPUTED_VALUE"""),-4.0)</f>
        <v>-4</v>
      </c>
      <c r="V1292" s="4">
        <f>IFERROR(__xludf.DUMMYFUNCTION("""COMPUTED_VALUE"""),-1.6)</f>
        <v>-1.6</v>
      </c>
    </row>
    <row r="1293">
      <c r="A1293" s="4">
        <f>IFERROR(__xludf.DUMMYFUNCTION("""COMPUTED_VALUE"""),34.0)</f>
        <v>34</v>
      </c>
      <c r="B1293" s="4">
        <f>IFERROR(__xludf.DUMMYFUNCTION("""COMPUTED_VALUE"""),34.0)</f>
        <v>34</v>
      </c>
      <c r="C1293" s="4" t="str">
        <f>IFERROR(__xludf.DUMMYFUNCTION("""COMPUTED_VALUE"""),"LAC")</f>
        <v>LAC</v>
      </c>
      <c r="D1293" s="4" t="str">
        <f>IFERROR(__xludf.DUMMYFUNCTION("""COMPUTED_VALUE"""),"Paul Davis")</f>
        <v>Paul Davis</v>
      </c>
      <c r="E1293" s="4" t="str">
        <f>IFERROR(__xludf.DUMMYFUNCTION("""COMPUTED_VALUE"""),"Michigan State")</f>
        <v>Michigan State</v>
      </c>
      <c r="F1293" s="4">
        <f>IFERROR(__xludf.DUMMYFUNCTION("""COMPUTED_VALUE"""),4.0)</f>
        <v>4</v>
      </c>
      <c r="G1293" s="4">
        <f>IFERROR(__xludf.DUMMYFUNCTION("""COMPUTED_VALUE"""),82.0)</f>
        <v>82</v>
      </c>
      <c r="H1293" s="4">
        <f>IFERROR(__xludf.DUMMYFUNCTION("""COMPUTED_VALUE"""),702.0)</f>
        <v>702</v>
      </c>
      <c r="I1293" s="4">
        <f>IFERROR(__xludf.DUMMYFUNCTION("""COMPUTED_VALUE"""),217.0)</f>
        <v>217</v>
      </c>
      <c r="J1293" s="4">
        <f>IFERROR(__xludf.DUMMYFUNCTION("""COMPUTED_VALUE"""),158.0)</f>
        <v>158</v>
      </c>
      <c r="K1293" s="4">
        <f>IFERROR(__xludf.DUMMYFUNCTION("""COMPUTED_VALUE"""),32.0)</f>
        <v>32</v>
      </c>
      <c r="L1293" s="4">
        <f>IFERROR(__xludf.DUMMYFUNCTION("""COMPUTED_VALUE"""),0.402)</f>
        <v>0.402</v>
      </c>
      <c r="M1293" s="4">
        <f>IFERROR(__xludf.DUMMYFUNCTION("""COMPUTED_VALUE"""),0.0)</f>
        <v>0</v>
      </c>
      <c r="N1293" s="4">
        <f>IFERROR(__xludf.DUMMYFUNCTION("""COMPUTED_VALUE"""),0.732)</f>
        <v>0.732</v>
      </c>
      <c r="O1293" s="4">
        <f>IFERROR(__xludf.DUMMYFUNCTION("""COMPUTED_VALUE"""),8.6)</f>
        <v>8.6</v>
      </c>
      <c r="P1293" s="4">
        <f>IFERROR(__xludf.DUMMYFUNCTION("""COMPUTED_VALUE"""),2.6)</f>
        <v>2.6</v>
      </c>
      <c r="Q1293" s="4">
        <f>IFERROR(__xludf.DUMMYFUNCTION("""COMPUTED_VALUE"""),1.9)</f>
        <v>1.9</v>
      </c>
      <c r="R1293" s="4">
        <f>IFERROR(__xludf.DUMMYFUNCTION("""COMPUTED_VALUE"""),0.4)</f>
        <v>0.4</v>
      </c>
      <c r="S1293" s="4">
        <f>IFERROR(__xludf.DUMMYFUNCTION("""COMPUTED_VALUE"""),0.5)</f>
        <v>0.5</v>
      </c>
      <c r="T1293" s="4">
        <f>IFERROR(__xludf.DUMMYFUNCTION("""COMPUTED_VALUE"""),0.035)</f>
        <v>0.035</v>
      </c>
      <c r="U1293" s="4">
        <f>IFERROR(__xludf.DUMMYFUNCTION("""COMPUTED_VALUE"""),-4.2)</f>
        <v>-4.2</v>
      </c>
      <c r="V1293" s="4">
        <f>IFERROR(__xludf.DUMMYFUNCTION("""COMPUTED_VALUE"""),-0.4)</f>
        <v>-0.4</v>
      </c>
    </row>
    <row r="1294">
      <c r="A1294" s="4">
        <f>IFERROR(__xludf.DUMMYFUNCTION("""COMPUTED_VALUE"""),35.0)</f>
        <v>35</v>
      </c>
      <c r="B1294" s="4">
        <f>IFERROR(__xludf.DUMMYFUNCTION("""COMPUTED_VALUE"""),35.0)</f>
        <v>35</v>
      </c>
      <c r="C1294" s="4" t="str">
        <f>IFERROR(__xludf.DUMMYFUNCTION("""COMPUTED_VALUE"""),"TOR")</f>
        <v>TOR</v>
      </c>
      <c r="D1294" s="4" t="str">
        <f>IFERROR(__xludf.DUMMYFUNCTION("""COMPUTED_VALUE"""),"P.J. Tucker")</f>
        <v>P.J. Tucker</v>
      </c>
      <c r="E1294" s="4" t="str">
        <f>IFERROR(__xludf.DUMMYFUNCTION("""COMPUTED_VALUE"""),"Texas")</f>
        <v>Texas</v>
      </c>
      <c r="F1294" s="4">
        <f>IFERROR(__xludf.DUMMYFUNCTION("""COMPUTED_VALUE"""),14.0)</f>
        <v>14</v>
      </c>
      <c r="G1294" s="4">
        <f>IFERROR(__xludf.DUMMYFUNCTION("""COMPUTED_VALUE"""),886.0)</f>
        <v>886</v>
      </c>
      <c r="H1294" s="4">
        <f>IFERROR(__xludf.DUMMYFUNCTION("""COMPUTED_VALUE"""),24993.0)</f>
        <v>24993</v>
      </c>
      <c r="I1294" s="4">
        <f>IFERROR(__xludf.DUMMYFUNCTION("""COMPUTED_VALUE"""),5863.0)</f>
        <v>5863</v>
      </c>
      <c r="J1294" s="4">
        <f>IFERROR(__xludf.DUMMYFUNCTION("""COMPUTED_VALUE"""),4778.0)</f>
        <v>4778</v>
      </c>
      <c r="K1294" s="4">
        <f>IFERROR(__xludf.DUMMYFUNCTION("""COMPUTED_VALUE"""),1225.0)</f>
        <v>1225</v>
      </c>
      <c r="L1294" s="4">
        <f>IFERROR(__xludf.DUMMYFUNCTION("""COMPUTED_VALUE"""),0.425)</f>
        <v>0.425</v>
      </c>
      <c r="M1294" s="4">
        <f>IFERROR(__xludf.DUMMYFUNCTION("""COMPUTED_VALUE"""),0.366)</f>
        <v>0.366</v>
      </c>
      <c r="N1294" s="4">
        <f>IFERROR(__xludf.DUMMYFUNCTION("""COMPUTED_VALUE"""),0.75)</f>
        <v>0.75</v>
      </c>
      <c r="O1294" s="4">
        <f>IFERROR(__xludf.DUMMYFUNCTION("""COMPUTED_VALUE"""),28.2)</f>
        <v>28.2</v>
      </c>
      <c r="P1294" s="4">
        <f>IFERROR(__xludf.DUMMYFUNCTION("""COMPUTED_VALUE"""),6.6)</f>
        <v>6.6</v>
      </c>
      <c r="Q1294" s="4">
        <f>IFERROR(__xludf.DUMMYFUNCTION("""COMPUTED_VALUE"""),5.4)</f>
        <v>5.4</v>
      </c>
      <c r="R1294" s="4">
        <f>IFERROR(__xludf.DUMMYFUNCTION("""COMPUTED_VALUE"""),1.4)</f>
        <v>1.4</v>
      </c>
      <c r="S1294" s="4">
        <f>IFERROR(__xludf.DUMMYFUNCTION("""COMPUTED_VALUE"""),43.3)</f>
        <v>43.3</v>
      </c>
      <c r="T1294" s="4">
        <f>IFERROR(__xludf.DUMMYFUNCTION("""COMPUTED_VALUE"""),0.083)</f>
        <v>0.083</v>
      </c>
      <c r="U1294" s="4">
        <f>IFERROR(__xludf.DUMMYFUNCTION("""COMPUTED_VALUE"""),-1.0)</f>
        <v>-1</v>
      </c>
      <c r="V1294" s="4">
        <f>IFERROR(__xludf.DUMMYFUNCTION("""COMPUTED_VALUE"""),6.4)</f>
        <v>6.4</v>
      </c>
    </row>
    <row r="1295">
      <c r="A1295" s="4">
        <f>IFERROR(__xludf.DUMMYFUNCTION("""COMPUTED_VALUE"""),36.0)</f>
        <v>36</v>
      </c>
      <c r="B1295" s="4">
        <f>IFERROR(__xludf.DUMMYFUNCTION("""COMPUTED_VALUE"""),36.0)</f>
        <v>36</v>
      </c>
      <c r="C1295" s="4" t="str">
        <f>IFERROR(__xludf.DUMMYFUNCTION("""COMPUTED_VALUE"""),"MIN")</f>
        <v>MIN</v>
      </c>
      <c r="D1295" s="4" t="str">
        <f>IFERROR(__xludf.DUMMYFUNCTION("""COMPUTED_VALUE"""),"Craig Smith")</f>
        <v>Craig Smith</v>
      </c>
      <c r="E1295" s="4" t="str">
        <f>IFERROR(__xludf.DUMMYFUNCTION("""COMPUTED_VALUE"""),"Boston College")</f>
        <v>Boston College</v>
      </c>
      <c r="F1295" s="4">
        <f>IFERROR(__xludf.DUMMYFUNCTION("""COMPUTED_VALUE"""),6.0)</f>
        <v>6</v>
      </c>
      <c r="G1295" s="4">
        <f>IFERROR(__xludf.DUMMYFUNCTION("""COMPUTED_VALUE"""),403.0)</f>
        <v>403</v>
      </c>
      <c r="H1295" s="4">
        <f>IFERROR(__xludf.DUMMYFUNCTION("""COMPUTED_VALUE"""),6826.0)</f>
        <v>6826</v>
      </c>
      <c r="I1295" s="4">
        <f>IFERROR(__xludf.DUMMYFUNCTION("""COMPUTED_VALUE"""),3080.0)</f>
        <v>3080</v>
      </c>
      <c r="J1295" s="4">
        <f>IFERROR(__xludf.DUMMYFUNCTION("""COMPUTED_VALUE"""),1567.0)</f>
        <v>1567</v>
      </c>
      <c r="K1295" s="4">
        <f>IFERROR(__xludf.DUMMYFUNCTION("""COMPUTED_VALUE"""),322.0)</f>
        <v>322</v>
      </c>
      <c r="L1295" s="4">
        <f>IFERROR(__xludf.DUMMYFUNCTION("""COMPUTED_VALUE"""),0.553)</f>
        <v>0.553</v>
      </c>
      <c r="M1295" s="4">
        <f>IFERROR(__xludf.DUMMYFUNCTION("""COMPUTED_VALUE"""),0.037)</f>
        <v>0.037</v>
      </c>
      <c r="N1295" s="4">
        <f>IFERROR(__xludf.DUMMYFUNCTION("""COMPUTED_VALUE"""),0.661)</f>
        <v>0.661</v>
      </c>
      <c r="O1295" s="4">
        <f>IFERROR(__xludf.DUMMYFUNCTION("""COMPUTED_VALUE"""),16.9)</f>
        <v>16.9</v>
      </c>
      <c r="P1295" s="4">
        <f>IFERROR(__xludf.DUMMYFUNCTION("""COMPUTED_VALUE"""),7.6)</f>
        <v>7.6</v>
      </c>
      <c r="Q1295" s="4">
        <f>IFERROR(__xludf.DUMMYFUNCTION("""COMPUTED_VALUE"""),3.9)</f>
        <v>3.9</v>
      </c>
      <c r="R1295" s="4">
        <f>IFERROR(__xludf.DUMMYFUNCTION("""COMPUTED_VALUE"""),0.8)</f>
        <v>0.8</v>
      </c>
      <c r="S1295" s="4">
        <f>IFERROR(__xludf.DUMMYFUNCTION("""COMPUTED_VALUE"""),16.0)</f>
        <v>16</v>
      </c>
      <c r="T1295" s="4">
        <f>IFERROR(__xludf.DUMMYFUNCTION("""COMPUTED_VALUE"""),0.113)</f>
        <v>0.113</v>
      </c>
      <c r="U1295" s="4">
        <f>IFERROR(__xludf.DUMMYFUNCTION("""COMPUTED_VALUE"""),-1.2)</f>
        <v>-1.2</v>
      </c>
      <c r="V1295" s="4">
        <f>IFERROR(__xludf.DUMMYFUNCTION("""COMPUTED_VALUE"""),1.4)</f>
        <v>1.4</v>
      </c>
    </row>
    <row r="1296">
      <c r="A1296" s="4">
        <f>IFERROR(__xludf.DUMMYFUNCTION("""COMPUTED_VALUE"""),37.0)</f>
        <v>37</v>
      </c>
      <c r="B1296" s="4">
        <f>IFERROR(__xludf.DUMMYFUNCTION("""COMPUTED_VALUE"""),37.0)</f>
        <v>37</v>
      </c>
      <c r="C1296" s="4" t="str">
        <f>IFERROR(__xludf.DUMMYFUNCTION("""COMPUTED_VALUE"""),"MIN")</f>
        <v>MIN</v>
      </c>
      <c r="D1296" s="4" t="str">
        <f>IFERROR(__xludf.DUMMYFUNCTION("""COMPUTED_VALUE"""),"Bobby Jones")</f>
        <v>Bobby Jones</v>
      </c>
      <c r="E1296" s="4" t="str">
        <f>IFERROR(__xludf.DUMMYFUNCTION("""COMPUTED_VALUE"""),"Washington")</f>
        <v>Washington</v>
      </c>
      <c r="F1296" s="4">
        <f>IFERROR(__xludf.DUMMYFUNCTION("""COMPUTED_VALUE"""),2.0)</f>
        <v>2</v>
      </c>
      <c r="G1296" s="4">
        <f>IFERROR(__xludf.DUMMYFUNCTION("""COMPUTED_VALUE"""),91.0)</f>
        <v>91</v>
      </c>
      <c r="H1296" s="4">
        <f>IFERROR(__xludf.DUMMYFUNCTION("""COMPUTED_VALUE"""),867.0)</f>
        <v>867</v>
      </c>
      <c r="I1296" s="4">
        <f>IFERROR(__xludf.DUMMYFUNCTION("""COMPUTED_VALUE"""),288.0)</f>
        <v>288</v>
      </c>
      <c r="J1296" s="4">
        <f>IFERROR(__xludf.DUMMYFUNCTION("""COMPUTED_VALUE"""),149.0)</f>
        <v>149</v>
      </c>
      <c r="K1296" s="4">
        <f>IFERROR(__xludf.DUMMYFUNCTION("""COMPUTED_VALUE"""),44.0)</f>
        <v>44</v>
      </c>
      <c r="L1296" s="4">
        <f>IFERROR(__xludf.DUMMYFUNCTION("""COMPUTED_VALUE"""),0.442)</f>
        <v>0.442</v>
      </c>
      <c r="M1296" s="4">
        <f>IFERROR(__xludf.DUMMYFUNCTION("""COMPUTED_VALUE"""),0.306)</f>
        <v>0.306</v>
      </c>
      <c r="N1296" s="4">
        <f>IFERROR(__xludf.DUMMYFUNCTION("""COMPUTED_VALUE"""),0.685)</f>
        <v>0.685</v>
      </c>
      <c r="O1296" s="4">
        <f>IFERROR(__xludf.DUMMYFUNCTION("""COMPUTED_VALUE"""),9.5)</f>
        <v>9.5</v>
      </c>
      <c r="P1296" s="4">
        <f>IFERROR(__xludf.DUMMYFUNCTION("""COMPUTED_VALUE"""),3.2)</f>
        <v>3.2</v>
      </c>
      <c r="Q1296" s="4">
        <f>IFERROR(__xludf.DUMMYFUNCTION("""COMPUTED_VALUE"""),1.6)</f>
        <v>1.6</v>
      </c>
      <c r="R1296" s="4">
        <f>IFERROR(__xludf.DUMMYFUNCTION("""COMPUTED_VALUE"""),0.5)</f>
        <v>0.5</v>
      </c>
      <c r="S1296" s="4">
        <f>IFERROR(__xludf.DUMMYFUNCTION("""COMPUTED_VALUE"""),1.1)</f>
        <v>1.1</v>
      </c>
      <c r="T1296" s="4">
        <f>IFERROR(__xludf.DUMMYFUNCTION("""COMPUTED_VALUE"""),0.06)</f>
        <v>0.06</v>
      </c>
      <c r="U1296" s="4">
        <f>IFERROR(__xludf.DUMMYFUNCTION("""COMPUTED_VALUE"""),-4.1)</f>
        <v>-4.1</v>
      </c>
      <c r="V1296" s="4">
        <f>IFERROR(__xludf.DUMMYFUNCTION("""COMPUTED_VALUE"""),-0.5)</f>
        <v>-0.5</v>
      </c>
    </row>
    <row r="1297">
      <c r="A1297" s="4">
        <f>IFERROR(__xludf.DUMMYFUNCTION("""COMPUTED_VALUE"""),38.0)</f>
        <v>38</v>
      </c>
      <c r="B1297" s="4">
        <f>IFERROR(__xludf.DUMMYFUNCTION("""COMPUTED_VALUE"""),38.0)</f>
        <v>38</v>
      </c>
      <c r="C1297" s="4" t="str">
        <f>IFERROR(__xludf.DUMMYFUNCTION("""COMPUTED_VALUE"""),"GSW")</f>
        <v>GSW</v>
      </c>
      <c r="D1297" s="4" t="str">
        <f>IFERROR(__xludf.DUMMYFUNCTION("""COMPUTED_VALUE"""),"Kosta Perović")</f>
        <v>Kosta Perović</v>
      </c>
      <c r="E1297" s="4"/>
      <c r="F1297" s="4">
        <f>IFERROR(__xludf.DUMMYFUNCTION("""COMPUTED_VALUE"""),1.0)</f>
        <v>1</v>
      </c>
      <c r="G1297" s="4">
        <f>IFERROR(__xludf.DUMMYFUNCTION("""COMPUTED_VALUE"""),7.0)</f>
        <v>7</v>
      </c>
      <c r="H1297" s="4">
        <f>IFERROR(__xludf.DUMMYFUNCTION("""COMPUTED_VALUE"""),38.0)</f>
        <v>38</v>
      </c>
      <c r="I1297" s="4">
        <f>IFERROR(__xludf.DUMMYFUNCTION("""COMPUTED_VALUE"""),10.0)</f>
        <v>10</v>
      </c>
      <c r="J1297" s="4">
        <f>IFERROR(__xludf.DUMMYFUNCTION("""COMPUTED_VALUE"""),13.0)</f>
        <v>13</v>
      </c>
      <c r="K1297" s="4">
        <f>IFERROR(__xludf.DUMMYFUNCTION("""COMPUTED_VALUE"""),1.0)</f>
        <v>1</v>
      </c>
      <c r="L1297" s="4">
        <f>IFERROR(__xludf.DUMMYFUNCTION("""COMPUTED_VALUE"""),0.3)</f>
        <v>0.3</v>
      </c>
      <c r="M1297" s="4"/>
      <c r="N1297" s="4">
        <f>IFERROR(__xludf.DUMMYFUNCTION("""COMPUTED_VALUE"""),0.667)</f>
        <v>0.667</v>
      </c>
      <c r="O1297" s="4">
        <f>IFERROR(__xludf.DUMMYFUNCTION("""COMPUTED_VALUE"""),5.4)</f>
        <v>5.4</v>
      </c>
      <c r="P1297" s="4">
        <f>IFERROR(__xludf.DUMMYFUNCTION("""COMPUTED_VALUE"""),1.4)</f>
        <v>1.4</v>
      </c>
      <c r="Q1297" s="4">
        <f>IFERROR(__xludf.DUMMYFUNCTION("""COMPUTED_VALUE"""),1.9)</f>
        <v>1.9</v>
      </c>
      <c r="R1297" s="4">
        <f>IFERROR(__xludf.DUMMYFUNCTION("""COMPUTED_VALUE"""),0.1)</f>
        <v>0.1</v>
      </c>
      <c r="S1297" s="4">
        <f>IFERROR(__xludf.DUMMYFUNCTION("""COMPUTED_VALUE"""),0.0)</f>
        <v>0</v>
      </c>
      <c r="T1297" s="4">
        <f>IFERROR(__xludf.DUMMYFUNCTION("""COMPUTED_VALUE"""),0.06)</f>
        <v>0.06</v>
      </c>
      <c r="U1297" s="4">
        <f>IFERROR(__xludf.DUMMYFUNCTION("""COMPUTED_VALUE"""),-5.9)</f>
        <v>-5.9</v>
      </c>
      <c r="V1297" s="4">
        <f>IFERROR(__xludf.DUMMYFUNCTION("""COMPUTED_VALUE"""),0.0)</f>
        <v>0</v>
      </c>
    </row>
    <row r="1298">
      <c r="A1298" s="4">
        <f>IFERROR(__xludf.DUMMYFUNCTION("""COMPUTED_VALUE"""),39.0)</f>
        <v>39</v>
      </c>
      <c r="B1298" s="4">
        <f>IFERROR(__xludf.DUMMYFUNCTION("""COMPUTED_VALUE"""),39.0)</f>
        <v>39</v>
      </c>
      <c r="C1298" s="4" t="str">
        <f>IFERROR(__xludf.DUMMYFUNCTION("""COMPUTED_VALUE"""),"MIL")</f>
        <v>MIL</v>
      </c>
      <c r="D1298" s="4" t="str">
        <f>IFERROR(__xludf.DUMMYFUNCTION("""COMPUTED_VALUE"""),"David Noel")</f>
        <v>David Noel</v>
      </c>
      <c r="E1298" s="4" t="str">
        <f>IFERROR(__xludf.DUMMYFUNCTION("""COMPUTED_VALUE"""),"UNC")</f>
        <v>UNC</v>
      </c>
      <c r="F1298" s="4">
        <f>IFERROR(__xludf.DUMMYFUNCTION("""COMPUTED_VALUE"""),1.0)</f>
        <v>1</v>
      </c>
      <c r="G1298" s="4">
        <f>IFERROR(__xludf.DUMMYFUNCTION("""COMPUTED_VALUE"""),68.0)</f>
        <v>68</v>
      </c>
      <c r="H1298" s="4">
        <f>IFERROR(__xludf.DUMMYFUNCTION("""COMPUTED_VALUE"""),792.0)</f>
        <v>792</v>
      </c>
      <c r="I1298" s="4">
        <f>IFERROR(__xludf.DUMMYFUNCTION("""COMPUTED_VALUE"""),184.0)</f>
        <v>184</v>
      </c>
      <c r="J1298" s="4">
        <f>IFERROR(__xludf.DUMMYFUNCTION("""COMPUTED_VALUE"""),123.0)</f>
        <v>123</v>
      </c>
      <c r="K1298" s="4">
        <f>IFERROR(__xludf.DUMMYFUNCTION("""COMPUTED_VALUE"""),65.0)</f>
        <v>65</v>
      </c>
      <c r="L1298" s="4">
        <f>IFERROR(__xludf.DUMMYFUNCTION("""COMPUTED_VALUE"""),0.367)</f>
        <v>0.367</v>
      </c>
      <c r="M1298" s="4">
        <f>IFERROR(__xludf.DUMMYFUNCTION("""COMPUTED_VALUE"""),0.321)</f>
        <v>0.321</v>
      </c>
      <c r="N1298" s="4">
        <f>IFERROR(__xludf.DUMMYFUNCTION("""COMPUTED_VALUE"""),0.86)</f>
        <v>0.86</v>
      </c>
      <c r="O1298" s="4">
        <f>IFERROR(__xludf.DUMMYFUNCTION("""COMPUTED_VALUE"""),11.6)</f>
        <v>11.6</v>
      </c>
      <c r="P1298" s="4">
        <f>IFERROR(__xludf.DUMMYFUNCTION("""COMPUTED_VALUE"""),2.7)</f>
        <v>2.7</v>
      </c>
      <c r="Q1298" s="4">
        <f>IFERROR(__xludf.DUMMYFUNCTION("""COMPUTED_VALUE"""),1.8)</f>
        <v>1.8</v>
      </c>
      <c r="R1298" s="4">
        <f>IFERROR(__xludf.DUMMYFUNCTION("""COMPUTED_VALUE"""),1.0)</f>
        <v>1</v>
      </c>
      <c r="S1298" s="4">
        <f>IFERROR(__xludf.DUMMYFUNCTION("""COMPUTED_VALUE"""),0.4)</f>
        <v>0.4</v>
      </c>
      <c r="T1298" s="4">
        <f>IFERROR(__xludf.DUMMYFUNCTION("""COMPUTED_VALUE"""),0.024)</f>
        <v>0.024</v>
      </c>
      <c r="U1298" s="4">
        <f>IFERROR(__xludf.DUMMYFUNCTION("""COMPUTED_VALUE"""),-3.1)</f>
        <v>-3.1</v>
      </c>
      <c r="V1298" s="4">
        <f>IFERROR(__xludf.DUMMYFUNCTION("""COMPUTED_VALUE"""),-0.2)</f>
        <v>-0.2</v>
      </c>
    </row>
    <row r="1299">
      <c r="A1299" s="4">
        <f>IFERROR(__xludf.DUMMYFUNCTION("""COMPUTED_VALUE"""),40.0)</f>
        <v>40</v>
      </c>
      <c r="B1299" s="4">
        <f>IFERROR(__xludf.DUMMYFUNCTION("""COMPUTED_VALUE"""),40.0)</f>
        <v>40</v>
      </c>
      <c r="C1299" s="4" t="str">
        <f>IFERROR(__xludf.DUMMYFUNCTION("""COMPUTED_VALUE"""),"SEA")</f>
        <v>SEA</v>
      </c>
      <c r="D1299" s="4" t="str">
        <f>IFERROR(__xludf.DUMMYFUNCTION("""COMPUTED_VALUE"""),"Denham Brown")</f>
        <v>Denham Brown</v>
      </c>
      <c r="E1299" s="4" t="str">
        <f>IFERROR(__xludf.DUMMYFUNCTION("""COMPUTED_VALUE"""),"UConn")</f>
        <v>UConn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>
      <c r="A1300" s="4">
        <f>IFERROR(__xludf.DUMMYFUNCTION("""COMPUTED_VALUE"""),41.0)</f>
        <v>41</v>
      </c>
      <c r="B1300" s="4">
        <f>IFERROR(__xludf.DUMMYFUNCTION("""COMPUTED_VALUE"""),41.0)</f>
        <v>41</v>
      </c>
      <c r="C1300" s="4" t="str">
        <f>IFERROR(__xludf.DUMMYFUNCTION("""COMPUTED_VALUE"""),"ORL")</f>
        <v>ORL</v>
      </c>
      <c r="D1300" s="4" t="str">
        <f>IFERROR(__xludf.DUMMYFUNCTION("""COMPUTED_VALUE"""),"James Augustine")</f>
        <v>James Augustine</v>
      </c>
      <c r="E1300" s="4" t="str">
        <f>IFERROR(__xludf.DUMMYFUNCTION("""COMPUTED_VALUE"""),"Illinois")</f>
        <v>Illinois</v>
      </c>
      <c r="F1300" s="4">
        <f>IFERROR(__xludf.DUMMYFUNCTION("""COMPUTED_VALUE"""),2.0)</f>
        <v>2</v>
      </c>
      <c r="G1300" s="4">
        <f>IFERROR(__xludf.DUMMYFUNCTION("""COMPUTED_VALUE"""),27.0)</f>
        <v>27</v>
      </c>
      <c r="H1300" s="4">
        <f>IFERROR(__xludf.DUMMYFUNCTION("""COMPUTED_VALUE"""),156.0)</f>
        <v>156</v>
      </c>
      <c r="I1300" s="4">
        <f>IFERROR(__xludf.DUMMYFUNCTION("""COMPUTED_VALUE"""),42.0)</f>
        <v>42</v>
      </c>
      <c r="J1300" s="4">
        <f>IFERROR(__xludf.DUMMYFUNCTION("""COMPUTED_VALUE"""),33.0)</f>
        <v>33</v>
      </c>
      <c r="K1300" s="4">
        <f>IFERROR(__xludf.DUMMYFUNCTION("""COMPUTED_VALUE"""),4.0)</f>
        <v>4</v>
      </c>
      <c r="L1300" s="4">
        <f>IFERROR(__xludf.DUMMYFUNCTION("""COMPUTED_VALUE"""),0.514)</f>
        <v>0.514</v>
      </c>
      <c r="M1300" s="4"/>
      <c r="N1300" s="4">
        <f>IFERROR(__xludf.DUMMYFUNCTION("""COMPUTED_VALUE"""),0.5)</f>
        <v>0.5</v>
      </c>
      <c r="O1300" s="4">
        <f>IFERROR(__xludf.DUMMYFUNCTION("""COMPUTED_VALUE"""),5.8)</f>
        <v>5.8</v>
      </c>
      <c r="P1300" s="4">
        <f>IFERROR(__xludf.DUMMYFUNCTION("""COMPUTED_VALUE"""),1.6)</f>
        <v>1.6</v>
      </c>
      <c r="Q1300" s="4">
        <f>IFERROR(__xludf.DUMMYFUNCTION("""COMPUTED_VALUE"""),1.2)</f>
        <v>1.2</v>
      </c>
      <c r="R1300" s="4">
        <f>IFERROR(__xludf.DUMMYFUNCTION("""COMPUTED_VALUE"""),0.1)</f>
        <v>0.1</v>
      </c>
      <c r="S1300" s="4">
        <f>IFERROR(__xludf.DUMMYFUNCTION("""COMPUTED_VALUE"""),0.3)</f>
        <v>0.3</v>
      </c>
      <c r="T1300" s="4">
        <f>IFERROR(__xludf.DUMMYFUNCTION("""COMPUTED_VALUE"""),0.101)</f>
        <v>0.101</v>
      </c>
      <c r="U1300" s="4">
        <f>IFERROR(__xludf.DUMMYFUNCTION("""COMPUTED_VALUE"""),-2.7)</f>
        <v>-2.7</v>
      </c>
      <c r="V1300" s="4">
        <f>IFERROR(__xludf.DUMMYFUNCTION("""COMPUTED_VALUE"""),0.0)</f>
        <v>0</v>
      </c>
    </row>
    <row r="1301">
      <c r="A1301" s="4">
        <f>IFERROR(__xludf.DUMMYFUNCTION("""COMPUTED_VALUE"""),42.0)</f>
        <v>42</v>
      </c>
      <c r="B1301" s="4">
        <f>IFERROR(__xludf.DUMMYFUNCTION("""COMPUTED_VALUE"""),42.0)</f>
        <v>42</v>
      </c>
      <c r="C1301" s="4" t="str">
        <f>IFERROR(__xludf.DUMMYFUNCTION("""COMPUTED_VALUE"""),"CLE")</f>
        <v>CLE</v>
      </c>
      <c r="D1301" s="4" t="str">
        <f>IFERROR(__xludf.DUMMYFUNCTION("""COMPUTED_VALUE"""),"Daniel Gibson")</f>
        <v>Daniel Gibson</v>
      </c>
      <c r="E1301" s="4" t="str">
        <f>IFERROR(__xludf.DUMMYFUNCTION("""COMPUTED_VALUE"""),"Texas")</f>
        <v>Texas</v>
      </c>
      <c r="F1301" s="4">
        <f>IFERROR(__xludf.DUMMYFUNCTION("""COMPUTED_VALUE"""),7.0)</f>
        <v>7</v>
      </c>
      <c r="G1301" s="4">
        <f>IFERROR(__xludf.DUMMYFUNCTION("""COMPUTED_VALUE"""),397.0)</f>
        <v>397</v>
      </c>
      <c r="H1301" s="4">
        <f>IFERROR(__xludf.DUMMYFUNCTION("""COMPUTED_VALUE"""),9316.0)</f>
        <v>9316</v>
      </c>
      <c r="I1301" s="4">
        <f>IFERROR(__xludf.DUMMYFUNCTION("""COMPUTED_VALUE"""),3115.0)</f>
        <v>3115</v>
      </c>
      <c r="J1301" s="4">
        <f>IFERROR(__xludf.DUMMYFUNCTION("""COMPUTED_VALUE"""),792.0)</f>
        <v>792</v>
      </c>
      <c r="K1301" s="4">
        <f>IFERROR(__xludf.DUMMYFUNCTION("""COMPUTED_VALUE"""),775.0)</f>
        <v>775</v>
      </c>
      <c r="L1301" s="4">
        <f>IFERROR(__xludf.DUMMYFUNCTION("""COMPUTED_VALUE"""),0.402)</f>
        <v>0.402</v>
      </c>
      <c r="M1301" s="4">
        <f>IFERROR(__xludf.DUMMYFUNCTION("""COMPUTED_VALUE"""),0.407)</f>
        <v>0.407</v>
      </c>
      <c r="N1301" s="4">
        <f>IFERROR(__xludf.DUMMYFUNCTION("""COMPUTED_VALUE"""),0.78)</f>
        <v>0.78</v>
      </c>
      <c r="O1301" s="4">
        <f>IFERROR(__xludf.DUMMYFUNCTION("""COMPUTED_VALUE"""),23.5)</f>
        <v>23.5</v>
      </c>
      <c r="P1301" s="4">
        <f>IFERROR(__xludf.DUMMYFUNCTION("""COMPUTED_VALUE"""),7.8)</f>
        <v>7.8</v>
      </c>
      <c r="Q1301" s="4">
        <f>IFERROR(__xludf.DUMMYFUNCTION("""COMPUTED_VALUE"""),2.0)</f>
        <v>2</v>
      </c>
      <c r="R1301" s="4">
        <f>IFERROR(__xludf.DUMMYFUNCTION("""COMPUTED_VALUE"""),2.0)</f>
        <v>2</v>
      </c>
      <c r="S1301" s="4">
        <f>IFERROR(__xludf.DUMMYFUNCTION("""COMPUTED_VALUE"""),16.0)</f>
        <v>16</v>
      </c>
      <c r="T1301" s="4">
        <f>IFERROR(__xludf.DUMMYFUNCTION("""COMPUTED_VALUE"""),0.082)</f>
        <v>0.082</v>
      </c>
      <c r="U1301" s="4">
        <f>IFERROR(__xludf.DUMMYFUNCTION("""COMPUTED_VALUE"""),-1.0)</f>
        <v>-1</v>
      </c>
      <c r="V1301" s="4">
        <f>IFERROR(__xludf.DUMMYFUNCTION("""COMPUTED_VALUE"""),2.4)</f>
        <v>2.4</v>
      </c>
    </row>
    <row r="1302">
      <c r="A1302" s="4">
        <f>IFERROR(__xludf.DUMMYFUNCTION("""COMPUTED_VALUE"""),43.0)</f>
        <v>43</v>
      </c>
      <c r="B1302" s="4">
        <f>IFERROR(__xludf.DUMMYFUNCTION("""COMPUTED_VALUE"""),43.0)</f>
        <v>43</v>
      </c>
      <c r="C1302" s="4" t="str">
        <f>IFERROR(__xludf.DUMMYFUNCTION("""COMPUTED_VALUE"""),"NOK")</f>
        <v>NOK</v>
      </c>
      <c r="D1302" s="4" t="str">
        <f>IFERROR(__xludf.DUMMYFUNCTION("""COMPUTED_VALUE"""),"Marcus Vinicius")</f>
        <v>Marcus Vinicius</v>
      </c>
      <c r="E1302" s="4"/>
      <c r="F1302" s="4">
        <f>IFERROR(__xludf.DUMMYFUNCTION("""COMPUTED_VALUE"""),2.0)</f>
        <v>2</v>
      </c>
      <c r="G1302" s="4">
        <f>IFERROR(__xludf.DUMMYFUNCTION("""COMPUTED_VALUE"""),26.0)</f>
        <v>26</v>
      </c>
      <c r="H1302" s="4">
        <f>IFERROR(__xludf.DUMMYFUNCTION("""COMPUTED_VALUE"""),172.0)</f>
        <v>172</v>
      </c>
      <c r="I1302" s="4">
        <f>IFERROR(__xludf.DUMMYFUNCTION("""COMPUTED_VALUE"""),50.0)</f>
        <v>50</v>
      </c>
      <c r="J1302" s="4">
        <f>IFERROR(__xludf.DUMMYFUNCTION("""COMPUTED_VALUE"""),19.0)</f>
        <v>19</v>
      </c>
      <c r="K1302" s="4">
        <f>IFERROR(__xludf.DUMMYFUNCTION("""COMPUTED_VALUE"""),7.0)</f>
        <v>7</v>
      </c>
      <c r="L1302" s="4">
        <f>IFERROR(__xludf.DUMMYFUNCTION("""COMPUTED_VALUE"""),0.457)</f>
        <v>0.457</v>
      </c>
      <c r="M1302" s="4">
        <f>IFERROR(__xludf.DUMMYFUNCTION("""COMPUTED_VALUE"""),0.421)</f>
        <v>0.421</v>
      </c>
      <c r="N1302" s="4">
        <f>IFERROR(__xludf.DUMMYFUNCTION("""COMPUTED_VALUE"""),0.556)</f>
        <v>0.556</v>
      </c>
      <c r="O1302" s="4">
        <f>IFERROR(__xludf.DUMMYFUNCTION("""COMPUTED_VALUE"""),6.6)</f>
        <v>6.6</v>
      </c>
      <c r="P1302" s="4">
        <f>IFERROR(__xludf.DUMMYFUNCTION("""COMPUTED_VALUE"""),1.9)</f>
        <v>1.9</v>
      </c>
      <c r="Q1302" s="4">
        <f>IFERROR(__xludf.DUMMYFUNCTION("""COMPUTED_VALUE"""),0.7)</f>
        <v>0.7</v>
      </c>
      <c r="R1302" s="4">
        <f>IFERROR(__xludf.DUMMYFUNCTION("""COMPUTED_VALUE"""),0.3)</f>
        <v>0.3</v>
      </c>
      <c r="S1302" s="4">
        <f>IFERROR(__xludf.DUMMYFUNCTION("""COMPUTED_VALUE"""),0.2)</f>
        <v>0.2</v>
      </c>
      <c r="T1302" s="4">
        <f>IFERROR(__xludf.DUMMYFUNCTION("""COMPUTED_VALUE"""),0.056)</f>
        <v>0.056</v>
      </c>
      <c r="U1302" s="4">
        <f>IFERROR(__xludf.DUMMYFUNCTION("""COMPUTED_VALUE"""),-3.0)</f>
        <v>-3</v>
      </c>
      <c r="V1302" s="4">
        <f>IFERROR(__xludf.DUMMYFUNCTION("""COMPUTED_VALUE"""),0.0)</f>
        <v>0</v>
      </c>
    </row>
    <row r="1303">
      <c r="A1303" s="4">
        <f>IFERROR(__xludf.DUMMYFUNCTION("""COMPUTED_VALUE"""),44.0)</f>
        <v>44</v>
      </c>
      <c r="B1303" s="4">
        <f>IFERROR(__xludf.DUMMYFUNCTION("""COMPUTED_VALUE"""),44.0)</f>
        <v>44</v>
      </c>
      <c r="C1303" s="4" t="str">
        <f>IFERROR(__xludf.DUMMYFUNCTION("""COMPUTED_VALUE"""),"ORL")</f>
        <v>ORL</v>
      </c>
      <c r="D1303" s="4" t="str">
        <f>IFERROR(__xludf.DUMMYFUNCTION("""COMPUTED_VALUE"""),"Lior Eliyahu")</f>
        <v>Lior Eliyahu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>
      <c r="A1304" s="4">
        <f>IFERROR(__xludf.DUMMYFUNCTION("""COMPUTED_VALUE"""),45.0)</f>
        <v>45</v>
      </c>
      <c r="B1304" s="4">
        <f>IFERROR(__xludf.DUMMYFUNCTION("""COMPUTED_VALUE"""),45.0)</f>
        <v>45</v>
      </c>
      <c r="C1304" s="4" t="str">
        <f>IFERROR(__xludf.DUMMYFUNCTION("""COMPUTED_VALUE"""),"IND")</f>
        <v>IND</v>
      </c>
      <c r="D1304" s="4" t="str">
        <f>IFERROR(__xludf.DUMMYFUNCTION("""COMPUTED_VALUE"""),"Alexander Johnson")</f>
        <v>Alexander Johnson</v>
      </c>
      <c r="E1304" s="4" t="str">
        <f>IFERROR(__xludf.DUMMYFUNCTION("""COMPUTED_VALUE"""),"Florida State")</f>
        <v>Florida State</v>
      </c>
      <c r="F1304" s="4">
        <f>IFERROR(__xludf.DUMMYFUNCTION("""COMPUTED_VALUE"""),2.0)</f>
        <v>2</v>
      </c>
      <c r="G1304" s="4">
        <f>IFERROR(__xludf.DUMMYFUNCTION("""COMPUTED_VALUE"""),102.0)</f>
        <v>102</v>
      </c>
      <c r="H1304" s="4">
        <f>IFERROR(__xludf.DUMMYFUNCTION("""COMPUTED_VALUE"""),1302.0)</f>
        <v>1302</v>
      </c>
      <c r="I1304" s="4">
        <f>IFERROR(__xludf.DUMMYFUNCTION("""COMPUTED_VALUE"""),439.0)</f>
        <v>439</v>
      </c>
      <c r="J1304" s="4">
        <f>IFERROR(__xludf.DUMMYFUNCTION("""COMPUTED_VALUE"""),275.0)</f>
        <v>275</v>
      </c>
      <c r="K1304" s="4">
        <f>IFERROR(__xludf.DUMMYFUNCTION("""COMPUTED_VALUE"""),30.0)</f>
        <v>30</v>
      </c>
      <c r="L1304" s="4">
        <f>IFERROR(__xludf.DUMMYFUNCTION("""COMPUTED_VALUE"""),0.517)</f>
        <v>0.517</v>
      </c>
      <c r="M1304" s="4"/>
      <c r="N1304" s="4">
        <f>IFERROR(__xludf.DUMMYFUNCTION("""COMPUTED_VALUE"""),0.672)</f>
        <v>0.672</v>
      </c>
      <c r="O1304" s="4">
        <f>IFERROR(__xludf.DUMMYFUNCTION("""COMPUTED_VALUE"""),12.8)</f>
        <v>12.8</v>
      </c>
      <c r="P1304" s="4">
        <f>IFERROR(__xludf.DUMMYFUNCTION("""COMPUTED_VALUE"""),4.3)</f>
        <v>4.3</v>
      </c>
      <c r="Q1304" s="4">
        <f>IFERROR(__xludf.DUMMYFUNCTION("""COMPUTED_VALUE"""),2.7)</f>
        <v>2.7</v>
      </c>
      <c r="R1304" s="4">
        <f>IFERROR(__xludf.DUMMYFUNCTION("""COMPUTED_VALUE"""),0.3)</f>
        <v>0.3</v>
      </c>
      <c r="S1304" s="4">
        <f>IFERROR(__xludf.DUMMYFUNCTION("""COMPUTED_VALUE"""),1.5)</f>
        <v>1.5</v>
      </c>
      <c r="T1304" s="4">
        <f>IFERROR(__xludf.DUMMYFUNCTION("""COMPUTED_VALUE"""),0.056)</f>
        <v>0.056</v>
      </c>
      <c r="U1304" s="4">
        <f>IFERROR(__xludf.DUMMYFUNCTION("""COMPUTED_VALUE"""),-4.6)</f>
        <v>-4.6</v>
      </c>
      <c r="V1304" s="4">
        <f>IFERROR(__xludf.DUMMYFUNCTION("""COMPUTED_VALUE"""),-0.9)</f>
        <v>-0.9</v>
      </c>
    </row>
    <row r="1305">
      <c r="A1305" s="4">
        <f>IFERROR(__xludf.DUMMYFUNCTION("""COMPUTED_VALUE"""),46.0)</f>
        <v>46</v>
      </c>
      <c r="B1305" s="4">
        <f>IFERROR(__xludf.DUMMYFUNCTION("""COMPUTED_VALUE"""),46.0)</f>
        <v>46</v>
      </c>
      <c r="C1305" s="4" t="str">
        <f>IFERROR(__xludf.DUMMYFUNCTION("""COMPUTED_VALUE"""),"UTA")</f>
        <v>UTA</v>
      </c>
      <c r="D1305" s="4" t="str">
        <f>IFERROR(__xludf.DUMMYFUNCTION("""COMPUTED_VALUE"""),"Dee Brown")</f>
        <v>Dee Brown</v>
      </c>
      <c r="E1305" s="4" t="str">
        <f>IFERROR(__xludf.DUMMYFUNCTION("""COMPUTED_VALUE"""),"Illinois")</f>
        <v>Illinois</v>
      </c>
      <c r="F1305" s="4">
        <f>IFERROR(__xludf.DUMMYFUNCTION("""COMPUTED_VALUE"""),2.0)</f>
        <v>2</v>
      </c>
      <c r="G1305" s="4">
        <f>IFERROR(__xludf.DUMMYFUNCTION("""COMPUTED_VALUE"""),68.0)</f>
        <v>68</v>
      </c>
      <c r="H1305" s="4">
        <f>IFERROR(__xludf.DUMMYFUNCTION("""COMPUTED_VALUE"""),711.0)</f>
        <v>711</v>
      </c>
      <c r="I1305" s="4">
        <f>IFERROR(__xludf.DUMMYFUNCTION("""COMPUTED_VALUE"""),140.0)</f>
        <v>140</v>
      </c>
      <c r="J1305" s="4">
        <f>IFERROR(__xludf.DUMMYFUNCTION("""COMPUTED_VALUE"""),69.0)</f>
        <v>69</v>
      </c>
      <c r="K1305" s="4">
        <f>IFERROR(__xludf.DUMMYFUNCTION("""COMPUTED_VALUE"""),119.0)</f>
        <v>119</v>
      </c>
      <c r="L1305" s="4">
        <f>IFERROR(__xludf.DUMMYFUNCTION("""COMPUTED_VALUE"""),0.34)</f>
        <v>0.34</v>
      </c>
      <c r="M1305" s="4">
        <f>IFERROR(__xludf.DUMMYFUNCTION("""COMPUTED_VALUE"""),0.25)</f>
        <v>0.25</v>
      </c>
      <c r="N1305" s="4">
        <f>IFERROR(__xludf.DUMMYFUNCTION("""COMPUTED_VALUE"""),0.643)</f>
        <v>0.643</v>
      </c>
      <c r="O1305" s="4">
        <f>IFERROR(__xludf.DUMMYFUNCTION("""COMPUTED_VALUE"""),10.5)</f>
        <v>10.5</v>
      </c>
      <c r="P1305" s="4">
        <f>IFERROR(__xludf.DUMMYFUNCTION("""COMPUTED_VALUE"""),2.1)</f>
        <v>2.1</v>
      </c>
      <c r="Q1305" s="4">
        <f>IFERROR(__xludf.DUMMYFUNCTION("""COMPUTED_VALUE"""),1.0)</f>
        <v>1</v>
      </c>
      <c r="R1305" s="4">
        <f>IFERROR(__xludf.DUMMYFUNCTION("""COMPUTED_VALUE"""),1.8)</f>
        <v>1.8</v>
      </c>
      <c r="S1305" s="4">
        <f>IFERROR(__xludf.DUMMYFUNCTION("""COMPUTED_VALUE"""),0.1)</f>
        <v>0.1</v>
      </c>
      <c r="T1305" s="4">
        <f>IFERROR(__xludf.DUMMYFUNCTION("""COMPUTED_VALUE"""),0.008)</f>
        <v>0.008</v>
      </c>
      <c r="U1305" s="4">
        <f>IFERROR(__xludf.DUMMYFUNCTION("""COMPUTED_VALUE"""),-3.0)</f>
        <v>-3</v>
      </c>
      <c r="V1305" s="4">
        <f>IFERROR(__xludf.DUMMYFUNCTION("""COMPUTED_VALUE"""),-0.2)</f>
        <v>-0.2</v>
      </c>
    </row>
    <row r="1306">
      <c r="A1306" s="4">
        <f>IFERROR(__xludf.DUMMYFUNCTION("""COMPUTED_VALUE"""),47.0)</f>
        <v>47</v>
      </c>
      <c r="B1306" s="4">
        <f>IFERROR(__xludf.DUMMYFUNCTION("""COMPUTED_VALUE"""),47.0)</f>
        <v>47</v>
      </c>
      <c r="C1306" s="4" t="str">
        <f>IFERROR(__xludf.DUMMYFUNCTION("""COMPUTED_VALUE"""),"UTA")</f>
        <v>UTA</v>
      </c>
      <c r="D1306" s="4" t="str">
        <f>IFERROR(__xludf.DUMMYFUNCTION("""COMPUTED_VALUE"""),"Paul Millsap")</f>
        <v>Paul Millsap</v>
      </c>
      <c r="E1306" s="4" t="str">
        <f>IFERROR(__xludf.DUMMYFUNCTION("""COMPUTED_VALUE"""),"Louisiana Tech")</f>
        <v>Louisiana Tech</v>
      </c>
      <c r="F1306" s="4">
        <f>IFERROR(__xludf.DUMMYFUNCTION("""COMPUTED_VALUE"""),16.0)</f>
        <v>16</v>
      </c>
      <c r="G1306" s="4">
        <f>IFERROR(__xludf.DUMMYFUNCTION("""COMPUTED_VALUE"""),1085.0)</f>
        <v>1085</v>
      </c>
      <c r="H1306" s="4">
        <f>IFERROR(__xludf.DUMMYFUNCTION("""COMPUTED_VALUE"""),30498.0)</f>
        <v>30498</v>
      </c>
      <c r="I1306" s="4">
        <f>IFERROR(__xludf.DUMMYFUNCTION("""COMPUTED_VALUE"""),14536.0)</f>
        <v>14536</v>
      </c>
      <c r="J1306" s="4">
        <f>IFERROR(__xludf.DUMMYFUNCTION("""COMPUTED_VALUE"""),7673.0)</f>
        <v>7673</v>
      </c>
      <c r="K1306" s="4">
        <f>IFERROR(__xludf.DUMMYFUNCTION("""COMPUTED_VALUE"""),2378.0)</f>
        <v>2378</v>
      </c>
      <c r="L1306" s="4">
        <f>IFERROR(__xludf.DUMMYFUNCTION("""COMPUTED_VALUE"""),0.489)</f>
        <v>0.489</v>
      </c>
      <c r="M1306" s="4">
        <f>IFERROR(__xludf.DUMMYFUNCTION("""COMPUTED_VALUE"""),0.341)</f>
        <v>0.341</v>
      </c>
      <c r="N1306" s="4">
        <f>IFERROR(__xludf.DUMMYFUNCTION("""COMPUTED_VALUE"""),0.736)</f>
        <v>0.736</v>
      </c>
      <c r="O1306" s="4">
        <f>IFERROR(__xludf.DUMMYFUNCTION("""COMPUTED_VALUE"""),28.1)</f>
        <v>28.1</v>
      </c>
      <c r="P1306" s="4">
        <f>IFERROR(__xludf.DUMMYFUNCTION("""COMPUTED_VALUE"""),13.4)</f>
        <v>13.4</v>
      </c>
      <c r="Q1306" s="4">
        <f>IFERROR(__xludf.DUMMYFUNCTION("""COMPUTED_VALUE"""),7.1)</f>
        <v>7.1</v>
      </c>
      <c r="R1306" s="4">
        <f>IFERROR(__xludf.DUMMYFUNCTION("""COMPUTED_VALUE"""),2.2)</f>
        <v>2.2</v>
      </c>
      <c r="S1306" s="4">
        <f>IFERROR(__xludf.DUMMYFUNCTION("""COMPUTED_VALUE"""),95.4)</f>
        <v>95.4</v>
      </c>
      <c r="T1306" s="4">
        <f>IFERROR(__xludf.DUMMYFUNCTION("""COMPUTED_VALUE"""),0.15)</f>
        <v>0.15</v>
      </c>
      <c r="U1306" s="4">
        <f>IFERROR(__xludf.DUMMYFUNCTION("""COMPUTED_VALUE"""),1.9)</f>
        <v>1.9</v>
      </c>
      <c r="V1306" s="4">
        <f>IFERROR(__xludf.DUMMYFUNCTION("""COMPUTED_VALUE"""),29.9)</f>
        <v>29.9</v>
      </c>
    </row>
    <row r="1307">
      <c r="A1307" s="4">
        <f>IFERROR(__xludf.DUMMYFUNCTION("""COMPUTED_VALUE"""),48.0)</f>
        <v>48</v>
      </c>
      <c r="B1307" s="4">
        <f>IFERROR(__xludf.DUMMYFUNCTION("""COMPUTED_VALUE"""),48.0)</f>
        <v>48</v>
      </c>
      <c r="C1307" s="4" t="str">
        <f>IFERROR(__xludf.DUMMYFUNCTION("""COMPUTED_VALUE"""),"WAS")</f>
        <v>WAS</v>
      </c>
      <c r="D1307" s="4" t="str">
        <f>IFERROR(__xludf.DUMMYFUNCTION("""COMPUTED_VALUE"""),"Vladimir Veremeenko")</f>
        <v>Vladimir Veremeenko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>
      <c r="A1308" s="4">
        <f>IFERROR(__xludf.DUMMYFUNCTION("""COMPUTED_VALUE"""),49.0)</f>
        <v>49</v>
      </c>
      <c r="B1308" s="4">
        <f>IFERROR(__xludf.DUMMYFUNCTION("""COMPUTED_VALUE"""),49.0)</f>
        <v>49</v>
      </c>
      <c r="C1308" s="4" t="str">
        <f>IFERROR(__xludf.DUMMYFUNCTION("""COMPUTED_VALUE"""),"DEN")</f>
        <v>DEN</v>
      </c>
      <c r="D1308" s="4" t="str">
        <f>IFERROR(__xludf.DUMMYFUNCTION("""COMPUTED_VALUE"""),"Leon Powe")</f>
        <v>Leon Powe</v>
      </c>
      <c r="E1308" s="4" t="str">
        <f>IFERROR(__xludf.DUMMYFUNCTION("""COMPUTED_VALUE"""),"California")</f>
        <v>California</v>
      </c>
      <c r="F1308" s="4">
        <f>IFERROR(__xludf.DUMMYFUNCTION("""COMPUTED_VALUE"""),5.0)</f>
        <v>5</v>
      </c>
      <c r="G1308" s="4">
        <f>IFERROR(__xludf.DUMMYFUNCTION("""COMPUTED_VALUE"""),239.0)</f>
        <v>239</v>
      </c>
      <c r="H1308" s="4">
        <f>IFERROR(__xludf.DUMMYFUNCTION("""COMPUTED_VALUE"""),3320.0)</f>
        <v>3320</v>
      </c>
      <c r="I1308" s="4">
        <f>IFERROR(__xludf.DUMMYFUNCTION("""COMPUTED_VALUE"""),1484.0)</f>
        <v>1484</v>
      </c>
      <c r="J1308" s="4">
        <f>IFERROR(__xludf.DUMMYFUNCTION("""COMPUTED_VALUE"""),911.0)</f>
        <v>911</v>
      </c>
      <c r="K1308" s="4">
        <f>IFERROR(__xludf.DUMMYFUNCTION("""COMPUTED_VALUE"""),78.0)</f>
        <v>78</v>
      </c>
      <c r="L1308" s="4">
        <f>IFERROR(__xludf.DUMMYFUNCTION("""COMPUTED_VALUE"""),0.515)</f>
        <v>0.515</v>
      </c>
      <c r="M1308" s="4">
        <f>IFERROR(__xludf.DUMMYFUNCTION("""COMPUTED_VALUE"""),0.0)</f>
        <v>0</v>
      </c>
      <c r="N1308" s="4">
        <f>IFERROR(__xludf.DUMMYFUNCTION("""COMPUTED_VALUE"""),0.682)</f>
        <v>0.682</v>
      </c>
      <c r="O1308" s="4">
        <f>IFERROR(__xludf.DUMMYFUNCTION("""COMPUTED_VALUE"""),13.9)</f>
        <v>13.9</v>
      </c>
      <c r="P1308" s="4">
        <f>IFERROR(__xludf.DUMMYFUNCTION("""COMPUTED_VALUE"""),6.2)</f>
        <v>6.2</v>
      </c>
      <c r="Q1308" s="4">
        <f>IFERROR(__xludf.DUMMYFUNCTION("""COMPUTED_VALUE"""),3.8)</f>
        <v>3.8</v>
      </c>
      <c r="R1308" s="4">
        <f>IFERROR(__xludf.DUMMYFUNCTION("""COMPUTED_VALUE"""),0.3)</f>
        <v>0.3</v>
      </c>
      <c r="S1308" s="4">
        <f>IFERROR(__xludf.DUMMYFUNCTION("""COMPUTED_VALUE"""),12.0)</f>
        <v>12</v>
      </c>
      <c r="T1308" s="4">
        <f>IFERROR(__xludf.DUMMYFUNCTION("""COMPUTED_VALUE"""),0.174)</f>
        <v>0.174</v>
      </c>
      <c r="U1308" s="4">
        <f>IFERROR(__xludf.DUMMYFUNCTION("""COMPUTED_VALUE"""),-1.6)</f>
        <v>-1.6</v>
      </c>
      <c r="V1308" s="4">
        <f>IFERROR(__xludf.DUMMYFUNCTION("""COMPUTED_VALUE"""),0.3)</f>
        <v>0.3</v>
      </c>
    </row>
    <row r="1309">
      <c r="A1309" s="4">
        <f>IFERROR(__xludf.DUMMYFUNCTION("""COMPUTED_VALUE"""),50.0)</f>
        <v>50</v>
      </c>
      <c r="B1309" s="4">
        <f>IFERROR(__xludf.DUMMYFUNCTION("""COMPUTED_VALUE"""),50.0)</f>
        <v>50</v>
      </c>
      <c r="C1309" s="4" t="str">
        <f>IFERROR(__xludf.DUMMYFUNCTION("""COMPUTED_VALUE"""),"CHA")</f>
        <v>CHA</v>
      </c>
      <c r="D1309" s="4" t="str">
        <f>IFERROR(__xludf.DUMMYFUNCTION("""COMPUTED_VALUE"""),"Ryan Hollins")</f>
        <v>Ryan Hollins</v>
      </c>
      <c r="E1309" s="4" t="str">
        <f>IFERROR(__xludf.DUMMYFUNCTION("""COMPUTED_VALUE"""),"UCLA")</f>
        <v>UCLA</v>
      </c>
      <c r="F1309" s="4">
        <f>IFERROR(__xludf.DUMMYFUNCTION("""COMPUTED_VALUE"""),10.0)</f>
        <v>10</v>
      </c>
      <c r="G1309" s="4">
        <f>IFERROR(__xludf.DUMMYFUNCTION("""COMPUTED_VALUE"""),518.0)</f>
        <v>518</v>
      </c>
      <c r="H1309" s="4">
        <f>IFERROR(__xludf.DUMMYFUNCTION("""COMPUTED_VALUE"""),6134.0)</f>
        <v>6134</v>
      </c>
      <c r="I1309" s="4">
        <f>IFERROR(__xludf.DUMMYFUNCTION("""COMPUTED_VALUE"""),1913.0)</f>
        <v>1913</v>
      </c>
      <c r="J1309" s="4">
        <f>IFERROR(__xludf.DUMMYFUNCTION("""COMPUTED_VALUE"""),1140.0)</f>
        <v>1140</v>
      </c>
      <c r="K1309" s="4">
        <f>IFERROR(__xludf.DUMMYFUNCTION("""COMPUTED_VALUE"""),151.0)</f>
        <v>151</v>
      </c>
      <c r="L1309" s="4">
        <f>IFERROR(__xludf.DUMMYFUNCTION("""COMPUTED_VALUE"""),0.584)</f>
        <v>0.584</v>
      </c>
      <c r="M1309" s="4">
        <f>IFERROR(__xludf.DUMMYFUNCTION("""COMPUTED_VALUE"""),0.0)</f>
        <v>0</v>
      </c>
      <c r="N1309" s="4">
        <f>IFERROR(__xludf.DUMMYFUNCTION("""COMPUTED_VALUE"""),0.649)</f>
        <v>0.649</v>
      </c>
      <c r="O1309" s="4">
        <f>IFERROR(__xludf.DUMMYFUNCTION("""COMPUTED_VALUE"""),11.8)</f>
        <v>11.8</v>
      </c>
      <c r="P1309" s="4">
        <f>IFERROR(__xludf.DUMMYFUNCTION("""COMPUTED_VALUE"""),3.7)</f>
        <v>3.7</v>
      </c>
      <c r="Q1309" s="4">
        <f>IFERROR(__xludf.DUMMYFUNCTION("""COMPUTED_VALUE"""),2.2)</f>
        <v>2.2</v>
      </c>
      <c r="R1309" s="4">
        <f>IFERROR(__xludf.DUMMYFUNCTION("""COMPUTED_VALUE"""),0.3)</f>
        <v>0.3</v>
      </c>
      <c r="S1309" s="4">
        <f>IFERROR(__xludf.DUMMYFUNCTION("""COMPUTED_VALUE"""),10.4)</f>
        <v>10.4</v>
      </c>
      <c r="T1309" s="4">
        <f>IFERROR(__xludf.DUMMYFUNCTION("""COMPUTED_VALUE"""),0.081)</f>
        <v>0.081</v>
      </c>
      <c r="U1309" s="4">
        <f>IFERROR(__xludf.DUMMYFUNCTION("""COMPUTED_VALUE"""),-4.1)</f>
        <v>-4.1</v>
      </c>
      <c r="V1309" s="4">
        <f>IFERROR(__xludf.DUMMYFUNCTION("""COMPUTED_VALUE"""),-3.2)</f>
        <v>-3.2</v>
      </c>
    </row>
    <row r="1310">
      <c r="A1310" s="4">
        <f>IFERROR(__xludf.DUMMYFUNCTION("""COMPUTED_VALUE"""),51.0)</f>
        <v>51</v>
      </c>
      <c r="B1310" s="4">
        <f>IFERROR(__xludf.DUMMYFUNCTION("""COMPUTED_VALUE"""),51.0)</f>
        <v>51</v>
      </c>
      <c r="C1310" s="4" t="str">
        <f>IFERROR(__xludf.DUMMYFUNCTION("""COMPUTED_VALUE"""),"LAL")</f>
        <v>LAL</v>
      </c>
      <c r="D1310" s="4" t="str">
        <f>IFERROR(__xludf.DUMMYFUNCTION("""COMPUTED_VALUE"""),"Cheikh Samb")</f>
        <v>Cheikh Samb</v>
      </c>
      <c r="E1310" s="4"/>
      <c r="F1310" s="4">
        <f>IFERROR(__xludf.DUMMYFUNCTION("""COMPUTED_VALUE"""),2.0)</f>
        <v>2</v>
      </c>
      <c r="G1310" s="4">
        <f>IFERROR(__xludf.DUMMYFUNCTION("""COMPUTED_VALUE"""),22.0)</f>
        <v>22</v>
      </c>
      <c r="H1310" s="4">
        <f>IFERROR(__xludf.DUMMYFUNCTION("""COMPUTED_VALUE"""),114.0)</f>
        <v>114</v>
      </c>
      <c r="I1310" s="4">
        <f>IFERROR(__xludf.DUMMYFUNCTION("""COMPUTED_VALUE"""),22.0)</f>
        <v>22</v>
      </c>
      <c r="J1310" s="4">
        <f>IFERROR(__xludf.DUMMYFUNCTION("""COMPUTED_VALUE"""),31.0)</f>
        <v>31</v>
      </c>
      <c r="K1310" s="4">
        <f>IFERROR(__xludf.DUMMYFUNCTION("""COMPUTED_VALUE"""),1.0)</f>
        <v>1</v>
      </c>
      <c r="L1310" s="4">
        <f>IFERROR(__xludf.DUMMYFUNCTION("""COMPUTED_VALUE"""),0.25)</f>
        <v>0.25</v>
      </c>
      <c r="M1310" s="4">
        <f>IFERROR(__xludf.DUMMYFUNCTION("""COMPUTED_VALUE"""),0.0)</f>
        <v>0</v>
      </c>
      <c r="N1310" s="4">
        <f>IFERROR(__xludf.DUMMYFUNCTION("""COMPUTED_VALUE"""),0.444)</f>
        <v>0.444</v>
      </c>
      <c r="O1310" s="4">
        <f>IFERROR(__xludf.DUMMYFUNCTION("""COMPUTED_VALUE"""),5.2)</f>
        <v>5.2</v>
      </c>
      <c r="P1310" s="4">
        <f>IFERROR(__xludf.DUMMYFUNCTION("""COMPUTED_VALUE"""),1.0)</f>
        <v>1</v>
      </c>
      <c r="Q1310" s="4">
        <f>IFERROR(__xludf.DUMMYFUNCTION("""COMPUTED_VALUE"""),1.4)</f>
        <v>1.4</v>
      </c>
      <c r="R1310" s="4">
        <f>IFERROR(__xludf.DUMMYFUNCTION("""COMPUTED_VALUE"""),0.0)</f>
        <v>0</v>
      </c>
      <c r="S1310" s="4">
        <f>IFERROR(__xludf.DUMMYFUNCTION("""COMPUTED_VALUE"""),-0.1)</f>
        <v>-0.1</v>
      </c>
      <c r="T1310" s="4">
        <f>IFERROR(__xludf.DUMMYFUNCTION("""COMPUTED_VALUE"""),-0.056)</f>
        <v>-0.056</v>
      </c>
      <c r="U1310" s="4">
        <f>IFERROR(__xludf.DUMMYFUNCTION("""COMPUTED_VALUE"""),-9.1)</f>
        <v>-9.1</v>
      </c>
      <c r="V1310" s="4">
        <f>IFERROR(__xludf.DUMMYFUNCTION("""COMPUTED_VALUE"""),-0.2)</f>
        <v>-0.2</v>
      </c>
    </row>
    <row r="1311">
      <c r="A1311" s="4">
        <f>IFERROR(__xludf.DUMMYFUNCTION("""COMPUTED_VALUE"""),52.0)</f>
        <v>52</v>
      </c>
      <c r="B1311" s="4">
        <f>IFERROR(__xludf.DUMMYFUNCTION("""COMPUTED_VALUE"""),52.0)</f>
        <v>52</v>
      </c>
      <c r="C1311" s="4" t="str">
        <f>IFERROR(__xludf.DUMMYFUNCTION("""COMPUTED_VALUE"""),"LAC")</f>
        <v>LAC</v>
      </c>
      <c r="D1311" s="4" t="str">
        <f>IFERROR(__xludf.DUMMYFUNCTION("""COMPUTED_VALUE"""),"Guillermo Díaz")</f>
        <v>Guillermo Díaz</v>
      </c>
      <c r="E1311" s="4" t="str">
        <f>IFERROR(__xludf.DUMMYFUNCTION("""COMPUTED_VALUE"""),"Miami (FL)")</f>
        <v>Miami (FL)</v>
      </c>
      <c r="F1311" s="4">
        <f>IFERROR(__xludf.DUMMYFUNCTION("""COMPUTED_VALUE"""),1.0)</f>
        <v>1</v>
      </c>
      <c r="G1311" s="4">
        <f>IFERROR(__xludf.DUMMYFUNCTION("""COMPUTED_VALUE"""),6.0)</f>
        <v>6</v>
      </c>
      <c r="H1311" s="4">
        <f>IFERROR(__xludf.DUMMYFUNCTION("""COMPUTED_VALUE"""),18.0)</f>
        <v>18</v>
      </c>
      <c r="I1311" s="4">
        <f>IFERROR(__xludf.DUMMYFUNCTION("""COMPUTED_VALUE"""),5.0)</f>
        <v>5</v>
      </c>
      <c r="J1311" s="4">
        <f>IFERROR(__xludf.DUMMYFUNCTION("""COMPUTED_VALUE"""),2.0)</f>
        <v>2</v>
      </c>
      <c r="K1311" s="4">
        <f>IFERROR(__xludf.DUMMYFUNCTION("""COMPUTED_VALUE"""),1.0)</f>
        <v>1</v>
      </c>
      <c r="L1311" s="4">
        <f>IFERROR(__xludf.DUMMYFUNCTION("""COMPUTED_VALUE"""),0.25)</f>
        <v>0.25</v>
      </c>
      <c r="M1311" s="4">
        <f>IFERROR(__xludf.DUMMYFUNCTION("""COMPUTED_VALUE"""),0.0)</f>
        <v>0</v>
      </c>
      <c r="N1311" s="4">
        <f>IFERROR(__xludf.DUMMYFUNCTION("""COMPUTED_VALUE"""),0.6)</f>
        <v>0.6</v>
      </c>
      <c r="O1311" s="4">
        <f>IFERROR(__xludf.DUMMYFUNCTION("""COMPUTED_VALUE"""),3.0)</f>
        <v>3</v>
      </c>
      <c r="P1311" s="4">
        <f>IFERROR(__xludf.DUMMYFUNCTION("""COMPUTED_VALUE"""),0.8)</f>
        <v>0.8</v>
      </c>
      <c r="Q1311" s="4">
        <f>IFERROR(__xludf.DUMMYFUNCTION("""COMPUTED_VALUE"""),0.3)</f>
        <v>0.3</v>
      </c>
      <c r="R1311" s="4">
        <f>IFERROR(__xludf.DUMMYFUNCTION("""COMPUTED_VALUE"""),0.2)</f>
        <v>0.2</v>
      </c>
      <c r="S1311" s="4">
        <f>IFERROR(__xludf.DUMMYFUNCTION("""COMPUTED_VALUE"""),0.0)</f>
        <v>0</v>
      </c>
      <c r="T1311" s="4">
        <f>IFERROR(__xludf.DUMMYFUNCTION("""COMPUTED_VALUE"""),0.033)</f>
        <v>0.033</v>
      </c>
      <c r="U1311" s="4">
        <f>IFERROR(__xludf.DUMMYFUNCTION("""COMPUTED_VALUE"""),-2.9)</f>
        <v>-2.9</v>
      </c>
      <c r="V1311" s="4">
        <f>IFERROR(__xludf.DUMMYFUNCTION("""COMPUTED_VALUE"""),0.0)</f>
        <v>0</v>
      </c>
    </row>
    <row r="1312">
      <c r="A1312" s="4">
        <f>IFERROR(__xludf.DUMMYFUNCTION("""COMPUTED_VALUE"""),53.0)</f>
        <v>53</v>
      </c>
      <c r="B1312" s="4">
        <f>IFERROR(__xludf.DUMMYFUNCTION("""COMPUTED_VALUE"""),53.0)</f>
        <v>53</v>
      </c>
      <c r="C1312" s="4" t="str">
        <f>IFERROR(__xludf.DUMMYFUNCTION("""COMPUTED_VALUE"""),"SEA")</f>
        <v>SEA</v>
      </c>
      <c r="D1312" s="4" t="str">
        <f>IFERROR(__xludf.DUMMYFUNCTION("""COMPUTED_VALUE"""),"Yotam Halperin")</f>
        <v>Yotam Halperin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>
      <c r="A1313" s="4">
        <f>IFERROR(__xludf.DUMMYFUNCTION("""COMPUTED_VALUE"""),54.0)</f>
        <v>54</v>
      </c>
      <c r="B1313" s="4">
        <f>IFERROR(__xludf.DUMMYFUNCTION("""COMPUTED_VALUE"""),54.0)</f>
        <v>54</v>
      </c>
      <c r="C1313" s="4" t="str">
        <f>IFERROR(__xludf.DUMMYFUNCTION("""COMPUTED_VALUE"""),"NJN")</f>
        <v>NJN</v>
      </c>
      <c r="D1313" s="4" t="str">
        <f>IFERROR(__xludf.DUMMYFUNCTION("""COMPUTED_VALUE"""),"Hassan Adams")</f>
        <v>Hassan Adams</v>
      </c>
      <c r="E1313" s="4" t="str">
        <f>IFERROR(__xludf.DUMMYFUNCTION("""COMPUTED_VALUE"""),"Arizona")</f>
        <v>Arizona</v>
      </c>
      <c r="F1313" s="4">
        <f>IFERROR(__xludf.DUMMYFUNCTION("""COMPUTED_VALUE"""),2.0)</f>
        <v>2</v>
      </c>
      <c r="G1313" s="4">
        <f>IFERROR(__xludf.DUMMYFUNCTION("""COMPUTED_VALUE"""),73.0)</f>
        <v>73</v>
      </c>
      <c r="H1313" s="4">
        <f>IFERROR(__xludf.DUMMYFUNCTION("""COMPUTED_VALUE"""),547.0)</f>
        <v>547</v>
      </c>
      <c r="I1313" s="4">
        <f>IFERROR(__xludf.DUMMYFUNCTION("""COMPUTED_VALUE"""),185.0)</f>
        <v>185</v>
      </c>
      <c r="J1313" s="4">
        <f>IFERROR(__xludf.DUMMYFUNCTION("""COMPUTED_VALUE"""),84.0)</f>
        <v>84</v>
      </c>
      <c r="K1313" s="4">
        <f>IFERROR(__xludf.DUMMYFUNCTION("""COMPUTED_VALUE"""),14.0)</f>
        <v>14</v>
      </c>
      <c r="L1313" s="4">
        <f>IFERROR(__xludf.DUMMYFUNCTION("""COMPUTED_VALUE"""),0.534)</f>
        <v>0.534</v>
      </c>
      <c r="M1313" s="4">
        <f>IFERROR(__xludf.DUMMYFUNCTION("""COMPUTED_VALUE"""),0.0)</f>
        <v>0</v>
      </c>
      <c r="N1313" s="4">
        <f>IFERROR(__xludf.DUMMYFUNCTION("""COMPUTED_VALUE"""),0.643)</f>
        <v>0.643</v>
      </c>
      <c r="O1313" s="4">
        <f>IFERROR(__xludf.DUMMYFUNCTION("""COMPUTED_VALUE"""),7.5)</f>
        <v>7.5</v>
      </c>
      <c r="P1313" s="4">
        <f>IFERROR(__xludf.DUMMYFUNCTION("""COMPUTED_VALUE"""),2.5)</f>
        <v>2.5</v>
      </c>
      <c r="Q1313" s="4">
        <f>IFERROR(__xludf.DUMMYFUNCTION("""COMPUTED_VALUE"""),1.2)</f>
        <v>1.2</v>
      </c>
      <c r="R1313" s="4">
        <f>IFERROR(__xludf.DUMMYFUNCTION("""COMPUTED_VALUE"""),0.2)</f>
        <v>0.2</v>
      </c>
      <c r="S1313" s="4">
        <f>IFERROR(__xludf.DUMMYFUNCTION("""COMPUTED_VALUE"""),0.8)</f>
        <v>0.8</v>
      </c>
      <c r="T1313" s="4">
        <f>IFERROR(__xludf.DUMMYFUNCTION("""COMPUTED_VALUE"""),0.072)</f>
        <v>0.072</v>
      </c>
      <c r="U1313" s="4">
        <f>IFERROR(__xludf.DUMMYFUNCTION("""COMPUTED_VALUE"""),-2.3)</f>
        <v>-2.3</v>
      </c>
      <c r="V1313" s="4">
        <f>IFERROR(__xludf.DUMMYFUNCTION("""COMPUTED_VALUE"""),0.0)</f>
        <v>0</v>
      </c>
    </row>
    <row r="1314">
      <c r="A1314" s="4">
        <f>IFERROR(__xludf.DUMMYFUNCTION("""COMPUTED_VALUE"""),55.0)</f>
        <v>55</v>
      </c>
      <c r="B1314" s="4">
        <f>IFERROR(__xludf.DUMMYFUNCTION("""COMPUTED_VALUE"""),55.0)</f>
        <v>55</v>
      </c>
      <c r="C1314" s="4" t="str">
        <f>IFERROR(__xludf.DUMMYFUNCTION("""COMPUTED_VALUE"""),"CLE")</f>
        <v>CLE</v>
      </c>
      <c r="D1314" s="4" t="str">
        <f>IFERROR(__xludf.DUMMYFUNCTION("""COMPUTED_VALUE"""),"Ejike Ugboaja")</f>
        <v>Ejike Ugboaja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>
      <c r="A1315" s="4">
        <f>IFERROR(__xludf.DUMMYFUNCTION("""COMPUTED_VALUE"""),56.0)</f>
        <v>56</v>
      </c>
      <c r="B1315" s="4">
        <f>IFERROR(__xludf.DUMMYFUNCTION("""COMPUTED_VALUE"""),56.0)</f>
        <v>56</v>
      </c>
      <c r="C1315" s="4" t="str">
        <f>IFERROR(__xludf.DUMMYFUNCTION("""COMPUTED_VALUE"""),"TOR")</f>
        <v>TOR</v>
      </c>
      <c r="D1315" s="4" t="str">
        <f>IFERROR(__xludf.DUMMYFUNCTION("""COMPUTED_VALUE"""),"Edin Bavčić")</f>
        <v>Edin Bavčić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>
      <c r="A1316" s="4">
        <f>IFERROR(__xludf.DUMMYFUNCTION("""COMPUTED_VALUE"""),57.0)</f>
        <v>57</v>
      </c>
      <c r="B1316" s="4">
        <f>IFERROR(__xludf.DUMMYFUNCTION("""COMPUTED_VALUE"""),57.0)</f>
        <v>57</v>
      </c>
      <c r="C1316" s="4" t="str">
        <f>IFERROR(__xludf.DUMMYFUNCTION("""COMPUTED_VALUE"""),"MIN")</f>
        <v>MIN</v>
      </c>
      <c r="D1316" s="4" t="str">
        <f>IFERROR(__xludf.DUMMYFUNCTION("""COMPUTED_VALUE"""),"Loukas Mavrokefalidis")</f>
        <v>Loukas Mavrokefalidis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>
      <c r="A1317" s="4">
        <f>IFERROR(__xludf.DUMMYFUNCTION("""COMPUTED_VALUE"""),58.0)</f>
        <v>58</v>
      </c>
      <c r="B1317" s="4">
        <f>IFERROR(__xludf.DUMMYFUNCTION("""COMPUTED_VALUE"""),58.0)</f>
        <v>58</v>
      </c>
      <c r="C1317" s="4" t="str">
        <f>IFERROR(__xludf.DUMMYFUNCTION("""COMPUTED_VALUE"""),"DAL")</f>
        <v>DAL</v>
      </c>
      <c r="D1317" s="4" t="str">
        <f>IFERROR(__xludf.DUMMYFUNCTION("""COMPUTED_VALUE"""),"J.R. Pinnock")</f>
        <v>J.R. Pinnock</v>
      </c>
      <c r="E1317" s="4" t="str">
        <f>IFERROR(__xludf.DUMMYFUNCTION("""COMPUTED_VALUE"""),"George Washington")</f>
        <v>George Washington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>
      <c r="A1318" s="4">
        <f>IFERROR(__xludf.DUMMYFUNCTION("""COMPUTED_VALUE"""),59.0)</f>
        <v>59</v>
      </c>
      <c r="B1318" s="4">
        <f>IFERROR(__xludf.DUMMYFUNCTION("""COMPUTED_VALUE"""),59.0)</f>
        <v>59</v>
      </c>
      <c r="C1318" s="4" t="str">
        <f>IFERROR(__xludf.DUMMYFUNCTION("""COMPUTED_VALUE"""),"SAS")</f>
        <v>SAS</v>
      </c>
      <c r="D1318" s="4" t="str">
        <f>IFERROR(__xludf.DUMMYFUNCTION("""COMPUTED_VALUE"""),"Damir Markota")</f>
        <v>Damir Markota</v>
      </c>
      <c r="E1318" s="4"/>
      <c r="F1318" s="4">
        <f>IFERROR(__xludf.DUMMYFUNCTION("""COMPUTED_VALUE"""),1.0)</f>
        <v>1</v>
      </c>
      <c r="G1318" s="4">
        <f>IFERROR(__xludf.DUMMYFUNCTION("""COMPUTED_VALUE"""),30.0)</f>
        <v>30</v>
      </c>
      <c r="H1318" s="4">
        <f>IFERROR(__xludf.DUMMYFUNCTION("""COMPUTED_VALUE"""),170.0)</f>
        <v>170</v>
      </c>
      <c r="I1318" s="4">
        <f>IFERROR(__xludf.DUMMYFUNCTION("""COMPUTED_VALUE"""),51.0)</f>
        <v>51</v>
      </c>
      <c r="J1318" s="4">
        <f>IFERROR(__xludf.DUMMYFUNCTION("""COMPUTED_VALUE"""),31.0)</f>
        <v>31</v>
      </c>
      <c r="K1318" s="4">
        <f>IFERROR(__xludf.DUMMYFUNCTION("""COMPUTED_VALUE"""),6.0)</f>
        <v>6</v>
      </c>
      <c r="L1318" s="4">
        <f>IFERROR(__xludf.DUMMYFUNCTION("""COMPUTED_VALUE"""),0.365)</f>
        <v>0.365</v>
      </c>
      <c r="M1318" s="4">
        <f>IFERROR(__xludf.DUMMYFUNCTION("""COMPUTED_VALUE"""),0.375)</f>
        <v>0.375</v>
      </c>
      <c r="N1318" s="4">
        <f>IFERROR(__xludf.DUMMYFUNCTION("""COMPUTED_VALUE"""),0.636)</f>
        <v>0.636</v>
      </c>
      <c r="O1318" s="4">
        <f>IFERROR(__xludf.DUMMYFUNCTION("""COMPUTED_VALUE"""),5.7)</f>
        <v>5.7</v>
      </c>
      <c r="P1318" s="4">
        <f>IFERROR(__xludf.DUMMYFUNCTION("""COMPUTED_VALUE"""),1.7)</f>
        <v>1.7</v>
      </c>
      <c r="Q1318" s="4">
        <f>IFERROR(__xludf.DUMMYFUNCTION("""COMPUTED_VALUE"""),1.0)</f>
        <v>1</v>
      </c>
      <c r="R1318" s="4">
        <f>IFERROR(__xludf.DUMMYFUNCTION("""COMPUTED_VALUE"""),0.2)</f>
        <v>0.2</v>
      </c>
      <c r="S1318" s="4">
        <f>IFERROR(__xludf.DUMMYFUNCTION("""COMPUTED_VALUE"""),-0.2)</f>
        <v>-0.2</v>
      </c>
      <c r="T1318" s="4">
        <f>IFERROR(__xludf.DUMMYFUNCTION("""COMPUTED_VALUE"""),-0.07)</f>
        <v>-0.07</v>
      </c>
      <c r="U1318" s="4">
        <f>IFERROR(__xludf.DUMMYFUNCTION("""COMPUTED_VALUE"""),-8.5)</f>
        <v>-8.5</v>
      </c>
      <c r="V1318" s="4">
        <f>IFERROR(__xludf.DUMMYFUNCTION("""COMPUTED_VALUE"""),-0.3)</f>
        <v>-0.3</v>
      </c>
    </row>
    <row r="1319">
      <c r="A1319" s="4">
        <f>IFERROR(__xludf.DUMMYFUNCTION("""COMPUTED_VALUE"""),60.0)</f>
        <v>60</v>
      </c>
      <c r="B1319" s="4">
        <f>IFERROR(__xludf.DUMMYFUNCTION("""COMPUTED_VALUE"""),60.0)</f>
        <v>60</v>
      </c>
      <c r="C1319" s="4" t="str">
        <f>IFERROR(__xludf.DUMMYFUNCTION("""COMPUTED_VALUE"""),"DET")</f>
        <v>DET</v>
      </c>
      <c r="D1319" s="4" t="str">
        <f>IFERROR(__xludf.DUMMYFUNCTION("""COMPUTED_VALUE"""),"Will Blalock")</f>
        <v>Will Blalock</v>
      </c>
      <c r="E1319" s="4" t="str">
        <f>IFERROR(__xludf.DUMMYFUNCTION("""COMPUTED_VALUE"""),"Iowa State")</f>
        <v>Iowa State</v>
      </c>
      <c r="F1319" s="4">
        <f>IFERROR(__xludf.DUMMYFUNCTION("""COMPUTED_VALUE"""),1.0)</f>
        <v>1</v>
      </c>
      <c r="G1319" s="4">
        <f>IFERROR(__xludf.DUMMYFUNCTION("""COMPUTED_VALUE"""),14.0)</f>
        <v>14</v>
      </c>
      <c r="H1319" s="4">
        <f>IFERROR(__xludf.DUMMYFUNCTION("""COMPUTED_VALUE"""),166.0)</f>
        <v>166</v>
      </c>
      <c r="I1319" s="4">
        <f>IFERROR(__xludf.DUMMYFUNCTION("""COMPUTED_VALUE"""),25.0)</f>
        <v>25</v>
      </c>
      <c r="J1319" s="4">
        <f>IFERROR(__xludf.DUMMYFUNCTION("""COMPUTED_VALUE"""),15.0)</f>
        <v>15</v>
      </c>
      <c r="K1319" s="4">
        <f>IFERROR(__xludf.DUMMYFUNCTION("""COMPUTED_VALUE"""),17.0)</f>
        <v>17</v>
      </c>
      <c r="L1319" s="4">
        <f>IFERROR(__xludf.DUMMYFUNCTION("""COMPUTED_VALUE"""),0.3)</f>
        <v>0.3</v>
      </c>
      <c r="M1319" s="4">
        <f>IFERROR(__xludf.DUMMYFUNCTION("""COMPUTED_VALUE"""),0.2)</f>
        <v>0.2</v>
      </c>
      <c r="N1319" s="4">
        <f>IFERROR(__xludf.DUMMYFUNCTION("""COMPUTED_VALUE"""),1.0)</f>
        <v>1</v>
      </c>
      <c r="O1319" s="4">
        <f>IFERROR(__xludf.DUMMYFUNCTION("""COMPUTED_VALUE"""),11.9)</f>
        <v>11.9</v>
      </c>
      <c r="P1319" s="4">
        <f>IFERROR(__xludf.DUMMYFUNCTION("""COMPUTED_VALUE"""),1.8)</f>
        <v>1.8</v>
      </c>
      <c r="Q1319" s="4">
        <f>IFERROR(__xludf.DUMMYFUNCTION("""COMPUTED_VALUE"""),1.1)</f>
        <v>1.1</v>
      </c>
      <c r="R1319" s="4">
        <f>IFERROR(__xludf.DUMMYFUNCTION("""COMPUTED_VALUE"""),1.2)</f>
        <v>1.2</v>
      </c>
      <c r="S1319" s="4">
        <f>IFERROR(__xludf.DUMMYFUNCTION("""COMPUTED_VALUE"""),-0.1)</f>
        <v>-0.1</v>
      </c>
      <c r="T1319" s="4">
        <f>IFERROR(__xludf.DUMMYFUNCTION("""COMPUTED_VALUE"""),-0.032)</f>
        <v>-0.032</v>
      </c>
      <c r="U1319" s="4">
        <f>IFERROR(__xludf.DUMMYFUNCTION("""COMPUTED_VALUE"""),-5.8)</f>
        <v>-5.8</v>
      </c>
      <c r="V1319" s="4">
        <f>IFERROR(__xludf.DUMMYFUNCTION("""COMPUTED_VALUE"""),-0.2)</f>
        <v>-0.2</v>
      </c>
    </row>
    <row r="1321">
      <c r="A1321" s="2">
        <v>2005.0</v>
      </c>
    </row>
    <row r="1322">
      <c r="A1322" s="4" t="str">
        <f>IFERROR(__xludf.DUMMYFUNCTION("IMPORTHTML(""https://www.basketball-reference.com/draft/NBA_2005.html"", ""table"", 1)"),"")</f>
        <v/>
      </c>
      <c r="B1322" s="4"/>
      <c r="C1322" s="4"/>
      <c r="D1322" s="4" t="str">
        <f>IFERROR(__xludf.DUMMYFUNCTION("""COMPUTED_VALUE"""),"Round 1")</f>
        <v>Round 1</v>
      </c>
      <c r="E1322" s="4"/>
      <c r="F1322" s="4"/>
      <c r="G1322" s="4" t="str">
        <f>IFERROR(__xludf.DUMMYFUNCTION("""COMPUTED_VALUE"""),"Totals")</f>
        <v>Totals</v>
      </c>
      <c r="H1322" s="4"/>
      <c r="I1322" s="4"/>
      <c r="J1322" s="4"/>
      <c r="K1322" s="4"/>
      <c r="L1322" s="4" t="str">
        <f>IFERROR(__xludf.DUMMYFUNCTION("""COMPUTED_VALUE"""),"Shooting")</f>
        <v>Shooting</v>
      </c>
      <c r="M1322" s="4"/>
      <c r="N1322" s="4"/>
      <c r="O1322" s="4" t="str">
        <f>IFERROR(__xludf.DUMMYFUNCTION("""COMPUTED_VALUE"""),"Per Game")</f>
        <v>Per Game</v>
      </c>
      <c r="P1322" s="4"/>
      <c r="Q1322" s="4"/>
      <c r="R1322" s="4"/>
      <c r="S1322" s="4" t="str">
        <f>IFERROR(__xludf.DUMMYFUNCTION("""COMPUTED_VALUE"""),"Advanced")</f>
        <v>Advanced</v>
      </c>
      <c r="T1322" s="4"/>
      <c r="U1322" s="4"/>
      <c r="V1322" s="4"/>
    </row>
    <row r="1323">
      <c r="A1323" s="4" t="str">
        <f>IFERROR(__xludf.DUMMYFUNCTION("""COMPUTED_VALUE"""),"Rk")</f>
        <v>Rk</v>
      </c>
      <c r="B1323" s="4" t="str">
        <f>IFERROR(__xludf.DUMMYFUNCTION("""COMPUTED_VALUE"""),"Pk")</f>
        <v>Pk</v>
      </c>
      <c r="C1323" s="4" t="str">
        <f>IFERROR(__xludf.DUMMYFUNCTION("""COMPUTED_VALUE"""),"Tm")</f>
        <v>Tm</v>
      </c>
      <c r="D1323" s="4" t="str">
        <f>IFERROR(__xludf.DUMMYFUNCTION("""COMPUTED_VALUE"""),"Player")</f>
        <v>Player</v>
      </c>
      <c r="E1323" s="4" t="str">
        <f>IFERROR(__xludf.DUMMYFUNCTION("""COMPUTED_VALUE"""),"College")</f>
        <v>College</v>
      </c>
      <c r="F1323" s="4" t="str">
        <f>IFERROR(__xludf.DUMMYFUNCTION("""COMPUTED_VALUE"""),"Yrs")</f>
        <v>Yrs</v>
      </c>
      <c r="G1323" s="4" t="str">
        <f>IFERROR(__xludf.DUMMYFUNCTION("""COMPUTED_VALUE"""),"G")</f>
        <v>G</v>
      </c>
      <c r="H1323" s="4" t="str">
        <f>IFERROR(__xludf.DUMMYFUNCTION("""COMPUTED_VALUE"""),"MP")</f>
        <v>MP</v>
      </c>
      <c r="I1323" s="4" t="str">
        <f>IFERROR(__xludf.DUMMYFUNCTION("""COMPUTED_VALUE"""),"PTS")</f>
        <v>PTS</v>
      </c>
      <c r="J1323" s="4" t="str">
        <f>IFERROR(__xludf.DUMMYFUNCTION("""COMPUTED_VALUE"""),"TRB")</f>
        <v>TRB</v>
      </c>
      <c r="K1323" s="4" t="str">
        <f>IFERROR(__xludf.DUMMYFUNCTION("""COMPUTED_VALUE"""),"AST")</f>
        <v>AST</v>
      </c>
      <c r="L1323" s="4" t="str">
        <f>IFERROR(__xludf.DUMMYFUNCTION("""COMPUTED_VALUE"""),"FG%")</f>
        <v>FG%</v>
      </c>
      <c r="M1323" s="4" t="str">
        <f>IFERROR(__xludf.DUMMYFUNCTION("""COMPUTED_VALUE"""),"3P%")</f>
        <v>3P%</v>
      </c>
      <c r="N1323" s="4" t="str">
        <f>IFERROR(__xludf.DUMMYFUNCTION("""COMPUTED_VALUE"""),"FT%")</f>
        <v>FT%</v>
      </c>
      <c r="O1323" s="4" t="str">
        <f>IFERROR(__xludf.DUMMYFUNCTION("""COMPUTED_VALUE"""),"MP")</f>
        <v>MP</v>
      </c>
      <c r="P1323" s="4" t="str">
        <f>IFERROR(__xludf.DUMMYFUNCTION("""COMPUTED_VALUE"""),"PTS")</f>
        <v>PTS</v>
      </c>
      <c r="Q1323" s="4" t="str">
        <f>IFERROR(__xludf.DUMMYFUNCTION("""COMPUTED_VALUE"""),"TRB")</f>
        <v>TRB</v>
      </c>
      <c r="R1323" s="4" t="str">
        <f>IFERROR(__xludf.DUMMYFUNCTION("""COMPUTED_VALUE"""),"AST")</f>
        <v>AST</v>
      </c>
      <c r="S1323" s="4" t="str">
        <f>IFERROR(__xludf.DUMMYFUNCTION("""COMPUTED_VALUE"""),"WS")</f>
        <v>WS</v>
      </c>
      <c r="T1323" s="4" t="str">
        <f>IFERROR(__xludf.DUMMYFUNCTION("""COMPUTED_VALUE"""),"WS/48")</f>
        <v>WS/48</v>
      </c>
      <c r="U1323" s="4" t="str">
        <f>IFERROR(__xludf.DUMMYFUNCTION("""COMPUTED_VALUE"""),"BPM")</f>
        <v>BPM</v>
      </c>
      <c r="V1323" s="4" t="str">
        <f>IFERROR(__xludf.DUMMYFUNCTION("""COMPUTED_VALUE"""),"VORP")</f>
        <v>VORP</v>
      </c>
    </row>
    <row r="1324">
      <c r="A1324" s="4">
        <f>IFERROR(__xludf.DUMMYFUNCTION("""COMPUTED_VALUE"""),1.0)</f>
        <v>1</v>
      </c>
      <c r="B1324" s="4">
        <f>IFERROR(__xludf.DUMMYFUNCTION("""COMPUTED_VALUE"""),1.0)</f>
        <v>1</v>
      </c>
      <c r="C1324" s="4" t="str">
        <f>IFERROR(__xludf.DUMMYFUNCTION("""COMPUTED_VALUE"""),"MIL")</f>
        <v>MIL</v>
      </c>
      <c r="D1324" s="4" t="str">
        <f>IFERROR(__xludf.DUMMYFUNCTION("""COMPUTED_VALUE"""),"Andrew Bogut")</f>
        <v>Andrew Bogut</v>
      </c>
      <c r="E1324" s="4" t="str">
        <f>IFERROR(__xludf.DUMMYFUNCTION("""COMPUTED_VALUE"""),"Utah")</f>
        <v>Utah</v>
      </c>
      <c r="F1324" s="4">
        <f>IFERROR(__xludf.DUMMYFUNCTION("""COMPUTED_VALUE"""),14.0)</f>
        <v>14</v>
      </c>
      <c r="G1324" s="4">
        <f>IFERROR(__xludf.DUMMYFUNCTION("""COMPUTED_VALUE"""),706.0)</f>
        <v>706</v>
      </c>
      <c r="H1324" s="4">
        <f>IFERROR(__xludf.DUMMYFUNCTION("""COMPUTED_VALUE"""),19862.0)</f>
        <v>19862</v>
      </c>
      <c r="I1324" s="4">
        <f>IFERROR(__xludf.DUMMYFUNCTION("""COMPUTED_VALUE"""),6808.0)</f>
        <v>6808</v>
      </c>
      <c r="J1324" s="4">
        <f>IFERROR(__xludf.DUMMYFUNCTION("""COMPUTED_VALUE"""),6112.0)</f>
        <v>6112</v>
      </c>
      <c r="K1324" s="4">
        <f>IFERROR(__xludf.DUMMYFUNCTION("""COMPUTED_VALUE"""),1546.0)</f>
        <v>1546</v>
      </c>
      <c r="L1324" s="4">
        <f>IFERROR(__xludf.DUMMYFUNCTION("""COMPUTED_VALUE"""),0.535)</f>
        <v>0.535</v>
      </c>
      <c r="M1324" s="4">
        <f>IFERROR(__xludf.DUMMYFUNCTION("""COMPUTED_VALUE"""),0.12)</f>
        <v>0.12</v>
      </c>
      <c r="N1324" s="4">
        <f>IFERROR(__xludf.DUMMYFUNCTION("""COMPUTED_VALUE"""),0.557)</f>
        <v>0.557</v>
      </c>
      <c r="O1324" s="4">
        <f>IFERROR(__xludf.DUMMYFUNCTION("""COMPUTED_VALUE"""),28.1)</f>
        <v>28.1</v>
      </c>
      <c r="P1324" s="4">
        <f>IFERROR(__xludf.DUMMYFUNCTION("""COMPUTED_VALUE"""),9.6)</f>
        <v>9.6</v>
      </c>
      <c r="Q1324" s="4">
        <f>IFERROR(__xludf.DUMMYFUNCTION("""COMPUTED_VALUE"""),8.7)</f>
        <v>8.7</v>
      </c>
      <c r="R1324" s="4">
        <f>IFERROR(__xludf.DUMMYFUNCTION("""COMPUTED_VALUE"""),2.2)</f>
        <v>2.2</v>
      </c>
      <c r="S1324" s="4">
        <f>IFERROR(__xludf.DUMMYFUNCTION("""COMPUTED_VALUE"""),50.6)</f>
        <v>50.6</v>
      </c>
      <c r="T1324" s="4">
        <f>IFERROR(__xludf.DUMMYFUNCTION("""COMPUTED_VALUE"""),0.122)</f>
        <v>0.122</v>
      </c>
      <c r="U1324" s="4">
        <f>IFERROR(__xludf.DUMMYFUNCTION("""COMPUTED_VALUE"""),1.2)</f>
        <v>1.2</v>
      </c>
      <c r="V1324" s="4">
        <f>IFERROR(__xludf.DUMMYFUNCTION("""COMPUTED_VALUE"""),16.0)</f>
        <v>16</v>
      </c>
    </row>
    <row r="1325">
      <c r="A1325" s="4">
        <f>IFERROR(__xludf.DUMMYFUNCTION("""COMPUTED_VALUE"""),2.0)</f>
        <v>2</v>
      </c>
      <c r="B1325" s="4">
        <f>IFERROR(__xludf.DUMMYFUNCTION("""COMPUTED_VALUE"""),2.0)</f>
        <v>2</v>
      </c>
      <c r="C1325" s="4" t="str">
        <f>IFERROR(__xludf.DUMMYFUNCTION("""COMPUTED_VALUE"""),"ATL")</f>
        <v>ATL</v>
      </c>
      <c r="D1325" s="4" t="str">
        <f>IFERROR(__xludf.DUMMYFUNCTION("""COMPUTED_VALUE"""),"Marvin Williams")</f>
        <v>Marvin Williams</v>
      </c>
      <c r="E1325" s="4" t="str">
        <f>IFERROR(__xludf.DUMMYFUNCTION("""COMPUTED_VALUE"""),"UNC")</f>
        <v>UNC</v>
      </c>
      <c r="F1325" s="4">
        <f>IFERROR(__xludf.DUMMYFUNCTION("""COMPUTED_VALUE"""),15.0)</f>
        <v>15</v>
      </c>
      <c r="G1325" s="4">
        <f>IFERROR(__xludf.DUMMYFUNCTION("""COMPUTED_VALUE"""),1072.0)</f>
        <v>1072</v>
      </c>
      <c r="H1325" s="4">
        <f>IFERROR(__xludf.DUMMYFUNCTION("""COMPUTED_VALUE"""),30159.0)</f>
        <v>30159</v>
      </c>
      <c r="I1325" s="4">
        <f>IFERROR(__xludf.DUMMYFUNCTION("""COMPUTED_VALUE"""),10965.0)</f>
        <v>10965</v>
      </c>
      <c r="J1325" s="4">
        <f>IFERROR(__xludf.DUMMYFUNCTION("""COMPUTED_VALUE"""),5546.0)</f>
        <v>5546</v>
      </c>
      <c r="K1325" s="4">
        <f>IFERROR(__xludf.DUMMYFUNCTION("""COMPUTED_VALUE"""),1373.0)</f>
        <v>1373</v>
      </c>
      <c r="L1325" s="4">
        <f>IFERROR(__xludf.DUMMYFUNCTION("""COMPUTED_VALUE"""),0.443)</f>
        <v>0.443</v>
      </c>
      <c r="M1325" s="4">
        <f>IFERROR(__xludf.DUMMYFUNCTION("""COMPUTED_VALUE"""),0.361)</f>
        <v>0.361</v>
      </c>
      <c r="N1325" s="4">
        <f>IFERROR(__xludf.DUMMYFUNCTION("""COMPUTED_VALUE"""),0.808)</f>
        <v>0.808</v>
      </c>
      <c r="O1325" s="4">
        <f>IFERROR(__xludf.DUMMYFUNCTION("""COMPUTED_VALUE"""),28.1)</f>
        <v>28.1</v>
      </c>
      <c r="P1325" s="4">
        <f>IFERROR(__xludf.DUMMYFUNCTION("""COMPUTED_VALUE"""),10.2)</f>
        <v>10.2</v>
      </c>
      <c r="Q1325" s="4">
        <f>IFERROR(__xludf.DUMMYFUNCTION("""COMPUTED_VALUE"""),5.2)</f>
        <v>5.2</v>
      </c>
      <c r="R1325" s="4">
        <f>IFERROR(__xludf.DUMMYFUNCTION("""COMPUTED_VALUE"""),1.3)</f>
        <v>1.3</v>
      </c>
      <c r="S1325" s="4">
        <f>IFERROR(__xludf.DUMMYFUNCTION("""COMPUTED_VALUE"""),65.1)</f>
        <v>65.1</v>
      </c>
      <c r="T1325" s="4">
        <f>IFERROR(__xludf.DUMMYFUNCTION("""COMPUTED_VALUE"""),0.104)</f>
        <v>0.104</v>
      </c>
      <c r="U1325" s="4">
        <f>IFERROR(__xludf.DUMMYFUNCTION("""COMPUTED_VALUE"""),-0.4)</f>
        <v>-0.4</v>
      </c>
      <c r="V1325" s="4">
        <f>IFERROR(__xludf.DUMMYFUNCTION("""COMPUTED_VALUE"""),12.3)</f>
        <v>12.3</v>
      </c>
    </row>
    <row r="1326">
      <c r="A1326" s="4">
        <f>IFERROR(__xludf.DUMMYFUNCTION("""COMPUTED_VALUE"""),3.0)</f>
        <v>3</v>
      </c>
      <c r="B1326" s="4">
        <f>IFERROR(__xludf.DUMMYFUNCTION("""COMPUTED_VALUE"""),3.0)</f>
        <v>3</v>
      </c>
      <c r="C1326" s="4" t="str">
        <f>IFERROR(__xludf.DUMMYFUNCTION("""COMPUTED_VALUE"""),"UTA")</f>
        <v>UTA</v>
      </c>
      <c r="D1326" s="4" t="str">
        <f>IFERROR(__xludf.DUMMYFUNCTION("""COMPUTED_VALUE"""),"Deron Williams")</f>
        <v>Deron Williams</v>
      </c>
      <c r="E1326" s="4" t="str">
        <f>IFERROR(__xludf.DUMMYFUNCTION("""COMPUTED_VALUE"""),"Illinois")</f>
        <v>Illinois</v>
      </c>
      <c r="F1326" s="4">
        <f>IFERROR(__xludf.DUMMYFUNCTION("""COMPUTED_VALUE"""),12.0)</f>
        <v>12</v>
      </c>
      <c r="G1326" s="4">
        <f>IFERROR(__xludf.DUMMYFUNCTION("""COMPUTED_VALUE"""),845.0)</f>
        <v>845</v>
      </c>
      <c r="H1326" s="4">
        <f>IFERROR(__xludf.DUMMYFUNCTION("""COMPUTED_VALUE"""),28865.0)</f>
        <v>28865</v>
      </c>
      <c r="I1326" s="4">
        <f>IFERROR(__xludf.DUMMYFUNCTION("""COMPUTED_VALUE"""),13804.0)</f>
        <v>13804</v>
      </c>
      <c r="J1326" s="4">
        <f>IFERROR(__xludf.DUMMYFUNCTION("""COMPUTED_VALUE"""),2619.0)</f>
        <v>2619</v>
      </c>
      <c r="K1326" s="4">
        <f>IFERROR(__xludf.DUMMYFUNCTION("""COMPUTED_VALUE"""),6819.0)</f>
        <v>6819</v>
      </c>
      <c r="L1326" s="4">
        <f>IFERROR(__xludf.DUMMYFUNCTION("""COMPUTED_VALUE"""),0.445)</f>
        <v>0.445</v>
      </c>
      <c r="M1326" s="4">
        <f>IFERROR(__xludf.DUMMYFUNCTION("""COMPUTED_VALUE"""),0.357)</f>
        <v>0.357</v>
      </c>
      <c r="N1326" s="4">
        <f>IFERROR(__xludf.DUMMYFUNCTION("""COMPUTED_VALUE"""),0.822)</f>
        <v>0.822</v>
      </c>
      <c r="O1326" s="4">
        <f>IFERROR(__xludf.DUMMYFUNCTION("""COMPUTED_VALUE"""),34.2)</f>
        <v>34.2</v>
      </c>
      <c r="P1326" s="4">
        <f>IFERROR(__xludf.DUMMYFUNCTION("""COMPUTED_VALUE"""),16.3)</f>
        <v>16.3</v>
      </c>
      <c r="Q1326" s="4">
        <f>IFERROR(__xludf.DUMMYFUNCTION("""COMPUTED_VALUE"""),3.1)</f>
        <v>3.1</v>
      </c>
      <c r="R1326" s="4">
        <f>IFERROR(__xludf.DUMMYFUNCTION("""COMPUTED_VALUE"""),8.1)</f>
        <v>8.1</v>
      </c>
      <c r="S1326" s="4">
        <f>IFERROR(__xludf.DUMMYFUNCTION("""COMPUTED_VALUE"""),77.3)</f>
        <v>77.3</v>
      </c>
      <c r="T1326" s="4">
        <f>IFERROR(__xludf.DUMMYFUNCTION("""COMPUTED_VALUE"""),0.129)</f>
        <v>0.129</v>
      </c>
      <c r="U1326" s="4">
        <f>IFERROR(__xludf.DUMMYFUNCTION("""COMPUTED_VALUE"""),1.9)</f>
        <v>1.9</v>
      </c>
      <c r="V1326" s="4">
        <f>IFERROR(__xludf.DUMMYFUNCTION("""COMPUTED_VALUE"""),28.3)</f>
        <v>28.3</v>
      </c>
    </row>
    <row r="1327">
      <c r="A1327" s="4">
        <f>IFERROR(__xludf.DUMMYFUNCTION("""COMPUTED_VALUE"""),4.0)</f>
        <v>4</v>
      </c>
      <c r="B1327" s="4">
        <f>IFERROR(__xludf.DUMMYFUNCTION("""COMPUTED_VALUE"""),4.0)</f>
        <v>4</v>
      </c>
      <c r="C1327" s="4" t="str">
        <f>IFERROR(__xludf.DUMMYFUNCTION("""COMPUTED_VALUE"""),"NOH")</f>
        <v>NOH</v>
      </c>
      <c r="D1327" s="4" t="str">
        <f>IFERROR(__xludf.DUMMYFUNCTION("""COMPUTED_VALUE"""),"Chris Paul")</f>
        <v>Chris Paul</v>
      </c>
      <c r="E1327" s="4" t="str">
        <f>IFERROR(__xludf.DUMMYFUNCTION("""COMPUTED_VALUE"""),"Wake Forest")</f>
        <v>Wake Forest</v>
      </c>
      <c r="F1327" s="4">
        <f>IFERROR(__xludf.DUMMYFUNCTION("""COMPUTED_VALUE"""),21.0)</f>
        <v>21</v>
      </c>
      <c r="G1327" s="4">
        <f>IFERROR(__xludf.DUMMYFUNCTION("""COMPUTED_VALUE"""),1370.0)</f>
        <v>1370</v>
      </c>
      <c r="H1327" s="4">
        <f>IFERROR(__xludf.DUMMYFUNCTION("""COMPUTED_VALUE"""),45836.0)</f>
        <v>45836</v>
      </c>
      <c r="I1327" s="4">
        <f>IFERROR(__xludf.DUMMYFUNCTION("""COMPUTED_VALUE"""),23058.0)</f>
        <v>23058</v>
      </c>
      <c r="J1327" s="4">
        <f>IFERROR(__xludf.DUMMYFUNCTION("""COMPUTED_VALUE"""),6006.0)</f>
        <v>6006</v>
      </c>
      <c r="K1327" s="4">
        <f>IFERROR(__xludf.DUMMYFUNCTION("""COMPUTED_VALUE"""),12552.0)</f>
        <v>12552</v>
      </c>
      <c r="L1327" s="4">
        <f>IFERROR(__xludf.DUMMYFUNCTION("""COMPUTED_VALUE"""),0.469)</f>
        <v>0.469</v>
      </c>
      <c r="M1327" s="4">
        <f>IFERROR(__xludf.DUMMYFUNCTION("""COMPUTED_VALUE"""),0.37)</f>
        <v>0.37</v>
      </c>
      <c r="N1327" s="4">
        <f>IFERROR(__xludf.DUMMYFUNCTION("""COMPUTED_VALUE"""),0.87)</f>
        <v>0.87</v>
      </c>
      <c r="O1327" s="4">
        <f>IFERROR(__xludf.DUMMYFUNCTION("""COMPUTED_VALUE"""),33.5)</f>
        <v>33.5</v>
      </c>
      <c r="P1327" s="4">
        <f>IFERROR(__xludf.DUMMYFUNCTION("""COMPUTED_VALUE"""),16.8)</f>
        <v>16.8</v>
      </c>
      <c r="Q1327" s="4">
        <f>IFERROR(__xludf.DUMMYFUNCTION("""COMPUTED_VALUE"""),4.4)</f>
        <v>4.4</v>
      </c>
      <c r="R1327" s="4">
        <f>IFERROR(__xludf.DUMMYFUNCTION("""COMPUTED_VALUE"""),9.2)</f>
        <v>9.2</v>
      </c>
      <c r="S1327" s="4">
        <f>IFERROR(__xludf.DUMMYFUNCTION("""COMPUTED_VALUE"""),215.1)</f>
        <v>215.1</v>
      </c>
      <c r="T1327" s="4">
        <f>IFERROR(__xludf.DUMMYFUNCTION("""COMPUTED_VALUE"""),0.225)</f>
        <v>0.225</v>
      </c>
      <c r="U1327" s="4">
        <f>IFERROR(__xludf.DUMMYFUNCTION("""COMPUTED_VALUE"""),6.5)</f>
        <v>6.5</v>
      </c>
      <c r="V1327" s="4">
        <f>IFERROR(__xludf.DUMMYFUNCTION("""COMPUTED_VALUE"""),98.8)</f>
        <v>98.8</v>
      </c>
    </row>
    <row r="1328">
      <c r="A1328" s="4">
        <f>IFERROR(__xludf.DUMMYFUNCTION("""COMPUTED_VALUE"""),5.0)</f>
        <v>5</v>
      </c>
      <c r="B1328" s="4">
        <f>IFERROR(__xludf.DUMMYFUNCTION("""COMPUTED_VALUE"""),5.0)</f>
        <v>5</v>
      </c>
      <c r="C1328" s="4" t="str">
        <f>IFERROR(__xludf.DUMMYFUNCTION("""COMPUTED_VALUE"""),"CHA")</f>
        <v>CHA</v>
      </c>
      <c r="D1328" s="4" t="str">
        <f>IFERROR(__xludf.DUMMYFUNCTION("""COMPUTED_VALUE"""),"Raymond Felton")</f>
        <v>Raymond Felton</v>
      </c>
      <c r="E1328" s="4" t="str">
        <f>IFERROR(__xludf.DUMMYFUNCTION("""COMPUTED_VALUE"""),"UNC")</f>
        <v>UNC</v>
      </c>
      <c r="F1328" s="4">
        <f>IFERROR(__xludf.DUMMYFUNCTION("""COMPUTED_VALUE"""),14.0)</f>
        <v>14</v>
      </c>
      <c r="G1328" s="4">
        <f>IFERROR(__xludf.DUMMYFUNCTION("""COMPUTED_VALUE"""),971.0)</f>
        <v>971</v>
      </c>
      <c r="H1328" s="4">
        <f>IFERROR(__xludf.DUMMYFUNCTION("""COMPUTED_VALUE"""),28829.0)</f>
        <v>28829</v>
      </c>
      <c r="I1328" s="4">
        <f>IFERROR(__xludf.DUMMYFUNCTION("""COMPUTED_VALUE"""),10853.0)</f>
        <v>10853</v>
      </c>
      <c r="J1328" s="4">
        <f>IFERROR(__xludf.DUMMYFUNCTION("""COMPUTED_VALUE"""),2867.0)</f>
        <v>2867</v>
      </c>
      <c r="K1328" s="4">
        <f>IFERROR(__xludf.DUMMYFUNCTION("""COMPUTED_VALUE"""),5096.0)</f>
        <v>5096</v>
      </c>
      <c r="L1328" s="4">
        <f>IFERROR(__xludf.DUMMYFUNCTION("""COMPUTED_VALUE"""),0.412)</f>
        <v>0.412</v>
      </c>
      <c r="M1328" s="4">
        <f>IFERROR(__xludf.DUMMYFUNCTION("""COMPUTED_VALUE"""),0.329)</f>
        <v>0.329</v>
      </c>
      <c r="N1328" s="4">
        <f>IFERROR(__xludf.DUMMYFUNCTION("""COMPUTED_VALUE"""),0.79)</f>
        <v>0.79</v>
      </c>
      <c r="O1328" s="4">
        <f>IFERROR(__xludf.DUMMYFUNCTION("""COMPUTED_VALUE"""),29.7)</f>
        <v>29.7</v>
      </c>
      <c r="P1328" s="4">
        <f>IFERROR(__xludf.DUMMYFUNCTION("""COMPUTED_VALUE"""),11.2)</f>
        <v>11.2</v>
      </c>
      <c r="Q1328" s="4">
        <f>IFERROR(__xludf.DUMMYFUNCTION("""COMPUTED_VALUE"""),3.0)</f>
        <v>3</v>
      </c>
      <c r="R1328" s="4">
        <f>IFERROR(__xludf.DUMMYFUNCTION("""COMPUTED_VALUE"""),5.2)</f>
        <v>5.2</v>
      </c>
      <c r="S1328" s="4">
        <f>IFERROR(__xludf.DUMMYFUNCTION("""COMPUTED_VALUE"""),40.2)</f>
        <v>40.2</v>
      </c>
      <c r="T1328" s="4">
        <f>IFERROR(__xludf.DUMMYFUNCTION("""COMPUTED_VALUE"""),0.067)</f>
        <v>0.067</v>
      </c>
      <c r="U1328" s="4">
        <f>IFERROR(__xludf.DUMMYFUNCTION("""COMPUTED_VALUE"""),-0.6)</f>
        <v>-0.6</v>
      </c>
      <c r="V1328" s="4">
        <f>IFERROR(__xludf.DUMMYFUNCTION("""COMPUTED_VALUE"""),10.1)</f>
        <v>10.1</v>
      </c>
    </row>
    <row r="1329">
      <c r="A1329" s="4">
        <f>IFERROR(__xludf.DUMMYFUNCTION("""COMPUTED_VALUE"""),6.0)</f>
        <v>6</v>
      </c>
      <c r="B1329" s="4">
        <f>IFERROR(__xludf.DUMMYFUNCTION("""COMPUTED_VALUE"""),6.0)</f>
        <v>6</v>
      </c>
      <c r="C1329" s="4" t="str">
        <f>IFERROR(__xludf.DUMMYFUNCTION("""COMPUTED_VALUE"""),"POR")</f>
        <v>POR</v>
      </c>
      <c r="D1329" s="4" t="str">
        <f>IFERROR(__xludf.DUMMYFUNCTION("""COMPUTED_VALUE"""),"Martell Webster")</f>
        <v>Martell Webster</v>
      </c>
      <c r="E1329" s="4"/>
      <c r="F1329" s="4">
        <f>IFERROR(__xludf.DUMMYFUNCTION("""COMPUTED_VALUE"""),10.0)</f>
        <v>10</v>
      </c>
      <c r="G1329" s="4">
        <f>IFERROR(__xludf.DUMMYFUNCTION("""COMPUTED_VALUE"""),580.0)</f>
        <v>580</v>
      </c>
      <c r="H1329" s="4">
        <f>IFERROR(__xludf.DUMMYFUNCTION("""COMPUTED_VALUE"""),13914.0)</f>
        <v>13914</v>
      </c>
      <c r="I1329" s="4">
        <f>IFERROR(__xludf.DUMMYFUNCTION("""COMPUTED_VALUE"""),5056.0)</f>
        <v>5056</v>
      </c>
      <c r="J1329" s="4">
        <f>IFERROR(__xludf.DUMMYFUNCTION("""COMPUTED_VALUE"""),1811.0)</f>
        <v>1811</v>
      </c>
      <c r="K1329" s="4">
        <f>IFERROR(__xludf.DUMMYFUNCTION("""COMPUTED_VALUE"""),588.0)</f>
        <v>588</v>
      </c>
      <c r="L1329" s="4">
        <f>IFERROR(__xludf.DUMMYFUNCTION("""COMPUTED_VALUE"""),0.418)</f>
        <v>0.418</v>
      </c>
      <c r="M1329" s="4">
        <f>IFERROR(__xludf.DUMMYFUNCTION("""COMPUTED_VALUE"""),0.382)</f>
        <v>0.382</v>
      </c>
      <c r="N1329" s="4">
        <f>IFERROR(__xludf.DUMMYFUNCTION("""COMPUTED_VALUE"""),0.791)</f>
        <v>0.791</v>
      </c>
      <c r="O1329" s="4">
        <f>IFERROR(__xludf.DUMMYFUNCTION("""COMPUTED_VALUE"""),24.0)</f>
        <v>24</v>
      </c>
      <c r="P1329" s="4">
        <f>IFERROR(__xludf.DUMMYFUNCTION("""COMPUTED_VALUE"""),8.7)</f>
        <v>8.7</v>
      </c>
      <c r="Q1329" s="4">
        <f>IFERROR(__xludf.DUMMYFUNCTION("""COMPUTED_VALUE"""),3.1)</f>
        <v>3.1</v>
      </c>
      <c r="R1329" s="4">
        <f>IFERROR(__xludf.DUMMYFUNCTION("""COMPUTED_VALUE"""),1.0)</f>
        <v>1</v>
      </c>
      <c r="S1329" s="4">
        <f>IFERROR(__xludf.DUMMYFUNCTION("""COMPUTED_VALUE"""),24.7)</f>
        <v>24.7</v>
      </c>
      <c r="T1329" s="4">
        <f>IFERROR(__xludf.DUMMYFUNCTION("""COMPUTED_VALUE"""),0.085)</f>
        <v>0.085</v>
      </c>
      <c r="U1329" s="4">
        <f>IFERROR(__xludf.DUMMYFUNCTION("""COMPUTED_VALUE"""),-0.8)</f>
        <v>-0.8</v>
      </c>
      <c r="V1329" s="4">
        <f>IFERROR(__xludf.DUMMYFUNCTION("""COMPUTED_VALUE"""),4.3)</f>
        <v>4.3</v>
      </c>
    </row>
    <row r="1330">
      <c r="A1330" s="4">
        <f>IFERROR(__xludf.DUMMYFUNCTION("""COMPUTED_VALUE"""),7.0)</f>
        <v>7</v>
      </c>
      <c r="B1330" s="4">
        <f>IFERROR(__xludf.DUMMYFUNCTION("""COMPUTED_VALUE"""),7.0)</f>
        <v>7</v>
      </c>
      <c r="C1330" s="4" t="str">
        <f>IFERROR(__xludf.DUMMYFUNCTION("""COMPUTED_VALUE"""),"TOR")</f>
        <v>TOR</v>
      </c>
      <c r="D1330" s="4" t="str">
        <f>IFERROR(__xludf.DUMMYFUNCTION("""COMPUTED_VALUE"""),"Charlie Villanueva")</f>
        <v>Charlie Villanueva</v>
      </c>
      <c r="E1330" s="4" t="str">
        <f>IFERROR(__xludf.DUMMYFUNCTION("""COMPUTED_VALUE"""),"UConn")</f>
        <v>UConn</v>
      </c>
      <c r="F1330" s="4">
        <f>IFERROR(__xludf.DUMMYFUNCTION("""COMPUTED_VALUE"""),11.0)</f>
        <v>11</v>
      </c>
      <c r="G1330" s="4">
        <f>IFERROR(__xludf.DUMMYFUNCTION("""COMPUTED_VALUE"""),656.0)</f>
        <v>656</v>
      </c>
      <c r="H1330" s="4">
        <f>IFERROR(__xludf.DUMMYFUNCTION("""COMPUTED_VALUE"""),13578.0)</f>
        <v>13578</v>
      </c>
      <c r="I1330" s="4">
        <f>IFERROR(__xludf.DUMMYFUNCTION("""COMPUTED_VALUE"""),6808.0)</f>
        <v>6808</v>
      </c>
      <c r="J1330" s="4">
        <f>IFERROR(__xludf.DUMMYFUNCTION("""COMPUTED_VALUE"""),3019.0)</f>
        <v>3019</v>
      </c>
      <c r="K1330" s="4">
        <f>IFERROR(__xludf.DUMMYFUNCTION("""COMPUTED_VALUE"""),549.0)</f>
        <v>549</v>
      </c>
      <c r="L1330" s="4">
        <f>IFERROR(__xludf.DUMMYFUNCTION("""COMPUTED_VALUE"""),0.435)</f>
        <v>0.435</v>
      </c>
      <c r="M1330" s="4">
        <f>IFERROR(__xludf.DUMMYFUNCTION("""COMPUTED_VALUE"""),0.341)</f>
        <v>0.341</v>
      </c>
      <c r="N1330" s="4">
        <f>IFERROR(__xludf.DUMMYFUNCTION("""COMPUTED_VALUE"""),0.772)</f>
        <v>0.772</v>
      </c>
      <c r="O1330" s="4">
        <f>IFERROR(__xludf.DUMMYFUNCTION("""COMPUTED_VALUE"""),20.7)</f>
        <v>20.7</v>
      </c>
      <c r="P1330" s="4">
        <f>IFERROR(__xludf.DUMMYFUNCTION("""COMPUTED_VALUE"""),10.4)</f>
        <v>10.4</v>
      </c>
      <c r="Q1330" s="4">
        <f>IFERROR(__xludf.DUMMYFUNCTION("""COMPUTED_VALUE"""),4.6)</f>
        <v>4.6</v>
      </c>
      <c r="R1330" s="4">
        <f>IFERROR(__xludf.DUMMYFUNCTION("""COMPUTED_VALUE"""),0.8)</f>
        <v>0.8</v>
      </c>
      <c r="S1330" s="4">
        <f>IFERROR(__xludf.DUMMYFUNCTION("""COMPUTED_VALUE"""),22.6)</f>
        <v>22.6</v>
      </c>
      <c r="T1330" s="4">
        <f>IFERROR(__xludf.DUMMYFUNCTION("""COMPUTED_VALUE"""),0.08)</f>
        <v>0.08</v>
      </c>
      <c r="U1330" s="4">
        <f>IFERROR(__xludf.DUMMYFUNCTION("""COMPUTED_VALUE"""),-0.6)</f>
        <v>-0.6</v>
      </c>
      <c r="V1330" s="4">
        <f>IFERROR(__xludf.DUMMYFUNCTION("""COMPUTED_VALUE"""),4.7)</f>
        <v>4.7</v>
      </c>
    </row>
    <row r="1331">
      <c r="A1331" s="4">
        <f>IFERROR(__xludf.DUMMYFUNCTION("""COMPUTED_VALUE"""),8.0)</f>
        <v>8</v>
      </c>
      <c r="B1331" s="4">
        <f>IFERROR(__xludf.DUMMYFUNCTION("""COMPUTED_VALUE"""),8.0)</f>
        <v>8</v>
      </c>
      <c r="C1331" s="4" t="str">
        <f>IFERROR(__xludf.DUMMYFUNCTION("""COMPUTED_VALUE"""),"NYK")</f>
        <v>NYK</v>
      </c>
      <c r="D1331" s="4" t="str">
        <f>IFERROR(__xludf.DUMMYFUNCTION("""COMPUTED_VALUE"""),"Channing Frye")</f>
        <v>Channing Frye</v>
      </c>
      <c r="E1331" s="4" t="str">
        <f>IFERROR(__xludf.DUMMYFUNCTION("""COMPUTED_VALUE"""),"Arizona")</f>
        <v>Arizona</v>
      </c>
      <c r="F1331" s="4">
        <f>IFERROR(__xludf.DUMMYFUNCTION("""COMPUTED_VALUE"""),13.0)</f>
        <v>13</v>
      </c>
      <c r="G1331" s="4">
        <f>IFERROR(__xludf.DUMMYFUNCTION("""COMPUTED_VALUE"""),890.0)</f>
        <v>890</v>
      </c>
      <c r="H1331" s="4">
        <f>IFERROR(__xludf.DUMMYFUNCTION("""COMPUTED_VALUE"""),19772.0)</f>
        <v>19772</v>
      </c>
      <c r="I1331" s="4">
        <f>IFERROR(__xludf.DUMMYFUNCTION("""COMPUTED_VALUE"""),7786.0)</f>
        <v>7786</v>
      </c>
      <c r="J1331" s="4">
        <f>IFERROR(__xludf.DUMMYFUNCTION("""COMPUTED_VALUE"""),4002.0)</f>
        <v>4002</v>
      </c>
      <c r="K1331" s="4">
        <f>IFERROR(__xludf.DUMMYFUNCTION("""COMPUTED_VALUE"""),864.0)</f>
        <v>864</v>
      </c>
      <c r="L1331" s="4">
        <f>IFERROR(__xludf.DUMMYFUNCTION("""COMPUTED_VALUE"""),0.44)</f>
        <v>0.44</v>
      </c>
      <c r="M1331" s="4">
        <f>IFERROR(__xludf.DUMMYFUNCTION("""COMPUTED_VALUE"""),0.388)</f>
        <v>0.388</v>
      </c>
      <c r="N1331" s="4">
        <f>IFERROR(__xludf.DUMMYFUNCTION("""COMPUTED_VALUE"""),0.822)</f>
        <v>0.822</v>
      </c>
      <c r="O1331" s="4">
        <f>IFERROR(__xludf.DUMMYFUNCTION("""COMPUTED_VALUE"""),22.2)</f>
        <v>22.2</v>
      </c>
      <c r="P1331" s="4">
        <f>IFERROR(__xludf.DUMMYFUNCTION("""COMPUTED_VALUE"""),8.7)</f>
        <v>8.7</v>
      </c>
      <c r="Q1331" s="4">
        <f>IFERROR(__xludf.DUMMYFUNCTION("""COMPUTED_VALUE"""),4.5)</f>
        <v>4.5</v>
      </c>
      <c r="R1331" s="4">
        <f>IFERROR(__xludf.DUMMYFUNCTION("""COMPUTED_VALUE"""),1.0)</f>
        <v>1</v>
      </c>
      <c r="S1331" s="4">
        <f>IFERROR(__xludf.DUMMYFUNCTION("""COMPUTED_VALUE"""),38.9)</f>
        <v>38.9</v>
      </c>
      <c r="T1331" s="4">
        <f>IFERROR(__xludf.DUMMYFUNCTION("""COMPUTED_VALUE"""),0.094)</f>
        <v>0.094</v>
      </c>
      <c r="U1331" s="4">
        <f>IFERROR(__xludf.DUMMYFUNCTION("""COMPUTED_VALUE"""),-0.4)</f>
        <v>-0.4</v>
      </c>
      <c r="V1331" s="4">
        <f>IFERROR(__xludf.DUMMYFUNCTION("""COMPUTED_VALUE"""),8.0)</f>
        <v>8</v>
      </c>
    </row>
    <row r="1332">
      <c r="A1332" s="4">
        <f>IFERROR(__xludf.DUMMYFUNCTION("""COMPUTED_VALUE"""),9.0)</f>
        <v>9</v>
      </c>
      <c r="B1332" s="4">
        <f>IFERROR(__xludf.DUMMYFUNCTION("""COMPUTED_VALUE"""),9.0)</f>
        <v>9</v>
      </c>
      <c r="C1332" s="4" t="str">
        <f>IFERROR(__xludf.DUMMYFUNCTION("""COMPUTED_VALUE"""),"GSW")</f>
        <v>GSW</v>
      </c>
      <c r="D1332" s="4" t="str">
        <f>IFERROR(__xludf.DUMMYFUNCTION("""COMPUTED_VALUE"""),"Ike Diogu")</f>
        <v>Ike Diogu</v>
      </c>
      <c r="E1332" s="4" t="str">
        <f>IFERROR(__xludf.DUMMYFUNCTION("""COMPUTED_VALUE"""),"Arizona State")</f>
        <v>Arizona State</v>
      </c>
      <c r="F1332" s="4">
        <f>IFERROR(__xludf.DUMMYFUNCTION("""COMPUTED_VALUE"""),6.0)</f>
        <v>6</v>
      </c>
      <c r="G1332" s="4">
        <f>IFERROR(__xludf.DUMMYFUNCTION("""COMPUTED_VALUE"""),225.0)</f>
        <v>225</v>
      </c>
      <c r="H1332" s="4">
        <f>IFERROR(__xludf.DUMMYFUNCTION("""COMPUTED_VALUE"""),2795.0)</f>
        <v>2795</v>
      </c>
      <c r="I1332" s="4">
        <f>IFERROR(__xludf.DUMMYFUNCTION("""COMPUTED_VALUE"""),1348.0)</f>
        <v>1348</v>
      </c>
      <c r="J1332" s="4">
        <f>IFERROR(__xludf.DUMMYFUNCTION("""COMPUTED_VALUE"""),689.0)</f>
        <v>689</v>
      </c>
      <c r="K1332" s="4">
        <f>IFERROR(__xludf.DUMMYFUNCTION("""COMPUTED_VALUE"""),69.0)</f>
        <v>69</v>
      </c>
      <c r="L1332" s="4">
        <f>IFERROR(__xludf.DUMMYFUNCTION("""COMPUTED_VALUE"""),0.509)</f>
        <v>0.509</v>
      </c>
      <c r="M1332" s="4">
        <f>IFERROR(__xludf.DUMMYFUNCTION("""COMPUTED_VALUE"""),0.5)</f>
        <v>0.5</v>
      </c>
      <c r="N1332" s="4">
        <f>IFERROR(__xludf.DUMMYFUNCTION("""COMPUTED_VALUE"""),0.786)</f>
        <v>0.786</v>
      </c>
      <c r="O1332" s="4">
        <f>IFERROR(__xludf.DUMMYFUNCTION("""COMPUTED_VALUE"""),12.4)</f>
        <v>12.4</v>
      </c>
      <c r="P1332" s="4">
        <f>IFERROR(__xludf.DUMMYFUNCTION("""COMPUTED_VALUE"""),6.0)</f>
        <v>6</v>
      </c>
      <c r="Q1332" s="4">
        <f>IFERROR(__xludf.DUMMYFUNCTION("""COMPUTED_VALUE"""),3.1)</f>
        <v>3.1</v>
      </c>
      <c r="R1332" s="4">
        <f>IFERROR(__xludf.DUMMYFUNCTION("""COMPUTED_VALUE"""),0.3)</f>
        <v>0.3</v>
      </c>
      <c r="S1332" s="4">
        <f>IFERROR(__xludf.DUMMYFUNCTION("""COMPUTED_VALUE"""),6.5)</f>
        <v>6.5</v>
      </c>
      <c r="T1332" s="4">
        <f>IFERROR(__xludf.DUMMYFUNCTION("""COMPUTED_VALUE"""),0.112)</f>
        <v>0.112</v>
      </c>
      <c r="U1332" s="4">
        <f>IFERROR(__xludf.DUMMYFUNCTION("""COMPUTED_VALUE"""),-3.0)</f>
        <v>-3</v>
      </c>
      <c r="V1332" s="4">
        <f>IFERROR(__xludf.DUMMYFUNCTION("""COMPUTED_VALUE"""),-0.7)</f>
        <v>-0.7</v>
      </c>
    </row>
    <row r="1333">
      <c r="A1333" s="4">
        <f>IFERROR(__xludf.DUMMYFUNCTION("""COMPUTED_VALUE"""),10.0)</f>
        <v>10</v>
      </c>
      <c r="B1333" s="4">
        <f>IFERROR(__xludf.DUMMYFUNCTION("""COMPUTED_VALUE"""),10.0)</f>
        <v>10</v>
      </c>
      <c r="C1333" s="4" t="str">
        <f>IFERROR(__xludf.DUMMYFUNCTION("""COMPUTED_VALUE"""),"LAL")</f>
        <v>LAL</v>
      </c>
      <c r="D1333" s="4" t="str">
        <f>IFERROR(__xludf.DUMMYFUNCTION("""COMPUTED_VALUE"""),"Andrew Bynum")</f>
        <v>Andrew Bynum</v>
      </c>
      <c r="E1333" s="4"/>
      <c r="F1333" s="4">
        <f>IFERROR(__xludf.DUMMYFUNCTION("""COMPUTED_VALUE"""),8.0)</f>
        <v>8</v>
      </c>
      <c r="G1333" s="4">
        <f>IFERROR(__xludf.DUMMYFUNCTION("""COMPUTED_VALUE"""),418.0)</f>
        <v>418</v>
      </c>
      <c r="H1333" s="4">
        <f>IFERROR(__xludf.DUMMYFUNCTION("""COMPUTED_VALUE"""),10690.0)</f>
        <v>10690</v>
      </c>
      <c r="I1333" s="4">
        <f>IFERROR(__xludf.DUMMYFUNCTION("""COMPUTED_VALUE"""),4822.0)</f>
        <v>4822</v>
      </c>
      <c r="J1333" s="4">
        <f>IFERROR(__xludf.DUMMYFUNCTION("""COMPUTED_VALUE"""),3221.0)</f>
        <v>3221</v>
      </c>
      <c r="K1333" s="4">
        <f>IFERROR(__xludf.DUMMYFUNCTION("""COMPUTED_VALUE"""),490.0)</f>
        <v>490</v>
      </c>
      <c r="L1333" s="4">
        <f>IFERROR(__xludf.DUMMYFUNCTION("""COMPUTED_VALUE"""),0.556)</f>
        <v>0.556</v>
      </c>
      <c r="M1333" s="4">
        <f>IFERROR(__xludf.DUMMYFUNCTION("""COMPUTED_VALUE"""),0.111)</f>
        <v>0.111</v>
      </c>
      <c r="N1333" s="4">
        <f>IFERROR(__xludf.DUMMYFUNCTION("""COMPUTED_VALUE"""),0.69)</f>
        <v>0.69</v>
      </c>
      <c r="O1333" s="4">
        <f>IFERROR(__xludf.DUMMYFUNCTION("""COMPUTED_VALUE"""),25.6)</f>
        <v>25.6</v>
      </c>
      <c r="P1333" s="4">
        <f>IFERROR(__xludf.DUMMYFUNCTION("""COMPUTED_VALUE"""),11.5)</f>
        <v>11.5</v>
      </c>
      <c r="Q1333" s="4">
        <f>IFERROR(__xludf.DUMMYFUNCTION("""COMPUTED_VALUE"""),7.7)</f>
        <v>7.7</v>
      </c>
      <c r="R1333" s="4">
        <f>IFERROR(__xludf.DUMMYFUNCTION("""COMPUTED_VALUE"""),1.2)</f>
        <v>1.2</v>
      </c>
      <c r="S1333" s="4">
        <f>IFERROR(__xludf.DUMMYFUNCTION("""COMPUTED_VALUE"""),37.4)</f>
        <v>37.4</v>
      </c>
      <c r="T1333" s="4">
        <f>IFERROR(__xludf.DUMMYFUNCTION("""COMPUTED_VALUE"""),0.168)</f>
        <v>0.168</v>
      </c>
      <c r="U1333" s="4">
        <f>IFERROR(__xludf.DUMMYFUNCTION("""COMPUTED_VALUE"""),1.4)</f>
        <v>1.4</v>
      </c>
      <c r="V1333" s="4">
        <f>IFERROR(__xludf.DUMMYFUNCTION("""COMPUTED_VALUE"""),9.1)</f>
        <v>9.1</v>
      </c>
    </row>
    <row r="1334">
      <c r="A1334" s="4">
        <f>IFERROR(__xludf.DUMMYFUNCTION("""COMPUTED_VALUE"""),11.0)</f>
        <v>11</v>
      </c>
      <c r="B1334" s="4">
        <f>IFERROR(__xludf.DUMMYFUNCTION("""COMPUTED_VALUE"""),11.0)</f>
        <v>11</v>
      </c>
      <c r="C1334" s="4" t="str">
        <f>IFERROR(__xludf.DUMMYFUNCTION("""COMPUTED_VALUE"""),"ORL")</f>
        <v>ORL</v>
      </c>
      <c r="D1334" s="4" t="str">
        <f>IFERROR(__xludf.DUMMYFUNCTION("""COMPUTED_VALUE"""),"Fran Vázquez")</f>
        <v>Fran Vázquez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>
      <c r="A1335" s="4">
        <f>IFERROR(__xludf.DUMMYFUNCTION("""COMPUTED_VALUE"""),12.0)</f>
        <v>12</v>
      </c>
      <c r="B1335" s="4">
        <f>IFERROR(__xludf.DUMMYFUNCTION("""COMPUTED_VALUE"""),12.0)</f>
        <v>12</v>
      </c>
      <c r="C1335" s="4" t="str">
        <f>IFERROR(__xludf.DUMMYFUNCTION("""COMPUTED_VALUE"""),"LAC")</f>
        <v>LAC</v>
      </c>
      <c r="D1335" s="4" t="str">
        <f>IFERROR(__xludf.DUMMYFUNCTION("""COMPUTED_VALUE"""),"Yaroslav Korolev")</f>
        <v>Yaroslav Korolev</v>
      </c>
      <c r="E1335" s="4"/>
      <c r="F1335" s="4">
        <f>IFERROR(__xludf.DUMMYFUNCTION("""COMPUTED_VALUE"""),2.0)</f>
        <v>2</v>
      </c>
      <c r="G1335" s="4">
        <f>IFERROR(__xludf.DUMMYFUNCTION("""COMPUTED_VALUE"""),34.0)</f>
        <v>34</v>
      </c>
      <c r="H1335" s="4">
        <f>IFERROR(__xludf.DUMMYFUNCTION("""COMPUTED_VALUE"""),168.0)</f>
        <v>168</v>
      </c>
      <c r="I1335" s="4">
        <f>IFERROR(__xludf.DUMMYFUNCTION("""COMPUTED_VALUE"""),39.0)</f>
        <v>39</v>
      </c>
      <c r="J1335" s="4">
        <f>IFERROR(__xludf.DUMMYFUNCTION("""COMPUTED_VALUE"""),16.0)</f>
        <v>16</v>
      </c>
      <c r="K1335" s="4">
        <f>IFERROR(__xludf.DUMMYFUNCTION("""COMPUTED_VALUE"""),13.0)</f>
        <v>13</v>
      </c>
      <c r="L1335" s="4">
        <f>IFERROR(__xludf.DUMMYFUNCTION("""COMPUTED_VALUE"""),0.283)</f>
        <v>0.283</v>
      </c>
      <c r="M1335" s="4">
        <f>IFERROR(__xludf.DUMMYFUNCTION("""COMPUTED_VALUE"""),0.25)</f>
        <v>0.25</v>
      </c>
      <c r="N1335" s="4">
        <f>IFERROR(__xludf.DUMMYFUNCTION("""COMPUTED_VALUE"""),0.625)</f>
        <v>0.625</v>
      </c>
      <c r="O1335" s="4">
        <f>IFERROR(__xludf.DUMMYFUNCTION("""COMPUTED_VALUE"""),4.9)</f>
        <v>4.9</v>
      </c>
      <c r="P1335" s="4">
        <f>IFERROR(__xludf.DUMMYFUNCTION("""COMPUTED_VALUE"""),1.1)</f>
        <v>1.1</v>
      </c>
      <c r="Q1335" s="4">
        <f>IFERROR(__xludf.DUMMYFUNCTION("""COMPUTED_VALUE"""),0.5)</f>
        <v>0.5</v>
      </c>
      <c r="R1335" s="4">
        <f>IFERROR(__xludf.DUMMYFUNCTION("""COMPUTED_VALUE"""),0.4)</f>
        <v>0.4</v>
      </c>
      <c r="S1335" s="4">
        <f>IFERROR(__xludf.DUMMYFUNCTION("""COMPUTED_VALUE"""),-0.1)</f>
        <v>-0.1</v>
      </c>
      <c r="T1335" s="4">
        <f>IFERROR(__xludf.DUMMYFUNCTION("""COMPUTED_VALUE"""),-0.024)</f>
        <v>-0.024</v>
      </c>
      <c r="U1335" s="4">
        <f>IFERROR(__xludf.DUMMYFUNCTION("""COMPUTED_VALUE"""),-5.2)</f>
        <v>-5.2</v>
      </c>
      <c r="V1335" s="4">
        <f>IFERROR(__xludf.DUMMYFUNCTION("""COMPUTED_VALUE"""),-0.1)</f>
        <v>-0.1</v>
      </c>
    </row>
    <row r="1336">
      <c r="A1336" s="4">
        <f>IFERROR(__xludf.DUMMYFUNCTION("""COMPUTED_VALUE"""),13.0)</f>
        <v>13</v>
      </c>
      <c r="B1336" s="4">
        <f>IFERROR(__xludf.DUMMYFUNCTION("""COMPUTED_VALUE"""),13.0)</f>
        <v>13</v>
      </c>
      <c r="C1336" s="4" t="str">
        <f>IFERROR(__xludf.DUMMYFUNCTION("""COMPUTED_VALUE"""),"CHA")</f>
        <v>CHA</v>
      </c>
      <c r="D1336" s="4" t="str">
        <f>IFERROR(__xludf.DUMMYFUNCTION("""COMPUTED_VALUE"""),"Sean May")</f>
        <v>Sean May</v>
      </c>
      <c r="E1336" s="4" t="str">
        <f>IFERROR(__xludf.DUMMYFUNCTION("""COMPUTED_VALUE"""),"UNC")</f>
        <v>UNC</v>
      </c>
      <c r="F1336" s="4">
        <f>IFERROR(__xludf.DUMMYFUNCTION("""COMPUTED_VALUE"""),4.0)</f>
        <v>4</v>
      </c>
      <c r="G1336" s="4">
        <f>IFERROR(__xludf.DUMMYFUNCTION("""COMPUTED_VALUE"""),119.0)</f>
        <v>119</v>
      </c>
      <c r="H1336" s="4">
        <f>IFERROR(__xludf.DUMMYFUNCTION("""COMPUTED_VALUE"""),1868.0)</f>
        <v>1868</v>
      </c>
      <c r="I1336" s="4">
        <f>IFERROR(__xludf.DUMMYFUNCTION("""COMPUTED_VALUE"""),821.0)</f>
        <v>821</v>
      </c>
      <c r="J1336" s="4">
        <f>IFERROR(__xludf.DUMMYFUNCTION("""COMPUTED_VALUE"""),481.0)</f>
        <v>481</v>
      </c>
      <c r="K1336" s="4">
        <f>IFERROR(__xludf.DUMMYFUNCTION("""COMPUTED_VALUE"""),115.0)</f>
        <v>115</v>
      </c>
      <c r="L1336" s="4">
        <f>IFERROR(__xludf.DUMMYFUNCTION("""COMPUTED_VALUE"""),0.458)</f>
        <v>0.458</v>
      </c>
      <c r="M1336" s="4">
        <f>IFERROR(__xludf.DUMMYFUNCTION("""COMPUTED_VALUE"""),0.231)</f>
        <v>0.231</v>
      </c>
      <c r="N1336" s="4">
        <f>IFERROR(__xludf.DUMMYFUNCTION("""COMPUTED_VALUE"""),0.746)</f>
        <v>0.746</v>
      </c>
      <c r="O1336" s="4">
        <f>IFERROR(__xludf.DUMMYFUNCTION("""COMPUTED_VALUE"""),15.7)</f>
        <v>15.7</v>
      </c>
      <c r="P1336" s="4">
        <f>IFERROR(__xludf.DUMMYFUNCTION("""COMPUTED_VALUE"""),6.9)</f>
        <v>6.9</v>
      </c>
      <c r="Q1336" s="4">
        <f>IFERROR(__xludf.DUMMYFUNCTION("""COMPUTED_VALUE"""),4.0)</f>
        <v>4</v>
      </c>
      <c r="R1336" s="4">
        <f>IFERROR(__xludf.DUMMYFUNCTION("""COMPUTED_VALUE"""),1.0)</f>
        <v>1</v>
      </c>
      <c r="S1336" s="4">
        <f>IFERROR(__xludf.DUMMYFUNCTION("""COMPUTED_VALUE"""),2.6)</f>
        <v>2.6</v>
      </c>
      <c r="T1336" s="4">
        <f>IFERROR(__xludf.DUMMYFUNCTION("""COMPUTED_VALUE"""),0.068)</f>
        <v>0.068</v>
      </c>
      <c r="U1336" s="4">
        <f>IFERROR(__xludf.DUMMYFUNCTION("""COMPUTED_VALUE"""),-1.7)</f>
        <v>-1.7</v>
      </c>
      <c r="V1336" s="4">
        <f>IFERROR(__xludf.DUMMYFUNCTION("""COMPUTED_VALUE"""),0.2)</f>
        <v>0.2</v>
      </c>
    </row>
    <row r="1337">
      <c r="A1337" s="4">
        <f>IFERROR(__xludf.DUMMYFUNCTION("""COMPUTED_VALUE"""),14.0)</f>
        <v>14</v>
      </c>
      <c r="B1337" s="4">
        <f>IFERROR(__xludf.DUMMYFUNCTION("""COMPUTED_VALUE"""),14.0)</f>
        <v>14</v>
      </c>
      <c r="C1337" s="4" t="str">
        <f>IFERROR(__xludf.DUMMYFUNCTION("""COMPUTED_VALUE"""),"MIN")</f>
        <v>MIN</v>
      </c>
      <c r="D1337" s="4" t="str">
        <f>IFERROR(__xludf.DUMMYFUNCTION("""COMPUTED_VALUE"""),"Rashad McCants")</f>
        <v>Rashad McCants</v>
      </c>
      <c r="E1337" s="4" t="str">
        <f>IFERROR(__xludf.DUMMYFUNCTION("""COMPUTED_VALUE"""),"UNC")</f>
        <v>UNC</v>
      </c>
      <c r="F1337" s="4">
        <f>IFERROR(__xludf.DUMMYFUNCTION("""COMPUTED_VALUE"""),4.0)</f>
        <v>4</v>
      </c>
      <c r="G1337" s="4">
        <f>IFERROR(__xludf.DUMMYFUNCTION("""COMPUTED_VALUE"""),249.0)</f>
        <v>249</v>
      </c>
      <c r="H1337" s="4">
        <f>IFERROR(__xludf.DUMMYFUNCTION("""COMPUTED_VALUE"""),5037.0)</f>
        <v>5037</v>
      </c>
      <c r="I1337" s="4">
        <f>IFERROR(__xludf.DUMMYFUNCTION("""COMPUTED_VALUE"""),2479.0)</f>
        <v>2479</v>
      </c>
      <c r="J1337" s="4">
        <f>IFERROR(__xludf.DUMMYFUNCTION("""COMPUTED_VALUE"""),506.0)</f>
        <v>506</v>
      </c>
      <c r="K1337" s="4">
        <f>IFERROR(__xludf.DUMMYFUNCTION("""COMPUTED_VALUE"""),331.0)</f>
        <v>331</v>
      </c>
      <c r="L1337" s="4">
        <f>IFERROR(__xludf.DUMMYFUNCTION("""COMPUTED_VALUE"""),0.431)</f>
        <v>0.431</v>
      </c>
      <c r="M1337" s="4">
        <f>IFERROR(__xludf.DUMMYFUNCTION("""COMPUTED_VALUE"""),0.368)</f>
        <v>0.368</v>
      </c>
      <c r="N1337" s="4">
        <f>IFERROR(__xludf.DUMMYFUNCTION("""COMPUTED_VALUE"""),0.741)</f>
        <v>0.741</v>
      </c>
      <c r="O1337" s="4">
        <f>IFERROR(__xludf.DUMMYFUNCTION("""COMPUTED_VALUE"""),20.2)</f>
        <v>20.2</v>
      </c>
      <c r="P1337" s="4">
        <f>IFERROR(__xludf.DUMMYFUNCTION("""COMPUTED_VALUE"""),10.0)</f>
        <v>10</v>
      </c>
      <c r="Q1337" s="4">
        <f>IFERROR(__xludf.DUMMYFUNCTION("""COMPUTED_VALUE"""),2.0)</f>
        <v>2</v>
      </c>
      <c r="R1337" s="4">
        <f>IFERROR(__xludf.DUMMYFUNCTION("""COMPUTED_VALUE"""),1.3)</f>
        <v>1.3</v>
      </c>
      <c r="S1337" s="4">
        <f>IFERROR(__xludf.DUMMYFUNCTION("""COMPUTED_VALUE"""),3.6)</f>
        <v>3.6</v>
      </c>
      <c r="T1337" s="4">
        <f>IFERROR(__xludf.DUMMYFUNCTION("""COMPUTED_VALUE"""),0.035)</f>
        <v>0.035</v>
      </c>
      <c r="U1337" s="4">
        <f>IFERROR(__xludf.DUMMYFUNCTION("""COMPUTED_VALUE"""),-1.7)</f>
        <v>-1.7</v>
      </c>
      <c r="V1337" s="4">
        <f>IFERROR(__xludf.DUMMYFUNCTION("""COMPUTED_VALUE"""),0.4)</f>
        <v>0.4</v>
      </c>
    </row>
    <row r="1338">
      <c r="A1338" s="4">
        <f>IFERROR(__xludf.DUMMYFUNCTION("""COMPUTED_VALUE"""),15.0)</f>
        <v>15</v>
      </c>
      <c r="B1338" s="4">
        <f>IFERROR(__xludf.DUMMYFUNCTION("""COMPUTED_VALUE"""),15.0)</f>
        <v>15</v>
      </c>
      <c r="C1338" s="4" t="str">
        <f>IFERROR(__xludf.DUMMYFUNCTION("""COMPUTED_VALUE"""),"NJN")</f>
        <v>NJN</v>
      </c>
      <c r="D1338" s="4" t="str">
        <f>IFERROR(__xludf.DUMMYFUNCTION("""COMPUTED_VALUE"""),"Antoine Wright")</f>
        <v>Antoine Wright</v>
      </c>
      <c r="E1338" s="4" t="str">
        <f>IFERROR(__xludf.DUMMYFUNCTION("""COMPUTED_VALUE"""),"Texas A&amp;M")</f>
        <v>Texas A&amp;M</v>
      </c>
      <c r="F1338" s="4">
        <f>IFERROR(__xludf.DUMMYFUNCTION("""COMPUTED_VALUE"""),6.0)</f>
        <v>6</v>
      </c>
      <c r="G1338" s="4">
        <f>IFERROR(__xludf.DUMMYFUNCTION("""COMPUTED_VALUE"""),297.0)</f>
        <v>297</v>
      </c>
      <c r="H1338" s="4">
        <f>IFERROR(__xludf.DUMMYFUNCTION("""COMPUTED_VALUE"""),5714.0)</f>
        <v>5714</v>
      </c>
      <c r="I1338" s="4">
        <f>IFERROR(__xludf.DUMMYFUNCTION("""COMPUTED_VALUE"""),1614.0)</f>
        <v>1614</v>
      </c>
      <c r="J1338" s="4">
        <f>IFERROR(__xludf.DUMMYFUNCTION("""COMPUTED_VALUE"""),681.0)</f>
        <v>681</v>
      </c>
      <c r="K1338" s="4">
        <f>IFERROR(__xludf.DUMMYFUNCTION("""COMPUTED_VALUE"""),295.0)</f>
        <v>295</v>
      </c>
      <c r="L1338" s="4">
        <f>IFERROR(__xludf.DUMMYFUNCTION("""COMPUTED_VALUE"""),0.412)</f>
        <v>0.412</v>
      </c>
      <c r="M1338" s="4">
        <f>IFERROR(__xludf.DUMMYFUNCTION("""COMPUTED_VALUE"""),0.304)</f>
        <v>0.304</v>
      </c>
      <c r="N1338" s="4">
        <f>IFERROR(__xludf.DUMMYFUNCTION("""COMPUTED_VALUE"""),0.674)</f>
        <v>0.674</v>
      </c>
      <c r="O1338" s="4">
        <f>IFERROR(__xludf.DUMMYFUNCTION("""COMPUTED_VALUE"""),19.2)</f>
        <v>19.2</v>
      </c>
      <c r="P1338" s="4">
        <f>IFERROR(__xludf.DUMMYFUNCTION("""COMPUTED_VALUE"""),5.4)</f>
        <v>5.4</v>
      </c>
      <c r="Q1338" s="4">
        <f>IFERROR(__xludf.DUMMYFUNCTION("""COMPUTED_VALUE"""),2.3)</f>
        <v>2.3</v>
      </c>
      <c r="R1338" s="4">
        <f>IFERROR(__xludf.DUMMYFUNCTION("""COMPUTED_VALUE"""),1.0)</f>
        <v>1</v>
      </c>
      <c r="S1338" s="4">
        <f>IFERROR(__xludf.DUMMYFUNCTION("""COMPUTED_VALUE"""),3.1)</f>
        <v>3.1</v>
      </c>
      <c r="T1338" s="4">
        <f>IFERROR(__xludf.DUMMYFUNCTION("""COMPUTED_VALUE"""),0.026)</f>
        <v>0.026</v>
      </c>
      <c r="U1338" s="4">
        <f>IFERROR(__xludf.DUMMYFUNCTION("""COMPUTED_VALUE"""),-3.7)</f>
        <v>-3.7</v>
      </c>
      <c r="V1338" s="4">
        <f>IFERROR(__xludf.DUMMYFUNCTION("""COMPUTED_VALUE"""),-2.4)</f>
        <v>-2.4</v>
      </c>
    </row>
    <row r="1339">
      <c r="A1339" s="4">
        <f>IFERROR(__xludf.DUMMYFUNCTION("""COMPUTED_VALUE"""),16.0)</f>
        <v>16</v>
      </c>
      <c r="B1339" s="4">
        <f>IFERROR(__xludf.DUMMYFUNCTION("""COMPUTED_VALUE"""),16.0)</f>
        <v>16</v>
      </c>
      <c r="C1339" s="4" t="str">
        <f>IFERROR(__xludf.DUMMYFUNCTION("""COMPUTED_VALUE"""),"TOR")</f>
        <v>TOR</v>
      </c>
      <c r="D1339" s="4" t="str">
        <f>IFERROR(__xludf.DUMMYFUNCTION("""COMPUTED_VALUE"""),"Joey Graham")</f>
        <v>Joey Graham</v>
      </c>
      <c r="E1339" s="4" t="str">
        <f>IFERROR(__xludf.DUMMYFUNCTION("""COMPUTED_VALUE"""),"Oklahoma State")</f>
        <v>Oklahoma State</v>
      </c>
      <c r="F1339" s="4">
        <f>IFERROR(__xludf.DUMMYFUNCTION("""COMPUTED_VALUE"""),6.0)</f>
        <v>6</v>
      </c>
      <c r="G1339" s="4">
        <f>IFERROR(__xludf.DUMMYFUNCTION("""COMPUTED_VALUE"""),377.0)</f>
        <v>377</v>
      </c>
      <c r="H1339" s="4">
        <f>IFERROR(__xludf.DUMMYFUNCTION("""COMPUTED_VALUE"""),6117.0)</f>
        <v>6117</v>
      </c>
      <c r="I1339" s="4">
        <f>IFERROR(__xludf.DUMMYFUNCTION("""COMPUTED_VALUE"""),2239.0)</f>
        <v>2239</v>
      </c>
      <c r="J1339" s="4">
        <f>IFERROR(__xludf.DUMMYFUNCTION("""COMPUTED_VALUE"""),1058.0)</f>
        <v>1058</v>
      </c>
      <c r="K1339" s="4">
        <f>IFERROR(__xludf.DUMMYFUNCTION("""COMPUTED_VALUE"""),207.0)</f>
        <v>207</v>
      </c>
      <c r="L1339" s="4">
        <f>IFERROR(__xludf.DUMMYFUNCTION("""COMPUTED_VALUE"""),0.483)</f>
        <v>0.483</v>
      </c>
      <c r="M1339" s="4">
        <f>IFERROR(__xludf.DUMMYFUNCTION("""COMPUTED_VALUE"""),0.3)</f>
        <v>0.3</v>
      </c>
      <c r="N1339" s="4">
        <f>IFERROR(__xludf.DUMMYFUNCTION("""COMPUTED_VALUE"""),0.815)</f>
        <v>0.815</v>
      </c>
      <c r="O1339" s="4">
        <f>IFERROR(__xludf.DUMMYFUNCTION("""COMPUTED_VALUE"""),16.2)</f>
        <v>16.2</v>
      </c>
      <c r="P1339" s="4">
        <f>IFERROR(__xludf.DUMMYFUNCTION("""COMPUTED_VALUE"""),5.9)</f>
        <v>5.9</v>
      </c>
      <c r="Q1339" s="4">
        <f>IFERROR(__xludf.DUMMYFUNCTION("""COMPUTED_VALUE"""),2.8)</f>
        <v>2.8</v>
      </c>
      <c r="R1339" s="4">
        <f>IFERROR(__xludf.DUMMYFUNCTION("""COMPUTED_VALUE"""),0.5)</f>
        <v>0.5</v>
      </c>
      <c r="S1339" s="4">
        <f>IFERROR(__xludf.DUMMYFUNCTION("""COMPUTED_VALUE"""),7.8)</f>
        <v>7.8</v>
      </c>
      <c r="T1339" s="4">
        <f>IFERROR(__xludf.DUMMYFUNCTION("""COMPUTED_VALUE"""),0.061)</f>
        <v>0.061</v>
      </c>
      <c r="U1339" s="4">
        <f>IFERROR(__xludf.DUMMYFUNCTION("""COMPUTED_VALUE"""),-3.6)</f>
        <v>-3.6</v>
      </c>
      <c r="V1339" s="4">
        <f>IFERROR(__xludf.DUMMYFUNCTION("""COMPUTED_VALUE"""),-2.4)</f>
        <v>-2.4</v>
      </c>
    </row>
    <row r="1340">
      <c r="A1340" s="4">
        <f>IFERROR(__xludf.DUMMYFUNCTION("""COMPUTED_VALUE"""),17.0)</f>
        <v>17</v>
      </c>
      <c r="B1340" s="4">
        <f>IFERROR(__xludf.DUMMYFUNCTION("""COMPUTED_VALUE"""),17.0)</f>
        <v>17</v>
      </c>
      <c r="C1340" s="4" t="str">
        <f>IFERROR(__xludf.DUMMYFUNCTION("""COMPUTED_VALUE"""),"IND")</f>
        <v>IND</v>
      </c>
      <c r="D1340" s="4" t="str">
        <f>IFERROR(__xludf.DUMMYFUNCTION("""COMPUTED_VALUE"""),"Danny Granger")</f>
        <v>Danny Granger</v>
      </c>
      <c r="E1340" s="4" t="str">
        <f>IFERROR(__xludf.DUMMYFUNCTION("""COMPUTED_VALUE"""),"New Mexico")</f>
        <v>New Mexico</v>
      </c>
      <c r="F1340" s="4">
        <f>IFERROR(__xludf.DUMMYFUNCTION("""COMPUTED_VALUE"""),10.0)</f>
        <v>10</v>
      </c>
      <c r="G1340" s="4">
        <f>IFERROR(__xludf.DUMMYFUNCTION("""COMPUTED_VALUE"""),586.0)</f>
        <v>586</v>
      </c>
      <c r="H1340" s="4">
        <f>IFERROR(__xludf.DUMMYFUNCTION("""COMPUTED_VALUE"""),18487.0)</f>
        <v>18487</v>
      </c>
      <c r="I1340" s="4">
        <f>IFERROR(__xludf.DUMMYFUNCTION("""COMPUTED_VALUE"""),9855.0)</f>
        <v>9855</v>
      </c>
      <c r="J1340" s="4">
        <f>IFERROR(__xludf.DUMMYFUNCTION("""COMPUTED_VALUE"""),2888.0)</f>
        <v>2888</v>
      </c>
      <c r="K1340" s="4">
        <f>IFERROR(__xludf.DUMMYFUNCTION("""COMPUTED_VALUE"""),1097.0)</f>
        <v>1097</v>
      </c>
      <c r="L1340" s="4">
        <f>IFERROR(__xludf.DUMMYFUNCTION("""COMPUTED_VALUE"""),0.434)</f>
        <v>0.434</v>
      </c>
      <c r="M1340" s="4">
        <f>IFERROR(__xludf.DUMMYFUNCTION("""COMPUTED_VALUE"""),0.38)</f>
        <v>0.38</v>
      </c>
      <c r="N1340" s="4">
        <f>IFERROR(__xludf.DUMMYFUNCTION("""COMPUTED_VALUE"""),0.848)</f>
        <v>0.848</v>
      </c>
      <c r="O1340" s="4">
        <f>IFERROR(__xludf.DUMMYFUNCTION("""COMPUTED_VALUE"""),31.5)</f>
        <v>31.5</v>
      </c>
      <c r="P1340" s="4">
        <f>IFERROR(__xludf.DUMMYFUNCTION("""COMPUTED_VALUE"""),16.8)</f>
        <v>16.8</v>
      </c>
      <c r="Q1340" s="4">
        <f>IFERROR(__xludf.DUMMYFUNCTION("""COMPUTED_VALUE"""),4.9)</f>
        <v>4.9</v>
      </c>
      <c r="R1340" s="4">
        <f>IFERROR(__xludf.DUMMYFUNCTION("""COMPUTED_VALUE"""),1.9)</f>
        <v>1.9</v>
      </c>
      <c r="S1340" s="4">
        <f>IFERROR(__xludf.DUMMYFUNCTION("""COMPUTED_VALUE"""),48.5)</f>
        <v>48.5</v>
      </c>
      <c r="T1340" s="4">
        <f>IFERROR(__xludf.DUMMYFUNCTION("""COMPUTED_VALUE"""),0.126)</f>
        <v>0.126</v>
      </c>
      <c r="U1340" s="4">
        <f>IFERROR(__xludf.DUMMYFUNCTION("""COMPUTED_VALUE"""),1.8)</f>
        <v>1.8</v>
      </c>
      <c r="V1340" s="4">
        <f>IFERROR(__xludf.DUMMYFUNCTION("""COMPUTED_VALUE"""),17.7)</f>
        <v>17.7</v>
      </c>
    </row>
    <row r="1341">
      <c r="A1341" s="4">
        <f>IFERROR(__xludf.DUMMYFUNCTION("""COMPUTED_VALUE"""),18.0)</f>
        <v>18</v>
      </c>
      <c r="B1341" s="4">
        <f>IFERROR(__xludf.DUMMYFUNCTION("""COMPUTED_VALUE"""),18.0)</f>
        <v>18</v>
      </c>
      <c r="C1341" s="4" t="str">
        <f>IFERROR(__xludf.DUMMYFUNCTION("""COMPUTED_VALUE"""),"BOS")</f>
        <v>BOS</v>
      </c>
      <c r="D1341" s="4" t="str">
        <f>IFERROR(__xludf.DUMMYFUNCTION("""COMPUTED_VALUE"""),"Gerald Green")</f>
        <v>Gerald Green</v>
      </c>
      <c r="E1341" s="4"/>
      <c r="F1341" s="4">
        <f>IFERROR(__xludf.DUMMYFUNCTION("""COMPUTED_VALUE"""),12.0)</f>
        <v>12</v>
      </c>
      <c r="G1341" s="4">
        <f>IFERROR(__xludf.DUMMYFUNCTION("""COMPUTED_VALUE"""),658.0)</f>
        <v>658</v>
      </c>
      <c r="H1341" s="4">
        <f>IFERROR(__xludf.DUMMYFUNCTION("""COMPUTED_VALUE"""),13026.0)</f>
        <v>13026</v>
      </c>
      <c r="I1341" s="4">
        <f>IFERROR(__xludf.DUMMYFUNCTION("""COMPUTED_VALUE"""),6412.0)</f>
        <v>6412</v>
      </c>
      <c r="J1341" s="4">
        <f>IFERROR(__xludf.DUMMYFUNCTION("""COMPUTED_VALUE"""),1639.0)</f>
        <v>1639</v>
      </c>
      <c r="K1341" s="4">
        <f>IFERROR(__xludf.DUMMYFUNCTION("""COMPUTED_VALUE"""),596.0)</f>
        <v>596</v>
      </c>
      <c r="L1341" s="4">
        <f>IFERROR(__xludf.DUMMYFUNCTION("""COMPUTED_VALUE"""),0.417)</f>
        <v>0.417</v>
      </c>
      <c r="M1341" s="4">
        <f>IFERROR(__xludf.DUMMYFUNCTION("""COMPUTED_VALUE"""),0.361)</f>
        <v>0.361</v>
      </c>
      <c r="N1341" s="4">
        <f>IFERROR(__xludf.DUMMYFUNCTION("""COMPUTED_VALUE"""),0.818)</f>
        <v>0.818</v>
      </c>
      <c r="O1341" s="4">
        <f>IFERROR(__xludf.DUMMYFUNCTION("""COMPUTED_VALUE"""),19.8)</f>
        <v>19.8</v>
      </c>
      <c r="P1341" s="4">
        <f>IFERROR(__xludf.DUMMYFUNCTION("""COMPUTED_VALUE"""),9.7)</f>
        <v>9.7</v>
      </c>
      <c r="Q1341" s="4">
        <f>IFERROR(__xludf.DUMMYFUNCTION("""COMPUTED_VALUE"""),2.5)</f>
        <v>2.5</v>
      </c>
      <c r="R1341" s="4">
        <f>IFERROR(__xludf.DUMMYFUNCTION("""COMPUTED_VALUE"""),0.9)</f>
        <v>0.9</v>
      </c>
      <c r="S1341" s="4">
        <f>IFERROR(__xludf.DUMMYFUNCTION("""COMPUTED_VALUE"""),18.4)</f>
        <v>18.4</v>
      </c>
      <c r="T1341" s="4">
        <f>IFERROR(__xludf.DUMMYFUNCTION("""COMPUTED_VALUE"""),0.068)</f>
        <v>0.068</v>
      </c>
      <c r="U1341" s="4">
        <f>IFERROR(__xludf.DUMMYFUNCTION("""COMPUTED_VALUE"""),-1.3)</f>
        <v>-1.3</v>
      </c>
      <c r="V1341" s="4">
        <f>IFERROR(__xludf.DUMMYFUNCTION("""COMPUTED_VALUE"""),2.4)</f>
        <v>2.4</v>
      </c>
    </row>
    <row r="1342">
      <c r="A1342" s="4">
        <f>IFERROR(__xludf.DUMMYFUNCTION("""COMPUTED_VALUE"""),19.0)</f>
        <v>19</v>
      </c>
      <c r="B1342" s="4">
        <f>IFERROR(__xludf.DUMMYFUNCTION("""COMPUTED_VALUE"""),19.0)</f>
        <v>19</v>
      </c>
      <c r="C1342" s="4" t="str">
        <f>IFERROR(__xludf.DUMMYFUNCTION("""COMPUTED_VALUE"""),"MEM")</f>
        <v>MEM</v>
      </c>
      <c r="D1342" s="4" t="str">
        <f>IFERROR(__xludf.DUMMYFUNCTION("""COMPUTED_VALUE"""),"Hakim Warrick")</f>
        <v>Hakim Warrick</v>
      </c>
      <c r="E1342" s="4" t="str">
        <f>IFERROR(__xludf.DUMMYFUNCTION("""COMPUTED_VALUE"""),"Syracuse")</f>
        <v>Syracuse</v>
      </c>
      <c r="F1342" s="4">
        <f>IFERROR(__xludf.DUMMYFUNCTION("""COMPUTED_VALUE"""),8.0)</f>
        <v>8</v>
      </c>
      <c r="G1342" s="4">
        <f>IFERROR(__xludf.DUMMYFUNCTION("""COMPUTED_VALUE"""),526.0)</f>
        <v>526</v>
      </c>
      <c r="H1342" s="4">
        <f>IFERROR(__xludf.DUMMYFUNCTION("""COMPUTED_VALUE"""),10624.0)</f>
        <v>10624</v>
      </c>
      <c r="I1342" s="4">
        <f>IFERROR(__xludf.DUMMYFUNCTION("""COMPUTED_VALUE"""),4947.0)</f>
        <v>4947</v>
      </c>
      <c r="J1342" s="4">
        <f>IFERROR(__xludf.DUMMYFUNCTION("""COMPUTED_VALUE"""),2117.0)</f>
        <v>2117</v>
      </c>
      <c r="K1342" s="4">
        <f>IFERROR(__xludf.DUMMYFUNCTION("""COMPUTED_VALUE"""),400.0)</f>
        <v>400</v>
      </c>
      <c r="L1342" s="4">
        <f>IFERROR(__xludf.DUMMYFUNCTION("""COMPUTED_VALUE"""),0.49)</f>
        <v>0.49</v>
      </c>
      <c r="M1342" s="4">
        <f>IFERROR(__xludf.DUMMYFUNCTION("""COMPUTED_VALUE"""),0.191)</f>
        <v>0.191</v>
      </c>
      <c r="N1342" s="4">
        <f>IFERROR(__xludf.DUMMYFUNCTION("""COMPUTED_VALUE"""),0.726)</f>
        <v>0.726</v>
      </c>
      <c r="O1342" s="4">
        <f>IFERROR(__xludf.DUMMYFUNCTION("""COMPUTED_VALUE"""),20.2)</f>
        <v>20.2</v>
      </c>
      <c r="P1342" s="4">
        <f>IFERROR(__xludf.DUMMYFUNCTION("""COMPUTED_VALUE"""),9.4)</f>
        <v>9.4</v>
      </c>
      <c r="Q1342" s="4">
        <f>IFERROR(__xludf.DUMMYFUNCTION("""COMPUTED_VALUE"""),4.0)</f>
        <v>4</v>
      </c>
      <c r="R1342" s="4">
        <f>IFERROR(__xludf.DUMMYFUNCTION("""COMPUTED_VALUE"""),0.8)</f>
        <v>0.8</v>
      </c>
      <c r="S1342" s="4">
        <f>IFERROR(__xludf.DUMMYFUNCTION("""COMPUTED_VALUE"""),20.4)</f>
        <v>20.4</v>
      </c>
      <c r="T1342" s="4">
        <f>IFERROR(__xludf.DUMMYFUNCTION("""COMPUTED_VALUE"""),0.092)</f>
        <v>0.092</v>
      </c>
      <c r="U1342" s="4">
        <f>IFERROR(__xludf.DUMMYFUNCTION("""COMPUTED_VALUE"""),-1.9)</f>
        <v>-1.9</v>
      </c>
      <c r="V1342" s="4">
        <f>IFERROR(__xludf.DUMMYFUNCTION("""COMPUTED_VALUE"""),0.4)</f>
        <v>0.4</v>
      </c>
    </row>
    <row r="1343">
      <c r="A1343" s="4">
        <f>IFERROR(__xludf.DUMMYFUNCTION("""COMPUTED_VALUE"""),20.0)</f>
        <v>20</v>
      </c>
      <c r="B1343" s="4">
        <f>IFERROR(__xludf.DUMMYFUNCTION("""COMPUTED_VALUE"""),20.0)</f>
        <v>20</v>
      </c>
      <c r="C1343" s="4" t="str">
        <f>IFERROR(__xludf.DUMMYFUNCTION("""COMPUTED_VALUE"""),"DEN")</f>
        <v>DEN</v>
      </c>
      <c r="D1343" s="4" t="str">
        <f>IFERROR(__xludf.DUMMYFUNCTION("""COMPUTED_VALUE"""),"Julius Hodge")</f>
        <v>Julius Hodge</v>
      </c>
      <c r="E1343" s="4" t="str">
        <f>IFERROR(__xludf.DUMMYFUNCTION("""COMPUTED_VALUE"""),"NC State")</f>
        <v>NC State</v>
      </c>
      <c r="F1343" s="4">
        <f>IFERROR(__xludf.DUMMYFUNCTION("""COMPUTED_VALUE"""),2.0)</f>
        <v>2</v>
      </c>
      <c r="G1343" s="4">
        <f>IFERROR(__xludf.DUMMYFUNCTION("""COMPUTED_VALUE"""),23.0)</f>
        <v>23</v>
      </c>
      <c r="H1343" s="4">
        <f>IFERROR(__xludf.DUMMYFUNCTION("""COMPUTED_VALUE"""),98.0)</f>
        <v>98</v>
      </c>
      <c r="I1343" s="4">
        <f>IFERROR(__xludf.DUMMYFUNCTION("""COMPUTED_VALUE"""),28.0)</f>
        <v>28</v>
      </c>
      <c r="J1343" s="4">
        <f>IFERROR(__xludf.DUMMYFUNCTION("""COMPUTED_VALUE"""),15.0)</f>
        <v>15</v>
      </c>
      <c r="K1343" s="4">
        <f>IFERROR(__xludf.DUMMYFUNCTION("""COMPUTED_VALUE"""),18.0)</f>
        <v>18</v>
      </c>
      <c r="L1343" s="4">
        <f>IFERROR(__xludf.DUMMYFUNCTION("""COMPUTED_VALUE"""),0.44)</f>
        <v>0.44</v>
      </c>
      <c r="M1343" s="4"/>
      <c r="N1343" s="4">
        <f>IFERROR(__xludf.DUMMYFUNCTION("""COMPUTED_VALUE"""),0.5)</f>
        <v>0.5</v>
      </c>
      <c r="O1343" s="4">
        <f>IFERROR(__xludf.DUMMYFUNCTION("""COMPUTED_VALUE"""),4.3)</f>
        <v>4.3</v>
      </c>
      <c r="P1343" s="4">
        <f>IFERROR(__xludf.DUMMYFUNCTION("""COMPUTED_VALUE"""),1.2)</f>
        <v>1.2</v>
      </c>
      <c r="Q1343" s="4">
        <f>IFERROR(__xludf.DUMMYFUNCTION("""COMPUTED_VALUE"""),0.7)</f>
        <v>0.7</v>
      </c>
      <c r="R1343" s="4">
        <f>IFERROR(__xludf.DUMMYFUNCTION("""COMPUTED_VALUE"""),0.8)</f>
        <v>0.8</v>
      </c>
      <c r="S1343" s="4">
        <f>IFERROR(__xludf.DUMMYFUNCTION("""COMPUTED_VALUE"""),0.0)</f>
        <v>0</v>
      </c>
      <c r="T1343" s="4">
        <f>IFERROR(__xludf.DUMMYFUNCTION("""COMPUTED_VALUE"""),0.003)</f>
        <v>0.003</v>
      </c>
      <c r="U1343" s="4">
        <f>IFERROR(__xludf.DUMMYFUNCTION("""COMPUTED_VALUE"""),-3.7)</f>
        <v>-3.7</v>
      </c>
      <c r="V1343" s="4">
        <f>IFERROR(__xludf.DUMMYFUNCTION("""COMPUTED_VALUE"""),0.0)</f>
        <v>0</v>
      </c>
    </row>
    <row r="1344">
      <c r="A1344" s="4">
        <f>IFERROR(__xludf.DUMMYFUNCTION("""COMPUTED_VALUE"""),21.0)</f>
        <v>21</v>
      </c>
      <c r="B1344" s="4">
        <f>IFERROR(__xludf.DUMMYFUNCTION("""COMPUTED_VALUE"""),21.0)</f>
        <v>21</v>
      </c>
      <c r="C1344" s="4" t="str">
        <f>IFERROR(__xludf.DUMMYFUNCTION("""COMPUTED_VALUE"""),"PHO")</f>
        <v>PHO</v>
      </c>
      <c r="D1344" s="4" t="str">
        <f>IFERROR(__xludf.DUMMYFUNCTION("""COMPUTED_VALUE"""),"Nate Robinson")</f>
        <v>Nate Robinson</v>
      </c>
      <c r="E1344" s="4" t="str">
        <f>IFERROR(__xludf.DUMMYFUNCTION("""COMPUTED_VALUE"""),"Washington")</f>
        <v>Washington</v>
      </c>
      <c r="F1344" s="4">
        <f>IFERROR(__xludf.DUMMYFUNCTION("""COMPUTED_VALUE"""),11.0)</f>
        <v>11</v>
      </c>
      <c r="G1344" s="4">
        <f>IFERROR(__xludf.DUMMYFUNCTION("""COMPUTED_VALUE"""),618.0)</f>
        <v>618</v>
      </c>
      <c r="H1344" s="4">
        <f>IFERROR(__xludf.DUMMYFUNCTION("""COMPUTED_VALUE"""),13878.0)</f>
        <v>13878</v>
      </c>
      <c r="I1344" s="4">
        <f>IFERROR(__xludf.DUMMYFUNCTION("""COMPUTED_VALUE"""),6807.0)</f>
        <v>6807</v>
      </c>
      <c r="J1344" s="4">
        <f>IFERROR(__xludf.DUMMYFUNCTION("""COMPUTED_VALUE"""),1446.0)</f>
        <v>1446</v>
      </c>
      <c r="K1344" s="4">
        <f>IFERROR(__xludf.DUMMYFUNCTION("""COMPUTED_VALUE"""),1826.0)</f>
        <v>1826</v>
      </c>
      <c r="L1344" s="4">
        <f>IFERROR(__xludf.DUMMYFUNCTION("""COMPUTED_VALUE"""),0.423)</f>
        <v>0.423</v>
      </c>
      <c r="M1344" s="4">
        <f>IFERROR(__xludf.DUMMYFUNCTION("""COMPUTED_VALUE"""),0.36)</f>
        <v>0.36</v>
      </c>
      <c r="N1344" s="4">
        <f>IFERROR(__xludf.DUMMYFUNCTION("""COMPUTED_VALUE"""),0.796)</f>
        <v>0.796</v>
      </c>
      <c r="O1344" s="4">
        <f>IFERROR(__xludf.DUMMYFUNCTION("""COMPUTED_VALUE"""),22.5)</f>
        <v>22.5</v>
      </c>
      <c r="P1344" s="4">
        <f>IFERROR(__xludf.DUMMYFUNCTION("""COMPUTED_VALUE"""),11.0)</f>
        <v>11</v>
      </c>
      <c r="Q1344" s="4">
        <f>IFERROR(__xludf.DUMMYFUNCTION("""COMPUTED_VALUE"""),2.3)</f>
        <v>2.3</v>
      </c>
      <c r="R1344" s="4">
        <f>IFERROR(__xludf.DUMMYFUNCTION("""COMPUTED_VALUE"""),3.0)</f>
        <v>3</v>
      </c>
      <c r="S1344" s="4">
        <f>IFERROR(__xludf.DUMMYFUNCTION("""COMPUTED_VALUE"""),27.8)</f>
        <v>27.8</v>
      </c>
      <c r="T1344" s="4">
        <f>IFERROR(__xludf.DUMMYFUNCTION("""COMPUTED_VALUE"""),0.096)</f>
        <v>0.096</v>
      </c>
      <c r="U1344" s="4">
        <f>IFERROR(__xludf.DUMMYFUNCTION("""COMPUTED_VALUE"""),0.5)</f>
        <v>0.5</v>
      </c>
      <c r="V1344" s="4">
        <f>IFERROR(__xludf.DUMMYFUNCTION("""COMPUTED_VALUE"""),8.6)</f>
        <v>8.6</v>
      </c>
    </row>
    <row r="1345">
      <c r="A1345" s="4">
        <f>IFERROR(__xludf.DUMMYFUNCTION("""COMPUTED_VALUE"""),22.0)</f>
        <v>22</v>
      </c>
      <c r="B1345" s="4">
        <f>IFERROR(__xludf.DUMMYFUNCTION("""COMPUTED_VALUE"""),22.0)</f>
        <v>22</v>
      </c>
      <c r="C1345" s="4" t="str">
        <f>IFERROR(__xludf.DUMMYFUNCTION("""COMPUTED_VALUE"""),"DEN")</f>
        <v>DEN</v>
      </c>
      <c r="D1345" s="4" t="str">
        <f>IFERROR(__xludf.DUMMYFUNCTION("""COMPUTED_VALUE"""),"Jarrett Jack")</f>
        <v>Jarrett Jack</v>
      </c>
      <c r="E1345" s="4" t="str">
        <f>IFERROR(__xludf.DUMMYFUNCTION("""COMPUTED_VALUE"""),"Georgia Tech")</f>
        <v>Georgia Tech</v>
      </c>
      <c r="F1345" s="4">
        <f>IFERROR(__xludf.DUMMYFUNCTION("""COMPUTED_VALUE"""),13.0)</f>
        <v>13</v>
      </c>
      <c r="G1345" s="4">
        <f>IFERROR(__xludf.DUMMYFUNCTION("""COMPUTED_VALUE"""),867.0)</f>
        <v>867</v>
      </c>
      <c r="H1345" s="4">
        <f>IFERROR(__xludf.DUMMYFUNCTION("""COMPUTED_VALUE"""),24140.0)</f>
        <v>24140</v>
      </c>
      <c r="I1345" s="4">
        <f>IFERROR(__xludf.DUMMYFUNCTION("""COMPUTED_VALUE"""),9349.0)</f>
        <v>9349</v>
      </c>
      <c r="J1345" s="4">
        <f>IFERROR(__xludf.DUMMYFUNCTION("""COMPUTED_VALUE"""),2487.0)</f>
        <v>2487</v>
      </c>
      <c r="K1345" s="4">
        <f>IFERROR(__xludf.DUMMYFUNCTION("""COMPUTED_VALUE"""),3952.0)</f>
        <v>3952</v>
      </c>
      <c r="L1345" s="4">
        <f>IFERROR(__xludf.DUMMYFUNCTION("""COMPUTED_VALUE"""),0.44)</f>
        <v>0.44</v>
      </c>
      <c r="M1345" s="4">
        <f>IFERROR(__xludf.DUMMYFUNCTION("""COMPUTED_VALUE"""),0.343)</f>
        <v>0.343</v>
      </c>
      <c r="N1345" s="4">
        <f>IFERROR(__xludf.DUMMYFUNCTION("""COMPUTED_VALUE"""),0.855)</f>
        <v>0.855</v>
      </c>
      <c r="O1345" s="4">
        <f>IFERROR(__xludf.DUMMYFUNCTION("""COMPUTED_VALUE"""),27.8)</f>
        <v>27.8</v>
      </c>
      <c r="P1345" s="4">
        <f>IFERROR(__xludf.DUMMYFUNCTION("""COMPUTED_VALUE"""),10.8)</f>
        <v>10.8</v>
      </c>
      <c r="Q1345" s="4">
        <f>IFERROR(__xludf.DUMMYFUNCTION("""COMPUTED_VALUE"""),2.9)</f>
        <v>2.9</v>
      </c>
      <c r="R1345" s="4">
        <f>IFERROR(__xludf.DUMMYFUNCTION("""COMPUTED_VALUE"""),4.6)</f>
        <v>4.6</v>
      </c>
      <c r="S1345" s="4">
        <f>IFERROR(__xludf.DUMMYFUNCTION("""COMPUTED_VALUE"""),36.8)</f>
        <v>36.8</v>
      </c>
      <c r="T1345" s="4">
        <f>IFERROR(__xludf.DUMMYFUNCTION("""COMPUTED_VALUE"""),0.073)</f>
        <v>0.073</v>
      </c>
      <c r="U1345" s="4">
        <f>IFERROR(__xludf.DUMMYFUNCTION("""COMPUTED_VALUE"""),-0.9)</f>
        <v>-0.9</v>
      </c>
      <c r="V1345" s="4">
        <f>IFERROR(__xludf.DUMMYFUNCTION("""COMPUTED_VALUE"""),6.5)</f>
        <v>6.5</v>
      </c>
    </row>
    <row r="1346">
      <c r="A1346" s="4">
        <f>IFERROR(__xludf.DUMMYFUNCTION("""COMPUTED_VALUE"""),23.0)</f>
        <v>23</v>
      </c>
      <c r="B1346" s="4">
        <f>IFERROR(__xludf.DUMMYFUNCTION("""COMPUTED_VALUE"""),23.0)</f>
        <v>23</v>
      </c>
      <c r="C1346" s="4" t="str">
        <f>IFERROR(__xludf.DUMMYFUNCTION("""COMPUTED_VALUE"""),"SAC")</f>
        <v>SAC</v>
      </c>
      <c r="D1346" s="4" t="str">
        <f>IFERROR(__xludf.DUMMYFUNCTION("""COMPUTED_VALUE"""),"Francisco García")</f>
        <v>Francisco García</v>
      </c>
      <c r="E1346" s="4" t="str">
        <f>IFERROR(__xludf.DUMMYFUNCTION("""COMPUTED_VALUE"""),"Louisville")</f>
        <v>Louisville</v>
      </c>
      <c r="F1346" s="4">
        <f>IFERROR(__xludf.DUMMYFUNCTION("""COMPUTED_VALUE"""),10.0)</f>
        <v>10</v>
      </c>
      <c r="G1346" s="4">
        <f>IFERROR(__xludf.DUMMYFUNCTION("""COMPUTED_VALUE"""),549.0)</f>
        <v>549</v>
      </c>
      <c r="H1346" s="4">
        <f>IFERROR(__xludf.DUMMYFUNCTION("""COMPUTED_VALUE"""),11853.0)</f>
        <v>11853</v>
      </c>
      <c r="I1346" s="4">
        <f>IFERROR(__xludf.DUMMYFUNCTION("""COMPUTED_VALUE"""),4323.0)</f>
        <v>4323</v>
      </c>
      <c r="J1346" s="4">
        <f>IFERROR(__xludf.DUMMYFUNCTION("""COMPUTED_VALUE"""),1400.0)</f>
        <v>1400</v>
      </c>
      <c r="K1346" s="4">
        <f>IFERROR(__xludf.DUMMYFUNCTION("""COMPUTED_VALUE"""),747.0)</f>
        <v>747</v>
      </c>
      <c r="L1346" s="4">
        <f>IFERROR(__xludf.DUMMYFUNCTION("""COMPUTED_VALUE"""),0.427)</f>
        <v>0.427</v>
      </c>
      <c r="M1346" s="4">
        <f>IFERROR(__xludf.DUMMYFUNCTION("""COMPUTED_VALUE"""),0.357)</f>
        <v>0.357</v>
      </c>
      <c r="N1346" s="4">
        <f>IFERROR(__xludf.DUMMYFUNCTION("""COMPUTED_VALUE"""),0.799)</f>
        <v>0.799</v>
      </c>
      <c r="O1346" s="4">
        <f>IFERROR(__xludf.DUMMYFUNCTION("""COMPUTED_VALUE"""),21.6)</f>
        <v>21.6</v>
      </c>
      <c r="P1346" s="4">
        <f>IFERROR(__xludf.DUMMYFUNCTION("""COMPUTED_VALUE"""),7.9)</f>
        <v>7.9</v>
      </c>
      <c r="Q1346" s="4">
        <f>IFERROR(__xludf.DUMMYFUNCTION("""COMPUTED_VALUE"""),2.6)</f>
        <v>2.6</v>
      </c>
      <c r="R1346" s="4">
        <f>IFERROR(__xludf.DUMMYFUNCTION("""COMPUTED_VALUE"""),1.4)</f>
        <v>1.4</v>
      </c>
      <c r="S1346" s="4">
        <f>IFERROR(__xludf.DUMMYFUNCTION("""COMPUTED_VALUE"""),18.2)</f>
        <v>18.2</v>
      </c>
      <c r="T1346" s="4">
        <f>IFERROR(__xludf.DUMMYFUNCTION("""COMPUTED_VALUE"""),0.074)</f>
        <v>0.074</v>
      </c>
      <c r="U1346" s="4">
        <f>IFERROR(__xludf.DUMMYFUNCTION("""COMPUTED_VALUE"""),-0.1)</f>
        <v>-0.1</v>
      </c>
      <c r="V1346" s="4">
        <f>IFERROR(__xludf.DUMMYFUNCTION("""COMPUTED_VALUE"""),5.7)</f>
        <v>5.7</v>
      </c>
    </row>
    <row r="1347">
      <c r="A1347" s="4">
        <f>IFERROR(__xludf.DUMMYFUNCTION("""COMPUTED_VALUE"""),24.0)</f>
        <v>24</v>
      </c>
      <c r="B1347" s="4">
        <f>IFERROR(__xludf.DUMMYFUNCTION("""COMPUTED_VALUE"""),24.0)</f>
        <v>24</v>
      </c>
      <c r="C1347" s="4" t="str">
        <f>IFERROR(__xludf.DUMMYFUNCTION("""COMPUTED_VALUE"""),"HOU")</f>
        <v>HOU</v>
      </c>
      <c r="D1347" s="4" t="str">
        <f>IFERROR(__xludf.DUMMYFUNCTION("""COMPUTED_VALUE"""),"Luther Head")</f>
        <v>Luther Head</v>
      </c>
      <c r="E1347" s="4" t="str">
        <f>IFERROR(__xludf.DUMMYFUNCTION("""COMPUTED_VALUE"""),"Illinois")</f>
        <v>Illinois</v>
      </c>
      <c r="F1347" s="4">
        <f>IFERROR(__xludf.DUMMYFUNCTION("""COMPUTED_VALUE"""),6.0)</f>
        <v>6</v>
      </c>
      <c r="G1347" s="4">
        <f>IFERROR(__xludf.DUMMYFUNCTION("""COMPUTED_VALUE"""),348.0)</f>
        <v>348</v>
      </c>
      <c r="H1347" s="4">
        <f>IFERROR(__xludf.DUMMYFUNCTION("""COMPUTED_VALUE"""),7797.0)</f>
        <v>7797</v>
      </c>
      <c r="I1347" s="4">
        <f>IFERROR(__xludf.DUMMYFUNCTION("""COMPUTED_VALUE"""),2842.0)</f>
        <v>2842</v>
      </c>
      <c r="J1347" s="4">
        <f>IFERROR(__xludf.DUMMYFUNCTION("""COMPUTED_VALUE"""),845.0)</f>
        <v>845</v>
      </c>
      <c r="K1347" s="4">
        <f>IFERROR(__xludf.DUMMYFUNCTION("""COMPUTED_VALUE"""),747.0)</f>
        <v>747</v>
      </c>
      <c r="L1347" s="4">
        <f>IFERROR(__xludf.DUMMYFUNCTION("""COMPUTED_VALUE"""),0.423)</f>
        <v>0.423</v>
      </c>
      <c r="M1347" s="4">
        <f>IFERROR(__xludf.DUMMYFUNCTION("""COMPUTED_VALUE"""),0.388)</f>
        <v>0.388</v>
      </c>
      <c r="N1347" s="4">
        <f>IFERROR(__xludf.DUMMYFUNCTION("""COMPUTED_VALUE"""),0.773)</f>
        <v>0.773</v>
      </c>
      <c r="O1347" s="4">
        <f>IFERROR(__xludf.DUMMYFUNCTION("""COMPUTED_VALUE"""),22.4)</f>
        <v>22.4</v>
      </c>
      <c r="P1347" s="4">
        <f>IFERROR(__xludf.DUMMYFUNCTION("""COMPUTED_VALUE"""),8.2)</f>
        <v>8.2</v>
      </c>
      <c r="Q1347" s="4">
        <f>IFERROR(__xludf.DUMMYFUNCTION("""COMPUTED_VALUE"""),2.4)</f>
        <v>2.4</v>
      </c>
      <c r="R1347" s="4">
        <f>IFERROR(__xludf.DUMMYFUNCTION("""COMPUTED_VALUE"""),2.1)</f>
        <v>2.1</v>
      </c>
      <c r="S1347" s="4">
        <f>IFERROR(__xludf.DUMMYFUNCTION("""COMPUTED_VALUE"""),14.7)</f>
        <v>14.7</v>
      </c>
      <c r="T1347" s="4">
        <f>IFERROR(__xludf.DUMMYFUNCTION("""COMPUTED_VALUE"""),0.09)</f>
        <v>0.09</v>
      </c>
      <c r="U1347" s="4">
        <f>IFERROR(__xludf.DUMMYFUNCTION("""COMPUTED_VALUE"""),0.1)</f>
        <v>0.1</v>
      </c>
      <c r="V1347" s="4">
        <f>IFERROR(__xludf.DUMMYFUNCTION("""COMPUTED_VALUE"""),4.2)</f>
        <v>4.2</v>
      </c>
    </row>
    <row r="1348">
      <c r="A1348" s="4">
        <f>IFERROR(__xludf.DUMMYFUNCTION("""COMPUTED_VALUE"""),25.0)</f>
        <v>25</v>
      </c>
      <c r="B1348" s="4">
        <f>IFERROR(__xludf.DUMMYFUNCTION("""COMPUTED_VALUE"""),25.0)</f>
        <v>25</v>
      </c>
      <c r="C1348" s="4" t="str">
        <f>IFERROR(__xludf.DUMMYFUNCTION("""COMPUTED_VALUE"""),"SEA")</f>
        <v>SEA</v>
      </c>
      <c r="D1348" s="4" t="str">
        <f>IFERROR(__xludf.DUMMYFUNCTION("""COMPUTED_VALUE"""),"Johan Petro")</f>
        <v>Johan Petro</v>
      </c>
      <c r="E1348" s="4"/>
      <c r="F1348" s="4">
        <f>IFERROR(__xludf.DUMMYFUNCTION("""COMPUTED_VALUE"""),8.0)</f>
        <v>8</v>
      </c>
      <c r="G1348" s="4">
        <f>IFERROR(__xludf.DUMMYFUNCTION("""COMPUTED_VALUE"""),473.0)</f>
        <v>473</v>
      </c>
      <c r="H1348" s="4">
        <f>IFERROR(__xludf.DUMMYFUNCTION("""COMPUTED_VALUE"""),7262.0)</f>
        <v>7262</v>
      </c>
      <c r="I1348" s="4">
        <f>IFERROR(__xludf.DUMMYFUNCTION("""COMPUTED_VALUE"""),2202.0)</f>
        <v>2202</v>
      </c>
      <c r="J1348" s="4">
        <f>IFERROR(__xludf.DUMMYFUNCTION("""COMPUTED_VALUE"""),1836.0)</f>
        <v>1836</v>
      </c>
      <c r="K1348" s="4">
        <f>IFERROR(__xludf.DUMMYFUNCTION("""COMPUTED_VALUE"""),227.0)</f>
        <v>227</v>
      </c>
      <c r="L1348" s="4">
        <f>IFERROR(__xludf.DUMMYFUNCTION("""COMPUTED_VALUE"""),0.462)</f>
        <v>0.462</v>
      </c>
      <c r="M1348" s="4">
        <f>IFERROR(__xludf.DUMMYFUNCTION("""COMPUTED_VALUE"""),0.154)</f>
        <v>0.154</v>
      </c>
      <c r="N1348" s="4">
        <f>IFERROR(__xludf.DUMMYFUNCTION("""COMPUTED_VALUE"""),0.678)</f>
        <v>0.678</v>
      </c>
      <c r="O1348" s="4">
        <f>IFERROR(__xludf.DUMMYFUNCTION("""COMPUTED_VALUE"""),15.4)</f>
        <v>15.4</v>
      </c>
      <c r="P1348" s="4">
        <f>IFERROR(__xludf.DUMMYFUNCTION("""COMPUTED_VALUE"""),4.7)</f>
        <v>4.7</v>
      </c>
      <c r="Q1348" s="4">
        <f>IFERROR(__xludf.DUMMYFUNCTION("""COMPUTED_VALUE"""),3.9)</f>
        <v>3.9</v>
      </c>
      <c r="R1348" s="4">
        <f>IFERROR(__xludf.DUMMYFUNCTION("""COMPUTED_VALUE"""),0.5)</f>
        <v>0.5</v>
      </c>
      <c r="S1348" s="4">
        <f>IFERROR(__xludf.DUMMYFUNCTION("""COMPUTED_VALUE"""),5.5)</f>
        <v>5.5</v>
      </c>
      <c r="T1348" s="4">
        <f>IFERROR(__xludf.DUMMYFUNCTION("""COMPUTED_VALUE"""),0.037)</f>
        <v>0.037</v>
      </c>
      <c r="U1348" s="4">
        <f>IFERROR(__xludf.DUMMYFUNCTION("""COMPUTED_VALUE"""),-4.6)</f>
        <v>-4.6</v>
      </c>
      <c r="V1348" s="4">
        <f>IFERROR(__xludf.DUMMYFUNCTION("""COMPUTED_VALUE"""),-4.6)</f>
        <v>-4.6</v>
      </c>
    </row>
    <row r="1349">
      <c r="A1349" s="4">
        <f>IFERROR(__xludf.DUMMYFUNCTION("""COMPUTED_VALUE"""),26.0)</f>
        <v>26</v>
      </c>
      <c r="B1349" s="4">
        <f>IFERROR(__xludf.DUMMYFUNCTION("""COMPUTED_VALUE"""),26.0)</f>
        <v>26</v>
      </c>
      <c r="C1349" s="4" t="str">
        <f>IFERROR(__xludf.DUMMYFUNCTION("""COMPUTED_VALUE"""),"DET")</f>
        <v>DET</v>
      </c>
      <c r="D1349" s="4" t="str">
        <f>IFERROR(__xludf.DUMMYFUNCTION("""COMPUTED_VALUE"""),"Jason Maxiell")</f>
        <v>Jason Maxiell</v>
      </c>
      <c r="E1349" s="4" t="str">
        <f>IFERROR(__xludf.DUMMYFUNCTION("""COMPUTED_VALUE"""),"Cincinnati")</f>
        <v>Cincinnati</v>
      </c>
      <c r="F1349" s="4">
        <f>IFERROR(__xludf.DUMMYFUNCTION("""COMPUTED_VALUE"""),10.0)</f>
        <v>10</v>
      </c>
      <c r="G1349" s="4">
        <f>IFERROR(__xludf.DUMMYFUNCTION("""COMPUTED_VALUE"""),618.0)</f>
        <v>618</v>
      </c>
      <c r="H1349" s="4">
        <f>IFERROR(__xludf.DUMMYFUNCTION("""COMPUTED_VALUE"""),11379.0)</f>
        <v>11379</v>
      </c>
      <c r="I1349" s="4">
        <f>IFERROR(__xludf.DUMMYFUNCTION("""COMPUTED_VALUE"""),3481.0)</f>
        <v>3481</v>
      </c>
      <c r="J1349" s="4">
        <f>IFERROR(__xludf.DUMMYFUNCTION("""COMPUTED_VALUE"""),2576.0)</f>
        <v>2576</v>
      </c>
      <c r="K1349" s="4">
        <f>IFERROR(__xludf.DUMMYFUNCTION("""COMPUTED_VALUE"""),266.0)</f>
        <v>266</v>
      </c>
      <c r="L1349" s="4">
        <f>IFERROR(__xludf.DUMMYFUNCTION("""COMPUTED_VALUE"""),0.495)</f>
        <v>0.495</v>
      </c>
      <c r="M1349" s="4">
        <f>IFERROR(__xludf.DUMMYFUNCTION("""COMPUTED_VALUE"""),0.0)</f>
        <v>0</v>
      </c>
      <c r="N1349" s="4">
        <f>IFERROR(__xludf.DUMMYFUNCTION("""COMPUTED_VALUE"""),0.564)</f>
        <v>0.564</v>
      </c>
      <c r="O1349" s="4">
        <f>IFERROR(__xludf.DUMMYFUNCTION("""COMPUTED_VALUE"""),18.4)</f>
        <v>18.4</v>
      </c>
      <c r="P1349" s="4">
        <f>IFERROR(__xludf.DUMMYFUNCTION("""COMPUTED_VALUE"""),5.6)</f>
        <v>5.6</v>
      </c>
      <c r="Q1349" s="4">
        <f>IFERROR(__xludf.DUMMYFUNCTION("""COMPUTED_VALUE"""),4.2)</f>
        <v>4.2</v>
      </c>
      <c r="R1349" s="4">
        <f>IFERROR(__xludf.DUMMYFUNCTION("""COMPUTED_VALUE"""),0.4)</f>
        <v>0.4</v>
      </c>
      <c r="S1349" s="4">
        <f>IFERROR(__xludf.DUMMYFUNCTION("""COMPUTED_VALUE"""),20.3)</f>
        <v>20.3</v>
      </c>
      <c r="T1349" s="4">
        <f>IFERROR(__xludf.DUMMYFUNCTION("""COMPUTED_VALUE"""),0.086)</f>
        <v>0.086</v>
      </c>
      <c r="U1349" s="4">
        <f>IFERROR(__xludf.DUMMYFUNCTION("""COMPUTED_VALUE"""),-2.5)</f>
        <v>-2.5</v>
      </c>
      <c r="V1349" s="4">
        <f>IFERROR(__xludf.DUMMYFUNCTION("""COMPUTED_VALUE"""),-1.4)</f>
        <v>-1.4</v>
      </c>
    </row>
    <row r="1350">
      <c r="A1350" s="4">
        <f>IFERROR(__xludf.DUMMYFUNCTION("""COMPUTED_VALUE"""),27.0)</f>
        <v>27</v>
      </c>
      <c r="B1350" s="4">
        <f>IFERROR(__xludf.DUMMYFUNCTION("""COMPUTED_VALUE"""),27.0)</f>
        <v>27</v>
      </c>
      <c r="C1350" s="4" t="str">
        <f>IFERROR(__xludf.DUMMYFUNCTION("""COMPUTED_VALUE"""),"POR")</f>
        <v>POR</v>
      </c>
      <c r="D1350" s="4" t="str">
        <f>IFERROR(__xludf.DUMMYFUNCTION("""COMPUTED_VALUE"""),"Linas Kleiza")</f>
        <v>Linas Kleiza</v>
      </c>
      <c r="E1350" s="4" t="str">
        <f>IFERROR(__xludf.DUMMYFUNCTION("""COMPUTED_VALUE"""),"Missouri")</f>
        <v>Missouri</v>
      </c>
      <c r="F1350" s="4">
        <f>IFERROR(__xludf.DUMMYFUNCTION("""COMPUTED_VALUE"""),7.0)</f>
        <v>7</v>
      </c>
      <c r="G1350" s="4">
        <f>IFERROR(__xludf.DUMMYFUNCTION("""COMPUTED_VALUE"""),409.0)</f>
        <v>409</v>
      </c>
      <c r="H1350" s="4">
        <f>IFERROR(__xludf.DUMMYFUNCTION("""COMPUTED_VALUE"""),8185.0)</f>
        <v>8185</v>
      </c>
      <c r="I1350" s="4">
        <f>IFERROR(__xludf.DUMMYFUNCTION("""COMPUTED_VALUE"""),3561.0)</f>
        <v>3561</v>
      </c>
      <c r="J1350" s="4">
        <f>IFERROR(__xludf.DUMMYFUNCTION("""COMPUTED_VALUE"""),1470.0)</f>
        <v>1470</v>
      </c>
      <c r="K1350" s="4">
        <f>IFERROR(__xludf.DUMMYFUNCTION("""COMPUTED_VALUE"""),321.0)</f>
        <v>321</v>
      </c>
      <c r="L1350" s="4">
        <f>IFERROR(__xludf.DUMMYFUNCTION("""COMPUTED_VALUE"""),0.435)</f>
        <v>0.435</v>
      </c>
      <c r="M1350" s="4">
        <f>IFERROR(__xludf.DUMMYFUNCTION("""COMPUTED_VALUE"""),0.335)</f>
        <v>0.335</v>
      </c>
      <c r="N1350" s="4">
        <f>IFERROR(__xludf.DUMMYFUNCTION("""COMPUTED_VALUE"""),0.763)</f>
        <v>0.763</v>
      </c>
      <c r="O1350" s="4">
        <f>IFERROR(__xludf.DUMMYFUNCTION("""COMPUTED_VALUE"""),20.0)</f>
        <v>20</v>
      </c>
      <c r="P1350" s="4">
        <f>IFERROR(__xludf.DUMMYFUNCTION("""COMPUTED_VALUE"""),8.7)</f>
        <v>8.7</v>
      </c>
      <c r="Q1350" s="4">
        <f>IFERROR(__xludf.DUMMYFUNCTION("""COMPUTED_VALUE"""),3.6)</f>
        <v>3.6</v>
      </c>
      <c r="R1350" s="4">
        <f>IFERROR(__xludf.DUMMYFUNCTION("""COMPUTED_VALUE"""),0.8)</f>
        <v>0.8</v>
      </c>
      <c r="S1350" s="4">
        <f>IFERROR(__xludf.DUMMYFUNCTION("""COMPUTED_VALUE"""),13.6)</f>
        <v>13.6</v>
      </c>
      <c r="T1350" s="4">
        <f>IFERROR(__xludf.DUMMYFUNCTION("""COMPUTED_VALUE"""),0.08)</f>
        <v>0.08</v>
      </c>
      <c r="U1350" s="4">
        <f>IFERROR(__xludf.DUMMYFUNCTION("""COMPUTED_VALUE"""),-2.3)</f>
        <v>-2.3</v>
      </c>
      <c r="V1350" s="4">
        <f>IFERROR(__xludf.DUMMYFUNCTION("""COMPUTED_VALUE"""),-0.7)</f>
        <v>-0.7</v>
      </c>
    </row>
    <row r="1351">
      <c r="A1351" s="4">
        <f>IFERROR(__xludf.DUMMYFUNCTION("""COMPUTED_VALUE"""),28.0)</f>
        <v>28</v>
      </c>
      <c r="B1351" s="4">
        <f>IFERROR(__xludf.DUMMYFUNCTION("""COMPUTED_VALUE"""),28.0)</f>
        <v>28</v>
      </c>
      <c r="C1351" s="4" t="str">
        <f>IFERROR(__xludf.DUMMYFUNCTION("""COMPUTED_VALUE"""),"SAS")</f>
        <v>SAS</v>
      </c>
      <c r="D1351" s="4" t="str">
        <f>IFERROR(__xludf.DUMMYFUNCTION("""COMPUTED_VALUE"""),"Ian Mahinmi")</f>
        <v>Ian Mahinmi</v>
      </c>
      <c r="E1351" s="4"/>
      <c r="F1351" s="4">
        <f>IFERROR(__xludf.DUMMYFUNCTION("""COMPUTED_VALUE"""),12.0)</f>
        <v>12</v>
      </c>
      <c r="G1351" s="4">
        <f>IFERROR(__xludf.DUMMYFUNCTION("""COMPUTED_VALUE"""),618.0)</f>
        <v>618</v>
      </c>
      <c r="H1351" s="4">
        <f>IFERROR(__xludf.DUMMYFUNCTION("""COMPUTED_VALUE"""),10353.0)</f>
        <v>10353</v>
      </c>
      <c r="I1351" s="4">
        <f>IFERROR(__xludf.DUMMYFUNCTION("""COMPUTED_VALUE"""),3209.0)</f>
        <v>3209</v>
      </c>
      <c r="J1351" s="4">
        <f>IFERROR(__xludf.DUMMYFUNCTION("""COMPUTED_VALUE"""),2705.0)</f>
        <v>2705</v>
      </c>
      <c r="K1351" s="4">
        <f>IFERROR(__xludf.DUMMYFUNCTION("""COMPUTED_VALUE"""),357.0)</f>
        <v>357</v>
      </c>
      <c r="L1351" s="4">
        <f>IFERROR(__xludf.DUMMYFUNCTION("""COMPUTED_VALUE"""),0.533)</f>
        <v>0.533</v>
      </c>
      <c r="M1351" s="4">
        <f>IFERROR(__xludf.DUMMYFUNCTION("""COMPUTED_VALUE"""),0.16)</f>
        <v>0.16</v>
      </c>
      <c r="N1351" s="4">
        <f>IFERROR(__xludf.DUMMYFUNCTION("""COMPUTED_VALUE"""),0.612)</f>
        <v>0.612</v>
      </c>
      <c r="O1351" s="4">
        <f>IFERROR(__xludf.DUMMYFUNCTION("""COMPUTED_VALUE"""),16.8)</f>
        <v>16.8</v>
      </c>
      <c r="P1351" s="4">
        <f>IFERROR(__xludf.DUMMYFUNCTION("""COMPUTED_VALUE"""),5.2)</f>
        <v>5.2</v>
      </c>
      <c r="Q1351" s="4">
        <f>IFERROR(__xludf.DUMMYFUNCTION("""COMPUTED_VALUE"""),4.4)</f>
        <v>4.4</v>
      </c>
      <c r="R1351" s="4">
        <f>IFERROR(__xludf.DUMMYFUNCTION("""COMPUTED_VALUE"""),0.6)</f>
        <v>0.6</v>
      </c>
      <c r="S1351" s="4">
        <f>IFERROR(__xludf.DUMMYFUNCTION("""COMPUTED_VALUE"""),26.1)</f>
        <v>26.1</v>
      </c>
      <c r="T1351" s="4">
        <f>IFERROR(__xludf.DUMMYFUNCTION("""COMPUTED_VALUE"""),0.121)</f>
        <v>0.121</v>
      </c>
      <c r="U1351" s="4">
        <f>IFERROR(__xludf.DUMMYFUNCTION("""COMPUTED_VALUE"""),-2.0)</f>
        <v>-2</v>
      </c>
      <c r="V1351" s="4">
        <f>IFERROR(__xludf.DUMMYFUNCTION("""COMPUTED_VALUE"""),0.1)</f>
        <v>0.1</v>
      </c>
    </row>
    <row r="1352">
      <c r="A1352" s="4">
        <f>IFERROR(__xludf.DUMMYFUNCTION("""COMPUTED_VALUE"""),29.0)</f>
        <v>29</v>
      </c>
      <c r="B1352" s="4">
        <f>IFERROR(__xludf.DUMMYFUNCTION("""COMPUTED_VALUE"""),29.0)</f>
        <v>29</v>
      </c>
      <c r="C1352" s="4" t="str">
        <f>IFERROR(__xludf.DUMMYFUNCTION("""COMPUTED_VALUE"""),"MIA")</f>
        <v>MIA</v>
      </c>
      <c r="D1352" s="4" t="str">
        <f>IFERROR(__xludf.DUMMYFUNCTION("""COMPUTED_VALUE"""),"Wayne Simien")</f>
        <v>Wayne Simien</v>
      </c>
      <c r="E1352" s="4" t="str">
        <f>IFERROR(__xludf.DUMMYFUNCTION("""COMPUTED_VALUE"""),"Kansas")</f>
        <v>Kansas</v>
      </c>
      <c r="F1352" s="4">
        <f>IFERROR(__xludf.DUMMYFUNCTION("""COMPUTED_VALUE"""),2.0)</f>
        <v>2</v>
      </c>
      <c r="G1352" s="4">
        <f>IFERROR(__xludf.DUMMYFUNCTION("""COMPUTED_VALUE"""),51.0)</f>
        <v>51</v>
      </c>
      <c r="H1352" s="4">
        <f>IFERROR(__xludf.DUMMYFUNCTION("""COMPUTED_VALUE"""),507.0)</f>
        <v>507</v>
      </c>
      <c r="I1352" s="4">
        <f>IFERROR(__xludf.DUMMYFUNCTION("""COMPUTED_VALUE"""),169.0)</f>
        <v>169</v>
      </c>
      <c r="J1352" s="4">
        <f>IFERROR(__xludf.DUMMYFUNCTION("""COMPUTED_VALUE"""),99.0)</f>
        <v>99</v>
      </c>
      <c r="K1352" s="4">
        <f>IFERROR(__xludf.DUMMYFUNCTION("""COMPUTED_VALUE"""),11.0)</f>
        <v>11</v>
      </c>
      <c r="L1352" s="4">
        <f>IFERROR(__xludf.DUMMYFUNCTION("""COMPUTED_VALUE"""),0.469)</f>
        <v>0.469</v>
      </c>
      <c r="M1352" s="4"/>
      <c r="N1352" s="4">
        <f>IFERROR(__xludf.DUMMYFUNCTION("""COMPUTED_VALUE"""),0.854)</f>
        <v>0.854</v>
      </c>
      <c r="O1352" s="4">
        <f>IFERROR(__xludf.DUMMYFUNCTION("""COMPUTED_VALUE"""),9.9)</f>
        <v>9.9</v>
      </c>
      <c r="P1352" s="4">
        <f>IFERROR(__xludf.DUMMYFUNCTION("""COMPUTED_VALUE"""),3.3)</f>
        <v>3.3</v>
      </c>
      <c r="Q1352" s="4">
        <f>IFERROR(__xludf.DUMMYFUNCTION("""COMPUTED_VALUE"""),1.9)</f>
        <v>1.9</v>
      </c>
      <c r="R1352" s="4">
        <f>IFERROR(__xludf.DUMMYFUNCTION("""COMPUTED_VALUE"""),0.2)</f>
        <v>0.2</v>
      </c>
      <c r="S1352" s="4">
        <f>IFERROR(__xludf.DUMMYFUNCTION("""COMPUTED_VALUE"""),0.9)</f>
        <v>0.9</v>
      </c>
      <c r="T1352" s="4">
        <f>IFERROR(__xludf.DUMMYFUNCTION("""COMPUTED_VALUE"""),0.083)</f>
        <v>0.083</v>
      </c>
      <c r="U1352" s="4">
        <f>IFERROR(__xludf.DUMMYFUNCTION("""COMPUTED_VALUE"""),-4.4)</f>
        <v>-4.4</v>
      </c>
      <c r="V1352" s="4">
        <f>IFERROR(__xludf.DUMMYFUNCTION("""COMPUTED_VALUE"""),-0.3)</f>
        <v>-0.3</v>
      </c>
    </row>
    <row r="1353">
      <c r="A1353" s="4">
        <f>IFERROR(__xludf.DUMMYFUNCTION("""COMPUTED_VALUE"""),30.0)</f>
        <v>30</v>
      </c>
      <c r="B1353" s="4">
        <f>IFERROR(__xludf.DUMMYFUNCTION("""COMPUTED_VALUE"""),30.0)</f>
        <v>30</v>
      </c>
      <c r="C1353" s="4" t="str">
        <f>IFERROR(__xludf.DUMMYFUNCTION("""COMPUTED_VALUE"""),"NYK")</f>
        <v>NYK</v>
      </c>
      <c r="D1353" s="4" t="str">
        <f>IFERROR(__xludf.DUMMYFUNCTION("""COMPUTED_VALUE"""),"David Lee")</f>
        <v>David Lee</v>
      </c>
      <c r="E1353" s="4" t="str">
        <f>IFERROR(__xludf.DUMMYFUNCTION("""COMPUTED_VALUE"""),"Florida")</f>
        <v>Florida</v>
      </c>
      <c r="F1353" s="4">
        <f>IFERROR(__xludf.DUMMYFUNCTION("""COMPUTED_VALUE"""),12.0)</f>
        <v>12</v>
      </c>
      <c r="G1353" s="4">
        <f>IFERROR(__xludf.DUMMYFUNCTION("""COMPUTED_VALUE"""),829.0)</f>
        <v>829</v>
      </c>
      <c r="H1353" s="4">
        <f>IFERROR(__xludf.DUMMYFUNCTION("""COMPUTED_VALUE"""),24293.0)</f>
        <v>24293</v>
      </c>
      <c r="I1353" s="4">
        <f>IFERROR(__xludf.DUMMYFUNCTION("""COMPUTED_VALUE"""),11232.0)</f>
        <v>11232</v>
      </c>
      <c r="J1353" s="4">
        <f>IFERROR(__xludf.DUMMYFUNCTION("""COMPUTED_VALUE"""),7320.0)</f>
        <v>7320</v>
      </c>
      <c r="K1353" s="4">
        <f>IFERROR(__xludf.DUMMYFUNCTION("""COMPUTED_VALUE"""),1825.0)</f>
        <v>1825</v>
      </c>
      <c r="L1353" s="4">
        <f>IFERROR(__xludf.DUMMYFUNCTION("""COMPUTED_VALUE"""),0.535)</f>
        <v>0.535</v>
      </c>
      <c r="M1353" s="4">
        <f>IFERROR(__xludf.DUMMYFUNCTION("""COMPUTED_VALUE"""),0.034)</f>
        <v>0.034</v>
      </c>
      <c r="N1353" s="4">
        <f>IFERROR(__xludf.DUMMYFUNCTION("""COMPUTED_VALUE"""),0.772)</f>
        <v>0.772</v>
      </c>
      <c r="O1353" s="4">
        <f>IFERROR(__xludf.DUMMYFUNCTION("""COMPUTED_VALUE"""),29.3)</f>
        <v>29.3</v>
      </c>
      <c r="P1353" s="4">
        <f>IFERROR(__xludf.DUMMYFUNCTION("""COMPUTED_VALUE"""),13.5)</f>
        <v>13.5</v>
      </c>
      <c r="Q1353" s="4">
        <f>IFERROR(__xludf.DUMMYFUNCTION("""COMPUTED_VALUE"""),8.8)</f>
        <v>8.8</v>
      </c>
      <c r="R1353" s="4">
        <f>IFERROR(__xludf.DUMMYFUNCTION("""COMPUTED_VALUE"""),2.2)</f>
        <v>2.2</v>
      </c>
      <c r="S1353" s="4">
        <f>IFERROR(__xludf.DUMMYFUNCTION("""COMPUTED_VALUE"""),76.0)</f>
        <v>76</v>
      </c>
      <c r="T1353" s="4">
        <f>IFERROR(__xludf.DUMMYFUNCTION("""COMPUTED_VALUE"""),0.15)</f>
        <v>0.15</v>
      </c>
      <c r="U1353" s="4">
        <f>IFERROR(__xludf.DUMMYFUNCTION("""COMPUTED_VALUE"""),1.1)</f>
        <v>1.1</v>
      </c>
      <c r="V1353" s="4">
        <f>IFERROR(__xludf.DUMMYFUNCTION("""COMPUTED_VALUE"""),19.2)</f>
        <v>19.2</v>
      </c>
    </row>
    <row r="1354">
      <c r="A1354" s="4"/>
      <c r="B1354" s="4"/>
      <c r="C1354" s="4"/>
      <c r="D1354" s="4" t="str">
        <f>IFERROR(__xludf.DUMMYFUNCTION("""COMPUTED_VALUE"""),"Round 2")</f>
        <v>Round 2</v>
      </c>
      <c r="E1354" s="4"/>
      <c r="F1354" s="4"/>
      <c r="G1354" s="4" t="str">
        <f>IFERROR(__xludf.DUMMYFUNCTION("""COMPUTED_VALUE"""),"Totals")</f>
        <v>Totals</v>
      </c>
      <c r="H1354" s="4"/>
      <c r="I1354" s="4"/>
      <c r="J1354" s="4"/>
      <c r="K1354" s="4"/>
      <c r="L1354" s="4" t="str">
        <f>IFERROR(__xludf.DUMMYFUNCTION("""COMPUTED_VALUE"""),"Shooting")</f>
        <v>Shooting</v>
      </c>
      <c r="M1354" s="4"/>
      <c r="N1354" s="4"/>
      <c r="O1354" s="4" t="str">
        <f>IFERROR(__xludf.DUMMYFUNCTION("""COMPUTED_VALUE"""),"Per Game")</f>
        <v>Per Game</v>
      </c>
      <c r="P1354" s="4"/>
      <c r="Q1354" s="4"/>
      <c r="R1354" s="4"/>
      <c r="S1354" s="4" t="str">
        <f>IFERROR(__xludf.DUMMYFUNCTION("""COMPUTED_VALUE"""),"Advanced")</f>
        <v>Advanced</v>
      </c>
      <c r="T1354" s="4"/>
      <c r="U1354" s="4"/>
      <c r="V1354" s="4"/>
    </row>
    <row r="1355">
      <c r="A1355" s="4" t="str">
        <f>IFERROR(__xludf.DUMMYFUNCTION("""COMPUTED_VALUE"""),"Rk")</f>
        <v>Rk</v>
      </c>
      <c r="B1355" s="4" t="str">
        <f>IFERROR(__xludf.DUMMYFUNCTION("""COMPUTED_VALUE"""),"Pk")</f>
        <v>Pk</v>
      </c>
      <c r="C1355" s="4" t="str">
        <f>IFERROR(__xludf.DUMMYFUNCTION("""COMPUTED_VALUE"""),"Tm")</f>
        <v>Tm</v>
      </c>
      <c r="D1355" s="4" t="str">
        <f>IFERROR(__xludf.DUMMYFUNCTION("""COMPUTED_VALUE"""),"Player")</f>
        <v>Player</v>
      </c>
      <c r="E1355" s="4" t="str">
        <f>IFERROR(__xludf.DUMMYFUNCTION("""COMPUTED_VALUE"""),"College")</f>
        <v>College</v>
      </c>
      <c r="F1355" s="4" t="str">
        <f>IFERROR(__xludf.DUMMYFUNCTION("""COMPUTED_VALUE"""),"Yrs")</f>
        <v>Yrs</v>
      </c>
      <c r="G1355" s="4" t="str">
        <f>IFERROR(__xludf.DUMMYFUNCTION("""COMPUTED_VALUE"""),"G")</f>
        <v>G</v>
      </c>
      <c r="H1355" s="4" t="str">
        <f>IFERROR(__xludf.DUMMYFUNCTION("""COMPUTED_VALUE"""),"MP")</f>
        <v>MP</v>
      </c>
      <c r="I1355" s="4" t="str">
        <f>IFERROR(__xludf.DUMMYFUNCTION("""COMPUTED_VALUE"""),"PTS")</f>
        <v>PTS</v>
      </c>
      <c r="J1355" s="4" t="str">
        <f>IFERROR(__xludf.DUMMYFUNCTION("""COMPUTED_VALUE"""),"TRB")</f>
        <v>TRB</v>
      </c>
      <c r="K1355" s="4" t="str">
        <f>IFERROR(__xludf.DUMMYFUNCTION("""COMPUTED_VALUE"""),"AST")</f>
        <v>AST</v>
      </c>
      <c r="L1355" s="4" t="str">
        <f>IFERROR(__xludf.DUMMYFUNCTION("""COMPUTED_VALUE"""),"FG%")</f>
        <v>FG%</v>
      </c>
      <c r="M1355" s="4" t="str">
        <f>IFERROR(__xludf.DUMMYFUNCTION("""COMPUTED_VALUE"""),"3P%")</f>
        <v>3P%</v>
      </c>
      <c r="N1355" s="4" t="str">
        <f>IFERROR(__xludf.DUMMYFUNCTION("""COMPUTED_VALUE"""),"FT%")</f>
        <v>FT%</v>
      </c>
      <c r="O1355" s="4" t="str">
        <f>IFERROR(__xludf.DUMMYFUNCTION("""COMPUTED_VALUE"""),"MP")</f>
        <v>MP</v>
      </c>
      <c r="P1355" s="4" t="str">
        <f>IFERROR(__xludf.DUMMYFUNCTION("""COMPUTED_VALUE"""),"PTS")</f>
        <v>PTS</v>
      </c>
      <c r="Q1355" s="4" t="str">
        <f>IFERROR(__xludf.DUMMYFUNCTION("""COMPUTED_VALUE"""),"TRB")</f>
        <v>TRB</v>
      </c>
      <c r="R1355" s="4" t="str">
        <f>IFERROR(__xludf.DUMMYFUNCTION("""COMPUTED_VALUE"""),"AST")</f>
        <v>AST</v>
      </c>
      <c r="S1355" s="4" t="str">
        <f>IFERROR(__xludf.DUMMYFUNCTION("""COMPUTED_VALUE"""),"WS")</f>
        <v>WS</v>
      </c>
      <c r="T1355" s="4" t="str">
        <f>IFERROR(__xludf.DUMMYFUNCTION("""COMPUTED_VALUE"""),"WS/48")</f>
        <v>WS/48</v>
      </c>
      <c r="U1355" s="4" t="str">
        <f>IFERROR(__xludf.DUMMYFUNCTION("""COMPUTED_VALUE"""),"BPM")</f>
        <v>BPM</v>
      </c>
      <c r="V1355" s="4" t="str">
        <f>IFERROR(__xludf.DUMMYFUNCTION("""COMPUTED_VALUE"""),"VORP")</f>
        <v>VORP</v>
      </c>
    </row>
    <row r="1356">
      <c r="A1356" s="4">
        <f>IFERROR(__xludf.DUMMYFUNCTION("""COMPUTED_VALUE"""),31.0)</f>
        <v>31</v>
      </c>
      <c r="B1356" s="4">
        <f>IFERROR(__xludf.DUMMYFUNCTION("""COMPUTED_VALUE"""),31.0)</f>
        <v>31</v>
      </c>
      <c r="C1356" s="4" t="str">
        <f>IFERROR(__xludf.DUMMYFUNCTION("""COMPUTED_VALUE"""),"ATL")</f>
        <v>ATL</v>
      </c>
      <c r="D1356" s="4" t="str">
        <f>IFERROR(__xludf.DUMMYFUNCTION("""COMPUTED_VALUE"""),"Salim Stoudamire")</f>
        <v>Salim Stoudamire</v>
      </c>
      <c r="E1356" s="4" t="str">
        <f>IFERROR(__xludf.DUMMYFUNCTION("""COMPUTED_VALUE"""),"Arizona")</f>
        <v>Arizona</v>
      </c>
      <c r="F1356" s="4">
        <f>IFERROR(__xludf.DUMMYFUNCTION("""COMPUTED_VALUE"""),3.0)</f>
        <v>3</v>
      </c>
      <c r="G1356" s="4">
        <f>IFERROR(__xludf.DUMMYFUNCTION("""COMPUTED_VALUE"""),157.0)</f>
        <v>157</v>
      </c>
      <c r="H1356" s="4">
        <f>IFERROR(__xludf.DUMMYFUNCTION("""COMPUTED_VALUE"""),2672.0)</f>
        <v>2672</v>
      </c>
      <c r="I1356" s="4">
        <f>IFERROR(__xludf.DUMMYFUNCTION("""COMPUTED_VALUE"""),1260.0)</f>
        <v>1260</v>
      </c>
      <c r="J1356" s="4">
        <f>IFERROR(__xludf.DUMMYFUNCTION("""COMPUTED_VALUE"""),214.0)</f>
        <v>214</v>
      </c>
      <c r="K1356" s="4">
        <f>IFERROR(__xludf.DUMMYFUNCTION("""COMPUTED_VALUE"""),164.0)</f>
        <v>164</v>
      </c>
      <c r="L1356" s="4">
        <f>IFERROR(__xludf.DUMMYFUNCTION("""COMPUTED_VALUE"""),0.407)</f>
        <v>0.407</v>
      </c>
      <c r="M1356" s="4">
        <f>IFERROR(__xludf.DUMMYFUNCTION("""COMPUTED_VALUE"""),0.366)</f>
        <v>0.366</v>
      </c>
      <c r="N1356" s="4">
        <f>IFERROR(__xludf.DUMMYFUNCTION("""COMPUTED_VALUE"""),0.882)</f>
        <v>0.882</v>
      </c>
      <c r="O1356" s="4">
        <f>IFERROR(__xludf.DUMMYFUNCTION("""COMPUTED_VALUE"""),17.0)</f>
        <v>17</v>
      </c>
      <c r="P1356" s="4">
        <f>IFERROR(__xludf.DUMMYFUNCTION("""COMPUTED_VALUE"""),8.0)</f>
        <v>8</v>
      </c>
      <c r="Q1356" s="4">
        <f>IFERROR(__xludf.DUMMYFUNCTION("""COMPUTED_VALUE"""),1.4)</f>
        <v>1.4</v>
      </c>
      <c r="R1356" s="4">
        <f>IFERROR(__xludf.DUMMYFUNCTION("""COMPUTED_VALUE"""),1.0)</f>
        <v>1</v>
      </c>
      <c r="S1356" s="4">
        <f>IFERROR(__xludf.DUMMYFUNCTION("""COMPUTED_VALUE"""),2.2)</f>
        <v>2.2</v>
      </c>
      <c r="T1356" s="4">
        <f>IFERROR(__xludf.DUMMYFUNCTION("""COMPUTED_VALUE"""),0.04)</f>
        <v>0.04</v>
      </c>
      <c r="U1356" s="4">
        <f>IFERROR(__xludf.DUMMYFUNCTION("""COMPUTED_VALUE"""),-2.9)</f>
        <v>-2.9</v>
      </c>
      <c r="V1356" s="4">
        <f>IFERROR(__xludf.DUMMYFUNCTION("""COMPUTED_VALUE"""),-0.6)</f>
        <v>-0.6</v>
      </c>
    </row>
    <row r="1357">
      <c r="A1357" s="4">
        <f>IFERROR(__xludf.DUMMYFUNCTION("""COMPUTED_VALUE"""),32.0)</f>
        <v>32</v>
      </c>
      <c r="B1357" s="4">
        <f>IFERROR(__xludf.DUMMYFUNCTION("""COMPUTED_VALUE"""),32.0)</f>
        <v>32</v>
      </c>
      <c r="C1357" s="4" t="str">
        <f>IFERROR(__xludf.DUMMYFUNCTION("""COMPUTED_VALUE"""),"LAC")</f>
        <v>LAC</v>
      </c>
      <c r="D1357" s="4" t="str">
        <f>IFERROR(__xludf.DUMMYFUNCTION("""COMPUTED_VALUE"""),"Daniel Ewing")</f>
        <v>Daniel Ewing</v>
      </c>
      <c r="E1357" s="4" t="str">
        <f>IFERROR(__xludf.DUMMYFUNCTION("""COMPUTED_VALUE"""),"Duke")</f>
        <v>Duke</v>
      </c>
      <c r="F1357" s="4">
        <f>IFERROR(__xludf.DUMMYFUNCTION("""COMPUTED_VALUE"""),2.0)</f>
        <v>2</v>
      </c>
      <c r="G1357" s="4">
        <f>IFERROR(__xludf.DUMMYFUNCTION("""COMPUTED_VALUE"""),127.0)</f>
        <v>127</v>
      </c>
      <c r="H1357" s="4">
        <f>IFERROR(__xludf.DUMMYFUNCTION("""COMPUTED_VALUE"""),1683.0)</f>
        <v>1683</v>
      </c>
      <c r="I1357" s="4">
        <f>IFERROR(__xludf.DUMMYFUNCTION("""COMPUTED_VALUE"""),431.0)</f>
        <v>431</v>
      </c>
      <c r="J1357" s="4">
        <f>IFERROR(__xludf.DUMMYFUNCTION("""COMPUTED_VALUE"""),158.0)</f>
        <v>158</v>
      </c>
      <c r="K1357" s="4">
        <f>IFERROR(__xludf.DUMMYFUNCTION("""COMPUTED_VALUE"""),174.0)</f>
        <v>174</v>
      </c>
      <c r="L1357" s="4">
        <f>IFERROR(__xludf.DUMMYFUNCTION("""COMPUTED_VALUE"""),0.389)</f>
        <v>0.389</v>
      </c>
      <c r="M1357" s="4">
        <f>IFERROR(__xludf.DUMMYFUNCTION("""COMPUTED_VALUE"""),0.295)</f>
        <v>0.295</v>
      </c>
      <c r="N1357" s="4">
        <f>IFERROR(__xludf.DUMMYFUNCTION("""COMPUTED_VALUE"""),0.78)</f>
        <v>0.78</v>
      </c>
      <c r="O1357" s="4">
        <f>IFERROR(__xludf.DUMMYFUNCTION("""COMPUTED_VALUE"""),13.3)</f>
        <v>13.3</v>
      </c>
      <c r="P1357" s="4">
        <f>IFERROR(__xludf.DUMMYFUNCTION("""COMPUTED_VALUE"""),3.4)</f>
        <v>3.4</v>
      </c>
      <c r="Q1357" s="4">
        <f>IFERROR(__xludf.DUMMYFUNCTION("""COMPUTED_VALUE"""),1.2)</f>
        <v>1.2</v>
      </c>
      <c r="R1357" s="4">
        <f>IFERROR(__xludf.DUMMYFUNCTION("""COMPUTED_VALUE"""),1.4)</f>
        <v>1.4</v>
      </c>
      <c r="S1357" s="4">
        <f>IFERROR(__xludf.DUMMYFUNCTION("""COMPUTED_VALUE"""),0.8)</f>
        <v>0.8</v>
      </c>
      <c r="T1357" s="4">
        <f>IFERROR(__xludf.DUMMYFUNCTION("""COMPUTED_VALUE"""),0.024)</f>
        <v>0.024</v>
      </c>
      <c r="U1357" s="4">
        <f>IFERROR(__xludf.DUMMYFUNCTION("""COMPUTED_VALUE"""),-3.0)</f>
        <v>-3</v>
      </c>
      <c r="V1357" s="4">
        <f>IFERROR(__xludf.DUMMYFUNCTION("""COMPUTED_VALUE"""),-0.4)</f>
        <v>-0.4</v>
      </c>
    </row>
    <row r="1358">
      <c r="A1358" s="4">
        <f>IFERROR(__xludf.DUMMYFUNCTION("""COMPUTED_VALUE"""),33.0)</f>
        <v>33</v>
      </c>
      <c r="B1358" s="4">
        <f>IFERROR(__xludf.DUMMYFUNCTION("""COMPUTED_VALUE"""),33.0)</f>
        <v>33</v>
      </c>
      <c r="C1358" s="4" t="str">
        <f>IFERROR(__xludf.DUMMYFUNCTION("""COMPUTED_VALUE"""),"NOH")</f>
        <v>NOH</v>
      </c>
      <c r="D1358" s="4" t="str">
        <f>IFERROR(__xludf.DUMMYFUNCTION("""COMPUTED_VALUE"""),"Brandon Bass")</f>
        <v>Brandon Bass</v>
      </c>
      <c r="E1358" s="4" t="str">
        <f>IFERROR(__xludf.DUMMYFUNCTION("""COMPUTED_VALUE"""),"LSU")</f>
        <v>LSU</v>
      </c>
      <c r="F1358" s="4">
        <f>IFERROR(__xludf.DUMMYFUNCTION("""COMPUTED_VALUE"""),12.0)</f>
        <v>12</v>
      </c>
      <c r="G1358" s="4">
        <f>IFERROR(__xludf.DUMMYFUNCTION("""COMPUTED_VALUE"""),758.0)</f>
        <v>758</v>
      </c>
      <c r="H1358" s="4">
        <f>IFERROR(__xludf.DUMMYFUNCTION("""COMPUTED_VALUE"""),16410.0)</f>
        <v>16410</v>
      </c>
      <c r="I1358" s="4">
        <f>IFERROR(__xludf.DUMMYFUNCTION("""COMPUTED_VALUE"""),6575.0)</f>
        <v>6575</v>
      </c>
      <c r="J1358" s="4">
        <f>IFERROR(__xludf.DUMMYFUNCTION("""COMPUTED_VALUE"""),3448.0)</f>
        <v>3448</v>
      </c>
      <c r="K1358" s="4">
        <f>IFERROR(__xludf.DUMMYFUNCTION("""COMPUTED_VALUE"""),608.0)</f>
        <v>608</v>
      </c>
      <c r="L1358" s="4">
        <f>IFERROR(__xludf.DUMMYFUNCTION("""COMPUTED_VALUE"""),0.499)</f>
        <v>0.499</v>
      </c>
      <c r="M1358" s="4">
        <f>IFERROR(__xludf.DUMMYFUNCTION("""COMPUTED_VALUE"""),0.207)</f>
        <v>0.207</v>
      </c>
      <c r="N1358" s="4">
        <f>IFERROR(__xludf.DUMMYFUNCTION("""COMPUTED_VALUE"""),0.832)</f>
        <v>0.832</v>
      </c>
      <c r="O1358" s="4">
        <f>IFERROR(__xludf.DUMMYFUNCTION("""COMPUTED_VALUE"""),21.6)</f>
        <v>21.6</v>
      </c>
      <c r="P1358" s="4">
        <f>IFERROR(__xludf.DUMMYFUNCTION("""COMPUTED_VALUE"""),8.7)</f>
        <v>8.7</v>
      </c>
      <c r="Q1358" s="4">
        <f>IFERROR(__xludf.DUMMYFUNCTION("""COMPUTED_VALUE"""),4.5)</f>
        <v>4.5</v>
      </c>
      <c r="R1358" s="4">
        <f>IFERROR(__xludf.DUMMYFUNCTION("""COMPUTED_VALUE"""),0.8)</f>
        <v>0.8</v>
      </c>
      <c r="S1358" s="4">
        <f>IFERROR(__xludf.DUMMYFUNCTION("""COMPUTED_VALUE"""),42.8)</f>
        <v>42.8</v>
      </c>
      <c r="T1358" s="4">
        <f>IFERROR(__xludf.DUMMYFUNCTION("""COMPUTED_VALUE"""),0.125)</f>
        <v>0.125</v>
      </c>
      <c r="U1358" s="4">
        <f>IFERROR(__xludf.DUMMYFUNCTION("""COMPUTED_VALUE"""),-0.8)</f>
        <v>-0.8</v>
      </c>
      <c r="V1358" s="4">
        <f>IFERROR(__xludf.DUMMYFUNCTION("""COMPUTED_VALUE"""),5.1)</f>
        <v>5.1</v>
      </c>
    </row>
    <row r="1359">
      <c r="A1359" s="4">
        <f>IFERROR(__xludf.DUMMYFUNCTION("""COMPUTED_VALUE"""),34.0)</f>
        <v>34</v>
      </c>
      <c r="B1359" s="4">
        <f>IFERROR(__xludf.DUMMYFUNCTION("""COMPUTED_VALUE"""),34.0)</f>
        <v>34</v>
      </c>
      <c r="C1359" s="4" t="str">
        <f>IFERROR(__xludf.DUMMYFUNCTION("""COMPUTED_VALUE"""),"UTA")</f>
        <v>UTA</v>
      </c>
      <c r="D1359" s="4" t="str">
        <f>IFERROR(__xludf.DUMMYFUNCTION("""COMPUTED_VALUE"""),"C.J. Miles")</f>
        <v>C.J. Miles</v>
      </c>
      <c r="E1359" s="4"/>
      <c r="F1359" s="4">
        <f>IFERROR(__xludf.DUMMYFUNCTION("""COMPUTED_VALUE"""),16.0)</f>
        <v>16</v>
      </c>
      <c r="G1359" s="4">
        <f>IFERROR(__xludf.DUMMYFUNCTION("""COMPUTED_VALUE"""),849.0)</f>
        <v>849</v>
      </c>
      <c r="H1359" s="4">
        <f>IFERROR(__xludf.DUMMYFUNCTION("""COMPUTED_VALUE"""),17284.0)</f>
        <v>17284</v>
      </c>
      <c r="I1359" s="4">
        <f>IFERROR(__xludf.DUMMYFUNCTION("""COMPUTED_VALUE"""),8108.0)</f>
        <v>8108</v>
      </c>
      <c r="J1359" s="4">
        <f>IFERROR(__xludf.DUMMYFUNCTION("""COMPUTED_VALUE"""),2011.0)</f>
        <v>2011</v>
      </c>
      <c r="K1359" s="4">
        <f>IFERROR(__xludf.DUMMYFUNCTION("""COMPUTED_VALUE"""),914.0)</f>
        <v>914</v>
      </c>
      <c r="L1359" s="4">
        <f>IFERROR(__xludf.DUMMYFUNCTION("""COMPUTED_VALUE"""),0.411)</f>
        <v>0.411</v>
      </c>
      <c r="M1359" s="4">
        <f>IFERROR(__xludf.DUMMYFUNCTION("""COMPUTED_VALUE"""),0.358)</f>
        <v>0.358</v>
      </c>
      <c r="N1359" s="4">
        <f>IFERROR(__xludf.DUMMYFUNCTION("""COMPUTED_VALUE"""),0.809)</f>
        <v>0.809</v>
      </c>
      <c r="O1359" s="4">
        <f>IFERROR(__xludf.DUMMYFUNCTION("""COMPUTED_VALUE"""),20.4)</f>
        <v>20.4</v>
      </c>
      <c r="P1359" s="4">
        <f>IFERROR(__xludf.DUMMYFUNCTION("""COMPUTED_VALUE"""),9.6)</f>
        <v>9.6</v>
      </c>
      <c r="Q1359" s="4">
        <f>IFERROR(__xludf.DUMMYFUNCTION("""COMPUTED_VALUE"""),2.4)</f>
        <v>2.4</v>
      </c>
      <c r="R1359" s="4">
        <f>IFERROR(__xludf.DUMMYFUNCTION("""COMPUTED_VALUE"""),1.1)</f>
        <v>1.1</v>
      </c>
      <c r="S1359" s="4">
        <f>IFERROR(__xludf.DUMMYFUNCTION("""COMPUTED_VALUE"""),30.1)</f>
        <v>30.1</v>
      </c>
      <c r="T1359" s="4">
        <f>IFERROR(__xludf.DUMMYFUNCTION("""COMPUTED_VALUE"""),0.084)</f>
        <v>0.084</v>
      </c>
      <c r="U1359" s="4">
        <f>IFERROR(__xludf.DUMMYFUNCTION("""COMPUTED_VALUE"""),-0.4)</f>
        <v>-0.4</v>
      </c>
      <c r="V1359" s="4">
        <f>IFERROR(__xludf.DUMMYFUNCTION("""COMPUTED_VALUE"""),6.9)</f>
        <v>6.9</v>
      </c>
    </row>
    <row r="1360">
      <c r="A1360" s="4">
        <f>IFERROR(__xludf.DUMMYFUNCTION("""COMPUTED_VALUE"""),35.0)</f>
        <v>35</v>
      </c>
      <c r="B1360" s="4">
        <f>IFERROR(__xludf.DUMMYFUNCTION("""COMPUTED_VALUE"""),35.0)</f>
        <v>35</v>
      </c>
      <c r="C1360" s="4" t="str">
        <f>IFERROR(__xludf.DUMMYFUNCTION("""COMPUTED_VALUE"""),"POR")</f>
        <v>POR</v>
      </c>
      <c r="D1360" s="4" t="str">
        <f>IFERROR(__xludf.DUMMYFUNCTION("""COMPUTED_VALUE"""),"Ricky Sánchez")</f>
        <v>Ricky Sánchez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>
      <c r="A1361" s="4">
        <f>IFERROR(__xludf.DUMMYFUNCTION("""COMPUTED_VALUE"""),36.0)</f>
        <v>36</v>
      </c>
      <c r="B1361" s="4">
        <f>IFERROR(__xludf.DUMMYFUNCTION("""COMPUTED_VALUE"""),36.0)</f>
        <v>36</v>
      </c>
      <c r="C1361" s="4" t="str">
        <f>IFERROR(__xludf.DUMMYFUNCTION("""COMPUTED_VALUE"""),"MIL")</f>
        <v>MIL</v>
      </c>
      <c r="D1361" s="4" t="str">
        <f>IFERROR(__xludf.DUMMYFUNCTION("""COMPUTED_VALUE"""),"Ersan İlyasova")</f>
        <v>Ersan İlyasova</v>
      </c>
      <c r="E1361" s="4"/>
      <c r="F1361" s="4">
        <f>IFERROR(__xludf.DUMMYFUNCTION("""COMPUTED_VALUE"""),13.0)</f>
        <v>13</v>
      </c>
      <c r="G1361" s="4">
        <f>IFERROR(__xludf.DUMMYFUNCTION("""COMPUTED_VALUE"""),825.0)</f>
        <v>825</v>
      </c>
      <c r="H1361" s="4">
        <f>IFERROR(__xludf.DUMMYFUNCTION("""COMPUTED_VALUE"""),18957.0)</f>
        <v>18957</v>
      </c>
      <c r="I1361" s="4">
        <f>IFERROR(__xludf.DUMMYFUNCTION("""COMPUTED_VALUE"""),8364.0)</f>
        <v>8364</v>
      </c>
      <c r="J1361" s="4">
        <f>IFERROR(__xludf.DUMMYFUNCTION("""COMPUTED_VALUE"""),4661.0)</f>
        <v>4661</v>
      </c>
      <c r="K1361" s="4">
        <f>IFERROR(__xludf.DUMMYFUNCTION("""COMPUTED_VALUE"""),908.0)</f>
        <v>908</v>
      </c>
      <c r="L1361" s="4">
        <f>IFERROR(__xludf.DUMMYFUNCTION("""COMPUTED_VALUE"""),0.443)</f>
        <v>0.443</v>
      </c>
      <c r="M1361" s="4">
        <f>IFERROR(__xludf.DUMMYFUNCTION("""COMPUTED_VALUE"""),0.367)</f>
        <v>0.367</v>
      </c>
      <c r="N1361" s="4">
        <f>IFERROR(__xludf.DUMMYFUNCTION("""COMPUTED_VALUE"""),0.777)</f>
        <v>0.777</v>
      </c>
      <c r="O1361" s="4">
        <f>IFERROR(__xludf.DUMMYFUNCTION("""COMPUTED_VALUE"""),23.0)</f>
        <v>23</v>
      </c>
      <c r="P1361" s="4">
        <f>IFERROR(__xludf.DUMMYFUNCTION("""COMPUTED_VALUE"""),10.1)</f>
        <v>10.1</v>
      </c>
      <c r="Q1361" s="4">
        <f>IFERROR(__xludf.DUMMYFUNCTION("""COMPUTED_VALUE"""),5.6)</f>
        <v>5.6</v>
      </c>
      <c r="R1361" s="4">
        <f>IFERROR(__xludf.DUMMYFUNCTION("""COMPUTED_VALUE"""),1.1)</f>
        <v>1.1</v>
      </c>
      <c r="S1361" s="4">
        <f>IFERROR(__xludf.DUMMYFUNCTION("""COMPUTED_VALUE"""),48.8)</f>
        <v>48.8</v>
      </c>
      <c r="T1361" s="4">
        <f>IFERROR(__xludf.DUMMYFUNCTION("""COMPUTED_VALUE"""),0.124)</f>
        <v>0.124</v>
      </c>
      <c r="U1361" s="4">
        <f>IFERROR(__xludf.DUMMYFUNCTION("""COMPUTED_VALUE"""),-0.1)</f>
        <v>-0.1</v>
      </c>
      <c r="V1361" s="4">
        <f>IFERROR(__xludf.DUMMYFUNCTION("""COMPUTED_VALUE"""),9.0)</f>
        <v>9</v>
      </c>
    </row>
    <row r="1362">
      <c r="A1362" s="4">
        <f>IFERROR(__xludf.DUMMYFUNCTION("""COMPUTED_VALUE"""),37.0)</f>
        <v>37</v>
      </c>
      <c r="B1362" s="4">
        <f>IFERROR(__xludf.DUMMYFUNCTION("""COMPUTED_VALUE"""),37.0)</f>
        <v>37</v>
      </c>
      <c r="C1362" s="4" t="str">
        <f>IFERROR(__xludf.DUMMYFUNCTION("""COMPUTED_VALUE"""),"LAL")</f>
        <v>LAL</v>
      </c>
      <c r="D1362" s="4" t="str">
        <f>IFERROR(__xludf.DUMMYFUNCTION("""COMPUTED_VALUE"""),"Ronny Turiaf")</f>
        <v>Ronny Turiaf</v>
      </c>
      <c r="E1362" s="4" t="str">
        <f>IFERROR(__xludf.DUMMYFUNCTION("""COMPUTED_VALUE"""),"Gonzaga")</f>
        <v>Gonzaga</v>
      </c>
      <c r="F1362" s="4">
        <f>IFERROR(__xludf.DUMMYFUNCTION("""COMPUTED_VALUE"""),10.0)</f>
        <v>10</v>
      </c>
      <c r="G1362" s="4">
        <f>IFERROR(__xludf.DUMMYFUNCTION("""COMPUTED_VALUE"""),473.0)</f>
        <v>473</v>
      </c>
      <c r="H1362" s="4">
        <f>IFERROR(__xludf.DUMMYFUNCTION("""COMPUTED_VALUE"""),8020.0)</f>
        <v>8020</v>
      </c>
      <c r="I1362" s="4">
        <f>IFERROR(__xludf.DUMMYFUNCTION("""COMPUTED_VALUE"""),2209.0)</f>
        <v>2209</v>
      </c>
      <c r="J1362" s="4">
        <f>IFERROR(__xludf.DUMMYFUNCTION("""COMPUTED_VALUE"""),1757.0)</f>
        <v>1757</v>
      </c>
      <c r="K1362" s="4">
        <f>IFERROR(__xludf.DUMMYFUNCTION("""COMPUTED_VALUE"""),618.0)</f>
        <v>618</v>
      </c>
      <c r="L1362" s="4">
        <f>IFERROR(__xludf.DUMMYFUNCTION("""COMPUTED_VALUE"""),0.533)</f>
        <v>0.533</v>
      </c>
      <c r="M1362" s="4">
        <f>IFERROR(__xludf.DUMMYFUNCTION("""COMPUTED_VALUE"""),0.0)</f>
        <v>0</v>
      </c>
      <c r="N1362" s="4">
        <f>IFERROR(__xludf.DUMMYFUNCTION("""COMPUTED_VALUE"""),0.636)</f>
        <v>0.636</v>
      </c>
      <c r="O1362" s="4">
        <f>IFERROR(__xludf.DUMMYFUNCTION("""COMPUTED_VALUE"""),17.0)</f>
        <v>17</v>
      </c>
      <c r="P1362" s="4">
        <f>IFERROR(__xludf.DUMMYFUNCTION("""COMPUTED_VALUE"""),4.7)</f>
        <v>4.7</v>
      </c>
      <c r="Q1362" s="4">
        <f>IFERROR(__xludf.DUMMYFUNCTION("""COMPUTED_VALUE"""),3.7)</f>
        <v>3.7</v>
      </c>
      <c r="R1362" s="4">
        <f>IFERROR(__xludf.DUMMYFUNCTION("""COMPUTED_VALUE"""),1.3)</f>
        <v>1.3</v>
      </c>
      <c r="S1362" s="4">
        <f>IFERROR(__xludf.DUMMYFUNCTION("""COMPUTED_VALUE"""),19.2)</f>
        <v>19.2</v>
      </c>
      <c r="T1362" s="4">
        <f>IFERROR(__xludf.DUMMYFUNCTION("""COMPUTED_VALUE"""),0.115)</f>
        <v>0.115</v>
      </c>
      <c r="U1362" s="4">
        <f>IFERROR(__xludf.DUMMYFUNCTION("""COMPUTED_VALUE"""),0.3)</f>
        <v>0.3</v>
      </c>
      <c r="V1362" s="4">
        <f>IFERROR(__xludf.DUMMYFUNCTION("""COMPUTED_VALUE"""),4.7)</f>
        <v>4.7</v>
      </c>
    </row>
    <row r="1363">
      <c r="A1363" s="4">
        <f>IFERROR(__xludf.DUMMYFUNCTION("""COMPUTED_VALUE"""),38.0)</f>
        <v>38</v>
      </c>
      <c r="B1363" s="4">
        <f>IFERROR(__xludf.DUMMYFUNCTION("""COMPUTED_VALUE"""),38.0)</f>
        <v>38</v>
      </c>
      <c r="C1363" s="4" t="str">
        <f>IFERROR(__xludf.DUMMYFUNCTION("""COMPUTED_VALUE"""),"ORL")</f>
        <v>ORL</v>
      </c>
      <c r="D1363" s="4" t="str">
        <f>IFERROR(__xludf.DUMMYFUNCTION("""COMPUTED_VALUE"""),"Travis Diener")</f>
        <v>Travis Diener</v>
      </c>
      <c r="E1363" s="4" t="str">
        <f>IFERROR(__xludf.DUMMYFUNCTION("""COMPUTED_VALUE"""),"Marquette")</f>
        <v>Marquette</v>
      </c>
      <c r="F1363" s="4">
        <f>IFERROR(__xludf.DUMMYFUNCTION("""COMPUTED_VALUE"""),5.0)</f>
        <v>5</v>
      </c>
      <c r="G1363" s="4">
        <f>IFERROR(__xludf.DUMMYFUNCTION("""COMPUTED_VALUE"""),179.0)</f>
        <v>179</v>
      </c>
      <c r="H1363" s="4">
        <f>IFERROR(__xludf.DUMMYFUNCTION("""COMPUTED_VALUE"""),2660.0)</f>
        <v>2660</v>
      </c>
      <c r="I1363" s="4">
        <f>IFERROR(__xludf.DUMMYFUNCTION("""COMPUTED_VALUE"""),854.0)</f>
        <v>854</v>
      </c>
      <c r="J1363" s="4">
        <f>IFERROR(__xludf.DUMMYFUNCTION("""COMPUTED_VALUE"""),243.0)</f>
        <v>243</v>
      </c>
      <c r="K1363" s="4">
        <f>IFERROR(__xludf.DUMMYFUNCTION("""COMPUTED_VALUE"""),432.0)</f>
        <v>432</v>
      </c>
      <c r="L1363" s="4">
        <f>IFERROR(__xludf.DUMMYFUNCTION("""COMPUTED_VALUE"""),0.388)</f>
        <v>0.388</v>
      </c>
      <c r="M1363" s="4">
        <f>IFERROR(__xludf.DUMMYFUNCTION("""COMPUTED_VALUE"""),0.353)</f>
        <v>0.353</v>
      </c>
      <c r="N1363" s="4">
        <f>IFERROR(__xludf.DUMMYFUNCTION("""COMPUTED_VALUE"""),0.847)</f>
        <v>0.847</v>
      </c>
      <c r="O1363" s="4">
        <f>IFERROR(__xludf.DUMMYFUNCTION("""COMPUTED_VALUE"""),14.9)</f>
        <v>14.9</v>
      </c>
      <c r="P1363" s="4">
        <f>IFERROR(__xludf.DUMMYFUNCTION("""COMPUTED_VALUE"""),4.8)</f>
        <v>4.8</v>
      </c>
      <c r="Q1363" s="4">
        <f>IFERROR(__xludf.DUMMYFUNCTION("""COMPUTED_VALUE"""),1.4)</f>
        <v>1.4</v>
      </c>
      <c r="R1363" s="4">
        <f>IFERROR(__xludf.DUMMYFUNCTION("""COMPUTED_VALUE"""),2.4)</f>
        <v>2.4</v>
      </c>
      <c r="S1363" s="4">
        <f>IFERROR(__xludf.DUMMYFUNCTION("""COMPUTED_VALUE"""),5.6)</f>
        <v>5.6</v>
      </c>
      <c r="T1363" s="4">
        <f>IFERROR(__xludf.DUMMYFUNCTION("""COMPUTED_VALUE"""),0.102)</f>
        <v>0.102</v>
      </c>
      <c r="U1363" s="4">
        <f>IFERROR(__xludf.DUMMYFUNCTION("""COMPUTED_VALUE"""),-0.4)</f>
        <v>-0.4</v>
      </c>
      <c r="V1363" s="4">
        <f>IFERROR(__xludf.DUMMYFUNCTION("""COMPUTED_VALUE"""),1.1)</f>
        <v>1.1</v>
      </c>
    </row>
    <row r="1364">
      <c r="A1364" s="4">
        <f>IFERROR(__xludf.DUMMYFUNCTION("""COMPUTED_VALUE"""),39.0)</f>
        <v>39</v>
      </c>
      <c r="B1364" s="4">
        <f>IFERROR(__xludf.DUMMYFUNCTION("""COMPUTED_VALUE"""),39.0)</f>
        <v>39</v>
      </c>
      <c r="C1364" s="4" t="str">
        <f>IFERROR(__xludf.DUMMYFUNCTION("""COMPUTED_VALUE"""),"LAL")</f>
        <v>LAL</v>
      </c>
      <c r="D1364" s="4" t="str">
        <f>IFERROR(__xludf.DUMMYFUNCTION("""COMPUTED_VALUE"""),"Von Wafer")</f>
        <v>Von Wafer</v>
      </c>
      <c r="E1364" s="4" t="str">
        <f>IFERROR(__xludf.DUMMYFUNCTION("""COMPUTED_VALUE"""),"Florida State")</f>
        <v>Florida State</v>
      </c>
      <c r="F1364" s="4">
        <f>IFERROR(__xludf.DUMMYFUNCTION("""COMPUTED_VALUE"""),6.0)</f>
        <v>6</v>
      </c>
      <c r="G1364" s="4">
        <f>IFERROR(__xludf.DUMMYFUNCTION("""COMPUTED_VALUE"""),200.0)</f>
        <v>200</v>
      </c>
      <c r="H1364" s="4">
        <f>IFERROR(__xludf.DUMMYFUNCTION("""COMPUTED_VALUE"""),2475.0)</f>
        <v>2475</v>
      </c>
      <c r="I1364" s="4">
        <f>IFERROR(__xludf.DUMMYFUNCTION("""COMPUTED_VALUE"""),1054.0)</f>
        <v>1054</v>
      </c>
      <c r="J1364" s="4">
        <f>IFERROR(__xludf.DUMMYFUNCTION("""COMPUTED_VALUE"""),234.0)</f>
        <v>234</v>
      </c>
      <c r="K1364" s="4">
        <f>IFERROR(__xludf.DUMMYFUNCTION("""COMPUTED_VALUE"""),146.0)</f>
        <v>146</v>
      </c>
      <c r="L1364" s="4">
        <f>IFERROR(__xludf.DUMMYFUNCTION("""COMPUTED_VALUE"""),0.42)</f>
        <v>0.42</v>
      </c>
      <c r="M1364" s="4">
        <f>IFERROR(__xludf.DUMMYFUNCTION("""COMPUTED_VALUE"""),0.325)</f>
        <v>0.325</v>
      </c>
      <c r="N1364" s="4">
        <f>IFERROR(__xludf.DUMMYFUNCTION("""COMPUTED_VALUE"""),0.751)</f>
        <v>0.751</v>
      </c>
      <c r="O1364" s="4">
        <f>IFERROR(__xludf.DUMMYFUNCTION("""COMPUTED_VALUE"""),12.4)</f>
        <v>12.4</v>
      </c>
      <c r="P1364" s="4">
        <f>IFERROR(__xludf.DUMMYFUNCTION("""COMPUTED_VALUE"""),5.3)</f>
        <v>5.3</v>
      </c>
      <c r="Q1364" s="4">
        <f>IFERROR(__xludf.DUMMYFUNCTION("""COMPUTED_VALUE"""),1.2)</f>
        <v>1.2</v>
      </c>
      <c r="R1364" s="4">
        <f>IFERROR(__xludf.DUMMYFUNCTION("""COMPUTED_VALUE"""),0.7)</f>
        <v>0.7</v>
      </c>
      <c r="S1364" s="4">
        <f>IFERROR(__xludf.DUMMYFUNCTION("""COMPUTED_VALUE"""),3.3)</f>
        <v>3.3</v>
      </c>
      <c r="T1364" s="4">
        <f>IFERROR(__xludf.DUMMYFUNCTION("""COMPUTED_VALUE"""),0.064)</f>
        <v>0.064</v>
      </c>
      <c r="U1364" s="4">
        <f>IFERROR(__xludf.DUMMYFUNCTION("""COMPUTED_VALUE"""),-1.8)</f>
        <v>-1.8</v>
      </c>
      <c r="V1364" s="4">
        <f>IFERROR(__xludf.DUMMYFUNCTION("""COMPUTED_VALUE"""),0.1)</f>
        <v>0.1</v>
      </c>
    </row>
    <row r="1365">
      <c r="A1365" s="4">
        <f>IFERROR(__xludf.DUMMYFUNCTION("""COMPUTED_VALUE"""),40.0)</f>
        <v>40</v>
      </c>
      <c r="B1365" s="4">
        <f>IFERROR(__xludf.DUMMYFUNCTION("""COMPUTED_VALUE"""),40.0)</f>
        <v>40</v>
      </c>
      <c r="C1365" s="4" t="str">
        <f>IFERROR(__xludf.DUMMYFUNCTION("""COMPUTED_VALUE"""),"GSW")</f>
        <v>GSW</v>
      </c>
      <c r="D1365" s="4" t="str">
        <f>IFERROR(__xludf.DUMMYFUNCTION("""COMPUTED_VALUE"""),"Monta Ellis")</f>
        <v>Monta Ellis</v>
      </c>
      <c r="E1365" s="4"/>
      <c r="F1365" s="4">
        <f>IFERROR(__xludf.DUMMYFUNCTION("""COMPUTED_VALUE"""),12.0)</f>
        <v>12</v>
      </c>
      <c r="G1365" s="4">
        <f>IFERROR(__xludf.DUMMYFUNCTION("""COMPUTED_VALUE"""),833.0)</f>
        <v>833</v>
      </c>
      <c r="H1365" s="4">
        <f>IFERROR(__xludf.DUMMYFUNCTION("""COMPUTED_VALUE"""),29011.0)</f>
        <v>29011</v>
      </c>
      <c r="I1365" s="4">
        <f>IFERROR(__xludf.DUMMYFUNCTION("""COMPUTED_VALUE"""),14858.0)</f>
        <v>14858</v>
      </c>
      <c r="J1365" s="4">
        <f>IFERROR(__xludf.DUMMYFUNCTION("""COMPUTED_VALUE"""),2874.0)</f>
        <v>2874</v>
      </c>
      <c r="K1365" s="4">
        <f>IFERROR(__xludf.DUMMYFUNCTION("""COMPUTED_VALUE"""),3856.0)</f>
        <v>3856</v>
      </c>
      <c r="L1365" s="4">
        <f>IFERROR(__xludf.DUMMYFUNCTION("""COMPUTED_VALUE"""),0.451)</f>
        <v>0.451</v>
      </c>
      <c r="M1365" s="4">
        <f>IFERROR(__xludf.DUMMYFUNCTION("""COMPUTED_VALUE"""),0.314)</f>
        <v>0.314</v>
      </c>
      <c r="N1365" s="4">
        <f>IFERROR(__xludf.DUMMYFUNCTION("""COMPUTED_VALUE"""),0.772)</f>
        <v>0.772</v>
      </c>
      <c r="O1365" s="4">
        <f>IFERROR(__xludf.DUMMYFUNCTION("""COMPUTED_VALUE"""),34.8)</f>
        <v>34.8</v>
      </c>
      <c r="P1365" s="4">
        <f>IFERROR(__xludf.DUMMYFUNCTION("""COMPUTED_VALUE"""),17.8)</f>
        <v>17.8</v>
      </c>
      <c r="Q1365" s="4">
        <f>IFERROR(__xludf.DUMMYFUNCTION("""COMPUTED_VALUE"""),3.5)</f>
        <v>3.5</v>
      </c>
      <c r="R1365" s="4">
        <f>IFERROR(__xludf.DUMMYFUNCTION("""COMPUTED_VALUE"""),4.6)</f>
        <v>4.6</v>
      </c>
      <c r="S1365" s="4">
        <f>IFERROR(__xludf.DUMMYFUNCTION("""COMPUTED_VALUE"""),41.9)</f>
        <v>41.9</v>
      </c>
      <c r="T1365" s="4">
        <f>IFERROR(__xludf.DUMMYFUNCTION("""COMPUTED_VALUE"""),0.069)</f>
        <v>0.069</v>
      </c>
      <c r="U1365" s="4">
        <f>IFERROR(__xludf.DUMMYFUNCTION("""COMPUTED_VALUE"""),-0.3)</f>
        <v>-0.3</v>
      </c>
      <c r="V1365" s="4">
        <f>IFERROR(__xludf.DUMMYFUNCTION("""COMPUTED_VALUE"""),12.4)</f>
        <v>12.4</v>
      </c>
    </row>
    <row r="1366">
      <c r="A1366" s="4">
        <f>IFERROR(__xludf.DUMMYFUNCTION("""COMPUTED_VALUE"""),41.0)</f>
        <v>41</v>
      </c>
      <c r="B1366" s="4">
        <f>IFERROR(__xludf.DUMMYFUNCTION("""COMPUTED_VALUE"""),41.0)</f>
        <v>41</v>
      </c>
      <c r="C1366" s="4" t="str">
        <f>IFERROR(__xludf.DUMMYFUNCTION("""COMPUTED_VALUE"""),"TOR")</f>
        <v>TOR</v>
      </c>
      <c r="D1366" s="4" t="str">
        <f>IFERROR(__xludf.DUMMYFUNCTION("""COMPUTED_VALUE"""),"Roko Ukić")</f>
        <v>Roko Ukić</v>
      </c>
      <c r="E1366" s="4"/>
      <c r="F1366" s="4">
        <f>IFERROR(__xludf.DUMMYFUNCTION("""COMPUTED_VALUE"""),2.0)</f>
        <v>2</v>
      </c>
      <c r="G1366" s="4">
        <f>IFERROR(__xludf.DUMMYFUNCTION("""COMPUTED_VALUE"""),85.0)</f>
        <v>85</v>
      </c>
      <c r="H1366" s="4">
        <f>IFERROR(__xludf.DUMMYFUNCTION("""COMPUTED_VALUE"""),987.0)</f>
        <v>987</v>
      </c>
      <c r="I1366" s="4">
        <f>IFERROR(__xludf.DUMMYFUNCTION("""COMPUTED_VALUE"""),341.0)</f>
        <v>341</v>
      </c>
      <c r="J1366" s="4">
        <f>IFERROR(__xludf.DUMMYFUNCTION("""COMPUTED_VALUE"""),78.0)</f>
        <v>78</v>
      </c>
      <c r="K1366" s="4">
        <f>IFERROR(__xludf.DUMMYFUNCTION("""COMPUTED_VALUE"""),165.0)</f>
        <v>165</v>
      </c>
      <c r="L1366" s="4">
        <f>IFERROR(__xludf.DUMMYFUNCTION("""COMPUTED_VALUE"""),0.387)</f>
        <v>0.387</v>
      </c>
      <c r="M1366" s="4">
        <f>IFERROR(__xludf.DUMMYFUNCTION("""COMPUTED_VALUE"""),0.189)</f>
        <v>0.189</v>
      </c>
      <c r="N1366" s="4">
        <f>IFERROR(__xludf.DUMMYFUNCTION("""COMPUTED_VALUE"""),0.746)</f>
        <v>0.746</v>
      </c>
      <c r="O1366" s="4">
        <f>IFERROR(__xludf.DUMMYFUNCTION("""COMPUTED_VALUE"""),11.6)</f>
        <v>11.6</v>
      </c>
      <c r="P1366" s="4">
        <f>IFERROR(__xludf.DUMMYFUNCTION("""COMPUTED_VALUE"""),4.0)</f>
        <v>4</v>
      </c>
      <c r="Q1366" s="4">
        <f>IFERROR(__xludf.DUMMYFUNCTION("""COMPUTED_VALUE"""),0.9)</f>
        <v>0.9</v>
      </c>
      <c r="R1366" s="4">
        <f>IFERROR(__xludf.DUMMYFUNCTION("""COMPUTED_VALUE"""),1.9)</f>
        <v>1.9</v>
      </c>
      <c r="S1366" s="4">
        <f>IFERROR(__xludf.DUMMYFUNCTION("""COMPUTED_VALUE"""),-0.2)</f>
        <v>-0.2</v>
      </c>
      <c r="T1366" s="4">
        <f>IFERROR(__xludf.DUMMYFUNCTION("""COMPUTED_VALUE"""),-0.007)</f>
        <v>-0.007</v>
      </c>
      <c r="U1366" s="4">
        <f>IFERROR(__xludf.DUMMYFUNCTION("""COMPUTED_VALUE"""),-4.3)</f>
        <v>-4.3</v>
      </c>
      <c r="V1366" s="4">
        <f>IFERROR(__xludf.DUMMYFUNCTION("""COMPUTED_VALUE"""),-0.6)</f>
        <v>-0.6</v>
      </c>
    </row>
    <row r="1367">
      <c r="A1367" s="4">
        <f>IFERROR(__xludf.DUMMYFUNCTION("""COMPUTED_VALUE"""),42.0)</f>
        <v>42</v>
      </c>
      <c r="B1367" s="4">
        <f>IFERROR(__xludf.DUMMYFUNCTION("""COMPUTED_VALUE"""),42.0)</f>
        <v>42</v>
      </c>
      <c r="C1367" s="4" t="str">
        <f>IFERROR(__xludf.DUMMYFUNCTION("""COMPUTED_VALUE"""),"GSW")</f>
        <v>GSW</v>
      </c>
      <c r="D1367" s="4" t="str">
        <f>IFERROR(__xludf.DUMMYFUNCTION("""COMPUTED_VALUE"""),"Chris Taft")</f>
        <v>Chris Taft</v>
      </c>
      <c r="E1367" s="4" t="str">
        <f>IFERROR(__xludf.DUMMYFUNCTION("""COMPUTED_VALUE"""),"Pitt")</f>
        <v>Pitt</v>
      </c>
      <c r="F1367" s="4">
        <f>IFERROR(__xludf.DUMMYFUNCTION("""COMPUTED_VALUE"""),1.0)</f>
        <v>1</v>
      </c>
      <c r="G1367" s="4">
        <f>IFERROR(__xludf.DUMMYFUNCTION("""COMPUTED_VALUE"""),17.0)</f>
        <v>17</v>
      </c>
      <c r="H1367" s="4">
        <f>IFERROR(__xludf.DUMMYFUNCTION("""COMPUTED_VALUE"""),144.0)</f>
        <v>144</v>
      </c>
      <c r="I1367" s="4">
        <f>IFERROR(__xludf.DUMMYFUNCTION("""COMPUTED_VALUE"""),47.0)</f>
        <v>47</v>
      </c>
      <c r="J1367" s="4">
        <f>IFERROR(__xludf.DUMMYFUNCTION("""COMPUTED_VALUE"""),36.0)</f>
        <v>36</v>
      </c>
      <c r="K1367" s="4">
        <f>IFERROR(__xludf.DUMMYFUNCTION("""COMPUTED_VALUE"""),2.0)</f>
        <v>2</v>
      </c>
      <c r="L1367" s="4">
        <f>IFERROR(__xludf.DUMMYFUNCTION("""COMPUTED_VALUE"""),0.605)</f>
        <v>0.605</v>
      </c>
      <c r="M1367" s="4"/>
      <c r="N1367" s="4">
        <f>IFERROR(__xludf.DUMMYFUNCTION("""COMPUTED_VALUE"""),0.167)</f>
        <v>0.167</v>
      </c>
      <c r="O1367" s="4">
        <f>IFERROR(__xludf.DUMMYFUNCTION("""COMPUTED_VALUE"""),8.5)</f>
        <v>8.5</v>
      </c>
      <c r="P1367" s="4">
        <f>IFERROR(__xludf.DUMMYFUNCTION("""COMPUTED_VALUE"""),2.8)</f>
        <v>2.8</v>
      </c>
      <c r="Q1367" s="4">
        <f>IFERROR(__xludf.DUMMYFUNCTION("""COMPUTED_VALUE"""),2.1)</f>
        <v>2.1</v>
      </c>
      <c r="R1367" s="4">
        <f>IFERROR(__xludf.DUMMYFUNCTION("""COMPUTED_VALUE"""),0.1)</f>
        <v>0.1</v>
      </c>
      <c r="S1367" s="4">
        <f>IFERROR(__xludf.DUMMYFUNCTION("""COMPUTED_VALUE"""),0.5)</f>
        <v>0.5</v>
      </c>
      <c r="T1367" s="4">
        <f>IFERROR(__xludf.DUMMYFUNCTION("""COMPUTED_VALUE"""),0.155)</f>
        <v>0.155</v>
      </c>
      <c r="U1367" s="4">
        <f>IFERROR(__xludf.DUMMYFUNCTION("""COMPUTED_VALUE"""),-0.7)</f>
        <v>-0.7</v>
      </c>
      <c r="V1367" s="4">
        <f>IFERROR(__xludf.DUMMYFUNCTION("""COMPUTED_VALUE"""),0.0)</f>
        <v>0</v>
      </c>
    </row>
    <row r="1368">
      <c r="A1368" s="4">
        <f>IFERROR(__xludf.DUMMYFUNCTION("""COMPUTED_VALUE"""),43.0)</f>
        <v>43</v>
      </c>
      <c r="B1368" s="4">
        <f>IFERROR(__xludf.DUMMYFUNCTION("""COMPUTED_VALUE"""),43.0)</f>
        <v>43</v>
      </c>
      <c r="C1368" s="4" t="str">
        <f>IFERROR(__xludf.DUMMYFUNCTION("""COMPUTED_VALUE"""),"NJN")</f>
        <v>NJN</v>
      </c>
      <c r="D1368" s="4" t="str">
        <f>IFERROR(__xludf.DUMMYFUNCTION("""COMPUTED_VALUE"""),"Mile Ilić")</f>
        <v>Mile Ilić</v>
      </c>
      <c r="E1368" s="4"/>
      <c r="F1368" s="4">
        <f>IFERROR(__xludf.DUMMYFUNCTION("""COMPUTED_VALUE"""),1.0)</f>
        <v>1</v>
      </c>
      <c r="G1368" s="4">
        <f>IFERROR(__xludf.DUMMYFUNCTION("""COMPUTED_VALUE"""),5.0)</f>
        <v>5</v>
      </c>
      <c r="H1368" s="4">
        <f>IFERROR(__xludf.DUMMYFUNCTION("""COMPUTED_VALUE"""),6.0)</f>
        <v>6</v>
      </c>
      <c r="I1368" s="4">
        <f>IFERROR(__xludf.DUMMYFUNCTION("""COMPUTED_VALUE"""),0.0)</f>
        <v>0</v>
      </c>
      <c r="J1368" s="4">
        <f>IFERROR(__xludf.DUMMYFUNCTION("""COMPUTED_VALUE"""),1.0)</f>
        <v>1</v>
      </c>
      <c r="K1368" s="4">
        <f>IFERROR(__xludf.DUMMYFUNCTION("""COMPUTED_VALUE"""),0.0)</f>
        <v>0</v>
      </c>
      <c r="L1368" s="4">
        <f>IFERROR(__xludf.DUMMYFUNCTION("""COMPUTED_VALUE"""),0.0)</f>
        <v>0</v>
      </c>
      <c r="M1368" s="4"/>
      <c r="N1368" s="4"/>
      <c r="O1368" s="4">
        <f>IFERROR(__xludf.DUMMYFUNCTION("""COMPUTED_VALUE"""),1.2)</f>
        <v>1.2</v>
      </c>
      <c r="P1368" s="4">
        <f>IFERROR(__xludf.DUMMYFUNCTION("""COMPUTED_VALUE"""),0.0)</f>
        <v>0</v>
      </c>
      <c r="Q1368" s="4">
        <f>IFERROR(__xludf.DUMMYFUNCTION("""COMPUTED_VALUE"""),0.2)</f>
        <v>0.2</v>
      </c>
      <c r="R1368" s="4">
        <f>IFERROR(__xludf.DUMMYFUNCTION("""COMPUTED_VALUE"""),0.0)</f>
        <v>0</v>
      </c>
      <c r="S1368" s="4">
        <f>IFERROR(__xludf.DUMMYFUNCTION("""COMPUTED_VALUE"""),-0.2)</f>
        <v>-0.2</v>
      </c>
      <c r="T1368" s="4">
        <f>IFERROR(__xludf.DUMMYFUNCTION("""COMPUTED_VALUE"""),-1.264)</f>
        <v>-1.264</v>
      </c>
      <c r="U1368" s="4">
        <f>IFERROR(__xludf.DUMMYFUNCTION("""COMPUTED_VALUE"""),-52.0)</f>
        <v>-52</v>
      </c>
      <c r="V1368" s="4">
        <f>IFERROR(__xludf.DUMMYFUNCTION("""COMPUTED_VALUE"""),-0.1)</f>
        <v>-0.1</v>
      </c>
    </row>
    <row r="1369">
      <c r="A1369" s="4">
        <f>IFERROR(__xludf.DUMMYFUNCTION("""COMPUTED_VALUE"""),44.0)</f>
        <v>44</v>
      </c>
      <c r="B1369" s="4">
        <f>IFERROR(__xludf.DUMMYFUNCTION("""COMPUTED_VALUE"""),44.0)</f>
        <v>44</v>
      </c>
      <c r="C1369" s="4" t="str">
        <f>IFERROR(__xludf.DUMMYFUNCTION("""COMPUTED_VALUE"""),"ORL")</f>
        <v>ORL</v>
      </c>
      <c r="D1369" s="4" t="str">
        <f>IFERROR(__xludf.DUMMYFUNCTION("""COMPUTED_VALUE"""),"Martynas Andriuškevičius")</f>
        <v>Martynas Andriuškevičius</v>
      </c>
      <c r="E1369" s="4"/>
      <c r="F1369" s="4">
        <f>IFERROR(__xludf.DUMMYFUNCTION("""COMPUTED_VALUE"""),1.0)</f>
        <v>1</v>
      </c>
      <c r="G1369" s="4">
        <f>IFERROR(__xludf.DUMMYFUNCTION("""COMPUTED_VALUE"""),6.0)</f>
        <v>6</v>
      </c>
      <c r="H1369" s="4">
        <f>IFERROR(__xludf.DUMMYFUNCTION("""COMPUTED_VALUE"""),9.0)</f>
        <v>9</v>
      </c>
      <c r="I1369" s="4">
        <f>IFERROR(__xludf.DUMMYFUNCTION("""COMPUTED_VALUE"""),0.0)</f>
        <v>0</v>
      </c>
      <c r="J1369" s="4">
        <f>IFERROR(__xludf.DUMMYFUNCTION("""COMPUTED_VALUE"""),4.0)</f>
        <v>4</v>
      </c>
      <c r="K1369" s="4">
        <f>IFERROR(__xludf.DUMMYFUNCTION("""COMPUTED_VALUE"""),0.0)</f>
        <v>0</v>
      </c>
      <c r="L1369" s="4">
        <f>IFERROR(__xludf.DUMMYFUNCTION("""COMPUTED_VALUE"""),0.0)</f>
        <v>0</v>
      </c>
      <c r="M1369" s="4"/>
      <c r="N1369" s="4"/>
      <c r="O1369" s="4">
        <f>IFERROR(__xludf.DUMMYFUNCTION("""COMPUTED_VALUE"""),1.5)</f>
        <v>1.5</v>
      </c>
      <c r="P1369" s="4">
        <f>IFERROR(__xludf.DUMMYFUNCTION("""COMPUTED_VALUE"""),0.0)</f>
        <v>0</v>
      </c>
      <c r="Q1369" s="4">
        <f>IFERROR(__xludf.DUMMYFUNCTION("""COMPUTED_VALUE"""),0.7)</f>
        <v>0.7</v>
      </c>
      <c r="R1369" s="4">
        <f>IFERROR(__xludf.DUMMYFUNCTION("""COMPUTED_VALUE"""),0.0)</f>
        <v>0</v>
      </c>
      <c r="S1369" s="4">
        <f>IFERROR(__xludf.DUMMYFUNCTION("""COMPUTED_VALUE"""),0.0)</f>
        <v>0</v>
      </c>
      <c r="T1369" s="4">
        <f>IFERROR(__xludf.DUMMYFUNCTION("""COMPUTED_VALUE"""),0.155)</f>
        <v>0.155</v>
      </c>
      <c r="U1369" s="4">
        <f>IFERROR(__xludf.DUMMYFUNCTION("""COMPUTED_VALUE"""),5.2)</f>
        <v>5.2</v>
      </c>
      <c r="V1369" s="4">
        <f>IFERROR(__xludf.DUMMYFUNCTION("""COMPUTED_VALUE"""),0.0)</f>
        <v>0</v>
      </c>
    </row>
    <row r="1370">
      <c r="A1370" s="4">
        <f>IFERROR(__xludf.DUMMYFUNCTION("""COMPUTED_VALUE"""),45.0)</f>
        <v>45</v>
      </c>
      <c r="B1370" s="4">
        <f>IFERROR(__xludf.DUMMYFUNCTION("""COMPUTED_VALUE"""),45.0)</f>
        <v>45</v>
      </c>
      <c r="C1370" s="4" t="str">
        <f>IFERROR(__xludf.DUMMYFUNCTION("""COMPUTED_VALUE"""),"PHI")</f>
        <v>PHI</v>
      </c>
      <c r="D1370" s="4" t="str">
        <f>IFERROR(__xludf.DUMMYFUNCTION("""COMPUTED_VALUE"""),"Lou Williams")</f>
        <v>Lou Williams</v>
      </c>
      <c r="E1370" s="4"/>
      <c r="F1370" s="4">
        <f>IFERROR(__xludf.DUMMYFUNCTION("""COMPUTED_VALUE"""),17.0)</f>
        <v>17</v>
      </c>
      <c r="G1370" s="4">
        <f>IFERROR(__xludf.DUMMYFUNCTION("""COMPUTED_VALUE"""),1123.0)</f>
        <v>1123</v>
      </c>
      <c r="H1370" s="4">
        <f>IFERROR(__xludf.DUMMYFUNCTION("""COMPUTED_VALUE"""),27104.0)</f>
        <v>27104</v>
      </c>
      <c r="I1370" s="4">
        <f>IFERROR(__xludf.DUMMYFUNCTION("""COMPUTED_VALUE"""),15593.0)</f>
        <v>15593</v>
      </c>
      <c r="J1370" s="4">
        <f>IFERROR(__xludf.DUMMYFUNCTION("""COMPUTED_VALUE"""),2484.0)</f>
        <v>2484</v>
      </c>
      <c r="K1370" s="4">
        <f>IFERROR(__xludf.DUMMYFUNCTION("""COMPUTED_VALUE"""),3789.0)</f>
        <v>3789</v>
      </c>
      <c r="L1370" s="4">
        <f>IFERROR(__xludf.DUMMYFUNCTION("""COMPUTED_VALUE"""),0.419)</f>
        <v>0.419</v>
      </c>
      <c r="M1370" s="4">
        <f>IFERROR(__xludf.DUMMYFUNCTION("""COMPUTED_VALUE"""),0.351)</f>
        <v>0.351</v>
      </c>
      <c r="N1370" s="4">
        <f>IFERROR(__xludf.DUMMYFUNCTION("""COMPUTED_VALUE"""),0.842)</f>
        <v>0.842</v>
      </c>
      <c r="O1370" s="4">
        <f>IFERROR(__xludf.DUMMYFUNCTION("""COMPUTED_VALUE"""),24.1)</f>
        <v>24.1</v>
      </c>
      <c r="P1370" s="4">
        <f>IFERROR(__xludf.DUMMYFUNCTION("""COMPUTED_VALUE"""),13.9)</f>
        <v>13.9</v>
      </c>
      <c r="Q1370" s="4">
        <f>IFERROR(__xludf.DUMMYFUNCTION("""COMPUTED_VALUE"""),2.2)</f>
        <v>2.2</v>
      </c>
      <c r="R1370" s="4">
        <f>IFERROR(__xludf.DUMMYFUNCTION("""COMPUTED_VALUE"""),3.4)</f>
        <v>3.4</v>
      </c>
      <c r="S1370" s="4">
        <f>IFERROR(__xludf.DUMMYFUNCTION("""COMPUTED_VALUE"""),65.7)</f>
        <v>65.7</v>
      </c>
      <c r="T1370" s="4">
        <f>IFERROR(__xludf.DUMMYFUNCTION("""COMPUTED_VALUE"""),0.116)</f>
        <v>0.116</v>
      </c>
      <c r="U1370" s="4">
        <f>IFERROR(__xludf.DUMMYFUNCTION("""COMPUTED_VALUE"""),1.4)</f>
        <v>1.4</v>
      </c>
      <c r="V1370" s="4">
        <f>IFERROR(__xludf.DUMMYFUNCTION("""COMPUTED_VALUE"""),23.2)</f>
        <v>23.2</v>
      </c>
    </row>
    <row r="1371">
      <c r="A1371" s="4">
        <f>IFERROR(__xludf.DUMMYFUNCTION("""COMPUTED_VALUE"""),46.0)</f>
        <v>46</v>
      </c>
      <c r="B1371" s="4">
        <f>IFERROR(__xludf.DUMMYFUNCTION("""COMPUTED_VALUE"""),46.0)</f>
        <v>46</v>
      </c>
      <c r="C1371" s="4" t="str">
        <f>IFERROR(__xludf.DUMMYFUNCTION("""COMPUTED_VALUE"""),"IND")</f>
        <v>IND</v>
      </c>
      <c r="D1371" s="4" t="str">
        <f>IFERROR(__xludf.DUMMYFUNCTION("""COMPUTED_VALUE"""),"Erazem Lorbek")</f>
        <v>Erazem Lorbek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>
      <c r="A1372" s="4">
        <f>IFERROR(__xludf.DUMMYFUNCTION("""COMPUTED_VALUE"""),47.0)</f>
        <v>47</v>
      </c>
      <c r="B1372" s="4">
        <f>IFERROR(__xludf.DUMMYFUNCTION("""COMPUTED_VALUE"""),47.0)</f>
        <v>47</v>
      </c>
      <c r="C1372" s="4" t="str">
        <f>IFERROR(__xludf.DUMMYFUNCTION("""COMPUTED_VALUE"""),"MIN")</f>
        <v>MIN</v>
      </c>
      <c r="D1372" s="4" t="str">
        <f>IFERROR(__xludf.DUMMYFUNCTION("""COMPUTED_VALUE"""),"Bracey Wright")</f>
        <v>Bracey Wright</v>
      </c>
      <c r="E1372" s="4" t="str">
        <f>IFERROR(__xludf.DUMMYFUNCTION("""COMPUTED_VALUE"""),"Indiana")</f>
        <v>Indiana</v>
      </c>
      <c r="F1372" s="4">
        <f>IFERROR(__xludf.DUMMYFUNCTION("""COMPUTED_VALUE"""),2.0)</f>
        <v>2</v>
      </c>
      <c r="G1372" s="4">
        <f>IFERROR(__xludf.DUMMYFUNCTION("""COMPUTED_VALUE"""),26.0)</f>
        <v>26</v>
      </c>
      <c r="H1372" s="4">
        <f>IFERROR(__xludf.DUMMYFUNCTION("""COMPUTED_VALUE"""),325.0)</f>
        <v>325</v>
      </c>
      <c r="I1372" s="4">
        <f>IFERROR(__xludf.DUMMYFUNCTION("""COMPUTED_VALUE"""),129.0)</f>
        <v>129</v>
      </c>
      <c r="J1372" s="4">
        <f>IFERROR(__xludf.DUMMYFUNCTION("""COMPUTED_VALUE"""),39.0)</f>
        <v>39</v>
      </c>
      <c r="K1372" s="4">
        <f>IFERROR(__xludf.DUMMYFUNCTION("""COMPUTED_VALUE"""),20.0)</f>
        <v>20</v>
      </c>
      <c r="L1372" s="4">
        <f>IFERROR(__xludf.DUMMYFUNCTION("""COMPUTED_VALUE"""),0.405)</f>
        <v>0.405</v>
      </c>
      <c r="M1372" s="4">
        <f>IFERROR(__xludf.DUMMYFUNCTION("""COMPUTED_VALUE"""),0.324)</f>
        <v>0.324</v>
      </c>
      <c r="N1372" s="4">
        <f>IFERROR(__xludf.DUMMYFUNCTION("""COMPUTED_VALUE"""),0.794)</f>
        <v>0.794</v>
      </c>
      <c r="O1372" s="4">
        <f>IFERROR(__xludf.DUMMYFUNCTION("""COMPUTED_VALUE"""),12.5)</f>
        <v>12.5</v>
      </c>
      <c r="P1372" s="4">
        <f>IFERROR(__xludf.DUMMYFUNCTION("""COMPUTED_VALUE"""),5.0)</f>
        <v>5</v>
      </c>
      <c r="Q1372" s="4">
        <f>IFERROR(__xludf.DUMMYFUNCTION("""COMPUTED_VALUE"""),1.5)</f>
        <v>1.5</v>
      </c>
      <c r="R1372" s="4">
        <f>IFERROR(__xludf.DUMMYFUNCTION("""COMPUTED_VALUE"""),0.8)</f>
        <v>0.8</v>
      </c>
      <c r="S1372" s="4">
        <f>IFERROR(__xludf.DUMMYFUNCTION("""COMPUTED_VALUE"""),0.5)</f>
        <v>0.5</v>
      </c>
      <c r="T1372" s="4">
        <f>IFERROR(__xludf.DUMMYFUNCTION("""COMPUTED_VALUE"""),0.068)</f>
        <v>0.068</v>
      </c>
      <c r="U1372" s="4">
        <f>IFERROR(__xludf.DUMMYFUNCTION("""COMPUTED_VALUE"""),-1.6)</f>
        <v>-1.6</v>
      </c>
      <c r="V1372" s="4">
        <f>IFERROR(__xludf.DUMMYFUNCTION("""COMPUTED_VALUE"""),0.0)</f>
        <v>0</v>
      </c>
    </row>
    <row r="1373">
      <c r="A1373" s="4">
        <f>IFERROR(__xludf.DUMMYFUNCTION("""COMPUTED_VALUE"""),48.0)</f>
        <v>48</v>
      </c>
      <c r="B1373" s="4">
        <f>IFERROR(__xludf.DUMMYFUNCTION("""COMPUTED_VALUE"""),48.0)</f>
        <v>48</v>
      </c>
      <c r="C1373" s="4" t="str">
        <f>IFERROR(__xludf.DUMMYFUNCTION("""COMPUTED_VALUE"""),"SEA")</f>
        <v>SEA</v>
      </c>
      <c r="D1373" s="4" t="str">
        <f>IFERROR(__xludf.DUMMYFUNCTION("""COMPUTED_VALUE"""),"Mickaël Gelabale")</f>
        <v>Mickaël Gelabale</v>
      </c>
      <c r="E1373" s="4"/>
      <c r="F1373" s="4">
        <f>IFERROR(__xludf.DUMMYFUNCTION("""COMPUTED_VALUE"""),3.0)</f>
        <v>3</v>
      </c>
      <c r="G1373" s="4">
        <f>IFERROR(__xludf.DUMMYFUNCTION("""COMPUTED_VALUE"""),145.0)</f>
        <v>145</v>
      </c>
      <c r="H1373" s="4">
        <f>IFERROR(__xludf.DUMMYFUNCTION("""COMPUTED_VALUE"""),2348.0)</f>
        <v>2348</v>
      </c>
      <c r="I1373" s="4">
        <f>IFERROR(__xludf.DUMMYFUNCTION("""COMPUTED_VALUE"""),670.0)</f>
        <v>670</v>
      </c>
      <c r="J1373" s="4">
        <f>IFERROR(__xludf.DUMMYFUNCTION("""COMPUTED_VALUE"""),330.0)</f>
        <v>330</v>
      </c>
      <c r="K1373" s="4">
        <f>IFERROR(__xludf.DUMMYFUNCTION("""COMPUTED_VALUE"""),115.0)</f>
        <v>115</v>
      </c>
      <c r="L1373" s="4">
        <f>IFERROR(__xludf.DUMMYFUNCTION("""COMPUTED_VALUE"""),0.47)</f>
        <v>0.47</v>
      </c>
      <c r="M1373" s="4">
        <f>IFERROR(__xludf.DUMMYFUNCTION("""COMPUTED_VALUE"""),0.316)</f>
        <v>0.316</v>
      </c>
      <c r="N1373" s="4">
        <f>IFERROR(__xludf.DUMMYFUNCTION("""COMPUTED_VALUE"""),0.815)</f>
        <v>0.815</v>
      </c>
      <c r="O1373" s="4">
        <f>IFERROR(__xludf.DUMMYFUNCTION("""COMPUTED_VALUE"""),16.2)</f>
        <v>16.2</v>
      </c>
      <c r="P1373" s="4">
        <f>IFERROR(__xludf.DUMMYFUNCTION("""COMPUTED_VALUE"""),4.6)</f>
        <v>4.6</v>
      </c>
      <c r="Q1373" s="4">
        <f>IFERROR(__xludf.DUMMYFUNCTION("""COMPUTED_VALUE"""),2.3)</f>
        <v>2.3</v>
      </c>
      <c r="R1373" s="4">
        <f>IFERROR(__xludf.DUMMYFUNCTION("""COMPUTED_VALUE"""),0.8)</f>
        <v>0.8</v>
      </c>
      <c r="S1373" s="4">
        <f>IFERROR(__xludf.DUMMYFUNCTION("""COMPUTED_VALUE"""),3.0)</f>
        <v>3</v>
      </c>
      <c r="T1373" s="4">
        <f>IFERROR(__xludf.DUMMYFUNCTION("""COMPUTED_VALUE"""),0.062)</f>
        <v>0.062</v>
      </c>
      <c r="U1373" s="4">
        <f>IFERROR(__xludf.DUMMYFUNCTION("""COMPUTED_VALUE"""),-2.1)</f>
        <v>-2.1</v>
      </c>
      <c r="V1373" s="4">
        <f>IFERROR(__xludf.DUMMYFUNCTION("""COMPUTED_VALUE"""),0.0)</f>
        <v>0</v>
      </c>
    </row>
    <row r="1374">
      <c r="A1374" s="4">
        <f>IFERROR(__xludf.DUMMYFUNCTION("""COMPUTED_VALUE"""),49.0)</f>
        <v>49</v>
      </c>
      <c r="B1374" s="4">
        <f>IFERROR(__xludf.DUMMYFUNCTION("""COMPUTED_VALUE"""),49.0)</f>
        <v>49</v>
      </c>
      <c r="C1374" s="4" t="str">
        <f>IFERROR(__xludf.DUMMYFUNCTION("""COMPUTED_VALUE"""),"WAS")</f>
        <v>WAS</v>
      </c>
      <c r="D1374" s="4" t="str">
        <f>IFERROR(__xludf.DUMMYFUNCTION("""COMPUTED_VALUE"""),"Andray Blatche")</f>
        <v>Andray Blatche</v>
      </c>
      <c r="E1374" s="4"/>
      <c r="F1374" s="4">
        <f>IFERROR(__xludf.DUMMYFUNCTION("""COMPUTED_VALUE"""),9.0)</f>
        <v>9</v>
      </c>
      <c r="G1374" s="4">
        <f>IFERROR(__xludf.DUMMYFUNCTION("""COMPUTED_VALUE"""),564.0)</f>
        <v>564</v>
      </c>
      <c r="H1374" s="4">
        <f>IFERROR(__xludf.DUMMYFUNCTION("""COMPUTED_VALUE"""),12462.0)</f>
        <v>12462</v>
      </c>
      <c r="I1374" s="4">
        <f>IFERROR(__xludf.DUMMYFUNCTION("""COMPUTED_VALUE"""),5706.0)</f>
        <v>5706</v>
      </c>
      <c r="J1374" s="4">
        <f>IFERROR(__xludf.DUMMYFUNCTION("""COMPUTED_VALUE"""),3024.0)</f>
        <v>3024</v>
      </c>
      <c r="K1374" s="4">
        <f>IFERROR(__xludf.DUMMYFUNCTION("""COMPUTED_VALUE"""),798.0)</f>
        <v>798</v>
      </c>
      <c r="L1374" s="4">
        <f>IFERROR(__xludf.DUMMYFUNCTION("""COMPUTED_VALUE"""),0.467)</f>
        <v>0.467</v>
      </c>
      <c r="M1374" s="4">
        <f>IFERROR(__xludf.DUMMYFUNCTION("""COMPUTED_VALUE"""),0.237)</f>
        <v>0.237</v>
      </c>
      <c r="N1374" s="4">
        <f>IFERROR(__xludf.DUMMYFUNCTION("""COMPUTED_VALUE"""),0.725)</f>
        <v>0.725</v>
      </c>
      <c r="O1374" s="4">
        <f>IFERROR(__xludf.DUMMYFUNCTION("""COMPUTED_VALUE"""),22.1)</f>
        <v>22.1</v>
      </c>
      <c r="P1374" s="4">
        <f>IFERROR(__xludf.DUMMYFUNCTION("""COMPUTED_VALUE"""),10.1)</f>
        <v>10.1</v>
      </c>
      <c r="Q1374" s="4">
        <f>IFERROR(__xludf.DUMMYFUNCTION("""COMPUTED_VALUE"""),5.4)</f>
        <v>5.4</v>
      </c>
      <c r="R1374" s="4">
        <f>IFERROR(__xludf.DUMMYFUNCTION("""COMPUTED_VALUE"""),1.4)</f>
        <v>1.4</v>
      </c>
      <c r="S1374" s="4">
        <f>IFERROR(__xludf.DUMMYFUNCTION("""COMPUTED_VALUE"""),19.2)</f>
        <v>19.2</v>
      </c>
      <c r="T1374" s="4">
        <f>IFERROR(__xludf.DUMMYFUNCTION("""COMPUTED_VALUE"""),0.074)</f>
        <v>0.074</v>
      </c>
      <c r="U1374" s="4">
        <f>IFERROR(__xludf.DUMMYFUNCTION("""COMPUTED_VALUE"""),-0.8)</f>
        <v>-0.8</v>
      </c>
      <c r="V1374" s="4">
        <f>IFERROR(__xludf.DUMMYFUNCTION("""COMPUTED_VALUE"""),3.8)</f>
        <v>3.8</v>
      </c>
    </row>
    <row r="1375">
      <c r="A1375" s="4">
        <f>IFERROR(__xludf.DUMMYFUNCTION("""COMPUTED_VALUE"""),50.0)</f>
        <v>50</v>
      </c>
      <c r="B1375" s="4">
        <f>IFERROR(__xludf.DUMMYFUNCTION("""COMPUTED_VALUE"""),50.0)</f>
        <v>50</v>
      </c>
      <c r="C1375" s="4" t="str">
        <f>IFERROR(__xludf.DUMMYFUNCTION("""COMPUTED_VALUE"""),"BOS")</f>
        <v>BOS</v>
      </c>
      <c r="D1375" s="4" t="str">
        <f>IFERROR(__xludf.DUMMYFUNCTION("""COMPUTED_VALUE"""),"Ryan Gomes")</f>
        <v>Ryan Gomes</v>
      </c>
      <c r="E1375" s="4" t="str">
        <f>IFERROR(__xludf.DUMMYFUNCTION("""COMPUTED_VALUE"""),"Providence")</f>
        <v>Providence</v>
      </c>
      <c r="F1375" s="4">
        <f>IFERROR(__xludf.DUMMYFUNCTION("""COMPUTED_VALUE"""),8.0)</f>
        <v>8</v>
      </c>
      <c r="G1375" s="4">
        <f>IFERROR(__xludf.DUMMYFUNCTION("""COMPUTED_VALUE"""),487.0)</f>
        <v>487</v>
      </c>
      <c r="H1375" s="4">
        <f>IFERROR(__xludf.DUMMYFUNCTION("""COMPUTED_VALUE"""),13463.0)</f>
        <v>13463</v>
      </c>
      <c r="I1375" s="4">
        <f>IFERROR(__xludf.DUMMYFUNCTION("""COMPUTED_VALUE"""),4926.0)</f>
        <v>4926</v>
      </c>
      <c r="J1375" s="4">
        <f>IFERROR(__xludf.DUMMYFUNCTION("""COMPUTED_VALUE"""),2239.0)</f>
        <v>2239</v>
      </c>
      <c r="K1375" s="4">
        <f>IFERROR(__xludf.DUMMYFUNCTION("""COMPUTED_VALUE"""),712.0)</f>
        <v>712</v>
      </c>
      <c r="L1375" s="4">
        <f>IFERROR(__xludf.DUMMYFUNCTION("""COMPUTED_VALUE"""),0.445)</f>
        <v>0.445</v>
      </c>
      <c r="M1375" s="4">
        <f>IFERROR(__xludf.DUMMYFUNCTION("""COMPUTED_VALUE"""),0.349)</f>
        <v>0.349</v>
      </c>
      <c r="N1375" s="4">
        <f>IFERROR(__xludf.DUMMYFUNCTION("""COMPUTED_VALUE"""),0.799)</f>
        <v>0.799</v>
      </c>
      <c r="O1375" s="4">
        <f>IFERROR(__xludf.DUMMYFUNCTION("""COMPUTED_VALUE"""),27.6)</f>
        <v>27.6</v>
      </c>
      <c r="P1375" s="4">
        <f>IFERROR(__xludf.DUMMYFUNCTION("""COMPUTED_VALUE"""),10.1)</f>
        <v>10.1</v>
      </c>
      <c r="Q1375" s="4">
        <f>IFERROR(__xludf.DUMMYFUNCTION("""COMPUTED_VALUE"""),4.6)</f>
        <v>4.6</v>
      </c>
      <c r="R1375" s="4">
        <f>IFERROR(__xludf.DUMMYFUNCTION("""COMPUTED_VALUE"""),1.5)</f>
        <v>1.5</v>
      </c>
      <c r="S1375" s="4">
        <f>IFERROR(__xludf.DUMMYFUNCTION("""COMPUTED_VALUE"""),19.4)</f>
        <v>19.4</v>
      </c>
      <c r="T1375" s="4">
        <f>IFERROR(__xludf.DUMMYFUNCTION("""COMPUTED_VALUE"""),0.069)</f>
        <v>0.069</v>
      </c>
      <c r="U1375" s="4">
        <f>IFERROR(__xludf.DUMMYFUNCTION("""COMPUTED_VALUE"""),-1.6)</f>
        <v>-1.6</v>
      </c>
      <c r="V1375" s="4">
        <f>IFERROR(__xludf.DUMMYFUNCTION("""COMPUTED_VALUE"""),1.4)</f>
        <v>1.4</v>
      </c>
    </row>
    <row r="1376">
      <c r="A1376" s="4">
        <f>IFERROR(__xludf.DUMMYFUNCTION("""COMPUTED_VALUE"""),51.0)</f>
        <v>51</v>
      </c>
      <c r="B1376" s="4">
        <f>IFERROR(__xludf.DUMMYFUNCTION("""COMPUTED_VALUE"""),51.0)</f>
        <v>51</v>
      </c>
      <c r="C1376" s="4" t="str">
        <f>IFERROR(__xludf.DUMMYFUNCTION("""COMPUTED_VALUE"""),"UTA")</f>
        <v>UTA</v>
      </c>
      <c r="D1376" s="4" t="str">
        <f>IFERROR(__xludf.DUMMYFUNCTION("""COMPUTED_VALUE"""),"Robert Whaley")</f>
        <v>Robert Whaley</v>
      </c>
      <c r="E1376" s="4" t="str">
        <f>IFERROR(__xludf.DUMMYFUNCTION("""COMPUTED_VALUE"""),"Walsh University")</f>
        <v>Walsh University</v>
      </c>
      <c r="F1376" s="4">
        <f>IFERROR(__xludf.DUMMYFUNCTION("""COMPUTED_VALUE"""),1.0)</f>
        <v>1</v>
      </c>
      <c r="G1376" s="4">
        <f>IFERROR(__xludf.DUMMYFUNCTION("""COMPUTED_VALUE"""),23.0)</f>
        <v>23</v>
      </c>
      <c r="H1376" s="4">
        <f>IFERROR(__xludf.DUMMYFUNCTION("""COMPUTED_VALUE"""),212.0)</f>
        <v>212</v>
      </c>
      <c r="I1376" s="4">
        <f>IFERROR(__xludf.DUMMYFUNCTION("""COMPUTED_VALUE"""),49.0)</f>
        <v>49</v>
      </c>
      <c r="J1376" s="4">
        <f>IFERROR(__xludf.DUMMYFUNCTION("""COMPUTED_VALUE"""),43.0)</f>
        <v>43</v>
      </c>
      <c r="K1376" s="4">
        <f>IFERROR(__xludf.DUMMYFUNCTION("""COMPUTED_VALUE"""),17.0)</f>
        <v>17</v>
      </c>
      <c r="L1376" s="4">
        <f>IFERROR(__xludf.DUMMYFUNCTION("""COMPUTED_VALUE"""),0.404)</f>
        <v>0.404</v>
      </c>
      <c r="M1376" s="4"/>
      <c r="N1376" s="4">
        <f>IFERROR(__xludf.DUMMYFUNCTION("""COMPUTED_VALUE"""),0.5)</f>
        <v>0.5</v>
      </c>
      <c r="O1376" s="4">
        <f>IFERROR(__xludf.DUMMYFUNCTION("""COMPUTED_VALUE"""),9.2)</f>
        <v>9.2</v>
      </c>
      <c r="P1376" s="4">
        <f>IFERROR(__xludf.DUMMYFUNCTION("""COMPUTED_VALUE"""),2.1)</f>
        <v>2.1</v>
      </c>
      <c r="Q1376" s="4">
        <f>IFERROR(__xludf.DUMMYFUNCTION("""COMPUTED_VALUE"""),1.9)</f>
        <v>1.9</v>
      </c>
      <c r="R1376" s="4">
        <f>IFERROR(__xludf.DUMMYFUNCTION("""COMPUTED_VALUE"""),0.7)</f>
        <v>0.7</v>
      </c>
      <c r="S1376" s="4">
        <f>IFERROR(__xludf.DUMMYFUNCTION("""COMPUTED_VALUE"""),0.0)</f>
        <v>0</v>
      </c>
      <c r="T1376" s="4">
        <f>IFERROR(__xludf.DUMMYFUNCTION("""COMPUTED_VALUE"""),0.004)</f>
        <v>0.004</v>
      </c>
      <c r="U1376" s="4">
        <f>IFERROR(__xludf.DUMMYFUNCTION("""COMPUTED_VALUE"""),-5.1)</f>
        <v>-5.1</v>
      </c>
      <c r="V1376" s="4">
        <f>IFERROR(__xludf.DUMMYFUNCTION("""COMPUTED_VALUE"""),-0.2)</f>
        <v>-0.2</v>
      </c>
    </row>
    <row r="1377">
      <c r="A1377" s="4">
        <f>IFERROR(__xludf.DUMMYFUNCTION("""COMPUTED_VALUE"""),52.0)</f>
        <v>52</v>
      </c>
      <c r="B1377" s="4">
        <f>IFERROR(__xludf.DUMMYFUNCTION("""COMPUTED_VALUE"""),52.0)</f>
        <v>52</v>
      </c>
      <c r="C1377" s="4" t="str">
        <f>IFERROR(__xludf.DUMMYFUNCTION("""COMPUTED_VALUE"""),"DEN")</f>
        <v>DEN</v>
      </c>
      <c r="D1377" s="4" t="str">
        <f>IFERROR(__xludf.DUMMYFUNCTION("""COMPUTED_VALUE"""),"Axel Hervelle")</f>
        <v>Axel Hervelle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>
      <c r="A1378" s="4">
        <f>IFERROR(__xludf.DUMMYFUNCTION("""COMPUTED_VALUE"""),53.0)</f>
        <v>53</v>
      </c>
      <c r="B1378" s="4">
        <f>IFERROR(__xludf.DUMMYFUNCTION("""COMPUTED_VALUE"""),53.0)</f>
        <v>53</v>
      </c>
      <c r="C1378" s="4" t="str">
        <f>IFERROR(__xludf.DUMMYFUNCTION("""COMPUTED_VALUE"""),"BOS")</f>
        <v>BOS</v>
      </c>
      <c r="D1378" s="4" t="str">
        <f>IFERROR(__xludf.DUMMYFUNCTION("""COMPUTED_VALUE"""),"Orien Greene")</f>
        <v>Orien Greene</v>
      </c>
      <c r="E1378" s="4" t="str">
        <f>IFERROR(__xludf.DUMMYFUNCTION("""COMPUTED_VALUE"""),"Louisiana")</f>
        <v>Louisiana</v>
      </c>
      <c r="F1378" s="4">
        <f>IFERROR(__xludf.DUMMYFUNCTION("""COMPUTED_VALUE"""),4.0)</f>
        <v>4</v>
      </c>
      <c r="G1378" s="4">
        <f>IFERROR(__xludf.DUMMYFUNCTION("""COMPUTED_VALUE"""),131.0)</f>
        <v>131</v>
      </c>
      <c r="H1378" s="4">
        <f>IFERROR(__xludf.DUMMYFUNCTION("""COMPUTED_VALUE"""),1555.0)</f>
        <v>1555</v>
      </c>
      <c r="I1378" s="4">
        <f>IFERROR(__xludf.DUMMYFUNCTION("""COMPUTED_VALUE"""),326.0)</f>
        <v>326</v>
      </c>
      <c r="J1378" s="4">
        <f>IFERROR(__xludf.DUMMYFUNCTION("""COMPUTED_VALUE"""),195.0)</f>
        <v>195</v>
      </c>
      <c r="K1378" s="4">
        <f>IFERROR(__xludf.DUMMYFUNCTION("""COMPUTED_VALUE"""),155.0)</f>
        <v>155</v>
      </c>
      <c r="L1378" s="4">
        <f>IFERROR(__xludf.DUMMYFUNCTION("""COMPUTED_VALUE"""),0.387)</f>
        <v>0.387</v>
      </c>
      <c r="M1378" s="4">
        <f>IFERROR(__xludf.DUMMYFUNCTION("""COMPUTED_VALUE"""),0.212)</f>
        <v>0.212</v>
      </c>
      <c r="N1378" s="4">
        <f>IFERROR(__xludf.DUMMYFUNCTION("""COMPUTED_VALUE"""),0.642)</f>
        <v>0.642</v>
      </c>
      <c r="O1378" s="4">
        <f>IFERROR(__xludf.DUMMYFUNCTION("""COMPUTED_VALUE"""),11.9)</f>
        <v>11.9</v>
      </c>
      <c r="P1378" s="4">
        <f>IFERROR(__xludf.DUMMYFUNCTION("""COMPUTED_VALUE"""),2.5)</f>
        <v>2.5</v>
      </c>
      <c r="Q1378" s="4">
        <f>IFERROR(__xludf.DUMMYFUNCTION("""COMPUTED_VALUE"""),1.5)</f>
        <v>1.5</v>
      </c>
      <c r="R1378" s="4">
        <f>IFERROR(__xludf.DUMMYFUNCTION("""COMPUTED_VALUE"""),1.2)</f>
        <v>1.2</v>
      </c>
      <c r="S1378" s="4">
        <f>IFERROR(__xludf.DUMMYFUNCTION("""COMPUTED_VALUE"""),-0.7)</f>
        <v>-0.7</v>
      </c>
      <c r="T1378" s="4">
        <f>IFERROR(__xludf.DUMMYFUNCTION("""COMPUTED_VALUE"""),-0.022)</f>
        <v>-0.022</v>
      </c>
      <c r="U1378" s="4">
        <f>IFERROR(__xludf.DUMMYFUNCTION("""COMPUTED_VALUE"""),-4.6)</f>
        <v>-4.6</v>
      </c>
      <c r="V1378" s="4">
        <f>IFERROR(__xludf.DUMMYFUNCTION("""COMPUTED_VALUE"""),-1.0)</f>
        <v>-1</v>
      </c>
    </row>
    <row r="1379">
      <c r="A1379" s="4">
        <f>IFERROR(__xludf.DUMMYFUNCTION("""COMPUTED_VALUE"""),54.0)</f>
        <v>54</v>
      </c>
      <c r="B1379" s="4">
        <f>IFERROR(__xludf.DUMMYFUNCTION("""COMPUTED_VALUE"""),54.0)</f>
        <v>54</v>
      </c>
      <c r="C1379" s="4" t="str">
        <f>IFERROR(__xludf.DUMMYFUNCTION("""COMPUTED_VALUE"""),"NYK")</f>
        <v>NYK</v>
      </c>
      <c r="D1379" s="4" t="str">
        <f>IFERROR(__xludf.DUMMYFUNCTION("""COMPUTED_VALUE"""),"Dijon Thompson")</f>
        <v>Dijon Thompson</v>
      </c>
      <c r="E1379" s="4" t="str">
        <f>IFERROR(__xludf.DUMMYFUNCTION("""COMPUTED_VALUE"""),"UCLA")</f>
        <v>UCLA</v>
      </c>
      <c r="F1379" s="4">
        <f>IFERROR(__xludf.DUMMYFUNCTION("""COMPUTED_VALUE"""),2.0)</f>
        <v>2</v>
      </c>
      <c r="G1379" s="4">
        <f>IFERROR(__xludf.DUMMYFUNCTION("""COMPUTED_VALUE"""),16.0)</f>
        <v>16</v>
      </c>
      <c r="H1379" s="4">
        <f>IFERROR(__xludf.DUMMYFUNCTION("""COMPUTED_VALUE"""),93.0)</f>
        <v>93</v>
      </c>
      <c r="I1379" s="4">
        <f>IFERROR(__xludf.DUMMYFUNCTION("""COMPUTED_VALUE"""),45.0)</f>
        <v>45</v>
      </c>
      <c r="J1379" s="4">
        <f>IFERROR(__xludf.DUMMYFUNCTION("""COMPUTED_VALUE"""),19.0)</f>
        <v>19</v>
      </c>
      <c r="K1379" s="4">
        <f>IFERROR(__xludf.DUMMYFUNCTION("""COMPUTED_VALUE"""),3.0)</f>
        <v>3</v>
      </c>
      <c r="L1379" s="4">
        <f>IFERROR(__xludf.DUMMYFUNCTION("""COMPUTED_VALUE"""),0.425)</f>
        <v>0.425</v>
      </c>
      <c r="M1379" s="4">
        <f>IFERROR(__xludf.DUMMYFUNCTION("""COMPUTED_VALUE"""),0.308)</f>
        <v>0.308</v>
      </c>
      <c r="N1379" s="4">
        <f>IFERROR(__xludf.DUMMYFUNCTION("""COMPUTED_VALUE"""),0.875)</f>
        <v>0.875</v>
      </c>
      <c r="O1379" s="4">
        <f>IFERROR(__xludf.DUMMYFUNCTION("""COMPUTED_VALUE"""),5.8)</f>
        <v>5.8</v>
      </c>
      <c r="P1379" s="4">
        <f>IFERROR(__xludf.DUMMYFUNCTION("""COMPUTED_VALUE"""),2.8)</f>
        <v>2.8</v>
      </c>
      <c r="Q1379" s="4">
        <f>IFERROR(__xludf.DUMMYFUNCTION("""COMPUTED_VALUE"""),1.2)</f>
        <v>1.2</v>
      </c>
      <c r="R1379" s="4">
        <f>IFERROR(__xludf.DUMMYFUNCTION("""COMPUTED_VALUE"""),0.2)</f>
        <v>0.2</v>
      </c>
      <c r="S1379" s="4">
        <f>IFERROR(__xludf.DUMMYFUNCTION("""COMPUTED_VALUE"""),0.2)</f>
        <v>0.2</v>
      </c>
      <c r="T1379" s="4">
        <f>IFERROR(__xludf.DUMMYFUNCTION("""COMPUTED_VALUE"""),0.102)</f>
        <v>0.102</v>
      </c>
      <c r="U1379" s="4">
        <f>IFERROR(__xludf.DUMMYFUNCTION("""COMPUTED_VALUE"""),-0.5)</f>
        <v>-0.5</v>
      </c>
      <c r="V1379" s="4">
        <f>IFERROR(__xludf.DUMMYFUNCTION("""COMPUTED_VALUE"""),0.0)</f>
        <v>0</v>
      </c>
    </row>
    <row r="1380">
      <c r="A1380" s="4">
        <f>IFERROR(__xludf.DUMMYFUNCTION("""COMPUTED_VALUE"""),55.0)</f>
        <v>55</v>
      </c>
      <c r="B1380" s="4">
        <f>IFERROR(__xludf.DUMMYFUNCTION("""COMPUTED_VALUE"""),55.0)</f>
        <v>55</v>
      </c>
      <c r="C1380" s="4" t="str">
        <f>IFERROR(__xludf.DUMMYFUNCTION("""COMPUTED_VALUE"""),"SEA")</f>
        <v>SEA</v>
      </c>
      <c r="D1380" s="4" t="str">
        <f>IFERROR(__xludf.DUMMYFUNCTION("""COMPUTED_VALUE"""),"Lawrence Roberts")</f>
        <v>Lawrence Roberts</v>
      </c>
      <c r="E1380" s="4" t="str">
        <f>IFERROR(__xludf.DUMMYFUNCTION("""COMPUTED_VALUE"""),"Mississippi State")</f>
        <v>Mississippi State</v>
      </c>
      <c r="F1380" s="4">
        <f>IFERROR(__xludf.DUMMYFUNCTION("""COMPUTED_VALUE"""),2.0)</f>
        <v>2</v>
      </c>
      <c r="G1380" s="4">
        <f>IFERROR(__xludf.DUMMYFUNCTION("""COMPUTED_VALUE"""),87.0)</f>
        <v>87</v>
      </c>
      <c r="H1380" s="4">
        <f>IFERROR(__xludf.DUMMYFUNCTION("""COMPUTED_VALUE"""),1150.0)</f>
        <v>1150</v>
      </c>
      <c r="I1380" s="4">
        <f>IFERROR(__xludf.DUMMYFUNCTION("""COMPUTED_VALUE"""),334.0)</f>
        <v>334</v>
      </c>
      <c r="J1380" s="4">
        <f>IFERROR(__xludf.DUMMYFUNCTION("""COMPUTED_VALUE"""),310.0)</f>
        <v>310</v>
      </c>
      <c r="K1380" s="4">
        <f>IFERROR(__xludf.DUMMYFUNCTION("""COMPUTED_VALUE"""),35.0)</f>
        <v>35</v>
      </c>
      <c r="L1380" s="4">
        <f>IFERROR(__xludf.DUMMYFUNCTION("""COMPUTED_VALUE"""),0.452)</f>
        <v>0.452</v>
      </c>
      <c r="M1380" s="4">
        <f>IFERROR(__xludf.DUMMYFUNCTION("""COMPUTED_VALUE"""),0.0)</f>
        <v>0</v>
      </c>
      <c r="N1380" s="4">
        <f>IFERROR(__xludf.DUMMYFUNCTION("""COMPUTED_VALUE"""),0.688)</f>
        <v>0.688</v>
      </c>
      <c r="O1380" s="4">
        <f>IFERROR(__xludf.DUMMYFUNCTION("""COMPUTED_VALUE"""),13.2)</f>
        <v>13.2</v>
      </c>
      <c r="P1380" s="4">
        <f>IFERROR(__xludf.DUMMYFUNCTION("""COMPUTED_VALUE"""),3.8)</f>
        <v>3.8</v>
      </c>
      <c r="Q1380" s="4">
        <f>IFERROR(__xludf.DUMMYFUNCTION("""COMPUTED_VALUE"""),3.6)</f>
        <v>3.6</v>
      </c>
      <c r="R1380" s="4">
        <f>IFERROR(__xludf.DUMMYFUNCTION("""COMPUTED_VALUE"""),0.4)</f>
        <v>0.4</v>
      </c>
      <c r="S1380" s="4">
        <f>IFERROR(__xludf.DUMMYFUNCTION("""COMPUTED_VALUE"""),2.5)</f>
        <v>2.5</v>
      </c>
      <c r="T1380" s="4">
        <f>IFERROR(__xludf.DUMMYFUNCTION("""COMPUTED_VALUE"""),0.106)</f>
        <v>0.106</v>
      </c>
      <c r="U1380" s="4">
        <f>IFERROR(__xludf.DUMMYFUNCTION("""COMPUTED_VALUE"""),-1.9)</f>
        <v>-1.9</v>
      </c>
      <c r="V1380" s="4">
        <f>IFERROR(__xludf.DUMMYFUNCTION("""COMPUTED_VALUE"""),0.0)</f>
        <v>0</v>
      </c>
    </row>
    <row r="1381">
      <c r="A1381" s="4">
        <f>IFERROR(__xludf.DUMMYFUNCTION("""COMPUTED_VALUE"""),56.0)</f>
        <v>56</v>
      </c>
      <c r="B1381" s="4">
        <f>IFERROR(__xludf.DUMMYFUNCTION("""COMPUTED_VALUE"""),56.0)</f>
        <v>56</v>
      </c>
      <c r="C1381" s="4" t="str">
        <f>IFERROR(__xludf.DUMMYFUNCTION("""COMPUTED_VALUE"""),"DET")</f>
        <v>DET</v>
      </c>
      <c r="D1381" s="4" t="str">
        <f>IFERROR(__xludf.DUMMYFUNCTION("""COMPUTED_VALUE"""),"Amir Johnson")</f>
        <v>Amir Johnson</v>
      </c>
      <c r="E1381" s="4"/>
      <c r="F1381" s="4">
        <f>IFERROR(__xludf.DUMMYFUNCTION("""COMPUTED_VALUE"""),14.0)</f>
        <v>14</v>
      </c>
      <c r="G1381" s="4">
        <f>IFERROR(__xludf.DUMMYFUNCTION("""COMPUTED_VALUE"""),870.0)</f>
        <v>870</v>
      </c>
      <c r="H1381" s="4">
        <f>IFERROR(__xludf.DUMMYFUNCTION("""COMPUTED_VALUE"""),18323.0)</f>
        <v>18323</v>
      </c>
      <c r="I1381" s="4">
        <f>IFERROR(__xludf.DUMMYFUNCTION("""COMPUTED_VALUE"""),6102.0)</f>
        <v>6102</v>
      </c>
      <c r="J1381" s="4">
        <f>IFERROR(__xludf.DUMMYFUNCTION("""COMPUTED_VALUE"""),4692.0)</f>
        <v>4692</v>
      </c>
      <c r="K1381" s="4">
        <f>IFERROR(__xludf.DUMMYFUNCTION("""COMPUTED_VALUE"""),1073.0)</f>
        <v>1073</v>
      </c>
      <c r="L1381" s="4">
        <f>IFERROR(__xludf.DUMMYFUNCTION("""COMPUTED_VALUE"""),0.57)</f>
        <v>0.57</v>
      </c>
      <c r="M1381" s="4">
        <f>IFERROR(__xludf.DUMMYFUNCTION("""COMPUTED_VALUE"""),0.332)</f>
        <v>0.332</v>
      </c>
      <c r="N1381" s="4">
        <f>IFERROR(__xludf.DUMMYFUNCTION("""COMPUTED_VALUE"""),0.673)</f>
        <v>0.673</v>
      </c>
      <c r="O1381" s="4">
        <f>IFERROR(__xludf.DUMMYFUNCTION("""COMPUTED_VALUE"""),21.1)</f>
        <v>21.1</v>
      </c>
      <c r="P1381" s="4">
        <f>IFERROR(__xludf.DUMMYFUNCTION("""COMPUTED_VALUE"""),7.0)</f>
        <v>7</v>
      </c>
      <c r="Q1381" s="4">
        <f>IFERROR(__xludf.DUMMYFUNCTION("""COMPUTED_VALUE"""),5.4)</f>
        <v>5.4</v>
      </c>
      <c r="R1381" s="4">
        <f>IFERROR(__xludf.DUMMYFUNCTION("""COMPUTED_VALUE"""),1.2)</f>
        <v>1.2</v>
      </c>
      <c r="S1381" s="4">
        <f>IFERROR(__xludf.DUMMYFUNCTION("""COMPUTED_VALUE"""),55.3)</f>
        <v>55.3</v>
      </c>
      <c r="T1381" s="4">
        <f>IFERROR(__xludf.DUMMYFUNCTION("""COMPUTED_VALUE"""),0.145)</f>
        <v>0.145</v>
      </c>
      <c r="U1381" s="4">
        <f>IFERROR(__xludf.DUMMYFUNCTION("""COMPUTED_VALUE"""),0.3)</f>
        <v>0.3</v>
      </c>
      <c r="V1381" s="4">
        <f>IFERROR(__xludf.DUMMYFUNCTION("""COMPUTED_VALUE"""),10.6)</f>
        <v>10.6</v>
      </c>
    </row>
    <row r="1382">
      <c r="A1382" s="4">
        <f>IFERROR(__xludf.DUMMYFUNCTION("""COMPUTED_VALUE"""),57.0)</f>
        <v>57</v>
      </c>
      <c r="B1382" s="4">
        <f>IFERROR(__xludf.DUMMYFUNCTION("""COMPUTED_VALUE"""),57.0)</f>
        <v>57</v>
      </c>
      <c r="C1382" s="4" t="str">
        <f>IFERROR(__xludf.DUMMYFUNCTION("""COMPUTED_VALUE"""),"PHO")</f>
        <v>PHO</v>
      </c>
      <c r="D1382" s="4" t="str">
        <f>IFERROR(__xludf.DUMMYFUNCTION("""COMPUTED_VALUE"""),"Marcin Gortat")</f>
        <v>Marcin Gortat</v>
      </c>
      <c r="E1382" s="4"/>
      <c r="F1382" s="4">
        <f>IFERROR(__xludf.DUMMYFUNCTION("""COMPUTED_VALUE"""),12.0)</f>
        <v>12</v>
      </c>
      <c r="G1382" s="4">
        <f>IFERROR(__xludf.DUMMYFUNCTION("""COMPUTED_VALUE"""),806.0)</f>
        <v>806</v>
      </c>
      <c r="H1382" s="4">
        <f>IFERROR(__xludf.DUMMYFUNCTION("""COMPUTED_VALUE"""),20691.0)</f>
        <v>20691</v>
      </c>
      <c r="I1382" s="4">
        <f>IFERROR(__xludf.DUMMYFUNCTION("""COMPUTED_VALUE"""),7951.0)</f>
        <v>7951</v>
      </c>
      <c r="J1382" s="4">
        <f>IFERROR(__xludf.DUMMYFUNCTION("""COMPUTED_VALUE"""),6407.0)</f>
        <v>6407</v>
      </c>
      <c r="K1382" s="4">
        <f>IFERROR(__xludf.DUMMYFUNCTION("""COMPUTED_VALUE"""),915.0)</f>
        <v>915</v>
      </c>
      <c r="L1382" s="4">
        <f>IFERROR(__xludf.DUMMYFUNCTION("""COMPUTED_VALUE"""),0.551)</f>
        <v>0.551</v>
      </c>
      <c r="M1382" s="4">
        <f>IFERROR(__xludf.DUMMYFUNCTION("""COMPUTED_VALUE"""),0.15)</f>
        <v>0.15</v>
      </c>
      <c r="N1382" s="4">
        <f>IFERROR(__xludf.DUMMYFUNCTION("""COMPUTED_VALUE"""),0.68)</f>
        <v>0.68</v>
      </c>
      <c r="O1382" s="4">
        <f>IFERROR(__xludf.DUMMYFUNCTION("""COMPUTED_VALUE"""),25.7)</f>
        <v>25.7</v>
      </c>
      <c r="P1382" s="4">
        <f>IFERROR(__xludf.DUMMYFUNCTION("""COMPUTED_VALUE"""),9.9)</f>
        <v>9.9</v>
      </c>
      <c r="Q1382" s="4">
        <f>IFERROR(__xludf.DUMMYFUNCTION("""COMPUTED_VALUE"""),7.9)</f>
        <v>7.9</v>
      </c>
      <c r="R1382" s="4">
        <f>IFERROR(__xludf.DUMMYFUNCTION("""COMPUTED_VALUE"""),1.1)</f>
        <v>1.1</v>
      </c>
      <c r="S1382" s="4">
        <f>IFERROR(__xludf.DUMMYFUNCTION("""COMPUTED_VALUE"""),61.3)</f>
        <v>61.3</v>
      </c>
      <c r="T1382" s="4">
        <f>IFERROR(__xludf.DUMMYFUNCTION("""COMPUTED_VALUE"""),0.142)</f>
        <v>0.142</v>
      </c>
      <c r="U1382" s="4">
        <f>IFERROR(__xludf.DUMMYFUNCTION("""COMPUTED_VALUE"""),0.4)</f>
        <v>0.4</v>
      </c>
      <c r="V1382" s="4">
        <f>IFERROR(__xludf.DUMMYFUNCTION("""COMPUTED_VALUE"""),12.7)</f>
        <v>12.7</v>
      </c>
    </row>
    <row r="1383">
      <c r="A1383" s="4">
        <f>IFERROR(__xludf.DUMMYFUNCTION("""COMPUTED_VALUE"""),58.0)</f>
        <v>58</v>
      </c>
      <c r="B1383" s="4">
        <f>IFERROR(__xludf.DUMMYFUNCTION("""COMPUTED_VALUE"""),58.0)</f>
        <v>58</v>
      </c>
      <c r="C1383" s="4" t="str">
        <f>IFERROR(__xludf.DUMMYFUNCTION("""COMPUTED_VALUE"""),"TOR")</f>
        <v>TOR</v>
      </c>
      <c r="D1383" s="4" t="str">
        <f>IFERROR(__xludf.DUMMYFUNCTION("""COMPUTED_VALUE"""),"Uroš Slokar")</f>
        <v>Uroš Slokar</v>
      </c>
      <c r="E1383" s="4"/>
      <c r="F1383" s="4">
        <f>IFERROR(__xludf.DUMMYFUNCTION("""COMPUTED_VALUE"""),1.0)</f>
        <v>1</v>
      </c>
      <c r="G1383" s="4">
        <f>IFERROR(__xludf.DUMMYFUNCTION("""COMPUTED_VALUE"""),20.0)</f>
        <v>20</v>
      </c>
      <c r="H1383" s="4">
        <f>IFERROR(__xludf.DUMMYFUNCTION("""COMPUTED_VALUE"""),72.0)</f>
        <v>72</v>
      </c>
      <c r="I1383" s="4">
        <f>IFERROR(__xludf.DUMMYFUNCTION("""COMPUTED_VALUE"""),38.0)</f>
        <v>38</v>
      </c>
      <c r="J1383" s="4">
        <f>IFERROR(__xludf.DUMMYFUNCTION("""COMPUTED_VALUE"""),14.0)</f>
        <v>14</v>
      </c>
      <c r="K1383" s="4">
        <f>IFERROR(__xludf.DUMMYFUNCTION("""COMPUTED_VALUE"""),1.0)</f>
        <v>1</v>
      </c>
      <c r="L1383" s="4">
        <f>IFERROR(__xludf.DUMMYFUNCTION("""COMPUTED_VALUE"""),0.538)</f>
        <v>0.538</v>
      </c>
      <c r="M1383" s="4">
        <f>IFERROR(__xludf.DUMMYFUNCTION("""COMPUTED_VALUE"""),0.5)</f>
        <v>0.5</v>
      </c>
      <c r="N1383" s="4">
        <f>IFERROR(__xludf.DUMMYFUNCTION("""COMPUTED_VALUE"""),0.692)</f>
        <v>0.692</v>
      </c>
      <c r="O1383" s="4">
        <f>IFERROR(__xludf.DUMMYFUNCTION("""COMPUTED_VALUE"""),3.6)</f>
        <v>3.6</v>
      </c>
      <c r="P1383" s="4">
        <f>IFERROR(__xludf.DUMMYFUNCTION("""COMPUTED_VALUE"""),1.9)</f>
        <v>1.9</v>
      </c>
      <c r="Q1383" s="4">
        <f>IFERROR(__xludf.DUMMYFUNCTION("""COMPUTED_VALUE"""),0.7)</f>
        <v>0.7</v>
      </c>
      <c r="R1383" s="4">
        <f>IFERROR(__xludf.DUMMYFUNCTION("""COMPUTED_VALUE"""),0.1)</f>
        <v>0.1</v>
      </c>
      <c r="S1383" s="4">
        <f>IFERROR(__xludf.DUMMYFUNCTION("""COMPUTED_VALUE"""),0.1)</f>
        <v>0.1</v>
      </c>
      <c r="T1383" s="4">
        <f>IFERROR(__xludf.DUMMYFUNCTION("""COMPUTED_VALUE"""),0.042)</f>
        <v>0.042</v>
      </c>
      <c r="U1383" s="4">
        <f>IFERROR(__xludf.DUMMYFUNCTION("""COMPUTED_VALUE"""),-5.6)</f>
        <v>-5.6</v>
      </c>
      <c r="V1383" s="4">
        <f>IFERROR(__xludf.DUMMYFUNCTION("""COMPUTED_VALUE"""),-0.1)</f>
        <v>-0.1</v>
      </c>
    </row>
    <row r="1384">
      <c r="A1384" s="4">
        <f>IFERROR(__xludf.DUMMYFUNCTION("""COMPUTED_VALUE"""),59.0)</f>
        <v>59</v>
      </c>
      <c r="B1384" s="4">
        <f>IFERROR(__xludf.DUMMYFUNCTION("""COMPUTED_VALUE"""),59.0)</f>
        <v>59</v>
      </c>
      <c r="C1384" s="4" t="str">
        <f>IFERROR(__xludf.DUMMYFUNCTION("""COMPUTED_VALUE"""),"ATL")</f>
        <v>ATL</v>
      </c>
      <c r="D1384" s="4" t="str">
        <f>IFERROR(__xludf.DUMMYFUNCTION("""COMPUTED_VALUE"""),"Cenk Akyol")</f>
        <v>Cenk Akyol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>
      <c r="A1385" s="4">
        <f>IFERROR(__xludf.DUMMYFUNCTION("""COMPUTED_VALUE"""),60.0)</f>
        <v>60</v>
      </c>
      <c r="B1385" s="4">
        <f>IFERROR(__xludf.DUMMYFUNCTION("""COMPUTED_VALUE"""),60.0)</f>
        <v>60</v>
      </c>
      <c r="C1385" s="4" t="str">
        <f>IFERROR(__xludf.DUMMYFUNCTION("""COMPUTED_VALUE"""),"DET")</f>
        <v>DET</v>
      </c>
      <c r="D1385" s="4" t="str">
        <f>IFERROR(__xludf.DUMMYFUNCTION("""COMPUTED_VALUE"""),"Alex Acker")</f>
        <v>Alex Acker</v>
      </c>
      <c r="E1385" s="4" t="str">
        <f>IFERROR(__xludf.DUMMYFUNCTION("""COMPUTED_VALUE"""),"Pepperdine")</f>
        <v>Pepperdine</v>
      </c>
      <c r="F1385" s="4">
        <f>IFERROR(__xludf.DUMMYFUNCTION("""COMPUTED_VALUE"""),2.0)</f>
        <v>2</v>
      </c>
      <c r="G1385" s="4">
        <f>IFERROR(__xludf.DUMMYFUNCTION("""COMPUTED_VALUE"""),30.0)</f>
        <v>30</v>
      </c>
      <c r="H1385" s="4">
        <f>IFERROR(__xludf.DUMMYFUNCTION("""COMPUTED_VALUE"""),234.0)</f>
        <v>234</v>
      </c>
      <c r="I1385" s="4">
        <f>IFERROR(__xludf.DUMMYFUNCTION("""COMPUTED_VALUE"""),81.0)</f>
        <v>81</v>
      </c>
      <c r="J1385" s="4">
        <f>IFERROR(__xludf.DUMMYFUNCTION("""COMPUTED_VALUE"""),29.0)</f>
        <v>29</v>
      </c>
      <c r="K1385" s="4">
        <f>IFERROR(__xludf.DUMMYFUNCTION("""COMPUTED_VALUE"""),16.0)</f>
        <v>16</v>
      </c>
      <c r="L1385" s="4">
        <f>IFERROR(__xludf.DUMMYFUNCTION("""COMPUTED_VALUE"""),0.37)</f>
        <v>0.37</v>
      </c>
      <c r="M1385" s="4">
        <f>IFERROR(__xludf.DUMMYFUNCTION("""COMPUTED_VALUE"""),0.32)</f>
        <v>0.32</v>
      </c>
      <c r="N1385" s="4">
        <f>IFERROR(__xludf.DUMMYFUNCTION("""COMPUTED_VALUE"""),0.5)</f>
        <v>0.5</v>
      </c>
      <c r="O1385" s="4">
        <f>IFERROR(__xludf.DUMMYFUNCTION("""COMPUTED_VALUE"""),7.8)</f>
        <v>7.8</v>
      </c>
      <c r="P1385" s="4">
        <f>IFERROR(__xludf.DUMMYFUNCTION("""COMPUTED_VALUE"""),2.7)</f>
        <v>2.7</v>
      </c>
      <c r="Q1385" s="4">
        <f>IFERROR(__xludf.DUMMYFUNCTION("""COMPUTED_VALUE"""),1.0)</f>
        <v>1</v>
      </c>
      <c r="R1385" s="4">
        <f>IFERROR(__xludf.DUMMYFUNCTION("""COMPUTED_VALUE"""),0.5)</f>
        <v>0.5</v>
      </c>
      <c r="S1385" s="4">
        <f>IFERROR(__xludf.DUMMYFUNCTION("""COMPUTED_VALUE"""),-0.2)</f>
        <v>-0.2</v>
      </c>
      <c r="T1385" s="4">
        <f>IFERROR(__xludf.DUMMYFUNCTION("""COMPUTED_VALUE"""),-0.043)</f>
        <v>-0.043</v>
      </c>
      <c r="U1385" s="4">
        <f>IFERROR(__xludf.DUMMYFUNCTION("""COMPUTED_VALUE"""),-5.3)</f>
        <v>-5.3</v>
      </c>
      <c r="V1385" s="4">
        <f>IFERROR(__xludf.DUMMYFUNCTION("""COMPUTED_VALUE"""),-0.2)</f>
        <v>-0.2</v>
      </c>
    </row>
    <row r="1387">
      <c r="A1387" s="2">
        <v>2004.0</v>
      </c>
    </row>
    <row r="1388">
      <c r="A1388" s="4" t="str">
        <f>IFERROR(__xludf.DUMMYFUNCTION("IMPORTHTML(""https://www.basketball-reference.com/draft/NBA_2004.html"", ""table"", 1)"),"")</f>
        <v/>
      </c>
      <c r="B1388" s="4"/>
      <c r="C1388" s="4"/>
      <c r="D1388" s="4" t="str">
        <f>IFERROR(__xludf.DUMMYFUNCTION("""COMPUTED_VALUE"""),"Round 1")</f>
        <v>Round 1</v>
      </c>
      <c r="E1388" s="4"/>
      <c r="F1388" s="4"/>
      <c r="G1388" s="4" t="str">
        <f>IFERROR(__xludf.DUMMYFUNCTION("""COMPUTED_VALUE"""),"Totals")</f>
        <v>Totals</v>
      </c>
      <c r="H1388" s="4"/>
      <c r="I1388" s="4"/>
      <c r="J1388" s="4"/>
      <c r="K1388" s="4"/>
      <c r="L1388" s="4" t="str">
        <f>IFERROR(__xludf.DUMMYFUNCTION("""COMPUTED_VALUE"""),"Shooting")</f>
        <v>Shooting</v>
      </c>
      <c r="M1388" s="4"/>
      <c r="N1388" s="4"/>
      <c r="O1388" s="4" t="str">
        <f>IFERROR(__xludf.DUMMYFUNCTION("""COMPUTED_VALUE"""),"Per Game")</f>
        <v>Per Game</v>
      </c>
      <c r="P1388" s="4"/>
      <c r="Q1388" s="4"/>
      <c r="R1388" s="4"/>
      <c r="S1388" s="4" t="str">
        <f>IFERROR(__xludf.DUMMYFUNCTION("""COMPUTED_VALUE"""),"Advanced")</f>
        <v>Advanced</v>
      </c>
      <c r="T1388" s="4"/>
      <c r="U1388" s="4"/>
      <c r="V1388" s="4"/>
    </row>
    <row r="1389">
      <c r="A1389" s="4" t="str">
        <f>IFERROR(__xludf.DUMMYFUNCTION("""COMPUTED_VALUE"""),"Rk")</f>
        <v>Rk</v>
      </c>
      <c r="B1389" s="4" t="str">
        <f>IFERROR(__xludf.DUMMYFUNCTION("""COMPUTED_VALUE"""),"Pk")</f>
        <v>Pk</v>
      </c>
      <c r="C1389" s="4" t="str">
        <f>IFERROR(__xludf.DUMMYFUNCTION("""COMPUTED_VALUE"""),"Tm")</f>
        <v>Tm</v>
      </c>
      <c r="D1389" s="4" t="str">
        <f>IFERROR(__xludf.DUMMYFUNCTION("""COMPUTED_VALUE"""),"Player")</f>
        <v>Player</v>
      </c>
      <c r="E1389" s="4" t="str">
        <f>IFERROR(__xludf.DUMMYFUNCTION("""COMPUTED_VALUE"""),"College")</f>
        <v>College</v>
      </c>
      <c r="F1389" s="4" t="str">
        <f>IFERROR(__xludf.DUMMYFUNCTION("""COMPUTED_VALUE"""),"Yrs")</f>
        <v>Yrs</v>
      </c>
      <c r="G1389" s="4" t="str">
        <f>IFERROR(__xludf.DUMMYFUNCTION("""COMPUTED_VALUE"""),"G")</f>
        <v>G</v>
      </c>
      <c r="H1389" s="4" t="str">
        <f>IFERROR(__xludf.DUMMYFUNCTION("""COMPUTED_VALUE"""),"MP")</f>
        <v>MP</v>
      </c>
      <c r="I1389" s="4" t="str">
        <f>IFERROR(__xludf.DUMMYFUNCTION("""COMPUTED_VALUE"""),"PTS")</f>
        <v>PTS</v>
      </c>
      <c r="J1389" s="4" t="str">
        <f>IFERROR(__xludf.DUMMYFUNCTION("""COMPUTED_VALUE"""),"TRB")</f>
        <v>TRB</v>
      </c>
      <c r="K1389" s="4" t="str">
        <f>IFERROR(__xludf.DUMMYFUNCTION("""COMPUTED_VALUE"""),"AST")</f>
        <v>AST</v>
      </c>
      <c r="L1389" s="4" t="str">
        <f>IFERROR(__xludf.DUMMYFUNCTION("""COMPUTED_VALUE"""),"FG%")</f>
        <v>FG%</v>
      </c>
      <c r="M1389" s="4" t="str">
        <f>IFERROR(__xludf.DUMMYFUNCTION("""COMPUTED_VALUE"""),"3P%")</f>
        <v>3P%</v>
      </c>
      <c r="N1389" s="4" t="str">
        <f>IFERROR(__xludf.DUMMYFUNCTION("""COMPUTED_VALUE"""),"FT%")</f>
        <v>FT%</v>
      </c>
      <c r="O1389" s="4" t="str">
        <f>IFERROR(__xludf.DUMMYFUNCTION("""COMPUTED_VALUE"""),"MP")</f>
        <v>MP</v>
      </c>
      <c r="P1389" s="4" t="str">
        <f>IFERROR(__xludf.DUMMYFUNCTION("""COMPUTED_VALUE"""),"PTS")</f>
        <v>PTS</v>
      </c>
      <c r="Q1389" s="4" t="str">
        <f>IFERROR(__xludf.DUMMYFUNCTION("""COMPUTED_VALUE"""),"TRB")</f>
        <v>TRB</v>
      </c>
      <c r="R1389" s="4" t="str">
        <f>IFERROR(__xludf.DUMMYFUNCTION("""COMPUTED_VALUE"""),"AST")</f>
        <v>AST</v>
      </c>
      <c r="S1389" s="4" t="str">
        <f>IFERROR(__xludf.DUMMYFUNCTION("""COMPUTED_VALUE"""),"WS")</f>
        <v>WS</v>
      </c>
      <c r="T1389" s="4" t="str">
        <f>IFERROR(__xludf.DUMMYFUNCTION("""COMPUTED_VALUE"""),"WS/48")</f>
        <v>WS/48</v>
      </c>
      <c r="U1389" s="4" t="str">
        <f>IFERROR(__xludf.DUMMYFUNCTION("""COMPUTED_VALUE"""),"BPM")</f>
        <v>BPM</v>
      </c>
      <c r="V1389" s="4" t="str">
        <f>IFERROR(__xludf.DUMMYFUNCTION("""COMPUTED_VALUE"""),"VORP")</f>
        <v>VORP</v>
      </c>
    </row>
    <row r="1390">
      <c r="A1390" s="4">
        <f>IFERROR(__xludf.DUMMYFUNCTION("""COMPUTED_VALUE"""),1.0)</f>
        <v>1</v>
      </c>
      <c r="B1390" s="4">
        <f>IFERROR(__xludf.DUMMYFUNCTION("""COMPUTED_VALUE"""),1.0)</f>
        <v>1</v>
      </c>
      <c r="C1390" s="4" t="str">
        <f>IFERROR(__xludf.DUMMYFUNCTION("""COMPUTED_VALUE"""),"ORL")</f>
        <v>ORL</v>
      </c>
      <c r="D1390" s="4" t="str">
        <f>IFERROR(__xludf.DUMMYFUNCTION("""COMPUTED_VALUE"""),"Dwight Howard")</f>
        <v>Dwight Howard</v>
      </c>
      <c r="E1390" s="4"/>
      <c r="F1390" s="4">
        <f>IFERROR(__xludf.DUMMYFUNCTION("""COMPUTED_VALUE"""),18.0)</f>
        <v>18</v>
      </c>
      <c r="G1390" s="4">
        <f>IFERROR(__xludf.DUMMYFUNCTION("""COMPUTED_VALUE"""),1242.0)</f>
        <v>1242</v>
      </c>
      <c r="H1390" s="4">
        <f>IFERROR(__xludf.DUMMYFUNCTION("""COMPUTED_VALUE"""),39457.0)</f>
        <v>39457</v>
      </c>
      <c r="I1390" s="4">
        <f>IFERROR(__xludf.DUMMYFUNCTION("""COMPUTED_VALUE"""),19485.0)</f>
        <v>19485</v>
      </c>
      <c r="J1390" s="4">
        <f>IFERROR(__xludf.DUMMYFUNCTION("""COMPUTED_VALUE"""),14627.0)</f>
        <v>14627</v>
      </c>
      <c r="K1390" s="4">
        <f>IFERROR(__xludf.DUMMYFUNCTION("""COMPUTED_VALUE"""),1676.0)</f>
        <v>1676</v>
      </c>
      <c r="L1390" s="4">
        <f>IFERROR(__xludf.DUMMYFUNCTION("""COMPUTED_VALUE"""),0.587)</f>
        <v>0.587</v>
      </c>
      <c r="M1390" s="4">
        <f>IFERROR(__xludf.DUMMYFUNCTION("""COMPUTED_VALUE"""),0.214)</f>
        <v>0.214</v>
      </c>
      <c r="N1390" s="4">
        <f>IFERROR(__xludf.DUMMYFUNCTION("""COMPUTED_VALUE"""),0.567)</f>
        <v>0.567</v>
      </c>
      <c r="O1390" s="4">
        <f>IFERROR(__xludf.DUMMYFUNCTION("""COMPUTED_VALUE"""),31.8)</f>
        <v>31.8</v>
      </c>
      <c r="P1390" s="4">
        <f>IFERROR(__xludf.DUMMYFUNCTION("""COMPUTED_VALUE"""),15.7)</f>
        <v>15.7</v>
      </c>
      <c r="Q1390" s="4">
        <f>IFERROR(__xludf.DUMMYFUNCTION("""COMPUTED_VALUE"""),11.8)</f>
        <v>11.8</v>
      </c>
      <c r="R1390" s="4">
        <f>IFERROR(__xludf.DUMMYFUNCTION("""COMPUTED_VALUE"""),1.3)</f>
        <v>1.3</v>
      </c>
      <c r="S1390" s="4">
        <f>IFERROR(__xludf.DUMMYFUNCTION("""COMPUTED_VALUE"""),141.7)</f>
        <v>141.7</v>
      </c>
      <c r="T1390" s="4">
        <f>IFERROR(__xludf.DUMMYFUNCTION("""COMPUTED_VALUE"""),0.172)</f>
        <v>0.172</v>
      </c>
      <c r="U1390" s="4">
        <f>IFERROR(__xludf.DUMMYFUNCTION("""COMPUTED_VALUE"""),1.9)</f>
        <v>1.9</v>
      </c>
      <c r="V1390" s="4">
        <f>IFERROR(__xludf.DUMMYFUNCTION("""COMPUTED_VALUE"""),39.0)</f>
        <v>39</v>
      </c>
    </row>
    <row r="1391">
      <c r="A1391" s="4">
        <f>IFERROR(__xludf.DUMMYFUNCTION("""COMPUTED_VALUE"""),2.0)</f>
        <v>2</v>
      </c>
      <c r="B1391" s="4">
        <f>IFERROR(__xludf.DUMMYFUNCTION("""COMPUTED_VALUE"""),2.0)</f>
        <v>2</v>
      </c>
      <c r="C1391" s="4" t="str">
        <f>IFERROR(__xludf.DUMMYFUNCTION("""COMPUTED_VALUE"""),"CHA")</f>
        <v>CHA</v>
      </c>
      <c r="D1391" s="4" t="str">
        <f>IFERROR(__xludf.DUMMYFUNCTION("""COMPUTED_VALUE"""),"Emeka Okafor")</f>
        <v>Emeka Okafor</v>
      </c>
      <c r="E1391" s="4" t="str">
        <f>IFERROR(__xludf.DUMMYFUNCTION("""COMPUTED_VALUE"""),"UConn")</f>
        <v>UConn</v>
      </c>
      <c r="F1391" s="4">
        <f>IFERROR(__xludf.DUMMYFUNCTION("""COMPUTED_VALUE"""),10.0)</f>
        <v>10</v>
      </c>
      <c r="G1391" s="4">
        <f>IFERROR(__xludf.DUMMYFUNCTION("""COMPUTED_VALUE"""),616.0)</f>
        <v>616</v>
      </c>
      <c r="H1391" s="4">
        <f>IFERROR(__xludf.DUMMYFUNCTION("""COMPUTED_VALUE"""),19055.0)</f>
        <v>19055</v>
      </c>
      <c r="I1391" s="4">
        <f>IFERROR(__xludf.DUMMYFUNCTION("""COMPUTED_VALUE"""),7370.0)</f>
        <v>7370</v>
      </c>
      <c r="J1391" s="4">
        <f>IFERROR(__xludf.DUMMYFUNCTION("""COMPUTED_VALUE"""),5967.0)</f>
        <v>5967</v>
      </c>
      <c r="K1391" s="4">
        <f>IFERROR(__xludf.DUMMYFUNCTION("""COMPUTED_VALUE"""),520.0)</f>
        <v>520</v>
      </c>
      <c r="L1391" s="4">
        <f>IFERROR(__xludf.DUMMYFUNCTION("""COMPUTED_VALUE"""),0.512)</f>
        <v>0.512</v>
      </c>
      <c r="M1391" s="4">
        <f>IFERROR(__xludf.DUMMYFUNCTION("""COMPUTED_VALUE"""),0.0)</f>
        <v>0</v>
      </c>
      <c r="N1391" s="4">
        <f>IFERROR(__xludf.DUMMYFUNCTION("""COMPUTED_VALUE"""),0.586)</f>
        <v>0.586</v>
      </c>
      <c r="O1391" s="4">
        <f>IFERROR(__xludf.DUMMYFUNCTION("""COMPUTED_VALUE"""),30.9)</f>
        <v>30.9</v>
      </c>
      <c r="P1391" s="4">
        <f>IFERROR(__xludf.DUMMYFUNCTION("""COMPUTED_VALUE"""),12.0)</f>
        <v>12</v>
      </c>
      <c r="Q1391" s="4">
        <f>IFERROR(__xludf.DUMMYFUNCTION("""COMPUTED_VALUE"""),9.7)</f>
        <v>9.7</v>
      </c>
      <c r="R1391" s="4">
        <f>IFERROR(__xludf.DUMMYFUNCTION("""COMPUTED_VALUE"""),0.8)</f>
        <v>0.8</v>
      </c>
      <c r="S1391" s="4">
        <f>IFERROR(__xludf.DUMMYFUNCTION("""COMPUTED_VALUE"""),45.3)</f>
        <v>45.3</v>
      </c>
      <c r="T1391" s="4">
        <f>IFERROR(__xludf.DUMMYFUNCTION("""COMPUTED_VALUE"""),0.114)</f>
        <v>0.114</v>
      </c>
      <c r="U1391" s="4">
        <f>IFERROR(__xludf.DUMMYFUNCTION("""COMPUTED_VALUE"""),-0.6)</f>
        <v>-0.6</v>
      </c>
      <c r="V1391" s="4">
        <f>IFERROR(__xludf.DUMMYFUNCTION("""COMPUTED_VALUE"""),6.8)</f>
        <v>6.8</v>
      </c>
    </row>
    <row r="1392">
      <c r="A1392" s="4">
        <f>IFERROR(__xludf.DUMMYFUNCTION("""COMPUTED_VALUE"""),3.0)</f>
        <v>3</v>
      </c>
      <c r="B1392" s="4">
        <f>IFERROR(__xludf.DUMMYFUNCTION("""COMPUTED_VALUE"""),3.0)</f>
        <v>3</v>
      </c>
      <c r="C1392" s="4" t="str">
        <f>IFERROR(__xludf.DUMMYFUNCTION("""COMPUTED_VALUE"""),"CHI")</f>
        <v>CHI</v>
      </c>
      <c r="D1392" s="4" t="str">
        <f>IFERROR(__xludf.DUMMYFUNCTION("""COMPUTED_VALUE"""),"Ben Gordon")</f>
        <v>Ben Gordon</v>
      </c>
      <c r="E1392" s="4" t="str">
        <f>IFERROR(__xludf.DUMMYFUNCTION("""COMPUTED_VALUE"""),"UConn")</f>
        <v>UConn</v>
      </c>
      <c r="F1392" s="4">
        <f>IFERROR(__xludf.DUMMYFUNCTION("""COMPUTED_VALUE"""),11.0)</f>
        <v>11</v>
      </c>
      <c r="G1392" s="4">
        <f>IFERROR(__xludf.DUMMYFUNCTION("""COMPUTED_VALUE"""),744.0)</f>
        <v>744</v>
      </c>
      <c r="H1392" s="4">
        <f>IFERROR(__xludf.DUMMYFUNCTION("""COMPUTED_VALUE"""),20366.0)</f>
        <v>20366</v>
      </c>
      <c r="I1392" s="4">
        <f>IFERROR(__xludf.DUMMYFUNCTION("""COMPUTED_VALUE"""),11084.0)</f>
        <v>11084</v>
      </c>
      <c r="J1392" s="4">
        <f>IFERROR(__xludf.DUMMYFUNCTION("""COMPUTED_VALUE"""),1851.0)</f>
        <v>1851</v>
      </c>
      <c r="K1392" s="4">
        <f>IFERROR(__xludf.DUMMYFUNCTION("""COMPUTED_VALUE"""),1868.0)</f>
        <v>1868</v>
      </c>
      <c r="L1392" s="4">
        <f>IFERROR(__xludf.DUMMYFUNCTION("""COMPUTED_VALUE"""),0.432)</f>
        <v>0.432</v>
      </c>
      <c r="M1392" s="4">
        <f>IFERROR(__xludf.DUMMYFUNCTION("""COMPUTED_VALUE"""),0.401)</f>
        <v>0.401</v>
      </c>
      <c r="N1392" s="4">
        <f>IFERROR(__xludf.DUMMYFUNCTION("""COMPUTED_VALUE"""),0.857)</f>
        <v>0.857</v>
      </c>
      <c r="O1392" s="4">
        <f>IFERROR(__xludf.DUMMYFUNCTION("""COMPUTED_VALUE"""),27.4)</f>
        <v>27.4</v>
      </c>
      <c r="P1392" s="4">
        <f>IFERROR(__xludf.DUMMYFUNCTION("""COMPUTED_VALUE"""),14.9)</f>
        <v>14.9</v>
      </c>
      <c r="Q1392" s="4">
        <f>IFERROR(__xludf.DUMMYFUNCTION("""COMPUTED_VALUE"""),2.5)</f>
        <v>2.5</v>
      </c>
      <c r="R1392" s="4">
        <f>IFERROR(__xludf.DUMMYFUNCTION("""COMPUTED_VALUE"""),2.5)</f>
        <v>2.5</v>
      </c>
      <c r="S1392" s="4">
        <f>IFERROR(__xludf.DUMMYFUNCTION("""COMPUTED_VALUE"""),33.3)</f>
        <v>33.3</v>
      </c>
      <c r="T1392" s="4">
        <f>IFERROR(__xludf.DUMMYFUNCTION("""COMPUTED_VALUE"""),0.078)</f>
        <v>0.078</v>
      </c>
      <c r="U1392" s="4">
        <f>IFERROR(__xludf.DUMMYFUNCTION("""COMPUTED_VALUE"""),-0.3)</f>
        <v>-0.3</v>
      </c>
      <c r="V1392" s="4">
        <f>IFERROR(__xludf.DUMMYFUNCTION("""COMPUTED_VALUE"""),8.7)</f>
        <v>8.7</v>
      </c>
    </row>
    <row r="1393">
      <c r="A1393" s="4">
        <f>IFERROR(__xludf.DUMMYFUNCTION("""COMPUTED_VALUE"""),4.0)</f>
        <v>4</v>
      </c>
      <c r="B1393" s="4">
        <f>IFERROR(__xludf.DUMMYFUNCTION("""COMPUTED_VALUE"""),4.0)</f>
        <v>4</v>
      </c>
      <c r="C1393" s="4" t="str">
        <f>IFERROR(__xludf.DUMMYFUNCTION("""COMPUTED_VALUE"""),"LAC")</f>
        <v>LAC</v>
      </c>
      <c r="D1393" s="4" t="str">
        <f>IFERROR(__xludf.DUMMYFUNCTION("""COMPUTED_VALUE"""),"Shaun Livingston")</f>
        <v>Shaun Livingston</v>
      </c>
      <c r="E1393" s="4"/>
      <c r="F1393" s="4">
        <f>IFERROR(__xludf.DUMMYFUNCTION("""COMPUTED_VALUE"""),14.0)</f>
        <v>14</v>
      </c>
      <c r="G1393" s="4">
        <f>IFERROR(__xludf.DUMMYFUNCTION("""COMPUTED_VALUE"""),833.0)</f>
        <v>833</v>
      </c>
      <c r="H1393" s="4">
        <f>IFERROR(__xludf.DUMMYFUNCTION("""COMPUTED_VALUE"""),17188.0)</f>
        <v>17188</v>
      </c>
      <c r="I1393" s="4">
        <f>IFERROR(__xludf.DUMMYFUNCTION("""COMPUTED_VALUE"""),5231.0)</f>
        <v>5231</v>
      </c>
      <c r="J1393" s="4">
        <f>IFERROR(__xludf.DUMMYFUNCTION("""COMPUTED_VALUE"""),1989.0)</f>
        <v>1989</v>
      </c>
      <c r="K1393" s="4">
        <f>IFERROR(__xludf.DUMMYFUNCTION("""COMPUTED_VALUE"""),2483.0)</f>
        <v>2483</v>
      </c>
      <c r="L1393" s="4">
        <f>IFERROR(__xludf.DUMMYFUNCTION("""COMPUTED_VALUE"""),0.486)</f>
        <v>0.486</v>
      </c>
      <c r="M1393" s="4">
        <f>IFERROR(__xludf.DUMMYFUNCTION("""COMPUTED_VALUE"""),0.178)</f>
        <v>0.178</v>
      </c>
      <c r="N1393" s="4">
        <f>IFERROR(__xludf.DUMMYFUNCTION("""COMPUTED_VALUE"""),0.794)</f>
        <v>0.794</v>
      </c>
      <c r="O1393" s="4">
        <f>IFERROR(__xludf.DUMMYFUNCTION("""COMPUTED_VALUE"""),20.6)</f>
        <v>20.6</v>
      </c>
      <c r="P1393" s="4">
        <f>IFERROR(__xludf.DUMMYFUNCTION("""COMPUTED_VALUE"""),6.3)</f>
        <v>6.3</v>
      </c>
      <c r="Q1393" s="4">
        <f>IFERROR(__xludf.DUMMYFUNCTION("""COMPUTED_VALUE"""),2.4)</f>
        <v>2.4</v>
      </c>
      <c r="R1393" s="4">
        <f>IFERROR(__xludf.DUMMYFUNCTION("""COMPUTED_VALUE"""),3.0)</f>
        <v>3</v>
      </c>
      <c r="S1393" s="4">
        <f>IFERROR(__xludf.DUMMYFUNCTION("""COMPUTED_VALUE"""),29.9)</f>
        <v>29.9</v>
      </c>
      <c r="T1393" s="4">
        <f>IFERROR(__xludf.DUMMYFUNCTION("""COMPUTED_VALUE"""),0.084)</f>
        <v>0.084</v>
      </c>
      <c r="U1393" s="4">
        <f>IFERROR(__xludf.DUMMYFUNCTION("""COMPUTED_VALUE"""),-1.0)</f>
        <v>-1</v>
      </c>
      <c r="V1393" s="4">
        <f>IFERROR(__xludf.DUMMYFUNCTION("""COMPUTED_VALUE"""),4.3)</f>
        <v>4.3</v>
      </c>
    </row>
    <row r="1394">
      <c r="A1394" s="4">
        <f>IFERROR(__xludf.DUMMYFUNCTION("""COMPUTED_VALUE"""),5.0)</f>
        <v>5</v>
      </c>
      <c r="B1394" s="4">
        <f>IFERROR(__xludf.DUMMYFUNCTION("""COMPUTED_VALUE"""),5.0)</f>
        <v>5</v>
      </c>
      <c r="C1394" s="4" t="str">
        <f>IFERROR(__xludf.DUMMYFUNCTION("""COMPUTED_VALUE"""),"WAS")</f>
        <v>WAS</v>
      </c>
      <c r="D1394" s="4" t="str">
        <f>IFERROR(__xludf.DUMMYFUNCTION("""COMPUTED_VALUE"""),"Devin Harris")</f>
        <v>Devin Harris</v>
      </c>
      <c r="E1394" s="4" t="str">
        <f>IFERROR(__xludf.DUMMYFUNCTION("""COMPUTED_VALUE"""),"Wisconsin")</f>
        <v>Wisconsin</v>
      </c>
      <c r="F1394" s="4">
        <f>IFERROR(__xludf.DUMMYFUNCTION("""COMPUTED_VALUE"""),15.0)</f>
        <v>15</v>
      </c>
      <c r="G1394" s="4">
        <f>IFERROR(__xludf.DUMMYFUNCTION("""COMPUTED_VALUE"""),985.0)</f>
        <v>985</v>
      </c>
      <c r="H1394" s="4">
        <f>IFERROR(__xludf.DUMMYFUNCTION("""COMPUTED_VALUE"""),23963.0)</f>
        <v>23963</v>
      </c>
      <c r="I1394" s="4">
        <f>IFERROR(__xludf.DUMMYFUNCTION("""COMPUTED_VALUE"""),10597.0)</f>
        <v>10597</v>
      </c>
      <c r="J1394" s="4">
        <f>IFERROR(__xludf.DUMMYFUNCTION("""COMPUTED_VALUE"""),2151.0)</f>
        <v>2151</v>
      </c>
      <c r="K1394" s="4">
        <f>IFERROR(__xludf.DUMMYFUNCTION("""COMPUTED_VALUE"""),3869.0)</f>
        <v>3869</v>
      </c>
      <c r="L1394" s="4">
        <f>IFERROR(__xludf.DUMMYFUNCTION("""COMPUTED_VALUE"""),0.432)</f>
        <v>0.432</v>
      </c>
      <c r="M1394" s="4">
        <f>IFERROR(__xludf.DUMMYFUNCTION("""COMPUTED_VALUE"""),0.325)</f>
        <v>0.325</v>
      </c>
      <c r="N1394" s="4">
        <f>IFERROR(__xludf.DUMMYFUNCTION("""COMPUTED_VALUE"""),0.796)</f>
        <v>0.796</v>
      </c>
      <c r="O1394" s="4">
        <f>IFERROR(__xludf.DUMMYFUNCTION("""COMPUTED_VALUE"""),24.3)</f>
        <v>24.3</v>
      </c>
      <c r="P1394" s="4">
        <f>IFERROR(__xludf.DUMMYFUNCTION("""COMPUTED_VALUE"""),10.8)</f>
        <v>10.8</v>
      </c>
      <c r="Q1394" s="4">
        <f>IFERROR(__xludf.DUMMYFUNCTION("""COMPUTED_VALUE"""),2.2)</f>
        <v>2.2</v>
      </c>
      <c r="R1394" s="4">
        <f>IFERROR(__xludf.DUMMYFUNCTION("""COMPUTED_VALUE"""),3.9)</f>
        <v>3.9</v>
      </c>
      <c r="S1394" s="4">
        <f>IFERROR(__xludf.DUMMYFUNCTION("""COMPUTED_VALUE"""),54.9)</f>
        <v>54.9</v>
      </c>
      <c r="T1394" s="4">
        <f>IFERROR(__xludf.DUMMYFUNCTION("""COMPUTED_VALUE"""),0.11)</f>
        <v>0.11</v>
      </c>
      <c r="U1394" s="4">
        <f>IFERROR(__xludf.DUMMYFUNCTION("""COMPUTED_VALUE"""),0.6)</f>
        <v>0.6</v>
      </c>
      <c r="V1394" s="4">
        <f>IFERROR(__xludf.DUMMYFUNCTION("""COMPUTED_VALUE"""),15.5)</f>
        <v>15.5</v>
      </c>
    </row>
    <row r="1395">
      <c r="A1395" s="4">
        <f>IFERROR(__xludf.DUMMYFUNCTION("""COMPUTED_VALUE"""),6.0)</f>
        <v>6</v>
      </c>
      <c r="B1395" s="4">
        <f>IFERROR(__xludf.DUMMYFUNCTION("""COMPUTED_VALUE"""),6.0)</f>
        <v>6</v>
      </c>
      <c r="C1395" s="4" t="str">
        <f>IFERROR(__xludf.DUMMYFUNCTION("""COMPUTED_VALUE"""),"ATL")</f>
        <v>ATL</v>
      </c>
      <c r="D1395" s="4" t="str">
        <f>IFERROR(__xludf.DUMMYFUNCTION("""COMPUTED_VALUE"""),"Josh Childress")</f>
        <v>Josh Childress</v>
      </c>
      <c r="E1395" s="4" t="str">
        <f>IFERROR(__xludf.DUMMYFUNCTION("""COMPUTED_VALUE"""),"Stanford")</f>
        <v>Stanford</v>
      </c>
      <c r="F1395" s="4">
        <f>IFERROR(__xludf.DUMMYFUNCTION("""COMPUTED_VALUE"""),8.0)</f>
        <v>8</v>
      </c>
      <c r="G1395" s="4">
        <f>IFERROR(__xludf.DUMMYFUNCTION("""COMPUTED_VALUE"""),391.0)</f>
        <v>391</v>
      </c>
      <c r="H1395" s="4">
        <f>IFERROR(__xludf.DUMMYFUNCTION("""COMPUTED_VALUE"""),10432.0)</f>
        <v>10432</v>
      </c>
      <c r="I1395" s="4">
        <f>IFERROR(__xludf.DUMMYFUNCTION("""COMPUTED_VALUE"""),3548.0)</f>
        <v>3548</v>
      </c>
      <c r="J1395" s="4">
        <f>IFERROR(__xludf.DUMMYFUNCTION("""COMPUTED_VALUE"""),1850.0)</f>
        <v>1850</v>
      </c>
      <c r="K1395" s="4">
        <f>IFERROR(__xludf.DUMMYFUNCTION("""COMPUTED_VALUE"""),609.0)</f>
        <v>609</v>
      </c>
      <c r="L1395" s="4">
        <f>IFERROR(__xludf.DUMMYFUNCTION("""COMPUTED_VALUE"""),0.522)</f>
        <v>0.522</v>
      </c>
      <c r="M1395" s="4">
        <f>IFERROR(__xludf.DUMMYFUNCTION("""COMPUTED_VALUE"""),0.329)</f>
        <v>0.329</v>
      </c>
      <c r="N1395" s="4">
        <f>IFERROR(__xludf.DUMMYFUNCTION("""COMPUTED_VALUE"""),0.779)</f>
        <v>0.779</v>
      </c>
      <c r="O1395" s="4">
        <f>IFERROR(__xludf.DUMMYFUNCTION("""COMPUTED_VALUE"""),26.7)</f>
        <v>26.7</v>
      </c>
      <c r="P1395" s="4">
        <f>IFERROR(__xludf.DUMMYFUNCTION("""COMPUTED_VALUE"""),9.1)</f>
        <v>9.1</v>
      </c>
      <c r="Q1395" s="4">
        <f>IFERROR(__xludf.DUMMYFUNCTION("""COMPUTED_VALUE"""),4.7)</f>
        <v>4.7</v>
      </c>
      <c r="R1395" s="4">
        <f>IFERROR(__xludf.DUMMYFUNCTION("""COMPUTED_VALUE"""),1.6)</f>
        <v>1.6</v>
      </c>
      <c r="S1395" s="4">
        <f>IFERROR(__xludf.DUMMYFUNCTION("""COMPUTED_VALUE"""),25.7)</f>
        <v>25.7</v>
      </c>
      <c r="T1395" s="4">
        <f>IFERROR(__xludf.DUMMYFUNCTION("""COMPUTED_VALUE"""),0.118)</f>
        <v>0.118</v>
      </c>
      <c r="U1395" s="4">
        <f>IFERROR(__xludf.DUMMYFUNCTION("""COMPUTED_VALUE"""),0.8)</f>
        <v>0.8</v>
      </c>
      <c r="V1395" s="4">
        <f>IFERROR(__xludf.DUMMYFUNCTION("""COMPUTED_VALUE"""),7.4)</f>
        <v>7.4</v>
      </c>
    </row>
    <row r="1396">
      <c r="A1396" s="4">
        <f>IFERROR(__xludf.DUMMYFUNCTION("""COMPUTED_VALUE"""),7.0)</f>
        <v>7</v>
      </c>
      <c r="B1396" s="4">
        <f>IFERROR(__xludf.DUMMYFUNCTION("""COMPUTED_VALUE"""),7.0)</f>
        <v>7</v>
      </c>
      <c r="C1396" s="4" t="str">
        <f>IFERROR(__xludf.DUMMYFUNCTION("""COMPUTED_VALUE"""),"PHO")</f>
        <v>PHO</v>
      </c>
      <c r="D1396" s="4" t="str">
        <f>IFERROR(__xludf.DUMMYFUNCTION("""COMPUTED_VALUE"""),"Luol Deng")</f>
        <v>Luol Deng</v>
      </c>
      <c r="E1396" s="4" t="str">
        <f>IFERROR(__xludf.DUMMYFUNCTION("""COMPUTED_VALUE"""),"Duke")</f>
        <v>Duke</v>
      </c>
      <c r="F1396" s="4">
        <f>IFERROR(__xludf.DUMMYFUNCTION("""COMPUTED_VALUE"""),15.0)</f>
        <v>15</v>
      </c>
      <c r="G1396" s="4">
        <f>IFERROR(__xludf.DUMMYFUNCTION("""COMPUTED_VALUE"""),902.0)</f>
        <v>902</v>
      </c>
      <c r="H1396" s="4">
        <f>IFERROR(__xludf.DUMMYFUNCTION("""COMPUTED_VALUE"""),30941.0)</f>
        <v>30941</v>
      </c>
      <c r="I1396" s="4">
        <f>IFERROR(__xludf.DUMMYFUNCTION("""COMPUTED_VALUE"""),13361.0)</f>
        <v>13361</v>
      </c>
      <c r="J1396" s="4">
        <f>IFERROR(__xludf.DUMMYFUNCTION("""COMPUTED_VALUE"""),5468.0)</f>
        <v>5468</v>
      </c>
      <c r="K1396" s="4">
        <f>IFERROR(__xludf.DUMMYFUNCTION("""COMPUTED_VALUE"""),2042.0)</f>
        <v>2042</v>
      </c>
      <c r="L1396" s="4">
        <f>IFERROR(__xludf.DUMMYFUNCTION("""COMPUTED_VALUE"""),0.456)</f>
        <v>0.456</v>
      </c>
      <c r="M1396" s="4">
        <f>IFERROR(__xludf.DUMMYFUNCTION("""COMPUTED_VALUE"""),0.332)</f>
        <v>0.332</v>
      </c>
      <c r="N1396" s="4">
        <f>IFERROR(__xludf.DUMMYFUNCTION("""COMPUTED_VALUE"""),0.769)</f>
        <v>0.769</v>
      </c>
      <c r="O1396" s="4">
        <f>IFERROR(__xludf.DUMMYFUNCTION("""COMPUTED_VALUE"""),34.3)</f>
        <v>34.3</v>
      </c>
      <c r="P1396" s="4">
        <f>IFERROR(__xludf.DUMMYFUNCTION("""COMPUTED_VALUE"""),14.8)</f>
        <v>14.8</v>
      </c>
      <c r="Q1396" s="4">
        <f>IFERROR(__xludf.DUMMYFUNCTION("""COMPUTED_VALUE"""),6.1)</f>
        <v>6.1</v>
      </c>
      <c r="R1396" s="4">
        <f>IFERROR(__xludf.DUMMYFUNCTION("""COMPUTED_VALUE"""),2.3)</f>
        <v>2.3</v>
      </c>
      <c r="S1396" s="4">
        <f>IFERROR(__xludf.DUMMYFUNCTION("""COMPUTED_VALUE"""),74.0)</f>
        <v>74</v>
      </c>
      <c r="T1396" s="4">
        <f>IFERROR(__xludf.DUMMYFUNCTION("""COMPUTED_VALUE"""),0.115)</f>
        <v>0.115</v>
      </c>
      <c r="U1396" s="4">
        <f>IFERROR(__xludf.DUMMYFUNCTION("""COMPUTED_VALUE"""),0.9)</f>
        <v>0.9</v>
      </c>
      <c r="V1396" s="4">
        <f>IFERROR(__xludf.DUMMYFUNCTION("""COMPUTED_VALUE"""),22.9)</f>
        <v>22.9</v>
      </c>
    </row>
    <row r="1397">
      <c r="A1397" s="4">
        <f>IFERROR(__xludf.DUMMYFUNCTION("""COMPUTED_VALUE"""),8.0)</f>
        <v>8</v>
      </c>
      <c r="B1397" s="4">
        <f>IFERROR(__xludf.DUMMYFUNCTION("""COMPUTED_VALUE"""),8.0)</f>
        <v>8</v>
      </c>
      <c r="C1397" s="4" t="str">
        <f>IFERROR(__xludf.DUMMYFUNCTION("""COMPUTED_VALUE"""),"TOR")</f>
        <v>TOR</v>
      </c>
      <c r="D1397" s="4" t="str">
        <f>IFERROR(__xludf.DUMMYFUNCTION("""COMPUTED_VALUE"""),"Rafael Araújo")</f>
        <v>Rafael Araújo</v>
      </c>
      <c r="E1397" s="4" t="str">
        <f>IFERROR(__xludf.DUMMYFUNCTION("""COMPUTED_VALUE"""),"BYU")</f>
        <v>BYU</v>
      </c>
      <c r="F1397" s="4">
        <f>IFERROR(__xludf.DUMMYFUNCTION("""COMPUTED_VALUE"""),3.0)</f>
        <v>3</v>
      </c>
      <c r="G1397" s="4">
        <f>IFERROR(__xludf.DUMMYFUNCTION("""COMPUTED_VALUE"""),139.0)</f>
        <v>139</v>
      </c>
      <c r="H1397" s="4">
        <f>IFERROR(__xludf.DUMMYFUNCTION("""COMPUTED_VALUE"""),1585.0)</f>
        <v>1585</v>
      </c>
      <c r="I1397" s="4">
        <f>IFERROR(__xludf.DUMMYFUNCTION("""COMPUTED_VALUE"""),389.0)</f>
        <v>389</v>
      </c>
      <c r="J1397" s="4">
        <f>IFERROR(__xludf.DUMMYFUNCTION("""COMPUTED_VALUE"""),395.0)</f>
        <v>395</v>
      </c>
      <c r="K1397" s="4">
        <f>IFERROR(__xludf.DUMMYFUNCTION("""COMPUTED_VALUE"""),41.0)</f>
        <v>41</v>
      </c>
      <c r="L1397" s="4">
        <f>IFERROR(__xludf.DUMMYFUNCTION("""COMPUTED_VALUE"""),0.405)</f>
        <v>0.405</v>
      </c>
      <c r="M1397" s="4">
        <f>IFERROR(__xludf.DUMMYFUNCTION("""COMPUTED_VALUE"""),0.25)</f>
        <v>0.25</v>
      </c>
      <c r="N1397" s="4">
        <f>IFERROR(__xludf.DUMMYFUNCTION("""COMPUTED_VALUE"""),0.679)</f>
        <v>0.679</v>
      </c>
      <c r="O1397" s="4">
        <f>IFERROR(__xludf.DUMMYFUNCTION("""COMPUTED_VALUE"""),11.4)</f>
        <v>11.4</v>
      </c>
      <c r="P1397" s="4">
        <f>IFERROR(__xludf.DUMMYFUNCTION("""COMPUTED_VALUE"""),2.8)</f>
        <v>2.8</v>
      </c>
      <c r="Q1397" s="4">
        <f>IFERROR(__xludf.DUMMYFUNCTION("""COMPUTED_VALUE"""),2.8)</f>
        <v>2.8</v>
      </c>
      <c r="R1397" s="4">
        <f>IFERROR(__xludf.DUMMYFUNCTION("""COMPUTED_VALUE"""),0.3)</f>
        <v>0.3</v>
      </c>
      <c r="S1397" s="4">
        <f>IFERROR(__xludf.DUMMYFUNCTION("""COMPUTED_VALUE"""),-0.4)</f>
        <v>-0.4</v>
      </c>
      <c r="T1397" s="4">
        <f>IFERROR(__xludf.DUMMYFUNCTION("""COMPUTED_VALUE"""),-0.013)</f>
        <v>-0.013</v>
      </c>
      <c r="U1397" s="4">
        <f>IFERROR(__xludf.DUMMYFUNCTION("""COMPUTED_VALUE"""),-7.2)</f>
        <v>-7.2</v>
      </c>
      <c r="V1397" s="4">
        <f>IFERROR(__xludf.DUMMYFUNCTION("""COMPUTED_VALUE"""),-2.1)</f>
        <v>-2.1</v>
      </c>
    </row>
    <row r="1398">
      <c r="A1398" s="4">
        <f>IFERROR(__xludf.DUMMYFUNCTION("""COMPUTED_VALUE"""),9.0)</f>
        <v>9</v>
      </c>
      <c r="B1398" s="4">
        <f>IFERROR(__xludf.DUMMYFUNCTION("""COMPUTED_VALUE"""),9.0)</f>
        <v>9</v>
      </c>
      <c r="C1398" s="4" t="str">
        <f>IFERROR(__xludf.DUMMYFUNCTION("""COMPUTED_VALUE"""),"PHI")</f>
        <v>PHI</v>
      </c>
      <c r="D1398" s="4" t="str">
        <f>IFERROR(__xludf.DUMMYFUNCTION("""COMPUTED_VALUE"""),"Andre Iguodala")</f>
        <v>Andre Iguodala</v>
      </c>
      <c r="E1398" s="4" t="str">
        <f>IFERROR(__xludf.DUMMYFUNCTION("""COMPUTED_VALUE"""),"Arizona")</f>
        <v>Arizona</v>
      </c>
      <c r="F1398" s="4">
        <f>IFERROR(__xludf.DUMMYFUNCTION("""COMPUTED_VALUE"""),19.0)</f>
        <v>19</v>
      </c>
      <c r="G1398" s="4">
        <f>IFERROR(__xludf.DUMMYFUNCTION("""COMPUTED_VALUE"""),1231.0)</f>
        <v>1231</v>
      </c>
      <c r="H1398" s="4">
        <f>IFERROR(__xludf.DUMMYFUNCTION("""COMPUTED_VALUE"""),39507.0)</f>
        <v>39507</v>
      </c>
      <c r="I1398" s="4">
        <f>IFERROR(__xludf.DUMMYFUNCTION("""COMPUTED_VALUE"""),13968.0)</f>
        <v>13968</v>
      </c>
      <c r="J1398" s="4">
        <f>IFERROR(__xludf.DUMMYFUNCTION("""COMPUTED_VALUE"""),6047.0)</f>
        <v>6047</v>
      </c>
      <c r="K1398" s="4">
        <f>IFERROR(__xludf.DUMMYFUNCTION("""COMPUTED_VALUE"""),5147.0)</f>
        <v>5147</v>
      </c>
      <c r="L1398" s="4">
        <f>IFERROR(__xludf.DUMMYFUNCTION("""COMPUTED_VALUE"""),0.463)</f>
        <v>0.463</v>
      </c>
      <c r="M1398" s="4">
        <f>IFERROR(__xludf.DUMMYFUNCTION("""COMPUTED_VALUE"""),0.33)</f>
        <v>0.33</v>
      </c>
      <c r="N1398" s="4">
        <f>IFERROR(__xludf.DUMMYFUNCTION("""COMPUTED_VALUE"""),0.709)</f>
        <v>0.709</v>
      </c>
      <c r="O1398" s="4">
        <f>IFERROR(__xludf.DUMMYFUNCTION("""COMPUTED_VALUE"""),32.1)</f>
        <v>32.1</v>
      </c>
      <c r="P1398" s="4">
        <f>IFERROR(__xludf.DUMMYFUNCTION("""COMPUTED_VALUE"""),11.3)</f>
        <v>11.3</v>
      </c>
      <c r="Q1398" s="4">
        <f>IFERROR(__xludf.DUMMYFUNCTION("""COMPUTED_VALUE"""),4.9)</f>
        <v>4.9</v>
      </c>
      <c r="R1398" s="4">
        <f>IFERROR(__xludf.DUMMYFUNCTION("""COMPUTED_VALUE"""),4.2)</f>
        <v>4.2</v>
      </c>
      <c r="S1398" s="4">
        <f>IFERROR(__xludf.DUMMYFUNCTION("""COMPUTED_VALUE"""),100.4)</f>
        <v>100.4</v>
      </c>
      <c r="T1398" s="4">
        <f>IFERROR(__xludf.DUMMYFUNCTION("""COMPUTED_VALUE"""),0.122)</f>
        <v>0.122</v>
      </c>
      <c r="U1398" s="4">
        <f>IFERROR(__xludf.DUMMYFUNCTION("""COMPUTED_VALUE"""),2.1)</f>
        <v>2.1</v>
      </c>
      <c r="V1398" s="4">
        <f>IFERROR(__xludf.DUMMYFUNCTION("""COMPUTED_VALUE"""),41.3)</f>
        <v>41.3</v>
      </c>
    </row>
    <row r="1399">
      <c r="A1399" s="4">
        <f>IFERROR(__xludf.DUMMYFUNCTION("""COMPUTED_VALUE"""),10.0)</f>
        <v>10</v>
      </c>
      <c r="B1399" s="4">
        <f>IFERROR(__xludf.DUMMYFUNCTION("""COMPUTED_VALUE"""),10.0)</f>
        <v>10</v>
      </c>
      <c r="C1399" s="4" t="str">
        <f>IFERROR(__xludf.DUMMYFUNCTION("""COMPUTED_VALUE"""),"CLE")</f>
        <v>CLE</v>
      </c>
      <c r="D1399" s="4" t="str">
        <f>IFERROR(__xludf.DUMMYFUNCTION("""COMPUTED_VALUE"""),"Luke Jackson")</f>
        <v>Luke Jackson</v>
      </c>
      <c r="E1399" s="4" t="str">
        <f>IFERROR(__xludf.DUMMYFUNCTION("""COMPUTED_VALUE"""),"Oregon")</f>
        <v>Oregon</v>
      </c>
      <c r="F1399" s="4">
        <f>IFERROR(__xludf.DUMMYFUNCTION("""COMPUTED_VALUE"""),4.0)</f>
        <v>4</v>
      </c>
      <c r="G1399" s="4">
        <f>IFERROR(__xludf.DUMMYFUNCTION("""COMPUTED_VALUE"""),73.0)</f>
        <v>73</v>
      </c>
      <c r="H1399" s="4">
        <f>IFERROR(__xludf.DUMMYFUNCTION("""COMPUTED_VALUE"""),724.0)</f>
        <v>724</v>
      </c>
      <c r="I1399" s="4">
        <f>IFERROR(__xludf.DUMMYFUNCTION("""COMPUTED_VALUE"""),252.0)</f>
        <v>252</v>
      </c>
      <c r="J1399" s="4">
        <f>IFERROR(__xludf.DUMMYFUNCTION("""COMPUTED_VALUE"""),89.0)</f>
        <v>89</v>
      </c>
      <c r="K1399" s="4">
        <f>IFERROR(__xludf.DUMMYFUNCTION("""COMPUTED_VALUE"""),58.0)</f>
        <v>58</v>
      </c>
      <c r="L1399" s="4">
        <f>IFERROR(__xludf.DUMMYFUNCTION("""COMPUTED_VALUE"""),0.357)</f>
        <v>0.357</v>
      </c>
      <c r="M1399" s="4">
        <f>IFERROR(__xludf.DUMMYFUNCTION("""COMPUTED_VALUE"""),0.36)</f>
        <v>0.36</v>
      </c>
      <c r="N1399" s="4">
        <f>IFERROR(__xludf.DUMMYFUNCTION("""COMPUTED_VALUE"""),0.732)</f>
        <v>0.732</v>
      </c>
      <c r="O1399" s="4">
        <f>IFERROR(__xludf.DUMMYFUNCTION("""COMPUTED_VALUE"""),9.9)</f>
        <v>9.9</v>
      </c>
      <c r="P1399" s="4">
        <f>IFERROR(__xludf.DUMMYFUNCTION("""COMPUTED_VALUE"""),3.5)</f>
        <v>3.5</v>
      </c>
      <c r="Q1399" s="4">
        <f>IFERROR(__xludf.DUMMYFUNCTION("""COMPUTED_VALUE"""),1.2)</f>
        <v>1.2</v>
      </c>
      <c r="R1399" s="4">
        <f>IFERROR(__xludf.DUMMYFUNCTION("""COMPUTED_VALUE"""),0.8)</f>
        <v>0.8</v>
      </c>
      <c r="S1399" s="4">
        <f>IFERROR(__xludf.DUMMYFUNCTION("""COMPUTED_VALUE"""),0.2)</f>
        <v>0.2</v>
      </c>
      <c r="T1399" s="4">
        <f>IFERROR(__xludf.DUMMYFUNCTION("""COMPUTED_VALUE"""),0.01)</f>
        <v>0.01</v>
      </c>
      <c r="U1399" s="4">
        <f>IFERROR(__xludf.DUMMYFUNCTION("""COMPUTED_VALUE"""),-3.7)</f>
        <v>-3.7</v>
      </c>
      <c r="V1399" s="4">
        <f>IFERROR(__xludf.DUMMYFUNCTION("""COMPUTED_VALUE"""),-0.3)</f>
        <v>-0.3</v>
      </c>
    </row>
    <row r="1400">
      <c r="A1400" s="4">
        <f>IFERROR(__xludf.DUMMYFUNCTION("""COMPUTED_VALUE"""),11.0)</f>
        <v>11</v>
      </c>
      <c r="B1400" s="4">
        <f>IFERROR(__xludf.DUMMYFUNCTION("""COMPUTED_VALUE"""),11.0)</f>
        <v>11</v>
      </c>
      <c r="C1400" s="4" t="str">
        <f>IFERROR(__xludf.DUMMYFUNCTION("""COMPUTED_VALUE"""),"GSW")</f>
        <v>GSW</v>
      </c>
      <c r="D1400" s="4" t="str">
        <f>IFERROR(__xludf.DUMMYFUNCTION("""COMPUTED_VALUE"""),"Andris Biedriņš")</f>
        <v>Andris Biedriņš</v>
      </c>
      <c r="E1400" s="4"/>
      <c r="F1400" s="4">
        <f>IFERROR(__xludf.DUMMYFUNCTION("""COMPUTED_VALUE"""),10.0)</f>
        <v>10</v>
      </c>
      <c r="G1400" s="4">
        <f>IFERROR(__xludf.DUMMYFUNCTION("""COMPUTED_VALUE"""),516.0)</f>
        <v>516</v>
      </c>
      <c r="H1400" s="4">
        <f>IFERROR(__xludf.DUMMYFUNCTION("""COMPUTED_VALUE"""),11146.0)</f>
        <v>11146</v>
      </c>
      <c r="I1400" s="4">
        <f>IFERROR(__xludf.DUMMYFUNCTION("""COMPUTED_VALUE"""),3247.0)</f>
        <v>3247</v>
      </c>
      <c r="J1400" s="4">
        <f>IFERROR(__xludf.DUMMYFUNCTION("""COMPUTED_VALUE"""),3631.0)</f>
        <v>3631</v>
      </c>
      <c r="K1400" s="4">
        <f>IFERROR(__xludf.DUMMYFUNCTION("""COMPUTED_VALUE"""),467.0)</f>
        <v>467</v>
      </c>
      <c r="L1400" s="4">
        <f>IFERROR(__xludf.DUMMYFUNCTION("""COMPUTED_VALUE"""),0.594)</f>
        <v>0.594</v>
      </c>
      <c r="M1400" s="4">
        <f>IFERROR(__xludf.DUMMYFUNCTION("""COMPUTED_VALUE"""),0.0)</f>
        <v>0</v>
      </c>
      <c r="N1400" s="4">
        <f>IFERROR(__xludf.DUMMYFUNCTION("""COMPUTED_VALUE"""),0.5)</f>
        <v>0.5</v>
      </c>
      <c r="O1400" s="4">
        <f>IFERROR(__xludf.DUMMYFUNCTION("""COMPUTED_VALUE"""),21.6)</f>
        <v>21.6</v>
      </c>
      <c r="P1400" s="4">
        <f>IFERROR(__xludf.DUMMYFUNCTION("""COMPUTED_VALUE"""),6.3)</f>
        <v>6.3</v>
      </c>
      <c r="Q1400" s="4">
        <f>IFERROR(__xludf.DUMMYFUNCTION("""COMPUTED_VALUE"""),7.0)</f>
        <v>7</v>
      </c>
      <c r="R1400" s="4">
        <f>IFERROR(__xludf.DUMMYFUNCTION("""COMPUTED_VALUE"""),0.9)</f>
        <v>0.9</v>
      </c>
      <c r="S1400" s="4">
        <f>IFERROR(__xludf.DUMMYFUNCTION("""COMPUTED_VALUE"""),30.7)</f>
        <v>30.7</v>
      </c>
      <c r="T1400" s="4">
        <f>IFERROR(__xludf.DUMMYFUNCTION("""COMPUTED_VALUE"""),0.132)</f>
        <v>0.132</v>
      </c>
      <c r="U1400" s="4">
        <f>IFERROR(__xludf.DUMMYFUNCTION("""COMPUTED_VALUE"""),-0.4)</f>
        <v>-0.4</v>
      </c>
      <c r="V1400" s="4">
        <f>IFERROR(__xludf.DUMMYFUNCTION("""COMPUTED_VALUE"""),4.6)</f>
        <v>4.6</v>
      </c>
    </row>
    <row r="1401">
      <c r="A1401" s="4">
        <f>IFERROR(__xludf.DUMMYFUNCTION("""COMPUTED_VALUE"""),12.0)</f>
        <v>12</v>
      </c>
      <c r="B1401" s="4">
        <f>IFERROR(__xludf.DUMMYFUNCTION("""COMPUTED_VALUE"""),12.0)</f>
        <v>12</v>
      </c>
      <c r="C1401" s="4" t="str">
        <f>IFERROR(__xludf.DUMMYFUNCTION("""COMPUTED_VALUE"""),"SEA")</f>
        <v>SEA</v>
      </c>
      <c r="D1401" s="4" t="str">
        <f>IFERROR(__xludf.DUMMYFUNCTION("""COMPUTED_VALUE"""),"Robert Swift")</f>
        <v>Robert Swift</v>
      </c>
      <c r="E1401" s="4"/>
      <c r="F1401" s="4">
        <f>IFERROR(__xludf.DUMMYFUNCTION("""COMPUTED_VALUE"""),4.0)</f>
        <v>4</v>
      </c>
      <c r="G1401" s="4">
        <f>IFERROR(__xludf.DUMMYFUNCTION("""COMPUTED_VALUE"""),97.0)</f>
        <v>97</v>
      </c>
      <c r="H1401" s="4">
        <f>IFERROR(__xludf.DUMMYFUNCTION("""COMPUTED_VALUE"""),1500.0)</f>
        <v>1500</v>
      </c>
      <c r="I1401" s="4">
        <f>IFERROR(__xludf.DUMMYFUNCTION("""COMPUTED_VALUE"""),416.0)</f>
        <v>416</v>
      </c>
      <c r="J1401" s="4">
        <f>IFERROR(__xludf.DUMMYFUNCTION("""COMPUTED_VALUE"""),376.0)</f>
        <v>376</v>
      </c>
      <c r="K1401" s="4">
        <f>IFERROR(__xludf.DUMMYFUNCTION("""COMPUTED_VALUE"""),20.0)</f>
        <v>20</v>
      </c>
      <c r="L1401" s="4">
        <f>IFERROR(__xludf.DUMMYFUNCTION("""COMPUTED_VALUE"""),0.506)</f>
        <v>0.506</v>
      </c>
      <c r="M1401" s="4"/>
      <c r="N1401" s="4">
        <f>IFERROR(__xludf.DUMMYFUNCTION("""COMPUTED_VALUE"""),0.61)</f>
        <v>0.61</v>
      </c>
      <c r="O1401" s="4">
        <f>IFERROR(__xludf.DUMMYFUNCTION("""COMPUTED_VALUE"""),15.5)</f>
        <v>15.5</v>
      </c>
      <c r="P1401" s="4">
        <f>IFERROR(__xludf.DUMMYFUNCTION("""COMPUTED_VALUE"""),4.3)</f>
        <v>4.3</v>
      </c>
      <c r="Q1401" s="4">
        <f>IFERROR(__xludf.DUMMYFUNCTION("""COMPUTED_VALUE"""),3.9)</f>
        <v>3.9</v>
      </c>
      <c r="R1401" s="4">
        <f>IFERROR(__xludf.DUMMYFUNCTION("""COMPUTED_VALUE"""),0.2)</f>
        <v>0.2</v>
      </c>
      <c r="S1401" s="4">
        <f>IFERROR(__xludf.DUMMYFUNCTION("""COMPUTED_VALUE"""),1.7)</f>
        <v>1.7</v>
      </c>
      <c r="T1401" s="4">
        <f>IFERROR(__xludf.DUMMYFUNCTION("""COMPUTED_VALUE"""),0.054)</f>
        <v>0.054</v>
      </c>
      <c r="U1401" s="4">
        <f>IFERROR(__xludf.DUMMYFUNCTION("""COMPUTED_VALUE"""),-3.8)</f>
        <v>-3.8</v>
      </c>
      <c r="V1401" s="4">
        <f>IFERROR(__xludf.DUMMYFUNCTION("""COMPUTED_VALUE"""),-0.7)</f>
        <v>-0.7</v>
      </c>
    </row>
    <row r="1402">
      <c r="A1402" s="4">
        <f>IFERROR(__xludf.DUMMYFUNCTION("""COMPUTED_VALUE"""),13.0)</f>
        <v>13</v>
      </c>
      <c r="B1402" s="4">
        <f>IFERROR(__xludf.DUMMYFUNCTION("""COMPUTED_VALUE"""),13.0)</f>
        <v>13</v>
      </c>
      <c r="C1402" s="4" t="str">
        <f>IFERROR(__xludf.DUMMYFUNCTION("""COMPUTED_VALUE"""),"POR")</f>
        <v>POR</v>
      </c>
      <c r="D1402" s="4" t="str">
        <f>IFERROR(__xludf.DUMMYFUNCTION("""COMPUTED_VALUE"""),"Sebastian Telfair")</f>
        <v>Sebastian Telfair</v>
      </c>
      <c r="E1402" s="4"/>
      <c r="F1402" s="4">
        <f>IFERROR(__xludf.DUMMYFUNCTION("""COMPUTED_VALUE"""),10.0)</f>
        <v>10</v>
      </c>
      <c r="G1402" s="4">
        <f>IFERROR(__xludf.DUMMYFUNCTION("""COMPUTED_VALUE"""),564.0)</f>
        <v>564</v>
      </c>
      <c r="H1402" s="4">
        <f>IFERROR(__xludf.DUMMYFUNCTION("""COMPUTED_VALUE"""),12149.0)</f>
        <v>12149</v>
      </c>
      <c r="I1402" s="4">
        <f>IFERROR(__xludf.DUMMYFUNCTION("""COMPUTED_VALUE"""),4183.0)</f>
        <v>4183</v>
      </c>
      <c r="J1402" s="4">
        <f>IFERROR(__xludf.DUMMYFUNCTION("""COMPUTED_VALUE"""),898.0)</f>
        <v>898</v>
      </c>
      <c r="K1402" s="4">
        <f>IFERROR(__xludf.DUMMYFUNCTION("""COMPUTED_VALUE"""),1960.0)</f>
        <v>1960</v>
      </c>
      <c r="L1402" s="4">
        <f>IFERROR(__xludf.DUMMYFUNCTION("""COMPUTED_VALUE"""),0.39)</f>
        <v>0.39</v>
      </c>
      <c r="M1402" s="4">
        <f>IFERROR(__xludf.DUMMYFUNCTION("""COMPUTED_VALUE"""),0.319)</f>
        <v>0.319</v>
      </c>
      <c r="N1402" s="4">
        <f>IFERROR(__xludf.DUMMYFUNCTION("""COMPUTED_VALUE"""),0.777)</f>
        <v>0.777</v>
      </c>
      <c r="O1402" s="4">
        <f>IFERROR(__xludf.DUMMYFUNCTION("""COMPUTED_VALUE"""),21.5)</f>
        <v>21.5</v>
      </c>
      <c r="P1402" s="4">
        <f>IFERROR(__xludf.DUMMYFUNCTION("""COMPUTED_VALUE"""),7.4)</f>
        <v>7.4</v>
      </c>
      <c r="Q1402" s="4">
        <f>IFERROR(__xludf.DUMMYFUNCTION("""COMPUTED_VALUE"""),1.6)</f>
        <v>1.6</v>
      </c>
      <c r="R1402" s="4">
        <f>IFERROR(__xludf.DUMMYFUNCTION("""COMPUTED_VALUE"""),3.5)</f>
        <v>3.5</v>
      </c>
      <c r="S1402" s="4">
        <f>IFERROR(__xludf.DUMMYFUNCTION("""COMPUTED_VALUE"""),5.0)</f>
        <v>5</v>
      </c>
      <c r="T1402" s="4">
        <f>IFERROR(__xludf.DUMMYFUNCTION("""COMPUTED_VALUE"""),0.02)</f>
        <v>0.02</v>
      </c>
      <c r="U1402" s="4">
        <f>IFERROR(__xludf.DUMMYFUNCTION("""COMPUTED_VALUE"""),-3.4)</f>
        <v>-3.4</v>
      </c>
      <c r="V1402" s="4">
        <f>IFERROR(__xludf.DUMMYFUNCTION("""COMPUTED_VALUE"""),-4.2)</f>
        <v>-4.2</v>
      </c>
    </row>
    <row r="1403">
      <c r="A1403" s="4">
        <f>IFERROR(__xludf.DUMMYFUNCTION("""COMPUTED_VALUE"""),14.0)</f>
        <v>14</v>
      </c>
      <c r="B1403" s="4">
        <f>IFERROR(__xludf.DUMMYFUNCTION("""COMPUTED_VALUE"""),14.0)</f>
        <v>14</v>
      </c>
      <c r="C1403" s="4" t="str">
        <f>IFERROR(__xludf.DUMMYFUNCTION("""COMPUTED_VALUE"""),"UTA")</f>
        <v>UTA</v>
      </c>
      <c r="D1403" s="4" t="str">
        <f>IFERROR(__xludf.DUMMYFUNCTION("""COMPUTED_VALUE"""),"Kris Humphries")</f>
        <v>Kris Humphries</v>
      </c>
      <c r="E1403" s="4" t="str">
        <f>IFERROR(__xludf.DUMMYFUNCTION("""COMPUTED_VALUE"""),"Minnesota")</f>
        <v>Minnesota</v>
      </c>
      <c r="F1403" s="4">
        <f>IFERROR(__xludf.DUMMYFUNCTION("""COMPUTED_VALUE"""),13.0)</f>
        <v>13</v>
      </c>
      <c r="G1403" s="4">
        <f>IFERROR(__xludf.DUMMYFUNCTION("""COMPUTED_VALUE"""),800.0)</f>
        <v>800</v>
      </c>
      <c r="H1403" s="4">
        <f>IFERROR(__xludf.DUMMYFUNCTION("""COMPUTED_VALUE"""),14232.0)</f>
        <v>14232</v>
      </c>
      <c r="I1403" s="4">
        <f>IFERROR(__xludf.DUMMYFUNCTION("""COMPUTED_VALUE"""),5350.0)</f>
        <v>5350</v>
      </c>
      <c r="J1403" s="4">
        <f>IFERROR(__xludf.DUMMYFUNCTION("""COMPUTED_VALUE"""),4314.0)</f>
        <v>4314</v>
      </c>
      <c r="K1403" s="4">
        <f>IFERROR(__xludf.DUMMYFUNCTION("""COMPUTED_VALUE"""),556.0)</f>
        <v>556</v>
      </c>
      <c r="L1403" s="4">
        <f>IFERROR(__xludf.DUMMYFUNCTION("""COMPUTED_VALUE"""),0.463)</f>
        <v>0.463</v>
      </c>
      <c r="M1403" s="4">
        <f>IFERROR(__xludf.DUMMYFUNCTION("""COMPUTED_VALUE"""),0.293)</f>
        <v>0.293</v>
      </c>
      <c r="N1403" s="4">
        <f>IFERROR(__xludf.DUMMYFUNCTION("""COMPUTED_VALUE"""),0.7)</f>
        <v>0.7</v>
      </c>
      <c r="O1403" s="4">
        <f>IFERROR(__xludf.DUMMYFUNCTION("""COMPUTED_VALUE"""),17.8)</f>
        <v>17.8</v>
      </c>
      <c r="P1403" s="4">
        <f>IFERROR(__xludf.DUMMYFUNCTION("""COMPUTED_VALUE"""),6.7)</f>
        <v>6.7</v>
      </c>
      <c r="Q1403" s="4">
        <f>IFERROR(__xludf.DUMMYFUNCTION("""COMPUTED_VALUE"""),5.4)</f>
        <v>5.4</v>
      </c>
      <c r="R1403" s="4">
        <f>IFERROR(__xludf.DUMMYFUNCTION("""COMPUTED_VALUE"""),0.7)</f>
        <v>0.7</v>
      </c>
      <c r="S1403" s="4">
        <f>IFERROR(__xludf.DUMMYFUNCTION("""COMPUTED_VALUE"""),30.3)</f>
        <v>30.3</v>
      </c>
      <c r="T1403" s="4">
        <f>IFERROR(__xludf.DUMMYFUNCTION("""COMPUTED_VALUE"""),0.102)</f>
        <v>0.102</v>
      </c>
      <c r="U1403" s="4">
        <f>IFERROR(__xludf.DUMMYFUNCTION("""COMPUTED_VALUE"""),-1.7)</f>
        <v>-1.7</v>
      </c>
      <c r="V1403" s="4">
        <f>IFERROR(__xludf.DUMMYFUNCTION("""COMPUTED_VALUE"""),1.2)</f>
        <v>1.2</v>
      </c>
    </row>
    <row r="1404">
      <c r="A1404" s="4">
        <f>IFERROR(__xludf.DUMMYFUNCTION("""COMPUTED_VALUE"""),15.0)</f>
        <v>15</v>
      </c>
      <c r="B1404" s="4">
        <f>IFERROR(__xludf.DUMMYFUNCTION("""COMPUTED_VALUE"""),15.0)</f>
        <v>15</v>
      </c>
      <c r="C1404" s="4" t="str">
        <f>IFERROR(__xludf.DUMMYFUNCTION("""COMPUTED_VALUE"""),"BOS")</f>
        <v>BOS</v>
      </c>
      <c r="D1404" s="4" t="str">
        <f>IFERROR(__xludf.DUMMYFUNCTION("""COMPUTED_VALUE"""),"Al Jefferson")</f>
        <v>Al Jefferson</v>
      </c>
      <c r="E1404" s="4"/>
      <c r="F1404" s="4">
        <f>IFERROR(__xludf.DUMMYFUNCTION("""COMPUTED_VALUE"""),14.0)</f>
        <v>14</v>
      </c>
      <c r="G1404" s="4">
        <f>IFERROR(__xludf.DUMMYFUNCTION("""COMPUTED_VALUE"""),915.0)</f>
        <v>915</v>
      </c>
      <c r="H1404" s="4">
        <f>IFERROR(__xludf.DUMMYFUNCTION("""COMPUTED_VALUE"""),26299.0)</f>
        <v>26299</v>
      </c>
      <c r="I1404" s="4">
        <f>IFERROR(__xludf.DUMMYFUNCTION("""COMPUTED_VALUE"""),14343.0)</f>
        <v>14343</v>
      </c>
      <c r="J1404" s="4">
        <f>IFERROR(__xludf.DUMMYFUNCTION("""COMPUTED_VALUE"""),7690.0)</f>
        <v>7690</v>
      </c>
      <c r="K1404" s="4">
        <f>IFERROR(__xludf.DUMMYFUNCTION("""COMPUTED_VALUE"""),1347.0)</f>
        <v>1347</v>
      </c>
      <c r="L1404" s="4">
        <f>IFERROR(__xludf.DUMMYFUNCTION("""COMPUTED_VALUE"""),0.499)</f>
        <v>0.499</v>
      </c>
      <c r="M1404" s="4">
        <f>IFERROR(__xludf.DUMMYFUNCTION("""COMPUTED_VALUE"""),0.121)</f>
        <v>0.121</v>
      </c>
      <c r="N1404" s="4">
        <f>IFERROR(__xludf.DUMMYFUNCTION("""COMPUTED_VALUE"""),0.711)</f>
        <v>0.711</v>
      </c>
      <c r="O1404" s="4">
        <f>IFERROR(__xludf.DUMMYFUNCTION("""COMPUTED_VALUE"""),28.7)</f>
        <v>28.7</v>
      </c>
      <c r="P1404" s="4">
        <f>IFERROR(__xludf.DUMMYFUNCTION("""COMPUTED_VALUE"""),15.7)</f>
        <v>15.7</v>
      </c>
      <c r="Q1404" s="4">
        <f>IFERROR(__xludf.DUMMYFUNCTION("""COMPUTED_VALUE"""),8.4)</f>
        <v>8.4</v>
      </c>
      <c r="R1404" s="4">
        <f>IFERROR(__xludf.DUMMYFUNCTION("""COMPUTED_VALUE"""),1.5)</f>
        <v>1.5</v>
      </c>
      <c r="S1404" s="4">
        <f>IFERROR(__xludf.DUMMYFUNCTION("""COMPUTED_VALUE"""),71.0)</f>
        <v>71</v>
      </c>
      <c r="T1404" s="4">
        <f>IFERROR(__xludf.DUMMYFUNCTION("""COMPUTED_VALUE"""),0.13)</f>
        <v>0.13</v>
      </c>
      <c r="U1404" s="4">
        <f>IFERROR(__xludf.DUMMYFUNCTION("""COMPUTED_VALUE"""),1.2)</f>
        <v>1.2</v>
      </c>
      <c r="V1404" s="4">
        <f>IFERROR(__xludf.DUMMYFUNCTION("""COMPUTED_VALUE"""),21.3)</f>
        <v>21.3</v>
      </c>
    </row>
    <row r="1405">
      <c r="A1405" s="4">
        <f>IFERROR(__xludf.DUMMYFUNCTION("""COMPUTED_VALUE"""),16.0)</f>
        <v>16</v>
      </c>
      <c r="B1405" s="4">
        <f>IFERROR(__xludf.DUMMYFUNCTION("""COMPUTED_VALUE"""),16.0)</f>
        <v>16</v>
      </c>
      <c r="C1405" s="4" t="str">
        <f>IFERROR(__xludf.DUMMYFUNCTION("""COMPUTED_VALUE"""),"UTA")</f>
        <v>UTA</v>
      </c>
      <c r="D1405" s="4" t="str">
        <f>IFERROR(__xludf.DUMMYFUNCTION("""COMPUTED_VALUE"""),"Kirk Snyder")</f>
        <v>Kirk Snyder</v>
      </c>
      <c r="E1405" s="4" t="str">
        <f>IFERROR(__xludf.DUMMYFUNCTION("""COMPUTED_VALUE"""),"Nevada")</f>
        <v>Nevada</v>
      </c>
      <c r="F1405" s="4">
        <f>IFERROR(__xludf.DUMMYFUNCTION("""COMPUTED_VALUE"""),4.0)</f>
        <v>4</v>
      </c>
      <c r="G1405" s="4">
        <f>IFERROR(__xludf.DUMMYFUNCTION("""COMPUTED_VALUE"""),211.0)</f>
        <v>211</v>
      </c>
      <c r="H1405" s="4">
        <f>IFERROR(__xludf.DUMMYFUNCTION("""COMPUTED_VALUE"""),3540.0)</f>
        <v>3540</v>
      </c>
      <c r="I1405" s="4">
        <f>IFERROR(__xludf.DUMMYFUNCTION("""COMPUTED_VALUE"""),1333.0)</f>
        <v>1333</v>
      </c>
      <c r="J1405" s="4">
        <f>IFERROR(__xludf.DUMMYFUNCTION("""COMPUTED_VALUE"""),491.0)</f>
        <v>491</v>
      </c>
      <c r="K1405" s="4">
        <f>IFERROR(__xludf.DUMMYFUNCTION("""COMPUTED_VALUE"""),241.0)</f>
        <v>241</v>
      </c>
      <c r="L1405" s="4">
        <f>IFERROR(__xludf.DUMMYFUNCTION("""COMPUTED_VALUE"""),0.438)</f>
        <v>0.438</v>
      </c>
      <c r="M1405" s="4">
        <f>IFERROR(__xludf.DUMMYFUNCTION("""COMPUTED_VALUE"""),0.327)</f>
        <v>0.327</v>
      </c>
      <c r="N1405" s="4">
        <f>IFERROR(__xludf.DUMMYFUNCTION("""COMPUTED_VALUE"""),0.699)</f>
        <v>0.699</v>
      </c>
      <c r="O1405" s="4">
        <f>IFERROR(__xludf.DUMMYFUNCTION("""COMPUTED_VALUE"""),16.8)</f>
        <v>16.8</v>
      </c>
      <c r="P1405" s="4">
        <f>IFERROR(__xludf.DUMMYFUNCTION("""COMPUTED_VALUE"""),6.3)</f>
        <v>6.3</v>
      </c>
      <c r="Q1405" s="4">
        <f>IFERROR(__xludf.DUMMYFUNCTION("""COMPUTED_VALUE"""),2.3)</f>
        <v>2.3</v>
      </c>
      <c r="R1405" s="4">
        <f>IFERROR(__xludf.DUMMYFUNCTION("""COMPUTED_VALUE"""),1.1)</f>
        <v>1.1</v>
      </c>
      <c r="S1405" s="4">
        <f>IFERROR(__xludf.DUMMYFUNCTION("""COMPUTED_VALUE"""),4.5)</f>
        <v>4.5</v>
      </c>
      <c r="T1405" s="4">
        <f>IFERROR(__xludf.DUMMYFUNCTION("""COMPUTED_VALUE"""),0.061)</f>
        <v>0.061</v>
      </c>
      <c r="U1405" s="4">
        <f>IFERROR(__xludf.DUMMYFUNCTION("""COMPUTED_VALUE"""),-1.2)</f>
        <v>-1.2</v>
      </c>
      <c r="V1405" s="4">
        <f>IFERROR(__xludf.DUMMYFUNCTION("""COMPUTED_VALUE"""),0.7)</f>
        <v>0.7</v>
      </c>
    </row>
    <row r="1406">
      <c r="A1406" s="4">
        <f>IFERROR(__xludf.DUMMYFUNCTION("""COMPUTED_VALUE"""),17.0)</f>
        <v>17</v>
      </c>
      <c r="B1406" s="4">
        <f>IFERROR(__xludf.DUMMYFUNCTION("""COMPUTED_VALUE"""),17.0)</f>
        <v>17</v>
      </c>
      <c r="C1406" s="4" t="str">
        <f>IFERROR(__xludf.DUMMYFUNCTION("""COMPUTED_VALUE"""),"ATL")</f>
        <v>ATL</v>
      </c>
      <c r="D1406" s="4" t="str">
        <f>IFERROR(__xludf.DUMMYFUNCTION("""COMPUTED_VALUE"""),"Josh Smith")</f>
        <v>Josh Smith</v>
      </c>
      <c r="E1406" s="4"/>
      <c r="F1406" s="4">
        <f>IFERROR(__xludf.DUMMYFUNCTION("""COMPUTED_VALUE"""),13.0)</f>
        <v>13</v>
      </c>
      <c r="G1406" s="4">
        <f>IFERROR(__xludf.DUMMYFUNCTION("""COMPUTED_VALUE"""),894.0)</f>
        <v>894</v>
      </c>
      <c r="H1406" s="4">
        <f>IFERROR(__xludf.DUMMYFUNCTION("""COMPUTED_VALUE"""),29000.0)</f>
        <v>29000</v>
      </c>
      <c r="I1406" s="4">
        <f>IFERROR(__xludf.DUMMYFUNCTION("""COMPUTED_VALUE"""),12996.0)</f>
        <v>12996</v>
      </c>
      <c r="J1406" s="4">
        <f>IFERROR(__xludf.DUMMYFUNCTION("""COMPUTED_VALUE"""),6653.0)</f>
        <v>6653</v>
      </c>
      <c r="K1406" s="4">
        <f>IFERROR(__xludf.DUMMYFUNCTION("""COMPUTED_VALUE"""),2789.0)</f>
        <v>2789</v>
      </c>
      <c r="L1406" s="4">
        <f>IFERROR(__xludf.DUMMYFUNCTION("""COMPUTED_VALUE"""),0.452)</f>
        <v>0.452</v>
      </c>
      <c r="M1406" s="4">
        <f>IFERROR(__xludf.DUMMYFUNCTION("""COMPUTED_VALUE"""),0.285)</f>
        <v>0.285</v>
      </c>
      <c r="N1406" s="4">
        <f>IFERROR(__xludf.DUMMYFUNCTION("""COMPUTED_VALUE"""),0.632)</f>
        <v>0.632</v>
      </c>
      <c r="O1406" s="4">
        <f>IFERROR(__xludf.DUMMYFUNCTION("""COMPUTED_VALUE"""),32.4)</f>
        <v>32.4</v>
      </c>
      <c r="P1406" s="4">
        <f>IFERROR(__xludf.DUMMYFUNCTION("""COMPUTED_VALUE"""),14.5)</f>
        <v>14.5</v>
      </c>
      <c r="Q1406" s="4">
        <f>IFERROR(__xludf.DUMMYFUNCTION("""COMPUTED_VALUE"""),7.4)</f>
        <v>7.4</v>
      </c>
      <c r="R1406" s="4">
        <f>IFERROR(__xludf.DUMMYFUNCTION("""COMPUTED_VALUE"""),3.1)</f>
        <v>3.1</v>
      </c>
      <c r="S1406" s="4">
        <f>IFERROR(__xludf.DUMMYFUNCTION("""COMPUTED_VALUE"""),51.0)</f>
        <v>51</v>
      </c>
      <c r="T1406" s="4">
        <f>IFERROR(__xludf.DUMMYFUNCTION("""COMPUTED_VALUE"""),0.084)</f>
        <v>0.084</v>
      </c>
      <c r="U1406" s="4">
        <f>IFERROR(__xludf.DUMMYFUNCTION("""COMPUTED_VALUE"""),1.7)</f>
        <v>1.7</v>
      </c>
      <c r="V1406" s="4">
        <f>IFERROR(__xludf.DUMMYFUNCTION("""COMPUTED_VALUE"""),27.2)</f>
        <v>27.2</v>
      </c>
    </row>
    <row r="1407">
      <c r="A1407" s="4">
        <f>IFERROR(__xludf.DUMMYFUNCTION("""COMPUTED_VALUE"""),18.0)</f>
        <v>18</v>
      </c>
      <c r="B1407" s="4">
        <f>IFERROR(__xludf.DUMMYFUNCTION("""COMPUTED_VALUE"""),18.0)</f>
        <v>18</v>
      </c>
      <c r="C1407" s="4" t="str">
        <f>IFERROR(__xludf.DUMMYFUNCTION("""COMPUTED_VALUE"""),"NOH")</f>
        <v>NOH</v>
      </c>
      <c r="D1407" s="4" t="str">
        <f>IFERROR(__xludf.DUMMYFUNCTION("""COMPUTED_VALUE"""),"J.R. Smith")</f>
        <v>J.R. Smith</v>
      </c>
      <c r="E1407" s="4"/>
      <c r="F1407" s="4">
        <f>IFERROR(__xludf.DUMMYFUNCTION("""COMPUTED_VALUE"""),16.0)</f>
        <v>16</v>
      </c>
      <c r="G1407" s="4">
        <f>IFERROR(__xludf.DUMMYFUNCTION("""COMPUTED_VALUE"""),977.0)</f>
        <v>977</v>
      </c>
      <c r="H1407" s="4">
        <f>IFERROR(__xludf.DUMMYFUNCTION("""COMPUTED_VALUE"""),26275.0)</f>
        <v>26275</v>
      </c>
      <c r="I1407" s="4">
        <f>IFERROR(__xludf.DUMMYFUNCTION("""COMPUTED_VALUE"""),12148.0)</f>
        <v>12148</v>
      </c>
      <c r="J1407" s="4">
        <f>IFERROR(__xludf.DUMMYFUNCTION("""COMPUTED_VALUE"""),3073.0)</f>
        <v>3073</v>
      </c>
      <c r="K1407" s="4">
        <f>IFERROR(__xludf.DUMMYFUNCTION("""COMPUTED_VALUE"""),2077.0)</f>
        <v>2077</v>
      </c>
      <c r="L1407" s="4">
        <f>IFERROR(__xludf.DUMMYFUNCTION("""COMPUTED_VALUE"""),0.419)</f>
        <v>0.419</v>
      </c>
      <c r="M1407" s="4">
        <f>IFERROR(__xludf.DUMMYFUNCTION("""COMPUTED_VALUE"""),0.373)</f>
        <v>0.373</v>
      </c>
      <c r="N1407" s="4">
        <f>IFERROR(__xludf.DUMMYFUNCTION("""COMPUTED_VALUE"""),0.733)</f>
        <v>0.733</v>
      </c>
      <c r="O1407" s="4">
        <f>IFERROR(__xludf.DUMMYFUNCTION("""COMPUTED_VALUE"""),26.9)</f>
        <v>26.9</v>
      </c>
      <c r="P1407" s="4">
        <f>IFERROR(__xludf.DUMMYFUNCTION("""COMPUTED_VALUE"""),12.4)</f>
        <v>12.4</v>
      </c>
      <c r="Q1407" s="4">
        <f>IFERROR(__xludf.DUMMYFUNCTION("""COMPUTED_VALUE"""),3.1)</f>
        <v>3.1</v>
      </c>
      <c r="R1407" s="4">
        <f>IFERROR(__xludf.DUMMYFUNCTION("""COMPUTED_VALUE"""),2.1)</f>
        <v>2.1</v>
      </c>
      <c r="S1407" s="4">
        <f>IFERROR(__xludf.DUMMYFUNCTION("""COMPUTED_VALUE"""),46.3)</f>
        <v>46.3</v>
      </c>
      <c r="T1407" s="4">
        <f>IFERROR(__xludf.DUMMYFUNCTION("""COMPUTED_VALUE"""),0.084)</f>
        <v>0.084</v>
      </c>
      <c r="U1407" s="4">
        <f>IFERROR(__xludf.DUMMYFUNCTION("""COMPUTED_VALUE"""),0.2)</f>
        <v>0.2</v>
      </c>
      <c r="V1407" s="4">
        <f>IFERROR(__xludf.DUMMYFUNCTION("""COMPUTED_VALUE"""),14.7)</f>
        <v>14.7</v>
      </c>
    </row>
    <row r="1408">
      <c r="A1408" s="4">
        <f>IFERROR(__xludf.DUMMYFUNCTION("""COMPUTED_VALUE"""),19.0)</f>
        <v>19</v>
      </c>
      <c r="B1408" s="4">
        <f>IFERROR(__xludf.DUMMYFUNCTION("""COMPUTED_VALUE"""),19.0)</f>
        <v>19</v>
      </c>
      <c r="C1408" s="4" t="str">
        <f>IFERROR(__xludf.DUMMYFUNCTION("""COMPUTED_VALUE"""),"MIA")</f>
        <v>MIA</v>
      </c>
      <c r="D1408" s="4" t="str">
        <f>IFERROR(__xludf.DUMMYFUNCTION("""COMPUTED_VALUE"""),"Dorell Wright")</f>
        <v>Dorell Wright</v>
      </c>
      <c r="E1408" s="4"/>
      <c r="F1408" s="4">
        <f>IFERROR(__xludf.DUMMYFUNCTION("""COMPUTED_VALUE"""),11.0)</f>
        <v>11</v>
      </c>
      <c r="G1408" s="4">
        <f>IFERROR(__xludf.DUMMYFUNCTION("""COMPUTED_VALUE"""),549.0)</f>
        <v>549</v>
      </c>
      <c r="H1408" s="4">
        <f>IFERROR(__xludf.DUMMYFUNCTION("""COMPUTED_VALUE"""),12280.0)</f>
        <v>12280</v>
      </c>
      <c r="I1408" s="4">
        <f>IFERROR(__xludf.DUMMYFUNCTION("""COMPUTED_VALUE"""),4597.0)</f>
        <v>4597</v>
      </c>
      <c r="J1408" s="4">
        <f>IFERROR(__xludf.DUMMYFUNCTION("""COMPUTED_VALUE"""),2093.0)</f>
        <v>2093</v>
      </c>
      <c r="K1408" s="4">
        <f>IFERROR(__xludf.DUMMYFUNCTION("""COMPUTED_VALUE"""),850.0)</f>
        <v>850</v>
      </c>
      <c r="L1408" s="4">
        <f>IFERROR(__xludf.DUMMYFUNCTION("""COMPUTED_VALUE"""),0.424)</f>
        <v>0.424</v>
      </c>
      <c r="M1408" s="4">
        <f>IFERROR(__xludf.DUMMYFUNCTION("""COMPUTED_VALUE"""),0.365)</f>
        <v>0.365</v>
      </c>
      <c r="N1408" s="4">
        <f>IFERROR(__xludf.DUMMYFUNCTION("""COMPUTED_VALUE"""),0.806)</f>
        <v>0.806</v>
      </c>
      <c r="O1408" s="4">
        <f>IFERROR(__xludf.DUMMYFUNCTION("""COMPUTED_VALUE"""),22.4)</f>
        <v>22.4</v>
      </c>
      <c r="P1408" s="4">
        <f>IFERROR(__xludf.DUMMYFUNCTION("""COMPUTED_VALUE"""),8.4)</f>
        <v>8.4</v>
      </c>
      <c r="Q1408" s="4">
        <f>IFERROR(__xludf.DUMMYFUNCTION("""COMPUTED_VALUE"""),3.8)</f>
        <v>3.8</v>
      </c>
      <c r="R1408" s="4">
        <f>IFERROR(__xludf.DUMMYFUNCTION("""COMPUTED_VALUE"""),1.5)</f>
        <v>1.5</v>
      </c>
      <c r="S1408" s="4">
        <f>IFERROR(__xludf.DUMMYFUNCTION("""COMPUTED_VALUE"""),25.9)</f>
        <v>25.9</v>
      </c>
      <c r="T1408" s="4">
        <f>IFERROR(__xludf.DUMMYFUNCTION("""COMPUTED_VALUE"""),0.101)</f>
        <v>0.101</v>
      </c>
      <c r="U1408" s="4">
        <f>IFERROR(__xludf.DUMMYFUNCTION("""COMPUTED_VALUE"""),0.9)</f>
        <v>0.9</v>
      </c>
      <c r="V1408" s="4">
        <f>IFERROR(__xludf.DUMMYFUNCTION("""COMPUTED_VALUE"""),9.1)</f>
        <v>9.1</v>
      </c>
    </row>
    <row r="1409">
      <c r="A1409" s="4">
        <f>IFERROR(__xludf.DUMMYFUNCTION("""COMPUTED_VALUE"""),20.0)</f>
        <v>20</v>
      </c>
      <c r="B1409" s="4">
        <f>IFERROR(__xludf.DUMMYFUNCTION("""COMPUTED_VALUE"""),20.0)</f>
        <v>20</v>
      </c>
      <c r="C1409" s="4" t="str">
        <f>IFERROR(__xludf.DUMMYFUNCTION("""COMPUTED_VALUE"""),"DEN")</f>
        <v>DEN</v>
      </c>
      <c r="D1409" s="4" t="str">
        <f>IFERROR(__xludf.DUMMYFUNCTION("""COMPUTED_VALUE"""),"Jameer Nelson")</f>
        <v>Jameer Nelson</v>
      </c>
      <c r="E1409" s="4" t="str">
        <f>IFERROR(__xludf.DUMMYFUNCTION("""COMPUTED_VALUE"""),"Saint Joseph's")</f>
        <v>Saint Joseph's</v>
      </c>
      <c r="F1409" s="4">
        <f>IFERROR(__xludf.DUMMYFUNCTION("""COMPUTED_VALUE"""),14.0)</f>
        <v>14</v>
      </c>
      <c r="G1409" s="4">
        <f>IFERROR(__xludf.DUMMYFUNCTION("""COMPUTED_VALUE"""),878.0)</f>
        <v>878</v>
      </c>
      <c r="H1409" s="4">
        <f>IFERROR(__xludf.DUMMYFUNCTION("""COMPUTED_VALUE"""),24539.0)</f>
        <v>24539</v>
      </c>
      <c r="I1409" s="4">
        <f>IFERROR(__xludf.DUMMYFUNCTION("""COMPUTED_VALUE"""),9940.0)</f>
        <v>9940</v>
      </c>
      <c r="J1409" s="4">
        <f>IFERROR(__xludf.DUMMYFUNCTION("""COMPUTED_VALUE"""),2595.0)</f>
        <v>2595</v>
      </c>
      <c r="K1409" s="4">
        <f>IFERROR(__xludf.DUMMYFUNCTION("""COMPUTED_VALUE"""),4508.0)</f>
        <v>4508</v>
      </c>
      <c r="L1409" s="4">
        <f>IFERROR(__xludf.DUMMYFUNCTION("""COMPUTED_VALUE"""),0.436)</f>
        <v>0.436</v>
      </c>
      <c r="M1409" s="4">
        <f>IFERROR(__xludf.DUMMYFUNCTION("""COMPUTED_VALUE"""),0.368)</f>
        <v>0.368</v>
      </c>
      <c r="N1409" s="4">
        <f>IFERROR(__xludf.DUMMYFUNCTION("""COMPUTED_VALUE"""),0.81)</f>
        <v>0.81</v>
      </c>
      <c r="O1409" s="4">
        <f>IFERROR(__xludf.DUMMYFUNCTION("""COMPUTED_VALUE"""),27.9)</f>
        <v>27.9</v>
      </c>
      <c r="P1409" s="4">
        <f>IFERROR(__xludf.DUMMYFUNCTION("""COMPUTED_VALUE"""),11.3)</f>
        <v>11.3</v>
      </c>
      <c r="Q1409" s="4">
        <f>IFERROR(__xludf.DUMMYFUNCTION("""COMPUTED_VALUE"""),3.0)</f>
        <v>3</v>
      </c>
      <c r="R1409" s="4">
        <f>IFERROR(__xludf.DUMMYFUNCTION("""COMPUTED_VALUE"""),5.1)</f>
        <v>5.1</v>
      </c>
      <c r="S1409" s="4">
        <f>IFERROR(__xludf.DUMMYFUNCTION("""COMPUTED_VALUE"""),48.3)</f>
        <v>48.3</v>
      </c>
      <c r="T1409" s="4">
        <f>IFERROR(__xludf.DUMMYFUNCTION("""COMPUTED_VALUE"""),0.094)</f>
        <v>0.094</v>
      </c>
      <c r="U1409" s="4">
        <f>IFERROR(__xludf.DUMMYFUNCTION("""COMPUTED_VALUE"""),-0.1)</f>
        <v>-0.1</v>
      </c>
      <c r="V1409" s="4">
        <f>IFERROR(__xludf.DUMMYFUNCTION("""COMPUTED_VALUE"""),11.6)</f>
        <v>11.6</v>
      </c>
    </row>
    <row r="1410">
      <c r="A1410" s="4">
        <f>IFERROR(__xludf.DUMMYFUNCTION("""COMPUTED_VALUE"""),21.0)</f>
        <v>21</v>
      </c>
      <c r="B1410" s="4">
        <f>IFERROR(__xludf.DUMMYFUNCTION("""COMPUTED_VALUE"""),21.0)</f>
        <v>21</v>
      </c>
      <c r="C1410" s="4" t="str">
        <f>IFERROR(__xludf.DUMMYFUNCTION("""COMPUTED_VALUE"""),"UTA")</f>
        <v>UTA</v>
      </c>
      <c r="D1410" s="4" t="str">
        <f>IFERROR(__xludf.DUMMYFUNCTION("""COMPUTED_VALUE"""),"Pavel Podkolzin")</f>
        <v>Pavel Podkolzin</v>
      </c>
      <c r="E1410" s="4"/>
      <c r="F1410" s="4">
        <f>IFERROR(__xludf.DUMMYFUNCTION("""COMPUTED_VALUE"""),2.0)</f>
        <v>2</v>
      </c>
      <c r="G1410" s="4">
        <f>IFERROR(__xludf.DUMMYFUNCTION("""COMPUTED_VALUE"""),6.0)</f>
        <v>6</v>
      </c>
      <c r="H1410" s="4">
        <f>IFERROR(__xludf.DUMMYFUNCTION("""COMPUTED_VALUE"""),28.0)</f>
        <v>28</v>
      </c>
      <c r="I1410" s="4">
        <f>IFERROR(__xludf.DUMMYFUNCTION("""COMPUTED_VALUE"""),4.0)</f>
        <v>4</v>
      </c>
      <c r="J1410" s="4">
        <f>IFERROR(__xludf.DUMMYFUNCTION("""COMPUTED_VALUE"""),9.0)</f>
        <v>9</v>
      </c>
      <c r="K1410" s="4">
        <f>IFERROR(__xludf.DUMMYFUNCTION("""COMPUTED_VALUE"""),0.0)</f>
        <v>0</v>
      </c>
      <c r="L1410" s="4">
        <f>IFERROR(__xludf.DUMMYFUNCTION("""COMPUTED_VALUE"""),0.0)</f>
        <v>0</v>
      </c>
      <c r="M1410" s="4"/>
      <c r="N1410" s="4">
        <f>IFERROR(__xludf.DUMMYFUNCTION("""COMPUTED_VALUE"""),0.5)</f>
        <v>0.5</v>
      </c>
      <c r="O1410" s="4">
        <f>IFERROR(__xludf.DUMMYFUNCTION("""COMPUTED_VALUE"""),4.7)</f>
        <v>4.7</v>
      </c>
      <c r="P1410" s="4">
        <f>IFERROR(__xludf.DUMMYFUNCTION("""COMPUTED_VALUE"""),0.7)</f>
        <v>0.7</v>
      </c>
      <c r="Q1410" s="4">
        <f>IFERROR(__xludf.DUMMYFUNCTION("""COMPUTED_VALUE"""),1.5)</f>
        <v>1.5</v>
      </c>
      <c r="R1410" s="4">
        <f>IFERROR(__xludf.DUMMYFUNCTION("""COMPUTED_VALUE"""),0.0)</f>
        <v>0</v>
      </c>
      <c r="S1410" s="4">
        <f>IFERROR(__xludf.DUMMYFUNCTION("""COMPUTED_VALUE"""),-0.1)</f>
        <v>-0.1</v>
      </c>
      <c r="T1410" s="4">
        <f>IFERROR(__xludf.DUMMYFUNCTION("""COMPUTED_VALUE"""),-0.163)</f>
        <v>-0.163</v>
      </c>
      <c r="U1410" s="4">
        <f>IFERROR(__xludf.DUMMYFUNCTION("""COMPUTED_VALUE"""),-15.0)</f>
        <v>-15</v>
      </c>
      <c r="V1410" s="4">
        <f>IFERROR(__xludf.DUMMYFUNCTION("""COMPUTED_VALUE"""),-0.1)</f>
        <v>-0.1</v>
      </c>
    </row>
    <row r="1411">
      <c r="A1411" s="4">
        <f>IFERROR(__xludf.DUMMYFUNCTION("""COMPUTED_VALUE"""),22.0)</f>
        <v>22</v>
      </c>
      <c r="B1411" s="4">
        <f>IFERROR(__xludf.DUMMYFUNCTION("""COMPUTED_VALUE"""),22.0)</f>
        <v>22</v>
      </c>
      <c r="C1411" s="4" t="str">
        <f>IFERROR(__xludf.DUMMYFUNCTION("""COMPUTED_VALUE"""),"NJN")</f>
        <v>NJN</v>
      </c>
      <c r="D1411" s="4" t="str">
        <f>IFERROR(__xludf.DUMMYFUNCTION("""COMPUTED_VALUE"""),"Viktor Khryapa")</f>
        <v>Viktor Khryapa</v>
      </c>
      <c r="E1411" s="4"/>
      <c r="F1411" s="4">
        <f>IFERROR(__xludf.DUMMYFUNCTION("""COMPUTED_VALUE"""),4.0)</f>
        <v>4</v>
      </c>
      <c r="G1411" s="4">
        <f>IFERROR(__xludf.DUMMYFUNCTION("""COMPUTED_VALUE"""),143.0)</f>
        <v>143</v>
      </c>
      <c r="H1411" s="4">
        <f>IFERROR(__xludf.DUMMYFUNCTION("""COMPUTED_VALUE"""),2351.0)</f>
        <v>2351</v>
      </c>
      <c r="I1411" s="4">
        <f>IFERROR(__xludf.DUMMYFUNCTION("""COMPUTED_VALUE"""),643.0)</f>
        <v>643</v>
      </c>
      <c r="J1411" s="4">
        <f>IFERROR(__xludf.DUMMYFUNCTION("""COMPUTED_VALUE"""),492.0)</f>
        <v>492</v>
      </c>
      <c r="K1411" s="4">
        <f>IFERROR(__xludf.DUMMYFUNCTION("""COMPUTED_VALUE"""),142.0)</f>
        <v>142</v>
      </c>
      <c r="L1411" s="4">
        <f>IFERROR(__xludf.DUMMYFUNCTION("""COMPUTED_VALUE"""),0.443)</f>
        <v>0.443</v>
      </c>
      <c r="M1411" s="4">
        <f>IFERROR(__xludf.DUMMYFUNCTION("""COMPUTED_VALUE"""),0.292)</f>
        <v>0.292</v>
      </c>
      <c r="N1411" s="4">
        <f>IFERROR(__xludf.DUMMYFUNCTION("""COMPUTED_VALUE"""),0.658)</f>
        <v>0.658</v>
      </c>
      <c r="O1411" s="4">
        <f>IFERROR(__xludf.DUMMYFUNCTION("""COMPUTED_VALUE"""),16.4)</f>
        <v>16.4</v>
      </c>
      <c r="P1411" s="4">
        <f>IFERROR(__xludf.DUMMYFUNCTION("""COMPUTED_VALUE"""),4.5)</f>
        <v>4.5</v>
      </c>
      <c r="Q1411" s="4">
        <f>IFERROR(__xludf.DUMMYFUNCTION("""COMPUTED_VALUE"""),3.4)</f>
        <v>3.4</v>
      </c>
      <c r="R1411" s="4">
        <f>IFERROR(__xludf.DUMMYFUNCTION("""COMPUTED_VALUE"""),1.0)</f>
        <v>1</v>
      </c>
      <c r="S1411" s="4">
        <f>IFERROR(__xludf.DUMMYFUNCTION("""COMPUTED_VALUE"""),2.0)</f>
        <v>2</v>
      </c>
      <c r="T1411" s="4">
        <f>IFERROR(__xludf.DUMMYFUNCTION("""COMPUTED_VALUE"""),0.041)</f>
        <v>0.041</v>
      </c>
      <c r="U1411" s="4">
        <f>IFERROR(__xludf.DUMMYFUNCTION("""COMPUTED_VALUE"""),-3.5)</f>
        <v>-3.5</v>
      </c>
      <c r="V1411" s="4">
        <f>IFERROR(__xludf.DUMMYFUNCTION("""COMPUTED_VALUE"""),-0.9)</f>
        <v>-0.9</v>
      </c>
    </row>
    <row r="1412">
      <c r="A1412" s="4">
        <f>IFERROR(__xludf.DUMMYFUNCTION("""COMPUTED_VALUE"""),23.0)</f>
        <v>23</v>
      </c>
      <c r="B1412" s="4">
        <f>IFERROR(__xludf.DUMMYFUNCTION("""COMPUTED_VALUE"""),23.0)</f>
        <v>23</v>
      </c>
      <c r="C1412" s="4" t="str">
        <f>IFERROR(__xludf.DUMMYFUNCTION("""COMPUTED_VALUE"""),"POR")</f>
        <v>POR</v>
      </c>
      <c r="D1412" s="4" t="str">
        <f>IFERROR(__xludf.DUMMYFUNCTION("""COMPUTED_VALUE"""),"Sergei Monia")</f>
        <v>Sergei Monia</v>
      </c>
      <c r="E1412" s="4"/>
      <c r="F1412" s="4">
        <f>IFERROR(__xludf.DUMMYFUNCTION("""COMPUTED_VALUE"""),1.0)</f>
        <v>1</v>
      </c>
      <c r="G1412" s="4">
        <f>IFERROR(__xludf.DUMMYFUNCTION("""COMPUTED_VALUE"""),26.0)</f>
        <v>26</v>
      </c>
      <c r="H1412" s="4">
        <f>IFERROR(__xludf.DUMMYFUNCTION("""COMPUTED_VALUE"""),343.0)</f>
        <v>343</v>
      </c>
      <c r="I1412" s="4">
        <f>IFERROR(__xludf.DUMMYFUNCTION("""COMPUTED_VALUE"""),77.0)</f>
        <v>77</v>
      </c>
      <c r="J1412" s="4">
        <f>IFERROR(__xludf.DUMMYFUNCTION("""COMPUTED_VALUE"""),52.0)</f>
        <v>52</v>
      </c>
      <c r="K1412" s="4">
        <f>IFERROR(__xludf.DUMMYFUNCTION("""COMPUTED_VALUE"""),19.0)</f>
        <v>19</v>
      </c>
      <c r="L1412" s="4">
        <f>IFERROR(__xludf.DUMMYFUNCTION("""COMPUTED_VALUE"""),0.333)</f>
        <v>0.333</v>
      </c>
      <c r="M1412" s="4">
        <f>IFERROR(__xludf.DUMMYFUNCTION("""COMPUTED_VALUE"""),0.265)</f>
        <v>0.265</v>
      </c>
      <c r="N1412" s="4">
        <f>IFERROR(__xludf.DUMMYFUNCTION("""COMPUTED_VALUE"""),0.714)</f>
        <v>0.714</v>
      </c>
      <c r="O1412" s="4">
        <f>IFERROR(__xludf.DUMMYFUNCTION("""COMPUTED_VALUE"""),13.2)</f>
        <v>13.2</v>
      </c>
      <c r="P1412" s="4">
        <f>IFERROR(__xludf.DUMMYFUNCTION("""COMPUTED_VALUE"""),3.0)</f>
        <v>3</v>
      </c>
      <c r="Q1412" s="4">
        <f>IFERROR(__xludf.DUMMYFUNCTION("""COMPUTED_VALUE"""),2.0)</f>
        <v>2</v>
      </c>
      <c r="R1412" s="4">
        <f>IFERROR(__xludf.DUMMYFUNCTION("""COMPUTED_VALUE"""),0.7)</f>
        <v>0.7</v>
      </c>
      <c r="S1412" s="4">
        <f>IFERROR(__xludf.DUMMYFUNCTION("""COMPUTED_VALUE"""),-0.2)</f>
        <v>-0.2</v>
      </c>
      <c r="T1412" s="4">
        <f>IFERROR(__xludf.DUMMYFUNCTION("""COMPUTED_VALUE"""),-0.025)</f>
        <v>-0.025</v>
      </c>
      <c r="U1412" s="4">
        <f>IFERROR(__xludf.DUMMYFUNCTION("""COMPUTED_VALUE"""),-5.3)</f>
        <v>-5.3</v>
      </c>
      <c r="V1412" s="4">
        <f>IFERROR(__xludf.DUMMYFUNCTION("""COMPUTED_VALUE"""),-0.3)</f>
        <v>-0.3</v>
      </c>
    </row>
    <row r="1413">
      <c r="A1413" s="4">
        <f>IFERROR(__xludf.DUMMYFUNCTION("""COMPUTED_VALUE"""),24.0)</f>
        <v>24</v>
      </c>
      <c r="B1413" s="4">
        <f>IFERROR(__xludf.DUMMYFUNCTION("""COMPUTED_VALUE"""),24.0)</f>
        <v>24</v>
      </c>
      <c r="C1413" s="4" t="str">
        <f>IFERROR(__xludf.DUMMYFUNCTION("""COMPUTED_VALUE"""),"BOS")</f>
        <v>BOS</v>
      </c>
      <c r="D1413" s="4" t="str">
        <f>IFERROR(__xludf.DUMMYFUNCTION("""COMPUTED_VALUE"""),"Delonte West")</f>
        <v>Delonte West</v>
      </c>
      <c r="E1413" s="4" t="str">
        <f>IFERROR(__xludf.DUMMYFUNCTION("""COMPUTED_VALUE"""),"Saint Joseph's")</f>
        <v>Saint Joseph's</v>
      </c>
      <c r="F1413" s="4">
        <f>IFERROR(__xludf.DUMMYFUNCTION("""COMPUTED_VALUE"""),8.0)</f>
        <v>8</v>
      </c>
      <c r="G1413" s="4">
        <f>IFERROR(__xludf.DUMMYFUNCTION("""COMPUTED_VALUE"""),432.0)</f>
        <v>432</v>
      </c>
      <c r="H1413" s="4">
        <f>IFERROR(__xludf.DUMMYFUNCTION("""COMPUTED_VALUE"""),11842.0)</f>
        <v>11842</v>
      </c>
      <c r="I1413" s="4">
        <f>IFERROR(__xludf.DUMMYFUNCTION("""COMPUTED_VALUE"""),4198.0)</f>
        <v>4198</v>
      </c>
      <c r="J1413" s="4">
        <f>IFERROR(__xludf.DUMMYFUNCTION("""COMPUTED_VALUE"""),1265.0)</f>
        <v>1265</v>
      </c>
      <c r="K1413" s="4">
        <f>IFERROR(__xludf.DUMMYFUNCTION("""COMPUTED_VALUE"""),1540.0)</f>
        <v>1540</v>
      </c>
      <c r="L1413" s="4">
        <f>IFERROR(__xludf.DUMMYFUNCTION("""COMPUTED_VALUE"""),0.448)</f>
        <v>0.448</v>
      </c>
      <c r="M1413" s="4">
        <f>IFERROR(__xludf.DUMMYFUNCTION("""COMPUTED_VALUE"""),0.372)</f>
        <v>0.372</v>
      </c>
      <c r="N1413" s="4">
        <f>IFERROR(__xludf.DUMMYFUNCTION("""COMPUTED_VALUE"""),0.826)</f>
        <v>0.826</v>
      </c>
      <c r="O1413" s="4">
        <f>IFERROR(__xludf.DUMMYFUNCTION("""COMPUTED_VALUE"""),27.4)</f>
        <v>27.4</v>
      </c>
      <c r="P1413" s="4">
        <f>IFERROR(__xludf.DUMMYFUNCTION("""COMPUTED_VALUE"""),9.7)</f>
        <v>9.7</v>
      </c>
      <c r="Q1413" s="4">
        <f>IFERROR(__xludf.DUMMYFUNCTION("""COMPUTED_VALUE"""),2.9)</f>
        <v>2.9</v>
      </c>
      <c r="R1413" s="4">
        <f>IFERROR(__xludf.DUMMYFUNCTION("""COMPUTED_VALUE"""),3.6)</f>
        <v>3.6</v>
      </c>
      <c r="S1413" s="4">
        <f>IFERROR(__xludf.DUMMYFUNCTION("""COMPUTED_VALUE"""),24.5)</f>
        <v>24.5</v>
      </c>
      <c r="T1413" s="4">
        <f>IFERROR(__xludf.DUMMYFUNCTION("""COMPUTED_VALUE"""),0.099)</f>
        <v>0.099</v>
      </c>
      <c r="U1413" s="4">
        <f>IFERROR(__xludf.DUMMYFUNCTION("""COMPUTED_VALUE"""),0.9)</f>
        <v>0.9</v>
      </c>
      <c r="V1413" s="4">
        <f>IFERROR(__xludf.DUMMYFUNCTION("""COMPUTED_VALUE"""),8.7)</f>
        <v>8.7</v>
      </c>
    </row>
    <row r="1414">
      <c r="A1414" s="4">
        <f>IFERROR(__xludf.DUMMYFUNCTION("""COMPUTED_VALUE"""),25.0)</f>
        <v>25</v>
      </c>
      <c r="B1414" s="4">
        <f>IFERROR(__xludf.DUMMYFUNCTION("""COMPUTED_VALUE"""),25.0)</f>
        <v>25</v>
      </c>
      <c r="C1414" s="4" t="str">
        <f>IFERROR(__xludf.DUMMYFUNCTION("""COMPUTED_VALUE"""),"BOS")</f>
        <v>BOS</v>
      </c>
      <c r="D1414" s="4" t="str">
        <f>IFERROR(__xludf.DUMMYFUNCTION("""COMPUTED_VALUE"""),"Tony Allen")</f>
        <v>Tony Allen</v>
      </c>
      <c r="E1414" s="4" t="str">
        <f>IFERROR(__xludf.DUMMYFUNCTION("""COMPUTED_VALUE"""),"Oklahoma State")</f>
        <v>Oklahoma State</v>
      </c>
      <c r="F1414" s="4">
        <f>IFERROR(__xludf.DUMMYFUNCTION("""COMPUTED_VALUE"""),14.0)</f>
        <v>14</v>
      </c>
      <c r="G1414" s="4">
        <f>IFERROR(__xludf.DUMMYFUNCTION("""COMPUTED_VALUE"""),820.0)</f>
        <v>820</v>
      </c>
      <c r="H1414" s="4">
        <f>IFERROR(__xludf.DUMMYFUNCTION("""COMPUTED_VALUE"""),18055.0)</f>
        <v>18055</v>
      </c>
      <c r="I1414" s="4">
        <f>IFERROR(__xludf.DUMMYFUNCTION("""COMPUTED_VALUE"""),6654.0)</f>
        <v>6654</v>
      </c>
      <c r="J1414" s="4">
        <f>IFERROR(__xludf.DUMMYFUNCTION("""COMPUTED_VALUE"""),2884.0)</f>
        <v>2884</v>
      </c>
      <c r="K1414" s="4">
        <f>IFERROR(__xludf.DUMMYFUNCTION("""COMPUTED_VALUE"""),1077.0)</f>
        <v>1077</v>
      </c>
      <c r="L1414" s="4">
        <f>IFERROR(__xludf.DUMMYFUNCTION("""COMPUTED_VALUE"""),0.475)</f>
        <v>0.475</v>
      </c>
      <c r="M1414" s="4">
        <f>IFERROR(__xludf.DUMMYFUNCTION("""COMPUTED_VALUE"""),0.282)</f>
        <v>0.282</v>
      </c>
      <c r="N1414" s="4">
        <f>IFERROR(__xludf.DUMMYFUNCTION("""COMPUTED_VALUE"""),0.709)</f>
        <v>0.709</v>
      </c>
      <c r="O1414" s="4">
        <f>IFERROR(__xludf.DUMMYFUNCTION("""COMPUTED_VALUE"""),22.0)</f>
        <v>22</v>
      </c>
      <c r="P1414" s="4">
        <f>IFERROR(__xludf.DUMMYFUNCTION("""COMPUTED_VALUE"""),8.1)</f>
        <v>8.1</v>
      </c>
      <c r="Q1414" s="4">
        <f>IFERROR(__xludf.DUMMYFUNCTION("""COMPUTED_VALUE"""),3.5)</f>
        <v>3.5</v>
      </c>
      <c r="R1414" s="4">
        <f>IFERROR(__xludf.DUMMYFUNCTION("""COMPUTED_VALUE"""),1.3)</f>
        <v>1.3</v>
      </c>
      <c r="S1414" s="4">
        <f>IFERROR(__xludf.DUMMYFUNCTION("""COMPUTED_VALUE"""),38.7)</f>
        <v>38.7</v>
      </c>
      <c r="T1414" s="4">
        <f>IFERROR(__xludf.DUMMYFUNCTION("""COMPUTED_VALUE"""),0.103)</f>
        <v>0.103</v>
      </c>
      <c r="U1414" s="4">
        <f>IFERROR(__xludf.DUMMYFUNCTION("""COMPUTED_VALUE"""),0.3)</f>
        <v>0.3</v>
      </c>
      <c r="V1414" s="4">
        <f>IFERROR(__xludf.DUMMYFUNCTION("""COMPUTED_VALUE"""),10.4)</f>
        <v>10.4</v>
      </c>
    </row>
    <row r="1415">
      <c r="A1415" s="4">
        <f>IFERROR(__xludf.DUMMYFUNCTION("""COMPUTED_VALUE"""),26.0)</f>
        <v>26</v>
      </c>
      <c r="B1415" s="4">
        <f>IFERROR(__xludf.DUMMYFUNCTION("""COMPUTED_VALUE"""),26.0)</f>
        <v>26</v>
      </c>
      <c r="C1415" s="4" t="str">
        <f>IFERROR(__xludf.DUMMYFUNCTION("""COMPUTED_VALUE"""),"SAC")</f>
        <v>SAC</v>
      </c>
      <c r="D1415" s="4" t="str">
        <f>IFERROR(__xludf.DUMMYFUNCTION("""COMPUTED_VALUE"""),"Kevin Martin")</f>
        <v>Kevin Martin</v>
      </c>
      <c r="E1415" s="4" t="str">
        <f>IFERROR(__xludf.DUMMYFUNCTION("""COMPUTED_VALUE"""),"Western Carolina University")</f>
        <v>Western Carolina University</v>
      </c>
      <c r="F1415" s="4">
        <f>IFERROR(__xludf.DUMMYFUNCTION("""COMPUTED_VALUE"""),12.0)</f>
        <v>12</v>
      </c>
      <c r="G1415" s="4">
        <f>IFERROR(__xludf.DUMMYFUNCTION("""COMPUTED_VALUE"""),714.0)</f>
        <v>714</v>
      </c>
      <c r="H1415" s="4">
        <f>IFERROR(__xludf.DUMMYFUNCTION("""COMPUTED_VALUE"""),21559.0)</f>
        <v>21559</v>
      </c>
      <c r="I1415" s="4">
        <f>IFERROR(__xludf.DUMMYFUNCTION("""COMPUTED_VALUE"""),12396.0)</f>
        <v>12396</v>
      </c>
      <c r="J1415" s="4">
        <f>IFERROR(__xludf.DUMMYFUNCTION("""COMPUTED_VALUE"""),2278.0)</f>
        <v>2278</v>
      </c>
      <c r="K1415" s="4">
        <f>IFERROR(__xludf.DUMMYFUNCTION("""COMPUTED_VALUE"""),1352.0)</f>
        <v>1352</v>
      </c>
      <c r="L1415" s="4">
        <f>IFERROR(__xludf.DUMMYFUNCTION("""COMPUTED_VALUE"""),0.437)</f>
        <v>0.437</v>
      </c>
      <c r="M1415" s="4">
        <f>IFERROR(__xludf.DUMMYFUNCTION("""COMPUTED_VALUE"""),0.384)</f>
        <v>0.384</v>
      </c>
      <c r="N1415" s="4">
        <f>IFERROR(__xludf.DUMMYFUNCTION("""COMPUTED_VALUE"""),0.87)</f>
        <v>0.87</v>
      </c>
      <c r="O1415" s="4">
        <f>IFERROR(__xludf.DUMMYFUNCTION("""COMPUTED_VALUE"""),30.2)</f>
        <v>30.2</v>
      </c>
      <c r="P1415" s="4">
        <f>IFERROR(__xludf.DUMMYFUNCTION("""COMPUTED_VALUE"""),17.4)</f>
        <v>17.4</v>
      </c>
      <c r="Q1415" s="4">
        <f>IFERROR(__xludf.DUMMYFUNCTION("""COMPUTED_VALUE"""),3.2)</f>
        <v>3.2</v>
      </c>
      <c r="R1415" s="4">
        <f>IFERROR(__xludf.DUMMYFUNCTION("""COMPUTED_VALUE"""),1.9)</f>
        <v>1.9</v>
      </c>
      <c r="S1415" s="4">
        <f>IFERROR(__xludf.DUMMYFUNCTION("""COMPUTED_VALUE"""),61.3)</f>
        <v>61.3</v>
      </c>
      <c r="T1415" s="4">
        <f>IFERROR(__xludf.DUMMYFUNCTION("""COMPUTED_VALUE"""),0.137)</f>
        <v>0.137</v>
      </c>
      <c r="U1415" s="4">
        <f>IFERROR(__xludf.DUMMYFUNCTION("""COMPUTED_VALUE"""),1.0)</f>
        <v>1</v>
      </c>
      <c r="V1415" s="4">
        <f>IFERROR(__xludf.DUMMYFUNCTION("""COMPUTED_VALUE"""),16.1)</f>
        <v>16.1</v>
      </c>
    </row>
    <row r="1416">
      <c r="A1416" s="4">
        <f>IFERROR(__xludf.DUMMYFUNCTION("""COMPUTED_VALUE"""),27.0)</f>
        <v>27</v>
      </c>
      <c r="B1416" s="4">
        <f>IFERROR(__xludf.DUMMYFUNCTION("""COMPUTED_VALUE"""),27.0)</f>
        <v>27</v>
      </c>
      <c r="C1416" s="4" t="str">
        <f>IFERROR(__xludf.DUMMYFUNCTION("""COMPUTED_VALUE"""),"LAL")</f>
        <v>LAL</v>
      </c>
      <c r="D1416" s="4" t="str">
        <f>IFERROR(__xludf.DUMMYFUNCTION("""COMPUTED_VALUE"""),"Sasha Vujačić")</f>
        <v>Sasha Vujačić</v>
      </c>
      <c r="E1416" s="4"/>
      <c r="F1416" s="4">
        <f>IFERROR(__xludf.DUMMYFUNCTION("""COMPUTED_VALUE"""),10.0)</f>
        <v>10</v>
      </c>
      <c r="G1416" s="4">
        <f>IFERROR(__xludf.DUMMYFUNCTION("""COMPUTED_VALUE"""),581.0)</f>
        <v>581</v>
      </c>
      <c r="H1416" s="4">
        <f>IFERROR(__xludf.DUMMYFUNCTION("""COMPUTED_VALUE"""),8908.0)</f>
        <v>8908</v>
      </c>
      <c r="I1416" s="4">
        <f>IFERROR(__xludf.DUMMYFUNCTION("""COMPUTED_VALUE"""),3094.0)</f>
        <v>3094</v>
      </c>
      <c r="J1416" s="4">
        <f>IFERROR(__xludf.DUMMYFUNCTION("""COMPUTED_VALUE"""),1093.0)</f>
        <v>1093</v>
      </c>
      <c r="K1416" s="4">
        <f>IFERROR(__xludf.DUMMYFUNCTION("""COMPUTED_VALUE"""),748.0)</f>
        <v>748</v>
      </c>
      <c r="L1416" s="4">
        <f>IFERROR(__xludf.DUMMYFUNCTION("""COMPUTED_VALUE"""),0.39)</f>
        <v>0.39</v>
      </c>
      <c r="M1416" s="4">
        <f>IFERROR(__xludf.DUMMYFUNCTION("""COMPUTED_VALUE"""),0.367)</f>
        <v>0.367</v>
      </c>
      <c r="N1416" s="4">
        <f>IFERROR(__xludf.DUMMYFUNCTION("""COMPUTED_VALUE"""),0.858)</f>
        <v>0.858</v>
      </c>
      <c r="O1416" s="4">
        <f>IFERROR(__xludf.DUMMYFUNCTION("""COMPUTED_VALUE"""),15.3)</f>
        <v>15.3</v>
      </c>
      <c r="P1416" s="4">
        <f>IFERROR(__xludf.DUMMYFUNCTION("""COMPUTED_VALUE"""),5.3)</f>
        <v>5.3</v>
      </c>
      <c r="Q1416" s="4">
        <f>IFERROR(__xludf.DUMMYFUNCTION("""COMPUTED_VALUE"""),1.9)</f>
        <v>1.9</v>
      </c>
      <c r="R1416" s="4">
        <f>IFERROR(__xludf.DUMMYFUNCTION("""COMPUTED_VALUE"""),1.3)</f>
        <v>1.3</v>
      </c>
      <c r="S1416" s="4">
        <f>IFERROR(__xludf.DUMMYFUNCTION("""COMPUTED_VALUE"""),16.0)</f>
        <v>16</v>
      </c>
      <c r="T1416" s="4">
        <f>IFERROR(__xludf.DUMMYFUNCTION("""COMPUTED_VALUE"""),0.086)</f>
        <v>0.086</v>
      </c>
      <c r="U1416" s="4">
        <f>IFERROR(__xludf.DUMMYFUNCTION("""COMPUTED_VALUE"""),-1.0)</f>
        <v>-1</v>
      </c>
      <c r="V1416" s="4">
        <f>IFERROR(__xludf.DUMMYFUNCTION("""COMPUTED_VALUE"""),2.3)</f>
        <v>2.3</v>
      </c>
    </row>
    <row r="1417">
      <c r="A1417" s="4">
        <f>IFERROR(__xludf.DUMMYFUNCTION("""COMPUTED_VALUE"""),28.0)</f>
        <v>28</v>
      </c>
      <c r="B1417" s="4">
        <f>IFERROR(__xludf.DUMMYFUNCTION("""COMPUTED_VALUE"""),28.0)</f>
        <v>28</v>
      </c>
      <c r="C1417" s="4" t="str">
        <f>IFERROR(__xludf.DUMMYFUNCTION("""COMPUTED_VALUE"""),"SAS")</f>
        <v>SAS</v>
      </c>
      <c r="D1417" s="4" t="str">
        <f>IFERROR(__xludf.DUMMYFUNCTION("""COMPUTED_VALUE"""),"Beno Udrih")</f>
        <v>Beno Udrih</v>
      </c>
      <c r="E1417" s="4"/>
      <c r="F1417" s="4">
        <f>IFERROR(__xludf.DUMMYFUNCTION("""COMPUTED_VALUE"""),13.0)</f>
        <v>13</v>
      </c>
      <c r="G1417" s="4">
        <f>IFERROR(__xludf.DUMMYFUNCTION("""COMPUTED_VALUE"""),831.0)</f>
        <v>831</v>
      </c>
      <c r="H1417" s="4">
        <f>IFERROR(__xludf.DUMMYFUNCTION("""COMPUTED_VALUE"""),18185.0)</f>
        <v>18185</v>
      </c>
      <c r="I1417" s="4">
        <f>IFERROR(__xludf.DUMMYFUNCTION("""COMPUTED_VALUE"""),6952.0)</f>
        <v>6952</v>
      </c>
      <c r="J1417" s="4">
        <f>IFERROR(__xludf.DUMMYFUNCTION("""COMPUTED_VALUE"""),1712.0)</f>
        <v>1712</v>
      </c>
      <c r="K1417" s="4">
        <f>IFERROR(__xludf.DUMMYFUNCTION("""COMPUTED_VALUE"""),2858.0)</f>
        <v>2858</v>
      </c>
      <c r="L1417" s="4">
        <f>IFERROR(__xludf.DUMMYFUNCTION("""COMPUTED_VALUE"""),0.463)</f>
        <v>0.463</v>
      </c>
      <c r="M1417" s="4">
        <f>IFERROR(__xludf.DUMMYFUNCTION("""COMPUTED_VALUE"""),0.349)</f>
        <v>0.349</v>
      </c>
      <c r="N1417" s="4">
        <f>IFERROR(__xludf.DUMMYFUNCTION("""COMPUTED_VALUE"""),0.833)</f>
        <v>0.833</v>
      </c>
      <c r="O1417" s="4">
        <f>IFERROR(__xludf.DUMMYFUNCTION("""COMPUTED_VALUE"""),21.9)</f>
        <v>21.9</v>
      </c>
      <c r="P1417" s="4">
        <f>IFERROR(__xludf.DUMMYFUNCTION("""COMPUTED_VALUE"""),8.4)</f>
        <v>8.4</v>
      </c>
      <c r="Q1417" s="4">
        <f>IFERROR(__xludf.DUMMYFUNCTION("""COMPUTED_VALUE"""),2.1)</f>
        <v>2.1</v>
      </c>
      <c r="R1417" s="4">
        <f>IFERROR(__xludf.DUMMYFUNCTION("""COMPUTED_VALUE"""),3.4)</f>
        <v>3.4</v>
      </c>
      <c r="S1417" s="4">
        <f>IFERROR(__xludf.DUMMYFUNCTION("""COMPUTED_VALUE"""),31.4)</f>
        <v>31.4</v>
      </c>
      <c r="T1417" s="4">
        <f>IFERROR(__xludf.DUMMYFUNCTION("""COMPUTED_VALUE"""),0.083)</f>
        <v>0.083</v>
      </c>
      <c r="U1417" s="4">
        <f>IFERROR(__xludf.DUMMYFUNCTION("""COMPUTED_VALUE"""),-0.9)</f>
        <v>-0.9</v>
      </c>
      <c r="V1417" s="4">
        <f>IFERROR(__xludf.DUMMYFUNCTION("""COMPUTED_VALUE"""),4.9)</f>
        <v>4.9</v>
      </c>
    </row>
    <row r="1418">
      <c r="A1418" s="4">
        <f>IFERROR(__xludf.DUMMYFUNCTION("""COMPUTED_VALUE"""),29.0)</f>
        <v>29</v>
      </c>
      <c r="B1418" s="4">
        <f>IFERROR(__xludf.DUMMYFUNCTION("""COMPUTED_VALUE"""),29.0)</f>
        <v>29</v>
      </c>
      <c r="C1418" s="4" t="str">
        <f>IFERROR(__xludf.DUMMYFUNCTION("""COMPUTED_VALUE"""),"IND")</f>
        <v>IND</v>
      </c>
      <c r="D1418" s="4" t="str">
        <f>IFERROR(__xludf.DUMMYFUNCTION("""COMPUTED_VALUE"""),"David Harrison")</f>
        <v>David Harrison</v>
      </c>
      <c r="E1418" s="4" t="str">
        <f>IFERROR(__xludf.DUMMYFUNCTION("""COMPUTED_VALUE"""),"Colorado")</f>
        <v>Colorado</v>
      </c>
      <c r="F1418" s="4">
        <f>IFERROR(__xludf.DUMMYFUNCTION("""COMPUTED_VALUE"""),4.0)</f>
        <v>4</v>
      </c>
      <c r="G1418" s="4">
        <f>IFERROR(__xludf.DUMMYFUNCTION("""COMPUTED_VALUE"""),189.0)</f>
        <v>189</v>
      </c>
      <c r="H1418" s="4">
        <f>IFERROR(__xludf.DUMMYFUNCTION("""COMPUTED_VALUE"""),2686.0)</f>
        <v>2686</v>
      </c>
      <c r="I1418" s="4">
        <f>IFERROR(__xludf.DUMMYFUNCTION("""COMPUTED_VALUE"""),949.0)</f>
        <v>949</v>
      </c>
      <c r="J1418" s="4">
        <f>IFERROR(__xludf.DUMMYFUNCTION("""COMPUTED_VALUE"""),549.0)</f>
        <v>549</v>
      </c>
      <c r="K1418" s="4">
        <f>IFERROR(__xludf.DUMMYFUNCTION("""COMPUTED_VALUE"""),47.0)</f>
        <v>47</v>
      </c>
      <c r="L1418" s="4">
        <f>IFERROR(__xludf.DUMMYFUNCTION("""COMPUTED_VALUE"""),0.53)</f>
        <v>0.53</v>
      </c>
      <c r="M1418" s="4"/>
      <c r="N1418" s="4">
        <f>IFERROR(__xludf.DUMMYFUNCTION("""COMPUTED_VALUE"""),0.525)</f>
        <v>0.525</v>
      </c>
      <c r="O1418" s="4">
        <f>IFERROR(__xludf.DUMMYFUNCTION("""COMPUTED_VALUE"""),14.2)</f>
        <v>14.2</v>
      </c>
      <c r="P1418" s="4">
        <f>IFERROR(__xludf.DUMMYFUNCTION("""COMPUTED_VALUE"""),5.0)</f>
        <v>5</v>
      </c>
      <c r="Q1418" s="4">
        <f>IFERROR(__xludf.DUMMYFUNCTION("""COMPUTED_VALUE"""),2.9)</f>
        <v>2.9</v>
      </c>
      <c r="R1418" s="4">
        <f>IFERROR(__xludf.DUMMYFUNCTION("""COMPUTED_VALUE"""),0.2)</f>
        <v>0.2</v>
      </c>
      <c r="S1418" s="4">
        <f>IFERROR(__xludf.DUMMYFUNCTION("""COMPUTED_VALUE"""),3.2)</f>
        <v>3.2</v>
      </c>
      <c r="T1418" s="4">
        <f>IFERROR(__xludf.DUMMYFUNCTION("""COMPUTED_VALUE"""),0.057)</f>
        <v>0.057</v>
      </c>
      <c r="U1418" s="4">
        <f>IFERROR(__xludf.DUMMYFUNCTION("""COMPUTED_VALUE"""),-4.4)</f>
        <v>-4.4</v>
      </c>
      <c r="V1418" s="4">
        <f>IFERROR(__xludf.DUMMYFUNCTION("""COMPUTED_VALUE"""),-1.7)</f>
        <v>-1.7</v>
      </c>
    </row>
    <row r="1419">
      <c r="A1419" s="4"/>
      <c r="B1419" s="4"/>
      <c r="C1419" s="4"/>
      <c r="D1419" s="4"/>
      <c r="E1419" s="4"/>
      <c r="F1419" s="4" t="str">
        <f>IFERROR(__xludf.DUMMYFUNCTION("""COMPUTED_VALUE"""),"Minnesota Timberwolves forfeited their First Round pick.")</f>
        <v>Minnesota Timberwolves forfeited their First Round pick.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>
      <c r="A1420" s="4"/>
      <c r="B1420" s="4"/>
      <c r="C1420" s="4"/>
      <c r="D1420" s="4" t="str">
        <f>IFERROR(__xludf.DUMMYFUNCTION("""COMPUTED_VALUE"""),"Round 2")</f>
        <v>Round 2</v>
      </c>
      <c r="E1420" s="4"/>
      <c r="F1420" s="4"/>
      <c r="G1420" s="4" t="str">
        <f>IFERROR(__xludf.DUMMYFUNCTION("""COMPUTED_VALUE"""),"Totals")</f>
        <v>Totals</v>
      </c>
      <c r="H1420" s="4"/>
      <c r="I1420" s="4"/>
      <c r="J1420" s="4"/>
      <c r="K1420" s="4"/>
      <c r="L1420" s="4" t="str">
        <f>IFERROR(__xludf.DUMMYFUNCTION("""COMPUTED_VALUE"""),"Shooting")</f>
        <v>Shooting</v>
      </c>
      <c r="M1420" s="4"/>
      <c r="N1420" s="4"/>
      <c r="O1420" s="4" t="str">
        <f>IFERROR(__xludf.DUMMYFUNCTION("""COMPUTED_VALUE"""),"Per Game")</f>
        <v>Per Game</v>
      </c>
      <c r="P1420" s="4"/>
      <c r="Q1420" s="4"/>
      <c r="R1420" s="4"/>
      <c r="S1420" s="4" t="str">
        <f>IFERROR(__xludf.DUMMYFUNCTION("""COMPUTED_VALUE"""),"Advanced")</f>
        <v>Advanced</v>
      </c>
      <c r="T1420" s="4"/>
      <c r="U1420" s="4"/>
      <c r="V1420" s="4"/>
    </row>
    <row r="1421">
      <c r="A1421" s="4" t="str">
        <f>IFERROR(__xludf.DUMMYFUNCTION("""COMPUTED_VALUE"""),"Rk")</f>
        <v>Rk</v>
      </c>
      <c r="B1421" s="4" t="str">
        <f>IFERROR(__xludf.DUMMYFUNCTION("""COMPUTED_VALUE"""),"Pk")</f>
        <v>Pk</v>
      </c>
      <c r="C1421" s="4" t="str">
        <f>IFERROR(__xludf.DUMMYFUNCTION("""COMPUTED_VALUE"""),"Tm")</f>
        <v>Tm</v>
      </c>
      <c r="D1421" s="4" t="str">
        <f>IFERROR(__xludf.DUMMYFUNCTION("""COMPUTED_VALUE"""),"Player")</f>
        <v>Player</v>
      </c>
      <c r="E1421" s="4" t="str">
        <f>IFERROR(__xludf.DUMMYFUNCTION("""COMPUTED_VALUE"""),"College")</f>
        <v>College</v>
      </c>
      <c r="F1421" s="4" t="str">
        <f>IFERROR(__xludf.DUMMYFUNCTION("""COMPUTED_VALUE"""),"Yrs")</f>
        <v>Yrs</v>
      </c>
      <c r="G1421" s="4" t="str">
        <f>IFERROR(__xludf.DUMMYFUNCTION("""COMPUTED_VALUE"""),"G")</f>
        <v>G</v>
      </c>
      <c r="H1421" s="4" t="str">
        <f>IFERROR(__xludf.DUMMYFUNCTION("""COMPUTED_VALUE"""),"MP")</f>
        <v>MP</v>
      </c>
      <c r="I1421" s="4" t="str">
        <f>IFERROR(__xludf.DUMMYFUNCTION("""COMPUTED_VALUE"""),"PTS")</f>
        <v>PTS</v>
      </c>
      <c r="J1421" s="4" t="str">
        <f>IFERROR(__xludf.DUMMYFUNCTION("""COMPUTED_VALUE"""),"TRB")</f>
        <v>TRB</v>
      </c>
      <c r="K1421" s="4" t="str">
        <f>IFERROR(__xludf.DUMMYFUNCTION("""COMPUTED_VALUE"""),"AST")</f>
        <v>AST</v>
      </c>
      <c r="L1421" s="4" t="str">
        <f>IFERROR(__xludf.DUMMYFUNCTION("""COMPUTED_VALUE"""),"FG%")</f>
        <v>FG%</v>
      </c>
      <c r="M1421" s="4" t="str">
        <f>IFERROR(__xludf.DUMMYFUNCTION("""COMPUTED_VALUE"""),"3P%")</f>
        <v>3P%</v>
      </c>
      <c r="N1421" s="4" t="str">
        <f>IFERROR(__xludf.DUMMYFUNCTION("""COMPUTED_VALUE"""),"FT%")</f>
        <v>FT%</v>
      </c>
      <c r="O1421" s="4" t="str">
        <f>IFERROR(__xludf.DUMMYFUNCTION("""COMPUTED_VALUE"""),"MP")</f>
        <v>MP</v>
      </c>
      <c r="P1421" s="4" t="str">
        <f>IFERROR(__xludf.DUMMYFUNCTION("""COMPUTED_VALUE"""),"PTS")</f>
        <v>PTS</v>
      </c>
      <c r="Q1421" s="4" t="str">
        <f>IFERROR(__xludf.DUMMYFUNCTION("""COMPUTED_VALUE"""),"TRB")</f>
        <v>TRB</v>
      </c>
      <c r="R1421" s="4" t="str">
        <f>IFERROR(__xludf.DUMMYFUNCTION("""COMPUTED_VALUE"""),"AST")</f>
        <v>AST</v>
      </c>
      <c r="S1421" s="4" t="str">
        <f>IFERROR(__xludf.DUMMYFUNCTION("""COMPUTED_VALUE"""),"WS")</f>
        <v>WS</v>
      </c>
      <c r="T1421" s="4" t="str">
        <f>IFERROR(__xludf.DUMMYFUNCTION("""COMPUTED_VALUE"""),"WS/48")</f>
        <v>WS/48</v>
      </c>
      <c r="U1421" s="4" t="str">
        <f>IFERROR(__xludf.DUMMYFUNCTION("""COMPUTED_VALUE"""),"BPM")</f>
        <v>BPM</v>
      </c>
      <c r="V1421" s="4" t="str">
        <f>IFERROR(__xludf.DUMMYFUNCTION("""COMPUTED_VALUE"""),"VORP")</f>
        <v>VORP</v>
      </c>
    </row>
    <row r="1422">
      <c r="A1422" s="4">
        <f>IFERROR(__xludf.DUMMYFUNCTION("""COMPUTED_VALUE"""),31.0)</f>
        <v>31</v>
      </c>
      <c r="B1422" s="4">
        <f>IFERROR(__xludf.DUMMYFUNCTION("""COMPUTED_VALUE"""),30.0)</f>
        <v>30</v>
      </c>
      <c r="C1422" s="4" t="str">
        <f>IFERROR(__xludf.DUMMYFUNCTION("""COMPUTED_VALUE"""),"ORL")</f>
        <v>ORL</v>
      </c>
      <c r="D1422" s="4" t="str">
        <f>IFERROR(__xludf.DUMMYFUNCTION("""COMPUTED_VALUE"""),"Anderson Varejão")</f>
        <v>Anderson Varejão</v>
      </c>
      <c r="E1422" s="4"/>
      <c r="F1422" s="4">
        <f>IFERROR(__xludf.DUMMYFUNCTION("""COMPUTED_VALUE"""),14.0)</f>
        <v>14</v>
      </c>
      <c r="G1422" s="4">
        <f>IFERROR(__xludf.DUMMYFUNCTION("""COMPUTED_VALUE"""),632.0)</f>
        <v>632</v>
      </c>
      <c r="H1422" s="4">
        <f>IFERROR(__xludf.DUMMYFUNCTION("""COMPUTED_VALUE"""),15087.0)</f>
        <v>15087</v>
      </c>
      <c r="I1422" s="4">
        <f>IFERROR(__xludf.DUMMYFUNCTION("""COMPUTED_VALUE"""),4574.0)</f>
        <v>4574</v>
      </c>
      <c r="J1422" s="4">
        <f>IFERROR(__xludf.DUMMYFUNCTION("""COMPUTED_VALUE"""),4531.0)</f>
        <v>4531</v>
      </c>
      <c r="K1422" s="4">
        <f>IFERROR(__xludf.DUMMYFUNCTION("""COMPUTED_VALUE"""),737.0)</f>
        <v>737</v>
      </c>
      <c r="L1422" s="4">
        <f>IFERROR(__xludf.DUMMYFUNCTION("""COMPUTED_VALUE"""),0.509)</f>
        <v>0.509</v>
      </c>
      <c r="M1422" s="4">
        <f>IFERROR(__xludf.DUMMYFUNCTION("""COMPUTED_VALUE"""),0.023)</f>
        <v>0.023</v>
      </c>
      <c r="N1422" s="4">
        <f>IFERROR(__xludf.DUMMYFUNCTION("""COMPUTED_VALUE"""),0.63)</f>
        <v>0.63</v>
      </c>
      <c r="O1422" s="4">
        <f>IFERROR(__xludf.DUMMYFUNCTION("""COMPUTED_VALUE"""),23.9)</f>
        <v>23.9</v>
      </c>
      <c r="P1422" s="4">
        <f>IFERROR(__xludf.DUMMYFUNCTION("""COMPUTED_VALUE"""),7.2)</f>
        <v>7.2</v>
      </c>
      <c r="Q1422" s="4">
        <f>IFERROR(__xludf.DUMMYFUNCTION("""COMPUTED_VALUE"""),7.2)</f>
        <v>7.2</v>
      </c>
      <c r="R1422" s="4">
        <f>IFERROR(__xludf.DUMMYFUNCTION("""COMPUTED_VALUE"""),1.2)</f>
        <v>1.2</v>
      </c>
      <c r="S1422" s="4">
        <f>IFERROR(__xludf.DUMMYFUNCTION("""COMPUTED_VALUE"""),46.4)</f>
        <v>46.4</v>
      </c>
      <c r="T1422" s="4">
        <f>IFERROR(__xludf.DUMMYFUNCTION("""COMPUTED_VALUE"""),0.148)</f>
        <v>0.148</v>
      </c>
      <c r="U1422" s="4">
        <f>IFERROR(__xludf.DUMMYFUNCTION("""COMPUTED_VALUE"""),0.3)</f>
        <v>0.3</v>
      </c>
      <c r="V1422" s="4">
        <f>IFERROR(__xludf.DUMMYFUNCTION("""COMPUTED_VALUE"""),8.8)</f>
        <v>8.8</v>
      </c>
    </row>
    <row r="1423">
      <c r="A1423" s="4">
        <f>IFERROR(__xludf.DUMMYFUNCTION("""COMPUTED_VALUE"""),32.0)</f>
        <v>32</v>
      </c>
      <c r="B1423" s="4">
        <f>IFERROR(__xludf.DUMMYFUNCTION("""COMPUTED_VALUE"""),31.0)</f>
        <v>31</v>
      </c>
      <c r="C1423" s="4" t="str">
        <f>IFERROR(__xludf.DUMMYFUNCTION("""COMPUTED_VALUE"""),"CHI")</f>
        <v>CHI</v>
      </c>
      <c r="D1423" s="4" t="str">
        <f>IFERROR(__xludf.DUMMYFUNCTION("""COMPUTED_VALUE"""),"Jackson Vroman")</f>
        <v>Jackson Vroman</v>
      </c>
      <c r="E1423" s="4" t="str">
        <f>IFERROR(__xludf.DUMMYFUNCTION("""COMPUTED_VALUE"""),"Iowa State")</f>
        <v>Iowa State</v>
      </c>
      <c r="F1423" s="4">
        <f>IFERROR(__xludf.DUMMYFUNCTION("""COMPUTED_VALUE"""),2.0)</f>
        <v>2</v>
      </c>
      <c r="G1423" s="4">
        <f>IFERROR(__xludf.DUMMYFUNCTION("""COMPUTED_VALUE"""),87.0)</f>
        <v>87</v>
      </c>
      <c r="H1423" s="4">
        <f>IFERROR(__xludf.DUMMYFUNCTION("""COMPUTED_VALUE"""),1111.0)</f>
        <v>1111</v>
      </c>
      <c r="I1423" s="4">
        <f>IFERROR(__xludf.DUMMYFUNCTION("""COMPUTED_VALUE"""),285.0)</f>
        <v>285</v>
      </c>
      <c r="J1423" s="4">
        <f>IFERROR(__xludf.DUMMYFUNCTION("""COMPUTED_VALUE"""),261.0)</f>
        <v>261</v>
      </c>
      <c r="K1423" s="4">
        <f>IFERROR(__xludf.DUMMYFUNCTION("""COMPUTED_VALUE"""),51.0)</f>
        <v>51</v>
      </c>
      <c r="L1423" s="4">
        <f>IFERROR(__xludf.DUMMYFUNCTION("""COMPUTED_VALUE"""),0.408)</f>
        <v>0.408</v>
      </c>
      <c r="M1423" s="4">
        <f>IFERROR(__xludf.DUMMYFUNCTION("""COMPUTED_VALUE"""),0.0)</f>
        <v>0</v>
      </c>
      <c r="N1423" s="4">
        <f>IFERROR(__xludf.DUMMYFUNCTION("""COMPUTED_VALUE"""),0.58)</f>
        <v>0.58</v>
      </c>
      <c r="O1423" s="4">
        <f>IFERROR(__xludf.DUMMYFUNCTION("""COMPUTED_VALUE"""),12.8)</f>
        <v>12.8</v>
      </c>
      <c r="P1423" s="4">
        <f>IFERROR(__xludf.DUMMYFUNCTION("""COMPUTED_VALUE"""),3.3)</f>
        <v>3.3</v>
      </c>
      <c r="Q1423" s="4">
        <f>IFERROR(__xludf.DUMMYFUNCTION("""COMPUTED_VALUE"""),3.0)</f>
        <v>3</v>
      </c>
      <c r="R1423" s="4">
        <f>IFERROR(__xludf.DUMMYFUNCTION("""COMPUTED_VALUE"""),0.6)</f>
        <v>0.6</v>
      </c>
      <c r="S1423" s="4">
        <f>IFERROR(__xludf.DUMMYFUNCTION("""COMPUTED_VALUE"""),0.0)</f>
        <v>0</v>
      </c>
      <c r="T1423" s="4">
        <f>IFERROR(__xludf.DUMMYFUNCTION("""COMPUTED_VALUE"""),0.001)</f>
        <v>0.001</v>
      </c>
      <c r="U1423" s="4">
        <f>IFERROR(__xludf.DUMMYFUNCTION("""COMPUTED_VALUE"""),-5.1)</f>
        <v>-5.1</v>
      </c>
      <c r="V1423" s="4">
        <f>IFERROR(__xludf.DUMMYFUNCTION("""COMPUTED_VALUE"""),-0.9)</f>
        <v>-0.9</v>
      </c>
    </row>
    <row r="1424">
      <c r="A1424" s="4">
        <f>IFERROR(__xludf.DUMMYFUNCTION("""COMPUTED_VALUE"""),33.0)</f>
        <v>33</v>
      </c>
      <c r="B1424" s="4">
        <f>IFERROR(__xludf.DUMMYFUNCTION("""COMPUTED_VALUE"""),32.0)</f>
        <v>32</v>
      </c>
      <c r="C1424" s="4" t="str">
        <f>IFERROR(__xludf.DUMMYFUNCTION("""COMPUTED_VALUE"""),"WAS")</f>
        <v>WAS</v>
      </c>
      <c r="D1424" s="4" t="str">
        <f>IFERROR(__xludf.DUMMYFUNCTION("""COMPUTED_VALUE"""),"Peter John Ramos")</f>
        <v>Peter John Ramos</v>
      </c>
      <c r="E1424" s="4"/>
      <c r="F1424" s="4">
        <f>IFERROR(__xludf.DUMMYFUNCTION("""COMPUTED_VALUE"""),1.0)</f>
        <v>1</v>
      </c>
      <c r="G1424" s="4">
        <f>IFERROR(__xludf.DUMMYFUNCTION("""COMPUTED_VALUE"""),6.0)</f>
        <v>6</v>
      </c>
      <c r="H1424" s="4">
        <f>IFERROR(__xludf.DUMMYFUNCTION("""COMPUTED_VALUE"""),20.0)</f>
        <v>20</v>
      </c>
      <c r="I1424" s="4">
        <f>IFERROR(__xludf.DUMMYFUNCTION("""COMPUTED_VALUE"""),11.0)</f>
        <v>11</v>
      </c>
      <c r="J1424" s="4">
        <f>IFERROR(__xludf.DUMMYFUNCTION("""COMPUTED_VALUE"""),4.0)</f>
        <v>4</v>
      </c>
      <c r="K1424" s="4">
        <f>IFERROR(__xludf.DUMMYFUNCTION("""COMPUTED_VALUE"""),0.0)</f>
        <v>0</v>
      </c>
      <c r="L1424" s="4">
        <f>IFERROR(__xludf.DUMMYFUNCTION("""COMPUTED_VALUE"""),0.5)</f>
        <v>0.5</v>
      </c>
      <c r="M1424" s="4"/>
      <c r="N1424" s="4">
        <f>IFERROR(__xludf.DUMMYFUNCTION("""COMPUTED_VALUE"""),0.5)</f>
        <v>0.5</v>
      </c>
      <c r="O1424" s="4">
        <f>IFERROR(__xludf.DUMMYFUNCTION("""COMPUTED_VALUE"""),3.3)</f>
        <v>3.3</v>
      </c>
      <c r="P1424" s="4">
        <f>IFERROR(__xludf.DUMMYFUNCTION("""COMPUTED_VALUE"""),1.8)</f>
        <v>1.8</v>
      </c>
      <c r="Q1424" s="4">
        <f>IFERROR(__xludf.DUMMYFUNCTION("""COMPUTED_VALUE"""),0.7)</f>
        <v>0.7</v>
      </c>
      <c r="R1424" s="4">
        <f>IFERROR(__xludf.DUMMYFUNCTION("""COMPUTED_VALUE"""),0.0)</f>
        <v>0</v>
      </c>
      <c r="S1424" s="4">
        <f>IFERROR(__xludf.DUMMYFUNCTION("""COMPUTED_VALUE"""),0.0)</f>
        <v>0</v>
      </c>
      <c r="T1424" s="4">
        <f>IFERROR(__xludf.DUMMYFUNCTION("""COMPUTED_VALUE"""),-0.108)</f>
        <v>-0.108</v>
      </c>
      <c r="U1424" s="4">
        <f>IFERROR(__xludf.DUMMYFUNCTION("""COMPUTED_VALUE"""),-10.0)</f>
        <v>-10</v>
      </c>
      <c r="V1424" s="4">
        <f>IFERROR(__xludf.DUMMYFUNCTION("""COMPUTED_VALUE"""),0.0)</f>
        <v>0</v>
      </c>
    </row>
    <row r="1425">
      <c r="A1425" s="4">
        <f>IFERROR(__xludf.DUMMYFUNCTION("""COMPUTED_VALUE"""),34.0)</f>
        <v>34</v>
      </c>
      <c r="B1425" s="4">
        <f>IFERROR(__xludf.DUMMYFUNCTION("""COMPUTED_VALUE"""),33.0)</f>
        <v>33</v>
      </c>
      <c r="C1425" s="4" t="str">
        <f>IFERROR(__xludf.DUMMYFUNCTION("""COMPUTED_VALUE"""),"LAC")</f>
        <v>LAC</v>
      </c>
      <c r="D1425" s="4" t="str">
        <f>IFERROR(__xludf.DUMMYFUNCTION("""COMPUTED_VALUE"""),"Lionel Chalmers")</f>
        <v>Lionel Chalmers</v>
      </c>
      <c r="E1425" s="4" t="str">
        <f>IFERROR(__xludf.DUMMYFUNCTION("""COMPUTED_VALUE"""),"Xavier")</f>
        <v>Xavier</v>
      </c>
      <c r="F1425" s="4">
        <f>IFERROR(__xludf.DUMMYFUNCTION("""COMPUTED_VALUE"""),1.0)</f>
        <v>1</v>
      </c>
      <c r="G1425" s="4">
        <f>IFERROR(__xludf.DUMMYFUNCTION("""COMPUTED_VALUE"""),36.0)</f>
        <v>36</v>
      </c>
      <c r="H1425" s="4">
        <f>IFERROR(__xludf.DUMMYFUNCTION("""COMPUTED_VALUE"""),433.0)</f>
        <v>433</v>
      </c>
      <c r="I1425" s="4">
        <f>IFERROR(__xludf.DUMMYFUNCTION("""COMPUTED_VALUE"""),111.0)</f>
        <v>111</v>
      </c>
      <c r="J1425" s="4">
        <f>IFERROR(__xludf.DUMMYFUNCTION("""COMPUTED_VALUE"""),31.0)</f>
        <v>31</v>
      </c>
      <c r="K1425" s="4">
        <f>IFERROR(__xludf.DUMMYFUNCTION("""COMPUTED_VALUE"""),51.0)</f>
        <v>51</v>
      </c>
      <c r="L1425" s="4">
        <f>IFERROR(__xludf.DUMMYFUNCTION("""COMPUTED_VALUE"""),0.336)</f>
        <v>0.336</v>
      </c>
      <c r="M1425" s="4">
        <f>IFERROR(__xludf.DUMMYFUNCTION("""COMPUTED_VALUE"""),0.245)</f>
        <v>0.245</v>
      </c>
      <c r="N1425" s="4">
        <f>IFERROR(__xludf.DUMMYFUNCTION("""COMPUTED_VALUE"""),0.625)</f>
        <v>0.625</v>
      </c>
      <c r="O1425" s="4">
        <f>IFERROR(__xludf.DUMMYFUNCTION("""COMPUTED_VALUE"""),12.0)</f>
        <v>12</v>
      </c>
      <c r="P1425" s="4">
        <f>IFERROR(__xludf.DUMMYFUNCTION("""COMPUTED_VALUE"""),3.1)</f>
        <v>3.1</v>
      </c>
      <c r="Q1425" s="4">
        <f>IFERROR(__xludf.DUMMYFUNCTION("""COMPUTED_VALUE"""),0.9)</f>
        <v>0.9</v>
      </c>
      <c r="R1425" s="4">
        <f>IFERROR(__xludf.DUMMYFUNCTION("""COMPUTED_VALUE"""),1.4)</f>
        <v>1.4</v>
      </c>
      <c r="S1425" s="4">
        <f>IFERROR(__xludf.DUMMYFUNCTION("""COMPUTED_VALUE"""),-0.2)</f>
        <v>-0.2</v>
      </c>
      <c r="T1425" s="4">
        <f>IFERROR(__xludf.DUMMYFUNCTION("""COMPUTED_VALUE"""),-0.025)</f>
        <v>-0.025</v>
      </c>
      <c r="U1425" s="4">
        <f>IFERROR(__xludf.DUMMYFUNCTION("""COMPUTED_VALUE"""),-5.3)</f>
        <v>-5.3</v>
      </c>
      <c r="V1425" s="4">
        <f>IFERROR(__xludf.DUMMYFUNCTION("""COMPUTED_VALUE"""),-0.4)</f>
        <v>-0.4</v>
      </c>
    </row>
    <row r="1426">
      <c r="A1426" s="4">
        <f>IFERROR(__xludf.DUMMYFUNCTION("""COMPUTED_VALUE"""),35.0)</f>
        <v>35</v>
      </c>
      <c r="B1426" s="4">
        <f>IFERROR(__xludf.DUMMYFUNCTION("""COMPUTED_VALUE"""),34.0)</f>
        <v>34</v>
      </c>
      <c r="C1426" s="4" t="str">
        <f>IFERROR(__xludf.DUMMYFUNCTION("""COMPUTED_VALUE"""),"ATL")</f>
        <v>ATL</v>
      </c>
      <c r="D1426" s="4" t="str">
        <f>IFERROR(__xludf.DUMMYFUNCTION("""COMPUTED_VALUE"""),"Donta Smith")</f>
        <v>Donta Smith</v>
      </c>
      <c r="E1426" s="4" t="str">
        <f>IFERROR(__xludf.DUMMYFUNCTION("""COMPUTED_VALUE"""),"Southeastern Illinois College")</f>
        <v>Southeastern Illinois College</v>
      </c>
      <c r="F1426" s="4">
        <f>IFERROR(__xludf.DUMMYFUNCTION("""COMPUTED_VALUE"""),2.0)</f>
        <v>2</v>
      </c>
      <c r="G1426" s="4">
        <f>IFERROR(__xludf.DUMMYFUNCTION("""COMPUTED_VALUE"""),61.0)</f>
        <v>61</v>
      </c>
      <c r="H1426" s="4">
        <f>IFERROR(__xludf.DUMMYFUNCTION("""COMPUTED_VALUE"""),560.0)</f>
        <v>560</v>
      </c>
      <c r="I1426" s="4">
        <f>IFERROR(__xludf.DUMMYFUNCTION("""COMPUTED_VALUE"""),165.0)</f>
        <v>165</v>
      </c>
      <c r="J1426" s="4">
        <f>IFERROR(__xludf.DUMMYFUNCTION("""COMPUTED_VALUE"""),66.0)</f>
        <v>66</v>
      </c>
      <c r="K1426" s="4">
        <f>IFERROR(__xludf.DUMMYFUNCTION("""COMPUTED_VALUE"""),48.0)</f>
        <v>48</v>
      </c>
      <c r="L1426" s="4">
        <f>IFERROR(__xludf.DUMMYFUNCTION("""COMPUTED_VALUE"""),0.421)</f>
        <v>0.421</v>
      </c>
      <c r="M1426" s="4">
        <f>IFERROR(__xludf.DUMMYFUNCTION("""COMPUTED_VALUE"""),0.308)</f>
        <v>0.308</v>
      </c>
      <c r="N1426" s="4">
        <f>IFERROR(__xludf.DUMMYFUNCTION("""COMPUTED_VALUE"""),0.65)</f>
        <v>0.65</v>
      </c>
      <c r="O1426" s="4">
        <f>IFERROR(__xludf.DUMMYFUNCTION("""COMPUTED_VALUE"""),9.2)</f>
        <v>9.2</v>
      </c>
      <c r="P1426" s="4">
        <f>IFERROR(__xludf.DUMMYFUNCTION("""COMPUTED_VALUE"""),2.7)</f>
        <v>2.7</v>
      </c>
      <c r="Q1426" s="4">
        <f>IFERROR(__xludf.DUMMYFUNCTION("""COMPUTED_VALUE"""),1.1)</f>
        <v>1.1</v>
      </c>
      <c r="R1426" s="4">
        <f>IFERROR(__xludf.DUMMYFUNCTION("""COMPUTED_VALUE"""),0.8)</f>
        <v>0.8</v>
      </c>
      <c r="S1426" s="4">
        <f>IFERROR(__xludf.DUMMYFUNCTION("""COMPUTED_VALUE"""),0.5)</f>
        <v>0.5</v>
      </c>
      <c r="T1426" s="4">
        <f>IFERROR(__xludf.DUMMYFUNCTION("""COMPUTED_VALUE"""),0.043)</f>
        <v>0.043</v>
      </c>
      <c r="U1426" s="4">
        <f>IFERROR(__xludf.DUMMYFUNCTION("""COMPUTED_VALUE"""),-3.2)</f>
        <v>-3.2</v>
      </c>
      <c r="V1426" s="4">
        <f>IFERROR(__xludf.DUMMYFUNCTION("""COMPUTED_VALUE"""),-0.2)</f>
        <v>-0.2</v>
      </c>
    </row>
    <row r="1427">
      <c r="A1427" s="4">
        <f>IFERROR(__xludf.DUMMYFUNCTION("""COMPUTED_VALUE"""),36.0)</f>
        <v>36</v>
      </c>
      <c r="B1427" s="4">
        <f>IFERROR(__xludf.DUMMYFUNCTION("""COMPUTED_VALUE"""),35.0)</f>
        <v>35</v>
      </c>
      <c r="C1427" s="4" t="str">
        <f>IFERROR(__xludf.DUMMYFUNCTION("""COMPUTED_VALUE"""),"SEA")</f>
        <v>SEA</v>
      </c>
      <c r="D1427" s="4" t="str">
        <f>IFERROR(__xludf.DUMMYFUNCTION("""COMPUTED_VALUE"""),"Andre Emmett")</f>
        <v>Andre Emmett</v>
      </c>
      <c r="E1427" s="4" t="str">
        <f>IFERROR(__xludf.DUMMYFUNCTION("""COMPUTED_VALUE"""),"Texas Tech")</f>
        <v>Texas Tech</v>
      </c>
      <c r="F1427" s="4">
        <f>IFERROR(__xludf.DUMMYFUNCTION("""COMPUTED_VALUE"""),2.0)</f>
        <v>2</v>
      </c>
      <c r="G1427" s="4">
        <f>IFERROR(__xludf.DUMMYFUNCTION("""COMPUTED_VALUE"""),14.0)</f>
        <v>14</v>
      </c>
      <c r="H1427" s="4">
        <f>IFERROR(__xludf.DUMMYFUNCTION("""COMPUTED_VALUE"""),73.0)</f>
        <v>73</v>
      </c>
      <c r="I1427" s="4">
        <f>IFERROR(__xludf.DUMMYFUNCTION("""COMPUTED_VALUE"""),20.0)</f>
        <v>20</v>
      </c>
      <c r="J1427" s="4">
        <f>IFERROR(__xludf.DUMMYFUNCTION("""COMPUTED_VALUE"""),8.0)</f>
        <v>8</v>
      </c>
      <c r="K1427" s="4">
        <f>IFERROR(__xludf.DUMMYFUNCTION("""COMPUTED_VALUE"""),1.0)</f>
        <v>1</v>
      </c>
      <c r="L1427" s="4">
        <f>IFERROR(__xludf.DUMMYFUNCTION("""COMPUTED_VALUE"""),0.462)</f>
        <v>0.462</v>
      </c>
      <c r="M1427" s="4">
        <f>IFERROR(__xludf.DUMMYFUNCTION("""COMPUTED_VALUE"""),0.0)</f>
        <v>0</v>
      </c>
      <c r="N1427" s="4">
        <f>IFERROR(__xludf.DUMMYFUNCTION("""COMPUTED_VALUE"""),0.615)</f>
        <v>0.615</v>
      </c>
      <c r="O1427" s="4">
        <f>IFERROR(__xludf.DUMMYFUNCTION("""COMPUTED_VALUE"""),5.2)</f>
        <v>5.2</v>
      </c>
      <c r="P1427" s="4">
        <f>IFERROR(__xludf.DUMMYFUNCTION("""COMPUTED_VALUE"""),1.4)</f>
        <v>1.4</v>
      </c>
      <c r="Q1427" s="4">
        <f>IFERROR(__xludf.DUMMYFUNCTION("""COMPUTED_VALUE"""),0.6)</f>
        <v>0.6</v>
      </c>
      <c r="R1427" s="4">
        <f>IFERROR(__xludf.DUMMYFUNCTION("""COMPUTED_VALUE"""),0.1)</f>
        <v>0.1</v>
      </c>
      <c r="S1427" s="4">
        <f>IFERROR(__xludf.DUMMYFUNCTION("""COMPUTED_VALUE"""),0.1)</f>
        <v>0.1</v>
      </c>
      <c r="T1427" s="4">
        <f>IFERROR(__xludf.DUMMYFUNCTION("""COMPUTED_VALUE"""),0.04)</f>
        <v>0.04</v>
      </c>
      <c r="U1427" s="4">
        <f>IFERROR(__xludf.DUMMYFUNCTION("""COMPUTED_VALUE"""),-5.5)</f>
        <v>-5.5</v>
      </c>
      <c r="V1427" s="4">
        <f>IFERROR(__xludf.DUMMYFUNCTION("""COMPUTED_VALUE"""),-0.1)</f>
        <v>-0.1</v>
      </c>
    </row>
    <row r="1428">
      <c r="A1428" s="4">
        <f>IFERROR(__xludf.DUMMYFUNCTION("""COMPUTED_VALUE"""),37.0)</f>
        <v>37</v>
      </c>
      <c r="B1428" s="4">
        <f>IFERROR(__xludf.DUMMYFUNCTION("""COMPUTED_VALUE"""),36.0)</f>
        <v>36</v>
      </c>
      <c r="C1428" s="4" t="str">
        <f>IFERROR(__xludf.DUMMYFUNCTION("""COMPUTED_VALUE"""),"ORL")</f>
        <v>ORL</v>
      </c>
      <c r="D1428" s="4" t="str">
        <f>IFERROR(__xludf.DUMMYFUNCTION("""COMPUTED_VALUE"""),"Antonio Burks")</f>
        <v>Antonio Burks</v>
      </c>
      <c r="E1428" s="4" t="str">
        <f>IFERROR(__xludf.DUMMYFUNCTION("""COMPUTED_VALUE"""),"Memphis")</f>
        <v>Memphis</v>
      </c>
      <c r="F1428" s="4">
        <f>IFERROR(__xludf.DUMMYFUNCTION("""COMPUTED_VALUE"""),2.0)</f>
        <v>2</v>
      </c>
      <c r="G1428" s="4">
        <f>IFERROR(__xludf.DUMMYFUNCTION("""COMPUTED_VALUE"""),81.0)</f>
        <v>81</v>
      </c>
      <c r="H1428" s="4">
        <f>IFERROR(__xludf.DUMMYFUNCTION("""COMPUTED_VALUE"""),789.0)</f>
        <v>789</v>
      </c>
      <c r="I1428" s="4">
        <f>IFERROR(__xludf.DUMMYFUNCTION("""COMPUTED_VALUE"""),186.0)</f>
        <v>186</v>
      </c>
      <c r="J1428" s="4">
        <f>IFERROR(__xludf.DUMMYFUNCTION("""COMPUTED_VALUE"""),49.0)</f>
        <v>49</v>
      </c>
      <c r="K1428" s="4">
        <f>IFERROR(__xludf.DUMMYFUNCTION("""COMPUTED_VALUE"""),104.0)</f>
        <v>104</v>
      </c>
      <c r="L1428" s="4">
        <f>IFERROR(__xludf.DUMMYFUNCTION("""COMPUTED_VALUE"""),0.387)</f>
        <v>0.387</v>
      </c>
      <c r="M1428" s="4">
        <f>IFERROR(__xludf.DUMMYFUNCTION("""COMPUTED_VALUE"""),0.235)</f>
        <v>0.235</v>
      </c>
      <c r="N1428" s="4">
        <f>IFERROR(__xludf.DUMMYFUNCTION("""COMPUTED_VALUE"""),0.571)</f>
        <v>0.571</v>
      </c>
      <c r="O1428" s="4">
        <f>IFERROR(__xludf.DUMMYFUNCTION("""COMPUTED_VALUE"""),9.7)</f>
        <v>9.7</v>
      </c>
      <c r="P1428" s="4">
        <f>IFERROR(__xludf.DUMMYFUNCTION("""COMPUTED_VALUE"""),2.3)</f>
        <v>2.3</v>
      </c>
      <c r="Q1428" s="4">
        <f>IFERROR(__xludf.DUMMYFUNCTION("""COMPUTED_VALUE"""),0.6)</f>
        <v>0.6</v>
      </c>
      <c r="R1428" s="4">
        <f>IFERROR(__xludf.DUMMYFUNCTION("""COMPUTED_VALUE"""),1.3)</f>
        <v>1.3</v>
      </c>
      <c r="S1428" s="4">
        <f>IFERROR(__xludf.DUMMYFUNCTION("""COMPUTED_VALUE"""),0.1)</f>
        <v>0.1</v>
      </c>
      <c r="T1428" s="4">
        <f>IFERROR(__xludf.DUMMYFUNCTION("""COMPUTED_VALUE"""),0.004)</f>
        <v>0.004</v>
      </c>
      <c r="U1428" s="4">
        <f>IFERROR(__xludf.DUMMYFUNCTION("""COMPUTED_VALUE"""),-5.0)</f>
        <v>-5</v>
      </c>
      <c r="V1428" s="4">
        <f>IFERROR(__xludf.DUMMYFUNCTION("""COMPUTED_VALUE"""),-0.6)</f>
        <v>-0.6</v>
      </c>
    </row>
    <row r="1429">
      <c r="A1429" s="4">
        <f>IFERROR(__xludf.DUMMYFUNCTION("""COMPUTED_VALUE"""),38.0)</f>
        <v>38</v>
      </c>
      <c r="B1429" s="4">
        <f>IFERROR(__xludf.DUMMYFUNCTION("""COMPUTED_VALUE"""),37.0)</f>
        <v>37</v>
      </c>
      <c r="C1429" s="4" t="str">
        <f>IFERROR(__xludf.DUMMYFUNCTION("""COMPUTED_VALUE"""),"ATL")</f>
        <v>ATL</v>
      </c>
      <c r="D1429" s="4" t="str">
        <f>IFERROR(__xludf.DUMMYFUNCTION("""COMPUTED_VALUE"""),"Royal Ivey")</f>
        <v>Royal Ivey</v>
      </c>
      <c r="E1429" s="4" t="str">
        <f>IFERROR(__xludf.DUMMYFUNCTION("""COMPUTED_VALUE"""),"Texas")</f>
        <v>Texas</v>
      </c>
      <c r="F1429" s="4">
        <f>IFERROR(__xludf.DUMMYFUNCTION("""COMPUTED_VALUE"""),10.0)</f>
        <v>10</v>
      </c>
      <c r="G1429" s="4">
        <f>IFERROR(__xludf.DUMMYFUNCTION("""COMPUTED_VALUE"""),492.0)</f>
        <v>492</v>
      </c>
      <c r="H1429" s="4">
        <f>IFERROR(__xludf.DUMMYFUNCTION("""COMPUTED_VALUE"""),6162.0)</f>
        <v>6162</v>
      </c>
      <c r="I1429" s="4">
        <f>IFERROR(__xludf.DUMMYFUNCTION("""COMPUTED_VALUE"""),1641.0)</f>
        <v>1641</v>
      </c>
      <c r="J1429" s="4">
        <f>IFERROR(__xludf.DUMMYFUNCTION("""COMPUTED_VALUE"""),557.0)</f>
        <v>557</v>
      </c>
      <c r="K1429" s="4">
        <f>IFERROR(__xludf.DUMMYFUNCTION("""COMPUTED_VALUE"""),501.0)</f>
        <v>501</v>
      </c>
      <c r="L1429" s="4">
        <f>IFERROR(__xludf.DUMMYFUNCTION("""COMPUTED_VALUE"""),0.406)</f>
        <v>0.406</v>
      </c>
      <c r="M1429" s="4">
        <f>IFERROR(__xludf.DUMMYFUNCTION("""COMPUTED_VALUE"""),0.361)</f>
        <v>0.361</v>
      </c>
      <c r="N1429" s="4">
        <f>IFERROR(__xludf.DUMMYFUNCTION("""COMPUTED_VALUE"""),0.706)</f>
        <v>0.706</v>
      </c>
      <c r="O1429" s="4">
        <f>IFERROR(__xludf.DUMMYFUNCTION("""COMPUTED_VALUE"""),12.5)</f>
        <v>12.5</v>
      </c>
      <c r="P1429" s="4">
        <f>IFERROR(__xludf.DUMMYFUNCTION("""COMPUTED_VALUE"""),3.3)</f>
        <v>3.3</v>
      </c>
      <c r="Q1429" s="4">
        <f>IFERROR(__xludf.DUMMYFUNCTION("""COMPUTED_VALUE"""),1.1)</f>
        <v>1.1</v>
      </c>
      <c r="R1429" s="4">
        <f>IFERROR(__xludf.DUMMYFUNCTION("""COMPUTED_VALUE"""),1.0)</f>
        <v>1</v>
      </c>
      <c r="S1429" s="4">
        <f>IFERROR(__xludf.DUMMYFUNCTION("""COMPUTED_VALUE"""),4.5)</f>
        <v>4.5</v>
      </c>
      <c r="T1429" s="4">
        <f>IFERROR(__xludf.DUMMYFUNCTION("""COMPUTED_VALUE"""),0.035)</f>
        <v>0.035</v>
      </c>
      <c r="U1429" s="4">
        <f>IFERROR(__xludf.DUMMYFUNCTION("""COMPUTED_VALUE"""),-3.8)</f>
        <v>-3.8</v>
      </c>
      <c r="V1429" s="4">
        <f>IFERROR(__xludf.DUMMYFUNCTION("""COMPUTED_VALUE"""),-2.7)</f>
        <v>-2.7</v>
      </c>
    </row>
    <row r="1430">
      <c r="A1430" s="4">
        <f>IFERROR(__xludf.DUMMYFUNCTION("""COMPUTED_VALUE"""),39.0)</f>
        <v>39</v>
      </c>
      <c r="B1430" s="4">
        <f>IFERROR(__xludf.DUMMYFUNCTION("""COMPUTED_VALUE"""),38.0)</f>
        <v>38</v>
      </c>
      <c r="C1430" s="4" t="str">
        <f>IFERROR(__xludf.DUMMYFUNCTION("""COMPUTED_VALUE"""),"CHI")</f>
        <v>CHI</v>
      </c>
      <c r="D1430" s="4" t="str">
        <f>IFERROR(__xludf.DUMMYFUNCTION("""COMPUTED_VALUE"""),"Chris Duhon")</f>
        <v>Chris Duhon</v>
      </c>
      <c r="E1430" s="4" t="str">
        <f>IFERROR(__xludf.DUMMYFUNCTION("""COMPUTED_VALUE"""),"Duke")</f>
        <v>Duke</v>
      </c>
      <c r="F1430" s="4">
        <f>IFERROR(__xludf.DUMMYFUNCTION("""COMPUTED_VALUE"""),9.0)</f>
        <v>9</v>
      </c>
      <c r="G1430" s="4">
        <f>IFERROR(__xludf.DUMMYFUNCTION("""COMPUTED_VALUE"""),606.0)</f>
        <v>606</v>
      </c>
      <c r="H1430" s="4">
        <f>IFERROR(__xludf.DUMMYFUNCTION("""COMPUTED_VALUE"""),15526.0)</f>
        <v>15526</v>
      </c>
      <c r="I1430" s="4">
        <f>IFERROR(__xludf.DUMMYFUNCTION("""COMPUTED_VALUE"""),3946.0)</f>
        <v>3946</v>
      </c>
      <c r="J1430" s="4">
        <f>IFERROR(__xludf.DUMMYFUNCTION("""COMPUTED_VALUE"""),1364.0)</f>
        <v>1364</v>
      </c>
      <c r="K1430" s="4">
        <f>IFERROR(__xludf.DUMMYFUNCTION("""COMPUTED_VALUE"""),2690.0)</f>
        <v>2690</v>
      </c>
      <c r="L1430" s="4">
        <f>IFERROR(__xludf.DUMMYFUNCTION("""COMPUTED_VALUE"""),0.393)</f>
        <v>0.393</v>
      </c>
      <c r="M1430" s="4">
        <f>IFERROR(__xludf.DUMMYFUNCTION("""COMPUTED_VALUE"""),0.363)</f>
        <v>0.363</v>
      </c>
      <c r="N1430" s="4">
        <f>IFERROR(__xludf.DUMMYFUNCTION("""COMPUTED_VALUE"""),0.784)</f>
        <v>0.784</v>
      </c>
      <c r="O1430" s="4">
        <f>IFERROR(__xludf.DUMMYFUNCTION("""COMPUTED_VALUE"""),25.6)</f>
        <v>25.6</v>
      </c>
      <c r="P1430" s="4">
        <f>IFERROR(__xludf.DUMMYFUNCTION("""COMPUTED_VALUE"""),6.5)</f>
        <v>6.5</v>
      </c>
      <c r="Q1430" s="4">
        <f>IFERROR(__xludf.DUMMYFUNCTION("""COMPUTED_VALUE"""),2.3)</f>
        <v>2.3</v>
      </c>
      <c r="R1430" s="4">
        <f>IFERROR(__xludf.DUMMYFUNCTION("""COMPUTED_VALUE"""),4.4)</f>
        <v>4.4</v>
      </c>
      <c r="S1430" s="4">
        <f>IFERROR(__xludf.DUMMYFUNCTION("""COMPUTED_VALUE"""),25.0)</f>
        <v>25</v>
      </c>
      <c r="T1430" s="4">
        <f>IFERROR(__xludf.DUMMYFUNCTION("""COMPUTED_VALUE"""),0.077)</f>
        <v>0.077</v>
      </c>
      <c r="U1430" s="4">
        <f>IFERROR(__xludf.DUMMYFUNCTION("""COMPUTED_VALUE"""),-1.2)</f>
        <v>-1.2</v>
      </c>
      <c r="V1430" s="4">
        <f>IFERROR(__xludf.DUMMYFUNCTION("""COMPUTED_VALUE"""),3.2)</f>
        <v>3.2</v>
      </c>
    </row>
    <row r="1431">
      <c r="A1431" s="4">
        <f>IFERROR(__xludf.DUMMYFUNCTION("""COMPUTED_VALUE"""),40.0)</f>
        <v>40</v>
      </c>
      <c r="B1431" s="4">
        <f>IFERROR(__xludf.DUMMYFUNCTION("""COMPUTED_VALUE"""),39.0)</f>
        <v>39</v>
      </c>
      <c r="C1431" s="4" t="str">
        <f>IFERROR(__xludf.DUMMYFUNCTION("""COMPUTED_VALUE"""),"TOR")</f>
        <v>TOR</v>
      </c>
      <c r="D1431" s="4" t="str">
        <f>IFERROR(__xludf.DUMMYFUNCTION("""COMPUTED_VALUE"""),"Albert Miralles")</f>
        <v>Albert Miralles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>
      <c r="A1432" s="4">
        <f>IFERROR(__xludf.DUMMYFUNCTION("""COMPUTED_VALUE"""),41.0)</f>
        <v>41</v>
      </c>
      <c r="B1432" s="4">
        <f>IFERROR(__xludf.DUMMYFUNCTION("""COMPUTED_VALUE"""),40.0)</f>
        <v>40</v>
      </c>
      <c r="C1432" s="4" t="str">
        <f>IFERROR(__xludf.DUMMYFUNCTION("""COMPUTED_VALUE"""),"BOS")</f>
        <v>BOS</v>
      </c>
      <c r="D1432" s="4" t="str">
        <f>IFERROR(__xludf.DUMMYFUNCTION("""COMPUTED_VALUE"""),"Justin Reed")</f>
        <v>Justin Reed</v>
      </c>
      <c r="E1432" s="4" t="str">
        <f>IFERROR(__xludf.DUMMYFUNCTION("""COMPUTED_VALUE"""),"Ole Miss")</f>
        <v>Ole Miss</v>
      </c>
      <c r="F1432" s="4">
        <f>IFERROR(__xludf.DUMMYFUNCTION("""COMPUTED_VALUE"""),3.0)</f>
        <v>3</v>
      </c>
      <c r="G1432" s="4">
        <f>IFERROR(__xludf.DUMMYFUNCTION("""COMPUTED_VALUE"""),136.0)</f>
        <v>136</v>
      </c>
      <c r="H1432" s="4">
        <f>IFERROR(__xludf.DUMMYFUNCTION("""COMPUTED_VALUE"""),1436.0)</f>
        <v>1436</v>
      </c>
      <c r="I1432" s="4">
        <f>IFERROR(__xludf.DUMMYFUNCTION("""COMPUTED_VALUE"""),472.0)</f>
        <v>472</v>
      </c>
      <c r="J1432" s="4">
        <f>IFERROR(__xludf.DUMMYFUNCTION("""COMPUTED_VALUE"""),186.0)</f>
        <v>186</v>
      </c>
      <c r="K1432" s="4">
        <f>IFERROR(__xludf.DUMMYFUNCTION("""COMPUTED_VALUE"""),68.0)</f>
        <v>68</v>
      </c>
      <c r="L1432" s="4">
        <f>IFERROR(__xludf.DUMMYFUNCTION("""COMPUTED_VALUE"""),0.404)</f>
        <v>0.404</v>
      </c>
      <c r="M1432" s="4">
        <f>IFERROR(__xludf.DUMMYFUNCTION("""COMPUTED_VALUE"""),0.0)</f>
        <v>0</v>
      </c>
      <c r="N1432" s="4">
        <f>IFERROR(__xludf.DUMMYFUNCTION("""COMPUTED_VALUE"""),0.752)</f>
        <v>0.752</v>
      </c>
      <c r="O1432" s="4">
        <f>IFERROR(__xludf.DUMMYFUNCTION("""COMPUTED_VALUE"""),10.6)</f>
        <v>10.6</v>
      </c>
      <c r="P1432" s="4">
        <f>IFERROR(__xludf.DUMMYFUNCTION("""COMPUTED_VALUE"""),3.5)</f>
        <v>3.5</v>
      </c>
      <c r="Q1432" s="4">
        <f>IFERROR(__xludf.DUMMYFUNCTION("""COMPUTED_VALUE"""),1.4)</f>
        <v>1.4</v>
      </c>
      <c r="R1432" s="4">
        <f>IFERROR(__xludf.DUMMYFUNCTION("""COMPUTED_VALUE"""),0.5)</f>
        <v>0.5</v>
      </c>
      <c r="S1432" s="4">
        <f>IFERROR(__xludf.DUMMYFUNCTION("""COMPUTED_VALUE"""),0.5)</f>
        <v>0.5</v>
      </c>
      <c r="T1432" s="4">
        <f>IFERROR(__xludf.DUMMYFUNCTION("""COMPUTED_VALUE"""),0.016)</f>
        <v>0.016</v>
      </c>
      <c r="U1432" s="4">
        <f>IFERROR(__xludf.DUMMYFUNCTION("""COMPUTED_VALUE"""),-5.9)</f>
        <v>-5.9</v>
      </c>
      <c r="V1432" s="4">
        <f>IFERROR(__xludf.DUMMYFUNCTION("""COMPUTED_VALUE"""),-1.4)</f>
        <v>-1.4</v>
      </c>
    </row>
    <row r="1433">
      <c r="A1433" s="4">
        <f>IFERROR(__xludf.DUMMYFUNCTION("""COMPUTED_VALUE"""),42.0)</f>
        <v>42</v>
      </c>
      <c r="B1433" s="4">
        <f>IFERROR(__xludf.DUMMYFUNCTION("""COMPUTED_VALUE"""),41.0)</f>
        <v>41</v>
      </c>
      <c r="C1433" s="4" t="str">
        <f>IFERROR(__xludf.DUMMYFUNCTION("""COMPUTED_VALUE"""),"SEA")</f>
        <v>SEA</v>
      </c>
      <c r="D1433" s="4" t="str">
        <f>IFERROR(__xludf.DUMMYFUNCTION("""COMPUTED_VALUE"""),"David Young")</f>
        <v>David Young</v>
      </c>
      <c r="E1433" s="4" t="str">
        <f>IFERROR(__xludf.DUMMYFUNCTION("""COMPUTED_VALUE"""),"NC Central")</f>
        <v>NC Central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>
      <c r="A1434" s="4">
        <f>IFERROR(__xludf.DUMMYFUNCTION("""COMPUTED_VALUE"""),43.0)</f>
        <v>43</v>
      </c>
      <c r="B1434" s="4">
        <f>IFERROR(__xludf.DUMMYFUNCTION("""COMPUTED_VALUE"""),42.0)</f>
        <v>42</v>
      </c>
      <c r="C1434" s="4" t="str">
        <f>IFERROR(__xludf.DUMMYFUNCTION("""COMPUTED_VALUE"""),"ATL")</f>
        <v>ATL</v>
      </c>
      <c r="D1434" s="4" t="str">
        <f>IFERROR(__xludf.DUMMYFUNCTION("""COMPUTED_VALUE"""),"Viktor Sanikidze")</f>
        <v>Viktor Sanikidze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</row>
    <row r="1435">
      <c r="A1435" s="4">
        <f>IFERROR(__xludf.DUMMYFUNCTION("""COMPUTED_VALUE"""),44.0)</f>
        <v>44</v>
      </c>
      <c r="B1435" s="4">
        <f>IFERROR(__xludf.DUMMYFUNCTION("""COMPUTED_VALUE"""),43.0)</f>
        <v>43</v>
      </c>
      <c r="C1435" s="4" t="str">
        <f>IFERROR(__xludf.DUMMYFUNCTION("""COMPUTED_VALUE"""),"NYK")</f>
        <v>NYK</v>
      </c>
      <c r="D1435" s="4" t="str">
        <f>IFERROR(__xludf.DUMMYFUNCTION("""COMPUTED_VALUE"""),"Trevor Ariza")</f>
        <v>Trevor Ariza</v>
      </c>
      <c r="E1435" s="4" t="str">
        <f>IFERROR(__xludf.DUMMYFUNCTION("""COMPUTED_VALUE"""),"UCLA")</f>
        <v>UCLA</v>
      </c>
      <c r="F1435" s="4">
        <f>IFERROR(__xludf.DUMMYFUNCTION("""COMPUTED_VALUE"""),18.0)</f>
        <v>18</v>
      </c>
      <c r="G1435" s="4">
        <f>IFERROR(__xludf.DUMMYFUNCTION("""COMPUTED_VALUE"""),1118.0)</f>
        <v>1118</v>
      </c>
      <c r="H1435" s="4">
        <f>IFERROR(__xludf.DUMMYFUNCTION("""COMPUTED_VALUE"""),32953.0)</f>
        <v>32953</v>
      </c>
      <c r="I1435" s="4">
        <f>IFERROR(__xludf.DUMMYFUNCTION("""COMPUTED_VALUE"""),11593.0)</f>
        <v>11593</v>
      </c>
      <c r="J1435" s="4">
        <f>IFERROR(__xludf.DUMMYFUNCTION("""COMPUTED_VALUE"""),5356.0)</f>
        <v>5356</v>
      </c>
      <c r="K1435" s="4">
        <f>IFERROR(__xludf.DUMMYFUNCTION("""COMPUTED_VALUE"""),2379.0)</f>
        <v>2379</v>
      </c>
      <c r="L1435" s="4">
        <f>IFERROR(__xludf.DUMMYFUNCTION("""COMPUTED_VALUE"""),0.422)</f>
        <v>0.422</v>
      </c>
      <c r="M1435" s="4">
        <f>IFERROR(__xludf.DUMMYFUNCTION("""COMPUTED_VALUE"""),0.351)</f>
        <v>0.351</v>
      </c>
      <c r="N1435" s="4">
        <f>IFERROR(__xludf.DUMMYFUNCTION("""COMPUTED_VALUE"""),0.731)</f>
        <v>0.731</v>
      </c>
      <c r="O1435" s="4">
        <f>IFERROR(__xludf.DUMMYFUNCTION("""COMPUTED_VALUE"""),29.5)</f>
        <v>29.5</v>
      </c>
      <c r="P1435" s="4">
        <f>IFERROR(__xludf.DUMMYFUNCTION("""COMPUTED_VALUE"""),10.4)</f>
        <v>10.4</v>
      </c>
      <c r="Q1435" s="4">
        <f>IFERROR(__xludf.DUMMYFUNCTION("""COMPUTED_VALUE"""),4.8)</f>
        <v>4.8</v>
      </c>
      <c r="R1435" s="4">
        <f>IFERROR(__xludf.DUMMYFUNCTION("""COMPUTED_VALUE"""),2.1)</f>
        <v>2.1</v>
      </c>
      <c r="S1435" s="4">
        <f>IFERROR(__xludf.DUMMYFUNCTION("""COMPUTED_VALUE"""),64.3)</f>
        <v>64.3</v>
      </c>
      <c r="T1435" s="4">
        <f>IFERROR(__xludf.DUMMYFUNCTION("""COMPUTED_VALUE"""),0.094)</f>
        <v>0.094</v>
      </c>
      <c r="U1435" s="4">
        <f>IFERROR(__xludf.DUMMYFUNCTION("""COMPUTED_VALUE"""),0.6)</f>
        <v>0.6</v>
      </c>
      <c r="V1435" s="4">
        <f>IFERROR(__xludf.DUMMYFUNCTION("""COMPUTED_VALUE"""),21.8)</f>
        <v>21.8</v>
      </c>
    </row>
    <row r="1436">
      <c r="A1436" s="4">
        <f>IFERROR(__xludf.DUMMYFUNCTION("""COMPUTED_VALUE"""),45.0)</f>
        <v>45</v>
      </c>
      <c r="B1436" s="4">
        <f>IFERROR(__xludf.DUMMYFUNCTION("""COMPUTED_VALUE"""),44.0)</f>
        <v>44</v>
      </c>
      <c r="C1436" s="4" t="str">
        <f>IFERROR(__xludf.DUMMYFUNCTION("""COMPUTED_VALUE"""),"NOH")</f>
        <v>NOH</v>
      </c>
      <c r="D1436" s="4" t="str">
        <f>IFERROR(__xludf.DUMMYFUNCTION("""COMPUTED_VALUE"""),"Tim Pickett")</f>
        <v>Tim Pickett</v>
      </c>
      <c r="E1436" s="4" t="str">
        <f>IFERROR(__xludf.DUMMYFUNCTION("""COMPUTED_VALUE"""),"Florida State")</f>
        <v>Florida State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>
      <c r="A1437" s="4">
        <f>IFERROR(__xludf.DUMMYFUNCTION("""COMPUTED_VALUE"""),46.0)</f>
        <v>46</v>
      </c>
      <c r="B1437" s="4">
        <f>IFERROR(__xludf.DUMMYFUNCTION("""COMPUTED_VALUE"""),45.0)</f>
        <v>45</v>
      </c>
      <c r="C1437" s="4" t="str">
        <f>IFERROR(__xludf.DUMMYFUNCTION("""COMPUTED_VALUE"""),"CHA")</f>
        <v>CHA</v>
      </c>
      <c r="D1437" s="4" t="str">
        <f>IFERROR(__xludf.DUMMYFUNCTION("""COMPUTED_VALUE"""),"Bernard Robinson")</f>
        <v>Bernard Robinson</v>
      </c>
      <c r="E1437" s="4" t="str">
        <f>IFERROR(__xludf.DUMMYFUNCTION("""COMPUTED_VALUE"""),"Michigan")</f>
        <v>Michigan</v>
      </c>
      <c r="F1437" s="4">
        <f>IFERROR(__xludf.DUMMYFUNCTION("""COMPUTED_VALUE"""),3.0)</f>
        <v>3</v>
      </c>
      <c r="G1437" s="4">
        <f>IFERROR(__xludf.DUMMYFUNCTION("""COMPUTED_VALUE"""),128.0)</f>
        <v>128</v>
      </c>
      <c r="H1437" s="4">
        <f>IFERROR(__xludf.DUMMYFUNCTION("""COMPUTED_VALUE"""),1909.0)</f>
        <v>1909</v>
      </c>
      <c r="I1437" s="4">
        <f>IFERROR(__xludf.DUMMYFUNCTION("""COMPUTED_VALUE"""),576.0)</f>
        <v>576</v>
      </c>
      <c r="J1437" s="4">
        <f>IFERROR(__xludf.DUMMYFUNCTION("""COMPUTED_VALUE"""),315.0)</f>
        <v>315</v>
      </c>
      <c r="K1437" s="4">
        <f>IFERROR(__xludf.DUMMYFUNCTION("""COMPUTED_VALUE"""),126.0)</f>
        <v>126</v>
      </c>
      <c r="L1437" s="4">
        <f>IFERROR(__xludf.DUMMYFUNCTION("""COMPUTED_VALUE"""),0.417)</f>
        <v>0.417</v>
      </c>
      <c r="M1437" s="4">
        <f>IFERROR(__xludf.DUMMYFUNCTION("""COMPUTED_VALUE"""),0.161)</f>
        <v>0.161</v>
      </c>
      <c r="N1437" s="4">
        <f>IFERROR(__xludf.DUMMYFUNCTION("""COMPUTED_VALUE"""),0.786)</f>
        <v>0.786</v>
      </c>
      <c r="O1437" s="4">
        <f>IFERROR(__xludf.DUMMYFUNCTION("""COMPUTED_VALUE"""),14.9)</f>
        <v>14.9</v>
      </c>
      <c r="P1437" s="4">
        <f>IFERROR(__xludf.DUMMYFUNCTION("""COMPUTED_VALUE"""),4.5)</f>
        <v>4.5</v>
      </c>
      <c r="Q1437" s="4">
        <f>IFERROR(__xludf.DUMMYFUNCTION("""COMPUTED_VALUE"""),2.5)</f>
        <v>2.5</v>
      </c>
      <c r="R1437" s="4">
        <f>IFERROR(__xludf.DUMMYFUNCTION("""COMPUTED_VALUE"""),1.0)</f>
        <v>1</v>
      </c>
      <c r="S1437" s="4">
        <f>IFERROR(__xludf.DUMMYFUNCTION("""COMPUTED_VALUE"""),2.0)</f>
        <v>2</v>
      </c>
      <c r="T1437" s="4">
        <f>IFERROR(__xludf.DUMMYFUNCTION("""COMPUTED_VALUE"""),0.049)</f>
        <v>0.049</v>
      </c>
      <c r="U1437" s="4">
        <f>IFERROR(__xludf.DUMMYFUNCTION("""COMPUTED_VALUE"""),-2.0)</f>
        <v>-2</v>
      </c>
      <c r="V1437" s="4">
        <f>IFERROR(__xludf.DUMMYFUNCTION("""COMPUTED_VALUE"""),0.0)</f>
        <v>0</v>
      </c>
    </row>
    <row r="1438">
      <c r="A1438" s="4">
        <f>IFERROR(__xludf.DUMMYFUNCTION("""COMPUTED_VALUE"""),47.0)</f>
        <v>47</v>
      </c>
      <c r="B1438" s="4">
        <f>IFERROR(__xludf.DUMMYFUNCTION("""COMPUTED_VALUE"""),46.0)</f>
        <v>46</v>
      </c>
      <c r="C1438" s="4" t="str">
        <f>IFERROR(__xludf.DUMMYFUNCTION("""COMPUTED_VALUE"""),"POR")</f>
        <v>POR</v>
      </c>
      <c r="D1438" s="4" t="str">
        <f>IFERROR(__xludf.DUMMYFUNCTION("""COMPUTED_VALUE"""),"Ha Seung-Jin")</f>
        <v>Ha Seung-Jin</v>
      </c>
      <c r="E1438" s="4"/>
      <c r="F1438" s="4">
        <f>IFERROR(__xludf.DUMMYFUNCTION("""COMPUTED_VALUE"""),2.0)</f>
        <v>2</v>
      </c>
      <c r="G1438" s="4">
        <f>IFERROR(__xludf.DUMMYFUNCTION("""COMPUTED_VALUE"""),46.0)</f>
        <v>46</v>
      </c>
      <c r="H1438" s="4">
        <f>IFERROR(__xludf.DUMMYFUNCTION("""COMPUTED_VALUE"""),316.0)</f>
        <v>316</v>
      </c>
      <c r="I1438" s="4">
        <f>IFERROR(__xludf.DUMMYFUNCTION("""COMPUTED_VALUE"""),70.0)</f>
        <v>70</v>
      </c>
      <c r="J1438" s="4">
        <f>IFERROR(__xludf.DUMMYFUNCTION("""COMPUTED_VALUE"""),67.0)</f>
        <v>67</v>
      </c>
      <c r="K1438" s="4">
        <f>IFERROR(__xludf.DUMMYFUNCTION("""COMPUTED_VALUE"""),3.0)</f>
        <v>3</v>
      </c>
      <c r="L1438" s="4">
        <f>IFERROR(__xludf.DUMMYFUNCTION("""COMPUTED_VALUE"""),0.519)</f>
        <v>0.519</v>
      </c>
      <c r="M1438" s="4"/>
      <c r="N1438" s="4">
        <f>IFERROR(__xludf.DUMMYFUNCTION("""COMPUTED_VALUE"""),0.5)</f>
        <v>0.5</v>
      </c>
      <c r="O1438" s="4">
        <f>IFERROR(__xludf.DUMMYFUNCTION("""COMPUTED_VALUE"""),6.9)</f>
        <v>6.9</v>
      </c>
      <c r="P1438" s="4">
        <f>IFERROR(__xludf.DUMMYFUNCTION("""COMPUTED_VALUE"""),1.5)</f>
        <v>1.5</v>
      </c>
      <c r="Q1438" s="4">
        <f>IFERROR(__xludf.DUMMYFUNCTION("""COMPUTED_VALUE"""),1.5)</f>
        <v>1.5</v>
      </c>
      <c r="R1438" s="4">
        <f>IFERROR(__xludf.DUMMYFUNCTION("""COMPUTED_VALUE"""),0.1)</f>
        <v>0.1</v>
      </c>
      <c r="S1438" s="4">
        <f>IFERROR(__xludf.DUMMYFUNCTION("""COMPUTED_VALUE"""),-0.2)</f>
        <v>-0.2</v>
      </c>
      <c r="T1438" s="4">
        <f>IFERROR(__xludf.DUMMYFUNCTION("""COMPUTED_VALUE"""),-0.029)</f>
        <v>-0.029</v>
      </c>
      <c r="U1438" s="4">
        <f>IFERROR(__xludf.DUMMYFUNCTION("""COMPUTED_VALUE"""),-8.8)</f>
        <v>-8.8</v>
      </c>
      <c r="V1438" s="4">
        <f>IFERROR(__xludf.DUMMYFUNCTION("""COMPUTED_VALUE"""),-0.5)</f>
        <v>-0.5</v>
      </c>
    </row>
    <row r="1439">
      <c r="A1439" s="4">
        <f>IFERROR(__xludf.DUMMYFUNCTION("""COMPUTED_VALUE"""),48.0)</f>
        <v>48</v>
      </c>
      <c r="B1439" s="4">
        <f>IFERROR(__xludf.DUMMYFUNCTION("""COMPUTED_VALUE"""),47.0)</f>
        <v>47</v>
      </c>
      <c r="C1439" s="4" t="str">
        <f>IFERROR(__xludf.DUMMYFUNCTION("""COMPUTED_VALUE"""),"MIA")</f>
        <v>MIA</v>
      </c>
      <c r="D1439" s="4" t="str">
        <f>IFERROR(__xludf.DUMMYFUNCTION("""COMPUTED_VALUE"""),"Pape Sow")</f>
        <v>Pape Sow</v>
      </c>
      <c r="E1439" s="4" t="str">
        <f>IFERROR(__xludf.DUMMYFUNCTION("""COMPUTED_VALUE"""),"Cal State Fullerton")</f>
        <v>Cal State Fullerton</v>
      </c>
      <c r="F1439" s="4">
        <f>IFERROR(__xludf.DUMMYFUNCTION("""COMPUTED_VALUE"""),3.0)</f>
        <v>3</v>
      </c>
      <c r="G1439" s="4">
        <f>IFERROR(__xludf.DUMMYFUNCTION("""COMPUTED_VALUE"""),76.0)</f>
        <v>76</v>
      </c>
      <c r="H1439" s="4">
        <f>IFERROR(__xludf.DUMMYFUNCTION("""COMPUTED_VALUE"""),879.0)</f>
        <v>879</v>
      </c>
      <c r="I1439" s="4">
        <f>IFERROR(__xludf.DUMMYFUNCTION("""COMPUTED_VALUE"""),219.0)</f>
        <v>219</v>
      </c>
      <c r="J1439" s="4">
        <f>IFERROR(__xludf.DUMMYFUNCTION("""COMPUTED_VALUE"""),214.0)</f>
        <v>214</v>
      </c>
      <c r="K1439" s="4">
        <f>IFERROR(__xludf.DUMMYFUNCTION("""COMPUTED_VALUE"""),12.0)</f>
        <v>12</v>
      </c>
      <c r="L1439" s="4">
        <f>IFERROR(__xludf.DUMMYFUNCTION("""COMPUTED_VALUE"""),0.416)</f>
        <v>0.416</v>
      </c>
      <c r="M1439" s="4"/>
      <c r="N1439" s="4">
        <f>IFERROR(__xludf.DUMMYFUNCTION("""COMPUTED_VALUE"""),0.678)</f>
        <v>0.678</v>
      </c>
      <c r="O1439" s="4">
        <f>IFERROR(__xludf.DUMMYFUNCTION("""COMPUTED_VALUE"""),11.6)</f>
        <v>11.6</v>
      </c>
      <c r="P1439" s="4">
        <f>IFERROR(__xludf.DUMMYFUNCTION("""COMPUTED_VALUE"""),2.9)</f>
        <v>2.9</v>
      </c>
      <c r="Q1439" s="4">
        <f>IFERROR(__xludf.DUMMYFUNCTION("""COMPUTED_VALUE"""),2.8)</f>
        <v>2.8</v>
      </c>
      <c r="R1439" s="4">
        <f>IFERROR(__xludf.DUMMYFUNCTION("""COMPUTED_VALUE"""),0.2)</f>
        <v>0.2</v>
      </c>
      <c r="S1439" s="4">
        <f>IFERROR(__xludf.DUMMYFUNCTION("""COMPUTED_VALUE"""),0.8)</f>
        <v>0.8</v>
      </c>
      <c r="T1439" s="4">
        <f>IFERROR(__xludf.DUMMYFUNCTION("""COMPUTED_VALUE"""),0.044)</f>
        <v>0.044</v>
      </c>
      <c r="U1439" s="4">
        <f>IFERROR(__xludf.DUMMYFUNCTION("""COMPUTED_VALUE"""),-5.7)</f>
        <v>-5.7</v>
      </c>
      <c r="V1439" s="4">
        <f>IFERROR(__xludf.DUMMYFUNCTION("""COMPUTED_VALUE"""),-0.8)</f>
        <v>-0.8</v>
      </c>
    </row>
    <row r="1440">
      <c r="A1440" s="4">
        <f>IFERROR(__xludf.DUMMYFUNCTION("""COMPUTED_VALUE"""),49.0)</f>
        <v>49</v>
      </c>
      <c r="B1440" s="4">
        <f>IFERROR(__xludf.DUMMYFUNCTION("""COMPUTED_VALUE"""),48.0)</f>
        <v>48</v>
      </c>
      <c r="C1440" s="4" t="str">
        <f>IFERROR(__xludf.DUMMYFUNCTION("""COMPUTED_VALUE"""),"SAC")</f>
        <v>SAC</v>
      </c>
      <c r="D1440" s="4" t="str">
        <f>IFERROR(__xludf.DUMMYFUNCTION("""COMPUTED_VALUE"""),"Ricky Minard")</f>
        <v>Ricky Minard</v>
      </c>
      <c r="E1440" s="4" t="str">
        <f>IFERROR(__xludf.DUMMYFUNCTION("""COMPUTED_VALUE"""),"Morehead State University")</f>
        <v>Morehead State University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</row>
    <row r="1441">
      <c r="A1441" s="4">
        <f>IFERROR(__xludf.DUMMYFUNCTION("""COMPUTED_VALUE"""),50.0)</f>
        <v>50</v>
      </c>
      <c r="B1441" s="4">
        <f>IFERROR(__xludf.DUMMYFUNCTION("""COMPUTED_VALUE"""),49.0)</f>
        <v>49</v>
      </c>
      <c r="C1441" s="4" t="str">
        <f>IFERROR(__xludf.DUMMYFUNCTION("""COMPUTED_VALUE"""),"MEM")</f>
        <v>MEM</v>
      </c>
      <c r="D1441" s="4" t="str">
        <f>IFERROR(__xludf.DUMMYFUNCTION("""COMPUTED_VALUE"""),"Sergei Lishouk")</f>
        <v>Sergei Lishouk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</row>
    <row r="1442">
      <c r="A1442" s="4">
        <f>IFERROR(__xludf.DUMMYFUNCTION("""COMPUTED_VALUE"""),51.0)</f>
        <v>51</v>
      </c>
      <c r="B1442" s="4">
        <f>IFERROR(__xludf.DUMMYFUNCTION("""COMPUTED_VALUE"""),50.0)</f>
        <v>50</v>
      </c>
      <c r="C1442" s="4" t="str">
        <f>IFERROR(__xludf.DUMMYFUNCTION("""COMPUTED_VALUE"""),"DAL")</f>
        <v>DAL</v>
      </c>
      <c r="D1442" s="4" t="str">
        <f>IFERROR(__xludf.DUMMYFUNCTION("""COMPUTED_VALUE"""),"Vassilis Spanoulis")</f>
        <v>Vassilis Spanoulis</v>
      </c>
      <c r="E1442" s="4"/>
      <c r="F1442" s="4">
        <f>IFERROR(__xludf.DUMMYFUNCTION("""COMPUTED_VALUE"""),1.0)</f>
        <v>1</v>
      </c>
      <c r="G1442" s="4">
        <f>IFERROR(__xludf.DUMMYFUNCTION("""COMPUTED_VALUE"""),31.0)</f>
        <v>31</v>
      </c>
      <c r="H1442" s="4">
        <f>IFERROR(__xludf.DUMMYFUNCTION("""COMPUTED_VALUE"""),272.0)</f>
        <v>272</v>
      </c>
      <c r="I1442" s="4">
        <f>IFERROR(__xludf.DUMMYFUNCTION("""COMPUTED_VALUE"""),85.0)</f>
        <v>85</v>
      </c>
      <c r="J1442" s="4">
        <f>IFERROR(__xludf.DUMMYFUNCTION("""COMPUTED_VALUE"""),22.0)</f>
        <v>22</v>
      </c>
      <c r="K1442" s="4">
        <f>IFERROR(__xludf.DUMMYFUNCTION("""COMPUTED_VALUE"""),28.0)</f>
        <v>28</v>
      </c>
      <c r="L1442" s="4">
        <f>IFERROR(__xludf.DUMMYFUNCTION("""COMPUTED_VALUE"""),0.319)</f>
        <v>0.319</v>
      </c>
      <c r="M1442" s="4">
        <f>IFERROR(__xludf.DUMMYFUNCTION("""COMPUTED_VALUE"""),0.172)</f>
        <v>0.172</v>
      </c>
      <c r="N1442" s="4">
        <f>IFERROR(__xludf.DUMMYFUNCTION("""COMPUTED_VALUE"""),0.81)</f>
        <v>0.81</v>
      </c>
      <c r="O1442" s="4">
        <f>IFERROR(__xludf.DUMMYFUNCTION("""COMPUTED_VALUE"""),8.8)</f>
        <v>8.8</v>
      </c>
      <c r="P1442" s="4">
        <f>IFERROR(__xludf.DUMMYFUNCTION("""COMPUTED_VALUE"""),2.7)</f>
        <v>2.7</v>
      </c>
      <c r="Q1442" s="4">
        <f>IFERROR(__xludf.DUMMYFUNCTION("""COMPUTED_VALUE"""),0.7)</f>
        <v>0.7</v>
      </c>
      <c r="R1442" s="4">
        <f>IFERROR(__xludf.DUMMYFUNCTION("""COMPUTED_VALUE"""),0.9)</f>
        <v>0.9</v>
      </c>
      <c r="S1442" s="4">
        <f>IFERROR(__xludf.DUMMYFUNCTION("""COMPUTED_VALUE"""),-0.1)</f>
        <v>-0.1</v>
      </c>
      <c r="T1442" s="4">
        <f>IFERROR(__xludf.DUMMYFUNCTION("""COMPUTED_VALUE"""),-0.01)</f>
        <v>-0.01</v>
      </c>
      <c r="U1442" s="4">
        <f>IFERROR(__xludf.DUMMYFUNCTION("""COMPUTED_VALUE"""),-5.9)</f>
        <v>-5.9</v>
      </c>
      <c r="V1442" s="4">
        <f>IFERROR(__xludf.DUMMYFUNCTION("""COMPUTED_VALUE"""),-0.3)</f>
        <v>-0.3</v>
      </c>
    </row>
    <row r="1443">
      <c r="A1443" s="4">
        <f>IFERROR(__xludf.DUMMYFUNCTION("""COMPUTED_VALUE"""),52.0)</f>
        <v>52</v>
      </c>
      <c r="B1443" s="4">
        <f>IFERROR(__xludf.DUMMYFUNCTION("""COMPUTED_VALUE"""),51.0)</f>
        <v>51</v>
      </c>
      <c r="C1443" s="4" t="str">
        <f>IFERROR(__xludf.DUMMYFUNCTION("""COMPUTED_VALUE"""),"NJN")</f>
        <v>NJN</v>
      </c>
      <c r="D1443" s="4" t="str">
        <f>IFERROR(__xludf.DUMMYFUNCTION("""COMPUTED_VALUE"""),"Christian Drejer")</f>
        <v>Christian Drejer</v>
      </c>
      <c r="E1443" s="4" t="str">
        <f>IFERROR(__xludf.DUMMYFUNCTION("""COMPUTED_VALUE"""),"Florida")</f>
        <v>Florida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</row>
    <row r="1444">
      <c r="A1444" s="4">
        <f>IFERROR(__xludf.DUMMYFUNCTION("""COMPUTED_VALUE"""),53.0)</f>
        <v>53</v>
      </c>
      <c r="B1444" s="4">
        <f>IFERROR(__xludf.DUMMYFUNCTION("""COMPUTED_VALUE"""),52.0)</f>
        <v>52</v>
      </c>
      <c r="C1444" s="4" t="str">
        <f>IFERROR(__xludf.DUMMYFUNCTION("""COMPUTED_VALUE"""),"SAS")</f>
        <v>SAS</v>
      </c>
      <c r="D1444" s="4" t="str">
        <f>IFERROR(__xludf.DUMMYFUNCTION("""COMPUTED_VALUE"""),"Romain Sato")</f>
        <v>Romain Sato</v>
      </c>
      <c r="E1444" s="4" t="str">
        <f>IFERROR(__xludf.DUMMYFUNCTION("""COMPUTED_VALUE"""),"Xavier")</f>
        <v>Xavier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</row>
    <row r="1445">
      <c r="A1445" s="4">
        <f>IFERROR(__xludf.DUMMYFUNCTION("""COMPUTED_VALUE"""),54.0)</f>
        <v>54</v>
      </c>
      <c r="B1445" s="4">
        <f>IFERROR(__xludf.DUMMYFUNCTION("""COMPUTED_VALUE"""),53.0)</f>
        <v>53</v>
      </c>
      <c r="C1445" s="4" t="str">
        <f>IFERROR(__xludf.DUMMYFUNCTION("""COMPUTED_VALUE"""),"MIA")</f>
        <v>MIA</v>
      </c>
      <c r="D1445" s="4" t="str">
        <f>IFERROR(__xludf.DUMMYFUNCTION("""COMPUTED_VALUE"""),"Matt Freije")</f>
        <v>Matt Freije</v>
      </c>
      <c r="E1445" s="4" t="str">
        <f>IFERROR(__xludf.DUMMYFUNCTION("""COMPUTED_VALUE"""),"Vanderbilt")</f>
        <v>Vanderbilt</v>
      </c>
      <c r="F1445" s="4">
        <f>IFERROR(__xludf.DUMMYFUNCTION("""COMPUTED_VALUE"""),2.0)</f>
        <v>2</v>
      </c>
      <c r="G1445" s="4">
        <f>IFERROR(__xludf.DUMMYFUNCTION("""COMPUTED_VALUE"""),42.0)</f>
        <v>42</v>
      </c>
      <c r="H1445" s="4">
        <f>IFERROR(__xludf.DUMMYFUNCTION("""COMPUTED_VALUE"""),588.0)</f>
        <v>588</v>
      </c>
      <c r="I1445" s="4">
        <f>IFERROR(__xludf.DUMMYFUNCTION("""COMPUTED_VALUE"""),133.0)</f>
        <v>133</v>
      </c>
      <c r="J1445" s="4">
        <f>IFERROR(__xludf.DUMMYFUNCTION("""COMPUTED_VALUE"""),85.0)</f>
        <v>85</v>
      </c>
      <c r="K1445" s="4">
        <f>IFERROR(__xludf.DUMMYFUNCTION("""COMPUTED_VALUE"""),27.0)</f>
        <v>27</v>
      </c>
      <c r="L1445" s="4">
        <f>IFERROR(__xludf.DUMMYFUNCTION("""COMPUTED_VALUE"""),0.293)</f>
        <v>0.293</v>
      </c>
      <c r="M1445" s="4">
        <f>IFERROR(__xludf.DUMMYFUNCTION("""COMPUTED_VALUE"""),0.224)</f>
        <v>0.224</v>
      </c>
      <c r="N1445" s="4">
        <f>IFERROR(__xludf.DUMMYFUNCTION("""COMPUTED_VALUE"""),0.714)</f>
        <v>0.714</v>
      </c>
      <c r="O1445" s="4">
        <f>IFERROR(__xludf.DUMMYFUNCTION("""COMPUTED_VALUE"""),14.0)</f>
        <v>14</v>
      </c>
      <c r="P1445" s="4">
        <f>IFERROR(__xludf.DUMMYFUNCTION("""COMPUTED_VALUE"""),3.2)</f>
        <v>3.2</v>
      </c>
      <c r="Q1445" s="4">
        <f>IFERROR(__xludf.DUMMYFUNCTION("""COMPUTED_VALUE"""),2.0)</f>
        <v>2</v>
      </c>
      <c r="R1445" s="4">
        <f>IFERROR(__xludf.DUMMYFUNCTION("""COMPUTED_VALUE"""),0.6)</f>
        <v>0.6</v>
      </c>
      <c r="S1445" s="4">
        <f>IFERROR(__xludf.DUMMYFUNCTION("""COMPUTED_VALUE"""),-0.6)</f>
        <v>-0.6</v>
      </c>
      <c r="T1445" s="4">
        <f>IFERROR(__xludf.DUMMYFUNCTION("""COMPUTED_VALUE"""),-0.047)</f>
        <v>-0.047</v>
      </c>
      <c r="U1445" s="4">
        <f>IFERROR(__xludf.DUMMYFUNCTION("""COMPUTED_VALUE"""),-6.0)</f>
        <v>-6</v>
      </c>
      <c r="V1445" s="4">
        <f>IFERROR(__xludf.DUMMYFUNCTION("""COMPUTED_VALUE"""),-0.6)</f>
        <v>-0.6</v>
      </c>
    </row>
    <row r="1446">
      <c r="A1446" s="4">
        <f>IFERROR(__xludf.DUMMYFUNCTION("""COMPUTED_VALUE"""),55.0)</f>
        <v>55</v>
      </c>
      <c r="B1446" s="4">
        <f>IFERROR(__xludf.DUMMYFUNCTION("""COMPUTED_VALUE"""),54.0)</f>
        <v>54</v>
      </c>
      <c r="C1446" s="4" t="str">
        <f>IFERROR(__xludf.DUMMYFUNCTION("""COMPUTED_VALUE"""),"DET")</f>
        <v>DET</v>
      </c>
      <c r="D1446" s="4" t="str">
        <f>IFERROR(__xludf.DUMMYFUNCTION("""COMPUTED_VALUE"""),"Rickey Paulding")</f>
        <v>Rickey Paulding</v>
      </c>
      <c r="E1446" s="4" t="str">
        <f>IFERROR(__xludf.DUMMYFUNCTION("""COMPUTED_VALUE"""),"Missouri")</f>
        <v>Missouri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</row>
    <row r="1447">
      <c r="A1447" s="4">
        <f>IFERROR(__xludf.DUMMYFUNCTION("""COMPUTED_VALUE"""),56.0)</f>
        <v>56</v>
      </c>
      <c r="B1447" s="4">
        <f>IFERROR(__xludf.DUMMYFUNCTION("""COMPUTED_VALUE"""),55.0)</f>
        <v>55</v>
      </c>
      <c r="C1447" s="4" t="str">
        <f>IFERROR(__xludf.DUMMYFUNCTION("""COMPUTED_VALUE"""),"HOU")</f>
        <v>HOU</v>
      </c>
      <c r="D1447" s="4" t="str">
        <f>IFERROR(__xludf.DUMMYFUNCTION("""COMPUTED_VALUE"""),"Luis Flores")</f>
        <v>Luis Flores</v>
      </c>
      <c r="E1447" s="4" t="str">
        <f>IFERROR(__xludf.DUMMYFUNCTION("""COMPUTED_VALUE"""),"Manhattan University")</f>
        <v>Manhattan University</v>
      </c>
      <c r="F1447" s="4">
        <f>IFERROR(__xludf.DUMMYFUNCTION("""COMPUTED_VALUE"""),1.0)</f>
        <v>1</v>
      </c>
      <c r="G1447" s="4">
        <f>IFERROR(__xludf.DUMMYFUNCTION("""COMPUTED_VALUE"""),16.0)</f>
        <v>16</v>
      </c>
      <c r="H1447" s="4">
        <f>IFERROR(__xludf.DUMMYFUNCTION("""COMPUTED_VALUE"""),77.0)</f>
        <v>77</v>
      </c>
      <c r="I1447" s="4">
        <f>IFERROR(__xludf.DUMMYFUNCTION("""COMPUTED_VALUE"""),35.0)</f>
        <v>35</v>
      </c>
      <c r="J1447" s="4">
        <f>IFERROR(__xludf.DUMMYFUNCTION("""COMPUTED_VALUE"""),3.0)</f>
        <v>3</v>
      </c>
      <c r="K1447" s="4">
        <f>IFERROR(__xludf.DUMMYFUNCTION("""COMPUTED_VALUE"""),11.0)</f>
        <v>11</v>
      </c>
      <c r="L1447" s="4">
        <f>IFERROR(__xludf.DUMMYFUNCTION("""COMPUTED_VALUE"""),0.483)</f>
        <v>0.483</v>
      </c>
      <c r="M1447" s="4">
        <f>IFERROR(__xludf.DUMMYFUNCTION("""COMPUTED_VALUE"""),0.5)</f>
        <v>0.5</v>
      </c>
      <c r="N1447" s="4">
        <f>IFERROR(__xludf.DUMMYFUNCTION("""COMPUTED_VALUE"""),1.0)</f>
        <v>1</v>
      </c>
      <c r="O1447" s="4">
        <f>IFERROR(__xludf.DUMMYFUNCTION("""COMPUTED_VALUE"""),4.8)</f>
        <v>4.8</v>
      </c>
      <c r="P1447" s="4">
        <f>IFERROR(__xludf.DUMMYFUNCTION("""COMPUTED_VALUE"""),2.2)</f>
        <v>2.2</v>
      </c>
      <c r="Q1447" s="4">
        <f>IFERROR(__xludf.DUMMYFUNCTION("""COMPUTED_VALUE"""),0.2)</f>
        <v>0.2</v>
      </c>
      <c r="R1447" s="4">
        <f>IFERROR(__xludf.DUMMYFUNCTION("""COMPUTED_VALUE"""),0.7)</f>
        <v>0.7</v>
      </c>
      <c r="S1447" s="4">
        <f>IFERROR(__xludf.DUMMYFUNCTION("""COMPUTED_VALUE"""),0.0)</f>
        <v>0</v>
      </c>
      <c r="T1447" s="4">
        <f>IFERROR(__xludf.DUMMYFUNCTION("""COMPUTED_VALUE"""),-0.02)</f>
        <v>-0.02</v>
      </c>
      <c r="U1447" s="4">
        <f>IFERROR(__xludf.DUMMYFUNCTION("""COMPUTED_VALUE"""),-4.8)</f>
        <v>-4.8</v>
      </c>
      <c r="V1447" s="4">
        <f>IFERROR(__xludf.DUMMYFUNCTION("""COMPUTED_VALUE"""),0.0)</f>
        <v>0</v>
      </c>
    </row>
    <row r="1448">
      <c r="A1448" s="4">
        <f>IFERROR(__xludf.DUMMYFUNCTION("""COMPUTED_VALUE"""),57.0)</f>
        <v>57</v>
      </c>
      <c r="B1448" s="4">
        <f>IFERROR(__xludf.DUMMYFUNCTION("""COMPUTED_VALUE"""),56.0)</f>
        <v>56</v>
      </c>
      <c r="C1448" s="4" t="str">
        <f>IFERROR(__xludf.DUMMYFUNCTION("""COMPUTED_VALUE"""),"LAL")</f>
        <v>LAL</v>
      </c>
      <c r="D1448" s="4" t="str">
        <f>IFERROR(__xludf.DUMMYFUNCTION("""COMPUTED_VALUE"""),"Marcus Douthit")</f>
        <v>Marcus Douthit</v>
      </c>
      <c r="E1448" s="4" t="str">
        <f>IFERROR(__xludf.DUMMYFUNCTION("""COMPUTED_VALUE"""),"Providence")</f>
        <v>Providence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</row>
    <row r="1449">
      <c r="A1449" s="4">
        <f>IFERROR(__xludf.DUMMYFUNCTION("""COMPUTED_VALUE"""),58.0)</f>
        <v>58</v>
      </c>
      <c r="B1449" s="4">
        <f>IFERROR(__xludf.DUMMYFUNCTION("""COMPUTED_VALUE"""),57.0)</f>
        <v>57</v>
      </c>
      <c r="C1449" s="4" t="str">
        <f>IFERROR(__xludf.DUMMYFUNCTION("""COMPUTED_VALUE"""),"SAS")</f>
        <v>SAS</v>
      </c>
      <c r="D1449" s="4" t="str">
        <f>IFERROR(__xludf.DUMMYFUNCTION("""COMPUTED_VALUE"""),"Sergei Karaulov")</f>
        <v>Sergei Karaulov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</row>
    <row r="1450">
      <c r="A1450" s="4">
        <f>IFERROR(__xludf.DUMMYFUNCTION("""COMPUTED_VALUE"""),59.0)</f>
        <v>59</v>
      </c>
      <c r="B1450" s="4">
        <f>IFERROR(__xludf.DUMMYFUNCTION("""COMPUTED_VALUE"""),58.0)</f>
        <v>58</v>
      </c>
      <c r="C1450" s="4" t="str">
        <f>IFERROR(__xludf.DUMMYFUNCTION("""COMPUTED_VALUE"""),"MIN")</f>
        <v>MIN</v>
      </c>
      <c r="D1450" s="4" t="str">
        <f>IFERROR(__xludf.DUMMYFUNCTION("""COMPUTED_VALUE"""),"Blake Stepp")</f>
        <v>Blake Stepp</v>
      </c>
      <c r="E1450" s="4" t="str">
        <f>IFERROR(__xludf.DUMMYFUNCTION("""COMPUTED_VALUE"""),"Gonzaga")</f>
        <v>Gonzaga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</row>
    <row r="1451">
      <c r="A1451" s="4">
        <f>IFERROR(__xludf.DUMMYFUNCTION("""COMPUTED_VALUE"""),60.0)</f>
        <v>60</v>
      </c>
      <c r="B1451" s="4">
        <f>IFERROR(__xludf.DUMMYFUNCTION("""COMPUTED_VALUE"""),59.0)</f>
        <v>59</v>
      </c>
      <c r="C1451" s="4" t="str">
        <f>IFERROR(__xludf.DUMMYFUNCTION("""COMPUTED_VALUE"""),"IND")</f>
        <v>IND</v>
      </c>
      <c r="D1451" s="4" t="str">
        <f>IFERROR(__xludf.DUMMYFUNCTION("""COMPUTED_VALUE"""),"Rashad Wright")</f>
        <v>Rashad Wright</v>
      </c>
      <c r="E1451" s="4" t="str">
        <f>IFERROR(__xludf.DUMMYFUNCTION("""COMPUTED_VALUE"""),"Georgia")</f>
        <v>Georgia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</row>
    <row r="1453">
      <c r="A1453" s="2">
        <v>2003.0</v>
      </c>
    </row>
    <row r="1454">
      <c r="A1454" s="4" t="str">
        <f>IFERROR(__xludf.DUMMYFUNCTION("IMPORTHTML(""https://www.basketball-reference.com/draft/NBA_2003.html"", ""table"", 1)"),"")</f>
        <v/>
      </c>
      <c r="B1454" s="4"/>
      <c r="C1454" s="4"/>
      <c r="D1454" s="4" t="str">
        <f>IFERROR(__xludf.DUMMYFUNCTION("""COMPUTED_VALUE"""),"Round 1")</f>
        <v>Round 1</v>
      </c>
      <c r="E1454" s="4"/>
      <c r="F1454" s="4"/>
      <c r="G1454" s="4" t="str">
        <f>IFERROR(__xludf.DUMMYFUNCTION("""COMPUTED_VALUE"""),"Totals")</f>
        <v>Totals</v>
      </c>
      <c r="H1454" s="4"/>
      <c r="I1454" s="4"/>
      <c r="J1454" s="4"/>
      <c r="K1454" s="4"/>
      <c r="L1454" s="4" t="str">
        <f>IFERROR(__xludf.DUMMYFUNCTION("""COMPUTED_VALUE"""),"Shooting")</f>
        <v>Shooting</v>
      </c>
      <c r="M1454" s="4"/>
      <c r="N1454" s="4"/>
      <c r="O1454" s="4" t="str">
        <f>IFERROR(__xludf.DUMMYFUNCTION("""COMPUTED_VALUE"""),"Per Game")</f>
        <v>Per Game</v>
      </c>
      <c r="P1454" s="4"/>
      <c r="Q1454" s="4"/>
      <c r="R1454" s="4"/>
      <c r="S1454" s="4" t="str">
        <f>IFERROR(__xludf.DUMMYFUNCTION("""COMPUTED_VALUE"""),"Advanced")</f>
        <v>Advanced</v>
      </c>
      <c r="T1454" s="4"/>
      <c r="U1454" s="4"/>
      <c r="V1454" s="4"/>
    </row>
    <row r="1455">
      <c r="A1455" s="4" t="str">
        <f>IFERROR(__xludf.DUMMYFUNCTION("""COMPUTED_VALUE"""),"Rk")</f>
        <v>Rk</v>
      </c>
      <c r="B1455" s="4" t="str">
        <f>IFERROR(__xludf.DUMMYFUNCTION("""COMPUTED_VALUE"""),"Pk")</f>
        <v>Pk</v>
      </c>
      <c r="C1455" s="4" t="str">
        <f>IFERROR(__xludf.DUMMYFUNCTION("""COMPUTED_VALUE"""),"Tm")</f>
        <v>Tm</v>
      </c>
      <c r="D1455" s="4" t="str">
        <f>IFERROR(__xludf.DUMMYFUNCTION("""COMPUTED_VALUE"""),"Player")</f>
        <v>Player</v>
      </c>
      <c r="E1455" s="4" t="str">
        <f>IFERROR(__xludf.DUMMYFUNCTION("""COMPUTED_VALUE"""),"College")</f>
        <v>College</v>
      </c>
      <c r="F1455" s="4" t="str">
        <f>IFERROR(__xludf.DUMMYFUNCTION("""COMPUTED_VALUE"""),"Yrs")</f>
        <v>Yrs</v>
      </c>
      <c r="G1455" s="4" t="str">
        <f>IFERROR(__xludf.DUMMYFUNCTION("""COMPUTED_VALUE"""),"G")</f>
        <v>G</v>
      </c>
      <c r="H1455" s="4" t="str">
        <f>IFERROR(__xludf.DUMMYFUNCTION("""COMPUTED_VALUE"""),"MP")</f>
        <v>MP</v>
      </c>
      <c r="I1455" s="4" t="str">
        <f>IFERROR(__xludf.DUMMYFUNCTION("""COMPUTED_VALUE"""),"PTS")</f>
        <v>PTS</v>
      </c>
      <c r="J1455" s="4" t="str">
        <f>IFERROR(__xludf.DUMMYFUNCTION("""COMPUTED_VALUE"""),"TRB")</f>
        <v>TRB</v>
      </c>
      <c r="K1455" s="4" t="str">
        <f>IFERROR(__xludf.DUMMYFUNCTION("""COMPUTED_VALUE"""),"AST")</f>
        <v>AST</v>
      </c>
      <c r="L1455" s="4" t="str">
        <f>IFERROR(__xludf.DUMMYFUNCTION("""COMPUTED_VALUE"""),"FG%")</f>
        <v>FG%</v>
      </c>
      <c r="M1455" s="4" t="str">
        <f>IFERROR(__xludf.DUMMYFUNCTION("""COMPUTED_VALUE"""),"3P%")</f>
        <v>3P%</v>
      </c>
      <c r="N1455" s="4" t="str">
        <f>IFERROR(__xludf.DUMMYFUNCTION("""COMPUTED_VALUE"""),"FT%")</f>
        <v>FT%</v>
      </c>
      <c r="O1455" s="4" t="str">
        <f>IFERROR(__xludf.DUMMYFUNCTION("""COMPUTED_VALUE"""),"MP")</f>
        <v>MP</v>
      </c>
      <c r="P1455" s="4" t="str">
        <f>IFERROR(__xludf.DUMMYFUNCTION("""COMPUTED_VALUE"""),"PTS")</f>
        <v>PTS</v>
      </c>
      <c r="Q1455" s="4" t="str">
        <f>IFERROR(__xludf.DUMMYFUNCTION("""COMPUTED_VALUE"""),"TRB")</f>
        <v>TRB</v>
      </c>
      <c r="R1455" s="4" t="str">
        <f>IFERROR(__xludf.DUMMYFUNCTION("""COMPUTED_VALUE"""),"AST")</f>
        <v>AST</v>
      </c>
      <c r="S1455" s="4" t="str">
        <f>IFERROR(__xludf.DUMMYFUNCTION("""COMPUTED_VALUE"""),"WS")</f>
        <v>WS</v>
      </c>
      <c r="T1455" s="4" t="str">
        <f>IFERROR(__xludf.DUMMYFUNCTION("""COMPUTED_VALUE"""),"WS/48")</f>
        <v>WS/48</v>
      </c>
      <c r="U1455" s="4" t="str">
        <f>IFERROR(__xludf.DUMMYFUNCTION("""COMPUTED_VALUE"""),"BPM")</f>
        <v>BPM</v>
      </c>
      <c r="V1455" s="4" t="str">
        <f>IFERROR(__xludf.DUMMYFUNCTION("""COMPUTED_VALUE"""),"VORP")</f>
        <v>VORP</v>
      </c>
    </row>
    <row r="1456">
      <c r="A1456" s="4">
        <f>IFERROR(__xludf.DUMMYFUNCTION("""COMPUTED_VALUE"""),1.0)</f>
        <v>1</v>
      </c>
      <c r="B1456" s="4">
        <f>IFERROR(__xludf.DUMMYFUNCTION("""COMPUTED_VALUE"""),1.0)</f>
        <v>1</v>
      </c>
      <c r="C1456" s="4" t="str">
        <f>IFERROR(__xludf.DUMMYFUNCTION("""COMPUTED_VALUE"""),"CLE")</f>
        <v>CLE</v>
      </c>
      <c r="D1456" s="4" t="str">
        <f>IFERROR(__xludf.DUMMYFUNCTION("""COMPUTED_VALUE"""),"LeBron James")</f>
        <v>LeBron James</v>
      </c>
      <c r="E1456" s="4"/>
      <c r="F1456" s="4">
        <f>IFERROR(__xludf.DUMMYFUNCTION("""COMPUTED_VALUE"""),23.0)</f>
        <v>23</v>
      </c>
      <c r="G1456" s="4">
        <f>IFERROR(__xludf.DUMMYFUNCTION("""COMPUTED_VALUE"""),1567.0)</f>
        <v>1567</v>
      </c>
      <c r="H1456" s="4">
        <f>IFERROR(__xludf.DUMMYFUNCTION("""COMPUTED_VALUE"""),59202.0)</f>
        <v>59202</v>
      </c>
      <c r="I1456" s="4">
        <f>IFERROR(__xludf.DUMMYFUNCTION("""COMPUTED_VALUE"""),42260.0)</f>
        <v>42260</v>
      </c>
      <c r="J1456" s="4">
        <f>IFERROR(__xludf.DUMMYFUNCTION("""COMPUTED_VALUE"""),11751.0)</f>
        <v>11751</v>
      </c>
      <c r="K1456" s="4">
        <f>IFERROR(__xludf.DUMMYFUNCTION("""COMPUTED_VALUE"""),11620.0)</f>
        <v>11620</v>
      </c>
      <c r="L1456" s="4">
        <f>IFERROR(__xludf.DUMMYFUNCTION("""COMPUTED_VALUE"""),0.506)</f>
        <v>0.506</v>
      </c>
      <c r="M1456" s="4">
        <f>IFERROR(__xludf.DUMMYFUNCTION("""COMPUTED_VALUE"""),0.349)</f>
        <v>0.349</v>
      </c>
      <c r="N1456" s="4">
        <f>IFERROR(__xludf.DUMMYFUNCTION("""COMPUTED_VALUE"""),0.737)</f>
        <v>0.737</v>
      </c>
      <c r="O1456" s="4">
        <f>IFERROR(__xludf.DUMMYFUNCTION("""COMPUTED_VALUE"""),37.8)</f>
        <v>37.8</v>
      </c>
      <c r="P1456" s="4">
        <f>IFERROR(__xludf.DUMMYFUNCTION("""COMPUTED_VALUE"""),27.0)</f>
        <v>27</v>
      </c>
      <c r="Q1456" s="4">
        <f>IFERROR(__xludf.DUMMYFUNCTION("""COMPUTED_VALUE"""),7.5)</f>
        <v>7.5</v>
      </c>
      <c r="R1456" s="4">
        <f>IFERROR(__xludf.DUMMYFUNCTION("""COMPUTED_VALUE"""),7.4)</f>
        <v>7.4</v>
      </c>
      <c r="S1456" s="4">
        <f>IFERROR(__xludf.DUMMYFUNCTION("""COMPUTED_VALUE"""),271.6)</f>
        <v>271.6</v>
      </c>
      <c r="T1456" s="4">
        <f>IFERROR(__xludf.DUMMYFUNCTION("""COMPUTED_VALUE"""),0.22)</f>
        <v>0.22</v>
      </c>
      <c r="U1456" s="4">
        <f>IFERROR(__xludf.DUMMYFUNCTION("""COMPUTED_VALUE"""),8.5)</f>
        <v>8.5</v>
      </c>
      <c r="V1456" s="4">
        <f>IFERROR(__xludf.DUMMYFUNCTION("""COMPUTED_VALUE"""),156.7)</f>
        <v>156.7</v>
      </c>
    </row>
    <row r="1457">
      <c r="A1457" s="4">
        <f>IFERROR(__xludf.DUMMYFUNCTION("""COMPUTED_VALUE"""),2.0)</f>
        <v>2</v>
      </c>
      <c r="B1457" s="4">
        <f>IFERROR(__xludf.DUMMYFUNCTION("""COMPUTED_VALUE"""),2.0)</f>
        <v>2</v>
      </c>
      <c r="C1457" s="4" t="str">
        <f>IFERROR(__xludf.DUMMYFUNCTION("""COMPUTED_VALUE"""),"DET")</f>
        <v>DET</v>
      </c>
      <c r="D1457" s="4" t="str">
        <f>IFERROR(__xludf.DUMMYFUNCTION("""COMPUTED_VALUE"""),"Darko Miličić")</f>
        <v>Darko Miličić</v>
      </c>
      <c r="E1457" s="4"/>
      <c r="F1457" s="4">
        <f>IFERROR(__xludf.DUMMYFUNCTION("""COMPUTED_VALUE"""),10.0)</f>
        <v>10</v>
      </c>
      <c r="G1457" s="4">
        <f>IFERROR(__xludf.DUMMYFUNCTION("""COMPUTED_VALUE"""),468.0)</f>
        <v>468</v>
      </c>
      <c r="H1457" s="4">
        <f>IFERROR(__xludf.DUMMYFUNCTION("""COMPUTED_VALUE"""),8638.0)</f>
        <v>8638</v>
      </c>
      <c r="I1457" s="4">
        <f>IFERROR(__xludf.DUMMYFUNCTION("""COMPUTED_VALUE"""),2813.0)</f>
        <v>2813</v>
      </c>
      <c r="J1457" s="4">
        <f>IFERROR(__xludf.DUMMYFUNCTION("""COMPUTED_VALUE"""),1971.0)</f>
        <v>1971</v>
      </c>
      <c r="K1457" s="4">
        <f>IFERROR(__xludf.DUMMYFUNCTION("""COMPUTED_VALUE"""),405.0)</f>
        <v>405</v>
      </c>
      <c r="L1457" s="4">
        <f>IFERROR(__xludf.DUMMYFUNCTION("""COMPUTED_VALUE"""),0.46)</f>
        <v>0.46</v>
      </c>
      <c r="M1457" s="4">
        <f>IFERROR(__xludf.DUMMYFUNCTION("""COMPUTED_VALUE"""),0.0)</f>
        <v>0</v>
      </c>
      <c r="N1457" s="4">
        <f>IFERROR(__xludf.DUMMYFUNCTION("""COMPUTED_VALUE"""),0.574)</f>
        <v>0.574</v>
      </c>
      <c r="O1457" s="4">
        <f>IFERROR(__xludf.DUMMYFUNCTION("""COMPUTED_VALUE"""),18.5)</f>
        <v>18.5</v>
      </c>
      <c r="P1457" s="4">
        <f>IFERROR(__xludf.DUMMYFUNCTION("""COMPUTED_VALUE"""),6.0)</f>
        <v>6</v>
      </c>
      <c r="Q1457" s="4">
        <f>IFERROR(__xludf.DUMMYFUNCTION("""COMPUTED_VALUE"""),4.2)</f>
        <v>4.2</v>
      </c>
      <c r="R1457" s="4">
        <f>IFERROR(__xludf.DUMMYFUNCTION("""COMPUTED_VALUE"""),0.9)</f>
        <v>0.9</v>
      </c>
      <c r="S1457" s="4">
        <f>IFERROR(__xludf.DUMMYFUNCTION("""COMPUTED_VALUE"""),7.1)</f>
        <v>7.1</v>
      </c>
      <c r="T1457" s="4">
        <f>IFERROR(__xludf.DUMMYFUNCTION("""COMPUTED_VALUE"""),0.04)</f>
        <v>0.04</v>
      </c>
      <c r="U1457" s="4">
        <f>IFERROR(__xludf.DUMMYFUNCTION("""COMPUTED_VALUE"""),-2.4)</f>
        <v>-2.4</v>
      </c>
      <c r="V1457" s="4">
        <f>IFERROR(__xludf.DUMMYFUNCTION("""COMPUTED_VALUE"""),-0.9)</f>
        <v>-0.9</v>
      </c>
    </row>
    <row r="1458">
      <c r="A1458" s="4">
        <f>IFERROR(__xludf.DUMMYFUNCTION("""COMPUTED_VALUE"""),3.0)</f>
        <v>3</v>
      </c>
      <c r="B1458" s="4">
        <f>IFERROR(__xludf.DUMMYFUNCTION("""COMPUTED_VALUE"""),3.0)</f>
        <v>3</v>
      </c>
      <c r="C1458" s="4" t="str">
        <f>IFERROR(__xludf.DUMMYFUNCTION("""COMPUTED_VALUE"""),"DEN")</f>
        <v>DEN</v>
      </c>
      <c r="D1458" s="4" t="str">
        <f>IFERROR(__xludf.DUMMYFUNCTION("""COMPUTED_VALUE"""),"Carmelo Anthony")</f>
        <v>Carmelo Anthony</v>
      </c>
      <c r="E1458" s="4" t="str">
        <f>IFERROR(__xludf.DUMMYFUNCTION("""COMPUTED_VALUE"""),"Syracuse")</f>
        <v>Syracuse</v>
      </c>
      <c r="F1458" s="4">
        <f>IFERROR(__xludf.DUMMYFUNCTION("""COMPUTED_VALUE"""),19.0)</f>
        <v>19</v>
      </c>
      <c r="G1458" s="4">
        <f>IFERROR(__xludf.DUMMYFUNCTION("""COMPUTED_VALUE"""),1260.0)</f>
        <v>1260</v>
      </c>
      <c r="H1458" s="4">
        <f>IFERROR(__xludf.DUMMYFUNCTION("""COMPUTED_VALUE"""),43514.0)</f>
        <v>43514</v>
      </c>
      <c r="I1458" s="4">
        <f>IFERROR(__xludf.DUMMYFUNCTION("""COMPUTED_VALUE"""),28289.0)</f>
        <v>28289</v>
      </c>
      <c r="J1458" s="4">
        <f>IFERROR(__xludf.DUMMYFUNCTION("""COMPUTED_VALUE"""),7808.0)</f>
        <v>7808</v>
      </c>
      <c r="K1458" s="4">
        <f>IFERROR(__xludf.DUMMYFUNCTION("""COMPUTED_VALUE"""),3422.0)</f>
        <v>3422</v>
      </c>
      <c r="L1458" s="4">
        <f>IFERROR(__xludf.DUMMYFUNCTION("""COMPUTED_VALUE"""),0.447)</f>
        <v>0.447</v>
      </c>
      <c r="M1458" s="4">
        <f>IFERROR(__xludf.DUMMYFUNCTION("""COMPUTED_VALUE"""),0.355)</f>
        <v>0.355</v>
      </c>
      <c r="N1458" s="4">
        <f>IFERROR(__xludf.DUMMYFUNCTION("""COMPUTED_VALUE"""),0.814)</f>
        <v>0.814</v>
      </c>
      <c r="O1458" s="4">
        <f>IFERROR(__xludf.DUMMYFUNCTION("""COMPUTED_VALUE"""),34.5)</f>
        <v>34.5</v>
      </c>
      <c r="P1458" s="4">
        <f>IFERROR(__xludf.DUMMYFUNCTION("""COMPUTED_VALUE"""),22.5)</f>
        <v>22.5</v>
      </c>
      <c r="Q1458" s="4">
        <f>IFERROR(__xludf.DUMMYFUNCTION("""COMPUTED_VALUE"""),6.2)</f>
        <v>6.2</v>
      </c>
      <c r="R1458" s="4">
        <f>IFERROR(__xludf.DUMMYFUNCTION("""COMPUTED_VALUE"""),2.7)</f>
        <v>2.7</v>
      </c>
      <c r="S1458" s="4">
        <f>IFERROR(__xludf.DUMMYFUNCTION("""COMPUTED_VALUE"""),108.5)</f>
        <v>108.5</v>
      </c>
      <c r="T1458" s="4">
        <f>IFERROR(__xludf.DUMMYFUNCTION("""COMPUTED_VALUE"""),0.12)</f>
        <v>0.12</v>
      </c>
      <c r="U1458" s="4">
        <f>IFERROR(__xludf.DUMMYFUNCTION("""COMPUTED_VALUE"""),1.3)</f>
        <v>1.3</v>
      </c>
      <c r="V1458" s="4">
        <f>IFERROR(__xludf.DUMMYFUNCTION("""COMPUTED_VALUE"""),36.7)</f>
        <v>36.7</v>
      </c>
    </row>
    <row r="1459">
      <c r="A1459" s="4">
        <f>IFERROR(__xludf.DUMMYFUNCTION("""COMPUTED_VALUE"""),4.0)</f>
        <v>4</v>
      </c>
      <c r="B1459" s="4">
        <f>IFERROR(__xludf.DUMMYFUNCTION("""COMPUTED_VALUE"""),4.0)</f>
        <v>4</v>
      </c>
      <c r="C1459" s="4" t="str">
        <f>IFERROR(__xludf.DUMMYFUNCTION("""COMPUTED_VALUE"""),"TOR")</f>
        <v>TOR</v>
      </c>
      <c r="D1459" s="4" t="str">
        <f>IFERROR(__xludf.DUMMYFUNCTION("""COMPUTED_VALUE"""),"Chris Bosh")</f>
        <v>Chris Bosh</v>
      </c>
      <c r="E1459" s="4" t="str">
        <f>IFERROR(__xludf.DUMMYFUNCTION("""COMPUTED_VALUE"""),"Georgia Tech")</f>
        <v>Georgia Tech</v>
      </c>
      <c r="F1459" s="4">
        <f>IFERROR(__xludf.DUMMYFUNCTION("""COMPUTED_VALUE"""),13.0)</f>
        <v>13</v>
      </c>
      <c r="G1459" s="4">
        <f>IFERROR(__xludf.DUMMYFUNCTION("""COMPUTED_VALUE"""),893.0)</f>
        <v>893</v>
      </c>
      <c r="H1459" s="4">
        <f>IFERROR(__xludf.DUMMYFUNCTION("""COMPUTED_VALUE"""),31936.0)</f>
        <v>31936</v>
      </c>
      <c r="I1459" s="4">
        <f>IFERROR(__xludf.DUMMYFUNCTION("""COMPUTED_VALUE"""),17189.0)</f>
        <v>17189</v>
      </c>
      <c r="J1459" s="4">
        <f>IFERROR(__xludf.DUMMYFUNCTION("""COMPUTED_VALUE"""),7592.0)</f>
        <v>7592</v>
      </c>
      <c r="K1459" s="4">
        <f>IFERROR(__xludf.DUMMYFUNCTION("""COMPUTED_VALUE"""),1795.0)</f>
        <v>1795</v>
      </c>
      <c r="L1459" s="4">
        <f>IFERROR(__xludf.DUMMYFUNCTION("""COMPUTED_VALUE"""),0.494)</f>
        <v>0.494</v>
      </c>
      <c r="M1459" s="4">
        <f>IFERROR(__xludf.DUMMYFUNCTION("""COMPUTED_VALUE"""),0.335)</f>
        <v>0.335</v>
      </c>
      <c r="N1459" s="4">
        <f>IFERROR(__xludf.DUMMYFUNCTION("""COMPUTED_VALUE"""),0.799)</f>
        <v>0.799</v>
      </c>
      <c r="O1459" s="4">
        <f>IFERROR(__xludf.DUMMYFUNCTION("""COMPUTED_VALUE"""),35.8)</f>
        <v>35.8</v>
      </c>
      <c r="P1459" s="4">
        <f>IFERROR(__xludf.DUMMYFUNCTION("""COMPUTED_VALUE"""),19.2)</f>
        <v>19.2</v>
      </c>
      <c r="Q1459" s="4">
        <f>IFERROR(__xludf.DUMMYFUNCTION("""COMPUTED_VALUE"""),8.5)</f>
        <v>8.5</v>
      </c>
      <c r="R1459" s="4">
        <f>IFERROR(__xludf.DUMMYFUNCTION("""COMPUTED_VALUE"""),2.0)</f>
        <v>2</v>
      </c>
      <c r="S1459" s="4">
        <f>IFERROR(__xludf.DUMMYFUNCTION("""COMPUTED_VALUE"""),106.0)</f>
        <v>106</v>
      </c>
      <c r="T1459" s="4">
        <f>IFERROR(__xludf.DUMMYFUNCTION("""COMPUTED_VALUE"""),0.159)</f>
        <v>0.159</v>
      </c>
      <c r="U1459" s="4">
        <f>IFERROR(__xludf.DUMMYFUNCTION("""COMPUTED_VALUE"""),1.9)</f>
        <v>1.9</v>
      </c>
      <c r="V1459" s="4">
        <f>IFERROR(__xludf.DUMMYFUNCTION("""COMPUTED_VALUE"""),31.1)</f>
        <v>31.1</v>
      </c>
    </row>
    <row r="1460">
      <c r="A1460" s="4">
        <f>IFERROR(__xludf.DUMMYFUNCTION("""COMPUTED_VALUE"""),5.0)</f>
        <v>5</v>
      </c>
      <c r="B1460" s="4">
        <f>IFERROR(__xludf.DUMMYFUNCTION("""COMPUTED_VALUE"""),5.0)</f>
        <v>5</v>
      </c>
      <c r="C1460" s="4" t="str">
        <f>IFERROR(__xludf.DUMMYFUNCTION("""COMPUTED_VALUE"""),"MIA")</f>
        <v>MIA</v>
      </c>
      <c r="D1460" s="4" t="str">
        <f>IFERROR(__xludf.DUMMYFUNCTION("""COMPUTED_VALUE"""),"Dwyane Wade")</f>
        <v>Dwyane Wade</v>
      </c>
      <c r="E1460" s="4" t="str">
        <f>IFERROR(__xludf.DUMMYFUNCTION("""COMPUTED_VALUE"""),"Marquette")</f>
        <v>Marquette</v>
      </c>
      <c r="F1460" s="4">
        <f>IFERROR(__xludf.DUMMYFUNCTION("""COMPUTED_VALUE"""),16.0)</f>
        <v>16</v>
      </c>
      <c r="G1460" s="4">
        <f>IFERROR(__xludf.DUMMYFUNCTION("""COMPUTED_VALUE"""),1054.0)</f>
        <v>1054</v>
      </c>
      <c r="H1460" s="4">
        <f>IFERROR(__xludf.DUMMYFUNCTION("""COMPUTED_VALUE"""),35773.0)</f>
        <v>35773</v>
      </c>
      <c r="I1460" s="4">
        <f>IFERROR(__xludf.DUMMYFUNCTION("""COMPUTED_VALUE"""),23165.0)</f>
        <v>23165</v>
      </c>
      <c r="J1460" s="4">
        <f>IFERROR(__xludf.DUMMYFUNCTION("""COMPUTED_VALUE"""),4933.0)</f>
        <v>4933</v>
      </c>
      <c r="K1460" s="4">
        <f>IFERROR(__xludf.DUMMYFUNCTION("""COMPUTED_VALUE"""),5701.0)</f>
        <v>5701</v>
      </c>
      <c r="L1460" s="4">
        <f>IFERROR(__xludf.DUMMYFUNCTION("""COMPUTED_VALUE"""),0.48)</f>
        <v>0.48</v>
      </c>
      <c r="M1460" s="4">
        <f>IFERROR(__xludf.DUMMYFUNCTION("""COMPUTED_VALUE"""),0.293)</f>
        <v>0.293</v>
      </c>
      <c r="N1460" s="4">
        <f>IFERROR(__xludf.DUMMYFUNCTION("""COMPUTED_VALUE"""),0.765)</f>
        <v>0.765</v>
      </c>
      <c r="O1460" s="4">
        <f>IFERROR(__xludf.DUMMYFUNCTION("""COMPUTED_VALUE"""),33.9)</f>
        <v>33.9</v>
      </c>
      <c r="P1460" s="4">
        <f>IFERROR(__xludf.DUMMYFUNCTION("""COMPUTED_VALUE"""),22.0)</f>
        <v>22</v>
      </c>
      <c r="Q1460" s="4">
        <f>IFERROR(__xludf.DUMMYFUNCTION("""COMPUTED_VALUE"""),4.7)</f>
        <v>4.7</v>
      </c>
      <c r="R1460" s="4">
        <f>IFERROR(__xludf.DUMMYFUNCTION("""COMPUTED_VALUE"""),5.4)</f>
        <v>5.4</v>
      </c>
      <c r="S1460" s="4">
        <f>IFERROR(__xludf.DUMMYFUNCTION("""COMPUTED_VALUE"""),120.7)</f>
        <v>120.7</v>
      </c>
      <c r="T1460" s="4">
        <f>IFERROR(__xludf.DUMMYFUNCTION("""COMPUTED_VALUE"""),0.162)</f>
        <v>0.162</v>
      </c>
      <c r="U1460" s="4">
        <f>IFERROR(__xludf.DUMMYFUNCTION("""COMPUTED_VALUE"""),5.0)</f>
        <v>5</v>
      </c>
      <c r="V1460" s="4">
        <f>IFERROR(__xludf.DUMMYFUNCTION("""COMPUTED_VALUE"""),62.8)</f>
        <v>62.8</v>
      </c>
    </row>
    <row r="1461">
      <c r="A1461" s="4">
        <f>IFERROR(__xludf.DUMMYFUNCTION("""COMPUTED_VALUE"""),6.0)</f>
        <v>6</v>
      </c>
      <c r="B1461" s="4">
        <f>IFERROR(__xludf.DUMMYFUNCTION("""COMPUTED_VALUE"""),6.0)</f>
        <v>6</v>
      </c>
      <c r="C1461" s="4" t="str">
        <f>IFERROR(__xludf.DUMMYFUNCTION("""COMPUTED_VALUE"""),"LAC")</f>
        <v>LAC</v>
      </c>
      <c r="D1461" s="4" t="str">
        <f>IFERROR(__xludf.DUMMYFUNCTION("""COMPUTED_VALUE"""),"Chris Kaman")</f>
        <v>Chris Kaman</v>
      </c>
      <c r="E1461" s="4" t="str">
        <f>IFERROR(__xludf.DUMMYFUNCTION("""COMPUTED_VALUE"""),"Central Michigan University")</f>
        <v>Central Michigan University</v>
      </c>
      <c r="F1461" s="4">
        <f>IFERROR(__xludf.DUMMYFUNCTION("""COMPUTED_VALUE"""),13.0)</f>
        <v>13</v>
      </c>
      <c r="G1461" s="4">
        <f>IFERROR(__xludf.DUMMYFUNCTION("""COMPUTED_VALUE"""),735.0)</f>
        <v>735</v>
      </c>
      <c r="H1461" s="4">
        <f>IFERROR(__xludf.DUMMYFUNCTION("""COMPUTED_VALUE"""),19642.0)</f>
        <v>19642</v>
      </c>
      <c r="I1461" s="4">
        <f>IFERROR(__xludf.DUMMYFUNCTION("""COMPUTED_VALUE"""),8208.0)</f>
        <v>8208</v>
      </c>
      <c r="J1461" s="4">
        <f>IFERROR(__xludf.DUMMYFUNCTION("""COMPUTED_VALUE"""),5582.0)</f>
        <v>5582</v>
      </c>
      <c r="K1461" s="4">
        <f>IFERROR(__xludf.DUMMYFUNCTION("""COMPUTED_VALUE"""),921.0)</f>
        <v>921</v>
      </c>
      <c r="L1461" s="4">
        <f>IFERROR(__xludf.DUMMYFUNCTION("""COMPUTED_VALUE"""),0.489)</f>
        <v>0.489</v>
      </c>
      <c r="M1461" s="4">
        <f>IFERROR(__xludf.DUMMYFUNCTION("""COMPUTED_VALUE"""),0.042)</f>
        <v>0.042</v>
      </c>
      <c r="N1461" s="4">
        <f>IFERROR(__xludf.DUMMYFUNCTION("""COMPUTED_VALUE"""),0.743)</f>
        <v>0.743</v>
      </c>
      <c r="O1461" s="4">
        <f>IFERROR(__xludf.DUMMYFUNCTION("""COMPUTED_VALUE"""),26.7)</f>
        <v>26.7</v>
      </c>
      <c r="P1461" s="4">
        <f>IFERROR(__xludf.DUMMYFUNCTION("""COMPUTED_VALUE"""),11.2)</f>
        <v>11.2</v>
      </c>
      <c r="Q1461" s="4">
        <f>IFERROR(__xludf.DUMMYFUNCTION("""COMPUTED_VALUE"""),7.6)</f>
        <v>7.6</v>
      </c>
      <c r="R1461" s="4">
        <f>IFERROR(__xludf.DUMMYFUNCTION("""COMPUTED_VALUE"""),1.3)</f>
        <v>1.3</v>
      </c>
      <c r="S1461" s="4">
        <f>IFERROR(__xludf.DUMMYFUNCTION("""COMPUTED_VALUE"""),24.6)</f>
        <v>24.6</v>
      </c>
      <c r="T1461" s="4">
        <f>IFERROR(__xludf.DUMMYFUNCTION("""COMPUTED_VALUE"""),0.06)</f>
        <v>0.06</v>
      </c>
      <c r="U1461" s="4">
        <f>IFERROR(__xludf.DUMMYFUNCTION("""COMPUTED_VALUE"""),-1.9)</f>
        <v>-1.9</v>
      </c>
      <c r="V1461" s="4">
        <f>IFERROR(__xludf.DUMMYFUNCTION("""COMPUTED_VALUE"""),0.4)</f>
        <v>0.4</v>
      </c>
    </row>
    <row r="1462">
      <c r="A1462" s="4">
        <f>IFERROR(__xludf.DUMMYFUNCTION("""COMPUTED_VALUE"""),7.0)</f>
        <v>7</v>
      </c>
      <c r="B1462" s="4">
        <f>IFERROR(__xludf.DUMMYFUNCTION("""COMPUTED_VALUE"""),7.0)</f>
        <v>7</v>
      </c>
      <c r="C1462" s="4" t="str">
        <f>IFERROR(__xludf.DUMMYFUNCTION("""COMPUTED_VALUE"""),"CHI")</f>
        <v>CHI</v>
      </c>
      <c r="D1462" s="4" t="str">
        <f>IFERROR(__xludf.DUMMYFUNCTION("""COMPUTED_VALUE"""),"Kirk Hinrich")</f>
        <v>Kirk Hinrich</v>
      </c>
      <c r="E1462" s="4" t="str">
        <f>IFERROR(__xludf.DUMMYFUNCTION("""COMPUTED_VALUE"""),"Kansas")</f>
        <v>Kansas</v>
      </c>
      <c r="F1462" s="4">
        <f>IFERROR(__xludf.DUMMYFUNCTION("""COMPUTED_VALUE"""),13.0)</f>
        <v>13</v>
      </c>
      <c r="G1462" s="4">
        <f>IFERROR(__xludf.DUMMYFUNCTION("""COMPUTED_VALUE"""),879.0)</f>
        <v>879</v>
      </c>
      <c r="H1462" s="4">
        <f>IFERROR(__xludf.DUMMYFUNCTION("""COMPUTED_VALUE"""),27015.0)</f>
        <v>27015</v>
      </c>
      <c r="I1462" s="4">
        <f>IFERROR(__xludf.DUMMYFUNCTION("""COMPUTED_VALUE"""),9594.0)</f>
        <v>9594</v>
      </c>
      <c r="J1462" s="4">
        <f>IFERROR(__xludf.DUMMYFUNCTION("""COMPUTED_VALUE"""),2576.0)</f>
        <v>2576</v>
      </c>
      <c r="K1462" s="4">
        <f>IFERROR(__xludf.DUMMYFUNCTION("""COMPUTED_VALUE"""),4245.0)</f>
        <v>4245</v>
      </c>
      <c r="L1462" s="4">
        <f>IFERROR(__xludf.DUMMYFUNCTION("""COMPUTED_VALUE"""),0.411)</f>
        <v>0.411</v>
      </c>
      <c r="M1462" s="4">
        <f>IFERROR(__xludf.DUMMYFUNCTION("""COMPUTED_VALUE"""),0.375)</f>
        <v>0.375</v>
      </c>
      <c r="N1462" s="4">
        <f>IFERROR(__xludf.DUMMYFUNCTION("""COMPUTED_VALUE"""),0.8)</f>
        <v>0.8</v>
      </c>
      <c r="O1462" s="4">
        <f>IFERROR(__xludf.DUMMYFUNCTION("""COMPUTED_VALUE"""),30.7)</f>
        <v>30.7</v>
      </c>
      <c r="P1462" s="4">
        <f>IFERROR(__xludf.DUMMYFUNCTION("""COMPUTED_VALUE"""),10.9)</f>
        <v>10.9</v>
      </c>
      <c r="Q1462" s="4">
        <f>IFERROR(__xludf.DUMMYFUNCTION("""COMPUTED_VALUE"""),2.9)</f>
        <v>2.9</v>
      </c>
      <c r="R1462" s="4">
        <f>IFERROR(__xludf.DUMMYFUNCTION("""COMPUTED_VALUE"""),4.8)</f>
        <v>4.8</v>
      </c>
      <c r="S1462" s="4">
        <f>IFERROR(__xludf.DUMMYFUNCTION("""COMPUTED_VALUE"""),52.5)</f>
        <v>52.5</v>
      </c>
      <c r="T1462" s="4">
        <f>IFERROR(__xludf.DUMMYFUNCTION("""COMPUTED_VALUE"""),0.093)</f>
        <v>0.093</v>
      </c>
      <c r="U1462" s="4">
        <f>IFERROR(__xludf.DUMMYFUNCTION("""COMPUTED_VALUE"""),0.0)</f>
        <v>0</v>
      </c>
      <c r="V1462" s="4">
        <f>IFERROR(__xludf.DUMMYFUNCTION("""COMPUTED_VALUE"""),13.3)</f>
        <v>13.3</v>
      </c>
    </row>
    <row r="1463">
      <c r="A1463" s="4">
        <f>IFERROR(__xludf.DUMMYFUNCTION("""COMPUTED_VALUE"""),8.0)</f>
        <v>8</v>
      </c>
      <c r="B1463" s="4">
        <f>IFERROR(__xludf.DUMMYFUNCTION("""COMPUTED_VALUE"""),8.0)</f>
        <v>8</v>
      </c>
      <c r="C1463" s="4" t="str">
        <f>IFERROR(__xludf.DUMMYFUNCTION("""COMPUTED_VALUE"""),"MIL")</f>
        <v>MIL</v>
      </c>
      <c r="D1463" s="4" t="str">
        <f>IFERROR(__xludf.DUMMYFUNCTION("""COMPUTED_VALUE"""),"T.J. Ford")</f>
        <v>T.J. Ford</v>
      </c>
      <c r="E1463" s="4" t="str">
        <f>IFERROR(__xludf.DUMMYFUNCTION("""COMPUTED_VALUE"""),"Texas")</f>
        <v>Texas</v>
      </c>
      <c r="F1463" s="4">
        <f>IFERROR(__xludf.DUMMYFUNCTION("""COMPUTED_VALUE"""),8.0)</f>
        <v>8</v>
      </c>
      <c r="G1463" s="4">
        <f>IFERROR(__xludf.DUMMYFUNCTION("""COMPUTED_VALUE"""),429.0)</f>
        <v>429</v>
      </c>
      <c r="H1463" s="4">
        <f>IFERROR(__xludf.DUMMYFUNCTION("""COMPUTED_VALUE"""),11882.0)</f>
        <v>11882</v>
      </c>
      <c r="I1463" s="4">
        <f>IFERROR(__xludf.DUMMYFUNCTION("""COMPUTED_VALUE"""),4797.0)</f>
        <v>4797</v>
      </c>
      <c r="J1463" s="4">
        <f>IFERROR(__xludf.DUMMYFUNCTION("""COMPUTED_VALUE"""),1331.0)</f>
        <v>1331</v>
      </c>
      <c r="K1463" s="4">
        <f>IFERROR(__xludf.DUMMYFUNCTION("""COMPUTED_VALUE"""),2495.0)</f>
        <v>2495</v>
      </c>
      <c r="L1463" s="4">
        <f>IFERROR(__xludf.DUMMYFUNCTION("""COMPUTED_VALUE"""),0.433)</f>
        <v>0.433</v>
      </c>
      <c r="M1463" s="4">
        <f>IFERROR(__xludf.DUMMYFUNCTION("""COMPUTED_VALUE"""),0.289)</f>
        <v>0.289</v>
      </c>
      <c r="N1463" s="4">
        <f>IFERROR(__xludf.DUMMYFUNCTION("""COMPUTED_VALUE"""),0.815)</f>
        <v>0.815</v>
      </c>
      <c r="O1463" s="4">
        <f>IFERROR(__xludf.DUMMYFUNCTION("""COMPUTED_VALUE"""),27.7)</f>
        <v>27.7</v>
      </c>
      <c r="P1463" s="4">
        <f>IFERROR(__xludf.DUMMYFUNCTION("""COMPUTED_VALUE"""),11.2)</f>
        <v>11.2</v>
      </c>
      <c r="Q1463" s="4">
        <f>IFERROR(__xludf.DUMMYFUNCTION("""COMPUTED_VALUE"""),3.1)</f>
        <v>3.1</v>
      </c>
      <c r="R1463" s="4">
        <f>IFERROR(__xludf.DUMMYFUNCTION("""COMPUTED_VALUE"""),5.8)</f>
        <v>5.8</v>
      </c>
      <c r="S1463" s="4">
        <f>IFERROR(__xludf.DUMMYFUNCTION("""COMPUTED_VALUE"""),16.9)</f>
        <v>16.9</v>
      </c>
      <c r="T1463" s="4">
        <f>IFERROR(__xludf.DUMMYFUNCTION("""COMPUTED_VALUE"""),0.068)</f>
        <v>0.068</v>
      </c>
      <c r="U1463" s="4">
        <f>IFERROR(__xludf.DUMMYFUNCTION("""COMPUTED_VALUE"""),-0.4)</f>
        <v>-0.4</v>
      </c>
      <c r="V1463" s="4">
        <f>IFERROR(__xludf.DUMMYFUNCTION("""COMPUTED_VALUE"""),4.6)</f>
        <v>4.6</v>
      </c>
    </row>
    <row r="1464">
      <c r="A1464" s="4">
        <f>IFERROR(__xludf.DUMMYFUNCTION("""COMPUTED_VALUE"""),9.0)</f>
        <v>9</v>
      </c>
      <c r="B1464" s="4">
        <f>IFERROR(__xludf.DUMMYFUNCTION("""COMPUTED_VALUE"""),9.0)</f>
        <v>9</v>
      </c>
      <c r="C1464" s="4" t="str">
        <f>IFERROR(__xludf.DUMMYFUNCTION("""COMPUTED_VALUE"""),"NYK")</f>
        <v>NYK</v>
      </c>
      <c r="D1464" s="4" t="str">
        <f>IFERROR(__xludf.DUMMYFUNCTION("""COMPUTED_VALUE"""),"Mike Sweetney")</f>
        <v>Mike Sweetney</v>
      </c>
      <c r="E1464" s="4" t="str">
        <f>IFERROR(__xludf.DUMMYFUNCTION("""COMPUTED_VALUE"""),"Georgetown")</f>
        <v>Georgetown</v>
      </c>
      <c r="F1464" s="4">
        <f>IFERROR(__xludf.DUMMYFUNCTION("""COMPUTED_VALUE"""),4.0)</f>
        <v>4</v>
      </c>
      <c r="G1464" s="4">
        <f>IFERROR(__xludf.DUMMYFUNCTION("""COMPUTED_VALUE"""),233.0)</f>
        <v>233</v>
      </c>
      <c r="H1464" s="4">
        <f>IFERROR(__xludf.DUMMYFUNCTION("""COMPUTED_VALUE"""),3610.0)</f>
        <v>3610</v>
      </c>
      <c r="I1464" s="4">
        <f>IFERROR(__xludf.DUMMYFUNCTION("""COMPUTED_VALUE"""),1516.0)</f>
        <v>1516</v>
      </c>
      <c r="J1464" s="4">
        <f>IFERROR(__xludf.DUMMYFUNCTION("""COMPUTED_VALUE"""),1045.0)</f>
        <v>1045</v>
      </c>
      <c r="K1464" s="4">
        <f>IFERROR(__xludf.DUMMYFUNCTION("""COMPUTED_VALUE"""),145.0)</f>
        <v>145</v>
      </c>
      <c r="L1464" s="4">
        <f>IFERROR(__xludf.DUMMYFUNCTION("""COMPUTED_VALUE"""),0.485)</f>
        <v>0.485</v>
      </c>
      <c r="M1464" s="4">
        <f>IFERROR(__xludf.DUMMYFUNCTION("""COMPUTED_VALUE"""),0.0)</f>
        <v>0</v>
      </c>
      <c r="N1464" s="4">
        <f>IFERROR(__xludf.DUMMYFUNCTION("""COMPUTED_VALUE"""),0.689)</f>
        <v>0.689</v>
      </c>
      <c r="O1464" s="4">
        <f>IFERROR(__xludf.DUMMYFUNCTION("""COMPUTED_VALUE"""),15.5)</f>
        <v>15.5</v>
      </c>
      <c r="P1464" s="4">
        <f>IFERROR(__xludf.DUMMYFUNCTION("""COMPUTED_VALUE"""),6.5)</f>
        <v>6.5</v>
      </c>
      <c r="Q1464" s="4">
        <f>IFERROR(__xludf.DUMMYFUNCTION("""COMPUTED_VALUE"""),4.5)</f>
        <v>4.5</v>
      </c>
      <c r="R1464" s="4">
        <f>IFERROR(__xludf.DUMMYFUNCTION("""COMPUTED_VALUE"""),0.6)</f>
        <v>0.6</v>
      </c>
      <c r="S1464" s="4">
        <f>IFERROR(__xludf.DUMMYFUNCTION("""COMPUTED_VALUE"""),7.8)</f>
        <v>7.8</v>
      </c>
      <c r="T1464" s="4">
        <f>IFERROR(__xludf.DUMMYFUNCTION("""COMPUTED_VALUE"""),0.103)</f>
        <v>0.103</v>
      </c>
      <c r="U1464" s="4">
        <f>IFERROR(__xludf.DUMMYFUNCTION("""COMPUTED_VALUE"""),-2.7)</f>
        <v>-2.7</v>
      </c>
      <c r="V1464" s="4">
        <f>IFERROR(__xludf.DUMMYFUNCTION("""COMPUTED_VALUE"""),-0.6)</f>
        <v>-0.6</v>
      </c>
    </row>
    <row r="1465">
      <c r="A1465" s="4">
        <f>IFERROR(__xludf.DUMMYFUNCTION("""COMPUTED_VALUE"""),10.0)</f>
        <v>10</v>
      </c>
      <c r="B1465" s="4">
        <f>IFERROR(__xludf.DUMMYFUNCTION("""COMPUTED_VALUE"""),10.0)</f>
        <v>10</v>
      </c>
      <c r="C1465" s="4" t="str">
        <f>IFERROR(__xludf.DUMMYFUNCTION("""COMPUTED_VALUE"""),"WAS")</f>
        <v>WAS</v>
      </c>
      <c r="D1465" s="4" t="str">
        <f>IFERROR(__xludf.DUMMYFUNCTION("""COMPUTED_VALUE"""),"Jarvis Hayes")</f>
        <v>Jarvis Hayes</v>
      </c>
      <c r="E1465" s="4" t="str">
        <f>IFERROR(__xludf.DUMMYFUNCTION("""COMPUTED_VALUE"""),"Georgia")</f>
        <v>Georgia</v>
      </c>
      <c r="F1465" s="4">
        <f>IFERROR(__xludf.DUMMYFUNCTION("""COMPUTED_VALUE"""),7.0)</f>
        <v>7</v>
      </c>
      <c r="G1465" s="4">
        <f>IFERROR(__xludf.DUMMYFUNCTION("""COMPUTED_VALUE"""),427.0)</f>
        <v>427</v>
      </c>
      <c r="H1465" s="4">
        <f>IFERROR(__xludf.DUMMYFUNCTION("""COMPUTED_VALUE"""),9898.0)</f>
        <v>9898</v>
      </c>
      <c r="I1465" s="4">
        <f>IFERROR(__xludf.DUMMYFUNCTION("""COMPUTED_VALUE"""),3553.0)</f>
        <v>3553</v>
      </c>
      <c r="J1465" s="4">
        <f>IFERROR(__xludf.DUMMYFUNCTION("""COMPUTED_VALUE"""),1330.0)</f>
        <v>1330</v>
      </c>
      <c r="K1465" s="4">
        <f>IFERROR(__xludf.DUMMYFUNCTION("""COMPUTED_VALUE"""),459.0)</f>
        <v>459</v>
      </c>
      <c r="L1465" s="4">
        <f>IFERROR(__xludf.DUMMYFUNCTION("""COMPUTED_VALUE"""),0.415)</f>
        <v>0.415</v>
      </c>
      <c r="M1465" s="4">
        <f>IFERROR(__xludf.DUMMYFUNCTION("""COMPUTED_VALUE"""),0.356)</f>
        <v>0.356</v>
      </c>
      <c r="N1465" s="4">
        <f>IFERROR(__xludf.DUMMYFUNCTION("""COMPUTED_VALUE"""),0.798)</f>
        <v>0.798</v>
      </c>
      <c r="O1465" s="4">
        <f>IFERROR(__xludf.DUMMYFUNCTION("""COMPUTED_VALUE"""),23.2)</f>
        <v>23.2</v>
      </c>
      <c r="P1465" s="4">
        <f>IFERROR(__xludf.DUMMYFUNCTION("""COMPUTED_VALUE"""),8.3)</f>
        <v>8.3</v>
      </c>
      <c r="Q1465" s="4">
        <f>IFERROR(__xludf.DUMMYFUNCTION("""COMPUTED_VALUE"""),3.1)</f>
        <v>3.1</v>
      </c>
      <c r="R1465" s="4">
        <f>IFERROR(__xludf.DUMMYFUNCTION("""COMPUTED_VALUE"""),1.1)</f>
        <v>1.1</v>
      </c>
      <c r="S1465" s="4">
        <f>IFERROR(__xludf.DUMMYFUNCTION("""COMPUTED_VALUE"""),10.2)</f>
        <v>10.2</v>
      </c>
      <c r="T1465" s="4">
        <f>IFERROR(__xludf.DUMMYFUNCTION("""COMPUTED_VALUE"""),0.049)</f>
        <v>0.049</v>
      </c>
      <c r="U1465" s="4">
        <f>IFERROR(__xludf.DUMMYFUNCTION("""COMPUTED_VALUE"""),-2.5)</f>
        <v>-2.5</v>
      </c>
      <c r="V1465" s="4">
        <f>IFERROR(__xludf.DUMMYFUNCTION("""COMPUTED_VALUE"""),-1.3)</f>
        <v>-1.3</v>
      </c>
    </row>
    <row r="1466">
      <c r="A1466" s="4">
        <f>IFERROR(__xludf.DUMMYFUNCTION("""COMPUTED_VALUE"""),11.0)</f>
        <v>11</v>
      </c>
      <c r="B1466" s="4">
        <f>IFERROR(__xludf.DUMMYFUNCTION("""COMPUTED_VALUE"""),11.0)</f>
        <v>11</v>
      </c>
      <c r="C1466" s="4" t="str">
        <f>IFERROR(__xludf.DUMMYFUNCTION("""COMPUTED_VALUE"""),"GSW")</f>
        <v>GSW</v>
      </c>
      <c r="D1466" s="4" t="str">
        <f>IFERROR(__xludf.DUMMYFUNCTION("""COMPUTED_VALUE"""),"Mickaël Piétrus")</f>
        <v>Mickaël Piétrus</v>
      </c>
      <c r="E1466" s="4"/>
      <c r="F1466" s="4">
        <f>IFERROR(__xludf.DUMMYFUNCTION("""COMPUTED_VALUE"""),10.0)</f>
        <v>10</v>
      </c>
      <c r="G1466" s="4">
        <f>IFERROR(__xludf.DUMMYFUNCTION("""COMPUTED_VALUE"""),557.0)</f>
        <v>557</v>
      </c>
      <c r="H1466" s="4">
        <f>IFERROR(__xludf.DUMMYFUNCTION("""COMPUTED_VALUE"""),11950.0)</f>
        <v>11950</v>
      </c>
      <c r="I1466" s="4">
        <f>IFERROR(__xludf.DUMMYFUNCTION("""COMPUTED_VALUE"""),4629.0)</f>
        <v>4629</v>
      </c>
      <c r="J1466" s="4">
        <f>IFERROR(__xludf.DUMMYFUNCTION("""COMPUTED_VALUE"""),1723.0)</f>
        <v>1723</v>
      </c>
      <c r="K1466" s="4">
        <f>IFERROR(__xludf.DUMMYFUNCTION("""COMPUTED_VALUE"""),445.0)</f>
        <v>445</v>
      </c>
      <c r="L1466" s="4">
        <f>IFERROR(__xludf.DUMMYFUNCTION("""COMPUTED_VALUE"""),0.425)</f>
        <v>0.425</v>
      </c>
      <c r="M1466" s="4">
        <f>IFERROR(__xludf.DUMMYFUNCTION("""COMPUTED_VALUE"""),0.355)</f>
        <v>0.355</v>
      </c>
      <c r="N1466" s="4">
        <f>IFERROR(__xludf.DUMMYFUNCTION("""COMPUTED_VALUE"""),0.665)</f>
        <v>0.665</v>
      </c>
      <c r="O1466" s="4">
        <f>IFERROR(__xludf.DUMMYFUNCTION("""COMPUTED_VALUE"""),21.5)</f>
        <v>21.5</v>
      </c>
      <c r="P1466" s="4">
        <f>IFERROR(__xludf.DUMMYFUNCTION("""COMPUTED_VALUE"""),8.3)</f>
        <v>8.3</v>
      </c>
      <c r="Q1466" s="4">
        <f>IFERROR(__xludf.DUMMYFUNCTION("""COMPUTED_VALUE"""),3.1)</f>
        <v>3.1</v>
      </c>
      <c r="R1466" s="4">
        <f>IFERROR(__xludf.DUMMYFUNCTION("""COMPUTED_VALUE"""),0.8)</f>
        <v>0.8</v>
      </c>
      <c r="S1466" s="4">
        <f>IFERROR(__xludf.DUMMYFUNCTION("""COMPUTED_VALUE"""),19.7)</f>
        <v>19.7</v>
      </c>
      <c r="T1466" s="4">
        <f>IFERROR(__xludf.DUMMYFUNCTION("""COMPUTED_VALUE"""),0.079)</f>
        <v>0.079</v>
      </c>
      <c r="U1466" s="4">
        <f>IFERROR(__xludf.DUMMYFUNCTION("""COMPUTED_VALUE"""),-0.9)</f>
        <v>-0.9</v>
      </c>
      <c r="V1466" s="4">
        <f>IFERROR(__xludf.DUMMYFUNCTION("""COMPUTED_VALUE"""),3.2)</f>
        <v>3.2</v>
      </c>
    </row>
    <row r="1467">
      <c r="A1467" s="4">
        <f>IFERROR(__xludf.DUMMYFUNCTION("""COMPUTED_VALUE"""),12.0)</f>
        <v>12</v>
      </c>
      <c r="B1467" s="4">
        <f>IFERROR(__xludf.DUMMYFUNCTION("""COMPUTED_VALUE"""),12.0)</f>
        <v>12</v>
      </c>
      <c r="C1467" s="4" t="str">
        <f>IFERROR(__xludf.DUMMYFUNCTION("""COMPUTED_VALUE"""),"SEA")</f>
        <v>SEA</v>
      </c>
      <c r="D1467" s="4" t="str">
        <f>IFERROR(__xludf.DUMMYFUNCTION("""COMPUTED_VALUE"""),"Nick Collison")</f>
        <v>Nick Collison</v>
      </c>
      <c r="E1467" s="4" t="str">
        <f>IFERROR(__xludf.DUMMYFUNCTION("""COMPUTED_VALUE"""),"Kansas")</f>
        <v>Kansas</v>
      </c>
      <c r="F1467" s="4">
        <f>IFERROR(__xludf.DUMMYFUNCTION("""COMPUTED_VALUE"""),14.0)</f>
        <v>14</v>
      </c>
      <c r="G1467" s="4">
        <f>IFERROR(__xludf.DUMMYFUNCTION("""COMPUTED_VALUE"""),910.0)</f>
        <v>910</v>
      </c>
      <c r="H1467" s="4">
        <f>IFERROR(__xludf.DUMMYFUNCTION("""COMPUTED_VALUE"""),18603.0)</f>
        <v>18603</v>
      </c>
      <c r="I1467" s="4">
        <f>IFERROR(__xludf.DUMMYFUNCTION("""COMPUTED_VALUE"""),5359.0)</f>
        <v>5359</v>
      </c>
      <c r="J1467" s="4">
        <f>IFERROR(__xludf.DUMMYFUNCTION("""COMPUTED_VALUE"""),4701.0)</f>
        <v>4701</v>
      </c>
      <c r="K1467" s="4">
        <f>IFERROR(__xludf.DUMMYFUNCTION("""COMPUTED_VALUE"""),939.0)</f>
        <v>939</v>
      </c>
      <c r="L1467" s="4">
        <f>IFERROR(__xludf.DUMMYFUNCTION("""COMPUTED_VALUE"""),0.534)</f>
        <v>0.534</v>
      </c>
      <c r="M1467" s="4">
        <f>IFERROR(__xludf.DUMMYFUNCTION("""COMPUTED_VALUE"""),0.208)</f>
        <v>0.208</v>
      </c>
      <c r="N1467" s="4">
        <f>IFERROR(__xludf.DUMMYFUNCTION("""COMPUTED_VALUE"""),0.723)</f>
        <v>0.723</v>
      </c>
      <c r="O1467" s="4">
        <f>IFERROR(__xludf.DUMMYFUNCTION("""COMPUTED_VALUE"""),20.4)</f>
        <v>20.4</v>
      </c>
      <c r="P1467" s="4">
        <f>IFERROR(__xludf.DUMMYFUNCTION("""COMPUTED_VALUE"""),5.9)</f>
        <v>5.9</v>
      </c>
      <c r="Q1467" s="4">
        <f>IFERROR(__xludf.DUMMYFUNCTION("""COMPUTED_VALUE"""),5.2)</f>
        <v>5.2</v>
      </c>
      <c r="R1467" s="4">
        <f>IFERROR(__xludf.DUMMYFUNCTION("""COMPUTED_VALUE"""),1.0)</f>
        <v>1</v>
      </c>
      <c r="S1467" s="4">
        <f>IFERROR(__xludf.DUMMYFUNCTION("""COMPUTED_VALUE"""),44.5)</f>
        <v>44.5</v>
      </c>
      <c r="T1467" s="4">
        <f>IFERROR(__xludf.DUMMYFUNCTION("""COMPUTED_VALUE"""),0.115)</f>
        <v>0.115</v>
      </c>
      <c r="U1467" s="4">
        <f>IFERROR(__xludf.DUMMYFUNCTION("""COMPUTED_VALUE"""),-1.3)</f>
        <v>-1.3</v>
      </c>
      <c r="V1467" s="4">
        <f>IFERROR(__xludf.DUMMYFUNCTION("""COMPUTED_VALUE"""),3.1)</f>
        <v>3.1</v>
      </c>
    </row>
    <row r="1468">
      <c r="A1468" s="4">
        <f>IFERROR(__xludf.DUMMYFUNCTION("""COMPUTED_VALUE"""),13.0)</f>
        <v>13</v>
      </c>
      <c r="B1468" s="4">
        <f>IFERROR(__xludf.DUMMYFUNCTION("""COMPUTED_VALUE"""),13.0)</f>
        <v>13</v>
      </c>
      <c r="C1468" s="4" t="str">
        <f>IFERROR(__xludf.DUMMYFUNCTION("""COMPUTED_VALUE"""),"MEM")</f>
        <v>MEM</v>
      </c>
      <c r="D1468" s="4" t="str">
        <f>IFERROR(__xludf.DUMMYFUNCTION("""COMPUTED_VALUE"""),"Marcus Banks")</f>
        <v>Marcus Banks</v>
      </c>
      <c r="E1468" s="4" t="str">
        <f>IFERROR(__xludf.DUMMYFUNCTION("""COMPUTED_VALUE"""),"UNLV")</f>
        <v>UNLV</v>
      </c>
      <c r="F1468" s="4">
        <f>IFERROR(__xludf.DUMMYFUNCTION("""COMPUTED_VALUE"""),8.0)</f>
        <v>8</v>
      </c>
      <c r="G1468" s="4">
        <f>IFERROR(__xludf.DUMMYFUNCTION("""COMPUTED_VALUE"""),348.0)</f>
        <v>348</v>
      </c>
      <c r="H1468" s="4">
        <f>IFERROR(__xludf.DUMMYFUNCTION("""COMPUTED_VALUE"""),5571.0)</f>
        <v>5571</v>
      </c>
      <c r="I1468" s="4">
        <f>IFERROR(__xludf.DUMMYFUNCTION("""COMPUTED_VALUE"""),2061.0)</f>
        <v>2061</v>
      </c>
      <c r="J1468" s="4">
        <f>IFERROR(__xludf.DUMMYFUNCTION("""COMPUTED_VALUE"""),519.0)</f>
        <v>519</v>
      </c>
      <c r="K1468" s="4">
        <f>IFERROR(__xludf.DUMMYFUNCTION("""COMPUTED_VALUE"""),728.0)</f>
        <v>728</v>
      </c>
      <c r="L1468" s="4">
        <f>IFERROR(__xludf.DUMMYFUNCTION("""COMPUTED_VALUE"""),0.432)</f>
        <v>0.432</v>
      </c>
      <c r="M1468" s="4">
        <f>IFERROR(__xludf.DUMMYFUNCTION("""COMPUTED_VALUE"""),0.327)</f>
        <v>0.327</v>
      </c>
      <c r="N1468" s="4">
        <f>IFERROR(__xludf.DUMMYFUNCTION("""COMPUTED_VALUE"""),0.768)</f>
        <v>0.768</v>
      </c>
      <c r="O1468" s="4">
        <f>IFERROR(__xludf.DUMMYFUNCTION("""COMPUTED_VALUE"""),16.0)</f>
        <v>16</v>
      </c>
      <c r="P1468" s="4">
        <f>IFERROR(__xludf.DUMMYFUNCTION("""COMPUTED_VALUE"""),5.9)</f>
        <v>5.9</v>
      </c>
      <c r="Q1468" s="4">
        <f>IFERROR(__xludf.DUMMYFUNCTION("""COMPUTED_VALUE"""),1.5)</f>
        <v>1.5</v>
      </c>
      <c r="R1468" s="4">
        <f>IFERROR(__xludf.DUMMYFUNCTION("""COMPUTED_VALUE"""),2.1)</f>
        <v>2.1</v>
      </c>
      <c r="S1468" s="4">
        <f>IFERROR(__xludf.DUMMYFUNCTION("""COMPUTED_VALUE"""),6.6)</f>
        <v>6.6</v>
      </c>
      <c r="T1468" s="4">
        <f>IFERROR(__xludf.DUMMYFUNCTION("""COMPUTED_VALUE"""),0.057)</f>
        <v>0.057</v>
      </c>
      <c r="U1468" s="4">
        <f>IFERROR(__xludf.DUMMYFUNCTION("""COMPUTED_VALUE"""),-2.0)</f>
        <v>-2</v>
      </c>
      <c r="V1468" s="4">
        <f>IFERROR(__xludf.DUMMYFUNCTION("""COMPUTED_VALUE"""),-0.1)</f>
        <v>-0.1</v>
      </c>
    </row>
    <row r="1469">
      <c r="A1469" s="4">
        <f>IFERROR(__xludf.DUMMYFUNCTION("""COMPUTED_VALUE"""),14.0)</f>
        <v>14</v>
      </c>
      <c r="B1469" s="4">
        <f>IFERROR(__xludf.DUMMYFUNCTION("""COMPUTED_VALUE"""),14.0)</f>
        <v>14</v>
      </c>
      <c r="C1469" s="4" t="str">
        <f>IFERROR(__xludf.DUMMYFUNCTION("""COMPUTED_VALUE"""),"SEA")</f>
        <v>SEA</v>
      </c>
      <c r="D1469" s="4" t="str">
        <f>IFERROR(__xludf.DUMMYFUNCTION("""COMPUTED_VALUE"""),"Luke Ridnour")</f>
        <v>Luke Ridnour</v>
      </c>
      <c r="E1469" s="4" t="str">
        <f>IFERROR(__xludf.DUMMYFUNCTION("""COMPUTED_VALUE"""),"Oregon")</f>
        <v>Oregon</v>
      </c>
      <c r="F1469" s="4">
        <f>IFERROR(__xludf.DUMMYFUNCTION("""COMPUTED_VALUE"""),12.0)</f>
        <v>12</v>
      </c>
      <c r="G1469" s="4">
        <f>IFERROR(__xludf.DUMMYFUNCTION("""COMPUTED_VALUE"""),830.0)</f>
        <v>830</v>
      </c>
      <c r="H1469" s="4">
        <f>IFERROR(__xludf.DUMMYFUNCTION("""COMPUTED_VALUE"""),21623.0)</f>
        <v>21623</v>
      </c>
      <c r="I1469" s="4">
        <f>IFERROR(__xludf.DUMMYFUNCTION("""COMPUTED_VALUE"""),7740.0)</f>
        <v>7740</v>
      </c>
      <c r="J1469" s="4">
        <f>IFERROR(__xludf.DUMMYFUNCTION("""COMPUTED_VALUE"""),1877.0)</f>
        <v>1877</v>
      </c>
      <c r="K1469" s="4">
        <f>IFERROR(__xludf.DUMMYFUNCTION("""COMPUTED_VALUE"""),3713.0)</f>
        <v>3713</v>
      </c>
      <c r="L1469" s="4">
        <f>IFERROR(__xludf.DUMMYFUNCTION("""COMPUTED_VALUE"""),0.431)</f>
        <v>0.431</v>
      </c>
      <c r="M1469" s="4">
        <f>IFERROR(__xludf.DUMMYFUNCTION("""COMPUTED_VALUE"""),0.349)</f>
        <v>0.349</v>
      </c>
      <c r="N1469" s="4">
        <f>IFERROR(__xludf.DUMMYFUNCTION("""COMPUTED_VALUE"""),0.862)</f>
        <v>0.862</v>
      </c>
      <c r="O1469" s="4">
        <f>IFERROR(__xludf.DUMMYFUNCTION("""COMPUTED_VALUE"""),26.1)</f>
        <v>26.1</v>
      </c>
      <c r="P1469" s="4">
        <f>IFERROR(__xludf.DUMMYFUNCTION("""COMPUTED_VALUE"""),9.3)</f>
        <v>9.3</v>
      </c>
      <c r="Q1469" s="4">
        <f>IFERROR(__xludf.DUMMYFUNCTION("""COMPUTED_VALUE"""),2.3)</f>
        <v>2.3</v>
      </c>
      <c r="R1469" s="4">
        <f>IFERROR(__xludf.DUMMYFUNCTION("""COMPUTED_VALUE"""),4.5)</f>
        <v>4.5</v>
      </c>
      <c r="S1469" s="4">
        <f>IFERROR(__xludf.DUMMYFUNCTION("""COMPUTED_VALUE"""),36.0)</f>
        <v>36</v>
      </c>
      <c r="T1469" s="4">
        <f>IFERROR(__xludf.DUMMYFUNCTION("""COMPUTED_VALUE"""),0.08)</f>
        <v>0.08</v>
      </c>
      <c r="U1469" s="4">
        <f>IFERROR(__xludf.DUMMYFUNCTION("""COMPUTED_VALUE"""),-0.6)</f>
        <v>-0.6</v>
      </c>
      <c r="V1469" s="4">
        <f>IFERROR(__xludf.DUMMYFUNCTION("""COMPUTED_VALUE"""),7.5)</f>
        <v>7.5</v>
      </c>
    </row>
    <row r="1470">
      <c r="A1470" s="4">
        <f>IFERROR(__xludf.DUMMYFUNCTION("""COMPUTED_VALUE"""),15.0)</f>
        <v>15</v>
      </c>
      <c r="B1470" s="4">
        <f>IFERROR(__xludf.DUMMYFUNCTION("""COMPUTED_VALUE"""),15.0)</f>
        <v>15</v>
      </c>
      <c r="C1470" s="4" t="str">
        <f>IFERROR(__xludf.DUMMYFUNCTION("""COMPUTED_VALUE"""),"ORL")</f>
        <v>ORL</v>
      </c>
      <c r="D1470" s="4" t="str">
        <f>IFERROR(__xludf.DUMMYFUNCTION("""COMPUTED_VALUE"""),"Reece Gaines")</f>
        <v>Reece Gaines</v>
      </c>
      <c r="E1470" s="4" t="str">
        <f>IFERROR(__xludf.DUMMYFUNCTION("""COMPUTED_VALUE"""),"Louisville")</f>
        <v>Louisville</v>
      </c>
      <c r="F1470" s="4">
        <f>IFERROR(__xludf.DUMMYFUNCTION("""COMPUTED_VALUE"""),3.0)</f>
        <v>3</v>
      </c>
      <c r="G1470" s="4">
        <f>IFERROR(__xludf.DUMMYFUNCTION("""COMPUTED_VALUE"""),71.0)</f>
        <v>71</v>
      </c>
      <c r="H1470" s="4">
        <f>IFERROR(__xludf.DUMMYFUNCTION("""COMPUTED_VALUE"""),605.0)</f>
        <v>605</v>
      </c>
      <c r="I1470" s="4">
        <f>IFERROR(__xludf.DUMMYFUNCTION("""COMPUTED_VALUE"""),123.0)</f>
        <v>123</v>
      </c>
      <c r="J1470" s="4">
        <f>IFERROR(__xludf.DUMMYFUNCTION("""COMPUTED_VALUE"""),53.0)</f>
        <v>53</v>
      </c>
      <c r="K1470" s="4">
        <f>IFERROR(__xludf.DUMMYFUNCTION("""COMPUTED_VALUE"""),50.0)</f>
        <v>50</v>
      </c>
      <c r="L1470" s="4">
        <f>IFERROR(__xludf.DUMMYFUNCTION("""COMPUTED_VALUE"""),0.324)</f>
        <v>0.324</v>
      </c>
      <c r="M1470" s="4">
        <f>IFERROR(__xludf.DUMMYFUNCTION("""COMPUTED_VALUE"""),0.269)</f>
        <v>0.269</v>
      </c>
      <c r="N1470" s="4">
        <f>IFERROR(__xludf.DUMMYFUNCTION("""COMPUTED_VALUE"""),0.606)</f>
        <v>0.606</v>
      </c>
      <c r="O1470" s="4">
        <f>IFERROR(__xludf.DUMMYFUNCTION("""COMPUTED_VALUE"""),8.5)</f>
        <v>8.5</v>
      </c>
      <c r="P1470" s="4">
        <f>IFERROR(__xludf.DUMMYFUNCTION("""COMPUTED_VALUE"""),1.7)</f>
        <v>1.7</v>
      </c>
      <c r="Q1470" s="4">
        <f>IFERROR(__xludf.DUMMYFUNCTION("""COMPUTED_VALUE"""),0.7)</f>
        <v>0.7</v>
      </c>
      <c r="R1470" s="4">
        <f>IFERROR(__xludf.DUMMYFUNCTION("""COMPUTED_VALUE"""),0.7)</f>
        <v>0.7</v>
      </c>
      <c r="S1470" s="4">
        <f>IFERROR(__xludf.DUMMYFUNCTION("""COMPUTED_VALUE"""),-0.6)</f>
        <v>-0.6</v>
      </c>
      <c r="T1470" s="4">
        <f>IFERROR(__xludf.DUMMYFUNCTION("""COMPUTED_VALUE"""),-0.049)</f>
        <v>-0.049</v>
      </c>
      <c r="U1470" s="4">
        <f>IFERROR(__xludf.DUMMYFUNCTION("""COMPUTED_VALUE"""),-6.1)</f>
        <v>-6.1</v>
      </c>
      <c r="V1470" s="4">
        <f>IFERROR(__xludf.DUMMYFUNCTION("""COMPUTED_VALUE"""),-0.6)</f>
        <v>-0.6</v>
      </c>
    </row>
    <row r="1471">
      <c r="A1471" s="4">
        <f>IFERROR(__xludf.DUMMYFUNCTION("""COMPUTED_VALUE"""),16.0)</f>
        <v>16</v>
      </c>
      <c r="B1471" s="4">
        <f>IFERROR(__xludf.DUMMYFUNCTION("""COMPUTED_VALUE"""),16.0)</f>
        <v>16</v>
      </c>
      <c r="C1471" s="4" t="str">
        <f>IFERROR(__xludf.DUMMYFUNCTION("""COMPUTED_VALUE"""),"BOS")</f>
        <v>BOS</v>
      </c>
      <c r="D1471" s="4" t="str">
        <f>IFERROR(__xludf.DUMMYFUNCTION("""COMPUTED_VALUE"""),"Troy Bell")</f>
        <v>Troy Bell</v>
      </c>
      <c r="E1471" s="4" t="str">
        <f>IFERROR(__xludf.DUMMYFUNCTION("""COMPUTED_VALUE"""),"Boston College")</f>
        <v>Boston College</v>
      </c>
      <c r="F1471" s="4">
        <f>IFERROR(__xludf.DUMMYFUNCTION("""COMPUTED_VALUE"""),1.0)</f>
        <v>1</v>
      </c>
      <c r="G1471" s="4">
        <f>IFERROR(__xludf.DUMMYFUNCTION("""COMPUTED_VALUE"""),6.0)</f>
        <v>6</v>
      </c>
      <c r="H1471" s="4">
        <f>IFERROR(__xludf.DUMMYFUNCTION("""COMPUTED_VALUE"""),34.0)</f>
        <v>34</v>
      </c>
      <c r="I1471" s="4">
        <f>IFERROR(__xludf.DUMMYFUNCTION("""COMPUTED_VALUE"""),11.0)</f>
        <v>11</v>
      </c>
      <c r="J1471" s="4">
        <f>IFERROR(__xludf.DUMMYFUNCTION("""COMPUTED_VALUE"""),4.0)</f>
        <v>4</v>
      </c>
      <c r="K1471" s="4">
        <f>IFERROR(__xludf.DUMMYFUNCTION("""COMPUTED_VALUE"""),4.0)</f>
        <v>4</v>
      </c>
      <c r="L1471" s="4">
        <f>IFERROR(__xludf.DUMMYFUNCTION("""COMPUTED_VALUE"""),0.222)</f>
        <v>0.222</v>
      </c>
      <c r="M1471" s="4">
        <f>IFERROR(__xludf.DUMMYFUNCTION("""COMPUTED_VALUE"""),0.0)</f>
        <v>0</v>
      </c>
      <c r="N1471" s="4">
        <f>IFERROR(__xludf.DUMMYFUNCTION("""COMPUTED_VALUE"""),1.0)</f>
        <v>1</v>
      </c>
      <c r="O1471" s="4">
        <f>IFERROR(__xludf.DUMMYFUNCTION("""COMPUTED_VALUE"""),5.7)</f>
        <v>5.7</v>
      </c>
      <c r="P1471" s="4">
        <f>IFERROR(__xludf.DUMMYFUNCTION("""COMPUTED_VALUE"""),1.8)</f>
        <v>1.8</v>
      </c>
      <c r="Q1471" s="4">
        <f>IFERROR(__xludf.DUMMYFUNCTION("""COMPUTED_VALUE"""),0.7)</f>
        <v>0.7</v>
      </c>
      <c r="R1471" s="4">
        <f>IFERROR(__xludf.DUMMYFUNCTION("""COMPUTED_VALUE"""),0.7)</f>
        <v>0.7</v>
      </c>
      <c r="S1471" s="4">
        <f>IFERROR(__xludf.DUMMYFUNCTION("""COMPUTED_VALUE"""),-0.2)</f>
        <v>-0.2</v>
      </c>
      <c r="T1471" s="4">
        <f>IFERROR(__xludf.DUMMYFUNCTION("""COMPUTED_VALUE"""),-0.326)</f>
        <v>-0.326</v>
      </c>
      <c r="U1471" s="4">
        <f>IFERROR(__xludf.DUMMYFUNCTION("""COMPUTED_VALUE"""),-19.6)</f>
        <v>-19.6</v>
      </c>
      <c r="V1471" s="4">
        <f>IFERROR(__xludf.DUMMYFUNCTION("""COMPUTED_VALUE"""),-0.2)</f>
        <v>-0.2</v>
      </c>
    </row>
    <row r="1472">
      <c r="A1472" s="4">
        <f>IFERROR(__xludf.DUMMYFUNCTION("""COMPUTED_VALUE"""),17.0)</f>
        <v>17</v>
      </c>
      <c r="B1472" s="4">
        <f>IFERROR(__xludf.DUMMYFUNCTION("""COMPUTED_VALUE"""),17.0)</f>
        <v>17</v>
      </c>
      <c r="C1472" s="4" t="str">
        <f>IFERROR(__xludf.DUMMYFUNCTION("""COMPUTED_VALUE"""),"PHO")</f>
        <v>PHO</v>
      </c>
      <c r="D1472" s="4" t="str">
        <f>IFERROR(__xludf.DUMMYFUNCTION("""COMPUTED_VALUE"""),"Žarko Čabarkapa")</f>
        <v>Žarko Čabarkapa</v>
      </c>
      <c r="E1472" s="4"/>
      <c r="F1472" s="4">
        <f>IFERROR(__xludf.DUMMYFUNCTION("""COMPUTED_VALUE"""),3.0)</f>
        <v>3</v>
      </c>
      <c r="G1472" s="4">
        <f>IFERROR(__xludf.DUMMYFUNCTION("""COMPUTED_VALUE"""),150.0)</f>
        <v>150</v>
      </c>
      <c r="H1472" s="4">
        <f>IFERROR(__xludf.DUMMYFUNCTION("""COMPUTED_VALUE"""),1550.0)</f>
        <v>1550</v>
      </c>
      <c r="I1472" s="4">
        <f>IFERROR(__xludf.DUMMYFUNCTION("""COMPUTED_VALUE"""),640.0)</f>
        <v>640</v>
      </c>
      <c r="J1472" s="4">
        <f>IFERROR(__xludf.DUMMYFUNCTION("""COMPUTED_VALUE"""),312.0)</f>
        <v>312</v>
      </c>
      <c r="K1472" s="4">
        <f>IFERROR(__xludf.DUMMYFUNCTION("""COMPUTED_VALUE"""),85.0)</f>
        <v>85</v>
      </c>
      <c r="L1472" s="4">
        <f>IFERROR(__xludf.DUMMYFUNCTION("""COMPUTED_VALUE"""),0.427)</f>
        <v>0.427</v>
      </c>
      <c r="M1472" s="4">
        <f>IFERROR(__xludf.DUMMYFUNCTION("""COMPUTED_VALUE"""),0.273)</f>
        <v>0.273</v>
      </c>
      <c r="N1472" s="4">
        <f>IFERROR(__xludf.DUMMYFUNCTION("""COMPUTED_VALUE"""),0.733)</f>
        <v>0.733</v>
      </c>
      <c r="O1472" s="4">
        <f>IFERROR(__xludf.DUMMYFUNCTION("""COMPUTED_VALUE"""),10.3)</f>
        <v>10.3</v>
      </c>
      <c r="P1472" s="4">
        <f>IFERROR(__xludf.DUMMYFUNCTION("""COMPUTED_VALUE"""),4.3)</f>
        <v>4.3</v>
      </c>
      <c r="Q1472" s="4">
        <f>IFERROR(__xludf.DUMMYFUNCTION("""COMPUTED_VALUE"""),2.1)</f>
        <v>2.1</v>
      </c>
      <c r="R1472" s="4">
        <f>IFERROR(__xludf.DUMMYFUNCTION("""COMPUTED_VALUE"""),0.6)</f>
        <v>0.6</v>
      </c>
      <c r="S1472" s="4">
        <f>IFERROR(__xludf.DUMMYFUNCTION("""COMPUTED_VALUE"""),1.1)</f>
        <v>1.1</v>
      </c>
      <c r="T1472" s="4">
        <f>IFERROR(__xludf.DUMMYFUNCTION("""COMPUTED_VALUE"""),0.035)</f>
        <v>0.035</v>
      </c>
      <c r="U1472" s="4">
        <f>IFERROR(__xludf.DUMMYFUNCTION("""COMPUTED_VALUE"""),-3.9)</f>
        <v>-3.9</v>
      </c>
      <c r="V1472" s="4">
        <f>IFERROR(__xludf.DUMMYFUNCTION("""COMPUTED_VALUE"""),-0.7)</f>
        <v>-0.7</v>
      </c>
    </row>
    <row r="1473">
      <c r="A1473" s="4">
        <f>IFERROR(__xludf.DUMMYFUNCTION("""COMPUTED_VALUE"""),18.0)</f>
        <v>18</v>
      </c>
      <c r="B1473" s="4">
        <f>IFERROR(__xludf.DUMMYFUNCTION("""COMPUTED_VALUE"""),18.0)</f>
        <v>18</v>
      </c>
      <c r="C1473" s="4" t="str">
        <f>IFERROR(__xludf.DUMMYFUNCTION("""COMPUTED_VALUE"""),"NOH")</f>
        <v>NOH</v>
      </c>
      <c r="D1473" s="4" t="str">
        <f>IFERROR(__xludf.DUMMYFUNCTION("""COMPUTED_VALUE"""),"David West")</f>
        <v>David West</v>
      </c>
      <c r="E1473" s="4" t="str">
        <f>IFERROR(__xludf.DUMMYFUNCTION("""COMPUTED_VALUE"""),"Xavier")</f>
        <v>Xavier</v>
      </c>
      <c r="F1473" s="4">
        <f>IFERROR(__xludf.DUMMYFUNCTION("""COMPUTED_VALUE"""),15.0)</f>
        <v>15</v>
      </c>
      <c r="G1473" s="4">
        <f>IFERROR(__xludf.DUMMYFUNCTION("""COMPUTED_VALUE"""),1034.0)</f>
        <v>1034</v>
      </c>
      <c r="H1473" s="4">
        <f>IFERROR(__xludf.DUMMYFUNCTION("""COMPUTED_VALUE"""),29144.0)</f>
        <v>29144</v>
      </c>
      <c r="I1473" s="4">
        <f>IFERROR(__xludf.DUMMYFUNCTION("""COMPUTED_VALUE"""),14034.0)</f>
        <v>14034</v>
      </c>
      <c r="J1473" s="4">
        <f>IFERROR(__xludf.DUMMYFUNCTION("""COMPUTED_VALUE"""),6590.0)</f>
        <v>6590</v>
      </c>
      <c r="K1473" s="4">
        <f>IFERROR(__xludf.DUMMYFUNCTION("""COMPUTED_VALUE"""),2273.0)</f>
        <v>2273</v>
      </c>
      <c r="L1473" s="4">
        <f>IFERROR(__xludf.DUMMYFUNCTION("""COMPUTED_VALUE"""),0.495)</f>
        <v>0.495</v>
      </c>
      <c r="M1473" s="4">
        <f>IFERROR(__xludf.DUMMYFUNCTION("""COMPUTED_VALUE"""),0.265)</f>
        <v>0.265</v>
      </c>
      <c r="N1473" s="4">
        <f>IFERROR(__xludf.DUMMYFUNCTION("""COMPUTED_VALUE"""),0.817)</f>
        <v>0.817</v>
      </c>
      <c r="O1473" s="4">
        <f>IFERROR(__xludf.DUMMYFUNCTION("""COMPUTED_VALUE"""),28.2)</f>
        <v>28.2</v>
      </c>
      <c r="P1473" s="4">
        <f>IFERROR(__xludf.DUMMYFUNCTION("""COMPUTED_VALUE"""),13.6)</f>
        <v>13.6</v>
      </c>
      <c r="Q1473" s="4">
        <f>IFERROR(__xludf.DUMMYFUNCTION("""COMPUTED_VALUE"""),6.4)</f>
        <v>6.4</v>
      </c>
      <c r="R1473" s="4">
        <f>IFERROR(__xludf.DUMMYFUNCTION("""COMPUTED_VALUE"""),2.2)</f>
        <v>2.2</v>
      </c>
      <c r="S1473" s="4">
        <f>IFERROR(__xludf.DUMMYFUNCTION("""COMPUTED_VALUE"""),85.8)</f>
        <v>85.8</v>
      </c>
      <c r="T1473" s="4">
        <f>IFERROR(__xludf.DUMMYFUNCTION("""COMPUTED_VALUE"""),0.141)</f>
        <v>0.141</v>
      </c>
      <c r="U1473" s="4">
        <f>IFERROR(__xludf.DUMMYFUNCTION("""COMPUTED_VALUE"""),1.7)</f>
        <v>1.7</v>
      </c>
      <c r="V1473" s="4">
        <f>IFERROR(__xludf.DUMMYFUNCTION("""COMPUTED_VALUE"""),27.6)</f>
        <v>27.6</v>
      </c>
    </row>
    <row r="1474">
      <c r="A1474" s="4">
        <f>IFERROR(__xludf.DUMMYFUNCTION("""COMPUTED_VALUE"""),19.0)</f>
        <v>19</v>
      </c>
      <c r="B1474" s="4">
        <f>IFERROR(__xludf.DUMMYFUNCTION("""COMPUTED_VALUE"""),19.0)</f>
        <v>19</v>
      </c>
      <c r="C1474" s="4" t="str">
        <f>IFERROR(__xludf.DUMMYFUNCTION("""COMPUTED_VALUE"""),"UTA")</f>
        <v>UTA</v>
      </c>
      <c r="D1474" s="4" t="str">
        <f>IFERROR(__xludf.DUMMYFUNCTION("""COMPUTED_VALUE"""),"Sasha Pavlović")</f>
        <v>Sasha Pavlović</v>
      </c>
      <c r="E1474" s="4"/>
      <c r="F1474" s="4">
        <f>IFERROR(__xludf.DUMMYFUNCTION("""COMPUTED_VALUE"""),10.0)</f>
        <v>10</v>
      </c>
      <c r="G1474" s="4">
        <f>IFERROR(__xludf.DUMMYFUNCTION("""COMPUTED_VALUE"""),567.0)</f>
        <v>567</v>
      </c>
      <c r="H1474" s="4">
        <f>IFERROR(__xludf.DUMMYFUNCTION("""COMPUTED_VALUE"""),8888.0)</f>
        <v>8888</v>
      </c>
      <c r="I1474" s="4">
        <f>IFERROR(__xludf.DUMMYFUNCTION("""COMPUTED_VALUE"""),2787.0)</f>
        <v>2787</v>
      </c>
      <c r="J1474" s="4">
        <f>IFERROR(__xludf.DUMMYFUNCTION("""COMPUTED_VALUE"""),1000.0)</f>
        <v>1000</v>
      </c>
      <c r="K1474" s="4">
        <f>IFERROR(__xludf.DUMMYFUNCTION("""COMPUTED_VALUE"""),517.0)</f>
        <v>517</v>
      </c>
      <c r="L1474" s="4">
        <f>IFERROR(__xludf.DUMMYFUNCTION("""COMPUTED_VALUE"""),0.404)</f>
        <v>0.404</v>
      </c>
      <c r="M1474" s="4">
        <f>IFERROR(__xludf.DUMMYFUNCTION("""COMPUTED_VALUE"""),0.346)</f>
        <v>0.346</v>
      </c>
      <c r="N1474" s="4">
        <f>IFERROR(__xludf.DUMMYFUNCTION("""COMPUTED_VALUE"""),0.673)</f>
        <v>0.673</v>
      </c>
      <c r="O1474" s="4">
        <f>IFERROR(__xludf.DUMMYFUNCTION("""COMPUTED_VALUE"""),15.7)</f>
        <v>15.7</v>
      </c>
      <c r="P1474" s="4">
        <f>IFERROR(__xludf.DUMMYFUNCTION("""COMPUTED_VALUE"""),4.9)</f>
        <v>4.9</v>
      </c>
      <c r="Q1474" s="4">
        <f>IFERROR(__xludf.DUMMYFUNCTION("""COMPUTED_VALUE"""),1.8)</f>
        <v>1.8</v>
      </c>
      <c r="R1474" s="4">
        <f>IFERROR(__xludf.DUMMYFUNCTION("""COMPUTED_VALUE"""),0.9)</f>
        <v>0.9</v>
      </c>
      <c r="S1474" s="4">
        <f>IFERROR(__xludf.DUMMYFUNCTION("""COMPUTED_VALUE"""),7.0)</f>
        <v>7</v>
      </c>
      <c r="T1474" s="4">
        <f>IFERROR(__xludf.DUMMYFUNCTION("""COMPUTED_VALUE"""),0.038)</f>
        <v>0.038</v>
      </c>
      <c r="U1474" s="4">
        <f>IFERROR(__xludf.DUMMYFUNCTION("""COMPUTED_VALUE"""),-3.4)</f>
        <v>-3.4</v>
      </c>
      <c r="V1474" s="4">
        <f>IFERROR(__xludf.DUMMYFUNCTION("""COMPUTED_VALUE"""),-3.1)</f>
        <v>-3.1</v>
      </c>
    </row>
    <row r="1475">
      <c r="A1475" s="4">
        <f>IFERROR(__xludf.DUMMYFUNCTION("""COMPUTED_VALUE"""),20.0)</f>
        <v>20</v>
      </c>
      <c r="B1475" s="4">
        <f>IFERROR(__xludf.DUMMYFUNCTION("""COMPUTED_VALUE"""),20.0)</f>
        <v>20</v>
      </c>
      <c r="C1475" s="4" t="str">
        <f>IFERROR(__xludf.DUMMYFUNCTION("""COMPUTED_VALUE"""),"BOS")</f>
        <v>BOS</v>
      </c>
      <c r="D1475" s="4" t="str">
        <f>IFERROR(__xludf.DUMMYFUNCTION("""COMPUTED_VALUE"""),"Dahntay Jones")</f>
        <v>Dahntay Jones</v>
      </c>
      <c r="E1475" s="4" t="str">
        <f>IFERROR(__xludf.DUMMYFUNCTION("""COMPUTED_VALUE"""),"Duke")</f>
        <v>Duke</v>
      </c>
      <c r="F1475" s="4">
        <f>IFERROR(__xludf.DUMMYFUNCTION("""COMPUTED_VALUE"""),13.0)</f>
        <v>13</v>
      </c>
      <c r="G1475" s="4">
        <f>IFERROR(__xludf.DUMMYFUNCTION("""COMPUTED_VALUE"""),624.0)</f>
        <v>624</v>
      </c>
      <c r="H1475" s="4">
        <f>IFERROR(__xludf.DUMMYFUNCTION("""COMPUTED_VALUE"""),9799.0)</f>
        <v>9799</v>
      </c>
      <c r="I1475" s="4">
        <f>IFERROR(__xludf.DUMMYFUNCTION("""COMPUTED_VALUE"""),3353.0)</f>
        <v>3353</v>
      </c>
      <c r="J1475" s="4">
        <f>IFERROR(__xludf.DUMMYFUNCTION("""COMPUTED_VALUE"""),1082.0)</f>
        <v>1082</v>
      </c>
      <c r="K1475" s="4">
        <f>IFERROR(__xludf.DUMMYFUNCTION("""COMPUTED_VALUE"""),529.0)</f>
        <v>529</v>
      </c>
      <c r="L1475" s="4">
        <f>IFERROR(__xludf.DUMMYFUNCTION("""COMPUTED_VALUE"""),0.439)</f>
        <v>0.439</v>
      </c>
      <c r="M1475" s="4">
        <f>IFERROR(__xludf.DUMMYFUNCTION("""COMPUTED_VALUE"""),0.329)</f>
        <v>0.329</v>
      </c>
      <c r="N1475" s="4">
        <f>IFERROR(__xludf.DUMMYFUNCTION("""COMPUTED_VALUE"""),0.751)</f>
        <v>0.751</v>
      </c>
      <c r="O1475" s="4">
        <f>IFERROR(__xludf.DUMMYFUNCTION("""COMPUTED_VALUE"""),15.7)</f>
        <v>15.7</v>
      </c>
      <c r="P1475" s="4">
        <f>IFERROR(__xludf.DUMMYFUNCTION("""COMPUTED_VALUE"""),5.4)</f>
        <v>5.4</v>
      </c>
      <c r="Q1475" s="4">
        <f>IFERROR(__xludf.DUMMYFUNCTION("""COMPUTED_VALUE"""),1.7)</f>
        <v>1.7</v>
      </c>
      <c r="R1475" s="4">
        <f>IFERROR(__xludf.DUMMYFUNCTION("""COMPUTED_VALUE"""),0.8)</f>
        <v>0.8</v>
      </c>
      <c r="S1475" s="4">
        <f>IFERROR(__xludf.DUMMYFUNCTION("""COMPUTED_VALUE"""),9.9)</f>
        <v>9.9</v>
      </c>
      <c r="T1475" s="4">
        <f>IFERROR(__xludf.DUMMYFUNCTION("""COMPUTED_VALUE"""),0.048)</f>
        <v>0.048</v>
      </c>
      <c r="U1475" s="4">
        <f>IFERROR(__xludf.DUMMYFUNCTION("""COMPUTED_VALUE"""),-3.7)</f>
        <v>-3.7</v>
      </c>
      <c r="V1475" s="4">
        <f>IFERROR(__xludf.DUMMYFUNCTION("""COMPUTED_VALUE"""),-4.1)</f>
        <v>-4.1</v>
      </c>
    </row>
    <row r="1476">
      <c r="A1476" s="4">
        <f>IFERROR(__xludf.DUMMYFUNCTION("""COMPUTED_VALUE"""),21.0)</f>
        <v>21</v>
      </c>
      <c r="B1476" s="4">
        <f>IFERROR(__xludf.DUMMYFUNCTION("""COMPUTED_VALUE"""),21.0)</f>
        <v>21</v>
      </c>
      <c r="C1476" s="4" t="str">
        <f>IFERROR(__xludf.DUMMYFUNCTION("""COMPUTED_VALUE"""),"ATL")</f>
        <v>ATL</v>
      </c>
      <c r="D1476" s="4" t="str">
        <f>IFERROR(__xludf.DUMMYFUNCTION("""COMPUTED_VALUE"""),"Boris Diaw")</f>
        <v>Boris Diaw</v>
      </c>
      <c r="E1476" s="4"/>
      <c r="F1476" s="4">
        <f>IFERROR(__xludf.DUMMYFUNCTION("""COMPUTED_VALUE"""),14.0)</f>
        <v>14</v>
      </c>
      <c r="G1476" s="4">
        <f>IFERROR(__xludf.DUMMYFUNCTION("""COMPUTED_VALUE"""),1064.0)</f>
        <v>1064</v>
      </c>
      <c r="H1476" s="4">
        <f>IFERROR(__xludf.DUMMYFUNCTION("""COMPUTED_VALUE"""),28768.0)</f>
        <v>28768</v>
      </c>
      <c r="I1476" s="4">
        <f>IFERROR(__xludf.DUMMYFUNCTION("""COMPUTED_VALUE"""),9139.0)</f>
        <v>9139</v>
      </c>
      <c r="J1476" s="4">
        <f>IFERROR(__xludf.DUMMYFUNCTION("""COMPUTED_VALUE"""),4634.0)</f>
        <v>4634</v>
      </c>
      <c r="K1476" s="4">
        <f>IFERROR(__xludf.DUMMYFUNCTION("""COMPUTED_VALUE"""),3684.0)</f>
        <v>3684</v>
      </c>
      <c r="L1476" s="4">
        <f>IFERROR(__xludf.DUMMYFUNCTION("""COMPUTED_VALUE"""),0.493)</f>
        <v>0.493</v>
      </c>
      <c r="M1476" s="4">
        <f>IFERROR(__xludf.DUMMYFUNCTION("""COMPUTED_VALUE"""),0.336)</f>
        <v>0.336</v>
      </c>
      <c r="N1476" s="4">
        <f>IFERROR(__xludf.DUMMYFUNCTION("""COMPUTED_VALUE"""),0.717)</f>
        <v>0.717</v>
      </c>
      <c r="O1476" s="4">
        <f>IFERROR(__xludf.DUMMYFUNCTION("""COMPUTED_VALUE"""),27.0)</f>
        <v>27</v>
      </c>
      <c r="P1476" s="4">
        <f>IFERROR(__xludf.DUMMYFUNCTION("""COMPUTED_VALUE"""),8.6)</f>
        <v>8.6</v>
      </c>
      <c r="Q1476" s="4">
        <f>IFERROR(__xludf.DUMMYFUNCTION("""COMPUTED_VALUE"""),4.4)</f>
        <v>4.4</v>
      </c>
      <c r="R1476" s="4">
        <f>IFERROR(__xludf.DUMMYFUNCTION("""COMPUTED_VALUE"""),3.5)</f>
        <v>3.5</v>
      </c>
      <c r="S1476" s="4">
        <f>IFERROR(__xludf.DUMMYFUNCTION("""COMPUTED_VALUE"""),51.6)</f>
        <v>51.6</v>
      </c>
      <c r="T1476" s="4">
        <f>IFERROR(__xludf.DUMMYFUNCTION("""COMPUTED_VALUE"""),0.086)</f>
        <v>0.086</v>
      </c>
      <c r="U1476" s="4">
        <f>IFERROR(__xludf.DUMMYFUNCTION("""COMPUTED_VALUE"""),0.1)</f>
        <v>0.1</v>
      </c>
      <c r="V1476" s="4">
        <f>IFERROR(__xludf.DUMMYFUNCTION("""COMPUTED_VALUE"""),15.5)</f>
        <v>15.5</v>
      </c>
    </row>
    <row r="1477">
      <c r="A1477" s="4">
        <f>IFERROR(__xludf.DUMMYFUNCTION("""COMPUTED_VALUE"""),22.0)</f>
        <v>22</v>
      </c>
      <c r="B1477" s="4">
        <f>IFERROR(__xludf.DUMMYFUNCTION("""COMPUTED_VALUE"""),22.0)</f>
        <v>22</v>
      </c>
      <c r="C1477" s="4" t="str">
        <f>IFERROR(__xludf.DUMMYFUNCTION("""COMPUTED_VALUE"""),"NJN")</f>
        <v>NJN</v>
      </c>
      <c r="D1477" s="4" t="str">
        <f>IFERROR(__xludf.DUMMYFUNCTION("""COMPUTED_VALUE"""),"Zoran Planinić")</f>
        <v>Zoran Planinić</v>
      </c>
      <c r="E1477" s="4"/>
      <c r="F1477" s="4">
        <f>IFERROR(__xludf.DUMMYFUNCTION("""COMPUTED_VALUE"""),3.0)</f>
        <v>3</v>
      </c>
      <c r="G1477" s="4">
        <f>IFERROR(__xludf.DUMMYFUNCTION("""COMPUTED_VALUE"""),148.0)</f>
        <v>148</v>
      </c>
      <c r="H1477" s="4">
        <f>IFERROR(__xludf.DUMMYFUNCTION("""COMPUTED_VALUE"""),1584.0)</f>
        <v>1584</v>
      </c>
      <c r="I1477" s="4">
        <f>IFERROR(__xludf.DUMMYFUNCTION("""COMPUTED_VALUE"""),561.0)</f>
        <v>561</v>
      </c>
      <c r="J1477" s="4">
        <f>IFERROR(__xludf.DUMMYFUNCTION("""COMPUTED_VALUE"""),198.0)</f>
        <v>198</v>
      </c>
      <c r="K1477" s="4">
        <f>IFERROR(__xludf.DUMMYFUNCTION("""COMPUTED_VALUE"""),165.0)</f>
        <v>165</v>
      </c>
      <c r="L1477" s="4">
        <f>IFERROR(__xludf.DUMMYFUNCTION("""COMPUTED_VALUE"""),0.405)</f>
        <v>0.405</v>
      </c>
      <c r="M1477" s="4">
        <f>IFERROR(__xludf.DUMMYFUNCTION("""COMPUTED_VALUE"""),0.289)</f>
        <v>0.289</v>
      </c>
      <c r="N1477" s="4">
        <f>IFERROR(__xludf.DUMMYFUNCTION("""COMPUTED_VALUE"""),0.677)</f>
        <v>0.677</v>
      </c>
      <c r="O1477" s="4">
        <f>IFERROR(__xludf.DUMMYFUNCTION("""COMPUTED_VALUE"""),10.7)</f>
        <v>10.7</v>
      </c>
      <c r="P1477" s="4">
        <f>IFERROR(__xludf.DUMMYFUNCTION("""COMPUTED_VALUE"""),3.8)</f>
        <v>3.8</v>
      </c>
      <c r="Q1477" s="4">
        <f>IFERROR(__xludf.DUMMYFUNCTION("""COMPUTED_VALUE"""),1.3)</f>
        <v>1.3</v>
      </c>
      <c r="R1477" s="4">
        <f>IFERROR(__xludf.DUMMYFUNCTION("""COMPUTED_VALUE"""),1.1)</f>
        <v>1.1</v>
      </c>
      <c r="S1477" s="4">
        <f>IFERROR(__xludf.DUMMYFUNCTION("""COMPUTED_VALUE"""),1.5)</f>
        <v>1.5</v>
      </c>
      <c r="T1477" s="4">
        <f>IFERROR(__xludf.DUMMYFUNCTION("""COMPUTED_VALUE"""),0.046)</f>
        <v>0.046</v>
      </c>
      <c r="U1477" s="4">
        <f>IFERROR(__xludf.DUMMYFUNCTION("""COMPUTED_VALUE"""),-3.5)</f>
        <v>-3.5</v>
      </c>
      <c r="V1477" s="4">
        <f>IFERROR(__xludf.DUMMYFUNCTION("""COMPUTED_VALUE"""),-0.6)</f>
        <v>-0.6</v>
      </c>
    </row>
    <row r="1478">
      <c r="A1478" s="4">
        <f>IFERROR(__xludf.DUMMYFUNCTION("""COMPUTED_VALUE"""),23.0)</f>
        <v>23</v>
      </c>
      <c r="B1478" s="4">
        <f>IFERROR(__xludf.DUMMYFUNCTION("""COMPUTED_VALUE"""),23.0)</f>
        <v>23</v>
      </c>
      <c r="C1478" s="4" t="str">
        <f>IFERROR(__xludf.DUMMYFUNCTION("""COMPUTED_VALUE"""),"POR")</f>
        <v>POR</v>
      </c>
      <c r="D1478" s="4" t="str">
        <f>IFERROR(__xludf.DUMMYFUNCTION("""COMPUTED_VALUE"""),"Travis Outlaw")</f>
        <v>Travis Outlaw</v>
      </c>
      <c r="E1478" s="4"/>
      <c r="F1478" s="4">
        <f>IFERROR(__xludf.DUMMYFUNCTION("""COMPUTED_VALUE"""),11.0)</f>
        <v>11</v>
      </c>
      <c r="G1478" s="4">
        <f>IFERROR(__xludf.DUMMYFUNCTION("""COMPUTED_VALUE"""),622.0)</f>
        <v>622</v>
      </c>
      <c r="H1478" s="4">
        <f>IFERROR(__xludf.DUMMYFUNCTION("""COMPUTED_VALUE"""),13026.0)</f>
        <v>13026</v>
      </c>
      <c r="I1478" s="4">
        <f>IFERROR(__xludf.DUMMYFUNCTION("""COMPUTED_VALUE"""),5273.0)</f>
        <v>5273</v>
      </c>
      <c r="J1478" s="4">
        <f>IFERROR(__xludf.DUMMYFUNCTION("""COMPUTED_VALUE"""),1974.0)</f>
        <v>1974</v>
      </c>
      <c r="K1478" s="4">
        <f>IFERROR(__xludf.DUMMYFUNCTION("""COMPUTED_VALUE"""),514.0)</f>
        <v>514</v>
      </c>
      <c r="L1478" s="4">
        <f>IFERROR(__xludf.DUMMYFUNCTION("""COMPUTED_VALUE"""),0.423)</f>
        <v>0.423</v>
      </c>
      <c r="M1478" s="4">
        <f>IFERROR(__xludf.DUMMYFUNCTION("""COMPUTED_VALUE"""),0.337)</f>
        <v>0.337</v>
      </c>
      <c r="N1478" s="4">
        <f>IFERROR(__xludf.DUMMYFUNCTION("""COMPUTED_VALUE"""),0.744)</f>
        <v>0.744</v>
      </c>
      <c r="O1478" s="4">
        <f>IFERROR(__xludf.DUMMYFUNCTION("""COMPUTED_VALUE"""),20.9)</f>
        <v>20.9</v>
      </c>
      <c r="P1478" s="4">
        <f>IFERROR(__xludf.DUMMYFUNCTION("""COMPUTED_VALUE"""),8.5)</f>
        <v>8.5</v>
      </c>
      <c r="Q1478" s="4">
        <f>IFERROR(__xludf.DUMMYFUNCTION("""COMPUTED_VALUE"""),3.2)</f>
        <v>3.2</v>
      </c>
      <c r="R1478" s="4">
        <f>IFERROR(__xludf.DUMMYFUNCTION("""COMPUTED_VALUE"""),0.8)</f>
        <v>0.8</v>
      </c>
      <c r="S1478" s="4">
        <f>IFERROR(__xludf.DUMMYFUNCTION("""COMPUTED_VALUE"""),16.5)</f>
        <v>16.5</v>
      </c>
      <c r="T1478" s="4">
        <f>IFERROR(__xludf.DUMMYFUNCTION("""COMPUTED_VALUE"""),0.061)</f>
        <v>0.061</v>
      </c>
      <c r="U1478" s="4">
        <f>IFERROR(__xludf.DUMMYFUNCTION("""COMPUTED_VALUE"""),-1.4)</f>
        <v>-1.4</v>
      </c>
      <c r="V1478" s="4">
        <f>IFERROR(__xludf.DUMMYFUNCTION("""COMPUTED_VALUE"""),2.1)</f>
        <v>2.1</v>
      </c>
    </row>
    <row r="1479">
      <c r="A1479" s="4">
        <f>IFERROR(__xludf.DUMMYFUNCTION("""COMPUTED_VALUE"""),24.0)</f>
        <v>24</v>
      </c>
      <c r="B1479" s="4">
        <f>IFERROR(__xludf.DUMMYFUNCTION("""COMPUTED_VALUE"""),24.0)</f>
        <v>24</v>
      </c>
      <c r="C1479" s="4" t="str">
        <f>IFERROR(__xludf.DUMMYFUNCTION("""COMPUTED_VALUE"""),"LAL")</f>
        <v>LAL</v>
      </c>
      <c r="D1479" s="4" t="str">
        <f>IFERROR(__xludf.DUMMYFUNCTION("""COMPUTED_VALUE"""),"Brian Cook")</f>
        <v>Brian Cook</v>
      </c>
      <c r="E1479" s="4" t="str">
        <f>IFERROR(__xludf.DUMMYFUNCTION("""COMPUTED_VALUE"""),"Illinois")</f>
        <v>Illinois</v>
      </c>
      <c r="F1479" s="4">
        <f>IFERROR(__xludf.DUMMYFUNCTION("""COMPUTED_VALUE"""),9.0)</f>
        <v>9</v>
      </c>
      <c r="G1479" s="4">
        <f>IFERROR(__xludf.DUMMYFUNCTION("""COMPUTED_VALUE"""),421.0)</f>
        <v>421</v>
      </c>
      <c r="H1479" s="4">
        <f>IFERROR(__xludf.DUMMYFUNCTION("""COMPUTED_VALUE"""),5649.0)</f>
        <v>5649</v>
      </c>
      <c r="I1479" s="4">
        <f>IFERROR(__xludf.DUMMYFUNCTION("""COMPUTED_VALUE"""),2312.0)</f>
        <v>2312</v>
      </c>
      <c r="J1479" s="4">
        <f>IFERROR(__xludf.DUMMYFUNCTION("""COMPUTED_VALUE"""),1115.0)</f>
        <v>1115</v>
      </c>
      <c r="K1479" s="4">
        <f>IFERROR(__xludf.DUMMYFUNCTION("""COMPUTED_VALUE"""),252.0)</f>
        <v>252</v>
      </c>
      <c r="L1479" s="4">
        <f>IFERROR(__xludf.DUMMYFUNCTION("""COMPUTED_VALUE"""),0.439)</f>
        <v>0.439</v>
      </c>
      <c r="M1479" s="4">
        <f>IFERROR(__xludf.DUMMYFUNCTION("""COMPUTED_VALUE"""),0.382)</f>
        <v>0.382</v>
      </c>
      <c r="N1479" s="4">
        <f>IFERROR(__xludf.DUMMYFUNCTION("""COMPUTED_VALUE"""),0.783)</f>
        <v>0.783</v>
      </c>
      <c r="O1479" s="4">
        <f>IFERROR(__xludf.DUMMYFUNCTION("""COMPUTED_VALUE"""),13.4)</f>
        <v>13.4</v>
      </c>
      <c r="P1479" s="4">
        <f>IFERROR(__xludf.DUMMYFUNCTION("""COMPUTED_VALUE"""),5.5)</f>
        <v>5.5</v>
      </c>
      <c r="Q1479" s="4">
        <f>IFERROR(__xludf.DUMMYFUNCTION("""COMPUTED_VALUE"""),2.6)</f>
        <v>2.6</v>
      </c>
      <c r="R1479" s="4">
        <f>IFERROR(__xludf.DUMMYFUNCTION("""COMPUTED_VALUE"""),0.6)</f>
        <v>0.6</v>
      </c>
      <c r="S1479" s="4">
        <f>IFERROR(__xludf.DUMMYFUNCTION("""COMPUTED_VALUE"""),10.2)</f>
        <v>10.2</v>
      </c>
      <c r="T1479" s="4">
        <f>IFERROR(__xludf.DUMMYFUNCTION("""COMPUTED_VALUE"""),0.086)</f>
        <v>0.086</v>
      </c>
      <c r="U1479" s="4">
        <f>IFERROR(__xludf.DUMMYFUNCTION("""COMPUTED_VALUE"""),-1.6)</f>
        <v>-1.6</v>
      </c>
      <c r="V1479" s="4">
        <f>IFERROR(__xludf.DUMMYFUNCTION("""COMPUTED_VALUE"""),0.5)</f>
        <v>0.5</v>
      </c>
    </row>
    <row r="1480">
      <c r="A1480" s="4">
        <f>IFERROR(__xludf.DUMMYFUNCTION("""COMPUTED_VALUE"""),25.0)</f>
        <v>25</v>
      </c>
      <c r="B1480" s="4">
        <f>IFERROR(__xludf.DUMMYFUNCTION("""COMPUTED_VALUE"""),25.0)</f>
        <v>25</v>
      </c>
      <c r="C1480" s="4" t="str">
        <f>IFERROR(__xludf.DUMMYFUNCTION("""COMPUTED_VALUE"""),"DET")</f>
        <v>DET</v>
      </c>
      <c r="D1480" s="4" t="str">
        <f>IFERROR(__xludf.DUMMYFUNCTION("""COMPUTED_VALUE"""),"Carlos Delfino")</f>
        <v>Carlos Delfino</v>
      </c>
      <c r="E1480" s="4"/>
      <c r="F1480" s="4">
        <f>IFERROR(__xludf.DUMMYFUNCTION("""COMPUTED_VALUE"""),8.0)</f>
        <v>8</v>
      </c>
      <c r="G1480" s="4">
        <f>IFERROR(__xludf.DUMMYFUNCTION("""COMPUTED_VALUE"""),507.0)</f>
        <v>507</v>
      </c>
      <c r="H1480" s="4">
        <f>IFERROR(__xludf.DUMMYFUNCTION("""COMPUTED_VALUE"""),11580.0)</f>
        <v>11580</v>
      </c>
      <c r="I1480" s="4">
        <f>IFERROR(__xludf.DUMMYFUNCTION("""COMPUTED_VALUE"""),4115.0)</f>
        <v>4115</v>
      </c>
      <c r="J1480" s="4">
        <f>IFERROR(__xludf.DUMMYFUNCTION("""COMPUTED_VALUE"""),1815.0)</f>
        <v>1815</v>
      </c>
      <c r="K1480" s="4">
        <f>IFERROR(__xludf.DUMMYFUNCTION("""COMPUTED_VALUE"""),887.0)</f>
        <v>887</v>
      </c>
      <c r="L1480" s="4">
        <f>IFERROR(__xludf.DUMMYFUNCTION("""COMPUTED_VALUE"""),0.401)</f>
        <v>0.401</v>
      </c>
      <c r="M1480" s="4">
        <f>IFERROR(__xludf.DUMMYFUNCTION("""COMPUTED_VALUE"""),0.365)</f>
        <v>0.365</v>
      </c>
      <c r="N1480" s="4">
        <f>IFERROR(__xludf.DUMMYFUNCTION("""COMPUTED_VALUE"""),0.758)</f>
        <v>0.758</v>
      </c>
      <c r="O1480" s="4">
        <f>IFERROR(__xludf.DUMMYFUNCTION("""COMPUTED_VALUE"""),22.8)</f>
        <v>22.8</v>
      </c>
      <c r="P1480" s="4">
        <f>IFERROR(__xludf.DUMMYFUNCTION("""COMPUTED_VALUE"""),8.1)</f>
        <v>8.1</v>
      </c>
      <c r="Q1480" s="4">
        <f>IFERROR(__xludf.DUMMYFUNCTION("""COMPUTED_VALUE"""),3.6)</f>
        <v>3.6</v>
      </c>
      <c r="R1480" s="4">
        <f>IFERROR(__xludf.DUMMYFUNCTION("""COMPUTED_VALUE"""),1.7)</f>
        <v>1.7</v>
      </c>
      <c r="S1480" s="4">
        <f>IFERROR(__xludf.DUMMYFUNCTION("""COMPUTED_VALUE"""),22.5)</f>
        <v>22.5</v>
      </c>
      <c r="T1480" s="4">
        <f>IFERROR(__xludf.DUMMYFUNCTION("""COMPUTED_VALUE"""),0.093)</f>
        <v>0.093</v>
      </c>
      <c r="U1480" s="4">
        <f>IFERROR(__xludf.DUMMYFUNCTION("""COMPUTED_VALUE"""),0.5)</f>
        <v>0.5</v>
      </c>
      <c r="V1480" s="4">
        <f>IFERROR(__xludf.DUMMYFUNCTION("""COMPUTED_VALUE"""),7.2)</f>
        <v>7.2</v>
      </c>
    </row>
    <row r="1481">
      <c r="A1481" s="4">
        <f>IFERROR(__xludf.DUMMYFUNCTION("""COMPUTED_VALUE"""),26.0)</f>
        <v>26</v>
      </c>
      <c r="B1481" s="4">
        <f>IFERROR(__xludf.DUMMYFUNCTION("""COMPUTED_VALUE"""),26.0)</f>
        <v>26</v>
      </c>
      <c r="C1481" s="4" t="str">
        <f>IFERROR(__xludf.DUMMYFUNCTION("""COMPUTED_VALUE"""),"MIN")</f>
        <v>MIN</v>
      </c>
      <c r="D1481" s="4" t="str">
        <f>IFERROR(__xludf.DUMMYFUNCTION("""COMPUTED_VALUE"""),"Ndudi Ebi")</f>
        <v>Ndudi Ebi</v>
      </c>
      <c r="E1481" s="4"/>
      <c r="F1481" s="4">
        <f>IFERROR(__xludf.DUMMYFUNCTION("""COMPUTED_VALUE"""),2.0)</f>
        <v>2</v>
      </c>
      <c r="G1481" s="4">
        <f>IFERROR(__xludf.DUMMYFUNCTION("""COMPUTED_VALUE"""),19.0)</f>
        <v>19</v>
      </c>
      <c r="H1481" s="4">
        <f>IFERROR(__xludf.DUMMYFUNCTION("""COMPUTED_VALUE"""),86.0)</f>
        <v>86</v>
      </c>
      <c r="I1481" s="4">
        <f>IFERROR(__xludf.DUMMYFUNCTION("""COMPUTED_VALUE"""),40.0)</f>
        <v>40</v>
      </c>
      <c r="J1481" s="4">
        <f>IFERROR(__xludf.DUMMYFUNCTION("""COMPUTED_VALUE"""),19.0)</f>
        <v>19</v>
      </c>
      <c r="K1481" s="4">
        <f>IFERROR(__xludf.DUMMYFUNCTION("""COMPUTED_VALUE"""),4.0)</f>
        <v>4</v>
      </c>
      <c r="L1481" s="4">
        <f>IFERROR(__xludf.DUMMYFUNCTION("""COMPUTED_VALUE"""),0.486)</f>
        <v>0.486</v>
      </c>
      <c r="M1481" s="4">
        <f>IFERROR(__xludf.DUMMYFUNCTION("""COMPUTED_VALUE"""),0.0)</f>
        <v>0</v>
      </c>
      <c r="N1481" s="4">
        <f>IFERROR(__xludf.DUMMYFUNCTION("""COMPUTED_VALUE"""),0.462)</f>
        <v>0.462</v>
      </c>
      <c r="O1481" s="4">
        <f>IFERROR(__xludf.DUMMYFUNCTION("""COMPUTED_VALUE"""),4.5)</f>
        <v>4.5</v>
      </c>
      <c r="P1481" s="4">
        <f>IFERROR(__xludf.DUMMYFUNCTION("""COMPUTED_VALUE"""),2.1)</f>
        <v>2.1</v>
      </c>
      <c r="Q1481" s="4">
        <f>IFERROR(__xludf.DUMMYFUNCTION("""COMPUTED_VALUE"""),1.0)</f>
        <v>1</v>
      </c>
      <c r="R1481" s="4">
        <f>IFERROR(__xludf.DUMMYFUNCTION("""COMPUTED_VALUE"""),0.2)</f>
        <v>0.2</v>
      </c>
      <c r="S1481" s="4">
        <f>IFERROR(__xludf.DUMMYFUNCTION("""COMPUTED_VALUE"""),0.1)</f>
        <v>0.1</v>
      </c>
      <c r="T1481" s="4">
        <f>IFERROR(__xludf.DUMMYFUNCTION("""COMPUTED_VALUE"""),0.051)</f>
        <v>0.051</v>
      </c>
      <c r="U1481" s="4">
        <f>IFERROR(__xludf.DUMMYFUNCTION("""COMPUTED_VALUE"""),-3.8)</f>
        <v>-3.8</v>
      </c>
      <c r="V1481" s="4">
        <f>IFERROR(__xludf.DUMMYFUNCTION("""COMPUTED_VALUE"""),0.0)</f>
        <v>0</v>
      </c>
    </row>
    <row r="1482">
      <c r="A1482" s="4">
        <f>IFERROR(__xludf.DUMMYFUNCTION("""COMPUTED_VALUE"""),27.0)</f>
        <v>27</v>
      </c>
      <c r="B1482" s="4">
        <f>IFERROR(__xludf.DUMMYFUNCTION("""COMPUTED_VALUE"""),27.0)</f>
        <v>27</v>
      </c>
      <c r="C1482" s="4" t="str">
        <f>IFERROR(__xludf.DUMMYFUNCTION("""COMPUTED_VALUE"""),"MEM")</f>
        <v>MEM</v>
      </c>
      <c r="D1482" s="4" t="str">
        <f>IFERROR(__xludf.DUMMYFUNCTION("""COMPUTED_VALUE"""),"Kendrick Perkins")</f>
        <v>Kendrick Perkins</v>
      </c>
      <c r="E1482" s="4"/>
      <c r="F1482" s="4">
        <f>IFERROR(__xludf.DUMMYFUNCTION("""COMPUTED_VALUE"""),14.0)</f>
        <v>14</v>
      </c>
      <c r="G1482" s="4">
        <f>IFERROR(__xludf.DUMMYFUNCTION("""COMPUTED_VALUE"""),782.0)</f>
        <v>782</v>
      </c>
      <c r="H1482" s="4">
        <f>IFERROR(__xludf.DUMMYFUNCTION("""COMPUTED_VALUE"""),17162.0)</f>
        <v>17162</v>
      </c>
      <c r="I1482" s="4">
        <f>IFERROR(__xludf.DUMMYFUNCTION("""COMPUTED_VALUE"""),4214.0)</f>
        <v>4214</v>
      </c>
      <c r="J1482" s="4">
        <f>IFERROR(__xludf.DUMMYFUNCTION("""COMPUTED_VALUE"""),4532.0)</f>
        <v>4532</v>
      </c>
      <c r="K1482" s="4">
        <f>IFERROR(__xludf.DUMMYFUNCTION("""COMPUTED_VALUE"""),813.0)</f>
        <v>813</v>
      </c>
      <c r="L1482" s="4">
        <f>IFERROR(__xludf.DUMMYFUNCTION("""COMPUTED_VALUE"""),0.53)</f>
        <v>0.53</v>
      </c>
      <c r="M1482" s="4">
        <f>IFERROR(__xludf.DUMMYFUNCTION("""COMPUTED_VALUE"""),0.0)</f>
        <v>0</v>
      </c>
      <c r="N1482" s="4">
        <f>IFERROR(__xludf.DUMMYFUNCTION("""COMPUTED_VALUE"""),0.594)</f>
        <v>0.594</v>
      </c>
      <c r="O1482" s="4">
        <f>IFERROR(__xludf.DUMMYFUNCTION("""COMPUTED_VALUE"""),21.9)</f>
        <v>21.9</v>
      </c>
      <c r="P1482" s="4">
        <f>IFERROR(__xludf.DUMMYFUNCTION("""COMPUTED_VALUE"""),5.4)</f>
        <v>5.4</v>
      </c>
      <c r="Q1482" s="4">
        <f>IFERROR(__xludf.DUMMYFUNCTION("""COMPUTED_VALUE"""),5.8)</f>
        <v>5.8</v>
      </c>
      <c r="R1482" s="4">
        <f>IFERROR(__xludf.DUMMYFUNCTION("""COMPUTED_VALUE"""),1.0)</f>
        <v>1</v>
      </c>
      <c r="S1482" s="4">
        <f>IFERROR(__xludf.DUMMYFUNCTION("""COMPUTED_VALUE"""),27.9)</f>
        <v>27.9</v>
      </c>
      <c r="T1482" s="4">
        <f>IFERROR(__xludf.DUMMYFUNCTION("""COMPUTED_VALUE"""),0.078)</f>
        <v>0.078</v>
      </c>
      <c r="U1482" s="4">
        <f>IFERROR(__xludf.DUMMYFUNCTION("""COMPUTED_VALUE"""),-1.9)</f>
        <v>-1.9</v>
      </c>
      <c r="V1482" s="4">
        <f>IFERROR(__xludf.DUMMYFUNCTION("""COMPUTED_VALUE"""),0.6)</f>
        <v>0.6</v>
      </c>
    </row>
    <row r="1483">
      <c r="A1483" s="4">
        <f>IFERROR(__xludf.DUMMYFUNCTION("""COMPUTED_VALUE"""),28.0)</f>
        <v>28</v>
      </c>
      <c r="B1483" s="4">
        <f>IFERROR(__xludf.DUMMYFUNCTION("""COMPUTED_VALUE"""),28.0)</f>
        <v>28</v>
      </c>
      <c r="C1483" s="4" t="str">
        <f>IFERROR(__xludf.DUMMYFUNCTION("""COMPUTED_VALUE"""),"SAS")</f>
        <v>SAS</v>
      </c>
      <c r="D1483" s="4" t="str">
        <f>IFERROR(__xludf.DUMMYFUNCTION("""COMPUTED_VALUE"""),"Leandro Barbosa")</f>
        <v>Leandro Barbosa</v>
      </c>
      <c r="E1483" s="4"/>
      <c r="F1483" s="4">
        <f>IFERROR(__xludf.DUMMYFUNCTION("""COMPUTED_VALUE"""),14.0)</f>
        <v>14</v>
      </c>
      <c r="G1483" s="4">
        <f>IFERROR(__xludf.DUMMYFUNCTION("""COMPUTED_VALUE"""),850.0)</f>
        <v>850</v>
      </c>
      <c r="H1483" s="4">
        <f>IFERROR(__xludf.DUMMYFUNCTION("""COMPUTED_VALUE"""),18386.0)</f>
        <v>18386</v>
      </c>
      <c r="I1483" s="4">
        <f>IFERROR(__xludf.DUMMYFUNCTION("""COMPUTED_VALUE"""),9035.0)</f>
        <v>9035</v>
      </c>
      <c r="J1483" s="4">
        <f>IFERROR(__xludf.DUMMYFUNCTION("""COMPUTED_VALUE"""),1720.0)</f>
        <v>1720</v>
      </c>
      <c r="K1483" s="4">
        <f>IFERROR(__xludf.DUMMYFUNCTION("""COMPUTED_VALUE"""),1775.0)</f>
        <v>1775</v>
      </c>
      <c r="L1483" s="4">
        <f>IFERROR(__xludf.DUMMYFUNCTION("""COMPUTED_VALUE"""),0.459)</f>
        <v>0.459</v>
      </c>
      <c r="M1483" s="4">
        <f>IFERROR(__xludf.DUMMYFUNCTION("""COMPUTED_VALUE"""),0.387)</f>
        <v>0.387</v>
      </c>
      <c r="N1483" s="4">
        <f>IFERROR(__xludf.DUMMYFUNCTION("""COMPUTED_VALUE"""),0.821)</f>
        <v>0.821</v>
      </c>
      <c r="O1483" s="4">
        <f>IFERROR(__xludf.DUMMYFUNCTION("""COMPUTED_VALUE"""),21.6)</f>
        <v>21.6</v>
      </c>
      <c r="P1483" s="4">
        <f>IFERROR(__xludf.DUMMYFUNCTION("""COMPUTED_VALUE"""),10.6)</f>
        <v>10.6</v>
      </c>
      <c r="Q1483" s="4">
        <f>IFERROR(__xludf.DUMMYFUNCTION("""COMPUTED_VALUE"""),2.0)</f>
        <v>2</v>
      </c>
      <c r="R1483" s="4">
        <f>IFERROR(__xludf.DUMMYFUNCTION("""COMPUTED_VALUE"""),2.1)</f>
        <v>2.1</v>
      </c>
      <c r="S1483" s="4">
        <f>IFERROR(__xludf.DUMMYFUNCTION("""COMPUTED_VALUE"""),37.4)</f>
        <v>37.4</v>
      </c>
      <c r="T1483" s="4">
        <f>IFERROR(__xludf.DUMMYFUNCTION("""COMPUTED_VALUE"""),0.098)</f>
        <v>0.098</v>
      </c>
      <c r="U1483" s="4">
        <f>IFERROR(__xludf.DUMMYFUNCTION("""COMPUTED_VALUE"""),-0.2)</f>
        <v>-0.2</v>
      </c>
      <c r="V1483" s="4">
        <f>IFERROR(__xludf.DUMMYFUNCTION("""COMPUTED_VALUE"""),8.6)</f>
        <v>8.6</v>
      </c>
    </row>
    <row r="1484">
      <c r="A1484" s="4">
        <f>IFERROR(__xludf.DUMMYFUNCTION("""COMPUTED_VALUE"""),29.0)</f>
        <v>29</v>
      </c>
      <c r="B1484" s="4">
        <f>IFERROR(__xludf.DUMMYFUNCTION("""COMPUTED_VALUE"""),29.0)</f>
        <v>29</v>
      </c>
      <c r="C1484" s="4" t="str">
        <f>IFERROR(__xludf.DUMMYFUNCTION("""COMPUTED_VALUE"""),"DAL")</f>
        <v>DAL</v>
      </c>
      <c r="D1484" s="4" t="str">
        <f>IFERROR(__xludf.DUMMYFUNCTION("""COMPUTED_VALUE"""),"Josh Howard")</f>
        <v>Josh Howard</v>
      </c>
      <c r="E1484" s="4" t="str">
        <f>IFERROR(__xludf.DUMMYFUNCTION("""COMPUTED_VALUE"""),"Wake Forest")</f>
        <v>Wake Forest</v>
      </c>
      <c r="F1484" s="4">
        <f>IFERROR(__xludf.DUMMYFUNCTION("""COMPUTED_VALUE"""),10.0)</f>
        <v>10</v>
      </c>
      <c r="G1484" s="4">
        <f>IFERROR(__xludf.DUMMYFUNCTION("""COMPUTED_VALUE"""),507.0)</f>
        <v>507</v>
      </c>
      <c r="H1484" s="4">
        <f>IFERROR(__xludf.DUMMYFUNCTION("""COMPUTED_VALUE"""),15350.0)</f>
        <v>15350</v>
      </c>
      <c r="I1484" s="4">
        <f>IFERROR(__xludf.DUMMYFUNCTION("""COMPUTED_VALUE"""),7270.0)</f>
        <v>7270</v>
      </c>
      <c r="J1484" s="4">
        <f>IFERROR(__xludf.DUMMYFUNCTION("""COMPUTED_VALUE"""),2886.0)</f>
        <v>2886</v>
      </c>
      <c r="K1484" s="4">
        <f>IFERROR(__xludf.DUMMYFUNCTION("""COMPUTED_VALUE"""),817.0)</f>
        <v>817</v>
      </c>
      <c r="L1484" s="4">
        <f>IFERROR(__xludf.DUMMYFUNCTION("""COMPUTED_VALUE"""),0.448)</f>
        <v>0.448</v>
      </c>
      <c r="M1484" s="4">
        <f>IFERROR(__xludf.DUMMYFUNCTION("""COMPUTED_VALUE"""),0.332)</f>
        <v>0.332</v>
      </c>
      <c r="N1484" s="4">
        <f>IFERROR(__xludf.DUMMYFUNCTION("""COMPUTED_VALUE"""),0.77)</f>
        <v>0.77</v>
      </c>
      <c r="O1484" s="4">
        <f>IFERROR(__xludf.DUMMYFUNCTION("""COMPUTED_VALUE"""),30.3)</f>
        <v>30.3</v>
      </c>
      <c r="P1484" s="4">
        <f>IFERROR(__xludf.DUMMYFUNCTION("""COMPUTED_VALUE"""),14.3)</f>
        <v>14.3</v>
      </c>
      <c r="Q1484" s="4">
        <f>IFERROR(__xludf.DUMMYFUNCTION("""COMPUTED_VALUE"""),5.7)</f>
        <v>5.7</v>
      </c>
      <c r="R1484" s="4">
        <f>IFERROR(__xludf.DUMMYFUNCTION("""COMPUTED_VALUE"""),1.6)</f>
        <v>1.6</v>
      </c>
      <c r="S1484" s="4">
        <f>IFERROR(__xludf.DUMMYFUNCTION("""COMPUTED_VALUE"""),38.0)</f>
        <v>38</v>
      </c>
      <c r="T1484" s="4">
        <f>IFERROR(__xludf.DUMMYFUNCTION("""COMPUTED_VALUE"""),0.119)</f>
        <v>0.119</v>
      </c>
      <c r="U1484" s="4">
        <f>IFERROR(__xludf.DUMMYFUNCTION("""COMPUTED_VALUE"""),0.6)</f>
        <v>0.6</v>
      </c>
      <c r="V1484" s="4">
        <f>IFERROR(__xludf.DUMMYFUNCTION("""COMPUTED_VALUE"""),10.0)</f>
        <v>10</v>
      </c>
    </row>
    <row r="1485">
      <c r="A1485" s="4"/>
      <c r="B1485" s="4"/>
      <c r="C1485" s="4"/>
      <c r="D1485" s="4" t="str">
        <f>IFERROR(__xludf.DUMMYFUNCTION("""COMPUTED_VALUE"""),"Round 2")</f>
        <v>Round 2</v>
      </c>
      <c r="E1485" s="4"/>
      <c r="F1485" s="4"/>
      <c r="G1485" s="4" t="str">
        <f>IFERROR(__xludf.DUMMYFUNCTION("""COMPUTED_VALUE"""),"Totals")</f>
        <v>Totals</v>
      </c>
      <c r="H1485" s="4"/>
      <c r="I1485" s="4"/>
      <c r="J1485" s="4"/>
      <c r="K1485" s="4"/>
      <c r="L1485" s="4" t="str">
        <f>IFERROR(__xludf.DUMMYFUNCTION("""COMPUTED_VALUE"""),"Shooting")</f>
        <v>Shooting</v>
      </c>
      <c r="M1485" s="4"/>
      <c r="N1485" s="4"/>
      <c r="O1485" s="4" t="str">
        <f>IFERROR(__xludf.DUMMYFUNCTION("""COMPUTED_VALUE"""),"Per Game")</f>
        <v>Per Game</v>
      </c>
      <c r="P1485" s="4"/>
      <c r="Q1485" s="4"/>
      <c r="R1485" s="4"/>
      <c r="S1485" s="4" t="str">
        <f>IFERROR(__xludf.DUMMYFUNCTION("""COMPUTED_VALUE"""),"Advanced")</f>
        <v>Advanced</v>
      </c>
      <c r="T1485" s="4"/>
      <c r="U1485" s="4"/>
      <c r="V1485" s="4"/>
    </row>
    <row r="1486">
      <c r="A1486" s="4" t="str">
        <f>IFERROR(__xludf.DUMMYFUNCTION("""COMPUTED_VALUE"""),"Rk")</f>
        <v>Rk</v>
      </c>
      <c r="B1486" s="4" t="str">
        <f>IFERROR(__xludf.DUMMYFUNCTION("""COMPUTED_VALUE"""),"Pk")</f>
        <v>Pk</v>
      </c>
      <c r="C1486" s="4" t="str">
        <f>IFERROR(__xludf.DUMMYFUNCTION("""COMPUTED_VALUE"""),"Tm")</f>
        <v>Tm</v>
      </c>
      <c r="D1486" s="4" t="str">
        <f>IFERROR(__xludf.DUMMYFUNCTION("""COMPUTED_VALUE"""),"Player")</f>
        <v>Player</v>
      </c>
      <c r="E1486" s="4" t="str">
        <f>IFERROR(__xludf.DUMMYFUNCTION("""COMPUTED_VALUE"""),"College")</f>
        <v>College</v>
      </c>
      <c r="F1486" s="4" t="str">
        <f>IFERROR(__xludf.DUMMYFUNCTION("""COMPUTED_VALUE"""),"Yrs")</f>
        <v>Yrs</v>
      </c>
      <c r="G1486" s="4" t="str">
        <f>IFERROR(__xludf.DUMMYFUNCTION("""COMPUTED_VALUE"""),"G")</f>
        <v>G</v>
      </c>
      <c r="H1486" s="4" t="str">
        <f>IFERROR(__xludf.DUMMYFUNCTION("""COMPUTED_VALUE"""),"MP")</f>
        <v>MP</v>
      </c>
      <c r="I1486" s="4" t="str">
        <f>IFERROR(__xludf.DUMMYFUNCTION("""COMPUTED_VALUE"""),"PTS")</f>
        <v>PTS</v>
      </c>
      <c r="J1486" s="4" t="str">
        <f>IFERROR(__xludf.DUMMYFUNCTION("""COMPUTED_VALUE"""),"TRB")</f>
        <v>TRB</v>
      </c>
      <c r="K1486" s="4" t="str">
        <f>IFERROR(__xludf.DUMMYFUNCTION("""COMPUTED_VALUE"""),"AST")</f>
        <v>AST</v>
      </c>
      <c r="L1486" s="4" t="str">
        <f>IFERROR(__xludf.DUMMYFUNCTION("""COMPUTED_VALUE"""),"FG%")</f>
        <v>FG%</v>
      </c>
      <c r="M1486" s="4" t="str">
        <f>IFERROR(__xludf.DUMMYFUNCTION("""COMPUTED_VALUE"""),"3P%")</f>
        <v>3P%</v>
      </c>
      <c r="N1486" s="4" t="str">
        <f>IFERROR(__xludf.DUMMYFUNCTION("""COMPUTED_VALUE"""),"FT%")</f>
        <v>FT%</v>
      </c>
      <c r="O1486" s="4" t="str">
        <f>IFERROR(__xludf.DUMMYFUNCTION("""COMPUTED_VALUE"""),"MP")</f>
        <v>MP</v>
      </c>
      <c r="P1486" s="4" t="str">
        <f>IFERROR(__xludf.DUMMYFUNCTION("""COMPUTED_VALUE"""),"PTS")</f>
        <v>PTS</v>
      </c>
      <c r="Q1486" s="4" t="str">
        <f>IFERROR(__xludf.DUMMYFUNCTION("""COMPUTED_VALUE"""),"TRB")</f>
        <v>TRB</v>
      </c>
      <c r="R1486" s="4" t="str">
        <f>IFERROR(__xludf.DUMMYFUNCTION("""COMPUTED_VALUE"""),"AST")</f>
        <v>AST</v>
      </c>
      <c r="S1486" s="4" t="str">
        <f>IFERROR(__xludf.DUMMYFUNCTION("""COMPUTED_VALUE"""),"WS")</f>
        <v>WS</v>
      </c>
      <c r="T1486" s="4" t="str">
        <f>IFERROR(__xludf.DUMMYFUNCTION("""COMPUTED_VALUE"""),"WS/48")</f>
        <v>WS/48</v>
      </c>
      <c r="U1486" s="4" t="str">
        <f>IFERROR(__xludf.DUMMYFUNCTION("""COMPUTED_VALUE"""),"BPM")</f>
        <v>BPM</v>
      </c>
      <c r="V1486" s="4" t="str">
        <f>IFERROR(__xludf.DUMMYFUNCTION("""COMPUTED_VALUE"""),"VORP")</f>
        <v>VORP</v>
      </c>
    </row>
    <row r="1487">
      <c r="A1487" s="4">
        <f>IFERROR(__xludf.DUMMYFUNCTION("""COMPUTED_VALUE"""),30.0)</f>
        <v>30</v>
      </c>
      <c r="B1487" s="4">
        <f>IFERROR(__xludf.DUMMYFUNCTION("""COMPUTED_VALUE"""),30.0)</f>
        <v>30</v>
      </c>
      <c r="C1487" s="4" t="str">
        <f>IFERROR(__xludf.DUMMYFUNCTION("""COMPUTED_VALUE"""),"NYK")</f>
        <v>NYK</v>
      </c>
      <c r="D1487" s="4" t="str">
        <f>IFERROR(__xludf.DUMMYFUNCTION("""COMPUTED_VALUE"""),"Maciej Lampe")</f>
        <v>Maciej Lampe</v>
      </c>
      <c r="E1487" s="4"/>
      <c r="F1487" s="4">
        <f>IFERROR(__xludf.DUMMYFUNCTION("""COMPUTED_VALUE"""),3.0)</f>
        <v>3</v>
      </c>
      <c r="G1487" s="4">
        <f>IFERROR(__xludf.DUMMYFUNCTION("""COMPUTED_VALUE"""),64.0)</f>
        <v>64</v>
      </c>
      <c r="H1487" s="4">
        <f>IFERROR(__xludf.DUMMYFUNCTION("""COMPUTED_VALUE"""),632.0)</f>
        <v>632</v>
      </c>
      <c r="I1487" s="4">
        <f>IFERROR(__xludf.DUMMYFUNCTION("""COMPUTED_VALUE"""),215.0)</f>
        <v>215</v>
      </c>
      <c r="J1487" s="4">
        <f>IFERROR(__xludf.DUMMYFUNCTION("""COMPUTED_VALUE"""),142.0)</f>
        <v>142</v>
      </c>
      <c r="K1487" s="4">
        <f>IFERROR(__xludf.DUMMYFUNCTION("""COMPUTED_VALUE"""),22.0)</f>
        <v>22</v>
      </c>
      <c r="L1487" s="4">
        <f>IFERROR(__xludf.DUMMYFUNCTION("""COMPUTED_VALUE"""),0.407)</f>
        <v>0.407</v>
      </c>
      <c r="M1487" s="4">
        <f>IFERROR(__xludf.DUMMYFUNCTION("""COMPUTED_VALUE"""),0.25)</f>
        <v>0.25</v>
      </c>
      <c r="N1487" s="4">
        <f>IFERROR(__xludf.DUMMYFUNCTION("""COMPUTED_VALUE"""),0.676)</f>
        <v>0.676</v>
      </c>
      <c r="O1487" s="4">
        <f>IFERROR(__xludf.DUMMYFUNCTION("""COMPUTED_VALUE"""),9.9)</f>
        <v>9.9</v>
      </c>
      <c r="P1487" s="4">
        <f>IFERROR(__xludf.DUMMYFUNCTION("""COMPUTED_VALUE"""),3.4)</f>
        <v>3.4</v>
      </c>
      <c r="Q1487" s="4">
        <f>IFERROR(__xludf.DUMMYFUNCTION("""COMPUTED_VALUE"""),2.2)</f>
        <v>2.2</v>
      </c>
      <c r="R1487" s="4">
        <f>IFERROR(__xludf.DUMMYFUNCTION("""COMPUTED_VALUE"""),0.3)</f>
        <v>0.3</v>
      </c>
      <c r="S1487" s="4">
        <f>IFERROR(__xludf.DUMMYFUNCTION("""COMPUTED_VALUE"""),-0.2)</f>
        <v>-0.2</v>
      </c>
      <c r="T1487" s="4">
        <f>IFERROR(__xludf.DUMMYFUNCTION("""COMPUTED_VALUE"""),-0.014)</f>
        <v>-0.014</v>
      </c>
      <c r="U1487" s="4">
        <f>IFERROR(__xludf.DUMMYFUNCTION("""COMPUTED_VALUE"""),-7.0)</f>
        <v>-7</v>
      </c>
      <c r="V1487" s="4">
        <f>IFERROR(__xludf.DUMMYFUNCTION("""COMPUTED_VALUE"""),-0.8)</f>
        <v>-0.8</v>
      </c>
    </row>
    <row r="1488">
      <c r="A1488" s="4">
        <f>IFERROR(__xludf.DUMMYFUNCTION("""COMPUTED_VALUE"""),31.0)</f>
        <v>31</v>
      </c>
      <c r="B1488" s="4">
        <f>IFERROR(__xludf.DUMMYFUNCTION("""COMPUTED_VALUE"""),31.0)</f>
        <v>31</v>
      </c>
      <c r="C1488" s="4" t="str">
        <f>IFERROR(__xludf.DUMMYFUNCTION("""COMPUTED_VALUE"""),"CLE")</f>
        <v>CLE</v>
      </c>
      <c r="D1488" s="4" t="str">
        <f>IFERROR(__xludf.DUMMYFUNCTION("""COMPUTED_VALUE"""),"Jason Kapono")</f>
        <v>Jason Kapono</v>
      </c>
      <c r="E1488" s="4" t="str">
        <f>IFERROR(__xludf.DUMMYFUNCTION("""COMPUTED_VALUE"""),"UCLA")</f>
        <v>UCLA</v>
      </c>
      <c r="F1488" s="4">
        <f>IFERROR(__xludf.DUMMYFUNCTION("""COMPUTED_VALUE"""),9.0)</f>
        <v>9</v>
      </c>
      <c r="G1488" s="4">
        <f>IFERROR(__xludf.DUMMYFUNCTION("""COMPUTED_VALUE"""),509.0)</f>
        <v>509</v>
      </c>
      <c r="H1488" s="4">
        <f>IFERROR(__xludf.DUMMYFUNCTION("""COMPUTED_VALUE"""),9068.0)</f>
        <v>9068</v>
      </c>
      <c r="I1488" s="4">
        <f>IFERROR(__xludf.DUMMYFUNCTION("""COMPUTED_VALUE"""),3398.0)</f>
        <v>3398</v>
      </c>
      <c r="J1488" s="4">
        <f>IFERROR(__xludf.DUMMYFUNCTION("""COMPUTED_VALUE"""),844.0)</f>
        <v>844</v>
      </c>
      <c r="K1488" s="4">
        <f>IFERROR(__xludf.DUMMYFUNCTION("""COMPUTED_VALUE"""),417.0)</f>
        <v>417</v>
      </c>
      <c r="L1488" s="4">
        <f>IFERROR(__xludf.DUMMYFUNCTION("""COMPUTED_VALUE"""),0.442)</f>
        <v>0.442</v>
      </c>
      <c r="M1488" s="4">
        <f>IFERROR(__xludf.DUMMYFUNCTION("""COMPUTED_VALUE"""),0.434)</f>
        <v>0.434</v>
      </c>
      <c r="N1488" s="4">
        <f>IFERROR(__xludf.DUMMYFUNCTION("""COMPUTED_VALUE"""),0.835)</f>
        <v>0.835</v>
      </c>
      <c r="O1488" s="4">
        <f>IFERROR(__xludf.DUMMYFUNCTION("""COMPUTED_VALUE"""),17.8)</f>
        <v>17.8</v>
      </c>
      <c r="P1488" s="4">
        <f>IFERROR(__xludf.DUMMYFUNCTION("""COMPUTED_VALUE"""),6.7)</f>
        <v>6.7</v>
      </c>
      <c r="Q1488" s="4">
        <f>IFERROR(__xludf.DUMMYFUNCTION("""COMPUTED_VALUE"""),1.7)</f>
        <v>1.7</v>
      </c>
      <c r="R1488" s="4">
        <f>IFERROR(__xludf.DUMMYFUNCTION("""COMPUTED_VALUE"""),0.8)</f>
        <v>0.8</v>
      </c>
      <c r="S1488" s="4">
        <f>IFERROR(__xludf.DUMMYFUNCTION("""COMPUTED_VALUE"""),10.3)</f>
        <v>10.3</v>
      </c>
      <c r="T1488" s="4">
        <f>IFERROR(__xludf.DUMMYFUNCTION("""COMPUTED_VALUE"""),0.055)</f>
        <v>0.055</v>
      </c>
      <c r="U1488" s="4">
        <f>IFERROR(__xludf.DUMMYFUNCTION("""COMPUTED_VALUE"""),-2.6)</f>
        <v>-2.6</v>
      </c>
      <c r="V1488" s="4">
        <f>IFERROR(__xludf.DUMMYFUNCTION("""COMPUTED_VALUE"""),-1.3)</f>
        <v>-1.3</v>
      </c>
    </row>
    <row r="1489">
      <c r="A1489" s="4">
        <f>IFERROR(__xludf.DUMMYFUNCTION("""COMPUTED_VALUE"""),32.0)</f>
        <v>32</v>
      </c>
      <c r="B1489" s="4">
        <f>IFERROR(__xludf.DUMMYFUNCTION("""COMPUTED_VALUE"""),32.0)</f>
        <v>32</v>
      </c>
      <c r="C1489" s="4" t="str">
        <f>IFERROR(__xludf.DUMMYFUNCTION("""COMPUTED_VALUE"""),"LAL")</f>
        <v>LAL</v>
      </c>
      <c r="D1489" s="4" t="str">
        <f>IFERROR(__xludf.DUMMYFUNCTION("""COMPUTED_VALUE"""),"Luke Walton")</f>
        <v>Luke Walton</v>
      </c>
      <c r="E1489" s="4" t="str">
        <f>IFERROR(__xludf.DUMMYFUNCTION("""COMPUTED_VALUE"""),"Arizona")</f>
        <v>Arizona</v>
      </c>
      <c r="F1489" s="4">
        <f>IFERROR(__xludf.DUMMYFUNCTION("""COMPUTED_VALUE"""),10.0)</f>
        <v>10</v>
      </c>
      <c r="G1489" s="4">
        <f>IFERROR(__xludf.DUMMYFUNCTION("""COMPUTED_VALUE"""),564.0)</f>
        <v>564</v>
      </c>
      <c r="H1489" s="4">
        <f>IFERROR(__xludf.DUMMYFUNCTION("""COMPUTED_VALUE"""),9685.0)</f>
        <v>9685</v>
      </c>
      <c r="I1489" s="4">
        <f>IFERROR(__xludf.DUMMYFUNCTION("""COMPUTED_VALUE"""),2649.0)</f>
        <v>2649</v>
      </c>
      <c r="J1489" s="4">
        <f>IFERROR(__xludf.DUMMYFUNCTION("""COMPUTED_VALUE"""),1588.0)</f>
        <v>1588</v>
      </c>
      <c r="K1489" s="4">
        <f>IFERROR(__xludf.DUMMYFUNCTION("""COMPUTED_VALUE"""),1317.0)</f>
        <v>1317</v>
      </c>
      <c r="L1489" s="4">
        <f>IFERROR(__xludf.DUMMYFUNCTION("""COMPUTED_VALUE"""),0.429)</f>
        <v>0.429</v>
      </c>
      <c r="M1489" s="4">
        <f>IFERROR(__xludf.DUMMYFUNCTION("""COMPUTED_VALUE"""),0.326)</f>
        <v>0.326</v>
      </c>
      <c r="N1489" s="4">
        <f>IFERROR(__xludf.DUMMYFUNCTION("""COMPUTED_VALUE"""),0.715)</f>
        <v>0.715</v>
      </c>
      <c r="O1489" s="4">
        <f>IFERROR(__xludf.DUMMYFUNCTION("""COMPUTED_VALUE"""),17.2)</f>
        <v>17.2</v>
      </c>
      <c r="P1489" s="4">
        <f>IFERROR(__xludf.DUMMYFUNCTION("""COMPUTED_VALUE"""),4.7)</f>
        <v>4.7</v>
      </c>
      <c r="Q1489" s="4">
        <f>IFERROR(__xludf.DUMMYFUNCTION("""COMPUTED_VALUE"""),2.8)</f>
        <v>2.8</v>
      </c>
      <c r="R1489" s="4">
        <f>IFERROR(__xludf.DUMMYFUNCTION("""COMPUTED_VALUE"""),2.3)</f>
        <v>2.3</v>
      </c>
      <c r="S1489" s="4">
        <f>IFERROR(__xludf.DUMMYFUNCTION("""COMPUTED_VALUE"""),13.5)</f>
        <v>13.5</v>
      </c>
      <c r="T1489" s="4">
        <f>IFERROR(__xludf.DUMMYFUNCTION("""COMPUTED_VALUE"""),0.067)</f>
        <v>0.067</v>
      </c>
      <c r="U1489" s="4">
        <f>IFERROR(__xludf.DUMMYFUNCTION("""COMPUTED_VALUE"""),-1.0)</f>
        <v>-1</v>
      </c>
      <c r="V1489" s="4">
        <f>IFERROR(__xludf.DUMMYFUNCTION("""COMPUTED_VALUE"""),2.5)</f>
        <v>2.5</v>
      </c>
    </row>
    <row r="1490">
      <c r="A1490" s="4">
        <f>IFERROR(__xludf.DUMMYFUNCTION("""COMPUTED_VALUE"""),33.0)</f>
        <v>33</v>
      </c>
      <c r="B1490" s="4">
        <f>IFERROR(__xludf.DUMMYFUNCTION("""COMPUTED_VALUE"""),33.0)</f>
        <v>33</v>
      </c>
      <c r="C1490" s="4" t="str">
        <f>IFERROR(__xludf.DUMMYFUNCTION("""COMPUTED_VALUE"""),"MIA")</f>
        <v>MIA</v>
      </c>
      <c r="D1490" s="4" t="str">
        <f>IFERROR(__xludf.DUMMYFUNCTION("""COMPUTED_VALUE"""),"Jerome Beasley")</f>
        <v>Jerome Beasley</v>
      </c>
      <c r="E1490" s="4" t="str">
        <f>IFERROR(__xludf.DUMMYFUNCTION("""COMPUTED_VALUE"""),"University of North Dakota")</f>
        <v>University of North Dakota</v>
      </c>
      <c r="F1490" s="4">
        <f>IFERROR(__xludf.DUMMYFUNCTION("""COMPUTED_VALUE"""),1.0)</f>
        <v>1</v>
      </c>
      <c r="G1490" s="4">
        <f>IFERROR(__xludf.DUMMYFUNCTION("""COMPUTED_VALUE"""),2.0)</f>
        <v>2</v>
      </c>
      <c r="H1490" s="4">
        <f>IFERROR(__xludf.DUMMYFUNCTION("""COMPUTED_VALUE"""),5.0)</f>
        <v>5</v>
      </c>
      <c r="I1490" s="4">
        <f>IFERROR(__xludf.DUMMYFUNCTION("""COMPUTED_VALUE"""),2.0)</f>
        <v>2</v>
      </c>
      <c r="J1490" s="4">
        <f>IFERROR(__xludf.DUMMYFUNCTION("""COMPUTED_VALUE"""),1.0)</f>
        <v>1</v>
      </c>
      <c r="K1490" s="4">
        <f>IFERROR(__xludf.DUMMYFUNCTION("""COMPUTED_VALUE"""),0.0)</f>
        <v>0</v>
      </c>
      <c r="L1490" s="4">
        <f>IFERROR(__xludf.DUMMYFUNCTION("""COMPUTED_VALUE"""),0.333)</f>
        <v>0.333</v>
      </c>
      <c r="M1490" s="4"/>
      <c r="N1490" s="4"/>
      <c r="O1490" s="4">
        <f>IFERROR(__xludf.DUMMYFUNCTION("""COMPUTED_VALUE"""),2.5)</f>
        <v>2.5</v>
      </c>
      <c r="P1490" s="4">
        <f>IFERROR(__xludf.DUMMYFUNCTION("""COMPUTED_VALUE"""),1.0)</f>
        <v>1</v>
      </c>
      <c r="Q1490" s="4">
        <f>IFERROR(__xludf.DUMMYFUNCTION("""COMPUTED_VALUE"""),0.5)</f>
        <v>0.5</v>
      </c>
      <c r="R1490" s="4">
        <f>IFERROR(__xludf.DUMMYFUNCTION("""COMPUTED_VALUE"""),0.0)</f>
        <v>0</v>
      </c>
      <c r="S1490" s="4">
        <f>IFERROR(__xludf.DUMMYFUNCTION("""COMPUTED_VALUE"""),0.0)</f>
        <v>0</v>
      </c>
      <c r="T1490" s="4">
        <f>IFERROR(__xludf.DUMMYFUNCTION("""COMPUTED_VALUE"""),-0.117)</f>
        <v>-0.117</v>
      </c>
      <c r="U1490" s="4">
        <f>IFERROR(__xludf.DUMMYFUNCTION("""COMPUTED_VALUE"""),-5.2)</f>
        <v>-5.2</v>
      </c>
      <c r="V1490" s="4">
        <f>IFERROR(__xludf.DUMMYFUNCTION("""COMPUTED_VALUE"""),0.0)</f>
        <v>0</v>
      </c>
    </row>
    <row r="1491">
      <c r="A1491" s="4">
        <f>IFERROR(__xludf.DUMMYFUNCTION("""COMPUTED_VALUE"""),34.0)</f>
        <v>34</v>
      </c>
      <c r="B1491" s="4">
        <f>IFERROR(__xludf.DUMMYFUNCTION("""COMPUTED_VALUE"""),34.0)</f>
        <v>34</v>
      </c>
      <c r="C1491" s="4" t="str">
        <f>IFERROR(__xludf.DUMMYFUNCTION("""COMPUTED_VALUE"""),"LAC")</f>
        <v>LAC</v>
      </c>
      <c r="D1491" s="4" t="str">
        <f>IFERROR(__xludf.DUMMYFUNCTION("""COMPUTED_VALUE"""),"Sofoklis Schortsanitis")</f>
        <v>Sofoklis Schortsanitis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>
      <c r="A1492" s="4">
        <f>IFERROR(__xludf.DUMMYFUNCTION("""COMPUTED_VALUE"""),35.0)</f>
        <v>35</v>
      </c>
      <c r="B1492" s="4">
        <f>IFERROR(__xludf.DUMMYFUNCTION("""COMPUTED_VALUE"""),35.0)</f>
        <v>35</v>
      </c>
      <c r="C1492" s="4" t="str">
        <f>IFERROR(__xludf.DUMMYFUNCTION("""COMPUTED_VALUE"""),"MIL")</f>
        <v>MIL</v>
      </c>
      <c r="D1492" s="4" t="str">
        <f>IFERROR(__xludf.DUMMYFUNCTION("""COMPUTED_VALUE"""),"Szymon Szewczyk")</f>
        <v>Szymon Szewczyk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</row>
    <row r="1493">
      <c r="A1493" s="4">
        <f>IFERROR(__xludf.DUMMYFUNCTION("""COMPUTED_VALUE"""),36.0)</f>
        <v>36</v>
      </c>
      <c r="B1493" s="4">
        <f>IFERROR(__xludf.DUMMYFUNCTION("""COMPUTED_VALUE"""),36.0)</f>
        <v>36</v>
      </c>
      <c r="C1493" s="4" t="str">
        <f>IFERROR(__xludf.DUMMYFUNCTION("""COMPUTED_VALUE"""),"CHI")</f>
        <v>CHI</v>
      </c>
      <c r="D1493" s="4" t="str">
        <f>IFERROR(__xludf.DUMMYFUNCTION("""COMPUTED_VALUE"""),"Mario Austin")</f>
        <v>Mario Austin</v>
      </c>
      <c r="E1493" s="4" t="str">
        <f>IFERROR(__xludf.DUMMYFUNCTION("""COMPUTED_VALUE"""),"Mississippi State")</f>
        <v>Mississippi State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</row>
    <row r="1494">
      <c r="A1494" s="4">
        <f>IFERROR(__xludf.DUMMYFUNCTION("""COMPUTED_VALUE"""),37.0)</f>
        <v>37</v>
      </c>
      <c r="B1494" s="4">
        <f>IFERROR(__xludf.DUMMYFUNCTION("""COMPUTED_VALUE"""),37.0)</f>
        <v>37</v>
      </c>
      <c r="C1494" s="4" t="str">
        <f>IFERROR(__xludf.DUMMYFUNCTION("""COMPUTED_VALUE"""),"ATL")</f>
        <v>ATL</v>
      </c>
      <c r="D1494" s="4" t="str">
        <f>IFERROR(__xludf.DUMMYFUNCTION("""COMPUTED_VALUE"""),"Travis Hansen")</f>
        <v>Travis Hansen</v>
      </c>
      <c r="E1494" s="4" t="str">
        <f>IFERROR(__xludf.DUMMYFUNCTION("""COMPUTED_VALUE"""),"BYU")</f>
        <v>BYU</v>
      </c>
      <c r="F1494" s="4">
        <f>IFERROR(__xludf.DUMMYFUNCTION("""COMPUTED_VALUE"""),1.0)</f>
        <v>1</v>
      </c>
      <c r="G1494" s="4">
        <f>IFERROR(__xludf.DUMMYFUNCTION("""COMPUTED_VALUE"""),41.0)</f>
        <v>41</v>
      </c>
      <c r="H1494" s="4">
        <f>IFERROR(__xludf.DUMMYFUNCTION("""COMPUTED_VALUE"""),507.0)</f>
        <v>507</v>
      </c>
      <c r="I1494" s="4">
        <f>IFERROR(__xludf.DUMMYFUNCTION("""COMPUTED_VALUE"""),123.0)</f>
        <v>123</v>
      </c>
      <c r="J1494" s="4">
        <f>IFERROR(__xludf.DUMMYFUNCTION("""COMPUTED_VALUE"""),70.0)</f>
        <v>70</v>
      </c>
      <c r="K1494" s="4">
        <f>IFERROR(__xludf.DUMMYFUNCTION("""COMPUTED_VALUE"""),19.0)</f>
        <v>19</v>
      </c>
      <c r="L1494" s="4">
        <f>IFERROR(__xludf.DUMMYFUNCTION("""COMPUTED_VALUE"""),0.354)</f>
        <v>0.354</v>
      </c>
      <c r="M1494" s="4">
        <f>IFERROR(__xludf.DUMMYFUNCTION("""COMPUTED_VALUE"""),0.3)</f>
        <v>0.3</v>
      </c>
      <c r="N1494" s="4">
        <f>IFERROR(__xludf.DUMMYFUNCTION("""COMPUTED_VALUE"""),0.815)</f>
        <v>0.815</v>
      </c>
      <c r="O1494" s="4">
        <f>IFERROR(__xludf.DUMMYFUNCTION("""COMPUTED_VALUE"""),12.4)</f>
        <v>12.4</v>
      </c>
      <c r="P1494" s="4">
        <f>IFERROR(__xludf.DUMMYFUNCTION("""COMPUTED_VALUE"""),3.0)</f>
        <v>3</v>
      </c>
      <c r="Q1494" s="4">
        <f>IFERROR(__xludf.DUMMYFUNCTION("""COMPUTED_VALUE"""),1.7)</f>
        <v>1.7</v>
      </c>
      <c r="R1494" s="4">
        <f>IFERROR(__xludf.DUMMYFUNCTION("""COMPUTED_VALUE"""),0.5)</f>
        <v>0.5</v>
      </c>
      <c r="S1494" s="4">
        <f>IFERROR(__xludf.DUMMYFUNCTION("""COMPUTED_VALUE"""),0.2)</f>
        <v>0.2</v>
      </c>
      <c r="T1494" s="4">
        <f>IFERROR(__xludf.DUMMYFUNCTION("""COMPUTED_VALUE"""),0.019)</f>
        <v>0.019</v>
      </c>
      <c r="U1494" s="4">
        <f>IFERROR(__xludf.DUMMYFUNCTION("""COMPUTED_VALUE"""),-6.2)</f>
        <v>-6.2</v>
      </c>
      <c r="V1494" s="4">
        <f>IFERROR(__xludf.DUMMYFUNCTION("""COMPUTED_VALUE"""),-0.5)</f>
        <v>-0.5</v>
      </c>
    </row>
    <row r="1495">
      <c r="A1495" s="4">
        <f>IFERROR(__xludf.DUMMYFUNCTION("""COMPUTED_VALUE"""),38.0)</f>
        <v>38</v>
      </c>
      <c r="B1495" s="4">
        <f>IFERROR(__xludf.DUMMYFUNCTION("""COMPUTED_VALUE"""),38.0)</f>
        <v>38</v>
      </c>
      <c r="C1495" s="4" t="str">
        <f>IFERROR(__xludf.DUMMYFUNCTION("""COMPUTED_VALUE"""),"WAS")</f>
        <v>WAS</v>
      </c>
      <c r="D1495" s="4" t="str">
        <f>IFERROR(__xludf.DUMMYFUNCTION("""COMPUTED_VALUE"""),"Steve Blake")</f>
        <v>Steve Blake</v>
      </c>
      <c r="E1495" s="4" t="str">
        <f>IFERROR(__xludf.DUMMYFUNCTION("""COMPUTED_VALUE"""),"Maryland")</f>
        <v>Maryland</v>
      </c>
      <c r="F1495" s="4">
        <f>IFERROR(__xludf.DUMMYFUNCTION("""COMPUTED_VALUE"""),13.0)</f>
        <v>13</v>
      </c>
      <c r="G1495" s="4">
        <f>IFERROR(__xludf.DUMMYFUNCTION("""COMPUTED_VALUE"""),870.0)</f>
        <v>870</v>
      </c>
      <c r="H1495" s="4">
        <f>IFERROR(__xludf.DUMMYFUNCTION("""COMPUTED_VALUE"""),20823.0)</f>
        <v>20823</v>
      </c>
      <c r="I1495" s="4">
        <f>IFERROR(__xludf.DUMMYFUNCTION("""COMPUTED_VALUE"""),5662.0)</f>
        <v>5662</v>
      </c>
      <c r="J1495" s="4">
        <f>IFERROR(__xludf.DUMMYFUNCTION("""COMPUTED_VALUE"""),1816.0)</f>
        <v>1816</v>
      </c>
      <c r="K1495" s="4">
        <f>IFERROR(__xludf.DUMMYFUNCTION("""COMPUTED_VALUE"""),3446.0)</f>
        <v>3446</v>
      </c>
      <c r="L1495" s="4">
        <f>IFERROR(__xludf.DUMMYFUNCTION("""COMPUTED_VALUE"""),0.401)</f>
        <v>0.401</v>
      </c>
      <c r="M1495" s="4">
        <f>IFERROR(__xludf.DUMMYFUNCTION("""COMPUTED_VALUE"""),0.383)</f>
        <v>0.383</v>
      </c>
      <c r="N1495" s="4">
        <f>IFERROR(__xludf.DUMMYFUNCTION("""COMPUTED_VALUE"""),0.779)</f>
        <v>0.779</v>
      </c>
      <c r="O1495" s="4">
        <f>IFERROR(__xludf.DUMMYFUNCTION("""COMPUTED_VALUE"""),23.9)</f>
        <v>23.9</v>
      </c>
      <c r="P1495" s="4">
        <f>IFERROR(__xludf.DUMMYFUNCTION("""COMPUTED_VALUE"""),6.5)</f>
        <v>6.5</v>
      </c>
      <c r="Q1495" s="4">
        <f>IFERROR(__xludf.DUMMYFUNCTION("""COMPUTED_VALUE"""),2.1)</f>
        <v>2.1</v>
      </c>
      <c r="R1495" s="4">
        <f>IFERROR(__xludf.DUMMYFUNCTION("""COMPUTED_VALUE"""),4.0)</f>
        <v>4</v>
      </c>
      <c r="S1495" s="4">
        <f>IFERROR(__xludf.DUMMYFUNCTION("""COMPUTED_VALUE"""),29.1)</f>
        <v>29.1</v>
      </c>
      <c r="T1495" s="4">
        <f>IFERROR(__xludf.DUMMYFUNCTION("""COMPUTED_VALUE"""),0.067)</f>
        <v>0.067</v>
      </c>
      <c r="U1495" s="4">
        <f>IFERROR(__xludf.DUMMYFUNCTION("""COMPUTED_VALUE"""),-1.2)</f>
        <v>-1.2</v>
      </c>
      <c r="V1495" s="4">
        <f>IFERROR(__xludf.DUMMYFUNCTION("""COMPUTED_VALUE"""),4.2)</f>
        <v>4.2</v>
      </c>
    </row>
    <row r="1496">
      <c r="A1496" s="4">
        <f>IFERROR(__xludf.DUMMYFUNCTION("""COMPUTED_VALUE"""),39.0)</f>
        <v>39</v>
      </c>
      <c r="B1496" s="4">
        <f>IFERROR(__xludf.DUMMYFUNCTION("""COMPUTED_VALUE"""),39.0)</f>
        <v>39</v>
      </c>
      <c r="C1496" s="4" t="str">
        <f>IFERROR(__xludf.DUMMYFUNCTION("""COMPUTED_VALUE"""),"NYK")</f>
        <v>NYK</v>
      </c>
      <c r="D1496" s="4" t="str">
        <f>IFERROR(__xludf.DUMMYFUNCTION("""COMPUTED_VALUE"""),"Slavko Vraneš")</f>
        <v>Slavko Vraneš</v>
      </c>
      <c r="E1496" s="4"/>
      <c r="F1496" s="4">
        <f>IFERROR(__xludf.DUMMYFUNCTION("""COMPUTED_VALUE"""),1.0)</f>
        <v>1</v>
      </c>
      <c r="G1496" s="4">
        <f>IFERROR(__xludf.DUMMYFUNCTION("""COMPUTED_VALUE"""),1.0)</f>
        <v>1</v>
      </c>
      <c r="H1496" s="4">
        <f>IFERROR(__xludf.DUMMYFUNCTION("""COMPUTED_VALUE"""),3.0)</f>
        <v>3</v>
      </c>
      <c r="I1496" s="4">
        <f>IFERROR(__xludf.DUMMYFUNCTION("""COMPUTED_VALUE"""),0.0)</f>
        <v>0</v>
      </c>
      <c r="J1496" s="4">
        <f>IFERROR(__xludf.DUMMYFUNCTION("""COMPUTED_VALUE"""),0.0)</f>
        <v>0</v>
      </c>
      <c r="K1496" s="4">
        <f>IFERROR(__xludf.DUMMYFUNCTION("""COMPUTED_VALUE"""),0.0)</f>
        <v>0</v>
      </c>
      <c r="L1496" s="4">
        <f>IFERROR(__xludf.DUMMYFUNCTION("""COMPUTED_VALUE"""),0.0)</f>
        <v>0</v>
      </c>
      <c r="M1496" s="4"/>
      <c r="N1496" s="4"/>
      <c r="O1496" s="4">
        <f>IFERROR(__xludf.DUMMYFUNCTION("""COMPUTED_VALUE"""),3.0)</f>
        <v>3</v>
      </c>
      <c r="P1496" s="4">
        <f>IFERROR(__xludf.DUMMYFUNCTION("""COMPUTED_VALUE"""),0.0)</f>
        <v>0</v>
      </c>
      <c r="Q1496" s="4">
        <f>IFERROR(__xludf.DUMMYFUNCTION("""COMPUTED_VALUE"""),0.0)</f>
        <v>0</v>
      </c>
      <c r="R1496" s="4">
        <f>IFERROR(__xludf.DUMMYFUNCTION("""COMPUTED_VALUE"""),0.0)</f>
        <v>0</v>
      </c>
      <c r="S1496" s="4">
        <f>IFERROR(__xludf.DUMMYFUNCTION("""COMPUTED_VALUE"""),0.0)</f>
        <v>0</v>
      </c>
      <c r="T1496" s="4">
        <f>IFERROR(__xludf.DUMMYFUNCTION("""COMPUTED_VALUE"""),-0.371)</f>
        <v>-0.371</v>
      </c>
      <c r="U1496" s="4">
        <f>IFERROR(__xludf.DUMMYFUNCTION("""COMPUTED_VALUE"""),-26.2)</f>
        <v>-26.2</v>
      </c>
      <c r="V1496" s="4">
        <f>IFERROR(__xludf.DUMMYFUNCTION("""COMPUTED_VALUE"""),0.0)</f>
        <v>0</v>
      </c>
    </row>
    <row r="1497">
      <c r="A1497" s="4">
        <f>IFERROR(__xludf.DUMMYFUNCTION("""COMPUTED_VALUE"""),40.0)</f>
        <v>40</v>
      </c>
      <c r="B1497" s="4">
        <f>IFERROR(__xludf.DUMMYFUNCTION("""COMPUTED_VALUE"""),40.0)</f>
        <v>40</v>
      </c>
      <c r="C1497" s="4" t="str">
        <f>IFERROR(__xludf.DUMMYFUNCTION("""COMPUTED_VALUE"""),"GSW")</f>
        <v>GSW</v>
      </c>
      <c r="D1497" s="4" t="str">
        <f>IFERROR(__xludf.DUMMYFUNCTION("""COMPUTED_VALUE"""),"Derrick Zimmerman")</f>
        <v>Derrick Zimmerman</v>
      </c>
      <c r="E1497" s="4" t="str">
        <f>IFERROR(__xludf.DUMMYFUNCTION("""COMPUTED_VALUE"""),"Mississippi State")</f>
        <v>Mississippi State</v>
      </c>
      <c r="F1497" s="4">
        <f>IFERROR(__xludf.DUMMYFUNCTION("""COMPUTED_VALUE"""),1.0)</f>
        <v>1</v>
      </c>
      <c r="G1497" s="4">
        <f>IFERROR(__xludf.DUMMYFUNCTION("""COMPUTED_VALUE"""),2.0)</f>
        <v>2</v>
      </c>
      <c r="H1497" s="4">
        <f>IFERROR(__xludf.DUMMYFUNCTION("""COMPUTED_VALUE"""),32.0)</f>
        <v>32</v>
      </c>
      <c r="I1497" s="4">
        <f>IFERROR(__xludf.DUMMYFUNCTION("""COMPUTED_VALUE"""),4.0)</f>
        <v>4</v>
      </c>
      <c r="J1497" s="4">
        <f>IFERROR(__xludf.DUMMYFUNCTION("""COMPUTED_VALUE"""),4.0)</f>
        <v>4</v>
      </c>
      <c r="K1497" s="4">
        <f>IFERROR(__xludf.DUMMYFUNCTION("""COMPUTED_VALUE"""),7.0)</f>
        <v>7</v>
      </c>
      <c r="L1497" s="4">
        <f>IFERROR(__xludf.DUMMYFUNCTION("""COMPUTED_VALUE"""),0.667)</f>
        <v>0.667</v>
      </c>
      <c r="M1497" s="4"/>
      <c r="N1497" s="4"/>
      <c r="O1497" s="4">
        <f>IFERROR(__xludf.DUMMYFUNCTION("""COMPUTED_VALUE"""),16.0)</f>
        <v>16</v>
      </c>
      <c r="P1497" s="4">
        <f>IFERROR(__xludf.DUMMYFUNCTION("""COMPUTED_VALUE"""),2.0)</f>
        <v>2</v>
      </c>
      <c r="Q1497" s="4">
        <f>IFERROR(__xludf.DUMMYFUNCTION("""COMPUTED_VALUE"""),2.0)</f>
        <v>2</v>
      </c>
      <c r="R1497" s="4">
        <f>IFERROR(__xludf.DUMMYFUNCTION("""COMPUTED_VALUE"""),3.5)</f>
        <v>3.5</v>
      </c>
      <c r="S1497" s="4">
        <f>IFERROR(__xludf.DUMMYFUNCTION("""COMPUTED_VALUE"""),0.0)</f>
        <v>0</v>
      </c>
      <c r="T1497" s="4">
        <f>IFERROR(__xludf.DUMMYFUNCTION("""COMPUTED_VALUE"""),0.004)</f>
        <v>0.004</v>
      </c>
      <c r="U1497" s="4">
        <f>IFERROR(__xludf.DUMMYFUNCTION("""COMPUTED_VALUE"""),-10.4)</f>
        <v>-10.4</v>
      </c>
      <c r="V1497" s="4">
        <f>IFERROR(__xludf.DUMMYFUNCTION("""COMPUTED_VALUE"""),-0.1)</f>
        <v>-0.1</v>
      </c>
    </row>
    <row r="1498">
      <c r="A1498" s="4">
        <f>IFERROR(__xludf.DUMMYFUNCTION("""COMPUTED_VALUE"""),41.0)</f>
        <v>41</v>
      </c>
      <c r="B1498" s="4">
        <f>IFERROR(__xludf.DUMMYFUNCTION("""COMPUTED_VALUE"""),41.0)</f>
        <v>41</v>
      </c>
      <c r="C1498" s="4" t="str">
        <f>IFERROR(__xludf.DUMMYFUNCTION("""COMPUTED_VALUE"""),"SEA")</f>
        <v>SEA</v>
      </c>
      <c r="D1498" s="4" t="str">
        <f>IFERROR(__xludf.DUMMYFUNCTION("""COMPUTED_VALUE"""),"Willie Green")</f>
        <v>Willie Green</v>
      </c>
      <c r="E1498" s="4" t="str">
        <f>IFERROR(__xludf.DUMMYFUNCTION("""COMPUTED_VALUE"""),"Detroit Mercy")</f>
        <v>Detroit Mercy</v>
      </c>
      <c r="F1498" s="4">
        <f>IFERROR(__xludf.DUMMYFUNCTION("""COMPUTED_VALUE"""),12.0)</f>
        <v>12</v>
      </c>
      <c r="G1498" s="4">
        <f>IFERROR(__xludf.DUMMYFUNCTION("""COMPUTED_VALUE"""),731.0)</f>
        <v>731</v>
      </c>
      <c r="H1498" s="4">
        <f>IFERROR(__xludf.DUMMYFUNCTION("""COMPUTED_VALUE"""),14783.0)</f>
        <v>14783</v>
      </c>
      <c r="I1498" s="4">
        <f>IFERROR(__xludf.DUMMYFUNCTION("""COMPUTED_VALUE"""),6059.0)</f>
        <v>6059</v>
      </c>
      <c r="J1498" s="4">
        <f>IFERROR(__xludf.DUMMYFUNCTION("""COMPUTED_VALUE"""),1303.0)</f>
        <v>1303</v>
      </c>
      <c r="K1498" s="4">
        <f>IFERROR(__xludf.DUMMYFUNCTION("""COMPUTED_VALUE"""),1018.0)</f>
        <v>1018</v>
      </c>
      <c r="L1498" s="4">
        <f>IFERROR(__xludf.DUMMYFUNCTION("""COMPUTED_VALUE"""),0.425)</f>
        <v>0.425</v>
      </c>
      <c r="M1498" s="4">
        <f>IFERROR(__xludf.DUMMYFUNCTION("""COMPUTED_VALUE"""),0.346)</f>
        <v>0.346</v>
      </c>
      <c r="N1498" s="4">
        <f>IFERROR(__xludf.DUMMYFUNCTION("""COMPUTED_VALUE"""),0.765)</f>
        <v>0.765</v>
      </c>
      <c r="O1498" s="4">
        <f>IFERROR(__xludf.DUMMYFUNCTION("""COMPUTED_VALUE"""),20.2)</f>
        <v>20.2</v>
      </c>
      <c r="P1498" s="4">
        <f>IFERROR(__xludf.DUMMYFUNCTION("""COMPUTED_VALUE"""),8.3)</f>
        <v>8.3</v>
      </c>
      <c r="Q1498" s="4">
        <f>IFERROR(__xludf.DUMMYFUNCTION("""COMPUTED_VALUE"""),1.8)</f>
        <v>1.8</v>
      </c>
      <c r="R1498" s="4">
        <f>IFERROR(__xludf.DUMMYFUNCTION("""COMPUTED_VALUE"""),1.4)</f>
        <v>1.4</v>
      </c>
      <c r="S1498" s="4">
        <f>IFERROR(__xludf.DUMMYFUNCTION("""COMPUTED_VALUE"""),12.9)</f>
        <v>12.9</v>
      </c>
      <c r="T1498" s="4">
        <f>IFERROR(__xludf.DUMMYFUNCTION("""COMPUTED_VALUE"""),0.042)</f>
        <v>0.042</v>
      </c>
      <c r="U1498" s="4">
        <f>IFERROR(__xludf.DUMMYFUNCTION("""COMPUTED_VALUE"""),-2.7)</f>
        <v>-2.7</v>
      </c>
      <c r="V1498" s="4">
        <f>IFERROR(__xludf.DUMMYFUNCTION("""COMPUTED_VALUE"""),-2.7)</f>
        <v>-2.7</v>
      </c>
    </row>
    <row r="1499">
      <c r="A1499" s="4">
        <f>IFERROR(__xludf.DUMMYFUNCTION("""COMPUTED_VALUE"""),42.0)</f>
        <v>42</v>
      </c>
      <c r="B1499" s="4">
        <f>IFERROR(__xludf.DUMMYFUNCTION("""COMPUTED_VALUE"""),42.0)</f>
        <v>42</v>
      </c>
      <c r="C1499" s="4" t="str">
        <f>IFERROR(__xludf.DUMMYFUNCTION("""COMPUTED_VALUE"""),"ORL")</f>
        <v>ORL</v>
      </c>
      <c r="D1499" s="4" t="str">
        <f>IFERROR(__xludf.DUMMYFUNCTION("""COMPUTED_VALUE"""),"Zaza Pachulia")</f>
        <v>Zaza Pachulia</v>
      </c>
      <c r="E1499" s="4"/>
      <c r="F1499" s="4">
        <f>IFERROR(__xludf.DUMMYFUNCTION("""COMPUTED_VALUE"""),16.0)</f>
        <v>16</v>
      </c>
      <c r="G1499" s="4">
        <f>IFERROR(__xludf.DUMMYFUNCTION("""COMPUTED_VALUE"""),1098.0)</f>
        <v>1098</v>
      </c>
      <c r="H1499" s="4">
        <f>IFERROR(__xludf.DUMMYFUNCTION("""COMPUTED_VALUE"""),22240.0)</f>
        <v>22240</v>
      </c>
      <c r="I1499" s="4">
        <f>IFERROR(__xludf.DUMMYFUNCTION("""COMPUTED_VALUE"""),7414.0)</f>
        <v>7414</v>
      </c>
      <c r="J1499" s="4">
        <f>IFERROR(__xludf.DUMMYFUNCTION("""COMPUTED_VALUE"""),6315.0)</f>
        <v>6315</v>
      </c>
      <c r="K1499" s="4">
        <f>IFERROR(__xludf.DUMMYFUNCTION("""COMPUTED_VALUE"""),1433.0)</f>
        <v>1433</v>
      </c>
      <c r="L1499" s="4">
        <f>IFERROR(__xludf.DUMMYFUNCTION("""COMPUTED_VALUE"""),0.469)</f>
        <v>0.469</v>
      </c>
      <c r="M1499" s="4">
        <f>IFERROR(__xludf.DUMMYFUNCTION("""COMPUTED_VALUE"""),0.0)</f>
        <v>0</v>
      </c>
      <c r="N1499" s="4">
        <f>IFERROR(__xludf.DUMMYFUNCTION("""COMPUTED_VALUE"""),0.751)</f>
        <v>0.751</v>
      </c>
      <c r="O1499" s="4">
        <f>IFERROR(__xludf.DUMMYFUNCTION("""COMPUTED_VALUE"""),20.3)</f>
        <v>20.3</v>
      </c>
      <c r="P1499" s="4">
        <f>IFERROR(__xludf.DUMMYFUNCTION("""COMPUTED_VALUE"""),6.8)</f>
        <v>6.8</v>
      </c>
      <c r="Q1499" s="4">
        <f>IFERROR(__xludf.DUMMYFUNCTION("""COMPUTED_VALUE"""),5.8)</f>
        <v>5.8</v>
      </c>
      <c r="R1499" s="4">
        <f>IFERROR(__xludf.DUMMYFUNCTION("""COMPUTED_VALUE"""),1.3)</f>
        <v>1.3</v>
      </c>
      <c r="S1499" s="4">
        <f>IFERROR(__xludf.DUMMYFUNCTION("""COMPUTED_VALUE"""),52.7)</f>
        <v>52.7</v>
      </c>
      <c r="T1499" s="4">
        <f>IFERROR(__xludf.DUMMYFUNCTION("""COMPUTED_VALUE"""),0.114)</f>
        <v>0.114</v>
      </c>
      <c r="U1499" s="4">
        <f>IFERROR(__xludf.DUMMYFUNCTION("""COMPUTED_VALUE"""),-1.5)</f>
        <v>-1.5</v>
      </c>
      <c r="V1499" s="4">
        <f>IFERROR(__xludf.DUMMYFUNCTION("""COMPUTED_VALUE"""),2.9)</f>
        <v>2.9</v>
      </c>
    </row>
    <row r="1500">
      <c r="A1500" s="4">
        <f>IFERROR(__xludf.DUMMYFUNCTION("""COMPUTED_VALUE"""),43.0)</f>
        <v>43</v>
      </c>
      <c r="B1500" s="4">
        <f>IFERROR(__xludf.DUMMYFUNCTION("""COMPUTED_VALUE"""),43.0)</f>
        <v>43</v>
      </c>
      <c r="C1500" s="4" t="str">
        <f>IFERROR(__xludf.DUMMYFUNCTION("""COMPUTED_VALUE"""),"MIL")</f>
        <v>MIL</v>
      </c>
      <c r="D1500" s="4" t="str">
        <f>IFERROR(__xludf.DUMMYFUNCTION("""COMPUTED_VALUE"""),"Keith Bogans")</f>
        <v>Keith Bogans</v>
      </c>
      <c r="E1500" s="4" t="str">
        <f>IFERROR(__xludf.DUMMYFUNCTION("""COMPUTED_VALUE"""),"Kentucky")</f>
        <v>Kentucky</v>
      </c>
      <c r="F1500" s="4">
        <f>IFERROR(__xludf.DUMMYFUNCTION("""COMPUTED_VALUE"""),11.0)</f>
        <v>11</v>
      </c>
      <c r="G1500" s="4">
        <f>IFERROR(__xludf.DUMMYFUNCTION("""COMPUTED_VALUE"""),671.0)</f>
        <v>671</v>
      </c>
      <c r="H1500" s="4">
        <f>IFERROR(__xludf.DUMMYFUNCTION("""COMPUTED_VALUE"""),14527.0)</f>
        <v>14527</v>
      </c>
      <c r="I1500" s="4">
        <f>IFERROR(__xludf.DUMMYFUNCTION("""COMPUTED_VALUE"""),4257.0)</f>
        <v>4257</v>
      </c>
      <c r="J1500" s="4">
        <f>IFERROR(__xludf.DUMMYFUNCTION("""COMPUTED_VALUE"""),1817.0)</f>
        <v>1817</v>
      </c>
      <c r="K1500" s="4">
        <f>IFERROR(__xludf.DUMMYFUNCTION("""COMPUTED_VALUE"""),866.0)</f>
        <v>866</v>
      </c>
      <c r="L1500" s="4">
        <f>IFERROR(__xludf.DUMMYFUNCTION("""COMPUTED_VALUE"""),0.394)</f>
        <v>0.394</v>
      </c>
      <c r="M1500" s="4">
        <f>IFERROR(__xludf.DUMMYFUNCTION("""COMPUTED_VALUE"""),0.353)</f>
        <v>0.353</v>
      </c>
      <c r="N1500" s="4">
        <f>IFERROR(__xludf.DUMMYFUNCTION("""COMPUTED_VALUE"""),0.716)</f>
        <v>0.716</v>
      </c>
      <c r="O1500" s="4">
        <f>IFERROR(__xludf.DUMMYFUNCTION("""COMPUTED_VALUE"""),21.6)</f>
        <v>21.6</v>
      </c>
      <c r="P1500" s="4">
        <f>IFERROR(__xludf.DUMMYFUNCTION("""COMPUTED_VALUE"""),6.3)</f>
        <v>6.3</v>
      </c>
      <c r="Q1500" s="4">
        <f>IFERROR(__xludf.DUMMYFUNCTION("""COMPUTED_VALUE"""),2.7)</f>
        <v>2.7</v>
      </c>
      <c r="R1500" s="4">
        <f>IFERROR(__xludf.DUMMYFUNCTION("""COMPUTED_VALUE"""),1.3)</f>
        <v>1.3</v>
      </c>
      <c r="S1500" s="4">
        <f>IFERROR(__xludf.DUMMYFUNCTION("""COMPUTED_VALUE"""),20.4)</f>
        <v>20.4</v>
      </c>
      <c r="T1500" s="4">
        <f>IFERROR(__xludf.DUMMYFUNCTION("""COMPUTED_VALUE"""),0.068)</f>
        <v>0.068</v>
      </c>
      <c r="U1500" s="4">
        <f>IFERROR(__xludf.DUMMYFUNCTION("""COMPUTED_VALUE"""),-1.5)</f>
        <v>-1.5</v>
      </c>
      <c r="V1500" s="4">
        <f>IFERROR(__xludf.DUMMYFUNCTION("""COMPUTED_VALUE"""),1.9)</f>
        <v>1.9</v>
      </c>
    </row>
    <row r="1501">
      <c r="A1501" s="4">
        <f>IFERROR(__xludf.DUMMYFUNCTION("""COMPUTED_VALUE"""),44.0)</f>
        <v>44</v>
      </c>
      <c r="B1501" s="4">
        <f>IFERROR(__xludf.DUMMYFUNCTION("""COMPUTED_VALUE"""),44.0)</f>
        <v>44</v>
      </c>
      <c r="C1501" s="4" t="str">
        <f>IFERROR(__xludf.DUMMYFUNCTION("""COMPUTED_VALUE"""),"HOU")</f>
        <v>HOU</v>
      </c>
      <c r="D1501" s="4" t="str">
        <f>IFERROR(__xludf.DUMMYFUNCTION("""COMPUTED_VALUE"""),"Malick Badiane")</f>
        <v>Malick Badiane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>
      <c r="A1502" s="4">
        <f>IFERROR(__xludf.DUMMYFUNCTION("""COMPUTED_VALUE"""),45.0)</f>
        <v>45</v>
      </c>
      <c r="B1502" s="4">
        <f>IFERROR(__xludf.DUMMYFUNCTION("""COMPUTED_VALUE"""),45.0)</f>
        <v>45</v>
      </c>
      <c r="C1502" s="4" t="str">
        <f>IFERROR(__xludf.DUMMYFUNCTION("""COMPUTED_VALUE"""),"CHI")</f>
        <v>CHI</v>
      </c>
      <c r="D1502" s="4" t="str">
        <f>IFERROR(__xludf.DUMMYFUNCTION("""COMPUTED_VALUE"""),"Matt Bonner")</f>
        <v>Matt Bonner</v>
      </c>
      <c r="E1502" s="4" t="str">
        <f>IFERROR(__xludf.DUMMYFUNCTION("""COMPUTED_VALUE"""),"Florida")</f>
        <v>Florida</v>
      </c>
      <c r="F1502" s="4">
        <f>IFERROR(__xludf.DUMMYFUNCTION("""COMPUTED_VALUE"""),12.0)</f>
        <v>12</v>
      </c>
      <c r="G1502" s="4">
        <f>IFERROR(__xludf.DUMMYFUNCTION("""COMPUTED_VALUE"""),792.0)</f>
        <v>792</v>
      </c>
      <c r="H1502" s="4">
        <f>IFERROR(__xludf.DUMMYFUNCTION("""COMPUTED_VALUE"""),13356.0)</f>
        <v>13356</v>
      </c>
      <c r="I1502" s="4">
        <f>IFERROR(__xludf.DUMMYFUNCTION("""COMPUTED_VALUE"""),4632.0)</f>
        <v>4632</v>
      </c>
      <c r="J1502" s="4">
        <f>IFERROR(__xludf.DUMMYFUNCTION("""COMPUTED_VALUE"""),2371.0)</f>
        <v>2371</v>
      </c>
      <c r="K1502" s="4">
        <f>IFERROR(__xludf.DUMMYFUNCTION("""COMPUTED_VALUE"""),552.0)</f>
        <v>552</v>
      </c>
      <c r="L1502" s="4">
        <f>IFERROR(__xludf.DUMMYFUNCTION("""COMPUTED_VALUE"""),0.464)</f>
        <v>0.464</v>
      </c>
      <c r="M1502" s="4">
        <f>IFERROR(__xludf.DUMMYFUNCTION("""COMPUTED_VALUE"""),0.414)</f>
        <v>0.414</v>
      </c>
      <c r="N1502" s="4">
        <f>IFERROR(__xludf.DUMMYFUNCTION("""COMPUTED_VALUE"""),0.78)</f>
        <v>0.78</v>
      </c>
      <c r="O1502" s="4">
        <f>IFERROR(__xludf.DUMMYFUNCTION("""COMPUTED_VALUE"""),16.9)</f>
        <v>16.9</v>
      </c>
      <c r="P1502" s="4">
        <f>IFERROR(__xludf.DUMMYFUNCTION("""COMPUTED_VALUE"""),5.8)</f>
        <v>5.8</v>
      </c>
      <c r="Q1502" s="4">
        <f>IFERROR(__xludf.DUMMYFUNCTION("""COMPUTED_VALUE"""),3.0)</f>
        <v>3</v>
      </c>
      <c r="R1502" s="4">
        <f>IFERROR(__xludf.DUMMYFUNCTION("""COMPUTED_VALUE"""),0.7)</f>
        <v>0.7</v>
      </c>
      <c r="S1502" s="4">
        <f>IFERROR(__xludf.DUMMYFUNCTION("""COMPUTED_VALUE"""),38.5)</f>
        <v>38.5</v>
      </c>
      <c r="T1502" s="4">
        <f>IFERROR(__xludf.DUMMYFUNCTION("""COMPUTED_VALUE"""),0.138)</f>
        <v>0.138</v>
      </c>
      <c r="U1502" s="4">
        <f>IFERROR(__xludf.DUMMYFUNCTION("""COMPUTED_VALUE"""),1.0)</f>
        <v>1</v>
      </c>
      <c r="V1502" s="4">
        <f>IFERROR(__xludf.DUMMYFUNCTION("""COMPUTED_VALUE"""),10.1)</f>
        <v>10.1</v>
      </c>
    </row>
    <row r="1503">
      <c r="A1503" s="4">
        <f>IFERROR(__xludf.DUMMYFUNCTION("""COMPUTED_VALUE"""),46.0)</f>
        <v>46</v>
      </c>
      <c r="B1503" s="4">
        <f>IFERROR(__xludf.DUMMYFUNCTION("""COMPUTED_VALUE"""),46.0)</f>
        <v>46</v>
      </c>
      <c r="C1503" s="4" t="str">
        <f>IFERROR(__xludf.DUMMYFUNCTION("""COMPUTED_VALUE"""),"DEN")</f>
        <v>DEN</v>
      </c>
      <c r="D1503" s="4" t="str">
        <f>IFERROR(__xludf.DUMMYFUNCTION("""COMPUTED_VALUE"""),"Sani Bečirovič")</f>
        <v>Sani Bečirovič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</row>
    <row r="1504">
      <c r="A1504" s="4">
        <f>IFERROR(__xludf.DUMMYFUNCTION("""COMPUTED_VALUE"""),47.0)</f>
        <v>47</v>
      </c>
      <c r="B1504" s="4">
        <f>IFERROR(__xludf.DUMMYFUNCTION("""COMPUTED_VALUE"""),47.0)</f>
        <v>47</v>
      </c>
      <c r="C1504" s="4" t="str">
        <f>IFERROR(__xludf.DUMMYFUNCTION("""COMPUTED_VALUE"""),"UTA")</f>
        <v>UTA</v>
      </c>
      <c r="D1504" s="4" t="str">
        <f>IFERROR(__xludf.DUMMYFUNCTION("""COMPUTED_VALUE"""),"Mo Williams")</f>
        <v>Mo Williams</v>
      </c>
      <c r="E1504" s="4" t="str">
        <f>IFERROR(__xludf.DUMMYFUNCTION("""COMPUTED_VALUE"""),"Alabama")</f>
        <v>Alabama</v>
      </c>
      <c r="F1504" s="4">
        <f>IFERROR(__xludf.DUMMYFUNCTION("""COMPUTED_VALUE"""),13.0)</f>
        <v>13</v>
      </c>
      <c r="G1504" s="4">
        <f>IFERROR(__xludf.DUMMYFUNCTION("""COMPUTED_VALUE"""),818.0)</f>
        <v>818</v>
      </c>
      <c r="H1504" s="4">
        <f>IFERROR(__xludf.DUMMYFUNCTION("""COMPUTED_VALUE"""),23872.0)</f>
        <v>23872</v>
      </c>
      <c r="I1504" s="4">
        <f>IFERROR(__xludf.DUMMYFUNCTION("""COMPUTED_VALUE"""),10759.0)</f>
        <v>10759</v>
      </c>
      <c r="J1504" s="4">
        <f>IFERROR(__xludf.DUMMYFUNCTION("""COMPUTED_VALUE"""),2264.0)</f>
        <v>2264</v>
      </c>
      <c r="K1504" s="4">
        <f>IFERROR(__xludf.DUMMYFUNCTION("""COMPUTED_VALUE"""),3990.0)</f>
        <v>3990</v>
      </c>
      <c r="L1504" s="4">
        <f>IFERROR(__xludf.DUMMYFUNCTION("""COMPUTED_VALUE"""),0.434)</f>
        <v>0.434</v>
      </c>
      <c r="M1504" s="4">
        <f>IFERROR(__xludf.DUMMYFUNCTION("""COMPUTED_VALUE"""),0.378)</f>
        <v>0.378</v>
      </c>
      <c r="N1504" s="4">
        <f>IFERROR(__xludf.DUMMYFUNCTION("""COMPUTED_VALUE"""),0.871)</f>
        <v>0.871</v>
      </c>
      <c r="O1504" s="4">
        <f>IFERROR(__xludf.DUMMYFUNCTION("""COMPUTED_VALUE"""),29.2)</f>
        <v>29.2</v>
      </c>
      <c r="P1504" s="4">
        <f>IFERROR(__xludf.DUMMYFUNCTION("""COMPUTED_VALUE"""),13.2)</f>
        <v>13.2</v>
      </c>
      <c r="Q1504" s="4">
        <f>IFERROR(__xludf.DUMMYFUNCTION("""COMPUTED_VALUE"""),2.8)</f>
        <v>2.8</v>
      </c>
      <c r="R1504" s="4">
        <f>IFERROR(__xludf.DUMMYFUNCTION("""COMPUTED_VALUE"""),4.9)</f>
        <v>4.9</v>
      </c>
      <c r="S1504" s="4">
        <f>IFERROR(__xludf.DUMMYFUNCTION("""COMPUTED_VALUE"""),40.0)</f>
        <v>40</v>
      </c>
      <c r="T1504" s="4">
        <f>IFERROR(__xludf.DUMMYFUNCTION("""COMPUTED_VALUE"""),0.08)</f>
        <v>0.08</v>
      </c>
      <c r="U1504" s="4">
        <f>IFERROR(__xludf.DUMMYFUNCTION("""COMPUTED_VALUE"""),-0.3)</f>
        <v>-0.3</v>
      </c>
      <c r="V1504" s="4">
        <f>IFERROR(__xludf.DUMMYFUNCTION("""COMPUTED_VALUE"""),10.0)</f>
        <v>10</v>
      </c>
    </row>
    <row r="1505">
      <c r="A1505" s="4">
        <f>IFERROR(__xludf.DUMMYFUNCTION("""COMPUTED_VALUE"""),48.0)</f>
        <v>48</v>
      </c>
      <c r="B1505" s="4">
        <f>IFERROR(__xludf.DUMMYFUNCTION("""COMPUTED_VALUE"""),48.0)</f>
        <v>48</v>
      </c>
      <c r="C1505" s="4" t="str">
        <f>IFERROR(__xludf.DUMMYFUNCTION("""COMPUTED_VALUE"""),"NOH")</f>
        <v>NOH</v>
      </c>
      <c r="D1505" s="4" t="str">
        <f>IFERROR(__xludf.DUMMYFUNCTION("""COMPUTED_VALUE"""),"James Lang")</f>
        <v>James Lang</v>
      </c>
      <c r="E1505" s="4"/>
      <c r="F1505" s="4">
        <f>IFERROR(__xludf.DUMMYFUNCTION("""COMPUTED_VALUE"""),1.0)</f>
        <v>1</v>
      </c>
      <c r="G1505" s="4">
        <f>IFERROR(__xludf.DUMMYFUNCTION("""COMPUTED_VALUE"""),11.0)</f>
        <v>11</v>
      </c>
      <c r="H1505" s="4">
        <f>IFERROR(__xludf.DUMMYFUNCTION("""COMPUTED_VALUE"""),55.0)</f>
        <v>55</v>
      </c>
      <c r="I1505" s="4">
        <f>IFERROR(__xludf.DUMMYFUNCTION("""COMPUTED_VALUE"""),11.0)</f>
        <v>11</v>
      </c>
      <c r="J1505" s="4">
        <f>IFERROR(__xludf.DUMMYFUNCTION("""COMPUTED_VALUE"""),11.0)</f>
        <v>11</v>
      </c>
      <c r="K1505" s="4">
        <f>IFERROR(__xludf.DUMMYFUNCTION("""COMPUTED_VALUE"""),2.0)</f>
        <v>2</v>
      </c>
      <c r="L1505" s="4">
        <f>IFERROR(__xludf.DUMMYFUNCTION("""COMPUTED_VALUE"""),0.444)</f>
        <v>0.444</v>
      </c>
      <c r="M1505" s="4"/>
      <c r="N1505" s="4">
        <f>IFERROR(__xludf.DUMMYFUNCTION("""COMPUTED_VALUE"""),0.6)</f>
        <v>0.6</v>
      </c>
      <c r="O1505" s="4">
        <f>IFERROR(__xludf.DUMMYFUNCTION("""COMPUTED_VALUE"""),5.0)</f>
        <v>5</v>
      </c>
      <c r="P1505" s="4">
        <f>IFERROR(__xludf.DUMMYFUNCTION("""COMPUTED_VALUE"""),1.0)</f>
        <v>1</v>
      </c>
      <c r="Q1505" s="4">
        <f>IFERROR(__xludf.DUMMYFUNCTION("""COMPUTED_VALUE"""),1.0)</f>
        <v>1</v>
      </c>
      <c r="R1505" s="4">
        <f>IFERROR(__xludf.DUMMYFUNCTION("""COMPUTED_VALUE"""),0.2)</f>
        <v>0.2</v>
      </c>
      <c r="S1505" s="4">
        <f>IFERROR(__xludf.DUMMYFUNCTION("""COMPUTED_VALUE"""),0.1)</f>
        <v>0.1</v>
      </c>
      <c r="T1505" s="4">
        <f>IFERROR(__xludf.DUMMYFUNCTION("""COMPUTED_VALUE"""),0.047)</f>
        <v>0.047</v>
      </c>
      <c r="U1505" s="4">
        <f>IFERROR(__xludf.DUMMYFUNCTION("""COMPUTED_VALUE"""),-6.4)</f>
        <v>-6.4</v>
      </c>
      <c r="V1505" s="4">
        <f>IFERROR(__xludf.DUMMYFUNCTION("""COMPUTED_VALUE"""),-0.1)</f>
        <v>-0.1</v>
      </c>
    </row>
    <row r="1506">
      <c r="A1506" s="4">
        <f>IFERROR(__xludf.DUMMYFUNCTION("""COMPUTED_VALUE"""),49.0)</f>
        <v>49</v>
      </c>
      <c r="B1506" s="4">
        <f>IFERROR(__xludf.DUMMYFUNCTION("""COMPUTED_VALUE"""),49.0)</f>
        <v>49</v>
      </c>
      <c r="C1506" s="4" t="str">
        <f>IFERROR(__xludf.DUMMYFUNCTION("""COMPUTED_VALUE"""),"IND")</f>
        <v>IND</v>
      </c>
      <c r="D1506" s="4" t="str">
        <f>IFERROR(__xludf.DUMMYFUNCTION("""COMPUTED_VALUE"""),"James Jones")</f>
        <v>James Jones</v>
      </c>
      <c r="E1506" s="4" t="str">
        <f>IFERROR(__xludf.DUMMYFUNCTION("""COMPUTED_VALUE"""),"Miami (FL)")</f>
        <v>Miami (FL)</v>
      </c>
      <c r="F1506" s="4">
        <f>IFERROR(__xludf.DUMMYFUNCTION("""COMPUTED_VALUE"""),14.0)</f>
        <v>14</v>
      </c>
      <c r="G1506" s="4">
        <f>IFERROR(__xludf.DUMMYFUNCTION("""COMPUTED_VALUE"""),709.0)</f>
        <v>709</v>
      </c>
      <c r="H1506" s="4">
        <f>IFERROR(__xludf.DUMMYFUNCTION("""COMPUTED_VALUE"""),11098.0)</f>
        <v>11098</v>
      </c>
      <c r="I1506" s="4">
        <f>IFERROR(__xludf.DUMMYFUNCTION("""COMPUTED_VALUE"""),3717.0)</f>
        <v>3717</v>
      </c>
      <c r="J1506" s="4">
        <f>IFERROR(__xludf.DUMMYFUNCTION("""COMPUTED_VALUE"""),1276.0)</f>
        <v>1276</v>
      </c>
      <c r="K1506" s="4">
        <f>IFERROR(__xludf.DUMMYFUNCTION("""COMPUTED_VALUE"""),366.0)</f>
        <v>366</v>
      </c>
      <c r="L1506" s="4">
        <f>IFERROR(__xludf.DUMMYFUNCTION("""COMPUTED_VALUE"""),0.401)</f>
        <v>0.401</v>
      </c>
      <c r="M1506" s="4">
        <f>IFERROR(__xludf.DUMMYFUNCTION("""COMPUTED_VALUE"""),0.401)</f>
        <v>0.401</v>
      </c>
      <c r="N1506" s="4">
        <f>IFERROR(__xludf.DUMMYFUNCTION("""COMPUTED_VALUE"""),0.84)</f>
        <v>0.84</v>
      </c>
      <c r="O1506" s="4">
        <f>IFERROR(__xludf.DUMMYFUNCTION("""COMPUTED_VALUE"""),15.7)</f>
        <v>15.7</v>
      </c>
      <c r="P1506" s="4">
        <f>IFERROR(__xludf.DUMMYFUNCTION("""COMPUTED_VALUE"""),5.2)</f>
        <v>5.2</v>
      </c>
      <c r="Q1506" s="4">
        <f>IFERROR(__xludf.DUMMYFUNCTION("""COMPUTED_VALUE"""),1.8)</f>
        <v>1.8</v>
      </c>
      <c r="R1506" s="4">
        <f>IFERROR(__xludf.DUMMYFUNCTION("""COMPUTED_VALUE"""),0.5)</f>
        <v>0.5</v>
      </c>
      <c r="S1506" s="4">
        <f>IFERROR(__xludf.DUMMYFUNCTION("""COMPUTED_VALUE"""),25.2)</f>
        <v>25.2</v>
      </c>
      <c r="T1506" s="4">
        <f>IFERROR(__xludf.DUMMYFUNCTION("""COMPUTED_VALUE"""),0.109)</f>
        <v>0.109</v>
      </c>
      <c r="U1506" s="4">
        <f>IFERROR(__xludf.DUMMYFUNCTION("""COMPUTED_VALUE"""),-0.1)</f>
        <v>-0.1</v>
      </c>
      <c r="V1506" s="4">
        <f>IFERROR(__xludf.DUMMYFUNCTION("""COMPUTED_VALUE"""),5.4)</f>
        <v>5.4</v>
      </c>
    </row>
    <row r="1507">
      <c r="A1507" s="4">
        <f>IFERROR(__xludf.DUMMYFUNCTION("""COMPUTED_VALUE"""),50.0)</f>
        <v>50</v>
      </c>
      <c r="B1507" s="4">
        <f>IFERROR(__xludf.DUMMYFUNCTION("""COMPUTED_VALUE"""),50.0)</f>
        <v>50</v>
      </c>
      <c r="C1507" s="4" t="str">
        <f>IFERROR(__xludf.DUMMYFUNCTION("""COMPUTED_VALUE"""),"PHI")</f>
        <v>PHI</v>
      </c>
      <c r="D1507" s="4" t="str">
        <f>IFERROR(__xludf.DUMMYFUNCTION("""COMPUTED_VALUE"""),"Paccelis Morlende")</f>
        <v>Paccelis Morlende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</row>
    <row r="1508">
      <c r="A1508" s="4">
        <f>IFERROR(__xludf.DUMMYFUNCTION("""COMPUTED_VALUE"""),51.0)</f>
        <v>51</v>
      </c>
      <c r="B1508" s="4">
        <f>IFERROR(__xludf.DUMMYFUNCTION("""COMPUTED_VALUE"""),51.0)</f>
        <v>51</v>
      </c>
      <c r="C1508" s="4" t="str">
        <f>IFERROR(__xludf.DUMMYFUNCTION("""COMPUTED_VALUE"""),"NJN")</f>
        <v>NJN</v>
      </c>
      <c r="D1508" s="4" t="str">
        <f>IFERROR(__xludf.DUMMYFUNCTION("""COMPUTED_VALUE"""),"Kyle Korver")</f>
        <v>Kyle Korver</v>
      </c>
      <c r="E1508" s="4" t="str">
        <f>IFERROR(__xludf.DUMMYFUNCTION("""COMPUTED_VALUE"""),"Creighton")</f>
        <v>Creighton</v>
      </c>
      <c r="F1508" s="4">
        <f>IFERROR(__xludf.DUMMYFUNCTION("""COMPUTED_VALUE"""),17.0)</f>
        <v>17</v>
      </c>
      <c r="G1508" s="4">
        <f>IFERROR(__xludf.DUMMYFUNCTION("""COMPUTED_VALUE"""),1232.0)</f>
        <v>1232</v>
      </c>
      <c r="H1508" s="4">
        <f>IFERROR(__xludf.DUMMYFUNCTION("""COMPUTED_VALUE"""),31183.0)</f>
        <v>31183</v>
      </c>
      <c r="I1508" s="4">
        <f>IFERROR(__xludf.DUMMYFUNCTION("""COMPUTED_VALUE"""),11953.0)</f>
        <v>11953</v>
      </c>
      <c r="J1508" s="4">
        <f>IFERROR(__xludf.DUMMYFUNCTION("""COMPUTED_VALUE"""),3643.0)</f>
        <v>3643</v>
      </c>
      <c r="K1508" s="4">
        <f>IFERROR(__xludf.DUMMYFUNCTION("""COMPUTED_VALUE"""),2114.0)</f>
        <v>2114</v>
      </c>
      <c r="L1508" s="4">
        <f>IFERROR(__xludf.DUMMYFUNCTION("""COMPUTED_VALUE"""),0.442)</f>
        <v>0.442</v>
      </c>
      <c r="M1508" s="4">
        <f>IFERROR(__xludf.DUMMYFUNCTION("""COMPUTED_VALUE"""),0.429)</f>
        <v>0.429</v>
      </c>
      <c r="N1508" s="4">
        <f>IFERROR(__xludf.DUMMYFUNCTION("""COMPUTED_VALUE"""),0.877)</f>
        <v>0.877</v>
      </c>
      <c r="O1508" s="4">
        <f>IFERROR(__xludf.DUMMYFUNCTION("""COMPUTED_VALUE"""),25.3)</f>
        <v>25.3</v>
      </c>
      <c r="P1508" s="4">
        <f>IFERROR(__xludf.DUMMYFUNCTION("""COMPUTED_VALUE"""),9.7)</f>
        <v>9.7</v>
      </c>
      <c r="Q1508" s="4">
        <f>IFERROR(__xludf.DUMMYFUNCTION("""COMPUTED_VALUE"""),3.0)</f>
        <v>3</v>
      </c>
      <c r="R1508" s="4">
        <f>IFERROR(__xludf.DUMMYFUNCTION("""COMPUTED_VALUE"""),1.7)</f>
        <v>1.7</v>
      </c>
      <c r="S1508" s="4">
        <f>IFERROR(__xludf.DUMMYFUNCTION("""COMPUTED_VALUE"""),73.4)</f>
        <v>73.4</v>
      </c>
      <c r="T1508" s="4">
        <f>IFERROR(__xludf.DUMMYFUNCTION("""COMPUTED_VALUE"""),0.113)</f>
        <v>0.113</v>
      </c>
      <c r="U1508" s="4">
        <f>IFERROR(__xludf.DUMMYFUNCTION("""COMPUTED_VALUE"""),0.6)</f>
        <v>0.6</v>
      </c>
      <c r="V1508" s="4">
        <f>IFERROR(__xludf.DUMMYFUNCTION("""COMPUTED_VALUE"""),20.7)</f>
        <v>20.7</v>
      </c>
    </row>
    <row r="1509">
      <c r="A1509" s="4">
        <f>IFERROR(__xludf.DUMMYFUNCTION("""COMPUTED_VALUE"""),52.0)</f>
        <v>52</v>
      </c>
      <c r="B1509" s="4">
        <f>IFERROR(__xludf.DUMMYFUNCTION("""COMPUTED_VALUE"""),52.0)</f>
        <v>52</v>
      </c>
      <c r="C1509" s="4" t="str">
        <f>IFERROR(__xludf.DUMMYFUNCTION("""COMPUTED_VALUE"""),"TOR")</f>
        <v>TOR</v>
      </c>
      <c r="D1509" s="4" t="str">
        <f>IFERROR(__xludf.DUMMYFUNCTION("""COMPUTED_VALUE"""),"Remon van de Hare")</f>
        <v>Remon van de Hare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>
      <c r="A1510" s="4">
        <f>IFERROR(__xludf.DUMMYFUNCTION("""COMPUTED_VALUE"""),53.0)</f>
        <v>53</v>
      </c>
      <c r="B1510" s="4">
        <f>IFERROR(__xludf.DUMMYFUNCTION("""COMPUTED_VALUE"""),53.0)</f>
        <v>53</v>
      </c>
      <c r="C1510" s="4" t="str">
        <f>IFERROR(__xludf.DUMMYFUNCTION("""COMPUTED_VALUE"""),"CHI")</f>
        <v>CHI</v>
      </c>
      <c r="D1510" s="4" t="str">
        <f>IFERROR(__xludf.DUMMYFUNCTION("""COMPUTED_VALUE"""),"Tommy Smith")</f>
        <v>Tommy Smith</v>
      </c>
      <c r="E1510" s="4" t="str">
        <f>IFERROR(__xludf.DUMMYFUNCTION("""COMPUTED_VALUE"""),"Arizona State")</f>
        <v>Arizona State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</row>
    <row r="1511">
      <c r="A1511" s="4">
        <f>IFERROR(__xludf.DUMMYFUNCTION("""COMPUTED_VALUE"""),54.0)</f>
        <v>54</v>
      </c>
      <c r="B1511" s="4">
        <f>IFERROR(__xludf.DUMMYFUNCTION("""COMPUTED_VALUE"""),54.0)</f>
        <v>54</v>
      </c>
      <c r="C1511" s="4" t="str">
        <f>IFERROR(__xludf.DUMMYFUNCTION("""COMPUTED_VALUE"""),"POR")</f>
        <v>POR</v>
      </c>
      <c r="D1511" s="4" t="str">
        <f>IFERROR(__xludf.DUMMYFUNCTION("""COMPUTED_VALUE"""),"Nedžad Sinanović")</f>
        <v>Nedžad Sinanović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>
      <c r="A1512" s="4">
        <f>IFERROR(__xludf.DUMMYFUNCTION("""COMPUTED_VALUE"""),55.0)</f>
        <v>55</v>
      </c>
      <c r="B1512" s="4">
        <f>IFERROR(__xludf.DUMMYFUNCTION("""COMPUTED_VALUE"""),55.0)</f>
        <v>55</v>
      </c>
      <c r="C1512" s="4" t="str">
        <f>IFERROR(__xludf.DUMMYFUNCTION("""COMPUTED_VALUE"""),"MIN")</f>
        <v>MIN</v>
      </c>
      <c r="D1512" s="4" t="str">
        <f>IFERROR(__xludf.DUMMYFUNCTION("""COMPUTED_VALUE"""),"Rick Rickert")</f>
        <v>Rick Rickert</v>
      </c>
      <c r="E1512" s="4" t="str">
        <f>IFERROR(__xludf.DUMMYFUNCTION("""COMPUTED_VALUE"""),"Minnesota")</f>
        <v>Minnesota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</row>
    <row r="1513">
      <c r="A1513" s="4">
        <f>IFERROR(__xludf.DUMMYFUNCTION("""COMPUTED_VALUE"""),56.0)</f>
        <v>56</v>
      </c>
      <c r="B1513" s="4">
        <f>IFERROR(__xludf.DUMMYFUNCTION("""COMPUTED_VALUE"""),56.0)</f>
        <v>56</v>
      </c>
      <c r="C1513" s="4" t="str">
        <f>IFERROR(__xludf.DUMMYFUNCTION("""COMPUTED_VALUE"""),"BOS")</f>
        <v>BOS</v>
      </c>
      <c r="D1513" s="4" t="str">
        <f>IFERROR(__xludf.DUMMYFUNCTION("""COMPUTED_VALUE"""),"Brandon Hunter")</f>
        <v>Brandon Hunter</v>
      </c>
      <c r="E1513" s="4" t="str">
        <f>IFERROR(__xludf.DUMMYFUNCTION("""COMPUTED_VALUE"""),"Ohio University")</f>
        <v>Ohio University</v>
      </c>
      <c r="F1513" s="4">
        <f>IFERROR(__xludf.DUMMYFUNCTION("""COMPUTED_VALUE"""),2.0)</f>
        <v>2</v>
      </c>
      <c r="G1513" s="4">
        <f>IFERROR(__xludf.DUMMYFUNCTION("""COMPUTED_VALUE"""),67.0)</f>
        <v>67</v>
      </c>
      <c r="H1513" s="4">
        <f>IFERROR(__xludf.DUMMYFUNCTION("""COMPUTED_VALUE"""),630.0)</f>
        <v>630</v>
      </c>
      <c r="I1513" s="4">
        <f>IFERROR(__xludf.DUMMYFUNCTION("""COMPUTED_VALUE"""),220.0)</f>
        <v>220</v>
      </c>
      <c r="J1513" s="4">
        <f>IFERROR(__xludf.DUMMYFUNCTION("""COMPUTED_VALUE"""),187.0)</f>
        <v>187</v>
      </c>
      <c r="K1513" s="4">
        <f>IFERROR(__xludf.DUMMYFUNCTION("""COMPUTED_VALUE"""),22.0)</f>
        <v>22</v>
      </c>
      <c r="L1513" s="4">
        <f>IFERROR(__xludf.DUMMYFUNCTION("""COMPUTED_VALUE"""),0.476)</f>
        <v>0.476</v>
      </c>
      <c r="M1513" s="4">
        <f>IFERROR(__xludf.DUMMYFUNCTION("""COMPUTED_VALUE"""),0.0)</f>
        <v>0</v>
      </c>
      <c r="N1513" s="4">
        <f>IFERROR(__xludf.DUMMYFUNCTION("""COMPUTED_VALUE"""),0.488)</f>
        <v>0.488</v>
      </c>
      <c r="O1513" s="4">
        <f>IFERROR(__xludf.DUMMYFUNCTION("""COMPUTED_VALUE"""),9.4)</f>
        <v>9.4</v>
      </c>
      <c r="P1513" s="4">
        <f>IFERROR(__xludf.DUMMYFUNCTION("""COMPUTED_VALUE"""),3.3)</f>
        <v>3.3</v>
      </c>
      <c r="Q1513" s="4">
        <f>IFERROR(__xludf.DUMMYFUNCTION("""COMPUTED_VALUE"""),2.8)</f>
        <v>2.8</v>
      </c>
      <c r="R1513" s="4">
        <f>IFERROR(__xludf.DUMMYFUNCTION("""COMPUTED_VALUE"""),0.3)</f>
        <v>0.3</v>
      </c>
      <c r="S1513" s="4">
        <f>IFERROR(__xludf.DUMMYFUNCTION("""COMPUTED_VALUE"""),0.7)</f>
        <v>0.7</v>
      </c>
      <c r="T1513" s="4">
        <f>IFERROR(__xludf.DUMMYFUNCTION("""COMPUTED_VALUE"""),0.055)</f>
        <v>0.055</v>
      </c>
      <c r="U1513" s="4">
        <f>IFERROR(__xludf.DUMMYFUNCTION("""COMPUTED_VALUE"""),-3.7)</f>
        <v>-3.7</v>
      </c>
      <c r="V1513" s="4">
        <f>IFERROR(__xludf.DUMMYFUNCTION("""COMPUTED_VALUE"""),-0.3)</f>
        <v>-0.3</v>
      </c>
    </row>
    <row r="1514">
      <c r="A1514" s="4">
        <f>IFERROR(__xludf.DUMMYFUNCTION("""COMPUTED_VALUE"""),57.0)</f>
        <v>57</v>
      </c>
      <c r="B1514" s="4">
        <f>IFERROR(__xludf.DUMMYFUNCTION("""COMPUTED_VALUE"""),57.0)</f>
        <v>57</v>
      </c>
      <c r="C1514" s="4" t="str">
        <f>IFERROR(__xludf.DUMMYFUNCTION("""COMPUTED_VALUE"""),"DAL")</f>
        <v>DAL</v>
      </c>
      <c r="D1514" s="4" t="str">
        <f>IFERROR(__xludf.DUMMYFUNCTION("""COMPUTED_VALUE"""),"Xue Yuyang")</f>
        <v>Xue Yuyang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</row>
    <row r="1515">
      <c r="A1515" s="4">
        <f>IFERROR(__xludf.DUMMYFUNCTION("""COMPUTED_VALUE"""),58.0)</f>
        <v>58</v>
      </c>
      <c r="B1515" s="4">
        <f>IFERROR(__xludf.DUMMYFUNCTION("""COMPUTED_VALUE"""),58.0)</f>
        <v>58</v>
      </c>
      <c r="C1515" s="4" t="str">
        <f>IFERROR(__xludf.DUMMYFUNCTION("""COMPUTED_VALUE"""),"DET")</f>
        <v>DET</v>
      </c>
      <c r="D1515" s="4" t="str">
        <f>IFERROR(__xludf.DUMMYFUNCTION("""COMPUTED_VALUE"""),"Andreas Glyniadakis")</f>
        <v>Andreas Glyniadakis</v>
      </c>
      <c r="E1515" s="4"/>
      <c r="F1515" s="4">
        <f>IFERROR(__xludf.DUMMYFUNCTION("""COMPUTED_VALUE"""),1.0)</f>
        <v>1</v>
      </c>
      <c r="G1515" s="4">
        <f>IFERROR(__xludf.DUMMYFUNCTION("""COMPUTED_VALUE"""),13.0)</f>
        <v>13</v>
      </c>
      <c r="H1515" s="4">
        <f>IFERROR(__xludf.DUMMYFUNCTION("""COMPUTED_VALUE"""),81.0)</f>
        <v>81</v>
      </c>
      <c r="I1515" s="4">
        <f>IFERROR(__xludf.DUMMYFUNCTION("""COMPUTED_VALUE"""),17.0)</f>
        <v>17</v>
      </c>
      <c r="J1515" s="4">
        <f>IFERROR(__xludf.DUMMYFUNCTION("""COMPUTED_VALUE"""),8.0)</f>
        <v>8</v>
      </c>
      <c r="K1515" s="4">
        <f>IFERROR(__xludf.DUMMYFUNCTION("""COMPUTED_VALUE"""),1.0)</f>
        <v>1</v>
      </c>
      <c r="L1515" s="4">
        <f>IFERROR(__xludf.DUMMYFUNCTION("""COMPUTED_VALUE"""),0.471)</f>
        <v>0.471</v>
      </c>
      <c r="M1515" s="4"/>
      <c r="N1515" s="4">
        <f>IFERROR(__xludf.DUMMYFUNCTION("""COMPUTED_VALUE"""),0.5)</f>
        <v>0.5</v>
      </c>
      <c r="O1515" s="4">
        <f>IFERROR(__xludf.DUMMYFUNCTION("""COMPUTED_VALUE"""),6.2)</f>
        <v>6.2</v>
      </c>
      <c r="P1515" s="4">
        <f>IFERROR(__xludf.DUMMYFUNCTION("""COMPUTED_VALUE"""),1.3)</f>
        <v>1.3</v>
      </c>
      <c r="Q1515" s="4">
        <f>IFERROR(__xludf.DUMMYFUNCTION("""COMPUTED_VALUE"""),0.6)</f>
        <v>0.6</v>
      </c>
      <c r="R1515" s="4">
        <f>IFERROR(__xludf.DUMMYFUNCTION("""COMPUTED_VALUE"""),0.1)</f>
        <v>0.1</v>
      </c>
      <c r="S1515" s="4">
        <f>IFERROR(__xludf.DUMMYFUNCTION("""COMPUTED_VALUE"""),-0.2)</f>
        <v>-0.2</v>
      </c>
      <c r="T1515" s="4">
        <f>IFERROR(__xludf.DUMMYFUNCTION("""COMPUTED_VALUE"""),-0.143)</f>
        <v>-0.143</v>
      </c>
      <c r="U1515" s="4">
        <f>IFERROR(__xludf.DUMMYFUNCTION("""COMPUTED_VALUE"""),-14.0)</f>
        <v>-14</v>
      </c>
      <c r="V1515" s="4">
        <f>IFERROR(__xludf.DUMMYFUNCTION("""COMPUTED_VALUE"""),-0.2)</f>
        <v>-0.2</v>
      </c>
    </row>
    <row r="1517">
      <c r="A1517" s="2">
        <v>2002.0</v>
      </c>
    </row>
    <row r="1518">
      <c r="A1518" s="4" t="str">
        <f>IFERROR(__xludf.DUMMYFUNCTION("IMPORTHTML(""https://www.basketball-reference.com/draft/NBA_2002.html"", ""table"", 1)"),"")</f>
        <v/>
      </c>
      <c r="B1518" s="4"/>
      <c r="C1518" s="4"/>
      <c r="D1518" s="4" t="str">
        <f>IFERROR(__xludf.DUMMYFUNCTION("""COMPUTED_VALUE"""),"Round 1")</f>
        <v>Round 1</v>
      </c>
      <c r="E1518" s="4"/>
      <c r="F1518" s="4"/>
      <c r="G1518" s="4" t="str">
        <f>IFERROR(__xludf.DUMMYFUNCTION("""COMPUTED_VALUE"""),"Totals")</f>
        <v>Totals</v>
      </c>
      <c r="H1518" s="4"/>
      <c r="I1518" s="4"/>
      <c r="J1518" s="4"/>
      <c r="K1518" s="4"/>
      <c r="L1518" s="4" t="str">
        <f>IFERROR(__xludf.DUMMYFUNCTION("""COMPUTED_VALUE"""),"Shooting")</f>
        <v>Shooting</v>
      </c>
      <c r="M1518" s="4"/>
      <c r="N1518" s="4"/>
      <c r="O1518" s="4" t="str">
        <f>IFERROR(__xludf.DUMMYFUNCTION("""COMPUTED_VALUE"""),"Per Game")</f>
        <v>Per Game</v>
      </c>
      <c r="P1518" s="4"/>
      <c r="Q1518" s="4"/>
      <c r="R1518" s="4"/>
      <c r="S1518" s="4" t="str">
        <f>IFERROR(__xludf.DUMMYFUNCTION("""COMPUTED_VALUE"""),"Advanced")</f>
        <v>Advanced</v>
      </c>
      <c r="T1518" s="4"/>
      <c r="U1518" s="4"/>
      <c r="V1518" s="4"/>
    </row>
    <row r="1519">
      <c r="A1519" s="4" t="str">
        <f>IFERROR(__xludf.DUMMYFUNCTION("""COMPUTED_VALUE"""),"Rk")</f>
        <v>Rk</v>
      </c>
      <c r="B1519" s="4" t="str">
        <f>IFERROR(__xludf.DUMMYFUNCTION("""COMPUTED_VALUE"""),"Pk")</f>
        <v>Pk</v>
      </c>
      <c r="C1519" s="4" t="str">
        <f>IFERROR(__xludf.DUMMYFUNCTION("""COMPUTED_VALUE"""),"Tm")</f>
        <v>Tm</v>
      </c>
      <c r="D1519" s="4" t="str">
        <f>IFERROR(__xludf.DUMMYFUNCTION("""COMPUTED_VALUE"""),"Player")</f>
        <v>Player</v>
      </c>
      <c r="E1519" s="4" t="str">
        <f>IFERROR(__xludf.DUMMYFUNCTION("""COMPUTED_VALUE"""),"College")</f>
        <v>College</v>
      </c>
      <c r="F1519" s="4" t="str">
        <f>IFERROR(__xludf.DUMMYFUNCTION("""COMPUTED_VALUE"""),"Yrs")</f>
        <v>Yrs</v>
      </c>
      <c r="G1519" s="4" t="str">
        <f>IFERROR(__xludf.DUMMYFUNCTION("""COMPUTED_VALUE"""),"G")</f>
        <v>G</v>
      </c>
      <c r="H1519" s="4" t="str">
        <f>IFERROR(__xludf.DUMMYFUNCTION("""COMPUTED_VALUE"""),"MP")</f>
        <v>MP</v>
      </c>
      <c r="I1519" s="4" t="str">
        <f>IFERROR(__xludf.DUMMYFUNCTION("""COMPUTED_VALUE"""),"PTS")</f>
        <v>PTS</v>
      </c>
      <c r="J1519" s="4" t="str">
        <f>IFERROR(__xludf.DUMMYFUNCTION("""COMPUTED_VALUE"""),"TRB")</f>
        <v>TRB</v>
      </c>
      <c r="K1519" s="4" t="str">
        <f>IFERROR(__xludf.DUMMYFUNCTION("""COMPUTED_VALUE"""),"AST")</f>
        <v>AST</v>
      </c>
      <c r="L1519" s="4" t="str">
        <f>IFERROR(__xludf.DUMMYFUNCTION("""COMPUTED_VALUE"""),"FG%")</f>
        <v>FG%</v>
      </c>
      <c r="M1519" s="4" t="str">
        <f>IFERROR(__xludf.DUMMYFUNCTION("""COMPUTED_VALUE"""),"3P%")</f>
        <v>3P%</v>
      </c>
      <c r="N1519" s="4" t="str">
        <f>IFERROR(__xludf.DUMMYFUNCTION("""COMPUTED_VALUE"""),"FT%")</f>
        <v>FT%</v>
      </c>
      <c r="O1519" s="4" t="str">
        <f>IFERROR(__xludf.DUMMYFUNCTION("""COMPUTED_VALUE"""),"MP")</f>
        <v>MP</v>
      </c>
      <c r="P1519" s="4" t="str">
        <f>IFERROR(__xludf.DUMMYFUNCTION("""COMPUTED_VALUE"""),"PTS")</f>
        <v>PTS</v>
      </c>
      <c r="Q1519" s="4" t="str">
        <f>IFERROR(__xludf.DUMMYFUNCTION("""COMPUTED_VALUE"""),"TRB")</f>
        <v>TRB</v>
      </c>
      <c r="R1519" s="4" t="str">
        <f>IFERROR(__xludf.DUMMYFUNCTION("""COMPUTED_VALUE"""),"AST")</f>
        <v>AST</v>
      </c>
      <c r="S1519" s="4" t="str">
        <f>IFERROR(__xludf.DUMMYFUNCTION("""COMPUTED_VALUE"""),"WS")</f>
        <v>WS</v>
      </c>
      <c r="T1519" s="4" t="str">
        <f>IFERROR(__xludf.DUMMYFUNCTION("""COMPUTED_VALUE"""),"WS/48")</f>
        <v>WS/48</v>
      </c>
      <c r="U1519" s="4" t="str">
        <f>IFERROR(__xludf.DUMMYFUNCTION("""COMPUTED_VALUE"""),"BPM")</f>
        <v>BPM</v>
      </c>
      <c r="V1519" s="4" t="str">
        <f>IFERROR(__xludf.DUMMYFUNCTION("""COMPUTED_VALUE"""),"VORP")</f>
        <v>VORP</v>
      </c>
    </row>
    <row r="1520">
      <c r="A1520" s="4">
        <f>IFERROR(__xludf.DUMMYFUNCTION("""COMPUTED_VALUE"""),1.0)</f>
        <v>1</v>
      </c>
      <c r="B1520" s="4">
        <f>IFERROR(__xludf.DUMMYFUNCTION("""COMPUTED_VALUE"""),1.0)</f>
        <v>1</v>
      </c>
      <c r="C1520" s="4" t="str">
        <f>IFERROR(__xludf.DUMMYFUNCTION("""COMPUTED_VALUE"""),"HOU")</f>
        <v>HOU</v>
      </c>
      <c r="D1520" s="4" t="str">
        <f>IFERROR(__xludf.DUMMYFUNCTION("""COMPUTED_VALUE"""),"Yao Ming")</f>
        <v>Yao Ming</v>
      </c>
      <c r="E1520" s="4"/>
      <c r="F1520" s="4">
        <f>IFERROR(__xludf.DUMMYFUNCTION("""COMPUTED_VALUE"""),8.0)</f>
        <v>8</v>
      </c>
      <c r="G1520" s="4">
        <f>IFERROR(__xludf.DUMMYFUNCTION("""COMPUTED_VALUE"""),486.0)</f>
        <v>486</v>
      </c>
      <c r="H1520" s="4">
        <f>IFERROR(__xludf.DUMMYFUNCTION("""COMPUTED_VALUE"""),15818.0)</f>
        <v>15818</v>
      </c>
      <c r="I1520" s="4">
        <f>IFERROR(__xludf.DUMMYFUNCTION("""COMPUTED_VALUE"""),9247.0)</f>
        <v>9247</v>
      </c>
      <c r="J1520" s="4">
        <f>IFERROR(__xludf.DUMMYFUNCTION("""COMPUTED_VALUE"""),4494.0)</f>
        <v>4494</v>
      </c>
      <c r="K1520" s="4">
        <f>IFERROR(__xludf.DUMMYFUNCTION("""COMPUTED_VALUE"""),769.0)</f>
        <v>769</v>
      </c>
      <c r="L1520" s="4">
        <f>IFERROR(__xludf.DUMMYFUNCTION("""COMPUTED_VALUE"""),0.524)</f>
        <v>0.524</v>
      </c>
      <c r="M1520" s="4">
        <f>IFERROR(__xludf.DUMMYFUNCTION("""COMPUTED_VALUE"""),0.2)</f>
        <v>0.2</v>
      </c>
      <c r="N1520" s="4">
        <f>IFERROR(__xludf.DUMMYFUNCTION("""COMPUTED_VALUE"""),0.833)</f>
        <v>0.833</v>
      </c>
      <c r="O1520" s="4">
        <f>IFERROR(__xludf.DUMMYFUNCTION("""COMPUTED_VALUE"""),32.5)</f>
        <v>32.5</v>
      </c>
      <c r="P1520" s="4">
        <f>IFERROR(__xludf.DUMMYFUNCTION("""COMPUTED_VALUE"""),19.0)</f>
        <v>19</v>
      </c>
      <c r="Q1520" s="4">
        <f>IFERROR(__xludf.DUMMYFUNCTION("""COMPUTED_VALUE"""),9.2)</f>
        <v>9.2</v>
      </c>
      <c r="R1520" s="4">
        <f>IFERROR(__xludf.DUMMYFUNCTION("""COMPUTED_VALUE"""),1.6)</f>
        <v>1.6</v>
      </c>
      <c r="S1520" s="4">
        <f>IFERROR(__xludf.DUMMYFUNCTION("""COMPUTED_VALUE"""),65.9)</f>
        <v>65.9</v>
      </c>
      <c r="T1520" s="4">
        <f>IFERROR(__xludf.DUMMYFUNCTION("""COMPUTED_VALUE"""),0.2)</f>
        <v>0.2</v>
      </c>
      <c r="U1520" s="4">
        <f>IFERROR(__xludf.DUMMYFUNCTION("""COMPUTED_VALUE"""),3.2)</f>
        <v>3.2</v>
      </c>
      <c r="V1520" s="4">
        <f>IFERROR(__xludf.DUMMYFUNCTION("""COMPUTED_VALUE"""),20.7)</f>
        <v>20.7</v>
      </c>
    </row>
    <row r="1521">
      <c r="A1521" s="4">
        <f>IFERROR(__xludf.DUMMYFUNCTION("""COMPUTED_VALUE"""),2.0)</f>
        <v>2</v>
      </c>
      <c r="B1521" s="4">
        <f>IFERROR(__xludf.DUMMYFUNCTION("""COMPUTED_VALUE"""),2.0)</f>
        <v>2</v>
      </c>
      <c r="C1521" s="4" t="str">
        <f>IFERROR(__xludf.DUMMYFUNCTION("""COMPUTED_VALUE"""),"CHI")</f>
        <v>CHI</v>
      </c>
      <c r="D1521" s="4" t="str">
        <f>IFERROR(__xludf.DUMMYFUNCTION("""COMPUTED_VALUE"""),"Jay Williams")</f>
        <v>Jay Williams</v>
      </c>
      <c r="E1521" s="4" t="str">
        <f>IFERROR(__xludf.DUMMYFUNCTION("""COMPUTED_VALUE"""),"Duke")</f>
        <v>Duke</v>
      </c>
      <c r="F1521" s="4">
        <f>IFERROR(__xludf.DUMMYFUNCTION("""COMPUTED_VALUE"""),1.0)</f>
        <v>1</v>
      </c>
      <c r="G1521" s="4">
        <f>IFERROR(__xludf.DUMMYFUNCTION("""COMPUTED_VALUE"""),75.0)</f>
        <v>75</v>
      </c>
      <c r="H1521" s="4">
        <f>IFERROR(__xludf.DUMMYFUNCTION("""COMPUTED_VALUE"""),1961.0)</f>
        <v>1961</v>
      </c>
      <c r="I1521" s="4">
        <f>IFERROR(__xludf.DUMMYFUNCTION("""COMPUTED_VALUE"""),714.0)</f>
        <v>714</v>
      </c>
      <c r="J1521" s="4">
        <f>IFERROR(__xludf.DUMMYFUNCTION("""COMPUTED_VALUE"""),195.0)</f>
        <v>195</v>
      </c>
      <c r="K1521" s="4">
        <f>IFERROR(__xludf.DUMMYFUNCTION("""COMPUTED_VALUE"""),350.0)</f>
        <v>350</v>
      </c>
      <c r="L1521" s="4">
        <f>IFERROR(__xludf.DUMMYFUNCTION("""COMPUTED_VALUE"""),0.399)</f>
        <v>0.399</v>
      </c>
      <c r="M1521" s="4">
        <f>IFERROR(__xludf.DUMMYFUNCTION("""COMPUTED_VALUE"""),0.322)</f>
        <v>0.322</v>
      </c>
      <c r="N1521" s="4">
        <f>IFERROR(__xludf.DUMMYFUNCTION("""COMPUTED_VALUE"""),0.64)</f>
        <v>0.64</v>
      </c>
      <c r="O1521" s="4">
        <f>IFERROR(__xludf.DUMMYFUNCTION("""COMPUTED_VALUE"""),26.1)</f>
        <v>26.1</v>
      </c>
      <c r="P1521" s="4">
        <f>IFERROR(__xludf.DUMMYFUNCTION("""COMPUTED_VALUE"""),9.5)</f>
        <v>9.5</v>
      </c>
      <c r="Q1521" s="4">
        <f>IFERROR(__xludf.DUMMYFUNCTION("""COMPUTED_VALUE"""),2.6)</f>
        <v>2.6</v>
      </c>
      <c r="R1521" s="4">
        <f>IFERROR(__xludf.DUMMYFUNCTION("""COMPUTED_VALUE"""),4.7)</f>
        <v>4.7</v>
      </c>
      <c r="S1521" s="4">
        <f>IFERROR(__xludf.DUMMYFUNCTION("""COMPUTED_VALUE"""),0.8)</f>
        <v>0.8</v>
      </c>
      <c r="T1521" s="4">
        <f>IFERROR(__xludf.DUMMYFUNCTION("""COMPUTED_VALUE"""),0.02)</f>
        <v>0.02</v>
      </c>
      <c r="U1521" s="4">
        <f>IFERROR(__xludf.DUMMYFUNCTION("""COMPUTED_VALUE"""),-2.0)</f>
        <v>-2</v>
      </c>
      <c r="V1521" s="4">
        <f>IFERROR(__xludf.DUMMYFUNCTION("""COMPUTED_VALUE"""),0.0)</f>
        <v>0</v>
      </c>
    </row>
    <row r="1522">
      <c r="A1522" s="4">
        <f>IFERROR(__xludf.DUMMYFUNCTION("""COMPUTED_VALUE"""),3.0)</f>
        <v>3</v>
      </c>
      <c r="B1522" s="4">
        <f>IFERROR(__xludf.DUMMYFUNCTION("""COMPUTED_VALUE"""),3.0)</f>
        <v>3</v>
      </c>
      <c r="C1522" s="4" t="str">
        <f>IFERROR(__xludf.DUMMYFUNCTION("""COMPUTED_VALUE"""),"GSW")</f>
        <v>GSW</v>
      </c>
      <c r="D1522" s="4" t="str">
        <f>IFERROR(__xludf.DUMMYFUNCTION("""COMPUTED_VALUE"""),"Mike Dunleavy")</f>
        <v>Mike Dunleavy</v>
      </c>
      <c r="E1522" s="4" t="str">
        <f>IFERROR(__xludf.DUMMYFUNCTION("""COMPUTED_VALUE"""),"Duke")</f>
        <v>Duke</v>
      </c>
      <c r="F1522" s="4">
        <f>IFERROR(__xludf.DUMMYFUNCTION("""COMPUTED_VALUE"""),15.0)</f>
        <v>15</v>
      </c>
      <c r="G1522" s="4">
        <f>IFERROR(__xludf.DUMMYFUNCTION("""COMPUTED_VALUE"""),986.0)</f>
        <v>986</v>
      </c>
      <c r="H1522" s="4">
        <f>IFERROR(__xludf.DUMMYFUNCTION("""COMPUTED_VALUE"""),27340.0)</f>
        <v>27340</v>
      </c>
      <c r="I1522" s="4">
        <f>IFERROR(__xludf.DUMMYFUNCTION("""COMPUTED_VALUE"""),11048.0)</f>
        <v>11048</v>
      </c>
      <c r="J1522" s="4">
        <f>IFERROR(__xludf.DUMMYFUNCTION("""COMPUTED_VALUE"""),4211.0)</f>
        <v>4211</v>
      </c>
      <c r="K1522" s="4">
        <f>IFERROR(__xludf.DUMMYFUNCTION("""COMPUTED_VALUE"""),2185.0)</f>
        <v>2185</v>
      </c>
      <c r="L1522" s="4">
        <f>IFERROR(__xludf.DUMMYFUNCTION("""COMPUTED_VALUE"""),0.441)</f>
        <v>0.441</v>
      </c>
      <c r="M1522" s="4">
        <f>IFERROR(__xludf.DUMMYFUNCTION("""COMPUTED_VALUE"""),0.377)</f>
        <v>0.377</v>
      </c>
      <c r="N1522" s="4">
        <f>IFERROR(__xludf.DUMMYFUNCTION("""COMPUTED_VALUE"""),0.803)</f>
        <v>0.803</v>
      </c>
      <c r="O1522" s="4">
        <f>IFERROR(__xludf.DUMMYFUNCTION("""COMPUTED_VALUE"""),27.7)</f>
        <v>27.7</v>
      </c>
      <c r="P1522" s="4">
        <f>IFERROR(__xludf.DUMMYFUNCTION("""COMPUTED_VALUE"""),11.2)</f>
        <v>11.2</v>
      </c>
      <c r="Q1522" s="4">
        <f>IFERROR(__xludf.DUMMYFUNCTION("""COMPUTED_VALUE"""),4.3)</f>
        <v>4.3</v>
      </c>
      <c r="R1522" s="4">
        <f>IFERROR(__xludf.DUMMYFUNCTION("""COMPUTED_VALUE"""),2.2)</f>
        <v>2.2</v>
      </c>
      <c r="S1522" s="4">
        <f>IFERROR(__xludf.DUMMYFUNCTION("""COMPUTED_VALUE"""),58.5)</f>
        <v>58.5</v>
      </c>
      <c r="T1522" s="4">
        <f>IFERROR(__xludf.DUMMYFUNCTION("""COMPUTED_VALUE"""),0.103)</f>
        <v>0.103</v>
      </c>
      <c r="U1522" s="4">
        <f>IFERROR(__xludf.DUMMYFUNCTION("""COMPUTED_VALUE"""),0.3)</f>
        <v>0.3</v>
      </c>
      <c r="V1522" s="4">
        <f>IFERROR(__xludf.DUMMYFUNCTION("""COMPUTED_VALUE"""),15.7)</f>
        <v>15.7</v>
      </c>
    </row>
    <row r="1523">
      <c r="A1523" s="4">
        <f>IFERROR(__xludf.DUMMYFUNCTION("""COMPUTED_VALUE"""),4.0)</f>
        <v>4</v>
      </c>
      <c r="B1523" s="4">
        <f>IFERROR(__xludf.DUMMYFUNCTION("""COMPUTED_VALUE"""),4.0)</f>
        <v>4</v>
      </c>
      <c r="C1523" s="4" t="str">
        <f>IFERROR(__xludf.DUMMYFUNCTION("""COMPUTED_VALUE"""),"MEM")</f>
        <v>MEM</v>
      </c>
      <c r="D1523" s="4" t="str">
        <f>IFERROR(__xludf.DUMMYFUNCTION("""COMPUTED_VALUE"""),"Drew Gooden")</f>
        <v>Drew Gooden</v>
      </c>
      <c r="E1523" s="4" t="str">
        <f>IFERROR(__xludf.DUMMYFUNCTION("""COMPUTED_VALUE"""),"Kansas")</f>
        <v>Kansas</v>
      </c>
      <c r="F1523" s="4">
        <f>IFERROR(__xludf.DUMMYFUNCTION("""COMPUTED_VALUE"""),14.0)</f>
        <v>14</v>
      </c>
      <c r="G1523" s="4">
        <f>IFERROR(__xludf.DUMMYFUNCTION("""COMPUTED_VALUE"""),790.0)</f>
        <v>790</v>
      </c>
      <c r="H1523" s="4">
        <f>IFERROR(__xludf.DUMMYFUNCTION("""COMPUTED_VALUE"""),20127.0)</f>
        <v>20127</v>
      </c>
      <c r="I1523" s="4">
        <f>IFERROR(__xludf.DUMMYFUNCTION("""COMPUTED_VALUE"""),8653.0)</f>
        <v>8653</v>
      </c>
      <c r="J1523" s="4">
        <f>IFERROR(__xludf.DUMMYFUNCTION("""COMPUTED_VALUE"""),5618.0)</f>
        <v>5618</v>
      </c>
      <c r="K1523" s="4">
        <f>IFERROR(__xludf.DUMMYFUNCTION("""COMPUTED_VALUE"""),896.0)</f>
        <v>896</v>
      </c>
      <c r="L1523" s="4">
        <f>IFERROR(__xludf.DUMMYFUNCTION("""COMPUTED_VALUE"""),0.462)</f>
        <v>0.462</v>
      </c>
      <c r="M1523" s="4">
        <f>IFERROR(__xludf.DUMMYFUNCTION("""COMPUTED_VALUE"""),0.257)</f>
        <v>0.257</v>
      </c>
      <c r="N1523" s="4">
        <f>IFERROR(__xludf.DUMMYFUNCTION("""COMPUTED_VALUE"""),0.76)</f>
        <v>0.76</v>
      </c>
      <c r="O1523" s="4">
        <f>IFERROR(__xludf.DUMMYFUNCTION("""COMPUTED_VALUE"""),25.5)</f>
        <v>25.5</v>
      </c>
      <c r="P1523" s="4">
        <f>IFERROR(__xludf.DUMMYFUNCTION("""COMPUTED_VALUE"""),11.0)</f>
        <v>11</v>
      </c>
      <c r="Q1523" s="4">
        <f>IFERROR(__xludf.DUMMYFUNCTION("""COMPUTED_VALUE"""),7.1)</f>
        <v>7.1</v>
      </c>
      <c r="R1523" s="4">
        <f>IFERROR(__xludf.DUMMYFUNCTION("""COMPUTED_VALUE"""),1.1)</f>
        <v>1.1</v>
      </c>
      <c r="S1523" s="4">
        <f>IFERROR(__xludf.DUMMYFUNCTION("""COMPUTED_VALUE"""),43.9)</f>
        <v>43.9</v>
      </c>
      <c r="T1523" s="4">
        <f>IFERROR(__xludf.DUMMYFUNCTION("""COMPUTED_VALUE"""),0.105)</f>
        <v>0.105</v>
      </c>
      <c r="U1523" s="4">
        <f>IFERROR(__xludf.DUMMYFUNCTION("""COMPUTED_VALUE"""),-1.2)</f>
        <v>-1.2</v>
      </c>
      <c r="V1523" s="4">
        <f>IFERROR(__xludf.DUMMYFUNCTION("""COMPUTED_VALUE"""),4.3)</f>
        <v>4.3</v>
      </c>
    </row>
    <row r="1524">
      <c r="A1524" s="4">
        <f>IFERROR(__xludf.DUMMYFUNCTION("""COMPUTED_VALUE"""),5.0)</f>
        <v>5</v>
      </c>
      <c r="B1524" s="4">
        <f>IFERROR(__xludf.DUMMYFUNCTION("""COMPUTED_VALUE"""),5.0)</f>
        <v>5</v>
      </c>
      <c r="C1524" s="4" t="str">
        <f>IFERROR(__xludf.DUMMYFUNCTION("""COMPUTED_VALUE"""),"DEN")</f>
        <v>DEN</v>
      </c>
      <c r="D1524" s="4" t="str">
        <f>IFERROR(__xludf.DUMMYFUNCTION("""COMPUTED_VALUE"""),"Nikoloz Tskitishvili")</f>
        <v>Nikoloz Tskitishvili</v>
      </c>
      <c r="E1524" s="4"/>
      <c r="F1524" s="4">
        <f>IFERROR(__xludf.DUMMYFUNCTION("""COMPUTED_VALUE"""),4.0)</f>
        <v>4</v>
      </c>
      <c r="G1524" s="4">
        <f>IFERROR(__xludf.DUMMYFUNCTION("""COMPUTED_VALUE"""),172.0)</f>
        <v>172</v>
      </c>
      <c r="H1524" s="4">
        <f>IFERROR(__xludf.DUMMYFUNCTION("""COMPUTED_VALUE"""),1946.0)</f>
        <v>1946</v>
      </c>
      <c r="I1524" s="4">
        <f>IFERROR(__xludf.DUMMYFUNCTION("""COMPUTED_VALUE"""),507.0)</f>
        <v>507</v>
      </c>
      <c r="J1524" s="4">
        <f>IFERROR(__xludf.DUMMYFUNCTION("""COMPUTED_VALUE"""),307.0)</f>
        <v>307</v>
      </c>
      <c r="K1524" s="4">
        <f>IFERROR(__xludf.DUMMYFUNCTION("""COMPUTED_VALUE"""),114.0)</f>
        <v>114</v>
      </c>
      <c r="L1524" s="4">
        <f>IFERROR(__xludf.DUMMYFUNCTION("""COMPUTED_VALUE"""),0.304)</f>
        <v>0.304</v>
      </c>
      <c r="M1524" s="4">
        <f>IFERROR(__xludf.DUMMYFUNCTION("""COMPUTED_VALUE"""),0.235)</f>
        <v>0.235</v>
      </c>
      <c r="N1524" s="4">
        <f>IFERROR(__xludf.DUMMYFUNCTION("""COMPUTED_VALUE"""),0.73)</f>
        <v>0.73</v>
      </c>
      <c r="O1524" s="4">
        <f>IFERROR(__xludf.DUMMYFUNCTION("""COMPUTED_VALUE"""),11.3)</f>
        <v>11.3</v>
      </c>
      <c r="P1524" s="4">
        <f>IFERROR(__xludf.DUMMYFUNCTION("""COMPUTED_VALUE"""),2.9)</f>
        <v>2.9</v>
      </c>
      <c r="Q1524" s="4">
        <f>IFERROR(__xludf.DUMMYFUNCTION("""COMPUTED_VALUE"""),1.8)</f>
        <v>1.8</v>
      </c>
      <c r="R1524" s="4">
        <f>IFERROR(__xludf.DUMMYFUNCTION("""COMPUTED_VALUE"""),0.7)</f>
        <v>0.7</v>
      </c>
      <c r="S1524" s="4">
        <f>IFERROR(__xludf.DUMMYFUNCTION("""COMPUTED_VALUE"""),-1.6)</f>
        <v>-1.6</v>
      </c>
      <c r="T1524" s="4">
        <f>IFERROR(__xludf.DUMMYFUNCTION("""COMPUTED_VALUE"""),-0.039)</f>
        <v>-0.039</v>
      </c>
      <c r="U1524" s="4">
        <f>IFERROR(__xludf.DUMMYFUNCTION("""COMPUTED_VALUE"""),-6.1)</f>
        <v>-6.1</v>
      </c>
      <c r="V1524" s="4">
        <f>IFERROR(__xludf.DUMMYFUNCTION("""COMPUTED_VALUE"""),-2.0)</f>
        <v>-2</v>
      </c>
    </row>
    <row r="1525">
      <c r="A1525" s="4">
        <f>IFERROR(__xludf.DUMMYFUNCTION("""COMPUTED_VALUE"""),6.0)</f>
        <v>6</v>
      </c>
      <c r="B1525" s="4">
        <f>IFERROR(__xludf.DUMMYFUNCTION("""COMPUTED_VALUE"""),6.0)</f>
        <v>6</v>
      </c>
      <c r="C1525" s="4" t="str">
        <f>IFERROR(__xludf.DUMMYFUNCTION("""COMPUTED_VALUE"""),"CLE")</f>
        <v>CLE</v>
      </c>
      <c r="D1525" s="4" t="str">
        <f>IFERROR(__xludf.DUMMYFUNCTION("""COMPUTED_VALUE"""),"Dajuan Wagner")</f>
        <v>Dajuan Wagner</v>
      </c>
      <c r="E1525" s="4" t="str">
        <f>IFERROR(__xludf.DUMMYFUNCTION("""COMPUTED_VALUE"""),"Memphis")</f>
        <v>Memphis</v>
      </c>
      <c r="F1525" s="4">
        <f>IFERROR(__xludf.DUMMYFUNCTION("""COMPUTED_VALUE"""),4.0)</f>
        <v>4</v>
      </c>
      <c r="G1525" s="4">
        <f>IFERROR(__xludf.DUMMYFUNCTION("""COMPUTED_VALUE"""),103.0)</f>
        <v>103</v>
      </c>
      <c r="H1525" s="4">
        <f>IFERROR(__xludf.DUMMYFUNCTION("""COMPUTED_VALUE"""),2202.0)</f>
        <v>2202</v>
      </c>
      <c r="I1525" s="4">
        <f>IFERROR(__xludf.DUMMYFUNCTION("""COMPUTED_VALUE"""),964.0)</f>
        <v>964</v>
      </c>
      <c r="J1525" s="4">
        <f>IFERROR(__xludf.DUMMYFUNCTION("""COMPUTED_VALUE"""),142.0)</f>
        <v>142</v>
      </c>
      <c r="K1525" s="4">
        <f>IFERROR(__xludf.DUMMYFUNCTION("""COMPUTED_VALUE"""),195.0)</f>
        <v>195</v>
      </c>
      <c r="L1525" s="4">
        <f>IFERROR(__xludf.DUMMYFUNCTION("""COMPUTED_VALUE"""),0.366)</f>
        <v>0.366</v>
      </c>
      <c r="M1525" s="4">
        <f>IFERROR(__xludf.DUMMYFUNCTION("""COMPUTED_VALUE"""),0.321)</f>
        <v>0.321</v>
      </c>
      <c r="N1525" s="4">
        <f>IFERROR(__xludf.DUMMYFUNCTION("""COMPUTED_VALUE"""),0.77)</f>
        <v>0.77</v>
      </c>
      <c r="O1525" s="4">
        <f>IFERROR(__xludf.DUMMYFUNCTION("""COMPUTED_VALUE"""),21.4)</f>
        <v>21.4</v>
      </c>
      <c r="P1525" s="4">
        <f>IFERROR(__xludf.DUMMYFUNCTION("""COMPUTED_VALUE"""),9.4)</f>
        <v>9.4</v>
      </c>
      <c r="Q1525" s="4">
        <f>IFERROR(__xludf.DUMMYFUNCTION("""COMPUTED_VALUE"""),1.4)</f>
        <v>1.4</v>
      </c>
      <c r="R1525" s="4">
        <f>IFERROR(__xludf.DUMMYFUNCTION("""COMPUTED_VALUE"""),1.9)</f>
        <v>1.9</v>
      </c>
      <c r="S1525" s="4">
        <f>IFERROR(__xludf.DUMMYFUNCTION("""COMPUTED_VALUE"""),0.0)</f>
        <v>0</v>
      </c>
      <c r="T1525" s="4">
        <f>IFERROR(__xludf.DUMMYFUNCTION("""COMPUTED_VALUE"""),0.0)</f>
        <v>0</v>
      </c>
      <c r="U1525" s="4">
        <f>IFERROR(__xludf.DUMMYFUNCTION("""COMPUTED_VALUE"""),-4.9)</f>
        <v>-4.9</v>
      </c>
      <c r="V1525" s="4">
        <f>IFERROR(__xludf.DUMMYFUNCTION("""COMPUTED_VALUE"""),-1.6)</f>
        <v>-1.6</v>
      </c>
    </row>
    <row r="1526">
      <c r="A1526" s="4">
        <f>IFERROR(__xludf.DUMMYFUNCTION("""COMPUTED_VALUE"""),7.0)</f>
        <v>7</v>
      </c>
      <c r="B1526" s="4">
        <f>IFERROR(__xludf.DUMMYFUNCTION("""COMPUTED_VALUE"""),7.0)</f>
        <v>7</v>
      </c>
      <c r="C1526" s="4" t="str">
        <f>IFERROR(__xludf.DUMMYFUNCTION("""COMPUTED_VALUE"""),"NYK")</f>
        <v>NYK</v>
      </c>
      <c r="D1526" s="4" t="str">
        <f>IFERROR(__xludf.DUMMYFUNCTION("""COMPUTED_VALUE"""),"Nenê")</f>
        <v>Nenê</v>
      </c>
      <c r="E1526" s="4"/>
      <c r="F1526" s="4">
        <f>IFERROR(__xludf.DUMMYFUNCTION("""COMPUTED_VALUE"""),17.0)</f>
        <v>17</v>
      </c>
      <c r="G1526" s="4">
        <f>IFERROR(__xludf.DUMMYFUNCTION("""COMPUTED_VALUE"""),965.0)</f>
        <v>965</v>
      </c>
      <c r="H1526" s="4">
        <f>IFERROR(__xludf.DUMMYFUNCTION("""COMPUTED_VALUE"""),25237.0)</f>
        <v>25237</v>
      </c>
      <c r="I1526" s="4">
        <f>IFERROR(__xludf.DUMMYFUNCTION("""COMPUTED_VALUE"""),10909.0)</f>
        <v>10909</v>
      </c>
      <c r="J1526" s="4">
        <f>IFERROR(__xludf.DUMMYFUNCTION("""COMPUTED_VALUE"""),5828.0)</f>
        <v>5828</v>
      </c>
      <c r="K1526" s="4">
        <f>IFERROR(__xludf.DUMMYFUNCTION("""COMPUTED_VALUE"""),1719.0)</f>
        <v>1719</v>
      </c>
      <c r="L1526" s="4">
        <f>IFERROR(__xludf.DUMMYFUNCTION("""COMPUTED_VALUE"""),0.548)</f>
        <v>0.548</v>
      </c>
      <c r="M1526" s="4">
        <f>IFERROR(__xludf.DUMMYFUNCTION("""COMPUTED_VALUE"""),0.132)</f>
        <v>0.132</v>
      </c>
      <c r="N1526" s="4">
        <f>IFERROR(__xludf.DUMMYFUNCTION("""COMPUTED_VALUE"""),0.66)</f>
        <v>0.66</v>
      </c>
      <c r="O1526" s="4">
        <f>IFERROR(__xludf.DUMMYFUNCTION("""COMPUTED_VALUE"""),26.2)</f>
        <v>26.2</v>
      </c>
      <c r="P1526" s="4">
        <f>IFERROR(__xludf.DUMMYFUNCTION("""COMPUTED_VALUE"""),11.3)</f>
        <v>11.3</v>
      </c>
      <c r="Q1526" s="4">
        <f>IFERROR(__xludf.DUMMYFUNCTION("""COMPUTED_VALUE"""),6.0)</f>
        <v>6</v>
      </c>
      <c r="R1526" s="4">
        <f>IFERROR(__xludf.DUMMYFUNCTION("""COMPUTED_VALUE"""),1.8)</f>
        <v>1.8</v>
      </c>
      <c r="S1526" s="4">
        <f>IFERROR(__xludf.DUMMYFUNCTION("""COMPUTED_VALUE"""),73.3)</f>
        <v>73.3</v>
      </c>
      <c r="T1526" s="4">
        <f>IFERROR(__xludf.DUMMYFUNCTION("""COMPUTED_VALUE"""),0.139)</f>
        <v>0.139</v>
      </c>
      <c r="U1526" s="4">
        <f>IFERROR(__xludf.DUMMYFUNCTION("""COMPUTED_VALUE"""),1.0)</f>
        <v>1</v>
      </c>
      <c r="V1526" s="4">
        <f>IFERROR(__xludf.DUMMYFUNCTION("""COMPUTED_VALUE"""),18.8)</f>
        <v>18.8</v>
      </c>
    </row>
    <row r="1527">
      <c r="A1527" s="4">
        <f>IFERROR(__xludf.DUMMYFUNCTION("""COMPUTED_VALUE"""),8.0)</f>
        <v>8</v>
      </c>
      <c r="B1527" s="4">
        <f>IFERROR(__xludf.DUMMYFUNCTION("""COMPUTED_VALUE"""),8.0)</f>
        <v>8</v>
      </c>
      <c r="C1527" s="4" t="str">
        <f>IFERROR(__xludf.DUMMYFUNCTION("""COMPUTED_VALUE"""),"LAC")</f>
        <v>LAC</v>
      </c>
      <c r="D1527" s="4" t="str">
        <f>IFERROR(__xludf.DUMMYFUNCTION("""COMPUTED_VALUE"""),"Chris Wilcox")</f>
        <v>Chris Wilcox</v>
      </c>
      <c r="E1527" s="4" t="str">
        <f>IFERROR(__xludf.DUMMYFUNCTION("""COMPUTED_VALUE"""),"Maryland")</f>
        <v>Maryland</v>
      </c>
      <c r="F1527" s="4">
        <f>IFERROR(__xludf.DUMMYFUNCTION("""COMPUTED_VALUE"""),11.0)</f>
        <v>11</v>
      </c>
      <c r="G1527" s="4">
        <f>IFERROR(__xludf.DUMMYFUNCTION("""COMPUTED_VALUE"""),628.0)</f>
        <v>628</v>
      </c>
      <c r="H1527" s="4">
        <f>IFERROR(__xludf.DUMMYFUNCTION("""COMPUTED_VALUE"""),12474.0)</f>
        <v>12474</v>
      </c>
      <c r="I1527" s="4">
        <f>IFERROR(__xludf.DUMMYFUNCTION("""COMPUTED_VALUE"""),5150.0)</f>
        <v>5150</v>
      </c>
      <c r="J1527" s="4">
        <f>IFERROR(__xludf.DUMMYFUNCTION("""COMPUTED_VALUE"""),3076.0)</f>
        <v>3076</v>
      </c>
      <c r="K1527" s="4">
        <f>IFERROR(__xludf.DUMMYFUNCTION("""COMPUTED_VALUE"""),455.0)</f>
        <v>455</v>
      </c>
      <c r="L1527" s="4">
        <f>IFERROR(__xludf.DUMMYFUNCTION("""COMPUTED_VALUE"""),0.541)</f>
        <v>0.541</v>
      </c>
      <c r="M1527" s="4">
        <f>IFERROR(__xludf.DUMMYFUNCTION("""COMPUTED_VALUE"""),0.0)</f>
        <v>0</v>
      </c>
      <c r="N1527" s="4">
        <f>IFERROR(__xludf.DUMMYFUNCTION("""COMPUTED_VALUE"""),0.643)</f>
        <v>0.643</v>
      </c>
      <c r="O1527" s="4">
        <f>IFERROR(__xludf.DUMMYFUNCTION("""COMPUTED_VALUE"""),19.9)</f>
        <v>19.9</v>
      </c>
      <c r="P1527" s="4">
        <f>IFERROR(__xludf.DUMMYFUNCTION("""COMPUTED_VALUE"""),8.2)</f>
        <v>8.2</v>
      </c>
      <c r="Q1527" s="4">
        <f>IFERROR(__xludf.DUMMYFUNCTION("""COMPUTED_VALUE"""),4.9)</f>
        <v>4.9</v>
      </c>
      <c r="R1527" s="4">
        <f>IFERROR(__xludf.DUMMYFUNCTION("""COMPUTED_VALUE"""),0.7)</f>
        <v>0.7</v>
      </c>
      <c r="S1527" s="4">
        <f>IFERROR(__xludf.DUMMYFUNCTION("""COMPUTED_VALUE"""),26.9)</f>
        <v>26.9</v>
      </c>
      <c r="T1527" s="4">
        <f>IFERROR(__xludf.DUMMYFUNCTION("""COMPUTED_VALUE"""),0.103)</f>
        <v>0.103</v>
      </c>
      <c r="U1527" s="4">
        <f>IFERROR(__xludf.DUMMYFUNCTION("""COMPUTED_VALUE"""),-1.6)</f>
        <v>-1.6</v>
      </c>
      <c r="V1527" s="4">
        <f>IFERROR(__xludf.DUMMYFUNCTION("""COMPUTED_VALUE"""),1.2)</f>
        <v>1.2</v>
      </c>
    </row>
    <row r="1528">
      <c r="A1528" s="4">
        <f>IFERROR(__xludf.DUMMYFUNCTION("""COMPUTED_VALUE"""),9.0)</f>
        <v>9</v>
      </c>
      <c r="B1528" s="4">
        <f>IFERROR(__xludf.DUMMYFUNCTION("""COMPUTED_VALUE"""),9.0)</f>
        <v>9</v>
      </c>
      <c r="C1528" s="4" t="str">
        <f>IFERROR(__xludf.DUMMYFUNCTION("""COMPUTED_VALUE"""),"PHO")</f>
        <v>PHO</v>
      </c>
      <c r="D1528" s="4" t="str">
        <f>IFERROR(__xludf.DUMMYFUNCTION("""COMPUTED_VALUE"""),"Amar'e Stoudemire")</f>
        <v>Amar'e Stoudemire</v>
      </c>
      <c r="E1528" s="4"/>
      <c r="F1528" s="4">
        <f>IFERROR(__xludf.DUMMYFUNCTION("""COMPUTED_VALUE"""),14.0)</f>
        <v>14</v>
      </c>
      <c r="G1528" s="4">
        <f>IFERROR(__xludf.DUMMYFUNCTION("""COMPUTED_VALUE"""),846.0)</f>
        <v>846</v>
      </c>
      <c r="H1528" s="4">
        <f>IFERROR(__xludf.DUMMYFUNCTION("""COMPUTED_VALUE"""),26254.0)</f>
        <v>26254</v>
      </c>
      <c r="I1528" s="4">
        <f>IFERROR(__xludf.DUMMYFUNCTION("""COMPUTED_VALUE"""),15994.0)</f>
        <v>15994</v>
      </c>
      <c r="J1528" s="4">
        <f>IFERROR(__xludf.DUMMYFUNCTION("""COMPUTED_VALUE"""),6632.0)</f>
        <v>6632</v>
      </c>
      <c r="K1528" s="4">
        <f>IFERROR(__xludf.DUMMYFUNCTION("""COMPUTED_VALUE"""),1050.0)</f>
        <v>1050</v>
      </c>
      <c r="L1528" s="4">
        <f>IFERROR(__xludf.DUMMYFUNCTION("""COMPUTED_VALUE"""),0.537)</f>
        <v>0.537</v>
      </c>
      <c r="M1528" s="4">
        <f>IFERROR(__xludf.DUMMYFUNCTION("""COMPUTED_VALUE"""),0.236)</f>
        <v>0.236</v>
      </c>
      <c r="N1528" s="4">
        <f>IFERROR(__xludf.DUMMYFUNCTION("""COMPUTED_VALUE"""),0.761)</f>
        <v>0.761</v>
      </c>
      <c r="O1528" s="4">
        <f>IFERROR(__xludf.DUMMYFUNCTION("""COMPUTED_VALUE"""),31.0)</f>
        <v>31</v>
      </c>
      <c r="P1528" s="4">
        <f>IFERROR(__xludf.DUMMYFUNCTION("""COMPUTED_VALUE"""),18.9)</f>
        <v>18.9</v>
      </c>
      <c r="Q1528" s="4">
        <f>IFERROR(__xludf.DUMMYFUNCTION("""COMPUTED_VALUE"""),7.8)</f>
        <v>7.8</v>
      </c>
      <c r="R1528" s="4">
        <f>IFERROR(__xludf.DUMMYFUNCTION("""COMPUTED_VALUE"""),1.2)</f>
        <v>1.2</v>
      </c>
      <c r="S1528" s="4">
        <f>IFERROR(__xludf.DUMMYFUNCTION("""COMPUTED_VALUE"""),92.5)</f>
        <v>92.5</v>
      </c>
      <c r="T1528" s="4">
        <f>IFERROR(__xludf.DUMMYFUNCTION("""COMPUTED_VALUE"""),0.169)</f>
        <v>0.169</v>
      </c>
      <c r="U1528" s="4">
        <f>IFERROR(__xludf.DUMMYFUNCTION("""COMPUTED_VALUE"""),1.3)</f>
        <v>1.3</v>
      </c>
      <c r="V1528" s="4">
        <f>IFERROR(__xludf.DUMMYFUNCTION("""COMPUTED_VALUE"""),21.9)</f>
        <v>21.9</v>
      </c>
    </row>
    <row r="1529">
      <c r="A1529" s="4">
        <f>IFERROR(__xludf.DUMMYFUNCTION("""COMPUTED_VALUE"""),10.0)</f>
        <v>10</v>
      </c>
      <c r="B1529" s="4">
        <f>IFERROR(__xludf.DUMMYFUNCTION("""COMPUTED_VALUE"""),10.0)</f>
        <v>10</v>
      </c>
      <c r="C1529" s="4" t="str">
        <f>IFERROR(__xludf.DUMMYFUNCTION("""COMPUTED_VALUE"""),"MIA")</f>
        <v>MIA</v>
      </c>
      <c r="D1529" s="4" t="str">
        <f>IFERROR(__xludf.DUMMYFUNCTION("""COMPUTED_VALUE"""),"Caron Butler")</f>
        <v>Caron Butler</v>
      </c>
      <c r="E1529" s="4" t="str">
        <f>IFERROR(__xludf.DUMMYFUNCTION("""COMPUTED_VALUE"""),"UConn")</f>
        <v>UConn</v>
      </c>
      <c r="F1529" s="4">
        <f>IFERROR(__xludf.DUMMYFUNCTION("""COMPUTED_VALUE"""),14.0)</f>
        <v>14</v>
      </c>
      <c r="G1529" s="4">
        <f>IFERROR(__xludf.DUMMYFUNCTION("""COMPUTED_VALUE"""),881.0)</f>
        <v>881</v>
      </c>
      <c r="H1529" s="4">
        <f>IFERROR(__xludf.DUMMYFUNCTION("""COMPUTED_VALUE"""),28333.0)</f>
        <v>28333</v>
      </c>
      <c r="I1529" s="4">
        <f>IFERROR(__xludf.DUMMYFUNCTION("""COMPUTED_VALUE"""),12430.0)</f>
        <v>12430</v>
      </c>
      <c r="J1529" s="4">
        <f>IFERROR(__xludf.DUMMYFUNCTION("""COMPUTED_VALUE"""),4387.0)</f>
        <v>4387</v>
      </c>
      <c r="K1529" s="4">
        <f>IFERROR(__xludf.DUMMYFUNCTION("""COMPUTED_VALUE"""),2007.0)</f>
        <v>2007</v>
      </c>
      <c r="L1529" s="4">
        <f>IFERROR(__xludf.DUMMYFUNCTION("""COMPUTED_VALUE"""),0.434)</f>
        <v>0.434</v>
      </c>
      <c r="M1529" s="4">
        <f>IFERROR(__xludf.DUMMYFUNCTION("""COMPUTED_VALUE"""),0.348)</f>
        <v>0.348</v>
      </c>
      <c r="N1529" s="4">
        <f>IFERROR(__xludf.DUMMYFUNCTION("""COMPUTED_VALUE"""),0.847)</f>
        <v>0.847</v>
      </c>
      <c r="O1529" s="4">
        <f>IFERROR(__xludf.DUMMYFUNCTION("""COMPUTED_VALUE"""),32.2)</f>
        <v>32.2</v>
      </c>
      <c r="P1529" s="4">
        <f>IFERROR(__xludf.DUMMYFUNCTION("""COMPUTED_VALUE"""),14.1)</f>
        <v>14.1</v>
      </c>
      <c r="Q1529" s="4">
        <f>IFERROR(__xludf.DUMMYFUNCTION("""COMPUTED_VALUE"""),5.0)</f>
        <v>5</v>
      </c>
      <c r="R1529" s="4">
        <f>IFERROR(__xludf.DUMMYFUNCTION("""COMPUTED_VALUE"""),2.3)</f>
        <v>2.3</v>
      </c>
      <c r="S1529" s="4">
        <f>IFERROR(__xludf.DUMMYFUNCTION("""COMPUTED_VALUE"""),50.9)</f>
        <v>50.9</v>
      </c>
      <c r="T1529" s="4">
        <f>IFERROR(__xludf.DUMMYFUNCTION("""COMPUTED_VALUE"""),0.086)</f>
        <v>0.086</v>
      </c>
      <c r="U1529" s="4">
        <f>IFERROR(__xludf.DUMMYFUNCTION("""COMPUTED_VALUE"""),-0.2)</f>
        <v>-0.2</v>
      </c>
      <c r="V1529" s="4">
        <f>IFERROR(__xludf.DUMMYFUNCTION("""COMPUTED_VALUE"""),12.6)</f>
        <v>12.6</v>
      </c>
    </row>
    <row r="1530">
      <c r="A1530" s="4">
        <f>IFERROR(__xludf.DUMMYFUNCTION("""COMPUTED_VALUE"""),11.0)</f>
        <v>11</v>
      </c>
      <c r="B1530" s="4">
        <f>IFERROR(__xludf.DUMMYFUNCTION("""COMPUTED_VALUE"""),11.0)</f>
        <v>11</v>
      </c>
      <c r="C1530" s="4" t="str">
        <f>IFERROR(__xludf.DUMMYFUNCTION("""COMPUTED_VALUE"""),"WAS")</f>
        <v>WAS</v>
      </c>
      <c r="D1530" s="4" t="str">
        <f>IFERROR(__xludf.DUMMYFUNCTION("""COMPUTED_VALUE"""),"Jared Jeffries")</f>
        <v>Jared Jeffries</v>
      </c>
      <c r="E1530" s="4" t="str">
        <f>IFERROR(__xludf.DUMMYFUNCTION("""COMPUTED_VALUE"""),"Indiana")</f>
        <v>Indiana</v>
      </c>
      <c r="F1530" s="4">
        <f>IFERROR(__xludf.DUMMYFUNCTION("""COMPUTED_VALUE"""),11.0)</f>
        <v>11</v>
      </c>
      <c r="G1530" s="4">
        <f>IFERROR(__xludf.DUMMYFUNCTION("""COMPUTED_VALUE"""),629.0)</f>
        <v>629</v>
      </c>
      <c r="H1530" s="4">
        <f>IFERROR(__xludf.DUMMYFUNCTION("""COMPUTED_VALUE"""),13579.0)</f>
        <v>13579</v>
      </c>
      <c r="I1530" s="4">
        <f>IFERROR(__xludf.DUMMYFUNCTION("""COMPUTED_VALUE"""),3003.0)</f>
        <v>3003</v>
      </c>
      <c r="J1530" s="4">
        <f>IFERROR(__xludf.DUMMYFUNCTION("""COMPUTED_VALUE"""),2563.0)</f>
        <v>2563</v>
      </c>
      <c r="K1530" s="4">
        <f>IFERROR(__xludf.DUMMYFUNCTION("""COMPUTED_VALUE"""),798.0)</f>
        <v>798</v>
      </c>
      <c r="L1530" s="4">
        <f>IFERROR(__xludf.DUMMYFUNCTION("""COMPUTED_VALUE"""),0.426)</f>
        <v>0.426</v>
      </c>
      <c r="M1530" s="4">
        <f>IFERROR(__xludf.DUMMYFUNCTION("""COMPUTED_VALUE"""),0.25)</f>
        <v>0.25</v>
      </c>
      <c r="N1530" s="4">
        <f>IFERROR(__xludf.DUMMYFUNCTION("""COMPUTED_VALUE"""),0.583)</f>
        <v>0.583</v>
      </c>
      <c r="O1530" s="4">
        <f>IFERROR(__xludf.DUMMYFUNCTION("""COMPUTED_VALUE"""),21.6)</f>
        <v>21.6</v>
      </c>
      <c r="P1530" s="4">
        <f>IFERROR(__xludf.DUMMYFUNCTION("""COMPUTED_VALUE"""),4.8)</f>
        <v>4.8</v>
      </c>
      <c r="Q1530" s="4">
        <f>IFERROR(__xludf.DUMMYFUNCTION("""COMPUTED_VALUE"""),4.1)</f>
        <v>4.1</v>
      </c>
      <c r="R1530" s="4">
        <f>IFERROR(__xludf.DUMMYFUNCTION("""COMPUTED_VALUE"""),1.3)</f>
        <v>1.3</v>
      </c>
      <c r="S1530" s="4">
        <f>IFERROR(__xludf.DUMMYFUNCTION("""COMPUTED_VALUE"""),13.1)</f>
        <v>13.1</v>
      </c>
      <c r="T1530" s="4">
        <f>IFERROR(__xludf.DUMMYFUNCTION("""COMPUTED_VALUE"""),0.046)</f>
        <v>0.046</v>
      </c>
      <c r="U1530" s="4">
        <f>IFERROR(__xludf.DUMMYFUNCTION("""COMPUTED_VALUE"""),-2.4)</f>
        <v>-2.4</v>
      </c>
      <c r="V1530" s="4">
        <f>IFERROR(__xludf.DUMMYFUNCTION("""COMPUTED_VALUE"""),-1.5)</f>
        <v>-1.5</v>
      </c>
    </row>
    <row r="1531">
      <c r="A1531" s="4">
        <f>IFERROR(__xludf.DUMMYFUNCTION("""COMPUTED_VALUE"""),12.0)</f>
        <v>12</v>
      </c>
      <c r="B1531" s="4">
        <f>IFERROR(__xludf.DUMMYFUNCTION("""COMPUTED_VALUE"""),12.0)</f>
        <v>12</v>
      </c>
      <c r="C1531" s="4" t="str">
        <f>IFERROR(__xludf.DUMMYFUNCTION("""COMPUTED_VALUE"""),"LAC")</f>
        <v>LAC</v>
      </c>
      <c r="D1531" s="4" t="str">
        <f>IFERROR(__xludf.DUMMYFUNCTION("""COMPUTED_VALUE"""),"Melvin Ely")</f>
        <v>Melvin Ely</v>
      </c>
      <c r="E1531" s="4" t="str">
        <f>IFERROR(__xludf.DUMMYFUNCTION("""COMPUTED_VALUE"""),"Fresno State")</f>
        <v>Fresno State</v>
      </c>
      <c r="F1531" s="4">
        <f>IFERROR(__xludf.DUMMYFUNCTION("""COMPUTED_VALUE"""),9.0)</f>
        <v>9</v>
      </c>
      <c r="G1531" s="4">
        <f>IFERROR(__xludf.DUMMYFUNCTION("""COMPUTED_VALUE"""),375.0)</f>
        <v>375</v>
      </c>
      <c r="H1531" s="4">
        <f>IFERROR(__xludf.DUMMYFUNCTION("""COMPUTED_VALUE"""),6005.0)</f>
        <v>6005</v>
      </c>
      <c r="I1531" s="4">
        <f>IFERROR(__xludf.DUMMYFUNCTION("""COMPUTED_VALUE"""),1992.0)</f>
        <v>1992</v>
      </c>
      <c r="J1531" s="4">
        <f>IFERROR(__xludf.DUMMYFUNCTION("""COMPUTED_VALUE"""),1215.0)</f>
        <v>1215</v>
      </c>
      <c r="K1531" s="4">
        <f>IFERROR(__xludf.DUMMYFUNCTION("""COMPUTED_VALUE"""),261.0)</f>
        <v>261</v>
      </c>
      <c r="L1531" s="4">
        <f>IFERROR(__xludf.DUMMYFUNCTION("""COMPUTED_VALUE"""),0.46)</f>
        <v>0.46</v>
      </c>
      <c r="M1531" s="4">
        <f>IFERROR(__xludf.DUMMYFUNCTION("""COMPUTED_VALUE"""),0.0)</f>
        <v>0</v>
      </c>
      <c r="N1531" s="4">
        <f>IFERROR(__xludf.DUMMYFUNCTION("""COMPUTED_VALUE"""),0.625)</f>
        <v>0.625</v>
      </c>
      <c r="O1531" s="4">
        <f>IFERROR(__xludf.DUMMYFUNCTION("""COMPUTED_VALUE"""),16.0)</f>
        <v>16</v>
      </c>
      <c r="P1531" s="4">
        <f>IFERROR(__xludf.DUMMYFUNCTION("""COMPUTED_VALUE"""),5.3)</f>
        <v>5.3</v>
      </c>
      <c r="Q1531" s="4">
        <f>IFERROR(__xludf.DUMMYFUNCTION("""COMPUTED_VALUE"""),3.2)</f>
        <v>3.2</v>
      </c>
      <c r="R1531" s="4">
        <f>IFERROR(__xludf.DUMMYFUNCTION("""COMPUTED_VALUE"""),0.7)</f>
        <v>0.7</v>
      </c>
      <c r="S1531" s="4">
        <f>IFERROR(__xludf.DUMMYFUNCTION("""COMPUTED_VALUE"""),4.0)</f>
        <v>4</v>
      </c>
      <c r="T1531" s="4">
        <f>IFERROR(__xludf.DUMMYFUNCTION("""COMPUTED_VALUE"""),0.032)</f>
        <v>0.032</v>
      </c>
      <c r="U1531" s="4">
        <f>IFERROR(__xludf.DUMMYFUNCTION("""COMPUTED_VALUE"""),-4.0)</f>
        <v>-4</v>
      </c>
      <c r="V1531" s="4">
        <f>IFERROR(__xludf.DUMMYFUNCTION("""COMPUTED_VALUE"""),-3.1)</f>
        <v>-3.1</v>
      </c>
    </row>
    <row r="1532">
      <c r="A1532" s="4">
        <f>IFERROR(__xludf.DUMMYFUNCTION("""COMPUTED_VALUE"""),13.0)</f>
        <v>13</v>
      </c>
      <c r="B1532" s="4">
        <f>IFERROR(__xludf.DUMMYFUNCTION("""COMPUTED_VALUE"""),13.0)</f>
        <v>13</v>
      </c>
      <c r="C1532" s="4" t="str">
        <f>IFERROR(__xludf.DUMMYFUNCTION("""COMPUTED_VALUE"""),"MIL")</f>
        <v>MIL</v>
      </c>
      <c r="D1532" s="4" t="str">
        <f>IFERROR(__xludf.DUMMYFUNCTION("""COMPUTED_VALUE"""),"Marcus Haislip")</f>
        <v>Marcus Haislip</v>
      </c>
      <c r="E1532" s="4" t="str">
        <f>IFERROR(__xludf.DUMMYFUNCTION("""COMPUTED_VALUE"""),"Tennessee")</f>
        <v>Tennessee</v>
      </c>
      <c r="F1532" s="4">
        <f>IFERROR(__xludf.DUMMYFUNCTION("""COMPUTED_VALUE"""),4.0)</f>
        <v>4</v>
      </c>
      <c r="G1532" s="4">
        <f>IFERROR(__xludf.DUMMYFUNCTION("""COMPUTED_VALUE"""),89.0)</f>
        <v>89</v>
      </c>
      <c r="H1532" s="4">
        <f>IFERROR(__xludf.DUMMYFUNCTION("""COMPUTED_VALUE"""),854.0)</f>
        <v>854</v>
      </c>
      <c r="I1532" s="4">
        <f>IFERROR(__xludf.DUMMYFUNCTION("""COMPUTED_VALUE"""),311.0)</f>
        <v>311</v>
      </c>
      <c r="J1532" s="4">
        <f>IFERROR(__xludf.DUMMYFUNCTION("""COMPUTED_VALUE"""),131.0)</f>
        <v>131</v>
      </c>
      <c r="K1532" s="4">
        <f>IFERROR(__xludf.DUMMYFUNCTION("""COMPUTED_VALUE"""),16.0)</f>
        <v>16</v>
      </c>
      <c r="L1532" s="4">
        <f>IFERROR(__xludf.DUMMYFUNCTION("""COMPUTED_VALUE"""),0.437)</f>
        <v>0.437</v>
      </c>
      <c r="M1532" s="4">
        <f>IFERROR(__xludf.DUMMYFUNCTION("""COMPUTED_VALUE"""),0.35)</f>
        <v>0.35</v>
      </c>
      <c r="N1532" s="4">
        <f>IFERROR(__xludf.DUMMYFUNCTION("""COMPUTED_VALUE"""),0.659)</f>
        <v>0.659</v>
      </c>
      <c r="O1532" s="4">
        <f>IFERROR(__xludf.DUMMYFUNCTION("""COMPUTED_VALUE"""),9.6)</f>
        <v>9.6</v>
      </c>
      <c r="P1532" s="4">
        <f>IFERROR(__xludf.DUMMYFUNCTION("""COMPUTED_VALUE"""),3.5)</f>
        <v>3.5</v>
      </c>
      <c r="Q1532" s="4">
        <f>IFERROR(__xludf.DUMMYFUNCTION("""COMPUTED_VALUE"""),1.5)</f>
        <v>1.5</v>
      </c>
      <c r="R1532" s="4">
        <f>IFERROR(__xludf.DUMMYFUNCTION("""COMPUTED_VALUE"""),0.2)</f>
        <v>0.2</v>
      </c>
      <c r="S1532" s="4">
        <f>IFERROR(__xludf.DUMMYFUNCTION("""COMPUTED_VALUE"""),0.5)</f>
        <v>0.5</v>
      </c>
      <c r="T1532" s="4">
        <f>IFERROR(__xludf.DUMMYFUNCTION("""COMPUTED_VALUE"""),0.026)</f>
        <v>0.026</v>
      </c>
      <c r="U1532" s="4">
        <f>IFERROR(__xludf.DUMMYFUNCTION("""COMPUTED_VALUE"""),-4.7)</f>
        <v>-4.7</v>
      </c>
      <c r="V1532" s="4">
        <f>IFERROR(__xludf.DUMMYFUNCTION("""COMPUTED_VALUE"""),-0.6)</f>
        <v>-0.6</v>
      </c>
    </row>
    <row r="1533">
      <c r="A1533" s="4">
        <f>IFERROR(__xludf.DUMMYFUNCTION("""COMPUTED_VALUE"""),14.0)</f>
        <v>14</v>
      </c>
      <c r="B1533" s="4">
        <f>IFERROR(__xludf.DUMMYFUNCTION("""COMPUTED_VALUE"""),14.0)</f>
        <v>14</v>
      </c>
      <c r="C1533" s="4" t="str">
        <f>IFERROR(__xludf.DUMMYFUNCTION("""COMPUTED_VALUE"""),"IND")</f>
        <v>IND</v>
      </c>
      <c r="D1533" s="4" t="str">
        <f>IFERROR(__xludf.DUMMYFUNCTION("""COMPUTED_VALUE"""),"Fred Jones")</f>
        <v>Fred Jones</v>
      </c>
      <c r="E1533" s="4" t="str">
        <f>IFERROR(__xludf.DUMMYFUNCTION("""COMPUTED_VALUE"""),"Oregon")</f>
        <v>Oregon</v>
      </c>
      <c r="F1533" s="4">
        <f>IFERROR(__xludf.DUMMYFUNCTION("""COMPUTED_VALUE"""),7.0)</f>
        <v>7</v>
      </c>
      <c r="G1533" s="4">
        <f>IFERROR(__xludf.DUMMYFUNCTION("""COMPUTED_VALUE"""),430.0)</f>
        <v>430</v>
      </c>
      <c r="H1533" s="4">
        <f>IFERROR(__xludf.DUMMYFUNCTION("""COMPUTED_VALUE"""),10299.0)</f>
        <v>10299</v>
      </c>
      <c r="I1533" s="4">
        <f>IFERROR(__xludf.DUMMYFUNCTION("""COMPUTED_VALUE"""),3206.0)</f>
        <v>3206</v>
      </c>
      <c r="J1533" s="4">
        <f>IFERROR(__xludf.DUMMYFUNCTION("""COMPUTED_VALUE"""),958.0)</f>
        <v>958</v>
      </c>
      <c r="K1533" s="4">
        <f>IFERROR(__xludf.DUMMYFUNCTION("""COMPUTED_VALUE"""),990.0)</f>
        <v>990</v>
      </c>
      <c r="L1533" s="4">
        <f>IFERROR(__xludf.DUMMYFUNCTION("""COMPUTED_VALUE"""),0.411)</f>
        <v>0.411</v>
      </c>
      <c r="M1533" s="4">
        <f>IFERROR(__xludf.DUMMYFUNCTION("""COMPUTED_VALUE"""),0.353)</f>
        <v>0.353</v>
      </c>
      <c r="N1533" s="4">
        <f>IFERROR(__xludf.DUMMYFUNCTION("""COMPUTED_VALUE"""),0.809)</f>
        <v>0.809</v>
      </c>
      <c r="O1533" s="4">
        <f>IFERROR(__xludf.DUMMYFUNCTION("""COMPUTED_VALUE"""),24.0)</f>
        <v>24</v>
      </c>
      <c r="P1533" s="4">
        <f>IFERROR(__xludf.DUMMYFUNCTION("""COMPUTED_VALUE"""),7.5)</f>
        <v>7.5</v>
      </c>
      <c r="Q1533" s="4">
        <f>IFERROR(__xludf.DUMMYFUNCTION("""COMPUTED_VALUE"""),2.2)</f>
        <v>2.2</v>
      </c>
      <c r="R1533" s="4">
        <f>IFERROR(__xludf.DUMMYFUNCTION("""COMPUTED_VALUE"""),2.3)</f>
        <v>2.3</v>
      </c>
      <c r="S1533" s="4">
        <f>IFERROR(__xludf.DUMMYFUNCTION("""COMPUTED_VALUE"""),16.5)</f>
        <v>16.5</v>
      </c>
      <c r="T1533" s="4">
        <f>IFERROR(__xludf.DUMMYFUNCTION("""COMPUTED_VALUE"""),0.077)</f>
        <v>0.077</v>
      </c>
      <c r="U1533" s="4">
        <f>IFERROR(__xludf.DUMMYFUNCTION("""COMPUTED_VALUE"""),-1.0)</f>
        <v>-1</v>
      </c>
      <c r="V1533" s="4">
        <f>IFERROR(__xludf.DUMMYFUNCTION("""COMPUTED_VALUE"""),2.6)</f>
        <v>2.6</v>
      </c>
    </row>
    <row r="1534">
      <c r="A1534" s="4">
        <f>IFERROR(__xludf.DUMMYFUNCTION("""COMPUTED_VALUE"""),15.0)</f>
        <v>15</v>
      </c>
      <c r="B1534" s="4">
        <f>IFERROR(__xludf.DUMMYFUNCTION("""COMPUTED_VALUE"""),15.0)</f>
        <v>15</v>
      </c>
      <c r="C1534" s="4" t="str">
        <f>IFERROR(__xludf.DUMMYFUNCTION("""COMPUTED_VALUE"""),"HOU")</f>
        <v>HOU</v>
      </c>
      <c r="D1534" s="4" t="str">
        <f>IFERROR(__xludf.DUMMYFUNCTION("""COMPUTED_VALUE"""),"Boštjan Nachbar")</f>
        <v>Boštjan Nachbar</v>
      </c>
      <c r="E1534" s="4"/>
      <c r="F1534" s="4">
        <f>IFERROR(__xludf.DUMMYFUNCTION("""COMPUTED_VALUE"""),6.0)</f>
        <v>6</v>
      </c>
      <c r="G1534" s="4">
        <f>IFERROR(__xludf.DUMMYFUNCTION("""COMPUTED_VALUE"""),317.0)</f>
        <v>317</v>
      </c>
      <c r="H1534" s="4">
        <f>IFERROR(__xludf.DUMMYFUNCTION("""COMPUTED_VALUE"""),5628.0)</f>
        <v>5628</v>
      </c>
      <c r="I1534" s="4">
        <f>IFERROR(__xludf.DUMMYFUNCTION("""COMPUTED_VALUE"""),2252.0)</f>
        <v>2252</v>
      </c>
      <c r="J1534" s="4">
        <f>IFERROR(__xludf.DUMMYFUNCTION("""COMPUTED_VALUE"""),836.0)</f>
        <v>836</v>
      </c>
      <c r="K1534" s="4">
        <f>IFERROR(__xludf.DUMMYFUNCTION("""COMPUTED_VALUE"""),283.0)</f>
        <v>283</v>
      </c>
      <c r="L1534" s="4">
        <f>IFERROR(__xludf.DUMMYFUNCTION("""COMPUTED_VALUE"""),0.406)</f>
        <v>0.406</v>
      </c>
      <c r="M1534" s="4">
        <f>IFERROR(__xludf.DUMMYFUNCTION("""COMPUTED_VALUE"""),0.375)</f>
        <v>0.375</v>
      </c>
      <c r="N1534" s="4">
        <f>IFERROR(__xludf.DUMMYFUNCTION("""COMPUTED_VALUE"""),0.784)</f>
        <v>0.784</v>
      </c>
      <c r="O1534" s="4">
        <f>IFERROR(__xludf.DUMMYFUNCTION("""COMPUTED_VALUE"""),17.8)</f>
        <v>17.8</v>
      </c>
      <c r="P1534" s="4">
        <f>IFERROR(__xludf.DUMMYFUNCTION("""COMPUTED_VALUE"""),7.1)</f>
        <v>7.1</v>
      </c>
      <c r="Q1534" s="4">
        <f>IFERROR(__xludf.DUMMYFUNCTION("""COMPUTED_VALUE"""),2.6)</f>
        <v>2.6</v>
      </c>
      <c r="R1534" s="4">
        <f>IFERROR(__xludf.DUMMYFUNCTION("""COMPUTED_VALUE"""),0.9)</f>
        <v>0.9</v>
      </c>
      <c r="S1534" s="4">
        <f>IFERROR(__xludf.DUMMYFUNCTION("""COMPUTED_VALUE"""),8.7)</f>
        <v>8.7</v>
      </c>
      <c r="T1534" s="4">
        <f>IFERROR(__xludf.DUMMYFUNCTION("""COMPUTED_VALUE"""),0.074)</f>
        <v>0.074</v>
      </c>
      <c r="U1534" s="4">
        <f>IFERROR(__xludf.DUMMYFUNCTION("""COMPUTED_VALUE"""),-1.6)</f>
        <v>-1.6</v>
      </c>
      <c r="V1534" s="4">
        <f>IFERROR(__xludf.DUMMYFUNCTION("""COMPUTED_VALUE"""),0.6)</f>
        <v>0.6</v>
      </c>
    </row>
    <row r="1535">
      <c r="A1535" s="4">
        <f>IFERROR(__xludf.DUMMYFUNCTION("""COMPUTED_VALUE"""),16.0)</f>
        <v>16</v>
      </c>
      <c r="B1535" s="4">
        <f>IFERROR(__xludf.DUMMYFUNCTION("""COMPUTED_VALUE"""),16.0)</f>
        <v>16</v>
      </c>
      <c r="C1535" s="4" t="str">
        <f>IFERROR(__xludf.DUMMYFUNCTION("""COMPUTED_VALUE"""),"PHI")</f>
        <v>PHI</v>
      </c>
      <c r="D1535" s="4" t="str">
        <f>IFERROR(__xludf.DUMMYFUNCTION("""COMPUTED_VALUE"""),"Jiří Welsch")</f>
        <v>Jiří Welsch</v>
      </c>
      <c r="E1535" s="4"/>
      <c r="F1535" s="4">
        <f>IFERROR(__xludf.DUMMYFUNCTION("""COMPUTED_VALUE"""),4.0)</f>
        <v>4</v>
      </c>
      <c r="G1535" s="4">
        <f>IFERROR(__xludf.DUMMYFUNCTION("""COMPUTED_VALUE"""),247.0)</f>
        <v>247</v>
      </c>
      <c r="H1535" s="4">
        <f>IFERROR(__xludf.DUMMYFUNCTION("""COMPUTED_VALUE"""),4596.0)</f>
        <v>4596</v>
      </c>
      <c r="I1535" s="4">
        <f>IFERROR(__xludf.DUMMYFUNCTION("""COMPUTED_VALUE"""),1519.0)</f>
        <v>1519</v>
      </c>
      <c r="J1535" s="4">
        <f>IFERROR(__xludf.DUMMYFUNCTION("""COMPUTED_VALUE"""),602.0)</f>
        <v>602</v>
      </c>
      <c r="K1535" s="4">
        <f>IFERROR(__xludf.DUMMYFUNCTION("""COMPUTED_VALUE"""),375.0)</f>
        <v>375</v>
      </c>
      <c r="L1535" s="4">
        <f>IFERROR(__xludf.DUMMYFUNCTION("""COMPUTED_VALUE"""),0.403)</f>
        <v>0.403</v>
      </c>
      <c r="M1535" s="4">
        <f>IFERROR(__xludf.DUMMYFUNCTION("""COMPUTED_VALUE"""),0.343)</f>
        <v>0.343</v>
      </c>
      <c r="N1535" s="4">
        <f>IFERROR(__xludf.DUMMYFUNCTION("""COMPUTED_VALUE"""),0.752)</f>
        <v>0.752</v>
      </c>
      <c r="O1535" s="4">
        <f>IFERROR(__xludf.DUMMYFUNCTION("""COMPUTED_VALUE"""),18.6)</f>
        <v>18.6</v>
      </c>
      <c r="P1535" s="4">
        <f>IFERROR(__xludf.DUMMYFUNCTION("""COMPUTED_VALUE"""),6.1)</f>
        <v>6.1</v>
      </c>
      <c r="Q1535" s="4">
        <f>IFERROR(__xludf.DUMMYFUNCTION("""COMPUTED_VALUE"""),2.4)</f>
        <v>2.4</v>
      </c>
      <c r="R1535" s="4">
        <f>IFERROR(__xludf.DUMMYFUNCTION("""COMPUTED_VALUE"""),1.5)</f>
        <v>1.5</v>
      </c>
      <c r="S1535" s="4">
        <f>IFERROR(__xludf.DUMMYFUNCTION("""COMPUTED_VALUE"""),5.7)</f>
        <v>5.7</v>
      </c>
      <c r="T1535" s="4">
        <f>IFERROR(__xludf.DUMMYFUNCTION("""COMPUTED_VALUE"""),0.059)</f>
        <v>0.059</v>
      </c>
      <c r="U1535" s="4">
        <f>IFERROR(__xludf.DUMMYFUNCTION("""COMPUTED_VALUE"""),-1.9)</f>
        <v>-1.9</v>
      </c>
      <c r="V1535" s="4">
        <f>IFERROR(__xludf.DUMMYFUNCTION("""COMPUTED_VALUE"""),0.1)</f>
        <v>0.1</v>
      </c>
    </row>
    <row r="1536">
      <c r="A1536" s="4">
        <f>IFERROR(__xludf.DUMMYFUNCTION("""COMPUTED_VALUE"""),17.0)</f>
        <v>17</v>
      </c>
      <c r="B1536" s="4">
        <f>IFERROR(__xludf.DUMMYFUNCTION("""COMPUTED_VALUE"""),17.0)</f>
        <v>17</v>
      </c>
      <c r="C1536" s="4" t="str">
        <f>IFERROR(__xludf.DUMMYFUNCTION("""COMPUTED_VALUE"""),"WAS")</f>
        <v>WAS</v>
      </c>
      <c r="D1536" s="4" t="str">
        <f>IFERROR(__xludf.DUMMYFUNCTION("""COMPUTED_VALUE"""),"Juan Dixon")</f>
        <v>Juan Dixon</v>
      </c>
      <c r="E1536" s="4" t="str">
        <f>IFERROR(__xludf.DUMMYFUNCTION("""COMPUTED_VALUE"""),"Maryland")</f>
        <v>Maryland</v>
      </c>
      <c r="F1536" s="4">
        <f>IFERROR(__xludf.DUMMYFUNCTION("""COMPUTED_VALUE"""),7.0)</f>
        <v>7</v>
      </c>
      <c r="G1536" s="4">
        <f>IFERROR(__xludf.DUMMYFUNCTION("""COMPUTED_VALUE"""),436.0)</f>
        <v>436</v>
      </c>
      <c r="H1536" s="4">
        <f>IFERROR(__xludf.DUMMYFUNCTION("""COMPUTED_VALUE"""),8509.0)</f>
        <v>8509</v>
      </c>
      <c r="I1536" s="4">
        <f>IFERROR(__xludf.DUMMYFUNCTION("""COMPUTED_VALUE"""),3678.0)</f>
        <v>3678</v>
      </c>
      <c r="J1536" s="4">
        <f>IFERROR(__xludf.DUMMYFUNCTION("""COMPUTED_VALUE"""),816.0)</f>
        <v>816</v>
      </c>
      <c r="K1536" s="4">
        <f>IFERROR(__xludf.DUMMYFUNCTION("""COMPUTED_VALUE"""),775.0)</f>
        <v>775</v>
      </c>
      <c r="L1536" s="4">
        <f>IFERROR(__xludf.DUMMYFUNCTION("""COMPUTED_VALUE"""),0.413)</f>
        <v>0.413</v>
      </c>
      <c r="M1536" s="4">
        <f>IFERROR(__xludf.DUMMYFUNCTION("""COMPUTED_VALUE"""),0.341)</f>
        <v>0.341</v>
      </c>
      <c r="N1536" s="4">
        <f>IFERROR(__xludf.DUMMYFUNCTION("""COMPUTED_VALUE"""),0.833)</f>
        <v>0.833</v>
      </c>
      <c r="O1536" s="4">
        <f>IFERROR(__xludf.DUMMYFUNCTION("""COMPUTED_VALUE"""),19.5)</f>
        <v>19.5</v>
      </c>
      <c r="P1536" s="4">
        <f>IFERROR(__xludf.DUMMYFUNCTION("""COMPUTED_VALUE"""),8.4)</f>
        <v>8.4</v>
      </c>
      <c r="Q1536" s="4">
        <f>IFERROR(__xludf.DUMMYFUNCTION("""COMPUTED_VALUE"""),1.9)</f>
        <v>1.9</v>
      </c>
      <c r="R1536" s="4">
        <f>IFERROR(__xludf.DUMMYFUNCTION("""COMPUTED_VALUE"""),1.8)</f>
        <v>1.8</v>
      </c>
      <c r="S1536" s="4">
        <f>IFERROR(__xludf.DUMMYFUNCTION("""COMPUTED_VALUE"""),6.1)</f>
        <v>6.1</v>
      </c>
      <c r="T1536" s="4">
        <f>IFERROR(__xludf.DUMMYFUNCTION("""COMPUTED_VALUE"""),0.034)</f>
        <v>0.034</v>
      </c>
      <c r="U1536" s="4">
        <f>IFERROR(__xludf.DUMMYFUNCTION("""COMPUTED_VALUE"""),-2.1)</f>
        <v>-2.1</v>
      </c>
      <c r="V1536" s="4">
        <f>IFERROR(__xludf.DUMMYFUNCTION("""COMPUTED_VALUE"""),-0.3)</f>
        <v>-0.3</v>
      </c>
    </row>
    <row r="1537">
      <c r="A1537" s="4">
        <f>IFERROR(__xludf.DUMMYFUNCTION("""COMPUTED_VALUE"""),18.0)</f>
        <v>18</v>
      </c>
      <c r="B1537" s="4">
        <f>IFERROR(__xludf.DUMMYFUNCTION("""COMPUTED_VALUE"""),18.0)</f>
        <v>18</v>
      </c>
      <c r="C1537" s="4" t="str">
        <f>IFERROR(__xludf.DUMMYFUNCTION("""COMPUTED_VALUE"""),"ORL")</f>
        <v>ORL</v>
      </c>
      <c r="D1537" s="4" t="str">
        <f>IFERROR(__xludf.DUMMYFUNCTION("""COMPUTED_VALUE"""),"Curtis Borchardt")</f>
        <v>Curtis Borchardt</v>
      </c>
      <c r="E1537" s="4" t="str">
        <f>IFERROR(__xludf.DUMMYFUNCTION("""COMPUTED_VALUE"""),"Stanford")</f>
        <v>Stanford</v>
      </c>
      <c r="F1537" s="4">
        <f>IFERROR(__xludf.DUMMYFUNCTION("""COMPUTED_VALUE"""),2.0)</f>
        <v>2</v>
      </c>
      <c r="G1537" s="4">
        <f>IFERROR(__xludf.DUMMYFUNCTION("""COMPUTED_VALUE"""),83.0)</f>
        <v>83</v>
      </c>
      <c r="H1537" s="4">
        <f>IFERROR(__xludf.DUMMYFUNCTION("""COMPUTED_VALUE"""),1117.0)</f>
        <v>1117</v>
      </c>
      <c r="I1537" s="4">
        <f>IFERROR(__xludf.DUMMYFUNCTION("""COMPUTED_VALUE"""),258.0)</f>
        <v>258</v>
      </c>
      <c r="J1537" s="4">
        <f>IFERROR(__xludf.DUMMYFUNCTION("""COMPUTED_VALUE"""),278.0)</f>
        <v>278</v>
      </c>
      <c r="K1537" s="4">
        <f>IFERROR(__xludf.DUMMYFUNCTION("""COMPUTED_VALUE"""),64.0)</f>
        <v>64</v>
      </c>
      <c r="L1537" s="4">
        <f>IFERROR(__xludf.DUMMYFUNCTION("""COMPUTED_VALUE"""),0.421)</f>
        <v>0.421</v>
      </c>
      <c r="M1537" s="4">
        <f>IFERROR(__xludf.DUMMYFUNCTION("""COMPUTED_VALUE"""),0.0)</f>
        <v>0</v>
      </c>
      <c r="N1537" s="4">
        <f>IFERROR(__xludf.DUMMYFUNCTION("""COMPUTED_VALUE"""),0.742)</f>
        <v>0.742</v>
      </c>
      <c r="O1537" s="4">
        <f>IFERROR(__xludf.DUMMYFUNCTION("""COMPUTED_VALUE"""),13.5)</f>
        <v>13.5</v>
      </c>
      <c r="P1537" s="4">
        <f>IFERROR(__xludf.DUMMYFUNCTION("""COMPUTED_VALUE"""),3.1)</f>
        <v>3.1</v>
      </c>
      <c r="Q1537" s="4">
        <f>IFERROR(__xludf.DUMMYFUNCTION("""COMPUTED_VALUE"""),3.3)</f>
        <v>3.3</v>
      </c>
      <c r="R1537" s="4">
        <f>IFERROR(__xludf.DUMMYFUNCTION("""COMPUTED_VALUE"""),0.8)</f>
        <v>0.8</v>
      </c>
      <c r="S1537" s="4">
        <f>IFERROR(__xludf.DUMMYFUNCTION("""COMPUTED_VALUE"""),1.0)</f>
        <v>1</v>
      </c>
      <c r="T1537" s="4">
        <f>IFERROR(__xludf.DUMMYFUNCTION("""COMPUTED_VALUE"""),0.041)</f>
        <v>0.041</v>
      </c>
      <c r="U1537" s="4">
        <f>IFERROR(__xludf.DUMMYFUNCTION("""COMPUTED_VALUE"""),-3.8)</f>
        <v>-3.8</v>
      </c>
      <c r="V1537" s="4">
        <f>IFERROR(__xludf.DUMMYFUNCTION("""COMPUTED_VALUE"""),-0.5)</f>
        <v>-0.5</v>
      </c>
    </row>
    <row r="1538">
      <c r="A1538" s="4">
        <f>IFERROR(__xludf.DUMMYFUNCTION("""COMPUTED_VALUE"""),19.0)</f>
        <v>19</v>
      </c>
      <c r="B1538" s="4">
        <f>IFERROR(__xludf.DUMMYFUNCTION("""COMPUTED_VALUE"""),19.0)</f>
        <v>19</v>
      </c>
      <c r="C1538" s="4" t="str">
        <f>IFERROR(__xludf.DUMMYFUNCTION("""COMPUTED_VALUE"""),"UTA")</f>
        <v>UTA</v>
      </c>
      <c r="D1538" s="4" t="str">
        <f>IFERROR(__xludf.DUMMYFUNCTION("""COMPUTED_VALUE"""),"Ryan Humphrey")</f>
        <v>Ryan Humphrey</v>
      </c>
      <c r="E1538" s="4" t="str">
        <f>IFERROR(__xludf.DUMMYFUNCTION("""COMPUTED_VALUE"""),"Notre Dame")</f>
        <v>Notre Dame</v>
      </c>
      <c r="F1538" s="4">
        <f>IFERROR(__xludf.DUMMYFUNCTION("""COMPUTED_VALUE"""),3.0)</f>
        <v>3</v>
      </c>
      <c r="G1538" s="4">
        <f>IFERROR(__xludf.DUMMYFUNCTION("""COMPUTED_VALUE"""),85.0)</f>
        <v>85</v>
      </c>
      <c r="H1538" s="4">
        <f>IFERROR(__xludf.DUMMYFUNCTION("""COMPUTED_VALUE"""),772.0)</f>
        <v>772</v>
      </c>
      <c r="I1538" s="4">
        <f>IFERROR(__xludf.DUMMYFUNCTION("""COMPUTED_VALUE"""),197.0)</f>
        <v>197</v>
      </c>
      <c r="J1538" s="4">
        <f>IFERROR(__xludf.DUMMYFUNCTION("""COMPUTED_VALUE"""),189.0)</f>
        <v>189</v>
      </c>
      <c r="K1538" s="4">
        <f>IFERROR(__xludf.DUMMYFUNCTION("""COMPUTED_VALUE"""),18.0)</f>
        <v>18</v>
      </c>
      <c r="L1538" s="4">
        <f>IFERROR(__xludf.DUMMYFUNCTION("""COMPUTED_VALUE"""),0.344)</f>
        <v>0.344</v>
      </c>
      <c r="M1538" s="4">
        <f>IFERROR(__xludf.DUMMYFUNCTION("""COMPUTED_VALUE"""),0.0)</f>
        <v>0</v>
      </c>
      <c r="N1538" s="4">
        <f>IFERROR(__xludf.DUMMYFUNCTION("""COMPUTED_VALUE"""),0.539)</f>
        <v>0.539</v>
      </c>
      <c r="O1538" s="4">
        <f>IFERROR(__xludf.DUMMYFUNCTION("""COMPUTED_VALUE"""),9.1)</f>
        <v>9.1</v>
      </c>
      <c r="P1538" s="4">
        <f>IFERROR(__xludf.DUMMYFUNCTION("""COMPUTED_VALUE"""),2.3)</f>
        <v>2.3</v>
      </c>
      <c r="Q1538" s="4">
        <f>IFERROR(__xludf.DUMMYFUNCTION("""COMPUTED_VALUE"""),2.2)</f>
        <v>2.2</v>
      </c>
      <c r="R1538" s="4">
        <f>IFERROR(__xludf.DUMMYFUNCTION("""COMPUTED_VALUE"""),0.2)</f>
        <v>0.2</v>
      </c>
      <c r="S1538" s="4">
        <f>IFERROR(__xludf.DUMMYFUNCTION("""COMPUTED_VALUE"""),-0.4)</f>
        <v>-0.4</v>
      </c>
      <c r="T1538" s="4">
        <f>IFERROR(__xludf.DUMMYFUNCTION("""COMPUTED_VALUE"""),-0.027)</f>
        <v>-0.027</v>
      </c>
      <c r="U1538" s="4">
        <f>IFERROR(__xludf.DUMMYFUNCTION("""COMPUTED_VALUE"""),-8.1)</f>
        <v>-8.1</v>
      </c>
      <c r="V1538" s="4">
        <f>IFERROR(__xludf.DUMMYFUNCTION("""COMPUTED_VALUE"""),-1.2)</f>
        <v>-1.2</v>
      </c>
    </row>
    <row r="1539">
      <c r="A1539" s="4">
        <f>IFERROR(__xludf.DUMMYFUNCTION("""COMPUTED_VALUE"""),20.0)</f>
        <v>20</v>
      </c>
      <c r="B1539" s="4">
        <f>IFERROR(__xludf.DUMMYFUNCTION("""COMPUTED_VALUE"""),20.0)</f>
        <v>20</v>
      </c>
      <c r="C1539" s="4" t="str">
        <f>IFERROR(__xludf.DUMMYFUNCTION("""COMPUTED_VALUE"""),"TOR")</f>
        <v>TOR</v>
      </c>
      <c r="D1539" s="4" t="str">
        <f>IFERROR(__xludf.DUMMYFUNCTION("""COMPUTED_VALUE"""),"Kareem Rush")</f>
        <v>Kareem Rush</v>
      </c>
      <c r="E1539" s="4" t="str">
        <f>IFERROR(__xludf.DUMMYFUNCTION("""COMPUTED_VALUE"""),"Missouri")</f>
        <v>Missouri</v>
      </c>
      <c r="F1539" s="4">
        <f>IFERROR(__xludf.DUMMYFUNCTION("""COMPUTED_VALUE"""),7.0)</f>
        <v>7</v>
      </c>
      <c r="G1539" s="4">
        <f>IFERROR(__xludf.DUMMYFUNCTION("""COMPUTED_VALUE"""),346.0)</f>
        <v>346</v>
      </c>
      <c r="H1539" s="4">
        <f>IFERROR(__xludf.DUMMYFUNCTION("""COMPUTED_VALUE"""),5956.0)</f>
        <v>5956</v>
      </c>
      <c r="I1539" s="4">
        <f>IFERROR(__xludf.DUMMYFUNCTION("""COMPUTED_VALUE"""),2213.0)</f>
        <v>2213</v>
      </c>
      <c r="J1539" s="4">
        <f>IFERROR(__xludf.DUMMYFUNCTION("""COMPUTED_VALUE"""),572.0)</f>
        <v>572</v>
      </c>
      <c r="K1539" s="4">
        <f>IFERROR(__xludf.DUMMYFUNCTION("""COMPUTED_VALUE"""),353.0)</f>
        <v>353</v>
      </c>
      <c r="L1539" s="4">
        <f>IFERROR(__xludf.DUMMYFUNCTION("""COMPUTED_VALUE"""),0.4)</f>
        <v>0.4</v>
      </c>
      <c r="M1539" s="4">
        <f>IFERROR(__xludf.DUMMYFUNCTION("""COMPUTED_VALUE"""),0.358)</f>
        <v>0.358</v>
      </c>
      <c r="N1539" s="4">
        <f>IFERROR(__xludf.DUMMYFUNCTION("""COMPUTED_VALUE"""),0.703)</f>
        <v>0.703</v>
      </c>
      <c r="O1539" s="4">
        <f>IFERROR(__xludf.DUMMYFUNCTION("""COMPUTED_VALUE"""),17.2)</f>
        <v>17.2</v>
      </c>
      <c r="P1539" s="4">
        <f>IFERROR(__xludf.DUMMYFUNCTION("""COMPUTED_VALUE"""),6.4)</f>
        <v>6.4</v>
      </c>
      <c r="Q1539" s="4">
        <f>IFERROR(__xludf.DUMMYFUNCTION("""COMPUTED_VALUE"""),1.7)</f>
        <v>1.7</v>
      </c>
      <c r="R1539" s="4">
        <f>IFERROR(__xludf.DUMMYFUNCTION("""COMPUTED_VALUE"""),1.0)</f>
        <v>1</v>
      </c>
      <c r="S1539" s="4">
        <f>IFERROR(__xludf.DUMMYFUNCTION("""COMPUTED_VALUE"""),1.7)</f>
        <v>1.7</v>
      </c>
      <c r="T1539" s="4">
        <f>IFERROR(__xludf.DUMMYFUNCTION("""COMPUTED_VALUE"""),0.013)</f>
        <v>0.013</v>
      </c>
      <c r="U1539" s="4">
        <f>IFERROR(__xludf.DUMMYFUNCTION("""COMPUTED_VALUE"""),-3.2)</f>
        <v>-3.2</v>
      </c>
      <c r="V1539" s="4">
        <f>IFERROR(__xludf.DUMMYFUNCTION("""COMPUTED_VALUE"""),-1.8)</f>
        <v>-1.8</v>
      </c>
    </row>
    <row r="1540">
      <c r="A1540" s="4">
        <f>IFERROR(__xludf.DUMMYFUNCTION("""COMPUTED_VALUE"""),21.0)</f>
        <v>21</v>
      </c>
      <c r="B1540" s="4">
        <f>IFERROR(__xludf.DUMMYFUNCTION("""COMPUTED_VALUE"""),21.0)</f>
        <v>21</v>
      </c>
      <c r="C1540" s="4" t="str">
        <f>IFERROR(__xludf.DUMMYFUNCTION("""COMPUTED_VALUE"""),"POR")</f>
        <v>POR</v>
      </c>
      <c r="D1540" s="4" t="str">
        <f>IFERROR(__xludf.DUMMYFUNCTION("""COMPUTED_VALUE"""),"Qyntel Woods")</f>
        <v>Qyntel Woods</v>
      </c>
      <c r="E1540" s="4" t="str">
        <f>IFERROR(__xludf.DUMMYFUNCTION("""COMPUTED_VALUE"""),"Northeast Mississippi Community College")</f>
        <v>Northeast Mississippi Community College</v>
      </c>
      <c r="F1540" s="4">
        <f>IFERROR(__xludf.DUMMYFUNCTION("""COMPUTED_VALUE"""),4.0)</f>
        <v>4</v>
      </c>
      <c r="G1540" s="4">
        <f>IFERROR(__xludf.DUMMYFUNCTION("""COMPUTED_VALUE"""),167.0)</f>
        <v>167</v>
      </c>
      <c r="H1540" s="4">
        <f>IFERROR(__xludf.DUMMYFUNCTION("""COMPUTED_VALUE"""),2060.0)</f>
        <v>2060</v>
      </c>
      <c r="I1540" s="4">
        <f>IFERROR(__xludf.DUMMYFUNCTION("""COMPUTED_VALUE"""),691.0)</f>
        <v>691</v>
      </c>
      <c r="J1540" s="4">
        <f>IFERROR(__xludf.DUMMYFUNCTION("""COMPUTED_VALUE"""),385.0)</f>
        <v>385</v>
      </c>
      <c r="K1540" s="4">
        <f>IFERROR(__xludf.DUMMYFUNCTION("""COMPUTED_VALUE"""),105.0)</f>
        <v>105</v>
      </c>
      <c r="L1540" s="4">
        <f>IFERROR(__xludf.DUMMYFUNCTION("""COMPUTED_VALUE"""),0.452)</f>
        <v>0.452</v>
      </c>
      <c r="M1540" s="4">
        <f>IFERROR(__xludf.DUMMYFUNCTION("""COMPUTED_VALUE"""),0.357)</f>
        <v>0.357</v>
      </c>
      <c r="N1540" s="4">
        <f>IFERROR(__xludf.DUMMYFUNCTION("""COMPUTED_VALUE"""),0.603)</f>
        <v>0.603</v>
      </c>
      <c r="O1540" s="4">
        <f>IFERROR(__xludf.DUMMYFUNCTION("""COMPUTED_VALUE"""),12.3)</f>
        <v>12.3</v>
      </c>
      <c r="P1540" s="4">
        <f>IFERROR(__xludf.DUMMYFUNCTION("""COMPUTED_VALUE"""),4.1)</f>
        <v>4.1</v>
      </c>
      <c r="Q1540" s="4">
        <f>IFERROR(__xludf.DUMMYFUNCTION("""COMPUTED_VALUE"""),2.3)</f>
        <v>2.3</v>
      </c>
      <c r="R1540" s="4">
        <f>IFERROR(__xludf.DUMMYFUNCTION("""COMPUTED_VALUE"""),0.6)</f>
        <v>0.6</v>
      </c>
      <c r="S1540" s="4">
        <f>IFERROR(__xludf.DUMMYFUNCTION("""COMPUTED_VALUE"""),1.4)</f>
        <v>1.4</v>
      </c>
      <c r="T1540" s="4">
        <f>IFERROR(__xludf.DUMMYFUNCTION("""COMPUTED_VALUE"""),0.032)</f>
        <v>0.032</v>
      </c>
      <c r="U1540" s="4">
        <f>IFERROR(__xludf.DUMMYFUNCTION("""COMPUTED_VALUE"""),-2.7)</f>
        <v>-2.7</v>
      </c>
      <c r="V1540" s="4">
        <f>IFERROR(__xludf.DUMMYFUNCTION("""COMPUTED_VALUE"""),-0.4)</f>
        <v>-0.4</v>
      </c>
    </row>
    <row r="1541">
      <c r="A1541" s="4">
        <f>IFERROR(__xludf.DUMMYFUNCTION("""COMPUTED_VALUE"""),22.0)</f>
        <v>22</v>
      </c>
      <c r="B1541" s="4">
        <f>IFERROR(__xludf.DUMMYFUNCTION("""COMPUTED_VALUE"""),22.0)</f>
        <v>22</v>
      </c>
      <c r="C1541" s="4" t="str">
        <f>IFERROR(__xludf.DUMMYFUNCTION("""COMPUTED_VALUE"""),"PHO")</f>
        <v>PHO</v>
      </c>
      <c r="D1541" s="4" t="str">
        <f>IFERROR(__xludf.DUMMYFUNCTION("""COMPUTED_VALUE"""),"Casey Jacobsen")</f>
        <v>Casey Jacobsen</v>
      </c>
      <c r="E1541" s="4" t="str">
        <f>IFERROR(__xludf.DUMMYFUNCTION("""COMPUTED_VALUE"""),"Stanford")</f>
        <v>Stanford</v>
      </c>
      <c r="F1541" s="4">
        <f>IFERROR(__xludf.DUMMYFUNCTION("""COMPUTED_VALUE"""),4.0)</f>
        <v>4</v>
      </c>
      <c r="G1541" s="4">
        <f>IFERROR(__xludf.DUMMYFUNCTION("""COMPUTED_VALUE"""),287.0)</f>
        <v>287</v>
      </c>
      <c r="H1541" s="4">
        <f>IFERROR(__xludf.DUMMYFUNCTION("""COMPUTED_VALUE"""),5320.0)</f>
        <v>5320</v>
      </c>
      <c r="I1541" s="4">
        <f>IFERROR(__xludf.DUMMYFUNCTION("""COMPUTED_VALUE"""),1488.0)</f>
        <v>1488</v>
      </c>
      <c r="J1541" s="4">
        <f>IFERROR(__xludf.DUMMYFUNCTION("""COMPUTED_VALUE"""),516.0)</f>
        <v>516</v>
      </c>
      <c r="K1541" s="4">
        <f>IFERROR(__xludf.DUMMYFUNCTION("""COMPUTED_VALUE"""),304.0)</f>
        <v>304</v>
      </c>
      <c r="L1541" s="4">
        <f>IFERROR(__xludf.DUMMYFUNCTION("""COMPUTED_VALUE"""),0.393)</f>
        <v>0.393</v>
      </c>
      <c r="M1541" s="4">
        <f>IFERROR(__xludf.DUMMYFUNCTION("""COMPUTED_VALUE"""),0.352)</f>
        <v>0.352</v>
      </c>
      <c r="N1541" s="4">
        <f>IFERROR(__xludf.DUMMYFUNCTION("""COMPUTED_VALUE"""),0.769)</f>
        <v>0.769</v>
      </c>
      <c r="O1541" s="4">
        <f>IFERROR(__xludf.DUMMYFUNCTION("""COMPUTED_VALUE"""),18.5)</f>
        <v>18.5</v>
      </c>
      <c r="P1541" s="4">
        <f>IFERROR(__xludf.DUMMYFUNCTION("""COMPUTED_VALUE"""),5.2)</f>
        <v>5.2</v>
      </c>
      <c r="Q1541" s="4">
        <f>IFERROR(__xludf.DUMMYFUNCTION("""COMPUTED_VALUE"""),1.8)</f>
        <v>1.8</v>
      </c>
      <c r="R1541" s="4">
        <f>IFERROR(__xludf.DUMMYFUNCTION("""COMPUTED_VALUE"""),1.1)</f>
        <v>1.1</v>
      </c>
      <c r="S1541" s="4">
        <f>IFERROR(__xludf.DUMMYFUNCTION("""COMPUTED_VALUE"""),6.2)</f>
        <v>6.2</v>
      </c>
      <c r="T1541" s="4">
        <f>IFERROR(__xludf.DUMMYFUNCTION("""COMPUTED_VALUE"""),0.056)</f>
        <v>0.056</v>
      </c>
      <c r="U1541" s="4">
        <f>IFERROR(__xludf.DUMMYFUNCTION("""COMPUTED_VALUE"""),-2.2)</f>
        <v>-2.2</v>
      </c>
      <c r="V1541" s="4">
        <f>IFERROR(__xludf.DUMMYFUNCTION("""COMPUTED_VALUE"""),-0.3)</f>
        <v>-0.3</v>
      </c>
    </row>
    <row r="1542">
      <c r="A1542" s="4">
        <f>IFERROR(__xludf.DUMMYFUNCTION("""COMPUTED_VALUE"""),23.0)</f>
        <v>23</v>
      </c>
      <c r="B1542" s="4">
        <f>IFERROR(__xludf.DUMMYFUNCTION("""COMPUTED_VALUE"""),23.0)</f>
        <v>23</v>
      </c>
      <c r="C1542" s="4" t="str">
        <f>IFERROR(__xludf.DUMMYFUNCTION("""COMPUTED_VALUE"""),"DET")</f>
        <v>DET</v>
      </c>
      <c r="D1542" s="4" t="str">
        <f>IFERROR(__xludf.DUMMYFUNCTION("""COMPUTED_VALUE"""),"Tayshaun Prince")</f>
        <v>Tayshaun Prince</v>
      </c>
      <c r="E1542" s="4" t="str">
        <f>IFERROR(__xludf.DUMMYFUNCTION("""COMPUTED_VALUE"""),"Kentucky")</f>
        <v>Kentucky</v>
      </c>
      <c r="F1542" s="4">
        <f>IFERROR(__xludf.DUMMYFUNCTION("""COMPUTED_VALUE"""),14.0)</f>
        <v>14</v>
      </c>
      <c r="G1542" s="4">
        <f>IFERROR(__xludf.DUMMYFUNCTION("""COMPUTED_VALUE"""),1017.0)</f>
        <v>1017</v>
      </c>
      <c r="H1542" s="4">
        <f>IFERROR(__xludf.DUMMYFUNCTION("""COMPUTED_VALUE"""),31576.0)</f>
        <v>31576</v>
      </c>
      <c r="I1542" s="4">
        <f>IFERROR(__xludf.DUMMYFUNCTION("""COMPUTED_VALUE"""),11272.0)</f>
        <v>11272</v>
      </c>
      <c r="J1542" s="4">
        <f>IFERROR(__xludf.DUMMYFUNCTION("""COMPUTED_VALUE"""),4332.0)</f>
        <v>4332</v>
      </c>
      <c r="K1542" s="4">
        <f>IFERROR(__xludf.DUMMYFUNCTION("""COMPUTED_VALUE"""),2406.0)</f>
        <v>2406</v>
      </c>
      <c r="L1542" s="4">
        <f>IFERROR(__xludf.DUMMYFUNCTION("""COMPUTED_VALUE"""),0.455)</f>
        <v>0.455</v>
      </c>
      <c r="M1542" s="4">
        <f>IFERROR(__xludf.DUMMYFUNCTION("""COMPUTED_VALUE"""),0.367)</f>
        <v>0.367</v>
      </c>
      <c r="N1542" s="4">
        <f>IFERROR(__xludf.DUMMYFUNCTION("""COMPUTED_VALUE"""),0.756)</f>
        <v>0.756</v>
      </c>
      <c r="O1542" s="4">
        <f>IFERROR(__xludf.DUMMYFUNCTION("""COMPUTED_VALUE"""),31.0)</f>
        <v>31</v>
      </c>
      <c r="P1542" s="4">
        <f>IFERROR(__xludf.DUMMYFUNCTION("""COMPUTED_VALUE"""),11.1)</f>
        <v>11.1</v>
      </c>
      <c r="Q1542" s="4">
        <f>IFERROR(__xludf.DUMMYFUNCTION("""COMPUTED_VALUE"""),4.3)</f>
        <v>4.3</v>
      </c>
      <c r="R1542" s="4">
        <f>IFERROR(__xludf.DUMMYFUNCTION("""COMPUTED_VALUE"""),2.4)</f>
        <v>2.4</v>
      </c>
      <c r="S1542" s="4">
        <f>IFERROR(__xludf.DUMMYFUNCTION("""COMPUTED_VALUE"""),63.1)</f>
        <v>63.1</v>
      </c>
      <c r="T1542" s="4">
        <f>IFERROR(__xludf.DUMMYFUNCTION("""COMPUTED_VALUE"""),0.096)</f>
        <v>0.096</v>
      </c>
      <c r="U1542" s="4">
        <f>IFERROR(__xludf.DUMMYFUNCTION("""COMPUTED_VALUE"""),0.3)</f>
        <v>0.3</v>
      </c>
      <c r="V1542" s="4">
        <f>IFERROR(__xludf.DUMMYFUNCTION("""COMPUTED_VALUE"""),18.0)</f>
        <v>18</v>
      </c>
    </row>
    <row r="1543">
      <c r="A1543" s="4">
        <f>IFERROR(__xludf.DUMMYFUNCTION("""COMPUTED_VALUE"""),24.0)</f>
        <v>24</v>
      </c>
      <c r="B1543" s="4">
        <f>IFERROR(__xludf.DUMMYFUNCTION("""COMPUTED_VALUE"""),24.0)</f>
        <v>24</v>
      </c>
      <c r="C1543" s="4" t="str">
        <f>IFERROR(__xludf.DUMMYFUNCTION("""COMPUTED_VALUE"""),"NJN")</f>
        <v>NJN</v>
      </c>
      <c r="D1543" s="4" t="str">
        <f>IFERROR(__xludf.DUMMYFUNCTION("""COMPUTED_VALUE"""),"Nenad Krstić")</f>
        <v>Nenad Krstić</v>
      </c>
      <c r="E1543" s="4"/>
      <c r="F1543" s="4">
        <f>IFERROR(__xludf.DUMMYFUNCTION("""COMPUTED_VALUE"""),7.0)</f>
        <v>7</v>
      </c>
      <c r="G1543" s="4">
        <f>IFERROR(__xludf.DUMMYFUNCTION("""COMPUTED_VALUE"""),419.0)</f>
        <v>419</v>
      </c>
      <c r="H1543" s="4">
        <f>IFERROR(__xludf.DUMMYFUNCTION("""COMPUTED_VALUE"""),10547.0)</f>
        <v>10547</v>
      </c>
      <c r="I1543" s="4">
        <f>IFERROR(__xludf.DUMMYFUNCTION("""COMPUTED_VALUE"""),4210.0)</f>
        <v>4210</v>
      </c>
      <c r="J1543" s="4">
        <f>IFERROR(__xludf.DUMMYFUNCTION("""COMPUTED_VALUE"""),2261.0)</f>
        <v>2261</v>
      </c>
      <c r="K1543" s="4">
        <f>IFERROR(__xludf.DUMMYFUNCTION("""COMPUTED_VALUE"""),346.0)</f>
        <v>346</v>
      </c>
      <c r="L1543" s="4">
        <f>IFERROR(__xludf.DUMMYFUNCTION("""COMPUTED_VALUE"""),0.494)</f>
        <v>0.494</v>
      </c>
      <c r="M1543" s="4">
        <f>IFERROR(__xludf.DUMMYFUNCTION("""COMPUTED_VALUE"""),0.143)</f>
        <v>0.143</v>
      </c>
      <c r="N1543" s="4">
        <f>IFERROR(__xludf.DUMMYFUNCTION("""COMPUTED_VALUE"""),0.73)</f>
        <v>0.73</v>
      </c>
      <c r="O1543" s="4">
        <f>IFERROR(__xludf.DUMMYFUNCTION("""COMPUTED_VALUE"""),25.2)</f>
        <v>25.2</v>
      </c>
      <c r="P1543" s="4">
        <f>IFERROR(__xludf.DUMMYFUNCTION("""COMPUTED_VALUE"""),10.0)</f>
        <v>10</v>
      </c>
      <c r="Q1543" s="4">
        <f>IFERROR(__xludf.DUMMYFUNCTION("""COMPUTED_VALUE"""),5.4)</f>
        <v>5.4</v>
      </c>
      <c r="R1543" s="4">
        <f>IFERROR(__xludf.DUMMYFUNCTION("""COMPUTED_VALUE"""),0.8)</f>
        <v>0.8</v>
      </c>
      <c r="S1543" s="4">
        <f>IFERROR(__xludf.DUMMYFUNCTION("""COMPUTED_VALUE"""),21.5)</f>
        <v>21.5</v>
      </c>
      <c r="T1543" s="4">
        <f>IFERROR(__xludf.DUMMYFUNCTION("""COMPUTED_VALUE"""),0.098)</f>
        <v>0.098</v>
      </c>
      <c r="U1543" s="4">
        <f>IFERROR(__xludf.DUMMYFUNCTION("""COMPUTED_VALUE"""),-2.6)</f>
        <v>-2.6</v>
      </c>
      <c r="V1543" s="4">
        <f>IFERROR(__xludf.DUMMYFUNCTION("""COMPUTED_VALUE"""),-1.5)</f>
        <v>-1.5</v>
      </c>
    </row>
    <row r="1544">
      <c r="A1544" s="4">
        <f>IFERROR(__xludf.DUMMYFUNCTION("""COMPUTED_VALUE"""),25.0)</f>
        <v>25</v>
      </c>
      <c r="B1544" s="4">
        <f>IFERROR(__xludf.DUMMYFUNCTION("""COMPUTED_VALUE"""),25.0)</f>
        <v>25</v>
      </c>
      <c r="C1544" s="4" t="str">
        <f>IFERROR(__xludf.DUMMYFUNCTION("""COMPUTED_VALUE"""),"DEN")</f>
        <v>DEN</v>
      </c>
      <c r="D1544" s="4" t="str">
        <f>IFERROR(__xludf.DUMMYFUNCTION("""COMPUTED_VALUE"""),"Frank Williams")</f>
        <v>Frank Williams</v>
      </c>
      <c r="E1544" s="4" t="str">
        <f>IFERROR(__xludf.DUMMYFUNCTION("""COMPUTED_VALUE"""),"Illinois")</f>
        <v>Illinois</v>
      </c>
      <c r="F1544" s="4">
        <f>IFERROR(__xludf.DUMMYFUNCTION("""COMPUTED_VALUE"""),3.0)</f>
        <v>3</v>
      </c>
      <c r="G1544" s="4">
        <f>IFERROR(__xludf.DUMMYFUNCTION("""COMPUTED_VALUE"""),86.0)</f>
        <v>86</v>
      </c>
      <c r="H1544" s="4">
        <f>IFERROR(__xludf.DUMMYFUNCTION("""COMPUTED_VALUE"""),952.0)</f>
        <v>952</v>
      </c>
      <c r="I1544" s="4">
        <f>IFERROR(__xludf.DUMMYFUNCTION("""COMPUTED_VALUE"""),253.0)</f>
        <v>253</v>
      </c>
      <c r="J1544" s="4">
        <f>IFERROR(__xludf.DUMMYFUNCTION("""COMPUTED_VALUE"""),77.0)</f>
        <v>77</v>
      </c>
      <c r="K1544" s="4">
        <f>IFERROR(__xludf.DUMMYFUNCTION("""COMPUTED_VALUE"""),166.0)</f>
        <v>166</v>
      </c>
      <c r="L1544" s="4">
        <f>IFERROR(__xludf.DUMMYFUNCTION("""COMPUTED_VALUE"""),0.352)</f>
        <v>0.352</v>
      </c>
      <c r="M1544" s="4">
        <f>IFERROR(__xludf.DUMMYFUNCTION("""COMPUTED_VALUE"""),0.3)</f>
        <v>0.3</v>
      </c>
      <c r="N1544" s="4">
        <f>IFERROR(__xludf.DUMMYFUNCTION("""COMPUTED_VALUE"""),0.833)</f>
        <v>0.833</v>
      </c>
      <c r="O1544" s="4">
        <f>IFERROR(__xludf.DUMMYFUNCTION("""COMPUTED_VALUE"""),11.1)</f>
        <v>11.1</v>
      </c>
      <c r="P1544" s="4">
        <f>IFERROR(__xludf.DUMMYFUNCTION("""COMPUTED_VALUE"""),2.9)</f>
        <v>2.9</v>
      </c>
      <c r="Q1544" s="4">
        <f>IFERROR(__xludf.DUMMYFUNCTION("""COMPUTED_VALUE"""),0.9)</f>
        <v>0.9</v>
      </c>
      <c r="R1544" s="4">
        <f>IFERROR(__xludf.DUMMYFUNCTION("""COMPUTED_VALUE"""),1.9)</f>
        <v>1.9</v>
      </c>
      <c r="S1544" s="4">
        <f>IFERROR(__xludf.DUMMYFUNCTION("""COMPUTED_VALUE"""),0.1)</f>
        <v>0.1</v>
      </c>
      <c r="T1544" s="4">
        <f>IFERROR(__xludf.DUMMYFUNCTION("""COMPUTED_VALUE"""),0.003)</f>
        <v>0.003</v>
      </c>
      <c r="U1544" s="4">
        <f>IFERROR(__xludf.DUMMYFUNCTION("""COMPUTED_VALUE"""),-3.2)</f>
        <v>-3.2</v>
      </c>
      <c r="V1544" s="4">
        <f>IFERROR(__xludf.DUMMYFUNCTION("""COMPUTED_VALUE"""),-0.3)</f>
        <v>-0.3</v>
      </c>
    </row>
    <row r="1545">
      <c r="A1545" s="4">
        <f>IFERROR(__xludf.DUMMYFUNCTION("""COMPUTED_VALUE"""),26.0)</f>
        <v>26</v>
      </c>
      <c r="B1545" s="4">
        <f>IFERROR(__xludf.DUMMYFUNCTION("""COMPUTED_VALUE"""),26.0)</f>
        <v>26</v>
      </c>
      <c r="C1545" s="4" t="str">
        <f>IFERROR(__xludf.DUMMYFUNCTION("""COMPUTED_VALUE"""),"SAS")</f>
        <v>SAS</v>
      </c>
      <c r="D1545" s="4" t="str">
        <f>IFERROR(__xludf.DUMMYFUNCTION("""COMPUTED_VALUE"""),"John Salmons")</f>
        <v>John Salmons</v>
      </c>
      <c r="E1545" s="4" t="str">
        <f>IFERROR(__xludf.DUMMYFUNCTION("""COMPUTED_VALUE"""),"Miami (FL)")</f>
        <v>Miami (FL)</v>
      </c>
      <c r="F1545" s="4">
        <f>IFERROR(__xludf.DUMMYFUNCTION("""COMPUTED_VALUE"""),13.0)</f>
        <v>13</v>
      </c>
      <c r="G1545" s="4">
        <f>IFERROR(__xludf.DUMMYFUNCTION("""COMPUTED_VALUE"""),895.0)</f>
        <v>895</v>
      </c>
      <c r="H1545" s="4">
        <f>IFERROR(__xludf.DUMMYFUNCTION("""COMPUTED_VALUE"""),23672.0)</f>
        <v>23672</v>
      </c>
      <c r="I1545" s="4">
        <f>IFERROR(__xludf.DUMMYFUNCTION("""COMPUTED_VALUE"""),8292.0)</f>
        <v>8292</v>
      </c>
      <c r="J1545" s="4">
        <f>IFERROR(__xludf.DUMMYFUNCTION("""COMPUTED_VALUE"""),2603.0)</f>
        <v>2603</v>
      </c>
      <c r="K1545" s="4">
        <f>IFERROR(__xludf.DUMMYFUNCTION("""COMPUTED_VALUE"""),2183.0)</f>
        <v>2183</v>
      </c>
      <c r="L1545" s="4">
        <f>IFERROR(__xludf.DUMMYFUNCTION("""COMPUTED_VALUE"""),0.431)</f>
        <v>0.431</v>
      </c>
      <c r="M1545" s="4">
        <f>IFERROR(__xludf.DUMMYFUNCTION("""COMPUTED_VALUE"""),0.366)</f>
        <v>0.366</v>
      </c>
      <c r="N1545" s="4">
        <f>IFERROR(__xludf.DUMMYFUNCTION("""COMPUTED_VALUE"""),0.799)</f>
        <v>0.799</v>
      </c>
      <c r="O1545" s="4">
        <f>IFERROR(__xludf.DUMMYFUNCTION("""COMPUTED_VALUE"""),26.4)</f>
        <v>26.4</v>
      </c>
      <c r="P1545" s="4">
        <f>IFERROR(__xludf.DUMMYFUNCTION("""COMPUTED_VALUE"""),9.3)</f>
        <v>9.3</v>
      </c>
      <c r="Q1545" s="4">
        <f>IFERROR(__xludf.DUMMYFUNCTION("""COMPUTED_VALUE"""),2.9)</f>
        <v>2.9</v>
      </c>
      <c r="R1545" s="4">
        <f>IFERROR(__xludf.DUMMYFUNCTION("""COMPUTED_VALUE"""),2.4)</f>
        <v>2.4</v>
      </c>
      <c r="S1545" s="4">
        <f>IFERROR(__xludf.DUMMYFUNCTION("""COMPUTED_VALUE"""),33.9)</f>
        <v>33.9</v>
      </c>
      <c r="T1545" s="4">
        <f>IFERROR(__xludf.DUMMYFUNCTION("""COMPUTED_VALUE"""),0.069)</f>
        <v>0.069</v>
      </c>
      <c r="U1545" s="4">
        <f>IFERROR(__xludf.DUMMYFUNCTION("""COMPUTED_VALUE"""),-0.9)</f>
        <v>-0.9</v>
      </c>
      <c r="V1545" s="4">
        <f>IFERROR(__xludf.DUMMYFUNCTION("""COMPUTED_VALUE"""),6.7)</f>
        <v>6.7</v>
      </c>
    </row>
    <row r="1546">
      <c r="A1546" s="4">
        <f>IFERROR(__xludf.DUMMYFUNCTION("""COMPUTED_VALUE"""),27.0)</f>
        <v>27</v>
      </c>
      <c r="B1546" s="4">
        <f>IFERROR(__xludf.DUMMYFUNCTION("""COMPUTED_VALUE"""),27.0)</f>
        <v>27</v>
      </c>
      <c r="C1546" s="4" t="str">
        <f>IFERROR(__xludf.DUMMYFUNCTION("""COMPUTED_VALUE"""),"LAL")</f>
        <v>LAL</v>
      </c>
      <c r="D1546" s="4" t="str">
        <f>IFERROR(__xludf.DUMMYFUNCTION("""COMPUTED_VALUE"""),"Chris Jefferies")</f>
        <v>Chris Jefferies</v>
      </c>
      <c r="E1546" s="4" t="str">
        <f>IFERROR(__xludf.DUMMYFUNCTION("""COMPUTED_VALUE"""),"Fresno State")</f>
        <v>Fresno State</v>
      </c>
      <c r="F1546" s="4">
        <f>IFERROR(__xludf.DUMMYFUNCTION("""COMPUTED_VALUE"""),2.0)</f>
        <v>2</v>
      </c>
      <c r="G1546" s="4">
        <f>IFERROR(__xludf.DUMMYFUNCTION("""COMPUTED_VALUE"""),72.0)</f>
        <v>72</v>
      </c>
      <c r="H1546" s="4">
        <f>IFERROR(__xludf.DUMMYFUNCTION("""COMPUTED_VALUE"""),861.0)</f>
        <v>861</v>
      </c>
      <c r="I1546" s="4">
        <f>IFERROR(__xludf.DUMMYFUNCTION("""COMPUTED_VALUE"""),281.0)</f>
        <v>281</v>
      </c>
      <c r="J1546" s="4">
        <f>IFERROR(__xludf.DUMMYFUNCTION("""COMPUTED_VALUE"""),88.0)</f>
        <v>88</v>
      </c>
      <c r="K1546" s="4">
        <f>IFERROR(__xludf.DUMMYFUNCTION("""COMPUTED_VALUE"""),29.0)</f>
        <v>29</v>
      </c>
      <c r="L1546" s="4">
        <f>IFERROR(__xludf.DUMMYFUNCTION("""COMPUTED_VALUE"""),0.383)</f>
        <v>0.383</v>
      </c>
      <c r="M1546" s="4">
        <f>IFERROR(__xludf.DUMMYFUNCTION("""COMPUTED_VALUE"""),0.365)</f>
        <v>0.365</v>
      </c>
      <c r="N1546" s="4">
        <f>IFERROR(__xludf.DUMMYFUNCTION("""COMPUTED_VALUE"""),0.667)</f>
        <v>0.667</v>
      </c>
      <c r="O1546" s="4">
        <f>IFERROR(__xludf.DUMMYFUNCTION("""COMPUTED_VALUE"""),12.0)</f>
        <v>12</v>
      </c>
      <c r="P1546" s="4">
        <f>IFERROR(__xludf.DUMMYFUNCTION("""COMPUTED_VALUE"""),3.9)</f>
        <v>3.9</v>
      </c>
      <c r="Q1546" s="4">
        <f>IFERROR(__xludf.DUMMYFUNCTION("""COMPUTED_VALUE"""),1.2)</f>
        <v>1.2</v>
      </c>
      <c r="R1546" s="4">
        <f>IFERROR(__xludf.DUMMYFUNCTION("""COMPUTED_VALUE"""),0.4)</f>
        <v>0.4</v>
      </c>
      <c r="S1546" s="4">
        <f>IFERROR(__xludf.DUMMYFUNCTION("""COMPUTED_VALUE"""),-0.5)</f>
        <v>-0.5</v>
      </c>
      <c r="T1546" s="4">
        <f>IFERROR(__xludf.DUMMYFUNCTION("""COMPUTED_VALUE"""),-0.03)</f>
        <v>-0.03</v>
      </c>
      <c r="U1546" s="4">
        <f>IFERROR(__xludf.DUMMYFUNCTION("""COMPUTED_VALUE"""),-5.5)</f>
        <v>-5.5</v>
      </c>
      <c r="V1546" s="4">
        <f>IFERROR(__xludf.DUMMYFUNCTION("""COMPUTED_VALUE"""),-0.8)</f>
        <v>-0.8</v>
      </c>
    </row>
    <row r="1547">
      <c r="A1547" s="4">
        <f>IFERROR(__xludf.DUMMYFUNCTION("""COMPUTED_VALUE"""),28.0)</f>
        <v>28</v>
      </c>
      <c r="B1547" s="4">
        <f>IFERROR(__xludf.DUMMYFUNCTION("""COMPUTED_VALUE"""),28.0)</f>
        <v>28</v>
      </c>
      <c r="C1547" s="4" t="str">
        <f>IFERROR(__xludf.DUMMYFUNCTION("""COMPUTED_VALUE"""),"SAC")</f>
        <v>SAC</v>
      </c>
      <c r="D1547" s="4" t="str">
        <f>IFERROR(__xludf.DUMMYFUNCTION("""COMPUTED_VALUE"""),"Dan Dickau")</f>
        <v>Dan Dickau</v>
      </c>
      <c r="E1547" s="4" t="str">
        <f>IFERROR(__xludf.DUMMYFUNCTION("""COMPUTED_VALUE"""),"Gonzaga")</f>
        <v>Gonzaga</v>
      </c>
      <c r="F1547" s="4">
        <f>IFERROR(__xludf.DUMMYFUNCTION("""COMPUTED_VALUE"""),6.0)</f>
        <v>6</v>
      </c>
      <c r="G1547" s="4">
        <f>IFERROR(__xludf.DUMMYFUNCTION("""COMPUTED_VALUE"""),300.0)</f>
        <v>300</v>
      </c>
      <c r="H1547" s="4">
        <f>IFERROR(__xludf.DUMMYFUNCTION("""COMPUTED_VALUE"""),4617.0)</f>
        <v>4617</v>
      </c>
      <c r="I1547" s="4">
        <f>IFERROR(__xludf.DUMMYFUNCTION("""COMPUTED_VALUE"""),1745.0)</f>
        <v>1745</v>
      </c>
      <c r="J1547" s="4">
        <f>IFERROR(__xludf.DUMMYFUNCTION("""COMPUTED_VALUE"""),405.0)</f>
        <v>405</v>
      </c>
      <c r="K1547" s="4">
        <f>IFERROR(__xludf.DUMMYFUNCTION("""COMPUTED_VALUE"""),752.0)</f>
        <v>752</v>
      </c>
      <c r="L1547" s="4">
        <f>IFERROR(__xludf.DUMMYFUNCTION("""COMPUTED_VALUE"""),0.401)</f>
        <v>0.401</v>
      </c>
      <c r="M1547" s="4">
        <f>IFERROR(__xludf.DUMMYFUNCTION("""COMPUTED_VALUE"""),0.341)</f>
        <v>0.341</v>
      </c>
      <c r="N1547" s="4">
        <f>IFERROR(__xludf.DUMMYFUNCTION("""COMPUTED_VALUE"""),0.831)</f>
        <v>0.831</v>
      </c>
      <c r="O1547" s="4">
        <f>IFERROR(__xludf.DUMMYFUNCTION("""COMPUTED_VALUE"""),15.4)</f>
        <v>15.4</v>
      </c>
      <c r="P1547" s="4">
        <f>IFERROR(__xludf.DUMMYFUNCTION("""COMPUTED_VALUE"""),5.8)</f>
        <v>5.8</v>
      </c>
      <c r="Q1547" s="4">
        <f>IFERROR(__xludf.DUMMYFUNCTION("""COMPUTED_VALUE"""),1.4)</f>
        <v>1.4</v>
      </c>
      <c r="R1547" s="4">
        <f>IFERROR(__xludf.DUMMYFUNCTION("""COMPUTED_VALUE"""),2.5)</f>
        <v>2.5</v>
      </c>
      <c r="S1547" s="4">
        <f>IFERROR(__xludf.DUMMYFUNCTION("""COMPUTED_VALUE"""),5.9)</f>
        <v>5.9</v>
      </c>
      <c r="T1547" s="4">
        <f>IFERROR(__xludf.DUMMYFUNCTION("""COMPUTED_VALUE"""),0.061)</f>
        <v>0.061</v>
      </c>
      <c r="U1547" s="4">
        <f>IFERROR(__xludf.DUMMYFUNCTION("""COMPUTED_VALUE"""),-1.5)</f>
        <v>-1.5</v>
      </c>
      <c r="V1547" s="4">
        <f>IFERROR(__xludf.DUMMYFUNCTION("""COMPUTED_VALUE"""),0.6)</f>
        <v>0.6</v>
      </c>
    </row>
    <row r="1548">
      <c r="A1548" s="4"/>
      <c r="B1548" s="4"/>
      <c r="C1548" s="4"/>
      <c r="D1548" s="4"/>
      <c r="E1548" s="4"/>
      <c r="F1548" s="4" t="str">
        <f>IFERROR(__xludf.DUMMYFUNCTION("""COMPUTED_VALUE"""),"Minnesota Timberwolves forfeited their First Round pick.")</f>
        <v>Minnesota Timberwolves forfeited their First Round pick.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>
      <c r="A1549" s="4"/>
      <c r="B1549" s="4"/>
      <c r="C1549" s="4"/>
      <c r="D1549" s="4" t="str">
        <f>IFERROR(__xludf.DUMMYFUNCTION("""COMPUTED_VALUE"""),"Round 2")</f>
        <v>Round 2</v>
      </c>
      <c r="E1549" s="4"/>
      <c r="F1549" s="4"/>
      <c r="G1549" s="4" t="str">
        <f>IFERROR(__xludf.DUMMYFUNCTION("""COMPUTED_VALUE"""),"Totals")</f>
        <v>Totals</v>
      </c>
      <c r="H1549" s="4"/>
      <c r="I1549" s="4"/>
      <c r="J1549" s="4"/>
      <c r="K1549" s="4"/>
      <c r="L1549" s="4" t="str">
        <f>IFERROR(__xludf.DUMMYFUNCTION("""COMPUTED_VALUE"""),"Shooting")</f>
        <v>Shooting</v>
      </c>
      <c r="M1549" s="4"/>
      <c r="N1549" s="4"/>
      <c r="O1549" s="4" t="str">
        <f>IFERROR(__xludf.DUMMYFUNCTION("""COMPUTED_VALUE"""),"Per Game")</f>
        <v>Per Game</v>
      </c>
      <c r="P1549" s="4"/>
      <c r="Q1549" s="4"/>
      <c r="R1549" s="4"/>
      <c r="S1549" s="4" t="str">
        <f>IFERROR(__xludf.DUMMYFUNCTION("""COMPUTED_VALUE"""),"Advanced")</f>
        <v>Advanced</v>
      </c>
      <c r="T1549" s="4"/>
      <c r="U1549" s="4"/>
      <c r="V1549" s="4"/>
    </row>
    <row r="1550">
      <c r="A1550" s="4" t="str">
        <f>IFERROR(__xludf.DUMMYFUNCTION("""COMPUTED_VALUE"""),"Rk")</f>
        <v>Rk</v>
      </c>
      <c r="B1550" s="4" t="str">
        <f>IFERROR(__xludf.DUMMYFUNCTION("""COMPUTED_VALUE"""),"Pk")</f>
        <v>Pk</v>
      </c>
      <c r="C1550" s="4" t="str">
        <f>IFERROR(__xludf.DUMMYFUNCTION("""COMPUTED_VALUE"""),"Tm")</f>
        <v>Tm</v>
      </c>
      <c r="D1550" s="4" t="str">
        <f>IFERROR(__xludf.DUMMYFUNCTION("""COMPUTED_VALUE"""),"Player")</f>
        <v>Player</v>
      </c>
      <c r="E1550" s="4" t="str">
        <f>IFERROR(__xludf.DUMMYFUNCTION("""COMPUTED_VALUE"""),"College")</f>
        <v>College</v>
      </c>
      <c r="F1550" s="4" t="str">
        <f>IFERROR(__xludf.DUMMYFUNCTION("""COMPUTED_VALUE"""),"Yrs")</f>
        <v>Yrs</v>
      </c>
      <c r="G1550" s="4" t="str">
        <f>IFERROR(__xludf.DUMMYFUNCTION("""COMPUTED_VALUE"""),"G")</f>
        <v>G</v>
      </c>
      <c r="H1550" s="4" t="str">
        <f>IFERROR(__xludf.DUMMYFUNCTION("""COMPUTED_VALUE"""),"MP")</f>
        <v>MP</v>
      </c>
      <c r="I1550" s="4" t="str">
        <f>IFERROR(__xludf.DUMMYFUNCTION("""COMPUTED_VALUE"""),"PTS")</f>
        <v>PTS</v>
      </c>
      <c r="J1550" s="4" t="str">
        <f>IFERROR(__xludf.DUMMYFUNCTION("""COMPUTED_VALUE"""),"TRB")</f>
        <v>TRB</v>
      </c>
      <c r="K1550" s="4" t="str">
        <f>IFERROR(__xludf.DUMMYFUNCTION("""COMPUTED_VALUE"""),"AST")</f>
        <v>AST</v>
      </c>
      <c r="L1550" s="4" t="str">
        <f>IFERROR(__xludf.DUMMYFUNCTION("""COMPUTED_VALUE"""),"FG%")</f>
        <v>FG%</v>
      </c>
      <c r="M1550" s="4" t="str">
        <f>IFERROR(__xludf.DUMMYFUNCTION("""COMPUTED_VALUE"""),"3P%")</f>
        <v>3P%</v>
      </c>
      <c r="N1550" s="4" t="str">
        <f>IFERROR(__xludf.DUMMYFUNCTION("""COMPUTED_VALUE"""),"FT%")</f>
        <v>FT%</v>
      </c>
      <c r="O1550" s="4" t="str">
        <f>IFERROR(__xludf.DUMMYFUNCTION("""COMPUTED_VALUE"""),"MP")</f>
        <v>MP</v>
      </c>
      <c r="P1550" s="4" t="str">
        <f>IFERROR(__xludf.DUMMYFUNCTION("""COMPUTED_VALUE"""),"PTS")</f>
        <v>PTS</v>
      </c>
      <c r="Q1550" s="4" t="str">
        <f>IFERROR(__xludf.DUMMYFUNCTION("""COMPUTED_VALUE"""),"TRB")</f>
        <v>TRB</v>
      </c>
      <c r="R1550" s="4" t="str">
        <f>IFERROR(__xludf.DUMMYFUNCTION("""COMPUTED_VALUE"""),"AST")</f>
        <v>AST</v>
      </c>
      <c r="S1550" s="4" t="str">
        <f>IFERROR(__xludf.DUMMYFUNCTION("""COMPUTED_VALUE"""),"WS")</f>
        <v>WS</v>
      </c>
      <c r="T1550" s="4" t="str">
        <f>IFERROR(__xludf.DUMMYFUNCTION("""COMPUTED_VALUE"""),"WS/48")</f>
        <v>WS/48</v>
      </c>
      <c r="U1550" s="4" t="str">
        <f>IFERROR(__xludf.DUMMYFUNCTION("""COMPUTED_VALUE"""),"BPM")</f>
        <v>BPM</v>
      </c>
      <c r="V1550" s="4" t="str">
        <f>IFERROR(__xludf.DUMMYFUNCTION("""COMPUTED_VALUE"""),"VORP")</f>
        <v>VORP</v>
      </c>
    </row>
    <row r="1551">
      <c r="A1551" s="4">
        <f>IFERROR(__xludf.DUMMYFUNCTION("""COMPUTED_VALUE"""),30.0)</f>
        <v>30</v>
      </c>
      <c r="B1551" s="4">
        <f>IFERROR(__xludf.DUMMYFUNCTION("""COMPUTED_VALUE"""),30.0)</f>
        <v>30</v>
      </c>
      <c r="C1551" s="4" t="str">
        <f>IFERROR(__xludf.DUMMYFUNCTION("""COMPUTED_VALUE"""),"GSW")</f>
        <v>GSW</v>
      </c>
      <c r="D1551" s="4" t="str">
        <f>IFERROR(__xludf.DUMMYFUNCTION("""COMPUTED_VALUE"""),"Steve Logan")</f>
        <v>Steve Logan</v>
      </c>
      <c r="E1551" s="4" t="str">
        <f>IFERROR(__xludf.DUMMYFUNCTION("""COMPUTED_VALUE"""),"Cincinnati")</f>
        <v>Cincinnati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</row>
    <row r="1552">
      <c r="A1552" s="4">
        <f>IFERROR(__xludf.DUMMYFUNCTION("""COMPUTED_VALUE"""),31.0)</f>
        <v>31</v>
      </c>
      <c r="B1552" s="4">
        <f>IFERROR(__xludf.DUMMYFUNCTION("""COMPUTED_VALUE"""),31.0)</f>
        <v>31</v>
      </c>
      <c r="C1552" s="4" t="str">
        <f>IFERROR(__xludf.DUMMYFUNCTION("""COMPUTED_VALUE"""),"CHI")</f>
        <v>CHI</v>
      </c>
      <c r="D1552" s="4" t="str">
        <f>IFERROR(__xludf.DUMMYFUNCTION("""COMPUTED_VALUE"""),"Roger Mason")</f>
        <v>Roger Mason</v>
      </c>
      <c r="E1552" s="4" t="str">
        <f>IFERROR(__xludf.DUMMYFUNCTION("""COMPUTED_VALUE"""),"Virginia")</f>
        <v>Virginia</v>
      </c>
      <c r="F1552" s="4">
        <f>IFERROR(__xludf.DUMMYFUNCTION("""COMPUTED_VALUE"""),10.0)</f>
        <v>10</v>
      </c>
      <c r="G1552" s="4">
        <f>IFERROR(__xludf.DUMMYFUNCTION("""COMPUTED_VALUE"""),518.0)</f>
        <v>518</v>
      </c>
      <c r="H1552" s="4">
        <f>IFERROR(__xludf.DUMMYFUNCTION("""COMPUTED_VALUE"""),9147.0)</f>
        <v>9147</v>
      </c>
      <c r="I1552" s="4">
        <f>IFERROR(__xludf.DUMMYFUNCTION("""COMPUTED_VALUE"""),3289.0)</f>
        <v>3289</v>
      </c>
      <c r="J1552" s="4">
        <f>IFERROR(__xludf.DUMMYFUNCTION("""COMPUTED_VALUE"""),897.0)</f>
        <v>897</v>
      </c>
      <c r="K1552" s="4">
        <f>IFERROR(__xludf.DUMMYFUNCTION("""COMPUTED_VALUE"""),677.0)</f>
        <v>677</v>
      </c>
      <c r="L1552" s="4">
        <f>IFERROR(__xludf.DUMMYFUNCTION("""COMPUTED_VALUE"""),0.408)</f>
        <v>0.408</v>
      </c>
      <c r="M1552" s="4">
        <f>IFERROR(__xludf.DUMMYFUNCTION("""COMPUTED_VALUE"""),0.383)</f>
        <v>0.383</v>
      </c>
      <c r="N1552" s="4">
        <f>IFERROR(__xludf.DUMMYFUNCTION("""COMPUTED_VALUE"""),0.866)</f>
        <v>0.866</v>
      </c>
      <c r="O1552" s="4">
        <f>IFERROR(__xludf.DUMMYFUNCTION("""COMPUTED_VALUE"""),17.7)</f>
        <v>17.7</v>
      </c>
      <c r="P1552" s="4">
        <f>IFERROR(__xludf.DUMMYFUNCTION("""COMPUTED_VALUE"""),6.3)</f>
        <v>6.3</v>
      </c>
      <c r="Q1552" s="4">
        <f>IFERROR(__xludf.DUMMYFUNCTION("""COMPUTED_VALUE"""),1.7)</f>
        <v>1.7</v>
      </c>
      <c r="R1552" s="4">
        <f>IFERROR(__xludf.DUMMYFUNCTION("""COMPUTED_VALUE"""),1.3)</f>
        <v>1.3</v>
      </c>
      <c r="S1552" s="4">
        <f>IFERROR(__xludf.DUMMYFUNCTION("""COMPUTED_VALUE"""),13.0)</f>
        <v>13</v>
      </c>
      <c r="T1552" s="4">
        <f>IFERROR(__xludf.DUMMYFUNCTION("""COMPUTED_VALUE"""),0.068)</f>
        <v>0.068</v>
      </c>
      <c r="U1552" s="4">
        <f>IFERROR(__xludf.DUMMYFUNCTION("""COMPUTED_VALUE"""),-1.4)</f>
        <v>-1.4</v>
      </c>
      <c r="V1552" s="4">
        <f>IFERROR(__xludf.DUMMYFUNCTION("""COMPUTED_VALUE"""),1.4)</f>
        <v>1.4</v>
      </c>
    </row>
    <row r="1553">
      <c r="A1553" s="4">
        <f>IFERROR(__xludf.DUMMYFUNCTION("""COMPUTED_VALUE"""),32.0)</f>
        <v>32</v>
      </c>
      <c r="B1553" s="4">
        <f>IFERROR(__xludf.DUMMYFUNCTION("""COMPUTED_VALUE"""),32.0)</f>
        <v>32</v>
      </c>
      <c r="C1553" s="4" t="str">
        <f>IFERROR(__xludf.DUMMYFUNCTION("""COMPUTED_VALUE"""),"MEM")</f>
        <v>MEM</v>
      </c>
      <c r="D1553" s="4" t="str">
        <f>IFERROR(__xludf.DUMMYFUNCTION("""COMPUTED_VALUE"""),"Robert Archibald")</f>
        <v>Robert Archibald</v>
      </c>
      <c r="E1553" s="4" t="str">
        <f>IFERROR(__xludf.DUMMYFUNCTION("""COMPUTED_VALUE"""),"Illinois")</f>
        <v>Illinois</v>
      </c>
      <c r="F1553" s="4">
        <f>IFERROR(__xludf.DUMMYFUNCTION("""COMPUTED_VALUE"""),2.0)</f>
        <v>2</v>
      </c>
      <c r="G1553" s="4">
        <f>IFERROR(__xludf.DUMMYFUNCTION("""COMPUTED_VALUE"""),44.0)</f>
        <v>44</v>
      </c>
      <c r="H1553" s="4">
        <f>IFERROR(__xludf.DUMMYFUNCTION("""COMPUTED_VALUE"""),328.0)</f>
        <v>328</v>
      </c>
      <c r="I1553" s="4">
        <f>IFERROR(__xludf.DUMMYFUNCTION("""COMPUTED_VALUE"""),51.0)</f>
        <v>51</v>
      </c>
      <c r="J1553" s="4">
        <f>IFERROR(__xludf.DUMMYFUNCTION("""COMPUTED_VALUE"""),69.0)</f>
        <v>69</v>
      </c>
      <c r="K1553" s="4">
        <f>IFERROR(__xludf.DUMMYFUNCTION("""COMPUTED_VALUE"""),16.0)</f>
        <v>16</v>
      </c>
      <c r="L1553" s="4">
        <f>IFERROR(__xludf.DUMMYFUNCTION("""COMPUTED_VALUE"""),0.283)</f>
        <v>0.283</v>
      </c>
      <c r="M1553" s="4"/>
      <c r="N1553" s="4">
        <f>IFERROR(__xludf.DUMMYFUNCTION("""COMPUTED_VALUE"""),0.429)</f>
        <v>0.429</v>
      </c>
      <c r="O1553" s="4">
        <f>IFERROR(__xludf.DUMMYFUNCTION("""COMPUTED_VALUE"""),7.5)</f>
        <v>7.5</v>
      </c>
      <c r="P1553" s="4">
        <f>IFERROR(__xludf.DUMMYFUNCTION("""COMPUTED_VALUE"""),1.2)</f>
        <v>1.2</v>
      </c>
      <c r="Q1553" s="4">
        <f>IFERROR(__xludf.DUMMYFUNCTION("""COMPUTED_VALUE"""),1.6)</f>
        <v>1.6</v>
      </c>
      <c r="R1553" s="4">
        <f>IFERROR(__xludf.DUMMYFUNCTION("""COMPUTED_VALUE"""),0.4)</f>
        <v>0.4</v>
      </c>
      <c r="S1553" s="4">
        <f>IFERROR(__xludf.DUMMYFUNCTION("""COMPUTED_VALUE"""),0.0)</f>
        <v>0</v>
      </c>
      <c r="T1553" s="4">
        <f>IFERROR(__xludf.DUMMYFUNCTION("""COMPUTED_VALUE"""),-0.004)</f>
        <v>-0.004</v>
      </c>
      <c r="U1553" s="4">
        <f>IFERROR(__xludf.DUMMYFUNCTION("""COMPUTED_VALUE"""),-6.1)</f>
        <v>-6.1</v>
      </c>
      <c r="V1553" s="4">
        <f>IFERROR(__xludf.DUMMYFUNCTION("""COMPUTED_VALUE"""),-0.3)</f>
        <v>-0.3</v>
      </c>
    </row>
    <row r="1554">
      <c r="A1554" s="4">
        <f>IFERROR(__xludf.DUMMYFUNCTION("""COMPUTED_VALUE"""),33.0)</f>
        <v>33</v>
      </c>
      <c r="B1554" s="4">
        <f>IFERROR(__xludf.DUMMYFUNCTION("""COMPUTED_VALUE"""),33.0)</f>
        <v>33</v>
      </c>
      <c r="C1554" s="4" t="str">
        <f>IFERROR(__xludf.DUMMYFUNCTION("""COMPUTED_VALUE"""),"DEN")</f>
        <v>DEN</v>
      </c>
      <c r="D1554" s="4" t="str">
        <f>IFERROR(__xludf.DUMMYFUNCTION("""COMPUTED_VALUE"""),"Vincent Yarbrough")</f>
        <v>Vincent Yarbrough</v>
      </c>
      <c r="E1554" s="4" t="str">
        <f>IFERROR(__xludf.DUMMYFUNCTION("""COMPUTED_VALUE"""),"Tennessee")</f>
        <v>Tennessee</v>
      </c>
      <c r="F1554" s="4">
        <f>IFERROR(__xludf.DUMMYFUNCTION("""COMPUTED_VALUE"""),1.0)</f>
        <v>1</v>
      </c>
      <c r="G1554" s="4">
        <f>IFERROR(__xludf.DUMMYFUNCTION("""COMPUTED_VALUE"""),59.0)</f>
        <v>59</v>
      </c>
      <c r="H1554" s="4">
        <f>IFERROR(__xludf.DUMMYFUNCTION("""COMPUTED_VALUE"""),1381.0)</f>
        <v>1381</v>
      </c>
      <c r="I1554" s="4">
        <f>IFERROR(__xludf.DUMMYFUNCTION("""COMPUTED_VALUE"""),406.0)</f>
        <v>406</v>
      </c>
      <c r="J1554" s="4">
        <f>IFERROR(__xludf.DUMMYFUNCTION("""COMPUTED_VALUE"""),162.0)</f>
        <v>162</v>
      </c>
      <c r="K1554" s="4">
        <f>IFERROR(__xludf.DUMMYFUNCTION("""COMPUTED_VALUE"""),130.0)</f>
        <v>130</v>
      </c>
      <c r="L1554" s="4">
        <f>IFERROR(__xludf.DUMMYFUNCTION("""COMPUTED_VALUE"""),0.393)</f>
        <v>0.393</v>
      </c>
      <c r="M1554" s="4">
        <f>IFERROR(__xludf.DUMMYFUNCTION("""COMPUTED_VALUE"""),0.269)</f>
        <v>0.269</v>
      </c>
      <c r="N1554" s="4">
        <f>IFERROR(__xludf.DUMMYFUNCTION("""COMPUTED_VALUE"""),0.79)</f>
        <v>0.79</v>
      </c>
      <c r="O1554" s="4">
        <f>IFERROR(__xludf.DUMMYFUNCTION("""COMPUTED_VALUE"""),23.4)</f>
        <v>23.4</v>
      </c>
      <c r="P1554" s="4">
        <f>IFERROR(__xludf.DUMMYFUNCTION("""COMPUTED_VALUE"""),6.9)</f>
        <v>6.9</v>
      </c>
      <c r="Q1554" s="4">
        <f>IFERROR(__xludf.DUMMYFUNCTION("""COMPUTED_VALUE"""),2.7)</f>
        <v>2.7</v>
      </c>
      <c r="R1554" s="4">
        <f>IFERROR(__xludf.DUMMYFUNCTION("""COMPUTED_VALUE"""),2.2)</f>
        <v>2.2</v>
      </c>
      <c r="S1554" s="4">
        <f>IFERROR(__xludf.DUMMYFUNCTION("""COMPUTED_VALUE"""),1.0)</f>
        <v>1</v>
      </c>
      <c r="T1554" s="4">
        <f>IFERROR(__xludf.DUMMYFUNCTION("""COMPUTED_VALUE"""),0.035)</f>
        <v>0.035</v>
      </c>
      <c r="U1554" s="4">
        <f>IFERROR(__xludf.DUMMYFUNCTION("""COMPUTED_VALUE"""),-2.4)</f>
        <v>-2.4</v>
      </c>
      <c r="V1554" s="4">
        <f>IFERROR(__xludf.DUMMYFUNCTION("""COMPUTED_VALUE"""),-0.1)</f>
        <v>-0.1</v>
      </c>
    </row>
    <row r="1555">
      <c r="A1555" s="4">
        <f>IFERROR(__xludf.DUMMYFUNCTION("""COMPUTED_VALUE"""),34.0)</f>
        <v>34</v>
      </c>
      <c r="B1555" s="4">
        <f>IFERROR(__xludf.DUMMYFUNCTION("""COMPUTED_VALUE"""),34.0)</f>
        <v>34</v>
      </c>
      <c r="C1555" s="4" t="str">
        <f>IFERROR(__xludf.DUMMYFUNCTION("""COMPUTED_VALUE"""),"MIL")</f>
        <v>MIL</v>
      </c>
      <c r="D1555" s="4" t="str">
        <f>IFERROR(__xludf.DUMMYFUNCTION("""COMPUTED_VALUE"""),"Dan Gadzuric")</f>
        <v>Dan Gadzuric</v>
      </c>
      <c r="E1555" s="4" t="str">
        <f>IFERROR(__xludf.DUMMYFUNCTION("""COMPUTED_VALUE"""),"UCLA")</f>
        <v>UCLA</v>
      </c>
      <c r="F1555" s="4">
        <f>IFERROR(__xludf.DUMMYFUNCTION("""COMPUTED_VALUE"""),10.0)</f>
        <v>10</v>
      </c>
      <c r="G1555" s="4">
        <f>IFERROR(__xludf.DUMMYFUNCTION("""COMPUTED_VALUE"""),527.0)</f>
        <v>527</v>
      </c>
      <c r="H1555" s="4">
        <f>IFERROR(__xludf.DUMMYFUNCTION("""COMPUTED_VALUE"""),7793.0)</f>
        <v>7793</v>
      </c>
      <c r="I1555" s="4">
        <f>IFERROR(__xludf.DUMMYFUNCTION("""COMPUTED_VALUE"""),2465.0)</f>
        <v>2465</v>
      </c>
      <c r="J1555" s="4">
        <f>IFERROR(__xludf.DUMMYFUNCTION("""COMPUTED_VALUE"""),2326.0)</f>
        <v>2326</v>
      </c>
      <c r="K1555" s="4">
        <f>IFERROR(__xludf.DUMMYFUNCTION("""COMPUTED_VALUE"""),196.0)</f>
        <v>196</v>
      </c>
      <c r="L1555" s="4">
        <f>IFERROR(__xludf.DUMMYFUNCTION("""COMPUTED_VALUE"""),0.5)</f>
        <v>0.5</v>
      </c>
      <c r="M1555" s="4">
        <f>IFERROR(__xludf.DUMMYFUNCTION("""COMPUTED_VALUE"""),0.0)</f>
        <v>0</v>
      </c>
      <c r="N1555" s="4">
        <f>IFERROR(__xludf.DUMMYFUNCTION("""COMPUTED_VALUE"""),0.498)</f>
        <v>0.498</v>
      </c>
      <c r="O1555" s="4">
        <f>IFERROR(__xludf.DUMMYFUNCTION("""COMPUTED_VALUE"""),14.8)</f>
        <v>14.8</v>
      </c>
      <c r="P1555" s="4">
        <f>IFERROR(__xludf.DUMMYFUNCTION("""COMPUTED_VALUE"""),4.7)</f>
        <v>4.7</v>
      </c>
      <c r="Q1555" s="4">
        <f>IFERROR(__xludf.DUMMYFUNCTION("""COMPUTED_VALUE"""),4.4)</f>
        <v>4.4</v>
      </c>
      <c r="R1555" s="4">
        <f>IFERROR(__xludf.DUMMYFUNCTION("""COMPUTED_VALUE"""),0.4)</f>
        <v>0.4</v>
      </c>
      <c r="S1555" s="4">
        <f>IFERROR(__xludf.DUMMYFUNCTION("""COMPUTED_VALUE"""),15.8)</f>
        <v>15.8</v>
      </c>
      <c r="T1555" s="4">
        <f>IFERROR(__xludf.DUMMYFUNCTION("""COMPUTED_VALUE"""),0.097)</f>
        <v>0.097</v>
      </c>
      <c r="U1555" s="4">
        <f>IFERROR(__xludf.DUMMYFUNCTION("""COMPUTED_VALUE"""),-2.3)</f>
        <v>-2.3</v>
      </c>
      <c r="V1555" s="4">
        <f>IFERROR(__xludf.DUMMYFUNCTION("""COMPUTED_VALUE"""),-0.7)</f>
        <v>-0.7</v>
      </c>
    </row>
    <row r="1556">
      <c r="A1556" s="4">
        <f>IFERROR(__xludf.DUMMYFUNCTION("""COMPUTED_VALUE"""),35.0)</f>
        <v>35</v>
      </c>
      <c r="B1556" s="4">
        <f>IFERROR(__xludf.DUMMYFUNCTION("""COMPUTED_VALUE"""),35.0)</f>
        <v>35</v>
      </c>
      <c r="C1556" s="4" t="str">
        <f>IFERROR(__xludf.DUMMYFUNCTION("""COMPUTED_VALUE"""),"CLE")</f>
        <v>CLE</v>
      </c>
      <c r="D1556" s="4" t="str">
        <f>IFERROR(__xludf.DUMMYFUNCTION("""COMPUTED_VALUE"""),"Carlos Boozer")</f>
        <v>Carlos Boozer</v>
      </c>
      <c r="E1556" s="4" t="str">
        <f>IFERROR(__xludf.DUMMYFUNCTION("""COMPUTED_VALUE"""),"Duke")</f>
        <v>Duke</v>
      </c>
      <c r="F1556" s="4">
        <f>IFERROR(__xludf.DUMMYFUNCTION("""COMPUTED_VALUE"""),13.0)</f>
        <v>13</v>
      </c>
      <c r="G1556" s="4">
        <f>IFERROR(__xludf.DUMMYFUNCTION("""COMPUTED_VALUE"""),861.0)</f>
        <v>861</v>
      </c>
      <c r="H1556" s="4">
        <f>IFERROR(__xludf.DUMMYFUNCTION("""COMPUTED_VALUE"""),26901.0)</f>
        <v>26901</v>
      </c>
      <c r="I1556" s="4">
        <f>IFERROR(__xludf.DUMMYFUNCTION("""COMPUTED_VALUE"""),13976.0)</f>
        <v>13976</v>
      </c>
      <c r="J1556" s="4">
        <f>IFERROR(__xludf.DUMMYFUNCTION("""COMPUTED_VALUE"""),8192.0)</f>
        <v>8192</v>
      </c>
      <c r="K1556" s="4">
        <f>IFERROR(__xludf.DUMMYFUNCTION("""COMPUTED_VALUE"""),1928.0)</f>
        <v>1928</v>
      </c>
      <c r="L1556" s="4">
        <f>IFERROR(__xludf.DUMMYFUNCTION("""COMPUTED_VALUE"""),0.521)</f>
        <v>0.521</v>
      </c>
      <c r="M1556" s="4">
        <f>IFERROR(__xludf.DUMMYFUNCTION("""COMPUTED_VALUE"""),0.071)</f>
        <v>0.071</v>
      </c>
      <c r="N1556" s="4">
        <f>IFERROR(__xludf.DUMMYFUNCTION("""COMPUTED_VALUE"""),0.722)</f>
        <v>0.722</v>
      </c>
      <c r="O1556" s="4">
        <f>IFERROR(__xludf.DUMMYFUNCTION("""COMPUTED_VALUE"""),31.2)</f>
        <v>31.2</v>
      </c>
      <c r="P1556" s="4">
        <f>IFERROR(__xludf.DUMMYFUNCTION("""COMPUTED_VALUE"""),16.2)</f>
        <v>16.2</v>
      </c>
      <c r="Q1556" s="4">
        <f>IFERROR(__xludf.DUMMYFUNCTION("""COMPUTED_VALUE"""),9.5)</f>
        <v>9.5</v>
      </c>
      <c r="R1556" s="4">
        <f>IFERROR(__xludf.DUMMYFUNCTION("""COMPUTED_VALUE"""),2.2)</f>
        <v>2.2</v>
      </c>
      <c r="S1556" s="4">
        <f>IFERROR(__xludf.DUMMYFUNCTION("""COMPUTED_VALUE"""),80.3)</f>
        <v>80.3</v>
      </c>
      <c r="T1556" s="4">
        <f>IFERROR(__xludf.DUMMYFUNCTION("""COMPUTED_VALUE"""),0.143)</f>
        <v>0.143</v>
      </c>
      <c r="U1556" s="4">
        <f>IFERROR(__xludf.DUMMYFUNCTION("""COMPUTED_VALUE"""),1.4)</f>
        <v>1.4</v>
      </c>
      <c r="V1556" s="4">
        <f>IFERROR(__xludf.DUMMYFUNCTION("""COMPUTED_VALUE"""),23.1)</f>
        <v>23.1</v>
      </c>
    </row>
    <row r="1557">
      <c r="A1557" s="4">
        <f>IFERROR(__xludf.DUMMYFUNCTION("""COMPUTED_VALUE"""),36.0)</f>
        <v>36</v>
      </c>
      <c r="B1557" s="4">
        <f>IFERROR(__xludf.DUMMYFUNCTION("""COMPUTED_VALUE"""),36.0)</f>
        <v>36</v>
      </c>
      <c r="C1557" s="4" t="str">
        <f>IFERROR(__xludf.DUMMYFUNCTION("""COMPUTED_VALUE"""),"NYK")</f>
        <v>NYK</v>
      </c>
      <c r="D1557" s="4" t="str">
        <f>IFERROR(__xludf.DUMMYFUNCTION("""COMPUTED_VALUE"""),"Milos Vujanic")</f>
        <v>Milos Vujanic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</row>
    <row r="1558">
      <c r="A1558" s="4">
        <f>IFERROR(__xludf.DUMMYFUNCTION("""COMPUTED_VALUE"""),37.0)</f>
        <v>37</v>
      </c>
      <c r="B1558" s="4">
        <f>IFERROR(__xludf.DUMMYFUNCTION("""COMPUTED_VALUE"""),37.0)</f>
        <v>37</v>
      </c>
      <c r="C1558" s="4" t="str">
        <f>IFERROR(__xludf.DUMMYFUNCTION("""COMPUTED_VALUE"""),"ATL")</f>
        <v>ATL</v>
      </c>
      <c r="D1558" s="4" t="str">
        <f>IFERROR(__xludf.DUMMYFUNCTION("""COMPUTED_VALUE"""),"David Andersen")</f>
        <v>David Andersen</v>
      </c>
      <c r="E1558" s="4"/>
      <c r="F1558" s="4">
        <f>IFERROR(__xludf.DUMMYFUNCTION("""COMPUTED_VALUE"""),2.0)</f>
        <v>2</v>
      </c>
      <c r="G1558" s="4">
        <f>IFERROR(__xludf.DUMMYFUNCTION("""COMPUTED_VALUE"""),103.0)</f>
        <v>103</v>
      </c>
      <c r="H1558" s="4">
        <f>IFERROR(__xludf.DUMMYFUNCTION("""COMPUTED_VALUE"""),1264.0)</f>
        <v>1264</v>
      </c>
      <c r="I1558" s="4">
        <f>IFERROR(__xludf.DUMMYFUNCTION("""COMPUTED_VALUE"""),501.0)</f>
        <v>501</v>
      </c>
      <c r="J1558" s="4">
        <f>IFERROR(__xludf.DUMMYFUNCTION("""COMPUTED_VALUE"""),292.0)</f>
        <v>292</v>
      </c>
      <c r="K1558" s="4">
        <f>IFERROR(__xludf.DUMMYFUNCTION("""COMPUTED_VALUE"""),57.0)</f>
        <v>57</v>
      </c>
      <c r="L1558" s="4">
        <f>IFERROR(__xludf.DUMMYFUNCTION("""COMPUTED_VALUE"""),0.44)</f>
        <v>0.44</v>
      </c>
      <c r="M1558" s="4">
        <f>IFERROR(__xludf.DUMMYFUNCTION("""COMPUTED_VALUE"""),0.347)</f>
        <v>0.347</v>
      </c>
      <c r="N1558" s="4">
        <f>IFERROR(__xludf.DUMMYFUNCTION("""COMPUTED_VALUE"""),0.674)</f>
        <v>0.674</v>
      </c>
      <c r="O1558" s="4">
        <f>IFERROR(__xludf.DUMMYFUNCTION("""COMPUTED_VALUE"""),12.3)</f>
        <v>12.3</v>
      </c>
      <c r="P1558" s="4">
        <f>IFERROR(__xludf.DUMMYFUNCTION("""COMPUTED_VALUE"""),4.9)</f>
        <v>4.9</v>
      </c>
      <c r="Q1558" s="4">
        <f>IFERROR(__xludf.DUMMYFUNCTION("""COMPUTED_VALUE"""),2.8)</f>
        <v>2.8</v>
      </c>
      <c r="R1558" s="4">
        <f>IFERROR(__xludf.DUMMYFUNCTION("""COMPUTED_VALUE"""),0.6)</f>
        <v>0.6</v>
      </c>
      <c r="S1558" s="4">
        <f>IFERROR(__xludf.DUMMYFUNCTION("""COMPUTED_VALUE"""),1.5)</f>
        <v>1.5</v>
      </c>
      <c r="T1558" s="4">
        <f>IFERROR(__xludf.DUMMYFUNCTION("""COMPUTED_VALUE"""),0.059)</f>
        <v>0.059</v>
      </c>
      <c r="U1558" s="4">
        <f>IFERROR(__xludf.DUMMYFUNCTION("""COMPUTED_VALUE"""),-2.9)</f>
        <v>-2.9</v>
      </c>
      <c r="V1558" s="4">
        <f>IFERROR(__xludf.DUMMYFUNCTION("""COMPUTED_VALUE"""),-0.3)</f>
        <v>-0.3</v>
      </c>
    </row>
    <row r="1559">
      <c r="A1559" s="4">
        <f>IFERROR(__xludf.DUMMYFUNCTION("""COMPUTED_VALUE"""),38.0)</f>
        <v>38</v>
      </c>
      <c r="B1559" s="4">
        <f>IFERROR(__xludf.DUMMYFUNCTION("""COMPUTED_VALUE"""),38.0)</f>
        <v>38</v>
      </c>
      <c r="C1559" s="4" t="str">
        <f>IFERROR(__xludf.DUMMYFUNCTION("""COMPUTED_VALUE"""),"HOU")</f>
        <v>HOU</v>
      </c>
      <c r="D1559" s="4" t="str">
        <f>IFERROR(__xludf.DUMMYFUNCTION("""COMPUTED_VALUE"""),"Tito Maddox")</f>
        <v>Tito Maddox</v>
      </c>
      <c r="E1559" s="4" t="str">
        <f>IFERROR(__xludf.DUMMYFUNCTION("""COMPUTED_VALUE"""),"Fresno State")</f>
        <v>Fresno State</v>
      </c>
      <c r="F1559" s="4">
        <f>IFERROR(__xludf.DUMMYFUNCTION("""COMPUTED_VALUE"""),1.0)</f>
        <v>1</v>
      </c>
      <c r="G1559" s="4">
        <f>IFERROR(__xludf.DUMMYFUNCTION("""COMPUTED_VALUE"""),9.0)</f>
        <v>9</v>
      </c>
      <c r="H1559" s="4">
        <f>IFERROR(__xludf.DUMMYFUNCTION("""COMPUTED_VALUE"""),35.0)</f>
        <v>35</v>
      </c>
      <c r="I1559" s="4">
        <f>IFERROR(__xludf.DUMMYFUNCTION("""COMPUTED_VALUE"""),11.0)</f>
        <v>11</v>
      </c>
      <c r="J1559" s="4">
        <f>IFERROR(__xludf.DUMMYFUNCTION("""COMPUTED_VALUE"""),7.0)</f>
        <v>7</v>
      </c>
      <c r="K1559" s="4">
        <f>IFERROR(__xludf.DUMMYFUNCTION("""COMPUTED_VALUE"""),5.0)</f>
        <v>5</v>
      </c>
      <c r="L1559" s="4">
        <f>IFERROR(__xludf.DUMMYFUNCTION("""COMPUTED_VALUE"""),0.25)</f>
        <v>0.25</v>
      </c>
      <c r="M1559" s="4">
        <f>IFERROR(__xludf.DUMMYFUNCTION("""COMPUTED_VALUE"""),0.0)</f>
        <v>0</v>
      </c>
      <c r="N1559" s="4">
        <f>IFERROR(__xludf.DUMMYFUNCTION("""COMPUTED_VALUE"""),0.625)</f>
        <v>0.625</v>
      </c>
      <c r="O1559" s="4">
        <f>IFERROR(__xludf.DUMMYFUNCTION("""COMPUTED_VALUE"""),3.9)</f>
        <v>3.9</v>
      </c>
      <c r="P1559" s="4">
        <f>IFERROR(__xludf.DUMMYFUNCTION("""COMPUTED_VALUE"""),1.2)</f>
        <v>1.2</v>
      </c>
      <c r="Q1559" s="4">
        <f>IFERROR(__xludf.DUMMYFUNCTION("""COMPUTED_VALUE"""),0.8)</f>
        <v>0.8</v>
      </c>
      <c r="R1559" s="4">
        <f>IFERROR(__xludf.DUMMYFUNCTION("""COMPUTED_VALUE"""),0.6)</f>
        <v>0.6</v>
      </c>
      <c r="S1559" s="4">
        <f>IFERROR(__xludf.DUMMYFUNCTION("""COMPUTED_VALUE"""),0.0)</f>
        <v>0</v>
      </c>
      <c r="T1559" s="4">
        <f>IFERROR(__xludf.DUMMYFUNCTION("""COMPUTED_VALUE"""),-0.011)</f>
        <v>-0.011</v>
      </c>
      <c r="U1559" s="4">
        <f>IFERROR(__xludf.DUMMYFUNCTION("""COMPUTED_VALUE"""),-1.4)</f>
        <v>-1.4</v>
      </c>
      <c r="V1559" s="4">
        <f>IFERROR(__xludf.DUMMYFUNCTION("""COMPUTED_VALUE"""),0.0)</f>
        <v>0</v>
      </c>
    </row>
    <row r="1560">
      <c r="A1560" s="4">
        <f>IFERROR(__xludf.DUMMYFUNCTION("""COMPUTED_VALUE"""),39.0)</f>
        <v>39</v>
      </c>
      <c r="B1560" s="4">
        <f>IFERROR(__xludf.DUMMYFUNCTION("""COMPUTED_VALUE"""),39.0)</f>
        <v>39</v>
      </c>
      <c r="C1560" s="4" t="str">
        <f>IFERROR(__xludf.DUMMYFUNCTION("""COMPUTED_VALUE"""),"WAS")</f>
        <v>WAS</v>
      </c>
      <c r="D1560" s="4" t="str">
        <f>IFERROR(__xludf.DUMMYFUNCTION("""COMPUTED_VALUE"""),"Rod Grizzard")</f>
        <v>Rod Grizzard</v>
      </c>
      <c r="E1560" s="4" t="str">
        <f>IFERROR(__xludf.DUMMYFUNCTION("""COMPUTED_VALUE"""),"Alabama")</f>
        <v>Alabama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>
      <c r="A1561" s="4">
        <f>IFERROR(__xludf.DUMMYFUNCTION("""COMPUTED_VALUE"""),40.0)</f>
        <v>40</v>
      </c>
      <c r="B1561" s="4">
        <f>IFERROR(__xludf.DUMMYFUNCTION("""COMPUTED_VALUE"""),40.0)</f>
        <v>40</v>
      </c>
      <c r="C1561" s="4" t="str">
        <f>IFERROR(__xludf.DUMMYFUNCTION("""COMPUTED_VALUE"""),"WAS")</f>
        <v>WAS</v>
      </c>
      <c r="D1561" s="4" t="str">
        <f>IFERROR(__xludf.DUMMYFUNCTION("""COMPUTED_VALUE"""),"Juan Carlos Navarro")</f>
        <v>Juan Carlos Navarro</v>
      </c>
      <c r="E1561" s="4"/>
      <c r="F1561" s="4">
        <f>IFERROR(__xludf.DUMMYFUNCTION("""COMPUTED_VALUE"""),1.0)</f>
        <v>1</v>
      </c>
      <c r="G1561" s="4">
        <f>IFERROR(__xludf.DUMMYFUNCTION("""COMPUTED_VALUE"""),82.0)</f>
        <v>82</v>
      </c>
      <c r="H1561" s="4">
        <f>IFERROR(__xludf.DUMMYFUNCTION("""COMPUTED_VALUE"""),2117.0)</f>
        <v>2117</v>
      </c>
      <c r="I1561" s="4">
        <f>IFERROR(__xludf.DUMMYFUNCTION("""COMPUTED_VALUE"""),896.0)</f>
        <v>896</v>
      </c>
      <c r="J1561" s="4">
        <f>IFERROR(__xludf.DUMMYFUNCTION("""COMPUTED_VALUE"""),210.0)</f>
        <v>210</v>
      </c>
      <c r="K1561" s="4">
        <f>IFERROR(__xludf.DUMMYFUNCTION("""COMPUTED_VALUE"""),177.0)</f>
        <v>177</v>
      </c>
      <c r="L1561" s="4">
        <f>IFERROR(__xludf.DUMMYFUNCTION("""COMPUTED_VALUE"""),0.402)</f>
        <v>0.402</v>
      </c>
      <c r="M1561" s="4">
        <f>IFERROR(__xludf.DUMMYFUNCTION("""COMPUTED_VALUE"""),0.361)</f>
        <v>0.361</v>
      </c>
      <c r="N1561" s="4">
        <f>IFERROR(__xludf.DUMMYFUNCTION("""COMPUTED_VALUE"""),0.849)</f>
        <v>0.849</v>
      </c>
      <c r="O1561" s="4">
        <f>IFERROR(__xludf.DUMMYFUNCTION("""COMPUTED_VALUE"""),25.8)</f>
        <v>25.8</v>
      </c>
      <c r="P1561" s="4">
        <f>IFERROR(__xludf.DUMMYFUNCTION("""COMPUTED_VALUE"""),10.9)</f>
        <v>10.9</v>
      </c>
      <c r="Q1561" s="4">
        <f>IFERROR(__xludf.DUMMYFUNCTION("""COMPUTED_VALUE"""),2.6)</f>
        <v>2.6</v>
      </c>
      <c r="R1561" s="4">
        <f>IFERROR(__xludf.DUMMYFUNCTION("""COMPUTED_VALUE"""),2.2)</f>
        <v>2.2</v>
      </c>
      <c r="S1561" s="4">
        <f>IFERROR(__xludf.DUMMYFUNCTION("""COMPUTED_VALUE"""),1.4)</f>
        <v>1.4</v>
      </c>
      <c r="T1561" s="4">
        <f>IFERROR(__xludf.DUMMYFUNCTION("""COMPUTED_VALUE"""),0.031)</f>
        <v>0.031</v>
      </c>
      <c r="U1561" s="4">
        <f>IFERROR(__xludf.DUMMYFUNCTION("""COMPUTED_VALUE"""),-2.3)</f>
        <v>-2.3</v>
      </c>
      <c r="V1561" s="4">
        <f>IFERROR(__xludf.DUMMYFUNCTION("""COMPUTED_VALUE"""),-0.2)</f>
        <v>-0.2</v>
      </c>
    </row>
    <row r="1562">
      <c r="A1562" s="4">
        <f>IFERROR(__xludf.DUMMYFUNCTION("""COMPUTED_VALUE"""),41.0)</f>
        <v>41</v>
      </c>
      <c r="B1562" s="4">
        <f>IFERROR(__xludf.DUMMYFUNCTION("""COMPUTED_VALUE"""),41.0)</f>
        <v>41</v>
      </c>
      <c r="C1562" s="4" t="str">
        <f>IFERROR(__xludf.DUMMYFUNCTION("""COMPUTED_VALUE"""),"LAC")</f>
        <v>LAC</v>
      </c>
      <c r="D1562" s="4" t="str">
        <f>IFERROR(__xludf.DUMMYFUNCTION("""COMPUTED_VALUE"""),"Mario Kasun")</f>
        <v>Mario Kasun</v>
      </c>
      <c r="E1562" s="4"/>
      <c r="F1562" s="4">
        <f>IFERROR(__xludf.DUMMYFUNCTION("""COMPUTED_VALUE"""),2.0)</f>
        <v>2</v>
      </c>
      <c r="G1562" s="4">
        <f>IFERROR(__xludf.DUMMYFUNCTION("""COMPUTED_VALUE"""),73.0)</f>
        <v>73</v>
      </c>
      <c r="H1562" s="4">
        <f>IFERROR(__xludf.DUMMYFUNCTION("""COMPUTED_VALUE"""),569.0)</f>
        <v>569</v>
      </c>
      <c r="I1562" s="4">
        <f>IFERROR(__xludf.DUMMYFUNCTION("""COMPUTED_VALUE"""),198.0)</f>
        <v>198</v>
      </c>
      <c r="J1562" s="4">
        <f>IFERROR(__xludf.DUMMYFUNCTION("""COMPUTED_VALUE"""),188.0)</f>
        <v>188</v>
      </c>
      <c r="K1562" s="4">
        <f>IFERROR(__xludf.DUMMYFUNCTION("""COMPUTED_VALUE"""),11.0)</f>
        <v>11</v>
      </c>
      <c r="L1562" s="4">
        <f>IFERROR(__xludf.DUMMYFUNCTION("""COMPUTED_VALUE"""),0.467)</f>
        <v>0.467</v>
      </c>
      <c r="M1562" s="4">
        <f>IFERROR(__xludf.DUMMYFUNCTION("""COMPUTED_VALUE"""),0.0)</f>
        <v>0</v>
      </c>
      <c r="N1562" s="4">
        <f>IFERROR(__xludf.DUMMYFUNCTION("""COMPUTED_VALUE"""),0.636)</f>
        <v>0.636</v>
      </c>
      <c r="O1562" s="4">
        <f>IFERROR(__xludf.DUMMYFUNCTION("""COMPUTED_VALUE"""),7.8)</f>
        <v>7.8</v>
      </c>
      <c r="P1562" s="4">
        <f>IFERROR(__xludf.DUMMYFUNCTION("""COMPUTED_VALUE"""),2.7)</f>
        <v>2.7</v>
      </c>
      <c r="Q1562" s="4">
        <f>IFERROR(__xludf.DUMMYFUNCTION("""COMPUTED_VALUE"""),2.6)</f>
        <v>2.6</v>
      </c>
      <c r="R1562" s="4">
        <f>IFERROR(__xludf.DUMMYFUNCTION("""COMPUTED_VALUE"""),0.2)</f>
        <v>0.2</v>
      </c>
      <c r="S1562" s="4">
        <f>IFERROR(__xludf.DUMMYFUNCTION("""COMPUTED_VALUE"""),0.8)</f>
        <v>0.8</v>
      </c>
      <c r="T1562" s="4">
        <f>IFERROR(__xludf.DUMMYFUNCTION("""COMPUTED_VALUE"""),0.069)</f>
        <v>0.069</v>
      </c>
      <c r="U1562" s="4">
        <f>IFERROR(__xludf.DUMMYFUNCTION("""COMPUTED_VALUE"""),-7.0)</f>
        <v>-7</v>
      </c>
      <c r="V1562" s="4">
        <f>IFERROR(__xludf.DUMMYFUNCTION("""COMPUTED_VALUE"""),-0.7)</f>
        <v>-0.7</v>
      </c>
    </row>
    <row r="1563">
      <c r="A1563" s="4">
        <f>IFERROR(__xludf.DUMMYFUNCTION("""COMPUTED_VALUE"""),42.0)</f>
        <v>42</v>
      </c>
      <c r="B1563" s="4">
        <f>IFERROR(__xludf.DUMMYFUNCTION("""COMPUTED_VALUE"""),42.0)</f>
        <v>42</v>
      </c>
      <c r="C1563" s="4" t="str">
        <f>IFERROR(__xludf.DUMMYFUNCTION("""COMPUTED_VALUE"""),"MIL")</f>
        <v>MIL</v>
      </c>
      <c r="D1563" s="4" t="str">
        <f>IFERROR(__xludf.DUMMYFUNCTION("""COMPUTED_VALUE"""),"Ronald Murray")</f>
        <v>Ronald Murray</v>
      </c>
      <c r="E1563" s="4" t="str">
        <f>IFERROR(__xludf.DUMMYFUNCTION("""COMPUTED_VALUE"""),"Shaw")</f>
        <v>Shaw</v>
      </c>
      <c r="F1563" s="4">
        <f>IFERROR(__xludf.DUMMYFUNCTION("""COMPUTED_VALUE"""),8.0)</f>
        <v>8</v>
      </c>
      <c r="G1563" s="4">
        <f>IFERROR(__xludf.DUMMYFUNCTION("""COMPUTED_VALUE"""),487.0)</f>
        <v>487</v>
      </c>
      <c r="H1563" s="4">
        <f>IFERROR(__xludf.DUMMYFUNCTION("""COMPUTED_VALUE"""),11077.0)</f>
        <v>11077</v>
      </c>
      <c r="I1563" s="4">
        <f>IFERROR(__xludf.DUMMYFUNCTION("""COMPUTED_VALUE"""),4817.0)</f>
        <v>4817</v>
      </c>
      <c r="J1563" s="4">
        <f>IFERROR(__xludf.DUMMYFUNCTION("""COMPUTED_VALUE"""),1006.0)</f>
        <v>1006</v>
      </c>
      <c r="K1563" s="4">
        <f>IFERROR(__xludf.DUMMYFUNCTION("""COMPUTED_VALUE"""),1096.0)</f>
        <v>1096</v>
      </c>
      <c r="L1563" s="4">
        <f>IFERROR(__xludf.DUMMYFUNCTION("""COMPUTED_VALUE"""),0.414)</f>
        <v>0.414</v>
      </c>
      <c r="M1563" s="4">
        <f>IFERROR(__xludf.DUMMYFUNCTION("""COMPUTED_VALUE"""),0.304)</f>
        <v>0.304</v>
      </c>
      <c r="N1563" s="4">
        <f>IFERROR(__xludf.DUMMYFUNCTION("""COMPUTED_VALUE"""),0.725)</f>
        <v>0.725</v>
      </c>
      <c r="O1563" s="4">
        <f>IFERROR(__xludf.DUMMYFUNCTION("""COMPUTED_VALUE"""),22.7)</f>
        <v>22.7</v>
      </c>
      <c r="P1563" s="4">
        <f>IFERROR(__xludf.DUMMYFUNCTION("""COMPUTED_VALUE"""),9.9)</f>
        <v>9.9</v>
      </c>
      <c r="Q1563" s="4">
        <f>IFERROR(__xludf.DUMMYFUNCTION("""COMPUTED_VALUE"""),2.1)</f>
        <v>2.1</v>
      </c>
      <c r="R1563" s="4">
        <f>IFERROR(__xludf.DUMMYFUNCTION("""COMPUTED_VALUE"""),2.3)</f>
        <v>2.3</v>
      </c>
      <c r="S1563" s="4">
        <f>IFERROR(__xludf.DUMMYFUNCTION("""COMPUTED_VALUE"""),8.5)</f>
        <v>8.5</v>
      </c>
      <c r="T1563" s="4">
        <f>IFERROR(__xludf.DUMMYFUNCTION("""COMPUTED_VALUE"""),0.037)</f>
        <v>0.037</v>
      </c>
      <c r="U1563" s="4">
        <f>IFERROR(__xludf.DUMMYFUNCTION("""COMPUTED_VALUE"""),-2.2)</f>
        <v>-2.2</v>
      </c>
      <c r="V1563" s="4">
        <f>IFERROR(__xludf.DUMMYFUNCTION("""COMPUTED_VALUE"""),-0.5)</f>
        <v>-0.5</v>
      </c>
    </row>
    <row r="1564">
      <c r="A1564" s="4">
        <f>IFERROR(__xludf.DUMMYFUNCTION("""COMPUTED_VALUE"""),43.0)</f>
        <v>43</v>
      </c>
      <c r="B1564" s="4">
        <f>IFERROR(__xludf.DUMMYFUNCTION("""COMPUTED_VALUE"""),43.0)</f>
        <v>43</v>
      </c>
      <c r="C1564" s="4" t="str">
        <f>IFERROR(__xludf.DUMMYFUNCTION("""COMPUTED_VALUE"""),"POR")</f>
        <v>POR</v>
      </c>
      <c r="D1564" s="4" t="str">
        <f>IFERROR(__xludf.DUMMYFUNCTION("""COMPUTED_VALUE"""),"Jason Jennings")</f>
        <v>Jason Jennings</v>
      </c>
      <c r="E1564" s="4" t="str">
        <f>IFERROR(__xludf.DUMMYFUNCTION("""COMPUTED_VALUE"""),"Arkansas State University")</f>
        <v>Arkansas State University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>
      <c r="A1565" s="4">
        <f>IFERROR(__xludf.DUMMYFUNCTION("""COMPUTED_VALUE"""),44.0)</f>
        <v>44</v>
      </c>
      <c r="B1565" s="4">
        <f>IFERROR(__xludf.DUMMYFUNCTION("""COMPUTED_VALUE"""),44.0)</f>
        <v>44</v>
      </c>
      <c r="C1565" s="4" t="str">
        <f>IFERROR(__xludf.DUMMYFUNCTION("""COMPUTED_VALUE"""),"CHI")</f>
        <v>CHI</v>
      </c>
      <c r="D1565" s="4" t="str">
        <f>IFERROR(__xludf.DUMMYFUNCTION("""COMPUTED_VALUE"""),"Lonny Baxter")</f>
        <v>Lonny Baxter</v>
      </c>
      <c r="E1565" s="4" t="str">
        <f>IFERROR(__xludf.DUMMYFUNCTION("""COMPUTED_VALUE"""),"Maryland")</f>
        <v>Maryland</v>
      </c>
      <c r="F1565" s="4">
        <f>IFERROR(__xludf.DUMMYFUNCTION("""COMPUTED_VALUE"""),4.0)</f>
        <v>4</v>
      </c>
      <c r="G1565" s="4">
        <f>IFERROR(__xludf.DUMMYFUNCTION("""COMPUTED_VALUE"""),162.0)</f>
        <v>162</v>
      </c>
      <c r="H1565" s="4">
        <f>IFERROR(__xludf.DUMMYFUNCTION("""COMPUTED_VALUE"""),1884.0)</f>
        <v>1884</v>
      </c>
      <c r="I1565" s="4">
        <f>IFERROR(__xludf.DUMMYFUNCTION("""COMPUTED_VALUE"""),637.0)</f>
        <v>637</v>
      </c>
      <c r="J1565" s="4">
        <f>IFERROR(__xludf.DUMMYFUNCTION("""COMPUTED_VALUE"""),477.0)</f>
        <v>477</v>
      </c>
      <c r="K1565" s="4">
        <f>IFERROR(__xludf.DUMMYFUNCTION("""COMPUTED_VALUE"""),40.0)</f>
        <v>40</v>
      </c>
      <c r="L1565" s="4">
        <f>IFERROR(__xludf.DUMMYFUNCTION("""COMPUTED_VALUE"""),0.466)</f>
        <v>0.466</v>
      </c>
      <c r="M1565" s="4">
        <f>IFERROR(__xludf.DUMMYFUNCTION("""COMPUTED_VALUE"""),0.2)</f>
        <v>0.2</v>
      </c>
      <c r="N1565" s="4">
        <f>IFERROR(__xludf.DUMMYFUNCTION("""COMPUTED_VALUE"""),0.657)</f>
        <v>0.657</v>
      </c>
      <c r="O1565" s="4">
        <f>IFERROR(__xludf.DUMMYFUNCTION("""COMPUTED_VALUE"""),11.6)</f>
        <v>11.6</v>
      </c>
      <c r="P1565" s="4">
        <f>IFERROR(__xludf.DUMMYFUNCTION("""COMPUTED_VALUE"""),3.9)</f>
        <v>3.9</v>
      </c>
      <c r="Q1565" s="4">
        <f>IFERROR(__xludf.DUMMYFUNCTION("""COMPUTED_VALUE"""),2.9)</f>
        <v>2.9</v>
      </c>
      <c r="R1565" s="4">
        <f>IFERROR(__xludf.DUMMYFUNCTION("""COMPUTED_VALUE"""),0.2)</f>
        <v>0.2</v>
      </c>
      <c r="S1565" s="4">
        <f>IFERROR(__xludf.DUMMYFUNCTION("""COMPUTED_VALUE"""),2.9)</f>
        <v>2.9</v>
      </c>
      <c r="T1565" s="4">
        <f>IFERROR(__xludf.DUMMYFUNCTION("""COMPUTED_VALUE"""),0.075)</f>
        <v>0.075</v>
      </c>
      <c r="U1565" s="4">
        <f>IFERROR(__xludf.DUMMYFUNCTION("""COMPUTED_VALUE"""),-4.6)</f>
        <v>-4.6</v>
      </c>
      <c r="V1565" s="4">
        <f>IFERROR(__xludf.DUMMYFUNCTION("""COMPUTED_VALUE"""),-1.2)</f>
        <v>-1.2</v>
      </c>
    </row>
    <row r="1566">
      <c r="A1566" s="4">
        <f>IFERROR(__xludf.DUMMYFUNCTION("""COMPUTED_VALUE"""),45.0)</f>
        <v>45</v>
      </c>
      <c r="B1566" s="4">
        <f>IFERROR(__xludf.DUMMYFUNCTION("""COMPUTED_VALUE"""),45.0)</f>
        <v>45</v>
      </c>
      <c r="C1566" s="4" t="str">
        <f>IFERROR(__xludf.DUMMYFUNCTION("""COMPUTED_VALUE"""),"PHI")</f>
        <v>PHI</v>
      </c>
      <c r="D1566" s="4" t="str">
        <f>IFERROR(__xludf.DUMMYFUNCTION("""COMPUTED_VALUE"""),"Sam Clancy")</f>
        <v>Sam Clancy</v>
      </c>
      <c r="E1566" s="4" t="str">
        <f>IFERROR(__xludf.DUMMYFUNCTION("""COMPUTED_VALUE"""),"USC")</f>
        <v>USC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</row>
    <row r="1567">
      <c r="A1567" s="4">
        <f>IFERROR(__xludf.DUMMYFUNCTION("""COMPUTED_VALUE"""),46.0)</f>
        <v>46</v>
      </c>
      <c r="B1567" s="4">
        <f>IFERROR(__xludf.DUMMYFUNCTION("""COMPUTED_VALUE"""),46.0)</f>
        <v>46</v>
      </c>
      <c r="C1567" s="4" t="str">
        <f>IFERROR(__xludf.DUMMYFUNCTION("""COMPUTED_VALUE"""),"MEM")</f>
        <v>MEM</v>
      </c>
      <c r="D1567" s="4" t="str">
        <f>IFERROR(__xludf.DUMMYFUNCTION("""COMPUTED_VALUE"""),"Matt Barnes")</f>
        <v>Matt Barnes</v>
      </c>
      <c r="E1567" s="4" t="str">
        <f>IFERROR(__xludf.DUMMYFUNCTION("""COMPUTED_VALUE"""),"UCLA")</f>
        <v>UCLA</v>
      </c>
      <c r="F1567" s="4">
        <f>IFERROR(__xludf.DUMMYFUNCTION("""COMPUTED_VALUE"""),14.0)</f>
        <v>14</v>
      </c>
      <c r="G1567" s="4">
        <f>IFERROR(__xludf.DUMMYFUNCTION("""COMPUTED_VALUE"""),929.0)</f>
        <v>929</v>
      </c>
      <c r="H1567" s="4">
        <f>IFERROR(__xludf.DUMMYFUNCTION("""COMPUTED_VALUE"""),21967.0)</f>
        <v>21967</v>
      </c>
      <c r="I1567" s="4">
        <f>IFERROR(__xludf.DUMMYFUNCTION("""COMPUTED_VALUE"""),7589.0)</f>
        <v>7589</v>
      </c>
      <c r="J1567" s="4">
        <f>IFERROR(__xludf.DUMMYFUNCTION("""COMPUTED_VALUE"""),4281.0)</f>
        <v>4281</v>
      </c>
      <c r="K1567" s="4">
        <f>IFERROR(__xludf.DUMMYFUNCTION("""COMPUTED_VALUE"""),1691.0)</f>
        <v>1691</v>
      </c>
      <c r="L1567" s="4">
        <f>IFERROR(__xludf.DUMMYFUNCTION("""COMPUTED_VALUE"""),0.436)</f>
        <v>0.436</v>
      </c>
      <c r="M1567" s="4">
        <f>IFERROR(__xludf.DUMMYFUNCTION("""COMPUTED_VALUE"""),0.335)</f>
        <v>0.335</v>
      </c>
      <c r="N1567" s="4">
        <f>IFERROR(__xludf.DUMMYFUNCTION("""COMPUTED_VALUE"""),0.745)</f>
        <v>0.745</v>
      </c>
      <c r="O1567" s="4">
        <f>IFERROR(__xludf.DUMMYFUNCTION("""COMPUTED_VALUE"""),23.6)</f>
        <v>23.6</v>
      </c>
      <c r="P1567" s="4">
        <f>IFERROR(__xludf.DUMMYFUNCTION("""COMPUTED_VALUE"""),8.2)</f>
        <v>8.2</v>
      </c>
      <c r="Q1567" s="4">
        <f>IFERROR(__xludf.DUMMYFUNCTION("""COMPUTED_VALUE"""),4.6)</f>
        <v>4.6</v>
      </c>
      <c r="R1567" s="4">
        <f>IFERROR(__xludf.DUMMYFUNCTION("""COMPUTED_VALUE"""),1.8)</f>
        <v>1.8</v>
      </c>
      <c r="S1567" s="4">
        <f>IFERROR(__xludf.DUMMYFUNCTION("""COMPUTED_VALUE"""),42.8)</f>
        <v>42.8</v>
      </c>
      <c r="T1567" s="4">
        <f>IFERROR(__xludf.DUMMYFUNCTION("""COMPUTED_VALUE"""),0.093)</f>
        <v>0.093</v>
      </c>
      <c r="U1567" s="4">
        <f>IFERROR(__xludf.DUMMYFUNCTION("""COMPUTED_VALUE"""),-0.1)</f>
        <v>-0.1</v>
      </c>
      <c r="V1567" s="4">
        <f>IFERROR(__xludf.DUMMYFUNCTION("""COMPUTED_VALUE"""),10.7)</f>
        <v>10.7</v>
      </c>
    </row>
    <row r="1568">
      <c r="A1568" s="4">
        <f>IFERROR(__xludf.DUMMYFUNCTION("""COMPUTED_VALUE"""),47.0)</f>
        <v>47</v>
      </c>
      <c r="B1568" s="4">
        <f>IFERROR(__xludf.DUMMYFUNCTION("""COMPUTED_VALUE"""),47.0)</f>
        <v>47</v>
      </c>
      <c r="C1568" s="4" t="str">
        <f>IFERROR(__xludf.DUMMYFUNCTION("""COMPUTED_VALUE"""),"UTA")</f>
        <v>UTA</v>
      </c>
      <c r="D1568" s="4" t="str">
        <f>IFERROR(__xludf.DUMMYFUNCTION("""COMPUTED_VALUE"""),"Jamal Sampson")</f>
        <v>Jamal Sampson</v>
      </c>
      <c r="E1568" s="4" t="str">
        <f>IFERROR(__xludf.DUMMYFUNCTION("""COMPUTED_VALUE"""),"California")</f>
        <v>California</v>
      </c>
      <c r="F1568" s="4">
        <f>IFERROR(__xludf.DUMMYFUNCTION("""COMPUTED_VALUE"""),5.0)</f>
        <v>5</v>
      </c>
      <c r="G1568" s="4">
        <f>IFERROR(__xludf.DUMMYFUNCTION("""COMPUTED_VALUE"""),72.0)</f>
        <v>72</v>
      </c>
      <c r="H1568" s="4">
        <f>IFERROR(__xludf.DUMMYFUNCTION("""COMPUTED_VALUE"""),631.0)</f>
        <v>631</v>
      </c>
      <c r="I1568" s="4">
        <f>IFERROR(__xludf.DUMMYFUNCTION("""COMPUTED_VALUE"""),142.0)</f>
        <v>142</v>
      </c>
      <c r="J1568" s="4">
        <f>IFERROR(__xludf.DUMMYFUNCTION("""COMPUTED_VALUE"""),242.0)</f>
        <v>242</v>
      </c>
      <c r="K1568" s="4">
        <f>IFERROR(__xludf.DUMMYFUNCTION("""COMPUTED_VALUE"""),26.0)</f>
        <v>26</v>
      </c>
      <c r="L1568" s="4">
        <f>IFERROR(__xludf.DUMMYFUNCTION("""COMPUTED_VALUE"""),0.491)</f>
        <v>0.491</v>
      </c>
      <c r="M1568" s="4">
        <f>IFERROR(__xludf.DUMMYFUNCTION("""COMPUTED_VALUE"""),0.0)</f>
        <v>0</v>
      </c>
      <c r="N1568" s="4">
        <f>IFERROR(__xludf.DUMMYFUNCTION("""COMPUTED_VALUE"""),0.537)</f>
        <v>0.537</v>
      </c>
      <c r="O1568" s="4">
        <f>IFERROR(__xludf.DUMMYFUNCTION("""COMPUTED_VALUE"""),8.8)</f>
        <v>8.8</v>
      </c>
      <c r="P1568" s="4">
        <f>IFERROR(__xludf.DUMMYFUNCTION("""COMPUTED_VALUE"""),2.0)</f>
        <v>2</v>
      </c>
      <c r="Q1568" s="4">
        <f>IFERROR(__xludf.DUMMYFUNCTION("""COMPUTED_VALUE"""),3.4)</f>
        <v>3.4</v>
      </c>
      <c r="R1568" s="4">
        <f>IFERROR(__xludf.DUMMYFUNCTION("""COMPUTED_VALUE"""),0.4)</f>
        <v>0.4</v>
      </c>
      <c r="S1568" s="4">
        <f>IFERROR(__xludf.DUMMYFUNCTION("""COMPUTED_VALUE"""),1.4)</f>
        <v>1.4</v>
      </c>
      <c r="T1568" s="4">
        <f>IFERROR(__xludf.DUMMYFUNCTION("""COMPUTED_VALUE"""),0.106)</f>
        <v>0.106</v>
      </c>
      <c r="U1568" s="4">
        <f>IFERROR(__xludf.DUMMYFUNCTION("""COMPUTED_VALUE"""),-2.3)</f>
        <v>-2.3</v>
      </c>
      <c r="V1568" s="4">
        <f>IFERROR(__xludf.DUMMYFUNCTION("""COMPUTED_VALUE"""),-0.1)</f>
        <v>-0.1</v>
      </c>
    </row>
    <row r="1569">
      <c r="A1569" s="4">
        <f>IFERROR(__xludf.DUMMYFUNCTION("""COMPUTED_VALUE"""),48.0)</f>
        <v>48</v>
      </c>
      <c r="B1569" s="4">
        <f>IFERROR(__xludf.DUMMYFUNCTION("""COMPUTED_VALUE"""),48.0)</f>
        <v>48</v>
      </c>
      <c r="C1569" s="4" t="str">
        <f>IFERROR(__xludf.DUMMYFUNCTION("""COMPUTED_VALUE"""),"MIL")</f>
        <v>MIL</v>
      </c>
      <c r="D1569" s="4" t="str">
        <f>IFERROR(__xludf.DUMMYFUNCTION("""COMPUTED_VALUE"""),"Chris Owens")</f>
        <v>Chris Owens</v>
      </c>
      <c r="E1569" s="4" t="str">
        <f>IFERROR(__xludf.DUMMYFUNCTION("""COMPUTED_VALUE"""),"Texas")</f>
        <v>Texas</v>
      </c>
      <c r="F1569" s="4">
        <f>IFERROR(__xludf.DUMMYFUNCTION("""COMPUTED_VALUE"""),1.0)</f>
        <v>1</v>
      </c>
      <c r="G1569" s="4">
        <f>IFERROR(__xludf.DUMMYFUNCTION("""COMPUTED_VALUE"""),1.0)</f>
        <v>1</v>
      </c>
      <c r="H1569" s="4">
        <f>IFERROR(__xludf.DUMMYFUNCTION("""COMPUTED_VALUE"""),6.0)</f>
        <v>6</v>
      </c>
      <c r="I1569" s="4">
        <f>IFERROR(__xludf.DUMMYFUNCTION("""COMPUTED_VALUE"""),4.0)</f>
        <v>4</v>
      </c>
      <c r="J1569" s="4">
        <f>IFERROR(__xludf.DUMMYFUNCTION("""COMPUTED_VALUE"""),1.0)</f>
        <v>1</v>
      </c>
      <c r="K1569" s="4">
        <f>IFERROR(__xludf.DUMMYFUNCTION("""COMPUTED_VALUE"""),0.0)</f>
        <v>0</v>
      </c>
      <c r="L1569" s="4">
        <f>IFERROR(__xludf.DUMMYFUNCTION("""COMPUTED_VALUE"""),0.667)</f>
        <v>0.667</v>
      </c>
      <c r="M1569" s="4"/>
      <c r="N1569" s="4"/>
      <c r="O1569" s="4">
        <f>IFERROR(__xludf.DUMMYFUNCTION("""COMPUTED_VALUE"""),6.0)</f>
        <v>6</v>
      </c>
      <c r="P1569" s="4">
        <f>IFERROR(__xludf.DUMMYFUNCTION("""COMPUTED_VALUE"""),4.0)</f>
        <v>4</v>
      </c>
      <c r="Q1569" s="4">
        <f>IFERROR(__xludf.DUMMYFUNCTION("""COMPUTED_VALUE"""),1.0)</f>
        <v>1</v>
      </c>
      <c r="R1569" s="4">
        <f>IFERROR(__xludf.DUMMYFUNCTION("""COMPUTED_VALUE"""),0.0)</f>
        <v>0</v>
      </c>
      <c r="S1569" s="4">
        <f>IFERROR(__xludf.DUMMYFUNCTION("""COMPUTED_VALUE"""),0.0)</f>
        <v>0</v>
      </c>
      <c r="T1569" s="4">
        <f>IFERROR(__xludf.DUMMYFUNCTION("""COMPUTED_VALUE"""),-0.032)</f>
        <v>-0.032</v>
      </c>
      <c r="U1569" s="4">
        <f>IFERROR(__xludf.DUMMYFUNCTION("""COMPUTED_VALUE"""),-0.5)</f>
        <v>-0.5</v>
      </c>
      <c r="V1569" s="4">
        <f>IFERROR(__xludf.DUMMYFUNCTION("""COMPUTED_VALUE"""),0.0)</f>
        <v>0</v>
      </c>
    </row>
    <row r="1570">
      <c r="A1570" s="4">
        <f>IFERROR(__xludf.DUMMYFUNCTION("""COMPUTED_VALUE"""),49.0)</f>
        <v>49</v>
      </c>
      <c r="B1570" s="4">
        <f>IFERROR(__xludf.DUMMYFUNCTION("""COMPUTED_VALUE"""),49.0)</f>
        <v>49</v>
      </c>
      <c r="C1570" s="4" t="str">
        <f>IFERROR(__xludf.DUMMYFUNCTION("""COMPUTED_VALUE"""),"SEA")</f>
        <v>SEA</v>
      </c>
      <c r="D1570" s="4" t="str">
        <f>IFERROR(__xludf.DUMMYFUNCTION("""COMPUTED_VALUE"""),"Peter Fehse")</f>
        <v>Peter Fehse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>
      <c r="A1571" s="4">
        <f>IFERROR(__xludf.DUMMYFUNCTION("""COMPUTED_VALUE"""),50.0)</f>
        <v>50</v>
      </c>
      <c r="B1571" s="4">
        <f>IFERROR(__xludf.DUMMYFUNCTION("""COMPUTED_VALUE"""),50.0)</f>
        <v>50</v>
      </c>
      <c r="C1571" s="4" t="str">
        <f>IFERROR(__xludf.DUMMYFUNCTION("""COMPUTED_VALUE"""),"BOS")</f>
        <v>BOS</v>
      </c>
      <c r="D1571" s="4" t="str">
        <f>IFERROR(__xludf.DUMMYFUNCTION("""COMPUTED_VALUE"""),"Darius Songaila")</f>
        <v>Darius Songaila</v>
      </c>
      <c r="E1571" s="4" t="str">
        <f>IFERROR(__xludf.DUMMYFUNCTION("""COMPUTED_VALUE"""),"Wake Forest")</f>
        <v>Wake Forest</v>
      </c>
      <c r="F1571" s="4">
        <f>IFERROR(__xludf.DUMMYFUNCTION("""COMPUTED_VALUE"""),8.0)</f>
        <v>8</v>
      </c>
      <c r="G1571" s="4">
        <f>IFERROR(__xludf.DUMMYFUNCTION("""COMPUTED_VALUE"""),495.0)</f>
        <v>495</v>
      </c>
      <c r="H1571" s="4">
        <f>IFERROR(__xludf.DUMMYFUNCTION("""COMPUTED_VALUE"""),9229.0)</f>
        <v>9229</v>
      </c>
      <c r="I1571" s="4">
        <f>IFERROR(__xludf.DUMMYFUNCTION("""COMPUTED_VALUE"""),3415.0)</f>
        <v>3415</v>
      </c>
      <c r="J1571" s="4">
        <f>IFERROR(__xludf.DUMMYFUNCTION("""COMPUTED_VALUE"""),1689.0)</f>
        <v>1689</v>
      </c>
      <c r="K1571" s="4">
        <f>IFERROR(__xludf.DUMMYFUNCTION("""COMPUTED_VALUE"""),589.0)</f>
        <v>589</v>
      </c>
      <c r="L1571" s="4">
        <f>IFERROR(__xludf.DUMMYFUNCTION("""COMPUTED_VALUE"""),0.499)</f>
        <v>0.499</v>
      </c>
      <c r="M1571" s="4">
        <f>IFERROR(__xludf.DUMMYFUNCTION("""COMPUTED_VALUE"""),0.158)</f>
        <v>0.158</v>
      </c>
      <c r="N1571" s="4">
        <f>IFERROR(__xludf.DUMMYFUNCTION("""COMPUTED_VALUE"""),0.844)</f>
        <v>0.844</v>
      </c>
      <c r="O1571" s="4">
        <f>IFERROR(__xludf.DUMMYFUNCTION("""COMPUTED_VALUE"""),18.6)</f>
        <v>18.6</v>
      </c>
      <c r="P1571" s="4">
        <f>IFERROR(__xludf.DUMMYFUNCTION("""COMPUTED_VALUE"""),6.9)</f>
        <v>6.9</v>
      </c>
      <c r="Q1571" s="4">
        <f>IFERROR(__xludf.DUMMYFUNCTION("""COMPUTED_VALUE"""),3.4)</f>
        <v>3.4</v>
      </c>
      <c r="R1571" s="4">
        <f>IFERROR(__xludf.DUMMYFUNCTION("""COMPUTED_VALUE"""),1.2)</f>
        <v>1.2</v>
      </c>
      <c r="S1571" s="4">
        <f>IFERROR(__xludf.DUMMYFUNCTION("""COMPUTED_VALUE"""),15.9)</f>
        <v>15.9</v>
      </c>
      <c r="T1571" s="4">
        <f>IFERROR(__xludf.DUMMYFUNCTION("""COMPUTED_VALUE"""),0.083)</f>
        <v>0.083</v>
      </c>
      <c r="U1571" s="4">
        <f>IFERROR(__xludf.DUMMYFUNCTION("""COMPUTED_VALUE"""),-2.1)</f>
        <v>-2.1</v>
      </c>
      <c r="V1571" s="4">
        <f>IFERROR(__xludf.DUMMYFUNCTION("""COMPUTED_VALUE"""),-0.2)</f>
        <v>-0.2</v>
      </c>
    </row>
    <row r="1572">
      <c r="A1572" s="4">
        <f>IFERROR(__xludf.DUMMYFUNCTION("""COMPUTED_VALUE"""),51.0)</f>
        <v>51</v>
      </c>
      <c r="B1572" s="4">
        <f>IFERROR(__xludf.DUMMYFUNCTION("""COMPUTED_VALUE"""),51.0)</f>
        <v>51</v>
      </c>
      <c r="C1572" s="4" t="str">
        <f>IFERROR(__xludf.DUMMYFUNCTION("""COMPUTED_VALUE"""),"POR")</f>
        <v>POR</v>
      </c>
      <c r="D1572" s="4" t="str">
        <f>IFERROR(__xludf.DUMMYFUNCTION("""COMPUTED_VALUE"""),"Federico Kammerichs")</f>
        <v>Federico Kammerichs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</row>
    <row r="1573">
      <c r="A1573" s="4">
        <f>IFERROR(__xludf.DUMMYFUNCTION("""COMPUTED_VALUE"""),52.0)</f>
        <v>52</v>
      </c>
      <c r="B1573" s="4">
        <f>IFERROR(__xludf.DUMMYFUNCTION("""COMPUTED_VALUE"""),52.0)</f>
        <v>52</v>
      </c>
      <c r="C1573" s="4" t="str">
        <f>IFERROR(__xludf.DUMMYFUNCTION("""COMPUTED_VALUE"""),"MIN")</f>
        <v>MIN</v>
      </c>
      <c r="D1573" s="4" t="str">
        <f>IFERROR(__xludf.DUMMYFUNCTION("""COMPUTED_VALUE"""),"Marcus Taylor")</f>
        <v>Marcus Taylor</v>
      </c>
      <c r="E1573" s="4" t="str">
        <f>IFERROR(__xludf.DUMMYFUNCTION("""COMPUTED_VALUE"""),"Michigan State")</f>
        <v>Michigan State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>
      <c r="A1574" s="4">
        <f>IFERROR(__xludf.DUMMYFUNCTION("""COMPUTED_VALUE"""),53.0)</f>
        <v>53</v>
      </c>
      <c r="B1574" s="4">
        <f>IFERROR(__xludf.DUMMYFUNCTION("""COMPUTED_VALUE"""),53.0)</f>
        <v>53</v>
      </c>
      <c r="C1574" s="4" t="str">
        <f>IFERROR(__xludf.DUMMYFUNCTION("""COMPUTED_VALUE"""),"MIA")</f>
        <v>MIA</v>
      </c>
      <c r="D1574" s="4" t="str">
        <f>IFERROR(__xludf.DUMMYFUNCTION("""COMPUTED_VALUE"""),"Rasual Butler")</f>
        <v>Rasual Butler</v>
      </c>
      <c r="E1574" s="4" t="str">
        <f>IFERROR(__xludf.DUMMYFUNCTION("""COMPUTED_VALUE"""),"La Salle")</f>
        <v>La Salle</v>
      </c>
      <c r="F1574" s="4">
        <f>IFERROR(__xludf.DUMMYFUNCTION("""COMPUTED_VALUE"""),13.0)</f>
        <v>13</v>
      </c>
      <c r="G1574" s="4">
        <f>IFERROR(__xludf.DUMMYFUNCTION("""COMPUTED_VALUE"""),809.0)</f>
        <v>809</v>
      </c>
      <c r="H1574" s="4">
        <f>IFERROR(__xludf.DUMMYFUNCTION("""COMPUTED_VALUE"""),17219.0)</f>
        <v>17219</v>
      </c>
      <c r="I1574" s="4">
        <f>IFERROR(__xludf.DUMMYFUNCTION("""COMPUTED_VALUE"""),6092.0)</f>
        <v>6092</v>
      </c>
      <c r="J1574" s="4">
        <f>IFERROR(__xludf.DUMMYFUNCTION("""COMPUTED_VALUE"""),1934.0)</f>
        <v>1934</v>
      </c>
      <c r="K1574" s="4">
        <f>IFERROR(__xludf.DUMMYFUNCTION("""COMPUTED_VALUE"""),658.0)</f>
        <v>658</v>
      </c>
      <c r="L1574" s="4">
        <f>IFERROR(__xludf.DUMMYFUNCTION("""COMPUTED_VALUE"""),0.403)</f>
        <v>0.403</v>
      </c>
      <c r="M1574" s="4">
        <f>IFERROR(__xludf.DUMMYFUNCTION("""COMPUTED_VALUE"""),0.362)</f>
        <v>0.362</v>
      </c>
      <c r="N1574" s="4">
        <f>IFERROR(__xludf.DUMMYFUNCTION("""COMPUTED_VALUE"""),0.747)</f>
        <v>0.747</v>
      </c>
      <c r="O1574" s="4">
        <f>IFERROR(__xludf.DUMMYFUNCTION("""COMPUTED_VALUE"""),21.3)</f>
        <v>21.3</v>
      </c>
      <c r="P1574" s="4">
        <f>IFERROR(__xludf.DUMMYFUNCTION("""COMPUTED_VALUE"""),7.5)</f>
        <v>7.5</v>
      </c>
      <c r="Q1574" s="4">
        <f>IFERROR(__xludf.DUMMYFUNCTION("""COMPUTED_VALUE"""),2.4)</f>
        <v>2.4</v>
      </c>
      <c r="R1574" s="4">
        <f>IFERROR(__xludf.DUMMYFUNCTION("""COMPUTED_VALUE"""),0.8)</f>
        <v>0.8</v>
      </c>
      <c r="S1574" s="4">
        <f>IFERROR(__xludf.DUMMYFUNCTION("""COMPUTED_VALUE"""),20.8)</f>
        <v>20.8</v>
      </c>
      <c r="T1574" s="4">
        <f>IFERROR(__xludf.DUMMYFUNCTION("""COMPUTED_VALUE"""),0.058)</f>
        <v>0.058</v>
      </c>
      <c r="U1574" s="4">
        <f>IFERROR(__xludf.DUMMYFUNCTION("""COMPUTED_VALUE"""),-1.4)</f>
        <v>-1.4</v>
      </c>
      <c r="V1574" s="4">
        <f>IFERROR(__xludf.DUMMYFUNCTION("""COMPUTED_VALUE"""),2.6)</f>
        <v>2.6</v>
      </c>
    </row>
    <row r="1575">
      <c r="A1575" s="4">
        <f>IFERROR(__xludf.DUMMYFUNCTION("""COMPUTED_VALUE"""),54.0)</f>
        <v>54</v>
      </c>
      <c r="B1575" s="4">
        <f>IFERROR(__xludf.DUMMYFUNCTION("""COMPUTED_VALUE"""),54.0)</f>
        <v>54</v>
      </c>
      <c r="C1575" s="4" t="str">
        <f>IFERROR(__xludf.DUMMYFUNCTION("""COMPUTED_VALUE"""),"NJN")</f>
        <v>NJN</v>
      </c>
      <c r="D1575" s="4" t="str">
        <f>IFERROR(__xludf.DUMMYFUNCTION("""COMPUTED_VALUE"""),"Tamar Slay")</f>
        <v>Tamar Slay</v>
      </c>
      <c r="E1575" s="4" t="str">
        <f>IFERROR(__xludf.DUMMYFUNCTION("""COMPUTED_VALUE"""),"Marshall")</f>
        <v>Marshall</v>
      </c>
      <c r="F1575" s="4">
        <f>IFERROR(__xludf.DUMMYFUNCTION("""COMPUTED_VALUE"""),3.0)</f>
        <v>3</v>
      </c>
      <c r="G1575" s="4">
        <f>IFERROR(__xludf.DUMMYFUNCTION("""COMPUTED_VALUE"""),66.0)</f>
        <v>66</v>
      </c>
      <c r="H1575" s="4">
        <f>IFERROR(__xludf.DUMMYFUNCTION("""COMPUTED_VALUE"""),517.0)</f>
        <v>517</v>
      </c>
      <c r="I1575" s="4">
        <f>IFERROR(__xludf.DUMMYFUNCTION("""COMPUTED_VALUE"""),173.0)</f>
        <v>173</v>
      </c>
      <c r="J1575" s="4">
        <f>IFERROR(__xludf.DUMMYFUNCTION("""COMPUTED_VALUE"""),70.0)</f>
        <v>70</v>
      </c>
      <c r="K1575" s="4">
        <f>IFERROR(__xludf.DUMMYFUNCTION("""COMPUTED_VALUE"""),31.0)</f>
        <v>31</v>
      </c>
      <c r="L1575" s="4">
        <f>IFERROR(__xludf.DUMMYFUNCTION("""COMPUTED_VALUE"""),0.361)</f>
        <v>0.361</v>
      </c>
      <c r="M1575" s="4">
        <f>IFERROR(__xludf.DUMMYFUNCTION("""COMPUTED_VALUE"""),0.265)</f>
        <v>0.265</v>
      </c>
      <c r="N1575" s="4">
        <f>IFERROR(__xludf.DUMMYFUNCTION("""COMPUTED_VALUE"""),0.538)</f>
        <v>0.538</v>
      </c>
      <c r="O1575" s="4">
        <f>IFERROR(__xludf.DUMMYFUNCTION("""COMPUTED_VALUE"""),7.8)</f>
        <v>7.8</v>
      </c>
      <c r="P1575" s="4">
        <f>IFERROR(__xludf.DUMMYFUNCTION("""COMPUTED_VALUE"""),2.6)</f>
        <v>2.6</v>
      </c>
      <c r="Q1575" s="4">
        <f>IFERROR(__xludf.DUMMYFUNCTION("""COMPUTED_VALUE"""),1.1)</f>
        <v>1.1</v>
      </c>
      <c r="R1575" s="4">
        <f>IFERROR(__xludf.DUMMYFUNCTION("""COMPUTED_VALUE"""),0.5)</f>
        <v>0.5</v>
      </c>
      <c r="S1575" s="4">
        <f>IFERROR(__xludf.DUMMYFUNCTION("""COMPUTED_VALUE"""),-0.3)</f>
        <v>-0.3</v>
      </c>
      <c r="T1575" s="4">
        <f>IFERROR(__xludf.DUMMYFUNCTION("""COMPUTED_VALUE"""),-0.029)</f>
        <v>-0.029</v>
      </c>
      <c r="U1575" s="4">
        <f>IFERROR(__xludf.DUMMYFUNCTION("""COMPUTED_VALUE"""),-5.7)</f>
        <v>-5.7</v>
      </c>
      <c r="V1575" s="4">
        <f>IFERROR(__xludf.DUMMYFUNCTION("""COMPUTED_VALUE"""),-0.5)</f>
        <v>-0.5</v>
      </c>
    </row>
    <row r="1576">
      <c r="A1576" s="4">
        <f>IFERROR(__xludf.DUMMYFUNCTION("""COMPUTED_VALUE"""),55.0)</f>
        <v>55</v>
      </c>
      <c r="B1576" s="4">
        <f>IFERROR(__xludf.DUMMYFUNCTION("""COMPUTED_VALUE"""),55.0)</f>
        <v>55</v>
      </c>
      <c r="C1576" s="4" t="str">
        <f>IFERROR(__xludf.DUMMYFUNCTION("""COMPUTED_VALUE"""),"DAL")</f>
        <v>DAL</v>
      </c>
      <c r="D1576" s="4" t="str">
        <f>IFERROR(__xludf.DUMMYFUNCTION("""COMPUTED_VALUE"""),"Mladen Sekularac")</f>
        <v>Mladen Sekularac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</row>
    <row r="1577">
      <c r="A1577" s="4">
        <f>IFERROR(__xludf.DUMMYFUNCTION("""COMPUTED_VALUE"""),56.0)</f>
        <v>56</v>
      </c>
      <c r="B1577" s="4">
        <f>IFERROR(__xludf.DUMMYFUNCTION("""COMPUTED_VALUE"""),56.0)</f>
        <v>56</v>
      </c>
      <c r="C1577" s="4" t="str">
        <f>IFERROR(__xludf.DUMMYFUNCTION("""COMPUTED_VALUE"""),"SAS")</f>
        <v>SAS</v>
      </c>
      <c r="D1577" s="4" t="str">
        <f>IFERROR(__xludf.DUMMYFUNCTION("""COMPUTED_VALUE"""),"Luis Scola")</f>
        <v>Luis Scola</v>
      </c>
      <c r="E1577" s="4"/>
      <c r="F1577" s="4">
        <f>IFERROR(__xludf.DUMMYFUNCTION("""COMPUTED_VALUE"""),10.0)</f>
        <v>10</v>
      </c>
      <c r="G1577" s="4">
        <f>IFERROR(__xludf.DUMMYFUNCTION("""COMPUTED_VALUE"""),743.0)</f>
        <v>743</v>
      </c>
      <c r="H1577" s="4">
        <f>IFERROR(__xludf.DUMMYFUNCTION("""COMPUTED_VALUE"""),19001.0)</f>
        <v>19001</v>
      </c>
      <c r="I1577" s="4">
        <f>IFERROR(__xludf.DUMMYFUNCTION("""COMPUTED_VALUE"""),8882.0)</f>
        <v>8882</v>
      </c>
      <c r="J1577" s="4">
        <f>IFERROR(__xludf.DUMMYFUNCTION("""COMPUTED_VALUE"""),4941.0)</f>
        <v>4941</v>
      </c>
      <c r="K1577" s="4">
        <f>IFERROR(__xludf.DUMMYFUNCTION("""COMPUTED_VALUE"""),1194.0)</f>
        <v>1194</v>
      </c>
      <c r="L1577" s="4">
        <f>IFERROR(__xludf.DUMMYFUNCTION("""COMPUTED_VALUE"""),0.493)</f>
        <v>0.493</v>
      </c>
      <c r="M1577" s="4">
        <f>IFERROR(__xludf.DUMMYFUNCTION("""COMPUTED_VALUE"""),0.339)</f>
        <v>0.339</v>
      </c>
      <c r="N1577" s="4">
        <f>IFERROR(__xludf.DUMMYFUNCTION("""COMPUTED_VALUE"""),0.74)</f>
        <v>0.74</v>
      </c>
      <c r="O1577" s="4">
        <f>IFERROR(__xludf.DUMMYFUNCTION("""COMPUTED_VALUE"""),25.6)</f>
        <v>25.6</v>
      </c>
      <c r="P1577" s="4">
        <f>IFERROR(__xludf.DUMMYFUNCTION("""COMPUTED_VALUE"""),12.0)</f>
        <v>12</v>
      </c>
      <c r="Q1577" s="4">
        <f>IFERROR(__xludf.DUMMYFUNCTION("""COMPUTED_VALUE"""),6.7)</f>
        <v>6.7</v>
      </c>
      <c r="R1577" s="4">
        <f>IFERROR(__xludf.DUMMYFUNCTION("""COMPUTED_VALUE"""),1.6)</f>
        <v>1.6</v>
      </c>
      <c r="S1577" s="4">
        <f>IFERROR(__xludf.DUMMYFUNCTION("""COMPUTED_VALUE"""),45.7)</f>
        <v>45.7</v>
      </c>
      <c r="T1577" s="4">
        <f>IFERROR(__xludf.DUMMYFUNCTION("""COMPUTED_VALUE"""),0.115)</f>
        <v>0.115</v>
      </c>
      <c r="U1577" s="4">
        <f>IFERROR(__xludf.DUMMYFUNCTION("""COMPUTED_VALUE"""),-0.7)</f>
        <v>-0.7</v>
      </c>
      <c r="V1577" s="4">
        <f>IFERROR(__xludf.DUMMYFUNCTION("""COMPUTED_VALUE"""),6.4)</f>
        <v>6.4</v>
      </c>
    </row>
    <row r="1578">
      <c r="A1578" s="4">
        <f>IFERROR(__xludf.DUMMYFUNCTION("""COMPUTED_VALUE"""),57.0)</f>
        <v>57</v>
      </c>
      <c r="B1578" s="4">
        <f>IFERROR(__xludf.DUMMYFUNCTION("""COMPUTED_VALUE"""),57.0)</f>
        <v>57</v>
      </c>
      <c r="C1578" s="4" t="str">
        <f>IFERROR(__xludf.DUMMYFUNCTION("""COMPUTED_VALUE"""),"SAS")</f>
        <v>SAS</v>
      </c>
      <c r="D1578" s="4" t="str">
        <f>IFERROR(__xludf.DUMMYFUNCTION("""COMPUTED_VALUE"""),"Randy Holcomb")</f>
        <v>Randy Holcomb</v>
      </c>
      <c r="E1578" s="4" t="str">
        <f>IFERROR(__xludf.DUMMYFUNCTION("""COMPUTED_VALUE"""),"San Diego State")</f>
        <v>San Diego State</v>
      </c>
      <c r="F1578" s="4">
        <f>IFERROR(__xludf.DUMMYFUNCTION("""COMPUTED_VALUE"""),1.0)</f>
        <v>1</v>
      </c>
      <c r="G1578" s="4">
        <f>IFERROR(__xludf.DUMMYFUNCTION("""COMPUTED_VALUE"""),4.0)</f>
        <v>4</v>
      </c>
      <c r="H1578" s="4">
        <f>IFERROR(__xludf.DUMMYFUNCTION("""COMPUTED_VALUE"""),11.0)</f>
        <v>11</v>
      </c>
      <c r="I1578" s="4">
        <f>IFERROR(__xludf.DUMMYFUNCTION("""COMPUTED_VALUE"""),2.0)</f>
        <v>2</v>
      </c>
      <c r="J1578" s="4">
        <f>IFERROR(__xludf.DUMMYFUNCTION("""COMPUTED_VALUE"""),1.0)</f>
        <v>1</v>
      </c>
      <c r="K1578" s="4">
        <f>IFERROR(__xludf.DUMMYFUNCTION("""COMPUTED_VALUE"""),0.0)</f>
        <v>0</v>
      </c>
      <c r="L1578" s="4">
        <f>IFERROR(__xludf.DUMMYFUNCTION("""COMPUTED_VALUE"""),1.0)</f>
        <v>1</v>
      </c>
      <c r="M1578" s="4"/>
      <c r="N1578" s="4"/>
      <c r="O1578" s="4">
        <f>IFERROR(__xludf.DUMMYFUNCTION("""COMPUTED_VALUE"""),2.8)</f>
        <v>2.8</v>
      </c>
      <c r="P1578" s="4">
        <f>IFERROR(__xludf.DUMMYFUNCTION("""COMPUTED_VALUE"""),0.5)</f>
        <v>0.5</v>
      </c>
      <c r="Q1578" s="4">
        <f>IFERROR(__xludf.DUMMYFUNCTION("""COMPUTED_VALUE"""),0.3)</f>
        <v>0.3</v>
      </c>
      <c r="R1578" s="4">
        <f>IFERROR(__xludf.DUMMYFUNCTION("""COMPUTED_VALUE"""),0.0)</f>
        <v>0</v>
      </c>
      <c r="S1578" s="4">
        <f>IFERROR(__xludf.DUMMYFUNCTION("""COMPUTED_VALUE"""),0.0)</f>
        <v>0</v>
      </c>
      <c r="T1578" s="4">
        <f>IFERROR(__xludf.DUMMYFUNCTION("""COMPUTED_VALUE"""),0.15)</f>
        <v>0.15</v>
      </c>
      <c r="U1578" s="4">
        <f>IFERROR(__xludf.DUMMYFUNCTION("""COMPUTED_VALUE"""),-1.7)</f>
        <v>-1.7</v>
      </c>
      <c r="V1578" s="4">
        <f>IFERROR(__xludf.DUMMYFUNCTION("""COMPUTED_VALUE"""),0.0)</f>
        <v>0</v>
      </c>
    </row>
    <row r="1579">
      <c r="A1579" s="4">
        <f>IFERROR(__xludf.DUMMYFUNCTION("""COMPUTED_VALUE"""),58.0)</f>
        <v>58</v>
      </c>
      <c r="B1579" s="4">
        <f>IFERROR(__xludf.DUMMYFUNCTION("""COMPUTED_VALUE"""),58.0)</f>
        <v>58</v>
      </c>
      <c r="C1579" s="4" t="str">
        <f>IFERROR(__xludf.DUMMYFUNCTION("""COMPUTED_VALUE"""),"SAC")</f>
        <v>SAC</v>
      </c>
      <c r="D1579" s="4" t="str">
        <f>IFERROR(__xludf.DUMMYFUNCTION("""COMPUTED_VALUE"""),"Corsley Edwards")</f>
        <v>Corsley Edwards</v>
      </c>
      <c r="E1579" s="4" t="str">
        <f>IFERROR(__xludf.DUMMYFUNCTION("""COMPUTED_VALUE"""),"Central Connecticut State University")</f>
        <v>Central Connecticut State University</v>
      </c>
      <c r="F1579" s="4">
        <f>IFERROR(__xludf.DUMMYFUNCTION("""COMPUTED_VALUE"""),1.0)</f>
        <v>1</v>
      </c>
      <c r="G1579" s="4">
        <f>IFERROR(__xludf.DUMMYFUNCTION("""COMPUTED_VALUE"""),10.0)</f>
        <v>10</v>
      </c>
      <c r="H1579" s="4">
        <f>IFERROR(__xludf.DUMMYFUNCTION("""COMPUTED_VALUE"""),110.0)</f>
        <v>110</v>
      </c>
      <c r="I1579" s="4">
        <f>IFERROR(__xludf.DUMMYFUNCTION("""COMPUTED_VALUE"""),27.0)</f>
        <v>27</v>
      </c>
      <c r="J1579" s="4">
        <f>IFERROR(__xludf.DUMMYFUNCTION("""COMPUTED_VALUE"""),25.0)</f>
        <v>25</v>
      </c>
      <c r="K1579" s="4">
        <f>IFERROR(__xludf.DUMMYFUNCTION("""COMPUTED_VALUE"""),3.0)</f>
        <v>3</v>
      </c>
      <c r="L1579" s="4">
        <f>IFERROR(__xludf.DUMMYFUNCTION("""COMPUTED_VALUE"""),0.323)</f>
        <v>0.323</v>
      </c>
      <c r="M1579" s="4"/>
      <c r="N1579" s="4">
        <f>IFERROR(__xludf.DUMMYFUNCTION("""COMPUTED_VALUE"""),0.583)</f>
        <v>0.583</v>
      </c>
      <c r="O1579" s="4">
        <f>IFERROR(__xludf.DUMMYFUNCTION("""COMPUTED_VALUE"""),11.0)</f>
        <v>11</v>
      </c>
      <c r="P1579" s="4">
        <f>IFERROR(__xludf.DUMMYFUNCTION("""COMPUTED_VALUE"""),2.7)</f>
        <v>2.7</v>
      </c>
      <c r="Q1579" s="4">
        <f>IFERROR(__xludf.DUMMYFUNCTION("""COMPUTED_VALUE"""),2.5)</f>
        <v>2.5</v>
      </c>
      <c r="R1579" s="4">
        <f>IFERROR(__xludf.DUMMYFUNCTION("""COMPUTED_VALUE"""),0.3)</f>
        <v>0.3</v>
      </c>
      <c r="S1579" s="4">
        <f>IFERROR(__xludf.DUMMYFUNCTION("""COMPUTED_VALUE"""),0.1)</f>
        <v>0.1</v>
      </c>
      <c r="T1579" s="4">
        <f>IFERROR(__xludf.DUMMYFUNCTION("""COMPUTED_VALUE"""),0.026)</f>
        <v>0.026</v>
      </c>
      <c r="U1579" s="4">
        <f>IFERROR(__xludf.DUMMYFUNCTION("""COMPUTED_VALUE"""),-6.2)</f>
        <v>-6.2</v>
      </c>
      <c r="V1579" s="4">
        <f>IFERROR(__xludf.DUMMYFUNCTION("""COMPUTED_VALUE"""),-0.1)</f>
        <v>-0.1</v>
      </c>
    </row>
    <row r="1581">
      <c r="A1581" s="2">
        <v>2001.0</v>
      </c>
    </row>
    <row r="1582">
      <c r="A1582" s="4" t="str">
        <f>IFERROR(__xludf.DUMMYFUNCTION("IMPORTHTML(""https://www.basketball-reference.com/draft/NBA_2001.html"", ""table"", 1)"),"")</f>
        <v/>
      </c>
      <c r="B1582" s="4"/>
      <c r="C1582" s="4"/>
      <c r="D1582" s="4" t="str">
        <f>IFERROR(__xludf.DUMMYFUNCTION("""COMPUTED_VALUE"""),"Round 1")</f>
        <v>Round 1</v>
      </c>
      <c r="E1582" s="4"/>
      <c r="F1582" s="4"/>
      <c r="G1582" s="4" t="str">
        <f>IFERROR(__xludf.DUMMYFUNCTION("""COMPUTED_VALUE"""),"Totals")</f>
        <v>Totals</v>
      </c>
      <c r="H1582" s="4"/>
      <c r="I1582" s="4"/>
      <c r="J1582" s="4"/>
      <c r="K1582" s="4"/>
      <c r="L1582" s="4" t="str">
        <f>IFERROR(__xludf.DUMMYFUNCTION("""COMPUTED_VALUE"""),"Shooting")</f>
        <v>Shooting</v>
      </c>
      <c r="M1582" s="4"/>
      <c r="N1582" s="4"/>
      <c r="O1582" s="4" t="str">
        <f>IFERROR(__xludf.DUMMYFUNCTION("""COMPUTED_VALUE"""),"Per Game")</f>
        <v>Per Game</v>
      </c>
      <c r="P1582" s="4"/>
      <c r="Q1582" s="4"/>
      <c r="R1582" s="4"/>
      <c r="S1582" s="4" t="str">
        <f>IFERROR(__xludf.DUMMYFUNCTION("""COMPUTED_VALUE"""),"Advanced")</f>
        <v>Advanced</v>
      </c>
      <c r="T1582" s="4"/>
      <c r="U1582" s="4"/>
      <c r="V1582" s="4"/>
    </row>
    <row r="1583">
      <c r="A1583" s="4" t="str">
        <f>IFERROR(__xludf.DUMMYFUNCTION("""COMPUTED_VALUE"""),"Rk")</f>
        <v>Rk</v>
      </c>
      <c r="B1583" s="4" t="str">
        <f>IFERROR(__xludf.DUMMYFUNCTION("""COMPUTED_VALUE"""),"Pk")</f>
        <v>Pk</v>
      </c>
      <c r="C1583" s="4" t="str">
        <f>IFERROR(__xludf.DUMMYFUNCTION("""COMPUTED_VALUE"""),"Tm")</f>
        <v>Tm</v>
      </c>
      <c r="D1583" s="4" t="str">
        <f>IFERROR(__xludf.DUMMYFUNCTION("""COMPUTED_VALUE"""),"Player")</f>
        <v>Player</v>
      </c>
      <c r="E1583" s="4" t="str">
        <f>IFERROR(__xludf.DUMMYFUNCTION("""COMPUTED_VALUE"""),"College")</f>
        <v>College</v>
      </c>
      <c r="F1583" s="4" t="str">
        <f>IFERROR(__xludf.DUMMYFUNCTION("""COMPUTED_VALUE"""),"Yrs")</f>
        <v>Yrs</v>
      </c>
      <c r="G1583" s="4" t="str">
        <f>IFERROR(__xludf.DUMMYFUNCTION("""COMPUTED_VALUE"""),"G")</f>
        <v>G</v>
      </c>
      <c r="H1583" s="4" t="str">
        <f>IFERROR(__xludf.DUMMYFUNCTION("""COMPUTED_VALUE"""),"MP")</f>
        <v>MP</v>
      </c>
      <c r="I1583" s="4" t="str">
        <f>IFERROR(__xludf.DUMMYFUNCTION("""COMPUTED_VALUE"""),"PTS")</f>
        <v>PTS</v>
      </c>
      <c r="J1583" s="4" t="str">
        <f>IFERROR(__xludf.DUMMYFUNCTION("""COMPUTED_VALUE"""),"TRB")</f>
        <v>TRB</v>
      </c>
      <c r="K1583" s="4" t="str">
        <f>IFERROR(__xludf.DUMMYFUNCTION("""COMPUTED_VALUE"""),"AST")</f>
        <v>AST</v>
      </c>
      <c r="L1583" s="4" t="str">
        <f>IFERROR(__xludf.DUMMYFUNCTION("""COMPUTED_VALUE"""),"FG%")</f>
        <v>FG%</v>
      </c>
      <c r="M1583" s="4" t="str">
        <f>IFERROR(__xludf.DUMMYFUNCTION("""COMPUTED_VALUE"""),"3P%")</f>
        <v>3P%</v>
      </c>
      <c r="N1583" s="4" t="str">
        <f>IFERROR(__xludf.DUMMYFUNCTION("""COMPUTED_VALUE"""),"FT%")</f>
        <v>FT%</v>
      </c>
      <c r="O1583" s="4" t="str">
        <f>IFERROR(__xludf.DUMMYFUNCTION("""COMPUTED_VALUE"""),"MP")</f>
        <v>MP</v>
      </c>
      <c r="P1583" s="4" t="str">
        <f>IFERROR(__xludf.DUMMYFUNCTION("""COMPUTED_VALUE"""),"PTS")</f>
        <v>PTS</v>
      </c>
      <c r="Q1583" s="4" t="str">
        <f>IFERROR(__xludf.DUMMYFUNCTION("""COMPUTED_VALUE"""),"TRB")</f>
        <v>TRB</v>
      </c>
      <c r="R1583" s="4" t="str">
        <f>IFERROR(__xludf.DUMMYFUNCTION("""COMPUTED_VALUE"""),"AST")</f>
        <v>AST</v>
      </c>
      <c r="S1583" s="4" t="str">
        <f>IFERROR(__xludf.DUMMYFUNCTION("""COMPUTED_VALUE"""),"WS")</f>
        <v>WS</v>
      </c>
      <c r="T1583" s="4" t="str">
        <f>IFERROR(__xludf.DUMMYFUNCTION("""COMPUTED_VALUE"""),"WS/48")</f>
        <v>WS/48</v>
      </c>
      <c r="U1583" s="4" t="str">
        <f>IFERROR(__xludf.DUMMYFUNCTION("""COMPUTED_VALUE"""),"BPM")</f>
        <v>BPM</v>
      </c>
      <c r="V1583" s="4" t="str">
        <f>IFERROR(__xludf.DUMMYFUNCTION("""COMPUTED_VALUE"""),"VORP")</f>
        <v>VORP</v>
      </c>
    </row>
    <row r="1584">
      <c r="A1584" s="4">
        <f>IFERROR(__xludf.DUMMYFUNCTION("""COMPUTED_VALUE"""),1.0)</f>
        <v>1</v>
      </c>
      <c r="B1584" s="4">
        <f>IFERROR(__xludf.DUMMYFUNCTION("""COMPUTED_VALUE"""),1.0)</f>
        <v>1</v>
      </c>
      <c r="C1584" s="4" t="str">
        <f>IFERROR(__xludf.DUMMYFUNCTION("""COMPUTED_VALUE"""),"WAS")</f>
        <v>WAS</v>
      </c>
      <c r="D1584" s="4" t="str">
        <f>IFERROR(__xludf.DUMMYFUNCTION("""COMPUTED_VALUE"""),"Kwame Brown")</f>
        <v>Kwame Brown</v>
      </c>
      <c r="E1584" s="4"/>
      <c r="F1584" s="4">
        <f>IFERROR(__xludf.DUMMYFUNCTION("""COMPUTED_VALUE"""),12.0)</f>
        <v>12</v>
      </c>
      <c r="G1584" s="4">
        <f>IFERROR(__xludf.DUMMYFUNCTION("""COMPUTED_VALUE"""),607.0)</f>
        <v>607</v>
      </c>
      <c r="H1584" s="4">
        <f>IFERROR(__xludf.DUMMYFUNCTION("""COMPUTED_VALUE"""),13389.0)</f>
        <v>13389</v>
      </c>
      <c r="I1584" s="4">
        <f>IFERROR(__xludf.DUMMYFUNCTION("""COMPUTED_VALUE"""),4035.0)</f>
        <v>4035</v>
      </c>
      <c r="J1584" s="4">
        <f>IFERROR(__xludf.DUMMYFUNCTION("""COMPUTED_VALUE"""),3333.0)</f>
        <v>3333</v>
      </c>
      <c r="K1584" s="4">
        <f>IFERROR(__xludf.DUMMYFUNCTION("""COMPUTED_VALUE"""),554.0)</f>
        <v>554</v>
      </c>
      <c r="L1584" s="4">
        <f>IFERROR(__xludf.DUMMYFUNCTION("""COMPUTED_VALUE"""),0.492)</f>
        <v>0.492</v>
      </c>
      <c r="M1584" s="4">
        <f>IFERROR(__xludf.DUMMYFUNCTION("""COMPUTED_VALUE"""),0.111)</f>
        <v>0.111</v>
      </c>
      <c r="N1584" s="4">
        <f>IFERROR(__xludf.DUMMYFUNCTION("""COMPUTED_VALUE"""),0.57)</f>
        <v>0.57</v>
      </c>
      <c r="O1584" s="4">
        <f>IFERROR(__xludf.DUMMYFUNCTION("""COMPUTED_VALUE"""),22.1)</f>
        <v>22.1</v>
      </c>
      <c r="P1584" s="4">
        <f>IFERROR(__xludf.DUMMYFUNCTION("""COMPUTED_VALUE"""),6.6)</f>
        <v>6.6</v>
      </c>
      <c r="Q1584" s="4">
        <f>IFERROR(__xludf.DUMMYFUNCTION("""COMPUTED_VALUE"""),5.5)</f>
        <v>5.5</v>
      </c>
      <c r="R1584" s="4">
        <f>IFERROR(__xludf.DUMMYFUNCTION("""COMPUTED_VALUE"""),0.9)</f>
        <v>0.9</v>
      </c>
      <c r="S1584" s="4">
        <f>IFERROR(__xludf.DUMMYFUNCTION("""COMPUTED_VALUE"""),20.8)</f>
        <v>20.8</v>
      </c>
      <c r="T1584" s="4">
        <f>IFERROR(__xludf.DUMMYFUNCTION("""COMPUTED_VALUE"""),0.074)</f>
        <v>0.074</v>
      </c>
      <c r="U1584" s="4">
        <f>IFERROR(__xludf.DUMMYFUNCTION("""COMPUTED_VALUE"""),-2.4)</f>
        <v>-2.4</v>
      </c>
      <c r="V1584" s="4">
        <f>IFERROR(__xludf.DUMMYFUNCTION("""COMPUTED_VALUE"""),-1.3)</f>
        <v>-1.3</v>
      </c>
    </row>
    <row r="1585">
      <c r="A1585" s="4">
        <f>IFERROR(__xludf.DUMMYFUNCTION("""COMPUTED_VALUE"""),2.0)</f>
        <v>2</v>
      </c>
      <c r="B1585" s="4">
        <f>IFERROR(__xludf.DUMMYFUNCTION("""COMPUTED_VALUE"""),2.0)</f>
        <v>2</v>
      </c>
      <c r="C1585" s="4" t="str">
        <f>IFERROR(__xludf.DUMMYFUNCTION("""COMPUTED_VALUE"""),"LAC")</f>
        <v>LAC</v>
      </c>
      <c r="D1585" s="4" t="str">
        <f>IFERROR(__xludf.DUMMYFUNCTION("""COMPUTED_VALUE"""),"Tyson Chandler")</f>
        <v>Tyson Chandler</v>
      </c>
      <c r="E1585" s="4"/>
      <c r="F1585" s="4">
        <f>IFERROR(__xludf.DUMMYFUNCTION("""COMPUTED_VALUE"""),19.0)</f>
        <v>19</v>
      </c>
      <c r="G1585" s="4">
        <f>IFERROR(__xludf.DUMMYFUNCTION("""COMPUTED_VALUE"""),1160.0)</f>
        <v>1160</v>
      </c>
      <c r="H1585" s="4">
        <f>IFERROR(__xludf.DUMMYFUNCTION("""COMPUTED_VALUE"""),31617.0)</f>
        <v>31617</v>
      </c>
      <c r="I1585" s="4">
        <f>IFERROR(__xludf.DUMMYFUNCTION("""COMPUTED_VALUE"""),9509.0)</f>
        <v>9509</v>
      </c>
      <c r="J1585" s="4">
        <f>IFERROR(__xludf.DUMMYFUNCTION("""COMPUTED_VALUE"""),10467.0)</f>
        <v>10467</v>
      </c>
      <c r="K1585" s="4">
        <f>IFERROR(__xludf.DUMMYFUNCTION("""COMPUTED_VALUE"""),967.0)</f>
        <v>967</v>
      </c>
      <c r="L1585" s="4">
        <f>IFERROR(__xludf.DUMMYFUNCTION("""COMPUTED_VALUE"""),0.597)</f>
        <v>0.597</v>
      </c>
      <c r="M1585" s="4">
        <f>IFERROR(__xludf.DUMMYFUNCTION("""COMPUTED_VALUE"""),0.0)</f>
        <v>0</v>
      </c>
      <c r="N1585" s="4">
        <f>IFERROR(__xludf.DUMMYFUNCTION("""COMPUTED_VALUE"""),0.644)</f>
        <v>0.644</v>
      </c>
      <c r="O1585" s="4">
        <f>IFERROR(__xludf.DUMMYFUNCTION("""COMPUTED_VALUE"""),27.3)</f>
        <v>27.3</v>
      </c>
      <c r="P1585" s="4">
        <f>IFERROR(__xludf.DUMMYFUNCTION("""COMPUTED_VALUE"""),8.2)</f>
        <v>8.2</v>
      </c>
      <c r="Q1585" s="4">
        <f>IFERROR(__xludf.DUMMYFUNCTION("""COMPUTED_VALUE"""),9.0)</f>
        <v>9</v>
      </c>
      <c r="R1585" s="4">
        <f>IFERROR(__xludf.DUMMYFUNCTION("""COMPUTED_VALUE"""),0.8)</f>
        <v>0.8</v>
      </c>
      <c r="S1585" s="4">
        <f>IFERROR(__xludf.DUMMYFUNCTION("""COMPUTED_VALUE"""),102.1)</f>
        <v>102.1</v>
      </c>
      <c r="T1585" s="4">
        <f>IFERROR(__xludf.DUMMYFUNCTION("""COMPUTED_VALUE"""),0.155)</f>
        <v>0.155</v>
      </c>
      <c r="U1585" s="4">
        <f>IFERROR(__xludf.DUMMYFUNCTION("""COMPUTED_VALUE"""),0.1)</f>
        <v>0.1</v>
      </c>
      <c r="V1585" s="4">
        <f>IFERROR(__xludf.DUMMYFUNCTION("""COMPUTED_VALUE"""),16.9)</f>
        <v>16.9</v>
      </c>
    </row>
    <row r="1586">
      <c r="A1586" s="4">
        <f>IFERROR(__xludf.DUMMYFUNCTION("""COMPUTED_VALUE"""),3.0)</f>
        <v>3</v>
      </c>
      <c r="B1586" s="4">
        <f>IFERROR(__xludf.DUMMYFUNCTION("""COMPUTED_VALUE"""),3.0)</f>
        <v>3</v>
      </c>
      <c r="C1586" s="4" t="str">
        <f>IFERROR(__xludf.DUMMYFUNCTION("""COMPUTED_VALUE"""),"ATL")</f>
        <v>ATL</v>
      </c>
      <c r="D1586" s="4" t="str">
        <f>IFERROR(__xludf.DUMMYFUNCTION("""COMPUTED_VALUE"""),"Pau Gasol")</f>
        <v>Pau Gasol</v>
      </c>
      <c r="E1586" s="4"/>
      <c r="F1586" s="4">
        <f>IFERROR(__xludf.DUMMYFUNCTION("""COMPUTED_VALUE"""),18.0)</f>
        <v>18</v>
      </c>
      <c r="G1586" s="4">
        <f>IFERROR(__xludf.DUMMYFUNCTION("""COMPUTED_VALUE"""),1226.0)</f>
        <v>1226</v>
      </c>
      <c r="H1586" s="4">
        <f>IFERROR(__xludf.DUMMYFUNCTION("""COMPUTED_VALUE"""),41001.0)</f>
        <v>41001</v>
      </c>
      <c r="I1586" s="4">
        <f>IFERROR(__xludf.DUMMYFUNCTION("""COMPUTED_VALUE"""),20894.0)</f>
        <v>20894</v>
      </c>
      <c r="J1586" s="4">
        <f>IFERROR(__xludf.DUMMYFUNCTION("""COMPUTED_VALUE"""),11305.0)</f>
        <v>11305</v>
      </c>
      <c r="K1586" s="4">
        <f>IFERROR(__xludf.DUMMYFUNCTION("""COMPUTED_VALUE"""),3925.0)</f>
        <v>3925</v>
      </c>
      <c r="L1586" s="4">
        <f>IFERROR(__xludf.DUMMYFUNCTION("""COMPUTED_VALUE"""),0.507)</f>
        <v>0.507</v>
      </c>
      <c r="M1586" s="4">
        <f>IFERROR(__xludf.DUMMYFUNCTION("""COMPUTED_VALUE"""),0.368)</f>
        <v>0.368</v>
      </c>
      <c r="N1586" s="4">
        <f>IFERROR(__xludf.DUMMYFUNCTION("""COMPUTED_VALUE"""),0.753)</f>
        <v>0.753</v>
      </c>
      <c r="O1586" s="4">
        <f>IFERROR(__xludf.DUMMYFUNCTION("""COMPUTED_VALUE"""),33.4)</f>
        <v>33.4</v>
      </c>
      <c r="P1586" s="4">
        <f>IFERROR(__xludf.DUMMYFUNCTION("""COMPUTED_VALUE"""),17.0)</f>
        <v>17</v>
      </c>
      <c r="Q1586" s="4">
        <f>IFERROR(__xludf.DUMMYFUNCTION("""COMPUTED_VALUE"""),9.2)</f>
        <v>9.2</v>
      </c>
      <c r="R1586" s="4">
        <f>IFERROR(__xludf.DUMMYFUNCTION("""COMPUTED_VALUE"""),3.2)</f>
        <v>3.2</v>
      </c>
      <c r="S1586" s="4">
        <f>IFERROR(__xludf.DUMMYFUNCTION("""COMPUTED_VALUE"""),144.1)</f>
        <v>144.1</v>
      </c>
      <c r="T1586" s="4">
        <f>IFERROR(__xludf.DUMMYFUNCTION("""COMPUTED_VALUE"""),0.169)</f>
        <v>0.169</v>
      </c>
      <c r="U1586" s="4">
        <f>IFERROR(__xludf.DUMMYFUNCTION("""COMPUTED_VALUE"""),3.6)</f>
        <v>3.6</v>
      </c>
      <c r="V1586" s="4">
        <f>IFERROR(__xludf.DUMMYFUNCTION("""COMPUTED_VALUE"""),57.5)</f>
        <v>57.5</v>
      </c>
    </row>
    <row r="1587">
      <c r="A1587" s="4">
        <f>IFERROR(__xludf.DUMMYFUNCTION("""COMPUTED_VALUE"""),4.0)</f>
        <v>4</v>
      </c>
      <c r="B1587" s="4">
        <f>IFERROR(__xludf.DUMMYFUNCTION("""COMPUTED_VALUE"""),4.0)</f>
        <v>4</v>
      </c>
      <c r="C1587" s="4" t="str">
        <f>IFERROR(__xludf.DUMMYFUNCTION("""COMPUTED_VALUE"""),"CHI")</f>
        <v>CHI</v>
      </c>
      <c r="D1587" s="4" t="str">
        <f>IFERROR(__xludf.DUMMYFUNCTION("""COMPUTED_VALUE"""),"Eddy Curry")</f>
        <v>Eddy Curry</v>
      </c>
      <c r="E1587" s="4"/>
      <c r="F1587" s="4">
        <f>IFERROR(__xludf.DUMMYFUNCTION("""COMPUTED_VALUE"""),11.0)</f>
        <v>11</v>
      </c>
      <c r="G1587" s="4">
        <f>IFERROR(__xludf.DUMMYFUNCTION("""COMPUTED_VALUE"""),527.0)</f>
        <v>527</v>
      </c>
      <c r="H1587" s="4">
        <f>IFERROR(__xludf.DUMMYFUNCTION("""COMPUTED_VALUE"""),13109.0)</f>
        <v>13109</v>
      </c>
      <c r="I1587" s="4">
        <f>IFERROR(__xludf.DUMMYFUNCTION("""COMPUTED_VALUE"""),6820.0)</f>
        <v>6820</v>
      </c>
      <c r="J1587" s="4">
        <f>IFERROR(__xludf.DUMMYFUNCTION("""COMPUTED_VALUE"""),2725.0)</f>
        <v>2725</v>
      </c>
      <c r="K1587" s="4">
        <f>IFERROR(__xludf.DUMMYFUNCTION("""COMPUTED_VALUE"""),287.0)</f>
        <v>287</v>
      </c>
      <c r="L1587" s="4">
        <f>IFERROR(__xludf.DUMMYFUNCTION("""COMPUTED_VALUE"""),0.545)</f>
        <v>0.545</v>
      </c>
      <c r="M1587" s="4">
        <f>IFERROR(__xludf.DUMMYFUNCTION("""COMPUTED_VALUE"""),1.0)</f>
        <v>1</v>
      </c>
      <c r="N1587" s="4">
        <f>IFERROR(__xludf.DUMMYFUNCTION("""COMPUTED_VALUE"""),0.642)</f>
        <v>0.642</v>
      </c>
      <c r="O1587" s="4">
        <f>IFERROR(__xludf.DUMMYFUNCTION("""COMPUTED_VALUE"""),24.9)</f>
        <v>24.9</v>
      </c>
      <c r="P1587" s="4">
        <f>IFERROR(__xludf.DUMMYFUNCTION("""COMPUTED_VALUE"""),12.9)</f>
        <v>12.9</v>
      </c>
      <c r="Q1587" s="4">
        <f>IFERROR(__xludf.DUMMYFUNCTION("""COMPUTED_VALUE"""),5.2)</f>
        <v>5.2</v>
      </c>
      <c r="R1587" s="4">
        <f>IFERROR(__xludf.DUMMYFUNCTION("""COMPUTED_VALUE"""),0.5)</f>
        <v>0.5</v>
      </c>
      <c r="S1587" s="4">
        <f>IFERROR(__xludf.DUMMYFUNCTION("""COMPUTED_VALUE"""),21.7)</f>
        <v>21.7</v>
      </c>
      <c r="T1587" s="4">
        <f>IFERROR(__xludf.DUMMYFUNCTION("""COMPUTED_VALUE"""),0.08)</f>
        <v>0.08</v>
      </c>
      <c r="U1587" s="4">
        <f>IFERROR(__xludf.DUMMYFUNCTION("""COMPUTED_VALUE"""),-2.4)</f>
        <v>-2.4</v>
      </c>
      <c r="V1587" s="4">
        <f>IFERROR(__xludf.DUMMYFUNCTION("""COMPUTED_VALUE"""),-1.3)</f>
        <v>-1.3</v>
      </c>
    </row>
    <row r="1588">
      <c r="A1588" s="4">
        <f>IFERROR(__xludf.DUMMYFUNCTION("""COMPUTED_VALUE"""),5.0)</f>
        <v>5</v>
      </c>
      <c r="B1588" s="4">
        <f>IFERROR(__xludf.DUMMYFUNCTION("""COMPUTED_VALUE"""),5.0)</f>
        <v>5</v>
      </c>
      <c r="C1588" s="4" t="str">
        <f>IFERROR(__xludf.DUMMYFUNCTION("""COMPUTED_VALUE"""),"GSW")</f>
        <v>GSW</v>
      </c>
      <c r="D1588" s="4" t="str">
        <f>IFERROR(__xludf.DUMMYFUNCTION("""COMPUTED_VALUE"""),"Jason Richardson")</f>
        <v>Jason Richardson</v>
      </c>
      <c r="E1588" s="4" t="str">
        <f>IFERROR(__xludf.DUMMYFUNCTION("""COMPUTED_VALUE"""),"Michigan State")</f>
        <v>Michigan State</v>
      </c>
      <c r="F1588" s="4">
        <f>IFERROR(__xludf.DUMMYFUNCTION("""COMPUTED_VALUE"""),13.0)</f>
        <v>13</v>
      </c>
      <c r="G1588" s="4">
        <f>IFERROR(__xludf.DUMMYFUNCTION("""COMPUTED_VALUE"""),857.0)</f>
        <v>857</v>
      </c>
      <c r="H1588" s="4">
        <f>IFERROR(__xludf.DUMMYFUNCTION("""COMPUTED_VALUE"""),29241.0)</f>
        <v>29241</v>
      </c>
      <c r="I1588" s="4">
        <f>IFERROR(__xludf.DUMMYFUNCTION("""COMPUTED_VALUE"""),14644.0)</f>
        <v>14644</v>
      </c>
      <c r="J1588" s="4">
        <f>IFERROR(__xludf.DUMMYFUNCTION("""COMPUTED_VALUE"""),4245.0)</f>
        <v>4245</v>
      </c>
      <c r="K1588" s="4">
        <f>IFERROR(__xludf.DUMMYFUNCTION("""COMPUTED_VALUE"""),2284.0)</f>
        <v>2284</v>
      </c>
      <c r="L1588" s="4">
        <f>IFERROR(__xludf.DUMMYFUNCTION("""COMPUTED_VALUE"""),0.438)</f>
        <v>0.438</v>
      </c>
      <c r="M1588" s="4">
        <f>IFERROR(__xludf.DUMMYFUNCTION("""COMPUTED_VALUE"""),0.37)</f>
        <v>0.37</v>
      </c>
      <c r="N1588" s="4">
        <f>IFERROR(__xludf.DUMMYFUNCTION("""COMPUTED_VALUE"""),0.707)</f>
        <v>0.707</v>
      </c>
      <c r="O1588" s="4">
        <f>IFERROR(__xludf.DUMMYFUNCTION("""COMPUTED_VALUE"""),34.1)</f>
        <v>34.1</v>
      </c>
      <c r="P1588" s="4">
        <f>IFERROR(__xludf.DUMMYFUNCTION("""COMPUTED_VALUE"""),17.1)</f>
        <v>17.1</v>
      </c>
      <c r="Q1588" s="4">
        <f>IFERROR(__xludf.DUMMYFUNCTION("""COMPUTED_VALUE"""),5.0)</f>
        <v>5</v>
      </c>
      <c r="R1588" s="4">
        <f>IFERROR(__xludf.DUMMYFUNCTION("""COMPUTED_VALUE"""),2.7)</f>
        <v>2.7</v>
      </c>
      <c r="S1588" s="4">
        <f>IFERROR(__xludf.DUMMYFUNCTION("""COMPUTED_VALUE"""),59.1)</f>
        <v>59.1</v>
      </c>
      <c r="T1588" s="4">
        <f>IFERROR(__xludf.DUMMYFUNCTION("""COMPUTED_VALUE"""),0.097)</f>
        <v>0.097</v>
      </c>
      <c r="U1588" s="4">
        <f>IFERROR(__xludf.DUMMYFUNCTION("""COMPUTED_VALUE"""),1.2)</f>
        <v>1.2</v>
      </c>
      <c r="V1588" s="4">
        <f>IFERROR(__xludf.DUMMYFUNCTION("""COMPUTED_VALUE"""),23.8)</f>
        <v>23.8</v>
      </c>
    </row>
    <row r="1589">
      <c r="A1589" s="4">
        <f>IFERROR(__xludf.DUMMYFUNCTION("""COMPUTED_VALUE"""),6.0)</f>
        <v>6</v>
      </c>
      <c r="B1589" s="4">
        <f>IFERROR(__xludf.DUMMYFUNCTION("""COMPUTED_VALUE"""),6.0)</f>
        <v>6</v>
      </c>
      <c r="C1589" s="4" t="str">
        <f>IFERROR(__xludf.DUMMYFUNCTION("""COMPUTED_VALUE"""),"MEM")</f>
        <v>MEM</v>
      </c>
      <c r="D1589" s="4" t="str">
        <f>IFERROR(__xludf.DUMMYFUNCTION("""COMPUTED_VALUE"""),"Shane Battier")</f>
        <v>Shane Battier</v>
      </c>
      <c r="E1589" s="4" t="str">
        <f>IFERROR(__xludf.DUMMYFUNCTION("""COMPUTED_VALUE"""),"Duke")</f>
        <v>Duke</v>
      </c>
      <c r="F1589" s="4">
        <f>IFERROR(__xludf.DUMMYFUNCTION("""COMPUTED_VALUE"""),13.0)</f>
        <v>13</v>
      </c>
      <c r="G1589" s="4">
        <f>IFERROR(__xludf.DUMMYFUNCTION("""COMPUTED_VALUE"""),977.0)</f>
        <v>977</v>
      </c>
      <c r="H1589" s="4">
        <f>IFERROR(__xludf.DUMMYFUNCTION("""COMPUTED_VALUE"""),30004.0)</f>
        <v>30004</v>
      </c>
      <c r="I1589" s="4">
        <f>IFERROR(__xludf.DUMMYFUNCTION("""COMPUTED_VALUE"""),8408.0)</f>
        <v>8408</v>
      </c>
      <c r="J1589" s="4">
        <f>IFERROR(__xludf.DUMMYFUNCTION("""COMPUTED_VALUE"""),4082.0)</f>
        <v>4082</v>
      </c>
      <c r="K1589" s="4">
        <f>IFERROR(__xludf.DUMMYFUNCTION("""COMPUTED_VALUE"""),1717.0)</f>
        <v>1717</v>
      </c>
      <c r="L1589" s="4">
        <f>IFERROR(__xludf.DUMMYFUNCTION("""COMPUTED_VALUE"""),0.437)</f>
        <v>0.437</v>
      </c>
      <c r="M1589" s="4">
        <f>IFERROR(__xludf.DUMMYFUNCTION("""COMPUTED_VALUE"""),0.384)</f>
        <v>0.384</v>
      </c>
      <c r="N1589" s="4">
        <f>IFERROR(__xludf.DUMMYFUNCTION("""COMPUTED_VALUE"""),0.743)</f>
        <v>0.743</v>
      </c>
      <c r="O1589" s="4">
        <f>IFERROR(__xludf.DUMMYFUNCTION("""COMPUTED_VALUE"""),30.7)</f>
        <v>30.7</v>
      </c>
      <c r="P1589" s="4">
        <f>IFERROR(__xludf.DUMMYFUNCTION("""COMPUTED_VALUE"""),8.6)</f>
        <v>8.6</v>
      </c>
      <c r="Q1589" s="4">
        <f>IFERROR(__xludf.DUMMYFUNCTION("""COMPUTED_VALUE"""),4.2)</f>
        <v>4.2</v>
      </c>
      <c r="R1589" s="4">
        <f>IFERROR(__xludf.DUMMYFUNCTION("""COMPUTED_VALUE"""),1.8)</f>
        <v>1.8</v>
      </c>
      <c r="S1589" s="4">
        <f>IFERROR(__xludf.DUMMYFUNCTION("""COMPUTED_VALUE"""),75.7)</f>
        <v>75.7</v>
      </c>
      <c r="T1589" s="4">
        <f>IFERROR(__xludf.DUMMYFUNCTION("""COMPUTED_VALUE"""),0.121)</f>
        <v>0.121</v>
      </c>
      <c r="U1589" s="4">
        <f>IFERROR(__xludf.DUMMYFUNCTION("""COMPUTED_VALUE"""),1.7)</f>
        <v>1.7</v>
      </c>
      <c r="V1589" s="4">
        <f>IFERROR(__xludf.DUMMYFUNCTION("""COMPUTED_VALUE"""),28.2)</f>
        <v>28.2</v>
      </c>
    </row>
    <row r="1590">
      <c r="A1590" s="4">
        <f>IFERROR(__xludf.DUMMYFUNCTION("""COMPUTED_VALUE"""),7.0)</f>
        <v>7</v>
      </c>
      <c r="B1590" s="4">
        <f>IFERROR(__xludf.DUMMYFUNCTION("""COMPUTED_VALUE"""),7.0)</f>
        <v>7</v>
      </c>
      <c r="C1590" s="4" t="str">
        <f>IFERROR(__xludf.DUMMYFUNCTION("""COMPUTED_VALUE"""),"NJN")</f>
        <v>NJN</v>
      </c>
      <c r="D1590" s="4" t="str">
        <f>IFERROR(__xludf.DUMMYFUNCTION("""COMPUTED_VALUE"""),"Eddie Griffin")</f>
        <v>Eddie Griffin</v>
      </c>
      <c r="E1590" s="4" t="str">
        <f>IFERROR(__xludf.DUMMYFUNCTION("""COMPUTED_VALUE"""),"Seton Hall")</f>
        <v>Seton Hall</v>
      </c>
      <c r="F1590" s="4">
        <f>IFERROR(__xludf.DUMMYFUNCTION("""COMPUTED_VALUE"""),5.0)</f>
        <v>5</v>
      </c>
      <c r="G1590" s="4">
        <f>IFERROR(__xludf.DUMMYFUNCTION("""COMPUTED_VALUE"""),303.0)</f>
        <v>303</v>
      </c>
      <c r="H1590" s="4">
        <f>IFERROR(__xludf.DUMMYFUNCTION("""COMPUTED_VALUE"""),6729.0)</f>
        <v>6729</v>
      </c>
      <c r="I1590" s="4">
        <f>IFERROR(__xludf.DUMMYFUNCTION("""COMPUTED_VALUE"""),2171.0)</f>
        <v>2171</v>
      </c>
      <c r="J1590" s="4">
        <f>IFERROR(__xludf.DUMMYFUNCTION("""COMPUTED_VALUE"""),1744.0)</f>
        <v>1744</v>
      </c>
      <c r="K1590" s="4">
        <f>IFERROR(__xludf.DUMMYFUNCTION("""COMPUTED_VALUE"""),236.0)</f>
        <v>236</v>
      </c>
      <c r="L1590" s="4">
        <f>IFERROR(__xludf.DUMMYFUNCTION("""COMPUTED_VALUE"""),0.377)</f>
        <v>0.377</v>
      </c>
      <c r="M1590" s="4">
        <f>IFERROR(__xludf.DUMMYFUNCTION("""COMPUTED_VALUE"""),0.315)</f>
        <v>0.315</v>
      </c>
      <c r="N1590" s="4">
        <f>IFERROR(__xludf.DUMMYFUNCTION("""COMPUTED_VALUE"""),0.671)</f>
        <v>0.671</v>
      </c>
      <c r="O1590" s="4">
        <f>IFERROR(__xludf.DUMMYFUNCTION("""COMPUTED_VALUE"""),22.2)</f>
        <v>22.2</v>
      </c>
      <c r="P1590" s="4">
        <f>IFERROR(__xludf.DUMMYFUNCTION("""COMPUTED_VALUE"""),7.2)</f>
        <v>7.2</v>
      </c>
      <c r="Q1590" s="4">
        <f>IFERROR(__xludf.DUMMYFUNCTION("""COMPUTED_VALUE"""),5.8)</f>
        <v>5.8</v>
      </c>
      <c r="R1590" s="4">
        <f>IFERROR(__xludf.DUMMYFUNCTION("""COMPUTED_VALUE"""),0.8)</f>
        <v>0.8</v>
      </c>
      <c r="S1590" s="4">
        <f>IFERROR(__xludf.DUMMYFUNCTION("""COMPUTED_VALUE"""),10.9)</f>
        <v>10.9</v>
      </c>
      <c r="T1590" s="4">
        <f>IFERROR(__xludf.DUMMYFUNCTION("""COMPUTED_VALUE"""),0.078)</f>
        <v>0.078</v>
      </c>
      <c r="U1590" s="4">
        <f>IFERROR(__xludf.DUMMYFUNCTION("""COMPUTED_VALUE"""),-0.4)</f>
        <v>-0.4</v>
      </c>
      <c r="V1590" s="4">
        <f>IFERROR(__xludf.DUMMYFUNCTION("""COMPUTED_VALUE"""),2.8)</f>
        <v>2.8</v>
      </c>
    </row>
    <row r="1591">
      <c r="A1591" s="4">
        <f>IFERROR(__xludf.DUMMYFUNCTION("""COMPUTED_VALUE"""),8.0)</f>
        <v>8</v>
      </c>
      <c r="B1591" s="4">
        <f>IFERROR(__xludf.DUMMYFUNCTION("""COMPUTED_VALUE"""),8.0)</f>
        <v>8</v>
      </c>
      <c r="C1591" s="4" t="str">
        <f>IFERROR(__xludf.DUMMYFUNCTION("""COMPUTED_VALUE"""),"CLE")</f>
        <v>CLE</v>
      </c>
      <c r="D1591" s="4" t="str">
        <f>IFERROR(__xludf.DUMMYFUNCTION("""COMPUTED_VALUE"""),"DeSagana Diop")</f>
        <v>DeSagana Diop</v>
      </c>
      <c r="E1591" s="4"/>
      <c r="F1591" s="4">
        <f>IFERROR(__xludf.DUMMYFUNCTION("""COMPUTED_VALUE"""),12.0)</f>
        <v>12</v>
      </c>
      <c r="G1591" s="4">
        <f>IFERROR(__xludf.DUMMYFUNCTION("""COMPUTED_VALUE"""),601.0)</f>
        <v>601</v>
      </c>
      <c r="H1591" s="4">
        <f>IFERROR(__xludf.DUMMYFUNCTION("""COMPUTED_VALUE"""),8403.0)</f>
        <v>8403</v>
      </c>
      <c r="I1591" s="4">
        <f>IFERROR(__xludf.DUMMYFUNCTION("""COMPUTED_VALUE"""),1185.0)</f>
        <v>1185</v>
      </c>
      <c r="J1591" s="4">
        <f>IFERROR(__xludf.DUMMYFUNCTION("""COMPUTED_VALUE"""),2219.0)</f>
        <v>2219</v>
      </c>
      <c r="K1591" s="4">
        <f>IFERROR(__xludf.DUMMYFUNCTION("""COMPUTED_VALUE"""),270.0)</f>
        <v>270</v>
      </c>
      <c r="L1591" s="4">
        <f>IFERROR(__xludf.DUMMYFUNCTION("""COMPUTED_VALUE"""),0.427)</f>
        <v>0.427</v>
      </c>
      <c r="M1591" s="4">
        <f>IFERROR(__xludf.DUMMYFUNCTION("""COMPUTED_VALUE"""),0.167)</f>
        <v>0.167</v>
      </c>
      <c r="N1591" s="4">
        <f>IFERROR(__xludf.DUMMYFUNCTION("""COMPUTED_VALUE"""),0.467)</f>
        <v>0.467</v>
      </c>
      <c r="O1591" s="4">
        <f>IFERROR(__xludf.DUMMYFUNCTION("""COMPUTED_VALUE"""),14.0)</f>
        <v>14</v>
      </c>
      <c r="P1591" s="4">
        <f>IFERROR(__xludf.DUMMYFUNCTION("""COMPUTED_VALUE"""),2.0)</f>
        <v>2</v>
      </c>
      <c r="Q1591" s="4">
        <f>IFERROR(__xludf.DUMMYFUNCTION("""COMPUTED_VALUE"""),3.7)</f>
        <v>3.7</v>
      </c>
      <c r="R1591" s="4">
        <f>IFERROR(__xludf.DUMMYFUNCTION("""COMPUTED_VALUE"""),0.4)</f>
        <v>0.4</v>
      </c>
      <c r="S1591" s="4">
        <f>IFERROR(__xludf.DUMMYFUNCTION("""COMPUTED_VALUE"""),12.8)</f>
        <v>12.8</v>
      </c>
      <c r="T1591" s="4">
        <f>IFERROR(__xludf.DUMMYFUNCTION("""COMPUTED_VALUE"""),0.073)</f>
        <v>0.073</v>
      </c>
      <c r="U1591" s="4">
        <f>IFERROR(__xludf.DUMMYFUNCTION("""COMPUTED_VALUE"""),-1.9)</f>
        <v>-1.9</v>
      </c>
      <c r="V1591" s="4">
        <f>IFERROR(__xludf.DUMMYFUNCTION("""COMPUTED_VALUE"""),0.2)</f>
        <v>0.2</v>
      </c>
    </row>
    <row r="1592">
      <c r="A1592" s="4">
        <f>IFERROR(__xludf.DUMMYFUNCTION("""COMPUTED_VALUE"""),9.0)</f>
        <v>9</v>
      </c>
      <c r="B1592" s="4">
        <f>IFERROR(__xludf.DUMMYFUNCTION("""COMPUTED_VALUE"""),9.0)</f>
        <v>9</v>
      </c>
      <c r="C1592" s="4" t="str">
        <f>IFERROR(__xludf.DUMMYFUNCTION("""COMPUTED_VALUE"""),"DET")</f>
        <v>DET</v>
      </c>
      <c r="D1592" s="4" t="str">
        <f>IFERROR(__xludf.DUMMYFUNCTION("""COMPUTED_VALUE"""),"Rodney White")</f>
        <v>Rodney White</v>
      </c>
      <c r="E1592" s="4" t="str">
        <f>IFERROR(__xludf.DUMMYFUNCTION("""COMPUTED_VALUE"""),"UNC Charlotte")</f>
        <v>UNC Charlotte</v>
      </c>
      <c r="F1592" s="4">
        <f>IFERROR(__xludf.DUMMYFUNCTION("""COMPUTED_VALUE"""),4.0)</f>
        <v>4</v>
      </c>
      <c r="G1592" s="4">
        <f>IFERROR(__xludf.DUMMYFUNCTION("""COMPUTED_VALUE"""),218.0)</f>
        <v>218</v>
      </c>
      <c r="H1592" s="4">
        <f>IFERROR(__xludf.DUMMYFUNCTION("""COMPUTED_VALUE"""),3354.0)</f>
        <v>3354</v>
      </c>
      <c r="I1592" s="4">
        <f>IFERROR(__xludf.DUMMYFUNCTION("""COMPUTED_VALUE"""),1540.0)</f>
        <v>1540</v>
      </c>
      <c r="J1592" s="4">
        <f>IFERROR(__xludf.DUMMYFUNCTION("""COMPUTED_VALUE"""),485.0)</f>
        <v>485</v>
      </c>
      <c r="K1592" s="4">
        <f>IFERROR(__xludf.DUMMYFUNCTION("""COMPUTED_VALUE"""),237.0)</f>
        <v>237</v>
      </c>
      <c r="L1592" s="4">
        <f>IFERROR(__xludf.DUMMYFUNCTION("""COMPUTED_VALUE"""),0.424)</f>
        <v>0.424</v>
      </c>
      <c r="M1592" s="4">
        <f>IFERROR(__xludf.DUMMYFUNCTION("""COMPUTED_VALUE"""),0.314)</f>
        <v>0.314</v>
      </c>
      <c r="N1592" s="4">
        <f>IFERROR(__xludf.DUMMYFUNCTION("""COMPUTED_VALUE"""),0.749)</f>
        <v>0.749</v>
      </c>
      <c r="O1592" s="4">
        <f>IFERROR(__xludf.DUMMYFUNCTION("""COMPUTED_VALUE"""),15.4)</f>
        <v>15.4</v>
      </c>
      <c r="P1592" s="4">
        <f>IFERROR(__xludf.DUMMYFUNCTION("""COMPUTED_VALUE"""),7.1)</f>
        <v>7.1</v>
      </c>
      <c r="Q1592" s="4">
        <f>IFERROR(__xludf.DUMMYFUNCTION("""COMPUTED_VALUE"""),2.2)</f>
        <v>2.2</v>
      </c>
      <c r="R1592" s="4">
        <f>IFERROR(__xludf.DUMMYFUNCTION("""COMPUTED_VALUE"""),1.1)</f>
        <v>1.1</v>
      </c>
      <c r="S1592" s="4">
        <f>IFERROR(__xludf.DUMMYFUNCTION("""COMPUTED_VALUE"""),1.8)</f>
        <v>1.8</v>
      </c>
      <c r="T1592" s="4">
        <f>IFERROR(__xludf.DUMMYFUNCTION("""COMPUTED_VALUE"""),0.026)</f>
        <v>0.026</v>
      </c>
      <c r="U1592" s="4">
        <f>IFERROR(__xludf.DUMMYFUNCTION("""COMPUTED_VALUE"""),-2.2)</f>
        <v>-2.2</v>
      </c>
      <c r="V1592" s="4">
        <f>IFERROR(__xludf.DUMMYFUNCTION("""COMPUTED_VALUE"""),-0.1)</f>
        <v>-0.1</v>
      </c>
    </row>
    <row r="1593">
      <c r="A1593" s="4">
        <f>IFERROR(__xludf.DUMMYFUNCTION("""COMPUTED_VALUE"""),10.0)</f>
        <v>10</v>
      </c>
      <c r="B1593" s="4">
        <f>IFERROR(__xludf.DUMMYFUNCTION("""COMPUTED_VALUE"""),10.0)</f>
        <v>10</v>
      </c>
      <c r="C1593" s="4" t="str">
        <f>IFERROR(__xludf.DUMMYFUNCTION("""COMPUTED_VALUE"""),"BOS")</f>
        <v>BOS</v>
      </c>
      <c r="D1593" s="4" t="str">
        <f>IFERROR(__xludf.DUMMYFUNCTION("""COMPUTED_VALUE"""),"Joe Johnson")</f>
        <v>Joe Johnson</v>
      </c>
      <c r="E1593" s="4" t="str">
        <f>IFERROR(__xludf.DUMMYFUNCTION("""COMPUTED_VALUE"""),"Arkansas")</f>
        <v>Arkansas</v>
      </c>
      <c r="F1593" s="4">
        <f>IFERROR(__xludf.DUMMYFUNCTION("""COMPUTED_VALUE"""),18.0)</f>
        <v>18</v>
      </c>
      <c r="G1593" s="4">
        <f>IFERROR(__xludf.DUMMYFUNCTION("""COMPUTED_VALUE"""),1277.0)</f>
        <v>1277</v>
      </c>
      <c r="H1593" s="4">
        <f>IFERROR(__xludf.DUMMYFUNCTION("""COMPUTED_VALUE"""),44236.0)</f>
        <v>44236</v>
      </c>
      <c r="I1593" s="4">
        <f>IFERROR(__xludf.DUMMYFUNCTION("""COMPUTED_VALUE"""),20407.0)</f>
        <v>20407</v>
      </c>
      <c r="J1593" s="4">
        <f>IFERROR(__xludf.DUMMYFUNCTION("""COMPUTED_VALUE"""),5059.0)</f>
        <v>5059</v>
      </c>
      <c r="K1593" s="4">
        <f>IFERROR(__xludf.DUMMYFUNCTION("""COMPUTED_VALUE"""),5001.0)</f>
        <v>5001</v>
      </c>
      <c r="L1593" s="4">
        <f>IFERROR(__xludf.DUMMYFUNCTION("""COMPUTED_VALUE"""),0.441)</f>
        <v>0.441</v>
      </c>
      <c r="M1593" s="4">
        <f>IFERROR(__xludf.DUMMYFUNCTION("""COMPUTED_VALUE"""),0.371)</f>
        <v>0.371</v>
      </c>
      <c r="N1593" s="4">
        <f>IFERROR(__xludf.DUMMYFUNCTION("""COMPUTED_VALUE"""),0.802)</f>
        <v>0.802</v>
      </c>
      <c r="O1593" s="4">
        <f>IFERROR(__xludf.DUMMYFUNCTION("""COMPUTED_VALUE"""),34.6)</f>
        <v>34.6</v>
      </c>
      <c r="P1593" s="4">
        <f>IFERROR(__xludf.DUMMYFUNCTION("""COMPUTED_VALUE"""),16.0)</f>
        <v>16</v>
      </c>
      <c r="Q1593" s="4">
        <f>IFERROR(__xludf.DUMMYFUNCTION("""COMPUTED_VALUE"""),4.0)</f>
        <v>4</v>
      </c>
      <c r="R1593" s="4">
        <f>IFERROR(__xludf.DUMMYFUNCTION("""COMPUTED_VALUE"""),3.9)</f>
        <v>3.9</v>
      </c>
      <c r="S1593" s="4">
        <f>IFERROR(__xludf.DUMMYFUNCTION("""COMPUTED_VALUE"""),82.9)</f>
        <v>82.9</v>
      </c>
      <c r="T1593" s="4">
        <f>IFERROR(__xludf.DUMMYFUNCTION("""COMPUTED_VALUE"""),0.09)</f>
        <v>0.09</v>
      </c>
      <c r="U1593" s="4">
        <f>IFERROR(__xludf.DUMMYFUNCTION("""COMPUTED_VALUE"""),0.4)</f>
        <v>0.4</v>
      </c>
      <c r="V1593" s="4">
        <f>IFERROR(__xludf.DUMMYFUNCTION("""COMPUTED_VALUE"""),26.5)</f>
        <v>26.5</v>
      </c>
    </row>
    <row r="1594">
      <c r="A1594" s="4">
        <f>IFERROR(__xludf.DUMMYFUNCTION("""COMPUTED_VALUE"""),11.0)</f>
        <v>11</v>
      </c>
      <c r="B1594" s="4">
        <f>IFERROR(__xludf.DUMMYFUNCTION("""COMPUTED_VALUE"""),11.0)</f>
        <v>11</v>
      </c>
      <c r="C1594" s="4" t="str">
        <f>IFERROR(__xludf.DUMMYFUNCTION("""COMPUTED_VALUE"""),"BOS")</f>
        <v>BOS</v>
      </c>
      <c r="D1594" s="4" t="str">
        <f>IFERROR(__xludf.DUMMYFUNCTION("""COMPUTED_VALUE"""),"Kedrick Brown")</f>
        <v>Kedrick Brown</v>
      </c>
      <c r="E1594" s="4" t="str">
        <f>IFERROR(__xludf.DUMMYFUNCTION("""COMPUTED_VALUE"""),"Okaloosa-Walton Community College")</f>
        <v>Okaloosa-Walton Community College</v>
      </c>
      <c r="F1594" s="4">
        <f>IFERROR(__xludf.DUMMYFUNCTION("""COMPUTED_VALUE"""),4.0)</f>
        <v>4</v>
      </c>
      <c r="G1594" s="4">
        <f>IFERROR(__xludf.DUMMYFUNCTION("""COMPUTED_VALUE"""),143.0)</f>
        <v>143</v>
      </c>
      <c r="H1594" s="4">
        <f>IFERROR(__xludf.DUMMYFUNCTION("""COMPUTED_VALUE"""),1935.0)</f>
        <v>1935</v>
      </c>
      <c r="I1594" s="4">
        <f>IFERROR(__xludf.DUMMYFUNCTION("""COMPUTED_VALUE"""),509.0)</f>
        <v>509</v>
      </c>
      <c r="J1594" s="4">
        <f>IFERROR(__xludf.DUMMYFUNCTION("""COMPUTED_VALUE"""),347.0)</f>
        <v>347</v>
      </c>
      <c r="K1594" s="4">
        <f>IFERROR(__xludf.DUMMYFUNCTION("""COMPUTED_VALUE"""),103.0)</f>
        <v>103</v>
      </c>
      <c r="L1594" s="4">
        <f>IFERROR(__xludf.DUMMYFUNCTION("""COMPUTED_VALUE"""),0.405)</f>
        <v>0.405</v>
      </c>
      <c r="M1594" s="4">
        <f>IFERROR(__xludf.DUMMYFUNCTION("""COMPUTED_VALUE"""),0.274)</f>
        <v>0.274</v>
      </c>
      <c r="N1594" s="4">
        <f>IFERROR(__xludf.DUMMYFUNCTION("""COMPUTED_VALUE"""),0.64)</f>
        <v>0.64</v>
      </c>
      <c r="O1594" s="4">
        <f>IFERROR(__xludf.DUMMYFUNCTION("""COMPUTED_VALUE"""),13.5)</f>
        <v>13.5</v>
      </c>
      <c r="P1594" s="4">
        <f>IFERROR(__xludf.DUMMYFUNCTION("""COMPUTED_VALUE"""),3.6)</f>
        <v>3.6</v>
      </c>
      <c r="Q1594" s="4">
        <f>IFERROR(__xludf.DUMMYFUNCTION("""COMPUTED_VALUE"""),2.4)</f>
        <v>2.4</v>
      </c>
      <c r="R1594" s="4">
        <f>IFERROR(__xludf.DUMMYFUNCTION("""COMPUTED_VALUE"""),0.7)</f>
        <v>0.7</v>
      </c>
      <c r="S1594" s="4">
        <f>IFERROR(__xludf.DUMMYFUNCTION("""COMPUTED_VALUE"""),3.0)</f>
        <v>3</v>
      </c>
      <c r="T1594" s="4">
        <f>IFERROR(__xludf.DUMMYFUNCTION("""COMPUTED_VALUE"""),0.074)</f>
        <v>0.074</v>
      </c>
      <c r="U1594" s="4">
        <f>IFERROR(__xludf.DUMMYFUNCTION("""COMPUTED_VALUE"""),-1.1)</f>
        <v>-1.1</v>
      </c>
      <c r="V1594" s="4">
        <f>IFERROR(__xludf.DUMMYFUNCTION("""COMPUTED_VALUE"""),0.4)</f>
        <v>0.4</v>
      </c>
    </row>
    <row r="1595">
      <c r="A1595" s="4">
        <f>IFERROR(__xludf.DUMMYFUNCTION("""COMPUTED_VALUE"""),12.0)</f>
        <v>12</v>
      </c>
      <c r="B1595" s="4">
        <f>IFERROR(__xludf.DUMMYFUNCTION("""COMPUTED_VALUE"""),12.0)</f>
        <v>12</v>
      </c>
      <c r="C1595" s="4" t="str">
        <f>IFERROR(__xludf.DUMMYFUNCTION("""COMPUTED_VALUE"""),"SEA")</f>
        <v>SEA</v>
      </c>
      <c r="D1595" s="4" t="str">
        <f>IFERROR(__xludf.DUMMYFUNCTION("""COMPUTED_VALUE"""),"Vladimir Radmanović")</f>
        <v>Vladimir Radmanović</v>
      </c>
      <c r="E1595" s="4"/>
      <c r="F1595" s="4">
        <f>IFERROR(__xludf.DUMMYFUNCTION("""COMPUTED_VALUE"""),12.0)</f>
        <v>12</v>
      </c>
      <c r="G1595" s="4">
        <f>IFERROR(__xludf.DUMMYFUNCTION("""COMPUTED_VALUE"""),737.0)</f>
        <v>737</v>
      </c>
      <c r="H1595" s="4">
        <f>IFERROR(__xludf.DUMMYFUNCTION("""COMPUTED_VALUE"""),16164.0)</f>
        <v>16164</v>
      </c>
      <c r="I1595" s="4">
        <f>IFERROR(__xludf.DUMMYFUNCTION("""COMPUTED_VALUE"""),5879.0)</f>
        <v>5879</v>
      </c>
      <c r="J1595" s="4">
        <f>IFERROR(__xludf.DUMMYFUNCTION("""COMPUTED_VALUE"""),2784.0)</f>
        <v>2784</v>
      </c>
      <c r="K1595" s="4">
        <f>IFERROR(__xludf.DUMMYFUNCTION("""COMPUTED_VALUE"""),998.0)</f>
        <v>998</v>
      </c>
      <c r="L1595" s="4">
        <f>IFERROR(__xludf.DUMMYFUNCTION("""COMPUTED_VALUE"""),0.415)</f>
        <v>0.415</v>
      </c>
      <c r="M1595" s="4">
        <f>IFERROR(__xludf.DUMMYFUNCTION("""COMPUTED_VALUE"""),0.378)</f>
        <v>0.378</v>
      </c>
      <c r="N1595" s="4">
        <f>IFERROR(__xludf.DUMMYFUNCTION("""COMPUTED_VALUE"""),0.758)</f>
        <v>0.758</v>
      </c>
      <c r="O1595" s="4">
        <f>IFERROR(__xludf.DUMMYFUNCTION("""COMPUTED_VALUE"""),21.9)</f>
        <v>21.9</v>
      </c>
      <c r="P1595" s="4">
        <f>IFERROR(__xludf.DUMMYFUNCTION("""COMPUTED_VALUE"""),8.0)</f>
        <v>8</v>
      </c>
      <c r="Q1595" s="4">
        <f>IFERROR(__xludf.DUMMYFUNCTION("""COMPUTED_VALUE"""),3.8)</f>
        <v>3.8</v>
      </c>
      <c r="R1595" s="4">
        <f>IFERROR(__xludf.DUMMYFUNCTION("""COMPUTED_VALUE"""),1.4)</f>
        <v>1.4</v>
      </c>
      <c r="S1595" s="4">
        <f>IFERROR(__xludf.DUMMYFUNCTION("""COMPUTED_VALUE"""),26.5)</f>
        <v>26.5</v>
      </c>
      <c r="T1595" s="4">
        <f>IFERROR(__xludf.DUMMYFUNCTION("""COMPUTED_VALUE"""),0.079)</f>
        <v>0.079</v>
      </c>
      <c r="U1595" s="4">
        <f>IFERROR(__xludf.DUMMYFUNCTION("""COMPUTED_VALUE"""),-0.1)</f>
        <v>-0.1</v>
      </c>
      <c r="V1595" s="4">
        <f>IFERROR(__xludf.DUMMYFUNCTION("""COMPUTED_VALUE"""),7.6)</f>
        <v>7.6</v>
      </c>
    </row>
    <row r="1596">
      <c r="A1596" s="4">
        <f>IFERROR(__xludf.DUMMYFUNCTION("""COMPUTED_VALUE"""),13.0)</f>
        <v>13</v>
      </c>
      <c r="B1596" s="4">
        <f>IFERROR(__xludf.DUMMYFUNCTION("""COMPUTED_VALUE"""),13.0)</f>
        <v>13</v>
      </c>
      <c r="C1596" s="4" t="str">
        <f>IFERROR(__xludf.DUMMYFUNCTION("""COMPUTED_VALUE"""),"HOU")</f>
        <v>HOU</v>
      </c>
      <c r="D1596" s="4" t="str">
        <f>IFERROR(__xludf.DUMMYFUNCTION("""COMPUTED_VALUE"""),"Richard Jefferson")</f>
        <v>Richard Jefferson</v>
      </c>
      <c r="E1596" s="4" t="str">
        <f>IFERROR(__xludf.DUMMYFUNCTION("""COMPUTED_VALUE"""),"Arizona")</f>
        <v>Arizona</v>
      </c>
      <c r="F1596" s="4">
        <f>IFERROR(__xludf.DUMMYFUNCTION("""COMPUTED_VALUE"""),17.0)</f>
        <v>17</v>
      </c>
      <c r="G1596" s="4">
        <f>IFERROR(__xludf.DUMMYFUNCTION("""COMPUTED_VALUE"""),1181.0)</f>
        <v>1181</v>
      </c>
      <c r="H1596" s="4">
        <f>IFERROR(__xludf.DUMMYFUNCTION("""COMPUTED_VALUE"""),34293.0)</f>
        <v>34293</v>
      </c>
      <c r="I1596" s="4">
        <f>IFERROR(__xludf.DUMMYFUNCTION("""COMPUTED_VALUE"""),14904.0)</f>
        <v>14904</v>
      </c>
      <c r="J1596" s="4">
        <f>IFERROR(__xludf.DUMMYFUNCTION("""COMPUTED_VALUE"""),4720.0)</f>
        <v>4720</v>
      </c>
      <c r="K1596" s="4">
        <f>IFERROR(__xludf.DUMMYFUNCTION("""COMPUTED_VALUE"""),2412.0)</f>
        <v>2412</v>
      </c>
      <c r="L1596" s="4">
        <f>IFERROR(__xludf.DUMMYFUNCTION("""COMPUTED_VALUE"""),0.464)</f>
        <v>0.464</v>
      </c>
      <c r="M1596" s="4">
        <f>IFERROR(__xludf.DUMMYFUNCTION("""COMPUTED_VALUE"""),0.376)</f>
        <v>0.376</v>
      </c>
      <c r="N1596" s="4">
        <f>IFERROR(__xludf.DUMMYFUNCTION("""COMPUTED_VALUE"""),0.768)</f>
        <v>0.768</v>
      </c>
      <c r="O1596" s="4">
        <f>IFERROR(__xludf.DUMMYFUNCTION("""COMPUTED_VALUE"""),29.0)</f>
        <v>29</v>
      </c>
      <c r="P1596" s="4">
        <f>IFERROR(__xludf.DUMMYFUNCTION("""COMPUTED_VALUE"""),12.6)</f>
        <v>12.6</v>
      </c>
      <c r="Q1596" s="4">
        <f>IFERROR(__xludf.DUMMYFUNCTION("""COMPUTED_VALUE"""),4.0)</f>
        <v>4</v>
      </c>
      <c r="R1596" s="4">
        <f>IFERROR(__xludf.DUMMYFUNCTION("""COMPUTED_VALUE"""),2.0)</f>
        <v>2</v>
      </c>
      <c r="S1596" s="4">
        <f>IFERROR(__xludf.DUMMYFUNCTION("""COMPUTED_VALUE"""),83.0)</f>
        <v>83</v>
      </c>
      <c r="T1596" s="4">
        <f>IFERROR(__xludf.DUMMYFUNCTION("""COMPUTED_VALUE"""),0.116)</f>
        <v>0.116</v>
      </c>
      <c r="U1596" s="4">
        <f>IFERROR(__xludf.DUMMYFUNCTION("""COMPUTED_VALUE"""),0.2)</f>
        <v>0.2</v>
      </c>
      <c r="V1596" s="4">
        <f>IFERROR(__xludf.DUMMYFUNCTION("""COMPUTED_VALUE"""),19.4)</f>
        <v>19.4</v>
      </c>
    </row>
    <row r="1597">
      <c r="A1597" s="4">
        <f>IFERROR(__xludf.DUMMYFUNCTION("""COMPUTED_VALUE"""),14.0)</f>
        <v>14</v>
      </c>
      <c r="B1597" s="4">
        <f>IFERROR(__xludf.DUMMYFUNCTION("""COMPUTED_VALUE"""),14.0)</f>
        <v>14</v>
      </c>
      <c r="C1597" s="4" t="str">
        <f>IFERROR(__xludf.DUMMYFUNCTION("""COMPUTED_VALUE"""),"GSW")</f>
        <v>GSW</v>
      </c>
      <c r="D1597" s="4" t="str">
        <f>IFERROR(__xludf.DUMMYFUNCTION("""COMPUTED_VALUE"""),"Troy Murphy")</f>
        <v>Troy Murphy</v>
      </c>
      <c r="E1597" s="4" t="str">
        <f>IFERROR(__xludf.DUMMYFUNCTION("""COMPUTED_VALUE"""),"Notre Dame")</f>
        <v>Notre Dame</v>
      </c>
      <c r="F1597" s="4">
        <f>IFERROR(__xludf.DUMMYFUNCTION("""COMPUTED_VALUE"""),12.0)</f>
        <v>12</v>
      </c>
      <c r="G1597" s="4">
        <f>IFERROR(__xludf.DUMMYFUNCTION("""COMPUTED_VALUE"""),729.0)</f>
        <v>729</v>
      </c>
      <c r="H1597" s="4">
        <f>IFERROR(__xludf.DUMMYFUNCTION("""COMPUTED_VALUE"""),19921.0)</f>
        <v>19921</v>
      </c>
      <c r="I1597" s="4">
        <f>IFERROR(__xludf.DUMMYFUNCTION("""COMPUTED_VALUE"""),7860.0)</f>
        <v>7860</v>
      </c>
      <c r="J1597" s="4">
        <f>IFERROR(__xludf.DUMMYFUNCTION("""COMPUTED_VALUE"""),5708.0)</f>
        <v>5708</v>
      </c>
      <c r="K1597" s="4">
        <f>IFERROR(__xludf.DUMMYFUNCTION("""COMPUTED_VALUE"""),1088.0)</f>
        <v>1088</v>
      </c>
      <c r="L1597" s="4">
        <f>IFERROR(__xludf.DUMMYFUNCTION("""COMPUTED_VALUE"""),0.445)</f>
        <v>0.445</v>
      </c>
      <c r="M1597" s="4">
        <f>IFERROR(__xludf.DUMMYFUNCTION("""COMPUTED_VALUE"""),0.388)</f>
        <v>0.388</v>
      </c>
      <c r="N1597" s="4">
        <f>IFERROR(__xludf.DUMMYFUNCTION("""COMPUTED_VALUE"""),0.785)</f>
        <v>0.785</v>
      </c>
      <c r="O1597" s="4">
        <f>IFERROR(__xludf.DUMMYFUNCTION("""COMPUTED_VALUE"""),27.3)</f>
        <v>27.3</v>
      </c>
      <c r="P1597" s="4">
        <f>IFERROR(__xludf.DUMMYFUNCTION("""COMPUTED_VALUE"""),10.8)</f>
        <v>10.8</v>
      </c>
      <c r="Q1597" s="4">
        <f>IFERROR(__xludf.DUMMYFUNCTION("""COMPUTED_VALUE"""),7.8)</f>
        <v>7.8</v>
      </c>
      <c r="R1597" s="4">
        <f>IFERROR(__xludf.DUMMYFUNCTION("""COMPUTED_VALUE"""),1.5)</f>
        <v>1.5</v>
      </c>
      <c r="S1597" s="4">
        <f>IFERROR(__xludf.DUMMYFUNCTION("""COMPUTED_VALUE"""),50.3)</f>
        <v>50.3</v>
      </c>
      <c r="T1597" s="4">
        <f>IFERROR(__xludf.DUMMYFUNCTION("""COMPUTED_VALUE"""),0.121)</f>
        <v>0.121</v>
      </c>
      <c r="U1597" s="4">
        <f>IFERROR(__xludf.DUMMYFUNCTION("""COMPUTED_VALUE"""),0.1)</f>
        <v>0.1</v>
      </c>
      <c r="V1597" s="4">
        <f>IFERROR(__xludf.DUMMYFUNCTION("""COMPUTED_VALUE"""),10.6)</f>
        <v>10.6</v>
      </c>
    </row>
    <row r="1598">
      <c r="A1598" s="4">
        <f>IFERROR(__xludf.DUMMYFUNCTION("""COMPUTED_VALUE"""),15.0)</f>
        <v>15</v>
      </c>
      <c r="B1598" s="4">
        <f>IFERROR(__xludf.DUMMYFUNCTION("""COMPUTED_VALUE"""),15.0)</f>
        <v>15</v>
      </c>
      <c r="C1598" s="4" t="str">
        <f>IFERROR(__xludf.DUMMYFUNCTION("""COMPUTED_VALUE"""),"ORL")</f>
        <v>ORL</v>
      </c>
      <c r="D1598" s="4" t="str">
        <f>IFERROR(__xludf.DUMMYFUNCTION("""COMPUTED_VALUE"""),"Steven Hunter")</f>
        <v>Steven Hunter</v>
      </c>
      <c r="E1598" s="4" t="str">
        <f>IFERROR(__xludf.DUMMYFUNCTION("""COMPUTED_VALUE"""),"DePaul")</f>
        <v>DePaul</v>
      </c>
      <c r="F1598" s="4">
        <f>IFERROR(__xludf.DUMMYFUNCTION("""COMPUTED_VALUE"""),8.0)</f>
        <v>8</v>
      </c>
      <c r="G1598" s="4">
        <f>IFERROR(__xludf.DUMMYFUNCTION("""COMPUTED_VALUE"""),400.0)</f>
        <v>400</v>
      </c>
      <c r="H1598" s="4">
        <f>IFERROR(__xludf.DUMMYFUNCTION("""COMPUTED_VALUE"""),5993.0)</f>
        <v>5993</v>
      </c>
      <c r="I1598" s="4">
        <f>IFERROR(__xludf.DUMMYFUNCTION("""COMPUTED_VALUE"""),1817.0)</f>
        <v>1817</v>
      </c>
      <c r="J1598" s="4">
        <f>IFERROR(__xludf.DUMMYFUNCTION("""COMPUTED_VALUE"""),1264.0)</f>
        <v>1264</v>
      </c>
      <c r="K1598" s="4">
        <f>IFERROR(__xludf.DUMMYFUNCTION("""COMPUTED_VALUE"""),79.0)</f>
        <v>79</v>
      </c>
      <c r="L1598" s="4">
        <f>IFERROR(__xludf.DUMMYFUNCTION("""COMPUTED_VALUE"""),0.56)</f>
        <v>0.56</v>
      </c>
      <c r="M1598" s="4">
        <f>IFERROR(__xludf.DUMMYFUNCTION("""COMPUTED_VALUE"""),0.0)</f>
        <v>0</v>
      </c>
      <c r="N1598" s="4">
        <f>IFERROR(__xludf.DUMMYFUNCTION("""COMPUTED_VALUE"""),0.485)</f>
        <v>0.485</v>
      </c>
      <c r="O1598" s="4">
        <f>IFERROR(__xludf.DUMMYFUNCTION("""COMPUTED_VALUE"""),15.0)</f>
        <v>15</v>
      </c>
      <c r="P1598" s="4">
        <f>IFERROR(__xludf.DUMMYFUNCTION("""COMPUTED_VALUE"""),4.5)</f>
        <v>4.5</v>
      </c>
      <c r="Q1598" s="4">
        <f>IFERROR(__xludf.DUMMYFUNCTION("""COMPUTED_VALUE"""),3.2)</f>
        <v>3.2</v>
      </c>
      <c r="R1598" s="4">
        <f>IFERROR(__xludf.DUMMYFUNCTION("""COMPUTED_VALUE"""),0.2)</f>
        <v>0.2</v>
      </c>
      <c r="S1598" s="4">
        <f>IFERROR(__xludf.DUMMYFUNCTION("""COMPUTED_VALUE"""),10.6)</f>
        <v>10.6</v>
      </c>
      <c r="T1598" s="4">
        <f>IFERROR(__xludf.DUMMYFUNCTION("""COMPUTED_VALUE"""),0.085)</f>
        <v>0.085</v>
      </c>
      <c r="U1598" s="4">
        <f>IFERROR(__xludf.DUMMYFUNCTION("""COMPUTED_VALUE"""),-2.3)</f>
        <v>-2.3</v>
      </c>
      <c r="V1598" s="4">
        <f>IFERROR(__xludf.DUMMYFUNCTION("""COMPUTED_VALUE"""),-0.5)</f>
        <v>-0.5</v>
      </c>
    </row>
    <row r="1599">
      <c r="A1599" s="4">
        <f>IFERROR(__xludf.DUMMYFUNCTION("""COMPUTED_VALUE"""),16.0)</f>
        <v>16</v>
      </c>
      <c r="B1599" s="4">
        <f>IFERROR(__xludf.DUMMYFUNCTION("""COMPUTED_VALUE"""),16.0)</f>
        <v>16</v>
      </c>
      <c r="C1599" s="4" t="str">
        <f>IFERROR(__xludf.DUMMYFUNCTION("""COMPUTED_VALUE"""),"CHH")</f>
        <v>CHH</v>
      </c>
      <c r="D1599" s="4" t="str">
        <f>IFERROR(__xludf.DUMMYFUNCTION("""COMPUTED_VALUE"""),"Kirk Haston")</f>
        <v>Kirk Haston</v>
      </c>
      <c r="E1599" s="4" t="str">
        <f>IFERROR(__xludf.DUMMYFUNCTION("""COMPUTED_VALUE"""),"Indiana")</f>
        <v>Indiana</v>
      </c>
      <c r="F1599" s="4">
        <f>IFERROR(__xludf.DUMMYFUNCTION("""COMPUTED_VALUE"""),2.0)</f>
        <v>2</v>
      </c>
      <c r="G1599" s="4">
        <f>IFERROR(__xludf.DUMMYFUNCTION("""COMPUTED_VALUE"""),27.0)</f>
        <v>27</v>
      </c>
      <c r="H1599" s="4">
        <f>IFERROR(__xludf.DUMMYFUNCTION("""COMPUTED_VALUE"""),134.0)</f>
        <v>134</v>
      </c>
      <c r="I1599" s="4">
        <f>IFERROR(__xludf.DUMMYFUNCTION("""COMPUTED_VALUE"""),32.0)</f>
        <v>32</v>
      </c>
      <c r="J1599" s="4">
        <f>IFERROR(__xludf.DUMMYFUNCTION("""COMPUTED_VALUE"""),27.0)</f>
        <v>27</v>
      </c>
      <c r="K1599" s="4">
        <f>IFERROR(__xludf.DUMMYFUNCTION("""COMPUTED_VALUE"""),8.0)</f>
        <v>8</v>
      </c>
      <c r="L1599" s="4">
        <f>IFERROR(__xludf.DUMMYFUNCTION("""COMPUTED_VALUE"""),0.232)</f>
        <v>0.232</v>
      </c>
      <c r="M1599" s="4">
        <f>IFERROR(__xludf.DUMMYFUNCTION("""COMPUTED_VALUE"""),0.0)</f>
        <v>0</v>
      </c>
      <c r="N1599" s="4">
        <f>IFERROR(__xludf.DUMMYFUNCTION("""COMPUTED_VALUE"""),0.5)</f>
        <v>0.5</v>
      </c>
      <c r="O1599" s="4">
        <f>IFERROR(__xludf.DUMMYFUNCTION("""COMPUTED_VALUE"""),5.0)</f>
        <v>5</v>
      </c>
      <c r="P1599" s="4">
        <f>IFERROR(__xludf.DUMMYFUNCTION("""COMPUTED_VALUE"""),1.2)</f>
        <v>1.2</v>
      </c>
      <c r="Q1599" s="4">
        <f>IFERROR(__xludf.DUMMYFUNCTION("""COMPUTED_VALUE"""),1.0)</f>
        <v>1</v>
      </c>
      <c r="R1599" s="4">
        <f>IFERROR(__xludf.DUMMYFUNCTION("""COMPUTED_VALUE"""),0.3)</f>
        <v>0.3</v>
      </c>
      <c r="S1599" s="4">
        <f>IFERROR(__xludf.DUMMYFUNCTION("""COMPUTED_VALUE"""),-0.5)</f>
        <v>-0.5</v>
      </c>
      <c r="T1599" s="4">
        <f>IFERROR(__xludf.DUMMYFUNCTION("""COMPUTED_VALUE"""),-0.197)</f>
        <v>-0.197</v>
      </c>
      <c r="U1599" s="4">
        <f>IFERROR(__xludf.DUMMYFUNCTION("""COMPUTED_VALUE"""),-13.3)</f>
        <v>-13.3</v>
      </c>
      <c r="V1599" s="4">
        <f>IFERROR(__xludf.DUMMYFUNCTION("""COMPUTED_VALUE"""),-0.4)</f>
        <v>-0.4</v>
      </c>
    </row>
    <row r="1600">
      <c r="A1600" s="4">
        <f>IFERROR(__xludf.DUMMYFUNCTION("""COMPUTED_VALUE"""),17.0)</f>
        <v>17</v>
      </c>
      <c r="B1600" s="4">
        <f>IFERROR(__xludf.DUMMYFUNCTION("""COMPUTED_VALUE"""),17.0)</f>
        <v>17</v>
      </c>
      <c r="C1600" s="4" t="str">
        <f>IFERROR(__xludf.DUMMYFUNCTION("""COMPUTED_VALUE"""),"TOR")</f>
        <v>TOR</v>
      </c>
      <c r="D1600" s="4" t="str">
        <f>IFERROR(__xludf.DUMMYFUNCTION("""COMPUTED_VALUE"""),"Michael Bradley")</f>
        <v>Michael Bradley</v>
      </c>
      <c r="E1600" s="4" t="str">
        <f>IFERROR(__xludf.DUMMYFUNCTION("""COMPUTED_VALUE"""),"Villanova")</f>
        <v>Villanova</v>
      </c>
      <c r="F1600" s="4">
        <f>IFERROR(__xludf.DUMMYFUNCTION("""COMPUTED_VALUE"""),5.0)</f>
        <v>5</v>
      </c>
      <c r="G1600" s="4">
        <f>IFERROR(__xludf.DUMMYFUNCTION("""COMPUTED_VALUE"""),173.0)</f>
        <v>173</v>
      </c>
      <c r="H1600" s="4">
        <f>IFERROR(__xludf.DUMMYFUNCTION("""COMPUTED_VALUE"""),2016.0)</f>
        <v>2016</v>
      </c>
      <c r="I1600" s="4">
        <f>IFERROR(__xludf.DUMMYFUNCTION("""COMPUTED_VALUE"""),483.0)</f>
        <v>483</v>
      </c>
      <c r="J1600" s="4">
        <f>IFERROR(__xludf.DUMMYFUNCTION("""COMPUTED_VALUE"""),591.0)</f>
        <v>591</v>
      </c>
      <c r="K1600" s="4">
        <f>IFERROR(__xludf.DUMMYFUNCTION("""COMPUTED_VALUE"""),93.0)</f>
        <v>93</v>
      </c>
      <c r="L1600" s="4">
        <f>IFERROR(__xludf.DUMMYFUNCTION("""COMPUTED_VALUE"""),0.477)</f>
        <v>0.477</v>
      </c>
      <c r="M1600" s="4">
        <f>IFERROR(__xludf.DUMMYFUNCTION("""COMPUTED_VALUE"""),0.143)</f>
        <v>0.143</v>
      </c>
      <c r="N1600" s="4">
        <f>IFERROR(__xludf.DUMMYFUNCTION("""COMPUTED_VALUE"""),0.511)</f>
        <v>0.511</v>
      </c>
      <c r="O1600" s="4">
        <f>IFERROR(__xludf.DUMMYFUNCTION("""COMPUTED_VALUE"""),11.7)</f>
        <v>11.7</v>
      </c>
      <c r="P1600" s="4">
        <f>IFERROR(__xludf.DUMMYFUNCTION("""COMPUTED_VALUE"""),2.8)</f>
        <v>2.8</v>
      </c>
      <c r="Q1600" s="4">
        <f>IFERROR(__xludf.DUMMYFUNCTION("""COMPUTED_VALUE"""),3.4)</f>
        <v>3.4</v>
      </c>
      <c r="R1600" s="4">
        <f>IFERROR(__xludf.DUMMYFUNCTION("""COMPUTED_VALUE"""),0.5)</f>
        <v>0.5</v>
      </c>
      <c r="S1600" s="4">
        <f>IFERROR(__xludf.DUMMYFUNCTION("""COMPUTED_VALUE"""),2.0)</f>
        <v>2</v>
      </c>
      <c r="T1600" s="4">
        <f>IFERROR(__xludf.DUMMYFUNCTION("""COMPUTED_VALUE"""),0.047)</f>
        <v>0.047</v>
      </c>
      <c r="U1600" s="4">
        <f>IFERROR(__xludf.DUMMYFUNCTION("""COMPUTED_VALUE"""),-4.0)</f>
        <v>-4</v>
      </c>
      <c r="V1600" s="4">
        <f>IFERROR(__xludf.DUMMYFUNCTION("""COMPUTED_VALUE"""),-1.0)</f>
        <v>-1</v>
      </c>
    </row>
    <row r="1601">
      <c r="A1601" s="4">
        <f>IFERROR(__xludf.DUMMYFUNCTION("""COMPUTED_VALUE"""),18.0)</f>
        <v>18</v>
      </c>
      <c r="B1601" s="4">
        <f>IFERROR(__xludf.DUMMYFUNCTION("""COMPUTED_VALUE"""),18.0)</f>
        <v>18</v>
      </c>
      <c r="C1601" s="4" t="str">
        <f>IFERROR(__xludf.DUMMYFUNCTION("""COMPUTED_VALUE"""),"HOU")</f>
        <v>HOU</v>
      </c>
      <c r="D1601" s="4" t="str">
        <f>IFERROR(__xludf.DUMMYFUNCTION("""COMPUTED_VALUE"""),"Jason Collins")</f>
        <v>Jason Collins</v>
      </c>
      <c r="E1601" s="4" t="str">
        <f>IFERROR(__xludf.DUMMYFUNCTION("""COMPUTED_VALUE"""),"Stanford")</f>
        <v>Stanford</v>
      </c>
      <c r="F1601" s="4">
        <f>IFERROR(__xludf.DUMMYFUNCTION("""COMPUTED_VALUE"""),13.0)</f>
        <v>13</v>
      </c>
      <c r="G1601" s="4">
        <f>IFERROR(__xludf.DUMMYFUNCTION("""COMPUTED_VALUE"""),735.0)</f>
        <v>735</v>
      </c>
      <c r="H1601" s="4">
        <f>IFERROR(__xludf.DUMMYFUNCTION("""COMPUTED_VALUE"""),14974.0)</f>
        <v>14974</v>
      </c>
      <c r="I1601" s="4">
        <f>IFERROR(__xludf.DUMMYFUNCTION("""COMPUTED_VALUE"""),2621.0)</f>
        <v>2621</v>
      </c>
      <c r="J1601" s="4">
        <f>IFERROR(__xludf.DUMMYFUNCTION("""COMPUTED_VALUE"""),2706.0)</f>
        <v>2706</v>
      </c>
      <c r="K1601" s="4">
        <f>IFERROR(__xludf.DUMMYFUNCTION("""COMPUTED_VALUE"""),626.0)</f>
        <v>626</v>
      </c>
      <c r="L1601" s="4">
        <f>IFERROR(__xludf.DUMMYFUNCTION("""COMPUTED_VALUE"""),0.411)</f>
        <v>0.411</v>
      </c>
      <c r="M1601" s="4">
        <f>IFERROR(__xludf.DUMMYFUNCTION("""COMPUTED_VALUE"""),0.206)</f>
        <v>0.206</v>
      </c>
      <c r="N1601" s="4">
        <f>IFERROR(__xludf.DUMMYFUNCTION("""COMPUTED_VALUE"""),0.647)</f>
        <v>0.647</v>
      </c>
      <c r="O1601" s="4">
        <f>IFERROR(__xludf.DUMMYFUNCTION("""COMPUTED_VALUE"""),20.4)</f>
        <v>20.4</v>
      </c>
      <c r="P1601" s="4">
        <f>IFERROR(__xludf.DUMMYFUNCTION("""COMPUTED_VALUE"""),3.6)</f>
        <v>3.6</v>
      </c>
      <c r="Q1601" s="4">
        <f>IFERROR(__xludf.DUMMYFUNCTION("""COMPUTED_VALUE"""),3.7)</f>
        <v>3.7</v>
      </c>
      <c r="R1601" s="4">
        <f>IFERROR(__xludf.DUMMYFUNCTION("""COMPUTED_VALUE"""),0.9)</f>
        <v>0.9</v>
      </c>
      <c r="S1601" s="4">
        <f>IFERROR(__xludf.DUMMYFUNCTION("""COMPUTED_VALUE"""),20.1)</f>
        <v>20.1</v>
      </c>
      <c r="T1601" s="4">
        <f>IFERROR(__xludf.DUMMYFUNCTION("""COMPUTED_VALUE"""),0.064)</f>
        <v>0.064</v>
      </c>
      <c r="U1601" s="4">
        <f>IFERROR(__xludf.DUMMYFUNCTION("""COMPUTED_VALUE"""),-3.7)</f>
        <v>-3.7</v>
      </c>
      <c r="V1601" s="4">
        <f>IFERROR(__xludf.DUMMYFUNCTION("""COMPUTED_VALUE"""),-6.5)</f>
        <v>-6.5</v>
      </c>
    </row>
    <row r="1602">
      <c r="A1602" s="4">
        <f>IFERROR(__xludf.DUMMYFUNCTION("""COMPUTED_VALUE"""),19.0)</f>
        <v>19</v>
      </c>
      <c r="B1602" s="4">
        <f>IFERROR(__xludf.DUMMYFUNCTION("""COMPUTED_VALUE"""),19.0)</f>
        <v>19</v>
      </c>
      <c r="C1602" s="4" t="str">
        <f>IFERROR(__xludf.DUMMYFUNCTION("""COMPUTED_VALUE"""),"POR")</f>
        <v>POR</v>
      </c>
      <c r="D1602" s="4" t="str">
        <f>IFERROR(__xludf.DUMMYFUNCTION("""COMPUTED_VALUE"""),"Zach Randolph")</f>
        <v>Zach Randolph</v>
      </c>
      <c r="E1602" s="4" t="str">
        <f>IFERROR(__xludf.DUMMYFUNCTION("""COMPUTED_VALUE"""),"Michigan State")</f>
        <v>Michigan State</v>
      </c>
      <c r="F1602" s="4">
        <f>IFERROR(__xludf.DUMMYFUNCTION("""COMPUTED_VALUE"""),17.0)</f>
        <v>17</v>
      </c>
      <c r="G1602" s="4">
        <f>IFERROR(__xludf.DUMMYFUNCTION("""COMPUTED_VALUE"""),1116.0)</f>
        <v>1116</v>
      </c>
      <c r="H1602" s="4">
        <f>IFERROR(__xludf.DUMMYFUNCTION("""COMPUTED_VALUE"""),34616.0)</f>
        <v>34616</v>
      </c>
      <c r="I1602" s="4">
        <f>IFERROR(__xludf.DUMMYFUNCTION("""COMPUTED_VALUE"""),18578.0)</f>
        <v>18578</v>
      </c>
      <c r="J1602" s="4">
        <f>IFERROR(__xludf.DUMMYFUNCTION("""COMPUTED_VALUE"""),10208.0)</f>
        <v>10208</v>
      </c>
      <c r="K1602" s="4">
        <f>IFERROR(__xludf.DUMMYFUNCTION("""COMPUTED_VALUE"""),2049.0)</f>
        <v>2049</v>
      </c>
      <c r="L1602" s="4">
        <f>IFERROR(__xludf.DUMMYFUNCTION("""COMPUTED_VALUE"""),0.471)</f>
        <v>0.471</v>
      </c>
      <c r="M1602" s="4">
        <f>IFERROR(__xludf.DUMMYFUNCTION("""COMPUTED_VALUE"""),0.273)</f>
        <v>0.273</v>
      </c>
      <c r="N1602" s="4">
        <f>IFERROR(__xludf.DUMMYFUNCTION("""COMPUTED_VALUE"""),0.764)</f>
        <v>0.764</v>
      </c>
      <c r="O1602" s="4">
        <f>IFERROR(__xludf.DUMMYFUNCTION("""COMPUTED_VALUE"""),31.0)</f>
        <v>31</v>
      </c>
      <c r="P1602" s="4">
        <f>IFERROR(__xludf.DUMMYFUNCTION("""COMPUTED_VALUE"""),16.6)</f>
        <v>16.6</v>
      </c>
      <c r="Q1602" s="4">
        <f>IFERROR(__xludf.DUMMYFUNCTION("""COMPUTED_VALUE"""),9.1)</f>
        <v>9.1</v>
      </c>
      <c r="R1602" s="4">
        <f>IFERROR(__xludf.DUMMYFUNCTION("""COMPUTED_VALUE"""),1.8)</f>
        <v>1.8</v>
      </c>
      <c r="S1602" s="4">
        <f>IFERROR(__xludf.DUMMYFUNCTION("""COMPUTED_VALUE"""),81.1)</f>
        <v>81.1</v>
      </c>
      <c r="T1602" s="4">
        <f>IFERROR(__xludf.DUMMYFUNCTION("""COMPUTED_VALUE"""),0.112)</f>
        <v>0.112</v>
      </c>
      <c r="U1602" s="4">
        <f>IFERROR(__xludf.DUMMYFUNCTION("""COMPUTED_VALUE"""),0.2)</f>
        <v>0.2</v>
      </c>
      <c r="V1602" s="4">
        <f>IFERROR(__xludf.DUMMYFUNCTION("""COMPUTED_VALUE"""),18.8)</f>
        <v>18.8</v>
      </c>
    </row>
    <row r="1603">
      <c r="A1603" s="4">
        <f>IFERROR(__xludf.DUMMYFUNCTION("""COMPUTED_VALUE"""),20.0)</f>
        <v>20</v>
      </c>
      <c r="B1603" s="4">
        <f>IFERROR(__xludf.DUMMYFUNCTION("""COMPUTED_VALUE"""),20.0)</f>
        <v>20</v>
      </c>
      <c r="C1603" s="4" t="str">
        <f>IFERROR(__xludf.DUMMYFUNCTION("""COMPUTED_VALUE"""),"CLE")</f>
        <v>CLE</v>
      </c>
      <c r="D1603" s="4" t="str">
        <f>IFERROR(__xludf.DUMMYFUNCTION("""COMPUTED_VALUE"""),"Brendan Haywood")</f>
        <v>Brendan Haywood</v>
      </c>
      <c r="E1603" s="4" t="str">
        <f>IFERROR(__xludf.DUMMYFUNCTION("""COMPUTED_VALUE"""),"UNC")</f>
        <v>UNC</v>
      </c>
      <c r="F1603" s="4">
        <f>IFERROR(__xludf.DUMMYFUNCTION("""COMPUTED_VALUE"""),13.0)</f>
        <v>13</v>
      </c>
      <c r="G1603" s="4">
        <f>IFERROR(__xludf.DUMMYFUNCTION("""COMPUTED_VALUE"""),816.0)</f>
        <v>816</v>
      </c>
      <c r="H1603" s="4">
        <f>IFERROR(__xludf.DUMMYFUNCTION("""COMPUTED_VALUE"""),18680.0)</f>
        <v>18680</v>
      </c>
      <c r="I1603" s="4">
        <f>IFERROR(__xludf.DUMMYFUNCTION("""COMPUTED_VALUE"""),5538.0)</f>
        <v>5538</v>
      </c>
      <c r="J1603" s="4">
        <f>IFERROR(__xludf.DUMMYFUNCTION("""COMPUTED_VALUE"""),4875.0)</f>
        <v>4875</v>
      </c>
      <c r="K1603" s="4">
        <f>IFERROR(__xludf.DUMMYFUNCTION("""COMPUTED_VALUE"""),442.0)</f>
        <v>442</v>
      </c>
      <c r="L1603" s="4">
        <f>IFERROR(__xludf.DUMMYFUNCTION("""COMPUTED_VALUE"""),0.528)</f>
        <v>0.528</v>
      </c>
      <c r="M1603" s="4">
        <f>IFERROR(__xludf.DUMMYFUNCTION("""COMPUTED_VALUE"""),0.0)</f>
        <v>0</v>
      </c>
      <c r="N1603" s="4">
        <f>IFERROR(__xludf.DUMMYFUNCTION("""COMPUTED_VALUE"""),0.587)</f>
        <v>0.587</v>
      </c>
      <c r="O1603" s="4">
        <f>IFERROR(__xludf.DUMMYFUNCTION("""COMPUTED_VALUE"""),22.9)</f>
        <v>22.9</v>
      </c>
      <c r="P1603" s="4">
        <f>IFERROR(__xludf.DUMMYFUNCTION("""COMPUTED_VALUE"""),6.8)</f>
        <v>6.8</v>
      </c>
      <c r="Q1603" s="4">
        <f>IFERROR(__xludf.DUMMYFUNCTION("""COMPUTED_VALUE"""),6.0)</f>
        <v>6</v>
      </c>
      <c r="R1603" s="4">
        <f>IFERROR(__xludf.DUMMYFUNCTION("""COMPUTED_VALUE"""),0.5)</f>
        <v>0.5</v>
      </c>
      <c r="S1603" s="4">
        <f>IFERROR(__xludf.DUMMYFUNCTION("""COMPUTED_VALUE"""),43.8)</f>
        <v>43.8</v>
      </c>
      <c r="T1603" s="4">
        <f>IFERROR(__xludf.DUMMYFUNCTION("""COMPUTED_VALUE"""),0.113)</f>
        <v>0.113</v>
      </c>
      <c r="U1603" s="4">
        <f>IFERROR(__xludf.DUMMYFUNCTION("""COMPUTED_VALUE"""),-1.4)</f>
        <v>-1.4</v>
      </c>
      <c r="V1603" s="4">
        <f>IFERROR(__xludf.DUMMYFUNCTION("""COMPUTED_VALUE"""),2.9)</f>
        <v>2.9</v>
      </c>
    </row>
    <row r="1604">
      <c r="A1604" s="4">
        <f>IFERROR(__xludf.DUMMYFUNCTION("""COMPUTED_VALUE"""),21.0)</f>
        <v>21</v>
      </c>
      <c r="B1604" s="4">
        <f>IFERROR(__xludf.DUMMYFUNCTION("""COMPUTED_VALUE"""),21.0)</f>
        <v>21</v>
      </c>
      <c r="C1604" s="4" t="str">
        <f>IFERROR(__xludf.DUMMYFUNCTION("""COMPUTED_VALUE"""),"BOS")</f>
        <v>BOS</v>
      </c>
      <c r="D1604" s="4" t="str">
        <f>IFERROR(__xludf.DUMMYFUNCTION("""COMPUTED_VALUE"""),"Joseph Forte")</f>
        <v>Joseph Forte</v>
      </c>
      <c r="E1604" s="4" t="str">
        <f>IFERROR(__xludf.DUMMYFUNCTION("""COMPUTED_VALUE"""),"UNC")</f>
        <v>UNC</v>
      </c>
      <c r="F1604" s="4">
        <f>IFERROR(__xludf.DUMMYFUNCTION("""COMPUTED_VALUE"""),2.0)</f>
        <v>2</v>
      </c>
      <c r="G1604" s="4">
        <f>IFERROR(__xludf.DUMMYFUNCTION("""COMPUTED_VALUE"""),25.0)</f>
        <v>25</v>
      </c>
      <c r="H1604" s="4">
        <f>IFERROR(__xludf.DUMMYFUNCTION("""COMPUTED_VALUE"""),125.0)</f>
        <v>125</v>
      </c>
      <c r="I1604" s="4">
        <f>IFERROR(__xludf.DUMMYFUNCTION("""COMPUTED_VALUE"""),30.0)</f>
        <v>30</v>
      </c>
      <c r="J1604" s="4">
        <f>IFERROR(__xludf.DUMMYFUNCTION("""COMPUTED_VALUE"""),17.0)</f>
        <v>17</v>
      </c>
      <c r="K1604" s="4">
        <f>IFERROR(__xludf.DUMMYFUNCTION("""COMPUTED_VALUE"""),17.0)</f>
        <v>17</v>
      </c>
      <c r="L1604" s="4">
        <f>IFERROR(__xludf.DUMMYFUNCTION("""COMPUTED_VALUE"""),0.234)</f>
        <v>0.234</v>
      </c>
      <c r="M1604" s="4">
        <f>IFERROR(__xludf.DUMMYFUNCTION("""COMPUTED_VALUE"""),0.0)</f>
        <v>0</v>
      </c>
      <c r="N1604" s="4">
        <f>IFERROR(__xludf.DUMMYFUNCTION("""COMPUTED_VALUE"""),0.8)</f>
        <v>0.8</v>
      </c>
      <c r="O1604" s="4">
        <f>IFERROR(__xludf.DUMMYFUNCTION("""COMPUTED_VALUE"""),5.0)</f>
        <v>5</v>
      </c>
      <c r="P1604" s="4">
        <f>IFERROR(__xludf.DUMMYFUNCTION("""COMPUTED_VALUE"""),1.2)</f>
        <v>1.2</v>
      </c>
      <c r="Q1604" s="4">
        <f>IFERROR(__xludf.DUMMYFUNCTION("""COMPUTED_VALUE"""),0.7)</f>
        <v>0.7</v>
      </c>
      <c r="R1604" s="4">
        <f>IFERROR(__xludf.DUMMYFUNCTION("""COMPUTED_VALUE"""),0.7)</f>
        <v>0.7</v>
      </c>
      <c r="S1604" s="4">
        <f>IFERROR(__xludf.DUMMYFUNCTION("""COMPUTED_VALUE"""),-0.4)</f>
        <v>-0.4</v>
      </c>
      <c r="T1604" s="4">
        <f>IFERROR(__xludf.DUMMYFUNCTION("""COMPUTED_VALUE"""),-0.166)</f>
        <v>-0.166</v>
      </c>
      <c r="U1604" s="4">
        <f>IFERROR(__xludf.DUMMYFUNCTION("""COMPUTED_VALUE"""),-8.6)</f>
        <v>-8.6</v>
      </c>
      <c r="V1604" s="4">
        <f>IFERROR(__xludf.DUMMYFUNCTION("""COMPUTED_VALUE"""),-0.2)</f>
        <v>-0.2</v>
      </c>
    </row>
    <row r="1605">
      <c r="A1605" s="4">
        <f>IFERROR(__xludf.DUMMYFUNCTION("""COMPUTED_VALUE"""),22.0)</f>
        <v>22</v>
      </c>
      <c r="B1605" s="4">
        <f>IFERROR(__xludf.DUMMYFUNCTION("""COMPUTED_VALUE"""),22.0)</f>
        <v>22</v>
      </c>
      <c r="C1605" s="4" t="str">
        <f>IFERROR(__xludf.DUMMYFUNCTION("""COMPUTED_VALUE"""),"ORL")</f>
        <v>ORL</v>
      </c>
      <c r="D1605" s="4" t="str">
        <f>IFERROR(__xludf.DUMMYFUNCTION("""COMPUTED_VALUE"""),"Jeryl Sasser")</f>
        <v>Jeryl Sasser</v>
      </c>
      <c r="E1605" s="4" t="str">
        <f>IFERROR(__xludf.DUMMYFUNCTION("""COMPUTED_VALUE"""),"SMU")</f>
        <v>SMU</v>
      </c>
      <c r="F1605" s="4">
        <f>IFERROR(__xludf.DUMMYFUNCTION("""COMPUTED_VALUE"""),2.0)</f>
        <v>2</v>
      </c>
      <c r="G1605" s="4">
        <f>IFERROR(__xludf.DUMMYFUNCTION("""COMPUTED_VALUE"""),82.0)</f>
        <v>82</v>
      </c>
      <c r="H1605" s="4">
        <f>IFERROR(__xludf.DUMMYFUNCTION("""COMPUTED_VALUE"""),1061.0)</f>
        <v>1061</v>
      </c>
      <c r="I1605" s="4">
        <f>IFERROR(__xludf.DUMMYFUNCTION("""COMPUTED_VALUE"""),204.0)</f>
        <v>204</v>
      </c>
      <c r="J1605" s="4">
        <f>IFERROR(__xludf.DUMMYFUNCTION("""COMPUTED_VALUE"""),191.0)</f>
        <v>191</v>
      </c>
      <c r="K1605" s="4">
        <f>IFERROR(__xludf.DUMMYFUNCTION("""COMPUTED_VALUE"""),67.0)</f>
        <v>67</v>
      </c>
      <c r="L1605" s="4">
        <f>IFERROR(__xludf.DUMMYFUNCTION("""COMPUTED_VALUE"""),0.303)</f>
        <v>0.303</v>
      </c>
      <c r="M1605" s="4">
        <f>IFERROR(__xludf.DUMMYFUNCTION("""COMPUTED_VALUE"""),0.295)</f>
        <v>0.295</v>
      </c>
      <c r="N1605" s="4">
        <f>IFERROR(__xludf.DUMMYFUNCTION("""COMPUTED_VALUE"""),0.687)</f>
        <v>0.687</v>
      </c>
      <c r="O1605" s="4">
        <f>IFERROR(__xludf.DUMMYFUNCTION("""COMPUTED_VALUE"""),12.9)</f>
        <v>12.9</v>
      </c>
      <c r="P1605" s="4">
        <f>IFERROR(__xludf.DUMMYFUNCTION("""COMPUTED_VALUE"""),2.5)</f>
        <v>2.5</v>
      </c>
      <c r="Q1605" s="4">
        <f>IFERROR(__xludf.DUMMYFUNCTION("""COMPUTED_VALUE"""),2.3)</f>
        <v>2.3</v>
      </c>
      <c r="R1605" s="4">
        <f>IFERROR(__xludf.DUMMYFUNCTION("""COMPUTED_VALUE"""),0.8)</f>
        <v>0.8</v>
      </c>
      <c r="S1605" s="4">
        <f>IFERROR(__xludf.DUMMYFUNCTION("""COMPUTED_VALUE"""),0.7)</f>
        <v>0.7</v>
      </c>
      <c r="T1605" s="4">
        <f>IFERROR(__xludf.DUMMYFUNCTION("""COMPUTED_VALUE"""),0.032)</f>
        <v>0.032</v>
      </c>
      <c r="U1605" s="4">
        <f>IFERROR(__xludf.DUMMYFUNCTION("""COMPUTED_VALUE"""),-2.5)</f>
        <v>-2.5</v>
      </c>
      <c r="V1605" s="4">
        <f>IFERROR(__xludf.DUMMYFUNCTION("""COMPUTED_VALUE"""),-0.1)</f>
        <v>-0.1</v>
      </c>
    </row>
    <row r="1606">
      <c r="A1606" s="4">
        <f>IFERROR(__xludf.DUMMYFUNCTION("""COMPUTED_VALUE"""),23.0)</f>
        <v>23</v>
      </c>
      <c r="B1606" s="4">
        <f>IFERROR(__xludf.DUMMYFUNCTION("""COMPUTED_VALUE"""),23.0)</f>
        <v>23</v>
      </c>
      <c r="C1606" s="4" t="str">
        <f>IFERROR(__xludf.DUMMYFUNCTION("""COMPUTED_VALUE"""),"HOU")</f>
        <v>HOU</v>
      </c>
      <c r="D1606" s="4" t="str">
        <f>IFERROR(__xludf.DUMMYFUNCTION("""COMPUTED_VALUE"""),"Brandon Armstrong")</f>
        <v>Brandon Armstrong</v>
      </c>
      <c r="E1606" s="4" t="str">
        <f>IFERROR(__xludf.DUMMYFUNCTION("""COMPUTED_VALUE"""),"Pepperdine")</f>
        <v>Pepperdine</v>
      </c>
      <c r="F1606" s="4">
        <f>IFERROR(__xludf.DUMMYFUNCTION("""COMPUTED_VALUE"""),3.0)</f>
        <v>3</v>
      </c>
      <c r="G1606" s="4">
        <f>IFERROR(__xludf.DUMMYFUNCTION("""COMPUTED_VALUE"""),108.0)</f>
        <v>108</v>
      </c>
      <c r="H1606" s="4">
        <f>IFERROR(__xludf.DUMMYFUNCTION("""COMPUTED_VALUE"""),699.0)</f>
        <v>699</v>
      </c>
      <c r="I1606" s="4">
        <f>IFERROR(__xludf.DUMMYFUNCTION("""COMPUTED_VALUE"""),239.0)</f>
        <v>239</v>
      </c>
      <c r="J1606" s="4">
        <f>IFERROR(__xludf.DUMMYFUNCTION("""COMPUTED_VALUE"""),63.0)</f>
        <v>63</v>
      </c>
      <c r="K1606" s="4">
        <f>IFERROR(__xludf.DUMMYFUNCTION("""COMPUTED_VALUE"""),24.0)</f>
        <v>24</v>
      </c>
      <c r="L1606" s="4">
        <f>IFERROR(__xludf.DUMMYFUNCTION("""COMPUTED_VALUE"""),0.352)</f>
        <v>0.352</v>
      </c>
      <c r="M1606" s="4">
        <f>IFERROR(__xludf.DUMMYFUNCTION("""COMPUTED_VALUE"""),0.333)</f>
        <v>0.333</v>
      </c>
      <c r="N1606" s="4">
        <f>IFERROR(__xludf.DUMMYFUNCTION("""COMPUTED_VALUE"""),0.6)</f>
        <v>0.6</v>
      </c>
      <c r="O1606" s="4">
        <f>IFERROR(__xludf.DUMMYFUNCTION("""COMPUTED_VALUE"""),6.5)</f>
        <v>6.5</v>
      </c>
      <c r="P1606" s="4">
        <f>IFERROR(__xludf.DUMMYFUNCTION("""COMPUTED_VALUE"""),2.2)</f>
        <v>2.2</v>
      </c>
      <c r="Q1606" s="4">
        <f>IFERROR(__xludf.DUMMYFUNCTION("""COMPUTED_VALUE"""),0.6)</f>
        <v>0.6</v>
      </c>
      <c r="R1606" s="4">
        <f>IFERROR(__xludf.DUMMYFUNCTION("""COMPUTED_VALUE"""),0.2)</f>
        <v>0.2</v>
      </c>
      <c r="S1606" s="4">
        <f>IFERROR(__xludf.DUMMYFUNCTION("""COMPUTED_VALUE"""),-0.6)</f>
        <v>-0.6</v>
      </c>
      <c r="T1606" s="4">
        <f>IFERROR(__xludf.DUMMYFUNCTION("""COMPUTED_VALUE"""),-0.039)</f>
        <v>-0.039</v>
      </c>
      <c r="U1606" s="4">
        <f>IFERROR(__xludf.DUMMYFUNCTION("""COMPUTED_VALUE"""),-8.0)</f>
        <v>-8</v>
      </c>
      <c r="V1606" s="4">
        <f>IFERROR(__xludf.DUMMYFUNCTION("""COMPUTED_VALUE"""),-1.0)</f>
        <v>-1</v>
      </c>
    </row>
    <row r="1607">
      <c r="A1607" s="4">
        <f>IFERROR(__xludf.DUMMYFUNCTION("""COMPUTED_VALUE"""),24.0)</f>
        <v>24</v>
      </c>
      <c r="B1607" s="4">
        <f>IFERROR(__xludf.DUMMYFUNCTION("""COMPUTED_VALUE"""),24.0)</f>
        <v>24</v>
      </c>
      <c r="C1607" s="4" t="str">
        <f>IFERROR(__xludf.DUMMYFUNCTION("""COMPUTED_VALUE"""),"UTA")</f>
        <v>UTA</v>
      </c>
      <c r="D1607" s="4" t="str">
        <f>IFERROR(__xludf.DUMMYFUNCTION("""COMPUTED_VALUE"""),"Raül López")</f>
        <v>Raül López</v>
      </c>
      <c r="E1607" s="4"/>
      <c r="F1607" s="4">
        <f>IFERROR(__xludf.DUMMYFUNCTION("""COMPUTED_VALUE"""),2.0)</f>
        <v>2</v>
      </c>
      <c r="G1607" s="4">
        <f>IFERROR(__xludf.DUMMYFUNCTION("""COMPUTED_VALUE"""),113.0)</f>
        <v>113</v>
      </c>
      <c r="H1607" s="4">
        <f>IFERROR(__xludf.DUMMYFUNCTION("""COMPUTED_VALUE"""),2135.0)</f>
        <v>2135</v>
      </c>
      <c r="I1607" s="4">
        <f>IFERROR(__xludf.DUMMYFUNCTION("""COMPUTED_VALUE"""),733.0)</f>
        <v>733</v>
      </c>
      <c r="J1607" s="4">
        <f>IFERROR(__xludf.DUMMYFUNCTION("""COMPUTED_VALUE"""),194.0)</f>
        <v>194</v>
      </c>
      <c r="K1607" s="4">
        <f>IFERROR(__xludf.DUMMYFUNCTION("""COMPUTED_VALUE"""),428.0)</f>
        <v>428</v>
      </c>
      <c r="L1607" s="4">
        <f>IFERROR(__xludf.DUMMYFUNCTION("""COMPUTED_VALUE"""),0.429)</f>
        <v>0.429</v>
      </c>
      <c r="M1607" s="4">
        <f>IFERROR(__xludf.DUMMYFUNCTION("""COMPUTED_VALUE"""),0.346)</f>
        <v>0.346</v>
      </c>
      <c r="N1607" s="4">
        <f>IFERROR(__xludf.DUMMYFUNCTION("""COMPUTED_VALUE"""),0.853)</f>
        <v>0.853</v>
      </c>
      <c r="O1607" s="4">
        <f>IFERROR(__xludf.DUMMYFUNCTION("""COMPUTED_VALUE"""),18.9)</f>
        <v>18.9</v>
      </c>
      <c r="P1607" s="4">
        <f>IFERROR(__xludf.DUMMYFUNCTION("""COMPUTED_VALUE"""),6.5)</f>
        <v>6.5</v>
      </c>
      <c r="Q1607" s="4">
        <f>IFERROR(__xludf.DUMMYFUNCTION("""COMPUTED_VALUE"""),1.7)</f>
        <v>1.7</v>
      </c>
      <c r="R1607" s="4">
        <f>IFERROR(__xludf.DUMMYFUNCTION("""COMPUTED_VALUE"""),3.8)</f>
        <v>3.8</v>
      </c>
      <c r="S1607" s="4">
        <f>IFERROR(__xludf.DUMMYFUNCTION("""COMPUTED_VALUE"""),2.1)</f>
        <v>2.1</v>
      </c>
      <c r="T1607" s="4">
        <f>IFERROR(__xludf.DUMMYFUNCTION("""COMPUTED_VALUE"""),0.047)</f>
        <v>0.047</v>
      </c>
      <c r="U1607" s="4">
        <f>IFERROR(__xludf.DUMMYFUNCTION("""COMPUTED_VALUE"""),-2.4)</f>
        <v>-2.4</v>
      </c>
      <c r="V1607" s="4">
        <f>IFERROR(__xludf.DUMMYFUNCTION("""COMPUTED_VALUE"""),-0.2)</f>
        <v>-0.2</v>
      </c>
    </row>
    <row r="1608">
      <c r="A1608" s="4">
        <f>IFERROR(__xludf.DUMMYFUNCTION("""COMPUTED_VALUE"""),25.0)</f>
        <v>25</v>
      </c>
      <c r="B1608" s="4">
        <f>IFERROR(__xludf.DUMMYFUNCTION("""COMPUTED_VALUE"""),25.0)</f>
        <v>25</v>
      </c>
      <c r="C1608" s="4" t="str">
        <f>IFERROR(__xludf.DUMMYFUNCTION("""COMPUTED_VALUE"""),"SAC")</f>
        <v>SAC</v>
      </c>
      <c r="D1608" s="4" t="str">
        <f>IFERROR(__xludf.DUMMYFUNCTION("""COMPUTED_VALUE"""),"Gerald Wallace")</f>
        <v>Gerald Wallace</v>
      </c>
      <c r="E1608" s="4" t="str">
        <f>IFERROR(__xludf.DUMMYFUNCTION("""COMPUTED_VALUE"""),"Alabama")</f>
        <v>Alabama</v>
      </c>
      <c r="F1608" s="4">
        <f>IFERROR(__xludf.DUMMYFUNCTION("""COMPUTED_VALUE"""),14.0)</f>
        <v>14</v>
      </c>
      <c r="G1608" s="4">
        <f>IFERROR(__xludf.DUMMYFUNCTION("""COMPUTED_VALUE"""),832.0)</f>
        <v>832</v>
      </c>
      <c r="H1608" s="4">
        <f>IFERROR(__xludf.DUMMYFUNCTION("""COMPUTED_VALUE"""),24731.0)</f>
        <v>24731</v>
      </c>
      <c r="I1608" s="4">
        <f>IFERROR(__xludf.DUMMYFUNCTION("""COMPUTED_VALUE"""),9933.0)</f>
        <v>9933</v>
      </c>
      <c r="J1608" s="4">
        <f>IFERROR(__xludf.DUMMYFUNCTION("""COMPUTED_VALUE"""),4838.0)</f>
        <v>4838</v>
      </c>
      <c r="K1608" s="4">
        <f>IFERROR(__xludf.DUMMYFUNCTION("""COMPUTED_VALUE"""),1725.0)</f>
        <v>1725</v>
      </c>
      <c r="L1608" s="4">
        <f>IFERROR(__xludf.DUMMYFUNCTION("""COMPUTED_VALUE"""),0.469)</f>
        <v>0.469</v>
      </c>
      <c r="M1608" s="4">
        <f>IFERROR(__xludf.DUMMYFUNCTION("""COMPUTED_VALUE"""),0.312)</f>
        <v>0.312</v>
      </c>
      <c r="N1608" s="4">
        <f>IFERROR(__xludf.DUMMYFUNCTION("""COMPUTED_VALUE"""),0.709)</f>
        <v>0.709</v>
      </c>
      <c r="O1608" s="4">
        <f>IFERROR(__xludf.DUMMYFUNCTION("""COMPUTED_VALUE"""),29.7)</f>
        <v>29.7</v>
      </c>
      <c r="P1608" s="4">
        <f>IFERROR(__xludf.DUMMYFUNCTION("""COMPUTED_VALUE"""),11.9)</f>
        <v>11.9</v>
      </c>
      <c r="Q1608" s="4">
        <f>IFERROR(__xludf.DUMMYFUNCTION("""COMPUTED_VALUE"""),5.8)</f>
        <v>5.8</v>
      </c>
      <c r="R1608" s="4">
        <f>IFERROR(__xludf.DUMMYFUNCTION("""COMPUTED_VALUE"""),2.1)</f>
        <v>2.1</v>
      </c>
      <c r="S1608" s="4">
        <f>IFERROR(__xludf.DUMMYFUNCTION("""COMPUTED_VALUE"""),59.7)</f>
        <v>59.7</v>
      </c>
      <c r="T1608" s="4">
        <f>IFERROR(__xludf.DUMMYFUNCTION("""COMPUTED_VALUE"""),0.116)</f>
        <v>0.116</v>
      </c>
      <c r="U1608" s="4">
        <f>IFERROR(__xludf.DUMMYFUNCTION("""COMPUTED_VALUE"""),1.8)</f>
        <v>1.8</v>
      </c>
      <c r="V1608" s="4">
        <f>IFERROR(__xludf.DUMMYFUNCTION("""COMPUTED_VALUE"""),23.5)</f>
        <v>23.5</v>
      </c>
    </row>
    <row r="1609">
      <c r="A1609" s="4">
        <f>IFERROR(__xludf.DUMMYFUNCTION("""COMPUTED_VALUE"""),26.0)</f>
        <v>26</v>
      </c>
      <c r="B1609" s="4">
        <f>IFERROR(__xludf.DUMMYFUNCTION("""COMPUTED_VALUE"""),26.0)</f>
        <v>26</v>
      </c>
      <c r="C1609" s="4" t="str">
        <f>IFERROR(__xludf.DUMMYFUNCTION("""COMPUTED_VALUE"""),"PHI")</f>
        <v>PHI</v>
      </c>
      <c r="D1609" s="4" t="str">
        <f>IFERROR(__xludf.DUMMYFUNCTION("""COMPUTED_VALUE"""),"Samuel Dalembert")</f>
        <v>Samuel Dalembert</v>
      </c>
      <c r="E1609" s="4" t="str">
        <f>IFERROR(__xludf.DUMMYFUNCTION("""COMPUTED_VALUE"""),"Seton Hall")</f>
        <v>Seton Hall</v>
      </c>
      <c r="F1609" s="4">
        <f>IFERROR(__xludf.DUMMYFUNCTION("""COMPUTED_VALUE"""),13.0)</f>
        <v>13</v>
      </c>
      <c r="G1609" s="4">
        <f>IFERROR(__xludf.DUMMYFUNCTION("""COMPUTED_VALUE"""),886.0)</f>
        <v>886</v>
      </c>
      <c r="H1609" s="4">
        <f>IFERROR(__xludf.DUMMYFUNCTION("""COMPUTED_VALUE"""),21646.0)</f>
        <v>21646</v>
      </c>
      <c r="I1609" s="4">
        <f>IFERROR(__xludf.DUMMYFUNCTION("""COMPUTED_VALUE"""),6814.0)</f>
        <v>6814</v>
      </c>
      <c r="J1609" s="4">
        <f>IFERROR(__xludf.DUMMYFUNCTION("""COMPUTED_VALUE"""),6942.0)</f>
        <v>6942</v>
      </c>
      <c r="K1609" s="4">
        <f>IFERROR(__xludf.DUMMYFUNCTION("""COMPUTED_VALUE"""),465.0)</f>
        <v>465</v>
      </c>
      <c r="L1609" s="4">
        <f>IFERROR(__xludf.DUMMYFUNCTION("""COMPUTED_VALUE"""),0.521)</f>
        <v>0.521</v>
      </c>
      <c r="M1609" s="4">
        <f>IFERROR(__xludf.DUMMYFUNCTION("""COMPUTED_VALUE"""),0.083)</f>
        <v>0.083</v>
      </c>
      <c r="N1609" s="4">
        <f>IFERROR(__xludf.DUMMYFUNCTION("""COMPUTED_VALUE"""),0.706)</f>
        <v>0.706</v>
      </c>
      <c r="O1609" s="4">
        <f>IFERROR(__xludf.DUMMYFUNCTION("""COMPUTED_VALUE"""),24.4)</f>
        <v>24.4</v>
      </c>
      <c r="P1609" s="4">
        <f>IFERROR(__xludf.DUMMYFUNCTION("""COMPUTED_VALUE"""),7.7)</f>
        <v>7.7</v>
      </c>
      <c r="Q1609" s="4">
        <f>IFERROR(__xludf.DUMMYFUNCTION("""COMPUTED_VALUE"""),7.8)</f>
        <v>7.8</v>
      </c>
      <c r="R1609" s="4">
        <f>IFERROR(__xludf.DUMMYFUNCTION("""COMPUTED_VALUE"""),0.5)</f>
        <v>0.5</v>
      </c>
      <c r="S1609" s="4">
        <f>IFERROR(__xludf.DUMMYFUNCTION("""COMPUTED_VALUE"""),51.3)</f>
        <v>51.3</v>
      </c>
      <c r="T1609" s="4">
        <f>IFERROR(__xludf.DUMMYFUNCTION("""COMPUTED_VALUE"""),0.114)</f>
        <v>0.114</v>
      </c>
      <c r="U1609" s="4">
        <f>IFERROR(__xludf.DUMMYFUNCTION("""COMPUTED_VALUE"""),-1.1)</f>
        <v>-1.1</v>
      </c>
      <c r="V1609" s="4">
        <f>IFERROR(__xludf.DUMMYFUNCTION("""COMPUTED_VALUE"""),4.6)</f>
        <v>4.6</v>
      </c>
    </row>
    <row r="1610">
      <c r="A1610" s="4">
        <f>IFERROR(__xludf.DUMMYFUNCTION("""COMPUTED_VALUE"""),27.0)</f>
        <v>27</v>
      </c>
      <c r="B1610" s="4">
        <f>IFERROR(__xludf.DUMMYFUNCTION("""COMPUTED_VALUE"""),27.0)</f>
        <v>27</v>
      </c>
      <c r="C1610" s="4" t="str">
        <f>IFERROR(__xludf.DUMMYFUNCTION("""COMPUTED_VALUE"""),"MEM")</f>
        <v>MEM</v>
      </c>
      <c r="D1610" s="4" t="str">
        <f>IFERROR(__xludf.DUMMYFUNCTION("""COMPUTED_VALUE"""),"Jamaal Tinsley")</f>
        <v>Jamaal Tinsley</v>
      </c>
      <c r="E1610" s="4" t="str">
        <f>IFERROR(__xludf.DUMMYFUNCTION("""COMPUTED_VALUE"""),"Iowa State")</f>
        <v>Iowa State</v>
      </c>
      <c r="F1610" s="4">
        <f>IFERROR(__xludf.DUMMYFUNCTION("""COMPUTED_VALUE"""),11.0)</f>
        <v>11</v>
      </c>
      <c r="G1610" s="4">
        <f>IFERROR(__xludf.DUMMYFUNCTION("""COMPUTED_VALUE"""),547.0)</f>
        <v>547</v>
      </c>
      <c r="H1610" s="4">
        <f>IFERROR(__xludf.DUMMYFUNCTION("""COMPUTED_VALUE"""),14443.0)</f>
        <v>14443</v>
      </c>
      <c r="I1610" s="4">
        <f>IFERROR(__xludf.DUMMYFUNCTION("""COMPUTED_VALUE"""),4652.0)</f>
        <v>4652</v>
      </c>
      <c r="J1610" s="4">
        <f>IFERROR(__xludf.DUMMYFUNCTION("""COMPUTED_VALUE"""),1605.0)</f>
        <v>1605</v>
      </c>
      <c r="K1610" s="4">
        <f>IFERROR(__xludf.DUMMYFUNCTION("""COMPUTED_VALUE"""),3330.0)</f>
        <v>3330</v>
      </c>
      <c r="L1610" s="4">
        <f>IFERROR(__xludf.DUMMYFUNCTION("""COMPUTED_VALUE"""),0.393)</f>
        <v>0.393</v>
      </c>
      <c r="M1610" s="4">
        <f>IFERROR(__xludf.DUMMYFUNCTION("""COMPUTED_VALUE"""),0.299)</f>
        <v>0.299</v>
      </c>
      <c r="N1610" s="4">
        <f>IFERROR(__xludf.DUMMYFUNCTION("""COMPUTED_VALUE"""),0.716)</f>
        <v>0.716</v>
      </c>
      <c r="O1610" s="4">
        <f>IFERROR(__xludf.DUMMYFUNCTION("""COMPUTED_VALUE"""),26.4)</f>
        <v>26.4</v>
      </c>
      <c r="P1610" s="4">
        <f>IFERROR(__xludf.DUMMYFUNCTION("""COMPUTED_VALUE"""),8.5)</f>
        <v>8.5</v>
      </c>
      <c r="Q1610" s="4">
        <f>IFERROR(__xludf.DUMMYFUNCTION("""COMPUTED_VALUE"""),2.9)</f>
        <v>2.9</v>
      </c>
      <c r="R1610" s="4">
        <f>IFERROR(__xludf.DUMMYFUNCTION("""COMPUTED_VALUE"""),6.1)</f>
        <v>6.1</v>
      </c>
      <c r="S1610" s="4">
        <f>IFERROR(__xludf.DUMMYFUNCTION("""COMPUTED_VALUE"""),17.2)</f>
        <v>17.2</v>
      </c>
      <c r="T1610" s="4">
        <f>IFERROR(__xludf.DUMMYFUNCTION("""COMPUTED_VALUE"""),0.057)</f>
        <v>0.057</v>
      </c>
      <c r="U1610" s="4">
        <f>IFERROR(__xludf.DUMMYFUNCTION("""COMPUTED_VALUE"""),0.0)</f>
        <v>0</v>
      </c>
      <c r="V1610" s="4">
        <f>IFERROR(__xludf.DUMMYFUNCTION("""COMPUTED_VALUE"""),7.1)</f>
        <v>7.1</v>
      </c>
    </row>
    <row r="1611">
      <c r="A1611" s="4">
        <f>IFERROR(__xludf.DUMMYFUNCTION("""COMPUTED_VALUE"""),28.0)</f>
        <v>28</v>
      </c>
      <c r="B1611" s="4">
        <f>IFERROR(__xludf.DUMMYFUNCTION("""COMPUTED_VALUE"""),28.0)</f>
        <v>28</v>
      </c>
      <c r="C1611" s="4" t="str">
        <f>IFERROR(__xludf.DUMMYFUNCTION("""COMPUTED_VALUE"""),"SAS")</f>
        <v>SAS</v>
      </c>
      <c r="D1611" s="4" t="str">
        <f>IFERROR(__xludf.DUMMYFUNCTION("""COMPUTED_VALUE"""),"Tony Parker")</f>
        <v>Tony Parker</v>
      </c>
      <c r="E1611" s="4"/>
      <c r="F1611" s="4">
        <f>IFERROR(__xludf.DUMMYFUNCTION("""COMPUTED_VALUE"""),18.0)</f>
        <v>18</v>
      </c>
      <c r="G1611" s="4">
        <f>IFERROR(__xludf.DUMMYFUNCTION("""COMPUTED_VALUE"""),1254.0)</f>
        <v>1254</v>
      </c>
      <c r="H1611" s="4">
        <f>IFERROR(__xludf.DUMMYFUNCTION("""COMPUTED_VALUE"""),38279.0)</f>
        <v>38279</v>
      </c>
      <c r="I1611" s="4">
        <f>IFERROR(__xludf.DUMMYFUNCTION("""COMPUTED_VALUE"""),19473.0)</f>
        <v>19473</v>
      </c>
      <c r="J1611" s="4">
        <f>IFERROR(__xludf.DUMMYFUNCTION("""COMPUTED_VALUE"""),3396.0)</f>
        <v>3396</v>
      </c>
      <c r="K1611" s="4">
        <f>IFERROR(__xludf.DUMMYFUNCTION("""COMPUTED_VALUE"""),7036.0)</f>
        <v>7036</v>
      </c>
      <c r="L1611" s="4">
        <f>IFERROR(__xludf.DUMMYFUNCTION("""COMPUTED_VALUE"""),0.491)</f>
        <v>0.491</v>
      </c>
      <c r="M1611" s="4">
        <f>IFERROR(__xludf.DUMMYFUNCTION("""COMPUTED_VALUE"""),0.324)</f>
        <v>0.324</v>
      </c>
      <c r="N1611" s="4">
        <f>IFERROR(__xludf.DUMMYFUNCTION("""COMPUTED_VALUE"""),0.751)</f>
        <v>0.751</v>
      </c>
      <c r="O1611" s="4">
        <f>IFERROR(__xludf.DUMMYFUNCTION("""COMPUTED_VALUE"""),30.5)</f>
        <v>30.5</v>
      </c>
      <c r="P1611" s="4">
        <f>IFERROR(__xludf.DUMMYFUNCTION("""COMPUTED_VALUE"""),15.5)</f>
        <v>15.5</v>
      </c>
      <c r="Q1611" s="4">
        <f>IFERROR(__xludf.DUMMYFUNCTION("""COMPUTED_VALUE"""),2.7)</f>
        <v>2.7</v>
      </c>
      <c r="R1611" s="4">
        <f>IFERROR(__xludf.DUMMYFUNCTION("""COMPUTED_VALUE"""),5.6)</f>
        <v>5.6</v>
      </c>
      <c r="S1611" s="4">
        <f>IFERROR(__xludf.DUMMYFUNCTION("""COMPUTED_VALUE"""),111.3)</f>
        <v>111.3</v>
      </c>
      <c r="T1611" s="4">
        <f>IFERROR(__xludf.DUMMYFUNCTION("""COMPUTED_VALUE"""),0.14)</f>
        <v>0.14</v>
      </c>
      <c r="U1611" s="4">
        <f>IFERROR(__xludf.DUMMYFUNCTION("""COMPUTED_VALUE"""),1.1)</f>
        <v>1.1</v>
      </c>
      <c r="V1611" s="4">
        <f>IFERROR(__xludf.DUMMYFUNCTION("""COMPUTED_VALUE"""),30.1)</f>
        <v>30.1</v>
      </c>
    </row>
    <row r="1612">
      <c r="A1612" s="4"/>
      <c r="B1612" s="4"/>
      <c r="C1612" s="4"/>
      <c r="D1612" s="4"/>
      <c r="E1612" s="4"/>
      <c r="F1612" s="4" t="str">
        <f>IFERROR(__xludf.DUMMYFUNCTION("""COMPUTED_VALUE"""),"Minnesota Timberwolves forfeited their First Round pick.")</f>
        <v>Minnesota Timberwolves forfeited their First Round pick.</v>
      </c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>
      <c r="A1613" s="4"/>
      <c r="B1613" s="4"/>
      <c r="C1613" s="4"/>
      <c r="D1613" s="4" t="str">
        <f>IFERROR(__xludf.DUMMYFUNCTION("""COMPUTED_VALUE"""),"Round 2")</f>
        <v>Round 2</v>
      </c>
      <c r="E1613" s="4"/>
      <c r="F1613" s="4"/>
      <c r="G1613" s="4" t="str">
        <f>IFERROR(__xludf.DUMMYFUNCTION("""COMPUTED_VALUE"""),"Totals")</f>
        <v>Totals</v>
      </c>
      <c r="H1613" s="4"/>
      <c r="I1613" s="4"/>
      <c r="J1613" s="4"/>
      <c r="K1613" s="4"/>
      <c r="L1613" s="4" t="str">
        <f>IFERROR(__xludf.DUMMYFUNCTION("""COMPUTED_VALUE"""),"Shooting")</f>
        <v>Shooting</v>
      </c>
      <c r="M1613" s="4"/>
      <c r="N1613" s="4"/>
      <c r="O1613" s="4" t="str">
        <f>IFERROR(__xludf.DUMMYFUNCTION("""COMPUTED_VALUE"""),"Per Game")</f>
        <v>Per Game</v>
      </c>
      <c r="P1613" s="4"/>
      <c r="Q1613" s="4"/>
      <c r="R1613" s="4"/>
      <c r="S1613" s="4" t="str">
        <f>IFERROR(__xludf.DUMMYFUNCTION("""COMPUTED_VALUE"""),"Advanced")</f>
        <v>Advanced</v>
      </c>
      <c r="T1613" s="4"/>
      <c r="U1613" s="4"/>
      <c r="V1613" s="4"/>
    </row>
    <row r="1614">
      <c r="A1614" s="4" t="str">
        <f>IFERROR(__xludf.DUMMYFUNCTION("""COMPUTED_VALUE"""),"Rk")</f>
        <v>Rk</v>
      </c>
      <c r="B1614" s="4" t="str">
        <f>IFERROR(__xludf.DUMMYFUNCTION("""COMPUTED_VALUE"""),"Pk")</f>
        <v>Pk</v>
      </c>
      <c r="C1614" s="4" t="str">
        <f>IFERROR(__xludf.DUMMYFUNCTION("""COMPUTED_VALUE"""),"Tm")</f>
        <v>Tm</v>
      </c>
      <c r="D1614" s="4" t="str">
        <f>IFERROR(__xludf.DUMMYFUNCTION("""COMPUTED_VALUE"""),"Player")</f>
        <v>Player</v>
      </c>
      <c r="E1614" s="4" t="str">
        <f>IFERROR(__xludf.DUMMYFUNCTION("""COMPUTED_VALUE"""),"College")</f>
        <v>College</v>
      </c>
      <c r="F1614" s="4" t="str">
        <f>IFERROR(__xludf.DUMMYFUNCTION("""COMPUTED_VALUE"""),"Yrs")</f>
        <v>Yrs</v>
      </c>
      <c r="G1614" s="4" t="str">
        <f>IFERROR(__xludf.DUMMYFUNCTION("""COMPUTED_VALUE"""),"G")</f>
        <v>G</v>
      </c>
      <c r="H1614" s="4" t="str">
        <f>IFERROR(__xludf.DUMMYFUNCTION("""COMPUTED_VALUE"""),"MP")</f>
        <v>MP</v>
      </c>
      <c r="I1614" s="4" t="str">
        <f>IFERROR(__xludf.DUMMYFUNCTION("""COMPUTED_VALUE"""),"PTS")</f>
        <v>PTS</v>
      </c>
      <c r="J1614" s="4" t="str">
        <f>IFERROR(__xludf.DUMMYFUNCTION("""COMPUTED_VALUE"""),"TRB")</f>
        <v>TRB</v>
      </c>
      <c r="K1614" s="4" t="str">
        <f>IFERROR(__xludf.DUMMYFUNCTION("""COMPUTED_VALUE"""),"AST")</f>
        <v>AST</v>
      </c>
      <c r="L1614" s="4" t="str">
        <f>IFERROR(__xludf.DUMMYFUNCTION("""COMPUTED_VALUE"""),"FG%")</f>
        <v>FG%</v>
      </c>
      <c r="M1614" s="4" t="str">
        <f>IFERROR(__xludf.DUMMYFUNCTION("""COMPUTED_VALUE"""),"3P%")</f>
        <v>3P%</v>
      </c>
      <c r="N1614" s="4" t="str">
        <f>IFERROR(__xludf.DUMMYFUNCTION("""COMPUTED_VALUE"""),"FT%")</f>
        <v>FT%</v>
      </c>
      <c r="O1614" s="4" t="str">
        <f>IFERROR(__xludf.DUMMYFUNCTION("""COMPUTED_VALUE"""),"MP")</f>
        <v>MP</v>
      </c>
      <c r="P1614" s="4" t="str">
        <f>IFERROR(__xludf.DUMMYFUNCTION("""COMPUTED_VALUE"""),"PTS")</f>
        <v>PTS</v>
      </c>
      <c r="Q1614" s="4" t="str">
        <f>IFERROR(__xludf.DUMMYFUNCTION("""COMPUTED_VALUE"""),"TRB")</f>
        <v>TRB</v>
      </c>
      <c r="R1614" s="4" t="str">
        <f>IFERROR(__xludf.DUMMYFUNCTION("""COMPUTED_VALUE"""),"AST")</f>
        <v>AST</v>
      </c>
      <c r="S1614" s="4" t="str">
        <f>IFERROR(__xludf.DUMMYFUNCTION("""COMPUTED_VALUE"""),"WS")</f>
        <v>WS</v>
      </c>
      <c r="T1614" s="4" t="str">
        <f>IFERROR(__xludf.DUMMYFUNCTION("""COMPUTED_VALUE"""),"WS/48")</f>
        <v>WS/48</v>
      </c>
      <c r="U1614" s="4" t="str">
        <f>IFERROR(__xludf.DUMMYFUNCTION("""COMPUTED_VALUE"""),"BPM")</f>
        <v>BPM</v>
      </c>
      <c r="V1614" s="4" t="str">
        <f>IFERROR(__xludf.DUMMYFUNCTION("""COMPUTED_VALUE"""),"VORP")</f>
        <v>VORP</v>
      </c>
    </row>
    <row r="1615">
      <c r="A1615" s="4">
        <f>IFERROR(__xludf.DUMMYFUNCTION("""COMPUTED_VALUE"""),30.0)</f>
        <v>30</v>
      </c>
      <c r="B1615" s="4">
        <f>IFERROR(__xludf.DUMMYFUNCTION("""COMPUTED_VALUE"""),30.0)</f>
        <v>30</v>
      </c>
      <c r="C1615" s="4" t="str">
        <f>IFERROR(__xludf.DUMMYFUNCTION("""COMPUTED_VALUE"""),"CHI")</f>
        <v>CHI</v>
      </c>
      <c r="D1615" s="4" t="str">
        <f>IFERROR(__xludf.DUMMYFUNCTION("""COMPUTED_VALUE"""),"Trenton Hassell")</f>
        <v>Trenton Hassell</v>
      </c>
      <c r="E1615" s="4" t="str">
        <f>IFERROR(__xludf.DUMMYFUNCTION("""COMPUTED_VALUE"""),"Austin Peay State University")</f>
        <v>Austin Peay State University</v>
      </c>
      <c r="F1615" s="4">
        <f>IFERROR(__xludf.DUMMYFUNCTION("""COMPUTED_VALUE"""),9.0)</f>
        <v>9</v>
      </c>
      <c r="G1615" s="4">
        <f>IFERROR(__xludf.DUMMYFUNCTION("""COMPUTED_VALUE"""),644.0)</f>
        <v>644</v>
      </c>
      <c r="H1615" s="4">
        <f>IFERROR(__xludf.DUMMYFUNCTION("""COMPUTED_VALUE"""),16278.0)</f>
        <v>16278</v>
      </c>
      <c r="I1615" s="4">
        <f>IFERROR(__xludf.DUMMYFUNCTION("""COMPUTED_VALUE"""),3741.0)</f>
        <v>3741</v>
      </c>
      <c r="J1615" s="4">
        <f>IFERROR(__xludf.DUMMYFUNCTION("""COMPUTED_VALUE"""),1826.0)</f>
        <v>1826</v>
      </c>
      <c r="K1615" s="4">
        <f>IFERROR(__xludf.DUMMYFUNCTION("""COMPUTED_VALUE"""),1132.0)</f>
        <v>1132</v>
      </c>
      <c r="L1615" s="4">
        <f>IFERROR(__xludf.DUMMYFUNCTION("""COMPUTED_VALUE"""),0.445)</f>
        <v>0.445</v>
      </c>
      <c r="M1615" s="4">
        <f>IFERROR(__xludf.DUMMYFUNCTION("""COMPUTED_VALUE"""),0.318)</f>
        <v>0.318</v>
      </c>
      <c r="N1615" s="4">
        <f>IFERROR(__xludf.DUMMYFUNCTION("""COMPUTED_VALUE"""),0.765)</f>
        <v>0.765</v>
      </c>
      <c r="O1615" s="4">
        <f>IFERROR(__xludf.DUMMYFUNCTION("""COMPUTED_VALUE"""),25.3)</f>
        <v>25.3</v>
      </c>
      <c r="P1615" s="4">
        <f>IFERROR(__xludf.DUMMYFUNCTION("""COMPUTED_VALUE"""),5.8)</f>
        <v>5.8</v>
      </c>
      <c r="Q1615" s="4">
        <f>IFERROR(__xludf.DUMMYFUNCTION("""COMPUTED_VALUE"""),2.8)</f>
        <v>2.8</v>
      </c>
      <c r="R1615" s="4">
        <f>IFERROR(__xludf.DUMMYFUNCTION("""COMPUTED_VALUE"""),1.8)</f>
        <v>1.8</v>
      </c>
      <c r="S1615" s="4">
        <f>IFERROR(__xludf.DUMMYFUNCTION("""COMPUTED_VALUE"""),13.8)</f>
        <v>13.8</v>
      </c>
      <c r="T1615" s="4">
        <f>IFERROR(__xludf.DUMMYFUNCTION("""COMPUTED_VALUE"""),0.041)</f>
        <v>0.041</v>
      </c>
      <c r="U1615" s="4">
        <f>IFERROR(__xludf.DUMMYFUNCTION("""COMPUTED_VALUE"""),-2.9)</f>
        <v>-2.9</v>
      </c>
      <c r="V1615" s="4">
        <f>IFERROR(__xludf.DUMMYFUNCTION("""COMPUTED_VALUE"""),-3.7)</f>
        <v>-3.7</v>
      </c>
    </row>
    <row r="1616">
      <c r="A1616" s="4">
        <f>IFERROR(__xludf.DUMMYFUNCTION("""COMPUTED_VALUE"""),31.0)</f>
        <v>31</v>
      </c>
      <c r="B1616" s="4">
        <f>IFERROR(__xludf.DUMMYFUNCTION("""COMPUTED_VALUE"""),31.0)</f>
        <v>31</v>
      </c>
      <c r="C1616" s="4" t="str">
        <f>IFERROR(__xludf.DUMMYFUNCTION("""COMPUTED_VALUE"""),"GSW")</f>
        <v>GSW</v>
      </c>
      <c r="D1616" s="4" t="str">
        <f>IFERROR(__xludf.DUMMYFUNCTION("""COMPUTED_VALUE"""),"Gilbert Arenas")</f>
        <v>Gilbert Arenas</v>
      </c>
      <c r="E1616" s="4" t="str">
        <f>IFERROR(__xludf.DUMMYFUNCTION("""COMPUTED_VALUE"""),"Arizona")</f>
        <v>Arizona</v>
      </c>
      <c r="F1616" s="4">
        <f>IFERROR(__xludf.DUMMYFUNCTION("""COMPUTED_VALUE"""),11.0)</f>
        <v>11</v>
      </c>
      <c r="G1616" s="4">
        <f>IFERROR(__xludf.DUMMYFUNCTION("""COMPUTED_VALUE"""),552.0)</f>
        <v>552</v>
      </c>
      <c r="H1616" s="4">
        <f>IFERROR(__xludf.DUMMYFUNCTION("""COMPUTED_VALUE"""),19351.0)</f>
        <v>19351</v>
      </c>
      <c r="I1616" s="4">
        <f>IFERROR(__xludf.DUMMYFUNCTION("""COMPUTED_VALUE"""),11402.0)</f>
        <v>11402</v>
      </c>
      <c r="J1616" s="4">
        <f>IFERROR(__xludf.DUMMYFUNCTION("""COMPUTED_VALUE"""),2168.0)</f>
        <v>2168</v>
      </c>
      <c r="K1616" s="4">
        <f>IFERROR(__xludf.DUMMYFUNCTION("""COMPUTED_VALUE"""),2909.0)</f>
        <v>2909</v>
      </c>
      <c r="L1616" s="4">
        <f>IFERROR(__xludf.DUMMYFUNCTION("""COMPUTED_VALUE"""),0.421)</f>
        <v>0.421</v>
      </c>
      <c r="M1616" s="4">
        <f>IFERROR(__xludf.DUMMYFUNCTION("""COMPUTED_VALUE"""),0.351)</f>
        <v>0.351</v>
      </c>
      <c r="N1616" s="4">
        <f>IFERROR(__xludf.DUMMYFUNCTION("""COMPUTED_VALUE"""),0.803)</f>
        <v>0.803</v>
      </c>
      <c r="O1616" s="4">
        <f>IFERROR(__xludf.DUMMYFUNCTION("""COMPUTED_VALUE"""),35.1)</f>
        <v>35.1</v>
      </c>
      <c r="P1616" s="4">
        <f>IFERROR(__xludf.DUMMYFUNCTION("""COMPUTED_VALUE"""),20.7)</f>
        <v>20.7</v>
      </c>
      <c r="Q1616" s="4">
        <f>IFERROR(__xludf.DUMMYFUNCTION("""COMPUTED_VALUE"""),3.9)</f>
        <v>3.9</v>
      </c>
      <c r="R1616" s="4">
        <f>IFERROR(__xludf.DUMMYFUNCTION("""COMPUTED_VALUE"""),5.3)</f>
        <v>5.3</v>
      </c>
      <c r="S1616" s="4">
        <f>IFERROR(__xludf.DUMMYFUNCTION("""COMPUTED_VALUE"""),51.3)</f>
        <v>51.3</v>
      </c>
      <c r="T1616" s="4">
        <f>IFERROR(__xludf.DUMMYFUNCTION("""COMPUTED_VALUE"""),0.127)</f>
        <v>0.127</v>
      </c>
      <c r="U1616" s="4">
        <f>IFERROR(__xludf.DUMMYFUNCTION("""COMPUTED_VALUE"""),2.6)</f>
        <v>2.6</v>
      </c>
      <c r="V1616" s="4">
        <f>IFERROR(__xludf.DUMMYFUNCTION("""COMPUTED_VALUE"""),22.3)</f>
        <v>22.3</v>
      </c>
    </row>
    <row r="1617">
      <c r="A1617" s="4">
        <f>IFERROR(__xludf.DUMMYFUNCTION("""COMPUTED_VALUE"""),32.0)</f>
        <v>32</v>
      </c>
      <c r="B1617" s="4">
        <f>IFERROR(__xludf.DUMMYFUNCTION("""COMPUTED_VALUE"""),32.0)</f>
        <v>32</v>
      </c>
      <c r="C1617" s="4" t="str">
        <f>IFERROR(__xludf.DUMMYFUNCTION("""COMPUTED_VALUE"""),"ORL")</f>
        <v>ORL</v>
      </c>
      <c r="D1617" s="4" t="str">
        <f>IFERROR(__xludf.DUMMYFUNCTION("""COMPUTED_VALUE"""),"Omar Cook")</f>
        <v>Omar Cook</v>
      </c>
      <c r="E1617" s="4" t="str">
        <f>IFERROR(__xludf.DUMMYFUNCTION("""COMPUTED_VALUE"""),"St. John's")</f>
        <v>St. John's</v>
      </c>
      <c r="F1617" s="4">
        <f>IFERROR(__xludf.DUMMYFUNCTION("""COMPUTED_VALUE"""),2.0)</f>
        <v>2</v>
      </c>
      <c r="G1617" s="4">
        <f>IFERROR(__xludf.DUMMYFUNCTION("""COMPUTED_VALUE"""),22.0)</f>
        <v>22</v>
      </c>
      <c r="H1617" s="4">
        <f>IFERROR(__xludf.DUMMYFUNCTION("""COMPUTED_VALUE"""),213.0)</f>
        <v>213</v>
      </c>
      <c r="I1617" s="4">
        <f>IFERROR(__xludf.DUMMYFUNCTION("""COMPUTED_VALUE"""),37.0)</f>
        <v>37</v>
      </c>
      <c r="J1617" s="4">
        <f>IFERROR(__xludf.DUMMYFUNCTION("""COMPUTED_VALUE"""),13.0)</f>
        <v>13</v>
      </c>
      <c r="K1617" s="4">
        <f>IFERROR(__xludf.DUMMYFUNCTION("""COMPUTED_VALUE"""),46.0)</f>
        <v>46</v>
      </c>
      <c r="L1617" s="4">
        <f>IFERROR(__xludf.DUMMYFUNCTION("""COMPUTED_VALUE"""),0.333)</f>
        <v>0.333</v>
      </c>
      <c r="M1617" s="4">
        <f>IFERROR(__xludf.DUMMYFUNCTION("""COMPUTED_VALUE"""),0.0)</f>
        <v>0</v>
      </c>
      <c r="N1617" s="4">
        <f>IFERROR(__xludf.DUMMYFUNCTION("""COMPUTED_VALUE"""),0.5)</f>
        <v>0.5</v>
      </c>
      <c r="O1617" s="4">
        <f>IFERROR(__xludf.DUMMYFUNCTION("""COMPUTED_VALUE"""),9.7)</f>
        <v>9.7</v>
      </c>
      <c r="P1617" s="4">
        <f>IFERROR(__xludf.DUMMYFUNCTION("""COMPUTED_VALUE"""),1.7)</f>
        <v>1.7</v>
      </c>
      <c r="Q1617" s="4">
        <f>IFERROR(__xludf.DUMMYFUNCTION("""COMPUTED_VALUE"""),0.6)</f>
        <v>0.6</v>
      </c>
      <c r="R1617" s="4">
        <f>IFERROR(__xludf.DUMMYFUNCTION("""COMPUTED_VALUE"""),2.1)</f>
        <v>2.1</v>
      </c>
      <c r="S1617" s="4">
        <f>IFERROR(__xludf.DUMMYFUNCTION("""COMPUTED_VALUE"""),-0.1)</f>
        <v>-0.1</v>
      </c>
      <c r="T1617" s="4">
        <f>IFERROR(__xludf.DUMMYFUNCTION("""COMPUTED_VALUE"""),-0.021)</f>
        <v>-0.021</v>
      </c>
      <c r="U1617" s="4">
        <f>IFERROR(__xludf.DUMMYFUNCTION("""COMPUTED_VALUE"""),-2.7)</f>
        <v>-2.7</v>
      </c>
      <c r="V1617" s="4">
        <f>IFERROR(__xludf.DUMMYFUNCTION("""COMPUTED_VALUE"""),0.0)</f>
        <v>0</v>
      </c>
    </row>
    <row r="1618">
      <c r="A1618" s="4">
        <f>IFERROR(__xludf.DUMMYFUNCTION("""COMPUTED_VALUE"""),33.0)</f>
        <v>33</v>
      </c>
      <c r="B1618" s="4">
        <f>IFERROR(__xludf.DUMMYFUNCTION("""COMPUTED_VALUE"""),33.0)</f>
        <v>33</v>
      </c>
      <c r="C1618" s="4" t="str">
        <f>IFERROR(__xludf.DUMMYFUNCTION("""COMPUTED_VALUE"""),"MEM")</f>
        <v>MEM</v>
      </c>
      <c r="D1618" s="4" t="str">
        <f>IFERROR(__xludf.DUMMYFUNCTION("""COMPUTED_VALUE"""),"Will Solomon")</f>
        <v>Will Solomon</v>
      </c>
      <c r="E1618" s="4" t="str">
        <f>IFERROR(__xludf.DUMMYFUNCTION("""COMPUTED_VALUE"""),"Clemson")</f>
        <v>Clemson</v>
      </c>
      <c r="F1618" s="4">
        <f>IFERROR(__xludf.DUMMYFUNCTION("""COMPUTED_VALUE"""),2.0)</f>
        <v>2</v>
      </c>
      <c r="G1618" s="4">
        <f>IFERROR(__xludf.DUMMYFUNCTION("""COMPUTED_VALUE"""),115.0)</f>
        <v>115</v>
      </c>
      <c r="H1618" s="4">
        <f>IFERROR(__xludf.DUMMYFUNCTION("""COMPUTED_VALUE"""),1584.0)</f>
        <v>1584</v>
      </c>
      <c r="I1618" s="4">
        <f>IFERROR(__xludf.DUMMYFUNCTION("""COMPUTED_VALUE"""),584.0)</f>
        <v>584</v>
      </c>
      <c r="J1618" s="4">
        <f>IFERROR(__xludf.DUMMYFUNCTION("""COMPUTED_VALUE"""),132.0)</f>
        <v>132</v>
      </c>
      <c r="K1618" s="4">
        <f>IFERROR(__xludf.DUMMYFUNCTION("""COMPUTED_VALUE"""),225.0)</f>
        <v>225</v>
      </c>
      <c r="L1618" s="4">
        <f>IFERROR(__xludf.DUMMYFUNCTION("""COMPUTED_VALUE"""),0.378)</f>
        <v>0.378</v>
      </c>
      <c r="M1618" s="4">
        <f>IFERROR(__xludf.DUMMYFUNCTION("""COMPUTED_VALUE"""),0.298)</f>
        <v>0.298</v>
      </c>
      <c r="N1618" s="4">
        <f>IFERROR(__xludf.DUMMYFUNCTION("""COMPUTED_VALUE"""),0.692)</f>
        <v>0.692</v>
      </c>
      <c r="O1618" s="4">
        <f>IFERROR(__xludf.DUMMYFUNCTION("""COMPUTED_VALUE"""),13.8)</f>
        <v>13.8</v>
      </c>
      <c r="P1618" s="4">
        <f>IFERROR(__xludf.DUMMYFUNCTION("""COMPUTED_VALUE"""),5.1)</f>
        <v>5.1</v>
      </c>
      <c r="Q1618" s="4">
        <f>IFERROR(__xludf.DUMMYFUNCTION("""COMPUTED_VALUE"""),1.1)</f>
        <v>1.1</v>
      </c>
      <c r="R1618" s="4">
        <f>IFERROR(__xludf.DUMMYFUNCTION("""COMPUTED_VALUE"""),2.0)</f>
        <v>2</v>
      </c>
      <c r="S1618" s="4">
        <f>IFERROR(__xludf.DUMMYFUNCTION("""COMPUTED_VALUE"""),0.0)</f>
        <v>0</v>
      </c>
      <c r="T1618" s="4">
        <f>IFERROR(__xludf.DUMMYFUNCTION("""COMPUTED_VALUE"""),0.0)</f>
        <v>0</v>
      </c>
      <c r="U1618" s="4">
        <f>IFERROR(__xludf.DUMMYFUNCTION("""COMPUTED_VALUE"""),-3.3)</f>
        <v>-3.3</v>
      </c>
      <c r="V1618" s="4">
        <f>IFERROR(__xludf.DUMMYFUNCTION("""COMPUTED_VALUE"""),-0.5)</f>
        <v>-0.5</v>
      </c>
    </row>
    <row r="1619">
      <c r="A1619" s="4">
        <f>IFERROR(__xludf.DUMMYFUNCTION("""COMPUTED_VALUE"""),34.0)</f>
        <v>34</v>
      </c>
      <c r="B1619" s="4">
        <f>IFERROR(__xludf.DUMMYFUNCTION("""COMPUTED_VALUE"""),34.0)</f>
        <v>34</v>
      </c>
      <c r="C1619" s="4" t="str">
        <f>IFERROR(__xludf.DUMMYFUNCTION("""COMPUTED_VALUE"""),"ATL")</f>
        <v>ATL</v>
      </c>
      <c r="D1619" s="4" t="str">
        <f>IFERROR(__xludf.DUMMYFUNCTION("""COMPUTED_VALUE"""),"Terence Morris")</f>
        <v>Terence Morris</v>
      </c>
      <c r="E1619" s="4" t="str">
        <f>IFERROR(__xludf.DUMMYFUNCTION("""COMPUTED_VALUE"""),"Maryland")</f>
        <v>Maryland</v>
      </c>
      <c r="F1619" s="4">
        <f>IFERROR(__xludf.DUMMYFUNCTION("""COMPUTED_VALUE"""),3.0)</f>
        <v>3</v>
      </c>
      <c r="G1619" s="4">
        <f>IFERROR(__xludf.DUMMYFUNCTION("""COMPUTED_VALUE"""),139.0)</f>
        <v>139</v>
      </c>
      <c r="H1619" s="4">
        <f>IFERROR(__xludf.DUMMYFUNCTION("""COMPUTED_VALUE"""),1934.0)</f>
        <v>1934</v>
      </c>
      <c r="I1619" s="4">
        <f>IFERROR(__xludf.DUMMYFUNCTION("""COMPUTED_VALUE"""),472.0)</f>
        <v>472</v>
      </c>
      <c r="J1619" s="4">
        <f>IFERROR(__xludf.DUMMYFUNCTION("""COMPUTED_VALUE"""),377.0)</f>
        <v>377</v>
      </c>
      <c r="K1619" s="4">
        <f>IFERROR(__xludf.DUMMYFUNCTION("""COMPUTED_VALUE"""),93.0)</f>
        <v>93</v>
      </c>
      <c r="L1619" s="4">
        <f>IFERROR(__xludf.DUMMYFUNCTION("""COMPUTED_VALUE"""),0.407)</f>
        <v>0.407</v>
      </c>
      <c r="M1619" s="4">
        <f>IFERROR(__xludf.DUMMYFUNCTION("""COMPUTED_VALUE"""),0.196)</f>
        <v>0.196</v>
      </c>
      <c r="N1619" s="4">
        <f>IFERROR(__xludf.DUMMYFUNCTION("""COMPUTED_VALUE"""),0.711)</f>
        <v>0.711</v>
      </c>
      <c r="O1619" s="4">
        <f>IFERROR(__xludf.DUMMYFUNCTION("""COMPUTED_VALUE"""),13.9)</f>
        <v>13.9</v>
      </c>
      <c r="P1619" s="4">
        <f>IFERROR(__xludf.DUMMYFUNCTION("""COMPUTED_VALUE"""),3.4)</f>
        <v>3.4</v>
      </c>
      <c r="Q1619" s="4">
        <f>IFERROR(__xludf.DUMMYFUNCTION("""COMPUTED_VALUE"""),2.7)</f>
        <v>2.7</v>
      </c>
      <c r="R1619" s="4">
        <f>IFERROR(__xludf.DUMMYFUNCTION("""COMPUTED_VALUE"""),0.7)</f>
        <v>0.7</v>
      </c>
      <c r="S1619" s="4">
        <f>IFERROR(__xludf.DUMMYFUNCTION("""COMPUTED_VALUE"""),1.0)</f>
        <v>1</v>
      </c>
      <c r="T1619" s="4">
        <f>IFERROR(__xludf.DUMMYFUNCTION("""COMPUTED_VALUE"""),0.025)</f>
        <v>0.025</v>
      </c>
      <c r="U1619" s="4">
        <f>IFERROR(__xludf.DUMMYFUNCTION("""COMPUTED_VALUE"""),-2.8)</f>
        <v>-2.8</v>
      </c>
      <c r="V1619" s="4">
        <f>IFERROR(__xludf.DUMMYFUNCTION("""COMPUTED_VALUE"""),-0.4)</f>
        <v>-0.4</v>
      </c>
    </row>
    <row r="1620">
      <c r="A1620" s="4">
        <f>IFERROR(__xludf.DUMMYFUNCTION("""COMPUTED_VALUE"""),35.0)</f>
        <v>35</v>
      </c>
      <c r="B1620" s="4">
        <f>IFERROR(__xludf.DUMMYFUNCTION("""COMPUTED_VALUE"""),35.0)</f>
        <v>35</v>
      </c>
      <c r="C1620" s="4" t="str">
        <f>IFERROR(__xludf.DUMMYFUNCTION("""COMPUTED_VALUE"""),"NJN")</f>
        <v>NJN</v>
      </c>
      <c r="D1620" s="4" t="str">
        <f>IFERROR(__xludf.DUMMYFUNCTION("""COMPUTED_VALUE"""),"Brian Scalabrine")</f>
        <v>Brian Scalabrine</v>
      </c>
      <c r="E1620" s="4" t="str">
        <f>IFERROR(__xludf.DUMMYFUNCTION("""COMPUTED_VALUE"""),"USC")</f>
        <v>USC</v>
      </c>
      <c r="F1620" s="4">
        <f>IFERROR(__xludf.DUMMYFUNCTION("""COMPUTED_VALUE"""),11.0)</f>
        <v>11</v>
      </c>
      <c r="G1620" s="4">
        <f>IFERROR(__xludf.DUMMYFUNCTION("""COMPUTED_VALUE"""),520.0)</f>
        <v>520</v>
      </c>
      <c r="H1620" s="4">
        <f>IFERROR(__xludf.DUMMYFUNCTION("""COMPUTED_VALUE"""),6772.0)</f>
        <v>6772</v>
      </c>
      <c r="I1620" s="4">
        <f>IFERROR(__xludf.DUMMYFUNCTION("""COMPUTED_VALUE"""),1594.0)</f>
        <v>1594</v>
      </c>
      <c r="J1620" s="4">
        <f>IFERROR(__xludf.DUMMYFUNCTION("""COMPUTED_VALUE"""),1034.0)</f>
        <v>1034</v>
      </c>
      <c r="K1620" s="4">
        <f>IFERROR(__xludf.DUMMYFUNCTION("""COMPUTED_VALUE"""),436.0)</f>
        <v>436</v>
      </c>
      <c r="L1620" s="4">
        <f>IFERROR(__xludf.DUMMYFUNCTION("""COMPUTED_VALUE"""),0.39)</f>
        <v>0.39</v>
      </c>
      <c r="M1620" s="4">
        <f>IFERROR(__xludf.DUMMYFUNCTION("""COMPUTED_VALUE"""),0.344)</f>
        <v>0.344</v>
      </c>
      <c r="N1620" s="4">
        <f>IFERROR(__xludf.DUMMYFUNCTION("""COMPUTED_VALUE"""),0.783)</f>
        <v>0.783</v>
      </c>
      <c r="O1620" s="4">
        <f>IFERROR(__xludf.DUMMYFUNCTION("""COMPUTED_VALUE"""),13.0)</f>
        <v>13</v>
      </c>
      <c r="P1620" s="4">
        <f>IFERROR(__xludf.DUMMYFUNCTION("""COMPUTED_VALUE"""),3.1)</f>
        <v>3.1</v>
      </c>
      <c r="Q1620" s="4">
        <f>IFERROR(__xludf.DUMMYFUNCTION("""COMPUTED_VALUE"""),2.0)</f>
        <v>2</v>
      </c>
      <c r="R1620" s="4">
        <f>IFERROR(__xludf.DUMMYFUNCTION("""COMPUTED_VALUE"""),0.8)</f>
        <v>0.8</v>
      </c>
      <c r="S1620" s="4">
        <f>IFERROR(__xludf.DUMMYFUNCTION("""COMPUTED_VALUE"""),7.6)</f>
        <v>7.6</v>
      </c>
      <c r="T1620" s="4">
        <f>IFERROR(__xludf.DUMMYFUNCTION("""COMPUTED_VALUE"""),0.054)</f>
        <v>0.054</v>
      </c>
      <c r="U1620" s="4">
        <f>IFERROR(__xludf.DUMMYFUNCTION("""COMPUTED_VALUE"""),-2.7)</f>
        <v>-2.7</v>
      </c>
      <c r="V1620" s="4">
        <f>IFERROR(__xludf.DUMMYFUNCTION("""COMPUTED_VALUE"""),-1.2)</f>
        <v>-1.2</v>
      </c>
    </row>
    <row r="1621">
      <c r="A1621" s="4">
        <f>IFERROR(__xludf.DUMMYFUNCTION("""COMPUTED_VALUE"""),36.0)</f>
        <v>36</v>
      </c>
      <c r="B1621" s="4">
        <f>IFERROR(__xludf.DUMMYFUNCTION("""COMPUTED_VALUE"""),36.0)</f>
        <v>36</v>
      </c>
      <c r="C1621" s="4" t="str">
        <f>IFERROR(__xludf.DUMMYFUNCTION("""COMPUTED_VALUE"""),"CLE")</f>
        <v>CLE</v>
      </c>
      <c r="D1621" s="4" t="str">
        <f>IFERROR(__xludf.DUMMYFUNCTION("""COMPUTED_VALUE"""),"Jeff Trepagnier")</f>
        <v>Jeff Trepagnier</v>
      </c>
      <c r="E1621" s="4" t="str">
        <f>IFERROR(__xludf.DUMMYFUNCTION("""COMPUTED_VALUE"""),"USC")</f>
        <v>USC</v>
      </c>
      <c r="F1621" s="4">
        <f>IFERROR(__xludf.DUMMYFUNCTION("""COMPUTED_VALUE"""),3.0)</f>
        <v>3</v>
      </c>
      <c r="G1621" s="4">
        <f>IFERROR(__xludf.DUMMYFUNCTION("""COMPUTED_VALUE"""),31.0)</f>
        <v>31</v>
      </c>
      <c r="H1621" s="4">
        <f>IFERROR(__xludf.DUMMYFUNCTION("""COMPUTED_VALUE"""),270.0)</f>
        <v>270</v>
      </c>
      <c r="I1621" s="4">
        <f>IFERROR(__xludf.DUMMYFUNCTION("""COMPUTED_VALUE"""),88.0)</f>
        <v>88</v>
      </c>
      <c r="J1621" s="4">
        <f>IFERROR(__xludf.DUMMYFUNCTION("""COMPUTED_VALUE"""),43.0)</f>
        <v>43</v>
      </c>
      <c r="K1621" s="4">
        <f>IFERROR(__xludf.DUMMYFUNCTION("""COMPUTED_VALUE"""),22.0)</f>
        <v>22</v>
      </c>
      <c r="L1621" s="4">
        <f>IFERROR(__xludf.DUMMYFUNCTION("""COMPUTED_VALUE"""),0.337)</f>
        <v>0.337</v>
      </c>
      <c r="M1621" s="4">
        <f>IFERROR(__xludf.DUMMYFUNCTION("""COMPUTED_VALUE"""),0.462)</f>
        <v>0.462</v>
      </c>
      <c r="N1621" s="4">
        <f>IFERROR(__xludf.DUMMYFUNCTION("""COMPUTED_VALUE"""),0.7)</f>
        <v>0.7</v>
      </c>
      <c r="O1621" s="4">
        <f>IFERROR(__xludf.DUMMYFUNCTION("""COMPUTED_VALUE"""),8.7)</f>
        <v>8.7</v>
      </c>
      <c r="P1621" s="4">
        <f>IFERROR(__xludf.DUMMYFUNCTION("""COMPUTED_VALUE"""),2.8)</f>
        <v>2.8</v>
      </c>
      <c r="Q1621" s="4">
        <f>IFERROR(__xludf.DUMMYFUNCTION("""COMPUTED_VALUE"""),1.4)</f>
        <v>1.4</v>
      </c>
      <c r="R1621" s="4">
        <f>IFERROR(__xludf.DUMMYFUNCTION("""COMPUTED_VALUE"""),0.7)</f>
        <v>0.7</v>
      </c>
      <c r="S1621" s="4">
        <f>IFERROR(__xludf.DUMMYFUNCTION("""COMPUTED_VALUE"""),-0.2)</f>
        <v>-0.2</v>
      </c>
      <c r="T1621" s="4">
        <f>IFERROR(__xludf.DUMMYFUNCTION("""COMPUTED_VALUE"""),-0.038)</f>
        <v>-0.038</v>
      </c>
      <c r="U1621" s="4">
        <f>IFERROR(__xludf.DUMMYFUNCTION("""COMPUTED_VALUE"""),-2.8)</f>
        <v>-2.8</v>
      </c>
      <c r="V1621" s="4">
        <f>IFERROR(__xludf.DUMMYFUNCTION("""COMPUTED_VALUE"""),-0.1)</f>
        <v>-0.1</v>
      </c>
    </row>
    <row r="1622">
      <c r="A1622" s="4">
        <f>IFERROR(__xludf.DUMMYFUNCTION("""COMPUTED_VALUE"""),37.0)</f>
        <v>37</v>
      </c>
      <c r="B1622" s="4">
        <f>IFERROR(__xludf.DUMMYFUNCTION("""COMPUTED_VALUE"""),37.0)</f>
        <v>37</v>
      </c>
      <c r="C1622" s="4" t="str">
        <f>IFERROR(__xludf.DUMMYFUNCTION("""COMPUTED_VALUE"""),"PHI")</f>
        <v>PHI</v>
      </c>
      <c r="D1622" s="4" t="str">
        <f>IFERROR(__xludf.DUMMYFUNCTION("""COMPUTED_VALUE"""),"Damone Brown")</f>
        <v>Damone Brown</v>
      </c>
      <c r="E1622" s="4" t="str">
        <f>IFERROR(__xludf.DUMMYFUNCTION("""COMPUTED_VALUE"""),"Syracuse")</f>
        <v>Syracuse</v>
      </c>
      <c r="F1622" s="4">
        <f>IFERROR(__xludf.DUMMYFUNCTION("""COMPUTED_VALUE"""),4.0)</f>
        <v>4</v>
      </c>
      <c r="G1622" s="4">
        <f>IFERROR(__xludf.DUMMYFUNCTION("""COMPUTED_VALUE"""),39.0)</f>
        <v>39</v>
      </c>
      <c r="H1622" s="4">
        <f>IFERROR(__xludf.DUMMYFUNCTION("""COMPUTED_VALUE"""),351.0)</f>
        <v>351</v>
      </c>
      <c r="I1622" s="4">
        <f>IFERROR(__xludf.DUMMYFUNCTION("""COMPUTED_VALUE"""),108.0)</f>
        <v>108</v>
      </c>
      <c r="J1622" s="4">
        <f>IFERROR(__xludf.DUMMYFUNCTION("""COMPUTED_VALUE"""),52.0)</f>
        <v>52</v>
      </c>
      <c r="K1622" s="4">
        <f>IFERROR(__xludf.DUMMYFUNCTION("""COMPUTED_VALUE"""),19.0)</f>
        <v>19</v>
      </c>
      <c r="L1622" s="4">
        <f>IFERROR(__xludf.DUMMYFUNCTION("""COMPUTED_VALUE"""),0.336)</f>
        <v>0.336</v>
      </c>
      <c r="M1622" s="4">
        <f>IFERROR(__xludf.DUMMYFUNCTION("""COMPUTED_VALUE"""),0.286)</f>
        <v>0.286</v>
      </c>
      <c r="N1622" s="4">
        <f>IFERROR(__xludf.DUMMYFUNCTION("""COMPUTED_VALUE"""),0.667)</f>
        <v>0.667</v>
      </c>
      <c r="O1622" s="4">
        <f>IFERROR(__xludf.DUMMYFUNCTION("""COMPUTED_VALUE"""),9.0)</f>
        <v>9</v>
      </c>
      <c r="P1622" s="4">
        <f>IFERROR(__xludf.DUMMYFUNCTION("""COMPUTED_VALUE"""),2.8)</f>
        <v>2.8</v>
      </c>
      <c r="Q1622" s="4">
        <f>IFERROR(__xludf.DUMMYFUNCTION("""COMPUTED_VALUE"""),1.3)</f>
        <v>1.3</v>
      </c>
      <c r="R1622" s="4">
        <f>IFERROR(__xludf.DUMMYFUNCTION("""COMPUTED_VALUE"""),0.5)</f>
        <v>0.5</v>
      </c>
      <c r="S1622" s="4">
        <f>IFERROR(__xludf.DUMMYFUNCTION("""COMPUTED_VALUE"""),-0.7)</f>
        <v>-0.7</v>
      </c>
      <c r="T1622" s="4">
        <f>IFERROR(__xludf.DUMMYFUNCTION("""COMPUTED_VALUE"""),-0.1)</f>
        <v>-0.1</v>
      </c>
      <c r="U1622" s="4">
        <f>IFERROR(__xludf.DUMMYFUNCTION("""COMPUTED_VALUE"""),-8.6)</f>
        <v>-8.6</v>
      </c>
      <c r="V1622" s="4">
        <f>IFERROR(__xludf.DUMMYFUNCTION("""COMPUTED_VALUE"""),-0.6)</f>
        <v>-0.6</v>
      </c>
    </row>
    <row r="1623">
      <c r="A1623" s="4">
        <f>IFERROR(__xludf.DUMMYFUNCTION("""COMPUTED_VALUE"""),38.0)</f>
        <v>38</v>
      </c>
      <c r="B1623" s="4">
        <f>IFERROR(__xludf.DUMMYFUNCTION("""COMPUTED_VALUE"""),38.0)</f>
        <v>38</v>
      </c>
      <c r="C1623" s="4" t="str">
        <f>IFERROR(__xludf.DUMMYFUNCTION("""COMPUTED_VALUE"""),"DET")</f>
        <v>DET</v>
      </c>
      <c r="D1623" s="4" t="str">
        <f>IFERROR(__xludf.DUMMYFUNCTION("""COMPUTED_VALUE"""),"Mehmet Okur")</f>
        <v>Mehmet Okur</v>
      </c>
      <c r="E1623" s="4"/>
      <c r="F1623" s="4">
        <f>IFERROR(__xludf.DUMMYFUNCTION("""COMPUTED_VALUE"""),10.0)</f>
        <v>10</v>
      </c>
      <c r="G1623" s="4">
        <f>IFERROR(__xludf.DUMMYFUNCTION("""COMPUTED_VALUE"""),634.0)</f>
        <v>634</v>
      </c>
      <c r="H1623" s="4">
        <f>IFERROR(__xludf.DUMMYFUNCTION("""COMPUTED_VALUE"""),18429.0)</f>
        <v>18429</v>
      </c>
      <c r="I1623" s="4">
        <f>IFERROR(__xludf.DUMMYFUNCTION("""COMPUTED_VALUE"""),8561.0)</f>
        <v>8561</v>
      </c>
      <c r="J1623" s="4">
        <f>IFERROR(__xludf.DUMMYFUNCTION("""COMPUTED_VALUE"""),4436.0)</f>
        <v>4436</v>
      </c>
      <c r="K1623" s="4">
        <f>IFERROR(__xludf.DUMMYFUNCTION("""COMPUTED_VALUE"""),1089.0)</f>
        <v>1089</v>
      </c>
      <c r="L1623" s="4">
        <f>IFERROR(__xludf.DUMMYFUNCTION("""COMPUTED_VALUE"""),0.458)</f>
        <v>0.458</v>
      </c>
      <c r="M1623" s="4">
        <f>IFERROR(__xludf.DUMMYFUNCTION("""COMPUTED_VALUE"""),0.375)</f>
        <v>0.375</v>
      </c>
      <c r="N1623" s="4">
        <f>IFERROR(__xludf.DUMMYFUNCTION("""COMPUTED_VALUE"""),0.797)</f>
        <v>0.797</v>
      </c>
      <c r="O1623" s="4">
        <f>IFERROR(__xludf.DUMMYFUNCTION("""COMPUTED_VALUE"""),29.1)</f>
        <v>29.1</v>
      </c>
      <c r="P1623" s="4">
        <f>IFERROR(__xludf.DUMMYFUNCTION("""COMPUTED_VALUE"""),13.5)</f>
        <v>13.5</v>
      </c>
      <c r="Q1623" s="4">
        <f>IFERROR(__xludf.DUMMYFUNCTION("""COMPUTED_VALUE"""),7.0)</f>
        <v>7</v>
      </c>
      <c r="R1623" s="4">
        <f>IFERROR(__xludf.DUMMYFUNCTION("""COMPUTED_VALUE"""),1.7)</f>
        <v>1.7</v>
      </c>
      <c r="S1623" s="4">
        <f>IFERROR(__xludf.DUMMYFUNCTION("""COMPUTED_VALUE"""),54.7)</f>
        <v>54.7</v>
      </c>
      <c r="T1623" s="4">
        <f>IFERROR(__xludf.DUMMYFUNCTION("""COMPUTED_VALUE"""),0.142)</f>
        <v>0.142</v>
      </c>
      <c r="U1623" s="4">
        <f>IFERROR(__xludf.DUMMYFUNCTION("""COMPUTED_VALUE"""),1.1)</f>
        <v>1.1</v>
      </c>
      <c r="V1623" s="4">
        <f>IFERROR(__xludf.DUMMYFUNCTION("""COMPUTED_VALUE"""),14.5)</f>
        <v>14.5</v>
      </c>
    </row>
    <row r="1624">
      <c r="A1624" s="4">
        <f>IFERROR(__xludf.DUMMYFUNCTION("""COMPUTED_VALUE"""),39.0)</f>
        <v>39</v>
      </c>
      <c r="B1624" s="4">
        <f>IFERROR(__xludf.DUMMYFUNCTION("""COMPUTED_VALUE"""),39.0)</f>
        <v>39</v>
      </c>
      <c r="C1624" s="4" t="str">
        <f>IFERROR(__xludf.DUMMYFUNCTION("""COMPUTED_VALUE"""),"NYK")</f>
        <v>NYK</v>
      </c>
      <c r="D1624" s="4" t="str">
        <f>IFERROR(__xludf.DUMMYFUNCTION("""COMPUTED_VALUE"""),"Michael Wright")</f>
        <v>Michael Wright</v>
      </c>
      <c r="E1624" s="4" t="str">
        <f>IFERROR(__xludf.DUMMYFUNCTION("""COMPUTED_VALUE"""),"Arizona")</f>
        <v>Arizona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</row>
    <row r="1625">
      <c r="A1625" s="4">
        <f>IFERROR(__xludf.DUMMYFUNCTION("""COMPUTED_VALUE"""),40.0)</f>
        <v>40</v>
      </c>
      <c r="B1625" s="4">
        <f>IFERROR(__xludf.DUMMYFUNCTION("""COMPUTED_VALUE"""),40.0)</f>
        <v>40</v>
      </c>
      <c r="C1625" s="4" t="str">
        <f>IFERROR(__xludf.DUMMYFUNCTION("""COMPUTED_VALUE"""),"SEA")</f>
        <v>SEA</v>
      </c>
      <c r="D1625" s="4" t="str">
        <f>IFERROR(__xludf.DUMMYFUNCTION("""COMPUTED_VALUE"""),"Earl Watson")</f>
        <v>Earl Watson</v>
      </c>
      <c r="E1625" s="4" t="str">
        <f>IFERROR(__xludf.DUMMYFUNCTION("""COMPUTED_VALUE"""),"UCLA")</f>
        <v>UCLA</v>
      </c>
      <c r="F1625" s="4">
        <f>IFERROR(__xludf.DUMMYFUNCTION("""COMPUTED_VALUE"""),13.0)</f>
        <v>13</v>
      </c>
      <c r="G1625" s="4">
        <f>IFERROR(__xludf.DUMMYFUNCTION("""COMPUTED_VALUE"""),878.0)</f>
        <v>878</v>
      </c>
      <c r="H1625" s="4">
        <f>IFERROR(__xludf.DUMMYFUNCTION("""COMPUTED_VALUE"""),19494.0)</f>
        <v>19494</v>
      </c>
      <c r="I1625" s="4">
        <f>IFERROR(__xludf.DUMMYFUNCTION("""COMPUTED_VALUE"""),5593.0)</f>
        <v>5593</v>
      </c>
      <c r="J1625" s="4">
        <f>IFERROR(__xludf.DUMMYFUNCTION("""COMPUTED_VALUE"""),1985.0)</f>
        <v>1985</v>
      </c>
      <c r="K1625" s="4">
        <f>IFERROR(__xludf.DUMMYFUNCTION("""COMPUTED_VALUE"""),3871.0)</f>
        <v>3871</v>
      </c>
      <c r="L1625" s="4">
        <f>IFERROR(__xludf.DUMMYFUNCTION("""COMPUTED_VALUE"""),0.411)</f>
        <v>0.411</v>
      </c>
      <c r="M1625" s="4">
        <f>IFERROR(__xludf.DUMMYFUNCTION("""COMPUTED_VALUE"""),0.324)</f>
        <v>0.324</v>
      </c>
      <c r="N1625" s="4">
        <f>IFERROR(__xludf.DUMMYFUNCTION("""COMPUTED_VALUE"""),0.703)</f>
        <v>0.703</v>
      </c>
      <c r="O1625" s="4">
        <f>IFERROR(__xludf.DUMMYFUNCTION("""COMPUTED_VALUE"""),22.2)</f>
        <v>22.2</v>
      </c>
      <c r="P1625" s="4">
        <f>IFERROR(__xludf.DUMMYFUNCTION("""COMPUTED_VALUE"""),6.4)</f>
        <v>6.4</v>
      </c>
      <c r="Q1625" s="4">
        <f>IFERROR(__xludf.DUMMYFUNCTION("""COMPUTED_VALUE"""),2.3)</f>
        <v>2.3</v>
      </c>
      <c r="R1625" s="4">
        <f>IFERROR(__xludf.DUMMYFUNCTION("""COMPUTED_VALUE"""),4.4)</f>
        <v>4.4</v>
      </c>
      <c r="S1625" s="4">
        <f>IFERROR(__xludf.DUMMYFUNCTION("""COMPUTED_VALUE"""),19.2)</f>
        <v>19.2</v>
      </c>
      <c r="T1625" s="4">
        <f>IFERROR(__xludf.DUMMYFUNCTION("""COMPUTED_VALUE"""),0.047)</f>
        <v>0.047</v>
      </c>
      <c r="U1625" s="4">
        <f>IFERROR(__xludf.DUMMYFUNCTION("""COMPUTED_VALUE"""),-1.4)</f>
        <v>-1.4</v>
      </c>
      <c r="V1625" s="4">
        <f>IFERROR(__xludf.DUMMYFUNCTION("""COMPUTED_VALUE"""),2.8)</f>
        <v>2.8</v>
      </c>
    </row>
    <row r="1626">
      <c r="A1626" s="4">
        <f>IFERROR(__xludf.DUMMYFUNCTION("""COMPUTED_VALUE"""),41.0)</f>
        <v>41</v>
      </c>
      <c r="B1626" s="4">
        <f>IFERROR(__xludf.DUMMYFUNCTION("""COMPUTED_VALUE"""),41.0)</f>
        <v>41</v>
      </c>
      <c r="C1626" s="4" t="str">
        <f>IFERROR(__xludf.DUMMYFUNCTION("""COMPUTED_VALUE"""),"IND")</f>
        <v>IND</v>
      </c>
      <c r="D1626" s="4" t="str">
        <f>IFERROR(__xludf.DUMMYFUNCTION("""COMPUTED_VALUE"""),"Jamison Brewer")</f>
        <v>Jamison Brewer</v>
      </c>
      <c r="E1626" s="4" t="str">
        <f>IFERROR(__xludf.DUMMYFUNCTION("""COMPUTED_VALUE"""),"Auburn")</f>
        <v>Auburn</v>
      </c>
      <c r="F1626" s="4">
        <f>IFERROR(__xludf.DUMMYFUNCTION("""COMPUTED_VALUE"""),4.0)</f>
        <v>4</v>
      </c>
      <c r="G1626" s="4">
        <f>IFERROR(__xludf.DUMMYFUNCTION("""COMPUTED_VALUE"""),54.0)</f>
        <v>54</v>
      </c>
      <c r="H1626" s="4">
        <f>IFERROR(__xludf.DUMMYFUNCTION("""COMPUTED_VALUE"""),468.0)</f>
        <v>468</v>
      </c>
      <c r="I1626" s="4">
        <f>IFERROR(__xludf.DUMMYFUNCTION("""COMPUTED_VALUE"""),89.0)</f>
        <v>89</v>
      </c>
      <c r="J1626" s="4">
        <f>IFERROR(__xludf.DUMMYFUNCTION("""COMPUTED_VALUE"""),50.0)</f>
        <v>50</v>
      </c>
      <c r="K1626" s="4">
        <f>IFERROR(__xludf.DUMMYFUNCTION("""COMPUTED_VALUE"""),56.0)</f>
        <v>56</v>
      </c>
      <c r="L1626" s="4">
        <f>IFERROR(__xludf.DUMMYFUNCTION("""COMPUTED_VALUE"""),0.372)</f>
        <v>0.372</v>
      </c>
      <c r="M1626" s="4">
        <f>IFERROR(__xludf.DUMMYFUNCTION("""COMPUTED_VALUE"""),0.25)</f>
        <v>0.25</v>
      </c>
      <c r="N1626" s="4">
        <f>IFERROR(__xludf.DUMMYFUNCTION("""COMPUTED_VALUE"""),0.393)</f>
        <v>0.393</v>
      </c>
      <c r="O1626" s="4">
        <f>IFERROR(__xludf.DUMMYFUNCTION("""COMPUTED_VALUE"""),8.7)</f>
        <v>8.7</v>
      </c>
      <c r="P1626" s="4">
        <f>IFERROR(__xludf.DUMMYFUNCTION("""COMPUTED_VALUE"""),1.6)</f>
        <v>1.6</v>
      </c>
      <c r="Q1626" s="4">
        <f>IFERROR(__xludf.DUMMYFUNCTION("""COMPUTED_VALUE"""),0.9)</f>
        <v>0.9</v>
      </c>
      <c r="R1626" s="4">
        <f>IFERROR(__xludf.DUMMYFUNCTION("""COMPUTED_VALUE"""),1.0)</f>
        <v>1</v>
      </c>
      <c r="S1626" s="4">
        <f>IFERROR(__xludf.DUMMYFUNCTION("""COMPUTED_VALUE"""),0.0)</f>
        <v>0</v>
      </c>
      <c r="T1626" s="4">
        <f>IFERROR(__xludf.DUMMYFUNCTION("""COMPUTED_VALUE"""),-0.001)</f>
        <v>-0.001</v>
      </c>
      <c r="U1626" s="4">
        <f>IFERROR(__xludf.DUMMYFUNCTION("""COMPUTED_VALUE"""),-2.4)</f>
        <v>-2.4</v>
      </c>
      <c r="V1626" s="4">
        <f>IFERROR(__xludf.DUMMYFUNCTION("""COMPUTED_VALUE"""),0.0)</f>
        <v>0</v>
      </c>
    </row>
    <row r="1627">
      <c r="A1627" s="4">
        <f>IFERROR(__xludf.DUMMYFUNCTION("""COMPUTED_VALUE"""),42.0)</f>
        <v>42</v>
      </c>
      <c r="B1627" s="4">
        <f>IFERROR(__xludf.DUMMYFUNCTION("""COMPUTED_VALUE"""),42.0)</f>
        <v>42</v>
      </c>
      <c r="C1627" s="4" t="str">
        <f>IFERROR(__xludf.DUMMYFUNCTION("""COMPUTED_VALUE"""),"SEA")</f>
        <v>SEA</v>
      </c>
      <c r="D1627" s="4" t="str">
        <f>IFERROR(__xludf.DUMMYFUNCTION("""COMPUTED_VALUE"""),"Bobby Simmons")</f>
        <v>Bobby Simmons</v>
      </c>
      <c r="E1627" s="4" t="str">
        <f>IFERROR(__xludf.DUMMYFUNCTION("""COMPUTED_VALUE"""),"DePaul")</f>
        <v>DePaul</v>
      </c>
      <c r="F1627" s="4">
        <f>IFERROR(__xludf.DUMMYFUNCTION("""COMPUTED_VALUE"""),10.0)</f>
        <v>10</v>
      </c>
      <c r="G1627" s="4">
        <f>IFERROR(__xludf.DUMMYFUNCTION("""COMPUTED_VALUE"""),466.0)</f>
        <v>466</v>
      </c>
      <c r="H1627" s="4">
        <f>IFERROR(__xludf.DUMMYFUNCTION("""COMPUTED_VALUE"""),11513.0)</f>
        <v>11513</v>
      </c>
      <c r="I1627" s="4">
        <f>IFERROR(__xludf.DUMMYFUNCTION("""COMPUTED_VALUE"""),4189.0)</f>
        <v>4189</v>
      </c>
      <c r="J1627" s="4">
        <f>IFERROR(__xludf.DUMMYFUNCTION("""COMPUTED_VALUE"""),1791.0)</f>
        <v>1791</v>
      </c>
      <c r="K1627" s="4">
        <f>IFERROR(__xludf.DUMMYFUNCTION("""COMPUTED_VALUE"""),710.0)</f>
        <v>710</v>
      </c>
      <c r="L1627" s="4">
        <f>IFERROR(__xludf.DUMMYFUNCTION("""COMPUTED_VALUE"""),0.437)</f>
        <v>0.437</v>
      </c>
      <c r="M1627" s="4">
        <f>IFERROR(__xludf.DUMMYFUNCTION("""COMPUTED_VALUE"""),0.396)</f>
        <v>0.396</v>
      </c>
      <c r="N1627" s="4">
        <f>IFERROR(__xludf.DUMMYFUNCTION("""COMPUTED_VALUE"""),0.823)</f>
        <v>0.823</v>
      </c>
      <c r="O1627" s="4">
        <f>IFERROR(__xludf.DUMMYFUNCTION("""COMPUTED_VALUE"""),24.7)</f>
        <v>24.7</v>
      </c>
      <c r="P1627" s="4">
        <f>IFERROR(__xludf.DUMMYFUNCTION("""COMPUTED_VALUE"""),9.0)</f>
        <v>9</v>
      </c>
      <c r="Q1627" s="4">
        <f>IFERROR(__xludf.DUMMYFUNCTION("""COMPUTED_VALUE"""),3.8)</f>
        <v>3.8</v>
      </c>
      <c r="R1627" s="4">
        <f>IFERROR(__xludf.DUMMYFUNCTION("""COMPUTED_VALUE"""),1.5)</f>
        <v>1.5</v>
      </c>
      <c r="S1627" s="4">
        <f>IFERROR(__xludf.DUMMYFUNCTION("""COMPUTED_VALUE"""),20.1)</f>
        <v>20.1</v>
      </c>
      <c r="T1627" s="4">
        <f>IFERROR(__xludf.DUMMYFUNCTION("""COMPUTED_VALUE"""),0.084)</f>
        <v>0.084</v>
      </c>
      <c r="U1627" s="4">
        <f>IFERROR(__xludf.DUMMYFUNCTION("""COMPUTED_VALUE"""),-0.7)</f>
        <v>-0.7</v>
      </c>
      <c r="V1627" s="4">
        <f>IFERROR(__xludf.DUMMYFUNCTION("""COMPUTED_VALUE"""),3.6)</f>
        <v>3.6</v>
      </c>
    </row>
    <row r="1628">
      <c r="A1628" s="4">
        <f>IFERROR(__xludf.DUMMYFUNCTION("""COMPUTED_VALUE"""),43.0)</f>
        <v>43</v>
      </c>
      <c r="B1628" s="4">
        <f>IFERROR(__xludf.DUMMYFUNCTION("""COMPUTED_VALUE"""),43.0)</f>
        <v>43</v>
      </c>
      <c r="C1628" s="4" t="str">
        <f>IFERROR(__xludf.DUMMYFUNCTION("""COMPUTED_VALUE"""),"NYK")</f>
        <v>NYK</v>
      </c>
      <c r="D1628" s="4" t="str">
        <f>IFERROR(__xludf.DUMMYFUNCTION("""COMPUTED_VALUE"""),"Eric Chenowith")</f>
        <v>Eric Chenowith</v>
      </c>
      <c r="E1628" s="4" t="str">
        <f>IFERROR(__xludf.DUMMYFUNCTION("""COMPUTED_VALUE"""),"Kansas")</f>
        <v>Kansas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</row>
    <row r="1629">
      <c r="A1629" s="4">
        <f>IFERROR(__xludf.DUMMYFUNCTION("""COMPUTED_VALUE"""),44.0)</f>
        <v>44</v>
      </c>
      <c r="B1629" s="4">
        <f>IFERROR(__xludf.DUMMYFUNCTION("""COMPUTED_VALUE"""),44.0)</f>
        <v>44</v>
      </c>
      <c r="C1629" s="4" t="str">
        <f>IFERROR(__xludf.DUMMYFUNCTION("""COMPUTED_VALUE"""),"DAL")</f>
        <v>DAL</v>
      </c>
      <c r="D1629" s="4" t="str">
        <f>IFERROR(__xludf.DUMMYFUNCTION("""COMPUTED_VALUE"""),"Kyle Hill")</f>
        <v>Kyle Hill</v>
      </c>
      <c r="E1629" s="4" t="str">
        <f>IFERROR(__xludf.DUMMYFUNCTION("""COMPUTED_VALUE"""),"Eastern Illinois University")</f>
        <v>Eastern Illinois University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</row>
    <row r="1630">
      <c r="A1630" s="4">
        <f>IFERROR(__xludf.DUMMYFUNCTION("""COMPUTED_VALUE"""),45.0)</f>
        <v>45</v>
      </c>
      <c r="B1630" s="4">
        <f>IFERROR(__xludf.DUMMYFUNCTION("""COMPUTED_VALUE"""),45.0)</f>
        <v>45</v>
      </c>
      <c r="C1630" s="4" t="str">
        <f>IFERROR(__xludf.DUMMYFUNCTION("""COMPUTED_VALUE"""),"CHI")</f>
        <v>CHI</v>
      </c>
      <c r="D1630" s="4" t="str">
        <f>IFERROR(__xludf.DUMMYFUNCTION("""COMPUTED_VALUE"""),"Sean Lampley")</f>
        <v>Sean Lampley</v>
      </c>
      <c r="E1630" s="4" t="str">
        <f>IFERROR(__xludf.DUMMYFUNCTION("""COMPUTED_VALUE"""),"California")</f>
        <v>California</v>
      </c>
      <c r="F1630" s="4">
        <f>IFERROR(__xludf.DUMMYFUNCTION("""COMPUTED_VALUE"""),2.0)</f>
        <v>2</v>
      </c>
      <c r="G1630" s="4">
        <f>IFERROR(__xludf.DUMMYFUNCTION("""COMPUTED_VALUE"""),45.0)</f>
        <v>45</v>
      </c>
      <c r="H1630" s="4">
        <f>IFERROR(__xludf.DUMMYFUNCTION("""COMPUTED_VALUE"""),550.0)</f>
        <v>550</v>
      </c>
      <c r="I1630" s="4">
        <f>IFERROR(__xludf.DUMMYFUNCTION("""COMPUTED_VALUE"""),203.0)</f>
        <v>203</v>
      </c>
      <c r="J1630" s="4">
        <f>IFERROR(__xludf.DUMMYFUNCTION("""COMPUTED_VALUE"""),94.0)</f>
        <v>94</v>
      </c>
      <c r="K1630" s="4">
        <f>IFERROR(__xludf.DUMMYFUNCTION("""COMPUTED_VALUE"""),33.0)</f>
        <v>33</v>
      </c>
      <c r="L1630" s="4">
        <f>IFERROR(__xludf.DUMMYFUNCTION("""COMPUTED_VALUE"""),0.463)</f>
        <v>0.463</v>
      </c>
      <c r="M1630" s="4">
        <f>IFERROR(__xludf.DUMMYFUNCTION("""COMPUTED_VALUE"""),0.0)</f>
        <v>0</v>
      </c>
      <c r="N1630" s="4">
        <f>IFERROR(__xludf.DUMMYFUNCTION("""COMPUTED_VALUE"""),0.691)</f>
        <v>0.691</v>
      </c>
      <c r="O1630" s="4">
        <f>IFERROR(__xludf.DUMMYFUNCTION("""COMPUTED_VALUE"""),12.2)</f>
        <v>12.2</v>
      </c>
      <c r="P1630" s="4">
        <f>IFERROR(__xludf.DUMMYFUNCTION("""COMPUTED_VALUE"""),4.5)</f>
        <v>4.5</v>
      </c>
      <c r="Q1630" s="4">
        <f>IFERROR(__xludf.DUMMYFUNCTION("""COMPUTED_VALUE"""),2.1)</f>
        <v>2.1</v>
      </c>
      <c r="R1630" s="4">
        <f>IFERROR(__xludf.DUMMYFUNCTION("""COMPUTED_VALUE"""),0.7)</f>
        <v>0.7</v>
      </c>
      <c r="S1630" s="4">
        <f>IFERROR(__xludf.DUMMYFUNCTION("""COMPUTED_VALUE"""),1.1)</f>
        <v>1.1</v>
      </c>
      <c r="T1630" s="4">
        <f>IFERROR(__xludf.DUMMYFUNCTION("""COMPUTED_VALUE"""),0.096)</f>
        <v>0.096</v>
      </c>
      <c r="U1630" s="4">
        <f>IFERROR(__xludf.DUMMYFUNCTION("""COMPUTED_VALUE"""),-1.7)</f>
        <v>-1.7</v>
      </c>
      <c r="V1630" s="4">
        <f>IFERROR(__xludf.DUMMYFUNCTION("""COMPUTED_VALUE"""),0.0)</f>
        <v>0</v>
      </c>
    </row>
    <row r="1631">
      <c r="A1631" s="4">
        <f>IFERROR(__xludf.DUMMYFUNCTION("""COMPUTED_VALUE"""),46.0)</f>
        <v>46</v>
      </c>
      <c r="B1631" s="4">
        <f>IFERROR(__xludf.DUMMYFUNCTION("""COMPUTED_VALUE"""),46.0)</f>
        <v>46</v>
      </c>
      <c r="C1631" s="4" t="str">
        <f>IFERROR(__xludf.DUMMYFUNCTION("""COMPUTED_VALUE"""),"MIN")</f>
        <v>MIN</v>
      </c>
      <c r="D1631" s="4" t="str">
        <f>IFERROR(__xludf.DUMMYFUNCTION("""COMPUTED_VALUE"""),"Loren Woods")</f>
        <v>Loren Woods</v>
      </c>
      <c r="E1631" s="4" t="str">
        <f>IFERROR(__xludf.DUMMYFUNCTION("""COMPUTED_VALUE"""),"Arizona")</f>
        <v>Arizona</v>
      </c>
      <c r="F1631" s="4">
        <f>IFERROR(__xludf.DUMMYFUNCTION("""COMPUTED_VALUE"""),6.0)</f>
        <v>6</v>
      </c>
      <c r="G1631" s="4">
        <f>IFERROR(__xludf.DUMMYFUNCTION("""COMPUTED_VALUE"""),215.0)</f>
        <v>215</v>
      </c>
      <c r="H1631" s="4">
        <f>IFERROR(__xludf.DUMMYFUNCTION("""COMPUTED_VALUE"""),2428.0)</f>
        <v>2428</v>
      </c>
      <c r="I1631" s="4">
        <f>IFERROR(__xludf.DUMMYFUNCTION("""COMPUTED_VALUE"""),555.0)</f>
        <v>555</v>
      </c>
      <c r="J1631" s="4">
        <f>IFERROR(__xludf.DUMMYFUNCTION("""COMPUTED_VALUE"""),682.0)</f>
        <v>682</v>
      </c>
      <c r="K1631" s="4">
        <f>IFERROR(__xludf.DUMMYFUNCTION("""COMPUTED_VALUE"""),74.0)</f>
        <v>74</v>
      </c>
      <c r="L1631" s="4">
        <f>IFERROR(__xludf.DUMMYFUNCTION("""COMPUTED_VALUE"""),0.419)</f>
        <v>0.419</v>
      </c>
      <c r="M1631" s="4">
        <f>IFERROR(__xludf.DUMMYFUNCTION("""COMPUTED_VALUE"""),0.143)</f>
        <v>0.143</v>
      </c>
      <c r="N1631" s="4">
        <f>IFERROR(__xludf.DUMMYFUNCTION("""COMPUTED_VALUE"""),0.642)</f>
        <v>0.642</v>
      </c>
      <c r="O1631" s="4">
        <f>IFERROR(__xludf.DUMMYFUNCTION("""COMPUTED_VALUE"""),11.3)</f>
        <v>11.3</v>
      </c>
      <c r="P1631" s="4">
        <f>IFERROR(__xludf.DUMMYFUNCTION("""COMPUTED_VALUE"""),2.6)</f>
        <v>2.6</v>
      </c>
      <c r="Q1631" s="4">
        <f>IFERROR(__xludf.DUMMYFUNCTION("""COMPUTED_VALUE"""),3.2)</f>
        <v>3.2</v>
      </c>
      <c r="R1631" s="4">
        <f>IFERROR(__xludf.DUMMYFUNCTION("""COMPUTED_VALUE"""),0.3)</f>
        <v>0.3</v>
      </c>
      <c r="S1631" s="4">
        <f>IFERROR(__xludf.DUMMYFUNCTION("""COMPUTED_VALUE"""),3.1)</f>
        <v>3.1</v>
      </c>
      <c r="T1631" s="4">
        <f>IFERROR(__xludf.DUMMYFUNCTION("""COMPUTED_VALUE"""),0.062)</f>
        <v>0.062</v>
      </c>
      <c r="U1631" s="4">
        <f>IFERROR(__xludf.DUMMYFUNCTION("""COMPUTED_VALUE"""),-2.5)</f>
        <v>-2.5</v>
      </c>
      <c r="V1631" s="4">
        <f>IFERROR(__xludf.DUMMYFUNCTION("""COMPUTED_VALUE"""),-0.3)</f>
        <v>-0.3</v>
      </c>
    </row>
    <row r="1632">
      <c r="A1632" s="4">
        <f>IFERROR(__xludf.DUMMYFUNCTION("""COMPUTED_VALUE"""),47.0)</f>
        <v>47</v>
      </c>
      <c r="B1632" s="4">
        <f>IFERROR(__xludf.DUMMYFUNCTION("""COMPUTED_VALUE"""),47.0)</f>
        <v>47</v>
      </c>
      <c r="C1632" s="4" t="str">
        <f>IFERROR(__xludf.DUMMYFUNCTION("""COMPUTED_VALUE"""),"DEN")</f>
        <v>DEN</v>
      </c>
      <c r="D1632" s="4" t="str">
        <f>IFERROR(__xludf.DUMMYFUNCTION("""COMPUTED_VALUE"""),"Ousmane Cisse")</f>
        <v>Ousmane Cisse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</row>
    <row r="1633">
      <c r="A1633" s="4">
        <f>IFERROR(__xludf.DUMMYFUNCTION("""COMPUTED_VALUE"""),48.0)</f>
        <v>48</v>
      </c>
      <c r="B1633" s="4">
        <f>IFERROR(__xludf.DUMMYFUNCTION("""COMPUTED_VALUE"""),48.0)</f>
        <v>48</v>
      </c>
      <c r="C1633" s="4" t="str">
        <f>IFERROR(__xludf.DUMMYFUNCTION("""COMPUTED_VALUE"""),"MEM")</f>
        <v>MEM</v>
      </c>
      <c r="D1633" s="4" t="str">
        <f>IFERROR(__xludf.DUMMYFUNCTION("""COMPUTED_VALUE"""),"Antonis Fotsis")</f>
        <v>Antonis Fotsis</v>
      </c>
      <c r="E1633" s="4"/>
      <c r="F1633" s="4">
        <f>IFERROR(__xludf.DUMMYFUNCTION("""COMPUTED_VALUE"""),1.0)</f>
        <v>1</v>
      </c>
      <c r="G1633" s="4">
        <f>IFERROR(__xludf.DUMMYFUNCTION("""COMPUTED_VALUE"""),28.0)</f>
        <v>28</v>
      </c>
      <c r="H1633" s="4">
        <f>IFERROR(__xludf.DUMMYFUNCTION("""COMPUTED_VALUE"""),320.0)</f>
        <v>320</v>
      </c>
      <c r="I1633" s="4">
        <f>IFERROR(__xludf.DUMMYFUNCTION("""COMPUTED_VALUE"""),108.0)</f>
        <v>108</v>
      </c>
      <c r="J1633" s="4">
        <f>IFERROR(__xludf.DUMMYFUNCTION("""COMPUTED_VALUE"""),62.0)</f>
        <v>62</v>
      </c>
      <c r="K1633" s="4">
        <f>IFERROR(__xludf.DUMMYFUNCTION("""COMPUTED_VALUE"""),10.0)</f>
        <v>10</v>
      </c>
      <c r="L1633" s="4">
        <f>IFERROR(__xludf.DUMMYFUNCTION("""COMPUTED_VALUE"""),0.404)</f>
        <v>0.404</v>
      </c>
      <c r="M1633" s="4">
        <f>IFERROR(__xludf.DUMMYFUNCTION("""COMPUTED_VALUE"""),0.304)</f>
        <v>0.304</v>
      </c>
      <c r="N1633" s="4">
        <f>IFERROR(__xludf.DUMMYFUNCTION("""COMPUTED_VALUE"""),0.85)</f>
        <v>0.85</v>
      </c>
      <c r="O1633" s="4">
        <f>IFERROR(__xludf.DUMMYFUNCTION("""COMPUTED_VALUE"""),11.4)</f>
        <v>11.4</v>
      </c>
      <c r="P1633" s="4">
        <f>IFERROR(__xludf.DUMMYFUNCTION("""COMPUTED_VALUE"""),3.9)</f>
        <v>3.9</v>
      </c>
      <c r="Q1633" s="4">
        <f>IFERROR(__xludf.DUMMYFUNCTION("""COMPUTED_VALUE"""),2.2)</f>
        <v>2.2</v>
      </c>
      <c r="R1633" s="4">
        <f>IFERROR(__xludf.DUMMYFUNCTION("""COMPUTED_VALUE"""),0.4)</f>
        <v>0.4</v>
      </c>
      <c r="S1633" s="4">
        <f>IFERROR(__xludf.DUMMYFUNCTION("""COMPUTED_VALUE"""),0.1)</f>
        <v>0.1</v>
      </c>
      <c r="T1633" s="4">
        <f>IFERROR(__xludf.DUMMYFUNCTION("""COMPUTED_VALUE"""),0.017)</f>
        <v>0.017</v>
      </c>
      <c r="U1633" s="4">
        <f>IFERROR(__xludf.DUMMYFUNCTION("""COMPUTED_VALUE"""),-3.4)</f>
        <v>-3.4</v>
      </c>
      <c r="V1633" s="4">
        <f>IFERROR(__xludf.DUMMYFUNCTION("""COMPUTED_VALUE"""),-0.1)</f>
        <v>-0.1</v>
      </c>
    </row>
    <row r="1634">
      <c r="A1634" s="4">
        <f>IFERROR(__xludf.DUMMYFUNCTION("""COMPUTED_VALUE"""),49.0)</f>
        <v>49</v>
      </c>
      <c r="B1634" s="4">
        <f>IFERROR(__xludf.DUMMYFUNCTION("""COMPUTED_VALUE"""),49.0)</f>
        <v>49</v>
      </c>
      <c r="C1634" s="4" t="str">
        <f>IFERROR(__xludf.DUMMYFUNCTION("""COMPUTED_VALUE"""),"MIA")</f>
        <v>MIA</v>
      </c>
      <c r="D1634" s="4" t="str">
        <f>IFERROR(__xludf.DUMMYFUNCTION("""COMPUTED_VALUE"""),"Ken Johnson")</f>
        <v>Ken Johnson</v>
      </c>
      <c r="E1634" s="4" t="str">
        <f>IFERROR(__xludf.DUMMYFUNCTION("""COMPUTED_VALUE"""),"Ohio State")</f>
        <v>Ohio State</v>
      </c>
      <c r="F1634" s="4">
        <f>IFERROR(__xludf.DUMMYFUNCTION("""COMPUTED_VALUE"""),1.0)</f>
        <v>1</v>
      </c>
      <c r="G1634" s="4">
        <f>IFERROR(__xludf.DUMMYFUNCTION("""COMPUTED_VALUE"""),16.0)</f>
        <v>16</v>
      </c>
      <c r="H1634" s="4">
        <f>IFERROR(__xludf.DUMMYFUNCTION("""COMPUTED_VALUE"""),156.0)</f>
        <v>156</v>
      </c>
      <c r="I1634" s="4">
        <f>IFERROR(__xludf.DUMMYFUNCTION("""COMPUTED_VALUE"""),32.0)</f>
        <v>32</v>
      </c>
      <c r="J1634" s="4">
        <f>IFERROR(__xludf.DUMMYFUNCTION("""COMPUTED_VALUE"""),32.0)</f>
        <v>32</v>
      </c>
      <c r="K1634" s="4">
        <f>IFERROR(__xludf.DUMMYFUNCTION("""COMPUTED_VALUE"""),0.0)</f>
        <v>0</v>
      </c>
      <c r="L1634" s="4">
        <f>IFERROR(__xludf.DUMMYFUNCTION("""COMPUTED_VALUE"""),0.405)</f>
        <v>0.405</v>
      </c>
      <c r="M1634" s="4"/>
      <c r="N1634" s="4">
        <f>IFERROR(__xludf.DUMMYFUNCTION("""COMPUTED_VALUE"""),0.333)</f>
        <v>0.333</v>
      </c>
      <c r="O1634" s="4">
        <f>IFERROR(__xludf.DUMMYFUNCTION("""COMPUTED_VALUE"""),9.8)</f>
        <v>9.8</v>
      </c>
      <c r="P1634" s="4">
        <f>IFERROR(__xludf.DUMMYFUNCTION("""COMPUTED_VALUE"""),2.0)</f>
        <v>2</v>
      </c>
      <c r="Q1634" s="4">
        <f>IFERROR(__xludf.DUMMYFUNCTION("""COMPUTED_VALUE"""),2.0)</f>
        <v>2</v>
      </c>
      <c r="R1634" s="4">
        <f>IFERROR(__xludf.DUMMYFUNCTION("""COMPUTED_VALUE"""),0.0)</f>
        <v>0</v>
      </c>
      <c r="S1634" s="4">
        <f>IFERROR(__xludf.DUMMYFUNCTION("""COMPUTED_VALUE"""),0.0)</f>
        <v>0</v>
      </c>
      <c r="T1634" s="4">
        <f>IFERROR(__xludf.DUMMYFUNCTION("""COMPUTED_VALUE"""),-0.002)</f>
        <v>-0.002</v>
      </c>
      <c r="U1634" s="4">
        <f>IFERROR(__xludf.DUMMYFUNCTION("""COMPUTED_VALUE"""),-6.8)</f>
        <v>-6.8</v>
      </c>
      <c r="V1634" s="4">
        <f>IFERROR(__xludf.DUMMYFUNCTION("""COMPUTED_VALUE"""),-0.2)</f>
        <v>-0.2</v>
      </c>
    </row>
    <row r="1635">
      <c r="A1635" s="4">
        <f>IFERROR(__xludf.DUMMYFUNCTION("""COMPUTED_VALUE"""),50.0)</f>
        <v>50</v>
      </c>
      <c r="B1635" s="4">
        <f>IFERROR(__xludf.DUMMYFUNCTION("""COMPUTED_VALUE"""),50.0)</f>
        <v>50</v>
      </c>
      <c r="C1635" s="4" t="str">
        <f>IFERROR(__xludf.DUMMYFUNCTION("""COMPUTED_VALUE"""),"POR")</f>
        <v>POR</v>
      </c>
      <c r="D1635" s="4" t="str">
        <f>IFERROR(__xludf.DUMMYFUNCTION("""COMPUTED_VALUE"""),"Ruben Boumtje-Boumtje")</f>
        <v>Ruben Boumtje-Boumtje</v>
      </c>
      <c r="E1635" s="4" t="str">
        <f>IFERROR(__xludf.DUMMYFUNCTION("""COMPUTED_VALUE"""),"Georgetown")</f>
        <v>Georgetown</v>
      </c>
      <c r="F1635" s="4">
        <f>IFERROR(__xludf.DUMMYFUNCTION("""COMPUTED_VALUE"""),3.0)</f>
        <v>3</v>
      </c>
      <c r="G1635" s="4">
        <f>IFERROR(__xludf.DUMMYFUNCTION("""COMPUTED_VALUE"""),44.0)</f>
        <v>44</v>
      </c>
      <c r="H1635" s="4">
        <f>IFERROR(__xludf.DUMMYFUNCTION("""COMPUTED_VALUE"""),276.0)</f>
        <v>276</v>
      </c>
      <c r="I1635" s="4">
        <f>IFERROR(__xludf.DUMMYFUNCTION("""COMPUTED_VALUE"""),43.0)</f>
        <v>43</v>
      </c>
      <c r="J1635" s="4">
        <f>IFERROR(__xludf.DUMMYFUNCTION("""COMPUTED_VALUE"""),57.0)</f>
        <v>57</v>
      </c>
      <c r="K1635" s="4">
        <f>IFERROR(__xludf.DUMMYFUNCTION("""COMPUTED_VALUE"""),6.0)</f>
        <v>6</v>
      </c>
      <c r="L1635" s="4">
        <f>IFERROR(__xludf.DUMMYFUNCTION("""COMPUTED_VALUE"""),0.368)</f>
        <v>0.368</v>
      </c>
      <c r="M1635" s="4"/>
      <c r="N1635" s="4">
        <f>IFERROR(__xludf.DUMMYFUNCTION("""COMPUTED_VALUE"""),0.556)</f>
        <v>0.556</v>
      </c>
      <c r="O1635" s="4">
        <f>IFERROR(__xludf.DUMMYFUNCTION("""COMPUTED_VALUE"""),6.3)</f>
        <v>6.3</v>
      </c>
      <c r="P1635" s="4">
        <f>IFERROR(__xludf.DUMMYFUNCTION("""COMPUTED_VALUE"""),1.0)</f>
        <v>1</v>
      </c>
      <c r="Q1635" s="4">
        <f>IFERROR(__xludf.DUMMYFUNCTION("""COMPUTED_VALUE"""),1.3)</f>
        <v>1.3</v>
      </c>
      <c r="R1635" s="4">
        <f>IFERROR(__xludf.DUMMYFUNCTION("""COMPUTED_VALUE"""),0.1)</f>
        <v>0.1</v>
      </c>
      <c r="S1635" s="4">
        <f>IFERROR(__xludf.DUMMYFUNCTION("""COMPUTED_VALUE"""),0.2)</f>
        <v>0.2</v>
      </c>
      <c r="T1635" s="4">
        <f>IFERROR(__xludf.DUMMYFUNCTION("""COMPUTED_VALUE"""),0.027)</f>
        <v>0.027</v>
      </c>
      <c r="U1635" s="4">
        <f>IFERROR(__xludf.DUMMYFUNCTION("""COMPUTED_VALUE"""),-5.4)</f>
        <v>-5.4</v>
      </c>
      <c r="V1635" s="4">
        <f>IFERROR(__xludf.DUMMYFUNCTION("""COMPUTED_VALUE"""),-0.2)</f>
        <v>-0.2</v>
      </c>
    </row>
    <row r="1636">
      <c r="A1636" s="4">
        <f>IFERROR(__xludf.DUMMYFUNCTION("""COMPUTED_VALUE"""),51.0)</f>
        <v>51</v>
      </c>
      <c r="B1636" s="4">
        <f>IFERROR(__xludf.DUMMYFUNCTION("""COMPUTED_VALUE"""),51.0)</f>
        <v>51</v>
      </c>
      <c r="C1636" s="4" t="str">
        <f>IFERROR(__xludf.DUMMYFUNCTION("""COMPUTED_VALUE"""),"PHO")</f>
        <v>PHO</v>
      </c>
      <c r="D1636" s="4" t="str">
        <f>IFERROR(__xludf.DUMMYFUNCTION("""COMPUTED_VALUE"""),"Alton Ford")</f>
        <v>Alton Ford</v>
      </c>
      <c r="E1636" s="4" t="str">
        <f>IFERROR(__xludf.DUMMYFUNCTION("""COMPUTED_VALUE"""),"Houston")</f>
        <v>Houston</v>
      </c>
      <c r="F1636" s="4">
        <f>IFERROR(__xludf.DUMMYFUNCTION("""COMPUTED_VALUE"""),3.0)</f>
        <v>3</v>
      </c>
      <c r="G1636" s="4">
        <f>IFERROR(__xludf.DUMMYFUNCTION("""COMPUTED_VALUE"""),73.0)</f>
        <v>73</v>
      </c>
      <c r="H1636" s="4">
        <f>IFERROR(__xludf.DUMMYFUNCTION("""COMPUTED_VALUE"""),524.0)</f>
        <v>524</v>
      </c>
      <c r="I1636" s="4">
        <f>IFERROR(__xludf.DUMMYFUNCTION("""COMPUTED_VALUE"""),186.0)</f>
        <v>186</v>
      </c>
      <c r="J1636" s="4">
        <f>IFERROR(__xludf.DUMMYFUNCTION("""COMPUTED_VALUE"""),124.0)</f>
        <v>124</v>
      </c>
      <c r="K1636" s="4">
        <f>IFERROR(__xludf.DUMMYFUNCTION("""COMPUTED_VALUE"""),11.0)</f>
        <v>11</v>
      </c>
      <c r="L1636" s="4">
        <f>IFERROR(__xludf.DUMMYFUNCTION("""COMPUTED_VALUE"""),0.507)</f>
        <v>0.507</v>
      </c>
      <c r="M1636" s="4"/>
      <c r="N1636" s="4">
        <f>IFERROR(__xludf.DUMMYFUNCTION("""COMPUTED_VALUE"""),0.697)</f>
        <v>0.697</v>
      </c>
      <c r="O1636" s="4">
        <f>IFERROR(__xludf.DUMMYFUNCTION("""COMPUTED_VALUE"""),7.2)</f>
        <v>7.2</v>
      </c>
      <c r="P1636" s="4">
        <f>IFERROR(__xludf.DUMMYFUNCTION("""COMPUTED_VALUE"""),2.5)</f>
        <v>2.5</v>
      </c>
      <c r="Q1636" s="4">
        <f>IFERROR(__xludf.DUMMYFUNCTION("""COMPUTED_VALUE"""),1.7)</f>
        <v>1.7</v>
      </c>
      <c r="R1636" s="4">
        <f>IFERROR(__xludf.DUMMYFUNCTION("""COMPUTED_VALUE"""),0.2)</f>
        <v>0.2</v>
      </c>
      <c r="S1636" s="4">
        <f>IFERROR(__xludf.DUMMYFUNCTION("""COMPUTED_VALUE"""),0.8)</f>
        <v>0.8</v>
      </c>
      <c r="T1636" s="4">
        <f>IFERROR(__xludf.DUMMYFUNCTION("""COMPUTED_VALUE"""),0.074)</f>
        <v>0.074</v>
      </c>
      <c r="U1636" s="4">
        <f>IFERROR(__xludf.DUMMYFUNCTION("""COMPUTED_VALUE"""),-6.4)</f>
        <v>-6.4</v>
      </c>
      <c r="V1636" s="4">
        <f>IFERROR(__xludf.DUMMYFUNCTION("""COMPUTED_VALUE"""),-0.6)</f>
        <v>-0.6</v>
      </c>
    </row>
    <row r="1637">
      <c r="A1637" s="4">
        <f>IFERROR(__xludf.DUMMYFUNCTION("""COMPUTED_VALUE"""),52.0)</f>
        <v>52</v>
      </c>
      <c r="B1637" s="4">
        <f>IFERROR(__xludf.DUMMYFUNCTION("""COMPUTED_VALUE"""),52.0)</f>
        <v>52</v>
      </c>
      <c r="C1637" s="4" t="str">
        <f>IFERROR(__xludf.DUMMYFUNCTION("""COMPUTED_VALUE"""),"MIL")</f>
        <v>MIL</v>
      </c>
      <c r="D1637" s="4" t="str">
        <f>IFERROR(__xludf.DUMMYFUNCTION("""COMPUTED_VALUE"""),"Andre Hutson")</f>
        <v>Andre Hutson</v>
      </c>
      <c r="E1637" s="4" t="str">
        <f>IFERROR(__xludf.DUMMYFUNCTION("""COMPUTED_VALUE"""),"Michigan State")</f>
        <v>Michigan State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</row>
    <row r="1638">
      <c r="A1638" s="4">
        <f>IFERROR(__xludf.DUMMYFUNCTION("""COMPUTED_VALUE"""),53.0)</f>
        <v>53</v>
      </c>
      <c r="B1638" s="4">
        <f>IFERROR(__xludf.DUMMYFUNCTION("""COMPUTED_VALUE"""),53.0)</f>
        <v>53</v>
      </c>
      <c r="C1638" s="4" t="str">
        <f>IFERROR(__xludf.DUMMYFUNCTION("""COMPUTED_VALUE"""),"UTA")</f>
        <v>UTA</v>
      </c>
      <c r="D1638" s="4" t="str">
        <f>IFERROR(__xludf.DUMMYFUNCTION("""COMPUTED_VALUE"""),"Jarron Collins")</f>
        <v>Jarron Collins</v>
      </c>
      <c r="E1638" s="4" t="str">
        <f>IFERROR(__xludf.DUMMYFUNCTION("""COMPUTED_VALUE"""),"Stanford")</f>
        <v>Stanford</v>
      </c>
      <c r="F1638" s="4">
        <f>IFERROR(__xludf.DUMMYFUNCTION("""COMPUTED_VALUE"""),10.0)</f>
        <v>10</v>
      </c>
      <c r="G1638" s="4">
        <f>IFERROR(__xludf.DUMMYFUNCTION("""COMPUTED_VALUE"""),542.0)</f>
        <v>542</v>
      </c>
      <c r="H1638" s="4">
        <f>IFERROR(__xludf.DUMMYFUNCTION("""COMPUTED_VALUE"""),8542.0)</f>
        <v>8542</v>
      </c>
      <c r="I1638" s="4">
        <f>IFERROR(__xludf.DUMMYFUNCTION("""COMPUTED_VALUE"""),2095.0)</f>
        <v>2095</v>
      </c>
      <c r="J1638" s="4">
        <f>IFERROR(__xludf.DUMMYFUNCTION("""COMPUTED_VALUE"""),1579.0)</f>
        <v>1579</v>
      </c>
      <c r="K1638" s="4">
        <f>IFERROR(__xludf.DUMMYFUNCTION("""COMPUTED_VALUE"""),419.0)</f>
        <v>419</v>
      </c>
      <c r="L1638" s="4">
        <f>IFERROR(__xludf.DUMMYFUNCTION("""COMPUTED_VALUE"""),0.455)</f>
        <v>0.455</v>
      </c>
      <c r="M1638" s="4">
        <f>IFERROR(__xludf.DUMMYFUNCTION("""COMPUTED_VALUE"""),0.0)</f>
        <v>0</v>
      </c>
      <c r="N1638" s="4">
        <f>IFERROR(__xludf.DUMMYFUNCTION("""COMPUTED_VALUE"""),0.699)</f>
        <v>0.699</v>
      </c>
      <c r="O1638" s="4">
        <f>IFERROR(__xludf.DUMMYFUNCTION("""COMPUTED_VALUE"""),15.8)</f>
        <v>15.8</v>
      </c>
      <c r="P1638" s="4">
        <f>IFERROR(__xludf.DUMMYFUNCTION("""COMPUTED_VALUE"""),3.9)</f>
        <v>3.9</v>
      </c>
      <c r="Q1638" s="4">
        <f>IFERROR(__xludf.DUMMYFUNCTION("""COMPUTED_VALUE"""),2.9)</f>
        <v>2.9</v>
      </c>
      <c r="R1638" s="4">
        <f>IFERROR(__xludf.DUMMYFUNCTION("""COMPUTED_VALUE"""),0.8)</f>
        <v>0.8</v>
      </c>
      <c r="S1638" s="4">
        <f>IFERROR(__xludf.DUMMYFUNCTION("""COMPUTED_VALUE"""),15.7)</f>
        <v>15.7</v>
      </c>
      <c r="T1638" s="4">
        <f>IFERROR(__xludf.DUMMYFUNCTION("""COMPUTED_VALUE"""),0.088)</f>
        <v>0.088</v>
      </c>
      <c r="U1638" s="4">
        <f>IFERROR(__xludf.DUMMYFUNCTION("""COMPUTED_VALUE"""),-3.1)</f>
        <v>-3.1</v>
      </c>
      <c r="V1638" s="4">
        <f>IFERROR(__xludf.DUMMYFUNCTION("""COMPUTED_VALUE"""),-2.5)</f>
        <v>-2.5</v>
      </c>
    </row>
    <row r="1639">
      <c r="A1639" s="4">
        <f>IFERROR(__xludf.DUMMYFUNCTION("""COMPUTED_VALUE"""),54.0)</f>
        <v>54</v>
      </c>
      <c r="B1639" s="4">
        <f>IFERROR(__xludf.DUMMYFUNCTION("""COMPUTED_VALUE"""),54.0)</f>
        <v>54</v>
      </c>
      <c r="C1639" s="4" t="str">
        <f>IFERROR(__xludf.DUMMYFUNCTION("""COMPUTED_VALUE"""),"DAL")</f>
        <v>DAL</v>
      </c>
      <c r="D1639" s="4" t="str">
        <f>IFERROR(__xludf.DUMMYFUNCTION("""COMPUTED_VALUE"""),"Kenny Satterfield")</f>
        <v>Kenny Satterfield</v>
      </c>
      <c r="E1639" s="4" t="str">
        <f>IFERROR(__xludf.DUMMYFUNCTION("""COMPUTED_VALUE"""),"Cincinnati")</f>
        <v>Cincinnati</v>
      </c>
      <c r="F1639" s="4">
        <f>IFERROR(__xludf.DUMMYFUNCTION("""COMPUTED_VALUE"""),2.0)</f>
        <v>2</v>
      </c>
      <c r="G1639" s="4">
        <f>IFERROR(__xludf.DUMMYFUNCTION("""COMPUTED_VALUE"""),75.0)</f>
        <v>75</v>
      </c>
      <c r="H1639" s="4">
        <f>IFERROR(__xludf.DUMMYFUNCTION("""COMPUTED_VALUE"""),1062.0)</f>
        <v>1062</v>
      </c>
      <c r="I1639" s="4">
        <f>IFERROR(__xludf.DUMMYFUNCTION("""COMPUTED_VALUE"""),321.0)</f>
        <v>321</v>
      </c>
      <c r="J1639" s="4">
        <f>IFERROR(__xludf.DUMMYFUNCTION("""COMPUTED_VALUE"""),95.0)</f>
        <v>95</v>
      </c>
      <c r="K1639" s="4">
        <f>IFERROR(__xludf.DUMMYFUNCTION("""COMPUTED_VALUE"""),176.0)</f>
        <v>176</v>
      </c>
      <c r="L1639" s="4">
        <f>IFERROR(__xludf.DUMMYFUNCTION("""COMPUTED_VALUE"""),0.335)</f>
        <v>0.335</v>
      </c>
      <c r="M1639" s="4">
        <f>IFERROR(__xludf.DUMMYFUNCTION("""COMPUTED_VALUE"""),0.218)</f>
        <v>0.218</v>
      </c>
      <c r="N1639" s="4">
        <f>IFERROR(__xludf.DUMMYFUNCTION("""COMPUTED_VALUE"""),0.746)</f>
        <v>0.746</v>
      </c>
      <c r="O1639" s="4">
        <f>IFERROR(__xludf.DUMMYFUNCTION("""COMPUTED_VALUE"""),14.2)</f>
        <v>14.2</v>
      </c>
      <c r="P1639" s="4">
        <f>IFERROR(__xludf.DUMMYFUNCTION("""COMPUTED_VALUE"""),4.3)</f>
        <v>4.3</v>
      </c>
      <c r="Q1639" s="4">
        <f>IFERROR(__xludf.DUMMYFUNCTION("""COMPUTED_VALUE"""),1.3)</f>
        <v>1.3</v>
      </c>
      <c r="R1639" s="4">
        <f>IFERROR(__xludf.DUMMYFUNCTION("""COMPUTED_VALUE"""),2.3)</f>
        <v>2.3</v>
      </c>
      <c r="S1639" s="4">
        <f>IFERROR(__xludf.DUMMYFUNCTION("""COMPUTED_VALUE"""),-1.1)</f>
        <v>-1.1</v>
      </c>
      <c r="T1639" s="4">
        <f>IFERROR(__xludf.DUMMYFUNCTION("""COMPUTED_VALUE"""),-0.051)</f>
        <v>-0.051</v>
      </c>
      <c r="U1639" s="4">
        <f>IFERROR(__xludf.DUMMYFUNCTION("""COMPUTED_VALUE"""),-4.1)</f>
        <v>-4.1</v>
      </c>
      <c r="V1639" s="4">
        <f>IFERROR(__xludf.DUMMYFUNCTION("""COMPUTED_VALUE"""),-0.6)</f>
        <v>-0.6</v>
      </c>
    </row>
    <row r="1640">
      <c r="A1640" s="4">
        <f>IFERROR(__xludf.DUMMYFUNCTION("""COMPUTED_VALUE"""),55.0)</f>
        <v>55</v>
      </c>
      <c r="B1640" s="4">
        <f>IFERROR(__xludf.DUMMYFUNCTION("""COMPUTED_VALUE"""),55.0)</f>
        <v>55</v>
      </c>
      <c r="C1640" s="4" t="str">
        <f>IFERROR(__xludf.DUMMYFUNCTION("""COMPUTED_VALUE"""),"SAC")</f>
        <v>SAC</v>
      </c>
      <c r="D1640" s="4" t="str">
        <f>IFERROR(__xludf.DUMMYFUNCTION("""COMPUTED_VALUE"""),"Maurice Jeffers")</f>
        <v>Maurice Jeffers</v>
      </c>
      <c r="E1640" s="4" t="str">
        <f>IFERROR(__xludf.DUMMYFUNCTION("""COMPUTED_VALUE"""),"Saint Louis")</f>
        <v>Saint Louis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</row>
    <row r="1641">
      <c r="A1641" s="4">
        <f>IFERROR(__xludf.DUMMYFUNCTION("""COMPUTED_VALUE"""),56.0)</f>
        <v>56</v>
      </c>
      <c r="B1641" s="4">
        <f>IFERROR(__xludf.DUMMYFUNCTION("""COMPUTED_VALUE"""),56.0)</f>
        <v>56</v>
      </c>
      <c r="C1641" s="4" t="str">
        <f>IFERROR(__xludf.DUMMYFUNCTION("""COMPUTED_VALUE"""),"SAS")</f>
        <v>SAS</v>
      </c>
      <c r="D1641" s="4" t="str">
        <f>IFERROR(__xludf.DUMMYFUNCTION("""COMPUTED_VALUE"""),"Robertas Javtokas")</f>
        <v>Robertas Javtokas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</row>
    <row r="1642">
      <c r="A1642" s="4">
        <f>IFERROR(__xludf.DUMMYFUNCTION("""COMPUTED_VALUE"""),57.0)</f>
        <v>57</v>
      </c>
      <c r="B1642" s="4">
        <f>IFERROR(__xludf.DUMMYFUNCTION("""COMPUTED_VALUE"""),57.0)</f>
        <v>57</v>
      </c>
      <c r="C1642" s="4" t="str">
        <f>IFERROR(__xludf.DUMMYFUNCTION("""COMPUTED_VALUE"""),"PHI")</f>
        <v>PHI</v>
      </c>
      <c r="D1642" s="4" t="str">
        <f>IFERROR(__xludf.DUMMYFUNCTION("""COMPUTED_VALUE"""),"Alvin Jones")</f>
        <v>Alvin Jones</v>
      </c>
      <c r="E1642" s="4" t="str">
        <f>IFERROR(__xludf.DUMMYFUNCTION("""COMPUTED_VALUE"""),"Georgia Tech")</f>
        <v>Georgia Tech</v>
      </c>
      <c r="F1642" s="4">
        <f>IFERROR(__xludf.DUMMYFUNCTION("""COMPUTED_VALUE"""),1.0)</f>
        <v>1</v>
      </c>
      <c r="G1642" s="4">
        <f>IFERROR(__xludf.DUMMYFUNCTION("""COMPUTED_VALUE"""),23.0)</f>
        <v>23</v>
      </c>
      <c r="H1642" s="4">
        <f>IFERROR(__xludf.DUMMYFUNCTION("""COMPUTED_VALUE"""),126.0)</f>
        <v>126</v>
      </c>
      <c r="I1642" s="4">
        <f>IFERROR(__xludf.DUMMYFUNCTION("""COMPUTED_VALUE"""),26.0)</f>
        <v>26</v>
      </c>
      <c r="J1642" s="4">
        <f>IFERROR(__xludf.DUMMYFUNCTION("""COMPUTED_VALUE"""),36.0)</f>
        <v>36</v>
      </c>
      <c r="K1642" s="4">
        <f>IFERROR(__xludf.DUMMYFUNCTION("""COMPUTED_VALUE"""),3.0)</f>
        <v>3</v>
      </c>
      <c r="L1642" s="4">
        <f>IFERROR(__xludf.DUMMYFUNCTION("""COMPUTED_VALUE"""),0.4)</f>
        <v>0.4</v>
      </c>
      <c r="M1642" s="4"/>
      <c r="N1642" s="4">
        <f>IFERROR(__xludf.DUMMYFUNCTION("""COMPUTED_VALUE"""),0.5)</f>
        <v>0.5</v>
      </c>
      <c r="O1642" s="4">
        <f>IFERROR(__xludf.DUMMYFUNCTION("""COMPUTED_VALUE"""),5.5)</f>
        <v>5.5</v>
      </c>
      <c r="P1642" s="4">
        <f>IFERROR(__xludf.DUMMYFUNCTION("""COMPUTED_VALUE"""),1.1)</f>
        <v>1.1</v>
      </c>
      <c r="Q1642" s="4">
        <f>IFERROR(__xludf.DUMMYFUNCTION("""COMPUTED_VALUE"""),1.6)</f>
        <v>1.6</v>
      </c>
      <c r="R1642" s="4">
        <f>IFERROR(__xludf.DUMMYFUNCTION("""COMPUTED_VALUE"""),0.1)</f>
        <v>0.1</v>
      </c>
      <c r="S1642" s="4">
        <f>IFERROR(__xludf.DUMMYFUNCTION("""COMPUTED_VALUE"""),0.1)</f>
        <v>0.1</v>
      </c>
      <c r="T1642" s="4">
        <f>IFERROR(__xludf.DUMMYFUNCTION("""COMPUTED_VALUE"""),0.034)</f>
        <v>0.034</v>
      </c>
      <c r="U1642" s="4">
        <f>IFERROR(__xludf.DUMMYFUNCTION("""COMPUTED_VALUE"""),-8.7)</f>
        <v>-8.7</v>
      </c>
      <c r="V1642" s="4">
        <f>IFERROR(__xludf.DUMMYFUNCTION("""COMPUTED_VALUE"""),-0.2)</f>
        <v>-0.2</v>
      </c>
    </row>
    <row r="1643">
      <c r="A1643" s="4">
        <f>IFERROR(__xludf.DUMMYFUNCTION("""COMPUTED_VALUE"""),58.0)</f>
        <v>58</v>
      </c>
      <c r="B1643" s="4">
        <f>IFERROR(__xludf.DUMMYFUNCTION("""COMPUTED_VALUE"""),58.0)</f>
        <v>58</v>
      </c>
      <c r="C1643" s="4" t="str">
        <f>IFERROR(__xludf.DUMMYFUNCTION("""COMPUTED_VALUE"""),"SAS")</f>
        <v>SAS</v>
      </c>
      <c r="D1643" s="4" t="str">
        <f>IFERROR(__xludf.DUMMYFUNCTION("""COMPUTED_VALUE"""),"Bryan Bracey")</f>
        <v>Bryan Bracey</v>
      </c>
      <c r="E1643" s="4" t="str">
        <f>IFERROR(__xludf.DUMMYFUNCTION("""COMPUTED_VALUE"""),"Oregon")</f>
        <v>Oregon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</row>
    <row r="1645">
      <c r="A1645" s="2">
        <v>2000.0</v>
      </c>
    </row>
    <row r="1646">
      <c r="A1646" s="4" t="str">
        <f>IFERROR(__xludf.DUMMYFUNCTION("IMPORTHTML(""https://www.basketball-reference.com/draft/NBA_2000.html"", ""table"", 1)"),"")</f>
        <v/>
      </c>
      <c r="B1646" s="4"/>
      <c r="C1646" s="4"/>
      <c r="D1646" s="4" t="str">
        <f>IFERROR(__xludf.DUMMYFUNCTION("""COMPUTED_VALUE"""),"Round 1")</f>
        <v>Round 1</v>
      </c>
      <c r="E1646" s="4"/>
      <c r="F1646" s="4"/>
      <c r="G1646" s="4" t="str">
        <f>IFERROR(__xludf.DUMMYFUNCTION("""COMPUTED_VALUE"""),"Totals")</f>
        <v>Totals</v>
      </c>
      <c r="H1646" s="4"/>
      <c r="I1646" s="4"/>
      <c r="J1646" s="4"/>
      <c r="K1646" s="4"/>
      <c r="L1646" s="4" t="str">
        <f>IFERROR(__xludf.DUMMYFUNCTION("""COMPUTED_VALUE"""),"Shooting")</f>
        <v>Shooting</v>
      </c>
      <c r="M1646" s="4"/>
      <c r="N1646" s="4"/>
      <c r="O1646" s="4" t="str">
        <f>IFERROR(__xludf.DUMMYFUNCTION("""COMPUTED_VALUE"""),"Per Game")</f>
        <v>Per Game</v>
      </c>
      <c r="P1646" s="4"/>
      <c r="Q1646" s="4"/>
      <c r="R1646" s="4"/>
      <c r="S1646" s="4" t="str">
        <f>IFERROR(__xludf.DUMMYFUNCTION("""COMPUTED_VALUE"""),"Advanced")</f>
        <v>Advanced</v>
      </c>
      <c r="T1646" s="4"/>
      <c r="U1646" s="4"/>
      <c r="V1646" s="4"/>
    </row>
    <row r="1647">
      <c r="A1647" s="4" t="str">
        <f>IFERROR(__xludf.DUMMYFUNCTION("""COMPUTED_VALUE"""),"Rk")</f>
        <v>Rk</v>
      </c>
      <c r="B1647" s="4" t="str">
        <f>IFERROR(__xludf.DUMMYFUNCTION("""COMPUTED_VALUE"""),"Pk")</f>
        <v>Pk</v>
      </c>
      <c r="C1647" s="4" t="str">
        <f>IFERROR(__xludf.DUMMYFUNCTION("""COMPUTED_VALUE"""),"Tm")</f>
        <v>Tm</v>
      </c>
      <c r="D1647" s="4" t="str">
        <f>IFERROR(__xludf.DUMMYFUNCTION("""COMPUTED_VALUE"""),"Player")</f>
        <v>Player</v>
      </c>
      <c r="E1647" s="4" t="str">
        <f>IFERROR(__xludf.DUMMYFUNCTION("""COMPUTED_VALUE"""),"College")</f>
        <v>College</v>
      </c>
      <c r="F1647" s="4" t="str">
        <f>IFERROR(__xludf.DUMMYFUNCTION("""COMPUTED_VALUE"""),"Yrs")</f>
        <v>Yrs</v>
      </c>
      <c r="G1647" s="4" t="str">
        <f>IFERROR(__xludf.DUMMYFUNCTION("""COMPUTED_VALUE"""),"G")</f>
        <v>G</v>
      </c>
      <c r="H1647" s="4" t="str">
        <f>IFERROR(__xludf.DUMMYFUNCTION("""COMPUTED_VALUE"""),"MP")</f>
        <v>MP</v>
      </c>
      <c r="I1647" s="4" t="str">
        <f>IFERROR(__xludf.DUMMYFUNCTION("""COMPUTED_VALUE"""),"PTS")</f>
        <v>PTS</v>
      </c>
      <c r="J1647" s="4" t="str">
        <f>IFERROR(__xludf.DUMMYFUNCTION("""COMPUTED_VALUE"""),"TRB")</f>
        <v>TRB</v>
      </c>
      <c r="K1647" s="4" t="str">
        <f>IFERROR(__xludf.DUMMYFUNCTION("""COMPUTED_VALUE"""),"AST")</f>
        <v>AST</v>
      </c>
      <c r="L1647" s="4" t="str">
        <f>IFERROR(__xludf.DUMMYFUNCTION("""COMPUTED_VALUE"""),"FG%")</f>
        <v>FG%</v>
      </c>
      <c r="M1647" s="4" t="str">
        <f>IFERROR(__xludf.DUMMYFUNCTION("""COMPUTED_VALUE"""),"3P%")</f>
        <v>3P%</v>
      </c>
      <c r="N1647" s="4" t="str">
        <f>IFERROR(__xludf.DUMMYFUNCTION("""COMPUTED_VALUE"""),"FT%")</f>
        <v>FT%</v>
      </c>
      <c r="O1647" s="4" t="str">
        <f>IFERROR(__xludf.DUMMYFUNCTION("""COMPUTED_VALUE"""),"MP")</f>
        <v>MP</v>
      </c>
      <c r="P1647" s="4" t="str">
        <f>IFERROR(__xludf.DUMMYFUNCTION("""COMPUTED_VALUE"""),"PTS")</f>
        <v>PTS</v>
      </c>
      <c r="Q1647" s="4" t="str">
        <f>IFERROR(__xludf.DUMMYFUNCTION("""COMPUTED_VALUE"""),"TRB")</f>
        <v>TRB</v>
      </c>
      <c r="R1647" s="4" t="str">
        <f>IFERROR(__xludf.DUMMYFUNCTION("""COMPUTED_VALUE"""),"AST")</f>
        <v>AST</v>
      </c>
      <c r="S1647" s="4" t="str">
        <f>IFERROR(__xludf.DUMMYFUNCTION("""COMPUTED_VALUE"""),"WS")</f>
        <v>WS</v>
      </c>
      <c r="T1647" s="4" t="str">
        <f>IFERROR(__xludf.DUMMYFUNCTION("""COMPUTED_VALUE"""),"WS/48")</f>
        <v>WS/48</v>
      </c>
      <c r="U1647" s="4" t="str">
        <f>IFERROR(__xludf.DUMMYFUNCTION("""COMPUTED_VALUE"""),"BPM")</f>
        <v>BPM</v>
      </c>
      <c r="V1647" s="4" t="str">
        <f>IFERROR(__xludf.DUMMYFUNCTION("""COMPUTED_VALUE"""),"VORP")</f>
        <v>VORP</v>
      </c>
    </row>
    <row r="1648">
      <c r="A1648" s="4">
        <f>IFERROR(__xludf.DUMMYFUNCTION("""COMPUTED_VALUE"""),1.0)</f>
        <v>1</v>
      </c>
      <c r="B1648" s="4">
        <f>IFERROR(__xludf.DUMMYFUNCTION("""COMPUTED_VALUE"""),1.0)</f>
        <v>1</v>
      </c>
      <c r="C1648" s="4" t="str">
        <f>IFERROR(__xludf.DUMMYFUNCTION("""COMPUTED_VALUE"""),"NJN")</f>
        <v>NJN</v>
      </c>
      <c r="D1648" s="4" t="str">
        <f>IFERROR(__xludf.DUMMYFUNCTION("""COMPUTED_VALUE"""),"Kenyon Martin")</f>
        <v>Kenyon Martin</v>
      </c>
      <c r="E1648" s="4" t="str">
        <f>IFERROR(__xludf.DUMMYFUNCTION("""COMPUTED_VALUE"""),"Cincinnati")</f>
        <v>Cincinnati</v>
      </c>
      <c r="F1648" s="4">
        <f>IFERROR(__xludf.DUMMYFUNCTION("""COMPUTED_VALUE"""),15.0)</f>
        <v>15</v>
      </c>
      <c r="G1648" s="4">
        <f>IFERROR(__xludf.DUMMYFUNCTION("""COMPUTED_VALUE"""),757.0)</f>
        <v>757</v>
      </c>
      <c r="H1648" s="4">
        <f>IFERROR(__xludf.DUMMYFUNCTION("""COMPUTED_VALUE"""),23134.0)</f>
        <v>23134</v>
      </c>
      <c r="I1648" s="4">
        <f>IFERROR(__xludf.DUMMYFUNCTION("""COMPUTED_VALUE"""),9325.0)</f>
        <v>9325</v>
      </c>
      <c r="J1648" s="4">
        <f>IFERROR(__xludf.DUMMYFUNCTION("""COMPUTED_VALUE"""),5159.0)</f>
        <v>5159</v>
      </c>
      <c r="K1648" s="4">
        <f>IFERROR(__xludf.DUMMYFUNCTION("""COMPUTED_VALUE"""),1439.0)</f>
        <v>1439</v>
      </c>
      <c r="L1648" s="4">
        <f>IFERROR(__xludf.DUMMYFUNCTION("""COMPUTED_VALUE"""),0.483)</f>
        <v>0.483</v>
      </c>
      <c r="M1648" s="4">
        <f>IFERROR(__xludf.DUMMYFUNCTION("""COMPUTED_VALUE"""),0.234)</f>
        <v>0.234</v>
      </c>
      <c r="N1648" s="4">
        <f>IFERROR(__xludf.DUMMYFUNCTION("""COMPUTED_VALUE"""),0.629)</f>
        <v>0.629</v>
      </c>
      <c r="O1648" s="4">
        <f>IFERROR(__xludf.DUMMYFUNCTION("""COMPUTED_VALUE"""),30.6)</f>
        <v>30.6</v>
      </c>
      <c r="P1648" s="4">
        <f>IFERROR(__xludf.DUMMYFUNCTION("""COMPUTED_VALUE"""),12.3)</f>
        <v>12.3</v>
      </c>
      <c r="Q1648" s="4">
        <f>IFERROR(__xludf.DUMMYFUNCTION("""COMPUTED_VALUE"""),6.8)</f>
        <v>6.8</v>
      </c>
      <c r="R1648" s="4">
        <f>IFERROR(__xludf.DUMMYFUNCTION("""COMPUTED_VALUE"""),1.9)</f>
        <v>1.9</v>
      </c>
      <c r="S1648" s="4">
        <f>IFERROR(__xludf.DUMMYFUNCTION("""COMPUTED_VALUE"""),48.0)</f>
        <v>48</v>
      </c>
      <c r="T1648" s="4">
        <f>IFERROR(__xludf.DUMMYFUNCTION("""COMPUTED_VALUE"""),0.1)</f>
        <v>0.1</v>
      </c>
      <c r="U1648" s="4">
        <f>IFERROR(__xludf.DUMMYFUNCTION("""COMPUTED_VALUE"""),0.1)</f>
        <v>0.1</v>
      </c>
      <c r="V1648" s="4">
        <f>IFERROR(__xludf.DUMMYFUNCTION("""COMPUTED_VALUE"""),12.1)</f>
        <v>12.1</v>
      </c>
    </row>
    <row r="1649">
      <c r="A1649" s="4">
        <f>IFERROR(__xludf.DUMMYFUNCTION("""COMPUTED_VALUE"""),2.0)</f>
        <v>2</v>
      </c>
      <c r="B1649" s="4">
        <f>IFERROR(__xludf.DUMMYFUNCTION("""COMPUTED_VALUE"""),2.0)</f>
        <v>2</v>
      </c>
      <c r="C1649" s="4" t="str">
        <f>IFERROR(__xludf.DUMMYFUNCTION("""COMPUTED_VALUE"""),"VAN")</f>
        <v>VAN</v>
      </c>
      <c r="D1649" s="4" t="str">
        <f>IFERROR(__xludf.DUMMYFUNCTION("""COMPUTED_VALUE"""),"Stromile Swift")</f>
        <v>Stromile Swift</v>
      </c>
      <c r="E1649" s="4" t="str">
        <f>IFERROR(__xludf.DUMMYFUNCTION("""COMPUTED_VALUE"""),"LSU")</f>
        <v>LSU</v>
      </c>
      <c r="F1649" s="4">
        <f>IFERROR(__xludf.DUMMYFUNCTION("""COMPUTED_VALUE"""),9.0)</f>
        <v>9</v>
      </c>
      <c r="G1649" s="4">
        <f>IFERROR(__xludf.DUMMYFUNCTION("""COMPUTED_VALUE"""),547.0)</f>
        <v>547</v>
      </c>
      <c r="H1649" s="4">
        <f>IFERROR(__xludf.DUMMYFUNCTION("""COMPUTED_VALUE"""),10804.0)</f>
        <v>10804</v>
      </c>
      <c r="I1649" s="4">
        <f>IFERROR(__xludf.DUMMYFUNCTION("""COMPUTED_VALUE"""),4582.0)</f>
        <v>4582</v>
      </c>
      <c r="J1649" s="4">
        <f>IFERROR(__xludf.DUMMYFUNCTION("""COMPUTED_VALUE"""),2535.0)</f>
        <v>2535</v>
      </c>
      <c r="K1649" s="4">
        <f>IFERROR(__xludf.DUMMYFUNCTION("""COMPUTED_VALUE"""),275.0)</f>
        <v>275</v>
      </c>
      <c r="L1649" s="4">
        <f>IFERROR(__xludf.DUMMYFUNCTION("""COMPUTED_VALUE"""),0.473)</f>
        <v>0.473</v>
      </c>
      <c r="M1649" s="4">
        <f>IFERROR(__xludf.DUMMYFUNCTION("""COMPUTED_VALUE"""),0.074)</f>
        <v>0.074</v>
      </c>
      <c r="N1649" s="4">
        <f>IFERROR(__xludf.DUMMYFUNCTION("""COMPUTED_VALUE"""),0.699)</f>
        <v>0.699</v>
      </c>
      <c r="O1649" s="4">
        <f>IFERROR(__xludf.DUMMYFUNCTION("""COMPUTED_VALUE"""),19.8)</f>
        <v>19.8</v>
      </c>
      <c r="P1649" s="4">
        <f>IFERROR(__xludf.DUMMYFUNCTION("""COMPUTED_VALUE"""),8.4)</f>
        <v>8.4</v>
      </c>
      <c r="Q1649" s="4">
        <f>IFERROR(__xludf.DUMMYFUNCTION("""COMPUTED_VALUE"""),4.6)</f>
        <v>4.6</v>
      </c>
      <c r="R1649" s="4">
        <f>IFERROR(__xludf.DUMMYFUNCTION("""COMPUTED_VALUE"""),0.5)</f>
        <v>0.5</v>
      </c>
      <c r="S1649" s="4">
        <f>IFERROR(__xludf.DUMMYFUNCTION("""COMPUTED_VALUE"""),21.3)</f>
        <v>21.3</v>
      </c>
      <c r="T1649" s="4">
        <f>IFERROR(__xludf.DUMMYFUNCTION("""COMPUTED_VALUE"""),0.095)</f>
        <v>0.095</v>
      </c>
      <c r="U1649" s="4">
        <f>IFERROR(__xludf.DUMMYFUNCTION("""COMPUTED_VALUE"""),-1.6)</f>
        <v>-1.6</v>
      </c>
      <c r="V1649" s="4">
        <f>IFERROR(__xludf.DUMMYFUNCTION("""COMPUTED_VALUE"""),1.1)</f>
        <v>1.1</v>
      </c>
    </row>
    <row r="1650">
      <c r="A1650" s="4">
        <f>IFERROR(__xludf.DUMMYFUNCTION("""COMPUTED_VALUE"""),3.0)</f>
        <v>3</v>
      </c>
      <c r="B1650" s="4">
        <f>IFERROR(__xludf.DUMMYFUNCTION("""COMPUTED_VALUE"""),3.0)</f>
        <v>3</v>
      </c>
      <c r="C1650" s="4" t="str">
        <f>IFERROR(__xludf.DUMMYFUNCTION("""COMPUTED_VALUE"""),"LAC")</f>
        <v>LAC</v>
      </c>
      <c r="D1650" s="4" t="str">
        <f>IFERROR(__xludf.DUMMYFUNCTION("""COMPUTED_VALUE"""),"Darius Miles")</f>
        <v>Darius Miles</v>
      </c>
      <c r="E1650" s="4"/>
      <c r="F1650" s="4">
        <f>IFERROR(__xludf.DUMMYFUNCTION("""COMPUTED_VALUE"""),7.0)</f>
        <v>7</v>
      </c>
      <c r="G1650" s="4">
        <f>IFERROR(__xludf.DUMMYFUNCTION("""COMPUTED_VALUE"""),446.0)</f>
        <v>446</v>
      </c>
      <c r="H1650" s="4">
        <f>IFERROR(__xludf.DUMMYFUNCTION("""COMPUTED_VALUE"""),11730.0)</f>
        <v>11730</v>
      </c>
      <c r="I1650" s="4">
        <f>IFERROR(__xludf.DUMMYFUNCTION("""COMPUTED_VALUE"""),4507.0)</f>
        <v>4507</v>
      </c>
      <c r="J1650" s="4">
        <f>IFERROR(__xludf.DUMMYFUNCTION("""COMPUTED_VALUE"""),2190.0)</f>
        <v>2190</v>
      </c>
      <c r="K1650" s="4">
        <f>IFERROR(__xludf.DUMMYFUNCTION("""COMPUTED_VALUE"""),840.0)</f>
        <v>840</v>
      </c>
      <c r="L1650" s="4">
        <f>IFERROR(__xludf.DUMMYFUNCTION("""COMPUTED_VALUE"""),0.472)</f>
        <v>0.472</v>
      </c>
      <c r="M1650" s="4">
        <f>IFERROR(__xludf.DUMMYFUNCTION("""COMPUTED_VALUE"""),0.168)</f>
        <v>0.168</v>
      </c>
      <c r="N1650" s="4">
        <f>IFERROR(__xludf.DUMMYFUNCTION("""COMPUTED_VALUE"""),0.59)</f>
        <v>0.59</v>
      </c>
      <c r="O1650" s="4">
        <f>IFERROR(__xludf.DUMMYFUNCTION("""COMPUTED_VALUE"""),26.3)</f>
        <v>26.3</v>
      </c>
      <c r="P1650" s="4">
        <f>IFERROR(__xludf.DUMMYFUNCTION("""COMPUTED_VALUE"""),10.1)</f>
        <v>10.1</v>
      </c>
      <c r="Q1650" s="4">
        <f>IFERROR(__xludf.DUMMYFUNCTION("""COMPUTED_VALUE"""),4.9)</f>
        <v>4.9</v>
      </c>
      <c r="R1650" s="4">
        <f>IFERROR(__xludf.DUMMYFUNCTION("""COMPUTED_VALUE"""),1.9)</f>
        <v>1.9</v>
      </c>
      <c r="S1650" s="4">
        <f>IFERROR(__xludf.DUMMYFUNCTION("""COMPUTED_VALUE"""),9.5)</f>
        <v>9.5</v>
      </c>
      <c r="T1650" s="4">
        <f>IFERROR(__xludf.DUMMYFUNCTION("""COMPUTED_VALUE"""),0.039)</f>
        <v>0.039</v>
      </c>
      <c r="U1650" s="4">
        <f>IFERROR(__xludf.DUMMYFUNCTION("""COMPUTED_VALUE"""),-1.0)</f>
        <v>-1</v>
      </c>
      <c r="V1650" s="4">
        <f>IFERROR(__xludf.DUMMYFUNCTION("""COMPUTED_VALUE"""),3.0)</f>
        <v>3</v>
      </c>
    </row>
    <row r="1651">
      <c r="A1651" s="4">
        <f>IFERROR(__xludf.DUMMYFUNCTION("""COMPUTED_VALUE"""),4.0)</f>
        <v>4</v>
      </c>
      <c r="B1651" s="4">
        <f>IFERROR(__xludf.DUMMYFUNCTION("""COMPUTED_VALUE"""),4.0)</f>
        <v>4</v>
      </c>
      <c r="C1651" s="4" t="str">
        <f>IFERROR(__xludf.DUMMYFUNCTION("""COMPUTED_VALUE"""),"CHI")</f>
        <v>CHI</v>
      </c>
      <c r="D1651" s="4" t="str">
        <f>IFERROR(__xludf.DUMMYFUNCTION("""COMPUTED_VALUE"""),"Marcus Fizer")</f>
        <v>Marcus Fizer</v>
      </c>
      <c r="E1651" s="4" t="str">
        <f>IFERROR(__xludf.DUMMYFUNCTION("""COMPUTED_VALUE"""),"Iowa State")</f>
        <v>Iowa State</v>
      </c>
      <c r="F1651" s="4">
        <f>IFERROR(__xludf.DUMMYFUNCTION("""COMPUTED_VALUE"""),6.0)</f>
        <v>6</v>
      </c>
      <c r="G1651" s="4">
        <f>IFERROR(__xludf.DUMMYFUNCTION("""COMPUTED_VALUE"""),289.0)</f>
        <v>289</v>
      </c>
      <c r="H1651" s="4">
        <f>IFERROR(__xludf.DUMMYFUNCTION("""COMPUTED_VALUE"""),6032.0)</f>
        <v>6032</v>
      </c>
      <c r="I1651" s="4">
        <f>IFERROR(__xludf.DUMMYFUNCTION("""COMPUTED_VALUE"""),2782.0)</f>
        <v>2782</v>
      </c>
      <c r="J1651" s="4">
        <f>IFERROR(__xludf.DUMMYFUNCTION("""COMPUTED_VALUE"""),1340.0)</f>
        <v>1340</v>
      </c>
      <c r="K1651" s="4">
        <f>IFERROR(__xludf.DUMMYFUNCTION("""COMPUTED_VALUE"""),352.0)</f>
        <v>352</v>
      </c>
      <c r="L1651" s="4">
        <f>IFERROR(__xludf.DUMMYFUNCTION("""COMPUTED_VALUE"""),0.435)</f>
        <v>0.435</v>
      </c>
      <c r="M1651" s="4">
        <f>IFERROR(__xludf.DUMMYFUNCTION("""COMPUTED_VALUE"""),0.191)</f>
        <v>0.191</v>
      </c>
      <c r="N1651" s="4">
        <f>IFERROR(__xludf.DUMMYFUNCTION("""COMPUTED_VALUE"""),0.691)</f>
        <v>0.691</v>
      </c>
      <c r="O1651" s="4">
        <f>IFERROR(__xludf.DUMMYFUNCTION("""COMPUTED_VALUE"""),20.9)</f>
        <v>20.9</v>
      </c>
      <c r="P1651" s="4">
        <f>IFERROR(__xludf.DUMMYFUNCTION("""COMPUTED_VALUE"""),9.6)</f>
        <v>9.6</v>
      </c>
      <c r="Q1651" s="4">
        <f>IFERROR(__xludf.DUMMYFUNCTION("""COMPUTED_VALUE"""),4.6)</f>
        <v>4.6</v>
      </c>
      <c r="R1651" s="4">
        <f>IFERROR(__xludf.DUMMYFUNCTION("""COMPUTED_VALUE"""),1.2)</f>
        <v>1.2</v>
      </c>
      <c r="S1651" s="4">
        <f>IFERROR(__xludf.DUMMYFUNCTION("""COMPUTED_VALUE"""),2.7)</f>
        <v>2.7</v>
      </c>
      <c r="T1651" s="4">
        <f>IFERROR(__xludf.DUMMYFUNCTION("""COMPUTED_VALUE"""),0.022)</f>
        <v>0.022</v>
      </c>
      <c r="U1651" s="4">
        <f>IFERROR(__xludf.DUMMYFUNCTION("""COMPUTED_VALUE"""),-3.7)</f>
        <v>-3.7</v>
      </c>
      <c r="V1651" s="4">
        <f>IFERROR(__xludf.DUMMYFUNCTION("""COMPUTED_VALUE"""),-2.6)</f>
        <v>-2.6</v>
      </c>
    </row>
    <row r="1652">
      <c r="A1652" s="4">
        <f>IFERROR(__xludf.DUMMYFUNCTION("""COMPUTED_VALUE"""),5.0)</f>
        <v>5</v>
      </c>
      <c r="B1652" s="4">
        <f>IFERROR(__xludf.DUMMYFUNCTION("""COMPUTED_VALUE"""),5.0)</f>
        <v>5</v>
      </c>
      <c r="C1652" s="4" t="str">
        <f>IFERROR(__xludf.DUMMYFUNCTION("""COMPUTED_VALUE"""),"ORL")</f>
        <v>ORL</v>
      </c>
      <c r="D1652" s="4" t="str">
        <f>IFERROR(__xludf.DUMMYFUNCTION("""COMPUTED_VALUE"""),"Mike Miller")</f>
        <v>Mike Miller</v>
      </c>
      <c r="E1652" s="4" t="str">
        <f>IFERROR(__xludf.DUMMYFUNCTION("""COMPUTED_VALUE"""),"Florida")</f>
        <v>Florida</v>
      </c>
      <c r="F1652" s="4">
        <f>IFERROR(__xludf.DUMMYFUNCTION("""COMPUTED_VALUE"""),17.0)</f>
        <v>17</v>
      </c>
      <c r="G1652" s="4">
        <f>IFERROR(__xludf.DUMMYFUNCTION("""COMPUTED_VALUE"""),1032.0)</f>
        <v>1032</v>
      </c>
      <c r="H1652" s="4">
        <f>IFERROR(__xludf.DUMMYFUNCTION("""COMPUTED_VALUE"""),27812.0)</f>
        <v>27812</v>
      </c>
      <c r="I1652" s="4">
        <f>IFERROR(__xludf.DUMMYFUNCTION("""COMPUTED_VALUE"""),10973.0)</f>
        <v>10973</v>
      </c>
      <c r="J1652" s="4">
        <f>IFERROR(__xludf.DUMMYFUNCTION("""COMPUTED_VALUE"""),4376.0)</f>
        <v>4376</v>
      </c>
      <c r="K1652" s="4">
        <f>IFERROR(__xludf.DUMMYFUNCTION("""COMPUTED_VALUE"""),2666.0)</f>
        <v>2666</v>
      </c>
      <c r="L1652" s="4">
        <f>IFERROR(__xludf.DUMMYFUNCTION("""COMPUTED_VALUE"""),0.459)</f>
        <v>0.459</v>
      </c>
      <c r="M1652" s="4">
        <f>IFERROR(__xludf.DUMMYFUNCTION("""COMPUTED_VALUE"""),0.407)</f>
        <v>0.407</v>
      </c>
      <c r="N1652" s="4">
        <f>IFERROR(__xludf.DUMMYFUNCTION("""COMPUTED_VALUE"""),0.769)</f>
        <v>0.769</v>
      </c>
      <c r="O1652" s="4">
        <f>IFERROR(__xludf.DUMMYFUNCTION("""COMPUTED_VALUE"""),26.9)</f>
        <v>26.9</v>
      </c>
      <c r="P1652" s="4">
        <f>IFERROR(__xludf.DUMMYFUNCTION("""COMPUTED_VALUE"""),10.6)</f>
        <v>10.6</v>
      </c>
      <c r="Q1652" s="4">
        <f>IFERROR(__xludf.DUMMYFUNCTION("""COMPUTED_VALUE"""),4.2)</f>
        <v>4.2</v>
      </c>
      <c r="R1652" s="4">
        <f>IFERROR(__xludf.DUMMYFUNCTION("""COMPUTED_VALUE"""),2.6)</f>
        <v>2.6</v>
      </c>
      <c r="S1652" s="4">
        <f>IFERROR(__xludf.DUMMYFUNCTION("""COMPUTED_VALUE"""),60.7)</f>
        <v>60.7</v>
      </c>
      <c r="T1652" s="4">
        <f>IFERROR(__xludf.DUMMYFUNCTION("""COMPUTED_VALUE"""),0.105)</f>
        <v>0.105</v>
      </c>
      <c r="U1652" s="4">
        <f>IFERROR(__xludf.DUMMYFUNCTION("""COMPUTED_VALUE"""),0.8)</f>
        <v>0.8</v>
      </c>
      <c r="V1652" s="4">
        <f>IFERROR(__xludf.DUMMYFUNCTION("""COMPUTED_VALUE"""),19.8)</f>
        <v>19.8</v>
      </c>
    </row>
    <row r="1653">
      <c r="A1653" s="4">
        <f>IFERROR(__xludf.DUMMYFUNCTION("""COMPUTED_VALUE"""),6.0)</f>
        <v>6</v>
      </c>
      <c r="B1653" s="4">
        <f>IFERROR(__xludf.DUMMYFUNCTION("""COMPUTED_VALUE"""),6.0)</f>
        <v>6</v>
      </c>
      <c r="C1653" s="4" t="str">
        <f>IFERROR(__xludf.DUMMYFUNCTION("""COMPUTED_VALUE"""),"ATL")</f>
        <v>ATL</v>
      </c>
      <c r="D1653" s="4" t="str">
        <f>IFERROR(__xludf.DUMMYFUNCTION("""COMPUTED_VALUE"""),"DerMarr Johnson")</f>
        <v>DerMarr Johnson</v>
      </c>
      <c r="E1653" s="4" t="str">
        <f>IFERROR(__xludf.DUMMYFUNCTION("""COMPUTED_VALUE"""),"Cincinnati")</f>
        <v>Cincinnati</v>
      </c>
      <c r="F1653" s="4">
        <f>IFERROR(__xludf.DUMMYFUNCTION("""COMPUTED_VALUE"""),7.0)</f>
        <v>7</v>
      </c>
      <c r="G1653" s="4">
        <f>IFERROR(__xludf.DUMMYFUNCTION("""COMPUTED_VALUE"""),344.0)</f>
        <v>344</v>
      </c>
      <c r="H1653" s="4">
        <f>IFERROR(__xludf.DUMMYFUNCTION("""COMPUTED_VALUE"""),5930.0)</f>
        <v>5930</v>
      </c>
      <c r="I1653" s="4">
        <f>IFERROR(__xludf.DUMMYFUNCTION("""COMPUTED_VALUE"""),2121.0)</f>
        <v>2121</v>
      </c>
      <c r="J1653" s="4">
        <f>IFERROR(__xludf.DUMMYFUNCTION("""COMPUTED_VALUE"""),769.0)</f>
        <v>769</v>
      </c>
      <c r="K1653" s="4">
        <f>IFERROR(__xludf.DUMMYFUNCTION("""COMPUTED_VALUE"""),304.0)</f>
        <v>304</v>
      </c>
      <c r="L1653" s="4">
        <f>IFERROR(__xludf.DUMMYFUNCTION("""COMPUTED_VALUE"""),0.411)</f>
        <v>0.411</v>
      </c>
      <c r="M1653" s="4">
        <f>IFERROR(__xludf.DUMMYFUNCTION("""COMPUTED_VALUE"""),0.336)</f>
        <v>0.336</v>
      </c>
      <c r="N1653" s="4">
        <f>IFERROR(__xludf.DUMMYFUNCTION("""COMPUTED_VALUE"""),0.789)</f>
        <v>0.789</v>
      </c>
      <c r="O1653" s="4">
        <f>IFERROR(__xludf.DUMMYFUNCTION("""COMPUTED_VALUE"""),17.2)</f>
        <v>17.2</v>
      </c>
      <c r="P1653" s="4">
        <f>IFERROR(__xludf.DUMMYFUNCTION("""COMPUTED_VALUE"""),6.2)</f>
        <v>6.2</v>
      </c>
      <c r="Q1653" s="4">
        <f>IFERROR(__xludf.DUMMYFUNCTION("""COMPUTED_VALUE"""),2.2)</f>
        <v>2.2</v>
      </c>
      <c r="R1653" s="4">
        <f>IFERROR(__xludf.DUMMYFUNCTION("""COMPUTED_VALUE"""),0.9)</f>
        <v>0.9</v>
      </c>
      <c r="S1653" s="4">
        <f>IFERROR(__xludf.DUMMYFUNCTION("""COMPUTED_VALUE"""),6.4)</f>
        <v>6.4</v>
      </c>
      <c r="T1653" s="4">
        <f>IFERROR(__xludf.DUMMYFUNCTION("""COMPUTED_VALUE"""),0.052)</f>
        <v>0.052</v>
      </c>
      <c r="U1653" s="4">
        <f>IFERROR(__xludf.DUMMYFUNCTION("""COMPUTED_VALUE"""),-1.6)</f>
        <v>-1.6</v>
      </c>
      <c r="V1653" s="4">
        <f>IFERROR(__xludf.DUMMYFUNCTION("""COMPUTED_VALUE"""),0.6)</f>
        <v>0.6</v>
      </c>
    </row>
    <row r="1654">
      <c r="A1654" s="4">
        <f>IFERROR(__xludf.DUMMYFUNCTION("""COMPUTED_VALUE"""),7.0)</f>
        <v>7</v>
      </c>
      <c r="B1654" s="4">
        <f>IFERROR(__xludf.DUMMYFUNCTION("""COMPUTED_VALUE"""),7.0)</f>
        <v>7</v>
      </c>
      <c r="C1654" s="4" t="str">
        <f>IFERROR(__xludf.DUMMYFUNCTION("""COMPUTED_VALUE"""),"CHI")</f>
        <v>CHI</v>
      </c>
      <c r="D1654" s="4" t="str">
        <f>IFERROR(__xludf.DUMMYFUNCTION("""COMPUTED_VALUE"""),"Chris Mihm")</f>
        <v>Chris Mihm</v>
      </c>
      <c r="E1654" s="4" t="str">
        <f>IFERROR(__xludf.DUMMYFUNCTION("""COMPUTED_VALUE"""),"Texas")</f>
        <v>Texas</v>
      </c>
      <c r="F1654" s="4">
        <f>IFERROR(__xludf.DUMMYFUNCTION("""COMPUTED_VALUE"""),8.0)</f>
        <v>8</v>
      </c>
      <c r="G1654" s="4">
        <f>IFERROR(__xludf.DUMMYFUNCTION("""COMPUTED_VALUE"""),436.0)</f>
        <v>436</v>
      </c>
      <c r="H1654" s="4">
        <f>IFERROR(__xludf.DUMMYFUNCTION("""COMPUTED_VALUE"""),8758.0)</f>
        <v>8758</v>
      </c>
      <c r="I1654" s="4">
        <f>IFERROR(__xludf.DUMMYFUNCTION("""COMPUTED_VALUE"""),3262.0)</f>
        <v>3262</v>
      </c>
      <c r="J1654" s="4">
        <f>IFERROR(__xludf.DUMMYFUNCTION("""COMPUTED_VALUE"""),2302.0)</f>
        <v>2302</v>
      </c>
      <c r="K1654" s="4">
        <f>IFERROR(__xludf.DUMMYFUNCTION("""COMPUTED_VALUE"""),223.0)</f>
        <v>223</v>
      </c>
      <c r="L1654" s="4">
        <f>IFERROR(__xludf.DUMMYFUNCTION("""COMPUTED_VALUE"""),0.459)</f>
        <v>0.459</v>
      </c>
      <c r="M1654" s="4">
        <f>IFERROR(__xludf.DUMMYFUNCTION("""COMPUTED_VALUE"""),0.231)</f>
        <v>0.231</v>
      </c>
      <c r="N1654" s="4">
        <f>IFERROR(__xludf.DUMMYFUNCTION("""COMPUTED_VALUE"""),0.704)</f>
        <v>0.704</v>
      </c>
      <c r="O1654" s="4">
        <f>IFERROR(__xludf.DUMMYFUNCTION("""COMPUTED_VALUE"""),20.1)</f>
        <v>20.1</v>
      </c>
      <c r="P1654" s="4">
        <f>IFERROR(__xludf.DUMMYFUNCTION("""COMPUTED_VALUE"""),7.5)</f>
        <v>7.5</v>
      </c>
      <c r="Q1654" s="4">
        <f>IFERROR(__xludf.DUMMYFUNCTION("""COMPUTED_VALUE"""),5.3)</f>
        <v>5.3</v>
      </c>
      <c r="R1654" s="4">
        <f>IFERROR(__xludf.DUMMYFUNCTION("""COMPUTED_VALUE"""),0.5)</f>
        <v>0.5</v>
      </c>
      <c r="S1654" s="4">
        <f>IFERROR(__xludf.DUMMYFUNCTION("""COMPUTED_VALUE"""),13.3)</f>
        <v>13.3</v>
      </c>
      <c r="T1654" s="4">
        <f>IFERROR(__xludf.DUMMYFUNCTION("""COMPUTED_VALUE"""),0.073)</f>
        <v>0.073</v>
      </c>
      <c r="U1654" s="4">
        <f>IFERROR(__xludf.DUMMYFUNCTION("""COMPUTED_VALUE"""),-3.9)</f>
        <v>-3.9</v>
      </c>
      <c r="V1654" s="4">
        <f>IFERROR(__xludf.DUMMYFUNCTION("""COMPUTED_VALUE"""),-4.3)</f>
        <v>-4.3</v>
      </c>
    </row>
    <row r="1655">
      <c r="A1655" s="4">
        <f>IFERROR(__xludf.DUMMYFUNCTION("""COMPUTED_VALUE"""),8.0)</f>
        <v>8</v>
      </c>
      <c r="B1655" s="4">
        <f>IFERROR(__xludf.DUMMYFUNCTION("""COMPUTED_VALUE"""),8.0)</f>
        <v>8</v>
      </c>
      <c r="C1655" s="4" t="str">
        <f>IFERROR(__xludf.DUMMYFUNCTION("""COMPUTED_VALUE"""),"CLE")</f>
        <v>CLE</v>
      </c>
      <c r="D1655" s="4" t="str">
        <f>IFERROR(__xludf.DUMMYFUNCTION("""COMPUTED_VALUE"""),"Jamal Crawford")</f>
        <v>Jamal Crawford</v>
      </c>
      <c r="E1655" s="4" t="str">
        <f>IFERROR(__xludf.DUMMYFUNCTION("""COMPUTED_VALUE"""),"Michigan")</f>
        <v>Michigan</v>
      </c>
      <c r="F1655" s="4">
        <f>IFERROR(__xludf.DUMMYFUNCTION("""COMPUTED_VALUE"""),20.0)</f>
        <v>20</v>
      </c>
      <c r="G1655" s="4">
        <f>IFERROR(__xludf.DUMMYFUNCTION("""COMPUTED_VALUE"""),1327.0)</f>
        <v>1327</v>
      </c>
      <c r="H1655" s="4">
        <f>IFERROR(__xludf.DUMMYFUNCTION("""COMPUTED_VALUE"""),38994.0)</f>
        <v>38994</v>
      </c>
      <c r="I1655" s="4">
        <f>IFERROR(__xludf.DUMMYFUNCTION("""COMPUTED_VALUE"""),19419.0)</f>
        <v>19419</v>
      </c>
      <c r="J1655" s="4">
        <f>IFERROR(__xludf.DUMMYFUNCTION("""COMPUTED_VALUE"""),2948.0)</f>
        <v>2948</v>
      </c>
      <c r="K1655" s="4">
        <f>IFERROR(__xludf.DUMMYFUNCTION("""COMPUTED_VALUE"""),4541.0)</f>
        <v>4541</v>
      </c>
      <c r="L1655" s="4">
        <f>IFERROR(__xludf.DUMMYFUNCTION("""COMPUTED_VALUE"""),0.41)</f>
        <v>0.41</v>
      </c>
      <c r="M1655" s="4">
        <f>IFERROR(__xludf.DUMMYFUNCTION("""COMPUTED_VALUE"""),0.348)</f>
        <v>0.348</v>
      </c>
      <c r="N1655" s="4">
        <f>IFERROR(__xludf.DUMMYFUNCTION("""COMPUTED_VALUE"""),0.862)</f>
        <v>0.862</v>
      </c>
      <c r="O1655" s="4">
        <f>IFERROR(__xludf.DUMMYFUNCTION("""COMPUTED_VALUE"""),29.4)</f>
        <v>29.4</v>
      </c>
      <c r="P1655" s="4">
        <f>IFERROR(__xludf.DUMMYFUNCTION("""COMPUTED_VALUE"""),14.6)</f>
        <v>14.6</v>
      </c>
      <c r="Q1655" s="4">
        <f>IFERROR(__xludf.DUMMYFUNCTION("""COMPUTED_VALUE"""),2.2)</f>
        <v>2.2</v>
      </c>
      <c r="R1655" s="4">
        <f>IFERROR(__xludf.DUMMYFUNCTION("""COMPUTED_VALUE"""),3.4)</f>
        <v>3.4</v>
      </c>
      <c r="S1655" s="4">
        <f>IFERROR(__xludf.DUMMYFUNCTION("""COMPUTED_VALUE"""),60.7)</f>
        <v>60.7</v>
      </c>
      <c r="T1655" s="4">
        <f>IFERROR(__xludf.DUMMYFUNCTION("""COMPUTED_VALUE"""),0.075)</f>
        <v>0.075</v>
      </c>
      <c r="U1655" s="4">
        <f>IFERROR(__xludf.DUMMYFUNCTION("""COMPUTED_VALUE"""),-0.1)</f>
        <v>-0.1</v>
      </c>
      <c r="V1655" s="4">
        <f>IFERROR(__xludf.DUMMYFUNCTION("""COMPUTED_VALUE"""),18.4)</f>
        <v>18.4</v>
      </c>
    </row>
    <row r="1656">
      <c r="A1656" s="4">
        <f>IFERROR(__xludf.DUMMYFUNCTION("""COMPUTED_VALUE"""),9.0)</f>
        <v>9</v>
      </c>
      <c r="B1656" s="4">
        <f>IFERROR(__xludf.DUMMYFUNCTION("""COMPUTED_VALUE"""),9.0)</f>
        <v>9</v>
      </c>
      <c r="C1656" s="4" t="str">
        <f>IFERROR(__xludf.DUMMYFUNCTION("""COMPUTED_VALUE"""),"HOU")</f>
        <v>HOU</v>
      </c>
      <c r="D1656" s="4" t="str">
        <f>IFERROR(__xludf.DUMMYFUNCTION("""COMPUTED_VALUE"""),"Joel Przybilla")</f>
        <v>Joel Przybilla</v>
      </c>
      <c r="E1656" s="4" t="str">
        <f>IFERROR(__xludf.DUMMYFUNCTION("""COMPUTED_VALUE"""),"Minnesota")</f>
        <v>Minnesota</v>
      </c>
      <c r="F1656" s="4">
        <f>IFERROR(__xludf.DUMMYFUNCTION("""COMPUTED_VALUE"""),13.0)</f>
        <v>13</v>
      </c>
      <c r="G1656" s="4">
        <f>IFERROR(__xludf.DUMMYFUNCTION("""COMPUTED_VALUE"""),592.0)</f>
        <v>592</v>
      </c>
      <c r="H1656" s="4">
        <f>IFERROR(__xludf.DUMMYFUNCTION("""COMPUTED_VALUE"""),11733.0)</f>
        <v>11733</v>
      </c>
      <c r="I1656" s="4">
        <f>IFERROR(__xludf.DUMMYFUNCTION("""COMPUTED_VALUE"""),2293.0)</f>
        <v>2293</v>
      </c>
      <c r="J1656" s="4">
        <f>IFERROR(__xludf.DUMMYFUNCTION("""COMPUTED_VALUE"""),3665.0)</f>
        <v>3665</v>
      </c>
      <c r="K1656" s="4">
        <f>IFERROR(__xludf.DUMMYFUNCTION("""COMPUTED_VALUE"""),256.0)</f>
        <v>256</v>
      </c>
      <c r="L1656" s="4">
        <f>IFERROR(__xludf.DUMMYFUNCTION("""COMPUTED_VALUE"""),0.552)</f>
        <v>0.552</v>
      </c>
      <c r="M1656" s="4">
        <f>IFERROR(__xludf.DUMMYFUNCTION("""COMPUTED_VALUE"""),0.0)</f>
        <v>0</v>
      </c>
      <c r="N1656" s="4">
        <f>IFERROR(__xludf.DUMMYFUNCTION("""COMPUTED_VALUE"""),0.557)</f>
        <v>0.557</v>
      </c>
      <c r="O1656" s="4">
        <f>IFERROR(__xludf.DUMMYFUNCTION("""COMPUTED_VALUE"""),19.8)</f>
        <v>19.8</v>
      </c>
      <c r="P1656" s="4">
        <f>IFERROR(__xludf.DUMMYFUNCTION("""COMPUTED_VALUE"""),3.9)</f>
        <v>3.9</v>
      </c>
      <c r="Q1656" s="4">
        <f>IFERROR(__xludf.DUMMYFUNCTION("""COMPUTED_VALUE"""),6.2)</f>
        <v>6.2</v>
      </c>
      <c r="R1656" s="4">
        <f>IFERROR(__xludf.DUMMYFUNCTION("""COMPUTED_VALUE"""),0.4)</f>
        <v>0.4</v>
      </c>
      <c r="S1656" s="4">
        <f>IFERROR(__xludf.DUMMYFUNCTION("""COMPUTED_VALUE"""),23.0)</f>
        <v>23</v>
      </c>
      <c r="T1656" s="4">
        <f>IFERROR(__xludf.DUMMYFUNCTION("""COMPUTED_VALUE"""),0.094)</f>
        <v>0.094</v>
      </c>
      <c r="U1656" s="4">
        <f>IFERROR(__xludf.DUMMYFUNCTION("""COMPUTED_VALUE"""),-1.7)</f>
        <v>-1.7</v>
      </c>
      <c r="V1656" s="4">
        <f>IFERROR(__xludf.DUMMYFUNCTION("""COMPUTED_VALUE"""),0.8)</f>
        <v>0.8</v>
      </c>
    </row>
    <row r="1657">
      <c r="A1657" s="4">
        <f>IFERROR(__xludf.DUMMYFUNCTION("""COMPUTED_VALUE"""),10.0)</f>
        <v>10</v>
      </c>
      <c r="B1657" s="4">
        <f>IFERROR(__xludf.DUMMYFUNCTION("""COMPUTED_VALUE"""),10.0)</f>
        <v>10</v>
      </c>
      <c r="C1657" s="4" t="str">
        <f>IFERROR(__xludf.DUMMYFUNCTION("""COMPUTED_VALUE"""),"ORL")</f>
        <v>ORL</v>
      </c>
      <c r="D1657" s="4" t="str">
        <f>IFERROR(__xludf.DUMMYFUNCTION("""COMPUTED_VALUE"""),"Keyon Dooling")</f>
        <v>Keyon Dooling</v>
      </c>
      <c r="E1657" s="4" t="str">
        <f>IFERROR(__xludf.DUMMYFUNCTION("""COMPUTED_VALUE"""),"Missouri")</f>
        <v>Missouri</v>
      </c>
      <c r="F1657" s="4">
        <f>IFERROR(__xludf.DUMMYFUNCTION("""COMPUTED_VALUE"""),13.0)</f>
        <v>13</v>
      </c>
      <c r="G1657" s="4">
        <f>IFERROR(__xludf.DUMMYFUNCTION("""COMPUTED_VALUE"""),728.0)</f>
        <v>728</v>
      </c>
      <c r="H1657" s="4">
        <f>IFERROR(__xludf.DUMMYFUNCTION("""COMPUTED_VALUE"""),14134.0)</f>
        <v>14134</v>
      </c>
      <c r="I1657" s="4">
        <f>IFERROR(__xludf.DUMMYFUNCTION("""COMPUTED_VALUE"""),5067.0)</f>
        <v>5067</v>
      </c>
      <c r="J1657" s="4">
        <f>IFERROR(__xludf.DUMMYFUNCTION("""COMPUTED_VALUE"""),964.0)</f>
        <v>964</v>
      </c>
      <c r="K1657" s="4">
        <f>IFERROR(__xludf.DUMMYFUNCTION("""COMPUTED_VALUE"""),1601.0)</f>
        <v>1601</v>
      </c>
      <c r="L1657" s="4">
        <f>IFERROR(__xludf.DUMMYFUNCTION("""COMPUTED_VALUE"""),0.416)</f>
        <v>0.416</v>
      </c>
      <c r="M1657" s="4">
        <f>IFERROR(__xludf.DUMMYFUNCTION("""COMPUTED_VALUE"""),0.349)</f>
        <v>0.349</v>
      </c>
      <c r="N1657" s="4">
        <f>IFERROR(__xludf.DUMMYFUNCTION("""COMPUTED_VALUE"""),0.799)</f>
        <v>0.799</v>
      </c>
      <c r="O1657" s="4">
        <f>IFERROR(__xludf.DUMMYFUNCTION("""COMPUTED_VALUE"""),19.4)</f>
        <v>19.4</v>
      </c>
      <c r="P1657" s="4">
        <f>IFERROR(__xludf.DUMMYFUNCTION("""COMPUTED_VALUE"""),7.0)</f>
        <v>7</v>
      </c>
      <c r="Q1657" s="4">
        <f>IFERROR(__xludf.DUMMYFUNCTION("""COMPUTED_VALUE"""),1.3)</f>
        <v>1.3</v>
      </c>
      <c r="R1657" s="4">
        <f>IFERROR(__xludf.DUMMYFUNCTION("""COMPUTED_VALUE"""),2.2)</f>
        <v>2.2</v>
      </c>
      <c r="S1657" s="4">
        <f>IFERROR(__xludf.DUMMYFUNCTION("""COMPUTED_VALUE"""),18.5)</f>
        <v>18.5</v>
      </c>
      <c r="T1657" s="4">
        <f>IFERROR(__xludf.DUMMYFUNCTION("""COMPUTED_VALUE"""),0.063)</f>
        <v>0.063</v>
      </c>
      <c r="U1657" s="4">
        <f>IFERROR(__xludf.DUMMYFUNCTION("""COMPUTED_VALUE"""),-2.0)</f>
        <v>-2</v>
      </c>
      <c r="V1657" s="4">
        <f>IFERROR(__xludf.DUMMYFUNCTION("""COMPUTED_VALUE"""),-0.2)</f>
        <v>-0.2</v>
      </c>
    </row>
    <row r="1658">
      <c r="A1658" s="4">
        <f>IFERROR(__xludf.DUMMYFUNCTION("""COMPUTED_VALUE"""),11.0)</f>
        <v>11</v>
      </c>
      <c r="B1658" s="4">
        <f>IFERROR(__xludf.DUMMYFUNCTION("""COMPUTED_VALUE"""),11.0)</f>
        <v>11</v>
      </c>
      <c r="C1658" s="4" t="str">
        <f>IFERROR(__xludf.DUMMYFUNCTION("""COMPUTED_VALUE"""),"BOS")</f>
        <v>BOS</v>
      </c>
      <c r="D1658" s="4" t="str">
        <f>IFERROR(__xludf.DUMMYFUNCTION("""COMPUTED_VALUE"""),"Jérôme Moïso")</f>
        <v>Jérôme Moïso</v>
      </c>
      <c r="E1658" s="4" t="str">
        <f>IFERROR(__xludf.DUMMYFUNCTION("""COMPUTED_VALUE"""),"UCLA")</f>
        <v>UCLA</v>
      </c>
      <c r="F1658" s="4">
        <f>IFERROR(__xludf.DUMMYFUNCTION("""COMPUTED_VALUE"""),5.0)</f>
        <v>5</v>
      </c>
      <c r="G1658" s="4">
        <f>IFERROR(__xludf.DUMMYFUNCTION("""COMPUTED_VALUE"""),145.0)</f>
        <v>145</v>
      </c>
      <c r="H1658" s="4">
        <f>IFERROR(__xludf.DUMMYFUNCTION("""COMPUTED_VALUE"""),1392.0)</f>
        <v>1392</v>
      </c>
      <c r="I1658" s="4">
        <f>IFERROR(__xludf.DUMMYFUNCTION("""COMPUTED_VALUE"""),386.0)</f>
        <v>386</v>
      </c>
      <c r="J1658" s="4">
        <f>IFERROR(__xludf.DUMMYFUNCTION("""COMPUTED_VALUE"""),395.0)</f>
        <v>395</v>
      </c>
      <c r="K1658" s="4">
        <f>IFERROR(__xludf.DUMMYFUNCTION("""COMPUTED_VALUE"""),38.0)</f>
        <v>38</v>
      </c>
      <c r="L1658" s="4">
        <f>IFERROR(__xludf.DUMMYFUNCTION("""COMPUTED_VALUE"""),0.489)</f>
        <v>0.489</v>
      </c>
      <c r="M1658" s="4">
        <f>IFERROR(__xludf.DUMMYFUNCTION("""COMPUTED_VALUE"""),0.0)</f>
        <v>0</v>
      </c>
      <c r="N1658" s="4">
        <f>IFERROR(__xludf.DUMMYFUNCTION("""COMPUTED_VALUE"""),0.593)</f>
        <v>0.593</v>
      </c>
      <c r="O1658" s="4">
        <f>IFERROR(__xludf.DUMMYFUNCTION("""COMPUTED_VALUE"""),9.6)</f>
        <v>9.6</v>
      </c>
      <c r="P1658" s="4">
        <f>IFERROR(__xludf.DUMMYFUNCTION("""COMPUTED_VALUE"""),2.7)</f>
        <v>2.7</v>
      </c>
      <c r="Q1658" s="4">
        <f>IFERROR(__xludf.DUMMYFUNCTION("""COMPUTED_VALUE"""),2.7)</f>
        <v>2.7</v>
      </c>
      <c r="R1658" s="4">
        <f>IFERROR(__xludf.DUMMYFUNCTION("""COMPUTED_VALUE"""),0.3)</f>
        <v>0.3</v>
      </c>
      <c r="S1658" s="4">
        <f>IFERROR(__xludf.DUMMYFUNCTION("""COMPUTED_VALUE"""),2.1)</f>
        <v>2.1</v>
      </c>
      <c r="T1658" s="4">
        <f>IFERROR(__xludf.DUMMYFUNCTION("""COMPUTED_VALUE"""),0.074)</f>
        <v>0.074</v>
      </c>
      <c r="U1658" s="4">
        <f>IFERROR(__xludf.DUMMYFUNCTION("""COMPUTED_VALUE"""),-2.9)</f>
        <v>-2.9</v>
      </c>
      <c r="V1658" s="4">
        <f>IFERROR(__xludf.DUMMYFUNCTION("""COMPUTED_VALUE"""),-0.3)</f>
        <v>-0.3</v>
      </c>
    </row>
    <row r="1659">
      <c r="A1659" s="4">
        <f>IFERROR(__xludf.DUMMYFUNCTION("""COMPUTED_VALUE"""),12.0)</f>
        <v>12</v>
      </c>
      <c r="B1659" s="4">
        <f>IFERROR(__xludf.DUMMYFUNCTION("""COMPUTED_VALUE"""),12.0)</f>
        <v>12</v>
      </c>
      <c r="C1659" s="4" t="str">
        <f>IFERROR(__xludf.DUMMYFUNCTION("""COMPUTED_VALUE"""),"DAL")</f>
        <v>DAL</v>
      </c>
      <c r="D1659" s="4" t="str">
        <f>IFERROR(__xludf.DUMMYFUNCTION("""COMPUTED_VALUE"""),"Etan Thomas")</f>
        <v>Etan Thomas</v>
      </c>
      <c r="E1659" s="4" t="str">
        <f>IFERROR(__xludf.DUMMYFUNCTION("""COMPUTED_VALUE"""),"Syracuse")</f>
        <v>Syracuse</v>
      </c>
      <c r="F1659" s="4">
        <f>IFERROR(__xludf.DUMMYFUNCTION("""COMPUTED_VALUE"""),9.0)</f>
        <v>9</v>
      </c>
      <c r="G1659" s="4">
        <f>IFERROR(__xludf.DUMMYFUNCTION("""COMPUTED_VALUE"""),409.0)</f>
        <v>409</v>
      </c>
      <c r="H1659" s="4">
        <f>IFERROR(__xludf.DUMMYFUNCTION("""COMPUTED_VALUE"""),7084.0)</f>
        <v>7084</v>
      </c>
      <c r="I1659" s="4">
        <f>IFERROR(__xludf.DUMMYFUNCTION("""COMPUTED_VALUE"""),2341.0)</f>
        <v>2341</v>
      </c>
      <c r="J1659" s="4">
        <f>IFERROR(__xludf.DUMMYFUNCTION("""COMPUTED_VALUE"""),1927.0)</f>
        <v>1927</v>
      </c>
      <c r="K1659" s="4">
        <f>IFERROR(__xludf.DUMMYFUNCTION("""COMPUTED_VALUE"""),149.0)</f>
        <v>149</v>
      </c>
      <c r="L1659" s="4">
        <f>IFERROR(__xludf.DUMMYFUNCTION("""COMPUTED_VALUE"""),0.513)</f>
        <v>0.513</v>
      </c>
      <c r="M1659" s="4"/>
      <c r="N1659" s="4">
        <f>IFERROR(__xludf.DUMMYFUNCTION("""COMPUTED_VALUE"""),0.603)</f>
        <v>0.603</v>
      </c>
      <c r="O1659" s="4">
        <f>IFERROR(__xludf.DUMMYFUNCTION("""COMPUTED_VALUE"""),17.3)</f>
        <v>17.3</v>
      </c>
      <c r="P1659" s="4">
        <f>IFERROR(__xludf.DUMMYFUNCTION("""COMPUTED_VALUE"""),5.7)</f>
        <v>5.7</v>
      </c>
      <c r="Q1659" s="4">
        <f>IFERROR(__xludf.DUMMYFUNCTION("""COMPUTED_VALUE"""),4.7)</f>
        <v>4.7</v>
      </c>
      <c r="R1659" s="4">
        <f>IFERROR(__xludf.DUMMYFUNCTION("""COMPUTED_VALUE"""),0.4)</f>
        <v>0.4</v>
      </c>
      <c r="S1659" s="4">
        <f>IFERROR(__xludf.DUMMYFUNCTION("""COMPUTED_VALUE"""),14.9)</f>
        <v>14.9</v>
      </c>
      <c r="T1659" s="4">
        <f>IFERROR(__xludf.DUMMYFUNCTION("""COMPUTED_VALUE"""),0.101)</f>
        <v>0.101</v>
      </c>
      <c r="U1659" s="4">
        <f>IFERROR(__xludf.DUMMYFUNCTION("""COMPUTED_VALUE"""),-2.1)</f>
        <v>-2.1</v>
      </c>
      <c r="V1659" s="4">
        <f>IFERROR(__xludf.DUMMYFUNCTION("""COMPUTED_VALUE"""),-0.2)</f>
        <v>-0.2</v>
      </c>
    </row>
    <row r="1660">
      <c r="A1660" s="4">
        <f>IFERROR(__xludf.DUMMYFUNCTION("""COMPUTED_VALUE"""),13.0)</f>
        <v>13</v>
      </c>
      <c r="B1660" s="4">
        <f>IFERROR(__xludf.DUMMYFUNCTION("""COMPUTED_VALUE"""),13.0)</f>
        <v>13</v>
      </c>
      <c r="C1660" s="4" t="str">
        <f>IFERROR(__xludf.DUMMYFUNCTION("""COMPUTED_VALUE"""),"ORL")</f>
        <v>ORL</v>
      </c>
      <c r="D1660" s="4" t="str">
        <f>IFERROR(__xludf.DUMMYFUNCTION("""COMPUTED_VALUE"""),"Courtney Alexander")</f>
        <v>Courtney Alexander</v>
      </c>
      <c r="E1660" s="4" t="str">
        <f>IFERROR(__xludf.DUMMYFUNCTION("""COMPUTED_VALUE"""),"Fresno State")</f>
        <v>Fresno State</v>
      </c>
      <c r="F1660" s="4">
        <f>IFERROR(__xludf.DUMMYFUNCTION("""COMPUTED_VALUE"""),3.0)</f>
        <v>3</v>
      </c>
      <c r="G1660" s="4">
        <f>IFERROR(__xludf.DUMMYFUNCTION("""COMPUTED_VALUE"""),187.0)</f>
        <v>187</v>
      </c>
      <c r="H1660" s="4">
        <f>IFERROR(__xludf.DUMMYFUNCTION("""COMPUTED_VALUE"""),4067.0)</f>
        <v>4067</v>
      </c>
      <c r="I1660" s="4">
        <f>IFERROR(__xludf.DUMMYFUNCTION("""COMPUTED_VALUE"""),1690.0)</f>
        <v>1690</v>
      </c>
      <c r="J1660" s="4">
        <f>IFERROR(__xludf.DUMMYFUNCTION("""COMPUTED_VALUE"""),409.0)</f>
        <v>409</v>
      </c>
      <c r="K1660" s="4">
        <f>IFERROR(__xludf.DUMMYFUNCTION("""COMPUTED_VALUE"""),227.0)</f>
        <v>227</v>
      </c>
      <c r="L1660" s="4">
        <f>IFERROR(__xludf.DUMMYFUNCTION("""COMPUTED_VALUE"""),0.422)</f>
        <v>0.422</v>
      </c>
      <c r="M1660" s="4">
        <f>IFERROR(__xludf.DUMMYFUNCTION("""COMPUTED_VALUE"""),0.339)</f>
        <v>0.339</v>
      </c>
      <c r="N1660" s="4">
        <f>IFERROR(__xludf.DUMMYFUNCTION("""COMPUTED_VALUE"""),0.813)</f>
        <v>0.813</v>
      </c>
      <c r="O1660" s="4">
        <f>IFERROR(__xludf.DUMMYFUNCTION("""COMPUTED_VALUE"""),21.7)</f>
        <v>21.7</v>
      </c>
      <c r="P1660" s="4">
        <f>IFERROR(__xludf.DUMMYFUNCTION("""COMPUTED_VALUE"""),9.0)</f>
        <v>9</v>
      </c>
      <c r="Q1660" s="4">
        <f>IFERROR(__xludf.DUMMYFUNCTION("""COMPUTED_VALUE"""),2.2)</f>
        <v>2.2</v>
      </c>
      <c r="R1660" s="4">
        <f>IFERROR(__xludf.DUMMYFUNCTION("""COMPUTED_VALUE"""),1.2)</f>
        <v>1.2</v>
      </c>
      <c r="S1660" s="4">
        <f>IFERROR(__xludf.DUMMYFUNCTION("""COMPUTED_VALUE"""),4.1)</f>
        <v>4.1</v>
      </c>
      <c r="T1660" s="4">
        <f>IFERROR(__xludf.DUMMYFUNCTION("""COMPUTED_VALUE"""),0.048)</f>
        <v>0.048</v>
      </c>
      <c r="U1660" s="4">
        <f>IFERROR(__xludf.DUMMYFUNCTION("""COMPUTED_VALUE"""),-3.7)</f>
        <v>-3.7</v>
      </c>
      <c r="V1660" s="4">
        <f>IFERROR(__xludf.DUMMYFUNCTION("""COMPUTED_VALUE"""),-1.7)</f>
        <v>-1.7</v>
      </c>
    </row>
    <row r="1661">
      <c r="A1661" s="4">
        <f>IFERROR(__xludf.DUMMYFUNCTION("""COMPUTED_VALUE"""),14.0)</f>
        <v>14</v>
      </c>
      <c r="B1661" s="4">
        <f>IFERROR(__xludf.DUMMYFUNCTION("""COMPUTED_VALUE"""),14.0)</f>
        <v>14</v>
      </c>
      <c r="C1661" s="4" t="str">
        <f>IFERROR(__xludf.DUMMYFUNCTION("""COMPUTED_VALUE"""),"DET")</f>
        <v>DET</v>
      </c>
      <c r="D1661" s="4" t="str">
        <f>IFERROR(__xludf.DUMMYFUNCTION("""COMPUTED_VALUE"""),"Mateen Cleaves")</f>
        <v>Mateen Cleaves</v>
      </c>
      <c r="E1661" s="4" t="str">
        <f>IFERROR(__xludf.DUMMYFUNCTION("""COMPUTED_VALUE"""),"Michigan State")</f>
        <v>Michigan State</v>
      </c>
      <c r="F1661" s="4">
        <f>IFERROR(__xludf.DUMMYFUNCTION("""COMPUTED_VALUE"""),6.0)</f>
        <v>6</v>
      </c>
      <c r="G1661" s="4">
        <f>IFERROR(__xludf.DUMMYFUNCTION("""COMPUTED_VALUE"""),167.0)</f>
        <v>167</v>
      </c>
      <c r="H1661" s="4">
        <f>IFERROR(__xludf.DUMMYFUNCTION("""COMPUTED_VALUE"""),1863.0)</f>
        <v>1863</v>
      </c>
      <c r="I1661" s="4">
        <f>IFERROR(__xludf.DUMMYFUNCTION("""COMPUTED_VALUE"""),609.0)</f>
        <v>609</v>
      </c>
      <c r="J1661" s="4">
        <f>IFERROR(__xludf.DUMMYFUNCTION("""COMPUTED_VALUE"""),175.0)</f>
        <v>175</v>
      </c>
      <c r="K1661" s="4">
        <f>IFERROR(__xludf.DUMMYFUNCTION("""COMPUTED_VALUE"""),310.0)</f>
        <v>310</v>
      </c>
      <c r="L1661" s="4">
        <f>IFERROR(__xludf.DUMMYFUNCTION("""COMPUTED_VALUE"""),0.389)</f>
        <v>0.389</v>
      </c>
      <c r="M1661" s="4">
        <f>IFERROR(__xludf.DUMMYFUNCTION("""COMPUTED_VALUE"""),0.267)</f>
        <v>0.267</v>
      </c>
      <c r="N1661" s="4">
        <f>IFERROR(__xludf.DUMMYFUNCTION("""COMPUTED_VALUE"""),0.728)</f>
        <v>0.728</v>
      </c>
      <c r="O1661" s="4">
        <f>IFERROR(__xludf.DUMMYFUNCTION("""COMPUTED_VALUE"""),11.2)</f>
        <v>11.2</v>
      </c>
      <c r="P1661" s="4">
        <f>IFERROR(__xludf.DUMMYFUNCTION("""COMPUTED_VALUE"""),3.6)</f>
        <v>3.6</v>
      </c>
      <c r="Q1661" s="4">
        <f>IFERROR(__xludf.DUMMYFUNCTION("""COMPUTED_VALUE"""),1.0)</f>
        <v>1</v>
      </c>
      <c r="R1661" s="4">
        <f>IFERROR(__xludf.DUMMYFUNCTION("""COMPUTED_VALUE"""),1.9)</f>
        <v>1.9</v>
      </c>
      <c r="S1661" s="4">
        <f>IFERROR(__xludf.DUMMYFUNCTION("""COMPUTED_VALUE"""),-0.8)</f>
        <v>-0.8</v>
      </c>
      <c r="T1661" s="4">
        <f>IFERROR(__xludf.DUMMYFUNCTION("""COMPUTED_VALUE"""),-0.021)</f>
        <v>-0.021</v>
      </c>
      <c r="U1661" s="4">
        <f>IFERROR(__xludf.DUMMYFUNCTION("""COMPUTED_VALUE"""),-5.6)</f>
        <v>-5.6</v>
      </c>
      <c r="V1661" s="4">
        <f>IFERROR(__xludf.DUMMYFUNCTION("""COMPUTED_VALUE"""),-1.7)</f>
        <v>-1.7</v>
      </c>
    </row>
    <row r="1662">
      <c r="A1662" s="4">
        <f>IFERROR(__xludf.DUMMYFUNCTION("""COMPUTED_VALUE"""),15.0)</f>
        <v>15</v>
      </c>
      <c r="B1662" s="4">
        <f>IFERROR(__xludf.DUMMYFUNCTION("""COMPUTED_VALUE"""),15.0)</f>
        <v>15</v>
      </c>
      <c r="C1662" s="4" t="str">
        <f>IFERROR(__xludf.DUMMYFUNCTION("""COMPUTED_VALUE"""),"MIL")</f>
        <v>MIL</v>
      </c>
      <c r="D1662" s="4" t="str">
        <f>IFERROR(__xludf.DUMMYFUNCTION("""COMPUTED_VALUE"""),"Jason Collier")</f>
        <v>Jason Collier</v>
      </c>
      <c r="E1662" s="4" t="str">
        <f>IFERROR(__xludf.DUMMYFUNCTION("""COMPUTED_VALUE"""),"Georgia Tech")</f>
        <v>Georgia Tech</v>
      </c>
      <c r="F1662" s="4">
        <f>IFERROR(__xludf.DUMMYFUNCTION("""COMPUTED_VALUE"""),5.0)</f>
        <v>5</v>
      </c>
      <c r="G1662" s="4">
        <f>IFERROR(__xludf.DUMMYFUNCTION("""COMPUTED_VALUE"""),151.0)</f>
        <v>151</v>
      </c>
      <c r="H1662" s="4">
        <f>IFERROR(__xludf.DUMMYFUNCTION("""COMPUTED_VALUE"""),2178.0)</f>
        <v>2178</v>
      </c>
      <c r="I1662" s="4">
        <f>IFERROR(__xludf.DUMMYFUNCTION("""COMPUTED_VALUE"""),841.0)</f>
        <v>841</v>
      </c>
      <c r="J1662" s="4">
        <f>IFERROR(__xludf.DUMMYFUNCTION("""COMPUTED_VALUE"""),443.0)</f>
        <v>443</v>
      </c>
      <c r="K1662" s="4">
        <f>IFERROR(__xludf.DUMMYFUNCTION("""COMPUTED_VALUE"""),51.0)</f>
        <v>51</v>
      </c>
      <c r="L1662" s="4">
        <f>IFERROR(__xludf.DUMMYFUNCTION("""COMPUTED_VALUE"""),0.455)</f>
        <v>0.455</v>
      </c>
      <c r="M1662" s="4">
        <f>IFERROR(__xludf.DUMMYFUNCTION("""COMPUTED_VALUE"""),0.35)</f>
        <v>0.35</v>
      </c>
      <c r="N1662" s="4">
        <f>IFERROR(__xludf.DUMMYFUNCTION("""COMPUTED_VALUE"""),0.738)</f>
        <v>0.738</v>
      </c>
      <c r="O1662" s="4">
        <f>IFERROR(__xludf.DUMMYFUNCTION("""COMPUTED_VALUE"""),14.4)</f>
        <v>14.4</v>
      </c>
      <c r="P1662" s="4">
        <f>IFERROR(__xludf.DUMMYFUNCTION("""COMPUTED_VALUE"""),5.6)</f>
        <v>5.6</v>
      </c>
      <c r="Q1662" s="4">
        <f>IFERROR(__xludf.DUMMYFUNCTION("""COMPUTED_VALUE"""),2.9)</f>
        <v>2.9</v>
      </c>
      <c r="R1662" s="4">
        <f>IFERROR(__xludf.DUMMYFUNCTION("""COMPUTED_VALUE"""),0.3)</f>
        <v>0.3</v>
      </c>
      <c r="S1662" s="4">
        <f>IFERROR(__xludf.DUMMYFUNCTION("""COMPUTED_VALUE"""),1.9)</f>
        <v>1.9</v>
      </c>
      <c r="T1662" s="4">
        <f>IFERROR(__xludf.DUMMYFUNCTION("""COMPUTED_VALUE"""),0.042)</f>
        <v>0.042</v>
      </c>
      <c r="U1662" s="4">
        <f>IFERROR(__xludf.DUMMYFUNCTION("""COMPUTED_VALUE"""),-5.4)</f>
        <v>-5.4</v>
      </c>
      <c r="V1662" s="4">
        <f>IFERROR(__xludf.DUMMYFUNCTION("""COMPUTED_VALUE"""),-1.9)</f>
        <v>-1.9</v>
      </c>
    </row>
    <row r="1663">
      <c r="A1663" s="4">
        <f>IFERROR(__xludf.DUMMYFUNCTION("""COMPUTED_VALUE"""),16.0)</f>
        <v>16</v>
      </c>
      <c r="B1663" s="4">
        <f>IFERROR(__xludf.DUMMYFUNCTION("""COMPUTED_VALUE"""),16.0)</f>
        <v>16</v>
      </c>
      <c r="C1663" s="4" t="str">
        <f>IFERROR(__xludf.DUMMYFUNCTION("""COMPUTED_VALUE"""),"SAC")</f>
        <v>SAC</v>
      </c>
      <c r="D1663" s="4" t="str">
        <f>IFERROR(__xludf.DUMMYFUNCTION("""COMPUTED_VALUE"""),"Hedo Türkoğlu")</f>
        <v>Hedo Türkoğlu</v>
      </c>
      <c r="E1663" s="4"/>
      <c r="F1663" s="4">
        <f>IFERROR(__xludf.DUMMYFUNCTION("""COMPUTED_VALUE"""),15.0)</f>
        <v>15</v>
      </c>
      <c r="G1663" s="4">
        <f>IFERROR(__xludf.DUMMYFUNCTION("""COMPUTED_VALUE"""),997.0)</f>
        <v>997</v>
      </c>
      <c r="H1663" s="4">
        <f>IFERROR(__xludf.DUMMYFUNCTION("""COMPUTED_VALUE"""),26695.0)</f>
        <v>26695</v>
      </c>
      <c r="I1663" s="4">
        <f>IFERROR(__xludf.DUMMYFUNCTION("""COMPUTED_VALUE"""),11022.0)</f>
        <v>11022</v>
      </c>
      <c r="J1663" s="4">
        <f>IFERROR(__xludf.DUMMYFUNCTION("""COMPUTED_VALUE"""),3971.0)</f>
        <v>3971</v>
      </c>
      <c r="K1663" s="4">
        <f>IFERROR(__xludf.DUMMYFUNCTION("""COMPUTED_VALUE"""),2832.0)</f>
        <v>2832</v>
      </c>
      <c r="L1663" s="4">
        <f>IFERROR(__xludf.DUMMYFUNCTION("""COMPUTED_VALUE"""),0.426)</f>
        <v>0.426</v>
      </c>
      <c r="M1663" s="4">
        <f>IFERROR(__xludf.DUMMYFUNCTION("""COMPUTED_VALUE"""),0.384)</f>
        <v>0.384</v>
      </c>
      <c r="N1663" s="4">
        <f>IFERROR(__xludf.DUMMYFUNCTION("""COMPUTED_VALUE"""),0.784)</f>
        <v>0.784</v>
      </c>
      <c r="O1663" s="4">
        <f>IFERROR(__xludf.DUMMYFUNCTION("""COMPUTED_VALUE"""),26.8)</f>
        <v>26.8</v>
      </c>
      <c r="P1663" s="4">
        <f>IFERROR(__xludf.DUMMYFUNCTION("""COMPUTED_VALUE"""),11.1)</f>
        <v>11.1</v>
      </c>
      <c r="Q1663" s="4">
        <f>IFERROR(__xludf.DUMMYFUNCTION("""COMPUTED_VALUE"""),4.0)</f>
        <v>4</v>
      </c>
      <c r="R1663" s="4">
        <f>IFERROR(__xludf.DUMMYFUNCTION("""COMPUTED_VALUE"""),2.8)</f>
        <v>2.8</v>
      </c>
      <c r="S1663" s="4">
        <f>IFERROR(__xludf.DUMMYFUNCTION("""COMPUTED_VALUE"""),63.3)</f>
        <v>63.3</v>
      </c>
      <c r="T1663" s="4">
        <f>IFERROR(__xludf.DUMMYFUNCTION("""COMPUTED_VALUE"""),0.114)</f>
        <v>0.114</v>
      </c>
      <c r="U1663" s="4">
        <f>IFERROR(__xludf.DUMMYFUNCTION("""COMPUTED_VALUE"""),0.9)</f>
        <v>0.9</v>
      </c>
      <c r="V1663" s="4">
        <f>IFERROR(__xludf.DUMMYFUNCTION("""COMPUTED_VALUE"""),19.6)</f>
        <v>19.6</v>
      </c>
    </row>
    <row r="1664">
      <c r="A1664" s="4">
        <f>IFERROR(__xludf.DUMMYFUNCTION("""COMPUTED_VALUE"""),17.0)</f>
        <v>17</v>
      </c>
      <c r="B1664" s="4">
        <f>IFERROR(__xludf.DUMMYFUNCTION("""COMPUTED_VALUE"""),17.0)</f>
        <v>17</v>
      </c>
      <c r="C1664" s="4" t="str">
        <f>IFERROR(__xludf.DUMMYFUNCTION("""COMPUTED_VALUE"""),"SEA")</f>
        <v>SEA</v>
      </c>
      <c r="D1664" s="4" t="str">
        <f>IFERROR(__xludf.DUMMYFUNCTION("""COMPUTED_VALUE"""),"Desmond Mason")</f>
        <v>Desmond Mason</v>
      </c>
      <c r="E1664" s="4" t="str">
        <f>IFERROR(__xludf.DUMMYFUNCTION("""COMPUTED_VALUE"""),"Oklahoma State")</f>
        <v>Oklahoma State</v>
      </c>
      <c r="F1664" s="4">
        <f>IFERROR(__xludf.DUMMYFUNCTION("""COMPUTED_VALUE"""),10.0)</f>
        <v>10</v>
      </c>
      <c r="G1664" s="4">
        <f>IFERROR(__xludf.DUMMYFUNCTION("""COMPUTED_VALUE"""),643.0)</f>
        <v>643</v>
      </c>
      <c r="H1664" s="4">
        <f>IFERROR(__xludf.DUMMYFUNCTION("""COMPUTED_VALUE"""),19641.0)</f>
        <v>19641</v>
      </c>
      <c r="I1664" s="4">
        <f>IFERROR(__xludf.DUMMYFUNCTION("""COMPUTED_VALUE"""),7767.0)</f>
        <v>7767</v>
      </c>
      <c r="J1664" s="4">
        <f>IFERROR(__xludf.DUMMYFUNCTION("""COMPUTED_VALUE"""),2863.0)</f>
        <v>2863</v>
      </c>
      <c r="K1664" s="4">
        <f>IFERROR(__xludf.DUMMYFUNCTION("""COMPUTED_VALUE"""),1049.0)</f>
        <v>1049</v>
      </c>
      <c r="L1664" s="4">
        <f>IFERROR(__xludf.DUMMYFUNCTION("""COMPUTED_VALUE"""),0.449)</f>
        <v>0.449</v>
      </c>
      <c r="M1664" s="4">
        <f>IFERROR(__xludf.DUMMYFUNCTION("""COMPUTED_VALUE"""),0.26)</f>
        <v>0.26</v>
      </c>
      <c r="N1664" s="4">
        <f>IFERROR(__xludf.DUMMYFUNCTION("""COMPUTED_VALUE"""),0.74)</f>
        <v>0.74</v>
      </c>
      <c r="O1664" s="4">
        <f>IFERROR(__xludf.DUMMYFUNCTION("""COMPUTED_VALUE"""),30.5)</f>
        <v>30.5</v>
      </c>
      <c r="P1664" s="4">
        <f>IFERROR(__xludf.DUMMYFUNCTION("""COMPUTED_VALUE"""),12.1)</f>
        <v>12.1</v>
      </c>
      <c r="Q1664" s="4">
        <f>IFERROR(__xludf.DUMMYFUNCTION("""COMPUTED_VALUE"""),4.5)</f>
        <v>4.5</v>
      </c>
      <c r="R1664" s="4">
        <f>IFERROR(__xludf.DUMMYFUNCTION("""COMPUTED_VALUE"""),1.6)</f>
        <v>1.6</v>
      </c>
      <c r="S1664" s="4">
        <f>IFERROR(__xludf.DUMMYFUNCTION("""COMPUTED_VALUE"""),23.1)</f>
        <v>23.1</v>
      </c>
      <c r="T1664" s="4">
        <f>IFERROR(__xludf.DUMMYFUNCTION("""COMPUTED_VALUE"""),0.056)</f>
        <v>0.056</v>
      </c>
      <c r="U1664" s="4">
        <f>IFERROR(__xludf.DUMMYFUNCTION("""COMPUTED_VALUE"""),-2.4)</f>
        <v>-2.4</v>
      </c>
      <c r="V1664" s="4">
        <f>IFERROR(__xludf.DUMMYFUNCTION("""COMPUTED_VALUE"""),-2.1)</f>
        <v>-2.1</v>
      </c>
    </row>
    <row r="1665">
      <c r="A1665" s="4">
        <f>IFERROR(__xludf.DUMMYFUNCTION("""COMPUTED_VALUE"""),18.0)</f>
        <v>18</v>
      </c>
      <c r="B1665" s="4">
        <f>IFERROR(__xludf.DUMMYFUNCTION("""COMPUTED_VALUE"""),18.0)</f>
        <v>18</v>
      </c>
      <c r="C1665" s="4" t="str">
        <f>IFERROR(__xludf.DUMMYFUNCTION("""COMPUTED_VALUE"""),"LAC")</f>
        <v>LAC</v>
      </c>
      <c r="D1665" s="4" t="str">
        <f>IFERROR(__xludf.DUMMYFUNCTION("""COMPUTED_VALUE"""),"Quentin Richardson")</f>
        <v>Quentin Richardson</v>
      </c>
      <c r="E1665" s="4" t="str">
        <f>IFERROR(__xludf.DUMMYFUNCTION("""COMPUTED_VALUE"""),"DePaul")</f>
        <v>DePaul</v>
      </c>
      <c r="F1665" s="4">
        <f>IFERROR(__xludf.DUMMYFUNCTION("""COMPUTED_VALUE"""),13.0)</f>
        <v>13</v>
      </c>
      <c r="G1665" s="4">
        <f>IFERROR(__xludf.DUMMYFUNCTION("""COMPUTED_VALUE"""),783.0)</f>
        <v>783</v>
      </c>
      <c r="H1665" s="4">
        <f>IFERROR(__xludf.DUMMYFUNCTION("""COMPUTED_VALUE"""),20785.0)</f>
        <v>20785</v>
      </c>
      <c r="I1665" s="4">
        <f>IFERROR(__xludf.DUMMYFUNCTION("""COMPUTED_VALUE"""),8032.0)</f>
        <v>8032</v>
      </c>
      <c r="J1665" s="4">
        <f>IFERROR(__xludf.DUMMYFUNCTION("""COMPUTED_VALUE"""),3666.0)</f>
        <v>3666</v>
      </c>
      <c r="K1665" s="4">
        <f>IFERROR(__xludf.DUMMYFUNCTION("""COMPUTED_VALUE"""),1138.0)</f>
        <v>1138</v>
      </c>
      <c r="L1665" s="4">
        <f>IFERROR(__xludf.DUMMYFUNCTION("""COMPUTED_VALUE"""),0.397)</f>
        <v>0.397</v>
      </c>
      <c r="M1665" s="4">
        <f>IFERROR(__xludf.DUMMYFUNCTION("""COMPUTED_VALUE"""),0.355)</f>
        <v>0.355</v>
      </c>
      <c r="N1665" s="4">
        <f>IFERROR(__xludf.DUMMYFUNCTION("""COMPUTED_VALUE"""),0.718)</f>
        <v>0.718</v>
      </c>
      <c r="O1665" s="4">
        <f>IFERROR(__xludf.DUMMYFUNCTION("""COMPUTED_VALUE"""),26.5)</f>
        <v>26.5</v>
      </c>
      <c r="P1665" s="4">
        <f>IFERROR(__xludf.DUMMYFUNCTION("""COMPUTED_VALUE"""),10.3)</f>
        <v>10.3</v>
      </c>
      <c r="Q1665" s="4">
        <f>IFERROR(__xludf.DUMMYFUNCTION("""COMPUTED_VALUE"""),4.7)</f>
        <v>4.7</v>
      </c>
      <c r="R1665" s="4">
        <f>IFERROR(__xludf.DUMMYFUNCTION("""COMPUTED_VALUE"""),1.5)</f>
        <v>1.5</v>
      </c>
      <c r="S1665" s="4">
        <f>IFERROR(__xludf.DUMMYFUNCTION("""COMPUTED_VALUE"""),32.8)</f>
        <v>32.8</v>
      </c>
      <c r="T1665" s="4">
        <f>IFERROR(__xludf.DUMMYFUNCTION("""COMPUTED_VALUE"""),0.076)</f>
        <v>0.076</v>
      </c>
      <c r="U1665" s="4">
        <f>IFERROR(__xludf.DUMMYFUNCTION("""COMPUTED_VALUE"""),-0.4)</f>
        <v>-0.4</v>
      </c>
      <c r="V1665" s="4">
        <f>IFERROR(__xludf.DUMMYFUNCTION("""COMPUTED_VALUE"""),8.5)</f>
        <v>8.5</v>
      </c>
    </row>
    <row r="1666">
      <c r="A1666" s="4">
        <f>IFERROR(__xludf.DUMMYFUNCTION("""COMPUTED_VALUE"""),19.0)</f>
        <v>19</v>
      </c>
      <c r="B1666" s="4">
        <f>IFERROR(__xludf.DUMMYFUNCTION("""COMPUTED_VALUE"""),19.0)</f>
        <v>19</v>
      </c>
      <c r="C1666" s="4" t="str">
        <f>IFERROR(__xludf.DUMMYFUNCTION("""COMPUTED_VALUE"""),"CHH")</f>
        <v>CHH</v>
      </c>
      <c r="D1666" s="4" t="str">
        <f>IFERROR(__xludf.DUMMYFUNCTION("""COMPUTED_VALUE"""),"Jamaal Magloire")</f>
        <v>Jamaal Magloire</v>
      </c>
      <c r="E1666" s="4" t="str">
        <f>IFERROR(__xludf.DUMMYFUNCTION("""COMPUTED_VALUE"""),"Kentucky")</f>
        <v>Kentucky</v>
      </c>
      <c r="F1666" s="4">
        <f>IFERROR(__xludf.DUMMYFUNCTION("""COMPUTED_VALUE"""),12.0)</f>
        <v>12</v>
      </c>
      <c r="G1666" s="4">
        <f>IFERROR(__xludf.DUMMYFUNCTION("""COMPUTED_VALUE"""),680.0)</f>
        <v>680</v>
      </c>
      <c r="H1666" s="4">
        <f>IFERROR(__xludf.DUMMYFUNCTION("""COMPUTED_VALUE"""),14621.0)</f>
        <v>14621</v>
      </c>
      <c r="I1666" s="4">
        <f>IFERROR(__xludf.DUMMYFUNCTION("""COMPUTED_VALUE"""),4917.0)</f>
        <v>4917</v>
      </c>
      <c r="J1666" s="4">
        <f>IFERROR(__xludf.DUMMYFUNCTION("""COMPUTED_VALUE"""),4408.0)</f>
        <v>4408</v>
      </c>
      <c r="K1666" s="4">
        <f>IFERROR(__xludf.DUMMYFUNCTION("""COMPUTED_VALUE"""),386.0)</f>
        <v>386</v>
      </c>
      <c r="L1666" s="4">
        <f>IFERROR(__xludf.DUMMYFUNCTION("""COMPUTED_VALUE"""),0.48)</f>
        <v>0.48</v>
      </c>
      <c r="M1666" s="4">
        <f>IFERROR(__xludf.DUMMYFUNCTION("""COMPUTED_VALUE"""),0.0)</f>
        <v>0</v>
      </c>
      <c r="N1666" s="4">
        <f>IFERROR(__xludf.DUMMYFUNCTION("""COMPUTED_VALUE"""),0.639)</f>
        <v>0.639</v>
      </c>
      <c r="O1666" s="4">
        <f>IFERROR(__xludf.DUMMYFUNCTION("""COMPUTED_VALUE"""),21.5)</f>
        <v>21.5</v>
      </c>
      <c r="P1666" s="4">
        <f>IFERROR(__xludf.DUMMYFUNCTION("""COMPUTED_VALUE"""),7.2)</f>
        <v>7.2</v>
      </c>
      <c r="Q1666" s="4">
        <f>IFERROR(__xludf.DUMMYFUNCTION("""COMPUTED_VALUE"""),6.5)</f>
        <v>6.5</v>
      </c>
      <c r="R1666" s="4">
        <f>IFERROR(__xludf.DUMMYFUNCTION("""COMPUTED_VALUE"""),0.6)</f>
        <v>0.6</v>
      </c>
      <c r="S1666" s="4">
        <f>IFERROR(__xludf.DUMMYFUNCTION("""COMPUTED_VALUE"""),27.7)</f>
        <v>27.7</v>
      </c>
      <c r="T1666" s="4">
        <f>IFERROR(__xludf.DUMMYFUNCTION("""COMPUTED_VALUE"""),0.091)</f>
        <v>0.091</v>
      </c>
      <c r="U1666" s="4">
        <f>IFERROR(__xludf.DUMMYFUNCTION("""COMPUTED_VALUE"""),-2.9)</f>
        <v>-2.9</v>
      </c>
      <c r="V1666" s="4">
        <f>IFERROR(__xludf.DUMMYFUNCTION("""COMPUTED_VALUE"""),-3.1)</f>
        <v>-3.1</v>
      </c>
    </row>
    <row r="1667">
      <c r="A1667" s="4">
        <f>IFERROR(__xludf.DUMMYFUNCTION("""COMPUTED_VALUE"""),20.0)</f>
        <v>20</v>
      </c>
      <c r="B1667" s="4">
        <f>IFERROR(__xludf.DUMMYFUNCTION("""COMPUTED_VALUE"""),20.0)</f>
        <v>20</v>
      </c>
      <c r="C1667" s="4" t="str">
        <f>IFERROR(__xludf.DUMMYFUNCTION("""COMPUTED_VALUE"""),"PHI")</f>
        <v>PHI</v>
      </c>
      <c r="D1667" s="4" t="str">
        <f>IFERROR(__xludf.DUMMYFUNCTION("""COMPUTED_VALUE"""),"Speedy Claxton")</f>
        <v>Speedy Claxton</v>
      </c>
      <c r="E1667" s="4" t="str">
        <f>IFERROR(__xludf.DUMMYFUNCTION("""COMPUTED_VALUE"""),"Hofstra")</f>
        <v>Hofstra</v>
      </c>
      <c r="F1667" s="4">
        <f>IFERROR(__xludf.DUMMYFUNCTION("""COMPUTED_VALUE"""),7.0)</f>
        <v>7</v>
      </c>
      <c r="G1667" s="4">
        <f>IFERROR(__xludf.DUMMYFUNCTION("""COMPUTED_VALUE"""),334.0)</f>
        <v>334</v>
      </c>
      <c r="H1667" s="4">
        <f>IFERROR(__xludf.DUMMYFUNCTION("""COMPUTED_VALUE"""),8548.0)</f>
        <v>8548</v>
      </c>
      <c r="I1667" s="4">
        <f>IFERROR(__xludf.DUMMYFUNCTION("""COMPUTED_VALUE"""),3096.0)</f>
        <v>3096</v>
      </c>
      <c r="J1667" s="4">
        <f>IFERROR(__xludf.DUMMYFUNCTION("""COMPUTED_VALUE"""),830.0)</f>
        <v>830</v>
      </c>
      <c r="K1667" s="4">
        <f>IFERROR(__xludf.DUMMYFUNCTION("""COMPUTED_VALUE"""),1441.0)</f>
        <v>1441</v>
      </c>
      <c r="L1667" s="4">
        <f>IFERROR(__xludf.DUMMYFUNCTION("""COMPUTED_VALUE"""),0.409)</f>
        <v>0.409</v>
      </c>
      <c r="M1667" s="4">
        <f>IFERROR(__xludf.DUMMYFUNCTION("""COMPUTED_VALUE"""),0.193)</f>
        <v>0.193</v>
      </c>
      <c r="N1667" s="4">
        <f>IFERROR(__xludf.DUMMYFUNCTION("""COMPUTED_VALUE"""),0.762)</f>
        <v>0.762</v>
      </c>
      <c r="O1667" s="4">
        <f>IFERROR(__xludf.DUMMYFUNCTION("""COMPUTED_VALUE"""),25.6)</f>
        <v>25.6</v>
      </c>
      <c r="P1667" s="4">
        <f>IFERROR(__xludf.DUMMYFUNCTION("""COMPUTED_VALUE"""),9.3)</f>
        <v>9.3</v>
      </c>
      <c r="Q1667" s="4">
        <f>IFERROR(__xludf.DUMMYFUNCTION("""COMPUTED_VALUE"""),2.5)</f>
        <v>2.5</v>
      </c>
      <c r="R1667" s="4">
        <f>IFERROR(__xludf.DUMMYFUNCTION("""COMPUTED_VALUE"""),4.3)</f>
        <v>4.3</v>
      </c>
      <c r="S1667" s="4">
        <f>IFERROR(__xludf.DUMMYFUNCTION("""COMPUTED_VALUE"""),14.2)</f>
        <v>14.2</v>
      </c>
      <c r="T1667" s="4">
        <f>IFERROR(__xludf.DUMMYFUNCTION("""COMPUTED_VALUE"""),0.08)</f>
        <v>0.08</v>
      </c>
      <c r="U1667" s="4">
        <f>IFERROR(__xludf.DUMMYFUNCTION("""COMPUTED_VALUE"""),-0.3)</f>
        <v>-0.3</v>
      </c>
      <c r="V1667" s="4">
        <f>IFERROR(__xludf.DUMMYFUNCTION("""COMPUTED_VALUE"""),3.6)</f>
        <v>3.6</v>
      </c>
    </row>
    <row r="1668">
      <c r="A1668" s="4">
        <f>IFERROR(__xludf.DUMMYFUNCTION("""COMPUTED_VALUE"""),21.0)</f>
        <v>21</v>
      </c>
      <c r="B1668" s="4">
        <f>IFERROR(__xludf.DUMMYFUNCTION("""COMPUTED_VALUE"""),21.0)</f>
        <v>21</v>
      </c>
      <c r="C1668" s="4" t="str">
        <f>IFERROR(__xludf.DUMMYFUNCTION("""COMPUTED_VALUE"""),"TOR")</f>
        <v>TOR</v>
      </c>
      <c r="D1668" s="4" t="str">
        <f>IFERROR(__xludf.DUMMYFUNCTION("""COMPUTED_VALUE"""),"Morris Peterson")</f>
        <v>Morris Peterson</v>
      </c>
      <c r="E1668" s="4" t="str">
        <f>IFERROR(__xludf.DUMMYFUNCTION("""COMPUTED_VALUE"""),"Michigan State")</f>
        <v>Michigan State</v>
      </c>
      <c r="F1668" s="4">
        <f>IFERROR(__xludf.DUMMYFUNCTION("""COMPUTED_VALUE"""),11.0)</f>
        <v>11</v>
      </c>
      <c r="G1668" s="4">
        <f>IFERROR(__xludf.DUMMYFUNCTION("""COMPUTED_VALUE"""),711.0)</f>
        <v>711</v>
      </c>
      <c r="H1668" s="4">
        <f>IFERROR(__xludf.DUMMYFUNCTION("""COMPUTED_VALUE"""),19366.0)</f>
        <v>19366</v>
      </c>
      <c r="I1668" s="4">
        <f>IFERROR(__xludf.DUMMYFUNCTION("""COMPUTED_VALUE"""),7628.0)</f>
        <v>7628</v>
      </c>
      <c r="J1668" s="4">
        <f>IFERROR(__xludf.DUMMYFUNCTION("""COMPUTED_VALUE"""),2483.0)</f>
        <v>2483</v>
      </c>
      <c r="K1668" s="4">
        <f>IFERROR(__xludf.DUMMYFUNCTION("""COMPUTED_VALUE"""),1090.0)</f>
        <v>1090</v>
      </c>
      <c r="L1668" s="4">
        <f>IFERROR(__xludf.DUMMYFUNCTION("""COMPUTED_VALUE"""),0.418)</f>
        <v>0.418</v>
      </c>
      <c r="M1668" s="4">
        <f>IFERROR(__xludf.DUMMYFUNCTION("""COMPUTED_VALUE"""),0.373)</f>
        <v>0.373</v>
      </c>
      <c r="N1668" s="4">
        <f>IFERROR(__xludf.DUMMYFUNCTION("""COMPUTED_VALUE"""),0.773)</f>
        <v>0.773</v>
      </c>
      <c r="O1668" s="4">
        <f>IFERROR(__xludf.DUMMYFUNCTION("""COMPUTED_VALUE"""),27.2)</f>
        <v>27.2</v>
      </c>
      <c r="P1668" s="4">
        <f>IFERROR(__xludf.DUMMYFUNCTION("""COMPUTED_VALUE"""),10.7)</f>
        <v>10.7</v>
      </c>
      <c r="Q1668" s="4">
        <f>IFERROR(__xludf.DUMMYFUNCTION("""COMPUTED_VALUE"""),3.5)</f>
        <v>3.5</v>
      </c>
      <c r="R1668" s="4">
        <f>IFERROR(__xludf.DUMMYFUNCTION("""COMPUTED_VALUE"""),1.5)</f>
        <v>1.5</v>
      </c>
      <c r="S1668" s="4">
        <f>IFERROR(__xludf.DUMMYFUNCTION("""COMPUTED_VALUE"""),35.7)</f>
        <v>35.7</v>
      </c>
      <c r="T1668" s="4">
        <f>IFERROR(__xludf.DUMMYFUNCTION("""COMPUTED_VALUE"""),0.089)</f>
        <v>0.089</v>
      </c>
      <c r="U1668" s="4">
        <f>IFERROR(__xludf.DUMMYFUNCTION("""COMPUTED_VALUE"""),-0.4)</f>
        <v>-0.4</v>
      </c>
      <c r="V1668" s="4">
        <f>IFERROR(__xludf.DUMMYFUNCTION("""COMPUTED_VALUE"""),7.6)</f>
        <v>7.6</v>
      </c>
    </row>
    <row r="1669">
      <c r="A1669" s="4">
        <f>IFERROR(__xludf.DUMMYFUNCTION("""COMPUTED_VALUE"""),22.0)</f>
        <v>22</v>
      </c>
      <c r="B1669" s="4">
        <f>IFERROR(__xludf.DUMMYFUNCTION("""COMPUTED_VALUE"""),22.0)</f>
        <v>22</v>
      </c>
      <c r="C1669" s="4" t="str">
        <f>IFERROR(__xludf.DUMMYFUNCTION("""COMPUTED_VALUE"""),"NYK")</f>
        <v>NYK</v>
      </c>
      <c r="D1669" s="4" t="str">
        <f>IFERROR(__xludf.DUMMYFUNCTION("""COMPUTED_VALUE"""),"Donnell Harvey")</f>
        <v>Donnell Harvey</v>
      </c>
      <c r="E1669" s="4" t="str">
        <f>IFERROR(__xludf.DUMMYFUNCTION("""COMPUTED_VALUE"""),"Florida")</f>
        <v>Florida</v>
      </c>
      <c r="F1669" s="4">
        <f>IFERROR(__xludf.DUMMYFUNCTION("""COMPUTED_VALUE"""),5.0)</f>
        <v>5</v>
      </c>
      <c r="G1669" s="4">
        <f>IFERROR(__xludf.DUMMYFUNCTION("""COMPUTED_VALUE"""),205.0)</f>
        <v>205</v>
      </c>
      <c r="H1669" s="4">
        <f>IFERROR(__xludf.DUMMYFUNCTION("""COMPUTED_VALUE"""),3318.0)</f>
        <v>3318</v>
      </c>
      <c r="I1669" s="4">
        <f>IFERROR(__xludf.DUMMYFUNCTION("""COMPUTED_VALUE"""),1150.0)</f>
        <v>1150</v>
      </c>
      <c r="J1669" s="4">
        <f>IFERROR(__xludf.DUMMYFUNCTION("""COMPUTED_VALUE"""),827.0)</f>
        <v>827</v>
      </c>
      <c r="K1669" s="4">
        <f>IFERROR(__xludf.DUMMYFUNCTION("""COMPUTED_VALUE"""),161.0)</f>
        <v>161</v>
      </c>
      <c r="L1669" s="4">
        <f>IFERROR(__xludf.DUMMYFUNCTION("""COMPUTED_VALUE"""),0.46)</f>
        <v>0.46</v>
      </c>
      <c r="M1669" s="4">
        <f>IFERROR(__xludf.DUMMYFUNCTION("""COMPUTED_VALUE"""),0.1)</f>
        <v>0.1</v>
      </c>
      <c r="N1669" s="4">
        <f>IFERROR(__xludf.DUMMYFUNCTION("""COMPUTED_VALUE"""),0.659)</f>
        <v>0.659</v>
      </c>
      <c r="O1669" s="4">
        <f>IFERROR(__xludf.DUMMYFUNCTION("""COMPUTED_VALUE"""),16.2)</f>
        <v>16.2</v>
      </c>
      <c r="P1669" s="4">
        <f>IFERROR(__xludf.DUMMYFUNCTION("""COMPUTED_VALUE"""),5.6)</f>
        <v>5.6</v>
      </c>
      <c r="Q1669" s="4">
        <f>IFERROR(__xludf.DUMMYFUNCTION("""COMPUTED_VALUE"""),4.0)</f>
        <v>4</v>
      </c>
      <c r="R1669" s="4">
        <f>IFERROR(__xludf.DUMMYFUNCTION("""COMPUTED_VALUE"""),0.8)</f>
        <v>0.8</v>
      </c>
      <c r="S1669" s="4">
        <f>IFERROR(__xludf.DUMMYFUNCTION("""COMPUTED_VALUE"""),4.7)</f>
        <v>4.7</v>
      </c>
      <c r="T1669" s="4">
        <f>IFERROR(__xludf.DUMMYFUNCTION("""COMPUTED_VALUE"""),0.069)</f>
        <v>0.069</v>
      </c>
      <c r="U1669" s="4">
        <f>IFERROR(__xludf.DUMMYFUNCTION("""COMPUTED_VALUE"""),-2.6)</f>
        <v>-2.6</v>
      </c>
      <c r="V1669" s="4">
        <f>IFERROR(__xludf.DUMMYFUNCTION("""COMPUTED_VALUE"""),-0.5)</f>
        <v>-0.5</v>
      </c>
    </row>
    <row r="1670">
      <c r="A1670" s="4">
        <f>IFERROR(__xludf.DUMMYFUNCTION("""COMPUTED_VALUE"""),23.0)</f>
        <v>23</v>
      </c>
      <c r="B1670" s="4">
        <f>IFERROR(__xludf.DUMMYFUNCTION("""COMPUTED_VALUE"""),23.0)</f>
        <v>23</v>
      </c>
      <c r="C1670" s="4" t="str">
        <f>IFERROR(__xludf.DUMMYFUNCTION("""COMPUTED_VALUE"""),"UTA")</f>
        <v>UTA</v>
      </c>
      <c r="D1670" s="4" t="str">
        <f>IFERROR(__xludf.DUMMYFUNCTION("""COMPUTED_VALUE"""),"DeShawn Stevenson")</f>
        <v>DeShawn Stevenson</v>
      </c>
      <c r="E1670" s="4"/>
      <c r="F1670" s="4">
        <f>IFERROR(__xludf.DUMMYFUNCTION("""COMPUTED_VALUE"""),13.0)</f>
        <v>13</v>
      </c>
      <c r="G1670" s="4">
        <f>IFERROR(__xludf.DUMMYFUNCTION("""COMPUTED_VALUE"""),824.0)</f>
        <v>824</v>
      </c>
      <c r="H1670" s="4">
        <f>IFERROR(__xludf.DUMMYFUNCTION("""COMPUTED_VALUE"""),18396.0)</f>
        <v>18396</v>
      </c>
      <c r="I1670" s="4">
        <f>IFERROR(__xludf.DUMMYFUNCTION("""COMPUTED_VALUE"""),5930.0)</f>
        <v>5930</v>
      </c>
      <c r="J1670" s="4">
        <f>IFERROR(__xludf.DUMMYFUNCTION("""COMPUTED_VALUE"""),1832.0)</f>
        <v>1832</v>
      </c>
      <c r="K1670" s="4">
        <f>IFERROR(__xludf.DUMMYFUNCTION("""COMPUTED_VALUE"""),1355.0)</f>
        <v>1355</v>
      </c>
      <c r="L1670" s="4">
        <f>IFERROR(__xludf.DUMMYFUNCTION("""COMPUTED_VALUE"""),0.406)</f>
        <v>0.406</v>
      </c>
      <c r="M1670" s="4">
        <f>IFERROR(__xludf.DUMMYFUNCTION("""COMPUTED_VALUE"""),0.34)</f>
        <v>0.34</v>
      </c>
      <c r="N1670" s="4">
        <f>IFERROR(__xludf.DUMMYFUNCTION("""COMPUTED_VALUE"""),0.698)</f>
        <v>0.698</v>
      </c>
      <c r="O1670" s="4">
        <f>IFERROR(__xludf.DUMMYFUNCTION("""COMPUTED_VALUE"""),22.3)</f>
        <v>22.3</v>
      </c>
      <c r="P1670" s="4">
        <f>IFERROR(__xludf.DUMMYFUNCTION("""COMPUTED_VALUE"""),7.2)</f>
        <v>7.2</v>
      </c>
      <c r="Q1670" s="4">
        <f>IFERROR(__xludf.DUMMYFUNCTION("""COMPUTED_VALUE"""),2.2)</f>
        <v>2.2</v>
      </c>
      <c r="R1670" s="4">
        <f>IFERROR(__xludf.DUMMYFUNCTION("""COMPUTED_VALUE"""),1.6)</f>
        <v>1.6</v>
      </c>
      <c r="S1670" s="4">
        <f>IFERROR(__xludf.DUMMYFUNCTION("""COMPUTED_VALUE"""),12.1)</f>
        <v>12.1</v>
      </c>
      <c r="T1670" s="4">
        <f>IFERROR(__xludf.DUMMYFUNCTION("""COMPUTED_VALUE"""),0.032)</f>
        <v>0.032</v>
      </c>
      <c r="U1670" s="4">
        <f>IFERROR(__xludf.DUMMYFUNCTION("""COMPUTED_VALUE"""),-2.7)</f>
        <v>-2.7</v>
      </c>
      <c r="V1670" s="4">
        <f>IFERROR(__xludf.DUMMYFUNCTION("""COMPUTED_VALUE"""),-3.5)</f>
        <v>-3.5</v>
      </c>
    </row>
    <row r="1671">
      <c r="A1671" s="4">
        <f>IFERROR(__xludf.DUMMYFUNCTION("""COMPUTED_VALUE"""),24.0)</f>
        <v>24</v>
      </c>
      <c r="B1671" s="4">
        <f>IFERROR(__xludf.DUMMYFUNCTION("""COMPUTED_VALUE"""),24.0)</f>
        <v>24</v>
      </c>
      <c r="C1671" s="4" t="str">
        <f>IFERROR(__xludf.DUMMYFUNCTION("""COMPUTED_VALUE"""),"CHI")</f>
        <v>CHI</v>
      </c>
      <c r="D1671" s="4" t="str">
        <f>IFERROR(__xludf.DUMMYFUNCTION("""COMPUTED_VALUE"""),"Dalibor Bagarić")</f>
        <v>Dalibor Bagarić</v>
      </c>
      <c r="E1671" s="4"/>
      <c r="F1671" s="4">
        <f>IFERROR(__xludf.DUMMYFUNCTION("""COMPUTED_VALUE"""),3.0)</f>
        <v>3</v>
      </c>
      <c r="G1671" s="4">
        <f>IFERROR(__xludf.DUMMYFUNCTION("""COMPUTED_VALUE"""),95.0)</f>
        <v>95</v>
      </c>
      <c r="H1671" s="4">
        <f>IFERROR(__xludf.DUMMYFUNCTION("""COMPUTED_VALUE"""),973.0)</f>
        <v>973</v>
      </c>
      <c r="I1671" s="4">
        <f>IFERROR(__xludf.DUMMYFUNCTION("""COMPUTED_VALUE"""),251.0)</f>
        <v>251</v>
      </c>
      <c r="J1671" s="4">
        <f>IFERROR(__xludf.DUMMYFUNCTION("""COMPUTED_VALUE"""),238.0)</f>
        <v>238</v>
      </c>
      <c r="K1671" s="4">
        <f>IFERROR(__xludf.DUMMYFUNCTION("""COMPUTED_VALUE"""),37.0)</f>
        <v>37</v>
      </c>
      <c r="L1671" s="4">
        <f>IFERROR(__xludf.DUMMYFUNCTION("""COMPUTED_VALUE"""),0.361)</f>
        <v>0.361</v>
      </c>
      <c r="M1671" s="4">
        <f>IFERROR(__xludf.DUMMYFUNCTION("""COMPUTED_VALUE"""),0.0)</f>
        <v>0</v>
      </c>
      <c r="N1671" s="4">
        <f>IFERROR(__xludf.DUMMYFUNCTION("""COMPUTED_VALUE"""),0.559)</f>
        <v>0.559</v>
      </c>
      <c r="O1671" s="4">
        <f>IFERROR(__xludf.DUMMYFUNCTION("""COMPUTED_VALUE"""),10.2)</f>
        <v>10.2</v>
      </c>
      <c r="P1671" s="4">
        <f>IFERROR(__xludf.DUMMYFUNCTION("""COMPUTED_VALUE"""),2.6)</f>
        <v>2.6</v>
      </c>
      <c r="Q1671" s="4">
        <f>IFERROR(__xludf.DUMMYFUNCTION("""COMPUTED_VALUE"""),2.5)</f>
        <v>2.5</v>
      </c>
      <c r="R1671" s="4">
        <f>IFERROR(__xludf.DUMMYFUNCTION("""COMPUTED_VALUE"""),0.4)</f>
        <v>0.4</v>
      </c>
      <c r="S1671" s="4">
        <f>IFERROR(__xludf.DUMMYFUNCTION("""COMPUTED_VALUE"""),-0.9)</f>
        <v>-0.9</v>
      </c>
      <c r="T1671" s="4">
        <f>IFERROR(__xludf.DUMMYFUNCTION("""COMPUTED_VALUE"""),-0.043)</f>
        <v>-0.043</v>
      </c>
      <c r="U1671" s="4">
        <f>IFERROR(__xludf.DUMMYFUNCTION("""COMPUTED_VALUE"""),-7.9)</f>
        <v>-7.9</v>
      </c>
      <c r="V1671" s="4">
        <f>IFERROR(__xludf.DUMMYFUNCTION("""COMPUTED_VALUE"""),-1.5)</f>
        <v>-1.5</v>
      </c>
    </row>
    <row r="1672">
      <c r="A1672" s="4">
        <f>IFERROR(__xludf.DUMMYFUNCTION("""COMPUTED_VALUE"""),25.0)</f>
        <v>25</v>
      </c>
      <c r="B1672" s="4">
        <f>IFERROR(__xludf.DUMMYFUNCTION("""COMPUTED_VALUE"""),25.0)</f>
        <v>25</v>
      </c>
      <c r="C1672" s="4" t="str">
        <f>IFERROR(__xludf.DUMMYFUNCTION("""COMPUTED_VALUE"""),"PHO")</f>
        <v>PHO</v>
      </c>
      <c r="D1672" s="4" t="str">
        <f>IFERROR(__xludf.DUMMYFUNCTION("""COMPUTED_VALUE"""),"Jake Tsakalidis")</f>
        <v>Jake Tsakalidis</v>
      </c>
      <c r="E1672" s="4"/>
      <c r="F1672" s="4">
        <f>IFERROR(__xludf.DUMMYFUNCTION("""COMPUTED_VALUE"""),7.0)</f>
        <v>7</v>
      </c>
      <c r="G1672" s="4">
        <f>IFERROR(__xludf.DUMMYFUNCTION("""COMPUTED_VALUE"""),315.0)</f>
        <v>315</v>
      </c>
      <c r="H1672" s="4">
        <f>IFERROR(__xludf.DUMMYFUNCTION("""COMPUTED_VALUE"""),5005.0)</f>
        <v>5005</v>
      </c>
      <c r="I1672" s="4">
        <f>IFERROR(__xludf.DUMMYFUNCTION("""COMPUTED_VALUE"""),1497.0)</f>
        <v>1497</v>
      </c>
      <c r="J1672" s="4">
        <f>IFERROR(__xludf.DUMMYFUNCTION("""COMPUTED_VALUE"""),1238.0)</f>
        <v>1238</v>
      </c>
      <c r="K1672" s="4">
        <f>IFERROR(__xludf.DUMMYFUNCTION("""COMPUTED_VALUE"""),101.0)</f>
        <v>101</v>
      </c>
      <c r="L1672" s="4">
        <f>IFERROR(__xludf.DUMMYFUNCTION("""COMPUTED_VALUE"""),0.49)</f>
        <v>0.49</v>
      </c>
      <c r="M1672" s="4">
        <f>IFERROR(__xludf.DUMMYFUNCTION("""COMPUTED_VALUE"""),0.0)</f>
        <v>0</v>
      </c>
      <c r="N1672" s="4">
        <f>IFERROR(__xludf.DUMMYFUNCTION("""COMPUTED_VALUE"""),0.657)</f>
        <v>0.657</v>
      </c>
      <c r="O1672" s="4">
        <f>IFERROR(__xludf.DUMMYFUNCTION("""COMPUTED_VALUE"""),15.9)</f>
        <v>15.9</v>
      </c>
      <c r="P1672" s="4">
        <f>IFERROR(__xludf.DUMMYFUNCTION("""COMPUTED_VALUE"""),4.8)</f>
        <v>4.8</v>
      </c>
      <c r="Q1672" s="4">
        <f>IFERROR(__xludf.DUMMYFUNCTION("""COMPUTED_VALUE"""),3.9)</f>
        <v>3.9</v>
      </c>
      <c r="R1672" s="4">
        <f>IFERROR(__xludf.DUMMYFUNCTION("""COMPUTED_VALUE"""),0.3)</f>
        <v>0.3</v>
      </c>
      <c r="S1672" s="4">
        <f>IFERROR(__xludf.DUMMYFUNCTION("""COMPUTED_VALUE"""),9.9)</f>
        <v>9.9</v>
      </c>
      <c r="T1672" s="4">
        <f>IFERROR(__xludf.DUMMYFUNCTION("""COMPUTED_VALUE"""),0.095)</f>
        <v>0.095</v>
      </c>
      <c r="U1672" s="4">
        <f>IFERROR(__xludf.DUMMYFUNCTION("""COMPUTED_VALUE"""),-3.1)</f>
        <v>-3.1</v>
      </c>
      <c r="V1672" s="4">
        <f>IFERROR(__xludf.DUMMYFUNCTION("""COMPUTED_VALUE"""),-1.4)</f>
        <v>-1.4</v>
      </c>
    </row>
    <row r="1673">
      <c r="A1673" s="4">
        <f>IFERROR(__xludf.DUMMYFUNCTION("""COMPUTED_VALUE"""),26.0)</f>
        <v>26</v>
      </c>
      <c r="B1673" s="4">
        <f>IFERROR(__xludf.DUMMYFUNCTION("""COMPUTED_VALUE"""),26.0)</f>
        <v>26</v>
      </c>
      <c r="C1673" s="4" t="str">
        <f>IFERROR(__xludf.DUMMYFUNCTION("""COMPUTED_VALUE"""),"DEN")</f>
        <v>DEN</v>
      </c>
      <c r="D1673" s="4" t="str">
        <f>IFERROR(__xludf.DUMMYFUNCTION("""COMPUTED_VALUE"""),"Mamadou N'Diaye")</f>
        <v>Mamadou N'Diaye</v>
      </c>
      <c r="E1673" s="4" t="str">
        <f>IFERROR(__xludf.DUMMYFUNCTION("""COMPUTED_VALUE"""),"Auburn")</f>
        <v>Auburn</v>
      </c>
      <c r="F1673" s="4">
        <f>IFERROR(__xludf.DUMMYFUNCTION("""COMPUTED_VALUE"""),5.0)</f>
        <v>5</v>
      </c>
      <c r="G1673" s="4">
        <f>IFERROR(__xludf.DUMMYFUNCTION("""COMPUTED_VALUE"""),69.0)</f>
        <v>69</v>
      </c>
      <c r="H1673" s="4">
        <f>IFERROR(__xludf.DUMMYFUNCTION("""COMPUTED_VALUE"""),858.0)</f>
        <v>858</v>
      </c>
      <c r="I1673" s="4">
        <f>IFERROR(__xludf.DUMMYFUNCTION("""COMPUTED_VALUE"""),262.0)</f>
        <v>262</v>
      </c>
      <c r="J1673" s="4">
        <f>IFERROR(__xludf.DUMMYFUNCTION("""COMPUTED_VALUE"""),225.0)</f>
        <v>225</v>
      </c>
      <c r="K1673" s="4">
        <f>IFERROR(__xludf.DUMMYFUNCTION("""COMPUTED_VALUE"""),8.0)</f>
        <v>8</v>
      </c>
      <c r="L1673" s="4">
        <f>IFERROR(__xludf.DUMMYFUNCTION("""COMPUTED_VALUE"""),0.427)</f>
        <v>0.427</v>
      </c>
      <c r="M1673" s="4">
        <f>IFERROR(__xludf.DUMMYFUNCTION("""COMPUTED_VALUE"""),0.0)</f>
        <v>0</v>
      </c>
      <c r="N1673" s="4">
        <f>IFERROR(__xludf.DUMMYFUNCTION("""COMPUTED_VALUE"""),0.736)</f>
        <v>0.736</v>
      </c>
      <c r="O1673" s="4">
        <f>IFERROR(__xludf.DUMMYFUNCTION("""COMPUTED_VALUE"""),12.4)</f>
        <v>12.4</v>
      </c>
      <c r="P1673" s="4">
        <f>IFERROR(__xludf.DUMMYFUNCTION("""COMPUTED_VALUE"""),3.8)</f>
        <v>3.8</v>
      </c>
      <c r="Q1673" s="4">
        <f>IFERROR(__xludf.DUMMYFUNCTION("""COMPUTED_VALUE"""),3.3)</f>
        <v>3.3</v>
      </c>
      <c r="R1673" s="4">
        <f>IFERROR(__xludf.DUMMYFUNCTION("""COMPUTED_VALUE"""),0.1)</f>
        <v>0.1</v>
      </c>
      <c r="S1673" s="4">
        <f>IFERROR(__xludf.DUMMYFUNCTION("""COMPUTED_VALUE"""),1.8)</f>
        <v>1.8</v>
      </c>
      <c r="T1673" s="4">
        <f>IFERROR(__xludf.DUMMYFUNCTION("""COMPUTED_VALUE"""),0.101)</f>
        <v>0.101</v>
      </c>
      <c r="U1673" s="4">
        <f>IFERROR(__xludf.DUMMYFUNCTION("""COMPUTED_VALUE"""),-4.2)</f>
        <v>-4.2</v>
      </c>
      <c r="V1673" s="4">
        <f>IFERROR(__xludf.DUMMYFUNCTION("""COMPUTED_VALUE"""),-0.5)</f>
        <v>-0.5</v>
      </c>
    </row>
    <row r="1674">
      <c r="A1674" s="4">
        <f>IFERROR(__xludf.DUMMYFUNCTION("""COMPUTED_VALUE"""),27.0)</f>
        <v>27</v>
      </c>
      <c r="B1674" s="4">
        <f>IFERROR(__xludf.DUMMYFUNCTION("""COMPUTED_VALUE"""),27.0)</f>
        <v>27</v>
      </c>
      <c r="C1674" s="4" t="str">
        <f>IFERROR(__xludf.DUMMYFUNCTION("""COMPUTED_VALUE"""),"IND")</f>
        <v>IND</v>
      </c>
      <c r="D1674" s="4" t="str">
        <f>IFERROR(__xludf.DUMMYFUNCTION("""COMPUTED_VALUE"""),"Primož Brezec")</f>
        <v>Primož Brezec</v>
      </c>
      <c r="E1674" s="4"/>
      <c r="F1674" s="4">
        <f>IFERROR(__xludf.DUMMYFUNCTION("""COMPUTED_VALUE"""),8.0)</f>
        <v>8</v>
      </c>
      <c r="G1674" s="4">
        <f>IFERROR(__xludf.DUMMYFUNCTION("""COMPUTED_VALUE"""),342.0)</f>
        <v>342</v>
      </c>
      <c r="H1674" s="4">
        <f>IFERROR(__xludf.DUMMYFUNCTION("""COMPUTED_VALUE"""),6192.0)</f>
        <v>6192</v>
      </c>
      <c r="I1674" s="4">
        <f>IFERROR(__xludf.DUMMYFUNCTION("""COMPUTED_VALUE"""),2452.0)</f>
        <v>2452</v>
      </c>
      <c r="J1674" s="4">
        <f>IFERROR(__xludf.DUMMYFUNCTION("""COMPUTED_VALUE"""),1327.0)</f>
        <v>1327</v>
      </c>
      <c r="K1674" s="4">
        <f>IFERROR(__xludf.DUMMYFUNCTION("""COMPUTED_VALUE"""),179.0)</f>
        <v>179</v>
      </c>
      <c r="L1674" s="4">
        <f>IFERROR(__xludf.DUMMYFUNCTION("""COMPUTED_VALUE"""),0.498)</f>
        <v>0.498</v>
      </c>
      <c r="M1674" s="4">
        <f>IFERROR(__xludf.DUMMYFUNCTION("""COMPUTED_VALUE"""),0.167)</f>
        <v>0.167</v>
      </c>
      <c r="N1674" s="4">
        <f>IFERROR(__xludf.DUMMYFUNCTION("""COMPUTED_VALUE"""),0.701)</f>
        <v>0.701</v>
      </c>
      <c r="O1674" s="4">
        <f>IFERROR(__xludf.DUMMYFUNCTION("""COMPUTED_VALUE"""),18.1)</f>
        <v>18.1</v>
      </c>
      <c r="P1674" s="4">
        <f>IFERROR(__xludf.DUMMYFUNCTION("""COMPUTED_VALUE"""),7.2)</f>
        <v>7.2</v>
      </c>
      <c r="Q1674" s="4">
        <f>IFERROR(__xludf.DUMMYFUNCTION("""COMPUTED_VALUE"""),3.9)</f>
        <v>3.9</v>
      </c>
      <c r="R1674" s="4">
        <f>IFERROR(__xludf.DUMMYFUNCTION("""COMPUTED_VALUE"""),0.5)</f>
        <v>0.5</v>
      </c>
      <c r="S1674" s="4">
        <f>IFERROR(__xludf.DUMMYFUNCTION("""COMPUTED_VALUE"""),10.8)</f>
        <v>10.8</v>
      </c>
      <c r="T1674" s="4">
        <f>IFERROR(__xludf.DUMMYFUNCTION("""COMPUTED_VALUE"""),0.084)</f>
        <v>0.084</v>
      </c>
      <c r="U1674" s="4">
        <f>IFERROR(__xludf.DUMMYFUNCTION("""COMPUTED_VALUE"""),-3.1)</f>
        <v>-3.1</v>
      </c>
      <c r="V1674" s="4">
        <f>IFERROR(__xludf.DUMMYFUNCTION("""COMPUTED_VALUE"""),-1.7)</f>
        <v>-1.7</v>
      </c>
    </row>
    <row r="1675">
      <c r="A1675" s="4">
        <f>IFERROR(__xludf.DUMMYFUNCTION("""COMPUTED_VALUE"""),28.0)</f>
        <v>28</v>
      </c>
      <c r="B1675" s="4">
        <f>IFERROR(__xludf.DUMMYFUNCTION("""COMPUTED_VALUE"""),28.0)</f>
        <v>28</v>
      </c>
      <c r="C1675" s="4" t="str">
        <f>IFERROR(__xludf.DUMMYFUNCTION("""COMPUTED_VALUE"""),"POR")</f>
        <v>POR</v>
      </c>
      <c r="D1675" s="4" t="str">
        <f>IFERROR(__xludf.DUMMYFUNCTION("""COMPUTED_VALUE"""),"Erick Barkley")</f>
        <v>Erick Barkley</v>
      </c>
      <c r="E1675" s="4" t="str">
        <f>IFERROR(__xludf.DUMMYFUNCTION("""COMPUTED_VALUE"""),"St. John's")</f>
        <v>St. John's</v>
      </c>
      <c r="F1675" s="4">
        <f>IFERROR(__xludf.DUMMYFUNCTION("""COMPUTED_VALUE"""),2.0)</f>
        <v>2</v>
      </c>
      <c r="G1675" s="4">
        <f>IFERROR(__xludf.DUMMYFUNCTION("""COMPUTED_VALUE"""),27.0)</f>
        <v>27</v>
      </c>
      <c r="H1675" s="4">
        <f>IFERROR(__xludf.DUMMYFUNCTION("""COMPUTED_VALUE"""),266.0)</f>
        <v>266</v>
      </c>
      <c r="I1675" s="4">
        <f>IFERROR(__xludf.DUMMYFUNCTION("""COMPUTED_VALUE"""),77.0)</f>
        <v>77</v>
      </c>
      <c r="J1675" s="4">
        <f>IFERROR(__xludf.DUMMYFUNCTION("""COMPUTED_VALUE"""),21.0)</f>
        <v>21</v>
      </c>
      <c r="K1675" s="4">
        <f>IFERROR(__xludf.DUMMYFUNCTION("""COMPUTED_VALUE"""),40.0)</f>
        <v>40</v>
      </c>
      <c r="L1675" s="4">
        <f>IFERROR(__xludf.DUMMYFUNCTION("""COMPUTED_VALUE"""),0.356)</f>
        <v>0.356</v>
      </c>
      <c r="M1675" s="4">
        <f>IFERROR(__xludf.DUMMYFUNCTION("""COMPUTED_VALUE"""),0.267)</f>
        <v>0.267</v>
      </c>
      <c r="N1675" s="4">
        <f>IFERROR(__xludf.DUMMYFUNCTION("""COMPUTED_VALUE"""),0.9)</f>
        <v>0.9</v>
      </c>
      <c r="O1675" s="4">
        <f>IFERROR(__xludf.DUMMYFUNCTION("""COMPUTED_VALUE"""),9.9)</f>
        <v>9.9</v>
      </c>
      <c r="P1675" s="4">
        <f>IFERROR(__xludf.DUMMYFUNCTION("""COMPUTED_VALUE"""),2.9)</f>
        <v>2.9</v>
      </c>
      <c r="Q1675" s="4">
        <f>IFERROR(__xludf.DUMMYFUNCTION("""COMPUTED_VALUE"""),0.8)</f>
        <v>0.8</v>
      </c>
      <c r="R1675" s="4">
        <f>IFERROR(__xludf.DUMMYFUNCTION("""COMPUTED_VALUE"""),1.5)</f>
        <v>1.5</v>
      </c>
      <c r="S1675" s="4">
        <f>IFERROR(__xludf.DUMMYFUNCTION("""COMPUTED_VALUE"""),0.2)</f>
        <v>0.2</v>
      </c>
      <c r="T1675" s="4">
        <f>IFERROR(__xludf.DUMMYFUNCTION("""COMPUTED_VALUE"""),0.027)</f>
        <v>0.027</v>
      </c>
      <c r="U1675" s="4">
        <f>IFERROR(__xludf.DUMMYFUNCTION("""COMPUTED_VALUE"""),-3.7)</f>
        <v>-3.7</v>
      </c>
      <c r="V1675" s="4">
        <f>IFERROR(__xludf.DUMMYFUNCTION("""COMPUTED_VALUE"""),-0.1)</f>
        <v>-0.1</v>
      </c>
    </row>
    <row r="1676">
      <c r="A1676" s="4">
        <f>IFERROR(__xludf.DUMMYFUNCTION("""COMPUTED_VALUE"""),29.0)</f>
        <v>29</v>
      </c>
      <c r="B1676" s="4">
        <f>IFERROR(__xludf.DUMMYFUNCTION("""COMPUTED_VALUE"""),29.0)</f>
        <v>29</v>
      </c>
      <c r="C1676" s="4" t="str">
        <f>IFERROR(__xludf.DUMMYFUNCTION("""COMPUTED_VALUE"""),"LAL")</f>
        <v>LAL</v>
      </c>
      <c r="D1676" s="4" t="str">
        <f>IFERROR(__xludf.DUMMYFUNCTION("""COMPUTED_VALUE"""),"Mark Madsen")</f>
        <v>Mark Madsen</v>
      </c>
      <c r="E1676" s="4" t="str">
        <f>IFERROR(__xludf.DUMMYFUNCTION("""COMPUTED_VALUE"""),"Stanford")</f>
        <v>Stanford</v>
      </c>
      <c r="F1676" s="4">
        <f>IFERROR(__xludf.DUMMYFUNCTION("""COMPUTED_VALUE"""),9.0)</f>
        <v>9</v>
      </c>
      <c r="G1676" s="4">
        <f>IFERROR(__xludf.DUMMYFUNCTION("""COMPUTED_VALUE"""),453.0)</f>
        <v>453</v>
      </c>
      <c r="H1676" s="4">
        <f>IFERROR(__xludf.DUMMYFUNCTION("""COMPUTED_VALUE"""),5335.0)</f>
        <v>5335</v>
      </c>
      <c r="I1676" s="4">
        <f>IFERROR(__xludf.DUMMYFUNCTION("""COMPUTED_VALUE"""),975.0)</f>
        <v>975</v>
      </c>
      <c r="J1676" s="4">
        <f>IFERROR(__xludf.DUMMYFUNCTION("""COMPUTED_VALUE"""),1157.0)</f>
        <v>1157</v>
      </c>
      <c r="K1676" s="4">
        <f>IFERROR(__xludf.DUMMYFUNCTION("""COMPUTED_VALUE"""),181.0)</f>
        <v>181</v>
      </c>
      <c r="L1676" s="4">
        <f>IFERROR(__xludf.DUMMYFUNCTION("""COMPUTED_VALUE"""),0.457)</f>
        <v>0.457</v>
      </c>
      <c r="M1676" s="4">
        <f>IFERROR(__xludf.DUMMYFUNCTION("""COMPUTED_VALUE"""),0.063)</f>
        <v>0.063</v>
      </c>
      <c r="N1676" s="4">
        <f>IFERROR(__xludf.DUMMYFUNCTION("""COMPUTED_VALUE"""),0.527)</f>
        <v>0.527</v>
      </c>
      <c r="O1676" s="4">
        <f>IFERROR(__xludf.DUMMYFUNCTION("""COMPUTED_VALUE"""),11.8)</f>
        <v>11.8</v>
      </c>
      <c r="P1676" s="4">
        <f>IFERROR(__xludf.DUMMYFUNCTION("""COMPUTED_VALUE"""),2.2)</f>
        <v>2.2</v>
      </c>
      <c r="Q1676" s="4">
        <f>IFERROR(__xludf.DUMMYFUNCTION("""COMPUTED_VALUE"""),2.6)</f>
        <v>2.6</v>
      </c>
      <c r="R1676" s="4">
        <f>IFERROR(__xludf.DUMMYFUNCTION("""COMPUTED_VALUE"""),0.4)</f>
        <v>0.4</v>
      </c>
      <c r="S1676" s="4">
        <f>IFERROR(__xludf.DUMMYFUNCTION("""COMPUTED_VALUE"""),8.2)</f>
        <v>8.2</v>
      </c>
      <c r="T1676" s="4">
        <f>IFERROR(__xludf.DUMMYFUNCTION("""COMPUTED_VALUE"""),0.074)</f>
        <v>0.074</v>
      </c>
      <c r="U1676" s="4">
        <f>IFERROR(__xludf.DUMMYFUNCTION("""COMPUTED_VALUE"""),-4.1)</f>
        <v>-4.1</v>
      </c>
      <c r="V1676" s="4">
        <f>IFERROR(__xludf.DUMMYFUNCTION("""COMPUTED_VALUE"""),-2.9)</f>
        <v>-2.9</v>
      </c>
    </row>
    <row r="1677">
      <c r="A1677" s="4"/>
      <c r="B1677" s="4"/>
      <c r="C1677" s="4"/>
      <c r="D1677" s="4" t="str">
        <f>IFERROR(__xludf.DUMMYFUNCTION("""COMPUTED_VALUE"""),"Round 2")</f>
        <v>Round 2</v>
      </c>
      <c r="E1677" s="4"/>
      <c r="F1677" s="4"/>
      <c r="G1677" s="4" t="str">
        <f>IFERROR(__xludf.DUMMYFUNCTION("""COMPUTED_VALUE"""),"Totals")</f>
        <v>Totals</v>
      </c>
      <c r="H1677" s="4"/>
      <c r="I1677" s="4"/>
      <c r="J1677" s="4"/>
      <c r="K1677" s="4"/>
      <c r="L1677" s="4" t="str">
        <f>IFERROR(__xludf.DUMMYFUNCTION("""COMPUTED_VALUE"""),"Shooting")</f>
        <v>Shooting</v>
      </c>
      <c r="M1677" s="4"/>
      <c r="N1677" s="4"/>
      <c r="O1677" s="4" t="str">
        <f>IFERROR(__xludf.DUMMYFUNCTION("""COMPUTED_VALUE"""),"Per Game")</f>
        <v>Per Game</v>
      </c>
      <c r="P1677" s="4"/>
      <c r="Q1677" s="4"/>
      <c r="R1677" s="4"/>
      <c r="S1677" s="4" t="str">
        <f>IFERROR(__xludf.DUMMYFUNCTION("""COMPUTED_VALUE"""),"Advanced")</f>
        <v>Advanced</v>
      </c>
      <c r="T1677" s="4"/>
      <c r="U1677" s="4"/>
      <c r="V1677" s="4"/>
    </row>
    <row r="1678">
      <c r="A1678" s="4" t="str">
        <f>IFERROR(__xludf.DUMMYFUNCTION("""COMPUTED_VALUE"""),"Rk")</f>
        <v>Rk</v>
      </c>
      <c r="B1678" s="4" t="str">
        <f>IFERROR(__xludf.DUMMYFUNCTION("""COMPUTED_VALUE"""),"Pk")</f>
        <v>Pk</v>
      </c>
      <c r="C1678" s="4" t="str">
        <f>IFERROR(__xludf.DUMMYFUNCTION("""COMPUTED_VALUE"""),"Tm")</f>
        <v>Tm</v>
      </c>
      <c r="D1678" s="4" t="str">
        <f>IFERROR(__xludf.DUMMYFUNCTION("""COMPUTED_VALUE"""),"Player")</f>
        <v>Player</v>
      </c>
      <c r="E1678" s="4" t="str">
        <f>IFERROR(__xludf.DUMMYFUNCTION("""COMPUTED_VALUE"""),"College")</f>
        <v>College</v>
      </c>
      <c r="F1678" s="4" t="str">
        <f>IFERROR(__xludf.DUMMYFUNCTION("""COMPUTED_VALUE"""),"Yrs")</f>
        <v>Yrs</v>
      </c>
      <c r="G1678" s="4" t="str">
        <f>IFERROR(__xludf.DUMMYFUNCTION("""COMPUTED_VALUE"""),"G")</f>
        <v>G</v>
      </c>
      <c r="H1678" s="4" t="str">
        <f>IFERROR(__xludf.DUMMYFUNCTION("""COMPUTED_VALUE"""),"MP")</f>
        <v>MP</v>
      </c>
      <c r="I1678" s="4" t="str">
        <f>IFERROR(__xludf.DUMMYFUNCTION("""COMPUTED_VALUE"""),"PTS")</f>
        <v>PTS</v>
      </c>
      <c r="J1678" s="4" t="str">
        <f>IFERROR(__xludf.DUMMYFUNCTION("""COMPUTED_VALUE"""),"TRB")</f>
        <v>TRB</v>
      </c>
      <c r="K1678" s="4" t="str">
        <f>IFERROR(__xludf.DUMMYFUNCTION("""COMPUTED_VALUE"""),"AST")</f>
        <v>AST</v>
      </c>
      <c r="L1678" s="4" t="str">
        <f>IFERROR(__xludf.DUMMYFUNCTION("""COMPUTED_VALUE"""),"FG%")</f>
        <v>FG%</v>
      </c>
      <c r="M1678" s="4" t="str">
        <f>IFERROR(__xludf.DUMMYFUNCTION("""COMPUTED_VALUE"""),"3P%")</f>
        <v>3P%</v>
      </c>
      <c r="N1678" s="4" t="str">
        <f>IFERROR(__xludf.DUMMYFUNCTION("""COMPUTED_VALUE"""),"FT%")</f>
        <v>FT%</v>
      </c>
      <c r="O1678" s="4" t="str">
        <f>IFERROR(__xludf.DUMMYFUNCTION("""COMPUTED_VALUE"""),"MP")</f>
        <v>MP</v>
      </c>
      <c r="P1678" s="4" t="str">
        <f>IFERROR(__xludf.DUMMYFUNCTION("""COMPUTED_VALUE"""),"PTS")</f>
        <v>PTS</v>
      </c>
      <c r="Q1678" s="4" t="str">
        <f>IFERROR(__xludf.DUMMYFUNCTION("""COMPUTED_VALUE"""),"TRB")</f>
        <v>TRB</v>
      </c>
      <c r="R1678" s="4" t="str">
        <f>IFERROR(__xludf.DUMMYFUNCTION("""COMPUTED_VALUE"""),"AST")</f>
        <v>AST</v>
      </c>
      <c r="S1678" s="4" t="str">
        <f>IFERROR(__xludf.DUMMYFUNCTION("""COMPUTED_VALUE"""),"WS")</f>
        <v>WS</v>
      </c>
      <c r="T1678" s="4" t="str">
        <f>IFERROR(__xludf.DUMMYFUNCTION("""COMPUTED_VALUE"""),"WS/48")</f>
        <v>WS/48</v>
      </c>
      <c r="U1678" s="4" t="str">
        <f>IFERROR(__xludf.DUMMYFUNCTION("""COMPUTED_VALUE"""),"BPM")</f>
        <v>BPM</v>
      </c>
      <c r="V1678" s="4" t="str">
        <f>IFERROR(__xludf.DUMMYFUNCTION("""COMPUTED_VALUE"""),"VORP")</f>
        <v>VORP</v>
      </c>
    </row>
    <row r="1679">
      <c r="A1679" s="4">
        <f>IFERROR(__xludf.DUMMYFUNCTION("""COMPUTED_VALUE"""),30.0)</f>
        <v>30</v>
      </c>
      <c r="B1679" s="4">
        <f>IFERROR(__xludf.DUMMYFUNCTION("""COMPUTED_VALUE"""),30.0)</f>
        <v>30</v>
      </c>
      <c r="C1679" s="4" t="str">
        <f>IFERROR(__xludf.DUMMYFUNCTION("""COMPUTED_VALUE"""),"LAC")</f>
        <v>LAC</v>
      </c>
      <c r="D1679" s="4" t="str">
        <f>IFERROR(__xludf.DUMMYFUNCTION("""COMPUTED_VALUE"""),"Marko Jarić")</f>
        <v>Marko Jarić</v>
      </c>
      <c r="E1679" s="4"/>
      <c r="F1679" s="4">
        <f>IFERROR(__xludf.DUMMYFUNCTION("""COMPUTED_VALUE"""),7.0)</f>
        <v>7</v>
      </c>
      <c r="G1679" s="4">
        <f>IFERROR(__xludf.DUMMYFUNCTION("""COMPUTED_VALUE"""),447.0)</f>
        <v>447</v>
      </c>
      <c r="H1679" s="4">
        <f>IFERROR(__xludf.DUMMYFUNCTION("""COMPUTED_VALUE"""),11246.0)</f>
        <v>11246</v>
      </c>
      <c r="I1679" s="4">
        <f>IFERROR(__xludf.DUMMYFUNCTION("""COMPUTED_VALUE"""),3193.0)</f>
        <v>3193</v>
      </c>
      <c r="J1679" s="4">
        <f>IFERROR(__xludf.DUMMYFUNCTION("""COMPUTED_VALUE"""),1200.0)</f>
        <v>1200</v>
      </c>
      <c r="K1679" s="4">
        <f>IFERROR(__xludf.DUMMYFUNCTION("""COMPUTED_VALUE"""),1600.0)</f>
        <v>1600</v>
      </c>
      <c r="L1679" s="4">
        <f>IFERROR(__xludf.DUMMYFUNCTION("""COMPUTED_VALUE"""),0.404)</f>
        <v>0.404</v>
      </c>
      <c r="M1679" s="4">
        <f>IFERROR(__xludf.DUMMYFUNCTION("""COMPUTED_VALUE"""),0.344)</f>
        <v>0.344</v>
      </c>
      <c r="N1679" s="4">
        <f>IFERROR(__xludf.DUMMYFUNCTION("""COMPUTED_VALUE"""),0.73)</f>
        <v>0.73</v>
      </c>
      <c r="O1679" s="4">
        <f>IFERROR(__xludf.DUMMYFUNCTION("""COMPUTED_VALUE"""),25.2)</f>
        <v>25.2</v>
      </c>
      <c r="P1679" s="4">
        <f>IFERROR(__xludf.DUMMYFUNCTION("""COMPUTED_VALUE"""),7.1)</f>
        <v>7.1</v>
      </c>
      <c r="Q1679" s="4">
        <f>IFERROR(__xludf.DUMMYFUNCTION("""COMPUTED_VALUE"""),2.7)</f>
        <v>2.7</v>
      </c>
      <c r="R1679" s="4">
        <f>IFERROR(__xludf.DUMMYFUNCTION("""COMPUTED_VALUE"""),3.6)</f>
        <v>3.6</v>
      </c>
      <c r="S1679" s="4">
        <f>IFERROR(__xludf.DUMMYFUNCTION("""COMPUTED_VALUE"""),12.1)</f>
        <v>12.1</v>
      </c>
      <c r="T1679" s="4">
        <f>IFERROR(__xludf.DUMMYFUNCTION("""COMPUTED_VALUE"""),0.052)</f>
        <v>0.052</v>
      </c>
      <c r="U1679" s="4">
        <f>IFERROR(__xludf.DUMMYFUNCTION("""COMPUTED_VALUE"""),-0.7)</f>
        <v>-0.7</v>
      </c>
      <c r="V1679" s="4">
        <f>IFERROR(__xludf.DUMMYFUNCTION("""COMPUTED_VALUE"""),3.8)</f>
        <v>3.8</v>
      </c>
    </row>
    <row r="1680">
      <c r="A1680" s="4">
        <f>IFERROR(__xludf.DUMMYFUNCTION("""COMPUTED_VALUE"""),31.0)</f>
        <v>31</v>
      </c>
      <c r="B1680" s="4">
        <f>IFERROR(__xludf.DUMMYFUNCTION("""COMPUTED_VALUE"""),31.0)</f>
        <v>31</v>
      </c>
      <c r="C1680" s="4" t="str">
        <f>IFERROR(__xludf.DUMMYFUNCTION("""COMPUTED_VALUE"""),"DAL")</f>
        <v>DAL</v>
      </c>
      <c r="D1680" s="4" t="str">
        <f>IFERROR(__xludf.DUMMYFUNCTION("""COMPUTED_VALUE"""),"Dan Langhi")</f>
        <v>Dan Langhi</v>
      </c>
      <c r="E1680" s="4" t="str">
        <f>IFERROR(__xludf.DUMMYFUNCTION("""COMPUTED_VALUE"""),"Vanderbilt")</f>
        <v>Vanderbilt</v>
      </c>
      <c r="F1680" s="4">
        <f>IFERROR(__xludf.DUMMYFUNCTION("""COMPUTED_VALUE"""),4.0)</f>
        <v>4</v>
      </c>
      <c r="G1680" s="4">
        <f>IFERROR(__xludf.DUMMYFUNCTION("""COMPUTED_VALUE"""),133.0)</f>
        <v>133</v>
      </c>
      <c r="H1680" s="4">
        <f>IFERROR(__xludf.DUMMYFUNCTION("""COMPUTED_VALUE"""),1253.0)</f>
        <v>1253</v>
      </c>
      <c r="I1680" s="4">
        <f>IFERROR(__xludf.DUMMYFUNCTION("""COMPUTED_VALUE"""),393.0)</f>
        <v>393</v>
      </c>
      <c r="J1680" s="4">
        <f>IFERROR(__xludf.DUMMYFUNCTION("""COMPUTED_VALUE"""),199.0)</f>
        <v>199</v>
      </c>
      <c r="K1680" s="4">
        <f>IFERROR(__xludf.DUMMYFUNCTION("""COMPUTED_VALUE"""),39.0)</f>
        <v>39</v>
      </c>
      <c r="L1680" s="4">
        <f>IFERROR(__xludf.DUMMYFUNCTION("""COMPUTED_VALUE"""),0.391)</f>
        <v>0.391</v>
      </c>
      <c r="M1680" s="4">
        <f>IFERROR(__xludf.DUMMYFUNCTION("""COMPUTED_VALUE"""),0.289)</f>
        <v>0.289</v>
      </c>
      <c r="N1680" s="4">
        <f>IFERROR(__xludf.DUMMYFUNCTION("""COMPUTED_VALUE"""),0.613)</f>
        <v>0.613</v>
      </c>
      <c r="O1680" s="4">
        <f>IFERROR(__xludf.DUMMYFUNCTION("""COMPUTED_VALUE"""),9.4)</f>
        <v>9.4</v>
      </c>
      <c r="P1680" s="4">
        <f>IFERROR(__xludf.DUMMYFUNCTION("""COMPUTED_VALUE"""),3.0)</f>
        <v>3</v>
      </c>
      <c r="Q1680" s="4">
        <f>IFERROR(__xludf.DUMMYFUNCTION("""COMPUTED_VALUE"""),1.5)</f>
        <v>1.5</v>
      </c>
      <c r="R1680" s="4">
        <f>IFERROR(__xludf.DUMMYFUNCTION("""COMPUTED_VALUE"""),0.3)</f>
        <v>0.3</v>
      </c>
      <c r="S1680" s="4">
        <f>IFERROR(__xludf.DUMMYFUNCTION("""COMPUTED_VALUE"""),0.3)</f>
        <v>0.3</v>
      </c>
      <c r="T1680" s="4">
        <f>IFERROR(__xludf.DUMMYFUNCTION("""COMPUTED_VALUE"""),0.012)</f>
        <v>0.012</v>
      </c>
      <c r="U1680" s="4">
        <f>IFERROR(__xludf.DUMMYFUNCTION("""COMPUTED_VALUE"""),-4.6)</f>
        <v>-4.6</v>
      </c>
      <c r="V1680" s="4">
        <f>IFERROR(__xludf.DUMMYFUNCTION("""COMPUTED_VALUE"""),-0.8)</f>
        <v>-0.8</v>
      </c>
    </row>
    <row r="1681">
      <c r="A1681" s="4">
        <f>IFERROR(__xludf.DUMMYFUNCTION("""COMPUTED_VALUE"""),32.0)</f>
        <v>32</v>
      </c>
      <c r="B1681" s="4">
        <f>IFERROR(__xludf.DUMMYFUNCTION("""COMPUTED_VALUE"""),32.0)</f>
        <v>32</v>
      </c>
      <c r="C1681" s="4" t="str">
        <f>IFERROR(__xludf.DUMMYFUNCTION("""COMPUTED_VALUE"""),"CHI")</f>
        <v>CHI</v>
      </c>
      <c r="D1681" s="4" t="str">
        <f>IFERROR(__xludf.DUMMYFUNCTION("""COMPUTED_VALUE"""),"A.J. Guyton")</f>
        <v>A.J. Guyton</v>
      </c>
      <c r="E1681" s="4" t="str">
        <f>IFERROR(__xludf.DUMMYFUNCTION("""COMPUTED_VALUE"""),"Indiana")</f>
        <v>Indiana</v>
      </c>
      <c r="F1681" s="4">
        <f>IFERROR(__xludf.DUMMYFUNCTION("""COMPUTED_VALUE"""),3.0)</f>
        <v>3</v>
      </c>
      <c r="G1681" s="4">
        <f>IFERROR(__xludf.DUMMYFUNCTION("""COMPUTED_VALUE"""),80.0)</f>
        <v>80</v>
      </c>
      <c r="H1681" s="4">
        <f>IFERROR(__xludf.DUMMYFUNCTION("""COMPUTED_VALUE"""),1246.0)</f>
        <v>1246</v>
      </c>
      <c r="I1681" s="4">
        <f>IFERROR(__xludf.DUMMYFUNCTION("""COMPUTED_VALUE"""),442.0)</f>
        <v>442</v>
      </c>
      <c r="J1681" s="4">
        <f>IFERROR(__xludf.DUMMYFUNCTION("""COMPUTED_VALUE"""),80.0)</f>
        <v>80</v>
      </c>
      <c r="K1681" s="4">
        <f>IFERROR(__xludf.DUMMYFUNCTION("""COMPUTED_VALUE"""),147.0)</f>
        <v>147</v>
      </c>
      <c r="L1681" s="4">
        <f>IFERROR(__xludf.DUMMYFUNCTION("""COMPUTED_VALUE"""),0.377)</f>
        <v>0.377</v>
      </c>
      <c r="M1681" s="4">
        <f>IFERROR(__xludf.DUMMYFUNCTION("""COMPUTED_VALUE"""),0.378)</f>
        <v>0.378</v>
      </c>
      <c r="N1681" s="4">
        <f>IFERROR(__xludf.DUMMYFUNCTION("""COMPUTED_VALUE"""),0.822)</f>
        <v>0.822</v>
      </c>
      <c r="O1681" s="4">
        <f>IFERROR(__xludf.DUMMYFUNCTION("""COMPUTED_VALUE"""),15.6)</f>
        <v>15.6</v>
      </c>
      <c r="P1681" s="4">
        <f>IFERROR(__xludf.DUMMYFUNCTION("""COMPUTED_VALUE"""),5.5)</f>
        <v>5.5</v>
      </c>
      <c r="Q1681" s="4">
        <f>IFERROR(__xludf.DUMMYFUNCTION("""COMPUTED_VALUE"""),1.0)</f>
        <v>1</v>
      </c>
      <c r="R1681" s="4">
        <f>IFERROR(__xludf.DUMMYFUNCTION("""COMPUTED_VALUE"""),1.8)</f>
        <v>1.8</v>
      </c>
      <c r="S1681" s="4">
        <f>IFERROR(__xludf.DUMMYFUNCTION("""COMPUTED_VALUE"""),0.3)</f>
        <v>0.3</v>
      </c>
      <c r="T1681" s="4">
        <f>IFERROR(__xludf.DUMMYFUNCTION("""COMPUTED_VALUE"""),0.01)</f>
        <v>0.01</v>
      </c>
      <c r="U1681" s="4">
        <f>IFERROR(__xludf.DUMMYFUNCTION("""COMPUTED_VALUE"""),-2.9)</f>
        <v>-2.9</v>
      </c>
      <c r="V1681" s="4">
        <f>IFERROR(__xludf.DUMMYFUNCTION("""COMPUTED_VALUE"""),-0.3)</f>
        <v>-0.3</v>
      </c>
    </row>
    <row r="1682">
      <c r="A1682" s="4">
        <f>IFERROR(__xludf.DUMMYFUNCTION("""COMPUTED_VALUE"""),33.0)</f>
        <v>33</v>
      </c>
      <c r="B1682" s="4">
        <f>IFERROR(__xludf.DUMMYFUNCTION("""COMPUTED_VALUE"""),33.0)</f>
        <v>33</v>
      </c>
      <c r="C1682" s="4" t="str">
        <f>IFERROR(__xludf.DUMMYFUNCTION("""COMPUTED_VALUE"""),"CHI")</f>
        <v>CHI</v>
      </c>
      <c r="D1682" s="4" t="str">
        <f>IFERROR(__xludf.DUMMYFUNCTION("""COMPUTED_VALUE"""),"Jake Voskuhl")</f>
        <v>Jake Voskuhl</v>
      </c>
      <c r="E1682" s="4" t="str">
        <f>IFERROR(__xludf.DUMMYFUNCTION("""COMPUTED_VALUE"""),"UConn")</f>
        <v>UConn</v>
      </c>
      <c r="F1682" s="4">
        <f>IFERROR(__xludf.DUMMYFUNCTION("""COMPUTED_VALUE"""),9.0)</f>
        <v>9</v>
      </c>
      <c r="G1682" s="4">
        <f>IFERROR(__xludf.DUMMYFUNCTION("""COMPUTED_VALUE"""),450.0)</f>
        <v>450</v>
      </c>
      <c r="H1682" s="4">
        <f>IFERROR(__xludf.DUMMYFUNCTION("""COMPUTED_VALUE"""),6443.0)</f>
        <v>6443</v>
      </c>
      <c r="I1682" s="4">
        <f>IFERROR(__xludf.DUMMYFUNCTION("""COMPUTED_VALUE"""),1814.0)</f>
        <v>1814</v>
      </c>
      <c r="J1682" s="4">
        <f>IFERROR(__xludf.DUMMYFUNCTION("""COMPUTED_VALUE"""),1539.0)</f>
        <v>1539</v>
      </c>
      <c r="K1682" s="4">
        <f>IFERROR(__xludf.DUMMYFUNCTION("""COMPUTED_VALUE"""),237.0)</f>
        <v>237</v>
      </c>
      <c r="L1682" s="4">
        <f>IFERROR(__xludf.DUMMYFUNCTION("""COMPUTED_VALUE"""),0.487)</f>
        <v>0.487</v>
      </c>
      <c r="M1682" s="4">
        <f>IFERROR(__xludf.DUMMYFUNCTION("""COMPUTED_VALUE"""),0.333)</f>
        <v>0.333</v>
      </c>
      <c r="N1682" s="4">
        <f>IFERROR(__xludf.DUMMYFUNCTION("""COMPUTED_VALUE"""),0.714)</f>
        <v>0.714</v>
      </c>
      <c r="O1682" s="4">
        <f>IFERROR(__xludf.DUMMYFUNCTION("""COMPUTED_VALUE"""),14.3)</f>
        <v>14.3</v>
      </c>
      <c r="P1682" s="4">
        <f>IFERROR(__xludf.DUMMYFUNCTION("""COMPUTED_VALUE"""),4.0)</f>
        <v>4</v>
      </c>
      <c r="Q1682" s="4">
        <f>IFERROR(__xludf.DUMMYFUNCTION("""COMPUTED_VALUE"""),3.4)</f>
        <v>3.4</v>
      </c>
      <c r="R1682" s="4">
        <f>IFERROR(__xludf.DUMMYFUNCTION("""COMPUTED_VALUE"""),0.5)</f>
        <v>0.5</v>
      </c>
      <c r="S1682" s="4">
        <f>IFERROR(__xludf.DUMMYFUNCTION("""COMPUTED_VALUE"""),11.6)</f>
        <v>11.6</v>
      </c>
      <c r="T1682" s="4">
        <f>IFERROR(__xludf.DUMMYFUNCTION("""COMPUTED_VALUE"""),0.087)</f>
        <v>0.087</v>
      </c>
      <c r="U1682" s="4">
        <f>IFERROR(__xludf.DUMMYFUNCTION("""COMPUTED_VALUE"""),-3.8)</f>
        <v>-3.8</v>
      </c>
      <c r="V1682" s="4">
        <f>IFERROR(__xludf.DUMMYFUNCTION("""COMPUTED_VALUE"""),-3.0)</f>
        <v>-3</v>
      </c>
    </row>
    <row r="1683">
      <c r="A1683" s="4">
        <f>IFERROR(__xludf.DUMMYFUNCTION("""COMPUTED_VALUE"""),34.0)</f>
        <v>34</v>
      </c>
      <c r="B1683" s="4">
        <f>IFERROR(__xludf.DUMMYFUNCTION("""COMPUTED_VALUE"""),34.0)</f>
        <v>34</v>
      </c>
      <c r="C1683" s="4" t="str">
        <f>IFERROR(__xludf.DUMMYFUNCTION("""COMPUTED_VALUE"""),"CHI")</f>
        <v>CHI</v>
      </c>
      <c r="D1683" s="4" t="str">
        <f>IFERROR(__xludf.DUMMYFUNCTION("""COMPUTED_VALUE"""),"Khalid El-Amin")</f>
        <v>Khalid El-Amin</v>
      </c>
      <c r="E1683" s="4" t="str">
        <f>IFERROR(__xludf.DUMMYFUNCTION("""COMPUTED_VALUE"""),"UConn")</f>
        <v>UConn</v>
      </c>
      <c r="F1683" s="4">
        <f>IFERROR(__xludf.DUMMYFUNCTION("""COMPUTED_VALUE"""),1.0)</f>
        <v>1</v>
      </c>
      <c r="G1683" s="4">
        <f>IFERROR(__xludf.DUMMYFUNCTION("""COMPUTED_VALUE"""),50.0)</f>
        <v>50</v>
      </c>
      <c r="H1683" s="4">
        <f>IFERROR(__xludf.DUMMYFUNCTION("""COMPUTED_VALUE"""),936.0)</f>
        <v>936</v>
      </c>
      <c r="I1683" s="4">
        <f>IFERROR(__xludf.DUMMYFUNCTION("""COMPUTED_VALUE"""),314.0)</f>
        <v>314</v>
      </c>
      <c r="J1683" s="4">
        <f>IFERROR(__xludf.DUMMYFUNCTION("""COMPUTED_VALUE"""),81.0)</f>
        <v>81</v>
      </c>
      <c r="K1683" s="4">
        <f>IFERROR(__xludf.DUMMYFUNCTION("""COMPUTED_VALUE"""),145.0)</f>
        <v>145</v>
      </c>
      <c r="L1683" s="4">
        <f>IFERROR(__xludf.DUMMYFUNCTION("""COMPUTED_VALUE"""),0.37)</f>
        <v>0.37</v>
      </c>
      <c r="M1683" s="4">
        <f>IFERROR(__xludf.DUMMYFUNCTION("""COMPUTED_VALUE"""),0.333)</f>
        <v>0.333</v>
      </c>
      <c r="N1683" s="4">
        <f>IFERROR(__xludf.DUMMYFUNCTION("""COMPUTED_VALUE"""),0.778)</f>
        <v>0.778</v>
      </c>
      <c r="O1683" s="4">
        <f>IFERROR(__xludf.DUMMYFUNCTION("""COMPUTED_VALUE"""),18.7)</f>
        <v>18.7</v>
      </c>
      <c r="P1683" s="4">
        <f>IFERROR(__xludf.DUMMYFUNCTION("""COMPUTED_VALUE"""),6.3)</f>
        <v>6.3</v>
      </c>
      <c r="Q1683" s="4">
        <f>IFERROR(__xludf.DUMMYFUNCTION("""COMPUTED_VALUE"""),1.6)</f>
        <v>1.6</v>
      </c>
      <c r="R1683" s="4">
        <f>IFERROR(__xludf.DUMMYFUNCTION("""COMPUTED_VALUE"""),2.9)</f>
        <v>2.9</v>
      </c>
      <c r="S1683" s="4">
        <f>IFERROR(__xludf.DUMMYFUNCTION("""COMPUTED_VALUE"""),0.6)</f>
        <v>0.6</v>
      </c>
      <c r="T1683" s="4">
        <f>IFERROR(__xludf.DUMMYFUNCTION("""COMPUTED_VALUE"""),0.03)</f>
        <v>0.03</v>
      </c>
      <c r="U1683" s="4">
        <f>IFERROR(__xludf.DUMMYFUNCTION("""COMPUTED_VALUE"""),-2.4)</f>
        <v>-2.4</v>
      </c>
      <c r="V1683" s="4">
        <f>IFERROR(__xludf.DUMMYFUNCTION("""COMPUTED_VALUE"""),-0.1)</f>
        <v>-0.1</v>
      </c>
    </row>
    <row r="1684">
      <c r="A1684" s="4">
        <f>IFERROR(__xludf.DUMMYFUNCTION("""COMPUTED_VALUE"""),35.0)</f>
        <v>35</v>
      </c>
      <c r="B1684" s="4">
        <f>IFERROR(__xludf.DUMMYFUNCTION("""COMPUTED_VALUE"""),35.0)</f>
        <v>35</v>
      </c>
      <c r="C1684" s="4" t="str">
        <f>IFERROR(__xludf.DUMMYFUNCTION("""COMPUTED_VALUE"""),"WAS")</f>
        <v>WAS</v>
      </c>
      <c r="D1684" s="4" t="str">
        <f>IFERROR(__xludf.DUMMYFUNCTION("""COMPUTED_VALUE"""),"Mike Smith")</f>
        <v>Mike Smith</v>
      </c>
      <c r="E1684" s="4" t="str">
        <f>IFERROR(__xludf.DUMMYFUNCTION("""COMPUTED_VALUE"""),"Louisiana-Monroe")</f>
        <v>Louisiana-Monroe</v>
      </c>
      <c r="F1684" s="4">
        <f>IFERROR(__xludf.DUMMYFUNCTION("""COMPUTED_VALUE"""),1.0)</f>
        <v>1</v>
      </c>
      <c r="G1684" s="4">
        <f>IFERROR(__xludf.DUMMYFUNCTION("""COMPUTED_VALUE"""),17.0)</f>
        <v>17</v>
      </c>
      <c r="H1684" s="4">
        <f>IFERROR(__xludf.DUMMYFUNCTION("""COMPUTED_VALUE"""),180.0)</f>
        <v>180</v>
      </c>
      <c r="I1684" s="4">
        <f>IFERROR(__xludf.DUMMYFUNCTION("""COMPUTED_VALUE"""),51.0)</f>
        <v>51</v>
      </c>
      <c r="J1684" s="4">
        <f>IFERROR(__xludf.DUMMYFUNCTION("""COMPUTED_VALUE"""),22.0)</f>
        <v>22</v>
      </c>
      <c r="K1684" s="4">
        <f>IFERROR(__xludf.DUMMYFUNCTION("""COMPUTED_VALUE"""),10.0)</f>
        <v>10</v>
      </c>
      <c r="L1684" s="4">
        <f>IFERROR(__xludf.DUMMYFUNCTION("""COMPUTED_VALUE"""),0.322)</f>
        <v>0.322</v>
      </c>
      <c r="M1684" s="4">
        <f>IFERROR(__xludf.DUMMYFUNCTION("""COMPUTED_VALUE"""),0.167)</f>
        <v>0.167</v>
      </c>
      <c r="N1684" s="4">
        <f>IFERROR(__xludf.DUMMYFUNCTION("""COMPUTED_VALUE"""),0.625)</f>
        <v>0.625</v>
      </c>
      <c r="O1684" s="4">
        <f>IFERROR(__xludf.DUMMYFUNCTION("""COMPUTED_VALUE"""),10.6)</f>
        <v>10.6</v>
      </c>
      <c r="P1684" s="4">
        <f>IFERROR(__xludf.DUMMYFUNCTION("""COMPUTED_VALUE"""),3.0)</f>
        <v>3</v>
      </c>
      <c r="Q1684" s="4">
        <f>IFERROR(__xludf.DUMMYFUNCTION("""COMPUTED_VALUE"""),1.3)</f>
        <v>1.3</v>
      </c>
      <c r="R1684" s="4">
        <f>IFERROR(__xludf.DUMMYFUNCTION("""COMPUTED_VALUE"""),0.6)</f>
        <v>0.6</v>
      </c>
      <c r="S1684" s="4">
        <f>IFERROR(__xludf.DUMMYFUNCTION("""COMPUTED_VALUE"""),-0.1)</f>
        <v>-0.1</v>
      </c>
      <c r="T1684" s="4">
        <f>IFERROR(__xludf.DUMMYFUNCTION("""COMPUTED_VALUE"""),-0.033)</f>
        <v>-0.033</v>
      </c>
      <c r="U1684" s="4">
        <f>IFERROR(__xludf.DUMMYFUNCTION("""COMPUTED_VALUE"""),-4.2)</f>
        <v>-4.2</v>
      </c>
      <c r="V1684" s="4">
        <f>IFERROR(__xludf.DUMMYFUNCTION("""COMPUTED_VALUE"""),-0.1)</f>
        <v>-0.1</v>
      </c>
    </row>
    <row r="1685">
      <c r="A1685" s="4">
        <f>IFERROR(__xludf.DUMMYFUNCTION("""COMPUTED_VALUE"""),36.0)</f>
        <v>36</v>
      </c>
      <c r="B1685" s="4">
        <f>IFERROR(__xludf.DUMMYFUNCTION("""COMPUTED_VALUE"""),36.0)</f>
        <v>36</v>
      </c>
      <c r="C1685" s="4" t="str">
        <f>IFERROR(__xludf.DUMMYFUNCTION("""COMPUTED_VALUE"""),"NJN")</f>
        <v>NJN</v>
      </c>
      <c r="D1685" s="4" t="str">
        <f>IFERROR(__xludf.DUMMYFUNCTION("""COMPUTED_VALUE"""),"Soumaila Samake")</f>
        <v>Soumaila Samake</v>
      </c>
      <c r="E1685" s="4"/>
      <c r="F1685" s="4">
        <f>IFERROR(__xludf.DUMMYFUNCTION("""COMPUTED_VALUE"""),2.0)</f>
        <v>2</v>
      </c>
      <c r="G1685" s="4">
        <f>IFERROR(__xludf.DUMMYFUNCTION("""COMPUTED_VALUE"""),47.0)</f>
        <v>47</v>
      </c>
      <c r="H1685" s="4">
        <f>IFERROR(__xludf.DUMMYFUNCTION("""COMPUTED_VALUE"""),303.0)</f>
        <v>303</v>
      </c>
      <c r="I1685" s="4">
        <f>IFERROR(__xludf.DUMMYFUNCTION("""COMPUTED_VALUE"""),68.0)</f>
        <v>68</v>
      </c>
      <c r="J1685" s="4">
        <f>IFERROR(__xludf.DUMMYFUNCTION("""COMPUTED_VALUE"""),76.0)</f>
        <v>76</v>
      </c>
      <c r="K1685" s="4">
        <f>IFERROR(__xludf.DUMMYFUNCTION("""COMPUTED_VALUE"""),5.0)</f>
        <v>5</v>
      </c>
      <c r="L1685" s="4">
        <f>IFERROR(__xludf.DUMMYFUNCTION("""COMPUTED_VALUE"""),0.389)</f>
        <v>0.389</v>
      </c>
      <c r="M1685" s="4"/>
      <c r="N1685" s="4">
        <f>IFERROR(__xludf.DUMMYFUNCTION("""COMPUTED_VALUE"""),0.462)</f>
        <v>0.462</v>
      </c>
      <c r="O1685" s="4">
        <f>IFERROR(__xludf.DUMMYFUNCTION("""COMPUTED_VALUE"""),6.4)</f>
        <v>6.4</v>
      </c>
      <c r="P1685" s="4">
        <f>IFERROR(__xludf.DUMMYFUNCTION("""COMPUTED_VALUE"""),1.4)</f>
        <v>1.4</v>
      </c>
      <c r="Q1685" s="4">
        <f>IFERROR(__xludf.DUMMYFUNCTION("""COMPUTED_VALUE"""),1.6)</f>
        <v>1.6</v>
      </c>
      <c r="R1685" s="4">
        <f>IFERROR(__xludf.DUMMYFUNCTION("""COMPUTED_VALUE"""),0.1)</f>
        <v>0.1</v>
      </c>
      <c r="S1685" s="4">
        <f>IFERROR(__xludf.DUMMYFUNCTION("""COMPUTED_VALUE"""),0.3)</f>
        <v>0.3</v>
      </c>
      <c r="T1685" s="4">
        <f>IFERROR(__xludf.DUMMYFUNCTION("""COMPUTED_VALUE"""),0.046)</f>
        <v>0.046</v>
      </c>
      <c r="U1685" s="4">
        <f>IFERROR(__xludf.DUMMYFUNCTION("""COMPUTED_VALUE"""),-3.7)</f>
        <v>-3.7</v>
      </c>
      <c r="V1685" s="4">
        <f>IFERROR(__xludf.DUMMYFUNCTION("""COMPUTED_VALUE"""),-0.1)</f>
        <v>-0.1</v>
      </c>
    </row>
    <row r="1686">
      <c r="A1686" s="4">
        <f>IFERROR(__xludf.DUMMYFUNCTION("""COMPUTED_VALUE"""),37.0)</f>
        <v>37</v>
      </c>
      <c r="B1686" s="4">
        <f>IFERROR(__xludf.DUMMYFUNCTION("""COMPUTED_VALUE"""),37.0)</f>
        <v>37</v>
      </c>
      <c r="C1686" s="4" t="str">
        <f>IFERROR(__xludf.DUMMYFUNCTION("""COMPUTED_VALUE"""),"MIA")</f>
        <v>MIA</v>
      </c>
      <c r="D1686" s="4" t="str">
        <f>IFERROR(__xludf.DUMMYFUNCTION("""COMPUTED_VALUE"""),"Eddie House")</f>
        <v>Eddie House</v>
      </c>
      <c r="E1686" s="4" t="str">
        <f>IFERROR(__xludf.DUMMYFUNCTION("""COMPUTED_VALUE"""),"Arizona State")</f>
        <v>Arizona State</v>
      </c>
      <c r="F1686" s="4">
        <f>IFERROR(__xludf.DUMMYFUNCTION("""COMPUTED_VALUE"""),11.0)</f>
        <v>11</v>
      </c>
      <c r="G1686" s="4">
        <f>IFERROR(__xludf.DUMMYFUNCTION("""COMPUTED_VALUE"""),717.0)</f>
        <v>717</v>
      </c>
      <c r="H1686" s="4">
        <f>IFERROR(__xludf.DUMMYFUNCTION("""COMPUTED_VALUE"""),12405.0)</f>
        <v>12405</v>
      </c>
      <c r="I1686" s="4">
        <f>IFERROR(__xludf.DUMMYFUNCTION("""COMPUTED_VALUE"""),5356.0)</f>
        <v>5356</v>
      </c>
      <c r="J1686" s="4">
        <f>IFERROR(__xludf.DUMMYFUNCTION("""COMPUTED_VALUE"""),1223.0)</f>
        <v>1223</v>
      </c>
      <c r="K1686" s="4">
        <f>IFERROR(__xludf.DUMMYFUNCTION("""COMPUTED_VALUE"""),1112.0)</f>
        <v>1112</v>
      </c>
      <c r="L1686" s="4">
        <f>IFERROR(__xludf.DUMMYFUNCTION("""COMPUTED_VALUE"""),0.409)</f>
        <v>0.409</v>
      </c>
      <c r="M1686" s="4">
        <f>IFERROR(__xludf.DUMMYFUNCTION("""COMPUTED_VALUE"""),0.39)</f>
        <v>0.39</v>
      </c>
      <c r="N1686" s="4">
        <f>IFERROR(__xludf.DUMMYFUNCTION("""COMPUTED_VALUE"""),0.851)</f>
        <v>0.851</v>
      </c>
      <c r="O1686" s="4">
        <f>IFERROR(__xludf.DUMMYFUNCTION("""COMPUTED_VALUE"""),17.3)</f>
        <v>17.3</v>
      </c>
      <c r="P1686" s="4">
        <f>IFERROR(__xludf.DUMMYFUNCTION("""COMPUTED_VALUE"""),7.5)</f>
        <v>7.5</v>
      </c>
      <c r="Q1686" s="4">
        <f>IFERROR(__xludf.DUMMYFUNCTION("""COMPUTED_VALUE"""),1.7)</f>
        <v>1.7</v>
      </c>
      <c r="R1686" s="4">
        <f>IFERROR(__xludf.DUMMYFUNCTION("""COMPUTED_VALUE"""),1.6)</f>
        <v>1.6</v>
      </c>
      <c r="S1686" s="4">
        <f>IFERROR(__xludf.DUMMYFUNCTION("""COMPUTED_VALUE"""),20.0)</f>
        <v>20</v>
      </c>
      <c r="T1686" s="4">
        <f>IFERROR(__xludf.DUMMYFUNCTION("""COMPUTED_VALUE"""),0.077)</f>
        <v>0.077</v>
      </c>
      <c r="U1686" s="4">
        <f>IFERROR(__xludf.DUMMYFUNCTION("""COMPUTED_VALUE"""),0.0)</f>
        <v>0</v>
      </c>
      <c r="V1686" s="4">
        <f>IFERROR(__xludf.DUMMYFUNCTION("""COMPUTED_VALUE"""),6.1)</f>
        <v>6.1</v>
      </c>
    </row>
    <row r="1687">
      <c r="A1687" s="4">
        <f>IFERROR(__xludf.DUMMYFUNCTION("""COMPUTED_VALUE"""),38.0)</f>
        <v>38</v>
      </c>
      <c r="B1687" s="4">
        <f>IFERROR(__xludf.DUMMYFUNCTION("""COMPUTED_VALUE"""),38.0)</f>
        <v>38</v>
      </c>
      <c r="C1687" s="4" t="str">
        <f>IFERROR(__xludf.DUMMYFUNCTION("""COMPUTED_VALUE"""),"HOU")</f>
        <v>HOU</v>
      </c>
      <c r="D1687" s="4" t="str">
        <f>IFERROR(__xludf.DUMMYFUNCTION("""COMPUTED_VALUE"""),"Eduardo Nájera")</f>
        <v>Eduardo Nájera</v>
      </c>
      <c r="E1687" s="4" t="str">
        <f>IFERROR(__xludf.DUMMYFUNCTION("""COMPUTED_VALUE"""),"Oklahoma")</f>
        <v>Oklahoma</v>
      </c>
      <c r="F1687" s="4">
        <f>IFERROR(__xludf.DUMMYFUNCTION("""COMPUTED_VALUE"""),12.0)</f>
        <v>12</v>
      </c>
      <c r="G1687" s="4">
        <f>IFERROR(__xludf.DUMMYFUNCTION("""COMPUTED_VALUE"""),619.0)</f>
        <v>619</v>
      </c>
      <c r="H1687" s="4">
        <f>IFERROR(__xludf.DUMMYFUNCTION("""COMPUTED_VALUE"""),11213.0)</f>
        <v>11213</v>
      </c>
      <c r="I1687" s="4">
        <f>IFERROR(__xludf.DUMMYFUNCTION("""COMPUTED_VALUE"""),3052.0)</f>
        <v>3052</v>
      </c>
      <c r="J1687" s="4">
        <f>IFERROR(__xludf.DUMMYFUNCTION("""COMPUTED_VALUE"""),2307.0)</f>
        <v>2307</v>
      </c>
      <c r="K1687" s="4">
        <f>IFERROR(__xludf.DUMMYFUNCTION("""COMPUTED_VALUE"""),493.0)</f>
        <v>493</v>
      </c>
      <c r="L1687" s="4">
        <f>IFERROR(__xludf.DUMMYFUNCTION("""COMPUTED_VALUE"""),0.481)</f>
        <v>0.481</v>
      </c>
      <c r="M1687" s="4">
        <f>IFERROR(__xludf.DUMMYFUNCTION("""COMPUTED_VALUE"""),0.311)</f>
        <v>0.311</v>
      </c>
      <c r="N1687" s="4">
        <f>IFERROR(__xludf.DUMMYFUNCTION("""COMPUTED_VALUE"""),0.671)</f>
        <v>0.671</v>
      </c>
      <c r="O1687" s="4">
        <f>IFERROR(__xludf.DUMMYFUNCTION("""COMPUTED_VALUE"""),18.1)</f>
        <v>18.1</v>
      </c>
      <c r="P1687" s="4">
        <f>IFERROR(__xludf.DUMMYFUNCTION("""COMPUTED_VALUE"""),4.9)</f>
        <v>4.9</v>
      </c>
      <c r="Q1687" s="4">
        <f>IFERROR(__xludf.DUMMYFUNCTION("""COMPUTED_VALUE"""),3.7)</f>
        <v>3.7</v>
      </c>
      <c r="R1687" s="4">
        <f>IFERROR(__xludf.DUMMYFUNCTION("""COMPUTED_VALUE"""),0.8)</f>
        <v>0.8</v>
      </c>
      <c r="S1687" s="4">
        <f>IFERROR(__xludf.DUMMYFUNCTION("""COMPUTED_VALUE"""),24.7)</f>
        <v>24.7</v>
      </c>
      <c r="T1687" s="4">
        <f>IFERROR(__xludf.DUMMYFUNCTION("""COMPUTED_VALUE"""),0.106)</f>
        <v>0.106</v>
      </c>
      <c r="U1687" s="4">
        <f>IFERROR(__xludf.DUMMYFUNCTION("""COMPUTED_VALUE"""),-0.9)</f>
        <v>-0.9</v>
      </c>
      <c r="V1687" s="4">
        <f>IFERROR(__xludf.DUMMYFUNCTION("""COMPUTED_VALUE"""),3.0)</f>
        <v>3</v>
      </c>
    </row>
    <row r="1688">
      <c r="A1688" s="4">
        <f>IFERROR(__xludf.DUMMYFUNCTION("""COMPUTED_VALUE"""),39.0)</f>
        <v>39</v>
      </c>
      <c r="B1688" s="4">
        <f>IFERROR(__xludf.DUMMYFUNCTION("""COMPUTED_VALUE"""),39.0)</f>
        <v>39</v>
      </c>
      <c r="C1688" s="4" t="str">
        <f>IFERROR(__xludf.DUMMYFUNCTION("""COMPUTED_VALUE"""),"NYK")</f>
        <v>NYK</v>
      </c>
      <c r="D1688" s="4" t="str">
        <f>IFERROR(__xludf.DUMMYFUNCTION("""COMPUTED_VALUE"""),"Lavor Postell")</f>
        <v>Lavor Postell</v>
      </c>
      <c r="E1688" s="4" t="str">
        <f>IFERROR(__xludf.DUMMYFUNCTION("""COMPUTED_VALUE"""),"St. John's")</f>
        <v>St. John's</v>
      </c>
      <c r="F1688" s="4">
        <f>IFERROR(__xludf.DUMMYFUNCTION("""COMPUTED_VALUE"""),3.0)</f>
        <v>3</v>
      </c>
      <c r="G1688" s="4">
        <f>IFERROR(__xludf.DUMMYFUNCTION("""COMPUTED_VALUE"""),61.0)</f>
        <v>61</v>
      </c>
      <c r="H1688" s="4">
        <f>IFERROR(__xludf.DUMMYFUNCTION("""COMPUTED_VALUE"""),446.0)</f>
        <v>446</v>
      </c>
      <c r="I1688" s="4">
        <f>IFERROR(__xludf.DUMMYFUNCTION("""COMPUTED_VALUE"""),195.0)</f>
        <v>195</v>
      </c>
      <c r="J1688" s="4">
        <f>IFERROR(__xludf.DUMMYFUNCTION("""COMPUTED_VALUE"""),45.0)</f>
        <v>45</v>
      </c>
      <c r="K1688" s="4">
        <f>IFERROR(__xludf.DUMMYFUNCTION("""COMPUTED_VALUE"""),13.0)</f>
        <v>13</v>
      </c>
      <c r="L1688" s="4">
        <f>IFERROR(__xludf.DUMMYFUNCTION("""COMPUTED_VALUE"""),0.335)</f>
        <v>0.335</v>
      </c>
      <c r="M1688" s="4">
        <f>IFERROR(__xludf.DUMMYFUNCTION("""COMPUTED_VALUE"""),0.25)</f>
        <v>0.25</v>
      </c>
      <c r="N1688" s="4">
        <f>IFERROR(__xludf.DUMMYFUNCTION("""COMPUTED_VALUE"""),0.795)</f>
        <v>0.795</v>
      </c>
      <c r="O1688" s="4">
        <f>IFERROR(__xludf.DUMMYFUNCTION("""COMPUTED_VALUE"""),7.3)</f>
        <v>7.3</v>
      </c>
      <c r="P1688" s="4">
        <f>IFERROR(__xludf.DUMMYFUNCTION("""COMPUTED_VALUE"""),3.2)</f>
        <v>3.2</v>
      </c>
      <c r="Q1688" s="4">
        <f>IFERROR(__xludf.DUMMYFUNCTION("""COMPUTED_VALUE"""),0.7)</f>
        <v>0.7</v>
      </c>
      <c r="R1688" s="4">
        <f>IFERROR(__xludf.DUMMYFUNCTION("""COMPUTED_VALUE"""),0.2)</f>
        <v>0.2</v>
      </c>
      <c r="S1688" s="4">
        <f>IFERROR(__xludf.DUMMYFUNCTION("""COMPUTED_VALUE"""),-0.2)</f>
        <v>-0.2</v>
      </c>
      <c r="T1688" s="4">
        <f>IFERROR(__xludf.DUMMYFUNCTION("""COMPUTED_VALUE"""),-0.025)</f>
        <v>-0.025</v>
      </c>
      <c r="U1688" s="4">
        <f>IFERROR(__xludf.DUMMYFUNCTION("""COMPUTED_VALUE"""),-5.0)</f>
        <v>-5</v>
      </c>
      <c r="V1688" s="4">
        <f>IFERROR(__xludf.DUMMYFUNCTION("""COMPUTED_VALUE"""),-0.3)</f>
        <v>-0.3</v>
      </c>
    </row>
    <row r="1689">
      <c r="A1689" s="4">
        <f>IFERROR(__xludf.DUMMYFUNCTION("""COMPUTED_VALUE"""),40.0)</f>
        <v>40</v>
      </c>
      <c r="B1689" s="4">
        <f>IFERROR(__xludf.DUMMYFUNCTION("""COMPUTED_VALUE"""),40.0)</f>
        <v>40</v>
      </c>
      <c r="C1689" s="4" t="str">
        <f>IFERROR(__xludf.DUMMYFUNCTION("""COMPUTED_VALUE"""),"ATL")</f>
        <v>ATL</v>
      </c>
      <c r="D1689" s="4" t="str">
        <f>IFERROR(__xludf.DUMMYFUNCTION("""COMPUTED_VALUE"""),"Hanno Möttölä")</f>
        <v>Hanno Möttölä</v>
      </c>
      <c r="E1689" s="4" t="str">
        <f>IFERROR(__xludf.DUMMYFUNCTION("""COMPUTED_VALUE"""),"Utah")</f>
        <v>Utah</v>
      </c>
      <c r="F1689" s="4">
        <f>IFERROR(__xludf.DUMMYFUNCTION("""COMPUTED_VALUE"""),2.0)</f>
        <v>2</v>
      </c>
      <c r="G1689" s="4">
        <f>IFERROR(__xludf.DUMMYFUNCTION("""COMPUTED_VALUE"""),155.0)</f>
        <v>155</v>
      </c>
      <c r="H1689" s="4">
        <f>IFERROR(__xludf.DUMMYFUNCTION("""COMPUTED_VALUE"""),2360.0)</f>
        <v>2360</v>
      </c>
      <c r="I1689" s="4">
        <f>IFERROR(__xludf.DUMMYFUNCTION("""COMPUTED_VALUE"""),715.0)</f>
        <v>715</v>
      </c>
      <c r="J1689" s="4">
        <f>IFERROR(__xludf.DUMMYFUNCTION("""COMPUTED_VALUE"""),442.0)</f>
        <v>442</v>
      </c>
      <c r="K1689" s="4">
        <f>IFERROR(__xludf.DUMMYFUNCTION("""COMPUTED_VALUE"""),75.0)</f>
        <v>75</v>
      </c>
      <c r="L1689" s="4">
        <f>IFERROR(__xludf.DUMMYFUNCTION("""COMPUTED_VALUE"""),0.442)</f>
        <v>0.442</v>
      </c>
      <c r="M1689" s="4">
        <f>IFERROR(__xludf.DUMMYFUNCTION("""COMPUTED_VALUE"""),0.063)</f>
        <v>0.063</v>
      </c>
      <c r="N1689" s="4">
        <f>IFERROR(__xludf.DUMMYFUNCTION("""COMPUTED_VALUE"""),0.783)</f>
        <v>0.783</v>
      </c>
      <c r="O1689" s="4">
        <f>IFERROR(__xludf.DUMMYFUNCTION("""COMPUTED_VALUE"""),15.2)</f>
        <v>15.2</v>
      </c>
      <c r="P1689" s="4">
        <f>IFERROR(__xludf.DUMMYFUNCTION("""COMPUTED_VALUE"""),4.6)</f>
        <v>4.6</v>
      </c>
      <c r="Q1689" s="4">
        <f>IFERROR(__xludf.DUMMYFUNCTION("""COMPUTED_VALUE"""),2.9)</f>
        <v>2.9</v>
      </c>
      <c r="R1689" s="4">
        <f>IFERROR(__xludf.DUMMYFUNCTION("""COMPUTED_VALUE"""),0.5)</f>
        <v>0.5</v>
      </c>
      <c r="S1689" s="4">
        <f>IFERROR(__xludf.DUMMYFUNCTION("""COMPUTED_VALUE"""),0.9)</f>
        <v>0.9</v>
      </c>
      <c r="T1689" s="4">
        <f>IFERROR(__xludf.DUMMYFUNCTION("""COMPUTED_VALUE"""),0.019)</f>
        <v>0.019</v>
      </c>
      <c r="U1689" s="4">
        <f>IFERROR(__xludf.DUMMYFUNCTION("""COMPUTED_VALUE"""),-5.9)</f>
        <v>-5.9</v>
      </c>
      <c r="V1689" s="4">
        <f>IFERROR(__xludf.DUMMYFUNCTION("""COMPUTED_VALUE"""),-2.3)</f>
        <v>-2.3</v>
      </c>
    </row>
    <row r="1690">
      <c r="A1690" s="4">
        <f>IFERROR(__xludf.DUMMYFUNCTION("""COMPUTED_VALUE"""),41.0)</f>
        <v>41</v>
      </c>
      <c r="B1690" s="4">
        <f>IFERROR(__xludf.DUMMYFUNCTION("""COMPUTED_VALUE"""),41.0)</f>
        <v>41</v>
      </c>
      <c r="C1690" s="4" t="str">
        <f>IFERROR(__xludf.DUMMYFUNCTION("""COMPUTED_VALUE"""),"SAS")</f>
        <v>SAS</v>
      </c>
      <c r="D1690" s="4" t="str">
        <f>IFERROR(__xludf.DUMMYFUNCTION("""COMPUTED_VALUE"""),"Chris Carrawell")</f>
        <v>Chris Carrawell</v>
      </c>
      <c r="E1690" s="4" t="str">
        <f>IFERROR(__xludf.DUMMYFUNCTION("""COMPUTED_VALUE"""),"Duke")</f>
        <v>Duke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</row>
    <row r="1691">
      <c r="A1691" s="4">
        <f>IFERROR(__xludf.DUMMYFUNCTION("""COMPUTED_VALUE"""),42.0)</f>
        <v>42</v>
      </c>
      <c r="B1691" s="4">
        <f>IFERROR(__xludf.DUMMYFUNCTION("""COMPUTED_VALUE"""),42.0)</f>
        <v>42</v>
      </c>
      <c r="C1691" s="4" t="str">
        <f>IFERROR(__xludf.DUMMYFUNCTION("""COMPUTED_VALUE"""),"SEA")</f>
        <v>SEA</v>
      </c>
      <c r="D1691" s="4" t="str">
        <f>IFERROR(__xludf.DUMMYFUNCTION("""COMPUTED_VALUE"""),"Olumide Oyedeji")</f>
        <v>Olumide Oyedeji</v>
      </c>
      <c r="E1691" s="4"/>
      <c r="F1691" s="4">
        <f>IFERROR(__xludf.DUMMYFUNCTION("""COMPUTED_VALUE"""),3.0)</f>
        <v>3</v>
      </c>
      <c r="G1691" s="4">
        <f>IFERROR(__xludf.DUMMYFUNCTION("""COMPUTED_VALUE"""),93.0)</f>
        <v>93</v>
      </c>
      <c r="H1691" s="4">
        <f>IFERROR(__xludf.DUMMYFUNCTION("""COMPUTED_VALUE"""),587.0)</f>
        <v>587</v>
      </c>
      <c r="I1691" s="4">
        <f>IFERROR(__xludf.DUMMYFUNCTION("""COMPUTED_VALUE"""),127.0)</f>
        <v>127</v>
      </c>
      <c r="J1691" s="4">
        <f>IFERROR(__xludf.DUMMYFUNCTION("""COMPUTED_VALUE"""),196.0)</f>
        <v>196</v>
      </c>
      <c r="K1691" s="4">
        <f>IFERROR(__xludf.DUMMYFUNCTION("""COMPUTED_VALUE"""),11.0)</f>
        <v>11</v>
      </c>
      <c r="L1691" s="4">
        <f>IFERROR(__xludf.DUMMYFUNCTION("""COMPUTED_VALUE"""),0.495)</f>
        <v>0.495</v>
      </c>
      <c r="M1691" s="4"/>
      <c r="N1691" s="4">
        <f>IFERROR(__xludf.DUMMYFUNCTION("""COMPUTED_VALUE"""),0.659)</f>
        <v>0.659</v>
      </c>
      <c r="O1691" s="4">
        <f>IFERROR(__xludf.DUMMYFUNCTION("""COMPUTED_VALUE"""),6.3)</f>
        <v>6.3</v>
      </c>
      <c r="P1691" s="4">
        <f>IFERROR(__xludf.DUMMYFUNCTION("""COMPUTED_VALUE"""),1.4)</f>
        <v>1.4</v>
      </c>
      <c r="Q1691" s="4">
        <f>IFERROR(__xludf.DUMMYFUNCTION("""COMPUTED_VALUE"""),2.1)</f>
        <v>2.1</v>
      </c>
      <c r="R1691" s="4">
        <f>IFERROR(__xludf.DUMMYFUNCTION("""COMPUTED_VALUE"""),0.1)</f>
        <v>0.1</v>
      </c>
      <c r="S1691" s="4">
        <f>IFERROR(__xludf.DUMMYFUNCTION("""COMPUTED_VALUE"""),1.2)</f>
        <v>1.2</v>
      </c>
      <c r="T1691" s="4">
        <f>IFERROR(__xludf.DUMMYFUNCTION("""COMPUTED_VALUE"""),0.095)</f>
        <v>0.095</v>
      </c>
      <c r="U1691" s="4">
        <f>IFERROR(__xludf.DUMMYFUNCTION("""COMPUTED_VALUE"""),-4.3)</f>
        <v>-4.3</v>
      </c>
      <c r="V1691" s="4">
        <f>IFERROR(__xludf.DUMMYFUNCTION("""COMPUTED_VALUE"""),-0.3)</f>
        <v>-0.3</v>
      </c>
    </row>
    <row r="1692">
      <c r="A1692" s="4">
        <f>IFERROR(__xludf.DUMMYFUNCTION("""COMPUTED_VALUE"""),43.0)</f>
        <v>43</v>
      </c>
      <c r="B1692" s="4">
        <f>IFERROR(__xludf.DUMMYFUNCTION("""COMPUTED_VALUE"""),43.0)</f>
        <v>43</v>
      </c>
      <c r="C1692" s="4" t="str">
        <f>IFERROR(__xludf.DUMMYFUNCTION("""COMPUTED_VALUE"""),"MIL")</f>
        <v>MIL</v>
      </c>
      <c r="D1692" s="4" t="str">
        <f>IFERROR(__xludf.DUMMYFUNCTION("""COMPUTED_VALUE"""),"Michael Redd")</f>
        <v>Michael Redd</v>
      </c>
      <c r="E1692" s="4" t="str">
        <f>IFERROR(__xludf.DUMMYFUNCTION("""COMPUTED_VALUE"""),"Ohio State")</f>
        <v>Ohio State</v>
      </c>
      <c r="F1692" s="4">
        <f>IFERROR(__xludf.DUMMYFUNCTION("""COMPUTED_VALUE"""),12.0)</f>
        <v>12</v>
      </c>
      <c r="G1692" s="4">
        <f>IFERROR(__xludf.DUMMYFUNCTION("""COMPUTED_VALUE"""),629.0)</f>
        <v>629</v>
      </c>
      <c r="H1692" s="4">
        <f>IFERROR(__xludf.DUMMYFUNCTION("""COMPUTED_VALUE"""),20104.0)</f>
        <v>20104</v>
      </c>
      <c r="I1692" s="4">
        <f>IFERROR(__xludf.DUMMYFUNCTION("""COMPUTED_VALUE"""),11972.0)</f>
        <v>11972</v>
      </c>
      <c r="J1692" s="4">
        <f>IFERROR(__xludf.DUMMYFUNCTION("""COMPUTED_VALUE"""),2411.0)</f>
        <v>2411</v>
      </c>
      <c r="K1692" s="4">
        <f>IFERROR(__xludf.DUMMYFUNCTION("""COMPUTED_VALUE"""),1338.0)</f>
        <v>1338</v>
      </c>
      <c r="L1692" s="4">
        <f>IFERROR(__xludf.DUMMYFUNCTION("""COMPUTED_VALUE"""),0.447)</f>
        <v>0.447</v>
      </c>
      <c r="M1692" s="4">
        <f>IFERROR(__xludf.DUMMYFUNCTION("""COMPUTED_VALUE"""),0.38)</f>
        <v>0.38</v>
      </c>
      <c r="N1692" s="4">
        <f>IFERROR(__xludf.DUMMYFUNCTION("""COMPUTED_VALUE"""),0.838)</f>
        <v>0.838</v>
      </c>
      <c r="O1692" s="4">
        <f>IFERROR(__xludf.DUMMYFUNCTION("""COMPUTED_VALUE"""),32.0)</f>
        <v>32</v>
      </c>
      <c r="P1692" s="4">
        <f>IFERROR(__xludf.DUMMYFUNCTION("""COMPUTED_VALUE"""),19.0)</f>
        <v>19</v>
      </c>
      <c r="Q1692" s="4">
        <f>IFERROR(__xludf.DUMMYFUNCTION("""COMPUTED_VALUE"""),3.8)</f>
        <v>3.8</v>
      </c>
      <c r="R1692" s="4">
        <f>IFERROR(__xludf.DUMMYFUNCTION("""COMPUTED_VALUE"""),2.1)</f>
        <v>2.1</v>
      </c>
      <c r="S1692" s="4">
        <f>IFERROR(__xludf.DUMMYFUNCTION("""COMPUTED_VALUE"""),55.9)</f>
        <v>55.9</v>
      </c>
      <c r="T1692" s="4">
        <f>IFERROR(__xludf.DUMMYFUNCTION("""COMPUTED_VALUE"""),0.134)</f>
        <v>0.134</v>
      </c>
      <c r="U1692" s="4">
        <f>IFERROR(__xludf.DUMMYFUNCTION("""COMPUTED_VALUE"""),2.2)</f>
        <v>2.2</v>
      </c>
      <c r="V1692" s="4">
        <f>IFERROR(__xludf.DUMMYFUNCTION("""COMPUTED_VALUE"""),21.4)</f>
        <v>21.4</v>
      </c>
    </row>
    <row r="1693">
      <c r="A1693" s="4">
        <f>IFERROR(__xludf.DUMMYFUNCTION("""COMPUTED_VALUE"""),44.0)</f>
        <v>44</v>
      </c>
      <c r="B1693" s="4">
        <f>IFERROR(__xludf.DUMMYFUNCTION("""COMPUTED_VALUE"""),44.0)</f>
        <v>44</v>
      </c>
      <c r="C1693" s="4" t="str">
        <f>IFERROR(__xludf.DUMMYFUNCTION("""COMPUTED_VALUE"""),"DET")</f>
        <v>DET</v>
      </c>
      <c r="D1693" s="4" t="str">
        <f>IFERROR(__xludf.DUMMYFUNCTION("""COMPUTED_VALUE"""),"Brian Cardinal")</f>
        <v>Brian Cardinal</v>
      </c>
      <c r="E1693" s="4" t="str">
        <f>IFERROR(__xludf.DUMMYFUNCTION("""COMPUTED_VALUE"""),"Purdue")</f>
        <v>Purdue</v>
      </c>
      <c r="F1693" s="4">
        <f>IFERROR(__xludf.DUMMYFUNCTION("""COMPUTED_VALUE"""),12.0)</f>
        <v>12</v>
      </c>
      <c r="G1693" s="4">
        <f>IFERROR(__xludf.DUMMYFUNCTION("""COMPUTED_VALUE"""),456.0)</f>
        <v>456</v>
      </c>
      <c r="H1693" s="4">
        <f>IFERROR(__xludf.DUMMYFUNCTION("""COMPUTED_VALUE"""),6477.0)</f>
        <v>6477</v>
      </c>
      <c r="I1693" s="4">
        <f>IFERROR(__xludf.DUMMYFUNCTION("""COMPUTED_VALUE"""),2108.0)</f>
        <v>2108</v>
      </c>
      <c r="J1693" s="4">
        <f>IFERROR(__xludf.DUMMYFUNCTION("""COMPUTED_VALUE"""),1050.0)</f>
        <v>1050</v>
      </c>
      <c r="K1693" s="4">
        <f>IFERROR(__xludf.DUMMYFUNCTION("""COMPUTED_VALUE"""),465.0)</f>
        <v>465</v>
      </c>
      <c r="L1693" s="4">
        <f>IFERROR(__xludf.DUMMYFUNCTION("""COMPUTED_VALUE"""),0.408)</f>
        <v>0.408</v>
      </c>
      <c r="M1693" s="4">
        <f>IFERROR(__xludf.DUMMYFUNCTION("""COMPUTED_VALUE"""),0.372)</f>
        <v>0.372</v>
      </c>
      <c r="N1693" s="4">
        <f>IFERROR(__xludf.DUMMYFUNCTION("""COMPUTED_VALUE"""),0.861)</f>
        <v>0.861</v>
      </c>
      <c r="O1693" s="4">
        <f>IFERROR(__xludf.DUMMYFUNCTION("""COMPUTED_VALUE"""),14.2)</f>
        <v>14.2</v>
      </c>
      <c r="P1693" s="4">
        <f>IFERROR(__xludf.DUMMYFUNCTION("""COMPUTED_VALUE"""),4.6)</f>
        <v>4.6</v>
      </c>
      <c r="Q1693" s="4">
        <f>IFERROR(__xludf.DUMMYFUNCTION("""COMPUTED_VALUE"""),2.3)</f>
        <v>2.3</v>
      </c>
      <c r="R1693" s="4">
        <f>IFERROR(__xludf.DUMMYFUNCTION("""COMPUTED_VALUE"""),1.0)</f>
        <v>1</v>
      </c>
      <c r="S1693" s="4">
        <f>IFERROR(__xludf.DUMMYFUNCTION("""COMPUTED_VALUE"""),15.4)</f>
        <v>15.4</v>
      </c>
      <c r="T1693" s="4">
        <f>IFERROR(__xludf.DUMMYFUNCTION("""COMPUTED_VALUE"""),0.114)</f>
        <v>0.114</v>
      </c>
      <c r="U1693" s="4">
        <f>IFERROR(__xludf.DUMMYFUNCTION("""COMPUTED_VALUE"""),-0.1)</f>
        <v>-0.1</v>
      </c>
      <c r="V1693" s="4">
        <f>IFERROR(__xludf.DUMMYFUNCTION("""COMPUTED_VALUE"""),3.2)</f>
        <v>3.2</v>
      </c>
    </row>
    <row r="1694">
      <c r="A1694" s="4">
        <f>IFERROR(__xludf.DUMMYFUNCTION("""COMPUTED_VALUE"""),45.0)</f>
        <v>45</v>
      </c>
      <c r="B1694" s="4">
        <f>IFERROR(__xludf.DUMMYFUNCTION("""COMPUTED_VALUE"""),45.0)</f>
        <v>45</v>
      </c>
      <c r="C1694" s="4" t="str">
        <f>IFERROR(__xludf.DUMMYFUNCTION("""COMPUTED_VALUE"""),"SAC")</f>
        <v>SAC</v>
      </c>
      <c r="D1694" s="4" t="str">
        <f>IFERROR(__xludf.DUMMYFUNCTION("""COMPUTED_VALUE"""),"Jabari Smith")</f>
        <v>Jabari Smith</v>
      </c>
      <c r="E1694" s="4" t="str">
        <f>IFERROR(__xludf.DUMMYFUNCTION("""COMPUTED_VALUE"""),"LSU")</f>
        <v>LSU</v>
      </c>
      <c r="F1694" s="4">
        <f>IFERROR(__xludf.DUMMYFUNCTION("""COMPUTED_VALUE"""),4.0)</f>
        <v>4</v>
      </c>
      <c r="G1694" s="4">
        <f>IFERROR(__xludf.DUMMYFUNCTION("""COMPUTED_VALUE"""),108.0)</f>
        <v>108</v>
      </c>
      <c r="H1694" s="4">
        <f>IFERROR(__xludf.DUMMYFUNCTION("""COMPUTED_VALUE"""),1063.0)</f>
        <v>1063</v>
      </c>
      <c r="I1694" s="4">
        <f>IFERROR(__xludf.DUMMYFUNCTION("""COMPUTED_VALUE"""),329.0)</f>
        <v>329</v>
      </c>
      <c r="J1694" s="4">
        <f>IFERROR(__xludf.DUMMYFUNCTION("""COMPUTED_VALUE"""),178.0)</f>
        <v>178</v>
      </c>
      <c r="K1694" s="4">
        <f>IFERROR(__xludf.DUMMYFUNCTION("""COMPUTED_VALUE"""),66.0)</f>
        <v>66</v>
      </c>
      <c r="L1694" s="4">
        <f>IFERROR(__xludf.DUMMYFUNCTION("""COMPUTED_VALUE"""),0.413)</f>
        <v>0.413</v>
      </c>
      <c r="M1694" s="4">
        <f>IFERROR(__xludf.DUMMYFUNCTION("""COMPUTED_VALUE"""),0.125)</f>
        <v>0.125</v>
      </c>
      <c r="N1694" s="4">
        <f>IFERROR(__xludf.DUMMYFUNCTION("""COMPUTED_VALUE"""),0.69)</f>
        <v>0.69</v>
      </c>
      <c r="O1694" s="4">
        <f>IFERROR(__xludf.DUMMYFUNCTION("""COMPUTED_VALUE"""),9.8)</f>
        <v>9.8</v>
      </c>
      <c r="P1694" s="4">
        <f>IFERROR(__xludf.DUMMYFUNCTION("""COMPUTED_VALUE"""),3.0)</f>
        <v>3</v>
      </c>
      <c r="Q1694" s="4">
        <f>IFERROR(__xludf.DUMMYFUNCTION("""COMPUTED_VALUE"""),1.6)</f>
        <v>1.6</v>
      </c>
      <c r="R1694" s="4">
        <f>IFERROR(__xludf.DUMMYFUNCTION("""COMPUTED_VALUE"""),0.6)</f>
        <v>0.6</v>
      </c>
      <c r="S1694" s="4">
        <f>IFERROR(__xludf.DUMMYFUNCTION("""COMPUTED_VALUE"""),1.3)</f>
        <v>1.3</v>
      </c>
      <c r="T1694" s="4">
        <f>IFERROR(__xludf.DUMMYFUNCTION("""COMPUTED_VALUE"""),0.058)</f>
        <v>0.058</v>
      </c>
      <c r="U1694" s="4">
        <f>IFERROR(__xludf.DUMMYFUNCTION("""COMPUTED_VALUE"""),-4.3)</f>
        <v>-4.3</v>
      </c>
      <c r="V1694" s="4">
        <f>IFERROR(__xludf.DUMMYFUNCTION("""COMPUTED_VALUE"""),-0.6)</f>
        <v>-0.6</v>
      </c>
    </row>
    <row r="1695">
      <c r="A1695" s="4">
        <f>IFERROR(__xludf.DUMMYFUNCTION("""COMPUTED_VALUE"""),46.0)</f>
        <v>46</v>
      </c>
      <c r="B1695" s="4">
        <f>IFERROR(__xludf.DUMMYFUNCTION("""COMPUTED_VALUE"""),46.0)</f>
        <v>46</v>
      </c>
      <c r="C1695" s="4" t="str">
        <f>IFERROR(__xludf.DUMMYFUNCTION("""COMPUTED_VALUE"""),"TOR")</f>
        <v>TOR</v>
      </c>
      <c r="D1695" s="4" t="str">
        <f>IFERROR(__xludf.DUMMYFUNCTION("""COMPUTED_VALUE"""),"DeeAndre Hulett")</f>
        <v>DeeAndre Hulett</v>
      </c>
      <c r="E1695" s="4" t="str">
        <f>IFERROR(__xludf.DUMMYFUNCTION("""COMPUTED_VALUE"""),"College of the Sequoias")</f>
        <v>College of the Sequoias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</row>
    <row r="1696">
      <c r="A1696" s="4">
        <f>IFERROR(__xludf.DUMMYFUNCTION("""COMPUTED_VALUE"""),47.0)</f>
        <v>47</v>
      </c>
      <c r="B1696" s="4">
        <f>IFERROR(__xludf.DUMMYFUNCTION("""COMPUTED_VALUE"""),47.0)</f>
        <v>47</v>
      </c>
      <c r="C1696" s="4" t="str">
        <f>IFERROR(__xludf.DUMMYFUNCTION("""COMPUTED_VALUE"""),"SEA")</f>
        <v>SEA</v>
      </c>
      <c r="D1696" s="4" t="str">
        <f>IFERROR(__xludf.DUMMYFUNCTION("""COMPUTED_VALUE"""),"Josip Sesar")</f>
        <v>Josip Sesar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>
      <c r="A1697" s="4">
        <f>IFERROR(__xludf.DUMMYFUNCTION("""COMPUTED_VALUE"""),48.0)</f>
        <v>48</v>
      </c>
      <c r="B1697" s="4">
        <f>IFERROR(__xludf.DUMMYFUNCTION("""COMPUTED_VALUE"""),48.0)</f>
        <v>48</v>
      </c>
      <c r="C1697" s="4" t="str">
        <f>IFERROR(__xludf.DUMMYFUNCTION("""COMPUTED_VALUE"""),"PHI")</f>
        <v>PHI</v>
      </c>
      <c r="D1697" s="4" t="str">
        <f>IFERROR(__xludf.DUMMYFUNCTION("""COMPUTED_VALUE"""),"Mark Karcher")</f>
        <v>Mark Karcher</v>
      </c>
      <c r="E1697" s="4" t="str">
        <f>IFERROR(__xludf.DUMMYFUNCTION("""COMPUTED_VALUE"""),"Temple")</f>
        <v>Temple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</row>
    <row r="1698">
      <c r="A1698" s="4">
        <f>IFERROR(__xludf.DUMMYFUNCTION("""COMPUTED_VALUE"""),49.0)</f>
        <v>49</v>
      </c>
      <c r="B1698" s="4">
        <f>IFERROR(__xludf.DUMMYFUNCTION("""COMPUTED_VALUE"""),49.0)</f>
        <v>49</v>
      </c>
      <c r="C1698" s="4" t="str">
        <f>IFERROR(__xludf.DUMMYFUNCTION("""COMPUTED_VALUE"""),"MIL")</f>
        <v>MIL</v>
      </c>
      <c r="D1698" s="4" t="str">
        <f>IFERROR(__xludf.DUMMYFUNCTION("""COMPUTED_VALUE"""),"Jason Hart")</f>
        <v>Jason Hart</v>
      </c>
      <c r="E1698" s="4" t="str">
        <f>IFERROR(__xludf.DUMMYFUNCTION("""COMPUTED_VALUE"""),"Syracuse")</f>
        <v>Syracuse</v>
      </c>
      <c r="F1698" s="4">
        <f>IFERROR(__xludf.DUMMYFUNCTION("""COMPUTED_VALUE"""),9.0)</f>
        <v>9</v>
      </c>
      <c r="G1698" s="4">
        <f>IFERROR(__xludf.DUMMYFUNCTION("""COMPUTED_VALUE"""),341.0)</f>
        <v>341</v>
      </c>
      <c r="H1698" s="4">
        <f>IFERROR(__xludf.DUMMYFUNCTION("""COMPUTED_VALUE"""),5289.0)</f>
        <v>5289</v>
      </c>
      <c r="I1698" s="4">
        <f>IFERROR(__xludf.DUMMYFUNCTION("""COMPUTED_VALUE"""),1623.0)</f>
        <v>1623</v>
      </c>
      <c r="J1698" s="4">
        <f>IFERROR(__xludf.DUMMYFUNCTION("""COMPUTED_VALUE"""),567.0)</f>
        <v>567</v>
      </c>
      <c r="K1698" s="4">
        <f>IFERROR(__xludf.DUMMYFUNCTION("""COMPUTED_VALUE"""),774.0)</f>
        <v>774</v>
      </c>
      <c r="L1698" s="4">
        <f>IFERROR(__xludf.DUMMYFUNCTION("""COMPUTED_VALUE"""),0.417)</f>
        <v>0.417</v>
      </c>
      <c r="M1698" s="4">
        <f>IFERROR(__xludf.DUMMYFUNCTION("""COMPUTED_VALUE"""),0.315)</f>
        <v>0.315</v>
      </c>
      <c r="N1698" s="4">
        <f>IFERROR(__xludf.DUMMYFUNCTION("""COMPUTED_VALUE"""),0.788)</f>
        <v>0.788</v>
      </c>
      <c r="O1698" s="4">
        <f>IFERROR(__xludf.DUMMYFUNCTION("""COMPUTED_VALUE"""),15.5)</f>
        <v>15.5</v>
      </c>
      <c r="P1698" s="4">
        <f>IFERROR(__xludf.DUMMYFUNCTION("""COMPUTED_VALUE"""),4.8)</f>
        <v>4.8</v>
      </c>
      <c r="Q1698" s="4">
        <f>IFERROR(__xludf.DUMMYFUNCTION("""COMPUTED_VALUE"""),1.7)</f>
        <v>1.7</v>
      </c>
      <c r="R1698" s="4">
        <f>IFERROR(__xludf.DUMMYFUNCTION("""COMPUTED_VALUE"""),2.3)</f>
        <v>2.3</v>
      </c>
      <c r="S1698" s="4">
        <f>IFERROR(__xludf.DUMMYFUNCTION("""COMPUTED_VALUE"""),8.6)</f>
        <v>8.6</v>
      </c>
      <c r="T1698" s="4">
        <f>IFERROR(__xludf.DUMMYFUNCTION("""COMPUTED_VALUE"""),0.078)</f>
        <v>0.078</v>
      </c>
      <c r="U1698" s="4">
        <f>IFERROR(__xludf.DUMMYFUNCTION("""COMPUTED_VALUE"""),-1.2)</f>
        <v>-1.2</v>
      </c>
      <c r="V1698" s="4">
        <f>IFERROR(__xludf.DUMMYFUNCTION("""COMPUTED_VALUE"""),1.0)</f>
        <v>1</v>
      </c>
    </row>
    <row r="1699">
      <c r="A1699" s="4">
        <f>IFERROR(__xludf.DUMMYFUNCTION("""COMPUTED_VALUE"""),50.0)</f>
        <v>50</v>
      </c>
      <c r="B1699" s="4">
        <f>IFERROR(__xludf.DUMMYFUNCTION("""COMPUTED_VALUE"""),50.0)</f>
        <v>50</v>
      </c>
      <c r="C1699" s="4" t="str">
        <f>IFERROR(__xludf.DUMMYFUNCTION("""COMPUTED_VALUE"""),"UTA")</f>
        <v>UTA</v>
      </c>
      <c r="D1699" s="4" t="str">
        <f>IFERROR(__xludf.DUMMYFUNCTION("""COMPUTED_VALUE"""),"Kaniel Dickens")</f>
        <v>Kaniel Dickens</v>
      </c>
      <c r="E1699" s="4" t="str">
        <f>IFERROR(__xludf.DUMMYFUNCTION("""COMPUTED_VALUE"""),"Idaho")</f>
        <v>Idaho</v>
      </c>
      <c r="F1699" s="4">
        <f>IFERROR(__xludf.DUMMYFUNCTION("""COMPUTED_VALUE"""),3.0)</f>
        <v>3</v>
      </c>
      <c r="G1699" s="4">
        <f>IFERROR(__xludf.DUMMYFUNCTION("""COMPUTED_VALUE"""),19.0)</f>
        <v>19</v>
      </c>
      <c r="H1699" s="4">
        <f>IFERROR(__xludf.DUMMYFUNCTION("""COMPUTED_VALUE"""),85.0)</f>
        <v>85</v>
      </c>
      <c r="I1699" s="4">
        <f>IFERROR(__xludf.DUMMYFUNCTION("""COMPUTED_VALUE"""),22.0)</f>
        <v>22</v>
      </c>
      <c r="J1699" s="4">
        <f>IFERROR(__xludf.DUMMYFUNCTION("""COMPUTED_VALUE"""),12.0)</f>
        <v>12</v>
      </c>
      <c r="K1699" s="4">
        <f>IFERROR(__xludf.DUMMYFUNCTION("""COMPUTED_VALUE"""),2.0)</f>
        <v>2</v>
      </c>
      <c r="L1699" s="4">
        <f>IFERROR(__xludf.DUMMYFUNCTION("""COMPUTED_VALUE"""),0.4)</f>
        <v>0.4</v>
      </c>
      <c r="M1699" s="4">
        <f>IFERROR(__xludf.DUMMYFUNCTION("""COMPUTED_VALUE"""),0.333)</f>
        <v>0.333</v>
      </c>
      <c r="N1699" s="4">
        <f>IFERROR(__xludf.DUMMYFUNCTION("""COMPUTED_VALUE"""),0.75)</f>
        <v>0.75</v>
      </c>
      <c r="O1699" s="4">
        <f>IFERROR(__xludf.DUMMYFUNCTION("""COMPUTED_VALUE"""),4.5)</f>
        <v>4.5</v>
      </c>
      <c r="P1699" s="4">
        <f>IFERROR(__xludf.DUMMYFUNCTION("""COMPUTED_VALUE"""),1.2)</f>
        <v>1.2</v>
      </c>
      <c r="Q1699" s="4">
        <f>IFERROR(__xludf.DUMMYFUNCTION("""COMPUTED_VALUE"""),0.6)</f>
        <v>0.6</v>
      </c>
      <c r="R1699" s="4">
        <f>IFERROR(__xludf.DUMMYFUNCTION("""COMPUTED_VALUE"""),0.1)</f>
        <v>0.1</v>
      </c>
      <c r="S1699" s="4">
        <f>IFERROR(__xludf.DUMMYFUNCTION("""COMPUTED_VALUE"""),0.1)</f>
        <v>0.1</v>
      </c>
      <c r="T1699" s="4">
        <f>IFERROR(__xludf.DUMMYFUNCTION("""COMPUTED_VALUE"""),0.055)</f>
        <v>0.055</v>
      </c>
      <c r="U1699" s="4">
        <f>IFERROR(__xludf.DUMMYFUNCTION("""COMPUTED_VALUE"""),-3.0)</f>
        <v>-3</v>
      </c>
      <c r="V1699" s="4">
        <f>IFERROR(__xludf.DUMMYFUNCTION("""COMPUTED_VALUE"""),0.0)</f>
        <v>0</v>
      </c>
    </row>
    <row r="1700">
      <c r="A1700" s="4">
        <f>IFERROR(__xludf.DUMMYFUNCTION("""COMPUTED_VALUE"""),51.0)</f>
        <v>51</v>
      </c>
      <c r="B1700" s="4">
        <f>IFERROR(__xludf.DUMMYFUNCTION("""COMPUTED_VALUE"""),51.0)</f>
        <v>51</v>
      </c>
      <c r="C1700" s="4" t="str">
        <f>IFERROR(__xludf.DUMMYFUNCTION("""COMPUTED_VALUE"""),"MIN")</f>
        <v>MIN</v>
      </c>
      <c r="D1700" s="4" t="str">
        <f>IFERROR(__xludf.DUMMYFUNCTION("""COMPUTED_VALUE"""),"Igor Rakočević")</f>
        <v>Igor Rakočević</v>
      </c>
      <c r="E1700" s="4"/>
      <c r="F1700" s="4">
        <f>IFERROR(__xludf.DUMMYFUNCTION("""COMPUTED_VALUE"""),1.0)</f>
        <v>1</v>
      </c>
      <c r="G1700" s="4">
        <f>IFERROR(__xludf.DUMMYFUNCTION("""COMPUTED_VALUE"""),42.0)</f>
        <v>42</v>
      </c>
      <c r="H1700" s="4">
        <f>IFERROR(__xludf.DUMMYFUNCTION("""COMPUTED_VALUE"""),244.0)</f>
        <v>244</v>
      </c>
      <c r="I1700" s="4">
        <f>IFERROR(__xludf.DUMMYFUNCTION("""COMPUTED_VALUE"""),78.0)</f>
        <v>78</v>
      </c>
      <c r="J1700" s="4">
        <f>IFERROR(__xludf.DUMMYFUNCTION("""COMPUTED_VALUE"""),17.0)</f>
        <v>17</v>
      </c>
      <c r="K1700" s="4">
        <f>IFERROR(__xludf.DUMMYFUNCTION("""COMPUTED_VALUE"""),33.0)</f>
        <v>33</v>
      </c>
      <c r="L1700" s="4">
        <f>IFERROR(__xludf.DUMMYFUNCTION("""COMPUTED_VALUE"""),0.379)</f>
        <v>0.379</v>
      </c>
      <c r="M1700" s="4">
        <f>IFERROR(__xludf.DUMMYFUNCTION("""COMPUTED_VALUE"""),0.417)</f>
        <v>0.417</v>
      </c>
      <c r="N1700" s="4">
        <f>IFERROR(__xludf.DUMMYFUNCTION("""COMPUTED_VALUE"""),0.806)</f>
        <v>0.806</v>
      </c>
      <c r="O1700" s="4">
        <f>IFERROR(__xludf.DUMMYFUNCTION("""COMPUTED_VALUE"""),5.8)</f>
        <v>5.8</v>
      </c>
      <c r="P1700" s="4">
        <f>IFERROR(__xludf.DUMMYFUNCTION("""COMPUTED_VALUE"""),1.9)</f>
        <v>1.9</v>
      </c>
      <c r="Q1700" s="4">
        <f>IFERROR(__xludf.DUMMYFUNCTION("""COMPUTED_VALUE"""),0.4)</f>
        <v>0.4</v>
      </c>
      <c r="R1700" s="4">
        <f>IFERROR(__xludf.DUMMYFUNCTION("""COMPUTED_VALUE"""),0.8)</f>
        <v>0.8</v>
      </c>
      <c r="S1700" s="4">
        <f>IFERROR(__xludf.DUMMYFUNCTION("""COMPUTED_VALUE"""),0.1)</f>
        <v>0.1</v>
      </c>
      <c r="T1700" s="4">
        <f>IFERROR(__xludf.DUMMYFUNCTION("""COMPUTED_VALUE"""),0.022)</f>
        <v>0.022</v>
      </c>
      <c r="U1700" s="4">
        <f>IFERROR(__xludf.DUMMYFUNCTION("""COMPUTED_VALUE"""),-4.9)</f>
        <v>-4.9</v>
      </c>
      <c r="V1700" s="4">
        <f>IFERROR(__xludf.DUMMYFUNCTION("""COMPUTED_VALUE"""),-0.2)</f>
        <v>-0.2</v>
      </c>
    </row>
    <row r="1701">
      <c r="A1701" s="4">
        <f>IFERROR(__xludf.DUMMYFUNCTION("""COMPUTED_VALUE"""),52.0)</f>
        <v>52</v>
      </c>
      <c r="B1701" s="4">
        <f>IFERROR(__xludf.DUMMYFUNCTION("""COMPUTED_VALUE"""),52.0)</f>
        <v>52</v>
      </c>
      <c r="C1701" s="4" t="str">
        <f>IFERROR(__xludf.DUMMYFUNCTION("""COMPUTED_VALUE"""),"MIA")</f>
        <v>MIA</v>
      </c>
      <c r="D1701" s="4" t="str">
        <f>IFERROR(__xludf.DUMMYFUNCTION("""COMPUTED_VALUE"""),"Ernest Brown")</f>
        <v>Ernest Brown</v>
      </c>
      <c r="E1701" s="4" t="str">
        <f>IFERROR(__xludf.DUMMYFUNCTION("""COMPUTED_VALUE"""),"Indian Hills Community College")</f>
        <v>Indian Hills Community College</v>
      </c>
      <c r="F1701" s="4">
        <f>IFERROR(__xludf.DUMMYFUNCTION("""COMPUTED_VALUE"""),1.0)</f>
        <v>1</v>
      </c>
      <c r="G1701" s="4">
        <f>IFERROR(__xludf.DUMMYFUNCTION("""COMPUTED_VALUE"""),3.0)</f>
        <v>3</v>
      </c>
      <c r="H1701" s="4">
        <f>IFERROR(__xludf.DUMMYFUNCTION("""COMPUTED_VALUE"""),21.0)</f>
        <v>21</v>
      </c>
      <c r="I1701" s="4">
        <f>IFERROR(__xludf.DUMMYFUNCTION("""COMPUTED_VALUE"""),3.0)</f>
        <v>3</v>
      </c>
      <c r="J1701" s="4">
        <f>IFERROR(__xludf.DUMMYFUNCTION("""COMPUTED_VALUE"""),6.0)</f>
        <v>6</v>
      </c>
      <c r="K1701" s="4">
        <f>IFERROR(__xludf.DUMMYFUNCTION("""COMPUTED_VALUE"""),0.0)</f>
        <v>0</v>
      </c>
      <c r="L1701" s="4">
        <f>IFERROR(__xludf.DUMMYFUNCTION("""COMPUTED_VALUE"""),0.167)</f>
        <v>0.167</v>
      </c>
      <c r="M1701" s="4"/>
      <c r="N1701" s="4">
        <f>IFERROR(__xludf.DUMMYFUNCTION("""COMPUTED_VALUE"""),0.25)</f>
        <v>0.25</v>
      </c>
      <c r="O1701" s="4">
        <f>IFERROR(__xludf.DUMMYFUNCTION("""COMPUTED_VALUE"""),7.0)</f>
        <v>7</v>
      </c>
      <c r="P1701" s="4">
        <f>IFERROR(__xludf.DUMMYFUNCTION("""COMPUTED_VALUE"""),1.0)</f>
        <v>1</v>
      </c>
      <c r="Q1701" s="4">
        <f>IFERROR(__xludf.DUMMYFUNCTION("""COMPUTED_VALUE"""),2.0)</f>
        <v>2</v>
      </c>
      <c r="R1701" s="4">
        <f>IFERROR(__xludf.DUMMYFUNCTION("""COMPUTED_VALUE"""),0.0)</f>
        <v>0</v>
      </c>
      <c r="S1701" s="4">
        <f>IFERROR(__xludf.DUMMYFUNCTION("""COMPUTED_VALUE"""),-0.2)</f>
        <v>-0.2</v>
      </c>
      <c r="T1701" s="4">
        <f>IFERROR(__xludf.DUMMYFUNCTION("""COMPUTED_VALUE"""),-0.349)</f>
        <v>-0.349</v>
      </c>
      <c r="U1701" s="4">
        <f>IFERROR(__xludf.DUMMYFUNCTION("""COMPUTED_VALUE"""),-18.2)</f>
        <v>-18.2</v>
      </c>
      <c r="V1701" s="4">
        <f>IFERROR(__xludf.DUMMYFUNCTION("""COMPUTED_VALUE"""),-0.1)</f>
        <v>-0.1</v>
      </c>
    </row>
    <row r="1702">
      <c r="A1702" s="4">
        <f>IFERROR(__xludf.DUMMYFUNCTION("""COMPUTED_VALUE"""),53.0)</f>
        <v>53</v>
      </c>
      <c r="B1702" s="4">
        <f>IFERROR(__xludf.DUMMYFUNCTION("""COMPUTED_VALUE"""),53.0)</f>
        <v>53</v>
      </c>
      <c r="C1702" s="4" t="str">
        <f>IFERROR(__xludf.DUMMYFUNCTION("""COMPUTED_VALUE"""),"DEN")</f>
        <v>DEN</v>
      </c>
      <c r="D1702" s="4" t="str">
        <f>IFERROR(__xludf.DUMMYFUNCTION("""COMPUTED_VALUE"""),"Dan McClintock")</f>
        <v>Dan McClintock</v>
      </c>
      <c r="E1702" s="4" t="str">
        <f>IFERROR(__xludf.DUMMYFUNCTION("""COMPUTED_VALUE"""),"Northern Arizona University")</f>
        <v>Northern Arizona University</v>
      </c>
      <c r="F1702" s="4">
        <f>IFERROR(__xludf.DUMMYFUNCTION("""COMPUTED_VALUE"""),1.0)</f>
        <v>1</v>
      </c>
      <c r="G1702" s="4">
        <f>IFERROR(__xludf.DUMMYFUNCTION("""COMPUTED_VALUE"""),6.0)</f>
        <v>6</v>
      </c>
      <c r="H1702" s="4">
        <f>IFERROR(__xludf.DUMMYFUNCTION("""COMPUTED_VALUE"""),58.0)</f>
        <v>58</v>
      </c>
      <c r="I1702" s="4">
        <f>IFERROR(__xludf.DUMMYFUNCTION("""COMPUTED_VALUE"""),18.0)</f>
        <v>18</v>
      </c>
      <c r="J1702" s="4">
        <f>IFERROR(__xludf.DUMMYFUNCTION("""COMPUTED_VALUE"""),17.0)</f>
        <v>17</v>
      </c>
      <c r="K1702" s="4">
        <f>IFERROR(__xludf.DUMMYFUNCTION("""COMPUTED_VALUE"""),1.0)</f>
        <v>1</v>
      </c>
      <c r="L1702" s="4">
        <f>IFERROR(__xludf.DUMMYFUNCTION("""COMPUTED_VALUE"""),0.5)</f>
        <v>0.5</v>
      </c>
      <c r="M1702" s="4"/>
      <c r="N1702" s="4">
        <f>IFERROR(__xludf.DUMMYFUNCTION("""COMPUTED_VALUE"""),0.0)</f>
        <v>0</v>
      </c>
      <c r="O1702" s="4">
        <f>IFERROR(__xludf.DUMMYFUNCTION("""COMPUTED_VALUE"""),9.7)</f>
        <v>9.7</v>
      </c>
      <c r="P1702" s="4">
        <f>IFERROR(__xludf.DUMMYFUNCTION("""COMPUTED_VALUE"""),3.0)</f>
        <v>3</v>
      </c>
      <c r="Q1702" s="4">
        <f>IFERROR(__xludf.DUMMYFUNCTION("""COMPUTED_VALUE"""),2.8)</f>
        <v>2.8</v>
      </c>
      <c r="R1702" s="4">
        <f>IFERROR(__xludf.DUMMYFUNCTION("""COMPUTED_VALUE"""),0.2)</f>
        <v>0.2</v>
      </c>
      <c r="S1702" s="4">
        <f>IFERROR(__xludf.DUMMYFUNCTION("""COMPUTED_VALUE"""),0.0)</f>
        <v>0</v>
      </c>
      <c r="T1702" s="4">
        <f>IFERROR(__xludf.DUMMYFUNCTION("""COMPUTED_VALUE"""),0.007)</f>
        <v>0.007</v>
      </c>
      <c r="U1702" s="4">
        <f>IFERROR(__xludf.DUMMYFUNCTION("""COMPUTED_VALUE"""),-7.9)</f>
        <v>-7.9</v>
      </c>
      <c r="V1702" s="4">
        <f>IFERROR(__xludf.DUMMYFUNCTION("""COMPUTED_VALUE"""),-0.1)</f>
        <v>-0.1</v>
      </c>
    </row>
    <row r="1703">
      <c r="A1703" s="4">
        <f>IFERROR(__xludf.DUMMYFUNCTION("""COMPUTED_VALUE"""),54.0)</f>
        <v>54</v>
      </c>
      <c r="B1703" s="4">
        <f>IFERROR(__xludf.DUMMYFUNCTION("""COMPUTED_VALUE"""),54.0)</f>
        <v>54</v>
      </c>
      <c r="C1703" s="4" t="str">
        <f>IFERROR(__xludf.DUMMYFUNCTION("""COMPUTED_VALUE"""),"SAS")</f>
        <v>SAS</v>
      </c>
      <c r="D1703" s="4" t="str">
        <f>IFERROR(__xludf.DUMMYFUNCTION("""COMPUTED_VALUE"""),"Cory Hightower")</f>
        <v>Cory Hightower</v>
      </c>
      <c r="E1703" s="4" t="str">
        <f>IFERROR(__xludf.DUMMYFUNCTION("""COMPUTED_VALUE"""),"Indian Hills Community College")</f>
        <v>Indian Hills Community College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</row>
    <row r="1704">
      <c r="A1704" s="4">
        <f>IFERROR(__xludf.DUMMYFUNCTION("""COMPUTED_VALUE"""),55.0)</f>
        <v>55</v>
      </c>
      <c r="B1704" s="4">
        <f>IFERROR(__xludf.DUMMYFUNCTION("""COMPUTED_VALUE"""),55.0)</f>
        <v>55</v>
      </c>
      <c r="C1704" s="4" t="str">
        <f>IFERROR(__xludf.DUMMYFUNCTION("""COMPUTED_VALUE"""),"GSW")</f>
        <v>GSW</v>
      </c>
      <c r="D1704" s="4" t="str">
        <f>IFERROR(__xludf.DUMMYFUNCTION("""COMPUTED_VALUE"""),"Chris Porter")</f>
        <v>Chris Porter</v>
      </c>
      <c r="E1704" s="4" t="str">
        <f>IFERROR(__xludf.DUMMYFUNCTION("""COMPUTED_VALUE"""),"Auburn")</f>
        <v>Auburn</v>
      </c>
      <c r="F1704" s="4">
        <f>IFERROR(__xludf.DUMMYFUNCTION("""COMPUTED_VALUE"""),1.0)</f>
        <v>1</v>
      </c>
      <c r="G1704" s="4">
        <f>IFERROR(__xludf.DUMMYFUNCTION("""COMPUTED_VALUE"""),51.0)</f>
        <v>51</v>
      </c>
      <c r="H1704" s="4">
        <f>IFERROR(__xludf.DUMMYFUNCTION("""COMPUTED_VALUE"""),1147.0)</f>
        <v>1147</v>
      </c>
      <c r="I1704" s="4">
        <f>IFERROR(__xludf.DUMMYFUNCTION("""COMPUTED_VALUE"""),440.0)</f>
        <v>440</v>
      </c>
      <c r="J1704" s="4">
        <f>IFERROR(__xludf.DUMMYFUNCTION("""COMPUTED_VALUE"""),189.0)</f>
        <v>189</v>
      </c>
      <c r="K1704" s="4">
        <f>IFERROR(__xludf.DUMMYFUNCTION("""COMPUTED_VALUE"""),61.0)</f>
        <v>61</v>
      </c>
      <c r="L1704" s="4">
        <f>IFERROR(__xludf.DUMMYFUNCTION("""COMPUTED_VALUE"""),0.389)</f>
        <v>0.389</v>
      </c>
      <c r="M1704" s="4">
        <f>IFERROR(__xludf.DUMMYFUNCTION("""COMPUTED_VALUE"""),0.0)</f>
        <v>0</v>
      </c>
      <c r="N1704" s="4">
        <f>IFERROR(__xludf.DUMMYFUNCTION("""COMPUTED_VALUE"""),0.667)</f>
        <v>0.667</v>
      </c>
      <c r="O1704" s="4">
        <f>IFERROR(__xludf.DUMMYFUNCTION("""COMPUTED_VALUE"""),22.5)</f>
        <v>22.5</v>
      </c>
      <c r="P1704" s="4">
        <f>IFERROR(__xludf.DUMMYFUNCTION("""COMPUTED_VALUE"""),8.6)</f>
        <v>8.6</v>
      </c>
      <c r="Q1704" s="4">
        <f>IFERROR(__xludf.DUMMYFUNCTION("""COMPUTED_VALUE"""),3.7)</f>
        <v>3.7</v>
      </c>
      <c r="R1704" s="4">
        <f>IFERROR(__xludf.DUMMYFUNCTION("""COMPUTED_VALUE"""),1.2)</f>
        <v>1.2</v>
      </c>
      <c r="S1704" s="4">
        <f>IFERROR(__xludf.DUMMYFUNCTION("""COMPUTED_VALUE"""),0.2)</f>
        <v>0.2</v>
      </c>
      <c r="T1704" s="4">
        <f>IFERROR(__xludf.DUMMYFUNCTION("""COMPUTED_VALUE"""),0.008)</f>
        <v>0.008</v>
      </c>
      <c r="U1704" s="4">
        <f>IFERROR(__xludf.DUMMYFUNCTION("""COMPUTED_VALUE"""),-4.5)</f>
        <v>-4.5</v>
      </c>
      <c r="V1704" s="4">
        <f>IFERROR(__xludf.DUMMYFUNCTION("""COMPUTED_VALUE"""),-0.7)</f>
        <v>-0.7</v>
      </c>
    </row>
    <row r="1705">
      <c r="A1705" s="4">
        <f>IFERROR(__xludf.DUMMYFUNCTION("""COMPUTED_VALUE"""),56.0)</f>
        <v>56</v>
      </c>
      <c r="B1705" s="4">
        <f>IFERROR(__xludf.DUMMYFUNCTION("""COMPUTED_VALUE"""),56.0)</f>
        <v>56</v>
      </c>
      <c r="C1705" s="4" t="str">
        <f>IFERROR(__xludf.DUMMYFUNCTION("""COMPUTED_VALUE"""),"IND")</f>
        <v>IND</v>
      </c>
      <c r="D1705" s="4" t="str">
        <f>IFERROR(__xludf.DUMMYFUNCTION("""COMPUTED_VALUE"""),"Jaquay Walls")</f>
        <v>Jaquay Walls</v>
      </c>
      <c r="E1705" s="4" t="str">
        <f>IFERROR(__xludf.DUMMYFUNCTION("""COMPUTED_VALUE"""),"Colorado")</f>
        <v>Colorado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</row>
    <row r="1706">
      <c r="A1706" s="4">
        <f>IFERROR(__xludf.DUMMYFUNCTION("""COMPUTED_VALUE"""),57.0)</f>
        <v>57</v>
      </c>
      <c r="B1706" s="4">
        <f>IFERROR(__xludf.DUMMYFUNCTION("""COMPUTED_VALUE"""),57.0)</f>
        <v>57</v>
      </c>
      <c r="C1706" s="4" t="str">
        <f>IFERROR(__xludf.DUMMYFUNCTION("""COMPUTED_VALUE"""),"ATL")</f>
        <v>ATL</v>
      </c>
      <c r="D1706" s="4" t="str">
        <f>IFERROR(__xludf.DUMMYFUNCTION("""COMPUTED_VALUE"""),"Scoonie Penn")</f>
        <v>Scoonie Penn</v>
      </c>
      <c r="E1706" s="4" t="str">
        <f>IFERROR(__xludf.DUMMYFUNCTION("""COMPUTED_VALUE"""),"Ohio State")</f>
        <v>Ohio State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</row>
    <row r="1707">
      <c r="A1707" s="4">
        <f>IFERROR(__xludf.DUMMYFUNCTION("""COMPUTED_VALUE"""),58.0)</f>
        <v>58</v>
      </c>
      <c r="B1707" s="4">
        <f>IFERROR(__xludf.DUMMYFUNCTION("""COMPUTED_VALUE"""),58.0)</f>
        <v>58</v>
      </c>
      <c r="C1707" s="4" t="str">
        <f>IFERROR(__xludf.DUMMYFUNCTION("""COMPUTED_VALUE"""),"DAL")</f>
        <v>DAL</v>
      </c>
      <c r="D1707" s="4" t="str">
        <f>IFERROR(__xludf.DUMMYFUNCTION("""COMPUTED_VALUE"""),"Pete Mickeal")</f>
        <v>Pete Mickeal</v>
      </c>
      <c r="E1707" s="4" t="str">
        <f>IFERROR(__xludf.DUMMYFUNCTION("""COMPUTED_VALUE"""),"Cincinnati")</f>
        <v>Cincinnati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</row>
    <row r="1709">
      <c r="A1709" s="2">
        <v>1999.0</v>
      </c>
    </row>
    <row r="1710">
      <c r="A1710" s="4" t="str">
        <f>IFERROR(__xludf.DUMMYFUNCTION("IMPORTHTML(""https://www.basketball-reference.com/draft/NBA_1999.html"", ""table"", 1)"),"")</f>
        <v/>
      </c>
      <c r="B1710" s="4"/>
      <c r="C1710" s="4"/>
      <c r="D1710" s="4" t="str">
        <f>IFERROR(__xludf.DUMMYFUNCTION("""COMPUTED_VALUE"""),"Round 1")</f>
        <v>Round 1</v>
      </c>
      <c r="E1710" s="4"/>
      <c r="F1710" s="4"/>
      <c r="G1710" s="4" t="str">
        <f>IFERROR(__xludf.DUMMYFUNCTION("""COMPUTED_VALUE"""),"Totals")</f>
        <v>Totals</v>
      </c>
      <c r="H1710" s="4"/>
      <c r="I1710" s="4"/>
      <c r="J1710" s="4"/>
      <c r="K1710" s="4"/>
      <c r="L1710" s="4" t="str">
        <f>IFERROR(__xludf.DUMMYFUNCTION("""COMPUTED_VALUE"""),"Shooting")</f>
        <v>Shooting</v>
      </c>
      <c r="M1710" s="4"/>
      <c r="N1710" s="4"/>
      <c r="O1710" s="4" t="str">
        <f>IFERROR(__xludf.DUMMYFUNCTION("""COMPUTED_VALUE"""),"Per Game")</f>
        <v>Per Game</v>
      </c>
      <c r="P1710" s="4"/>
      <c r="Q1710" s="4"/>
      <c r="R1710" s="4"/>
      <c r="S1710" s="4" t="str">
        <f>IFERROR(__xludf.DUMMYFUNCTION("""COMPUTED_VALUE"""),"Advanced")</f>
        <v>Advanced</v>
      </c>
      <c r="T1710" s="4"/>
      <c r="U1710" s="4"/>
      <c r="V1710" s="4"/>
    </row>
    <row r="1711">
      <c r="A1711" s="4" t="str">
        <f>IFERROR(__xludf.DUMMYFUNCTION("""COMPUTED_VALUE"""),"Rk")</f>
        <v>Rk</v>
      </c>
      <c r="B1711" s="4" t="str">
        <f>IFERROR(__xludf.DUMMYFUNCTION("""COMPUTED_VALUE"""),"Pk")</f>
        <v>Pk</v>
      </c>
      <c r="C1711" s="4" t="str">
        <f>IFERROR(__xludf.DUMMYFUNCTION("""COMPUTED_VALUE"""),"Tm")</f>
        <v>Tm</v>
      </c>
      <c r="D1711" s="4" t="str">
        <f>IFERROR(__xludf.DUMMYFUNCTION("""COMPUTED_VALUE"""),"Player")</f>
        <v>Player</v>
      </c>
      <c r="E1711" s="4" t="str">
        <f>IFERROR(__xludf.DUMMYFUNCTION("""COMPUTED_VALUE"""),"College")</f>
        <v>College</v>
      </c>
      <c r="F1711" s="4" t="str">
        <f>IFERROR(__xludf.DUMMYFUNCTION("""COMPUTED_VALUE"""),"Yrs")</f>
        <v>Yrs</v>
      </c>
      <c r="G1711" s="4" t="str">
        <f>IFERROR(__xludf.DUMMYFUNCTION("""COMPUTED_VALUE"""),"G")</f>
        <v>G</v>
      </c>
      <c r="H1711" s="4" t="str">
        <f>IFERROR(__xludf.DUMMYFUNCTION("""COMPUTED_VALUE"""),"MP")</f>
        <v>MP</v>
      </c>
      <c r="I1711" s="4" t="str">
        <f>IFERROR(__xludf.DUMMYFUNCTION("""COMPUTED_VALUE"""),"PTS")</f>
        <v>PTS</v>
      </c>
      <c r="J1711" s="4" t="str">
        <f>IFERROR(__xludf.DUMMYFUNCTION("""COMPUTED_VALUE"""),"TRB")</f>
        <v>TRB</v>
      </c>
      <c r="K1711" s="4" t="str">
        <f>IFERROR(__xludf.DUMMYFUNCTION("""COMPUTED_VALUE"""),"AST")</f>
        <v>AST</v>
      </c>
      <c r="L1711" s="4" t="str">
        <f>IFERROR(__xludf.DUMMYFUNCTION("""COMPUTED_VALUE"""),"FG%")</f>
        <v>FG%</v>
      </c>
      <c r="M1711" s="4" t="str">
        <f>IFERROR(__xludf.DUMMYFUNCTION("""COMPUTED_VALUE"""),"3P%")</f>
        <v>3P%</v>
      </c>
      <c r="N1711" s="4" t="str">
        <f>IFERROR(__xludf.DUMMYFUNCTION("""COMPUTED_VALUE"""),"FT%")</f>
        <v>FT%</v>
      </c>
      <c r="O1711" s="4" t="str">
        <f>IFERROR(__xludf.DUMMYFUNCTION("""COMPUTED_VALUE"""),"MP")</f>
        <v>MP</v>
      </c>
      <c r="P1711" s="4" t="str">
        <f>IFERROR(__xludf.DUMMYFUNCTION("""COMPUTED_VALUE"""),"PTS")</f>
        <v>PTS</v>
      </c>
      <c r="Q1711" s="4" t="str">
        <f>IFERROR(__xludf.DUMMYFUNCTION("""COMPUTED_VALUE"""),"TRB")</f>
        <v>TRB</v>
      </c>
      <c r="R1711" s="4" t="str">
        <f>IFERROR(__xludf.DUMMYFUNCTION("""COMPUTED_VALUE"""),"AST")</f>
        <v>AST</v>
      </c>
      <c r="S1711" s="4" t="str">
        <f>IFERROR(__xludf.DUMMYFUNCTION("""COMPUTED_VALUE"""),"WS")</f>
        <v>WS</v>
      </c>
      <c r="T1711" s="4" t="str">
        <f>IFERROR(__xludf.DUMMYFUNCTION("""COMPUTED_VALUE"""),"WS/48")</f>
        <v>WS/48</v>
      </c>
      <c r="U1711" s="4" t="str">
        <f>IFERROR(__xludf.DUMMYFUNCTION("""COMPUTED_VALUE"""),"BPM")</f>
        <v>BPM</v>
      </c>
      <c r="V1711" s="4" t="str">
        <f>IFERROR(__xludf.DUMMYFUNCTION("""COMPUTED_VALUE"""),"VORP")</f>
        <v>VORP</v>
      </c>
    </row>
    <row r="1712">
      <c r="A1712" s="4">
        <f>IFERROR(__xludf.DUMMYFUNCTION("""COMPUTED_VALUE"""),1.0)</f>
        <v>1</v>
      </c>
      <c r="B1712" s="4">
        <f>IFERROR(__xludf.DUMMYFUNCTION("""COMPUTED_VALUE"""),1.0)</f>
        <v>1</v>
      </c>
      <c r="C1712" s="4" t="str">
        <f>IFERROR(__xludf.DUMMYFUNCTION("""COMPUTED_VALUE"""),"CHI")</f>
        <v>CHI</v>
      </c>
      <c r="D1712" s="4" t="str">
        <f>IFERROR(__xludf.DUMMYFUNCTION("""COMPUTED_VALUE"""),"Elton Brand")</f>
        <v>Elton Brand</v>
      </c>
      <c r="E1712" s="4" t="str">
        <f>IFERROR(__xludf.DUMMYFUNCTION("""COMPUTED_VALUE"""),"Duke")</f>
        <v>Duke</v>
      </c>
      <c r="F1712" s="4">
        <f>IFERROR(__xludf.DUMMYFUNCTION("""COMPUTED_VALUE"""),17.0)</f>
        <v>17</v>
      </c>
      <c r="G1712" s="4">
        <f>IFERROR(__xludf.DUMMYFUNCTION("""COMPUTED_VALUE"""),1058.0)</f>
        <v>1058</v>
      </c>
      <c r="H1712" s="4">
        <f>IFERROR(__xludf.DUMMYFUNCTION("""COMPUTED_VALUE"""),34910.0)</f>
        <v>34910</v>
      </c>
      <c r="I1712" s="4">
        <f>IFERROR(__xludf.DUMMYFUNCTION("""COMPUTED_VALUE"""),16827.0)</f>
        <v>16827</v>
      </c>
      <c r="J1712" s="4">
        <f>IFERROR(__xludf.DUMMYFUNCTION("""COMPUTED_VALUE"""),9040.0)</f>
        <v>9040</v>
      </c>
      <c r="K1712" s="4">
        <f>IFERROR(__xludf.DUMMYFUNCTION("""COMPUTED_VALUE"""),2184.0)</f>
        <v>2184</v>
      </c>
      <c r="L1712" s="4">
        <f>IFERROR(__xludf.DUMMYFUNCTION("""COMPUTED_VALUE"""),0.5)</f>
        <v>0.5</v>
      </c>
      <c r="M1712" s="4">
        <f>IFERROR(__xludf.DUMMYFUNCTION("""COMPUTED_VALUE"""),0.095)</f>
        <v>0.095</v>
      </c>
      <c r="N1712" s="4">
        <f>IFERROR(__xludf.DUMMYFUNCTION("""COMPUTED_VALUE"""),0.736)</f>
        <v>0.736</v>
      </c>
      <c r="O1712" s="4">
        <f>IFERROR(__xludf.DUMMYFUNCTION("""COMPUTED_VALUE"""),33.0)</f>
        <v>33</v>
      </c>
      <c r="P1712" s="4">
        <f>IFERROR(__xludf.DUMMYFUNCTION("""COMPUTED_VALUE"""),15.9)</f>
        <v>15.9</v>
      </c>
      <c r="Q1712" s="4">
        <f>IFERROR(__xludf.DUMMYFUNCTION("""COMPUTED_VALUE"""),8.5)</f>
        <v>8.5</v>
      </c>
      <c r="R1712" s="4">
        <f>IFERROR(__xludf.DUMMYFUNCTION("""COMPUTED_VALUE"""),2.1)</f>
        <v>2.1</v>
      </c>
      <c r="S1712" s="4">
        <f>IFERROR(__xludf.DUMMYFUNCTION("""COMPUTED_VALUE"""),109.6)</f>
        <v>109.6</v>
      </c>
      <c r="T1712" s="4">
        <f>IFERROR(__xludf.DUMMYFUNCTION("""COMPUTED_VALUE"""),0.151)</f>
        <v>0.151</v>
      </c>
      <c r="U1712" s="4">
        <f>IFERROR(__xludf.DUMMYFUNCTION("""COMPUTED_VALUE"""),2.2)</f>
        <v>2.2</v>
      </c>
      <c r="V1712" s="4">
        <f>IFERROR(__xludf.DUMMYFUNCTION("""COMPUTED_VALUE"""),37.3)</f>
        <v>37.3</v>
      </c>
    </row>
    <row r="1713">
      <c r="A1713" s="4">
        <f>IFERROR(__xludf.DUMMYFUNCTION("""COMPUTED_VALUE"""),2.0)</f>
        <v>2</v>
      </c>
      <c r="B1713" s="4">
        <f>IFERROR(__xludf.DUMMYFUNCTION("""COMPUTED_VALUE"""),2.0)</f>
        <v>2</v>
      </c>
      <c r="C1713" s="4" t="str">
        <f>IFERROR(__xludf.DUMMYFUNCTION("""COMPUTED_VALUE"""),"VAN")</f>
        <v>VAN</v>
      </c>
      <c r="D1713" s="4" t="str">
        <f>IFERROR(__xludf.DUMMYFUNCTION("""COMPUTED_VALUE"""),"Steve Francis")</f>
        <v>Steve Francis</v>
      </c>
      <c r="E1713" s="4" t="str">
        <f>IFERROR(__xludf.DUMMYFUNCTION("""COMPUTED_VALUE"""),"Maryland")</f>
        <v>Maryland</v>
      </c>
      <c r="F1713" s="4">
        <f>IFERROR(__xludf.DUMMYFUNCTION("""COMPUTED_VALUE"""),9.0)</f>
        <v>9</v>
      </c>
      <c r="G1713" s="4">
        <f>IFERROR(__xludf.DUMMYFUNCTION("""COMPUTED_VALUE"""),576.0)</f>
        <v>576</v>
      </c>
      <c r="H1713" s="4">
        <f>IFERROR(__xludf.DUMMYFUNCTION("""COMPUTED_VALUE"""),21632.0)</f>
        <v>21632</v>
      </c>
      <c r="I1713" s="4">
        <f>IFERROR(__xludf.DUMMYFUNCTION("""COMPUTED_VALUE"""),10446.0)</f>
        <v>10446</v>
      </c>
      <c r="J1713" s="4">
        <f>IFERROR(__xludf.DUMMYFUNCTION("""COMPUTED_VALUE"""),3215.0)</f>
        <v>3215</v>
      </c>
      <c r="K1713" s="4">
        <f>IFERROR(__xludf.DUMMYFUNCTION("""COMPUTED_VALUE"""),3473.0)</f>
        <v>3473</v>
      </c>
      <c r="L1713" s="4">
        <f>IFERROR(__xludf.DUMMYFUNCTION("""COMPUTED_VALUE"""),0.429)</f>
        <v>0.429</v>
      </c>
      <c r="M1713" s="4">
        <f>IFERROR(__xludf.DUMMYFUNCTION("""COMPUTED_VALUE"""),0.341)</f>
        <v>0.341</v>
      </c>
      <c r="N1713" s="4">
        <f>IFERROR(__xludf.DUMMYFUNCTION("""COMPUTED_VALUE"""),0.797)</f>
        <v>0.797</v>
      </c>
      <c r="O1713" s="4">
        <f>IFERROR(__xludf.DUMMYFUNCTION("""COMPUTED_VALUE"""),37.6)</f>
        <v>37.6</v>
      </c>
      <c r="P1713" s="4">
        <f>IFERROR(__xludf.DUMMYFUNCTION("""COMPUTED_VALUE"""),18.1)</f>
        <v>18.1</v>
      </c>
      <c r="Q1713" s="4">
        <f>IFERROR(__xludf.DUMMYFUNCTION("""COMPUTED_VALUE"""),5.6)</f>
        <v>5.6</v>
      </c>
      <c r="R1713" s="4">
        <f>IFERROR(__xludf.DUMMYFUNCTION("""COMPUTED_VALUE"""),6.0)</f>
        <v>6</v>
      </c>
      <c r="S1713" s="4">
        <f>IFERROR(__xludf.DUMMYFUNCTION("""COMPUTED_VALUE"""),54.1)</f>
        <v>54.1</v>
      </c>
      <c r="T1713" s="4">
        <f>IFERROR(__xludf.DUMMYFUNCTION("""COMPUTED_VALUE"""),0.12)</f>
        <v>0.12</v>
      </c>
      <c r="U1713" s="4">
        <f>IFERROR(__xludf.DUMMYFUNCTION("""COMPUTED_VALUE"""),2.2)</f>
        <v>2.2</v>
      </c>
      <c r="V1713" s="4">
        <f>IFERROR(__xludf.DUMMYFUNCTION("""COMPUTED_VALUE"""),22.7)</f>
        <v>22.7</v>
      </c>
    </row>
    <row r="1714">
      <c r="A1714" s="4">
        <f>IFERROR(__xludf.DUMMYFUNCTION("""COMPUTED_VALUE"""),3.0)</f>
        <v>3</v>
      </c>
      <c r="B1714" s="4">
        <f>IFERROR(__xludf.DUMMYFUNCTION("""COMPUTED_VALUE"""),3.0)</f>
        <v>3</v>
      </c>
      <c r="C1714" s="4" t="str">
        <f>IFERROR(__xludf.DUMMYFUNCTION("""COMPUTED_VALUE"""),"CHH")</f>
        <v>CHH</v>
      </c>
      <c r="D1714" s="4" t="str">
        <f>IFERROR(__xludf.DUMMYFUNCTION("""COMPUTED_VALUE"""),"Baron Davis")</f>
        <v>Baron Davis</v>
      </c>
      <c r="E1714" s="4" t="str">
        <f>IFERROR(__xludf.DUMMYFUNCTION("""COMPUTED_VALUE"""),"UCLA")</f>
        <v>UCLA</v>
      </c>
      <c r="F1714" s="4">
        <f>IFERROR(__xludf.DUMMYFUNCTION("""COMPUTED_VALUE"""),13.0)</f>
        <v>13</v>
      </c>
      <c r="G1714" s="4">
        <f>IFERROR(__xludf.DUMMYFUNCTION("""COMPUTED_VALUE"""),835.0)</f>
        <v>835</v>
      </c>
      <c r="H1714" s="4">
        <f>IFERROR(__xludf.DUMMYFUNCTION("""COMPUTED_VALUE"""),28592.0)</f>
        <v>28592</v>
      </c>
      <c r="I1714" s="4">
        <f>IFERROR(__xludf.DUMMYFUNCTION("""COMPUTED_VALUE"""),13447.0)</f>
        <v>13447</v>
      </c>
      <c r="J1714" s="4">
        <f>IFERROR(__xludf.DUMMYFUNCTION("""COMPUTED_VALUE"""),3183.0)</f>
        <v>3183</v>
      </c>
      <c r="K1714" s="4">
        <f>IFERROR(__xludf.DUMMYFUNCTION("""COMPUTED_VALUE"""),6025.0)</f>
        <v>6025</v>
      </c>
      <c r="L1714" s="4">
        <f>IFERROR(__xludf.DUMMYFUNCTION("""COMPUTED_VALUE"""),0.409)</f>
        <v>0.409</v>
      </c>
      <c r="M1714" s="4">
        <f>IFERROR(__xludf.DUMMYFUNCTION("""COMPUTED_VALUE"""),0.32)</f>
        <v>0.32</v>
      </c>
      <c r="N1714" s="4">
        <f>IFERROR(__xludf.DUMMYFUNCTION("""COMPUTED_VALUE"""),0.711)</f>
        <v>0.711</v>
      </c>
      <c r="O1714" s="4">
        <f>IFERROR(__xludf.DUMMYFUNCTION("""COMPUTED_VALUE"""),34.2)</f>
        <v>34.2</v>
      </c>
      <c r="P1714" s="4">
        <f>IFERROR(__xludf.DUMMYFUNCTION("""COMPUTED_VALUE"""),16.1)</f>
        <v>16.1</v>
      </c>
      <c r="Q1714" s="4">
        <f>IFERROR(__xludf.DUMMYFUNCTION("""COMPUTED_VALUE"""),3.8)</f>
        <v>3.8</v>
      </c>
      <c r="R1714" s="4">
        <f>IFERROR(__xludf.DUMMYFUNCTION("""COMPUTED_VALUE"""),7.2)</f>
        <v>7.2</v>
      </c>
      <c r="S1714" s="4">
        <f>IFERROR(__xludf.DUMMYFUNCTION("""COMPUTED_VALUE"""),63.1)</f>
        <v>63.1</v>
      </c>
      <c r="T1714" s="4">
        <f>IFERROR(__xludf.DUMMYFUNCTION("""COMPUTED_VALUE"""),0.106)</f>
        <v>0.106</v>
      </c>
      <c r="U1714" s="4">
        <f>IFERROR(__xludf.DUMMYFUNCTION("""COMPUTED_VALUE"""),2.6)</f>
        <v>2.6</v>
      </c>
      <c r="V1714" s="4">
        <f>IFERROR(__xludf.DUMMYFUNCTION("""COMPUTED_VALUE"""),33.1)</f>
        <v>33.1</v>
      </c>
    </row>
    <row r="1715">
      <c r="A1715" s="4">
        <f>IFERROR(__xludf.DUMMYFUNCTION("""COMPUTED_VALUE"""),4.0)</f>
        <v>4</v>
      </c>
      <c r="B1715" s="4">
        <f>IFERROR(__xludf.DUMMYFUNCTION("""COMPUTED_VALUE"""),4.0)</f>
        <v>4</v>
      </c>
      <c r="C1715" s="4" t="str">
        <f>IFERROR(__xludf.DUMMYFUNCTION("""COMPUTED_VALUE"""),"LAC")</f>
        <v>LAC</v>
      </c>
      <c r="D1715" s="4" t="str">
        <f>IFERROR(__xludf.DUMMYFUNCTION("""COMPUTED_VALUE"""),"Lamar Odom")</f>
        <v>Lamar Odom</v>
      </c>
      <c r="E1715" s="4" t="str">
        <f>IFERROR(__xludf.DUMMYFUNCTION("""COMPUTED_VALUE"""),"Rhode Island")</f>
        <v>Rhode Island</v>
      </c>
      <c r="F1715" s="4">
        <f>IFERROR(__xludf.DUMMYFUNCTION("""COMPUTED_VALUE"""),14.0)</f>
        <v>14</v>
      </c>
      <c r="G1715" s="4">
        <f>IFERROR(__xludf.DUMMYFUNCTION("""COMPUTED_VALUE"""),961.0)</f>
        <v>961</v>
      </c>
      <c r="H1715" s="4">
        <f>IFERROR(__xludf.DUMMYFUNCTION("""COMPUTED_VALUE"""),32131.0)</f>
        <v>32131</v>
      </c>
      <c r="I1715" s="4">
        <f>IFERROR(__xludf.DUMMYFUNCTION("""COMPUTED_VALUE"""),12781.0)</f>
        <v>12781</v>
      </c>
      <c r="J1715" s="4">
        <f>IFERROR(__xludf.DUMMYFUNCTION("""COMPUTED_VALUE"""),8059.0)</f>
        <v>8059</v>
      </c>
      <c r="K1715" s="4">
        <f>IFERROR(__xludf.DUMMYFUNCTION("""COMPUTED_VALUE"""),3554.0)</f>
        <v>3554</v>
      </c>
      <c r="L1715" s="4">
        <f>IFERROR(__xludf.DUMMYFUNCTION("""COMPUTED_VALUE"""),0.463)</f>
        <v>0.463</v>
      </c>
      <c r="M1715" s="4">
        <f>IFERROR(__xludf.DUMMYFUNCTION("""COMPUTED_VALUE"""),0.312)</f>
        <v>0.312</v>
      </c>
      <c r="N1715" s="4">
        <f>IFERROR(__xludf.DUMMYFUNCTION("""COMPUTED_VALUE"""),0.693)</f>
        <v>0.693</v>
      </c>
      <c r="O1715" s="4">
        <f>IFERROR(__xludf.DUMMYFUNCTION("""COMPUTED_VALUE"""),33.4)</f>
        <v>33.4</v>
      </c>
      <c r="P1715" s="4">
        <f>IFERROR(__xludf.DUMMYFUNCTION("""COMPUTED_VALUE"""),13.3)</f>
        <v>13.3</v>
      </c>
      <c r="Q1715" s="4">
        <f>IFERROR(__xludf.DUMMYFUNCTION("""COMPUTED_VALUE"""),8.4)</f>
        <v>8.4</v>
      </c>
      <c r="R1715" s="4">
        <f>IFERROR(__xludf.DUMMYFUNCTION("""COMPUTED_VALUE"""),3.7)</f>
        <v>3.7</v>
      </c>
      <c r="S1715" s="4">
        <f>IFERROR(__xludf.DUMMYFUNCTION("""COMPUTED_VALUE"""),77.0)</f>
        <v>77</v>
      </c>
      <c r="T1715" s="4">
        <f>IFERROR(__xludf.DUMMYFUNCTION("""COMPUTED_VALUE"""),0.115)</f>
        <v>0.115</v>
      </c>
      <c r="U1715" s="4">
        <f>IFERROR(__xludf.DUMMYFUNCTION("""COMPUTED_VALUE"""),1.9)</f>
        <v>1.9</v>
      </c>
      <c r="V1715" s="4">
        <f>IFERROR(__xludf.DUMMYFUNCTION("""COMPUTED_VALUE"""),31.4)</f>
        <v>31.4</v>
      </c>
    </row>
    <row r="1716">
      <c r="A1716" s="4">
        <f>IFERROR(__xludf.DUMMYFUNCTION("""COMPUTED_VALUE"""),5.0)</f>
        <v>5</v>
      </c>
      <c r="B1716" s="4">
        <f>IFERROR(__xludf.DUMMYFUNCTION("""COMPUTED_VALUE"""),5.0)</f>
        <v>5</v>
      </c>
      <c r="C1716" s="4" t="str">
        <f>IFERROR(__xludf.DUMMYFUNCTION("""COMPUTED_VALUE"""),"TOR")</f>
        <v>TOR</v>
      </c>
      <c r="D1716" s="4" t="str">
        <f>IFERROR(__xludf.DUMMYFUNCTION("""COMPUTED_VALUE"""),"Jonathan Bender")</f>
        <v>Jonathan Bender</v>
      </c>
      <c r="E1716" s="4"/>
      <c r="F1716" s="4">
        <f>IFERROR(__xludf.DUMMYFUNCTION("""COMPUTED_VALUE"""),8.0)</f>
        <v>8</v>
      </c>
      <c r="G1716" s="4">
        <f>IFERROR(__xludf.DUMMYFUNCTION("""COMPUTED_VALUE"""),262.0)</f>
        <v>262</v>
      </c>
      <c r="H1716" s="4">
        <f>IFERROR(__xludf.DUMMYFUNCTION("""COMPUTED_VALUE"""),3847.0)</f>
        <v>3847</v>
      </c>
      <c r="I1716" s="4">
        <f>IFERROR(__xludf.DUMMYFUNCTION("""COMPUTED_VALUE"""),1453.0)</f>
        <v>1453</v>
      </c>
      <c r="J1716" s="4">
        <f>IFERROR(__xludf.DUMMYFUNCTION("""COMPUTED_VALUE"""),582.0)</f>
        <v>582</v>
      </c>
      <c r="K1716" s="4">
        <f>IFERROR(__xludf.DUMMYFUNCTION("""COMPUTED_VALUE"""),170.0)</f>
        <v>170</v>
      </c>
      <c r="L1716" s="4">
        <f>IFERROR(__xludf.DUMMYFUNCTION("""COMPUTED_VALUE"""),0.417)</f>
        <v>0.417</v>
      </c>
      <c r="M1716" s="4">
        <f>IFERROR(__xludf.DUMMYFUNCTION("""COMPUTED_VALUE"""),0.34)</f>
        <v>0.34</v>
      </c>
      <c r="N1716" s="4">
        <f>IFERROR(__xludf.DUMMYFUNCTION("""COMPUTED_VALUE"""),0.763)</f>
        <v>0.763</v>
      </c>
      <c r="O1716" s="4">
        <f>IFERROR(__xludf.DUMMYFUNCTION("""COMPUTED_VALUE"""),14.7)</f>
        <v>14.7</v>
      </c>
      <c r="P1716" s="4">
        <f>IFERROR(__xludf.DUMMYFUNCTION("""COMPUTED_VALUE"""),5.5)</f>
        <v>5.5</v>
      </c>
      <c r="Q1716" s="4">
        <f>IFERROR(__xludf.DUMMYFUNCTION("""COMPUTED_VALUE"""),2.2)</f>
        <v>2.2</v>
      </c>
      <c r="R1716" s="4">
        <f>IFERROR(__xludf.DUMMYFUNCTION("""COMPUTED_VALUE"""),0.6)</f>
        <v>0.6</v>
      </c>
      <c r="S1716" s="4">
        <f>IFERROR(__xludf.DUMMYFUNCTION("""COMPUTED_VALUE"""),3.8)</f>
        <v>3.8</v>
      </c>
      <c r="T1716" s="4">
        <f>IFERROR(__xludf.DUMMYFUNCTION("""COMPUTED_VALUE"""),0.047)</f>
        <v>0.047</v>
      </c>
      <c r="U1716" s="4">
        <f>IFERROR(__xludf.DUMMYFUNCTION("""COMPUTED_VALUE"""),-2.6)</f>
        <v>-2.6</v>
      </c>
      <c r="V1716" s="4">
        <f>IFERROR(__xludf.DUMMYFUNCTION("""COMPUTED_VALUE"""),-0.6)</f>
        <v>-0.6</v>
      </c>
    </row>
    <row r="1717">
      <c r="A1717" s="4">
        <f>IFERROR(__xludf.DUMMYFUNCTION("""COMPUTED_VALUE"""),6.0)</f>
        <v>6</v>
      </c>
      <c r="B1717" s="4">
        <f>IFERROR(__xludf.DUMMYFUNCTION("""COMPUTED_VALUE"""),6.0)</f>
        <v>6</v>
      </c>
      <c r="C1717" s="4" t="str">
        <f>IFERROR(__xludf.DUMMYFUNCTION("""COMPUTED_VALUE"""),"MIN")</f>
        <v>MIN</v>
      </c>
      <c r="D1717" s="4" t="str">
        <f>IFERROR(__xludf.DUMMYFUNCTION("""COMPUTED_VALUE"""),"Wally Szczerbiak")</f>
        <v>Wally Szczerbiak</v>
      </c>
      <c r="E1717" s="4" t="str">
        <f>IFERROR(__xludf.DUMMYFUNCTION("""COMPUTED_VALUE"""),"Miami University")</f>
        <v>Miami University</v>
      </c>
      <c r="F1717" s="4">
        <f>IFERROR(__xludf.DUMMYFUNCTION("""COMPUTED_VALUE"""),10.0)</f>
        <v>10</v>
      </c>
      <c r="G1717" s="4">
        <f>IFERROR(__xludf.DUMMYFUNCTION("""COMPUTED_VALUE"""),651.0)</f>
        <v>651</v>
      </c>
      <c r="H1717" s="4">
        <f>IFERROR(__xludf.DUMMYFUNCTION("""COMPUTED_VALUE"""),20052.0)</f>
        <v>20052</v>
      </c>
      <c r="I1717" s="4">
        <f>IFERROR(__xludf.DUMMYFUNCTION("""COMPUTED_VALUE"""),9195.0)</f>
        <v>9195</v>
      </c>
      <c r="J1717" s="4">
        <f>IFERROR(__xludf.DUMMYFUNCTION("""COMPUTED_VALUE"""),2602.0)</f>
        <v>2602</v>
      </c>
      <c r="K1717" s="4">
        <f>IFERROR(__xludf.DUMMYFUNCTION("""COMPUTED_VALUE"""),1532.0)</f>
        <v>1532</v>
      </c>
      <c r="L1717" s="4">
        <f>IFERROR(__xludf.DUMMYFUNCTION("""COMPUTED_VALUE"""),0.485)</f>
        <v>0.485</v>
      </c>
      <c r="M1717" s="4">
        <f>IFERROR(__xludf.DUMMYFUNCTION("""COMPUTED_VALUE"""),0.406)</f>
        <v>0.406</v>
      </c>
      <c r="N1717" s="4">
        <f>IFERROR(__xludf.DUMMYFUNCTION("""COMPUTED_VALUE"""),0.86)</f>
        <v>0.86</v>
      </c>
      <c r="O1717" s="4">
        <f>IFERROR(__xludf.DUMMYFUNCTION("""COMPUTED_VALUE"""),30.8)</f>
        <v>30.8</v>
      </c>
      <c r="P1717" s="4">
        <f>IFERROR(__xludf.DUMMYFUNCTION("""COMPUTED_VALUE"""),14.1)</f>
        <v>14.1</v>
      </c>
      <c r="Q1717" s="4">
        <f>IFERROR(__xludf.DUMMYFUNCTION("""COMPUTED_VALUE"""),4.0)</f>
        <v>4</v>
      </c>
      <c r="R1717" s="4">
        <f>IFERROR(__xludf.DUMMYFUNCTION("""COMPUTED_VALUE"""),2.4)</f>
        <v>2.4</v>
      </c>
      <c r="S1717" s="4">
        <f>IFERROR(__xludf.DUMMYFUNCTION("""COMPUTED_VALUE"""),53.3)</f>
        <v>53.3</v>
      </c>
      <c r="T1717" s="4">
        <f>IFERROR(__xludf.DUMMYFUNCTION("""COMPUTED_VALUE"""),0.127)</f>
        <v>0.127</v>
      </c>
      <c r="U1717" s="4">
        <f>IFERROR(__xludf.DUMMYFUNCTION("""COMPUTED_VALUE"""),0.7)</f>
        <v>0.7</v>
      </c>
      <c r="V1717" s="4">
        <f>IFERROR(__xludf.DUMMYFUNCTION("""COMPUTED_VALUE"""),13.6)</f>
        <v>13.6</v>
      </c>
    </row>
    <row r="1718">
      <c r="A1718" s="4">
        <f>IFERROR(__xludf.DUMMYFUNCTION("""COMPUTED_VALUE"""),7.0)</f>
        <v>7</v>
      </c>
      <c r="B1718" s="4">
        <f>IFERROR(__xludf.DUMMYFUNCTION("""COMPUTED_VALUE"""),7.0)</f>
        <v>7</v>
      </c>
      <c r="C1718" s="4" t="str">
        <f>IFERROR(__xludf.DUMMYFUNCTION("""COMPUTED_VALUE"""),"WAS")</f>
        <v>WAS</v>
      </c>
      <c r="D1718" s="4" t="str">
        <f>IFERROR(__xludf.DUMMYFUNCTION("""COMPUTED_VALUE"""),"Richard Hamilton")</f>
        <v>Richard Hamilton</v>
      </c>
      <c r="E1718" s="4" t="str">
        <f>IFERROR(__xludf.DUMMYFUNCTION("""COMPUTED_VALUE"""),"UConn")</f>
        <v>UConn</v>
      </c>
      <c r="F1718" s="4">
        <f>IFERROR(__xludf.DUMMYFUNCTION("""COMPUTED_VALUE"""),14.0)</f>
        <v>14</v>
      </c>
      <c r="G1718" s="4">
        <f>IFERROR(__xludf.DUMMYFUNCTION("""COMPUTED_VALUE"""),921.0)</f>
        <v>921</v>
      </c>
      <c r="H1718" s="4">
        <f>IFERROR(__xludf.DUMMYFUNCTION("""COMPUTED_VALUE"""),29559.0)</f>
        <v>29559</v>
      </c>
      <c r="I1718" s="4">
        <f>IFERROR(__xludf.DUMMYFUNCTION("""COMPUTED_VALUE"""),15708.0)</f>
        <v>15708</v>
      </c>
      <c r="J1718" s="4">
        <f>IFERROR(__xludf.DUMMYFUNCTION("""COMPUTED_VALUE"""),2852.0)</f>
        <v>2852</v>
      </c>
      <c r="K1718" s="4">
        <f>IFERROR(__xludf.DUMMYFUNCTION("""COMPUTED_VALUE"""),3125.0)</f>
        <v>3125</v>
      </c>
      <c r="L1718" s="4">
        <f>IFERROR(__xludf.DUMMYFUNCTION("""COMPUTED_VALUE"""),0.449)</f>
        <v>0.449</v>
      </c>
      <c r="M1718" s="4">
        <f>IFERROR(__xludf.DUMMYFUNCTION("""COMPUTED_VALUE"""),0.346)</f>
        <v>0.346</v>
      </c>
      <c r="N1718" s="4">
        <f>IFERROR(__xludf.DUMMYFUNCTION("""COMPUTED_VALUE"""),0.852)</f>
        <v>0.852</v>
      </c>
      <c r="O1718" s="4">
        <f>IFERROR(__xludf.DUMMYFUNCTION("""COMPUTED_VALUE"""),32.1)</f>
        <v>32.1</v>
      </c>
      <c r="P1718" s="4">
        <f>IFERROR(__xludf.DUMMYFUNCTION("""COMPUTED_VALUE"""),17.1)</f>
        <v>17.1</v>
      </c>
      <c r="Q1718" s="4">
        <f>IFERROR(__xludf.DUMMYFUNCTION("""COMPUTED_VALUE"""),3.1)</f>
        <v>3.1</v>
      </c>
      <c r="R1718" s="4">
        <f>IFERROR(__xludf.DUMMYFUNCTION("""COMPUTED_VALUE"""),3.4)</f>
        <v>3.4</v>
      </c>
      <c r="S1718" s="4">
        <f>IFERROR(__xludf.DUMMYFUNCTION("""COMPUTED_VALUE"""),62.8)</f>
        <v>62.8</v>
      </c>
      <c r="T1718" s="4">
        <f>IFERROR(__xludf.DUMMYFUNCTION("""COMPUTED_VALUE"""),0.102)</f>
        <v>0.102</v>
      </c>
      <c r="U1718" s="4">
        <f>IFERROR(__xludf.DUMMYFUNCTION("""COMPUTED_VALUE"""),-0.2)</f>
        <v>-0.2</v>
      </c>
      <c r="V1718" s="4">
        <f>IFERROR(__xludf.DUMMYFUNCTION("""COMPUTED_VALUE"""),13.2)</f>
        <v>13.2</v>
      </c>
    </row>
    <row r="1719">
      <c r="A1719" s="4">
        <f>IFERROR(__xludf.DUMMYFUNCTION("""COMPUTED_VALUE"""),8.0)</f>
        <v>8</v>
      </c>
      <c r="B1719" s="4">
        <f>IFERROR(__xludf.DUMMYFUNCTION("""COMPUTED_VALUE"""),8.0)</f>
        <v>8</v>
      </c>
      <c r="C1719" s="4" t="str">
        <f>IFERROR(__xludf.DUMMYFUNCTION("""COMPUTED_VALUE"""),"CLE")</f>
        <v>CLE</v>
      </c>
      <c r="D1719" s="4" t="str">
        <f>IFERROR(__xludf.DUMMYFUNCTION("""COMPUTED_VALUE"""),"Andre Miller")</f>
        <v>Andre Miller</v>
      </c>
      <c r="E1719" s="4" t="str">
        <f>IFERROR(__xludf.DUMMYFUNCTION("""COMPUTED_VALUE"""),"Utah")</f>
        <v>Utah</v>
      </c>
      <c r="F1719" s="4">
        <f>IFERROR(__xludf.DUMMYFUNCTION("""COMPUTED_VALUE"""),17.0)</f>
        <v>17</v>
      </c>
      <c r="G1719" s="4">
        <f>IFERROR(__xludf.DUMMYFUNCTION("""COMPUTED_VALUE"""),1304.0)</f>
        <v>1304</v>
      </c>
      <c r="H1719" s="4">
        <f>IFERROR(__xludf.DUMMYFUNCTION("""COMPUTED_VALUE"""),40268.0)</f>
        <v>40268</v>
      </c>
      <c r="I1719" s="4">
        <f>IFERROR(__xludf.DUMMYFUNCTION("""COMPUTED_VALUE"""),16278.0)</f>
        <v>16278</v>
      </c>
      <c r="J1719" s="4">
        <f>IFERROR(__xludf.DUMMYFUNCTION("""COMPUTED_VALUE"""),4795.0)</f>
        <v>4795</v>
      </c>
      <c r="K1719" s="4">
        <f>IFERROR(__xludf.DUMMYFUNCTION("""COMPUTED_VALUE"""),8524.0)</f>
        <v>8524</v>
      </c>
      <c r="L1719" s="4">
        <f>IFERROR(__xludf.DUMMYFUNCTION("""COMPUTED_VALUE"""),0.461)</f>
        <v>0.461</v>
      </c>
      <c r="M1719" s="4">
        <f>IFERROR(__xludf.DUMMYFUNCTION("""COMPUTED_VALUE"""),0.217)</f>
        <v>0.217</v>
      </c>
      <c r="N1719" s="4">
        <f>IFERROR(__xludf.DUMMYFUNCTION("""COMPUTED_VALUE"""),0.807)</f>
        <v>0.807</v>
      </c>
      <c r="O1719" s="4">
        <f>IFERROR(__xludf.DUMMYFUNCTION("""COMPUTED_VALUE"""),30.9)</f>
        <v>30.9</v>
      </c>
      <c r="P1719" s="4">
        <f>IFERROR(__xludf.DUMMYFUNCTION("""COMPUTED_VALUE"""),12.5)</f>
        <v>12.5</v>
      </c>
      <c r="Q1719" s="4">
        <f>IFERROR(__xludf.DUMMYFUNCTION("""COMPUTED_VALUE"""),3.7)</f>
        <v>3.7</v>
      </c>
      <c r="R1719" s="4">
        <f>IFERROR(__xludf.DUMMYFUNCTION("""COMPUTED_VALUE"""),6.5)</f>
        <v>6.5</v>
      </c>
      <c r="S1719" s="4">
        <f>IFERROR(__xludf.DUMMYFUNCTION("""COMPUTED_VALUE"""),100.8)</f>
        <v>100.8</v>
      </c>
      <c r="T1719" s="4">
        <f>IFERROR(__xludf.DUMMYFUNCTION("""COMPUTED_VALUE"""),0.12)</f>
        <v>0.12</v>
      </c>
      <c r="U1719" s="4">
        <f>IFERROR(__xludf.DUMMYFUNCTION("""COMPUTED_VALUE"""),1.3)</f>
        <v>1.3</v>
      </c>
      <c r="V1719" s="4">
        <f>IFERROR(__xludf.DUMMYFUNCTION("""COMPUTED_VALUE"""),33.4)</f>
        <v>33.4</v>
      </c>
    </row>
    <row r="1720">
      <c r="A1720" s="4">
        <f>IFERROR(__xludf.DUMMYFUNCTION("""COMPUTED_VALUE"""),9.0)</f>
        <v>9</v>
      </c>
      <c r="B1720" s="4">
        <f>IFERROR(__xludf.DUMMYFUNCTION("""COMPUTED_VALUE"""),9.0)</f>
        <v>9</v>
      </c>
      <c r="C1720" s="4" t="str">
        <f>IFERROR(__xludf.DUMMYFUNCTION("""COMPUTED_VALUE"""),"PHO")</f>
        <v>PHO</v>
      </c>
      <c r="D1720" s="4" t="str">
        <f>IFERROR(__xludf.DUMMYFUNCTION("""COMPUTED_VALUE"""),"Shawn Marion")</f>
        <v>Shawn Marion</v>
      </c>
      <c r="E1720" s="4" t="str">
        <f>IFERROR(__xludf.DUMMYFUNCTION("""COMPUTED_VALUE"""),"UNLV")</f>
        <v>UNLV</v>
      </c>
      <c r="F1720" s="4">
        <f>IFERROR(__xludf.DUMMYFUNCTION("""COMPUTED_VALUE"""),16.0)</f>
        <v>16</v>
      </c>
      <c r="G1720" s="4">
        <f>IFERROR(__xludf.DUMMYFUNCTION("""COMPUTED_VALUE"""),1163.0)</f>
        <v>1163</v>
      </c>
      <c r="H1720" s="4">
        <f>IFERROR(__xludf.DUMMYFUNCTION("""COMPUTED_VALUE"""),40097.0)</f>
        <v>40097</v>
      </c>
      <c r="I1720" s="4">
        <f>IFERROR(__xludf.DUMMYFUNCTION("""COMPUTED_VALUE"""),17700.0)</f>
        <v>17700</v>
      </c>
      <c r="J1720" s="4">
        <f>IFERROR(__xludf.DUMMYFUNCTION("""COMPUTED_VALUE"""),10101.0)</f>
        <v>10101</v>
      </c>
      <c r="K1720" s="4">
        <f>IFERROR(__xludf.DUMMYFUNCTION("""COMPUTED_VALUE"""),2198.0)</f>
        <v>2198</v>
      </c>
      <c r="L1720" s="4">
        <f>IFERROR(__xludf.DUMMYFUNCTION("""COMPUTED_VALUE"""),0.484)</f>
        <v>0.484</v>
      </c>
      <c r="M1720" s="4">
        <f>IFERROR(__xludf.DUMMYFUNCTION("""COMPUTED_VALUE"""),0.331)</f>
        <v>0.331</v>
      </c>
      <c r="N1720" s="4">
        <f>IFERROR(__xludf.DUMMYFUNCTION("""COMPUTED_VALUE"""),0.81)</f>
        <v>0.81</v>
      </c>
      <c r="O1720" s="4">
        <f>IFERROR(__xludf.DUMMYFUNCTION("""COMPUTED_VALUE"""),34.5)</f>
        <v>34.5</v>
      </c>
      <c r="P1720" s="4">
        <f>IFERROR(__xludf.DUMMYFUNCTION("""COMPUTED_VALUE"""),15.2)</f>
        <v>15.2</v>
      </c>
      <c r="Q1720" s="4">
        <f>IFERROR(__xludf.DUMMYFUNCTION("""COMPUTED_VALUE"""),8.7)</f>
        <v>8.7</v>
      </c>
      <c r="R1720" s="4">
        <f>IFERROR(__xludf.DUMMYFUNCTION("""COMPUTED_VALUE"""),1.9)</f>
        <v>1.9</v>
      </c>
      <c r="S1720" s="4">
        <f>IFERROR(__xludf.DUMMYFUNCTION("""COMPUTED_VALUE"""),124.9)</f>
        <v>124.9</v>
      </c>
      <c r="T1720" s="4">
        <f>IFERROR(__xludf.DUMMYFUNCTION("""COMPUTED_VALUE"""),0.15)</f>
        <v>0.15</v>
      </c>
      <c r="U1720" s="4">
        <f>IFERROR(__xludf.DUMMYFUNCTION("""COMPUTED_VALUE"""),2.7)</f>
        <v>2.7</v>
      </c>
      <c r="V1720" s="4">
        <f>IFERROR(__xludf.DUMMYFUNCTION("""COMPUTED_VALUE"""),47.6)</f>
        <v>47.6</v>
      </c>
    </row>
    <row r="1721">
      <c r="A1721" s="4">
        <f>IFERROR(__xludf.DUMMYFUNCTION("""COMPUTED_VALUE"""),10.0)</f>
        <v>10</v>
      </c>
      <c r="B1721" s="4">
        <f>IFERROR(__xludf.DUMMYFUNCTION("""COMPUTED_VALUE"""),10.0)</f>
        <v>10</v>
      </c>
      <c r="C1721" s="4" t="str">
        <f>IFERROR(__xludf.DUMMYFUNCTION("""COMPUTED_VALUE"""),"ATL")</f>
        <v>ATL</v>
      </c>
      <c r="D1721" s="4" t="str">
        <f>IFERROR(__xludf.DUMMYFUNCTION("""COMPUTED_VALUE"""),"Jason Terry")</f>
        <v>Jason Terry</v>
      </c>
      <c r="E1721" s="4" t="str">
        <f>IFERROR(__xludf.DUMMYFUNCTION("""COMPUTED_VALUE"""),"Arizona")</f>
        <v>Arizona</v>
      </c>
      <c r="F1721" s="4">
        <f>IFERROR(__xludf.DUMMYFUNCTION("""COMPUTED_VALUE"""),19.0)</f>
        <v>19</v>
      </c>
      <c r="G1721" s="4">
        <f>IFERROR(__xludf.DUMMYFUNCTION("""COMPUTED_VALUE"""),1410.0)</f>
        <v>1410</v>
      </c>
      <c r="H1721" s="4">
        <f>IFERROR(__xludf.DUMMYFUNCTION("""COMPUTED_VALUE"""),42034.0)</f>
        <v>42034</v>
      </c>
      <c r="I1721" s="4">
        <f>IFERROR(__xludf.DUMMYFUNCTION("""COMPUTED_VALUE"""),18881.0)</f>
        <v>18881</v>
      </c>
      <c r="J1721" s="4">
        <f>IFERROR(__xludf.DUMMYFUNCTION("""COMPUTED_VALUE"""),3274.0)</f>
        <v>3274</v>
      </c>
      <c r="K1721" s="4">
        <f>IFERROR(__xludf.DUMMYFUNCTION("""COMPUTED_VALUE"""),5415.0)</f>
        <v>5415</v>
      </c>
      <c r="L1721" s="4">
        <f>IFERROR(__xludf.DUMMYFUNCTION("""COMPUTED_VALUE"""),0.444)</f>
        <v>0.444</v>
      </c>
      <c r="M1721" s="4">
        <f>IFERROR(__xludf.DUMMYFUNCTION("""COMPUTED_VALUE"""),0.38)</f>
        <v>0.38</v>
      </c>
      <c r="N1721" s="4">
        <f>IFERROR(__xludf.DUMMYFUNCTION("""COMPUTED_VALUE"""),0.845)</f>
        <v>0.845</v>
      </c>
      <c r="O1721" s="4">
        <f>IFERROR(__xludf.DUMMYFUNCTION("""COMPUTED_VALUE"""),29.8)</f>
        <v>29.8</v>
      </c>
      <c r="P1721" s="4">
        <f>IFERROR(__xludf.DUMMYFUNCTION("""COMPUTED_VALUE"""),13.4)</f>
        <v>13.4</v>
      </c>
      <c r="Q1721" s="4">
        <f>IFERROR(__xludf.DUMMYFUNCTION("""COMPUTED_VALUE"""),2.3)</f>
        <v>2.3</v>
      </c>
      <c r="R1721" s="4">
        <f>IFERROR(__xludf.DUMMYFUNCTION("""COMPUTED_VALUE"""),3.8)</f>
        <v>3.8</v>
      </c>
      <c r="S1721" s="4">
        <f>IFERROR(__xludf.DUMMYFUNCTION("""COMPUTED_VALUE"""),102.0)</f>
        <v>102</v>
      </c>
      <c r="T1721" s="4">
        <f>IFERROR(__xludf.DUMMYFUNCTION("""COMPUTED_VALUE"""),0.116)</f>
        <v>0.116</v>
      </c>
      <c r="U1721" s="4">
        <f>IFERROR(__xludf.DUMMYFUNCTION("""COMPUTED_VALUE"""),1.5)</f>
        <v>1.5</v>
      </c>
      <c r="V1721" s="4">
        <f>IFERROR(__xludf.DUMMYFUNCTION("""COMPUTED_VALUE"""),37.4)</f>
        <v>37.4</v>
      </c>
    </row>
    <row r="1722">
      <c r="A1722" s="4">
        <f>IFERROR(__xludf.DUMMYFUNCTION("""COMPUTED_VALUE"""),11.0)</f>
        <v>11</v>
      </c>
      <c r="B1722" s="4">
        <f>IFERROR(__xludf.DUMMYFUNCTION("""COMPUTED_VALUE"""),11.0)</f>
        <v>11</v>
      </c>
      <c r="C1722" s="4" t="str">
        <f>IFERROR(__xludf.DUMMYFUNCTION("""COMPUTED_VALUE"""),"CLE")</f>
        <v>CLE</v>
      </c>
      <c r="D1722" s="4" t="str">
        <f>IFERROR(__xludf.DUMMYFUNCTION("""COMPUTED_VALUE"""),"Trajan Langdon")</f>
        <v>Trajan Langdon</v>
      </c>
      <c r="E1722" s="4" t="str">
        <f>IFERROR(__xludf.DUMMYFUNCTION("""COMPUTED_VALUE"""),"Duke")</f>
        <v>Duke</v>
      </c>
      <c r="F1722" s="4">
        <f>IFERROR(__xludf.DUMMYFUNCTION("""COMPUTED_VALUE"""),3.0)</f>
        <v>3</v>
      </c>
      <c r="G1722" s="4">
        <f>IFERROR(__xludf.DUMMYFUNCTION("""COMPUTED_VALUE"""),119.0)</f>
        <v>119</v>
      </c>
      <c r="H1722" s="4">
        <f>IFERROR(__xludf.DUMMYFUNCTION("""COMPUTED_VALUE"""),1738.0)</f>
        <v>1738</v>
      </c>
      <c r="I1722" s="4">
        <f>IFERROR(__xludf.DUMMYFUNCTION("""COMPUTED_VALUE"""),647.0)</f>
        <v>647</v>
      </c>
      <c r="J1722" s="4">
        <f>IFERROR(__xludf.DUMMYFUNCTION("""COMPUTED_VALUE"""),159.0)</f>
        <v>159</v>
      </c>
      <c r="K1722" s="4">
        <f>IFERROR(__xludf.DUMMYFUNCTION("""COMPUTED_VALUE"""),152.0)</f>
        <v>152</v>
      </c>
      <c r="L1722" s="4">
        <f>IFERROR(__xludf.DUMMYFUNCTION("""COMPUTED_VALUE"""),0.416)</f>
        <v>0.416</v>
      </c>
      <c r="M1722" s="4">
        <f>IFERROR(__xludf.DUMMYFUNCTION("""COMPUTED_VALUE"""),0.396)</f>
        <v>0.396</v>
      </c>
      <c r="N1722" s="4">
        <f>IFERROR(__xludf.DUMMYFUNCTION("""COMPUTED_VALUE"""),0.91)</f>
        <v>0.91</v>
      </c>
      <c r="O1722" s="4">
        <f>IFERROR(__xludf.DUMMYFUNCTION("""COMPUTED_VALUE"""),14.6)</f>
        <v>14.6</v>
      </c>
      <c r="P1722" s="4">
        <f>IFERROR(__xludf.DUMMYFUNCTION("""COMPUTED_VALUE"""),5.4)</f>
        <v>5.4</v>
      </c>
      <c r="Q1722" s="4">
        <f>IFERROR(__xludf.DUMMYFUNCTION("""COMPUTED_VALUE"""),1.3)</f>
        <v>1.3</v>
      </c>
      <c r="R1722" s="4">
        <f>IFERROR(__xludf.DUMMYFUNCTION("""COMPUTED_VALUE"""),1.3)</f>
        <v>1.3</v>
      </c>
      <c r="S1722" s="4">
        <f>IFERROR(__xludf.DUMMYFUNCTION("""COMPUTED_VALUE"""),2.9)</f>
        <v>2.9</v>
      </c>
      <c r="T1722" s="4">
        <f>IFERROR(__xludf.DUMMYFUNCTION("""COMPUTED_VALUE"""),0.079)</f>
        <v>0.079</v>
      </c>
      <c r="U1722" s="4">
        <f>IFERROR(__xludf.DUMMYFUNCTION("""COMPUTED_VALUE"""),-1.1)</f>
        <v>-1.1</v>
      </c>
      <c r="V1722" s="4">
        <f>IFERROR(__xludf.DUMMYFUNCTION("""COMPUTED_VALUE"""),0.4)</f>
        <v>0.4</v>
      </c>
    </row>
    <row r="1723">
      <c r="A1723" s="4">
        <f>IFERROR(__xludf.DUMMYFUNCTION("""COMPUTED_VALUE"""),12.0)</f>
        <v>12</v>
      </c>
      <c r="B1723" s="4">
        <f>IFERROR(__xludf.DUMMYFUNCTION("""COMPUTED_VALUE"""),12.0)</f>
        <v>12</v>
      </c>
      <c r="C1723" s="4" t="str">
        <f>IFERROR(__xludf.DUMMYFUNCTION("""COMPUTED_VALUE"""),"TOR")</f>
        <v>TOR</v>
      </c>
      <c r="D1723" s="4" t="str">
        <f>IFERROR(__xludf.DUMMYFUNCTION("""COMPUTED_VALUE"""),"Aleksandar Radojević")</f>
        <v>Aleksandar Radojević</v>
      </c>
      <c r="E1723" s="4" t="str">
        <f>IFERROR(__xludf.DUMMYFUNCTION("""COMPUTED_VALUE"""),"Barton County Community College")</f>
        <v>Barton County Community College</v>
      </c>
      <c r="F1723" s="4">
        <f>IFERROR(__xludf.DUMMYFUNCTION("""COMPUTED_VALUE"""),2.0)</f>
        <v>2</v>
      </c>
      <c r="G1723" s="4">
        <f>IFERROR(__xludf.DUMMYFUNCTION("""COMPUTED_VALUE"""),15.0)</f>
        <v>15</v>
      </c>
      <c r="H1723" s="4">
        <f>IFERROR(__xludf.DUMMYFUNCTION("""COMPUTED_VALUE"""),152.0)</f>
        <v>152</v>
      </c>
      <c r="I1723" s="4">
        <f>IFERROR(__xludf.DUMMYFUNCTION("""COMPUTED_VALUE"""),26.0)</f>
        <v>26</v>
      </c>
      <c r="J1723" s="4">
        <f>IFERROR(__xludf.DUMMYFUNCTION("""COMPUTED_VALUE"""),36.0)</f>
        <v>36</v>
      </c>
      <c r="K1723" s="4">
        <f>IFERROR(__xludf.DUMMYFUNCTION("""COMPUTED_VALUE"""),7.0)</f>
        <v>7</v>
      </c>
      <c r="L1723" s="4">
        <f>IFERROR(__xludf.DUMMYFUNCTION("""COMPUTED_VALUE"""),0.308)</f>
        <v>0.308</v>
      </c>
      <c r="M1723" s="4"/>
      <c r="N1723" s="4">
        <f>IFERROR(__xludf.DUMMYFUNCTION("""COMPUTED_VALUE"""),0.625)</f>
        <v>0.625</v>
      </c>
      <c r="O1723" s="4">
        <f>IFERROR(__xludf.DUMMYFUNCTION("""COMPUTED_VALUE"""),10.1)</f>
        <v>10.1</v>
      </c>
      <c r="P1723" s="4">
        <f>IFERROR(__xludf.DUMMYFUNCTION("""COMPUTED_VALUE"""),1.7)</f>
        <v>1.7</v>
      </c>
      <c r="Q1723" s="4">
        <f>IFERROR(__xludf.DUMMYFUNCTION("""COMPUTED_VALUE"""),2.4)</f>
        <v>2.4</v>
      </c>
      <c r="R1723" s="4">
        <f>IFERROR(__xludf.DUMMYFUNCTION("""COMPUTED_VALUE"""),0.5)</f>
        <v>0.5</v>
      </c>
      <c r="S1723" s="4">
        <f>IFERROR(__xludf.DUMMYFUNCTION("""COMPUTED_VALUE"""),-0.4)</f>
        <v>-0.4</v>
      </c>
      <c r="T1723" s="4">
        <f>IFERROR(__xludf.DUMMYFUNCTION("""COMPUTED_VALUE"""),-0.13)</f>
        <v>-0.13</v>
      </c>
      <c r="U1723" s="4">
        <f>IFERROR(__xludf.DUMMYFUNCTION("""COMPUTED_VALUE"""),-11.6)</f>
        <v>-11.6</v>
      </c>
      <c r="V1723" s="4">
        <f>IFERROR(__xludf.DUMMYFUNCTION("""COMPUTED_VALUE"""),-0.4)</f>
        <v>-0.4</v>
      </c>
    </row>
    <row r="1724">
      <c r="A1724" s="4">
        <f>IFERROR(__xludf.DUMMYFUNCTION("""COMPUTED_VALUE"""),13.0)</f>
        <v>13</v>
      </c>
      <c r="B1724" s="4">
        <f>IFERROR(__xludf.DUMMYFUNCTION("""COMPUTED_VALUE"""),13.0)</f>
        <v>13</v>
      </c>
      <c r="C1724" s="4" t="str">
        <f>IFERROR(__xludf.DUMMYFUNCTION("""COMPUTED_VALUE"""),"SEA")</f>
        <v>SEA</v>
      </c>
      <c r="D1724" s="4" t="str">
        <f>IFERROR(__xludf.DUMMYFUNCTION("""COMPUTED_VALUE"""),"Corey Maggette")</f>
        <v>Corey Maggette</v>
      </c>
      <c r="E1724" s="4" t="str">
        <f>IFERROR(__xludf.DUMMYFUNCTION("""COMPUTED_VALUE"""),"Duke")</f>
        <v>Duke</v>
      </c>
      <c r="F1724" s="4">
        <f>IFERROR(__xludf.DUMMYFUNCTION("""COMPUTED_VALUE"""),14.0)</f>
        <v>14</v>
      </c>
      <c r="G1724" s="4">
        <f>IFERROR(__xludf.DUMMYFUNCTION("""COMPUTED_VALUE"""),827.0)</f>
        <v>827</v>
      </c>
      <c r="H1724" s="4">
        <f>IFERROR(__xludf.DUMMYFUNCTION("""COMPUTED_VALUE"""),23358.0)</f>
        <v>23358</v>
      </c>
      <c r="I1724" s="4">
        <f>IFERROR(__xludf.DUMMYFUNCTION("""COMPUTED_VALUE"""),13198.0)</f>
        <v>13198</v>
      </c>
      <c r="J1724" s="4">
        <f>IFERROR(__xludf.DUMMYFUNCTION("""COMPUTED_VALUE"""),4022.0)</f>
        <v>4022</v>
      </c>
      <c r="K1724" s="4">
        <f>IFERROR(__xludf.DUMMYFUNCTION("""COMPUTED_VALUE"""),1696.0)</f>
        <v>1696</v>
      </c>
      <c r="L1724" s="4">
        <f>IFERROR(__xludf.DUMMYFUNCTION("""COMPUTED_VALUE"""),0.453)</f>
        <v>0.453</v>
      </c>
      <c r="M1724" s="4">
        <f>IFERROR(__xludf.DUMMYFUNCTION("""COMPUTED_VALUE"""),0.324)</f>
        <v>0.324</v>
      </c>
      <c r="N1724" s="4">
        <f>IFERROR(__xludf.DUMMYFUNCTION("""COMPUTED_VALUE"""),0.822)</f>
        <v>0.822</v>
      </c>
      <c r="O1724" s="4">
        <f>IFERROR(__xludf.DUMMYFUNCTION("""COMPUTED_VALUE"""),28.2)</f>
        <v>28.2</v>
      </c>
      <c r="P1724" s="4">
        <f>IFERROR(__xludf.DUMMYFUNCTION("""COMPUTED_VALUE"""),16.0)</f>
        <v>16</v>
      </c>
      <c r="Q1724" s="4">
        <f>IFERROR(__xludf.DUMMYFUNCTION("""COMPUTED_VALUE"""),4.9)</f>
        <v>4.9</v>
      </c>
      <c r="R1724" s="4">
        <f>IFERROR(__xludf.DUMMYFUNCTION("""COMPUTED_VALUE"""),2.1)</f>
        <v>2.1</v>
      </c>
      <c r="S1724" s="4">
        <f>IFERROR(__xludf.DUMMYFUNCTION("""COMPUTED_VALUE"""),62.2)</f>
        <v>62.2</v>
      </c>
      <c r="T1724" s="4">
        <f>IFERROR(__xludf.DUMMYFUNCTION("""COMPUTED_VALUE"""),0.128)</f>
        <v>0.128</v>
      </c>
      <c r="U1724" s="4">
        <f>IFERROR(__xludf.DUMMYFUNCTION("""COMPUTED_VALUE"""),0.3)</f>
        <v>0.3</v>
      </c>
      <c r="V1724" s="4">
        <f>IFERROR(__xludf.DUMMYFUNCTION("""COMPUTED_VALUE"""),13.3)</f>
        <v>13.3</v>
      </c>
    </row>
    <row r="1725">
      <c r="A1725" s="4">
        <f>IFERROR(__xludf.DUMMYFUNCTION("""COMPUTED_VALUE"""),14.0)</f>
        <v>14</v>
      </c>
      <c r="B1725" s="4">
        <f>IFERROR(__xludf.DUMMYFUNCTION("""COMPUTED_VALUE"""),14.0)</f>
        <v>14</v>
      </c>
      <c r="C1725" s="4" t="str">
        <f>IFERROR(__xludf.DUMMYFUNCTION("""COMPUTED_VALUE"""),"MIN")</f>
        <v>MIN</v>
      </c>
      <c r="D1725" s="4" t="str">
        <f>IFERROR(__xludf.DUMMYFUNCTION("""COMPUTED_VALUE"""),"William Avery")</f>
        <v>William Avery</v>
      </c>
      <c r="E1725" s="4" t="str">
        <f>IFERROR(__xludf.DUMMYFUNCTION("""COMPUTED_VALUE"""),"Duke")</f>
        <v>Duke</v>
      </c>
      <c r="F1725" s="4">
        <f>IFERROR(__xludf.DUMMYFUNCTION("""COMPUTED_VALUE"""),3.0)</f>
        <v>3</v>
      </c>
      <c r="G1725" s="4">
        <f>IFERROR(__xludf.DUMMYFUNCTION("""COMPUTED_VALUE"""),142.0)</f>
        <v>142</v>
      </c>
      <c r="H1725" s="4">
        <f>IFERROR(__xludf.DUMMYFUNCTION("""COMPUTED_VALUE"""),1205.0)</f>
        <v>1205</v>
      </c>
      <c r="I1725" s="4">
        <f>IFERROR(__xludf.DUMMYFUNCTION("""COMPUTED_VALUE"""),379.0)</f>
        <v>379</v>
      </c>
      <c r="J1725" s="4">
        <f>IFERROR(__xludf.DUMMYFUNCTION("""COMPUTED_VALUE"""),93.0)</f>
        <v>93</v>
      </c>
      <c r="K1725" s="4">
        <f>IFERROR(__xludf.DUMMYFUNCTION("""COMPUTED_VALUE"""),199.0)</f>
        <v>199</v>
      </c>
      <c r="L1725" s="4">
        <f>IFERROR(__xludf.DUMMYFUNCTION("""COMPUTED_VALUE"""),0.33)</f>
        <v>0.33</v>
      </c>
      <c r="M1725" s="4">
        <f>IFERROR(__xludf.DUMMYFUNCTION("""COMPUTED_VALUE"""),0.255)</f>
        <v>0.255</v>
      </c>
      <c r="N1725" s="4">
        <f>IFERROR(__xludf.DUMMYFUNCTION("""COMPUTED_VALUE"""),0.714)</f>
        <v>0.714</v>
      </c>
      <c r="O1725" s="4">
        <f>IFERROR(__xludf.DUMMYFUNCTION("""COMPUTED_VALUE"""),8.5)</f>
        <v>8.5</v>
      </c>
      <c r="P1725" s="4">
        <f>IFERROR(__xludf.DUMMYFUNCTION("""COMPUTED_VALUE"""),2.7)</f>
        <v>2.7</v>
      </c>
      <c r="Q1725" s="4">
        <f>IFERROR(__xludf.DUMMYFUNCTION("""COMPUTED_VALUE"""),0.7)</f>
        <v>0.7</v>
      </c>
      <c r="R1725" s="4">
        <f>IFERROR(__xludf.DUMMYFUNCTION("""COMPUTED_VALUE"""),1.4)</f>
        <v>1.4</v>
      </c>
      <c r="S1725" s="4">
        <f>IFERROR(__xludf.DUMMYFUNCTION("""COMPUTED_VALUE"""),-0.9)</f>
        <v>-0.9</v>
      </c>
      <c r="T1725" s="4">
        <f>IFERROR(__xludf.DUMMYFUNCTION("""COMPUTED_VALUE"""),-0.034)</f>
        <v>-0.034</v>
      </c>
      <c r="U1725" s="4">
        <f>IFERROR(__xludf.DUMMYFUNCTION("""COMPUTED_VALUE"""),-5.6)</f>
        <v>-5.6</v>
      </c>
      <c r="V1725" s="4">
        <f>IFERROR(__xludf.DUMMYFUNCTION("""COMPUTED_VALUE"""),-1.1)</f>
        <v>-1.1</v>
      </c>
    </row>
    <row r="1726">
      <c r="A1726" s="4">
        <f>IFERROR(__xludf.DUMMYFUNCTION("""COMPUTED_VALUE"""),15.0)</f>
        <v>15</v>
      </c>
      <c r="B1726" s="4">
        <f>IFERROR(__xludf.DUMMYFUNCTION("""COMPUTED_VALUE"""),15.0)</f>
        <v>15</v>
      </c>
      <c r="C1726" s="4" t="str">
        <f>IFERROR(__xludf.DUMMYFUNCTION("""COMPUTED_VALUE"""),"NYK")</f>
        <v>NYK</v>
      </c>
      <c r="D1726" s="4" t="str">
        <f>IFERROR(__xludf.DUMMYFUNCTION("""COMPUTED_VALUE"""),"Frédéric Weis")</f>
        <v>Frédéric Weis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</row>
    <row r="1727">
      <c r="A1727" s="4">
        <f>IFERROR(__xludf.DUMMYFUNCTION("""COMPUTED_VALUE"""),16.0)</f>
        <v>16</v>
      </c>
      <c r="B1727" s="4">
        <f>IFERROR(__xludf.DUMMYFUNCTION("""COMPUTED_VALUE"""),16.0)</f>
        <v>16</v>
      </c>
      <c r="C1727" s="4" t="str">
        <f>IFERROR(__xludf.DUMMYFUNCTION("""COMPUTED_VALUE"""),"CHI")</f>
        <v>CHI</v>
      </c>
      <c r="D1727" s="4" t="str">
        <f>IFERROR(__xludf.DUMMYFUNCTION("""COMPUTED_VALUE"""),"Metta World Peace")</f>
        <v>Metta World Peace</v>
      </c>
      <c r="E1727" s="4" t="str">
        <f>IFERROR(__xludf.DUMMYFUNCTION("""COMPUTED_VALUE"""),"St. John's")</f>
        <v>St. John's</v>
      </c>
      <c r="F1727" s="4">
        <f>IFERROR(__xludf.DUMMYFUNCTION("""COMPUTED_VALUE"""),17.0)</f>
        <v>17</v>
      </c>
      <c r="G1727" s="4">
        <f>IFERROR(__xludf.DUMMYFUNCTION("""COMPUTED_VALUE"""),991.0)</f>
        <v>991</v>
      </c>
      <c r="H1727" s="4">
        <f>IFERROR(__xludf.DUMMYFUNCTION("""COMPUTED_VALUE"""),31440.0)</f>
        <v>31440</v>
      </c>
      <c r="I1727" s="4">
        <f>IFERROR(__xludf.DUMMYFUNCTION("""COMPUTED_VALUE"""),13058.0)</f>
        <v>13058</v>
      </c>
      <c r="J1727" s="4">
        <f>IFERROR(__xludf.DUMMYFUNCTION("""COMPUTED_VALUE"""),4448.0)</f>
        <v>4448</v>
      </c>
      <c r="K1727" s="4">
        <f>IFERROR(__xludf.DUMMYFUNCTION("""COMPUTED_VALUE"""),2631.0)</f>
        <v>2631</v>
      </c>
      <c r="L1727" s="4">
        <f>IFERROR(__xludf.DUMMYFUNCTION("""COMPUTED_VALUE"""),0.414)</f>
        <v>0.414</v>
      </c>
      <c r="M1727" s="4">
        <f>IFERROR(__xludf.DUMMYFUNCTION("""COMPUTED_VALUE"""),0.339)</f>
        <v>0.339</v>
      </c>
      <c r="N1727" s="4">
        <f>IFERROR(__xludf.DUMMYFUNCTION("""COMPUTED_VALUE"""),0.715)</f>
        <v>0.715</v>
      </c>
      <c r="O1727" s="4">
        <f>IFERROR(__xludf.DUMMYFUNCTION("""COMPUTED_VALUE"""),31.7)</f>
        <v>31.7</v>
      </c>
      <c r="P1727" s="4">
        <f>IFERROR(__xludf.DUMMYFUNCTION("""COMPUTED_VALUE"""),13.2)</f>
        <v>13.2</v>
      </c>
      <c r="Q1727" s="4">
        <f>IFERROR(__xludf.DUMMYFUNCTION("""COMPUTED_VALUE"""),4.5)</f>
        <v>4.5</v>
      </c>
      <c r="R1727" s="4">
        <f>IFERROR(__xludf.DUMMYFUNCTION("""COMPUTED_VALUE"""),2.7)</f>
        <v>2.7</v>
      </c>
      <c r="S1727" s="4">
        <f>IFERROR(__xludf.DUMMYFUNCTION("""COMPUTED_VALUE"""),61.1)</f>
        <v>61.1</v>
      </c>
      <c r="T1727" s="4">
        <f>IFERROR(__xludf.DUMMYFUNCTION("""COMPUTED_VALUE"""),0.093)</f>
        <v>0.093</v>
      </c>
      <c r="U1727" s="4">
        <f>IFERROR(__xludf.DUMMYFUNCTION("""COMPUTED_VALUE"""),1.2)</f>
        <v>1.2</v>
      </c>
      <c r="V1727" s="4">
        <f>IFERROR(__xludf.DUMMYFUNCTION("""COMPUTED_VALUE"""),25.4)</f>
        <v>25.4</v>
      </c>
    </row>
    <row r="1728">
      <c r="A1728" s="4">
        <f>IFERROR(__xludf.DUMMYFUNCTION("""COMPUTED_VALUE"""),17.0)</f>
        <v>17</v>
      </c>
      <c r="B1728" s="4">
        <f>IFERROR(__xludf.DUMMYFUNCTION("""COMPUTED_VALUE"""),17.0)</f>
        <v>17</v>
      </c>
      <c r="C1728" s="4" t="str">
        <f>IFERROR(__xludf.DUMMYFUNCTION("""COMPUTED_VALUE"""),"ATL")</f>
        <v>ATL</v>
      </c>
      <c r="D1728" s="4" t="str">
        <f>IFERROR(__xludf.DUMMYFUNCTION("""COMPUTED_VALUE"""),"Cal Bowdler")</f>
        <v>Cal Bowdler</v>
      </c>
      <c r="E1728" s="4" t="str">
        <f>IFERROR(__xludf.DUMMYFUNCTION("""COMPUTED_VALUE"""),"Old Dominion")</f>
        <v>Old Dominion</v>
      </c>
      <c r="F1728" s="4">
        <f>IFERROR(__xludf.DUMMYFUNCTION("""COMPUTED_VALUE"""),3.0)</f>
        <v>3</v>
      </c>
      <c r="G1728" s="4">
        <f>IFERROR(__xludf.DUMMYFUNCTION("""COMPUTED_VALUE"""),142.0)</f>
        <v>142</v>
      </c>
      <c r="H1728" s="4">
        <f>IFERROR(__xludf.DUMMYFUNCTION("""COMPUTED_VALUE"""),1383.0)</f>
        <v>1383</v>
      </c>
      <c r="I1728" s="4">
        <f>IFERROR(__xludf.DUMMYFUNCTION("""COMPUTED_VALUE"""),424.0)</f>
        <v>424</v>
      </c>
      <c r="J1728" s="4">
        <f>IFERROR(__xludf.DUMMYFUNCTION("""COMPUTED_VALUE"""),272.0)</f>
        <v>272</v>
      </c>
      <c r="K1728" s="4">
        <f>IFERROR(__xludf.DUMMYFUNCTION("""COMPUTED_VALUE"""),29.0)</f>
        <v>29</v>
      </c>
      <c r="L1728" s="4">
        <f>IFERROR(__xludf.DUMMYFUNCTION("""COMPUTED_VALUE"""),0.404)</f>
        <v>0.404</v>
      </c>
      <c r="M1728" s="4">
        <f>IFERROR(__xludf.DUMMYFUNCTION("""COMPUTED_VALUE"""),0.182)</f>
        <v>0.182</v>
      </c>
      <c r="N1728" s="4">
        <f>IFERROR(__xludf.DUMMYFUNCTION("""COMPUTED_VALUE"""),0.768)</f>
        <v>0.768</v>
      </c>
      <c r="O1728" s="4">
        <f>IFERROR(__xludf.DUMMYFUNCTION("""COMPUTED_VALUE"""),9.7)</f>
        <v>9.7</v>
      </c>
      <c r="P1728" s="4">
        <f>IFERROR(__xludf.DUMMYFUNCTION("""COMPUTED_VALUE"""),3.0)</f>
        <v>3</v>
      </c>
      <c r="Q1728" s="4">
        <f>IFERROR(__xludf.DUMMYFUNCTION("""COMPUTED_VALUE"""),1.9)</f>
        <v>1.9</v>
      </c>
      <c r="R1728" s="4">
        <f>IFERROR(__xludf.DUMMYFUNCTION("""COMPUTED_VALUE"""),0.2)</f>
        <v>0.2</v>
      </c>
      <c r="S1728" s="4">
        <f>IFERROR(__xludf.DUMMYFUNCTION("""COMPUTED_VALUE"""),1.8)</f>
        <v>1.8</v>
      </c>
      <c r="T1728" s="4">
        <f>IFERROR(__xludf.DUMMYFUNCTION("""COMPUTED_VALUE"""),0.061)</f>
        <v>0.061</v>
      </c>
      <c r="U1728" s="4">
        <f>IFERROR(__xludf.DUMMYFUNCTION("""COMPUTED_VALUE"""),-3.2)</f>
        <v>-3.2</v>
      </c>
      <c r="V1728" s="4">
        <f>IFERROR(__xludf.DUMMYFUNCTION("""COMPUTED_VALUE"""),-0.4)</f>
        <v>-0.4</v>
      </c>
    </row>
    <row r="1729">
      <c r="A1729" s="4">
        <f>IFERROR(__xludf.DUMMYFUNCTION("""COMPUTED_VALUE"""),18.0)</f>
        <v>18</v>
      </c>
      <c r="B1729" s="4">
        <f>IFERROR(__xludf.DUMMYFUNCTION("""COMPUTED_VALUE"""),18.0)</f>
        <v>18</v>
      </c>
      <c r="C1729" s="4" t="str">
        <f>IFERROR(__xludf.DUMMYFUNCTION("""COMPUTED_VALUE"""),"DEN")</f>
        <v>DEN</v>
      </c>
      <c r="D1729" s="4" t="str">
        <f>IFERROR(__xludf.DUMMYFUNCTION("""COMPUTED_VALUE"""),"James Posey")</f>
        <v>James Posey</v>
      </c>
      <c r="E1729" s="4" t="str">
        <f>IFERROR(__xludf.DUMMYFUNCTION("""COMPUTED_VALUE"""),"Xavier")</f>
        <v>Xavier</v>
      </c>
      <c r="F1729" s="4">
        <f>IFERROR(__xludf.DUMMYFUNCTION("""COMPUTED_VALUE"""),12.0)</f>
        <v>12</v>
      </c>
      <c r="G1729" s="4">
        <f>IFERROR(__xludf.DUMMYFUNCTION("""COMPUTED_VALUE"""),864.0)</f>
        <v>864</v>
      </c>
      <c r="H1729" s="4">
        <f>IFERROR(__xludf.DUMMYFUNCTION("""COMPUTED_VALUE"""),23260.0)</f>
        <v>23260</v>
      </c>
      <c r="I1729" s="4">
        <f>IFERROR(__xludf.DUMMYFUNCTION("""COMPUTED_VALUE"""),7419.0)</f>
        <v>7419</v>
      </c>
      <c r="J1729" s="4">
        <f>IFERROR(__xludf.DUMMYFUNCTION("""COMPUTED_VALUE"""),4061.0)</f>
        <v>4061</v>
      </c>
      <c r="K1729" s="4">
        <f>IFERROR(__xludf.DUMMYFUNCTION("""COMPUTED_VALUE"""),1413.0)</f>
        <v>1413</v>
      </c>
      <c r="L1729" s="4">
        <f>IFERROR(__xludf.DUMMYFUNCTION("""COMPUTED_VALUE"""),0.41)</f>
        <v>0.41</v>
      </c>
      <c r="M1729" s="4">
        <f>IFERROR(__xludf.DUMMYFUNCTION("""COMPUTED_VALUE"""),0.349)</f>
        <v>0.349</v>
      </c>
      <c r="N1729" s="4">
        <f>IFERROR(__xludf.DUMMYFUNCTION("""COMPUTED_VALUE"""),0.82)</f>
        <v>0.82</v>
      </c>
      <c r="O1729" s="4">
        <f>IFERROR(__xludf.DUMMYFUNCTION("""COMPUTED_VALUE"""),26.9)</f>
        <v>26.9</v>
      </c>
      <c r="P1729" s="4">
        <f>IFERROR(__xludf.DUMMYFUNCTION("""COMPUTED_VALUE"""),8.6)</f>
        <v>8.6</v>
      </c>
      <c r="Q1729" s="4">
        <f>IFERROR(__xludf.DUMMYFUNCTION("""COMPUTED_VALUE"""),4.7)</f>
        <v>4.7</v>
      </c>
      <c r="R1729" s="4">
        <f>IFERROR(__xludf.DUMMYFUNCTION("""COMPUTED_VALUE"""),1.6)</f>
        <v>1.6</v>
      </c>
      <c r="S1729" s="4">
        <f>IFERROR(__xludf.DUMMYFUNCTION("""COMPUTED_VALUE"""),51.6)</f>
        <v>51.6</v>
      </c>
      <c r="T1729" s="4">
        <f>IFERROR(__xludf.DUMMYFUNCTION("""COMPUTED_VALUE"""),0.107)</f>
        <v>0.107</v>
      </c>
      <c r="U1729" s="4">
        <f>IFERROR(__xludf.DUMMYFUNCTION("""COMPUTED_VALUE"""),0.3)</f>
        <v>0.3</v>
      </c>
      <c r="V1729" s="4">
        <f>IFERROR(__xludf.DUMMYFUNCTION("""COMPUTED_VALUE"""),13.7)</f>
        <v>13.7</v>
      </c>
    </row>
    <row r="1730">
      <c r="A1730" s="4">
        <f>IFERROR(__xludf.DUMMYFUNCTION("""COMPUTED_VALUE"""),19.0)</f>
        <v>19</v>
      </c>
      <c r="B1730" s="4">
        <f>IFERROR(__xludf.DUMMYFUNCTION("""COMPUTED_VALUE"""),19.0)</f>
        <v>19</v>
      </c>
      <c r="C1730" s="4" t="str">
        <f>IFERROR(__xludf.DUMMYFUNCTION("""COMPUTED_VALUE"""),"UTA")</f>
        <v>UTA</v>
      </c>
      <c r="D1730" s="4" t="str">
        <f>IFERROR(__xludf.DUMMYFUNCTION("""COMPUTED_VALUE"""),"Quincy Lewis")</f>
        <v>Quincy Lewis</v>
      </c>
      <c r="E1730" s="4" t="str">
        <f>IFERROR(__xludf.DUMMYFUNCTION("""COMPUTED_VALUE"""),"Minnesota")</f>
        <v>Minnesota</v>
      </c>
      <c r="F1730" s="4">
        <f>IFERROR(__xludf.DUMMYFUNCTION("""COMPUTED_VALUE"""),4.0)</f>
        <v>4</v>
      </c>
      <c r="G1730" s="4">
        <f>IFERROR(__xludf.DUMMYFUNCTION("""COMPUTED_VALUE"""),159.0)</f>
        <v>159</v>
      </c>
      <c r="H1730" s="4">
        <f>IFERROR(__xludf.DUMMYFUNCTION("""COMPUTED_VALUE"""),1853.0)</f>
        <v>1853</v>
      </c>
      <c r="I1730" s="4">
        <f>IFERROR(__xludf.DUMMYFUNCTION("""COMPUTED_VALUE"""),567.0)</f>
        <v>567</v>
      </c>
      <c r="J1730" s="4">
        <f>IFERROR(__xludf.DUMMYFUNCTION("""COMPUTED_VALUE"""),210.0)</f>
        <v>210</v>
      </c>
      <c r="K1730" s="4">
        <f>IFERROR(__xludf.DUMMYFUNCTION("""COMPUTED_VALUE"""),96.0)</f>
        <v>96</v>
      </c>
      <c r="L1730" s="4">
        <f>IFERROR(__xludf.DUMMYFUNCTION("""COMPUTED_VALUE"""),0.397)</f>
        <v>0.397</v>
      </c>
      <c r="M1730" s="4">
        <f>IFERROR(__xludf.DUMMYFUNCTION("""COMPUTED_VALUE"""),0.333)</f>
        <v>0.333</v>
      </c>
      <c r="N1730" s="4">
        <f>IFERROR(__xludf.DUMMYFUNCTION("""COMPUTED_VALUE"""),0.71)</f>
        <v>0.71</v>
      </c>
      <c r="O1730" s="4">
        <f>IFERROR(__xludf.DUMMYFUNCTION("""COMPUTED_VALUE"""),11.7)</f>
        <v>11.7</v>
      </c>
      <c r="P1730" s="4">
        <f>IFERROR(__xludf.DUMMYFUNCTION("""COMPUTED_VALUE"""),3.6)</f>
        <v>3.6</v>
      </c>
      <c r="Q1730" s="4">
        <f>IFERROR(__xludf.DUMMYFUNCTION("""COMPUTED_VALUE"""),1.3)</f>
        <v>1.3</v>
      </c>
      <c r="R1730" s="4">
        <f>IFERROR(__xludf.DUMMYFUNCTION("""COMPUTED_VALUE"""),0.6)</f>
        <v>0.6</v>
      </c>
      <c r="S1730" s="4">
        <f>IFERROR(__xludf.DUMMYFUNCTION("""COMPUTED_VALUE"""),0.8)</f>
        <v>0.8</v>
      </c>
      <c r="T1730" s="4">
        <f>IFERROR(__xludf.DUMMYFUNCTION("""COMPUTED_VALUE"""),0.02)</f>
        <v>0.02</v>
      </c>
      <c r="U1730" s="4">
        <f>IFERROR(__xludf.DUMMYFUNCTION("""COMPUTED_VALUE"""),-4.9)</f>
        <v>-4.9</v>
      </c>
      <c r="V1730" s="4">
        <f>IFERROR(__xludf.DUMMYFUNCTION("""COMPUTED_VALUE"""),-1.4)</f>
        <v>-1.4</v>
      </c>
    </row>
    <row r="1731">
      <c r="A1731" s="4">
        <f>IFERROR(__xludf.DUMMYFUNCTION("""COMPUTED_VALUE"""),20.0)</f>
        <v>20</v>
      </c>
      <c r="B1731" s="4">
        <f>IFERROR(__xludf.DUMMYFUNCTION("""COMPUTED_VALUE"""),20.0)</f>
        <v>20</v>
      </c>
      <c r="C1731" s="4" t="str">
        <f>IFERROR(__xludf.DUMMYFUNCTION("""COMPUTED_VALUE"""),"ATL")</f>
        <v>ATL</v>
      </c>
      <c r="D1731" s="4" t="str">
        <f>IFERROR(__xludf.DUMMYFUNCTION("""COMPUTED_VALUE"""),"Dion Glover")</f>
        <v>Dion Glover</v>
      </c>
      <c r="E1731" s="4" t="str">
        <f>IFERROR(__xludf.DUMMYFUNCTION("""COMPUTED_VALUE"""),"Georgia Tech")</f>
        <v>Georgia Tech</v>
      </c>
      <c r="F1731" s="4">
        <f>IFERROR(__xludf.DUMMYFUNCTION("""COMPUTED_VALUE"""),6.0)</f>
        <v>6</v>
      </c>
      <c r="G1731" s="4">
        <f>IFERROR(__xludf.DUMMYFUNCTION("""COMPUTED_VALUE"""),294.0)</f>
        <v>294</v>
      </c>
      <c r="H1731" s="4">
        <f>IFERROR(__xludf.DUMMYFUNCTION("""COMPUTED_VALUE"""),6132.0)</f>
        <v>6132</v>
      </c>
      <c r="I1731" s="4">
        <f>IFERROR(__xludf.DUMMYFUNCTION("""COMPUTED_VALUE"""),2407.0)</f>
        <v>2407</v>
      </c>
      <c r="J1731" s="4">
        <f>IFERROR(__xludf.DUMMYFUNCTION("""COMPUTED_VALUE"""),897.0)</f>
        <v>897</v>
      </c>
      <c r="K1731" s="4">
        <f>IFERROR(__xludf.DUMMYFUNCTION("""COMPUTED_VALUE"""),455.0)</f>
        <v>455</v>
      </c>
      <c r="L1731" s="4">
        <f>IFERROR(__xludf.DUMMYFUNCTION("""COMPUTED_VALUE"""),0.411)</f>
        <v>0.411</v>
      </c>
      <c r="M1731" s="4">
        <f>IFERROR(__xludf.DUMMYFUNCTION("""COMPUTED_VALUE"""),0.317)</f>
        <v>0.317</v>
      </c>
      <c r="N1731" s="4">
        <f>IFERROR(__xludf.DUMMYFUNCTION("""COMPUTED_VALUE"""),0.756)</f>
        <v>0.756</v>
      </c>
      <c r="O1731" s="4">
        <f>IFERROR(__xludf.DUMMYFUNCTION("""COMPUTED_VALUE"""),20.9)</f>
        <v>20.9</v>
      </c>
      <c r="P1731" s="4">
        <f>IFERROR(__xludf.DUMMYFUNCTION("""COMPUTED_VALUE"""),8.2)</f>
        <v>8.2</v>
      </c>
      <c r="Q1731" s="4">
        <f>IFERROR(__xludf.DUMMYFUNCTION("""COMPUTED_VALUE"""),3.1)</f>
        <v>3.1</v>
      </c>
      <c r="R1731" s="4">
        <f>IFERROR(__xludf.DUMMYFUNCTION("""COMPUTED_VALUE"""),1.5)</f>
        <v>1.5</v>
      </c>
      <c r="S1731" s="4">
        <f>IFERROR(__xludf.DUMMYFUNCTION("""COMPUTED_VALUE"""),5.8)</f>
        <v>5.8</v>
      </c>
      <c r="T1731" s="4">
        <f>IFERROR(__xludf.DUMMYFUNCTION("""COMPUTED_VALUE"""),0.045)</f>
        <v>0.045</v>
      </c>
      <c r="U1731" s="4">
        <f>IFERROR(__xludf.DUMMYFUNCTION("""COMPUTED_VALUE"""),-1.8)</f>
        <v>-1.8</v>
      </c>
      <c r="V1731" s="4">
        <f>IFERROR(__xludf.DUMMYFUNCTION("""COMPUTED_VALUE"""),0.3)</f>
        <v>0.3</v>
      </c>
    </row>
    <row r="1732">
      <c r="A1732" s="4">
        <f>IFERROR(__xludf.DUMMYFUNCTION("""COMPUTED_VALUE"""),21.0)</f>
        <v>21</v>
      </c>
      <c r="B1732" s="4">
        <f>IFERROR(__xludf.DUMMYFUNCTION("""COMPUTED_VALUE"""),21.0)</f>
        <v>21</v>
      </c>
      <c r="C1732" s="4" t="str">
        <f>IFERROR(__xludf.DUMMYFUNCTION("""COMPUTED_VALUE"""),"GSW")</f>
        <v>GSW</v>
      </c>
      <c r="D1732" s="4" t="str">
        <f>IFERROR(__xludf.DUMMYFUNCTION("""COMPUTED_VALUE"""),"Jeff Foster")</f>
        <v>Jeff Foster</v>
      </c>
      <c r="E1732" s="4" t="str">
        <f>IFERROR(__xludf.DUMMYFUNCTION("""COMPUTED_VALUE"""),"Texas State University")</f>
        <v>Texas State University</v>
      </c>
      <c r="F1732" s="4">
        <f>IFERROR(__xludf.DUMMYFUNCTION("""COMPUTED_VALUE"""),13.0)</f>
        <v>13</v>
      </c>
      <c r="G1732" s="4">
        <f>IFERROR(__xludf.DUMMYFUNCTION("""COMPUTED_VALUE"""),764.0)</f>
        <v>764</v>
      </c>
      <c r="H1732" s="4">
        <f>IFERROR(__xludf.DUMMYFUNCTION("""COMPUTED_VALUE"""),15750.0)</f>
        <v>15750</v>
      </c>
      <c r="I1732" s="4">
        <f>IFERROR(__xludf.DUMMYFUNCTION("""COMPUTED_VALUE"""),3747.0)</f>
        <v>3747</v>
      </c>
      <c r="J1732" s="4">
        <f>IFERROR(__xludf.DUMMYFUNCTION("""COMPUTED_VALUE"""),5248.0)</f>
        <v>5248</v>
      </c>
      <c r="K1732" s="4">
        <f>IFERROR(__xludf.DUMMYFUNCTION("""COMPUTED_VALUE"""),703.0)</f>
        <v>703</v>
      </c>
      <c r="L1732" s="4">
        <f>IFERROR(__xludf.DUMMYFUNCTION("""COMPUTED_VALUE"""),0.497)</f>
        <v>0.497</v>
      </c>
      <c r="M1732" s="4">
        <f>IFERROR(__xludf.DUMMYFUNCTION("""COMPUTED_VALUE"""),0.13)</f>
        <v>0.13</v>
      </c>
      <c r="N1732" s="4">
        <f>IFERROR(__xludf.DUMMYFUNCTION("""COMPUTED_VALUE"""),0.615)</f>
        <v>0.615</v>
      </c>
      <c r="O1732" s="4">
        <f>IFERROR(__xludf.DUMMYFUNCTION("""COMPUTED_VALUE"""),20.6)</f>
        <v>20.6</v>
      </c>
      <c r="P1732" s="4">
        <f>IFERROR(__xludf.DUMMYFUNCTION("""COMPUTED_VALUE"""),4.9)</f>
        <v>4.9</v>
      </c>
      <c r="Q1732" s="4">
        <f>IFERROR(__xludf.DUMMYFUNCTION("""COMPUTED_VALUE"""),6.9)</f>
        <v>6.9</v>
      </c>
      <c r="R1732" s="4">
        <f>IFERROR(__xludf.DUMMYFUNCTION("""COMPUTED_VALUE"""),0.9)</f>
        <v>0.9</v>
      </c>
      <c r="S1732" s="4">
        <f>IFERROR(__xludf.DUMMYFUNCTION("""COMPUTED_VALUE"""),47.5)</f>
        <v>47.5</v>
      </c>
      <c r="T1732" s="4">
        <f>IFERROR(__xludf.DUMMYFUNCTION("""COMPUTED_VALUE"""),0.145)</f>
        <v>0.145</v>
      </c>
      <c r="U1732" s="4">
        <f>IFERROR(__xludf.DUMMYFUNCTION("""COMPUTED_VALUE"""),-0.4)</f>
        <v>-0.4</v>
      </c>
      <c r="V1732" s="4">
        <f>IFERROR(__xludf.DUMMYFUNCTION("""COMPUTED_VALUE"""),6.3)</f>
        <v>6.3</v>
      </c>
    </row>
    <row r="1733">
      <c r="A1733" s="4">
        <f>IFERROR(__xludf.DUMMYFUNCTION("""COMPUTED_VALUE"""),22.0)</f>
        <v>22</v>
      </c>
      <c r="B1733" s="4">
        <f>IFERROR(__xludf.DUMMYFUNCTION("""COMPUTED_VALUE"""),22.0)</f>
        <v>22</v>
      </c>
      <c r="C1733" s="4" t="str">
        <f>IFERROR(__xludf.DUMMYFUNCTION("""COMPUTED_VALUE"""),"HOU")</f>
        <v>HOU</v>
      </c>
      <c r="D1733" s="4" t="str">
        <f>IFERROR(__xludf.DUMMYFUNCTION("""COMPUTED_VALUE"""),"Kenny Thomas")</f>
        <v>Kenny Thomas</v>
      </c>
      <c r="E1733" s="4" t="str">
        <f>IFERROR(__xludf.DUMMYFUNCTION("""COMPUTED_VALUE"""),"New Mexico")</f>
        <v>New Mexico</v>
      </c>
      <c r="F1733" s="4">
        <f>IFERROR(__xludf.DUMMYFUNCTION("""COMPUTED_VALUE"""),11.0)</f>
        <v>11</v>
      </c>
      <c r="G1733" s="4">
        <f>IFERROR(__xludf.DUMMYFUNCTION("""COMPUTED_VALUE"""),632.0)</f>
        <v>632</v>
      </c>
      <c r="H1733" s="4">
        <f>IFERROR(__xludf.DUMMYFUNCTION("""COMPUTED_VALUE"""),17306.0)</f>
        <v>17306</v>
      </c>
      <c r="I1733" s="4">
        <f>IFERROR(__xludf.DUMMYFUNCTION("""COMPUTED_VALUE"""),5876.0)</f>
        <v>5876</v>
      </c>
      <c r="J1733" s="4">
        <f>IFERROR(__xludf.DUMMYFUNCTION("""COMPUTED_VALUE"""),4341.0)</f>
        <v>4341</v>
      </c>
      <c r="K1733" s="4">
        <f>IFERROR(__xludf.DUMMYFUNCTION("""COMPUTED_VALUE"""),975.0)</f>
        <v>975</v>
      </c>
      <c r="L1733" s="4">
        <f>IFERROR(__xludf.DUMMYFUNCTION("""COMPUTED_VALUE"""),0.465)</f>
        <v>0.465</v>
      </c>
      <c r="M1733" s="4">
        <f>IFERROR(__xludf.DUMMYFUNCTION("""COMPUTED_VALUE"""),0.244)</f>
        <v>0.244</v>
      </c>
      <c r="N1733" s="4">
        <f>IFERROR(__xludf.DUMMYFUNCTION("""COMPUTED_VALUE"""),0.699)</f>
        <v>0.699</v>
      </c>
      <c r="O1733" s="4">
        <f>IFERROR(__xludf.DUMMYFUNCTION("""COMPUTED_VALUE"""),27.4)</f>
        <v>27.4</v>
      </c>
      <c r="P1733" s="4">
        <f>IFERROR(__xludf.DUMMYFUNCTION("""COMPUTED_VALUE"""),9.3)</f>
        <v>9.3</v>
      </c>
      <c r="Q1733" s="4">
        <f>IFERROR(__xludf.DUMMYFUNCTION("""COMPUTED_VALUE"""),6.9)</f>
        <v>6.9</v>
      </c>
      <c r="R1733" s="4">
        <f>IFERROR(__xludf.DUMMYFUNCTION("""COMPUTED_VALUE"""),1.5)</f>
        <v>1.5</v>
      </c>
      <c r="S1733" s="4">
        <f>IFERROR(__xludf.DUMMYFUNCTION("""COMPUTED_VALUE"""),31.2)</f>
        <v>31.2</v>
      </c>
      <c r="T1733" s="4">
        <f>IFERROR(__xludf.DUMMYFUNCTION("""COMPUTED_VALUE"""),0.086)</f>
        <v>0.086</v>
      </c>
      <c r="U1733" s="4">
        <f>IFERROR(__xludf.DUMMYFUNCTION("""COMPUTED_VALUE"""),-1.3)</f>
        <v>-1.3</v>
      </c>
      <c r="V1733" s="4">
        <f>IFERROR(__xludf.DUMMYFUNCTION("""COMPUTED_VALUE"""),3.1)</f>
        <v>3.1</v>
      </c>
    </row>
    <row r="1734">
      <c r="A1734" s="4">
        <f>IFERROR(__xludf.DUMMYFUNCTION("""COMPUTED_VALUE"""),23.0)</f>
        <v>23</v>
      </c>
      <c r="B1734" s="4">
        <f>IFERROR(__xludf.DUMMYFUNCTION("""COMPUTED_VALUE"""),23.0)</f>
        <v>23</v>
      </c>
      <c r="C1734" s="4" t="str">
        <f>IFERROR(__xludf.DUMMYFUNCTION("""COMPUTED_VALUE"""),"LAL")</f>
        <v>LAL</v>
      </c>
      <c r="D1734" s="4" t="str">
        <f>IFERROR(__xludf.DUMMYFUNCTION("""COMPUTED_VALUE"""),"Devean George")</f>
        <v>Devean George</v>
      </c>
      <c r="E1734" s="4" t="str">
        <f>IFERROR(__xludf.DUMMYFUNCTION("""COMPUTED_VALUE"""),"Augsburg College")</f>
        <v>Augsburg College</v>
      </c>
      <c r="F1734" s="4">
        <f>IFERROR(__xludf.DUMMYFUNCTION("""COMPUTED_VALUE"""),11.0)</f>
        <v>11</v>
      </c>
      <c r="G1734" s="4">
        <f>IFERROR(__xludf.DUMMYFUNCTION("""COMPUTED_VALUE"""),630.0)</f>
        <v>630</v>
      </c>
      <c r="H1734" s="4">
        <f>IFERROR(__xludf.DUMMYFUNCTION("""COMPUTED_VALUE"""),11682.0)</f>
        <v>11682</v>
      </c>
      <c r="I1734" s="4">
        <f>IFERROR(__xludf.DUMMYFUNCTION("""COMPUTED_VALUE"""),3536.0)</f>
        <v>3536</v>
      </c>
      <c r="J1734" s="4">
        <f>IFERROR(__xludf.DUMMYFUNCTION("""COMPUTED_VALUE"""),1975.0)</f>
        <v>1975</v>
      </c>
      <c r="K1734" s="4">
        <f>IFERROR(__xludf.DUMMYFUNCTION("""COMPUTED_VALUE"""),543.0)</f>
        <v>543</v>
      </c>
      <c r="L1734" s="4">
        <f>IFERROR(__xludf.DUMMYFUNCTION("""COMPUTED_VALUE"""),0.392)</f>
        <v>0.392</v>
      </c>
      <c r="M1734" s="4">
        <f>IFERROR(__xludf.DUMMYFUNCTION("""COMPUTED_VALUE"""),0.343)</f>
        <v>0.343</v>
      </c>
      <c r="N1734" s="4">
        <f>IFERROR(__xludf.DUMMYFUNCTION("""COMPUTED_VALUE"""),0.721)</f>
        <v>0.721</v>
      </c>
      <c r="O1734" s="4">
        <f>IFERROR(__xludf.DUMMYFUNCTION("""COMPUTED_VALUE"""),18.5)</f>
        <v>18.5</v>
      </c>
      <c r="P1734" s="4">
        <f>IFERROR(__xludf.DUMMYFUNCTION("""COMPUTED_VALUE"""),5.6)</f>
        <v>5.6</v>
      </c>
      <c r="Q1734" s="4">
        <f>IFERROR(__xludf.DUMMYFUNCTION("""COMPUTED_VALUE"""),3.1)</f>
        <v>3.1</v>
      </c>
      <c r="R1734" s="4">
        <f>IFERROR(__xludf.DUMMYFUNCTION("""COMPUTED_VALUE"""),0.9)</f>
        <v>0.9</v>
      </c>
      <c r="S1734" s="4">
        <f>IFERROR(__xludf.DUMMYFUNCTION("""COMPUTED_VALUE"""),18.2)</f>
        <v>18.2</v>
      </c>
      <c r="T1734" s="4">
        <f>IFERROR(__xludf.DUMMYFUNCTION("""COMPUTED_VALUE"""),0.075)</f>
        <v>0.075</v>
      </c>
      <c r="U1734" s="4">
        <f>IFERROR(__xludf.DUMMYFUNCTION("""COMPUTED_VALUE"""),-1.5)</f>
        <v>-1.5</v>
      </c>
      <c r="V1734" s="4">
        <f>IFERROR(__xludf.DUMMYFUNCTION("""COMPUTED_VALUE"""),1.4)</f>
        <v>1.4</v>
      </c>
    </row>
    <row r="1735">
      <c r="A1735" s="4">
        <f>IFERROR(__xludf.DUMMYFUNCTION("""COMPUTED_VALUE"""),24.0)</f>
        <v>24</v>
      </c>
      <c r="B1735" s="4">
        <f>IFERROR(__xludf.DUMMYFUNCTION("""COMPUTED_VALUE"""),24.0)</f>
        <v>24</v>
      </c>
      <c r="C1735" s="4" t="str">
        <f>IFERROR(__xludf.DUMMYFUNCTION("""COMPUTED_VALUE"""),"UTA")</f>
        <v>UTA</v>
      </c>
      <c r="D1735" s="4" t="str">
        <f>IFERROR(__xludf.DUMMYFUNCTION("""COMPUTED_VALUE"""),"Andrei Kirilenko")</f>
        <v>Andrei Kirilenko</v>
      </c>
      <c r="E1735" s="4"/>
      <c r="F1735" s="4">
        <f>IFERROR(__xludf.DUMMYFUNCTION("""COMPUTED_VALUE"""),13.0)</f>
        <v>13</v>
      </c>
      <c r="G1735" s="4">
        <f>IFERROR(__xludf.DUMMYFUNCTION("""COMPUTED_VALUE"""),797.0)</f>
        <v>797</v>
      </c>
      <c r="H1735" s="4">
        <f>IFERROR(__xludf.DUMMYFUNCTION("""COMPUTED_VALUE"""),23916.0)</f>
        <v>23916</v>
      </c>
      <c r="I1735" s="4">
        <f>IFERROR(__xludf.DUMMYFUNCTION("""COMPUTED_VALUE"""),9431.0)</f>
        <v>9431</v>
      </c>
      <c r="J1735" s="4">
        <f>IFERROR(__xludf.DUMMYFUNCTION("""COMPUTED_VALUE"""),4352.0)</f>
        <v>4352</v>
      </c>
      <c r="K1735" s="4">
        <f>IFERROR(__xludf.DUMMYFUNCTION("""COMPUTED_VALUE"""),2169.0)</f>
        <v>2169</v>
      </c>
      <c r="L1735" s="4">
        <f>IFERROR(__xludf.DUMMYFUNCTION("""COMPUTED_VALUE"""),0.474)</f>
        <v>0.474</v>
      </c>
      <c r="M1735" s="4">
        <f>IFERROR(__xludf.DUMMYFUNCTION("""COMPUTED_VALUE"""),0.31)</f>
        <v>0.31</v>
      </c>
      <c r="N1735" s="4">
        <f>IFERROR(__xludf.DUMMYFUNCTION("""COMPUTED_VALUE"""),0.754)</f>
        <v>0.754</v>
      </c>
      <c r="O1735" s="4">
        <f>IFERROR(__xludf.DUMMYFUNCTION("""COMPUTED_VALUE"""),30.0)</f>
        <v>30</v>
      </c>
      <c r="P1735" s="4">
        <f>IFERROR(__xludf.DUMMYFUNCTION("""COMPUTED_VALUE"""),11.8)</f>
        <v>11.8</v>
      </c>
      <c r="Q1735" s="4">
        <f>IFERROR(__xludf.DUMMYFUNCTION("""COMPUTED_VALUE"""),5.5)</f>
        <v>5.5</v>
      </c>
      <c r="R1735" s="4">
        <f>IFERROR(__xludf.DUMMYFUNCTION("""COMPUTED_VALUE"""),2.7)</f>
        <v>2.7</v>
      </c>
      <c r="S1735" s="4">
        <f>IFERROR(__xludf.DUMMYFUNCTION("""COMPUTED_VALUE"""),75.4)</f>
        <v>75.4</v>
      </c>
      <c r="T1735" s="4">
        <f>IFERROR(__xludf.DUMMYFUNCTION("""COMPUTED_VALUE"""),0.151)</f>
        <v>0.151</v>
      </c>
      <c r="U1735" s="4">
        <f>IFERROR(__xludf.DUMMYFUNCTION("""COMPUTED_VALUE"""),4.9)</f>
        <v>4.9</v>
      </c>
      <c r="V1735" s="4">
        <f>IFERROR(__xludf.DUMMYFUNCTION("""COMPUTED_VALUE"""),41.7)</f>
        <v>41.7</v>
      </c>
    </row>
    <row r="1736">
      <c r="A1736" s="4">
        <f>IFERROR(__xludf.DUMMYFUNCTION("""COMPUTED_VALUE"""),25.0)</f>
        <v>25</v>
      </c>
      <c r="B1736" s="4">
        <f>IFERROR(__xludf.DUMMYFUNCTION("""COMPUTED_VALUE"""),25.0)</f>
        <v>25</v>
      </c>
      <c r="C1736" s="4" t="str">
        <f>IFERROR(__xludf.DUMMYFUNCTION("""COMPUTED_VALUE"""),"MIA")</f>
        <v>MIA</v>
      </c>
      <c r="D1736" s="4" t="str">
        <f>IFERROR(__xludf.DUMMYFUNCTION("""COMPUTED_VALUE"""),"Tim James")</f>
        <v>Tim James</v>
      </c>
      <c r="E1736" s="4" t="str">
        <f>IFERROR(__xludf.DUMMYFUNCTION("""COMPUTED_VALUE"""),"Miami (FL)")</f>
        <v>Miami (FL)</v>
      </c>
      <c r="F1736" s="4">
        <f>IFERROR(__xludf.DUMMYFUNCTION("""COMPUTED_VALUE"""),3.0)</f>
        <v>3</v>
      </c>
      <c r="G1736" s="4">
        <f>IFERROR(__xludf.DUMMYFUNCTION("""COMPUTED_VALUE"""),43.0)</f>
        <v>43</v>
      </c>
      <c r="H1736" s="4">
        <f>IFERROR(__xludf.DUMMYFUNCTION("""COMPUTED_VALUE"""),261.0)</f>
        <v>261</v>
      </c>
      <c r="I1736" s="4">
        <f>IFERROR(__xludf.DUMMYFUNCTION("""COMPUTED_VALUE"""),68.0)</f>
        <v>68</v>
      </c>
      <c r="J1736" s="4">
        <f>IFERROR(__xludf.DUMMYFUNCTION("""COMPUTED_VALUE"""),46.0)</f>
        <v>46</v>
      </c>
      <c r="K1736" s="4">
        <f>IFERROR(__xludf.DUMMYFUNCTION("""COMPUTED_VALUE"""),11.0)</f>
        <v>11</v>
      </c>
      <c r="L1736" s="4">
        <f>IFERROR(__xludf.DUMMYFUNCTION("""COMPUTED_VALUE"""),0.329)</f>
        <v>0.329</v>
      </c>
      <c r="M1736" s="4">
        <f>IFERROR(__xludf.DUMMYFUNCTION("""COMPUTED_VALUE"""),0.333)</f>
        <v>0.333</v>
      </c>
      <c r="N1736" s="4">
        <f>IFERROR(__xludf.DUMMYFUNCTION("""COMPUTED_VALUE"""),0.652)</f>
        <v>0.652</v>
      </c>
      <c r="O1736" s="4">
        <f>IFERROR(__xludf.DUMMYFUNCTION("""COMPUTED_VALUE"""),6.1)</f>
        <v>6.1</v>
      </c>
      <c r="P1736" s="4">
        <f>IFERROR(__xludf.DUMMYFUNCTION("""COMPUTED_VALUE"""),1.6)</f>
        <v>1.6</v>
      </c>
      <c r="Q1736" s="4">
        <f>IFERROR(__xludf.DUMMYFUNCTION("""COMPUTED_VALUE"""),1.1)</f>
        <v>1.1</v>
      </c>
      <c r="R1736" s="4">
        <f>IFERROR(__xludf.DUMMYFUNCTION("""COMPUTED_VALUE"""),0.3)</f>
        <v>0.3</v>
      </c>
      <c r="S1736" s="4">
        <f>IFERROR(__xludf.DUMMYFUNCTION("""COMPUTED_VALUE"""),0.0)</f>
        <v>0</v>
      </c>
      <c r="T1736" s="4">
        <f>IFERROR(__xludf.DUMMYFUNCTION("""COMPUTED_VALUE"""),-0.003)</f>
        <v>-0.003</v>
      </c>
      <c r="U1736" s="4">
        <f>IFERROR(__xludf.DUMMYFUNCTION("""COMPUTED_VALUE"""),-7.0)</f>
        <v>-7</v>
      </c>
      <c r="V1736" s="4">
        <f>IFERROR(__xludf.DUMMYFUNCTION("""COMPUTED_VALUE"""),-0.3)</f>
        <v>-0.3</v>
      </c>
    </row>
    <row r="1737">
      <c r="A1737" s="4">
        <f>IFERROR(__xludf.DUMMYFUNCTION("""COMPUTED_VALUE"""),26.0)</f>
        <v>26</v>
      </c>
      <c r="B1737" s="4">
        <f>IFERROR(__xludf.DUMMYFUNCTION("""COMPUTED_VALUE"""),26.0)</f>
        <v>26</v>
      </c>
      <c r="C1737" s="4" t="str">
        <f>IFERROR(__xludf.DUMMYFUNCTION("""COMPUTED_VALUE"""),"IND")</f>
        <v>IND</v>
      </c>
      <c r="D1737" s="4" t="str">
        <f>IFERROR(__xludf.DUMMYFUNCTION("""COMPUTED_VALUE"""),"Vonteego Cummings")</f>
        <v>Vonteego Cummings</v>
      </c>
      <c r="E1737" s="4" t="str">
        <f>IFERROR(__xludf.DUMMYFUNCTION("""COMPUTED_VALUE"""),"Pitt")</f>
        <v>Pitt</v>
      </c>
      <c r="F1737" s="4">
        <f>IFERROR(__xludf.DUMMYFUNCTION("""COMPUTED_VALUE"""),3.0)</f>
        <v>3</v>
      </c>
      <c r="G1737" s="4">
        <f>IFERROR(__xludf.DUMMYFUNCTION("""COMPUTED_VALUE"""),199.0)</f>
        <v>199</v>
      </c>
      <c r="H1737" s="4">
        <f>IFERROR(__xludf.DUMMYFUNCTION("""COMPUTED_VALUE"""),3789.0)</f>
        <v>3789</v>
      </c>
      <c r="I1737" s="4">
        <f>IFERROR(__xludf.DUMMYFUNCTION("""COMPUTED_VALUE"""),1381.0)</f>
        <v>1381</v>
      </c>
      <c r="J1737" s="4">
        <f>IFERROR(__xludf.DUMMYFUNCTION("""COMPUTED_VALUE"""),373.0)</f>
        <v>373</v>
      </c>
      <c r="K1737" s="4">
        <f>IFERROR(__xludf.DUMMYFUNCTION("""COMPUTED_VALUE"""),534.0)</f>
        <v>534</v>
      </c>
      <c r="L1737" s="4">
        <f>IFERROR(__xludf.DUMMYFUNCTION("""COMPUTED_VALUE"""),0.383)</f>
        <v>0.383</v>
      </c>
      <c r="M1737" s="4">
        <f>IFERROR(__xludf.DUMMYFUNCTION("""COMPUTED_VALUE"""),0.321)</f>
        <v>0.321</v>
      </c>
      <c r="N1737" s="4">
        <f>IFERROR(__xludf.DUMMYFUNCTION("""COMPUTED_VALUE"""),0.726)</f>
        <v>0.726</v>
      </c>
      <c r="O1737" s="4">
        <f>IFERROR(__xludf.DUMMYFUNCTION("""COMPUTED_VALUE"""),19.0)</f>
        <v>19</v>
      </c>
      <c r="P1737" s="4">
        <f>IFERROR(__xludf.DUMMYFUNCTION("""COMPUTED_VALUE"""),6.9)</f>
        <v>6.9</v>
      </c>
      <c r="Q1737" s="4">
        <f>IFERROR(__xludf.DUMMYFUNCTION("""COMPUTED_VALUE"""),1.9)</f>
        <v>1.9</v>
      </c>
      <c r="R1737" s="4">
        <f>IFERROR(__xludf.DUMMYFUNCTION("""COMPUTED_VALUE"""),2.7)</f>
        <v>2.7</v>
      </c>
      <c r="S1737" s="4">
        <f>IFERROR(__xludf.DUMMYFUNCTION("""COMPUTED_VALUE"""),2.2)</f>
        <v>2.2</v>
      </c>
      <c r="T1737" s="4">
        <f>IFERROR(__xludf.DUMMYFUNCTION("""COMPUTED_VALUE"""),0.028)</f>
        <v>0.028</v>
      </c>
      <c r="U1737" s="4">
        <f>IFERROR(__xludf.DUMMYFUNCTION("""COMPUTED_VALUE"""),-2.4)</f>
        <v>-2.4</v>
      </c>
      <c r="V1737" s="4">
        <f>IFERROR(__xludf.DUMMYFUNCTION("""COMPUTED_VALUE"""),-0.3)</f>
        <v>-0.3</v>
      </c>
    </row>
    <row r="1738">
      <c r="A1738" s="4">
        <f>IFERROR(__xludf.DUMMYFUNCTION("""COMPUTED_VALUE"""),27.0)</f>
        <v>27</v>
      </c>
      <c r="B1738" s="4">
        <f>IFERROR(__xludf.DUMMYFUNCTION("""COMPUTED_VALUE"""),27.0)</f>
        <v>27</v>
      </c>
      <c r="C1738" s="4" t="str">
        <f>IFERROR(__xludf.DUMMYFUNCTION("""COMPUTED_VALUE"""),"ATL")</f>
        <v>ATL</v>
      </c>
      <c r="D1738" s="4" t="str">
        <f>IFERROR(__xludf.DUMMYFUNCTION("""COMPUTED_VALUE"""),"Jumaine Jones")</f>
        <v>Jumaine Jones</v>
      </c>
      <c r="E1738" s="4" t="str">
        <f>IFERROR(__xludf.DUMMYFUNCTION("""COMPUTED_VALUE"""),"Georgia")</f>
        <v>Georgia</v>
      </c>
      <c r="F1738" s="4">
        <f>IFERROR(__xludf.DUMMYFUNCTION("""COMPUTED_VALUE"""),8.0)</f>
        <v>8</v>
      </c>
      <c r="G1738" s="4">
        <f>IFERROR(__xludf.DUMMYFUNCTION("""COMPUTED_VALUE"""),471.0)</f>
        <v>471</v>
      </c>
      <c r="H1738" s="4">
        <f>IFERROR(__xludf.DUMMYFUNCTION("""COMPUTED_VALUE"""),9780.0)</f>
        <v>9780</v>
      </c>
      <c r="I1738" s="4">
        <f>IFERROR(__xludf.DUMMYFUNCTION("""COMPUTED_VALUE"""),3325.0)</f>
        <v>3325</v>
      </c>
      <c r="J1738" s="4">
        <f>IFERROR(__xludf.DUMMYFUNCTION("""COMPUTED_VALUE"""),1987.0)</f>
        <v>1987</v>
      </c>
      <c r="K1738" s="4">
        <f>IFERROR(__xludf.DUMMYFUNCTION("""COMPUTED_VALUE"""),408.0)</f>
        <v>408</v>
      </c>
      <c r="L1738" s="4">
        <f>IFERROR(__xludf.DUMMYFUNCTION("""COMPUTED_VALUE"""),0.424)</f>
        <v>0.424</v>
      </c>
      <c r="M1738" s="4">
        <f>IFERROR(__xludf.DUMMYFUNCTION("""COMPUTED_VALUE"""),0.349)</f>
        <v>0.349</v>
      </c>
      <c r="N1738" s="4">
        <f>IFERROR(__xludf.DUMMYFUNCTION("""COMPUTED_VALUE"""),0.704)</f>
        <v>0.704</v>
      </c>
      <c r="O1738" s="4">
        <f>IFERROR(__xludf.DUMMYFUNCTION("""COMPUTED_VALUE"""),20.8)</f>
        <v>20.8</v>
      </c>
      <c r="P1738" s="4">
        <f>IFERROR(__xludf.DUMMYFUNCTION("""COMPUTED_VALUE"""),7.1)</f>
        <v>7.1</v>
      </c>
      <c r="Q1738" s="4">
        <f>IFERROR(__xludf.DUMMYFUNCTION("""COMPUTED_VALUE"""),4.2)</f>
        <v>4.2</v>
      </c>
      <c r="R1738" s="4">
        <f>IFERROR(__xludf.DUMMYFUNCTION("""COMPUTED_VALUE"""),0.9)</f>
        <v>0.9</v>
      </c>
      <c r="S1738" s="4">
        <f>IFERROR(__xludf.DUMMYFUNCTION("""COMPUTED_VALUE"""),15.1)</f>
        <v>15.1</v>
      </c>
      <c r="T1738" s="4">
        <f>IFERROR(__xludf.DUMMYFUNCTION("""COMPUTED_VALUE"""),0.074)</f>
        <v>0.074</v>
      </c>
      <c r="U1738" s="4">
        <f>IFERROR(__xludf.DUMMYFUNCTION("""COMPUTED_VALUE"""),-1.2)</f>
        <v>-1.2</v>
      </c>
      <c r="V1738" s="4">
        <f>IFERROR(__xludf.DUMMYFUNCTION("""COMPUTED_VALUE"""),2.1)</f>
        <v>2.1</v>
      </c>
    </row>
    <row r="1739">
      <c r="A1739" s="4">
        <f>IFERROR(__xludf.DUMMYFUNCTION("""COMPUTED_VALUE"""),28.0)</f>
        <v>28</v>
      </c>
      <c r="B1739" s="4">
        <f>IFERROR(__xludf.DUMMYFUNCTION("""COMPUTED_VALUE"""),28.0)</f>
        <v>28</v>
      </c>
      <c r="C1739" s="4" t="str">
        <f>IFERROR(__xludf.DUMMYFUNCTION("""COMPUTED_VALUE"""),"UTA")</f>
        <v>UTA</v>
      </c>
      <c r="D1739" s="4" t="str">
        <f>IFERROR(__xludf.DUMMYFUNCTION("""COMPUTED_VALUE"""),"Scott Padgett")</f>
        <v>Scott Padgett</v>
      </c>
      <c r="E1739" s="4" t="str">
        <f>IFERROR(__xludf.DUMMYFUNCTION("""COMPUTED_VALUE"""),"Kentucky")</f>
        <v>Kentucky</v>
      </c>
      <c r="F1739" s="4">
        <f>IFERROR(__xludf.DUMMYFUNCTION("""COMPUTED_VALUE"""),8.0)</f>
        <v>8</v>
      </c>
      <c r="G1739" s="4">
        <f>IFERROR(__xludf.DUMMYFUNCTION("""COMPUTED_VALUE"""),448.0)</f>
        <v>448</v>
      </c>
      <c r="H1739" s="4">
        <f>IFERROR(__xludf.DUMMYFUNCTION("""COMPUTED_VALUE"""),5613.0)</f>
        <v>5613</v>
      </c>
      <c r="I1739" s="4">
        <f>IFERROR(__xludf.DUMMYFUNCTION("""COMPUTED_VALUE"""),1874.0)</f>
        <v>1874</v>
      </c>
      <c r="J1739" s="4">
        <f>IFERROR(__xludf.DUMMYFUNCTION("""COMPUTED_VALUE"""),1227.0)</f>
        <v>1227</v>
      </c>
      <c r="K1739" s="4">
        <f>IFERROR(__xludf.DUMMYFUNCTION("""COMPUTED_VALUE"""),325.0)</f>
        <v>325</v>
      </c>
      <c r="L1739" s="4">
        <f>IFERROR(__xludf.DUMMYFUNCTION("""COMPUTED_VALUE"""),0.41)</f>
        <v>0.41</v>
      </c>
      <c r="M1739" s="4">
        <f>IFERROR(__xludf.DUMMYFUNCTION("""COMPUTED_VALUE"""),0.373)</f>
        <v>0.373</v>
      </c>
      <c r="N1739" s="4">
        <f>IFERROR(__xludf.DUMMYFUNCTION("""COMPUTED_VALUE"""),0.736)</f>
        <v>0.736</v>
      </c>
      <c r="O1739" s="4">
        <f>IFERROR(__xludf.DUMMYFUNCTION("""COMPUTED_VALUE"""),12.5)</f>
        <v>12.5</v>
      </c>
      <c r="P1739" s="4">
        <f>IFERROR(__xludf.DUMMYFUNCTION("""COMPUTED_VALUE"""),4.2)</f>
        <v>4.2</v>
      </c>
      <c r="Q1739" s="4">
        <f>IFERROR(__xludf.DUMMYFUNCTION("""COMPUTED_VALUE"""),2.7)</f>
        <v>2.7</v>
      </c>
      <c r="R1739" s="4">
        <f>IFERROR(__xludf.DUMMYFUNCTION("""COMPUTED_VALUE"""),0.7)</f>
        <v>0.7</v>
      </c>
      <c r="S1739" s="4">
        <f>IFERROR(__xludf.DUMMYFUNCTION("""COMPUTED_VALUE"""),13.2)</f>
        <v>13.2</v>
      </c>
      <c r="T1739" s="4">
        <f>IFERROR(__xludf.DUMMYFUNCTION("""COMPUTED_VALUE"""),0.113)</f>
        <v>0.113</v>
      </c>
      <c r="U1739" s="4">
        <f>IFERROR(__xludf.DUMMYFUNCTION("""COMPUTED_VALUE"""),-0.4)</f>
        <v>-0.4</v>
      </c>
      <c r="V1739" s="4">
        <f>IFERROR(__xludf.DUMMYFUNCTION("""COMPUTED_VALUE"""),2.3)</f>
        <v>2.3</v>
      </c>
    </row>
    <row r="1740">
      <c r="A1740" s="4">
        <f>IFERROR(__xludf.DUMMYFUNCTION("""COMPUTED_VALUE"""),29.0)</f>
        <v>29</v>
      </c>
      <c r="B1740" s="4">
        <f>IFERROR(__xludf.DUMMYFUNCTION("""COMPUTED_VALUE"""),29.0)</f>
        <v>29</v>
      </c>
      <c r="C1740" s="4" t="str">
        <f>IFERROR(__xludf.DUMMYFUNCTION("""COMPUTED_VALUE"""),"SAS")</f>
        <v>SAS</v>
      </c>
      <c r="D1740" s="4" t="str">
        <f>IFERROR(__xludf.DUMMYFUNCTION("""COMPUTED_VALUE"""),"Leon Smith")</f>
        <v>Leon Smith</v>
      </c>
      <c r="E1740" s="4"/>
      <c r="F1740" s="4">
        <f>IFERROR(__xludf.DUMMYFUNCTION("""COMPUTED_VALUE"""),2.0)</f>
        <v>2</v>
      </c>
      <c r="G1740" s="4">
        <f>IFERROR(__xludf.DUMMYFUNCTION("""COMPUTED_VALUE"""),15.0)</f>
        <v>15</v>
      </c>
      <c r="H1740" s="4">
        <f>IFERROR(__xludf.DUMMYFUNCTION("""COMPUTED_VALUE"""),104.0)</f>
        <v>104</v>
      </c>
      <c r="I1740" s="4">
        <f>IFERROR(__xludf.DUMMYFUNCTION("""COMPUTED_VALUE"""),33.0)</f>
        <v>33</v>
      </c>
      <c r="J1740" s="4">
        <f>IFERROR(__xludf.DUMMYFUNCTION("""COMPUTED_VALUE"""),33.0)</f>
        <v>33</v>
      </c>
      <c r="K1740" s="4">
        <f>IFERROR(__xludf.DUMMYFUNCTION("""COMPUTED_VALUE"""),3.0)</f>
        <v>3</v>
      </c>
      <c r="L1740" s="4">
        <f>IFERROR(__xludf.DUMMYFUNCTION("""COMPUTED_VALUE"""),0.393)</f>
        <v>0.393</v>
      </c>
      <c r="M1740" s="4"/>
      <c r="N1740" s="4">
        <f>IFERROR(__xludf.DUMMYFUNCTION("""COMPUTED_VALUE"""),0.647)</f>
        <v>0.647</v>
      </c>
      <c r="O1740" s="4">
        <f>IFERROR(__xludf.DUMMYFUNCTION("""COMPUTED_VALUE"""),6.9)</f>
        <v>6.9</v>
      </c>
      <c r="P1740" s="4">
        <f>IFERROR(__xludf.DUMMYFUNCTION("""COMPUTED_VALUE"""),2.2)</f>
        <v>2.2</v>
      </c>
      <c r="Q1740" s="4">
        <f>IFERROR(__xludf.DUMMYFUNCTION("""COMPUTED_VALUE"""),2.2)</f>
        <v>2.2</v>
      </c>
      <c r="R1740" s="4">
        <f>IFERROR(__xludf.DUMMYFUNCTION("""COMPUTED_VALUE"""),0.2)</f>
        <v>0.2</v>
      </c>
      <c r="S1740" s="4">
        <f>IFERROR(__xludf.DUMMYFUNCTION("""COMPUTED_VALUE"""),0.2)</f>
        <v>0.2</v>
      </c>
      <c r="T1740" s="4">
        <f>IFERROR(__xludf.DUMMYFUNCTION("""COMPUTED_VALUE"""),0.112)</f>
        <v>0.112</v>
      </c>
      <c r="U1740" s="4">
        <f>IFERROR(__xludf.DUMMYFUNCTION("""COMPUTED_VALUE"""),-2.9)</f>
        <v>-2.9</v>
      </c>
      <c r="V1740" s="4">
        <f>IFERROR(__xludf.DUMMYFUNCTION("""COMPUTED_VALUE"""),0.0)</f>
        <v>0</v>
      </c>
    </row>
    <row r="1741">
      <c r="A1741" s="4"/>
      <c r="B1741" s="4"/>
      <c r="C1741" s="4"/>
      <c r="D1741" s="4" t="str">
        <f>IFERROR(__xludf.DUMMYFUNCTION("""COMPUTED_VALUE"""),"Round 2")</f>
        <v>Round 2</v>
      </c>
      <c r="E1741" s="4"/>
      <c r="F1741" s="4"/>
      <c r="G1741" s="4" t="str">
        <f>IFERROR(__xludf.DUMMYFUNCTION("""COMPUTED_VALUE"""),"Totals")</f>
        <v>Totals</v>
      </c>
      <c r="H1741" s="4"/>
      <c r="I1741" s="4"/>
      <c r="J1741" s="4"/>
      <c r="K1741" s="4"/>
      <c r="L1741" s="4" t="str">
        <f>IFERROR(__xludf.DUMMYFUNCTION("""COMPUTED_VALUE"""),"Shooting")</f>
        <v>Shooting</v>
      </c>
      <c r="M1741" s="4"/>
      <c r="N1741" s="4"/>
      <c r="O1741" s="4" t="str">
        <f>IFERROR(__xludf.DUMMYFUNCTION("""COMPUTED_VALUE"""),"Per Game")</f>
        <v>Per Game</v>
      </c>
      <c r="P1741" s="4"/>
      <c r="Q1741" s="4"/>
      <c r="R1741" s="4"/>
      <c r="S1741" s="4" t="str">
        <f>IFERROR(__xludf.DUMMYFUNCTION("""COMPUTED_VALUE"""),"Advanced")</f>
        <v>Advanced</v>
      </c>
      <c r="T1741" s="4"/>
      <c r="U1741" s="4"/>
      <c r="V1741" s="4"/>
    </row>
    <row r="1742">
      <c r="A1742" s="4" t="str">
        <f>IFERROR(__xludf.DUMMYFUNCTION("""COMPUTED_VALUE"""),"Rk")</f>
        <v>Rk</v>
      </c>
      <c r="B1742" s="4" t="str">
        <f>IFERROR(__xludf.DUMMYFUNCTION("""COMPUTED_VALUE"""),"Pk")</f>
        <v>Pk</v>
      </c>
      <c r="C1742" s="4" t="str">
        <f>IFERROR(__xludf.DUMMYFUNCTION("""COMPUTED_VALUE"""),"Tm")</f>
        <v>Tm</v>
      </c>
      <c r="D1742" s="4" t="str">
        <f>IFERROR(__xludf.DUMMYFUNCTION("""COMPUTED_VALUE"""),"Player")</f>
        <v>Player</v>
      </c>
      <c r="E1742" s="4" t="str">
        <f>IFERROR(__xludf.DUMMYFUNCTION("""COMPUTED_VALUE"""),"College")</f>
        <v>College</v>
      </c>
      <c r="F1742" s="4" t="str">
        <f>IFERROR(__xludf.DUMMYFUNCTION("""COMPUTED_VALUE"""),"Yrs")</f>
        <v>Yrs</v>
      </c>
      <c r="G1742" s="4" t="str">
        <f>IFERROR(__xludf.DUMMYFUNCTION("""COMPUTED_VALUE"""),"G")</f>
        <v>G</v>
      </c>
      <c r="H1742" s="4" t="str">
        <f>IFERROR(__xludf.DUMMYFUNCTION("""COMPUTED_VALUE"""),"MP")</f>
        <v>MP</v>
      </c>
      <c r="I1742" s="4" t="str">
        <f>IFERROR(__xludf.DUMMYFUNCTION("""COMPUTED_VALUE"""),"PTS")</f>
        <v>PTS</v>
      </c>
      <c r="J1742" s="4" t="str">
        <f>IFERROR(__xludf.DUMMYFUNCTION("""COMPUTED_VALUE"""),"TRB")</f>
        <v>TRB</v>
      </c>
      <c r="K1742" s="4" t="str">
        <f>IFERROR(__xludf.DUMMYFUNCTION("""COMPUTED_VALUE"""),"AST")</f>
        <v>AST</v>
      </c>
      <c r="L1742" s="4" t="str">
        <f>IFERROR(__xludf.DUMMYFUNCTION("""COMPUTED_VALUE"""),"FG%")</f>
        <v>FG%</v>
      </c>
      <c r="M1742" s="4" t="str">
        <f>IFERROR(__xludf.DUMMYFUNCTION("""COMPUTED_VALUE"""),"3P%")</f>
        <v>3P%</v>
      </c>
      <c r="N1742" s="4" t="str">
        <f>IFERROR(__xludf.DUMMYFUNCTION("""COMPUTED_VALUE"""),"FT%")</f>
        <v>FT%</v>
      </c>
      <c r="O1742" s="4" t="str">
        <f>IFERROR(__xludf.DUMMYFUNCTION("""COMPUTED_VALUE"""),"MP")</f>
        <v>MP</v>
      </c>
      <c r="P1742" s="4" t="str">
        <f>IFERROR(__xludf.DUMMYFUNCTION("""COMPUTED_VALUE"""),"PTS")</f>
        <v>PTS</v>
      </c>
      <c r="Q1742" s="4" t="str">
        <f>IFERROR(__xludf.DUMMYFUNCTION("""COMPUTED_VALUE"""),"TRB")</f>
        <v>TRB</v>
      </c>
      <c r="R1742" s="4" t="str">
        <f>IFERROR(__xludf.DUMMYFUNCTION("""COMPUTED_VALUE"""),"AST")</f>
        <v>AST</v>
      </c>
      <c r="S1742" s="4" t="str">
        <f>IFERROR(__xludf.DUMMYFUNCTION("""COMPUTED_VALUE"""),"WS")</f>
        <v>WS</v>
      </c>
      <c r="T1742" s="4" t="str">
        <f>IFERROR(__xludf.DUMMYFUNCTION("""COMPUTED_VALUE"""),"WS/48")</f>
        <v>WS/48</v>
      </c>
      <c r="U1742" s="4" t="str">
        <f>IFERROR(__xludf.DUMMYFUNCTION("""COMPUTED_VALUE"""),"BPM")</f>
        <v>BPM</v>
      </c>
      <c r="V1742" s="4" t="str">
        <f>IFERROR(__xludf.DUMMYFUNCTION("""COMPUTED_VALUE"""),"VORP")</f>
        <v>VORP</v>
      </c>
    </row>
    <row r="1743">
      <c r="A1743" s="4">
        <f>IFERROR(__xludf.DUMMYFUNCTION("""COMPUTED_VALUE"""),30.0)</f>
        <v>30</v>
      </c>
      <c r="B1743" s="4">
        <f>IFERROR(__xludf.DUMMYFUNCTION("""COMPUTED_VALUE"""),30.0)</f>
        <v>30</v>
      </c>
      <c r="C1743" s="4" t="str">
        <f>IFERROR(__xludf.DUMMYFUNCTION("""COMPUTED_VALUE"""),"LAL")</f>
        <v>LAL</v>
      </c>
      <c r="D1743" s="4" t="str">
        <f>IFERROR(__xludf.DUMMYFUNCTION("""COMPUTED_VALUE"""),"John Celestand")</f>
        <v>John Celestand</v>
      </c>
      <c r="E1743" s="4" t="str">
        <f>IFERROR(__xludf.DUMMYFUNCTION("""COMPUTED_VALUE"""),"Villanova")</f>
        <v>Villanova</v>
      </c>
      <c r="F1743" s="4">
        <f>IFERROR(__xludf.DUMMYFUNCTION("""COMPUTED_VALUE"""),1.0)</f>
        <v>1</v>
      </c>
      <c r="G1743" s="4">
        <f>IFERROR(__xludf.DUMMYFUNCTION("""COMPUTED_VALUE"""),16.0)</f>
        <v>16</v>
      </c>
      <c r="H1743" s="4">
        <f>IFERROR(__xludf.DUMMYFUNCTION("""COMPUTED_VALUE"""),185.0)</f>
        <v>185</v>
      </c>
      <c r="I1743" s="4">
        <f>IFERROR(__xludf.DUMMYFUNCTION("""COMPUTED_VALUE"""),37.0)</f>
        <v>37</v>
      </c>
      <c r="J1743" s="4">
        <f>IFERROR(__xludf.DUMMYFUNCTION("""COMPUTED_VALUE"""),11.0)</f>
        <v>11</v>
      </c>
      <c r="K1743" s="4">
        <f>IFERROR(__xludf.DUMMYFUNCTION("""COMPUTED_VALUE"""),20.0)</f>
        <v>20</v>
      </c>
      <c r="L1743" s="4">
        <f>IFERROR(__xludf.DUMMYFUNCTION("""COMPUTED_VALUE"""),0.333)</f>
        <v>0.333</v>
      </c>
      <c r="M1743" s="4">
        <f>IFERROR(__xludf.DUMMYFUNCTION("""COMPUTED_VALUE"""),0.222)</f>
        <v>0.222</v>
      </c>
      <c r="N1743" s="4">
        <f>IFERROR(__xludf.DUMMYFUNCTION("""COMPUTED_VALUE"""),0.833)</f>
        <v>0.833</v>
      </c>
      <c r="O1743" s="4">
        <f>IFERROR(__xludf.DUMMYFUNCTION("""COMPUTED_VALUE"""),11.6)</f>
        <v>11.6</v>
      </c>
      <c r="P1743" s="4">
        <f>IFERROR(__xludf.DUMMYFUNCTION("""COMPUTED_VALUE"""),2.3)</f>
        <v>2.3</v>
      </c>
      <c r="Q1743" s="4">
        <f>IFERROR(__xludf.DUMMYFUNCTION("""COMPUTED_VALUE"""),0.7)</f>
        <v>0.7</v>
      </c>
      <c r="R1743" s="4">
        <f>IFERROR(__xludf.DUMMYFUNCTION("""COMPUTED_VALUE"""),1.3)</f>
        <v>1.3</v>
      </c>
      <c r="S1743" s="4">
        <f>IFERROR(__xludf.DUMMYFUNCTION("""COMPUTED_VALUE"""),-0.1)</f>
        <v>-0.1</v>
      </c>
      <c r="T1743" s="4">
        <f>IFERROR(__xludf.DUMMYFUNCTION("""COMPUTED_VALUE"""),-0.038)</f>
        <v>-0.038</v>
      </c>
      <c r="U1743" s="4">
        <f>IFERROR(__xludf.DUMMYFUNCTION("""COMPUTED_VALUE"""),-7.6)</f>
        <v>-7.6</v>
      </c>
      <c r="V1743" s="4">
        <f>IFERROR(__xludf.DUMMYFUNCTION("""COMPUTED_VALUE"""),-0.3)</f>
        <v>-0.3</v>
      </c>
    </row>
    <row r="1744">
      <c r="A1744" s="4">
        <f>IFERROR(__xludf.DUMMYFUNCTION("""COMPUTED_VALUE"""),31.0)</f>
        <v>31</v>
      </c>
      <c r="B1744" s="4">
        <f>IFERROR(__xludf.DUMMYFUNCTION("""COMPUTED_VALUE"""),31.0)</f>
        <v>31</v>
      </c>
      <c r="C1744" s="4" t="str">
        <f>IFERROR(__xludf.DUMMYFUNCTION("""COMPUTED_VALUE"""),"LAC")</f>
        <v>LAC</v>
      </c>
      <c r="D1744" s="4" t="str">
        <f>IFERROR(__xludf.DUMMYFUNCTION("""COMPUTED_VALUE"""),"Rico Hill")</f>
        <v>Rico Hill</v>
      </c>
      <c r="E1744" s="4" t="str">
        <f>IFERROR(__xludf.DUMMYFUNCTION("""COMPUTED_VALUE"""),"Illinois State")</f>
        <v>Illinois State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>
      <c r="A1745" s="4">
        <f>IFERROR(__xludf.DUMMYFUNCTION("""COMPUTED_VALUE"""),32.0)</f>
        <v>32</v>
      </c>
      <c r="B1745" s="4">
        <f>IFERROR(__xludf.DUMMYFUNCTION("""COMPUTED_VALUE"""),32.0)</f>
        <v>32</v>
      </c>
      <c r="C1745" s="4" t="str">
        <f>IFERROR(__xludf.DUMMYFUNCTION("""COMPUTED_VALUE"""),"CHI")</f>
        <v>CHI</v>
      </c>
      <c r="D1745" s="4" t="str">
        <f>IFERROR(__xludf.DUMMYFUNCTION("""COMPUTED_VALUE"""),"Michael Ruffin")</f>
        <v>Michael Ruffin</v>
      </c>
      <c r="E1745" s="4" t="str">
        <f>IFERROR(__xludf.DUMMYFUNCTION("""COMPUTED_VALUE"""),"Tulsa")</f>
        <v>Tulsa</v>
      </c>
      <c r="F1745" s="4">
        <f>IFERROR(__xludf.DUMMYFUNCTION("""COMPUTED_VALUE"""),9.0)</f>
        <v>9</v>
      </c>
      <c r="G1745" s="4">
        <f>IFERROR(__xludf.DUMMYFUNCTION("""COMPUTED_VALUE"""),414.0)</f>
        <v>414</v>
      </c>
      <c r="H1745" s="4">
        <f>IFERROR(__xludf.DUMMYFUNCTION("""COMPUTED_VALUE"""),5966.0)</f>
        <v>5966</v>
      </c>
      <c r="I1745" s="4">
        <f>IFERROR(__xludf.DUMMYFUNCTION("""COMPUTED_VALUE"""),716.0)</f>
        <v>716</v>
      </c>
      <c r="J1745" s="4">
        <f>IFERROR(__xludf.DUMMYFUNCTION("""COMPUTED_VALUE"""),1632.0)</f>
        <v>1632</v>
      </c>
      <c r="K1745" s="4">
        <f>IFERROR(__xludf.DUMMYFUNCTION("""COMPUTED_VALUE"""),250.0)</f>
        <v>250</v>
      </c>
      <c r="L1745" s="4">
        <f>IFERROR(__xludf.DUMMYFUNCTION("""COMPUTED_VALUE"""),0.407)</f>
        <v>0.407</v>
      </c>
      <c r="M1745" s="4">
        <f>IFERROR(__xludf.DUMMYFUNCTION("""COMPUTED_VALUE"""),0.0)</f>
        <v>0</v>
      </c>
      <c r="N1745" s="4">
        <f>IFERROR(__xludf.DUMMYFUNCTION("""COMPUTED_VALUE"""),0.459)</f>
        <v>0.459</v>
      </c>
      <c r="O1745" s="4">
        <f>IFERROR(__xludf.DUMMYFUNCTION("""COMPUTED_VALUE"""),14.4)</f>
        <v>14.4</v>
      </c>
      <c r="P1745" s="4">
        <f>IFERROR(__xludf.DUMMYFUNCTION("""COMPUTED_VALUE"""),1.7)</f>
        <v>1.7</v>
      </c>
      <c r="Q1745" s="4">
        <f>IFERROR(__xludf.DUMMYFUNCTION("""COMPUTED_VALUE"""),3.9)</f>
        <v>3.9</v>
      </c>
      <c r="R1745" s="4">
        <f>IFERROR(__xludf.DUMMYFUNCTION("""COMPUTED_VALUE"""),0.6)</f>
        <v>0.6</v>
      </c>
      <c r="S1745" s="4">
        <f>IFERROR(__xludf.DUMMYFUNCTION("""COMPUTED_VALUE"""),6.8)</f>
        <v>6.8</v>
      </c>
      <c r="T1745" s="4">
        <f>IFERROR(__xludf.DUMMYFUNCTION("""COMPUTED_VALUE"""),0.055)</f>
        <v>0.055</v>
      </c>
      <c r="U1745" s="4">
        <f>IFERROR(__xludf.DUMMYFUNCTION("""COMPUTED_VALUE"""),-3.3)</f>
        <v>-3.3</v>
      </c>
      <c r="V1745" s="4">
        <f>IFERROR(__xludf.DUMMYFUNCTION("""COMPUTED_VALUE"""),-2.0)</f>
        <v>-2</v>
      </c>
    </row>
    <row r="1746">
      <c r="A1746" s="4">
        <f>IFERROR(__xludf.DUMMYFUNCTION("""COMPUTED_VALUE"""),33.0)</f>
        <v>33</v>
      </c>
      <c r="B1746" s="4">
        <f>IFERROR(__xludf.DUMMYFUNCTION("""COMPUTED_VALUE"""),33.0)</f>
        <v>33</v>
      </c>
      <c r="C1746" s="4" t="str">
        <f>IFERROR(__xludf.DUMMYFUNCTION("""COMPUTED_VALUE"""),"DEN")</f>
        <v>DEN</v>
      </c>
      <c r="D1746" s="4" t="str">
        <f>IFERROR(__xludf.DUMMYFUNCTION("""COMPUTED_VALUE"""),"Chris Herren")</f>
        <v>Chris Herren</v>
      </c>
      <c r="E1746" s="4" t="str">
        <f>IFERROR(__xludf.DUMMYFUNCTION("""COMPUTED_VALUE"""),"Fresno State")</f>
        <v>Fresno State</v>
      </c>
      <c r="F1746" s="4">
        <f>IFERROR(__xludf.DUMMYFUNCTION("""COMPUTED_VALUE"""),2.0)</f>
        <v>2</v>
      </c>
      <c r="G1746" s="4">
        <f>IFERROR(__xludf.DUMMYFUNCTION("""COMPUTED_VALUE"""),70.0)</f>
        <v>70</v>
      </c>
      <c r="H1746" s="4">
        <f>IFERROR(__xludf.DUMMYFUNCTION("""COMPUTED_VALUE"""),1005.0)</f>
        <v>1005</v>
      </c>
      <c r="I1746" s="4">
        <f>IFERROR(__xludf.DUMMYFUNCTION("""COMPUTED_VALUE"""),224.0)</f>
        <v>224</v>
      </c>
      <c r="J1746" s="4">
        <f>IFERROR(__xludf.DUMMYFUNCTION("""COMPUTED_VALUE"""),73.0)</f>
        <v>73</v>
      </c>
      <c r="K1746" s="4">
        <f>IFERROR(__xludf.DUMMYFUNCTION("""COMPUTED_VALUE"""),167.0)</f>
        <v>167</v>
      </c>
      <c r="L1746" s="4">
        <f>IFERROR(__xludf.DUMMYFUNCTION("""COMPUTED_VALUE"""),0.336)</f>
        <v>0.336</v>
      </c>
      <c r="M1746" s="4">
        <f>IFERROR(__xludf.DUMMYFUNCTION("""COMPUTED_VALUE"""),0.328)</f>
        <v>0.328</v>
      </c>
      <c r="N1746" s="4">
        <f>IFERROR(__xludf.DUMMYFUNCTION("""COMPUTED_VALUE"""),0.692)</f>
        <v>0.692</v>
      </c>
      <c r="O1746" s="4">
        <f>IFERROR(__xludf.DUMMYFUNCTION("""COMPUTED_VALUE"""),14.4)</f>
        <v>14.4</v>
      </c>
      <c r="P1746" s="4">
        <f>IFERROR(__xludf.DUMMYFUNCTION("""COMPUTED_VALUE"""),3.2)</f>
        <v>3.2</v>
      </c>
      <c r="Q1746" s="4">
        <f>IFERROR(__xludf.DUMMYFUNCTION("""COMPUTED_VALUE"""),1.0)</f>
        <v>1</v>
      </c>
      <c r="R1746" s="4">
        <f>IFERROR(__xludf.DUMMYFUNCTION("""COMPUTED_VALUE"""),2.4)</f>
        <v>2.4</v>
      </c>
      <c r="S1746" s="4">
        <f>IFERROR(__xludf.DUMMYFUNCTION("""COMPUTED_VALUE"""),0.5)</f>
        <v>0.5</v>
      </c>
      <c r="T1746" s="4">
        <f>IFERROR(__xludf.DUMMYFUNCTION("""COMPUTED_VALUE"""),0.025)</f>
        <v>0.025</v>
      </c>
      <c r="U1746" s="4">
        <f>IFERROR(__xludf.DUMMYFUNCTION("""COMPUTED_VALUE"""),-4.5)</f>
        <v>-4.5</v>
      </c>
      <c r="V1746" s="4">
        <f>IFERROR(__xludf.DUMMYFUNCTION("""COMPUTED_VALUE"""),-0.6)</f>
        <v>-0.6</v>
      </c>
    </row>
    <row r="1747">
      <c r="A1747" s="4">
        <f>IFERROR(__xludf.DUMMYFUNCTION("""COMPUTED_VALUE"""),34.0)</f>
        <v>34</v>
      </c>
      <c r="B1747" s="4">
        <f>IFERROR(__xludf.DUMMYFUNCTION("""COMPUTED_VALUE"""),34.0)</f>
        <v>34</v>
      </c>
      <c r="C1747" s="4" t="str">
        <f>IFERROR(__xludf.DUMMYFUNCTION("""COMPUTED_VALUE"""),"NJN")</f>
        <v>NJN</v>
      </c>
      <c r="D1747" s="4" t="str">
        <f>IFERROR(__xludf.DUMMYFUNCTION("""COMPUTED_VALUE"""),"Evan Eschmeyer")</f>
        <v>Evan Eschmeyer</v>
      </c>
      <c r="E1747" s="4" t="str">
        <f>IFERROR(__xludf.DUMMYFUNCTION("""COMPUTED_VALUE"""),"Northwestern")</f>
        <v>Northwestern</v>
      </c>
      <c r="F1747" s="4">
        <f>IFERROR(__xludf.DUMMYFUNCTION("""COMPUTED_VALUE"""),4.0)</f>
        <v>4</v>
      </c>
      <c r="G1747" s="4">
        <f>IFERROR(__xludf.DUMMYFUNCTION("""COMPUTED_VALUE"""),153.0)</f>
        <v>153</v>
      </c>
      <c r="H1747" s="4">
        <f>IFERROR(__xludf.DUMMYFUNCTION("""COMPUTED_VALUE"""),2138.0)</f>
        <v>2138</v>
      </c>
      <c r="I1747" s="4">
        <f>IFERROR(__xludf.DUMMYFUNCTION("""COMPUTED_VALUE"""),421.0)</f>
        <v>421</v>
      </c>
      <c r="J1747" s="4">
        <f>IFERROR(__xludf.DUMMYFUNCTION("""COMPUTED_VALUE"""),601.0)</f>
        <v>601</v>
      </c>
      <c r="K1747" s="4">
        <f>IFERROR(__xludf.DUMMYFUNCTION("""COMPUTED_VALUE"""),76.0)</f>
        <v>76</v>
      </c>
      <c r="L1747" s="4">
        <f>IFERROR(__xludf.DUMMYFUNCTION("""COMPUTED_VALUE"""),0.463)</f>
        <v>0.463</v>
      </c>
      <c r="M1747" s="4"/>
      <c r="N1747" s="4">
        <f>IFERROR(__xludf.DUMMYFUNCTION("""COMPUTED_VALUE"""),0.621)</f>
        <v>0.621</v>
      </c>
      <c r="O1747" s="4">
        <f>IFERROR(__xludf.DUMMYFUNCTION("""COMPUTED_VALUE"""),14.0)</f>
        <v>14</v>
      </c>
      <c r="P1747" s="4">
        <f>IFERROR(__xludf.DUMMYFUNCTION("""COMPUTED_VALUE"""),2.8)</f>
        <v>2.8</v>
      </c>
      <c r="Q1747" s="4">
        <f>IFERROR(__xludf.DUMMYFUNCTION("""COMPUTED_VALUE"""),3.9)</f>
        <v>3.9</v>
      </c>
      <c r="R1747" s="4">
        <f>IFERROR(__xludf.DUMMYFUNCTION("""COMPUTED_VALUE"""),0.5)</f>
        <v>0.5</v>
      </c>
      <c r="S1747" s="4">
        <f>IFERROR(__xludf.DUMMYFUNCTION("""COMPUTED_VALUE"""),4.0)</f>
        <v>4</v>
      </c>
      <c r="T1747" s="4">
        <f>IFERROR(__xludf.DUMMYFUNCTION("""COMPUTED_VALUE"""),0.09)</f>
        <v>0.09</v>
      </c>
      <c r="U1747" s="4">
        <f>IFERROR(__xludf.DUMMYFUNCTION("""COMPUTED_VALUE"""),-3.0)</f>
        <v>-3</v>
      </c>
      <c r="V1747" s="4">
        <f>IFERROR(__xludf.DUMMYFUNCTION("""COMPUTED_VALUE"""),-0.5)</f>
        <v>-0.5</v>
      </c>
    </row>
    <row r="1748">
      <c r="A1748" s="4">
        <f>IFERROR(__xludf.DUMMYFUNCTION("""COMPUTED_VALUE"""),35.0)</f>
        <v>35</v>
      </c>
      <c r="B1748" s="4">
        <f>IFERROR(__xludf.DUMMYFUNCTION("""COMPUTED_VALUE"""),35.0)</f>
        <v>35</v>
      </c>
      <c r="C1748" s="4" t="str">
        <f>IFERROR(__xludf.DUMMYFUNCTION("""COMPUTED_VALUE"""),"WAS")</f>
        <v>WAS</v>
      </c>
      <c r="D1748" s="4" t="str">
        <f>IFERROR(__xludf.DUMMYFUNCTION("""COMPUTED_VALUE"""),"Calvin Booth")</f>
        <v>Calvin Booth</v>
      </c>
      <c r="E1748" s="4" t="str">
        <f>IFERROR(__xludf.DUMMYFUNCTION("""COMPUTED_VALUE"""),"Penn State")</f>
        <v>Penn State</v>
      </c>
      <c r="F1748" s="4">
        <f>IFERROR(__xludf.DUMMYFUNCTION("""COMPUTED_VALUE"""),10.0)</f>
        <v>10</v>
      </c>
      <c r="G1748" s="4">
        <f>IFERROR(__xludf.DUMMYFUNCTION("""COMPUTED_VALUE"""),366.0)</f>
        <v>366</v>
      </c>
      <c r="H1748" s="4">
        <f>IFERROR(__xludf.DUMMYFUNCTION("""COMPUTED_VALUE"""),4477.0)</f>
        <v>4477</v>
      </c>
      <c r="I1748" s="4">
        <f>IFERROR(__xludf.DUMMYFUNCTION("""COMPUTED_VALUE"""),1190.0)</f>
        <v>1190</v>
      </c>
      <c r="J1748" s="4">
        <f>IFERROR(__xludf.DUMMYFUNCTION("""COMPUTED_VALUE"""),1010.0)</f>
        <v>1010</v>
      </c>
      <c r="K1748" s="4">
        <f>IFERROR(__xludf.DUMMYFUNCTION("""COMPUTED_VALUE"""),151.0)</f>
        <v>151</v>
      </c>
      <c r="L1748" s="4">
        <f>IFERROR(__xludf.DUMMYFUNCTION("""COMPUTED_VALUE"""),0.451)</f>
        <v>0.451</v>
      </c>
      <c r="M1748" s="4">
        <f>IFERROR(__xludf.DUMMYFUNCTION("""COMPUTED_VALUE"""),0.222)</f>
        <v>0.222</v>
      </c>
      <c r="N1748" s="4">
        <f>IFERROR(__xludf.DUMMYFUNCTION("""COMPUTED_VALUE"""),0.748)</f>
        <v>0.748</v>
      </c>
      <c r="O1748" s="4">
        <f>IFERROR(__xludf.DUMMYFUNCTION("""COMPUTED_VALUE"""),12.2)</f>
        <v>12.2</v>
      </c>
      <c r="P1748" s="4">
        <f>IFERROR(__xludf.DUMMYFUNCTION("""COMPUTED_VALUE"""),3.3)</f>
        <v>3.3</v>
      </c>
      <c r="Q1748" s="4">
        <f>IFERROR(__xludf.DUMMYFUNCTION("""COMPUTED_VALUE"""),2.8)</f>
        <v>2.8</v>
      </c>
      <c r="R1748" s="4">
        <f>IFERROR(__xludf.DUMMYFUNCTION("""COMPUTED_VALUE"""),0.4)</f>
        <v>0.4</v>
      </c>
      <c r="S1748" s="4">
        <f>IFERROR(__xludf.DUMMYFUNCTION("""COMPUTED_VALUE"""),8.0)</f>
        <v>8</v>
      </c>
      <c r="T1748" s="4">
        <f>IFERROR(__xludf.DUMMYFUNCTION("""COMPUTED_VALUE"""),0.086)</f>
        <v>0.086</v>
      </c>
      <c r="U1748" s="4">
        <f>IFERROR(__xludf.DUMMYFUNCTION("""COMPUTED_VALUE"""),-1.8)</f>
        <v>-1.8</v>
      </c>
      <c r="V1748" s="4">
        <f>IFERROR(__xludf.DUMMYFUNCTION("""COMPUTED_VALUE"""),0.3)</f>
        <v>0.3</v>
      </c>
    </row>
    <row r="1749">
      <c r="A1749" s="4">
        <f>IFERROR(__xludf.DUMMYFUNCTION("""COMPUTED_VALUE"""),36.0)</f>
        <v>36</v>
      </c>
      <c r="B1749" s="4">
        <f>IFERROR(__xludf.DUMMYFUNCTION("""COMPUTED_VALUE"""),36.0)</f>
        <v>36</v>
      </c>
      <c r="C1749" s="4" t="str">
        <f>IFERROR(__xludf.DUMMYFUNCTION("""COMPUTED_VALUE"""),"DAL")</f>
        <v>DAL</v>
      </c>
      <c r="D1749" s="4" t="str">
        <f>IFERROR(__xludf.DUMMYFUNCTION("""COMPUTED_VALUE"""),"Wang Zhizhi")</f>
        <v>Wang Zhizhi</v>
      </c>
      <c r="E1749" s="4"/>
      <c r="F1749" s="4">
        <f>IFERROR(__xludf.DUMMYFUNCTION("""COMPUTED_VALUE"""),5.0)</f>
        <v>5</v>
      </c>
      <c r="G1749" s="4">
        <f>IFERROR(__xludf.DUMMYFUNCTION("""COMPUTED_VALUE"""),137.0)</f>
        <v>137</v>
      </c>
      <c r="H1749" s="4">
        <f>IFERROR(__xludf.DUMMYFUNCTION("""COMPUTED_VALUE"""),1256.0)</f>
        <v>1256</v>
      </c>
      <c r="I1749" s="4">
        <f>IFERROR(__xludf.DUMMYFUNCTION("""COMPUTED_VALUE"""),604.0)</f>
        <v>604</v>
      </c>
      <c r="J1749" s="4">
        <f>IFERROR(__xludf.DUMMYFUNCTION("""COMPUTED_VALUE"""),231.0)</f>
        <v>231</v>
      </c>
      <c r="K1749" s="4">
        <f>IFERROR(__xludf.DUMMYFUNCTION("""COMPUTED_VALUE"""),39.0)</f>
        <v>39</v>
      </c>
      <c r="L1749" s="4">
        <f>IFERROR(__xludf.DUMMYFUNCTION("""COMPUTED_VALUE"""),0.417)</f>
        <v>0.417</v>
      </c>
      <c r="M1749" s="4">
        <f>IFERROR(__xludf.DUMMYFUNCTION("""COMPUTED_VALUE"""),0.385)</f>
        <v>0.385</v>
      </c>
      <c r="N1749" s="4">
        <f>IFERROR(__xludf.DUMMYFUNCTION("""COMPUTED_VALUE"""),0.735)</f>
        <v>0.735</v>
      </c>
      <c r="O1749" s="4">
        <f>IFERROR(__xludf.DUMMYFUNCTION("""COMPUTED_VALUE"""),9.2)</f>
        <v>9.2</v>
      </c>
      <c r="P1749" s="4">
        <f>IFERROR(__xludf.DUMMYFUNCTION("""COMPUTED_VALUE"""),4.4)</f>
        <v>4.4</v>
      </c>
      <c r="Q1749" s="4">
        <f>IFERROR(__xludf.DUMMYFUNCTION("""COMPUTED_VALUE"""),1.7)</f>
        <v>1.7</v>
      </c>
      <c r="R1749" s="4">
        <f>IFERROR(__xludf.DUMMYFUNCTION("""COMPUTED_VALUE"""),0.3)</f>
        <v>0.3</v>
      </c>
      <c r="S1749" s="4">
        <f>IFERROR(__xludf.DUMMYFUNCTION("""COMPUTED_VALUE"""),2.1)</f>
        <v>2.1</v>
      </c>
      <c r="T1749" s="4">
        <f>IFERROR(__xludf.DUMMYFUNCTION("""COMPUTED_VALUE"""),0.078)</f>
        <v>0.078</v>
      </c>
      <c r="U1749" s="4">
        <f>IFERROR(__xludf.DUMMYFUNCTION("""COMPUTED_VALUE"""),-1.6)</f>
        <v>-1.6</v>
      </c>
      <c r="V1749" s="4">
        <f>IFERROR(__xludf.DUMMYFUNCTION("""COMPUTED_VALUE"""),0.1)</f>
        <v>0.1</v>
      </c>
    </row>
    <row r="1750">
      <c r="A1750" s="4">
        <f>IFERROR(__xludf.DUMMYFUNCTION("""COMPUTED_VALUE"""),37.0)</f>
        <v>37</v>
      </c>
      <c r="B1750" s="4">
        <f>IFERROR(__xludf.DUMMYFUNCTION("""COMPUTED_VALUE"""),37.0)</f>
        <v>37</v>
      </c>
      <c r="C1750" s="4" t="str">
        <f>IFERROR(__xludf.DUMMYFUNCTION("""COMPUTED_VALUE"""),"VAN")</f>
        <v>VAN</v>
      </c>
      <c r="D1750" s="4" t="str">
        <f>IFERROR(__xludf.DUMMYFUNCTION("""COMPUTED_VALUE"""),"Obinna Ekezie")</f>
        <v>Obinna Ekezie</v>
      </c>
      <c r="E1750" s="4" t="str">
        <f>IFERROR(__xludf.DUMMYFUNCTION("""COMPUTED_VALUE"""),"Maryland")</f>
        <v>Maryland</v>
      </c>
      <c r="F1750" s="4">
        <f>IFERROR(__xludf.DUMMYFUNCTION("""COMPUTED_VALUE"""),4.0)</f>
        <v>4</v>
      </c>
      <c r="G1750" s="4">
        <f>IFERROR(__xludf.DUMMYFUNCTION("""COMPUTED_VALUE"""),143.0)</f>
        <v>143</v>
      </c>
      <c r="H1750" s="4">
        <f>IFERROR(__xludf.DUMMYFUNCTION("""COMPUTED_VALUE"""),1516.0)</f>
        <v>1516</v>
      </c>
      <c r="I1750" s="4">
        <f>IFERROR(__xludf.DUMMYFUNCTION("""COMPUTED_VALUE"""),510.0)</f>
        <v>510</v>
      </c>
      <c r="J1750" s="4">
        <f>IFERROR(__xludf.DUMMYFUNCTION("""COMPUTED_VALUE"""),383.0)</f>
        <v>383</v>
      </c>
      <c r="K1750" s="4">
        <f>IFERROR(__xludf.DUMMYFUNCTION("""COMPUTED_VALUE"""),31.0)</f>
        <v>31</v>
      </c>
      <c r="L1750" s="4">
        <f>IFERROR(__xludf.DUMMYFUNCTION("""COMPUTED_VALUE"""),0.423)</f>
        <v>0.423</v>
      </c>
      <c r="M1750" s="4">
        <f>IFERROR(__xludf.DUMMYFUNCTION("""COMPUTED_VALUE"""),0.0)</f>
        <v>0</v>
      </c>
      <c r="N1750" s="4">
        <f>IFERROR(__xludf.DUMMYFUNCTION("""COMPUTED_VALUE"""),0.72)</f>
        <v>0.72</v>
      </c>
      <c r="O1750" s="4">
        <f>IFERROR(__xludf.DUMMYFUNCTION("""COMPUTED_VALUE"""),10.6)</f>
        <v>10.6</v>
      </c>
      <c r="P1750" s="4">
        <f>IFERROR(__xludf.DUMMYFUNCTION("""COMPUTED_VALUE"""),3.6)</f>
        <v>3.6</v>
      </c>
      <c r="Q1750" s="4">
        <f>IFERROR(__xludf.DUMMYFUNCTION("""COMPUTED_VALUE"""),2.7)</f>
        <v>2.7</v>
      </c>
      <c r="R1750" s="4">
        <f>IFERROR(__xludf.DUMMYFUNCTION("""COMPUTED_VALUE"""),0.2)</f>
        <v>0.2</v>
      </c>
      <c r="S1750" s="4">
        <f>IFERROR(__xludf.DUMMYFUNCTION("""COMPUTED_VALUE"""),1.7)</f>
        <v>1.7</v>
      </c>
      <c r="T1750" s="4">
        <f>IFERROR(__xludf.DUMMYFUNCTION("""COMPUTED_VALUE"""),0.054)</f>
        <v>0.054</v>
      </c>
      <c r="U1750" s="4">
        <f>IFERROR(__xludf.DUMMYFUNCTION("""COMPUTED_VALUE"""),-5.4)</f>
        <v>-5.4</v>
      </c>
      <c r="V1750" s="4">
        <f>IFERROR(__xludf.DUMMYFUNCTION("""COMPUTED_VALUE"""),-1.3)</f>
        <v>-1.3</v>
      </c>
    </row>
    <row r="1751">
      <c r="A1751" s="4">
        <f>IFERROR(__xludf.DUMMYFUNCTION("""COMPUTED_VALUE"""),38.0)</f>
        <v>38</v>
      </c>
      <c r="B1751" s="4">
        <f>IFERROR(__xludf.DUMMYFUNCTION("""COMPUTED_VALUE"""),38.0)</f>
        <v>38</v>
      </c>
      <c r="C1751" s="4" t="str">
        <f>IFERROR(__xludf.DUMMYFUNCTION("""COMPUTED_VALUE"""),"ORL")</f>
        <v>ORL</v>
      </c>
      <c r="D1751" s="4" t="str">
        <f>IFERROR(__xludf.DUMMYFUNCTION("""COMPUTED_VALUE"""),"Laron Profit")</f>
        <v>Laron Profit</v>
      </c>
      <c r="E1751" s="4" t="str">
        <f>IFERROR(__xludf.DUMMYFUNCTION("""COMPUTED_VALUE"""),"Maryland")</f>
        <v>Maryland</v>
      </c>
      <c r="F1751" s="4">
        <f>IFERROR(__xludf.DUMMYFUNCTION("""COMPUTED_VALUE"""),4.0)</f>
        <v>4</v>
      </c>
      <c r="G1751" s="4">
        <f>IFERROR(__xludf.DUMMYFUNCTION("""COMPUTED_VALUE"""),135.0)</f>
        <v>135</v>
      </c>
      <c r="H1751" s="4">
        <f>IFERROR(__xludf.DUMMYFUNCTION("""COMPUTED_VALUE"""),1537.0)</f>
        <v>1537</v>
      </c>
      <c r="I1751" s="4">
        <f>IFERROR(__xludf.DUMMYFUNCTION("""COMPUTED_VALUE"""),441.0)</f>
        <v>441</v>
      </c>
      <c r="J1751" s="4">
        <f>IFERROR(__xludf.DUMMYFUNCTION("""COMPUTED_VALUE"""),209.0)</f>
        <v>209</v>
      </c>
      <c r="K1751" s="4">
        <f>IFERROR(__xludf.DUMMYFUNCTION("""COMPUTED_VALUE"""),166.0)</f>
        <v>166</v>
      </c>
      <c r="L1751" s="4">
        <f>IFERROR(__xludf.DUMMYFUNCTION("""COMPUTED_VALUE"""),0.419)</f>
        <v>0.419</v>
      </c>
      <c r="M1751" s="4">
        <f>IFERROR(__xludf.DUMMYFUNCTION("""COMPUTED_VALUE"""),0.236)</f>
        <v>0.236</v>
      </c>
      <c r="N1751" s="4">
        <f>IFERROR(__xludf.DUMMYFUNCTION("""COMPUTED_VALUE"""),0.712)</f>
        <v>0.712</v>
      </c>
      <c r="O1751" s="4">
        <f>IFERROR(__xludf.DUMMYFUNCTION("""COMPUTED_VALUE"""),11.4)</f>
        <v>11.4</v>
      </c>
      <c r="P1751" s="4">
        <f>IFERROR(__xludf.DUMMYFUNCTION("""COMPUTED_VALUE"""),3.3)</f>
        <v>3.3</v>
      </c>
      <c r="Q1751" s="4">
        <f>IFERROR(__xludf.DUMMYFUNCTION("""COMPUTED_VALUE"""),1.5)</f>
        <v>1.5</v>
      </c>
      <c r="R1751" s="4">
        <f>IFERROR(__xludf.DUMMYFUNCTION("""COMPUTED_VALUE"""),1.2)</f>
        <v>1.2</v>
      </c>
      <c r="S1751" s="4">
        <f>IFERROR(__xludf.DUMMYFUNCTION("""COMPUTED_VALUE"""),0.7)</f>
        <v>0.7</v>
      </c>
      <c r="T1751" s="4">
        <f>IFERROR(__xludf.DUMMYFUNCTION("""COMPUTED_VALUE"""),0.021)</f>
        <v>0.021</v>
      </c>
      <c r="U1751" s="4">
        <f>IFERROR(__xludf.DUMMYFUNCTION("""COMPUTED_VALUE"""),-2.1)</f>
        <v>-2.1</v>
      </c>
      <c r="V1751" s="4">
        <f>IFERROR(__xludf.DUMMYFUNCTION("""COMPUTED_VALUE"""),0.0)</f>
        <v>0</v>
      </c>
    </row>
    <row r="1752">
      <c r="A1752" s="4">
        <f>IFERROR(__xludf.DUMMYFUNCTION("""COMPUTED_VALUE"""),39.0)</f>
        <v>39</v>
      </c>
      <c r="B1752" s="4">
        <f>IFERROR(__xludf.DUMMYFUNCTION("""COMPUTED_VALUE"""),39.0)</f>
        <v>39</v>
      </c>
      <c r="C1752" s="4" t="str">
        <f>IFERROR(__xludf.DUMMYFUNCTION("""COMPUTED_VALUE"""),"CLE")</f>
        <v>CLE</v>
      </c>
      <c r="D1752" s="4" t="str">
        <f>IFERROR(__xludf.DUMMYFUNCTION("""COMPUTED_VALUE"""),"A.J. Bramlett")</f>
        <v>A.J. Bramlett</v>
      </c>
      <c r="E1752" s="4" t="str">
        <f>IFERROR(__xludf.DUMMYFUNCTION("""COMPUTED_VALUE"""),"Arizona")</f>
        <v>Arizona</v>
      </c>
      <c r="F1752" s="4">
        <f>IFERROR(__xludf.DUMMYFUNCTION("""COMPUTED_VALUE"""),1.0)</f>
        <v>1</v>
      </c>
      <c r="G1752" s="4">
        <f>IFERROR(__xludf.DUMMYFUNCTION("""COMPUTED_VALUE"""),8.0)</f>
        <v>8</v>
      </c>
      <c r="H1752" s="4">
        <f>IFERROR(__xludf.DUMMYFUNCTION("""COMPUTED_VALUE"""),61.0)</f>
        <v>61</v>
      </c>
      <c r="I1752" s="4">
        <f>IFERROR(__xludf.DUMMYFUNCTION("""COMPUTED_VALUE"""),8.0)</f>
        <v>8</v>
      </c>
      <c r="J1752" s="4">
        <f>IFERROR(__xludf.DUMMYFUNCTION("""COMPUTED_VALUE"""),22.0)</f>
        <v>22</v>
      </c>
      <c r="K1752" s="4">
        <f>IFERROR(__xludf.DUMMYFUNCTION("""COMPUTED_VALUE"""),0.0)</f>
        <v>0</v>
      </c>
      <c r="L1752" s="4">
        <f>IFERROR(__xludf.DUMMYFUNCTION("""COMPUTED_VALUE"""),0.19)</f>
        <v>0.19</v>
      </c>
      <c r="M1752" s="4"/>
      <c r="N1752" s="4"/>
      <c r="O1752" s="4">
        <f>IFERROR(__xludf.DUMMYFUNCTION("""COMPUTED_VALUE"""),7.6)</f>
        <v>7.6</v>
      </c>
      <c r="P1752" s="4">
        <f>IFERROR(__xludf.DUMMYFUNCTION("""COMPUTED_VALUE"""),1.0)</f>
        <v>1</v>
      </c>
      <c r="Q1752" s="4">
        <f>IFERROR(__xludf.DUMMYFUNCTION("""COMPUTED_VALUE"""),2.8)</f>
        <v>2.8</v>
      </c>
      <c r="R1752" s="4">
        <f>IFERROR(__xludf.DUMMYFUNCTION("""COMPUTED_VALUE"""),0.0)</f>
        <v>0</v>
      </c>
      <c r="S1752" s="4">
        <f>IFERROR(__xludf.DUMMYFUNCTION("""COMPUTED_VALUE"""),-0.2)</f>
        <v>-0.2</v>
      </c>
      <c r="T1752" s="4">
        <f>IFERROR(__xludf.DUMMYFUNCTION("""COMPUTED_VALUE"""),-0.129)</f>
        <v>-0.129</v>
      </c>
      <c r="U1752" s="4">
        <f>IFERROR(__xludf.DUMMYFUNCTION("""COMPUTED_VALUE"""),-15.9)</f>
        <v>-15.9</v>
      </c>
      <c r="V1752" s="4">
        <f>IFERROR(__xludf.DUMMYFUNCTION("""COMPUTED_VALUE"""),-0.2)</f>
        <v>-0.2</v>
      </c>
    </row>
    <row r="1753">
      <c r="A1753" s="4">
        <f>IFERROR(__xludf.DUMMYFUNCTION("""COMPUTED_VALUE"""),40.0)</f>
        <v>40</v>
      </c>
      <c r="B1753" s="4">
        <f>IFERROR(__xludf.DUMMYFUNCTION("""COMPUTED_VALUE"""),40.0)</f>
        <v>40</v>
      </c>
      <c r="C1753" s="4" t="str">
        <f>IFERROR(__xludf.DUMMYFUNCTION("""COMPUTED_VALUE"""),"DAL")</f>
        <v>DAL</v>
      </c>
      <c r="D1753" s="4" t="str">
        <f>IFERROR(__xludf.DUMMYFUNCTION("""COMPUTED_VALUE"""),"Gordan Giriček")</f>
        <v>Gordan Giriček</v>
      </c>
      <c r="E1753" s="4"/>
      <c r="F1753" s="4">
        <f>IFERROR(__xludf.DUMMYFUNCTION("""COMPUTED_VALUE"""),6.0)</f>
        <v>6</v>
      </c>
      <c r="G1753" s="4">
        <f>IFERROR(__xludf.DUMMYFUNCTION("""COMPUTED_VALUE"""),384.0)</f>
        <v>384</v>
      </c>
      <c r="H1753" s="4">
        <f>IFERROR(__xludf.DUMMYFUNCTION("""COMPUTED_VALUE"""),8824.0)</f>
        <v>8824</v>
      </c>
      <c r="I1753" s="4">
        <f>IFERROR(__xludf.DUMMYFUNCTION("""COMPUTED_VALUE"""),3670.0)</f>
        <v>3670</v>
      </c>
      <c r="J1753" s="4">
        <f>IFERROR(__xludf.DUMMYFUNCTION("""COMPUTED_VALUE"""),941.0)</f>
        <v>941</v>
      </c>
      <c r="K1753" s="4">
        <f>IFERROR(__xludf.DUMMYFUNCTION("""COMPUTED_VALUE"""),584.0)</f>
        <v>584</v>
      </c>
      <c r="L1753" s="4">
        <f>IFERROR(__xludf.DUMMYFUNCTION("""COMPUTED_VALUE"""),0.442)</f>
        <v>0.442</v>
      </c>
      <c r="M1753" s="4">
        <f>IFERROR(__xludf.DUMMYFUNCTION("""COMPUTED_VALUE"""),0.368)</f>
        <v>0.368</v>
      </c>
      <c r="N1753" s="4">
        <f>IFERROR(__xludf.DUMMYFUNCTION("""COMPUTED_VALUE"""),0.823)</f>
        <v>0.823</v>
      </c>
      <c r="O1753" s="4">
        <f>IFERROR(__xludf.DUMMYFUNCTION("""COMPUTED_VALUE"""),23.0)</f>
        <v>23</v>
      </c>
      <c r="P1753" s="4">
        <f>IFERROR(__xludf.DUMMYFUNCTION("""COMPUTED_VALUE"""),9.6)</f>
        <v>9.6</v>
      </c>
      <c r="Q1753" s="4">
        <f>IFERROR(__xludf.DUMMYFUNCTION("""COMPUTED_VALUE"""),2.5)</f>
        <v>2.5</v>
      </c>
      <c r="R1753" s="4">
        <f>IFERROR(__xludf.DUMMYFUNCTION("""COMPUTED_VALUE"""),1.5)</f>
        <v>1.5</v>
      </c>
      <c r="S1753" s="4">
        <f>IFERROR(__xludf.DUMMYFUNCTION("""COMPUTED_VALUE"""),8.0)</f>
        <v>8</v>
      </c>
      <c r="T1753" s="4">
        <f>IFERROR(__xludf.DUMMYFUNCTION("""COMPUTED_VALUE"""),0.044)</f>
        <v>0.044</v>
      </c>
      <c r="U1753" s="4">
        <f>IFERROR(__xludf.DUMMYFUNCTION("""COMPUTED_VALUE"""),-2.5)</f>
        <v>-2.5</v>
      </c>
      <c r="V1753" s="4">
        <f>IFERROR(__xludf.DUMMYFUNCTION("""COMPUTED_VALUE"""),-1.1)</f>
        <v>-1.1</v>
      </c>
    </row>
    <row r="1754">
      <c r="A1754" s="4">
        <f>IFERROR(__xludf.DUMMYFUNCTION("""COMPUTED_VALUE"""),41.0)</f>
        <v>41</v>
      </c>
      <c r="B1754" s="4">
        <f>IFERROR(__xludf.DUMMYFUNCTION("""COMPUTED_VALUE"""),41.0)</f>
        <v>41</v>
      </c>
      <c r="C1754" s="4" t="str">
        <f>IFERROR(__xludf.DUMMYFUNCTION("""COMPUTED_VALUE"""),"DEN")</f>
        <v>DEN</v>
      </c>
      <c r="D1754" s="4" t="str">
        <f>IFERROR(__xludf.DUMMYFUNCTION("""COMPUTED_VALUE"""),"Francisco Elson")</f>
        <v>Francisco Elson</v>
      </c>
      <c r="E1754" s="4" t="str">
        <f>IFERROR(__xludf.DUMMYFUNCTION("""COMPUTED_VALUE"""),"California")</f>
        <v>California</v>
      </c>
      <c r="F1754" s="4">
        <f>IFERROR(__xludf.DUMMYFUNCTION("""COMPUTED_VALUE"""),9.0)</f>
        <v>9</v>
      </c>
      <c r="G1754" s="4">
        <f>IFERROR(__xludf.DUMMYFUNCTION("""COMPUTED_VALUE"""),472.0)</f>
        <v>472</v>
      </c>
      <c r="H1754" s="4">
        <f>IFERROR(__xludf.DUMMYFUNCTION("""COMPUTED_VALUE"""),7207.0)</f>
        <v>7207</v>
      </c>
      <c r="I1754" s="4">
        <f>IFERROR(__xludf.DUMMYFUNCTION("""COMPUTED_VALUE"""),1726.0)</f>
        <v>1726</v>
      </c>
      <c r="J1754" s="4">
        <f>IFERROR(__xludf.DUMMYFUNCTION("""COMPUTED_VALUE"""),1638.0)</f>
        <v>1638</v>
      </c>
      <c r="K1754" s="4">
        <f>IFERROR(__xludf.DUMMYFUNCTION("""COMPUTED_VALUE"""),260.0)</f>
        <v>260</v>
      </c>
      <c r="L1754" s="4">
        <f>IFERROR(__xludf.DUMMYFUNCTION("""COMPUTED_VALUE"""),0.478)</f>
        <v>0.478</v>
      </c>
      <c r="M1754" s="4">
        <f>IFERROR(__xludf.DUMMYFUNCTION("""COMPUTED_VALUE"""),0.188)</f>
        <v>0.188</v>
      </c>
      <c r="N1754" s="4">
        <f>IFERROR(__xludf.DUMMYFUNCTION("""COMPUTED_VALUE"""),0.7)</f>
        <v>0.7</v>
      </c>
      <c r="O1754" s="4">
        <f>IFERROR(__xludf.DUMMYFUNCTION("""COMPUTED_VALUE"""),15.3)</f>
        <v>15.3</v>
      </c>
      <c r="P1754" s="4">
        <f>IFERROR(__xludf.DUMMYFUNCTION("""COMPUTED_VALUE"""),3.7)</f>
        <v>3.7</v>
      </c>
      <c r="Q1754" s="4">
        <f>IFERROR(__xludf.DUMMYFUNCTION("""COMPUTED_VALUE"""),3.5)</f>
        <v>3.5</v>
      </c>
      <c r="R1754" s="4">
        <f>IFERROR(__xludf.DUMMYFUNCTION("""COMPUTED_VALUE"""),0.6)</f>
        <v>0.6</v>
      </c>
      <c r="S1754" s="4">
        <f>IFERROR(__xludf.DUMMYFUNCTION("""COMPUTED_VALUE"""),11.7)</f>
        <v>11.7</v>
      </c>
      <c r="T1754" s="4">
        <f>IFERROR(__xludf.DUMMYFUNCTION("""COMPUTED_VALUE"""),0.078)</f>
        <v>0.078</v>
      </c>
      <c r="U1754" s="4">
        <f>IFERROR(__xludf.DUMMYFUNCTION("""COMPUTED_VALUE"""),-2.7)</f>
        <v>-2.7</v>
      </c>
      <c r="V1754" s="4">
        <f>IFERROR(__xludf.DUMMYFUNCTION("""COMPUTED_VALUE"""),-1.3)</f>
        <v>-1.3</v>
      </c>
    </row>
    <row r="1755">
      <c r="A1755" s="4">
        <f>IFERROR(__xludf.DUMMYFUNCTION("""COMPUTED_VALUE"""),42.0)</f>
        <v>42</v>
      </c>
      <c r="B1755" s="4">
        <f>IFERROR(__xludf.DUMMYFUNCTION("""COMPUTED_VALUE"""),42.0)</f>
        <v>42</v>
      </c>
      <c r="C1755" s="4" t="str">
        <f>IFERROR(__xludf.DUMMYFUNCTION("""COMPUTED_VALUE"""),"MIN")</f>
        <v>MIN</v>
      </c>
      <c r="D1755" s="4" t="str">
        <f>IFERROR(__xludf.DUMMYFUNCTION("""COMPUTED_VALUE"""),"Louis Bullock")</f>
        <v>Louis Bullock</v>
      </c>
      <c r="E1755" s="4" t="str">
        <f>IFERROR(__xludf.DUMMYFUNCTION("""COMPUTED_VALUE"""),"Michigan")</f>
        <v>Michigan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</row>
    <row r="1756">
      <c r="A1756" s="4">
        <f>IFERROR(__xludf.DUMMYFUNCTION("""COMPUTED_VALUE"""),43.0)</f>
        <v>43</v>
      </c>
      <c r="B1756" s="4">
        <f>IFERROR(__xludf.DUMMYFUNCTION("""COMPUTED_VALUE"""),43.0)</f>
        <v>43</v>
      </c>
      <c r="C1756" s="4" t="str">
        <f>IFERROR(__xludf.DUMMYFUNCTION("""COMPUTED_VALUE"""),"CHH")</f>
        <v>CHH</v>
      </c>
      <c r="D1756" s="4" t="str">
        <f>IFERROR(__xludf.DUMMYFUNCTION("""COMPUTED_VALUE"""),"Lee Nailon")</f>
        <v>Lee Nailon</v>
      </c>
      <c r="E1756" s="4" t="str">
        <f>IFERROR(__xludf.DUMMYFUNCTION("""COMPUTED_VALUE"""),"TCU")</f>
        <v>TCU</v>
      </c>
      <c r="F1756" s="4">
        <f>IFERROR(__xludf.DUMMYFUNCTION("""COMPUTED_VALUE"""),6.0)</f>
        <v>6</v>
      </c>
      <c r="G1756" s="4">
        <f>IFERROR(__xludf.DUMMYFUNCTION("""COMPUTED_VALUE"""),306.0)</f>
        <v>306</v>
      </c>
      <c r="H1756" s="4">
        <f>IFERROR(__xludf.DUMMYFUNCTION("""COMPUTED_VALUE"""),5820.0)</f>
        <v>5820</v>
      </c>
      <c r="I1756" s="4">
        <f>IFERROR(__xludf.DUMMYFUNCTION("""COMPUTED_VALUE"""),2622.0)</f>
        <v>2622</v>
      </c>
      <c r="J1756" s="4">
        <f>IFERROR(__xludf.DUMMYFUNCTION("""COMPUTED_VALUE"""),936.0)</f>
        <v>936</v>
      </c>
      <c r="K1756" s="4">
        <f>IFERROR(__xludf.DUMMYFUNCTION("""COMPUTED_VALUE"""),298.0)</f>
        <v>298</v>
      </c>
      <c r="L1756" s="4">
        <f>IFERROR(__xludf.DUMMYFUNCTION("""COMPUTED_VALUE"""),0.474)</f>
        <v>0.474</v>
      </c>
      <c r="M1756" s="4">
        <f>IFERROR(__xludf.DUMMYFUNCTION("""COMPUTED_VALUE"""),0.111)</f>
        <v>0.111</v>
      </c>
      <c r="N1756" s="4">
        <f>IFERROR(__xludf.DUMMYFUNCTION("""COMPUTED_VALUE"""),0.786)</f>
        <v>0.786</v>
      </c>
      <c r="O1756" s="4">
        <f>IFERROR(__xludf.DUMMYFUNCTION("""COMPUTED_VALUE"""),19.0)</f>
        <v>19</v>
      </c>
      <c r="P1756" s="4">
        <f>IFERROR(__xludf.DUMMYFUNCTION("""COMPUTED_VALUE"""),8.6)</f>
        <v>8.6</v>
      </c>
      <c r="Q1756" s="4">
        <f>IFERROR(__xludf.DUMMYFUNCTION("""COMPUTED_VALUE"""),3.1)</f>
        <v>3.1</v>
      </c>
      <c r="R1756" s="4">
        <f>IFERROR(__xludf.DUMMYFUNCTION("""COMPUTED_VALUE"""),1.0)</f>
        <v>1</v>
      </c>
      <c r="S1756" s="4">
        <f>IFERROR(__xludf.DUMMYFUNCTION("""COMPUTED_VALUE"""),8.0)</f>
        <v>8</v>
      </c>
      <c r="T1756" s="4">
        <f>IFERROR(__xludf.DUMMYFUNCTION("""COMPUTED_VALUE"""),0.066)</f>
        <v>0.066</v>
      </c>
      <c r="U1756" s="4">
        <f>IFERROR(__xludf.DUMMYFUNCTION("""COMPUTED_VALUE"""),-2.0)</f>
        <v>-2</v>
      </c>
      <c r="V1756" s="4">
        <f>IFERROR(__xludf.DUMMYFUNCTION("""COMPUTED_VALUE"""),0.0)</f>
        <v>0</v>
      </c>
    </row>
    <row r="1757">
      <c r="A1757" s="4">
        <f>IFERROR(__xludf.DUMMYFUNCTION("""COMPUTED_VALUE"""),44.0)</f>
        <v>44</v>
      </c>
      <c r="B1757" s="4">
        <f>IFERROR(__xludf.DUMMYFUNCTION("""COMPUTED_VALUE"""),44.0)</f>
        <v>44</v>
      </c>
      <c r="C1757" s="4" t="str">
        <f>IFERROR(__xludf.DUMMYFUNCTION("""COMPUTED_VALUE"""),"HOU")</f>
        <v>HOU</v>
      </c>
      <c r="D1757" s="4" t="str">
        <f>IFERROR(__xludf.DUMMYFUNCTION("""COMPUTED_VALUE"""),"Tyrone Washington")</f>
        <v>Tyrone Washington</v>
      </c>
      <c r="E1757" s="4" t="str">
        <f>IFERROR(__xludf.DUMMYFUNCTION("""COMPUTED_VALUE"""),"Mississippi State")</f>
        <v>Mississippi State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</row>
    <row r="1758">
      <c r="A1758" s="4">
        <f>IFERROR(__xludf.DUMMYFUNCTION("""COMPUTED_VALUE"""),45.0)</f>
        <v>45</v>
      </c>
      <c r="B1758" s="4">
        <f>IFERROR(__xludf.DUMMYFUNCTION("""COMPUTED_VALUE"""),45.0)</f>
        <v>45</v>
      </c>
      <c r="C1758" s="4" t="str">
        <f>IFERROR(__xludf.DUMMYFUNCTION("""COMPUTED_VALUE"""),"SAC")</f>
        <v>SAC</v>
      </c>
      <c r="D1758" s="4" t="str">
        <f>IFERROR(__xludf.DUMMYFUNCTION("""COMPUTED_VALUE"""),"Ryan Robertson")</f>
        <v>Ryan Robertson</v>
      </c>
      <c r="E1758" s="4" t="str">
        <f>IFERROR(__xludf.DUMMYFUNCTION("""COMPUTED_VALUE"""),"Kansas")</f>
        <v>Kansas</v>
      </c>
      <c r="F1758" s="4">
        <f>IFERROR(__xludf.DUMMYFUNCTION("""COMPUTED_VALUE"""),1.0)</f>
        <v>1</v>
      </c>
      <c r="G1758" s="4">
        <f>IFERROR(__xludf.DUMMYFUNCTION("""COMPUTED_VALUE"""),1.0)</f>
        <v>1</v>
      </c>
      <c r="H1758" s="4">
        <f>IFERROR(__xludf.DUMMYFUNCTION("""COMPUTED_VALUE"""),25.0)</f>
        <v>25</v>
      </c>
      <c r="I1758" s="4">
        <f>IFERROR(__xludf.DUMMYFUNCTION("""COMPUTED_VALUE"""),5.0)</f>
        <v>5</v>
      </c>
      <c r="J1758" s="4">
        <f>IFERROR(__xludf.DUMMYFUNCTION("""COMPUTED_VALUE"""),0.0)</f>
        <v>0</v>
      </c>
      <c r="K1758" s="4">
        <f>IFERROR(__xludf.DUMMYFUNCTION("""COMPUTED_VALUE"""),0.0)</f>
        <v>0</v>
      </c>
      <c r="L1758" s="4">
        <f>IFERROR(__xludf.DUMMYFUNCTION("""COMPUTED_VALUE"""),0.333)</f>
        <v>0.333</v>
      </c>
      <c r="M1758" s="4">
        <f>IFERROR(__xludf.DUMMYFUNCTION("""COMPUTED_VALUE"""),0.0)</f>
        <v>0</v>
      </c>
      <c r="N1758" s="4">
        <f>IFERROR(__xludf.DUMMYFUNCTION("""COMPUTED_VALUE"""),1.0)</f>
        <v>1</v>
      </c>
      <c r="O1758" s="4">
        <f>IFERROR(__xludf.DUMMYFUNCTION("""COMPUTED_VALUE"""),25.0)</f>
        <v>25</v>
      </c>
      <c r="P1758" s="4">
        <f>IFERROR(__xludf.DUMMYFUNCTION("""COMPUTED_VALUE"""),5.0)</f>
        <v>5</v>
      </c>
      <c r="Q1758" s="4">
        <f>IFERROR(__xludf.DUMMYFUNCTION("""COMPUTED_VALUE"""),0.0)</f>
        <v>0</v>
      </c>
      <c r="R1758" s="4">
        <f>IFERROR(__xludf.DUMMYFUNCTION("""COMPUTED_VALUE"""),0.0)</f>
        <v>0</v>
      </c>
      <c r="S1758" s="4">
        <f>IFERROR(__xludf.DUMMYFUNCTION("""COMPUTED_VALUE"""),0.0)</f>
        <v>0</v>
      </c>
      <c r="T1758" s="4">
        <f>IFERROR(__xludf.DUMMYFUNCTION("""COMPUTED_VALUE"""),-0.022)</f>
        <v>-0.022</v>
      </c>
      <c r="U1758" s="4">
        <f>IFERROR(__xludf.DUMMYFUNCTION("""COMPUTED_VALUE"""),-5.4)</f>
        <v>-5.4</v>
      </c>
      <c r="V1758" s="4">
        <f>IFERROR(__xludf.DUMMYFUNCTION("""COMPUTED_VALUE"""),0.0)</f>
        <v>0</v>
      </c>
    </row>
    <row r="1759">
      <c r="A1759" s="4">
        <f>IFERROR(__xludf.DUMMYFUNCTION("""COMPUTED_VALUE"""),46.0)</f>
        <v>46</v>
      </c>
      <c r="B1759" s="4">
        <f>IFERROR(__xludf.DUMMYFUNCTION("""COMPUTED_VALUE"""),46.0)</f>
        <v>46</v>
      </c>
      <c r="C1759" s="4" t="str">
        <f>IFERROR(__xludf.DUMMYFUNCTION("""COMPUTED_VALUE"""),"NYK")</f>
        <v>NYK</v>
      </c>
      <c r="D1759" s="4" t="str">
        <f>IFERROR(__xludf.DUMMYFUNCTION("""COMPUTED_VALUE"""),"J.R. Koch")</f>
        <v>J.R. Koch</v>
      </c>
      <c r="E1759" s="4" t="str">
        <f>IFERROR(__xludf.DUMMYFUNCTION("""COMPUTED_VALUE"""),"Iowa")</f>
        <v>Iowa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</row>
    <row r="1760">
      <c r="A1760" s="4">
        <f>IFERROR(__xludf.DUMMYFUNCTION("""COMPUTED_VALUE"""),47.0)</f>
        <v>47</v>
      </c>
      <c r="B1760" s="4">
        <f>IFERROR(__xludf.DUMMYFUNCTION("""COMPUTED_VALUE"""),47.0)</f>
        <v>47</v>
      </c>
      <c r="C1760" s="4" t="str">
        <f>IFERROR(__xludf.DUMMYFUNCTION("""COMPUTED_VALUE"""),"PHI")</f>
        <v>PHI</v>
      </c>
      <c r="D1760" s="4" t="str">
        <f>IFERROR(__xludf.DUMMYFUNCTION("""COMPUTED_VALUE"""),"Todd MacCulloch")</f>
        <v>Todd MacCulloch</v>
      </c>
      <c r="E1760" s="4" t="str">
        <f>IFERROR(__xludf.DUMMYFUNCTION("""COMPUTED_VALUE"""),"Washington")</f>
        <v>Washington</v>
      </c>
      <c r="F1760" s="4">
        <f>IFERROR(__xludf.DUMMYFUNCTION("""COMPUTED_VALUE"""),4.0)</f>
        <v>4</v>
      </c>
      <c r="G1760" s="4">
        <f>IFERROR(__xludf.DUMMYFUNCTION("""COMPUTED_VALUE"""),223.0)</f>
        <v>223</v>
      </c>
      <c r="H1760" s="4">
        <f>IFERROR(__xludf.DUMMYFUNCTION("""COMPUTED_VALUE"""),3439.0)</f>
        <v>3439</v>
      </c>
      <c r="I1760" s="4">
        <f>IFERROR(__xludf.DUMMYFUNCTION("""COMPUTED_VALUE"""),1369.0)</f>
        <v>1369</v>
      </c>
      <c r="J1760" s="4">
        <f>IFERROR(__xludf.DUMMYFUNCTION("""COMPUTED_VALUE"""),888.0)</f>
        <v>888</v>
      </c>
      <c r="K1760" s="4">
        <f>IFERROR(__xludf.DUMMYFUNCTION("""COMPUTED_VALUE"""),121.0)</f>
        <v>121</v>
      </c>
      <c r="L1760" s="4">
        <f>IFERROR(__xludf.DUMMYFUNCTION("""COMPUTED_VALUE"""),0.541)</f>
        <v>0.541</v>
      </c>
      <c r="M1760" s="4"/>
      <c r="N1760" s="4">
        <f>IFERROR(__xludf.DUMMYFUNCTION("""COMPUTED_VALUE"""),0.642)</f>
        <v>0.642</v>
      </c>
      <c r="O1760" s="4">
        <f>IFERROR(__xludf.DUMMYFUNCTION("""COMPUTED_VALUE"""),15.4)</f>
        <v>15.4</v>
      </c>
      <c r="P1760" s="4">
        <f>IFERROR(__xludf.DUMMYFUNCTION("""COMPUTED_VALUE"""),6.1)</f>
        <v>6.1</v>
      </c>
      <c r="Q1760" s="4">
        <f>IFERROR(__xludf.DUMMYFUNCTION("""COMPUTED_VALUE"""),4.0)</f>
        <v>4</v>
      </c>
      <c r="R1760" s="4">
        <f>IFERROR(__xludf.DUMMYFUNCTION("""COMPUTED_VALUE"""),0.5)</f>
        <v>0.5</v>
      </c>
      <c r="S1760" s="4">
        <f>IFERROR(__xludf.DUMMYFUNCTION("""COMPUTED_VALUE"""),11.9)</f>
        <v>11.9</v>
      </c>
      <c r="T1760" s="4">
        <f>IFERROR(__xludf.DUMMYFUNCTION("""COMPUTED_VALUE"""),0.166)</f>
        <v>0.166</v>
      </c>
      <c r="U1760" s="4">
        <f>IFERROR(__xludf.DUMMYFUNCTION("""COMPUTED_VALUE"""),0.3)</f>
        <v>0.3</v>
      </c>
      <c r="V1760" s="4">
        <f>IFERROR(__xludf.DUMMYFUNCTION("""COMPUTED_VALUE"""),2.0)</f>
        <v>2</v>
      </c>
    </row>
    <row r="1761">
      <c r="A1761" s="4">
        <f>IFERROR(__xludf.DUMMYFUNCTION("""COMPUTED_VALUE"""),48.0)</f>
        <v>48</v>
      </c>
      <c r="B1761" s="4">
        <f>IFERROR(__xludf.DUMMYFUNCTION("""COMPUTED_VALUE"""),48.0)</f>
        <v>48</v>
      </c>
      <c r="C1761" s="4" t="str">
        <f>IFERROR(__xludf.DUMMYFUNCTION("""COMPUTED_VALUE"""),"MIL")</f>
        <v>MIL</v>
      </c>
      <c r="D1761" s="4" t="str">
        <f>IFERROR(__xludf.DUMMYFUNCTION("""COMPUTED_VALUE"""),"Galen Young")</f>
        <v>Galen Young</v>
      </c>
      <c r="E1761" s="4" t="str">
        <f>IFERROR(__xludf.DUMMYFUNCTION("""COMPUTED_VALUE"""),"UNC Charlotte")</f>
        <v>UNC Charlotte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</row>
    <row r="1762">
      <c r="A1762" s="4">
        <f>IFERROR(__xludf.DUMMYFUNCTION("""COMPUTED_VALUE"""),49.0)</f>
        <v>49</v>
      </c>
      <c r="B1762" s="4">
        <f>IFERROR(__xludf.DUMMYFUNCTION("""COMPUTED_VALUE"""),49.0)</f>
        <v>49</v>
      </c>
      <c r="C1762" s="4" t="str">
        <f>IFERROR(__xludf.DUMMYFUNCTION("""COMPUTED_VALUE"""),"CHI")</f>
        <v>CHI</v>
      </c>
      <c r="D1762" s="4" t="str">
        <f>IFERROR(__xludf.DUMMYFUNCTION("""COMPUTED_VALUE"""),"Lari Ketner")</f>
        <v>Lari Ketner</v>
      </c>
      <c r="E1762" s="4" t="str">
        <f>IFERROR(__xludf.DUMMYFUNCTION("""COMPUTED_VALUE"""),"UMass")</f>
        <v>UMass</v>
      </c>
      <c r="F1762" s="4">
        <f>IFERROR(__xludf.DUMMYFUNCTION("""COMPUTED_VALUE"""),2.0)</f>
        <v>2</v>
      </c>
      <c r="G1762" s="4">
        <f>IFERROR(__xludf.DUMMYFUNCTION("""COMPUTED_VALUE"""),25.0)</f>
        <v>25</v>
      </c>
      <c r="H1762" s="4">
        <f>IFERROR(__xludf.DUMMYFUNCTION("""COMPUTED_VALUE"""),139.0)</f>
        <v>139</v>
      </c>
      <c r="I1762" s="4">
        <f>IFERROR(__xludf.DUMMYFUNCTION("""COMPUTED_VALUE"""),34.0)</f>
        <v>34</v>
      </c>
      <c r="J1762" s="4">
        <f>IFERROR(__xludf.DUMMYFUNCTION("""COMPUTED_VALUE"""),34.0)</f>
        <v>34</v>
      </c>
      <c r="K1762" s="4">
        <f>IFERROR(__xludf.DUMMYFUNCTION("""COMPUTED_VALUE"""),2.0)</f>
        <v>2</v>
      </c>
      <c r="L1762" s="4">
        <f>IFERROR(__xludf.DUMMYFUNCTION("""COMPUTED_VALUE"""),0.406)</f>
        <v>0.406</v>
      </c>
      <c r="M1762" s="4"/>
      <c r="N1762" s="4">
        <f>IFERROR(__xludf.DUMMYFUNCTION("""COMPUTED_VALUE"""),0.667)</f>
        <v>0.667</v>
      </c>
      <c r="O1762" s="4">
        <f>IFERROR(__xludf.DUMMYFUNCTION("""COMPUTED_VALUE"""),5.6)</f>
        <v>5.6</v>
      </c>
      <c r="P1762" s="4">
        <f>IFERROR(__xludf.DUMMYFUNCTION("""COMPUTED_VALUE"""),1.4)</f>
        <v>1.4</v>
      </c>
      <c r="Q1762" s="4">
        <f>IFERROR(__xludf.DUMMYFUNCTION("""COMPUTED_VALUE"""),1.4)</f>
        <v>1.4</v>
      </c>
      <c r="R1762" s="4">
        <f>IFERROR(__xludf.DUMMYFUNCTION("""COMPUTED_VALUE"""),0.1)</f>
        <v>0.1</v>
      </c>
      <c r="S1762" s="4">
        <f>IFERROR(__xludf.DUMMYFUNCTION("""COMPUTED_VALUE"""),0.0)</f>
        <v>0</v>
      </c>
      <c r="T1762" s="4">
        <f>IFERROR(__xludf.DUMMYFUNCTION("""COMPUTED_VALUE"""),-0.015)</f>
        <v>-0.015</v>
      </c>
      <c r="U1762" s="4">
        <f>IFERROR(__xludf.DUMMYFUNCTION("""COMPUTED_VALUE"""),-7.4)</f>
        <v>-7.4</v>
      </c>
      <c r="V1762" s="4">
        <f>IFERROR(__xludf.DUMMYFUNCTION("""COMPUTED_VALUE"""),-0.2)</f>
        <v>-0.2</v>
      </c>
    </row>
    <row r="1763">
      <c r="A1763" s="4">
        <f>IFERROR(__xludf.DUMMYFUNCTION("""COMPUTED_VALUE"""),50.0)</f>
        <v>50</v>
      </c>
      <c r="B1763" s="4">
        <f>IFERROR(__xludf.DUMMYFUNCTION("""COMPUTED_VALUE"""),50.0)</f>
        <v>50</v>
      </c>
      <c r="C1763" s="4" t="str">
        <f>IFERROR(__xludf.DUMMYFUNCTION("""COMPUTED_VALUE"""),"HOU")</f>
        <v>HOU</v>
      </c>
      <c r="D1763" s="4" t="str">
        <f>IFERROR(__xludf.DUMMYFUNCTION("""COMPUTED_VALUE"""),"Venson Hamilton")</f>
        <v>Venson Hamilton</v>
      </c>
      <c r="E1763" s="4" t="str">
        <f>IFERROR(__xludf.DUMMYFUNCTION("""COMPUTED_VALUE"""),"Nebraska")</f>
        <v>Nebraska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</row>
    <row r="1764">
      <c r="A1764" s="4">
        <f>IFERROR(__xludf.DUMMYFUNCTION("""COMPUTED_VALUE"""),51.0)</f>
        <v>51</v>
      </c>
      <c r="B1764" s="4">
        <f>IFERROR(__xludf.DUMMYFUNCTION("""COMPUTED_VALUE"""),51.0)</f>
        <v>51</v>
      </c>
      <c r="C1764" s="4" t="str">
        <f>IFERROR(__xludf.DUMMYFUNCTION("""COMPUTED_VALUE"""),"VAN")</f>
        <v>VAN</v>
      </c>
      <c r="D1764" s="4" t="str">
        <f>IFERROR(__xludf.DUMMYFUNCTION("""COMPUTED_VALUE"""),"Antwain Smith")</f>
        <v>Antwain Smith</v>
      </c>
      <c r="E1764" s="4" t="str">
        <f>IFERROR(__xludf.DUMMYFUNCTION("""COMPUTED_VALUE"""),"Saint Paul's College")</f>
        <v>Saint Paul's College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</row>
    <row r="1765">
      <c r="A1765" s="4">
        <f>IFERROR(__xludf.DUMMYFUNCTION("""COMPUTED_VALUE"""),52.0)</f>
        <v>52</v>
      </c>
      <c r="B1765" s="4">
        <f>IFERROR(__xludf.DUMMYFUNCTION("""COMPUTED_VALUE"""),52.0)</f>
        <v>52</v>
      </c>
      <c r="C1765" s="4" t="str">
        <f>IFERROR(__xludf.DUMMYFUNCTION("""COMPUTED_VALUE"""),"POR")</f>
        <v>POR</v>
      </c>
      <c r="D1765" s="4" t="str">
        <f>IFERROR(__xludf.DUMMYFUNCTION("""COMPUTED_VALUE"""),"Roberto Bergersen")</f>
        <v>Roberto Bergersen</v>
      </c>
      <c r="E1765" s="4" t="str">
        <f>IFERROR(__xludf.DUMMYFUNCTION("""COMPUTED_VALUE"""),"Boise State")</f>
        <v>Boise State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</row>
    <row r="1766">
      <c r="A1766" s="4">
        <f>IFERROR(__xludf.DUMMYFUNCTION("""COMPUTED_VALUE"""),53.0)</f>
        <v>53</v>
      </c>
      <c r="B1766" s="4">
        <f>IFERROR(__xludf.DUMMYFUNCTION("""COMPUTED_VALUE"""),53.0)</f>
        <v>53</v>
      </c>
      <c r="C1766" s="4" t="str">
        <f>IFERROR(__xludf.DUMMYFUNCTION("""COMPUTED_VALUE"""),"MIA")</f>
        <v>MIA</v>
      </c>
      <c r="D1766" s="4" t="str">
        <f>IFERROR(__xludf.DUMMYFUNCTION("""COMPUTED_VALUE"""),"Rodney Buford")</f>
        <v>Rodney Buford</v>
      </c>
      <c r="E1766" s="4" t="str">
        <f>IFERROR(__xludf.DUMMYFUNCTION("""COMPUTED_VALUE"""),"Creighton")</f>
        <v>Creighton</v>
      </c>
      <c r="F1766" s="4">
        <f>IFERROR(__xludf.DUMMYFUNCTION("""COMPUTED_VALUE"""),5.0)</f>
        <v>5</v>
      </c>
      <c r="G1766" s="4">
        <f>IFERROR(__xludf.DUMMYFUNCTION("""COMPUTED_VALUE"""),230.0)</f>
        <v>230</v>
      </c>
      <c r="H1766" s="4">
        <f>IFERROR(__xludf.DUMMYFUNCTION("""COMPUTED_VALUE"""),4182.0)</f>
        <v>4182</v>
      </c>
      <c r="I1766" s="4">
        <f>IFERROR(__xludf.DUMMYFUNCTION("""COMPUTED_VALUE"""),1472.0)</f>
        <v>1472</v>
      </c>
      <c r="J1766" s="4">
        <f>IFERROR(__xludf.DUMMYFUNCTION("""COMPUTED_VALUE"""),598.0)</f>
        <v>598</v>
      </c>
      <c r="K1766" s="4">
        <f>IFERROR(__xludf.DUMMYFUNCTION("""COMPUTED_VALUE"""),179.0)</f>
        <v>179</v>
      </c>
      <c r="L1766" s="4">
        <f>IFERROR(__xludf.DUMMYFUNCTION("""COMPUTED_VALUE"""),0.412)</f>
        <v>0.412</v>
      </c>
      <c r="M1766" s="4">
        <f>IFERROR(__xludf.DUMMYFUNCTION("""COMPUTED_VALUE"""),0.3)</f>
        <v>0.3</v>
      </c>
      <c r="N1766" s="4">
        <f>IFERROR(__xludf.DUMMYFUNCTION("""COMPUTED_VALUE"""),0.758)</f>
        <v>0.758</v>
      </c>
      <c r="O1766" s="4">
        <f>IFERROR(__xludf.DUMMYFUNCTION("""COMPUTED_VALUE"""),18.2)</f>
        <v>18.2</v>
      </c>
      <c r="P1766" s="4">
        <f>IFERROR(__xludf.DUMMYFUNCTION("""COMPUTED_VALUE"""),6.4)</f>
        <v>6.4</v>
      </c>
      <c r="Q1766" s="4">
        <f>IFERROR(__xludf.DUMMYFUNCTION("""COMPUTED_VALUE"""),2.6)</f>
        <v>2.6</v>
      </c>
      <c r="R1766" s="4">
        <f>IFERROR(__xludf.DUMMYFUNCTION("""COMPUTED_VALUE"""),0.8)</f>
        <v>0.8</v>
      </c>
      <c r="S1766" s="4">
        <f>IFERROR(__xludf.DUMMYFUNCTION("""COMPUTED_VALUE"""),2.9)</f>
        <v>2.9</v>
      </c>
      <c r="T1766" s="4">
        <f>IFERROR(__xludf.DUMMYFUNCTION("""COMPUTED_VALUE"""),0.033)</f>
        <v>0.033</v>
      </c>
      <c r="U1766" s="4">
        <f>IFERROR(__xludf.DUMMYFUNCTION("""COMPUTED_VALUE"""),-3.8)</f>
        <v>-3.8</v>
      </c>
      <c r="V1766" s="4">
        <f>IFERROR(__xludf.DUMMYFUNCTION("""COMPUTED_VALUE"""),-1.9)</f>
        <v>-1.9</v>
      </c>
    </row>
    <row r="1767">
      <c r="A1767" s="4">
        <f>IFERROR(__xludf.DUMMYFUNCTION("""COMPUTED_VALUE"""),54.0)</f>
        <v>54</v>
      </c>
      <c r="B1767" s="4">
        <f>IFERROR(__xludf.DUMMYFUNCTION("""COMPUTED_VALUE"""),54.0)</f>
        <v>54</v>
      </c>
      <c r="C1767" s="4" t="str">
        <f>IFERROR(__xludf.DUMMYFUNCTION("""COMPUTED_VALUE"""),"DET")</f>
        <v>DET</v>
      </c>
      <c r="D1767" s="4" t="str">
        <f>IFERROR(__xludf.DUMMYFUNCTION("""COMPUTED_VALUE"""),"Melvin Levett")</f>
        <v>Melvin Levett</v>
      </c>
      <c r="E1767" s="4" t="str">
        <f>IFERROR(__xludf.DUMMYFUNCTION("""COMPUTED_VALUE"""),"Cincinnati")</f>
        <v>Cincinnati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</row>
    <row r="1768">
      <c r="A1768" s="4">
        <f>IFERROR(__xludf.DUMMYFUNCTION("""COMPUTED_VALUE"""),55.0)</f>
        <v>55</v>
      </c>
      <c r="B1768" s="4">
        <f>IFERROR(__xludf.DUMMYFUNCTION("""COMPUTED_VALUE"""),55.0)</f>
        <v>55</v>
      </c>
      <c r="C1768" s="4" t="str">
        <f>IFERROR(__xludf.DUMMYFUNCTION("""COMPUTED_VALUE"""),"BOS")</f>
        <v>BOS</v>
      </c>
      <c r="D1768" s="4" t="str">
        <f>IFERROR(__xludf.DUMMYFUNCTION("""COMPUTED_VALUE"""),"Kris Clack")</f>
        <v>Kris Clack</v>
      </c>
      <c r="E1768" s="4" t="str">
        <f>IFERROR(__xludf.DUMMYFUNCTION("""COMPUTED_VALUE"""),"Texas")</f>
        <v>Texas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</row>
    <row r="1769">
      <c r="A1769" s="4">
        <f>IFERROR(__xludf.DUMMYFUNCTION("""COMPUTED_VALUE"""),56.0)</f>
        <v>56</v>
      </c>
      <c r="B1769" s="4">
        <f>IFERROR(__xludf.DUMMYFUNCTION("""COMPUTED_VALUE"""),56.0)</f>
        <v>56</v>
      </c>
      <c r="C1769" s="4" t="str">
        <f>IFERROR(__xludf.DUMMYFUNCTION("""COMPUTED_VALUE"""),"GSW")</f>
        <v>GSW</v>
      </c>
      <c r="D1769" s="4" t="str">
        <f>IFERROR(__xludf.DUMMYFUNCTION("""COMPUTED_VALUE"""),"Tim Young")</f>
        <v>Tim Young</v>
      </c>
      <c r="E1769" s="4" t="str">
        <f>IFERROR(__xludf.DUMMYFUNCTION("""COMPUTED_VALUE"""),"Stanford")</f>
        <v>Stanford</v>
      </c>
      <c r="F1769" s="4">
        <f>IFERROR(__xludf.DUMMYFUNCTION("""COMPUTED_VALUE"""),1.0)</f>
        <v>1</v>
      </c>
      <c r="G1769" s="4">
        <f>IFERROR(__xludf.DUMMYFUNCTION("""COMPUTED_VALUE"""),25.0)</f>
        <v>25</v>
      </c>
      <c r="H1769" s="4">
        <f>IFERROR(__xludf.DUMMYFUNCTION("""COMPUTED_VALUE"""),137.0)</f>
        <v>137</v>
      </c>
      <c r="I1769" s="4">
        <f>IFERROR(__xludf.DUMMYFUNCTION("""COMPUTED_VALUE"""),54.0)</f>
        <v>54</v>
      </c>
      <c r="J1769" s="4">
        <f>IFERROR(__xludf.DUMMYFUNCTION("""COMPUTED_VALUE"""),35.0)</f>
        <v>35</v>
      </c>
      <c r="K1769" s="4">
        <f>IFERROR(__xludf.DUMMYFUNCTION("""COMPUTED_VALUE"""),5.0)</f>
        <v>5</v>
      </c>
      <c r="L1769" s="4">
        <f>IFERROR(__xludf.DUMMYFUNCTION("""COMPUTED_VALUE"""),0.333)</f>
        <v>0.333</v>
      </c>
      <c r="M1769" s="4"/>
      <c r="N1769" s="4">
        <f>IFERROR(__xludf.DUMMYFUNCTION("""COMPUTED_VALUE"""),0.778)</f>
        <v>0.778</v>
      </c>
      <c r="O1769" s="4">
        <f>IFERROR(__xludf.DUMMYFUNCTION("""COMPUTED_VALUE"""),5.5)</f>
        <v>5.5</v>
      </c>
      <c r="P1769" s="4">
        <f>IFERROR(__xludf.DUMMYFUNCTION("""COMPUTED_VALUE"""),2.2)</f>
        <v>2.2</v>
      </c>
      <c r="Q1769" s="4">
        <f>IFERROR(__xludf.DUMMYFUNCTION("""COMPUTED_VALUE"""),1.4)</f>
        <v>1.4</v>
      </c>
      <c r="R1769" s="4">
        <f>IFERROR(__xludf.DUMMYFUNCTION("""COMPUTED_VALUE"""),0.2)</f>
        <v>0.2</v>
      </c>
      <c r="S1769" s="4">
        <f>IFERROR(__xludf.DUMMYFUNCTION("""COMPUTED_VALUE"""),0.2)</f>
        <v>0.2</v>
      </c>
      <c r="T1769" s="4">
        <f>IFERROR(__xludf.DUMMYFUNCTION("""COMPUTED_VALUE"""),0.058)</f>
        <v>0.058</v>
      </c>
      <c r="U1769" s="4">
        <f>IFERROR(__xludf.DUMMYFUNCTION("""COMPUTED_VALUE"""),-4.9)</f>
        <v>-4.9</v>
      </c>
      <c r="V1769" s="4">
        <f>IFERROR(__xludf.DUMMYFUNCTION("""COMPUTED_VALUE"""),-0.1)</f>
        <v>-0.1</v>
      </c>
    </row>
    <row r="1770">
      <c r="A1770" s="4">
        <f>IFERROR(__xludf.DUMMYFUNCTION("""COMPUTED_VALUE"""),57.0)</f>
        <v>57</v>
      </c>
      <c r="B1770" s="4">
        <f>IFERROR(__xludf.DUMMYFUNCTION("""COMPUTED_VALUE"""),57.0)</f>
        <v>57</v>
      </c>
      <c r="C1770" s="4" t="str">
        <f>IFERROR(__xludf.DUMMYFUNCTION("""COMPUTED_VALUE"""),"SAS")</f>
        <v>SAS</v>
      </c>
      <c r="D1770" s="4" t="str">
        <f>IFERROR(__xludf.DUMMYFUNCTION("""COMPUTED_VALUE"""),"Manu Ginóbili")</f>
        <v>Manu Ginóbili</v>
      </c>
      <c r="E1770" s="4"/>
      <c r="F1770" s="4">
        <f>IFERROR(__xludf.DUMMYFUNCTION("""COMPUTED_VALUE"""),16.0)</f>
        <v>16</v>
      </c>
      <c r="G1770" s="4">
        <f>IFERROR(__xludf.DUMMYFUNCTION("""COMPUTED_VALUE"""),1057.0)</f>
        <v>1057</v>
      </c>
      <c r="H1770" s="4">
        <f>IFERROR(__xludf.DUMMYFUNCTION("""COMPUTED_VALUE"""),26859.0)</f>
        <v>26859</v>
      </c>
      <c r="I1770" s="4">
        <f>IFERROR(__xludf.DUMMYFUNCTION("""COMPUTED_VALUE"""),14043.0)</f>
        <v>14043</v>
      </c>
      <c r="J1770" s="4">
        <f>IFERROR(__xludf.DUMMYFUNCTION("""COMPUTED_VALUE"""),3697.0)</f>
        <v>3697</v>
      </c>
      <c r="K1770" s="4">
        <f>IFERROR(__xludf.DUMMYFUNCTION("""COMPUTED_VALUE"""),4001.0)</f>
        <v>4001</v>
      </c>
      <c r="L1770" s="4">
        <f>IFERROR(__xludf.DUMMYFUNCTION("""COMPUTED_VALUE"""),0.447)</f>
        <v>0.447</v>
      </c>
      <c r="M1770" s="4">
        <f>IFERROR(__xludf.DUMMYFUNCTION("""COMPUTED_VALUE"""),0.369)</f>
        <v>0.369</v>
      </c>
      <c r="N1770" s="4">
        <f>IFERROR(__xludf.DUMMYFUNCTION("""COMPUTED_VALUE"""),0.827)</f>
        <v>0.827</v>
      </c>
      <c r="O1770" s="4">
        <f>IFERROR(__xludf.DUMMYFUNCTION("""COMPUTED_VALUE"""),25.4)</f>
        <v>25.4</v>
      </c>
      <c r="P1770" s="4">
        <f>IFERROR(__xludf.DUMMYFUNCTION("""COMPUTED_VALUE"""),13.3)</f>
        <v>13.3</v>
      </c>
      <c r="Q1770" s="4">
        <f>IFERROR(__xludf.DUMMYFUNCTION("""COMPUTED_VALUE"""),3.5)</f>
        <v>3.5</v>
      </c>
      <c r="R1770" s="4">
        <f>IFERROR(__xludf.DUMMYFUNCTION("""COMPUTED_VALUE"""),3.8)</f>
        <v>3.8</v>
      </c>
      <c r="S1770" s="4">
        <f>IFERROR(__xludf.DUMMYFUNCTION("""COMPUTED_VALUE"""),106.4)</f>
        <v>106.4</v>
      </c>
      <c r="T1770" s="4">
        <f>IFERROR(__xludf.DUMMYFUNCTION("""COMPUTED_VALUE"""),0.19)</f>
        <v>0.19</v>
      </c>
      <c r="U1770" s="4">
        <f>IFERROR(__xludf.DUMMYFUNCTION("""COMPUTED_VALUE"""),5.0)</f>
        <v>5</v>
      </c>
      <c r="V1770" s="4">
        <f>IFERROR(__xludf.DUMMYFUNCTION("""COMPUTED_VALUE"""),47.6)</f>
        <v>47.6</v>
      </c>
    </row>
    <row r="1771">
      <c r="A1771" s="4">
        <f>IFERROR(__xludf.DUMMYFUNCTION("""COMPUTED_VALUE"""),58.0)</f>
        <v>58</v>
      </c>
      <c r="B1771" s="4">
        <f>IFERROR(__xludf.DUMMYFUNCTION("""COMPUTED_VALUE"""),58.0)</f>
        <v>58</v>
      </c>
      <c r="C1771" s="4" t="str">
        <f>IFERROR(__xludf.DUMMYFUNCTION("""COMPUTED_VALUE"""),"UTA")</f>
        <v>UTA</v>
      </c>
      <c r="D1771" s="4" t="str">
        <f>IFERROR(__xludf.DUMMYFUNCTION("""COMPUTED_VALUE"""),"Eddie Lucas")</f>
        <v>Eddie Lucas</v>
      </c>
      <c r="E1771" s="4" t="str">
        <f>IFERROR(__xludf.DUMMYFUNCTION("""COMPUTED_VALUE"""),"Virginia Tech")</f>
        <v>Virginia Tech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</row>
    <row r="1773">
      <c r="A1773" s="2">
        <v>1998.0</v>
      </c>
    </row>
    <row r="1774">
      <c r="A1774" s="4" t="str">
        <f>IFERROR(__xludf.DUMMYFUNCTION("IMPORTHTML(""https://www.basketball-reference.com/draft/NBA_1998.html"", ""table"", 1)"),"")</f>
        <v/>
      </c>
      <c r="B1774" s="4"/>
      <c r="C1774" s="4"/>
      <c r="D1774" s="4" t="str">
        <f>IFERROR(__xludf.DUMMYFUNCTION("""COMPUTED_VALUE"""),"Round 1")</f>
        <v>Round 1</v>
      </c>
      <c r="E1774" s="4"/>
      <c r="F1774" s="4"/>
      <c r="G1774" s="4" t="str">
        <f>IFERROR(__xludf.DUMMYFUNCTION("""COMPUTED_VALUE"""),"Totals")</f>
        <v>Totals</v>
      </c>
      <c r="H1774" s="4"/>
      <c r="I1774" s="4"/>
      <c r="J1774" s="4"/>
      <c r="K1774" s="4"/>
      <c r="L1774" s="4" t="str">
        <f>IFERROR(__xludf.DUMMYFUNCTION("""COMPUTED_VALUE"""),"Shooting")</f>
        <v>Shooting</v>
      </c>
      <c r="M1774" s="4"/>
      <c r="N1774" s="4"/>
      <c r="O1774" s="4" t="str">
        <f>IFERROR(__xludf.DUMMYFUNCTION("""COMPUTED_VALUE"""),"Per Game")</f>
        <v>Per Game</v>
      </c>
      <c r="P1774" s="4"/>
      <c r="Q1774" s="4"/>
      <c r="R1774" s="4"/>
      <c r="S1774" s="4" t="str">
        <f>IFERROR(__xludf.DUMMYFUNCTION("""COMPUTED_VALUE"""),"Advanced")</f>
        <v>Advanced</v>
      </c>
      <c r="T1774" s="4"/>
      <c r="U1774" s="4"/>
      <c r="V1774" s="4"/>
    </row>
    <row r="1775">
      <c r="A1775" s="4" t="str">
        <f>IFERROR(__xludf.DUMMYFUNCTION("""COMPUTED_VALUE"""),"Rk")</f>
        <v>Rk</v>
      </c>
      <c r="B1775" s="4" t="str">
        <f>IFERROR(__xludf.DUMMYFUNCTION("""COMPUTED_VALUE"""),"Pk")</f>
        <v>Pk</v>
      </c>
      <c r="C1775" s="4" t="str">
        <f>IFERROR(__xludf.DUMMYFUNCTION("""COMPUTED_VALUE"""),"Tm")</f>
        <v>Tm</v>
      </c>
      <c r="D1775" s="4" t="str">
        <f>IFERROR(__xludf.DUMMYFUNCTION("""COMPUTED_VALUE"""),"Player")</f>
        <v>Player</v>
      </c>
      <c r="E1775" s="4" t="str">
        <f>IFERROR(__xludf.DUMMYFUNCTION("""COMPUTED_VALUE"""),"College")</f>
        <v>College</v>
      </c>
      <c r="F1775" s="4" t="str">
        <f>IFERROR(__xludf.DUMMYFUNCTION("""COMPUTED_VALUE"""),"Yrs")</f>
        <v>Yrs</v>
      </c>
      <c r="G1775" s="4" t="str">
        <f>IFERROR(__xludf.DUMMYFUNCTION("""COMPUTED_VALUE"""),"G")</f>
        <v>G</v>
      </c>
      <c r="H1775" s="4" t="str">
        <f>IFERROR(__xludf.DUMMYFUNCTION("""COMPUTED_VALUE"""),"MP")</f>
        <v>MP</v>
      </c>
      <c r="I1775" s="4" t="str">
        <f>IFERROR(__xludf.DUMMYFUNCTION("""COMPUTED_VALUE"""),"PTS")</f>
        <v>PTS</v>
      </c>
      <c r="J1775" s="4" t="str">
        <f>IFERROR(__xludf.DUMMYFUNCTION("""COMPUTED_VALUE"""),"TRB")</f>
        <v>TRB</v>
      </c>
      <c r="K1775" s="4" t="str">
        <f>IFERROR(__xludf.DUMMYFUNCTION("""COMPUTED_VALUE"""),"AST")</f>
        <v>AST</v>
      </c>
      <c r="L1775" s="4" t="str">
        <f>IFERROR(__xludf.DUMMYFUNCTION("""COMPUTED_VALUE"""),"FG%")</f>
        <v>FG%</v>
      </c>
      <c r="M1775" s="4" t="str">
        <f>IFERROR(__xludf.DUMMYFUNCTION("""COMPUTED_VALUE"""),"3P%")</f>
        <v>3P%</v>
      </c>
      <c r="N1775" s="4" t="str">
        <f>IFERROR(__xludf.DUMMYFUNCTION("""COMPUTED_VALUE"""),"FT%")</f>
        <v>FT%</v>
      </c>
      <c r="O1775" s="4" t="str">
        <f>IFERROR(__xludf.DUMMYFUNCTION("""COMPUTED_VALUE"""),"MP")</f>
        <v>MP</v>
      </c>
      <c r="P1775" s="4" t="str">
        <f>IFERROR(__xludf.DUMMYFUNCTION("""COMPUTED_VALUE"""),"PTS")</f>
        <v>PTS</v>
      </c>
      <c r="Q1775" s="4" t="str">
        <f>IFERROR(__xludf.DUMMYFUNCTION("""COMPUTED_VALUE"""),"TRB")</f>
        <v>TRB</v>
      </c>
      <c r="R1775" s="4" t="str">
        <f>IFERROR(__xludf.DUMMYFUNCTION("""COMPUTED_VALUE"""),"AST")</f>
        <v>AST</v>
      </c>
      <c r="S1775" s="4" t="str">
        <f>IFERROR(__xludf.DUMMYFUNCTION("""COMPUTED_VALUE"""),"WS")</f>
        <v>WS</v>
      </c>
      <c r="T1775" s="4" t="str">
        <f>IFERROR(__xludf.DUMMYFUNCTION("""COMPUTED_VALUE"""),"WS/48")</f>
        <v>WS/48</v>
      </c>
      <c r="U1775" s="4" t="str">
        <f>IFERROR(__xludf.DUMMYFUNCTION("""COMPUTED_VALUE"""),"BPM")</f>
        <v>BPM</v>
      </c>
      <c r="V1775" s="4" t="str">
        <f>IFERROR(__xludf.DUMMYFUNCTION("""COMPUTED_VALUE"""),"VORP")</f>
        <v>VORP</v>
      </c>
    </row>
    <row r="1776">
      <c r="A1776" s="4">
        <f>IFERROR(__xludf.DUMMYFUNCTION("""COMPUTED_VALUE"""),1.0)</f>
        <v>1</v>
      </c>
      <c r="B1776" s="4">
        <f>IFERROR(__xludf.DUMMYFUNCTION("""COMPUTED_VALUE"""),1.0)</f>
        <v>1</v>
      </c>
      <c r="C1776" s="4" t="str">
        <f>IFERROR(__xludf.DUMMYFUNCTION("""COMPUTED_VALUE"""),"LAC")</f>
        <v>LAC</v>
      </c>
      <c r="D1776" s="4" t="str">
        <f>IFERROR(__xludf.DUMMYFUNCTION("""COMPUTED_VALUE"""),"Michael Olowokandi")</f>
        <v>Michael Olowokandi</v>
      </c>
      <c r="E1776" s="4" t="str">
        <f>IFERROR(__xludf.DUMMYFUNCTION("""COMPUTED_VALUE"""),"University of the Pacific")</f>
        <v>University of the Pacific</v>
      </c>
      <c r="F1776" s="4">
        <f>IFERROR(__xludf.DUMMYFUNCTION("""COMPUTED_VALUE"""),9.0)</f>
        <v>9</v>
      </c>
      <c r="G1776" s="4">
        <f>IFERROR(__xludf.DUMMYFUNCTION("""COMPUTED_VALUE"""),500.0)</f>
        <v>500</v>
      </c>
      <c r="H1776" s="4">
        <f>IFERROR(__xludf.DUMMYFUNCTION("""COMPUTED_VALUE"""),13129.0)</f>
        <v>13129</v>
      </c>
      <c r="I1776" s="4">
        <f>IFERROR(__xludf.DUMMYFUNCTION("""COMPUTED_VALUE"""),4135.0)</f>
        <v>4135</v>
      </c>
      <c r="J1776" s="4">
        <f>IFERROR(__xludf.DUMMYFUNCTION("""COMPUTED_VALUE"""),3414.0)</f>
        <v>3414</v>
      </c>
      <c r="K1776" s="4">
        <f>IFERROR(__xludf.DUMMYFUNCTION("""COMPUTED_VALUE"""),327.0)</f>
        <v>327</v>
      </c>
      <c r="L1776" s="4">
        <f>IFERROR(__xludf.DUMMYFUNCTION("""COMPUTED_VALUE"""),0.435)</f>
        <v>0.435</v>
      </c>
      <c r="M1776" s="4"/>
      <c r="N1776" s="4">
        <f>IFERROR(__xludf.DUMMYFUNCTION("""COMPUTED_VALUE"""),0.597)</f>
        <v>0.597</v>
      </c>
      <c r="O1776" s="4">
        <f>IFERROR(__xludf.DUMMYFUNCTION("""COMPUTED_VALUE"""),26.3)</f>
        <v>26.3</v>
      </c>
      <c r="P1776" s="4">
        <f>IFERROR(__xludf.DUMMYFUNCTION("""COMPUTED_VALUE"""),8.3)</f>
        <v>8.3</v>
      </c>
      <c r="Q1776" s="4">
        <f>IFERROR(__xludf.DUMMYFUNCTION("""COMPUTED_VALUE"""),6.8)</f>
        <v>6.8</v>
      </c>
      <c r="R1776" s="4">
        <f>IFERROR(__xludf.DUMMYFUNCTION("""COMPUTED_VALUE"""),0.7)</f>
        <v>0.7</v>
      </c>
      <c r="S1776" s="4">
        <f>IFERROR(__xludf.DUMMYFUNCTION("""COMPUTED_VALUE"""),2.5)</f>
        <v>2.5</v>
      </c>
      <c r="T1776" s="4">
        <f>IFERROR(__xludf.DUMMYFUNCTION("""COMPUTED_VALUE"""),0.009)</f>
        <v>0.009</v>
      </c>
      <c r="U1776" s="4">
        <f>IFERROR(__xludf.DUMMYFUNCTION("""COMPUTED_VALUE"""),-4.6)</f>
        <v>-4.6</v>
      </c>
      <c r="V1776" s="4">
        <f>IFERROR(__xludf.DUMMYFUNCTION("""COMPUTED_VALUE"""),-8.5)</f>
        <v>-8.5</v>
      </c>
    </row>
    <row r="1777">
      <c r="A1777" s="4">
        <f>IFERROR(__xludf.DUMMYFUNCTION("""COMPUTED_VALUE"""),2.0)</f>
        <v>2</v>
      </c>
      <c r="B1777" s="4">
        <f>IFERROR(__xludf.DUMMYFUNCTION("""COMPUTED_VALUE"""),2.0)</f>
        <v>2</v>
      </c>
      <c r="C1777" s="4" t="str">
        <f>IFERROR(__xludf.DUMMYFUNCTION("""COMPUTED_VALUE"""),"VAN")</f>
        <v>VAN</v>
      </c>
      <c r="D1777" s="4" t="str">
        <f>IFERROR(__xludf.DUMMYFUNCTION("""COMPUTED_VALUE"""),"Mike Bibby")</f>
        <v>Mike Bibby</v>
      </c>
      <c r="E1777" s="4" t="str">
        <f>IFERROR(__xludf.DUMMYFUNCTION("""COMPUTED_VALUE"""),"Arizona")</f>
        <v>Arizona</v>
      </c>
      <c r="F1777" s="4">
        <f>IFERROR(__xludf.DUMMYFUNCTION("""COMPUTED_VALUE"""),14.0)</f>
        <v>14</v>
      </c>
      <c r="G1777" s="4">
        <f>IFERROR(__xludf.DUMMYFUNCTION("""COMPUTED_VALUE"""),1001.0)</f>
        <v>1001</v>
      </c>
      <c r="H1777" s="4">
        <f>IFERROR(__xludf.DUMMYFUNCTION("""COMPUTED_VALUE"""),33962.0)</f>
        <v>33962</v>
      </c>
      <c r="I1777" s="4">
        <f>IFERROR(__xludf.DUMMYFUNCTION("""COMPUTED_VALUE"""),14698.0)</f>
        <v>14698</v>
      </c>
      <c r="J1777" s="4">
        <f>IFERROR(__xludf.DUMMYFUNCTION("""COMPUTED_VALUE"""),3103.0)</f>
        <v>3103</v>
      </c>
      <c r="K1777" s="4">
        <f>IFERROR(__xludf.DUMMYFUNCTION("""COMPUTED_VALUE"""),5517.0)</f>
        <v>5517</v>
      </c>
      <c r="L1777" s="4">
        <f>IFERROR(__xludf.DUMMYFUNCTION("""COMPUTED_VALUE"""),0.436)</f>
        <v>0.436</v>
      </c>
      <c r="M1777" s="4">
        <f>IFERROR(__xludf.DUMMYFUNCTION("""COMPUTED_VALUE"""),0.379)</f>
        <v>0.379</v>
      </c>
      <c r="N1777" s="4">
        <f>IFERROR(__xludf.DUMMYFUNCTION("""COMPUTED_VALUE"""),0.802)</f>
        <v>0.802</v>
      </c>
      <c r="O1777" s="4">
        <f>IFERROR(__xludf.DUMMYFUNCTION("""COMPUTED_VALUE"""),33.9)</f>
        <v>33.9</v>
      </c>
      <c r="P1777" s="4">
        <f>IFERROR(__xludf.DUMMYFUNCTION("""COMPUTED_VALUE"""),14.7)</f>
        <v>14.7</v>
      </c>
      <c r="Q1777" s="4">
        <f>IFERROR(__xludf.DUMMYFUNCTION("""COMPUTED_VALUE"""),3.1)</f>
        <v>3.1</v>
      </c>
      <c r="R1777" s="4">
        <f>IFERROR(__xludf.DUMMYFUNCTION("""COMPUTED_VALUE"""),5.5)</f>
        <v>5.5</v>
      </c>
      <c r="S1777" s="4">
        <f>IFERROR(__xludf.DUMMYFUNCTION("""COMPUTED_VALUE"""),73.2)</f>
        <v>73.2</v>
      </c>
      <c r="T1777" s="4">
        <f>IFERROR(__xludf.DUMMYFUNCTION("""COMPUTED_VALUE"""),0.104)</f>
        <v>0.104</v>
      </c>
      <c r="U1777" s="4">
        <f>IFERROR(__xludf.DUMMYFUNCTION("""COMPUTED_VALUE"""),0.8)</f>
        <v>0.8</v>
      </c>
      <c r="V1777" s="4">
        <f>IFERROR(__xludf.DUMMYFUNCTION("""COMPUTED_VALUE"""),23.8)</f>
        <v>23.8</v>
      </c>
    </row>
    <row r="1778">
      <c r="A1778" s="4">
        <f>IFERROR(__xludf.DUMMYFUNCTION("""COMPUTED_VALUE"""),3.0)</f>
        <v>3</v>
      </c>
      <c r="B1778" s="4">
        <f>IFERROR(__xludf.DUMMYFUNCTION("""COMPUTED_VALUE"""),3.0)</f>
        <v>3</v>
      </c>
      <c r="C1778" s="4" t="str">
        <f>IFERROR(__xludf.DUMMYFUNCTION("""COMPUTED_VALUE"""),"DEN")</f>
        <v>DEN</v>
      </c>
      <c r="D1778" s="4" t="str">
        <f>IFERROR(__xludf.DUMMYFUNCTION("""COMPUTED_VALUE"""),"Raef LaFrentz")</f>
        <v>Raef LaFrentz</v>
      </c>
      <c r="E1778" s="4" t="str">
        <f>IFERROR(__xludf.DUMMYFUNCTION("""COMPUTED_VALUE"""),"Kansas")</f>
        <v>Kansas</v>
      </c>
      <c r="F1778" s="4">
        <f>IFERROR(__xludf.DUMMYFUNCTION("""COMPUTED_VALUE"""),10.0)</f>
        <v>10</v>
      </c>
      <c r="G1778" s="4">
        <f>IFERROR(__xludf.DUMMYFUNCTION("""COMPUTED_VALUE"""),563.0)</f>
        <v>563</v>
      </c>
      <c r="H1778" s="4">
        <f>IFERROR(__xludf.DUMMYFUNCTION("""COMPUTED_VALUE"""),14545.0)</f>
        <v>14545</v>
      </c>
      <c r="I1778" s="4">
        <f>IFERROR(__xludf.DUMMYFUNCTION("""COMPUTED_VALUE"""),5690.0)</f>
        <v>5690</v>
      </c>
      <c r="J1778" s="4">
        <f>IFERROR(__xludf.DUMMYFUNCTION("""COMPUTED_VALUE"""),3423.0)</f>
        <v>3423</v>
      </c>
      <c r="K1778" s="4">
        <f>IFERROR(__xludf.DUMMYFUNCTION("""COMPUTED_VALUE"""),606.0)</f>
        <v>606</v>
      </c>
      <c r="L1778" s="4">
        <f>IFERROR(__xludf.DUMMYFUNCTION("""COMPUTED_VALUE"""),0.466)</f>
        <v>0.466</v>
      </c>
      <c r="M1778" s="4">
        <f>IFERROR(__xludf.DUMMYFUNCTION("""COMPUTED_VALUE"""),0.363)</f>
        <v>0.363</v>
      </c>
      <c r="N1778" s="4">
        <f>IFERROR(__xludf.DUMMYFUNCTION("""COMPUTED_VALUE"""),0.711)</f>
        <v>0.711</v>
      </c>
      <c r="O1778" s="4">
        <f>IFERROR(__xludf.DUMMYFUNCTION("""COMPUTED_VALUE"""),25.8)</f>
        <v>25.8</v>
      </c>
      <c r="P1778" s="4">
        <f>IFERROR(__xludf.DUMMYFUNCTION("""COMPUTED_VALUE"""),10.1)</f>
        <v>10.1</v>
      </c>
      <c r="Q1778" s="4">
        <f>IFERROR(__xludf.DUMMYFUNCTION("""COMPUTED_VALUE"""),6.1)</f>
        <v>6.1</v>
      </c>
      <c r="R1778" s="4">
        <f>IFERROR(__xludf.DUMMYFUNCTION("""COMPUTED_VALUE"""),1.1)</f>
        <v>1.1</v>
      </c>
      <c r="S1778" s="4">
        <f>IFERROR(__xludf.DUMMYFUNCTION("""COMPUTED_VALUE"""),39.4)</f>
        <v>39.4</v>
      </c>
      <c r="T1778" s="4">
        <f>IFERROR(__xludf.DUMMYFUNCTION("""COMPUTED_VALUE"""),0.13)</f>
        <v>0.13</v>
      </c>
      <c r="U1778" s="4">
        <f>IFERROR(__xludf.DUMMYFUNCTION("""COMPUTED_VALUE"""),0.7)</f>
        <v>0.7</v>
      </c>
      <c r="V1778" s="4">
        <f>IFERROR(__xludf.DUMMYFUNCTION("""COMPUTED_VALUE"""),9.8)</f>
        <v>9.8</v>
      </c>
    </row>
    <row r="1779">
      <c r="A1779" s="4">
        <f>IFERROR(__xludf.DUMMYFUNCTION("""COMPUTED_VALUE"""),4.0)</f>
        <v>4</v>
      </c>
      <c r="B1779" s="4">
        <f>IFERROR(__xludf.DUMMYFUNCTION("""COMPUTED_VALUE"""),4.0)</f>
        <v>4</v>
      </c>
      <c r="C1779" s="4" t="str">
        <f>IFERROR(__xludf.DUMMYFUNCTION("""COMPUTED_VALUE"""),"TOR")</f>
        <v>TOR</v>
      </c>
      <c r="D1779" s="4" t="str">
        <f>IFERROR(__xludf.DUMMYFUNCTION("""COMPUTED_VALUE"""),"Antawn Jamison")</f>
        <v>Antawn Jamison</v>
      </c>
      <c r="E1779" s="4" t="str">
        <f>IFERROR(__xludf.DUMMYFUNCTION("""COMPUTED_VALUE"""),"UNC")</f>
        <v>UNC</v>
      </c>
      <c r="F1779" s="4">
        <f>IFERROR(__xludf.DUMMYFUNCTION("""COMPUTED_VALUE"""),16.0)</f>
        <v>16</v>
      </c>
      <c r="G1779" s="4">
        <f>IFERROR(__xludf.DUMMYFUNCTION("""COMPUTED_VALUE"""),1083.0)</f>
        <v>1083</v>
      </c>
      <c r="H1779" s="4">
        <f>IFERROR(__xludf.DUMMYFUNCTION("""COMPUTED_VALUE"""),37638.0)</f>
        <v>37638</v>
      </c>
      <c r="I1779" s="4">
        <f>IFERROR(__xludf.DUMMYFUNCTION("""COMPUTED_VALUE"""),20042.0)</f>
        <v>20042</v>
      </c>
      <c r="J1779" s="4">
        <f>IFERROR(__xludf.DUMMYFUNCTION("""COMPUTED_VALUE"""),8157.0)</f>
        <v>8157</v>
      </c>
      <c r="K1779" s="4">
        <f>IFERROR(__xludf.DUMMYFUNCTION("""COMPUTED_VALUE"""),1761.0)</f>
        <v>1761</v>
      </c>
      <c r="L1779" s="4">
        <f>IFERROR(__xludf.DUMMYFUNCTION("""COMPUTED_VALUE"""),0.451)</f>
        <v>0.451</v>
      </c>
      <c r="M1779" s="4">
        <f>IFERROR(__xludf.DUMMYFUNCTION("""COMPUTED_VALUE"""),0.346)</f>
        <v>0.346</v>
      </c>
      <c r="N1779" s="4">
        <f>IFERROR(__xludf.DUMMYFUNCTION("""COMPUTED_VALUE"""),0.724)</f>
        <v>0.724</v>
      </c>
      <c r="O1779" s="4">
        <f>IFERROR(__xludf.DUMMYFUNCTION("""COMPUTED_VALUE"""),34.8)</f>
        <v>34.8</v>
      </c>
      <c r="P1779" s="4">
        <f>IFERROR(__xludf.DUMMYFUNCTION("""COMPUTED_VALUE"""),18.5)</f>
        <v>18.5</v>
      </c>
      <c r="Q1779" s="4">
        <f>IFERROR(__xludf.DUMMYFUNCTION("""COMPUTED_VALUE"""),7.5)</f>
        <v>7.5</v>
      </c>
      <c r="R1779" s="4">
        <f>IFERROR(__xludf.DUMMYFUNCTION("""COMPUTED_VALUE"""),1.6)</f>
        <v>1.6</v>
      </c>
      <c r="S1779" s="4">
        <f>IFERROR(__xludf.DUMMYFUNCTION("""COMPUTED_VALUE"""),87.8)</f>
        <v>87.8</v>
      </c>
      <c r="T1779" s="4">
        <f>IFERROR(__xludf.DUMMYFUNCTION("""COMPUTED_VALUE"""),0.112)</f>
        <v>0.112</v>
      </c>
      <c r="U1779" s="4">
        <f>IFERROR(__xludf.DUMMYFUNCTION("""COMPUTED_VALUE"""),0.6)</f>
        <v>0.6</v>
      </c>
      <c r="V1779" s="4">
        <f>IFERROR(__xludf.DUMMYFUNCTION("""COMPUTED_VALUE"""),24.5)</f>
        <v>24.5</v>
      </c>
    </row>
    <row r="1780">
      <c r="A1780" s="4">
        <f>IFERROR(__xludf.DUMMYFUNCTION("""COMPUTED_VALUE"""),5.0)</f>
        <v>5</v>
      </c>
      <c r="B1780" s="4">
        <f>IFERROR(__xludf.DUMMYFUNCTION("""COMPUTED_VALUE"""),5.0)</f>
        <v>5</v>
      </c>
      <c r="C1780" s="4" t="str">
        <f>IFERROR(__xludf.DUMMYFUNCTION("""COMPUTED_VALUE"""),"GSW")</f>
        <v>GSW</v>
      </c>
      <c r="D1780" s="4" t="str">
        <f>IFERROR(__xludf.DUMMYFUNCTION("""COMPUTED_VALUE"""),"Vince Carter")</f>
        <v>Vince Carter</v>
      </c>
      <c r="E1780" s="4" t="str">
        <f>IFERROR(__xludf.DUMMYFUNCTION("""COMPUTED_VALUE"""),"UNC")</f>
        <v>UNC</v>
      </c>
      <c r="F1780" s="4">
        <f>IFERROR(__xludf.DUMMYFUNCTION("""COMPUTED_VALUE"""),22.0)</f>
        <v>22</v>
      </c>
      <c r="G1780" s="4">
        <f>IFERROR(__xludf.DUMMYFUNCTION("""COMPUTED_VALUE"""),1541.0)</f>
        <v>1541</v>
      </c>
      <c r="H1780" s="4">
        <f>IFERROR(__xludf.DUMMYFUNCTION("""COMPUTED_VALUE"""),46367.0)</f>
        <v>46367</v>
      </c>
      <c r="I1780" s="4">
        <f>IFERROR(__xludf.DUMMYFUNCTION("""COMPUTED_VALUE"""),25728.0)</f>
        <v>25728</v>
      </c>
      <c r="J1780" s="4">
        <f>IFERROR(__xludf.DUMMYFUNCTION("""COMPUTED_VALUE"""),6606.0)</f>
        <v>6606</v>
      </c>
      <c r="K1780" s="4">
        <f>IFERROR(__xludf.DUMMYFUNCTION("""COMPUTED_VALUE"""),4714.0)</f>
        <v>4714</v>
      </c>
      <c r="L1780" s="4">
        <f>IFERROR(__xludf.DUMMYFUNCTION("""COMPUTED_VALUE"""),0.435)</f>
        <v>0.435</v>
      </c>
      <c r="M1780" s="4">
        <f>IFERROR(__xludf.DUMMYFUNCTION("""COMPUTED_VALUE"""),0.371)</f>
        <v>0.371</v>
      </c>
      <c r="N1780" s="4">
        <f>IFERROR(__xludf.DUMMYFUNCTION("""COMPUTED_VALUE"""),0.798)</f>
        <v>0.798</v>
      </c>
      <c r="O1780" s="4">
        <f>IFERROR(__xludf.DUMMYFUNCTION("""COMPUTED_VALUE"""),30.1)</f>
        <v>30.1</v>
      </c>
      <c r="P1780" s="4">
        <f>IFERROR(__xludf.DUMMYFUNCTION("""COMPUTED_VALUE"""),16.7)</f>
        <v>16.7</v>
      </c>
      <c r="Q1780" s="4">
        <f>IFERROR(__xludf.DUMMYFUNCTION("""COMPUTED_VALUE"""),4.3)</f>
        <v>4.3</v>
      </c>
      <c r="R1780" s="4">
        <f>IFERROR(__xludf.DUMMYFUNCTION("""COMPUTED_VALUE"""),3.1)</f>
        <v>3.1</v>
      </c>
      <c r="S1780" s="4">
        <f>IFERROR(__xludf.DUMMYFUNCTION("""COMPUTED_VALUE"""),125.3)</f>
        <v>125.3</v>
      </c>
      <c r="T1780" s="4">
        <f>IFERROR(__xludf.DUMMYFUNCTION("""COMPUTED_VALUE"""),0.13)</f>
        <v>0.13</v>
      </c>
      <c r="U1780" s="4">
        <f>IFERROR(__xludf.DUMMYFUNCTION("""COMPUTED_VALUE"""),3.0)</f>
        <v>3</v>
      </c>
      <c r="V1780" s="4">
        <f>IFERROR(__xludf.DUMMYFUNCTION("""COMPUTED_VALUE"""),57.9)</f>
        <v>57.9</v>
      </c>
    </row>
    <row r="1781">
      <c r="A1781" s="4">
        <f>IFERROR(__xludf.DUMMYFUNCTION("""COMPUTED_VALUE"""),6.0)</f>
        <v>6</v>
      </c>
      <c r="B1781" s="4">
        <f>IFERROR(__xludf.DUMMYFUNCTION("""COMPUTED_VALUE"""),6.0)</f>
        <v>6</v>
      </c>
      <c r="C1781" s="4" t="str">
        <f>IFERROR(__xludf.DUMMYFUNCTION("""COMPUTED_VALUE"""),"DAL")</f>
        <v>DAL</v>
      </c>
      <c r="D1781" s="4" t="str">
        <f>IFERROR(__xludf.DUMMYFUNCTION("""COMPUTED_VALUE"""),"Robert Traylor")</f>
        <v>Robert Traylor</v>
      </c>
      <c r="E1781" s="4" t="str">
        <f>IFERROR(__xludf.DUMMYFUNCTION("""COMPUTED_VALUE"""),"Michigan")</f>
        <v>Michigan</v>
      </c>
      <c r="F1781" s="4">
        <f>IFERROR(__xludf.DUMMYFUNCTION("""COMPUTED_VALUE"""),7.0)</f>
        <v>7</v>
      </c>
      <c r="G1781" s="4">
        <f>IFERROR(__xludf.DUMMYFUNCTION("""COMPUTED_VALUE"""),438.0)</f>
        <v>438</v>
      </c>
      <c r="H1781" s="4">
        <f>IFERROR(__xludf.DUMMYFUNCTION("""COMPUTED_VALUE"""),6243.0)</f>
        <v>6243</v>
      </c>
      <c r="I1781" s="4">
        <f>IFERROR(__xludf.DUMMYFUNCTION("""COMPUTED_VALUE"""),2085.0)</f>
        <v>2085</v>
      </c>
      <c r="J1781" s="4">
        <f>IFERROR(__xludf.DUMMYFUNCTION("""COMPUTED_VALUE"""),1640.0)</f>
        <v>1640</v>
      </c>
      <c r="K1781" s="4">
        <f>IFERROR(__xludf.DUMMYFUNCTION("""COMPUTED_VALUE"""),312.0)</f>
        <v>312</v>
      </c>
      <c r="L1781" s="4">
        <f>IFERROR(__xludf.DUMMYFUNCTION("""COMPUTED_VALUE"""),0.474)</f>
        <v>0.474</v>
      </c>
      <c r="M1781" s="4">
        <f>IFERROR(__xludf.DUMMYFUNCTION("""COMPUTED_VALUE"""),0.167)</f>
        <v>0.167</v>
      </c>
      <c r="N1781" s="4">
        <f>IFERROR(__xludf.DUMMYFUNCTION("""COMPUTED_VALUE"""),0.577)</f>
        <v>0.577</v>
      </c>
      <c r="O1781" s="4">
        <f>IFERROR(__xludf.DUMMYFUNCTION("""COMPUTED_VALUE"""),14.3)</f>
        <v>14.3</v>
      </c>
      <c r="P1781" s="4">
        <f>IFERROR(__xludf.DUMMYFUNCTION("""COMPUTED_VALUE"""),4.8)</f>
        <v>4.8</v>
      </c>
      <c r="Q1781" s="4">
        <f>IFERROR(__xludf.DUMMYFUNCTION("""COMPUTED_VALUE"""),3.7)</f>
        <v>3.7</v>
      </c>
      <c r="R1781" s="4">
        <f>IFERROR(__xludf.DUMMYFUNCTION("""COMPUTED_VALUE"""),0.7)</f>
        <v>0.7</v>
      </c>
      <c r="S1781" s="4">
        <f>IFERROR(__xludf.DUMMYFUNCTION("""COMPUTED_VALUE"""),13.3)</f>
        <v>13.3</v>
      </c>
      <c r="T1781" s="4">
        <f>IFERROR(__xludf.DUMMYFUNCTION("""COMPUTED_VALUE"""),0.102)</f>
        <v>0.102</v>
      </c>
      <c r="U1781" s="4">
        <f>IFERROR(__xludf.DUMMYFUNCTION("""COMPUTED_VALUE"""),-1.6)</f>
        <v>-1.6</v>
      </c>
      <c r="V1781" s="4">
        <f>IFERROR(__xludf.DUMMYFUNCTION("""COMPUTED_VALUE"""),0.7)</f>
        <v>0.7</v>
      </c>
    </row>
    <row r="1782">
      <c r="A1782" s="4">
        <f>IFERROR(__xludf.DUMMYFUNCTION("""COMPUTED_VALUE"""),7.0)</f>
        <v>7</v>
      </c>
      <c r="B1782" s="4">
        <f>IFERROR(__xludf.DUMMYFUNCTION("""COMPUTED_VALUE"""),7.0)</f>
        <v>7</v>
      </c>
      <c r="C1782" s="4" t="str">
        <f>IFERROR(__xludf.DUMMYFUNCTION("""COMPUTED_VALUE"""),"SAC")</f>
        <v>SAC</v>
      </c>
      <c r="D1782" s="4" t="str">
        <f>IFERROR(__xludf.DUMMYFUNCTION("""COMPUTED_VALUE"""),"Jason Williams")</f>
        <v>Jason Williams</v>
      </c>
      <c r="E1782" s="4" t="str">
        <f>IFERROR(__xludf.DUMMYFUNCTION("""COMPUTED_VALUE"""),"Florida")</f>
        <v>Florida</v>
      </c>
      <c r="F1782" s="4">
        <f>IFERROR(__xludf.DUMMYFUNCTION("""COMPUTED_VALUE"""),12.0)</f>
        <v>12</v>
      </c>
      <c r="G1782" s="4">
        <f>IFERROR(__xludf.DUMMYFUNCTION("""COMPUTED_VALUE"""),788.0)</f>
        <v>788</v>
      </c>
      <c r="H1782" s="4">
        <f>IFERROR(__xludf.DUMMYFUNCTION("""COMPUTED_VALUE"""),23188.0)</f>
        <v>23188</v>
      </c>
      <c r="I1782" s="4">
        <f>IFERROR(__xludf.DUMMYFUNCTION("""COMPUTED_VALUE"""),8266.0)</f>
        <v>8266</v>
      </c>
      <c r="J1782" s="4">
        <f>IFERROR(__xludf.DUMMYFUNCTION("""COMPUTED_VALUE"""),1810.0)</f>
        <v>1810</v>
      </c>
      <c r="K1782" s="4">
        <f>IFERROR(__xludf.DUMMYFUNCTION("""COMPUTED_VALUE"""),4611.0)</f>
        <v>4611</v>
      </c>
      <c r="L1782" s="4">
        <f>IFERROR(__xludf.DUMMYFUNCTION("""COMPUTED_VALUE"""),0.398)</f>
        <v>0.398</v>
      </c>
      <c r="M1782" s="4">
        <f>IFERROR(__xludf.DUMMYFUNCTION("""COMPUTED_VALUE"""),0.327)</f>
        <v>0.327</v>
      </c>
      <c r="N1782" s="4">
        <f>IFERROR(__xludf.DUMMYFUNCTION("""COMPUTED_VALUE"""),0.813)</f>
        <v>0.813</v>
      </c>
      <c r="O1782" s="4">
        <f>IFERROR(__xludf.DUMMYFUNCTION("""COMPUTED_VALUE"""),29.4)</f>
        <v>29.4</v>
      </c>
      <c r="P1782" s="4">
        <f>IFERROR(__xludf.DUMMYFUNCTION("""COMPUTED_VALUE"""),10.5)</f>
        <v>10.5</v>
      </c>
      <c r="Q1782" s="4">
        <f>IFERROR(__xludf.DUMMYFUNCTION("""COMPUTED_VALUE"""),2.3)</f>
        <v>2.3</v>
      </c>
      <c r="R1782" s="4">
        <f>IFERROR(__xludf.DUMMYFUNCTION("""COMPUTED_VALUE"""),5.9)</f>
        <v>5.9</v>
      </c>
      <c r="S1782" s="4">
        <f>IFERROR(__xludf.DUMMYFUNCTION("""COMPUTED_VALUE"""),38.5)</f>
        <v>38.5</v>
      </c>
      <c r="T1782" s="4">
        <f>IFERROR(__xludf.DUMMYFUNCTION("""COMPUTED_VALUE"""),0.08)</f>
        <v>0.08</v>
      </c>
      <c r="U1782" s="4">
        <f>IFERROR(__xludf.DUMMYFUNCTION("""COMPUTED_VALUE"""),0.2)</f>
        <v>0.2</v>
      </c>
      <c r="V1782" s="4">
        <f>IFERROR(__xludf.DUMMYFUNCTION("""COMPUTED_VALUE"""),12.9)</f>
        <v>12.9</v>
      </c>
    </row>
    <row r="1783">
      <c r="A1783" s="4">
        <f>IFERROR(__xludf.DUMMYFUNCTION("""COMPUTED_VALUE"""),8.0)</f>
        <v>8</v>
      </c>
      <c r="B1783" s="4">
        <f>IFERROR(__xludf.DUMMYFUNCTION("""COMPUTED_VALUE"""),8.0)</f>
        <v>8</v>
      </c>
      <c r="C1783" s="4" t="str">
        <f>IFERROR(__xludf.DUMMYFUNCTION("""COMPUTED_VALUE"""),"PHI")</f>
        <v>PHI</v>
      </c>
      <c r="D1783" s="4" t="str">
        <f>IFERROR(__xludf.DUMMYFUNCTION("""COMPUTED_VALUE"""),"Larry Hughes")</f>
        <v>Larry Hughes</v>
      </c>
      <c r="E1783" s="4" t="str">
        <f>IFERROR(__xludf.DUMMYFUNCTION("""COMPUTED_VALUE"""),"Saint Louis")</f>
        <v>Saint Louis</v>
      </c>
      <c r="F1783" s="4">
        <f>IFERROR(__xludf.DUMMYFUNCTION("""COMPUTED_VALUE"""),13.0)</f>
        <v>13</v>
      </c>
      <c r="G1783" s="4">
        <f>IFERROR(__xludf.DUMMYFUNCTION("""COMPUTED_VALUE"""),727.0)</f>
        <v>727</v>
      </c>
      <c r="H1783" s="4">
        <f>IFERROR(__xludf.DUMMYFUNCTION("""COMPUTED_VALUE"""),22368.0)</f>
        <v>22368</v>
      </c>
      <c r="I1783" s="4">
        <f>IFERROR(__xludf.DUMMYFUNCTION("""COMPUTED_VALUE"""),10242.0)</f>
        <v>10242</v>
      </c>
      <c r="J1783" s="4">
        <f>IFERROR(__xludf.DUMMYFUNCTION("""COMPUTED_VALUE"""),3039.0)</f>
        <v>3039</v>
      </c>
      <c r="K1783" s="4">
        <f>IFERROR(__xludf.DUMMYFUNCTION("""COMPUTED_VALUE"""),2290.0)</f>
        <v>2290</v>
      </c>
      <c r="L1783" s="4">
        <f>IFERROR(__xludf.DUMMYFUNCTION("""COMPUTED_VALUE"""),0.406)</f>
        <v>0.406</v>
      </c>
      <c r="M1783" s="4">
        <f>IFERROR(__xludf.DUMMYFUNCTION("""COMPUTED_VALUE"""),0.309)</f>
        <v>0.309</v>
      </c>
      <c r="N1783" s="4">
        <f>IFERROR(__xludf.DUMMYFUNCTION("""COMPUTED_VALUE"""),0.757)</f>
        <v>0.757</v>
      </c>
      <c r="O1783" s="4">
        <f>IFERROR(__xludf.DUMMYFUNCTION("""COMPUTED_VALUE"""),30.8)</f>
        <v>30.8</v>
      </c>
      <c r="P1783" s="4">
        <f>IFERROR(__xludf.DUMMYFUNCTION("""COMPUTED_VALUE"""),14.1)</f>
        <v>14.1</v>
      </c>
      <c r="Q1783" s="4">
        <f>IFERROR(__xludf.DUMMYFUNCTION("""COMPUTED_VALUE"""),4.2)</f>
        <v>4.2</v>
      </c>
      <c r="R1783" s="4">
        <f>IFERROR(__xludf.DUMMYFUNCTION("""COMPUTED_VALUE"""),3.1)</f>
        <v>3.1</v>
      </c>
      <c r="S1783" s="4">
        <f>IFERROR(__xludf.DUMMYFUNCTION("""COMPUTED_VALUE"""),32.3)</f>
        <v>32.3</v>
      </c>
      <c r="T1783" s="4">
        <f>IFERROR(__xludf.DUMMYFUNCTION("""COMPUTED_VALUE"""),0.069)</f>
        <v>0.069</v>
      </c>
      <c r="U1783" s="4">
        <f>IFERROR(__xludf.DUMMYFUNCTION("""COMPUTED_VALUE"""),-0.1)</f>
        <v>-0.1</v>
      </c>
      <c r="V1783" s="4">
        <f>IFERROR(__xludf.DUMMYFUNCTION("""COMPUTED_VALUE"""),10.7)</f>
        <v>10.7</v>
      </c>
    </row>
    <row r="1784">
      <c r="A1784" s="4">
        <f>IFERROR(__xludf.DUMMYFUNCTION("""COMPUTED_VALUE"""),9.0)</f>
        <v>9</v>
      </c>
      <c r="B1784" s="4">
        <f>IFERROR(__xludf.DUMMYFUNCTION("""COMPUTED_VALUE"""),9.0)</f>
        <v>9</v>
      </c>
      <c r="C1784" s="4" t="str">
        <f>IFERROR(__xludf.DUMMYFUNCTION("""COMPUTED_VALUE"""),"MIL")</f>
        <v>MIL</v>
      </c>
      <c r="D1784" s="4" t="str">
        <f>IFERROR(__xludf.DUMMYFUNCTION("""COMPUTED_VALUE"""),"Dirk Nowitzki")</f>
        <v>Dirk Nowitzki</v>
      </c>
      <c r="E1784" s="4"/>
      <c r="F1784" s="4">
        <f>IFERROR(__xludf.DUMMYFUNCTION("""COMPUTED_VALUE"""),21.0)</f>
        <v>21</v>
      </c>
      <c r="G1784" s="4">
        <f>IFERROR(__xludf.DUMMYFUNCTION("""COMPUTED_VALUE"""),1522.0)</f>
        <v>1522</v>
      </c>
      <c r="H1784" s="4">
        <f>IFERROR(__xludf.DUMMYFUNCTION("""COMPUTED_VALUE"""),51368.0)</f>
        <v>51368</v>
      </c>
      <c r="I1784" s="4">
        <f>IFERROR(__xludf.DUMMYFUNCTION("""COMPUTED_VALUE"""),31560.0)</f>
        <v>31560</v>
      </c>
      <c r="J1784" s="4">
        <f>IFERROR(__xludf.DUMMYFUNCTION("""COMPUTED_VALUE"""),11489.0)</f>
        <v>11489</v>
      </c>
      <c r="K1784" s="4">
        <f>IFERROR(__xludf.DUMMYFUNCTION("""COMPUTED_VALUE"""),3651.0)</f>
        <v>3651</v>
      </c>
      <c r="L1784" s="4">
        <f>IFERROR(__xludf.DUMMYFUNCTION("""COMPUTED_VALUE"""),0.471)</f>
        <v>0.471</v>
      </c>
      <c r="M1784" s="4">
        <f>IFERROR(__xludf.DUMMYFUNCTION("""COMPUTED_VALUE"""),0.38)</f>
        <v>0.38</v>
      </c>
      <c r="N1784" s="4">
        <f>IFERROR(__xludf.DUMMYFUNCTION("""COMPUTED_VALUE"""),0.879)</f>
        <v>0.879</v>
      </c>
      <c r="O1784" s="4">
        <f>IFERROR(__xludf.DUMMYFUNCTION("""COMPUTED_VALUE"""),33.8)</f>
        <v>33.8</v>
      </c>
      <c r="P1784" s="4">
        <f>IFERROR(__xludf.DUMMYFUNCTION("""COMPUTED_VALUE"""),20.7)</f>
        <v>20.7</v>
      </c>
      <c r="Q1784" s="4">
        <f>IFERROR(__xludf.DUMMYFUNCTION("""COMPUTED_VALUE"""),7.5)</f>
        <v>7.5</v>
      </c>
      <c r="R1784" s="4">
        <f>IFERROR(__xludf.DUMMYFUNCTION("""COMPUTED_VALUE"""),2.4)</f>
        <v>2.4</v>
      </c>
      <c r="S1784" s="4">
        <f>IFERROR(__xludf.DUMMYFUNCTION("""COMPUTED_VALUE"""),206.3)</f>
        <v>206.3</v>
      </c>
      <c r="T1784" s="4">
        <f>IFERROR(__xludf.DUMMYFUNCTION("""COMPUTED_VALUE"""),0.193)</f>
        <v>0.193</v>
      </c>
      <c r="U1784" s="4">
        <f>IFERROR(__xludf.DUMMYFUNCTION("""COMPUTED_VALUE"""),4.5)</f>
        <v>4.5</v>
      </c>
      <c r="V1784" s="4">
        <f>IFERROR(__xludf.DUMMYFUNCTION("""COMPUTED_VALUE"""),84.8)</f>
        <v>84.8</v>
      </c>
    </row>
    <row r="1785">
      <c r="A1785" s="4">
        <f>IFERROR(__xludf.DUMMYFUNCTION("""COMPUTED_VALUE"""),10.0)</f>
        <v>10</v>
      </c>
      <c r="B1785" s="4">
        <f>IFERROR(__xludf.DUMMYFUNCTION("""COMPUTED_VALUE"""),10.0)</f>
        <v>10</v>
      </c>
      <c r="C1785" s="4" t="str">
        <f>IFERROR(__xludf.DUMMYFUNCTION("""COMPUTED_VALUE"""),"BOS")</f>
        <v>BOS</v>
      </c>
      <c r="D1785" s="4" t="str">
        <f>IFERROR(__xludf.DUMMYFUNCTION("""COMPUTED_VALUE"""),"Paul Pierce")</f>
        <v>Paul Pierce</v>
      </c>
      <c r="E1785" s="4" t="str">
        <f>IFERROR(__xludf.DUMMYFUNCTION("""COMPUTED_VALUE"""),"Kansas")</f>
        <v>Kansas</v>
      </c>
      <c r="F1785" s="4">
        <f>IFERROR(__xludf.DUMMYFUNCTION("""COMPUTED_VALUE"""),19.0)</f>
        <v>19</v>
      </c>
      <c r="G1785" s="4">
        <f>IFERROR(__xludf.DUMMYFUNCTION("""COMPUTED_VALUE"""),1343.0)</f>
        <v>1343</v>
      </c>
      <c r="H1785" s="4">
        <f>IFERROR(__xludf.DUMMYFUNCTION("""COMPUTED_VALUE"""),45880.0)</f>
        <v>45880</v>
      </c>
      <c r="I1785" s="4">
        <f>IFERROR(__xludf.DUMMYFUNCTION("""COMPUTED_VALUE"""),26397.0)</f>
        <v>26397</v>
      </c>
      <c r="J1785" s="4">
        <f>IFERROR(__xludf.DUMMYFUNCTION("""COMPUTED_VALUE"""),7527.0)</f>
        <v>7527</v>
      </c>
      <c r="K1785" s="4">
        <f>IFERROR(__xludf.DUMMYFUNCTION("""COMPUTED_VALUE"""),4708.0)</f>
        <v>4708</v>
      </c>
      <c r="L1785" s="4">
        <f>IFERROR(__xludf.DUMMYFUNCTION("""COMPUTED_VALUE"""),0.445)</f>
        <v>0.445</v>
      </c>
      <c r="M1785" s="4">
        <f>IFERROR(__xludf.DUMMYFUNCTION("""COMPUTED_VALUE"""),0.368)</f>
        <v>0.368</v>
      </c>
      <c r="N1785" s="4">
        <f>IFERROR(__xludf.DUMMYFUNCTION("""COMPUTED_VALUE"""),0.806)</f>
        <v>0.806</v>
      </c>
      <c r="O1785" s="4">
        <f>IFERROR(__xludf.DUMMYFUNCTION("""COMPUTED_VALUE"""),34.2)</f>
        <v>34.2</v>
      </c>
      <c r="P1785" s="4">
        <f>IFERROR(__xludf.DUMMYFUNCTION("""COMPUTED_VALUE"""),19.7)</f>
        <v>19.7</v>
      </c>
      <c r="Q1785" s="4">
        <f>IFERROR(__xludf.DUMMYFUNCTION("""COMPUTED_VALUE"""),5.6)</f>
        <v>5.6</v>
      </c>
      <c r="R1785" s="4">
        <f>IFERROR(__xludf.DUMMYFUNCTION("""COMPUTED_VALUE"""),3.5)</f>
        <v>3.5</v>
      </c>
      <c r="S1785" s="4">
        <f>IFERROR(__xludf.DUMMYFUNCTION("""COMPUTED_VALUE"""),150.0)</f>
        <v>150</v>
      </c>
      <c r="T1785" s="4">
        <f>IFERROR(__xludf.DUMMYFUNCTION("""COMPUTED_VALUE"""),0.157)</f>
        <v>0.157</v>
      </c>
      <c r="U1785" s="4">
        <f>IFERROR(__xludf.DUMMYFUNCTION("""COMPUTED_VALUE"""),3.7)</f>
        <v>3.7</v>
      </c>
      <c r="V1785" s="4">
        <f>IFERROR(__xludf.DUMMYFUNCTION("""COMPUTED_VALUE"""),65.5)</f>
        <v>65.5</v>
      </c>
    </row>
    <row r="1786">
      <c r="A1786" s="4">
        <f>IFERROR(__xludf.DUMMYFUNCTION("""COMPUTED_VALUE"""),11.0)</f>
        <v>11</v>
      </c>
      <c r="B1786" s="4">
        <f>IFERROR(__xludf.DUMMYFUNCTION("""COMPUTED_VALUE"""),11.0)</f>
        <v>11</v>
      </c>
      <c r="C1786" s="4" t="str">
        <f>IFERROR(__xludf.DUMMYFUNCTION("""COMPUTED_VALUE"""),"DET")</f>
        <v>DET</v>
      </c>
      <c r="D1786" s="4" t="str">
        <f>IFERROR(__xludf.DUMMYFUNCTION("""COMPUTED_VALUE"""),"Bonzi Wells")</f>
        <v>Bonzi Wells</v>
      </c>
      <c r="E1786" s="4" t="str">
        <f>IFERROR(__xludf.DUMMYFUNCTION("""COMPUTED_VALUE"""),"Ball State University")</f>
        <v>Ball State University</v>
      </c>
      <c r="F1786" s="4">
        <f>IFERROR(__xludf.DUMMYFUNCTION("""COMPUTED_VALUE"""),10.0)</f>
        <v>10</v>
      </c>
      <c r="G1786" s="4">
        <f>IFERROR(__xludf.DUMMYFUNCTION("""COMPUTED_VALUE"""),591.0)</f>
        <v>591</v>
      </c>
      <c r="H1786" s="4">
        <f>IFERROR(__xludf.DUMMYFUNCTION("""COMPUTED_VALUE"""),15133.0)</f>
        <v>15133</v>
      </c>
      <c r="I1786" s="4">
        <f>IFERROR(__xludf.DUMMYFUNCTION("""COMPUTED_VALUE"""),7147.0)</f>
        <v>7147</v>
      </c>
      <c r="J1786" s="4">
        <f>IFERROR(__xludf.DUMMYFUNCTION("""COMPUTED_VALUE"""),2737.0)</f>
        <v>2737</v>
      </c>
      <c r="K1786" s="4">
        <f>IFERROR(__xludf.DUMMYFUNCTION("""COMPUTED_VALUE"""),1249.0)</f>
        <v>1249</v>
      </c>
      <c r="L1786" s="4">
        <f>IFERROR(__xludf.DUMMYFUNCTION("""COMPUTED_VALUE"""),0.46)</f>
        <v>0.46</v>
      </c>
      <c r="M1786" s="4">
        <f>IFERROR(__xludf.DUMMYFUNCTION("""COMPUTED_VALUE"""),0.327)</f>
        <v>0.327</v>
      </c>
      <c r="N1786" s="4">
        <f>IFERROR(__xludf.DUMMYFUNCTION("""COMPUTED_VALUE"""),0.697)</f>
        <v>0.697</v>
      </c>
      <c r="O1786" s="4">
        <f>IFERROR(__xludf.DUMMYFUNCTION("""COMPUTED_VALUE"""),25.6)</f>
        <v>25.6</v>
      </c>
      <c r="P1786" s="4">
        <f>IFERROR(__xludf.DUMMYFUNCTION("""COMPUTED_VALUE"""),12.1)</f>
        <v>12.1</v>
      </c>
      <c r="Q1786" s="4">
        <f>IFERROR(__xludf.DUMMYFUNCTION("""COMPUTED_VALUE"""),4.6)</f>
        <v>4.6</v>
      </c>
      <c r="R1786" s="4">
        <f>IFERROR(__xludf.DUMMYFUNCTION("""COMPUTED_VALUE"""),2.1)</f>
        <v>2.1</v>
      </c>
      <c r="S1786" s="4">
        <f>IFERROR(__xludf.DUMMYFUNCTION("""COMPUTED_VALUE"""),29.4)</f>
        <v>29.4</v>
      </c>
      <c r="T1786" s="4">
        <f>IFERROR(__xludf.DUMMYFUNCTION("""COMPUTED_VALUE"""),0.093)</f>
        <v>0.093</v>
      </c>
      <c r="U1786" s="4">
        <f>IFERROR(__xludf.DUMMYFUNCTION("""COMPUTED_VALUE"""),0.2)</f>
        <v>0.2</v>
      </c>
      <c r="V1786" s="4">
        <f>IFERROR(__xludf.DUMMYFUNCTION("""COMPUTED_VALUE"""),8.3)</f>
        <v>8.3</v>
      </c>
    </row>
    <row r="1787">
      <c r="A1787" s="4">
        <f>IFERROR(__xludf.DUMMYFUNCTION("""COMPUTED_VALUE"""),12.0)</f>
        <v>12</v>
      </c>
      <c r="B1787" s="4">
        <f>IFERROR(__xludf.DUMMYFUNCTION("""COMPUTED_VALUE"""),12.0)</f>
        <v>12</v>
      </c>
      <c r="C1787" s="4" t="str">
        <f>IFERROR(__xludf.DUMMYFUNCTION("""COMPUTED_VALUE"""),"ORL")</f>
        <v>ORL</v>
      </c>
      <c r="D1787" s="4" t="str">
        <f>IFERROR(__xludf.DUMMYFUNCTION("""COMPUTED_VALUE"""),"Michael Doleac")</f>
        <v>Michael Doleac</v>
      </c>
      <c r="E1787" s="4" t="str">
        <f>IFERROR(__xludf.DUMMYFUNCTION("""COMPUTED_VALUE"""),"Utah")</f>
        <v>Utah</v>
      </c>
      <c r="F1787" s="4">
        <f>IFERROR(__xludf.DUMMYFUNCTION("""COMPUTED_VALUE"""),10.0)</f>
        <v>10</v>
      </c>
      <c r="G1787" s="4">
        <f>IFERROR(__xludf.DUMMYFUNCTION("""COMPUTED_VALUE"""),587.0)</f>
        <v>587</v>
      </c>
      <c r="H1787" s="4">
        <f>IFERROR(__xludf.DUMMYFUNCTION("""COMPUTED_VALUE"""),8789.0)</f>
        <v>8789</v>
      </c>
      <c r="I1787" s="4">
        <f>IFERROR(__xludf.DUMMYFUNCTION("""COMPUTED_VALUE"""),2882.0)</f>
        <v>2882</v>
      </c>
      <c r="J1787" s="4">
        <f>IFERROR(__xludf.DUMMYFUNCTION("""COMPUTED_VALUE"""),1955.0)</f>
        <v>1955</v>
      </c>
      <c r="K1787" s="4">
        <f>IFERROR(__xludf.DUMMYFUNCTION("""COMPUTED_VALUE"""),343.0)</f>
        <v>343</v>
      </c>
      <c r="L1787" s="4">
        <f>IFERROR(__xludf.DUMMYFUNCTION("""COMPUTED_VALUE"""),0.439)</f>
        <v>0.439</v>
      </c>
      <c r="M1787" s="4">
        <f>IFERROR(__xludf.DUMMYFUNCTION("""COMPUTED_VALUE"""),0.125)</f>
        <v>0.125</v>
      </c>
      <c r="N1787" s="4">
        <f>IFERROR(__xludf.DUMMYFUNCTION("""COMPUTED_VALUE"""),0.791)</f>
        <v>0.791</v>
      </c>
      <c r="O1787" s="4">
        <f>IFERROR(__xludf.DUMMYFUNCTION("""COMPUTED_VALUE"""),15.0)</f>
        <v>15</v>
      </c>
      <c r="P1787" s="4">
        <f>IFERROR(__xludf.DUMMYFUNCTION("""COMPUTED_VALUE"""),4.9)</f>
        <v>4.9</v>
      </c>
      <c r="Q1787" s="4">
        <f>IFERROR(__xludf.DUMMYFUNCTION("""COMPUTED_VALUE"""),3.3)</f>
        <v>3.3</v>
      </c>
      <c r="R1787" s="4">
        <f>IFERROR(__xludf.DUMMYFUNCTION("""COMPUTED_VALUE"""),0.6)</f>
        <v>0.6</v>
      </c>
      <c r="S1787" s="4">
        <f>IFERROR(__xludf.DUMMYFUNCTION("""COMPUTED_VALUE"""),12.7)</f>
        <v>12.7</v>
      </c>
      <c r="T1787" s="4">
        <f>IFERROR(__xludf.DUMMYFUNCTION("""COMPUTED_VALUE"""),0.07)</f>
        <v>0.07</v>
      </c>
      <c r="U1787" s="4">
        <f>IFERROR(__xludf.DUMMYFUNCTION("""COMPUTED_VALUE"""),-3.7)</f>
        <v>-3.7</v>
      </c>
      <c r="V1787" s="4">
        <f>IFERROR(__xludf.DUMMYFUNCTION("""COMPUTED_VALUE"""),-3.7)</f>
        <v>-3.7</v>
      </c>
    </row>
    <row r="1788">
      <c r="A1788" s="4">
        <f>IFERROR(__xludf.DUMMYFUNCTION("""COMPUTED_VALUE"""),13.0)</f>
        <v>13</v>
      </c>
      <c r="B1788" s="4">
        <f>IFERROR(__xludf.DUMMYFUNCTION("""COMPUTED_VALUE"""),13.0)</f>
        <v>13</v>
      </c>
      <c r="C1788" s="4" t="str">
        <f>IFERROR(__xludf.DUMMYFUNCTION("""COMPUTED_VALUE"""),"ORL")</f>
        <v>ORL</v>
      </c>
      <c r="D1788" s="4" t="str">
        <f>IFERROR(__xludf.DUMMYFUNCTION("""COMPUTED_VALUE"""),"Keon Clark")</f>
        <v>Keon Clark</v>
      </c>
      <c r="E1788" s="4" t="str">
        <f>IFERROR(__xludf.DUMMYFUNCTION("""COMPUTED_VALUE"""),"UNLV")</f>
        <v>UNLV</v>
      </c>
      <c r="F1788" s="4">
        <f>IFERROR(__xludf.DUMMYFUNCTION("""COMPUTED_VALUE"""),6.0)</f>
        <v>6</v>
      </c>
      <c r="G1788" s="4">
        <f>IFERROR(__xludf.DUMMYFUNCTION("""COMPUTED_VALUE"""),353.0)</f>
        <v>353</v>
      </c>
      <c r="H1788" s="4">
        <f>IFERROR(__xludf.DUMMYFUNCTION("""COMPUTED_VALUE"""),7971.0)</f>
        <v>7971</v>
      </c>
      <c r="I1788" s="4">
        <f>IFERROR(__xludf.DUMMYFUNCTION("""COMPUTED_VALUE"""),2882.0)</f>
        <v>2882</v>
      </c>
      <c r="J1788" s="4">
        <f>IFERROR(__xludf.DUMMYFUNCTION("""COMPUTED_VALUE"""),2096.0)</f>
        <v>2096</v>
      </c>
      <c r="K1788" s="4">
        <f>IFERROR(__xludf.DUMMYFUNCTION("""COMPUTED_VALUE"""),322.0)</f>
        <v>322</v>
      </c>
      <c r="L1788" s="4">
        <f>IFERROR(__xludf.DUMMYFUNCTION("""COMPUTED_VALUE"""),0.5)</f>
        <v>0.5</v>
      </c>
      <c r="M1788" s="4">
        <f>IFERROR(__xludf.DUMMYFUNCTION("""COMPUTED_VALUE"""),0.053)</f>
        <v>0.053</v>
      </c>
      <c r="N1788" s="4">
        <f>IFERROR(__xludf.DUMMYFUNCTION("""COMPUTED_VALUE"""),0.645)</f>
        <v>0.645</v>
      </c>
      <c r="O1788" s="4">
        <f>IFERROR(__xludf.DUMMYFUNCTION("""COMPUTED_VALUE"""),22.6)</f>
        <v>22.6</v>
      </c>
      <c r="P1788" s="4">
        <f>IFERROR(__xludf.DUMMYFUNCTION("""COMPUTED_VALUE"""),8.2)</f>
        <v>8.2</v>
      </c>
      <c r="Q1788" s="4">
        <f>IFERROR(__xludf.DUMMYFUNCTION("""COMPUTED_VALUE"""),5.9)</f>
        <v>5.9</v>
      </c>
      <c r="R1788" s="4">
        <f>IFERROR(__xludf.DUMMYFUNCTION("""COMPUTED_VALUE"""),0.9)</f>
        <v>0.9</v>
      </c>
      <c r="S1788" s="4">
        <f>IFERROR(__xludf.DUMMYFUNCTION("""COMPUTED_VALUE"""),18.2)</f>
        <v>18.2</v>
      </c>
      <c r="T1788" s="4">
        <f>IFERROR(__xludf.DUMMYFUNCTION("""COMPUTED_VALUE"""),0.11)</f>
        <v>0.11</v>
      </c>
      <c r="U1788" s="4">
        <f>IFERROR(__xludf.DUMMYFUNCTION("""COMPUTED_VALUE"""),-0.7)</f>
        <v>-0.7</v>
      </c>
      <c r="V1788" s="4">
        <f>IFERROR(__xludf.DUMMYFUNCTION("""COMPUTED_VALUE"""),2.6)</f>
        <v>2.6</v>
      </c>
    </row>
    <row r="1789">
      <c r="A1789" s="4">
        <f>IFERROR(__xludf.DUMMYFUNCTION("""COMPUTED_VALUE"""),14.0)</f>
        <v>14</v>
      </c>
      <c r="B1789" s="4">
        <f>IFERROR(__xludf.DUMMYFUNCTION("""COMPUTED_VALUE"""),14.0)</f>
        <v>14</v>
      </c>
      <c r="C1789" s="4" t="str">
        <f>IFERROR(__xludf.DUMMYFUNCTION("""COMPUTED_VALUE"""),"HOU")</f>
        <v>HOU</v>
      </c>
      <c r="D1789" s="4" t="str">
        <f>IFERROR(__xludf.DUMMYFUNCTION("""COMPUTED_VALUE"""),"Michael Dickerson")</f>
        <v>Michael Dickerson</v>
      </c>
      <c r="E1789" s="4" t="str">
        <f>IFERROR(__xludf.DUMMYFUNCTION("""COMPUTED_VALUE"""),"Arizona")</f>
        <v>Arizona</v>
      </c>
      <c r="F1789" s="4">
        <f>IFERROR(__xludf.DUMMYFUNCTION("""COMPUTED_VALUE"""),5.0)</f>
        <v>5</v>
      </c>
      <c r="G1789" s="4">
        <f>IFERROR(__xludf.DUMMYFUNCTION("""COMPUTED_VALUE"""),212.0)</f>
        <v>212</v>
      </c>
      <c r="H1789" s="4">
        <f>IFERROR(__xludf.DUMMYFUNCTION("""COMPUTED_VALUE"""),7490.0)</f>
        <v>7490</v>
      </c>
      <c r="I1789" s="4">
        <f>IFERROR(__xludf.DUMMYFUNCTION("""COMPUTED_VALUE"""),3257.0)</f>
        <v>3257</v>
      </c>
      <c r="J1789" s="4">
        <f>IFERROR(__xludf.DUMMYFUNCTION("""COMPUTED_VALUE"""),609.0)</f>
        <v>609</v>
      </c>
      <c r="K1789" s="4">
        <f>IFERROR(__xludf.DUMMYFUNCTION("""COMPUTED_VALUE"""),553.0)</f>
        <v>553</v>
      </c>
      <c r="L1789" s="4">
        <f>IFERROR(__xludf.DUMMYFUNCTION("""COMPUTED_VALUE"""),0.432)</f>
        <v>0.432</v>
      </c>
      <c r="M1789" s="4">
        <f>IFERROR(__xludf.DUMMYFUNCTION("""COMPUTED_VALUE"""),0.402)</f>
        <v>0.402</v>
      </c>
      <c r="N1789" s="4">
        <f>IFERROR(__xludf.DUMMYFUNCTION("""COMPUTED_VALUE"""),0.784)</f>
        <v>0.784</v>
      </c>
      <c r="O1789" s="4">
        <f>IFERROR(__xludf.DUMMYFUNCTION("""COMPUTED_VALUE"""),35.3)</f>
        <v>35.3</v>
      </c>
      <c r="P1789" s="4">
        <f>IFERROR(__xludf.DUMMYFUNCTION("""COMPUTED_VALUE"""),15.4)</f>
        <v>15.4</v>
      </c>
      <c r="Q1789" s="4">
        <f>IFERROR(__xludf.DUMMYFUNCTION("""COMPUTED_VALUE"""),2.9)</f>
        <v>2.9</v>
      </c>
      <c r="R1789" s="4">
        <f>IFERROR(__xludf.DUMMYFUNCTION("""COMPUTED_VALUE"""),2.6)</f>
        <v>2.6</v>
      </c>
      <c r="S1789" s="4">
        <f>IFERROR(__xludf.DUMMYFUNCTION("""COMPUTED_VALUE"""),9.6)</f>
        <v>9.6</v>
      </c>
      <c r="T1789" s="4">
        <f>IFERROR(__xludf.DUMMYFUNCTION("""COMPUTED_VALUE"""),0.061)</f>
        <v>0.061</v>
      </c>
      <c r="U1789" s="4">
        <f>IFERROR(__xludf.DUMMYFUNCTION("""COMPUTED_VALUE"""),-1.3)</f>
        <v>-1.3</v>
      </c>
      <c r="V1789" s="4">
        <f>IFERROR(__xludf.DUMMYFUNCTION("""COMPUTED_VALUE"""),1.3)</f>
        <v>1.3</v>
      </c>
    </row>
    <row r="1790">
      <c r="A1790" s="4">
        <f>IFERROR(__xludf.DUMMYFUNCTION("""COMPUTED_VALUE"""),15.0)</f>
        <v>15</v>
      </c>
      <c r="B1790" s="4">
        <f>IFERROR(__xludf.DUMMYFUNCTION("""COMPUTED_VALUE"""),15.0)</f>
        <v>15</v>
      </c>
      <c r="C1790" s="4" t="str">
        <f>IFERROR(__xludf.DUMMYFUNCTION("""COMPUTED_VALUE"""),"ORL")</f>
        <v>ORL</v>
      </c>
      <c r="D1790" s="4" t="str">
        <f>IFERROR(__xludf.DUMMYFUNCTION("""COMPUTED_VALUE"""),"Matt Harpring")</f>
        <v>Matt Harpring</v>
      </c>
      <c r="E1790" s="4" t="str">
        <f>IFERROR(__xludf.DUMMYFUNCTION("""COMPUTED_VALUE"""),"Georgia Tech")</f>
        <v>Georgia Tech</v>
      </c>
      <c r="F1790" s="4">
        <f>IFERROR(__xludf.DUMMYFUNCTION("""COMPUTED_VALUE"""),11.0)</f>
        <v>11</v>
      </c>
      <c r="G1790" s="4">
        <f>IFERROR(__xludf.DUMMYFUNCTION("""COMPUTED_VALUE"""),665.0)</f>
        <v>665</v>
      </c>
      <c r="H1790" s="4">
        <f>IFERROR(__xludf.DUMMYFUNCTION("""COMPUTED_VALUE"""),17584.0)</f>
        <v>17584</v>
      </c>
      <c r="I1790" s="4">
        <f>IFERROR(__xludf.DUMMYFUNCTION("""COMPUTED_VALUE"""),7645.0)</f>
        <v>7645</v>
      </c>
      <c r="J1790" s="4">
        <f>IFERROR(__xludf.DUMMYFUNCTION("""COMPUTED_VALUE"""),3366.0)</f>
        <v>3366</v>
      </c>
      <c r="K1790" s="4">
        <f>IFERROR(__xludf.DUMMYFUNCTION("""COMPUTED_VALUE"""),907.0)</f>
        <v>907</v>
      </c>
      <c r="L1790" s="4">
        <f>IFERROR(__xludf.DUMMYFUNCTION("""COMPUTED_VALUE"""),0.481)</f>
        <v>0.481</v>
      </c>
      <c r="M1790" s="4">
        <f>IFERROR(__xludf.DUMMYFUNCTION("""COMPUTED_VALUE"""),0.333)</f>
        <v>0.333</v>
      </c>
      <c r="N1790" s="4">
        <f>IFERROR(__xludf.DUMMYFUNCTION("""COMPUTED_VALUE"""),0.753)</f>
        <v>0.753</v>
      </c>
      <c r="O1790" s="4">
        <f>IFERROR(__xludf.DUMMYFUNCTION("""COMPUTED_VALUE"""),26.4)</f>
        <v>26.4</v>
      </c>
      <c r="P1790" s="4">
        <f>IFERROR(__xludf.DUMMYFUNCTION("""COMPUTED_VALUE"""),11.5)</f>
        <v>11.5</v>
      </c>
      <c r="Q1790" s="4">
        <f>IFERROR(__xludf.DUMMYFUNCTION("""COMPUTED_VALUE"""),5.1)</f>
        <v>5.1</v>
      </c>
      <c r="R1790" s="4">
        <f>IFERROR(__xludf.DUMMYFUNCTION("""COMPUTED_VALUE"""),1.4)</f>
        <v>1.4</v>
      </c>
      <c r="S1790" s="4">
        <f>IFERROR(__xludf.DUMMYFUNCTION("""COMPUTED_VALUE"""),41.9)</f>
        <v>41.9</v>
      </c>
      <c r="T1790" s="4">
        <f>IFERROR(__xludf.DUMMYFUNCTION("""COMPUTED_VALUE"""),0.114)</f>
        <v>0.114</v>
      </c>
      <c r="U1790" s="4">
        <f>IFERROR(__xludf.DUMMYFUNCTION("""COMPUTED_VALUE"""),-0.6)</f>
        <v>-0.6</v>
      </c>
      <c r="V1790" s="4">
        <f>IFERROR(__xludf.DUMMYFUNCTION("""COMPUTED_VALUE"""),6.2)</f>
        <v>6.2</v>
      </c>
    </row>
    <row r="1791">
      <c r="A1791" s="4">
        <f>IFERROR(__xludf.DUMMYFUNCTION("""COMPUTED_VALUE"""),16.0)</f>
        <v>16</v>
      </c>
      <c r="B1791" s="4">
        <f>IFERROR(__xludf.DUMMYFUNCTION("""COMPUTED_VALUE"""),16.0)</f>
        <v>16</v>
      </c>
      <c r="C1791" s="4" t="str">
        <f>IFERROR(__xludf.DUMMYFUNCTION("""COMPUTED_VALUE"""),"HOU")</f>
        <v>HOU</v>
      </c>
      <c r="D1791" s="4" t="str">
        <f>IFERROR(__xludf.DUMMYFUNCTION("""COMPUTED_VALUE"""),"Bryce Drew")</f>
        <v>Bryce Drew</v>
      </c>
      <c r="E1791" s="4" t="str">
        <f>IFERROR(__xludf.DUMMYFUNCTION("""COMPUTED_VALUE"""),"Valparaiso")</f>
        <v>Valparaiso</v>
      </c>
      <c r="F1791" s="4">
        <f>IFERROR(__xludf.DUMMYFUNCTION("""COMPUTED_VALUE"""),6.0)</f>
        <v>6</v>
      </c>
      <c r="G1791" s="4">
        <f>IFERROR(__xludf.DUMMYFUNCTION("""COMPUTED_VALUE"""),243.0)</f>
        <v>243</v>
      </c>
      <c r="H1791" s="4">
        <f>IFERROR(__xludf.DUMMYFUNCTION("""COMPUTED_VALUE"""),3970.0)</f>
        <v>3970</v>
      </c>
      <c r="I1791" s="4">
        <f>IFERROR(__xludf.DUMMYFUNCTION("""COMPUTED_VALUE"""),1081.0)</f>
        <v>1081</v>
      </c>
      <c r="J1791" s="4">
        <f>IFERROR(__xludf.DUMMYFUNCTION("""COMPUTED_VALUE"""),295.0)</f>
        <v>295</v>
      </c>
      <c r="K1791" s="4">
        <f>IFERROR(__xludf.DUMMYFUNCTION("""COMPUTED_VALUE"""),524.0)</f>
        <v>524</v>
      </c>
      <c r="L1791" s="4">
        <f>IFERROR(__xludf.DUMMYFUNCTION("""COMPUTED_VALUE"""),0.382)</f>
        <v>0.382</v>
      </c>
      <c r="M1791" s="4">
        <f>IFERROR(__xludf.DUMMYFUNCTION("""COMPUTED_VALUE"""),0.371)</f>
        <v>0.371</v>
      </c>
      <c r="N1791" s="4">
        <f>IFERROR(__xludf.DUMMYFUNCTION("""COMPUTED_VALUE"""),0.83)</f>
        <v>0.83</v>
      </c>
      <c r="O1791" s="4">
        <f>IFERROR(__xludf.DUMMYFUNCTION("""COMPUTED_VALUE"""),16.3)</f>
        <v>16.3</v>
      </c>
      <c r="P1791" s="4">
        <f>IFERROR(__xludf.DUMMYFUNCTION("""COMPUTED_VALUE"""),4.4)</f>
        <v>4.4</v>
      </c>
      <c r="Q1791" s="4">
        <f>IFERROR(__xludf.DUMMYFUNCTION("""COMPUTED_VALUE"""),1.2)</f>
        <v>1.2</v>
      </c>
      <c r="R1791" s="4">
        <f>IFERROR(__xludf.DUMMYFUNCTION("""COMPUTED_VALUE"""),2.2)</f>
        <v>2.2</v>
      </c>
      <c r="S1791" s="4">
        <f>IFERROR(__xludf.DUMMYFUNCTION("""COMPUTED_VALUE"""),2.4)</f>
        <v>2.4</v>
      </c>
      <c r="T1791" s="4">
        <f>IFERROR(__xludf.DUMMYFUNCTION("""COMPUTED_VALUE"""),0.03)</f>
        <v>0.03</v>
      </c>
      <c r="U1791" s="4">
        <f>IFERROR(__xludf.DUMMYFUNCTION("""COMPUTED_VALUE"""),-3.1)</f>
        <v>-3.1</v>
      </c>
      <c r="V1791" s="4">
        <f>IFERROR(__xludf.DUMMYFUNCTION("""COMPUTED_VALUE"""),-1.1)</f>
        <v>-1.1</v>
      </c>
    </row>
    <row r="1792">
      <c r="A1792" s="4">
        <f>IFERROR(__xludf.DUMMYFUNCTION("""COMPUTED_VALUE"""),17.0)</f>
        <v>17</v>
      </c>
      <c r="B1792" s="4">
        <f>IFERROR(__xludf.DUMMYFUNCTION("""COMPUTED_VALUE"""),17.0)</f>
        <v>17</v>
      </c>
      <c r="C1792" s="4" t="str">
        <f>IFERROR(__xludf.DUMMYFUNCTION("""COMPUTED_VALUE"""),"MIN")</f>
        <v>MIN</v>
      </c>
      <c r="D1792" s="4" t="str">
        <f>IFERROR(__xludf.DUMMYFUNCTION("""COMPUTED_VALUE"""),"Rasho Nesterović")</f>
        <v>Rasho Nesterović</v>
      </c>
      <c r="E1792" s="4"/>
      <c r="F1792" s="4">
        <f>IFERROR(__xludf.DUMMYFUNCTION("""COMPUTED_VALUE"""),12.0)</f>
        <v>12</v>
      </c>
      <c r="G1792" s="4">
        <f>IFERROR(__xludf.DUMMYFUNCTION("""COMPUTED_VALUE"""),811.0)</f>
        <v>811</v>
      </c>
      <c r="H1792" s="4">
        <f>IFERROR(__xludf.DUMMYFUNCTION("""COMPUTED_VALUE"""),17983.0)</f>
        <v>17983</v>
      </c>
      <c r="I1792" s="4">
        <f>IFERROR(__xludf.DUMMYFUNCTION("""COMPUTED_VALUE"""),5519.0)</f>
        <v>5519</v>
      </c>
      <c r="J1792" s="4">
        <f>IFERROR(__xludf.DUMMYFUNCTION("""COMPUTED_VALUE"""),4143.0)</f>
        <v>4143</v>
      </c>
      <c r="K1792" s="4">
        <f>IFERROR(__xludf.DUMMYFUNCTION("""COMPUTED_VALUE"""),836.0)</f>
        <v>836</v>
      </c>
      <c r="L1792" s="4">
        <f>IFERROR(__xludf.DUMMYFUNCTION("""COMPUTED_VALUE"""),0.502)</f>
        <v>0.502</v>
      </c>
      <c r="M1792" s="4">
        <f>IFERROR(__xludf.DUMMYFUNCTION("""COMPUTED_VALUE"""),0.077)</f>
        <v>0.077</v>
      </c>
      <c r="N1792" s="4">
        <f>IFERROR(__xludf.DUMMYFUNCTION("""COMPUTED_VALUE"""),0.585)</f>
        <v>0.585</v>
      </c>
      <c r="O1792" s="4">
        <f>IFERROR(__xludf.DUMMYFUNCTION("""COMPUTED_VALUE"""),22.2)</f>
        <v>22.2</v>
      </c>
      <c r="P1792" s="4">
        <f>IFERROR(__xludf.DUMMYFUNCTION("""COMPUTED_VALUE"""),6.8)</f>
        <v>6.8</v>
      </c>
      <c r="Q1792" s="4">
        <f>IFERROR(__xludf.DUMMYFUNCTION("""COMPUTED_VALUE"""),5.1)</f>
        <v>5.1</v>
      </c>
      <c r="R1792" s="4">
        <f>IFERROR(__xludf.DUMMYFUNCTION("""COMPUTED_VALUE"""),1.0)</f>
        <v>1</v>
      </c>
      <c r="S1792" s="4">
        <f>IFERROR(__xludf.DUMMYFUNCTION("""COMPUTED_VALUE"""),39.9)</f>
        <v>39.9</v>
      </c>
      <c r="T1792" s="4">
        <f>IFERROR(__xludf.DUMMYFUNCTION("""COMPUTED_VALUE"""),0.107)</f>
        <v>0.107</v>
      </c>
      <c r="U1792" s="4">
        <f>IFERROR(__xludf.DUMMYFUNCTION("""COMPUTED_VALUE"""),-0.9)</f>
        <v>-0.9</v>
      </c>
      <c r="V1792" s="4">
        <f>IFERROR(__xludf.DUMMYFUNCTION("""COMPUTED_VALUE"""),5.0)</f>
        <v>5</v>
      </c>
    </row>
    <row r="1793">
      <c r="A1793" s="4">
        <f>IFERROR(__xludf.DUMMYFUNCTION("""COMPUTED_VALUE"""),18.0)</f>
        <v>18</v>
      </c>
      <c r="B1793" s="4">
        <f>IFERROR(__xludf.DUMMYFUNCTION("""COMPUTED_VALUE"""),18.0)</f>
        <v>18</v>
      </c>
      <c r="C1793" s="4" t="str">
        <f>IFERROR(__xludf.DUMMYFUNCTION("""COMPUTED_VALUE"""),"HOU")</f>
        <v>HOU</v>
      </c>
      <c r="D1793" s="4" t="str">
        <f>IFERROR(__xludf.DUMMYFUNCTION("""COMPUTED_VALUE"""),"Mirsad Türkcan")</f>
        <v>Mirsad Türkcan</v>
      </c>
      <c r="E1793" s="4"/>
      <c r="F1793" s="4">
        <f>IFERROR(__xludf.DUMMYFUNCTION("""COMPUTED_VALUE"""),1.0)</f>
        <v>1</v>
      </c>
      <c r="G1793" s="4">
        <f>IFERROR(__xludf.DUMMYFUNCTION("""COMPUTED_VALUE"""),17.0)</f>
        <v>17</v>
      </c>
      <c r="H1793" s="4">
        <f>IFERROR(__xludf.DUMMYFUNCTION("""COMPUTED_VALUE"""),90.0)</f>
        <v>90</v>
      </c>
      <c r="I1793" s="4">
        <f>IFERROR(__xludf.DUMMYFUNCTION("""COMPUTED_VALUE"""),33.0)</f>
        <v>33</v>
      </c>
      <c r="J1793" s="4">
        <f>IFERROR(__xludf.DUMMYFUNCTION("""COMPUTED_VALUE"""),33.0)</f>
        <v>33</v>
      </c>
      <c r="K1793" s="4">
        <f>IFERROR(__xludf.DUMMYFUNCTION("""COMPUTED_VALUE"""),5.0)</f>
        <v>5</v>
      </c>
      <c r="L1793" s="4">
        <f>IFERROR(__xludf.DUMMYFUNCTION("""COMPUTED_VALUE"""),0.368)</f>
        <v>0.368</v>
      </c>
      <c r="M1793" s="4">
        <f>IFERROR(__xludf.DUMMYFUNCTION("""COMPUTED_VALUE"""),0.0)</f>
        <v>0</v>
      </c>
      <c r="N1793" s="4">
        <f>IFERROR(__xludf.DUMMYFUNCTION("""COMPUTED_VALUE"""),0.625)</f>
        <v>0.625</v>
      </c>
      <c r="O1793" s="4">
        <f>IFERROR(__xludf.DUMMYFUNCTION("""COMPUTED_VALUE"""),5.3)</f>
        <v>5.3</v>
      </c>
      <c r="P1793" s="4">
        <f>IFERROR(__xludf.DUMMYFUNCTION("""COMPUTED_VALUE"""),1.9)</f>
        <v>1.9</v>
      </c>
      <c r="Q1793" s="4">
        <f>IFERROR(__xludf.DUMMYFUNCTION("""COMPUTED_VALUE"""),1.9)</f>
        <v>1.9</v>
      </c>
      <c r="R1793" s="4">
        <f>IFERROR(__xludf.DUMMYFUNCTION("""COMPUTED_VALUE"""),0.3)</f>
        <v>0.3</v>
      </c>
      <c r="S1793" s="4">
        <f>IFERROR(__xludf.DUMMYFUNCTION("""COMPUTED_VALUE"""),0.0)</f>
        <v>0</v>
      </c>
      <c r="T1793" s="4">
        <f>IFERROR(__xludf.DUMMYFUNCTION("""COMPUTED_VALUE"""),-0.019)</f>
        <v>-0.019</v>
      </c>
      <c r="U1793" s="4">
        <f>IFERROR(__xludf.DUMMYFUNCTION("""COMPUTED_VALUE"""),-6.3)</f>
        <v>-6.3</v>
      </c>
      <c r="V1793" s="4">
        <f>IFERROR(__xludf.DUMMYFUNCTION("""COMPUTED_VALUE"""),-0.1)</f>
        <v>-0.1</v>
      </c>
    </row>
    <row r="1794">
      <c r="A1794" s="4">
        <f>IFERROR(__xludf.DUMMYFUNCTION("""COMPUTED_VALUE"""),19.0)</f>
        <v>19</v>
      </c>
      <c r="B1794" s="4">
        <f>IFERROR(__xludf.DUMMYFUNCTION("""COMPUTED_VALUE"""),19.0)</f>
        <v>19</v>
      </c>
      <c r="C1794" s="4" t="str">
        <f>IFERROR(__xludf.DUMMYFUNCTION("""COMPUTED_VALUE"""),"MIL")</f>
        <v>MIL</v>
      </c>
      <c r="D1794" s="4" t="str">
        <f>IFERROR(__xludf.DUMMYFUNCTION("""COMPUTED_VALUE"""),"Pat Garrity")</f>
        <v>Pat Garrity</v>
      </c>
      <c r="E1794" s="4" t="str">
        <f>IFERROR(__xludf.DUMMYFUNCTION("""COMPUTED_VALUE"""),"Notre Dame")</f>
        <v>Notre Dame</v>
      </c>
      <c r="F1794" s="4">
        <f>IFERROR(__xludf.DUMMYFUNCTION("""COMPUTED_VALUE"""),10.0)</f>
        <v>10</v>
      </c>
      <c r="G1794" s="4">
        <f>IFERROR(__xludf.DUMMYFUNCTION("""COMPUTED_VALUE"""),552.0)</f>
        <v>552</v>
      </c>
      <c r="H1794" s="4">
        <f>IFERROR(__xludf.DUMMYFUNCTION("""COMPUTED_VALUE"""),11062.0)</f>
        <v>11062</v>
      </c>
      <c r="I1794" s="4">
        <f>IFERROR(__xludf.DUMMYFUNCTION("""COMPUTED_VALUE"""),4017.0)</f>
        <v>4017</v>
      </c>
      <c r="J1794" s="4">
        <f>IFERROR(__xludf.DUMMYFUNCTION("""COMPUTED_VALUE"""),1457.0)</f>
        <v>1457</v>
      </c>
      <c r="K1794" s="4">
        <f>IFERROR(__xludf.DUMMYFUNCTION("""COMPUTED_VALUE"""),443.0)</f>
        <v>443</v>
      </c>
      <c r="L1794" s="4">
        <f>IFERROR(__xludf.DUMMYFUNCTION("""COMPUTED_VALUE"""),0.417)</f>
        <v>0.417</v>
      </c>
      <c r="M1794" s="4">
        <f>IFERROR(__xludf.DUMMYFUNCTION("""COMPUTED_VALUE"""),0.398)</f>
        <v>0.398</v>
      </c>
      <c r="N1794" s="4">
        <f>IFERROR(__xludf.DUMMYFUNCTION("""COMPUTED_VALUE"""),0.806)</f>
        <v>0.806</v>
      </c>
      <c r="O1794" s="4">
        <f>IFERROR(__xludf.DUMMYFUNCTION("""COMPUTED_VALUE"""),20.0)</f>
        <v>20</v>
      </c>
      <c r="P1794" s="4">
        <f>IFERROR(__xludf.DUMMYFUNCTION("""COMPUTED_VALUE"""),7.3)</f>
        <v>7.3</v>
      </c>
      <c r="Q1794" s="4">
        <f>IFERROR(__xludf.DUMMYFUNCTION("""COMPUTED_VALUE"""),2.6)</f>
        <v>2.6</v>
      </c>
      <c r="R1794" s="4">
        <f>IFERROR(__xludf.DUMMYFUNCTION("""COMPUTED_VALUE"""),0.8)</f>
        <v>0.8</v>
      </c>
      <c r="S1794" s="4">
        <f>IFERROR(__xludf.DUMMYFUNCTION("""COMPUTED_VALUE"""),18.7)</f>
        <v>18.7</v>
      </c>
      <c r="T1794" s="4">
        <f>IFERROR(__xludf.DUMMYFUNCTION("""COMPUTED_VALUE"""),0.081)</f>
        <v>0.081</v>
      </c>
      <c r="U1794" s="4">
        <f>IFERROR(__xludf.DUMMYFUNCTION("""COMPUTED_VALUE"""),-1.8)</f>
        <v>-1.8</v>
      </c>
      <c r="V1794" s="4">
        <f>IFERROR(__xludf.DUMMYFUNCTION("""COMPUTED_VALUE"""),0.5)</f>
        <v>0.5</v>
      </c>
    </row>
    <row r="1795">
      <c r="A1795" s="4">
        <f>IFERROR(__xludf.DUMMYFUNCTION("""COMPUTED_VALUE"""),20.0)</f>
        <v>20</v>
      </c>
      <c r="B1795" s="4">
        <f>IFERROR(__xludf.DUMMYFUNCTION("""COMPUTED_VALUE"""),20.0)</f>
        <v>20</v>
      </c>
      <c r="C1795" s="4" t="str">
        <f>IFERROR(__xludf.DUMMYFUNCTION("""COMPUTED_VALUE"""),"ATL")</f>
        <v>ATL</v>
      </c>
      <c r="D1795" s="4" t="str">
        <f>IFERROR(__xludf.DUMMYFUNCTION("""COMPUTED_VALUE"""),"Roshown McLeod")</f>
        <v>Roshown McLeod</v>
      </c>
      <c r="E1795" s="4" t="str">
        <f>IFERROR(__xludf.DUMMYFUNCTION("""COMPUTED_VALUE"""),"Duke")</f>
        <v>Duke</v>
      </c>
      <c r="F1795" s="4">
        <f>IFERROR(__xludf.DUMMYFUNCTION("""COMPUTED_VALUE"""),3.0)</f>
        <v>3</v>
      </c>
      <c r="G1795" s="4">
        <f>IFERROR(__xludf.DUMMYFUNCTION("""COMPUTED_VALUE"""),113.0)</f>
        <v>113</v>
      </c>
      <c r="H1795" s="4">
        <f>IFERROR(__xludf.DUMMYFUNCTION("""COMPUTED_VALUE"""),2130.0)</f>
        <v>2130</v>
      </c>
      <c r="I1795" s="4">
        <f>IFERROR(__xludf.DUMMYFUNCTION("""COMPUTED_VALUE"""),817.0)</f>
        <v>817</v>
      </c>
      <c r="J1795" s="4">
        <f>IFERROR(__xludf.DUMMYFUNCTION("""COMPUTED_VALUE"""),308.0)</f>
        <v>308</v>
      </c>
      <c r="K1795" s="4">
        <f>IFERROR(__xludf.DUMMYFUNCTION("""COMPUTED_VALUE"""),124.0)</f>
        <v>124</v>
      </c>
      <c r="L1795" s="4">
        <f>IFERROR(__xludf.DUMMYFUNCTION("""COMPUTED_VALUE"""),0.409)</f>
        <v>0.409</v>
      </c>
      <c r="M1795" s="4">
        <f>IFERROR(__xludf.DUMMYFUNCTION("""COMPUTED_VALUE"""),0.111)</f>
        <v>0.111</v>
      </c>
      <c r="N1795" s="4">
        <f>IFERROR(__xludf.DUMMYFUNCTION("""COMPUTED_VALUE"""),0.819)</f>
        <v>0.819</v>
      </c>
      <c r="O1795" s="4">
        <f>IFERROR(__xludf.DUMMYFUNCTION("""COMPUTED_VALUE"""),18.8)</f>
        <v>18.8</v>
      </c>
      <c r="P1795" s="4">
        <f>IFERROR(__xludf.DUMMYFUNCTION("""COMPUTED_VALUE"""),7.2)</f>
        <v>7.2</v>
      </c>
      <c r="Q1795" s="4">
        <f>IFERROR(__xludf.DUMMYFUNCTION("""COMPUTED_VALUE"""),2.7)</f>
        <v>2.7</v>
      </c>
      <c r="R1795" s="4">
        <f>IFERROR(__xludf.DUMMYFUNCTION("""COMPUTED_VALUE"""),1.1)</f>
        <v>1.1</v>
      </c>
      <c r="S1795" s="4">
        <f>IFERROR(__xludf.DUMMYFUNCTION("""COMPUTED_VALUE"""),0.2)</f>
        <v>0.2</v>
      </c>
      <c r="T1795" s="4">
        <f>IFERROR(__xludf.DUMMYFUNCTION("""COMPUTED_VALUE"""),0.004)</f>
        <v>0.004</v>
      </c>
      <c r="U1795" s="4">
        <f>IFERROR(__xludf.DUMMYFUNCTION("""COMPUTED_VALUE"""),-4.4)</f>
        <v>-4.4</v>
      </c>
      <c r="V1795" s="4">
        <f>IFERROR(__xludf.DUMMYFUNCTION("""COMPUTED_VALUE"""),-1.3)</f>
        <v>-1.3</v>
      </c>
    </row>
    <row r="1796">
      <c r="A1796" s="4">
        <f>IFERROR(__xludf.DUMMYFUNCTION("""COMPUTED_VALUE"""),21.0)</f>
        <v>21</v>
      </c>
      <c r="B1796" s="4">
        <f>IFERROR(__xludf.DUMMYFUNCTION("""COMPUTED_VALUE"""),21.0)</f>
        <v>21</v>
      </c>
      <c r="C1796" s="4" t="str">
        <f>IFERROR(__xludf.DUMMYFUNCTION("""COMPUTED_VALUE"""),"CHH")</f>
        <v>CHH</v>
      </c>
      <c r="D1796" s="4" t="str">
        <f>IFERROR(__xludf.DUMMYFUNCTION("""COMPUTED_VALUE"""),"Ricky Davis")</f>
        <v>Ricky Davis</v>
      </c>
      <c r="E1796" s="4" t="str">
        <f>IFERROR(__xludf.DUMMYFUNCTION("""COMPUTED_VALUE"""),"Iowa")</f>
        <v>Iowa</v>
      </c>
      <c r="F1796" s="4">
        <f>IFERROR(__xludf.DUMMYFUNCTION("""COMPUTED_VALUE"""),12.0)</f>
        <v>12</v>
      </c>
      <c r="G1796" s="4">
        <f>IFERROR(__xludf.DUMMYFUNCTION("""COMPUTED_VALUE"""),736.0)</f>
        <v>736</v>
      </c>
      <c r="H1796" s="4">
        <f>IFERROR(__xludf.DUMMYFUNCTION("""COMPUTED_VALUE"""),21927.0)</f>
        <v>21927</v>
      </c>
      <c r="I1796" s="4">
        <f>IFERROR(__xludf.DUMMYFUNCTION("""COMPUTED_VALUE"""),9912.0)</f>
        <v>9912</v>
      </c>
      <c r="J1796" s="4">
        <f>IFERROR(__xludf.DUMMYFUNCTION("""COMPUTED_VALUE"""),2550.0)</f>
        <v>2550</v>
      </c>
      <c r="K1796" s="4">
        <f>IFERROR(__xludf.DUMMYFUNCTION("""COMPUTED_VALUE"""),2426.0)</f>
        <v>2426</v>
      </c>
      <c r="L1796" s="4">
        <f>IFERROR(__xludf.DUMMYFUNCTION("""COMPUTED_VALUE"""),0.446)</f>
        <v>0.446</v>
      </c>
      <c r="M1796" s="4">
        <f>IFERROR(__xludf.DUMMYFUNCTION("""COMPUTED_VALUE"""),0.361)</f>
        <v>0.361</v>
      </c>
      <c r="N1796" s="4">
        <f>IFERROR(__xludf.DUMMYFUNCTION("""COMPUTED_VALUE"""),0.781)</f>
        <v>0.781</v>
      </c>
      <c r="O1796" s="4">
        <f>IFERROR(__xludf.DUMMYFUNCTION("""COMPUTED_VALUE"""),29.8)</f>
        <v>29.8</v>
      </c>
      <c r="P1796" s="4">
        <f>IFERROR(__xludf.DUMMYFUNCTION("""COMPUTED_VALUE"""),13.5)</f>
        <v>13.5</v>
      </c>
      <c r="Q1796" s="4">
        <f>IFERROR(__xludf.DUMMYFUNCTION("""COMPUTED_VALUE"""),3.5)</f>
        <v>3.5</v>
      </c>
      <c r="R1796" s="4">
        <f>IFERROR(__xludf.DUMMYFUNCTION("""COMPUTED_VALUE"""),3.3)</f>
        <v>3.3</v>
      </c>
      <c r="S1796" s="4">
        <f>IFERROR(__xludf.DUMMYFUNCTION("""COMPUTED_VALUE"""),28.0)</f>
        <v>28</v>
      </c>
      <c r="T1796" s="4">
        <f>IFERROR(__xludf.DUMMYFUNCTION("""COMPUTED_VALUE"""),0.061)</f>
        <v>0.061</v>
      </c>
      <c r="U1796" s="4">
        <f>IFERROR(__xludf.DUMMYFUNCTION("""COMPUTED_VALUE"""),-0.8)</f>
        <v>-0.8</v>
      </c>
      <c r="V1796" s="4">
        <f>IFERROR(__xludf.DUMMYFUNCTION("""COMPUTED_VALUE"""),6.3)</f>
        <v>6.3</v>
      </c>
    </row>
    <row r="1797">
      <c r="A1797" s="4">
        <f>IFERROR(__xludf.DUMMYFUNCTION("""COMPUTED_VALUE"""),22.0)</f>
        <v>22</v>
      </c>
      <c r="B1797" s="4">
        <f>IFERROR(__xludf.DUMMYFUNCTION("""COMPUTED_VALUE"""),22.0)</f>
        <v>22</v>
      </c>
      <c r="C1797" s="4" t="str">
        <f>IFERROR(__xludf.DUMMYFUNCTION("""COMPUTED_VALUE"""),"LAC")</f>
        <v>LAC</v>
      </c>
      <c r="D1797" s="4" t="str">
        <f>IFERROR(__xludf.DUMMYFUNCTION("""COMPUTED_VALUE"""),"Brian Skinner")</f>
        <v>Brian Skinner</v>
      </c>
      <c r="E1797" s="4" t="str">
        <f>IFERROR(__xludf.DUMMYFUNCTION("""COMPUTED_VALUE"""),"Baylor")</f>
        <v>Baylor</v>
      </c>
      <c r="F1797" s="4">
        <f>IFERROR(__xludf.DUMMYFUNCTION("""COMPUTED_VALUE"""),14.0)</f>
        <v>14</v>
      </c>
      <c r="G1797" s="4">
        <f>IFERROR(__xludf.DUMMYFUNCTION("""COMPUTED_VALUE"""),608.0)</f>
        <v>608</v>
      </c>
      <c r="H1797" s="4">
        <f>IFERROR(__xludf.DUMMYFUNCTION("""COMPUTED_VALUE"""),10910.0)</f>
        <v>10910</v>
      </c>
      <c r="I1797" s="4">
        <f>IFERROR(__xludf.DUMMYFUNCTION("""COMPUTED_VALUE"""),2876.0)</f>
        <v>2876</v>
      </c>
      <c r="J1797" s="4">
        <f>IFERROR(__xludf.DUMMYFUNCTION("""COMPUTED_VALUE"""),2841.0)</f>
        <v>2841</v>
      </c>
      <c r="K1797" s="4">
        <f>IFERROR(__xludf.DUMMYFUNCTION("""COMPUTED_VALUE"""),288.0)</f>
        <v>288</v>
      </c>
      <c r="L1797" s="4">
        <f>IFERROR(__xludf.DUMMYFUNCTION("""COMPUTED_VALUE"""),0.494)</f>
        <v>0.494</v>
      </c>
      <c r="M1797" s="4">
        <f>IFERROR(__xludf.DUMMYFUNCTION("""COMPUTED_VALUE"""),0.333)</f>
        <v>0.333</v>
      </c>
      <c r="N1797" s="4">
        <f>IFERROR(__xludf.DUMMYFUNCTION("""COMPUTED_VALUE"""),0.566)</f>
        <v>0.566</v>
      </c>
      <c r="O1797" s="4">
        <f>IFERROR(__xludf.DUMMYFUNCTION("""COMPUTED_VALUE"""),17.9)</f>
        <v>17.9</v>
      </c>
      <c r="P1797" s="4">
        <f>IFERROR(__xludf.DUMMYFUNCTION("""COMPUTED_VALUE"""),4.7)</f>
        <v>4.7</v>
      </c>
      <c r="Q1797" s="4">
        <f>IFERROR(__xludf.DUMMYFUNCTION("""COMPUTED_VALUE"""),4.7)</f>
        <v>4.7</v>
      </c>
      <c r="R1797" s="4">
        <f>IFERROR(__xludf.DUMMYFUNCTION("""COMPUTED_VALUE"""),0.5)</f>
        <v>0.5</v>
      </c>
      <c r="S1797" s="4">
        <f>IFERROR(__xludf.DUMMYFUNCTION("""COMPUTED_VALUE"""),15.8)</f>
        <v>15.8</v>
      </c>
      <c r="T1797" s="4">
        <f>IFERROR(__xludf.DUMMYFUNCTION("""COMPUTED_VALUE"""),0.07)</f>
        <v>0.07</v>
      </c>
      <c r="U1797" s="4">
        <f>IFERROR(__xludf.DUMMYFUNCTION("""COMPUTED_VALUE"""),-2.5)</f>
        <v>-2.5</v>
      </c>
      <c r="V1797" s="4">
        <f>IFERROR(__xludf.DUMMYFUNCTION("""COMPUTED_VALUE"""),-1.5)</f>
        <v>-1.5</v>
      </c>
    </row>
    <row r="1798">
      <c r="A1798" s="4">
        <f>IFERROR(__xludf.DUMMYFUNCTION("""COMPUTED_VALUE"""),23.0)</f>
        <v>23</v>
      </c>
      <c r="B1798" s="4">
        <f>IFERROR(__xludf.DUMMYFUNCTION("""COMPUTED_VALUE"""),23.0)</f>
        <v>23</v>
      </c>
      <c r="C1798" s="4" t="str">
        <f>IFERROR(__xludf.DUMMYFUNCTION("""COMPUTED_VALUE"""),"DEN")</f>
        <v>DEN</v>
      </c>
      <c r="D1798" s="4" t="str">
        <f>IFERROR(__xludf.DUMMYFUNCTION("""COMPUTED_VALUE"""),"Tyronn Lue")</f>
        <v>Tyronn Lue</v>
      </c>
      <c r="E1798" s="4" t="str">
        <f>IFERROR(__xludf.DUMMYFUNCTION("""COMPUTED_VALUE"""),"Nebraska")</f>
        <v>Nebraska</v>
      </c>
      <c r="F1798" s="4">
        <f>IFERROR(__xludf.DUMMYFUNCTION("""COMPUTED_VALUE"""),11.0)</f>
        <v>11</v>
      </c>
      <c r="G1798" s="4">
        <f>IFERROR(__xludf.DUMMYFUNCTION("""COMPUTED_VALUE"""),554.0)</f>
        <v>554</v>
      </c>
      <c r="H1798" s="4">
        <f>IFERROR(__xludf.DUMMYFUNCTION("""COMPUTED_VALUE"""),12564.0)</f>
        <v>12564</v>
      </c>
      <c r="I1798" s="4">
        <f>IFERROR(__xludf.DUMMYFUNCTION("""COMPUTED_VALUE"""),4710.0)</f>
        <v>4710</v>
      </c>
      <c r="J1798" s="4">
        <f>IFERROR(__xludf.DUMMYFUNCTION("""COMPUTED_VALUE"""),943.0)</f>
        <v>943</v>
      </c>
      <c r="K1798" s="4">
        <f>IFERROR(__xludf.DUMMYFUNCTION("""COMPUTED_VALUE"""),1727.0)</f>
        <v>1727</v>
      </c>
      <c r="L1798" s="4">
        <f>IFERROR(__xludf.DUMMYFUNCTION("""COMPUTED_VALUE"""),0.437)</f>
        <v>0.437</v>
      </c>
      <c r="M1798" s="4">
        <f>IFERROR(__xludf.DUMMYFUNCTION("""COMPUTED_VALUE"""),0.391)</f>
        <v>0.391</v>
      </c>
      <c r="N1798" s="4">
        <f>IFERROR(__xludf.DUMMYFUNCTION("""COMPUTED_VALUE"""),0.829)</f>
        <v>0.829</v>
      </c>
      <c r="O1798" s="4">
        <f>IFERROR(__xludf.DUMMYFUNCTION("""COMPUTED_VALUE"""),22.7)</f>
        <v>22.7</v>
      </c>
      <c r="P1798" s="4">
        <f>IFERROR(__xludf.DUMMYFUNCTION("""COMPUTED_VALUE"""),8.5)</f>
        <v>8.5</v>
      </c>
      <c r="Q1798" s="4">
        <f>IFERROR(__xludf.DUMMYFUNCTION("""COMPUTED_VALUE"""),1.7)</f>
        <v>1.7</v>
      </c>
      <c r="R1798" s="4">
        <f>IFERROR(__xludf.DUMMYFUNCTION("""COMPUTED_VALUE"""),3.1)</f>
        <v>3.1</v>
      </c>
      <c r="S1798" s="4">
        <f>IFERROR(__xludf.DUMMYFUNCTION("""COMPUTED_VALUE"""),19.7)</f>
        <v>19.7</v>
      </c>
      <c r="T1798" s="4">
        <f>IFERROR(__xludf.DUMMYFUNCTION("""COMPUTED_VALUE"""),0.075)</f>
        <v>0.075</v>
      </c>
      <c r="U1798" s="4">
        <f>IFERROR(__xludf.DUMMYFUNCTION("""COMPUTED_VALUE"""),-1.8)</f>
        <v>-1.8</v>
      </c>
      <c r="V1798" s="4">
        <f>IFERROR(__xludf.DUMMYFUNCTION("""COMPUTED_VALUE"""),0.6)</f>
        <v>0.6</v>
      </c>
    </row>
    <row r="1799">
      <c r="A1799" s="4">
        <f>IFERROR(__xludf.DUMMYFUNCTION("""COMPUTED_VALUE"""),24.0)</f>
        <v>24</v>
      </c>
      <c r="B1799" s="4">
        <f>IFERROR(__xludf.DUMMYFUNCTION("""COMPUTED_VALUE"""),24.0)</f>
        <v>24</v>
      </c>
      <c r="C1799" s="4" t="str">
        <f>IFERROR(__xludf.DUMMYFUNCTION("""COMPUTED_VALUE"""),"SAS")</f>
        <v>SAS</v>
      </c>
      <c r="D1799" s="4" t="str">
        <f>IFERROR(__xludf.DUMMYFUNCTION("""COMPUTED_VALUE"""),"Felipe López")</f>
        <v>Felipe López</v>
      </c>
      <c r="E1799" s="4" t="str">
        <f>IFERROR(__xludf.DUMMYFUNCTION("""COMPUTED_VALUE"""),"St. John's")</f>
        <v>St. John's</v>
      </c>
      <c r="F1799" s="4">
        <f>IFERROR(__xludf.DUMMYFUNCTION("""COMPUTED_VALUE"""),4.0)</f>
        <v>4</v>
      </c>
      <c r="G1799" s="4">
        <f>IFERROR(__xludf.DUMMYFUNCTION("""COMPUTED_VALUE"""),249.0)</f>
        <v>249</v>
      </c>
      <c r="H1799" s="4">
        <f>IFERROR(__xludf.DUMMYFUNCTION("""COMPUTED_VALUE"""),4145.0)</f>
        <v>4145</v>
      </c>
      <c r="I1799" s="4">
        <f>IFERROR(__xludf.DUMMYFUNCTION("""COMPUTED_VALUE"""),1448.0)</f>
        <v>1448</v>
      </c>
      <c r="J1799" s="4">
        <f>IFERROR(__xludf.DUMMYFUNCTION("""COMPUTED_VALUE"""),604.0)</f>
        <v>604</v>
      </c>
      <c r="K1799" s="4">
        <f>IFERROR(__xludf.DUMMYFUNCTION("""COMPUTED_VALUE"""),252.0)</f>
        <v>252</v>
      </c>
      <c r="L1799" s="4">
        <f>IFERROR(__xludf.DUMMYFUNCTION("""COMPUTED_VALUE"""),0.432)</f>
        <v>0.432</v>
      </c>
      <c r="M1799" s="4">
        <f>IFERROR(__xludf.DUMMYFUNCTION("""COMPUTED_VALUE"""),0.327)</f>
        <v>0.327</v>
      </c>
      <c r="N1799" s="4">
        <f>IFERROR(__xludf.DUMMYFUNCTION("""COMPUTED_VALUE"""),0.659)</f>
        <v>0.659</v>
      </c>
      <c r="O1799" s="4">
        <f>IFERROR(__xludf.DUMMYFUNCTION("""COMPUTED_VALUE"""),16.6)</f>
        <v>16.6</v>
      </c>
      <c r="P1799" s="4">
        <f>IFERROR(__xludf.DUMMYFUNCTION("""COMPUTED_VALUE"""),5.8)</f>
        <v>5.8</v>
      </c>
      <c r="Q1799" s="4">
        <f>IFERROR(__xludf.DUMMYFUNCTION("""COMPUTED_VALUE"""),2.4)</f>
        <v>2.4</v>
      </c>
      <c r="R1799" s="4">
        <f>IFERROR(__xludf.DUMMYFUNCTION("""COMPUTED_VALUE"""),1.0)</f>
        <v>1</v>
      </c>
      <c r="S1799" s="4">
        <f>IFERROR(__xludf.DUMMYFUNCTION("""COMPUTED_VALUE"""),3.1)</f>
        <v>3.1</v>
      </c>
      <c r="T1799" s="4">
        <f>IFERROR(__xludf.DUMMYFUNCTION("""COMPUTED_VALUE"""),0.036)</f>
        <v>0.036</v>
      </c>
      <c r="U1799" s="4">
        <f>IFERROR(__xludf.DUMMYFUNCTION("""COMPUTED_VALUE"""),-2.5)</f>
        <v>-2.5</v>
      </c>
      <c r="V1799" s="4">
        <f>IFERROR(__xludf.DUMMYFUNCTION("""COMPUTED_VALUE"""),-0.5)</f>
        <v>-0.5</v>
      </c>
    </row>
    <row r="1800">
      <c r="A1800" s="4">
        <f>IFERROR(__xludf.DUMMYFUNCTION("""COMPUTED_VALUE"""),25.0)</f>
        <v>25</v>
      </c>
      <c r="B1800" s="4">
        <f>IFERROR(__xludf.DUMMYFUNCTION("""COMPUTED_VALUE"""),25.0)</f>
        <v>25</v>
      </c>
      <c r="C1800" s="4" t="str">
        <f>IFERROR(__xludf.DUMMYFUNCTION("""COMPUTED_VALUE"""),"IND")</f>
        <v>IND</v>
      </c>
      <c r="D1800" s="4" t="str">
        <f>IFERROR(__xludf.DUMMYFUNCTION("""COMPUTED_VALUE"""),"Al Harrington")</f>
        <v>Al Harrington</v>
      </c>
      <c r="E1800" s="4"/>
      <c r="F1800" s="4">
        <f>IFERROR(__xludf.DUMMYFUNCTION("""COMPUTED_VALUE"""),16.0)</f>
        <v>16</v>
      </c>
      <c r="G1800" s="4">
        <f>IFERROR(__xludf.DUMMYFUNCTION("""COMPUTED_VALUE"""),981.0)</f>
        <v>981</v>
      </c>
      <c r="H1800" s="4">
        <f>IFERROR(__xludf.DUMMYFUNCTION("""COMPUTED_VALUE"""),28009.0)</f>
        <v>28009</v>
      </c>
      <c r="I1800" s="4">
        <f>IFERROR(__xludf.DUMMYFUNCTION("""COMPUTED_VALUE"""),13237.0)</f>
        <v>13237</v>
      </c>
      <c r="J1800" s="4">
        <f>IFERROR(__xludf.DUMMYFUNCTION("""COMPUTED_VALUE"""),5482.0)</f>
        <v>5482</v>
      </c>
      <c r="K1800" s="4">
        <f>IFERROR(__xludf.DUMMYFUNCTION("""COMPUTED_VALUE"""),1649.0)</f>
        <v>1649</v>
      </c>
      <c r="L1800" s="4">
        <f>IFERROR(__xludf.DUMMYFUNCTION("""COMPUTED_VALUE"""),0.444)</f>
        <v>0.444</v>
      </c>
      <c r="M1800" s="4">
        <f>IFERROR(__xludf.DUMMYFUNCTION("""COMPUTED_VALUE"""),0.352)</f>
        <v>0.352</v>
      </c>
      <c r="N1800" s="4">
        <f>IFERROR(__xludf.DUMMYFUNCTION("""COMPUTED_VALUE"""),0.727)</f>
        <v>0.727</v>
      </c>
      <c r="O1800" s="4">
        <f>IFERROR(__xludf.DUMMYFUNCTION("""COMPUTED_VALUE"""),28.6)</f>
        <v>28.6</v>
      </c>
      <c r="P1800" s="4">
        <f>IFERROR(__xludf.DUMMYFUNCTION("""COMPUTED_VALUE"""),13.5)</f>
        <v>13.5</v>
      </c>
      <c r="Q1800" s="4">
        <f>IFERROR(__xludf.DUMMYFUNCTION("""COMPUTED_VALUE"""),5.6)</f>
        <v>5.6</v>
      </c>
      <c r="R1800" s="4">
        <f>IFERROR(__xludf.DUMMYFUNCTION("""COMPUTED_VALUE"""),1.7)</f>
        <v>1.7</v>
      </c>
      <c r="S1800" s="4">
        <f>IFERROR(__xludf.DUMMYFUNCTION("""COMPUTED_VALUE"""),42.5)</f>
        <v>42.5</v>
      </c>
      <c r="T1800" s="4">
        <f>IFERROR(__xludf.DUMMYFUNCTION("""COMPUTED_VALUE"""),0.073)</f>
        <v>0.073</v>
      </c>
      <c r="U1800" s="4">
        <f>IFERROR(__xludf.DUMMYFUNCTION("""COMPUTED_VALUE"""),-1.5)</f>
        <v>-1.5</v>
      </c>
      <c r="V1800" s="4">
        <f>IFERROR(__xludf.DUMMYFUNCTION("""COMPUTED_VALUE"""),3.7)</f>
        <v>3.7</v>
      </c>
    </row>
    <row r="1801">
      <c r="A1801" s="4">
        <f>IFERROR(__xludf.DUMMYFUNCTION("""COMPUTED_VALUE"""),26.0)</f>
        <v>26</v>
      </c>
      <c r="B1801" s="4">
        <f>IFERROR(__xludf.DUMMYFUNCTION("""COMPUTED_VALUE"""),26.0)</f>
        <v>26</v>
      </c>
      <c r="C1801" s="4" t="str">
        <f>IFERROR(__xludf.DUMMYFUNCTION("""COMPUTED_VALUE"""),"LAL")</f>
        <v>LAL</v>
      </c>
      <c r="D1801" s="4" t="str">
        <f>IFERROR(__xludf.DUMMYFUNCTION("""COMPUTED_VALUE"""),"Sam Jacobson")</f>
        <v>Sam Jacobson</v>
      </c>
      <c r="E1801" s="4" t="str">
        <f>IFERROR(__xludf.DUMMYFUNCTION("""COMPUTED_VALUE"""),"Minnesota")</f>
        <v>Minnesota</v>
      </c>
      <c r="F1801" s="4">
        <f>IFERROR(__xludf.DUMMYFUNCTION("""COMPUTED_VALUE"""),3.0)</f>
        <v>3</v>
      </c>
      <c r="G1801" s="4">
        <f>IFERROR(__xludf.DUMMYFUNCTION("""COMPUTED_VALUE"""),68.0)</f>
        <v>68</v>
      </c>
      <c r="H1801" s="4">
        <f>IFERROR(__xludf.DUMMYFUNCTION("""COMPUTED_VALUE"""),752.0)</f>
        <v>752</v>
      </c>
      <c r="I1801" s="4">
        <f>IFERROR(__xludf.DUMMYFUNCTION("""COMPUTED_VALUE"""),283.0)</f>
        <v>283</v>
      </c>
      <c r="J1801" s="4">
        <f>IFERROR(__xludf.DUMMYFUNCTION("""COMPUTED_VALUE"""),80.0)</f>
        <v>80</v>
      </c>
      <c r="K1801" s="4">
        <f>IFERROR(__xludf.DUMMYFUNCTION("""COMPUTED_VALUE"""),36.0)</f>
        <v>36</v>
      </c>
      <c r="L1801" s="4">
        <f>IFERROR(__xludf.DUMMYFUNCTION("""COMPUTED_VALUE"""),0.511)</f>
        <v>0.511</v>
      </c>
      <c r="M1801" s="4">
        <f>IFERROR(__xludf.DUMMYFUNCTION("""COMPUTED_VALUE"""),0.36)</f>
        <v>0.36</v>
      </c>
      <c r="N1801" s="4">
        <f>IFERROR(__xludf.DUMMYFUNCTION("""COMPUTED_VALUE"""),0.739)</f>
        <v>0.739</v>
      </c>
      <c r="O1801" s="4">
        <f>IFERROR(__xludf.DUMMYFUNCTION("""COMPUTED_VALUE"""),11.1)</f>
        <v>11.1</v>
      </c>
      <c r="P1801" s="4">
        <f>IFERROR(__xludf.DUMMYFUNCTION("""COMPUTED_VALUE"""),4.2)</f>
        <v>4.2</v>
      </c>
      <c r="Q1801" s="4">
        <f>IFERROR(__xludf.DUMMYFUNCTION("""COMPUTED_VALUE"""),1.2)</f>
        <v>1.2</v>
      </c>
      <c r="R1801" s="4">
        <f>IFERROR(__xludf.DUMMYFUNCTION("""COMPUTED_VALUE"""),0.5)</f>
        <v>0.5</v>
      </c>
      <c r="S1801" s="4">
        <f>IFERROR(__xludf.DUMMYFUNCTION("""COMPUTED_VALUE"""),1.1)</f>
        <v>1.1</v>
      </c>
      <c r="T1801" s="4">
        <f>IFERROR(__xludf.DUMMYFUNCTION("""COMPUTED_VALUE"""),0.071)</f>
        <v>0.071</v>
      </c>
      <c r="U1801" s="4">
        <f>IFERROR(__xludf.DUMMYFUNCTION("""COMPUTED_VALUE"""),-3.9)</f>
        <v>-3.9</v>
      </c>
      <c r="V1801" s="4">
        <f>IFERROR(__xludf.DUMMYFUNCTION("""COMPUTED_VALUE"""),-0.4)</f>
        <v>-0.4</v>
      </c>
    </row>
    <row r="1802">
      <c r="A1802" s="4">
        <f>IFERROR(__xludf.DUMMYFUNCTION("""COMPUTED_VALUE"""),27.0)</f>
        <v>27</v>
      </c>
      <c r="B1802" s="4">
        <f>IFERROR(__xludf.DUMMYFUNCTION("""COMPUTED_VALUE"""),27.0)</f>
        <v>27</v>
      </c>
      <c r="C1802" s="4" t="str">
        <f>IFERROR(__xludf.DUMMYFUNCTION("""COMPUTED_VALUE"""),"SEA")</f>
        <v>SEA</v>
      </c>
      <c r="D1802" s="4" t="str">
        <f>IFERROR(__xludf.DUMMYFUNCTION("""COMPUTED_VALUE"""),"Vladimir Stepania")</f>
        <v>Vladimir Stepania</v>
      </c>
      <c r="E1802" s="4"/>
      <c r="F1802" s="4">
        <f>IFERROR(__xludf.DUMMYFUNCTION("""COMPUTED_VALUE"""),6.0)</f>
        <v>6</v>
      </c>
      <c r="G1802" s="4">
        <f>IFERROR(__xludf.DUMMYFUNCTION("""COMPUTED_VALUE"""),270.0)</f>
        <v>270</v>
      </c>
      <c r="H1802" s="4">
        <f>IFERROR(__xludf.DUMMYFUNCTION("""COMPUTED_VALUE"""),3726.0)</f>
        <v>3726</v>
      </c>
      <c r="I1802" s="4">
        <f>IFERROR(__xludf.DUMMYFUNCTION("""COMPUTED_VALUE"""),1118.0)</f>
        <v>1118</v>
      </c>
      <c r="J1802" s="4">
        <f>IFERROR(__xludf.DUMMYFUNCTION("""COMPUTED_VALUE"""),1180.0)</f>
        <v>1180</v>
      </c>
      <c r="K1802" s="4">
        <f>IFERROR(__xludf.DUMMYFUNCTION("""COMPUTED_VALUE"""),94.0)</f>
        <v>94</v>
      </c>
      <c r="L1802" s="4">
        <f>IFERROR(__xludf.DUMMYFUNCTION("""COMPUTED_VALUE"""),0.425)</f>
        <v>0.425</v>
      </c>
      <c r="M1802" s="4">
        <f>IFERROR(__xludf.DUMMYFUNCTION("""COMPUTED_VALUE"""),0.133)</f>
        <v>0.133</v>
      </c>
      <c r="N1802" s="4">
        <f>IFERROR(__xludf.DUMMYFUNCTION("""COMPUTED_VALUE"""),0.536)</f>
        <v>0.536</v>
      </c>
      <c r="O1802" s="4">
        <f>IFERROR(__xludf.DUMMYFUNCTION("""COMPUTED_VALUE"""),13.8)</f>
        <v>13.8</v>
      </c>
      <c r="P1802" s="4">
        <f>IFERROR(__xludf.DUMMYFUNCTION("""COMPUTED_VALUE"""),4.1)</f>
        <v>4.1</v>
      </c>
      <c r="Q1802" s="4">
        <f>IFERROR(__xludf.DUMMYFUNCTION("""COMPUTED_VALUE"""),4.4)</f>
        <v>4.4</v>
      </c>
      <c r="R1802" s="4">
        <f>IFERROR(__xludf.DUMMYFUNCTION("""COMPUTED_VALUE"""),0.3)</f>
        <v>0.3</v>
      </c>
      <c r="S1802" s="4">
        <f>IFERROR(__xludf.DUMMYFUNCTION("""COMPUTED_VALUE"""),5.2)</f>
        <v>5.2</v>
      </c>
      <c r="T1802" s="4">
        <f>IFERROR(__xludf.DUMMYFUNCTION("""COMPUTED_VALUE"""),0.067)</f>
        <v>0.067</v>
      </c>
      <c r="U1802" s="4">
        <f>IFERROR(__xludf.DUMMYFUNCTION("""COMPUTED_VALUE"""),-3.3)</f>
        <v>-3.3</v>
      </c>
      <c r="V1802" s="4">
        <f>IFERROR(__xludf.DUMMYFUNCTION("""COMPUTED_VALUE"""),-1.2)</f>
        <v>-1.2</v>
      </c>
    </row>
    <row r="1803">
      <c r="A1803" s="4">
        <f>IFERROR(__xludf.DUMMYFUNCTION("""COMPUTED_VALUE"""),28.0)</f>
        <v>28</v>
      </c>
      <c r="B1803" s="4">
        <f>IFERROR(__xludf.DUMMYFUNCTION("""COMPUTED_VALUE"""),28.0)</f>
        <v>28</v>
      </c>
      <c r="C1803" s="4" t="str">
        <f>IFERROR(__xludf.DUMMYFUNCTION("""COMPUTED_VALUE"""),"CHI")</f>
        <v>CHI</v>
      </c>
      <c r="D1803" s="4" t="str">
        <f>IFERROR(__xludf.DUMMYFUNCTION("""COMPUTED_VALUE"""),"Corey Benjamin")</f>
        <v>Corey Benjamin</v>
      </c>
      <c r="E1803" s="4" t="str">
        <f>IFERROR(__xludf.DUMMYFUNCTION("""COMPUTED_VALUE"""),"Oregon State")</f>
        <v>Oregon State</v>
      </c>
      <c r="F1803" s="4">
        <f>IFERROR(__xludf.DUMMYFUNCTION("""COMPUTED_VALUE"""),4.0)</f>
        <v>4</v>
      </c>
      <c r="G1803" s="4">
        <f>IFERROR(__xludf.DUMMYFUNCTION("""COMPUTED_VALUE"""),153.0)</f>
        <v>153</v>
      </c>
      <c r="H1803" s="4">
        <f>IFERROR(__xludf.DUMMYFUNCTION("""COMPUTED_VALUE"""),2191.0)</f>
        <v>2191</v>
      </c>
      <c r="I1803" s="4">
        <f>IFERROR(__xludf.DUMMYFUNCTION("""COMPUTED_VALUE"""),835.0)</f>
        <v>835</v>
      </c>
      <c r="J1803" s="4">
        <f>IFERROR(__xludf.DUMMYFUNCTION("""COMPUTED_VALUE"""),259.0)</f>
        <v>259</v>
      </c>
      <c r="K1803" s="4">
        <f>IFERROR(__xludf.DUMMYFUNCTION("""COMPUTED_VALUE"""),143.0)</f>
        <v>143</v>
      </c>
      <c r="L1803" s="4">
        <f>IFERROR(__xludf.DUMMYFUNCTION("""COMPUTED_VALUE"""),0.39)</f>
        <v>0.39</v>
      </c>
      <c r="M1803" s="4">
        <f>IFERROR(__xludf.DUMMYFUNCTION("""COMPUTED_VALUE"""),0.289)</f>
        <v>0.289</v>
      </c>
      <c r="N1803" s="4">
        <f>IFERROR(__xludf.DUMMYFUNCTION("""COMPUTED_VALUE"""),0.652)</f>
        <v>0.652</v>
      </c>
      <c r="O1803" s="4">
        <f>IFERROR(__xludf.DUMMYFUNCTION("""COMPUTED_VALUE"""),14.3)</f>
        <v>14.3</v>
      </c>
      <c r="P1803" s="4">
        <f>IFERROR(__xludf.DUMMYFUNCTION("""COMPUTED_VALUE"""),5.5)</f>
        <v>5.5</v>
      </c>
      <c r="Q1803" s="4">
        <f>IFERROR(__xludf.DUMMYFUNCTION("""COMPUTED_VALUE"""),1.7)</f>
        <v>1.7</v>
      </c>
      <c r="R1803" s="4">
        <f>IFERROR(__xludf.DUMMYFUNCTION("""COMPUTED_VALUE"""),0.9)</f>
        <v>0.9</v>
      </c>
      <c r="S1803" s="4">
        <f>IFERROR(__xludf.DUMMYFUNCTION("""COMPUTED_VALUE"""),-0.9)</f>
        <v>-0.9</v>
      </c>
      <c r="T1803" s="4">
        <f>IFERROR(__xludf.DUMMYFUNCTION("""COMPUTED_VALUE"""),-0.019)</f>
        <v>-0.019</v>
      </c>
      <c r="U1803" s="4">
        <f>IFERROR(__xludf.DUMMYFUNCTION("""COMPUTED_VALUE"""),-4.8)</f>
        <v>-4.8</v>
      </c>
      <c r="V1803" s="4">
        <f>IFERROR(__xludf.DUMMYFUNCTION("""COMPUTED_VALUE"""),-1.6)</f>
        <v>-1.6</v>
      </c>
    </row>
    <row r="1804">
      <c r="A1804" s="4">
        <f>IFERROR(__xludf.DUMMYFUNCTION("""COMPUTED_VALUE"""),29.0)</f>
        <v>29</v>
      </c>
      <c r="B1804" s="4">
        <f>IFERROR(__xludf.DUMMYFUNCTION("""COMPUTED_VALUE"""),29.0)</f>
        <v>29</v>
      </c>
      <c r="C1804" s="4" t="str">
        <f>IFERROR(__xludf.DUMMYFUNCTION("""COMPUTED_VALUE"""),"UTA")</f>
        <v>UTA</v>
      </c>
      <c r="D1804" s="4" t="str">
        <f>IFERROR(__xludf.DUMMYFUNCTION("""COMPUTED_VALUE"""),"Nazr Mohammed")</f>
        <v>Nazr Mohammed</v>
      </c>
      <c r="E1804" s="4" t="str">
        <f>IFERROR(__xludf.DUMMYFUNCTION("""COMPUTED_VALUE"""),"Kentucky")</f>
        <v>Kentucky</v>
      </c>
      <c r="F1804" s="4">
        <f>IFERROR(__xludf.DUMMYFUNCTION("""COMPUTED_VALUE"""),18.0)</f>
        <v>18</v>
      </c>
      <c r="G1804" s="4">
        <f>IFERROR(__xludf.DUMMYFUNCTION("""COMPUTED_VALUE"""),1005.0)</f>
        <v>1005</v>
      </c>
      <c r="H1804" s="4">
        <f>IFERROR(__xludf.DUMMYFUNCTION("""COMPUTED_VALUE"""),15891.0)</f>
        <v>15891</v>
      </c>
      <c r="I1804" s="4">
        <f>IFERROR(__xludf.DUMMYFUNCTION("""COMPUTED_VALUE"""),5827.0)</f>
        <v>5827</v>
      </c>
      <c r="J1804" s="4">
        <f>IFERROR(__xludf.DUMMYFUNCTION("""COMPUTED_VALUE"""),4708.0)</f>
        <v>4708</v>
      </c>
      <c r="K1804" s="4">
        <f>IFERROR(__xludf.DUMMYFUNCTION("""COMPUTED_VALUE"""),375.0)</f>
        <v>375</v>
      </c>
      <c r="L1804" s="4">
        <f>IFERROR(__xludf.DUMMYFUNCTION("""COMPUTED_VALUE"""),0.486)</f>
        <v>0.486</v>
      </c>
      <c r="M1804" s="4">
        <f>IFERROR(__xludf.DUMMYFUNCTION("""COMPUTED_VALUE"""),0.0)</f>
        <v>0</v>
      </c>
      <c r="N1804" s="4">
        <f>IFERROR(__xludf.DUMMYFUNCTION("""COMPUTED_VALUE"""),0.64)</f>
        <v>0.64</v>
      </c>
      <c r="O1804" s="4">
        <f>IFERROR(__xludf.DUMMYFUNCTION("""COMPUTED_VALUE"""),15.8)</f>
        <v>15.8</v>
      </c>
      <c r="P1804" s="4">
        <f>IFERROR(__xludf.DUMMYFUNCTION("""COMPUTED_VALUE"""),5.8)</f>
        <v>5.8</v>
      </c>
      <c r="Q1804" s="4">
        <f>IFERROR(__xludf.DUMMYFUNCTION("""COMPUTED_VALUE"""),4.7)</f>
        <v>4.7</v>
      </c>
      <c r="R1804" s="4">
        <f>IFERROR(__xludf.DUMMYFUNCTION("""COMPUTED_VALUE"""),0.4)</f>
        <v>0.4</v>
      </c>
      <c r="S1804" s="4">
        <f>IFERROR(__xludf.DUMMYFUNCTION("""COMPUTED_VALUE"""),34.3)</f>
        <v>34.3</v>
      </c>
      <c r="T1804" s="4">
        <f>IFERROR(__xludf.DUMMYFUNCTION("""COMPUTED_VALUE"""),0.104)</f>
        <v>0.104</v>
      </c>
      <c r="U1804" s="4">
        <f>IFERROR(__xludf.DUMMYFUNCTION("""COMPUTED_VALUE"""),-2.6)</f>
        <v>-2.6</v>
      </c>
      <c r="V1804" s="4">
        <f>IFERROR(__xludf.DUMMYFUNCTION("""COMPUTED_VALUE"""),-2.2)</f>
        <v>-2.2</v>
      </c>
    </row>
    <row r="1805">
      <c r="A1805" s="4"/>
      <c r="B1805" s="4"/>
      <c r="C1805" s="4"/>
      <c r="D1805" s="4" t="str">
        <f>IFERROR(__xludf.DUMMYFUNCTION("""COMPUTED_VALUE"""),"Round 2")</f>
        <v>Round 2</v>
      </c>
      <c r="E1805" s="4"/>
      <c r="F1805" s="4"/>
      <c r="G1805" s="4" t="str">
        <f>IFERROR(__xludf.DUMMYFUNCTION("""COMPUTED_VALUE"""),"Totals")</f>
        <v>Totals</v>
      </c>
      <c r="H1805" s="4"/>
      <c r="I1805" s="4"/>
      <c r="J1805" s="4"/>
      <c r="K1805" s="4"/>
      <c r="L1805" s="4" t="str">
        <f>IFERROR(__xludf.DUMMYFUNCTION("""COMPUTED_VALUE"""),"Shooting")</f>
        <v>Shooting</v>
      </c>
      <c r="M1805" s="4"/>
      <c r="N1805" s="4"/>
      <c r="O1805" s="4" t="str">
        <f>IFERROR(__xludf.DUMMYFUNCTION("""COMPUTED_VALUE"""),"Per Game")</f>
        <v>Per Game</v>
      </c>
      <c r="P1805" s="4"/>
      <c r="Q1805" s="4"/>
      <c r="R1805" s="4"/>
      <c r="S1805" s="4" t="str">
        <f>IFERROR(__xludf.DUMMYFUNCTION("""COMPUTED_VALUE"""),"Advanced")</f>
        <v>Advanced</v>
      </c>
      <c r="T1805" s="4"/>
      <c r="U1805" s="4"/>
      <c r="V1805" s="4"/>
    </row>
    <row r="1806">
      <c r="A1806" s="4" t="str">
        <f>IFERROR(__xludf.DUMMYFUNCTION("""COMPUTED_VALUE"""),"Rk")</f>
        <v>Rk</v>
      </c>
      <c r="B1806" s="4" t="str">
        <f>IFERROR(__xludf.DUMMYFUNCTION("""COMPUTED_VALUE"""),"Pk")</f>
        <v>Pk</v>
      </c>
      <c r="C1806" s="4" t="str">
        <f>IFERROR(__xludf.DUMMYFUNCTION("""COMPUTED_VALUE"""),"Tm")</f>
        <v>Tm</v>
      </c>
      <c r="D1806" s="4" t="str">
        <f>IFERROR(__xludf.DUMMYFUNCTION("""COMPUTED_VALUE"""),"Player")</f>
        <v>Player</v>
      </c>
      <c r="E1806" s="4" t="str">
        <f>IFERROR(__xludf.DUMMYFUNCTION("""COMPUTED_VALUE"""),"College")</f>
        <v>College</v>
      </c>
      <c r="F1806" s="4" t="str">
        <f>IFERROR(__xludf.DUMMYFUNCTION("""COMPUTED_VALUE"""),"Yrs")</f>
        <v>Yrs</v>
      </c>
      <c r="G1806" s="4" t="str">
        <f>IFERROR(__xludf.DUMMYFUNCTION("""COMPUTED_VALUE"""),"G")</f>
        <v>G</v>
      </c>
      <c r="H1806" s="4" t="str">
        <f>IFERROR(__xludf.DUMMYFUNCTION("""COMPUTED_VALUE"""),"MP")</f>
        <v>MP</v>
      </c>
      <c r="I1806" s="4" t="str">
        <f>IFERROR(__xludf.DUMMYFUNCTION("""COMPUTED_VALUE"""),"PTS")</f>
        <v>PTS</v>
      </c>
      <c r="J1806" s="4" t="str">
        <f>IFERROR(__xludf.DUMMYFUNCTION("""COMPUTED_VALUE"""),"TRB")</f>
        <v>TRB</v>
      </c>
      <c r="K1806" s="4" t="str">
        <f>IFERROR(__xludf.DUMMYFUNCTION("""COMPUTED_VALUE"""),"AST")</f>
        <v>AST</v>
      </c>
      <c r="L1806" s="4" t="str">
        <f>IFERROR(__xludf.DUMMYFUNCTION("""COMPUTED_VALUE"""),"FG%")</f>
        <v>FG%</v>
      </c>
      <c r="M1806" s="4" t="str">
        <f>IFERROR(__xludf.DUMMYFUNCTION("""COMPUTED_VALUE"""),"3P%")</f>
        <v>3P%</v>
      </c>
      <c r="N1806" s="4" t="str">
        <f>IFERROR(__xludf.DUMMYFUNCTION("""COMPUTED_VALUE"""),"FT%")</f>
        <v>FT%</v>
      </c>
      <c r="O1806" s="4" t="str">
        <f>IFERROR(__xludf.DUMMYFUNCTION("""COMPUTED_VALUE"""),"MP")</f>
        <v>MP</v>
      </c>
      <c r="P1806" s="4" t="str">
        <f>IFERROR(__xludf.DUMMYFUNCTION("""COMPUTED_VALUE"""),"PTS")</f>
        <v>PTS</v>
      </c>
      <c r="Q1806" s="4" t="str">
        <f>IFERROR(__xludf.DUMMYFUNCTION("""COMPUTED_VALUE"""),"TRB")</f>
        <v>TRB</v>
      </c>
      <c r="R1806" s="4" t="str">
        <f>IFERROR(__xludf.DUMMYFUNCTION("""COMPUTED_VALUE"""),"AST")</f>
        <v>AST</v>
      </c>
      <c r="S1806" s="4" t="str">
        <f>IFERROR(__xludf.DUMMYFUNCTION("""COMPUTED_VALUE"""),"WS")</f>
        <v>WS</v>
      </c>
      <c r="T1806" s="4" t="str">
        <f>IFERROR(__xludf.DUMMYFUNCTION("""COMPUTED_VALUE"""),"WS/48")</f>
        <v>WS/48</v>
      </c>
      <c r="U1806" s="4" t="str">
        <f>IFERROR(__xludf.DUMMYFUNCTION("""COMPUTED_VALUE"""),"BPM")</f>
        <v>BPM</v>
      </c>
      <c r="V1806" s="4" t="str">
        <f>IFERROR(__xludf.DUMMYFUNCTION("""COMPUTED_VALUE"""),"VORP")</f>
        <v>VORP</v>
      </c>
    </row>
    <row r="1807">
      <c r="A1807" s="4">
        <f>IFERROR(__xludf.DUMMYFUNCTION("""COMPUTED_VALUE"""),30.0)</f>
        <v>30</v>
      </c>
      <c r="B1807" s="4">
        <f>IFERROR(__xludf.DUMMYFUNCTION("""COMPUTED_VALUE"""),30.0)</f>
        <v>30</v>
      </c>
      <c r="C1807" s="4" t="str">
        <f>IFERROR(__xludf.DUMMYFUNCTION("""COMPUTED_VALUE"""),"DAL")</f>
        <v>DAL</v>
      </c>
      <c r="D1807" s="4" t="str">
        <f>IFERROR(__xludf.DUMMYFUNCTION("""COMPUTED_VALUE"""),"Ansu Sesay")</f>
        <v>Ansu Sesay</v>
      </c>
      <c r="E1807" s="4" t="str">
        <f>IFERROR(__xludf.DUMMYFUNCTION("""COMPUTED_VALUE"""),"Ole Miss")</f>
        <v>Ole Miss</v>
      </c>
      <c r="F1807" s="4">
        <f>IFERROR(__xludf.DUMMYFUNCTION("""COMPUTED_VALUE"""),4.0)</f>
        <v>4</v>
      </c>
      <c r="G1807" s="4">
        <f>IFERROR(__xludf.DUMMYFUNCTION("""COMPUTED_VALUE"""),127.0)</f>
        <v>127</v>
      </c>
      <c r="H1807" s="4">
        <f>IFERROR(__xludf.DUMMYFUNCTION("""COMPUTED_VALUE"""),1301.0)</f>
        <v>1301</v>
      </c>
      <c r="I1807" s="4">
        <f>IFERROR(__xludf.DUMMYFUNCTION("""COMPUTED_VALUE"""),401.0)</f>
        <v>401</v>
      </c>
      <c r="J1807" s="4">
        <f>IFERROR(__xludf.DUMMYFUNCTION("""COMPUTED_VALUE"""),223.0)</f>
        <v>223</v>
      </c>
      <c r="K1807" s="4">
        <f>IFERROR(__xludf.DUMMYFUNCTION("""COMPUTED_VALUE"""),62.0)</f>
        <v>62</v>
      </c>
      <c r="L1807" s="4">
        <f>IFERROR(__xludf.DUMMYFUNCTION("""COMPUTED_VALUE"""),0.434)</f>
        <v>0.434</v>
      </c>
      <c r="M1807" s="4">
        <f>IFERROR(__xludf.DUMMYFUNCTION("""COMPUTED_VALUE"""),0.276)</f>
        <v>0.276</v>
      </c>
      <c r="N1807" s="4">
        <f>IFERROR(__xludf.DUMMYFUNCTION("""COMPUTED_VALUE"""),0.64)</f>
        <v>0.64</v>
      </c>
      <c r="O1807" s="4">
        <f>IFERROR(__xludf.DUMMYFUNCTION("""COMPUTED_VALUE"""),10.2)</f>
        <v>10.2</v>
      </c>
      <c r="P1807" s="4">
        <f>IFERROR(__xludf.DUMMYFUNCTION("""COMPUTED_VALUE"""),3.2)</f>
        <v>3.2</v>
      </c>
      <c r="Q1807" s="4">
        <f>IFERROR(__xludf.DUMMYFUNCTION("""COMPUTED_VALUE"""),1.8)</f>
        <v>1.8</v>
      </c>
      <c r="R1807" s="4">
        <f>IFERROR(__xludf.DUMMYFUNCTION("""COMPUTED_VALUE"""),0.5)</f>
        <v>0.5</v>
      </c>
      <c r="S1807" s="4">
        <f>IFERROR(__xludf.DUMMYFUNCTION("""COMPUTED_VALUE"""),1.4)</f>
        <v>1.4</v>
      </c>
      <c r="T1807" s="4">
        <f>IFERROR(__xludf.DUMMYFUNCTION("""COMPUTED_VALUE"""),0.051)</f>
        <v>0.051</v>
      </c>
      <c r="U1807" s="4">
        <f>IFERROR(__xludf.DUMMYFUNCTION("""COMPUTED_VALUE"""),-3.3)</f>
        <v>-3.3</v>
      </c>
      <c r="V1807" s="4">
        <f>IFERROR(__xludf.DUMMYFUNCTION("""COMPUTED_VALUE"""),-0.4)</f>
        <v>-0.4</v>
      </c>
    </row>
    <row r="1808">
      <c r="A1808" s="4">
        <f>IFERROR(__xludf.DUMMYFUNCTION("""COMPUTED_VALUE"""),31.0)</f>
        <v>31</v>
      </c>
      <c r="B1808" s="4">
        <f>IFERROR(__xludf.DUMMYFUNCTION("""COMPUTED_VALUE"""),31.0)</f>
        <v>31</v>
      </c>
      <c r="C1808" s="4" t="str">
        <f>IFERROR(__xludf.DUMMYFUNCTION("""COMPUTED_VALUE"""),"LAL")</f>
        <v>LAL</v>
      </c>
      <c r="D1808" s="4" t="str">
        <f>IFERROR(__xludf.DUMMYFUNCTION("""COMPUTED_VALUE"""),"Ruben Patterson")</f>
        <v>Ruben Patterson</v>
      </c>
      <c r="E1808" s="4" t="str">
        <f>IFERROR(__xludf.DUMMYFUNCTION("""COMPUTED_VALUE"""),"Cincinnati")</f>
        <v>Cincinnati</v>
      </c>
      <c r="F1808" s="4">
        <f>IFERROR(__xludf.DUMMYFUNCTION("""COMPUTED_VALUE"""),10.0)</f>
        <v>10</v>
      </c>
      <c r="G1808" s="4">
        <f>IFERROR(__xludf.DUMMYFUNCTION("""COMPUTED_VALUE"""),649.0)</f>
        <v>649</v>
      </c>
      <c r="H1808" s="4">
        <f>IFERROR(__xludf.DUMMYFUNCTION("""COMPUTED_VALUE"""),15955.0)</f>
        <v>15955</v>
      </c>
      <c r="I1808" s="4">
        <f>IFERROR(__xludf.DUMMYFUNCTION("""COMPUTED_VALUE"""),6953.0)</f>
        <v>6953</v>
      </c>
      <c r="J1808" s="4">
        <f>IFERROR(__xludf.DUMMYFUNCTION("""COMPUTED_VALUE"""),2697.0)</f>
        <v>2697</v>
      </c>
      <c r="K1808" s="4">
        <f>IFERROR(__xludf.DUMMYFUNCTION("""COMPUTED_VALUE"""),1150.0)</f>
        <v>1150</v>
      </c>
      <c r="L1808" s="4">
        <f>IFERROR(__xludf.DUMMYFUNCTION("""COMPUTED_VALUE"""),0.517)</f>
        <v>0.517</v>
      </c>
      <c r="M1808" s="4">
        <f>IFERROR(__xludf.DUMMYFUNCTION("""COMPUTED_VALUE"""),0.179)</f>
        <v>0.179</v>
      </c>
      <c r="N1808" s="4">
        <f>IFERROR(__xludf.DUMMYFUNCTION("""COMPUTED_VALUE"""),0.641)</f>
        <v>0.641</v>
      </c>
      <c r="O1808" s="4">
        <f>IFERROR(__xludf.DUMMYFUNCTION("""COMPUTED_VALUE"""),24.6)</f>
        <v>24.6</v>
      </c>
      <c r="P1808" s="4">
        <f>IFERROR(__xludf.DUMMYFUNCTION("""COMPUTED_VALUE"""),10.7)</f>
        <v>10.7</v>
      </c>
      <c r="Q1808" s="4">
        <f>IFERROR(__xludf.DUMMYFUNCTION("""COMPUTED_VALUE"""),4.2)</f>
        <v>4.2</v>
      </c>
      <c r="R1808" s="4">
        <f>IFERROR(__xludf.DUMMYFUNCTION("""COMPUTED_VALUE"""),1.8)</f>
        <v>1.8</v>
      </c>
      <c r="S1808" s="4">
        <f>IFERROR(__xludf.DUMMYFUNCTION("""COMPUTED_VALUE"""),35.1)</f>
        <v>35.1</v>
      </c>
      <c r="T1808" s="4">
        <f>IFERROR(__xludf.DUMMYFUNCTION("""COMPUTED_VALUE"""),0.106)</f>
        <v>0.106</v>
      </c>
      <c r="U1808" s="4">
        <f>IFERROR(__xludf.DUMMYFUNCTION("""COMPUTED_VALUE"""),0.7)</f>
        <v>0.7</v>
      </c>
      <c r="V1808" s="4">
        <f>IFERROR(__xludf.DUMMYFUNCTION("""COMPUTED_VALUE"""),10.8)</f>
        <v>10.8</v>
      </c>
    </row>
    <row r="1809">
      <c r="A1809" s="4">
        <f>IFERROR(__xludf.DUMMYFUNCTION("""COMPUTED_VALUE"""),32.0)</f>
        <v>32</v>
      </c>
      <c r="B1809" s="4">
        <f>IFERROR(__xludf.DUMMYFUNCTION("""COMPUTED_VALUE"""),32.0)</f>
        <v>32</v>
      </c>
      <c r="C1809" s="4" t="str">
        <f>IFERROR(__xludf.DUMMYFUNCTION("""COMPUTED_VALUE"""),"SEA")</f>
        <v>SEA</v>
      </c>
      <c r="D1809" s="4" t="str">
        <f>IFERROR(__xludf.DUMMYFUNCTION("""COMPUTED_VALUE"""),"Rashard Lewis")</f>
        <v>Rashard Lewis</v>
      </c>
      <c r="E1809" s="4"/>
      <c r="F1809" s="4">
        <f>IFERROR(__xludf.DUMMYFUNCTION("""COMPUTED_VALUE"""),16.0)</f>
        <v>16</v>
      </c>
      <c r="G1809" s="4">
        <f>IFERROR(__xludf.DUMMYFUNCTION("""COMPUTED_VALUE"""),1049.0)</f>
        <v>1049</v>
      </c>
      <c r="H1809" s="4">
        <f>IFERROR(__xludf.DUMMYFUNCTION("""COMPUTED_VALUE"""),33541.0)</f>
        <v>33541</v>
      </c>
      <c r="I1809" s="4">
        <f>IFERROR(__xludf.DUMMYFUNCTION("""COMPUTED_VALUE"""),15579.0)</f>
        <v>15579</v>
      </c>
      <c r="J1809" s="4">
        <f>IFERROR(__xludf.DUMMYFUNCTION("""COMPUTED_VALUE"""),5433.0)</f>
        <v>5433</v>
      </c>
      <c r="K1809" s="4">
        <f>IFERROR(__xludf.DUMMYFUNCTION("""COMPUTED_VALUE"""),1765.0)</f>
        <v>1765</v>
      </c>
      <c r="L1809" s="4">
        <f>IFERROR(__xludf.DUMMYFUNCTION("""COMPUTED_VALUE"""),0.452)</f>
        <v>0.452</v>
      </c>
      <c r="M1809" s="4">
        <f>IFERROR(__xludf.DUMMYFUNCTION("""COMPUTED_VALUE"""),0.386)</f>
        <v>0.386</v>
      </c>
      <c r="N1809" s="4">
        <f>IFERROR(__xludf.DUMMYFUNCTION("""COMPUTED_VALUE"""),0.805)</f>
        <v>0.805</v>
      </c>
      <c r="O1809" s="4">
        <f>IFERROR(__xludf.DUMMYFUNCTION("""COMPUTED_VALUE"""),32.0)</f>
        <v>32</v>
      </c>
      <c r="P1809" s="4">
        <f>IFERROR(__xludf.DUMMYFUNCTION("""COMPUTED_VALUE"""),14.9)</f>
        <v>14.9</v>
      </c>
      <c r="Q1809" s="4">
        <f>IFERROR(__xludf.DUMMYFUNCTION("""COMPUTED_VALUE"""),5.2)</f>
        <v>5.2</v>
      </c>
      <c r="R1809" s="4">
        <f>IFERROR(__xludf.DUMMYFUNCTION("""COMPUTED_VALUE"""),1.7)</f>
        <v>1.7</v>
      </c>
      <c r="S1809" s="4">
        <f>IFERROR(__xludf.DUMMYFUNCTION("""COMPUTED_VALUE"""),90.9)</f>
        <v>90.9</v>
      </c>
      <c r="T1809" s="4">
        <f>IFERROR(__xludf.DUMMYFUNCTION("""COMPUTED_VALUE"""),0.13)</f>
        <v>0.13</v>
      </c>
      <c r="U1809" s="4">
        <f>IFERROR(__xludf.DUMMYFUNCTION("""COMPUTED_VALUE"""),1.9)</f>
        <v>1.9</v>
      </c>
      <c r="V1809" s="4">
        <f>IFERROR(__xludf.DUMMYFUNCTION("""COMPUTED_VALUE"""),33.1)</f>
        <v>33.1</v>
      </c>
    </row>
    <row r="1810">
      <c r="A1810" s="4">
        <f>IFERROR(__xludf.DUMMYFUNCTION("""COMPUTED_VALUE"""),33.0)</f>
        <v>33</v>
      </c>
      <c r="B1810" s="4">
        <f>IFERROR(__xludf.DUMMYFUNCTION("""COMPUTED_VALUE"""),33.0)</f>
        <v>33</v>
      </c>
      <c r="C1810" s="4" t="str">
        <f>IFERROR(__xludf.DUMMYFUNCTION("""COMPUTED_VALUE"""),"SEA")</f>
        <v>SEA</v>
      </c>
      <c r="D1810" s="4" t="str">
        <f>IFERROR(__xludf.DUMMYFUNCTION("""COMPUTED_VALUE"""),"Jelani McCoy")</f>
        <v>Jelani McCoy</v>
      </c>
      <c r="E1810" s="4" t="str">
        <f>IFERROR(__xludf.DUMMYFUNCTION("""COMPUTED_VALUE"""),"UCLA")</f>
        <v>UCLA</v>
      </c>
      <c r="F1810" s="4">
        <f>IFERROR(__xludf.DUMMYFUNCTION("""COMPUTED_VALUE"""),8.0)</f>
        <v>8</v>
      </c>
      <c r="G1810" s="4">
        <f>IFERROR(__xludf.DUMMYFUNCTION("""COMPUTED_VALUE"""),260.0)</f>
        <v>260</v>
      </c>
      <c r="H1810" s="4">
        <f>IFERROR(__xludf.DUMMYFUNCTION("""COMPUTED_VALUE"""),3824.0)</f>
        <v>3824</v>
      </c>
      <c r="I1810" s="4">
        <f>IFERROR(__xludf.DUMMYFUNCTION("""COMPUTED_VALUE"""),1200.0)</f>
        <v>1200</v>
      </c>
      <c r="J1810" s="4">
        <f>IFERROR(__xludf.DUMMYFUNCTION("""COMPUTED_VALUE"""),921.0)</f>
        <v>921</v>
      </c>
      <c r="K1810" s="4">
        <f>IFERROR(__xludf.DUMMYFUNCTION("""COMPUTED_VALUE"""),135.0)</f>
        <v>135</v>
      </c>
      <c r="L1810" s="4">
        <f>IFERROR(__xludf.DUMMYFUNCTION("""COMPUTED_VALUE"""),0.539)</f>
        <v>0.539</v>
      </c>
      <c r="M1810" s="4"/>
      <c r="N1810" s="4">
        <f>IFERROR(__xludf.DUMMYFUNCTION("""COMPUTED_VALUE"""),0.49)</f>
        <v>0.49</v>
      </c>
      <c r="O1810" s="4">
        <f>IFERROR(__xludf.DUMMYFUNCTION("""COMPUTED_VALUE"""),14.7)</f>
        <v>14.7</v>
      </c>
      <c r="P1810" s="4">
        <f>IFERROR(__xludf.DUMMYFUNCTION("""COMPUTED_VALUE"""),4.6)</f>
        <v>4.6</v>
      </c>
      <c r="Q1810" s="4">
        <f>IFERROR(__xludf.DUMMYFUNCTION("""COMPUTED_VALUE"""),3.5)</f>
        <v>3.5</v>
      </c>
      <c r="R1810" s="4">
        <f>IFERROR(__xludf.DUMMYFUNCTION("""COMPUTED_VALUE"""),0.5)</f>
        <v>0.5</v>
      </c>
      <c r="S1810" s="4">
        <f>IFERROR(__xludf.DUMMYFUNCTION("""COMPUTED_VALUE"""),5.1)</f>
        <v>5.1</v>
      </c>
      <c r="T1810" s="4">
        <f>IFERROR(__xludf.DUMMYFUNCTION("""COMPUTED_VALUE"""),0.064)</f>
        <v>0.064</v>
      </c>
      <c r="U1810" s="4">
        <f>IFERROR(__xludf.DUMMYFUNCTION("""COMPUTED_VALUE"""),-2.9)</f>
        <v>-2.9</v>
      </c>
      <c r="V1810" s="4">
        <f>IFERROR(__xludf.DUMMYFUNCTION("""COMPUTED_VALUE"""),-0.9)</f>
        <v>-0.9</v>
      </c>
    </row>
    <row r="1811">
      <c r="A1811" s="4">
        <f>IFERROR(__xludf.DUMMYFUNCTION("""COMPUTED_VALUE"""),34.0)</f>
        <v>34</v>
      </c>
      <c r="B1811" s="4">
        <f>IFERROR(__xludf.DUMMYFUNCTION("""COMPUTED_VALUE"""),34.0)</f>
        <v>34</v>
      </c>
      <c r="C1811" s="4" t="str">
        <f>IFERROR(__xludf.DUMMYFUNCTION("""COMPUTED_VALUE"""),"CHI")</f>
        <v>CHI</v>
      </c>
      <c r="D1811" s="4" t="str">
        <f>IFERROR(__xludf.DUMMYFUNCTION("""COMPUTED_VALUE"""),"Shammond Williams")</f>
        <v>Shammond Williams</v>
      </c>
      <c r="E1811" s="4" t="str">
        <f>IFERROR(__xludf.DUMMYFUNCTION("""COMPUTED_VALUE"""),"UNC")</f>
        <v>UNC</v>
      </c>
      <c r="F1811" s="4">
        <f>IFERROR(__xludf.DUMMYFUNCTION("""COMPUTED_VALUE"""),7.0)</f>
        <v>7</v>
      </c>
      <c r="G1811" s="4">
        <f>IFERROR(__xludf.DUMMYFUNCTION("""COMPUTED_VALUE"""),325.0)</f>
        <v>325</v>
      </c>
      <c r="H1811" s="4">
        <f>IFERROR(__xludf.DUMMYFUNCTION("""COMPUTED_VALUE"""),5351.0)</f>
        <v>5351</v>
      </c>
      <c r="I1811" s="4">
        <f>IFERROR(__xludf.DUMMYFUNCTION("""COMPUTED_VALUE"""),1892.0)</f>
        <v>1892</v>
      </c>
      <c r="J1811" s="4">
        <f>IFERROR(__xludf.DUMMYFUNCTION("""COMPUTED_VALUE"""),518.0)</f>
        <v>518</v>
      </c>
      <c r="K1811" s="4">
        <f>IFERROR(__xludf.DUMMYFUNCTION("""COMPUTED_VALUE"""),765.0)</f>
        <v>765</v>
      </c>
      <c r="L1811" s="4">
        <f>IFERROR(__xludf.DUMMYFUNCTION("""COMPUTED_VALUE"""),0.401)</f>
        <v>0.401</v>
      </c>
      <c r="M1811" s="4">
        <f>IFERROR(__xludf.DUMMYFUNCTION("""COMPUTED_VALUE"""),0.366)</f>
        <v>0.366</v>
      </c>
      <c r="N1811" s="4">
        <f>IFERROR(__xludf.DUMMYFUNCTION("""COMPUTED_VALUE"""),0.798)</f>
        <v>0.798</v>
      </c>
      <c r="O1811" s="4">
        <f>IFERROR(__xludf.DUMMYFUNCTION("""COMPUTED_VALUE"""),16.5)</f>
        <v>16.5</v>
      </c>
      <c r="P1811" s="4">
        <f>IFERROR(__xludf.DUMMYFUNCTION("""COMPUTED_VALUE"""),5.8)</f>
        <v>5.8</v>
      </c>
      <c r="Q1811" s="4">
        <f>IFERROR(__xludf.DUMMYFUNCTION("""COMPUTED_VALUE"""),1.6)</f>
        <v>1.6</v>
      </c>
      <c r="R1811" s="4">
        <f>IFERROR(__xludf.DUMMYFUNCTION("""COMPUTED_VALUE"""),2.4)</f>
        <v>2.4</v>
      </c>
      <c r="S1811" s="4">
        <f>IFERROR(__xludf.DUMMYFUNCTION("""COMPUTED_VALUE"""),8.8)</f>
        <v>8.8</v>
      </c>
      <c r="T1811" s="4">
        <f>IFERROR(__xludf.DUMMYFUNCTION("""COMPUTED_VALUE"""),0.079)</f>
        <v>0.079</v>
      </c>
      <c r="U1811" s="4">
        <f>IFERROR(__xludf.DUMMYFUNCTION("""COMPUTED_VALUE"""),-0.7)</f>
        <v>-0.7</v>
      </c>
      <c r="V1811" s="4">
        <f>IFERROR(__xludf.DUMMYFUNCTION("""COMPUTED_VALUE"""),1.7)</f>
        <v>1.7</v>
      </c>
    </row>
    <row r="1812">
      <c r="A1812" s="4">
        <f>IFERROR(__xludf.DUMMYFUNCTION("""COMPUTED_VALUE"""),35.0)</f>
        <v>35</v>
      </c>
      <c r="B1812" s="4">
        <f>IFERROR(__xludf.DUMMYFUNCTION("""COMPUTED_VALUE"""),35.0)</f>
        <v>35</v>
      </c>
      <c r="C1812" s="4" t="str">
        <f>IFERROR(__xludf.DUMMYFUNCTION("""COMPUTED_VALUE"""),"DAL")</f>
        <v>DAL</v>
      </c>
      <c r="D1812" s="4" t="str">
        <f>IFERROR(__xludf.DUMMYFUNCTION("""COMPUTED_VALUE"""),"Bruno Šundov")</f>
        <v>Bruno Šundov</v>
      </c>
      <c r="E1812" s="4"/>
      <c r="F1812" s="4">
        <f>IFERROR(__xludf.DUMMYFUNCTION("""COMPUTED_VALUE"""),7.0)</f>
        <v>7</v>
      </c>
      <c r="G1812" s="4">
        <f>IFERROR(__xludf.DUMMYFUNCTION("""COMPUTED_VALUE"""),102.0)</f>
        <v>102</v>
      </c>
      <c r="H1812" s="4">
        <f>IFERROR(__xludf.DUMMYFUNCTION("""COMPUTED_VALUE"""),524.0)</f>
        <v>524</v>
      </c>
      <c r="I1812" s="4">
        <f>IFERROR(__xludf.DUMMYFUNCTION("""COMPUTED_VALUE"""),173.0)</f>
        <v>173</v>
      </c>
      <c r="J1812" s="4">
        <f>IFERROR(__xludf.DUMMYFUNCTION("""COMPUTED_VALUE"""),107.0)</f>
        <v>107</v>
      </c>
      <c r="K1812" s="4">
        <f>IFERROR(__xludf.DUMMYFUNCTION("""COMPUTED_VALUE"""),18.0)</f>
        <v>18</v>
      </c>
      <c r="L1812" s="4">
        <f>IFERROR(__xludf.DUMMYFUNCTION("""COMPUTED_VALUE"""),0.356)</f>
        <v>0.356</v>
      </c>
      <c r="M1812" s="4">
        <f>IFERROR(__xludf.DUMMYFUNCTION("""COMPUTED_VALUE"""),0.208)</f>
        <v>0.208</v>
      </c>
      <c r="N1812" s="4">
        <f>IFERROR(__xludf.DUMMYFUNCTION("""COMPUTED_VALUE"""),0.526)</f>
        <v>0.526</v>
      </c>
      <c r="O1812" s="4">
        <f>IFERROR(__xludf.DUMMYFUNCTION("""COMPUTED_VALUE"""),5.1)</f>
        <v>5.1</v>
      </c>
      <c r="P1812" s="4">
        <f>IFERROR(__xludf.DUMMYFUNCTION("""COMPUTED_VALUE"""),1.7)</f>
        <v>1.7</v>
      </c>
      <c r="Q1812" s="4">
        <f>IFERROR(__xludf.DUMMYFUNCTION("""COMPUTED_VALUE"""),1.0)</f>
        <v>1</v>
      </c>
      <c r="R1812" s="4">
        <f>IFERROR(__xludf.DUMMYFUNCTION("""COMPUTED_VALUE"""),0.2)</f>
        <v>0.2</v>
      </c>
      <c r="S1812" s="4">
        <f>IFERROR(__xludf.DUMMYFUNCTION("""COMPUTED_VALUE"""),-0.7)</f>
        <v>-0.7</v>
      </c>
      <c r="T1812" s="4">
        <f>IFERROR(__xludf.DUMMYFUNCTION("""COMPUTED_VALUE"""),-0.062)</f>
        <v>-0.062</v>
      </c>
      <c r="U1812" s="4">
        <f>IFERROR(__xludf.DUMMYFUNCTION("""COMPUTED_VALUE"""),-8.9)</f>
        <v>-8.9</v>
      </c>
      <c r="V1812" s="4">
        <f>IFERROR(__xludf.DUMMYFUNCTION("""COMPUTED_VALUE"""),-0.9)</f>
        <v>-0.9</v>
      </c>
    </row>
    <row r="1813">
      <c r="A1813" s="4">
        <f>IFERROR(__xludf.DUMMYFUNCTION("""COMPUTED_VALUE"""),36.0)</f>
        <v>36</v>
      </c>
      <c r="B1813" s="4">
        <f>IFERROR(__xludf.DUMMYFUNCTION("""COMPUTED_VALUE"""),36.0)</f>
        <v>36</v>
      </c>
      <c r="C1813" s="4" t="str">
        <f>IFERROR(__xludf.DUMMYFUNCTION("""COMPUTED_VALUE"""),"SAC")</f>
        <v>SAC</v>
      </c>
      <c r="D1813" s="4" t="str">
        <f>IFERROR(__xludf.DUMMYFUNCTION("""COMPUTED_VALUE"""),"Jerome James")</f>
        <v>Jerome James</v>
      </c>
      <c r="E1813" s="4" t="str">
        <f>IFERROR(__xludf.DUMMYFUNCTION("""COMPUTED_VALUE"""),"Florida A&amp;M")</f>
        <v>Florida A&amp;M</v>
      </c>
      <c r="F1813" s="4">
        <f>IFERROR(__xludf.DUMMYFUNCTION("""COMPUTED_VALUE"""),9.0)</f>
        <v>9</v>
      </c>
      <c r="G1813" s="4">
        <f>IFERROR(__xludf.DUMMYFUNCTION("""COMPUTED_VALUE"""),358.0)</f>
        <v>358</v>
      </c>
      <c r="H1813" s="4">
        <f>IFERROR(__xludf.DUMMYFUNCTION("""COMPUTED_VALUE"""),4771.0)</f>
        <v>4771</v>
      </c>
      <c r="I1813" s="4">
        <f>IFERROR(__xludf.DUMMYFUNCTION("""COMPUTED_VALUE"""),1540.0)</f>
        <v>1540</v>
      </c>
      <c r="J1813" s="4">
        <f>IFERROR(__xludf.DUMMYFUNCTION("""COMPUTED_VALUE"""),1099.0)</f>
        <v>1099</v>
      </c>
      <c r="K1813" s="4">
        <f>IFERROR(__xludf.DUMMYFUNCTION("""COMPUTED_VALUE"""),118.0)</f>
        <v>118</v>
      </c>
      <c r="L1813" s="4">
        <f>IFERROR(__xludf.DUMMYFUNCTION("""COMPUTED_VALUE"""),0.485)</f>
        <v>0.485</v>
      </c>
      <c r="M1813" s="4">
        <f>IFERROR(__xludf.DUMMYFUNCTION("""COMPUTED_VALUE"""),0.0)</f>
        <v>0</v>
      </c>
      <c r="N1813" s="4">
        <f>IFERROR(__xludf.DUMMYFUNCTION("""COMPUTED_VALUE"""),0.617)</f>
        <v>0.617</v>
      </c>
      <c r="O1813" s="4">
        <f>IFERROR(__xludf.DUMMYFUNCTION("""COMPUTED_VALUE"""),13.3)</f>
        <v>13.3</v>
      </c>
      <c r="P1813" s="4">
        <f>IFERROR(__xludf.DUMMYFUNCTION("""COMPUTED_VALUE"""),4.3)</f>
        <v>4.3</v>
      </c>
      <c r="Q1813" s="4">
        <f>IFERROR(__xludf.DUMMYFUNCTION("""COMPUTED_VALUE"""),3.1)</f>
        <v>3.1</v>
      </c>
      <c r="R1813" s="4">
        <f>IFERROR(__xludf.DUMMYFUNCTION("""COMPUTED_VALUE"""),0.3)</f>
        <v>0.3</v>
      </c>
      <c r="S1813" s="4">
        <f>IFERROR(__xludf.DUMMYFUNCTION("""COMPUTED_VALUE"""),2.9)</f>
        <v>2.9</v>
      </c>
      <c r="T1813" s="4">
        <f>IFERROR(__xludf.DUMMYFUNCTION("""COMPUTED_VALUE"""),0.029)</f>
        <v>0.029</v>
      </c>
      <c r="U1813" s="4">
        <f>IFERROR(__xludf.DUMMYFUNCTION("""COMPUTED_VALUE"""),-4.9)</f>
        <v>-4.9</v>
      </c>
      <c r="V1813" s="4">
        <f>IFERROR(__xludf.DUMMYFUNCTION("""COMPUTED_VALUE"""),-3.5)</f>
        <v>-3.5</v>
      </c>
    </row>
    <row r="1814">
      <c r="A1814" s="4">
        <f>IFERROR(__xludf.DUMMYFUNCTION("""COMPUTED_VALUE"""),37.0)</f>
        <v>37</v>
      </c>
      <c r="B1814" s="4">
        <f>IFERROR(__xludf.DUMMYFUNCTION("""COMPUTED_VALUE"""),37.0)</f>
        <v>37</v>
      </c>
      <c r="C1814" s="4" t="str">
        <f>IFERROR(__xludf.DUMMYFUNCTION("""COMPUTED_VALUE"""),"PHI")</f>
        <v>PHI</v>
      </c>
      <c r="D1814" s="4" t="str">
        <f>IFERROR(__xludf.DUMMYFUNCTION("""COMPUTED_VALUE"""),"Casey Shaw")</f>
        <v>Casey Shaw</v>
      </c>
      <c r="E1814" s="4" t="str">
        <f>IFERROR(__xludf.DUMMYFUNCTION("""COMPUTED_VALUE"""),"Toledo")</f>
        <v>Toledo</v>
      </c>
      <c r="F1814" s="4">
        <f>IFERROR(__xludf.DUMMYFUNCTION("""COMPUTED_VALUE"""),1.0)</f>
        <v>1</v>
      </c>
      <c r="G1814" s="4">
        <f>IFERROR(__xludf.DUMMYFUNCTION("""COMPUTED_VALUE"""),9.0)</f>
        <v>9</v>
      </c>
      <c r="H1814" s="4">
        <f>IFERROR(__xludf.DUMMYFUNCTION("""COMPUTED_VALUE"""),14.0)</f>
        <v>14</v>
      </c>
      <c r="I1814" s="4">
        <f>IFERROR(__xludf.DUMMYFUNCTION("""COMPUTED_VALUE"""),2.0)</f>
        <v>2</v>
      </c>
      <c r="J1814" s="4">
        <f>IFERROR(__xludf.DUMMYFUNCTION("""COMPUTED_VALUE"""),3.0)</f>
        <v>3</v>
      </c>
      <c r="K1814" s="4">
        <f>IFERROR(__xludf.DUMMYFUNCTION("""COMPUTED_VALUE"""),0.0)</f>
        <v>0</v>
      </c>
      <c r="L1814" s="4">
        <f>IFERROR(__xludf.DUMMYFUNCTION("""COMPUTED_VALUE"""),0.125)</f>
        <v>0.125</v>
      </c>
      <c r="M1814" s="4"/>
      <c r="N1814" s="4"/>
      <c r="O1814" s="4">
        <f>IFERROR(__xludf.DUMMYFUNCTION("""COMPUTED_VALUE"""),1.6)</f>
        <v>1.6</v>
      </c>
      <c r="P1814" s="4">
        <f>IFERROR(__xludf.DUMMYFUNCTION("""COMPUTED_VALUE"""),0.2)</f>
        <v>0.2</v>
      </c>
      <c r="Q1814" s="4">
        <f>IFERROR(__xludf.DUMMYFUNCTION("""COMPUTED_VALUE"""),0.3)</f>
        <v>0.3</v>
      </c>
      <c r="R1814" s="4">
        <f>IFERROR(__xludf.DUMMYFUNCTION("""COMPUTED_VALUE"""),0.0)</f>
        <v>0</v>
      </c>
      <c r="S1814" s="4">
        <f>IFERROR(__xludf.DUMMYFUNCTION("""COMPUTED_VALUE"""),-0.1)</f>
        <v>-0.1</v>
      </c>
      <c r="T1814" s="4">
        <f>IFERROR(__xludf.DUMMYFUNCTION("""COMPUTED_VALUE"""),-0.498)</f>
        <v>-0.498</v>
      </c>
      <c r="U1814" s="4">
        <f>IFERROR(__xludf.DUMMYFUNCTION("""COMPUTED_VALUE"""),-29.8)</f>
        <v>-29.8</v>
      </c>
      <c r="V1814" s="4">
        <f>IFERROR(__xludf.DUMMYFUNCTION("""COMPUTED_VALUE"""),-0.1)</f>
        <v>-0.1</v>
      </c>
    </row>
    <row r="1815">
      <c r="A1815" s="4">
        <f>IFERROR(__xludf.DUMMYFUNCTION("""COMPUTED_VALUE"""),38.0)</f>
        <v>38</v>
      </c>
      <c r="B1815" s="4">
        <f>IFERROR(__xludf.DUMMYFUNCTION("""COMPUTED_VALUE"""),38.0)</f>
        <v>38</v>
      </c>
      <c r="C1815" s="4" t="str">
        <f>IFERROR(__xludf.DUMMYFUNCTION("""COMPUTED_VALUE"""),"NYK")</f>
        <v>NYK</v>
      </c>
      <c r="D1815" s="4" t="str">
        <f>IFERROR(__xludf.DUMMYFUNCTION("""COMPUTED_VALUE"""),"DeMarco Johnson")</f>
        <v>DeMarco Johnson</v>
      </c>
      <c r="E1815" s="4" t="str">
        <f>IFERROR(__xludf.DUMMYFUNCTION("""COMPUTED_VALUE"""),"UNC Charlotte")</f>
        <v>UNC Charlotte</v>
      </c>
      <c r="F1815" s="4">
        <f>IFERROR(__xludf.DUMMYFUNCTION("""COMPUTED_VALUE"""),1.0)</f>
        <v>1</v>
      </c>
      <c r="G1815" s="4">
        <f>IFERROR(__xludf.DUMMYFUNCTION("""COMPUTED_VALUE"""),5.0)</f>
        <v>5</v>
      </c>
      <c r="H1815" s="4">
        <f>IFERROR(__xludf.DUMMYFUNCTION("""COMPUTED_VALUE"""),37.0)</f>
        <v>37</v>
      </c>
      <c r="I1815" s="4">
        <f>IFERROR(__xludf.DUMMYFUNCTION("""COMPUTED_VALUE"""),6.0)</f>
        <v>6</v>
      </c>
      <c r="J1815" s="4">
        <f>IFERROR(__xludf.DUMMYFUNCTION("""COMPUTED_VALUE"""),7.0)</f>
        <v>7</v>
      </c>
      <c r="K1815" s="4">
        <f>IFERROR(__xludf.DUMMYFUNCTION("""COMPUTED_VALUE"""),0.0)</f>
        <v>0</v>
      </c>
      <c r="L1815" s="4">
        <f>IFERROR(__xludf.DUMMYFUNCTION("""COMPUTED_VALUE"""),0.333)</f>
        <v>0.333</v>
      </c>
      <c r="M1815" s="4"/>
      <c r="N1815" s="4"/>
      <c r="O1815" s="4">
        <f>IFERROR(__xludf.DUMMYFUNCTION("""COMPUTED_VALUE"""),7.4)</f>
        <v>7.4</v>
      </c>
      <c r="P1815" s="4">
        <f>IFERROR(__xludf.DUMMYFUNCTION("""COMPUTED_VALUE"""),1.2)</f>
        <v>1.2</v>
      </c>
      <c r="Q1815" s="4">
        <f>IFERROR(__xludf.DUMMYFUNCTION("""COMPUTED_VALUE"""),1.4)</f>
        <v>1.4</v>
      </c>
      <c r="R1815" s="4">
        <f>IFERROR(__xludf.DUMMYFUNCTION("""COMPUTED_VALUE"""),0.0)</f>
        <v>0</v>
      </c>
      <c r="S1815" s="4">
        <f>IFERROR(__xludf.DUMMYFUNCTION("""COMPUTED_VALUE"""),-0.1)</f>
        <v>-0.1</v>
      </c>
      <c r="T1815" s="4">
        <f>IFERROR(__xludf.DUMMYFUNCTION("""COMPUTED_VALUE"""),-0.091)</f>
        <v>-0.091</v>
      </c>
      <c r="U1815" s="4">
        <f>IFERROR(__xludf.DUMMYFUNCTION("""COMPUTED_VALUE"""),-10.3)</f>
        <v>-10.3</v>
      </c>
      <c r="V1815" s="4">
        <f>IFERROR(__xludf.DUMMYFUNCTION("""COMPUTED_VALUE"""),-0.1)</f>
        <v>-0.1</v>
      </c>
    </row>
    <row r="1816">
      <c r="A1816" s="4">
        <f>IFERROR(__xludf.DUMMYFUNCTION("""COMPUTED_VALUE"""),39.0)</f>
        <v>39</v>
      </c>
      <c r="B1816" s="4">
        <f>IFERROR(__xludf.DUMMYFUNCTION("""COMPUTED_VALUE"""),39.0)</f>
        <v>39</v>
      </c>
      <c r="C1816" s="4" t="str">
        <f>IFERROR(__xludf.DUMMYFUNCTION("""COMPUTED_VALUE"""),"MIL")</f>
        <v>MIL</v>
      </c>
      <c r="D1816" s="4" t="str">
        <f>IFERROR(__xludf.DUMMYFUNCTION("""COMPUTED_VALUE"""),"Rafer Alston")</f>
        <v>Rafer Alston</v>
      </c>
      <c r="E1816" s="4" t="str">
        <f>IFERROR(__xludf.DUMMYFUNCTION("""COMPUTED_VALUE"""),"Fresno State")</f>
        <v>Fresno State</v>
      </c>
      <c r="F1816" s="4">
        <f>IFERROR(__xludf.DUMMYFUNCTION("""COMPUTED_VALUE"""),11.0)</f>
        <v>11</v>
      </c>
      <c r="G1816" s="4">
        <f>IFERROR(__xludf.DUMMYFUNCTION("""COMPUTED_VALUE"""),671.0)</f>
        <v>671</v>
      </c>
      <c r="H1816" s="4">
        <f>IFERROR(__xludf.DUMMYFUNCTION("""COMPUTED_VALUE"""),19392.0)</f>
        <v>19392</v>
      </c>
      <c r="I1816" s="4">
        <f>IFERROR(__xludf.DUMMYFUNCTION("""COMPUTED_VALUE"""),6799.0)</f>
        <v>6799</v>
      </c>
      <c r="J1816" s="4">
        <f>IFERROR(__xludf.DUMMYFUNCTION("""COMPUTED_VALUE"""),1891.0)</f>
        <v>1891</v>
      </c>
      <c r="K1816" s="4">
        <f>IFERROR(__xludf.DUMMYFUNCTION("""COMPUTED_VALUE"""),3202.0)</f>
        <v>3202</v>
      </c>
      <c r="L1816" s="4">
        <f>IFERROR(__xludf.DUMMYFUNCTION("""COMPUTED_VALUE"""),0.383)</f>
        <v>0.383</v>
      </c>
      <c r="M1816" s="4">
        <f>IFERROR(__xludf.DUMMYFUNCTION("""COMPUTED_VALUE"""),0.354)</f>
        <v>0.354</v>
      </c>
      <c r="N1816" s="4">
        <f>IFERROR(__xludf.DUMMYFUNCTION("""COMPUTED_VALUE"""),0.729)</f>
        <v>0.729</v>
      </c>
      <c r="O1816" s="4">
        <f>IFERROR(__xludf.DUMMYFUNCTION("""COMPUTED_VALUE"""),28.9)</f>
        <v>28.9</v>
      </c>
      <c r="P1816" s="4">
        <f>IFERROR(__xludf.DUMMYFUNCTION("""COMPUTED_VALUE"""),10.1)</f>
        <v>10.1</v>
      </c>
      <c r="Q1816" s="4">
        <f>IFERROR(__xludf.DUMMYFUNCTION("""COMPUTED_VALUE"""),2.8)</f>
        <v>2.8</v>
      </c>
      <c r="R1816" s="4">
        <f>IFERROR(__xludf.DUMMYFUNCTION("""COMPUTED_VALUE"""),4.8)</f>
        <v>4.8</v>
      </c>
      <c r="S1816" s="4">
        <f>IFERROR(__xludf.DUMMYFUNCTION("""COMPUTED_VALUE"""),32.9)</f>
        <v>32.9</v>
      </c>
      <c r="T1816" s="4">
        <f>IFERROR(__xludf.DUMMYFUNCTION("""COMPUTED_VALUE"""),0.081)</f>
        <v>0.081</v>
      </c>
      <c r="U1816" s="4">
        <f>IFERROR(__xludf.DUMMYFUNCTION("""COMPUTED_VALUE"""),0.0)</f>
        <v>0</v>
      </c>
      <c r="V1816" s="4">
        <f>IFERROR(__xludf.DUMMYFUNCTION("""COMPUTED_VALUE"""),9.6)</f>
        <v>9.6</v>
      </c>
    </row>
    <row r="1817">
      <c r="A1817" s="4">
        <f>IFERROR(__xludf.DUMMYFUNCTION("""COMPUTED_VALUE"""),40.0)</f>
        <v>40</v>
      </c>
      <c r="B1817" s="4">
        <f>IFERROR(__xludf.DUMMYFUNCTION("""COMPUTED_VALUE"""),40.0)</f>
        <v>40</v>
      </c>
      <c r="C1817" s="4" t="str">
        <f>IFERROR(__xludf.DUMMYFUNCTION("""COMPUTED_VALUE"""),"DET")</f>
        <v>DET</v>
      </c>
      <c r="D1817" s="4" t="str">
        <f>IFERROR(__xludf.DUMMYFUNCTION("""COMPUTED_VALUE"""),"Korleone Young")</f>
        <v>Korleone Young</v>
      </c>
      <c r="E1817" s="4"/>
      <c r="F1817" s="4">
        <f>IFERROR(__xludf.DUMMYFUNCTION("""COMPUTED_VALUE"""),1.0)</f>
        <v>1</v>
      </c>
      <c r="G1817" s="4">
        <f>IFERROR(__xludf.DUMMYFUNCTION("""COMPUTED_VALUE"""),3.0)</f>
        <v>3</v>
      </c>
      <c r="H1817" s="4">
        <f>IFERROR(__xludf.DUMMYFUNCTION("""COMPUTED_VALUE"""),15.0)</f>
        <v>15</v>
      </c>
      <c r="I1817" s="4">
        <f>IFERROR(__xludf.DUMMYFUNCTION("""COMPUTED_VALUE"""),13.0)</f>
        <v>13</v>
      </c>
      <c r="J1817" s="4">
        <f>IFERROR(__xludf.DUMMYFUNCTION("""COMPUTED_VALUE"""),4.0)</f>
        <v>4</v>
      </c>
      <c r="K1817" s="4">
        <f>IFERROR(__xludf.DUMMYFUNCTION("""COMPUTED_VALUE"""),1.0)</f>
        <v>1</v>
      </c>
      <c r="L1817" s="4">
        <f>IFERROR(__xludf.DUMMYFUNCTION("""COMPUTED_VALUE"""),0.5)</f>
        <v>0.5</v>
      </c>
      <c r="M1817" s="4">
        <f>IFERROR(__xludf.DUMMYFUNCTION("""COMPUTED_VALUE"""),0.25)</f>
        <v>0.25</v>
      </c>
      <c r="N1817" s="4">
        <f>IFERROR(__xludf.DUMMYFUNCTION("""COMPUTED_VALUE"""),1.0)</f>
        <v>1</v>
      </c>
      <c r="O1817" s="4">
        <f>IFERROR(__xludf.DUMMYFUNCTION("""COMPUTED_VALUE"""),5.0)</f>
        <v>5</v>
      </c>
      <c r="P1817" s="4">
        <f>IFERROR(__xludf.DUMMYFUNCTION("""COMPUTED_VALUE"""),4.3)</f>
        <v>4.3</v>
      </c>
      <c r="Q1817" s="4">
        <f>IFERROR(__xludf.DUMMYFUNCTION("""COMPUTED_VALUE"""),1.3)</f>
        <v>1.3</v>
      </c>
      <c r="R1817" s="4">
        <f>IFERROR(__xludf.DUMMYFUNCTION("""COMPUTED_VALUE"""),0.3)</f>
        <v>0.3</v>
      </c>
      <c r="S1817" s="4">
        <f>IFERROR(__xludf.DUMMYFUNCTION("""COMPUTED_VALUE"""),0.1)</f>
        <v>0.1</v>
      </c>
      <c r="T1817" s="4">
        <f>IFERROR(__xludf.DUMMYFUNCTION("""COMPUTED_VALUE"""),0.28)</f>
        <v>0.28</v>
      </c>
      <c r="U1817" s="4">
        <f>IFERROR(__xludf.DUMMYFUNCTION("""COMPUTED_VALUE"""),9.4)</f>
        <v>9.4</v>
      </c>
      <c r="V1817" s="4">
        <f>IFERROR(__xludf.DUMMYFUNCTION("""COMPUTED_VALUE"""),0.0)</f>
        <v>0</v>
      </c>
    </row>
    <row r="1818">
      <c r="A1818" s="4">
        <f>IFERROR(__xludf.DUMMYFUNCTION("""COMPUTED_VALUE"""),41.0)</f>
        <v>41</v>
      </c>
      <c r="B1818" s="4">
        <f>IFERROR(__xludf.DUMMYFUNCTION("""COMPUTED_VALUE"""),41.0)</f>
        <v>41</v>
      </c>
      <c r="C1818" s="4" t="str">
        <f>IFERROR(__xludf.DUMMYFUNCTION("""COMPUTED_VALUE"""),"HOU")</f>
        <v>HOU</v>
      </c>
      <c r="D1818" s="4" t="str">
        <f>IFERROR(__xludf.DUMMYFUNCTION("""COMPUTED_VALUE"""),"Cuttino Mobley")</f>
        <v>Cuttino Mobley</v>
      </c>
      <c r="E1818" s="4" t="str">
        <f>IFERROR(__xludf.DUMMYFUNCTION("""COMPUTED_VALUE"""),"Rhode Island")</f>
        <v>Rhode Island</v>
      </c>
      <c r="F1818" s="4">
        <f>IFERROR(__xludf.DUMMYFUNCTION("""COMPUTED_VALUE"""),11.0)</f>
        <v>11</v>
      </c>
      <c r="G1818" s="4">
        <f>IFERROR(__xludf.DUMMYFUNCTION("""COMPUTED_VALUE"""),747.0)</f>
        <v>747</v>
      </c>
      <c r="H1818" s="4">
        <f>IFERROR(__xludf.DUMMYFUNCTION("""COMPUTED_VALUE"""),27618.0)</f>
        <v>27618</v>
      </c>
      <c r="I1818" s="4">
        <f>IFERROR(__xludf.DUMMYFUNCTION("""COMPUTED_VALUE"""),11964.0)</f>
        <v>11964</v>
      </c>
      <c r="J1818" s="4">
        <f>IFERROR(__xludf.DUMMYFUNCTION("""COMPUTED_VALUE"""),2902.0)</f>
        <v>2902</v>
      </c>
      <c r="K1818" s="4">
        <f>IFERROR(__xludf.DUMMYFUNCTION("""COMPUTED_VALUE"""),2015.0)</f>
        <v>2015</v>
      </c>
      <c r="L1818" s="4">
        <f>IFERROR(__xludf.DUMMYFUNCTION("""COMPUTED_VALUE"""),0.433)</f>
        <v>0.433</v>
      </c>
      <c r="M1818" s="4">
        <f>IFERROR(__xludf.DUMMYFUNCTION("""COMPUTED_VALUE"""),0.378)</f>
        <v>0.378</v>
      </c>
      <c r="N1818" s="4">
        <f>IFERROR(__xludf.DUMMYFUNCTION("""COMPUTED_VALUE"""),0.835)</f>
        <v>0.835</v>
      </c>
      <c r="O1818" s="4">
        <f>IFERROR(__xludf.DUMMYFUNCTION("""COMPUTED_VALUE"""),37.0)</f>
        <v>37</v>
      </c>
      <c r="P1818" s="4">
        <f>IFERROR(__xludf.DUMMYFUNCTION("""COMPUTED_VALUE"""),16.0)</f>
        <v>16</v>
      </c>
      <c r="Q1818" s="4">
        <f>IFERROR(__xludf.DUMMYFUNCTION("""COMPUTED_VALUE"""),3.9)</f>
        <v>3.9</v>
      </c>
      <c r="R1818" s="4">
        <f>IFERROR(__xludf.DUMMYFUNCTION("""COMPUTED_VALUE"""),2.7)</f>
        <v>2.7</v>
      </c>
      <c r="S1818" s="4">
        <f>IFERROR(__xludf.DUMMYFUNCTION("""COMPUTED_VALUE"""),52.2)</f>
        <v>52.2</v>
      </c>
      <c r="T1818" s="4">
        <f>IFERROR(__xludf.DUMMYFUNCTION("""COMPUTED_VALUE"""),0.091)</f>
        <v>0.091</v>
      </c>
      <c r="U1818" s="4">
        <f>IFERROR(__xludf.DUMMYFUNCTION("""COMPUTED_VALUE"""),-0.1)</f>
        <v>-0.1</v>
      </c>
      <c r="V1818" s="4">
        <f>IFERROR(__xludf.DUMMYFUNCTION("""COMPUTED_VALUE"""),12.9)</f>
        <v>12.9</v>
      </c>
    </row>
    <row r="1819">
      <c r="A1819" s="4">
        <f>IFERROR(__xludf.DUMMYFUNCTION("""COMPUTED_VALUE"""),42.0)</f>
        <v>42</v>
      </c>
      <c r="B1819" s="4">
        <f>IFERROR(__xludf.DUMMYFUNCTION("""COMPUTED_VALUE"""),42.0)</f>
        <v>42</v>
      </c>
      <c r="C1819" s="4" t="str">
        <f>IFERROR(__xludf.DUMMYFUNCTION("""COMPUTED_VALUE"""),"ORL")</f>
        <v>ORL</v>
      </c>
      <c r="D1819" s="4" t="str">
        <f>IFERROR(__xludf.DUMMYFUNCTION("""COMPUTED_VALUE"""),"Miles Simon")</f>
        <v>Miles Simon</v>
      </c>
      <c r="E1819" s="4" t="str">
        <f>IFERROR(__xludf.DUMMYFUNCTION("""COMPUTED_VALUE"""),"Arizona")</f>
        <v>Arizona</v>
      </c>
      <c r="F1819" s="4">
        <f>IFERROR(__xludf.DUMMYFUNCTION("""COMPUTED_VALUE"""),1.0)</f>
        <v>1</v>
      </c>
      <c r="G1819" s="4">
        <f>IFERROR(__xludf.DUMMYFUNCTION("""COMPUTED_VALUE"""),5.0)</f>
        <v>5</v>
      </c>
      <c r="H1819" s="4">
        <f>IFERROR(__xludf.DUMMYFUNCTION("""COMPUTED_VALUE"""),19.0)</f>
        <v>19</v>
      </c>
      <c r="I1819" s="4">
        <f>IFERROR(__xludf.DUMMYFUNCTION("""COMPUTED_VALUE"""),2.0)</f>
        <v>2</v>
      </c>
      <c r="J1819" s="4">
        <f>IFERROR(__xludf.DUMMYFUNCTION("""COMPUTED_VALUE"""),2.0)</f>
        <v>2</v>
      </c>
      <c r="K1819" s="4">
        <f>IFERROR(__xludf.DUMMYFUNCTION("""COMPUTED_VALUE"""),0.0)</f>
        <v>0</v>
      </c>
      <c r="L1819" s="4">
        <f>IFERROR(__xludf.DUMMYFUNCTION("""COMPUTED_VALUE"""),0.2)</f>
        <v>0.2</v>
      </c>
      <c r="M1819" s="4">
        <f>IFERROR(__xludf.DUMMYFUNCTION("""COMPUTED_VALUE"""),0.0)</f>
        <v>0</v>
      </c>
      <c r="N1819" s="4"/>
      <c r="O1819" s="4">
        <f>IFERROR(__xludf.DUMMYFUNCTION("""COMPUTED_VALUE"""),3.8)</f>
        <v>3.8</v>
      </c>
      <c r="P1819" s="4">
        <f>IFERROR(__xludf.DUMMYFUNCTION("""COMPUTED_VALUE"""),0.4)</f>
        <v>0.4</v>
      </c>
      <c r="Q1819" s="4">
        <f>IFERROR(__xludf.DUMMYFUNCTION("""COMPUTED_VALUE"""),0.4)</f>
        <v>0.4</v>
      </c>
      <c r="R1819" s="4">
        <f>IFERROR(__xludf.DUMMYFUNCTION("""COMPUTED_VALUE"""),0.0)</f>
        <v>0</v>
      </c>
      <c r="S1819" s="4">
        <f>IFERROR(__xludf.DUMMYFUNCTION("""COMPUTED_VALUE"""),-0.1)</f>
        <v>-0.1</v>
      </c>
      <c r="T1819" s="4">
        <f>IFERROR(__xludf.DUMMYFUNCTION("""COMPUTED_VALUE"""),-0.289)</f>
        <v>-0.289</v>
      </c>
      <c r="U1819" s="4">
        <f>IFERROR(__xludf.DUMMYFUNCTION("""COMPUTED_VALUE"""),-17.4)</f>
        <v>-17.4</v>
      </c>
      <c r="V1819" s="4">
        <f>IFERROR(__xludf.DUMMYFUNCTION("""COMPUTED_VALUE"""),-0.1)</f>
        <v>-0.1</v>
      </c>
    </row>
    <row r="1820">
      <c r="A1820" s="4">
        <f>IFERROR(__xludf.DUMMYFUNCTION("""COMPUTED_VALUE"""),43.0)</f>
        <v>43</v>
      </c>
      <c r="B1820" s="4">
        <f>IFERROR(__xludf.DUMMYFUNCTION("""COMPUTED_VALUE"""),43.0)</f>
        <v>43</v>
      </c>
      <c r="C1820" s="4" t="str">
        <f>IFERROR(__xludf.DUMMYFUNCTION("""COMPUTED_VALUE"""),"WAS")</f>
        <v>WAS</v>
      </c>
      <c r="D1820" s="4" t="str">
        <f>IFERROR(__xludf.DUMMYFUNCTION("""COMPUTED_VALUE"""),"Jahidi White")</f>
        <v>Jahidi White</v>
      </c>
      <c r="E1820" s="4" t="str">
        <f>IFERROR(__xludf.DUMMYFUNCTION("""COMPUTED_VALUE"""),"Georgetown")</f>
        <v>Georgetown</v>
      </c>
      <c r="F1820" s="4">
        <f>IFERROR(__xludf.DUMMYFUNCTION("""COMPUTED_VALUE"""),7.0)</f>
        <v>7</v>
      </c>
      <c r="G1820" s="4">
        <f>IFERROR(__xludf.DUMMYFUNCTION("""COMPUTED_VALUE"""),334.0)</f>
        <v>334</v>
      </c>
      <c r="H1820" s="4">
        <f>IFERROR(__xludf.DUMMYFUNCTION("""COMPUTED_VALUE"""),5913.0)</f>
        <v>5913</v>
      </c>
      <c r="I1820" s="4">
        <f>IFERROR(__xludf.DUMMYFUNCTION("""COMPUTED_VALUE"""),1954.0)</f>
        <v>1954</v>
      </c>
      <c r="J1820" s="4">
        <f>IFERROR(__xludf.DUMMYFUNCTION("""COMPUTED_VALUE"""),1944.0)</f>
        <v>1944</v>
      </c>
      <c r="K1820" s="4">
        <f>IFERROR(__xludf.DUMMYFUNCTION("""COMPUTED_VALUE"""),63.0)</f>
        <v>63</v>
      </c>
      <c r="L1820" s="4">
        <f>IFERROR(__xludf.DUMMYFUNCTION("""COMPUTED_VALUE"""),0.51)</f>
        <v>0.51</v>
      </c>
      <c r="M1820" s="4">
        <f>IFERROR(__xludf.DUMMYFUNCTION("""COMPUTED_VALUE"""),0.0)</f>
        <v>0</v>
      </c>
      <c r="N1820" s="4">
        <f>IFERROR(__xludf.DUMMYFUNCTION("""COMPUTED_VALUE"""),0.534)</f>
        <v>0.534</v>
      </c>
      <c r="O1820" s="4">
        <f>IFERROR(__xludf.DUMMYFUNCTION("""COMPUTED_VALUE"""),17.7)</f>
        <v>17.7</v>
      </c>
      <c r="P1820" s="4">
        <f>IFERROR(__xludf.DUMMYFUNCTION("""COMPUTED_VALUE"""),5.9)</f>
        <v>5.9</v>
      </c>
      <c r="Q1820" s="4">
        <f>IFERROR(__xludf.DUMMYFUNCTION("""COMPUTED_VALUE"""),5.8)</f>
        <v>5.8</v>
      </c>
      <c r="R1820" s="4">
        <f>IFERROR(__xludf.DUMMYFUNCTION("""COMPUTED_VALUE"""),0.2)</f>
        <v>0.2</v>
      </c>
      <c r="S1820" s="4">
        <f>IFERROR(__xludf.DUMMYFUNCTION("""COMPUTED_VALUE"""),10.4)</f>
        <v>10.4</v>
      </c>
      <c r="T1820" s="4">
        <f>IFERROR(__xludf.DUMMYFUNCTION("""COMPUTED_VALUE"""),0.085)</f>
        <v>0.085</v>
      </c>
      <c r="U1820" s="4">
        <f>IFERROR(__xludf.DUMMYFUNCTION("""COMPUTED_VALUE"""),-3.2)</f>
        <v>-3.2</v>
      </c>
      <c r="V1820" s="4">
        <f>IFERROR(__xludf.DUMMYFUNCTION("""COMPUTED_VALUE"""),-1.8)</f>
        <v>-1.8</v>
      </c>
    </row>
    <row r="1821">
      <c r="A1821" s="4">
        <f>IFERROR(__xludf.DUMMYFUNCTION("""COMPUTED_VALUE"""),44.0)</f>
        <v>44</v>
      </c>
      <c r="B1821" s="4">
        <f>IFERROR(__xludf.DUMMYFUNCTION("""COMPUTED_VALUE"""),44.0)</f>
        <v>44</v>
      </c>
      <c r="C1821" s="4" t="str">
        <f>IFERROR(__xludf.DUMMYFUNCTION("""COMPUTED_VALUE"""),"NYK")</f>
        <v>NYK</v>
      </c>
      <c r="D1821" s="4" t="str">
        <f>IFERROR(__xludf.DUMMYFUNCTION("""COMPUTED_VALUE"""),"Sean Marks")</f>
        <v>Sean Marks</v>
      </c>
      <c r="E1821" s="4" t="str">
        <f>IFERROR(__xludf.DUMMYFUNCTION("""COMPUTED_VALUE"""),"California")</f>
        <v>California</v>
      </c>
      <c r="F1821" s="4">
        <f>IFERROR(__xludf.DUMMYFUNCTION("""COMPUTED_VALUE"""),11.0)</f>
        <v>11</v>
      </c>
      <c r="G1821" s="4">
        <f>IFERROR(__xludf.DUMMYFUNCTION("""COMPUTED_VALUE"""),230.0)</f>
        <v>230</v>
      </c>
      <c r="H1821" s="4">
        <f>IFERROR(__xludf.DUMMYFUNCTION("""COMPUTED_VALUE"""),2275.0)</f>
        <v>2275</v>
      </c>
      <c r="I1821" s="4">
        <f>IFERROR(__xludf.DUMMYFUNCTION("""COMPUTED_VALUE"""),638.0)</f>
        <v>638</v>
      </c>
      <c r="J1821" s="4">
        <f>IFERROR(__xludf.DUMMYFUNCTION("""COMPUTED_VALUE"""),501.0)</f>
        <v>501</v>
      </c>
      <c r="K1821" s="4">
        <f>IFERROR(__xludf.DUMMYFUNCTION("""COMPUTED_VALUE"""),50.0)</f>
        <v>50</v>
      </c>
      <c r="L1821" s="4">
        <f>IFERROR(__xludf.DUMMYFUNCTION("""COMPUTED_VALUE"""),0.448)</f>
        <v>0.448</v>
      </c>
      <c r="M1821" s="4">
        <f>IFERROR(__xludf.DUMMYFUNCTION("""COMPUTED_VALUE"""),0.2)</f>
        <v>0.2</v>
      </c>
      <c r="N1821" s="4">
        <f>IFERROR(__xludf.DUMMYFUNCTION("""COMPUTED_VALUE"""),0.665)</f>
        <v>0.665</v>
      </c>
      <c r="O1821" s="4">
        <f>IFERROR(__xludf.DUMMYFUNCTION("""COMPUTED_VALUE"""),9.9)</f>
        <v>9.9</v>
      </c>
      <c r="P1821" s="4">
        <f>IFERROR(__xludf.DUMMYFUNCTION("""COMPUTED_VALUE"""),2.8)</f>
        <v>2.8</v>
      </c>
      <c r="Q1821" s="4">
        <f>IFERROR(__xludf.DUMMYFUNCTION("""COMPUTED_VALUE"""),2.2)</f>
        <v>2.2</v>
      </c>
      <c r="R1821" s="4">
        <f>IFERROR(__xludf.DUMMYFUNCTION("""COMPUTED_VALUE"""),0.2)</f>
        <v>0.2</v>
      </c>
      <c r="S1821" s="4">
        <f>IFERROR(__xludf.DUMMYFUNCTION("""COMPUTED_VALUE"""),2.6)</f>
        <v>2.6</v>
      </c>
      <c r="T1821" s="4">
        <f>IFERROR(__xludf.DUMMYFUNCTION("""COMPUTED_VALUE"""),0.055)</f>
        <v>0.055</v>
      </c>
      <c r="U1821" s="4">
        <f>IFERROR(__xludf.DUMMYFUNCTION("""COMPUTED_VALUE"""),-5.0)</f>
        <v>-5</v>
      </c>
      <c r="V1821" s="4">
        <f>IFERROR(__xludf.DUMMYFUNCTION("""COMPUTED_VALUE"""),-1.7)</f>
        <v>-1.7</v>
      </c>
    </row>
    <row r="1822">
      <c r="A1822" s="4">
        <f>IFERROR(__xludf.DUMMYFUNCTION("""COMPUTED_VALUE"""),45.0)</f>
        <v>45</v>
      </c>
      <c r="B1822" s="4">
        <f>IFERROR(__xludf.DUMMYFUNCTION("""COMPUTED_VALUE"""),45.0)</f>
        <v>45</v>
      </c>
      <c r="C1822" s="4" t="str">
        <f>IFERROR(__xludf.DUMMYFUNCTION("""COMPUTED_VALUE"""),"LAL")</f>
        <v>LAL</v>
      </c>
      <c r="D1822" s="4" t="str">
        <f>IFERROR(__xludf.DUMMYFUNCTION("""COMPUTED_VALUE"""),"Toby Bailey")</f>
        <v>Toby Bailey</v>
      </c>
      <c r="E1822" s="4" t="str">
        <f>IFERROR(__xludf.DUMMYFUNCTION("""COMPUTED_VALUE"""),"UCLA")</f>
        <v>UCLA</v>
      </c>
      <c r="F1822" s="4">
        <f>IFERROR(__xludf.DUMMYFUNCTION("""COMPUTED_VALUE"""),2.0)</f>
        <v>2</v>
      </c>
      <c r="G1822" s="4">
        <f>IFERROR(__xludf.DUMMYFUNCTION("""COMPUTED_VALUE"""),73.0)</f>
        <v>73</v>
      </c>
      <c r="H1822" s="4">
        <f>IFERROR(__xludf.DUMMYFUNCTION("""COMPUTED_VALUE"""),698.0)</f>
        <v>698</v>
      </c>
      <c r="I1822" s="4">
        <f>IFERROR(__xludf.DUMMYFUNCTION("""COMPUTED_VALUE"""),241.0)</f>
        <v>241</v>
      </c>
      <c r="J1822" s="4">
        <f>IFERROR(__xludf.DUMMYFUNCTION("""COMPUTED_VALUE"""),126.0)</f>
        <v>126</v>
      </c>
      <c r="K1822" s="4">
        <f>IFERROR(__xludf.DUMMYFUNCTION("""COMPUTED_VALUE"""),43.0)</f>
        <v>43</v>
      </c>
      <c r="L1822" s="4">
        <f>IFERROR(__xludf.DUMMYFUNCTION("""COMPUTED_VALUE"""),0.407)</f>
        <v>0.407</v>
      </c>
      <c r="M1822" s="4">
        <f>IFERROR(__xludf.DUMMYFUNCTION("""COMPUTED_VALUE"""),0.2)</f>
        <v>0.2</v>
      </c>
      <c r="N1822" s="4">
        <f>IFERROR(__xludf.DUMMYFUNCTION("""COMPUTED_VALUE"""),0.692)</f>
        <v>0.692</v>
      </c>
      <c r="O1822" s="4">
        <f>IFERROR(__xludf.DUMMYFUNCTION("""COMPUTED_VALUE"""),9.6)</f>
        <v>9.6</v>
      </c>
      <c r="P1822" s="4">
        <f>IFERROR(__xludf.DUMMYFUNCTION("""COMPUTED_VALUE"""),3.3)</f>
        <v>3.3</v>
      </c>
      <c r="Q1822" s="4">
        <f>IFERROR(__xludf.DUMMYFUNCTION("""COMPUTED_VALUE"""),1.7)</f>
        <v>1.7</v>
      </c>
      <c r="R1822" s="4">
        <f>IFERROR(__xludf.DUMMYFUNCTION("""COMPUTED_VALUE"""),0.6)</f>
        <v>0.6</v>
      </c>
      <c r="S1822" s="4">
        <f>IFERROR(__xludf.DUMMYFUNCTION("""COMPUTED_VALUE"""),1.0)</f>
        <v>1</v>
      </c>
      <c r="T1822" s="4">
        <f>IFERROR(__xludf.DUMMYFUNCTION("""COMPUTED_VALUE"""),0.072)</f>
        <v>0.072</v>
      </c>
      <c r="U1822" s="4">
        <f>IFERROR(__xludf.DUMMYFUNCTION("""COMPUTED_VALUE"""),-3.5)</f>
        <v>-3.5</v>
      </c>
      <c r="V1822" s="4">
        <f>IFERROR(__xludf.DUMMYFUNCTION("""COMPUTED_VALUE"""),-0.3)</f>
        <v>-0.3</v>
      </c>
    </row>
    <row r="1823">
      <c r="A1823" s="4">
        <f>IFERROR(__xludf.DUMMYFUNCTION("""COMPUTED_VALUE"""),46.0)</f>
        <v>46</v>
      </c>
      <c r="B1823" s="4">
        <f>IFERROR(__xludf.DUMMYFUNCTION("""COMPUTED_VALUE"""),46.0)</f>
        <v>46</v>
      </c>
      <c r="C1823" s="4" t="str">
        <f>IFERROR(__xludf.DUMMYFUNCTION("""COMPUTED_VALUE"""),"MIN")</f>
        <v>MIN</v>
      </c>
      <c r="D1823" s="4" t="str">
        <f>IFERROR(__xludf.DUMMYFUNCTION("""COMPUTED_VALUE"""),"Andrae Patterson")</f>
        <v>Andrae Patterson</v>
      </c>
      <c r="E1823" s="4" t="str">
        <f>IFERROR(__xludf.DUMMYFUNCTION("""COMPUTED_VALUE"""),"Indiana")</f>
        <v>Indiana</v>
      </c>
      <c r="F1823" s="4">
        <f>IFERROR(__xludf.DUMMYFUNCTION("""COMPUTED_VALUE"""),2.0)</f>
        <v>2</v>
      </c>
      <c r="G1823" s="4">
        <f>IFERROR(__xludf.DUMMYFUNCTION("""COMPUTED_VALUE"""),40.0)</f>
        <v>40</v>
      </c>
      <c r="H1823" s="4">
        <f>IFERROR(__xludf.DUMMYFUNCTION("""COMPUTED_VALUE"""),304.0)</f>
        <v>304</v>
      </c>
      <c r="I1823" s="4">
        <f>IFERROR(__xludf.DUMMYFUNCTION("""COMPUTED_VALUE"""),120.0)</f>
        <v>120</v>
      </c>
      <c r="J1823" s="4">
        <f>IFERROR(__xludf.DUMMYFUNCTION("""COMPUTED_VALUE"""),67.0)</f>
        <v>67</v>
      </c>
      <c r="K1823" s="4">
        <f>IFERROR(__xludf.DUMMYFUNCTION("""COMPUTED_VALUE"""),16.0)</f>
        <v>16</v>
      </c>
      <c r="L1823" s="4">
        <f>IFERROR(__xludf.DUMMYFUNCTION("""COMPUTED_VALUE"""),0.455)</f>
        <v>0.455</v>
      </c>
      <c r="M1823" s="4">
        <f>IFERROR(__xludf.DUMMYFUNCTION("""COMPUTED_VALUE"""),0.0)</f>
        <v>0</v>
      </c>
      <c r="N1823" s="4">
        <f>IFERROR(__xludf.DUMMYFUNCTION("""COMPUTED_VALUE"""),0.778)</f>
        <v>0.778</v>
      </c>
      <c r="O1823" s="4">
        <f>IFERROR(__xludf.DUMMYFUNCTION("""COMPUTED_VALUE"""),7.6)</f>
        <v>7.6</v>
      </c>
      <c r="P1823" s="4">
        <f>IFERROR(__xludf.DUMMYFUNCTION("""COMPUTED_VALUE"""),3.0)</f>
        <v>3</v>
      </c>
      <c r="Q1823" s="4">
        <f>IFERROR(__xludf.DUMMYFUNCTION("""COMPUTED_VALUE"""),1.7)</f>
        <v>1.7</v>
      </c>
      <c r="R1823" s="4">
        <f>IFERROR(__xludf.DUMMYFUNCTION("""COMPUTED_VALUE"""),0.4)</f>
        <v>0.4</v>
      </c>
      <c r="S1823" s="4">
        <f>IFERROR(__xludf.DUMMYFUNCTION("""COMPUTED_VALUE"""),0.7)</f>
        <v>0.7</v>
      </c>
      <c r="T1823" s="4">
        <f>IFERROR(__xludf.DUMMYFUNCTION("""COMPUTED_VALUE"""),0.114)</f>
        <v>0.114</v>
      </c>
      <c r="U1823" s="4">
        <f>IFERROR(__xludf.DUMMYFUNCTION("""COMPUTED_VALUE"""),-1.9)</f>
        <v>-1.9</v>
      </c>
      <c r="V1823" s="4">
        <f>IFERROR(__xludf.DUMMYFUNCTION("""COMPUTED_VALUE"""),0.0)</f>
        <v>0</v>
      </c>
    </row>
    <row r="1824">
      <c r="A1824" s="4">
        <f>IFERROR(__xludf.DUMMYFUNCTION("""COMPUTED_VALUE"""),47.0)</f>
        <v>47</v>
      </c>
      <c r="B1824" s="4">
        <f>IFERROR(__xludf.DUMMYFUNCTION("""COMPUTED_VALUE"""),47.0)</f>
        <v>47</v>
      </c>
      <c r="C1824" s="4" t="str">
        <f>IFERROR(__xludf.DUMMYFUNCTION("""COMPUTED_VALUE"""),"TOR")</f>
        <v>TOR</v>
      </c>
      <c r="D1824" s="4" t="str">
        <f>IFERROR(__xludf.DUMMYFUNCTION("""COMPUTED_VALUE"""),"Tyson Wheeler")</f>
        <v>Tyson Wheeler</v>
      </c>
      <c r="E1824" s="4" t="str">
        <f>IFERROR(__xludf.DUMMYFUNCTION("""COMPUTED_VALUE"""),"Rhode Island")</f>
        <v>Rhode Island</v>
      </c>
      <c r="F1824" s="4">
        <f>IFERROR(__xludf.DUMMYFUNCTION("""COMPUTED_VALUE"""),1.0)</f>
        <v>1</v>
      </c>
      <c r="G1824" s="4">
        <f>IFERROR(__xludf.DUMMYFUNCTION("""COMPUTED_VALUE"""),1.0)</f>
        <v>1</v>
      </c>
      <c r="H1824" s="4">
        <f>IFERROR(__xludf.DUMMYFUNCTION("""COMPUTED_VALUE"""),3.0)</f>
        <v>3</v>
      </c>
      <c r="I1824" s="4">
        <f>IFERROR(__xludf.DUMMYFUNCTION("""COMPUTED_VALUE"""),4.0)</f>
        <v>4</v>
      </c>
      <c r="J1824" s="4">
        <f>IFERROR(__xludf.DUMMYFUNCTION("""COMPUTED_VALUE"""),0.0)</f>
        <v>0</v>
      </c>
      <c r="K1824" s="4">
        <f>IFERROR(__xludf.DUMMYFUNCTION("""COMPUTED_VALUE"""),2.0)</f>
        <v>2</v>
      </c>
      <c r="L1824" s="4">
        <f>IFERROR(__xludf.DUMMYFUNCTION("""COMPUTED_VALUE"""),1.0)</f>
        <v>1</v>
      </c>
      <c r="M1824" s="4">
        <f>IFERROR(__xludf.DUMMYFUNCTION("""COMPUTED_VALUE"""),1.0)</f>
        <v>1</v>
      </c>
      <c r="N1824" s="4">
        <f>IFERROR(__xludf.DUMMYFUNCTION("""COMPUTED_VALUE"""),0.5)</f>
        <v>0.5</v>
      </c>
      <c r="O1824" s="4">
        <f>IFERROR(__xludf.DUMMYFUNCTION("""COMPUTED_VALUE"""),3.0)</f>
        <v>3</v>
      </c>
      <c r="P1824" s="4">
        <f>IFERROR(__xludf.DUMMYFUNCTION("""COMPUTED_VALUE"""),4.0)</f>
        <v>4</v>
      </c>
      <c r="Q1824" s="4">
        <f>IFERROR(__xludf.DUMMYFUNCTION("""COMPUTED_VALUE"""),0.0)</f>
        <v>0</v>
      </c>
      <c r="R1824" s="4">
        <f>IFERROR(__xludf.DUMMYFUNCTION("""COMPUTED_VALUE"""),2.0)</f>
        <v>2</v>
      </c>
      <c r="S1824" s="4">
        <f>IFERROR(__xludf.DUMMYFUNCTION("""COMPUTED_VALUE"""),0.1)</f>
        <v>0.1</v>
      </c>
      <c r="T1824" s="4">
        <f>IFERROR(__xludf.DUMMYFUNCTION("""COMPUTED_VALUE"""),1.367)</f>
        <v>1.367</v>
      </c>
      <c r="U1824" s="4">
        <f>IFERROR(__xludf.DUMMYFUNCTION("""COMPUTED_VALUE"""),51.1)</f>
        <v>51.1</v>
      </c>
      <c r="V1824" s="4">
        <f>IFERROR(__xludf.DUMMYFUNCTION("""COMPUTED_VALUE"""),0.0)</f>
        <v>0</v>
      </c>
    </row>
    <row r="1825">
      <c r="A1825" s="4">
        <f>IFERROR(__xludf.DUMMYFUNCTION("""COMPUTED_VALUE"""),48.0)</f>
        <v>48</v>
      </c>
      <c r="B1825" s="4">
        <f>IFERROR(__xludf.DUMMYFUNCTION("""COMPUTED_VALUE"""),48.0)</f>
        <v>48</v>
      </c>
      <c r="C1825" s="4" t="str">
        <f>IFERROR(__xludf.DUMMYFUNCTION("""COMPUTED_VALUE"""),"CLE")</f>
        <v>CLE</v>
      </c>
      <c r="D1825" s="4" t="str">
        <f>IFERROR(__xludf.DUMMYFUNCTION("""COMPUTED_VALUE"""),"Ryan Stack")</f>
        <v>Ryan Stack</v>
      </c>
      <c r="E1825" s="4" t="str">
        <f>IFERROR(__xludf.DUMMYFUNCTION("""COMPUTED_VALUE"""),"South Carolina")</f>
        <v>South Carolina</v>
      </c>
      <c r="F1825" s="4">
        <f>IFERROR(__xludf.DUMMYFUNCTION("""COMPUTED_VALUE"""),2.0)</f>
        <v>2</v>
      </c>
      <c r="G1825" s="4">
        <f>IFERROR(__xludf.DUMMYFUNCTION("""COMPUTED_VALUE"""),43.0)</f>
        <v>43</v>
      </c>
      <c r="H1825" s="4">
        <f>IFERROR(__xludf.DUMMYFUNCTION("""COMPUTED_VALUE"""),397.0)</f>
        <v>397</v>
      </c>
      <c r="I1825" s="4">
        <f>IFERROR(__xludf.DUMMYFUNCTION("""COMPUTED_VALUE"""),99.0)</f>
        <v>99</v>
      </c>
      <c r="J1825" s="4">
        <f>IFERROR(__xludf.DUMMYFUNCTION("""COMPUTED_VALUE"""),79.0)</f>
        <v>79</v>
      </c>
      <c r="K1825" s="4">
        <f>IFERROR(__xludf.DUMMYFUNCTION("""COMPUTED_VALUE"""),10.0)</f>
        <v>10</v>
      </c>
      <c r="L1825" s="4">
        <f>IFERROR(__xludf.DUMMYFUNCTION("""COMPUTED_VALUE"""),0.352)</f>
        <v>0.352</v>
      </c>
      <c r="M1825" s="4">
        <f>IFERROR(__xludf.DUMMYFUNCTION("""COMPUTED_VALUE"""),0.0)</f>
        <v>0</v>
      </c>
      <c r="N1825" s="4">
        <f>IFERROR(__xludf.DUMMYFUNCTION("""COMPUTED_VALUE"""),0.787)</f>
        <v>0.787</v>
      </c>
      <c r="O1825" s="4">
        <f>IFERROR(__xludf.DUMMYFUNCTION("""COMPUTED_VALUE"""),9.2)</f>
        <v>9.2</v>
      </c>
      <c r="P1825" s="4">
        <f>IFERROR(__xludf.DUMMYFUNCTION("""COMPUTED_VALUE"""),2.3)</f>
        <v>2.3</v>
      </c>
      <c r="Q1825" s="4">
        <f>IFERROR(__xludf.DUMMYFUNCTION("""COMPUTED_VALUE"""),1.8)</f>
        <v>1.8</v>
      </c>
      <c r="R1825" s="4">
        <f>IFERROR(__xludf.DUMMYFUNCTION("""COMPUTED_VALUE"""),0.2)</f>
        <v>0.2</v>
      </c>
      <c r="S1825" s="4">
        <f>IFERROR(__xludf.DUMMYFUNCTION("""COMPUTED_VALUE"""),0.2)</f>
        <v>0.2</v>
      </c>
      <c r="T1825" s="4">
        <f>IFERROR(__xludf.DUMMYFUNCTION("""COMPUTED_VALUE"""),0.028)</f>
        <v>0.028</v>
      </c>
      <c r="U1825" s="4">
        <f>IFERROR(__xludf.DUMMYFUNCTION("""COMPUTED_VALUE"""),-6.7)</f>
        <v>-6.7</v>
      </c>
      <c r="V1825" s="4">
        <f>IFERROR(__xludf.DUMMYFUNCTION("""COMPUTED_VALUE"""),-0.5)</f>
        <v>-0.5</v>
      </c>
    </row>
    <row r="1826">
      <c r="A1826" s="4">
        <f>IFERROR(__xludf.DUMMYFUNCTION("""COMPUTED_VALUE"""),49.0)</f>
        <v>49</v>
      </c>
      <c r="B1826" s="4">
        <f>IFERROR(__xludf.DUMMYFUNCTION("""COMPUTED_VALUE"""),49.0)</f>
        <v>49</v>
      </c>
      <c r="C1826" s="4" t="str">
        <f>IFERROR(__xludf.DUMMYFUNCTION("""COMPUTED_VALUE"""),"ATL")</f>
        <v>ATL</v>
      </c>
      <c r="D1826" s="4" t="str">
        <f>IFERROR(__xludf.DUMMYFUNCTION("""COMPUTED_VALUE"""),"Cory Carr")</f>
        <v>Cory Carr</v>
      </c>
      <c r="E1826" s="4" t="str">
        <f>IFERROR(__xludf.DUMMYFUNCTION("""COMPUTED_VALUE"""),"Texas Tech")</f>
        <v>Texas Tech</v>
      </c>
      <c r="F1826" s="4">
        <f>IFERROR(__xludf.DUMMYFUNCTION("""COMPUTED_VALUE"""),1.0)</f>
        <v>1</v>
      </c>
      <c r="G1826" s="4">
        <f>IFERROR(__xludf.DUMMYFUNCTION("""COMPUTED_VALUE"""),42.0)</f>
        <v>42</v>
      </c>
      <c r="H1826" s="4">
        <f>IFERROR(__xludf.DUMMYFUNCTION("""COMPUTED_VALUE"""),624.0)</f>
        <v>624</v>
      </c>
      <c r="I1826" s="4">
        <f>IFERROR(__xludf.DUMMYFUNCTION("""COMPUTED_VALUE"""),171.0)</f>
        <v>171</v>
      </c>
      <c r="J1826" s="4">
        <f>IFERROR(__xludf.DUMMYFUNCTION("""COMPUTED_VALUE"""),49.0)</f>
        <v>49</v>
      </c>
      <c r="K1826" s="4">
        <f>IFERROR(__xludf.DUMMYFUNCTION("""COMPUTED_VALUE"""),66.0)</f>
        <v>66</v>
      </c>
      <c r="L1826" s="4">
        <f>IFERROR(__xludf.DUMMYFUNCTION("""COMPUTED_VALUE"""),0.329)</f>
        <v>0.329</v>
      </c>
      <c r="M1826" s="4">
        <f>IFERROR(__xludf.DUMMYFUNCTION("""COMPUTED_VALUE"""),0.167)</f>
        <v>0.167</v>
      </c>
      <c r="N1826" s="4">
        <f>IFERROR(__xludf.DUMMYFUNCTION("""COMPUTED_VALUE"""),0.75)</f>
        <v>0.75</v>
      </c>
      <c r="O1826" s="4">
        <f>IFERROR(__xludf.DUMMYFUNCTION("""COMPUTED_VALUE"""),14.9)</f>
        <v>14.9</v>
      </c>
      <c r="P1826" s="4">
        <f>IFERROR(__xludf.DUMMYFUNCTION("""COMPUTED_VALUE"""),4.1)</f>
        <v>4.1</v>
      </c>
      <c r="Q1826" s="4">
        <f>IFERROR(__xludf.DUMMYFUNCTION("""COMPUTED_VALUE"""),1.2)</f>
        <v>1.2</v>
      </c>
      <c r="R1826" s="4">
        <f>IFERROR(__xludf.DUMMYFUNCTION("""COMPUTED_VALUE"""),1.6)</f>
        <v>1.6</v>
      </c>
      <c r="S1826" s="4">
        <f>IFERROR(__xludf.DUMMYFUNCTION("""COMPUTED_VALUE"""),-1.2)</f>
        <v>-1.2</v>
      </c>
      <c r="T1826" s="4">
        <f>IFERROR(__xludf.DUMMYFUNCTION("""COMPUTED_VALUE"""),-0.089)</f>
        <v>-0.089</v>
      </c>
      <c r="U1826" s="4">
        <f>IFERROR(__xludf.DUMMYFUNCTION("""COMPUTED_VALUE"""),-8.2)</f>
        <v>-8.2</v>
      </c>
      <c r="V1826" s="4">
        <f>IFERROR(__xludf.DUMMYFUNCTION("""COMPUTED_VALUE"""),-1.0)</f>
        <v>-1</v>
      </c>
    </row>
    <row r="1827">
      <c r="A1827" s="4">
        <f>IFERROR(__xludf.DUMMYFUNCTION("""COMPUTED_VALUE"""),50.0)</f>
        <v>50</v>
      </c>
      <c r="B1827" s="4">
        <f>IFERROR(__xludf.DUMMYFUNCTION("""COMPUTED_VALUE"""),50.0)</f>
        <v>50</v>
      </c>
      <c r="C1827" s="4" t="str">
        <f>IFERROR(__xludf.DUMMYFUNCTION("""COMPUTED_VALUE"""),"CHH")</f>
        <v>CHH</v>
      </c>
      <c r="D1827" s="4" t="str">
        <f>IFERROR(__xludf.DUMMYFUNCTION("""COMPUTED_VALUE"""),"Andrew Betts")</f>
        <v>Andrew Betts</v>
      </c>
      <c r="E1827" s="4" t="str">
        <f>IFERROR(__xludf.DUMMYFUNCTION("""COMPUTED_VALUE"""),"Cal State Long Beach")</f>
        <v>Cal State Long Beach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</row>
    <row r="1828">
      <c r="A1828" s="4">
        <f>IFERROR(__xludf.DUMMYFUNCTION("""COMPUTED_VALUE"""),51.0)</f>
        <v>51</v>
      </c>
      <c r="B1828" s="4">
        <f>IFERROR(__xludf.DUMMYFUNCTION("""COMPUTED_VALUE"""),51.0)</f>
        <v>51</v>
      </c>
      <c r="C1828" s="4" t="str">
        <f>IFERROR(__xludf.DUMMYFUNCTION("""COMPUTED_VALUE"""),"MIA")</f>
        <v>MIA</v>
      </c>
      <c r="D1828" s="4" t="str">
        <f>IFERROR(__xludf.DUMMYFUNCTION("""COMPUTED_VALUE"""),"Corey Brewer")</f>
        <v>Corey Brewer</v>
      </c>
      <c r="E1828" s="4" t="str">
        <f>IFERROR(__xludf.DUMMYFUNCTION("""COMPUTED_VALUE"""),"Oklahoma")</f>
        <v>Oklahoma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</row>
    <row r="1829">
      <c r="A1829" s="4">
        <f>IFERROR(__xludf.DUMMYFUNCTION("""COMPUTED_VALUE"""),52.0)</f>
        <v>52</v>
      </c>
      <c r="B1829" s="4">
        <f>IFERROR(__xludf.DUMMYFUNCTION("""COMPUTED_VALUE"""),52.0)</f>
        <v>52</v>
      </c>
      <c r="C1829" s="4" t="str">
        <f>IFERROR(__xludf.DUMMYFUNCTION("""COMPUTED_VALUE"""),"SAS")</f>
        <v>SAS</v>
      </c>
      <c r="D1829" s="4" t="str">
        <f>IFERROR(__xludf.DUMMYFUNCTION("""COMPUTED_VALUE"""),"Derrick Dial")</f>
        <v>Derrick Dial</v>
      </c>
      <c r="E1829" s="4" t="str">
        <f>IFERROR(__xludf.DUMMYFUNCTION("""COMPUTED_VALUE"""),"Eastern Michigan")</f>
        <v>Eastern Michigan</v>
      </c>
      <c r="F1829" s="4">
        <f>IFERROR(__xludf.DUMMYFUNCTION("""COMPUTED_VALUE"""),4.0)</f>
        <v>4</v>
      </c>
      <c r="G1829" s="4">
        <f>IFERROR(__xludf.DUMMYFUNCTION("""COMPUTED_VALUE"""),82.0)</f>
        <v>82</v>
      </c>
      <c r="H1829" s="4">
        <f>IFERROR(__xludf.DUMMYFUNCTION("""COMPUTED_VALUE"""),687.0)</f>
        <v>687</v>
      </c>
      <c r="I1829" s="4">
        <f>IFERROR(__xludf.DUMMYFUNCTION("""COMPUTED_VALUE"""),253.0)</f>
        <v>253</v>
      </c>
      <c r="J1829" s="4">
        <f>IFERROR(__xludf.DUMMYFUNCTION("""COMPUTED_VALUE"""),133.0)</f>
        <v>133</v>
      </c>
      <c r="K1829" s="4">
        <f>IFERROR(__xludf.DUMMYFUNCTION("""COMPUTED_VALUE"""),63.0)</f>
        <v>63</v>
      </c>
      <c r="L1829" s="4">
        <f>IFERROR(__xludf.DUMMYFUNCTION("""COMPUTED_VALUE"""),0.372)</f>
        <v>0.372</v>
      </c>
      <c r="M1829" s="4">
        <f>IFERROR(__xludf.DUMMYFUNCTION("""COMPUTED_VALUE"""),0.19)</f>
        <v>0.19</v>
      </c>
      <c r="N1829" s="4">
        <f>IFERROR(__xludf.DUMMYFUNCTION("""COMPUTED_VALUE"""),0.672)</f>
        <v>0.672</v>
      </c>
      <c r="O1829" s="4">
        <f>IFERROR(__xludf.DUMMYFUNCTION("""COMPUTED_VALUE"""),8.4)</f>
        <v>8.4</v>
      </c>
      <c r="P1829" s="4">
        <f>IFERROR(__xludf.DUMMYFUNCTION("""COMPUTED_VALUE"""),3.1)</f>
        <v>3.1</v>
      </c>
      <c r="Q1829" s="4">
        <f>IFERROR(__xludf.DUMMYFUNCTION("""COMPUTED_VALUE"""),1.6)</f>
        <v>1.6</v>
      </c>
      <c r="R1829" s="4">
        <f>IFERROR(__xludf.DUMMYFUNCTION("""COMPUTED_VALUE"""),0.8)</f>
        <v>0.8</v>
      </c>
      <c r="S1829" s="4">
        <f>IFERROR(__xludf.DUMMYFUNCTION("""COMPUTED_VALUE"""),0.6)</f>
        <v>0.6</v>
      </c>
      <c r="T1829" s="4">
        <f>IFERROR(__xludf.DUMMYFUNCTION("""COMPUTED_VALUE"""),0.045)</f>
        <v>0.045</v>
      </c>
      <c r="U1829" s="4">
        <f>IFERROR(__xludf.DUMMYFUNCTION("""COMPUTED_VALUE"""),-2.2)</f>
        <v>-2.2</v>
      </c>
      <c r="V1829" s="4">
        <f>IFERROR(__xludf.DUMMYFUNCTION("""COMPUTED_VALUE"""),0.0)</f>
        <v>0</v>
      </c>
    </row>
    <row r="1830">
      <c r="A1830" s="4">
        <f>IFERROR(__xludf.DUMMYFUNCTION("""COMPUTED_VALUE"""),53.0)</f>
        <v>53</v>
      </c>
      <c r="B1830" s="4">
        <f>IFERROR(__xludf.DUMMYFUNCTION("""COMPUTED_VALUE"""),53.0)</f>
        <v>53</v>
      </c>
      <c r="C1830" s="4" t="str">
        <f>IFERROR(__xludf.DUMMYFUNCTION("""COMPUTED_VALUE"""),"DAL")</f>
        <v>DAL</v>
      </c>
      <c r="D1830" s="4" t="str">
        <f>IFERROR(__xludf.DUMMYFUNCTION("""COMPUTED_VALUE"""),"Greg Buckner")</f>
        <v>Greg Buckner</v>
      </c>
      <c r="E1830" s="4" t="str">
        <f>IFERROR(__xludf.DUMMYFUNCTION("""COMPUTED_VALUE"""),"Clemson")</f>
        <v>Clemson</v>
      </c>
      <c r="F1830" s="4">
        <f>IFERROR(__xludf.DUMMYFUNCTION("""COMPUTED_VALUE"""),10.0)</f>
        <v>10</v>
      </c>
      <c r="G1830" s="4">
        <f>IFERROR(__xludf.DUMMYFUNCTION("""COMPUTED_VALUE"""),570.0)</f>
        <v>570</v>
      </c>
      <c r="H1830" s="4">
        <f>IFERROR(__xludf.DUMMYFUNCTION("""COMPUTED_VALUE"""),10895.0)</f>
        <v>10895</v>
      </c>
      <c r="I1830" s="4">
        <f>IFERROR(__xludf.DUMMYFUNCTION("""COMPUTED_VALUE"""),2878.0)</f>
        <v>2878</v>
      </c>
      <c r="J1830" s="4">
        <f>IFERROR(__xludf.DUMMYFUNCTION("""COMPUTED_VALUE"""),1593.0)</f>
        <v>1593</v>
      </c>
      <c r="K1830" s="4">
        <f>IFERROR(__xludf.DUMMYFUNCTION("""COMPUTED_VALUE"""),719.0)</f>
        <v>719</v>
      </c>
      <c r="L1830" s="4">
        <f>IFERROR(__xludf.DUMMYFUNCTION("""COMPUTED_VALUE"""),0.45)</f>
        <v>0.45</v>
      </c>
      <c r="M1830" s="4">
        <f>IFERROR(__xludf.DUMMYFUNCTION("""COMPUTED_VALUE"""),0.334)</f>
        <v>0.334</v>
      </c>
      <c r="N1830" s="4">
        <f>IFERROR(__xludf.DUMMYFUNCTION("""COMPUTED_VALUE"""),0.757)</f>
        <v>0.757</v>
      </c>
      <c r="O1830" s="4">
        <f>IFERROR(__xludf.DUMMYFUNCTION("""COMPUTED_VALUE"""),19.1)</f>
        <v>19.1</v>
      </c>
      <c r="P1830" s="4">
        <f>IFERROR(__xludf.DUMMYFUNCTION("""COMPUTED_VALUE"""),5.0)</f>
        <v>5</v>
      </c>
      <c r="Q1830" s="4">
        <f>IFERROR(__xludf.DUMMYFUNCTION("""COMPUTED_VALUE"""),2.8)</f>
        <v>2.8</v>
      </c>
      <c r="R1830" s="4">
        <f>IFERROR(__xludf.DUMMYFUNCTION("""COMPUTED_VALUE"""),1.3)</f>
        <v>1.3</v>
      </c>
      <c r="S1830" s="4">
        <f>IFERROR(__xludf.DUMMYFUNCTION("""COMPUTED_VALUE"""),20.9)</f>
        <v>20.9</v>
      </c>
      <c r="T1830" s="4">
        <f>IFERROR(__xludf.DUMMYFUNCTION("""COMPUTED_VALUE"""),0.092)</f>
        <v>0.092</v>
      </c>
      <c r="U1830" s="4">
        <f>IFERROR(__xludf.DUMMYFUNCTION("""COMPUTED_VALUE"""),-0.9)</f>
        <v>-0.9</v>
      </c>
      <c r="V1830" s="4">
        <f>IFERROR(__xludf.DUMMYFUNCTION("""COMPUTED_VALUE"""),3.0)</f>
        <v>3</v>
      </c>
    </row>
    <row r="1831">
      <c r="A1831" s="4">
        <f>IFERROR(__xludf.DUMMYFUNCTION("""COMPUTED_VALUE"""),54.0)</f>
        <v>54</v>
      </c>
      <c r="B1831" s="4">
        <f>IFERROR(__xludf.DUMMYFUNCTION("""COMPUTED_VALUE"""),54.0)</f>
        <v>54</v>
      </c>
      <c r="C1831" s="4" t="str">
        <f>IFERROR(__xludf.DUMMYFUNCTION("""COMPUTED_VALUE"""),"DEN")</f>
        <v>DEN</v>
      </c>
      <c r="D1831" s="4" t="str">
        <f>IFERROR(__xludf.DUMMYFUNCTION("""COMPUTED_VALUE"""),"Tremaine Fowlkes")</f>
        <v>Tremaine Fowlkes</v>
      </c>
      <c r="E1831" s="4" t="str">
        <f>IFERROR(__xludf.DUMMYFUNCTION("""COMPUTED_VALUE"""),"Fresno State")</f>
        <v>Fresno State</v>
      </c>
      <c r="F1831" s="4">
        <f>IFERROR(__xludf.DUMMYFUNCTION("""COMPUTED_VALUE"""),4.0)</f>
        <v>4</v>
      </c>
      <c r="G1831" s="4">
        <f>IFERROR(__xludf.DUMMYFUNCTION("""COMPUTED_VALUE"""),103.0)</f>
        <v>103</v>
      </c>
      <c r="H1831" s="4">
        <f>IFERROR(__xludf.DUMMYFUNCTION("""COMPUTED_VALUE"""),1233.0)</f>
        <v>1233</v>
      </c>
      <c r="I1831" s="4">
        <f>IFERROR(__xludf.DUMMYFUNCTION("""COMPUTED_VALUE"""),301.0)</f>
        <v>301</v>
      </c>
      <c r="J1831" s="4">
        <f>IFERROR(__xludf.DUMMYFUNCTION("""COMPUTED_VALUE"""),228.0)</f>
        <v>228</v>
      </c>
      <c r="K1831" s="4">
        <f>IFERROR(__xludf.DUMMYFUNCTION("""COMPUTED_VALUE"""),54.0)</f>
        <v>54</v>
      </c>
      <c r="L1831" s="4">
        <f>IFERROR(__xludf.DUMMYFUNCTION("""COMPUTED_VALUE"""),0.409)</f>
        <v>0.409</v>
      </c>
      <c r="M1831" s="4">
        <f>IFERROR(__xludf.DUMMYFUNCTION("""COMPUTED_VALUE"""),0.2)</f>
        <v>0.2</v>
      </c>
      <c r="N1831" s="4">
        <f>IFERROR(__xludf.DUMMYFUNCTION("""COMPUTED_VALUE"""),0.791)</f>
        <v>0.791</v>
      </c>
      <c r="O1831" s="4">
        <f>IFERROR(__xludf.DUMMYFUNCTION("""COMPUTED_VALUE"""),12.0)</f>
        <v>12</v>
      </c>
      <c r="P1831" s="4">
        <f>IFERROR(__xludf.DUMMYFUNCTION("""COMPUTED_VALUE"""),2.9)</f>
        <v>2.9</v>
      </c>
      <c r="Q1831" s="4">
        <f>IFERROR(__xludf.DUMMYFUNCTION("""COMPUTED_VALUE"""),2.2)</f>
        <v>2.2</v>
      </c>
      <c r="R1831" s="4">
        <f>IFERROR(__xludf.DUMMYFUNCTION("""COMPUTED_VALUE"""),0.5)</f>
        <v>0.5</v>
      </c>
      <c r="S1831" s="4">
        <f>IFERROR(__xludf.DUMMYFUNCTION("""COMPUTED_VALUE"""),2.1)</f>
        <v>2.1</v>
      </c>
      <c r="T1831" s="4">
        <f>IFERROR(__xludf.DUMMYFUNCTION("""COMPUTED_VALUE"""),0.08)</f>
        <v>0.08</v>
      </c>
      <c r="U1831" s="4">
        <f>IFERROR(__xludf.DUMMYFUNCTION("""COMPUTED_VALUE"""),-2.0)</f>
        <v>-2</v>
      </c>
      <c r="V1831" s="4">
        <f>IFERROR(__xludf.DUMMYFUNCTION("""COMPUTED_VALUE"""),0.0)</f>
        <v>0</v>
      </c>
    </row>
    <row r="1832">
      <c r="A1832" s="4">
        <f>IFERROR(__xludf.DUMMYFUNCTION("""COMPUTED_VALUE"""),55.0)</f>
        <v>55</v>
      </c>
      <c r="B1832" s="4">
        <f>IFERROR(__xludf.DUMMYFUNCTION("""COMPUTED_VALUE"""),55.0)</f>
        <v>55</v>
      </c>
      <c r="C1832" s="4" t="str">
        <f>IFERROR(__xludf.DUMMYFUNCTION("""COMPUTED_VALUE"""),"DEN")</f>
        <v>DEN</v>
      </c>
      <c r="D1832" s="4" t="str">
        <f>IFERROR(__xludf.DUMMYFUNCTION("""COMPUTED_VALUE"""),"Ryan Bowen")</f>
        <v>Ryan Bowen</v>
      </c>
      <c r="E1832" s="4" t="str">
        <f>IFERROR(__xludf.DUMMYFUNCTION("""COMPUTED_VALUE"""),"Iowa")</f>
        <v>Iowa</v>
      </c>
      <c r="F1832" s="4">
        <f>IFERROR(__xludf.DUMMYFUNCTION("""COMPUTED_VALUE"""),10.0)</f>
        <v>10</v>
      </c>
      <c r="G1832" s="4">
        <f>IFERROR(__xludf.DUMMYFUNCTION("""COMPUTED_VALUE"""),507.0)</f>
        <v>507</v>
      </c>
      <c r="H1832" s="4">
        <f>IFERROR(__xludf.DUMMYFUNCTION("""COMPUTED_VALUE"""),6502.0)</f>
        <v>6502</v>
      </c>
      <c r="I1832" s="4">
        <f>IFERROR(__xludf.DUMMYFUNCTION("""COMPUTED_VALUE"""),1319.0)</f>
        <v>1319</v>
      </c>
      <c r="J1832" s="4">
        <f>IFERROR(__xludf.DUMMYFUNCTION("""COMPUTED_VALUE"""),1060.0)</f>
        <v>1060</v>
      </c>
      <c r="K1832" s="4">
        <f>IFERROR(__xludf.DUMMYFUNCTION("""COMPUTED_VALUE"""),250.0)</f>
        <v>250</v>
      </c>
      <c r="L1832" s="4">
        <f>IFERROR(__xludf.DUMMYFUNCTION("""COMPUTED_VALUE"""),0.456)</f>
        <v>0.456</v>
      </c>
      <c r="M1832" s="4">
        <f>IFERROR(__xludf.DUMMYFUNCTION("""COMPUTED_VALUE"""),0.206)</f>
        <v>0.206</v>
      </c>
      <c r="N1832" s="4">
        <f>IFERROR(__xludf.DUMMYFUNCTION("""COMPUTED_VALUE"""),0.693)</f>
        <v>0.693</v>
      </c>
      <c r="O1832" s="4">
        <f>IFERROR(__xludf.DUMMYFUNCTION("""COMPUTED_VALUE"""),12.8)</f>
        <v>12.8</v>
      </c>
      <c r="P1832" s="4">
        <f>IFERROR(__xludf.DUMMYFUNCTION("""COMPUTED_VALUE"""),2.6)</f>
        <v>2.6</v>
      </c>
      <c r="Q1832" s="4">
        <f>IFERROR(__xludf.DUMMYFUNCTION("""COMPUTED_VALUE"""),2.1)</f>
        <v>2.1</v>
      </c>
      <c r="R1832" s="4">
        <f>IFERROR(__xludf.DUMMYFUNCTION("""COMPUTED_VALUE"""),0.5)</f>
        <v>0.5</v>
      </c>
      <c r="S1832" s="4">
        <f>IFERROR(__xludf.DUMMYFUNCTION("""COMPUTED_VALUE"""),12.4)</f>
        <v>12.4</v>
      </c>
      <c r="T1832" s="4">
        <f>IFERROR(__xludf.DUMMYFUNCTION("""COMPUTED_VALUE"""),0.092)</f>
        <v>0.092</v>
      </c>
      <c r="U1832" s="4">
        <f>IFERROR(__xludf.DUMMYFUNCTION("""COMPUTED_VALUE"""),-0.8)</f>
        <v>-0.8</v>
      </c>
      <c r="V1832" s="4">
        <f>IFERROR(__xludf.DUMMYFUNCTION("""COMPUTED_VALUE"""),2.0)</f>
        <v>2</v>
      </c>
    </row>
    <row r="1833">
      <c r="A1833" s="4">
        <f>IFERROR(__xludf.DUMMYFUNCTION("""COMPUTED_VALUE"""),56.0)</f>
        <v>56</v>
      </c>
      <c r="B1833" s="4">
        <f>IFERROR(__xludf.DUMMYFUNCTION("""COMPUTED_VALUE"""),56.0)</f>
        <v>56</v>
      </c>
      <c r="C1833" s="4" t="str">
        <f>IFERROR(__xludf.DUMMYFUNCTION("""COMPUTED_VALUE"""),"VAN")</f>
        <v>VAN</v>
      </c>
      <c r="D1833" s="4" t="str">
        <f>IFERROR(__xludf.DUMMYFUNCTION("""COMPUTED_VALUE"""),"J.R. Henderson")</f>
        <v>J.R. Henderson</v>
      </c>
      <c r="E1833" s="4" t="str">
        <f>IFERROR(__xludf.DUMMYFUNCTION("""COMPUTED_VALUE"""),"UCLA")</f>
        <v>UCLA</v>
      </c>
      <c r="F1833" s="4">
        <f>IFERROR(__xludf.DUMMYFUNCTION("""COMPUTED_VALUE"""),1.0)</f>
        <v>1</v>
      </c>
      <c r="G1833" s="4">
        <f>IFERROR(__xludf.DUMMYFUNCTION("""COMPUTED_VALUE"""),30.0)</f>
        <v>30</v>
      </c>
      <c r="H1833" s="4">
        <f>IFERROR(__xludf.DUMMYFUNCTION("""COMPUTED_VALUE"""),331.0)</f>
        <v>331</v>
      </c>
      <c r="I1833" s="4">
        <f>IFERROR(__xludf.DUMMYFUNCTION("""COMPUTED_VALUE"""),97.0)</f>
        <v>97</v>
      </c>
      <c r="J1833" s="4">
        <f>IFERROR(__xludf.DUMMYFUNCTION("""COMPUTED_VALUE"""),47.0)</f>
        <v>47</v>
      </c>
      <c r="K1833" s="4">
        <f>IFERROR(__xludf.DUMMYFUNCTION("""COMPUTED_VALUE"""),22.0)</f>
        <v>22</v>
      </c>
      <c r="L1833" s="4">
        <f>IFERROR(__xludf.DUMMYFUNCTION("""COMPUTED_VALUE"""),0.365)</f>
        <v>0.365</v>
      </c>
      <c r="M1833" s="4">
        <f>IFERROR(__xludf.DUMMYFUNCTION("""COMPUTED_VALUE"""),0.4)</f>
        <v>0.4</v>
      </c>
      <c r="N1833" s="4">
        <f>IFERROR(__xludf.DUMMYFUNCTION("""COMPUTED_VALUE"""),0.556)</f>
        <v>0.556</v>
      </c>
      <c r="O1833" s="4">
        <f>IFERROR(__xludf.DUMMYFUNCTION("""COMPUTED_VALUE"""),11.0)</f>
        <v>11</v>
      </c>
      <c r="P1833" s="4">
        <f>IFERROR(__xludf.DUMMYFUNCTION("""COMPUTED_VALUE"""),3.2)</f>
        <v>3.2</v>
      </c>
      <c r="Q1833" s="4">
        <f>IFERROR(__xludf.DUMMYFUNCTION("""COMPUTED_VALUE"""),1.6)</f>
        <v>1.6</v>
      </c>
      <c r="R1833" s="4">
        <f>IFERROR(__xludf.DUMMYFUNCTION("""COMPUTED_VALUE"""),0.7)</f>
        <v>0.7</v>
      </c>
      <c r="S1833" s="4">
        <f>IFERROR(__xludf.DUMMYFUNCTION("""COMPUTED_VALUE"""),-0.2)</f>
        <v>-0.2</v>
      </c>
      <c r="T1833" s="4">
        <f>IFERROR(__xludf.DUMMYFUNCTION("""COMPUTED_VALUE"""),-0.025)</f>
        <v>-0.025</v>
      </c>
      <c r="U1833" s="4">
        <f>IFERROR(__xludf.DUMMYFUNCTION("""COMPUTED_VALUE"""),-4.8)</f>
        <v>-4.8</v>
      </c>
      <c r="V1833" s="4">
        <f>IFERROR(__xludf.DUMMYFUNCTION("""COMPUTED_VALUE"""),-0.2)</f>
        <v>-0.2</v>
      </c>
    </row>
    <row r="1834">
      <c r="A1834" s="4">
        <f>IFERROR(__xludf.DUMMYFUNCTION("""COMPUTED_VALUE"""),57.0)</f>
        <v>57</v>
      </c>
      <c r="B1834" s="4">
        <f>IFERROR(__xludf.DUMMYFUNCTION("""COMPUTED_VALUE"""),57.0)</f>
        <v>57</v>
      </c>
      <c r="C1834" s="4" t="str">
        <f>IFERROR(__xludf.DUMMYFUNCTION("""COMPUTED_VALUE"""),"UTA")</f>
        <v>UTA</v>
      </c>
      <c r="D1834" s="4" t="str">
        <f>IFERROR(__xludf.DUMMYFUNCTION("""COMPUTED_VALUE"""),"Torraye Braggs")</f>
        <v>Torraye Braggs</v>
      </c>
      <c r="E1834" s="4" t="str">
        <f>IFERROR(__xludf.DUMMYFUNCTION("""COMPUTED_VALUE"""),"Xavier")</f>
        <v>Xavier</v>
      </c>
      <c r="F1834" s="4">
        <f>IFERROR(__xludf.DUMMYFUNCTION("""COMPUTED_VALUE"""),2.0)</f>
        <v>2</v>
      </c>
      <c r="G1834" s="4">
        <f>IFERROR(__xludf.DUMMYFUNCTION("""COMPUTED_VALUE"""),22.0)</f>
        <v>22</v>
      </c>
      <c r="H1834" s="4">
        <f>IFERROR(__xludf.DUMMYFUNCTION("""COMPUTED_VALUE"""),178.0)</f>
        <v>178</v>
      </c>
      <c r="I1834" s="4">
        <f>IFERROR(__xludf.DUMMYFUNCTION("""COMPUTED_VALUE"""),46.0)</f>
        <v>46</v>
      </c>
      <c r="J1834" s="4">
        <f>IFERROR(__xludf.DUMMYFUNCTION("""COMPUTED_VALUE"""),51.0)</f>
        <v>51</v>
      </c>
      <c r="K1834" s="4">
        <f>IFERROR(__xludf.DUMMYFUNCTION("""COMPUTED_VALUE"""),7.0)</f>
        <v>7</v>
      </c>
      <c r="L1834" s="4">
        <f>IFERROR(__xludf.DUMMYFUNCTION("""COMPUTED_VALUE"""),0.475)</f>
        <v>0.475</v>
      </c>
      <c r="M1834" s="4"/>
      <c r="N1834" s="4">
        <f>IFERROR(__xludf.DUMMYFUNCTION("""COMPUTED_VALUE"""),0.667)</f>
        <v>0.667</v>
      </c>
      <c r="O1834" s="4">
        <f>IFERROR(__xludf.DUMMYFUNCTION("""COMPUTED_VALUE"""),8.1)</f>
        <v>8.1</v>
      </c>
      <c r="P1834" s="4">
        <f>IFERROR(__xludf.DUMMYFUNCTION("""COMPUTED_VALUE"""),2.1)</f>
        <v>2.1</v>
      </c>
      <c r="Q1834" s="4">
        <f>IFERROR(__xludf.DUMMYFUNCTION("""COMPUTED_VALUE"""),2.3)</f>
        <v>2.3</v>
      </c>
      <c r="R1834" s="4">
        <f>IFERROR(__xludf.DUMMYFUNCTION("""COMPUTED_VALUE"""),0.3)</f>
        <v>0.3</v>
      </c>
      <c r="S1834" s="4">
        <f>IFERROR(__xludf.DUMMYFUNCTION("""COMPUTED_VALUE"""),0.3)</f>
        <v>0.3</v>
      </c>
      <c r="T1834" s="4">
        <f>IFERROR(__xludf.DUMMYFUNCTION("""COMPUTED_VALUE"""),0.071)</f>
        <v>0.071</v>
      </c>
      <c r="U1834" s="4">
        <f>IFERROR(__xludf.DUMMYFUNCTION("""COMPUTED_VALUE"""),-4.9)</f>
        <v>-4.9</v>
      </c>
      <c r="V1834" s="4">
        <f>IFERROR(__xludf.DUMMYFUNCTION("""COMPUTED_VALUE"""),-0.1)</f>
        <v>-0.1</v>
      </c>
    </row>
    <row r="1835">
      <c r="A1835" s="4">
        <f>IFERROR(__xludf.DUMMYFUNCTION("""COMPUTED_VALUE"""),58.0)</f>
        <v>58</v>
      </c>
      <c r="B1835" s="4">
        <f>IFERROR(__xludf.DUMMYFUNCTION("""COMPUTED_VALUE"""),58.0)</f>
        <v>58</v>
      </c>
      <c r="C1835" s="4" t="str">
        <f>IFERROR(__xludf.DUMMYFUNCTION("""COMPUTED_VALUE"""),"CHI")</f>
        <v>CHI</v>
      </c>
      <c r="D1835" s="4" t="str">
        <f>IFERROR(__xludf.DUMMYFUNCTION("""COMPUTED_VALUE"""),"Maceo Baston")</f>
        <v>Maceo Baston</v>
      </c>
      <c r="E1835" s="4" t="str">
        <f>IFERROR(__xludf.DUMMYFUNCTION("""COMPUTED_VALUE"""),"Michigan")</f>
        <v>Michigan</v>
      </c>
      <c r="F1835" s="4">
        <f>IFERROR(__xludf.DUMMYFUNCTION("""COMPUTED_VALUE"""),4.0)</f>
        <v>4</v>
      </c>
      <c r="G1835" s="4">
        <f>IFERROR(__xludf.DUMMYFUNCTION("""COMPUTED_VALUE"""),105.0)</f>
        <v>105</v>
      </c>
      <c r="H1835" s="4">
        <f>IFERROR(__xludf.DUMMYFUNCTION("""COMPUTED_VALUE"""),831.0)</f>
        <v>831</v>
      </c>
      <c r="I1835" s="4">
        <f>IFERROR(__xludf.DUMMYFUNCTION("""COMPUTED_VALUE"""),286.0)</f>
        <v>286</v>
      </c>
      <c r="J1835" s="4">
        <f>IFERROR(__xludf.DUMMYFUNCTION("""COMPUTED_VALUE"""),175.0)</f>
        <v>175</v>
      </c>
      <c r="K1835" s="4">
        <f>IFERROR(__xludf.DUMMYFUNCTION("""COMPUTED_VALUE"""),26.0)</f>
        <v>26</v>
      </c>
      <c r="L1835" s="4">
        <f>IFERROR(__xludf.DUMMYFUNCTION("""COMPUTED_VALUE"""),0.616)</f>
        <v>0.616</v>
      </c>
      <c r="M1835" s="4">
        <f>IFERROR(__xludf.DUMMYFUNCTION("""COMPUTED_VALUE"""),0.375)</f>
        <v>0.375</v>
      </c>
      <c r="N1835" s="4">
        <f>IFERROR(__xludf.DUMMYFUNCTION("""COMPUTED_VALUE"""),0.74)</f>
        <v>0.74</v>
      </c>
      <c r="O1835" s="4">
        <f>IFERROR(__xludf.DUMMYFUNCTION("""COMPUTED_VALUE"""),7.9)</f>
        <v>7.9</v>
      </c>
      <c r="P1835" s="4">
        <f>IFERROR(__xludf.DUMMYFUNCTION("""COMPUTED_VALUE"""),2.7)</f>
        <v>2.7</v>
      </c>
      <c r="Q1835" s="4">
        <f>IFERROR(__xludf.DUMMYFUNCTION("""COMPUTED_VALUE"""),1.7)</f>
        <v>1.7</v>
      </c>
      <c r="R1835" s="4">
        <f>IFERROR(__xludf.DUMMYFUNCTION("""COMPUTED_VALUE"""),0.2)</f>
        <v>0.2</v>
      </c>
      <c r="S1835" s="4">
        <f>IFERROR(__xludf.DUMMYFUNCTION("""COMPUTED_VALUE"""),2.3)</f>
        <v>2.3</v>
      </c>
      <c r="T1835" s="4">
        <f>IFERROR(__xludf.DUMMYFUNCTION("""COMPUTED_VALUE"""),0.134)</f>
        <v>0.134</v>
      </c>
      <c r="U1835" s="4">
        <f>IFERROR(__xludf.DUMMYFUNCTION("""COMPUTED_VALUE"""),-1.2)</f>
        <v>-1.2</v>
      </c>
      <c r="V1835" s="4">
        <f>IFERROR(__xludf.DUMMYFUNCTION("""COMPUTED_VALUE"""),0.2)</f>
        <v>0.2</v>
      </c>
    </row>
    <row r="1837">
      <c r="A1837" s="2">
        <v>1997.0</v>
      </c>
    </row>
    <row r="1838">
      <c r="A1838" s="4" t="str">
        <f>IFERROR(__xludf.DUMMYFUNCTION("IMPORTHTML(""https://www.basketball-reference.com/draft/NBA_1997.html"", ""table"", 1)"),"")</f>
        <v/>
      </c>
      <c r="B1838" s="4"/>
      <c r="C1838" s="4"/>
      <c r="D1838" s="4" t="str">
        <f>IFERROR(__xludf.DUMMYFUNCTION("""COMPUTED_VALUE"""),"Round 1")</f>
        <v>Round 1</v>
      </c>
      <c r="E1838" s="4"/>
      <c r="F1838" s="4"/>
      <c r="G1838" s="4" t="str">
        <f>IFERROR(__xludf.DUMMYFUNCTION("""COMPUTED_VALUE"""),"Totals")</f>
        <v>Totals</v>
      </c>
      <c r="H1838" s="4"/>
      <c r="I1838" s="4"/>
      <c r="J1838" s="4"/>
      <c r="K1838" s="4"/>
      <c r="L1838" s="4" t="str">
        <f>IFERROR(__xludf.DUMMYFUNCTION("""COMPUTED_VALUE"""),"Shooting")</f>
        <v>Shooting</v>
      </c>
      <c r="M1838" s="4"/>
      <c r="N1838" s="4"/>
      <c r="O1838" s="4" t="str">
        <f>IFERROR(__xludf.DUMMYFUNCTION("""COMPUTED_VALUE"""),"Per Game")</f>
        <v>Per Game</v>
      </c>
      <c r="P1838" s="4"/>
      <c r="Q1838" s="4"/>
      <c r="R1838" s="4"/>
      <c r="S1838" s="4" t="str">
        <f>IFERROR(__xludf.DUMMYFUNCTION("""COMPUTED_VALUE"""),"Advanced")</f>
        <v>Advanced</v>
      </c>
      <c r="T1838" s="4"/>
      <c r="U1838" s="4"/>
      <c r="V1838" s="4"/>
    </row>
    <row r="1839">
      <c r="A1839" s="4" t="str">
        <f>IFERROR(__xludf.DUMMYFUNCTION("""COMPUTED_VALUE"""),"Rk")</f>
        <v>Rk</v>
      </c>
      <c r="B1839" s="4" t="str">
        <f>IFERROR(__xludf.DUMMYFUNCTION("""COMPUTED_VALUE"""),"Pk")</f>
        <v>Pk</v>
      </c>
      <c r="C1839" s="4" t="str">
        <f>IFERROR(__xludf.DUMMYFUNCTION("""COMPUTED_VALUE"""),"Tm")</f>
        <v>Tm</v>
      </c>
      <c r="D1839" s="4" t="str">
        <f>IFERROR(__xludf.DUMMYFUNCTION("""COMPUTED_VALUE"""),"Player")</f>
        <v>Player</v>
      </c>
      <c r="E1839" s="4" t="str">
        <f>IFERROR(__xludf.DUMMYFUNCTION("""COMPUTED_VALUE"""),"College")</f>
        <v>College</v>
      </c>
      <c r="F1839" s="4" t="str">
        <f>IFERROR(__xludf.DUMMYFUNCTION("""COMPUTED_VALUE"""),"Yrs")</f>
        <v>Yrs</v>
      </c>
      <c r="G1839" s="4" t="str">
        <f>IFERROR(__xludf.DUMMYFUNCTION("""COMPUTED_VALUE"""),"G")</f>
        <v>G</v>
      </c>
      <c r="H1839" s="4" t="str">
        <f>IFERROR(__xludf.DUMMYFUNCTION("""COMPUTED_VALUE"""),"MP")</f>
        <v>MP</v>
      </c>
      <c r="I1839" s="4" t="str">
        <f>IFERROR(__xludf.DUMMYFUNCTION("""COMPUTED_VALUE"""),"PTS")</f>
        <v>PTS</v>
      </c>
      <c r="J1839" s="4" t="str">
        <f>IFERROR(__xludf.DUMMYFUNCTION("""COMPUTED_VALUE"""),"TRB")</f>
        <v>TRB</v>
      </c>
      <c r="K1839" s="4" t="str">
        <f>IFERROR(__xludf.DUMMYFUNCTION("""COMPUTED_VALUE"""),"AST")</f>
        <v>AST</v>
      </c>
      <c r="L1839" s="4" t="str">
        <f>IFERROR(__xludf.DUMMYFUNCTION("""COMPUTED_VALUE"""),"FG%")</f>
        <v>FG%</v>
      </c>
      <c r="M1839" s="4" t="str">
        <f>IFERROR(__xludf.DUMMYFUNCTION("""COMPUTED_VALUE"""),"3P%")</f>
        <v>3P%</v>
      </c>
      <c r="N1839" s="4" t="str">
        <f>IFERROR(__xludf.DUMMYFUNCTION("""COMPUTED_VALUE"""),"FT%")</f>
        <v>FT%</v>
      </c>
      <c r="O1839" s="4" t="str">
        <f>IFERROR(__xludf.DUMMYFUNCTION("""COMPUTED_VALUE"""),"MP")</f>
        <v>MP</v>
      </c>
      <c r="P1839" s="4" t="str">
        <f>IFERROR(__xludf.DUMMYFUNCTION("""COMPUTED_VALUE"""),"PTS")</f>
        <v>PTS</v>
      </c>
      <c r="Q1839" s="4" t="str">
        <f>IFERROR(__xludf.DUMMYFUNCTION("""COMPUTED_VALUE"""),"TRB")</f>
        <v>TRB</v>
      </c>
      <c r="R1839" s="4" t="str">
        <f>IFERROR(__xludf.DUMMYFUNCTION("""COMPUTED_VALUE"""),"AST")</f>
        <v>AST</v>
      </c>
      <c r="S1839" s="4" t="str">
        <f>IFERROR(__xludf.DUMMYFUNCTION("""COMPUTED_VALUE"""),"WS")</f>
        <v>WS</v>
      </c>
      <c r="T1839" s="4" t="str">
        <f>IFERROR(__xludf.DUMMYFUNCTION("""COMPUTED_VALUE"""),"WS/48")</f>
        <v>WS/48</v>
      </c>
      <c r="U1839" s="4" t="str">
        <f>IFERROR(__xludf.DUMMYFUNCTION("""COMPUTED_VALUE"""),"BPM")</f>
        <v>BPM</v>
      </c>
      <c r="V1839" s="4" t="str">
        <f>IFERROR(__xludf.DUMMYFUNCTION("""COMPUTED_VALUE"""),"VORP")</f>
        <v>VORP</v>
      </c>
    </row>
    <row r="1840">
      <c r="A1840" s="4">
        <f>IFERROR(__xludf.DUMMYFUNCTION("""COMPUTED_VALUE"""),1.0)</f>
        <v>1</v>
      </c>
      <c r="B1840" s="4">
        <f>IFERROR(__xludf.DUMMYFUNCTION("""COMPUTED_VALUE"""),1.0)</f>
        <v>1</v>
      </c>
      <c r="C1840" s="4" t="str">
        <f>IFERROR(__xludf.DUMMYFUNCTION("""COMPUTED_VALUE"""),"SAS")</f>
        <v>SAS</v>
      </c>
      <c r="D1840" s="4" t="str">
        <f>IFERROR(__xludf.DUMMYFUNCTION("""COMPUTED_VALUE"""),"Tim Duncan")</f>
        <v>Tim Duncan</v>
      </c>
      <c r="E1840" s="4" t="str">
        <f>IFERROR(__xludf.DUMMYFUNCTION("""COMPUTED_VALUE"""),"Wake Forest")</f>
        <v>Wake Forest</v>
      </c>
      <c r="F1840" s="4">
        <f>IFERROR(__xludf.DUMMYFUNCTION("""COMPUTED_VALUE"""),19.0)</f>
        <v>19</v>
      </c>
      <c r="G1840" s="4">
        <f>IFERROR(__xludf.DUMMYFUNCTION("""COMPUTED_VALUE"""),1392.0)</f>
        <v>1392</v>
      </c>
      <c r="H1840" s="4">
        <f>IFERROR(__xludf.DUMMYFUNCTION("""COMPUTED_VALUE"""),47368.0)</f>
        <v>47368</v>
      </c>
      <c r="I1840" s="4">
        <f>IFERROR(__xludf.DUMMYFUNCTION("""COMPUTED_VALUE"""),26496.0)</f>
        <v>26496</v>
      </c>
      <c r="J1840" s="4">
        <f>IFERROR(__xludf.DUMMYFUNCTION("""COMPUTED_VALUE"""),15091.0)</f>
        <v>15091</v>
      </c>
      <c r="K1840" s="4">
        <f>IFERROR(__xludf.DUMMYFUNCTION("""COMPUTED_VALUE"""),4225.0)</f>
        <v>4225</v>
      </c>
      <c r="L1840" s="4">
        <f>IFERROR(__xludf.DUMMYFUNCTION("""COMPUTED_VALUE"""),0.506)</f>
        <v>0.506</v>
      </c>
      <c r="M1840" s="4">
        <f>IFERROR(__xludf.DUMMYFUNCTION("""COMPUTED_VALUE"""),0.179)</f>
        <v>0.179</v>
      </c>
      <c r="N1840" s="4">
        <f>IFERROR(__xludf.DUMMYFUNCTION("""COMPUTED_VALUE"""),0.696)</f>
        <v>0.696</v>
      </c>
      <c r="O1840" s="4">
        <f>IFERROR(__xludf.DUMMYFUNCTION("""COMPUTED_VALUE"""),34.0)</f>
        <v>34</v>
      </c>
      <c r="P1840" s="4">
        <f>IFERROR(__xludf.DUMMYFUNCTION("""COMPUTED_VALUE"""),19.0)</f>
        <v>19</v>
      </c>
      <c r="Q1840" s="4">
        <f>IFERROR(__xludf.DUMMYFUNCTION("""COMPUTED_VALUE"""),10.8)</f>
        <v>10.8</v>
      </c>
      <c r="R1840" s="4">
        <f>IFERROR(__xludf.DUMMYFUNCTION("""COMPUTED_VALUE"""),3.0)</f>
        <v>3</v>
      </c>
      <c r="S1840" s="4">
        <f>IFERROR(__xludf.DUMMYFUNCTION("""COMPUTED_VALUE"""),206.4)</f>
        <v>206.4</v>
      </c>
      <c r="T1840" s="4">
        <f>IFERROR(__xludf.DUMMYFUNCTION("""COMPUTED_VALUE"""),0.209)</f>
        <v>0.209</v>
      </c>
      <c r="U1840" s="4">
        <f>IFERROR(__xludf.DUMMYFUNCTION("""COMPUTED_VALUE"""),5.6)</f>
        <v>5.6</v>
      </c>
      <c r="V1840" s="4">
        <f>IFERROR(__xludf.DUMMYFUNCTION("""COMPUTED_VALUE"""),91.1)</f>
        <v>91.1</v>
      </c>
    </row>
    <row r="1841">
      <c r="A1841" s="4">
        <f>IFERROR(__xludf.DUMMYFUNCTION("""COMPUTED_VALUE"""),2.0)</f>
        <v>2</v>
      </c>
      <c r="B1841" s="4">
        <f>IFERROR(__xludf.DUMMYFUNCTION("""COMPUTED_VALUE"""),2.0)</f>
        <v>2</v>
      </c>
      <c r="C1841" s="4" t="str">
        <f>IFERROR(__xludf.DUMMYFUNCTION("""COMPUTED_VALUE"""),"PHI")</f>
        <v>PHI</v>
      </c>
      <c r="D1841" s="4" t="str">
        <f>IFERROR(__xludf.DUMMYFUNCTION("""COMPUTED_VALUE"""),"Keith Van Horn")</f>
        <v>Keith Van Horn</v>
      </c>
      <c r="E1841" s="4" t="str">
        <f>IFERROR(__xludf.DUMMYFUNCTION("""COMPUTED_VALUE"""),"Utah")</f>
        <v>Utah</v>
      </c>
      <c r="F1841" s="4">
        <f>IFERROR(__xludf.DUMMYFUNCTION("""COMPUTED_VALUE"""),9.0)</f>
        <v>9</v>
      </c>
      <c r="G1841" s="4">
        <f>IFERROR(__xludf.DUMMYFUNCTION("""COMPUTED_VALUE"""),575.0)</f>
        <v>575</v>
      </c>
      <c r="H1841" s="4">
        <f>IFERROR(__xludf.DUMMYFUNCTION("""COMPUTED_VALUE"""),18150.0)</f>
        <v>18150</v>
      </c>
      <c r="I1841" s="4">
        <f>IFERROR(__xludf.DUMMYFUNCTION("""COMPUTED_VALUE"""),9206.0)</f>
        <v>9206</v>
      </c>
      <c r="J1841" s="4">
        <f>IFERROR(__xludf.DUMMYFUNCTION("""COMPUTED_VALUE"""),3909.0)</f>
        <v>3909</v>
      </c>
      <c r="K1841" s="4">
        <f>IFERROR(__xludf.DUMMYFUNCTION("""COMPUTED_VALUE"""),900.0)</f>
        <v>900</v>
      </c>
      <c r="L1841" s="4">
        <f>IFERROR(__xludf.DUMMYFUNCTION("""COMPUTED_VALUE"""),0.443)</f>
        <v>0.443</v>
      </c>
      <c r="M1841" s="4">
        <f>IFERROR(__xludf.DUMMYFUNCTION("""COMPUTED_VALUE"""),0.361)</f>
        <v>0.361</v>
      </c>
      <c r="N1841" s="4">
        <f>IFERROR(__xludf.DUMMYFUNCTION("""COMPUTED_VALUE"""),0.835)</f>
        <v>0.835</v>
      </c>
      <c r="O1841" s="4">
        <f>IFERROR(__xludf.DUMMYFUNCTION("""COMPUTED_VALUE"""),31.6)</f>
        <v>31.6</v>
      </c>
      <c r="P1841" s="4">
        <f>IFERROR(__xludf.DUMMYFUNCTION("""COMPUTED_VALUE"""),16.0)</f>
        <v>16</v>
      </c>
      <c r="Q1841" s="4">
        <f>IFERROR(__xludf.DUMMYFUNCTION("""COMPUTED_VALUE"""),6.8)</f>
        <v>6.8</v>
      </c>
      <c r="R1841" s="4">
        <f>IFERROR(__xludf.DUMMYFUNCTION("""COMPUTED_VALUE"""),1.6)</f>
        <v>1.6</v>
      </c>
      <c r="S1841" s="4">
        <f>IFERROR(__xludf.DUMMYFUNCTION("""COMPUTED_VALUE"""),41.7)</f>
        <v>41.7</v>
      </c>
      <c r="T1841" s="4">
        <f>IFERROR(__xludf.DUMMYFUNCTION("""COMPUTED_VALUE"""),0.11)</f>
        <v>0.11</v>
      </c>
      <c r="U1841" s="4">
        <f>IFERROR(__xludf.DUMMYFUNCTION("""COMPUTED_VALUE"""),0.1)</f>
        <v>0.1</v>
      </c>
      <c r="V1841" s="4">
        <f>IFERROR(__xludf.DUMMYFUNCTION("""COMPUTED_VALUE"""),9.6)</f>
        <v>9.6</v>
      </c>
    </row>
    <row r="1842">
      <c r="A1842" s="4">
        <f>IFERROR(__xludf.DUMMYFUNCTION("""COMPUTED_VALUE"""),3.0)</f>
        <v>3</v>
      </c>
      <c r="B1842" s="4">
        <f>IFERROR(__xludf.DUMMYFUNCTION("""COMPUTED_VALUE"""),3.0)</f>
        <v>3</v>
      </c>
      <c r="C1842" s="4" t="str">
        <f>IFERROR(__xludf.DUMMYFUNCTION("""COMPUTED_VALUE"""),"BOS")</f>
        <v>BOS</v>
      </c>
      <c r="D1842" s="4" t="str">
        <f>IFERROR(__xludf.DUMMYFUNCTION("""COMPUTED_VALUE"""),"Chauncey Billups")</f>
        <v>Chauncey Billups</v>
      </c>
      <c r="E1842" s="4" t="str">
        <f>IFERROR(__xludf.DUMMYFUNCTION("""COMPUTED_VALUE"""),"Colorado")</f>
        <v>Colorado</v>
      </c>
      <c r="F1842" s="4">
        <f>IFERROR(__xludf.DUMMYFUNCTION("""COMPUTED_VALUE"""),17.0)</f>
        <v>17</v>
      </c>
      <c r="G1842" s="4">
        <f>IFERROR(__xludf.DUMMYFUNCTION("""COMPUTED_VALUE"""),1043.0)</f>
        <v>1043</v>
      </c>
      <c r="H1842" s="4">
        <f>IFERROR(__xludf.DUMMYFUNCTION("""COMPUTED_VALUE"""),33008.0)</f>
        <v>33008</v>
      </c>
      <c r="I1842" s="4">
        <f>IFERROR(__xludf.DUMMYFUNCTION("""COMPUTED_VALUE"""),15802.0)</f>
        <v>15802</v>
      </c>
      <c r="J1842" s="4">
        <f>IFERROR(__xludf.DUMMYFUNCTION("""COMPUTED_VALUE"""),2992.0)</f>
        <v>2992</v>
      </c>
      <c r="K1842" s="4">
        <f>IFERROR(__xludf.DUMMYFUNCTION("""COMPUTED_VALUE"""),5636.0)</f>
        <v>5636</v>
      </c>
      <c r="L1842" s="4">
        <f>IFERROR(__xludf.DUMMYFUNCTION("""COMPUTED_VALUE"""),0.415)</f>
        <v>0.415</v>
      </c>
      <c r="M1842" s="4">
        <f>IFERROR(__xludf.DUMMYFUNCTION("""COMPUTED_VALUE"""),0.387)</f>
        <v>0.387</v>
      </c>
      <c r="N1842" s="4">
        <f>IFERROR(__xludf.DUMMYFUNCTION("""COMPUTED_VALUE"""),0.894)</f>
        <v>0.894</v>
      </c>
      <c r="O1842" s="4">
        <f>IFERROR(__xludf.DUMMYFUNCTION("""COMPUTED_VALUE"""),31.6)</f>
        <v>31.6</v>
      </c>
      <c r="P1842" s="4">
        <f>IFERROR(__xludf.DUMMYFUNCTION("""COMPUTED_VALUE"""),15.2)</f>
        <v>15.2</v>
      </c>
      <c r="Q1842" s="4">
        <f>IFERROR(__xludf.DUMMYFUNCTION("""COMPUTED_VALUE"""),2.9)</f>
        <v>2.9</v>
      </c>
      <c r="R1842" s="4">
        <f>IFERROR(__xludf.DUMMYFUNCTION("""COMPUTED_VALUE"""),5.4)</f>
        <v>5.4</v>
      </c>
      <c r="S1842" s="4">
        <f>IFERROR(__xludf.DUMMYFUNCTION("""COMPUTED_VALUE"""),120.8)</f>
        <v>120.8</v>
      </c>
      <c r="T1842" s="4">
        <f>IFERROR(__xludf.DUMMYFUNCTION("""COMPUTED_VALUE"""),0.176)</f>
        <v>0.176</v>
      </c>
      <c r="U1842" s="4">
        <f>IFERROR(__xludf.DUMMYFUNCTION("""COMPUTED_VALUE"""),3.2)</f>
        <v>3.2</v>
      </c>
      <c r="V1842" s="4">
        <f>IFERROR(__xludf.DUMMYFUNCTION("""COMPUTED_VALUE"""),43.5)</f>
        <v>43.5</v>
      </c>
    </row>
    <row r="1843">
      <c r="A1843" s="4">
        <f>IFERROR(__xludf.DUMMYFUNCTION("""COMPUTED_VALUE"""),4.0)</f>
        <v>4</v>
      </c>
      <c r="B1843" s="4">
        <f>IFERROR(__xludf.DUMMYFUNCTION("""COMPUTED_VALUE"""),4.0)</f>
        <v>4</v>
      </c>
      <c r="C1843" s="4" t="str">
        <f>IFERROR(__xludf.DUMMYFUNCTION("""COMPUTED_VALUE"""),"VAN")</f>
        <v>VAN</v>
      </c>
      <c r="D1843" s="4" t="str">
        <f>IFERROR(__xludf.DUMMYFUNCTION("""COMPUTED_VALUE"""),"Antonio Daniels")</f>
        <v>Antonio Daniels</v>
      </c>
      <c r="E1843" s="4" t="str">
        <f>IFERROR(__xludf.DUMMYFUNCTION("""COMPUTED_VALUE"""),"Bowling Green")</f>
        <v>Bowling Green</v>
      </c>
      <c r="F1843" s="4">
        <f>IFERROR(__xludf.DUMMYFUNCTION("""COMPUTED_VALUE"""),13.0)</f>
        <v>13</v>
      </c>
      <c r="G1843" s="4">
        <f>IFERROR(__xludf.DUMMYFUNCTION("""COMPUTED_VALUE"""),872.0)</f>
        <v>872</v>
      </c>
      <c r="H1843" s="4">
        <f>IFERROR(__xludf.DUMMYFUNCTION("""COMPUTED_VALUE"""),19671.0)</f>
        <v>19671</v>
      </c>
      <c r="I1843" s="4">
        <f>IFERROR(__xludf.DUMMYFUNCTION("""COMPUTED_VALUE"""),6623.0)</f>
        <v>6623</v>
      </c>
      <c r="J1843" s="4">
        <f>IFERROR(__xludf.DUMMYFUNCTION("""COMPUTED_VALUE"""),1613.0)</f>
        <v>1613</v>
      </c>
      <c r="K1843" s="4">
        <f>IFERROR(__xludf.DUMMYFUNCTION("""COMPUTED_VALUE"""),2934.0)</f>
        <v>2934</v>
      </c>
      <c r="L1843" s="4">
        <f>IFERROR(__xludf.DUMMYFUNCTION("""COMPUTED_VALUE"""),0.444)</f>
        <v>0.444</v>
      </c>
      <c r="M1843" s="4">
        <f>IFERROR(__xludf.DUMMYFUNCTION("""COMPUTED_VALUE"""),0.311)</f>
        <v>0.311</v>
      </c>
      <c r="N1843" s="4">
        <f>IFERROR(__xludf.DUMMYFUNCTION("""COMPUTED_VALUE"""),0.793)</f>
        <v>0.793</v>
      </c>
      <c r="O1843" s="4">
        <f>IFERROR(__xludf.DUMMYFUNCTION("""COMPUTED_VALUE"""),22.6)</f>
        <v>22.6</v>
      </c>
      <c r="P1843" s="4">
        <f>IFERROR(__xludf.DUMMYFUNCTION("""COMPUTED_VALUE"""),7.6)</f>
        <v>7.6</v>
      </c>
      <c r="Q1843" s="4">
        <f>IFERROR(__xludf.DUMMYFUNCTION("""COMPUTED_VALUE"""),1.8)</f>
        <v>1.8</v>
      </c>
      <c r="R1843" s="4">
        <f>IFERROR(__xludf.DUMMYFUNCTION("""COMPUTED_VALUE"""),3.4)</f>
        <v>3.4</v>
      </c>
      <c r="S1843" s="4">
        <f>IFERROR(__xludf.DUMMYFUNCTION("""COMPUTED_VALUE"""),47.0)</f>
        <v>47</v>
      </c>
      <c r="T1843" s="4">
        <f>IFERROR(__xludf.DUMMYFUNCTION("""COMPUTED_VALUE"""),0.115)</f>
        <v>0.115</v>
      </c>
      <c r="U1843" s="4">
        <f>IFERROR(__xludf.DUMMYFUNCTION("""COMPUTED_VALUE"""),0.0)</f>
        <v>0</v>
      </c>
      <c r="V1843" s="4">
        <f>IFERROR(__xludf.DUMMYFUNCTION("""COMPUTED_VALUE"""),10.1)</f>
        <v>10.1</v>
      </c>
    </row>
    <row r="1844">
      <c r="A1844" s="4">
        <f>IFERROR(__xludf.DUMMYFUNCTION("""COMPUTED_VALUE"""),5.0)</f>
        <v>5</v>
      </c>
      <c r="B1844" s="4">
        <f>IFERROR(__xludf.DUMMYFUNCTION("""COMPUTED_VALUE"""),5.0)</f>
        <v>5</v>
      </c>
      <c r="C1844" s="4" t="str">
        <f>IFERROR(__xludf.DUMMYFUNCTION("""COMPUTED_VALUE"""),"DEN")</f>
        <v>DEN</v>
      </c>
      <c r="D1844" s="4" t="str">
        <f>IFERROR(__xludf.DUMMYFUNCTION("""COMPUTED_VALUE"""),"Tony Battie")</f>
        <v>Tony Battie</v>
      </c>
      <c r="E1844" s="4" t="str">
        <f>IFERROR(__xludf.DUMMYFUNCTION("""COMPUTED_VALUE"""),"Texas Tech")</f>
        <v>Texas Tech</v>
      </c>
      <c r="F1844" s="4">
        <f>IFERROR(__xludf.DUMMYFUNCTION("""COMPUTED_VALUE"""),14.0)</f>
        <v>14</v>
      </c>
      <c r="G1844" s="4">
        <f>IFERROR(__xludf.DUMMYFUNCTION("""COMPUTED_VALUE"""),837.0)</f>
        <v>837</v>
      </c>
      <c r="H1844" s="4">
        <f>IFERROR(__xludf.DUMMYFUNCTION("""COMPUTED_VALUE"""),17649.0)</f>
        <v>17649</v>
      </c>
      <c r="I1844" s="4">
        <f>IFERROR(__xludf.DUMMYFUNCTION("""COMPUTED_VALUE"""),5082.0)</f>
        <v>5082</v>
      </c>
      <c r="J1844" s="4">
        <f>IFERROR(__xludf.DUMMYFUNCTION("""COMPUTED_VALUE"""),4287.0)</f>
        <v>4287</v>
      </c>
      <c r="K1844" s="4">
        <f>IFERROR(__xludf.DUMMYFUNCTION("""COMPUTED_VALUE"""),522.0)</f>
        <v>522</v>
      </c>
      <c r="L1844" s="4">
        <f>IFERROR(__xludf.DUMMYFUNCTION("""COMPUTED_VALUE"""),0.488)</f>
        <v>0.488</v>
      </c>
      <c r="M1844" s="4">
        <f>IFERROR(__xludf.DUMMYFUNCTION("""COMPUTED_VALUE"""),0.162)</f>
        <v>0.162</v>
      </c>
      <c r="N1844" s="4">
        <f>IFERROR(__xludf.DUMMYFUNCTION("""COMPUTED_VALUE"""),0.69)</f>
        <v>0.69</v>
      </c>
      <c r="O1844" s="4">
        <f>IFERROR(__xludf.DUMMYFUNCTION("""COMPUTED_VALUE"""),21.1)</f>
        <v>21.1</v>
      </c>
      <c r="P1844" s="4">
        <f>IFERROR(__xludf.DUMMYFUNCTION("""COMPUTED_VALUE"""),6.1)</f>
        <v>6.1</v>
      </c>
      <c r="Q1844" s="4">
        <f>IFERROR(__xludf.DUMMYFUNCTION("""COMPUTED_VALUE"""),5.1)</f>
        <v>5.1</v>
      </c>
      <c r="R1844" s="4">
        <f>IFERROR(__xludf.DUMMYFUNCTION("""COMPUTED_VALUE"""),0.6)</f>
        <v>0.6</v>
      </c>
      <c r="S1844" s="4">
        <f>IFERROR(__xludf.DUMMYFUNCTION("""COMPUTED_VALUE"""),36.4)</f>
        <v>36.4</v>
      </c>
      <c r="T1844" s="4">
        <f>IFERROR(__xludf.DUMMYFUNCTION("""COMPUTED_VALUE"""),0.099)</f>
        <v>0.099</v>
      </c>
      <c r="U1844" s="4">
        <f>IFERROR(__xludf.DUMMYFUNCTION("""COMPUTED_VALUE"""),-1.8)</f>
        <v>-1.8</v>
      </c>
      <c r="V1844" s="4">
        <f>IFERROR(__xludf.DUMMYFUNCTION("""COMPUTED_VALUE"""),0.8)</f>
        <v>0.8</v>
      </c>
    </row>
    <row r="1845">
      <c r="A1845" s="4">
        <f>IFERROR(__xludf.DUMMYFUNCTION("""COMPUTED_VALUE"""),6.0)</f>
        <v>6</v>
      </c>
      <c r="B1845" s="4">
        <f>IFERROR(__xludf.DUMMYFUNCTION("""COMPUTED_VALUE"""),6.0)</f>
        <v>6</v>
      </c>
      <c r="C1845" s="4" t="str">
        <f>IFERROR(__xludf.DUMMYFUNCTION("""COMPUTED_VALUE"""),"BOS")</f>
        <v>BOS</v>
      </c>
      <c r="D1845" s="4" t="str">
        <f>IFERROR(__xludf.DUMMYFUNCTION("""COMPUTED_VALUE"""),"Ron Mercer")</f>
        <v>Ron Mercer</v>
      </c>
      <c r="E1845" s="4" t="str">
        <f>IFERROR(__xludf.DUMMYFUNCTION("""COMPUTED_VALUE"""),"Kentucky")</f>
        <v>Kentucky</v>
      </c>
      <c r="F1845" s="4">
        <f>IFERROR(__xludf.DUMMYFUNCTION("""COMPUTED_VALUE"""),8.0)</f>
        <v>8</v>
      </c>
      <c r="G1845" s="4">
        <f>IFERROR(__xludf.DUMMYFUNCTION("""COMPUTED_VALUE"""),432.0)</f>
        <v>432</v>
      </c>
      <c r="H1845" s="4">
        <f>IFERROR(__xludf.DUMMYFUNCTION("""COMPUTED_VALUE"""),13418.0)</f>
        <v>13418</v>
      </c>
      <c r="I1845" s="4">
        <f>IFERROR(__xludf.DUMMYFUNCTION("""COMPUTED_VALUE"""),5892.0)</f>
        <v>5892</v>
      </c>
      <c r="J1845" s="4">
        <f>IFERROR(__xludf.DUMMYFUNCTION("""COMPUTED_VALUE"""),1342.0)</f>
        <v>1342</v>
      </c>
      <c r="K1845" s="4">
        <f>IFERROR(__xludf.DUMMYFUNCTION("""COMPUTED_VALUE"""),921.0)</f>
        <v>921</v>
      </c>
      <c r="L1845" s="4">
        <f>IFERROR(__xludf.DUMMYFUNCTION("""COMPUTED_VALUE"""),0.429)</f>
        <v>0.429</v>
      </c>
      <c r="M1845" s="4">
        <f>IFERROR(__xludf.DUMMYFUNCTION("""COMPUTED_VALUE"""),0.25)</f>
        <v>0.25</v>
      </c>
      <c r="N1845" s="4">
        <f>IFERROR(__xludf.DUMMYFUNCTION("""COMPUTED_VALUE"""),0.808)</f>
        <v>0.808</v>
      </c>
      <c r="O1845" s="4">
        <f>IFERROR(__xludf.DUMMYFUNCTION("""COMPUTED_VALUE"""),31.1)</f>
        <v>31.1</v>
      </c>
      <c r="P1845" s="4">
        <f>IFERROR(__xludf.DUMMYFUNCTION("""COMPUTED_VALUE"""),13.6)</f>
        <v>13.6</v>
      </c>
      <c r="Q1845" s="4">
        <f>IFERROR(__xludf.DUMMYFUNCTION("""COMPUTED_VALUE"""),3.1)</f>
        <v>3.1</v>
      </c>
      <c r="R1845" s="4">
        <f>IFERROR(__xludf.DUMMYFUNCTION("""COMPUTED_VALUE"""),2.1)</f>
        <v>2.1</v>
      </c>
      <c r="S1845" s="4">
        <f>IFERROR(__xludf.DUMMYFUNCTION("""COMPUTED_VALUE"""),9.4)</f>
        <v>9.4</v>
      </c>
      <c r="T1845" s="4">
        <f>IFERROR(__xludf.DUMMYFUNCTION("""COMPUTED_VALUE"""),0.034)</f>
        <v>0.034</v>
      </c>
      <c r="U1845" s="4">
        <f>IFERROR(__xludf.DUMMYFUNCTION("""COMPUTED_VALUE"""),-2.7)</f>
        <v>-2.7</v>
      </c>
      <c r="V1845" s="4">
        <f>IFERROR(__xludf.DUMMYFUNCTION("""COMPUTED_VALUE"""),-2.5)</f>
        <v>-2.5</v>
      </c>
    </row>
    <row r="1846">
      <c r="A1846" s="4">
        <f>IFERROR(__xludf.DUMMYFUNCTION("""COMPUTED_VALUE"""),7.0)</f>
        <v>7</v>
      </c>
      <c r="B1846" s="4">
        <f>IFERROR(__xludf.DUMMYFUNCTION("""COMPUTED_VALUE"""),7.0)</f>
        <v>7</v>
      </c>
      <c r="C1846" s="4" t="str">
        <f>IFERROR(__xludf.DUMMYFUNCTION("""COMPUTED_VALUE"""),"NJN")</f>
        <v>NJN</v>
      </c>
      <c r="D1846" s="4" t="str">
        <f>IFERROR(__xludf.DUMMYFUNCTION("""COMPUTED_VALUE"""),"Tim Thomas")</f>
        <v>Tim Thomas</v>
      </c>
      <c r="E1846" s="4" t="str">
        <f>IFERROR(__xludf.DUMMYFUNCTION("""COMPUTED_VALUE"""),"Villanova")</f>
        <v>Villanova</v>
      </c>
      <c r="F1846" s="4">
        <f>IFERROR(__xludf.DUMMYFUNCTION("""COMPUTED_VALUE"""),13.0)</f>
        <v>13</v>
      </c>
      <c r="G1846" s="4">
        <f>IFERROR(__xludf.DUMMYFUNCTION("""COMPUTED_VALUE"""),824.0)</f>
        <v>824</v>
      </c>
      <c r="H1846" s="4">
        <f>IFERROR(__xludf.DUMMYFUNCTION("""COMPUTED_VALUE"""),21336.0)</f>
        <v>21336</v>
      </c>
      <c r="I1846" s="4">
        <f>IFERROR(__xludf.DUMMYFUNCTION("""COMPUTED_VALUE"""),9454.0)</f>
        <v>9454</v>
      </c>
      <c r="J1846" s="4">
        <f>IFERROR(__xludf.DUMMYFUNCTION("""COMPUTED_VALUE"""),3379.0)</f>
        <v>3379</v>
      </c>
      <c r="K1846" s="4">
        <f>IFERROR(__xludf.DUMMYFUNCTION("""COMPUTED_VALUE"""),1272.0)</f>
        <v>1272</v>
      </c>
      <c r="L1846" s="4">
        <f>IFERROR(__xludf.DUMMYFUNCTION("""COMPUTED_VALUE"""),0.437)</f>
        <v>0.437</v>
      </c>
      <c r="M1846" s="4">
        <f>IFERROR(__xludf.DUMMYFUNCTION("""COMPUTED_VALUE"""),0.369)</f>
        <v>0.369</v>
      </c>
      <c r="N1846" s="4">
        <f>IFERROR(__xludf.DUMMYFUNCTION("""COMPUTED_VALUE"""),0.758)</f>
        <v>0.758</v>
      </c>
      <c r="O1846" s="4">
        <f>IFERROR(__xludf.DUMMYFUNCTION("""COMPUTED_VALUE"""),25.9)</f>
        <v>25.9</v>
      </c>
      <c r="P1846" s="4">
        <f>IFERROR(__xludf.DUMMYFUNCTION("""COMPUTED_VALUE"""),11.5)</f>
        <v>11.5</v>
      </c>
      <c r="Q1846" s="4">
        <f>IFERROR(__xludf.DUMMYFUNCTION("""COMPUTED_VALUE"""),4.1)</f>
        <v>4.1</v>
      </c>
      <c r="R1846" s="4">
        <f>IFERROR(__xludf.DUMMYFUNCTION("""COMPUTED_VALUE"""),1.5)</f>
        <v>1.5</v>
      </c>
      <c r="S1846" s="4">
        <f>IFERROR(__xludf.DUMMYFUNCTION("""COMPUTED_VALUE"""),35.2)</f>
        <v>35.2</v>
      </c>
      <c r="T1846" s="4">
        <f>IFERROR(__xludf.DUMMYFUNCTION("""COMPUTED_VALUE"""),0.079)</f>
        <v>0.079</v>
      </c>
      <c r="U1846" s="4">
        <f>IFERROR(__xludf.DUMMYFUNCTION("""COMPUTED_VALUE"""),-0.8)</f>
        <v>-0.8</v>
      </c>
      <c r="V1846" s="4">
        <f>IFERROR(__xludf.DUMMYFUNCTION("""COMPUTED_VALUE"""),6.4)</f>
        <v>6.4</v>
      </c>
    </row>
    <row r="1847">
      <c r="A1847" s="4">
        <f>IFERROR(__xludf.DUMMYFUNCTION("""COMPUTED_VALUE"""),8.0)</f>
        <v>8</v>
      </c>
      <c r="B1847" s="4">
        <f>IFERROR(__xludf.DUMMYFUNCTION("""COMPUTED_VALUE"""),8.0)</f>
        <v>8</v>
      </c>
      <c r="C1847" s="4" t="str">
        <f>IFERROR(__xludf.DUMMYFUNCTION("""COMPUTED_VALUE"""),"GSW")</f>
        <v>GSW</v>
      </c>
      <c r="D1847" s="4" t="str">
        <f>IFERROR(__xludf.DUMMYFUNCTION("""COMPUTED_VALUE"""),"Adonal Foyle")</f>
        <v>Adonal Foyle</v>
      </c>
      <c r="E1847" s="4" t="str">
        <f>IFERROR(__xludf.DUMMYFUNCTION("""COMPUTED_VALUE"""),"Colgate")</f>
        <v>Colgate</v>
      </c>
      <c r="F1847" s="4">
        <f>IFERROR(__xludf.DUMMYFUNCTION("""COMPUTED_VALUE"""),12.0)</f>
        <v>12</v>
      </c>
      <c r="G1847" s="4">
        <f>IFERROR(__xludf.DUMMYFUNCTION("""COMPUTED_VALUE"""),733.0)</f>
        <v>733</v>
      </c>
      <c r="H1847" s="4">
        <f>IFERROR(__xludf.DUMMYFUNCTION("""COMPUTED_VALUE"""),13060.0)</f>
        <v>13060</v>
      </c>
      <c r="I1847" s="4">
        <f>IFERROR(__xludf.DUMMYFUNCTION("""COMPUTED_VALUE"""),2989.0)</f>
        <v>2989</v>
      </c>
      <c r="J1847" s="4">
        <f>IFERROR(__xludf.DUMMYFUNCTION("""COMPUTED_VALUE"""),3461.0)</f>
        <v>3461</v>
      </c>
      <c r="K1847" s="4">
        <f>IFERROR(__xludf.DUMMYFUNCTION("""COMPUTED_VALUE"""),344.0)</f>
        <v>344</v>
      </c>
      <c r="L1847" s="4">
        <f>IFERROR(__xludf.DUMMYFUNCTION("""COMPUTED_VALUE"""),0.477)</f>
        <v>0.477</v>
      </c>
      <c r="M1847" s="4">
        <f>IFERROR(__xludf.DUMMYFUNCTION("""COMPUTED_VALUE"""),0.0)</f>
        <v>0</v>
      </c>
      <c r="N1847" s="4">
        <f>IFERROR(__xludf.DUMMYFUNCTION("""COMPUTED_VALUE"""),0.499)</f>
        <v>0.499</v>
      </c>
      <c r="O1847" s="4">
        <f>IFERROR(__xludf.DUMMYFUNCTION("""COMPUTED_VALUE"""),17.8)</f>
        <v>17.8</v>
      </c>
      <c r="P1847" s="4">
        <f>IFERROR(__xludf.DUMMYFUNCTION("""COMPUTED_VALUE"""),4.1)</f>
        <v>4.1</v>
      </c>
      <c r="Q1847" s="4">
        <f>IFERROR(__xludf.DUMMYFUNCTION("""COMPUTED_VALUE"""),4.7)</f>
        <v>4.7</v>
      </c>
      <c r="R1847" s="4">
        <f>IFERROR(__xludf.DUMMYFUNCTION("""COMPUTED_VALUE"""),0.5)</f>
        <v>0.5</v>
      </c>
      <c r="S1847" s="4">
        <f>IFERROR(__xludf.DUMMYFUNCTION("""COMPUTED_VALUE"""),18.7)</f>
        <v>18.7</v>
      </c>
      <c r="T1847" s="4">
        <f>IFERROR(__xludf.DUMMYFUNCTION("""COMPUTED_VALUE"""),0.069)</f>
        <v>0.069</v>
      </c>
      <c r="U1847" s="4">
        <f>IFERROR(__xludf.DUMMYFUNCTION("""COMPUTED_VALUE"""),-1.7)</f>
        <v>-1.7</v>
      </c>
      <c r="V1847" s="4">
        <f>IFERROR(__xludf.DUMMYFUNCTION("""COMPUTED_VALUE"""),1.1)</f>
        <v>1.1</v>
      </c>
    </row>
    <row r="1848">
      <c r="A1848" s="4">
        <f>IFERROR(__xludf.DUMMYFUNCTION("""COMPUTED_VALUE"""),9.0)</f>
        <v>9</v>
      </c>
      <c r="B1848" s="4">
        <f>IFERROR(__xludf.DUMMYFUNCTION("""COMPUTED_VALUE"""),9.0)</f>
        <v>9</v>
      </c>
      <c r="C1848" s="4" t="str">
        <f>IFERROR(__xludf.DUMMYFUNCTION("""COMPUTED_VALUE"""),"TOR")</f>
        <v>TOR</v>
      </c>
      <c r="D1848" s="4" t="str">
        <f>IFERROR(__xludf.DUMMYFUNCTION("""COMPUTED_VALUE"""),"Tracy McGrady")</f>
        <v>Tracy McGrady</v>
      </c>
      <c r="E1848" s="4"/>
      <c r="F1848" s="4">
        <f>IFERROR(__xludf.DUMMYFUNCTION("""COMPUTED_VALUE"""),15.0)</f>
        <v>15</v>
      </c>
      <c r="G1848" s="4">
        <f>IFERROR(__xludf.DUMMYFUNCTION("""COMPUTED_VALUE"""),938.0)</f>
        <v>938</v>
      </c>
      <c r="H1848" s="4">
        <f>IFERROR(__xludf.DUMMYFUNCTION("""COMPUTED_VALUE"""),30658.0)</f>
        <v>30658</v>
      </c>
      <c r="I1848" s="4">
        <f>IFERROR(__xludf.DUMMYFUNCTION("""COMPUTED_VALUE"""),18381.0)</f>
        <v>18381</v>
      </c>
      <c r="J1848" s="4">
        <f>IFERROR(__xludf.DUMMYFUNCTION("""COMPUTED_VALUE"""),5276.0)</f>
        <v>5276</v>
      </c>
      <c r="K1848" s="4">
        <f>IFERROR(__xludf.DUMMYFUNCTION("""COMPUTED_VALUE"""),4161.0)</f>
        <v>4161</v>
      </c>
      <c r="L1848" s="4">
        <f>IFERROR(__xludf.DUMMYFUNCTION("""COMPUTED_VALUE"""),0.435)</f>
        <v>0.435</v>
      </c>
      <c r="M1848" s="4">
        <f>IFERROR(__xludf.DUMMYFUNCTION("""COMPUTED_VALUE"""),0.338)</f>
        <v>0.338</v>
      </c>
      <c r="N1848" s="4">
        <f>IFERROR(__xludf.DUMMYFUNCTION("""COMPUTED_VALUE"""),0.746)</f>
        <v>0.746</v>
      </c>
      <c r="O1848" s="4">
        <f>IFERROR(__xludf.DUMMYFUNCTION("""COMPUTED_VALUE"""),32.7)</f>
        <v>32.7</v>
      </c>
      <c r="P1848" s="4">
        <f>IFERROR(__xludf.DUMMYFUNCTION("""COMPUTED_VALUE"""),19.6)</f>
        <v>19.6</v>
      </c>
      <c r="Q1848" s="4">
        <f>IFERROR(__xludf.DUMMYFUNCTION("""COMPUTED_VALUE"""),5.6)</f>
        <v>5.6</v>
      </c>
      <c r="R1848" s="4">
        <f>IFERROR(__xludf.DUMMYFUNCTION("""COMPUTED_VALUE"""),4.4)</f>
        <v>4.4</v>
      </c>
      <c r="S1848" s="4">
        <f>IFERROR(__xludf.DUMMYFUNCTION("""COMPUTED_VALUE"""),97.3)</f>
        <v>97.3</v>
      </c>
      <c r="T1848" s="4">
        <f>IFERROR(__xludf.DUMMYFUNCTION("""COMPUTED_VALUE"""),0.152)</f>
        <v>0.152</v>
      </c>
      <c r="U1848" s="4">
        <f>IFERROR(__xludf.DUMMYFUNCTION("""COMPUTED_VALUE"""),5.2)</f>
        <v>5.2</v>
      </c>
      <c r="V1848" s="4">
        <f>IFERROR(__xludf.DUMMYFUNCTION("""COMPUTED_VALUE"""),55.7)</f>
        <v>55.7</v>
      </c>
    </row>
    <row r="1849">
      <c r="A1849" s="4">
        <f>IFERROR(__xludf.DUMMYFUNCTION("""COMPUTED_VALUE"""),10.0)</f>
        <v>10</v>
      </c>
      <c r="B1849" s="4">
        <f>IFERROR(__xludf.DUMMYFUNCTION("""COMPUTED_VALUE"""),10.0)</f>
        <v>10</v>
      </c>
      <c r="C1849" s="4" t="str">
        <f>IFERROR(__xludf.DUMMYFUNCTION("""COMPUTED_VALUE"""),"MIL")</f>
        <v>MIL</v>
      </c>
      <c r="D1849" s="4" t="str">
        <f>IFERROR(__xludf.DUMMYFUNCTION("""COMPUTED_VALUE"""),"Danny Fortson")</f>
        <v>Danny Fortson</v>
      </c>
      <c r="E1849" s="4" t="str">
        <f>IFERROR(__xludf.DUMMYFUNCTION("""COMPUTED_VALUE"""),"Cincinnati")</f>
        <v>Cincinnati</v>
      </c>
      <c r="F1849" s="4">
        <f>IFERROR(__xludf.DUMMYFUNCTION("""COMPUTED_VALUE"""),10.0)</f>
        <v>10</v>
      </c>
      <c r="G1849" s="4">
        <f>IFERROR(__xludf.DUMMYFUNCTION("""COMPUTED_VALUE"""),440.0)</f>
        <v>440</v>
      </c>
      <c r="H1849" s="4">
        <f>IFERROR(__xludf.DUMMYFUNCTION("""COMPUTED_VALUE"""),8832.0)</f>
        <v>8832</v>
      </c>
      <c r="I1849" s="4">
        <f>IFERROR(__xludf.DUMMYFUNCTION("""COMPUTED_VALUE"""),3615.0)</f>
        <v>3615</v>
      </c>
      <c r="J1849" s="4">
        <f>IFERROR(__xludf.DUMMYFUNCTION("""COMPUTED_VALUE"""),3184.0)</f>
        <v>3184</v>
      </c>
      <c r="K1849" s="4">
        <f>IFERROR(__xludf.DUMMYFUNCTION("""COMPUTED_VALUE"""),301.0)</f>
        <v>301</v>
      </c>
      <c r="L1849" s="4">
        <f>IFERROR(__xludf.DUMMYFUNCTION("""COMPUTED_VALUE"""),0.472)</f>
        <v>0.472</v>
      </c>
      <c r="M1849" s="4">
        <f>IFERROR(__xludf.DUMMYFUNCTION("""COMPUTED_VALUE"""),0.167)</f>
        <v>0.167</v>
      </c>
      <c r="N1849" s="4">
        <f>IFERROR(__xludf.DUMMYFUNCTION("""COMPUTED_VALUE"""),0.785)</f>
        <v>0.785</v>
      </c>
      <c r="O1849" s="4">
        <f>IFERROR(__xludf.DUMMYFUNCTION("""COMPUTED_VALUE"""),20.1)</f>
        <v>20.1</v>
      </c>
      <c r="P1849" s="4">
        <f>IFERROR(__xludf.DUMMYFUNCTION("""COMPUTED_VALUE"""),8.2)</f>
        <v>8.2</v>
      </c>
      <c r="Q1849" s="4">
        <f>IFERROR(__xludf.DUMMYFUNCTION("""COMPUTED_VALUE"""),7.2)</f>
        <v>7.2</v>
      </c>
      <c r="R1849" s="4">
        <f>IFERROR(__xludf.DUMMYFUNCTION("""COMPUTED_VALUE"""),0.7)</f>
        <v>0.7</v>
      </c>
      <c r="S1849" s="4">
        <f>IFERROR(__xludf.DUMMYFUNCTION("""COMPUTED_VALUE"""),22.3)</f>
        <v>22.3</v>
      </c>
      <c r="T1849" s="4">
        <f>IFERROR(__xludf.DUMMYFUNCTION("""COMPUTED_VALUE"""),0.121)</f>
        <v>0.121</v>
      </c>
      <c r="U1849" s="4">
        <f>IFERROR(__xludf.DUMMYFUNCTION("""COMPUTED_VALUE"""),-3.2)</f>
        <v>-3.2</v>
      </c>
      <c r="V1849" s="4">
        <f>IFERROR(__xludf.DUMMYFUNCTION("""COMPUTED_VALUE"""),-2.6)</f>
        <v>-2.6</v>
      </c>
    </row>
    <row r="1850">
      <c r="A1850" s="4">
        <f>IFERROR(__xludf.DUMMYFUNCTION("""COMPUTED_VALUE"""),11.0)</f>
        <v>11</v>
      </c>
      <c r="B1850" s="4">
        <f>IFERROR(__xludf.DUMMYFUNCTION("""COMPUTED_VALUE"""),11.0)</f>
        <v>11</v>
      </c>
      <c r="C1850" s="4" t="str">
        <f>IFERROR(__xludf.DUMMYFUNCTION("""COMPUTED_VALUE"""),"SAC")</f>
        <v>SAC</v>
      </c>
      <c r="D1850" s="4" t="str">
        <f>IFERROR(__xludf.DUMMYFUNCTION("""COMPUTED_VALUE"""),"Tariq Abdul-Wahad")</f>
        <v>Tariq Abdul-Wahad</v>
      </c>
      <c r="E1850" s="4" t="str">
        <f>IFERROR(__xludf.DUMMYFUNCTION("""COMPUTED_VALUE"""),"San Jose State")</f>
        <v>San Jose State</v>
      </c>
      <c r="F1850" s="4">
        <f>IFERROR(__xludf.DUMMYFUNCTION("""COMPUTED_VALUE"""),6.0)</f>
        <v>6</v>
      </c>
      <c r="G1850" s="4">
        <f>IFERROR(__xludf.DUMMYFUNCTION("""COMPUTED_VALUE"""),236.0)</f>
        <v>236</v>
      </c>
      <c r="H1850" s="4">
        <f>IFERROR(__xludf.DUMMYFUNCTION("""COMPUTED_VALUE"""),4807.0)</f>
        <v>4807</v>
      </c>
      <c r="I1850" s="4">
        <f>IFERROR(__xludf.DUMMYFUNCTION("""COMPUTED_VALUE"""),1830.0)</f>
        <v>1830</v>
      </c>
      <c r="J1850" s="4">
        <f>IFERROR(__xludf.DUMMYFUNCTION("""COMPUTED_VALUE"""),776.0)</f>
        <v>776</v>
      </c>
      <c r="K1850" s="4">
        <f>IFERROR(__xludf.DUMMYFUNCTION("""COMPUTED_VALUE"""),266.0)</f>
        <v>266</v>
      </c>
      <c r="L1850" s="4">
        <f>IFERROR(__xludf.DUMMYFUNCTION("""COMPUTED_VALUE"""),0.417)</f>
        <v>0.417</v>
      </c>
      <c r="M1850" s="4">
        <f>IFERROR(__xludf.DUMMYFUNCTION("""COMPUTED_VALUE"""),0.237)</f>
        <v>0.237</v>
      </c>
      <c r="N1850" s="4">
        <f>IFERROR(__xludf.DUMMYFUNCTION("""COMPUTED_VALUE"""),0.703)</f>
        <v>0.703</v>
      </c>
      <c r="O1850" s="4">
        <f>IFERROR(__xludf.DUMMYFUNCTION("""COMPUTED_VALUE"""),20.4)</f>
        <v>20.4</v>
      </c>
      <c r="P1850" s="4">
        <f>IFERROR(__xludf.DUMMYFUNCTION("""COMPUTED_VALUE"""),7.8)</f>
        <v>7.8</v>
      </c>
      <c r="Q1850" s="4">
        <f>IFERROR(__xludf.DUMMYFUNCTION("""COMPUTED_VALUE"""),3.3)</f>
        <v>3.3</v>
      </c>
      <c r="R1850" s="4">
        <f>IFERROR(__xludf.DUMMYFUNCTION("""COMPUTED_VALUE"""),1.1)</f>
        <v>1.1</v>
      </c>
      <c r="S1850" s="4">
        <f>IFERROR(__xludf.DUMMYFUNCTION("""COMPUTED_VALUE"""),3.5)</f>
        <v>3.5</v>
      </c>
      <c r="T1850" s="4">
        <f>IFERROR(__xludf.DUMMYFUNCTION("""COMPUTED_VALUE"""),0.035)</f>
        <v>0.035</v>
      </c>
      <c r="U1850" s="4">
        <f>IFERROR(__xludf.DUMMYFUNCTION("""COMPUTED_VALUE"""),-3.0)</f>
        <v>-3</v>
      </c>
      <c r="V1850" s="4">
        <f>IFERROR(__xludf.DUMMYFUNCTION("""COMPUTED_VALUE"""),-1.2)</f>
        <v>-1.2</v>
      </c>
    </row>
    <row r="1851">
      <c r="A1851" s="4">
        <f>IFERROR(__xludf.DUMMYFUNCTION("""COMPUTED_VALUE"""),12.0)</f>
        <v>12</v>
      </c>
      <c r="B1851" s="4">
        <f>IFERROR(__xludf.DUMMYFUNCTION("""COMPUTED_VALUE"""),12.0)</f>
        <v>12</v>
      </c>
      <c r="C1851" s="4" t="str">
        <f>IFERROR(__xludf.DUMMYFUNCTION("""COMPUTED_VALUE"""),"IND")</f>
        <v>IND</v>
      </c>
      <c r="D1851" s="4" t="str">
        <f>IFERROR(__xludf.DUMMYFUNCTION("""COMPUTED_VALUE"""),"Austin Croshere")</f>
        <v>Austin Croshere</v>
      </c>
      <c r="E1851" s="4" t="str">
        <f>IFERROR(__xludf.DUMMYFUNCTION("""COMPUTED_VALUE"""),"Providence")</f>
        <v>Providence</v>
      </c>
      <c r="F1851" s="4">
        <f>IFERROR(__xludf.DUMMYFUNCTION("""COMPUTED_VALUE"""),12.0)</f>
        <v>12</v>
      </c>
      <c r="G1851" s="4">
        <f>IFERROR(__xludf.DUMMYFUNCTION("""COMPUTED_VALUE"""),659.0)</f>
        <v>659</v>
      </c>
      <c r="H1851" s="4">
        <f>IFERROR(__xludf.DUMMYFUNCTION("""COMPUTED_VALUE"""),11480.0)</f>
        <v>11480</v>
      </c>
      <c r="I1851" s="4">
        <f>IFERROR(__xludf.DUMMYFUNCTION("""COMPUTED_VALUE"""),4475.0)</f>
        <v>4475</v>
      </c>
      <c r="J1851" s="4">
        <f>IFERROR(__xludf.DUMMYFUNCTION("""COMPUTED_VALUE"""),2649.0)</f>
        <v>2649</v>
      </c>
      <c r="K1851" s="4">
        <f>IFERROR(__xludf.DUMMYFUNCTION("""COMPUTED_VALUE"""),627.0)</f>
        <v>627</v>
      </c>
      <c r="L1851" s="4">
        <f>IFERROR(__xludf.DUMMYFUNCTION("""COMPUTED_VALUE"""),0.407)</f>
        <v>0.407</v>
      </c>
      <c r="M1851" s="4">
        <f>IFERROR(__xludf.DUMMYFUNCTION("""COMPUTED_VALUE"""),0.34)</f>
        <v>0.34</v>
      </c>
      <c r="N1851" s="4">
        <f>IFERROR(__xludf.DUMMYFUNCTION("""COMPUTED_VALUE"""),0.861)</f>
        <v>0.861</v>
      </c>
      <c r="O1851" s="4">
        <f>IFERROR(__xludf.DUMMYFUNCTION("""COMPUTED_VALUE"""),17.4)</f>
        <v>17.4</v>
      </c>
      <c r="P1851" s="4">
        <f>IFERROR(__xludf.DUMMYFUNCTION("""COMPUTED_VALUE"""),6.8)</f>
        <v>6.8</v>
      </c>
      <c r="Q1851" s="4">
        <f>IFERROR(__xludf.DUMMYFUNCTION("""COMPUTED_VALUE"""),4.0)</f>
        <v>4</v>
      </c>
      <c r="R1851" s="4">
        <f>IFERROR(__xludf.DUMMYFUNCTION("""COMPUTED_VALUE"""),1.0)</f>
        <v>1</v>
      </c>
      <c r="S1851" s="4">
        <f>IFERROR(__xludf.DUMMYFUNCTION("""COMPUTED_VALUE"""),27.6)</f>
        <v>27.6</v>
      </c>
      <c r="T1851" s="4">
        <f>IFERROR(__xludf.DUMMYFUNCTION("""COMPUTED_VALUE"""),0.115)</f>
        <v>0.115</v>
      </c>
      <c r="U1851" s="4">
        <f>IFERROR(__xludf.DUMMYFUNCTION("""COMPUTED_VALUE"""),-0.1)</f>
        <v>-0.1</v>
      </c>
      <c r="V1851" s="4">
        <f>IFERROR(__xludf.DUMMYFUNCTION("""COMPUTED_VALUE"""),5.6)</f>
        <v>5.6</v>
      </c>
    </row>
    <row r="1852">
      <c r="A1852" s="4">
        <f>IFERROR(__xludf.DUMMYFUNCTION("""COMPUTED_VALUE"""),13.0)</f>
        <v>13</v>
      </c>
      <c r="B1852" s="4">
        <f>IFERROR(__xludf.DUMMYFUNCTION("""COMPUTED_VALUE"""),13.0)</f>
        <v>13</v>
      </c>
      <c r="C1852" s="4" t="str">
        <f>IFERROR(__xludf.DUMMYFUNCTION("""COMPUTED_VALUE"""),"CLE")</f>
        <v>CLE</v>
      </c>
      <c r="D1852" s="4" t="str">
        <f>IFERROR(__xludf.DUMMYFUNCTION("""COMPUTED_VALUE"""),"Derek Anderson")</f>
        <v>Derek Anderson</v>
      </c>
      <c r="E1852" s="4" t="str">
        <f>IFERROR(__xludf.DUMMYFUNCTION("""COMPUTED_VALUE"""),"Kentucky")</f>
        <v>Kentucky</v>
      </c>
      <c r="F1852" s="4">
        <f>IFERROR(__xludf.DUMMYFUNCTION("""COMPUTED_VALUE"""),11.0)</f>
        <v>11</v>
      </c>
      <c r="G1852" s="4">
        <f>IFERROR(__xludf.DUMMYFUNCTION("""COMPUTED_VALUE"""),615.0)</f>
        <v>615</v>
      </c>
      <c r="H1852" s="4">
        <f>IFERROR(__xludf.DUMMYFUNCTION("""COMPUTED_VALUE"""),17975.0)</f>
        <v>17975</v>
      </c>
      <c r="I1852" s="4">
        <f>IFERROR(__xludf.DUMMYFUNCTION("""COMPUTED_VALUE"""),7357.0)</f>
        <v>7357</v>
      </c>
      <c r="J1852" s="4">
        <f>IFERROR(__xludf.DUMMYFUNCTION("""COMPUTED_VALUE"""),1988.0)</f>
        <v>1988</v>
      </c>
      <c r="K1852" s="4">
        <f>IFERROR(__xludf.DUMMYFUNCTION("""COMPUTED_VALUE"""),2083.0)</f>
        <v>2083</v>
      </c>
      <c r="L1852" s="4">
        <f>IFERROR(__xludf.DUMMYFUNCTION("""COMPUTED_VALUE"""),0.408)</f>
        <v>0.408</v>
      </c>
      <c r="M1852" s="4">
        <f>IFERROR(__xludf.DUMMYFUNCTION("""COMPUTED_VALUE"""),0.341)</f>
        <v>0.341</v>
      </c>
      <c r="N1852" s="4">
        <f>IFERROR(__xludf.DUMMYFUNCTION("""COMPUTED_VALUE"""),0.853)</f>
        <v>0.853</v>
      </c>
      <c r="O1852" s="4">
        <f>IFERROR(__xludf.DUMMYFUNCTION("""COMPUTED_VALUE"""),29.2)</f>
        <v>29.2</v>
      </c>
      <c r="P1852" s="4">
        <f>IFERROR(__xludf.DUMMYFUNCTION("""COMPUTED_VALUE"""),12.0)</f>
        <v>12</v>
      </c>
      <c r="Q1852" s="4">
        <f>IFERROR(__xludf.DUMMYFUNCTION("""COMPUTED_VALUE"""),3.2)</f>
        <v>3.2</v>
      </c>
      <c r="R1852" s="4">
        <f>IFERROR(__xludf.DUMMYFUNCTION("""COMPUTED_VALUE"""),3.4)</f>
        <v>3.4</v>
      </c>
      <c r="S1852" s="4">
        <f>IFERROR(__xludf.DUMMYFUNCTION("""COMPUTED_VALUE"""),43.9)</f>
        <v>43.9</v>
      </c>
      <c r="T1852" s="4">
        <f>IFERROR(__xludf.DUMMYFUNCTION("""COMPUTED_VALUE"""),0.117)</f>
        <v>0.117</v>
      </c>
      <c r="U1852" s="4">
        <f>IFERROR(__xludf.DUMMYFUNCTION("""COMPUTED_VALUE"""),1.0)</f>
        <v>1</v>
      </c>
      <c r="V1852" s="4">
        <f>IFERROR(__xludf.DUMMYFUNCTION("""COMPUTED_VALUE"""),13.5)</f>
        <v>13.5</v>
      </c>
    </row>
    <row r="1853">
      <c r="A1853" s="4">
        <f>IFERROR(__xludf.DUMMYFUNCTION("""COMPUTED_VALUE"""),14.0)</f>
        <v>14</v>
      </c>
      <c r="B1853" s="4">
        <f>IFERROR(__xludf.DUMMYFUNCTION("""COMPUTED_VALUE"""),14.0)</f>
        <v>14</v>
      </c>
      <c r="C1853" s="4" t="str">
        <f>IFERROR(__xludf.DUMMYFUNCTION("""COMPUTED_VALUE"""),"LAC")</f>
        <v>LAC</v>
      </c>
      <c r="D1853" s="4" t="str">
        <f>IFERROR(__xludf.DUMMYFUNCTION("""COMPUTED_VALUE"""),"Maurice Taylor")</f>
        <v>Maurice Taylor</v>
      </c>
      <c r="E1853" s="4" t="str">
        <f>IFERROR(__xludf.DUMMYFUNCTION("""COMPUTED_VALUE"""),"Michigan")</f>
        <v>Michigan</v>
      </c>
      <c r="F1853" s="4">
        <f>IFERROR(__xludf.DUMMYFUNCTION("""COMPUTED_VALUE"""),9.0)</f>
        <v>9</v>
      </c>
      <c r="G1853" s="4">
        <f>IFERROR(__xludf.DUMMYFUNCTION("""COMPUTED_VALUE"""),534.0)</f>
        <v>534</v>
      </c>
      <c r="H1853" s="4">
        <f>IFERROR(__xludf.DUMMYFUNCTION("""COMPUTED_VALUE"""),13324.0)</f>
        <v>13324</v>
      </c>
      <c r="I1853" s="4">
        <f>IFERROR(__xludf.DUMMYFUNCTION("""COMPUTED_VALUE"""),5889.0)</f>
        <v>5889</v>
      </c>
      <c r="J1853" s="4">
        <f>IFERROR(__xludf.DUMMYFUNCTION("""COMPUTED_VALUE"""),2452.0)</f>
        <v>2452</v>
      </c>
      <c r="K1853" s="4">
        <f>IFERROR(__xludf.DUMMYFUNCTION("""COMPUTED_VALUE"""),623.0)</f>
        <v>623</v>
      </c>
      <c r="L1853" s="4">
        <f>IFERROR(__xludf.DUMMYFUNCTION("""COMPUTED_VALUE"""),0.466)</f>
        <v>0.466</v>
      </c>
      <c r="M1853" s="4">
        <f>IFERROR(__xludf.DUMMYFUNCTION("""COMPUTED_VALUE"""),0.152)</f>
        <v>0.152</v>
      </c>
      <c r="N1853" s="4">
        <f>IFERROR(__xludf.DUMMYFUNCTION("""COMPUTED_VALUE"""),0.711)</f>
        <v>0.711</v>
      </c>
      <c r="O1853" s="4">
        <f>IFERROR(__xludf.DUMMYFUNCTION("""COMPUTED_VALUE"""),25.0)</f>
        <v>25</v>
      </c>
      <c r="P1853" s="4">
        <f>IFERROR(__xludf.DUMMYFUNCTION("""COMPUTED_VALUE"""),11.0)</f>
        <v>11</v>
      </c>
      <c r="Q1853" s="4">
        <f>IFERROR(__xludf.DUMMYFUNCTION("""COMPUTED_VALUE"""),4.6)</f>
        <v>4.6</v>
      </c>
      <c r="R1853" s="4">
        <f>IFERROR(__xludf.DUMMYFUNCTION("""COMPUTED_VALUE"""),1.2)</f>
        <v>1.2</v>
      </c>
      <c r="S1853" s="4">
        <f>IFERROR(__xludf.DUMMYFUNCTION("""COMPUTED_VALUE"""),9.9)</f>
        <v>9.9</v>
      </c>
      <c r="T1853" s="4">
        <f>IFERROR(__xludf.DUMMYFUNCTION("""COMPUTED_VALUE"""),0.036)</f>
        <v>0.036</v>
      </c>
      <c r="U1853" s="4">
        <f>IFERROR(__xludf.DUMMYFUNCTION("""COMPUTED_VALUE"""),-3.6)</f>
        <v>-3.6</v>
      </c>
      <c r="V1853" s="4">
        <f>IFERROR(__xludf.DUMMYFUNCTION("""COMPUTED_VALUE"""),-5.3)</f>
        <v>-5.3</v>
      </c>
    </row>
    <row r="1854">
      <c r="A1854" s="4">
        <f>IFERROR(__xludf.DUMMYFUNCTION("""COMPUTED_VALUE"""),15.0)</f>
        <v>15</v>
      </c>
      <c r="B1854" s="4">
        <f>IFERROR(__xludf.DUMMYFUNCTION("""COMPUTED_VALUE"""),15.0)</f>
        <v>15</v>
      </c>
      <c r="C1854" s="4" t="str">
        <f>IFERROR(__xludf.DUMMYFUNCTION("""COMPUTED_VALUE"""),"DAL")</f>
        <v>DAL</v>
      </c>
      <c r="D1854" s="4" t="str">
        <f>IFERROR(__xludf.DUMMYFUNCTION("""COMPUTED_VALUE"""),"Kelvin Cato")</f>
        <v>Kelvin Cato</v>
      </c>
      <c r="E1854" s="4" t="str">
        <f>IFERROR(__xludf.DUMMYFUNCTION("""COMPUTED_VALUE"""),"Iowa State")</f>
        <v>Iowa State</v>
      </c>
      <c r="F1854" s="4">
        <f>IFERROR(__xludf.DUMMYFUNCTION("""COMPUTED_VALUE"""),10.0)</f>
        <v>10</v>
      </c>
      <c r="G1854" s="4">
        <f>IFERROR(__xludf.DUMMYFUNCTION("""COMPUTED_VALUE"""),541.0)</f>
        <v>541</v>
      </c>
      <c r="H1854" s="4">
        <f>IFERROR(__xludf.DUMMYFUNCTION("""COMPUTED_VALUE"""),10617.0)</f>
        <v>10617</v>
      </c>
      <c r="I1854" s="4">
        <f>IFERROR(__xludf.DUMMYFUNCTION("""COMPUTED_VALUE"""),2960.0)</f>
        <v>2960</v>
      </c>
      <c r="J1854" s="4">
        <f>IFERROR(__xludf.DUMMYFUNCTION("""COMPUTED_VALUE"""),2874.0)</f>
        <v>2874</v>
      </c>
      <c r="K1854" s="4">
        <f>IFERROR(__xludf.DUMMYFUNCTION("""COMPUTED_VALUE"""),244.0)</f>
        <v>244</v>
      </c>
      <c r="L1854" s="4">
        <f>IFERROR(__xludf.DUMMYFUNCTION("""COMPUTED_VALUE"""),0.507)</f>
        <v>0.507</v>
      </c>
      <c r="M1854" s="4">
        <f>IFERROR(__xludf.DUMMYFUNCTION("""COMPUTED_VALUE"""),0.077)</f>
        <v>0.077</v>
      </c>
      <c r="N1854" s="4">
        <f>IFERROR(__xludf.DUMMYFUNCTION("""COMPUTED_VALUE"""),0.644)</f>
        <v>0.644</v>
      </c>
      <c r="O1854" s="4">
        <f>IFERROR(__xludf.DUMMYFUNCTION("""COMPUTED_VALUE"""),19.6)</f>
        <v>19.6</v>
      </c>
      <c r="P1854" s="4">
        <f>IFERROR(__xludf.DUMMYFUNCTION("""COMPUTED_VALUE"""),5.5)</f>
        <v>5.5</v>
      </c>
      <c r="Q1854" s="4">
        <f>IFERROR(__xludf.DUMMYFUNCTION("""COMPUTED_VALUE"""),5.3)</f>
        <v>5.3</v>
      </c>
      <c r="R1854" s="4">
        <f>IFERROR(__xludf.DUMMYFUNCTION("""COMPUTED_VALUE"""),0.5)</f>
        <v>0.5</v>
      </c>
      <c r="S1854" s="4">
        <f>IFERROR(__xludf.DUMMYFUNCTION("""COMPUTED_VALUE"""),28.6)</f>
        <v>28.6</v>
      </c>
      <c r="T1854" s="4">
        <f>IFERROR(__xludf.DUMMYFUNCTION("""COMPUTED_VALUE"""),0.129)</f>
        <v>0.129</v>
      </c>
      <c r="U1854" s="4">
        <f>IFERROR(__xludf.DUMMYFUNCTION("""COMPUTED_VALUE"""),-0.3)</f>
        <v>-0.3</v>
      </c>
      <c r="V1854" s="4">
        <f>IFERROR(__xludf.DUMMYFUNCTION("""COMPUTED_VALUE"""),4.4)</f>
        <v>4.4</v>
      </c>
    </row>
    <row r="1855">
      <c r="A1855" s="4">
        <f>IFERROR(__xludf.DUMMYFUNCTION("""COMPUTED_VALUE"""),16.0)</f>
        <v>16</v>
      </c>
      <c r="B1855" s="4">
        <f>IFERROR(__xludf.DUMMYFUNCTION("""COMPUTED_VALUE"""),16.0)</f>
        <v>16</v>
      </c>
      <c r="C1855" s="4" t="str">
        <f>IFERROR(__xludf.DUMMYFUNCTION("""COMPUTED_VALUE"""),"CLE")</f>
        <v>CLE</v>
      </c>
      <c r="D1855" s="4" t="str">
        <f>IFERROR(__xludf.DUMMYFUNCTION("""COMPUTED_VALUE"""),"Brevin Knight")</f>
        <v>Brevin Knight</v>
      </c>
      <c r="E1855" s="4" t="str">
        <f>IFERROR(__xludf.DUMMYFUNCTION("""COMPUTED_VALUE"""),"Stanford")</f>
        <v>Stanford</v>
      </c>
      <c r="F1855" s="4">
        <f>IFERROR(__xludf.DUMMYFUNCTION("""COMPUTED_VALUE"""),12.0)</f>
        <v>12</v>
      </c>
      <c r="G1855" s="4">
        <f>IFERROR(__xludf.DUMMYFUNCTION("""COMPUTED_VALUE"""),729.0)</f>
        <v>729</v>
      </c>
      <c r="H1855" s="4">
        <f>IFERROR(__xludf.DUMMYFUNCTION("""COMPUTED_VALUE"""),18176.0)</f>
        <v>18176</v>
      </c>
      <c r="I1855" s="4">
        <f>IFERROR(__xludf.DUMMYFUNCTION("""COMPUTED_VALUE"""),5342.0)</f>
        <v>5342</v>
      </c>
      <c r="J1855" s="4">
        <f>IFERROR(__xludf.DUMMYFUNCTION("""COMPUTED_VALUE"""),1785.0)</f>
        <v>1785</v>
      </c>
      <c r="K1855" s="4">
        <f>IFERROR(__xludf.DUMMYFUNCTION("""COMPUTED_VALUE"""),4481.0)</f>
        <v>4481</v>
      </c>
      <c r="L1855" s="4">
        <f>IFERROR(__xludf.DUMMYFUNCTION("""COMPUTED_VALUE"""),0.412)</f>
        <v>0.412</v>
      </c>
      <c r="M1855" s="4">
        <f>IFERROR(__xludf.DUMMYFUNCTION("""COMPUTED_VALUE"""),0.134)</f>
        <v>0.134</v>
      </c>
      <c r="N1855" s="4">
        <f>IFERROR(__xludf.DUMMYFUNCTION("""COMPUTED_VALUE"""),0.789)</f>
        <v>0.789</v>
      </c>
      <c r="O1855" s="4">
        <f>IFERROR(__xludf.DUMMYFUNCTION("""COMPUTED_VALUE"""),24.9)</f>
        <v>24.9</v>
      </c>
      <c r="P1855" s="4">
        <f>IFERROR(__xludf.DUMMYFUNCTION("""COMPUTED_VALUE"""),7.3)</f>
        <v>7.3</v>
      </c>
      <c r="Q1855" s="4">
        <f>IFERROR(__xludf.DUMMYFUNCTION("""COMPUTED_VALUE"""),2.4)</f>
        <v>2.4</v>
      </c>
      <c r="R1855" s="4">
        <f>IFERROR(__xludf.DUMMYFUNCTION("""COMPUTED_VALUE"""),6.1)</f>
        <v>6.1</v>
      </c>
      <c r="S1855" s="4">
        <f>IFERROR(__xludf.DUMMYFUNCTION("""COMPUTED_VALUE"""),32.6)</f>
        <v>32.6</v>
      </c>
      <c r="T1855" s="4">
        <f>IFERROR(__xludf.DUMMYFUNCTION("""COMPUTED_VALUE"""),0.086)</f>
        <v>0.086</v>
      </c>
      <c r="U1855" s="4">
        <f>IFERROR(__xludf.DUMMYFUNCTION("""COMPUTED_VALUE"""),0.3)</f>
        <v>0.3</v>
      </c>
      <c r="V1855" s="4">
        <f>IFERROR(__xludf.DUMMYFUNCTION("""COMPUTED_VALUE"""),10.5)</f>
        <v>10.5</v>
      </c>
    </row>
    <row r="1856">
      <c r="A1856" s="4">
        <f>IFERROR(__xludf.DUMMYFUNCTION("""COMPUTED_VALUE"""),17.0)</f>
        <v>17</v>
      </c>
      <c r="B1856" s="4">
        <f>IFERROR(__xludf.DUMMYFUNCTION("""COMPUTED_VALUE"""),17.0)</f>
        <v>17</v>
      </c>
      <c r="C1856" s="4" t="str">
        <f>IFERROR(__xludf.DUMMYFUNCTION("""COMPUTED_VALUE"""),"ORL")</f>
        <v>ORL</v>
      </c>
      <c r="D1856" s="4" t="str">
        <f>IFERROR(__xludf.DUMMYFUNCTION("""COMPUTED_VALUE"""),"Johnny Taylor")</f>
        <v>Johnny Taylor</v>
      </c>
      <c r="E1856" s="4" t="str">
        <f>IFERROR(__xludf.DUMMYFUNCTION("""COMPUTED_VALUE"""),"Chattanooga")</f>
        <v>Chattanooga</v>
      </c>
      <c r="F1856" s="4">
        <f>IFERROR(__xludf.DUMMYFUNCTION("""COMPUTED_VALUE"""),3.0)</f>
        <v>3</v>
      </c>
      <c r="G1856" s="4">
        <f>IFERROR(__xludf.DUMMYFUNCTION("""COMPUTED_VALUE"""),54.0)</f>
        <v>54</v>
      </c>
      <c r="H1856" s="4">
        <f>IFERROR(__xludf.DUMMYFUNCTION("""COMPUTED_VALUE"""),866.0)</f>
        <v>866</v>
      </c>
      <c r="I1856" s="4">
        <f>IFERROR(__xludf.DUMMYFUNCTION("""COMPUTED_VALUE"""),256.0)</f>
        <v>256</v>
      </c>
      <c r="J1856" s="4">
        <f>IFERROR(__xludf.DUMMYFUNCTION("""COMPUTED_VALUE"""),120.0)</f>
        <v>120</v>
      </c>
      <c r="K1856" s="4">
        <f>IFERROR(__xludf.DUMMYFUNCTION("""COMPUTED_VALUE"""),26.0)</f>
        <v>26</v>
      </c>
      <c r="L1856" s="4">
        <f>IFERROR(__xludf.DUMMYFUNCTION("""COMPUTED_VALUE"""),0.402)</f>
        <v>0.402</v>
      </c>
      <c r="M1856" s="4">
        <f>IFERROR(__xludf.DUMMYFUNCTION("""COMPUTED_VALUE"""),0.394)</f>
        <v>0.394</v>
      </c>
      <c r="N1856" s="4">
        <f>IFERROR(__xludf.DUMMYFUNCTION("""COMPUTED_VALUE"""),0.718)</f>
        <v>0.718</v>
      </c>
      <c r="O1856" s="4">
        <f>IFERROR(__xludf.DUMMYFUNCTION("""COMPUTED_VALUE"""),16.0)</f>
        <v>16</v>
      </c>
      <c r="P1856" s="4">
        <f>IFERROR(__xludf.DUMMYFUNCTION("""COMPUTED_VALUE"""),4.7)</f>
        <v>4.7</v>
      </c>
      <c r="Q1856" s="4">
        <f>IFERROR(__xludf.DUMMYFUNCTION("""COMPUTED_VALUE"""),2.2)</f>
        <v>2.2</v>
      </c>
      <c r="R1856" s="4">
        <f>IFERROR(__xludf.DUMMYFUNCTION("""COMPUTED_VALUE"""),0.5)</f>
        <v>0.5</v>
      </c>
      <c r="S1856" s="4">
        <f>IFERROR(__xludf.DUMMYFUNCTION("""COMPUTED_VALUE"""),0.1)</f>
        <v>0.1</v>
      </c>
      <c r="T1856" s="4">
        <f>IFERROR(__xludf.DUMMYFUNCTION("""COMPUTED_VALUE"""),0.007)</f>
        <v>0.007</v>
      </c>
      <c r="U1856" s="4">
        <f>IFERROR(__xludf.DUMMYFUNCTION("""COMPUTED_VALUE"""),-4.0)</f>
        <v>-4</v>
      </c>
      <c r="V1856" s="4">
        <f>IFERROR(__xludf.DUMMYFUNCTION("""COMPUTED_VALUE"""),-0.4)</f>
        <v>-0.4</v>
      </c>
    </row>
    <row r="1857">
      <c r="A1857" s="4">
        <f>IFERROR(__xludf.DUMMYFUNCTION("""COMPUTED_VALUE"""),18.0)</f>
        <v>18</v>
      </c>
      <c r="B1857" s="4">
        <f>IFERROR(__xludf.DUMMYFUNCTION("""COMPUTED_VALUE"""),18.0)</f>
        <v>18</v>
      </c>
      <c r="C1857" s="4" t="str">
        <f>IFERROR(__xludf.DUMMYFUNCTION("""COMPUTED_VALUE"""),"POR")</f>
        <v>POR</v>
      </c>
      <c r="D1857" s="4" t="str">
        <f>IFERROR(__xludf.DUMMYFUNCTION("""COMPUTED_VALUE"""),"Chris Anstey")</f>
        <v>Chris Anstey</v>
      </c>
      <c r="E1857" s="4"/>
      <c r="F1857" s="4">
        <f>IFERROR(__xludf.DUMMYFUNCTION("""COMPUTED_VALUE"""),3.0)</f>
        <v>3</v>
      </c>
      <c r="G1857" s="4">
        <f>IFERROR(__xludf.DUMMYFUNCTION("""COMPUTED_VALUE"""),155.0)</f>
        <v>155</v>
      </c>
      <c r="H1857" s="4">
        <f>IFERROR(__xludf.DUMMYFUNCTION("""COMPUTED_VALUE"""),2157.0)</f>
        <v>2157</v>
      </c>
      <c r="I1857" s="4">
        <f>IFERROR(__xludf.DUMMYFUNCTION("""COMPUTED_VALUE"""),813.0)</f>
        <v>813</v>
      </c>
      <c r="J1857" s="4">
        <f>IFERROR(__xludf.DUMMYFUNCTION("""COMPUTED_VALUE"""),534.0)</f>
        <v>534</v>
      </c>
      <c r="K1857" s="4">
        <f>IFERROR(__xludf.DUMMYFUNCTION("""COMPUTED_VALUE"""),127.0)</f>
        <v>127</v>
      </c>
      <c r="L1857" s="4">
        <f>IFERROR(__xludf.DUMMYFUNCTION("""COMPUTED_VALUE"""),0.413)</f>
        <v>0.413</v>
      </c>
      <c r="M1857" s="4">
        <f>IFERROR(__xludf.DUMMYFUNCTION("""COMPUTED_VALUE"""),0.138)</f>
        <v>0.138</v>
      </c>
      <c r="N1857" s="4">
        <f>IFERROR(__xludf.DUMMYFUNCTION("""COMPUTED_VALUE"""),0.755)</f>
        <v>0.755</v>
      </c>
      <c r="O1857" s="4">
        <f>IFERROR(__xludf.DUMMYFUNCTION("""COMPUTED_VALUE"""),13.9)</f>
        <v>13.9</v>
      </c>
      <c r="P1857" s="4">
        <f>IFERROR(__xludf.DUMMYFUNCTION("""COMPUTED_VALUE"""),5.2)</f>
        <v>5.2</v>
      </c>
      <c r="Q1857" s="4">
        <f>IFERROR(__xludf.DUMMYFUNCTION("""COMPUTED_VALUE"""),3.4)</f>
        <v>3.4</v>
      </c>
      <c r="R1857" s="4">
        <f>IFERROR(__xludf.DUMMYFUNCTION("""COMPUTED_VALUE"""),0.8)</f>
        <v>0.8</v>
      </c>
      <c r="S1857" s="4">
        <f>IFERROR(__xludf.DUMMYFUNCTION("""COMPUTED_VALUE"""),2.8)</f>
        <v>2.8</v>
      </c>
      <c r="T1857" s="4">
        <f>IFERROR(__xludf.DUMMYFUNCTION("""COMPUTED_VALUE"""),0.062)</f>
        <v>0.062</v>
      </c>
      <c r="U1857" s="4">
        <f>IFERROR(__xludf.DUMMYFUNCTION("""COMPUTED_VALUE"""),-2.9)</f>
        <v>-2.9</v>
      </c>
      <c r="V1857" s="4">
        <f>IFERROR(__xludf.DUMMYFUNCTION("""COMPUTED_VALUE"""),-0.5)</f>
        <v>-0.5</v>
      </c>
    </row>
    <row r="1858">
      <c r="A1858" s="4">
        <f>IFERROR(__xludf.DUMMYFUNCTION("""COMPUTED_VALUE"""),19.0)</f>
        <v>19</v>
      </c>
      <c r="B1858" s="4">
        <f>IFERROR(__xludf.DUMMYFUNCTION("""COMPUTED_VALUE"""),19.0)</f>
        <v>19</v>
      </c>
      <c r="C1858" s="4" t="str">
        <f>IFERROR(__xludf.DUMMYFUNCTION("""COMPUTED_VALUE"""),"DET")</f>
        <v>DET</v>
      </c>
      <c r="D1858" s="4" t="str">
        <f>IFERROR(__xludf.DUMMYFUNCTION("""COMPUTED_VALUE"""),"Scot Pollard")</f>
        <v>Scot Pollard</v>
      </c>
      <c r="E1858" s="4" t="str">
        <f>IFERROR(__xludf.DUMMYFUNCTION("""COMPUTED_VALUE"""),"Kansas")</f>
        <v>Kansas</v>
      </c>
      <c r="F1858" s="4">
        <f>IFERROR(__xludf.DUMMYFUNCTION("""COMPUTED_VALUE"""),11.0)</f>
        <v>11</v>
      </c>
      <c r="G1858" s="4">
        <f>IFERROR(__xludf.DUMMYFUNCTION("""COMPUTED_VALUE"""),506.0)</f>
        <v>506</v>
      </c>
      <c r="H1858" s="4">
        <f>IFERROR(__xludf.DUMMYFUNCTION("""COMPUTED_VALUE"""),8372.0)</f>
        <v>8372</v>
      </c>
      <c r="I1858" s="4">
        <f>IFERROR(__xludf.DUMMYFUNCTION("""COMPUTED_VALUE"""),2222.0)</f>
        <v>2222</v>
      </c>
      <c r="J1858" s="4">
        <f>IFERROR(__xludf.DUMMYFUNCTION("""COMPUTED_VALUE"""),2351.0)</f>
        <v>2351</v>
      </c>
      <c r="K1858" s="4">
        <f>IFERROR(__xludf.DUMMYFUNCTION("""COMPUTED_VALUE"""),220.0)</f>
        <v>220</v>
      </c>
      <c r="L1858" s="4">
        <f>IFERROR(__xludf.DUMMYFUNCTION("""COMPUTED_VALUE"""),0.494)</f>
        <v>0.494</v>
      </c>
      <c r="M1858" s="4">
        <f>IFERROR(__xludf.DUMMYFUNCTION("""COMPUTED_VALUE"""),0.0)</f>
        <v>0</v>
      </c>
      <c r="N1858" s="4">
        <f>IFERROR(__xludf.DUMMYFUNCTION("""COMPUTED_VALUE"""),0.709)</f>
        <v>0.709</v>
      </c>
      <c r="O1858" s="4">
        <f>IFERROR(__xludf.DUMMYFUNCTION("""COMPUTED_VALUE"""),16.5)</f>
        <v>16.5</v>
      </c>
      <c r="P1858" s="4">
        <f>IFERROR(__xludf.DUMMYFUNCTION("""COMPUTED_VALUE"""),4.4)</f>
        <v>4.4</v>
      </c>
      <c r="Q1858" s="4">
        <f>IFERROR(__xludf.DUMMYFUNCTION("""COMPUTED_VALUE"""),4.6)</f>
        <v>4.6</v>
      </c>
      <c r="R1858" s="4">
        <f>IFERROR(__xludf.DUMMYFUNCTION("""COMPUTED_VALUE"""),0.4)</f>
        <v>0.4</v>
      </c>
      <c r="S1858" s="4">
        <f>IFERROR(__xludf.DUMMYFUNCTION("""COMPUTED_VALUE"""),26.6)</f>
        <v>26.6</v>
      </c>
      <c r="T1858" s="4">
        <f>IFERROR(__xludf.DUMMYFUNCTION("""COMPUTED_VALUE"""),0.153)</f>
        <v>0.153</v>
      </c>
      <c r="U1858" s="4">
        <f>IFERROR(__xludf.DUMMYFUNCTION("""COMPUTED_VALUE"""),-0.6)</f>
        <v>-0.6</v>
      </c>
      <c r="V1858" s="4">
        <f>IFERROR(__xludf.DUMMYFUNCTION("""COMPUTED_VALUE"""),2.9)</f>
        <v>2.9</v>
      </c>
    </row>
    <row r="1859">
      <c r="A1859" s="4">
        <f>IFERROR(__xludf.DUMMYFUNCTION("""COMPUTED_VALUE"""),20.0)</f>
        <v>20</v>
      </c>
      <c r="B1859" s="4">
        <f>IFERROR(__xludf.DUMMYFUNCTION("""COMPUTED_VALUE"""),20.0)</f>
        <v>20</v>
      </c>
      <c r="C1859" s="4" t="str">
        <f>IFERROR(__xludf.DUMMYFUNCTION("""COMPUTED_VALUE"""),"MIN")</f>
        <v>MIN</v>
      </c>
      <c r="D1859" s="4" t="str">
        <f>IFERROR(__xludf.DUMMYFUNCTION("""COMPUTED_VALUE"""),"Paul Grant")</f>
        <v>Paul Grant</v>
      </c>
      <c r="E1859" s="4" t="str">
        <f>IFERROR(__xludf.DUMMYFUNCTION("""COMPUTED_VALUE"""),"Wisconsin")</f>
        <v>Wisconsin</v>
      </c>
      <c r="F1859" s="4">
        <f>IFERROR(__xludf.DUMMYFUNCTION("""COMPUTED_VALUE"""),2.0)</f>
        <v>2</v>
      </c>
      <c r="G1859" s="4">
        <f>IFERROR(__xludf.DUMMYFUNCTION("""COMPUTED_VALUE"""),16.0)</f>
        <v>16</v>
      </c>
      <c r="H1859" s="4">
        <f>IFERROR(__xludf.DUMMYFUNCTION("""COMPUTED_VALUE"""),111.0)</f>
        <v>111</v>
      </c>
      <c r="I1859" s="4">
        <f>IFERROR(__xludf.DUMMYFUNCTION("""COMPUTED_VALUE"""),29.0)</f>
        <v>29</v>
      </c>
      <c r="J1859" s="4">
        <f>IFERROR(__xludf.DUMMYFUNCTION("""COMPUTED_VALUE"""),18.0)</f>
        <v>18</v>
      </c>
      <c r="K1859" s="4">
        <f>IFERROR(__xludf.DUMMYFUNCTION("""COMPUTED_VALUE"""),3.0)</f>
        <v>3</v>
      </c>
      <c r="L1859" s="4">
        <f>IFERROR(__xludf.DUMMYFUNCTION("""COMPUTED_VALUE"""),0.448)</f>
        <v>0.448</v>
      </c>
      <c r="M1859" s="4"/>
      <c r="N1859" s="4">
        <f>IFERROR(__xludf.DUMMYFUNCTION("""COMPUTED_VALUE"""),0.375)</f>
        <v>0.375</v>
      </c>
      <c r="O1859" s="4">
        <f>IFERROR(__xludf.DUMMYFUNCTION("""COMPUTED_VALUE"""),6.9)</f>
        <v>6.9</v>
      </c>
      <c r="P1859" s="4">
        <f>IFERROR(__xludf.DUMMYFUNCTION("""COMPUTED_VALUE"""),1.8)</f>
        <v>1.8</v>
      </c>
      <c r="Q1859" s="4">
        <f>IFERROR(__xludf.DUMMYFUNCTION("""COMPUTED_VALUE"""),1.1)</f>
        <v>1.1</v>
      </c>
      <c r="R1859" s="4">
        <f>IFERROR(__xludf.DUMMYFUNCTION("""COMPUTED_VALUE"""),0.2)</f>
        <v>0.2</v>
      </c>
      <c r="S1859" s="4">
        <f>IFERROR(__xludf.DUMMYFUNCTION("""COMPUTED_VALUE"""),-0.1)</f>
        <v>-0.1</v>
      </c>
      <c r="T1859" s="4">
        <f>IFERROR(__xludf.DUMMYFUNCTION("""COMPUTED_VALUE"""),-0.043)</f>
        <v>-0.043</v>
      </c>
      <c r="U1859" s="4">
        <f>IFERROR(__xludf.DUMMYFUNCTION("""COMPUTED_VALUE"""),-8.7)</f>
        <v>-8.7</v>
      </c>
      <c r="V1859" s="4">
        <f>IFERROR(__xludf.DUMMYFUNCTION("""COMPUTED_VALUE"""),-0.2)</f>
        <v>-0.2</v>
      </c>
    </row>
    <row r="1860">
      <c r="A1860" s="4">
        <f>IFERROR(__xludf.DUMMYFUNCTION("""COMPUTED_VALUE"""),21.0)</f>
        <v>21</v>
      </c>
      <c r="B1860" s="4">
        <f>IFERROR(__xludf.DUMMYFUNCTION("""COMPUTED_VALUE"""),21.0)</f>
        <v>21</v>
      </c>
      <c r="C1860" s="4" t="str">
        <f>IFERROR(__xludf.DUMMYFUNCTION("""COMPUTED_VALUE"""),"NJN")</f>
        <v>NJN</v>
      </c>
      <c r="D1860" s="4" t="str">
        <f>IFERROR(__xludf.DUMMYFUNCTION("""COMPUTED_VALUE"""),"Anthony Parker")</f>
        <v>Anthony Parker</v>
      </c>
      <c r="E1860" s="4" t="str">
        <f>IFERROR(__xludf.DUMMYFUNCTION("""COMPUTED_VALUE"""),"Bradley")</f>
        <v>Bradley</v>
      </c>
      <c r="F1860" s="4">
        <f>IFERROR(__xludf.DUMMYFUNCTION("""COMPUTED_VALUE"""),9.0)</f>
        <v>9</v>
      </c>
      <c r="G1860" s="4">
        <f>IFERROR(__xludf.DUMMYFUNCTION("""COMPUTED_VALUE"""),494.0)</f>
        <v>494</v>
      </c>
      <c r="H1860" s="4">
        <f>IFERROR(__xludf.DUMMYFUNCTION("""COMPUTED_VALUE"""),13752.0)</f>
        <v>13752</v>
      </c>
      <c r="I1860" s="4">
        <f>IFERROR(__xludf.DUMMYFUNCTION("""COMPUTED_VALUE"""),4478.0)</f>
        <v>4478</v>
      </c>
      <c r="J1860" s="4">
        <f>IFERROR(__xludf.DUMMYFUNCTION("""COMPUTED_VALUE"""),1574.0)</f>
        <v>1574</v>
      </c>
      <c r="K1860" s="4">
        <f>IFERROR(__xludf.DUMMYFUNCTION("""COMPUTED_VALUE"""),1129.0)</f>
        <v>1129</v>
      </c>
      <c r="L1860" s="4">
        <f>IFERROR(__xludf.DUMMYFUNCTION("""COMPUTED_VALUE"""),0.444)</f>
        <v>0.444</v>
      </c>
      <c r="M1860" s="4">
        <f>IFERROR(__xludf.DUMMYFUNCTION("""COMPUTED_VALUE"""),0.404)</f>
        <v>0.404</v>
      </c>
      <c r="N1860" s="4">
        <f>IFERROR(__xludf.DUMMYFUNCTION("""COMPUTED_VALUE"""),0.794)</f>
        <v>0.794</v>
      </c>
      <c r="O1860" s="4">
        <f>IFERROR(__xludf.DUMMYFUNCTION("""COMPUTED_VALUE"""),27.8)</f>
        <v>27.8</v>
      </c>
      <c r="P1860" s="4">
        <f>IFERROR(__xludf.DUMMYFUNCTION("""COMPUTED_VALUE"""),9.1)</f>
        <v>9.1</v>
      </c>
      <c r="Q1860" s="4">
        <f>IFERROR(__xludf.DUMMYFUNCTION("""COMPUTED_VALUE"""),3.2)</f>
        <v>3.2</v>
      </c>
      <c r="R1860" s="4">
        <f>IFERROR(__xludf.DUMMYFUNCTION("""COMPUTED_VALUE"""),2.3)</f>
        <v>2.3</v>
      </c>
      <c r="S1860" s="4">
        <f>IFERROR(__xludf.DUMMYFUNCTION("""COMPUTED_VALUE"""),24.5)</f>
        <v>24.5</v>
      </c>
      <c r="T1860" s="4">
        <f>IFERROR(__xludf.DUMMYFUNCTION("""COMPUTED_VALUE"""),0.085)</f>
        <v>0.085</v>
      </c>
      <c r="U1860" s="4">
        <f>IFERROR(__xludf.DUMMYFUNCTION("""COMPUTED_VALUE"""),-0.2)</f>
        <v>-0.2</v>
      </c>
      <c r="V1860" s="4">
        <f>IFERROR(__xludf.DUMMYFUNCTION("""COMPUTED_VALUE"""),6.1)</f>
        <v>6.1</v>
      </c>
    </row>
    <row r="1861">
      <c r="A1861" s="4">
        <f>IFERROR(__xludf.DUMMYFUNCTION("""COMPUTED_VALUE"""),22.0)</f>
        <v>22</v>
      </c>
      <c r="B1861" s="4">
        <f>IFERROR(__xludf.DUMMYFUNCTION("""COMPUTED_VALUE"""),22.0)</f>
        <v>22</v>
      </c>
      <c r="C1861" s="4" t="str">
        <f>IFERROR(__xludf.DUMMYFUNCTION("""COMPUTED_VALUE"""),"ATL")</f>
        <v>ATL</v>
      </c>
      <c r="D1861" s="4" t="str">
        <f>IFERROR(__xludf.DUMMYFUNCTION("""COMPUTED_VALUE"""),"Ed Gray")</f>
        <v>Ed Gray</v>
      </c>
      <c r="E1861" s="4" t="str">
        <f>IFERROR(__xludf.DUMMYFUNCTION("""COMPUTED_VALUE"""),"California")</f>
        <v>California</v>
      </c>
      <c r="F1861" s="4">
        <f>IFERROR(__xludf.DUMMYFUNCTION("""COMPUTED_VALUE"""),2.0)</f>
        <v>2</v>
      </c>
      <c r="G1861" s="4">
        <f>IFERROR(__xludf.DUMMYFUNCTION("""COMPUTED_VALUE"""),60.0)</f>
        <v>60</v>
      </c>
      <c r="H1861" s="4">
        <f>IFERROR(__xludf.DUMMYFUNCTION("""COMPUTED_VALUE"""),809.0)</f>
        <v>809</v>
      </c>
      <c r="I1861" s="4">
        <f>IFERROR(__xludf.DUMMYFUNCTION("""COMPUTED_VALUE"""),373.0)</f>
        <v>373</v>
      </c>
      <c r="J1861" s="4">
        <f>IFERROR(__xludf.DUMMYFUNCTION("""COMPUTED_VALUE"""),73.0)</f>
        <v>73</v>
      </c>
      <c r="K1861" s="4">
        <f>IFERROR(__xludf.DUMMYFUNCTION("""COMPUTED_VALUE"""),46.0)</f>
        <v>46</v>
      </c>
      <c r="L1861" s="4">
        <f>IFERROR(__xludf.DUMMYFUNCTION("""COMPUTED_VALUE"""),0.339)</f>
        <v>0.339</v>
      </c>
      <c r="M1861" s="4">
        <f>IFERROR(__xludf.DUMMYFUNCTION("""COMPUTED_VALUE"""),0.341)</f>
        <v>0.341</v>
      </c>
      <c r="N1861" s="4">
        <f>IFERROR(__xludf.DUMMYFUNCTION("""COMPUTED_VALUE"""),0.814)</f>
        <v>0.814</v>
      </c>
      <c r="O1861" s="4">
        <f>IFERROR(__xludf.DUMMYFUNCTION("""COMPUTED_VALUE"""),13.5)</f>
        <v>13.5</v>
      </c>
      <c r="P1861" s="4">
        <f>IFERROR(__xludf.DUMMYFUNCTION("""COMPUTED_VALUE"""),6.2)</f>
        <v>6.2</v>
      </c>
      <c r="Q1861" s="4">
        <f>IFERROR(__xludf.DUMMYFUNCTION("""COMPUTED_VALUE"""),1.2)</f>
        <v>1.2</v>
      </c>
      <c r="R1861" s="4">
        <f>IFERROR(__xludf.DUMMYFUNCTION("""COMPUTED_VALUE"""),0.8)</f>
        <v>0.8</v>
      </c>
      <c r="S1861" s="4">
        <f>IFERROR(__xludf.DUMMYFUNCTION("""COMPUTED_VALUE"""),0.1)</f>
        <v>0.1</v>
      </c>
      <c r="T1861" s="4">
        <f>IFERROR(__xludf.DUMMYFUNCTION("""COMPUTED_VALUE"""),0.009)</f>
        <v>0.009</v>
      </c>
      <c r="U1861" s="4">
        <f>IFERROR(__xludf.DUMMYFUNCTION("""COMPUTED_VALUE"""),-4.0)</f>
        <v>-4</v>
      </c>
      <c r="V1861" s="4">
        <f>IFERROR(__xludf.DUMMYFUNCTION("""COMPUTED_VALUE"""),-0.4)</f>
        <v>-0.4</v>
      </c>
    </row>
    <row r="1862">
      <c r="A1862" s="4">
        <f>IFERROR(__xludf.DUMMYFUNCTION("""COMPUTED_VALUE"""),23.0)</f>
        <v>23</v>
      </c>
      <c r="B1862" s="4">
        <f>IFERROR(__xludf.DUMMYFUNCTION("""COMPUTED_VALUE"""),23.0)</f>
        <v>23</v>
      </c>
      <c r="C1862" s="4" t="str">
        <f>IFERROR(__xludf.DUMMYFUNCTION("""COMPUTED_VALUE"""),"SEA")</f>
        <v>SEA</v>
      </c>
      <c r="D1862" s="4" t="str">
        <f>IFERROR(__xludf.DUMMYFUNCTION("""COMPUTED_VALUE"""),"Bobby Jackson")</f>
        <v>Bobby Jackson</v>
      </c>
      <c r="E1862" s="4" t="str">
        <f>IFERROR(__xludf.DUMMYFUNCTION("""COMPUTED_VALUE"""),"Minnesota")</f>
        <v>Minnesota</v>
      </c>
      <c r="F1862" s="4">
        <f>IFERROR(__xludf.DUMMYFUNCTION("""COMPUTED_VALUE"""),12.0)</f>
        <v>12</v>
      </c>
      <c r="G1862" s="4">
        <f>IFERROR(__xludf.DUMMYFUNCTION("""COMPUTED_VALUE"""),755.0)</f>
        <v>755</v>
      </c>
      <c r="H1862" s="4">
        <f>IFERROR(__xludf.DUMMYFUNCTION("""COMPUTED_VALUE"""),16790.0)</f>
        <v>16790</v>
      </c>
      <c r="I1862" s="4">
        <f>IFERROR(__xludf.DUMMYFUNCTION("""COMPUTED_VALUE"""),7344.0)</f>
        <v>7344</v>
      </c>
      <c r="J1862" s="4">
        <f>IFERROR(__xludf.DUMMYFUNCTION("""COMPUTED_VALUE"""),2347.0)</f>
        <v>2347</v>
      </c>
      <c r="K1862" s="4">
        <f>IFERROR(__xludf.DUMMYFUNCTION("""COMPUTED_VALUE"""),1945.0)</f>
        <v>1945</v>
      </c>
      <c r="L1862" s="4">
        <f>IFERROR(__xludf.DUMMYFUNCTION("""COMPUTED_VALUE"""),0.417)</f>
        <v>0.417</v>
      </c>
      <c r="M1862" s="4">
        <f>IFERROR(__xludf.DUMMYFUNCTION("""COMPUTED_VALUE"""),0.354)</f>
        <v>0.354</v>
      </c>
      <c r="N1862" s="4">
        <f>IFERROR(__xludf.DUMMYFUNCTION("""COMPUTED_VALUE"""),0.793)</f>
        <v>0.793</v>
      </c>
      <c r="O1862" s="4">
        <f>IFERROR(__xludf.DUMMYFUNCTION("""COMPUTED_VALUE"""),22.2)</f>
        <v>22.2</v>
      </c>
      <c r="P1862" s="4">
        <f>IFERROR(__xludf.DUMMYFUNCTION("""COMPUTED_VALUE"""),9.7)</f>
        <v>9.7</v>
      </c>
      <c r="Q1862" s="4">
        <f>IFERROR(__xludf.DUMMYFUNCTION("""COMPUTED_VALUE"""),3.1)</f>
        <v>3.1</v>
      </c>
      <c r="R1862" s="4">
        <f>IFERROR(__xludf.DUMMYFUNCTION("""COMPUTED_VALUE"""),2.6)</f>
        <v>2.6</v>
      </c>
      <c r="S1862" s="4">
        <f>IFERROR(__xludf.DUMMYFUNCTION("""COMPUTED_VALUE"""),31.4)</f>
        <v>31.4</v>
      </c>
      <c r="T1862" s="4">
        <f>IFERROR(__xludf.DUMMYFUNCTION("""COMPUTED_VALUE"""),0.09)</f>
        <v>0.09</v>
      </c>
      <c r="U1862" s="4">
        <f>IFERROR(__xludf.DUMMYFUNCTION("""COMPUTED_VALUE"""),0.4)</f>
        <v>0.4</v>
      </c>
      <c r="V1862" s="4">
        <f>IFERROR(__xludf.DUMMYFUNCTION("""COMPUTED_VALUE"""),10.0)</f>
        <v>10</v>
      </c>
    </row>
    <row r="1863">
      <c r="A1863" s="4">
        <f>IFERROR(__xludf.DUMMYFUNCTION("""COMPUTED_VALUE"""),24.0)</f>
        <v>24</v>
      </c>
      <c r="B1863" s="4">
        <f>IFERROR(__xludf.DUMMYFUNCTION("""COMPUTED_VALUE"""),24.0)</f>
        <v>24</v>
      </c>
      <c r="C1863" s="4" t="str">
        <f>IFERROR(__xludf.DUMMYFUNCTION("""COMPUTED_VALUE"""),"HOU")</f>
        <v>HOU</v>
      </c>
      <c r="D1863" s="4" t="str">
        <f>IFERROR(__xludf.DUMMYFUNCTION("""COMPUTED_VALUE"""),"Rodrick Rhodes")</f>
        <v>Rodrick Rhodes</v>
      </c>
      <c r="E1863" s="4" t="str">
        <f>IFERROR(__xludf.DUMMYFUNCTION("""COMPUTED_VALUE"""),"USC")</f>
        <v>USC</v>
      </c>
      <c r="F1863" s="4">
        <f>IFERROR(__xludf.DUMMYFUNCTION("""COMPUTED_VALUE"""),3.0)</f>
        <v>3</v>
      </c>
      <c r="G1863" s="4">
        <f>IFERROR(__xludf.DUMMYFUNCTION("""COMPUTED_VALUE"""),72.0)</f>
        <v>72</v>
      </c>
      <c r="H1863" s="4">
        <f>IFERROR(__xludf.DUMMYFUNCTION("""COMPUTED_VALUE"""),1234.0)</f>
        <v>1234</v>
      </c>
      <c r="I1863" s="4">
        <f>IFERROR(__xludf.DUMMYFUNCTION("""COMPUTED_VALUE"""),380.0)</f>
        <v>380</v>
      </c>
      <c r="J1863" s="4">
        <f>IFERROR(__xludf.DUMMYFUNCTION("""COMPUTED_VALUE"""),88.0)</f>
        <v>88</v>
      </c>
      <c r="K1863" s="4">
        <f>IFERROR(__xludf.DUMMYFUNCTION("""COMPUTED_VALUE"""),121.0)</f>
        <v>121</v>
      </c>
      <c r="L1863" s="4">
        <f>IFERROR(__xludf.DUMMYFUNCTION("""COMPUTED_VALUE"""),0.347)</f>
        <v>0.347</v>
      </c>
      <c r="M1863" s="4">
        <f>IFERROR(__xludf.DUMMYFUNCTION("""COMPUTED_VALUE"""),0.2)</f>
        <v>0.2</v>
      </c>
      <c r="N1863" s="4">
        <f>IFERROR(__xludf.DUMMYFUNCTION("""COMPUTED_VALUE"""),0.62)</f>
        <v>0.62</v>
      </c>
      <c r="O1863" s="4">
        <f>IFERROR(__xludf.DUMMYFUNCTION("""COMPUTED_VALUE"""),17.1)</f>
        <v>17.1</v>
      </c>
      <c r="P1863" s="4">
        <f>IFERROR(__xludf.DUMMYFUNCTION("""COMPUTED_VALUE"""),5.3)</f>
        <v>5.3</v>
      </c>
      <c r="Q1863" s="4">
        <f>IFERROR(__xludf.DUMMYFUNCTION("""COMPUTED_VALUE"""),1.2)</f>
        <v>1.2</v>
      </c>
      <c r="R1863" s="4">
        <f>IFERROR(__xludf.DUMMYFUNCTION("""COMPUTED_VALUE"""),1.7)</f>
        <v>1.7</v>
      </c>
      <c r="S1863" s="4">
        <f>IFERROR(__xludf.DUMMYFUNCTION("""COMPUTED_VALUE"""),-1.6)</f>
        <v>-1.6</v>
      </c>
      <c r="T1863" s="4">
        <f>IFERROR(__xludf.DUMMYFUNCTION("""COMPUTED_VALUE"""),-0.064)</f>
        <v>-0.064</v>
      </c>
      <c r="U1863" s="4">
        <f>IFERROR(__xludf.DUMMYFUNCTION("""COMPUTED_VALUE"""),-6.3)</f>
        <v>-6.3</v>
      </c>
      <c r="V1863" s="4">
        <f>IFERROR(__xludf.DUMMYFUNCTION("""COMPUTED_VALUE"""),-1.3)</f>
        <v>-1.3</v>
      </c>
    </row>
    <row r="1864">
      <c r="A1864" s="4">
        <f>IFERROR(__xludf.DUMMYFUNCTION("""COMPUTED_VALUE"""),25.0)</f>
        <v>25</v>
      </c>
      <c r="B1864" s="4">
        <f>IFERROR(__xludf.DUMMYFUNCTION("""COMPUTED_VALUE"""),25.0)</f>
        <v>25</v>
      </c>
      <c r="C1864" s="4" t="str">
        <f>IFERROR(__xludf.DUMMYFUNCTION("""COMPUTED_VALUE"""),"NYK")</f>
        <v>NYK</v>
      </c>
      <c r="D1864" s="4" t="str">
        <f>IFERROR(__xludf.DUMMYFUNCTION("""COMPUTED_VALUE"""),"John Thomas")</f>
        <v>John Thomas</v>
      </c>
      <c r="E1864" s="4" t="str">
        <f>IFERROR(__xludf.DUMMYFUNCTION("""COMPUTED_VALUE"""),"Minnesota")</f>
        <v>Minnesota</v>
      </c>
      <c r="F1864" s="4">
        <f>IFERROR(__xludf.DUMMYFUNCTION("""COMPUTED_VALUE"""),5.0)</f>
        <v>5</v>
      </c>
      <c r="G1864" s="4">
        <f>IFERROR(__xludf.DUMMYFUNCTION("""COMPUTED_VALUE"""),208.0)</f>
        <v>208</v>
      </c>
      <c r="H1864" s="4">
        <f>IFERROR(__xludf.DUMMYFUNCTION("""COMPUTED_VALUE"""),2253.0)</f>
        <v>2253</v>
      </c>
      <c r="I1864" s="4">
        <f>IFERROR(__xludf.DUMMYFUNCTION("""COMPUTED_VALUE"""),560.0)</f>
        <v>560</v>
      </c>
      <c r="J1864" s="4">
        <f>IFERROR(__xludf.DUMMYFUNCTION("""COMPUTED_VALUE"""),432.0)</f>
        <v>432</v>
      </c>
      <c r="K1864" s="4">
        <f>IFERROR(__xludf.DUMMYFUNCTION("""COMPUTED_VALUE"""),60.0)</f>
        <v>60</v>
      </c>
      <c r="L1864" s="4">
        <f>IFERROR(__xludf.DUMMYFUNCTION("""COMPUTED_VALUE"""),0.502)</f>
        <v>0.502</v>
      </c>
      <c r="M1864" s="4">
        <f>IFERROR(__xludf.DUMMYFUNCTION("""COMPUTED_VALUE"""),0.0)</f>
        <v>0</v>
      </c>
      <c r="N1864" s="4">
        <f>IFERROR(__xludf.DUMMYFUNCTION("""COMPUTED_VALUE"""),0.591)</f>
        <v>0.591</v>
      </c>
      <c r="O1864" s="4">
        <f>IFERROR(__xludf.DUMMYFUNCTION("""COMPUTED_VALUE"""),10.8)</f>
        <v>10.8</v>
      </c>
      <c r="P1864" s="4">
        <f>IFERROR(__xludf.DUMMYFUNCTION("""COMPUTED_VALUE"""),2.7)</f>
        <v>2.7</v>
      </c>
      <c r="Q1864" s="4">
        <f>IFERROR(__xludf.DUMMYFUNCTION("""COMPUTED_VALUE"""),2.1)</f>
        <v>2.1</v>
      </c>
      <c r="R1864" s="4">
        <f>IFERROR(__xludf.DUMMYFUNCTION("""COMPUTED_VALUE"""),0.3)</f>
        <v>0.3</v>
      </c>
      <c r="S1864" s="4">
        <f>IFERROR(__xludf.DUMMYFUNCTION("""COMPUTED_VALUE"""),3.2)</f>
        <v>3.2</v>
      </c>
      <c r="T1864" s="4">
        <f>IFERROR(__xludf.DUMMYFUNCTION("""COMPUTED_VALUE"""),0.067)</f>
        <v>0.067</v>
      </c>
      <c r="U1864" s="4">
        <f>IFERROR(__xludf.DUMMYFUNCTION("""COMPUTED_VALUE"""),-4.4)</f>
        <v>-4.4</v>
      </c>
      <c r="V1864" s="4">
        <f>IFERROR(__xludf.DUMMYFUNCTION("""COMPUTED_VALUE"""),-1.4)</f>
        <v>-1.4</v>
      </c>
    </row>
    <row r="1865">
      <c r="A1865" s="4">
        <f>IFERROR(__xludf.DUMMYFUNCTION("""COMPUTED_VALUE"""),26.0)</f>
        <v>26</v>
      </c>
      <c r="B1865" s="4">
        <f>IFERROR(__xludf.DUMMYFUNCTION("""COMPUTED_VALUE"""),26.0)</f>
        <v>26</v>
      </c>
      <c r="C1865" s="4" t="str">
        <f>IFERROR(__xludf.DUMMYFUNCTION("""COMPUTED_VALUE"""),"MIA")</f>
        <v>MIA</v>
      </c>
      <c r="D1865" s="4" t="str">
        <f>IFERROR(__xludf.DUMMYFUNCTION("""COMPUTED_VALUE"""),"Charles Smith")</f>
        <v>Charles Smith</v>
      </c>
      <c r="E1865" s="4" t="str">
        <f>IFERROR(__xludf.DUMMYFUNCTION("""COMPUTED_VALUE"""),"New Mexico")</f>
        <v>New Mexico</v>
      </c>
      <c r="F1865" s="4">
        <f>IFERROR(__xludf.DUMMYFUNCTION("""COMPUTED_VALUE"""),5.0)</f>
        <v>5</v>
      </c>
      <c r="G1865" s="4">
        <f>IFERROR(__xludf.DUMMYFUNCTION("""COMPUTED_VALUE"""),142.0)</f>
        <v>142</v>
      </c>
      <c r="H1865" s="4">
        <f>IFERROR(__xludf.DUMMYFUNCTION("""COMPUTED_VALUE"""),1973.0)</f>
        <v>1973</v>
      </c>
      <c r="I1865" s="4">
        <f>IFERROR(__xludf.DUMMYFUNCTION("""COMPUTED_VALUE"""),729.0)</f>
        <v>729</v>
      </c>
      <c r="J1865" s="4">
        <f>IFERROR(__xludf.DUMMYFUNCTION("""COMPUTED_VALUE"""),200.0)</f>
        <v>200</v>
      </c>
      <c r="K1865" s="4">
        <f>IFERROR(__xludf.DUMMYFUNCTION("""COMPUTED_VALUE"""),124.0)</f>
        <v>124</v>
      </c>
      <c r="L1865" s="4">
        <f>IFERROR(__xludf.DUMMYFUNCTION("""COMPUTED_VALUE"""),0.409)</f>
        <v>0.409</v>
      </c>
      <c r="M1865" s="4">
        <f>IFERROR(__xludf.DUMMYFUNCTION("""COMPUTED_VALUE"""),0.288)</f>
        <v>0.288</v>
      </c>
      <c r="N1865" s="4">
        <f>IFERROR(__xludf.DUMMYFUNCTION("""COMPUTED_VALUE"""),0.606)</f>
        <v>0.606</v>
      </c>
      <c r="O1865" s="4">
        <f>IFERROR(__xludf.DUMMYFUNCTION("""COMPUTED_VALUE"""),13.9)</f>
        <v>13.9</v>
      </c>
      <c r="P1865" s="4">
        <f>IFERROR(__xludf.DUMMYFUNCTION("""COMPUTED_VALUE"""),5.1)</f>
        <v>5.1</v>
      </c>
      <c r="Q1865" s="4">
        <f>IFERROR(__xludf.DUMMYFUNCTION("""COMPUTED_VALUE"""),1.4)</f>
        <v>1.4</v>
      </c>
      <c r="R1865" s="4">
        <f>IFERROR(__xludf.DUMMYFUNCTION("""COMPUTED_VALUE"""),0.9)</f>
        <v>0.9</v>
      </c>
      <c r="S1865" s="4">
        <f>IFERROR(__xludf.DUMMYFUNCTION("""COMPUTED_VALUE"""),1.5)</f>
        <v>1.5</v>
      </c>
      <c r="T1865" s="4">
        <f>IFERROR(__xludf.DUMMYFUNCTION("""COMPUTED_VALUE"""),0.036)</f>
        <v>0.036</v>
      </c>
      <c r="U1865" s="4">
        <f>IFERROR(__xludf.DUMMYFUNCTION("""COMPUTED_VALUE"""),-1.1)</f>
        <v>-1.1</v>
      </c>
      <c r="V1865" s="4">
        <f>IFERROR(__xludf.DUMMYFUNCTION("""COMPUTED_VALUE"""),0.4)</f>
        <v>0.4</v>
      </c>
    </row>
    <row r="1866">
      <c r="A1866" s="4">
        <f>IFERROR(__xludf.DUMMYFUNCTION("""COMPUTED_VALUE"""),27.0)</f>
        <v>27</v>
      </c>
      <c r="B1866" s="4">
        <f>IFERROR(__xludf.DUMMYFUNCTION("""COMPUTED_VALUE"""),27.0)</f>
        <v>27</v>
      </c>
      <c r="C1866" s="4" t="str">
        <f>IFERROR(__xludf.DUMMYFUNCTION("""COMPUTED_VALUE"""),"UTA")</f>
        <v>UTA</v>
      </c>
      <c r="D1866" s="4" t="str">
        <f>IFERROR(__xludf.DUMMYFUNCTION("""COMPUTED_VALUE"""),"Jacque Vaughn")</f>
        <v>Jacque Vaughn</v>
      </c>
      <c r="E1866" s="4" t="str">
        <f>IFERROR(__xludf.DUMMYFUNCTION("""COMPUTED_VALUE"""),"Kansas")</f>
        <v>Kansas</v>
      </c>
      <c r="F1866" s="4">
        <f>IFERROR(__xludf.DUMMYFUNCTION("""COMPUTED_VALUE"""),12.0)</f>
        <v>12</v>
      </c>
      <c r="G1866" s="4">
        <f>IFERROR(__xludf.DUMMYFUNCTION("""COMPUTED_VALUE"""),776.0)</f>
        <v>776</v>
      </c>
      <c r="H1866" s="4">
        <f>IFERROR(__xludf.DUMMYFUNCTION("""COMPUTED_VALUE"""),12658.0)</f>
        <v>12658</v>
      </c>
      <c r="I1866" s="4">
        <f>IFERROR(__xludf.DUMMYFUNCTION("""COMPUTED_VALUE"""),3463.0)</f>
        <v>3463</v>
      </c>
      <c r="J1866" s="4">
        <f>IFERROR(__xludf.DUMMYFUNCTION("""COMPUTED_VALUE"""),1028.0)</f>
        <v>1028</v>
      </c>
      <c r="K1866" s="4">
        <f>IFERROR(__xludf.DUMMYFUNCTION("""COMPUTED_VALUE"""),1919.0)</f>
        <v>1919</v>
      </c>
      <c r="L1866" s="4">
        <f>IFERROR(__xludf.DUMMYFUNCTION("""COMPUTED_VALUE"""),0.429)</f>
        <v>0.429</v>
      </c>
      <c r="M1866" s="4">
        <f>IFERROR(__xludf.DUMMYFUNCTION("""COMPUTED_VALUE"""),0.352)</f>
        <v>0.352</v>
      </c>
      <c r="N1866" s="4">
        <f>IFERROR(__xludf.DUMMYFUNCTION("""COMPUTED_VALUE"""),0.779)</f>
        <v>0.779</v>
      </c>
      <c r="O1866" s="4">
        <f>IFERROR(__xludf.DUMMYFUNCTION("""COMPUTED_VALUE"""),16.3)</f>
        <v>16.3</v>
      </c>
      <c r="P1866" s="4">
        <f>IFERROR(__xludf.DUMMYFUNCTION("""COMPUTED_VALUE"""),4.5)</f>
        <v>4.5</v>
      </c>
      <c r="Q1866" s="4">
        <f>IFERROR(__xludf.DUMMYFUNCTION("""COMPUTED_VALUE"""),1.3)</f>
        <v>1.3</v>
      </c>
      <c r="R1866" s="4">
        <f>IFERROR(__xludf.DUMMYFUNCTION("""COMPUTED_VALUE"""),2.5)</f>
        <v>2.5</v>
      </c>
      <c r="S1866" s="4">
        <f>IFERROR(__xludf.DUMMYFUNCTION("""COMPUTED_VALUE"""),15.4)</f>
        <v>15.4</v>
      </c>
      <c r="T1866" s="4">
        <f>IFERROR(__xludf.DUMMYFUNCTION("""COMPUTED_VALUE"""),0.058)</f>
        <v>0.058</v>
      </c>
      <c r="U1866" s="4">
        <f>IFERROR(__xludf.DUMMYFUNCTION("""COMPUTED_VALUE"""),-3.4)</f>
        <v>-3.4</v>
      </c>
      <c r="V1866" s="4">
        <f>IFERROR(__xludf.DUMMYFUNCTION("""COMPUTED_VALUE"""),-4.5)</f>
        <v>-4.5</v>
      </c>
    </row>
    <row r="1867">
      <c r="A1867" s="4">
        <f>IFERROR(__xludf.DUMMYFUNCTION("""COMPUTED_VALUE"""),28.0)</f>
        <v>28</v>
      </c>
      <c r="B1867" s="4">
        <f>IFERROR(__xludf.DUMMYFUNCTION("""COMPUTED_VALUE"""),28.0)</f>
        <v>28</v>
      </c>
      <c r="C1867" s="4" t="str">
        <f>IFERROR(__xludf.DUMMYFUNCTION("""COMPUTED_VALUE"""),"CHI")</f>
        <v>CHI</v>
      </c>
      <c r="D1867" s="4" t="str">
        <f>IFERROR(__xludf.DUMMYFUNCTION("""COMPUTED_VALUE"""),"Keith Booth")</f>
        <v>Keith Booth</v>
      </c>
      <c r="E1867" s="4" t="str">
        <f>IFERROR(__xludf.DUMMYFUNCTION("""COMPUTED_VALUE"""),"Maryland")</f>
        <v>Maryland</v>
      </c>
      <c r="F1867" s="4">
        <f>IFERROR(__xludf.DUMMYFUNCTION("""COMPUTED_VALUE"""),2.0)</f>
        <v>2</v>
      </c>
      <c r="G1867" s="4">
        <f>IFERROR(__xludf.DUMMYFUNCTION("""COMPUTED_VALUE"""),45.0)</f>
        <v>45</v>
      </c>
      <c r="H1867" s="4">
        <f>IFERROR(__xludf.DUMMYFUNCTION("""COMPUTED_VALUE"""),449.0)</f>
        <v>449</v>
      </c>
      <c r="I1867" s="4">
        <f>IFERROR(__xludf.DUMMYFUNCTION("""COMPUTED_VALUE"""),130.0)</f>
        <v>130</v>
      </c>
      <c r="J1867" s="4">
        <f>IFERROR(__xludf.DUMMYFUNCTION("""COMPUTED_VALUE"""),97.0)</f>
        <v>97</v>
      </c>
      <c r="K1867" s="4">
        <f>IFERROR(__xludf.DUMMYFUNCTION("""COMPUTED_VALUE"""),39.0)</f>
        <v>39</v>
      </c>
      <c r="L1867" s="4">
        <f>IFERROR(__xludf.DUMMYFUNCTION("""COMPUTED_VALUE"""),0.325)</f>
        <v>0.325</v>
      </c>
      <c r="M1867" s="4">
        <f>IFERROR(__xludf.DUMMYFUNCTION("""COMPUTED_VALUE"""),0.091)</f>
        <v>0.091</v>
      </c>
      <c r="N1867" s="4">
        <f>IFERROR(__xludf.DUMMYFUNCTION("""COMPUTED_VALUE"""),0.563)</f>
        <v>0.563</v>
      </c>
      <c r="O1867" s="4">
        <f>IFERROR(__xludf.DUMMYFUNCTION("""COMPUTED_VALUE"""),10.0)</f>
        <v>10</v>
      </c>
      <c r="P1867" s="4">
        <f>IFERROR(__xludf.DUMMYFUNCTION("""COMPUTED_VALUE"""),2.9)</f>
        <v>2.9</v>
      </c>
      <c r="Q1867" s="4">
        <f>IFERROR(__xludf.DUMMYFUNCTION("""COMPUTED_VALUE"""),2.2)</f>
        <v>2.2</v>
      </c>
      <c r="R1867" s="4">
        <f>IFERROR(__xludf.DUMMYFUNCTION("""COMPUTED_VALUE"""),0.9)</f>
        <v>0.9</v>
      </c>
      <c r="S1867" s="4">
        <f>IFERROR(__xludf.DUMMYFUNCTION("""COMPUTED_VALUE"""),-0.8)</f>
        <v>-0.8</v>
      </c>
      <c r="T1867" s="4">
        <f>IFERROR(__xludf.DUMMYFUNCTION("""COMPUTED_VALUE"""),-0.08)</f>
        <v>-0.08</v>
      </c>
      <c r="U1867" s="4">
        <f>IFERROR(__xludf.DUMMYFUNCTION("""COMPUTED_VALUE"""),-6.1)</f>
        <v>-6.1</v>
      </c>
      <c r="V1867" s="4">
        <f>IFERROR(__xludf.DUMMYFUNCTION("""COMPUTED_VALUE"""),-0.5)</f>
        <v>-0.5</v>
      </c>
    </row>
    <row r="1868">
      <c r="A1868" s="4"/>
      <c r="B1868" s="4"/>
      <c r="C1868" s="4"/>
      <c r="D1868" s="4"/>
      <c r="E1868" s="4"/>
      <c r="F1868" s="4" t="str">
        <f>IFERROR(__xludf.DUMMYFUNCTION("""COMPUTED_VALUE"""),"Washington Bullets forfeited their First Round pick.")</f>
        <v>Washington Bullets forfeited their First Round pick.</v>
      </c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</row>
    <row r="1869">
      <c r="A1869" s="4"/>
      <c r="B1869" s="4"/>
      <c r="C1869" s="4"/>
      <c r="D1869" s="4" t="str">
        <f>IFERROR(__xludf.DUMMYFUNCTION("""COMPUTED_VALUE"""),"Round 2")</f>
        <v>Round 2</v>
      </c>
      <c r="E1869" s="4"/>
      <c r="F1869" s="4"/>
      <c r="G1869" s="4" t="str">
        <f>IFERROR(__xludf.DUMMYFUNCTION("""COMPUTED_VALUE"""),"Totals")</f>
        <v>Totals</v>
      </c>
      <c r="H1869" s="4"/>
      <c r="I1869" s="4"/>
      <c r="J1869" s="4"/>
      <c r="K1869" s="4"/>
      <c r="L1869" s="4" t="str">
        <f>IFERROR(__xludf.DUMMYFUNCTION("""COMPUTED_VALUE"""),"Shooting")</f>
        <v>Shooting</v>
      </c>
      <c r="M1869" s="4"/>
      <c r="N1869" s="4"/>
      <c r="O1869" s="4" t="str">
        <f>IFERROR(__xludf.DUMMYFUNCTION("""COMPUTED_VALUE"""),"Per Game")</f>
        <v>Per Game</v>
      </c>
      <c r="P1869" s="4"/>
      <c r="Q1869" s="4"/>
      <c r="R1869" s="4"/>
      <c r="S1869" s="4" t="str">
        <f>IFERROR(__xludf.DUMMYFUNCTION("""COMPUTED_VALUE"""),"Advanced")</f>
        <v>Advanced</v>
      </c>
      <c r="T1869" s="4"/>
      <c r="U1869" s="4"/>
      <c r="V1869" s="4"/>
    </row>
    <row r="1870">
      <c r="A1870" s="4" t="str">
        <f>IFERROR(__xludf.DUMMYFUNCTION("""COMPUTED_VALUE"""),"Rk")</f>
        <v>Rk</v>
      </c>
      <c r="B1870" s="4" t="str">
        <f>IFERROR(__xludf.DUMMYFUNCTION("""COMPUTED_VALUE"""),"Pk")</f>
        <v>Pk</v>
      </c>
      <c r="C1870" s="4" t="str">
        <f>IFERROR(__xludf.DUMMYFUNCTION("""COMPUTED_VALUE"""),"Tm")</f>
        <v>Tm</v>
      </c>
      <c r="D1870" s="4" t="str">
        <f>IFERROR(__xludf.DUMMYFUNCTION("""COMPUTED_VALUE"""),"Player")</f>
        <v>Player</v>
      </c>
      <c r="E1870" s="4" t="str">
        <f>IFERROR(__xludf.DUMMYFUNCTION("""COMPUTED_VALUE"""),"College")</f>
        <v>College</v>
      </c>
      <c r="F1870" s="4" t="str">
        <f>IFERROR(__xludf.DUMMYFUNCTION("""COMPUTED_VALUE"""),"Yrs")</f>
        <v>Yrs</v>
      </c>
      <c r="G1870" s="4" t="str">
        <f>IFERROR(__xludf.DUMMYFUNCTION("""COMPUTED_VALUE"""),"G")</f>
        <v>G</v>
      </c>
      <c r="H1870" s="4" t="str">
        <f>IFERROR(__xludf.DUMMYFUNCTION("""COMPUTED_VALUE"""),"MP")</f>
        <v>MP</v>
      </c>
      <c r="I1870" s="4" t="str">
        <f>IFERROR(__xludf.DUMMYFUNCTION("""COMPUTED_VALUE"""),"PTS")</f>
        <v>PTS</v>
      </c>
      <c r="J1870" s="4" t="str">
        <f>IFERROR(__xludf.DUMMYFUNCTION("""COMPUTED_VALUE"""),"TRB")</f>
        <v>TRB</v>
      </c>
      <c r="K1870" s="4" t="str">
        <f>IFERROR(__xludf.DUMMYFUNCTION("""COMPUTED_VALUE"""),"AST")</f>
        <v>AST</v>
      </c>
      <c r="L1870" s="4" t="str">
        <f>IFERROR(__xludf.DUMMYFUNCTION("""COMPUTED_VALUE"""),"FG%")</f>
        <v>FG%</v>
      </c>
      <c r="M1870" s="4" t="str">
        <f>IFERROR(__xludf.DUMMYFUNCTION("""COMPUTED_VALUE"""),"3P%")</f>
        <v>3P%</v>
      </c>
      <c r="N1870" s="4" t="str">
        <f>IFERROR(__xludf.DUMMYFUNCTION("""COMPUTED_VALUE"""),"FT%")</f>
        <v>FT%</v>
      </c>
      <c r="O1870" s="4" t="str">
        <f>IFERROR(__xludf.DUMMYFUNCTION("""COMPUTED_VALUE"""),"MP")</f>
        <v>MP</v>
      </c>
      <c r="P1870" s="4" t="str">
        <f>IFERROR(__xludf.DUMMYFUNCTION("""COMPUTED_VALUE"""),"PTS")</f>
        <v>PTS</v>
      </c>
      <c r="Q1870" s="4" t="str">
        <f>IFERROR(__xludf.DUMMYFUNCTION("""COMPUTED_VALUE"""),"TRB")</f>
        <v>TRB</v>
      </c>
      <c r="R1870" s="4" t="str">
        <f>IFERROR(__xludf.DUMMYFUNCTION("""COMPUTED_VALUE"""),"AST")</f>
        <v>AST</v>
      </c>
      <c r="S1870" s="4" t="str">
        <f>IFERROR(__xludf.DUMMYFUNCTION("""COMPUTED_VALUE"""),"WS")</f>
        <v>WS</v>
      </c>
      <c r="T1870" s="4" t="str">
        <f>IFERROR(__xludf.DUMMYFUNCTION("""COMPUTED_VALUE"""),"WS/48")</f>
        <v>WS/48</v>
      </c>
      <c r="U1870" s="4" t="str">
        <f>IFERROR(__xludf.DUMMYFUNCTION("""COMPUTED_VALUE"""),"BPM")</f>
        <v>BPM</v>
      </c>
      <c r="V1870" s="4" t="str">
        <f>IFERROR(__xludf.DUMMYFUNCTION("""COMPUTED_VALUE"""),"VORP")</f>
        <v>VORP</v>
      </c>
    </row>
    <row r="1871">
      <c r="A1871" s="4">
        <f>IFERROR(__xludf.DUMMYFUNCTION("""COMPUTED_VALUE"""),30.0)</f>
        <v>30</v>
      </c>
      <c r="B1871" s="4">
        <f>IFERROR(__xludf.DUMMYFUNCTION("""COMPUTED_VALUE"""),30.0)</f>
        <v>30</v>
      </c>
      <c r="C1871" s="4" t="str">
        <f>IFERROR(__xludf.DUMMYFUNCTION("""COMPUTED_VALUE"""),"HOU")</f>
        <v>HOU</v>
      </c>
      <c r="D1871" s="4" t="str">
        <f>IFERROR(__xludf.DUMMYFUNCTION("""COMPUTED_VALUE"""),"Serge Zwikker")</f>
        <v>Serge Zwikker</v>
      </c>
      <c r="E1871" s="4" t="str">
        <f>IFERROR(__xludf.DUMMYFUNCTION("""COMPUTED_VALUE"""),"UNC")</f>
        <v>UNC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</row>
    <row r="1872">
      <c r="A1872" s="4">
        <f>IFERROR(__xludf.DUMMYFUNCTION("""COMPUTED_VALUE"""),31.0)</f>
        <v>31</v>
      </c>
      <c r="B1872" s="4">
        <f>IFERROR(__xludf.DUMMYFUNCTION("""COMPUTED_VALUE"""),31.0)</f>
        <v>31</v>
      </c>
      <c r="C1872" s="4" t="str">
        <f>IFERROR(__xludf.DUMMYFUNCTION("""COMPUTED_VALUE"""),"MIA")</f>
        <v>MIA</v>
      </c>
      <c r="D1872" s="4" t="str">
        <f>IFERROR(__xludf.DUMMYFUNCTION("""COMPUTED_VALUE"""),"Mark Sanford")</f>
        <v>Mark Sanford</v>
      </c>
      <c r="E1872" s="4" t="str">
        <f>IFERROR(__xludf.DUMMYFUNCTION("""COMPUTED_VALUE"""),"Washington")</f>
        <v>Washington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</row>
    <row r="1873">
      <c r="A1873" s="4">
        <f>IFERROR(__xludf.DUMMYFUNCTION("""COMPUTED_VALUE"""),32.0)</f>
        <v>32</v>
      </c>
      <c r="B1873" s="4">
        <f>IFERROR(__xludf.DUMMYFUNCTION("""COMPUTED_VALUE"""),32.0)</f>
        <v>32</v>
      </c>
      <c r="C1873" s="4" t="str">
        <f>IFERROR(__xludf.DUMMYFUNCTION("""COMPUTED_VALUE"""),"DET")</f>
        <v>DET</v>
      </c>
      <c r="D1873" s="4" t="str">
        <f>IFERROR(__xludf.DUMMYFUNCTION("""COMPUTED_VALUE"""),"Charles O'Bannon")</f>
        <v>Charles O'Bannon</v>
      </c>
      <c r="E1873" s="4" t="str">
        <f>IFERROR(__xludf.DUMMYFUNCTION("""COMPUTED_VALUE"""),"UCLA")</f>
        <v>UCLA</v>
      </c>
      <c r="F1873" s="4">
        <f>IFERROR(__xludf.DUMMYFUNCTION("""COMPUTED_VALUE"""),2.0)</f>
        <v>2</v>
      </c>
      <c r="G1873" s="4">
        <f>IFERROR(__xludf.DUMMYFUNCTION("""COMPUTED_VALUE"""),48.0)</f>
        <v>48</v>
      </c>
      <c r="H1873" s="4">
        <f>IFERROR(__xludf.DUMMYFUNCTION("""COMPUTED_VALUE"""),399.0)</f>
        <v>399</v>
      </c>
      <c r="I1873" s="4">
        <f>IFERROR(__xludf.DUMMYFUNCTION("""COMPUTED_VALUE"""),120.0)</f>
        <v>120</v>
      </c>
      <c r="J1873" s="4">
        <f>IFERROR(__xludf.DUMMYFUNCTION("""COMPUTED_VALUE"""),67.0)</f>
        <v>67</v>
      </c>
      <c r="K1873" s="4">
        <f>IFERROR(__xludf.DUMMYFUNCTION("""COMPUTED_VALUE"""),29.0)</f>
        <v>29</v>
      </c>
      <c r="L1873" s="4">
        <f>IFERROR(__xludf.DUMMYFUNCTION("""COMPUTED_VALUE"""),0.4)</f>
        <v>0.4</v>
      </c>
      <c r="M1873" s="4">
        <f>IFERROR(__xludf.DUMMYFUNCTION("""COMPUTED_VALUE"""),0.0)</f>
        <v>0</v>
      </c>
      <c r="N1873" s="4">
        <f>IFERROR(__xludf.DUMMYFUNCTION("""COMPUTED_VALUE"""),0.87)</f>
        <v>0.87</v>
      </c>
      <c r="O1873" s="4">
        <f>IFERROR(__xludf.DUMMYFUNCTION("""COMPUTED_VALUE"""),8.3)</f>
        <v>8.3</v>
      </c>
      <c r="P1873" s="4">
        <f>IFERROR(__xludf.DUMMYFUNCTION("""COMPUTED_VALUE"""),2.5)</f>
        <v>2.5</v>
      </c>
      <c r="Q1873" s="4">
        <f>IFERROR(__xludf.DUMMYFUNCTION("""COMPUTED_VALUE"""),1.4)</f>
        <v>1.4</v>
      </c>
      <c r="R1873" s="4">
        <f>IFERROR(__xludf.DUMMYFUNCTION("""COMPUTED_VALUE"""),0.6)</f>
        <v>0.6</v>
      </c>
      <c r="S1873" s="4">
        <f>IFERROR(__xludf.DUMMYFUNCTION("""COMPUTED_VALUE"""),0.6)</f>
        <v>0.6</v>
      </c>
      <c r="T1873" s="4">
        <f>IFERROR(__xludf.DUMMYFUNCTION("""COMPUTED_VALUE"""),0.07)</f>
        <v>0.07</v>
      </c>
      <c r="U1873" s="4">
        <f>IFERROR(__xludf.DUMMYFUNCTION("""COMPUTED_VALUE"""),-2.0)</f>
        <v>-2</v>
      </c>
      <c r="V1873" s="4">
        <f>IFERROR(__xludf.DUMMYFUNCTION("""COMPUTED_VALUE"""),0.0)</f>
        <v>0</v>
      </c>
    </row>
    <row r="1874">
      <c r="A1874" s="4">
        <f>IFERROR(__xludf.DUMMYFUNCTION("""COMPUTED_VALUE"""),33.0)</f>
        <v>33</v>
      </c>
      <c r="B1874" s="4">
        <f>IFERROR(__xludf.DUMMYFUNCTION("""COMPUTED_VALUE"""),33.0)</f>
        <v>33</v>
      </c>
      <c r="C1874" s="4" t="str">
        <f>IFERROR(__xludf.DUMMYFUNCTION("""COMPUTED_VALUE"""),"DEN")</f>
        <v>DEN</v>
      </c>
      <c r="D1874" s="4" t="str">
        <f>IFERROR(__xludf.DUMMYFUNCTION("""COMPUTED_VALUE"""),"James Cotton")</f>
        <v>James Cotton</v>
      </c>
      <c r="E1874" s="4" t="str">
        <f>IFERROR(__xludf.DUMMYFUNCTION("""COMPUTED_VALUE"""),"Cal State Long Beach")</f>
        <v>Cal State Long Beach</v>
      </c>
      <c r="F1874" s="4">
        <f>IFERROR(__xludf.DUMMYFUNCTION("""COMPUTED_VALUE"""),2.0)</f>
        <v>2</v>
      </c>
      <c r="G1874" s="4">
        <f>IFERROR(__xludf.DUMMYFUNCTION("""COMPUTED_VALUE"""),19.0)</f>
        <v>19</v>
      </c>
      <c r="H1874" s="4">
        <f>IFERROR(__xludf.DUMMYFUNCTION("""COMPUTED_VALUE"""),92.0)</f>
        <v>92</v>
      </c>
      <c r="I1874" s="4">
        <f>IFERROR(__xludf.DUMMYFUNCTION("""COMPUTED_VALUE"""),49.0)</f>
        <v>49</v>
      </c>
      <c r="J1874" s="4">
        <f>IFERROR(__xludf.DUMMYFUNCTION("""COMPUTED_VALUE"""),16.0)</f>
        <v>16</v>
      </c>
      <c r="K1874" s="4">
        <f>IFERROR(__xludf.DUMMYFUNCTION("""COMPUTED_VALUE"""),0.0)</f>
        <v>0</v>
      </c>
      <c r="L1874" s="4">
        <f>IFERROR(__xludf.DUMMYFUNCTION("""COMPUTED_VALUE"""),0.359)</f>
        <v>0.359</v>
      </c>
      <c r="M1874" s="4">
        <f>IFERROR(__xludf.DUMMYFUNCTION("""COMPUTED_VALUE"""),0.0)</f>
        <v>0</v>
      </c>
      <c r="N1874" s="4">
        <f>IFERROR(__xludf.DUMMYFUNCTION("""COMPUTED_VALUE"""),0.778)</f>
        <v>0.778</v>
      </c>
      <c r="O1874" s="4">
        <f>IFERROR(__xludf.DUMMYFUNCTION("""COMPUTED_VALUE"""),4.8)</f>
        <v>4.8</v>
      </c>
      <c r="P1874" s="4">
        <f>IFERROR(__xludf.DUMMYFUNCTION("""COMPUTED_VALUE"""),2.6)</f>
        <v>2.6</v>
      </c>
      <c r="Q1874" s="4">
        <f>IFERROR(__xludf.DUMMYFUNCTION("""COMPUTED_VALUE"""),0.8)</f>
        <v>0.8</v>
      </c>
      <c r="R1874" s="4">
        <f>IFERROR(__xludf.DUMMYFUNCTION("""COMPUTED_VALUE"""),0.0)</f>
        <v>0</v>
      </c>
      <c r="S1874" s="4">
        <f>IFERROR(__xludf.DUMMYFUNCTION("""COMPUTED_VALUE"""),0.0)</f>
        <v>0</v>
      </c>
      <c r="T1874" s="4">
        <f>IFERROR(__xludf.DUMMYFUNCTION("""COMPUTED_VALUE"""),0.008)</f>
        <v>0.008</v>
      </c>
      <c r="U1874" s="4">
        <f>IFERROR(__xludf.DUMMYFUNCTION("""COMPUTED_VALUE"""),-6.6)</f>
        <v>-6.6</v>
      </c>
      <c r="V1874" s="4">
        <f>IFERROR(__xludf.DUMMYFUNCTION("""COMPUTED_VALUE"""),-0.1)</f>
        <v>-0.1</v>
      </c>
    </row>
    <row r="1875">
      <c r="A1875" s="4">
        <f>IFERROR(__xludf.DUMMYFUNCTION("""COMPUTED_VALUE"""),34.0)</f>
        <v>34</v>
      </c>
      <c r="B1875" s="4">
        <f>IFERROR(__xludf.DUMMYFUNCTION("""COMPUTED_VALUE"""),34.0)</f>
        <v>34</v>
      </c>
      <c r="C1875" s="4" t="str">
        <f>IFERROR(__xludf.DUMMYFUNCTION("""COMPUTED_VALUE"""),"PHI")</f>
        <v>PHI</v>
      </c>
      <c r="D1875" s="4" t="str">
        <f>IFERROR(__xludf.DUMMYFUNCTION("""COMPUTED_VALUE"""),"Marko Milič")</f>
        <v>Marko Milič</v>
      </c>
      <c r="E1875" s="4"/>
      <c r="F1875" s="4">
        <f>IFERROR(__xludf.DUMMYFUNCTION("""COMPUTED_VALUE"""),2.0)</f>
        <v>2</v>
      </c>
      <c r="G1875" s="4">
        <f>IFERROR(__xludf.DUMMYFUNCTION("""COMPUTED_VALUE"""),44.0)</f>
        <v>44</v>
      </c>
      <c r="H1875" s="4">
        <f>IFERROR(__xludf.DUMMYFUNCTION("""COMPUTED_VALUE"""),216.0)</f>
        <v>216</v>
      </c>
      <c r="I1875" s="4">
        <f>IFERROR(__xludf.DUMMYFUNCTION("""COMPUTED_VALUE"""),108.0)</f>
        <v>108</v>
      </c>
      <c r="J1875" s="4">
        <f>IFERROR(__xludf.DUMMYFUNCTION("""COMPUTED_VALUE"""),30.0)</f>
        <v>30</v>
      </c>
      <c r="K1875" s="4">
        <f>IFERROR(__xludf.DUMMYFUNCTION("""COMPUTED_VALUE"""),14.0)</f>
        <v>14</v>
      </c>
      <c r="L1875" s="4">
        <f>IFERROR(__xludf.DUMMYFUNCTION("""COMPUTED_VALUE"""),0.56)</f>
        <v>0.56</v>
      </c>
      <c r="M1875" s="4">
        <f>IFERROR(__xludf.DUMMYFUNCTION("""COMPUTED_VALUE"""),0.429)</f>
        <v>0.429</v>
      </c>
      <c r="N1875" s="4">
        <f>IFERROR(__xludf.DUMMYFUNCTION("""COMPUTED_VALUE"""),0.647)</f>
        <v>0.647</v>
      </c>
      <c r="O1875" s="4">
        <f>IFERROR(__xludf.DUMMYFUNCTION("""COMPUTED_VALUE"""),4.9)</f>
        <v>4.9</v>
      </c>
      <c r="P1875" s="4">
        <f>IFERROR(__xludf.DUMMYFUNCTION("""COMPUTED_VALUE"""),2.5)</f>
        <v>2.5</v>
      </c>
      <c r="Q1875" s="4">
        <f>IFERROR(__xludf.DUMMYFUNCTION("""COMPUTED_VALUE"""),0.7)</f>
        <v>0.7</v>
      </c>
      <c r="R1875" s="4">
        <f>IFERROR(__xludf.DUMMYFUNCTION("""COMPUTED_VALUE"""),0.3)</f>
        <v>0.3</v>
      </c>
      <c r="S1875" s="4">
        <f>IFERROR(__xludf.DUMMYFUNCTION("""COMPUTED_VALUE"""),0.2)</f>
        <v>0.2</v>
      </c>
      <c r="T1875" s="4">
        <f>IFERROR(__xludf.DUMMYFUNCTION("""COMPUTED_VALUE"""),0.047)</f>
        <v>0.047</v>
      </c>
      <c r="U1875" s="4">
        <f>IFERROR(__xludf.DUMMYFUNCTION("""COMPUTED_VALUE"""),-2.4)</f>
        <v>-2.4</v>
      </c>
      <c r="V1875" s="4">
        <f>IFERROR(__xludf.DUMMYFUNCTION("""COMPUTED_VALUE"""),0.0)</f>
        <v>0</v>
      </c>
    </row>
    <row r="1876">
      <c r="A1876" s="4">
        <f>IFERROR(__xludf.DUMMYFUNCTION("""COMPUTED_VALUE"""),35.0)</f>
        <v>35</v>
      </c>
      <c r="B1876" s="4">
        <f>IFERROR(__xludf.DUMMYFUNCTION("""COMPUTED_VALUE"""),35.0)</f>
        <v>35</v>
      </c>
      <c r="C1876" s="4" t="str">
        <f>IFERROR(__xludf.DUMMYFUNCTION("""COMPUTED_VALUE"""),"DAL")</f>
        <v>DAL</v>
      </c>
      <c r="D1876" s="4" t="str">
        <f>IFERROR(__xludf.DUMMYFUNCTION("""COMPUTED_VALUE"""),"Bubba Wells")</f>
        <v>Bubba Wells</v>
      </c>
      <c r="E1876" s="4" t="str">
        <f>IFERROR(__xludf.DUMMYFUNCTION("""COMPUTED_VALUE"""),"Austin Peay State University")</f>
        <v>Austin Peay State University</v>
      </c>
      <c r="F1876" s="4">
        <f>IFERROR(__xludf.DUMMYFUNCTION("""COMPUTED_VALUE"""),1.0)</f>
        <v>1</v>
      </c>
      <c r="G1876" s="4">
        <f>IFERROR(__xludf.DUMMYFUNCTION("""COMPUTED_VALUE"""),39.0)</f>
        <v>39</v>
      </c>
      <c r="H1876" s="4">
        <f>IFERROR(__xludf.DUMMYFUNCTION("""COMPUTED_VALUE"""),395.0)</f>
        <v>395</v>
      </c>
      <c r="I1876" s="4">
        <f>IFERROR(__xludf.DUMMYFUNCTION("""COMPUTED_VALUE"""),128.0)</f>
        <v>128</v>
      </c>
      <c r="J1876" s="4">
        <f>IFERROR(__xludf.DUMMYFUNCTION("""COMPUTED_VALUE"""),68.0)</f>
        <v>68</v>
      </c>
      <c r="K1876" s="4">
        <f>IFERROR(__xludf.DUMMYFUNCTION("""COMPUTED_VALUE"""),34.0)</f>
        <v>34</v>
      </c>
      <c r="L1876" s="4">
        <f>IFERROR(__xludf.DUMMYFUNCTION("""COMPUTED_VALUE"""),0.414)</f>
        <v>0.414</v>
      </c>
      <c r="M1876" s="4">
        <f>IFERROR(__xludf.DUMMYFUNCTION("""COMPUTED_VALUE"""),0.167)</f>
        <v>0.167</v>
      </c>
      <c r="N1876" s="4">
        <f>IFERROR(__xludf.DUMMYFUNCTION("""COMPUTED_VALUE"""),0.721)</f>
        <v>0.721</v>
      </c>
      <c r="O1876" s="4">
        <f>IFERROR(__xludf.DUMMYFUNCTION("""COMPUTED_VALUE"""),10.1)</f>
        <v>10.1</v>
      </c>
      <c r="P1876" s="4">
        <f>IFERROR(__xludf.DUMMYFUNCTION("""COMPUTED_VALUE"""),3.3)</f>
        <v>3.3</v>
      </c>
      <c r="Q1876" s="4">
        <f>IFERROR(__xludf.DUMMYFUNCTION("""COMPUTED_VALUE"""),1.7)</f>
        <v>1.7</v>
      </c>
      <c r="R1876" s="4">
        <f>IFERROR(__xludf.DUMMYFUNCTION("""COMPUTED_VALUE"""),0.9)</f>
        <v>0.9</v>
      </c>
      <c r="S1876" s="4">
        <f>IFERROR(__xludf.DUMMYFUNCTION("""COMPUTED_VALUE"""),0.1)</f>
        <v>0.1</v>
      </c>
      <c r="T1876" s="4">
        <f>IFERROR(__xludf.DUMMYFUNCTION("""COMPUTED_VALUE"""),0.013)</f>
        <v>0.013</v>
      </c>
      <c r="U1876" s="4">
        <f>IFERROR(__xludf.DUMMYFUNCTION("""COMPUTED_VALUE"""),-3.5)</f>
        <v>-3.5</v>
      </c>
      <c r="V1876" s="4">
        <f>IFERROR(__xludf.DUMMYFUNCTION("""COMPUTED_VALUE"""),-0.2)</f>
        <v>-0.2</v>
      </c>
    </row>
    <row r="1877">
      <c r="A1877" s="4">
        <f>IFERROR(__xludf.DUMMYFUNCTION("""COMPUTED_VALUE"""),36.0)</f>
        <v>36</v>
      </c>
      <c r="B1877" s="4">
        <f>IFERROR(__xludf.DUMMYFUNCTION("""COMPUTED_VALUE"""),36.0)</f>
        <v>36</v>
      </c>
      <c r="C1877" s="4" t="str">
        <f>IFERROR(__xludf.DUMMYFUNCTION("""COMPUTED_VALUE"""),"PHI")</f>
        <v>PHI</v>
      </c>
      <c r="D1877" s="4" t="str">
        <f>IFERROR(__xludf.DUMMYFUNCTION("""COMPUTED_VALUE"""),"Kebu Stewart")</f>
        <v>Kebu Stewart</v>
      </c>
      <c r="E1877" s="4" t="str">
        <f>IFERROR(__xludf.DUMMYFUNCTION("""COMPUTED_VALUE"""),"Cal State-Bakersfield")</f>
        <v>Cal State-Bakersfield</v>
      </c>
      <c r="F1877" s="4">
        <f>IFERROR(__xludf.DUMMYFUNCTION("""COMPUTED_VALUE"""),1.0)</f>
        <v>1</v>
      </c>
      <c r="G1877" s="4">
        <f>IFERROR(__xludf.DUMMYFUNCTION("""COMPUTED_VALUE"""),15.0)</f>
        <v>15</v>
      </c>
      <c r="H1877" s="4">
        <f>IFERROR(__xludf.DUMMYFUNCTION("""COMPUTED_VALUE"""),110.0)</f>
        <v>110</v>
      </c>
      <c r="I1877" s="4">
        <f>IFERROR(__xludf.DUMMYFUNCTION("""COMPUTED_VALUE"""),40.0)</f>
        <v>40</v>
      </c>
      <c r="J1877" s="4">
        <f>IFERROR(__xludf.DUMMYFUNCTION("""COMPUTED_VALUE"""),31.0)</f>
        <v>31</v>
      </c>
      <c r="K1877" s="4">
        <f>IFERROR(__xludf.DUMMYFUNCTION("""COMPUTED_VALUE"""),2.0)</f>
        <v>2</v>
      </c>
      <c r="L1877" s="4">
        <f>IFERROR(__xludf.DUMMYFUNCTION("""COMPUTED_VALUE"""),0.462)</f>
        <v>0.462</v>
      </c>
      <c r="M1877" s="4"/>
      <c r="N1877" s="4">
        <f>IFERROR(__xludf.DUMMYFUNCTION("""COMPUTED_VALUE"""),0.64)</f>
        <v>0.64</v>
      </c>
      <c r="O1877" s="4">
        <f>IFERROR(__xludf.DUMMYFUNCTION("""COMPUTED_VALUE"""),7.3)</f>
        <v>7.3</v>
      </c>
      <c r="P1877" s="4">
        <f>IFERROR(__xludf.DUMMYFUNCTION("""COMPUTED_VALUE"""),2.7)</f>
        <v>2.7</v>
      </c>
      <c r="Q1877" s="4">
        <f>IFERROR(__xludf.DUMMYFUNCTION("""COMPUTED_VALUE"""),2.1)</f>
        <v>2.1</v>
      </c>
      <c r="R1877" s="4">
        <f>IFERROR(__xludf.DUMMYFUNCTION("""COMPUTED_VALUE"""),0.1)</f>
        <v>0.1</v>
      </c>
      <c r="S1877" s="4">
        <f>IFERROR(__xludf.DUMMYFUNCTION("""COMPUTED_VALUE"""),0.2)</f>
        <v>0.2</v>
      </c>
      <c r="T1877" s="4">
        <f>IFERROR(__xludf.DUMMYFUNCTION("""COMPUTED_VALUE"""),0.098)</f>
        <v>0.098</v>
      </c>
      <c r="U1877" s="4">
        <f>IFERROR(__xludf.DUMMYFUNCTION("""COMPUTED_VALUE"""),-1.4)</f>
        <v>-1.4</v>
      </c>
      <c r="V1877" s="4">
        <f>IFERROR(__xludf.DUMMYFUNCTION("""COMPUTED_VALUE"""),0.0)</f>
        <v>0</v>
      </c>
    </row>
    <row r="1878">
      <c r="A1878" s="4">
        <f>IFERROR(__xludf.DUMMYFUNCTION("""COMPUTED_VALUE"""),37.0)</f>
        <v>37</v>
      </c>
      <c r="B1878" s="4">
        <f>IFERROR(__xludf.DUMMYFUNCTION("""COMPUTED_VALUE"""),37.0)</f>
        <v>37</v>
      </c>
      <c r="C1878" s="4" t="str">
        <f>IFERROR(__xludf.DUMMYFUNCTION("""COMPUTED_VALUE"""),"PHI")</f>
        <v>PHI</v>
      </c>
      <c r="D1878" s="4" t="str">
        <f>IFERROR(__xludf.DUMMYFUNCTION("""COMPUTED_VALUE"""),"James Collins")</f>
        <v>James Collins</v>
      </c>
      <c r="E1878" s="4" t="str">
        <f>IFERROR(__xludf.DUMMYFUNCTION("""COMPUTED_VALUE"""),"Florida State")</f>
        <v>Florida State</v>
      </c>
      <c r="F1878" s="4">
        <f>IFERROR(__xludf.DUMMYFUNCTION("""COMPUTED_VALUE"""),1.0)</f>
        <v>1</v>
      </c>
      <c r="G1878" s="4">
        <f>IFERROR(__xludf.DUMMYFUNCTION("""COMPUTED_VALUE"""),23.0)</f>
        <v>23</v>
      </c>
      <c r="H1878" s="4">
        <f>IFERROR(__xludf.DUMMYFUNCTION("""COMPUTED_VALUE"""),103.0)</f>
        <v>103</v>
      </c>
      <c r="I1878" s="4">
        <f>IFERROR(__xludf.DUMMYFUNCTION("""COMPUTED_VALUE"""),59.0)</f>
        <v>59</v>
      </c>
      <c r="J1878" s="4">
        <f>IFERROR(__xludf.DUMMYFUNCTION("""COMPUTED_VALUE"""),14.0)</f>
        <v>14</v>
      </c>
      <c r="K1878" s="4">
        <f>IFERROR(__xludf.DUMMYFUNCTION("""COMPUTED_VALUE"""),3.0)</f>
        <v>3</v>
      </c>
      <c r="L1878" s="4">
        <f>IFERROR(__xludf.DUMMYFUNCTION("""COMPUTED_VALUE"""),0.382)</f>
        <v>0.382</v>
      </c>
      <c r="M1878" s="4">
        <f>IFERROR(__xludf.DUMMYFUNCTION("""COMPUTED_VALUE"""),0.45)</f>
        <v>0.45</v>
      </c>
      <c r="N1878" s="4">
        <f>IFERROR(__xludf.DUMMYFUNCTION("""COMPUTED_VALUE"""),0.571)</f>
        <v>0.571</v>
      </c>
      <c r="O1878" s="4">
        <f>IFERROR(__xludf.DUMMYFUNCTION("""COMPUTED_VALUE"""),4.5)</f>
        <v>4.5</v>
      </c>
      <c r="P1878" s="4">
        <f>IFERROR(__xludf.DUMMYFUNCTION("""COMPUTED_VALUE"""),2.6)</f>
        <v>2.6</v>
      </c>
      <c r="Q1878" s="4">
        <f>IFERROR(__xludf.DUMMYFUNCTION("""COMPUTED_VALUE"""),0.6)</f>
        <v>0.6</v>
      </c>
      <c r="R1878" s="4">
        <f>IFERROR(__xludf.DUMMYFUNCTION("""COMPUTED_VALUE"""),0.1)</f>
        <v>0.1</v>
      </c>
      <c r="S1878" s="4">
        <f>IFERROR(__xludf.DUMMYFUNCTION("""COMPUTED_VALUE"""),0.0)</f>
        <v>0</v>
      </c>
      <c r="T1878" s="4">
        <f>IFERROR(__xludf.DUMMYFUNCTION("""COMPUTED_VALUE"""),0.008)</f>
        <v>0.008</v>
      </c>
      <c r="U1878" s="4">
        <f>IFERROR(__xludf.DUMMYFUNCTION("""COMPUTED_VALUE"""),-1.0)</f>
        <v>-1</v>
      </c>
      <c r="V1878" s="4">
        <f>IFERROR(__xludf.DUMMYFUNCTION("""COMPUTED_VALUE"""),0.0)</f>
        <v>0</v>
      </c>
    </row>
    <row r="1879">
      <c r="A1879" s="4">
        <f>IFERROR(__xludf.DUMMYFUNCTION("""COMPUTED_VALUE"""),38.0)</f>
        <v>38</v>
      </c>
      <c r="B1879" s="4">
        <f>IFERROR(__xludf.DUMMYFUNCTION("""COMPUTED_VALUE"""),38.0)</f>
        <v>38</v>
      </c>
      <c r="C1879" s="4" t="str">
        <f>IFERROR(__xludf.DUMMYFUNCTION("""COMPUTED_VALUE"""),"GSW")</f>
        <v>GSW</v>
      </c>
      <c r="D1879" s="4" t="str">
        <f>IFERROR(__xludf.DUMMYFUNCTION("""COMPUTED_VALUE"""),"Marc Jackson")</f>
        <v>Marc Jackson</v>
      </c>
      <c r="E1879" s="4" t="str">
        <f>IFERROR(__xludf.DUMMYFUNCTION("""COMPUTED_VALUE"""),"Temple")</f>
        <v>Temple</v>
      </c>
      <c r="F1879" s="4">
        <f>IFERROR(__xludf.DUMMYFUNCTION("""COMPUTED_VALUE"""),7.0)</f>
        <v>7</v>
      </c>
      <c r="G1879" s="4">
        <f>IFERROR(__xludf.DUMMYFUNCTION("""COMPUTED_VALUE"""),387.0)</f>
        <v>387</v>
      </c>
      <c r="H1879" s="4">
        <f>IFERROR(__xludf.DUMMYFUNCTION("""COMPUTED_VALUE"""),7572.0)</f>
        <v>7572</v>
      </c>
      <c r="I1879" s="4">
        <f>IFERROR(__xludf.DUMMYFUNCTION("""COMPUTED_VALUE"""),3238.0)</f>
        <v>3238</v>
      </c>
      <c r="J1879" s="4">
        <f>IFERROR(__xludf.DUMMYFUNCTION("""COMPUTED_VALUE"""),1655.0)</f>
        <v>1655</v>
      </c>
      <c r="K1879" s="4">
        <f>IFERROR(__xludf.DUMMYFUNCTION("""COMPUTED_VALUE"""),311.0)</f>
        <v>311</v>
      </c>
      <c r="L1879" s="4">
        <f>IFERROR(__xludf.DUMMYFUNCTION("""COMPUTED_VALUE"""),0.446)</f>
        <v>0.446</v>
      </c>
      <c r="M1879" s="4">
        <f>IFERROR(__xludf.DUMMYFUNCTION("""COMPUTED_VALUE"""),0.226)</f>
        <v>0.226</v>
      </c>
      <c r="N1879" s="4">
        <f>IFERROR(__xludf.DUMMYFUNCTION("""COMPUTED_VALUE"""),0.814)</f>
        <v>0.814</v>
      </c>
      <c r="O1879" s="4">
        <f>IFERROR(__xludf.DUMMYFUNCTION("""COMPUTED_VALUE"""),19.6)</f>
        <v>19.6</v>
      </c>
      <c r="P1879" s="4">
        <f>IFERROR(__xludf.DUMMYFUNCTION("""COMPUTED_VALUE"""),8.4)</f>
        <v>8.4</v>
      </c>
      <c r="Q1879" s="4">
        <f>IFERROR(__xludf.DUMMYFUNCTION("""COMPUTED_VALUE"""),4.3)</f>
        <v>4.3</v>
      </c>
      <c r="R1879" s="4">
        <f>IFERROR(__xludf.DUMMYFUNCTION("""COMPUTED_VALUE"""),0.8)</f>
        <v>0.8</v>
      </c>
      <c r="S1879" s="4">
        <f>IFERROR(__xludf.DUMMYFUNCTION("""COMPUTED_VALUE"""),13.0)</f>
        <v>13</v>
      </c>
      <c r="T1879" s="4">
        <f>IFERROR(__xludf.DUMMYFUNCTION("""COMPUTED_VALUE"""),0.082)</f>
        <v>0.082</v>
      </c>
      <c r="U1879" s="4">
        <f>IFERROR(__xludf.DUMMYFUNCTION("""COMPUTED_VALUE"""),-2.7)</f>
        <v>-2.7</v>
      </c>
      <c r="V1879" s="4">
        <f>IFERROR(__xludf.DUMMYFUNCTION("""COMPUTED_VALUE"""),-1.4)</f>
        <v>-1.4</v>
      </c>
    </row>
    <row r="1880">
      <c r="A1880" s="4">
        <f>IFERROR(__xludf.DUMMYFUNCTION("""COMPUTED_VALUE"""),39.0)</f>
        <v>39</v>
      </c>
      <c r="B1880" s="4">
        <f>IFERROR(__xludf.DUMMYFUNCTION("""COMPUTED_VALUE"""),39.0)</f>
        <v>39</v>
      </c>
      <c r="C1880" s="4" t="str">
        <f>IFERROR(__xludf.DUMMYFUNCTION("""COMPUTED_VALUE"""),"MIL")</f>
        <v>MIL</v>
      </c>
      <c r="D1880" s="4" t="str">
        <f>IFERROR(__xludf.DUMMYFUNCTION("""COMPUTED_VALUE"""),"Jerald Honeycutt")</f>
        <v>Jerald Honeycutt</v>
      </c>
      <c r="E1880" s="4" t="str">
        <f>IFERROR(__xludf.DUMMYFUNCTION("""COMPUTED_VALUE"""),"Tulane")</f>
        <v>Tulane</v>
      </c>
      <c r="F1880" s="4">
        <f>IFERROR(__xludf.DUMMYFUNCTION("""COMPUTED_VALUE"""),2.0)</f>
        <v>2</v>
      </c>
      <c r="G1880" s="4">
        <f>IFERROR(__xludf.DUMMYFUNCTION("""COMPUTED_VALUE"""),54.0)</f>
        <v>54</v>
      </c>
      <c r="H1880" s="4">
        <f>IFERROR(__xludf.DUMMYFUNCTION("""COMPUTED_VALUE"""),632.0)</f>
        <v>632</v>
      </c>
      <c r="I1880" s="4">
        <f>IFERROR(__xludf.DUMMYFUNCTION("""COMPUTED_VALUE"""),275.0)</f>
        <v>275</v>
      </c>
      <c r="J1880" s="4">
        <f>IFERROR(__xludf.DUMMYFUNCTION("""COMPUTED_VALUE"""),105.0)</f>
        <v>105</v>
      </c>
      <c r="K1880" s="4">
        <f>IFERROR(__xludf.DUMMYFUNCTION("""COMPUTED_VALUE"""),36.0)</f>
        <v>36</v>
      </c>
      <c r="L1880" s="4">
        <f>IFERROR(__xludf.DUMMYFUNCTION("""COMPUTED_VALUE"""),0.391)</f>
        <v>0.391</v>
      </c>
      <c r="M1880" s="4">
        <f>IFERROR(__xludf.DUMMYFUNCTION("""COMPUTED_VALUE"""),0.362)</f>
        <v>0.362</v>
      </c>
      <c r="N1880" s="4">
        <f>IFERROR(__xludf.DUMMYFUNCTION("""COMPUTED_VALUE"""),0.632)</f>
        <v>0.632</v>
      </c>
      <c r="O1880" s="4">
        <f>IFERROR(__xludf.DUMMYFUNCTION("""COMPUTED_VALUE"""),11.7)</f>
        <v>11.7</v>
      </c>
      <c r="P1880" s="4">
        <f>IFERROR(__xludf.DUMMYFUNCTION("""COMPUTED_VALUE"""),5.1)</f>
        <v>5.1</v>
      </c>
      <c r="Q1880" s="4">
        <f>IFERROR(__xludf.DUMMYFUNCTION("""COMPUTED_VALUE"""),1.9)</f>
        <v>1.9</v>
      </c>
      <c r="R1880" s="4">
        <f>IFERROR(__xludf.DUMMYFUNCTION("""COMPUTED_VALUE"""),0.7)</f>
        <v>0.7</v>
      </c>
      <c r="S1880" s="4">
        <f>IFERROR(__xludf.DUMMYFUNCTION("""COMPUTED_VALUE"""),0.3)</f>
        <v>0.3</v>
      </c>
      <c r="T1880" s="4">
        <f>IFERROR(__xludf.DUMMYFUNCTION("""COMPUTED_VALUE"""),0.02)</f>
        <v>0.02</v>
      </c>
      <c r="U1880" s="4">
        <f>IFERROR(__xludf.DUMMYFUNCTION("""COMPUTED_VALUE"""),-3.3)</f>
        <v>-3.3</v>
      </c>
      <c r="V1880" s="4">
        <f>IFERROR(__xludf.DUMMYFUNCTION("""COMPUTED_VALUE"""),-0.2)</f>
        <v>-0.2</v>
      </c>
    </row>
    <row r="1881">
      <c r="A1881" s="4">
        <f>IFERROR(__xludf.DUMMYFUNCTION("""COMPUTED_VALUE"""),40.0)</f>
        <v>40</v>
      </c>
      <c r="B1881" s="4">
        <f>IFERROR(__xludf.DUMMYFUNCTION("""COMPUTED_VALUE"""),40.0)</f>
        <v>40</v>
      </c>
      <c r="C1881" s="4" t="str">
        <f>IFERROR(__xludf.DUMMYFUNCTION("""COMPUTED_VALUE"""),"SAC")</f>
        <v>SAC</v>
      </c>
      <c r="D1881" s="4" t="str">
        <f>IFERROR(__xludf.DUMMYFUNCTION("""COMPUTED_VALUE"""),"Anthony Johnson")</f>
        <v>Anthony Johnson</v>
      </c>
      <c r="E1881" s="4" t="str">
        <f>IFERROR(__xludf.DUMMYFUNCTION("""COMPUTED_VALUE"""),"College of Charleston")</f>
        <v>College of Charleston</v>
      </c>
      <c r="F1881" s="4">
        <f>IFERROR(__xludf.DUMMYFUNCTION("""COMPUTED_VALUE"""),13.0)</f>
        <v>13</v>
      </c>
      <c r="G1881" s="4">
        <f>IFERROR(__xludf.DUMMYFUNCTION("""COMPUTED_VALUE"""),793.0)</f>
        <v>793</v>
      </c>
      <c r="H1881" s="4">
        <f>IFERROR(__xludf.DUMMYFUNCTION("""COMPUTED_VALUE"""),15552.0)</f>
        <v>15552</v>
      </c>
      <c r="I1881" s="4">
        <f>IFERROR(__xludf.DUMMYFUNCTION("""COMPUTED_VALUE"""),4432.0)</f>
        <v>4432</v>
      </c>
      <c r="J1881" s="4">
        <f>IFERROR(__xludf.DUMMYFUNCTION("""COMPUTED_VALUE"""),1358.0)</f>
        <v>1358</v>
      </c>
      <c r="K1881" s="4">
        <f>IFERROR(__xludf.DUMMYFUNCTION("""COMPUTED_VALUE"""),2274.0)</f>
        <v>2274</v>
      </c>
      <c r="L1881" s="4">
        <f>IFERROR(__xludf.DUMMYFUNCTION("""COMPUTED_VALUE"""),0.414)</f>
        <v>0.414</v>
      </c>
      <c r="M1881" s="4">
        <f>IFERROR(__xludf.DUMMYFUNCTION("""COMPUTED_VALUE"""),0.356)</f>
        <v>0.356</v>
      </c>
      <c r="N1881" s="4">
        <f>IFERROR(__xludf.DUMMYFUNCTION("""COMPUTED_VALUE"""),0.745)</f>
        <v>0.745</v>
      </c>
      <c r="O1881" s="4">
        <f>IFERROR(__xludf.DUMMYFUNCTION("""COMPUTED_VALUE"""),19.6)</f>
        <v>19.6</v>
      </c>
      <c r="P1881" s="4">
        <f>IFERROR(__xludf.DUMMYFUNCTION("""COMPUTED_VALUE"""),5.6)</f>
        <v>5.6</v>
      </c>
      <c r="Q1881" s="4">
        <f>IFERROR(__xludf.DUMMYFUNCTION("""COMPUTED_VALUE"""),1.7)</f>
        <v>1.7</v>
      </c>
      <c r="R1881" s="4">
        <f>IFERROR(__xludf.DUMMYFUNCTION("""COMPUTED_VALUE"""),2.9)</f>
        <v>2.9</v>
      </c>
      <c r="S1881" s="4">
        <f>IFERROR(__xludf.DUMMYFUNCTION("""COMPUTED_VALUE"""),23.2)</f>
        <v>23.2</v>
      </c>
      <c r="T1881" s="4">
        <f>IFERROR(__xludf.DUMMYFUNCTION("""COMPUTED_VALUE"""),0.072)</f>
        <v>0.072</v>
      </c>
      <c r="U1881" s="4">
        <f>IFERROR(__xludf.DUMMYFUNCTION("""COMPUTED_VALUE"""),-1.5)</f>
        <v>-1.5</v>
      </c>
      <c r="V1881" s="4">
        <f>IFERROR(__xludf.DUMMYFUNCTION("""COMPUTED_VALUE"""),2.0)</f>
        <v>2</v>
      </c>
    </row>
    <row r="1882">
      <c r="A1882" s="4">
        <f>IFERROR(__xludf.DUMMYFUNCTION("""COMPUTED_VALUE"""),41.0)</f>
        <v>41</v>
      </c>
      <c r="B1882" s="4">
        <f>IFERROR(__xludf.DUMMYFUNCTION("""COMPUTED_VALUE"""),41.0)</f>
        <v>41</v>
      </c>
      <c r="C1882" s="4" t="str">
        <f>IFERROR(__xludf.DUMMYFUNCTION("""COMPUTED_VALUE"""),"SEA")</f>
        <v>SEA</v>
      </c>
      <c r="D1882" s="4" t="str">
        <f>IFERROR(__xludf.DUMMYFUNCTION("""COMPUTED_VALUE"""),"Eddie Elisma")</f>
        <v>Eddie Elisma</v>
      </c>
      <c r="E1882" s="4" t="str">
        <f>IFERROR(__xludf.DUMMYFUNCTION("""COMPUTED_VALUE"""),"Georgia Tech")</f>
        <v>Georgia Tech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</row>
    <row r="1883">
      <c r="A1883" s="4">
        <f>IFERROR(__xludf.DUMMYFUNCTION("""COMPUTED_VALUE"""),42.0)</f>
        <v>42</v>
      </c>
      <c r="B1883" s="4">
        <f>IFERROR(__xludf.DUMMYFUNCTION("""COMPUTED_VALUE"""),42.0)</f>
        <v>42</v>
      </c>
      <c r="C1883" s="4" t="str">
        <f>IFERROR(__xludf.DUMMYFUNCTION("""COMPUTED_VALUE"""),"DEN")</f>
        <v>DEN</v>
      </c>
      <c r="D1883" s="4" t="str">
        <f>IFERROR(__xludf.DUMMYFUNCTION("""COMPUTED_VALUE"""),"Jason Lawson")</f>
        <v>Jason Lawson</v>
      </c>
      <c r="E1883" s="4" t="str">
        <f>IFERROR(__xludf.DUMMYFUNCTION("""COMPUTED_VALUE"""),"Villanova")</f>
        <v>Villanova</v>
      </c>
      <c r="F1883" s="4">
        <f>IFERROR(__xludf.DUMMYFUNCTION("""COMPUTED_VALUE"""),1.0)</f>
        <v>1</v>
      </c>
      <c r="G1883" s="4">
        <f>IFERROR(__xludf.DUMMYFUNCTION("""COMPUTED_VALUE"""),17.0)</f>
        <v>17</v>
      </c>
      <c r="H1883" s="4">
        <f>IFERROR(__xludf.DUMMYFUNCTION("""COMPUTED_VALUE"""),80.0)</f>
        <v>80</v>
      </c>
      <c r="I1883" s="4">
        <f>IFERROR(__xludf.DUMMYFUNCTION("""COMPUTED_VALUE"""),26.0)</f>
        <v>26</v>
      </c>
      <c r="J1883" s="4">
        <f>IFERROR(__xludf.DUMMYFUNCTION("""COMPUTED_VALUE"""),27.0)</f>
        <v>27</v>
      </c>
      <c r="K1883" s="4">
        <f>IFERROR(__xludf.DUMMYFUNCTION("""COMPUTED_VALUE"""),5.0)</f>
        <v>5</v>
      </c>
      <c r="L1883" s="4">
        <f>IFERROR(__xludf.DUMMYFUNCTION("""COMPUTED_VALUE"""),0.6)</f>
        <v>0.6</v>
      </c>
      <c r="M1883" s="4"/>
      <c r="N1883" s="4">
        <f>IFERROR(__xludf.DUMMYFUNCTION("""COMPUTED_VALUE"""),0.8)</f>
        <v>0.8</v>
      </c>
      <c r="O1883" s="4">
        <f>IFERROR(__xludf.DUMMYFUNCTION("""COMPUTED_VALUE"""),4.7)</f>
        <v>4.7</v>
      </c>
      <c r="P1883" s="4">
        <f>IFERROR(__xludf.DUMMYFUNCTION("""COMPUTED_VALUE"""),1.5)</f>
        <v>1.5</v>
      </c>
      <c r="Q1883" s="4">
        <f>IFERROR(__xludf.DUMMYFUNCTION("""COMPUTED_VALUE"""),1.6)</f>
        <v>1.6</v>
      </c>
      <c r="R1883" s="4">
        <f>IFERROR(__xludf.DUMMYFUNCTION("""COMPUTED_VALUE"""),0.3)</f>
        <v>0.3</v>
      </c>
      <c r="S1883" s="4">
        <f>IFERROR(__xludf.DUMMYFUNCTION("""COMPUTED_VALUE"""),0.5)</f>
        <v>0.5</v>
      </c>
      <c r="T1883" s="4">
        <f>IFERROR(__xludf.DUMMYFUNCTION("""COMPUTED_VALUE"""),0.28)</f>
        <v>0.28</v>
      </c>
      <c r="U1883" s="4">
        <f>IFERROR(__xludf.DUMMYFUNCTION("""COMPUTED_VALUE"""),4.8)</f>
        <v>4.8</v>
      </c>
      <c r="V1883" s="4">
        <f>IFERROR(__xludf.DUMMYFUNCTION("""COMPUTED_VALUE"""),0.1)</f>
        <v>0.1</v>
      </c>
    </row>
    <row r="1884">
      <c r="A1884" s="4">
        <f>IFERROR(__xludf.DUMMYFUNCTION("""COMPUTED_VALUE"""),43.0)</f>
        <v>43</v>
      </c>
      <c r="B1884" s="4">
        <f>IFERROR(__xludf.DUMMYFUNCTION("""COMPUTED_VALUE"""),43.0)</f>
        <v>43</v>
      </c>
      <c r="C1884" s="4" t="str">
        <f>IFERROR(__xludf.DUMMYFUNCTION("""COMPUTED_VALUE"""),"PHO")</f>
        <v>PHO</v>
      </c>
      <c r="D1884" s="4" t="str">
        <f>IFERROR(__xludf.DUMMYFUNCTION("""COMPUTED_VALUE"""),"Stephen Jackson")</f>
        <v>Stephen Jackson</v>
      </c>
      <c r="E1884" s="4" t="str">
        <f>IFERROR(__xludf.DUMMYFUNCTION("""COMPUTED_VALUE"""),"Butler County Community College")</f>
        <v>Butler County Community College</v>
      </c>
      <c r="F1884" s="4">
        <f>IFERROR(__xludf.DUMMYFUNCTION("""COMPUTED_VALUE"""),14.0)</f>
        <v>14</v>
      </c>
      <c r="G1884" s="4">
        <f>IFERROR(__xludf.DUMMYFUNCTION("""COMPUTED_VALUE"""),858.0)</f>
        <v>858</v>
      </c>
      <c r="H1884" s="4">
        <f>IFERROR(__xludf.DUMMYFUNCTION("""COMPUTED_VALUE"""),27398.0)</f>
        <v>27398</v>
      </c>
      <c r="I1884" s="4">
        <f>IFERROR(__xludf.DUMMYFUNCTION("""COMPUTED_VALUE"""),12976.0)</f>
        <v>12976</v>
      </c>
      <c r="J1884" s="4">
        <f>IFERROR(__xludf.DUMMYFUNCTION("""COMPUTED_VALUE"""),3328.0)</f>
        <v>3328</v>
      </c>
      <c r="K1884" s="4">
        <f>IFERROR(__xludf.DUMMYFUNCTION("""COMPUTED_VALUE"""),2634.0)</f>
        <v>2634</v>
      </c>
      <c r="L1884" s="4">
        <f>IFERROR(__xludf.DUMMYFUNCTION("""COMPUTED_VALUE"""),0.414)</f>
        <v>0.414</v>
      </c>
      <c r="M1884" s="4">
        <f>IFERROR(__xludf.DUMMYFUNCTION("""COMPUTED_VALUE"""),0.333)</f>
        <v>0.333</v>
      </c>
      <c r="N1884" s="4">
        <f>IFERROR(__xludf.DUMMYFUNCTION("""COMPUTED_VALUE"""),0.798)</f>
        <v>0.798</v>
      </c>
      <c r="O1884" s="4">
        <f>IFERROR(__xludf.DUMMYFUNCTION("""COMPUTED_VALUE"""),31.9)</f>
        <v>31.9</v>
      </c>
      <c r="P1884" s="4">
        <f>IFERROR(__xludf.DUMMYFUNCTION("""COMPUTED_VALUE"""),15.1)</f>
        <v>15.1</v>
      </c>
      <c r="Q1884" s="4">
        <f>IFERROR(__xludf.DUMMYFUNCTION("""COMPUTED_VALUE"""),3.9)</f>
        <v>3.9</v>
      </c>
      <c r="R1884" s="4">
        <f>IFERROR(__xludf.DUMMYFUNCTION("""COMPUTED_VALUE"""),3.1)</f>
        <v>3.1</v>
      </c>
      <c r="S1884" s="4">
        <f>IFERROR(__xludf.DUMMYFUNCTION("""COMPUTED_VALUE"""),36.1)</f>
        <v>36.1</v>
      </c>
      <c r="T1884" s="4">
        <f>IFERROR(__xludf.DUMMYFUNCTION("""COMPUTED_VALUE"""),0.063)</f>
        <v>0.063</v>
      </c>
      <c r="U1884" s="4">
        <f>IFERROR(__xludf.DUMMYFUNCTION("""COMPUTED_VALUE"""),-0.4)</f>
        <v>-0.4</v>
      </c>
      <c r="V1884" s="4">
        <f>IFERROR(__xludf.DUMMYFUNCTION("""COMPUTED_VALUE"""),11.2)</f>
        <v>11.2</v>
      </c>
    </row>
    <row r="1885">
      <c r="A1885" s="4">
        <f>IFERROR(__xludf.DUMMYFUNCTION("""COMPUTED_VALUE"""),44.0)</f>
        <v>44</v>
      </c>
      <c r="B1885" s="4">
        <f>IFERROR(__xludf.DUMMYFUNCTION("""COMPUTED_VALUE"""),44.0)</f>
        <v>44</v>
      </c>
      <c r="C1885" s="4" t="str">
        <f>IFERROR(__xludf.DUMMYFUNCTION("""COMPUTED_VALUE"""),"MIN")</f>
        <v>MIN</v>
      </c>
      <c r="D1885" s="4" t="str">
        <f>IFERROR(__xludf.DUMMYFUNCTION("""COMPUTED_VALUE"""),"Gordon Malone")</f>
        <v>Gordon Malone</v>
      </c>
      <c r="E1885" s="4" t="str">
        <f>IFERROR(__xludf.DUMMYFUNCTION("""COMPUTED_VALUE"""),"West Virginia")</f>
        <v>West Virginia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</row>
    <row r="1886">
      <c r="A1886" s="4">
        <f>IFERROR(__xludf.DUMMYFUNCTION("""COMPUTED_VALUE"""),45.0)</f>
        <v>45</v>
      </c>
      <c r="B1886" s="4">
        <f>IFERROR(__xludf.DUMMYFUNCTION("""COMPUTED_VALUE"""),45.0)</f>
        <v>45</v>
      </c>
      <c r="C1886" s="4" t="str">
        <f>IFERROR(__xludf.DUMMYFUNCTION("""COMPUTED_VALUE"""),"CLE")</f>
        <v>CLE</v>
      </c>
      <c r="D1886" s="4" t="str">
        <f>IFERROR(__xludf.DUMMYFUNCTION("""COMPUTED_VALUE"""),"Cedric Henderson")</f>
        <v>Cedric Henderson</v>
      </c>
      <c r="E1886" s="4" t="str">
        <f>IFERROR(__xludf.DUMMYFUNCTION("""COMPUTED_VALUE"""),"Memphis")</f>
        <v>Memphis</v>
      </c>
      <c r="F1886" s="4">
        <f>IFERROR(__xludf.DUMMYFUNCTION("""COMPUTED_VALUE"""),5.0)</f>
        <v>5</v>
      </c>
      <c r="G1886" s="4">
        <f>IFERROR(__xludf.DUMMYFUNCTION("""COMPUTED_VALUE"""),260.0)</f>
        <v>260</v>
      </c>
      <c r="H1886" s="4">
        <f>IFERROR(__xludf.DUMMYFUNCTION("""COMPUTED_VALUE"""),6182.0)</f>
        <v>6182</v>
      </c>
      <c r="I1886" s="4">
        <f>IFERROR(__xludf.DUMMYFUNCTION("""COMPUTED_VALUE"""),1885.0)</f>
        <v>1885</v>
      </c>
      <c r="J1886" s="4">
        <f>IFERROR(__xludf.DUMMYFUNCTION("""COMPUTED_VALUE"""),755.0)</f>
        <v>755</v>
      </c>
      <c r="K1886" s="4">
        <f>IFERROR(__xludf.DUMMYFUNCTION("""COMPUTED_VALUE"""),419.0)</f>
        <v>419</v>
      </c>
      <c r="L1886" s="4">
        <f>IFERROR(__xludf.DUMMYFUNCTION("""COMPUTED_VALUE"""),0.436)</f>
        <v>0.436</v>
      </c>
      <c r="M1886" s="4">
        <f>IFERROR(__xludf.DUMMYFUNCTION("""COMPUTED_VALUE"""),0.14)</f>
        <v>0.14</v>
      </c>
      <c r="N1886" s="4">
        <f>IFERROR(__xludf.DUMMYFUNCTION("""COMPUTED_VALUE"""),0.715)</f>
        <v>0.715</v>
      </c>
      <c r="O1886" s="4">
        <f>IFERROR(__xludf.DUMMYFUNCTION("""COMPUTED_VALUE"""),23.8)</f>
        <v>23.8</v>
      </c>
      <c r="P1886" s="4">
        <f>IFERROR(__xludf.DUMMYFUNCTION("""COMPUTED_VALUE"""),7.3)</f>
        <v>7.3</v>
      </c>
      <c r="Q1886" s="4">
        <f>IFERROR(__xludf.DUMMYFUNCTION("""COMPUTED_VALUE"""),2.9)</f>
        <v>2.9</v>
      </c>
      <c r="R1886" s="4">
        <f>IFERROR(__xludf.DUMMYFUNCTION("""COMPUTED_VALUE"""),1.6)</f>
        <v>1.6</v>
      </c>
      <c r="S1886" s="4">
        <f>IFERROR(__xludf.DUMMYFUNCTION("""COMPUTED_VALUE"""),3.3)</f>
        <v>3.3</v>
      </c>
      <c r="T1886" s="4">
        <f>IFERROR(__xludf.DUMMYFUNCTION("""COMPUTED_VALUE"""),0.026)</f>
        <v>0.026</v>
      </c>
      <c r="U1886" s="4">
        <f>IFERROR(__xludf.DUMMYFUNCTION("""COMPUTED_VALUE"""),-2.8)</f>
        <v>-2.8</v>
      </c>
      <c r="V1886" s="4">
        <f>IFERROR(__xludf.DUMMYFUNCTION("""COMPUTED_VALUE"""),-1.3)</f>
        <v>-1.3</v>
      </c>
    </row>
    <row r="1887">
      <c r="A1887" s="4">
        <f>IFERROR(__xludf.DUMMYFUNCTION("""COMPUTED_VALUE"""),46.0)</f>
        <v>46</v>
      </c>
      <c r="B1887" s="4">
        <f>IFERROR(__xludf.DUMMYFUNCTION("""COMPUTED_VALUE"""),46.0)</f>
        <v>46</v>
      </c>
      <c r="C1887" s="4" t="str">
        <f>IFERROR(__xludf.DUMMYFUNCTION("""COMPUTED_VALUE"""),"WAS")</f>
        <v>WAS</v>
      </c>
      <c r="D1887" s="4" t="str">
        <f>IFERROR(__xludf.DUMMYFUNCTION("""COMPUTED_VALUE"""),"God Shammgod")</f>
        <v>God Shammgod</v>
      </c>
      <c r="E1887" s="4" t="str">
        <f>IFERROR(__xludf.DUMMYFUNCTION("""COMPUTED_VALUE"""),"Providence")</f>
        <v>Providence</v>
      </c>
      <c r="F1887" s="4">
        <f>IFERROR(__xludf.DUMMYFUNCTION("""COMPUTED_VALUE"""),1.0)</f>
        <v>1</v>
      </c>
      <c r="G1887" s="4">
        <f>IFERROR(__xludf.DUMMYFUNCTION("""COMPUTED_VALUE"""),20.0)</f>
        <v>20</v>
      </c>
      <c r="H1887" s="4">
        <f>IFERROR(__xludf.DUMMYFUNCTION("""COMPUTED_VALUE"""),146.0)</f>
        <v>146</v>
      </c>
      <c r="I1887" s="4">
        <f>IFERROR(__xludf.DUMMYFUNCTION("""COMPUTED_VALUE"""),61.0)</f>
        <v>61</v>
      </c>
      <c r="J1887" s="4">
        <f>IFERROR(__xludf.DUMMYFUNCTION("""COMPUTED_VALUE"""),7.0)</f>
        <v>7</v>
      </c>
      <c r="K1887" s="4">
        <f>IFERROR(__xludf.DUMMYFUNCTION("""COMPUTED_VALUE"""),36.0)</f>
        <v>36</v>
      </c>
      <c r="L1887" s="4">
        <f>IFERROR(__xludf.DUMMYFUNCTION("""COMPUTED_VALUE"""),0.328)</f>
        <v>0.328</v>
      </c>
      <c r="M1887" s="4">
        <f>IFERROR(__xludf.DUMMYFUNCTION("""COMPUTED_VALUE"""),0.0)</f>
        <v>0</v>
      </c>
      <c r="N1887" s="4">
        <f>IFERROR(__xludf.DUMMYFUNCTION("""COMPUTED_VALUE"""),0.767)</f>
        <v>0.767</v>
      </c>
      <c r="O1887" s="4">
        <f>IFERROR(__xludf.DUMMYFUNCTION("""COMPUTED_VALUE"""),7.3)</f>
        <v>7.3</v>
      </c>
      <c r="P1887" s="4">
        <f>IFERROR(__xludf.DUMMYFUNCTION("""COMPUTED_VALUE"""),3.1)</f>
        <v>3.1</v>
      </c>
      <c r="Q1887" s="4">
        <f>IFERROR(__xludf.DUMMYFUNCTION("""COMPUTED_VALUE"""),0.4)</f>
        <v>0.4</v>
      </c>
      <c r="R1887" s="4">
        <f>IFERROR(__xludf.DUMMYFUNCTION("""COMPUTED_VALUE"""),1.8)</f>
        <v>1.8</v>
      </c>
      <c r="S1887" s="4">
        <f>IFERROR(__xludf.DUMMYFUNCTION("""COMPUTED_VALUE"""),-0.1)</f>
        <v>-0.1</v>
      </c>
      <c r="T1887" s="4">
        <f>IFERROR(__xludf.DUMMYFUNCTION("""COMPUTED_VALUE"""),-0.049)</f>
        <v>-0.049</v>
      </c>
      <c r="U1887" s="4">
        <f>IFERROR(__xludf.DUMMYFUNCTION("""COMPUTED_VALUE"""),-6.2)</f>
        <v>-6.2</v>
      </c>
      <c r="V1887" s="4">
        <f>IFERROR(__xludf.DUMMYFUNCTION("""COMPUTED_VALUE"""),-0.2)</f>
        <v>-0.2</v>
      </c>
    </row>
    <row r="1888">
      <c r="A1888" s="4">
        <f>IFERROR(__xludf.DUMMYFUNCTION("""COMPUTED_VALUE"""),47.0)</f>
        <v>47</v>
      </c>
      <c r="B1888" s="4">
        <f>IFERROR(__xludf.DUMMYFUNCTION("""COMPUTED_VALUE"""),47.0)</f>
        <v>47</v>
      </c>
      <c r="C1888" s="4" t="str">
        <f>IFERROR(__xludf.DUMMYFUNCTION("""COMPUTED_VALUE"""),"ORL")</f>
        <v>ORL</v>
      </c>
      <c r="D1888" s="4" t="str">
        <f>IFERROR(__xludf.DUMMYFUNCTION("""COMPUTED_VALUE"""),"Eric Washington")</f>
        <v>Eric Washington</v>
      </c>
      <c r="E1888" s="4" t="str">
        <f>IFERROR(__xludf.DUMMYFUNCTION("""COMPUTED_VALUE"""),"Alabama")</f>
        <v>Alabama</v>
      </c>
      <c r="F1888" s="4">
        <f>IFERROR(__xludf.DUMMYFUNCTION("""COMPUTED_VALUE"""),2.0)</f>
        <v>2</v>
      </c>
      <c r="G1888" s="4">
        <f>IFERROR(__xludf.DUMMYFUNCTION("""COMPUTED_VALUE"""),104.0)</f>
        <v>104</v>
      </c>
      <c r="H1888" s="4">
        <f>IFERROR(__xludf.DUMMYFUNCTION("""COMPUTED_VALUE"""),2300.0)</f>
        <v>2300</v>
      </c>
      <c r="I1888" s="4">
        <f>IFERROR(__xludf.DUMMYFUNCTION("""COMPUTED_VALUE"""),716.0)</f>
        <v>716</v>
      </c>
      <c r="J1888" s="4">
        <f>IFERROR(__xludf.DUMMYFUNCTION("""COMPUTED_VALUE"""),216.0)</f>
        <v>216</v>
      </c>
      <c r="K1888" s="4">
        <f>IFERROR(__xludf.DUMMYFUNCTION("""COMPUTED_VALUE"""),108.0)</f>
        <v>108</v>
      </c>
      <c r="L1888" s="4">
        <f>IFERROR(__xludf.DUMMYFUNCTION("""COMPUTED_VALUE"""),0.402)</f>
        <v>0.402</v>
      </c>
      <c r="M1888" s="4">
        <f>IFERROR(__xludf.DUMMYFUNCTION("""COMPUTED_VALUE"""),0.346)</f>
        <v>0.346</v>
      </c>
      <c r="N1888" s="4">
        <f>IFERROR(__xludf.DUMMYFUNCTION("""COMPUTED_VALUE"""),0.757)</f>
        <v>0.757</v>
      </c>
      <c r="O1888" s="4">
        <f>IFERROR(__xludf.DUMMYFUNCTION("""COMPUTED_VALUE"""),22.1)</f>
        <v>22.1</v>
      </c>
      <c r="P1888" s="4">
        <f>IFERROR(__xludf.DUMMYFUNCTION("""COMPUTED_VALUE"""),6.9)</f>
        <v>6.9</v>
      </c>
      <c r="Q1888" s="4">
        <f>IFERROR(__xludf.DUMMYFUNCTION("""COMPUTED_VALUE"""),2.1)</f>
        <v>2.1</v>
      </c>
      <c r="R1888" s="4">
        <f>IFERROR(__xludf.DUMMYFUNCTION("""COMPUTED_VALUE"""),1.0)</f>
        <v>1</v>
      </c>
      <c r="S1888" s="4">
        <f>IFERROR(__xludf.DUMMYFUNCTION("""COMPUTED_VALUE"""),0.1)</f>
        <v>0.1</v>
      </c>
      <c r="T1888" s="4">
        <f>IFERROR(__xludf.DUMMYFUNCTION("""COMPUTED_VALUE"""),0.002)</f>
        <v>0.002</v>
      </c>
      <c r="U1888" s="4">
        <f>IFERROR(__xludf.DUMMYFUNCTION("""COMPUTED_VALUE"""),-3.5)</f>
        <v>-3.5</v>
      </c>
      <c r="V1888" s="4">
        <f>IFERROR(__xludf.DUMMYFUNCTION("""COMPUTED_VALUE"""),-0.9)</f>
        <v>-0.9</v>
      </c>
    </row>
    <row r="1889">
      <c r="A1889" s="4">
        <f>IFERROR(__xludf.DUMMYFUNCTION("""COMPUTED_VALUE"""),48.0)</f>
        <v>48</v>
      </c>
      <c r="B1889" s="4">
        <f>IFERROR(__xludf.DUMMYFUNCTION("""COMPUTED_VALUE"""),48.0)</f>
        <v>48</v>
      </c>
      <c r="C1889" s="4" t="str">
        <f>IFERROR(__xludf.DUMMYFUNCTION("""COMPUTED_VALUE"""),"POR")</f>
        <v>POR</v>
      </c>
      <c r="D1889" s="4" t="str">
        <f>IFERROR(__xludf.DUMMYFUNCTION("""COMPUTED_VALUE"""),"Alvin Williams")</f>
        <v>Alvin Williams</v>
      </c>
      <c r="E1889" s="4" t="str">
        <f>IFERROR(__xludf.DUMMYFUNCTION("""COMPUTED_VALUE"""),"Villanova")</f>
        <v>Villanova</v>
      </c>
      <c r="F1889" s="4">
        <f>IFERROR(__xludf.DUMMYFUNCTION("""COMPUTED_VALUE"""),9.0)</f>
        <v>9</v>
      </c>
      <c r="G1889" s="4">
        <f>IFERROR(__xludf.DUMMYFUNCTION("""COMPUTED_VALUE"""),460.0)</f>
        <v>460</v>
      </c>
      <c r="H1889" s="4">
        <f>IFERROR(__xludf.DUMMYFUNCTION("""COMPUTED_VALUE"""),12610.0)</f>
        <v>12610</v>
      </c>
      <c r="I1889" s="4">
        <f>IFERROR(__xludf.DUMMYFUNCTION("""COMPUTED_VALUE"""),4161.0)</f>
        <v>4161</v>
      </c>
      <c r="J1889" s="4">
        <f>IFERROR(__xludf.DUMMYFUNCTION("""COMPUTED_VALUE"""),1140.0)</f>
        <v>1140</v>
      </c>
      <c r="K1889" s="4">
        <f>IFERROR(__xludf.DUMMYFUNCTION("""COMPUTED_VALUE"""),1877.0)</f>
        <v>1877</v>
      </c>
      <c r="L1889" s="4">
        <f>IFERROR(__xludf.DUMMYFUNCTION("""COMPUTED_VALUE"""),0.421)</f>
        <v>0.421</v>
      </c>
      <c r="M1889" s="4">
        <f>IFERROR(__xludf.DUMMYFUNCTION("""COMPUTED_VALUE"""),0.313)</f>
        <v>0.313</v>
      </c>
      <c r="N1889" s="4">
        <f>IFERROR(__xludf.DUMMYFUNCTION("""COMPUTED_VALUE"""),0.76)</f>
        <v>0.76</v>
      </c>
      <c r="O1889" s="4">
        <f>IFERROR(__xludf.DUMMYFUNCTION("""COMPUTED_VALUE"""),27.4)</f>
        <v>27.4</v>
      </c>
      <c r="P1889" s="4">
        <f>IFERROR(__xludf.DUMMYFUNCTION("""COMPUTED_VALUE"""),9.0)</f>
        <v>9</v>
      </c>
      <c r="Q1889" s="4">
        <f>IFERROR(__xludf.DUMMYFUNCTION("""COMPUTED_VALUE"""),2.5)</f>
        <v>2.5</v>
      </c>
      <c r="R1889" s="4">
        <f>IFERROR(__xludf.DUMMYFUNCTION("""COMPUTED_VALUE"""),4.1)</f>
        <v>4.1</v>
      </c>
      <c r="S1889" s="4">
        <f>IFERROR(__xludf.DUMMYFUNCTION("""COMPUTED_VALUE"""),21.7)</f>
        <v>21.7</v>
      </c>
      <c r="T1889" s="4">
        <f>IFERROR(__xludf.DUMMYFUNCTION("""COMPUTED_VALUE"""),0.082)</f>
        <v>0.082</v>
      </c>
      <c r="U1889" s="4">
        <f>IFERROR(__xludf.DUMMYFUNCTION("""COMPUTED_VALUE"""),-0.4)</f>
        <v>-0.4</v>
      </c>
      <c r="V1889" s="4">
        <f>IFERROR(__xludf.DUMMYFUNCTION("""COMPUTED_VALUE"""),4.9)</f>
        <v>4.9</v>
      </c>
    </row>
    <row r="1890">
      <c r="A1890" s="4">
        <f>IFERROR(__xludf.DUMMYFUNCTION("""COMPUTED_VALUE"""),49.0)</f>
        <v>49</v>
      </c>
      <c r="B1890" s="4">
        <f>IFERROR(__xludf.DUMMYFUNCTION("""COMPUTED_VALUE"""),49.0)</f>
        <v>49</v>
      </c>
      <c r="C1890" s="4" t="str">
        <f>IFERROR(__xludf.DUMMYFUNCTION("""COMPUTED_VALUE"""),"WAS")</f>
        <v>WAS</v>
      </c>
      <c r="D1890" s="4" t="str">
        <f>IFERROR(__xludf.DUMMYFUNCTION("""COMPUTED_VALUE"""),"Predrag Drobnjak")</f>
        <v>Predrag Drobnjak</v>
      </c>
      <c r="E1890" s="4"/>
      <c r="F1890" s="4">
        <f>IFERROR(__xludf.DUMMYFUNCTION("""COMPUTED_VALUE"""),4.0)</f>
        <v>4</v>
      </c>
      <c r="G1890" s="4">
        <f>IFERROR(__xludf.DUMMYFUNCTION("""COMPUTED_VALUE"""),278.0)</f>
        <v>278</v>
      </c>
      <c r="H1890" s="4">
        <f>IFERROR(__xludf.DUMMYFUNCTION("""COMPUTED_VALUE"""),5542.0)</f>
        <v>5542</v>
      </c>
      <c r="I1890" s="4">
        <f>IFERROR(__xludf.DUMMYFUNCTION("""COMPUTED_VALUE"""),2187.0)</f>
        <v>2187</v>
      </c>
      <c r="J1890" s="4">
        <f>IFERROR(__xludf.DUMMYFUNCTION("""COMPUTED_VALUE"""),973.0)</f>
        <v>973</v>
      </c>
      <c r="K1890" s="4">
        <f>IFERROR(__xludf.DUMMYFUNCTION("""COMPUTED_VALUE"""),225.0)</f>
        <v>225</v>
      </c>
      <c r="L1890" s="4">
        <f>IFERROR(__xludf.DUMMYFUNCTION("""COMPUTED_VALUE"""),0.425)</f>
        <v>0.425</v>
      </c>
      <c r="M1890" s="4">
        <f>IFERROR(__xludf.DUMMYFUNCTION("""COMPUTED_VALUE"""),0.34)</f>
        <v>0.34</v>
      </c>
      <c r="N1890" s="4">
        <f>IFERROR(__xludf.DUMMYFUNCTION("""COMPUTED_VALUE"""),0.799)</f>
        <v>0.799</v>
      </c>
      <c r="O1890" s="4">
        <f>IFERROR(__xludf.DUMMYFUNCTION("""COMPUTED_VALUE"""),19.9)</f>
        <v>19.9</v>
      </c>
      <c r="P1890" s="4">
        <f>IFERROR(__xludf.DUMMYFUNCTION("""COMPUTED_VALUE"""),7.9)</f>
        <v>7.9</v>
      </c>
      <c r="Q1890" s="4">
        <f>IFERROR(__xludf.DUMMYFUNCTION("""COMPUTED_VALUE"""),3.5)</f>
        <v>3.5</v>
      </c>
      <c r="R1890" s="4">
        <f>IFERROR(__xludf.DUMMYFUNCTION("""COMPUTED_VALUE"""),0.8)</f>
        <v>0.8</v>
      </c>
      <c r="S1890" s="4">
        <f>IFERROR(__xludf.DUMMYFUNCTION("""COMPUTED_VALUE"""),5.6)</f>
        <v>5.6</v>
      </c>
      <c r="T1890" s="4">
        <f>IFERROR(__xludf.DUMMYFUNCTION("""COMPUTED_VALUE"""),0.048)</f>
        <v>0.048</v>
      </c>
      <c r="U1890" s="4">
        <f>IFERROR(__xludf.DUMMYFUNCTION("""COMPUTED_VALUE"""),-3.0)</f>
        <v>-3</v>
      </c>
      <c r="V1890" s="4">
        <f>IFERROR(__xludf.DUMMYFUNCTION("""COMPUTED_VALUE"""),-1.3)</f>
        <v>-1.3</v>
      </c>
    </row>
    <row r="1891">
      <c r="A1891" s="4">
        <f>IFERROR(__xludf.DUMMYFUNCTION("""COMPUTED_VALUE"""),50.0)</f>
        <v>50</v>
      </c>
      <c r="B1891" s="4">
        <f>IFERROR(__xludf.DUMMYFUNCTION("""COMPUTED_VALUE"""),50.0)</f>
        <v>50</v>
      </c>
      <c r="C1891" s="4" t="str">
        <f>IFERROR(__xludf.DUMMYFUNCTION("""COMPUTED_VALUE"""),"ATL")</f>
        <v>ATL</v>
      </c>
      <c r="D1891" s="4" t="str">
        <f>IFERROR(__xludf.DUMMYFUNCTION("""COMPUTED_VALUE"""),"Alain Digbeu")</f>
        <v>Alain Digbeu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</row>
    <row r="1892">
      <c r="A1892" s="4">
        <f>IFERROR(__xludf.DUMMYFUNCTION("""COMPUTED_VALUE"""),51.0)</f>
        <v>51</v>
      </c>
      <c r="B1892" s="4">
        <f>IFERROR(__xludf.DUMMYFUNCTION("""COMPUTED_VALUE"""),51.0)</f>
        <v>51</v>
      </c>
      <c r="C1892" s="4" t="str">
        <f>IFERROR(__xludf.DUMMYFUNCTION("""COMPUTED_VALUE"""),"ATL")</f>
        <v>ATL</v>
      </c>
      <c r="D1892" s="4" t="str">
        <f>IFERROR(__xludf.DUMMYFUNCTION("""COMPUTED_VALUE"""),"Chris Crawford")</f>
        <v>Chris Crawford</v>
      </c>
      <c r="E1892" s="4" t="str">
        <f>IFERROR(__xludf.DUMMYFUNCTION("""COMPUTED_VALUE"""),"Marquette")</f>
        <v>Marquette</v>
      </c>
      <c r="F1892" s="4">
        <f>IFERROR(__xludf.DUMMYFUNCTION("""COMPUTED_VALUE"""),7.0)</f>
        <v>7</v>
      </c>
      <c r="G1892" s="4">
        <f>IFERROR(__xludf.DUMMYFUNCTION("""COMPUTED_VALUE"""),252.0)</f>
        <v>252</v>
      </c>
      <c r="H1892" s="4">
        <f>IFERROR(__xludf.DUMMYFUNCTION("""COMPUTED_VALUE"""),3985.0)</f>
        <v>3985</v>
      </c>
      <c r="I1892" s="4">
        <f>IFERROR(__xludf.DUMMYFUNCTION("""COMPUTED_VALUE"""),1654.0)</f>
        <v>1654</v>
      </c>
      <c r="J1892" s="4">
        <f>IFERROR(__xludf.DUMMYFUNCTION("""COMPUTED_VALUE"""),547.0)</f>
        <v>547</v>
      </c>
      <c r="K1892" s="4">
        <f>IFERROR(__xludf.DUMMYFUNCTION("""COMPUTED_VALUE"""),154.0)</f>
        <v>154</v>
      </c>
      <c r="L1892" s="4">
        <f>IFERROR(__xludf.DUMMYFUNCTION("""COMPUTED_VALUE"""),0.437)</f>
        <v>0.437</v>
      </c>
      <c r="M1892" s="4">
        <f>IFERROR(__xludf.DUMMYFUNCTION("""COMPUTED_VALUE"""),0.347)</f>
        <v>0.347</v>
      </c>
      <c r="N1892" s="4">
        <f>IFERROR(__xludf.DUMMYFUNCTION("""COMPUTED_VALUE"""),0.824)</f>
        <v>0.824</v>
      </c>
      <c r="O1892" s="4">
        <f>IFERROR(__xludf.DUMMYFUNCTION("""COMPUTED_VALUE"""),15.8)</f>
        <v>15.8</v>
      </c>
      <c r="P1892" s="4">
        <f>IFERROR(__xludf.DUMMYFUNCTION("""COMPUTED_VALUE"""),6.6)</f>
        <v>6.6</v>
      </c>
      <c r="Q1892" s="4">
        <f>IFERROR(__xludf.DUMMYFUNCTION("""COMPUTED_VALUE"""),2.2)</f>
        <v>2.2</v>
      </c>
      <c r="R1892" s="4">
        <f>IFERROR(__xludf.DUMMYFUNCTION("""COMPUTED_VALUE"""),0.6)</f>
        <v>0.6</v>
      </c>
      <c r="S1892" s="4">
        <f>IFERROR(__xludf.DUMMYFUNCTION("""COMPUTED_VALUE"""),6.5)</f>
        <v>6.5</v>
      </c>
      <c r="T1892" s="4">
        <f>IFERROR(__xludf.DUMMYFUNCTION("""COMPUTED_VALUE"""),0.078)</f>
        <v>0.078</v>
      </c>
      <c r="U1892" s="4">
        <f>IFERROR(__xludf.DUMMYFUNCTION("""COMPUTED_VALUE"""),-2.6)</f>
        <v>-2.6</v>
      </c>
      <c r="V1892" s="4">
        <f>IFERROR(__xludf.DUMMYFUNCTION("""COMPUTED_VALUE"""),-0.6)</f>
        <v>-0.6</v>
      </c>
    </row>
    <row r="1893">
      <c r="A1893" s="4">
        <f>IFERROR(__xludf.DUMMYFUNCTION("""COMPUTED_VALUE"""),52.0)</f>
        <v>52</v>
      </c>
      <c r="B1893" s="4">
        <f>IFERROR(__xludf.DUMMYFUNCTION("""COMPUTED_VALUE"""),52.0)</f>
        <v>52</v>
      </c>
      <c r="C1893" s="4" t="str">
        <f>IFERROR(__xludf.DUMMYFUNCTION("""COMPUTED_VALUE"""),"LAL")</f>
        <v>LAL</v>
      </c>
      <c r="D1893" s="4" t="str">
        <f>IFERROR(__xludf.DUMMYFUNCTION("""COMPUTED_VALUE"""),"DeJuan Wheat")</f>
        <v>DeJuan Wheat</v>
      </c>
      <c r="E1893" s="4" t="str">
        <f>IFERROR(__xludf.DUMMYFUNCTION("""COMPUTED_VALUE"""),"Louisville")</f>
        <v>Louisville</v>
      </c>
      <c r="F1893" s="4">
        <f>IFERROR(__xludf.DUMMYFUNCTION("""COMPUTED_VALUE"""),2.0)</f>
        <v>2</v>
      </c>
      <c r="G1893" s="4">
        <f>IFERROR(__xludf.DUMMYFUNCTION("""COMPUTED_VALUE"""),80.0)</f>
        <v>80</v>
      </c>
      <c r="H1893" s="4">
        <f>IFERROR(__xludf.DUMMYFUNCTION("""COMPUTED_VALUE"""),740.0)</f>
        <v>740</v>
      </c>
      <c r="I1893" s="4">
        <f>IFERROR(__xludf.DUMMYFUNCTION("""COMPUTED_VALUE"""),265.0)</f>
        <v>265</v>
      </c>
      <c r="J1893" s="4">
        <f>IFERROR(__xludf.DUMMYFUNCTION("""COMPUTED_VALUE"""),56.0)</f>
        <v>56</v>
      </c>
      <c r="K1893" s="4">
        <f>IFERROR(__xludf.DUMMYFUNCTION("""COMPUTED_VALUE"""),127.0)</f>
        <v>127</v>
      </c>
      <c r="L1893" s="4">
        <f>IFERROR(__xludf.DUMMYFUNCTION("""COMPUTED_VALUE"""),0.383)</f>
        <v>0.383</v>
      </c>
      <c r="M1893" s="4">
        <f>IFERROR(__xludf.DUMMYFUNCTION("""COMPUTED_VALUE"""),0.39)</f>
        <v>0.39</v>
      </c>
      <c r="N1893" s="4">
        <f>IFERROR(__xludf.DUMMYFUNCTION("""COMPUTED_VALUE"""),0.7)</f>
        <v>0.7</v>
      </c>
      <c r="O1893" s="4">
        <f>IFERROR(__xludf.DUMMYFUNCTION("""COMPUTED_VALUE"""),9.3)</f>
        <v>9.3</v>
      </c>
      <c r="P1893" s="4">
        <f>IFERROR(__xludf.DUMMYFUNCTION("""COMPUTED_VALUE"""),3.3)</f>
        <v>3.3</v>
      </c>
      <c r="Q1893" s="4">
        <f>IFERROR(__xludf.DUMMYFUNCTION("""COMPUTED_VALUE"""),0.7)</f>
        <v>0.7</v>
      </c>
      <c r="R1893" s="4">
        <f>IFERROR(__xludf.DUMMYFUNCTION("""COMPUTED_VALUE"""),1.6)</f>
        <v>1.6</v>
      </c>
      <c r="S1893" s="4">
        <f>IFERROR(__xludf.DUMMYFUNCTION("""COMPUTED_VALUE"""),0.5)</f>
        <v>0.5</v>
      </c>
      <c r="T1893" s="4">
        <f>IFERROR(__xludf.DUMMYFUNCTION("""COMPUTED_VALUE"""),0.034)</f>
        <v>0.034</v>
      </c>
      <c r="U1893" s="4">
        <f>IFERROR(__xludf.DUMMYFUNCTION("""COMPUTED_VALUE"""),-1.9)</f>
        <v>-1.9</v>
      </c>
      <c r="V1893" s="4">
        <f>IFERROR(__xludf.DUMMYFUNCTION("""COMPUTED_VALUE"""),0.0)</f>
        <v>0</v>
      </c>
    </row>
    <row r="1894">
      <c r="A1894" s="4">
        <f>IFERROR(__xludf.DUMMYFUNCTION("""COMPUTED_VALUE"""),53.0)</f>
        <v>53</v>
      </c>
      <c r="B1894" s="4">
        <f>IFERROR(__xludf.DUMMYFUNCTION("""COMPUTED_VALUE"""),53.0)</f>
        <v>53</v>
      </c>
      <c r="C1894" s="4" t="str">
        <f>IFERROR(__xludf.DUMMYFUNCTION("""COMPUTED_VALUE"""),"VAN")</f>
        <v>VAN</v>
      </c>
      <c r="D1894" s="4" t="str">
        <f>IFERROR(__xludf.DUMMYFUNCTION("""COMPUTED_VALUE"""),"C.J. Bruton")</f>
        <v>C.J. Bruton</v>
      </c>
      <c r="E1894" s="4" t="str">
        <f>IFERROR(__xludf.DUMMYFUNCTION("""COMPUTED_VALUE"""),"Indian Hills Community College")</f>
        <v>Indian Hills Community College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</row>
    <row r="1895">
      <c r="A1895" s="4">
        <f>IFERROR(__xludf.DUMMYFUNCTION("""COMPUTED_VALUE"""),54.0)</f>
        <v>54</v>
      </c>
      <c r="B1895" s="4">
        <f>IFERROR(__xludf.DUMMYFUNCTION("""COMPUTED_VALUE"""),54.0)</f>
        <v>54</v>
      </c>
      <c r="C1895" s="4" t="str">
        <f>IFERROR(__xludf.DUMMYFUNCTION("""COMPUTED_VALUE"""),"LAL")</f>
        <v>LAL</v>
      </c>
      <c r="D1895" s="4" t="str">
        <f>IFERROR(__xludf.DUMMYFUNCTION("""COMPUTED_VALUE"""),"Paul Rogers")</f>
        <v>Paul Rogers</v>
      </c>
      <c r="E1895" s="4" t="str">
        <f>IFERROR(__xludf.DUMMYFUNCTION("""COMPUTED_VALUE"""),"Gonzaga")</f>
        <v>Gonzaga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</row>
    <row r="1896">
      <c r="A1896" s="4">
        <f>IFERROR(__xludf.DUMMYFUNCTION("""COMPUTED_VALUE"""),55.0)</f>
        <v>55</v>
      </c>
      <c r="B1896" s="4">
        <f>IFERROR(__xludf.DUMMYFUNCTION("""COMPUTED_VALUE"""),55.0)</f>
        <v>55</v>
      </c>
      <c r="C1896" s="4" t="str">
        <f>IFERROR(__xludf.DUMMYFUNCTION("""COMPUTED_VALUE"""),"SEA")</f>
        <v>SEA</v>
      </c>
      <c r="D1896" s="4" t="str">
        <f>IFERROR(__xludf.DUMMYFUNCTION("""COMPUTED_VALUE"""),"Mark Blount")</f>
        <v>Mark Blount</v>
      </c>
      <c r="E1896" s="4" t="str">
        <f>IFERROR(__xludf.DUMMYFUNCTION("""COMPUTED_VALUE"""),"Pitt")</f>
        <v>Pitt</v>
      </c>
      <c r="F1896" s="4">
        <f>IFERROR(__xludf.DUMMYFUNCTION("""COMPUTED_VALUE"""),9.0)</f>
        <v>9</v>
      </c>
      <c r="G1896" s="4">
        <f>IFERROR(__xludf.DUMMYFUNCTION("""COMPUTED_VALUE"""),605.0)</f>
        <v>605</v>
      </c>
      <c r="H1896" s="4">
        <f>IFERROR(__xludf.DUMMYFUNCTION("""COMPUTED_VALUE"""),13981.0)</f>
        <v>13981</v>
      </c>
      <c r="I1896" s="4">
        <f>IFERROR(__xludf.DUMMYFUNCTION("""COMPUTED_VALUE"""),4941.0)</f>
        <v>4941</v>
      </c>
      <c r="J1896" s="4">
        <f>IFERROR(__xludf.DUMMYFUNCTION("""COMPUTED_VALUE"""),2784.0)</f>
        <v>2784</v>
      </c>
      <c r="K1896" s="4">
        <f>IFERROR(__xludf.DUMMYFUNCTION("""COMPUTED_VALUE"""),513.0)</f>
        <v>513</v>
      </c>
      <c r="L1896" s="4">
        <f>IFERROR(__xludf.DUMMYFUNCTION("""COMPUTED_VALUE"""),0.504)</f>
        <v>0.504</v>
      </c>
      <c r="M1896" s="4">
        <f>IFERROR(__xludf.DUMMYFUNCTION("""COMPUTED_VALUE"""),0.359)</f>
        <v>0.359</v>
      </c>
      <c r="N1896" s="4">
        <f>IFERROR(__xludf.DUMMYFUNCTION("""COMPUTED_VALUE"""),0.723)</f>
        <v>0.723</v>
      </c>
      <c r="O1896" s="4">
        <f>IFERROR(__xludf.DUMMYFUNCTION("""COMPUTED_VALUE"""),23.1)</f>
        <v>23.1</v>
      </c>
      <c r="P1896" s="4">
        <f>IFERROR(__xludf.DUMMYFUNCTION("""COMPUTED_VALUE"""),8.2)</f>
        <v>8.2</v>
      </c>
      <c r="Q1896" s="4">
        <f>IFERROR(__xludf.DUMMYFUNCTION("""COMPUTED_VALUE"""),4.6)</f>
        <v>4.6</v>
      </c>
      <c r="R1896" s="4">
        <f>IFERROR(__xludf.DUMMYFUNCTION("""COMPUTED_VALUE"""),0.8)</f>
        <v>0.8</v>
      </c>
      <c r="S1896" s="4">
        <f>IFERROR(__xludf.DUMMYFUNCTION("""COMPUTED_VALUE"""),18.8)</f>
        <v>18.8</v>
      </c>
      <c r="T1896" s="4">
        <f>IFERROR(__xludf.DUMMYFUNCTION("""COMPUTED_VALUE"""),0.065)</f>
        <v>0.065</v>
      </c>
      <c r="U1896" s="4">
        <f>IFERROR(__xludf.DUMMYFUNCTION("""COMPUTED_VALUE"""),-2.7)</f>
        <v>-2.7</v>
      </c>
      <c r="V1896" s="4">
        <f>IFERROR(__xludf.DUMMYFUNCTION("""COMPUTED_VALUE"""),-2.5)</f>
        <v>-2.5</v>
      </c>
    </row>
    <row r="1897">
      <c r="A1897" s="4">
        <f>IFERROR(__xludf.DUMMYFUNCTION("""COMPUTED_VALUE"""),56.0)</f>
        <v>56</v>
      </c>
      <c r="B1897" s="4">
        <f>IFERROR(__xludf.DUMMYFUNCTION("""COMPUTED_VALUE"""),56.0)</f>
        <v>56</v>
      </c>
      <c r="C1897" s="4" t="str">
        <f>IFERROR(__xludf.DUMMYFUNCTION("""COMPUTED_VALUE"""),"BOS")</f>
        <v>BOS</v>
      </c>
      <c r="D1897" s="4" t="str">
        <f>IFERROR(__xludf.DUMMYFUNCTION("""COMPUTED_VALUE"""),"Ben Pepper")</f>
        <v>Ben Pepper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</row>
    <row r="1898">
      <c r="A1898" s="4">
        <f>IFERROR(__xludf.DUMMYFUNCTION("""COMPUTED_VALUE"""),57.0)</f>
        <v>57</v>
      </c>
      <c r="B1898" s="4">
        <f>IFERROR(__xludf.DUMMYFUNCTION("""COMPUTED_VALUE"""),57.0)</f>
        <v>57</v>
      </c>
      <c r="C1898" s="4" t="str">
        <f>IFERROR(__xludf.DUMMYFUNCTION("""COMPUTED_VALUE"""),"UTA")</f>
        <v>UTA</v>
      </c>
      <c r="D1898" s="4" t="str">
        <f>IFERROR(__xludf.DUMMYFUNCTION("""COMPUTED_VALUE"""),"Nate Erdmann")</f>
        <v>Nate Erdmann</v>
      </c>
      <c r="E1898" s="4" t="str">
        <f>IFERROR(__xludf.DUMMYFUNCTION("""COMPUTED_VALUE"""),"Oklahoma")</f>
        <v>Oklahoma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</row>
    <row r="1899">
      <c r="A1899" s="4">
        <f>IFERROR(__xludf.DUMMYFUNCTION("""COMPUTED_VALUE"""),58.0)</f>
        <v>58</v>
      </c>
      <c r="B1899" s="4">
        <f>IFERROR(__xludf.DUMMYFUNCTION("""COMPUTED_VALUE"""),58.0)</f>
        <v>58</v>
      </c>
      <c r="C1899" s="4" t="str">
        <f>IFERROR(__xludf.DUMMYFUNCTION("""COMPUTED_VALUE"""),"CHI")</f>
        <v>CHI</v>
      </c>
      <c r="D1899" s="4" t="str">
        <f>IFERROR(__xludf.DUMMYFUNCTION("""COMPUTED_VALUE"""),"Roberto Duenas")</f>
        <v>Roberto Duenas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</row>
    <row r="1901">
      <c r="A1901" s="2">
        <v>1996.0</v>
      </c>
    </row>
    <row r="1902">
      <c r="A1902" s="4" t="str">
        <f>IFERROR(__xludf.DUMMYFUNCTION("IMPORTHTML(""https://www.basketball-reference.com/draft/NBA_1996.html"", ""table"", 1)"),"")</f>
        <v/>
      </c>
      <c r="B1902" s="4"/>
      <c r="C1902" s="4"/>
      <c r="D1902" s="4" t="str">
        <f>IFERROR(__xludf.DUMMYFUNCTION("""COMPUTED_VALUE"""),"Round 1")</f>
        <v>Round 1</v>
      </c>
      <c r="E1902" s="4"/>
      <c r="F1902" s="4"/>
      <c r="G1902" s="4" t="str">
        <f>IFERROR(__xludf.DUMMYFUNCTION("""COMPUTED_VALUE"""),"Totals")</f>
        <v>Totals</v>
      </c>
      <c r="H1902" s="4"/>
      <c r="I1902" s="4"/>
      <c r="J1902" s="4"/>
      <c r="K1902" s="4"/>
      <c r="L1902" s="4" t="str">
        <f>IFERROR(__xludf.DUMMYFUNCTION("""COMPUTED_VALUE"""),"Shooting")</f>
        <v>Shooting</v>
      </c>
      <c r="M1902" s="4"/>
      <c r="N1902" s="4"/>
      <c r="O1902" s="4" t="str">
        <f>IFERROR(__xludf.DUMMYFUNCTION("""COMPUTED_VALUE"""),"Per Game")</f>
        <v>Per Game</v>
      </c>
      <c r="P1902" s="4"/>
      <c r="Q1902" s="4"/>
      <c r="R1902" s="4"/>
      <c r="S1902" s="4" t="str">
        <f>IFERROR(__xludf.DUMMYFUNCTION("""COMPUTED_VALUE"""),"Advanced")</f>
        <v>Advanced</v>
      </c>
      <c r="T1902" s="4"/>
      <c r="U1902" s="4"/>
      <c r="V1902" s="4"/>
    </row>
    <row r="1903">
      <c r="A1903" s="4" t="str">
        <f>IFERROR(__xludf.DUMMYFUNCTION("""COMPUTED_VALUE"""),"Rk")</f>
        <v>Rk</v>
      </c>
      <c r="B1903" s="4" t="str">
        <f>IFERROR(__xludf.DUMMYFUNCTION("""COMPUTED_VALUE"""),"Pk")</f>
        <v>Pk</v>
      </c>
      <c r="C1903" s="4" t="str">
        <f>IFERROR(__xludf.DUMMYFUNCTION("""COMPUTED_VALUE"""),"Tm")</f>
        <v>Tm</v>
      </c>
      <c r="D1903" s="4" t="str">
        <f>IFERROR(__xludf.DUMMYFUNCTION("""COMPUTED_VALUE"""),"Player")</f>
        <v>Player</v>
      </c>
      <c r="E1903" s="4" t="str">
        <f>IFERROR(__xludf.DUMMYFUNCTION("""COMPUTED_VALUE"""),"College")</f>
        <v>College</v>
      </c>
      <c r="F1903" s="4" t="str">
        <f>IFERROR(__xludf.DUMMYFUNCTION("""COMPUTED_VALUE"""),"Yrs")</f>
        <v>Yrs</v>
      </c>
      <c r="G1903" s="4" t="str">
        <f>IFERROR(__xludf.DUMMYFUNCTION("""COMPUTED_VALUE"""),"G")</f>
        <v>G</v>
      </c>
      <c r="H1903" s="4" t="str">
        <f>IFERROR(__xludf.DUMMYFUNCTION("""COMPUTED_VALUE"""),"MP")</f>
        <v>MP</v>
      </c>
      <c r="I1903" s="4" t="str">
        <f>IFERROR(__xludf.DUMMYFUNCTION("""COMPUTED_VALUE"""),"PTS")</f>
        <v>PTS</v>
      </c>
      <c r="J1903" s="4" t="str">
        <f>IFERROR(__xludf.DUMMYFUNCTION("""COMPUTED_VALUE"""),"TRB")</f>
        <v>TRB</v>
      </c>
      <c r="K1903" s="4" t="str">
        <f>IFERROR(__xludf.DUMMYFUNCTION("""COMPUTED_VALUE"""),"AST")</f>
        <v>AST</v>
      </c>
      <c r="L1903" s="4" t="str">
        <f>IFERROR(__xludf.DUMMYFUNCTION("""COMPUTED_VALUE"""),"FG%")</f>
        <v>FG%</v>
      </c>
      <c r="M1903" s="4" t="str">
        <f>IFERROR(__xludf.DUMMYFUNCTION("""COMPUTED_VALUE"""),"3P%")</f>
        <v>3P%</v>
      </c>
      <c r="N1903" s="4" t="str">
        <f>IFERROR(__xludf.DUMMYFUNCTION("""COMPUTED_VALUE"""),"FT%")</f>
        <v>FT%</v>
      </c>
      <c r="O1903" s="4" t="str">
        <f>IFERROR(__xludf.DUMMYFUNCTION("""COMPUTED_VALUE"""),"MP")</f>
        <v>MP</v>
      </c>
      <c r="P1903" s="4" t="str">
        <f>IFERROR(__xludf.DUMMYFUNCTION("""COMPUTED_VALUE"""),"PTS")</f>
        <v>PTS</v>
      </c>
      <c r="Q1903" s="4" t="str">
        <f>IFERROR(__xludf.DUMMYFUNCTION("""COMPUTED_VALUE"""),"TRB")</f>
        <v>TRB</v>
      </c>
      <c r="R1903" s="4" t="str">
        <f>IFERROR(__xludf.DUMMYFUNCTION("""COMPUTED_VALUE"""),"AST")</f>
        <v>AST</v>
      </c>
      <c r="S1903" s="4" t="str">
        <f>IFERROR(__xludf.DUMMYFUNCTION("""COMPUTED_VALUE"""),"WS")</f>
        <v>WS</v>
      </c>
      <c r="T1903" s="4" t="str">
        <f>IFERROR(__xludf.DUMMYFUNCTION("""COMPUTED_VALUE"""),"WS/48")</f>
        <v>WS/48</v>
      </c>
      <c r="U1903" s="4" t="str">
        <f>IFERROR(__xludf.DUMMYFUNCTION("""COMPUTED_VALUE"""),"BPM")</f>
        <v>BPM</v>
      </c>
      <c r="V1903" s="4" t="str">
        <f>IFERROR(__xludf.DUMMYFUNCTION("""COMPUTED_VALUE"""),"VORP")</f>
        <v>VORP</v>
      </c>
    </row>
    <row r="1904">
      <c r="A1904" s="4">
        <f>IFERROR(__xludf.DUMMYFUNCTION("""COMPUTED_VALUE"""),1.0)</f>
        <v>1</v>
      </c>
      <c r="B1904" s="4">
        <f>IFERROR(__xludf.DUMMYFUNCTION("""COMPUTED_VALUE"""),1.0)</f>
        <v>1</v>
      </c>
      <c r="C1904" s="4" t="str">
        <f>IFERROR(__xludf.DUMMYFUNCTION("""COMPUTED_VALUE"""),"PHI")</f>
        <v>PHI</v>
      </c>
      <c r="D1904" s="4" t="str">
        <f>IFERROR(__xludf.DUMMYFUNCTION("""COMPUTED_VALUE"""),"Allen Iverson")</f>
        <v>Allen Iverson</v>
      </c>
      <c r="E1904" s="4" t="str">
        <f>IFERROR(__xludf.DUMMYFUNCTION("""COMPUTED_VALUE"""),"Georgetown")</f>
        <v>Georgetown</v>
      </c>
      <c r="F1904" s="4">
        <f>IFERROR(__xludf.DUMMYFUNCTION("""COMPUTED_VALUE"""),14.0)</f>
        <v>14</v>
      </c>
      <c r="G1904" s="4">
        <f>IFERROR(__xludf.DUMMYFUNCTION("""COMPUTED_VALUE"""),914.0)</f>
        <v>914</v>
      </c>
      <c r="H1904" s="4">
        <f>IFERROR(__xludf.DUMMYFUNCTION("""COMPUTED_VALUE"""),37584.0)</f>
        <v>37584</v>
      </c>
      <c r="I1904" s="4">
        <f>IFERROR(__xludf.DUMMYFUNCTION("""COMPUTED_VALUE"""),24368.0)</f>
        <v>24368</v>
      </c>
      <c r="J1904" s="4">
        <f>IFERROR(__xludf.DUMMYFUNCTION("""COMPUTED_VALUE"""),3394.0)</f>
        <v>3394</v>
      </c>
      <c r="K1904" s="4">
        <f>IFERROR(__xludf.DUMMYFUNCTION("""COMPUTED_VALUE"""),5624.0)</f>
        <v>5624</v>
      </c>
      <c r="L1904" s="4">
        <f>IFERROR(__xludf.DUMMYFUNCTION("""COMPUTED_VALUE"""),0.425)</f>
        <v>0.425</v>
      </c>
      <c r="M1904" s="4">
        <f>IFERROR(__xludf.DUMMYFUNCTION("""COMPUTED_VALUE"""),0.313)</f>
        <v>0.313</v>
      </c>
      <c r="N1904" s="4">
        <f>IFERROR(__xludf.DUMMYFUNCTION("""COMPUTED_VALUE"""),0.78)</f>
        <v>0.78</v>
      </c>
      <c r="O1904" s="4">
        <f>IFERROR(__xludf.DUMMYFUNCTION("""COMPUTED_VALUE"""),41.1)</f>
        <v>41.1</v>
      </c>
      <c r="P1904" s="4">
        <f>IFERROR(__xludf.DUMMYFUNCTION("""COMPUTED_VALUE"""),26.7)</f>
        <v>26.7</v>
      </c>
      <c r="Q1904" s="4">
        <f>IFERROR(__xludf.DUMMYFUNCTION("""COMPUTED_VALUE"""),3.7)</f>
        <v>3.7</v>
      </c>
      <c r="R1904" s="4">
        <f>IFERROR(__xludf.DUMMYFUNCTION("""COMPUTED_VALUE"""),6.2)</f>
        <v>6.2</v>
      </c>
      <c r="S1904" s="4">
        <f>IFERROR(__xludf.DUMMYFUNCTION("""COMPUTED_VALUE"""),99.0)</f>
        <v>99</v>
      </c>
      <c r="T1904" s="4">
        <f>IFERROR(__xludf.DUMMYFUNCTION("""COMPUTED_VALUE"""),0.126)</f>
        <v>0.126</v>
      </c>
      <c r="U1904" s="4">
        <f>IFERROR(__xludf.DUMMYFUNCTION("""COMPUTED_VALUE"""),3.2)</f>
        <v>3.2</v>
      </c>
      <c r="V1904" s="4">
        <f>IFERROR(__xludf.DUMMYFUNCTION("""COMPUTED_VALUE"""),49.6)</f>
        <v>49.6</v>
      </c>
    </row>
    <row r="1905">
      <c r="A1905" s="4">
        <f>IFERROR(__xludf.DUMMYFUNCTION("""COMPUTED_VALUE"""),2.0)</f>
        <v>2</v>
      </c>
      <c r="B1905" s="4">
        <f>IFERROR(__xludf.DUMMYFUNCTION("""COMPUTED_VALUE"""),2.0)</f>
        <v>2</v>
      </c>
      <c r="C1905" s="4" t="str">
        <f>IFERROR(__xludf.DUMMYFUNCTION("""COMPUTED_VALUE"""),"TOR")</f>
        <v>TOR</v>
      </c>
      <c r="D1905" s="4" t="str">
        <f>IFERROR(__xludf.DUMMYFUNCTION("""COMPUTED_VALUE"""),"Marcus Camby")</f>
        <v>Marcus Camby</v>
      </c>
      <c r="E1905" s="4" t="str">
        <f>IFERROR(__xludf.DUMMYFUNCTION("""COMPUTED_VALUE"""),"UMass")</f>
        <v>UMass</v>
      </c>
      <c r="F1905" s="4">
        <f>IFERROR(__xludf.DUMMYFUNCTION("""COMPUTED_VALUE"""),17.0)</f>
        <v>17</v>
      </c>
      <c r="G1905" s="4">
        <f>IFERROR(__xludf.DUMMYFUNCTION("""COMPUTED_VALUE"""),973.0)</f>
        <v>973</v>
      </c>
      <c r="H1905" s="4">
        <f>IFERROR(__xludf.DUMMYFUNCTION("""COMPUTED_VALUE"""),28684.0)</f>
        <v>28684</v>
      </c>
      <c r="I1905" s="4">
        <f>IFERROR(__xludf.DUMMYFUNCTION("""COMPUTED_VALUE"""),9262.0)</f>
        <v>9262</v>
      </c>
      <c r="J1905" s="4">
        <f>IFERROR(__xludf.DUMMYFUNCTION("""COMPUTED_VALUE"""),9513.0)</f>
        <v>9513</v>
      </c>
      <c r="K1905" s="4">
        <f>IFERROR(__xludf.DUMMYFUNCTION("""COMPUTED_VALUE"""),1837.0)</f>
        <v>1837</v>
      </c>
      <c r="L1905" s="4">
        <f>IFERROR(__xludf.DUMMYFUNCTION("""COMPUTED_VALUE"""),0.466)</f>
        <v>0.466</v>
      </c>
      <c r="M1905" s="4">
        <f>IFERROR(__xludf.DUMMYFUNCTION("""COMPUTED_VALUE"""),0.205)</f>
        <v>0.205</v>
      </c>
      <c r="N1905" s="4">
        <f>IFERROR(__xludf.DUMMYFUNCTION("""COMPUTED_VALUE"""),0.67)</f>
        <v>0.67</v>
      </c>
      <c r="O1905" s="4">
        <f>IFERROR(__xludf.DUMMYFUNCTION("""COMPUTED_VALUE"""),29.5)</f>
        <v>29.5</v>
      </c>
      <c r="P1905" s="4">
        <f>IFERROR(__xludf.DUMMYFUNCTION("""COMPUTED_VALUE"""),9.5)</f>
        <v>9.5</v>
      </c>
      <c r="Q1905" s="4">
        <f>IFERROR(__xludf.DUMMYFUNCTION("""COMPUTED_VALUE"""),9.8)</f>
        <v>9.8</v>
      </c>
      <c r="R1905" s="4">
        <f>IFERROR(__xludf.DUMMYFUNCTION("""COMPUTED_VALUE"""),1.9)</f>
        <v>1.9</v>
      </c>
      <c r="S1905" s="4">
        <f>IFERROR(__xludf.DUMMYFUNCTION("""COMPUTED_VALUE"""),81.6)</f>
        <v>81.6</v>
      </c>
      <c r="T1905" s="4">
        <f>IFERROR(__xludf.DUMMYFUNCTION("""COMPUTED_VALUE"""),0.137)</f>
        <v>0.137</v>
      </c>
      <c r="U1905" s="4">
        <f>IFERROR(__xludf.DUMMYFUNCTION("""COMPUTED_VALUE"""),2.3)</f>
        <v>2.3</v>
      </c>
      <c r="V1905" s="4">
        <f>IFERROR(__xludf.DUMMYFUNCTION("""COMPUTED_VALUE"""),31.3)</f>
        <v>31.3</v>
      </c>
    </row>
    <row r="1906">
      <c r="A1906" s="4">
        <f>IFERROR(__xludf.DUMMYFUNCTION("""COMPUTED_VALUE"""),3.0)</f>
        <v>3</v>
      </c>
      <c r="B1906" s="4">
        <f>IFERROR(__xludf.DUMMYFUNCTION("""COMPUTED_VALUE"""),3.0)</f>
        <v>3</v>
      </c>
      <c r="C1906" s="4" t="str">
        <f>IFERROR(__xludf.DUMMYFUNCTION("""COMPUTED_VALUE"""),"VAN")</f>
        <v>VAN</v>
      </c>
      <c r="D1906" s="4" t="str">
        <f>IFERROR(__xludf.DUMMYFUNCTION("""COMPUTED_VALUE"""),"Shareef Abdur-Rahim")</f>
        <v>Shareef Abdur-Rahim</v>
      </c>
      <c r="E1906" s="4" t="str">
        <f>IFERROR(__xludf.DUMMYFUNCTION("""COMPUTED_VALUE"""),"California")</f>
        <v>California</v>
      </c>
      <c r="F1906" s="4">
        <f>IFERROR(__xludf.DUMMYFUNCTION("""COMPUTED_VALUE"""),12.0)</f>
        <v>12</v>
      </c>
      <c r="G1906" s="4">
        <f>IFERROR(__xludf.DUMMYFUNCTION("""COMPUTED_VALUE"""),830.0)</f>
        <v>830</v>
      </c>
      <c r="H1906" s="4">
        <f>IFERROR(__xludf.DUMMYFUNCTION("""COMPUTED_VALUE"""),28882.0)</f>
        <v>28882</v>
      </c>
      <c r="I1906" s="4">
        <f>IFERROR(__xludf.DUMMYFUNCTION("""COMPUTED_VALUE"""),15028.0)</f>
        <v>15028</v>
      </c>
      <c r="J1906" s="4">
        <f>IFERROR(__xludf.DUMMYFUNCTION("""COMPUTED_VALUE"""),6239.0)</f>
        <v>6239</v>
      </c>
      <c r="K1906" s="4">
        <f>IFERROR(__xludf.DUMMYFUNCTION("""COMPUTED_VALUE"""),2109.0)</f>
        <v>2109</v>
      </c>
      <c r="L1906" s="4">
        <f>IFERROR(__xludf.DUMMYFUNCTION("""COMPUTED_VALUE"""),0.472)</f>
        <v>0.472</v>
      </c>
      <c r="M1906" s="4">
        <f>IFERROR(__xludf.DUMMYFUNCTION("""COMPUTED_VALUE"""),0.297)</f>
        <v>0.297</v>
      </c>
      <c r="N1906" s="4">
        <f>IFERROR(__xludf.DUMMYFUNCTION("""COMPUTED_VALUE"""),0.81)</f>
        <v>0.81</v>
      </c>
      <c r="O1906" s="4">
        <f>IFERROR(__xludf.DUMMYFUNCTION("""COMPUTED_VALUE"""),34.8)</f>
        <v>34.8</v>
      </c>
      <c r="P1906" s="4">
        <f>IFERROR(__xludf.DUMMYFUNCTION("""COMPUTED_VALUE"""),18.1)</f>
        <v>18.1</v>
      </c>
      <c r="Q1906" s="4">
        <f>IFERROR(__xludf.DUMMYFUNCTION("""COMPUTED_VALUE"""),7.5)</f>
        <v>7.5</v>
      </c>
      <c r="R1906" s="4">
        <f>IFERROR(__xludf.DUMMYFUNCTION("""COMPUTED_VALUE"""),2.5)</f>
        <v>2.5</v>
      </c>
      <c r="S1906" s="4">
        <f>IFERROR(__xludf.DUMMYFUNCTION("""COMPUTED_VALUE"""),71.2)</f>
        <v>71.2</v>
      </c>
      <c r="T1906" s="4">
        <f>IFERROR(__xludf.DUMMYFUNCTION("""COMPUTED_VALUE"""),0.118)</f>
        <v>0.118</v>
      </c>
      <c r="U1906" s="4">
        <f>IFERROR(__xludf.DUMMYFUNCTION("""COMPUTED_VALUE"""),1.0)</f>
        <v>1</v>
      </c>
      <c r="V1906" s="4">
        <f>IFERROR(__xludf.DUMMYFUNCTION("""COMPUTED_VALUE"""),21.9)</f>
        <v>21.9</v>
      </c>
    </row>
    <row r="1907">
      <c r="A1907" s="4">
        <f>IFERROR(__xludf.DUMMYFUNCTION("""COMPUTED_VALUE"""),4.0)</f>
        <v>4</v>
      </c>
      <c r="B1907" s="4">
        <f>IFERROR(__xludf.DUMMYFUNCTION("""COMPUTED_VALUE"""),4.0)</f>
        <v>4</v>
      </c>
      <c r="C1907" s="4" t="str">
        <f>IFERROR(__xludf.DUMMYFUNCTION("""COMPUTED_VALUE"""),"MIL")</f>
        <v>MIL</v>
      </c>
      <c r="D1907" s="4" t="str">
        <f>IFERROR(__xludf.DUMMYFUNCTION("""COMPUTED_VALUE"""),"Stephon Marbury")</f>
        <v>Stephon Marbury</v>
      </c>
      <c r="E1907" s="4" t="str">
        <f>IFERROR(__xludf.DUMMYFUNCTION("""COMPUTED_VALUE"""),"Georgia Tech")</f>
        <v>Georgia Tech</v>
      </c>
      <c r="F1907" s="4">
        <f>IFERROR(__xludf.DUMMYFUNCTION("""COMPUTED_VALUE"""),13.0)</f>
        <v>13</v>
      </c>
      <c r="G1907" s="4">
        <f>IFERROR(__xludf.DUMMYFUNCTION("""COMPUTED_VALUE"""),846.0)</f>
        <v>846</v>
      </c>
      <c r="H1907" s="4">
        <f>IFERROR(__xludf.DUMMYFUNCTION("""COMPUTED_VALUE"""),31891.0)</f>
        <v>31891</v>
      </c>
      <c r="I1907" s="4">
        <f>IFERROR(__xludf.DUMMYFUNCTION("""COMPUTED_VALUE"""),16297.0)</f>
        <v>16297</v>
      </c>
      <c r="J1907" s="4">
        <f>IFERROR(__xludf.DUMMYFUNCTION("""COMPUTED_VALUE"""),2516.0)</f>
        <v>2516</v>
      </c>
      <c r="K1907" s="4">
        <f>IFERROR(__xludf.DUMMYFUNCTION("""COMPUTED_VALUE"""),6471.0)</f>
        <v>6471</v>
      </c>
      <c r="L1907" s="4">
        <f>IFERROR(__xludf.DUMMYFUNCTION("""COMPUTED_VALUE"""),0.433)</f>
        <v>0.433</v>
      </c>
      <c r="M1907" s="4">
        <f>IFERROR(__xludf.DUMMYFUNCTION("""COMPUTED_VALUE"""),0.325)</f>
        <v>0.325</v>
      </c>
      <c r="N1907" s="4">
        <f>IFERROR(__xludf.DUMMYFUNCTION("""COMPUTED_VALUE"""),0.784)</f>
        <v>0.784</v>
      </c>
      <c r="O1907" s="4">
        <f>IFERROR(__xludf.DUMMYFUNCTION("""COMPUTED_VALUE"""),37.7)</f>
        <v>37.7</v>
      </c>
      <c r="P1907" s="4">
        <f>IFERROR(__xludf.DUMMYFUNCTION("""COMPUTED_VALUE"""),19.3)</f>
        <v>19.3</v>
      </c>
      <c r="Q1907" s="4">
        <f>IFERROR(__xludf.DUMMYFUNCTION("""COMPUTED_VALUE"""),3.0)</f>
        <v>3</v>
      </c>
      <c r="R1907" s="4">
        <f>IFERROR(__xludf.DUMMYFUNCTION("""COMPUTED_VALUE"""),7.6)</f>
        <v>7.6</v>
      </c>
      <c r="S1907" s="4">
        <f>IFERROR(__xludf.DUMMYFUNCTION("""COMPUTED_VALUE"""),77.5)</f>
        <v>77.5</v>
      </c>
      <c r="T1907" s="4">
        <f>IFERROR(__xludf.DUMMYFUNCTION("""COMPUTED_VALUE"""),0.117)</f>
        <v>0.117</v>
      </c>
      <c r="U1907" s="4">
        <f>IFERROR(__xludf.DUMMYFUNCTION("""COMPUTED_VALUE"""),1.8)</f>
        <v>1.8</v>
      </c>
      <c r="V1907" s="4">
        <f>IFERROR(__xludf.DUMMYFUNCTION("""COMPUTED_VALUE"""),30.7)</f>
        <v>30.7</v>
      </c>
    </row>
    <row r="1908">
      <c r="A1908" s="4">
        <f>IFERROR(__xludf.DUMMYFUNCTION("""COMPUTED_VALUE"""),5.0)</f>
        <v>5</v>
      </c>
      <c r="B1908" s="4">
        <f>IFERROR(__xludf.DUMMYFUNCTION("""COMPUTED_VALUE"""),5.0)</f>
        <v>5</v>
      </c>
      <c r="C1908" s="4" t="str">
        <f>IFERROR(__xludf.DUMMYFUNCTION("""COMPUTED_VALUE"""),"MIN")</f>
        <v>MIN</v>
      </c>
      <c r="D1908" s="4" t="str">
        <f>IFERROR(__xludf.DUMMYFUNCTION("""COMPUTED_VALUE"""),"Ray Allen")</f>
        <v>Ray Allen</v>
      </c>
      <c r="E1908" s="4" t="str">
        <f>IFERROR(__xludf.DUMMYFUNCTION("""COMPUTED_VALUE"""),"UConn")</f>
        <v>UConn</v>
      </c>
      <c r="F1908" s="4">
        <f>IFERROR(__xludf.DUMMYFUNCTION("""COMPUTED_VALUE"""),18.0)</f>
        <v>18</v>
      </c>
      <c r="G1908" s="4">
        <f>IFERROR(__xludf.DUMMYFUNCTION("""COMPUTED_VALUE"""),1300.0)</f>
        <v>1300</v>
      </c>
      <c r="H1908" s="4">
        <f>IFERROR(__xludf.DUMMYFUNCTION("""COMPUTED_VALUE"""),46344.0)</f>
        <v>46344</v>
      </c>
      <c r="I1908" s="4">
        <f>IFERROR(__xludf.DUMMYFUNCTION("""COMPUTED_VALUE"""),24505.0)</f>
        <v>24505</v>
      </c>
      <c r="J1908" s="4">
        <f>IFERROR(__xludf.DUMMYFUNCTION("""COMPUTED_VALUE"""),5272.0)</f>
        <v>5272</v>
      </c>
      <c r="K1908" s="4">
        <f>IFERROR(__xludf.DUMMYFUNCTION("""COMPUTED_VALUE"""),4361.0)</f>
        <v>4361</v>
      </c>
      <c r="L1908" s="4">
        <f>IFERROR(__xludf.DUMMYFUNCTION("""COMPUTED_VALUE"""),0.452)</f>
        <v>0.452</v>
      </c>
      <c r="M1908" s="4">
        <f>IFERROR(__xludf.DUMMYFUNCTION("""COMPUTED_VALUE"""),0.4)</f>
        <v>0.4</v>
      </c>
      <c r="N1908" s="4">
        <f>IFERROR(__xludf.DUMMYFUNCTION("""COMPUTED_VALUE"""),0.894)</f>
        <v>0.894</v>
      </c>
      <c r="O1908" s="4">
        <f>IFERROR(__xludf.DUMMYFUNCTION("""COMPUTED_VALUE"""),35.6)</f>
        <v>35.6</v>
      </c>
      <c r="P1908" s="4">
        <f>IFERROR(__xludf.DUMMYFUNCTION("""COMPUTED_VALUE"""),18.9)</f>
        <v>18.9</v>
      </c>
      <c r="Q1908" s="4">
        <f>IFERROR(__xludf.DUMMYFUNCTION("""COMPUTED_VALUE"""),4.1)</f>
        <v>4.1</v>
      </c>
      <c r="R1908" s="4">
        <f>IFERROR(__xludf.DUMMYFUNCTION("""COMPUTED_VALUE"""),3.4)</f>
        <v>3.4</v>
      </c>
      <c r="S1908" s="4">
        <f>IFERROR(__xludf.DUMMYFUNCTION("""COMPUTED_VALUE"""),145.1)</f>
        <v>145.1</v>
      </c>
      <c r="T1908" s="4">
        <f>IFERROR(__xludf.DUMMYFUNCTION("""COMPUTED_VALUE"""),0.15)</f>
        <v>0.15</v>
      </c>
      <c r="U1908" s="4">
        <f>IFERROR(__xludf.DUMMYFUNCTION("""COMPUTED_VALUE"""),2.9)</f>
        <v>2.9</v>
      </c>
      <c r="V1908" s="4">
        <f>IFERROR(__xludf.DUMMYFUNCTION("""COMPUTED_VALUE"""),57.6)</f>
        <v>57.6</v>
      </c>
    </row>
    <row r="1909">
      <c r="A1909" s="4">
        <f>IFERROR(__xludf.DUMMYFUNCTION("""COMPUTED_VALUE"""),6.0)</f>
        <v>6</v>
      </c>
      <c r="B1909" s="4">
        <f>IFERROR(__xludf.DUMMYFUNCTION("""COMPUTED_VALUE"""),6.0)</f>
        <v>6</v>
      </c>
      <c r="C1909" s="4" t="str">
        <f>IFERROR(__xludf.DUMMYFUNCTION("""COMPUTED_VALUE"""),"BOS")</f>
        <v>BOS</v>
      </c>
      <c r="D1909" s="4" t="str">
        <f>IFERROR(__xludf.DUMMYFUNCTION("""COMPUTED_VALUE"""),"Antoine Walker")</f>
        <v>Antoine Walker</v>
      </c>
      <c r="E1909" s="4" t="str">
        <f>IFERROR(__xludf.DUMMYFUNCTION("""COMPUTED_VALUE"""),"Kentucky")</f>
        <v>Kentucky</v>
      </c>
      <c r="F1909" s="4">
        <f>IFERROR(__xludf.DUMMYFUNCTION("""COMPUTED_VALUE"""),12.0)</f>
        <v>12</v>
      </c>
      <c r="G1909" s="4">
        <f>IFERROR(__xludf.DUMMYFUNCTION("""COMPUTED_VALUE"""),893.0)</f>
        <v>893</v>
      </c>
      <c r="H1909" s="4">
        <f>IFERROR(__xludf.DUMMYFUNCTION("""COMPUTED_VALUE"""),31531.0)</f>
        <v>31531</v>
      </c>
      <c r="I1909" s="4">
        <f>IFERROR(__xludf.DUMMYFUNCTION("""COMPUTED_VALUE"""),15647.0)</f>
        <v>15647</v>
      </c>
      <c r="J1909" s="4">
        <f>IFERROR(__xludf.DUMMYFUNCTION("""COMPUTED_VALUE"""),6891.0)</f>
        <v>6891</v>
      </c>
      <c r="K1909" s="4">
        <f>IFERROR(__xludf.DUMMYFUNCTION("""COMPUTED_VALUE"""),3170.0)</f>
        <v>3170</v>
      </c>
      <c r="L1909" s="4">
        <f>IFERROR(__xludf.DUMMYFUNCTION("""COMPUTED_VALUE"""),0.414)</f>
        <v>0.414</v>
      </c>
      <c r="M1909" s="4">
        <f>IFERROR(__xludf.DUMMYFUNCTION("""COMPUTED_VALUE"""),0.325)</f>
        <v>0.325</v>
      </c>
      <c r="N1909" s="4">
        <f>IFERROR(__xludf.DUMMYFUNCTION("""COMPUTED_VALUE"""),0.633)</f>
        <v>0.633</v>
      </c>
      <c r="O1909" s="4">
        <f>IFERROR(__xludf.DUMMYFUNCTION("""COMPUTED_VALUE"""),35.3)</f>
        <v>35.3</v>
      </c>
      <c r="P1909" s="4">
        <f>IFERROR(__xludf.DUMMYFUNCTION("""COMPUTED_VALUE"""),17.5)</f>
        <v>17.5</v>
      </c>
      <c r="Q1909" s="4">
        <f>IFERROR(__xludf.DUMMYFUNCTION("""COMPUTED_VALUE"""),7.7)</f>
        <v>7.7</v>
      </c>
      <c r="R1909" s="4">
        <f>IFERROR(__xludf.DUMMYFUNCTION("""COMPUTED_VALUE"""),3.5)</f>
        <v>3.5</v>
      </c>
      <c r="S1909" s="4">
        <f>IFERROR(__xludf.DUMMYFUNCTION("""COMPUTED_VALUE"""),38.1)</f>
        <v>38.1</v>
      </c>
      <c r="T1909" s="4">
        <f>IFERROR(__xludf.DUMMYFUNCTION("""COMPUTED_VALUE"""),0.058)</f>
        <v>0.058</v>
      </c>
      <c r="U1909" s="4">
        <f>IFERROR(__xludf.DUMMYFUNCTION("""COMPUTED_VALUE"""),0.3)</f>
        <v>0.3</v>
      </c>
      <c r="V1909" s="4">
        <f>IFERROR(__xludf.DUMMYFUNCTION("""COMPUTED_VALUE"""),18.0)</f>
        <v>18</v>
      </c>
    </row>
    <row r="1910">
      <c r="A1910" s="4">
        <f>IFERROR(__xludf.DUMMYFUNCTION("""COMPUTED_VALUE"""),7.0)</f>
        <v>7</v>
      </c>
      <c r="B1910" s="4">
        <f>IFERROR(__xludf.DUMMYFUNCTION("""COMPUTED_VALUE"""),7.0)</f>
        <v>7</v>
      </c>
      <c r="C1910" s="4" t="str">
        <f>IFERROR(__xludf.DUMMYFUNCTION("""COMPUTED_VALUE"""),"LAC")</f>
        <v>LAC</v>
      </c>
      <c r="D1910" s="4" t="str">
        <f>IFERROR(__xludf.DUMMYFUNCTION("""COMPUTED_VALUE"""),"Lorenzen Wright")</f>
        <v>Lorenzen Wright</v>
      </c>
      <c r="E1910" s="4" t="str">
        <f>IFERROR(__xludf.DUMMYFUNCTION("""COMPUTED_VALUE"""),"Memphis")</f>
        <v>Memphis</v>
      </c>
      <c r="F1910" s="4">
        <f>IFERROR(__xludf.DUMMYFUNCTION("""COMPUTED_VALUE"""),13.0)</f>
        <v>13</v>
      </c>
      <c r="G1910" s="4">
        <f>IFERROR(__xludf.DUMMYFUNCTION("""COMPUTED_VALUE"""),778.0)</f>
        <v>778</v>
      </c>
      <c r="H1910" s="4">
        <f>IFERROR(__xludf.DUMMYFUNCTION("""COMPUTED_VALUE"""),18535.0)</f>
        <v>18535</v>
      </c>
      <c r="I1910" s="4">
        <f>IFERROR(__xludf.DUMMYFUNCTION("""COMPUTED_VALUE"""),6191.0)</f>
        <v>6191</v>
      </c>
      <c r="J1910" s="4">
        <f>IFERROR(__xludf.DUMMYFUNCTION("""COMPUTED_VALUE"""),4943.0)</f>
        <v>4943</v>
      </c>
      <c r="K1910" s="4">
        <f>IFERROR(__xludf.DUMMYFUNCTION("""COMPUTED_VALUE"""),622.0)</f>
        <v>622</v>
      </c>
      <c r="L1910" s="4">
        <f>IFERROR(__xludf.DUMMYFUNCTION("""COMPUTED_VALUE"""),0.459)</f>
        <v>0.459</v>
      </c>
      <c r="M1910" s="4">
        <f>IFERROR(__xludf.DUMMYFUNCTION("""COMPUTED_VALUE"""),0.069)</f>
        <v>0.069</v>
      </c>
      <c r="N1910" s="4">
        <f>IFERROR(__xludf.DUMMYFUNCTION("""COMPUTED_VALUE"""),0.645)</f>
        <v>0.645</v>
      </c>
      <c r="O1910" s="4">
        <f>IFERROR(__xludf.DUMMYFUNCTION("""COMPUTED_VALUE"""),23.8)</f>
        <v>23.8</v>
      </c>
      <c r="P1910" s="4">
        <f>IFERROR(__xludf.DUMMYFUNCTION("""COMPUTED_VALUE"""),8.0)</f>
        <v>8</v>
      </c>
      <c r="Q1910" s="4">
        <f>IFERROR(__xludf.DUMMYFUNCTION("""COMPUTED_VALUE"""),6.4)</f>
        <v>6.4</v>
      </c>
      <c r="R1910" s="4">
        <f>IFERROR(__xludf.DUMMYFUNCTION("""COMPUTED_VALUE"""),0.8)</f>
        <v>0.8</v>
      </c>
      <c r="S1910" s="4">
        <f>IFERROR(__xludf.DUMMYFUNCTION("""COMPUTED_VALUE"""),30.5)</f>
        <v>30.5</v>
      </c>
      <c r="T1910" s="4">
        <f>IFERROR(__xludf.DUMMYFUNCTION("""COMPUTED_VALUE"""),0.079)</f>
        <v>0.079</v>
      </c>
      <c r="U1910" s="4">
        <f>IFERROR(__xludf.DUMMYFUNCTION("""COMPUTED_VALUE"""),-2.6)</f>
        <v>-2.6</v>
      </c>
      <c r="V1910" s="4">
        <f>IFERROR(__xludf.DUMMYFUNCTION("""COMPUTED_VALUE"""),-3.0)</f>
        <v>-3</v>
      </c>
    </row>
    <row r="1911">
      <c r="A1911" s="4">
        <f>IFERROR(__xludf.DUMMYFUNCTION("""COMPUTED_VALUE"""),8.0)</f>
        <v>8</v>
      </c>
      <c r="B1911" s="4">
        <f>IFERROR(__xludf.DUMMYFUNCTION("""COMPUTED_VALUE"""),8.0)</f>
        <v>8</v>
      </c>
      <c r="C1911" s="4" t="str">
        <f>IFERROR(__xludf.DUMMYFUNCTION("""COMPUTED_VALUE"""),"NJN")</f>
        <v>NJN</v>
      </c>
      <c r="D1911" s="4" t="str">
        <f>IFERROR(__xludf.DUMMYFUNCTION("""COMPUTED_VALUE"""),"Kerry Kittles")</f>
        <v>Kerry Kittles</v>
      </c>
      <c r="E1911" s="4" t="str">
        <f>IFERROR(__xludf.DUMMYFUNCTION("""COMPUTED_VALUE"""),"Villanova")</f>
        <v>Villanova</v>
      </c>
      <c r="F1911" s="4">
        <f>IFERROR(__xludf.DUMMYFUNCTION("""COMPUTED_VALUE"""),8.0)</f>
        <v>8</v>
      </c>
      <c r="G1911" s="4">
        <f>IFERROR(__xludf.DUMMYFUNCTION("""COMPUTED_VALUE"""),507.0)</f>
        <v>507</v>
      </c>
      <c r="H1911" s="4">
        <f>IFERROR(__xludf.DUMMYFUNCTION("""COMPUTED_VALUE"""),16929.0)</f>
        <v>16929</v>
      </c>
      <c r="I1911" s="4">
        <f>IFERROR(__xludf.DUMMYFUNCTION("""COMPUTED_VALUE"""),7165.0)</f>
        <v>7165</v>
      </c>
      <c r="J1911" s="4">
        <f>IFERROR(__xludf.DUMMYFUNCTION("""COMPUTED_VALUE"""),1983.0)</f>
        <v>1983</v>
      </c>
      <c r="K1911" s="4">
        <f>IFERROR(__xludf.DUMMYFUNCTION("""COMPUTED_VALUE"""),1295.0)</f>
        <v>1295</v>
      </c>
      <c r="L1911" s="4">
        <f>IFERROR(__xludf.DUMMYFUNCTION("""COMPUTED_VALUE"""),0.439)</f>
        <v>0.439</v>
      </c>
      <c r="M1911" s="4">
        <f>IFERROR(__xludf.DUMMYFUNCTION("""COMPUTED_VALUE"""),0.378)</f>
        <v>0.378</v>
      </c>
      <c r="N1911" s="4">
        <f>IFERROR(__xludf.DUMMYFUNCTION("""COMPUTED_VALUE"""),0.78)</f>
        <v>0.78</v>
      </c>
      <c r="O1911" s="4">
        <f>IFERROR(__xludf.DUMMYFUNCTION("""COMPUTED_VALUE"""),33.4)</f>
        <v>33.4</v>
      </c>
      <c r="P1911" s="4">
        <f>IFERROR(__xludf.DUMMYFUNCTION("""COMPUTED_VALUE"""),14.1)</f>
        <v>14.1</v>
      </c>
      <c r="Q1911" s="4">
        <f>IFERROR(__xludf.DUMMYFUNCTION("""COMPUTED_VALUE"""),3.9)</f>
        <v>3.9</v>
      </c>
      <c r="R1911" s="4">
        <f>IFERROR(__xludf.DUMMYFUNCTION("""COMPUTED_VALUE"""),2.6)</f>
        <v>2.6</v>
      </c>
      <c r="S1911" s="4">
        <f>IFERROR(__xludf.DUMMYFUNCTION("""COMPUTED_VALUE"""),44.8)</f>
        <v>44.8</v>
      </c>
      <c r="T1911" s="4">
        <f>IFERROR(__xludf.DUMMYFUNCTION("""COMPUTED_VALUE"""),0.127)</f>
        <v>0.127</v>
      </c>
      <c r="U1911" s="4">
        <f>IFERROR(__xludf.DUMMYFUNCTION("""COMPUTED_VALUE"""),2.2)</f>
        <v>2.2</v>
      </c>
      <c r="V1911" s="4">
        <f>IFERROR(__xludf.DUMMYFUNCTION("""COMPUTED_VALUE"""),18.0)</f>
        <v>18</v>
      </c>
    </row>
    <row r="1912">
      <c r="A1912" s="4">
        <f>IFERROR(__xludf.DUMMYFUNCTION("""COMPUTED_VALUE"""),9.0)</f>
        <v>9</v>
      </c>
      <c r="B1912" s="4">
        <f>IFERROR(__xludf.DUMMYFUNCTION("""COMPUTED_VALUE"""),9.0)</f>
        <v>9</v>
      </c>
      <c r="C1912" s="4" t="str">
        <f>IFERROR(__xludf.DUMMYFUNCTION("""COMPUTED_VALUE"""),"DAL")</f>
        <v>DAL</v>
      </c>
      <c r="D1912" s="4" t="str">
        <f>IFERROR(__xludf.DUMMYFUNCTION("""COMPUTED_VALUE"""),"Samaki Walker")</f>
        <v>Samaki Walker</v>
      </c>
      <c r="E1912" s="4" t="str">
        <f>IFERROR(__xludf.DUMMYFUNCTION("""COMPUTED_VALUE"""),"Louisville")</f>
        <v>Louisville</v>
      </c>
      <c r="F1912" s="4">
        <f>IFERROR(__xludf.DUMMYFUNCTION("""COMPUTED_VALUE"""),10.0)</f>
        <v>10</v>
      </c>
      <c r="G1912" s="4">
        <f>IFERROR(__xludf.DUMMYFUNCTION("""COMPUTED_VALUE"""),445.0)</f>
        <v>445</v>
      </c>
      <c r="H1912" s="4">
        <f>IFERROR(__xludf.DUMMYFUNCTION("""COMPUTED_VALUE"""),7612.0)</f>
        <v>7612</v>
      </c>
      <c r="I1912" s="4">
        <f>IFERROR(__xludf.DUMMYFUNCTION("""COMPUTED_VALUE"""),2376.0)</f>
        <v>2376</v>
      </c>
      <c r="J1912" s="4">
        <f>IFERROR(__xludf.DUMMYFUNCTION("""COMPUTED_VALUE"""),2089.0)</f>
        <v>2089</v>
      </c>
      <c r="K1912" s="4">
        <f>IFERROR(__xludf.DUMMYFUNCTION("""COMPUTED_VALUE"""),252.0)</f>
        <v>252</v>
      </c>
      <c r="L1912" s="4">
        <f>IFERROR(__xludf.DUMMYFUNCTION("""COMPUTED_VALUE"""),0.462)</f>
        <v>0.462</v>
      </c>
      <c r="M1912" s="4">
        <f>IFERROR(__xludf.DUMMYFUNCTION("""COMPUTED_VALUE"""),0.111)</f>
        <v>0.111</v>
      </c>
      <c r="N1912" s="4">
        <f>IFERROR(__xludf.DUMMYFUNCTION("""COMPUTED_VALUE"""),0.63)</f>
        <v>0.63</v>
      </c>
      <c r="O1912" s="4">
        <f>IFERROR(__xludf.DUMMYFUNCTION("""COMPUTED_VALUE"""),17.1)</f>
        <v>17.1</v>
      </c>
      <c r="P1912" s="4">
        <f>IFERROR(__xludf.DUMMYFUNCTION("""COMPUTED_VALUE"""),5.3)</f>
        <v>5.3</v>
      </c>
      <c r="Q1912" s="4">
        <f>IFERROR(__xludf.DUMMYFUNCTION("""COMPUTED_VALUE"""),4.7)</f>
        <v>4.7</v>
      </c>
      <c r="R1912" s="4">
        <f>IFERROR(__xludf.DUMMYFUNCTION("""COMPUTED_VALUE"""),0.6)</f>
        <v>0.6</v>
      </c>
      <c r="S1912" s="4">
        <f>IFERROR(__xludf.DUMMYFUNCTION("""COMPUTED_VALUE"""),14.2)</f>
        <v>14.2</v>
      </c>
      <c r="T1912" s="4">
        <f>IFERROR(__xludf.DUMMYFUNCTION("""COMPUTED_VALUE"""),0.089)</f>
        <v>0.089</v>
      </c>
      <c r="U1912" s="4">
        <f>IFERROR(__xludf.DUMMYFUNCTION("""COMPUTED_VALUE"""),-2.6)</f>
        <v>-2.6</v>
      </c>
      <c r="V1912" s="4">
        <f>IFERROR(__xludf.DUMMYFUNCTION("""COMPUTED_VALUE"""),-1.1)</f>
        <v>-1.1</v>
      </c>
    </row>
    <row r="1913">
      <c r="A1913" s="4">
        <f>IFERROR(__xludf.DUMMYFUNCTION("""COMPUTED_VALUE"""),10.0)</f>
        <v>10</v>
      </c>
      <c r="B1913" s="4">
        <f>IFERROR(__xludf.DUMMYFUNCTION("""COMPUTED_VALUE"""),10.0)</f>
        <v>10</v>
      </c>
      <c r="C1913" s="4" t="str">
        <f>IFERROR(__xludf.DUMMYFUNCTION("""COMPUTED_VALUE"""),"IND")</f>
        <v>IND</v>
      </c>
      <c r="D1913" s="4" t="str">
        <f>IFERROR(__xludf.DUMMYFUNCTION("""COMPUTED_VALUE"""),"Erick Dampier")</f>
        <v>Erick Dampier</v>
      </c>
      <c r="E1913" s="4" t="str">
        <f>IFERROR(__xludf.DUMMYFUNCTION("""COMPUTED_VALUE"""),"Mississippi State")</f>
        <v>Mississippi State</v>
      </c>
      <c r="F1913" s="4">
        <f>IFERROR(__xludf.DUMMYFUNCTION("""COMPUTED_VALUE"""),16.0)</f>
        <v>16</v>
      </c>
      <c r="G1913" s="4">
        <f>IFERROR(__xludf.DUMMYFUNCTION("""COMPUTED_VALUE"""),987.0)</f>
        <v>987</v>
      </c>
      <c r="H1913" s="4">
        <f>IFERROR(__xludf.DUMMYFUNCTION("""COMPUTED_VALUE"""),24003.0)</f>
        <v>24003</v>
      </c>
      <c r="I1913" s="4">
        <f>IFERROR(__xludf.DUMMYFUNCTION("""COMPUTED_VALUE"""),7309.0)</f>
        <v>7309</v>
      </c>
      <c r="J1913" s="4">
        <f>IFERROR(__xludf.DUMMYFUNCTION("""COMPUTED_VALUE"""),7005.0)</f>
        <v>7005</v>
      </c>
      <c r="K1913" s="4">
        <f>IFERROR(__xludf.DUMMYFUNCTION("""COMPUTED_VALUE"""),817.0)</f>
        <v>817</v>
      </c>
      <c r="L1913" s="4">
        <f>IFERROR(__xludf.DUMMYFUNCTION("""COMPUTED_VALUE"""),0.498)</f>
        <v>0.498</v>
      </c>
      <c r="M1913" s="4">
        <f>IFERROR(__xludf.DUMMYFUNCTION("""COMPUTED_VALUE"""),0.125)</f>
        <v>0.125</v>
      </c>
      <c r="N1913" s="4">
        <f>IFERROR(__xludf.DUMMYFUNCTION("""COMPUTED_VALUE"""),0.626)</f>
        <v>0.626</v>
      </c>
      <c r="O1913" s="4">
        <f>IFERROR(__xludf.DUMMYFUNCTION("""COMPUTED_VALUE"""),24.3)</f>
        <v>24.3</v>
      </c>
      <c r="P1913" s="4">
        <f>IFERROR(__xludf.DUMMYFUNCTION("""COMPUTED_VALUE"""),7.4)</f>
        <v>7.4</v>
      </c>
      <c r="Q1913" s="4">
        <f>IFERROR(__xludf.DUMMYFUNCTION("""COMPUTED_VALUE"""),7.1)</f>
        <v>7.1</v>
      </c>
      <c r="R1913" s="4">
        <f>IFERROR(__xludf.DUMMYFUNCTION("""COMPUTED_VALUE"""),0.8)</f>
        <v>0.8</v>
      </c>
      <c r="S1913" s="4">
        <f>IFERROR(__xludf.DUMMYFUNCTION("""COMPUTED_VALUE"""),52.7)</f>
        <v>52.7</v>
      </c>
      <c r="T1913" s="4">
        <f>IFERROR(__xludf.DUMMYFUNCTION("""COMPUTED_VALUE"""),0.105)</f>
        <v>0.105</v>
      </c>
      <c r="U1913" s="4">
        <f>IFERROR(__xludf.DUMMYFUNCTION("""COMPUTED_VALUE"""),-1.3)</f>
        <v>-1.3</v>
      </c>
      <c r="V1913" s="4">
        <f>IFERROR(__xludf.DUMMYFUNCTION("""COMPUTED_VALUE"""),4.1)</f>
        <v>4.1</v>
      </c>
    </row>
    <row r="1914">
      <c r="A1914" s="4">
        <f>IFERROR(__xludf.DUMMYFUNCTION("""COMPUTED_VALUE"""),11.0)</f>
        <v>11</v>
      </c>
      <c r="B1914" s="4">
        <f>IFERROR(__xludf.DUMMYFUNCTION("""COMPUTED_VALUE"""),11.0)</f>
        <v>11</v>
      </c>
      <c r="C1914" s="4" t="str">
        <f>IFERROR(__xludf.DUMMYFUNCTION("""COMPUTED_VALUE"""),"GSW")</f>
        <v>GSW</v>
      </c>
      <c r="D1914" s="4" t="str">
        <f>IFERROR(__xludf.DUMMYFUNCTION("""COMPUTED_VALUE"""),"Todd Fuller")</f>
        <v>Todd Fuller</v>
      </c>
      <c r="E1914" s="4" t="str">
        <f>IFERROR(__xludf.DUMMYFUNCTION("""COMPUTED_VALUE"""),"NC State")</f>
        <v>NC State</v>
      </c>
      <c r="F1914" s="4">
        <f>IFERROR(__xludf.DUMMYFUNCTION("""COMPUTED_VALUE"""),5.0)</f>
        <v>5</v>
      </c>
      <c r="G1914" s="4">
        <f>IFERROR(__xludf.DUMMYFUNCTION("""COMPUTED_VALUE"""),225.0)</f>
        <v>225</v>
      </c>
      <c r="H1914" s="4">
        <f>IFERROR(__xludf.DUMMYFUNCTION("""COMPUTED_VALUE"""),2500.0)</f>
        <v>2500</v>
      </c>
      <c r="I1914" s="4">
        <f>IFERROR(__xludf.DUMMYFUNCTION("""COMPUTED_VALUE"""),835.0)</f>
        <v>835</v>
      </c>
      <c r="J1914" s="4">
        <f>IFERROR(__xludf.DUMMYFUNCTION("""COMPUTED_VALUE"""),674.0)</f>
        <v>674</v>
      </c>
      <c r="K1914" s="4">
        <f>IFERROR(__xludf.DUMMYFUNCTION("""COMPUTED_VALUE"""),46.0)</f>
        <v>46</v>
      </c>
      <c r="L1914" s="4">
        <f>IFERROR(__xludf.DUMMYFUNCTION("""COMPUTED_VALUE"""),0.422)</f>
        <v>0.422</v>
      </c>
      <c r="M1914" s="4">
        <f>IFERROR(__xludf.DUMMYFUNCTION("""COMPUTED_VALUE"""),0.0)</f>
        <v>0</v>
      </c>
      <c r="N1914" s="4">
        <f>IFERROR(__xludf.DUMMYFUNCTION("""COMPUTED_VALUE"""),0.668)</f>
        <v>0.668</v>
      </c>
      <c r="O1914" s="4">
        <f>IFERROR(__xludf.DUMMYFUNCTION("""COMPUTED_VALUE"""),11.1)</f>
        <v>11.1</v>
      </c>
      <c r="P1914" s="4">
        <f>IFERROR(__xludf.DUMMYFUNCTION("""COMPUTED_VALUE"""),3.7)</f>
        <v>3.7</v>
      </c>
      <c r="Q1914" s="4">
        <f>IFERROR(__xludf.DUMMYFUNCTION("""COMPUTED_VALUE"""),3.0)</f>
        <v>3</v>
      </c>
      <c r="R1914" s="4">
        <f>IFERROR(__xludf.DUMMYFUNCTION("""COMPUTED_VALUE"""),0.2)</f>
        <v>0.2</v>
      </c>
      <c r="S1914" s="4">
        <f>IFERROR(__xludf.DUMMYFUNCTION("""COMPUTED_VALUE"""),2.2)</f>
        <v>2.2</v>
      </c>
      <c r="T1914" s="4">
        <f>IFERROR(__xludf.DUMMYFUNCTION("""COMPUTED_VALUE"""),0.041)</f>
        <v>0.041</v>
      </c>
      <c r="U1914" s="4">
        <f>IFERROR(__xludf.DUMMYFUNCTION("""COMPUTED_VALUE"""),-5.7)</f>
        <v>-5.7</v>
      </c>
      <c r="V1914" s="4">
        <f>IFERROR(__xludf.DUMMYFUNCTION("""COMPUTED_VALUE"""),-2.3)</f>
        <v>-2.3</v>
      </c>
    </row>
    <row r="1915">
      <c r="A1915" s="4">
        <f>IFERROR(__xludf.DUMMYFUNCTION("""COMPUTED_VALUE"""),12.0)</f>
        <v>12</v>
      </c>
      <c r="B1915" s="4">
        <f>IFERROR(__xludf.DUMMYFUNCTION("""COMPUTED_VALUE"""),12.0)</f>
        <v>12</v>
      </c>
      <c r="C1915" s="4" t="str">
        <f>IFERROR(__xludf.DUMMYFUNCTION("""COMPUTED_VALUE"""),"CLE")</f>
        <v>CLE</v>
      </c>
      <c r="D1915" s="4" t="str">
        <f>IFERROR(__xludf.DUMMYFUNCTION("""COMPUTED_VALUE"""),"Vitaly Potapenko")</f>
        <v>Vitaly Potapenko</v>
      </c>
      <c r="E1915" s="4" t="str">
        <f>IFERROR(__xludf.DUMMYFUNCTION("""COMPUTED_VALUE"""),"Wright State University")</f>
        <v>Wright State University</v>
      </c>
      <c r="F1915" s="4">
        <f>IFERROR(__xludf.DUMMYFUNCTION("""COMPUTED_VALUE"""),11.0)</f>
        <v>11</v>
      </c>
      <c r="G1915" s="4">
        <f>IFERROR(__xludf.DUMMYFUNCTION("""COMPUTED_VALUE"""),610.0)</f>
        <v>610</v>
      </c>
      <c r="H1915" s="4">
        <f>IFERROR(__xludf.DUMMYFUNCTION("""COMPUTED_VALUE"""),11608.0)</f>
        <v>11608</v>
      </c>
      <c r="I1915" s="4">
        <f>IFERROR(__xludf.DUMMYFUNCTION("""COMPUTED_VALUE"""),3995.0)</f>
        <v>3995</v>
      </c>
      <c r="J1915" s="4">
        <f>IFERROR(__xludf.DUMMYFUNCTION("""COMPUTED_VALUE"""),2725.0)</f>
        <v>2725</v>
      </c>
      <c r="K1915" s="4">
        <f>IFERROR(__xludf.DUMMYFUNCTION("""COMPUTED_VALUE"""),418.0)</f>
        <v>418</v>
      </c>
      <c r="L1915" s="4">
        <f>IFERROR(__xludf.DUMMYFUNCTION("""COMPUTED_VALUE"""),0.479)</f>
        <v>0.479</v>
      </c>
      <c r="M1915" s="4">
        <f>IFERROR(__xludf.DUMMYFUNCTION("""COMPUTED_VALUE"""),0.167)</f>
        <v>0.167</v>
      </c>
      <c r="N1915" s="4">
        <f>IFERROR(__xludf.DUMMYFUNCTION("""COMPUTED_VALUE"""),0.694)</f>
        <v>0.694</v>
      </c>
      <c r="O1915" s="4">
        <f>IFERROR(__xludf.DUMMYFUNCTION("""COMPUTED_VALUE"""),19.0)</f>
        <v>19</v>
      </c>
      <c r="P1915" s="4">
        <f>IFERROR(__xludf.DUMMYFUNCTION("""COMPUTED_VALUE"""),6.5)</f>
        <v>6.5</v>
      </c>
      <c r="Q1915" s="4">
        <f>IFERROR(__xludf.DUMMYFUNCTION("""COMPUTED_VALUE"""),4.5)</f>
        <v>4.5</v>
      </c>
      <c r="R1915" s="4">
        <f>IFERROR(__xludf.DUMMYFUNCTION("""COMPUTED_VALUE"""),0.7)</f>
        <v>0.7</v>
      </c>
      <c r="S1915" s="4">
        <f>IFERROR(__xludf.DUMMYFUNCTION("""COMPUTED_VALUE"""),15.5)</f>
        <v>15.5</v>
      </c>
      <c r="T1915" s="4">
        <f>IFERROR(__xludf.DUMMYFUNCTION("""COMPUTED_VALUE"""),0.064)</f>
        <v>0.064</v>
      </c>
      <c r="U1915" s="4">
        <f>IFERROR(__xludf.DUMMYFUNCTION("""COMPUTED_VALUE"""),-4.0)</f>
        <v>-4</v>
      </c>
      <c r="V1915" s="4">
        <f>IFERROR(__xludf.DUMMYFUNCTION("""COMPUTED_VALUE"""),-5.9)</f>
        <v>-5.9</v>
      </c>
    </row>
    <row r="1916">
      <c r="A1916" s="4">
        <f>IFERROR(__xludf.DUMMYFUNCTION("""COMPUTED_VALUE"""),13.0)</f>
        <v>13</v>
      </c>
      <c r="B1916" s="4">
        <f>IFERROR(__xludf.DUMMYFUNCTION("""COMPUTED_VALUE"""),13.0)</f>
        <v>13</v>
      </c>
      <c r="C1916" s="4" t="str">
        <f>IFERROR(__xludf.DUMMYFUNCTION("""COMPUTED_VALUE"""),"CHH")</f>
        <v>CHH</v>
      </c>
      <c r="D1916" s="4" t="str">
        <f>IFERROR(__xludf.DUMMYFUNCTION("""COMPUTED_VALUE"""),"Kobe Bryant")</f>
        <v>Kobe Bryant</v>
      </c>
      <c r="E1916" s="4"/>
      <c r="F1916" s="4">
        <f>IFERROR(__xludf.DUMMYFUNCTION("""COMPUTED_VALUE"""),20.0)</f>
        <v>20</v>
      </c>
      <c r="G1916" s="4">
        <f>IFERROR(__xludf.DUMMYFUNCTION("""COMPUTED_VALUE"""),1346.0)</f>
        <v>1346</v>
      </c>
      <c r="H1916" s="4">
        <f>IFERROR(__xludf.DUMMYFUNCTION("""COMPUTED_VALUE"""),48637.0)</f>
        <v>48637</v>
      </c>
      <c r="I1916" s="4">
        <f>IFERROR(__xludf.DUMMYFUNCTION("""COMPUTED_VALUE"""),33643.0)</f>
        <v>33643</v>
      </c>
      <c r="J1916" s="4">
        <f>IFERROR(__xludf.DUMMYFUNCTION("""COMPUTED_VALUE"""),7047.0)</f>
        <v>7047</v>
      </c>
      <c r="K1916" s="4">
        <f>IFERROR(__xludf.DUMMYFUNCTION("""COMPUTED_VALUE"""),6306.0)</f>
        <v>6306</v>
      </c>
      <c r="L1916" s="4">
        <f>IFERROR(__xludf.DUMMYFUNCTION("""COMPUTED_VALUE"""),0.447)</f>
        <v>0.447</v>
      </c>
      <c r="M1916" s="4">
        <f>IFERROR(__xludf.DUMMYFUNCTION("""COMPUTED_VALUE"""),0.329)</f>
        <v>0.329</v>
      </c>
      <c r="N1916" s="4">
        <f>IFERROR(__xludf.DUMMYFUNCTION("""COMPUTED_VALUE"""),0.837)</f>
        <v>0.837</v>
      </c>
      <c r="O1916" s="4">
        <f>IFERROR(__xludf.DUMMYFUNCTION("""COMPUTED_VALUE"""),36.1)</f>
        <v>36.1</v>
      </c>
      <c r="P1916" s="4">
        <f>IFERROR(__xludf.DUMMYFUNCTION("""COMPUTED_VALUE"""),25.0)</f>
        <v>25</v>
      </c>
      <c r="Q1916" s="4">
        <f>IFERROR(__xludf.DUMMYFUNCTION("""COMPUTED_VALUE"""),5.2)</f>
        <v>5.2</v>
      </c>
      <c r="R1916" s="4">
        <f>IFERROR(__xludf.DUMMYFUNCTION("""COMPUTED_VALUE"""),4.7)</f>
        <v>4.7</v>
      </c>
      <c r="S1916" s="4">
        <f>IFERROR(__xludf.DUMMYFUNCTION("""COMPUTED_VALUE"""),172.7)</f>
        <v>172.7</v>
      </c>
      <c r="T1916" s="4">
        <f>IFERROR(__xludf.DUMMYFUNCTION("""COMPUTED_VALUE"""),0.17)</f>
        <v>0.17</v>
      </c>
      <c r="U1916" s="4">
        <f>IFERROR(__xludf.DUMMYFUNCTION("""COMPUTED_VALUE"""),4.6)</f>
        <v>4.6</v>
      </c>
      <c r="V1916" s="4">
        <f>IFERROR(__xludf.DUMMYFUNCTION("""COMPUTED_VALUE"""),80.1)</f>
        <v>80.1</v>
      </c>
    </row>
    <row r="1917">
      <c r="A1917" s="4">
        <f>IFERROR(__xludf.DUMMYFUNCTION("""COMPUTED_VALUE"""),14.0)</f>
        <v>14</v>
      </c>
      <c r="B1917" s="4">
        <f>IFERROR(__xludf.DUMMYFUNCTION("""COMPUTED_VALUE"""),14.0)</f>
        <v>14</v>
      </c>
      <c r="C1917" s="4" t="str">
        <f>IFERROR(__xludf.DUMMYFUNCTION("""COMPUTED_VALUE"""),"SAC")</f>
        <v>SAC</v>
      </c>
      <c r="D1917" s="4" t="str">
        <f>IFERROR(__xludf.DUMMYFUNCTION("""COMPUTED_VALUE"""),"Peja Stojaković")</f>
        <v>Peja Stojaković</v>
      </c>
      <c r="E1917" s="4"/>
      <c r="F1917" s="4">
        <f>IFERROR(__xludf.DUMMYFUNCTION("""COMPUTED_VALUE"""),13.0)</f>
        <v>13</v>
      </c>
      <c r="G1917" s="4">
        <f>IFERROR(__xludf.DUMMYFUNCTION("""COMPUTED_VALUE"""),804.0)</f>
        <v>804</v>
      </c>
      <c r="H1917" s="4">
        <f>IFERROR(__xludf.DUMMYFUNCTION("""COMPUTED_VALUE"""),26966.0)</f>
        <v>26966</v>
      </c>
      <c r="I1917" s="4">
        <f>IFERROR(__xludf.DUMMYFUNCTION("""COMPUTED_VALUE"""),13647.0)</f>
        <v>13647</v>
      </c>
      <c r="J1917" s="4">
        <f>IFERROR(__xludf.DUMMYFUNCTION("""COMPUTED_VALUE"""),3782.0)</f>
        <v>3782</v>
      </c>
      <c r="K1917" s="4">
        <f>IFERROR(__xludf.DUMMYFUNCTION("""COMPUTED_VALUE"""),1408.0)</f>
        <v>1408</v>
      </c>
      <c r="L1917" s="4">
        <f>IFERROR(__xludf.DUMMYFUNCTION("""COMPUTED_VALUE"""),0.45)</f>
        <v>0.45</v>
      </c>
      <c r="M1917" s="4">
        <f>IFERROR(__xludf.DUMMYFUNCTION("""COMPUTED_VALUE"""),0.401)</f>
        <v>0.401</v>
      </c>
      <c r="N1917" s="4">
        <f>IFERROR(__xludf.DUMMYFUNCTION("""COMPUTED_VALUE"""),0.895)</f>
        <v>0.895</v>
      </c>
      <c r="O1917" s="4">
        <f>IFERROR(__xludf.DUMMYFUNCTION("""COMPUTED_VALUE"""),33.5)</f>
        <v>33.5</v>
      </c>
      <c r="P1917" s="4">
        <f>IFERROR(__xludf.DUMMYFUNCTION("""COMPUTED_VALUE"""),17.0)</f>
        <v>17</v>
      </c>
      <c r="Q1917" s="4">
        <f>IFERROR(__xludf.DUMMYFUNCTION("""COMPUTED_VALUE"""),4.7)</f>
        <v>4.7</v>
      </c>
      <c r="R1917" s="4">
        <f>IFERROR(__xludf.DUMMYFUNCTION("""COMPUTED_VALUE"""),1.8)</f>
        <v>1.8</v>
      </c>
      <c r="S1917" s="4">
        <f>IFERROR(__xludf.DUMMYFUNCTION("""COMPUTED_VALUE"""),82.6)</f>
        <v>82.6</v>
      </c>
      <c r="T1917" s="4">
        <f>IFERROR(__xludf.DUMMYFUNCTION("""COMPUTED_VALUE"""),0.147)</f>
        <v>0.147</v>
      </c>
      <c r="U1917" s="4">
        <f>IFERROR(__xludf.DUMMYFUNCTION("""COMPUTED_VALUE"""),1.9)</f>
        <v>1.9</v>
      </c>
      <c r="V1917" s="4">
        <f>IFERROR(__xludf.DUMMYFUNCTION("""COMPUTED_VALUE"""),26.2)</f>
        <v>26.2</v>
      </c>
    </row>
    <row r="1918">
      <c r="A1918" s="4">
        <f>IFERROR(__xludf.DUMMYFUNCTION("""COMPUTED_VALUE"""),15.0)</f>
        <v>15</v>
      </c>
      <c r="B1918" s="4">
        <f>IFERROR(__xludf.DUMMYFUNCTION("""COMPUTED_VALUE"""),15.0)</f>
        <v>15</v>
      </c>
      <c r="C1918" s="4" t="str">
        <f>IFERROR(__xludf.DUMMYFUNCTION("""COMPUTED_VALUE"""),"PHO")</f>
        <v>PHO</v>
      </c>
      <c r="D1918" s="4" t="str">
        <f>IFERROR(__xludf.DUMMYFUNCTION("""COMPUTED_VALUE"""),"Steve Nash")</f>
        <v>Steve Nash</v>
      </c>
      <c r="E1918" s="4" t="str">
        <f>IFERROR(__xludf.DUMMYFUNCTION("""COMPUTED_VALUE"""),"Santa Clara")</f>
        <v>Santa Clara</v>
      </c>
      <c r="F1918" s="4">
        <f>IFERROR(__xludf.DUMMYFUNCTION("""COMPUTED_VALUE"""),18.0)</f>
        <v>18</v>
      </c>
      <c r="G1918" s="4">
        <f>IFERROR(__xludf.DUMMYFUNCTION("""COMPUTED_VALUE"""),1217.0)</f>
        <v>1217</v>
      </c>
      <c r="H1918" s="4">
        <f>IFERROR(__xludf.DUMMYFUNCTION("""COMPUTED_VALUE"""),38069.0)</f>
        <v>38069</v>
      </c>
      <c r="I1918" s="4">
        <f>IFERROR(__xludf.DUMMYFUNCTION("""COMPUTED_VALUE"""),17387.0)</f>
        <v>17387</v>
      </c>
      <c r="J1918" s="4">
        <f>IFERROR(__xludf.DUMMYFUNCTION("""COMPUTED_VALUE"""),3642.0)</f>
        <v>3642</v>
      </c>
      <c r="K1918" s="4">
        <f>IFERROR(__xludf.DUMMYFUNCTION("""COMPUTED_VALUE"""),10335.0)</f>
        <v>10335</v>
      </c>
      <c r="L1918" s="4">
        <f>IFERROR(__xludf.DUMMYFUNCTION("""COMPUTED_VALUE"""),0.49)</f>
        <v>0.49</v>
      </c>
      <c r="M1918" s="4">
        <f>IFERROR(__xludf.DUMMYFUNCTION("""COMPUTED_VALUE"""),0.428)</f>
        <v>0.428</v>
      </c>
      <c r="N1918" s="4">
        <f>IFERROR(__xludf.DUMMYFUNCTION("""COMPUTED_VALUE"""),0.904)</f>
        <v>0.904</v>
      </c>
      <c r="O1918" s="4">
        <f>IFERROR(__xludf.DUMMYFUNCTION("""COMPUTED_VALUE"""),31.3)</f>
        <v>31.3</v>
      </c>
      <c r="P1918" s="4">
        <f>IFERROR(__xludf.DUMMYFUNCTION("""COMPUTED_VALUE"""),14.3)</f>
        <v>14.3</v>
      </c>
      <c r="Q1918" s="4">
        <f>IFERROR(__xludf.DUMMYFUNCTION("""COMPUTED_VALUE"""),3.0)</f>
        <v>3</v>
      </c>
      <c r="R1918" s="4">
        <f>IFERROR(__xludf.DUMMYFUNCTION("""COMPUTED_VALUE"""),8.5)</f>
        <v>8.5</v>
      </c>
      <c r="S1918" s="4">
        <f>IFERROR(__xludf.DUMMYFUNCTION("""COMPUTED_VALUE"""),129.7)</f>
        <v>129.7</v>
      </c>
      <c r="T1918" s="4">
        <f>IFERROR(__xludf.DUMMYFUNCTION("""COMPUTED_VALUE"""),0.164)</f>
        <v>0.164</v>
      </c>
      <c r="U1918" s="4">
        <f>IFERROR(__xludf.DUMMYFUNCTION("""COMPUTED_VALUE"""),3.0)</f>
        <v>3</v>
      </c>
      <c r="V1918" s="4">
        <f>IFERROR(__xludf.DUMMYFUNCTION("""COMPUTED_VALUE"""),48.2)</f>
        <v>48.2</v>
      </c>
    </row>
    <row r="1919">
      <c r="A1919" s="4">
        <f>IFERROR(__xludf.DUMMYFUNCTION("""COMPUTED_VALUE"""),16.0)</f>
        <v>16</v>
      </c>
      <c r="B1919" s="4">
        <f>IFERROR(__xludf.DUMMYFUNCTION("""COMPUTED_VALUE"""),16.0)</f>
        <v>16</v>
      </c>
      <c r="C1919" s="4" t="str">
        <f>IFERROR(__xludf.DUMMYFUNCTION("""COMPUTED_VALUE"""),"CHH")</f>
        <v>CHH</v>
      </c>
      <c r="D1919" s="4" t="str">
        <f>IFERROR(__xludf.DUMMYFUNCTION("""COMPUTED_VALUE"""),"Tony Delk")</f>
        <v>Tony Delk</v>
      </c>
      <c r="E1919" s="4" t="str">
        <f>IFERROR(__xludf.DUMMYFUNCTION("""COMPUTED_VALUE"""),"Kentucky")</f>
        <v>Kentucky</v>
      </c>
      <c r="F1919" s="4">
        <f>IFERROR(__xludf.DUMMYFUNCTION("""COMPUTED_VALUE"""),10.0)</f>
        <v>10</v>
      </c>
      <c r="G1919" s="4">
        <f>IFERROR(__xludf.DUMMYFUNCTION("""COMPUTED_VALUE"""),545.0)</f>
        <v>545</v>
      </c>
      <c r="H1919" s="4">
        <f>IFERROR(__xludf.DUMMYFUNCTION("""COMPUTED_VALUE"""),11702.0)</f>
        <v>11702</v>
      </c>
      <c r="I1919" s="4">
        <f>IFERROR(__xludf.DUMMYFUNCTION("""COMPUTED_VALUE"""),4957.0)</f>
        <v>4957</v>
      </c>
      <c r="J1919" s="4">
        <f>IFERROR(__xludf.DUMMYFUNCTION("""COMPUTED_VALUE"""),1351.0)</f>
        <v>1351</v>
      </c>
      <c r="K1919" s="4">
        <f>IFERROR(__xludf.DUMMYFUNCTION("""COMPUTED_VALUE"""),1024.0)</f>
        <v>1024</v>
      </c>
      <c r="L1919" s="4">
        <f>IFERROR(__xludf.DUMMYFUNCTION("""COMPUTED_VALUE"""),0.408)</f>
        <v>0.408</v>
      </c>
      <c r="M1919" s="4">
        <f>IFERROR(__xludf.DUMMYFUNCTION("""COMPUTED_VALUE"""),0.343)</f>
        <v>0.343</v>
      </c>
      <c r="N1919" s="4">
        <f>IFERROR(__xludf.DUMMYFUNCTION("""COMPUTED_VALUE"""),0.769)</f>
        <v>0.769</v>
      </c>
      <c r="O1919" s="4">
        <f>IFERROR(__xludf.DUMMYFUNCTION("""COMPUTED_VALUE"""),21.5)</f>
        <v>21.5</v>
      </c>
      <c r="P1919" s="4">
        <f>IFERROR(__xludf.DUMMYFUNCTION("""COMPUTED_VALUE"""),9.1)</f>
        <v>9.1</v>
      </c>
      <c r="Q1919" s="4">
        <f>IFERROR(__xludf.DUMMYFUNCTION("""COMPUTED_VALUE"""),2.5)</f>
        <v>2.5</v>
      </c>
      <c r="R1919" s="4">
        <f>IFERROR(__xludf.DUMMYFUNCTION("""COMPUTED_VALUE"""),1.9)</f>
        <v>1.9</v>
      </c>
      <c r="S1919" s="4">
        <f>IFERROR(__xludf.DUMMYFUNCTION("""COMPUTED_VALUE"""),19.5)</f>
        <v>19.5</v>
      </c>
      <c r="T1919" s="4">
        <f>IFERROR(__xludf.DUMMYFUNCTION("""COMPUTED_VALUE"""),0.08)</f>
        <v>0.08</v>
      </c>
      <c r="U1919" s="4">
        <f>IFERROR(__xludf.DUMMYFUNCTION("""COMPUTED_VALUE"""),-0.4)</f>
        <v>-0.4</v>
      </c>
      <c r="V1919" s="4">
        <f>IFERROR(__xludf.DUMMYFUNCTION("""COMPUTED_VALUE"""),4.8)</f>
        <v>4.8</v>
      </c>
    </row>
    <row r="1920">
      <c r="A1920" s="4">
        <f>IFERROR(__xludf.DUMMYFUNCTION("""COMPUTED_VALUE"""),17.0)</f>
        <v>17</v>
      </c>
      <c r="B1920" s="4">
        <f>IFERROR(__xludf.DUMMYFUNCTION("""COMPUTED_VALUE"""),17.0)</f>
        <v>17</v>
      </c>
      <c r="C1920" s="4" t="str">
        <f>IFERROR(__xludf.DUMMYFUNCTION("""COMPUTED_VALUE"""),"POR")</f>
        <v>POR</v>
      </c>
      <c r="D1920" s="4" t="str">
        <f>IFERROR(__xludf.DUMMYFUNCTION("""COMPUTED_VALUE"""),"Jermaine O'Neal")</f>
        <v>Jermaine O'Neal</v>
      </c>
      <c r="E1920" s="4"/>
      <c r="F1920" s="4">
        <f>IFERROR(__xludf.DUMMYFUNCTION("""COMPUTED_VALUE"""),18.0)</f>
        <v>18</v>
      </c>
      <c r="G1920" s="4">
        <f>IFERROR(__xludf.DUMMYFUNCTION("""COMPUTED_VALUE"""),1011.0)</f>
        <v>1011</v>
      </c>
      <c r="H1920" s="4">
        <f>IFERROR(__xludf.DUMMYFUNCTION("""COMPUTED_VALUE"""),27364.0)</f>
        <v>27364</v>
      </c>
      <c r="I1920" s="4">
        <f>IFERROR(__xludf.DUMMYFUNCTION("""COMPUTED_VALUE"""),13309.0)</f>
        <v>13309</v>
      </c>
      <c r="J1920" s="4">
        <f>IFERROR(__xludf.DUMMYFUNCTION("""COMPUTED_VALUE"""),7261.0)</f>
        <v>7261</v>
      </c>
      <c r="K1920" s="4">
        <f>IFERROR(__xludf.DUMMYFUNCTION("""COMPUTED_VALUE"""),1369.0)</f>
        <v>1369</v>
      </c>
      <c r="L1920" s="4">
        <f>IFERROR(__xludf.DUMMYFUNCTION("""COMPUTED_VALUE"""),0.467)</f>
        <v>0.467</v>
      </c>
      <c r="M1920" s="4">
        <f>IFERROR(__xludf.DUMMYFUNCTION("""COMPUTED_VALUE"""),0.147)</f>
        <v>0.147</v>
      </c>
      <c r="N1920" s="4">
        <f>IFERROR(__xludf.DUMMYFUNCTION("""COMPUTED_VALUE"""),0.715)</f>
        <v>0.715</v>
      </c>
      <c r="O1920" s="4">
        <f>IFERROR(__xludf.DUMMYFUNCTION("""COMPUTED_VALUE"""),27.1)</f>
        <v>27.1</v>
      </c>
      <c r="P1920" s="4">
        <f>IFERROR(__xludf.DUMMYFUNCTION("""COMPUTED_VALUE"""),13.2)</f>
        <v>13.2</v>
      </c>
      <c r="Q1920" s="4">
        <f>IFERROR(__xludf.DUMMYFUNCTION("""COMPUTED_VALUE"""),7.2)</f>
        <v>7.2</v>
      </c>
      <c r="R1920" s="4">
        <f>IFERROR(__xludf.DUMMYFUNCTION("""COMPUTED_VALUE"""),1.4)</f>
        <v>1.4</v>
      </c>
      <c r="S1920" s="4">
        <f>IFERROR(__xludf.DUMMYFUNCTION("""COMPUTED_VALUE"""),66.0)</f>
        <v>66</v>
      </c>
      <c r="T1920" s="4">
        <f>IFERROR(__xludf.DUMMYFUNCTION("""COMPUTED_VALUE"""),0.116)</f>
        <v>0.116</v>
      </c>
      <c r="U1920" s="4">
        <f>IFERROR(__xludf.DUMMYFUNCTION("""COMPUTED_VALUE"""),0.3)</f>
        <v>0.3</v>
      </c>
      <c r="V1920" s="4">
        <f>IFERROR(__xludf.DUMMYFUNCTION("""COMPUTED_VALUE"""),15.6)</f>
        <v>15.6</v>
      </c>
    </row>
    <row r="1921">
      <c r="A1921" s="4">
        <f>IFERROR(__xludf.DUMMYFUNCTION("""COMPUTED_VALUE"""),18.0)</f>
        <v>18</v>
      </c>
      <c r="B1921" s="4">
        <f>IFERROR(__xludf.DUMMYFUNCTION("""COMPUTED_VALUE"""),18.0)</f>
        <v>18</v>
      </c>
      <c r="C1921" s="4" t="str">
        <f>IFERROR(__xludf.DUMMYFUNCTION("""COMPUTED_VALUE"""),"NYK")</f>
        <v>NYK</v>
      </c>
      <c r="D1921" s="4" t="str">
        <f>IFERROR(__xludf.DUMMYFUNCTION("""COMPUTED_VALUE"""),"John Wallace")</f>
        <v>John Wallace</v>
      </c>
      <c r="E1921" s="4" t="str">
        <f>IFERROR(__xludf.DUMMYFUNCTION("""COMPUTED_VALUE"""),"Syracuse")</f>
        <v>Syracuse</v>
      </c>
      <c r="F1921" s="4">
        <f>IFERROR(__xludf.DUMMYFUNCTION("""COMPUTED_VALUE"""),7.0)</f>
        <v>7</v>
      </c>
      <c r="G1921" s="4">
        <f>IFERROR(__xludf.DUMMYFUNCTION("""COMPUTED_VALUE"""),381.0)</f>
        <v>381</v>
      </c>
      <c r="H1921" s="4">
        <f>IFERROR(__xludf.DUMMYFUNCTION("""COMPUTED_VALUE"""),6143.0)</f>
        <v>6143</v>
      </c>
      <c r="I1921" s="4">
        <f>IFERROR(__xludf.DUMMYFUNCTION("""COMPUTED_VALUE"""),2901.0)</f>
        <v>2901</v>
      </c>
      <c r="J1921" s="4">
        <f>IFERROR(__xludf.DUMMYFUNCTION("""COMPUTED_VALUE"""),1061.0)</f>
        <v>1061</v>
      </c>
      <c r="K1921" s="4">
        <f>IFERROR(__xludf.DUMMYFUNCTION("""COMPUTED_VALUE"""),281.0)</f>
        <v>281</v>
      </c>
      <c r="L1921" s="4">
        <f>IFERROR(__xludf.DUMMYFUNCTION("""COMPUTED_VALUE"""),0.462)</f>
        <v>0.462</v>
      </c>
      <c r="M1921" s="4">
        <f>IFERROR(__xludf.DUMMYFUNCTION("""COMPUTED_VALUE"""),0.3)</f>
        <v>0.3</v>
      </c>
      <c r="N1921" s="4">
        <f>IFERROR(__xludf.DUMMYFUNCTION("""COMPUTED_VALUE"""),0.74)</f>
        <v>0.74</v>
      </c>
      <c r="O1921" s="4">
        <f>IFERROR(__xludf.DUMMYFUNCTION("""COMPUTED_VALUE"""),16.1)</f>
        <v>16.1</v>
      </c>
      <c r="P1921" s="4">
        <f>IFERROR(__xludf.DUMMYFUNCTION("""COMPUTED_VALUE"""),7.6)</f>
        <v>7.6</v>
      </c>
      <c r="Q1921" s="4">
        <f>IFERROR(__xludf.DUMMYFUNCTION("""COMPUTED_VALUE"""),2.8)</f>
        <v>2.8</v>
      </c>
      <c r="R1921" s="4">
        <f>IFERROR(__xludf.DUMMYFUNCTION("""COMPUTED_VALUE"""),0.7)</f>
        <v>0.7</v>
      </c>
      <c r="S1921" s="4">
        <f>IFERROR(__xludf.DUMMYFUNCTION("""COMPUTED_VALUE"""),6.4)</f>
        <v>6.4</v>
      </c>
      <c r="T1921" s="4">
        <f>IFERROR(__xludf.DUMMYFUNCTION("""COMPUTED_VALUE"""),0.05)</f>
        <v>0.05</v>
      </c>
      <c r="U1921" s="4">
        <f>IFERROR(__xludf.DUMMYFUNCTION("""COMPUTED_VALUE"""),-2.7)</f>
        <v>-2.7</v>
      </c>
      <c r="V1921" s="4">
        <f>IFERROR(__xludf.DUMMYFUNCTION("""COMPUTED_VALUE"""),-1.0)</f>
        <v>-1</v>
      </c>
    </row>
    <row r="1922">
      <c r="A1922" s="4">
        <f>IFERROR(__xludf.DUMMYFUNCTION("""COMPUTED_VALUE"""),19.0)</f>
        <v>19</v>
      </c>
      <c r="B1922" s="4">
        <f>IFERROR(__xludf.DUMMYFUNCTION("""COMPUTED_VALUE"""),19.0)</f>
        <v>19</v>
      </c>
      <c r="C1922" s="4" t="str">
        <f>IFERROR(__xludf.DUMMYFUNCTION("""COMPUTED_VALUE"""),"NYK")</f>
        <v>NYK</v>
      </c>
      <c r="D1922" s="4" t="str">
        <f>IFERROR(__xludf.DUMMYFUNCTION("""COMPUTED_VALUE"""),"Walter McCarty")</f>
        <v>Walter McCarty</v>
      </c>
      <c r="E1922" s="4" t="str">
        <f>IFERROR(__xludf.DUMMYFUNCTION("""COMPUTED_VALUE"""),"Kentucky")</f>
        <v>Kentucky</v>
      </c>
      <c r="F1922" s="4">
        <f>IFERROR(__xludf.DUMMYFUNCTION("""COMPUTED_VALUE"""),10.0)</f>
        <v>10</v>
      </c>
      <c r="G1922" s="4">
        <f>IFERROR(__xludf.DUMMYFUNCTION("""COMPUTED_VALUE"""),593.0)</f>
        <v>593</v>
      </c>
      <c r="H1922" s="4">
        <f>IFERROR(__xludf.DUMMYFUNCTION("""COMPUTED_VALUE"""),10374.0)</f>
        <v>10374</v>
      </c>
      <c r="I1922" s="4">
        <f>IFERROR(__xludf.DUMMYFUNCTION("""COMPUTED_VALUE"""),3056.0)</f>
        <v>3056</v>
      </c>
      <c r="J1922" s="4">
        <f>IFERROR(__xludf.DUMMYFUNCTION("""COMPUTED_VALUE"""),1554.0)</f>
        <v>1554</v>
      </c>
      <c r="K1922" s="4">
        <f>IFERROR(__xludf.DUMMYFUNCTION("""COMPUTED_VALUE"""),670.0)</f>
        <v>670</v>
      </c>
      <c r="L1922" s="4">
        <f>IFERROR(__xludf.DUMMYFUNCTION("""COMPUTED_VALUE"""),0.392)</f>
        <v>0.392</v>
      </c>
      <c r="M1922" s="4">
        <f>IFERROR(__xludf.DUMMYFUNCTION("""COMPUTED_VALUE"""),0.346)</f>
        <v>0.346</v>
      </c>
      <c r="N1922" s="4">
        <f>IFERROR(__xludf.DUMMYFUNCTION("""COMPUTED_VALUE"""),0.698)</f>
        <v>0.698</v>
      </c>
      <c r="O1922" s="4">
        <f>IFERROR(__xludf.DUMMYFUNCTION("""COMPUTED_VALUE"""),17.5)</f>
        <v>17.5</v>
      </c>
      <c r="P1922" s="4">
        <f>IFERROR(__xludf.DUMMYFUNCTION("""COMPUTED_VALUE"""),5.2)</f>
        <v>5.2</v>
      </c>
      <c r="Q1922" s="4">
        <f>IFERROR(__xludf.DUMMYFUNCTION("""COMPUTED_VALUE"""),2.6)</f>
        <v>2.6</v>
      </c>
      <c r="R1922" s="4">
        <f>IFERROR(__xludf.DUMMYFUNCTION("""COMPUTED_VALUE"""),1.1)</f>
        <v>1.1</v>
      </c>
      <c r="S1922" s="4">
        <f>IFERROR(__xludf.DUMMYFUNCTION("""COMPUTED_VALUE"""),13.8)</f>
        <v>13.8</v>
      </c>
      <c r="T1922" s="4">
        <f>IFERROR(__xludf.DUMMYFUNCTION("""COMPUTED_VALUE"""),0.064)</f>
        <v>0.064</v>
      </c>
      <c r="U1922" s="4">
        <f>IFERROR(__xludf.DUMMYFUNCTION("""COMPUTED_VALUE"""),-1.7)</f>
        <v>-1.7</v>
      </c>
      <c r="V1922" s="4">
        <f>IFERROR(__xludf.DUMMYFUNCTION("""COMPUTED_VALUE"""),0.8)</f>
        <v>0.8</v>
      </c>
    </row>
    <row r="1923">
      <c r="A1923" s="4">
        <f>IFERROR(__xludf.DUMMYFUNCTION("""COMPUTED_VALUE"""),20.0)</f>
        <v>20</v>
      </c>
      <c r="B1923" s="4">
        <f>IFERROR(__xludf.DUMMYFUNCTION("""COMPUTED_VALUE"""),20.0)</f>
        <v>20</v>
      </c>
      <c r="C1923" s="4" t="str">
        <f>IFERROR(__xludf.DUMMYFUNCTION("""COMPUTED_VALUE"""),"CLE")</f>
        <v>CLE</v>
      </c>
      <c r="D1923" s="4" t="str">
        <f>IFERROR(__xludf.DUMMYFUNCTION("""COMPUTED_VALUE"""),"Zydrunas Ilgauskas")</f>
        <v>Zydrunas Ilgauskas</v>
      </c>
      <c r="E1923" s="4"/>
      <c r="F1923" s="4">
        <f>IFERROR(__xludf.DUMMYFUNCTION("""COMPUTED_VALUE"""),13.0)</f>
        <v>13</v>
      </c>
      <c r="G1923" s="4">
        <f>IFERROR(__xludf.DUMMYFUNCTION("""COMPUTED_VALUE"""),843.0)</f>
        <v>843</v>
      </c>
      <c r="H1923" s="4">
        <f>IFERROR(__xludf.DUMMYFUNCTION("""COMPUTED_VALUE"""),22965.0)</f>
        <v>22965</v>
      </c>
      <c r="I1923" s="4">
        <f>IFERROR(__xludf.DUMMYFUNCTION("""COMPUTED_VALUE"""),10976.0)</f>
        <v>10976</v>
      </c>
      <c r="J1923" s="4">
        <f>IFERROR(__xludf.DUMMYFUNCTION("""COMPUTED_VALUE"""),6191.0)</f>
        <v>6191</v>
      </c>
      <c r="K1923" s="4">
        <f>IFERROR(__xludf.DUMMYFUNCTION("""COMPUTED_VALUE"""),955.0)</f>
        <v>955</v>
      </c>
      <c r="L1923" s="4">
        <f>IFERROR(__xludf.DUMMYFUNCTION("""COMPUTED_VALUE"""),0.476)</f>
        <v>0.476</v>
      </c>
      <c r="M1923" s="4">
        <f>IFERROR(__xludf.DUMMYFUNCTION("""COMPUTED_VALUE"""),0.31)</f>
        <v>0.31</v>
      </c>
      <c r="N1923" s="4">
        <f>IFERROR(__xludf.DUMMYFUNCTION("""COMPUTED_VALUE"""),0.78)</f>
        <v>0.78</v>
      </c>
      <c r="O1923" s="4">
        <f>IFERROR(__xludf.DUMMYFUNCTION("""COMPUTED_VALUE"""),27.2)</f>
        <v>27.2</v>
      </c>
      <c r="P1923" s="4">
        <f>IFERROR(__xludf.DUMMYFUNCTION("""COMPUTED_VALUE"""),13.0)</f>
        <v>13</v>
      </c>
      <c r="Q1923" s="4">
        <f>IFERROR(__xludf.DUMMYFUNCTION("""COMPUTED_VALUE"""),7.3)</f>
        <v>7.3</v>
      </c>
      <c r="R1923" s="4">
        <f>IFERROR(__xludf.DUMMYFUNCTION("""COMPUTED_VALUE"""),1.1)</f>
        <v>1.1</v>
      </c>
      <c r="S1923" s="4">
        <f>IFERROR(__xludf.DUMMYFUNCTION("""COMPUTED_VALUE"""),66.3)</f>
        <v>66.3</v>
      </c>
      <c r="T1923" s="4">
        <f>IFERROR(__xludf.DUMMYFUNCTION("""COMPUTED_VALUE"""),0.139)</f>
        <v>0.139</v>
      </c>
      <c r="U1923" s="4">
        <f>IFERROR(__xludf.DUMMYFUNCTION("""COMPUTED_VALUE"""),-0.2)</f>
        <v>-0.2</v>
      </c>
      <c r="V1923" s="4">
        <f>IFERROR(__xludf.DUMMYFUNCTION("""COMPUTED_VALUE"""),10.2)</f>
        <v>10.2</v>
      </c>
    </row>
    <row r="1924">
      <c r="A1924" s="4">
        <f>IFERROR(__xludf.DUMMYFUNCTION("""COMPUTED_VALUE"""),21.0)</f>
        <v>21</v>
      </c>
      <c r="B1924" s="4">
        <f>IFERROR(__xludf.DUMMYFUNCTION("""COMPUTED_VALUE"""),21.0)</f>
        <v>21</v>
      </c>
      <c r="C1924" s="4" t="str">
        <f>IFERROR(__xludf.DUMMYFUNCTION("""COMPUTED_VALUE"""),"NYK")</f>
        <v>NYK</v>
      </c>
      <c r="D1924" s="4" t="str">
        <f>IFERROR(__xludf.DUMMYFUNCTION("""COMPUTED_VALUE"""),"Dontae' Jones")</f>
        <v>Dontae' Jones</v>
      </c>
      <c r="E1924" s="4" t="str">
        <f>IFERROR(__xludf.DUMMYFUNCTION("""COMPUTED_VALUE"""),"Mississippi State")</f>
        <v>Mississippi State</v>
      </c>
      <c r="F1924" s="4">
        <f>IFERROR(__xludf.DUMMYFUNCTION("""COMPUTED_VALUE"""),1.0)</f>
        <v>1</v>
      </c>
      <c r="G1924" s="4">
        <f>IFERROR(__xludf.DUMMYFUNCTION("""COMPUTED_VALUE"""),15.0)</f>
        <v>15</v>
      </c>
      <c r="H1924" s="4">
        <f>IFERROR(__xludf.DUMMYFUNCTION("""COMPUTED_VALUE"""),91.0)</f>
        <v>91</v>
      </c>
      <c r="I1924" s="4">
        <f>IFERROR(__xludf.DUMMYFUNCTION("""COMPUTED_VALUE"""),44.0)</f>
        <v>44</v>
      </c>
      <c r="J1924" s="4">
        <f>IFERROR(__xludf.DUMMYFUNCTION("""COMPUTED_VALUE"""),9.0)</f>
        <v>9</v>
      </c>
      <c r="K1924" s="4">
        <f>IFERROR(__xludf.DUMMYFUNCTION("""COMPUTED_VALUE"""),5.0)</f>
        <v>5</v>
      </c>
      <c r="L1924" s="4">
        <f>IFERROR(__xludf.DUMMYFUNCTION("""COMPUTED_VALUE"""),0.333)</f>
        <v>0.333</v>
      </c>
      <c r="M1924" s="4">
        <f>IFERROR(__xludf.DUMMYFUNCTION("""COMPUTED_VALUE"""),0.261)</f>
        <v>0.261</v>
      </c>
      <c r="N1924" s="4"/>
      <c r="O1924" s="4">
        <f>IFERROR(__xludf.DUMMYFUNCTION("""COMPUTED_VALUE"""),6.1)</f>
        <v>6.1</v>
      </c>
      <c r="P1924" s="4">
        <f>IFERROR(__xludf.DUMMYFUNCTION("""COMPUTED_VALUE"""),2.9)</f>
        <v>2.9</v>
      </c>
      <c r="Q1924" s="4">
        <f>IFERROR(__xludf.DUMMYFUNCTION("""COMPUTED_VALUE"""),0.6)</f>
        <v>0.6</v>
      </c>
      <c r="R1924" s="4">
        <f>IFERROR(__xludf.DUMMYFUNCTION("""COMPUTED_VALUE"""),0.3)</f>
        <v>0.3</v>
      </c>
      <c r="S1924" s="4">
        <f>IFERROR(__xludf.DUMMYFUNCTION("""COMPUTED_VALUE"""),-0.3)</f>
        <v>-0.3</v>
      </c>
      <c r="T1924" s="4">
        <f>IFERROR(__xludf.DUMMYFUNCTION("""COMPUTED_VALUE"""),-0.175)</f>
        <v>-0.175</v>
      </c>
      <c r="U1924" s="4">
        <f>IFERROR(__xludf.DUMMYFUNCTION("""COMPUTED_VALUE"""),-10.9)</f>
        <v>-10.9</v>
      </c>
      <c r="V1924" s="4">
        <f>IFERROR(__xludf.DUMMYFUNCTION("""COMPUTED_VALUE"""),-0.2)</f>
        <v>-0.2</v>
      </c>
    </row>
    <row r="1925">
      <c r="A1925" s="4">
        <f>IFERROR(__xludf.DUMMYFUNCTION("""COMPUTED_VALUE"""),22.0)</f>
        <v>22</v>
      </c>
      <c r="B1925" s="4">
        <f>IFERROR(__xludf.DUMMYFUNCTION("""COMPUTED_VALUE"""),22.0)</f>
        <v>22</v>
      </c>
      <c r="C1925" s="4" t="str">
        <f>IFERROR(__xludf.DUMMYFUNCTION("""COMPUTED_VALUE"""),"VAN")</f>
        <v>VAN</v>
      </c>
      <c r="D1925" s="4" t="str">
        <f>IFERROR(__xludf.DUMMYFUNCTION("""COMPUTED_VALUE"""),"Roy Rogers")</f>
        <v>Roy Rogers</v>
      </c>
      <c r="E1925" s="4" t="str">
        <f>IFERROR(__xludf.DUMMYFUNCTION("""COMPUTED_VALUE"""),"Alabama")</f>
        <v>Alabama</v>
      </c>
      <c r="F1925" s="4">
        <f>IFERROR(__xludf.DUMMYFUNCTION("""COMPUTED_VALUE"""),3.0)</f>
        <v>3</v>
      </c>
      <c r="G1925" s="4">
        <f>IFERROR(__xludf.DUMMYFUNCTION("""COMPUTED_VALUE"""),137.0)</f>
        <v>137</v>
      </c>
      <c r="H1925" s="4">
        <f>IFERROR(__xludf.DUMMYFUNCTION("""COMPUTED_VALUE"""),2309.0)</f>
        <v>2309</v>
      </c>
      <c r="I1925" s="4">
        <f>IFERROR(__xludf.DUMMYFUNCTION("""COMPUTED_VALUE"""),652.0)</f>
        <v>652</v>
      </c>
      <c r="J1925" s="4">
        <f>IFERROR(__xludf.DUMMYFUNCTION("""COMPUTED_VALUE"""),483.0)</f>
        <v>483</v>
      </c>
      <c r="K1925" s="4">
        <f>IFERROR(__xludf.DUMMYFUNCTION("""COMPUTED_VALUE"""),57.0)</f>
        <v>57</v>
      </c>
      <c r="L1925" s="4">
        <f>IFERROR(__xludf.DUMMYFUNCTION("""COMPUTED_VALUE"""),0.483)</f>
        <v>0.483</v>
      </c>
      <c r="M1925" s="4">
        <f>IFERROR(__xludf.DUMMYFUNCTION("""COMPUTED_VALUE"""),0.5)</f>
        <v>0.5</v>
      </c>
      <c r="N1925" s="4">
        <f>IFERROR(__xludf.DUMMYFUNCTION("""COMPUTED_VALUE"""),0.532)</f>
        <v>0.532</v>
      </c>
      <c r="O1925" s="4">
        <f>IFERROR(__xludf.DUMMYFUNCTION("""COMPUTED_VALUE"""),16.9)</f>
        <v>16.9</v>
      </c>
      <c r="P1925" s="4">
        <f>IFERROR(__xludf.DUMMYFUNCTION("""COMPUTED_VALUE"""),4.8)</f>
        <v>4.8</v>
      </c>
      <c r="Q1925" s="4">
        <f>IFERROR(__xludf.DUMMYFUNCTION("""COMPUTED_VALUE"""),3.5)</f>
        <v>3.5</v>
      </c>
      <c r="R1925" s="4">
        <f>IFERROR(__xludf.DUMMYFUNCTION("""COMPUTED_VALUE"""),0.4)</f>
        <v>0.4</v>
      </c>
      <c r="S1925" s="4">
        <f>IFERROR(__xludf.DUMMYFUNCTION("""COMPUTED_VALUE"""),1.7)</f>
        <v>1.7</v>
      </c>
      <c r="T1925" s="4">
        <f>IFERROR(__xludf.DUMMYFUNCTION("""COMPUTED_VALUE"""),0.035)</f>
        <v>0.035</v>
      </c>
      <c r="U1925" s="4">
        <f>IFERROR(__xludf.DUMMYFUNCTION("""COMPUTED_VALUE"""),-3.7)</f>
        <v>-3.7</v>
      </c>
      <c r="V1925" s="4">
        <f>IFERROR(__xludf.DUMMYFUNCTION("""COMPUTED_VALUE"""),-1.0)</f>
        <v>-1</v>
      </c>
    </row>
    <row r="1926">
      <c r="A1926" s="4">
        <f>IFERROR(__xludf.DUMMYFUNCTION("""COMPUTED_VALUE"""),23.0)</f>
        <v>23</v>
      </c>
      <c r="B1926" s="4">
        <f>IFERROR(__xludf.DUMMYFUNCTION("""COMPUTED_VALUE"""),23.0)</f>
        <v>23</v>
      </c>
      <c r="C1926" s="4" t="str">
        <f>IFERROR(__xludf.DUMMYFUNCTION("""COMPUTED_VALUE"""),"DEN")</f>
        <v>DEN</v>
      </c>
      <c r="D1926" s="4" t="str">
        <f>IFERROR(__xludf.DUMMYFUNCTION("""COMPUTED_VALUE"""),"Efthimios Rentzias")</f>
        <v>Efthimios Rentzias</v>
      </c>
      <c r="E1926" s="4"/>
      <c r="F1926" s="4">
        <f>IFERROR(__xludf.DUMMYFUNCTION("""COMPUTED_VALUE"""),1.0)</f>
        <v>1</v>
      </c>
      <c r="G1926" s="4">
        <f>IFERROR(__xludf.DUMMYFUNCTION("""COMPUTED_VALUE"""),35.0)</f>
        <v>35</v>
      </c>
      <c r="H1926" s="4">
        <f>IFERROR(__xludf.DUMMYFUNCTION("""COMPUTED_VALUE"""),144.0)</f>
        <v>144</v>
      </c>
      <c r="I1926" s="4">
        <f>IFERROR(__xludf.DUMMYFUNCTION("""COMPUTED_VALUE"""),52.0)</f>
        <v>52</v>
      </c>
      <c r="J1926" s="4">
        <f>IFERROR(__xludf.DUMMYFUNCTION("""COMPUTED_VALUE"""),26.0)</f>
        <v>26</v>
      </c>
      <c r="K1926" s="4">
        <f>IFERROR(__xludf.DUMMYFUNCTION("""COMPUTED_VALUE"""),7.0)</f>
        <v>7</v>
      </c>
      <c r="L1926" s="4">
        <f>IFERROR(__xludf.DUMMYFUNCTION("""COMPUTED_VALUE"""),0.339)</f>
        <v>0.339</v>
      </c>
      <c r="M1926" s="4">
        <f>IFERROR(__xludf.DUMMYFUNCTION("""COMPUTED_VALUE"""),0.5)</f>
        <v>0.5</v>
      </c>
      <c r="N1926" s="4">
        <f>IFERROR(__xludf.DUMMYFUNCTION("""COMPUTED_VALUE"""),0.889)</f>
        <v>0.889</v>
      </c>
      <c r="O1926" s="4">
        <f>IFERROR(__xludf.DUMMYFUNCTION("""COMPUTED_VALUE"""),4.1)</f>
        <v>4.1</v>
      </c>
      <c r="P1926" s="4">
        <f>IFERROR(__xludf.DUMMYFUNCTION("""COMPUTED_VALUE"""),1.5)</f>
        <v>1.5</v>
      </c>
      <c r="Q1926" s="4">
        <f>IFERROR(__xludf.DUMMYFUNCTION("""COMPUTED_VALUE"""),0.7)</f>
        <v>0.7</v>
      </c>
      <c r="R1926" s="4">
        <f>IFERROR(__xludf.DUMMYFUNCTION("""COMPUTED_VALUE"""),0.2)</f>
        <v>0.2</v>
      </c>
      <c r="S1926" s="4">
        <f>IFERROR(__xludf.DUMMYFUNCTION("""COMPUTED_VALUE"""),0.2)</f>
        <v>0.2</v>
      </c>
      <c r="T1926" s="4">
        <f>IFERROR(__xludf.DUMMYFUNCTION("""COMPUTED_VALUE"""),0.058)</f>
        <v>0.058</v>
      </c>
      <c r="U1926" s="4">
        <f>IFERROR(__xludf.DUMMYFUNCTION("""COMPUTED_VALUE"""),-3.8)</f>
        <v>-3.8</v>
      </c>
      <c r="V1926" s="4">
        <f>IFERROR(__xludf.DUMMYFUNCTION("""COMPUTED_VALUE"""),-0.1)</f>
        <v>-0.1</v>
      </c>
    </row>
    <row r="1927">
      <c r="A1927" s="4">
        <f>IFERROR(__xludf.DUMMYFUNCTION("""COMPUTED_VALUE"""),24.0)</f>
        <v>24</v>
      </c>
      <c r="B1927" s="4">
        <f>IFERROR(__xludf.DUMMYFUNCTION("""COMPUTED_VALUE"""),24.0)</f>
        <v>24</v>
      </c>
      <c r="C1927" s="4" t="str">
        <f>IFERROR(__xludf.DUMMYFUNCTION("""COMPUTED_VALUE"""),"LAL")</f>
        <v>LAL</v>
      </c>
      <c r="D1927" s="4" t="str">
        <f>IFERROR(__xludf.DUMMYFUNCTION("""COMPUTED_VALUE"""),"Derek Fisher")</f>
        <v>Derek Fisher</v>
      </c>
      <c r="E1927" s="4" t="str">
        <f>IFERROR(__xludf.DUMMYFUNCTION("""COMPUTED_VALUE"""),"Little Rock")</f>
        <v>Little Rock</v>
      </c>
      <c r="F1927" s="4">
        <f>IFERROR(__xludf.DUMMYFUNCTION("""COMPUTED_VALUE"""),18.0)</f>
        <v>18</v>
      </c>
      <c r="G1927" s="4">
        <f>IFERROR(__xludf.DUMMYFUNCTION("""COMPUTED_VALUE"""),1287.0)</f>
        <v>1287</v>
      </c>
      <c r="H1927" s="4">
        <f>IFERROR(__xludf.DUMMYFUNCTION("""COMPUTED_VALUE"""),32719.0)</f>
        <v>32719</v>
      </c>
      <c r="I1927" s="4">
        <f>IFERROR(__xludf.DUMMYFUNCTION("""COMPUTED_VALUE"""),10713.0)</f>
        <v>10713</v>
      </c>
      <c r="J1927" s="4">
        <f>IFERROR(__xludf.DUMMYFUNCTION("""COMPUTED_VALUE"""),2658.0)</f>
        <v>2658</v>
      </c>
      <c r="K1927" s="4">
        <f>IFERROR(__xludf.DUMMYFUNCTION("""COMPUTED_VALUE"""),3804.0)</f>
        <v>3804</v>
      </c>
      <c r="L1927" s="4">
        <f>IFERROR(__xludf.DUMMYFUNCTION("""COMPUTED_VALUE"""),0.399)</f>
        <v>0.399</v>
      </c>
      <c r="M1927" s="4">
        <f>IFERROR(__xludf.DUMMYFUNCTION("""COMPUTED_VALUE"""),0.374)</f>
        <v>0.374</v>
      </c>
      <c r="N1927" s="4">
        <f>IFERROR(__xludf.DUMMYFUNCTION("""COMPUTED_VALUE"""),0.817)</f>
        <v>0.817</v>
      </c>
      <c r="O1927" s="4">
        <f>IFERROR(__xludf.DUMMYFUNCTION("""COMPUTED_VALUE"""),25.4)</f>
        <v>25.4</v>
      </c>
      <c r="P1927" s="4">
        <f>IFERROR(__xludf.DUMMYFUNCTION("""COMPUTED_VALUE"""),8.3)</f>
        <v>8.3</v>
      </c>
      <c r="Q1927" s="4">
        <f>IFERROR(__xludf.DUMMYFUNCTION("""COMPUTED_VALUE"""),2.1)</f>
        <v>2.1</v>
      </c>
      <c r="R1927" s="4">
        <f>IFERROR(__xludf.DUMMYFUNCTION("""COMPUTED_VALUE"""),3.0)</f>
        <v>3</v>
      </c>
      <c r="S1927" s="4">
        <f>IFERROR(__xludf.DUMMYFUNCTION("""COMPUTED_VALUE"""),62.3)</f>
        <v>62.3</v>
      </c>
      <c r="T1927" s="4">
        <f>IFERROR(__xludf.DUMMYFUNCTION("""COMPUTED_VALUE"""),0.091)</f>
        <v>0.091</v>
      </c>
      <c r="U1927" s="4">
        <f>IFERROR(__xludf.DUMMYFUNCTION("""COMPUTED_VALUE"""),-0.9)</f>
        <v>-0.9</v>
      </c>
      <c r="V1927" s="4">
        <f>IFERROR(__xludf.DUMMYFUNCTION("""COMPUTED_VALUE"""),8.9)</f>
        <v>8.9</v>
      </c>
    </row>
    <row r="1928">
      <c r="A1928" s="4">
        <f>IFERROR(__xludf.DUMMYFUNCTION("""COMPUTED_VALUE"""),25.0)</f>
        <v>25</v>
      </c>
      <c r="B1928" s="4">
        <f>IFERROR(__xludf.DUMMYFUNCTION("""COMPUTED_VALUE"""),25.0)</f>
        <v>25</v>
      </c>
      <c r="C1928" s="4" t="str">
        <f>IFERROR(__xludf.DUMMYFUNCTION("""COMPUTED_VALUE"""),"UTA")</f>
        <v>UTA</v>
      </c>
      <c r="D1928" s="4" t="str">
        <f>IFERROR(__xludf.DUMMYFUNCTION("""COMPUTED_VALUE"""),"Martin Müürsepp")</f>
        <v>Martin Müürsepp</v>
      </c>
      <c r="E1928" s="4"/>
      <c r="F1928" s="4">
        <f>IFERROR(__xludf.DUMMYFUNCTION("""COMPUTED_VALUE"""),2.0)</f>
        <v>2</v>
      </c>
      <c r="G1928" s="4">
        <f>IFERROR(__xludf.DUMMYFUNCTION("""COMPUTED_VALUE"""),83.0)</f>
        <v>83</v>
      </c>
      <c r="H1928" s="4">
        <f>IFERROR(__xludf.DUMMYFUNCTION("""COMPUTED_VALUE"""),951.0)</f>
        <v>951</v>
      </c>
      <c r="I1928" s="4">
        <f>IFERROR(__xludf.DUMMYFUNCTION("""COMPUTED_VALUE"""),389.0)</f>
        <v>389</v>
      </c>
      <c r="J1928" s="4">
        <f>IFERROR(__xludf.DUMMYFUNCTION("""COMPUTED_VALUE"""),181.0)</f>
        <v>181</v>
      </c>
      <c r="K1928" s="4">
        <f>IFERROR(__xludf.DUMMYFUNCTION("""COMPUTED_VALUE"""),50.0)</f>
        <v>50</v>
      </c>
      <c r="L1928" s="4">
        <f>IFERROR(__xludf.DUMMYFUNCTION("""COMPUTED_VALUE"""),0.425)</f>
        <v>0.425</v>
      </c>
      <c r="M1928" s="4">
        <f>IFERROR(__xludf.DUMMYFUNCTION("""COMPUTED_VALUE"""),0.323)</f>
        <v>0.323</v>
      </c>
      <c r="N1928" s="4">
        <f>IFERROR(__xludf.DUMMYFUNCTION("""COMPUTED_VALUE"""),0.693)</f>
        <v>0.693</v>
      </c>
      <c r="O1928" s="4">
        <f>IFERROR(__xludf.DUMMYFUNCTION("""COMPUTED_VALUE"""),11.5)</f>
        <v>11.5</v>
      </c>
      <c r="P1928" s="4">
        <f>IFERROR(__xludf.DUMMYFUNCTION("""COMPUTED_VALUE"""),4.7)</f>
        <v>4.7</v>
      </c>
      <c r="Q1928" s="4">
        <f>IFERROR(__xludf.DUMMYFUNCTION("""COMPUTED_VALUE"""),2.2)</f>
        <v>2.2</v>
      </c>
      <c r="R1928" s="4">
        <f>IFERROR(__xludf.DUMMYFUNCTION("""COMPUTED_VALUE"""),0.6)</f>
        <v>0.6</v>
      </c>
      <c r="S1928" s="4">
        <f>IFERROR(__xludf.DUMMYFUNCTION("""COMPUTED_VALUE"""),2.0)</f>
        <v>2</v>
      </c>
      <c r="T1928" s="4">
        <f>IFERROR(__xludf.DUMMYFUNCTION("""COMPUTED_VALUE"""),0.1)</f>
        <v>0.1</v>
      </c>
      <c r="U1928" s="4">
        <f>IFERROR(__xludf.DUMMYFUNCTION("""COMPUTED_VALUE"""),-1.6)</f>
        <v>-1.6</v>
      </c>
      <c r="V1928" s="4">
        <f>IFERROR(__xludf.DUMMYFUNCTION("""COMPUTED_VALUE"""),0.1)</f>
        <v>0.1</v>
      </c>
    </row>
    <row r="1929">
      <c r="A1929" s="4">
        <f>IFERROR(__xludf.DUMMYFUNCTION("""COMPUTED_VALUE"""),26.0)</f>
        <v>26</v>
      </c>
      <c r="B1929" s="4">
        <f>IFERROR(__xludf.DUMMYFUNCTION("""COMPUTED_VALUE"""),26.0)</f>
        <v>26</v>
      </c>
      <c r="C1929" s="4" t="str">
        <f>IFERROR(__xludf.DUMMYFUNCTION("""COMPUTED_VALUE"""),"DET")</f>
        <v>DET</v>
      </c>
      <c r="D1929" s="4" t="str">
        <f>IFERROR(__xludf.DUMMYFUNCTION("""COMPUTED_VALUE"""),"Jerome Williams")</f>
        <v>Jerome Williams</v>
      </c>
      <c r="E1929" s="4" t="str">
        <f>IFERROR(__xludf.DUMMYFUNCTION("""COMPUTED_VALUE"""),"Georgetown")</f>
        <v>Georgetown</v>
      </c>
      <c r="F1929" s="4">
        <f>IFERROR(__xludf.DUMMYFUNCTION("""COMPUTED_VALUE"""),9.0)</f>
        <v>9</v>
      </c>
      <c r="G1929" s="4">
        <f>IFERROR(__xludf.DUMMYFUNCTION("""COMPUTED_VALUE"""),587.0)</f>
        <v>587</v>
      </c>
      <c r="H1929" s="4">
        <f>IFERROR(__xludf.DUMMYFUNCTION("""COMPUTED_VALUE"""),12755.0)</f>
        <v>12755</v>
      </c>
      <c r="I1929" s="4">
        <f>IFERROR(__xludf.DUMMYFUNCTION("""COMPUTED_VALUE"""),3865.0)</f>
        <v>3865</v>
      </c>
      <c r="J1929" s="4">
        <f>IFERROR(__xludf.DUMMYFUNCTION("""COMPUTED_VALUE"""),3743.0)</f>
        <v>3743</v>
      </c>
      <c r="K1929" s="4">
        <f>IFERROR(__xludf.DUMMYFUNCTION("""COMPUTED_VALUE"""),474.0)</f>
        <v>474</v>
      </c>
      <c r="L1929" s="4">
        <f>IFERROR(__xludf.DUMMYFUNCTION("""COMPUTED_VALUE"""),0.502)</f>
        <v>0.502</v>
      </c>
      <c r="M1929" s="4">
        <f>IFERROR(__xludf.DUMMYFUNCTION("""COMPUTED_VALUE"""),0.038)</f>
        <v>0.038</v>
      </c>
      <c r="N1929" s="4">
        <f>IFERROR(__xludf.DUMMYFUNCTION("""COMPUTED_VALUE"""),0.645)</f>
        <v>0.645</v>
      </c>
      <c r="O1929" s="4">
        <f>IFERROR(__xludf.DUMMYFUNCTION("""COMPUTED_VALUE"""),21.7)</f>
        <v>21.7</v>
      </c>
      <c r="P1929" s="4">
        <f>IFERROR(__xludf.DUMMYFUNCTION("""COMPUTED_VALUE"""),6.6)</f>
        <v>6.6</v>
      </c>
      <c r="Q1929" s="4">
        <f>IFERROR(__xludf.DUMMYFUNCTION("""COMPUTED_VALUE"""),6.4)</f>
        <v>6.4</v>
      </c>
      <c r="R1929" s="4">
        <f>IFERROR(__xludf.DUMMYFUNCTION("""COMPUTED_VALUE"""),0.8)</f>
        <v>0.8</v>
      </c>
      <c r="S1929" s="4">
        <f>IFERROR(__xludf.DUMMYFUNCTION("""COMPUTED_VALUE"""),37.9)</f>
        <v>37.9</v>
      </c>
      <c r="T1929" s="4">
        <f>IFERROR(__xludf.DUMMYFUNCTION("""COMPUTED_VALUE"""),0.143)</f>
        <v>0.143</v>
      </c>
      <c r="U1929" s="4">
        <f>IFERROR(__xludf.DUMMYFUNCTION("""COMPUTED_VALUE"""),0.3)</f>
        <v>0.3</v>
      </c>
      <c r="V1929" s="4">
        <f>IFERROR(__xludf.DUMMYFUNCTION("""COMPUTED_VALUE"""),7.4)</f>
        <v>7.4</v>
      </c>
    </row>
    <row r="1930">
      <c r="A1930" s="4">
        <f>IFERROR(__xludf.DUMMYFUNCTION("""COMPUTED_VALUE"""),27.0)</f>
        <v>27</v>
      </c>
      <c r="B1930" s="4">
        <f>IFERROR(__xludf.DUMMYFUNCTION("""COMPUTED_VALUE"""),27.0)</f>
        <v>27</v>
      </c>
      <c r="C1930" s="4" t="str">
        <f>IFERROR(__xludf.DUMMYFUNCTION("""COMPUTED_VALUE"""),"ORL")</f>
        <v>ORL</v>
      </c>
      <c r="D1930" s="4" t="str">
        <f>IFERROR(__xludf.DUMMYFUNCTION("""COMPUTED_VALUE"""),"Brian Evans")</f>
        <v>Brian Evans</v>
      </c>
      <c r="E1930" s="4" t="str">
        <f>IFERROR(__xludf.DUMMYFUNCTION("""COMPUTED_VALUE"""),"Indiana")</f>
        <v>Indiana</v>
      </c>
      <c r="F1930" s="4">
        <f>IFERROR(__xludf.DUMMYFUNCTION("""COMPUTED_VALUE"""),3.0)</f>
        <v>3</v>
      </c>
      <c r="G1930" s="4">
        <f>IFERROR(__xludf.DUMMYFUNCTION("""COMPUTED_VALUE"""),102.0)</f>
        <v>102</v>
      </c>
      <c r="H1930" s="4">
        <f>IFERROR(__xludf.DUMMYFUNCTION("""COMPUTED_VALUE"""),1097.0)</f>
        <v>1097</v>
      </c>
      <c r="I1930" s="4">
        <f>IFERROR(__xludf.DUMMYFUNCTION("""COMPUTED_VALUE"""),375.0)</f>
        <v>375</v>
      </c>
      <c r="J1930" s="4">
        <f>IFERROR(__xludf.DUMMYFUNCTION("""COMPUTED_VALUE"""),164.0)</f>
        <v>164</v>
      </c>
      <c r="K1930" s="4">
        <f>IFERROR(__xludf.DUMMYFUNCTION("""COMPUTED_VALUE"""),77.0)</f>
        <v>77</v>
      </c>
      <c r="L1930" s="4">
        <f>IFERROR(__xludf.DUMMYFUNCTION("""COMPUTED_VALUE"""),0.381)</f>
        <v>0.381</v>
      </c>
      <c r="M1930" s="4">
        <f>IFERROR(__xludf.DUMMYFUNCTION("""COMPUTED_VALUE"""),0.343)</f>
        <v>0.343</v>
      </c>
      <c r="N1930" s="4">
        <f>IFERROR(__xludf.DUMMYFUNCTION("""COMPUTED_VALUE"""),0.82)</f>
        <v>0.82</v>
      </c>
      <c r="O1930" s="4">
        <f>IFERROR(__xludf.DUMMYFUNCTION("""COMPUTED_VALUE"""),10.8)</f>
        <v>10.8</v>
      </c>
      <c r="P1930" s="4">
        <f>IFERROR(__xludf.DUMMYFUNCTION("""COMPUTED_VALUE"""),3.7)</f>
        <v>3.7</v>
      </c>
      <c r="Q1930" s="4">
        <f>IFERROR(__xludf.DUMMYFUNCTION("""COMPUTED_VALUE"""),1.6)</f>
        <v>1.6</v>
      </c>
      <c r="R1930" s="4">
        <f>IFERROR(__xludf.DUMMYFUNCTION("""COMPUTED_VALUE"""),0.8)</f>
        <v>0.8</v>
      </c>
      <c r="S1930" s="4">
        <f>IFERROR(__xludf.DUMMYFUNCTION("""COMPUTED_VALUE"""),1.7)</f>
        <v>1.7</v>
      </c>
      <c r="T1930" s="4">
        <f>IFERROR(__xludf.DUMMYFUNCTION("""COMPUTED_VALUE"""),0.076)</f>
        <v>0.076</v>
      </c>
      <c r="U1930" s="4">
        <f>IFERROR(__xludf.DUMMYFUNCTION("""COMPUTED_VALUE"""),-0.8)</f>
        <v>-0.8</v>
      </c>
      <c r="V1930" s="4">
        <f>IFERROR(__xludf.DUMMYFUNCTION("""COMPUTED_VALUE"""),0.3)</f>
        <v>0.3</v>
      </c>
    </row>
    <row r="1931">
      <c r="A1931" s="4">
        <f>IFERROR(__xludf.DUMMYFUNCTION("""COMPUTED_VALUE"""),28.0)</f>
        <v>28</v>
      </c>
      <c r="B1931" s="4">
        <f>IFERROR(__xludf.DUMMYFUNCTION("""COMPUTED_VALUE"""),28.0)</f>
        <v>28</v>
      </c>
      <c r="C1931" s="4" t="str">
        <f>IFERROR(__xludf.DUMMYFUNCTION("""COMPUTED_VALUE"""),"ATL")</f>
        <v>ATL</v>
      </c>
      <c r="D1931" s="4" t="str">
        <f>IFERROR(__xludf.DUMMYFUNCTION("""COMPUTED_VALUE"""),"Priest Lauderdale")</f>
        <v>Priest Lauderdale</v>
      </c>
      <c r="E1931" s="4" t="str">
        <f>IFERROR(__xludf.DUMMYFUNCTION("""COMPUTED_VALUE"""),"Central State University")</f>
        <v>Central State University</v>
      </c>
      <c r="F1931" s="4">
        <f>IFERROR(__xludf.DUMMYFUNCTION("""COMPUTED_VALUE"""),2.0)</f>
        <v>2</v>
      </c>
      <c r="G1931" s="4">
        <f>IFERROR(__xludf.DUMMYFUNCTION("""COMPUTED_VALUE"""),74.0)</f>
        <v>74</v>
      </c>
      <c r="H1931" s="4">
        <f>IFERROR(__xludf.DUMMYFUNCTION("""COMPUTED_VALUE"""),525.0)</f>
        <v>525</v>
      </c>
      <c r="I1931" s="4">
        <f>IFERROR(__xludf.DUMMYFUNCTION("""COMPUTED_VALUE"""),255.0)</f>
        <v>255</v>
      </c>
      <c r="J1931" s="4">
        <f>IFERROR(__xludf.DUMMYFUNCTION("""COMPUTED_VALUE"""),143.0)</f>
        <v>143</v>
      </c>
      <c r="K1931" s="4">
        <f>IFERROR(__xludf.DUMMYFUNCTION("""COMPUTED_VALUE"""),33.0)</f>
        <v>33</v>
      </c>
      <c r="L1931" s="4">
        <f>IFERROR(__xludf.DUMMYFUNCTION("""COMPUTED_VALUE"""),0.472)</f>
        <v>0.472</v>
      </c>
      <c r="M1931" s="4">
        <f>IFERROR(__xludf.DUMMYFUNCTION("""COMPUTED_VALUE"""),0.0)</f>
        <v>0</v>
      </c>
      <c r="N1931" s="4">
        <f>IFERROR(__xludf.DUMMYFUNCTION("""COMPUTED_VALUE"""),0.554)</f>
        <v>0.554</v>
      </c>
      <c r="O1931" s="4">
        <f>IFERROR(__xludf.DUMMYFUNCTION("""COMPUTED_VALUE"""),7.1)</f>
        <v>7.1</v>
      </c>
      <c r="P1931" s="4">
        <f>IFERROR(__xludf.DUMMYFUNCTION("""COMPUTED_VALUE"""),3.4)</f>
        <v>3.4</v>
      </c>
      <c r="Q1931" s="4">
        <f>IFERROR(__xludf.DUMMYFUNCTION("""COMPUTED_VALUE"""),1.9)</f>
        <v>1.9</v>
      </c>
      <c r="R1931" s="4">
        <f>IFERROR(__xludf.DUMMYFUNCTION("""COMPUTED_VALUE"""),0.4)</f>
        <v>0.4</v>
      </c>
      <c r="S1931" s="4">
        <f>IFERROR(__xludf.DUMMYFUNCTION("""COMPUTED_VALUE"""),-0.8)</f>
        <v>-0.8</v>
      </c>
      <c r="T1931" s="4">
        <f>IFERROR(__xludf.DUMMYFUNCTION("""COMPUTED_VALUE"""),-0.074)</f>
        <v>-0.074</v>
      </c>
      <c r="U1931" s="4">
        <f>IFERROR(__xludf.DUMMYFUNCTION("""COMPUTED_VALUE"""),-7.9)</f>
        <v>-7.9</v>
      </c>
      <c r="V1931" s="4">
        <f>IFERROR(__xludf.DUMMYFUNCTION("""COMPUTED_VALUE"""),-0.8)</f>
        <v>-0.8</v>
      </c>
    </row>
    <row r="1932">
      <c r="A1932" s="4">
        <f>IFERROR(__xludf.DUMMYFUNCTION("""COMPUTED_VALUE"""),29.0)</f>
        <v>29</v>
      </c>
      <c r="B1932" s="4">
        <f>IFERROR(__xludf.DUMMYFUNCTION("""COMPUTED_VALUE"""),29.0)</f>
        <v>29</v>
      </c>
      <c r="C1932" s="4" t="str">
        <f>IFERROR(__xludf.DUMMYFUNCTION("""COMPUTED_VALUE"""),"CHI")</f>
        <v>CHI</v>
      </c>
      <c r="D1932" s="4" t="str">
        <f>IFERROR(__xludf.DUMMYFUNCTION("""COMPUTED_VALUE"""),"Travis Knight")</f>
        <v>Travis Knight</v>
      </c>
      <c r="E1932" s="4" t="str">
        <f>IFERROR(__xludf.DUMMYFUNCTION("""COMPUTED_VALUE"""),"UConn")</f>
        <v>UConn</v>
      </c>
      <c r="F1932" s="4">
        <f>IFERROR(__xludf.DUMMYFUNCTION("""COMPUTED_VALUE"""),7.0)</f>
        <v>7</v>
      </c>
      <c r="G1932" s="4">
        <f>IFERROR(__xludf.DUMMYFUNCTION("""COMPUTED_VALUE"""),371.0)</f>
        <v>371</v>
      </c>
      <c r="H1932" s="4">
        <f>IFERROR(__xludf.DUMMYFUNCTION("""COMPUTED_VALUE"""),4566.0)</f>
        <v>4566</v>
      </c>
      <c r="I1932" s="4">
        <f>IFERROR(__xludf.DUMMYFUNCTION("""COMPUTED_VALUE"""),1276.0)</f>
        <v>1276</v>
      </c>
      <c r="J1932" s="4">
        <f>IFERROR(__xludf.DUMMYFUNCTION("""COMPUTED_VALUE"""),1160.0)</f>
        <v>1160</v>
      </c>
      <c r="K1932" s="4">
        <f>IFERROR(__xludf.DUMMYFUNCTION("""COMPUTED_VALUE"""),224.0)</f>
        <v>224</v>
      </c>
      <c r="L1932" s="4">
        <f>IFERROR(__xludf.DUMMYFUNCTION("""COMPUTED_VALUE"""),0.438)</f>
        <v>0.438</v>
      </c>
      <c r="M1932" s="4">
        <f>IFERROR(__xludf.DUMMYFUNCTION("""COMPUTED_VALUE"""),0.259)</f>
        <v>0.259</v>
      </c>
      <c r="N1932" s="4">
        <f>IFERROR(__xludf.DUMMYFUNCTION("""COMPUTED_VALUE"""),0.696)</f>
        <v>0.696</v>
      </c>
      <c r="O1932" s="4">
        <f>IFERROR(__xludf.DUMMYFUNCTION("""COMPUTED_VALUE"""),12.3)</f>
        <v>12.3</v>
      </c>
      <c r="P1932" s="4">
        <f>IFERROR(__xludf.DUMMYFUNCTION("""COMPUTED_VALUE"""),3.4)</f>
        <v>3.4</v>
      </c>
      <c r="Q1932" s="4">
        <f>IFERROR(__xludf.DUMMYFUNCTION("""COMPUTED_VALUE"""),3.1)</f>
        <v>3.1</v>
      </c>
      <c r="R1932" s="4">
        <f>IFERROR(__xludf.DUMMYFUNCTION("""COMPUTED_VALUE"""),0.6)</f>
        <v>0.6</v>
      </c>
      <c r="S1932" s="4">
        <f>IFERROR(__xludf.DUMMYFUNCTION("""COMPUTED_VALUE"""),7.9)</f>
        <v>7.9</v>
      </c>
      <c r="T1932" s="4">
        <f>IFERROR(__xludf.DUMMYFUNCTION("""COMPUTED_VALUE"""),0.083)</f>
        <v>0.083</v>
      </c>
      <c r="U1932" s="4">
        <f>IFERROR(__xludf.DUMMYFUNCTION("""COMPUTED_VALUE"""),-3.0)</f>
        <v>-3</v>
      </c>
      <c r="V1932" s="4">
        <f>IFERROR(__xludf.DUMMYFUNCTION("""COMPUTED_VALUE"""),-1.1)</f>
        <v>-1.1</v>
      </c>
    </row>
    <row r="1933">
      <c r="A1933" s="4"/>
      <c r="B1933" s="4"/>
      <c r="C1933" s="4"/>
      <c r="D1933" s="4" t="str">
        <f>IFERROR(__xludf.DUMMYFUNCTION("""COMPUTED_VALUE"""),"Round 2")</f>
        <v>Round 2</v>
      </c>
      <c r="E1933" s="4"/>
      <c r="F1933" s="4"/>
      <c r="G1933" s="4" t="str">
        <f>IFERROR(__xludf.DUMMYFUNCTION("""COMPUTED_VALUE"""),"Totals")</f>
        <v>Totals</v>
      </c>
      <c r="H1933" s="4"/>
      <c r="I1933" s="4"/>
      <c r="J1933" s="4"/>
      <c r="K1933" s="4"/>
      <c r="L1933" s="4" t="str">
        <f>IFERROR(__xludf.DUMMYFUNCTION("""COMPUTED_VALUE"""),"Shooting")</f>
        <v>Shooting</v>
      </c>
      <c r="M1933" s="4"/>
      <c r="N1933" s="4"/>
      <c r="O1933" s="4" t="str">
        <f>IFERROR(__xludf.DUMMYFUNCTION("""COMPUTED_VALUE"""),"Per Game")</f>
        <v>Per Game</v>
      </c>
      <c r="P1933" s="4"/>
      <c r="Q1933" s="4"/>
      <c r="R1933" s="4"/>
      <c r="S1933" s="4" t="str">
        <f>IFERROR(__xludf.DUMMYFUNCTION("""COMPUTED_VALUE"""),"Advanced")</f>
        <v>Advanced</v>
      </c>
      <c r="T1933" s="4"/>
      <c r="U1933" s="4"/>
      <c r="V1933" s="4"/>
    </row>
    <row r="1934">
      <c r="A1934" s="4" t="str">
        <f>IFERROR(__xludf.DUMMYFUNCTION("""COMPUTED_VALUE"""),"Rk")</f>
        <v>Rk</v>
      </c>
      <c r="B1934" s="4" t="str">
        <f>IFERROR(__xludf.DUMMYFUNCTION("""COMPUTED_VALUE"""),"Pk")</f>
        <v>Pk</v>
      </c>
      <c r="C1934" s="4" t="str">
        <f>IFERROR(__xludf.DUMMYFUNCTION("""COMPUTED_VALUE"""),"Tm")</f>
        <v>Tm</v>
      </c>
      <c r="D1934" s="4" t="str">
        <f>IFERROR(__xludf.DUMMYFUNCTION("""COMPUTED_VALUE"""),"Player")</f>
        <v>Player</v>
      </c>
      <c r="E1934" s="4" t="str">
        <f>IFERROR(__xludf.DUMMYFUNCTION("""COMPUTED_VALUE"""),"College")</f>
        <v>College</v>
      </c>
      <c r="F1934" s="4" t="str">
        <f>IFERROR(__xludf.DUMMYFUNCTION("""COMPUTED_VALUE"""),"Yrs")</f>
        <v>Yrs</v>
      </c>
      <c r="G1934" s="4" t="str">
        <f>IFERROR(__xludf.DUMMYFUNCTION("""COMPUTED_VALUE"""),"G")</f>
        <v>G</v>
      </c>
      <c r="H1934" s="4" t="str">
        <f>IFERROR(__xludf.DUMMYFUNCTION("""COMPUTED_VALUE"""),"MP")</f>
        <v>MP</v>
      </c>
      <c r="I1934" s="4" t="str">
        <f>IFERROR(__xludf.DUMMYFUNCTION("""COMPUTED_VALUE"""),"PTS")</f>
        <v>PTS</v>
      </c>
      <c r="J1934" s="4" t="str">
        <f>IFERROR(__xludf.DUMMYFUNCTION("""COMPUTED_VALUE"""),"TRB")</f>
        <v>TRB</v>
      </c>
      <c r="K1934" s="4" t="str">
        <f>IFERROR(__xludf.DUMMYFUNCTION("""COMPUTED_VALUE"""),"AST")</f>
        <v>AST</v>
      </c>
      <c r="L1934" s="4" t="str">
        <f>IFERROR(__xludf.DUMMYFUNCTION("""COMPUTED_VALUE"""),"FG%")</f>
        <v>FG%</v>
      </c>
      <c r="M1934" s="4" t="str">
        <f>IFERROR(__xludf.DUMMYFUNCTION("""COMPUTED_VALUE"""),"3P%")</f>
        <v>3P%</v>
      </c>
      <c r="N1934" s="4" t="str">
        <f>IFERROR(__xludf.DUMMYFUNCTION("""COMPUTED_VALUE"""),"FT%")</f>
        <v>FT%</v>
      </c>
      <c r="O1934" s="4" t="str">
        <f>IFERROR(__xludf.DUMMYFUNCTION("""COMPUTED_VALUE"""),"MP")</f>
        <v>MP</v>
      </c>
      <c r="P1934" s="4" t="str">
        <f>IFERROR(__xludf.DUMMYFUNCTION("""COMPUTED_VALUE"""),"PTS")</f>
        <v>PTS</v>
      </c>
      <c r="Q1934" s="4" t="str">
        <f>IFERROR(__xludf.DUMMYFUNCTION("""COMPUTED_VALUE"""),"TRB")</f>
        <v>TRB</v>
      </c>
      <c r="R1934" s="4" t="str">
        <f>IFERROR(__xludf.DUMMYFUNCTION("""COMPUTED_VALUE"""),"AST")</f>
        <v>AST</v>
      </c>
      <c r="S1934" s="4" t="str">
        <f>IFERROR(__xludf.DUMMYFUNCTION("""COMPUTED_VALUE"""),"WS")</f>
        <v>WS</v>
      </c>
      <c r="T1934" s="4" t="str">
        <f>IFERROR(__xludf.DUMMYFUNCTION("""COMPUTED_VALUE"""),"WS/48")</f>
        <v>WS/48</v>
      </c>
      <c r="U1934" s="4" t="str">
        <f>IFERROR(__xludf.DUMMYFUNCTION("""COMPUTED_VALUE"""),"BPM")</f>
        <v>BPM</v>
      </c>
      <c r="V1934" s="4" t="str">
        <f>IFERROR(__xludf.DUMMYFUNCTION("""COMPUTED_VALUE"""),"VORP")</f>
        <v>VORP</v>
      </c>
    </row>
    <row r="1935">
      <c r="A1935" s="4">
        <f>IFERROR(__xludf.DUMMYFUNCTION("""COMPUTED_VALUE"""),30.0)</f>
        <v>30</v>
      </c>
      <c r="B1935" s="4">
        <f>IFERROR(__xludf.DUMMYFUNCTION("""COMPUTED_VALUE"""),30.0)</f>
        <v>30</v>
      </c>
      <c r="C1935" s="4" t="str">
        <f>IFERROR(__xludf.DUMMYFUNCTION("""COMPUTED_VALUE"""),"HOU")</f>
        <v>HOU</v>
      </c>
      <c r="D1935" s="4" t="str">
        <f>IFERROR(__xludf.DUMMYFUNCTION("""COMPUTED_VALUE"""),"Othella Harrington")</f>
        <v>Othella Harrington</v>
      </c>
      <c r="E1935" s="4" t="str">
        <f>IFERROR(__xludf.DUMMYFUNCTION("""COMPUTED_VALUE"""),"Georgetown")</f>
        <v>Georgetown</v>
      </c>
      <c r="F1935" s="4">
        <f>IFERROR(__xludf.DUMMYFUNCTION("""COMPUTED_VALUE"""),12.0)</f>
        <v>12</v>
      </c>
      <c r="G1935" s="4">
        <f>IFERROR(__xludf.DUMMYFUNCTION("""COMPUTED_VALUE"""),709.0)</f>
        <v>709</v>
      </c>
      <c r="H1935" s="4">
        <f>IFERROR(__xludf.DUMMYFUNCTION("""COMPUTED_VALUE"""),13924.0)</f>
        <v>13924</v>
      </c>
      <c r="I1935" s="4">
        <f>IFERROR(__xludf.DUMMYFUNCTION("""COMPUTED_VALUE"""),5212.0)</f>
        <v>5212</v>
      </c>
      <c r="J1935" s="4">
        <f>IFERROR(__xludf.DUMMYFUNCTION("""COMPUTED_VALUE"""),3130.0)</f>
        <v>3130</v>
      </c>
      <c r="K1935" s="4">
        <f>IFERROR(__xludf.DUMMYFUNCTION("""COMPUTED_VALUE"""),443.0)</f>
        <v>443</v>
      </c>
      <c r="L1935" s="4">
        <f>IFERROR(__xludf.DUMMYFUNCTION("""COMPUTED_VALUE"""),0.505)</f>
        <v>0.505</v>
      </c>
      <c r="M1935" s="4">
        <f>IFERROR(__xludf.DUMMYFUNCTION("""COMPUTED_VALUE"""),0.0)</f>
        <v>0</v>
      </c>
      <c r="N1935" s="4">
        <f>IFERROR(__xludf.DUMMYFUNCTION("""COMPUTED_VALUE"""),0.738)</f>
        <v>0.738</v>
      </c>
      <c r="O1935" s="4">
        <f>IFERROR(__xludf.DUMMYFUNCTION("""COMPUTED_VALUE"""),19.6)</f>
        <v>19.6</v>
      </c>
      <c r="P1935" s="4">
        <f>IFERROR(__xludf.DUMMYFUNCTION("""COMPUTED_VALUE"""),7.4)</f>
        <v>7.4</v>
      </c>
      <c r="Q1935" s="4">
        <f>IFERROR(__xludf.DUMMYFUNCTION("""COMPUTED_VALUE"""),4.4)</f>
        <v>4.4</v>
      </c>
      <c r="R1935" s="4">
        <f>IFERROR(__xludf.DUMMYFUNCTION("""COMPUTED_VALUE"""),0.6)</f>
        <v>0.6</v>
      </c>
      <c r="S1935" s="4">
        <f>IFERROR(__xludf.DUMMYFUNCTION("""COMPUTED_VALUE"""),23.1)</f>
        <v>23.1</v>
      </c>
      <c r="T1935" s="4">
        <f>IFERROR(__xludf.DUMMYFUNCTION("""COMPUTED_VALUE"""),0.08)</f>
        <v>0.08</v>
      </c>
      <c r="U1935" s="4">
        <f>IFERROR(__xludf.DUMMYFUNCTION("""COMPUTED_VALUE"""),-3.4)</f>
        <v>-3.4</v>
      </c>
      <c r="V1935" s="4">
        <f>IFERROR(__xludf.DUMMYFUNCTION("""COMPUTED_VALUE"""),-4.9)</f>
        <v>-4.9</v>
      </c>
    </row>
    <row r="1936">
      <c r="A1936" s="4">
        <f>IFERROR(__xludf.DUMMYFUNCTION("""COMPUTED_VALUE"""),31.0)</f>
        <v>31</v>
      </c>
      <c r="B1936" s="4">
        <f>IFERROR(__xludf.DUMMYFUNCTION("""COMPUTED_VALUE"""),31.0)</f>
        <v>31</v>
      </c>
      <c r="C1936" s="4" t="str">
        <f>IFERROR(__xludf.DUMMYFUNCTION("""COMPUTED_VALUE"""),"PHI")</f>
        <v>PHI</v>
      </c>
      <c r="D1936" s="4" t="str">
        <f>IFERROR(__xludf.DUMMYFUNCTION("""COMPUTED_VALUE"""),"Mark Hendrickson")</f>
        <v>Mark Hendrickson</v>
      </c>
      <c r="E1936" s="4" t="str">
        <f>IFERROR(__xludf.DUMMYFUNCTION("""COMPUTED_VALUE"""),"Washington State")</f>
        <v>Washington State</v>
      </c>
      <c r="F1936" s="4">
        <f>IFERROR(__xludf.DUMMYFUNCTION("""COMPUTED_VALUE"""),4.0)</f>
        <v>4</v>
      </c>
      <c r="G1936" s="4">
        <f>IFERROR(__xludf.DUMMYFUNCTION("""COMPUTED_VALUE"""),114.0)</f>
        <v>114</v>
      </c>
      <c r="H1936" s="4">
        <f>IFERROR(__xludf.DUMMYFUNCTION("""COMPUTED_VALUE"""),1508.0)</f>
        <v>1508</v>
      </c>
      <c r="I1936" s="4">
        <f>IFERROR(__xludf.DUMMYFUNCTION("""COMPUTED_VALUE"""),381.0)</f>
        <v>381</v>
      </c>
      <c r="J1936" s="4">
        <f>IFERROR(__xludf.DUMMYFUNCTION("""COMPUTED_VALUE"""),316.0)</f>
        <v>316</v>
      </c>
      <c r="K1936" s="4">
        <f>IFERROR(__xludf.DUMMYFUNCTION("""COMPUTED_VALUE"""),63.0)</f>
        <v>63</v>
      </c>
      <c r="L1936" s="4">
        <f>IFERROR(__xludf.DUMMYFUNCTION("""COMPUTED_VALUE"""),0.416)</f>
        <v>0.416</v>
      </c>
      <c r="M1936" s="4">
        <f>IFERROR(__xludf.DUMMYFUNCTION("""COMPUTED_VALUE"""),0.167)</f>
        <v>0.167</v>
      </c>
      <c r="N1936" s="4">
        <f>IFERROR(__xludf.DUMMYFUNCTION("""COMPUTED_VALUE"""),0.803)</f>
        <v>0.803</v>
      </c>
      <c r="O1936" s="4">
        <f>IFERROR(__xludf.DUMMYFUNCTION("""COMPUTED_VALUE"""),13.2)</f>
        <v>13.2</v>
      </c>
      <c r="P1936" s="4">
        <f>IFERROR(__xludf.DUMMYFUNCTION("""COMPUTED_VALUE"""),3.3)</f>
        <v>3.3</v>
      </c>
      <c r="Q1936" s="4">
        <f>IFERROR(__xludf.DUMMYFUNCTION("""COMPUTED_VALUE"""),2.8)</f>
        <v>2.8</v>
      </c>
      <c r="R1936" s="4">
        <f>IFERROR(__xludf.DUMMYFUNCTION("""COMPUTED_VALUE"""),0.6)</f>
        <v>0.6</v>
      </c>
      <c r="S1936" s="4">
        <f>IFERROR(__xludf.DUMMYFUNCTION("""COMPUTED_VALUE"""),2.1)</f>
        <v>2.1</v>
      </c>
      <c r="T1936" s="4">
        <f>IFERROR(__xludf.DUMMYFUNCTION("""COMPUTED_VALUE"""),0.067)</f>
        <v>0.067</v>
      </c>
      <c r="U1936" s="4">
        <f>IFERROR(__xludf.DUMMYFUNCTION("""COMPUTED_VALUE"""),-3.8)</f>
        <v>-3.8</v>
      </c>
      <c r="V1936" s="4">
        <f>IFERROR(__xludf.DUMMYFUNCTION("""COMPUTED_VALUE"""),-0.7)</f>
        <v>-0.7</v>
      </c>
    </row>
    <row r="1937">
      <c r="A1937" s="4">
        <f>IFERROR(__xludf.DUMMYFUNCTION("""COMPUTED_VALUE"""),32.0)</f>
        <v>32</v>
      </c>
      <c r="B1937" s="4">
        <f>IFERROR(__xludf.DUMMYFUNCTION("""COMPUTED_VALUE"""),32.0)</f>
        <v>32</v>
      </c>
      <c r="C1937" s="4" t="str">
        <f>IFERROR(__xludf.DUMMYFUNCTION("""COMPUTED_VALUE"""),"PHI")</f>
        <v>PHI</v>
      </c>
      <c r="D1937" s="4" t="str">
        <f>IFERROR(__xludf.DUMMYFUNCTION("""COMPUTED_VALUE"""),"Ryan Minor")</f>
        <v>Ryan Minor</v>
      </c>
      <c r="E1937" s="4" t="str">
        <f>IFERROR(__xludf.DUMMYFUNCTION("""COMPUTED_VALUE"""),"Oklahoma")</f>
        <v>Oklahoma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</row>
    <row r="1938">
      <c r="A1938" s="4">
        <f>IFERROR(__xludf.DUMMYFUNCTION("""COMPUTED_VALUE"""),33.0)</f>
        <v>33</v>
      </c>
      <c r="B1938" s="4">
        <f>IFERROR(__xludf.DUMMYFUNCTION("""COMPUTED_VALUE"""),33.0)</f>
        <v>33</v>
      </c>
      <c r="C1938" s="4" t="str">
        <f>IFERROR(__xludf.DUMMYFUNCTION("""COMPUTED_VALUE"""),"MIL")</f>
        <v>MIL</v>
      </c>
      <c r="D1938" s="4" t="str">
        <f>IFERROR(__xludf.DUMMYFUNCTION("""COMPUTED_VALUE"""),"Moochie Norris")</f>
        <v>Moochie Norris</v>
      </c>
      <c r="E1938" s="4" t="str">
        <f>IFERROR(__xludf.DUMMYFUNCTION("""COMPUTED_VALUE"""),"University of West Florida")</f>
        <v>University of West Florida</v>
      </c>
      <c r="F1938" s="4">
        <f>IFERROR(__xludf.DUMMYFUNCTION("""COMPUTED_VALUE"""),9.0)</f>
        <v>9</v>
      </c>
      <c r="G1938" s="4">
        <f>IFERROR(__xludf.DUMMYFUNCTION("""COMPUTED_VALUE"""),445.0)</f>
        <v>445</v>
      </c>
      <c r="H1938" s="4">
        <f>IFERROR(__xludf.DUMMYFUNCTION("""COMPUTED_VALUE"""),7640.0)</f>
        <v>7640</v>
      </c>
      <c r="I1938" s="4">
        <f>IFERROR(__xludf.DUMMYFUNCTION("""COMPUTED_VALUE"""),2272.0)</f>
        <v>2272</v>
      </c>
      <c r="J1938" s="4">
        <f>IFERROR(__xludf.DUMMYFUNCTION("""COMPUTED_VALUE"""),868.0)</f>
        <v>868</v>
      </c>
      <c r="K1938" s="4">
        <f>IFERROR(__xludf.DUMMYFUNCTION("""COMPUTED_VALUE"""),1233.0)</f>
        <v>1233</v>
      </c>
      <c r="L1938" s="4">
        <f>IFERROR(__xludf.DUMMYFUNCTION("""COMPUTED_VALUE"""),0.401)</f>
        <v>0.401</v>
      </c>
      <c r="M1938" s="4">
        <f>IFERROR(__xludf.DUMMYFUNCTION("""COMPUTED_VALUE"""),0.286)</f>
        <v>0.286</v>
      </c>
      <c r="N1938" s="4">
        <f>IFERROR(__xludf.DUMMYFUNCTION("""COMPUTED_VALUE"""),0.74)</f>
        <v>0.74</v>
      </c>
      <c r="O1938" s="4">
        <f>IFERROR(__xludf.DUMMYFUNCTION("""COMPUTED_VALUE"""),17.2)</f>
        <v>17.2</v>
      </c>
      <c r="P1938" s="4">
        <f>IFERROR(__xludf.DUMMYFUNCTION("""COMPUTED_VALUE"""),5.1)</f>
        <v>5.1</v>
      </c>
      <c r="Q1938" s="4">
        <f>IFERROR(__xludf.DUMMYFUNCTION("""COMPUTED_VALUE"""),2.0)</f>
        <v>2</v>
      </c>
      <c r="R1938" s="4">
        <f>IFERROR(__xludf.DUMMYFUNCTION("""COMPUTED_VALUE"""),2.8)</f>
        <v>2.8</v>
      </c>
      <c r="S1938" s="4">
        <f>IFERROR(__xludf.DUMMYFUNCTION("""COMPUTED_VALUE"""),10.0)</f>
        <v>10</v>
      </c>
      <c r="T1938" s="4">
        <f>IFERROR(__xludf.DUMMYFUNCTION("""COMPUTED_VALUE"""),0.063)</f>
        <v>0.063</v>
      </c>
      <c r="U1938" s="4">
        <f>IFERROR(__xludf.DUMMYFUNCTION("""COMPUTED_VALUE"""),-1.4)</f>
        <v>-1.4</v>
      </c>
      <c r="V1938" s="4">
        <f>IFERROR(__xludf.DUMMYFUNCTION("""COMPUTED_VALUE"""),1.2)</f>
        <v>1.2</v>
      </c>
    </row>
    <row r="1939">
      <c r="A1939" s="4">
        <f>IFERROR(__xludf.DUMMYFUNCTION("""COMPUTED_VALUE"""),34.0)</f>
        <v>34</v>
      </c>
      <c r="B1939" s="4">
        <f>IFERROR(__xludf.DUMMYFUNCTION("""COMPUTED_VALUE"""),34.0)</f>
        <v>34</v>
      </c>
      <c r="C1939" s="4" t="str">
        <f>IFERROR(__xludf.DUMMYFUNCTION("""COMPUTED_VALUE"""),"DAL")</f>
        <v>DAL</v>
      </c>
      <c r="D1939" s="4" t="str">
        <f>IFERROR(__xludf.DUMMYFUNCTION("""COMPUTED_VALUE"""),"Shawn Harvey")</f>
        <v>Shawn Harvey</v>
      </c>
      <c r="E1939" s="4" t="str">
        <f>IFERROR(__xludf.DUMMYFUNCTION("""COMPUTED_VALUE"""),"West Virginia State University")</f>
        <v>West Virginia State University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</row>
    <row r="1940">
      <c r="A1940" s="4">
        <f>IFERROR(__xludf.DUMMYFUNCTION("""COMPUTED_VALUE"""),35.0)</f>
        <v>35</v>
      </c>
      <c r="B1940" s="4">
        <f>IFERROR(__xludf.DUMMYFUNCTION("""COMPUTED_VALUE"""),35.0)</f>
        <v>35</v>
      </c>
      <c r="C1940" s="4" t="str">
        <f>IFERROR(__xludf.DUMMYFUNCTION("""COMPUTED_VALUE"""),"SEA")</f>
        <v>SEA</v>
      </c>
      <c r="D1940" s="4" t="str">
        <f>IFERROR(__xludf.DUMMYFUNCTION("""COMPUTED_VALUE"""),"Joseph Blair")</f>
        <v>Joseph Blair</v>
      </c>
      <c r="E1940" s="4" t="str">
        <f>IFERROR(__xludf.DUMMYFUNCTION("""COMPUTED_VALUE"""),"Arizona")</f>
        <v>Arizona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</row>
    <row r="1941">
      <c r="A1941" s="4">
        <f>IFERROR(__xludf.DUMMYFUNCTION("""COMPUTED_VALUE"""),36.0)</f>
        <v>36</v>
      </c>
      <c r="B1941" s="4">
        <f>IFERROR(__xludf.DUMMYFUNCTION("""COMPUTED_VALUE"""),36.0)</f>
        <v>36</v>
      </c>
      <c r="C1941" s="4" t="str">
        <f>IFERROR(__xludf.DUMMYFUNCTION("""COMPUTED_VALUE"""),"LAC")</f>
        <v>LAC</v>
      </c>
      <c r="D1941" s="4" t="str">
        <f>IFERROR(__xludf.DUMMYFUNCTION("""COMPUTED_VALUE"""),"Doron Sheffer")</f>
        <v>Doron Sheffer</v>
      </c>
      <c r="E1941" s="4" t="str">
        <f>IFERROR(__xludf.DUMMYFUNCTION("""COMPUTED_VALUE"""),"UConn")</f>
        <v>UConn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</row>
    <row r="1942">
      <c r="A1942" s="4">
        <f>IFERROR(__xludf.DUMMYFUNCTION("""COMPUTED_VALUE"""),37.0)</f>
        <v>37</v>
      </c>
      <c r="B1942" s="4">
        <f>IFERROR(__xludf.DUMMYFUNCTION("""COMPUTED_VALUE"""),37.0)</f>
        <v>37</v>
      </c>
      <c r="C1942" s="4" t="str">
        <f>IFERROR(__xludf.DUMMYFUNCTION("""COMPUTED_VALUE"""),"DEN")</f>
        <v>DEN</v>
      </c>
      <c r="D1942" s="4" t="str">
        <f>IFERROR(__xludf.DUMMYFUNCTION("""COMPUTED_VALUE"""),"Jeff McInnis")</f>
        <v>Jeff McInnis</v>
      </c>
      <c r="E1942" s="4" t="str">
        <f>IFERROR(__xludf.DUMMYFUNCTION("""COMPUTED_VALUE"""),"UNC")</f>
        <v>UNC</v>
      </c>
      <c r="F1942" s="4">
        <f>IFERROR(__xludf.DUMMYFUNCTION("""COMPUTED_VALUE"""),11.0)</f>
        <v>11</v>
      </c>
      <c r="G1942" s="4">
        <f>IFERROR(__xludf.DUMMYFUNCTION("""COMPUTED_VALUE"""),576.0)</f>
        <v>576</v>
      </c>
      <c r="H1942" s="4">
        <f>IFERROR(__xludf.DUMMYFUNCTION("""COMPUTED_VALUE"""),15927.0)</f>
        <v>15927</v>
      </c>
      <c r="I1942" s="4">
        <f>IFERROR(__xludf.DUMMYFUNCTION("""COMPUTED_VALUE"""),5396.0)</f>
        <v>5396</v>
      </c>
      <c r="J1942" s="4">
        <f>IFERROR(__xludf.DUMMYFUNCTION("""COMPUTED_VALUE"""),1170.0)</f>
        <v>1170</v>
      </c>
      <c r="K1942" s="4">
        <f>IFERROR(__xludf.DUMMYFUNCTION("""COMPUTED_VALUE"""),2514.0)</f>
        <v>2514</v>
      </c>
      <c r="L1942" s="4">
        <f>IFERROR(__xludf.DUMMYFUNCTION("""COMPUTED_VALUE"""),0.431)</f>
        <v>0.431</v>
      </c>
      <c r="M1942" s="4">
        <f>IFERROR(__xludf.DUMMYFUNCTION("""COMPUTED_VALUE"""),0.328)</f>
        <v>0.328</v>
      </c>
      <c r="N1942" s="4">
        <f>IFERROR(__xludf.DUMMYFUNCTION("""COMPUTED_VALUE"""),0.796)</f>
        <v>0.796</v>
      </c>
      <c r="O1942" s="4">
        <f>IFERROR(__xludf.DUMMYFUNCTION("""COMPUTED_VALUE"""),27.7)</f>
        <v>27.7</v>
      </c>
      <c r="P1942" s="4">
        <f>IFERROR(__xludf.DUMMYFUNCTION("""COMPUTED_VALUE"""),9.4)</f>
        <v>9.4</v>
      </c>
      <c r="Q1942" s="4">
        <f>IFERROR(__xludf.DUMMYFUNCTION("""COMPUTED_VALUE"""),2.0)</f>
        <v>2</v>
      </c>
      <c r="R1942" s="4">
        <f>IFERROR(__xludf.DUMMYFUNCTION("""COMPUTED_VALUE"""),4.4)</f>
        <v>4.4</v>
      </c>
      <c r="S1942" s="4">
        <f>IFERROR(__xludf.DUMMYFUNCTION("""COMPUTED_VALUE"""),23.1)</f>
        <v>23.1</v>
      </c>
      <c r="T1942" s="4">
        <f>IFERROR(__xludf.DUMMYFUNCTION("""COMPUTED_VALUE"""),0.07)</f>
        <v>0.07</v>
      </c>
      <c r="U1942" s="4">
        <f>IFERROR(__xludf.DUMMYFUNCTION("""COMPUTED_VALUE"""),-2.1)</f>
        <v>-2.1</v>
      </c>
      <c r="V1942" s="4">
        <f>IFERROR(__xludf.DUMMYFUNCTION("""COMPUTED_VALUE"""),-0.3)</f>
        <v>-0.3</v>
      </c>
    </row>
    <row r="1943">
      <c r="A1943" s="4">
        <f>IFERROR(__xludf.DUMMYFUNCTION("""COMPUTED_VALUE"""),38.0)</f>
        <v>38</v>
      </c>
      <c r="B1943" s="4">
        <f>IFERROR(__xludf.DUMMYFUNCTION("""COMPUTED_VALUE"""),38.0)</f>
        <v>38</v>
      </c>
      <c r="C1943" s="4" t="str">
        <f>IFERROR(__xludf.DUMMYFUNCTION("""COMPUTED_VALUE"""),"BOS")</f>
        <v>BOS</v>
      </c>
      <c r="D1943" s="4" t="str">
        <f>IFERROR(__xludf.DUMMYFUNCTION("""COMPUTED_VALUE"""),"Steve Hamer")</f>
        <v>Steve Hamer</v>
      </c>
      <c r="E1943" s="4" t="str">
        <f>IFERROR(__xludf.DUMMYFUNCTION("""COMPUTED_VALUE"""),"Tennessee")</f>
        <v>Tennessee</v>
      </c>
      <c r="F1943" s="4">
        <f>IFERROR(__xludf.DUMMYFUNCTION("""COMPUTED_VALUE"""),1.0)</f>
        <v>1</v>
      </c>
      <c r="G1943" s="4">
        <f>IFERROR(__xludf.DUMMYFUNCTION("""COMPUTED_VALUE"""),35.0)</f>
        <v>35</v>
      </c>
      <c r="H1943" s="4">
        <f>IFERROR(__xludf.DUMMYFUNCTION("""COMPUTED_VALUE"""),268.0)</f>
        <v>268</v>
      </c>
      <c r="I1943" s="4">
        <f>IFERROR(__xludf.DUMMYFUNCTION("""COMPUTED_VALUE"""),76.0)</f>
        <v>76</v>
      </c>
      <c r="J1943" s="4">
        <f>IFERROR(__xludf.DUMMYFUNCTION("""COMPUTED_VALUE"""),60.0)</f>
        <v>60</v>
      </c>
      <c r="K1943" s="4">
        <f>IFERROR(__xludf.DUMMYFUNCTION("""COMPUTED_VALUE"""),7.0)</f>
        <v>7</v>
      </c>
      <c r="L1943" s="4">
        <f>IFERROR(__xludf.DUMMYFUNCTION("""COMPUTED_VALUE"""),0.526)</f>
        <v>0.526</v>
      </c>
      <c r="M1943" s="4">
        <f>IFERROR(__xludf.DUMMYFUNCTION("""COMPUTED_VALUE"""),0.0)</f>
        <v>0</v>
      </c>
      <c r="N1943" s="4">
        <f>IFERROR(__xludf.DUMMYFUNCTION("""COMPUTED_VALUE"""),0.552)</f>
        <v>0.552</v>
      </c>
      <c r="O1943" s="4">
        <f>IFERROR(__xludf.DUMMYFUNCTION("""COMPUTED_VALUE"""),7.7)</f>
        <v>7.7</v>
      </c>
      <c r="P1943" s="4">
        <f>IFERROR(__xludf.DUMMYFUNCTION("""COMPUTED_VALUE"""),2.2)</f>
        <v>2.2</v>
      </c>
      <c r="Q1943" s="4">
        <f>IFERROR(__xludf.DUMMYFUNCTION("""COMPUTED_VALUE"""),1.7)</f>
        <v>1.7</v>
      </c>
      <c r="R1943" s="4">
        <f>IFERROR(__xludf.DUMMYFUNCTION("""COMPUTED_VALUE"""),0.2)</f>
        <v>0.2</v>
      </c>
      <c r="S1943" s="4">
        <f>IFERROR(__xludf.DUMMYFUNCTION("""COMPUTED_VALUE"""),0.2)</f>
        <v>0.2</v>
      </c>
      <c r="T1943" s="4">
        <f>IFERROR(__xludf.DUMMYFUNCTION("""COMPUTED_VALUE"""),0.031)</f>
        <v>0.031</v>
      </c>
      <c r="U1943" s="4">
        <f>IFERROR(__xludf.DUMMYFUNCTION("""COMPUTED_VALUE"""),-6.5)</f>
        <v>-6.5</v>
      </c>
      <c r="V1943" s="4">
        <f>IFERROR(__xludf.DUMMYFUNCTION("""COMPUTED_VALUE"""),-0.3)</f>
        <v>-0.3</v>
      </c>
    </row>
    <row r="1944">
      <c r="A1944" s="4">
        <f>IFERROR(__xludf.DUMMYFUNCTION("""COMPUTED_VALUE"""),39.0)</f>
        <v>39</v>
      </c>
      <c r="B1944" s="4">
        <f>IFERROR(__xludf.DUMMYFUNCTION("""COMPUTED_VALUE"""),39.0)</f>
        <v>39</v>
      </c>
      <c r="C1944" s="4" t="str">
        <f>IFERROR(__xludf.DUMMYFUNCTION("""COMPUTED_VALUE"""),"PHO")</f>
        <v>PHO</v>
      </c>
      <c r="D1944" s="4" t="str">
        <f>IFERROR(__xludf.DUMMYFUNCTION("""COMPUTED_VALUE"""),"Russ Millard")</f>
        <v>Russ Millard</v>
      </c>
      <c r="E1944" s="4" t="str">
        <f>IFERROR(__xludf.DUMMYFUNCTION("""COMPUTED_VALUE"""),"Iowa")</f>
        <v>Iowa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</row>
    <row r="1945">
      <c r="A1945" s="4">
        <f>IFERROR(__xludf.DUMMYFUNCTION("""COMPUTED_VALUE"""),40.0)</f>
        <v>40</v>
      </c>
      <c r="B1945" s="4">
        <f>IFERROR(__xludf.DUMMYFUNCTION("""COMPUTED_VALUE"""),40.0)</f>
        <v>40</v>
      </c>
      <c r="C1945" s="4" t="str">
        <f>IFERROR(__xludf.DUMMYFUNCTION("""COMPUTED_VALUE"""),"GSW")</f>
        <v>GSW</v>
      </c>
      <c r="D1945" s="4" t="str">
        <f>IFERROR(__xludf.DUMMYFUNCTION("""COMPUTED_VALUE"""),"Marcus Mann")</f>
        <v>Marcus Mann</v>
      </c>
      <c r="E1945" s="4" t="str">
        <f>IFERROR(__xludf.DUMMYFUNCTION("""COMPUTED_VALUE"""),"Mississippi Valley State University")</f>
        <v>Mississippi Valley State University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</row>
    <row r="1946">
      <c r="A1946" s="4">
        <f>IFERROR(__xludf.DUMMYFUNCTION("""COMPUTED_VALUE"""),41.0)</f>
        <v>41</v>
      </c>
      <c r="B1946" s="4">
        <f>IFERROR(__xludf.DUMMYFUNCTION("""COMPUTED_VALUE"""),41.0)</f>
        <v>41</v>
      </c>
      <c r="C1946" s="4" t="str">
        <f>IFERROR(__xludf.DUMMYFUNCTION("""COMPUTED_VALUE"""),"SAC")</f>
        <v>SAC</v>
      </c>
      <c r="D1946" s="4" t="str">
        <f>IFERROR(__xludf.DUMMYFUNCTION("""COMPUTED_VALUE"""),"Jason Sasser")</f>
        <v>Jason Sasser</v>
      </c>
      <c r="E1946" s="4" t="str">
        <f>IFERROR(__xludf.DUMMYFUNCTION("""COMPUTED_VALUE"""),"Texas Tech")</f>
        <v>Texas Tech</v>
      </c>
      <c r="F1946" s="4">
        <f>IFERROR(__xludf.DUMMYFUNCTION("""COMPUTED_VALUE"""),2.0)</f>
        <v>2</v>
      </c>
      <c r="G1946" s="4">
        <f>IFERROR(__xludf.DUMMYFUNCTION("""COMPUTED_VALUE"""),14.0)</f>
        <v>14</v>
      </c>
      <c r="H1946" s="4">
        <f>IFERROR(__xludf.DUMMYFUNCTION("""COMPUTED_VALUE"""),108.0)</f>
        <v>108</v>
      </c>
      <c r="I1946" s="4">
        <f>IFERROR(__xludf.DUMMYFUNCTION("""COMPUTED_VALUE"""),30.0)</f>
        <v>30</v>
      </c>
      <c r="J1946" s="4">
        <f>IFERROR(__xludf.DUMMYFUNCTION("""COMPUTED_VALUE"""),15.0)</f>
        <v>15</v>
      </c>
      <c r="K1946" s="4">
        <f>IFERROR(__xludf.DUMMYFUNCTION("""COMPUTED_VALUE"""),4.0)</f>
        <v>4</v>
      </c>
      <c r="L1946" s="4">
        <f>IFERROR(__xludf.DUMMYFUNCTION("""COMPUTED_VALUE"""),0.412)</f>
        <v>0.412</v>
      </c>
      <c r="M1946" s="4">
        <f>IFERROR(__xludf.DUMMYFUNCTION("""COMPUTED_VALUE"""),0.333)</f>
        <v>0.333</v>
      </c>
      <c r="N1946" s="4">
        <f>IFERROR(__xludf.DUMMYFUNCTION("""COMPUTED_VALUE"""),0.5)</f>
        <v>0.5</v>
      </c>
      <c r="O1946" s="4">
        <f>IFERROR(__xludf.DUMMYFUNCTION("""COMPUTED_VALUE"""),7.7)</f>
        <v>7.7</v>
      </c>
      <c r="P1946" s="4">
        <f>IFERROR(__xludf.DUMMYFUNCTION("""COMPUTED_VALUE"""),2.1)</f>
        <v>2.1</v>
      </c>
      <c r="Q1946" s="4">
        <f>IFERROR(__xludf.DUMMYFUNCTION("""COMPUTED_VALUE"""),1.1)</f>
        <v>1.1</v>
      </c>
      <c r="R1946" s="4">
        <f>IFERROR(__xludf.DUMMYFUNCTION("""COMPUTED_VALUE"""),0.3)</f>
        <v>0.3</v>
      </c>
      <c r="S1946" s="4">
        <f>IFERROR(__xludf.DUMMYFUNCTION("""COMPUTED_VALUE"""),0.0)</f>
        <v>0</v>
      </c>
      <c r="T1946" s="4">
        <f>IFERROR(__xludf.DUMMYFUNCTION("""COMPUTED_VALUE"""),-0.014)</f>
        <v>-0.014</v>
      </c>
      <c r="U1946" s="4">
        <f>IFERROR(__xludf.DUMMYFUNCTION("""COMPUTED_VALUE"""),-5.7)</f>
        <v>-5.7</v>
      </c>
      <c r="V1946" s="4">
        <f>IFERROR(__xludf.DUMMYFUNCTION("""COMPUTED_VALUE"""),-0.1)</f>
        <v>-0.1</v>
      </c>
    </row>
    <row r="1947">
      <c r="A1947" s="4">
        <f>IFERROR(__xludf.DUMMYFUNCTION("""COMPUTED_VALUE"""),42.0)</f>
        <v>42</v>
      </c>
      <c r="B1947" s="4">
        <f>IFERROR(__xludf.DUMMYFUNCTION("""COMPUTED_VALUE"""),42.0)</f>
        <v>42</v>
      </c>
      <c r="C1947" s="4" t="str">
        <f>IFERROR(__xludf.DUMMYFUNCTION("""COMPUTED_VALUE"""),"HOU")</f>
        <v>HOU</v>
      </c>
      <c r="D1947" s="4" t="str">
        <f>IFERROR(__xludf.DUMMYFUNCTION("""COMPUTED_VALUE"""),"Randy Livingston")</f>
        <v>Randy Livingston</v>
      </c>
      <c r="E1947" s="4" t="str">
        <f>IFERROR(__xludf.DUMMYFUNCTION("""COMPUTED_VALUE"""),"LSU")</f>
        <v>LSU</v>
      </c>
      <c r="F1947" s="4">
        <f>IFERROR(__xludf.DUMMYFUNCTION("""COMPUTED_VALUE"""),11.0)</f>
        <v>11</v>
      </c>
      <c r="G1947" s="4">
        <f>IFERROR(__xludf.DUMMYFUNCTION("""COMPUTED_VALUE"""),203.0)</f>
        <v>203</v>
      </c>
      <c r="H1947" s="4">
        <f>IFERROR(__xludf.DUMMYFUNCTION("""COMPUTED_VALUE"""),2684.0)</f>
        <v>2684</v>
      </c>
      <c r="I1947" s="4">
        <f>IFERROR(__xludf.DUMMYFUNCTION("""COMPUTED_VALUE"""),773.0)</f>
        <v>773</v>
      </c>
      <c r="J1947" s="4">
        <f>IFERROR(__xludf.DUMMYFUNCTION("""COMPUTED_VALUE"""),282.0)</f>
        <v>282</v>
      </c>
      <c r="K1947" s="4">
        <f>IFERROR(__xludf.DUMMYFUNCTION("""COMPUTED_VALUE"""),415.0)</f>
        <v>415</v>
      </c>
      <c r="L1947" s="4">
        <f>IFERROR(__xludf.DUMMYFUNCTION("""COMPUTED_VALUE"""),0.406)</f>
        <v>0.406</v>
      </c>
      <c r="M1947" s="4">
        <f>IFERROR(__xludf.DUMMYFUNCTION("""COMPUTED_VALUE"""),0.351)</f>
        <v>0.351</v>
      </c>
      <c r="N1947" s="4">
        <f>IFERROR(__xludf.DUMMYFUNCTION("""COMPUTED_VALUE"""),0.771)</f>
        <v>0.771</v>
      </c>
      <c r="O1947" s="4">
        <f>IFERROR(__xludf.DUMMYFUNCTION("""COMPUTED_VALUE"""),13.2)</f>
        <v>13.2</v>
      </c>
      <c r="P1947" s="4">
        <f>IFERROR(__xludf.DUMMYFUNCTION("""COMPUTED_VALUE"""),3.8)</f>
        <v>3.8</v>
      </c>
      <c r="Q1947" s="4">
        <f>IFERROR(__xludf.DUMMYFUNCTION("""COMPUTED_VALUE"""),1.4)</f>
        <v>1.4</v>
      </c>
      <c r="R1947" s="4">
        <f>IFERROR(__xludf.DUMMYFUNCTION("""COMPUTED_VALUE"""),2.0)</f>
        <v>2</v>
      </c>
      <c r="S1947" s="4">
        <f>IFERROR(__xludf.DUMMYFUNCTION("""COMPUTED_VALUE"""),2.3)</f>
        <v>2.3</v>
      </c>
      <c r="T1947" s="4">
        <f>IFERROR(__xludf.DUMMYFUNCTION("""COMPUTED_VALUE"""),0.041)</f>
        <v>0.041</v>
      </c>
      <c r="U1947" s="4">
        <f>IFERROR(__xludf.DUMMYFUNCTION("""COMPUTED_VALUE"""),-2.5)</f>
        <v>-2.5</v>
      </c>
      <c r="V1947" s="4">
        <f>IFERROR(__xludf.DUMMYFUNCTION("""COMPUTED_VALUE"""),-0.3)</f>
        <v>-0.3</v>
      </c>
    </row>
    <row r="1948">
      <c r="A1948" s="4">
        <f>IFERROR(__xludf.DUMMYFUNCTION("""COMPUTED_VALUE"""),43.0)</f>
        <v>43</v>
      </c>
      <c r="B1948" s="4">
        <f>IFERROR(__xludf.DUMMYFUNCTION("""COMPUTED_VALUE"""),43.0)</f>
        <v>43</v>
      </c>
      <c r="C1948" s="4" t="str">
        <f>IFERROR(__xludf.DUMMYFUNCTION("""COMPUTED_VALUE"""),"PHO")</f>
        <v>PHO</v>
      </c>
      <c r="D1948" s="4" t="str">
        <f>IFERROR(__xludf.DUMMYFUNCTION("""COMPUTED_VALUE"""),"Ben Davis")</f>
        <v>Ben Davis</v>
      </c>
      <c r="E1948" s="4" t="str">
        <f>IFERROR(__xludf.DUMMYFUNCTION("""COMPUTED_VALUE"""),"Arizona")</f>
        <v>Arizona</v>
      </c>
      <c r="F1948" s="4">
        <f>IFERROR(__xludf.DUMMYFUNCTION("""COMPUTED_VALUE"""),4.0)</f>
        <v>4</v>
      </c>
      <c r="G1948" s="4">
        <f>IFERROR(__xludf.DUMMYFUNCTION("""COMPUTED_VALUE"""),40.0)</f>
        <v>40</v>
      </c>
      <c r="H1948" s="4">
        <f>IFERROR(__xludf.DUMMYFUNCTION("""COMPUTED_VALUE"""),154.0)</f>
        <v>154</v>
      </c>
      <c r="I1948" s="4">
        <f>IFERROR(__xludf.DUMMYFUNCTION("""COMPUTED_VALUE"""),54.0)</f>
        <v>54</v>
      </c>
      <c r="J1948" s="4">
        <f>IFERROR(__xludf.DUMMYFUNCTION("""COMPUTED_VALUE"""),53.0)</f>
        <v>53</v>
      </c>
      <c r="K1948" s="4">
        <f>IFERROR(__xludf.DUMMYFUNCTION("""COMPUTED_VALUE"""),5.0)</f>
        <v>5</v>
      </c>
      <c r="L1948" s="4">
        <f>IFERROR(__xludf.DUMMYFUNCTION("""COMPUTED_VALUE"""),0.356)</f>
        <v>0.356</v>
      </c>
      <c r="M1948" s="4"/>
      <c r="N1948" s="4">
        <f>IFERROR(__xludf.DUMMYFUNCTION("""COMPUTED_VALUE"""),0.462)</f>
        <v>0.462</v>
      </c>
      <c r="O1948" s="4">
        <f>IFERROR(__xludf.DUMMYFUNCTION("""COMPUTED_VALUE"""),3.9)</f>
        <v>3.9</v>
      </c>
      <c r="P1948" s="4">
        <f>IFERROR(__xludf.DUMMYFUNCTION("""COMPUTED_VALUE"""),1.4)</f>
        <v>1.4</v>
      </c>
      <c r="Q1948" s="4">
        <f>IFERROR(__xludf.DUMMYFUNCTION("""COMPUTED_VALUE"""),1.3)</f>
        <v>1.3</v>
      </c>
      <c r="R1948" s="4">
        <f>IFERROR(__xludf.DUMMYFUNCTION("""COMPUTED_VALUE"""),0.1)</f>
        <v>0.1</v>
      </c>
      <c r="S1948" s="4">
        <f>IFERROR(__xludf.DUMMYFUNCTION("""COMPUTED_VALUE"""),0.1)</f>
        <v>0.1</v>
      </c>
      <c r="T1948" s="4">
        <f>IFERROR(__xludf.DUMMYFUNCTION("""COMPUTED_VALUE"""),0.04)</f>
        <v>0.04</v>
      </c>
      <c r="U1948" s="4">
        <f>IFERROR(__xludf.DUMMYFUNCTION("""COMPUTED_VALUE"""),-5.5)</f>
        <v>-5.5</v>
      </c>
      <c r="V1948" s="4">
        <f>IFERROR(__xludf.DUMMYFUNCTION("""COMPUTED_VALUE"""),-0.1)</f>
        <v>-0.1</v>
      </c>
    </row>
    <row r="1949">
      <c r="A1949" s="4">
        <f>IFERROR(__xludf.DUMMYFUNCTION("""COMPUTED_VALUE"""),44.0)</f>
        <v>44</v>
      </c>
      <c r="B1949" s="4">
        <f>IFERROR(__xludf.DUMMYFUNCTION("""COMPUTED_VALUE"""),44.0)</f>
        <v>44</v>
      </c>
      <c r="C1949" s="4" t="str">
        <f>IFERROR(__xludf.DUMMYFUNCTION("""COMPUTED_VALUE"""),"CHH")</f>
        <v>CHH</v>
      </c>
      <c r="D1949" s="4" t="str">
        <f>IFERROR(__xludf.DUMMYFUNCTION("""COMPUTED_VALUE"""),"Malik Rose")</f>
        <v>Malik Rose</v>
      </c>
      <c r="E1949" s="4" t="str">
        <f>IFERROR(__xludf.DUMMYFUNCTION("""COMPUTED_VALUE"""),"Drexel")</f>
        <v>Drexel</v>
      </c>
      <c r="F1949" s="4">
        <f>IFERROR(__xludf.DUMMYFUNCTION("""COMPUTED_VALUE"""),13.0)</f>
        <v>13</v>
      </c>
      <c r="G1949" s="4">
        <f>IFERROR(__xludf.DUMMYFUNCTION("""COMPUTED_VALUE"""),813.0)</f>
        <v>813</v>
      </c>
      <c r="H1949" s="4">
        <f>IFERROR(__xludf.DUMMYFUNCTION("""COMPUTED_VALUE"""),13404.0)</f>
        <v>13404</v>
      </c>
      <c r="I1949" s="4">
        <f>IFERROR(__xludf.DUMMYFUNCTION("""COMPUTED_VALUE"""),5003.0)</f>
        <v>5003</v>
      </c>
      <c r="J1949" s="4">
        <f>IFERROR(__xludf.DUMMYFUNCTION("""COMPUTED_VALUE"""),3371.0)</f>
        <v>3371</v>
      </c>
      <c r="K1949" s="4">
        <f>IFERROR(__xludf.DUMMYFUNCTION("""COMPUTED_VALUE"""),684.0)</f>
        <v>684</v>
      </c>
      <c r="L1949" s="4">
        <f>IFERROR(__xludf.DUMMYFUNCTION("""COMPUTED_VALUE"""),0.437)</f>
        <v>0.437</v>
      </c>
      <c r="M1949" s="4">
        <f>IFERROR(__xludf.DUMMYFUNCTION("""COMPUTED_VALUE"""),0.177)</f>
        <v>0.177</v>
      </c>
      <c r="N1949" s="4">
        <f>IFERROR(__xludf.DUMMYFUNCTION("""COMPUTED_VALUE"""),0.743)</f>
        <v>0.743</v>
      </c>
      <c r="O1949" s="4">
        <f>IFERROR(__xludf.DUMMYFUNCTION("""COMPUTED_VALUE"""),16.5)</f>
        <v>16.5</v>
      </c>
      <c r="P1949" s="4">
        <f>IFERROR(__xludf.DUMMYFUNCTION("""COMPUTED_VALUE"""),6.2)</f>
        <v>6.2</v>
      </c>
      <c r="Q1949" s="4">
        <f>IFERROR(__xludf.DUMMYFUNCTION("""COMPUTED_VALUE"""),4.1)</f>
        <v>4.1</v>
      </c>
      <c r="R1949" s="4">
        <f>IFERROR(__xludf.DUMMYFUNCTION("""COMPUTED_VALUE"""),0.8)</f>
        <v>0.8</v>
      </c>
      <c r="S1949" s="4">
        <f>IFERROR(__xludf.DUMMYFUNCTION("""COMPUTED_VALUE"""),26.5)</f>
        <v>26.5</v>
      </c>
      <c r="T1949" s="4">
        <f>IFERROR(__xludf.DUMMYFUNCTION("""COMPUTED_VALUE"""),0.095)</f>
        <v>0.095</v>
      </c>
      <c r="U1949" s="4">
        <f>IFERROR(__xludf.DUMMYFUNCTION("""COMPUTED_VALUE"""),-2.1)</f>
        <v>-2.1</v>
      </c>
      <c r="V1949" s="4">
        <f>IFERROR(__xludf.DUMMYFUNCTION("""COMPUTED_VALUE"""),-0.4)</f>
        <v>-0.4</v>
      </c>
    </row>
    <row r="1950">
      <c r="A1950" s="4">
        <f>IFERROR(__xludf.DUMMYFUNCTION("""COMPUTED_VALUE"""),45.0)</f>
        <v>45</v>
      </c>
      <c r="B1950" s="4">
        <f>IFERROR(__xludf.DUMMYFUNCTION("""COMPUTED_VALUE"""),45.0)</f>
        <v>45</v>
      </c>
      <c r="C1950" s="4" t="str">
        <f>IFERROR(__xludf.DUMMYFUNCTION("""COMPUTED_VALUE"""),"SEA")</f>
        <v>SEA</v>
      </c>
      <c r="D1950" s="4" t="str">
        <f>IFERROR(__xludf.DUMMYFUNCTION("""COMPUTED_VALUE"""),"Joe Vogel")</f>
        <v>Joe Vogel</v>
      </c>
      <c r="E1950" s="4" t="str">
        <f>IFERROR(__xludf.DUMMYFUNCTION("""COMPUTED_VALUE"""),"Colorado State")</f>
        <v>Colorado State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</row>
    <row r="1951">
      <c r="A1951" s="4">
        <f>IFERROR(__xludf.DUMMYFUNCTION("""COMPUTED_VALUE"""),46.0)</f>
        <v>46</v>
      </c>
      <c r="B1951" s="4">
        <f>IFERROR(__xludf.DUMMYFUNCTION("""COMPUTED_VALUE"""),46.0)</f>
        <v>46</v>
      </c>
      <c r="C1951" s="4" t="str">
        <f>IFERROR(__xludf.DUMMYFUNCTION("""COMPUTED_VALUE"""),"POR")</f>
        <v>POR</v>
      </c>
      <c r="D1951" s="4" t="str">
        <f>IFERROR(__xludf.DUMMYFUNCTION("""COMPUTED_VALUE"""),"Marcus Brown")</f>
        <v>Marcus Brown</v>
      </c>
      <c r="E1951" s="4" t="str">
        <f>IFERROR(__xludf.DUMMYFUNCTION("""COMPUTED_VALUE"""),"Murray State")</f>
        <v>Murray State</v>
      </c>
      <c r="F1951" s="4">
        <f>IFERROR(__xludf.DUMMYFUNCTION("""COMPUTED_VALUE"""),2.0)</f>
        <v>2</v>
      </c>
      <c r="G1951" s="4">
        <f>IFERROR(__xludf.DUMMYFUNCTION("""COMPUTED_VALUE"""),27.0)</f>
        <v>27</v>
      </c>
      <c r="H1951" s="4">
        <f>IFERROR(__xludf.DUMMYFUNCTION("""COMPUTED_VALUE"""),229.0)</f>
        <v>229</v>
      </c>
      <c r="I1951" s="4">
        <f>IFERROR(__xludf.DUMMYFUNCTION("""COMPUTED_VALUE"""),92.0)</f>
        <v>92</v>
      </c>
      <c r="J1951" s="4">
        <f>IFERROR(__xludf.DUMMYFUNCTION("""COMPUTED_VALUE"""),22.0)</f>
        <v>22</v>
      </c>
      <c r="K1951" s="4">
        <f>IFERROR(__xludf.DUMMYFUNCTION("""COMPUTED_VALUE"""),23.0)</f>
        <v>23</v>
      </c>
      <c r="L1951" s="4">
        <f>IFERROR(__xludf.DUMMYFUNCTION("""COMPUTED_VALUE"""),0.381)</f>
        <v>0.381</v>
      </c>
      <c r="M1951" s="4">
        <f>IFERROR(__xludf.DUMMYFUNCTION("""COMPUTED_VALUE"""),0.333)</f>
        <v>0.333</v>
      </c>
      <c r="N1951" s="4">
        <f>IFERROR(__xludf.DUMMYFUNCTION("""COMPUTED_VALUE"""),0.714)</f>
        <v>0.714</v>
      </c>
      <c r="O1951" s="4">
        <f>IFERROR(__xludf.DUMMYFUNCTION("""COMPUTED_VALUE"""),8.5)</f>
        <v>8.5</v>
      </c>
      <c r="P1951" s="4">
        <f>IFERROR(__xludf.DUMMYFUNCTION("""COMPUTED_VALUE"""),3.4)</f>
        <v>3.4</v>
      </c>
      <c r="Q1951" s="4">
        <f>IFERROR(__xludf.DUMMYFUNCTION("""COMPUTED_VALUE"""),0.8)</f>
        <v>0.8</v>
      </c>
      <c r="R1951" s="4">
        <f>IFERROR(__xludf.DUMMYFUNCTION("""COMPUTED_VALUE"""),0.9)</f>
        <v>0.9</v>
      </c>
      <c r="S1951" s="4">
        <f>IFERROR(__xludf.DUMMYFUNCTION("""COMPUTED_VALUE"""),0.3)</f>
        <v>0.3</v>
      </c>
      <c r="T1951" s="4">
        <f>IFERROR(__xludf.DUMMYFUNCTION("""COMPUTED_VALUE"""),0.066)</f>
        <v>0.066</v>
      </c>
      <c r="U1951" s="4">
        <f>IFERROR(__xludf.DUMMYFUNCTION("""COMPUTED_VALUE"""),-2.6)</f>
        <v>-2.6</v>
      </c>
      <c r="V1951" s="4">
        <f>IFERROR(__xludf.DUMMYFUNCTION("""COMPUTED_VALUE"""),0.0)</f>
        <v>0</v>
      </c>
    </row>
    <row r="1952">
      <c r="A1952" s="4">
        <f>IFERROR(__xludf.DUMMYFUNCTION("""COMPUTED_VALUE"""),47.0)</f>
        <v>47</v>
      </c>
      <c r="B1952" s="4">
        <f>IFERROR(__xludf.DUMMYFUNCTION("""COMPUTED_VALUE"""),47.0)</f>
        <v>47</v>
      </c>
      <c r="C1952" s="4" t="str">
        <f>IFERROR(__xludf.DUMMYFUNCTION("""COMPUTED_VALUE"""),"SEA")</f>
        <v>SEA</v>
      </c>
      <c r="D1952" s="4" t="str">
        <f>IFERROR(__xludf.DUMMYFUNCTION("""COMPUTED_VALUE"""),"Ron Riley")</f>
        <v>Ron Riley</v>
      </c>
      <c r="E1952" s="4" t="str">
        <f>IFERROR(__xludf.DUMMYFUNCTION("""COMPUTED_VALUE"""),"Arizona State")</f>
        <v>Arizona State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</row>
    <row r="1953">
      <c r="A1953" s="4">
        <f>IFERROR(__xludf.DUMMYFUNCTION("""COMPUTED_VALUE"""),48.0)</f>
        <v>48</v>
      </c>
      <c r="B1953" s="4">
        <f>IFERROR(__xludf.DUMMYFUNCTION("""COMPUTED_VALUE"""),48.0)</f>
        <v>48</v>
      </c>
      <c r="C1953" s="4" t="str">
        <f>IFERROR(__xludf.DUMMYFUNCTION("""COMPUTED_VALUE"""),"PHI")</f>
        <v>PHI</v>
      </c>
      <c r="D1953" s="4" t="str">
        <f>IFERROR(__xludf.DUMMYFUNCTION("""COMPUTED_VALUE"""),"Jamie Feick")</f>
        <v>Jamie Feick</v>
      </c>
      <c r="E1953" s="4" t="str">
        <f>IFERROR(__xludf.DUMMYFUNCTION("""COMPUTED_VALUE"""),"Michigan State")</f>
        <v>Michigan State</v>
      </c>
      <c r="F1953" s="4">
        <f>IFERROR(__xludf.DUMMYFUNCTION("""COMPUTED_VALUE"""),5.0)</f>
        <v>5</v>
      </c>
      <c r="G1953" s="4">
        <f>IFERROR(__xludf.DUMMYFUNCTION("""COMPUTED_VALUE"""),201.0)</f>
        <v>201</v>
      </c>
      <c r="H1953" s="4">
        <f>IFERROR(__xludf.DUMMYFUNCTION("""COMPUTED_VALUE"""),4316.0)</f>
        <v>4316</v>
      </c>
      <c r="I1953" s="4">
        <f>IFERROR(__xludf.DUMMYFUNCTION("""COMPUTED_VALUE"""),911.0)</f>
        <v>911</v>
      </c>
      <c r="J1953" s="4">
        <f>IFERROR(__xludf.DUMMYFUNCTION("""COMPUTED_VALUE"""),1437.0)</f>
        <v>1437</v>
      </c>
      <c r="K1953" s="4">
        <f>IFERROR(__xludf.DUMMYFUNCTION("""COMPUTED_VALUE"""),139.0)</f>
        <v>139</v>
      </c>
      <c r="L1953" s="4">
        <f>IFERROR(__xludf.DUMMYFUNCTION("""COMPUTED_VALUE"""),0.424)</f>
        <v>0.424</v>
      </c>
      <c r="M1953" s="4">
        <f>IFERROR(__xludf.DUMMYFUNCTION("""COMPUTED_VALUE"""),0.4)</f>
        <v>0.4</v>
      </c>
      <c r="N1953" s="4">
        <f>IFERROR(__xludf.DUMMYFUNCTION("""COMPUTED_VALUE"""),0.629)</f>
        <v>0.629</v>
      </c>
      <c r="O1953" s="4">
        <f>IFERROR(__xludf.DUMMYFUNCTION("""COMPUTED_VALUE"""),21.5)</f>
        <v>21.5</v>
      </c>
      <c r="P1953" s="4">
        <f>IFERROR(__xludf.DUMMYFUNCTION("""COMPUTED_VALUE"""),4.5)</f>
        <v>4.5</v>
      </c>
      <c r="Q1953" s="4">
        <f>IFERROR(__xludf.DUMMYFUNCTION("""COMPUTED_VALUE"""),7.1)</f>
        <v>7.1</v>
      </c>
      <c r="R1953" s="4">
        <f>IFERROR(__xludf.DUMMYFUNCTION("""COMPUTED_VALUE"""),0.7)</f>
        <v>0.7</v>
      </c>
      <c r="S1953" s="4">
        <f>IFERROR(__xludf.DUMMYFUNCTION("""COMPUTED_VALUE"""),8.2)</f>
        <v>8.2</v>
      </c>
      <c r="T1953" s="4">
        <f>IFERROR(__xludf.DUMMYFUNCTION("""COMPUTED_VALUE"""),0.091)</f>
        <v>0.091</v>
      </c>
      <c r="U1953" s="4">
        <f>IFERROR(__xludf.DUMMYFUNCTION("""COMPUTED_VALUE"""),-2.7)</f>
        <v>-2.7</v>
      </c>
      <c r="V1953" s="4">
        <f>IFERROR(__xludf.DUMMYFUNCTION("""COMPUTED_VALUE"""),-0.7)</f>
        <v>-0.7</v>
      </c>
    </row>
    <row r="1954">
      <c r="A1954" s="4">
        <f>IFERROR(__xludf.DUMMYFUNCTION("""COMPUTED_VALUE"""),49.0)</f>
        <v>49</v>
      </c>
      <c r="B1954" s="4">
        <f>IFERROR(__xludf.DUMMYFUNCTION("""COMPUTED_VALUE"""),49.0)</f>
        <v>49</v>
      </c>
      <c r="C1954" s="4" t="str">
        <f>IFERROR(__xludf.DUMMYFUNCTION("""COMPUTED_VALUE"""),"ORL")</f>
        <v>ORL</v>
      </c>
      <c r="D1954" s="4" t="str">
        <f>IFERROR(__xludf.DUMMYFUNCTION("""COMPUTED_VALUE"""),"Amal McCaskill")</f>
        <v>Amal McCaskill</v>
      </c>
      <c r="E1954" s="4" t="str">
        <f>IFERROR(__xludf.DUMMYFUNCTION("""COMPUTED_VALUE"""),"Marquette")</f>
        <v>Marquette</v>
      </c>
      <c r="F1954" s="4">
        <f>IFERROR(__xludf.DUMMYFUNCTION("""COMPUTED_VALUE"""),4.0)</f>
        <v>4</v>
      </c>
      <c r="G1954" s="4">
        <f>IFERROR(__xludf.DUMMYFUNCTION("""COMPUTED_VALUE"""),114.0)</f>
        <v>114</v>
      </c>
      <c r="H1954" s="4">
        <f>IFERROR(__xludf.DUMMYFUNCTION("""COMPUTED_VALUE"""),968.0)</f>
        <v>968</v>
      </c>
      <c r="I1954" s="4">
        <f>IFERROR(__xludf.DUMMYFUNCTION("""COMPUTED_VALUE"""),204.0)</f>
        <v>204</v>
      </c>
      <c r="J1954" s="4">
        <f>IFERROR(__xludf.DUMMYFUNCTION("""COMPUTED_VALUE"""),213.0)</f>
        <v>213</v>
      </c>
      <c r="K1954" s="4">
        <f>IFERROR(__xludf.DUMMYFUNCTION("""COMPUTED_VALUE"""),36.0)</f>
        <v>36</v>
      </c>
      <c r="L1954" s="4">
        <f>IFERROR(__xludf.DUMMYFUNCTION("""COMPUTED_VALUE"""),0.377)</f>
        <v>0.377</v>
      </c>
      <c r="M1954" s="4">
        <f>IFERROR(__xludf.DUMMYFUNCTION("""COMPUTED_VALUE"""),0.0)</f>
        <v>0</v>
      </c>
      <c r="N1954" s="4">
        <f>IFERROR(__xludf.DUMMYFUNCTION("""COMPUTED_VALUE"""),0.609)</f>
        <v>0.609</v>
      </c>
      <c r="O1954" s="4">
        <f>IFERROR(__xludf.DUMMYFUNCTION("""COMPUTED_VALUE"""),8.5)</f>
        <v>8.5</v>
      </c>
      <c r="P1954" s="4">
        <f>IFERROR(__xludf.DUMMYFUNCTION("""COMPUTED_VALUE"""),1.8)</f>
        <v>1.8</v>
      </c>
      <c r="Q1954" s="4">
        <f>IFERROR(__xludf.DUMMYFUNCTION("""COMPUTED_VALUE"""),1.9)</f>
        <v>1.9</v>
      </c>
      <c r="R1954" s="4">
        <f>IFERROR(__xludf.DUMMYFUNCTION("""COMPUTED_VALUE"""),0.3)</f>
        <v>0.3</v>
      </c>
      <c r="S1954" s="4">
        <f>IFERROR(__xludf.DUMMYFUNCTION("""COMPUTED_VALUE"""),0.5)</f>
        <v>0.5</v>
      </c>
      <c r="T1954" s="4">
        <f>IFERROR(__xludf.DUMMYFUNCTION("""COMPUTED_VALUE"""),0.024)</f>
        <v>0.024</v>
      </c>
      <c r="U1954" s="4">
        <f>IFERROR(__xludf.DUMMYFUNCTION("""COMPUTED_VALUE"""),-4.7)</f>
        <v>-4.7</v>
      </c>
      <c r="V1954" s="4">
        <f>IFERROR(__xludf.DUMMYFUNCTION("""COMPUTED_VALUE"""),-0.7)</f>
        <v>-0.7</v>
      </c>
    </row>
    <row r="1955">
      <c r="A1955" s="4">
        <f>IFERROR(__xludf.DUMMYFUNCTION("""COMPUTED_VALUE"""),50.0)</f>
        <v>50</v>
      </c>
      <c r="B1955" s="4">
        <f>IFERROR(__xludf.DUMMYFUNCTION("""COMPUTED_VALUE"""),50.0)</f>
        <v>50</v>
      </c>
      <c r="C1955" s="4" t="str">
        <f>IFERROR(__xludf.DUMMYFUNCTION("""COMPUTED_VALUE"""),"HOU")</f>
        <v>HOU</v>
      </c>
      <c r="D1955" s="4" t="str">
        <f>IFERROR(__xludf.DUMMYFUNCTION("""COMPUTED_VALUE"""),"Terrell Bell")</f>
        <v>Terrell Bell</v>
      </c>
      <c r="E1955" s="4" t="str">
        <f>IFERROR(__xludf.DUMMYFUNCTION("""COMPUTED_VALUE"""),"Georgia")</f>
        <v>Georgia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</row>
    <row r="1956">
      <c r="A1956" s="4">
        <f>IFERROR(__xludf.DUMMYFUNCTION("""COMPUTED_VALUE"""),51.0)</f>
        <v>51</v>
      </c>
      <c r="B1956" s="4">
        <f>IFERROR(__xludf.DUMMYFUNCTION("""COMPUTED_VALUE"""),51.0)</f>
        <v>51</v>
      </c>
      <c r="C1956" s="4" t="str">
        <f>IFERROR(__xludf.DUMMYFUNCTION("""COMPUTED_VALUE"""),"VAN")</f>
        <v>VAN</v>
      </c>
      <c r="D1956" s="4" t="str">
        <f>IFERROR(__xludf.DUMMYFUNCTION("""COMPUTED_VALUE"""),"Chris Robinson")</f>
        <v>Chris Robinson</v>
      </c>
      <c r="E1956" s="4" t="str">
        <f>IFERROR(__xludf.DUMMYFUNCTION("""COMPUTED_VALUE"""),"Western Kentucky")</f>
        <v>Western Kentucky</v>
      </c>
      <c r="F1956" s="4">
        <f>IFERROR(__xludf.DUMMYFUNCTION("""COMPUTED_VALUE"""),2.0)</f>
        <v>2</v>
      </c>
      <c r="G1956" s="4">
        <f>IFERROR(__xludf.DUMMYFUNCTION("""COMPUTED_VALUE"""),76.0)</f>
        <v>76</v>
      </c>
      <c r="H1956" s="4">
        <f>IFERROR(__xludf.DUMMYFUNCTION("""COMPUTED_VALUE"""),1095.0)</f>
        <v>1095</v>
      </c>
      <c r="I1956" s="4">
        <f>IFERROR(__xludf.DUMMYFUNCTION("""COMPUTED_VALUE"""),350.0)</f>
        <v>350</v>
      </c>
      <c r="J1956" s="4">
        <f>IFERROR(__xludf.DUMMYFUNCTION("""COMPUTED_VALUE"""),117.0)</f>
        <v>117</v>
      </c>
      <c r="K1956" s="4">
        <f>IFERROR(__xludf.DUMMYFUNCTION("""COMPUTED_VALUE"""),104.0)</f>
        <v>104</v>
      </c>
      <c r="L1956" s="4">
        <f>IFERROR(__xludf.DUMMYFUNCTION("""COMPUTED_VALUE"""),0.376)</f>
        <v>0.376</v>
      </c>
      <c r="M1956" s="4">
        <f>IFERROR(__xludf.DUMMYFUNCTION("""COMPUTED_VALUE"""),0.374)</f>
        <v>0.374</v>
      </c>
      <c r="N1956" s="4">
        <f>IFERROR(__xludf.DUMMYFUNCTION("""COMPUTED_VALUE"""),0.571)</f>
        <v>0.571</v>
      </c>
      <c r="O1956" s="4">
        <f>IFERROR(__xludf.DUMMYFUNCTION("""COMPUTED_VALUE"""),14.4)</f>
        <v>14.4</v>
      </c>
      <c r="P1956" s="4">
        <f>IFERROR(__xludf.DUMMYFUNCTION("""COMPUTED_VALUE"""),4.6)</f>
        <v>4.6</v>
      </c>
      <c r="Q1956" s="4">
        <f>IFERROR(__xludf.DUMMYFUNCTION("""COMPUTED_VALUE"""),1.5)</f>
        <v>1.5</v>
      </c>
      <c r="R1956" s="4">
        <f>IFERROR(__xludf.DUMMYFUNCTION("""COMPUTED_VALUE"""),1.4)</f>
        <v>1.4</v>
      </c>
      <c r="S1956" s="4">
        <f>IFERROR(__xludf.DUMMYFUNCTION("""COMPUTED_VALUE"""),-0.1)</f>
        <v>-0.1</v>
      </c>
      <c r="T1956" s="4">
        <f>IFERROR(__xludf.DUMMYFUNCTION("""COMPUTED_VALUE"""),-0.003)</f>
        <v>-0.003</v>
      </c>
      <c r="U1956" s="4">
        <f>IFERROR(__xludf.DUMMYFUNCTION("""COMPUTED_VALUE"""),-4.0)</f>
        <v>-4</v>
      </c>
      <c r="V1956" s="4">
        <f>IFERROR(__xludf.DUMMYFUNCTION("""COMPUTED_VALUE"""),-0.6)</f>
        <v>-0.6</v>
      </c>
    </row>
    <row r="1957">
      <c r="A1957" s="4">
        <f>IFERROR(__xludf.DUMMYFUNCTION("""COMPUTED_VALUE"""),52.0)</f>
        <v>52</v>
      </c>
      <c r="B1957" s="4">
        <f>IFERROR(__xludf.DUMMYFUNCTION("""COMPUTED_VALUE"""),52.0)</f>
        <v>52</v>
      </c>
      <c r="C1957" s="4" t="str">
        <f>IFERROR(__xludf.DUMMYFUNCTION("""COMPUTED_VALUE"""),"IND")</f>
        <v>IND</v>
      </c>
      <c r="D1957" s="4" t="str">
        <f>IFERROR(__xludf.DUMMYFUNCTION("""COMPUTED_VALUE"""),"Mark Pope")</f>
        <v>Mark Pope</v>
      </c>
      <c r="E1957" s="4" t="str">
        <f>IFERROR(__xludf.DUMMYFUNCTION("""COMPUTED_VALUE"""),"Kentucky")</f>
        <v>Kentucky</v>
      </c>
      <c r="F1957" s="4">
        <f>IFERROR(__xludf.DUMMYFUNCTION("""COMPUTED_VALUE"""),6.0)</f>
        <v>6</v>
      </c>
      <c r="G1957" s="4">
        <f>IFERROR(__xludf.DUMMYFUNCTION("""COMPUTED_VALUE"""),153.0)</f>
        <v>153</v>
      </c>
      <c r="H1957" s="4">
        <f>IFERROR(__xludf.DUMMYFUNCTION("""COMPUTED_VALUE"""),1634.0)</f>
        <v>1634</v>
      </c>
      <c r="I1957" s="4">
        <f>IFERROR(__xludf.DUMMYFUNCTION("""COMPUTED_VALUE"""),285.0)</f>
        <v>285</v>
      </c>
      <c r="J1957" s="4">
        <f>IFERROR(__xludf.DUMMYFUNCTION("""COMPUTED_VALUE"""),261.0)</f>
        <v>261</v>
      </c>
      <c r="K1957" s="4">
        <f>IFERROR(__xludf.DUMMYFUNCTION("""COMPUTED_VALUE"""),63.0)</f>
        <v>63</v>
      </c>
      <c r="L1957" s="4">
        <f>IFERROR(__xludf.DUMMYFUNCTION("""COMPUTED_VALUE"""),0.401)</f>
        <v>0.401</v>
      </c>
      <c r="M1957" s="4">
        <f>IFERROR(__xludf.DUMMYFUNCTION("""COMPUTED_VALUE"""),0.179)</f>
        <v>0.179</v>
      </c>
      <c r="N1957" s="4">
        <f>IFERROR(__xludf.DUMMYFUNCTION("""COMPUTED_VALUE"""),0.573)</f>
        <v>0.573</v>
      </c>
      <c r="O1957" s="4">
        <f>IFERROR(__xludf.DUMMYFUNCTION("""COMPUTED_VALUE"""),10.7)</f>
        <v>10.7</v>
      </c>
      <c r="P1957" s="4">
        <f>IFERROR(__xludf.DUMMYFUNCTION("""COMPUTED_VALUE"""),1.9)</f>
        <v>1.9</v>
      </c>
      <c r="Q1957" s="4">
        <f>IFERROR(__xludf.DUMMYFUNCTION("""COMPUTED_VALUE"""),1.7)</f>
        <v>1.7</v>
      </c>
      <c r="R1957" s="4">
        <f>IFERROR(__xludf.DUMMYFUNCTION("""COMPUTED_VALUE"""),0.4)</f>
        <v>0.4</v>
      </c>
      <c r="S1957" s="4">
        <f>IFERROR(__xludf.DUMMYFUNCTION("""COMPUTED_VALUE"""),1.3)</f>
        <v>1.3</v>
      </c>
      <c r="T1957" s="4">
        <f>IFERROR(__xludf.DUMMYFUNCTION("""COMPUTED_VALUE"""),0.038)</f>
        <v>0.038</v>
      </c>
      <c r="U1957" s="4">
        <f>IFERROR(__xludf.DUMMYFUNCTION("""COMPUTED_VALUE"""),-4.3)</f>
        <v>-4.3</v>
      </c>
      <c r="V1957" s="4">
        <f>IFERROR(__xludf.DUMMYFUNCTION("""COMPUTED_VALUE"""),-0.9)</f>
        <v>-0.9</v>
      </c>
    </row>
    <row r="1958">
      <c r="A1958" s="4">
        <f>IFERROR(__xludf.DUMMYFUNCTION("""COMPUTED_VALUE"""),53.0)</f>
        <v>53</v>
      </c>
      <c r="B1958" s="4">
        <f>IFERROR(__xludf.DUMMYFUNCTION("""COMPUTED_VALUE"""),53.0)</f>
        <v>53</v>
      </c>
      <c r="C1958" s="4" t="str">
        <f>IFERROR(__xludf.DUMMYFUNCTION("""COMPUTED_VALUE"""),"MIL")</f>
        <v>MIL</v>
      </c>
      <c r="D1958" s="4" t="str">
        <f>IFERROR(__xludf.DUMMYFUNCTION("""COMPUTED_VALUE"""),"Jeff Nordgaard")</f>
        <v>Jeff Nordgaard</v>
      </c>
      <c r="E1958" s="4" t="str">
        <f>IFERROR(__xludf.DUMMYFUNCTION("""COMPUTED_VALUE"""),"Green Bay")</f>
        <v>Green Bay</v>
      </c>
      <c r="F1958" s="4">
        <f>IFERROR(__xludf.DUMMYFUNCTION("""COMPUTED_VALUE"""),1.0)</f>
        <v>1</v>
      </c>
      <c r="G1958" s="4">
        <f>IFERROR(__xludf.DUMMYFUNCTION("""COMPUTED_VALUE"""),13.0)</f>
        <v>13</v>
      </c>
      <c r="H1958" s="4">
        <f>IFERROR(__xludf.DUMMYFUNCTION("""COMPUTED_VALUE"""),48.0)</f>
        <v>48</v>
      </c>
      <c r="I1958" s="4">
        <f>IFERROR(__xludf.DUMMYFUNCTION("""COMPUTED_VALUE"""),18.0)</f>
        <v>18</v>
      </c>
      <c r="J1958" s="4">
        <f>IFERROR(__xludf.DUMMYFUNCTION("""COMPUTED_VALUE"""),14.0)</f>
        <v>14</v>
      </c>
      <c r="K1958" s="4">
        <f>IFERROR(__xludf.DUMMYFUNCTION("""COMPUTED_VALUE"""),3.0)</f>
        <v>3</v>
      </c>
      <c r="L1958" s="4">
        <f>IFERROR(__xludf.DUMMYFUNCTION("""COMPUTED_VALUE"""),0.278)</f>
        <v>0.278</v>
      </c>
      <c r="M1958" s="4"/>
      <c r="N1958" s="4">
        <f>IFERROR(__xludf.DUMMYFUNCTION("""COMPUTED_VALUE"""),0.889)</f>
        <v>0.889</v>
      </c>
      <c r="O1958" s="4">
        <f>IFERROR(__xludf.DUMMYFUNCTION("""COMPUTED_VALUE"""),3.7)</f>
        <v>3.7</v>
      </c>
      <c r="P1958" s="4">
        <f>IFERROR(__xludf.DUMMYFUNCTION("""COMPUTED_VALUE"""),1.4)</f>
        <v>1.4</v>
      </c>
      <c r="Q1958" s="4">
        <f>IFERROR(__xludf.DUMMYFUNCTION("""COMPUTED_VALUE"""),1.1)</f>
        <v>1.1</v>
      </c>
      <c r="R1958" s="4">
        <f>IFERROR(__xludf.DUMMYFUNCTION("""COMPUTED_VALUE"""),0.2)</f>
        <v>0.2</v>
      </c>
      <c r="S1958" s="4">
        <f>IFERROR(__xludf.DUMMYFUNCTION("""COMPUTED_VALUE"""),0.0)</f>
        <v>0</v>
      </c>
      <c r="T1958" s="4">
        <f>IFERROR(__xludf.DUMMYFUNCTION("""COMPUTED_VALUE"""),0.043)</f>
        <v>0.043</v>
      </c>
      <c r="U1958" s="4">
        <f>IFERROR(__xludf.DUMMYFUNCTION("""COMPUTED_VALUE"""),-3.7)</f>
        <v>-3.7</v>
      </c>
      <c r="V1958" s="4">
        <f>IFERROR(__xludf.DUMMYFUNCTION("""COMPUTED_VALUE"""),0.0)</f>
        <v>0</v>
      </c>
    </row>
    <row r="1959">
      <c r="A1959" s="4">
        <f>IFERROR(__xludf.DUMMYFUNCTION("""COMPUTED_VALUE"""),54.0)</f>
        <v>54</v>
      </c>
      <c r="B1959" s="4">
        <f>IFERROR(__xludf.DUMMYFUNCTION("""COMPUTED_VALUE"""),54.0)</f>
        <v>54</v>
      </c>
      <c r="C1959" s="4" t="str">
        <f>IFERROR(__xludf.DUMMYFUNCTION("""COMPUTED_VALUE"""),"UTA")</f>
        <v>UTA</v>
      </c>
      <c r="D1959" s="4" t="str">
        <f>IFERROR(__xludf.DUMMYFUNCTION("""COMPUTED_VALUE"""),"Shandon Anderson")</f>
        <v>Shandon Anderson</v>
      </c>
      <c r="E1959" s="4" t="str">
        <f>IFERROR(__xludf.DUMMYFUNCTION("""COMPUTED_VALUE"""),"Georgia")</f>
        <v>Georgia</v>
      </c>
      <c r="F1959" s="4">
        <f>IFERROR(__xludf.DUMMYFUNCTION("""COMPUTED_VALUE"""),10.0)</f>
        <v>10</v>
      </c>
      <c r="G1959" s="4">
        <f>IFERROR(__xludf.DUMMYFUNCTION("""COMPUTED_VALUE"""),719.0)</f>
        <v>719</v>
      </c>
      <c r="H1959" s="4">
        <f>IFERROR(__xludf.DUMMYFUNCTION("""COMPUTED_VALUE"""),15946.0)</f>
        <v>15946</v>
      </c>
      <c r="I1959" s="4">
        <f>IFERROR(__xludf.DUMMYFUNCTION("""COMPUTED_VALUE"""),5327.0)</f>
        <v>5327</v>
      </c>
      <c r="J1959" s="4">
        <f>IFERROR(__xludf.DUMMYFUNCTION("""COMPUTED_VALUE"""),2252.0)</f>
        <v>2252</v>
      </c>
      <c r="K1959" s="4">
        <f>IFERROR(__xludf.DUMMYFUNCTION("""COMPUTED_VALUE"""),1007.0)</f>
        <v>1007</v>
      </c>
      <c r="L1959" s="4">
        <f>IFERROR(__xludf.DUMMYFUNCTION("""COMPUTED_VALUE"""),0.457)</f>
        <v>0.457</v>
      </c>
      <c r="M1959" s="4">
        <f>IFERROR(__xludf.DUMMYFUNCTION("""COMPUTED_VALUE"""),0.316)</f>
        <v>0.316</v>
      </c>
      <c r="N1959" s="4">
        <f>IFERROR(__xludf.DUMMYFUNCTION("""COMPUTED_VALUE"""),0.739)</f>
        <v>0.739</v>
      </c>
      <c r="O1959" s="4">
        <f>IFERROR(__xludf.DUMMYFUNCTION("""COMPUTED_VALUE"""),22.2)</f>
        <v>22.2</v>
      </c>
      <c r="P1959" s="4">
        <f>IFERROR(__xludf.DUMMYFUNCTION("""COMPUTED_VALUE"""),7.4)</f>
        <v>7.4</v>
      </c>
      <c r="Q1959" s="4">
        <f>IFERROR(__xludf.DUMMYFUNCTION("""COMPUTED_VALUE"""),3.1)</f>
        <v>3.1</v>
      </c>
      <c r="R1959" s="4">
        <f>IFERROR(__xludf.DUMMYFUNCTION("""COMPUTED_VALUE"""),1.4)</f>
        <v>1.4</v>
      </c>
      <c r="S1959" s="4">
        <f>IFERROR(__xludf.DUMMYFUNCTION("""COMPUTED_VALUE"""),23.6)</f>
        <v>23.6</v>
      </c>
      <c r="T1959" s="4">
        <f>IFERROR(__xludf.DUMMYFUNCTION("""COMPUTED_VALUE"""),0.071)</f>
        <v>0.071</v>
      </c>
      <c r="U1959" s="4">
        <f>IFERROR(__xludf.DUMMYFUNCTION("""COMPUTED_VALUE"""),-1.3)</f>
        <v>-1.3</v>
      </c>
      <c r="V1959" s="4">
        <f>IFERROR(__xludf.DUMMYFUNCTION("""COMPUTED_VALUE"""),3.0)</f>
        <v>3</v>
      </c>
    </row>
    <row r="1960">
      <c r="A1960" s="4">
        <f>IFERROR(__xludf.DUMMYFUNCTION("""COMPUTED_VALUE"""),55.0)</f>
        <v>55</v>
      </c>
      <c r="B1960" s="4">
        <f>IFERROR(__xludf.DUMMYFUNCTION("""COMPUTED_VALUE"""),55.0)</f>
        <v>55</v>
      </c>
      <c r="C1960" s="4" t="str">
        <f>IFERROR(__xludf.DUMMYFUNCTION("""COMPUTED_VALUE"""),"WSB")</f>
        <v>WSB</v>
      </c>
      <c r="D1960" s="4" t="str">
        <f>IFERROR(__xludf.DUMMYFUNCTION("""COMPUTED_VALUE"""),"Ronnie Henderson")</f>
        <v>Ronnie Henderson</v>
      </c>
      <c r="E1960" s="4" t="str">
        <f>IFERROR(__xludf.DUMMYFUNCTION("""COMPUTED_VALUE"""),"LSU")</f>
        <v>LSU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</row>
    <row r="1961">
      <c r="A1961" s="4">
        <f>IFERROR(__xludf.DUMMYFUNCTION("""COMPUTED_VALUE"""),56.0)</f>
        <v>56</v>
      </c>
      <c r="B1961" s="4">
        <f>IFERROR(__xludf.DUMMYFUNCTION("""COMPUTED_VALUE"""),56.0)</f>
        <v>56</v>
      </c>
      <c r="C1961" s="4" t="str">
        <f>IFERROR(__xludf.DUMMYFUNCTION("""COMPUTED_VALUE"""),"CLE")</f>
        <v>CLE</v>
      </c>
      <c r="D1961" s="4" t="str">
        <f>IFERROR(__xludf.DUMMYFUNCTION("""COMPUTED_VALUE"""),"Reggie Geary")</f>
        <v>Reggie Geary</v>
      </c>
      <c r="E1961" s="4" t="str">
        <f>IFERROR(__xludf.DUMMYFUNCTION("""COMPUTED_VALUE"""),"Arizona")</f>
        <v>Arizona</v>
      </c>
      <c r="F1961" s="4">
        <f>IFERROR(__xludf.DUMMYFUNCTION("""COMPUTED_VALUE"""),2.0)</f>
        <v>2</v>
      </c>
      <c r="G1961" s="4">
        <f>IFERROR(__xludf.DUMMYFUNCTION("""COMPUTED_VALUE"""),101.0)</f>
        <v>101</v>
      </c>
      <c r="H1961" s="4">
        <f>IFERROR(__xludf.DUMMYFUNCTION("""COMPUTED_VALUE"""),931.0)</f>
        <v>931</v>
      </c>
      <c r="I1961" s="4">
        <f>IFERROR(__xludf.DUMMYFUNCTION("""COMPUTED_VALUE"""),209.0)</f>
        <v>209</v>
      </c>
      <c r="J1961" s="4">
        <f>IFERROR(__xludf.DUMMYFUNCTION("""COMPUTED_VALUE"""),82.0)</f>
        <v>82</v>
      </c>
      <c r="K1961" s="4">
        <f>IFERROR(__xludf.DUMMYFUNCTION("""COMPUTED_VALUE"""),110.0)</f>
        <v>110</v>
      </c>
      <c r="L1961" s="4">
        <f>IFERROR(__xludf.DUMMYFUNCTION("""COMPUTED_VALUE"""),0.344)</f>
        <v>0.344</v>
      </c>
      <c r="M1961" s="4">
        <f>IFERROR(__xludf.DUMMYFUNCTION("""COMPUTED_VALUE"""),0.328)</f>
        <v>0.328</v>
      </c>
      <c r="N1961" s="4">
        <f>IFERROR(__xludf.DUMMYFUNCTION("""COMPUTED_VALUE"""),0.493)</f>
        <v>0.493</v>
      </c>
      <c r="O1961" s="4">
        <f>IFERROR(__xludf.DUMMYFUNCTION("""COMPUTED_VALUE"""),9.2)</f>
        <v>9.2</v>
      </c>
      <c r="P1961" s="4">
        <f>IFERROR(__xludf.DUMMYFUNCTION("""COMPUTED_VALUE"""),2.1)</f>
        <v>2.1</v>
      </c>
      <c r="Q1961" s="4">
        <f>IFERROR(__xludf.DUMMYFUNCTION("""COMPUTED_VALUE"""),0.8)</f>
        <v>0.8</v>
      </c>
      <c r="R1961" s="4">
        <f>IFERROR(__xludf.DUMMYFUNCTION("""COMPUTED_VALUE"""),1.1)</f>
        <v>1.1</v>
      </c>
      <c r="S1961" s="4">
        <f>IFERROR(__xludf.DUMMYFUNCTION("""COMPUTED_VALUE"""),0.6)</f>
        <v>0.6</v>
      </c>
      <c r="T1961" s="4">
        <f>IFERROR(__xludf.DUMMYFUNCTION("""COMPUTED_VALUE"""),0.032)</f>
        <v>0.032</v>
      </c>
      <c r="U1961" s="4">
        <f>IFERROR(__xludf.DUMMYFUNCTION("""COMPUTED_VALUE"""),-2.5)</f>
        <v>-2.5</v>
      </c>
      <c r="V1961" s="4">
        <f>IFERROR(__xludf.DUMMYFUNCTION("""COMPUTED_VALUE"""),-0.1)</f>
        <v>-0.1</v>
      </c>
    </row>
    <row r="1962">
      <c r="A1962" s="4">
        <f>IFERROR(__xludf.DUMMYFUNCTION("""COMPUTED_VALUE"""),57.0)</f>
        <v>57</v>
      </c>
      <c r="B1962" s="4">
        <f>IFERROR(__xludf.DUMMYFUNCTION("""COMPUTED_VALUE"""),57.0)</f>
        <v>57</v>
      </c>
      <c r="C1962" s="4" t="str">
        <f>IFERROR(__xludf.DUMMYFUNCTION("""COMPUTED_VALUE"""),"SEA")</f>
        <v>SEA</v>
      </c>
      <c r="D1962" s="4" t="str">
        <f>IFERROR(__xludf.DUMMYFUNCTION("""COMPUTED_VALUE"""),"Drew Barry")</f>
        <v>Drew Barry</v>
      </c>
      <c r="E1962" s="4" t="str">
        <f>IFERROR(__xludf.DUMMYFUNCTION("""COMPUTED_VALUE"""),"Georgia Tech")</f>
        <v>Georgia Tech</v>
      </c>
      <c r="F1962" s="4">
        <f>IFERROR(__xludf.DUMMYFUNCTION("""COMPUTED_VALUE"""),3.0)</f>
        <v>3</v>
      </c>
      <c r="G1962" s="4">
        <f>IFERROR(__xludf.DUMMYFUNCTION("""COMPUTED_VALUE"""),60.0)</f>
        <v>60</v>
      </c>
      <c r="H1962" s="4">
        <f>IFERROR(__xludf.DUMMYFUNCTION("""COMPUTED_VALUE"""),598.0)</f>
        <v>598</v>
      </c>
      <c r="I1962" s="4">
        <f>IFERROR(__xludf.DUMMYFUNCTION("""COMPUTED_VALUE"""),134.0)</f>
        <v>134</v>
      </c>
      <c r="J1962" s="4">
        <f>IFERROR(__xludf.DUMMYFUNCTION("""COMPUTED_VALUE"""),67.0)</f>
        <v>67</v>
      </c>
      <c r="K1962" s="4">
        <f>IFERROR(__xludf.DUMMYFUNCTION("""COMPUTED_VALUE"""),111.0)</f>
        <v>111</v>
      </c>
      <c r="L1962" s="4">
        <f>IFERROR(__xludf.DUMMYFUNCTION("""COMPUTED_VALUE"""),0.417)</f>
        <v>0.417</v>
      </c>
      <c r="M1962" s="4">
        <f>IFERROR(__xludf.DUMMYFUNCTION("""COMPUTED_VALUE"""),0.381)</f>
        <v>0.381</v>
      </c>
      <c r="N1962" s="4">
        <f>IFERROR(__xludf.DUMMYFUNCTION("""COMPUTED_VALUE"""),0.774)</f>
        <v>0.774</v>
      </c>
      <c r="O1962" s="4">
        <f>IFERROR(__xludf.DUMMYFUNCTION("""COMPUTED_VALUE"""),10.0)</f>
        <v>10</v>
      </c>
      <c r="P1962" s="4">
        <f>IFERROR(__xludf.DUMMYFUNCTION("""COMPUTED_VALUE"""),2.2)</f>
        <v>2.2</v>
      </c>
      <c r="Q1962" s="4">
        <f>IFERROR(__xludf.DUMMYFUNCTION("""COMPUTED_VALUE"""),1.1)</f>
        <v>1.1</v>
      </c>
      <c r="R1962" s="4">
        <f>IFERROR(__xludf.DUMMYFUNCTION("""COMPUTED_VALUE"""),1.9)</f>
        <v>1.9</v>
      </c>
      <c r="S1962" s="4">
        <f>IFERROR(__xludf.DUMMYFUNCTION("""COMPUTED_VALUE"""),0.6)</f>
        <v>0.6</v>
      </c>
      <c r="T1962" s="4">
        <f>IFERROR(__xludf.DUMMYFUNCTION("""COMPUTED_VALUE"""),0.051)</f>
        <v>0.051</v>
      </c>
      <c r="U1962" s="4">
        <f>IFERROR(__xludf.DUMMYFUNCTION("""COMPUTED_VALUE"""),-3.5)</f>
        <v>-3.5</v>
      </c>
      <c r="V1962" s="4">
        <f>IFERROR(__xludf.DUMMYFUNCTION("""COMPUTED_VALUE"""),-0.2)</f>
        <v>-0.2</v>
      </c>
    </row>
    <row r="1963">
      <c r="A1963" s="4">
        <f>IFERROR(__xludf.DUMMYFUNCTION("""COMPUTED_VALUE"""),58.0)</f>
        <v>58</v>
      </c>
      <c r="B1963" s="4">
        <f>IFERROR(__xludf.DUMMYFUNCTION("""COMPUTED_VALUE"""),58.0)</f>
        <v>58</v>
      </c>
      <c r="C1963" s="4" t="str">
        <f>IFERROR(__xludf.DUMMYFUNCTION("""COMPUTED_VALUE"""),"DAL")</f>
        <v>DAL</v>
      </c>
      <c r="D1963" s="4" t="str">
        <f>IFERROR(__xludf.DUMMYFUNCTION("""COMPUTED_VALUE"""),"Darnell Robinson")</f>
        <v>Darnell Robinson</v>
      </c>
      <c r="E1963" s="4" t="str">
        <f>IFERROR(__xludf.DUMMYFUNCTION("""COMPUTED_VALUE"""),"Arkansas")</f>
        <v>Arkansas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</row>
    <row r="1965">
      <c r="A1965" s="2">
        <v>1995.0</v>
      </c>
    </row>
    <row r="1966">
      <c r="A1966" s="4" t="str">
        <f>IFERROR(__xludf.DUMMYFUNCTION("IMPORTHTML(""https://www.basketball-reference.com/draft/NBA_1995.html"", ""table"", 1)"),"")</f>
        <v/>
      </c>
      <c r="B1966" s="4"/>
      <c r="C1966" s="4"/>
      <c r="D1966" s="4" t="str">
        <f>IFERROR(__xludf.DUMMYFUNCTION("""COMPUTED_VALUE"""),"Round 1")</f>
        <v>Round 1</v>
      </c>
      <c r="E1966" s="4"/>
      <c r="F1966" s="4"/>
      <c r="G1966" s="4" t="str">
        <f>IFERROR(__xludf.DUMMYFUNCTION("""COMPUTED_VALUE"""),"Totals")</f>
        <v>Totals</v>
      </c>
      <c r="H1966" s="4"/>
      <c r="I1966" s="4"/>
      <c r="J1966" s="4"/>
      <c r="K1966" s="4"/>
      <c r="L1966" s="4" t="str">
        <f>IFERROR(__xludf.DUMMYFUNCTION("""COMPUTED_VALUE"""),"Shooting")</f>
        <v>Shooting</v>
      </c>
      <c r="M1966" s="4"/>
      <c r="N1966" s="4"/>
      <c r="O1966" s="4" t="str">
        <f>IFERROR(__xludf.DUMMYFUNCTION("""COMPUTED_VALUE"""),"Per Game")</f>
        <v>Per Game</v>
      </c>
      <c r="P1966" s="4"/>
      <c r="Q1966" s="4"/>
      <c r="R1966" s="4"/>
      <c r="S1966" s="4" t="str">
        <f>IFERROR(__xludf.DUMMYFUNCTION("""COMPUTED_VALUE"""),"Advanced")</f>
        <v>Advanced</v>
      </c>
      <c r="T1966" s="4"/>
      <c r="U1966" s="4"/>
      <c r="V1966" s="4"/>
    </row>
    <row r="1967">
      <c r="A1967" s="4" t="str">
        <f>IFERROR(__xludf.DUMMYFUNCTION("""COMPUTED_VALUE"""),"Rk")</f>
        <v>Rk</v>
      </c>
      <c r="B1967" s="4" t="str">
        <f>IFERROR(__xludf.DUMMYFUNCTION("""COMPUTED_VALUE"""),"Pk")</f>
        <v>Pk</v>
      </c>
      <c r="C1967" s="4" t="str">
        <f>IFERROR(__xludf.DUMMYFUNCTION("""COMPUTED_VALUE"""),"Tm")</f>
        <v>Tm</v>
      </c>
      <c r="D1967" s="4" t="str">
        <f>IFERROR(__xludf.DUMMYFUNCTION("""COMPUTED_VALUE"""),"Player")</f>
        <v>Player</v>
      </c>
      <c r="E1967" s="4" t="str">
        <f>IFERROR(__xludf.DUMMYFUNCTION("""COMPUTED_VALUE"""),"College")</f>
        <v>College</v>
      </c>
      <c r="F1967" s="4" t="str">
        <f>IFERROR(__xludf.DUMMYFUNCTION("""COMPUTED_VALUE"""),"Yrs")</f>
        <v>Yrs</v>
      </c>
      <c r="G1967" s="4" t="str">
        <f>IFERROR(__xludf.DUMMYFUNCTION("""COMPUTED_VALUE"""),"G")</f>
        <v>G</v>
      </c>
      <c r="H1967" s="4" t="str">
        <f>IFERROR(__xludf.DUMMYFUNCTION("""COMPUTED_VALUE"""),"MP")</f>
        <v>MP</v>
      </c>
      <c r="I1967" s="4" t="str">
        <f>IFERROR(__xludf.DUMMYFUNCTION("""COMPUTED_VALUE"""),"PTS")</f>
        <v>PTS</v>
      </c>
      <c r="J1967" s="4" t="str">
        <f>IFERROR(__xludf.DUMMYFUNCTION("""COMPUTED_VALUE"""),"TRB")</f>
        <v>TRB</v>
      </c>
      <c r="K1967" s="4" t="str">
        <f>IFERROR(__xludf.DUMMYFUNCTION("""COMPUTED_VALUE"""),"AST")</f>
        <v>AST</v>
      </c>
      <c r="L1967" s="4" t="str">
        <f>IFERROR(__xludf.DUMMYFUNCTION("""COMPUTED_VALUE"""),"FG%")</f>
        <v>FG%</v>
      </c>
      <c r="M1967" s="4" t="str">
        <f>IFERROR(__xludf.DUMMYFUNCTION("""COMPUTED_VALUE"""),"3P%")</f>
        <v>3P%</v>
      </c>
      <c r="N1967" s="4" t="str">
        <f>IFERROR(__xludf.DUMMYFUNCTION("""COMPUTED_VALUE"""),"FT%")</f>
        <v>FT%</v>
      </c>
      <c r="O1967" s="4" t="str">
        <f>IFERROR(__xludf.DUMMYFUNCTION("""COMPUTED_VALUE"""),"MP")</f>
        <v>MP</v>
      </c>
      <c r="P1967" s="4" t="str">
        <f>IFERROR(__xludf.DUMMYFUNCTION("""COMPUTED_VALUE"""),"PTS")</f>
        <v>PTS</v>
      </c>
      <c r="Q1967" s="4" t="str">
        <f>IFERROR(__xludf.DUMMYFUNCTION("""COMPUTED_VALUE"""),"TRB")</f>
        <v>TRB</v>
      </c>
      <c r="R1967" s="4" t="str">
        <f>IFERROR(__xludf.DUMMYFUNCTION("""COMPUTED_VALUE"""),"AST")</f>
        <v>AST</v>
      </c>
      <c r="S1967" s="4" t="str">
        <f>IFERROR(__xludf.DUMMYFUNCTION("""COMPUTED_VALUE"""),"WS")</f>
        <v>WS</v>
      </c>
      <c r="T1967" s="4" t="str">
        <f>IFERROR(__xludf.DUMMYFUNCTION("""COMPUTED_VALUE"""),"WS/48")</f>
        <v>WS/48</v>
      </c>
      <c r="U1967" s="4" t="str">
        <f>IFERROR(__xludf.DUMMYFUNCTION("""COMPUTED_VALUE"""),"BPM")</f>
        <v>BPM</v>
      </c>
      <c r="V1967" s="4" t="str">
        <f>IFERROR(__xludf.DUMMYFUNCTION("""COMPUTED_VALUE"""),"VORP")</f>
        <v>VORP</v>
      </c>
    </row>
    <row r="1968">
      <c r="A1968" s="4">
        <f>IFERROR(__xludf.DUMMYFUNCTION("""COMPUTED_VALUE"""),1.0)</f>
        <v>1</v>
      </c>
      <c r="B1968" s="4">
        <f>IFERROR(__xludf.DUMMYFUNCTION("""COMPUTED_VALUE"""),1.0)</f>
        <v>1</v>
      </c>
      <c r="C1968" s="4" t="str">
        <f>IFERROR(__xludf.DUMMYFUNCTION("""COMPUTED_VALUE"""),"GSW")</f>
        <v>GSW</v>
      </c>
      <c r="D1968" s="4" t="str">
        <f>IFERROR(__xludf.DUMMYFUNCTION("""COMPUTED_VALUE"""),"Joe Smith")</f>
        <v>Joe Smith</v>
      </c>
      <c r="E1968" s="4" t="str">
        <f>IFERROR(__xludf.DUMMYFUNCTION("""COMPUTED_VALUE"""),"Maryland")</f>
        <v>Maryland</v>
      </c>
      <c r="F1968" s="4">
        <f>IFERROR(__xludf.DUMMYFUNCTION("""COMPUTED_VALUE"""),16.0)</f>
        <v>16</v>
      </c>
      <c r="G1968" s="4">
        <f>IFERROR(__xludf.DUMMYFUNCTION("""COMPUTED_VALUE"""),1030.0)</f>
        <v>1030</v>
      </c>
      <c r="H1968" s="4">
        <f>IFERROR(__xludf.DUMMYFUNCTION("""COMPUTED_VALUE"""),27022.0)</f>
        <v>27022</v>
      </c>
      <c r="I1968" s="4">
        <f>IFERROR(__xludf.DUMMYFUNCTION("""COMPUTED_VALUE"""),11208.0)</f>
        <v>11208</v>
      </c>
      <c r="J1968" s="4">
        <f>IFERROR(__xludf.DUMMYFUNCTION("""COMPUTED_VALUE"""),6575.0)</f>
        <v>6575</v>
      </c>
      <c r="K1968" s="4">
        <f>IFERROR(__xludf.DUMMYFUNCTION("""COMPUTED_VALUE"""),1010.0)</f>
        <v>1010</v>
      </c>
      <c r="L1968" s="4">
        <f>IFERROR(__xludf.DUMMYFUNCTION("""COMPUTED_VALUE"""),0.455)</f>
        <v>0.455</v>
      </c>
      <c r="M1968" s="4">
        <f>IFERROR(__xludf.DUMMYFUNCTION("""COMPUTED_VALUE"""),0.238)</f>
        <v>0.238</v>
      </c>
      <c r="N1968" s="4">
        <f>IFERROR(__xludf.DUMMYFUNCTION("""COMPUTED_VALUE"""),0.79)</f>
        <v>0.79</v>
      </c>
      <c r="O1968" s="4">
        <f>IFERROR(__xludf.DUMMYFUNCTION("""COMPUTED_VALUE"""),26.2)</f>
        <v>26.2</v>
      </c>
      <c r="P1968" s="4">
        <f>IFERROR(__xludf.DUMMYFUNCTION("""COMPUTED_VALUE"""),10.9)</f>
        <v>10.9</v>
      </c>
      <c r="Q1968" s="4">
        <f>IFERROR(__xludf.DUMMYFUNCTION("""COMPUTED_VALUE"""),6.4)</f>
        <v>6.4</v>
      </c>
      <c r="R1968" s="4">
        <f>IFERROR(__xludf.DUMMYFUNCTION("""COMPUTED_VALUE"""),1.0)</f>
        <v>1</v>
      </c>
      <c r="S1968" s="4">
        <f>IFERROR(__xludf.DUMMYFUNCTION("""COMPUTED_VALUE"""),60.3)</f>
        <v>60.3</v>
      </c>
      <c r="T1968" s="4">
        <f>IFERROR(__xludf.DUMMYFUNCTION("""COMPUTED_VALUE"""),0.107)</f>
        <v>0.107</v>
      </c>
      <c r="U1968" s="4">
        <f>IFERROR(__xludf.DUMMYFUNCTION("""COMPUTED_VALUE"""),-1.5)</f>
        <v>-1.5</v>
      </c>
      <c r="V1968" s="4">
        <f>IFERROR(__xludf.DUMMYFUNCTION("""COMPUTED_VALUE"""),3.0)</f>
        <v>3</v>
      </c>
    </row>
    <row r="1969">
      <c r="A1969" s="4">
        <f>IFERROR(__xludf.DUMMYFUNCTION("""COMPUTED_VALUE"""),2.0)</f>
        <v>2</v>
      </c>
      <c r="B1969" s="4">
        <f>IFERROR(__xludf.DUMMYFUNCTION("""COMPUTED_VALUE"""),2.0)</f>
        <v>2</v>
      </c>
      <c r="C1969" s="4" t="str">
        <f>IFERROR(__xludf.DUMMYFUNCTION("""COMPUTED_VALUE"""),"LAC")</f>
        <v>LAC</v>
      </c>
      <c r="D1969" s="4" t="str">
        <f>IFERROR(__xludf.DUMMYFUNCTION("""COMPUTED_VALUE"""),"Antonio McDyess")</f>
        <v>Antonio McDyess</v>
      </c>
      <c r="E1969" s="4" t="str">
        <f>IFERROR(__xludf.DUMMYFUNCTION("""COMPUTED_VALUE"""),"Alabama")</f>
        <v>Alabama</v>
      </c>
      <c r="F1969" s="4">
        <f>IFERROR(__xludf.DUMMYFUNCTION("""COMPUTED_VALUE"""),15.0)</f>
        <v>15</v>
      </c>
      <c r="G1969" s="4">
        <f>IFERROR(__xludf.DUMMYFUNCTION("""COMPUTED_VALUE"""),1015.0)</f>
        <v>1015</v>
      </c>
      <c r="H1969" s="4">
        <f>IFERROR(__xludf.DUMMYFUNCTION("""COMPUTED_VALUE"""),28053.0)</f>
        <v>28053</v>
      </c>
      <c r="I1969" s="4">
        <f>IFERROR(__xludf.DUMMYFUNCTION("""COMPUTED_VALUE"""),12227.0)</f>
        <v>12227</v>
      </c>
      <c r="J1969" s="4">
        <f>IFERROR(__xludf.DUMMYFUNCTION("""COMPUTED_VALUE"""),7638.0)</f>
        <v>7638</v>
      </c>
      <c r="K1969" s="4">
        <f>IFERROR(__xludf.DUMMYFUNCTION("""COMPUTED_VALUE"""),1300.0)</f>
        <v>1300</v>
      </c>
      <c r="L1969" s="4">
        <f>IFERROR(__xludf.DUMMYFUNCTION("""COMPUTED_VALUE"""),0.497)</f>
        <v>0.497</v>
      </c>
      <c r="M1969" s="4">
        <f>IFERROR(__xludf.DUMMYFUNCTION("""COMPUTED_VALUE"""),0.117)</f>
        <v>0.117</v>
      </c>
      <c r="N1969" s="4">
        <f>IFERROR(__xludf.DUMMYFUNCTION("""COMPUTED_VALUE"""),0.67)</f>
        <v>0.67</v>
      </c>
      <c r="O1969" s="4">
        <f>IFERROR(__xludf.DUMMYFUNCTION("""COMPUTED_VALUE"""),27.6)</f>
        <v>27.6</v>
      </c>
      <c r="P1969" s="4">
        <f>IFERROR(__xludf.DUMMYFUNCTION("""COMPUTED_VALUE"""),12.0)</f>
        <v>12</v>
      </c>
      <c r="Q1969" s="4">
        <f>IFERROR(__xludf.DUMMYFUNCTION("""COMPUTED_VALUE"""),7.5)</f>
        <v>7.5</v>
      </c>
      <c r="R1969" s="4">
        <f>IFERROR(__xludf.DUMMYFUNCTION("""COMPUTED_VALUE"""),1.3)</f>
        <v>1.3</v>
      </c>
      <c r="S1969" s="4">
        <f>IFERROR(__xludf.DUMMYFUNCTION("""COMPUTED_VALUE"""),69.8)</f>
        <v>69.8</v>
      </c>
      <c r="T1969" s="4">
        <f>IFERROR(__xludf.DUMMYFUNCTION("""COMPUTED_VALUE"""),0.119)</f>
        <v>0.119</v>
      </c>
      <c r="U1969" s="4">
        <f>IFERROR(__xludf.DUMMYFUNCTION("""COMPUTED_VALUE"""),-0.1)</f>
        <v>-0.1</v>
      </c>
      <c r="V1969" s="4">
        <f>IFERROR(__xludf.DUMMYFUNCTION("""COMPUTED_VALUE"""),13.2)</f>
        <v>13.2</v>
      </c>
    </row>
    <row r="1970">
      <c r="A1970" s="4">
        <f>IFERROR(__xludf.DUMMYFUNCTION("""COMPUTED_VALUE"""),3.0)</f>
        <v>3</v>
      </c>
      <c r="B1970" s="4">
        <f>IFERROR(__xludf.DUMMYFUNCTION("""COMPUTED_VALUE"""),3.0)</f>
        <v>3</v>
      </c>
      <c r="C1970" s="4" t="str">
        <f>IFERROR(__xludf.DUMMYFUNCTION("""COMPUTED_VALUE"""),"PHI")</f>
        <v>PHI</v>
      </c>
      <c r="D1970" s="4" t="str">
        <f>IFERROR(__xludf.DUMMYFUNCTION("""COMPUTED_VALUE"""),"Jerry Stackhouse")</f>
        <v>Jerry Stackhouse</v>
      </c>
      <c r="E1970" s="4" t="str">
        <f>IFERROR(__xludf.DUMMYFUNCTION("""COMPUTED_VALUE"""),"UNC")</f>
        <v>UNC</v>
      </c>
      <c r="F1970" s="4">
        <f>IFERROR(__xludf.DUMMYFUNCTION("""COMPUTED_VALUE"""),18.0)</f>
        <v>18</v>
      </c>
      <c r="G1970" s="4">
        <f>IFERROR(__xludf.DUMMYFUNCTION("""COMPUTED_VALUE"""),970.0)</f>
        <v>970</v>
      </c>
      <c r="H1970" s="4">
        <f>IFERROR(__xludf.DUMMYFUNCTION("""COMPUTED_VALUE"""),30222.0)</f>
        <v>30222</v>
      </c>
      <c r="I1970" s="4">
        <f>IFERROR(__xludf.DUMMYFUNCTION("""COMPUTED_VALUE"""),16409.0)</f>
        <v>16409</v>
      </c>
      <c r="J1970" s="4">
        <f>IFERROR(__xludf.DUMMYFUNCTION("""COMPUTED_VALUE"""),3067.0)</f>
        <v>3067</v>
      </c>
      <c r="K1970" s="4">
        <f>IFERROR(__xludf.DUMMYFUNCTION("""COMPUTED_VALUE"""),3240.0)</f>
        <v>3240</v>
      </c>
      <c r="L1970" s="4">
        <f>IFERROR(__xludf.DUMMYFUNCTION("""COMPUTED_VALUE"""),0.409)</f>
        <v>0.409</v>
      </c>
      <c r="M1970" s="4">
        <f>IFERROR(__xludf.DUMMYFUNCTION("""COMPUTED_VALUE"""),0.309)</f>
        <v>0.309</v>
      </c>
      <c r="N1970" s="4">
        <f>IFERROR(__xludf.DUMMYFUNCTION("""COMPUTED_VALUE"""),0.822)</f>
        <v>0.822</v>
      </c>
      <c r="O1970" s="4">
        <f>IFERROR(__xludf.DUMMYFUNCTION("""COMPUTED_VALUE"""),31.2)</f>
        <v>31.2</v>
      </c>
      <c r="P1970" s="4">
        <f>IFERROR(__xludf.DUMMYFUNCTION("""COMPUTED_VALUE"""),16.9)</f>
        <v>16.9</v>
      </c>
      <c r="Q1970" s="4">
        <f>IFERROR(__xludf.DUMMYFUNCTION("""COMPUTED_VALUE"""),3.2)</f>
        <v>3.2</v>
      </c>
      <c r="R1970" s="4">
        <f>IFERROR(__xludf.DUMMYFUNCTION("""COMPUTED_VALUE"""),3.3)</f>
        <v>3.3</v>
      </c>
      <c r="S1970" s="4">
        <f>IFERROR(__xludf.DUMMYFUNCTION("""COMPUTED_VALUE"""),52.4)</f>
        <v>52.4</v>
      </c>
      <c r="T1970" s="4">
        <f>IFERROR(__xludf.DUMMYFUNCTION("""COMPUTED_VALUE"""),0.083)</f>
        <v>0.083</v>
      </c>
      <c r="U1970" s="4">
        <f>IFERROR(__xludf.DUMMYFUNCTION("""COMPUTED_VALUE"""),0.3)</f>
        <v>0.3</v>
      </c>
      <c r="V1970" s="4">
        <f>IFERROR(__xludf.DUMMYFUNCTION("""COMPUTED_VALUE"""),17.4)</f>
        <v>17.4</v>
      </c>
    </row>
    <row r="1971">
      <c r="A1971" s="4">
        <f>IFERROR(__xludf.DUMMYFUNCTION("""COMPUTED_VALUE"""),4.0)</f>
        <v>4</v>
      </c>
      <c r="B1971" s="4">
        <f>IFERROR(__xludf.DUMMYFUNCTION("""COMPUTED_VALUE"""),4.0)</f>
        <v>4</v>
      </c>
      <c r="C1971" s="4" t="str">
        <f>IFERROR(__xludf.DUMMYFUNCTION("""COMPUTED_VALUE"""),"WSB")</f>
        <v>WSB</v>
      </c>
      <c r="D1971" s="4" t="str">
        <f>IFERROR(__xludf.DUMMYFUNCTION("""COMPUTED_VALUE"""),"Rasheed Wallace")</f>
        <v>Rasheed Wallace</v>
      </c>
      <c r="E1971" s="4" t="str">
        <f>IFERROR(__xludf.DUMMYFUNCTION("""COMPUTED_VALUE"""),"UNC")</f>
        <v>UNC</v>
      </c>
      <c r="F1971" s="4">
        <f>IFERROR(__xludf.DUMMYFUNCTION("""COMPUTED_VALUE"""),16.0)</f>
        <v>16</v>
      </c>
      <c r="G1971" s="4">
        <f>IFERROR(__xludf.DUMMYFUNCTION("""COMPUTED_VALUE"""),1109.0)</f>
        <v>1109</v>
      </c>
      <c r="H1971" s="4">
        <f>IFERROR(__xludf.DUMMYFUNCTION("""COMPUTED_VALUE"""),36243.0)</f>
        <v>36243</v>
      </c>
      <c r="I1971" s="4">
        <f>IFERROR(__xludf.DUMMYFUNCTION("""COMPUTED_VALUE"""),16006.0)</f>
        <v>16006</v>
      </c>
      <c r="J1971" s="4">
        <f>IFERROR(__xludf.DUMMYFUNCTION("""COMPUTED_VALUE"""),7404.0)</f>
        <v>7404</v>
      </c>
      <c r="K1971" s="4">
        <f>IFERROR(__xludf.DUMMYFUNCTION("""COMPUTED_VALUE"""),1994.0)</f>
        <v>1994</v>
      </c>
      <c r="L1971" s="4">
        <f>IFERROR(__xludf.DUMMYFUNCTION("""COMPUTED_VALUE"""),0.467)</f>
        <v>0.467</v>
      </c>
      <c r="M1971" s="4">
        <f>IFERROR(__xludf.DUMMYFUNCTION("""COMPUTED_VALUE"""),0.336)</f>
        <v>0.336</v>
      </c>
      <c r="N1971" s="4">
        <f>IFERROR(__xludf.DUMMYFUNCTION("""COMPUTED_VALUE"""),0.721)</f>
        <v>0.721</v>
      </c>
      <c r="O1971" s="4">
        <f>IFERROR(__xludf.DUMMYFUNCTION("""COMPUTED_VALUE"""),32.7)</f>
        <v>32.7</v>
      </c>
      <c r="P1971" s="4">
        <f>IFERROR(__xludf.DUMMYFUNCTION("""COMPUTED_VALUE"""),14.4)</f>
        <v>14.4</v>
      </c>
      <c r="Q1971" s="4">
        <f>IFERROR(__xludf.DUMMYFUNCTION("""COMPUTED_VALUE"""),6.7)</f>
        <v>6.7</v>
      </c>
      <c r="R1971" s="4">
        <f>IFERROR(__xludf.DUMMYFUNCTION("""COMPUTED_VALUE"""),1.8)</f>
        <v>1.8</v>
      </c>
      <c r="S1971" s="4">
        <f>IFERROR(__xludf.DUMMYFUNCTION("""COMPUTED_VALUE"""),105.1)</f>
        <v>105.1</v>
      </c>
      <c r="T1971" s="4">
        <f>IFERROR(__xludf.DUMMYFUNCTION("""COMPUTED_VALUE"""),0.139)</f>
        <v>0.139</v>
      </c>
      <c r="U1971" s="4">
        <f>IFERROR(__xludf.DUMMYFUNCTION("""COMPUTED_VALUE"""),2.2)</f>
        <v>2.2</v>
      </c>
      <c r="V1971" s="4">
        <f>IFERROR(__xludf.DUMMYFUNCTION("""COMPUTED_VALUE"""),38.3)</f>
        <v>38.3</v>
      </c>
    </row>
    <row r="1972">
      <c r="A1972" s="4">
        <f>IFERROR(__xludf.DUMMYFUNCTION("""COMPUTED_VALUE"""),5.0)</f>
        <v>5</v>
      </c>
      <c r="B1972" s="4">
        <f>IFERROR(__xludf.DUMMYFUNCTION("""COMPUTED_VALUE"""),5.0)</f>
        <v>5</v>
      </c>
      <c r="C1972" s="4" t="str">
        <f>IFERROR(__xludf.DUMMYFUNCTION("""COMPUTED_VALUE"""),"MIN")</f>
        <v>MIN</v>
      </c>
      <c r="D1972" s="4" t="str">
        <f>IFERROR(__xludf.DUMMYFUNCTION("""COMPUTED_VALUE"""),"Kevin Garnett")</f>
        <v>Kevin Garnett</v>
      </c>
      <c r="E1972" s="4"/>
      <c r="F1972" s="4">
        <f>IFERROR(__xludf.DUMMYFUNCTION("""COMPUTED_VALUE"""),21.0)</f>
        <v>21</v>
      </c>
      <c r="G1972" s="4">
        <f>IFERROR(__xludf.DUMMYFUNCTION("""COMPUTED_VALUE"""),1462.0)</f>
        <v>1462</v>
      </c>
      <c r="H1972" s="4">
        <f>IFERROR(__xludf.DUMMYFUNCTION("""COMPUTED_VALUE"""),50418.0)</f>
        <v>50418</v>
      </c>
      <c r="I1972" s="4">
        <f>IFERROR(__xludf.DUMMYFUNCTION("""COMPUTED_VALUE"""),26071.0)</f>
        <v>26071</v>
      </c>
      <c r="J1972" s="4">
        <f>IFERROR(__xludf.DUMMYFUNCTION("""COMPUTED_VALUE"""),14662.0)</f>
        <v>14662</v>
      </c>
      <c r="K1972" s="4">
        <f>IFERROR(__xludf.DUMMYFUNCTION("""COMPUTED_VALUE"""),5445.0)</f>
        <v>5445</v>
      </c>
      <c r="L1972" s="4">
        <f>IFERROR(__xludf.DUMMYFUNCTION("""COMPUTED_VALUE"""),0.497)</f>
        <v>0.497</v>
      </c>
      <c r="M1972" s="4">
        <f>IFERROR(__xludf.DUMMYFUNCTION("""COMPUTED_VALUE"""),0.275)</f>
        <v>0.275</v>
      </c>
      <c r="N1972" s="4">
        <f>IFERROR(__xludf.DUMMYFUNCTION("""COMPUTED_VALUE"""),0.789)</f>
        <v>0.789</v>
      </c>
      <c r="O1972" s="4">
        <f>IFERROR(__xludf.DUMMYFUNCTION("""COMPUTED_VALUE"""),34.5)</f>
        <v>34.5</v>
      </c>
      <c r="P1972" s="4">
        <f>IFERROR(__xludf.DUMMYFUNCTION("""COMPUTED_VALUE"""),17.8)</f>
        <v>17.8</v>
      </c>
      <c r="Q1972" s="4">
        <f>IFERROR(__xludf.DUMMYFUNCTION("""COMPUTED_VALUE"""),10.0)</f>
        <v>10</v>
      </c>
      <c r="R1972" s="4">
        <f>IFERROR(__xludf.DUMMYFUNCTION("""COMPUTED_VALUE"""),3.7)</f>
        <v>3.7</v>
      </c>
      <c r="S1972" s="4">
        <f>IFERROR(__xludf.DUMMYFUNCTION("""COMPUTED_VALUE"""),191.4)</f>
        <v>191.4</v>
      </c>
      <c r="T1972" s="4">
        <f>IFERROR(__xludf.DUMMYFUNCTION("""COMPUTED_VALUE"""),0.182)</f>
        <v>0.182</v>
      </c>
      <c r="U1972" s="4">
        <f>IFERROR(__xludf.DUMMYFUNCTION("""COMPUTED_VALUE"""),5.6)</f>
        <v>5.6</v>
      </c>
      <c r="V1972" s="4">
        <f>IFERROR(__xludf.DUMMYFUNCTION("""COMPUTED_VALUE"""),96.9)</f>
        <v>96.9</v>
      </c>
    </row>
    <row r="1973">
      <c r="A1973" s="4">
        <f>IFERROR(__xludf.DUMMYFUNCTION("""COMPUTED_VALUE"""),6.0)</f>
        <v>6</v>
      </c>
      <c r="B1973" s="4">
        <f>IFERROR(__xludf.DUMMYFUNCTION("""COMPUTED_VALUE"""),6.0)</f>
        <v>6</v>
      </c>
      <c r="C1973" s="4" t="str">
        <f>IFERROR(__xludf.DUMMYFUNCTION("""COMPUTED_VALUE"""),"VAN")</f>
        <v>VAN</v>
      </c>
      <c r="D1973" s="4" t="str">
        <f>IFERROR(__xludf.DUMMYFUNCTION("""COMPUTED_VALUE"""),"Bryant Reeves")</f>
        <v>Bryant Reeves</v>
      </c>
      <c r="E1973" s="4" t="str">
        <f>IFERROR(__xludf.DUMMYFUNCTION("""COMPUTED_VALUE"""),"Oklahoma State")</f>
        <v>Oklahoma State</v>
      </c>
      <c r="F1973" s="4">
        <f>IFERROR(__xludf.DUMMYFUNCTION("""COMPUTED_VALUE"""),6.0)</f>
        <v>6</v>
      </c>
      <c r="G1973" s="4">
        <f>IFERROR(__xludf.DUMMYFUNCTION("""COMPUTED_VALUE"""),395.0)</f>
        <v>395</v>
      </c>
      <c r="H1973" s="4">
        <f>IFERROR(__xludf.DUMMYFUNCTION("""COMPUTED_VALUE"""),12071.0)</f>
        <v>12071</v>
      </c>
      <c r="I1973" s="4">
        <f>IFERROR(__xludf.DUMMYFUNCTION("""COMPUTED_VALUE"""),4945.0)</f>
        <v>4945</v>
      </c>
      <c r="J1973" s="4">
        <f>IFERROR(__xludf.DUMMYFUNCTION("""COMPUTED_VALUE"""),2745.0)</f>
        <v>2745</v>
      </c>
      <c r="K1973" s="4">
        <f>IFERROR(__xludf.DUMMYFUNCTION("""COMPUTED_VALUE"""),623.0)</f>
        <v>623</v>
      </c>
      <c r="L1973" s="4">
        <f>IFERROR(__xludf.DUMMYFUNCTION("""COMPUTED_VALUE"""),0.475)</f>
        <v>0.475</v>
      </c>
      <c r="M1973" s="4">
        <f>IFERROR(__xludf.DUMMYFUNCTION("""COMPUTED_VALUE"""),0.074)</f>
        <v>0.074</v>
      </c>
      <c r="N1973" s="4">
        <f>IFERROR(__xludf.DUMMYFUNCTION("""COMPUTED_VALUE"""),0.703)</f>
        <v>0.703</v>
      </c>
      <c r="O1973" s="4">
        <f>IFERROR(__xludf.DUMMYFUNCTION("""COMPUTED_VALUE"""),30.6)</f>
        <v>30.6</v>
      </c>
      <c r="P1973" s="4">
        <f>IFERROR(__xludf.DUMMYFUNCTION("""COMPUTED_VALUE"""),12.5)</f>
        <v>12.5</v>
      </c>
      <c r="Q1973" s="4">
        <f>IFERROR(__xludf.DUMMYFUNCTION("""COMPUTED_VALUE"""),6.9)</f>
        <v>6.9</v>
      </c>
      <c r="R1973" s="4">
        <f>IFERROR(__xludf.DUMMYFUNCTION("""COMPUTED_VALUE"""),1.6)</f>
        <v>1.6</v>
      </c>
      <c r="S1973" s="4">
        <f>IFERROR(__xludf.DUMMYFUNCTION("""COMPUTED_VALUE"""),13.0)</f>
        <v>13</v>
      </c>
      <c r="T1973" s="4">
        <f>IFERROR(__xludf.DUMMYFUNCTION("""COMPUTED_VALUE"""),0.052)</f>
        <v>0.052</v>
      </c>
      <c r="U1973" s="4">
        <f>IFERROR(__xludf.DUMMYFUNCTION("""COMPUTED_VALUE"""),-3.4)</f>
        <v>-3.4</v>
      </c>
      <c r="V1973" s="4">
        <f>IFERROR(__xludf.DUMMYFUNCTION("""COMPUTED_VALUE"""),-4.3)</f>
        <v>-4.3</v>
      </c>
    </row>
    <row r="1974">
      <c r="A1974" s="4">
        <f>IFERROR(__xludf.DUMMYFUNCTION("""COMPUTED_VALUE"""),7.0)</f>
        <v>7</v>
      </c>
      <c r="B1974" s="4">
        <f>IFERROR(__xludf.DUMMYFUNCTION("""COMPUTED_VALUE"""),7.0)</f>
        <v>7</v>
      </c>
      <c r="C1974" s="4" t="str">
        <f>IFERROR(__xludf.DUMMYFUNCTION("""COMPUTED_VALUE"""),"TOR")</f>
        <v>TOR</v>
      </c>
      <c r="D1974" s="4" t="str">
        <f>IFERROR(__xludf.DUMMYFUNCTION("""COMPUTED_VALUE"""),"Damon Stoudamire")</f>
        <v>Damon Stoudamire</v>
      </c>
      <c r="E1974" s="4" t="str">
        <f>IFERROR(__xludf.DUMMYFUNCTION("""COMPUTED_VALUE"""),"Arizona")</f>
        <v>Arizona</v>
      </c>
      <c r="F1974" s="4">
        <f>IFERROR(__xludf.DUMMYFUNCTION("""COMPUTED_VALUE"""),13.0)</f>
        <v>13</v>
      </c>
      <c r="G1974" s="4">
        <f>IFERROR(__xludf.DUMMYFUNCTION("""COMPUTED_VALUE"""),878.0)</f>
        <v>878</v>
      </c>
      <c r="H1974" s="4">
        <f>IFERROR(__xludf.DUMMYFUNCTION("""COMPUTED_VALUE"""),29106.0)</f>
        <v>29106</v>
      </c>
      <c r="I1974" s="4">
        <f>IFERROR(__xludf.DUMMYFUNCTION("""COMPUTED_VALUE"""),11763.0)</f>
        <v>11763</v>
      </c>
      <c r="J1974" s="4">
        <f>IFERROR(__xludf.DUMMYFUNCTION("""COMPUTED_VALUE"""),3039.0)</f>
        <v>3039</v>
      </c>
      <c r="K1974" s="4">
        <f>IFERROR(__xludf.DUMMYFUNCTION("""COMPUTED_VALUE"""),5371.0)</f>
        <v>5371</v>
      </c>
      <c r="L1974" s="4">
        <f>IFERROR(__xludf.DUMMYFUNCTION("""COMPUTED_VALUE"""),0.406)</f>
        <v>0.406</v>
      </c>
      <c r="M1974" s="4">
        <f>IFERROR(__xludf.DUMMYFUNCTION("""COMPUTED_VALUE"""),0.357)</f>
        <v>0.357</v>
      </c>
      <c r="N1974" s="4">
        <f>IFERROR(__xludf.DUMMYFUNCTION("""COMPUTED_VALUE"""),0.833)</f>
        <v>0.833</v>
      </c>
      <c r="O1974" s="4">
        <f>IFERROR(__xludf.DUMMYFUNCTION("""COMPUTED_VALUE"""),33.2)</f>
        <v>33.2</v>
      </c>
      <c r="P1974" s="4">
        <f>IFERROR(__xludf.DUMMYFUNCTION("""COMPUTED_VALUE"""),13.4)</f>
        <v>13.4</v>
      </c>
      <c r="Q1974" s="4">
        <f>IFERROR(__xludf.DUMMYFUNCTION("""COMPUTED_VALUE"""),3.5)</f>
        <v>3.5</v>
      </c>
      <c r="R1974" s="4">
        <f>IFERROR(__xludf.DUMMYFUNCTION("""COMPUTED_VALUE"""),6.1)</f>
        <v>6.1</v>
      </c>
      <c r="S1974" s="4">
        <f>IFERROR(__xludf.DUMMYFUNCTION("""COMPUTED_VALUE"""),55.4)</f>
        <v>55.4</v>
      </c>
      <c r="T1974" s="4">
        <f>IFERROR(__xludf.DUMMYFUNCTION("""COMPUTED_VALUE"""),0.091)</f>
        <v>0.091</v>
      </c>
      <c r="U1974" s="4">
        <f>IFERROR(__xludf.DUMMYFUNCTION("""COMPUTED_VALUE"""),0.3)</f>
        <v>0.3</v>
      </c>
      <c r="V1974" s="4">
        <f>IFERROR(__xludf.DUMMYFUNCTION("""COMPUTED_VALUE"""),16.8)</f>
        <v>16.8</v>
      </c>
    </row>
    <row r="1975">
      <c r="A1975" s="4">
        <f>IFERROR(__xludf.DUMMYFUNCTION("""COMPUTED_VALUE"""),8.0)</f>
        <v>8</v>
      </c>
      <c r="B1975" s="4">
        <f>IFERROR(__xludf.DUMMYFUNCTION("""COMPUTED_VALUE"""),8.0)</f>
        <v>8</v>
      </c>
      <c r="C1975" s="4" t="str">
        <f>IFERROR(__xludf.DUMMYFUNCTION("""COMPUTED_VALUE"""),"POR")</f>
        <v>POR</v>
      </c>
      <c r="D1975" s="4" t="str">
        <f>IFERROR(__xludf.DUMMYFUNCTION("""COMPUTED_VALUE"""),"Shawn Respert")</f>
        <v>Shawn Respert</v>
      </c>
      <c r="E1975" s="4" t="str">
        <f>IFERROR(__xludf.DUMMYFUNCTION("""COMPUTED_VALUE"""),"Michigan State")</f>
        <v>Michigan State</v>
      </c>
      <c r="F1975" s="4">
        <f>IFERROR(__xludf.DUMMYFUNCTION("""COMPUTED_VALUE"""),4.0)</f>
        <v>4</v>
      </c>
      <c r="G1975" s="4">
        <f>IFERROR(__xludf.DUMMYFUNCTION("""COMPUTED_VALUE"""),172.0)</f>
        <v>172</v>
      </c>
      <c r="H1975" s="4">
        <f>IFERROR(__xludf.DUMMYFUNCTION("""COMPUTED_VALUE"""),2350.0)</f>
        <v>2350</v>
      </c>
      <c r="I1975" s="4">
        <f>IFERROR(__xludf.DUMMYFUNCTION("""COMPUTED_VALUE"""),851.0)</f>
        <v>851</v>
      </c>
      <c r="J1975" s="4">
        <f>IFERROR(__xludf.DUMMYFUNCTION("""COMPUTED_VALUE"""),226.0)</f>
        <v>226</v>
      </c>
      <c r="K1975" s="4">
        <f>IFERROR(__xludf.DUMMYFUNCTION("""COMPUTED_VALUE"""),177.0)</f>
        <v>177</v>
      </c>
      <c r="L1975" s="4">
        <f>IFERROR(__xludf.DUMMYFUNCTION("""COMPUTED_VALUE"""),0.414)</f>
        <v>0.414</v>
      </c>
      <c r="M1975" s="4">
        <f>IFERROR(__xludf.DUMMYFUNCTION("""COMPUTED_VALUE"""),0.34)</f>
        <v>0.34</v>
      </c>
      <c r="N1975" s="4">
        <f>IFERROR(__xludf.DUMMYFUNCTION("""COMPUTED_VALUE"""),0.816)</f>
        <v>0.816</v>
      </c>
      <c r="O1975" s="4">
        <f>IFERROR(__xludf.DUMMYFUNCTION("""COMPUTED_VALUE"""),13.7)</f>
        <v>13.7</v>
      </c>
      <c r="P1975" s="4">
        <f>IFERROR(__xludf.DUMMYFUNCTION("""COMPUTED_VALUE"""),4.9)</f>
        <v>4.9</v>
      </c>
      <c r="Q1975" s="4">
        <f>IFERROR(__xludf.DUMMYFUNCTION("""COMPUTED_VALUE"""),1.3)</f>
        <v>1.3</v>
      </c>
      <c r="R1975" s="4">
        <f>IFERROR(__xludf.DUMMYFUNCTION("""COMPUTED_VALUE"""),1.0)</f>
        <v>1</v>
      </c>
      <c r="S1975" s="4">
        <f>IFERROR(__xludf.DUMMYFUNCTION("""COMPUTED_VALUE"""),2.1)</f>
        <v>2.1</v>
      </c>
      <c r="T1975" s="4">
        <f>IFERROR(__xludf.DUMMYFUNCTION("""COMPUTED_VALUE"""),0.043)</f>
        <v>0.043</v>
      </c>
      <c r="U1975" s="4">
        <f>IFERROR(__xludf.DUMMYFUNCTION("""COMPUTED_VALUE"""),-2.3)</f>
        <v>-2.3</v>
      </c>
      <c r="V1975" s="4">
        <f>IFERROR(__xludf.DUMMYFUNCTION("""COMPUTED_VALUE"""),-0.2)</f>
        <v>-0.2</v>
      </c>
    </row>
    <row r="1976">
      <c r="A1976" s="4">
        <f>IFERROR(__xludf.DUMMYFUNCTION("""COMPUTED_VALUE"""),9.0)</f>
        <v>9</v>
      </c>
      <c r="B1976" s="4">
        <f>IFERROR(__xludf.DUMMYFUNCTION("""COMPUTED_VALUE"""),9.0)</f>
        <v>9</v>
      </c>
      <c r="C1976" s="4" t="str">
        <f>IFERROR(__xludf.DUMMYFUNCTION("""COMPUTED_VALUE"""),"NJN")</f>
        <v>NJN</v>
      </c>
      <c r="D1976" s="4" t="str">
        <f>IFERROR(__xludf.DUMMYFUNCTION("""COMPUTED_VALUE"""),"Ed O'Bannon")</f>
        <v>Ed O'Bannon</v>
      </c>
      <c r="E1976" s="4" t="str">
        <f>IFERROR(__xludf.DUMMYFUNCTION("""COMPUTED_VALUE"""),"UCLA")</f>
        <v>UCLA</v>
      </c>
      <c r="F1976" s="4">
        <f>IFERROR(__xludf.DUMMYFUNCTION("""COMPUTED_VALUE"""),2.0)</f>
        <v>2</v>
      </c>
      <c r="G1976" s="4">
        <f>IFERROR(__xludf.DUMMYFUNCTION("""COMPUTED_VALUE"""),128.0)</f>
        <v>128</v>
      </c>
      <c r="H1976" s="4">
        <f>IFERROR(__xludf.DUMMYFUNCTION("""COMPUTED_VALUE"""),2062.0)</f>
        <v>2062</v>
      </c>
      <c r="I1976" s="4">
        <f>IFERROR(__xludf.DUMMYFUNCTION("""COMPUTED_VALUE"""),634.0)</f>
        <v>634</v>
      </c>
      <c r="J1976" s="4">
        <f>IFERROR(__xludf.DUMMYFUNCTION("""COMPUTED_VALUE"""),316.0)</f>
        <v>316</v>
      </c>
      <c r="K1976" s="4">
        <f>IFERROR(__xludf.DUMMYFUNCTION("""COMPUTED_VALUE"""),102.0)</f>
        <v>102</v>
      </c>
      <c r="L1976" s="4">
        <f>IFERROR(__xludf.DUMMYFUNCTION("""COMPUTED_VALUE"""),0.367)</f>
        <v>0.367</v>
      </c>
      <c r="M1976" s="4">
        <f>IFERROR(__xludf.DUMMYFUNCTION("""COMPUTED_VALUE"""),0.222)</f>
        <v>0.222</v>
      </c>
      <c r="N1976" s="4">
        <f>IFERROR(__xludf.DUMMYFUNCTION("""COMPUTED_VALUE"""),0.755)</f>
        <v>0.755</v>
      </c>
      <c r="O1976" s="4">
        <f>IFERROR(__xludf.DUMMYFUNCTION("""COMPUTED_VALUE"""),16.1)</f>
        <v>16.1</v>
      </c>
      <c r="P1976" s="4">
        <f>IFERROR(__xludf.DUMMYFUNCTION("""COMPUTED_VALUE"""),5.0)</f>
        <v>5</v>
      </c>
      <c r="Q1976" s="4">
        <f>IFERROR(__xludf.DUMMYFUNCTION("""COMPUTED_VALUE"""),2.5)</f>
        <v>2.5</v>
      </c>
      <c r="R1976" s="4">
        <f>IFERROR(__xludf.DUMMYFUNCTION("""COMPUTED_VALUE"""),0.8)</f>
        <v>0.8</v>
      </c>
      <c r="S1976" s="4">
        <f>IFERROR(__xludf.DUMMYFUNCTION("""COMPUTED_VALUE"""),1.1)</f>
        <v>1.1</v>
      </c>
      <c r="T1976" s="4">
        <f>IFERROR(__xludf.DUMMYFUNCTION("""COMPUTED_VALUE"""),0.025)</f>
        <v>0.025</v>
      </c>
      <c r="U1976" s="4">
        <f>IFERROR(__xludf.DUMMYFUNCTION("""COMPUTED_VALUE"""),-3.5)</f>
        <v>-3.5</v>
      </c>
      <c r="V1976" s="4">
        <f>IFERROR(__xludf.DUMMYFUNCTION("""COMPUTED_VALUE"""),-0.7)</f>
        <v>-0.7</v>
      </c>
    </row>
    <row r="1977">
      <c r="A1977" s="4">
        <f>IFERROR(__xludf.DUMMYFUNCTION("""COMPUTED_VALUE"""),10.0)</f>
        <v>10</v>
      </c>
      <c r="B1977" s="4">
        <f>IFERROR(__xludf.DUMMYFUNCTION("""COMPUTED_VALUE"""),10.0)</f>
        <v>10</v>
      </c>
      <c r="C1977" s="4" t="str">
        <f>IFERROR(__xludf.DUMMYFUNCTION("""COMPUTED_VALUE"""),"MIA")</f>
        <v>MIA</v>
      </c>
      <c r="D1977" s="4" t="str">
        <f>IFERROR(__xludf.DUMMYFUNCTION("""COMPUTED_VALUE"""),"Kurt Thomas")</f>
        <v>Kurt Thomas</v>
      </c>
      <c r="E1977" s="4" t="str">
        <f>IFERROR(__xludf.DUMMYFUNCTION("""COMPUTED_VALUE"""),"TCU")</f>
        <v>TCU</v>
      </c>
      <c r="F1977" s="4">
        <f>IFERROR(__xludf.DUMMYFUNCTION("""COMPUTED_VALUE"""),18.0)</f>
        <v>18</v>
      </c>
      <c r="G1977" s="4">
        <f>IFERROR(__xludf.DUMMYFUNCTION("""COMPUTED_VALUE"""),1110.0)</f>
        <v>1110</v>
      </c>
      <c r="H1977" s="4">
        <f>IFERROR(__xludf.DUMMYFUNCTION("""COMPUTED_VALUE"""),27160.0)</f>
        <v>27160</v>
      </c>
      <c r="I1977" s="4">
        <f>IFERROR(__xludf.DUMMYFUNCTION("""COMPUTED_VALUE"""),8973.0)</f>
        <v>8973</v>
      </c>
      <c r="J1977" s="4">
        <f>IFERROR(__xludf.DUMMYFUNCTION("""COMPUTED_VALUE"""),7328.0)</f>
        <v>7328</v>
      </c>
      <c r="K1977" s="4">
        <f>IFERROR(__xludf.DUMMYFUNCTION("""COMPUTED_VALUE"""),1204.0)</f>
        <v>1204</v>
      </c>
      <c r="L1977" s="4">
        <f>IFERROR(__xludf.DUMMYFUNCTION("""COMPUTED_VALUE"""),0.486)</f>
        <v>0.486</v>
      </c>
      <c r="M1977" s="4">
        <f>IFERROR(__xludf.DUMMYFUNCTION("""COMPUTED_VALUE"""),0.281)</f>
        <v>0.281</v>
      </c>
      <c r="N1977" s="4">
        <f>IFERROR(__xludf.DUMMYFUNCTION("""COMPUTED_VALUE"""),0.76)</f>
        <v>0.76</v>
      </c>
      <c r="O1977" s="4">
        <f>IFERROR(__xludf.DUMMYFUNCTION("""COMPUTED_VALUE"""),24.5)</f>
        <v>24.5</v>
      </c>
      <c r="P1977" s="4">
        <f>IFERROR(__xludf.DUMMYFUNCTION("""COMPUTED_VALUE"""),8.1)</f>
        <v>8.1</v>
      </c>
      <c r="Q1977" s="4">
        <f>IFERROR(__xludf.DUMMYFUNCTION("""COMPUTED_VALUE"""),6.6)</f>
        <v>6.6</v>
      </c>
      <c r="R1977" s="4">
        <f>IFERROR(__xludf.DUMMYFUNCTION("""COMPUTED_VALUE"""),1.1)</f>
        <v>1.1</v>
      </c>
      <c r="S1977" s="4">
        <f>IFERROR(__xludf.DUMMYFUNCTION("""COMPUTED_VALUE"""),64.2)</f>
        <v>64.2</v>
      </c>
      <c r="T1977" s="4">
        <f>IFERROR(__xludf.DUMMYFUNCTION("""COMPUTED_VALUE"""),0.114)</f>
        <v>0.114</v>
      </c>
      <c r="U1977" s="4">
        <f>IFERROR(__xludf.DUMMYFUNCTION("""COMPUTED_VALUE"""),-0.8)</f>
        <v>-0.8</v>
      </c>
      <c r="V1977" s="4">
        <f>IFERROR(__xludf.DUMMYFUNCTION("""COMPUTED_VALUE"""),8.6)</f>
        <v>8.6</v>
      </c>
    </row>
    <row r="1978">
      <c r="A1978" s="4">
        <f>IFERROR(__xludf.DUMMYFUNCTION("""COMPUTED_VALUE"""),11.0)</f>
        <v>11</v>
      </c>
      <c r="B1978" s="4">
        <f>IFERROR(__xludf.DUMMYFUNCTION("""COMPUTED_VALUE"""),11.0)</f>
        <v>11</v>
      </c>
      <c r="C1978" s="4" t="str">
        <f>IFERROR(__xludf.DUMMYFUNCTION("""COMPUTED_VALUE"""),"MIL")</f>
        <v>MIL</v>
      </c>
      <c r="D1978" s="4" t="str">
        <f>IFERROR(__xludf.DUMMYFUNCTION("""COMPUTED_VALUE"""),"Gary Trent")</f>
        <v>Gary Trent</v>
      </c>
      <c r="E1978" s="4" t="str">
        <f>IFERROR(__xludf.DUMMYFUNCTION("""COMPUTED_VALUE"""),"Ohio University")</f>
        <v>Ohio University</v>
      </c>
      <c r="F1978" s="4">
        <f>IFERROR(__xludf.DUMMYFUNCTION("""COMPUTED_VALUE"""),9.0)</f>
        <v>9</v>
      </c>
      <c r="G1978" s="4">
        <f>IFERROR(__xludf.DUMMYFUNCTION("""COMPUTED_VALUE"""),506.0)</f>
        <v>506</v>
      </c>
      <c r="H1978" s="4">
        <f>IFERROR(__xludf.DUMMYFUNCTION("""COMPUTED_VALUE"""),9866.0)</f>
        <v>9866</v>
      </c>
      <c r="I1978" s="4">
        <f>IFERROR(__xludf.DUMMYFUNCTION("""COMPUTED_VALUE"""),4366.0)</f>
        <v>4366</v>
      </c>
      <c r="J1978" s="4">
        <f>IFERROR(__xludf.DUMMYFUNCTION("""COMPUTED_VALUE"""),2276.0)</f>
        <v>2276</v>
      </c>
      <c r="K1978" s="4">
        <f>IFERROR(__xludf.DUMMYFUNCTION("""COMPUTED_VALUE"""),504.0)</f>
        <v>504</v>
      </c>
      <c r="L1978" s="4">
        <f>IFERROR(__xludf.DUMMYFUNCTION("""COMPUTED_VALUE"""),0.501)</f>
        <v>0.501</v>
      </c>
      <c r="M1978" s="4">
        <f>IFERROR(__xludf.DUMMYFUNCTION("""COMPUTED_VALUE"""),0.08)</f>
        <v>0.08</v>
      </c>
      <c r="N1978" s="4">
        <f>IFERROR(__xludf.DUMMYFUNCTION("""COMPUTED_VALUE"""),0.643)</f>
        <v>0.643</v>
      </c>
      <c r="O1978" s="4">
        <f>IFERROR(__xludf.DUMMYFUNCTION("""COMPUTED_VALUE"""),19.5)</f>
        <v>19.5</v>
      </c>
      <c r="P1978" s="4">
        <f>IFERROR(__xludf.DUMMYFUNCTION("""COMPUTED_VALUE"""),8.6)</f>
        <v>8.6</v>
      </c>
      <c r="Q1978" s="4">
        <f>IFERROR(__xludf.DUMMYFUNCTION("""COMPUTED_VALUE"""),4.5)</f>
        <v>4.5</v>
      </c>
      <c r="R1978" s="4">
        <f>IFERROR(__xludf.DUMMYFUNCTION("""COMPUTED_VALUE"""),1.0)</f>
        <v>1</v>
      </c>
      <c r="S1978" s="4">
        <f>IFERROR(__xludf.DUMMYFUNCTION("""COMPUTED_VALUE"""),23.2)</f>
        <v>23.2</v>
      </c>
      <c r="T1978" s="4">
        <f>IFERROR(__xludf.DUMMYFUNCTION("""COMPUTED_VALUE"""),0.113)</f>
        <v>0.113</v>
      </c>
      <c r="U1978" s="4">
        <f>IFERROR(__xludf.DUMMYFUNCTION("""COMPUTED_VALUE"""),-1.0)</f>
        <v>-1</v>
      </c>
      <c r="V1978" s="4">
        <f>IFERROR(__xludf.DUMMYFUNCTION("""COMPUTED_VALUE"""),2.4)</f>
        <v>2.4</v>
      </c>
    </row>
    <row r="1979">
      <c r="A1979" s="4">
        <f>IFERROR(__xludf.DUMMYFUNCTION("""COMPUTED_VALUE"""),12.0)</f>
        <v>12</v>
      </c>
      <c r="B1979" s="4">
        <f>IFERROR(__xludf.DUMMYFUNCTION("""COMPUTED_VALUE"""),12.0)</f>
        <v>12</v>
      </c>
      <c r="C1979" s="4" t="str">
        <f>IFERROR(__xludf.DUMMYFUNCTION("""COMPUTED_VALUE"""),"DAL")</f>
        <v>DAL</v>
      </c>
      <c r="D1979" s="4" t="str">
        <f>IFERROR(__xludf.DUMMYFUNCTION("""COMPUTED_VALUE"""),"Cherokee Parks")</f>
        <v>Cherokee Parks</v>
      </c>
      <c r="E1979" s="4" t="str">
        <f>IFERROR(__xludf.DUMMYFUNCTION("""COMPUTED_VALUE"""),"Duke")</f>
        <v>Duke</v>
      </c>
      <c r="F1979" s="4">
        <f>IFERROR(__xludf.DUMMYFUNCTION("""COMPUTED_VALUE"""),9.0)</f>
        <v>9</v>
      </c>
      <c r="G1979" s="4">
        <f>IFERROR(__xludf.DUMMYFUNCTION("""COMPUTED_VALUE"""),472.0)</f>
        <v>472</v>
      </c>
      <c r="H1979" s="4">
        <f>IFERROR(__xludf.DUMMYFUNCTION("""COMPUTED_VALUE"""),7459.0)</f>
        <v>7459</v>
      </c>
      <c r="I1979" s="4">
        <f>IFERROR(__xludf.DUMMYFUNCTION("""COMPUTED_VALUE"""),2056.0)</f>
        <v>2056</v>
      </c>
      <c r="J1979" s="4">
        <f>IFERROR(__xludf.DUMMYFUNCTION("""COMPUTED_VALUE"""),1703.0)</f>
        <v>1703</v>
      </c>
      <c r="K1979" s="4">
        <f>IFERROR(__xludf.DUMMYFUNCTION("""COMPUTED_VALUE"""),265.0)</f>
        <v>265</v>
      </c>
      <c r="L1979" s="4">
        <f>IFERROR(__xludf.DUMMYFUNCTION("""COMPUTED_VALUE"""),0.47)</f>
        <v>0.47</v>
      </c>
      <c r="M1979" s="4">
        <f>IFERROR(__xludf.DUMMYFUNCTION("""COMPUTED_VALUE"""),0.211)</f>
        <v>0.211</v>
      </c>
      <c r="N1979" s="4">
        <f>IFERROR(__xludf.DUMMYFUNCTION("""COMPUTED_VALUE"""),0.63)</f>
        <v>0.63</v>
      </c>
      <c r="O1979" s="4">
        <f>IFERROR(__xludf.DUMMYFUNCTION("""COMPUTED_VALUE"""),15.8)</f>
        <v>15.8</v>
      </c>
      <c r="P1979" s="4">
        <f>IFERROR(__xludf.DUMMYFUNCTION("""COMPUTED_VALUE"""),4.4)</f>
        <v>4.4</v>
      </c>
      <c r="Q1979" s="4">
        <f>IFERROR(__xludf.DUMMYFUNCTION("""COMPUTED_VALUE"""),3.6)</f>
        <v>3.6</v>
      </c>
      <c r="R1979" s="4">
        <f>IFERROR(__xludf.DUMMYFUNCTION("""COMPUTED_VALUE"""),0.6)</f>
        <v>0.6</v>
      </c>
      <c r="S1979" s="4">
        <f>IFERROR(__xludf.DUMMYFUNCTION("""COMPUTED_VALUE"""),11.8)</f>
        <v>11.8</v>
      </c>
      <c r="T1979" s="4">
        <f>IFERROR(__xludf.DUMMYFUNCTION("""COMPUTED_VALUE"""),0.076)</f>
        <v>0.076</v>
      </c>
      <c r="U1979" s="4">
        <f>IFERROR(__xludf.DUMMYFUNCTION("""COMPUTED_VALUE"""),-2.4)</f>
        <v>-2.4</v>
      </c>
      <c r="V1979" s="4">
        <f>IFERROR(__xludf.DUMMYFUNCTION("""COMPUTED_VALUE"""),-0.7)</f>
        <v>-0.7</v>
      </c>
    </row>
    <row r="1980">
      <c r="A1980" s="4">
        <f>IFERROR(__xludf.DUMMYFUNCTION("""COMPUTED_VALUE"""),13.0)</f>
        <v>13</v>
      </c>
      <c r="B1980" s="4">
        <f>IFERROR(__xludf.DUMMYFUNCTION("""COMPUTED_VALUE"""),13.0)</f>
        <v>13</v>
      </c>
      <c r="C1980" s="4" t="str">
        <f>IFERROR(__xludf.DUMMYFUNCTION("""COMPUTED_VALUE"""),"SAC")</f>
        <v>SAC</v>
      </c>
      <c r="D1980" s="4" t="str">
        <f>IFERROR(__xludf.DUMMYFUNCTION("""COMPUTED_VALUE"""),"Corliss Williamson")</f>
        <v>Corliss Williamson</v>
      </c>
      <c r="E1980" s="4" t="str">
        <f>IFERROR(__xludf.DUMMYFUNCTION("""COMPUTED_VALUE"""),"Arkansas")</f>
        <v>Arkansas</v>
      </c>
      <c r="F1980" s="4">
        <f>IFERROR(__xludf.DUMMYFUNCTION("""COMPUTED_VALUE"""),12.0)</f>
        <v>12</v>
      </c>
      <c r="G1980" s="4">
        <f>IFERROR(__xludf.DUMMYFUNCTION("""COMPUTED_VALUE"""),822.0)</f>
        <v>822</v>
      </c>
      <c r="H1980" s="4">
        <f>IFERROR(__xludf.DUMMYFUNCTION("""COMPUTED_VALUE"""),18749.0)</f>
        <v>18749</v>
      </c>
      <c r="I1980" s="4">
        <f>IFERROR(__xludf.DUMMYFUNCTION("""COMPUTED_VALUE"""),9147.0)</f>
        <v>9147</v>
      </c>
      <c r="J1980" s="4">
        <f>IFERROR(__xludf.DUMMYFUNCTION("""COMPUTED_VALUE"""),3183.0)</f>
        <v>3183</v>
      </c>
      <c r="K1980" s="4">
        <f>IFERROR(__xludf.DUMMYFUNCTION("""COMPUTED_VALUE"""),972.0)</f>
        <v>972</v>
      </c>
      <c r="L1980" s="4">
        <f>IFERROR(__xludf.DUMMYFUNCTION("""COMPUTED_VALUE"""),0.49)</f>
        <v>0.49</v>
      </c>
      <c r="M1980" s="4">
        <f>IFERROR(__xludf.DUMMYFUNCTION("""COMPUTED_VALUE"""),0.136)</f>
        <v>0.136</v>
      </c>
      <c r="N1980" s="4">
        <f>IFERROR(__xludf.DUMMYFUNCTION("""COMPUTED_VALUE"""),0.714)</f>
        <v>0.714</v>
      </c>
      <c r="O1980" s="4">
        <f>IFERROR(__xludf.DUMMYFUNCTION("""COMPUTED_VALUE"""),22.8)</f>
        <v>22.8</v>
      </c>
      <c r="P1980" s="4">
        <f>IFERROR(__xludf.DUMMYFUNCTION("""COMPUTED_VALUE"""),11.1)</f>
        <v>11.1</v>
      </c>
      <c r="Q1980" s="4">
        <f>IFERROR(__xludf.DUMMYFUNCTION("""COMPUTED_VALUE"""),3.9)</f>
        <v>3.9</v>
      </c>
      <c r="R1980" s="4">
        <f>IFERROR(__xludf.DUMMYFUNCTION("""COMPUTED_VALUE"""),1.2)</f>
        <v>1.2</v>
      </c>
      <c r="S1980" s="4">
        <f>IFERROR(__xludf.DUMMYFUNCTION("""COMPUTED_VALUE"""),34.7)</f>
        <v>34.7</v>
      </c>
      <c r="T1980" s="4">
        <f>IFERROR(__xludf.DUMMYFUNCTION("""COMPUTED_VALUE"""),0.089)</f>
        <v>0.089</v>
      </c>
      <c r="U1980" s="4">
        <f>IFERROR(__xludf.DUMMYFUNCTION("""COMPUTED_VALUE"""),-2.0)</f>
        <v>-2</v>
      </c>
      <c r="V1980" s="4">
        <f>IFERROR(__xludf.DUMMYFUNCTION("""COMPUTED_VALUE"""),-0.1)</f>
        <v>-0.1</v>
      </c>
    </row>
    <row r="1981">
      <c r="A1981" s="4">
        <f>IFERROR(__xludf.DUMMYFUNCTION("""COMPUTED_VALUE"""),14.0)</f>
        <v>14</v>
      </c>
      <c r="B1981" s="4">
        <f>IFERROR(__xludf.DUMMYFUNCTION("""COMPUTED_VALUE"""),14.0)</f>
        <v>14</v>
      </c>
      <c r="C1981" s="4" t="str">
        <f>IFERROR(__xludf.DUMMYFUNCTION("""COMPUTED_VALUE"""),"BOS")</f>
        <v>BOS</v>
      </c>
      <c r="D1981" s="4" t="str">
        <f>IFERROR(__xludf.DUMMYFUNCTION("""COMPUTED_VALUE"""),"Eric Williams")</f>
        <v>Eric Williams</v>
      </c>
      <c r="E1981" s="4" t="str">
        <f>IFERROR(__xludf.DUMMYFUNCTION("""COMPUTED_VALUE"""),"Providence")</f>
        <v>Providence</v>
      </c>
      <c r="F1981" s="4">
        <f>IFERROR(__xludf.DUMMYFUNCTION("""COMPUTED_VALUE"""),12.0)</f>
        <v>12</v>
      </c>
      <c r="G1981" s="4">
        <f>IFERROR(__xludf.DUMMYFUNCTION("""COMPUTED_VALUE"""),658.0)</f>
        <v>658</v>
      </c>
      <c r="H1981" s="4">
        <f>IFERROR(__xludf.DUMMYFUNCTION("""COMPUTED_VALUE"""),15731.0)</f>
        <v>15731</v>
      </c>
      <c r="I1981" s="4">
        <f>IFERROR(__xludf.DUMMYFUNCTION("""COMPUTED_VALUE"""),5642.0)</f>
        <v>5642</v>
      </c>
      <c r="J1981" s="4">
        <f>IFERROR(__xludf.DUMMYFUNCTION("""COMPUTED_VALUE"""),2139.0)</f>
        <v>2139</v>
      </c>
      <c r="K1981" s="4">
        <f>IFERROR(__xludf.DUMMYFUNCTION("""COMPUTED_VALUE"""),936.0)</f>
        <v>936</v>
      </c>
      <c r="L1981" s="4">
        <f>IFERROR(__xludf.DUMMYFUNCTION("""COMPUTED_VALUE"""),0.415)</f>
        <v>0.415</v>
      </c>
      <c r="M1981" s="4">
        <f>IFERROR(__xludf.DUMMYFUNCTION("""COMPUTED_VALUE"""),0.318)</f>
        <v>0.318</v>
      </c>
      <c r="N1981" s="4">
        <f>IFERROR(__xludf.DUMMYFUNCTION("""COMPUTED_VALUE"""),0.736)</f>
        <v>0.736</v>
      </c>
      <c r="O1981" s="4">
        <f>IFERROR(__xludf.DUMMYFUNCTION("""COMPUTED_VALUE"""),23.9)</f>
        <v>23.9</v>
      </c>
      <c r="P1981" s="4">
        <f>IFERROR(__xludf.DUMMYFUNCTION("""COMPUTED_VALUE"""),8.6)</f>
        <v>8.6</v>
      </c>
      <c r="Q1981" s="4">
        <f>IFERROR(__xludf.DUMMYFUNCTION("""COMPUTED_VALUE"""),3.3)</f>
        <v>3.3</v>
      </c>
      <c r="R1981" s="4">
        <f>IFERROR(__xludf.DUMMYFUNCTION("""COMPUTED_VALUE"""),1.4)</f>
        <v>1.4</v>
      </c>
      <c r="S1981" s="4">
        <f>IFERROR(__xludf.DUMMYFUNCTION("""COMPUTED_VALUE"""),23.2)</f>
        <v>23.2</v>
      </c>
      <c r="T1981" s="4">
        <f>IFERROR(__xludf.DUMMYFUNCTION("""COMPUTED_VALUE"""),0.071)</f>
        <v>0.071</v>
      </c>
      <c r="U1981" s="4">
        <f>IFERROR(__xludf.DUMMYFUNCTION("""COMPUTED_VALUE"""),-2.4)</f>
        <v>-2.4</v>
      </c>
      <c r="V1981" s="4">
        <f>IFERROR(__xludf.DUMMYFUNCTION("""COMPUTED_VALUE"""),-1.5)</f>
        <v>-1.5</v>
      </c>
    </row>
    <row r="1982">
      <c r="A1982" s="4">
        <f>IFERROR(__xludf.DUMMYFUNCTION("""COMPUTED_VALUE"""),15.0)</f>
        <v>15</v>
      </c>
      <c r="B1982" s="4">
        <f>IFERROR(__xludf.DUMMYFUNCTION("""COMPUTED_VALUE"""),15.0)</f>
        <v>15</v>
      </c>
      <c r="C1982" s="4" t="str">
        <f>IFERROR(__xludf.DUMMYFUNCTION("""COMPUTED_VALUE"""),"DEN")</f>
        <v>DEN</v>
      </c>
      <c r="D1982" s="4" t="str">
        <f>IFERROR(__xludf.DUMMYFUNCTION("""COMPUTED_VALUE"""),"Brent Barry")</f>
        <v>Brent Barry</v>
      </c>
      <c r="E1982" s="4" t="str">
        <f>IFERROR(__xludf.DUMMYFUNCTION("""COMPUTED_VALUE"""),"Oregon State")</f>
        <v>Oregon State</v>
      </c>
      <c r="F1982" s="4">
        <f>IFERROR(__xludf.DUMMYFUNCTION("""COMPUTED_VALUE"""),14.0)</f>
        <v>14</v>
      </c>
      <c r="G1982" s="4">
        <f>IFERROR(__xludf.DUMMYFUNCTION("""COMPUTED_VALUE"""),912.0)</f>
        <v>912</v>
      </c>
      <c r="H1982" s="4">
        <f>IFERROR(__xludf.DUMMYFUNCTION("""COMPUTED_VALUE"""),23643.0)</f>
        <v>23643</v>
      </c>
      <c r="I1982" s="4">
        <f>IFERROR(__xludf.DUMMYFUNCTION("""COMPUTED_VALUE"""),8488.0)</f>
        <v>8488</v>
      </c>
      <c r="J1982" s="4">
        <f>IFERROR(__xludf.DUMMYFUNCTION("""COMPUTED_VALUE"""),2780.0)</f>
        <v>2780</v>
      </c>
      <c r="K1982" s="4">
        <f>IFERROR(__xludf.DUMMYFUNCTION("""COMPUTED_VALUE"""),2892.0)</f>
        <v>2892</v>
      </c>
      <c r="L1982" s="4">
        <f>IFERROR(__xludf.DUMMYFUNCTION("""COMPUTED_VALUE"""),0.46)</f>
        <v>0.46</v>
      </c>
      <c r="M1982" s="4">
        <f>IFERROR(__xludf.DUMMYFUNCTION("""COMPUTED_VALUE"""),0.405)</f>
        <v>0.405</v>
      </c>
      <c r="N1982" s="4">
        <f>IFERROR(__xludf.DUMMYFUNCTION("""COMPUTED_VALUE"""),0.823)</f>
        <v>0.823</v>
      </c>
      <c r="O1982" s="4">
        <f>IFERROR(__xludf.DUMMYFUNCTION("""COMPUTED_VALUE"""),25.9)</f>
        <v>25.9</v>
      </c>
      <c r="P1982" s="4">
        <f>IFERROR(__xludf.DUMMYFUNCTION("""COMPUTED_VALUE"""),9.3)</f>
        <v>9.3</v>
      </c>
      <c r="Q1982" s="4">
        <f>IFERROR(__xludf.DUMMYFUNCTION("""COMPUTED_VALUE"""),3.0)</f>
        <v>3</v>
      </c>
      <c r="R1982" s="4">
        <f>IFERROR(__xludf.DUMMYFUNCTION("""COMPUTED_VALUE"""),3.2)</f>
        <v>3.2</v>
      </c>
      <c r="S1982" s="4">
        <f>IFERROR(__xludf.DUMMYFUNCTION("""COMPUTED_VALUE"""),70.5)</f>
        <v>70.5</v>
      </c>
      <c r="T1982" s="4">
        <f>IFERROR(__xludf.DUMMYFUNCTION("""COMPUTED_VALUE"""),0.143)</f>
        <v>0.143</v>
      </c>
      <c r="U1982" s="4">
        <f>IFERROR(__xludf.DUMMYFUNCTION("""COMPUTED_VALUE"""),2.6)</f>
        <v>2.6</v>
      </c>
      <c r="V1982" s="4">
        <f>IFERROR(__xludf.DUMMYFUNCTION("""COMPUTED_VALUE"""),27.7)</f>
        <v>27.7</v>
      </c>
    </row>
    <row r="1983">
      <c r="A1983" s="4">
        <f>IFERROR(__xludf.DUMMYFUNCTION("""COMPUTED_VALUE"""),16.0)</f>
        <v>16</v>
      </c>
      <c r="B1983" s="4">
        <f>IFERROR(__xludf.DUMMYFUNCTION("""COMPUTED_VALUE"""),16.0)</f>
        <v>16</v>
      </c>
      <c r="C1983" s="4" t="str">
        <f>IFERROR(__xludf.DUMMYFUNCTION("""COMPUTED_VALUE"""),"ATL")</f>
        <v>ATL</v>
      </c>
      <c r="D1983" s="4" t="str">
        <f>IFERROR(__xludf.DUMMYFUNCTION("""COMPUTED_VALUE"""),"Alan Henderson")</f>
        <v>Alan Henderson</v>
      </c>
      <c r="E1983" s="4" t="str">
        <f>IFERROR(__xludf.DUMMYFUNCTION("""COMPUTED_VALUE"""),"Indiana")</f>
        <v>Indiana</v>
      </c>
      <c r="F1983" s="4">
        <f>IFERROR(__xludf.DUMMYFUNCTION("""COMPUTED_VALUE"""),12.0)</f>
        <v>12</v>
      </c>
      <c r="G1983" s="4">
        <f>IFERROR(__xludf.DUMMYFUNCTION("""COMPUTED_VALUE"""),652.0)</f>
        <v>652</v>
      </c>
      <c r="H1983" s="4">
        <f>IFERROR(__xludf.DUMMYFUNCTION("""COMPUTED_VALUE"""),13780.0)</f>
        <v>13780</v>
      </c>
      <c r="I1983" s="4">
        <f>IFERROR(__xludf.DUMMYFUNCTION("""COMPUTED_VALUE"""),5094.0)</f>
        <v>5094</v>
      </c>
      <c r="J1983" s="4">
        <f>IFERROR(__xludf.DUMMYFUNCTION("""COMPUTED_VALUE"""),3249.0)</f>
        <v>3249</v>
      </c>
      <c r="K1983" s="4">
        <f>IFERROR(__xludf.DUMMYFUNCTION("""COMPUTED_VALUE"""),397.0)</f>
        <v>397</v>
      </c>
      <c r="L1983" s="4">
        <f>IFERROR(__xludf.DUMMYFUNCTION("""COMPUTED_VALUE"""),0.469)</f>
        <v>0.469</v>
      </c>
      <c r="M1983" s="4">
        <f>IFERROR(__xludf.DUMMYFUNCTION("""COMPUTED_VALUE"""),0.192)</f>
        <v>0.192</v>
      </c>
      <c r="N1983" s="4">
        <f>IFERROR(__xludf.DUMMYFUNCTION("""COMPUTED_VALUE"""),0.639)</f>
        <v>0.639</v>
      </c>
      <c r="O1983" s="4">
        <f>IFERROR(__xludf.DUMMYFUNCTION("""COMPUTED_VALUE"""),21.1)</f>
        <v>21.1</v>
      </c>
      <c r="P1983" s="4">
        <f>IFERROR(__xludf.DUMMYFUNCTION("""COMPUTED_VALUE"""),7.8)</f>
        <v>7.8</v>
      </c>
      <c r="Q1983" s="4">
        <f>IFERROR(__xludf.DUMMYFUNCTION("""COMPUTED_VALUE"""),5.0)</f>
        <v>5</v>
      </c>
      <c r="R1983" s="4">
        <f>IFERROR(__xludf.DUMMYFUNCTION("""COMPUTED_VALUE"""),0.6)</f>
        <v>0.6</v>
      </c>
      <c r="S1983" s="4">
        <f>IFERROR(__xludf.DUMMYFUNCTION("""COMPUTED_VALUE"""),28.0)</f>
        <v>28</v>
      </c>
      <c r="T1983" s="4">
        <f>IFERROR(__xludf.DUMMYFUNCTION("""COMPUTED_VALUE"""),0.097)</f>
        <v>0.097</v>
      </c>
      <c r="U1983" s="4">
        <f>IFERROR(__xludf.DUMMYFUNCTION("""COMPUTED_VALUE"""),-1.8)</f>
        <v>-1.8</v>
      </c>
      <c r="V1983" s="4">
        <f>IFERROR(__xludf.DUMMYFUNCTION("""COMPUTED_VALUE"""),0.6)</f>
        <v>0.6</v>
      </c>
    </row>
    <row r="1984">
      <c r="A1984" s="4">
        <f>IFERROR(__xludf.DUMMYFUNCTION("""COMPUTED_VALUE"""),17.0)</f>
        <v>17</v>
      </c>
      <c r="B1984" s="4">
        <f>IFERROR(__xludf.DUMMYFUNCTION("""COMPUTED_VALUE"""),17.0)</f>
        <v>17</v>
      </c>
      <c r="C1984" s="4" t="str">
        <f>IFERROR(__xludf.DUMMYFUNCTION("""COMPUTED_VALUE"""),"CLE")</f>
        <v>CLE</v>
      </c>
      <c r="D1984" s="4" t="str">
        <f>IFERROR(__xludf.DUMMYFUNCTION("""COMPUTED_VALUE"""),"Bob Sura")</f>
        <v>Bob Sura</v>
      </c>
      <c r="E1984" s="4" t="str">
        <f>IFERROR(__xludf.DUMMYFUNCTION("""COMPUTED_VALUE"""),"Florida State")</f>
        <v>Florida State</v>
      </c>
      <c r="F1984" s="4">
        <f>IFERROR(__xludf.DUMMYFUNCTION("""COMPUTED_VALUE"""),10.0)</f>
        <v>10</v>
      </c>
      <c r="G1984" s="4">
        <f>IFERROR(__xludf.DUMMYFUNCTION("""COMPUTED_VALUE"""),657.0)</f>
        <v>657</v>
      </c>
      <c r="H1984" s="4">
        <f>IFERROR(__xludf.DUMMYFUNCTION("""COMPUTED_VALUE"""),15597.0)</f>
        <v>15597</v>
      </c>
      <c r="I1984" s="4">
        <f>IFERROR(__xludf.DUMMYFUNCTION("""COMPUTED_VALUE"""),5654.0)</f>
        <v>5654</v>
      </c>
      <c r="J1984" s="4">
        <f>IFERROR(__xludf.DUMMYFUNCTION("""COMPUTED_VALUE"""),2240.0)</f>
        <v>2240</v>
      </c>
      <c r="K1984" s="4">
        <f>IFERROR(__xludf.DUMMYFUNCTION("""COMPUTED_VALUE"""),2474.0)</f>
        <v>2474</v>
      </c>
      <c r="L1984" s="4">
        <f>IFERROR(__xludf.DUMMYFUNCTION("""COMPUTED_VALUE"""),0.414)</f>
        <v>0.414</v>
      </c>
      <c r="M1984" s="4">
        <f>IFERROR(__xludf.DUMMYFUNCTION("""COMPUTED_VALUE"""),0.325)</f>
        <v>0.325</v>
      </c>
      <c r="N1984" s="4">
        <f>IFERROR(__xludf.DUMMYFUNCTION("""COMPUTED_VALUE"""),0.689)</f>
        <v>0.689</v>
      </c>
      <c r="O1984" s="4">
        <f>IFERROR(__xludf.DUMMYFUNCTION("""COMPUTED_VALUE"""),23.7)</f>
        <v>23.7</v>
      </c>
      <c r="P1984" s="4">
        <f>IFERROR(__xludf.DUMMYFUNCTION("""COMPUTED_VALUE"""),8.6)</f>
        <v>8.6</v>
      </c>
      <c r="Q1984" s="4">
        <f>IFERROR(__xludf.DUMMYFUNCTION("""COMPUTED_VALUE"""),3.4)</f>
        <v>3.4</v>
      </c>
      <c r="R1984" s="4">
        <f>IFERROR(__xludf.DUMMYFUNCTION("""COMPUTED_VALUE"""),3.8)</f>
        <v>3.8</v>
      </c>
      <c r="S1984" s="4">
        <f>IFERROR(__xludf.DUMMYFUNCTION("""COMPUTED_VALUE"""),28.3)</f>
        <v>28.3</v>
      </c>
      <c r="T1984" s="4">
        <f>IFERROR(__xludf.DUMMYFUNCTION("""COMPUTED_VALUE"""),0.087)</f>
        <v>0.087</v>
      </c>
      <c r="U1984" s="4">
        <f>IFERROR(__xludf.DUMMYFUNCTION("""COMPUTED_VALUE"""),0.4)</f>
        <v>0.4</v>
      </c>
      <c r="V1984" s="4">
        <f>IFERROR(__xludf.DUMMYFUNCTION("""COMPUTED_VALUE"""),9.4)</f>
        <v>9.4</v>
      </c>
    </row>
    <row r="1985">
      <c r="A1985" s="4">
        <f>IFERROR(__xludf.DUMMYFUNCTION("""COMPUTED_VALUE"""),18.0)</f>
        <v>18</v>
      </c>
      <c r="B1985" s="4">
        <f>IFERROR(__xludf.DUMMYFUNCTION("""COMPUTED_VALUE"""),18.0)</f>
        <v>18</v>
      </c>
      <c r="C1985" s="4" t="str">
        <f>IFERROR(__xludf.DUMMYFUNCTION("""COMPUTED_VALUE"""),"DET")</f>
        <v>DET</v>
      </c>
      <c r="D1985" s="4" t="str">
        <f>IFERROR(__xludf.DUMMYFUNCTION("""COMPUTED_VALUE"""),"Theo Ratliff")</f>
        <v>Theo Ratliff</v>
      </c>
      <c r="E1985" s="4" t="str">
        <f>IFERROR(__xludf.DUMMYFUNCTION("""COMPUTED_VALUE"""),"Wyoming")</f>
        <v>Wyoming</v>
      </c>
      <c r="F1985" s="4">
        <f>IFERROR(__xludf.DUMMYFUNCTION("""COMPUTED_VALUE"""),16.0)</f>
        <v>16</v>
      </c>
      <c r="G1985" s="4">
        <f>IFERROR(__xludf.DUMMYFUNCTION("""COMPUTED_VALUE"""),810.0)</f>
        <v>810</v>
      </c>
      <c r="H1985" s="4">
        <f>IFERROR(__xludf.DUMMYFUNCTION("""COMPUTED_VALUE"""),20500.0)</f>
        <v>20500</v>
      </c>
      <c r="I1985" s="4">
        <f>IFERROR(__xludf.DUMMYFUNCTION("""COMPUTED_VALUE"""),5809.0)</f>
        <v>5809</v>
      </c>
      <c r="J1985" s="4">
        <f>IFERROR(__xludf.DUMMYFUNCTION("""COMPUTED_VALUE"""),4596.0)</f>
        <v>4596</v>
      </c>
      <c r="K1985" s="4">
        <f>IFERROR(__xludf.DUMMYFUNCTION("""COMPUTED_VALUE"""),465.0)</f>
        <v>465</v>
      </c>
      <c r="L1985" s="4">
        <f>IFERROR(__xludf.DUMMYFUNCTION("""COMPUTED_VALUE"""),0.496)</f>
        <v>0.496</v>
      </c>
      <c r="M1985" s="4">
        <f>IFERROR(__xludf.DUMMYFUNCTION("""COMPUTED_VALUE"""),0.0)</f>
        <v>0</v>
      </c>
      <c r="N1985" s="4">
        <f>IFERROR(__xludf.DUMMYFUNCTION("""COMPUTED_VALUE"""),0.71)</f>
        <v>0.71</v>
      </c>
      <c r="O1985" s="4">
        <f>IFERROR(__xludf.DUMMYFUNCTION("""COMPUTED_VALUE"""),25.3)</f>
        <v>25.3</v>
      </c>
      <c r="P1985" s="4">
        <f>IFERROR(__xludf.DUMMYFUNCTION("""COMPUTED_VALUE"""),7.2)</f>
        <v>7.2</v>
      </c>
      <c r="Q1985" s="4">
        <f>IFERROR(__xludf.DUMMYFUNCTION("""COMPUTED_VALUE"""),5.7)</f>
        <v>5.7</v>
      </c>
      <c r="R1985" s="4">
        <f>IFERROR(__xludf.DUMMYFUNCTION("""COMPUTED_VALUE"""),0.6)</f>
        <v>0.6</v>
      </c>
      <c r="S1985" s="4">
        <f>IFERROR(__xludf.DUMMYFUNCTION("""COMPUTED_VALUE"""),47.9)</f>
        <v>47.9</v>
      </c>
      <c r="T1985" s="4">
        <f>IFERROR(__xludf.DUMMYFUNCTION("""COMPUTED_VALUE"""),0.112)</f>
        <v>0.112</v>
      </c>
      <c r="U1985" s="4">
        <f>IFERROR(__xludf.DUMMYFUNCTION("""COMPUTED_VALUE"""),0.0)</f>
        <v>0</v>
      </c>
      <c r="V1985" s="4">
        <f>IFERROR(__xludf.DUMMYFUNCTION("""COMPUTED_VALUE"""),10.3)</f>
        <v>10.3</v>
      </c>
    </row>
    <row r="1986">
      <c r="A1986" s="4">
        <f>IFERROR(__xludf.DUMMYFUNCTION("""COMPUTED_VALUE"""),19.0)</f>
        <v>19</v>
      </c>
      <c r="B1986" s="4">
        <f>IFERROR(__xludf.DUMMYFUNCTION("""COMPUTED_VALUE"""),19.0)</f>
        <v>19</v>
      </c>
      <c r="C1986" s="4" t="str">
        <f>IFERROR(__xludf.DUMMYFUNCTION("""COMPUTED_VALUE"""),"DET")</f>
        <v>DET</v>
      </c>
      <c r="D1986" s="4" t="str">
        <f>IFERROR(__xludf.DUMMYFUNCTION("""COMPUTED_VALUE"""),"Randolph Childress")</f>
        <v>Randolph Childress</v>
      </c>
      <c r="E1986" s="4" t="str">
        <f>IFERROR(__xludf.DUMMYFUNCTION("""COMPUTED_VALUE"""),"Wake Forest")</f>
        <v>Wake Forest</v>
      </c>
      <c r="F1986" s="4">
        <f>IFERROR(__xludf.DUMMYFUNCTION("""COMPUTED_VALUE"""),2.0)</f>
        <v>2</v>
      </c>
      <c r="G1986" s="4">
        <f>IFERROR(__xludf.DUMMYFUNCTION("""COMPUTED_VALUE"""),51.0)</f>
        <v>51</v>
      </c>
      <c r="H1986" s="4">
        <f>IFERROR(__xludf.DUMMYFUNCTION("""COMPUTED_VALUE"""),405.0)</f>
        <v>405</v>
      </c>
      <c r="I1986" s="4">
        <f>IFERROR(__xludf.DUMMYFUNCTION("""COMPUTED_VALUE"""),124.0)</f>
        <v>124</v>
      </c>
      <c r="J1986" s="4">
        <f>IFERROR(__xludf.DUMMYFUNCTION("""COMPUTED_VALUE"""),25.0)</f>
        <v>25</v>
      </c>
      <c r="K1986" s="4">
        <f>IFERROR(__xludf.DUMMYFUNCTION("""COMPUTED_VALUE"""),49.0)</f>
        <v>49</v>
      </c>
      <c r="L1986" s="4">
        <f>IFERROR(__xludf.DUMMYFUNCTION("""COMPUTED_VALUE"""),0.328)</f>
        <v>0.328</v>
      </c>
      <c r="M1986" s="4">
        <f>IFERROR(__xludf.DUMMYFUNCTION("""COMPUTED_VALUE"""),0.273)</f>
        <v>0.273</v>
      </c>
      <c r="N1986" s="4">
        <f>IFERROR(__xludf.DUMMYFUNCTION("""COMPUTED_VALUE"""),0.8)</f>
        <v>0.8</v>
      </c>
      <c r="O1986" s="4">
        <f>IFERROR(__xludf.DUMMYFUNCTION("""COMPUTED_VALUE"""),7.9)</f>
        <v>7.9</v>
      </c>
      <c r="P1986" s="4">
        <f>IFERROR(__xludf.DUMMYFUNCTION("""COMPUTED_VALUE"""),2.4)</f>
        <v>2.4</v>
      </c>
      <c r="Q1986" s="4">
        <f>IFERROR(__xludf.DUMMYFUNCTION("""COMPUTED_VALUE"""),0.5)</f>
        <v>0.5</v>
      </c>
      <c r="R1986" s="4">
        <f>IFERROR(__xludf.DUMMYFUNCTION("""COMPUTED_VALUE"""),1.0)</f>
        <v>1</v>
      </c>
      <c r="S1986" s="4">
        <f>IFERROR(__xludf.DUMMYFUNCTION("""COMPUTED_VALUE"""),-0.2)</f>
        <v>-0.2</v>
      </c>
      <c r="T1986" s="4">
        <f>IFERROR(__xludf.DUMMYFUNCTION("""COMPUTED_VALUE"""),-0.026)</f>
        <v>-0.026</v>
      </c>
      <c r="U1986" s="4">
        <f>IFERROR(__xludf.DUMMYFUNCTION("""COMPUTED_VALUE"""),-5.7)</f>
        <v>-5.7</v>
      </c>
      <c r="V1986" s="4">
        <f>IFERROR(__xludf.DUMMYFUNCTION("""COMPUTED_VALUE"""),-0.4)</f>
        <v>-0.4</v>
      </c>
    </row>
    <row r="1987">
      <c r="A1987" s="4">
        <f>IFERROR(__xludf.DUMMYFUNCTION("""COMPUTED_VALUE"""),20.0)</f>
        <v>20</v>
      </c>
      <c r="B1987" s="4">
        <f>IFERROR(__xludf.DUMMYFUNCTION("""COMPUTED_VALUE"""),20.0)</f>
        <v>20</v>
      </c>
      <c r="C1987" s="4" t="str">
        <f>IFERROR(__xludf.DUMMYFUNCTION("""COMPUTED_VALUE"""),"CHI")</f>
        <v>CHI</v>
      </c>
      <c r="D1987" s="4" t="str">
        <f>IFERROR(__xludf.DUMMYFUNCTION("""COMPUTED_VALUE"""),"Jason Caffey")</f>
        <v>Jason Caffey</v>
      </c>
      <c r="E1987" s="4" t="str">
        <f>IFERROR(__xludf.DUMMYFUNCTION("""COMPUTED_VALUE"""),"Alabama")</f>
        <v>Alabama</v>
      </c>
      <c r="F1987" s="4">
        <f>IFERROR(__xludf.DUMMYFUNCTION("""COMPUTED_VALUE"""),8.0)</f>
        <v>8</v>
      </c>
      <c r="G1987" s="4">
        <f>IFERROR(__xludf.DUMMYFUNCTION("""COMPUTED_VALUE"""),462.0)</f>
        <v>462</v>
      </c>
      <c r="H1987" s="4">
        <f>IFERROR(__xludf.DUMMYFUNCTION("""COMPUTED_VALUE"""),9045.0)</f>
        <v>9045</v>
      </c>
      <c r="I1987" s="4">
        <f>IFERROR(__xludf.DUMMYFUNCTION("""COMPUTED_VALUE"""),3368.0)</f>
        <v>3368</v>
      </c>
      <c r="J1987" s="4">
        <f>IFERROR(__xludf.DUMMYFUNCTION("""COMPUTED_VALUE"""),2022.0)</f>
        <v>2022</v>
      </c>
      <c r="K1987" s="4">
        <f>IFERROR(__xludf.DUMMYFUNCTION("""COMPUTED_VALUE"""),420.0)</f>
        <v>420</v>
      </c>
      <c r="L1987" s="4">
        <f>IFERROR(__xludf.DUMMYFUNCTION("""COMPUTED_VALUE"""),0.481)</f>
        <v>0.481</v>
      </c>
      <c r="M1987" s="4">
        <f>IFERROR(__xludf.DUMMYFUNCTION("""COMPUTED_VALUE"""),0.0)</f>
        <v>0</v>
      </c>
      <c r="N1987" s="4">
        <f>IFERROR(__xludf.DUMMYFUNCTION("""COMPUTED_VALUE"""),0.637)</f>
        <v>0.637</v>
      </c>
      <c r="O1987" s="4">
        <f>IFERROR(__xludf.DUMMYFUNCTION("""COMPUTED_VALUE"""),19.6)</f>
        <v>19.6</v>
      </c>
      <c r="P1987" s="4">
        <f>IFERROR(__xludf.DUMMYFUNCTION("""COMPUTED_VALUE"""),7.3)</f>
        <v>7.3</v>
      </c>
      <c r="Q1987" s="4">
        <f>IFERROR(__xludf.DUMMYFUNCTION("""COMPUTED_VALUE"""),4.4)</f>
        <v>4.4</v>
      </c>
      <c r="R1987" s="4">
        <f>IFERROR(__xludf.DUMMYFUNCTION("""COMPUTED_VALUE"""),0.9)</f>
        <v>0.9</v>
      </c>
      <c r="S1987" s="4">
        <f>IFERROR(__xludf.DUMMYFUNCTION("""COMPUTED_VALUE"""),13.5)</f>
        <v>13.5</v>
      </c>
      <c r="T1987" s="4">
        <f>IFERROR(__xludf.DUMMYFUNCTION("""COMPUTED_VALUE"""),0.072)</f>
        <v>0.072</v>
      </c>
      <c r="U1987" s="4">
        <f>IFERROR(__xludf.DUMMYFUNCTION("""COMPUTED_VALUE"""),-3.6)</f>
        <v>-3.6</v>
      </c>
      <c r="V1987" s="4">
        <f>IFERROR(__xludf.DUMMYFUNCTION("""COMPUTED_VALUE"""),-3.6)</f>
        <v>-3.6</v>
      </c>
    </row>
    <row r="1988">
      <c r="A1988" s="4">
        <f>IFERROR(__xludf.DUMMYFUNCTION("""COMPUTED_VALUE"""),21.0)</f>
        <v>21</v>
      </c>
      <c r="B1988" s="4">
        <f>IFERROR(__xludf.DUMMYFUNCTION("""COMPUTED_VALUE"""),21.0)</f>
        <v>21</v>
      </c>
      <c r="C1988" s="4" t="str">
        <f>IFERROR(__xludf.DUMMYFUNCTION("""COMPUTED_VALUE"""),"PHO")</f>
        <v>PHO</v>
      </c>
      <c r="D1988" s="4" t="str">
        <f>IFERROR(__xludf.DUMMYFUNCTION("""COMPUTED_VALUE"""),"Michael Finley")</f>
        <v>Michael Finley</v>
      </c>
      <c r="E1988" s="4" t="str">
        <f>IFERROR(__xludf.DUMMYFUNCTION("""COMPUTED_VALUE"""),"Wisconsin")</f>
        <v>Wisconsin</v>
      </c>
      <c r="F1988" s="4">
        <f>IFERROR(__xludf.DUMMYFUNCTION("""COMPUTED_VALUE"""),15.0)</f>
        <v>15</v>
      </c>
      <c r="G1988" s="4">
        <f>IFERROR(__xludf.DUMMYFUNCTION("""COMPUTED_VALUE"""),1103.0)</f>
        <v>1103</v>
      </c>
      <c r="H1988" s="4">
        <f>IFERROR(__xludf.DUMMYFUNCTION("""COMPUTED_VALUE"""),37996.0)</f>
        <v>37996</v>
      </c>
      <c r="I1988" s="4">
        <f>IFERROR(__xludf.DUMMYFUNCTION("""COMPUTED_VALUE"""),17306.0)</f>
        <v>17306</v>
      </c>
      <c r="J1988" s="4">
        <f>IFERROR(__xludf.DUMMYFUNCTION("""COMPUTED_VALUE"""),4804.0)</f>
        <v>4804</v>
      </c>
      <c r="K1988" s="4">
        <f>IFERROR(__xludf.DUMMYFUNCTION("""COMPUTED_VALUE"""),3245.0)</f>
        <v>3245</v>
      </c>
      <c r="L1988" s="4">
        <f>IFERROR(__xludf.DUMMYFUNCTION("""COMPUTED_VALUE"""),0.444)</f>
        <v>0.444</v>
      </c>
      <c r="M1988" s="4">
        <f>IFERROR(__xludf.DUMMYFUNCTION("""COMPUTED_VALUE"""),0.375)</f>
        <v>0.375</v>
      </c>
      <c r="N1988" s="4">
        <f>IFERROR(__xludf.DUMMYFUNCTION("""COMPUTED_VALUE"""),0.811)</f>
        <v>0.811</v>
      </c>
      <c r="O1988" s="4">
        <f>IFERROR(__xludf.DUMMYFUNCTION("""COMPUTED_VALUE"""),34.4)</f>
        <v>34.4</v>
      </c>
      <c r="P1988" s="4">
        <f>IFERROR(__xludf.DUMMYFUNCTION("""COMPUTED_VALUE"""),15.7)</f>
        <v>15.7</v>
      </c>
      <c r="Q1988" s="4">
        <f>IFERROR(__xludf.DUMMYFUNCTION("""COMPUTED_VALUE"""),4.4)</f>
        <v>4.4</v>
      </c>
      <c r="R1988" s="4">
        <f>IFERROR(__xludf.DUMMYFUNCTION("""COMPUTED_VALUE"""),2.9)</f>
        <v>2.9</v>
      </c>
      <c r="S1988" s="4">
        <f>IFERROR(__xludf.DUMMYFUNCTION("""COMPUTED_VALUE"""),85.2)</f>
        <v>85.2</v>
      </c>
      <c r="T1988" s="4">
        <f>IFERROR(__xludf.DUMMYFUNCTION("""COMPUTED_VALUE"""),0.108)</f>
        <v>0.108</v>
      </c>
      <c r="U1988" s="4">
        <f>IFERROR(__xludf.DUMMYFUNCTION("""COMPUTED_VALUE"""),1.0)</f>
        <v>1</v>
      </c>
      <c r="V1988" s="4">
        <f>IFERROR(__xludf.DUMMYFUNCTION("""COMPUTED_VALUE"""),28.8)</f>
        <v>28.8</v>
      </c>
    </row>
    <row r="1989">
      <c r="A1989" s="4">
        <f>IFERROR(__xludf.DUMMYFUNCTION("""COMPUTED_VALUE"""),22.0)</f>
        <v>22</v>
      </c>
      <c r="B1989" s="4">
        <f>IFERROR(__xludf.DUMMYFUNCTION("""COMPUTED_VALUE"""),22.0)</f>
        <v>22</v>
      </c>
      <c r="C1989" s="4" t="str">
        <f>IFERROR(__xludf.DUMMYFUNCTION("""COMPUTED_VALUE"""),"CHH")</f>
        <v>CHH</v>
      </c>
      <c r="D1989" s="4" t="str">
        <f>IFERROR(__xludf.DUMMYFUNCTION("""COMPUTED_VALUE"""),"George Zídek")</f>
        <v>George Zídek</v>
      </c>
      <c r="E1989" s="4" t="str">
        <f>IFERROR(__xludf.DUMMYFUNCTION("""COMPUTED_VALUE"""),"UCLA")</f>
        <v>UCLA</v>
      </c>
      <c r="F1989" s="4">
        <f>IFERROR(__xludf.DUMMYFUNCTION("""COMPUTED_VALUE"""),3.0)</f>
        <v>3</v>
      </c>
      <c r="G1989" s="4">
        <f>IFERROR(__xludf.DUMMYFUNCTION("""COMPUTED_VALUE"""),135.0)</f>
        <v>135</v>
      </c>
      <c r="H1989" s="4">
        <f>IFERROR(__xludf.DUMMYFUNCTION("""COMPUTED_VALUE"""),1328.0)</f>
        <v>1328</v>
      </c>
      <c r="I1989" s="4">
        <f>IFERROR(__xludf.DUMMYFUNCTION("""COMPUTED_VALUE"""),453.0)</f>
        <v>453</v>
      </c>
      <c r="J1989" s="4">
        <f>IFERROR(__xludf.DUMMYFUNCTION("""COMPUTED_VALUE"""),286.0)</f>
        <v>286</v>
      </c>
      <c r="K1989" s="4">
        <f>IFERROR(__xludf.DUMMYFUNCTION("""COMPUTED_VALUE"""),32.0)</f>
        <v>32</v>
      </c>
      <c r="L1989" s="4">
        <f>IFERROR(__xludf.DUMMYFUNCTION("""COMPUTED_VALUE"""),0.408)</f>
        <v>0.408</v>
      </c>
      <c r="M1989" s="4">
        <f>IFERROR(__xludf.DUMMYFUNCTION("""COMPUTED_VALUE"""),0.25)</f>
        <v>0.25</v>
      </c>
      <c r="N1989" s="4">
        <f>IFERROR(__xludf.DUMMYFUNCTION("""COMPUTED_VALUE"""),0.783)</f>
        <v>0.783</v>
      </c>
      <c r="O1989" s="4">
        <f>IFERROR(__xludf.DUMMYFUNCTION("""COMPUTED_VALUE"""),9.8)</f>
        <v>9.8</v>
      </c>
      <c r="P1989" s="4">
        <f>IFERROR(__xludf.DUMMYFUNCTION("""COMPUTED_VALUE"""),3.4)</f>
        <v>3.4</v>
      </c>
      <c r="Q1989" s="4">
        <f>IFERROR(__xludf.DUMMYFUNCTION("""COMPUTED_VALUE"""),2.1)</f>
        <v>2.1</v>
      </c>
      <c r="R1989" s="4">
        <f>IFERROR(__xludf.DUMMYFUNCTION("""COMPUTED_VALUE"""),0.2)</f>
        <v>0.2</v>
      </c>
      <c r="S1989" s="4">
        <f>IFERROR(__xludf.DUMMYFUNCTION("""COMPUTED_VALUE"""),0.8)</f>
        <v>0.8</v>
      </c>
      <c r="T1989" s="4">
        <f>IFERROR(__xludf.DUMMYFUNCTION("""COMPUTED_VALUE"""),0.029)</f>
        <v>0.029</v>
      </c>
      <c r="U1989" s="4">
        <f>IFERROR(__xludf.DUMMYFUNCTION("""COMPUTED_VALUE"""),-7.5)</f>
        <v>-7.5</v>
      </c>
      <c r="V1989" s="4">
        <f>IFERROR(__xludf.DUMMYFUNCTION("""COMPUTED_VALUE"""),-1.8)</f>
        <v>-1.8</v>
      </c>
    </row>
    <row r="1990">
      <c r="A1990" s="4">
        <f>IFERROR(__xludf.DUMMYFUNCTION("""COMPUTED_VALUE"""),23.0)</f>
        <v>23</v>
      </c>
      <c r="B1990" s="4">
        <f>IFERROR(__xludf.DUMMYFUNCTION("""COMPUTED_VALUE"""),23.0)</f>
        <v>23</v>
      </c>
      <c r="C1990" s="4" t="str">
        <f>IFERROR(__xludf.DUMMYFUNCTION("""COMPUTED_VALUE"""),"IND")</f>
        <v>IND</v>
      </c>
      <c r="D1990" s="4" t="str">
        <f>IFERROR(__xludf.DUMMYFUNCTION("""COMPUTED_VALUE"""),"Travis Best")</f>
        <v>Travis Best</v>
      </c>
      <c r="E1990" s="4" t="str">
        <f>IFERROR(__xludf.DUMMYFUNCTION("""COMPUTED_VALUE"""),"Georgia Tech")</f>
        <v>Georgia Tech</v>
      </c>
      <c r="F1990" s="4">
        <f>IFERROR(__xludf.DUMMYFUNCTION("""COMPUTED_VALUE"""),10.0)</f>
        <v>10</v>
      </c>
      <c r="G1990" s="4">
        <f>IFERROR(__xludf.DUMMYFUNCTION("""COMPUTED_VALUE"""),708.0)</f>
        <v>708</v>
      </c>
      <c r="H1990" s="4">
        <f>IFERROR(__xludf.DUMMYFUNCTION("""COMPUTED_VALUE"""),15150.0)</f>
        <v>15150</v>
      </c>
      <c r="I1990" s="4">
        <f>IFERROR(__xludf.DUMMYFUNCTION("""COMPUTED_VALUE"""),5376.0)</f>
        <v>5376</v>
      </c>
      <c r="J1990" s="4">
        <f>IFERROR(__xludf.DUMMYFUNCTION("""COMPUTED_VALUE"""),1249.0)</f>
        <v>1249</v>
      </c>
      <c r="K1990" s="4">
        <f>IFERROR(__xludf.DUMMYFUNCTION("""COMPUTED_VALUE"""),2444.0)</f>
        <v>2444</v>
      </c>
      <c r="L1990" s="4">
        <f>IFERROR(__xludf.DUMMYFUNCTION("""COMPUTED_VALUE"""),0.431)</f>
        <v>0.431</v>
      </c>
      <c r="M1990" s="4">
        <f>IFERROR(__xludf.DUMMYFUNCTION("""COMPUTED_VALUE"""),0.345)</f>
        <v>0.345</v>
      </c>
      <c r="N1990" s="4">
        <f>IFERROR(__xludf.DUMMYFUNCTION("""COMPUTED_VALUE"""),0.835)</f>
        <v>0.835</v>
      </c>
      <c r="O1990" s="4">
        <f>IFERROR(__xludf.DUMMYFUNCTION("""COMPUTED_VALUE"""),21.4)</f>
        <v>21.4</v>
      </c>
      <c r="P1990" s="4">
        <f>IFERROR(__xludf.DUMMYFUNCTION("""COMPUTED_VALUE"""),7.6)</f>
        <v>7.6</v>
      </c>
      <c r="Q1990" s="4">
        <f>IFERROR(__xludf.DUMMYFUNCTION("""COMPUTED_VALUE"""),1.8)</f>
        <v>1.8</v>
      </c>
      <c r="R1990" s="4">
        <f>IFERROR(__xludf.DUMMYFUNCTION("""COMPUTED_VALUE"""),3.5)</f>
        <v>3.5</v>
      </c>
      <c r="S1990" s="4">
        <f>IFERROR(__xludf.DUMMYFUNCTION("""COMPUTED_VALUE"""),30.9)</f>
        <v>30.9</v>
      </c>
      <c r="T1990" s="4">
        <f>IFERROR(__xludf.DUMMYFUNCTION("""COMPUTED_VALUE"""),0.098)</f>
        <v>0.098</v>
      </c>
      <c r="U1990" s="4">
        <f>IFERROR(__xludf.DUMMYFUNCTION("""COMPUTED_VALUE"""),-0.4)</f>
        <v>-0.4</v>
      </c>
      <c r="V1990" s="4">
        <f>IFERROR(__xludf.DUMMYFUNCTION("""COMPUTED_VALUE"""),6.0)</f>
        <v>6</v>
      </c>
    </row>
    <row r="1991">
      <c r="A1991" s="4">
        <f>IFERROR(__xludf.DUMMYFUNCTION("""COMPUTED_VALUE"""),24.0)</f>
        <v>24</v>
      </c>
      <c r="B1991" s="4">
        <f>IFERROR(__xludf.DUMMYFUNCTION("""COMPUTED_VALUE"""),24.0)</f>
        <v>24</v>
      </c>
      <c r="C1991" s="4" t="str">
        <f>IFERROR(__xludf.DUMMYFUNCTION("""COMPUTED_VALUE"""),"DAL")</f>
        <v>DAL</v>
      </c>
      <c r="D1991" s="4" t="str">
        <f>IFERROR(__xludf.DUMMYFUNCTION("""COMPUTED_VALUE"""),"Loren Meyer")</f>
        <v>Loren Meyer</v>
      </c>
      <c r="E1991" s="4" t="str">
        <f>IFERROR(__xludf.DUMMYFUNCTION("""COMPUTED_VALUE"""),"Iowa State")</f>
        <v>Iowa State</v>
      </c>
      <c r="F1991" s="4">
        <f>IFERROR(__xludf.DUMMYFUNCTION("""COMPUTED_VALUE"""),3.0)</f>
        <v>3</v>
      </c>
      <c r="G1991" s="4">
        <f>IFERROR(__xludf.DUMMYFUNCTION("""COMPUTED_VALUE"""),140.0)</f>
        <v>140</v>
      </c>
      <c r="H1991" s="4">
        <f>IFERROR(__xludf.DUMMYFUNCTION("""COMPUTED_VALUE"""),2044.0)</f>
        <v>2044</v>
      </c>
      <c r="I1991" s="4">
        <f>IFERROR(__xludf.DUMMYFUNCTION("""COMPUTED_VALUE"""),645.0)</f>
        <v>645</v>
      </c>
      <c r="J1991" s="4">
        <f>IFERROR(__xludf.DUMMYFUNCTION("""COMPUTED_VALUE"""),480.0)</f>
        <v>480</v>
      </c>
      <c r="K1991" s="4">
        <f>IFERROR(__xludf.DUMMYFUNCTION("""COMPUTED_VALUE"""),77.0)</f>
        <v>77</v>
      </c>
      <c r="L1991" s="4">
        <f>IFERROR(__xludf.DUMMYFUNCTION("""COMPUTED_VALUE"""),0.432)</f>
        <v>0.432</v>
      </c>
      <c r="M1991" s="4">
        <f>IFERROR(__xludf.DUMMYFUNCTION("""COMPUTED_VALUE"""),0.348)</f>
        <v>0.348</v>
      </c>
      <c r="N1991" s="4">
        <f>IFERROR(__xludf.DUMMYFUNCTION("""COMPUTED_VALUE"""),0.696)</f>
        <v>0.696</v>
      </c>
      <c r="O1991" s="4">
        <f>IFERROR(__xludf.DUMMYFUNCTION("""COMPUTED_VALUE"""),14.6)</f>
        <v>14.6</v>
      </c>
      <c r="P1991" s="4">
        <f>IFERROR(__xludf.DUMMYFUNCTION("""COMPUTED_VALUE"""),4.6)</f>
        <v>4.6</v>
      </c>
      <c r="Q1991" s="4">
        <f>IFERROR(__xludf.DUMMYFUNCTION("""COMPUTED_VALUE"""),3.4)</f>
        <v>3.4</v>
      </c>
      <c r="R1991" s="4">
        <f>IFERROR(__xludf.DUMMYFUNCTION("""COMPUTED_VALUE"""),0.6)</f>
        <v>0.6</v>
      </c>
      <c r="S1991" s="4">
        <f>IFERROR(__xludf.DUMMYFUNCTION("""COMPUTED_VALUE"""),0.5)</f>
        <v>0.5</v>
      </c>
      <c r="T1991" s="4">
        <f>IFERROR(__xludf.DUMMYFUNCTION("""COMPUTED_VALUE"""),0.012)</f>
        <v>0.012</v>
      </c>
      <c r="U1991" s="4">
        <f>IFERROR(__xludf.DUMMYFUNCTION("""COMPUTED_VALUE"""),-7.2)</f>
        <v>-7.2</v>
      </c>
      <c r="V1991" s="4">
        <f>IFERROR(__xludf.DUMMYFUNCTION("""COMPUTED_VALUE"""),-2.7)</f>
        <v>-2.7</v>
      </c>
    </row>
    <row r="1992">
      <c r="A1992" s="4">
        <f>IFERROR(__xludf.DUMMYFUNCTION("""COMPUTED_VALUE"""),25.0)</f>
        <v>25</v>
      </c>
      <c r="B1992" s="4">
        <f>IFERROR(__xludf.DUMMYFUNCTION("""COMPUTED_VALUE"""),25.0)</f>
        <v>25</v>
      </c>
      <c r="C1992" s="4" t="str">
        <f>IFERROR(__xludf.DUMMYFUNCTION("""COMPUTED_VALUE"""),"ORL")</f>
        <v>ORL</v>
      </c>
      <c r="D1992" s="4" t="str">
        <f>IFERROR(__xludf.DUMMYFUNCTION("""COMPUTED_VALUE"""),"David Vaughn")</f>
        <v>David Vaughn</v>
      </c>
      <c r="E1992" s="4" t="str">
        <f>IFERROR(__xludf.DUMMYFUNCTION("""COMPUTED_VALUE"""),"Memphis")</f>
        <v>Memphis</v>
      </c>
      <c r="F1992" s="4">
        <f>IFERROR(__xludf.DUMMYFUNCTION("""COMPUTED_VALUE"""),4.0)</f>
        <v>4</v>
      </c>
      <c r="G1992" s="4">
        <f>IFERROR(__xludf.DUMMYFUNCTION("""COMPUTED_VALUE"""),118.0)</f>
        <v>118</v>
      </c>
      <c r="H1992" s="4">
        <f>IFERROR(__xludf.DUMMYFUNCTION("""COMPUTED_VALUE"""),1156.0)</f>
        <v>1156</v>
      </c>
      <c r="I1992" s="4">
        <f>IFERROR(__xludf.DUMMYFUNCTION("""COMPUTED_VALUE"""),341.0)</f>
        <v>341</v>
      </c>
      <c r="J1992" s="4">
        <f>IFERROR(__xludf.DUMMYFUNCTION("""COMPUTED_VALUE"""),361.0)</f>
        <v>361</v>
      </c>
      <c r="K1992" s="4">
        <f>IFERROR(__xludf.DUMMYFUNCTION("""COMPUTED_VALUE"""),36.0)</f>
        <v>36</v>
      </c>
      <c r="L1992" s="4">
        <f>IFERROR(__xludf.DUMMYFUNCTION("""COMPUTED_VALUE"""),0.423)</f>
        <v>0.423</v>
      </c>
      <c r="M1992" s="4">
        <f>IFERROR(__xludf.DUMMYFUNCTION("""COMPUTED_VALUE"""),0.0)</f>
        <v>0</v>
      </c>
      <c r="N1992" s="4">
        <f>IFERROR(__xludf.DUMMYFUNCTION("""COMPUTED_VALUE"""),0.638)</f>
        <v>0.638</v>
      </c>
      <c r="O1992" s="4">
        <f>IFERROR(__xludf.DUMMYFUNCTION("""COMPUTED_VALUE"""),9.8)</f>
        <v>9.8</v>
      </c>
      <c r="P1992" s="4">
        <f>IFERROR(__xludf.DUMMYFUNCTION("""COMPUTED_VALUE"""),2.9)</f>
        <v>2.9</v>
      </c>
      <c r="Q1992" s="4">
        <f>IFERROR(__xludf.DUMMYFUNCTION("""COMPUTED_VALUE"""),3.1)</f>
        <v>3.1</v>
      </c>
      <c r="R1992" s="4">
        <f>IFERROR(__xludf.DUMMYFUNCTION("""COMPUTED_VALUE"""),0.3)</f>
        <v>0.3</v>
      </c>
      <c r="S1992" s="4">
        <f>IFERROR(__xludf.DUMMYFUNCTION("""COMPUTED_VALUE"""),0.6)</f>
        <v>0.6</v>
      </c>
      <c r="T1992" s="4">
        <f>IFERROR(__xludf.DUMMYFUNCTION("""COMPUTED_VALUE"""),0.026)</f>
        <v>0.026</v>
      </c>
      <c r="U1992" s="4">
        <f>IFERROR(__xludf.DUMMYFUNCTION("""COMPUTED_VALUE"""),-6.4)</f>
        <v>-6.4</v>
      </c>
      <c r="V1992" s="4">
        <f>IFERROR(__xludf.DUMMYFUNCTION("""COMPUTED_VALUE"""),-1.3)</f>
        <v>-1.3</v>
      </c>
    </row>
    <row r="1993">
      <c r="A1993" s="4">
        <f>IFERROR(__xludf.DUMMYFUNCTION("""COMPUTED_VALUE"""),26.0)</f>
        <v>26</v>
      </c>
      <c r="B1993" s="4">
        <f>IFERROR(__xludf.DUMMYFUNCTION("""COMPUTED_VALUE"""),26.0)</f>
        <v>26</v>
      </c>
      <c r="C1993" s="4" t="str">
        <f>IFERROR(__xludf.DUMMYFUNCTION("""COMPUTED_VALUE"""),"SEA")</f>
        <v>SEA</v>
      </c>
      <c r="D1993" s="4" t="str">
        <f>IFERROR(__xludf.DUMMYFUNCTION("""COMPUTED_VALUE"""),"Sherell Ford")</f>
        <v>Sherell Ford</v>
      </c>
      <c r="E1993" s="4" t="str">
        <f>IFERROR(__xludf.DUMMYFUNCTION("""COMPUTED_VALUE"""),"University of Illinois at Chicago")</f>
        <v>University of Illinois at Chicago</v>
      </c>
      <c r="F1993" s="4">
        <f>IFERROR(__xludf.DUMMYFUNCTION("""COMPUTED_VALUE"""),1.0)</f>
        <v>1</v>
      </c>
      <c r="G1993" s="4">
        <f>IFERROR(__xludf.DUMMYFUNCTION("""COMPUTED_VALUE"""),28.0)</f>
        <v>28</v>
      </c>
      <c r="H1993" s="4">
        <f>IFERROR(__xludf.DUMMYFUNCTION("""COMPUTED_VALUE"""),139.0)</f>
        <v>139</v>
      </c>
      <c r="I1993" s="4">
        <f>IFERROR(__xludf.DUMMYFUNCTION("""COMPUTED_VALUE"""),90.0)</f>
        <v>90</v>
      </c>
      <c r="J1993" s="4">
        <f>IFERROR(__xludf.DUMMYFUNCTION("""COMPUTED_VALUE"""),24.0)</f>
        <v>24</v>
      </c>
      <c r="K1993" s="4">
        <f>IFERROR(__xludf.DUMMYFUNCTION("""COMPUTED_VALUE"""),5.0)</f>
        <v>5</v>
      </c>
      <c r="L1993" s="4">
        <f>IFERROR(__xludf.DUMMYFUNCTION("""COMPUTED_VALUE"""),0.375)</f>
        <v>0.375</v>
      </c>
      <c r="M1993" s="4">
        <f>IFERROR(__xludf.DUMMYFUNCTION("""COMPUTED_VALUE"""),0.16)</f>
        <v>0.16</v>
      </c>
      <c r="N1993" s="4">
        <f>IFERROR(__xludf.DUMMYFUNCTION("""COMPUTED_VALUE"""),0.765)</f>
        <v>0.765</v>
      </c>
      <c r="O1993" s="4">
        <f>IFERROR(__xludf.DUMMYFUNCTION("""COMPUTED_VALUE"""),5.0)</f>
        <v>5</v>
      </c>
      <c r="P1993" s="4">
        <f>IFERROR(__xludf.DUMMYFUNCTION("""COMPUTED_VALUE"""),3.2)</f>
        <v>3.2</v>
      </c>
      <c r="Q1993" s="4">
        <f>IFERROR(__xludf.DUMMYFUNCTION("""COMPUTED_VALUE"""),0.9)</f>
        <v>0.9</v>
      </c>
      <c r="R1993" s="4">
        <f>IFERROR(__xludf.DUMMYFUNCTION("""COMPUTED_VALUE"""),0.2)</f>
        <v>0.2</v>
      </c>
      <c r="S1993" s="4">
        <f>IFERROR(__xludf.DUMMYFUNCTION("""COMPUTED_VALUE"""),0.4)</f>
        <v>0.4</v>
      </c>
      <c r="T1993" s="4">
        <f>IFERROR(__xludf.DUMMYFUNCTION("""COMPUTED_VALUE"""),0.124)</f>
        <v>0.124</v>
      </c>
      <c r="U1993" s="4">
        <f>IFERROR(__xludf.DUMMYFUNCTION("""COMPUTED_VALUE"""),-5.2)</f>
        <v>-5.2</v>
      </c>
      <c r="V1993" s="4">
        <f>IFERROR(__xludf.DUMMYFUNCTION("""COMPUTED_VALUE"""),-0.1)</f>
        <v>-0.1</v>
      </c>
    </row>
    <row r="1994">
      <c r="A1994" s="4">
        <f>IFERROR(__xludf.DUMMYFUNCTION("""COMPUTED_VALUE"""),27.0)</f>
        <v>27</v>
      </c>
      <c r="B1994" s="4">
        <f>IFERROR(__xludf.DUMMYFUNCTION("""COMPUTED_VALUE"""),27.0)</f>
        <v>27</v>
      </c>
      <c r="C1994" s="4" t="str">
        <f>IFERROR(__xludf.DUMMYFUNCTION("""COMPUTED_VALUE"""),"PHO")</f>
        <v>PHO</v>
      </c>
      <c r="D1994" s="4" t="str">
        <f>IFERROR(__xludf.DUMMYFUNCTION("""COMPUTED_VALUE"""),"Mario Bennett")</f>
        <v>Mario Bennett</v>
      </c>
      <c r="E1994" s="4" t="str">
        <f>IFERROR(__xludf.DUMMYFUNCTION("""COMPUTED_VALUE"""),"Arizona State")</f>
        <v>Arizona State</v>
      </c>
      <c r="F1994" s="4">
        <f>IFERROR(__xludf.DUMMYFUNCTION("""COMPUTED_VALUE"""),4.0)</f>
        <v>4</v>
      </c>
      <c r="G1994" s="4">
        <f>IFERROR(__xludf.DUMMYFUNCTION("""COMPUTED_VALUE"""),68.0)</f>
        <v>68</v>
      </c>
      <c r="H1994" s="4">
        <f>IFERROR(__xludf.DUMMYFUNCTION("""COMPUTED_VALUE"""),606.0)</f>
        <v>606</v>
      </c>
      <c r="I1994" s="4">
        <f>IFERROR(__xludf.DUMMYFUNCTION("""COMPUTED_VALUE"""),269.0)</f>
        <v>269</v>
      </c>
      <c r="J1994" s="4">
        <f>IFERROR(__xludf.DUMMYFUNCTION("""COMPUTED_VALUE"""),182.0)</f>
        <v>182</v>
      </c>
      <c r="K1994" s="4">
        <f>IFERROR(__xludf.DUMMYFUNCTION("""COMPUTED_VALUE"""),24.0)</f>
        <v>24</v>
      </c>
      <c r="L1994" s="4">
        <f>IFERROR(__xludf.DUMMYFUNCTION("""COMPUTED_VALUE"""),0.534)</f>
        <v>0.534</v>
      </c>
      <c r="M1994" s="4">
        <f>IFERROR(__xludf.DUMMYFUNCTION("""COMPUTED_VALUE"""),0.333)</f>
        <v>0.333</v>
      </c>
      <c r="N1994" s="4">
        <f>IFERROR(__xludf.DUMMYFUNCTION("""COMPUTED_VALUE"""),0.511)</f>
        <v>0.511</v>
      </c>
      <c r="O1994" s="4">
        <f>IFERROR(__xludf.DUMMYFUNCTION("""COMPUTED_VALUE"""),8.9)</f>
        <v>8.9</v>
      </c>
      <c r="P1994" s="4">
        <f>IFERROR(__xludf.DUMMYFUNCTION("""COMPUTED_VALUE"""),4.0)</f>
        <v>4</v>
      </c>
      <c r="Q1994" s="4">
        <f>IFERROR(__xludf.DUMMYFUNCTION("""COMPUTED_VALUE"""),2.7)</f>
        <v>2.7</v>
      </c>
      <c r="R1994" s="4">
        <f>IFERROR(__xludf.DUMMYFUNCTION("""COMPUTED_VALUE"""),0.4)</f>
        <v>0.4</v>
      </c>
      <c r="S1994" s="4">
        <f>IFERROR(__xludf.DUMMYFUNCTION("""COMPUTED_VALUE"""),1.9)</f>
        <v>1.9</v>
      </c>
      <c r="T1994" s="4">
        <f>IFERROR(__xludf.DUMMYFUNCTION("""COMPUTED_VALUE"""),0.153)</f>
        <v>0.153</v>
      </c>
      <c r="U1994" s="4">
        <f>IFERROR(__xludf.DUMMYFUNCTION("""COMPUTED_VALUE"""),-0.8)</f>
        <v>-0.8</v>
      </c>
      <c r="V1994" s="4">
        <f>IFERROR(__xludf.DUMMYFUNCTION("""COMPUTED_VALUE"""),0.2)</f>
        <v>0.2</v>
      </c>
    </row>
    <row r="1995">
      <c r="A1995" s="4">
        <f>IFERROR(__xludf.DUMMYFUNCTION("""COMPUTED_VALUE"""),28.0)</f>
        <v>28</v>
      </c>
      <c r="B1995" s="4">
        <f>IFERROR(__xludf.DUMMYFUNCTION("""COMPUTED_VALUE"""),28.0)</f>
        <v>28</v>
      </c>
      <c r="C1995" s="4" t="str">
        <f>IFERROR(__xludf.DUMMYFUNCTION("""COMPUTED_VALUE"""),"UTA")</f>
        <v>UTA</v>
      </c>
      <c r="D1995" s="4" t="str">
        <f>IFERROR(__xludf.DUMMYFUNCTION("""COMPUTED_VALUE"""),"Greg Ostertag")</f>
        <v>Greg Ostertag</v>
      </c>
      <c r="E1995" s="4" t="str">
        <f>IFERROR(__xludf.DUMMYFUNCTION("""COMPUTED_VALUE"""),"Kansas")</f>
        <v>Kansas</v>
      </c>
      <c r="F1995" s="4">
        <f>IFERROR(__xludf.DUMMYFUNCTION("""COMPUTED_VALUE"""),11.0)</f>
        <v>11</v>
      </c>
      <c r="G1995" s="4">
        <f>IFERROR(__xludf.DUMMYFUNCTION("""COMPUTED_VALUE"""),756.0)</f>
        <v>756</v>
      </c>
      <c r="H1995" s="4">
        <f>IFERROR(__xludf.DUMMYFUNCTION("""COMPUTED_VALUE"""),14753.0)</f>
        <v>14753</v>
      </c>
      <c r="I1995" s="4">
        <f>IFERROR(__xludf.DUMMYFUNCTION("""COMPUTED_VALUE"""),3512.0)</f>
        <v>3512</v>
      </c>
      <c r="J1995" s="4">
        <f>IFERROR(__xludf.DUMMYFUNCTION("""COMPUTED_VALUE"""),4145.0)</f>
        <v>4145</v>
      </c>
      <c r="K1995" s="4">
        <f>IFERROR(__xludf.DUMMYFUNCTION("""COMPUTED_VALUE"""),443.0)</f>
        <v>443</v>
      </c>
      <c r="L1995" s="4">
        <f>IFERROR(__xludf.DUMMYFUNCTION("""COMPUTED_VALUE"""),0.486)</f>
        <v>0.486</v>
      </c>
      <c r="M1995" s="4">
        <f>IFERROR(__xludf.DUMMYFUNCTION("""COMPUTED_VALUE"""),0.1)</f>
        <v>0.1</v>
      </c>
      <c r="N1995" s="4">
        <f>IFERROR(__xludf.DUMMYFUNCTION("""COMPUTED_VALUE"""),0.569)</f>
        <v>0.569</v>
      </c>
      <c r="O1995" s="4">
        <f>IFERROR(__xludf.DUMMYFUNCTION("""COMPUTED_VALUE"""),19.5)</f>
        <v>19.5</v>
      </c>
      <c r="P1995" s="4">
        <f>IFERROR(__xludf.DUMMYFUNCTION("""COMPUTED_VALUE"""),4.6)</f>
        <v>4.6</v>
      </c>
      <c r="Q1995" s="4">
        <f>IFERROR(__xludf.DUMMYFUNCTION("""COMPUTED_VALUE"""),5.5)</f>
        <v>5.5</v>
      </c>
      <c r="R1995" s="4">
        <f>IFERROR(__xludf.DUMMYFUNCTION("""COMPUTED_VALUE"""),0.6)</f>
        <v>0.6</v>
      </c>
      <c r="S1995" s="4">
        <f>IFERROR(__xludf.DUMMYFUNCTION("""COMPUTED_VALUE"""),33.8)</f>
        <v>33.8</v>
      </c>
      <c r="T1995" s="4">
        <f>IFERROR(__xludf.DUMMYFUNCTION("""COMPUTED_VALUE"""),0.11)</f>
        <v>0.11</v>
      </c>
      <c r="U1995" s="4">
        <f>IFERROR(__xludf.DUMMYFUNCTION("""COMPUTED_VALUE"""),-0.6)</f>
        <v>-0.6</v>
      </c>
      <c r="V1995" s="4">
        <f>IFERROR(__xludf.DUMMYFUNCTION("""COMPUTED_VALUE"""),5.1)</f>
        <v>5.1</v>
      </c>
    </row>
    <row r="1996">
      <c r="A1996" s="4">
        <f>IFERROR(__xludf.DUMMYFUNCTION("""COMPUTED_VALUE"""),29.0)</f>
        <v>29</v>
      </c>
      <c r="B1996" s="4">
        <f>IFERROR(__xludf.DUMMYFUNCTION("""COMPUTED_VALUE"""),29.0)</f>
        <v>29</v>
      </c>
      <c r="C1996" s="4" t="str">
        <f>IFERROR(__xludf.DUMMYFUNCTION("""COMPUTED_VALUE"""),"SAS")</f>
        <v>SAS</v>
      </c>
      <c r="D1996" s="4" t="str">
        <f>IFERROR(__xludf.DUMMYFUNCTION("""COMPUTED_VALUE"""),"Cory Alexander")</f>
        <v>Cory Alexander</v>
      </c>
      <c r="E1996" s="4" t="str">
        <f>IFERROR(__xludf.DUMMYFUNCTION("""COMPUTED_VALUE"""),"Virginia")</f>
        <v>Virginia</v>
      </c>
      <c r="F1996" s="4">
        <f>IFERROR(__xludf.DUMMYFUNCTION("""COMPUTED_VALUE"""),7.0)</f>
        <v>7</v>
      </c>
      <c r="G1996" s="4">
        <f>IFERROR(__xludf.DUMMYFUNCTION("""COMPUTED_VALUE"""),307.0)</f>
        <v>307</v>
      </c>
      <c r="H1996" s="4">
        <f>IFERROR(__xludf.DUMMYFUNCTION("""COMPUTED_VALUE"""),4847.0)</f>
        <v>4847</v>
      </c>
      <c r="I1996" s="4">
        <f>IFERROR(__xludf.DUMMYFUNCTION("""COMPUTED_VALUE"""),1677.0)</f>
        <v>1677</v>
      </c>
      <c r="J1996" s="4">
        <f>IFERROR(__xludf.DUMMYFUNCTION("""COMPUTED_VALUE"""),481.0)</f>
        <v>481</v>
      </c>
      <c r="K1996" s="4">
        <f>IFERROR(__xludf.DUMMYFUNCTION("""COMPUTED_VALUE"""),834.0)</f>
        <v>834</v>
      </c>
      <c r="L1996" s="4">
        <f>IFERROR(__xludf.DUMMYFUNCTION("""COMPUTED_VALUE"""),0.389)</f>
        <v>0.389</v>
      </c>
      <c r="M1996" s="4">
        <f>IFERROR(__xludf.DUMMYFUNCTION("""COMPUTED_VALUE"""),0.354)</f>
        <v>0.354</v>
      </c>
      <c r="N1996" s="4">
        <f>IFERROR(__xludf.DUMMYFUNCTION("""COMPUTED_VALUE"""),0.756)</f>
        <v>0.756</v>
      </c>
      <c r="O1996" s="4">
        <f>IFERROR(__xludf.DUMMYFUNCTION("""COMPUTED_VALUE"""),15.8)</f>
        <v>15.8</v>
      </c>
      <c r="P1996" s="4">
        <f>IFERROR(__xludf.DUMMYFUNCTION("""COMPUTED_VALUE"""),5.5)</f>
        <v>5.5</v>
      </c>
      <c r="Q1996" s="4">
        <f>IFERROR(__xludf.DUMMYFUNCTION("""COMPUTED_VALUE"""),1.6)</f>
        <v>1.6</v>
      </c>
      <c r="R1996" s="4">
        <f>IFERROR(__xludf.DUMMYFUNCTION("""COMPUTED_VALUE"""),2.7)</f>
        <v>2.7</v>
      </c>
      <c r="S1996" s="4">
        <f>IFERROR(__xludf.DUMMYFUNCTION("""COMPUTED_VALUE"""),3.0)</f>
        <v>3</v>
      </c>
      <c r="T1996" s="4">
        <f>IFERROR(__xludf.DUMMYFUNCTION("""COMPUTED_VALUE"""),0.03)</f>
        <v>0.03</v>
      </c>
      <c r="U1996" s="4">
        <f>IFERROR(__xludf.DUMMYFUNCTION("""COMPUTED_VALUE"""),-1.7)</f>
        <v>-1.7</v>
      </c>
      <c r="V1996" s="4">
        <f>IFERROR(__xludf.DUMMYFUNCTION("""COMPUTED_VALUE"""),0.4)</f>
        <v>0.4</v>
      </c>
    </row>
    <row r="1997">
      <c r="A1997" s="4"/>
      <c r="B1997" s="4"/>
      <c r="C1997" s="4"/>
      <c r="D1997" s="4" t="str">
        <f>IFERROR(__xludf.DUMMYFUNCTION("""COMPUTED_VALUE"""),"Round 2")</f>
        <v>Round 2</v>
      </c>
      <c r="E1997" s="4"/>
      <c r="F1997" s="4"/>
      <c r="G1997" s="4" t="str">
        <f>IFERROR(__xludf.DUMMYFUNCTION("""COMPUTED_VALUE"""),"Totals")</f>
        <v>Totals</v>
      </c>
      <c r="H1997" s="4"/>
      <c r="I1997" s="4"/>
      <c r="J1997" s="4"/>
      <c r="K1997" s="4"/>
      <c r="L1997" s="4" t="str">
        <f>IFERROR(__xludf.DUMMYFUNCTION("""COMPUTED_VALUE"""),"Shooting")</f>
        <v>Shooting</v>
      </c>
      <c r="M1997" s="4"/>
      <c r="N1997" s="4"/>
      <c r="O1997" s="4" t="str">
        <f>IFERROR(__xludf.DUMMYFUNCTION("""COMPUTED_VALUE"""),"Per Game")</f>
        <v>Per Game</v>
      </c>
      <c r="P1997" s="4"/>
      <c r="Q1997" s="4"/>
      <c r="R1997" s="4"/>
      <c r="S1997" s="4" t="str">
        <f>IFERROR(__xludf.DUMMYFUNCTION("""COMPUTED_VALUE"""),"Advanced")</f>
        <v>Advanced</v>
      </c>
      <c r="T1997" s="4"/>
      <c r="U1997" s="4"/>
      <c r="V1997" s="4"/>
    </row>
    <row r="1998">
      <c r="A1998" s="4" t="str">
        <f>IFERROR(__xludf.DUMMYFUNCTION("""COMPUTED_VALUE"""),"Rk")</f>
        <v>Rk</v>
      </c>
      <c r="B1998" s="4" t="str">
        <f>IFERROR(__xludf.DUMMYFUNCTION("""COMPUTED_VALUE"""),"Pk")</f>
        <v>Pk</v>
      </c>
      <c r="C1998" s="4" t="str">
        <f>IFERROR(__xludf.DUMMYFUNCTION("""COMPUTED_VALUE"""),"Tm")</f>
        <v>Tm</v>
      </c>
      <c r="D1998" s="4" t="str">
        <f>IFERROR(__xludf.DUMMYFUNCTION("""COMPUTED_VALUE"""),"Player")</f>
        <v>Player</v>
      </c>
      <c r="E1998" s="4" t="str">
        <f>IFERROR(__xludf.DUMMYFUNCTION("""COMPUTED_VALUE"""),"College")</f>
        <v>College</v>
      </c>
      <c r="F1998" s="4" t="str">
        <f>IFERROR(__xludf.DUMMYFUNCTION("""COMPUTED_VALUE"""),"Yrs")</f>
        <v>Yrs</v>
      </c>
      <c r="G1998" s="4" t="str">
        <f>IFERROR(__xludf.DUMMYFUNCTION("""COMPUTED_VALUE"""),"G")</f>
        <v>G</v>
      </c>
      <c r="H1998" s="4" t="str">
        <f>IFERROR(__xludf.DUMMYFUNCTION("""COMPUTED_VALUE"""),"MP")</f>
        <v>MP</v>
      </c>
      <c r="I1998" s="4" t="str">
        <f>IFERROR(__xludf.DUMMYFUNCTION("""COMPUTED_VALUE"""),"PTS")</f>
        <v>PTS</v>
      </c>
      <c r="J1998" s="4" t="str">
        <f>IFERROR(__xludf.DUMMYFUNCTION("""COMPUTED_VALUE"""),"TRB")</f>
        <v>TRB</v>
      </c>
      <c r="K1998" s="4" t="str">
        <f>IFERROR(__xludf.DUMMYFUNCTION("""COMPUTED_VALUE"""),"AST")</f>
        <v>AST</v>
      </c>
      <c r="L1998" s="4" t="str">
        <f>IFERROR(__xludf.DUMMYFUNCTION("""COMPUTED_VALUE"""),"FG%")</f>
        <v>FG%</v>
      </c>
      <c r="M1998" s="4" t="str">
        <f>IFERROR(__xludf.DUMMYFUNCTION("""COMPUTED_VALUE"""),"3P%")</f>
        <v>3P%</v>
      </c>
      <c r="N1998" s="4" t="str">
        <f>IFERROR(__xludf.DUMMYFUNCTION("""COMPUTED_VALUE"""),"FT%")</f>
        <v>FT%</v>
      </c>
      <c r="O1998" s="4" t="str">
        <f>IFERROR(__xludf.DUMMYFUNCTION("""COMPUTED_VALUE"""),"MP")</f>
        <v>MP</v>
      </c>
      <c r="P1998" s="4" t="str">
        <f>IFERROR(__xludf.DUMMYFUNCTION("""COMPUTED_VALUE"""),"PTS")</f>
        <v>PTS</v>
      </c>
      <c r="Q1998" s="4" t="str">
        <f>IFERROR(__xludf.DUMMYFUNCTION("""COMPUTED_VALUE"""),"TRB")</f>
        <v>TRB</v>
      </c>
      <c r="R1998" s="4" t="str">
        <f>IFERROR(__xludf.DUMMYFUNCTION("""COMPUTED_VALUE"""),"AST")</f>
        <v>AST</v>
      </c>
      <c r="S1998" s="4" t="str">
        <f>IFERROR(__xludf.DUMMYFUNCTION("""COMPUTED_VALUE"""),"WS")</f>
        <v>WS</v>
      </c>
      <c r="T1998" s="4" t="str">
        <f>IFERROR(__xludf.DUMMYFUNCTION("""COMPUTED_VALUE"""),"WS/48")</f>
        <v>WS/48</v>
      </c>
      <c r="U1998" s="4" t="str">
        <f>IFERROR(__xludf.DUMMYFUNCTION("""COMPUTED_VALUE"""),"BPM")</f>
        <v>BPM</v>
      </c>
      <c r="V1998" s="4" t="str">
        <f>IFERROR(__xludf.DUMMYFUNCTION("""COMPUTED_VALUE"""),"VORP")</f>
        <v>VORP</v>
      </c>
    </row>
    <row r="1999">
      <c r="A1999" s="4">
        <f>IFERROR(__xludf.DUMMYFUNCTION("""COMPUTED_VALUE"""),30.0)</f>
        <v>30</v>
      </c>
      <c r="B1999" s="4">
        <f>IFERROR(__xludf.DUMMYFUNCTION("""COMPUTED_VALUE"""),30.0)</f>
        <v>30</v>
      </c>
      <c r="C1999" s="4" t="str">
        <f>IFERROR(__xludf.DUMMYFUNCTION("""COMPUTED_VALUE"""),"DET")</f>
        <v>DET</v>
      </c>
      <c r="D1999" s="4" t="str">
        <f>IFERROR(__xludf.DUMMYFUNCTION("""COMPUTED_VALUE"""),"Lou Roe")</f>
        <v>Lou Roe</v>
      </c>
      <c r="E1999" s="4" t="str">
        <f>IFERROR(__xludf.DUMMYFUNCTION("""COMPUTED_VALUE"""),"UMass")</f>
        <v>UMass</v>
      </c>
      <c r="F1999" s="4">
        <f>IFERROR(__xludf.DUMMYFUNCTION("""COMPUTED_VALUE"""),2.0)</f>
        <v>2</v>
      </c>
      <c r="G1999" s="4">
        <f>IFERROR(__xludf.DUMMYFUNCTION("""COMPUTED_VALUE"""),66.0)</f>
        <v>66</v>
      </c>
      <c r="H1999" s="4">
        <f>IFERROR(__xludf.DUMMYFUNCTION("""COMPUTED_VALUE"""),479.0)</f>
        <v>479</v>
      </c>
      <c r="I1999" s="4">
        <f>IFERROR(__xludf.DUMMYFUNCTION("""COMPUTED_VALUE"""),130.0)</f>
        <v>130</v>
      </c>
      <c r="J1999" s="4">
        <f>IFERROR(__xludf.DUMMYFUNCTION("""COMPUTED_VALUE"""),92.0)</f>
        <v>92</v>
      </c>
      <c r="K1999" s="4">
        <f>IFERROR(__xludf.DUMMYFUNCTION("""COMPUTED_VALUE"""),21.0)</f>
        <v>21</v>
      </c>
      <c r="L1999" s="4">
        <f>IFERROR(__xludf.DUMMYFUNCTION("""COMPUTED_VALUE"""),0.333)</f>
        <v>0.333</v>
      </c>
      <c r="M1999" s="4">
        <f>IFERROR(__xludf.DUMMYFUNCTION("""COMPUTED_VALUE"""),0.25)</f>
        <v>0.25</v>
      </c>
      <c r="N1999" s="4">
        <f>IFERROR(__xludf.DUMMYFUNCTION("""COMPUTED_VALUE"""),0.647)</f>
        <v>0.647</v>
      </c>
      <c r="O1999" s="4">
        <f>IFERROR(__xludf.DUMMYFUNCTION("""COMPUTED_VALUE"""),7.3)</f>
        <v>7.3</v>
      </c>
      <c r="P1999" s="4">
        <f>IFERROR(__xludf.DUMMYFUNCTION("""COMPUTED_VALUE"""),2.0)</f>
        <v>2</v>
      </c>
      <c r="Q1999" s="4">
        <f>IFERROR(__xludf.DUMMYFUNCTION("""COMPUTED_VALUE"""),1.4)</f>
        <v>1.4</v>
      </c>
      <c r="R1999" s="4">
        <f>IFERROR(__xludf.DUMMYFUNCTION("""COMPUTED_VALUE"""),0.3)</f>
        <v>0.3</v>
      </c>
      <c r="S1999" s="4">
        <f>IFERROR(__xludf.DUMMYFUNCTION("""COMPUTED_VALUE"""),0.0)</f>
        <v>0</v>
      </c>
      <c r="T1999" s="4">
        <f>IFERROR(__xludf.DUMMYFUNCTION("""COMPUTED_VALUE"""),-0.001)</f>
        <v>-0.001</v>
      </c>
      <c r="U1999" s="4">
        <f>IFERROR(__xludf.DUMMYFUNCTION("""COMPUTED_VALUE"""),-4.9)</f>
        <v>-4.9</v>
      </c>
      <c r="V1999" s="4">
        <f>IFERROR(__xludf.DUMMYFUNCTION("""COMPUTED_VALUE"""),-0.4)</f>
        <v>-0.4</v>
      </c>
    </row>
    <row r="2000">
      <c r="A2000" s="4">
        <f>IFERROR(__xludf.DUMMYFUNCTION("""COMPUTED_VALUE"""),31.0)</f>
        <v>31</v>
      </c>
      <c r="B2000" s="4">
        <f>IFERROR(__xludf.DUMMYFUNCTION("""COMPUTED_VALUE"""),31.0)</f>
        <v>31</v>
      </c>
      <c r="C2000" s="4" t="str">
        <f>IFERROR(__xludf.DUMMYFUNCTION("""COMPUTED_VALUE"""),"CHI")</f>
        <v>CHI</v>
      </c>
      <c r="D2000" s="4" t="str">
        <f>IFERROR(__xludf.DUMMYFUNCTION("""COMPUTED_VALUE"""),"Dragan Tarlać")</f>
        <v>Dragan Tarlać</v>
      </c>
      <c r="E2000" s="4"/>
      <c r="F2000" s="4">
        <f>IFERROR(__xludf.DUMMYFUNCTION("""COMPUTED_VALUE"""),1.0)</f>
        <v>1</v>
      </c>
      <c r="G2000" s="4">
        <f>IFERROR(__xludf.DUMMYFUNCTION("""COMPUTED_VALUE"""),43.0)</f>
        <v>43</v>
      </c>
      <c r="H2000" s="4">
        <f>IFERROR(__xludf.DUMMYFUNCTION("""COMPUTED_VALUE"""),598.0)</f>
        <v>598</v>
      </c>
      <c r="I2000" s="4">
        <f>IFERROR(__xludf.DUMMYFUNCTION("""COMPUTED_VALUE"""),103.0)</f>
        <v>103</v>
      </c>
      <c r="J2000" s="4">
        <f>IFERROR(__xludf.DUMMYFUNCTION("""COMPUTED_VALUE"""),122.0)</f>
        <v>122</v>
      </c>
      <c r="K2000" s="4">
        <f>IFERROR(__xludf.DUMMYFUNCTION("""COMPUTED_VALUE"""),31.0)</f>
        <v>31</v>
      </c>
      <c r="L2000" s="4">
        <f>IFERROR(__xludf.DUMMYFUNCTION("""COMPUTED_VALUE"""),0.394)</f>
        <v>0.394</v>
      </c>
      <c r="M2000" s="4"/>
      <c r="N2000" s="4">
        <f>IFERROR(__xludf.DUMMYFUNCTION("""COMPUTED_VALUE"""),0.758)</f>
        <v>0.758</v>
      </c>
      <c r="O2000" s="4">
        <f>IFERROR(__xludf.DUMMYFUNCTION("""COMPUTED_VALUE"""),13.9)</f>
        <v>13.9</v>
      </c>
      <c r="P2000" s="4">
        <f>IFERROR(__xludf.DUMMYFUNCTION("""COMPUTED_VALUE"""),2.4)</f>
        <v>2.4</v>
      </c>
      <c r="Q2000" s="4">
        <f>IFERROR(__xludf.DUMMYFUNCTION("""COMPUTED_VALUE"""),2.8)</f>
        <v>2.8</v>
      </c>
      <c r="R2000" s="4">
        <f>IFERROR(__xludf.DUMMYFUNCTION("""COMPUTED_VALUE"""),0.7)</f>
        <v>0.7</v>
      </c>
      <c r="S2000" s="4">
        <f>IFERROR(__xludf.DUMMYFUNCTION("""COMPUTED_VALUE"""),-0.2)</f>
        <v>-0.2</v>
      </c>
      <c r="T2000" s="4">
        <f>IFERROR(__xludf.DUMMYFUNCTION("""COMPUTED_VALUE"""),-0.016)</f>
        <v>-0.016</v>
      </c>
      <c r="U2000" s="4">
        <f>IFERROR(__xludf.DUMMYFUNCTION("""COMPUTED_VALUE"""),-7.3)</f>
        <v>-7.3</v>
      </c>
      <c r="V2000" s="4">
        <f>IFERROR(__xludf.DUMMYFUNCTION("""COMPUTED_VALUE"""),-0.8)</f>
        <v>-0.8</v>
      </c>
    </row>
    <row r="2001">
      <c r="A2001" s="4">
        <f>IFERROR(__xludf.DUMMYFUNCTION("""COMPUTED_VALUE"""),32.0)</f>
        <v>32</v>
      </c>
      <c r="B2001" s="4">
        <f>IFERROR(__xludf.DUMMYFUNCTION("""COMPUTED_VALUE"""),32.0)</f>
        <v>32</v>
      </c>
      <c r="C2001" s="4" t="str">
        <f>IFERROR(__xludf.DUMMYFUNCTION("""COMPUTED_VALUE"""),"WSB")</f>
        <v>WSB</v>
      </c>
      <c r="D2001" s="4" t="str">
        <f>IFERROR(__xludf.DUMMYFUNCTION("""COMPUTED_VALUE"""),"Terrence Rencher")</f>
        <v>Terrence Rencher</v>
      </c>
      <c r="E2001" s="4" t="str">
        <f>IFERROR(__xludf.DUMMYFUNCTION("""COMPUTED_VALUE"""),"Texas")</f>
        <v>Texas</v>
      </c>
      <c r="F2001" s="4">
        <f>IFERROR(__xludf.DUMMYFUNCTION("""COMPUTED_VALUE"""),1.0)</f>
        <v>1</v>
      </c>
      <c r="G2001" s="4">
        <f>IFERROR(__xludf.DUMMYFUNCTION("""COMPUTED_VALUE"""),36.0)</f>
        <v>36</v>
      </c>
      <c r="H2001" s="4">
        <f>IFERROR(__xludf.DUMMYFUNCTION("""COMPUTED_VALUE"""),405.0)</f>
        <v>405</v>
      </c>
      <c r="I2001" s="4">
        <f>IFERROR(__xludf.DUMMYFUNCTION("""COMPUTED_VALUE"""),106.0)</f>
        <v>106</v>
      </c>
      <c r="J2001" s="4">
        <f>IFERROR(__xludf.DUMMYFUNCTION("""COMPUTED_VALUE"""),44.0)</f>
        <v>44</v>
      </c>
      <c r="K2001" s="4">
        <f>IFERROR(__xludf.DUMMYFUNCTION("""COMPUTED_VALUE"""),54.0)</f>
        <v>54</v>
      </c>
      <c r="L2001" s="4">
        <f>IFERROR(__xludf.DUMMYFUNCTION("""COMPUTED_VALUE"""),0.33)</f>
        <v>0.33</v>
      </c>
      <c r="M2001" s="4">
        <f>IFERROR(__xludf.DUMMYFUNCTION("""COMPUTED_VALUE"""),0.31)</f>
        <v>0.31</v>
      </c>
      <c r="N2001" s="4">
        <f>IFERROR(__xludf.DUMMYFUNCTION("""COMPUTED_VALUE"""),0.674)</f>
        <v>0.674</v>
      </c>
      <c r="O2001" s="4">
        <f>IFERROR(__xludf.DUMMYFUNCTION("""COMPUTED_VALUE"""),11.3)</f>
        <v>11.3</v>
      </c>
      <c r="P2001" s="4">
        <f>IFERROR(__xludf.DUMMYFUNCTION("""COMPUTED_VALUE"""),2.9)</f>
        <v>2.9</v>
      </c>
      <c r="Q2001" s="4">
        <f>IFERROR(__xludf.DUMMYFUNCTION("""COMPUTED_VALUE"""),1.2)</f>
        <v>1.2</v>
      </c>
      <c r="R2001" s="4">
        <f>IFERROR(__xludf.DUMMYFUNCTION("""COMPUTED_VALUE"""),1.5)</f>
        <v>1.5</v>
      </c>
      <c r="S2001" s="4">
        <f>IFERROR(__xludf.DUMMYFUNCTION("""COMPUTED_VALUE"""),-0.2)</f>
        <v>-0.2</v>
      </c>
      <c r="T2001" s="4">
        <f>IFERROR(__xludf.DUMMYFUNCTION("""COMPUTED_VALUE"""),-0.021)</f>
        <v>-0.021</v>
      </c>
      <c r="U2001" s="4">
        <f>IFERROR(__xludf.DUMMYFUNCTION("""COMPUTED_VALUE"""),-4.0)</f>
        <v>-4</v>
      </c>
      <c r="V2001" s="4">
        <f>IFERROR(__xludf.DUMMYFUNCTION("""COMPUTED_VALUE"""),-0.2)</f>
        <v>-0.2</v>
      </c>
    </row>
    <row r="2002">
      <c r="A2002" s="4">
        <f>IFERROR(__xludf.DUMMYFUNCTION("""COMPUTED_VALUE"""),33.0)</f>
        <v>33</v>
      </c>
      <c r="B2002" s="4">
        <f>IFERROR(__xludf.DUMMYFUNCTION("""COMPUTED_VALUE"""),33.0)</f>
        <v>33</v>
      </c>
      <c r="C2002" s="4" t="str">
        <f>IFERROR(__xludf.DUMMYFUNCTION("""COMPUTED_VALUE"""),"BOS")</f>
        <v>BOS</v>
      </c>
      <c r="D2002" s="4" t="str">
        <f>IFERROR(__xludf.DUMMYFUNCTION("""COMPUTED_VALUE"""),"Junior Burrough")</f>
        <v>Junior Burrough</v>
      </c>
      <c r="E2002" s="4" t="str">
        <f>IFERROR(__xludf.DUMMYFUNCTION("""COMPUTED_VALUE"""),"Virginia")</f>
        <v>Virginia</v>
      </c>
      <c r="F2002" s="4">
        <f>IFERROR(__xludf.DUMMYFUNCTION("""COMPUTED_VALUE"""),1.0)</f>
        <v>1</v>
      </c>
      <c r="G2002" s="4">
        <f>IFERROR(__xludf.DUMMYFUNCTION("""COMPUTED_VALUE"""),61.0)</f>
        <v>61</v>
      </c>
      <c r="H2002" s="4">
        <f>IFERROR(__xludf.DUMMYFUNCTION("""COMPUTED_VALUE"""),495.0)</f>
        <v>495</v>
      </c>
      <c r="I2002" s="4">
        <f>IFERROR(__xludf.DUMMYFUNCTION("""COMPUTED_VALUE"""),189.0)</f>
        <v>189</v>
      </c>
      <c r="J2002" s="4">
        <f>IFERROR(__xludf.DUMMYFUNCTION("""COMPUTED_VALUE"""),109.0)</f>
        <v>109</v>
      </c>
      <c r="K2002" s="4">
        <f>IFERROR(__xludf.DUMMYFUNCTION("""COMPUTED_VALUE"""),15.0)</f>
        <v>15</v>
      </c>
      <c r="L2002" s="4">
        <f>IFERROR(__xludf.DUMMYFUNCTION("""COMPUTED_VALUE"""),0.376)</f>
        <v>0.376</v>
      </c>
      <c r="M2002" s="4"/>
      <c r="N2002" s="4">
        <f>IFERROR(__xludf.DUMMYFUNCTION("""COMPUTED_VALUE"""),0.656)</f>
        <v>0.656</v>
      </c>
      <c r="O2002" s="4">
        <f>IFERROR(__xludf.DUMMYFUNCTION("""COMPUTED_VALUE"""),8.1)</f>
        <v>8.1</v>
      </c>
      <c r="P2002" s="4">
        <f>IFERROR(__xludf.DUMMYFUNCTION("""COMPUTED_VALUE"""),3.1)</f>
        <v>3.1</v>
      </c>
      <c r="Q2002" s="4">
        <f>IFERROR(__xludf.DUMMYFUNCTION("""COMPUTED_VALUE"""),1.8)</f>
        <v>1.8</v>
      </c>
      <c r="R2002" s="4">
        <f>IFERROR(__xludf.DUMMYFUNCTION("""COMPUTED_VALUE"""),0.2)</f>
        <v>0.2</v>
      </c>
      <c r="S2002" s="4">
        <f>IFERROR(__xludf.DUMMYFUNCTION("""COMPUTED_VALUE"""),-0.2)</f>
        <v>-0.2</v>
      </c>
      <c r="T2002" s="4">
        <f>IFERROR(__xludf.DUMMYFUNCTION("""COMPUTED_VALUE"""),-0.018)</f>
        <v>-0.018</v>
      </c>
      <c r="U2002" s="4">
        <f>IFERROR(__xludf.DUMMYFUNCTION("""COMPUTED_VALUE"""),-7.5)</f>
        <v>-7.5</v>
      </c>
      <c r="V2002" s="4">
        <f>IFERROR(__xludf.DUMMYFUNCTION("""COMPUTED_VALUE"""),-0.7)</f>
        <v>-0.7</v>
      </c>
    </row>
    <row r="2003">
      <c r="A2003" s="4">
        <f>IFERROR(__xludf.DUMMYFUNCTION("""COMPUTED_VALUE"""),34.0)</f>
        <v>34</v>
      </c>
      <c r="B2003" s="4">
        <f>IFERROR(__xludf.DUMMYFUNCTION("""COMPUTED_VALUE"""),34.0)</f>
        <v>34</v>
      </c>
      <c r="C2003" s="4" t="str">
        <f>IFERROR(__xludf.DUMMYFUNCTION("""COMPUTED_VALUE"""),"GSW")</f>
        <v>GSW</v>
      </c>
      <c r="D2003" s="4" t="str">
        <f>IFERROR(__xludf.DUMMYFUNCTION("""COMPUTED_VALUE"""),"Andrew DeClercq")</f>
        <v>Andrew DeClercq</v>
      </c>
      <c r="E2003" s="4" t="str">
        <f>IFERROR(__xludf.DUMMYFUNCTION("""COMPUTED_VALUE"""),"Florida")</f>
        <v>Florida</v>
      </c>
      <c r="F2003" s="4">
        <f>IFERROR(__xludf.DUMMYFUNCTION("""COMPUTED_VALUE"""),10.0)</f>
        <v>10</v>
      </c>
      <c r="G2003" s="4">
        <f>IFERROR(__xludf.DUMMYFUNCTION("""COMPUTED_VALUE"""),587.0)</f>
        <v>587</v>
      </c>
      <c r="H2003" s="4">
        <f>IFERROR(__xludf.DUMMYFUNCTION("""COMPUTED_VALUE"""),9847.0)</f>
        <v>9847</v>
      </c>
      <c r="I2003" s="4">
        <f>IFERROR(__xludf.DUMMYFUNCTION("""COMPUTED_VALUE"""),2815.0)</f>
        <v>2815</v>
      </c>
      <c r="J2003" s="4">
        <f>IFERROR(__xludf.DUMMYFUNCTION("""COMPUTED_VALUE"""),2488.0)</f>
        <v>2488</v>
      </c>
      <c r="K2003" s="4">
        <f>IFERROR(__xludf.DUMMYFUNCTION("""COMPUTED_VALUE"""),339.0)</f>
        <v>339</v>
      </c>
      <c r="L2003" s="4">
        <f>IFERROR(__xludf.DUMMYFUNCTION("""COMPUTED_VALUE"""),0.507)</f>
        <v>0.507</v>
      </c>
      <c r="M2003" s="4">
        <f>IFERROR(__xludf.DUMMYFUNCTION("""COMPUTED_VALUE"""),0.0)</f>
        <v>0</v>
      </c>
      <c r="N2003" s="4">
        <f>IFERROR(__xludf.DUMMYFUNCTION("""COMPUTED_VALUE"""),0.621)</f>
        <v>0.621</v>
      </c>
      <c r="O2003" s="4">
        <f>IFERROR(__xludf.DUMMYFUNCTION("""COMPUTED_VALUE"""),16.8)</f>
        <v>16.8</v>
      </c>
      <c r="P2003" s="4">
        <f>IFERROR(__xludf.DUMMYFUNCTION("""COMPUTED_VALUE"""),4.8)</f>
        <v>4.8</v>
      </c>
      <c r="Q2003" s="4">
        <f>IFERROR(__xludf.DUMMYFUNCTION("""COMPUTED_VALUE"""),4.2)</f>
        <v>4.2</v>
      </c>
      <c r="R2003" s="4">
        <f>IFERROR(__xludf.DUMMYFUNCTION("""COMPUTED_VALUE"""),0.6)</f>
        <v>0.6</v>
      </c>
      <c r="S2003" s="4">
        <f>IFERROR(__xludf.DUMMYFUNCTION("""COMPUTED_VALUE"""),19.4)</f>
        <v>19.4</v>
      </c>
      <c r="T2003" s="4">
        <f>IFERROR(__xludf.DUMMYFUNCTION("""COMPUTED_VALUE"""),0.094)</f>
        <v>0.094</v>
      </c>
      <c r="U2003" s="4">
        <f>IFERROR(__xludf.DUMMYFUNCTION("""COMPUTED_VALUE"""),-2.9)</f>
        <v>-2.9</v>
      </c>
      <c r="V2003" s="4">
        <f>IFERROR(__xludf.DUMMYFUNCTION("""COMPUTED_VALUE"""),-2.4)</f>
        <v>-2.4</v>
      </c>
    </row>
    <row r="2004">
      <c r="A2004" s="4">
        <f>IFERROR(__xludf.DUMMYFUNCTION("""COMPUTED_VALUE"""),35.0)</f>
        <v>35</v>
      </c>
      <c r="B2004" s="4">
        <f>IFERROR(__xludf.DUMMYFUNCTION("""COMPUTED_VALUE"""),35.0)</f>
        <v>35</v>
      </c>
      <c r="C2004" s="4" t="str">
        <f>IFERROR(__xludf.DUMMYFUNCTION("""COMPUTED_VALUE"""),"TOR")</f>
        <v>TOR</v>
      </c>
      <c r="D2004" s="4" t="str">
        <f>IFERROR(__xludf.DUMMYFUNCTION("""COMPUTED_VALUE"""),"Jimmy King")</f>
        <v>Jimmy King</v>
      </c>
      <c r="E2004" s="4" t="str">
        <f>IFERROR(__xludf.DUMMYFUNCTION("""COMPUTED_VALUE"""),"Michigan")</f>
        <v>Michigan</v>
      </c>
      <c r="F2004" s="4">
        <f>IFERROR(__xludf.DUMMYFUNCTION("""COMPUTED_VALUE"""),2.0)</f>
        <v>2</v>
      </c>
      <c r="G2004" s="4">
        <f>IFERROR(__xludf.DUMMYFUNCTION("""COMPUTED_VALUE"""),64.0)</f>
        <v>64</v>
      </c>
      <c r="H2004" s="4">
        <f>IFERROR(__xludf.DUMMYFUNCTION("""COMPUTED_VALUE"""),890.0)</f>
        <v>890</v>
      </c>
      <c r="I2004" s="4">
        <f>IFERROR(__xludf.DUMMYFUNCTION("""COMPUTED_VALUE"""),285.0)</f>
        <v>285</v>
      </c>
      <c r="J2004" s="4">
        <f>IFERROR(__xludf.DUMMYFUNCTION("""COMPUTED_VALUE"""),112.0)</f>
        <v>112</v>
      </c>
      <c r="K2004" s="4">
        <f>IFERROR(__xludf.DUMMYFUNCTION("""COMPUTED_VALUE"""),90.0)</f>
        <v>90</v>
      </c>
      <c r="L2004" s="4">
        <f>IFERROR(__xludf.DUMMYFUNCTION("""COMPUTED_VALUE"""),0.429)</f>
        <v>0.429</v>
      </c>
      <c r="M2004" s="4">
        <f>IFERROR(__xludf.DUMMYFUNCTION("""COMPUTED_VALUE"""),0.147)</f>
        <v>0.147</v>
      </c>
      <c r="N2004" s="4">
        <f>IFERROR(__xludf.DUMMYFUNCTION("""COMPUTED_VALUE"""),0.691)</f>
        <v>0.691</v>
      </c>
      <c r="O2004" s="4">
        <f>IFERROR(__xludf.DUMMYFUNCTION("""COMPUTED_VALUE"""),13.9)</f>
        <v>13.9</v>
      </c>
      <c r="P2004" s="4">
        <f>IFERROR(__xludf.DUMMYFUNCTION("""COMPUTED_VALUE"""),4.5)</f>
        <v>4.5</v>
      </c>
      <c r="Q2004" s="4">
        <f>IFERROR(__xludf.DUMMYFUNCTION("""COMPUTED_VALUE"""),1.8)</f>
        <v>1.8</v>
      </c>
      <c r="R2004" s="4">
        <f>IFERROR(__xludf.DUMMYFUNCTION("""COMPUTED_VALUE"""),1.4)</f>
        <v>1.4</v>
      </c>
      <c r="S2004" s="4">
        <f>IFERROR(__xludf.DUMMYFUNCTION("""COMPUTED_VALUE"""),0.0)</f>
        <v>0</v>
      </c>
      <c r="T2004" s="4">
        <f>IFERROR(__xludf.DUMMYFUNCTION("""COMPUTED_VALUE"""),0.001)</f>
        <v>0.001</v>
      </c>
      <c r="U2004" s="4">
        <f>IFERROR(__xludf.DUMMYFUNCTION("""COMPUTED_VALUE"""),-4.6)</f>
        <v>-4.6</v>
      </c>
      <c r="V2004" s="4">
        <f>IFERROR(__xludf.DUMMYFUNCTION("""COMPUTED_VALUE"""),-0.6)</f>
        <v>-0.6</v>
      </c>
    </row>
    <row r="2005">
      <c r="A2005" s="4">
        <f>IFERROR(__xludf.DUMMYFUNCTION("""COMPUTED_VALUE"""),36.0)</f>
        <v>36</v>
      </c>
      <c r="B2005" s="4">
        <f>IFERROR(__xludf.DUMMYFUNCTION("""COMPUTED_VALUE"""),36.0)</f>
        <v>36</v>
      </c>
      <c r="C2005" s="4" t="str">
        <f>IFERROR(__xludf.DUMMYFUNCTION("""COMPUTED_VALUE"""),"VAN")</f>
        <v>VAN</v>
      </c>
      <c r="D2005" s="4" t="str">
        <f>IFERROR(__xludf.DUMMYFUNCTION("""COMPUTED_VALUE"""),"Lawrence Moten")</f>
        <v>Lawrence Moten</v>
      </c>
      <c r="E2005" s="4" t="str">
        <f>IFERROR(__xludf.DUMMYFUNCTION("""COMPUTED_VALUE"""),"Syracuse")</f>
        <v>Syracuse</v>
      </c>
      <c r="F2005" s="4">
        <f>IFERROR(__xludf.DUMMYFUNCTION("""COMPUTED_VALUE"""),3.0)</f>
        <v>3</v>
      </c>
      <c r="G2005" s="4">
        <f>IFERROR(__xludf.DUMMYFUNCTION("""COMPUTED_VALUE"""),119.0)</f>
        <v>119</v>
      </c>
      <c r="H2005" s="4">
        <f>IFERROR(__xludf.DUMMYFUNCTION("""COMPUTED_VALUE"""),1814.0)</f>
        <v>1814</v>
      </c>
      <c r="I2005" s="4">
        <f>IFERROR(__xludf.DUMMYFUNCTION("""COMPUTED_VALUE"""),747.0)</f>
        <v>747</v>
      </c>
      <c r="J2005" s="4">
        <f>IFERROR(__xludf.DUMMYFUNCTION("""COMPUTED_VALUE"""),181.0)</f>
        <v>181</v>
      </c>
      <c r="K2005" s="4">
        <f>IFERROR(__xludf.DUMMYFUNCTION("""COMPUTED_VALUE"""),182.0)</f>
        <v>182</v>
      </c>
      <c r="L2005" s="4">
        <f>IFERROR(__xludf.DUMMYFUNCTION("""COMPUTED_VALUE"""),0.408)</f>
        <v>0.408</v>
      </c>
      <c r="M2005" s="4">
        <f>IFERROR(__xludf.DUMMYFUNCTION("""COMPUTED_VALUE"""),0.299)</f>
        <v>0.299</v>
      </c>
      <c r="N2005" s="4">
        <f>IFERROR(__xludf.DUMMYFUNCTION("""COMPUTED_VALUE"""),0.652)</f>
        <v>0.652</v>
      </c>
      <c r="O2005" s="4">
        <f>IFERROR(__xludf.DUMMYFUNCTION("""COMPUTED_VALUE"""),15.2)</f>
        <v>15.2</v>
      </c>
      <c r="P2005" s="4">
        <f>IFERROR(__xludf.DUMMYFUNCTION("""COMPUTED_VALUE"""),6.3)</f>
        <v>6.3</v>
      </c>
      <c r="Q2005" s="4">
        <f>IFERROR(__xludf.DUMMYFUNCTION("""COMPUTED_VALUE"""),1.5)</f>
        <v>1.5</v>
      </c>
      <c r="R2005" s="4">
        <f>IFERROR(__xludf.DUMMYFUNCTION("""COMPUTED_VALUE"""),1.5)</f>
        <v>1.5</v>
      </c>
      <c r="S2005" s="4">
        <f>IFERROR(__xludf.DUMMYFUNCTION("""COMPUTED_VALUE"""),0.0)</f>
        <v>0</v>
      </c>
      <c r="T2005" s="4">
        <f>IFERROR(__xludf.DUMMYFUNCTION("""COMPUTED_VALUE"""),0.001)</f>
        <v>0.001</v>
      </c>
      <c r="U2005" s="4">
        <f>IFERROR(__xludf.DUMMYFUNCTION("""COMPUTED_VALUE"""),-2.1)</f>
        <v>-2.1</v>
      </c>
      <c r="V2005" s="4">
        <f>IFERROR(__xludf.DUMMYFUNCTION("""COMPUTED_VALUE"""),0.0)</f>
        <v>0</v>
      </c>
    </row>
    <row r="2006">
      <c r="A2006" s="4">
        <f>IFERROR(__xludf.DUMMYFUNCTION("""COMPUTED_VALUE"""),37.0)</f>
        <v>37</v>
      </c>
      <c r="B2006" s="4">
        <f>IFERROR(__xludf.DUMMYFUNCTION("""COMPUTED_VALUE"""),37.0)</f>
        <v>37</v>
      </c>
      <c r="C2006" s="4" t="str">
        <f>IFERROR(__xludf.DUMMYFUNCTION("""COMPUTED_VALUE"""),"LAL")</f>
        <v>LAL</v>
      </c>
      <c r="D2006" s="4" t="str">
        <f>IFERROR(__xludf.DUMMYFUNCTION("""COMPUTED_VALUE"""),"Frankie King")</f>
        <v>Frankie King</v>
      </c>
      <c r="E2006" s="4" t="str">
        <f>IFERROR(__xludf.DUMMYFUNCTION("""COMPUTED_VALUE"""),"Western Carolina University")</f>
        <v>Western Carolina University</v>
      </c>
      <c r="F2006" s="4">
        <f>IFERROR(__xludf.DUMMYFUNCTION("""COMPUTED_VALUE"""),2.0)</f>
        <v>2</v>
      </c>
      <c r="G2006" s="4">
        <f>IFERROR(__xludf.DUMMYFUNCTION("""COMPUTED_VALUE"""),13.0)</f>
        <v>13</v>
      </c>
      <c r="H2006" s="4">
        <f>IFERROR(__xludf.DUMMYFUNCTION("""COMPUTED_VALUE"""),79.0)</f>
        <v>79</v>
      </c>
      <c r="I2006" s="4">
        <f>IFERROR(__xludf.DUMMYFUNCTION("""COMPUTED_VALUE"""),27.0)</f>
        <v>27</v>
      </c>
      <c r="J2006" s="4">
        <f>IFERROR(__xludf.DUMMYFUNCTION("""COMPUTED_VALUE"""),16.0)</f>
        <v>16</v>
      </c>
      <c r="K2006" s="4">
        <f>IFERROR(__xludf.DUMMYFUNCTION("""COMPUTED_VALUE"""),7.0)</f>
        <v>7</v>
      </c>
      <c r="L2006" s="4">
        <f>IFERROR(__xludf.DUMMYFUNCTION("""COMPUTED_VALUE"""),0.357)</f>
        <v>0.357</v>
      </c>
      <c r="M2006" s="4">
        <f>IFERROR(__xludf.DUMMYFUNCTION("""COMPUTED_VALUE"""),0.333)</f>
        <v>0.333</v>
      </c>
      <c r="N2006" s="4">
        <f>IFERROR(__xludf.DUMMYFUNCTION("""COMPUTED_VALUE"""),0.75)</f>
        <v>0.75</v>
      </c>
      <c r="O2006" s="4">
        <f>IFERROR(__xludf.DUMMYFUNCTION("""COMPUTED_VALUE"""),6.1)</f>
        <v>6.1</v>
      </c>
      <c r="P2006" s="4">
        <f>IFERROR(__xludf.DUMMYFUNCTION("""COMPUTED_VALUE"""),2.1)</f>
        <v>2.1</v>
      </c>
      <c r="Q2006" s="4">
        <f>IFERROR(__xludf.DUMMYFUNCTION("""COMPUTED_VALUE"""),1.2)</f>
        <v>1.2</v>
      </c>
      <c r="R2006" s="4">
        <f>IFERROR(__xludf.DUMMYFUNCTION("""COMPUTED_VALUE"""),0.5)</f>
        <v>0.5</v>
      </c>
      <c r="S2006" s="4">
        <f>IFERROR(__xludf.DUMMYFUNCTION("""COMPUTED_VALUE"""),0.0)</f>
        <v>0</v>
      </c>
      <c r="T2006" s="4">
        <f>IFERROR(__xludf.DUMMYFUNCTION("""COMPUTED_VALUE"""),0.025)</f>
        <v>0.025</v>
      </c>
      <c r="U2006" s="4">
        <f>IFERROR(__xludf.DUMMYFUNCTION("""COMPUTED_VALUE"""),-4.7)</f>
        <v>-4.7</v>
      </c>
      <c r="V2006" s="4">
        <f>IFERROR(__xludf.DUMMYFUNCTION("""COMPUTED_VALUE"""),-0.1)</f>
        <v>-0.1</v>
      </c>
    </row>
    <row r="2007">
      <c r="A2007" s="4">
        <f>IFERROR(__xludf.DUMMYFUNCTION("""COMPUTED_VALUE"""),38.0)</f>
        <v>38</v>
      </c>
      <c r="B2007" s="4">
        <f>IFERROR(__xludf.DUMMYFUNCTION("""COMPUTED_VALUE"""),38.0)</f>
        <v>38</v>
      </c>
      <c r="C2007" s="4" t="str">
        <f>IFERROR(__xludf.DUMMYFUNCTION("""COMPUTED_VALUE"""),"MIL")</f>
        <v>MIL</v>
      </c>
      <c r="D2007" s="4" t="str">
        <f>IFERROR(__xludf.DUMMYFUNCTION("""COMPUTED_VALUE"""),"Rashard Griffith")</f>
        <v>Rashard Griffith</v>
      </c>
      <c r="E2007" s="4" t="str">
        <f>IFERROR(__xludf.DUMMYFUNCTION("""COMPUTED_VALUE"""),"Wisconsin")</f>
        <v>Wisconsin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</row>
    <row r="2008">
      <c r="A2008" s="4">
        <f>IFERROR(__xludf.DUMMYFUNCTION("""COMPUTED_VALUE"""),39.0)</f>
        <v>39</v>
      </c>
      <c r="B2008" s="4">
        <f>IFERROR(__xludf.DUMMYFUNCTION("""COMPUTED_VALUE"""),39.0)</f>
        <v>39</v>
      </c>
      <c r="C2008" s="4" t="str">
        <f>IFERROR(__xludf.DUMMYFUNCTION("""COMPUTED_VALUE"""),"CLE")</f>
        <v>CLE</v>
      </c>
      <c r="D2008" s="4" t="str">
        <f>IFERROR(__xludf.DUMMYFUNCTION("""COMPUTED_VALUE"""),"Donny Marshall")</f>
        <v>Donny Marshall</v>
      </c>
      <c r="E2008" s="4" t="str">
        <f>IFERROR(__xludf.DUMMYFUNCTION("""COMPUTED_VALUE"""),"UConn")</f>
        <v>UConn</v>
      </c>
      <c r="F2008" s="4">
        <f>IFERROR(__xludf.DUMMYFUNCTION("""COMPUTED_VALUE"""),5.0)</f>
        <v>5</v>
      </c>
      <c r="G2008" s="4">
        <f>IFERROR(__xludf.DUMMYFUNCTION("""COMPUTED_VALUE"""),119.0)</f>
        <v>119</v>
      </c>
      <c r="H2008" s="4">
        <f>IFERROR(__xludf.DUMMYFUNCTION("""COMPUTED_VALUE"""),919.0)</f>
        <v>919</v>
      </c>
      <c r="I2008" s="4">
        <f>IFERROR(__xludf.DUMMYFUNCTION("""COMPUTED_VALUE"""),293.0)</f>
        <v>293</v>
      </c>
      <c r="J2008" s="4">
        <f>IFERROR(__xludf.DUMMYFUNCTION("""COMPUTED_VALUE"""),121.0)</f>
        <v>121</v>
      </c>
      <c r="K2008" s="4">
        <f>IFERROR(__xludf.DUMMYFUNCTION("""COMPUTED_VALUE"""),36.0)</f>
        <v>36</v>
      </c>
      <c r="L2008" s="4">
        <f>IFERROR(__xludf.DUMMYFUNCTION("""COMPUTED_VALUE"""),0.321)</f>
        <v>0.321</v>
      </c>
      <c r="M2008" s="4">
        <f>IFERROR(__xludf.DUMMYFUNCTION("""COMPUTED_VALUE"""),0.336)</f>
        <v>0.336</v>
      </c>
      <c r="N2008" s="4">
        <f>IFERROR(__xludf.DUMMYFUNCTION("""COMPUTED_VALUE"""),0.681)</f>
        <v>0.681</v>
      </c>
      <c r="O2008" s="4">
        <f>IFERROR(__xludf.DUMMYFUNCTION("""COMPUTED_VALUE"""),7.7)</f>
        <v>7.7</v>
      </c>
      <c r="P2008" s="4">
        <f>IFERROR(__xludf.DUMMYFUNCTION("""COMPUTED_VALUE"""),2.5)</f>
        <v>2.5</v>
      </c>
      <c r="Q2008" s="4">
        <f>IFERROR(__xludf.DUMMYFUNCTION("""COMPUTED_VALUE"""),1.0)</f>
        <v>1</v>
      </c>
      <c r="R2008" s="4">
        <f>IFERROR(__xludf.DUMMYFUNCTION("""COMPUTED_VALUE"""),0.3)</f>
        <v>0.3</v>
      </c>
      <c r="S2008" s="4">
        <f>IFERROR(__xludf.DUMMYFUNCTION("""COMPUTED_VALUE"""),0.9)</f>
        <v>0.9</v>
      </c>
      <c r="T2008" s="4">
        <f>IFERROR(__xludf.DUMMYFUNCTION("""COMPUTED_VALUE"""),0.045)</f>
        <v>0.045</v>
      </c>
      <c r="U2008" s="4">
        <f>IFERROR(__xludf.DUMMYFUNCTION("""COMPUTED_VALUE"""),-3.8)</f>
        <v>-3.8</v>
      </c>
      <c r="V2008" s="4">
        <f>IFERROR(__xludf.DUMMYFUNCTION("""COMPUTED_VALUE"""),-0.4)</f>
        <v>-0.4</v>
      </c>
    </row>
    <row r="2009">
      <c r="A2009" s="4">
        <f>IFERROR(__xludf.DUMMYFUNCTION("""COMPUTED_VALUE"""),40.0)</f>
        <v>40</v>
      </c>
      <c r="B2009" s="4">
        <f>IFERROR(__xludf.DUMMYFUNCTION("""COMPUTED_VALUE"""),40.0)</f>
        <v>40</v>
      </c>
      <c r="C2009" s="4" t="str">
        <f>IFERROR(__xludf.DUMMYFUNCTION("""COMPUTED_VALUE"""),"GSW")</f>
        <v>GSW</v>
      </c>
      <c r="D2009" s="4" t="str">
        <f>IFERROR(__xludf.DUMMYFUNCTION("""COMPUTED_VALUE"""),"Dwayne Whitfield")</f>
        <v>Dwayne Whitfield</v>
      </c>
      <c r="E2009" s="4" t="str">
        <f>IFERROR(__xludf.DUMMYFUNCTION("""COMPUTED_VALUE"""),"Jackson State University")</f>
        <v>Jackson State University</v>
      </c>
      <c r="F2009" s="4">
        <f>IFERROR(__xludf.DUMMYFUNCTION("""COMPUTED_VALUE"""),1.0)</f>
        <v>1</v>
      </c>
      <c r="G2009" s="4">
        <f>IFERROR(__xludf.DUMMYFUNCTION("""COMPUTED_VALUE"""),8.0)</f>
        <v>8</v>
      </c>
      <c r="H2009" s="4">
        <f>IFERROR(__xludf.DUMMYFUNCTION("""COMPUTED_VALUE"""),122.0)</f>
        <v>122</v>
      </c>
      <c r="I2009" s="4">
        <f>IFERROR(__xludf.DUMMYFUNCTION("""COMPUTED_VALUE"""),40.0)</f>
        <v>40</v>
      </c>
      <c r="J2009" s="4">
        <f>IFERROR(__xludf.DUMMYFUNCTION("""COMPUTED_VALUE"""),25.0)</f>
        <v>25</v>
      </c>
      <c r="K2009" s="4">
        <f>IFERROR(__xludf.DUMMYFUNCTION("""COMPUTED_VALUE"""),2.0)</f>
        <v>2</v>
      </c>
      <c r="L2009" s="4">
        <f>IFERROR(__xludf.DUMMYFUNCTION("""COMPUTED_VALUE"""),0.433)</f>
        <v>0.433</v>
      </c>
      <c r="M2009" s="4"/>
      <c r="N2009" s="4">
        <f>IFERROR(__xludf.DUMMYFUNCTION("""COMPUTED_VALUE"""),0.636)</f>
        <v>0.636</v>
      </c>
      <c r="O2009" s="4">
        <f>IFERROR(__xludf.DUMMYFUNCTION("""COMPUTED_VALUE"""),15.3)</f>
        <v>15.3</v>
      </c>
      <c r="P2009" s="4">
        <f>IFERROR(__xludf.DUMMYFUNCTION("""COMPUTED_VALUE"""),5.0)</f>
        <v>5</v>
      </c>
      <c r="Q2009" s="4">
        <f>IFERROR(__xludf.DUMMYFUNCTION("""COMPUTED_VALUE"""),3.1)</f>
        <v>3.1</v>
      </c>
      <c r="R2009" s="4">
        <f>IFERROR(__xludf.DUMMYFUNCTION("""COMPUTED_VALUE"""),0.3)</f>
        <v>0.3</v>
      </c>
      <c r="S2009" s="4">
        <f>IFERROR(__xludf.DUMMYFUNCTION("""COMPUTED_VALUE"""),0.0)</f>
        <v>0</v>
      </c>
      <c r="T2009" s="4">
        <f>IFERROR(__xludf.DUMMYFUNCTION("""COMPUTED_VALUE"""),0.01)</f>
        <v>0.01</v>
      </c>
      <c r="U2009" s="4">
        <f>IFERROR(__xludf.DUMMYFUNCTION("""COMPUTED_VALUE"""),-7.2)</f>
        <v>-7.2</v>
      </c>
      <c r="V2009" s="4">
        <f>IFERROR(__xludf.DUMMYFUNCTION("""COMPUTED_VALUE"""),-0.2)</f>
        <v>-0.2</v>
      </c>
    </row>
    <row r="2010">
      <c r="A2010" s="4">
        <f>IFERROR(__xludf.DUMMYFUNCTION("""COMPUTED_VALUE"""),41.0)</f>
        <v>41</v>
      </c>
      <c r="B2010" s="4">
        <f>IFERROR(__xludf.DUMMYFUNCTION("""COMPUTED_VALUE"""),41.0)</f>
        <v>41</v>
      </c>
      <c r="C2010" s="4" t="str">
        <f>IFERROR(__xludf.DUMMYFUNCTION("""COMPUTED_VALUE"""),"HOU")</f>
        <v>HOU</v>
      </c>
      <c r="D2010" s="4" t="str">
        <f>IFERROR(__xludf.DUMMYFUNCTION("""COMPUTED_VALUE"""),"Erik Meek")</f>
        <v>Erik Meek</v>
      </c>
      <c r="E2010" s="4" t="str">
        <f>IFERROR(__xludf.DUMMYFUNCTION("""COMPUTED_VALUE"""),"Duke")</f>
        <v>Duke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</row>
    <row r="2011">
      <c r="A2011" s="4">
        <f>IFERROR(__xludf.DUMMYFUNCTION("""COMPUTED_VALUE"""),42.0)</f>
        <v>42</v>
      </c>
      <c r="B2011" s="4">
        <f>IFERROR(__xludf.DUMMYFUNCTION("""COMPUTED_VALUE"""),42.0)</f>
        <v>42</v>
      </c>
      <c r="C2011" s="4" t="str">
        <f>IFERROR(__xludf.DUMMYFUNCTION("""COMPUTED_VALUE"""),"ATL")</f>
        <v>ATL</v>
      </c>
      <c r="D2011" s="4" t="str">
        <f>IFERROR(__xludf.DUMMYFUNCTION("""COMPUTED_VALUE"""),"Donnie Boyce")</f>
        <v>Donnie Boyce</v>
      </c>
      <c r="E2011" s="4" t="str">
        <f>IFERROR(__xludf.DUMMYFUNCTION("""COMPUTED_VALUE"""),"Colorado")</f>
        <v>Colorado</v>
      </c>
      <c r="F2011" s="4">
        <f>IFERROR(__xludf.DUMMYFUNCTION("""COMPUTED_VALUE"""),2.0)</f>
        <v>2</v>
      </c>
      <c r="G2011" s="4">
        <f>IFERROR(__xludf.DUMMYFUNCTION("""COMPUTED_VALUE"""),30.0)</f>
        <v>30</v>
      </c>
      <c r="H2011" s="4">
        <f>IFERROR(__xludf.DUMMYFUNCTION("""COMPUTED_VALUE"""),195.0)</f>
        <v>195</v>
      </c>
      <c r="I2011" s="4">
        <f>IFERROR(__xludf.DUMMYFUNCTION("""COMPUTED_VALUE"""),79.0)</f>
        <v>79</v>
      </c>
      <c r="J2011" s="4">
        <f>IFERROR(__xludf.DUMMYFUNCTION("""COMPUTED_VALUE"""),25.0)</f>
        <v>25</v>
      </c>
      <c r="K2011" s="4">
        <f>IFERROR(__xludf.DUMMYFUNCTION("""COMPUTED_VALUE"""),16.0)</f>
        <v>16</v>
      </c>
      <c r="L2011" s="4">
        <f>IFERROR(__xludf.DUMMYFUNCTION("""COMPUTED_VALUE"""),0.349)</f>
        <v>0.349</v>
      </c>
      <c r="M2011" s="4">
        <f>IFERROR(__xludf.DUMMYFUNCTION("""COMPUTED_VALUE"""),0.25)</f>
        <v>0.25</v>
      </c>
      <c r="N2011" s="4">
        <f>IFERROR(__xludf.DUMMYFUNCTION("""COMPUTED_VALUE"""),0.5)</f>
        <v>0.5</v>
      </c>
      <c r="O2011" s="4">
        <f>IFERROR(__xludf.DUMMYFUNCTION("""COMPUTED_VALUE"""),6.5)</f>
        <v>6.5</v>
      </c>
      <c r="P2011" s="4">
        <f>IFERROR(__xludf.DUMMYFUNCTION("""COMPUTED_VALUE"""),2.6)</f>
        <v>2.6</v>
      </c>
      <c r="Q2011" s="4">
        <f>IFERROR(__xludf.DUMMYFUNCTION("""COMPUTED_VALUE"""),0.8)</f>
        <v>0.8</v>
      </c>
      <c r="R2011" s="4">
        <f>IFERROR(__xludf.DUMMYFUNCTION("""COMPUTED_VALUE"""),0.5)</f>
        <v>0.5</v>
      </c>
      <c r="S2011" s="4">
        <f>IFERROR(__xludf.DUMMYFUNCTION("""COMPUTED_VALUE"""),-0.3)</f>
        <v>-0.3</v>
      </c>
      <c r="T2011" s="4">
        <f>IFERROR(__xludf.DUMMYFUNCTION("""COMPUTED_VALUE"""),-0.064)</f>
        <v>-0.064</v>
      </c>
      <c r="U2011" s="4">
        <f>IFERROR(__xludf.DUMMYFUNCTION("""COMPUTED_VALUE"""),-4.9)</f>
        <v>-4.9</v>
      </c>
      <c r="V2011" s="4">
        <f>IFERROR(__xludf.DUMMYFUNCTION("""COMPUTED_VALUE"""),-0.1)</f>
        <v>-0.1</v>
      </c>
    </row>
    <row r="2012">
      <c r="A2012" s="4">
        <f>IFERROR(__xludf.DUMMYFUNCTION("""COMPUTED_VALUE"""),43.0)</f>
        <v>43</v>
      </c>
      <c r="B2012" s="4">
        <f>IFERROR(__xludf.DUMMYFUNCTION("""COMPUTED_VALUE"""),43.0)</f>
        <v>43</v>
      </c>
      <c r="C2012" s="4" t="str">
        <f>IFERROR(__xludf.DUMMYFUNCTION("""COMPUTED_VALUE"""),"MIL")</f>
        <v>MIL</v>
      </c>
      <c r="D2012" s="4" t="str">
        <f>IFERROR(__xludf.DUMMYFUNCTION("""COMPUTED_VALUE"""),"Eric Snow")</f>
        <v>Eric Snow</v>
      </c>
      <c r="E2012" s="4" t="str">
        <f>IFERROR(__xludf.DUMMYFUNCTION("""COMPUTED_VALUE"""),"Michigan State")</f>
        <v>Michigan State</v>
      </c>
      <c r="F2012" s="4">
        <f>IFERROR(__xludf.DUMMYFUNCTION("""COMPUTED_VALUE"""),13.0)</f>
        <v>13</v>
      </c>
      <c r="G2012" s="4">
        <f>IFERROR(__xludf.DUMMYFUNCTION("""COMPUTED_VALUE"""),846.0)</f>
        <v>846</v>
      </c>
      <c r="H2012" s="4">
        <f>IFERROR(__xludf.DUMMYFUNCTION("""COMPUTED_VALUE"""),23132.0)</f>
        <v>23132</v>
      </c>
      <c r="I2012" s="4">
        <f>IFERROR(__xludf.DUMMYFUNCTION("""COMPUTED_VALUE"""),5791.0)</f>
        <v>5791</v>
      </c>
      <c r="J2012" s="4">
        <f>IFERROR(__xludf.DUMMYFUNCTION("""COMPUTED_VALUE"""),2141.0)</f>
        <v>2141</v>
      </c>
      <c r="K2012" s="4">
        <f>IFERROR(__xludf.DUMMYFUNCTION("""COMPUTED_VALUE"""),4245.0)</f>
        <v>4245</v>
      </c>
      <c r="L2012" s="4">
        <f>IFERROR(__xludf.DUMMYFUNCTION("""COMPUTED_VALUE"""),0.424)</f>
        <v>0.424</v>
      </c>
      <c r="M2012" s="4">
        <f>IFERROR(__xludf.DUMMYFUNCTION("""COMPUTED_VALUE"""),0.208)</f>
        <v>0.208</v>
      </c>
      <c r="N2012" s="4">
        <f>IFERROR(__xludf.DUMMYFUNCTION("""COMPUTED_VALUE"""),0.763)</f>
        <v>0.763</v>
      </c>
      <c r="O2012" s="4">
        <f>IFERROR(__xludf.DUMMYFUNCTION("""COMPUTED_VALUE"""),27.3)</f>
        <v>27.3</v>
      </c>
      <c r="P2012" s="4">
        <f>IFERROR(__xludf.DUMMYFUNCTION("""COMPUTED_VALUE"""),6.8)</f>
        <v>6.8</v>
      </c>
      <c r="Q2012" s="4">
        <f>IFERROR(__xludf.DUMMYFUNCTION("""COMPUTED_VALUE"""),2.5)</f>
        <v>2.5</v>
      </c>
      <c r="R2012" s="4">
        <f>IFERROR(__xludf.DUMMYFUNCTION("""COMPUTED_VALUE"""),5.0)</f>
        <v>5</v>
      </c>
      <c r="S2012" s="4">
        <f>IFERROR(__xludf.DUMMYFUNCTION("""COMPUTED_VALUE"""),43.4)</f>
        <v>43.4</v>
      </c>
      <c r="T2012" s="4">
        <f>IFERROR(__xludf.DUMMYFUNCTION("""COMPUTED_VALUE"""),0.09)</f>
        <v>0.09</v>
      </c>
      <c r="U2012" s="4">
        <f>IFERROR(__xludf.DUMMYFUNCTION("""COMPUTED_VALUE"""),-1.0)</f>
        <v>-1</v>
      </c>
      <c r="V2012" s="4">
        <f>IFERROR(__xludf.DUMMYFUNCTION("""COMPUTED_VALUE"""),5.9)</f>
        <v>5.9</v>
      </c>
    </row>
    <row r="2013">
      <c r="A2013" s="4">
        <f>IFERROR(__xludf.DUMMYFUNCTION("""COMPUTED_VALUE"""),44.0)</f>
        <v>44</v>
      </c>
      <c r="B2013" s="4">
        <f>IFERROR(__xludf.DUMMYFUNCTION("""COMPUTED_VALUE"""),44.0)</f>
        <v>44</v>
      </c>
      <c r="C2013" s="4" t="str">
        <f>IFERROR(__xludf.DUMMYFUNCTION("""COMPUTED_VALUE"""),"DEN")</f>
        <v>DEN</v>
      </c>
      <c r="D2013" s="4" t="str">
        <f>IFERROR(__xludf.DUMMYFUNCTION("""COMPUTED_VALUE"""),"Anthony Pelle")</f>
        <v>Anthony Pelle</v>
      </c>
      <c r="E2013" s="4" t="str">
        <f>IFERROR(__xludf.DUMMYFUNCTION("""COMPUTED_VALUE"""),"Fresno State")</f>
        <v>Fresno State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</row>
    <row r="2014">
      <c r="A2014" s="4">
        <f>IFERROR(__xludf.DUMMYFUNCTION("""COMPUTED_VALUE"""),45.0)</f>
        <v>45</v>
      </c>
      <c r="B2014" s="4">
        <f>IFERROR(__xludf.DUMMYFUNCTION("""COMPUTED_VALUE"""),45.0)</f>
        <v>45</v>
      </c>
      <c r="C2014" s="4" t="str">
        <f>IFERROR(__xludf.DUMMYFUNCTION("""COMPUTED_VALUE"""),"ATL")</f>
        <v>ATL</v>
      </c>
      <c r="D2014" s="4" t="str">
        <f>IFERROR(__xludf.DUMMYFUNCTION("""COMPUTED_VALUE"""),"Troy Brown")</f>
        <v>Troy Brown</v>
      </c>
      <c r="E2014" s="4" t="str">
        <f>IFERROR(__xludf.DUMMYFUNCTION("""COMPUTED_VALUE"""),"Providence")</f>
        <v>Providence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</row>
    <row r="2015">
      <c r="A2015" s="4">
        <f>IFERROR(__xludf.DUMMYFUNCTION("""COMPUTED_VALUE"""),46.0)</f>
        <v>46</v>
      </c>
      <c r="B2015" s="4">
        <f>IFERROR(__xludf.DUMMYFUNCTION("""COMPUTED_VALUE"""),46.0)</f>
        <v>46</v>
      </c>
      <c r="C2015" s="4" t="str">
        <f>IFERROR(__xludf.DUMMYFUNCTION("""COMPUTED_VALUE"""),"MIA")</f>
        <v>MIA</v>
      </c>
      <c r="D2015" s="4" t="str">
        <f>IFERROR(__xludf.DUMMYFUNCTION("""COMPUTED_VALUE"""),"George Banks")</f>
        <v>George Banks</v>
      </c>
      <c r="E2015" s="4" t="str">
        <f>IFERROR(__xludf.DUMMYFUNCTION("""COMPUTED_VALUE"""),"Texas-El Paso")</f>
        <v>Texas-El Paso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</row>
    <row r="2016">
      <c r="A2016" s="4">
        <f>IFERROR(__xludf.DUMMYFUNCTION("""COMPUTED_VALUE"""),47.0)</f>
        <v>47</v>
      </c>
      <c r="B2016" s="4">
        <f>IFERROR(__xludf.DUMMYFUNCTION("""COMPUTED_VALUE"""),47.0)</f>
        <v>47</v>
      </c>
      <c r="C2016" s="4" t="str">
        <f>IFERROR(__xludf.DUMMYFUNCTION("""COMPUTED_VALUE"""),"SAC")</f>
        <v>SAC</v>
      </c>
      <c r="D2016" s="4" t="str">
        <f>IFERROR(__xludf.DUMMYFUNCTION("""COMPUTED_VALUE"""),"Tyus Edney")</f>
        <v>Tyus Edney</v>
      </c>
      <c r="E2016" s="4" t="str">
        <f>IFERROR(__xludf.DUMMYFUNCTION("""COMPUTED_VALUE"""),"UCLA")</f>
        <v>UCLA</v>
      </c>
      <c r="F2016" s="4">
        <f>IFERROR(__xludf.DUMMYFUNCTION("""COMPUTED_VALUE"""),4.0)</f>
        <v>4</v>
      </c>
      <c r="G2016" s="4">
        <f>IFERROR(__xludf.DUMMYFUNCTION("""COMPUTED_VALUE"""),226.0)</f>
        <v>226</v>
      </c>
      <c r="H2016" s="4">
        <f>IFERROR(__xludf.DUMMYFUNCTION("""COMPUTED_VALUE"""),4743.0)</f>
        <v>4743</v>
      </c>
      <c r="I2016" s="4">
        <f>IFERROR(__xludf.DUMMYFUNCTION("""COMPUTED_VALUE"""),1728.0)</f>
        <v>1728</v>
      </c>
      <c r="J2016" s="4">
        <f>IFERROR(__xludf.DUMMYFUNCTION("""COMPUTED_VALUE"""),393.0)</f>
        <v>393</v>
      </c>
      <c r="K2016" s="4">
        <f>IFERROR(__xludf.DUMMYFUNCTION("""COMPUTED_VALUE"""),910.0)</f>
        <v>910</v>
      </c>
      <c r="L2016" s="4">
        <f>IFERROR(__xludf.DUMMYFUNCTION("""COMPUTED_VALUE"""),0.405)</f>
        <v>0.405</v>
      </c>
      <c r="M2016" s="4">
        <f>IFERROR(__xludf.DUMMYFUNCTION("""COMPUTED_VALUE"""),0.322)</f>
        <v>0.322</v>
      </c>
      <c r="N2016" s="4">
        <f>IFERROR(__xludf.DUMMYFUNCTION("""COMPUTED_VALUE"""),0.806)</f>
        <v>0.806</v>
      </c>
      <c r="O2016" s="4">
        <f>IFERROR(__xludf.DUMMYFUNCTION("""COMPUTED_VALUE"""),21.0)</f>
        <v>21</v>
      </c>
      <c r="P2016" s="4">
        <f>IFERROR(__xludf.DUMMYFUNCTION("""COMPUTED_VALUE"""),7.6)</f>
        <v>7.6</v>
      </c>
      <c r="Q2016" s="4">
        <f>IFERROR(__xludf.DUMMYFUNCTION("""COMPUTED_VALUE"""),1.7)</f>
        <v>1.7</v>
      </c>
      <c r="R2016" s="4">
        <f>IFERROR(__xludf.DUMMYFUNCTION("""COMPUTED_VALUE"""),4.0)</f>
        <v>4</v>
      </c>
      <c r="S2016" s="4">
        <f>IFERROR(__xludf.DUMMYFUNCTION("""COMPUTED_VALUE"""),6.8)</f>
        <v>6.8</v>
      </c>
      <c r="T2016" s="4">
        <f>IFERROR(__xludf.DUMMYFUNCTION("""COMPUTED_VALUE"""),0.069)</f>
        <v>0.069</v>
      </c>
      <c r="U2016" s="4">
        <f>IFERROR(__xludf.DUMMYFUNCTION("""COMPUTED_VALUE"""),-1.5)</f>
        <v>-1.5</v>
      </c>
      <c r="V2016" s="4">
        <f>IFERROR(__xludf.DUMMYFUNCTION("""COMPUTED_VALUE"""),0.7)</f>
        <v>0.7</v>
      </c>
    </row>
    <row r="2017">
      <c r="A2017" s="4">
        <f>IFERROR(__xludf.DUMMYFUNCTION("""COMPUTED_VALUE"""),48.0)</f>
        <v>48</v>
      </c>
      <c r="B2017" s="4">
        <f>IFERROR(__xludf.DUMMYFUNCTION("""COMPUTED_VALUE"""),48.0)</f>
        <v>48</v>
      </c>
      <c r="C2017" s="4" t="str">
        <f>IFERROR(__xludf.DUMMYFUNCTION("""COMPUTED_VALUE"""),"MIN")</f>
        <v>MIN</v>
      </c>
      <c r="D2017" s="4" t="str">
        <f>IFERROR(__xludf.DUMMYFUNCTION("""COMPUTED_VALUE"""),"Mark Davis")</f>
        <v>Mark Davis</v>
      </c>
      <c r="E2017" s="4" t="str">
        <f>IFERROR(__xludf.DUMMYFUNCTION("""COMPUTED_VALUE"""),"Texas Tech")</f>
        <v>Texas Tech</v>
      </c>
      <c r="F2017" s="4">
        <f>IFERROR(__xludf.DUMMYFUNCTION("""COMPUTED_VALUE"""),5.0)</f>
        <v>5</v>
      </c>
      <c r="G2017" s="4">
        <f>IFERROR(__xludf.DUMMYFUNCTION("""COMPUTED_VALUE"""),230.0)</f>
        <v>230</v>
      </c>
      <c r="H2017" s="4">
        <f>IFERROR(__xludf.DUMMYFUNCTION("""COMPUTED_VALUE"""),3681.0)</f>
        <v>3681</v>
      </c>
      <c r="I2017" s="4">
        <f>IFERROR(__xludf.DUMMYFUNCTION("""COMPUTED_VALUE"""),1261.0)</f>
        <v>1261</v>
      </c>
      <c r="J2017" s="4">
        <f>IFERROR(__xludf.DUMMYFUNCTION("""COMPUTED_VALUE"""),697.0)</f>
        <v>697</v>
      </c>
      <c r="K2017" s="4">
        <f>IFERROR(__xludf.DUMMYFUNCTION("""COMPUTED_VALUE"""),294.0)</f>
        <v>294</v>
      </c>
      <c r="L2017" s="4">
        <f>IFERROR(__xludf.DUMMYFUNCTION("""COMPUTED_VALUE"""),0.442)</f>
        <v>0.442</v>
      </c>
      <c r="M2017" s="4">
        <f>IFERROR(__xludf.DUMMYFUNCTION("""COMPUTED_VALUE"""),0.246)</f>
        <v>0.246</v>
      </c>
      <c r="N2017" s="4">
        <f>IFERROR(__xludf.DUMMYFUNCTION("""COMPUTED_VALUE"""),0.655)</f>
        <v>0.655</v>
      </c>
      <c r="O2017" s="4">
        <f>IFERROR(__xludf.DUMMYFUNCTION("""COMPUTED_VALUE"""),16.0)</f>
        <v>16</v>
      </c>
      <c r="P2017" s="4">
        <f>IFERROR(__xludf.DUMMYFUNCTION("""COMPUTED_VALUE"""),5.5)</f>
        <v>5.5</v>
      </c>
      <c r="Q2017" s="4">
        <f>IFERROR(__xludf.DUMMYFUNCTION("""COMPUTED_VALUE"""),3.0)</f>
        <v>3</v>
      </c>
      <c r="R2017" s="4">
        <f>IFERROR(__xludf.DUMMYFUNCTION("""COMPUTED_VALUE"""),1.3)</f>
        <v>1.3</v>
      </c>
      <c r="S2017" s="4">
        <f>IFERROR(__xludf.DUMMYFUNCTION("""COMPUTED_VALUE"""),2.3)</f>
        <v>2.3</v>
      </c>
      <c r="T2017" s="4">
        <f>IFERROR(__xludf.DUMMYFUNCTION("""COMPUTED_VALUE"""),0.03)</f>
        <v>0.03</v>
      </c>
      <c r="U2017" s="4">
        <f>IFERROR(__xludf.DUMMYFUNCTION("""COMPUTED_VALUE"""),-2.4)</f>
        <v>-2.4</v>
      </c>
      <c r="V2017" s="4">
        <f>IFERROR(__xludf.DUMMYFUNCTION("""COMPUTED_VALUE"""),-0.4)</f>
        <v>-0.4</v>
      </c>
    </row>
    <row r="2018">
      <c r="A2018" s="4">
        <f>IFERROR(__xludf.DUMMYFUNCTION("""COMPUTED_VALUE"""),49.0)</f>
        <v>49</v>
      </c>
      <c r="B2018" s="4">
        <f>IFERROR(__xludf.DUMMYFUNCTION("""COMPUTED_VALUE"""),49.0)</f>
        <v>49</v>
      </c>
      <c r="C2018" s="4" t="str">
        <f>IFERROR(__xludf.DUMMYFUNCTION("""COMPUTED_VALUE"""),"MIN")</f>
        <v>MIN</v>
      </c>
      <c r="D2018" s="4" t="str">
        <f>IFERROR(__xludf.DUMMYFUNCTION("""COMPUTED_VALUE"""),"Jerome Allen")</f>
        <v>Jerome Allen</v>
      </c>
      <c r="E2018" s="4" t="str">
        <f>IFERROR(__xludf.DUMMYFUNCTION("""COMPUTED_VALUE"""),"Penn")</f>
        <v>Penn</v>
      </c>
      <c r="F2018" s="4">
        <f>IFERROR(__xludf.DUMMYFUNCTION("""COMPUTED_VALUE"""),2.0)</f>
        <v>2</v>
      </c>
      <c r="G2018" s="4">
        <f>IFERROR(__xludf.DUMMYFUNCTION("""COMPUTED_VALUE"""),117.0)</f>
        <v>117</v>
      </c>
      <c r="H2018" s="4">
        <f>IFERROR(__xludf.DUMMYFUNCTION("""COMPUTED_VALUE"""),1305.0)</f>
        <v>1305</v>
      </c>
      <c r="I2018" s="4">
        <f>IFERROR(__xludf.DUMMYFUNCTION("""COMPUTED_VALUE"""),336.0)</f>
        <v>336</v>
      </c>
      <c r="J2018" s="4">
        <f>IFERROR(__xludf.DUMMYFUNCTION("""COMPUTED_VALUE"""),123.0)</f>
        <v>123</v>
      </c>
      <c r="K2018" s="4">
        <f>IFERROR(__xludf.DUMMYFUNCTION("""COMPUTED_VALUE"""),201.0)</f>
        <v>201</v>
      </c>
      <c r="L2018" s="4">
        <f>IFERROR(__xludf.DUMMYFUNCTION("""COMPUTED_VALUE"""),0.35)</f>
        <v>0.35</v>
      </c>
      <c r="M2018" s="4">
        <f>IFERROR(__xludf.DUMMYFUNCTION("""COMPUTED_VALUE"""),0.317)</f>
        <v>0.317</v>
      </c>
      <c r="N2018" s="4">
        <f>IFERROR(__xludf.DUMMYFUNCTION("""COMPUTED_VALUE"""),0.63)</f>
        <v>0.63</v>
      </c>
      <c r="O2018" s="4">
        <f>IFERROR(__xludf.DUMMYFUNCTION("""COMPUTED_VALUE"""),11.2)</f>
        <v>11.2</v>
      </c>
      <c r="P2018" s="4">
        <f>IFERROR(__xludf.DUMMYFUNCTION("""COMPUTED_VALUE"""),2.9)</f>
        <v>2.9</v>
      </c>
      <c r="Q2018" s="4">
        <f>IFERROR(__xludf.DUMMYFUNCTION("""COMPUTED_VALUE"""),1.1)</f>
        <v>1.1</v>
      </c>
      <c r="R2018" s="4">
        <f>IFERROR(__xludf.DUMMYFUNCTION("""COMPUTED_VALUE"""),1.7)</f>
        <v>1.7</v>
      </c>
      <c r="S2018" s="4">
        <f>IFERROR(__xludf.DUMMYFUNCTION("""COMPUTED_VALUE"""),0.2)</f>
        <v>0.2</v>
      </c>
      <c r="T2018" s="4">
        <f>IFERROR(__xludf.DUMMYFUNCTION("""COMPUTED_VALUE"""),0.006)</f>
        <v>0.006</v>
      </c>
      <c r="U2018" s="4">
        <f>IFERROR(__xludf.DUMMYFUNCTION("""COMPUTED_VALUE"""),-3.2)</f>
        <v>-3.2</v>
      </c>
      <c r="V2018" s="4">
        <f>IFERROR(__xludf.DUMMYFUNCTION("""COMPUTED_VALUE"""),-0.4)</f>
        <v>-0.4</v>
      </c>
    </row>
    <row r="2019">
      <c r="A2019" s="4">
        <f>IFERROR(__xludf.DUMMYFUNCTION("""COMPUTED_VALUE"""),50.0)</f>
        <v>50</v>
      </c>
      <c r="B2019" s="4">
        <f>IFERROR(__xludf.DUMMYFUNCTION("""COMPUTED_VALUE"""),50.0)</f>
        <v>50</v>
      </c>
      <c r="C2019" s="4" t="str">
        <f>IFERROR(__xludf.DUMMYFUNCTION("""COMPUTED_VALUE"""),"GSW")</f>
        <v>GSW</v>
      </c>
      <c r="D2019" s="4" t="str">
        <f>IFERROR(__xludf.DUMMYFUNCTION("""COMPUTED_VALUE"""),"Martin Lewis")</f>
        <v>Martin Lewis</v>
      </c>
      <c r="E2019" s="4" t="str">
        <f>IFERROR(__xludf.DUMMYFUNCTION("""COMPUTED_VALUE"""),"Seward County Community College")</f>
        <v>Seward County Community College</v>
      </c>
      <c r="F2019" s="4">
        <f>IFERROR(__xludf.DUMMYFUNCTION("""COMPUTED_VALUE"""),2.0)</f>
        <v>2</v>
      </c>
      <c r="G2019" s="4">
        <f>IFERROR(__xludf.DUMMYFUNCTION("""COMPUTED_VALUE"""),25.0)</f>
        <v>25</v>
      </c>
      <c r="H2019" s="4">
        <f>IFERROR(__xludf.DUMMYFUNCTION("""COMPUTED_VALUE"""),239.0)</f>
        <v>239</v>
      </c>
      <c r="I2019" s="4">
        <f>IFERROR(__xludf.DUMMYFUNCTION("""COMPUTED_VALUE"""),89.0)</f>
        <v>89</v>
      </c>
      <c r="J2019" s="4">
        <f>IFERROR(__xludf.DUMMYFUNCTION("""COMPUTED_VALUE"""),35.0)</f>
        <v>35</v>
      </c>
      <c r="K2019" s="4">
        <f>IFERROR(__xludf.DUMMYFUNCTION("""COMPUTED_VALUE"""),7.0)</f>
        <v>7</v>
      </c>
      <c r="L2019" s="4">
        <f>IFERROR(__xludf.DUMMYFUNCTION("""COMPUTED_VALUE"""),0.473)</f>
        <v>0.473</v>
      </c>
      <c r="M2019" s="4">
        <f>IFERROR(__xludf.DUMMYFUNCTION("""COMPUTED_VALUE"""),0.3)</f>
        <v>0.3</v>
      </c>
      <c r="N2019" s="4">
        <f>IFERROR(__xludf.DUMMYFUNCTION("""COMPUTED_VALUE"""),0.593)</f>
        <v>0.593</v>
      </c>
      <c r="O2019" s="4">
        <f>IFERROR(__xludf.DUMMYFUNCTION("""COMPUTED_VALUE"""),9.6)</f>
        <v>9.6</v>
      </c>
      <c r="P2019" s="4">
        <f>IFERROR(__xludf.DUMMYFUNCTION("""COMPUTED_VALUE"""),3.6)</f>
        <v>3.6</v>
      </c>
      <c r="Q2019" s="4">
        <f>IFERROR(__xludf.DUMMYFUNCTION("""COMPUTED_VALUE"""),1.4)</f>
        <v>1.4</v>
      </c>
      <c r="R2019" s="4">
        <f>IFERROR(__xludf.DUMMYFUNCTION("""COMPUTED_VALUE"""),0.3)</f>
        <v>0.3</v>
      </c>
      <c r="S2019" s="4">
        <f>IFERROR(__xludf.DUMMYFUNCTION("""COMPUTED_VALUE"""),0.1)</f>
        <v>0.1</v>
      </c>
      <c r="T2019" s="4">
        <f>IFERROR(__xludf.DUMMYFUNCTION("""COMPUTED_VALUE"""),0.026)</f>
        <v>0.026</v>
      </c>
      <c r="U2019" s="4">
        <f>IFERROR(__xludf.DUMMYFUNCTION("""COMPUTED_VALUE"""),-5.0)</f>
        <v>-5</v>
      </c>
      <c r="V2019" s="4">
        <f>IFERROR(__xludf.DUMMYFUNCTION("""COMPUTED_VALUE"""),-0.2)</f>
        <v>-0.2</v>
      </c>
    </row>
    <row r="2020">
      <c r="A2020" s="4">
        <f>IFERROR(__xludf.DUMMYFUNCTION("""COMPUTED_VALUE"""),51.0)</f>
        <v>51</v>
      </c>
      <c r="B2020" s="4">
        <f>IFERROR(__xludf.DUMMYFUNCTION("""COMPUTED_VALUE"""),51.0)</f>
        <v>51</v>
      </c>
      <c r="C2020" s="4" t="str">
        <f>IFERROR(__xludf.DUMMYFUNCTION("""COMPUTED_VALUE"""),"SAC")</f>
        <v>SAC</v>
      </c>
      <c r="D2020" s="4" t="str">
        <f>IFERROR(__xludf.DUMMYFUNCTION("""COMPUTED_VALUE"""),"Dejan Bodiroga")</f>
        <v>Dejan Bodiroga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</row>
    <row r="2021">
      <c r="A2021" s="4">
        <f>IFERROR(__xludf.DUMMYFUNCTION("""COMPUTED_VALUE"""),52.0)</f>
        <v>52</v>
      </c>
      <c r="B2021" s="4">
        <f>IFERROR(__xludf.DUMMYFUNCTION("""COMPUTED_VALUE"""),52.0)</f>
        <v>52</v>
      </c>
      <c r="C2021" s="4" t="str">
        <f>IFERROR(__xludf.DUMMYFUNCTION("""COMPUTED_VALUE"""),"IND")</f>
        <v>IND</v>
      </c>
      <c r="D2021" s="4" t="str">
        <f>IFERROR(__xludf.DUMMYFUNCTION("""COMPUTED_VALUE"""),"Fred Hoiberg")</f>
        <v>Fred Hoiberg</v>
      </c>
      <c r="E2021" s="4" t="str">
        <f>IFERROR(__xludf.DUMMYFUNCTION("""COMPUTED_VALUE"""),"Iowa State")</f>
        <v>Iowa State</v>
      </c>
      <c r="F2021" s="4">
        <f>IFERROR(__xludf.DUMMYFUNCTION("""COMPUTED_VALUE"""),10.0)</f>
        <v>10</v>
      </c>
      <c r="G2021" s="4">
        <f>IFERROR(__xludf.DUMMYFUNCTION("""COMPUTED_VALUE"""),541.0)</f>
        <v>541</v>
      </c>
      <c r="H2021" s="4">
        <f>IFERROR(__xludf.DUMMYFUNCTION("""COMPUTED_VALUE"""),9978.0)</f>
        <v>9978</v>
      </c>
      <c r="I2021" s="4">
        <f>IFERROR(__xludf.DUMMYFUNCTION("""COMPUTED_VALUE"""),2944.0)</f>
        <v>2944</v>
      </c>
      <c r="J2021" s="4">
        <f>IFERROR(__xludf.DUMMYFUNCTION("""COMPUTED_VALUE"""),1438.0)</f>
        <v>1438</v>
      </c>
      <c r="K2021" s="4">
        <f>IFERROR(__xludf.DUMMYFUNCTION("""COMPUTED_VALUE"""),846.0)</f>
        <v>846</v>
      </c>
      <c r="L2021" s="4">
        <f>IFERROR(__xludf.DUMMYFUNCTION("""COMPUTED_VALUE"""),0.431)</f>
        <v>0.431</v>
      </c>
      <c r="M2021" s="4">
        <f>IFERROR(__xludf.DUMMYFUNCTION("""COMPUTED_VALUE"""),0.396)</f>
        <v>0.396</v>
      </c>
      <c r="N2021" s="4">
        <f>IFERROR(__xludf.DUMMYFUNCTION("""COMPUTED_VALUE"""),0.854)</f>
        <v>0.854</v>
      </c>
      <c r="O2021" s="4">
        <f>IFERROR(__xludf.DUMMYFUNCTION("""COMPUTED_VALUE"""),18.4)</f>
        <v>18.4</v>
      </c>
      <c r="P2021" s="4">
        <f>IFERROR(__xludf.DUMMYFUNCTION("""COMPUTED_VALUE"""),5.4)</f>
        <v>5.4</v>
      </c>
      <c r="Q2021" s="4">
        <f>IFERROR(__xludf.DUMMYFUNCTION("""COMPUTED_VALUE"""),2.7)</f>
        <v>2.7</v>
      </c>
      <c r="R2021" s="4">
        <f>IFERROR(__xludf.DUMMYFUNCTION("""COMPUTED_VALUE"""),1.6)</f>
        <v>1.6</v>
      </c>
      <c r="S2021" s="4">
        <f>IFERROR(__xludf.DUMMYFUNCTION("""COMPUTED_VALUE"""),27.6)</f>
        <v>27.6</v>
      </c>
      <c r="T2021" s="4">
        <f>IFERROR(__xludf.DUMMYFUNCTION("""COMPUTED_VALUE"""),0.133)</f>
        <v>0.133</v>
      </c>
      <c r="U2021" s="4">
        <f>IFERROR(__xludf.DUMMYFUNCTION("""COMPUTED_VALUE"""),1.2)</f>
        <v>1.2</v>
      </c>
      <c r="V2021" s="4">
        <f>IFERROR(__xludf.DUMMYFUNCTION("""COMPUTED_VALUE"""),8.0)</f>
        <v>8</v>
      </c>
    </row>
    <row r="2022">
      <c r="A2022" s="4">
        <f>IFERROR(__xludf.DUMMYFUNCTION("""COMPUTED_VALUE"""),53.0)</f>
        <v>53</v>
      </c>
      <c r="B2022" s="4">
        <f>IFERROR(__xludf.DUMMYFUNCTION("""COMPUTED_VALUE"""),53.0)</f>
        <v>53</v>
      </c>
      <c r="C2022" s="4" t="str">
        <f>IFERROR(__xludf.DUMMYFUNCTION("""COMPUTED_VALUE"""),"LAC")</f>
        <v>LAC</v>
      </c>
      <c r="D2022" s="4" t="str">
        <f>IFERROR(__xludf.DUMMYFUNCTION("""COMPUTED_VALUE"""),"Constantin Popa")</f>
        <v>Constantin Popa</v>
      </c>
      <c r="E2022" s="4" t="str">
        <f>IFERROR(__xludf.DUMMYFUNCTION("""COMPUTED_VALUE"""),"Miami (FL)")</f>
        <v>Miami (FL)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</row>
    <row r="2023">
      <c r="A2023" s="4">
        <f>IFERROR(__xludf.DUMMYFUNCTION("""COMPUTED_VALUE"""),54.0)</f>
        <v>54</v>
      </c>
      <c r="B2023" s="4">
        <f>IFERROR(__xludf.DUMMYFUNCTION("""COMPUTED_VALUE"""),54.0)</f>
        <v>54</v>
      </c>
      <c r="C2023" s="4" t="str">
        <f>IFERROR(__xludf.DUMMYFUNCTION("""COMPUTED_VALUE"""),"SEA")</f>
        <v>SEA</v>
      </c>
      <c r="D2023" s="4" t="str">
        <f>IFERROR(__xludf.DUMMYFUNCTION("""COMPUTED_VALUE"""),"Eurelijus Žukauskas")</f>
        <v>Eurelijus Žukauskas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</row>
    <row r="2024">
      <c r="A2024" s="4">
        <f>IFERROR(__xludf.DUMMYFUNCTION("""COMPUTED_VALUE"""),55.0)</f>
        <v>55</v>
      </c>
      <c r="B2024" s="4">
        <f>IFERROR(__xludf.DUMMYFUNCTION("""COMPUTED_VALUE"""),55.0)</f>
        <v>55</v>
      </c>
      <c r="C2024" s="4" t="str">
        <f>IFERROR(__xludf.DUMMYFUNCTION("""COMPUTED_VALUE"""),"GSW")</f>
        <v>GSW</v>
      </c>
      <c r="D2024" s="4" t="str">
        <f>IFERROR(__xludf.DUMMYFUNCTION("""COMPUTED_VALUE"""),"Michael McDonald")</f>
        <v>Michael McDonald</v>
      </c>
      <c r="E2024" s="4" t="str">
        <f>IFERROR(__xludf.DUMMYFUNCTION("""COMPUTED_VALUE"""),"New Orleans")</f>
        <v>New Orleans</v>
      </c>
      <c r="F2024" s="4">
        <f>IFERROR(__xludf.DUMMYFUNCTION("""COMPUTED_VALUE"""),1.0)</f>
        <v>1</v>
      </c>
      <c r="G2024" s="4">
        <f>IFERROR(__xludf.DUMMYFUNCTION("""COMPUTED_VALUE"""),1.0)</f>
        <v>1</v>
      </c>
      <c r="H2024" s="4">
        <f>IFERROR(__xludf.DUMMYFUNCTION("""COMPUTED_VALUE"""),4.0)</f>
        <v>4</v>
      </c>
      <c r="I2024" s="4">
        <f>IFERROR(__xludf.DUMMYFUNCTION("""COMPUTED_VALUE"""),0.0)</f>
        <v>0</v>
      </c>
      <c r="J2024" s="4">
        <f>IFERROR(__xludf.DUMMYFUNCTION("""COMPUTED_VALUE"""),1.0)</f>
        <v>1</v>
      </c>
      <c r="K2024" s="4">
        <f>IFERROR(__xludf.DUMMYFUNCTION("""COMPUTED_VALUE"""),0.0)</f>
        <v>0</v>
      </c>
      <c r="L2024" s="4"/>
      <c r="M2024" s="4"/>
      <c r="N2024" s="4"/>
      <c r="O2024" s="4">
        <f>IFERROR(__xludf.DUMMYFUNCTION("""COMPUTED_VALUE"""),4.0)</f>
        <v>4</v>
      </c>
      <c r="P2024" s="4">
        <f>IFERROR(__xludf.DUMMYFUNCTION("""COMPUTED_VALUE"""),0.0)</f>
        <v>0</v>
      </c>
      <c r="Q2024" s="4">
        <f>IFERROR(__xludf.DUMMYFUNCTION("""COMPUTED_VALUE"""),1.0)</f>
        <v>1</v>
      </c>
      <c r="R2024" s="4">
        <f>IFERROR(__xludf.DUMMYFUNCTION("""COMPUTED_VALUE"""),0.0)</f>
        <v>0</v>
      </c>
      <c r="S2024" s="4">
        <f>IFERROR(__xludf.DUMMYFUNCTION("""COMPUTED_VALUE"""),-0.1)</f>
        <v>-0.1</v>
      </c>
      <c r="T2024" s="4">
        <f>IFERROR(__xludf.DUMMYFUNCTION("""COMPUTED_VALUE"""),-0.638)</f>
        <v>-0.638</v>
      </c>
      <c r="U2024" s="4">
        <f>IFERROR(__xludf.DUMMYFUNCTION("""COMPUTED_VALUE"""),-32.4)</f>
        <v>-32.4</v>
      </c>
      <c r="V2024" s="4">
        <f>IFERROR(__xludf.DUMMYFUNCTION("""COMPUTED_VALUE"""),0.0)</f>
        <v>0</v>
      </c>
    </row>
    <row r="2025">
      <c r="A2025" s="4">
        <f>IFERROR(__xludf.DUMMYFUNCTION("""COMPUTED_VALUE"""),56.0)</f>
        <v>56</v>
      </c>
      <c r="B2025" s="4">
        <f>IFERROR(__xludf.DUMMYFUNCTION("""COMPUTED_VALUE"""),56.0)</f>
        <v>56</v>
      </c>
      <c r="C2025" s="4" t="str">
        <f>IFERROR(__xludf.DUMMYFUNCTION("""COMPUTED_VALUE"""),"PHO")</f>
        <v>PHO</v>
      </c>
      <c r="D2025" s="4" t="str">
        <f>IFERROR(__xludf.DUMMYFUNCTION("""COMPUTED_VALUE"""),"Chris Carr")</f>
        <v>Chris Carr</v>
      </c>
      <c r="E2025" s="4" t="str">
        <f>IFERROR(__xludf.DUMMYFUNCTION("""COMPUTED_VALUE"""),"Southern Illinois")</f>
        <v>Southern Illinois</v>
      </c>
      <c r="F2025" s="4">
        <f>IFERROR(__xludf.DUMMYFUNCTION("""COMPUTED_VALUE"""),6.0)</f>
        <v>6</v>
      </c>
      <c r="G2025" s="4">
        <f>IFERROR(__xludf.DUMMYFUNCTION("""COMPUTED_VALUE"""),297.0)</f>
        <v>297</v>
      </c>
      <c r="H2025" s="4">
        <f>IFERROR(__xludf.DUMMYFUNCTION("""COMPUTED_VALUE"""),4505.0)</f>
        <v>4505</v>
      </c>
      <c r="I2025" s="4">
        <f>IFERROR(__xludf.DUMMYFUNCTION("""COMPUTED_VALUE"""),1988.0)</f>
        <v>1988</v>
      </c>
      <c r="J2025" s="4">
        <f>IFERROR(__xludf.DUMMYFUNCTION("""COMPUTED_VALUE"""),658.0)</f>
        <v>658</v>
      </c>
      <c r="K2025" s="4">
        <f>IFERROR(__xludf.DUMMYFUNCTION("""COMPUTED_VALUE"""),294.0)</f>
        <v>294</v>
      </c>
      <c r="L2025" s="4">
        <f>IFERROR(__xludf.DUMMYFUNCTION("""COMPUTED_VALUE"""),0.416)</f>
        <v>0.416</v>
      </c>
      <c r="M2025" s="4">
        <f>IFERROR(__xludf.DUMMYFUNCTION("""COMPUTED_VALUE"""),0.338)</f>
        <v>0.338</v>
      </c>
      <c r="N2025" s="4">
        <f>IFERROR(__xludf.DUMMYFUNCTION("""COMPUTED_VALUE"""),0.807)</f>
        <v>0.807</v>
      </c>
      <c r="O2025" s="4">
        <f>IFERROR(__xludf.DUMMYFUNCTION("""COMPUTED_VALUE"""),15.2)</f>
        <v>15.2</v>
      </c>
      <c r="P2025" s="4">
        <f>IFERROR(__xludf.DUMMYFUNCTION("""COMPUTED_VALUE"""),6.7)</f>
        <v>6.7</v>
      </c>
      <c r="Q2025" s="4">
        <f>IFERROR(__xludf.DUMMYFUNCTION("""COMPUTED_VALUE"""),2.2)</f>
        <v>2.2</v>
      </c>
      <c r="R2025" s="4">
        <f>IFERROR(__xludf.DUMMYFUNCTION("""COMPUTED_VALUE"""),1.0)</f>
        <v>1</v>
      </c>
      <c r="S2025" s="4">
        <f>IFERROR(__xludf.DUMMYFUNCTION("""COMPUTED_VALUE"""),3.9)</f>
        <v>3.9</v>
      </c>
      <c r="T2025" s="4">
        <f>IFERROR(__xludf.DUMMYFUNCTION("""COMPUTED_VALUE"""),0.042)</f>
        <v>0.042</v>
      </c>
      <c r="U2025" s="4">
        <f>IFERROR(__xludf.DUMMYFUNCTION("""COMPUTED_VALUE"""),-3.0)</f>
        <v>-3</v>
      </c>
      <c r="V2025" s="4">
        <f>IFERROR(__xludf.DUMMYFUNCTION("""COMPUTED_VALUE"""),-1.1)</f>
        <v>-1.1</v>
      </c>
    </row>
    <row r="2026">
      <c r="A2026" s="4">
        <f>IFERROR(__xludf.DUMMYFUNCTION("""COMPUTED_VALUE"""),57.0)</f>
        <v>57</v>
      </c>
      <c r="B2026" s="4">
        <f>IFERROR(__xludf.DUMMYFUNCTION("""COMPUTED_VALUE"""),57.0)</f>
        <v>57</v>
      </c>
      <c r="C2026" s="4" t="str">
        <f>IFERROR(__xludf.DUMMYFUNCTION("""COMPUTED_VALUE"""),"ATL")</f>
        <v>ATL</v>
      </c>
      <c r="D2026" s="4" t="str">
        <f>IFERROR(__xludf.DUMMYFUNCTION("""COMPUTED_VALUE"""),"Cuonzo Martin")</f>
        <v>Cuonzo Martin</v>
      </c>
      <c r="E2026" s="4" t="str">
        <f>IFERROR(__xludf.DUMMYFUNCTION("""COMPUTED_VALUE"""),"Purdue")</f>
        <v>Purdue</v>
      </c>
      <c r="F2026" s="4">
        <f>IFERROR(__xludf.DUMMYFUNCTION("""COMPUTED_VALUE"""),2.0)</f>
        <v>2</v>
      </c>
      <c r="G2026" s="4">
        <f>IFERROR(__xludf.DUMMYFUNCTION("""COMPUTED_VALUE"""),7.0)</f>
        <v>7</v>
      </c>
      <c r="H2026" s="4">
        <f>IFERROR(__xludf.DUMMYFUNCTION("""COMPUTED_VALUE"""),32.0)</f>
        <v>32</v>
      </c>
      <c r="I2026" s="4">
        <f>IFERROR(__xludf.DUMMYFUNCTION("""COMPUTED_VALUE"""),9.0)</f>
        <v>9</v>
      </c>
      <c r="J2026" s="4">
        <f>IFERROR(__xludf.DUMMYFUNCTION("""COMPUTED_VALUE"""),3.0)</f>
        <v>3</v>
      </c>
      <c r="K2026" s="4">
        <f>IFERROR(__xludf.DUMMYFUNCTION("""COMPUTED_VALUE"""),3.0)</f>
        <v>3</v>
      </c>
      <c r="L2026" s="4">
        <f>IFERROR(__xludf.DUMMYFUNCTION("""COMPUTED_VALUE"""),0.25)</f>
        <v>0.25</v>
      </c>
      <c r="M2026" s="4">
        <f>IFERROR(__xludf.DUMMYFUNCTION("""COMPUTED_VALUE"""),0.6)</f>
        <v>0.6</v>
      </c>
      <c r="N2026" s="4">
        <f>IFERROR(__xludf.DUMMYFUNCTION("""COMPUTED_VALUE"""),0.0)</f>
        <v>0</v>
      </c>
      <c r="O2026" s="4">
        <f>IFERROR(__xludf.DUMMYFUNCTION("""COMPUTED_VALUE"""),4.6)</f>
        <v>4.6</v>
      </c>
      <c r="P2026" s="4">
        <f>IFERROR(__xludf.DUMMYFUNCTION("""COMPUTED_VALUE"""),1.3)</f>
        <v>1.3</v>
      </c>
      <c r="Q2026" s="4">
        <f>IFERROR(__xludf.DUMMYFUNCTION("""COMPUTED_VALUE"""),0.4)</f>
        <v>0.4</v>
      </c>
      <c r="R2026" s="4">
        <f>IFERROR(__xludf.DUMMYFUNCTION("""COMPUTED_VALUE"""),0.4)</f>
        <v>0.4</v>
      </c>
      <c r="S2026" s="4">
        <f>IFERROR(__xludf.DUMMYFUNCTION("""COMPUTED_VALUE"""),-0.1)</f>
        <v>-0.1</v>
      </c>
      <c r="T2026" s="4">
        <f>IFERROR(__xludf.DUMMYFUNCTION("""COMPUTED_VALUE"""),-0.151)</f>
        <v>-0.151</v>
      </c>
      <c r="U2026" s="4">
        <f>IFERROR(__xludf.DUMMYFUNCTION("""COMPUTED_VALUE"""),-6.3)</f>
        <v>-6.3</v>
      </c>
      <c r="V2026" s="4">
        <f>IFERROR(__xludf.DUMMYFUNCTION("""COMPUTED_VALUE"""),0.0)</f>
        <v>0</v>
      </c>
    </row>
    <row r="2027">
      <c r="A2027" s="4">
        <f>IFERROR(__xludf.DUMMYFUNCTION("""COMPUTED_VALUE"""),58.0)</f>
        <v>58</v>
      </c>
      <c r="B2027" s="4">
        <f>IFERROR(__xludf.DUMMYFUNCTION("""COMPUTED_VALUE"""),58.0)</f>
        <v>58</v>
      </c>
      <c r="C2027" s="4" t="str">
        <f>IFERROR(__xludf.DUMMYFUNCTION("""COMPUTED_VALUE"""),"DET")</f>
        <v>DET</v>
      </c>
      <c r="D2027" s="4" t="str">
        <f>IFERROR(__xludf.DUMMYFUNCTION("""COMPUTED_VALUE"""),"Don Reid")</f>
        <v>Don Reid</v>
      </c>
      <c r="E2027" s="4" t="str">
        <f>IFERROR(__xludf.DUMMYFUNCTION("""COMPUTED_VALUE"""),"Georgetown")</f>
        <v>Georgetown</v>
      </c>
      <c r="F2027" s="4">
        <f>IFERROR(__xludf.DUMMYFUNCTION("""COMPUTED_VALUE"""),8.0)</f>
        <v>8</v>
      </c>
      <c r="G2027" s="4">
        <f>IFERROR(__xludf.DUMMYFUNCTION("""COMPUTED_VALUE"""),403.0)</f>
        <v>403</v>
      </c>
      <c r="H2027" s="4">
        <f>IFERROR(__xludf.DUMMYFUNCTION("""COMPUTED_VALUE"""),5374.0)</f>
        <v>5374</v>
      </c>
      <c r="I2027" s="4">
        <f>IFERROR(__xludf.DUMMYFUNCTION("""COMPUTED_VALUE"""),1454.0)</f>
        <v>1454</v>
      </c>
      <c r="J2027" s="4">
        <f>IFERROR(__xludf.DUMMYFUNCTION("""COMPUTED_VALUE"""),1169.0)</f>
        <v>1169</v>
      </c>
      <c r="K2027" s="4">
        <f>IFERROR(__xludf.DUMMYFUNCTION("""COMPUTED_VALUE"""),143.0)</f>
        <v>143</v>
      </c>
      <c r="L2027" s="4">
        <f>IFERROR(__xludf.DUMMYFUNCTION("""COMPUTED_VALUE"""),0.53)</f>
        <v>0.53</v>
      </c>
      <c r="M2027" s="4">
        <f>IFERROR(__xludf.DUMMYFUNCTION("""COMPUTED_VALUE"""),0.0)</f>
        <v>0</v>
      </c>
      <c r="N2027" s="4">
        <f>IFERROR(__xludf.DUMMYFUNCTION("""COMPUTED_VALUE"""),0.658)</f>
        <v>0.658</v>
      </c>
      <c r="O2027" s="4">
        <f>IFERROR(__xludf.DUMMYFUNCTION("""COMPUTED_VALUE"""),13.3)</f>
        <v>13.3</v>
      </c>
      <c r="P2027" s="4">
        <f>IFERROR(__xludf.DUMMYFUNCTION("""COMPUTED_VALUE"""),3.6)</f>
        <v>3.6</v>
      </c>
      <c r="Q2027" s="4">
        <f>IFERROR(__xludf.DUMMYFUNCTION("""COMPUTED_VALUE"""),2.9)</f>
        <v>2.9</v>
      </c>
      <c r="R2027" s="4">
        <f>IFERROR(__xludf.DUMMYFUNCTION("""COMPUTED_VALUE"""),0.4)</f>
        <v>0.4</v>
      </c>
      <c r="S2027" s="4">
        <f>IFERROR(__xludf.DUMMYFUNCTION("""COMPUTED_VALUE"""),13.7)</f>
        <v>13.7</v>
      </c>
      <c r="T2027" s="4">
        <f>IFERROR(__xludf.DUMMYFUNCTION("""COMPUTED_VALUE"""),0.123)</f>
        <v>0.123</v>
      </c>
      <c r="U2027" s="4">
        <f>IFERROR(__xludf.DUMMYFUNCTION("""COMPUTED_VALUE"""),-2.1)</f>
        <v>-2.1</v>
      </c>
      <c r="V2027" s="4">
        <f>IFERROR(__xludf.DUMMYFUNCTION("""COMPUTED_VALUE"""),-0.2)</f>
        <v>-0.2</v>
      </c>
    </row>
    <row r="2029">
      <c r="A2029" s="2">
        <v>1994.0</v>
      </c>
    </row>
    <row r="2030">
      <c r="A2030" s="4" t="str">
        <f>IFERROR(__xludf.DUMMYFUNCTION("IMPORTHTML(""https://www.basketball-reference.com/draft/NBA_1994.html"", ""table"", 1)"),"")</f>
        <v/>
      </c>
      <c r="B2030" s="4"/>
      <c r="C2030" s="4"/>
      <c r="D2030" s="4" t="str">
        <f>IFERROR(__xludf.DUMMYFUNCTION("""COMPUTED_VALUE"""),"Round 1")</f>
        <v>Round 1</v>
      </c>
      <c r="E2030" s="4"/>
      <c r="F2030" s="4"/>
      <c r="G2030" s="4" t="str">
        <f>IFERROR(__xludf.DUMMYFUNCTION("""COMPUTED_VALUE"""),"Totals")</f>
        <v>Totals</v>
      </c>
      <c r="H2030" s="4"/>
      <c r="I2030" s="4"/>
      <c r="J2030" s="4"/>
      <c r="K2030" s="4"/>
      <c r="L2030" s="4" t="str">
        <f>IFERROR(__xludf.DUMMYFUNCTION("""COMPUTED_VALUE"""),"Shooting")</f>
        <v>Shooting</v>
      </c>
      <c r="M2030" s="4"/>
      <c r="N2030" s="4"/>
      <c r="O2030" s="4" t="str">
        <f>IFERROR(__xludf.DUMMYFUNCTION("""COMPUTED_VALUE"""),"Per Game")</f>
        <v>Per Game</v>
      </c>
      <c r="P2030" s="4"/>
      <c r="Q2030" s="4"/>
      <c r="R2030" s="4"/>
      <c r="S2030" s="4" t="str">
        <f>IFERROR(__xludf.DUMMYFUNCTION("""COMPUTED_VALUE"""),"Advanced")</f>
        <v>Advanced</v>
      </c>
      <c r="T2030" s="4"/>
      <c r="U2030" s="4"/>
      <c r="V2030" s="4"/>
    </row>
    <row r="2031">
      <c r="A2031" s="4" t="str">
        <f>IFERROR(__xludf.DUMMYFUNCTION("""COMPUTED_VALUE"""),"Rk")</f>
        <v>Rk</v>
      </c>
      <c r="B2031" s="4" t="str">
        <f>IFERROR(__xludf.DUMMYFUNCTION("""COMPUTED_VALUE"""),"Pk")</f>
        <v>Pk</v>
      </c>
      <c r="C2031" s="4" t="str">
        <f>IFERROR(__xludf.DUMMYFUNCTION("""COMPUTED_VALUE"""),"Tm")</f>
        <v>Tm</v>
      </c>
      <c r="D2031" s="4" t="str">
        <f>IFERROR(__xludf.DUMMYFUNCTION("""COMPUTED_VALUE"""),"Player")</f>
        <v>Player</v>
      </c>
      <c r="E2031" s="4" t="str">
        <f>IFERROR(__xludf.DUMMYFUNCTION("""COMPUTED_VALUE"""),"College")</f>
        <v>College</v>
      </c>
      <c r="F2031" s="4" t="str">
        <f>IFERROR(__xludf.DUMMYFUNCTION("""COMPUTED_VALUE"""),"Yrs")</f>
        <v>Yrs</v>
      </c>
      <c r="G2031" s="4" t="str">
        <f>IFERROR(__xludf.DUMMYFUNCTION("""COMPUTED_VALUE"""),"G")</f>
        <v>G</v>
      </c>
      <c r="H2031" s="4" t="str">
        <f>IFERROR(__xludf.DUMMYFUNCTION("""COMPUTED_VALUE"""),"MP")</f>
        <v>MP</v>
      </c>
      <c r="I2031" s="4" t="str">
        <f>IFERROR(__xludf.DUMMYFUNCTION("""COMPUTED_VALUE"""),"PTS")</f>
        <v>PTS</v>
      </c>
      <c r="J2031" s="4" t="str">
        <f>IFERROR(__xludf.DUMMYFUNCTION("""COMPUTED_VALUE"""),"TRB")</f>
        <v>TRB</v>
      </c>
      <c r="K2031" s="4" t="str">
        <f>IFERROR(__xludf.DUMMYFUNCTION("""COMPUTED_VALUE"""),"AST")</f>
        <v>AST</v>
      </c>
      <c r="L2031" s="4" t="str">
        <f>IFERROR(__xludf.DUMMYFUNCTION("""COMPUTED_VALUE"""),"FG%")</f>
        <v>FG%</v>
      </c>
      <c r="M2031" s="4" t="str">
        <f>IFERROR(__xludf.DUMMYFUNCTION("""COMPUTED_VALUE"""),"3P%")</f>
        <v>3P%</v>
      </c>
      <c r="N2031" s="4" t="str">
        <f>IFERROR(__xludf.DUMMYFUNCTION("""COMPUTED_VALUE"""),"FT%")</f>
        <v>FT%</v>
      </c>
      <c r="O2031" s="4" t="str">
        <f>IFERROR(__xludf.DUMMYFUNCTION("""COMPUTED_VALUE"""),"MP")</f>
        <v>MP</v>
      </c>
      <c r="P2031" s="4" t="str">
        <f>IFERROR(__xludf.DUMMYFUNCTION("""COMPUTED_VALUE"""),"PTS")</f>
        <v>PTS</v>
      </c>
      <c r="Q2031" s="4" t="str">
        <f>IFERROR(__xludf.DUMMYFUNCTION("""COMPUTED_VALUE"""),"TRB")</f>
        <v>TRB</v>
      </c>
      <c r="R2031" s="4" t="str">
        <f>IFERROR(__xludf.DUMMYFUNCTION("""COMPUTED_VALUE"""),"AST")</f>
        <v>AST</v>
      </c>
      <c r="S2031" s="4" t="str">
        <f>IFERROR(__xludf.DUMMYFUNCTION("""COMPUTED_VALUE"""),"WS")</f>
        <v>WS</v>
      </c>
      <c r="T2031" s="4" t="str">
        <f>IFERROR(__xludf.DUMMYFUNCTION("""COMPUTED_VALUE"""),"WS/48")</f>
        <v>WS/48</v>
      </c>
      <c r="U2031" s="4" t="str">
        <f>IFERROR(__xludf.DUMMYFUNCTION("""COMPUTED_VALUE"""),"BPM")</f>
        <v>BPM</v>
      </c>
      <c r="V2031" s="4" t="str">
        <f>IFERROR(__xludf.DUMMYFUNCTION("""COMPUTED_VALUE"""),"VORP")</f>
        <v>VORP</v>
      </c>
    </row>
    <row r="2032">
      <c r="A2032" s="4">
        <f>IFERROR(__xludf.DUMMYFUNCTION("""COMPUTED_VALUE"""),1.0)</f>
        <v>1</v>
      </c>
      <c r="B2032" s="4">
        <f>IFERROR(__xludf.DUMMYFUNCTION("""COMPUTED_VALUE"""),1.0)</f>
        <v>1</v>
      </c>
      <c r="C2032" s="4" t="str">
        <f>IFERROR(__xludf.DUMMYFUNCTION("""COMPUTED_VALUE"""),"MIL")</f>
        <v>MIL</v>
      </c>
      <c r="D2032" s="4" t="str">
        <f>IFERROR(__xludf.DUMMYFUNCTION("""COMPUTED_VALUE"""),"Glenn Robinson")</f>
        <v>Glenn Robinson</v>
      </c>
      <c r="E2032" s="4" t="str">
        <f>IFERROR(__xludf.DUMMYFUNCTION("""COMPUTED_VALUE"""),"Purdue")</f>
        <v>Purdue</v>
      </c>
      <c r="F2032" s="4">
        <f>IFERROR(__xludf.DUMMYFUNCTION("""COMPUTED_VALUE"""),11.0)</f>
        <v>11</v>
      </c>
      <c r="G2032" s="4">
        <f>IFERROR(__xludf.DUMMYFUNCTION("""COMPUTED_VALUE"""),688.0)</f>
        <v>688</v>
      </c>
      <c r="H2032" s="4">
        <f>IFERROR(__xludf.DUMMYFUNCTION("""COMPUTED_VALUE"""),25346.0)</f>
        <v>25346</v>
      </c>
      <c r="I2032" s="4">
        <f>IFERROR(__xludf.DUMMYFUNCTION("""COMPUTED_VALUE"""),14234.0)</f>
        <v>14234</v>
      </c>
      <c r="J2032" s="4">
        <f>IFERROR(__xludf.DUMMYFUNCTION("""COMPUTED_VALUE"""),4189.0)</f>
        <v>4189</v>
      </c>
      <c r="K2032" s="4">
        <f>IFERROR(__xludf.DUMMYFUNCTION("""COMPUTED_VALUE"""),1879.0)</f>
        <v>1879</v>
      </c>
      <c r="L2032" s="4">
        <f>IFERROR(__xludf.DUMMYFUNCTION("""COMPUTED_VALUE"""),0.459)</f>
        <v>0.459</v>
      </c>
      <c r="M2032" s="4">
        <f>IFERROR(__xludf.DUMMYFUNCTION("""COMPUTED_VALUE"""),0.34)</f>
        <v>0.34</v>
      </c>
      <c r="N2032" s="4">
        <f>IFERROR(__xludf.DUMMYFUNCTION("""COMPUTED_VALUE"""),0.82)</f>
        <v>0.82</v>
      </c>
      <c r="O2032" s="4">
        <f>IFERROR(__xludf.DUMMYFUNCTION("""COMPUTED_VALUE"""),36.8)</f>
        <v>36.8</v>
      </c>
      <c r="P2032" s="4">
        <f>IFERROR(__xludf.DUMMYFUNCTION("""COMPUTED_VALUE"""),20.7)</f>
        <v>20.7</v>
      </c>
      <c r="Q2032" s="4">
        <f>IFERROR(__xludf.DUMMYFUNCTION("""COMPUTED_VALUE"""),6.1)</f>
        <v>6.1</v>
      </c>
      <c r="R2032" s="4">
        <f>IFERROR(__xludf.DUMMYFUNCTION("""COMPUTED_VALUE"""),2.7)</f>
        <v>2.7</v>
      </c>
      <c r="S2032" s="4">
        <f>IFERROR(__xludf.DUMMYFUNCTION("""COMPUTED_VALUE"""),39.8)</f>
        <v>39.8</v>
      </c>
      <c r="T2032" s="4">
        <f>IFERROR(__xludf.DUMMYFUNCTION("""COMPUTED_VALUE"""),0.075)</f>
        <v>0.075</v>
      </c>
      <c r="U2032" s="4">
        <f>IFERROR(__xludf.DUMMYFUNCTION("""COMPUTED_VALUE"""),0.1)</f>
        <v>0.1</v>
      </c>
      <c r="V2032" s="4">
        <f>IFERROR(__xludf.DUMMYFUNCTION("""COMPUTED_VALUE"""),13.5)</f>
        <v>13.5</v>
      </c>
    </row>
    <row r="2033">
      <c r="A2033" s="4">
        <f>IFERROR(__xludf.DUMMYFUNCTION("""COMPUTED_VALUE"""),2.0)</f>
        <v>2</v>
      </c>
      <c r="B2033" s="4">
        <f>IFERROR(__xludf.DUMMYFUNCTION("""COMPUTED_VALUE"""),2.0)</f>
        <v>2</v>
      </c>
      <c r="C2033" s="4" t="str">
        <f>IFERROR(__xludf.DUMMYFUNCTION("""COMPUTED_VALUE"""),"DAL")</f>
        <v>DAL</v>
      </c>
      <c r="D2033" s="4" t="str">
        <f>IFERROR(__xludf.DUMMYFUNCTION("""COMPUTED_VALUE"""),"Jason Kidd")</f>
        <v>Jason Kidd</v>
      </c>
      <c r="E2033" s="4" t="str">
        <f>IFERROR(__xludf.DUMMYFUNCTION("""COMPUTED_VALUE"""),"California")</f>
        <v>California</v>
      </c>
      <c r="F2033" s="4">
        <f>IFERROR(__xludf.DUMMYFUNCTION("""COMPUTED_VALUE"""),19.0)</f>
        <v>19</v>
      </c>
      <c r="G2033" s="4">
        <f>IFERROR(__xludf.DUMMYFUNCTION("""COMPUTED_VALUE"""),1391.0)</f>
        <v>1391</v>
      </c>
      <c r="H2033" s="4">
        <f>IFERROR(__xludf.DUMMYFUNCTION("""COMPUTED_VALUE"""),50111.0)</f>
        <v>50111</v>
      </c>
      <c r="I2033" s="4">
        <f>IFERROR(__xludf.DUMMYFUNCTION("""COMPUTED_VALUE"""),17529.0)</f>
        <v>17529</v>
      </c>
      <c r="J2033" s="4">
        <f>IFERROR(__xludf.DUMMYFUNCTION("""COMPUTED_VALUE"""),8725.0)</f>
        <v>8725</v>
      </c>
      <c r="K2033" s="4">
        <f>IFERROR(__xludf.DUMMYFUNCTION("""COMPUTED_VALUE"""),12091.0)</f>
        <v>12091</v>
      </c>
      <c r="L2033" s="4">
        <f>IFERROR(__xludf.DUMMYFUNCTION("""COMPUTED_VALUE"""),0.4)</f>
        <v>0.4</v>
      </c>
      <c r="M2033" s="4">
        <f>IFERROR(__xludf.DUMMYFUNCTION("""COMPUTED_VALUE"""),0.349)</f>
        <v>0.349</v>
      </c>
      <c r="N2033" s="4">
        <f>IFERROR(__xludf.DUMMYFUNCTION("""COMPUTED_VALUE"""),0.785)</f>
        <v>0.785</v>
      </c>
      <c r="O2033" s="4">
        <f>IFERROR(__xludf.DUMMYFUNCTION("""COMPUTED_VALUE"""),36.0)</f>
        <v>36</v>
      </c>
      <c r="P2033" s="4">
        <f>IFERROR(__xludf.DUMMYFUNCTION("""COMPUTED_VALUE"""),12.6)</f>
        <v>12.6</v>
      </c>
      <c r="Q2033" s="4">
        <f>IFERROR(__xludf.DUMMYFUNCTION("""COMPUTED_VALUE"""),6.3)</f>
        <v>6.3</v>
      </c>
      <c r="R2033" s="4">
        <f>IFERROR(__xludf.DUMMYFUNCTION("""COMPUTED_VALUE"""),8.7)</f>
        <v>8.7</v>
      </c>
      <c r="S2033" s="4">
        <f>IFERROR(__xludf.DUMMYFUNCTION("""COMPUTED_VALUE"""),138.6)</f>
        <v>138.6</v>
      </c>
      <c r="T2033" s="4">
        <f>IFERROR(__xludf.DUMMYFUNCTION("""COMPUTED_VALUE"""),0.133)</f>
        <v>0.133</v>
      </c>
      <c r="U2033" s="4">
        <f>IFERROR(__xludf.DUMMYFUNCTION("""COMPUTED_VALUE"""),3.8)</f>
        <v>3.8</v>
      </c>
      <c r="V2033" s="4">
        <f>IFERROR(__xludf.DUMMYFUNCTION("""COMPUTED_VALUE"""),73.5)</f>
        <v>73.5</v>
      </c>
    </row>
    <row r="2034">
      <c r="A2034" s="4">
        <f>IFERROR(__xludf.DUMMYFUNCTION("""COMPUTED_VALUE"""),3.0)</f>
        <v>3</v>
      </c>
      <c r="B2034" s="4">
        <f>IFERROR(__xludf.DUMMYFUNCTION("""COMPUTED_VALUE"""),3.0)</f>
        <v>3</v>
      </c>
      <c r="C2034" s="4" t="str">
        <f>IFERROR(__xludf.DUMMYFUNCTION("""COMPUTED_VALUE"""),"DET")</f>
        <v>DET</v>
      </c>
      <c r="D2034" s="4" t="str">
        <f>IFERROR(__xludf.DUMMYFUNCTION("""COMPUTED_VALUE"""),"Grant Hill")</f>
        <v>Grant Hill</v>
      </c>
      <c r="E2034" s="4" t="str">
        <f>IFERROR(__xludf.DUMMYFUNCTION("""COMPUTED_VALUE"""),"Duke")</f>
        <v>Duke</v>
      </c>
      <c r="F2034" s="4">
        <f>IFERROR(__xludf.DUMMYFUNCTION("""COMPUTED_VALUE"""),18.0)</f>
        <v>18</v>
      </c>
      <c r="G2034" s="4">
        <f>IFERROR(__xludf.DUMMYFUNCTION("""COMPUTED_VALUE"""),1026.0)</f>
        <v>1026</v>
      </c>
      <c r="H2034" s="4">
        <f>IFERROR(__xludf.DUMMYFUNCTION("""COMPUTED_VALUE"""),34776.0)</f>
        <v>34776</v>
      </c>
      <c r="I2034" s="4">
        <f>IFERROR(__xludf.DUMMYFUNCTION("""COMPUTED_VALUE"""),17137.0)</f>
        <v>17137</v>
      </c>
      <c r="J2034" s="4">
        <f>IFERROR(__xludf.DUMMYFUNCTION("""COMPUTED_VALUE"""),6169.0)</f>
        <v>6169</v>
      </c>
      <c r="K2034" s="4">
        <f>IFERROR(__xludf.DUMMYFUNCTION("""COMPUTED_VALUE"""),4252.0)</f>
        <v>4252</v>
      </c>
      <c r="L2034" s="4">
        <f>IFERROR(__xludf.DUMMYFUNCTION("""COMPUTED_VALUE"""),0.483)</f>
        <v>0.483</v>
      </c>
      <c r="M2034" s="4">
        <f>IFERROR(__xludf.DUMMYFUNCTION("""COMPUTED_VALUE"""),0.314)</f>
        <v>0.314</v>
      </c>
      <c r="N2034" s="4">
        <f>IFERROR(__xludf.DUMMYFUNCTION("""COMPUTED_VALUE"""),0.769)</f>
        <v>0.769</v>
      </c>
      <c r="O2034" s="4">
        <f>IFERROR(__xludf.DUMMYFUNCTION("""COMPUTED_VALUE"""),33.9)</f>
        <v>33.9</v>
      </c>
      <c r="P2034" s="4">
        <f>IFERROR(__xludf.DUMMYFUNCTION("""COMPUTED_VALUE"""),16.7)</f>
        <v>16.7</v>
      </c>
      <c r="Q2034" s="4">
        <f>IFERROR(__xludf.DUMMYFUNCTION("""COMPUTED_VALUE"""),6.0)</f>
        <v>6</v>
      </c>
      <c r="R2034" s="4">
        <f>IFERROR(__xludf.DUMMYFUNCTION("""COMPUTED_VALUE"""),4.1)</f>
        <v>4.1</v>
      </c>
      <c r="S2034" s="4">
        <f>IFERROR(__xludf.DUMMYFUNCTION("""COMPUTED_VALUE"""),99.9)</f>
        <v>99.9</v>
      </c>
      <c r="T2034" s="4">
        <f>IFERROR(__xludf.DUMMYFUNCTION("""COMPUTED_VALUE"""),0.138)</f>
        <v>0.138</v>
      </c>
      <c r="U2034" s="4">
        <f>IFERROR(__xludf.DUMMYFUNCTION("""COMPUTED_VALUE"""),3.0)</f>
        <v>3</v>
      </c>
      <c r="V2034" s="4">
        <f>IFERROR(__xludf.DUMMYFUNCTION("""COMPUTED_VALUE"""),43.6)</f>
        <v>43.6</v>
      </c>
    </row>
    <row r="2035">
      <c r="A2035" s="4">
        <f>IFERROR(__xludf.DUMMYFUNCTION("""COMPUTED_VALUE"""),4.0)</f>
        <v>4</v>
      </c>
      <c r="B2035" s="4">
        <f>IFERROR(__xludf.DUMMYFUNCTION("""COMPUTED_VALUE"""),4.0)</f>
        <v>4</v>
      </c>
      <c r="C2035" s="4" t="str">
        <f>IFERROR(__xludf.DUMMYFUNCTION("""COMPUTED_VALUE"""),"MIN")</f>
        <v>MIN</v>
      </c>
      <c r="D2035" s="4" t="str">
        <f>IFERROR(__xludf.DUMMYFUNCTION("""COMPUTED_VALUE"""),"Donyell Marshall")</f>
        <v>Donyell Marshall</v>
      </c>
      <c r="E2035" s="4" t="str">
        <f>IFERROR(__xludf.DUMMYFUNCTION("""COMPUTED_VALUE"""),"UConn")</f>
        <v>UConn</v>
      </c>
      <c r="F2035" s="4">
        <f>IFERROR(__xludf.DUMMYFUNCTION("""COMPUTED_VALUE"""),15.0)</f>
        <v>15</v>
      </c>
      <c r="G2035" s="4">
        <f>IFERROR(__xludf.DUMMYFUNCTION("""COMPUTED_VALUE"""),957.0)</f>
        <v>957</v>
      </c>
      <c r="H2035" s="4">
        <f>IFERROR(__xludf.DUMMYFUNCTION("""COMPUTED_VALUE"""),25027.0)</f>
        <v>25027</v>
      </c>
      <c r="I2035" s="4">
        <f>IFERROR(__xludf.DUMMYFUNCTION("""COMPUTED_VALUE"""),10716.0)</f>
        <v>10716</v>
      </c>
      <c r="J2035" s="4">
        <f>IFERROR(__xludf.DUMMYFUNCTION("""COMPUTED_VALUE"""),6376.0)</f>
        <v>6376</v>
      </c>
      <c r="K2035" s="4">
        <f>IFERROR(__xludf.DUMMYFUNCTION("""COMPUTED_VALUE"""),1305.0)</f>
        <v>1305</v>
      </c>
      <c r="L2035" s="4">
        <f>IFERROR(__xludf.DUMMYFUNCTION("""COMPUTED_VALUE"""),0.435)</f>
        <v>0.435</v>
      </c>
      <c r="M2035" s="4">
        <f>IFERROR(__xludf.DUMMYFUNCTION("""COMPUTED_VALUE"""),0.35)</f>
        <v>0.35</v>
      </c>
      <c r="N2035" s="4">
        <f>IFERROR(__xludf.DUMMYFUNCTION("""COMPUTED_VALUE"""),0.731)</f>
        <v>0.731</v>
      </c>
      <c r="O2035" s="4">
        <f>IFERROR(__xludf.DUMMYFUNCTION("""COMPUTED_VALUE"""),26.2)</f>
        <v>26.2</v>
      </c>
      <c r="P2035" s="4">
        <f>IFERROR(__xludf.DUMMYFUNCTION("""COMPUTED_VALUE"""),11.2)</f>
        <v>11.2</v>
      </c>
      <c r="Q2035" s="4">
        <f>IFERROR(__xludf.DUMMYFUNCTION("""COMPUTED_VALUE"""),6.7)</f>
        <v>6.7</v>
      </c>
      <c r="R2035" s="4">
        <f>IFERROR(__xludf.DUMMYFUNCTION("""COMPUTED_VALUE"""),1.4)</f>
        <v>1.4</v>
      </c>
      <c r="S2035" s="4">
        <f>IFERROR(__xludf.DUMMYFUNCTION("""COMPUTED_VALUE"""),59.0)</f>
        <v>59</v>
      </c>
      <c r="T2035" s="4">
        <f>IFERROR(__xludf.DUMMYFUNCTION("""COMPUTED_VALUE"""),0.113)</f>
        <v>0.113</v>
      </c>
      <c r="U2035" s="4">
        <f>IFERROR(__xludf.DUMMYFUNCTION("""COMPUTED_VALUE"""),1.1)</f>
        <v>1.1</v>
      </c>
      <c r="V2035" s="4">
        <f>IFERROR(__xludf.DUMMYFUNCTION("""COMPUTED_VALUE"""),19.9)</f>
        <v>19.9</v>
      </c>
    </row>
    <row r="2036">
      <c r="A2036" s="4">
        <f>IFERROR(__xludf.DUMMYFUNCTION("""COMPUTED_VALUE"""),5.0)</f>
        <v>5</v>
      </c>
      <c r="B2036" s="4">
        <f>IFERROR(__xludf.DUMMYFUNCTION("""COMPUTED_VALUE"""),5.0)</f>
        <v>5</v>
      </c>
      <c r="C2036" s="4" t="str">
        <f>IFERROR(__xludf.DUMMYFUNCTION("""COMPUTED_VALUE"""),"WSB")</f>
        <v>WSB</v>
      </c>
      <c r="D2036" s="4" t="str">
        <f>IFERROR(__xludf.DUMMYFUNCTION("""COMPUTED_VALUE"""),"Juwan Howard")</f>
        <v>Juwan Howard</v>
      </c>
      <c r="E2036" s="4" t="str">
        <f>IFERROR(__xludf.DUMMYFUNCTION("""COMPUTED_VALUE"""),"Michigan")</f>
        <v>Michigan</v>
      </c>
      <c r="F2036" s="4">
        <f>IFERROR(__xludf.DUMMYFUNCTION("""COMPUTED_VALUE"""),19.0)</f>
        <v>19</v>
      </c>
      <c r="G2036" s="4">
        <f>IFERROR(__xludf.DUMMYFUNCTION("""COMPUTED_VALUE"""),1208.0)</f>
        <v>1208</v>
      </c>
      <c r="H2036" s="4">
        <f>IFERROR(__xludf.DUMMYFUNCTION("""COMPUTED_VALUE"""),36654.0)</f>
        <v>36654</v>
      </c>
      <c r="I2036" s="4">
        <f>IFERROR(__xludf.DUMMYFUNCTION("""COMPUTED_VALUE"""),16159.0)</f>
        <v>16159</v>
      </c>
      <c r="J2036" s="4">
        <f>IFERROR(__xludf.DUMMYFUNCTION("""COMPUTED_VALUE"""),7428.0)</f>
        <v>7428</v>
      </c>
      <c r="K2036" s="4">
        <f>IFERROR(__xludf.DUMMYFUNCTION("""COMPUTED_VALUE"""),2663.0)</f>
        <v>2663</v>
      </c>
      <c r="L2036" s="4">
        <f>IFERROR(__xludf.DUMMYFUNCTION("""COMPUTED_VALUE"""),0.469)</f>
        <v>0.469</v>
      </c>
      <c r="M2036" s="4">
        <f>IFERROR(__xludf.DUMMYFUNCTION("""COMPUTED_VALUE"""),0.12)</f>
        <v>0.12</v>
      </c>
      <c r="N2036" s="4">
        <f>IFERROR(__xludf.DUMMYFUNCTION("""COMPUTED_VALUE"""),0.764)</f>
        <v>0.764</v>
      </c>
      <c r="O2036" s="4">
        <f>IFERROR(__xludf.DUMMYFUNCTION("""COMPUTED_VALUE"""),30.3)</f>
        <v>30.3</v>
      </c>
      <c r="P2036" s="4">
        <f>IFERROR(__xludf.DUMMYFUNCTION("""COMPUTED_VALUE"""),13.4)</f>
        <v>13.4</v>
      </c>
      <c r="Q2036" s="4">
        <f>IFERROR(__xludf.DUMMYFUNCTION("""COMPUTED_VALUE"""),6.1)</f>
        <v>6.1</v>
      </c>
      <c r="R2036" s="4">
        <f>IFERROR(__xludf.DUMMYFUNCTION("""COMPUTED_VALUE"""),2.2)</f>
        <v>2.2</v>
      </c>
      <c r="S2036" s="4">
        <f>IFERROR(__xludf.DUMMYFUNCTION("""COMPUTED_VALUE"""),59.4)</f>
        <v>59.4</v>
      </c>
      <c r="T2036" s="4">
        <f>IFERROR(__xludf.DUMMYFUNCTION("""COMPUTED_VALUE"""),0.078)</f>
        <v>0.078</v>
      </c>
      <c r="U2036" s="4">
        <f>IFERROR(__xludf.DUMMYFUNCTION("""COMPUTED_VALUE"""),-1.6)</f>
        <v>-1.6</v>
      </c>
      <c r="V2036" s="4">
        <f>IFERROR(__xludf.DUMMYFUNCTION("""COMPUTED_VALUE"""),3.8)</f>
        <v>3.8</v>
      </c>
    </row>
    <row r="2037">
      <c r="A2037" s="4">
        <f>IFERROR(__xludf.DUMMYFUNCTION("""COMPUTED_VALUE"""),6.0)</f>
        <v>6</v>
      </c>
      <c r="B2037" s="4">
        <f>IFERROR(__xludf.DUMMYFUNCTION("""COMPUTED_VALUE"""),6.0)</f>
        <v>6</v>
      </c>
      <c r="C2037" s="4" t="str">
        <f>IFERROR(__xludf.DUMMYFUNCTION("""COMPUTED_VALUE"""),"PHI")</f>
        <v>PHI</v>
      </c>
      <c r="D2037" s="4" t="str">
        <f>IFERROR(__xludf.DUMMYFUNCTION("""COMPUTED_VALUE"""),"Sharone Wright")</f>
        <v>Sharone Wright</v>
      </c>
      <c r="E2037" s="4" t="str">
        <f>IFERROR(__xludf.DUMMYFUNCTION("""COMPUTED_VALUE"""),"Clemson")</f>
        <v>Clemson</v>
      </c>
      <c r="F2037" s="4">
        <f>IFERROR(__xludf.DUMMYFUNCTION("""COMPUTED_VALUE"""),4.0)</f>
        <v>4</v>
      </c>
      <c r="G2037" s="4">
        <f>IFERROR(__xludf.DUMMYFUNCTION("""COMPUTED_VALUE"""),203.0)</f>
        <v>203</v>
      </c>
      <c r="H2037" s="4">
        <f>IFERROR(__xludf.DUMMYFUNCTION("""COMPUTED_VALUE"""),4531.0)</f>
        <v>4531</v>
      </c>
      <c r="I2037" s="4">
        <f>IFERROR(__xludf.DUMMYFUNCTION("""COMPUTED_VALUE"""),1974.0)</f>
        <v>1974</v>
      </c>
      <c r="J2037" s="4">
        <f>IFERROR(__xludf.DUMMYFUNCTION("""COMPUTED_VALUE"""),1023.0)</f>
        <v>1023</v>
      </c>
      <c r="K2037" s="4">
        <f>IFERROR(__xludf.DUMMYFUNCTION("""COMPUTED_VALUE"""),118.0)</f>
        <v>118</v>
      </c>
      <c r="L2037" s="4">
        <f>IFERROR(__xludf.DUMMYFUNCTION("""COMPUTED_VALUE"""),0.456)</f>
        <v>0.456</v>
      </c>
      <c r="M2037" s="4">
        <f>IFERROR(__xludf.DUMMYFUNCTION("""COMPUTED_VALUE"""),0.083)</f>
        <v>0.083</v>
      </c>
      <c r="N2037" s="4">
        <f>IFERROR(__xludf.DUMMYFUNCTION("""COMPUTED_VALUE"""),0.618)</f>
        <v>0.618</v>
      </c>
      <c r="O2037" s="4">
        <f>IFERROR(__xludf.DUMMYFUNCTION("""COMPUTED_VALUE"""),22.3)</f>
        <v>22.3</v>
      </c>
      <c r="P2037" s="4">
        <f>IFERROR(__xludf.DUMMYFUNCTION("""COMPUTED_VALUE"""),9.7)</f>
        <v>9.7</v>
      </c>
      <c r="Q2037" s="4">
        <f>IFERROR(__xludf.DUMMYFUNCTION("""COMPUTED_VALUE"""),5.0)</f>
        <v>5</v>
      </c>
      <c r="R2037" s="4">
        <f>IFERROR(__xludf.DUMMYFUNCTION("""COMPUTED_VALUE"""),0.6)</f>
        <v>0.6</v>
      </c>
      <c r="S2037" s="4">
        <f>IFERROR(__xludf.DUMMYFUNCTION("""COMPUTED_VALUE"""),1.4)</f>
        <v>1.4</v>
      </c>
      <c r="T2037" s="4">
        <f>IFERROR(__xludf.DUMMYFUNCTION("""COMPUTED_VALUE"""),0.015)</f>
        <v>0.015</v>
      </c>
      <c r="U2037" s="4">
        <f>IFERROR(__xludf.DUMMYFUNCTION("""COMPUTED_VALUE"""),-4.8)</f>
        <v>-4.8</v>
      </c>
      <c r="V2037" s="4">
        <f>IFERROR(__xludf.DUMMYFUNCTION("""COMPUTED_VALUE"""),-3.2)</f>
        <v>-3.2</v>
      </c>
    </row>
    <row r="2038">
      <c r="A2038" s="4">
        <f>IFERROR(__xludf.DUMMYFUNCTION("""COMPUTED_VALUE"""),7.0)</f>
        <v>7</v>
      </c>
      <c r="B2038" s="4">
        <f>IFERROR(__xludf.DUMMYFUNCTION("""COMPUTED_VALUE"""),7.0)</f>
        <v>7</v>
      </c>
      <c r="C2038" s="4" t="str">
        <f>IFERROR(__xludf.DUMMYFUNCTION("""COMPUTED_VALUE"""),"LAC")</f>
        <v>LAC</v>
      </c>
      <c r="D2038" s="4" t="str">
        <f>IFERROR(__xludf.DUMMYFUNCTION("""COMPUTED_VALUE"""),"Lamond Murray")</f>
        <v>Lamond Murray</v>
      </c>
      <c r="E2038" s="4" t="str">
        <f>IFERROR(__xludf.DUMMYFUNCTION("""COMPUTED_VALUE"""),"California")</f>
        <v>California</v>
      </c>
      <c r="F2038" s="4">
        <f>IFERROR(__xludf.DUMMYFUNCTION("""COMPUTED_VALUE"""),11.0)</f>
        <v>11</v>
      </c>
      <c r="G2038" s="4">
        <f>IFERROR(__xludf.DUMMYFUNCTION("""COMPUTED_VALUE"""),736.0)</f>
        <v>736</v>
      </c>
      <c r="H2038" s="4">
        <f>IFERROR(__xludf.DUMMYFUNCTION("""COMPUTED_VALUE"""),18477.0)</f>
        <v>18477</v>
      </c>
      <c r="I2038" s="4">
        <f>IFERROR(__xludf.DUMMYFUNCTION("""COMPUTED_VALUE"""),8286.0)</f>
        <v>8286</v>
      </c>
      <c r="J2038" s="4">
        <f>IFERROR(__xludf.DUMMYFUNCTION("""COMPUTED_VALUE"""),3033.0)</f>
        <v>3033</v>
      </c>
      <c r="K2038" s="4">
        <f>IFERROR(__xludf.DUMMYFUNCTION("""COMPUTED_VALUE"""),978.0)</f>
        <v>978</v>
      </c>
      <c r="L2038" s="4">
        <f>IFERROR(__xludf.DUMMYFUNCTION("""COMPUTED_VALUE"""),0.43)</f>
        <v>0.43</v>
      </c>
      <c r="M2038" s="4">
        <f>IFERROR(__xludf.DUMMYFUNCTION("""COMPUTED_VALUE"""),0.36)</f>
        <v>0.36</v>
      </c>
      <c r="N2038" s="4">
        <f>IFERROR(__xludf.DUMMYFUNCTION("""COMPUTED_VALUE"""),0.759)</f>
        <v>0.759</v>
      </c>
      <c r="O2038" s="4">
        <f>IFERROR(__xludf.DUMMYFUNCTION("""COMPUTED_VALUE"""),25.1)</f>
        <v>25.1</v>
      </c>
      <c r="P2038" s="4">
        <f>IFERROR(__xludf.DUMMYFUNCTION("""COMPUTED_VALUE"""),11.3)</f>
        <v>11.3</v>
      </c>
      <c r="Q2038" s="4">
        <f>IFERROR(__xludf.DUMMYFUNCTION("""COMPUTED_VALUE"""),4.1)</f>
        <v>4.1</v>
      </c>
      <c r="R2038" s="4">
        <f>IFERROR(__xludf.DUMMYFUNCTION("""COMPUTED_VALUE"""),1.3)</f>
        <v>1.3</v>
      </c>
      <c r="S2038" s="4">
        <f>IFERROR(__xludf.DUMMYFUNCTION("""COMPUTED_VALUE"""),19.8)</f>
        <v>19.8</v>
      </c>
      <c r="T2038" s="4">
        <f>IFERROR(__xludf.DUMMYFUNCTION("""COMPUTED_VALUE"""),0.052)</f>
        <v>0.052</v>
      </c>
      <c r="U2038" s="4">
        <f>IFERROR(__xludf.DUMMYFUNCTION("""COMPUTED_VALUE"""),-1.2)</f>
        <v>-1.2</v>
      </c>
      <c r="V2038" s="4">
        <f>IFERROR(__xludf.DUMMYFUNCTION("""COMPUTED_VALUE"""),4.0)</f>
        <v>4</v>
      </c>
    </row>
    <row r="2039">
      <c r="A2039" s="4">
        <f>IFERROR(__xludf.DUMMYFUNCTION("""COMPUTED_VALUE"""),8.0)</f>
        <v>8</v>
      </c>
      <c r="B2039" s="4">
        <f>IFERROR(__xludf.DUMMYFUNCTION("""COMPUTED_VALUE"""),8.0)</f>
        <v>8</v>
      </c>
      <c r="C2039" s="4" t="str">
        <f>IFERROR(__xludf.DUMMYFUNCTION("""COMPUTED_VALUE"""),"SAC")</f>
        <v>SAC</v>
      </c>
      <c r="D2039" s="4" t="str">
        <f>IFERROR(__xludf.DUMMYFUNCTION("""COMPUTED_VALUE"""),"Brian Grant")</f>
        <v>Brian Grant</v>
      </c>
      <c r="E2039" s="4" t="str">
        <f>IFERROR(__xludf.DUMMYFUNCTION("""COMPUTED_VALUE"""),"Xavier")</f>
        <v>Xavier</v>
      </c>
      <c r="F2039" s="4">
        <f>IFERROR(__xludf.DUMMYFUNCTION("""COMPUTED_VALUE"""),12.0)</f>
        <v>12</v>
      </c>
      <c r="G2039" s="4">
        <f>IFERROR(__xludf.DUMMYFUNCTION("""COMPUTED_VALUE"""),756.0)</f>
        <v>756</v>
      </c>
      <c r="H2039" s="4">
        <f>IFERROR(__xludf.DUMMYFUNCTION("""COMPUTED_VALUE"""),21417.0)</f>
        <v>21417</v>
      </c>
      <c r="I2039" s="4">
        <f>IFERROR(__xludf.DUMMYFUNCTION("""COMPUTED_VALUE"""),7933.0)</f>
        <v>7933</v>
      </c>
      <c r="J2039" s="4">
        <f>IFERROR(__xludf.DUMMYFUNCTION("""COMPUTED_VALUE"""),5622.0)</f>
        <v>5622</v>
      </c>
      <c r="K2039" s="4">
        <f>IFERROR(__xludf.DUMMYFUNCTION("""COMPUTED_VALUE"""),923.0)</f>
        <v>923</v>
      </c>
      <c r="L2039" s="4">
        <f>IFERROR(__xludf.DUMMYFUNCTION("""COMPUTED_VALUE"""),0.49)</f>
        <v>0.49</v>
      </c>
      <c r="M2039" s="4">
        <f>IFERROR(__xludf.DUMMYFUNCTION("""COMPUTED_VALUE"""),0.214)</f>
        <v>0.214</v>
      </c>
      <c r="N2039" s="4">
        <f>IFERROR(__xludf.DUMMYFUNCTION("""COMPUTED_VALUE"""),0.746)</f>
        <v>0.746</v>
      </c>
      <c r="O2039" s="4">
        <f>IFERROR(__xludf.DUMMYFUNCTION("""COMPUTED_VALUE"""),28.3)</f>
        <v>28.3</v>
      </c>
      <c r="P2039" s="4">
        <f>IFERROR(__xludf.DUMMYFUNCTION("""COMPUTED_VALUE"""),10.5)</f>
        <v>10.5</v>
      </c>
      <c r="Q2039" s="4">
        <f>IFERROR(__xludf.DUMMYFUNCTION("""COMPUTED_VALUE"""),7.4)</f>
        <v>7.4</v>
      </c>
      <c r="R2039" s="4">
        <f>IFERROR(__xludf.DUMMYFUNCTION("""COMPUTED_VALUE"""),1.2)</f>
        <v>1.2</v>
      </c>
      <c r="S2039" s="4">
        <f>IFERROR(__xludf.DUMMYFUNCTION("""COMPUTED_VALUE"""),54.5)</f>
        <v>54.5</v>
      </c>
      <c r="T2039" s="4">
        <f>IFERROR(__xludf.DUMMYFUNCTION("""COMPUTED_VALUE"""),0.122)</f>
        <v>0.122</v>
      </c>
      <c r="U2039" s="4">
        <f>IFERROR(__xludf.DUMMYFUNCTION("""COMPUTED_VALUE"""),-0.8)</f>
        <v>-0.8</v>
      </c>
      <c r="V2039" s="4">
        <f>IFERROR(__xludf.DUMMYFUNCTION("""COMPUTED_VALUE"""),6.2)</f>
        <v>6.2</v>
      </c>
    </row>
    <row r="2040">
      <c r="A2040" s="4">
        <f>IFERROR(__xludf.DUMMYFUNCTION("""COMPUTED_VALUE"""),9.0)</f>
        <v>9</v>
      </c>
      <c r="B2040" s="4">
        <f>IFERROR(__xludf.DUMMYFUNCTION("""COMPUTED_VALUE"""),9.0)</f>
        <v>9</v>
      </c>
      <c r="C2040" s="4" t="str">
        <f>IFERROR(__xludf.DUMMYFUNCTION("""COMPUTED_VALUE"""),"BOS")</f>
        <v>BOS</v>
      </c>
      <c r="D2040" s="4" t="str">
        <f>IFERROR(__xludf.DUMMYFUNCTION("""COMPUTED_VALUE"""),"Eric Montross")</f>
        <v>Eric Montross</v>
      </c>
      <c r="E2040" s="4" t="str">
        <f>IFERROR(__xludf.DUMMYFUNCTION("""COMPUTED_VALUE"""),"UNC")</f>
        <v>UNC</v>
      </c>
      <c r="F2040" s="4">
        <f>IFERROR(__xludf.DUMMYFUNCTION("""COMPUTED_VALUE"""),8.0)</f>
        <v>8</v>
      </c>
      <c r="G2040" s="4">
        <f>IFERROR(__xludf.DUMMYFUNCTION("""COMPUTED_VALUE"""),465.0)</f>
        <v>465</v>
      </c>
      <c r="H2040" s="4">
        <f>IFERROR(__xludf.DUMMYFUNCTION("""COMPUTED_VALUE"""),8479.0)</f>
        <v>8479</v>
      </c>
      <c r="I2040" s="4">
        <f>IFERROR(__xludf.DUMMYFUNCTION("""COMPUTED_VALUE"""),2071.0)</f>
        <v>2071</v>
      </c>
      <c r="J2040" s="4">
        <f>IFERROR(__xludf.DUMMYFUNCTION("""COMPUTED_VALUE"""),2159.0)</f>
        <v>2159</v>
      </c>
      <c r="K2040" s="4">
        <f>IFERROR(__xludf.DUMMYFUNCTION("""COMPUTED_VALUE"""),207.0)</f>
        <v>207</v>
      </c>
      <c r="L2040" s="4">
        <f>IFERROR(__xludf.DUMMYFUNCTION("""COMPUTED_VALUE"""),0.49)</f>
        <v>0.49</v>
      </c>
      <c r="M2040" s="4">
        <f>IFERROR(__xludf.DUMMYFUNCTION("""COMPUTED_VALUE"""),0.0)</f>
        <v>0</v>
      </c>
      <c r="N2040" s="4">
        <f>IFERROR(__xludf.DUMMYFUNCTION("""COMPUTED_VALUE"""),0.478)</f>
        <v>0.478</v>
      </c>
      <c r="O2040" s="4">
        <f>IFERROR(__xludf.DUMMYFUNCTION("""COMPUTED_VALUE"""),18.2)</f>
        <v>18.2</v>
      </c>
      <c r="P2040" s="4">
        <f>IFERROR(__xludf.DUMMYFUNCTION("""COMPUTED_VALUE"""),4.5)</f>
        <v>4.5</v>
      </c>
      <c r="Q2040" s="4">
        <f>IFERROR(__xludf.DUMMYFUNCTION("""COMPUTED_VALUE"""),4.6)</f>
        <v>4.6</v>
      </c>
      <c r="R2040" s="4">
        <f>IFERROR(__xludf.DUMMYFUNCTION("""COMPUTED_VALUE"""),0.4)</f>
        <v>0.4</v>
      </c>
      <c r="S2040" s="4">
        <f>IFERROR(__xludf.DUMMYFUNCTION("""COMPUTED_VALUE"""),8.5)</f>
        <v>8.5</v>
      </c>
      <c r="T2040" s="4">
        <f>IFERROR(__xludf.DUMMYFUNCTION("""COMPUTED_VALUE"""),0.048)</f>
        <v>0.048</v>
      </c>
      <c r="U2040" s="4">
        <f>IFERROR(__xludf.DUMMYFUNCTION("""COMPUTED_VALUE"""),-4.4)</f>
        <v>-4.4</v>
      </c>
      <c r="V2040" s="4">
        <f>IFERROR(__xludf.DUMMYFUNCTION("""COMPUTED_VALUE"""),-5.2)</f>
        <v>-5.2</v>
      </c>
    </row>
    <row r="2041">
      <c r="A2041" s="4">
        <f>IFERROR(__xludf.DUMMYFUNCTION("""COMPUTED_VALUE"""),10.0)</f>
        <v>10</v>
      </c>
      <c r="B2041" s="4">
        <f>IFERROR(__xludf.DUMMYFUNCTION("""COMPUTED_VALUE"""),10.0)</f>
        <v>10</v>
      </c>
      <c r="C2041" s="4" t="str">
        <f>IFERROR(__xludf.DUMMYFUNCTION("""COMPUTED_VALUE"""),"LAL")</f>
        <v>LAL</v>
      </c>
      <c r="D2041" s="4" t="str">
        <f>IFERROR(__xludf.DUMMYFUNCTION("""COMPUTED_VALUE"""),"Eddie Jones")</f>
        <v>Eddie Jones</v>
      </c>
      <c r="E2041" s="4" t="str">
        <f>IFERROR(__xludf.DUMMYFUNCTION("""COMPUTED_VALUE"""),"Temple")</f>
        <v>Temple</v>
      </c>
      <c r="F2041" s="4">
        <f>IFERROR(__xludf.DUMMYFUNCTION("""COMPUTED_VALUE"""),14.0)</f>
        <v>14</v>
      </c>
      <c r="G2041" s="4">
        <f>IFERROR(__xludf.DUMMYFUNCTION("""COMPUTED_VALUE"""),954.0)</f>
        <v>954</v>
      </c>
      <c r="H2041" s="4">
        <f>IFERROR(__xludf.DUMMYFUNCTION("""COMPUTED_VALUE"""),32778.0)</f>
        <v>32778</v>
      </c>
      <c r="I2041" s="4">
        <f>IFERROR(__xludf.DUMMYFUNCTION("""COMPUTED_VALUE"""),14155.0)</f>
        <v>14155</v>
      </c>
      <c r="J2041" s="4">
        <f>IFERROR(__xludf.DUMMYFUNCTION("""COMPUTED_VALUE"""),3857.0)</f>
        <v>3857</v>
      </c>
      <c r="K2041" s="4">
        <f>IFERROR(__xludf.DUMMYFUNCTION("""COMPUTED_VALUE"""),2812.0)</f>
        <v>2812</v>
      </c>
      <c r="L2041" s="4">
        <f>IFERROR(__xludf.DUMMYFUNCTION("""COMPUTED_VALUE"""),0.437)</f>
        <v>0.437</v>
      </c>
      <c r="M2041" s="4">
        <f>IFERROR(__xludf.DUMMYFUNCTION("""COMPUTED_VALUE"""),0.373)</f>
        <v>0.373</v>
      </c>
      <c r="N2041" s="4">
        <f>IFERROR(__xludf.DUMMYFUNCTION("""COMPUTED_VALUE"""),0.809)</f>
        <v>0.809</v>
      </c>
      <c r="O2041" s="4">
        <f>IFERROR(__xludf.DUMMYFUNCTION("""COMPUTED_VALUE"""),34.4)</f>
        <v>34.4</v>
      </c>
      <c r="P2041" s="4">
        <f>IFERROR(__xludf.DUMMYFUNCTION("""COMPUTED_VALUE"""),14.8)</f>
        <v>14.8</v>
      </c>
      <c r="Q2041" s="4">
        <f>IFERROR(__xludf.DUMMYFUNCTION("""COMPUTED_VALUE"""),4.0)</f>
        <v>4</v>
      </c>
      <c r="R2041" s="4">
        <f>IFERROR(__xludf.DUMMYFUNCTION("""COMPUTED_VALUE"""),2.9)</f>
        <v>2.9</v>
      </c>
      <c r="S2041" s="4">
        <f>IFERROR(__xludf.DUMMYFUNCTION("""COMPUTED_VALUE"""),100.6)</f>
        <v>100.6</v>
      </c>
      <c r="T2041" s="4">
        <f>IFERROR(__xludf.DUMMYFUNCTION("""COMPUTED_VALUE"""),0.147)</f>
        <v>0.147</v>
      </c>
      <c r="U2041" s="4">
        <f>IFERROR(__xludf.DUMMYFUNCTION("""COMPUTED_VALUE"""),3.1)</f>
        <v>3.1</v>
      </c>
      <c r="V2041" s="4">
        <f>IFERROR(__xludf.DUMMYFUNCTION("""COMPUTED_VALUE"""),42.3)</f>
        <v>42.3</v>
      </c>
    </row>
    <row r="2042">
      <c r="A2042" s="4">
        <f>IFERROR(__xludf.DUMMYFUNCTION("""COMPUTED_VALUE"""),11.0)</f>
        <v>11</v>
      </c>
      <c r="B2042" s="4">
        <f>IFERROR(__xludf.DUMMYFUNCTION("""COMPUTED_VALUE"""),11.0)</f>
        <v>11</v>
      </c>
      <c r="C2042" s="4" t="str">
        <f>IFERROR(__xludf.DUMMYFUNCTION("""COMPUTED_VALUE"""),"SEA")</f>
        <v>SEA</v>
      </c>
      <c r="D2042" s="4" t="str">
        <f>IFERROR(__xludf.DUMMYFUNCTION("""COMPUTED_VALUE"""),"Carlos Rogers")</f>
        <v>Carlos Rogers</v>
      </c>
      <c r="E2042" s="4" t="str">
        <f>IFERROR(__xludf.DUMMYFUNCTION("""COMPUTED_VALUE"""),"Tennessee State")</f>
        <v>Tennessee State</v>
      </c>
      <c r="F2042" s="4">
        <f>IFERROR(__xludf.DUMMYFUNCTION("""COMPUTED_VALUE"""),8.0)</f>
        <v>8</v>
      </c>
      <c r="G2042" s="4">
        <f>IFERROR(__xludf.DUMMYFUNCTION("""COMPUTED_VALUE"""),298.0)</f>
        <v>298</v>
      </c>
      <c r="H2042" s="4">
        <f>IFERROR(__xludf.DUMMYFUNCTION("""COMPUTED_VALUE"""),5654.0)</f>
        <v>5654</v>
      </c>
      <c r="I2042" s="4">
        <f>IFERROR(__xludf.DUMMYFUNCTION("""COMPUTED_VALUE"""),2196.0)</f>
        <v>2196</v>
      </c>
      <c r="J2042" s="4">
        <f>IFERROR(__xludf.DUMMYFUNCTION("""COMPUTED_VALUE"""),1272.0)</f>
        <v>1272</v>
      </c>
      <c r="K2042" s="4">
        <f>IFERROR(__xludf.DUMMYFUNCTION("""COMPUTED_VALUE"""),182.0)</f>
        <v>182</v>
      </c>
      <c r="L2042" s="4">
        <f>IFERROR(__xludf.DUMMYFUNCTION("""COMPUTED_VALUE"""),0.536)</f>
        <v>0.536</v>
      </c>
      <c r="M2042" s="4">
        <f>IFERROR(__xludf.DUMMYFUNCTION("""COMPUTED_VALUE"""),0.258)</f>
        <v>0.258</v>
      </c>
      <c r="N2042" s="4">
        <f>IFERROR(__xludf.DUMMYFUNCTION("""COMPUTED_VALUE"""),0.562)</f>
        <v>0.562</v>
      </c>
      <c r="O2042" s="4">
        <f>IFERROR(__xludf.DUMMYFUNCTION("""COMPUTED_VALUE"""),19.0)</f>
        <v>19</v>
      </c>
      <c r="P2042" s="4">
        <f>IFERROR(__xludf.DUMMYFUNCTION("""COMPUTED_VALUE"""),7.4)</f>
        <v>7.4</v>
      </c>
      <c r="Q2042" s="4">
        <f>IFERROR(__xludf.DUMMYFUNCTION("""COMPUTED_VALUE"""),4.3)</f>
        <v>4.3</v>
      </c>
      <c r="R2042" s="4">
        <f>IFERROR(__xludf.DUMMYFUNCTION("""COMPUTED_VALUE"""),0.6)</f>
        <v>0.6</v>
      </c>
      <c r="S2042" s="4">
        <f>IFERROR(__xludf.DUMMYFUNCTION("""COMPUTED_VALUE"""),11.1)</f>
        <v>11.1</v>
      </c>
      <c r="T2042" s="4">
        <f>IFERROR(__xludf.DUMMYFUNCTION("""COMPUTED_VALUE"""),0.095)</f>
        <v>0.095</v>
      </c>
      <c r="U2042" s="4">
        <f>IFERROR(__xludf.DUMMYFUNCTION("""COMPUTED_VALUE"""),-1.0)</f>
        <v>-1</v>
      </c>
      <c r="V2042" s="4">
        <f>IFERROR(__xludf.DUMMYFUNCTION("""COMPUTED_VALUE"""),1.5)</f>
        <v>1.5</v>
      </c>
    </row>
    <row r="2043">
      <c r="A2043" s="4">
        <f>IFERROR(__xludf.DUMMYFUNCTION("""COMPUTED_VALUE"""),12.0)</f>
        <v>12</v>
      </c>
      <c r="B2043" s="4">
        <f>IFERROR(__xludf.DUMMYFUNCTION("""COMPUTED_VALUE"""),12.0)</f>
        <v>12</v>
      </c>
      <c r="C2043" s="4" t="str">
        <f>IFERROR(__xludf.DUMMYFUNCTION("""COMPUTED_VALUE"""),"MIA")</f>
        <v>MIA</v>
      </c>
      <c r="D2043" s="4" t="str">
        <f>IFERROR(__xludf.DUMMYFUNCTION("""COMPUTED_VALUE"""),"Khalid Reeves")</f>
        <v>Khalid Reeves</v>
      </c>
      <c r="E2043" s="4" t="str">
        <f>IFERROR(__xludf.DUMMYFUNCTION("""COMPUTED_VALUE"""),"Arizona")</f>
        <v>Arizona</v>
      </c>
      <c r="F2043" s="4">
        <f>IFERROR(__xludf.DUMMYFUNCTION("""COMPUTED_VALUE"""),6.0)</f>
        <v>6</v>
      </c>
      <c r="G2043" s="4">
        <f>IFERROR(__xludf.DUMMYFUNCTION("""COMPUTED_VALUE"""),277.0)</f>
        <v>277</v>
      </c>
      <c r="H2043" s="4">
        <f>IFERROR(__xludf.DUMMYFUNCTION("""COMPUTED_VALUE"""),5837.0)</f>
        <v>5837</v>
      </c>
      <c r="I2043" s="4">
        <f>IFERROR(__xludf.DUMMYFUNCTION("""COMPUTED_VALUE"""),2167.0)</f>
        <v>2167</v>
      </c>
      <c r="J2043" s="4">
        <f>IFERROR(__xludf.DUMMYFUNCTION("""COMPUTED_VALUE"""),580.0)</f>
        <v>580</v>
      </c>
      <c r="K2043" s="4">
        <f>IFERROR(__xludf.DUMMYFUNCTION("""COMPUTED_VALUE"""),886.0)</f>
        <v>886</v>
      </c>
      <c r="L2043" s="4">
        <f>IFERROR(__xludf.DUMMYFUNCTION("""COMPUTED_VALUE"""),0.416)</f>
        <v>0.416</v>
      </c>
      <c r="M2043" s="4">
        <f>IFERROR(__xludf.DUMMYFUNCTION("""COMPUTED_VALUE"""),0.363)</f>
        <v>0.363</v>
      </c>
      <c r="N2043" s="4">
        <f>IFERROR(__xludf.DUMMYFUNCTION("""COMPUTED_VALUE"""),0.744)</f>
        <v>0.744</v>
      </c>
      <c r="O2043" s="4">
        <f>IFERROR(__xludf.DUMMYFUNCTION("""COMPUTED_VALUE"""),21.1)</f>
        <v>21.1</v>
      </c>
      <c r="P2043" s="4">
        <f>IFERROR(__xludf.DUMMYFUNCTION("""COMPUTED_VALUE"""),7.8)</f>
        <v>7.8</v>
      </c>
      <c r="Q2043" s="4">
        <f>IFERROR(__xludf.DUMMYFUNCTION("""COMPUTED_VALUE"""),2.1)</f>
        <v>2.1</v>
      </c>
      <c r="R2043" s="4">
        <f>IFERROR(__xludf.DUMMYFUNCTION("""COMPUTED_VALUE"""),3.2)</f>
        <v>3.2</v>
      </c>
      <c r="S2043" s="4">
        <f>IFERROR(__xludf.DUMMYFUNCTION("""COMPUTED_VALUE"""),8.4)</f>
        <v>8.4</v>
      </c>
      <c r="T2043" s="4">
        <f>IFERROR(__xludf.DUMMYFUNCTION("""COMPUTED_VALUE"""),0.069)</f>
        <v>0.069</v>
      </c>
      <c r="U2043" s="4">
        <f>IFERROR(__xludf.DUMMYFUNCTION("""COMPUTED_VALUE"""),-1.3)</f>
        <v>-1.3</v>
      </c>
      <c r="V2043" s="4">
        <f>IFERROR(__xludf.DUMMYFUNCTION("""COMPUTED_VALUE"""),1.0)</f>
        <v>1</v>
      </c>
    </row>
    <row r="2044">
      <c r="A2044" s="4">
        <f>IFERROR(__xludf.DUMMYFUNCTION("""COMPUTED_VALUE"""),13.0)</f>
        <v>13</v>
      </c>
      <c r="B2044" s="4">
        <f>IFERROR(__xludf.DUMMYFUNCTION("""COMPUTED_VALUE"""),13.0)</f>
        <v>13</v>
      </c>
      <c r="C2044" s="4" t="str">
        <f>IFERROR(__xludf.DUMMYFUNCTION("""COMPUTED_VALUE"""),"DEN")</f>
        <v>DEN</v>
      </c>
      <c r="D2044" s="4" t="str">
        <f>IFERROR(__xludf.DUMMYFUNCTION("""COMPUTED_VALUE"""),"Jalen Rose")</f>
        <v>Jalen Rose</v>
      </c>
      <c r="E2044" s="4" t="str">
        <f>IFERROR(__xludf.DUMMYFUNCTION("""COMPUTED_VALUE"""),"Michigan")</f>
        <v>Michigan</v>
      </c>
      <c r="F2044" s="4">
        <f>IFERROR(__xludf.DUMMYFUNCTION("""COMPUTED_VALUE"""),13.0)</f>
        <v>13</v>
      </c>
      <c r="G2044" s="4">
        <f>IFERROR(__xludf.DUMMYFUNCTION("""COMPUTED_VALUE"""),923.0)</f>
        <v>923</v>
      </c>
      <c r="H2044" s="4">
        <f>IFERROR(__xludf.DUMMYFUNCTION("""COMPUTED_VALUE"""),27925.0)</f>
        <v>27925</v>
      </c>
      <c r="I2044" s="4">
        <f>IFERROR(__xludf.DUMMYFUNCTION("""COMPUTED_VALUE"""),13220.0)</f>
        <v>13220</v>
      </c>
      <c r="J2044" s="4">
        <f>IFERROR(__xludf.DUMMYFUNCTION("""COMPUTED_VALUE"""),3193.0)</f>
        <v>3193</v>
      </c>
      <c r="K2044" s="4">
        <f>IFERROR(__xludf.DUMMYFUNCTION("""COMPUTED_VALUE"""),3527.0)</f>
        <v>3527</v>
      </c>
      <c r="L2044" s="4">
        <f>IFERROR(__xludf.DUMMYFUNCTION("""COMPUTED_VALUE"""),0.443)</f>
        <v>0.443</v>
      </c>
      <c r="M2044" s="4">
        <f>IFERROR(__xludf.DUMMYFUNCTION("""COMPUTED_VALUE"""),0.355)</f>
        <v>0.355</v>
      </c>
      <c r="N2044" s="4">
        <f>IFERROR(__xludf.DUMMYFUNCTION("""COMPUTED_VALUE"""),0.801)</f>
        <v>0.801</v>
      </c>
      <c r="O2044" s="4">
        <f>IFERROR(__xludf.DUMMYFUNCTION("""COMPUTED_VALUE"""),30.3)</f>
        <v>30.3</v>
      </c>
      <c r="P2044" s="4">
        <f>IFERROR(__xludf.DUMMYFUNCTION("""COMPUTED_VALUE"""),14.3)</f>
        <v>14.3</v>
      </c>
      <c r="Q2044" s="4">
        <f>IFERROR(__xludf.DUMMYFUNCTION("""COMPUTED_VALUE"""),3.5)</f>
        <v>3.5</v>
      </c>
      <c r="R2044" s="4">
        <f>IFERROR(__xludf.DUMMYFUNCTION("""COMPUTED_VALUE"""),3.8)</f>
        <v>3.8</v>
      </c>
      <c r="S2044" s="4">
        <f>IFERROR(__xludf.DUMMYFUNCTION("""COMPUTED_VALUE"""),47.2)</f>
        <v>47.2</v>
      </c>
      <c r="T2044" s="4">
        <f>IFERROR(__xludf.DUMMYFUNCTION("""COMPUTED_VALUE"""),0.081)</f>
        <v>0.081</v>
      </c>
      <c r="U2044" s="4">
        <f>IFERROR(__xludf.DUMMYFUNCTION("""COMPUTED_VALUE"""),-0.2)</f>
        <v>-0.2</v>
      </c>
      <c r="V2044" s="4">
        <f>IFERROR(__xludf.DUMMYFUNCTION("""COMPUTED_VALUE"""),12.3)</f>
        <v>12.3</v>
      </c>
    </row>
    <row r="2045">
      <c r="A2045" s="4">
        <f>IFERROR(__xludf.DUMMYFUNCTION("""COMPUTED_VALUE"""),14.0)</f>
        <v>14</v>
      </c>
      <c r="B2045" s="4">
        <f>IFERROR(__xludf.DUMMYFUNCTION("""COMPUTED_VALUE"""),14.0)</f>
        <v>14</v>
      </c>
      <c r="C2045" s="4" t="str">
        <f>IFERROR(__xludf.DUMMYFUNCTION("""COMPUTED_VALUE"""),"NJN")</f>
        <v>NJN</v>
      </c>
      <c r="D2045" s="4" t="str">
        <f>IFERROR(__xludf.DUMMYFUNCTION("""COMPUTED_VALUE"""),"Yinka Dare")</f>
        <v>Yinka Dare</v>
      </c>
      <c r="E2045" s="4" t="str">
        <f>IFERROR(__xludf.DUMMYFUNCTION("""COMPUTED_VALUE"""),"George Washington")</f>
        <v>George Washington</v>
      </c>
      <c r="F2045" s="4">
        <f>IFERROR(__xludf.DUMMYFUNCTION("""COMPUTED_VALUE"""),4.0)</f>
        <v>4</v>
      </c>
      <c r="G2045" s="4">
        <f>IFERROR(__xludf.DUMMYFUNCTION("""COMPUTED_VALUE"""),110.0)</f>
        <v>110</v>
      </c>
      <c r="H2045" s="4">
        <f>IFERROR(__xludf.DUMMYFUNCTION("""COMPUTED_VALUE"""),1002.0)</f>
        <v>1002</v>
      </c>
      <c r="I2045" s="4">
        <f>IFERROR(__xludf.DUMMYFUNCTION("""COMPUTED_VALUE"""),233.0)</f>
        <v>233</v>
      </c>
      <c r="J2045" s="4">
        <f>IFERROR(__xludf.DUMMYFUNCTION("""COMPUTED_VALUE"""),281.0)</f>
        <v>281</v>
      </c>
      <c r="K2045" s="4">
        <f>IFERROR(__xludf.DUMMYFUNCTION("""COMPUTED_VALUE"""),4.0)</f>
        <v>4</v>
      </c>
      <c r="L2045" s="4">
        <f>IFERROR(__xludf.DUMMYFUNCTION("""COMPUTED_VALUE"""),0.396)</f>
        <v>0.396</v>
      </c>
      <c r="M2045" s="4"/>
      <c r="N2045" s="4">
        <f>IFERROR(__xludf.DUMMYFUNCTION("""COMPUTED_VALUE"""),0.57)</f>
        <v>0.57</v>
      </c>
      <c r="O2045" s="4">
        <f>IFERROR(__xludf.DUMMYFUNCTION("""COMPUTED_VALUE"""),9.1)</f>
        <v>9.1</v>
      </c>
      <c r="P2045" s="4">
        <f>IFERROR(__xludf.DUMMYFUNCTION("""COMPUTED_VALUE"""),2.1)</f>
        <v>2.1</v>
      </c>
      <c r="Q2045" s="4">
        <f>IFERROR(__xludf.DUMMYFUNCTION("""COMPUTED_VALUE"""),2.6)</f>
        <v>2.6</v>
      </c>
      <c r="R2045" s="4">
        <f>IFERROR(__xludf.DUMMYFUNCTION("""COMPUTED_VALUE"""),0.0)</f>
        <v>0</v>
      </c>
      <c r="S2045" s="4">
        <f>IFERROR(__xludf.DUMMYFUNCTION("""COMPUTED_VALUE"""),-0.7)</f>
        <v>-0.7</v>
      </c>
      <c r="T2045" s="4">
        <f>IFERROR(__xludf.DUMMYFUNCTION("""COMPUTED_VALUE"""),-0.033)</f>
        <v>-0.033</v>
      </c>
      <c r="U2045" s="4">
        <f>IFERROR(__xludf.DUMMYFUNCTION("""COMPUTED_VALUE"""),-8.4)</f>
        <v>-8.4</v>
      </c>
      <c r="V2045" s="4">
        <f>IFERROR(__xludf.DUMMYFUNCTION("""COMPUTED_VALUE"""),-1.6)</f>
        <v>-1.6</v>
      </c>
    </row>
    <row r="2046">
      <c r="A2046" s="4">
        <f>IFERROR(__xludf.DUMMYFUNCTION("""COMPUTED_VALUE"""),15.0)</f>
        <v>15</v>
      </c>
      <c r="B2046" s="4">
        <f>IFERROR(__xludf.DUMMYFUNCTION("""COMPUTED_VALUE"""),15.0)</f>
        <v>15</v>
      </c>
      <c r="C2046" s="4" t="str">
        <f>IFERROR(__xludf.DUMMYFUNCTION("""COMPUTED_VALUE"""),"IND")</f>
        <v>IND</v>
      </c>
      <c r="D2046" s="4" t="str">
        <f>IFERROR(__xludf.DUMMYFUNCTION("""COMPUTED_VALUE"""),"Eric Piatkowski")</f>
        <v>Eric Piatkowski</v>
      </c>
      <c r="E2046" s="4" t="str">
        <f>IFERROR(__xludf.DUMMYFUNCTION("""COMPUTED_VALUE"""),"Nebraska")</f>
        <v>Nebraska</v>
      </c>
      <c r="F2046" s="4">
        <f>IFERROR(__xludf.DUMMYFUNCTION("""COMPUTED_VALUE"""),14.0)</f>
        <v>14</v>
      </c>
      <c r="G2046" s="4">
        <f>IFERROR(__xludf.DUMMYFUNCTION("""COMPUTED_VALUE"""),789.0)</f>
        <v>789</v>
      </c>
      <c r="H2046" s="4">
        <f>IFERROR(__xludf.DUMMYFUNCTION("""COMPUTED_VALUE"""),14613.0)</f>
        <v>14613</v>
      </c>
      <c r="I2046" s="4">
        <f>IFERROR(__xludf.DUMMYFUNCTION("""COMPUTED_VALUE"""),5919.0)</f>
        <v>5919</v>
      </c>
      <c r="J2046" s="4">
        <f>IFERROR(__xludf.DUMMYFUNCTION("""COMPUTED_VALUE"""),1716.0)</f>
        <v>1716</v>
      </c>
      <c r="K2046" s="4">
        <f>IFERROR(__xludf.DUMMYFUNCTION("""COMPUTED_VALUE"""),778.0)</f>
        <v>778</v>
      </c>
      <c r="L2046" s="4">
        <f>IFERROR(__xludf.DUMMYFUNCTION("""COMPUTED_VALUE"""),0.434)</f>
        <v>0.434</v>
      </c>
      <c r="M2046" s="4">
        <f>IFERROR(__xludf.DUMMYFUNCTION("""COMPUTED_VALUE"""),0.399)</f>
        <v>0.399</v>
      </c>
      <c r="N2046" s="4">
        <f>IFERROR(__xludf.DUMMYFUNCTION("""COMPUTED_VALUE"""),0.839)</f>
        <v>0.839</v>
      </c>
      <c r="O2046" s="4">
        <f>IFERROR(__xludf.DUMMYFUNCTION("""COMPUTED_VALUE"""),18.5)</f>
        <v>18.5</v>
      </c>
      <c r="P2046" s="4">
        <f>IFERROR(__xludf.DUMMYFUNCTION("""COMPUTED_VALUE"""),7.5)</f>
        <v>7.5</v>
      </c>
      <c r="Q2046" s="4">
        <f>IFERROR(__xludf.DUMMYFUNCTION("""COMPUTED_VALUE"""),2.2)</f>
        <v>2.2</v>
      </c>
      <c r="R2046" s="4">
        <f>IFERROR(__xludf.DUMMYFUNCTION("""COMPUTED_VALUE"""),1.0)</f>
        <v>1</v>
      </c>
      <c r="S2046" s="4">
        <f>IFERROR(__xludf.DUMMYFUNCTION("""COMPUTED_VALUE"""),31.0)</f>
        <v>31</v>
      </c>
      <c r="T2046" s="4">
        <f>IFERROR(__xludf.DUMMYFUNCTION("""COMPUTED_VALUE"""),0.102)</f>
        <v>0.102</v>
      </c>
      <c r="U2046" s="4">
        <f>IFERROR(__xludf.DUMMYFUNCTION("""COMPUTED_VALUE"""),0.2)</f>
        <v>0.2</v>
      </c>
      <c r="V2046" s="4">
        <f>IFERROR(__xludf.DUMMYFUNCTION("""COMPUTED_VALUE"""),7.9)</f>
        <v>7.9</v>
      </c>
    </row>
    <row r="2047">
      <c r="A2047" s="4">
        <f>IFERROR(__xludf.DUMMYFUNCTION("""COMPUTED_VALUE"""),16.0)</f>
        <v>16</v>
      </c>
      <c r="B2047" s="4">
        <f>IFERROR(__xludf.DUMMYFUNCTION("""COMPUTED_VALUE"""),16.0)</f>
        <v>16</v>
      </c>
      <c r="C2047" s="4" t="str">
        <f>IFERROR(__xludf.DUMMYFUNCTION("""COMPUTED_VALUE"""),"GSW")</f>
        <v>GSW</v>
      </c>
      <c r="D2047" s="4" t="str">
        <f>IFERROR(__xludf.DUMMYFUNCTION("""COMPUTED_VALUE"""),"Clifford Rozier")</f>
        <v>Clifford Rozier</v>
      </c>
      <c r="E2047" s="4" t="str">
        <f>IFERROR(__xludf.DUMMYFUNCTION("""COMPUTED_VALUE"""),"Louisville")</f>
        <v>Louisville</v>
      </c>
      <c r="F2047" s="4">
        <f>IFERROR(__xludf.DUMMYFUNCTION("""COMPUTED_VALUE"""),4.0)</f>
        <v>4</v>
      </c>
      <c r="G2047" s="4">
        <f>IFERROR(__xludf.DUMMYFUNCTION("""COMPUTED_VALUE"""),173.0)</f>
        <v>173</v>
      </c>
      <c r="H2047" s="4">
        <f>IFERROR(__xludf.DUMMYFUNCTION("""COMPUTED_VALUE"""),2984.0)</f>
        <v>2984</v>
      </c>
      <c r="I2047" s="4">
        <f>IFERROR(__xludf.DUMMYFUNCTION("""COMPUTED_VALUE"""),827.0)</f>
        <v>827</v>
      </c>
      <c r="J2047" s="4">
        <f>IFERROR(__xludf.DUMMYFUNCTION("""COMPUTED_VALUE"""),897.0)</f>
        <v>897</v>
      </c>
      <c r="K2047" s="4">
        <f>IFERROR(__xludf.DUMMYFUNCTION("""COMPUTED_VALUE"""),98.0)</f>
        <v>98</v>
      </c>
      <c r="L2047" s="4">
        <f>IFERROR(__xludf.DUMMYFUNCTION("""COMPUTED_VALUE"""),0.496)</f>
        <v>0.496</v>
      </c>
      <c r="M2047" s="4">
        <f>IFERROR(__xludf.DUMMYFUNCTION("""COMPUTED_VALUE"""),0.182)</f>
        <v>0.182</v>
      </c>
      <c r="N2047" s="4">
        <f>IFERROR(__xludf.DUMMYFUNCTION("""COMPUTED_VALUE"""),0.465)</f>
        <v>0.465</v>
      </c>
      <c r="O2047" s="4">
        <f>IFERROR(__xludf.DUMMYFUNCTION("""COMPUTED_VALUE"""),17.2)</f>
        <v>17.2</v>
      </c>
      <c r="P2047" s="4">
        <f>IFERROR(__xludf.DUMMYFUNCTION("""COMPUTED_VALUE"""),4.8)</f>
        <v>4.8</v>
      </c>
      <c r="Q2047" s="4">
        <f>IFERROR(__xludf.DUMMYFUNCTION("""COMPUTED_VALUE"""),5.2)</f>
        <v>5.2</v>
      </c>
      <c r="R2047" s="4">
        <f>IFERROR(__xludf.DUMMYFUNCTION("""COMPUTED_VALUE"""),0.6)</f>
        <v>0.6</v>
      </c>
      <c r="S2047" s="4">
        <f>IFERROR(__xludf.DUMMYFUNCTION("""COMPUTED_VALUE"""),3.9)</f>
        <v>3.9</v>
      </c>
      <c r="T2047" s="4">
        <f>IFERROR(__xludf.DUMMYFUNCTION("""COMPUTED_VALUE"""),0.063)</f>
        <v>0.063</v>
      </c>
      <c r="U2047" s="4">
        <f>IFERROR(__xludf.DUMMYFUNCTION("""COMPUTED_VALUE"""),-3.5)</f>
        <v>-3.5</v>
      </c>
      <c r="V2047" s="4">
        <f>IFERROR(__xludf.DUMMYFUNCTION("""COMPUTED_VALUE"""),-1.1)</f>
        <v>-1.1</v>
      </c>
    </row>
    <row r="2048">
      <c r="A2048" s="4">
        <f>IFERROR(__xludf.DUMMYFUNCTION("""COMPUTED_VALUE"""),17.0)</f>
        <v>17</v>
      </c>
      <c r="B2048" s="4">
        <f>IFERROR(__xludf.DUMMYFUNCTION("""COMPUTED_VALUE"""),17.0)</f>
        <v>17</v>
      </c>
      <c r="C2048" s="4" t="str">
        <f>IFERROR(__xludf.DUMMYFUNCTION("""COMPUTED_VALUE"""),"POR")</f>
        <v>POR</v>
      </c>
      <c r="D2048" s="4" t="str">
        <f>IFERROR(__xludf.DUMMYFUNCTION("""COMPUTED_VALUE"""),"Aaron McKie")</f>
        <v>Aaron McKie</v>
      </c>
      <c r="E2048" s="4" t="str">
        <f>IFERROR(__xludf.DUMMYFUNCTION("""COMPUTED_VALUE"""),"Temple")</f>
        <v>Temple</v>
      </c>
      <c r="F2048" s="4">
        <f>IFERROR(__xludf.DUMMYFUNCTION("""COMPUTED_VALUE"""),13.0)</f>
        <v>13</v>
      </c>
      <c r="G2048" s="4">
        <f>IFERROR(__xludf.DUMMYFUNCTION("""COMPUTED_VALUE"""),793.0)</f>
        <v>793</v>
      </c>
      <c r="H2048" s="4">
        <f>IFERROR(__xludf.DUMMYFUNCTION("""COMPUTED_VALUE"""),19156.0)</f>
        <v>19156</v>
      </c>
      <c r="I2048" s="4">
        <f>IFERROR(__xludf.DUMMYFUNCTION("""COMPUTED_VALUE"""),5871.0)</f>
        <v>5871</v>
      </c>
      <c r="J2048" s="4">
        <f>IFERROR(__xludf.DUMMYFUNCTION("""COMPUTED_VALUE"""),2587.0)</f>
        <v>2587</v>
      </c>
      <c r="K2048" s="4">
        <f>IFERROR(__xludf.DUMMYFUNCTION("""COMPUTED_VALUE"""),2126.0)</f>
        <v>2126</v>
      </c>
      <c r="L2048" s="4">
        <f>IFERROR(__xludf.DUMMYFUNCTION("""COMPUTED_VALUE"""),0.438)</f>
        <v>0.438</v>
      </c>
      <c r="M2048" s="4">
        <f>IFERROR(__xludf.DUMMYFUNCTION("""COMPUTED_VALUE"""),0.35)</f>
        <v>0.35</v>
      </c>
      <c r="N2048" s="4">
        <f>IFERROR(__xludf.DUMMYFUNCTION("""COMPUTED_VALUE"""),0.779)</f>
        <v>0.779</v>
      </c>
      <c r="O2048" s="4">
        <f>IFERROR(__xludf.DUMMYFUNCTION("""COMPUTED_VALUE"""),24.2)</f>
        <v>24.2</v>
      </c>
      <c r="P2048" s="4">
        <f>IFERROR(__xludf.DUMMYFUNCTION("""COMPUTED_VALUE"""),7.4)</f>
        <v>7.4</v>
      </c>
      <c r="Q2048" s="4">
        <f>IFERROR(__xludf.DUMMYFUNCTION("""COMPUTED_VALUE"""),3.3)</f>
        <v>3.3</v>
      </c>
      <c r="R2048" s="4">
        <f>IFERROR(__xludf.DUMMYFUNCTION("""COMPUTED_VALUE"""),2.7)</f>
        <v>2.7</v>
      </c>
      <c r="S2048" s="4">
        <f>IFERROR(__xludf.DUMMYFUNCTION("""COMPUTED_VALUE"""),40.0)</f>
        <v>40</v>
      </c>
      <c r="T2048" s="4">
        <f>IFERROR(__xludf.DUMMYFUNCTION("""COMPUTED_VALUE"""),0.1)</f>
        <v>0.1</v>
      </c>
      <c r="U2048" s="4">
        <f>IFERROR(__xludf.DUMMYFUNCTION("""COMPUTED_VALUE"""),0.7)</f>
        <v>0.7</v>
      </c>
      <c r="V2048" s="4">
        <f>IFERROR(__xludf.DUMMYFUNCTION("""COMPUTED_VALUE"""),12.9)</f>
        <v>12.9</v>
      </c>
    </row>
    <row r="2049">
      <c r="A2049" s="4">
        <f>IFERROR(__xludf.DUMMYFUNCTION("""COMPUTED_VALUE"""),18.0)</f>
        <v>18</v>
      </c>
      <c r="B2049" s="4">
        <f>IFERROR(__xludf.DUMMYFUNCTION("""COMPUTED_VALUE"""),18.0)</f>
        <v>18</v>
      </c>
      <c r="C2049" s="4" t="str">
        <f>IFERROR(__xludf.DUMMYFUNCTION("""COMPUTED_VALUE"""),"MIL")</f>
        <v>MIL</v>
      </c>
      <c r="D2049" s="4" t="str">
        <f>IFERROR(__xludf.DUMMYFUNCTION("""COMPUTED_VALUE"""),"Eric Mobley")</f>
        <v>Eric Mobley</v>
      </c>
      <c r="E2049" s="4" t="str">
        <f>IFERROR(__xludf.DUMMYFUNCTION("""COMPUTED_VALUE"""),"Pitt")</f>
        <v>Pitt</v>
      </c>
      <c r="F2049" s="4">
        <f>IFERROR(__xludf.DUMMYFUNCTION("""COMPUTED_VALUE"""),3.0)</f>
        <v>3</v>
      </c>
      <c r="G2049" s="4">
        <f>IFERROR(__xludf.DUMMYFUNCTION("""COMPUTED_VALUE"""),113.0)</f>
        <v>113</v>
      </c>
      <c r="H2049" s="4">
        <f>IFERROR(__xludf.DUMMYFUNCTION("""COMPUTED_VALUE"""),1570.0)</f>
        <v>1570</v>
      </c>
      <c r="I2049" s="4">
        <f>IFERROR(__xludf.DUMMYFUNCTION("""COMPUTED_VALUE"""),440.0)</f>
        <v>440</v>
      </c>
      <c r="J2049" s="4">
        <f>IFERROR(__xludf.DUMMYFUNCTION("""COMPUTED_VALUE"""),351.0)</f>
        <v>351</v>
      </c>
      <c r="K2049" s="4">
        <f>IFERROR(__xludf.DUMMYFUNCTION("""COMPUTED_VALUE"""),57.0)</f>
        <v>57</v>
      </c>
      <c r="L2049" s="4">
        <f>IFERROR(__xludf.DUMMYFUNCTION("""COMPUTED_VALUE"""),0.541)</f>
        <v>0.541</v>
      </c>
      <c r="M2049" s="4">
        <f>IFERROR(__xludf.DUMMYFUNCTION("""COMPUTED_VALUE"""),0.75)</f>
        <v>0.75</v>
      </c>
      <c r="N2049" s="4">
        <f>IFERROR(__xludf.DUMMYFUNCTION("""COMPUTED_VALUE"""),0.475)</f>
        <v>0.475</v>
      </c>
      <c r="O2049" s="4">
        <f>IFERROR(__xludf.DUMMYFUNCTION("""COMPUTED_VALUE"""),13.9)</f>
        <v>13.9</v>
      </c>
      <c r="P2049" s="4">
        <f>IFERROR(__xludf.DUMMYFUNCTION("""COMPUTED_VALUE"""),3.9)</f>
        <v>3.9</v>
      </c>
      <c r="Q2049" s="4">
        <f>IFERROR(__xludf.DUMMYFUNCTION("""COMPUTED_VALUE"""),3.1)</f>
        <v>3.1</v>
      </c>
      <c r="R2049" s="4">
        <f>IFERROR(__xludf.DUMMYFUNCTION("""COMPUTED_VALUE"""),0.5)</f>
        <v>0.5</v>
      </c>
      <c r="S2049" s="4">
        <f>IFERROR(__xludf.DUMMYFUNCTION("""COMPUTED_VALUE"""),1.1)</f>
        <v>1.1</v>
      </c>
      <c r="T2049" s="4">
        <f>IFERROR(__xludf.DUMMYFUNCTION("""COMPUTED_VALUE"""),0.034)</f>
        <v>0.034</v>
      </c>
      <c r="U2049" s="4">
        <f>IFERROR(__xludf.DUMMYFUNCTION("""COMPUTED_VALUE"""),-4.3)</f>
        <v>-4.3</v>
      </c>
      <c r="V2049" s="4">
        <f>IFERROR(__xludf.DUMMYFUNCTION("""COMPUTED_VALUE"""),-0.9)</f>
        <v>-0.9</v>
      </c>
    </row>
    <row r="2050">
      <c r="A2050" s="4">
        <f>IFERROR(__xludf.DUMMYFUNCTION("""COMPUTED_VALUE"""),19.0)</f>
        <v>19</v>
      </c>
      <c r="B2050" s="4">
        <f>IFERROR(__xludf.DUMMYFUNCTION("""COMPUTED_VALUE"""),19.0)</f>
        <v>19</v>
      </c>
      <c r="C2050" s="4" t="str">
        <f>IFERROR(__xludf.DUMMYFUNCTION("""COMPUTED_VALUE"""),"DAL")</f>
        <v>DAL</v>
      </c>
      <c r="D2050" s="4" t="str">
        <f>IFERROR(__xludf.DUMMYFUNCTION("""COMPUTED_VALUE"""),"Tony Dumas")</f>
        <v>Tony Dumas</v>
      </c>
      <c r="E2050" s="4" t="str">
        <f>IFERROR(__xludf.DUMMYFUNCTION("""COMPUTED_VALUE"""),"Missouri-Kansas City")</f>
        <v>Missouri-Kansas City</v>
      </c>
      <c r="F2050" s="4">
        <f>IFERROR(__xludf.DUMMYFUNCTION("""COMPUTED_VALUE"""),4.0)</f>
        <v>4</v>
      </c>
      <c r="G2050" s="4">
        <f>IFERROR(__xludf.DUMMYFUNCTION("""COMPUTED_VALUE"""),156.0)</f>
        <v>156</v>
      </c>
      <c r="H2050" s="4">
        <f>IFERROR(__xludf.DUMMYFUNCTION("""COMPUTED_VALUE"""),2222.0)</f>
        <v>2222</v>
      </c>
      <c r="I2050" s="4">
        <f>IFERROR(__xludf.DUMMYFUNCTION("""COMPUTED_VALUE"""),1140.0)</f>
        <v>1140</v>
      </c>
      <c r="J2050" s="4">
        <f>IFERROR(__xludf.DUMMYFUNCTION("""COMPUTED_VALUE"""),198.0)</f>
        <v>198</v>
      </c>
      <c r="K2050" s="4">
        <f>IFERROR(__xludf.DUMMYFUNCTION("""COMPUTED_VALUE"""),186.0)</f>
        <v>186</v>
      </c>
      <c r="L2050" s="4">
        <f>IFERROR(__xludf.DUMMYFUNCTION("""COMPUTED_VALUE"""),0.404)</f>
        <v>0.404</v>
      </c>
      <c r="M2050" s="4">
        <f>IFERROR(__xludf.DUMMYFUNCTION("""COMPUTED_VALUE"""),0.327)</f>
        <v>0.327</v>
      </c>
      <c r="N2050" s="4">
        <f>IFERROR(__xludf.DUMMYFUNCTION("""COMPUTED_VALUE"""),0.608)</f>
        <v>0.608</v>
      </c>
      <c r="O2050" s="4">
        <f>IFERROR(__xludf.DUMMYFUNCTION("""COMPUTED_VALUE"""),14.2)</f>
        <v>14.2</v>
      </c>
      <c r="P2050" s="4">
        <f>IFERROR(__xludf.DUMMYFUNCTION("""COMPUTED_VALUE"""),7.3)</f>
        <v>7.3</v>
      </c>
      <c r="Q2050" s="4">
        <f>IFERROR(__xludf.DUMMYFUNCTION("""COMPUTED_VALUE"""),1.3)</f>
        <v>1.3</v>
      </c>
      <c r="R2050" s="4">
        <f>IFERROR(__xludf.DUMMYFUNCTION("""COMPUTED_VALUE"""),1.2)</f>
        <v>1.2</v>
      </c>
      <c r="S2050" s="4">
        <f>IFERROR(__xludf.DUMMYFUNCTION("""COMPUTED_VALUE"""),1.3)</f>
        <v>1.3</v>
      </c>
      <c r="T2050" s="4">
        <f>IFERROR(__xludf.DUMMYFUNCTION("""COMPUTED_VALUE"""),0.027)</f>
        <v>0.027</v>
      </c>
      <c r="U2050" s="4">
        <f>IFERROR(__xludf.DUMMYFUNCTION("""COMPUTED_VALUE"""),-3.3)</f>
        <v>-3.3</v>
      </c>
      <c r="V2050" s="4">
        <f>IFERROR(__xludf.DUMMYFUNCTION("""COMPUTED_VALUE"""),-0.7)</f>
        <v>-0.7</v>
      </c>
    </row>
    <row r="2051">
      <c r="A2051" s="4">
        <f>IFERROR(__xludf.DUMMYFUNCTION("""COMPUTED_VALUE"""),20.0)</f>
        <v>20</v>
      </c>
      <c r="B2051" s="4">
        <f>IFERROR(__xludf.DUMMYFUNCTION("""COMPUTED_VALUE"""),20.0)</f>
        <v>20</v>
      </c>
      <c r="C2051" s="4" t="str">
        <f>IFERROR(__xludf.DUMMYFUNCTION("""COMPUTED_VALUE"""),"PHI")</f>
        <v>PHI</v>
      </c>
      <c r="D2051" s="4" t="str">
        <f>IFERROR(__xludf.DUMMYFUNCTION("""COMPUTED_VALUE"""),"B.J. Tyler")</f>
        <v>B.J. Tyler</v>
      </c>
      <c r="E2051" s="4" t="str">
        <f>IFERROR(__xludf.DUMMYFUNCTION("""COMPUTED_VALUE"""),"Texas")</f>
        <v>Texas</v>
      </c>
      <c r="F2051" s="4">
        <f>IFERROR(__xludf.DUMMYFUNCTION("""COMPUTED_VALUE"""),1.0)</f>
        <v>1</v>
      </c>
      <c r="G2051" s="4">
        <f>IFERROR(__xludf.DUMMYFUNCTION("""COMPUTED_VALUE"""),55.0)</f>
        <v>55</v>
      </c>
      <c r="H2051" s="4">
        <f>IFERROR(__xludf.DUMMYFUNCTION("""COMPUTED_VALUE"""),809.0)</f>
        <v>809</v>
      </c>
      <c r="I2051" s="4">
        <f>IFERROR(__xludf.DUMMYFUNCTION("""COMPUTED_VALUE"""),195.0)</f>
        <v>195</v>
      </c>
      <c r="J2051" s="4">
        <f>IFERROR(__xludf.DUMMYFUNCTION("""COMPUTED_VALUE"""),62.0)</f>
        <v>62</v>
      </c>
      <c r="K2051" s="4">
        <f>IFERROR(__xludf.DUMMYFUNCTION("""COMPUTED_VALUE"""),174.0)</f>
        <v>174</v>
      </c>
      <c r="L2051" s="4">
        <f>IFERROR(__xludf.DUMMYFUNCTION("""COMPUTED_VALUE"""),0.381)</f>
        <v>0.381</v>
      </c>
      <c r="M2051" s="4">
        <f>IFERROR(__xludf.DUMMYFUNCTION("""COMPUTED_VALUE"""),0.314)</f>
        <v>0.314</v>
      </c>
      <c r="N2051" s="4">
        <f>IFERROR(__xludf.DUMMYFUNCTION("""COMPUTED_VALUE"""),0.7)</f>
        <v>0.7</v>
      </c>
      <c r="O2051" s="4">
        <f>IFERROR(__xludf.DUMMYFUNCTION("""COMPUTED_VALUE"""),14.7)</f>
        <v>14.7</v>
      </c>
      <c r="P2051" s="4">
        <f>IFERROR(__xludf.DUMMYFUNCTION("""COMPUTED_VALUE"""),3.5)</f>
        <v>3.5</v>
      </c>
      <c r="Q2051" s="4">
        <f>IFERROR(__xludf.DUMMYFUNCTION("""COMPUTED_VALUE"""),1.1)</f>
        <v>1.1</v>
      </c>
      <c r="R2051" s="4">
        <f>IFERROR(__xludf.DUMMYFUNCTION("""COMPUTED_VALUE"""),3.2)</f>
        <v>3.2</v>
      </c>
      <c r="S2051" s="4">
        <f>IFERROR(__xludf.DUMMYFUNCTION("""COMPUTED_VALUE"""),-0.7)</f>
        <v>-0.7</v>
      </c>
      <c r="T2051" s="4">
        <f>IFERROR(__xludf.DUMMYFUNCTION("""COMPUTED_VALUE"""),-0.039)</f>
        <v>-0.039</v>
      </c>
      <c r="U2051" s="4">
        <f>IFERROR(__xludf.DUMMYFUNCTION("""COMPUTED_VALUE"""),-5.0)</f>
        <v>-5</v>
      </c>
      <c r="V2051" s="4">
        <f>IFERROR(__xludf.DUMMYFUNCTION("""COMPUTED_VALUE"""),-0.6)</f>
        <v>-0.6</v>
      </c>
    </row>
    <row r="2052">
      <c r="A2052" s="4">
        <f>IFERROR(__xludf.DUMMYFUNCTION("""COMPUTED_VALUE"""),21.0)</f>
        <v>21</v>
      </c>
      <c r="B2052" s="4">
        <f>IFERROR(__xludf.DUMMYFUNCTION("""COMPUTED_VALUE"""),21.0)</f>
        <v>21</v>
      </c>
      <c r="C2052" s="4" t="str">
        <f>IFERROR(__xludf.DUMMYFUNCTION("""COMPUTED_VALUE"""),"CHI")</f>
        <v>CHI</v>
      </c>
      <c r="D2052" s="4" t="str">
        <f>IFERROR(__xludf.DUMMYFUNCTION("""COMPUTED_VALUE"""),"Dickey Simpkins")</f>
        <v>Dickey Simpkins</v>
      </c>
      <c r="E2052" s="4" t="str">
        <f>IFERROR(__xludf.DUMMYFUNCTION("""COMPUTED_VALUE"""),"Providence")</f>
        <v>Providence</v>
      </c>
      <c r="F2052" s="4">
        <f>IFERROR(__xludf.DUMMYFUNCTION("""COMPUTED_VALUE"""),7.0)</f>
        <v>7</v>
      </c>
      <c r="G2052" s="4">
        <f>IFERROR(__xludf.DUMMYFUNCTION("""COMPUTED_VALUE"""),327.0)</f>
        <v>327</v>
      </c>
      <c r="H2052" s="4">
        <f>IFERROR(__xludf.DUMMYFUNCTION("""COMPUTED_VALUE"""),5201.0)</f>
        <v>5201</v>
      </c>
      <c r="I2052" s="4">
        <f>IFERROR(__xludf.DUMMYFUNCTION("""COMPUTED_VALUE"""),1388.0)</f>
        <v>1388</v>
      </c>
      <c r="J2052" s="4">
        <f>IFERROR(__xludf.DUMMYFUNCTION("""COMPUTED_VALUE"""),1187.0)</f>
        <v>1187</v>
      </c>
      <c r="K2052" s="4">
        <f>IFERROR(__xludf.DUMMYFUNCTION("""COMPUTED_VALUE"""),305.0)</f>
        <v>305</v>
      </c>
      <c r="L2052" s="4">
        <f>IFERROR(__xludf.DUMMYFUNCTION("""COMPUTED_VALUE"""),0.44)</f>
        <v>0.44</v>
      </c>
      <c r="M2052" s="4">
        <f>IFERROR(__xludf.DUMMYFUNCTION("""COMPUTED_VALUE"""),0.222)</f>
        <v>0.222</v>
      </c>
      <c r="N2052" s="4">
        <f>IFERROR(__xludf.DUMMYFUNCTION("""COMPUTED_VALUE"""),0.618)</f>
        <v>0.618</v>
      </c>
      <c r="O2052" s="4">
        <f>IFERROR(__xludf.DUMMYFUNCTION("""COMPUTED_VALUE"""),15.9)</f>
        <v>15.9</v>
      </c>
      <c r="P2052" s="4">
        <f>IFERROR(__xludf.DUMMYFUNCTION("""COMPUTED_VALUE"""),4.2)</f>
        <v>4.2</v>
      </c>
      <c r="Q2052" s="4">
        <f>IFERROR(__xludf.DUMMYFUNCTION("""COMPUTED_VALUE"""),3.6)</f>
        <v>3.6</v>
      </c>
      <c r="R2052" s="4">
        <f>IFERROR(__xludf.DUMMYFUNCTION("""COMPUTED_VALUE"""),0.9)</f>
        <v>0.9</v>
      </c>
      <c r="S2052" s="4">
        <f>IFERROR(__xludf.DUMMYFUNCTION("""COMPUTED_VALUE"""),4.7)</f>
        <v>4.7</v>
      </c>
      <c r="T2052" s="4">
        <f>IFERROR(__xludf.DUMMYFUNCTION("""COMPUTED_VALUE"""),0.044)</f>
        <v>0.044</v>
      </c>
      <c r="U2052" s="4">
        <f>IFERROR(__xludf.DUMMYFUNCTION("""COMPUTED_VALUE"""),-4.5)</f>
        <v>-4.5</v>
      </c>
      <c r="V2052" s="4">
        <f>IFERROR(__xludf.DUMMYFUNCTION("""COMPUTED_VALUE"""),-3.3)</f>
        <v>-3.3</v>
      </c>
    </row>
    <row r="2053">
      <c r="A2053" s="4">
        <f>IFERROR(__xludf.DUMMYFUNCTION("""COMPUTED_VALUE"""),22.0)</f>
        <v>22</v>
      </c>
      <c r="B2053" s="4">
        <f>IFERROR(__xludf.DUMMYFUNCTION("""COMPUTED_VALUE"""),22.0)</f>
        <v>22</v>
      </c>
      <c r="C2053" s="4" t="str">
        <f>IFERROR(__xludf.DUMMYFUNCTION("""COMPUTED_VALUE"""),"SAS")</f>
        <v>SAS</v>
      </c>
      <c r="D2053" s="4" t="str">
        <f>IFERROR(__xludf.DUMMYFUNCTION("""COMPUTED_VALUE"""),"Bill Curley")</f>
        <v>Bill Curley</v>
      </c>
      <c r="E2053" s="4" t="str">
        <f>IFERROR(__xludf.DUMMYFUNCTION("""COMPUTED_VALUE"""),"Boston College")</f>
        <v>Boston College</v>
      </c>
      <c r="F2053" s="4">
        <f>IFERROR(__xludf.DUMMYFUNCTION("""COMPUTED_VALUE"""),5.0)</f>
        <v>5</v>
      </c>
      <c r="G2053" s="4">
        <f>IFERROR(__xludf.DUMMYFUNCTION("""COMPUTED_VALUE"""),147.0)</f>
        <v>147</v>
      </c>
      <c r="H2053" s="4">
        <f>IFERROR(__xludf.DUMMYFUNCTION("""COMPUTED_VALUE"""),1614.0)</f>
        <v>1614</v>
      </c>
      <c r="I2053" s="4">
        <f>IFERROR(__xludf.DUMMYFUNCTION("""COMPUTED_VALUE"""),394.0)</f>
        <v>394</v>
      </c>
      <c r="J2053" s="4">
        <f>IFERROR(__xludf.DUMMYFUNCTION("""COMPUTED_VALUE"""),290.0)</f>
        <v>290</v>
      </c>
      <c r="K2053" s="4">
        <f>IFERROR(__xludf.DUMMYFUNCTION("""COMPUTED_VALUE"""),60.0)</f>
        <v>60</v>
      </c>
      <c r="L2053" s="4">
        <f>IFERROR(__xludf.DUMMYFUNCTION("""COMPUTED_VALUE"""),0.444)</f>
        <v>0.444</v>
      </c>
      <c r="M2053" s="4">
        <f>IFERROR(__xludf.DUMMYFUNCTION("""COMPUTED_VALUE"""),0.222)</f>
        <v>0.222</v>
      </c>
      <c r="N2053" s="4">
        <f>IFERROR(__xludf.DUMMYFUNCTION("""COMPUTED_VALUE"""),0.743)</f>
        <v>0.743</v>
      </c>
      <c r="O2053" s="4">
        <f>IFERROR(__xludf.DUMMYFUNCTION("""COMPUTED_VALUE"""),11.0)</f>
        <v>11</v>
      </c>
      <c r="P2053" s="4">
        <f>IFERROR(__xludf.DUMMYFUNCTION("""COMPUTED_VALUE"""),2.7)</f>
        <v>2.7</v>
      </c>
      <c r="Q2053" s="4">
        <f>IFERROR(__xludf.DUMMYFUNCTION("""COMPUTED_VALUE"""),2.0)</f>
        <v>2</v>
      </c>
      <c r="R2053" s="4">
        <f>IFERROR(__xludf.DUMMYFUNCTION("""COMPUTED_VALUE"""),0.4)</f>
        <v>0.4</v>
      </c>
      <c r="S2053" s="4">
        <f>IFERROR(__xludf.DUMMYFUNCTION("""COMPUTED_VALUE"""),1.6)</f>
        <v>1.6</v>
      </c>
      <c r="T2053" s="4">
        <f>IFERROR(__xludf.DUMMYFUNCTION("""COMPUTED_VALUE"""),0.047)</f>
        <v>0.047</v>
      </c>
      <c r="U2053" s="4">
        <f>IFERROR(__xludf.DUMMYFUNCTION("""COMPUTED_VALUE"""),-5.3)</f>
        <v>-5.3</v>
      </c>
      <c r="V2053" s="4">
        <f>IFERROR(__xludf.DUMMYFUNCTION("""COMPUTED_VALUE"""),-1.3)</f>
        <v>-1.3</v>
      </c>
    </row>
    <row r="2054">
      <c r="A2054" s="4">
        <f>IFERROR(__xludf.DUMMYFUNCTION("""COMPUTED_VALUE"""),23.0)</f>
        <v>23</v>
      </c>
      <c r="B2054" s="4">
        <f>IFERROR(__xludf.DUMMYFUNCTION("""COMPUTED_VALUE"""),23.0)</f>
        <v>23</v>
      </c>
      <c r="C2054" s="4" t="str">
        <f>IFERROR(__xludf.DUMMYFUNCTION("""COMPUTED_VALUE"""),"PHO")</f>
        <v>PHO</v>
      </c>
      <c r="D2054" s="4" t="str">
        <f>IFERROR(__xludf.DUMMYFUNCTION("""COMPUTED_VALUE"""),"Wesley Person")</f>
        <v>Wesley Person</v>
      </c>
      <c r="E2054" s="4" t="str">
        <f>IFERROR(__xludf.DUMMYFUNCTION("""COMPUTED_VALUE"""),"Auburn")</f>
        <v>Auburn</v>
      </c>
      <c r="F2054" s="4">
        <f>IFERROR(__xludf.DUMMYFUNCTION("""COMPUTED_VALUE"""),11.0)</f>
        <v>11</v>
      </c>
      <c r="G2054" s="4">
        <f>IFERROR(__xludf.DUMMYFUNCTION("""COMPUTED_VALUE"""),733.0)</f>
        <v>733</v>
      </c>
      <c r="H2054" s="4">
        <f>IFERROR(__xludf.DUMMYFUNCTION("""COMPUTED_VALUE"""),20727.0)</f>
        <v>20727</v>
      </c>
      <c r="I2054" s="4">
        <f>IFERROR(__xludf.DUMMYFUNCTION("""COMPUTED_VALUE"""),8192.0)</f>
        <v>8192</v>
      </c>
      <c r="J2054" s="4">
        <f>IFERROR(__xludf.DUMMYFUNCTION("""COMPUTED_VALUE"""),2402.0)</f>
        <v>2402</v>
      </c>
      <c r="K2054" s="4">
        <f>IFERROR(__xludf.DUMMYFUNCTION("""COMPUTED_VALUE"""),1234.0)</f>
        <v>1234</v>
      </c>
      <c r="L2054" s="4">
        <f>IFERROR(__xludf.DUMMYFUNCTION("""COMPUTED_VALUE"""),0.457)</f>
        <v>0.457</v>
      </c>
      <c r="M2054" s="4">
        <f>IFERROR(__xludf.DUMMYFUNCTION("""COMPUTED_VALUE"""),0.418)</f>
        <v>0.418</v>
      </c>
      <c r="N2054" s="4">
        <f>IFERROR(__xludf.DUMMYFUNCTION("""COMPUTED_VALUE"""),0.778)</f>
        <v>0.778</v>
      </c>
      <c r="O2054" s="4">
        <f>IFERROR(__xludf.DUMMYFUNCTION("""COMPUTED_VALUE"""),28.3)</f>
        <v>28.3</v>
      </c>
      <c r="P2054" s="4">
        <f>IFERROR(__xludf.DUMMYFUNCTION("""COMPUTED_VALUE"""),11.2)</f>
        <v>11.2</v>
      </c>
      <c r="Q2054" s="4">
        <f>IFERROR(__xludf.DUMMYFUNCTION("""COMPUTED_VALUE"""),3.3)</f>
        <v>3.3</v>
      </c>
      <c r="R2054" s="4">
        <f>IFERROR(__xludf.DUMMYFUNCTION("""COMPUTED_VALUE"""),1.7)</f>
        <v>1.7</v>
      </c>
      <c r="S2054" s="4">
        <f>IFERROR(__xludf.DUMMYFUNCTION("""COMPUTED_VALUE"""),44.0)</f>
        <v>44</v>
      </c>
      <c r="T2054" s="4">
        <f>IFERROR(__xludf.DUMMYFUNCTION("""COMPUTED_VALUE"""),0.102)</f>
        <v>0.102</v>
      </c>
      <c r="U2054" s="4">
        <f>IFERROR(__xludf.DUMMYFUNCTION("""COMPUTED_VALUE"""),0.9)</f>
        <v>0.9</v>
      </c>
      <c r="V2054" s="4">
        <f>IFERROR(__xludf.DUMMYFUNCTION("""COMPUTED_VALUE"""),15.2)</f>
        <v>15.2</v>
      </c>
    </row>
    <row r="2055">
      <c r="A2055" s="4">
        <f>IFERROR(__xludf.DUMMYFUNCTION("""COMPUTED_VALUE"""),24.0)</f>
        <v>24</v>
      </c>
      <c r="B2055" s="4">
        <f>IFERROR(__xludf.DUMMYFUNCTION("""COMPUTED_VALUE"""),24.0)</f>
        <v>24</v>
      </c>
      <c r="C2055" s="4" t="str">
        <f>IFERROR(__xludf.DUMMYFUNCTION("""COMPUTED_VALUE"""),"NYK")</f>
        <v>NYK</v>
      </c>
      <c r="D2055" s="4" t="str">
        <f>IFERROR(__xludf.DUMMYFUNCTION("""COMPUTED_VALUE"""),"Monty Williams")</f>
        <v>Monty Williams</v>
      </c>
      <c r="E2055" s="4" t="str">
        <f>IFERROR(__xludf.DUMMYFUNCTION("""COMPUTED_VALUE"""),"Notre Dame")</f>
        <v>Notre Dame</v>
      </c>
      <c r="F2055" s="4">
        <f>IFERROR(__xludf.DUMMYFUNCTION("""COMPUTED_VALUE"""),9.0)</f>
        <v>9</v>
      </c>
      <c r="G2055" s="4">
        <f>IFERROR(__xludf.DUMMYFUNCTION("""COMPUTED_VALUE"""),456.0)</f>
        <v>456</v>
      </c>
      <c r="H2055" s="4">
        <f>IFERROR(__xludf.DUMMYFUNCTION("""COMPUTED_VALUE"""),7624.0)</f>
        <v>7624</v>
      </c>
      <c r="I2055" s="4">
        <f>IFERROR(__xludf.DUMMYFUNCTION("""COMPUTED_VALUE"""),2884.0)</f>
        <v>2884</v>
      </c>
      <c r="J2055" s="4">
        <f>IFERROR(__xludf.DUMMYFUNCTION("""COMPUTED_VALUE"""),1296.0)</f>
        <v>1296</v>
      </c>
      <c r="K2055" s="4">
        <f>IFERROR(__xludf.DUMMYFUNCTION("""COMPUTED_VALUE"""),544.0)</f>
        <v>544</v>
      </c>
      <c r="L2055" s="4">
        <f>IFERROR(__xludf.DUMMYFUNCTION("""COMPUTED_VALUE"""),0.481)</f>
        <v>0.481</v>
      </c>
      <c r="M2055" s="4">
        <f>IFERROR(__xludf.DUMMYFUNCTION("""COMPUTED_VALUE"""),0.111)</f>
        <v>0.111</v>
      </c>
      <c r="N2055" s="4">
        <f>IFERROR(__xludf.DUMMYFUNCTION("""COMPUTED_VALUE"""),0.665)</f>
        <v>0.665</v>
      </c>
      <c r="O2055" s="4">
        <f>IFERROR(__xludf.DUMMYFUNCTION("""COMPUTED_VALUE"""),16.7)</f>
        <v>16.7</v>
      </c>
      <c r="P2055" s="4">
        <f>IFERROR(__xludf.DUMMYFUNCTION("""COMPUTED_VALUE"""),6.3)</f>
        <v>6.3</v>
      </c>
      <c r="Q2055" s="4">
        <f>IFERROR(__xludf.DUMMYFUNCTION("""COMPUTED_VALUE"""),2.8)</f>
        <v>2.8</v>
      </c>
      <c r="R2055" s="4">
        <f>IFERROR(__xludf.DUMMYFUNCTION("""COMPUTED_VALUE"""),1.2)</f>
        <v>1.2</v>
      </c>
      <c r="S2055" s="4">
        <f>IFERROR(__xludf.DUMMYFUNCTION("""COMPUTED_VALUE"""),11.4)</f>
        <v>11.4</v>
      </c>
      <c r="T2055" s="4">
        <f>IFERROR(__xludf.DUMMYFUNCTION("""COMPUTED_VALUE"""),0.072)</f>
        <v>0.072</v>
      </c>
      <c r="U2055" s="4">
        <f>IFERROR(__xludf.DUMMYFUNCTION("""COMPUTED_VALUE"""),-1.8)</f>
        <v>-1.8</v>
      </c>
      <c r="V2055" s="4">
        <f>IFERROR(__xludf.DUMMYFUNCTION("""COMPUTED_VALUE"""),0.3)</f>
        <v>0.3</v>
      </c>
    </row>
    <row r="2056">
      <c r="A2056" s="4">
        <f>IFERROR(__xludf.DUMMYFUNCTION("""COMPUTED_VALUE"""),25.0)</f>
        <v>25</v>
      </c>
      <c r="B2056" s="4">
        <f>IFERROR(__xludf.DUMMYFUNCTION("""COMPUTED_VALUE"""),25.0)</f>
        <v>25</v>
      </c>
      <c r="C2056" s="4" t="str">
        <f>IFERROR(__xludf.DUMMYFUNCTION("""COMPUTED_VALUE"""),"LAC")</f>
        <v>LAC</v>
      </c>
      <c r="D2056" s="4" t="str">
        <f>IFERROR(__xludf.DUMMYFUNCTION("""COMPUTED_VALUE"""),"Greg Minor")</f>
        <v>Greg Minor</v>
      </c>
      <c r="E2056" s="4" t="str">
        <f>IFERROR(__xludf.DUMMYFUNCTION("""COMPUTED_VALUE"""),"Louisville")</f>
        <v>Louisville</v>
      </c>
      <c r="F2056" s="4">
        <f>IFERROR(__xludf.DUMMYFUNCTION("""COMPUTED_VALUE"""),5.0)</f>
        <v>5</v>
      </c>
      <c r="G2056" s="4">
        <f>IFERROR(__xludf.DUMMYFUNCTION("""COMPUTED_VALUE"""),277.0)</f>
        <v>277</v>
      </c>
      <c r="H2056" s="4">
        <f>IFERROR(__xludf.DUMMYFUNCTION("""COMPUTED_VALUE"""),5144.0)</f>
        <v>5144</v>
      </c>
      <c r="I2056" s="4">
        <f>IFERROR(__xludf.DUMMYFUNCTION("""COMPUTED_VALUE"""),1902.0)</f>
        <v>1902</v>
      </c>
      <c r="J2056" s="4">
        <f>IFERROR(__xludf.DUMMYFUNCTION("""COMPUTED_VALUE"""),741.0)</f>
        <v>741</v>
      </c>
      <c r="K2056" s="4">
        <f>IFERROR(__xludf.DUMMYFUNCTION("""COMPUTED_VALUE"""),384.0)</f>
        <v>384</v>
      </c>
      <c r="L2056" s="4">
        <f>IFERROR(__xludf.DUMMYFUNCTION("""COMPUTED_VALUE"""),0.478)</f>
        <v>0.478</v>
      </c>
      <c r="M2056" s="4">
        <f>IFERROR(__xludf.DUMMYFUNCTION("""COMPUTED_VALUE"""),0.226)</f>
        <v>0.226</v>
      </c>
      <c r="N2056" s="4">
        <f>IFERROR(__xludf.DUMMYFUNCTION("""COMPUTED_VALUE"""),0.767)</f>
        <v>0.767</v>
      </c>
      <c r="O2056" s="4">
        <f>IFERROR(__xludf.DUMMYFUNCTION("""COMPUTED_VALUE"""),18.6)</f>
        <v>18.6</v>
      </c>
      <c r="P2056" s="4">
        <f>IFERROR(__xludf.DUMMYFUNCTION("""COMPUTED_VALUE"""),6.9)</f>
        <v>6.9</v>
      </c>
      <c r="Q2056" s="4">
        <f>IFERROR(__xludf.DUMMYFUNCTION("""COMPUTED_VALUE"""),2.7)</f>
        <v>2.7</v>
      </c>
      <c r="R2056" s="4">
        <f>IFERROR(__xludf.DUMMYFUNCTION("""COMPUTED_VALUE"""),1.4)</f>
        <v>1.4</v>
      </c>
      <c r="S2056" s="4">
        <f>IFERROR(__xludf.DUMMYFUNCTION("""COMPUTED_VALUE"""),8.2)</f>
        <v>8.2</v>
      </c>
      <c r="T2056" s="4">
        <f>IFERROR(__xludf.DUMMYFUNCTION("""COMPUTED_VALUE"""),0.077)</f>
        <v>0.077</v>
      </c>
      <c r="U2056" s="4">
        <f>IFERROR(__xludf.DUMMYFUNCTION("""COMPUTED_VALUE"""),-1.5)</f>
        <v>-1.5</v>
      </c>
      <c r="V2056" s="4">
        <f>IFERROR(__xludf.DUMMYFUNCTION("""COMPUTED_VALUE"""),0.7)</f>
        <v>0.7</v>
      </c>
    </row>
    <row r="2057">
      <c r="A2057" s="4">
        <f>IFERROR(__xludf.DUMMYFUNCTION("""COMPUTED_VALUE"""),26.0)</f>
        <v>26</v>
      </c>
      <c r="B2057" s="4">
        <f>IFERROR(__xludf.DUMMYFUNCTION("""COMPUTED_VALUE"""),26.0)</f>
        <v>26</v>
      </c>
      <c r="C2057" s="4" t="str">
        <f>IFERROR(__xludf.DUMMYFUNCTION("""COMPUTED_VALUE"""),"NYK")</f>
        <v>NYK</v>
      </c>
      <c r="D2057" s="4" t="str">
        <f>IFERROR(__xludf.DUMMYFUNCTION("""COMPUTED_VALUE"""),"Charlie Ward")</f>
        <v>Charlie Ward</v>
      </c>
      <c r="E2057" s="4" t="str">
        <f>IFERROR(__xludf.DUMMYFUNCTION("""COMPUTED_VALUE"""),"Florida State")</f>
        <v>Florida State</v>
      </c>
      <c r="F2057" s="4">
        <f>IFERROR(__xludf.DUMMYFUNCTION("""COMPUTED_VALUE"""),11.0)</f>
        <v>11</v>
      </c>
      <c r="G2057" s="4">
        <f>IFERROR(__xludf.DUMMYFUNCTION("""COMPUTED_VALUE"""),630.0)</f>
        <v>630</v>
      </c>
      <c r="H2057" s="4">
        <f>IFERROR(__xludf.DUMMYFUNCTION("""COMPUTED_VALUE"""),14080.0)</f>
        <v>14080</v>
      </c>
      <c r="I2057" s="4">
        <f>IFERROR(__xludf.DUMMYFUNCTION("""COMPUTED_VALUE"""),3947.0)</f>
        <v>3947</v>
      </c>
      <c r="J2057" s="4">
        <f>IFERROR(__xludf.DUMMYFUNCTION("""COMPUTED_VALUE"""),1648.0)</f>
        <v>1648</v>
      </c>
      <c r="K2057" s="4">
        <f>IFERROR(__xludf.DUMMYFUNCTION("""COMPUTED_VALUE"""),2539.0)</f>
        <v>2539</v>
      </c>
      <c r="L2057" s="4">
        <f>IFERROR(__xludf.DUMMYFUNCTION("""COMPUTED_VALUE"""),0.408)</f>
        <v>0.408</v>
      </c>
      <c r="M2057" s="4">
        <f>IFERROR(__xludf.DUMMYFUNCTION("""COMPUTED_VALUE"""),0.364)</f>
        <v>0.364</v>
      </c>
      <c r="N2057" s="4">
        <f>IFERROR(__xludf.DUMMYFUNCTION("""COMPUTED_VALUE"""),0.771)</f>
        <v>0.771</v>
      </c>
      <c r="O2057" s="4">
        <f>IFERROR(__xludf.DUMMYFUNCTION("""COMPUTED_VALUE"""),22.3)</f>
        <v>22.3</v>
      </c>
      <c r="P2057" s="4">
        <f>IFERROR(__xludf.DUMMYFUNCTION("""COMPUTED_VALUE"""),6.3)</f>
        <v>6.3</v>
      </c>
      <c r="Q2057" s="4">
        <f>IFERROR(__xludf.DUMMYFUNCTION("""COMPUTED_VALUE"""),2.6)</f>
        <v>2.6</v>
      </c>
      <c r="R2057" s="4">
        <f>IFERROR(__xludf.DUMMYFUNCTION("""COMPUTED_VALUE"""),4.0)</f>
        <v>4</v>
      </c>
      <c r="S2057" s="4">
        <f>IFERROR(__xludf.DUMMYFUNCTION("""COMPUTED_VALUE"""),33.0)</f>
        <v>33</v>
      </c>
      <c r="T2057" s="4">
        <f>IFERROR(__xludf.DUMMYFUNCTION("""COMPUTED_VALUE"""),0.113)</f>
        <v>0.113</v>
      </c>
      <c r="U2057" s="4">
        <f>IFERROR(__xludf.DUMMYFUNCTION("""COMPUTED_VALUE"""),2.1)</f>
        <v>2.1</v>
      </c>
      <c r="V2057" s="4">
        <f>IFERROR(__xludf.DUMMYFUNCTION("""COMPUTED_VALUE"""),14.5)</f>
        <v>14.5</v>
      </c>
    </row>
    <row r="2058">
      <c r="A2058" s="4">
        <f>IFERROR(__xludf.DUMMYFUNCTION("""COMPUTED_VALUE"""),27.0)</f>
        <v>27</v>
      </c>
      <c r="B2058" s="4">
        <f>IFERROR(__xludf.DUMMYFUNCTION("""COMPUTED_VALUE"""),27.0)</f>
        <v>27</v>
      </c>
      <c r="C2058" s="4" t="str">
        <f>IFERROR(__xludf.DUMMYFUNCTION("""COMPUTED_VALUE"""),"ORL")</f>
        <v>ORL</v>
      </c>
      <c r="D2058" s="4" t="str">
        <f>IFERROR(__xludf.DUMMYFUNCTION("""COMPUTED_VALUE"""),"Brooks Thompson")</f>
        <v>Brooks Thompson</v>
      </c>
      <c r="E2058" s="4" t="str">
        <f>IFERROR(__xludf.DUMMYFUNCTION("""COMPUTED_VALUE"""),"Oklahoma State")</f>
        <v>Oklahoma State</v>
      </c>
      <c r="F2058" s="4">
        <f>IFERROR(__xludf.DUMMYFUNCTION("""COMPUTED_VALUE"""),4.0)</f>
        <v>4</v>
      </c>
      <c r="G2058" s="4">
        <f>IFERROR(__xludf.DUMMYFUNCTION("""COMPUTED_VALUE"""),168.0)</f>
        <v>168</v>
      </c>
      <c r="H2058" s="4">
        <f>IFERROR(__xludf.DUMMYFUNCTION("""COMPUTED_VALUE"""),1714.0)</f>
        <v>1714</v>
      </c>
      <c r="I2058" s="4">
        <f>IFERROR(__xludf.DUMMYFUNCTION("""COMPUTED_VALUE"""),760.0)</f>
        <v>760</v>
      </c>
      <c r="J2058" s="4">
        <f>IFERROR(__xludf.DUMMYFUNCTION("""COMPUTED_VALUE"""),158.0)</f>
        <v>158</v>
      </c>
      <c r="K2058" s="4">
        <f>IFERROR(__xludf.DUMMYFUNCTION("""COMPUTED_VALUE"""),281.0)</f>
        <v>281</v>
      </c>
      <c r="L2058" s="4">
        <f>IFERROR(__xludf.DUMMYFUNCTION("""COMPUTED_VALUE"""),0.409)</f>
        <v>0.409</v>
      </c>
      <c r="M2058" s="4">
        <f>IFERROR(__xludf.DUMMYFUNCTION("""COMPUTED_VALUE"""),0.376)</f>
        <v>0.376</v>
      </c>
      <c r="N2058" s="4">
        <f>IFERROR(__xludf.DUMMYFUNCTION("""COMPUTED_VALUE"""),0.647)</f>
        <v>0.647</v>
      </c>
      <c r="O2058" s="4">
        <f>IFERROR(__xludf.DUMMYFUNCTION("""COMPUTED_VALUE"""),10.2)</f>
        <v>10.2</v>
      </c>
      <c r="P2058" s="4">
        <f>IFERROR(__xludf.DUMMYFUNCTION("""COMPUTED_VALUE"""),4.5)</f>
        <v>4.5</v>
      </c>
      <c r="Q2058" s="4">
        <f>IFERROR(__xludf.DUMMYFUNCTION("""COMPUTED_VALUE"""),0.9)</f>
        <v>0.9</v>
      </c>
      <c r="R2058" s="4">
        <f>IFERROR(__xludf.DUMMYFUNCTION("""COMPUTED_VALUE"""),1.7)</f>
        <v>1.7</v>
      </c>
      <c r="S2058" s="4">
        <f>IFERROR(__xludf.DUMMYFUNCTION("""COMPUTED_VALUE"""),2.0)</f>
        <v>2</v>
      </c>
      <c r="T2058" s="4">
        <f>IFERROR(__xludf.DUMMYFUNCTION("""COMPUTED_VALUE"""),0.057)</f>
        <v>0.057</v>
      </c>
      <c r="U2058" s="4">
        <f>IFERROR(__xludf.DUMMYFUNCTION("""COMPUTED_VALUE"""),-1.5)</f>
        <v>-1.5</v>
      </c>
      <c r="V2058" s="4">
        <f>IFERROR(__xludf.DUMMYFUNCTION("""COMPUTED_VALUE"""),0.2)</f>
        <v>0.2</v>
      </c>
    </row>
    <row r="2059">
      <c r="A2059" s="4"/>
      <c r="B2059" s="4"/>
      <c r="C2059" s="4"/>
      <c r="D2059" s="4" t="str">
        <f>IFERROR(__xludf.DUMMYFUNCTION("""COMPUTED_VALUE"""),"Round 2")</f>
        <v>Round 2</v>
      </c>
      <c r="E2059" s="4"/>
      <c r="F2059" s="4"/>
      <c r="G2059" s="4" t="str">
        <f>IFERROR(__xludf.DUMMYFUNCTION("""COMPUTED_VALUE"""),"Totals")</f>
        <v>Totals</v>
      </c>
      <c r="H2059" s="4"/>
      <c r="I2059" s="4"/>
      <c r="J2059" s="4"/>
      <c r="K2059" s="4"/>
      <c r="L2059" s="4" t="str">
        <f>IFERROR(__xludf.DUMMYFUNCTION("""COMPUTED_VALUE"""),"Shooting")</f>
        <v>Shooting</v>
      </c>
      <c r="M2059" s="4"/>
      <c r="N2059" s="4"/>
      <c r="O2059" s="4" t="str">
        <f>IFERROR(__xludf.DUMMYFUNCTION("""COMPUTED_VALUE"""),"Per Game")</f>
        <v>Per Game</v>
      </c>
      <c r="P2059" s="4"/>
      <c r="Q2059" s="4"/>
      <c r="R2059" s="4"/>
      <c r="S2059" s="4" t="str">
        <f>IFERROR(__xludf.DUMMYFUNCTION("""COMPUTED_VALUE"""),"Advanced")</f>
        <v>Advanced</v>
      </c>
      <c r="T2059" s="4"/>
      <c r="U2059" s="4"/>
      <c r="V2059" s="4"/>
    </row>
    <row r="2060">
      <c r="A2060" s="4" t="str">
        <f>IFERROR(__xludf.DUMMYFUNCTION("""COMPUTED_VALUE"""),"Rk")</f>
        <v>Rk</v>
      </c>
      <c r="B2060" s="4" t="str">
        <f>IFERROR(__xludf.DUMMYFUNCTION("""COMPUTED_VALUE"""),"Pk")</f>
        <v>Pk</v>
      </c>
      <c r="C2060" s="4" t="str">
        <f>IFERROR(__xludf.DUMMYFUNCTION("""COMPUTED_VALUE"""),"Tm")</f>
        <v>Tm</v>
      </c>
      <c r="D2060" s="4" t="str">
        <f>IFERROR(__xludf.DUMMYFUNCTION("""COMPUTED_VALUE"""),"Player")</f>
        <v>Player</v>
      </c>
      <c r="E2060" s="4" t="str">
        <f>IFERROR(__xludf.DUMMYFUNCTION("""COMPUTED_VALUE"""),"College")</f>
        <v>College</v>
      </c>
      <c r="F2060" s="4" t="str">
        <f>IFERROR(__xludf.DUMMYFUNCTION("""COMPUTED_VALUE"""),"Yrs")</f>
        <v>Yrs</v>
      </c>
      <c r="G2060" s="4" t="str">
        <f>IFERROR(__xludf.DUMMYFUNCTION("""COMPUTED_VALUE"""),"G")</f>
        <v>G</v>
      </c>
      <c r="H2060" s="4" t="str">
        <f>IFERROR(__xludf.DUMMYFUNCTION("""COMPUTED_VALUE"""),"MP")</f>
        <v>MP</v>
      </c>
      <c r="I2060" s="4" t="str">
        <f>IFERROR(__xludf.DUMMYFUNCTION("""COMPUTED_VALUE"""),"PTS")</f>
        <v>PTS</v>
      </c>
      <c r="J2060" s="4" t="str">
        <f>IFERROR(__xludf.DUMMYFUNCTION("""COMPUTED_VALUE"""),"TRB")</f>
        <v>TRB</v>
      </c>
      <c r="K2060" s="4" t="str">
        <f>IFERROR(__xludf.DUMMYFUNCTION("""COMPUTED_VALUE"""),"AST")</f>
        <v>AST</v>
      </c>
      <c r="L2060" s="4" t="str">
        <f>IFERROR(__xludf.DUMMYFUNCTION("""COMPUTED_VALUE"""),"FG%")</f>
        <v>FG%</v>
      </c>
      <c r="M2060" s="4" t="str">
        <f>IFERROR(__xludf.DUMMYFUNCTION("""COMPUTED_VALUE"""),"3P%")</f>
        <v>3P%</v>
      </c>
      <c r="N2060" s="4" t="str">
        <f>IFERROR(__xludf.DUMMYFUNCTION("""COMPUTED_VALUE"""),"FT%")</f>
        <v>FT%</v>
      </c>
      <c r="O2060" s="4" t="str">
        <f>IFERROR(__xludf.DUMMYFUNCTION("""COMPUTED_VALUE"""),"MP")</f>
        <v>MP</v>
      </c>
      <c r="P2060" s="4" t="str">
        <f>IFERROR(__xludf.DUMMYFUNCTION("""COMPUTED_VALUE"""),"PTS")</f>
        <v>PTS</v>
      </c>
      <c r="Q2060" s="4" t="str">
        <f>IFERROR(__xludf.DUMMYFUNCTION("""COMPUTED_VALUE"""),"TRB")</f>
        <v>TRB</v>
      </c>
      <c r="R2060" s="4" t="str">
        <f>IFERROR(__xludf.DUMMYFUNCTION("""COMPUTED_VALUE"""),"AST")</f>
        <v>AST</v>
      </c>
      <c r="S2060" s="4" t="str">
        <f>IFERROR(__xludf.DUMMYFUNCTION("""COMPUTED_VALUE"""),"WS")</f>
        <v>WS</v>
      </c>
      <c r="T2060" s="4" t="str">
        <f>IFERROR(__xludf.DUMMYFUNCTION("""COMPUTED_VALUE"""),"WS/48")</f>
        <v>WS/48</v>
      </c>
      <c r="U2060" s="4" t="str">
        <f>IFERROR(__xludf.DUMMYFUNCTION("""COMPUTED_VALUE"""),"BPM")</f>
        <v>BPM</v>
      </c>
      <c r="V2060" s="4" t="str">
        <f>IFERROR(__xludf.DUMMYFUNCTION("""COMPUTED_VALUE"""),"VORP")</f>
        <v>VORP</v>
      </c>
    </row>
    <row r="2061">
      <c r="A2061" s="4">
        <f>IFERROR(__xludf.DUMMYFUNCTION("""COMPUTED_VALUE"""),28.0)</f>
        <v>28</v>
      </c>
      <c r="B2061" s="4">
        <f>IFERROR(__xludf.DUMMYFUNCTION("""COMPUTED_VALUE"""),28.0)</f>
        <v>28</v>
      </c>
      <c r="C2061" s="4" t="str">
        <f>IFERROR(__xludf.DUMMYFUNCTION("""COMPUTED_VALUE"""),"DAL")</f>
        <v>DAL</v>
      </c>
      <c r="D2061" s="4" t="str">
        <f>IFERROR(__xludf.DUMMYFUNCTION("""COMPUTED_VALUE"""),"Deon Thomas")</f>
        <v>Deon Thomas</v>
      </c>
      <c r="E2061" s="4" t="str">
        <f>IFERROR(__xludf.DUMMYFUNCTION("""COMPUTED_VALUE"""),"Illinois")</f>
        <v>Illinois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</row>
    <row r="2062">
      <c r="A2062" s="4">
        <f>IFERROR(__xludf.DUMMYFUNCTION("""COMPUTED_VALUE"""),29.0)</f>
        <v>29</v>
      </c>
      <c r="B2062" s="4">
        <f>IFERROR(__xludf.DUMMYFUNCTION("""COMPUTED_VALUE"""),29.0)</f>
        <v>29</v>
      </c>
      <c r="C2062" s="4" t="str">
        <f>IFERROR(__xludf.DUMMYFUNCTION("""COMPUTED_VALUE"""),"PHO")</f>
        <v>PHO</v>
      </c>
      <c r="D2062" s="4" t="str">
        <f>IFERROR(__xludf.DUMMYFUNCTION("""COMPUTED_VALUE"""),"Antonio Lang")</f>
        <v>Antonio Lang</v>
      </c>
      <c r="E2062" s="4" t="str">
        <f>IFERROR(__xludf.DUMMYFUNCTION("""COMPUTED_VALUE"""),"Duke")</f>
        <v>Duke</v>
      </c>
      <c r="F2062" s="4">
        <f>IFERROR(__xludf.DUMMYFUNCTION("""COMPUTED_VALUE"""),6.0)</f>
        <v>6</v>
      </c>
      <c r="G2062" s="4">
        <f>IFERROR(__xludf.DUMMYFUNCTION("""COMPUTED_VALUE"""),143.0)</f>
        <v>143</v>
      </c>
      <c r="H2062" s="4">
        <f>IFERROR(__xludf.DUMMYFUNCTION("""COMPUTED_VALUE"""),1395.0)</f>
        <v>1395</v>
      </c>
      <c r="I2062" s="4">
        <f>IFERROR(__xludf.DUMMYFUNCTION("""COMPUTED_VALUE"""),329.0)</f>
        <v>329</v>
      </c>
      <c r="J2062" s="4">
        <f>IFERROR(__xludf.DUMMYFUNCTION("""COMPUTED_VALUE"""),210.0)</f>
        <v>210</v>
      </c>
      <c r="K2062" s="4">
        <f>IFERROR(__xludf.DUMMYFUNCTION("""COMPUTED_VALUE"""),50.0)</f>
        <v>50</v>
      </c>
      <c r="L2062" s="4">
        <f>IFERROR(__xludf.DUMMYFUNCTION("""COMPUTED_VALUE"""),0.455)</f>
        <v>0.455</v>
      </c>
      <c r="M2062" s="4">
        <f>IFERROR(__xludf.DUMMYFUNCTION("""COMPUTED_VALUE"""),0.0)</f>
        <v>0</v>
      </c>
      <c r="N2062" s="4">
        <f>IFERROR(__xludf.DUMMYFUNCTION("""COMPUTED_VALUE"""),0.719)</f>
        <v>0.719</v>
      </c>
      <c r="O2062" s="4">
        <f>IFERROR(__xludf.DUMMYFUNCTION("""COMPUTED_VALUE"""),9.8)</f>
        <v>9.8</v>
      </c>
      <c r="P2062" s="4">
        <f>IFERROR(__xludf.DUMMYFUNCTION("""COMPUTED_VALUE"""),2.3)</f>
        <v>2.3</v>
      </c>
      <c r="Q2062" s="4">
        <f>IFERROR(__xludf.DUMMYFUNCTION("""COMPUTED_VALUE"""),1.5)</f>
        <v>1.5</v>
      </c>
      <c r="R2062" s="4">
        <f>IFERROR(__xludf.DUMMYFUNCTION("""COMPUTED_VALUE"""),0.3)</f>
        <v>0.3</v>
      </c>
      <c r="S2062" s="4">
        <f>IFERROR(__xludf.DUMMYFUNCTION("""COMPUTED_VALUE"""),1.7)</f>
        <v>1.7</v>
      </c>
      <c r="T2062" s="4">
        <f>IFERROR(__xludf.DUMMYFUNCTION("""COMPUTED_VALUE"""),0.057)</f>
        <v>0.057</v>
      </c>
      <c r="U2062" s="4">
        <f>IFERROR(__xludf.DUMMYFUNCTION("""COMPUTED_VALUE"""),-3.8)</f>
        <v>-3.8</v>
      </c>
      <c r="V2062" s="4">
        <f>IFERROR(__xludf.DUMMYFUNCTION("""COMPUTED_VALUE"""),-0.6)</f>
        <v>-0.6</v>
      </c>
    </row>
    <row r="2063">
      <c r="A2063" s="4">
        <f>IFERROR(__xludf.DUMMYFUNCTION("""COMPUTED_VALUE"""),30.0)</f>
        <v>30</v>
      </c>
      <c r="B2063" s="4">
        <f>IFERROR(__xludf.DUMMYFUNCTION("""COMPUTED_VALUE"""),30.0)</f>
        <v>30</v>
      </c>
      <c r="C2063" s="4" t="str">
        <f>IFERROR(__xludf.DUMMYFUNCTION("""COMPUTED_VALUE"""),"MIN")</f>
        <v>MIN</v>
      </c>
      <c r="D2063" s="4" t="str">
        <f>IFERROR(__xludf.DUMMYFUNCTION("""COMPUTED_VALUE"""),"Howard Eisley")</f>
        <v>Howard Eisley</v>
      </c>
      <c r="E2063" s="4" t="str">
        <f>IFERROR(__xludf.DUMMYFUNCTION("""COMPUTED_VALUE"""),"Boston College")</f>
        <v>Boston College</v>
      </c>
      <c r="F2063" s="4">
        <f>IFERROR(__xludf.DUMMYFUNCTION("""COMPUTED_VALUE"""),12.0)</f>
        <v>12</v>
      </c>
      <c r="G2063" s="4">
        <f>IFERROR(__xludf.DUMMYFUNCTION("""COMPUTED_VALUE"""),786.0)</f>
        <v>786</v>
      </c>
      <c r="H2063" s="4">
        <f>IFERROR(__xludf.DUMMYFUNCTION("""COMPUTED_VALUE"""),16013.0)</f>
        <v>16013</v>
      </c>
      <c r="I2063" s="4">
        <f>IFERROR(__xludf.DUMMYFUNCTION("""COMPUTED_VALUE"""),5116.0)</f>
        <v>5116</v>
      </c>
      <c r="J2063" s="4">
        <f>IFERROR(__xludf.DUMMYFUNCTION("""COMPUTED_VALUE"""),1324.0)</f>
        <v>1324</v>
      </c>
      <c r="K2063" s="4">
        <f>IFERROR(__xludf.DUMMYFUNCTION("""COMPUTED_VALUE"""),2748.0)</f>
        <v>2748</v>
      </c>
      <c r="L2063" s="4">
        <f>IFERROR(__xludf.DUMMYFUNCTION("""COMPUTED_VALUE"""),0.407)</f>
        <v>0.407</v>
      </c>
      <c r="M2063" s="4">
        <f>IFERROR(__xludf.DUMMYFUNCTION("""COMPUTED_VALUE"""),0.35)</f>
        <v>0.35</v>
      </c>
      <c r="N2063" s="4">
        <f>IFERROR(__xludf.DUMMYFUNCTION("""COMPUTED_VALUE"""),0.827)</f>
        <v>0.827</v>
      </c>
      <c r="O2063" s="4">
        <f>IFERROR(__xludf.DUMMYFUNCTION("""COMPUTED_VALUE"""),20.4)</f>
        <v>20.4</v>
      </c>
      <c r="P2063" s="4">
        <f>IFERROR(__xludf.DUMMYFUNCTION("""COMPUTED_VALUE"""),6.5)</f>
        <v>6.5</v>
      </c>
      <c r="Q2063" s="4">
        <f>IFERROR(__xludf.DUMMYFUNCTION("""COMPUTED_VALUE"""),1.7)</f>
        <v>1.7</v>
      </c>
      <c r="R2063" s="4">
        <f>IFERROR(__xludf.DUMMYFUNCTION("""COMPUTED_VALUE"""),3.5)</f>
        <v>3.5</v>
      </c>
      <c r="S2063" s="4">
        <f>IFERROR(__xludf.DUMMYFUNCTION("""COMPUTED_VALUE"""),19.5)</f>
        <v>19.5</v>
      </c>
      <c r="T2063" s="4">
        <f>IFERROR(__xludf.DUMMYFUNCTION("""COMPUTED_VALUE"""),0.058)</f>
        <v>0.058</v>
      </c>
      <c r="U2063" s="4">
        <f>IFERROR(__xludf.DUMMYFUNCTION("""COMPUTED_VALUE"""),-1.7)</f>
        <v>-1.7</v>
      </c>
      <c r="V2063" s="4">
        <f>IFERROR(__xludf.DUMMYFUNCTION("""COMPUTED_VALUE"""),1.3)</f>
        <v>1.3</v>
      </c>
    </row>
    <row r="2064">
      <c r="A2064" s="4">
        <f>IFERROR(__xludf.DUMMYFUNCTION("""COMPUTED_VALUE"""),31.0)</f>
        <v>31</v>
      </c>
      <c r="B2064" s="4">
        <f>IFERROR(__xludf.DUMMYFUNCTION("""COMPUTED_VALUE"""),31.0)</f>
        <v>31</v>
      </c>
      <c r="C2064" s="4" t="str">
        <f>IFERROR(__xludf.DUMMYFUNCTION("""COMPUTED_VALUE"""),"ORL")</f>
        <v>ORL</v>
      </c>
      <c r="D2064" s="4" t="str">
        <f>IFERROR(__xludf.DUMMYFUNCTION("""COMPUTED_VALUE"""),"Rodney Dent")</f>
        <v>Rodney Dent</v>
      </c>
      <c r="E2064" s="4" t="str">
        <f>IFERROR(__xludf.DUMMYFUNCTION("""COMPUTED_VALUE"""),"Kentucky")</f>
        <v>Kentucky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</row>
    <row r="2065">
      <c r="A2065" s="4">
        <f>IFERROR(__xludf.DUMMYFUNCTION("""COMPUTED_VALUE"""),32.0)</f>
        <v>32</v>
      </c>
      <c r="B2065" s="4">
        <f>IFERROR(__xludf.DUMMYFUNCTION("""COMPUTED_VALUE"""),32.0)</f>
        <v>32</v>
      </c>
      <c r="C2065" s="4" t="str">
        <f>IFERROR(__xludf.DUMMYFUNCTION("""COMPUTED_VALUE"""),"WSB")</f>
        <v>WSB</v>
      </c>
      <c r="D2065" s="4" t="str">
        <f>IFERROR(__xludf.DUMMYFUNCTION("""COMPUTED_VALUE"""),"Jim McIlvaine")</f>
        <v>Jim McIlvaine</v>
      </c>
      <c r="E2065" s="4" t="str">
        <f>IFERROR(__xludf.DUMMYFUNCTION("""COMPUTED_VALUE"""),"Marquette")</f>
        <v>Marquette</v>
      </c>
      <c r="F2065" s="4">
        <f>IFERROR(__xludf.DUMMYFUNCTION("""COMPUTED_VALUE"""),7.0)</f>
        <v>7</v>
      </c>
      <c r="G2065" s="4">
        <f>IFERROR(__xludf.DUMMYFUNCTION("""COMPUTED_VALUE"""),401.0)</f>
        <v>401</v>
      </c>
      <c r="H2065" s="4">
        <f>IFERROR(__xludf.DUMMYFUNCTION("""COMPUTED_VALUE"""),5927.0)</f>
        <v>5927</v>
      </c>
      <c r="I2065" s="4">
        <f>IFERROR(__xludf.DUMMYFUNCTION("""COMPUTED_VALUE"""),1072.0)</f>
        <v>1072</v>
      </c>
      <c r="J2065" s="4">
        <f>IFERROR(__xludf.DUMMYFUNCTION("""COMPUTED_VALUE"""),1243.0)</f>
        <v>1243</v>
      </c>
      <c r="K2065" s="4">
        <f>IFERROR(__xludf.DUMMYFUNCTION("""COMPUTED_VALUE"""),105.0)</f>
        <v>105</v>
      </c>
      <c r="L2065" s="4">
        <f>IFERROR(__xludf.DUMMYFUNCTION("""COMPUTED_VALUE"""),0.446)</f>
        <v>0.446</v>
      </c>
      <c r="M2065" s="4">
        <f>IFERROR(__xludf.DUMMYFUNCTION("""COMPUTED_VALUE"""),0.1)</f>
        <v>0.1</v>
      </c>
      <c r="N2065" s="4">
        <f>IFERROR(__xludf.DUMMYFUNCTION("""COMPUTED_VALUE"""),0.551)</f>
        <v>0.551</v>
      </c>
      <c r="O2065" s="4">
        <f>IFERROR(__xludf.DUMMYFUNCTION("""COMPUTED_VALUE"""),14.8)</f>
        <v>14.8</v>
      </c>
      <c r="P2065" s="4">
        <f>IFERROR(__xludf.DUMMYFUNCTION("""COMPUTED_VALUE"""),2.7)</f>
        <v>2.7</v>
      </c>
      <c r="Q2065" s="4">
        <f>IFERROR(__xludf.DUMMYFUNCTION("""COMPUTED_VALUE"""),3.1)</f>
        <v>3.1</v>
      </c>
      <c r="R2065" s="4">
        <f>IFERROR(__xludf.DUMMYFUNCTION("""COMPUTED_VALUE"""),0.3)</f>
        <v>0.3</v>
      </c>
      <c r="S2065" s="4">
        <f>IFERROR(__xludf.DUMMYFUNCTION("""COMPUTED_VALUE"""),9.4)</f>
        <v>9.4</v>
      </c>
      <c r="T2065" s="4">
        <f>IFERROR(__xludf.DUMMYFUNCTION("""COMPUTED_VALUE"""),0.076)</f>
        <v>0.076</v>
      </c>
      <c r="U2065" s="4">
        <f>IFERROR(__xludf.DUMMYFUNCTION("""COMPUTED_VALUE"""),-2.2)</f>
        <v>-2.2</v>
      </c>
      <c r="V2065" s="4">
        <f>IFERROR(__xludf.DUMMYFUNCTION("""COMPUTED_VALUE"""),-0.3)</f>
        <v>-0.3</v>
      </c>
    </row>
    <row r="2066">
      <c r="A2066" s="4">
        <f>IFERROR(__xludf.DUMMYFUNCTION("""COMPUTED_VALUE"""),33.0)</f>
        <v>33</v>
      </c>
      <c r="B2066" s="4">
        <f>IFERROR(__xludf.DUMMYFUNCTION("""COMPUTED_VALUE"""),33.0)</f>
        <v>33</v>
      </c>
      <c r="C2066" s="4" t="str">
        <f>IFERROR(__xludf.DUMMYFUNCTION("""COMPUTED_VALUE"""),"PHI")</f>
        <v>PHI</v>
      </c>
      <c r="D2066" s="4" t="str">
        <f>IFERROR(__xludf.DUMMYFUNCTION("""COMPUTED_VALUE"""),"Derrick Alston")</f>
        <v>Derrick Alston</v>
      </c>
      <c r="E2066" s="4" t="str">
        <f>IFERROR(__xludf.DUMMYFUNCTION("""COMPUTED_VALUE"""),"Duquesne")</f>
        <v>Duquesne</v>
      </c>
      <c r="F2066" s="4">
        <f>IFERROR(__xludf.DUMMYFUNCTION("""COMPUTED_VALUE"""),3.0)</f>
        <v>3</v>
      </c>
      <c r="G2066" s="4">
        <f>IFERROR(__xludf.DUMMYFUNCTION("""COMPUTED_VALUE"""),139.0)</f>
        <v>139</v>
      </c>
      <c r="H2066" s="4">
        <f>IFERROR(__xludf.DUMMYFUNCTION("""COMPUTED_VALUE"""),2657.0)</f>
        <v>2657</v>
      </c>
      <c r="I2066" s="4">
        <f>IFERROR(__xludf.DUMMYFUNCTION("""COMPUTED_VALUE"""),751.0)</f>
        <v>751</v>
      </c>
      <c r="J2066" s="4">
        <f>IFERROR(__xludf.DUMMYFUNCTION("""COMPUTED_VALUE"""),525.0)</f>
        <v>525</v>
      </c>
      <c r="K2066" s="4">
        <f>IFERROR(__xludf.DUMMYFUNCTION("""COMPUTED_VALUE"""),94.0)</f>
        <v>94</v>
      </c>
      <c r="L2066" s="4">
        <f>IFERROR(__xludf.DUMMYFUNCTION("""COMPUTED_VALUE"""),0.489)</f>
        <v>0.489</v>
      </c>
      <c r="M2066" s="4">
        <f>IFERROR(__xludf.DUMMYFUNCTION("""COMPUTED_VALUE"""),0.143)</f>
        <v>0.143</v>
      </c>
      <c r="N2066" s="4">
        <f>IFERROR(__xludf.DUMMYFUNCTION("""COMPUTED_VALUE"""),0.487)</f>
        <v>0.487</v>
      </c>
      <c r="O2066" s="4">
        <f>IFERROR(__xludf.DUMMYFUNCTION("""COMPUTED_VALUE"""),19.1)</f>
        <v>19.1</v>
      </c>
      <c r="P2066" s="4">
        <f>IFERROR(__xludf.DUMMYFUNCTION("""COMPUTED_VALUE"""),5.4)</f>
        <v>5.4</v>
      </c>
      <c r="Q2066" s="4">
        <f>IFERROR(__xludf.DUMMYFUNCTION("""COMPUTED_VALUE"""),3.8)</f>
        <v>3.8</v>
      </c>
      <c r="R2066" s="4">
        <f>IFERROR(__xludf.DUMMYFUNCTION("""COMPUTED_VALUE"""),0.7)</f>
        <v>0.7</v>
      </c>
      <c r="S2066" s="4">
        <f>IFERROR(__xludf.DUMMYFUNCTION("""COMPUTED_VALUE"""),2.6)</f>
        <v>2.6</v>
      </c>
      <c r="T2066" s="4">
        <f>IFERROR(__xludf.DUMMYFUNCTION("""COMPUTED_VALUE"""),0.047)</f>
        <v>0.047</v>
      </c>
      <c r="U2066" s="4">
        <f>IFERROR(__xludf.DUMMYFUNCTION("""COMPUTED_VALUE"""),-2.8)</f>
        <v>-2.8</v>
      </c>
      <c r="V2066" s="4">
        <f>IFERROR(__xludf.DUMMYFUNCTION("""COMPUTED_VALUE"""),-0.5)</f>
        <v>-0.5</v>
      </c>
    </row>
    <row r="2067">
      <c r="A2067" s="4">
        <f>IFERROR(__xludf.DUMMYFUNCTION("""COMPUTED_VALUE"""),34.0)</f>
        <v>34</v>
      </c>
      <c r="B2067" s="4">
        <f>IFERROR(__xludf.DUMMYFUNCTION("""COMPUTED_VALUE"""),34.0)</f>
        <v>34</v>
      </c>
      <c r="C2067" s="4" t="str">
        <f>IFERROR(__xludf.DUMMYFUNCTION("""COMPUTED_VALUE"""),"ATL")</f>
        <v>ATL</v>
      </c>
      <c r="D2067" s="4" t="str">
        <f>IFERROR(__xludf.DUMMYFUNCTION("""COMPUTED_VALUE"""),"Gaylon Nickerson")</f>
        <v>Gaylon Nickerson</v>
      </c>
      <c r="E2067" s="4" t="str">
        <f>IFERROR(__xludf.DUMMYFUNCTION("""COMPUTED_VALUE"""),"Northwestern Oklahoma State University")</f>
        <v>Northwestern Oklahoma State University</v>
      </c>
      <c r="F2067" s="4">
        <f>IFERROR(__xludf.DUMMYFUNCTION("""COMPUTED_VALUE"""),1.0)</f>
        <v>1</v>
      </c>
      <c r="G2067" s="4">
        <f>IFERROR(__xludf.DUMMYFUNCTION("""COMPUTED_VALUE"""),4.0)</f>
        <v>4</v>
      </c>
      <c r="H2067" s="4">
        <f>IFERROR(__xludf.DUMMYFUNCTION("""COMPUTED_VALUE"""),42.0)</f>
        <v>42</v>
      </c>
      <c r="I2067" s="4">
        <f>IFERROR(__xludf.DUMMYFUNCTION("""COMPUTED_VALUE"""),15.0)</f>
        <v>15</v>
      </c>
      <c r="J2067" s="4">
        <f>IFERROR(__xludf.DUMMYFUNCTION("""COMPUTED_VALUE"""),5.0)</f>
        <v>5</v>
      </c>
      <c r="K2067" s="4">
        <f>IFERROR(__xludf.DUMMYFUNCTION("""COMPUTED_VALUE"""),1.0)</f>
        <v>1</v>
      </c>
      <c r="L2067" s="4">
        <f>IFERROR(__xludf.DUMMYFUNCTION("""COMPUTED_VALUE"""),0.333)</f>
        <v>0.333</v>
      </c>
      <c r="M2067" s="4">
        <f>IFERROR(__xludf.DUMMYFUNCTION("""COMPUTED_VALUE"""),0.0)</f>
        <v>0</v>
      </c>
      <c r="N2067" s="4">
        <f>IFERROR(__xludf.DUMMYFUNCTION("""COMPUTED_VALUE"""),1.0)</f>
        <v>1</v>
      </c>
      <c r="O2067" s="4">
        <f>IFERROR(__xludf.DUMMYFUNCTION("""COMPUTED_VALUE"""),10.5)</f>
        <v>10.5</v>
      </c>
      <c r="P2067" s="4">
        <f>IFERROR(__xludf.DUMMYFUNCTION("""COMPUTED_VALUE"""),3.8)</f>
        <v>3.8</v>
      </c>
      <c r="Q2067" s="4">
        <f>IFERROR(__xludf.DUMMYFUNCTION("""COMPUTED_VALUE"""),1.3)</f>
        <v>1.3</v>
      </c>
      <c r="R2067" s="4">
        <f>IFERROR(__xludf.DUMMYFUNCTION("""COMPUTED_VALUE"""),0.3)</f>
        <v>0.3</v>
      </c>
      <c r="S2067" s="4">
        <f>IFERROR(__xludf.DUMMYFUNCTION("""COMPUTED_VALUE"""),0.1)</f>
        <v>0.1</v>
      </c>
      <c r="T2067" s="4">
        <f>IFERROR(__xludf.DUMMYFUNCTION("""COMPUTED_VALUE"""),0.076)</f>
        <v>0.076</v>
      </c>
      <c r="U2067" s="4">
        <f>IFERROR(__xludf.DUMMYFUNCTION("""COMPUTED_VALUE"""),-1.2)</f>
        <v>-1.2</v>
      </c>
      <c r="V2067" s="4">
        <f>IFERROR(__xludf.DUMMYFUNCTION("""COMPUTED_VALUE"""),0.0)</f>
        <v>0</v>
      </c>
    </row>
    <row r="2068">
      <c r="A2068" s="4">
        <f>IFERROR(__xludf.DUMMYFUNCTION("""COMPUTED_VALUE"""),35.0)</f>
        <v>35</v>
      </c>
      <c r="B2068" s="4">
        <f>IFERROR(__xludf.DUMMYFUNCTION("""COMPUTED_VALUE"""),35.0)</f>
        <v>35</v>
      </c>
      <c r="C2068" s="4" t="str">
        <f>IFERROR(__xludf.DUMMYFUNCTION("""COMPUTED_VALUE"""),"SAC")</f>
        <v>SAC</v>
      </c>
      <c r="D2068" s="4" t="str">
        <f>IFERROR(__xludf.DUMMYFUNCTION("""COMPUTED_VALUE"""),"Michael Smith")</f>
        <v>Michael Smith</v>
      </c>
      <c r="E2068" s="4" t="str">
        <f>IFERROR(__xludf.DUMMYFUNCTION("""COMPUTED_VALUE"""),"Providence")</f>
        <v>Providence</v>
      </c>
      <c r="F2068" s="4">
        <f>IFERROR(__xludf.DUMMYFUNCTION("""COMPUTED_VALUE"""),7.0)</f>
        <v>7</v>
      </c>
      <c r="G2068" s="4">
        <f>IFERROR(__xludf.DUMMYFUNCTION("""COMPUTED_VALUE"""),449.0)</f>
        <v>449</v>
      </c>
      <c r="H2068" s="4">
        <f>IFERROR(__xludf.DUMMYFUNCTION("""COMPUTED_VALUE"""),10552.0)</f>
        <v>10552</v>
      </c>
      <c r="I2068" s="4">
        <f>IFERROR(__xludf.DUMMYFUNCTION("""COMPUTED_VALUE"""),2527.0)</f>
        <v>2527</v>
      </c>
      <c r="J2068" s="4">
        <f>IFERROR(__xludf.DUMMYFUNCTION("""COMPUTED_VALUE"""),3193.0)</f>
        <v>3193</v>
      </c>
      <c r="K2068" s="4">
        <f>IFERROR(__xludf.DUMMYFUNCTION("""COMPUTED_VALUE"""),661.0)</f>
        <v>661</v>
      </c>
      <c r="L2068" s="4">
        <f>IFERROR(__xludf.DUMMYFUNCTION("""COMPUTED_VALUE"""),0.538)</f>
        <v>0.538</v>
      </c>
      <c r="M2068" s="4">
        <f>IFERROR(__xludf.DUMMYFUNCTION("""COMPUTED_VALUE"""),0.143)</f>
        <v>0.143</v>
      </c>
      <c r="N2068" s="4">
        <f>IFERROR(__xludf.DUMMYFUNCTION("""COMPUTED_VALUE"""),0.529)</f>
        <v>0.529</v>
      </c>
      <c r="O2068" s="4">
        <f>IFERROR(__xludf.DUMMYFUNCTION("""COMPUTED_VALUE"""),23.5)</f>
        <v>23.5</v>
      </c>
      <c r="P2068" s="4">
        <f>IFERROR(__xludf.DUMMYFUNCTION("""COMPUTED_VALUE"""),5.6)</f>
        <v>5.6</v>
      </c>
      <c r="Q2068" s="4">
        <f>IFERROR(__xludf.DUMMYFUNCTION("""COMPUTED_VALUE"""),7.1)</f>
        <v>7.1</v>
      </c>
      <c r="R2068" s="4">
        <f>IFERROR(__xludf.DUMMYFUNCTION("""COMPUTED_VALUE"""),1.5)</f>
        <v>1.5</v>
      </c>
      <c r="S2068" s="4">
        <f>IFERROR(__xludf.DUMMYFUNCTION("""COMPUTED_VALUE"""),23.4)</f>
        <v>23.4</v>
      </c>
      <c r="T2068" s="4">
        <f>IFERROR(__xludf.DUMMYFUNCTION("""COMPUTED_VALUE"""),0.107)</f>
        <v>0.107</v>
      </c>
      <c r="U2068" s="4">
        <f>IFERROR(__xludf.DUMMYFUNCTION("""COMPUTED_VALUE"""),-0.1)</f>
        <v>-0.1</v>
      </c>
      <c r="V2068" s="4">
        <f>IFERROR(__xludf.DUMMYFUNCTION("""COMPUTED_VALUE"""),5.1)</f>
        <v>5.1</v>
      </c>
    </row>
    <row r="2069">
      <c r="A2069" s="4">
        <f>IFERROR(__xludf.DUMMYFUNCTION("""COMPUTED_VALUE"""),36.0)</f>
        <v>36</v>
      </c>
      <c r="B2069" s="4">
        <f>IFERROR(__xludf.DUMMYFUNCTION("""COMPUTED_VALUE"""),36.0)</f>
        <v>36</v>
      </c>
      <c r="C2069" s="4" t="str">
        <f>IFERROR(__xludf.DUMMYFUNCTION("""COMPUTED_VALUE"""),"BOS")</f>
        <v>BOS</v>
      </c>
      <c r="D2069" s="4" t="str">
        <f>IFERROR(__xludf.DUMMYFUNCTION("""COMPUTED_VALUE"""),"Andrei Fetisov")</f>
        <v>Andrei Fetisov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</row>
    <row r="2070">
      <c r="A2070" s="4">
        <f>IFERROR(__xludf.DUMMYFUNCTION("""COMPUTED_VALUE"""),37.0)</f>
        <v>37</v>
      </c>
      <c r="B2070" s="4">
        <f>IFERROR(__xludf.DUMMYFUNCTION("""COMPUTED_VALUE"""),37.0)</f>
        <v>37</v>
      </c>
      <c r="C2070" s="4" t="str">
        <f>IFERROR(__xludf.DUMMYFUNCTION("""COMPUTED_VALUE"""),"SEA")</f>
        <v>SEA</v>
      </c>
      <c r="D2070" s="4" t="str">
        <f>IFERROR(__xludf.DUMMYFUNCTION("""COMPUTED_VALUE"""),"Dontonio Wingfield")</f>
        <v>Dontonio Wingfield</v>
      </c>
      <c r="E2070" s="4" t="str">
        <f>IFERROR(__xludf.DUMMYFUNCTION("""COMPUTED_VALUE"""),"Cincinnati")</f>
        <v>Cincinnati</v>
      </c>
      <c r="F2070" s="4">
        <f>IFERROR(__xludf.DUMMYFUNCTION("""COMPUTED_VALUE"""),4.0)</f>
        <v>4</v>
      </c>
      <c r="G2070" s="4">
        <f>IFERROR(__xludf.DUMMYFUNCTION("""COMPUTED_VALUE"""),114.0)</f>
        <v>114</v>
      </c>
      <c r="H2070" s="4">
        <f>IFERROR(__xludf.DUMMYFUNCTION("""COMPUTED_VALUE"""),1146.0)</f>
        <v>1146</v>
      </c>
      <c r="I2070" s="4">
        <f>IFERROR(__xludf.DUMMYFUNCTION("""COMPUTED_VALUE"""),423.0)</f>
        <v>423</v>
      </c>
      <c r="J2070" s="4">
        <f>IFERROR(__xludf.DUMMYFUNCTION("""COMPUTED_VALUE"""),275.0)</f>
        <v>275</v>
      </c>
      <c r="K2070" s="4">
        <f>IFERROR(__xludf.DUMMYFUNCTION("""COMPUTED_VALUE"""),76.0)</f>
        <v>76</v>
      </c>
      <c r="L2070" s="4">
        <f>IFERROR(__xludf.DUMMYFUNCTION("""COMPUTED_VALUE"""),0.389)</f>
        <v>0.389</v>
      </c>
      <c r="M2070" s="4">
        <f>IFERROR(__xludf.DUMMYFUNCTION("""COMPUTED_VALUE"""),0.309)</f>
        <v>0.309</v>
      </c>
      <c r="N2070" s="4">
        <f>IFERROR(__xludf.DUMMYFUNCTION("""COMPUTED_VALUE"""),0.721)</f>
        <v>0.721</v>
      </c>
      <c r="O2070" s="4">
        <f>IFERROR(__xludf.DUMMYFUNCTION("""COMPUTED_VALUE"""),10.1)</f>
        <v>10.1</v>
      </c>
      <c r="P2070" s="4">
        <f>IFERROR(__xludf.DUMMYFUNCTION("""COMPUTED_VALUE"""),3.7)</f>
        <v>3.7</v>
      </c>
      <c r="Q2070" s="4">
        <f>IFERROR(__xludf.DUMMYFUNCTION("""COMPUTED_VALUE"""),2.4)</f>
        <v>2.4</v>
      </c>
      <c r="R2070" s="4">
        <f>IFERROR(__xludf.DUMMYFUNCTION("""COMPUTED_VALUE"""),0.7)</f>
        <v>0.7</v>
      </c>
      <c r="S2070" s="4">
        <f>IFERROR(__xludf.DUMMYFUNCTION("""COMPUTED_VALUE"""),1.8)</f>
        <v>1.8</v>
      </c>
      <c r="T2070" s="4">
        <f>IFERROR(__xludf.DUMMYFUNCTION("""COMPUTED_VALUE"""),0.074)</f>
        <v>0.074</v>
      </c>
      <c r="U2070" s="4">
        <f>IFERROR(__xludf.DUMMYFUNCTION("""COMPUTED_VALUE"""),-2.6)</f>
        <v>-2.6</v>
      </c>
      <c r="V2070" s="4">
        <f>IFERROR(__xludf.DUMMYFUNCTION("""COMPUTED_VALUE"""),-0.2)</f>
        <v>-0.2</v>
      </c>
    </row>
    <row r="2071">
      <c r="A2071" s="4">
        <f>IFERROR(__xludf.DUMMYFUNCTION("""COMPUTED_VALUE"""),38.0)</f>
        <v>38</v>
      </c>
      <c r="B2071" s="4">
        <f>IFERROR(__xludf.DUMMYFUNCTION("""COMPUTED_VALUE"""),38.0)</f>
        <v>38</v>
      </c>
      <c r="C2071" s="4" t="str">
        <f>IFERROR(__xludf.DUMMYFUNCTION("""COMPUTED_VALUE"""),"CHH")</f>
        <v>CHH</v>
      </c>
      <c r="D2071" s="4" t="str">
        <f>IFERROR(__xludf.DUMMYFUNCTION("""COMPUTED_VALUE"""),"Darrin Hancock")</f>
        <v>Darrin Hancock</v>
      </c>
      <c r="E2071" s="4" t="str">
        <f>IFERROR(__xludf.DUMMYFUNCTION("""COMPUTED_VALUE"""),"Kansas")</f>
        <v>Kansas</v>
      </c>
      <c r="F2071" s="4">
        <f>IFERROR(__xludf.DUMMYFUNCTION("""COMPUTED_VALUE"""),3.0)</f>
        <v>3</v>
      </c>
      <c r="G2071" s="4">
        <f>IFERROR(__xludf.DUMMYFUNCTION("""COMPUTED_VALUE"""),133.0)</f>
        <v>133</v>
      </c>
      <c r="H2071" s="4">
        <f>IFERROR(__xludf.DUMMYFUNCTION("""COMPUTED_VALUE"""),1395.0)</f>
        <v>1395</v>
      </c>
      <c r="I2071" s="4">
        <f>IFERROR(__xludf.DUMMYFUNCTION("""COMPUTED_VALUE"""),467.0)</f>
        <v>467</v>
      </c>
      <c r="J2071" s="4">
        <f>IFERROR(__xludf.DUMMYFUNCTION("""COMPUTED_VALUE"""),169.0)</f>
        <v>169</v>
      </c>
      <c r="K2071" s="4">
        <f>IFERROR(__xludf.DUMMYFUNCTION("""COMPUTED_VALUE"""),89.0)</f>
        <v>89</v>
      </c>
      <c r="L2071" s="4">
        <f>IFERROR(__xludf.DUMMYFUNCTION("""COMPUTED_VALUE"""),0.53)</f>
        <v>0.53</v>
      </c>
      <c r="M2071" s="4">
        <f>IFERROR(__xludf.DUMMYFUNCTION("""COMPUTED_VALUE"""),0.333)</f>
        <v>0.333</v>
      </c>
      <c r="N2071" s="4">
        <f>IFERROR(__xludf.DUMMYFUNCTION("""COMPUTED_VALUE"""),0.579)</f>
        <v>0.579</v>
      </c>
      <c r="O2071" s="4">
        <f>IFERROR(__xludf.DUMMYFUNCTION("""COMPUTED_VALUE"""),10.5)</f>
        <v>10.5</v>
      </c>
      <c r="P2071" s="4">
        <f>IFERROR(__xludf.DUMMYFUNCTION("""COMPUTED_VALUE"""),3.5)</f>
        <v>3.5</v>
      </c>
      <c r="Q2071" s="4">
        <f>IFERROR(__xludf.DUMMYFUNCTION("""COMPUTED_VALUE"""),1.3)</f>
        <v>1.3</v>
      </c>
      <c r="R2071" s="4">
        <f>IFERROR(__xludf.DUMMYFUNCTION("""COMPUTED_VALUE"""),0.7)</f>
        <v>0.7</v>
      </c>
      <c r="S2071" s="4">
        <f>IFERROR(__xludf.DUMMYFUNCTION("""COMPUTED_VALUE"""),1.1)</f>
        <v>1.1</v>
      </c>
      <c r="T2071" s="4">
        <f>IFERROR(__xludf.DUMMYFUNCTION("""COMPUTED_VALUE"""),0.038)</f>
        <v>0.038</v>
      </c>
      <c r="U2071" s="4">
        <f>IFERROR(__xludf.DUMMYFUNCTION("""COMPUTED_VALUE"""),-3.3)</f>
        <v>-3.3</v>
      </c>
      <c r="V2071" s="4">
        <f>IFERROR(__xludf.DUMMYFUNCTION("""COMPUTED_VALUE"""),-0.5)</f>
        <v>-0.5</v>
      </c>
    </row>
    <row r="2072">
      <c r="A2072" s="4">
        <f>IFERROR(__xludf.DUMMYFUNCTION("""COMPUTED_VALUE"""),39.0)</f>
        <v>39</v>
      </c>
      <c r="B2072" s="4">
        <f>IFERROR(__xludf.DUMMYFUNCTION("""COMPUTED_VALUE"""),39.0)</f>
        <v>39</v>
      </c>
      <c r="C2072" s="4" t="str">
        <f>IFERROR(__xludf.DUMMYFUNCTION("""COMPUTED_VALUE"""),"GSW")</f>
        <v>GSW</v>
      </c>
      <c r="D2072" s="4" t="str">
        <f>IFERROR(__xludf.DUMMYFUNCTION("""COMPUTED_VALUE"""),"Anthony Miller")</f>
        <v>Anthony Miller</v>
      </c>
      <c r="E2072" s="4" t="str">
        <f>IFERROR(__xludf.DUMMYFUNCTION("""COMPUTED_VALUE"""),"Michigan State")</f>
        <v>Michigan State</v>
      </c>
      <c r="F2072" s="4">
        <f>IFERROR(__xludf.DUMMYFUNCTION("""COMPUTED_VALUE"""),8.0)</f>
        <v>8</v>
      </c>
      <c r="G2072" s="4">
        <f>IFERROR(__xludf.DUMMYFUNCTION("""COMPUTED_VALUE"""),181.0)</f>
        <v>181</v>
      </c>
      <c r="H2072" s="4">
        <f>IFERROR(__xludf.DUMMYFUNCTION("""COMPUTED_VALUE"""),1637.0)</f>
        <v>1637</v>
      </c>
      <c r="I2072" s="4">
        <f>IFERROR(__xludf.DUMMYFUNCTION("""COMPUTED_VALUE"""),510.0)</f>
        <v>510</v>
      </c>
      <c r="J2072" s="4">
        <f>IFERROR(__xludf.DUMMYFUNCTION("""COMPUTED_VALUE"""),488.0)</f>
        <v>488</v>
      </c>
      <c r="K2072" s="4">
        <f>IFERROR(__xludf.DUMMYFUNCTION("""COMPUTED_VALUE"""),66.0)</f>
        <v>66</v>
      </c>
      <c r="L2072" s="4">
        <f>IFERROR(__xludf.DUMMYFUNCTION("""COMPUTED_VALUE"""),0.51)</f>
        <v>0.51</v>
      </c>
      <c r="M2072" s="4">
        <f>IFERROR(__xludf.DUMMYFUNCTION("""COMPUTED_VALUE"""),0.25)</f>
        <v>0.25</v>
      </c>
      <c r="N2072" s="4">
        <f>IFERROR(__xludf.DUMMYFUNCTION("""COMPUTED_VALUE"""),0.576)</f>
        <v>0.576</v>
      </c>
      <c r="O2072" s="4">
        <f>IFERROR(__xludf.DUMMYFUNCTION("""COMPUTED_VALUE"""),9.0)</f>
        <v>9</v>
      </c>
      <c r="P2072" s="4">
        <f>IFERROR(__xludf.DUMMYFUNCTION("""COMPUTED_VALUE"""),2.8)</f>
        <v>2.8</v>
      </c>
      <c r="Q2072" s="4">
        <f>IFERROR(__xludf.DUMMYFUNCTION("""COMPUTED_VALUE"""),2.7)</f>
        <v>2.7</v>
      </c>
      <c r="R2072" s="4">
        <f>IFERROR(__xludf.DUMMYFUNCTION("""COMPUTED_VALUE"""),0.4)</f>
        <v>0.4</v>
      </c>
      <c r="S2072" s="4">
        <f>IFERROR(__xludf.DUMMYFUNCTION("""COMPUTED_VALUE"""),3.8)</f>
        <v>3.8</v>
      </c>
      <c r="T2072" s="4">
        <f>IFERROR(__xludf.DUMMYFUNCTION("""COMPUTED_VALUE"""),0.11)</f>
        <v>0.11</v>
      </c>
      <c r="U2072" s="4">
        <f>IFERROR(__xludf.DUMMYFUNCTION("""COMPUTED_VALUE"""),-2.6)</f>
        <v>-2.6</v>
      </c>
      <c r="V2072" s="4">
        <f>IFERROR(__xludf.DUMMYFUNCTION("""COMPUTED_VALUE"""),-0.2)</f>
        <v>-0.2</v>
      </c>
    </row>
    <row r="2073">
      <c r="A2073" s="4">
        <f>IFERROR(__xludf.DUMMYFUNCTION("""COMPUTED_VALUE"""),40.0)</f>
        <v>40</v>
      </c>
      <c r="B2073" s="4">
        <f>IFERROR(__xludf.DUMMYFUNCTION("""COMPUTED_VALUE"""),40.0)</f>
        <v>40</v>
      </c>
      <c r="C2073" s="4" t="str">
        <f>IFERROR(__xludf.DUMMYFUNCTION("""COMPUTED_VALUE"""),"MIA")</f>
        <v>MIA</v>
      </c>
      <c r="D2073" s="4" t="str">
        <f>IFERROR(__xludf.DUMMYFUNCTION("""COMPUTED_VALUE"""),"Jeff Webster")</f>
        <v>Jeff Webster</v>
      </c>
      <c r="E2073" s="4" t="str">
        <f>IFERROR(__xludf.DUMMYFUNCTION("""COMPUTED_VALUE"""),"Oklahoma")</f>
        <v>Oklahoma</v>
      </c>
      <c r="F2073" s="4">
        <f>IFERROR(__xludf.DUMMYFUNCTION("""COMPUTED_VALUE"""),1.0)</f>
        <v>1</v>
      </c>
      <c r="G2073" s="4">
        <f>IFERROR(__xludf.DUMMYFUNCTION("""COMPUTED_VALUE"""),11.0)</f>
        <v>11</v>
      </c>
      <c r="H2073" s="4">
        <f>IFERROR(__xludf.DUMMYFUNCTION("""COMPUTED_VALUE"""),58.0)</f>
        <v>58</v>
      </c>
      <c r="I2073" s="4">
        <f>IFERROR(__xludf.DUMMYFUNCTION("""COMPUTED_VALUE"""),18.0)</f>
        <v>18</v>
      </c>
      <c r="J2073" s="4">
        <f>IFERROR(__xludf.DUMMYFUNCTION("""COMPUTED_VALUE"""),7.0)</f>
        <v>7</v>
      </c>
      <c r="K2073" s="4">
        <f>IFERROR(__xludf.DUMMYFUNCTION("""COMPUTED_VALUE"""),3.0)</f>
        <v>3</v>
      </c>
      <c r="L2073" s="4">
        <f>IFERROR(__xludf.DUMMYFUNCTION("""COMPUTED_VALUE"""),0.348)</f>
        <v>0.348</v>
      </c>
      <c r="M2073" s="4">
        <f>IFERROR(__xludf.DUMMYFUNCTION("""COMPUTED_VALUE"""),0.333)</f>
        <v>0.333</v>
      </c>
      <c r="N2073" s="4"/>
      <c r="O2073" s="4">
        <f>IFERROR(__xludf.DUMMYFUNCTION("""COMPUTED_VALUE"""),5.3)</f>
        <v>5.3</v>
      </c>
      <c r="P2073" s="4">
        <f>IFERROR(__xludf.DUMMYFUNCTION("""COMPUTED_VALUE"""),1.6)</f>
        <v>1.6</v>
      </c>
      <c r="Q2073" s="4">
        <f>IFERROR(__xludf.DUMMYFUNCTION("""COMPUTED_VALUE"""),0.6)</f>
        <v>0.6</v>
      </c>
      <c r="R2073" s="4">
        <f>IFERROR(__xludf.DUMMYFUNCTION("""COMPUTED_VALUE"""),0.3)</f>
        <v>0.3</v>
      </c>
      <c r="S2073" s="4">
        <f>IFERROR(__xludf.DUMMYFUNCTION("""COMPUTED_VALUE"""),0.0)</f>
        <v>0</v>
      </c>
      <c r="T2073" s="4">
        <f>IFERROR(__xludf.DUMMYFUNCTION("""COMPUTED_VALUE"""),-0.03)</f>
        <v>-0.03</v>
      </c>
      <c r="U2073" s="4">
        <f>IFERROR(__xludf.DUMMYFUNCTION("""COMPUTED_VALUE"""),-4.9)</f>
        <v>-4.9</v>
      </c>
      <c r="V2073" s="4">
        <f>IFERROR(__xludf.DUMMYFUNCTION("""COMPUTED_VALUE"""),0.0)</f>
        <v>0</v>
      </c>
    </row>
    <row r="2074">
      <c r="A2074" s="4">
        <f>IFERROR(__xludf.DUMMYFUNCTION("""COMPUTED_VALUE"""),41.0)</f>
        <v>41</v>
      </c>
      <c r="B2074" s="4">
        <f>IFERROR(__xludf.DUMMYFUNCTION("""COMPUTED_VALUE"""),41.0)</f>
        <v>41</v>
      </c>
      <c r="C2074" s="4" t="str">
        <f>IFERROR(__xludf.DUMMYFUNCTION("""COMPUTED_VALUE"""),"IND")</f>
        <v>IND</v>
      </c>
      <c r="D2074" s="4" t="str">
        <f>IFERROR(__xludf.DUMMYFUNCTION("""COMPUTED_VALUE"""),"William Njoku")</f>
        <v>William Njoku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</row>
    <row r="2075">
      <c r="A2075" s="4">
        <f>IFERROR(__xludf.DUMMYFUNCTION("""COMPUTED_VALUE"""),42.0)</f>
        <v>42</v>
      </c>
      <c r="B2075" s="4">
        <f>IFERROR(__xludf.DUMMYFUNCTION("""COMPUTED_VALUE"""),42.0)</f>
        <v>42</v>
      </c>
      <c r="C2075" s="4" t="str">
        <f>IFERROR(__xludf.DUMMYFUNCTION("""COMPUTED_VALUE"""),"CLE")</f>
        <v>CLE</v>
      </c>
      <c r="D2075" s="4" t="str">
        <f>IFERROR(__xludf.DUMMYFUNCTION("""COMPUTED_VALUE"""),"Gary Collier")</f>
        <v>Gary Collier</v>
      </c>
      <c r="E2075" s="4" t="str">
        <f>IFERROR(__xludf.DUMMYFUNCTION("""COMPUTED_VALUE"""),"Tulsa")</f>
        <v>Tulsa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</row>
    <row r="2076">
      <c r="A2076" s="4">
        <f>IFERROR(__xludf.DUMMYFUNCTION("""COMPUTED_VALUE"""),43.0)</f>
        <v>43</v>
      </c>
      <c r="B2076" s="4">
        <f>IFERROR(__xludf.DUMMYFUNCTION("""COMPUTED_VALUE"""),43.0)</f>
        <v>43</v>
      </c>
      <c r="C2076" s="4" t="str">
        <f>IFERROR(__xludf.DUMMYFUNCTION("""COMPUTED_VALUE"""),"POR")</f>
        <v>POR</v>
      </c>
      <c r="D2076" s="4" t="str">
        <f>IFERROR(__xludf.DUMMYFUNCTION("""COMPUTED_VALUE"""),"Shawnelle Scott")</f>
        <v>Shawnelle Scott</v>
      </c>
      <c r="E2076" s="4" t="str">
        <f>IFERROR(__xludf.DUMMYFUNCTION("""COMPUTED_VALUE"""),"St. John's")</f>
        <v>St. John's</v>
      </c>
      <c r="F2076" s="4">
        <f>IFERROR(__xludf.DUMMYFUNCTION("""COMPUTED_VALUE"""),4.0)</f>
        <v>4</v>
      </c>
      <c r="G2076" s="4">
        <f>IFERROR(__xludf.DUMMYFUNCTION("""COMPUTED_VALUE"""),105.0)</f>
        <v>105</v>
      </c>
      <c r="H2076" s="4">
        <f>IFERROR(__xludf.DUMMYFUNCTION("""COMPUTED_VALUE"""),634.0)</f>
        <v>634</v>
      </c>
      <c r="I2076" s="4">
        <f>IFERROR(__xludf.DUMMYFUNCTION("""COMPUTED_VALUE"""),189.0)</f>
        <v>189</v>
      </c>
      <c r="J2076" s="4">
        <f>IFERROR(__xludf.DUMMYFUNCTION("""COMPUTED_VALUE"""),228.0)</f>
        <v>228</v>
      </c>
      <c r="K2076" s="4">
        <f>IFERROR(__xludf.DUMMYFUNCTION("""COMPUTED_VALUE"""),20.0)</f>
        <v>20</v>
      </c>
      <c r="L2076" s="4">
        <f>IFERROR(__xludf.DUMMYFUNCTION("""COMPUTED_VALUE"""),0.464)</f>
        <v>0.464</v>
      </c>
      <c r="M2076" s="4"/>
      <c r="N2076" s="4">
        <f>IFERROR(__xludf.DUMMYFUNCTION("""COMPUTED_VALUE"""),0.465)</f>
        <v>0.465</v>
      </c>
      <c r="O2076" s="4">
        <f>IFERROR(__xludf.DUMMYFUNCTION("""COMPUTED_VALUE"""),6.0)</f>
        <v>6</v>
      </c>
      <c r="P2076" s="4">
        <f>IFERROR(__xludf.DUMMYFUNCTION("""COMPUTED_VALUE"""),1.8)</f>
        <v>1.8</v>
      </c>
      <c r="Q2076" s="4">
        <f>IFERROR(__xludf.DUMMYFUNCTION("""COMPUTED_VALUE"""),2.2)</f>
        <v>2.2</v>
      </c>
      <c r="R2076" s="4">
        <f>IFERROR(__xludf.DUMMYFUNCTION("""COMPUTED_VALUE"""),0.2)</f>
        <v>0.2</v>
      </c>
      <c r="S2076" s="4">
        <f>IFERROR(__xludf.DUMMYFUNCTION("""COMPUTED_VALUE"""),1.3)</f>
        <v>1.3</v>
      </c>
      <c r="T2076" s="4">
        <f>IFERROR(__xludf.DUMMYFUNCTION("""COMPUTED_VALUE"""),0.101)</f>
        <v>0.101</v>
      </c>
      <c r="U2076" s="4">
        <f>IFERROR(__xludf.DUMMYFUNCTION("""COMPUTED_VALUE"""),-3.8)</f>
        <v>-3.8</v>
      </c>
      <c r="V2076" s="4">
        <f>IFERROR(__xludf.DUMMYFUNCTION("""COMPUTED_VALUE"""),-0.3)</f>
        <v>-0.3</v>
      </c>
    </row>
    <row r="2077">
      <c r="A2077" s="4">
        <f>IFERROR(__xludf.DUMMYFUNCTION("""COMPUTED_VALUE"""),44.0)</f>
        <v>44</v>
      </c>
      <c r="B2077" s="4">
        <f>IFERROR(__xludf.DUMMYFUNCTION("""COMPUTED_VALUE"""),44.0)</f>
        <v>44</v>
      </c>
      <c r="C2077" s="4" t="str">
        <f>IFERROR(__xludf.DUMMYFUNCTION("""COMPUTED_VALUE"""),"IND")</f>
        <v>IND</v>
      </c>
      <c r="D2077" s="4" t="str">
        <f>IFERROR(__xludf.DUMMYFUNCTION("""COMPUTED_VALUE"""),"Damon Bailey")</f>
        <v>Damon Bailey</v>
      </c>
      <c r="E2077" s="4" t="str">
        <f>IFERROR(__xludf.DUMMYFUNCTION("""COMPUTED_VALUE"""),"Indiana")</f>
        <v>Indiana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</row>
    <row r="2078">
      <c r="A2078" s="4">
        <f>IFERROR(__xludf.DUMMYFUNCTION("""COMPUTED_VALUE"""),45.0)</f>
        <v>45</v>
      </c>
      <c r="B2078" s="4">
        <f>IFERROR(__xludf.DUMMYFUNCTION("""COMPUTED_VALUE"""),45.0)</f>
        <v>45</v>
      </c>
      <c r="C2078" s="4" t="str">
        <f>IFERROR(__xludf.DUMMYFUNCTION("""COMPUTED_VALUE"""),"GSW")</f>
        <v>GSW</v>
      </c>
      <c r="D2078" s="4" t="str">
        <f>IFERROR(__xludf.DUMMYFUNCTION("""COMPUTED_VALUE"""),"Dwayne Morton")</f>
        <v>Dwayne Morton</v>
      </c>
      <c r="E2078" s="4" t="str">
        <f>IFERROR(__xludf.DUMMYFUNCTION("""COMPUTED_VALUE"""),"Louisville")</f>
        <v>Louisville</v>
      </c>
      <c r="F2078" s="4">
        <f>IFERROR(__xludf.DUMMYFUNCTION("""COMPUTED_VALUE"""),1.0)</f>
        <v>1</v>
      </c>
      <c r="G2078" s="4">
        <f>IFERROR(__xludf.DUMMYFUNCTION("""COMPUTED_VALUE"""),41.0)</f>
        <v>41</v>
      </c>
      <c r="H2078" s="4">
        <f>IFERROR(__xludf.DUMMYFUNCTION("""COMPUTED_VALUE"""),395.0)</f>
        <v>395</v>
      </c>
      <c r="I2078" s="4">
        <f>IFERROR(__xludf.DUMMYFUNCTION("""COMPUTED_VALUE"""),167.0)</f>
        <v>167</v>
      </c>
      <c r="J2078" s="4">
        <f>IFERROR(__xludf.DUMMYFUNCTION("""COMPUTED_VALUE"""),58.0)</f>
        <v>58</v>
      </c>
      <c r="K2078" s="4">
        <f>IFERROR(__xludf.DUMMYFUNCTION("""COMPUTED_VALUE"""),18.0)</f>
        <v>18</v>
      </c>
      <c r="L2078" s="4">
        <f>IFERROR(__xludf.DUMMYFUNCTION("""COMPUTED_VALUE"""),0.388)</f>
        <v>0.388</v>
      </c>
      <c r="M2078" s="4">
        <f>IFERROR(__xludf.DUMMYFUNCTION("""COMPUTED_VALUE"""),0.36)</f>
        <v>0.36</v>
      </c>
      <c r="N2078" s="4">
        <f>IFERROR(__xludf.DUMMYFUNCTION("""COMPUTED_VALUE"""),0.682)</f>
        <v>0.682</v>
      </c>
      <c r="O2078" s="4">
        <f>IFERROR(__xludf.DUMMYFUNCTION("""COMPUTED_VALUE"""),9.6)</f>
        <v>9.6</v>
      </c>
      <c r="P2078" s="4">
        <f>IFERROR(__xludf.DUMMYFUNCTION("""COMPUTED_VALUE"""),4.1)</f>
        <v>4.1</v>
      </c>
      <c r="Q2078" s="4">
        <f>IFERROR(__xludf.DUMMYFUNCTION("""COMPUTED_VALUE"""),1.4)</f>
        <v>1.4</v>
      </c>
      <c r="R2078" s="4">
        <f>IFERROR(__xludf.DUMMYFUNCTION("""COMPUTED_VALUE"""),0.4)</f>
        <v>0.4</v>
      </c>
      <c r="S2078" s="4">
        <f>IFERROR(__xludf.DUMMYFUNCTION("""COMPUTED_VALUE"""),0.2)</f>
        <v>0.2</v>
      </c>
      <c r="T2078" s="4">
        <f>IFERROR(__xludf.DUMMYFUNCTION("""COMPUTED_VALUE"""),0.025)</f>
        <v>0.025</v>
      </c>
      <c r="U2078" s="4">
        <f>IFERROR(__xludf.DUMMYFUNCTION("""COMPUTED_VALUE"""),-3.5)</f>
        <v>-3.5</v>
      </c>
      <c r="V2078" s="4">
        <f>IFERROR(__xludf.DUMMYFUNCTION("""COMPUTED_VALUE"""),-0.1)</f>
        <v>-0.1</v>
      </c>
    </row>
    <row r="2079">
      <c r="A2079" s="4">
        <f>IFERROR(__xludf.DUMMYFUNCTION("""COMPUTED_VALUE"""),46.0)</f>
        <v>46</v>
      </c>
      <c r="B2079" s="4">
        <f>IFERROR(__xludf.DUMMYFUNCTION("""COMPUTED_VALUE"""),46.0)</f>
        <v>46</v>
      </c>
      <c r="C2079" s="4" t="str">
        <f>IFERROR(__xludf.DUMMYFUNCTION("""COMPUTED_VALUE"""),"MIL")</f>
        <v>MIL</v>
      </c>
      <c r="D2079" s="4" t="str">
        <f>IFERROR(__xludf.DUMMYFUNCTION("""COMPUTED_VALUE"""),"Voshon Lenard")</f>
        <v>Voshon Lenard</v>
      </c>
      <c r="E2079" s="4" t="str">
        <f>IFERROR(__xludf.DUMMYFUNCTION("""COMPUTED_VALUE"""),"Minnesota")</f>
        <v>Minnesota</v>
      </c>
      <c r="F2079" s="4">
        <f>IFERROR(__xludf.DUMMYFUNCTION("""COMPUTED_VALUE"""),11.0)</f>
        <v>11</v>
      </c>
      <c r="G2079" s="4">
        <f>IFERROR(__xludf.DUMMYFUNCTION("""COMPUTED_VALUE"""),565.0)</f>
        <v>565</v>
      </c>
      <c r="H2079" s="4">
        <f>IFERROR(__xludf.DUMMYFUNCTION("""COMPUTED_VALUE"""),15349.0)</f>
        <v>15349</v>
      </c>
      <c r="I2079" s="4">
        <f>IFERROR(__xludf.DUMMYFUNCTION("""COMPUTED_VALUE"""),6745.0)</f>
        <v>6745</v>
      </c>
      <c r="J2079" s="4">
        <f>IFERROR(__xludf.DUMMYFUNCTION("""COMPUTED_VALUE"""),1609.0)</f>
        <v>1609</v>
      </c>
      <c r="K2079" s="4">
        <f>IFERROR(__xludf.DUMMYFUNCTION("""COMPUTED_VALUE"""),1180.0)</f>
        <v>1180</v>
      </c>
      <c r="L2079" s="4">
        <f>IFERROR(__xludf.DUMMYFUNCTION("""COMPUTED_VALUE"""),0.415)</f>
        <v>0.415</v>
      </c>
      <c r="M2079" s="4">
        <f>IFERROR(__xludf.DUMMYFUNCTION("""COMPUTED_VALUE"""),0.384)</f>
        <v>0.384</v>
      </c>
      <c r="N2079" s="4">
        <f>IFERROR(__xludf.DUMMYFUNCTION("""COMPUTED_VALUE"""),0.787)</f>
        <v>0.787</v>
      </c>
      <c r="O2079" s="4">
        <f>IFERROR(__xludf.DUMMYFUNCTION("""COMPUTED_VALUE"""),27.2)</f>
        <v>27.2</v>
      </c>
      <c r="P2079" s="4">
        <f>IFERROR(__xludf.DUMMYFUNCTION("""COMPUTED_VALUE"""),11.9)</f>
        <v>11.9</v>
      </c>
      <c r="Q2079" s="4">
        <f>IFERROR(__xludf.DUMMYFUNCTION("""COMPUTED_VALUE"""),2.8)</f>
        <v>2.8</v>
      </c>
      <c r="R2079" s="4">
        <f>IFERROR(__xludf.DUMMYFUNCTION("""COMPUTED_VALUE"""),2.1)</f>
        <v>2.1</v>
      </c>
      <c r="S2079" s="4">
        <f>IFERROR(__xludf.DUMMYFUNCTION("""COMPUTED_VALUE"""),29.6)</f>
        <v>29.6</v>
      </c>
      <c r="T2079" s="4">
        <f>IFERROR(__xludf.DUMMYFUNCTION("""COMPUTED_VALUE"""),0.093)</f>
        <v>0.093</v>
      </c>
      <c r="U2079" s="4">
        <f>IFERROR(__xludf.DUMMYFUNCTION("""COMPUTED_VALUE"""),0.0)</f>
        <v>0</v>
      </c>
      <c r="V2079" s="4">
        <f>IFERROR(__xludf.DUMMYFUNCTION("""COMPUTED_VALUE"""),7.9)</f>
        <v>7.9</v>
      </c>
    </row>
    <row r="2080">
      <c r="A2080" s="4">
        <f>IFERROR(__xludf.DUMMYFUNCTION("""COMPUTED_VALUE"""),47.0)</f>
        <v>47</v>
      </c>
      <c r="B2080" s="4">
        <f>IFERROR(__xludf.DUMMYFUNCTION("""COMPUTED_VALUE"""),47.0)</f>
        <v>47</v>
      </c>
      <c r="C2080" s="4" t="str">
        <f>IFERROR(__xludf.DUMMYFUNCTION("""COMPUTED_VALUE"""),"UTA")</f>
        <v>UTA</v>
      </c>
      <c r="D2080" s="4" t="str">
        <f>IFERROR(__xludf.DUMMYFUNCTION("""COMPUTED_VALUE"""),"Jamie Watson")</f>
        <v>Jamie Watson</v>
      </c>
      <c r="E2080" s="4" t="str">
        <f>IFERROR(__xludf.DUMMYFUNCTION("""COMPUTED_VALUE"""),"South Carolina")</f>
        <v>South Carolina</v>
      </c>
      <c r="F2080" s="4">
        <f>IFERROR(__xludf.DUMMYFUNCTION("""COMPUTED_VALUE"""),4.0)</f>
        <v>4</v>
      </c>
      <c r="G2080" s="4">
        <f>IFERROR(__xludf.DUMMYFUNCTION("""COMPUTED_VALUE"""),102.0)</f>
        <v>102</v>
      </c>
      <c r="H2080" s="4">
        <f>IFERROR(__xludf.DUMMYFUNCTION("""COMPUTED_VALUE"""),1248.0)</f>
        <v>1248</v>
      </c>
      <c r="I2080" s="4">
        <f>IFERROR(__xludf.DUMMYFUNCTION("""COMPUTED_VALUE"""),323.0)</f>
        <v>323</v>
      </c>
      <c r="J2080" s="4">
        <f>IFERROR(__xludf.DUMMYFUNCTION("""COMPUTED_VALUE"""),149.0)</f>
        <v>149</v>
      </c>
      <c r="K2080" s="4">
        <f>IFERROR(__xludf.DUMMYFUNCTION("""COMPUTED_VALUE"""),117.0)</f>
        <v>117</v>
      </c>
      <c r="L2080" s="4">
        <f>IFERROR(__xludf.DUMMYFUNCTION("""COMPUTED_VALUE"""),0.468)</f>
        <v>0.468</v>
      </c>
      <c r="M2080" s="4">
        <f>IFERROR(__xludf.DUMMYFUNCTION("""COMPUTED_VALUE"""),0.316)</f>
        <v>0.316</v>
      </c>
      <c r="N2080" s="4">
        <f>IFERROR(__xludf.DUMMYFUNCTION("""COMPUTED_VALUE"""),0.694)</f>
        <v>0.694</v>
      </c>
      <c r="O2080" s="4">
        <f>IFERROR(__xludf.DUMMYFUNCTION("""COMPUTED_VALUE"""),12.2)</f>
        <v>12.2</v>
      </c>
      <c r="P2080" s="4">
        <f>IFERROR(__xludf.DUMMYFUNCTION("""COMPUTED_VALUE"""),3.2)</f>
        <v>3.2</v>
      </c>
      <c r="Q2080" s="4">
        <f>IFERROR(__xludf.DUMMYFUNCTION("""COMPUTED_VALUE"""),1.5)</f>
        <v>1.5</v>
      </c>
      <c r="R2080" s="4">
        <f>IFERROR(__xludf.DUMMYFUNCTION("""COMPUTED_VALUE"""),1.1)</f>
        <v>1.1</v>
      </c>
      <c r="S2080" s="4">
        <f>IFERROR(__xludf.DUMMYFUNCTION("""COMPUTED_VALUE"""),1.2)</f>
        <v>1.2</v>
      </c>
      <c r="T2080" s="4">
        <f>IFERROR(__xludf.DUMMYFUNCTION("""COMPUTED_VALUE"""),0.045)</f>
        <v>0.045</v>
      </c>
      <c r="U2080" s="4">
        <f>IFERROR(__xludf.DUMMYFUNCTION("""COMPUTED_VALUE"""),-1.5)</f>
        <v>-1.5</v>
      </c>
      <c r="V2080" s="4">
        <f>IFERROR(__xludf.DUMMYFUNCTION("""COMPUTED_VALUE"""),0.2)</f>
        <v>0.2</v>
      </c>
    </row>
    <row r="2081">
      <c r="A2081" s="4">
        <f>IFERROR(__xludf.DUMMYFUNCTION("""COMPUTED_VALUE"""),48.0)</f>
        <v>48</v>
      </c>
      <c r="B2081" s="4">
        <f>IFERROR(__xludf.DUMMYFUNCTION("""COMPUTED_VALUE"""),48.0)</f>
        <v>48</v>
      </c>
      <c r="C2081" s="4" t="str">
        <f>IFERROR(__xludf.DUMMYFUNCTION("""COMPUTED_VALUE"""),"DET")</f>
        <v>DET</v>
      </c>
      <c r="D2081" s="4" t="str">
        <f>IFERROR(__xludf.DUMMYFUNCTION("""COMPUTED_VALUE"""),"Jevon Crudup")</f>
        <v>Jevon Crudup</v>
      </c>
      <c r="E2081" s="4" t="str">
        <f>IFERROR(__xludf.DUMMYFUNCTION("""COMPUTED_VALUE"""),"Missouri")</f>
        <v>Missouri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</row>
    <row r="2082">
      <c r="A2082" s="4">
        <f>IFERROR(__xludf.DUMMYFUNCTION("""COMPUTED_VALUE"""),49.0)</f>
        <v>49</v>
      </c>
      <c r="B2082" s="4">
        <f>IFERROR(__xludf.DUMMYFUNCTION("""COMPUTED_VALUE"""),49.0)</f>
        <v>49</v>
      </c>
      <c r="C2082" s="4" t="str">
        <f>IFERROR(__xludf.DUMMYFUNCTION("""COMPUTED_VALUE"""),"CHI")</f>
        <v>CHI</v>
      </c>
      <c r="D2082" s="4" t="str">
        <f>IFERROR(__xludf.DUMMYFUNCTION("""COMPUTED_VALUE"""),"Kris Bruton")</f>
        <v>Kris Bruton</v>
      </c>
      <c r="E2082" s="4" t="str">
        <f>IFERROR(__xludf.DUMMYFUNCTION("""COMPUTED_VALUE"""),"Benedict College")</f>
        <v>Benedict College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</row>
    <row r="2083">
      <c r="A2083" s="4">
        <f>IFERROR(__xludf.DUMMYFUNCTION("""COMPUTED_VALUE"""),50.0)</f>
        <v>50</v>
      </c>
      <c r="B2083" s="4">
        <f>IFERROR(__xludf.DUMMYFUNCTION("""COMPUTED_VALUE"""),50.0)</f>
        <v>50</v>
      </c>
      <c r="C2083" s="4" t="str">
        <f>IFERROR(__xludf.DUMMYFUNCTION("""COMPUTED_VALUE"""),"PHO")</f>
        <v>PHO</v>
      </c>
      <c r="D2083" s="4" t="str">
        <f>IFERROR(__xludf.DUMMYFUNCTION("""COMPUTED_VALUE"""),"Charles Claxton")</f>
        <v>Charles Claxton</v>
      </c>
      <c r="E2083" s="4" t="str">
        <f>IFERROR(__xludf.DUMMYFUNCTION("""COMPUTED_VALUE"""),"Georgia")</f>
        <v>Georgia</v>
      </c>
      <c r="F2083" s="4">
        <f>IFERROR(__xludf.DUMMYFUNCTION("""COMPUTED_VALUE"""),1.0)</f>
        <v>1</v>
      </c>
      <c r="G2083" s="4">
        <f>IFERROR(__xludf.DUMMYFUNCTION("""COMPUTED_VALUE"""),3.0)</f>
        <v>3</v>
      </c>
      <c r="H2083" s="4">
        <f>IFERROR(__xludf.DUMMYFUNCTION("""COMPUTED_VALUE"""),7.0)</f>
        <v>7</v>
      </c>
      <c r="I2083" s="4">
        <f>IFERROR(__xludf.DUMMYFUNCTION("""COMPUTED_VALUE"""),2.0)</f>
        <v>2</v>
      </c>
      <c r="J2083" s="4">
        <f>IFERROR(__xludf.DUMMYFUNCTION("""COMPUTED_VALUE"""),2.0)</f>
        <v>2</v>
      </c>
      <c r="K2083" s="4">
        <f>IFERROR(__xludf.DUMMYFUNCTION("""COMPUTED_VALUE"""),0.0)</f>
        <v>0</v>
      </c>
      <c r="L2083" s="4">
        <f>IFERROR(__xludf.DUMMYFUNCTION("""COMPUTED_VALUE"""),0.5)</f>
        <v>0.5</v>
      </c>
      <c r="M2083" s="4"/>
      <c r="N2083" s="4">
        <f>IFERROR(__xludf.DUMMYFUNCTION("""COMPUTED_VALUE"""),0.0)</f>
        <v>0</v>
      </c>
      <c r="O2083" s="4">
        <f>IFERROR(__xludf.DUMMYFUNCTION("""COMPUTED_VALUE"""),2.3)</f>
        <v>2.3</v>
      </c>
      <c r="P2083" s="4">
        <f>IFERROR(__xludf.DUMMYFUNCTION("""COMPUTED_VALUE"""),0.7)</f>
        <v>0.7</v>
      </c>
      <c r="Q2083" s="4">
        <f>IFERROR(__xludf.DUMMYFUNCTION("""COMPUTED_VALUE"""),0.7)</f>
        <v>0.7</v>
      </c>
      <c r="R2083" s="4">
        <f>IFERROR(__xludf.DUMMYFUNCTION("""COMPUTED_VALUE"""),0.0)</f>
        <v>0</v>
      </c>
      <c r="S2083" s="4">
        <f>IFERROR(__xludf.DUMMYFUNCTION("""COMPUTED_VALUE"""),0.0)</f>
        <v>0</v>
      </c>
      <c r="T2083" s="4">
        <f>IFERROR(__xludf.DUMMYFUNCTION("""COMPUTED_VALUE"""),-0.179)</f>
        <v>-0.179</v>
      </c>
      <c r="U2083" s="4">
        <f>IFERROR(__xludf.DUMMYFUNCTION("""COMPUTED_VALUE"""),-18.9)</f>
        <v>-18.9</v>
      </c>
      <c r="V2083" s="4">
        <f>IFERROR(__xludf.DUMMYFUNCTION("""COMPUTED_VALUE"""),0.0)</f>
        <v>0</v>
      </c>
    </row>
    <row r="2084">
      <c r="A2084" s="4">
        <f>IFERROR(__xludf.DUMMYFUNCTION("""COMPUTED_VALUE"""),51.0)</f>
        <v>51</v>
      </c>
      <c r="B2084" s="4">
        <f>IFERROR(__xludf.DUMMYFUNCTION("""COMPUTED_VALUE"""),51.0)</f>
        <v>51</v>
      </c>
      <c r="C2084" s="4" t="str">
        <f>IFERROR(__xludf.DUMMYFUNCTION("""COMPUTED_VALUE"""),"SAC")</f>
        <v>SAC</v>
      </c>
      <c r="D2084" s="4" t="str">
        <f>IFERROR(__xludf.DUMMYFUNCTION("""COMPUTED_VALUE"""),"Lawrence Funderburke")</f>
        <v>Lawrence Funderburke</v>
      </c>
      <c r="E2084" s="4" t="str">
        <f>IFERROR(__xludf.DUMMYFUNCTION("""COMPUTED_VALUE"""),"Ohio State")</f>
        <v>Ohio State</v>
      </c>
      <c r="F2084" s="4">
        <f>IFERROR(__xludf.DUMMYFUNCTION("""COMPUTED_VALUE"""),7.0)</f>
        <v>7</v>
      </c>
      <c r="G2084" s="4">
        <f>IFERROR(__xludf.DUMMYFUNCTION("""COMPUTED_VALUE"""),318.0)</f>
        <v>318</v>
      </c>
      <c r="H2084" s="4">
        <f>IFERROR(__xludf.DUMMYFUNCTION("""COMPUTED_VALUE"""),4726.0)</f>
        <v>4726</v>
      </c>
      <c r="I2084" s="4">
        <f>IFERROR(__xludf.DUMMYFUNCTION("""COMPUTED_VALUE"""),2031.0)</f>
        <v>2031</v>
      </c>
      <c r="J2084" s="4">
        <f>IFERROR(__xludf.DUMMYFUNCTION("""COMPUTED_VALUE"""),1142.0)</f>
        <v>1142</v>
      </c>
      <c r="K2084" s="4">
        <f>IFERROR(__xludf.DUMMYFUNCTION("""COMPUTED_VALUE"""),183.0)</f>
        <v>183</v>
      </c>
      <c r="L2084" s="4">
        <f>IFERROR(__xludf.DUMMYFUNCTION("""COMPUTED_VALUE"""),0.506)</f>
        <v>0.506</v>
      </c>
      <c r="M2084" s="4">
        <f>IFERROR(__xludf.DUMMYFUNCTION("""COMPUTED_VALUE"""),0.118)</f>
        <v>0.118</v>
      </c>
      <c r="N2084" s="4">
        <f>IFERROR(__xludf.DUMMYFUNCTION("""COMPUTED_VALUE"""),0.675)</f>
        <v>0.675</v>
      </c>
      <c r="O2084" s="4">
        <f>IFERROR(__xludf.DUMMYFUNCTION("""COMPUTED_VALUE"""),14.9)</f>
        <v>14.9</v>
      </c>
      <c r="P2084" s="4">
        <f>IFERROR(__xludf.DUMMYFUNCTION("""COMPUTED_VALUE"""),6.4)</f>
        <v>6.4</v>
      </c>
      <c r="Q2084" s="4">
        <f>IFERROR(__xludf.DUMMYFUNCTION("""COMPUTED_VALUE"""),3.6)</f>
        <v>3.6</v>
      </c>
      <c r="R2084" s="4">
        <f>IFERROR(__xludf.DUMMYFUNCTION("""COMPUTED_VALUE"""),0.6)</f>
        <v>0.6</v>
      </c>
      <c r="S2084" s="4">
        <f>IFERROR(__xludf.DUMMYFUNCTION("""COMPUTED_VALUE"""),12.9)</f>
        <v>12.9</v>
      </c>
      <c r="T2084" s="4">
        <f>IFERROR(__xludf.DUMMYFUNCTION("""COMPUTED_VALUE"""),0.131)</f>
        <v>0.131</v>
      </c>
      <c r="U2084" s="4">
        <f>IFERROR(__xludf.DUMMYFUNCTION("""COMPUTED_VALUE"""),-0.5)</f>
        <v>-0.5</v>
      </c>
      <c r="V2084" s="4">
        <f>IFERROR(__xludf.DUMMYFUNCTION("""COMPUTED_VALUE"""),1.8)</f>
        <v>1.8</v>
      </c>
    </row>
    <row r="2085">
      <c r="A2085" s="4">
        <f>IFERROR(__xludf.DUMMYFUNCTION("""COMPUTED_VALUE"""),52.0)</f>
        <v>52</v>
      </c>
      <c r="B2085" s="4">
        <f>IFERROR(__xludf.DUMMYFUNCTION("""COMPUTED_VALUE"""),52.0)</f>
        <v>52</v>
      </c>
      <c r="C2085" s="4" t="str">
        <f>IFERROR(__xludf.DUMMYFUNCTION("""COMPUTED_VALUE"""),"PHO")</f>
        <v>PHO</v>
      </c>
      <c r="D2085" s="4" t="str">
        <f>IFERROR(__xludf.DUMMYFUNCTION("""COMPUTED_VALUE"""),"Anthony Goldwire")</f>
        <v>Anthony Goldwire</v>
      </c>
      <c r="E2085" s="4" t="str">
        <f>IFERROR(__xludf.DUMMYFUNCTION("""COMPUTED_VALUE"""),"Houston")</f>
        <v>Houston</v>
      </c>
      <c r="F2085" s="4">
        <f>IFERROR(__xludf.DUMMYFUNCTION("""COMPUTED_VALUE"""),8.0)</f>
        <v>8</v>
      </c>
      <c r="G2085" s="4">
        <f>IFERROR(__xludf.DUMMYFUNCTION("""COMPUTED_VALUE"""),266.0)</f>
        <v>266</v>
      </c>
      <c r="H2085" s="4">
        <f>IFERROR(__xludf.DUMMYFUNCTION("""COMPUTED_VALUE"""),4951.0)</f>
        <v>4951</v>
      </c>
      <c r="I2085" s="4">
        <f>IFERROR(__xludf.DUMMYFUNCTION("""COMPUTED_VALUE"""),1667.0)</f>
        <v>1667</v>
      </c>
      <c r="J2085" s="4">
        <f>IFERROR(__xludf.DUMMYFUNCTION("""COMPUTED_VALUE"""),359.0)</f>
        <v>359</v>
      </c>
      <c r="K2085" s="4">
        <f>IFERROR(__xludf.DUMMYFUNCTION("""COMPUTED_VALUE"""),737.0)</f>
        <v>737</v>
      </c>
      <c r="L2085" s="4">
        <f>IFERROR(__xludf.DUMMYFUNCTION("""COMPUTED_VALUE"""),0.407)</f>
        <v>0.407</v>
      </c>
      <c r="M2085" s="4">
        <f>IFERROR(__xludf.DUMMYFUNCTION("""COMPUTED_VALUE"""),0.386)</f>
        <v>0.386</v>
      </c>
      <c r="N2085" s="4">
        <f>IFERROR(__xludf.DUMMYFUNCTION("""COMPUTED_VALUE"""),0.792)</f>
        <v>0.792</v>
      </c>
      <c r="O2085" s="4">
        <f>IFERROR(__xludf.DUMMYFUNCTION("""COMPUTED_VALUE"""),18.6)</f>
        <v>18.6</v>
      </c>
      <c r="P2085" s="4">
        <f>IFERROR(__xludf.DUMMYFUNCTION("""COMPUTED_VALUE"""),6.3)</f>
        <v>6.3</v>
      </c>
      <c r="Q2085" s="4">
        <f>IFERROR(__xludf.DUMMYFUNCTION("""COMPUTED_VALUE"""),1.3)</f>
        <v>1.3</v>
      </c>
      <c r="R2085" s="4">
        <f>IFERROR(__xludf.DUMMYFUNCTION("""COMPUTED_VALUE"""),2.8)</f>
        <v>2.8</v>
      </c>
      <c r="S2085" s="4">
        <f>IFERROR(__xludf.DUMMYFUNCTION("""COMPUTED_VALUE"""),6.4)</f>
        <v>6.4</v>
      </c>
      <c r="T2085" s="4">
        <f>IFERROR(__xludf.DUMMYFUNCTION("""COMPUTED_VALUE"""),0.062)</f>
        <v>0.062</v>
      </c>
      <c r="U2085" s="4">
        <f>IFERROR(__xludf.DUMMYFUNCTION("""COMPUTED_VALUE"""),-1.8)</f>
        <v>-1.8</v>
      </c>
      <c r="V2085" s="4">
        <f>IFERROR(__xludf.DUMMYFUNCTION("""COMPUTED_VALUE"""),0.3)</f>
        <v>0.3</v>
      </c>
    </row>
    <row r="2086">
      <c r="A2086" s="4">
        <f>IFERROR(__xludf.DUMMYFUNCTION("""COMPUTED_VALUE"""),53.0)</f>
        <v>53</v>
      </c>
      <c r="B2086" s="4">
        <f>IFERROR(__xludf.DUMMYFUNCTION("""COMPUTED_VALUE"""),53.0)</f>
        <v>53</v>
      </c>
      <c r="C2086" s="4" t="str">
        <f>IFERROR(__xludf.DUMMYFUNCTION("""COMPUTED_VALUE"""),"HOU")</f>
        <v>HOU</v>
      </c>
      <c r="D2086" s="4" t="str">
        <f>IFERROR(__xludf.DUMMYFUNCTION("""COMPUTED_VALUE"""),"Albert Burditt")</f>
        <v>Albert Burditt</v>
      </c>
      <c r="E2086" s="4" t="str">
        <f>IFERROR(__xludf.DUMMYFUNCTION("""COMPUTED_VALUE"""),"Texas")</f>
        <v>Texas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</row>
    <row r="2087">
      <c r="A2087" s="4">
        <f>IFERROR(__xludf.DUMMYFUNCTION("""COMPUTED_VALUE"""),54.0)</f>
        <v>54</v>
      </c>
      <c r="B2087" s="4">
        <f>IFERROR(__xludf.DUMMYFUNCTION("""COMPUTED_VALUE"""),54.0)</f>
        <v>54</v>
      </c>
      <c r="C2087" s="4" t="str">
        <f>IFERROR(__xludf.DUMMYFUNCTION("""COMPUTED_VALUE"""),"SEA")</f>
        <v>SEA</v>
      </c>
      <c r="D2087" s="4" t="str">
        <f>IFERROR(__xludf.DUMMYFUNCTION("""COMPUTED_VALUE"""),"Željko Rebrača")</f>
        <v>Željko Rebrača</v>
      </c>
      <c r="E2087" s="4"/>
      <c r="F2087" s="4">
        <f>IFERROR(__xludf.DUMMYFUNCTION("""COMPUTED_VALUE"""),5.0)</f>
        <v>5</v>
      </c>
      <c r="G2087" s="4">
        <f>IFERROR(__xludf.DUMMYFUNCTION("""COMPUTED_VALUE"""),215.0)</f>
        <v>215</v>
      </c>
      <c r="H2087" s="4">
        <f>IFERROR(__xludf.DUMMYFUNCTION("""COMPUTED_VALUE"""),3280.0)</f>
        <v>3280</v>
      </c>
      <c r="I2087" s="4">
        <f>IFERROR(__xludf.DUMMYFUNCTION("""COMPUTED_VALUE"""),1276.0)</f>
        <v>1276</v>
      </c>
      <c r="J2087" s="4">
        <f>IFERROR(__xludf.DUMMYFUNCTION("""COMPUTED_VALUE"""),688.0)</f>
        <v>688</v>
      </c>
      <c r="K2087" s="4">
        <f>IFERROR(__xludf.DUMMYFUNCTION("""COMPUTED_VALUE"""),88.0)</f>
        <v>88</v>
      </c>
      <c r="L2087" s="4">
        <f>IFERROR(__xludf.DUMMYFUNCTION("""COMPUTED_VALUE"""),0.527)</f>
        <v>0.527</v>
      </c>
      <c r="M2087" s="4"/>
      <c r="N2087" s="4">
        <f>IFERROR(__xludf.DUMMYFUNCTION("""COMPUTED_VALUE"""),0.792)</f>
        <v>0.792</v>
      </c>
      <c r="O2087" s="4">
        <f>IFERROR(__xludf.DUMMYFUNCTION("""COMPUTED_VALUE"""),15.3)</f>
        <v>15.3</v>
      </c>
      <c r="P2087" s="4">
        <f>IFERROR(__xludf.DUMMYFUNCTION("""COMPUTED_VALUE"""),5.9)</f>
        <v>5.9</v>
      </c>
      <c r="Q2087" s="4">
        <f>IFERROR(__xludf.DUMMYFUNCTION("""COMPUTED_VALUE"""),3.2)</f>
        <v>3.2</v>
      </c>
      <c r="R2087" s="4">
        <f>IFERROR(__xludf.DUMMYFUNCTION("""COMPUTED_VALUE"""),0.4)</f>
        <v>0.4</v>
      </c>
      <c r="S2087" s="4">
        <f>IFERROR(__xludf.DUMMYFUNCTION("""COMPUTED_VALUE"""),8.3)</f>
        <v>8.3</v>
      </c>
      <c r="T2087" s="4">
        <f>IFERROR(__xludf.DUMMYFUNCTION("""COMPUTED_VALUE"""),0.121)</f>
        <v>0.121</v>
      </c>
      <c r="U2087" s="4">
        <f>IFERROR(__xludf.DUMMYFUNCTION("""COMPUTED_VALUE"""),-2.2)</f>
        <v>-2.2</v>
      </c>
      <c r="V2087" s="4">
        <f>IFERROR(__xludf.DUMMYFUNCTION("""COMPUTED_VALUE"""),-0.2)</f>
        <v>-0.2</v>
      </c>
    </row>
    <row r="2089">
      <c r="A2089" s="2">
        <v>1993.0</v>
      </c>
    </row>
    <row r="2090">
      <c r="A2090" s="4" t="str">
        <f>IFERROR(__xludf.DUMMYFUNCTION("IMPORTHTML(""https://www.basketball-reference.com/draft/NBA_1993.html"", ""table"", 1)"),"")</f>
        <v/>
      </c>
      <c r="B2090" s="4"/>
      <c r="C2090" s="4"/>
      <c r="D2090" s="4" t="str">
        <f>IFERROR(__xludf.DUMMYFUNCTION("""COMPUTED_VALUE"""),"Round 1")</f>
        <v>Round 1</v>
      </c>
      <c r="E2090" s="4"/>
      <c r="F2090" s="4"/>
      <c r="G2090" s="4" t="str">
        <f>IFERROR(__xludf.DUMMYFUNCTION("""COMPUTED_VALUE"""),"Totals")</f>
        <v>Totals</v>
      </c>
      <c r="H2090" s="4"/>
      <c r="I2090" s="4"/>
      <c r="J2090" s="4"/>
      <c r="K2090" s="4"/>
      <c r="L2090" s="4" t="str">
        <f>IFERROR(__xludf.DUMMYFUNCTION("""COMPUTED_VALUE"""),"Shooting")</f>
        <v>Shooting</v>
      </c>
      <c r="M2090" s="4"/>
      <c r="N2090" s="4"/>
      <c r="O2090" s="4" t="str">
        <f>IFERROR(__xludf.DUMMYFUNCTION("""COMPUTED_VALUE"""),"Per Game")</f>
        <v>Per Game</v>
      </c>
      <c r="P2090" s="4"/>
      <c r="Q2090" s="4"/>
      <c r="R2090" s="4"/>
      <c r="S2090" s="4" t="str">
        <f>IFERROR(__xludf.DUMMYFUNCTION("""COMPUTED_VALUE"""),"Advanced")</f>
        <v>Advanced</v>
      </c>
      <c r="T2090" s="4"/>
      <c r="U2090" s="4"/>
      <c r="V2090" s="4"/>
    </row>
    <row r="2091">
      <c r="A2091" s="4" t="str">
        <f>IFERROR(__xludf.DUMMYFUNCTION("""COMPUTED_VALUE"""),"Rk")</f>
        <v>Rk</v>
      </c>
      <c r="B2091" s="4" t="str">
        <f>IFERROR(__xludf.DUMMYFUNCTION("""COMPUTED_VALUE"""),"Pk")</f>
        <v>Pk</v>
      </c>
      <c r="C2091" s="4" t="str">
        <f>IFERROR(__xludf.DUMMYFUNCTION("""COMPUTED_VALUE"""),"Tm")</f>
        <v>Tm</v>
      </c>
      <c r="D2091" s="4" t="str">
        <f>IFERROR(__xludf.DUMMYFUNCTION("""COMPUTED_VALUE"""),"Player")</f>
        <v>Player</v>
      </c>
      <c r="E2091" s="4" t="str">
        <f>IFERROR(__xludf.DUMMYFUNCTION("""COMPUTED_VALUE"""),"College")</f>
        <v>College</v>
      </c>
      <c r="F2091" s="4" t="str">
        <f>IFERROR(__xludf.DUMMYFUNCTION("""COMPUTED_VALUE"""),"Yrs")</f>
        <v>Yrs</v>
      </c>
      <c r="G2091" s="4" t="str">
        <f>IFERROR(__xludf.DUMMYFUNCTION("""COMPUTED_VALUE"""),"G")</f>
        <v>G</v>
      </c>
      <c r="H2091" s="4" t="str">
        <f>IFERROR(__xludf.DUMMYFUNCTION("""COMPUTED_VALUE"""),"MP")</f>
        <v>MP</v>
      </c>
      <c r="I2091" s="4" t="str">
        <f>IFERROR(__xludf.DUMMYFUNCTION("""COMPUTED_VALUE"""),"PTS")</f>
        <v>PTS</v>
      </c>
      <c r="J2091" s="4" t="str">
        <f>IFERROR(__xludf.DUMMYFUNCTION("""COMPUTED_VALUE"""),"TRB")</f>
        <v>TRB</v>
      </c>
      <c r="K2091" s="4" t="str">
        <f>IFERROR(__xludf.DUMMYFUNCTION("""COMPUTED_VALUE"""),"AST")</f>
        <v>AST</v>
      </c>
      <c r="L2091" s="4" t="str">
        <f>IFERROR(__xludf.DUMMYFUNCTION("""COMPUTED_VALUE"""),"FG%")</f>
        <v>FG%</v>
      </c>
      <c r="M2091" s="4" t="str">
        <f>IFERROR(__xludf.DUMMYFUNCTION("""COMPUTED_VALUE"""),"3P%")</f>
        <v>3P%</v>
      </c>
      <c r="N2091" s="4" t="str">
        <f>IFERROR(__xludf.DUMMYFUNCTION("""COMPUTED_VALUE"""),"FT%")</f>
        <v>FT%</v>
      </c>
      <c r="O2091" s="4" t="str">
        <f>IFERROR(__xludf.DUMMYFUNCTION("""COMPUTED_VALUE"""),"MP")</f>
        <v>MP</v>
      </c>
      <c r="P2091" s="4" t="str">
        <f>IFERROR(__xludf.DUMMYFUNCTION("""COMPUTED_VALUE"""),"PTS")</f>
        <v>PTS</v>
      </c>
      <c r="Q2091" s="4" t="str">
        <f>IFERROR(__xludf.DUMMYFUNCTION("""COMPUTED_VALUE"""),"TRB")</f>
        <v>TRB</v>
      </c>
      <c r="R2091" s="4" t="str">
        <f>IFERROR(__xludf.DUMMYFUNCTION("""COMPUTED_VALUE"""),"AST")</f>
        <v>AST</v>
      </c>
      <c r="S2091" s="4" t="str">
        <f>IFERROR(__xludf.DUMMYFUNCTION("""COMPUTED_VALUE"""),"WS")</f>
        <v>WS</v>
      </c>
      <c r="T2091" s="4" t="str">
        <f>IFERROR(__xludf.DUMMYFUNCTION("""COMPUTED_VALUE"""),"WS/48")</f>
        <v>WS/48</v>
      </c>
      <c r="U2091" s="4" t="str">
        <f>IFERROR(__xludf.DUMMYFUNCTION("""COMPUTED_VALUE"""),"BPM")</f>
        <v>BPM</v>
      </c>
      <c r="V2091" s="4" t="str">
        <f>IFERROR(__xludf.DUMMYFUNCTION("""COMPUTED_VALUE"""),"VORP")</f>
        <v>VORP</v>
      </c>
    </row>
    <row r="2092">
      <c r="A2092" s="4">
        <f>IFERROR(__xludf.DUMMYFUNCTION("""COMPUTED_VALUE"""),1.0)</f>
        <v>1</v>
      </c>
      <c r="B2092" s="4">
        <f>IFERROR(__xludf.DUMMYFUNCTION("""COMPUTED_VALUE"""),1.0)</f>
        <v>1</v>
      </c>
      <c r="C2092" s="4" t="str">
        <f>IFERROR(__xludf.DUMMYFUNCTION("""COMPUTED_VALUE"""),"ORL")</f>
        <v>ORL</v>
      </c>
      <c r="D2092" s="4" t="str">
        <f>IFERROR(__xludf.DUMMYFUNCTION("""COMPUTED_VALUE"""),"Chris Webber")</f>
        <v>Chris Webber</v>
      </c>
      <c r="E2092" s="4" t="str">
        <f>IFERROR(__xludf.DUMMYFUNCTION("""COMPUTED_VALUE"""),"Michigan")</f>
        <v>Michigan</v>
      </c>
      <c r="F2092" s="4">
        <f>IFERROR(__xludf.DUMMYFUNCTION("""COMPUTED_VALUE"""),15.0)</f>
        <v>15</v>
      </c>
      <c r="G2092" s="4">
        <f>IFERROR(__xludf.DUMMYFUNCTION("""COMPUTED_VALUE"""),831.0)</f>
        <v>831</v>
      </c>
      <c r="H2092" s="4">
        <f>IFERROR(__xludf.DUMMYFUNCTION("""COMPUTED_VALUE"""),30847.0)</f>
        <v>30847</v>
      </c>
      <c r="I2092" s="4">
        <f>IFERROR(__xludf.DUMMYFUNCTION("""COMPUTED_VALUE"""),17182.0)</f>
        <v>17182</v>
      </c>
      <c r="J2092" s="4">
        <f>IFERROR(__xludf.DUMMYFUNCTION("""COMPUTED_VALUE"""),8124.0)</f>
        <v>8124</v>
      </c>
      <c r="K2092" s="4">
        <f>IFERROR(__xludf.DUMMYFUNCTION("""COMPUTED_VALUE"""),3526.0)</f>
        <v>3526</v>
      </c>
      <c r="L2092" s="4">
        <f>IFERROR(__xludf.DUMMYFUNCTION("""COMPUTED_VALUE"""),0.479)</f>
        <v>0.479</v>
      </c>
      <c r="M2092" s="4">
        <f>IFERROR(__xludf.DUMMYFUNCTION("""COMPUTED_VALUE"""),0.299)</f>
        <v>0.299</v>
      </c>
      <c r="N2092" s="4">
        <f>IFERROR(__xludf.DUMMYFUNCTION("""COMPUTED_VALUE"""),0.649)</f>
        <v>0.649</v>
      </c>
      <c r="O2092" s="4">
        <f>IFERROR(__xludf.DUMMYFUNCTION("""COMPUTED_VALUE"""),37.1)</f>
        <v>37.1</v>
      </c>
      <c r="P2092" s="4">
        <f>IFERROR(__xludf.DUMMYFUNCTION("""COMPUTED_VALUE"""),20.7)</f>
        <v>20.7</v>
      </c>
      <c r="Q2092" s="4">
        <f>IFERROR(__xludf.DUMMYFUNCTION("""COMPUTED_VALUE"""),9.8)</f>
        <v>9.8</v>
      </c>
      <c r="R2092" s="4">
        <f>IFERROR(__xludf.DUMMYFUNCTION("""COMPUTED_VALUE"""),4.2)</f>
        <v>4.2</v>
      </c>
      <c r="S2092" s="4">
        <f>IFERROR(__xludf.DUMMYFUNCTION("""COMPUTED_VALUE"""),84.7)</f>
        <v>84.7</v>
      </c>
      <c r="T2092" s="4">
        <f>IFERROR(__xludf.DUMMYFUNCTION("""COMPUTED_VALUE"""),0.132)</f>
        <v>0.132</v>
      </c>
      <c r="U2092" s="4">
        <f>IFERROR(__xludf.DUMMYFUNCTION("""COMPUTED_VALUE"""),3.4)</f>
        <v>3.4</v>
      </c>
      <c r="V2092" s="4">
        <f>IFERROR(__xludf.DUMMYFUNCTION("""COMPUTED_VALUE"""),42.1)</f>
        <v>42.1</v>
      </c>
    </row>
    <row r="2093">
      <c r="A2093" s="4">
        <f>IFERROR(__xludf.DUMMYFUNCTION("""COMPUTED_VALUE"""),2.0)</f>
        <v>2</v>
      </c>
      <c r="B2093" s="4">
        <f>IFERROR(__xludf.DUMMYFUNCTION("""COMPUTED_VALUE"""),2.0)</f>
        <v>2</v>
      </c>
      <c r="C2093" s="4" t="str">
        <f>IFERROR(__xludf.DUMMYFUNCTION("""COMPUTED_VALUE"""),"PHI")</f>
        <v>PHI</v>
      </c>
      <c r="D2093" s="4" t="str">
        <f>IFERROR(__xludf.DUMMYFUNCTION("""COMPUTED_VALUE"""),"Shawn Bradley")</f>
        <v>Shawn Bradley</v>
      </c>
      <c r="E2093" s="4" t="str">
        <f>IFERROR(__xludf.DUMMYFUNCTION("""COMPUTED_VALUE"""),"BYU")</f>
        <v>BYU</v>
      </c>
      <c r="F2093" s="4">
        <f>IFERROR(__xludf.DUMMYFUNCTION("""COMPUTED_VALUE"""),12.0)</f>
        <v>12</v>
      </c>
      <c r="G2093" s="4">
        <f>IFERROR(__xludf.DUMMYFUNCTION("""COMPUTED_VALUE"""),832.0)</f>
        <v>832</v>
      </c>
      <c r="H2093" s="4">
        <f>IFERROR(__xludf.DUMMYFUNCTION("""COMPUTED_VALUE"""),19531.0)</f>
        <v>19531</v>
      </c>
      <c r="I2093" s="4">
        <f>IFERROR(__xludf.DUMMYFUNCTION("""COMPUTED_VALUE"""),6752.0)</f>
        <v>6752</v>
      </c>
      <c r="J2093" s="4">
        <f>IFERROR(__xludf.DUMMYFUNCTION("""COMPUTED_VALUE"""),5268.0)</f>
        <v>5268</v>
      </c>
      <c r="K2093" s="4">
        <f>IFERROR(__xludf.DUMMYFUNCTION("""COMPUTED_VALUE"""),573.0)</f>
        <v>573</v>
      </c>
      <c r="L2093" s="4">
        <f>IFERROR(__xludf.DUMMYFUNCTION("""COMPUTED_VALUE"""),0.457)</f>
        <v>0.457</v>
      </c>
      <c r="M2093" s="4">
        <f>IFERROR(__xludf.DUMMYFUNCTION("""COMPUTED_VALUE"""),0.103)</f>
        <v>0.103</v>
      </c>
      <c r="N2093" s="4">
        <f>IFERROR(__xludf.DUMMYFUNCTION("""COMPUTED_VALUE"""),0.716)</f>
        <v>0.716</v>
      </c>
      <c r="O2093" s="4">
        <f>IFERROR(__xludf.DUMMYFUNCTION("""COMPUTED_VALUE"""),23.5)</f>
        <v>23.5</v>
      </c>
      <c r="P2093" s="4">
        <f>IFERROR(__xludf.DUMMYFUNCTION("""COMPUTED_VALUE"""),8.1)</f>
        <v>8.1</v>
      </c>
      <c r="Q2093" s="4">
        <f>IFERROR(__xludf.DUMMYFUNCTION("""COMPUTED_VALUE"""),6.3)</f>
        <v>6.3</v>
      </c>
      <c r="R2093" s="4">
        <f>IFERROR(__xludf.DUMMYFUNCTION("""COMPUTED_VALUE"""),0.7)</f>
        <v>0.7</v>
      </c>
      <c r="S2093" s="4">
        <f>IFERROR(__xludf.DUMMYFUNCTION("""COMPUTED_VALUE"""),40.7)</f>
        <v>40.7</v>
      </c>
      <c r="T2093" s="4">
        <f>IFERROR(__xludf.DUMMYFUNCTION("""COMPUTED_VALUE"""),0.1)</f>
        <v>0.1</v>
      </c>
      <c r="U2093" s="4">
        <f>IFERROR(__xludf.DUMMYFUNCTION("""COMPUTED_VALUE"""),-0.2)</f>
        <v>-0.2</v>
      </c>
      <c r="V2093" s="4">
        <f>IFERROR(__xludf.DUMMYFUNCTION("""COMPUTED_VALUE"""),8.9)</f>
        <v>8.9</v>
      </c>
    </row>
    <row r="2094">
      <c r="A2094" s="4">
        <f>IFERROR(__xludf.DUMMYFUNCTION("""COMPUTED_VALUE"""),3.0)</f>
        <v>3</v>
      </c>
      <c r="B2094" s="4">
        <f>IFERROR(__xludf.DUMMYFUNCTION("""COMPUTED_VALUE"""),3.0)</f>
        <v>3</v>
      </c>
      <c r="C2094" s="4" t="str">
        <f>IFERROR(__xludf.DUMMYFUNCTION("""COMPUTED_VALUE"""),"GSW")</f>
        <v>GSW</v>
      </c>
      <c r="D2094" s="4" t="str">
        <f>IFERROR(__xludf.DUMMYFUNCTION("""COMPUTED_VALUE"""),"Anfernee Hardaway")</f>
        <v>Anfernee Hardaway</v>
      </c>
      <c r="E2094" s="4" t="str">
        <f>IFERROR(__xludf.DUMMYFUNCTION("""COMPUTED_VALUE"""),"Memphis")</f>
        <v>Memphis</v>
      </c>
      <c r="F2094" s="4">
        <f>IFERROR(__xludf.DUMMYFUNCTION("""COMPUTED_VALUE"""),14.0)</f>
        <v>14</v>
      </c>
      <c r="G2094" s="4">
        <f>IFERROR(__xludf.DUMMYFUNCTION("""COMPUTED_VALUE"""),704.0)</f>
        <v>704</v>
      </c>
      <c r="H2094" s="4">
        <f>IFERROR(__xludf.DUMMYFUNCTION("""COMPUTED_VALUE"""),23711.0)</f>
        <v>23711</v>
      </c>
      <c r="I2094" s="4">
        <f>IFERROR(__xludf.DUMMYFUNCTION("""COMPUTED_VALUE"""),10684.0)</f>
        <v>10684</v>
      </c>
      <c r="J2094" s="4">
        <f>IFERROR(__xludf.DUMMYFUNCTION("""COMPUTED_VALUE"""),3146.0)</f>
        <v>3146</v>
      </c>
      <c r="K2094" s="4">
        <f>IFERROR(__xludf.DUMMYFUNCTION("""COMPUTED_VALUE"""),3525.0)</f>
        <v>3525</v>
      </c>
      <c r="L2094" s="4">
        <f>IFERROR(__xludf.DUMMYFUNCTION("""COMPUTED_VALUE"""),0.458)</f>
        <v>0.458</v>
      </c>
      <c r="M2094" s="4">
        <f>IFERROR(__xludf.DUMMYFUNCTION("""COMPUTED_VALUE"""),0.316)</f>
        <v>0.316</v>
      </c>
      <c r="N2094" s="4">
        <f>IFERROR(__xludf.DUMMYFUNCTION("""COMPUTED_VALUE"""),0.774)</f>
        <v>0.774</v>
      </c>
      <c r="O2094" s="4">
        <f>IFERROR(__xludf.DUMMYFUNCTION("""COMPUTED_VALUE"""),33.7)</f>
        <v>33.7</v>
      </c>
      <c r="P2094" s="4">
        <f>IFERROR(__xludf.DUMMYFUNCTION("""COMPUTED_VALUE"""),15.2)</f>
        <v>15.2</v>
      </c>
      <c r="Q2094" s="4">
        <f>IFERROR(__xludf.DUMMYFUNCTION("""COMPUTED_VALUE"""),4.5)</f>
        <v>4.5</v>
      </c>
      <c r="R2094" s="4">
        <f>IFERROR(__xludf.DUMMYFUNCTION("""COMPUTED_VALUE"""),5.0)</f>
        <v>5</v>
      </c>
      <c r="S2094" s="4">
        <f>IFERROR(__xludf.DUMMYFUNCTION("""COMPUTED_VALUE"""),61.9)</f>
        <v>61.9</v>
      </c>
      <c r="T2094" s="4">
        <f>IFERROR(__xludf.DUMMYFUNCTION("""COMPUTED_VALUE"""),0.125)</f>
        <v>0.125</v>
      </c>
      <c r="U2094" s="4">
        <f>IFERROR(__xludf.DUMMYFUNCTION("""COMPUTED_VALUE"""),2.5)</f>
        <v>2.5</v>
      </c>
      <c r="V2094" s="4">
        <f>IFERROR(__xludf.DUMMYFUNCTION("""COMPUTED_VALUE"""),26.9)</f>
        <v>26.9</v>
      </c>
    </row>
    <row r="2095">
      <c r="A2095" s="4">
        <f>IFERROR(__xludf.DUMMYFUNCTION("""COMPUTED_VALUE"""),4.0)</f>
        <v>4</v>
      </c>
      <c r="B2095" s="4">
        <f>IFERROR(__xludf.DUMMYFUNCTION("""COMPUTED_VALUE"""),4.0)</f>
        <v>4</v>
      </c>
      <c r="C2095" s="4" t="str">
        <f>IFERROR(__xludf.DUMMYFUNCTION("""COMPUTED_VALUE"""),"DAL")</f>
        <v>DAL</v>
      </c>
      <c r="D2095" s="4" t="str">
        <f>IFERROR(__xludf.DUMMYFUNCTION("""COMPUTED_VALUE"""),"Jamal Mashburn")</f>
        <v>Jamal Mashburn</v>
      </c>
      <c r="E2095" s="4" t="str">
        <f>IFERROR(__xludf.DUMMYFUNCTION("""COMPUTED_VALUE"""),"Kentucky")</f>
        <v>Kentucky</v>
      </c>
      <c r="F2095" s="4">
        <f>IFERROR(__xludf.DUMMYFUNCTION("""COMPUTED_VALUE"""),11.0)</f>
        <v>11</v>
      </c>
      <c r="G2095" s="4">
        <f>IFERROR(__xludf.DUMMYFUNCTION("""COMPUTED_VALUE"""),611.0)</f>
        <v>611</v>
      </c>
      <c r="H2095" s="4">
        <f>IFERROR(__xludf.DUMMYFUNCTION("""COMPUTED_VALUE"""),22762.0)</f>
        <v>22762</v>
      </c>
      <c r="I2095" s="4">
        <f>IFERROR(__xludf.DUMMYFUNCTION("""COMPUTED_VALUE"""),11644.0)</f>
        <v>11644</v>
      </c>
      <c r="J2095" s="4">
        <f>IFERROR(__xludf.DUMMYFUNCTION("""COMPUTED_VALUE"""),3271.0)</f>
        <v>3271</v>
      </c>
      <c r="K2095" s="4">
        <f>IFERROR(__xludf.DUMMYFUNCTION("""COMPUTED_VALUE"""),2414.0)</f>
        <v>2414</v>
      </c>
      <c r="L2095" s="4">
        <f>IFERROR(__xludf.DUMMYFUNCTION("""COMPUTED_VALUE"""),0.418)</f>
        <v>0.418</v>
      </c>
      <c r="M2095" s="4">
        <f>IFERROR(__xludf.DUMMYFUNCTION("""COMPUTED_VALUE"""),0.345)</f>
        <v>0.345</v>
      </c>
      <c r="N2095" s="4">
        <f>IFERROR(__xludf.DUMMYFUNCTION("""COMPUTED_VALUE"""),0.766)</f>
        <v>0.766</v>
      </c>
      <c r="O2095" s="4">
        <f>IFERROR(__xludf.DUMMYFUNCTION("""COMPUTED_VALUE"""),37.3)</f>
        <v>37.3</v>
      </c>
      <c r="P2095" s="4">
        <f>IFERROR(__xludf.DUMMYFUNCTION("""COMPUTED_VALUE"""),19.1)</f>
        <v>19.1</v>
      </c>
      <c r="Q2095" s="4">
        <f>IFERROR(__xludf.DUMMYFUNCTION("""COMPUTED_VALUE"""),5.4)</f>
        <v>5.4</v>
      </c>
      <c r="R2095" s="4">
        <f>IFERROR(__xludf.DUMMYFUNCTION("""COMPUTED_VALUE"""),4.0)</f>
        <v>4</v>
      </c>
      <c r="S2095" s="4">
        <f>IFERROR(__xludf.DUMMYFUNCTION("""COMPUTED_VALUE"""),43.7)</f>
        <v>43.7</v>
      </c>
      <c r="T2095" s="4">
        <f>IFERROR(__xludf.DUMMYFUNCTION("""COMPUTED_VALUE"""),0.092)</f>
        <v>0.092</v>
      </c>
      <c r="U2095" s="4">
        <f>IFERROR(__xludf.DUMMYFUNCTION("""COMPUTED_VALUE"""),0.3)</f>
        <v>0.3</v>
      </c>
      <c r="V2095" s="4">
        <f>IFERROR(__xludf.DUMMYFUNCTION("""COMPUTED_VALUE"""),13.4)</f>
        <v>13.4</v>
      </c>
    </row>
    <row r="2096">
      <c r="A2096" s="4">
        <f>IFERROR(__xludf.DUMMYFUNCTION("""COMPUTED_VALUE"""),5.0)</f>
        <v>5</v>
      </c>
      <c r="B2096" s="4">
        <f>IFERROR(__xludf.DUMMYFUNCTION("""COMPUTED_VALUE"""),5.0)</f>
        <v>5</v>
      </c>
      <c r="C2096" s="4" t="str">
        <f>IFERROR(__xludf.DUMMYFUNCTION("""COMPUTED_VALUE"""),"MIN")</f>
        <v>MIN</v>
      </c>
      <c r="D2096" s="4" t="str">
        <f>IFERROR(__xludf.DUMMYFUNCTION("""COMPUTED_VALUE"""),"Isaiah Rider")</f>
        <v>Isaiah Rider</v>
      </c>
      <c r="E2096" s="4" t="str">
        <f>IFERROR(__xludf.DUMMYFUNCTION("""COMPUTED_VALUE"""),"UNLV")</f>
        <v>UNLV</v>
      </c>
      <c r="F2096" s="4">
        <f>IFERROR(__xludf.DUMMYFUNCTION("""COMPUTED_VALUE"""),9.0)</f>
        <v>9</v>
      </c>
      <c r="G2096" s="4">
        <f>IFERROR(__xludf.DUMMYFUNCTION("""COMPUTED_VALUE"""),563.0)</f>
        <v>563</v>
      </c>
      <c r="H2096" s="4">
        <f>IFERROR(__xludf.DUMMYFUNCTION("""COMPUTED_VALUE"""),17851.0)</f>
        <v>17851</v>
      </c>
      <c r="I2096" s="4">
        <f>IFERROR(__xludf.DUMMYFUNCTION("""COMPUTED_VALUE"""),9405.0)</f>
        <v>9405</v>
      </c>
      <c r="J2096" s="4">
        <f>IFERROR(__xludf.DUMMYFUNCTION("""COMPUTED_VALUE"""),2166.0)</f>
        <v>2166</v>
      </c>
      <c r="K2096" s="4">
        <f>IFERROR(__xludf.DUMMYFUNCTION("""COMPUTED_VALUE"""),1535.0)</f>
        <v>1535</v>
      </c>
      <c r="L2096" s="4">
        <f>IFERROR(__xludf.DUMMYFUNCTION("""COMPUTED_VALUE"""),0.443)</f>
        <v>0.443</v>
      </c>
      <c r="M2096" s="4">
        <f>IFERROR(__xludf.DUMMYFUNCTION("""COMPUTED_VALUE"""),0.352)</f>
        <v>0.352</v>
      </c>
      <c r="N2096" s="4">
        <f>IFERROR(__xludf.DUMMYFUNCTION("""COMPUTED_VALUE"""),0.812)</f>
        <v>0.812</v>
      </c>
      <c r="O2096" s="4">
        <f>IFERROR(__xludf.DUMMYFUNCTION("""COMPUTED_VALUE"""),31.7)</f>
        <v>31.7</v>
      </c>
      <c r="P2096" s="4">
        <f>IFERROR(__xludf.DUMMYFUNCTION("""COMPUTED_VALUE"""),16.7)</f>
        <v>16.7</v>
      </c>
      <c r="Q2096" s="4">
        <f>IFERROR(__xludf.DUMMYFUNCTION("""COMPUTED_VALUE"""),3.8)</f>
        <v>3.8</v>
      </c>
      <c r="R2096" s="4">
        <f>IFERROR(__xludf.DUMMYFUNCTION("""COMPUTED_VALUE"""),2.7)</f>
        <v>2.7</v>
      </c>
      <c r="S2096" s="4">
        <f>IFERROR(__xludf.DUMMYFUNCTION("""COMPUTED_VALUE"""),22.8)</f>
        <v>22.8</v>
      </c>
      <c r="T2096" s="4">
        <f>IFERROR(__xludf.DUMMYFUNCTION("""COMPUTED_VALUE"""),0.061)</f>
        <v>0.061</v>
      </c>
      <c r="U2096" s="4">
        <f>IFERROR(__xludf.DUMMYFUNCTION("""COMPUTED_VALUE"""),-1.0)</f>
        <v>-1</v>
      </c>
      <c r="V2096" s="4">
        <f>IFERROR(__xludf.DUMMYFUNCTION("""COMPUTED_VALUE"""),4.5)</f>
        <v>4.5</v>
      </c>
    </row>
    <row r="2097">
      <c r="A2097" s="4">
        <f>IFERROR(__xludf.DUMMYFUNCTION("""COMPUTED_VALUE"""),6.0)</f>
        <v>6</v>
      </c>
      <c r="B2097" s="4">
        <f>IFERROR(__xludf.DUMMYFUNCTION("""COMPUTED_VALUE"""),6.0)</f>
        <v>6</v>
      </c>
      <c r="C2097" s="4" t="str">
        <f>IFERROR(__xludf.DUMMYFUNCTION("""COMPUTED_VALUE"""),"WSB")</f>
        <v>WSB</v>
      </c>
      <c r="D2097" s="4" t="str">
        <f>IFERROR(__xludf.DUMMYFUNCTION("""COMPUTED_VALUE"""),"Calbert Cheaney")</f>
        <v>Calbert Cheaney</v>
      </c>
      <c r="E2097" s="4" t="str">
        <f>IFERROR(__xludf.DUMMYFUNCTION("""COMPUTED_VALUE"""),"Indiana")</f>
        <v>Indiana</v>
      </c>
      <c r="F2097" s="4">
        <f>IFERROR(__xludf.DUMMYFUNCTION("""COMPUTED_VALUE"""),13.0)</f>
        <v>13</v>
      </c>
      <c r="G2097" s="4">
        <f>IFERROR(__xludf.DUMMYFUNCTION("""COMPUTED_VALUE"""),825.0)</f>
        <v>825</v>
      </c>
      <c r="H2097" s="4">
        <f>IFERROR(__xludf.DUMMYFUNCTION("""COMPUTED_VALUE"""),22007.0)</f>
        <v>22007</v>
      </c>
      <c r="I2097" s="4">
        <f>IFERROR(__xludf.DUMMYFUNCTION("""COMPUTED_VALUE"""),7826.0)</f>
        <v>7826</v>
      </c>
      <c r="J2097" s="4">
        <f>IFERROR(__xludf.DUMMYFUNCTION("""COMPUTED_VALUE"""),2610.0)</f>
        <v>2610</v>
      </c>
      <c r="K2097" s="4">
        <f>IFERROR(__xludf.DUMMYFUNCTION("""COMPUTED_VALUE"""),1398.0)</f>
        <v>1398</v>
      </c>
      <c r="L2097" s="4">
        <f>IFERROR(__xludf.DUMMYFUNCTION("""COMPUTED_VALUE"""),0.466)</f>
        <v>0.466</v>
      </c>
      <c r="M2097" s="4">
        <f>IFERROR(__xludf.DUMMYFUNCTION("""COMPUTED_VALUE"""),0.298)</f>
        <v>0.298</v>
      </c>
      <c r="N2097" s="4">
        <f>IFERROR(__xludf.DUMMYFUNCTION("""COMPUTED_VALUE"""),0.691)</f>
        <v>0.691</v>
      </c>
      <c r="O2097" s="4">
        <f>IFERROR(__xludf.DUMMYFUNCTION("""COMPUTED_VALUE"""),26.7)</f>
        <v>26.7</v>
      </c>
      <c r="P2097" s="4">
        <f>IFERROR(__xludf.DUMMYFUNCTION("""COMPUTED_VALUE"""),9.5)</f>
        <v>9.5</v>
      </c>
      <c r="Q2097" s="4">
        <f>IFERROR(__xludf.DUMMYFUNCTION("""COMPUTED_VALUE"""),3.2)</f>
        <v>3.2</v>
      </c>
      <c r="R2097" s="4">
        <f>IFERROR(__xludf.DUMMYFUNCTION("""COMPUTED_VALUE"""),1.7)</f>
        <v>1.7</v>
      </c>
      <c r="S2097" s="4">
        <f>IFERROR(__xludf.DUMMYFUNCTION("""COMPUTED_VALUE"""),23.1)</f>
        <v>23.1</v>
      </c>
      <c r="T2097" s="4">
        <f>IFERROR(__xludf.DUMMYFUNCTION("""COMPUTED_VALUE"""),0.05)</f>
        <v>0.05</v>
      </c>
      <c r="U2097" s="4">
        <f>IFERROR(__xludf.DUMMYFUNCTION("""COMPUTED_VALUE"""),-2.5)</f>
        <v>-2.5</v>
      </c>
      <c r="V2097" s="4">
        <f>IFERROR(__xludf.DUMMYFUNCTION("""COMPUTED_VALUE"""),-2.9)</f>
        <v>-2.9</v>
      </c>
    </row>
    <row r="2098">
      <c r="A2098" s="4">
        <f>IFERROR(__xludf.DUMMYFUNCTION("""COMPUTED_VALUE"""),7.0)</f>
        <v>7</v>
      </c>
      <c r="B2098" s="4">
        <f>IFERROR(__xludf.DUMMYFUNCTION("""COMPUTED_VALUE"""),7.0)</f>
        <v>7</v>
      </c>
      <c r="C2098" s="4" t="str">
        <f>IFERROR(__xludf.DUMMYFUNCTION("""COMPUTED_VALUE"""),"SAC")</f>
        <v>SAC</v>
      </c>
      <c r="D2098" s="4" t="str">
        <f>IFERROR(__xludf.DUMMYFUNCTION("""COMPUTED_VALUE"""),"Bobby Hurley")</f>
        <v>Bobby Hurley</v>
      </c>
      <c r="E2098" s="4" t="str">
        <f>IFERROR(__xludf.DUMMYFUNCTION("""COMPUTED_VALUE"""),"Duke")</f>
        <v>Duke</v>
      </c>
      <c r="F2098" s="4">
        <f>IFERROR(__xludf.DUMMYFUNCTION("""COMPUTED_VALUE"""),5.0)</f>
        <v>5</v>
      </c>
      <c r="G2098" s="4">
        <f>IFERROR(__xludf.DUMMYFUNCTION("""COMPUTED_VALUE"""),269.0)</f>
        <v>269</v>
      </c>
      <c r="H2098" s="4">
        <f>IFERROR(__xludf.DUMMYFUNCTION("""COMPUTED_VALUE"""),4170.0)</f>
        <v>4170</v>
      </c>
      <c r="I2098" s="4">
        <f>IFERROR(__xludf.DUMMYFUNCTION("""COMPUTED_VALUE"""),1032.0)</f>
        <v>1032</v>
      </c>
      <c r="J2098" s="4">
        <f>IFERROR(__xludf.DUMMYFUNCTION("""COMPUTED_VALUE"""),283.0)</f>
        <v>283</v>
      </c>
      <c r="K2098" s="4">
        <f>IFERROR(__xludf.DUMMYFUNCTION("""COMPUTED_VALUE"""),880.0)</f>
        <v>880</v>
      </c>
      <c r="L2098" s="4">
        <f>IFERROR(__xludf.DUMMYFUNCTION("""COMPUTED_VALUE"""),0.353)</f>
        <v>0.353</v>
      </c>
      <c r="M2098" s="4">
        <f>IFERROR(__xludf.DUMMYFUNCTION("""COMPUTED_VALUE"""),0.272)</f>
        <v>0.272</v>
      </c>
      <c r="N2098" s="4">
        <f>IFERROR(__xludf.DUMMYFUNCTION("""COMPUTED_VALUE"""),0.769)</f>
        <v>0.769</v>
      </c>
      <c r="O2098" s="4">
        <f>IFERROR(__xludf.DUMMYFUNCTION("""COMPUTED_VALUE"""),15.5)</f>
        <v>15.5</v>
      </c>
      <c r="P2098" s="4">
        <f>IFERROR(__xludf.DUMMYFUNCTION("""COMPUTED_VALUE"""),3.8)</f>
        <v>3.8</v>
      </c>
      <c r="Q2098" s="4">
        <f>IFERROR(__xludf.DUMMYFUNCTION("""COMPUTED_VALUE"""),1.1)</f>
        <v>1.1</v>
      </c>
      <c r="R2098" s="4">
        <f>IFERROR(__xludf.DUMMYFUNCTION("""COMPUTED_VALUE"""),3.3)</f>
        <v>3.3</v>
      </c>
      <c r="S2098" s="4">
        <f>IFERROR(__xludf.DUMMYFUNCTION("""COMPUTED_VALUE"""),-1.2)</f>
        <v>-1.2</v>
      </c>
      <c r="T2098" s="4">
        <f>IFERROR(__xludf.DUMMYFUNCTION("""COMPUTED_VALUE"""),-0.014)</f>
        <v>-0.014</v>
      </c>
      <c r="U2098" s="4">
        <f>IFERROR(__xludf.DUMMYFUNCTION("""COMPUTED_VALUE"""),-5.4)</f>
        <v>-5.4</v>
      </c>
      <c r="V2098" s="4">
        <f>IFERROR(__xludf.DUMMYFUNCTION("""COMPUTED_VALUE"""),-3.5)</f>
        <v>-3.5</v>
      </c>
    </row>
    <row r="2099">
      <c r="A2099" s="4">
        <f>IFERROR(__xludf.DUMMYFUNCTION("""COMPUTED_VALUE"""),8.0)</f>
        <v>8</v>
      </c>
      <c r="B2099" s="4">
        <f>IFERROR(__xludf.DUMMYFUNCTION("""COMPUTED_VALUE"""),8.0)</f>
        <v>8</v>
      </c>
      <c r="C2099" s="4" t="str">
        <f>IFERROR(__xludf.DUMMYFUNCTION("""COMPUTED_VALUE"""),"MIL")</f>
        <v>MIL</v>
      </c>
      <c r="D2099" s="4" t="str">
        <f>IFERROR(__xludf.DUMMYFUNCTION("""COMPUTED_VALUE"""),"Vin Baker")</f>
        <v>Vin Baker</v>
      </c>
      <c r="E2099" s="4" t="str">
        <f>IFERROR(__xludf.DUMMYFUNCTION("""COMPUTED_VALUE"""),"University of Hartford")</f>
        <v>University of Hartford</v>
      </c>
      <c r="F2099" s="4">
        <f>IFERROR(__xludf.DUMMYFUNCTION("""COMPUTED_VALUE"""),13.0)</f>
        <v>13</v>
      </c>
      <c r="G2099" s="4">
        <f>IFERROR(__xludf.DUMMYFUNCTION("""COMPUTED_VALUE"""),791.0)</f>
        <v>791</v>
      </c>
      <c r="H2099" s="4">
        <f>IFERROR(__xludf.DUMMYFUNCTION("""COMPUTED_VALUE"""),25737.0)</f>
        <v>25737</v>
      </c>
      <c r="I2099" s="4">
        <f>IFERROR(__xludf.DUMMYFUNCTION("""COMPUTED_VALUE"""),11839.0)</f>
        <v>11839</v>
      </c>
      <c r="J2099" s="4">
        <f>IFERROR(__xludf.DUMMYFUNCTION("""COMPUTED_VALUE"""),5867.0)</f>
        <v>5867</v>
      </c>
      <c r="K2099" s="4">
        <f>IFERROR(__xludf.DUMMYFUNCTION("""COMPUTED_VALUE"""),1509.0)</f>
        <v>1509</v>
      </c>
      <c r="L2099" s="4">
        <f>IFERROR(__xludf.DUMMYFUNCTION("""COMPUTED_VALUE"""),0.485)</f>
        <v>0.485</v>
      </c>
      <c r="M2099" s="4">
        <f>IFERROR(__xludf.DUMMYFUNCTION("""COMPUTED_VALUE"""),0.215)</f>
        <v>0.215</v>
      </c>
      <c r="N2099" s="4">
        <f>IFERROR(__xludf.DUMMYFUNCTION("""COMPUTED_VALUE"""),0.638)</f>
        <v>0.638</v>
      </c>
      <c r="O2099" s="4">
        <f>IFERROR(__xludf.DUMMYFUNCTION("""COMPUTED_VALUE"""),32.5)</f>
        <v>32.5</v>
      </c>
      <c r="P2099" s="4">
        <f>IFERROR(__xludf.DUMMYFUNCTION("""COMPUTED_VALUE"""),15.0)</f>
        <v>15</v>
      </c>
      <c r="Q2099" s="4">
        <f>IFERROR(__xludf.DUMMYFUNCTION("""COMPUTED_VALUE"""),7.4)</f>
        <v>7.4</v>
      </c>
      <c r="R2099" s="4">
        <f>IFERROR(__xludf.DUMMYFUNCTION("""COMPUTED_VALUE"""),1.9)</f>
        <v>1.9</v>
      </c>
      <c r="S2099" s="4">
        <f>IFERROR(__xludf.DUMMYFUNCTION("""COMPUTED_VALUE"""),47.0)</f>
        <v>47</v>
      </c>
      <c r="T2099" s="4">
        <f>IFERROR(__xludf.DUMMYFUNCTION("""COMPUTED_VALUE"""),0.088)</f>
        <v>0.088</v>
      </c>
      <c r="U2099" s="4">
        <f>IFERROR(__xludf.DUMMYFUNCTION("""COMPUTED_VALUE"""),-1.2)</f>
        <v>-1.2</v>
      </c>
      <c r="V2099" s="4">
        <f>IFERROR(__xludf.DUMMYFUNCTION("""COMPUTED_VALUE"""),5.3)</f>
        <v>5.3</v>
      </c>
    </row>
    <row r="2100">
      <c r="A2100" s="4">
        <f>IFERROR(__xludf.DUMMYFUNCTION("""COMPUTED_VALUE"""),9.0)</f>
        <v>9</v>
      </c>
      <c r="B2100" s="4">
        <f>IFERROR(__xludf.DUMMYFUNCTION("""COMPUTED_VALUE"""),9.0)</f>
        <v>9</v>
      </c>
      <c r="C2100" s="4" t="str">
        <f>IFERROR(__xludf.DUMMYFUNCTION("""COMPUTED_VALUE"""),"DEN")</f>
        <v>DEN</v>
      </c>
      <c r="D2100" s="4" t="str">
        <f>IFERROR(__xludf.DUMMYFUNCTION("""COMPUTED_VALUE"""),"Rodney Rogers")</f>
        <v>Rodney Rogers</v>
      </c>
      <c r="E2100" s="4" t="str">
        <f>IFERROR(__xludf.DUMMYFUNCTION("""COMPUTED_VALUE"""),"Wake Forest")</f>
        <v>Wake Forest</v>
      </c>
      <c r="F2100" s="4">
        <f>IFERROR(__xludf.DUMMYFUNCTION("""COMPUTED_VALUE"""),12.0)</f>
        <v>12</v>
      </c>
      <c r="G2100" s="4">
        <f>IFERROR(__xludf.DUMMYFUNCTION("""COMPUTED_VALUE"""),866.0)</f>
        <v>866</v>
      </c>
      <c r="H2100" s="4">
        <f>IFERROR(__xludf.DUMMYFUNCTION("""COMPUTED_VALUE"""),21873.0)</f>
        <v>21873</v>
      </c>
      <c r="I2100" s="4">
        <f>IFERROR(__xludf.DUMMYFUNCTION("""COMPUTED_VALUE"""),9468.0)</f>
        <v>9468</v>
      </c>
      <c r="J2100" s="4">
        <f>IFERROR(__xludf.DUMMYFUNCTION("""COMPUTED_VALUE"""),3881.0)</f>
        <v>3881</v>
      </c>
      <c r="K2100" s="4">
        <f>IFERROR(__xludf.DUMMYFUNCTION("""COMPUTED_VALUE"""),1722.0)</f>
        <v>1722</v>
      </c>
      <c r="L2100" s="4">
        <f>IFERROR(__xludf.DUMMYFUNCTION("""COMPUTED_VALUE"""),0.451)</f>
        <v>0.451</v>
      </c>
      <c r="M2100" s="4">
        <f>IFERROR(__xludf.DUMMYFUNCTION("""COMPUTED_VALUE"""),0.347)</f>
        <v>0.347</v>
      </c>
      <c r="N2100" s="4">
        <f>IFERROR(__xludf.DUMMYFUNCTION("""COMPUTED_VALUE"""),0.69)</f>
        <v>0.69</v>
      </c>
      <c r="O2100" s="4">
        <f>IFERROR(__xludf.DUMMYFUNCTION("""COMPUTED_VALUE"""),25.3)</f>
        <v>25.3</v>
      </c>
      <c r="P2100" s="4">
        <f>IFERROR(__xludf.DUMMYFUNCTION("""COMPUTED_VALUE"""),10.9)</f>
        <v>10.9</v>
      </c>
      <c r="Q2100" s="4">
        <f>IFERROR(__xludf.DUMMYFUNCTION("""COMPUTED_VALUE"""),4.5)</f>
        <v>4.5</v>
      </c>
      <c r="R2100" s="4">
        <f>IFERROR(__xludf.DUMMYFUNCTION("""COMPUTED_VALUE"""),2.0)</f>
        <v>2</v>
      </c>
      <c r="S2100" s="4">
        <f>IFERROR(__xludf.DUMMYFUNCTION("""COMPUTED_VALUE"""),38.8)</f>
        <v>38.8</v>
      </c>
      <c r="T2100" s="4">
        <f>IFERROR(__xludf.DUMMYFUNCTION("""COMPUTED_VALUE"""),0.085)</f>
        <v>0.085</v>
      </c>
      <c r="U2100" s="4">
        <f>IFERROR(__xludf.DUMMYFUNCTION("""COMPUTED_VALUE"""),-0.3)</f>
        <v>-0.3</v>
      </c>
      <c r="V2100" s="4">
        <f>IFERROR(__xludf.DUMMYFUNCTION("""COMPUTED_VALUE"""),9.7)</f>
        <v>9.7</v>
      </c>
    </row>
    <row r="2101">
      <c r="A2101" s="4">
        <f>IFERROR(__xludf.DUMMYFUNCTION("""COMPUTED_VALUE"""),10.0)</f>
        <v>10</v>
      </c>
      <c r="B2101" s="4">
        <f>IFERROR(__xludf.DUMMYFUNCTION("""COMPUTED_VALUE"""),10.0)</f>
        <v>10</v>
      </c>
      <c r="C2101" s="4" t="str">
        <f>IFERROR(__xludf.DUMMYFUNCTION("""COMPUTED_VALUE"""),"DET")</f>
        <v>DET</v>
      </c>
      <c r="D2101" s="4" t="str">
        <f>IFERROR(__xludf.DUMMYFUNCTION("""COMPUTED_VALUE"""),"Lindsey Hunter")</f>
        <v>Lindsey Hunter</v>
      </c>
      <c r="E2101" s="4" t="str">
        <f>IFERROR(__xludf.DUMMYFUNCTION("""COMPUTED_VALUE"""),"Jackson State University")</f>
        <v>Jackson State University</v>
      </c>
      <c r="F2101" s="4">
        <f>IFERROR(__xludf.DUMMYFUNCTION("""COMPUTED_VALUE"""),17.0)</f>
        <v>17</v>
      </c>
      <c r="G2101" s="4">
        <f>IFERROR(__xludf.DUMMYFUNCTION("""COMPUTED_VALUE"""),937.0)</f>
        <v>937</v>
      </c>
      <c r="H2101" s="4">
        <f>IFERROR(__xludf.DUMMYFUNCTION("""COMPUTED_VALUE"""),23253.0)</f>
        <v>23253</v>
      </c>
      <c r="I2101" s="4">
        <f>IFERROR(__xludf.DUMMYFUNCTION("""COMPUTED_VALUE"""),7956.0)</f>
        <v>7956</v>
      </c>
      <c r="J2101" s="4">
        <f>IFERROR(__xludf.DUMMYFUNCTION("""COMPUTED_VALUE"""),2021.0)</f>
        <v>2021</v>
      </c>
      <c r="K2101" s="4">
        <f>IFERROR(__xludf.DUMMYFUNCTION("""COMPUTED_VALUE"""),2506.0)</f>
        <v>2506</v>
      </c>
      <c r="L2101" s="4">
        <f>IFERROR(__xludf.DUMMYFUNCTION("""COMPUTED_VALUE"""),0.388)</f>
        <v>0.388</v>
      </c>
      <c r="M2101" s="4">
        <f>IFERROR(__xludf.DUMMYFUNCTION("""COMPUTED_VALUE"""),0.36)</f>
        <v>0.36</v>
      </c>
      <c r="N2101" s="4">
        <f>IFERROR(__xludf.DUMMYFUNCTION("""COMPUTED_VALUE"""),0.746)</f>
        <v>0.746</v>
      </c>
      <c r="O2101" s="4">
        <f>IFERROR(__xludf.DUMMYFUNCTION("""COMPUTED_VALUE"""),24.8)</f>
        <v>24.8</v>
      </c>
      <c r="P2101" s="4">
        <f>IFERROR(__xludf.DUMMYFUNCTION("""COMPUTED_VALUE"""),8.5)</f>
        <v>8.5</v>
      </c>
      <c r="Q2101" s="4">
        <f>IFERROR(__xludf.DUMMYFUNCTION("""COMPUTED_VALUE"""),2.2)</f>
        <v>2.2</v>
      </c>
      <c r="R2101" s="4">
        <f>IFERROR(__xludf.DUMMYFUNCTION("""COMPUTED_VALUE"""),2.7)</f>
        <v>2.7</v>
      </c>
      <c r="S2101" s="4">
        <f>IFERROR(__xludf.DUMMYFUNCTION("""COMPUTED_VALUE"""),32.9)</f>
        <v>32.9</v>
      </c>
      <c r="T2101" s="4">
        <f>IFERROR(__xludf.DUMMYFUNCTION("""COMPUTED_VALUE"""),0.068)</f>
        <v>0.068</v>
      </c>
      <c r="U2101" s="4">
        <f>IFERROR(__xludf.DUMMYFUNCTION("""COMPUTED_VALUE"""),-0.4)</f>
        <v>-0.4</v>
      </c>
      <c r="V2101" s="4">
        <f>IFERROR(__xludf.DUMMYFUNCTION("""COMPUTED_VALUE"""),9.4)</f>
        <v>9.4</v>
      </c>
    </row>
    <row r="2102">
      <c r="A2102" s="4">
        <f>IFERROR(__xludf.DUMMYFUNCTION("""COMPUTED_VALUE"""),11.0)</f>
        <v>11</v>
      </c>
      <c r="B2102" s="4">
        <f>IFERROR(__xludf.DUMMYFUNCTION("""COMPUTED_VALUE"""),11.0)</f>
        <v>11</v>
      </c>
      <c r="C2102" s="4" t="str">
        <f>IFERROR(__xludf.DUMMYFUNCTION("""COMPUTED_VALUE"""),"DET")</f>
        <v>DET</v>
      </c>
      <c r="D2102" s="4" t="str">
        <f>IFERROR(__xludf.DUMMYFUNCTION("""COMPUTED_VALUE"""),"Allan Houston")</f>
        <v>Allan Houston</v>
      </c>
      <c r="E2102" s="4" t="str">
        <f>IFERROR(__xludf.DUMMYFUNCTION("""COMPUTED_VALUE"""),"Tennessee")</f>
        <v>Tennessee</v>
      </c>
      <c r="F2102" s="4">
        <f>IFERROR(__xludf.DUMMYFUNCTION("""COMPUTED_VALUE"""),12.0)</f>
        <v>12</v>
      </c>
      <c r="G2102" s="4">
        <f>IFERROR(__xludf.DUMMYFUNCTION("""COMPUTED_VALUE"""),839.0)</f>
        <v>839</v>
      </c>
      <c r="H2102" s="4">
        <f>IFERROR(__xludf.DUMMYFUNCTION("""COMPUTED_VALUE"""),28311.0)</f>
        <v>28311</v>
      </c>
      <c r="I2102" s="4">
        <f>IFERROR(__xludf.DUMMYFUNCTION("""COMPUTED_VALUE"""),14551.0)</f>
        <v>14551</v>
      </c>
      <c r="J2102" s="4">
        <f>IFERROR(__xludf.DUMMYFUNCTION("""COMPUTED_VALUE"""),2434.0)</f>
        <v>2434</v>
      </c>
      <c r="K2102" s="4">
        <f>IFERROR(__xludf.DUMMYFUNCTION("""COMPUTED_VALUE"""),1990.0)</f>
        <v>1990</v>
      </c>
      <c r="L2102" s="4">
        <f>IFERROR(__xludf.DUMMYFUNCTION("""COMPUTED_VALUE"""),0.444)</f>
        <v>0.444</v>
      </c>
      <c r="M2102" s="4">
        <f>IFERROR(__xludf.DUMMYFUNCTION("""COMPUTED_VALUE"""),0.402)</f>
        <v>0.402</v>
      </c>
      <c r="N2102" s="4">
        <f>IFERROR(__xludf.DUMMYFUNCTION("""COMPUTED_VALUE"""),0.863)</f>
        <v>0.863</v>
      </c>
      <c r="O2102" s="4">
        <f>IFERROR(__xludf.DUMMYFUNCTION("""COMPUTED_VALUE"""),33.7)</f>
        <v>33.7</v>
      </c>
      <c r="P2102" s="4">
        <f>IFERROR(__xludf.DUMMYFUNCTION("""COMPUTED_VALUE"""),17.3)</f>
        <v>17.3</v>
      </c>
      <c r="Q2102" s="4">
        <f>IFERROR(__xludf.DUMMYFUNCTION("""COMPUTED_VALUE"""),2.9)</f>
        <v>2.9</v>
      </c>
      <c r="R2102" s="4">
        <f>IFERROR(__xludf.DUMMYFUNCTION("""COMPUTED_VALUE"""),2.4)</f>
        <v>2.4</v>
      </c>
      <c r="S2102" s="4">
        <f>IFERROR(__xludf.DUMMYFUNCTION("""COMPUTED_VALUE"""),55.3)</f>
        <v>55.3</v>
      </c>
      <c r="T2102" s="4">
        <f>IFERROR(__xludf.DUMMYFUNCTION("""COMPUTED_VALUE"""),0.094)</f>
        <v>0.094</v>
      </c>
      <c r="U2102" s="4">
        <f>IFERROR(__xludf.DUMMYFUNCTION("""COMPUTED_VALUE"""),0.1)</f>
        <v>0.1</v>
      </c>
      <c r="V2102" s="4">
        <f>IFERROR(__xludf.DUMMYFUNCTION("""COMPUTED_VALUE"""),15.0)</f>
        <v>15</v>
      </c>
    </row>
    <row r="2103">
      <c r="A2103" s="4">
        <f>IFERROR(__xludf.DUMMYFUNCTION("""COMPUTED_VALUE"""),12.0)</f>
        <v>12</v>
      </c>
      <c r="B2103" s="4">
        <f>IFERROR(__xludf.DUMMYFUNCTION("""COMPUTED_VALUE"""),12.0)</f>
        <v>12</v>
      </c>
      <c r="C2103" s="4" t="str">
        <f>IFERROR(__xludf.DUMMYFUNCTION("""COMPUTED_VALUE"""),"LAL")</f>
        <v>LAL</v>
      </c>
      <c r="D2103" s="4" t="str">
        <f>IFERROR(__xludf.DUMMYFUNCTION("""COMPUTED_VALUE"""),"George Lynch")</f>
        <v>George Lynch</v>
      </c>
      <c r="E2103" s="4" t="str">
        <f>IFERROR(__xludf.DUMMYFUNCTION("""COMPUTED_VALUE"""),"UNC")</f>
        <v>UNC</v>
      </c>
      <c r="F2103" s="4">
        <f>IFERROR(__xludf.DUMMYFUNCTION("""COMPUTED_VALUE"""),12.0)</f>
        <v>12</v>
      </c>
      <c r="G2103" s="4">
        <f>IFERROR(__xludf.DUMMYFUNCTION("""COMPUTED_VALUE"""),774.0)</f>
        <v>774</v>
      </c>
      <c r="H2103" s="4">
        <f>IFERROR(__xludf.DUMMYFUNCTION("""COMPUTED_VALUE"""),17683.0)</f>
        <v>17683</v>
      </c>
      <c r="I2103" s="4">
        <f>IFERROR(__xludf.DUMMYFUNCTION("""COMPUTED_VALUE"""),5109.0)</f>
        <v>5109</v>
      </c>
      <c r="J2103" s="4">
        <f>IFERROR(__xludf.DUMMYFUNCTION("""COMPUTED_VALUE"""),3902.0)</f>
        <v>3902</v>
      </c>
      <c r="K2103" s="4">
        <f>IFERROR(__xludf.DUMMYFUNCTION("""COMPUTED_VALUE"""),1121.0)</f>
        <v>1121</v>
      </c>
      <c r="L2103" s="4">
        <f>IFERROR(__xludf.DUMMYFUNCTION("""COMPUTED_VALUE"""),0.446)</f>
        <v>0.446</v>
      </c>
      <c r="M2103" s="4">
        <f>IFERROR(__xludf.DUMMYFUNCTION("""COMPUTED_VALUE"""),0.306)</f>
        <v>0.306</v>
      </c>
      <c r="N2103" s="4">
        <f>IFERROR(__xludf.DUMMYFUNCTION("""COMPUTED_VALUE"""),0.652)</f>
        <v>0.652</v>
      </c>
      <c r="O2103" s="4">
        <f>IFERROR(__xludf.DUMMYFUNCTION("""COMPUTED_VALUE"""),22.8)</f>
        <v>22.8</v>
      </c>
      <c r="P2103" s="4">
        <f>IFERROR(__xludf.DUMMYFUNCTION("""COMPUTED_VALUE"""),6.6)</f>
        <v>6.6</v>
      </c>
      <c r="Q2103" s="4">
        <f>IFERROR(__xludf.DUMMYFUNCTION("""COMPUTED_VALUE"""),5.0)</f>
        <v>5</v>
      </c>
      <c r="R2103" s="4">
        <f>IFERROR(__xludf.DUMMYFUNCTION("""COMPUTED_VALUE"""),1.4)</f>
        <v>1.4</v>
      </c>
      <c r="S2103" s="4">
        <f>IFERROR(__xludf.DUMMYFUNCTION("""COMPUTED_VALUE"""),32.3)</f>
        <v>32.3</v>
      </c>
      <c r="T2103" s="4">
        <f>IFERROR(__xludf.DUMMYFUNCTION("""COMPUTED_VALUE"""),0.088)</f>
        <v>0.088</v>
      </c>
      <c r="U2103" s="4">
        <f>IFERROR(__xludf.DUMMYFUNCTION("""COMPUTED_VALUE"""),-0.4)</f>
        <v>-0.4</v>
      </c>
      <c r="V2103" s="4">
        <f>IFERROR(__xludf.DUMMYFUNCTION("""COMPUTED_VALUE"""),7.3)</f>
        <v>7.3</v>
      </c>
    </row>
    <row r="2104">
      <c r="A2104" s="4">
        <f>IFERROR(__xludf.DUMMYFUNCTION("""COMPUTED_VALUE"""),13.0)</f>
        <v>13</v>
      </c>
      <c r="B2104" s="4">
        <f>IFERROR(__xludf.DUMMYFUNCTION("""COMPUTED_VALUE"""),13.0)</f>
        <v>13</v>
      </c>
      <c r="C2104" s="4" t="str">
        <f>IFERROR(__xludf.DUMMYFUNCTION("""COMPUTED_VALUE"""),"LAC")</f>
        <v>LAC</v>
      </c>
      <c r="D2104" s="4" t="str">
        <f>IFERROR(__xludf.DUMMYFUNCTION("""COMPUTED_VALUE"""),"Terry Dehere")</f>
        <v>Terry Dehere</v>
      </c>
      <c r="E2104" s="4" t="str">
        <f>IFERROR(__xludf.DUMMYFUNCTION("""COMPUTED_VALUE"""),"Seton Hall")</f>
        <v>Seton Hall</v>
      </c>
      <c r="F2104" s="4">
        <f>IFERROR(__xludf.DUMMYFUNCTION("""COMPUTED_VALUE"""),6.0)</f>
        <v>6</v>
      </c>
      <c r="G2104" s="4">
        <f>IFERROR(__xludf.DUMMYFUNCTION("""COMPUTED_VALUE"""),402.0)</f>
        <v>402</v>
      </c>
      <c r="H2104" s="4">
        <f>IFERROR(__xludf.DUMMYFUNCTION("""COMPUTED_VALUE"""),7305.0)</f>
        <v>7305</v>
      </c>
      <c r="I2104" s="4">
        <f>IFERROR(__xludf.DUMMYFUNCTION("""COMPUTED_VALUE"""),3235.0)</f>
        <v>3235</v>
      </c>
      <c r="J2104" s="4">
        <f>IFERROR(__xludf.DUMMYFUNCTION("""COMPUTED_VALUE"""),588.0)</f>
        <v>588</v>
      </c>
      <c r="K2104" s="4">
        <f>IFERROR(__xludf.DUMMYFUNCTION("""COMPUTED_VALUE"""),1034.0)</f>
        <v>1034</v>
      </c>
      <c r="L2104" s="4">
        <f>IFERROR(__xludf.DUMMYFUNCTION("""COMPUTED_VALUE"""),0.411)</f>
        <v>0.411</v>
      </c>
      <c r="M2104" s="4">
        <f>IFERROR(__xludf.DUMMYFUNCTION("""COMPUTED_VALUE"""),0.378)</f>
        <v>0.378</v>
      </c>
      <c r="N2104" s="4">
        <f>IFERROR(__xludf.DUMMYFUNCTION("""COMPUTED_VALUE"""),0.779)</f>
        <v>0.779</v>
      </c>
      <c r="O2104" s="4">
        <f>IFERROR(__xludf.DUMMYFUNCTION("""COMPUTED_VALUE"""),18.2)</f>
        <v>18.2</v>
      </c>
      <c r="P2104" s="4">
        <f>IFERROR(__xludf.DUMMYFUNCTION("""COMPUTED_VALUE"""),8.0)</f>
        <v>8</v>
      </c>
      <c r="Q2104" s="4">
        <f>IFERROR(__xludf.DUMMYFUNCTION("""COMPUTED_VALUE"""),1.5)</f>
        <v>1.5</v>
      </c>
      <c r="R2104" s="4">
        <f>IFERROR(__xludf.DUMMYFUNCTION("""COMPUTED_VALUE"""),2.6)</f>
        <v>2.6</v>
      </c>
      <c r="S2104" s="4">
        <f>IFERROR(__xludf.DUMMYFUNCTION("""COMPUTED_VALUE"""),7.3)</f>
        <v>7.3</v>
      </c>
      <c r="T2104" s="4">
        <f>IFERROR(__xludf.DUMMYFUNCTION("""COMPUTED_VALUE"""),0.048)</f>
        <v>0.048</v>
      </c>
      <c r="U2104" s="4">
        <f>IFERROR(__xludf.DUMMYFUNCTION("""COMPUTED_VALUE"""),-2.6)</f>
        <v>-2.6</v>
      </c>
      <c r="V2104" s="4">
        <f>IFERROR(__xludf.DUMMYFUNCTION("""COMPUTED_VALUE"""),-1.1)</f>
        <v>-1.1</v>
      </c>
    </row>
    <row r="2105">
      <c r="A2105" s="4">
        <f>IFERROR(__xludf.DUMMYFUNCTION("""COMPUTED_VALUE"""),14.0)</f>
        <v>14</v>
      </c>
      <c r="B2105" s="4">
        <f>IFERROR(__xludf.DUMMYFUNCTION("""COMPUTED_VALUE"""),14.0)</f>
        <v>14</v>
      </c>
      <c r="C2105" s="4" t="str">
        <f>IFERROR(__xludf.DUMMYFUNCTION("""COMPUTED_VALUE"""),"IND")</f>
        <v>IND</v>
      </c>
      <c r="D2105" s="4" t="str">
        <f>IFERROR(__xludf.DUMMYFUNCTION("""COMPUTED_VALUE"""),"Scott Haskin")</f>
        <v>Scott Haskin</v>
      </c>
      <c r="E2105" s="4" t="str">
        <f>IFERROR(__xludf.DUMMYFUNCTION("""COMPUTED_VALUE"""),"Oregon State")</f>
        <v>Oregon State</v>
      </c>
      <c r="F2105" s="4">
        <f>IFERROR(__xludf.DUMMYFUNCTION("""COMPUTED_VALUE"""),1.0)</f>
        <v>1</v>
      </c>
      <c r="G2105" s="4">
        <f>IFERROR(__xludf.DUMMYFUNCTION("""COMPUTED_VALUE"""),27.0)</f>
        <v>27</v>
      </c>
      <c r="H2105" s="4">
        <f>IFERROR(__xludf.DUMMYFUNCTION("""COMPUTED_VALUE"""),186.0)</f>
        <v>186</v>
      </c>
      <c r="I2105" s="4">
        <f>IFERROR(__xludf.DUMMYFUNCTION("""COMPUTED_VALUE"""),55.0)</f>
        <v>55</v>
      </c>
      <c r="J2105" s="4">
        <f>IFERROR(__xludf.DUMMYFUNCTION("""COMPUTED_VALUE"""),55.0)</f>
        <v>55</v>
      </c>
      <c r="K2105" s="4">
        <f>IFERROR(__xludf.DUMMYFUNCTION("""COMPUTED_VALUE"""),6.0)</f>
        <v>6</v>
      </c>
      <c r="L2105" s="4">
        <f>IFERROR(__xludf.DUMMYFUNCTION("""COMPUTED_VALUE"""),0.467)</f>
        <v>0.467</v>
      </c>
      <c r="M2105" s="4"/>
      <c r="N2105" s="4">
        <f>IFERROR(__xludf.DUMMYFUNCTION("""COMPUTED_VALUE"""),0.684)</f>
        <v>0.684</v>
      </c>
      <c r="O2105" s="4">
        <f>IFERROR(__xludf.DUMMYFUNCTION("""COMPUTED_VALUE"""),6.9)</f>
        <v>6.9</v>
      </c>
      <c r="P2105" s="4">
        <f>IFERROR(__xludf.DUMMYFUNCTION("""COMPUTED_VALUE"""),2.0)</f>
        <v>2</v>
      </c>
      <c r="Q2105" s="4">
        <f>IFERROR(__xludf.DUMMYFUNCTION("""COMPUTED_VALUE"""),2.0)</f>
        <v>2</v>
      </c>
      <c r="R2105" s="4">
        <f>IFERROR(__xludf.DUMMYFUNCTION("""COMPUTED_VALUE"""),0.2)</f>
        <v>0.2</v>
      </c>
      <c r="S2105" s="4">
        <f>IFERROR(__xludf.DUMMYFUNCTION("""COMPUTED_VALUE"""),0.3)</f>
        <v>0.3</v>
      </c>
      <c r="T2105" s="4">
        <f>IFERROR(__xludf.DUMMYFUNCTION("""COMPUTED_VALUE"""),0.087)</f>
        <v>0.087</v>
      </c>
      <c r="U2105" s="4">
        <f>IFERROR(__xludf.DUMMYFUNCTION("""COMPUTED_VALUE"""),-2.8)</f>
        <v>-2.8</v>
      </c>
      <c r="V2105" s="4">
        <f>IFERROR(__xludf.DUMMYFUNCTION("""COMPUTED_VALUE"""),0.0)</f>
        <v>0</v>
      </c>
    </row>
    <row r="2106">
      <c r="A2106" s="4">
        <f>IFERROR(__xludf.DUMMYFUNCTION("""COMPUTED_VALUE"""),15.0)</f>
        <v>15</v>
      </c>
      <c r="B2106" s="4">
        <f>IFERROR(__xludf.DUMMYFUNCTION("""COMPUTED_VALUE"""),15.0)</f>
        <v>15</v>
      </c>
      <c r="C2106" s="4" t="str">
        <f>IFERROR(__xludf.DUMMYFUNCTION("""COMPUTED_VALUE"""),"ATL")</f>
        <v>ATL</v>
      </c>
      <c r="D2106" s="4" t="str">
        <f>IFERROR(__xludf.DUMMYFUNCTION("""COMPUTED_VALUE"""),"Doug Edwards")</f>
        <v>Doug Edwards</v>
      </c>
      <c r="E2106" s="4" t="str">
        <f>IFERROR(__xludf.DUMMYFUNCTION("""COMPUTED_VALUE"""),"Florida State")</f>
        <v>Florida State</v>
      </c>
      <c r="F2106" s="4">
        <f>IFERROR(__xludf.DUMMYFUNCTION("""COMPUTED_VALUE"""),3.0)</f>
        <v>3</v>
      </c>
      <c r="G2106" s="4">
        <f>IFERROR(__xludf.DUMMYFUNCTION("""COMPUTED_VALUE"""),85.0)</f>
        <v>85</v>
      </c>
      <c r="H2106" s="4">
        <f>IFERROR(__xludf.DUMMYFUNCTION("""COMPUTED_VALUE"""),838.0)</f>
        <v>838</v>
      </c>
      <c r="I2106" s="4">
        <f>IFERROR(__xludf.DUMMYFUNCTION("""COMPUTED_VALUE"""),203.0)</f>
        <v>203</v>
      </c>
      <c r="J2106" s="4">
        <f>IFERROR(__xludf.DUMMYFUNCTION("""COMPUTED_VALUE"""),153.0)</f>
        <v>153</v>
      </c>
      <c r="K2106" s="4">
        <f>IFERROR(__xludf.DUMMYFUNCTION("""COMPUTED_VALUE"""),60.0)</f>
        <v>60</v>
      </c>
      <c r="L2106" s="4">
        <f>IFERROR(__xludf.DUMMYFUNCTION("""COMPUTED_VALUE"""),0.378)</f>
        <v>0.378</v>
      </c>
      <c r="M2106" s="4">
        <f>IFERROR(__xludf.DUMMYFUNCTION("""COMPUTED_VALUE"""),0.0)</f>
        <v>0</v>
      </c>
      <c r="N2106" s="4">
        <f>IFERROR(__xludf.DUMMYFUNCTION("""COMPUTED_VALUE"""),0.709)</f>
        <v>0.709</v>
      </c>
      <c r="O2106" s="4">
        <f>IFERROR(__xludf.DUMMYFUNCTION("""COMPUTED_VALUE"""),9.9)</f>
        <v>9.9</v>
      </c>
      <c r="P2106" s="4">
        <f>IFERROR(__xludf.DUMMYFUNCTION("""COMPUTED_VALUE"""),2.4)</f>
        <v>2.4</v>
      </c>
      <c r="Q2106" s="4">
        <f>IFERROR(__xludf.DUMMYFUNCTION("""COMPUTED_VALUE"""),1.8)</f>
        <v>1.8</v>
      </c>
      <c r="R2106" s="4">
        <f>IFERROR(__xludf.DUMMYFUNCTION("""COMPUTED_VALUE"""),0.7)</f>
        <v>0.7</v>
      </c>
      <c r="S2106" s="4">
        <f>IFERROR(__xludf.DUMMYFUNCTION("""COMPUTED_VALUE"""),0.2)</f>
        <v>0.2</v>
      </c>
      <c r="T2106" s="4">
        <f>IFERROR(__xludf.DUMMYFUNCTION("""COMPUTED_VALUE"""),0.013)</f>
        <v>0.013</v>
      </c>
      <c r="U2106" s="4">
        <f>IFERROR(__xludf.DUMMYFUNCTION("""COMPUTED_VALUE"""),-4.8)</f>
        <v>-4.8</v>
      </c>
      <c r="V2106" s="4">
        <f>IFERROR(__xludf.DUMMYFUNCTION("""COMPUTED_VALUE"""),-0.6)</f>
        <v>-0.6</v>
      </c>
    </row>
    <row r="2107">
      <c r="A2107" s="4">
        <f>IFERROR(__xludf.DUMMYFUNCTION("""COMPUTED_VALUE"""),16.0)</f>
        <v>16</v>
      </c>
      <c r="B2107" s="4">
        <f>IFERROR(__xludf.DUMMYFUNCTION("""COMPUTED_VALUE"""),16.0)</f>
        <v>16</v>
      </c>
      <c r="C2107" s="4" t="str">
        <f>IFERROR(__xludf.DUMMYFUNCTION("""COMPUTED_VALUE"""),"NJN")</f>
        <v>NJN</v>
      </c>
      <c r="D2107" s="4" t="str">
        <f>IFERROR(__xludf.DUMMYFUNCTION("""COMPUTED_VALUE"""),"Rex Walters")</f>
        <v>Rex Walters</v>
      </c>
      <c r="E2107" s="4" t="str">
        <f>IFERROR(__xludf.DUMMYFUNCTION("""COMPUTED_VALUE"""),"Kansas")</f>
        <v>Kansas</v>
      </c>
      <c r="F2107" s="4">
        <f>IFERROR(__xludf.DUMMYFUNCTION("""COMPUTED_VALUE"""),7.0)</f>
        <v>7</v>
      </c>
      <c r="G2107" s="4">
        <f>IFERROR(__xludf.DUMMYFUNCTION("""COMPUTED_VALUE"""),335.0)</f>
        <v>335</v>
      </c>
      <c r="H2107" s="4">
        <f>IFERROR(__xludf.DUMMYFUNCTION("""COMPUTED_VALUE"""),4602.0)</f>
        <v>4602</v>
      </c>
      <c r="I2107" s="4">
        <f>IFERROR(__xludf.DUMMYFUNCTION("""COMPUTED_VALUE"""),1547.0)</f>
        <v>1547</v>
      </c>
      <c r="J2107" s="4">
        <f>IFERROR(__xludf.DUMMYFUNCTION("""COMPUTED_VALUE"""),403.0)</f>
        <v>403</v>
      </c>
      <c r="K2107" s="4">
        <f>IFERROR(__xludf.DUMMYFUNCTION("""COMPUTED_VALUE"""),569.0)</f>
        <v>569</v>
      </c>
      <c r="L2107" s="4">
        <f>IFERROR(__xludf.DUMMYFUNCTION("""COMPUTED_VALUE"""),0.441)</f>
        <v>0.441</v>
      </c>
      <c r="M2107" s="4">
        <f>IFERROR(__xludf.DUMMYFUNCTION("""COMPUTED_VALUE"""),0.361)</f>
        <v>0.361</v>
      </c>
      <c r="N2107" s="4">
        <f>IFERROR(__xludf.DUMMYFUNCTION("""COMPUTED_VALUE"""),0.809)</f>
        <v>0.809</v>
      </c>
      <c r="O2107" s="4">
        <f>IFERROR(__xludf.DUMMYFUNCTION("""COMPUTED_VALUE"""),13.7)</f>
        <v>13.7</v>
      </c>
      <c r="P2107" s="4">
        <f>IFERROR(__xludf.DUMMYFUNCTION("""COMPUTED_VALUE"""),4.6)</f>
        <v>4.6</v>
      </c>
      <c r="Q2107" s="4">
        <f>IFERROR(__xludf.DUMMYFUNCTION("""COMPUTED_VALUE"""),1.2)</f>
        <v>1.2</v>
      </c>
      <c r="R2107" s="4">
        <f>IFERROR(__xludf.DUMMYFUNCTION("""COMPUTED_VALUE"""),1.7)</f>
        <v>1.7</v>
      </c>
      <c r="S2107" s="4">
        <f>IFERROR(__xludf.DUMMYFUNCTION("""COMPUTED_VALUE"""),6.3)</f>
        <v>6.3</v>
      </c>
      <c r="T2107" s="4">
        <f>IFERROR(__xludf.DUMMYFUNCTION("""COMPUTED_VALUE"""),0.066)</f>
        <v>0.066</v>
      </c>
      <c r="U2107" s="4">
        <f>IFERROR(__xludf.DUMMYFUNCTION("""COMPUTED_VALUE"""),-2.0)</f>
        <v>-2</v>
      </c>
      <c r="V2107" s="4">
        <f>IFERROR(__xludf.DUMMYFUNCTION("""COMPUTED_VALUE"""),0.0)</f>
        <v>0</v>
      </c>
    </row>
    <row r="2108">
      <c r="A2108" s="4">
        <f>IFERROR(__xludf.DUMMYFUNCTION("""COMPUTED_VALUE"""),17.0)</f>
        <v>17</v>
      </c>
      <c r="B2108" s="4">
        <f>IFERROR(__xludf.DUMMYFUNCTION("""COMPUTED_VALUE"""),17.0)</f>
        <v>17</v>
      </c>
      <c r="C2108" s="4" t="str">
        <f>IFERROR(__xludf.DUMMYFUNCTION("""COMPUTED_VALUE"""),"CHH")</f>
        <v>CHH</v>
      </c>
      <c r="D2108" s="4" t="str">
        <f>IFERROR(__xludf.DUMMYFUNCTION("""COMPUTED_VALUE"""),"Greg Graham")</f>
        <v>Greg Graham</v>
      </c>
      <c r="E2108" s="4" t="str">
        <f>IFERROR(__xludf.DUMMYFUNCTION("""COMPUTED_VALUE"""),"Indiana")</f>
        <v>Indiana</v>
      </c>
      <c r="F2108" s="4">
        <f>IFERROR(__xludf.DUMMYFUNCTION("""COMPUTED_VALUE"""),5.0)</f>
        <v>5</v>
      </c>
      <c r="G2108" s="4">
        <f>IFERROR(__xludf.DUMMYFUNCTION("""COMPUTED_VALUE"""),207.0)</f>
        <v>207</v>
      </c>
      <c r="H2108" s="4">
        <f>IFERROR(__xludf.DUMMYFUNCTION("""COMPUTED_VALUE"""),2530.0)</f>
        <v>2530</v>
      </c>
      <c r="I2108" s="4">
        <f>IFERROR(__xludf.DUMMYFUNCTION("""COMPUTED_VALUE"""),938.0)</f>
        <v>938</v>
      </c>
      <c r="J2108" s="4">
        <f>IFERROR(__xludf.DUMMYFUNCTION("""COMPUTED_VALUE"""),219.0)</f>
        <v>219</v>
      </c>
      <c r="K2108" s="4">
        <f>IFERROR(__xludf.DUMMYFUNCTION("""COMPUTED_VALUE"""),201.0)</f>
        <v>201</v>
      </c>
      <c r="L2108" s="4">
        <f>IFERROR(__xludf.DUMMYFUNCTION("""COMPUTED_VALUE"""),0.407)</f>
        <v>0.407</v>
      </c>
      <c r="M2108" s="4">
        <f>IFERROR(__xludf.DUMMYFUNCTION("""COMPUTED_VALUE"""),0.29)</f>
        <v>0.29</v>
      </c>
      <c r="N2108" s="4">
        <f>IFERROR(__xludf.DUMMYFUNCTION("""COMPUTED_VALUE"""),0.775)</f>
        <v>0.775</v>
      </c>
      <c r="O2108" s="4">
        <f>IFERROR(__xludf.DUMMYFUNCTION("""COMPUTED_VALUE"""),12.2)</f>
        <v>12.2</v>
      </c>
      <c r="P2108" s="4">
        <f>IFERROR(__xludf.DUMMYFUNCTION("""COMPUTED_VALUE"""),4.5)</f>
        <v>4.5</v>
      </c>
      <c r="Q2108" s="4">
        <f>IFERROR(__xludf.DUMMYFUNCTION("""COMPUTED_VALUE"""),1.1)</f>
        <v>1.1</v>
      </c>
      <c r="R2108" s="4">
        <f>IFERROR(__xludf.DUMMYFUNCTION("""COMPUTED_VALUE"""),1.0)</f>
        <v>1</v>
      </c>
      <c r="S2108" s="4">
        <f>IFERROR(__xludf.DUMMYFUNCTION("""COMPUTED_VALUE"""),1.3)</f>
        <v>1.3</v>
      </c>
      <c r="T2108" s="4">
        <f>IFERROR(__xludf.DUMMYFUNCTION("""COMPUTED_VALUE"""),0.025)</f>
        <v>0.025</v>
      </c>
      <c r="U2108" s="4">
        <f>IFERROR(__xludf.DUMMYFUNCTION("""COMPUTED_VALUE"""),-3.8)</f>
        <v>-3.8</v>
      </c>
      <c r="V2108" s="4">
        <f>IFERROR(__xludf.DUMMYFUNCTION("""COMPUTED_VALUE"""),-1.2)</f>
        <v>-1.2</v>
      </c>
    </row>
    <row r="2109">
      <c r="A2109" s="4">
        <f>IFERROR(__xludf.DUMMYFUNCTION("""COMPUTED_VALUE"""),18.0)</f>
        <v>18</v>
      </c>
      <c r="B2109" s="4">
        <f>IFERROR(__xludf.DUMMYFUNCTION("""COMPUTED_VALUE"""),18.0)</f>
        <v>18</v>
      </c>
      <c r="C2109" s="4" t="str">
        <f>IFERROR(__xludf.DUMMYFUNCTION("""COMPUTED_VALUE"""),"UTA")</f>
        <v>UTA</v>
      </c>
      <c r="D2109" s="4" t="str">
        <f>IFERROR(__xludf.DUMMYFUNCTION("""COMPUTED_VALUE"""),"Luther Wright")</f>
        <v>Luther Wright</v>
      </c>
      <c r="E2109" s="4" t="str">
        <f>IFERROR(__xludf.DUMMYFUNCTION("""COMPUTED_VALUE"""),"Seton Hall")</f>
        <v>Seton Hall</v>
      </c>
      <c r="F2109" s="4">
        <f>IFERROR(__xludf.DUMMYFUNCTION("""COMPUTED_VALUE"""),1.0)</f>
        <v>1</v>
      </c>
      <c r="G2109" s="4">
        <f>IFERROR(__xludf.DUMMYFUNCTION("""COMPUTED_VALUE"""),15.0)</f>
        <v>15</v>
      </c>
      <c r="H2109" s="4">
        <f>IFERROR(__xludf.DUMMYFUNCTION("""COMPUTED_VALUE"""),92.0)</f>
        <v>92</v>
      </c>
      <c r="I2109" s="4">
        <f>IFERROR(__xludf.DUMMYFUNCTION("""COMPUTED_VALUE"""),19.0)</f>
        <v>19</v>
      </c>
      <c r="J2109" s="4">
        <f>IFERROR(__xludf.DUMMYFUNCTION("""COMPUTED_VALUE"""),10.0)</f>
        <v>10</v>
      </c>
      <c r="K2109" s="4">
        <f>IFERROR(__xludf.DUMMYFUNCTION("""COMPUTED_VALUE"""),0.0)</f>
        <v>0</v>
      </c>
      <c r="L2109" s="4">
        <f>IFERROR(__xludf.DUMMYFUNCTION("""COMPUTED_VALUE"""),0.348)</f>
        <v>0.348</v>
      </c>
      <c r="M2109" s="4">
        <f>IFERROR(__xludf.DUMMYFUNCTION("""COMPUTED_VALUE"""),0.0)</f>
        <v>0</v>
      </c>
      <c r="N2109" s="4">
        <f>IFERROR(__xludf.DUMMYFUNCTION("""COMPUTED_VALUE"""),0.75)</f>
        <v>0.75</v>
      </c>
      <c r="O2109" s="4">
        <f>IFERROR(__xludf.DUMMYFUNCTION("""COMPUTED_VALUE"""),6.1)</f>
        <v>6.1</v>
      </c>
      <c r="P2109" s="4">
        <f>IFERROR(__xludf.DUMMYFUNCTION("""COMPUTED_VALUE"""),1.3)</f>
        <v>1.3</v>
      </c>
      <c r="Q2109" s="4">
        <f>IFERROR(__xludf.DUMMYFUNCTION("""COMPUTED_VALUE"""),0.7)</f>
        <v>0.7</v>
      </c>
      <c r="R2109" s="4">
        <f>IFERROR(__xludf.DUMMYFUNCTION("""COMPUTED_VALUE"""),0.0)</f>
        <v>0</v>
      </c>
      <c r="S2109" s="4">
        <f>IFERROR(__xludf.DUMMYFUNCTION("""COMPUTED_VALUE"""),-0.1)</f>
        <v>-0.1</v>
      </c>
      <c r="T2109" s="4">
        <f>IFERROR(__xludf.DUMMYFUNCTION("""COMPUTED_VALUE"""),-0.064)</f>
        <v>-0.064</v>
      </c>
      <c r="U2109" s="4">
        <f>IFERROR(__xludf.DUMMYFUNCTION("""COMPUTED_VALUE"""),-12.3)</f>
        <v>-12.3</v>
      </c>
      <c r="V2109" s="4">
        <f>IFERROR(__xludf.DUMMYFUNCTION("""COMPUTED_VALUE"""),-0.2)</f>
        <v>-0.2</v>
      </c>
    </row>
    <row r="2110">
      <c r="A2110" s="4">
        <f>IFERROR(__xludf.DUMMYFUNCTION("""COMPUTED_VALUE"""),19.0)</f>
        <v>19</v>
      </c>
      <c r="B2110" s="4">
        <f>IFERROR(__xludf.DUMMYFUNCTION("""COMPUTED_VALUE"""),19.0)</f>
        <v>19</v>
      </c>
      <c r="C2110" s="4" t="str">
        <f>IFERROR(__xludf.DUMMYFUNCTION("""COMPUTED_VALUE"""),"BOS")</f>
        <v>BOS</v>
      </c>
      <c r="D2110" s="4" t="str">
        <f>IFERROR(__xludf.DUMMYFUNCTION("""COMPUTED_VALUE"""),"Acie Earl")</f>
        <v>Acie Earl</v>
      </c>
      <c r="E2110" s="4" t="str">
        <f>IFERROR(__xludf.DUMMYFUNCTION("""COMPUTED_VALUE"""),"Iowa")</f>
        <v>Iowa</v>
      </c>
      <c r="F2110" s="4">
        <f>IFERROR(__xludf.DUMMYFUNCTION("""COMPUTED_VALUE"""),4.0)</f>
        <v>4</v>
      </c>
      <c r="G2110" s="4">
        <f>IFERROR(__xludf.DUMMYFUNCTION("""COMPUTED_VALUE"""),193.0)</f>
        <v>193</v>
      </c>
      <c r="H2110" s="4">
        <f>IFERROR(__xludf.DUMMYFUNCTION("""COMPUTED_VALUE"""),2512.0)</f>
        <v>2512</v>
      </c>
      <c r="I2110" s="4">
        <f>IFERROR(__xludf.DUMMYFUNCTION("""COMPUTED_VALUE"""),980.0)</f>
        <v>980</v>
      </c>
      <c r="J2110" s="4">
        <f>IFERROR(__xludf.DUMMYFUNCTION("""COMPUTED_VALUE"""),517.0)</f>
        <v>517</v>
      </c>
      <c r="K2110" s="4">
        <f>IFERROR(__xludf.DUMMYFUNCTION("""COMPUTED_VALUE"""),61.0)</f>
        <v>61</v>
      </c>
      <c r="L2110" s="4">
        <f>IFERROR(__xludf.DUMMYFUNCTION("""COMPUTED_VALUE"""),0.403)</f>
        <v>0.403</v>
      </c>
      <c r="M2110" s="4">
        <f>IFERROR(__xludf.DUMMYFUNCTION("""COMPUTED_VALUE"""),0.0)</f>
        <v>0</v>
      </c>
      <c r="N2110" s="4">
        <f>IFERROR(__xludf.DUMMYFUNCTION("""COMPUTED_VALUE"""),0.667)</f>
        <v>0.667</v>
      </c>
      <c r="O2110" s="4">
        <f>IFERROR(__xludf.DUMMYFUNCTION("""COMPUTED_VALUE"""),13.0)</f>
        <v>13</v>
      </c>
      <c r="P2110" s="4">
        <f>IFERROR(__xludf.DUMMYFUNCTION("""COMPUTED_VALUE"""),5.1)</f>
        <v>5.1</v>
      </c>
      <c r="Q2110" s="4">
        <f>IFERROR(__xludf.DUMMYFUNCTION("""COMPUTED_VALUE"""),2.7)</f>
        <v>2.7</v>
      </c>
      <c r="R2110" s="4">
        <f>IFERROR(__xludf.DUMMYFUNCTION("""COMPUTED_VALUE"""),0.3)</f>
        <v>0.3</v>
      </c>
      <c r="S2110" s="4">
        <f>IFERROR(__xludf.DUMMYFUNCTION("""COMPUTED_VALUE"""),0.3)</f>
        <v>0.3</v>
      </c>
      <c r="T2110" s="4">
        <f>IFERROR(__xludf.DUMMYFUNCTION("""COMPUTED_VALUE"""),0.005)</f>
        <v>0.005</v>
      </c>
      <c r="U2110" s="4">
        <f>IFERROR(__xludf.DUMMYFUNCTION("""COMPUTED_VALUE"""),-5.9)</f>
        <v>-5.9</v>
      </c>
      <c r="V2110" s="4">
        <f>IFERROR(__xludf.DUMMYFUNCTION("""COMPUTED_VALUE"""),-2.5)</f>
        <v>-2.5</v>
      </c>
    </row>
    <row r="2111">
      <c r="A2111" s="4">
        <f>IFERROR(__xludf.DUMMYFUNCTION("""COMPUTED_VALUE"""),20.0)</f>
        <v>20</v>
      </c>
      <c r="B2111" s="4">
        <f>IFERROR(__xludf.DUMMYFUNCTION("""COMPUTED_VALUE"""),20.0)</f>
        <v>20</v>
      </c>
      <c r="C2111" s="4" t="str">
        <f>IFERROR(__xludf.DUMMYFUNCTION("""COMPUTED_VALUE"""),"CHH")</f>
        <v>CHH</v>
      </c>
      <c r="D2111" s="4" t="str">
        <f>IFERROR(__xludf.DUMMYFUNCTION("""COMPUTED_VALUE"""),"Scott Burrell")</f>
        <v>Scott Burrell</v>
      </c>
      <c r="E2111" s="4" t="str">
        <f>IFERROR(__xludf.DUMMYFUNCTION("""COMPUTED_VALUE"""),"UConn")</f>
        <v>UConn</v>
      </c>
      <c r="F2111" s="4">
        <f>IFERROR(__xludf.DUMMYFUNCTION("""COMPUTED_VALUE"""),8.0)</f>
        <v>8</v>
      </c>
      <c r="G2111" s="4">
        <f>IFERROR(__xludf.DUMMYFUNCTION("""COMPUTED_VALUE"""),383.0)</f>
        <v>383</v>
      </c>
      <c r="H2111" s="4">
        <f>IFERROR(__xludf.DUMMYFUNCTION("""COMPUTED_VALUE"""),7592.0)</f>
        <v>7592</v>
      </c>
      <c r="I2111" s="4">
        <f>IFERROR(__xludf.DUMMYFUNCTION("""COMPUTED_VALUE"""),2647.0)</f>
        <v>2647</v>
      </c>
      <c r="J2111" s="4">
        <f>IFERROR(__xludf.DUMMYFUNCTION("""COMPUTED_VALUE"""),1332.0)</f>
        <v>1332</v>
      </c>
      <c r="K2111" s="4">
        <f>IFERROR(__xludf.DUMMYFUNCTION("""COMPUTED_VALUE"""),527.0)</f>
        <v>527</v>
      </c>
      <c r="L2111" s="4">
        <f>IFERROR(__xludf.DUMMYFUNCTION("""COMPUTED_VALUE"""),0.418)</f>
        <v>0.418</v>
      </c>
      <c r="M2111" s="4">
        <f>IFERROR(__xludf.DUMMYFUNCTION("""COMPUTED_VALUE"""),0.373)</f>
        <v>0.373</v>
      </c>
      <c r="N2111" s="4">
        <f>IFERROR(__xludf.DUMMYFUNCTION("""COMPUTED_VALUE"""),0.723)</f>
        <v>0.723</v>
      </c>
      <c r="O2111" s="4">
        <f>IFERROR(__xludf.DUMMYFUNCTION("""COMPUTED_VALUE"""),19.8)</f>
        <v>19.8</v>
      </c>
      <c r="P2111" s="4">
        <f>IFERROR(__xludf.DUMMYFUNCTION("""COMPUTED_VALUE"""),6.9)</f>
        <v>6.9</v>
      </c>
      <c r="Q2111" s="4">
        <f>IFERROR(__xludf.DUMMYFUNCTION("""COMPUTED_VALUE"""),3.5)</f>
        <v>3.5</v>
      </c>
      <c r="R2111" s="4">
        <f>IFERROR(__xludf.DUMMYFUNCTION("""COMPUTED_VALUE"""),1.4)</f>
        <v>1.4</v>
      </c>
      <c r="S2111" s="4">
        <f>IFERROR(__xludf.DUMMYFUNCTION("""COMPUTED_VALUE"""),16.4)</f>
        <v>16.4</v>
      </c>
      <c r="T2111" s="4">
        <f>IFERROR(__xludf.DUMMYFUNCTION("""COMPUTED_VALUE"""),0.104)</f>
        <v>0.104</v>
      </c>
      <c r="U2111" s="4">
        <f>IFERROR(__xludf.DUMMYFUNCTION("""COMPUTED_VALUE"""),0.7)</f>
        <v>0.7</v>
      </c>
      <c r="V2111" s="4">
        <f>IFERROR(__xludf.DUMMYFUNCTION("""COMPUTED_VALUE"""),5.2)</f>
        <v>5.2</v>
      </c>
    </row>
    <row r="2112">
      <c r="A2112" s="4">
        <f>IFERROR(__xludf.DUMMYFUNCTION("""COMPUTED_VALUE"""),21.0)</f>
        <v>21</v>
      </c>
      <c r="B2112" s="4">
        <f>IFERROR(__xludf.DUMMYFUNCTION("""COMPUTED_VALUE"""),21.0)</f>
        <v>21</v>
      </c>
      <c r="C2112" s="4" t="str">
        <f>IFERROR(__xludf.DUMMYFUNCTION("""COMPUTED_VALUE"""),"POR")</f>
        <v>POR</v>
      </c>
      <c r="D2112" s="4" t="str">
        <f>IFERROR(__xludf.DUMMYFUNCTION("""COMPUTED_VALUE"""),"James Robinson")</f>
        <v>James Robinson</v>
      </c>
      <c r="E2112" s="4" t="str">
        <f>IFERROR(__xludf.DUMMYFUNCTION("""COMPUTED_VALUE"""),"Alabama")</f>
        <v>Alabama</v>
      </c>
      <c r="F2112" s="4">
        <f>IFERROR(__xludf.DUMMYFUNCTION("""COMPUTED_VALUE"""),7.0)</f>
        <v>7</v>
      </c>
      <c r="G2112" s="4">
        <f>IFERROR(__xludf.DUMMYFUNCTION("""COMPUTED_VALUE"""),381.0)</f>
        <v>381</v>
      </c>
      <c r="H2112" s="4">
        <f>IFERROR(__xludf.DUMMYFUNCTION("""COMPUTED_VALUE"""),6935.0)</f>
        <v>6935</v>
      </c>
      <c r="I2112" s="4">
        <f>IFERROR(__xludf.DUMMYFUNCTION("""COMPUTED_VALUE"""),2882.0)</f>
        <v>2882</v>
      </c>
      <c r="J2112" s="4">
        <f>IFERROR(__xludf.DUMMYFUNCTION("""COMPUTED_VALUE"""),660.0)</f>
        <v>660</v>
      </c>
      <c r="K2112" s="4">
        <f>IFERROR(__xludf.DUMMYFUNCTION("""COMPUTED_VALUE"""),715.0)</f>
        <v>715</v>
      </c>
      <c r="L2112" s="4">
        <f>IFERROR(__xludf.DUMMYFUNCTION("""COMPUTED_VALUE"""),0.394)</f>
        <v>0.394</v>
      </c>
      <c r="M2112" s="4">
        <f>IFERROR(__xludf.DUMMYFUNCTION("""COMPUTED_VALUE"""),0.348)</f>
        <v>0.348</v>
      </c>
      <c r="N2112" s="4">
        <f>IFERROR(__xludf.DUMMYFUNCTION("""COMPUTED_VALUE"""),0.666)</f>
        <v>0.666</v>
      </c>
      <c r="O2112" s="4">
        <f>IFERROR(__xludf.DUMMYFUNCTION("""COMPUTED_VALUE"""),18.2)</f>
        <v>18.2</v>
      </c>
      <c r="P2112" s="4">
        <f>IFERROR(__xludf.DUMMYFUNCTION("""COMPUTED_VALUE"""),7.6)</f>
        <v>7.6</v>
      </c>
      <c r="Q2112" s="4">
        <f>IFERROR(__xludf.DUMMYFUNCTION("""COMPUTED_VALUE"""),1.7)</f>
        <v>1.7</v>
      </c>
      <c r="R2112" s="4">
        <f>IFERROR(__xludf.DUMMYFUNCTION("""COMPUTED_VALUE"""),1.9)</f>
        <v>1.9</v>
      </c>
      <c r="S2112" s="4">
        <f>IFERROR(__xludf.DUMMYFUNCTION("""COMPUTED_VALUE"""),5.8)</f>
        <v>5.8</v>
      </c>
      <c r="T2112" s="4">
        <f>IFERROR(__xludf.DUMMYFUNCTION("""COMPUTED_VALUE"""),0.04)</f>
        <v>0.04</v>
      </c>
      <c r="U2112" s="4">
        <f>IFERROR(__xludf.DUMMYFUNCTION("""COMPUTED_VALUE"""),-2.0)</f>
        <v>-2</v>
      </c>
      <c r="V2112" s="4">
        <f>IFERROR(__xludf.DUMMYFUNCTION("""COMPUTED_VALUE"""),0.0)</f>
        <v>0</v>
      </c>
    </row>
    <row r="2113">
      <c r="A2113" s="4">
        <f>IFERROR(__xludf.DUMMYFUNCTION("""COMPUTED_VALUE"""),22.0)</f>
        <v>22</v>
      </c>
      <c r="B2113" s="4">
        <f>IFERROR(__xludf.DUMMYFUNCTION("""COMPUTED_VALUE"""),22.0)</f>
        <v>22</v>
      </c>
      <c r="C2113" s="4" t="str">
        <f>IFERROR(__xludf.DUMMYFUNCTION("""COMPUTED_VALUE"""),"CLE")</f>
        <v>CLE</v>
      </c>
      <c r="D2113" s="4" t="str">
        <f>IFERROR(__xludf.DUMMYFUNCTION("""COMPUTED_VALUE"""),"Chris Mills")</f>
        <v>Chris Mills</v>
      </c>
      <c r="E2113" s="4" t="str">
        <f>IFERROR(__xludf.DUMMYFUNCTION("""COMPUTED_VALUE"""),"Arizona")</f>
        <v>Arizona</v>
      </c>
      <c r="F2113" s="4">
        <f>IFERROR(__xludf.DUMMYFUNCTION("""COMPUTED_VALUE"""),10.0)</f>
        <v>10</v>
      </c>
      <c r="G2113" s="4">
        <f>IFERROR(__xludf.DUMMYFUNCTION("""COMPUTED_VALUE"""),568.0)</f>
        <v>568</v>
      </c>
      <c r="H2113" s="4">
        <f>IFERROR(__xludf.DUMMYFUNCTION("""COMPUTED_VALUE"""),17282.0)</f>
        <v>17282</v>
      </c>
      <c r="I2113" s="4">
        <f>IFERROR(__xludf.DUMMYFUNCTION("""COMPUTED_VALUE"""),6357.0)</f>
        <v>6357</v>
      </c>
      <c r="J2113" s="4">
        <f>IFERROR(__xludf.DUMMYFUNCTION("""COMPUTED_VALUE"""),2808.0)</f>
        <v>2808</v>
      </c>
      <c r="K2113" s="4">
        <f>IFERROR(__xludf.DUMMYFUNCTION("""COMPUTED_VALUE"""),1063.0)</f>
        <v>1063</v>
      </c>
      <c r="L2113" s="4">
        <f>IFERROR(__xludf.DUMMYFUNCTION("""COMPUTED_VALUE"""),0.432)</f>
        <v>0.432</v>
      </c>
      <c r="M2113" s="4">
        <f>IFERROR(__xludf.DUMMYFUNCTION("""COMPUTED_VALUE"""),0.351)</f>
        <v>0.351</v>
      </c>
      <c r="N2113" s="4">
        <f>IFERROR(__xludf.DUMMYFUNCTION("""COMPUTED_VALUE"""),0.817)</f>
        <v>0.817</v>
      </c>
      <c r="O2113" s="4">
        <f>IFERROR(__xludf.DUMMYFUNCTION("""COMPUTED_VALUE"""),30.4)</f>
        <v>30.4</v>
      </c>
      <c r="P2113" s="4">
        <f>IFERROR(__xludf.DUMMYFUNCTION("""COMPUTED_VALUE"""),11.2)</f>
        <v>11.2</v>
      </c>
      <c r="Q2113" s="4">
        <f>IFERROR(__xludf.DUMMYFUNCTION("""COMPUTED_VALUE"""),4.9)</f>
        <v>4.9</v>
      </c>
      <c r="R2113" s="4">
        <f>IFERROR(__xludf.DUMMYFUNCTION("""COMPUTED_VALUE"""),1.9)</f>
        <v>1.9</v>
      </c>
      <c r="S2113" s="4">
        <f>IFERROR(__xludf.DUMMYFUNCTION("""COMPUTED_VALUE"""),37.7)</f>
        <v>37.7</v>
      </c>
      <c r="T2113" s="4">
        <f>IFERROR(__xludf.DUMMYFUNCTION("""COMPUTED_VALUE"""),0.105)</f>
        <v>0.105</v>
      </c>
      <c r="U2113" s="4">
        <f>IFERROR(__xludf.DUMMYFUNCTION("""COMPUTED_VALUE"""),-0.5)</f>
        <v>-0.5</v>
      </c>
      <c r="V2113" s="4">
        <f>IFERROR(__xludf.DUMMYFUNCTION("""COMPUTED_VALUE"""),6.8)</f>
        <v>6.8</v>
      </c>
    </row>
    <row r="2114">
      <c r="A2114" s="4">
        <f>IFERROR(__xludf.DUMMYFUNCTION("""COMPUTED_VALUE"""),23.0)</f>
        <v>23</v>
      </c>
      <c r="B2114" s="4">
        <f>IFERROR(__xludf.DUMMYFUNCTION("""COMPUTED_VALUE"""),23.0)</f>
        <v>23</v>
      </c>
      <c r="C2114" s="4" t="str">
        <f>IFERROR(__xludf.DUMMYFUNCTION("""COMPUTED_VALUE"""),"SEA")</f>
        <v>SEA</v>
      </c>
      <c r="D2114" s="4" t="str">
        <f>IFERROR(__xludf.DUMMYFUNCTION("""COMPUTED_VALUE"""),"Ervin Johnson")</f>
        <v>Ervin Johnson</v>
      </c>
      <c r="E2114" s="4" t="str">
        <f>IFERROR(__xludf.DUMMYFUNCTION("""COMPUTED_VALUE"""),"New Orleans")</f>
        <v>New Orleans</v>
      </c>
      <c r="F2114" s="4">
        <f>IFERROR(__xludf.DUMMYFUNCTION("""COMPUTED_VALUE"""),13.0)</f>
        <v>13</v>
      </c>
      <c r="G2114" s="4">
        <f>IFERROR(__xludf.DUMMYFUNCTION("""COMPUTED_VALUE"""),845.0)</f>
        <v>845</v>
      </c>
      <c r="H2114" s="4">
        <f>IFERROR(__xludf.DUMMYFUNCTION("""COMPUTED_VALUE"""),16989.0)</f>
        <v>16989</v>
      </c>
      <c r="I2114" s="4">
        <f>IFERROR(__xludf.DUMMYFUNCTION("""COMPUTED_VALUE"""),3473.0)</f>
        <v>3473</v>
      </c>
      <c r="J2114" s="4">
        <f>IFERROR(__xludf.DUMMYFUNCTION("""COMPUTED_VALUE"""),5148.0)</f>
        <v>5148</v>
      </c>
      <c r="K2114" s="4">
        <f>IFERROR(__xludf.DUMMYFUNCTION("""COMPUTED_VALUE"""),387.0)</f>
        <v>387</v>
      </c>
      <c r="L2114" s="4">
        <f>IFERROR(__xludf.DUMMYFUNCTION("""COMPUTED_VALUE"""),0.505)</f>
        <v>0.505</v>
      </c>
      <c r="M2114" s="4">
        <f>IFERROR(__xludf.DUMMYFUNCTION("""COMPUTED_VALUE"""),0.2)</f>
        <v>0.2</v>
      </c>
      <c r="N2114" s="4">
        <f>IFERROR(__xludf.DUMMYFUNCTION("""COMPUTED_VALUE"""),0.605)</f>
        <v>0.605</v>
      </c>
      <c r="O2114" s="4">
        <f>IFERROR(__xludf.DUMMYFUNCTION("""COMPUTED_VALUE"""),20.1)</f>
        <v>20.1</v>
      </c>
      <c r="P2114" s="4">
        <f>IFERROR(__xludf.DUMMYFUNCTION("""COMPUTED_VALUE"""),4.1)</f>
        <v>4.1</v>
      </c>
      <c r="Q2114" s="4">
        <f>IFERROR(__xludf.DUMMYFUNCTION("""COMPUTED_VALUE"""),6.1)</f>
        <v>6.1</v>
      </c>
      <c r="R2114" s="4">
        <f>IFERROR(__xludf.DUMMYFUNCTION("""COMPUTED_VALUE"""),0.5)</f>
        <v>0.5</v>
      </c>
      <c r="S2114" s="4">
        <f>IFERROR(__xludf.DUMMYFUNCTION("""COMPUTED_VALUE"""),37.8)</f>
        <v>37.8</v>
      </c>
      <c r="T2114" s="4">
        <f>IFERROR(__xludf.DUMMYFUNCTION("""COMPUTED_VALUE"""),0.107)</f>
        <v>0.107</v>
      </c>
      <c r="U2114" s="4">
        <f>IFERROR(__xludf.DUMMYFUNCTION("""COMPUTED_VALUE"""),-1.4)</f>
        <v>-1.4</v>
      </c>
      <c r="V2114" s="4">
        <f>IFERROR(__xludf.DUMMYFUNCTION("""COMPUTED_VALUE"""),2.6)</f>
        <v>2.6</v>
      </c>
    </row>
    <row r="2115">
      <c r="A2115" s="4">
        <f>IFERROR(__xludf.DUMMYFUNCTION("""COMPUTED_VALUE"""),24.0)</f>
        <v>24</v>
      </c>
      <c r="B2115" s="4">
        <f>IFERROR(__xludf.DUMMYFUNCTION("""COMPUTED_VALUE"""),24.0)</f>
        <v>24</v>
      </c>
      <c r="C2115" s="4" t="str">
        <f>IFERROR(__xludf.DUMMYFUNCTION("""COMPUTED_VALUE"""),"HOU")</f>
        <v>HOU</v>
      </c>
      <c r="D2115" s="4" t="str">
        <f>IFERROR(__xludf.DUMMYFUNCTION("""COMPUTED_VALUE"""),"Sam Cassell")</f>
        <v>Sam Cassell</v>
      </c>
      <c r="E2115" s="4" t="str">
        <f>IFERROR(__xludf.DUMMYFUNCTION("""COMPUTED_VALUE"""),"Florida State")</f>
        <v>Florida State</v>
      </c>
      <c r="F2115" s="4">
        <f>IFERROR(__xludf.DUMMYFUNCTION("""COMPUTED_VALUE"""),15.0)</f>
        <v>15</v>
      </c>
      <c r="G2115" s="4">
        <f>IFERROR(__xludf.DUMMYFUNCTION("""COMPUTED_VALUE"""),993.0)</f>
        <v>993</v>
      </c>
      <c r="H2115" s="4">
        <f>IFERROR(__xludf.DUMMYFUNCTION("""COMPUTED_VALUE"""),29812.0)</f>
        <v>29812</v>
      </c>
      <c r="I2115" s="4">
        <f>IFERROR(__xludf.DUMMYFUNCTION("""COMPUTED_VALUE"""),15635.0)</f>
        <v>15635</v>
      </c>
      <c r="J2115" s="4">
        <f>IFERROR(__xludf.DUMMYFUNCTION("""COMPUTED_VALUE"""),3221.0)</f>
        <v>3221</v>
      </c>
      <c r="K2115" s="4">
        <f>IFERROR(__xludf.DUMMYFUNCTION("""COMPUTED_VALUE"""),5939.0)</f>
        <v>5939</v>
      </c>
      <c r="L2115" s="4">
        <f>IFERROR(__xludf.DUMMYFUNCTION("""COMPUTED_VALUE"""),0.454)</f>
        <v>0.454</v>
      </c>
      <c r="M2115" s="4">
        <f>IFERROR(__xludf.DUMMYFUNCTION("""COMPUTED_VALUE"""),0.331)</f>
        <v>0.331</v>
      </c>
      <c r="N2115" s="4">
        <f>IFERROR(__xludf.DUMMYFUNCTION("""COMPUTED_VALUE"""),0.861)</f>
        <v>0.861</v>
      </c>
      <c r="O2115" s="4">
        <f>IFERROR(__xludf.DUMMYFUNCTION("""COMPUTED_VALUE"""),30.0)</f>
        <v>30</v>
      </c>
      <c r="P2115" s="4">
        <f>IFERROR(__xludf.DUMMYFUNCTION("""COMPUTED_VALUE"""),15.7)</f>
        <v>15.7</v>
      </c>
      <c r="Q2115" s="4">
        <f>IFERROR(__xludf.DUMMYFUNCTION("""COMPUTED_VALUE"""),3.2)</f>
        <v>3.2</v>
      </c>
      <c r="R2115" s="4">
        <f>IFERROR(__xludf.DUMMYFUNCTION("""COMPUTED_VALUE"""),6.0)</f>
        <v>6</v>
      </c>
      <c r="S2115" s="4">
        <f>IFERROR(__xludf.DUMMYFUNCTION("""COMPUTED_VALUE"""),87.5)</f>
        <v>87.5</v>
      </c>
      <c r="T2115" s="4">
        <f>IFERROR(__xludf.DUMMYFUNCTION("""COMPUTED_VALUE"""),0.141)</f>
        <v>0.141</v>
      </c>
      <c r="U2115" s="4">
        <f>IFERROR(__xludf.DUMMYFUNCTION("""COMPUTED_VALUE"""),1.8)</f>
        <v>1.8</v>
      </c>
      <c r="V2115" s="4">
        <f>IFERROR(__xludf.DUMMYFUNCTION("""COMPUTED_VALUE"""),28.8)</f>
        <v>28.8</v>
      </c>
    </row>
    <row r="2116">
      <c r="A2116" s="4">
        <f>IFERROR(__xludf.DUMMYFUNCTION("""COMPUTED_VALUE"""),25.0)</f>
        <v>25</v>
      </c>
      <c r="B2116" s="4">
        <f>IFERROR(__xludf.DUMMYFUNCTION("""COMPUTED_VALUE"""),25.0)</f>
        <v>25</v>
      </c>
      <c r="C2116" s="4" t="str">
        <f>IFERROR(__xludf.DUMMYFUNCTION("""COMPUTED_VALUE"""),"CHI")</f>
        <v>CHI</v>
      </c>
      <c r="D2116" s="4" t="str">
        <f>IFERROR(__xludf.DUMMYFUNCTION("""COMPUTED_VALUE"""),"Corie Blount")</f>
        <v>Corie Blount</v>
      </c>
      <c r="E2116" s="4" t="str">
        <f>IFERROR(__xludf.DUMMYFUNCTION("""COMPUTED_VALUE"""),"Cincinnati")</f>
        <v>Cincinnati</v>
      </c>
      <c r="F2116" s="4">
        <f>IFERROR(__xludf.DUMMYFUNCTION("""COMPUTED_VALUE"""),11.0)</f>
        <v>11</v>
      </c>
      <c r="G2116" s="4">
        <f>IFERROR(__xludf.DUMMYFUNCTION("""COMPUTED_VALUE"""),644.0)</f>
        <v>644</v>
      </c>
      <c r="H2116" s="4">
        <f>IFERROR(__xludf.DUMMYFUNCTION("""COMPUTED_VALUE"""),9925.0)</f>
        <v>9925</v>
      </c>
      <c r="I2116" s="4">
        <f>IFERROR(__xludf.DUMMYFUNCTION("""COMPUTED_VALUE"""),2287.0)</f>
        <v>2287</v>
      </c>
      <c r="J2116" s="4">
        <f>IFERROR(__xludf.DUMMYFUNCTION("""COMPUTED_VALUE"""),2690.0)</f>
        <v>2690</v>
      </c>
      <c r="K2116" s="4">
        <f>IFERROR(__xludf.DUMMYFUNCTION("""COMPUTED_VALUE"""),460.0)</f>
        <v>460</v>
      </c>
      <c r="L2116" s="4">
        <f>IFERROR(__xludf.DUMMYFUNCTION("""COMPUTED_VALUE"""),0.471)</f>
        <v>0.471</v>
      </c>
      <c r="M2116" s="4">
        <f>IFERROR(__xludf.DUMMYFUNCTION("""COMPUTED_VALUE"""),0.115)</f>
        <v>0.115</v>
      </c>
      <c r="N2116" s="4">
        <f>IFERROR(__xludf.DUMMYFUNCTION("""COMPUTED_VALUE"""),0.587)</f>
        <v>0.587</v>
      </c>
      <c r="O2116" s="4">
        <f>IFERROR(__xludf.DUMMYFUNCTION("""COMPUTED_VALUE"""),15.4)</f>
        <v>15.4</v>
      </c>
      <c r="P2116" s="4">
        <f>IFERROR(__xludf.DUMMYFUNCTION("""COMPUTED_VALUE"""),3.6)</f>
        <v>3.6</v>
      </c>
      <c r="Q2116" s="4">
        <f>IFERROR(__xludf.DUMMYFUNCTION("""COMPUTED_VALUE"""),4.2)</f>
        <v>4.2</v>
      </c>
      <c r="R2116" s="4">
        <f>IFERROR(__xludf.DUMMYFUNCTION("""COMPUTED_VALUE"""),0.7)</f>
        <v>0.7</v>
      </c>
      <c r="S2116" s="4">
        <f>IFERROR(__xludf.DUMMYFUNCTION("""COMPUTED_VALUE"""),18.2)</f>
        <v>18.2</v>
      </c>
      <c r="T2116" s="4">
        <f>IFERROR(__xludf.DUMMYFUNCTION("""COMPUTED_VALUE"""),0.088)</f>
        <v>0.088</v>
      </c>
      <c r="U2116" s="4">
        <f>IFERROR(__xludf.DUMMYFUNCTION("""COMPUTED_VALUE"""),-2.5)</f>
        <v>-2.5</v>
      </c>
      <c r="V2116" s="4">
        <f>IFERROR(__xludf.DUMMYFUNCTION("""COMPUTED_VALUE"""),-1.1)</f>
        <v>-1.1</v>
      </c>
    </row>
    <row r="2117">
      <c r="A2117" s="4">
        <f>IFERROR(__xludf.DUMMYFUNCTION("""COMPUTED_VALUE"""),26.0)</f>
        <v>26</v>
      </c>
      <c r="B2117" s="4">
        <f>IFERROR(__xludf.DUMMYFUNCTION("""COMPUTED_VALUE"""),26.0)</f>
        <v>26</v>
      </c>
      <c r="C2117" s="4" t="str">
        <f>IFERROR(__xludf.DUMMYFUNCTION("""COMPUTED_VALUE"""),"ORL")</f>
        <v>ORL</v>
      </c>
      <c r="D2117" s="4" t="str">
        <f>IFERROR(__xludf.DUMMYFUNCTION("""COMPUTED_VALUE"""),"Geert Hammink")</f>
        <v>Geert Hammink</v>
      </c>
      <c r="E2117" s="4" t="str">
        <f>IFERROR(__xludf.DUMMYFUNCTION("""COMPUTED_VALUE"""),"LSU")</f>
        <v>LSU</v>
      </c>
      <c r="F2117" s="4">
        <f>IFERROR(__xludf.DUMMYFUNCTION("""COMPUTED_VALUE"""),3.0)</f>
        <v>3</v>
      </c>
      <c r="G2117" s="4">
        <f>IFERROR(__xludf.DUMMYFUNCTION("""COMPUTED_VALUE"""),8.0)</f>
        <v>8</v>
      </c>
      <c r="H2117" s="4">
        <f>IFERROR(__xludf.DUMMYFUNCTION("""COMPUTED_VALUE"""),27.0)</f>
        <v>27</v>
      </c>
      <c r="I2117" s="4">
        <f>IFERROR(__xludf.DUMMYFUNCTION("""COMPUTED_VALUE"""),14.0)</f>
        <v>14</v>
      </c>
      <c r="J2117" s="4">
        <f>IFERROR(__xludf.DUMMYFUNCTION("""COMPUTED_VALUE"""),7.0)</f>
        <v>7</v>
      </c>
      <c r="K2117" s="4">
        <f>IFERROR(__xludf.DUMMYFUNCTION("""COMPUTED_VALUE"""),2.0)</f>
        <v>2</v>
      </c>
      <c r="L2117" s="4">
        <f>IFERROR(__xludf.DUMMYFUNCTION("""COMPUTED_VALUE"""),0.4)</f>
        <v>0.4</v>
      </c>
      <c r="M2117" s="4"/>
      <c r="N2117" s="4">
        <f>IFERROR(__xludf.DUMMYFUNCTION("""COMPUTED_VALUE"""),0.667)</f>
        <v>0.667</v>
      </c>
      <c r="O2117" s="4">
        <f>IFERROR(__xludf.DUMMYFUNCTION("""COMPUTED_VALUE"""),3.4)</f>
        <v>3.4</v>
      </c>
      <c r="P2117" s="4">
        <f>IFERROR(__xludf.DUMMYFUNCTION("""COMPUTED_VALUE"""),1.8)</f>
        <v>1.8</v>
      </c>
      <c r="Q2117" s="4">
        <f>IFERROR(__xludf.DUMMYFUNCTION("""COMPUTED_VALUE"""),0.9)</f>
        <v>0.9</v>
      </c>
      <c r="R2117" s="4">
        <f>IFERROR(__xludf.DUMMYFUNCTION("""COMPUTED_VALUE"""),0.3)</f>
        <v>0.3</v>
      </c>
      <c r="S2117" s="4">
        <f>IFERROR(__xludf.DUMMYFUNCTION("""COMPUTED_VALUE"""),0.1)</f>
        <v>0.1</v>
      </c>
      <c r="T2117" s="4">
        <f>IFERROR(__xludf.DUMMYFUNCTION("""COMPUTED_VALUE"""),0.089)</f>
        <v>0.089</v>
      </c>
      <c r="U2117" s="4">
        <f>IFERROR(__xludf.DUMMYFUNCTION("""COMPUTED_VALUE"""),-3.7)</f>
        <v>-3.7</v>
      </c>
      <c r="V2117" s="4">
        <f>IFERROR(__xludf.DUMMYFUNCTION("""COMPUTED_VALUE"""),0.0)</f>
        <v>0</v>
      </c>
    </row>
    <row r="2118">
      <c r="A2118" s="4">
        <f>IFERROR(__xludf.DUMMYFUNCTION("""COMPUTED_VALUE"""),27.0)</f>
        <v>27</v>
      </c>
      <c r="B2118" s="4">
        <f>IFERROR(__xludf.DUMMYFUNCTION("""COMPUTED_VALUE"""),27.0)</f>
        <v>27</v>
      </c>
      <c r="C2118" s="4" t="str">
        <f>IFERROR(__xludf.DUMMYFUNCTION("""COMPUTED_VALUE"""),"PHO")</f>
        <v>PHO</v>
      </c>
      <c r="D2118" s="4" t="str">
        <f>IFERROR(__xludf.DUMMYFUNCTION("""COMPUTED_VALUE"""),"Malcolm Mackey")</f>
        <v>Malcolm Mackey</v>
      </c>
      <c r="E2118" s="4" t="str">
        <f>IFERROR(__xludf.DUMMYFUNCTION("""COMPUTED_VALUE"""),"Georgia Tech")</f>
        <v>Georgia Tech</v>
      </c>
      <c r="F2118" s="4">
        <f>IFERROR(__xludf.DUMMYFUNCTION("""COMPUTED_VALUE"""),1.0)</f>
        <v>1</v>
      </c>
      <c r="G2118" s="4">
        <f>IFERROR(__xludf.DUMMYFUNCTION("""COMPUTED_VALUE"""),22.0)</f>
        <v>22</v>
      </c>
      <c r="H2118" s="4">
        <f>IFERROR(__xludf.DUMMYFUNCTION("""COMPUTED_VALUE"""),69.0)</f>
        <v>69</v>
      </c>
      <c r="I2118" s="4">
        <f>IFERROR(__xludf.DUMMYFUNCTION("""COMPUTED_VALUE"""),32.0)</f>
        <v>32</v>
      </c>
      <c r="J2118" s="4">
        <f>IFERROR(__xludf.DUMMYFUNCTION("""COMPUTED_VALUE"""),24.0)</f>
        <v>24</v>
      </c>
      <c r="K2118" s="4">
        <f>IFERROR(__xludf.DUMMYFUNCTION("""COMPUTED_VALUE"""),1.0)</f>
        <v>1</v>
      </c>
      <c r="L2118" s="4">
        <f>IFERROR(__xludf.DUMMYFUNCTION("""COMPUTED_VALUE"""),0.378)</f>
        <v>0.378</v>
      </c>
      <c r="M2118" s="4">
        <f>IFERROR(__xludf.DUMMYFUNCTION("""COMPUTED_VALUE"""),0.0)</f>
        <v>0</v>
      </c>
      <c r="N2118" s="4">
        <f>IFERROR(__xludf.DUMMYFUNCTION("""COMPUTED_VALUE"""),0.5)</f>
        <v>0.5</v>
      </c>
      <c r="O2118" s="4">
        <f>IFERROR(__xludf.DUMMYFUNCTION("""COMPUTED_VALUE"""),3.1)</f>
        <v>3.1</v>
      </c>
      <c r="P2118" s="4">
        <f>IFERROR(__xludf.DUMMYFUNCTION("""COMPUTED_VALUE"""),1.5)</f>
        <v>1.5</v>
      </c>
      <c r="Q2118" s="4">
        <f>IFERROR(__xludf.DUMMYFUNCTION("""COMPUTED_VALUE"""),1.1)</f>
        <v>1.1</v>
      </c>
      <c r="R2118" s="4">
        <f>IFERROR(__xludf.DUMMYFUNCTION("""COMPUTED_VALUE"""),0.0)</f>
        <v>0</v>
      </c>
      <c r="S2118" s="4">
        <f>IFERROR(__xludf.DUMMYFUNCTION("""COMPUTED_VALUE"""),0.1)</f>
        <v>0.1</v>
      </c>
      <c r="T2118" s="4">
        <f>IFERROR(__xludf.DUMMYFUNCTION("""COMPUTED_VALUE"""),0.036)</f>
        <v>0.036</v>
      </c>
      <c r="U2118" s="4">
        <f>IFERROR(__xludf.DUMMYFUNCTION("""COMPUTED_VALUE"""),-8.7)</f>
        <v>-8.7</v>
      </c>
      <c r="V2118" s="4">
        <f>IFERROR(__xludf.DUMMYFUNCTION("""COMPUTED_VALUE"""),-0.1)</f>
        <v>-0.1</v>
      </c>
    </row>
    <row r="2119">
      <c r="A2119" s="4"/>
      <c r="B2119" s="4"/>
      <c r="C2119" s="4"/>
      <c r="D2119" s="4" t="str">
        <f>IFERROR(__xludf.DUMMYFUNCTION("""COMPUTED_VALUE"""),"Round 2")</f>
        <v>Round 2</v>
      </c>
      <c r="E2119" s="4"/>
      <c r="F2119" s="4"/>
      <c r="G2119" s="4" t="str">
        <f>IFERROR(__xludf.DUMMYFUNCTION("""COMPUTED_VALUE"""),"Totals")</f>
        <v>Totals</v>
      </c>
      <c r="H2119" s="4"/>
      <c r="I2119" s="4"/>
      <c r="J2119" s="4"/>
      <c r="K2119" s="4"/>
      <c r="L2119" s="4" t="str">
        <f>IFERROR(__xludf.DUMMYFUNCTION("""COMPUTED_VALUE"""),"Shooting")</f>
        <v>Shooting</v>
      </c>
      <c r="M2119" s="4"/>
      <c r="N2119" s="4"/>
      <c r="O2119" s="4" t="str">
        <f>IFERROR(__xludf.DUMMYFUNCTION("""COMPUTED_VALUE"""),"Per Game")</f>
        <v>Per Game</v>
      </c>
      <c r="P2119" s="4"/>
      <c r="Q2119" s="4"/>
      <c r="R2119" s="4"/>
      <c r="S2119" s="4" t="str">
        <f>IFERROR(__xludf.DUMMYFUNCTION("""COMPUTED_VALUE"""),"Advanced")</f>
        <v>Advanced</v>
      </c>
      <c r="T2119" s="4"/>
      <c r="U2119" s="4"/>
      <c r="V2119" s="4"/>
    </row>
    <row r="2120">
      <c r="A2120" s="4" t="str">
        <f>IFERROR(__xludf.DUMMYFUNCTION("""COMPUTED_VALUE"""),"Rk")</f>
        <v>Rk</v>
      </c>
      <c r="B2120" s="4" t="str">
        <f>IFERROR(__xludf.DUMMYFUNCTION("""COMPUTED_VALUE"""),"Pk")</f>
        <v>Pk</v>
      </c>
      <c r="C2120" s="4" t="str">
        <f>IFERROR(__xludf.DUMMYFUNCTION("""COMPUTED_VALUE"""),"Tm")</f>
        <v>Tm</v>
      </c>
      <c r="D2120" s="4" t="str">
        <f>IFERROR(__xludf.DUMMYFUNCTION("""COMPUTED_VALUE"""),"Player")</f>
        <v>Player</v>
      </c>
      <c r="E2120" s="4" t="str">
        <f>IFERROR(__xludf.DUMMYFUNCTION("""COMPUTED_VALUE"""),"College")</f>
        <v>College</v>
      </c>
      <c r="F2120" s="4" t="str">
        <f>IFERROR(__xludf.DUMMYFUNCTION("""COMPUTED_VALUE"""),"Yrs")</f>
        <v>Yrs</v>
      </c>
      <c r="G2120" s="4" t="str">
        <f>IFERROR(__xludf.DUMMYFUNCTION("""COMPUTED_VALUE"""),"G")</f>
        <v>G</v>
      </c>
      <c r="H2120" s="4" t="str">
        <f>IFERROR(__xludf.DUMMYFUNCTION("""COMPUTED_VALUE"""),"MP")</f>
        <v>MP</v>
      </c>
      <c r="I2120" s="4" t="str">
        <f>IFERROR(__xludf.DUMMYFUNCTION("""COMPUTED_VALUE"""),"PTS")</f>
        <v>PTS</v>
      </c>
      <c r="J2120" s="4" t="str">
        <f>IFERROR(__xludf.DUMMYFUNCTION("""COMPUTED_VALUE"""),"TRB")</f>
        <v>TRB</v>
      </c>
      <c r="K2120" s="4" t="str">
        <f>IFERROR(__xludf.DUMMYFUNCTION("""COMPUTED_VALUE"""),"AST")</f>
        <v>AST</v>
      </c>
      <c r="L2120" s="4" t="str">
        <f>IFERROR(__xludf.DUMMYFUNCTION("""COMPUTED_VALUE"""),"FG%")</f>
        <v>FG%</v>
      </c>
      <c r="M2120" s="4" t="str">
        <f>IFERROR(__xludf.DUMMYFUNCTION("""COMPUTED_VALUE"""),"3P%")</f>
        <v>3P%</v>
      </c>
      <c r="N2120" s="4" t="str">
        <f>IFERROR(__xludf.DUMMYFUNCTION("""COMPUTED_VALUE"""),"FT%")</f>
        <v>FT%</v>
      </c>
      <c r="O2120" s="4" t="str">
        <f>IFERROR(__xludf.DUMMYFUNCTION("""COMPUTED_VALUE"""),"MP")</f>
        <v>MP</v>
      </c>
      <c r="P2120" s="4" t="str">
        <f>IFERROR(__xludf.DUMMYFUNCTION("""COMPUTED_VALUE"""),"PTS")</f>
        <v>PTS</v>
      </c>
      <c r="Q2120" s="4" t="str">
        <f>IFERROR(__xludf.DUMMYFUNCTION("""COMPUTED_VALUE"""),"TRB")</f>
        <v>TRB</v>
      </c>
      <c r="R2120" s="4" t="str">
        <f>IFERROR(__xludf.DUMMYFUNCTION("""COMPUTED_VALUE"""),"AST")</f>
        <v>AST</v>
      </c>
      <c r="S2120" s="4" t="str">
        <f>IFERROR(__xludf.DUMMYFUNCTION("""COMPUTED_VALUE"""),"WS")</f>
        <v>WS</v>
      </c>
      <c r="T2120" s="4" t="str">
        <f>IFERROR(__xludf.DUMMYFUNCTION("""COMPUTED_VALUE"""),"WS/48")</f>
        <v>WS/48</v>
      </c>
      <c r="U2120" s="4" t="str">
        <f>IFERROR(__xludf.DUMMYFUNCTION("""COMPUTED_VALUE"""),"BPM")</f>
        <v>BPM</v>
      </c>
      <c r="V2120" s="4" t="str">
        <f>IFERROR(__xludf.DUMMYFUNCTION("""COMPUTED_VALUE"""),"VORP")</f>
        <v>VORP</v>
      </c>
    </row>
    <row r="2121">
      <c r="A2121" s="4">
        <f>IFERROR(__xludf.DUMMYFUNCTION("""COMPUTED_VALUE"""),28.0)</f>
        <v>28</v>
      </c>
      <c r="B2121" s="4">
        <f>IFERROR(__xludf.DUMMYFUNCTION("""COMPUTED_VALUE"""),28.0)</f>
        <v>28</v>
      </c>
      <c r="C2121" s="4" t="str">
        <f>IFERROR(__xludf.DUMMYFUNCTION("""COMPUTED_VALUE"""),"DAL")</f>
        <v>DAL</v>
      </c>
      <c r="D2121" s="4" t="str">
        <f>IFERROR(__xludf.DUMMYFUNCTION("""COMPUTED_VALUE"""),"Lucious Harris")</f>
        <v>Lucious Harris</v>
      </c>
      <c r="E2121" s="4" t="str">
        <f>IFERROR(__xludf.DUMMYFUNCTION("""COMPUTED_VALUE"""),"Cal State Long Beach")</f>
        <v>Cal State Long Beach</v>
      </c>
      <c r="F2121" s="4">
        <f>IFERROR(__xludf.DUMMYFUNCTION("""COMPUTED_VALUE"""),12.0)</f>
        <v>12</v>
      </c>
      <c r="G2121" s="4">
        <f>IFERROR(__xludf.DUMMYFUNCTION("""COMPUTED_VALUE"""),800.0)</f>
        <v>800</v>
      </c>
      <c r="H2121" s="4">
        <f>IFERROR(__xludf.DUMMYFUNCTION("""COMPUTED_VALUE"""),15701.0)</f>
        <v>15701</v>
      </c>
      <c r="I2121" s="4">
        <f>IFERROR(__xludf.DUMMYFUNCTION("""COMPUTED_VALUE"""),5784.0)</f>
        <v>5784</v>
      </c>
      <c r="J2121" s="4">
        <f>IFERROR(__xludf.DUMMYFUNCTION("""COMPUTED_VALUE"""),1864.0)</f>
        <v>1864</v>
      </c>
      <c r="K2121" s="4">
        <f>IFERROR(__xludf.DUMMYFUNCTION("""COMPUTED_VALUE"""),1130.0)</f>
        <v>1130</v>
      </c>
      <c r="L2121" s="4">
        <f>IFERROR(__xludf.DUMMYFUNCTION("""COMPUTED_VALUE"""),0.426)</f>
        <v>0.426</v>
      </c>
      <c r="M2121" s="4">
        <f>IFERROR(__xludf.DUMMYFUNCTION("""COMPUTED_VALUE"""),0.348)</f>
        <v>0.348</v>
      </c>
      <c r="N2121" s="4">
        <f>IFERROR(__xludf.DUMMYFUNCTION("""COMPUTED_VALUE"""),0.79)</f>
        <v>0.79</v>
      </c>
      <c r="O2121" s="4">
        <f>IFERROR(__xludf.DUMMYFUNCTION("""COMPUTED_VALUE"""),19.6)</f>
        <v>19.6</v>
      </c>
      <c r="P2121" s="4">
        <f>IFERROR(__xludf.DUMMYFUNCTION("""COMPUTED_VALUE"""),7.2)</f>
        <v>7.2</v>
      </c>
      <c r="Q2121" s="4">
        <f>IFERROR(__xludf.DUMMYFUNCTION("""COMPUTED_VALUE"""),2.3)</f>
        <v>2.3</v>
      </c>
      <c r="R2121" s="4">
        <f>IFERROR(__xludf.DUMMYFUNCTION("""COMPUTED_VALUE"""),1.4)</f>
        <v>1.4</v>
      </c>
      <c r="S2121" s="4">
        <f>IFERROR(__xludf.DUMMYFUNCTION("""COMPUTED_VALUE"""),28.7)</f>
        <v>28.7</v>
      </c>
      <c r="T2121" s="4">
        <f>IFERROR(__xludf.DUMMYFUNCTION("""COMPUTED_VALUE"""),0.088)</f>
        <v>0.088</v>
      </c>
      <c r="U2121" s="4">
        <f>IFERROR(__xludf.DUMMYFUNCTION("""COMPUTED_VALUE"""),-0.9)</f>
        <v>-0.9</v>
      </c>
      <c r="V2121" s="4">
        <f>IFERROR(__xludf.DUMMYFUNCTION("""COMPUTED_VALUE"""),4.5)</f>
        <v>4.5</v>
      </c>
    </row>
    <row r="2122">
      <c r="A2122" s="4">
        <f>IFERROR(__xludf.DUMMYFUNCTION("""COMPUTED_VALUE"""),29.0)</f>
        <v>29</v>
      </c>
      <c r="B2122" s="4">
        <f>IFERROR(__xludf.DUMMYFUNCTION("""COMPUTED_VALUE"""),29.0)</f>
        <v>29</v>
      </c>
      <c r="C2122" s="4" t="str">
        <f>IFERROR(__xludf.DUMMYFUNCTION("""COMPUTED_VALUE"""),"MIN")</f>
        <v>MIN</v>
      </c>
      <c r="D2122" s="4" t="str">
        <f>IFERROR(__xludf.DUMMYFUNCTION("""COMPUTED_VALUE"""),"Sherron Mills")</f>
        <v>Sherron Mills</v>
      </c>
      <c r="E2122" s="4" t="str">
        <f>IFERROR(__xludf.DUMMYFUNCTION("""COMPUTED_VALUE"""),"VCU")</f>
        <v>VCU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</row>
    <row r="2123">
      <c r="A2123" s="4">
        <f>IFERROR(__xludf.DUMMYFUNCTION("""COMPUTED_VALUE"""),30.0)</f>
        <v>30</v>
      </c>
      <c r="B2123" s="4">
        <f>IFERROR(__xludf.DUMMYFUNCTION("""COMPUTED_VALUE"""),30.0)</f>
        <v>30</v>
      </c>
      <c r="C2123" s="4" t="str">
        <f>IFERROR(__xludf.DUMMYFUNCTION("""COMPUTED_VALUE"""),"WSB")</f>
        <v>WSB</v>
      </c>
      <c r="D2123" s="4" t="str">
        <f>IFERROR(__xludf.DUMMYFUNCTION("""COMPUTED_VALUE"""),"Gheorghe Mureșan")</f>
        <v>Gheorghe Mureșan</v>
      </c>
      <c r="E2123" s="4"/>
      <c r="F2123" s="4">
        <f>IFERROR(__xludf.DUMMYFUNCTION("""COMPUTED_VALUE"""),6.0)</f>
        <v>6</v>
      </c>
      <c r="G2123" s="4">
        <f>IFERROR(__xludf.DUMMYFUNCTION("""COMPUTED_VALUE"""),307.0)</f>
        <v>307</v>
      </c>
      <c r="H2123" s="4">
        <f>IFERROR(__xludf.DUMMYFUNCTION("""COMPUTED_VALUE"""),6729.0)</f>
        <v>6729</v>
      </c>
      <c r="I2123" s="4">
        <f>IFERROR(__xludf.DUMMYFUNCTION("""COMPUTED_VALUE"""),3020.0)</f>
        <v>3020</v>
      </c>
      <c r="J2123" s="4">
        <f>IFERROR(__xludf.DUMMYFUNCTION("""COMPUTED_VALUE"""),1957.0)</f>
        <v>1957</v>
      </c>
      <c r="K2123" s="4">
        <f>IFERROR(__xludf.DUMMYFUNCTION("""COMPUTED_VALUE"""),150.0)</f>
        <v>150</v>
      </c>
      <c r="L2123" s="4">
        <f>IFERROR(__xludf.DUMMYFUNCTION("""COMPUTED_VALUE"""),0.573)</f>
        <v>0.573</v>
      </c>
      <c r="M2123" s="4">
        <f>IFERROR(__xludf.DUMMYFUNCTION("""COMPUTED_VALUE"""),0.0)</f>
        <v>0</v>
      </c>
      <c r="N2123" s="4">
        <f>IFERROR(__xludf.DUMMYFUNCTION("""COMPUTED_VALUE"""),0.644)</f>
        <v>0.644</v>
      </c>
      <c r="O2123" s="4">
        <f>IFERROR(__xludf.DUMMYFUNCTION("""COMPUTED_VALUE"""),21.9)</f>
        <v>21.9</v>
      </c>
      <c r="P2123" s="4">
        <f>IFERROR(__xludf.DUMMYFUNCTION("""COMPUTED_VALUE"""),9.8)</f>
        <v>9.8</v>
      </c>
      <c r="Q2123" s="4">
        <f>IFERROR(__xludf.DUMMYFUNCTION("""COMPUTED_VALUE"""),6.4)</f>
        <v>6.4</v>
      </c>
      <c r="R2123" s="4">
        <f>IFERROR(__xludf.DUMMYFUNCTION("""COMPUTED_VALUE"""),0.5)</f>
        <v>0.5</v>
      </c>
      <c r="S2123" s="4">
        <f>IFERROR(__xludf.DUMMYFUNCTION("""COMPUTED_VALUE"""),19.0)</f>
        <v>19</v>
      </c>
      <c r="T2123" s="4">
        <f>IFERROR(__xludf.DUMMYFUNCTION("""COMPUTED_VALUE"""),0.136)</f>
        <v>0.136</v>
      </c>
      <c r="U2123" s="4">
        <f>IFERROR(__xludf.DUMMYFUNCTION("""COMPUTED_VALUE"""),-0.3)</f>
        <v>-0.3</v>
      </c>
      <c r="V2123" s="4">
        <f>IFERROR(__xludf.DUMMYFUNCTION("""COMPUTED_VALUE"""),2.9)</f>
        <v>2.9</v>
      </c>
    </row>
    <row r="2124">
      <c r="A2124" s="4">
        <f>IFERROR(__xludf.DUMMYFUNCTION("""COMPUTED_VALUE"""),31.0)</f>
        <v>31</v>
      </c>
      <c r="B2124" s="4">
        <f>IFERROR(__xludf.DUMMYFUNCTION("""COMPUTED_VALUE"""),31.0)</f>
        <v>31</v>
      </c>
      <c r="C2124" s="4" t="str">
        <f>IFERROR(__xludf.DUMMYFUNCTION("""COMPUTED_VALUE"""),"SAC")</f>
        <v>SAC</v>
      </c>
      <c r="D2124" s="4" t="str">
        <f>IFERROR(__xludf.DUMMYFUNCTION("""COMPUTED_VALUE"""),"Evers Burns")</f>
        <v>Evers Burns</v>
      </c>
      <c r="E2124" s="4" t="str">
        <f>IFERROR(__xludf.DUMMYFUNCTION("""COMPUTED_VALUE"""),"Maryland")</f>
        <v>Maryland</v>
      </c>
      <c r="F2124" s="4">
        <f>IFERROR(__xludf.DUMMYFUNCTION("""COMPUTED_VALUE"""),1.0)</f>
        <v>1</v>
      </c>
      <c r="G2124" s="4">
        <f>IFERROR(__xludf.DUMMYFUNCTION("""COMPUTED_VALUE"""),23.0)</f>
        <v>23</v>
      </c>
      <c r="H2124" s="4">
        <f>IFERROR(__xludf.DUMMYFUNCTION("""COMPUTED_VALUE"""),143.0)</f>
        <v>143</v>
      </c>
      <c r="I2124" s="4">
        <f>IFERROR(__xludf.DUMMYFUNCTION("""COMPUTED_VALUE"""),56.0)</f>
        <v>56</v>
      </c>
      <c r="J2124" s="4">
        <f>IFERROR(__xludf.DUMMYFUNCTION("""COMPUTED_VALUE"""),30.0)</f>
        <v>30</v>
      </c>
      <c r="K2124" s="4">
        <f>IFERROR(__xludf.DUMMYFUNCTION("""COMPUTED_VALUE"""),9.0)</f>
        <v>9</v>
      </c>
      <c r="L2124" s="4">
        <f>IFERROR(__xludf.DUMMYFUNCTION("""COMPUTED_VALUE"""),0.4)</f>
        <v>0.4</v>
      </c>
      <c r="M2124" s="4"/>
      <c r="N2124" s="4">
        <f>IFERROR(__xludf.DUMMYFUNCTION("""COMPUTED_VALUE"""),0.522)</f>
        <v>0.522</v>
      </c>
      <c r="O2124" s="4">
        <f>IFERROR(__xludf.DUMMYFUNCTION("""COMPUTED_VALUE"""),6.2)</f>
        <v>6.2</v>
      </c>
      <c r="P2124" s="4">
        <f>IFERROR(__xludf.DUMMYFUNCTION("""COMPUTED_VALUE"""),2.4)</f>
        <v>2.4</v>
      </c>
      <c r="Q2124" s="4">
        <f>IFERROR(__xludf.DUMMYFUNCTION("""COMPUTED_VALUE"""),1.3)</f>
        <v>1.3</v>
      </c>
      <c r="R2124" s="4">
        <f>IFERROR(__xludf.DUMMYFUNCTION("""COMPUTED_VALUE"""),0.4)</f>
        <v>0.4</v>
      </c>
      <c r="S2124" s="4">
        <f>IFERROR(__xludf.DUMMYFUNCTION("""COMPUTED_VALUE"""),0.1)</f>
        <v>0.1</v>
      </c>
      <c r="T2124" s="4">
        <f>IFERROR(__xludf.DUMMYFUNCTION("""COMPUTED_VALUE"""),0.02)</f>
        <v>0.02</v>
      </c>
      <c r="U2124" s="4">
        <f>IFERROR(__xludf.DUMMYFUNCTION("""COMPUTED_VALUE"""),-5.5)</f>
        <v>-5.5</v>
      </c>
      <c r="V2124" s="4">
        <f>IFERROR(__xludf.DUMMYFUNCTION("""COMPUTED_VALUE"""),-0.1)</f>
        <v>-0.1</v>
      </c>
    </row>
    <row r="2125">
      <c r="A2125" s="4">
        <f>IFERROR(__xludf.DUMMYFUNCTION("""COMPUTED_VALUE"""),32.0)</f>
        <v>32</v>
      </c>
      <c r="B2125" s="4">
        <f>IFERROR(__xludf.DUMMYFUNCTION("""COMPUTED_VALUE"""),32.0)</f>
        <v>32</v>
      </c>
      <c r="C2125" s="4" t="str">
        <f>IFERROR(__xludf.DUMMYFUNCTION("""COMPUTED_VALUE"""),"PHI")</f>
        <v>PHI</v>
      </c>
      <c r="D2125" s="4" t="str">
        <f>IFERROR(__xludf.DUMMYFUNCTION("""COMPUTED_VALUE"""),"Alphonso Ford")</f>
        <v>Alphonso Ford</v>
      </c>
      <c r="E2125" s="4" t="str">
        <f>IFERROR(__xludf.DUMMYFUNCTION("""COMPUTED_VALUE"""),"Mississippi Valley State University")</f>
        <v>Mississippi Valley State University</v>
      </c>
      <c r="F2125" s="4">
        <f>IFERROR(__xludf.DUMMYFUNCTION("""COMPUTED_VALUE"""),2.0)</f>
        <v>2</v>
      </c>
      <c r="G2125" s="4">
        <f>IFERROR(__xludf.DUMMYFUNCTION("""COMPUTED_VALUE"""),11.0)</f>
        <v>11</v>
      </c>
      <c r="H2125" s="4">
        <f>IFERROR(__xludf.DUMMYFUNCTION("""COMPUTED_VALUE"""),114.0)</f>
        <v>114</v>
      </c>
      <c r="I2125" s="4">
        <f>IFERROR(__xludf.DUMMYFUNCTION("""COMPUTED_VALUE"""),35.0)</f>
        <v>35</v>
      </c>
      <c r="J2125" s="4">
        <f>IFERROR(__xludf.DUMMYFUNCTION("""COMPUTED_VALUE"""),20.0)</f>
        <v>20</v>
      </c>
      <c r="K2125" s="4">
        <f>IFERROR(__xludf.DUMMYFUNCTION("""COMPUTED_VALUE"""),10.0)</f>
        <v>10</v>
      </c>
      <c r="L2125" s="4">
        <f>IFERROR(__xludf.DUMMYFUNCTION("""COMPUTED_VALUE"""),0.308)</f>
        <v>0.308</v>
      </c>
      <c r="M2125" s="4">
        <f>IFERROR(__xludf.DUMMYFUNCTION("""COMPUTED_VALUE"""),0.1)</f>
        <v>0.1</v>
      </c>
      <c r="N2125" s="4">
        <f>IFERROR(__xludf.DUMMYFUNCTION("""COMPUTED_VALUE"""),0.5)</f>
        <v>0.5</v>
      </c>
      <c r="O2125" s="4">
        <f>IFERROR(__xludf.DUMMYFUNCTION("""COMPUTED_VALUE"""),10.4)</f>
        <v>10.4</v>
      </c>
      <c r="P2125" s="4">
        <f>IFERROR(__xludf.DUMMYFUNCTION("""COMPUTED_VALUE"""),3.2)</f>
        <v>3.2</v>
      </c>
      <c r="Q2125" s="4">
        <f>IFERROR(__xludf.DUMMYFUNCTION("""COMPUTED_VALUE"""),1.8)</f>
        <v>1.8</v>
      </c>
      <c r="R2125" s="4">
        <f>IFERROR(__xludf.DUMMYFUNCTION("""COMPUTED_VALUE"""),0.9)</f>
        <v>0.9</v>
      </c>
      <c r="S2125" s="4">
        <f>IFERROR(__xludf.DUMMYFUNCTION("""COMPUTED_VALUE"""),-0.4)</f>
        <v>-0.4</v>
      </c>
      <c r="T2125" s="4">
        <f>IFERROR(__xludf.DUMMYFUNCTION("""COMPUTED_VALUE"""),-0.153)</f>
        <v>-0.153</v>
      </c>
      <c r="U2125" s="4">
        <f>IFERROR(__xludf.DUMMYFUNCTION("""COMPUTED_VALUE"""),-8.4)</f>
        <v>-8.4</v>
      </c>
      <c r="V2125" s="4">
        <f>IFERROR(__xludf.DUMMYFUNCTION("""COMPUTED_VALUE"""),-0.2)</f>
        <v>-0.2</v>
      </c>
    </row>
    <row r="2126">
      <c r="A2126" s="4">
        <f>IFERROR(__xludf.DUMMYFUNCTION("""COMPUTED_VALUE"""),33.0)</f>
        <v>33</v>
      </c>
      <c r="B2126" s="4">
        <f>IFERROR(__xludf.DUMMYFUNCTION("""COMPUTED_VALUE"""),33.0)</f>
        <v>33</v>
      </c>
      <c r="C2126" s="4" t="str">
        <f>IFERROR(__xludf.DUMMYFUNCTION("""COMPUTED_VALUE"""),"DAL")</f>
        <v>DAL</v>
      </c>
      <c r="D2126" s="4" t="str">
        <f>IFERROR(__xludf.DUMMYFUNCTION("""COMPUTED_VALUE"""),"Eric Riley")</f>
        <v>Eric Riley</v>
      </c>
      <c r="E2126" s="4" t="str">
        <f>IFERROR(__xludf.DUMMYFUNCTION("""COMPUTED_VALUE"""),"Michigan")</f>
        <v>Michigan</v>
      </c>
      <c r="F2126" s="4">
        <f>IFERROR(__xludf.DUMMYFUNCTION("""COMPUTED_VALUE"""),5.0)</f>
        <v>5</v>
      </c>
      <c r="G2126" s="4">
        <f>IFERROR(__xludf.DUMMYFUNCTION("""COMPUTED_VALUE"""),186.0)</f>
        <v>186</v>
      </c>
      <c r="H2126" s="4">
        <f>IFERROR(__xludf.DUMMYFUNCTION("""COMPUTED_VALUE"""),1844.0)</f>
        <v>1844</v>
      </c>
      <c r="I2126" s="4">
        <f>IFERROR(__xludf.DUMMYFUNCTION("""COMPUTED_VALUE"""),574.0)</f>
        <v>574</v>
      </c>
      <c r="J2126" s="4">
        <f>IFERROR(__xludf.DUMMYFUNCTION("""COMPUTED_VALUE"""),479.0)</f>
        <v>479</v>
      </c>
      <c r="K2126" s="4">
        <f>IFERROR(__xludf.DUMMYFUNCTION("""COMPUTED_VALUE"""),60.0)</f>
        <v>60</v>
      </c>
      <c r="L2126" s="4">
        <f>IFERROR(__xludf.DUMMYFUNCTION("""COMPUTED_VALUE"""),0.456)</f>
        <v>0.456</v>
      </c>
      <c r="M2126" s="4">
        <f>IFERROR(__xludf.DUMMYFUNCTION("""COMPUTED_VALUE"""),0.0)</f>
        <v>0</v>
      </c>
      <c r="N2126" s="4">
        <f>IFERROR(__xludf.DUMMYFUNCTION("""COMPUTED_VALUE"""),0.704)</f>
        <v>0.704</v>
      </c>
      <c r="O2126" s="4">
        <f>IFERROR(__xludf.DUMMYFUNCTION("""COMPUTED_VALUE"""),9.9)</f>
        <v>9.9</v>
      </c>
      <c r="P2126" s="4">
        <f>IFERROR(__xludf.DUMMYFUNCTION("""COMPUTED_VALUE"""),3.1)</f>
        <v>3.1</v>
      </c>
      <c r="Q2126" s="4">
        <f>IFERROR(__xludf.DUMMYFUNCTION("""COMPUTED_VALUE"""),2.6)</f>
        <v>2.6</v>
      </c>
      <c r="R2126" s="4">
        <f>IFERROR(__xludf.DUMMYFUNCTION("""COMPUTED_VALUE"""),0.3)</f>
        <v>0.3</v>
      </c>
      <c r="S2126" s="4">
        <f>IFERROR(__xludf.DUMMYFUNCTION("""COMPUTED_VALUE"""),2.5)</f>
        <v>2.5</v>
      </c>
      <c r="T2126" s="4">
        <f>IFERROR(__xludf.DUMMYFUNCTION("""COMPUTED_VALUE"""),0.066)</f>
        <v>0.066</v>
      </c>
      <c r="U2126" s="4">
        <f>IFERROR(__xludf.DUMMYFUNCTION("""COMPUTED_VALUE"""),-3.8)</f>
        <v>-3.8</v>
      </c>
      <c r="V2126" s="4">
        <f>IFERROR(__xludf.DUMMYFUNCTION("""COMPUTED_VALUE"""),-0.9)</f>
        <v>-0.9</v>
      </c>
    </row>
    <row r="2127">
      <c r="A2127" s="4">
        <f>IFERROR(__xludf.DUMMYFUNCTION("""COMPUTED_VALUE"""),34.0)</f>
        <v>34</v>
      </c>
      <c r="B2127" s="4">
        <f>IFERROR(__xludf.DUMMYFUNCTION("""COMPUTED_VALUE"""),34.0)</f>
        <v>34</v>
      </c>
      <c r="C2127" s="4" t="str">
        <f>IFERROR(__xludf.DUMMYFUNCTION("""COMPUTED_VALUE"""),"GSW")</f>
        <v>GSW</v>
      </c>
      <c r="D2127" s="4" t="str">
        <f>IFERROR(__xludf.DUMMYFUNCTION("""COMPUTED_VALUE"""),"Darnell Mee")</f>
        <v>Darnell Mee</v>
      </c>
      <c r="E2127" s="4" t="str">
        <f>IFERROR(__xludf.DUMMYFUNCTION("""COMPUTED_VALUE"""),"Western Kentucky")</f>
        <v>Western Kentucky</v>
      </c>
      <c r="F2127" s="4">
        <f>IFERROR(__xludf.DUMMYFUNCTION("""COMPUTED_VALUE"""),2.0)</f>
        <v>2</v>
      </c>
      <c r="G2127" s="4">
        <f>IFERROR(__xludf.DUMMYFUNCTION("""COMPUTED_VALUE"""),40.0)</f>
        <v>40</v>
      </c>
      <c r="H2127" s="4">
        <f>IFERROR(__xludf.DUMMYFUNCTION("""COMPUTED_VALUE"""),293.0)</f>
        <v>293</v>
      </c>
      <c r="I2127" s="4">
        <f>IFERROR(__xludf.DUMMYFUNCTION("""COMPUTED_VALUE"""),76.0)</f>
        <v>76</v>
      </c>
      <c r="J2127" s="4">
        <f>IFERROR(__xludf.DUMMYFUNCTION("""COMPUTED_VALUE"""),36.0)</f>
        <v>36</v>
      </c>
      <c r="K2127" s="4">
        <f>IFERROR(__xludf.DUMMYFUNCTION("""COMPUTED_VALUE"""),18.0)</f>
        <v>18</v>
      </c>
      <c r="L2127" s="4">
        <f>IFERROR(__xludf.DUMMYFUNCTION("""COMPUTED_VALUE"""),0.312)</f>
        <v>0.312</v>
      </c>
      <c r="M2127" s="4">
        <f>IFERROR(__xludf.DUMMYFUNCTION("""COMPUTED_VALUE"""),0.222)</f>
        <v>0.222</v>
      </c>
      <c r="N2127" s="4">
        <f>IFERROR(__xludf.DUMMYFUNCTION("""COMPUTED_VALUE"""),0.444)</f>
        <v>0.444</v>
      </c>
      <c r="O2127" s="4">
        <f>IFERROR(__xludf.DUMMYFUNCTION("""COMPUTED_VALUE"""),7.3)</f>
        <v>7.3</v>
      </c>
      <c r="P2127" s="4">
        <f>IFERROR(__xludf.DUMMYFUNCTION("""COMPUTED_VALUE"""),1.9)</f>
        <v>1.9</v>
      </c>
      <c r="Q2127" s="4">
        <f>IFERROR(__xludf.DUMMYFUNCTION("""COMPUTED_VALUE"""),0.9)</f>
        <v>0.9</v>
      </c>
      <c r="R2127" s="4">
        <f>IFERROR(__xludf.DUMMYFUNCTION("""COMPUTED_VALUE"""),0.5)</f>
        <v>0.5</v>
      </c>
      <c r="S2127" s="4">
        <f>IFERROR(__xludf.DUMMYFUNCTION("""COMPUTED_VALUE"""),-0.1)</f>
        <v>-0.1</v>
      </c>
      <c r="T2127" s="4">
        <f>IFERROR(__xludf.DUMMYFUNCTION("""COMPUTED_VALUE"""),-0.02)</f>
        <v>-0.02</v>
      </c>
      <c r="U2127" s="4">
        <f>IFERROR(__xludf.DUMMYFUNCTION("""COMPUTED_VALUE"""),-2.8)</f>
        <v>-2.8</v>
      </c>
      <c r="V2127" s="4">
        <f>IFERROR(__xludf.DUMMYFUNCTION("""COMPUTED_VALUE"""),-0.1)</f>
        <v>-0.1</v>
      </c>
    </row>
    <row r="2128">
      <c r="A2128" s="4">
        <f>IFERROR(__xludf.DUMMYFUNCTION("""COMPUTED_VALUE"""),35.0)</f>
        <v>35</v>
      </c>
      <c r="B2128" s="4">
        <f>IFERROR(__xludf.DUMMYFUNCTION("""COMPUTED_VALUE"""),35.0)</f>
        <v>35</v>
      </c>
      <c r="C2128" s="4" t="str">
        <f>IFERROR(__xludf.DUMMYFUNCTION("""COMPUTED_VALUE"""),"MIA")</f>
        <v>MIA</v>
      </c>
      <c r="D2128" s="4" t="str">
        <f>IFERROR(__xludf.DUMMYFUNCTION("""COMPUTED_VALUE"""),"Ed Stokes")</f>
        <v>Ed Stokes</v>
      </c>
      <c r="E2128" s="4" t="str">
        <f>IFERROR(__xludf.DUMMYFUNCTION("""COMPUTED_VALUE"""),"Arizona")</f>
        <v>Arizona</v>
      </c>
      <c r="F2128" s="4">
        <f>IFERROR(__xludf.DUMMYFUNCTION("""COMPUTED_VALUE"""),1.0)</f>
        <v>1</v>
      </c>
      <c r="G2128" s="4">
        <f>IFERROR(__xludf.DUMMYFUNCTION("""COMPUTED_VALUE"""),4.0)</f>
        <v>4</v>
      </c>
      <c r="H2128" s="4">
        <f>IFERROR(__xludf.DUMMYFUNCTION("""COMPUTED_VALUE"""),17.0)</f>
        <v>17</v>
      </c>
      <c r="I2128" s="4">
        <f>IFERROR(__xludf.DUMMYFUNCTION("""COMPUTED_VALUE"""),3.0)</f>
        <v>3</v>
      </c>
      <c r="J2128" s="4">
        <f>IFERROR(__xludf.DUMMYFUNCTION("""COMPUTED_VALUE"""),4.0)</f>
        <v>4</v>
      </c>
      <c r="K2128" s="4">
        <f>IFERROR(__xludf.DUMMYFUNCTION("""COMPUTED_VALUE"""),1.0)</f>
        <v>1</v>
      </c>
      <c r="L2128" s="4">
        <f>IFERROR(__xludf.DUMMYFUNCTION("""COMPUTED_VALUE"""),0.333)</f>
        <v>0.333</v>
      </c>
      <c r="M2128" s="4"/>
      <c r="N2128" s="4">
        <f>IFERROR(__xludf.DUMMYFUNCTION("""COMPUTED_VALUE"""),0.5)</f>
        <v>0.5</v>
      </c>
      <c r="O2128" s="4">
        <f>IFERROR(__xludf.DUMMYFUNCTION("""COMPUTED_VALUE"""),4.3)</f>
        <v>4.3</v>
      </c>
      <c r="P2128" s="4">
        <f>IFERROR(__xludf.DUMMYFUNCTION("""COMPUTED_VALUE"""),0.8)</f>
        <v>0.8</v>
      </c>
      <c r="Q2128" s="4">
        <f>IFERROR(__xludf.DUMMYFUNCTION("""COMPUTED_VALUE"""),1.0)</f>
        <v>1</v>
      </c>
      <c r="R2128" s="4">
        <f>IFERROR(__xludf.DUMMYFUNCTION("""COMPUTED_VALUE"""),0.3)</f>
        <v>0.3</v>
      </c>
      <c r="S2128" s="4">
        <f>IFERROR(__xludf.DUMMYFUNCTION("""COMPUTED_VALUE"""),0.0)</f>
        <v>0</v>
      </c>
      <c r="T2128" s="4">
        <f>IFERROR(__xludf.DUMMYFUNCTION("""COMPUTED_VALUE"""),-0.078)</f>
        <v>-0.078</v>
      </c>
      <c r="U2128" s="4">
        <f>IFERROR(__xludf.DUMMYFUNCTION("""COMPUTED_VALUE"""),-7.6)</f>
        <v>-7.6</v>
      </c>
      <c r="V2128" s="4">
        <f>IFERROR(__xludf.DUMMYFUNCTION("""COMPUTED_VALUE"""),0.0)</f>
        <v>0</v>
      </c>
    </row>
    <row r="2129">
      <c r="A2129" s="4">
        <f>IFERROR(__xludf.DUMMYFUNCTION("""COMPUTED_VALUE"""),36.0)</f>
        <v>36</v>
      </c>
      <c r="B2129" s="4">
        <f>IFERROR(__xludf.DUMMYFUNCTION("""COMPUTED_VALUE"""),36.0)</f>
        <v>36</v>
      </c>
      <c r="C2129" s="4" t="str">
        <f>IFERROR(__xludf.DUMMYFUNCTION("""COMPUTED_VALUE"""),"NJN")</f>
        <v>NJN</v>
      </c>
      <c r="D2129" s="4" t="str">
        <f>IFERROR(__xludf.DUMMYFUNCTION("""COMPUTED_VALUE"""),"John Best")</f>
        <v>John Best</v>
      </c>
      <c r="E2129" s="4" t="str">
        <f>IFERROR(__xludf.DUMMYFUNCTION("""COMPUTED_VALUE"""),"Tennessee Technological University")</f>
        <v>Tennessee Technological University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</row>
    <row r="2130">
      <c r="A2130" s="4">
        <f>IFERROR(__xludf.DUMMYFUNCTION("""COMPUTED_VALUE"""),37.0)</f>
        <v>37</v>
      </c>
      <c r="B2130" s="4">
        <f>IFERROR(__xludf.DUMMYFUNCTION("""COMPUTED_VALUE"""),37.0)</f>
        <v>37</v>
      </c>
      <c r="C2130" s="4" t="str">
        <f>IFERROR(__xludf.DUMMYFUNCTION("""COMPUTED_VALUE"""),"LAL")</f>
        <v>LAL</v>
      </c>
      <c r="D2130" s="4" t="str">
        <f>IFERROR(__xludf.DUMMYFUNCTION("""COMPUTED_VALUE"""),"Nick Van Exel")</f>
        <v>Nick Van Exel</v>
      </c>
      <c r="E2130" s="4" t="str">
        <f>IFERROR(__xludf.DUMMYFUNCTION("""COMPUTED_VALUE"""),"Cincinnati")</f>
        <v>Cincinnati</v>
      </c>
      <c r="F2130" s="4">
        <f>IFERROR(__xludf.DUMMYFUNCTION("""COMPUTED_VALUE"""),13.0)</f>
        <v>13</v>
      </c>
      <c r="G2130" s="4">
        <f>IFERROR(__xludf.DUMMYFUNCTION("""COMPUTED_VALUE"""),880.0)</f>
        <v>880</v>
      </c>
      <c r="H2130" s="4">
        <f>IFERROR(__xludf.DUMMYFUNCTION("""COMPUTED_VALUE"""),28969.0)</f>
        <v>28969</v>
      </c>
      <c r="I2130" s="4">
        <f>IFERROR(__xludf.DUMMYFUNCTION("""COMPUTED_VALUE"""),12658.0)</f>
        <v>12658</v>
      </c>
      <c r="J2130" s="4">
        <f>IFERROR(__xludf.DUMMYFUNCTION("""COMPUTED_VALUE"""),2545.0)</f>
        <v>2545</v>
      </c>
      <c r="K2130" s="4">
        <f>IFERROR(__xludf.DUMMYFUNCTION("""COMPUTED_VALUE"""),5777.0)</f>
        <v>5777</v>
      </c>
      <c r="L2130" s="4">
        <f>IFERROR(__xludf.DUMMYFUNCTION("""COMPUTED_VALUE"""),0.405)</f>
        <v>0.405</v>
      </c>
      <c r="M2130" s="4">
        <f>IFERROR(__xludf.DUMMYFUNCTION("""COMPUTED_VALUE"""),0.357)</f>
        <v>0.357</v>
      </c>
      <c r="N2130" s="4">
        <f>IFERROR(__xludf.DUMMYFUNCTION("""COMPUTED_VALUE"""),0.794)</f>
        <v>0.794</v>
      </c>
      <c r="O2130" s="4">
        <f>IFERROR(__xludf.DUMMYFUNCTION("""COMPUTED_VALUE"""),32.9)</f>
        <v>32.9</v>
      </c>
      <c r="P2130" s="4">
        <f>IFERROR(__xludf.DUMMYFUNCTION("""COMPUTED_VALUE"""),14.4)</f>
        <v>14.4</v>
      </c>
      <c r="Q2130" s="4">
        <f>IFERROR(__xludf.DUMMYFUNCTION("""COMPUTED_VALUE"""),2.9)</f>
        <v>2.9</v>
      </c>
      <c r="R2130" s="4">
        <f>IFERROR(__xludf.DUMMYFUNCTION("""COMPUTED_VALUE"""),6.6)</f>
        <v>6.6</v>
      </c>
      <c r="S2130" s="4">
        <f>IFERROR(__xludf.DUMMYFUNCTION("""COMPUTED_VALUE"""),55.9)</f>
        <v>55.9</v>
      </c>
      <c r="T2130" s="4">
        <f>IFERROR(__xludf.DUMMYFUNCTION("""COMPUTED_VALUE"""),0.093)</f>
        <v>0.093</v>
      </c>
      <c r="U2130" s="4">
        <f>IFERROR(__xludf.DUMMYFUNCTION("""COMPUTED_VALUE"""),0.4)</f>
        <v>0.4</v>
      </c>
      <c r="V2130" s="4">
        <f>IFERROR(__xludf.DUMMYFUNCTION("""COMPUTED_VALUE"""),17.7)</f>
        <v>17.7</v>
      </c>
    </row>
    <row r="2131">
      <c r="A2131" s="4">
        <f>IFERROR(__xludf.DUMMYFUNCTION("""COMPUTED_VALUE"""),38.0)</f>
        <v>38</v>
      </c>
      <c r="B2131" s="4">
        <f>IFERROR(__xludf.DUMMYFUNCTION("""COMPUTED_VALUE"""),38.0)</f>
        <v>38</v>
      </c>
      <c r="C2131" s="4" t="str">
        <f>IFERROR(__xludf.DUMMYFUNCTION("""COMPUTED_VALUE"""),"WSB")</f>
        <v>WSB</v>
      </c>
      <c r="D2131" s="4" t="str">
        <f>IFERROR(__xludf.DUMMYFUNCTION("""COMPUTED_VALUE"""),"Conrad McRae")</f>
        <v>Conrad McRae</v>
      </c>
      <c r="E2131" s="4" t="str">
        <f>IFERROR(__xludf.DUMMYFUNCTION("""COMPUTED_VALUE"""),"Syracuse")</f>
        <v>Syracuse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</row>
    <row r="2132">
      <c r="A2132" s="4">
        <f>IFERROR(__xludf.DUMMYFUNCTION("""COMPUTED_VALUE"""),39.0)</f>
        <v>39</v>
      </c>
      <c r="B2132" s="4">
        <f>IFERROR(__xludf.DUMMYFUNCTION("""COMPUTED_VALUE"""),39.0)</f>
        <v>39</v>
      </c>
      <c r="C2132" s="4" t="str">
        <f>IFERROR(__xludf.DUMMYFUNCTION("""COMPUTED_VALUE"""),"IND")</f>
        <v>IND</v>
      </c>
      <c r="D2132" s="4" t="str">
        <f>IFERROR(__xludf.DUMMYFUNCTION("""COMPUTED_VALUE"""),"Thomas Hill")</f>
        <v>Thomas Hill</v>
      </c>
      <c r="E2132" s="4" t="str">
        <f>IFERROR(__xludf.DUMMYFUNCTION("""COMPUTED_VALUE"""),"Duke")</f>
        <v>Duke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</row>
    <row r="2133">
      <c r="A2133" s="4">
        <f>IFERROR(__xludf.DUMMYFUNCTION("""COMPUTED_VALUE"""),40.0)</f>
        <v>40</v>
      </c>
      <c r="B2133" s="4">
        <f>IFERROR(__xludf.DUMMYFUNCTION("""COMPUTED_VALUE"""),40.0)</f>
        <v>40</v>
      </c>
      <c r="C2133" s="4" t="str">
        <f>IFERROR(__xludf.DUMMYFUNCTION("""COMPUTED_VALUE"""),"ATL")</f>
        <v>ATL</v>
      </c>
      <c r="D2133" s="4" t="str">
        <f>IFERROR(__xludf.DUMMYFUNCTION("""COMPUTED_VALUE"""),"Rich Manning")</f>
        <v>Rich Manning</v>
      </c>
      <c r="E2133" s="4" t="str">
        <f>IFERROR(__xludf.DUMMYFUNCTION("""COMPUTED_VALUE"""),"Washington")</f>
        <v>Washington</v>
      </c>
      <c r="F2133" s="4">
        <f>IFERROR(__xludf.DUMMYFUNCTION("""COMPUTED_VALUE"""),2.0)</f>
        <v>2</v>
      </c>
      <c r="G2133" s="4">
        <f>IFERROR(__xludf.DUMMYFUNCTION("""COMPUTED_VALUE"""),55.0)</f>
        <v>55</v>
      </c>
      <c r="H2133" s="4">
        <f>IFERROR(__xludf.DUMMYFUNCTION("""COMPUTED_VALUE"""),512.0)</f>
        <v>512</v>
      </c>
      <c r="I2133" s="4">
        <f>IFERROR(__xludf.DUMMYFUNCTION("""COMPUTED_VALUE"""),182.0)</f>
        <v>182</v>
      </c>
      <c r="J2133" s="4">
        <f>IFERROR(__xludf.DUMMYFUNCTION("""COMPUTED_VALUE"""),94.0)</f>
        <v>94</v>
      </c>
      <c r="K2133" s="4">
        <f>IFERROR(__xludf.DUMMYFUNCTION("""COMPUTED_VALUE"""),10.0)</f>
        <v>10</v>
      </c>
      <c r="L2133" s="4">
        <f>IFERROR(__xludf.DUMMYFUNCTION("""COMPUTED_VALUE"""),0.415)</f>
        <v>0.415</v>
      </c>
      <c r="M2133" s="4">
        <f>IFERROR(__xludf.DUMMYFUNCTION("""COMPUTED_VALUE"""),0.4)</f>
        <v>0.4</v>
      </c>
      <c r="N2133" s="4">
        <f>IFERROR(__xludf.DUMMYFUNCTION("""COMPUTED_VALUE"""),0.643)</f>
        <v>0.643</v>
      </c>
      <c r="O2133" s="4">
        <f>IFERROR(__xludf.DUMMYFUNCTION("""COMPUTED_VALUE"""),9.3)</f>
        <v>9.3</v>
      </c>
      <c r="P2133" s="4">
        <f>IFERROR(__xludf.DUMMYFUNCTION("""COMPUTED_VALUE"""),3.3)</f>
        <v>3.3</v>
      </c>
      <c r="Q2133" s="4">
        <f>IFERROR(__xludf.DUMMYFUNCTION("""COMPUTED_VALUE"""),1.7)</f>
        <v>1.7</v>
      </c>
      <c r="R2133" s="4">
        <f>IFERROR(__xludf.DUMMYFUNCTION("""COMPUTED_VALUE"""),0.2)</f>
        <v>0.2</v>
      </c>
      <c r="S2133" s="4">
        <f>IFERROR(__xludf.DUMMYFUNCTION("""COMPUTED_VALUE"""),-0.3)</f>
        <v>-0.3</v>
      </c>
      <c r="T2133" s="4">
        <f>IFERROR(__xludf.DUMMYFUNCTION("""COMPUTED_VALUE"""),-0.028)</f>
        <v>-0.028</v>
      </c>
      <c r="U2133" s="4">
        <f>IFERROR(__xludf.DUMMYFUNCTION("""COMPUTED_VALUE"""),-8.3)</f>
        <v>-8.3</v>
      </c>
      <c r="V2133" s="4">
        <f>IFERROR(__xludf.DUMMYFUNCTION("""COMPUTED_VALUE"""),-0.8)</f>
        <v>-0.8</v>
      </c>
    </row>
    <row r="2134">
      <c r="A2134" s="4">
        <f>IFERROR(__xludf.DUMMYFUNCTION("""COMPUTED_VALUE"""),41.0)</f>
        <v>41</v>
      </c>
      <c r="B2134" s="4">
        <f>IFERROR(__xludf.DUMMYFUNCTION("""COMPUTED_VALUE"""),41.0)</f>
        <v>41</v>
      </c>
      <c r="C2134" s="4" t="str">
        <f>IFERROR(__xludf.DUMMYFUNCTION("""COMPUTED_VALUE"""),"CHI")</f>
        <v>CHI</v>
      </c>
      <c r="D2134" s="4" t="str">
        <f>IFERROR(__xludf.DUMMYFUNCTION("""COMPUTED_VALUE"""),"Anthony Reed")</f>
        <v>Anthony Reed</v>
      </c>
      <c r="E2134" s="4" t="str">
        <f>IFERROR(__xludf.DUMMYFUNCTION("""COMPUTED_VALUE"""),"Tulane")</f>
        <v>Tulane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</row>
    <row r="2135">
      <c r="A2135" s="4">
        <f>IFERROR(__xludf.DUMMYFUNCTION("""COMPUTED_VALUE"""),42.0)</f>
        <v>42</v>
      </c>
      <c r="B2135" s="4">
        <f>IFERROR(__xludf.DUMMYFUNCTION("""COMPUTED_VALUE"""),42.0)</f>
        <v>42</v>
      </c>
      <c r="C2135" s="4" t="str">
        <f>IFERROR(__xludf.DUMMYFUNCTION("""COMPUTED_VALUE"""),"SEA")</f>
        <v>SEA</v>
      </c>
      <c r="D2135" s="4" t="str">
        <f>IFERROR(__xludf.DUMMYFUNCTION("""COMPUTED_VALUE"""),"Adonis Jordan")</f>
        <v>Adonis Jordan</v>
      </c>
      <c r="E2135" s="4" t="str">
        <f>IFERROR(__xludf.DUMMYFUNCTION("""COMPUTED_VALUE"""),"Kansas")</f>
        <v>Kansas</v>
      </c>
      <c r="F2135" s="4">
        <f>IFERROR(__xludf.DUMMYFUNCTION("""COMPUTED_VALUE"""),2.0)</f>
        <v>2</v>
      </c>
      <c r="G2135" s="4">
        <f>IFERROR(__xludf.DUMMYFUNCTION("""COMPUTED_VALUE"""),10.0)</f>
        <v>10</v>
      </c>
      <c r="H2135" s="4">
        <f>IFERROR(__xludf.DUMMYFUNCTION("""COMPUTED_VALUE"""),97.0)</f>
        <v>97</v>
      </c>
      <c r="I2135" s="4">
        <f>IFERROR(__xludf.DUMMYFUNCTION("""COMPUTED_VALUE"""),21.0)</f>
        <v>21</v>
      </c>
      <c r="J2135" s="4">
        <f>IFERROR(__xludf.DUMMYFUNCTION("""COMPUTED_VALUE"""),6.0)</f>
        <v>6</v>
      </c>
      <c r="K2135" s="4">
        <f>IFERROR(__xludf.DUMMYFUNCTION("""COMPUTED_VALUE"""),22.0)</f>
        <v>22</v>
      </c>
      <c r="L2135" s="4">
        <f>IFERROR(__xludf.DUMMYFUNCTION("""COMPUTED_VALUE"""),0.296)</f>
        <v>0.296</v>
      </c>
      <c r="M2135" s="4">
        <f>IFERROR(__xludf.DUMMYFUNCTION("""COMPUTED_VALUE"""),0.25)</f>
        <v>0.25</v>
      </c>
      <c r="N2135" s="4">
        <f>IFERROR(__xludf.DUMMYFUNCTION("""COMPUTED_VALUE"""),0.5)</f>
        <v>0.5</v>
      </c>
      <c r="O2135" s="4">
        <f>IFERROR(__xludf.DUMMYFUNCTION("""COMPUTED_VALUE"""),9.7)</f>
        <v>9.7</v>
      </c>
      <c r="P2135" s="4">
        <f>IFERROR(__xludf.DUMMYFUNCTION("""COMPUTED_VALUE"""),2.1)</f>
        <v>2.1</v>
      </c>
      <c r="Q2135" s="4">
        <f>IFERROR(__xludf.DUMMYFUNCTION("""COMPUTED_VALUE"""),0.6)</f>
        <v>0.6</v>
      </c>
      <c r="R2135" s="4">
        <f>IFERROR(__xludf.DUMMYFUNCTION("""COMPUTED_VALUE"""),2.2)</f>
        <v>2.2</v>
      </c>
      <c r="S2135" s="4">
        <f>IFERROR(__xludf.DUMMYFUNCTION("""COMPUTED_VALUE"""),0.0)</f>
        <v>0</v>
      </c>
      <c r="T2135" s="4">
        <f>IFERROR(__xludf.DUMMYFUNCTION("""COMPUTED_VALUE"""),-0.015)</f>
        <v>-0.015</v>
      </c>
      <c r="U2135" s="4">
        <f>IFERROR(__xludf.DUMMYFUNCTION("""COMPUTED_VALUE"""),-2.9)</f>
        <v>-2.9</v>
      </c>
      <c r="V2135" s="4">
        <f>IFERROR(__xludf.DUMMYFUNCTION("""COMPUTED_VALUE"""),0.0)</f>
        <v>0</v>
      </c>
    </row>
    <row r="2136">
      <c r="A2136" s="4">
        <f>IFERROR(__xludf.DUMMYFUNCTION("""COMPUTED_VALUE"""),43.0)</f>
        <v>43</v>
      </c>
      <c r="B2136" s="4">
        <f>IFERROR(__xludf.DUMMYFUNCTION("""COMPUTED_VALUE"""),43.0)</f>
        <v>43</v>
      </c>
      <c r="C2136" s="4" t="str">
        <f>IFERROR(__xludf.DUMMYFUNCTION("""COMPUTED_VALUE"""),"DEN")</f>
        <v>DEN</v>
      </c>
      <c r="D2136" s="4" t="str">
        <f>IFERROR(__xludf.DUMMYFUNCTION("""COMPUTED_VALUE"""),"Josh Grant")</f>
        <v>Josh Grant</v>
      </c>
      <c r="E2136" s="4" t="str">
        <f>IFERROR(__xludf.DUMMYFUNCTION("""COMPUTED_VALUE"""),"Utah")</f>
        <v>Utah</v>
      </c>
      <c r="F2136" s="4">
        <f>IFERROR(__xludf.DUMMYFUNCTION("""COMPUTED_VALUE"""),1.0)</f>
        <v>1</v>
      </c>
      <c r="G2136" s="4">
        <f>IFERROR(__xludf.DUMMYFUNCTION("""COMPUTED_VALUE"""),53.0)</f>
        <v>53</v>
      </c>
      <c r="H2136" s="4">
        <f>IFERROR(__xludf.DUMMYFUNCTION("""COMPUTED_VALUE"""),382.0)</f>
        <v>382</v>
      </c>
      <c r="I2136" s="4">
        <f>IFERROR(__xludf.DUMMYFUNCTION("""COMPUTED_VALUE"""),157.0)</f>
        <v>157</v>
      </c>
      <c r="J2136" s="4">
        <f>IFERROR(__xludf.DUMMYFUNCTION("""COMPUTED_VALUE"""),89.0)</f>
        <v>89</v>
      </c>
      <c r="K2136" s="4">
        <f>IFERROR(__xludf.DUMMYFUNCTION("""COMPUTED_VALUE"""),24.0)</f>
        <v>24</v>
      </c>
      <c r="L2136" s="4">
        <f>IFERROR(__xludf.DUMMYFUNCTION("""COMPUTED_VALUE"""),0.404)</f>
        <v>0.404</v>
      </c>
      <c r="M2136" s="4">
        <f>IFERROR(__xludf.DUMMYFUNCTION("""COMPUTED_VALUE"""),0.279)</f>
        <v>0.279</v>
      </c>
      <c r="N2136" s="4">
        <f>IFERROR(__xludf.DUMMYFUNCTION("""COMPUTED_VALUE"""),0.759)</f>
        <v>0.759</v>
      </c>
      <c r="O2136" s="4">
        <f>IFERROR(__xludf.DUMMYFUNCTION("""COMPUTED_VALUE"""),7.2)</f>
        <v>7.2</v>
      </c>
      <c r="P2136" s="4">
        <f>IFERROR(__xludf.DUMMYFUNCTION("""COMPUTED_VALUE"""),3.0)</f>
        <v>3</v>
      </c>
      <c r="Q2136" s="4">
        <f>IFERROR(__xludf.DUMMYFUNCTION("""COMPUTED_VALUE"""),1.7)</f>
        <v>1.7</v>
      </c>
      <c r="R2136" s="4">
        <f>IFERROR(__xludf.DUMMYFUNCTION("""COMPUTED_VALUE"""),0.5)</f>
        <v>0.5</v>
      </c>
      <c r="S2136" s="4">
        <f>IFERROR(__xludf.DUMMYFUNCTION("""COMPUTED_VALUE"""),0.5)</f>
        <v>0.5</v>
      </c>
      <c r="T2136" s="4">
        <f>IFERROR(__xludf.DUMMYFUNCTION("""COMPUTED_VALUE"""),0.06)</f>
        <v>0.06</v>
      </c>
      <c r="U2136" s="4">
        <f>IFERROR(__xludf.DUMMYFUNCTION("""COMPUTED_VALUE"""),-2.3)</f>
        <v>-2.3</v>
      </c>
      <c r="V2136" s="4">
        <f>IFERROR(__xludf.DUMMYFUNCTION("""COMPUTED_VALUE"""),0.0)</f>
        <v>0</v>
      </c>
    </row>
    <row r="2137">
      <c r="A2137" s="4">
        <f>IFERROR(__xludf.DUMMYFUNCTION("""COMPUTED_VALUE"""),44.0)</f>
        <v>44</v>
      </c>
      <c r="B2137" s="4">
        <f>IFERROR(__xludf.DUMMYFUNCTION("""COMPUTED_VALUE"""),44.0)</f>
        <v>44</v>
      </c>
      <c r="C2137" s="4" t="str">
        <f>IFERROR(__xludf.DUMMYFUNCTION("""COMPUTED_VALUE"""),"SAC")</f>
        <v>SAC</v>
      </c>
      <c r="D2137" s="4" t="str">
        <f>IFERROR(__xludf.DUMMYFUNCTION("""COMPUTED_VALUE"""),"Alex Holcombe")</f>
        <v>Alex Holcombe</v>
      </c>
      <c r="E2137" s="4" t="str">
        <f>IFERROR(__xludf.DUMMYFUNCTION("""COMPUTED_VALUE"""),"Baylor")</f>
        <v>Baylor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</row>
    <row r="2138">
      <c r="A2138" s="4">
        <f>IFERROR(__xludf.DUMMYFUNCTION("""COMPUTED_VALUE"""),45.0)</f>
        <v>45</v>
      </c>
      <c r="B2138" s="4">
        <f>IFERROR(__xludf.DUMMYFUNCTION("""COMPUTED_VALUE"""),45.0)</f>
        <v>45</v>
      </c>
      <c r="C2138" s="4" t="str">
        <f>IFERROR(__xludf.DUMMYFUNCTION("""COMPUTED_VALUE"""),"UTA")</f>
        <v>UTA</v>
      </c>
      <c r="D2138" s="4" t="str">
        <f>IFERROR(__xludf.DUMMYFUNCTION("""COMPUTED_VALUE"""),"Bryon Russell")</f>
        <v>Bryon Russell</v>
      </c>
      <c r="E2138" s="4" t="str">
        <f>IFERROR(__xludf.DUMMYFUNCTION("""COMPUTED_VALUE"""),"Cal State Long Beach")</f>
        <v>Cal State Long Beach</v>
      </c>
      <c r="F2138" s="4">
        <f>IFERROR(__xludf.DUMMYFUNCTION("""COMPUTED_VALUE"""),13.0)</f>
        <v>13</v>
      </c>
      <c r="G2138" s="4">
        <f>IFERROR(__xludf.DUMMYFUNCTION("""COMPUTED_VALUE"""),841.0)</f>
        <v>841</v>
      </c>
      <c r="H2138" s="4">
        <f>IFERROR(__xludf.DUMMYFUNCTION("""COMPUTED_VALUE"""),19805.0)</f>
        <v>19805</v>
      </c>
      <c r="I2138" s="4">
        <f>IFERROR(__xludf.DUMMYFUNCTION("""COMPUTED_VALUE"""),6663.0)</f>
        <v>6663</v>
      </c>
      <c r="J2138" s="4">
        <f>IFERROR(__xludf.DUMMYFUNCTION("""COMPUTED_VALUE"""),2914.0)</f>
        <v>2914</v>
      </c>
      <c r="K2138" s="4">
        <f>IFERROR(__xludf.DUMMYFUNCTION("""COMPUTED_VALUE"""),1085.0)</f>
        <v>1085</v>
      </c>
      <c r="L2138" s="4">
        <f>IFERROR(__xludf.DUMMYFUNCTION("""COMPUTED_VALUE"""),0.431)</f>
        <v>0.431</v>
      </c>
      <c r="M2138" s="4">
        <f>IFERROR(__xludf.DUMMYFUNCTION("""COMPUTED_VALUE"""),0.369)</f>
        <v>0.369</v>
      </c>
      <c r="N2138" s="4">
        <f>IFERROR(__xludf.DUMMYFUNCTION("""COMPUTED_VALUE"""),0.75)</f>
        <v>0.75</v>
      </c>
      <c r="O2138" s="4">
        <f>IFERROR(__xludf.DUMMYFUNCTION("""COMPUTED_VALUE"""),23.5)</f>
        <v>23.5</v>
      </c>
      <c r="P2138" s="4">
        <f>IFERROR(__xludf.DUMMYFUNCTION("""COMPUTED_VALUE"""),7.9)</f>
        <v>7.9</v>
      </c>
      <c r="Q2138" s="4">
        <f>IFERROR(__xludf.DUMMYFUNCTION("""COMPUTED_VALUE"""),3.5)</f>
        <v>3.5</v>
      </c>
      <c r="R2138" s="4">
        <f>IFERROR(__xludf.DUMMYFUNCTION("""COMPUTED_VALUE"""),1.3)</f>
        <v>1.3</v>
      </c>
      <c r="S2138" s="4">
        <f>IFERROR(__xludf.DUMMYFUNCTION("""COMPUTED_VALUE"""),47.4)</f>
        <v>47.4</v>
      </c>
      <c r="T2138" s="4">
        <f>IFERROR(__xludf.DUMMYFUNCTION("""COMPUTED_VALUE"""),0.115)</f>
        <v>0.115</v>
      </c>
      <c r="U2138" s="4">
        <f>IFERROR(__xludf.DUMMYFUNCTION("""COMPUTED_VALUE"""),0.4)</f>
        <v>0.4</v>
      </c>
      <c r="V2138" s="4">
        <f>IFERROR(__xludf.DUMMYFUNCTION("""COMPUTED_VALUE"""),11.8)</f>
        <v>11.8</v>
      </c>
    </row>
    <row r="2139">
      <c r="A2139" s="4">
        <f>IFERROR(__xludf.DUMMYFUNCTION("""COMPUTED_VALUE"""),46.0)</f>
        <v>46</v>
      </c>
      <c r="B2139" s="4">
        <f>IFERROR(__xludf.DUMMYFUNCTION("""COMPUTED_VALUE"""),46.0)</f>
        <v>46</v>
      </c>
      <c r="C2139" s="4" t="str">
        <f>IFERROR(__xludf.DUMMYFUNCTION("""COMPUTED_VALUE"""),"HOU")</f>
        <v>HOU</v>
      </c>
      <c r="D2139" s="4" t="str">
        <f>IFERROR(__xludf.DUMMYFUNCTION("""COMPUTED_VALUE"""),"Richard Petruška")</f>
        <v>Richard Petruška</v>
      </c>
      <c r="E2139" s="4" t="str">
        <f>IFERROR(__xludf.DUMMYFUNCTION("""COMPUTED_VALUE"""),"UCLA")</f>
        <v>UCLA</v>
      </c>
      <c r="F2139" s="4">
        <f>IFERROR(__xludf.DUMMYFUNCTION("""COMPUTED_VALUE"""),1.0)</f>
        <v>1</v>
      </c>
      <c r="G2139" s="4">
        <f>IFERROR(__xludf.DUMMYFUNCTION("""COMPUTED_VALUE"""),22.0)</f>
        <v>22</v>
      </c>
      <c r="H2139" s="4">
        <f>IFERROR(__xludf.DUMMYFUNCTION("""COMPUTED_VALUE"""),92.0)</f>
        <v>92</v>
      </c>
      <c r="I2139" s="4">
        <f>IFERROR(__xludf.DUMMYFUNCTION("""COMPUTED_VALUE"""),53.0)</f>
        <v>53</v>
      </c>
      <c r="J2139" s="4">
        <f>IFERROR(__xludf.DUMMYFUNCTION("""COMPUTED_VALUE"""),31.0)</f>
        <v>31</v>
      </c>
      <c r="K2139" s="4">
        <f>IFERROR(__xludf.DUMMYFUNCTION("""COMPUTED_VALUE"""),1.0)</f>
        <v>1</v>
      </c>
      <c r="L2139" s="4">
        <f>IFERROR(__xludf.DUMMYFUNCTION("""COMPUTED_VALUE"""),0.435)</f>
        <v>0.435</v>
      </c>
      <c r="M2139" s="4">
        <f>IFERROR(__xludf.DUMMYFUNCTION("""COMPUTED_VALUE"""),0.467)</f>
        <v>0.467</v>
      </c>
      <c r="N2139" s="4">
        <f>IFERROR(__xludf.DUMMYFUNCTION("""COMPUTED_VALUE"""),0.75)</f>
        <v>0.75</v>
      </c>
      <c r="O2139" s="4">
        <f>IFERROR(__xludf.DUMMYFUNCTION("""COMPUTED_VALUE"""),4.2)</f>
        <v>4.2</v>
      </c>
      <c r="P2139" s="4">
        <f>IFERROR(__xludf.DUMMYFUNCTION("""COMPUTED_VALUE"""),2.4)</f>
        <v>2.4</v>
      </c>
      <c r="Q2139" s="4">
        <f>IFERROR(__xludf.DUMMYFUNCTION("""COMPUTED_VALUE"""),1.4)</f>
        <v>1.4</v>
      </c>
      <c r="R2139" s="4">
        <f>IFERROR(__xludf.DUMMYFUNCTION("""COMPUTED_VALUE"""),0.0)</f>
        <v>0</v>
      </c>
      <c r="S2139" s="4">
        <f>IFERROR(__xludf.DUMMYFUNCTION("""COMPUTED_VALUE"""),0.0)</f>
        <v>0</v>
      </c>
      <c r="T2139" s="4">
        <f>IFERROR(__xludf.DUMMYFUNCTION("""COMPUTED_VALUE"""),-0.014)</f>
        <v>-0.014</v>
      </c>
      <c r="U2139" s="4">
        <f>IFERROR(__xludf.DUMMYFUNCTION("""COMPUTED_VALUE"""),-8.2)</f>
        <v>-8.2</v>
      </c>
      <c r="V2139" s="4">
        <f>IFERROR(__xludf.DUMMYFUNCTION("""COMPUTED_VALUE"""),-0.1)</f>
        <v>-0.1</v>
      </c>
    </row>
    <row r="2140">
      <c r="A2140" s="4">
        <f>IFERROR(__xludf.DUMMYFUNCTION("""COMPUTED_VALUE"""),47.0)</f>
        <v>47</v>
      </c>
      <c r="B2140" s="4">
        <f>IFERROR(__xludf.DUMMYFUNCTION("""COMPUTED_VALUE"""),47.0)</f>
        <v>47</v>
      </c>
      <c r="C2140" s="4" t="str">
        <f>IFERROR(__xludf.DUMMYFUNCTION("""COMPUTED_VALUE"""),"SAS")</f>
        <v>SAS</v>
      </c>
      <c r="D2140" s="4" t="str">
        <f>IFERROR(__xludf.DUMMYFUNCTION("""COMPUTED_VALUE"""),"Chris Whitney")</f>
        <v>Chris Whitney</v>
      </c>
      <c r="E2140" s="4" t="str">
        <f>IFERROR(__xludf.DUMMYFUNCTION("""COMPUTED_VALUE"""),"Clemson")</f>
        <v>Clemson</v>
      </c>
      <c r="F2140" s="4">
        <f>IFERROR(__xludf.DUMMYFUNCTION("""COMPUTED_VALUE"""),11.0)</f>
        <v>11</v>
      </c>
      <c r="G2140" s="4">
        <f>IFERROR(__xludf.DUMMYFUNCTION("""COMPUTED_VALUE"""),579.0)</f>
        <v>579</v>
      </c>
      <c r="H2140" s="4">
        <f>IFERROR(__xludf.DUMMYFUNCTION("""COMPUTED_VALUE"""),10052.0)</f>
        <v>10052</v>
      </c>
      <c r="I2140" s="4">
        <f>IFERROR(__xludf.DUMMYFUNCTION("""COMPUTED_VALUE"""),3738.0)</f>
        <v>3738</v>
      </c>
      <c r="J2140" s="4">
        <f>IFERROR(__xludf.DUMMYFUNCTION("""COMPUTED_VALUE"""),815.0)</f>
        <v>815</v>
      </c>
      <c r="K2140" s="4">
        <f>IFERROR(__xludf.DUMMYFUNCTION("""COMPUTED_VALUE"""),1613.0)</f>
        <v>1613</v>
      </c>
      <c r="L2140" s="4">
        <f>IFERROR(__xludf.DUMMYFUNCTION("""COMPUTED_VALUE"""),0.395)</f>
        <v>0.395</v>
      </c>
      <c r="M2140" s="4">
        <f>IFERROR(__xludf.DUMMYFUNCTION("""COMPUTED_VALUE"""),0.361)</f>
        <v>0.361</v>
      </c>
      <c r="N2140" s="4">
        <f>IFERROR(__xludf.DUMMYFUNCTION("""COMPUTED_VALUE"""),0.875)</f>
        <v>0.875</v>
      </c>
      <c r="O2140" s="4">
        <f>IFERROR(__xludf.DUMMYFUNCTION("""COMPUTED_VALUE"""),17.4)</f>
        <v>17.4</v>
      </c>
      <c r="P2140" s="4">
        <f>IFERROR(__xludf.DUMMYFUNCTION("""COMPUTED_VALUE"""),6.5)</f>
        <v>6.5</v>
      </c>
      <c r="Q2140" s="4">
        <f>IFERROR(__xludf.DUMMYFUNCTION("""COMPUTED_VALUE"""),1.4)</f>
        <v>1.4</v>
      </c>
      <c r="R2140" s="4">
        <f>IFERROR(__xludf.DUMMYFUNCTION("""COMPUTED_VALUE"""),2.8)</f>
        <v>2.8</v>
      </c>
      <c r="S2140" s="4">
        <f>IFERROR(__xludf.DUMMYFUNCTION("""COMPUTED_VALUE"""),21.2)</f>
        <v>21.2</v>
      </c>
      <c r="T2140" s="4">
        <f>IFERROR(__xludf.DUMMYFUNCTION("""COMPUTED_VALUE"""),0.101)</f>
        <v>0.101</v>
      </c>
      <c r="U2140" s="4">
        <f>IFERROR(__xludf.DUMMYFUNCTION("""COMPUTED_VALUE"""),-0.2)</f>
        <v>-0.2</v>
      </c>
      <c r="V2140" s="4">
        <f>IFERROR(__xludf.DUMMYFUNCTION("""COMPUTED_VALUE"""),4.6)</f>
        <v>4.6</v>
      </c>
    </row>
    <row r="2141">
      <c r="A2141" s="4">
        <f>IFERROR(__xludf.DUMMYFUNCTION("""COMPUTED_VALUE"""),48.0)</f>
        <v>48</v>
      </c>
      <c r="B2141" s="4">
        <f>IFERROR(__xludf.DUMMYFUNCTION("""COMPUTED_VALUE"""),48.0)</f>
        <v>48</v>
      </c>
      <c r="C2141" s="4" t="str">
        <f>IFERROR(__xludf.DUMMYFUNCTION("""COMPUTED_VALUE"""),"POR")</f>
        <v>POR</v>
      </c>
      <c r="D2141" s="4" t="str">
        <f>IFERROR(__xludf.DUMMYFUNCTION("""COMPUTED_VALUE"""),"Kevin Thompson")</f>
        <v>Kevin Thompson</v>
      </c>
      <c r="E2141" s="4" t="str">
        <f>IFERROR(__xludf.DUMMYFUNCTION("""COMPUTED_VALUE"""),"NC State")</f>
        <v>NC State</v>
      </c>
      <c r="F2141" s="4">
        <f>IFERROR(__xludf.DUMMYFUNCTION("""COMPUTED_VALUE"""),1.0)</f>
        <v>1</v>
      </c>
      <c r="G2141" s="4">
        <f>IFERROR(__xludf.DUMMYFUNCTION("""COMPUTED_VALUE"""),14.0)</f>
        <v>14</v>
      </c>
      <c r="H2141" s="4">
        <f>IFERROR(__xludf.DUMMYFUNCTION("""COMPUTED_VALUE"""),58.0)</f>
        <v>58</v>
      </c>
      <c r="I2141" s="4">
        <f>IFERROR(__xludf.DUMMYFUNCTION("""COMPUTED_VALUE"""),13.0)</f>
        <v>13</v>
      </c>
      <c r="J2141" s="4">
        <f>IFERROR(__xludf.DUMMYFUNCTION("""COMPUTED_VALUE"""),13.0)</f>
        <v>13</v>
      </c>
      <c r="K2141" s="4">
        <f>IFERROR(__xludf.DUMMYFUNCTION("""COMPUTED_VALUE"""),3.0)</f>
        <v>3</v>
      </c>
      <c r="L2141" s="4">
        <f>IFERROR(__xludf.DUMMYFUNCTION("""COMPUTED_VALUE"""),0.429)</f>
        <v>0.429</v>
      </c>
      <c r="M2141" s="4">
        <f>IFERROR(__xludf.DUMMYFUNCTION("""COMPUTED_VALUE"""),0.0)</f>
        <v>0</v>
      </c>
      <c r="N2141" s="4">
        <f>IFERROR(__xludf.DUMMYFUNCTION("""COMPUTED_VALUE"""),0.5)</f>
        <v>0.5</v>
      </c>
      <c r="O2141" s="4">
        <f>IFERROR(__xludf.DUMMYFUNCTION("""COMPUTED_VALUE"""),4.1)</f>
        <v>4.1</v>
      </c>
      <c r="P2141" s="4">
        <f>IFERROR(__xludf.DUMMYFUNCTION("""COMPUTED_VALUE"""),0.9)</f>
        <v>0.9</v>
      </c>
      <c r="Q2141" s="4">
        <f>IFERROR(__xludf.DUMMYFUNCTION("""COMPUTED_VALUE"""),0.9)</f>
        <v>0.9</v>
      </c>
      <c r="R2141" s="4">
        <f>IFERROR(__xludf.DUMMYFUNCTION("""COMPUTED_VALUE"""),0.2)</f>
        <v>0.2</v>
      </c>
      <c r="S2141" s="4">
        <f>IFERROR(__xludf.DUMMYFUNCTION("""COMPUTED_VALUE"""),0.0)</f>
        <v>0</v>
      </c>
      <c r="T2141" s="4">
        <f>IFERROR(__xludf.DUMMYFUNCTION("""COMPUTED_VALUE"""),-0.016)</f>
        <v>-0.016</v>
      </c>
      <c r="U2141" s="4">
        <f>IFERROR(__xludf.DUMMYFUNCTION("""COMPUTED_VALUE"""),-8.1)</f>
        <v>-8.1</v>
      </c>
      <c r="V2141" s="4">
        <f>IFERROR(__xludf.DUMMYFUNCTION("""COMPUTED_VALUE"""),-0.1)</f>
        <v>-0.1</v>
      </c>
    </row>
    <row r="2142">
      <c r="A2142" s="4">
        <f>IFERROR(__xludf.DUMMYFUNCTION("""COMPUTED_VALUE"""),49.0)</f>
        <v>49</v>
      </c>
      <c r="B2142" s="4">
        <f>IFERROR(__xludf.DUMMYFUNCTION("""COMPUTED_VALUE"""),49.0)</f>
        <v>49</v>
      </c>
      <c r="C2142" s="4" t="str">
        <f>IFERROR(__xludf.DUMMYFUNCTION("""COMPUTED_VALUE"""),"PHO")</f>
        <v>PHO</v>
      </c>
      <c r="D2142" s="4" t="str">
        <f>IFERROR(__xludf.DUMMYFUNCTION("""COMPUTED_VALUE"""),"Mark Buford")</f>
        <v>Mark Buford</v>
      </c>
      <c r="E2142" s="4" t="str">
        <f>IFERROR(__xludf.DUMMYFUNCTION("""COMPUTED_VALUE"""),"Mississippi Valley State University")</f>
        <v>Mississippi Valley State University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</row>
    <row r="2143">
      <c r="A2143" s="4">
        <f>IFERROR(__xludf.DUMMYFUNCTION("""COMPUTED_VALUE"""),50.0)</f>
        <v>50</v>
      </c>
      <c r="B2143" s="4">
        <f>IFERROR(__xludf.DUMMYFUNCTION("""COMPUTED_VALUE"""),50.0)</f>
        <v>50</v>
      </c>
      <c r="C2143" s="4" t="str">
        <f>IFERROR(__xludf.DUMMYFUNCTION("""COMPUTED_VALUE"""),"HOU")</f>
        <v>HOU</v>
      </c>
      <c r="D2143" s="4" t="str">
        <f>IFERROR(__xludf.DUMMYFUNCTION("""COMPUTED_VALUE"""),"Marcelo Nicola")</f>
        <v>Marcelo Nicola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</row>
    <row r="2144">
      <c r="A2144" s="4">
        <f>IFERROR(__xludf.DUMMYFUNCTION("""COMPUTED_VALUE"""),51.0)</f>
        <v>51</v>
      </c>
      <c r="B2144" s="4">
        <f>IFERROR(__xludf.DUMMYFUNCTION("""COMPUTED_VALUE"""),51.0)</f>
        <v>51</v>
      </c>
      <c r="C2144" s="4" t="str">
        <f>IFERROR(__xludf.DUMMYFUNCTION("""COMPUTED_VALUE"""),"IND")</f>
        <v>IND</v>
      </c>
      <c r="D2144" s="4" t="str">
        <f>IFERROR(__xludf.DUMMYFUNCTION("""COMPUTED_VALUE"""),"Spencer Dunkley")</f>
        <v>Spencer Dunkley</v>
      </c>
      <c r="E2144" s="4" t="str">
        <f>IFERROR(__xludf.DUMMYFUNCTION("""COMPUTED_VALUE"""),"University of Delaware")</f>
        <v>University of Delaware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</row>
    <row r="2145">
      <c r="A2145" s="4">
        <f>IFERROR(__xludf.DUMMYFUNCTION("""COMPUTED_VALUE"""),52.0)</f>
        <v>52</v>
      </c>
      <c r="B2145" s="4">
        <f>IFERROR(__xludf.DUMMYFUNCTION("""COMPUTED_VALUE"""),52.0)</f>
        <v>52</v>
      </c>
      <c r="C2145" s="4" t="str">
        <f>IFERROR(__xludf.DUMMYFUNCTION("""COMPUTED_VALUE"""),"SAC")</f>
        <v>SAC</v>
      </c>
      <c r="D2145" s="4" t="str">
        <f>IFERROR(__xludf.DUMMYFUNCTION("""COMPUTED_VALUE"""),"Mike Peplowski")</f>
        <v>Mike Peplowski</v>
      </c>
      <c r="E2145" s="4" t="str">
        <f>IFERROR(__xludf.DUMMYFUNCTION("""COMPUTED_VALUE"""),"Michigan State")</f>
        <v>Michigan State</v>
      </c>
      <c r="F2145" s="4">
        <f>IFERROR(__xludf.DUMMYFUNCTION("""COMPUTED_VALUE"""),3.0)</f>
        <v>3</v>
      </c>
      <c r="G2145" s="4">
        <f>IFERROR(__xludf.DUMMYFUNCTION("""COMPUTED_VALUE"""),68.0)</f>
        <v>68</v>
      </c>
      <c r="H2145" s="4">
        <f>IFERROR(__xludf.DUMMYFUNCTION("""COMPUTED_VALUE"""),705.0)</f>
        <v>705</v>
      </c>
      <c r="I2145" s="4">
        <f>IFERROR(__xludf.DUMMYFUNCTION("""COMPUTED_VALUE"""),194.0)</f>
        <v>194</v>
      </c>
      <c r="J2145" s="4">
        <f>IFERROR(__xludf.DUMMYFUNCTION("""COMPUTED_VALUE"""),176.0)</f>
        <v>176</v>
      </c>
      <c r="K2145" s="4">
        <f>IFERROR(__xludf.DUMMYFUNCTION("""COMPUTED_VALUE"""),26.0)</f>
        <v>26</v>
      </c>
      <c r="L2145" s="4">
        <f>IFERROR(__xludf.DUMMYFUNCTION("""COMPUTED_VALUE"""),0.556)</f>
        <v>0.556</v>
      </c>
      <c r="M2145" s="4">
        <f>IFERROR(__xludf.DUMMYFUNCTION("""COMPUTED_VALUE"""),0.0)</f>
        <v>0</v>
      </c>
      <c r="N2145" s="4">
        <f>IFERROR(__xludf.DUMMYFUNCTION("""COMPUTED_VALUE"""),0.531)</f>
        <v>0.531</v>
      </c>
      <c r="O2145" s="4">
        <f>IFERROR(__xludf.DUMMYFUNCTION("""COMPUTED_VALUE"""),10.4)</f>
        <v>10.4</v>
      </c>
      <c r="P2145" s="4">
        <f>IFERROR(__xludf.DUMMYFUNCTION("""COMPUTED_VALUE"""),2.9)</f>
        <v>2.9</v>
      </c>
      <c r="Q2145" s="4">
        <f>IFERROR(__xludf.DUMMYFUNCTION("""COMPUTED_VALUE"""),2.6)</f>
        <v>2.6</v>
      </c>
      <c r="R2145" s="4">
        <f>IFERROR(__xludf.DUMMYFUNCTION("""COMPUTED_VALUE"""),0.4)</f>
        <v>0.4</v>
      </c>
      <c r="S2145" s="4">
        <f>IFERROR(__xludf.DUMMYFUNCTION("""COMPUTED_VALUE"""),1.0)</f>
        <v>1</v>
      </c>
      <c r="T2145" s="4">
        <f>IFERROR(__xludf.DUMMYFUNCTION("""COMPUTED_VALUE"""),0.067)</f>
        <v>0.067</v>
      </c>
      <c r="U2145" s="4">
        <f>IFERROR(__xludf.DUMMYFUNCTION("""COMPUTED_VALUE"""),-4.5)</f>
        <v>-4.5</v>
      </c>
      <c r="V2145" s="4">
        <f>IFERROR(__xludf.DUMMYFUNCTION("""COMPUTED_VALUE"""),-0.4)</f>
        <v>-0.4</v>
      </c>
    </row>
    <row r="2146">
      <c r="A2146" s="4">
        <f>IFERROR(__xludf.DUMMYFUNCTION("""COMPUTED_VALUE"""),53.0)</f>
        <v>53</v>
      </c>
      <c r="B2146" s="4">
        <f>IFERROR(__xludf.DUMMYFUNCTION("""COMPUTED_VALUE"""),53.0)</f>
        <v>53</v>
      </c>
      <c r="C2146" s="4" t="str">
        <f>IFERROR(__xludf.DUMMYFUNCTION("""COMPUTED_VALUE"""),"LAC")</f>
        <v>LAC</v>
      </c>
      <c r="D2146" s="4" t="str">
        <f>IFERROR(__xludf.DUMMYFUNCTION("""COMPUTED_VALUE"""),"Leonard White")</f>
        <v>Leonard White</v>
      </c>
      <c r="E2146" s="4" t="str">
        <f>IFERROR(__xludf.DUMMYFUNCTION("""COMPUTED_VALUE"""),"Southern University and A&amp;M College")</f>
        <v>Southern University and A&amp;M College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</row>
    <row r="2147">
      <c r="A2147" s="4">
        <f>IFERROR(__xludf.DUMMYFUNCTION("""COMPUTED_VALUE"""),54.0)</f>
        <v>54</v>
      </c>
      <c r="B2147" s="4">
        <f>IFERROR(__xludf.DUMMYFUNCTION("""COMPUTED_VALUE"""),54.0)</f>
        <v>54</v>
      </c>
      <c r="C2147" s="4" t="str">
        <f>IFERROR(__xludf.DUMMYFUNCTION("""COMPUTED_VALUE"""),"PHO")</f>
        <v>PHO</v>
      </c>
      <c r="D2147" s="4" t="str">
        <f>IFERROR(__xludf.DUMMYFUNCTION("""COMPUTED_VALUE"""),"Byron Wilson")</f>
        <v>Byron Wilson</v>
      </c>
      <c r="E2147" s="4" t="str">
        <f>IFERROR(__xludf.DUMMYFUNCTION("""COMPUTED_VALUE"""),"Utah")</f>
        <v>Utah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</row>
    <row r="2149">
      <c r="A2149" s="2">
        <v>1992.0</v>
      </c>
    </row>
    <row r="2150">
      <c r="A2150" s="4" t="str">
        <f>IFERROR(__xludf.DUMMYFUNCTION("IMPORTHTML(""https://www.basketball-reference.com/draft/NBA_1992.html"", ""table"", 1)"),"")</f>
        <v/>
      </c>
      <c r="B2150" s="4"/>
      <c r="C2150" s="4"/>
      <c r="D2150" s="4" t="str">
        <f>IFERROR(__xludf.DUMMYFUNCTION("""COMPUTED_VALUE"""),"Round 1")</f>
        <v>Round 1</v>
      </c>
      <c r="E2150" s="4"/>
      <c r="F2150" s="4"/>
      <c r="G2150" s="4" t="str">
        <f>IFERROR(__xludf.DUMMYFUNCTION("""COMPUTED_VALUE"""),"Totals")</f>
        <v>Totals</v>
      </c>
      <c r="H2150" s="4"/>
      <c r="I2150" s="4"/>
      <c r="J2150" s="4"/>
      <c r="K2150" s="4"/>
      <c r="L2150" s="4" t="str">
        <f>IFERROR(__xludf.DUMMYFUNCTION("""COMPUTED_VALUE"""),"Shooting")</f>
        <v>Shooting</v>
      </c>
      <c r="M2150" s="4"/>
      <c r="N2150" s="4"/>
      <c r="O2150" s="4" t="str">
        <f>IFERROR(__xludf.DUMMYFUNCTION("""COMPUTED_VALUE"""),"Per Game")</f>
        <v>Per Game</v>
      </c>
      <c r="P2150" s="4"/>
      <c r="Q2150" s="4"/>
      <c r="R2150" s="4"/>
      <c r="S2150" s="4" t="str">
        <f>IFERROR(__xludf.DUMMYFUNCTION("""COMPUTED_VALUE"""),"Advanced")</f>
        <v>Advanced</v>
      </c>
      <c r="T2150" s="4"/>
      <c r="U2150" s="4"/>
      <c r="V2150" s="4"/>
    </row>
    <row r="2151">
      <c r="A2151" s="4" t="str">
        <f>IFERROR(__xludf.DUMMYFUNCTION("""COMPUTED_VALUE"""),"Rk")</f>
        <v>Rk</v>
      </c>
      <c r="B2151" s="4" t="str">
        <f>IFERROR(__xludf.DUMMYFUNCTION("""COMPUTED_VALUE"""),"Pk")</f>
        <v>Pk</v>
      </c>
      <c r="C2151" s="4" t="str">
        <f>IFERROR(__xludf.DUMMYFUNCTION("""COMPUTED_VALUE"""),"Tm")</f>
        <v>Tm</v>
      </c>
      <c r="D2151" s="4" t="str">
        <f>IFERROR(__xludf.DUMMYFUNCTION("""COMPUTED_VALUE"""),"Player")</f>
        <v>Player</v>
      </c>
      <c r="E2151" s="4" t="str">
        <f>IFERROR(__xludf.DUMMYFUNCTION("""COMPUTED_VALUE"""),"College")</f>
        <v>College</v>
      </c>
      <c r="F2151" s="4" t="str">
        <f>IFERROR(__xludf.DUMMYFUNCTION("""COMPUTED_VALUE"""),"Yrs")</f>
        <v>Yrs</v>
      </c>
      <c r="G2151" s="4" t="str">
        <f>IFERROR(__xludf.DUMMYFUNCTION("""COMPUTED_VALUE"""),"G")</f>
        <v>G</v>
      </c>
      <c r="H2151" s="4" t="str">
        <f>IFERROR(__xludf.DUMMYFUNCTION("""COMPUTED_VALUE"""),"MP")</f>
        <v>MP</v>
      </c>
      <c r="I2151" s="4" t="str">
        <f>IFERROR(__xludf.DUMMYFUNCTION("""COMPUTED_VALUE"""),"PTS")</f>
        <v>PTS</v>
      </c>
      <c r="J2151" s="4" t="str">
        <f>IFERROR(__xludf.DUMMYFUNCTION("""COMPUTED_VALUE"""),"TRB")</f>
        <v>TRB</v>
      </c>
      <c r="K2151" s="4" t="str">
        <f>IFERROR(__xludf.DUMMYFUNCTION("""COMPUTED_VALUE"""),"AST")</f>
        <v>AST</v>
      </c>
      <c r="L2151" s="4" t="str">
        <f>IFERROR(__xludf.DUMMYFUNCTION("""COMPUTED_VALUE"""),"FG%")</f>
        <v>FG%</v>
      </c>
      <c r="M2151" s="4" t="str">
        <f>IFERROR(__xludf.DUMMYFUNCTION("""COMPUTED_VALUE"""),"3P%")</f>
        <v>3P%</v>
      </c>
      <c r="N2151" s="4" t="str">
        <f>IFERROR(__xludf.DUMMYFUNCTION("""COMPUTED_VALUE"""),"FT%")</f>
        <v>FT%</v>
      </c>
      <c r="O2151" s="4" t="str">
        <f>IFERROR(__xludf.DUMMYFUNCTION("""COMPUTED_VALUE"""),"MP")</f>
        <v>MP</v>
      </c>
      <c r="P2151" s="4" t="str">
        <f>IFERROR(__xludf.DUMMYFUNCTION("""COMPUTED_VALUE"""),"PTS")</f>
        <v>PTS</v>
      </c>
      <c r="Q2151" s="4" t="str">
        <f>IFERROR(__xludf.DUMMYFUNCTION("""COMPUTED_VALUE"""),"TRB")</f>
        <v>TRB</v>
      </c>
      <c r="R2151" s="4" t="str">
        <f>IFERROR(__xludf.DUMMYFUNCTION("""COMPUTED_VALUE"""),"AST")</f>
        <v>AST</v>
      </c>
      <c r="S2151" s="4" t="str">
        <f>IFERROR(__xludf.DUMMYFUNCTION("""COMPUTED_VALUE"""),"WS")</f>
        <v>WS</v>
      </c>
      <c r="T2151" s="4" t="str">
        <f>IFERROR(__xludf.DUMMYFUNCTION("""COMPUTED_VALUE"""),"WS/48")</f>
        <v>WS/48</v>
      </c>
      <c r="U2151" s="4" t="str">
        <f>IFERROR(__xludf.DUMMYFUNCTION("""COMPUTED_VALUE"""),"BPM")</f>
        <v>BPM</v>
      </c>
      <c r="V2151" s="4" t="str">
        <f>IFERROR(__xludf.DUMMYFUNCTION("""COMPUTED_VALUE"""),"VORP")</f>
        <v>VORP</v>
      </c>
    </row>
    <row r="2152">
      <c r="A2152" s="4">
        <f>IFERROR(__xludf.DUMMYFUNCTION("""COMPUTED_VALUE"""),1.0)</f>
        <v>1</v>
      </c>
      <c r="B2152" s="4">
        <f>IFERROR(__xludf.DUMMYFUNCTION("""COMPUTED_VALUE"""),1.0)</f>
        <v>1</v>
      </c>
      <c r="C2152" s="4" t="str">
        <f>IFERROR(__xludf.DUMMYFUNCTION("""COMPUTED_VALUE"""),"ORL")</f>
        <v>ORL</v>
      </c>
      <c r="D2152" s="4" t="str">
        <f>IFERROR(__xludf.DUMMYFUNCTION("""COMPUTED_VALUE"""),"Shaquille O'Neal")</f>
        <v>Shaquille O'Neal</v>
      </c>
      <c r="E2152" s="4" t="str">
        <f>IFERROR(__xludf.DUMMYFUNCTION("""COMPUTED_VALUE"""),"LSU")</f>
        <v>LSU</v>
      </c>
      <c r="F2152" s="4">
        <f>IFERROR(__xludf.DUMMYFUNCTION("""COMPUTED_VALUE"""),19.0)</f>
        <v>19</v>
      </c>
      <c r="G2152" s="4">
        <f>IFERROR(__xludf.DUMMYFUNCTION("""COMPUTED_VALUE"""),1207.0)</f>
        <v>1207</v>
      </c>
      <c r="H2152" s="4">
        <f>IFERROR(__xludf.DUMMYFUNCTION("""COMPUTED_VALUE"""),41918.0)</f>
        <v>41918</v>
      </c>
      <c r="I2152" s="4">
        <f>IFERROR(__xludf.DUMMYFUNCTION("""COMPUTED_VALUE"""),28596.0)</f>
        <v>28596</v>
      </c>
      <c r="J2152" s="4">
        <f>IFERROR(__xludf.DUMMYFUNCTION("""COMPUTED_VALUE"""),13099.0)</f>
        <v>13099</v>
      </c>
      <c r="K2152" s="4">
        <f>IFERROR(__xludf.DUMMYFUNCTION("""COMPUTED_VALUE"""),3026.0)</f>
        <v>3026</v>
      </c>
      <c r="L2152" s="4">
        <f>IFERROR(__xludf.DUMMYFUNCTION("""COMPUTED_VALUE"""),0.582)</f>
        <v>0.582</v>
      </c>
      <c r="M2152" s="4">
        <f>IFERROR(__xludf.DUMMYFUNCTION("""COMPUTED_VALUE"""),0.045)</f>
        <v>0.045</v>
      </c>
      <c r="N2152" s="4">
        <f>IFERROR(__xludf.DUMMYFUNCTION("""COMPUTED_VALUE"""),0.527)</f>
        <v>0.527</v>
      </c>
      <c r="O2152" s="4">
        <f>IFERROR(__xludf.DUMMYFUNCTION("""COMPUTED_VALUE"""),34.7)</f>
        <v>34.7</v>
      </c>
      <c r="P2152" s="4">
        <f>IFERROR(__xludf.DUMMYFUNCTION("""COMPUTED_VALUE"""),23.7)</f>
        <v>23.7</v>
      </c>
      <c r="Q2152" s="4">
        <f>IFERROR(__xludf.DUMMYFUNCTION("""COMPUTED_VALUE"""),10.9)</f>
        <v>10.9</v>
      </c>
      <c r="R2152" s="4">
        <f>IFERROR(__xludf.DUMMYFUNCTION("""COMPUTED_VALUE"""),2.5)</f>
        <v>2.5</v>
      </c>
      <c r="S2152" s="4">
        <f>IFERROR(__xludf.DUMMYFUNCTION("""COMPUTED_VALUE"""),181.7)</f>
        <v>181.7</v>
      </c>
      <c r="T2152" s="4">
        <f>IFERROR(__xludf.DUMMYFUNCTION("""COMPUTED_VALUE"""),0.208)</f>
        <v>0.208</v>
      </c>
      <c r="U2152" s="4">
        <f>IFERROR(__xludf.DUMMYFUNCTION("""COMPUTED_VALUE"""),5.1)</f>
        <v>5.1</v>
      </c>
      <c r="V2152" s="4">
        <f>IFERROR(__xludf.DUMMYFUNCTION("""COMPUTED_VALUE"""),75.5)</f>
        <v>75.5</v>
      </c>
    </row>
    <row r="2153">
      <c r="A2153" s="4">
        <f>IFERROR(__xludf.DUMMYFUNCTION("""COMPUTED_VALUE"""),2.0)</f>
        <v>2</v>
      </c>
      <c r="B2153" s="4">
        <f>IFERROR(__xludf.DUMMYFUNCTION("""COMPUTED_VALUE"""),2.0)</f>
        <v>2</v>
      </c>
      <c r="C2153" s="4" t="str">
        <f>IFERROR(__xludf.DUMMYFUNCTION("""COMPUTED_VALUE"""),"CHH")</f>
        <v>CHH</v>
      </c>
      <c r="D2153" s="4" t="str">
        <f>IFERROR(__xludf.DUMMYFUNCTION("""COMPUTED_VALUE"""),"Alonzo Mourning")</f>
        <v>Alonzo Mourning</v>
      </c>
      <c r="E2153" s="4" t="str">
        <f>IFERROR(__xludf.DUMMYFUNCTION("""COMPUTED_VALUE"""),"Georgetown")</f>
        <v>Georgetown</v>
      </c>
      <c r="F2153" s="4">
        <f>IFERROR(__xludf.DUMMYFUNCTION("""COMPUTED_VALUE"""),15.0)</f>
        <v>15</v>
      </c>
      <c r="G2153" s="4">
        <f>IFERROR(__xludf.DUMMYFUNCTION("""COMPUTED_VALUE"""),838.0)</f>
        <v>838</v>
      </c>
      <c r="H2153" s="4">
        <f>IFERROR(__xludf.DUMMYFUNCTION("""COMPUTED_VALUE"""),25975.0)</f>
        <v>25975</v>
      </c>
      <c r="I2153" s="4">
        <f>IFERROR(__xludf.DUMMYFUNCTION("""COMPUTED_VALUE"""),14311.0)</f>
        <v>14311</v>
      </c>
      <c r="J2153" s="4">
        <f>IFERROR(__xludf.DUMMYFUNCTION("""COMPUTED_VALUE"""),7137.0)</f>
        <v>7137</v>
      </c>
      <c r="K2153" s="4">
        <f>IFERROR(__xludf.DUMMYFUNCTION("""COMPUTED_VALUE"""),946.0)</f>
        <v>946</v>
      </c>
      <c r="L2153" s="4">
        <f>IFERROR(__xludf.DUMMYFUNCTION("""COMPUTED_VALUE"""),0.527)</f>
        <v>0.527</v>
      </c>
      <c r="M2153" s="4">
        <f>IFERROR(__xludf.DUMMYFUNCTION("""COMPUTED_VALUE"""),0.247)</f>
        <v>0.247</v>
      </c>
      <c r="N2153" s="4">
        <f>IFERROR(__xludf.DUMMYFUNCTION("""COMPUTED_VALUE"""),0.692)</f>
        <v>0.692</v>
      </c>
      <c r="O2153" s="4">
        <f>IFERROR(__xludf.DUMMYFUNCTION("""COMPUTED_VALUE"""),31.0)</f>
        <v>31</v>
      </c>
      <c r="P2153" s="4">
        <f>IFERROR(__xludf.DUMMYFUNCTION("""COMPUTED_VALUE"""),17.1)</f>
        <v>17.1</v>
      </c>
      <c r="Q2153" s="4">
        <f>IFERROR(__xludf.DUMMYFUNCTION("""COMPUTED_VALUE"""),8.5)</f>
        <v>8.5</v>
      </c>
      <c r="R2153" s="4">
        <f>IFERROR(__xludf.DUMMYFUNCTION("""COMPUTED_VALUE"""),1.1)</f>
        <v>1.1</v>
      </c>
      <c r="S2153" s="4">
        <f>IFERROR(__xludf.DUMMYFUNCTION("""COMPUTED_VALUE"""),89.7)</f>
        <v>89.7</v>
      </c>
      <c r="T2153" s="4">
        <f>IFERROR(__xludf.DUMMYFUNCTION("""COMPUTED_VALUE"""),0.166)</f>
        <v>0.166</v>
      </c>
      <c r="U2153" s="4">
        <f>IFERROR(__xludf.DUMMYFUNCTION("""COMPUTED_VALUE"""),2.2)</f>
        <v>2.2</v>
      </c>
      <c r="V2153" s="4">
        <f>IFERROR(__xludf.DUMMYFUNCTION("""COMPUTED_VALUE"""),27.4)</f>
        <v>27.4</v>
      </c>
    </row>
    <row r="2154">
      <c r="A2154" s="4">
        <f>IFERROR(__xludf.DUMMYFUNCTION("""COMPUTED_VALUE"""),3.0)</f>
        <v>3</v>
      </c>
      <c r="B2154" s="4">
        <f>IFERROR(__xludf.DUMMYFUNCTION("""COMPUTED_VALUE"""),3.0)</f>
        <v>3</v>
      </c>
      <c r="C2154" s="4" t="str">
        <f>IFERROR(__xludf.DUMMYFUNCTION("""COMPUTED_VALUE"""),"MIN")</f>
        <v>MIN</v>
      </c>
      <c r="D2154" s="4" t="str">
        <f>IFERROR(__xludf.DUMMYFUNCTION("""COMPUTED_VALUE"""),"Christian Laettner")</f>
        <v>Christian Laettner</v>
      </c>
      <c r="E2154" s="4" t="str">
        <f>IFERROR(__xludf.DUMMYFUNCTION("""COMPUTED_VALUE"""),"Duke")</f>
        <v>Duke</v>
      </c>
      <c r="F2154" s="4">
        <f>IFERROR(__xludf.DUMMYFUNCTION("""COMPUTED_VALUE"""),13.0)</f>
        <v>13</v>
      </c>
      <c r="G2154" s="4">
        <f>IFERROR(__xludf.DUMMYFUNCTION("""COMPUTED_VALUE"""),868.0)</f>
        <v>868</v>
      </c>
      <c r="H2154" s="4">
        <f>IFERROR(__xludf.DUMMYFUNCTION("""COMPUTED_VALUE"""),25760.0)</f>
        <v>25760</v>
      </c>
      <c r="I2154" s="4">
        <f>IFERROR(__xludf.DUMMYFUNCTION("""COMPUTED_VALUE"""),11121.0)</f>
        <v>11121</v>
      </c>
      <c r="J2154" s="4">
        <f>IFERROR(__xludf.DUMMYFUNCTION("""COMPUTED_VALUE"""),5806.0)</f>
        <v>5806</v>
      </c>
      <c r="K2154" s="4">
        <f>IFERROR(__xludf.DUMMYFUNCTION("""COMPUTED_VALUE"""),2224.0)</f>
        <v>2224</v>
      </c>
      <c r="L2154" s="4">
        <f>IFERROR(__xludf.DUMMYFUNCTION("""COMPUTED_VALUE"""),0.48)</f>
        <v>0.48</v>
      </c>
      <c r="M2154" s="4">
        <f>IFERROR(__xludf.DUMMYFUNCTION("""COMPUTED_VALUE"""),0.261)</f>
        <v>0.261</v>
      </c>
      <c r="N2154" s="4">
        <f>IFERROR(__xludf.DUMMYFUNCTION("""COMPUTED_VALUE"""),0.82)</f>
        <v>0.82</v>
      </c>
      <c r="O2154" s="4">
        <f>IFERROR(__xludf.DUMMYFUNCTION("""COMPUTED_VALUE"""),29.7)</f>
        <v>29.7</v>
      </c>
      <c r="P2154" s="4">
        <f>IFERROR(__xludf.DUMMYFUNCTION("""COMPUTED_VALUE"""),12.8)</f>
        <v>12.8</v>
      </c>
      <c r="Q2154" s="4">
        <f>IFERROR(__xludf.DUMMYFUNCTION("""COMPUTED_VALUE"""),6.7)</f>
        <v>6.7</v>
      </c>
      <c r="R2154" s="4">
        <f>IFERROR(__xludf.DUMMYFUNCTION("""COMPUTED_VALUE"""),2.6)</f>
        <v>2.6</v>
      </c>
      <c r="S2154" s="4">
        <f>IFERROR(__xludf.DUMMYFUNCTION("""COMPUTED_VALUE"""),64.9)</f>
        <v>64.9</v>
      </c>
      <c r="T2154" s="4">
        <f>IFERROR(__xludf.DUMMYFUNCTION("""COMPUTED_VALUE"""),0.121)</f>
        <v>0.121</v>
      </c>
      <c r="U2154" s="4">
        <f>IFERROR(__xludf.DUMMYFUNCTION("""COMPUTED_VALUE"""),1.0)</f>
        <v>1</v>
      </c>
      <c r="V2154" s="4">
        <f>IFERROR(__xludf.DUMMYFUNCTION("""COMPUTED_VALUE"""),19.5)</f>
        <v>19.5</v>
      </c>
    </row>
    <row r="2155">
      <c r="A2155" s="4">
        <f>IFERROR(__xludf.DUMMYFUNCTION("""COMPUTED_VALUE"""),4.0)</f>
        <v>4</v>
      </c>
      <c r="B2155" s="4">
        <f>IFERROR(__xludf.DUMMYFUNCTION("""COMPUTED_VALUE"""),4.0)</f>
        <v>4</v>
      </c>
      <c r="C2155" s="4" t="str">
        <f>IFERROR(__xludf.DUMMYFUNCTION("""COMPUTED_VALUE"""),"DAL")</f>
        <v>DAL</v>
      </c>
      <c r="D2155" s="4" t="str">
        <f>IFERROR(__xludf.DUMMYFUNCTION("""COMPUTED_VALUE"""),"Jim Jackson")</f>
        <v>Jim Jackson</v>
      </c>
      <c r="E2155" s="4" t="str">
        <f>IFERROR(__xludf.DUMMYFUNCTION("""COMPUTED_VALUE"""),"Ohio State")</f>
        <v>Ohio State</v>
      </c>
      <c r="F2155" s="4">
        <f>IFERROR(__xludf.DUMMYFUNCTION("""COMPUTED_VALUE"""),14.0)</f>
        <v>14</v>
      </c>
      <c r="G2155" s="4">
        <f>IFERROR(__xludf.DUMMYFUNCTION("""COMPUTED_VALUE"""),885.0)</f>
        <v>885</v>
      </c>
      <c r="H2155" s="4">
        <f>IFERROR(__xludf.DUMMYFUNCTION("""COMPUTED_VALUE"""),29067.0)</f>
        <v>29067</v>
      </c>
      <c r="I2155" s="4">
        <f>IFERROR(__xludf.DUMMYFUNCTION("""COMPUTED_VALUE"""),12690.0)</f>
        <v>12690</v>
      </c>
      <c r="J2155" s="4">
        <f>IFERROR(__xludf.DUMMYFUNCTION("""COMPUTED_VALUE"""),4152.0)</f>
        <v>4152</v>
      </c>
      <c r="K2155" s="4">
        <f>IFERROR(__xludf.DUMMYFUNCTION("""COMPUTED_VALUE"""),2851.0)</f>
        <v>2851</v>
      </c>
      <c r="L2155" s="4">
        <f>IFERROR(__xludf.DUMMYFUNCTION("""COMPUTED_VALUE"""),0.428)</f>
        <v>0.428</v>
      </c>
      <c r="M2155" s="4">
        <f>IFERROR(__xludf.DUMMYFUNCTION("""COMPUTED_VALUE"""),0.365)</f>
        <v>0.365</v>
      </c>
      <c r="N2155" s="4">
        <f>IFERROR(__xludf.DUMMYFUNCTION("""COMPUTED_VALUE"""),0.825)</f>
        <v>0.825</v>
      </c>
      <c r="O2155" s="4">
        <f>IFERROR(__xludf.DUMMYFUNCTION("""COMPUTED_VALUE"""),32.8)</f>
        <v>32.8</v>
      </c>
      <c r="P2155" s="4">
        <f>IFERROR(__xludf.DUMMYFUNCTION("""COMPUTED_VALUE"""),14.3)</f>
        <v>14.3</v>
      </c>
      <c r="Q2155" s="4">
        <f>IFERROR(__xludf.DUMMYFUNCTION("""COMPUTED_VALUE"""),4.7)</f>
        <v>4.7</v>
      </c>
      <c r="R2155" s="4">
        <f>IFERROR(__xludf.DUMMYFUNCTION("""COMPUTED_VALUE"""),3.2)</f>
        <v>3.2</v>
      </c>
      <c r="S2155" s="4">
        <f>IFERROR(__xludf.DUMMYFUNCTION("""COMPUTED_VALUE"""),35.8)</f>
        <v>35.8</v>
      </c>
      <c r="T2155" s="4">
        <f>IFERROR(__xludf.DUMMYFUNCTION("""COMPUTED_VALUE"""),0.059)</f>
        <v>0.059</v>
      </c>
      <c r="U2155" s="4">
        <f>IFERROR(__xludf.DUMMYFUNCTION("""COMPUTED_VALUE"""),-0.9)</f>
        <v>-0.9</v>
      </c>
      <c r="V2155" s="4">
        <f>IFERROR(__xludf.DUMMYFUNCTION("""COMPUTED_VALUE"""),8.2)</f>
        <v>8.2</v>
      </c>
    </row>
    <row r="2156">
      <c r="A2156" s="4">
        <f>IFERROR(__xludf.DUMMYFUNCTION("""COMPUTED_VALUE"""),5.0)</f>
        <v>5</v>
      </c>
      <c r="B2156" s="4">
        <f>IFERROR(__xludf.DUMMYFUNCTION("""COMPUTED_VALUE"""),5.0)</f>
        <v>5</v>
      </c>
      <c r="C2156" s="4" t="str">
        <f>IFERROR(__xludf.DUMMYFUNCTION("""COMPUTED_VALUE"""),"DEN")</f>
        <v>DEN</v>
      </c>
      <c r="D2156" s="4" t="str">
        <f>IFERROR(__xludf.DUMMYFUNCTION("""COMPUTED_VALUE"""),"LaPhonso Ellis")</f>
        <v>LaPhonso Ellis</v>
      </c>
      <c r="E2156" s="4" t="str">
        <f>IFERROR(__xludf.DUMMYFUNCTION("""COMPUTED_VALUE"""),"Notre Dame")</f>
        <v>Notre Dame</v>
      </c>
      <c r="F2156" s="4">
        <f>IFERROR(__xludf.DUMMYFUNCTION("""COMPUTED_VALUE"""),11.0)</f>
        <v>11</v>
      </c>
      <c r="G2156" s="4">
        <f>IFERROR(__xludf.DUMMYFUNCTION("""COMPUTED_VALUE"""),624.0)</f>
        <v>624</v>
      </c>
      <c r="H2156" s="4">
        <f>IFERROR(__xludf.DUMMYFUNCTION("""COMPUTED_VALUE"""),17616.0)</f>
        <v>17616</v>
      </c>
      <c r="I2156" s="4">
        <f>IFERROR(__xludf.DUMMYFUNCTION("""COMPUTED_VALUE"""),7410.0)</f>
        <v>7410</v>
      </c>
      <c r="J2156" s="4">
        <f>IFERROR(__xludf.DUMMYFUNCTION("""COMPUTED_VALUE"""),4032.0)</f>
        <v>4032</v>
      </c>
      <c r="K2156" s="4">
        <f>IFERROR(__xludf.DUMMYFUNCTION("""COMPUTED_VALUE"""),981.0)</f>
        <v>981</v>
      </c>
      <c r="L2156" s="4">
        <f>IFERROR(__xludf.DUMMYFUNCTION("""COMPUTED_VALUE"""),0.452)</f>
        <v>0.452</v>
      </c>
      <c r="M2156" s="4">
        <f>IFERROR(__xludf.DUMMYFUNCTION("""COMPUTED_VALUE"""),0.302)</f>
        <v>0.302</v>
      </c>
      <c r="N2156" s="4">
        <f>IFERROR(__xludf.DUMMYFUNCTION("""COMPUTED_VALUE"""),0.73)</f>
        <v>0.73</v>
      </c>
      <c r="O2156" s="4">
        <f>IFERROR(__xludf.DUMMYFUNCTION("""COMPUTED_VALUE"""),28.2)</f>
        <v>28.2</v>
      </c>
      <c r="P2156" s="4">
        <f>IFERROR(__xludf.DUMMYFUNCTION("""COMPUTED_VALUE"""),11.9)</f>
        <v>11.9</v>
      </c>
      <c r="Q2156" s="4">
        <f>IFERROR(__xludf.DUMMYFUNCTION("""COMPUTED_VALUE"""),6.5)</f>
        <v>6.5</v>
      </c>
      <c r="R2156" s="4">
        <f>IFERROR(__xludf.DUMMYFUNCTION("""COMPUTED_VALUE"""),1.6)</f>
        <v>1.6</v>
      </c>
      <c r="S2156" s="4">
        <f>IFERROR(__xludf.DUMMYFUNCTION("""COMPUTED_VALUE"""),32.8)</f>
        <v>32.8</v>
      </c>
      <c r="T2156" s="4">
        <f>IFERROR(__xludf.DUMMYFUNCTION("""COMPUTED_VALUE"""),0.089)</f>
        <v>0.089</v>
      </c>
      <c r="U2156" s="4">
        <f>IFERROR(__xludf.DUMMYFUNCTION("""COMPUTED_VALUE"""),-1.0)</f>
        <v>-1</v>
      </c>
      <c r="V2156" s="4">
        <f>IFERROR(__xludf.DUMMYFUNCTION("""COMPUTED_VALUE"""),4.6)</f>
        <v>4.6</v>
      </c>
    </row>
    <row r="2157">
      <c r="A2157" s="4">
        <f>IFERROR(__xludf.DUMMYFUNCTION("""COMPUTED_VALUE"""),6.0)</f>
        <v>6</v>
      </c>
      <c r="B2157" s="4">
        <f>IFERROR(__xludf.DUMMYFUNCTION("""COMPUTED_VALUE"""),6.0)</f>
        <v>6</v>
      </c>
      <c r="C2157" s="4" t="str">
        <f>IFERROR(__xludf.DUMMYFUNCTION("""COMPUTED_VALUE"""),"WSB")</f>
        <v>WSB</v>
      </c>
      <c r="D2157" s="4" t="str">
        <f>IFERROR(__xludf.DUMMYFUNCTION("""COMPUTED_VALUE"""),"Tom Gugliotta")</f>
        <v>Tom Gugliotta</v>
      </c>
      <c r="E2157" s="4" t="str">
        <f>IFERROR(__xludf.DUMMYFUNCTION("""COMPUTED_VALUE"""),"NC State")</f>
        <v>NC State</v>
      </c>
      <c r="F2157" s="4">
        <f>IFERROR(__xludf.DUMMYFUNCTION("""COMPUTED_VALUE"""),13.0)</f>
        <v>13</v>
      </c>
      <c r="G2157" s="4">
        <f>IFERROR(__xludf.DUMMYFUNCTION("""COMPUTED_VALUE"""),763.0)</f>
        <v>763</v>
      </c>
      <c r="H2157" s="4">
        <f>IFERROR(__xludf.DUMMYFUNCTION("""COMPUTED_VALUE"""),23556.0)</f>
        <v>23556</v>
      </c>
      <c r="I2157" s="4">
        <f>IFERROR(__xludf.DUMMYFUNCTION("""COMPUTED_VALUE"""),9895.0)</f>
        <v>9895</v>
      </c>
      <c r="J2157" s="4">
        <f>IFERROR(__xludf.DUMMYFUNCTION("""COMPUTED_VALUE"""),5589.0)</f>
        <v>5589</v>
      </c>
      <c r="K2157" s="4">
        <f>IFERROR(__xludf.DUMMYFUNCTION("""COMPUTED_VALUE"""),2140.0)</f>
        <v>2140</v>
      </c>
      <c r="L2157" s="4">
        <f>IFERROR(__xludf.DUMMYFUNCTION("""COMPUTED_VALUE"""),0.451)</f>
        <v>0.451</v>
      </c>
      <c r="M2157" s="4">
        <f>IFERROR(__xludf.DUMMYFUNCTION("""COMPUTED_VALUE"""),0.284)</f>
        <v>0.284</v>
      </c>
      <c r="N2157" s="4">
        <f>IFERROR(__xludf.DUMMYFUNCTION("""COMPUTED_VALUE"""),0.757)</f>
        <v>0.757</v>
      </c>
      <c r="O2157" s="4">
        <f>IFERROR(__xludf.DUMMYFUNCTION("""COMPUTED_VALUE"""),30.9)</f>
        <v>30.9</v>
      </c>
      <c r="P2157" s="4">
        <f>IFERROR(__xludf.DUMMYFUNCTION("""COMPUTED_VALUE"""),13.0)</f>
        <v>13</v>
      </c>
      <c r="Q2157" s="4">
        <f>IFERROR(__xludf.DUMMYFUNCTION("""COMPUTED_VALUE"""),7.3)</f>
        <v>7.3</v>
      </c>
      <c r="R2157" s="4">
        <f>IFERROR(__xludf.DUMMYFUNCTION("""COMPUTED_VALUE"""),2.8)</f>
        <v>2.8</v>
      </c>
      <c r="S2157" s="4">
        <f>IFERROR(__xludf.DUMMYFUNCTION("""COMPUTED_VALUE"""),40.2)</f>
        <v>40.2</v>
      </c>
      <c r="T2157" s="4">
        <f>IFERROR(__xludf.DUMMYFUNCTION("""COMPUTED_VALUE"""),0.082)</f>
        <v>0.082</v>
      </c>
      <c r="U2157" s="4">
        <f>IFERROR(__xludf.DUMMYFUNCTION("""COMPUTED_VALUE"""),0.6)</f>
        <v>0.6</v>
      </c>
      <c r="V2157" s="4">
        <f>IFERROR(__xludf.DUMMYFUNCTION("""COMPUTED_VALUE"""),15.3)</f>
        <v>15.3</v>
      </c>
    </row>
    <row r="2158">
      <c r="A2158" s="4">
        <f>IFERROR(__xludf.DUMMYFUNCTION("""COMPUTED_VALUE"""),7.0)</f>
        <v>7</v>
      </c>
      <c r="B2158" s="4">
        <f>IFERROR(__xludf.DUMMYFUNCTION("""COMPUTED_VALUE"""),7.0)</f>
        <v>7</v>
      </c>
      <c r="C2158" s="4" t="str">
        <f>IFERROR(__xludf.DUMMYFUNCTION("""COMPUTED_VALUE"""),"SAC")</f>
        <v>SAC</v>
      </c>
      <c r="D2158" s="4" t="str">
        <f>IFERROR(__xludf.DUMMYFUNCTION("""COMPUTED_VALUE"""),"Walt Williams")</f>
        <v>Walt Williams</v>
      </c>
      <c r="E2158" s="4" t="str">
        <f>IFERROR(__xludf.DUMMYFUNCTION("""COMPUTED_VALUE"""),"Maryland")</f>
        <v>Maryland</v>
      </c>
      <c r="F2158" s="4">
        <f>IFERROR(__xludf.DUMMYFUNCTION("""COMPUTED_VALUE"""),11.0)</f>
        <v>11</v>
      </c>
      <c r="G2158" s="4">
        <f>IFERROR(__xludf.DUMMYFUNCTION("""COMPUTED_VALUE"""),708.0)</f>
        <v>708</v>
      </c>
      <c r="H2158" s="4">
        <f>IFERROR(__xludf.DUMMYFUNCTION("""COMPUTED_VALUE"""),18818.0)</f>
        <v>18818</v>
      </c>
      <c r="I2158" s="4">
        <f>IFERROR(__xludf.DUMMYFUNCTION("""COMPUTED_VALUE"""),8385.0)</f>
        <v>8385</v>
      </c>
      <c r="J2158" s="4">
        <f>IFERROR(__xludf.DUMMYFUNCTION("""COMPUTED_VALUE"""),2794.0)</f>
        <v>2794</v>
      </c>
      <c r="K2158" s="4">
        <f>IFERROR(__xludf.DUMMYFUNCTION("""COMPUTED_VALUE"""),1637.0)</f>
        <v>1637</v>
      </c>
      <c r="L2158" s="4">
        <f>IFERROR(__xludf.DUMMYFUNCTION("""COMPUTED_VALUE"""),0.425)</f>
        <v>0.425</v>
      </c>
      <c r="M2158" s="4">
        <f>IFERROR(__xludf.DUMMYFUNCTION("""COMPUTED_VALUE"""),0.379)</f>
        <v>0.379</v>
      </c>
      <c r="N2158" s="4">
        <f>IFERROR(__xludf.DUMMYFUNCTION("""COMPUTED_VALUE"""),0.743)</f>
        <v>0.743</v>
      </c>
      <c r="O2158" s="4">
        <f>IFERROR(__xludf.DUMMYFUNCTION("""COMPUTED_VALUE"""),26.6)</f>
        <v>26.6</v>
      </c>
      <c r="P2158" s="4">
        <f>IFERROR(__xludf.DUMMYFUNCTION("""COMPUTED_VALUE"""),11.8)</f>
        <v>11.8</v>
      </c>
      <c r="Q2158" s="4">
        <f>IFERROR(__xludf.DUMMYFUNCTION("""COMPUTED_VALUE"""),3.9)</f>
        <v>3.9</v>
      </c>
      <c r="R2158" s="4">
        <f>IFERROR(__xludf.DUMMYFUNCTION("""COMPUTED_VALUE"""),2.3)</f>
        <v>2.3</v>
      </c>
      <c r="S2158" s="4">
        <f>IFERROR(__xludf.DUMMYFUNCTION("""COMPUTED_VALUE"""),33.9)</f>
        <v>33.9</v>
      </c>
      <c r="T2158" s="4">
        <f>IFERROR(__xludf.DUMMYFUNCTION("""COMPUTED_VALUE"""),0.087)</f>
        <v>0.087</v>
      </c>
      <c r="U2158" s="4">
        <f>IFERROR(__xludf.DUMMYFUNCTION("""COMPUTED_VALUE"""),0.5)</f>
        <v>0.5</v>
      </c>
      <c r="V2158" s="4">
        <f>IFERROR(__xludf.DUMMYFUNCTION("""COMPUTED_VALUE"""),11.8)</f>
        <v>11.8</v>
      </c>
    </row>
    <row r="2159">
      <c r="A2159" s="4">
        <f>IFERROR(__xludf.DUMMYFUNCTION("""COMPUTED_VALUE"""),8.0)</f>
        <v>8</v>
      </c>
      <c r="B2159" s="4">
        <f>IFERROR(__xludf.DUMMYFUNCTION("""COMPUTED_VALUE"""),8.0)</f>
        <v>8</v>
      </c>
      <c r="C2159" s="4" t="str">
        <f>IFERROR(__xludf.DUMMYFUNCTION("""COMPUTED_VALUE"""),"MIL")</f>
        <v>MIL</v>
      </c>
      <c r="D2159" s="4" t="str">
        <f>IFERROR(__xludf.DUMMYFUNCTION("""COMPUTED_VALUE"""),"Todd Day")</f>
        <v>Todd Day</v>
      </c>
      <c r="E2159" s="4" t="str">
        <f>IFERROR(__xludf.DUMMYFUNCTION("""COMPUTED_VALUE"""),"Arkansas")</f>
        <v>Arkansas</v>
      </c>
      <c r="F2159" s="4">
        <f>IFERROR(__xludf.DUMMYFUNCTION("""COMPUTED_VALUE"""),8.0)</f>
        <v>8</v>
      </c>
      <c r="G2159" s="4">
        <f>IFERROR(__xludf.DUMMYFUNCTION("""COMPUTED_VALUE"""),483.0)</f>
        <v>483</v>
      </c>
      <c r="H2159" s="4">
        <f>IFERROR(__xludf.DUMMYFUNCTION("""COMPUTED_VALUE"""),12214.0)</f>
        <v>12214</v>
      </c>
      <c r="I2159" s="4">
        <f>IFERROR(__xludf.DUMMYFUNCTION("""COMPUTED_VALUE"""),5917.0)</f>
        <v>5917</v>
      </c>
      <c r="J2159" s="4">
        <f>IFERROR(__xludf.DUMMYFUNCTION("""COMPUTED_VALUE"""),1649.0)</f>
        <v>1649</v>
      </c>
      <c r="K2159" s="4">
        <f>IFERROR(__xludf.DUMMYFUNCTION("""COMPUTED_VALUE"""),713.0)</f>
        <v>713</v>
      </c>
      <c r="L2159" s="4">
        <f>IFERROR(__xludf.DUMMYFUNCTION("""COMPUTED_VALUE"""),0.406)</f>
        <v>0.406</v>
      </c>
      <c r="M2159" s="4">
        <f>IFERROR(__xludf.DUMMYFUNCTION("""COMPUTED_VALUE"""),0.345)</f>
        <v>0.345</v>
      </c>
      <c r="N2159" s="4">
        <f>IFERROR(__xludf.DUMMYFUNCTION("""COMPUTED_VALUE"""),0.739)</f>
        <v>0.739</v>
      </c>
      <c r="O2159" s="4">
        <f>IFERROR(__xludf.DUMMYFUNCTION("""COMPUTED_VALUE"""),25.3)</f>
        <v>25.3</v>
      </c>
      <c r="P2159" s="4">
        <f>IFERROR(__xludf.DUMMYFUNCTION("""COMPUTED_VALUE"""),12.3)</f>
        <v>12.3</v>
      </c>
      <c r="Q2159" s="4">
        <f>IFERROR(__xludf.DUMMYFUNCTION("""COMPUTED_VALUE"""),3.4)</f>
        <v>3.4</v>
      </c>
      <c r="R2159" s="4">
        <f>IFERROR(__xludf.DUMMYFUNCTION("""COMPUTED_VALUE"""),1.5)</f>
        <v>1.5</v>
      </c>
      <c r="S2159" s="4">
        <f>IFERROR(__xludf.DUMMYFUNCTION("""COMPUTED_VALUE"""),17.5)</f>
        <v>17.5</v>
      </c>
      <c r="T2159" s="4">
        <f>IFERROR(__xludf.DUMMYFUNCTION("""COMPUTED_VALUE"""),0.069)</f>
        <v>0.069</v>
      </c>
      <c r="U2159" s="4">
        <f>IFERROR(__xludf.DUMMYFUNCTION("""COMPUTED_VALUE"""),-0.9)</f>
        <v>-0.9</v>
      </c>
      <c r="V2159" s="4">
        <f>IFERROR(__xludf.DUMMYFUNCTION("""COMPUTED_VALUE"""),3.4)</f>
        <v>3.4</v>
      </c>
    </row>
    <row r="2160">
      <c r="A2160" s="4">
        <f>IFERROR(__xludf.DUMMYFUNCTION("""COMPUTED_VALUE"""),9.0)</f>
        <v>9</v>
      </c>
      <c r="B2160" s="4">
        <f>IFERROR(__xludf.DUMMYFUNCTION("""COMPUTED_VALUE"""),9.0)</f>
        <v>9</v>
      </c>
      <c r="C2160" s="4" t="str">
        <f>IFERROR(__xludf.DUMMYFUNCTION("""COMPUTED_VALUE"""),"PHI")</f>
        <v>PHI</v>
      </c>
      <c r="D2160" s="4" t="str">
        <f>IFERROR(__xludf.DUMMYFUNCTION("""COMPUTED_VALUE"""),"Clarence Weatherspoon")</f>
        <v>Clarence Weatherspoon</v>
      </c>
      <c r="E2160" s="4" t="str">
        <f>IFERROR(__xludf.DUMMYFUNCTION("""COMPUTED_VALUE"""),"Southern Miss")</f>
        <v>Southern Miss</v>
      </c>
      <c r="F2160" s="4">
        <f>IFERROR(__xludf.DUMMYFUNCTION("""COMPUTED_VALUE"""),13.0)</f>
        <v>13</v>
      </c>
      <c r="G2160" s="4">
        <f>IFERROR(__xludf.DUMMYFUNCTION("""COMPUTED_VALUE"""),915.0)</f>
        <v>915</v>
      </c>
      <c r="H2160" s="4">
        <f>IFERROR(__xludf.DUMMYFUNCTION("""COMPUTED_VALUE"""),27736.0)</f>
        <v>27736</v>
      </c>
      <c r="I2160" s="4">
        <f>IFERROR(__xludf.DUMMYFUNCTION("""COMPUTED_VALUE"""),10483.0)</f>
        <v>10483</v>
      </c>
      <c r="J2160" s="4">
        <f>IFERROR(__xludf.DUMMYFUNCTION("""COMPUTED_VALUE"""),6846.0)</f>
        <v>6846</v>
      </c>
      <c r="K2160" s="4">
        <f>IFERROR(__xludf.DUMMYFUNCTION("""COMPUTED_VALUE"""),1346.0)</f>
        <v>1346</v>
      </c>
      <c r="L2160" s="4">
        <f>IFERROR(__xludf.DUMMYFUNCTION("""COMPUTED_VALUE"""),0.471)</f>
        <v>0.471</v>
      </c>
      <c r="M2160" s="4">
        <f>IFERROR(__xludf.DUMMYFUNCTION("""COMPUTED_VALUE"""),0.196)</f>
        <v>0.196</v>
      </c>
      <c r="N2160" s="4">
        <f>IFERROR(__xludf.DUMMYFUNCTION("""COMPUTED_VALUE"""),0.743)</f>
        <v>0.743</v>
      </c>
      <c r="O2160" s="4">
        <f>IFERROR(__xludf.DUMMYFUNCTION("""COMPUTED_VALUE"""),30.3)</f>
        <v>30.3</v>
      </c>
      <c r="P2160" s="4">
        <f>IFERROR(__xludf.DUMMYFUNCTION("""COMPUTED_VALUE"""),11.5)</f>
        <v>11.5</v>
      </c>
      <c r="Q2160" s="4">
        <f>IFERROR(__xludf.DUMMYFUNCTION("""COMPUTED_VALUE"""),7.5)</f>
        <v>7.5</v>
      </c>
      <c r="R2160" s="4">
        <f>IFERROR(__xludf.DUMMYFUNCTION("""COMPUTED_VALUE"""),1.5)</f>
        <v>1.5</v>
      </c>
      <c r="S2160" s="4">
        <f>IFERROR(__xludf.DUMMYFUNCTION("""COMPUTED_VALUE"""),58.4)</f>
        <v>58.4</v>
      </c>
      <c r="T2160" s="4">
        <f>IFERROR(__xludf.DUMMYFUNCTION("""COMPUTED_VALUE"""),0.101)</f>
        <v>0.101</v>
      </c>
      <c r="U2160" s="4">
        <f>IFERROR(__xludf.DUMMYFUNCTION("""COMPUTED_VALUE"""),-0.3)</f>
        <v>-0.3</v>
      </c>
      <c r="V2160" s="4">
        <f>IFERROR(__xludf.DUMMYFUNCTION("""COMPUTED_VALUE"""),11.8)</f>
        <v>11.8</v>
      </c>
    </row>
    <row r="2161">
      <c r="A2161" s="4">
        <f>IFERROR(__xludf.DUMMYFUNCTION("""COMPUTED_VALUE"""),10.0)</f>
        <v>10</v>
      </c>
      <c r="B2161" s="4">
        <f>IFERROR(__xludf.DUMMYFUNCTION("""COMPUTED_VALUE"""),10.0)</f>
        <v>10</v>
      </c>
      <c r="C2161" s="4" t="str">
        <f>IFERROR(__xludf.DUMMYFUNCTION("""COMPUTED_VALUE"""),"ATL")</f>
        <v>ATL</v>
      </c>
      <c r="D2161" s="4" t="str">
        <f>IFERROR(__xludf.DUMMYFUNCTION("""COMPUTED_VALUE"""),"Adam Keefe")</f>
        <v>Adam Keefe</v>
      </c>
      <c r="E2161" s="4" t="str">
        <f>IFERROR(__xludf.DUMMYFUNCTION("""COMPUTED_VALUE"""),"Stanford")</f>
        <v>Stanford</v>
      </c>
      <c r="F2161" s="4">
        <f>IFERROR(__xludf.DUMMYFUNCTION("""COMPUTED_VALUE"""),9.0)</f>
        <v>9</v>
      </c>
      <c r="G2161" s="4">
        <f>IFERROR(__xludf.DUMMYFUNCTION("""COMPUTED_VALUE"""),617.0)</f>
        <v>617</v>
      </c>
      <c r="H2161" s="4">
        <f>IFERROR(__xludf.DUMMYFUNCTION("""COMPUTED_VALUE"""),10334.0)</f>
        <v>10334</v>
      </c>
      <c r="I2161" s="4">
        <f>IFERROR(__xludf.DUMMYFUNCTION("""COMPUTED_VALUE"""),3107.0)</f>
        <v>3107</v>
      </c>
      <c r="J2161" s="4">
        <f>IFERROR(__xludf.DUMMYFUNCTION("""COMPUTED_VALUE"""),2556.0)</f>
        <v>2556</v>
      </c>
      <c r="K2161" s="4">
        <f>IFERROR(__xludf.DUMMYFUNCTION("""COMPUTED_VALUE"""),427.0)</f>
        <v>427</v>
      </c>
      <c r="L2161" s="4">
        <f>IFERROR(__xludf.DUMMYFUNCTION("""COMPUTED_VALUE"""),0.502)</f>
        <v>0.502</v>
      </c>
      <c r="M2161" s="4">
        <f>IFERROR(__xludf.DUMMYFUNCTION("""COMPUTED_VALUE"""),0.071)</f>
        <v>0.071</v>
      </c>
      <c r="N2161" s="4">
        <f>IFERROR(__xludf.DUMMYFUNCTION("""COMPUTED_VALUE"""),0.714)</f>
        <v>0.714</v>
      </c>
      <c r="O2161" s="4">
        <f>IFERROR(__xludf.DUMMYFUNCTION("""COMPUTED_VALUE"""),16.7)</f>
        <v>16.7</v>
      </c>
      <c r="P2161" s="4">
        <f>IFERROR(__xludf.DUMMYFUNCTION("""COMPUTED_VALUE"""),5.0)</f>
        <v>5</v>
      </c>
      <c r="Q2161" s="4">
        <f>IFERROR(__xludf.DUMMYFUNCTION("""COMPUTED_VALUE"""),4.1)</f>
        <v>4.1</v>
      </c>
      <c r="R2161" s="4">
        <f>IFERROR(__xludf.DUMMYFUNCTION("""COMPUTED_VALUE"""),0.7)</f>
        <v>0.7</v>
      </c>
      <c r="S2161" s="4">
        <f>IFERROR(__xludf.DUMMYFUNCTION("""COMPUTED_VALUE"""),24.9)</f>
        <v>24.9</v>
      </c>
      <c r="T2161" s="4">
        <f>IFERROR(__xludf.DUMMYFUNCTION("""COMPUTED_VALUE"""),0.115)</f>
        <v>0.115</v>
      </c>
      <c r="U2161" s="4">
        <f>IFERROR(__xludf.DUMMYFUNCTION("""COMPUTED_VALUE"""),-1.3)</f>
        <v>-1.3</v>
      </c>
      <c r="V2161" s="4">
        <f>IFERROR(__xludf.DUMMYFUNCTION("""COMPUTED_VALUE"""),1.7)</f>
        <v>1.7</v>
      </c>
    </row>
    <row r="2162">
      <c r="A2162" s="4">
        <f>IFERROR(__xludf.DUMMYFUNCTION("""COMPUTED_VALUE"""),11.0)</f>
        <v>11</v>
      </c>
      <c r="B2162" s="4">
        <f>IFERROR(__xludf.DUMMYFUNCTION("""COMPUTED_VALUE"""),11.0)</f>
        <v>11</v>
      </c>
      <c r="C2162" s="4" t="str">
        <f>IFERROR(__xludf.DUMMYFUNCTION("""COMPUTED_VALUE"""),"HOU")</f>
        <v>HOU</v>
      </c>
      <c r="D2162" s="4" t="str">
        <f>IFERROR(__xludf.DUMMYFUNCTION("""COMPUTED_VALUE"""),"Robert Horry")</f>
        <v>Robert Horry</v>
      </c>
      <c r="E2162" s="4" t="str">
        <f>IFERROR(__xludf.DUMMYFUNCTION("""COMPUTED_VALUE"""),"Alabama")</f>
        <v>Alabama</v>
      </c>
      <c r="F2162" s="4">
        <f>IFERROR(__xludf.DUMMYFUNCTION("""COMPUTED_VALUE"""),16.0)</f>
        <v>16</v>
      </c>
      <c r="G2162" s="4">
        <f>IFERROR(__xludf.DUMMYFUNCTION("""COMPUTED_VALUE"""),1107.0)</f>
        <v>1107</v>
      </c>
      <c r="H2162" s="4">
        <f>IFERROR(__xludf.DUMMYFUNCTION("""COMPUTED_VALUE"""),27069.0)</f>
        <v>27069</v>
      </c>
      <c r="I2162" s="4">
        <f>IFERROR(__xludf.DUMMYFUNCTION("""COMPUTED_VALUE"""),7715.0)</f>
        <v>7715</v>
      </c>
      <c r="J2162" s="4">
        <f>IFERROR(__xludf.DUMMYFUNCTION("""COMPUTED_VALUE"""),5269.0)</f>
        <v>5269</v>
      </c>
      <c r="K2162" s="4">
        <f>IFERROR(__xludf.DUMMYFUNCTION("""COMPUTED_VALUE"""),2343.0)</f>
        <v>2343</v>
      </c>
      <c r="L2162" s="4">
        <f>IFERROR(__xludf.DUMMYFUNCTION("""COMPUTED_VALUE"""),0.425)</f>
        <v>0.425</v>
      </c>
      <c r="M2162" s="4">
        <f>IFERROR(__xludf.DUMMYFUNCTION("""COMPUTED_VALUE"""),0.341)</f>
        <v>0.341</v>
      </c>
      <c r="N2162" s="4">
        <f>IFERROR(__xludf.DUMMYFUNCTION("""COMPUTED_VALUE"""),0.726)</f>
        <v>0.726</v>
      </c>
      <c r="O2162" s="4">
        <f>IFERROR(__xludf.DUMMYFUNCTION("""COMPUTED_VALUE"""),24.5)</f>
        <v>24.5</v>
      </c>
      <c r="P2162" s="4">
        <f>IFERROR(__xludf.DUMMYFUNCTION("""COMPUTED_VALUE"""),7.0)</f>
        <v>7</v>
      </c>
      <c r="Q2162" s="4">
        <f>IFERROR(__xludf.DUMMYFUNCTION("""COMPUTED_VALUE"""),4.8)</f>
        <v>4.8</v>
      </c>
      <c r="R2162" s="4">
        <f>IFERROR(__xludf.DUMMYFUNCTION("""COMPUTED_VALUE"""),2.1)</f>
        <v>2.1</v>
      </c>
      <c r="S2162" s="4">
        <f>IFERROR(__xludf.DUMMYFUNCTION("""COMPUTED_VALUE"""),66.3)</f>
        <v>66.3</v>
      </c>
      <c r="T2162" s="4">
        <f>IFERROR(__xludf.DUMMYFUNCTION("""COMPUTED_VALUE"""),0.118)</f>
        <v>0.118</v>
      </c>
      <c r="U2162" s="4">
        <f>IFERROR(__xludf.DUMMYFUNCTION("""COMPUTED_VALUE"""),1.9)</f>
        <v>1.9</v>
      </c>
      <c r="V2162" s="4">
        <f>IFERROR(__xludf.DUMMYFUNCTION("""COMPUTED_VALUE"""),26.4)</f>
        <v>26.4</v>
      </c>
    </row>
    <row r="2163">
      <c r="A2163" s="4">
        <f>IFERROR(__xludf.DUMMYFUNCTION("""COMPUTED_VALUE"""),12.0)</f>
        <v>12</v>
      </c>
      <c r="B2163" s="4">
        <f>IFERROR(__xludf.DUMMYFUNCTION("""COMPUTED_VALUE"""),12.0)</f>
        <v>12</v>
      </c>
      <c r="C2163" s="4" t="str">
        <f>IFERROR(__xludf.DUMMYFUNCTION("""COMPUTED_VALUE"""),"MIA")</f>
        <v>MIA</v>
      </c>
      <c r="D2163" s="4" t="str">
        <f>IFERROR(__xludf.DUMMYFUNCTION("""COMPUTED_VALUE"""),"Harold Miner")</f>
        <v>Harold Miner</v>
      </c>
      <c r="E2163" s="4" t="str">
        <f>IFERROR(__xludf.DUMMYFUNCTION("""COMPUTED_VALUE"""),"USC")</f>
        <v>USC</v>
      </c>
      <c r="F2163" s="4">
        <f>IFERROR(__xludf.DUMMYFUNCTION("""COMPUTED_VALUE"""),4.0)</f>
        <v>4</v>
      </c>
      <c r="G2163" s="4">
        <f>IFERROR(__xludf.DUMMYFUNCTION("""COMPUTED_VALUE"""),200.0)</f>
        <v>200</v>
      </c>
      <c r="H2163" s="4">
        <f>IFERROR(__xludf.DUMMYFUNCTION("""COMPUTED_VALUE"""),3748.0)</f>
        <v>3748</v>
      </c>
      <c r="I2163" s="4">
        <f>IFERROR(__xludf.DUMMYFUNCTION("""COMPUTED_VALUE"""),1801.0)</f>
        <v>1801</v>
      </c>
      <c r="J2163" s="4">
        <f>IFERROR(__xludf.DUMMYFUNCTION("""COMPUTED_VALUE"""),432.0)</f>
        <v>432</v>
      </c>
      <c r="K2163" s="4">
        <f>IFERROR(__xludf.DUMMYFUNCTION("""COMPUTED_VALUE"""),245.0)</f>
        <v>245</v>
      </c>
      <c r="L2163" s="4">
        <f>IFERROR(__xludf.DUMMYFUNCTION("""COMPUTED_VALUE"""),0.46)</f>
        <v>0.46</v>
      </c>
      <c r="M2163" s="4">
        <f>IFERROR(__xludf.DUMMYFUNCTION("""COMPUTED_VALUE"""),0.311)</f>
        <v>0.311</v>
      </c>
      <c r="N2163" s="4">
        <f>IFERROR(__xludf.DUMMYFUNCTION("""COMPUTED_VALUE"""),0.785)</f>
        <v>0.785</v>
      </c>
      <c r="O2163" s="4">
        <f>IFERROR(__xludf.DUMMYFUNCTION("""COMPUTED_VALUE"""),18.7)</f>
        <v>18.7</v>
      </c>
      <c r="P2163" s="4">
        <f>IFERROR(__xludf.DUMMYFUNCTION("""COMPUTED_VALUE"""),9.0)</f>
        <v>9</v>
      </c>
      <c r="Q2163" s="4">
        <f>IFERROR(__xludf.DUMMYFUNCTION("""COMPUTED_VALUE"""),2.2)</f>
        <v>2.2</v>
      </c>
      <c r="R2163" s="4">
        <f>IFERROR(__xludf.DUMMYFUNCTION("""COMPUTED_VALUE"""),1.2)</f>
        <v>1.2</v>
      </c>
      <c r="S2163" s="4">
        <f>IFERROR(__xludf.DUMMYFUNCTION("""COMPUTED_VALUE"""),4.2)</f>
        <v>4.2</v>
      </c>
      <c r="T2163" s="4">
        <f>IFERROR(__xludf.DUMMYFUNCTION("""COMPUTED_VALUE"""),0.053)</f>
        <v>0.053</v>
      </c>
      <c r="U2163" s="4">
        <f>IFERROR(__xludf.DUMMYFUNCTION("""COMPUTED_VALUE"""),-3.0)</f>
        <v>-3</v>
      </c>
      <c r="V2163" s="4">
        <f>IFERROR(__xludf.DUMMYFUNCTION("""COMPUTED_VALUE"""),-0.9)</f>
        <v>-0.9</v>
      </c>
    </row>
    <row r="2164">
      <c r="A2164" s="4">
        <f>IFERROR(__xludf.DUMMYFUNCTION("""COMPUTED_VALUE"""),13.0)</f>
        <v>13</v>
      </c>
      <c r="B2164" s="4">
        <f>IFERROR(__xludf.DUMMYFUNCTION("""COMPUTED_VALUE"""),13.0)</f>
        <v>13</v>
      </c>
      <c r="C2164" s="4" t="str">
        <f>IFERROR(__xludf.DUMMYFUNCTION("""COMPUTED_VALUE"""),"DEN")</f>
        <v>DEN</v>
      </c>
      <c r="D2164" s="4" t="str">
        <f>IFERROR(__xludf.DUMMYFUNCTION("""COMPUTED_VALUE"""),"Bryant Stith")</f>
        <v>Bryant Stith</v>
      </c>
      <c r="E2164" s="4" t="str">
        <f>IFERROR(__xludf.DUMMYFUNCTION("""COMPUTED_VALUE"""),"Virginia")</f>
        <v>Virginia</v>
      </c>
      <c r="F2164" s="4">
        <f>IFERROR(__xludf.DUMMYFUNCTION("""COMPUTED_VALUE"""),10.0)</f>
        <v>10</v>
      </c>
      <c r="G2164" s="4">
        <f>IFERROR(__xludf.DUMMYFUNCTION("""COMPUTED_VALUE"""),586.0)</f>
        <v>586</v>
      </c>
      <c r="H2164" s="4">
        <f>IFERROR(__xludf.DUMMYFUNCTION("""COMPUTED_VALUE"""),16417.0)</f>
        <v>16417</v>
      </c>
      <c r="I2164" s="4">
        <f>IFERROR(__xludf.DUMMYFUNCTION("""COMPUTED_VALUE"""),5946.0)</f>
        <v>5946</v>
      </c>
      <c r="J2164" s="4">
        <f>IFERROR(__xludf.DUMMYFUNCTION("""COMPUTED_VALUE"""),1983.0)</f>
        <v>1983</v>
      </c>
      <c r="K2164" s="4">
        <f>IFERROR(__xludf.DUMMYFUNCTION("""COMPUTED_VALUE"""),1178.0)</f>
        <v>1178</v>
      </c>
      <c r="L2164" s="4">
        <f>IFERROR(__xludf.DUMMYFUNCTION("""COMPUTED_VALUE"""),0.424)</f>
        <v>0.424</v>
      </c>
      <c r="M2164" s="4">
        <f>IFERROR(__xludf.DUMMYFUNCTION("""COMPUTED_VALUE"""),0.329)</f>
        <v>0.329</v>
      </c>
      <c r="N2164" s="4">
        <f>IFERROR(__xludf.DUMMYFUNCTION("""COMPUTED_VALUE"""),0.841)</f>
        <v>0.841</v>
      </c>
      <c r="O2164" s="4">
        <f>IFERROR(__xludf.DUMMYFUNCTION("""COMPUTED_VALUE"""),28.0)</f>
        <v>28</v>
      </c>
      <c r="P2164" s="4">
        <f>IFERROR(__xludf.DUMMYFUNCTION("""COMPUTED_VALUE"""),10.1)</f>
        <v>10.1</v>
      </c>
      <c r="Q2164" s="4">
        <f>IFERROR(__xludf.DUMMYFUNCTION("""COMPUTED_VALUE"""),3.4)</f>
        <v>3.4</v>
      </c>
      <c r="R2164" s="4">
        <f>IFERROR(__xludf.DUMMYFUNCTION("""COMPUTED_VALUE"""),2.0)</f>
        <v>2</v>
      </c>
      <c r="S2164" s="4">
        <f>IFERROR(__xludf.DUMMYFUNCTION("""COMPUTED_VALUE"""),29.5)</f>
        <v>29.5</v>
      </c>
      <c r="T2164" s="4">
        <f>IFERROR(__xludf.DUMMYFUNCTION("""COMPUTED_VALUE"""),0.086)</f>
        <v>0.086</v>
      </c>
      <c r="U2164" s="4">
        <f>IFERROR(__xludf.DUMMYFUNCTION("""COMPUTED_VALUE"""),-0.8)</f>
        <v>-0.8</v>
      </c>
      <c r="V2164" s="4">
        <f>IFERROR(__xludf.DUMMYFUNCTION("""COMPUTED_VALUE"""),4.9)</f>
        <v>4.9</v>
      </c>
    </row>
    <row r="2165">
      <c r="A2165" s="4">
        <f>IFERROR(__xludf.DUMMYFUNCTION("""COMPUTED_VALUE"""),14.0)</f>
        <v>14</v>
      </c>
      <c r="B2165" s="4">
        <f>IFERROR(__xludf.DUMMYFUNCTION("""COMPUTED_VALUE"""),14.0)</f>
        <v>14</v>
      </c>
      <c r="C2165" s="4" t="str">
        <f>IFERROR(__xludf.DUMMYFUNCTION("""COMPUTED_VALUE"""),"IND")</f>
        <v>IND</v>
      </c>
      <c r="D2165" s="4" t="str">
        <f>IFERROR(__xludf.DUMMYFUNCTION("""COMPUTED_VALUE"""),"Malik Sealy")</f>
        <v>Malik Sealy</v>
      </c>
      <c r="E2165" s="4" t="str">
        <f>IFERROR(__xludf.DUMMYFUNCTION("""COMPUTED_VALUE"""),"St. John's")</f>
        <v>St. John's</v>
      </c>
      <c r="F2165" s="4">
        <f>IFERROR(__xludf.DUMMYFUNCTION("""COMPUTED_VALUE"""),8.0)</f>
        <v>8</v>
      </c>
      <c r="G2165" s="4">
        <f>IFERROR(__xludf.DUMMYFUNCTION("""COMPUTED_VALUE"""),493.0)</f>
        <v>493</v>
      </c>
      <c r="H2165" s="4">
        <f>IFERROR(__xludf.DUMMYFUNCTION("""COMPUTED_VALUE"""),11720.0)</f>
        <v>11720</v>
      </c>
      <c r="I2165" s="4">
        <f>IFERROR(__xludf.DUMMYFUNCTION("""COMPUTED_VALUE"""),4955.0)</f>
        <v>4955</v>
      </c>
      <c r="J2165" s="4">
        <f>IFERROR(__xludf.DUMMYFUNCTION("""COMPUTED_VALUE"""),1585.0)</f>
        <v>1585</v>
      </c>
      <c r="K2165" s="4">
        <f>IFERROR(__xludf.DUMMYFUNCTION("""COMPUTED_VALUE"""),816.0)</f>
        <v>816</v>
      </c>
      <c r="L2165" s="4">
        <f>IFERROR(__xludf.DUMMYFUNCTION("""COMPUTED_VALUE"""),0.426)</f>
        <v>0.426</v>
      </c>
      <c r="M2165" s="4">
        <f>IFERROR(__xludf.DUMMYFUNCTION("""COMPUTED_VALUE"""),0.292)</f>
        <v>0.292</v>
      </c>
      <c r="N2165" s="4">
        <f>IFERROR(__xludf.DUMMYFUNCTION("""COMPUTED_VALUE"""),0.809)</f>
        <v>0.809</v>
      </c>
      <c r="O2165" s="4">
        <f>IFERROR(__xludf.DUMMYFUNCTION("""COMPUTED_VALUE"""),23.8)</f>
        <v>23.8</v>
      </c>
      <c r="P2165" s="4">
        <f>IFERROR(__xludf.DUMMYFUNCTION("""COMPUTED_VALUE"""),10.1)</f>
        <v>10.1</v>
      </c>
      <c r="Q2165" s="4">
        <f>IFERROR(__xludf.DUMMYFUNCTION("""COMPUTED_VALUE"""),3.2)</f>
        <v>3.2</v>
      </c>
      <c r="R2165" s="4">
        <f>IFERROR(__xludf.DUMMYFUNCTION("""COMPUTED_VALUE"""),1.7)</f>
        <v>1.7</v>
      </c>
      <c r="S2165" s="4">
        <f>IFERROR(__xludf.DUMMYFUNCTION("""COMPUTED_VALUE"""),17.1)</f>
        <v>17.1</v>
      </c>
      <c r="T2165" s="4">
        <f>IFERROR(__xludf.DUMMYFUNCTION("""COMPUTED_VALUE"""),0.07)</f>
        <v>0.07</v>
      </c>
      <c r="U2165" s="4">
        <f>IFERROR(__xludf.DUMMYFUNCTION("""COMPUTED_VALUE"""),-1.2)</f>
        <v>-1.2</v>
      </c>
      <c r="V2165" s="4">
        <f>IFERROR(__xludf.DUMMYFUNCTION("""COMPUTED_VALUE"""),2.2)</f>
        <v>2.2</v>
      </c>
    </row>
    <row r="2166">
      <c r="A2166" s="4">
        <f>IFERROR(__xludf.DUMMYFUNCTION("""COMPUTED_VALUE"""),15.0)</f>
        <v>15</v>
      </c>
      <c r="B2166" s="4">
        <f>IFERROR(__xludf.DUMMYFUNCTION("""COMPUTED_VALUE"""),15.0)</f>
        <v>15</v>
      </c>
      <c r="C2166" s="4" t="str">
        <f>IFERROR(__xludf.DUMMYFUNCTION("""COMPUTED_VALUE"""),"LAL")</f>
        <v>LAL</v>
      </c>
      <c r="D2166" s="4" t="str">
        <f>IFERROR(__xludf.DUMMYFUNCTION("""COMPUTED_VALUE"""),"Anthony Peeler")</f>
        <v>Anthony Peeler</v>
      </c>
      <c r="E2166" s="4" t="str">
        <f>IFERROR(__xludf.DUMMYFUNCTION("""COMPUTED_VALUE"""),"Missouri")</f>
        <v>Missouri</v>
      </c>
      <c r="F2166" s="4">
        <f>IFERROR(__xludf.DUMMYFUNCTION("""COMPUTED_VALUE"""),13.0)</f>
        <v>13</v>
      </c>
      <c r="G2166" s="4">
        <f>IFERROR(__xludf.DUMMYFUNCTION("""COMPUTED_VALUE"""),827.0)</f>
        <v>827</v>
      </c>
      <c r="H2166" s="4">
        <f>IFERROR(__xludf.DUMMYFUNCTION("""COMPUTED_VALUE"""),20464.0)</f>
        <v>20464</v>
      </c>
      <c r="I2166" s="4">
        <f>IFERROR(__xludf.DUMMYFUNCTION("""COMPUTED_VALUE"""),8017.0)</f>
        <v>8017</v>
      </c>
      <c r="J2166" s="4">
        <f>IFERROR(__xludf.DUMMYFUNCTION("""COMPUTED_VALUE"""),2136.0)</f>
        <v>2136</v>
      </c>
      <c r="K2166" s="4">
        <f>IFERROR(__xludf.DUMMYFUNCTION("""COMPUTED_VALUE"""),1956.0)</f>
        <v>1956</v>
      </c>
      <c r="L2166" s="4">
        <f>IFERROR(__xludf.DUMMYFUNCTION("""COMPUTED_VALUE"""),0.427)</f>
        <v>0.427</v>
      </c>
      <c r="M2166" s="4">
        <f>IFERROR(__xludf.DUMMYFUNCTION("""COMPUTED_VALUE"""),0.384)</f>
        <v>0.384</v>
      </c>
      <c r="N2166" s="4">
        <f>IFERROR(__xludf.DUMMYFUNCTION("""COMPUTED_VALUE"""),0.799)</f>
        <v>0.799</v>
      </c>
      <c r="O2166" s="4">
        <f>IFERROR(__xludf.DUMMYFUNCTION("""COMPUTED_VALUE"""),24.7)</f>
        <v>24.7</v>
      </c>
      <c r="P2166" s="4">
        <f>IFERROR(__xludf.DUMMYFUNCTION("""COMPUTED_VALUE"""),9.7)</f>
        <v>9.7</v>
      </c>
      <c r="Q2166" s="4">
        <f>IFERROR(__xludf.DUMMYFUNCTION("""COMPUTED_VALUE"""),2.6)</f>
        <v>2.6</v>
      </c>
      <c r="R2166" s="4">
        <f>IFERROR(__xludf.DUMMYFUNCTION("""COMPUTED_VALUE"""),2.4)</f>
        <v>2.4</v>
      </c>
      <c r="S2166" s="4">
        <f>IFERROR(__xludf.DUMMYFUNCTION("""COMPUTED_VALUE"""),30.7)</f>
        <v>30.7</v>
      </c>
      <c r="T2166" s="4">
        <f>IFERROR(__xludf.DUMMYFUNCTION("""COMPUTED_VALUE"""),0.072)</f>
        <v>0.072</v>
      </c>
      <c r="U2166" s="4">
        <f>IFERROR(__xludf.DUMMYFUNCTION("""COMPUTED_VALUE"""),-0.7)</f>
        <v>-0.7</v>
      </c>
      <c r="V2166" s="4">
        <f>IFERROR(__xludf.DUMMYFUNCTION("""COMPUTED_VALUE"""),6.6)</f>
        <v>6.6</v>
      </c>
    </row>
    <row r="2167">
      <c r="A2167" s="4">
        <f>IFERROR(__xludf.DUMMYFUNCTION("""COMPUTED_VALUE"""),16.0)</f>
        <v>16</v>
      </c>
      <c r="B2167" s="4">
        <f>IFERROR(__xludf.DUMMYFUNCTION("""COMPUTED_VALUE"""),16.0)</f>
        <v>16</v>
      </c>
      <c r="C2167" s="4" t="str">
        <f>IFERROR(__xludf.DUMMYFUNCTION("""COMPUTED_VALUE"""),"LAC")</f>
        <v>LAC</v>
      </c>
      <c r="D2167" s="4" t="str">
        <f>IFERROR(__xludf.DUMMYFUNCTION("""COMPUTED_VALUE"""),"Randy Woods")</f>
        <v>Randy Woods</v>
      </c>
      <c r="E2167" s="4" t="str">
        <f>IFERROR(__xludf.DUMMYFUNCTION("""COMPUTED_VALUE"""),"La Salle")</f>
        <v>La Salle</v>
      </c>
      <c r="F2167" s="4">
        <f>IFERROR(__xludf.DUMMYFUNCTION("""COMPUTED_VALUE"""),4.0)</f>
        <v>4</v>
      </c>
      <c r="G2167" s="4">
        <f>IFERROR(__xludf.DUMMYFUNCTION("""COMPUTED_VALUE"""),151.0)</f>
        <v>151</v>
      </c>
      <c r="H2167" s="4">
        <f>IFERROR(__xludf.DUMMYFUNCTION("""COMPUTED_VALUE"""),1093.0)</f>
        <v>1093</v>
      </c>
      <c r="I2167" s="4">
        <f>IFERROR(__xludf.DUMMYFUNCTION("""COMPUTED_VALUE"""),356.0)</f>
        <v>356</v>
      </c>
      <c r="J2167" s="4">
        <f>IFERROR(__xludf.DUMMYFUNCTION("""COMPUTED_VALUE"""),93.0)</f>
        <v>93</v>
      </c>
      <c r="K2167" s="4">
        <f>IFERROR(__xludf.DUMMYFUNCTION("""COMPUTED_VALUE"""),257.0)</f>
        <v>257</v>
      </c>
      <c r="L2167" s="4">
        <f>IFERROR(__xludf.DUMMYFUNCTION("""COMPUTED_VALUE"""),0.34)</f>
        <v>0.34</v>
      </c>
      <c r="M2167" s="4">
        <f>IFERROR(__xludf.DUMMYFUNCTION("""COMPUTED_VALUE"""),0.305)</f>
        <v>0.305</v>
      </c>
      <c r="N2167" s="4">
        <f>IFERROR(__xludf.DUMMYFUNCTION("""COMPUTED_VALUE"""),0.683)</f>
        <v>0.683</v>
      </c>
      <c r="O2167" s="4">
        <f>IFERROR(__xludf.DUMMYFUNCTION("""COMPUTED_VALUE"""),7.2)</f>
        <v>7.2</v>
      </c>
      <c r="P2167" s="4">
        <f>IFERROR(__xludf.DUMMYFUNCTION("""COMPUTED_VALUE"""),2.4)</f>
        <v>2.4</v>
      </c>
      <c r="Q2167" s="4">
        <f>IFERROR(__xludf.DUMMYFUNCTION("""COMPUTED_VALUE"""),0.6)</f>
        <v>0.6</v>
      </c>
      <c r="R2167" s="4">
        <f>IFERROR(__xludf.DUMMYFUNCTION("""COMPUTED_VALUE"""),1.7)</f>
        <v>1.7</v>
      </c>
      <c r="S2167" s="4">
        <f>IFERROR(__xludf.DUMMYFUNCTION("""COMPUTED_VALUE"""),0.6)</f>
        <v>0.6</v>
      </c>
      <c r="T2167" s="4">
        <f>IFERROR(__xludf.DUMMYFUNCTION("""COMPUTED_VALUE"""),0.026)</f>
        <v>0.026</v>
      </c>
      <c r="U2167" s="4">
        <f>IFERROR(__xludf.DUMMYFUNCTION("""COMPUTED_VALUE"""),-1.5)</f>
        <v>-1.5</v>
      </c>
      <c r="V2167" s="4">
        <f>IFERROR(__xludf.DUMMYFUNCTION("""COMPUTED_VALUE"""),0.1)</f>
        <v>0.1</v>
      </c>
    </row>
    <row r="2168">
      <c r="A2168" s="4">
        <f>IFERROR(__xludf.DUMMYFUNCTION("""COMPUTED_VALUE"""),17.0)</f>
        <v>17</v>
      </c>
      <c r="B2168" s="4">
        <f>IFERROR(__xludf.DUMMYFUNCTION("""COMPUTED_VALUE"""),17.0)</f>
        <v>17</v>
      </c>
      <c r="C2168" s="4" t="str">
        <f>IFERROR(__xludf.DUMMYFUNCTION("""COMPUTED_VALUE"""),"SEA")</f>
        <v>SEA</v>
      </c>
      <c r="D2168" s="4" t="str">
        <f>IFERROR(__xludf.DUMMYFUNCTION("""COMPUTED_VALUE"""),"Doug Christie")</f>
        <v>Doug Christie</v>
      </c>
      <c r="E2168" s="4" t="str">
        <f>IFERROR(__xludf.DUMMYFUNCTION("""COMPUTED_VALUE"""),"Pepperdine")</f>
        <v>Pepperdine</v>
      </c>
      <c r="F2168" s="4">
        <f>IFERROR(__xludf.DUMMYFUNCTION("""COMPUTED_VALUE"""),15.0)</f>
        <v>15</v>
      </c>
      <c r="G2168" s="4">
        <f>IFERROR(__xludf.DUMMYFUNCTION("""COMPUTED_VALUE"""),827.0)</f>
        <v>827</v>
      </c>
      <c r="H2168" s="4">
        <f>IFERROR(__xludf.DUMMYFUNCTION("""COMPUTED_VALUE"""),26079.0)</f>
        <v>26079</v>
      </c>
      <c r="I2168" s="4">
        <f>IFERROR(__xludf.DUMMYFUNCTION("""COMPUTED_VALUE"""),9301.0)</f>
        <v>9301</v>
      </c>
      <c r="J2168" s="4">
        <f>IFERROR(__xludf.DUMMYFUNCTION("""COMPUTED_VALUE"""),3382.0)</f>
        <v>3382</v>
      </c>
      <c r="K2168" s="4">
        <f>IFERROR(__xludf.DUMMYFUNCTION("""COMPUTED_VALUE"""),2992.0)</f>
        <v>2992</v>
      </c>
      <c r="L2168" s="4">
        <f>IFERROR(__xludf.DUMMYFUNCTION("""COMPUTED_VALUE"""),0.426)</f>
        <v>0.426</v>
      </c>
      <c r="M2168" s="4">
        <f>IFERROR(__xludf.DUMMYFUNCTION("""COMPUTED_VALUE"""),0.354)</f>
        <v>0.354</v>
      </c>
      <c r="N2168" s="4">
        <f>IFERROR(__xludf.DUMMYFUNCTION("""COMPUTED_VALUE"""),0.821)</f>
        <v>0.821</v>
      </c>
      <c r="O2168" s="4">
        <f>IFERROR(__xludf.DUMMYFUNCTION("""COMPUTED_VALUE"""),31.5)</f>
        <v>31.5</v>
      </c>
      <c r="P2168" s="4">
        <f>IFERROR(__xludf.DUMMYFUNCTION("""COMPUTED_VALUE"""),11.2)</f>
        <v>11.2</v>
      </c>
      <c r="Q2168" s="4">
        <f>IFERROR(__xludf.DUMMYFUNCTION("""COMPUTED_VALUE"""),4.1)</f>
        <v>4.1</v>
      </c>
      <c r="R2168" s="4">
        <f>IFERROR(__xludf.DUMMYFUNCTION("""COMPUTED_VALUE"""),3.6)</f>
        <v>3.6</v>
      </c>
      <c r="S2168" s="4">
        <f>IFERROR(__xludf.DUMMYFUNCTION("""COMPUTED_VALUE"""),55.7)</f>
        <v>55.7</v>
      </c>
      <c r="T2168" s="4">
        <f>IFERROR(__xludf.DUMMYFUNCTION("""COMPUTED_VALUE"""),0.102)</f>
        <v>0.102</v>
      </c>
      <c r="U2168" s="4">
        <f>IFERROR(__xludf.DUMMYFUNCTION("""COMPUTED_VALUE"""),1.1)</f>
        <v>1.1</v>
      </c>
      <c r="V2168" s="4">
        <f>IFERROR(__xludf.DUMMYFUNCTION("""COMPUTED_VALUE"""),20.7)</f>
        <v>20.7</v>
      </c>
    </row>
    <row r="2169">
      <c r="A2169" s="4">
        <f>IFERROR(__xludf.DUMMYFUNCTION("""COMPUTED_VALUE"""),18.0)</f>
        <v>18</v>
      </c>
      <c r="B2169" s="4">
        <f>IFERROR(__xludf.DUMMYFUNCTION("""COMPUTED_VALUE"""),18.0)</f>
        <v>18</v>
      </c>
      <c r="C2169" s="4" t="str">
        <f>IFERROR(__xludf.DUMMYFUNCTION("""COMPUTED_VALUE"""),"SAS")</f>
        <v>SAS</v>
      </c>
      <c r="D2169" s="4" t="str">
        <f>IFERROR(__xludf.DUMMYFUNCTION("""COMPUTED_VALUE"""),"Tracy Murray")</f>
        <v>Tracy Murray</v>
      </c>
      <c r="E2169" s="4" t="str">
        <f>IFERROR(__xludf.DUMMYFUNCTION("""COMPUTED_VALUE"""),"UCLA")</f>
        <v>UCLA</v>
      </c>
      <c r="F2169" s="4">
        <f>IFERROR(__xludf.DUMMYFUNCTION("""COMPUTED_VALUE"""),12.0)</f>
        <v>12</v>
      </c>
      <c r="G2169" s="4">
        <f>IFERROR(__xludf.DUMMYFUNCTION("""COMPUTED_VALUE"""),659.0)</f>
        <v>659</v>
      </c>
      <c r="H2169" s="4">
        <f>IFERROR(__xludf.DUMMYFUNCTION("""COMPUTED_VALUE"""),12103.0)</f>
        <v>12103</v>
      </c>
      <c r="I2169" s="4">
        <f>IFERROR(__xludf.DUMMYFUNCTION("""COMPUTED_VALUE"""),5943.0)</f>
        <v>5943</v>
      </c>
      <c r="J2169" s="4">
        <f>IFERROR(__xludf.DUMMYFUNCTION("""COMPUTED_VALUE"""),1649.0)</f>
        <v>1649</v>
      </c>
      <c r="K2169" s="4">
        <f>IFERROR(__xludf.DUMMYFUNCTION("""COMPUTED_VALUE"""),508.0)</f>
        <v>508</v>
      </c>
      <c r="L2169" s="4">
        <f>IFERROR(__xludf.DUMMYFUNCTION("""COMPUTED_VALUE"""),0.43)</f>
        <v>0.43</v>
      </c>
      <c r="M2169" s="4">
        <f>IFERROR(__xludf.DUMMYFUNCTION("""COMPUTED_VALUE"""),0.388)</f>
        <v>0.388</v>
      </c>
      <c r="N2169" s="4">
        <f>IFERROR(__xludf.DUMMYFUNCTION("""COMPUTED_VALUE"""),0.829)</f>
        <v>0.829</v>
      </c>
      <c r="O2169" s="4">
        <f>IFERROR(__xludf.DUMMYFUNCTION("""COMPUTED_VALUE"""),18.4)</f>
        <v>18.4</v>
      </c>
      <c r="P2169" s="4">
        <f>IFERROR(__xludf.DUMMYFUNCTION("""COMPUTED_VALUE"""),9.0)</f>
        <v>9</v>
      </c>
      <c r="Q2169" s="4">
        <f>IFERROR(__xludf.DUMMYFUNCTION("""COMPUTED_VALUE"""),2.5)</f>
        <v>2.5</v>
      </c>
      <c r="R2169" s="4">
        <f>IFERROR(__xludf.DUMMYFUNCTION("""COMPUTED_VALUE"""),0.8)</f>
        <v>0.8</v>
      </c>
      <c r="S2169" s="4">
        <f>IFERROR(__xludf.DUMMYFUNCTION("""COMPUTED_VALUE"""),24.1)</f>
        <v>24.1</v>
      </c>
      <c r="T2169" s="4">
        <f>IFERROR(__xludf.DUMMYFUNCTION("""COMPUTED_VALUE"""),0.096)</f>
        <v>0.096</v>
      </c>
      <c r="U2169" s="4">
        <f>IFERROR(__xludf.DUMMYFUNCTION("""COMPUTED_VALUE"""),-0.1)</f>
        <v>-0.1</v>
      </c>
      <c r="V2169" s="4">
        <f>IFERROR(__xludf.DUMMYFUNCTION("""COMPUTED_VALUE"""),5.8)</f>
        <v>5.8</v>
      </c>
    </row>
    <row r="2170">
      <c r="A2170" s="4">
        <f>IFERROR(__xludf.DUMMYFUNCTION("""COMPUTED_VALUE"""),19.0)</f>
        <v>19</v>
      </c>
      <c r="B2170" s="4">
        <f>IFERROR(__xludf.DUMMYFUNCTION("""COMPUTED_VALUE"""),19.0)</f>
        <v>19</v>
      </c>
      <c r="C2170" s="4" t="str">
        <f>IFERROR(__xludf.DUMMYFUNCTION("""COMPUTED_VALUE"""),"DET")</f>
        <v>DET</v>
      </c>
      <c r="D2170" s="4" t="str">
        <f>IFERROR(__xludf.DUMMYFUNCTION("""COMPUTED_VALUE"""),"Don MacLean")</f>
        <v>Don MacLean</v>
      </c>
      <c r="E2170" s="4" t="str">
        <f>IFERROR(__xludf.DUMMYFUNCTION("""COMPUTED_VALUE"""),"UCLA")</f>
        <v>UCLA</v>
      </c>
      <c r="F2170" s="4">
        <f>IFERROR(__xludf.DUMMYFUNCTION("""COMPUTED_VALUE"""),9.0)</f>
        <v>9</v>
      </c>
      <c r="G2170" s="4">
        <f>IFERROR(__xludf.DUMMYFUNCTION("""COMPUTED_VALUE"""),319.0)</f>
        <v>319</v>
      </c>
      <c r="H2170" s="4">
        <f>IFERROR(__xludf.DUMMYFUNCTION("""COMPUTED_VALUE"""),6679.0)</f>
        <v>6679</v>
      </c>
      <c r="I2170" s="4">
        <f>IFERROR(__xludf.DUMMYFUNCTION("""COMPUTED_VALUE"""),3490.0)</f>
        <v>3490</v>
      </c>
      <c r="J2170" s="4">
        <f>IFERROR(__xludf.DUMMYFUNCTION("""COMPUTED_VALUE"""),1210.0)</f>
        <v>1210</v>
      </c>
      <c r="K2170" s="4">
        <f>IFERROR(__xludf.DUMMYFUNCTION("""COMPUTED_VALUE"""),404.0)</f>
        <v>404</v>
      </c>
      <c r="L2170" s="4">
        <f>IFERROR(__xludf.DUMMYFUNCTION("""COMPUTED_VALUE"""),0.455)</f>
        <v>0.455</v>
      </c>
      <c r="M2170" s="4">
        <f>IFERROR(__xludf.DUMMYFUNCTION("""COMPUTED_VALUE"""),0.284)</f>
        <v>0.284</v>
      </c>
      <c r="N2170" s="4">
        <f>IFERROR(__xludf.DUMMYFUNCTION("""COMPUTED_VALUE"""),0.765)</f>
        <v>0.765</v>
      </c>
      <c r="O2170" s="4">
        <f>IFERROR(__xludf.DUMMYFUNCTION("""COMPUTED_VALUE"""),20.9)</f>
        <v>20.9</v>
      </c>
      <c r="P2170" s="4">
        <f>IFERROR(__xludf.DUMMYFUNCTION("""COMPUTED_VALUE"""),10.9)</f>
        <v>10.9</v>
      </c>
      <c r="Q2170" s="4">
        <f>IFERROR(__xludf.DUMMYFUNCTION("""COMPUTED_VALUE"""),3.8)</f>
        <v>3.8</v>
      </c>
      <c r="R2170" s="4">
        <f>IFERROR(__xludf.DUMMYFUNCTION("""COMPUTED_VALUE"""),1.3)</f>
        <v>1.3</v>
      </c>
      <c r="S2170" s="4">
        <f>IFERROR(__xludf.DUMMYFUNCTION("""COMPUTED_VALUE"""),9.4)</f>
        <v>9.4</v>
      </c>
      <c r="T2170" s="4">
        <f>IFERROR(__xludf.DUMMYFUNCTION("""COMPUTED_VALUE"""),0.067)</f>
        <v>0.067</v>
      </c>
      <c r="U2170" s="4">
        <f>IFERROR(__xludf.DUMMYFUNCTION("""COMPUTED_VALUE"""),-2.5)</f>
        <v>-2.5</v>
      </c>
      <c r="V2170" s="4">
        <f>IFERROR(__xludf.DUMMYFUNCTION("""COMPUTED_VALUE"""),-0.9)</f>
        <v>-0.9</v>
      </c>
    </row>
    <row r="2171">
      <c r="A2171" s="4">
        <f>IFERROR(__xludf.DUMMYFUNCTION("""COMPUTED_VALUE"""),20.0)</f>
        <v>20</v>
      </c>
      <c r="B2171" s="4">
        <f>IFERROR(__xludf.DUMMYFUNCTION("""COMPUTED_VALUE"""),20.0)</f>
        <v>20</v>
      </c>
      <c r="C2171" s="4" t="str">
        <f>IFERROR(__xludf.DUMMYFUNCTION("""COMPUTED_VALUE"""),"NYK")</f>
        <v>NYK</v>
      </c>
      <c r="D2171" s="4" t="str">
        <f>IFERROR(__xludf.DUMMYFUNCTION("""COMPUTED_VALUE"""),"Hubert Davis")</f>
        <v>Hubert Davis</v>
      </c>
      <c r="E2171" s="4" t="str">
        <f>IFERROR(__xludf.DUMMYFUNCTION("""COMPUTED_VALUE"""),"UNC")</f>
        <v>UNC</v>
      </c>
      <c r="F2171" s="4">
        <f>IFERROR(__xludf.DUMMYFUNCTION("""COMPUTED_VALUE"""),12.0)</f>
        <v>12</v>
      </c>
      <c r="G2171" s="4">
        <f>IFERROR(__xludf.DUMMYFUNCTION("""COMPUTED_VALUE"""),685.0)</f>
        <v>685</v>
      </c>
      <c r="H2171" s="4">
        <f>IFERROR(__xludf.DUMMYFUNCTION("""COMPUTED_VALUE"""),15143.0)</f>
        <v>15143</v>
      </c>
      <c r="I2171" s="4">
        <f>IFERROR(__xludf.DUMMYFUNCTION("""COMPUTED_VALUE"""),5583.0)</f>
        <v>5583</v>
      </c>
      <c r="J2171" s="4">
        <f>IFERROR(__xludf.DUMMYFUNCTION("""COMPUTED_VALUE"""),1045.0)</f>
        <v>1045</v>
      </c>
      <c r="K2171" s="4">
        <f>IFERROR(__xludf.DUMMYFUNCTION("""COMPUTED_VALUE"""),1172.0)</f>
        <v>1172</v>
      </c>
      <c r="L2171" s="4">
        <f>IFERROR(__xludf.DUMMYFUNCTION("""COMPUTED_VALUE"""),0.458)</f>
        <v>0.458</v>
      </c>
      <c r="M2171" s="4">
        <f>IFERROR(__xludf.DUMMYFUNCTION("""COMPUTED_VALUE"""),0.441)</f>
        <v>0.441</v>
      </c>
      <c r="N2171" s="4">
        <f>IFERROR(__xludf.DUMMYFUNCTION("""COMPUTED_VALUE"""),0.837)</f>
        <v>0.837</v>
      </c>
      <c r="O2171" s="4">
        <f>IFERROR(__xludf.DUMMYFUNCTION("""COMPUTED_VALUE"""),22.1)</f>
        <v>22.1</v>
      </c>
      <c r="P2171" s="4">
        <f>IFERROR(__xludf.DUMMYFUNCTION("""COMPUTED_VALUE"""),8.2)</f>
        <v>8.2</v>
      </c>
      <c r="Q2171" s="4">
        <f>IFERROR(__xludf.DUMMYFUNCTION("""COMPUTED_VALUE"""),1.5)</f>
        <v>1.5</v>
      </c>
      <c r="R2171" s="4">
        <f>IFERROR(__xludf.DUMMYFUNCTION("""COMPUTED_VALUE"""),1.7)</f>
        <v>1.7</v>
      </c>
      <c r="S2171" s="4">
        <f>IFERROR(__xludf.DUMMYFUNCTION("""COMPUTED_VALUE"""),27.7)</f>
        <v>27.7</v>
      </c>
      <c r="T2171" s="4">
        <f>IFERROR(__xludf.DUMMYFUNCTION("""COMPUTED_VALUE"""),0.088)</f>
        <v>0.088</v>
      </c>
      <c r="U2171" s="4">
        <f>IFERROR(__xludf.DUMMYFUNCTION("""COMPUTED_VALUE"""),-0.9)</f>
        <v>-0.9</v>
      </c>
      <c r="V2171" s="4">
        <f>IFERROR(__xludf.DUMMYFUNCTION("""COMPUTED_VALUE"""),4.2)</f>
        <v>4.2</v>
      </c>
    </row>
    <row r="2172">
      <c r="A2172" s="4">
        <f>IFERROR(__xludf.DUMMYFUNCTION("""COMPUTED_VALUE"""),21.0)</f>
        <v>21</v>
      </c>
      <c r="B2172" s="4">
        <f>IFERROR(__xludf.DUMMYFUNCTION("""COMPUTED_VALUE"""),21.0)</f>
        <v>21</v>
      </c>
      <c r="C2172" s="4" t="str">
        <f>IFERROR(__xludf.DUMMYFUNCTION("""COMPUTED_VALUE"""),"BOS")</f>
        <v>BOS</v>
      </c>
      <c r="D2172" s="4" t="str">
        <f>IFERROR(__xludf.DUMMYFUNCTION("""COMPUTED_VALUE"""),"Jon Barry")</f>
        <v>Jon Barry</v>
      </c>
      <c r="E2172" s="4" t="str">
        <f>IFERROR(__xludf.DUMMYFUNCTION("""COMPUTED_VALUE"""),"Georgia Tech")</f>
        <v>Georgia Tech</v>
      </c>
      <c r="F2172" s="4">
        <f>IFERROR(__xludf.DUMMYFUNCTION("""COMPUTED_VALUE"""),14.0)</f>
        <v>14</v>
      </c>
      <c r="G2172" s="4">
        <f>IFERROR(__xludf.DUMMYFUNCTION("""COMPUTED_VALUE"""),821.0)</f>
        <v>821</v>
      </c>
      <c r="H2172" s="4">
        <f>IFERROR(__xludf.DUMMYFUNCTION("""COMPUTED_VALUE"""),13880.0)</f>
        <v>13880</v>
      </c>
      <c r="I2172" s="4">
        <f>IFERROR(__xludf.DUMMYFUNCTION("""COMPUTED_VALUE"""),4715.0)</f>
        <v>4715</v>
      </c>
      <c r="J2172" s="4">
        <f>IFERROR(__xludf.DUMMYFUNCTION("""COMPUTED_VALUE"""),1513.0)</f>
        <v>1513</v>
      </c>
      <c r="K2172" s="4">
        <f>IFERROR(__xludf.DUMMYFUNCTION("""COMPUTED_VALUE"""),1784.0)</f>
        <v>1784</v>
      </c>
      <c r="L2172" s="4">
        <f>IFERROR(__xludf.DUMMYFUNCTION("""COMPUTED_VALUE"""),0.434)</f>
        <v>0.434</v>
      </c>
      <c r="M2172" s="4">
        <f>IFERROR(__xludf.DUMMYFUNCTION("""COMPUTED_VALUE"""),0.392)</f>
        <v>0.392</v>
      </c>
      <c r="N2172" s="4">
        <f>IFERROR(__xludf.DUMMYFUNCTION("""COMPUTED_VALUE"""),0.848)</f>
        <v>0.848</v>
      </c>
      <c r="O2172" s="4">
        <f>IFERROR(__xludf.DUMMYFUNCTION("""COMPUTED_VALUE"""),16.9)</f>
        <v>16.9</v>
      </c>
      <c r="P2172" s="4">
        <f>IFERROR(__xludf.DUMMYFUNCTION("""COMPUTED_VALUE"""),5.7)</f>
        <v>5.7</v>
      </c>
      <c r="Q2172" s="4">
        <f>IFERROR(__xludf.DUMMYFUNCTION("""COMPUTED_VALUE"""),1.8)</f>
        <v>1.8</v>
      </c>
      <c r="R2172" s="4">
        <f>IFERROR(__xludf.DUMMYFUNCTION("""COMPUTED_VALUE"""),2.2)</f>
        <v>2.2</v>
      </c>
      <c r="S2172" s="4">
        <f>IFERROR(__xludf.DUMMYFUNCTION("""COMPUTED_VALUE"""),37.2)</f>
        <v>37.2</v>
      </c>
      <c r="T2172" s="4">
        <f>IFERROR(__xludf.DUMMYFUNCTION("""COMPUTED_VALUE"""),0.129)</f>
        <v>0.129</v>
      </c>
      <c r="U2172" s="4">
        <f>IFERROR(__xludf.DUMMYFUNCTION("""COMPUTED_VALUE"""),1.8)</f>
        <v>1.8</v>
      </c>
      <c r="V2172" s="4">
        <f>IFERROR(__xludf.DUMMYFUNCTION("""COMPUTED_VALUE"""),13.4)</f>
        <v>13.4</v>
      </c>
    </row>
    <row r="2173">
      <c r="A2173" s="4">
        <f>IFERROR(__xludf.DUMMYFUNCTION("""COMPUTED_VALUE"""),22.0)</f>
        <v>22</v>
      </c>
      <c r="B2173" s="4">
        <f>IFERROR(__xludf.DUMMYFUNCTION("""COMPUTED_VALUE"""),22.0)</f>
        <v>22</v>
      </c>
      <c r="C2173" s="4" t="str">
        <f>IFERROR(__xludf.DUMMYFUNCTION("""COMPUTED_VALUE"""),"PHO")</f>
        <v>PHO</v>
      </c>
      <c r="D2173" s="4" t="str">
        <f>IFERROR(__xludf.DUMMYFUNCTION("""COMPUTED_VALUE"""),"Oliver Miller")</f>
        <v>Oliver Miller</v>
      </c>
      <c r="E2173" s="4" t="str">
        <f>IFERROR(__xludf.DUMMYFUNCTION("""COMPUTED_VALUE"""),"Arkansas")</f>
        <v>Arkansas</v>
      </c>
      <c r="F2173" s="4">
        <f>IFERROR(__xludf.DUMMYFUNCTION("""COMPUTED_VALUE"""),9.0)</f>
        <v>9</v>
      </c>
      <c r="G2173" s="4">
        <f>IFERROR(__xludf.DUMMYFUNCTION("""COMPUTED_VALUE"""),493.0)</f>
        <v>493</v>
      </c>
      <c r="H2173" s="4">
        <f>IFERROR(__xludf.DUMMYFUNCTION("""COMPUTED_VALUE"""),11338.0)</f>
        <v>11338</v>
      </c>
      <c r="I2173" s="4">
        <f>IFERROR(__xludf.DUMMYFUNCTION("""COMPUTED_VALUE"""),3625.0)</f>
        <v>3625</v>
      </c>
      <c r="J2173" s="4">
        <f>IFERROR(__xludf.DUMMYFUNCTION("""COMPUTED_VALUE"""),2893.0)</f>
        <v>2893</v>
      </c>
      <c r="K2173" s="4">
        <f>IFERROR(__xludf.DUMMYFUNCTION("""COMPUTED_VALUE"""),1061.0)</f>
        <v>1061</v>
      </c>
      <c r="L2173" s="4">
        <f>IFERROR(__xludf.DUMMYFUNCTION("""COMPUTED_VALUE"""),0.534)</f>
        <v>0.534</v>
      </c>
      <c r="M2173" s="4">
        <f>IFERROR(__xludf.DUMMYFUNCTION("""COMPUTED_VALUE"""),0.116)</f>
        <v>0.116</v>
      </c>
      <c r="N2173" s="4">
        <f>IFERROR(__xludf.DUMMYFUNCTION("""COMPUTED_VALUE"""),0.639)</f>
        <v>0.639</v>
      </c>
      <c r="O2173" s="4">
        <f>IFERROR(__xludf.DUMMYFUNCTION("""COMPUTED_VALUE"""),23.0)</f>
        <v>23</v>
      </c>
      <c r="P2173" s="4">
        <f>IFERROR(__xludf.DUMMYFUNCTION("""COMPUTED_VALUE"""),7.4)</f>
        <v>7.4</v>
      </c>
      <c r="Q2173" s="4">
        <f>IFERROR(__xludf.DUMMYFUNCTION("""COMPUTED_VALUE"""),5.9)</f>
        <v>5.9</v>
      </c>
      <c r="R2173" s="4">
        <f>IFERROR(__xludf.DUMMYFUNCTION("""COMPUTED_VALUE"""),2.2)</f>
        <v>2.2</v>
      </c>
      <c r="S2173" s="4">
        <f>IFERROR(__xludf.DUMMYFUNCTION("""COMPUTED_VALUE"""),21.1)</f>
        <v>21.1</v>
      </c>
      <c r="T2173" s="4">
        <f>IFERROR(__xludf.DUMMYFUNCTION("""COMPUTED_VALUE"""),0.089)</f>
        <v>0.089</v>
      </c>
      <c r="U2173" s="4">
        <f>IFERROR(__xludf.DUMMYFUNCTION("""COMPUTED_VALUE"""),0.6)</f>
        <v>0.6</v>
      </c>
      <c r="V2173" s="4">
        <f>IFERROR(__xludf.DUMMYFUNCTION("""COMPUTED_VALUE"""),7.4)</f>
        <v>7.4</v>
      </c>
    </row>
    <row r="2174">
      <c r="A2174" s="4">
        <f>IFERROR(__xludf.DUMMYFUNCTION("""COMPUTED_VALUE"""),23.0)</f>
        <v>23</v>
      </c>
      <c r="B2174" s="4">
        <f>IFERROR(__xludf.DUMMYFUNCTION("""COMPUTED_VALUE"""),23.0)</f>
        <v>23</v>
      </c>
      <c r="C2174" s="4" t="str">
        <f>IFERROR(__xludf.DUMMYFUNCTION("""COMPUTED_VALUE"""),"MIL")</f>
        <v>MIL</v>
      </c>
      <c r="D2174" s="4" t="str">
        <f>IFERROR(__xludf.DUMMYFUNCTION("""COMPUTED_VALUE"""),"Lee Mayberry")</f>
        <v>Lee Mayberry</v>
      </c>
      <c r="E2174" s="4" t="str">
        <f>IFERROR(__xludf.DUMMYFUNCTION("""COMPUTED_VALUE"""),"Arkansas")</f>
        <v>Arkansas</v>
      </c>
      <c r="F2174" s="4">
        <f>IFERROR(__xludf.DUMMYFUNCTION("""COMPUTED_VALUE"""),7.0)</f>
        <v>7</v>
      </c>
      <c r="G2174" s="4">
        <f>IFERROR(__xludf.DUMMYFUNCTION("""COMPUTED_VALUE"""),496.0)</f>
        <v>496</v>
      </c>
      <c r="H2174" s="4">
        <f>IFERROR(__xludf.DUMMYFUNCTION("""COMPUTED_VALUE"""),10337.0)</f>
        <v>10337</v>
      </c>
      <c r="I2174" s="4">
        <f>IFERROR(__xludf.DUMMYFUNCTION("""COMPUTED_VALUE"""),2546.0)</f>
        <v>2546</v>
      </c>
      <c r="J2174" s="4">
        <f>IFERROR(__xludf.DUMMYFUNCTION("""COMPUTED_VALUE"""),642.0)</f>
        <v>642</v>
      </c>
      <c r="K2174" s="4">
        <f>IFERROR(__xludf.DUMMYFUNCTION("""COMPUTED_VALUE"""),1767.0)</f>
        <v>1767</v>
      </c>
      <c r="L2174" s="4">
        <f>IFERROR(__xludf.DUMMYFUNCTION("""COMPUTED_VALUE"""),0.415)</f>
        <v>0.415</v>
      </c>
      <c r="M2174" s="4">
        <f>IFERROR(__xludf.DUMMYFUNCTION("""COMPUTED_VALUE"""),0.377)</f>
        <v>0.377</v>
      </c>
      <c r="N2174" s="4">
        <f>IFERROR(__xludf.DUMMYFUNCTION("""COMPUTED_VALUE"""),0.659)</f>
        <v>0.659</v>
      </c>
      <c r="O2174" s="4">
        <f>IFERROR(__xludf.DUMMYFUNCTION("""COMPUTED_VALUE"""),20.8)</f>
        <v>20.8</v>
      </c>
      <c r="P2174" s="4">
        <f>IFERROR(__xludf.DUMMYFUNCTION("""COMPUTED_VALUE"""),5.1)</f>
        <v>5.1</v>
      </c>
      <c r="Q2174" s="4">
        <f>IFERROR(__xludf.DUMMYFUNCTION("""COMPUTED_VALUE"""),1.3)</f>
        <v>1.3</v>
      </c>
      <c r="R2174" s="4">
        <f>IFERROR(__xludf.DUMMYFUNCTION("""COMPUTED_VALUE"""),3.6)</f>
        <v>3.6</v>
      </c>
      <c r="S2174" s="4">
        <f>IFERROR(__xludf.DUMMYFUNCTION("""COMPUTED_VALUE"""),7.9)</f>
        <v>7.9</v>
      </c>
      <c r="T2174" s="4">
        <f>IFERROR(__xludf.DUMMYFUNCTION("""COMPUTED_VALUE"""),0.036)</f>
        <v>0.036</v>
      </c>
      <c r="U2174" s="4">
        <f>IFERROR(__xludf.DUMMYFUNCTION("""COMPUTED_VALUE"""),-2.9)</f>
        <v>-2.9</v>
      </c>
      <c r="V2174" s="4">
        <f>IFERROR(__xludf.DUMMYFUNCTION("""COMPUTED_VALUE"""),-2.3)</f>
        <v>-2.3</v>
      </c>
    </row>
    <row r="2175">
      <c r="A2175" s="4">
        <f>IFERROR(__xludf.DUMMYFUNCTION("""COMPUTED_VALUE"""),24.0)</f>
        <v>24</v>
      </c>
      <c r="B2175" s="4">
        <f>IFERROR(__xludf.DUMMYFUNCTION("""COMPUTED_VALUE"""),24.0)</f>
        <v>24</v>
      </c>
      <c r="C2175" s="4" t="str">
        <f>IFERROR(__xludf.DUMMYFUNCTION("""COMPUTED_VALUE"""),"GSW")</f>
        <v>GSW</v>
      </c>
      <c r="D2175" s="4" t="str">
        <f>IFERROR(__xludf.DUMMYFUNCTION("""COMPUTED_VALUE"""),"Latrell Sprewell")</f>
        <v>Latrell Sprewell</v>
      </c>
      <c r="E2175" s="4" t="str">
        <f>IFERROR(__xludf.DUMMYFUNCTION("""COMPUTED_VALUE"""),"Alabama")</f>
        <v>Alabama</v>
      </c>
      <c r="F2175" s="4">
        <f>IFERROR(__xludf.DUMMYFUNCTION("""COMPUTED_VALUE"""),13.0)</f>
        <v>13</v>
      </c>
      <c r="G2175" s="4">
        <f>IFERROR(__xludf.DUMMYFUNCTION("""COMPUTED_VALUE"""),913.0)</f>
        <v>913</v>
      </c>
      <c r="H2175" s="4">
        <f>IFERROR(__xludf.DUMMYFUNCTION("""COMPUTED_VALUE"""),35270.0)</f>
        <v>35270</v>
      </c>
      <c r="I2175" s="4">
        <f>IFERROR(__xludf.DUMMYFUNCTION("""COMPUTED_VALUE"""),16712.0)</f>
        <v>16712</v>
      </c>
      <c r="J2175" s="4">
        <f>IFERROR(__xludf.DUMMYFUNCTION("""COMPUTED_VALUE"""),3724.0)</f>
        <v>3724</v>
      </c>
      <c r="K2175" s="4">
        <f>IFERROR(__xludf.DUMMYFUNCTION("""COMPUTED_VALUE"""),3664.0)</f>
        <v>3664</v>
      </c>
      <c r="L2175" s="4">
        <f>IFERROR(__xludf.DUMMYFUNCTION("""COMPUTED_VALUE"""),0.425)</f>
        <v>0.425</v>
      </c>
      <c r="M2175" s="4">
        <f>IFERROR(__xludf.DUMMYFUNCTION("""COMPUTED_VALUE"""),0.337)</f>
        <v>0.337</v>
      </c>
      <c r="N2175" s="4">
        <f>IFERROR(__xludf.DUMMYFUNCTION("""COMPUTED_VALUE"""),0.804)</f>
        <v>0.804</v>
      </c>
      <c r="O2175" s="4">
        <f>IFERROR(__xludf.DUMMYFUNCTION("""COMPUTED_VALUE"""),38.6)</f>
        <v>38.6</v>
      </c>
      <c r="P2175" s="4">
        <f>IFERROR(__xludf.DUMMYFUNCTION("""COMPUTED_VALUE"""),18.3)</f>
        <v>18.3</v>
      </c>
      <c r="Q2175" s="4">
        <f>IFERROR(__xludf.DUMMYFUNCTION("""COMPUTED_VALUE"""),4.1)</f>
        <v>4.1</v>
      </c>
      <c r="R2175" s="4">
        <f>IFERROR(__xludf.DUMMYFUNCTION("""COMPUTED_VALUE"""),4.0)</f>
        <v>4</v>
      </c>
      <c r="S2175" s="4">
        <f>IFERROR(__xludf.DUMMYFUNCTION("""COMPUTED_VALUE"""),56.3)</f>
        <v>56.3</v>
      </c>
      <c r="T2175" s="4">
        <f>IFERROR(__xludf.DUMMYFUNCTION("""COMPUTED_VALUE"""),0.077)</f>
        <v>0.077</v>
      </c>
      <c r="U2175" s="4">
        <f>IFERROR(__xludf.DUMMYFUNCTION("""COMPUTED_VALUE"""),0.4)</f>
        <v>0.4</v>
      </c>
      <c r="V2175" s="4">
        <f>IFERROR(__xludf.DUMMYFUNCTION("""COMPUTED_VALUE"""),21.0)</f>
        <v>21</v>
      </c>
    </row>
    <row r="2176">
      <c r="A2176" s="4">
        <f>IFERROR(__xludf.DUMMYFUNCTION("""COMPUTED_VALUE"""),25.0)</f>
        <v>25</v>
      </c>
      <c r="B2176" s="4">
        <f>IFERROR(__xludf.DUMMYFUNCTION("""COMPUTED_VALUE"""),25.0)</f>
        <v>25</v>
      </c>
      <c r="C2176" s="4" t="str">
        <f>IFERROR(__xludf.DUMMYFUNCTION("""COMPUTED_VALUE"""),"LAC")</f>
        <v>LAC</v>
      </c>
      <c r="D2176" s="4" t="str">
        <f>IFERROR(__xludf.DUMMYFUNCTION("""COMPUTED_VALUE"""),"Elmore Spencer")</f>
        <v>Elmore Spencer</v>
      </c>
      <c r="E2176" s="4" t="str">
        <f>IFERROR(__xludf.DUMMYFUNCTION("""COMPUTED_VALUE"""),"UNLV")</f>
        <v>UNLV</v>
      </c>
      <c r="F2176" s="4">
        <f>IFERROR(__xludf.DUMMYFUNCTION("""COMPUTED_VALUE"""),5.0)</f>
        <v>5</v>
      </c>
      <c r="G2176" s="4">
        <f>IFERROR(__xludf.DUMMYFUNCTION("""COMPUTED_VALUE"""),157.0)</f>
        <v>157</v>
      </c>
      <c r="H2176" s="4">
        <f>IFERROR(__xludf.DUMMYFUNCTION("""COMPUTED_VALUE"""),2641.0)</f>
        <v>2641</v>
      </c>
      <c r="I2176" s="4">
        <f>IFERROR(__xludf.DUMMYFUNCTION("""COMPUTED_VALUE"""),923.0)</f>
        <v>923</v>
      </c>
      <c r="J2176" s="4">
        <f>IFERROR(__xludf.DUMMYFUNCTION("""COMPUTED_VALUE"""),555.0)</f>
        <v>555</v>
      </c>
      <c r="K2176" s="4">
        <f>IFERROR(__xludf.DUMMYFUNCTION("""COMPUTED_VALUE"""),109.0)</f>
        <v>109</v>
      </c>
      <c r="L2176" s="4">
        <f>IFERROR(__xludf.DUMMYFUNCTION("""COMPUTED_VALUE"""),0.516)</f>
        <v>0.516</v>
      </c>
      <c r="M2176" s="4">
        <f>IFERROR(__xludf.DUMMYFUNCTION("""COMPUTED_VALUE"""),0.0)</f>
        <v>0</v>
      </c>
      <c r="N2176" s="4">
        <f>IFERROR(__xludf.DUMMYFUNCTION("""COMPUTED_VALUE"""),0.58)</f>
        <v>0.58</v>
      </c>
      <c r="O2176" s="4">
        <f>IFERROR(__xludf.DUMMYFUNCTION("""COMPUTED_VALUE"""),16.8)</f>
        <v>16.8</v>
      </c>
      <c r="P2176" s="4">
        <f>IFERROR(__xludf.DUMMYFUNCTION("""COMPUTED_VALUE"""),5.9)</f>
        <v>5.9</v>
      </c>
      <c r="Q2176" s="4">
        <f>IFERROR(__xludf.DUMMYFUNCTION("""COMPUTED_VALUE"""),3.5)</f>
        <v>3.5</v>
      </c>
      <c r="R2176" s="4">
        <f>IFERROR(__xludf.DUMMYFUNCTION("""COMPUTED_VALUE"""),0.7)</f>
        <v>0.7</v>
      </c>
      <c r="S2176" s="4">
        <f>IFERROR(__xludf.DUMMYFUNCTION("""COMPUTED_VALUE"""),0.0)</f>
        <v>0</v>
      </c>
      <c r="T2176" s="4">
        <f>IFERROR(__xludf.DUMMYFUNCTION("""COMPUTED_VALUE"""),0.001)</f>
        <v>0.001</v>
      </c>
      <c r="U2176" s="4">
        <f>IFERROR(__xludf.DUMMYFUNCTION("""COMPUTED_VALUE"""),-4.6)</f>
        <v>-4.6</v>
      </c>
      <c r="V2176" s="4">
        <f>IFERROR(__xludf.DUMMYFUNCTION("""COMPUTED_VALUE"""),-1.7)</f>
        <v>-1.7</v>
      </c>
    </row>
    <row r="2177">
      <c r="A2177" s="4">
        <f>IFERROR(__xludf.DUMMYFUNCTION("""COMPUTED_VALUE"""),26.0)</f>
        <v>26</v>
      </c>
      <c r="B2177" s="4">
        <f>IFERROR(__xludf.DUMMYFUNCTION("""COMPUTED_VALUE"""),26.0)</f>
        <v>26</v>
      </c>
      <c r="C2177" s="4" t="str">
        <f>IFERROR(__xludf.DUMMYFUNCTION("""COMPUTED_VALUE"""),"POR")</f>
        <v>POR</v>
      </c>
      <c r="D2177" s="4" t="str">
        <f>IFERROR(__xludf.DUMMYFUNCTION("""COMPUTED_VALUE"""),"Dave Johnson")</f>
        <v>Dave Johnson</v>
      </c>
      <c r="E2177" s="4" t="str">
        <f>IFERROR(__xludf.DUMMYFUNCTION("""COMPUTED_VALUE"""),"Syracuse")</f>
        <v>Syracuse</v>
      </c>
      <c r="F2177" s="4">
        <f>IFERROR(__xludf.DUMMYFUNCTION("""COMPUTED_VALUE"""),2.0)</f>
        <v>2</v>
      </c>
      <c r="G2177" s="4">
        <f>IFERROR(__xludf.DUMMYFUNCTION("""COMPUTED_VALUE"""),59.0)</f>
        <v>59</v>
      </c>
      <c r="H2177" s="4">
        <f>IFERROR(__xludf.DUMMYFUNCTION("""COMPUTED_VALUE"""),475.0)</f>
        <v>475</v>
      </c>
      <c r="I2177" s="4">
        <f>IFERROR(__xludf.DUMMYFUNCTION("""COMPUTED_VALUE"""),204.0)</f>
        <v>204</v>
      </c>
      <c r="J2177" s="4">
        <f>IFERROR(__xludf.DUMMYFUNCTION("""COMPUTED_VALUE"""),64.0)</f>
        <v>64</v>
      </c>
      <c r="K2177" s="4">
        <f>IFERROR(__xludf.DUMMYFUNCTION("""COMPUTED_VALUE"""),17.0)</f>
        <v>17</v>
      </c>
      <c r="L2177" s="4">
        <f>IFERROR(__xludf.DUMMYFUNCTION("""COMPUTED_VALUE"""),0.365)</f>
        <v>0.365</v>
      </c>
      <c r="M2177" s="4">
        <f>IFERROR(__xludf.DUMMYFUNCTION("""COMPUTED_VALUE"""),0.2)</f>
        <v>0.2</v>
      </c>
      <c r="N2177" s="4">
        <f>IFERROR(__xludf.DUMMYFUNCTION("""COMPUTED_VALUE"""),0.663)</f>
        <v>0.663</v>
      </c>
      <c r="O2177" s="4">
        <f>IFERROR(__xludf.DUMMYFUNCTION("""COMPUTED_VALUE"""),8.1)</f>
        <v>8.1</v>
      </c>
      <c r="P2177" s="4">
        <f>IFERROR(__xludf.DUMMYFUNCTION("""COMPUTED_VALUE"""),3.5)</f>
        <v>3.5</v>
      </c>
      <c r="Q2177" s="4">
        <f>IFERROR(__xludf.DUMMYFUNCTION("""COMPUTED_VALUE"""),1.1)</f>
        <v>1.1</v>
      </c>
      <c r="R2177" s="4">
        <f>IFERROR(__xludf.DUMMYFUNCTION("""COMPUTED_VALUE"""),0.3)</f>
        <v>0.3</v>
      </c>
      <c r="S2177" s="4">
        <f>IFERROR(__xludf.DUMMYFUNCTION("""COMPUTED_VALUE"""),-0.3)</f>
        <v>-0.3</v>
      </c>
      <c r="T2177" s="4">
        <f>IFERROR(__xludf.DUMMYFUNCTION("""COMPUTED_VALUE"""),-0.032)</f>
        <v>-0.032</v>
      </c>
      <c r="U2177" s="4">
        <f>IFERROR(__xludf.DUMMYFUNCTION("""COMPUTED_VALUE"""),-8.2)</f>
        <v>-8.2</v>
      </c>
      <c r="V2177" s="4">
        <f>IFERROR(__xludf.DUMMYFUNCTION("""COMPUTED_VALUE"""),-0.7)</f>
        <v>-0.7</v>
      </c>
    </row>
    <row r="2178">
      <c r="A2178" s="4">
        <f>IFERROR(__xludf.DUMMYFUNCTION("""COMPUTED_VALUE"""),27.0)</f>
        <v>27</v>
      </c>
      <c r="B2178" s="4">
        <f>IFERROR(__xludf.DUMMYFUNCTION("""COMPUTED_VALUE"""),27.0)</f>
        <v>27</v>
      </c>
      <c r="C2178" s="4" t="str">
        <f>IFERROR(__xludf.DUMMYFUNCTION("""COMPUTED_VALUE"""),"CHI")</f>
        <v>CHI</v>
      </c>
      <c r="D2178" s="4" t="str">
        <f>IFERROR(__xludf.DUMMYFUNCTION("""COMPUTED_VALUE"""),"Byron Houston")</f>
        <v>Byron Houston</v>
      </c>
      <c r="E2178" s="4" t="str">
        <f>IFERROR(__xludf.DUMMYFUNCTION("""COMPUTED_VALUE"""),"Oklahoma State")</f>
        <v>Oklahoma State</v>
      </c>
      <c r="F2178" s="4">
        <f>IFERROR(__xludf.DUMMYFUNCTION("""COMPUTED_VALUE"""),4.0)</f>
        <v>4</v>
      </c>
      <c r="G2178" s="4">
        <f>IFERROR(__xludf.DUMMYFUNCTION("""COMPUTED_VALUE"""),214.0)</f>
        <v>214</v>
      </c>
      <c r="H2178" s="4">
        <f>IFERROR(__xludf.DUMMYFUNCTION("""COMPUTED_VALUE"""),2674.0)</f>
        <v>2674</v>
      </c>
      <c r="I2178" s="4">
        <f>IFERROR(__xludf.DUMMYFUNCTION("""COMPUTED_VALUE"""),835.0)</f>
        <v>835</v>
      </c>
      <c r="J2178" s="4">
        <f>IFERROR(__xludf.DUMMYFUNCTION("""COMPUTED_VALUE"""),648.0)</f>
        <v>648</v>
      </c>
      <c r="K2178" s="4">
        <f>IFERROR(__xludf.DUMMYFUNCTION("""COMPUTED_VALUE"""),114.0)</f>
        <v>114</v>
      </c>
      <c r="L2178" s="4">
        <f>IFERROR(__xludf.DUMMYFUNCTION("""COMPUTED_VALUE"""),0.456)</f>
        <v>0.456</v>
      </c>
      <c r="M2178" s="4">
        <f>IFERROR(__xludf.DUMMYFUNCTION("""COMPUTED_VALUE"""),0.256)</f>
        <v>0.256</v>
      </c>
      <c r="N2178" s="4">
        <f>IFERROR(__xludf.DUMMYFUNCTION("""COMPUTED_VALUE"""),0.676)</f>
        <v>0.676</v>
      </c>
      <c r="O2178" s="4">
        <f>IFERROR(__xludf.DUMMYFUNCTION("""COMPUTED_VALUE"""),12.5)</f>
        <v>12.5</v>
      </c>
      <c r="P2178" s="4">
        <f>IFERROR(__xludf.DUMMYFUNCTION("""COMPUTED_VALUE"""),3.9)</f>
        <v>3.9</v>
      </c>
      <c r="Q2178" s="4">
        <f>IFERROR(__xludf.DUMMYFUNCTION("""COMPUTED_VALUE"""),3.0)</f>
        <v>3</v>
      </c>
      <c r="R2178" s="4">
        <f>IFERROR(__xludf.DUMMYFUNCTION("""COMPUTED_VALUE"""),0.5)</f>
        <v>0.5</v>
      </c>
      <c r="S2178" s="4">
        <f>IFERROR(__xludf.DUMMYFUNCTION("""COMPUTED_VALUE"""),3.9)</f>
        <v>3.9</v>
      </c>
      <c r="T2178" s="4">
        <f>IFERROR(__xludf.DUMMYFUNCTION("""COMPUTED_VALUE"""),0.069)</f>
        <v>0.069</v>
      </c>
      <c r="U2178" s="4">
        <f>IFERROR(__xludf.DUMMYFUNCTION("""COMPUTED_VALUE"""),-3.9)</f>
        <v>-3.9</v>
      </c>
      <c r="V2178" s="4">
        <f>IFERROR(__xludf.DUMMYFUNCTION("""COMPUTED_VALUE"""),-1.3)</f>
        <v>-1.3</v>
      </c>
    </row>
    <row r="2179">
      <c r="A2179" s="4"/>
      <c r="B2179" s="4"/>
      <c r="C2179" s="4"/>
      <c r="D2179" s="4" t="str">
        <f>IFERROR(__xludf.DUMMYFUNCTION("""COMPUTED_VALUE"""),"Round 2")</f>
        <v>Round 2</v>
      </c>
      <c r="E2179" s="4"/>
      <c r="F2179" s="4"/>
      <c r="G2179" s="4" t="str">
        <f>IFERROR(__xludf.DUMMYFUNCTION("""COMPUTED_VALUE"""),"Totals")</f>
        <v>Totals</v>
      </c>
      <c r="H2179" s="4"/>
      <c r="I2179" s="4"/>
      <c r="J2179" s="4"/>
      <c r="K2179" s="4"/>
      <c r="L2179" s="4" t="str">
        <f>IFERROR(__xludf.DUMMYFUNCTION("""COMPUTED_VALUE"""),"Shooting")</f>
        <v>Shooting</v>
      </c>
      <c r="M2179" s="4"/>
      <c r="N2179" s="4"/>
      <c r="O2179" s="4" t="str">
        <f>IFERROR(__xludf.DUMMYFUNCTION("""COMPUTED_VALUE"""),"Per Game")</f>
        <v>Per Game</v>
      </c>
      <c r="P2179" s="4"/>
      <c r="Q2179" s="4"/>
      <c r="R2179" s="4"/>
      <c r="S2179" s="4" t="str">
        <f>IFERROR(__xludf.DUMMYFUNCTION("""COMPUTED_VALUE"""),"Advanced")</f>
        <v>Advanced</v>
      </c>
      <c r="T2179" s="4"/>
      <c r="U2179" s="4"/>
      <c r="V2179" s="4"/>
    </row>
    <row r="2180">
      <c r="A2180" s="4" t="str">
        <f>IFERROR(__xludf.DUMMYFUNCTION("""COMPUTED_VALUE"""),"Rk")</f>
        <v>Rk</v>
      </c>
      <c r="B2180" s="4" t="str">
        <f>IFERROR(__xludf.DUMMYFUNCTION("""COMPUTED_VALUE"""),"Pk")</f>
        <v>Pk</v>
      </c>
      <c r="C2180" s="4" t="str">
        <f>IFERROR(__xludf.DUMMYFUNCTION("""COMPUTED_VALUE"""),"Tm")</f>
        <v>Tm</v>
      </c>
      <c r="D2180" s="4" t="str">
        <f>IFERROR(__xludf.DUMMYFUNCTION("""COMPUTED_VALUE"""),"Player")</f>
        <v>Player</v>
      </c>
      <c r="E2180" s="4" t="str">
        <f>IFERROR(__xludf.DUMMYFUNCTION("""COMPUTED_VALUE"""),"College")</f>
        <v>College</v>
      </c>
      <c r="F2180" s="4" t="str">
        <f>IFERROR(__xludf.DUMMYFUNCTION("""COMPUTED_VALUE"""),"Yrs")</f>
        <v>Yrs</v>
      </c>
      <c r="G2180" s="4" t="str">
        <f>IFERROR(__xludf.DUMMYFUNCTION("""COMPUTED_VALUE"""),"G")</f>
        <v>G</v>
      </c>
      <c r="H2180" s="4" t="str">
        <f>IFERROR(__xludf.DUMMYFUNCTION("""COMPUTED_VALUE"""),"MP")</f>
        <v>MP</v>
      </c>
      <c r="I2180" s="4" t="str">
        <f>IFERROR(__xludf.DUMMYFUNCTION("""COMPUTED_VALUE"""),"PTS")</f>
        <v>PTS</v>
      </c>
      <c r="J2180" s="4" t="str">
        <f>IFERROR(__xludf.DUMMYFUNCTION("""COMPUTED_VALUE"""),"TRB")</f>
        <v>TRB</v>
      </c>
      <c r="K2180" s="4" t="str">
        <f>IFERROR(__xludf.DUMMYFUNCTION("""COMPUTED_VALUE"""),"AST")</f>
        <v>AST</v>
      </c>
      <c r="L2180" s="4" t="str">
        <f>IFERROR(__xludf.DUMMYFUNCTION("""COMPUTED_VALUE"""),"FG%")</f>
        <v>FG%</v>
      </c>
      <c r="M2180" s="4" t="str">
        <f>IFERROR(__xludf.DUMMYFUNCTION("""COMPUTED_VALUE"""),"3P%")</f>
        <v>3P%</v>
      </c>
      <c r="N2180" s="4" t="str">
        <f>IFERROR(__xludf.DUMMYFUNCTION("""COMPUTED_VALUE"""),"FT%")</f>
        <v>FT%</v>
      </c>
      <c r="O2180" s="4" t="str">
        <f>IFERROR(__xludf.DUMMYFUNCTION("""COMPUTED_VALUE"""),"MP")</f>
        <v>MP</v>
      </c>
      <c r="P2180" s="4" t="str">
        <f>IFERROR(__xludf.DUMMYFUNCTION("""COMPUTED_VALUE"""),"PTS")</f>
        <v>PTS</v>
      </c>
      <c r="Q2180" s="4" t="str">
        <f>IFERROR(__xludf.DUMMYFUNCTION("""COMPUTED_VALUE"""),"TRB")</f>
        <v>TRB</v>
      </c>
      <c r="R2180" s="4" t="str">
        <f>IFERROR(__xludf.DUMMYFUNCTION("""COMPUTED_VALUE"""),"AST")</f>
        <v>AST</v>
      </c>
      <c r="S2180" s="4" t="str">
        <f>IFERROR(__xludf.DUMMYFUNCTION("""COMPUTED_VALUE"""),"WS")</f>
        <v>WS</v>
      </c>
      <c r="T2180" s="4" t="str">
        <f>IFERROR(__xludf.DUMMYFUNCTION("""COMPUTED_VALUE"""),"WS/48")</f>
        <v>WS/48</v>
      </c>
      <c r="U2180" s="4" t="str">
        <f>IFERROR(__xludf.DUMMYFUNCTION("""COMPUTED_VALUE"""),"BPM")</f>
        <v>BPM</v>
      </c>
      <c r="V2180" s="4" t="str">
        <f>IFERROR(__xludf.DUMMYFUNCTION("""COMPUTED_VALUE"""),"VORP")</f>
        <v>VORP</v>
      </c>
    </row>
    <row r="2181">
      <c r="A2181" s="4">
        <f>IFERROR(__xludf.DUMMYFUNCTION("""COMPUTED_VALUE"""),28.0)</f>
        <v>28</v>
      </c>
      <c r="B2181" s="4">
        <f>IFERROR(__xludf.DUMMYFUNCTION("""COMPUTED_VALUE"""),28.0)</f>
        <v>28</v>
      </c>
      <c r="C2181" s="4" t="str">
        <f>IFERROR(__xludf.DUMMYFUNCTION("""COMPUTED_VALUE"""),"MIN")</f>
        <v>MIN</v>
      </c>
      <c r="D2181" s="4" t="str">
        <f>IFERROR(__xludf.DUMMYFUNCTION("""COMPUTED_VALUE"""),"Marlon Maxey")</f>
        <v>Marlon Maxey</v>
      </c>
      <c r="E2181" s="4" t="str">
        <f>IFERROR(__xludf.DUMMYFUNCTION("""COMPUTED_VALUE"""),"Texas-El Paso")</f>
        <v>Texas-El Paso</v>
      </c>
      <c r="F2181" s="4">
        <f>IFERROR(__xludf.DUMMYFUNCTION("""COMPUTED_VALUE"""),2.0)</f>
        <v>2</v>
      </c>
      <c r="G2181" s="4">
        <f>IFERROR(__xludf.DUMMYFUNCTION("""COMPUTED_VALUE"""),98.0)</f>
        <v>98</v>
      </c>
      <c r="H2181" s="4">
        <f>IFERROR(__xludf.DUMMYFUNCTION("""COMPUTED_VALUE"""),1146.0)</f>
        <v>1146</v>
      </c>
      <c r="I2181" s="4">
        <f>IFERROR(__xludf.DUMMYFUNCTION("""COMPUTED_VALUE"""),479.0)</f>
        <v>479</v>
      </c>
      <c r="J2181" s="4">
        <f>IFERROR(__xludf.DUMMYFUNCTION("""COMPUTED_VALUE"""),363.0)</f>
        <v>363</v>
      </c>
      <c r="K2181" s="4">
        <f>IFERROR(__xludf.DUMMYFUNCTION("""COMPUTED_VALUE"""),22.0)</f>
        <v>22</v>
      </c>
      <c r="L2181" s="4">
        <f>IFERROR(__xludf.DUMMYFUNCTION("""COMPUTED_VALUE"""),0.542)</f>
        <v>0.542</v>
      </c>
      <c r="M2181" s="4">
        <f>IFERROR(__xludf.DUMMYFUNCTION("""COMPUTED_VALUE"""),0.0)</f>
        <v>0</v>
      </c>
      <c r="N2181" s="4">
        <f>IFERROR(__xludf.DUMMYFUNCTION("""COMPUTED_VALUE"""),0.685)</f>
        <v>0.685</v>
      </c>
      <c r="O2181" s="4">
        <f>IFERROR(__xludf.DUMMYFUNCTION("""COMPUTED_VALUE"""),11.7)</f>
        <v>11.7</v>
      </c>
      <c r="P2181" s="4">
        <f>IFERROR(__xludf.DUMMYFUNCTION("""COMPUTED_VALUE"""),4.9)</f>
        <v>4.9</v>
      </c>
      <c r="Q2181" s="4">
        <f>IFERROR(__xludf.DUMMYFUNCTION("""COMPUTED_VALUE"""),3.7)</f>
        <v>3.7</v>
      </c>
      <c r="R2181" s="4">
        <f>IFERROR(__xludf.DUMMYFUNCTION("""COMPUTED_VALUE"""),0.2)</f>
        <v>0.2</v>
      </c>
      <c r="S2181" s="4">
        <f>IFERROR(__xludf.DUMMYFUNCTION("""COMPUTED_VALUE"""),2.6)</f>
        <v>2.6</v>
      </c>
      <c r="T2181" s="4">
        <f>IFERROR(__xludf.DUMMYFUNCTION("""COMPUTED_VALUE"""),0.109)</f>
        <v>0.109</v>
      </c>
      <c r="U2181" s="4">
        <f>IFERROR(__xludf.DUMMYFUNCTION("""COMPUTED_VALUE"""),-3.0)</f>
        <v>-3</v>
      </c>
      <c r="V2181" s="4">
        <f>IFERROR(__xludf.DUMMYFUNCTION("""COMPUTED_VALUE"""),-0.3)</f>
        <v>-0.3</v>
      </c>
    </row>
    <row r="2182">
      <c r="A2182" s="4">
        <f>IFERROR(__xludf.DUMMYFUNCTION("""COMPUTED_VALUE"""),29.0)</f>
        <v>29</v>
      </c>
      <c r="B2182" s="4">
        <f>IFERROR(__xludf.DUMMYFUNCTION("""COMPUTED_VALUE"""),29.0)</f>
        <v>29</v>
      </c>
      <c r="C2182" s="4" t="str">
        <f>IFERROR(__xludf.DUMMYFUNCTION("""COMPUTED_VALUE"""),"NJN")</f>
        <v>NJN</v>
      </c>
      <c r="D2182" s="4" t="str">
        <f>IFERROR(__xludf.DUMMYFUNCTION("""COMPUTED_VALUE"""),"P.J. Brown")</f>
        <v>P.J. Brown</v>
      </c>
      <c r="E2182" s="4" t="str">
        <f>IFERROR(__xludf.DUMMYFUNCTION("""COMPUTED_VALUE"""),"Louisiana Tech")</f>
        <v>Louisiana Tech</v>
      </c>
      <c r="F2182" s="4">
        <f>IFERROR(__xludf.DUMMYFUNCTION("""COMPUTED_VALUE"""),15.0)</f>
        <v>15</v>
      </c>
      <c r="G2182" s="4">
        <f>IFERROR(__xludf.DUMMYFUNCTION("""COMPUTED_VALUE"""),1089.0)</f>
        <v>1089</v>
      </c>
      <c r="H2182" s="4">
        <f>IFERROR(__xludf.DUMMYFUNCTION("""COMPUTED_VALUE"""),33823.0)</f>
        <v>33823</v>
      </c>
      <c r="I2182" s="4">
        <f>IFERROR(__xludf.DUMMYFUNCTION("""COMPUTED_VALUE"""),9870.0)</f>
        <v>9870</v>
      </c>
      <c r="J2182" s="4">
        <f>IFERROR(__xludf.DUMMYFUNCTION("""COMPUTED_VALUE"""),8409.0)</f>
        <v>8409</v>
      </c>
      <c r="K2182" s="4">
        <f>IFERROR(__xludf.DUMMYFUNCTION("""COMPUTED_VALUE"""),1661.0)</f>
        <v>1661</v>
      </c>
      <c r="L2182" s="4">
        <f>IFERROR(__xludf.DUMMYFUNCTION("""COMPUTED_VALUE"""),0.46)</f>
        <v>0.46</v>
      </c>
      <c r="M2182" s="4">
        <f>IFERROR(__xludf.DUMMYFUNCTION("""COMPUTED_VALUE"""),0.136)</f>
        <v>0.136</v>
      </c>
      <c r="N2182" s="4">
        <f>IFERROR(__xludf.DUMMYFUNCTION("""COMPUTED_VALUE"""),0.794)</f>
        <v>0.794</v>
      </c>
      <c r="O2182" s="4">
        <f>IFERROR(__xludf.DUMMYFUNCTION("""COMPUTED_VALUE"""),31.1)</f>
        <v>31.1</v>
      </c>
      <c r="P2182" s="4">
        <f>IFERROR(__xludf.DUMMYFUNCTION("""COMPUTED_VALUE"""),9.1)</f>
        <v>9.1</v>
      </c>
      <c r="Q2182" s="4">
        <f>IFERROR(__xludf.DUMMYFUNCTION("""COMPUTED_VALUE"""),7.7)</f>
        <v>7.7</v>
      </c>
      <c r="R2182" s="4">
        <f>IFERROR(__xludf.DUMMYFUNCTION("""COMPUTED_VALUE"""),1.5)</f>
        <v>1.5</v>
      </c>
      <c r="S2182" s="4">
        <f>IFERROR(__xludf.DUMMYFUNCTION("""COMPUTED_VALUE"""),89.8)</f>
        <v>89.8</v>
      </c>
      <c r="T2182" s="4">
        <f>IFERROR(__xludf.DUMMYFUNCTION("""COMPUTED_VALUE"""),0.128)</f>
        <v>0.128</v>
      </c>
      <c r="U2182" s="4">
        <f>IFERROR(__xludf.DUMMYFUNCTION("""COMPUTED_VALUE"""),0.0)</f>
        <v>0</v>
      </c>
      <c r="V2182" s="4">
        <f>IFERROR(__xludf.DUMMYFUNCTION("""COMPUTED_VALUE"""),17.4)</f>
        <v>17.4</v>
      </c>
    </row>
    <row r="2183">
      <c r="A2183" s="4">
        <f>IFERROR(__xludf.DUMMYFUNCTION("""COMPUTED_VALUE"""),30.0)</f>
        <v>30</v>
      </c>
      <c r="B2183" s="4">
        <f>IFERROR(__xludf.DUMMYFUNCTION("""COMPUTED_VALUE"""),30.0)</f>
        <v>30</v>
      </c>
      <c r="C2183" s="4" t="str">
        <f>IFERROR(__xludf.DUMMYFUNCTION("""COMPUTED_VALUE"""),"DAL")</f>
        <v>DAL</v>
      </c>
      <c r="D2183" s="4" t="str">
        <f>IFERROR(__xludf.DUMMYFUNCTION("""COMPUTED_VALUE"""),"Sean Rooks")</f>
        <v>Sean Rooks</v>
      </c>
      <c r="E2183" s="4" t="str">
        <f>IFERROR(__xludf.DUMMYFUNCTION("""COMPUTED_VALUE"""),"Arizona")</f>
        <v>Arizona</v>
      </c>
      <c r="F2183" s="4">
        <f>IFERROR(__xludf.DUMMYFUNCTION("""COMPUTED_VALUE"""),12.0)</f>
        <v>12</v>
      </c>
      <c r="G2183" s="4">
        <f>IFERROR(__xludf.DUMMYFUNCTION("""COMPUTED_VALUE"""),749.0)</f>
        <v>749</v>
      </c>
      <c r="H2183" s="4">
        <f>IFERROR(__xludf.DUMMYFUNCTION("""COMPUTED_VALUE"""),13560.0)</f>
        <v>13560</v>
      </c>
      <c r="I2183" s="4">
        <f>IFERROR(__xludf.DUMMYFUNCTION("""COMPUTED_VALUE"""),4676.0)</f>
        <v>4676</v>
      </c>
      <c r="J2183" s="4">
        <f>IFERROR(__xludf.DUMMYFUNCTION("""COMPUTED_VALUE"""),2877.0)</f>
        <v>2877</v>
      </c>
      <c r="K2183" s="4">
        <f>IFERROR(__xludf.DUMMYFUNCTION("""COMPUTED_VALUE"""),631.0)</f>
        <v>631</v>
      </c>
      <c r="L2183" s="4">
        <f>IFERROR(__xludf.DUMMYFUNCTION("""COMPUTED_VALUE"""),0.459)</f>
        <v>0.459</v>
      </c>
      <c r="M2183" s="4">
        <f>IFERROR(__xludf.DUMMYFUNCTION("""COMPUTED_VALUE"""),0.091)</f>
        <v>0.091</v>
      </c>
      <c r="N2183" s="4">
        <f>IFERROR(__xludf.DUMMYFUNCTION("""COMPUTED_VALUE"""),0.699)</f>
        <v>0.699</v>
      </c>
      <c r="O2183" s="4">
        <f>IFERROR(__xludf.DUMMYFUNCTION("""COMPUTED_VALUE"""),18.1)</f>
        <v>18.1</v>
      </c>
      <c r="P2183" s="4">
        <f>IFERROR(__xludf.DUMMYFUNCTION("""COMPUTED_VALUE"""),6.2)</f>
        <v>6.2</v>
      </c>
      <c r="Q2183" s="4">
        <f>IFERROR(__xludf.DUMMYFUNCTION("""COMPUTED_VALUE"""),3.8)</f>
        <v>3.8</v>
      </c>
      <c r="R2183" s="4">
        <f>IFERROR(__xludf.DUMMYFUNCTION("""COMPUTED_VALUE"""),0.8)</f>
        <v>0.8</v>
      </c>
      <c r="S2183" s="4">
        <f>IFERROR(__xludf.DUMMYFUNCTION("""COMPUTED_VALUE"""),16.2)</f>
        <v>16.2</v>
      </c>
      <c r="T2183" s="4">
        <f>IFERROR(__xludf.DUMMYFUNCTION("""COMPUTED_VALUE"""),0.057)</f>
        <v>0.057</v>
      </c>
      <c r="U2183" s="4">
        <f>IFERROR(__xludf.DUMMYFUNCTION("""COMPUTED_VALUE"""),-2.9)</f>
        <v>-2.9</v>
      </c>
      <c r="V2183" s="4">
        <f>IFERROR(__xludf.DUMMYFUNCTION("""COMPUTED_VALUE"""),-3.1)</f>
        <v>-3.1</v>
      </c>
    </row>
    <row r="2184">
      <c r="A2184" s="4">
        <f>IFERROR(__xludf.DUMMYFUNCTION("""COMPUTED_VALUE"""),31.0)</f>
        <v>31</v>
      </c>
      <c r="B2184" s="4">
        <f>IFERROR(__xludf.DUMMYFUNCTION("""COMPUTED_VALUE"""),31.0)</f>
        <v>31</v>
      </c>
      <c r="C2184" s="4" t="str">
        <f>IFERROR(__xludf.DUMMYFUNCTION("""COMPUTED_VALUE"""),"POR")</f>
        <v>POR</v>
      </c>
      <c r="D2184" s="4" t="str">
        <f>IFERROR(__xludf.DUMMYFUNCTION("""COMPUTED_VALUE"""),"Reggie Smith")</f>
        <v>Reggie Smith</v>
      </c>
      <c r="E2184" s="4" t="str">
        <f>IFERROR(__xludf.DUMMYFUNCTION("""COMPUTED_VALUE"""),"TCU")</f>
        <v>TCU</v>
      </c>
      <c r="F2184" s="4">
        <f>IFERROR(__xludf.DUMMYFUNCTION("""COMPUTED_VALUE"""),2.0)</f>
        <v>2</v>
      </c>
      <c r="G2184" s="4">
        <f>IFERROR(__xludf.DUMMYFUNCTION("""COMPUTED_VALUE"""),66.0)</f>
        <v>66</v>
      </c>
      <c r="H2184" s="4">
        <f>IFERROR(__xludf.DUMMYFUNCTION("""COMPUTED_VALUE"""),384.0)</f>
        <v>384</v>
      </c>
      <c r="I2184" s="4">
        <f>IFERROR(__xludf.DUMMYFUNCTION("""COMPUTED_VALUE"""),99.0)</f>
        <v>99</v>
      </c>
      <c r="J2184" s="4">
        <f>IFERROR(__xludf.DUMMYFUNCTION("""COMPUTED_VALUE"""),120.0)</f>
        <v>120</v>
      </c>
      <c r="K2184" s="4">
        <f>IFERROR(__xludf.DUMMYFUNCTION("""COMPUTED_VALUE"""),5.0)</f>
        <v>5</v>
      </c>
      <c r="L2184" s="4">
        <f>IFERROR(__xludf.DUMMYFUNCTION("""COMPUTED_VALUE"""),0.394)</f>
        <v>0.394</v>
      </c>
      <c r="M2184" s="4">
        <f>IFERROR(__xludf.DUMMYFUNCTION("""COMPUTED_VALUE"""),0.0)</f>
        <v>0</v>
      </c>
      <c r="N2184" s="4">
        <f>IFERROR(__xludf.DUMMYFUNCTION("""COMPUTED_VALUE"""),0.404)</f>
        <v>0.404</v>
      </c>
      <c r="O2184" s="4">
        <f>IFERROR(__xludf.DUMMYFUNCTION("""COMPUTED_VALUE"""),5.8)</f>
        <v>5.8</v>
      </c>
      <c r="P2184" s="4">
        <f>IFERROR(__xludf.DUMMYFUNCTION("""COMPUTED_VALUE"""),1.5)</f>
        <v>1.5</v>
      </c>
      <c r="Q2184" s="4">
        <f>IFERROR(__xludf.DUMMYFUNCTION("""COMPUTED_VALUE"""),1.8)</f>
        <v>1.8</v>
      </c>
      <c r="R2184" s="4">
        <f>IFERROR(__xludf.DUMMYFUNCTION("""COMPUTED_VALUE"""),0.1)</f>
        <v>0.1</v>
      </c>
      <c r="S2184" s="4">
        <f>IFERROR(__xludf.DUMMYFUNCTION("""COMPUTED_VALUE"""),0.4)</f>
        <v>0.4</v>
      </c>
      <c r="T2184" s="4">
        <f>IFERROR(__xludf.DUMMYFUNCTION("""COMPUTED_VALUE"""),0.051)</f>
        <v>0.051</v>
      </c>
      <c r="U2184" s="4">
        <f>IFERROR(__xludf.DUMMYFUNCTION("""COMPUTED_VALUE"""),-5.1)</f>
        <v>-5.1</v>
      </c>
      <c r="V2184" s="4">
        <f>IFERROR(__xludf.DUMMYFUNCTION("""COMPUTED_VALUE"""),-0.3)</f>
        <v>-0.3</v>
      </c>
    </row>
    <row r="2185">
      <c r="A2185" s="4">
        <f>IFERROR(__xludf.DUMMYFUNCTION("""COMPUTED_VALUE"""),32.0)</f>
        <v>32</v>
      </c>
      <c r="B2185" s="4">
        <f>IFERROR(__xludf.DUMMYFUNCTION("""COMPUTED_VALUE"""),32.0)</f>
        <v>32</v>
      </c>
      <c r="C2185" s="4" t="str">
        <f>IFERROR(__xludf.DUMMYFUNCTION("""COMPUTED_VALUE"""),"WSB")</f>
        <v>WSB</v>
      </c>
      <c r="D2185" s="4" t="str">
        <f>IFERROR(__xludf.DUMMYFUNCTION("""COMPUTED_VALUE"""),"Brent Price")</f>
        <v>Brent Price</v>
      </c>
      <c r="E2185" s="4" t="str">
        <f>IFERROR(__xludf.DUMMYFUNCTION("""COMPUTED_VALUE"""),"Oklahoma")</f>
        <v>Oklahoma</v>
      </c>
      <c r="F2185" s="4">
        <f>IFERROR(__xludf.DUMMYFUNCTION("""COMPUTED_VALUE"""),9.0)</f>
        <v>9</v>
      </c>
      <c r="G2185" s="4">
        <f>IFERROR(__xludf.DUMMYFUNCTION("""COMPUTED_VALUE"""),418.0)</f>
        <v>418</v>
      </c>
      <c r="H2185" s="4">
        <f>IFERROR(__xludf.DUMMYFUNCTION("""COMPUTED_VALUE"""),7007.0)</f>
        <v>7007</v>
      </c>
      <c r="I2185" s="4">
        <f>IFERROR(__xludf.DUMMYFUNCTION("""COMPUTED_VALUE"""),2481.0)</f>
        <v>2481</v>
      </c>
      <c r="J2185" s="4">
        <f>IFERROR(__xludf.DUMMYFUNCTION("""COMPUTED_VALUE"""),684.0)</f>
        <v>684</v>
      </c>
      <c r="K2185" s="4">
        <f>IFERROR(__xludf.DUMMYFUNCTION("""COMPUTED_VALUE"""),1236.0)</f>
        <v>1236</v>
      </c>
      <c r="L2185" s="4">
        <f>IFERROR(__xludf.DUMMYFUNCTION("""COMPUTED_VALUE"""),0.426)</f>
        <v>0.426</v>
      </c>
      <c r="M2185" s="4">
        <f>IFERROR(__xludf.DUMMYFUNCTION("""COMPUTED_VALUE"""),0.387)</f>
        <v>0.387</v>
      </c>
      <c r="N2185" s="4">
        <f>IFERROR(__xludf.DUMMYFUNCTION("""COMPUTED_VALUE"""),0.824)</f>
        <v>0.824</v>
      </c>
      <c r="O2185" s="4">
        <f>IFERROR(__xludf.DUMMYFUNCTION("""COMPUTED_VALUE"""),16.8)</f>
        <v>16.8</v>
      </c>
      <c r="P2185" s="4">
        <f>IFERROR(__xludf.DUMMYFUNCTION("""COMPUTED_VALUE"""),5.9)</f>
        <v>5.9</v>
      </c>
      <c r="Q2185" s="4">
        <f>IFERROR(__xludf.DUMMYFUNCTION("""COMPUTED_VALUE"""),1.6)</f>
        <v>1.6</v>
      </c>
      <c r="R2185" s="4">
        <f>IFERROR(__xludf.DUMMYFUNCTION("""COMPUTED_VALUE"""),3.0)</f>
        <v>3</v>
      </c>
      <c r="S2185" s="4">
        <f>IFERROR(__xludf.DUMMYFUNCTION("""COMPUTED_VALUE"""),12.0)</f>
        <v>12</v>
      </c>
      <c r="T2185" s="4">
        <f>IFERROR(__xludf.DUMMYFUNCTION("""COMPUTED_VALUE"""),0.082)</f>
        <v>0.082</v>
      </c>
      <c r="U2185" s="4">
        <f>IFERROR(__xludf.DUMMYFUNCTION("""COMPUTED_VALUE"""),-0.8)</f>
        <v>-0.8</v>
      </c>
      <c r="V2185" s="4">
        <f>IFERROR(__xludf.DUMMYFUNCTION("""COMPUTED_VALUE"""),2.2)</f>
        <v>2.2</v>
      </c>
    </row>
    <row r="2186">
      <c r="A2186" s="4">
        <f>IFERROR(__xludf.DUMMYFUNCTION("""COMPUTED_VALUE"""),33.0)</f>
        <v>33</v>
      </c>
      <c r="B2186" s="4">
        <f>IFERROR(__xludf.DUMMYFUNCTION("""COMPUTED_VALUE"""),33.0)</f>
        <v>33</v>
      </c>
      <c r="C2186" s="4" t="str">
        <f>IFERROR(__xludf.DUMMYFUNCTION("""COMPUTED_VALUE"""),"CHI")</f>
        <v>CHI</v>
      </c>
      <c r="D2186" s="4" t="str">
        <f>IFERROR(__xludf.DUMMYFUNCTION("""COMPUTED_VALUE"""),"Corey Williams")</f>
        <v>Corey Williams</v>
      </c>
      <c r="E2186" s="4" t="str">
        <f>IFERROR(__xludf.DUMMYFUNCTION("""COMPUTED_VALUE"""),"Oklahoma State")</f>
        <v>Oklahoma State</v>
      </c>
      <c r="F2186" s="4">
        <f>IFERROR(__xludf.DUMMYFUNCTION("""COMPUTED_VALUE"""),2.0)</f>
        <v>2</v>
      </c>
      <c r="G2186" s="4">
        <f>IFERROR(__xludf.DUMMYFUNCTION("""COMPUTED_VALUE"""),39.0)</f>
        <v>39</v>
      </c>
      <c r="H2186" s="4">
        <f>IFERROR(__xludf.DUMMYFUNCTION("""COMPUTED_VALUE"""),288.0)</f>
        <v>288</v>
      </c>
      <c r="I2186" s="4">
        <f>IFERROR(__xludf.DUMMYFUNCTION("""COMPUTED_VALUE"""),92.0)</f>
        <v>92</v>
      </c>
      <c r="J2186" s="4">
        <f>IFERROR(__xludf.DUMMYFUNCTION("""COMPUTED_VALUE"""),37.0)</f>
        <v>37</v>
      </c>
      <c r="K2186" s="4">
        <f>IFERROR(__xludf.DUMMYFUNCTION("""COMPUTED_VALUE"""),29.0)</f>
        <v>29</v>
      </c>
      <c r="L2186" s="4">
        <f>IFERROR(__xludf.DUMMYFUNCTION("""COMPUTED_VALUE"""),0.367)</f>
        <v>0.367</v>
      </c>
      <c r="M2186" s="4">
        <f>IFERROR(__xludf.DUMMYFUNCTION("""COMPUTED_VALUE"""),0.25)</f>
        <v>0.25</v>
      </c>
      <c r="N2186" s="4">
        <f>IFERROR(__xludf.DUMMYFUNCTION("""COMPUTED_VALUE"""),0.826)</f>
        <v>0.826</v>
      </c>
      <c r="O2186" s="4">
        <f>IFERROR(__xludf.DUMMYFUNCTION("""COMPUTED_VALUE"""),7.4)</f>
        <v>7.4</v>
      </c>
      <c r="P2186" s="4">
        <f>IFERROR(__xludf.DUMMYFUNCTION("""COMPUTED_VALUE"""),2.4)</f>
        <v>2.4</v>
      </c>
      <c r="Q2186" s="4">
        <f>IFERROR(__xludf.DUMMYFUNCTION("""COMPUTED_VALUE"""),0.9)</f>
        <v>0.9</v>
      </c>
      <c r="R2186" s="4">
        <f>IFERROR(__xludf.DUMMYFUNCTION("""COMPUTED_VALUE"""),0.7)</f>
        <v>0.7</v>
      </c>
      <c r="S2186" s="4">
        <f>IFERROR(__xludf.DUMMYFUNCTION("""COMPUTED_VALUE"""),0.2)</f>
        <v>0.2</v>
      </c>
      <c r="T2186" s="4">
        <f>IFERROR(__xludf.DUMMYFUNCTION("""COMPUTED_VALUE"""),0.037)</f>
        <v>0.037</v>
      </c>
      <c r="U2186" s="4">
        <f>IFERROR(__xludf.DUMMYFUNCTION("""COMPUTED_VALUE"""),-5.6)</f>
        <v>-5.6</v>
      </c>
      <c r="V2186" s="4">
        <f>IFERROR(__xludf.DUMMYFUNCTION("""COMPUTED_VALUE"""),-0.3)</f>
        <v>-0.3</v>
      </c>
    </row>
    <row r="2187">
      <c r="A2187" s="4">
        <f>IFERROR(__xludf.DUMMYFUNCTION("""COMPUTED_VALUE"""),34.0)</f>
        <v>34</v>
      </c>
      <c r="B2187" s="4">
        <f>IFERROR(__xludf.DUMMYFUNCTION("""COMPUTED_VALUE"""),34.0)</f>
        <v>34</v>
      </c>
      <c r="C2187" s="4" t="str">
        <f>IFERROR(__xludf.DUMMYFUNCTION("""COMPUTED_VALUE"""),"MIN")</f>
        <v>MIN</v>
      </c>
      <c r="D2187" s="4" t="str">
        <f>IFERROR(__xludf.DUMMYFUNCTION("""COMPUTED_VALUE"""),"Chris Smith")</f>
        <v>Chris Smith</v>
      </c>
      <c r="E2187" s="4" t="str">
        <f>IFERROR(__xludf.DUMMYFUNCTION("""COMPUTED_VALUE"""),"UConn")</f>
        <v>UConn</v>
      </c>
      <c r="F2187" s="4">
        <f>IFERROR(__xludf.DUMMYFUNCTION("""COMPUTED_VALUE"""),3.0)</f>
        <v>3</v>
      </c>
      <c r="G2187" s="4">
        <f>IFERROR(__xludf.DUMMYFUNCTION("""COMPUTED_VALUE"""),224.0)</f>
        <v>224</v>
      </c>
      <c r="H2187" s="4">
        <f>IFERROR(__xludf.DUMMYFUNCTION("""COMPUTED_VALUE"""),3956.0)</f>
        <v>3956</v>
      </c>
      <c r="I2187" s="4">
        <f>IFERROR(__xludf.DUMMYFUNCTION("""COMPUTED_VALUE"""),1140.0)</f>
        <v>1140</v>
      </c>
      <c r="J2187" s="4">
        <f>IFERROR(__xludf.DUMMYFUNCTION("""COMPUTED_VALUE"""),291.0)</f>
        <v>291</v>
      </c>
      <c r="K2187" s="4">
        <f>IFERROR(__xludf.DUMMYFUNCTION("""COMPUTED_VALUE"""),627.0)</f>
        <v>627</v>
      </c>
      <c r="L2187" s="4">
        <f>IFERROR(__xludf.DUMMYFUNCTION("""COMPUTED_VALUE"""),0.435)</f>
        <v>0.435</v>
      </c>
      <c r="M2187" s="4">
        <f>IFERROR(__xludf.DUMMYFUNCTION("""COMPUTED_VALUE"""),0.366)</f>
        <v>0.366</v>
      </c>
      <c r="N2187" s="4">
        <f>IFERROR(__xludf.DUMMYFUNCTION("""COMPUTED_VALUE"""),0.713)</f>
        <v>0.713</v>
      </c>
      <c r="O2187" s="4">
        <f>IFERROR(__xludf.DUMMYFUNCTION("""COMPUTED_VALUE"""),17.7)</f>
        <v>17.7</v>
      </c>
      <c r="P2187" s="4">
        <f>IFERROR(__xludf.DUMMYFUNCTION("""COMPUTED_VALUE"""),5.1)</f>
        <v>5.1</v>
      </c>
      <c r="Q2187" s="4">
        <f>IFERROR(__xludf.DUMMYFUNCTION("""COMPUTED_VALUE"""),1.3)</f>
        <v>1.3</v>
      </c>
      <c r="R2187" s="4">
        <f>IFERROR(__xludf.DUMMYFUNCTION("""COMPUTED_VALUE"""),2.8)</f>
        <v>2.8</v>
      </c>
      <c r="S2187" s="4">
        <f>IFERROR(__xludf.DUMMYFUNCTION("""COMPUTED_VALUE"""),3.2)</f>
        <v>3.2</v>
      </c>
      <c r="T2187" s="4">
        <f>IFERROR(__xludf.DUMMYFUNCTION("""COMPUTED_VALUE"""),0.039)</f>
        <v>0.039</v>
      </c>
      <c r="U2187" s="4">
        <f>IFERROR(__xludf.DUMMYFUNCTION("""COMPUTED_VALUE"""),-2.3)</f>
        <v>-2.3</v>
      </c>
      <c r="V2187" s="4">
        <f>IFERROR(__xludf.DUMMYFUNCTION("""COMPUTED_VALUE"""),-0.3)</f>
        <v>-0.3</v>
      </c>
    </row>
    <row r="2188">
      <c r="A2188" s="4">
        <f>IFERROR(__xludf.DUMMYFUNCTION("""COMPUTED_VALUE"""),35.0)</f>
        <v>35</v>
      </c>
      <c r="B2188" s="4">
        <f>IFERROR(__xludf.DUMMYFUNCTION("""COMPUTED_VALUE"""),35.0)</f>
        <v>35</v>
      </c>
      <c r="C2188" s="4" t="str">
        <f>IFERROR(__xludf.DUMMYFUNCTION("""COMPUTED_VALUE"""),"CHH")</f>
        <v>CHH</v>
      </c>
      <c r="D2188" s="4" t="str">
        <f>IFERROR(__xludf.DUMMYFUNCTION("""COMPUTED_VALUE"""),"Tony Bennett")</f>
        <v>Tony Bennett</v>
      </c>
      <c r="E2188" s="4" t="str">
        <f>IFERROR(__xludf.DUMMYFUNCTION("""COMPUTED_VALUE"""),"Green Bay")</f>
        <v>Green Bay</v>
      </c>
      <c r="F2188" s="4">
        <f>IFERROR(__xludf.DUMMYFUNCTION("""COMPUTED_VALUE"""),3.0)</f>
        <v>3</v>
      </c>
      <c r="G2188" s="4">
        <f>IFERROR(__xludf.DUMMYFUNCTION("""COMPUTED_VALUE"""),152.0)</f>
        <v>152</v>
      </c>
      <c r="H2188" s="4">
        <f>IFERROR(__xludf.DUMMYFUNCTION("""COMPUTED_VALUE"""),1886.0)</f>
        <v>1886</v>
      </c>
      <c r="I2188" s="4">
        <f>IFERROR(__xludf.DUMMYFUNCTION("""COMPUTED_VALUE"""),538.0)</f>
        <v>538</v>
      </c>
      <c r="J2188" s="4">
        <f>IFERROR(__xludf.DUMMYFUNCTION("""COMPUTED_VALUE"""),155.0)</f>
        <v>155</v>
      </c>
      <c r="K2188" s="4">
        <f>IFERROR(__xludf.DUMMYFUNCTION("""COMPUTED_VALUE"""),303.0)</f>
        <v>303</v>
      </c>
      <c r="L2188" s="4">
        <f>IFERROR(__xludf.DUMMYFUNCTION("""COMPUTED_VALUE"""),0.412)</f>
        <v>0.412</v>
      </c>
      <c r="M2188" s="4">
        <f>IFERROR(__xludf.DUMMYFUNCTION("""COMPUTED_VALUE"""),0.335)</f>
        <v>0.335</v>
      </c>
      <c r="N2188" s="4">
        <f>IFERROR(__xludf.DUMMYFUNCTION("""COMPUTED_VALUE"""),0.732)</f>
        <v>0.732</v>
      </c>
      <c r="O2188" s="4">
        <f>IFERROR(__xludf.DUMMYFUNCTION("""COMPUTED_VALUE"""),12.4)</f>
        <v>12.4</v>
      </c>
      <c r="P2188" s="4">
        <f>IFERROR(__xludf.DUMMYFUNCTION("""COMPUTED_VALUE"""),3.5)</f>
        <v>3.5</v>
      </c>
      <c r="Q2188" s="4">
        <f>IFERROR(__xludf.DUMMYFUNCTION("""COMPUTED_VALUE"""),1.0)</f>
        <v>1</v>
      </c>
      <c r="R2188" s="4">
        <f>IFERROR(__xludf.DUMMYFUNCTION("""COMPUTED_VALUE"""),2.0)</f>
        <v>2</v>
      </c>
      <c r="S2188" s="4">
        <f>IFERROR(__xludf.DUMMYFUNCTION("""COMPUTED_VALUE"""),1.6)</f>
        <v>1.6</v>
      </c>
      <c r="T2188" s="4">
        <f>IFERROR(__xludf.DUMMYFUNCTION("""COMPUTED_VALUE"""),0.041)</f>
        <v>0.041</v>
      </c>
      <c r="U2188" s="4">
        <f>IFERROR(__xludf.DUMMYFUNCTION("""COMPUTED_VALUE"""),-2.7)</f>
        <v>-2.7</v>
      </c>
      <c r="V2188" s="4">
        <f>IFERROR(__xludf.DUMMYFUNCTION("""COMPUTED_VALUE"""),-0.3)</f>
        <v>-0.3</v>
      </c>
    </row>
    <row r="2189">
      <c r="A2189" s="4">
        <f>IFERROR(__xludf.DUMMYFUNCTION("""COMPUTED_VALUE"""),36.0)</f>
        <v>36</v>
      </c>
      <c r="B2189" s="4">
        <f>IFERROR(__xludf.DUMMYFUNCTION("""COMPUTED_VALUE"""),36.0)</f>
        <v>36</v>
      </c>
      <c r="C2189" s="4" t="str">
        <f>IFERROR(__xludf.DUMMYFUNCTION("""COMPUTED_VALUE"""),"LAL")</f>
        <v>LAL</v>
      </c>
      <c r="D2189" s="4" t="str">
        <f>IFERROR(__xludf.DUMMYFUNCTION("""COMPUTED_VALUE"""),"Duane Cooper")</f>
        <v>Duane Cooper</v>
      </c>
      <c r="E2189" s="4" t="str">
        <f>IFERROR(__xludf.DUMMYFUNCTION("""COMPUTED_VALUE"""),"USC")</f>
        <v>USC</v>
      </c>
      <c r="F2189" s="4">
        <f>IFERROR(__xludf.DUMMYFUNCTION("""COMPUTED_VALUE"""),2.0)</f>
        <v>2</v>
      </c>
      <c r="G2189" s="4">
        <f>IFERROR(__xludf.DUMMYFUNCTION("""COMPUTED_VALUE"""),88.0)</f>
        <v>88</v>
      </c>
      <c r="H2189" s="4">
        <f>IFERROR(__xludf.DUMMYFUNCTION("""COMPUTED_VALUE"""),781.0)</f>
        <v>781</v>
      </c>
      <c r="I2189" s="4">
        <f>IFERROR(__xludf.DUMMYFUNCTION("""COMPUTED_VALUE"""),204.0)</f>
        <v>204</v>
      </c>
      <c r="J2189" s="4">
        <f>IFERROR(__xludf.DUMMYFUNCTION("""COMPUTED_VALUE"""),59.0)</f>
        <v>59</v>
      </c>
      <c r="K2189" s="4">
        <f>IFERROR(__xludf.DUMMYFUNCTION("""COMPUTED_VALUE"""),178.0)</f>
        <v>178</v>
      </c>
      <c r="L2189" s="4">
        <f>IFERROR(__xludf.DUMMYFUNCTION("""COMPUTED_VALUE"""),0.402)</f>
        <v>0.402</v>
      </c>
      <c r="M2189" s="4">
        <f>IFERROR(__xludf.DUMMYFUNCTION("""COMPUTED_VALUE"""),0.216)</f>
        <v>0.216</v>
      </c>
      <c r="N2189" s="4">
        <f>IFERROR(__xludf.DUMMYFUNCTION("""COMPUTED_VALUE"""),0.72)</f>
        <v>0.72</v>
      </c>
      <c r="O2189" s="4">
        <f>IFERROR(__xludf.DUMMYFUNCTION("""COMPUTED_VALUE"""),8.9)</f>
        <v>8.9</v>
      </c>
      <c r="P2189" s="4">
        <f>IFERROR(__xludf.DUMMYFUNCTION("""COMPUTED_VALUE"""),2.3)</f>
        <v>2.3</v>
      </c>
      <c r="Q2189" s="4">
        <f>IFERROR(__xludf.DUMMYFUNCTION("""COMPUTED_VALUE"""),0.7)</f>
        <v>0.7</v>
      </c>
      <c r="R2189" s="4">
        <f>IFERROR(__xludf.DUMMYFUNCTION("""COMPUTED_VALUE"""),2.0)</f>
        <v>2</v>
      </c>
      <c r="S2189" s="4">
        <f>IFERROR(__xludf.DUMMYFUNCTION("""COMPUTED_VALUE"""),-0.5)</f>
        <v>-0.5</v>
      </c>
      <c r="T2189" s="4">
        <f>IFERROR(__xludf.DUMMYFUNCTION("""COMPUTED_VALUE"""),-0.032)</f>
        <v>-0.032</v>
      </c>
      <c r="U2189" s="4">
        <f>IFERROR(__xludf.DUMMYFUNCTION("""COMPUTED_VALUE"""),-6.1)</f>
        <v>-6.1</v>
      </c>
      <c r="V2189" s="4">
        <f>IFERROR(__xludf.DUMMYFUNCTION("""COMPUTED_VALUE"""),-0.8)</f>
        <v>-0.8</v>
      </c>
    </row>
    <row r="2190">
      <c r="A2190" s="4">
        <f>IFERROR(__xludf.DUMMYFUNCTION("""COMPUTED_VALUE"""),37.0)</f>
        <v>37</v>
      </c>
      <c r="B2190" s="4">
        <f>IFERROR(__xludf.DUMMYFUNCTION("""COMPUTED_VALUE"""),37.0)</f>
        <v>37</v>
      </c>
      <c r="C2190" s="4" t="str">
        <f>IFERROR(__xludf.DUMMYFUNCTION("""COMPUTED_VALUE"""),"MIA")</f>
        <v>MIA</v>
      </c>
      <c r="D2190" s="4" t="str">
        <f>IFERROR(__xludf.DUMMYFUNCTION("""COMPUTED_VALUE"""),"Isaiah Morris")</f>
        <v>Isaiah Morris</v>
      </c>
      <c r="E2190" s="4" t="str">
        <f>IFERROR(__xludf.DUMMYFUNCTION("""COMPUTED_VALUE"""),"Arkansas")</f>
        <v>Arkansas</v>
      </c>
      <c r="F2190" s="4">
        <f>IFERROR(__xludf.DUMMYFUNCTION("""COMPUTED_VALUE"""),1.0)</f>
        <v>1</v>
      </c>
      <c r="G2190" s="4">
        <f>IFERROR(__xludf.DUMMYFUNCTION("""COMPUTED_VALUE"""),25.0)</f>
        <v>25</v>
      </c>
      <c r="H2190" s="4">
        <f>IFERROR(__xludf.DUMMYFUNCTION("""COMPUTED_VALUE"""),102.0)</f>
        <v>102</v>
      </c>
      <c r="I2190" s="4">
        <f>IFERROR(__xludf.DUMMYFUNCTION("""COMPUTED_VALUE"""),55.0)</f>
        <v>55</v>
      </c>
      <c r="J2190" s="4">
        <f>IFERROR(__xludf.DUMMYFUNCTION("""COMPUTED_VALUE"""),12.0)</f>
        <v>12</v>
      </c>
      <c r="K2190" s="4">
        <f>IFERROR(__xludf.DUMMYFUNCTION("""COMPUTED_VALUE"""),4.0)</f>
        <v>4</v>
      </c>
      <c r="L2190" s="4">
        <f>IFERROR(__xludf.DUMMYFUNCTION("""COMPUTED_VALUE"""),0.456)</f>
        <v>0.456</v>
      </c>
      <c r="M2190" s="4"/>
      <c r="N2190" s="4">
        <f>IFERROR(__xludf.DUMMYFUNCTION("""COMPUTED_VALUE"""),0.75)</f>
        <v>0.75</v>
      </c>
      <c r="O2190" s="4">
        <f>IFERROR(__xludf.DUMMYFUNCTION("""COMPUTED_VALUE"""),4.1)</f>
        <v>4.1</v>
      </c>
      <c r="P2190" s="4">
        <f>IFERROR(__xludf.DUMMYFUNCTION("""COMPUTED_VALUE"""),2.2)</f>
        <v>2.2</v>
      </c>
      <c r="Q2190" s="4">
        <f>IFERROR(__xludf.DUMMYFUNCTION("""COMPUTED_VALUE"""),0.5)</f>
        <v>0.5</v>
      </c>
      <c r="R2190" s="4">
        <f>IFERROR(__xludf.DUMMYFUNCTION("""COMPUTED_VALUE"""),0.2)</f>
        <v>0.2</v>
      </c>
      <c r="S2190" s="4">
        <f>IFERROR(__xludf.DUMMYFUNCTION("""COMPUTED_VALUE"""),0.0)</f>
        <v>0</v>
      </c>
      <c r="T2190" s="4">
        <f>IFERROR(__xludf.DUMMYFUNCTION("""COMPUTED_VALUE"""),-0.022)</f>
        <v>-0.022</v>
      </c>
      <c r="U2190" s="4">
        <f>IFERROR(__xludf.DUMMYFUNCTION("""COMPUTED_VALUE"""),-5.7)</f>
        <v>-5.7</v>
      </c>
      <c r="V2190" s="4">
        <f>IFERROR(__xludf.DUMMYFUNCTION("""COMPUTED_VALUE"""),-0.1)</f>
        <v>-0.1</v>
      </c>
    </row>
    <row r="2191">
      <c r="A2191" s="4">
        <f>IFERROR(__xludf.DUMMYFUNCTION("""COMPUTED_VALUE"""),38.0)</f>
        <v>38</v>
      </c>
      <c r="B2191" s="4">
        <f>IFERROR(__xludf.DUMMYFUNCTION("""COMPUTED_VALUE"""),38.0)</f>
        <v>38</v>
      </c>
      <c r="C2191" s="4" t="str">
        <f>IFERROR(__xludf.DUMMYFUNCTION("""COMPUTED_VALUE"""),"ATL")</f>
        <v>ATL</v>
      </c>
      <c r="D2191" s="4" t="str">
        <f>IFERROR(__xludf.DUMMYFUNCTION("""COMPUTED_VALUE"""),"Elmer Bennett")</f>
        <v>Elmer Bennett</v>
      </c>
      <c r="E2191" s="4" t="str">
        <f>IFERROR(__xludf.DUMMYFUNCTION("""COMPUTED_VALUE"""),"Notre Dame")</f>
        <v>Notre Dame</v>
      </c>
      <c r="F2191" s="4">
        <f>IFERROR(__xludf.DUMMYFUNCTION("""COMPUTED_VALUE"""),3.0)</f>
        <v>3</v>
      </c>
      <c r="G2191" s="4">
        <f>IFERROR(__xludf.DUMMYFUNCTION("""COMPUTED_VALUE"""),21.0)</f>
        <v>21</v>
      </c>
      <c r="H2191" s="4">
        <f>IFERROR(__xludf.DUMMYFUNCTION("""COMPUTED_VALUE"""),159.0)</f>
        <v>159</v>
      </c>
      <c r="I2191" s="4">
        <f>IFERROR(__xludf.DUMMYFUNCTION("""COMPUTED_VALUE"""),48.0)</f>
        <v>48</v>
      </c>
      <c r="J2191" s="4">
        <f>IFERROR(__xludf.DUMMYFUNCTION("""COMPUTED_VALUE"""),10.0)</f>
        <v>10</v>
      </c>
      <c r="K2191" s="4">
        <f>IFERROR(__xludf.DUMMYFUNCTION("""COMPUTED_VALUE"""),22.0)</f>
        <v>22</v>
      </c>
      <c r="L2191" s="4">
        <f>IFERROR(__xludf.DUMMYFUNCTION("""COMPUTED_VALUE"""),0.34)</f>
        <v>0.34</v>
      </c>
      <c r="M2191" s="4">
        <f>IFERROR(__xludf.DUMMYFUNCTION("""COMPUTED_VALUE"""),0.273)</f>
        <v>0.273</v>
      </c>
      <c r="N2191" s="4">
        <f>IFERROR(__xludf.DUMMYFUNCTION("""COMPUTED_VALUE"""),0.722)</f>
        <v>0.722</v>
      </c>
      <c r="O2191" s="4">
        <f>IFERROR(__xludf.DUMMYFUNCTION("""COMPUTED_VALUE"""),7.6)</f>
        <v>7.6</v>
      </c>
      <c r="P2191" s="4">
        <f>IFERROR(__xludf.DUMMYFUNCTION("""COMPUTED_VALUE"""),2.3)</f>
        <v>2.3</v>
      </c>
      <c r="Q2191" s="4">
        <f>IFERROR(__xludf.DUMMYFUNCTION("""COMPUTED_VALUE"""),0.5)</f>
        <v>0.5</v>
      </c>
      <c r="R2191" s="4">
        <f>IFERROR(__xludf.DUMMYFUNCTION("""COMPUTED_VALUE"""),1.0)</f>
        <v>1</v>
      </c>
      <c r="S2191" s="4">
        <f>IFERROR(__xludf.DUMMYFUNCTION("""COMPUTED_VALUE"""),-0.3)</f>
        <v>-0.3</v>
      </c>
      <c r="T2191" s="4">
        <f>IFERROR(__xludf.DUMMYFUNCTION("""COMPUTED_VALUE"""),-0.095)</f>
        <v>-0.095</v>
      </c>
      <c r="U2191" s="4">
        <f>IFERROR(__xludf.DUMMYFUNCTION("""COMPUTED_VALUE"""),-6.9)</f>
        <v>-6.9</v>
      </c>
      <c r="V2191" s="4">
        <f>IFERROR(__xludf.DUMMYFUNCTION("""COMPUTED_VALUE"""),-0.2)</f>
        <v>-0.2</v>
      </c>
    </row>
    <row r="2192">
      <c r="A2192" s="4">
        <f>IFERROR(__xludf.DUMMYFUNCTION("""COMPUTED_VALUE"""),39.0)</f>
        <v>39</v>
      </c>
      <c r="B2192" s="4">
        <f>IFERROR(__xludf.DUMMYFUNCTION("""COMPUTED_VALUE"""),39.0)</f>
        <v>39</v>
      </c>
      <c r="C2192" s="4" t="str">
        <f>IFERROR(__xludf.DUMMYFUNCTION("""COMPUTED_VALUE"""),"CHI")</f>
        <v>CHI</v>
      </c>
      <c r="D2192" s="4" t="str">
        <f>IFERROR(__xludf.DUMMYFUNCTION("""COMPUTED_VALUE"""),"Litterial Green")</f>
        <v>Litterial Green</v>
      </c>
      <c r="E2192" s="4" t="str">
        <f>IFERROR(__xludf.DUMMYFUNCTION("""COMPUTED_VALUE"""),"Georgia")</f>
        <v>Georgia</v>
      </c>
      <c r="F2192" s="4">
        <f>IFERROR(__xludf.DUMMYFUNCTION("""COMPUTED_VALUE"""),5.0)</f>
        <v>5</v>
      </c>
      <c r="G2192" s="4">
        <f>IFERROR(__xludf.DUMMYFUNCTION("""COMPUTED_VALUE"""),148.0)</f>
        <v>148</v>
      </c>
      <c r="H2192" s="4">
        <f>IFERROR(__xludf.DUMMYFUNCTION("""COMPUTED_VALUE"""),1189.0)</f>
        <v>1189</v>
      </c>
      <c r="I2192" s="4">
        <f>IFERROR(__xludf.DUMMYFUNCTION("""COMPUTED_VALUE"""),423.0)</f>
        <v>423</v>
      </c>
      <c r="J2192" s="4">
        <f>IFERROR(__xludf.DUMMYFUNCTION("""COMPUTED_VALUE"""),75.0)</f>
        <v>75</v>
      </c>
      <c r="K2192" s="4">
        <f>IFERROR(__xludf.DUMMYFUNCTION("""COMPUTED_VALUE"""),182.0)</f>
        <v>182</v>
      </c>
      <c r="L2192" s="4">
        <f>IFERROR(__xludf.DUMMYFUNCTION("""COMPUTED_VALUE"""),0.42)</f>
        <v>0.42</v>
      </c>
      <c r="M2192" s="4">
        <f>IFERROR(__xludf.DUMMYFUNCTION("""COMPUTED_VALUE"""),0.077)</f>
        <v>0.077</v>
      </c>
      <c r="N2192" s="4">
        <f>IFERROR(__xludf.DUMMYFUNCTION("""COMPUTED_VALUE"""),0.665)</f>
        <v>0.665</v>
      </c>
      <c r="O2192" s="4">
        <f>IFERROR(__xludf.DUMMYFUNCTION("""COMPUTED_VALUE"""),8.0)</f>
        <v>8</v>
      </c>
      <c r="P2192" s="4">
        <f>IFERROR(__xludf.DUMMYFUNCTION("""COMPUTED_VALUE"""),2.9)</f>
        <v>2.9</v>
      </c>
      <c r="Q2192" s="4">
        <f>IFERROR(__xludf.DUMMYFUNCTION("""COMPUTED_VALUE"""),0.5)</f>
        <v>0.5</v>
      </c>
      <c r="R2192" s="4">
        <f>IFERROR(__xludf.DUMMYFUNCTION("""COMPUTED_VALUE"""),1.2)</f>
        <v>1.2</v>
      </c>
      <c r="S2192" s="4">
        <f>IFERROR(__xludf.DUMMYFUNCTION("""COMPUTED_VALUE"""),1.6)</f>
        <v>1.6</v>
      </c>
      <c r="T2192" s="4">
        <f>IFERROR(__xludf.DUMMYFUNCTION("""COMPUTED_VALUE"""),0.066)</f>
        <v>0.066</v>
      </c>
      <c r="U2192" s="4">
        <f>IFERROR(__xludf.DUMMYFUNCTION("""COMPUTED_VALUE"""),-2.4)</f>
        <v>-2.4</v>
      </c>
      <c r="V2192" s="4">
        <f>IFERROR(__xludf.DUMMYFUNCTION("""COMPUTED_VALUE"""),-0.1)</f>
        <v>-0.1</v>
      </c>
    </row>
    <row r="2193">
      <c r="A2193" s="4">
        <f>IFERROR(__xludf.DUMMYFUNCTION("""COMPUTED_VALUE"""),40.0)</f>
        <v>40</v>
      </c>
      <c r="B2193" s="4">
        <f>IFERROR(__xludf.DUMMYFUNCTION("""COMPUTED_VALUE"""),40.0)</f>
        <v>40</v>
      </c>
      <c r="C2193" s="4" t="str">
        <f>IFERROR(__xludf.DUMMYFUNCTION("""COMPUTED_VALUE"""),"NJN")</f>
        <v>NJN</v>
      </c>
      <c r="D2193" s="4" t="str">
        <f>IFERROR(__xludf.DUMMYFUNCTION("""COMPUTED_VALUE"""),"Steve Rogers")</f>
        <v>Steve Rogers</v>
      </c>
      <c r="E2193" s="4" t="str">
        <f>IFERROR(__xludf.DUMMYFUNCTION("""COMPUTED_VALUE"""),"Alabama State University")</f>
        <v>Alabama State University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</row>
    <row r="2194">
      <c r="A2194" s="4">
        <f>IFERROR(__xludf.DUMMYFUNCTION("""COMPUTED_VALUE"""),41.0)</f>
        <v>41</v>
      </c>
      <c r="B2194" s="4">
        <f>IFERROR(__xludf.DUMMYFUNCTION("""COMPUTED_VALUE"""),41.0)</f>
        <v>41</v>
      </c>
      <c r="C2194" s="4" t="str">
        <f>IFERROR(__xludf.DUMMYFUNCTION("""COMPUTED_VALUE"""),"HOU")</f>
        <v>HOU</v>
      </c>
      <c r="D2194" s="4" t="str">
        <f>IFERROR(__xludf.DUMMYFUNCTION("""COMPUTED_VALUE"""),"Popeye Jones")</f>
        <v>Popeye Jones</v>
      </c>
      <c r="E2194" s="4" t="str">
        <f>IFERROR(__xludf.DUMMYFUNCTION("""COMPUTED_VALUE"""),"Murray State")</f>
        <v>Murray State</v>
      </c>
      <c r="F2194" s="4">
        <f>IFERROR(__xludf.DUMMYFUNCTION("""COMPUTED_VALUE"""),11.0)</f>
        <v>11</v>
      </c>
      <c r="G2194" s="4">
        <f>IFERROR(__xludf.DUMMYFUNCTION("""COMPUTED_VALUE"""),535.0)</f>
        <v>535</v>
      </c>
      <c r="H2194" s="4">
        <f>IFERROR(__xludf.DUMMYFUNCTION("""COMPUTED_VALUE"""),12579.0)</f>
        <v>12579</v>
      </c>
      <c r="I2194" s="4">
        <f>IFERROR(__xludf.DUMMYFUNCTION("""COMPUTED_VALUE"""),3726.0)</f>
        <v>3726</v>
      </c>
      <c r="J2194" s="4">
        <f>IFERROR(__xludf.DUMMYFUNCTION("""COMPUTED_VALUE"""),3981.0)</f>
        <v>3981</v>
      </c>
      <c r="K2194" s="4">
        <f>IFERROR(__xludf.DUMMYFUNCTION("""COMPUTED_VALUE"""),696.0)</f>
        <v>696</v>
      </c>
      <c r="L2194" s="4">
        <f>IFERROR(__xludf.DUMMYFUNCTION("""COMPUTED_VALUE"""),0.447)</f>
        <v>0.447</v>
      </c>
      <c r="M2194" s="4">
        <f>IFERROR(__xludf.DUMMYFUNCTION("""COMPUTED_VALUE"""),0.281)</f>
        <v>0.281</v>
      </c>
      <c r="N2194" s="4">
        <f>IFERROR(__xludf.DUMMYFUNCTION("""COMPUTED_VALUE"""),0.751)</f>
        <v>0.751</v>
      </c>
      <c r="O2194" s="4">
        <f>IFERROR(__xludf.DUMMYFUNCTION("""COMPUTED_VALUE"""),23.5)</f>
        <v>23.5</v>
      </c>
      <c r="P2194" s="4">
        <f>IFERROR(__xludf.DUMMYFUNCTION("""COMPUTED_VALUE"""),7.0)</f>
        <v>7</v>
      </c>
      <c r="Q2194" s="4">
        <f>IFERROR(__xludf.DUMMYFUNCTION("""COMPUTED_VALUE"""),7.4)</f>
        <v>7.4</v>
      </c>
      <c r="R2194" s="4">
        <f>IFERROR(__xludf.DUMMYFUNCTION("""COMPUTED_VALUE"""),1.3)</f>
        <v>1.3</v>
      </c>
      <c r="S2194" s="4">
        <f>IFERROR(__xludf.DUMMYFUNCTION("""COMPUTED_VALUE"""),22.0)</f>
        <v>22</v>
      </c>
      <c r="T2194" s="4">
        <f>IFERROR(__xludf.DUMMYFUNCTION("""COMPUTED_VALUE"""),0.084)</f>
        <v>0.084</v>
      </c>
      <c r="U2194" s="4">
        <f>IFERROR(__xludf.DUMMYFUNCTION("""COMPUTED_VALUE"""),-2.7)</f>
        <v>-2.7</v>
      </c>
      <c r="V2194" s="4">
        <f>IFERROR(__xludf.DUMMYFUNCTION("""COMPUTED_VALUE"""),-2.1)</f>
        <v>-2.1</v>
      </c>
    </row>
    <row r="2195">
      <c r="A2195" s="4">
        <f>IFERROR(__xludf.DUMMYFUNCTION("""COMPUTED_VALUE"""),42.0)</f>
        <v>42</v>
      </c>
      <c r="B2195" s="4">
        <f>IFERROR(__xludf.DUMMYFUNCTION("""COMPUTED_VALUE"""),42.0)</f>
        <v>42</v>
      </c>
      <c r="C2195" s="4" t="str">
        <f>IFERROR(__xludf.DUMMYFUNCTION("""COMPUTED_VALUE"""),"MIA")</f>
        <v>MIA</v>
      </c>
      <c r="D2195" s="4" t="str">
        <f>IFERROR(__xludf.DUMMYFUNCTION("""COMPUTED_VALUE"""),"Matt Geiger")</f>
        <v>Matt Geiger</v>
      </c>
      <c r="E2195" s="4" t="str">
        <f>IFERROR(__xludf.DUMMYFUNCTION("""COMPUTED_VALUE"""),"Georgia Tech")</f>
        <v>Georgia Tech</v>
      </c>
      <c r="F2195" s="4">
        <f>IFERROR(__xludf.DUMMYFUNCTION("""COMPUTED_VALUE"""),10.0)</f>
        <v>10</v>
      </c>
      <c r="G2195" s="4">
        <f>IFERROR(__xludf.DUMMYFUNCTION("""COMPUTED_VALUE"""),552.0)</f>
        <v>552</v>
      </c>
      <c r="H2195" s="4">
        <f>IFERROR(__xludf.DUMMYFUNCTION("""COMPUTED_VALUE"""),12221.0)</f>
        <v>12221</v>
      </c>
      <c r="I2195" s="4">
        <f>IFERROR(__xludf.DUMMYFUNCTION("""COMPUTED_VALUE"""),5059.0)</f>
        <v>5059</v>
      </c>
      <c r="J2195" s="4">
        <f>IFERROR(__xludf.DUMMYFUNCTION("""COMPUTED_VALUE"""),3158.0)</f>
        <v>3158</v>
      </c>
      <c r="K2195" s="4">
        <f>IFERROR(__xludf.DUMMYFUNCTION("""COMPUTED_VALUE"""),388.0)</f>
        <v>388</v>
      </c>
      <c r="L2195" s="4">
        <f>IFERROR(__xludf.DUMMYFUNCTION("""COMPUTED_VALUE"""),0.499)</f>
        <v>0.499</v>
      </c>
      <c r="M2195" s="4">
        <f>IFERROR(__xludf.DUMMYFUNCTION("""COMPUTED_VALUE"""),0.232)</f>
        <v>0.232</v>
      </c>
      <c r="N2195" s="4">
        <f>IFERROR(__xludf.DUMMYFUNCTION("""COMPUTED_VALUE"""),0.728)</f>
        <v>0.728</v>
      </c>
      <c r="O2195" s="4">
        <f>IFERROR(__xludf.DUMMYFUNCTION("""COMPUTED_VALUE"""),22.1)</f>
        <v>22.1</v>
      </c>
      <c r="P2195" s="4">
        <f>IFERROR(__xludf.DUMMYFUNCTION("""COMPUTED_VALUE"""),9.2)</f>
        <v>9.2</v>
      </c>
      <c r="Q2195" s="4">
        <f>IFERROR(__xludf.DUMMYFUNCTION("""COMPUTED_VALUE"""),5.7)</f>
        <v>5.7</v>
      </c>
      <c r="R2195" s="4">
        <f>IFERROR(__xludf.DUMMYFUNCTION("""COMPUTED_VALUE"""),0.7)</f>
        <v>0.7</v>
      </c>
      <c r="S2195" s="4">
        <f>IFERROR(__xludf.DUMMYFUNCTION("""COMPUTED_VALUE"""),28.4)</f>
        <v>28.4</v>
      </c>
      <c r="T2195" s="4">
        <f>IFERROR(__xludf.DUMMYFUNCTION("""COMPUTED_VALUE"""),0.112)</f>
        <v>0.112</v>
      </c>
      <c r="U2195" s="4">
        <f>IFERROR(__xludf.DUMMYFUNCTION("""COMPUTED_VALUE"""),-1.8)</f>
        <v>-1.8</v>
      </c>
      <c r="V2195" s="4">
        <f>IFERROR(__xludf.DUMMYFUNCTION("""COMPUTED_VALUE"""),0.6)</f>
        <v>0.6</v>
      </c>
    </row>
    <row r="2196">
      <c r="A2196" s="4">
        <f>IFERROR(__xludf.DUMMYFUNCTION("""COMPUTED_VALUE"""),43.0)</f>
        <v>43</v>
      </c>
      <c r="B2196" s="4">
        <f>IFERROR(__xludf.DUMMYFUNCTION("""COMPUTED_VALUE"""),43.0)</f>
        <v>43</v>
      </c>
      <c r="C2196" s="4" t="str">
        <f>IFERROR(__xludf.DUMMYFUNCTION("""COMPUTED_VALUE"""),"GSW")</f>
        <v>GSW</v>
      </c>
      <c r="D2196" s="4" t="str">
        <f>IFERROR(__xludf.DUMMYFUNCTION("""COMPUTED_VALUE"""),"Sasha Danilović")</f>
        <v>Sasha Danilović</v>
      </c>
      <c r="E2196" s="4"/>
      <c r="F2196" s="4">
        <f>IFERROR(__xludf.DUMMYFUNCTION("""COMPUTED_VALUE"""),2.0)</f>
        <v>2</v>
      </c>
      <c r="G2196" s="4">
        <f>IFERROR(__xludf.DUMMYFUNCTION("""COMPUTED_VALUE"""),75.0)</f>
        <v>75</v>
      </c>
      <c r="H2196" s="4">
        <f>IFERROR(__xludf.DUMMYFUNCTION("""COMPUTED_VALUE"""),2331.0)</f>
        <v>2331</v>
      </c>
      <c r="I2196" s="4">
        <f>IFERROR(__xludf.DUMMYFUNCTION("""COMPUTED_VALUE"""),957.0)</f>
        <v>957</v>
      </c>
      <c r="J2196" s="4">
        <f>IFERROR(__xludf.DUMMYFUNCTION("""COMPUTED_VALUE"""),182.0)</f>
        <v>182</v>
      </c>
      <c r="K2196" s="4">
        <f>IFERROR(__xludf.DUMMYFUNCTION("""COMPUTED_VALUE"""),149.0)</f>
        <v>149</v>
      </c>
      <c r="L2196" s="4">
        <f>IFERROR(__xludf.DUMMYFUNCTION("""COMPUTED_VALUE"""),0.439)</f>
        <v>0.439</v>
      </c>
      <c r="M2196" s="4">
        <f>IFERROR(__xludf.DUMMYFUNCTION("""COMPUTED_VALUE"""),0.379)</f>
        <v>0.379</v>
      </c>
      <c r="N2196" s="4">
        <f>IFERROR(__xludf.DUMMYFUNCTION("""COMPUTED_VALUE"""),0.789)</f>
        <v>0.789</v>
      </c>
      <c r="O2196" s="4">
        <f>IFERROR(__xludf.DUMMYFUNCTION("""COMPUTED_VALUE"""),31.1)</f>
        <v>31.1</v>
      </c>
      <c r="P2196" s="4">
        <f>IFERROR(__xludf.DUMMYFUNCTION("""COMPUTED_VALUE"""),12.8)</f>
        <v>12.8</v>
      </c>
      <c r="Q2196" s="4">
        <f>IFERROR(__xludf.DUMMYFUNCTION("""COMPUTED_VALUE"""),2.4)</f>
        <v>2.4</v>
      </c>
      <c r="R2196" s="4">
        <f>IFERROR(__xludf.DUMMYFUNCTION("""COMPUTED_VALUE"""),2.0)</f>
        <v>2</v>
      </c>
      <c r="S2196" s="4">
        <f>IFERROR(__xludf.DUMMYFUNCTION("""COMPUTED_VALUE"""),4.2)</f>
        <v>4.2</v>
      </c>
      <c r="T2196" s="4">
        <f>IFERROR(__xludf.DUMMYFUNCTION("""COMPUTED_VALUE"""),0.087)</f>
        <v>0.087</v>
      </c>
      <c r="U2196" s="4">
        <f>IFERROR(__xludf.DUMMYFUNCTION("""COMPUTED_VALUE"""),-0.7)</f>
        <v>-0.7</v>
      </c>
      <c r="V2196" s="4">
        <f>IFERROR(__xludf.DUMMYFUNCTION("""COMPUTED_VALUE"""),0.8)</f>
        <v>0.8</v>
      </c>
    </row>
    <row r="2197">
      <c r="A2197" s="4">
        <f>IFERROR(__xludf.DUMMYFUNCTION("""COMPUTED_VALUE"""),44.0)</f>
        <v>44</v>
      </c>
      <c r="B2197" s="4">
        <f>IFERROR(__xludf.DUMMYFUNCTION("""COMPUTED_VALUE"""),44.0)</f>
        <v>44</v>
      </c>
      <c r="C2197" s="4" t="str">
        <f>IFERROR(__xludf.DUMMYFUNCTION("""COMPUTED_VALUE"""),"SAS")</f>
        <v>SAS</v>
      </c>
      <c r="D2197" s="4" t="str">
        <f>IFERROR(__xludf.DUMMYFUNCTION("""COMPUTED_VALUE"""),"Henry Williams")</f>
        <v>Henry Williams</v>
      </c>
      <c r="E2197" s="4" t="str">
        <f>IFERROR(__xludf.DUMMYFUNCTION("""COMPUTED_VALUE"""),"UNC Charlotte")</f>
        <v>UNC Charlotte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</row>
    <row r="2198">
      <c r="A2198" s="4">
        <f>IFERROR(__xludf.DUMMYFUNCTION("""COMPUTED_VALUE"""),45.0)</f>
        <v>45</v>
      </c>
      <c r="B2198" s="4">
        <f>IFERROR(__xludf.DUMMYFUNCTION("""COMPUTED_VALUE"""),45.0)</f>
        <v>45</v>
      </c>
      <c r="C2198" s="4" t="str">
        <f>IFERROR(__xludf.DUMMYFUNCTION("""COMPUTED_VALUE"""),"SEA")</f>
        <v>SEA</v>
      </c>
      <c r="D2198" s="4" t="str">
        <f>IFERROR(__xludf.DUMMYFUNCTION("""COMPUTED_VALUE"""),"Chris King")</f>
        <v>Chris King</v>
      </c>
      <c r="E2198" s="4" t="str">
        <f>IFERROR(__xludf.DUMMYFUNCTION("""COMPUTED_VALUE"""),"Wake Forest")</f>
        <v>Wake Forest</v>
      </c>
      <c r="F2198" s="4">
        <f>IFERROR(__xludf.DUMMYFUNCTION("""COMPUTED_VALUE"""),3.0)</f>
        <v>3</v>
      </c>
      <c r="G2198" s="4">
        <f>IFERROR(__xludf.DUMMYFUNCTION("""COMPUTED_VALUE"""),103.0)</f>
        <v>103</v>
      </c>
      <c r="H2198" s="4">
        <f>IFERROR(__xludf.DUMMYFUNCTION("""COMPUTED_VALUE"""),2058.0)</f>
        <v>2058</v>
      </c>
      <c r="I2198" s="4">
        <f>IFERROR(__xludf.DUMMYFUNCTION("""COMPUTED_VALUE"""),693.0)</f>
        <v>693</v>
      </c>
      <c r="J2198" s="4">
        <f>IFERROR(__xludf.DUMMYFUNCTION("""COMPUTED_VALUE"""),311.0)</f>
        <v>311</v>
      </c>
      <c r="K2198" s="4">
        <f>IFERROR(__xludf.DUMMYFUNCTION("""COMPUTED_VALUE"""),116.0)</f>
        <v>116</v>
      </c>
      <c r="L2198" s="4">
        <f>IFERROR(__xludf.DUMMYFUNCTION("""COMPUTED_VALUE"""),0.423)</f>
        <v>0.423</v>
      </c>
      <c r="M2198" s="4">
        <f>IFERROR(__xludf.DUMMYFUNCTION("""COMPUTED_VALUE"""),0.383)</f>
        <v>0.383</v>
      </c>
      <c r="N2198" s="4">
        <f>IFERROR(__xludf.DUMMYFUNCTION("""COMPUTED_VALUE"""),0.633)</f>
        <v>0.633</v>
      </c>
      <c r="O2198" s="4">
        <f>IFERROR(__xludf.DUMMYFUNCTION("""COMPUTED_VALUE"""),20.0)</f>
        <v>20</v>
      </c>
      <c r="P2198" s="4">
        <f>IFERROR(__xludf.DUMMYFUNCTION("""COMPUTED_VALUE"""),6.7)</f>
        <v>6.7</v>
      </c>
      <c r="Q2198" s="4">
        <f>IFERROR(__xludf.DUMMYFUNCTION("""COMPUTED_VALUE"""),3.0)</f>
        <v>3</v>
      </c>
      <c r="R2198" s="4">
        <f>IFERROR(__xludf.DUMMYFUNCTION("""COMPUTED_VALUE"""),1.1)</f>
        <v>1.1</v>
      </c>
      <c r="S2198" s="4">
        <f>IFERROR(__xludf.DUMMYFUNCTION("""COMPUTED_VALUE"""),1.0)</f>
        <v>1</v>
      </c>
      <c r="T2198" s="4">
        <f>IFERROR(__xludf.DUMMYFUNCTION("""COMPUTED_VALUE"""),0.023)</f>
        <v>0.023</v>
      </c>
      <c r="U2198" s="4">
        <f>IFERROR(__xludf.DUMMYFUNCTION("""COMPUTED_VALUE"""),-2.8)</f>
        <v>-2.8</v>
      </c>
      <c r="V2198" s="4">
        <f>IFERROR(__xludf.DUMMYFUNCTION("""COMPUTED_VALUE"""),-0.4)</f>
        <v>-0.4</v>
      </c>
    </row>
    <row r="2199">
      <c r="A2199" s="4">
        <f>IFERROR(__xludf.DUMMYFUNCTION("""COMPUTED_VALUE"""),46.0)</f>
        <v>46</v>
      </c>
      <c r="B2199" s="4">
        <f>IFERROR(__xludf.DUMMYFUNCTION("""COMPUTED_VALUE"""),46.0)</f>
        <v>46</v>
      </c>
      <c r="C2199" s="4" t="str">
        <f>IFERROR(__xludf.DUMMYFUNCTION("""COMPUTED_VALUE"""),"DEN")</f>
        <v>DEN</v>
      </c>
      <c r="D2199" s="4" t="str">
        <f>IFERROR(__xludf.DUMMYFUNCTION("""COMPUTED_VALUE"""),"Robert Werdann")</f>
        <v>Robert Werdann</v>
      </c>
      <c r="E2199" s="4" t="str">
        <f>IFERROR(__xludf.DUMMYFUNCTION("""COMPUTED_VALUE"""),"St. John's")</f>
        <v>St. John's</v>
      </c>
      <c r="F2199" s="4">
        <f>IFERROR(__xludf.DUMMYFUNCTION("""COMPUTED_VALUE"""),3.0)</f>
        <v>3</v>
      </c>
      <c r="G2199" s="4">
        <f>IFERROR(__xludf.DUMMYFUNCTION("""COMPUTED_VALUE"""),47.0)</f>
        <v>47</v>
      </c>
      <c r="H2199" s="4">
        <f>IFERROR(__xludf.DUMMYFUNCTION("""COMPUTED_VALUE"""),273.0)</f>
        <v>273</v>
      </c>
      <c r="I2199" s="4">
        <f>IFERROR(__xludf.DUMMYFUNCTION("""COMPUTED_VALUE"""),101.0)</f>
        <v>101</v>
      </c>
      <c r="J2199" s="4">
        <f>IFERROR(__xludf.DUMMYFUNCTION("""COMPUTED_VALUE"""),81.0)</f>
        <v>81</v>
      </c>
      <c r="K2199" s="4">
        <f>IFERROR(__xludf.DUMMYFUNCTION("""COMPUTED_VALUE"""),9.0)</f>
        <v>9</v>
      </c>
      <c r="L2199" s="4">
        <f>IFERROR(__xludf.DUMMYFUNCTION("""COMPUTED_VALUE"""),0.378)</f>
        <v>0.378</v>
      </c>
      <c r="M2199" s="4">
        <f>IFERROR(__xludf.DUMMYFUNCTION("""COMPUTED_VALUE"""),0.0)</f>
        <v>0</v>
      </c>
      <c r="N2199" s="4">
        <f>IFERROR(__xludf.DUMMYFUNCTION("""COMPUTED_VALUE"""),0.574)</f>
        <v>0.574</v>
      </c>
      <c r="O2199" s="4">
        <f>IFERROR(__xludf.DUMMYFUNCTION("""COMPUTED_VALUE"""),5.8)</f>
        <v>5.8</v>
      </c>
      <c r="P2199" s="4">
        <f>IFERROR(__xludf.DUMMYFUNCTION("""COMPUTED_VALUE"""),2.1)</f>
        <v>2.1</v>
      </c>
      <c r="Q2199" s="4">
        <f>IFERROR(__xludf.DUMMYFUNCTION("""COMPUTED_VALUE"""),1.7)</f>
        <v>1.7</v>
      </c>
      <c r="R2199" s="4">
        <f>IFERROR(__xludf.DUMMYFUNCTION("""COMPUTED_VALUE"""),0.2)</f>
        <v>0.2</v>
      </c>
      <c r="S2199" s="4">
        <f>IFERROR(__xludf.DUMMYFUNCTION("""COMPUTED_VALUE"""),0.1)</f>
        <v>0.1</v>
      </c>
      <c r="T2199" s="4">
        <f>IFERROR(__xludf.DUMMYFUNCTION("""COMPUTED_VALUE"""),0.026)</f>
        <v>0.026</v>
      </c>
      <c r="U2199" s="4">
        <f>IFERROR(__xludf.DUMMYFUNCTION("""COMPUTED_VALUE"""),-6.3)</f>
        <v>-6.3</v>
      </c>
      <c r="V2199" s="4">
        <f>IFERROR(__xludf.DUMMYFUNCTION("""COMPUTED_VALUE"""),-0.3)</f>
        <v>-0.3</v>
      </c>
    </row>
    <row r="2200">
      <c r="A2200" s="4">
        <f>IFERROR(__xludf.DUMMYFUNCTION("""COMPUTED_VALUE"""),47.0)</f>
        <v>47</v>
      </c>
      <c r="B2200" s="4">
        <f>IFERROR(__xludf.DUMMYFUNCTION("""COMPUTED_VALUE"""),47.0)</f>
        <v>47</v>
      </c>
      <c r="C2200" s="4" t="str">
        <f>IFERROR(__xludf.DUMMYFUNCTION("""COMPUTED_VALUE"""),"BOS")</f>
        <v>BOS</v>
      </c>
      <c r="D2200" s="4" t="str">
        <f>IFERROR(__xludf.DUMMYFUNCTION("""COMPUTED_VALUE"""),"Darren Morningstar")</f>
        <v>Darren Morningstar</v>
      </c>
      <c r="E2200" s="4" t="str">
        <f>IFERROR(__xludf.DUMMYFUNCTION("""COMPUTED_VALUE"""),"Pitt")</f>
        <v>Pitt</v>
      </c>
      <c r="F2200" s="4">
        <f>IFERROR(__xludf.DUMMYFUNCTION("""COMPUTED_VALUE"""),1.0)</f>
        <v>1</v>
      </c>
      <c r="G2200" s="4">
        <f>IFERROR(__xludf.DUMMYFUNCTION("""COMPUTED_VALUE"""),23.0)</f>
        <v>23</v>
      </c>
      <c r="H2200" s="4">
        <f>IFERROR(__xludf.DUMMYFUNCTION("""COMPUTED_VALUE"""),367.0)</f>
        <v>367</v>
      </c>
      <c r="I2200" s="4">
        <f>IFERROR(__xludf.DUMMYFUNCTION("""COMPUTED_VALUE"""),96.0)</f>
        <v>96</v>
      </c>
      <c r="J2200" s="4">
        <f>IFERROR(__xludf.DUMMYFUNCTION("""COMPUTED_VALUE"""),81.0)</f>
        <v>81</v>
      </c>
      <c r="K2200" s="4">
        <f>IFERROR(__xludf.DUMMYFUNCTION("""COMPUTED_VALUE"""),15.0)</f>
        <v>15</v>
      </c>
      <c r="L2200" s="4">
        <f>IFERROR(__xludf.DUMMYFUNCTION("""COMPUTED_VALUE"""),0.476)</f>
        <v>0.476</v>
      </c>
      <c r="M2200" s="4"/>
      <c r="N2200" s="4">
        <f>IFERROR(__xludf.DUMMYFUNCTION("""COMPUTED_VALUE"""),0.6)</f>
        <v>0.6</v>
      </c>
      <c r="O2200" s="4">
        <f>IFERROR(__xludf.DUMMYFUNCTION("""COMPUTED_VALUE"""),16.0)</f>
        <v>16</v>
      </c>
      <c r="P2200" s="4">
        <f>IFERROR(__xludf.DUMMYFUNCTION("""COMPUTED_VALUE"""),4.2)</f>
        <v>4.2</v>
      </c>
      <c r="Q2200" s="4">
        <f>IFERROR(__xludf.DUMMYFUNCTION("""COMPUTED_VALUE"""),3.5)</f>
        <v>3.5</v>
      </c>
      <c r="R2200" s="4">
        <f>IFERROR(__xludf.DUMMYFUNCTION("""COMPUTED_VALUE"""),0.7)</f>
        <v>0.7</v>
      </c>
      <c r="S2200" s="4">
        <f>IFERROR(__xludf.DUMMYFUNCTION("""COMPUTED_VALUE"""),0.4)</f>
        <v>0.4</v>
      </c>
      <c r="T2200" s="4">
        <f>IFERROR(__xludf.DUMMYFUNCTION("""COMPUTED_VALUE"""),0.048)</f>
        <v>0.048</v>
      </c>
      <c r="U2200" s="4">
        <f>IFERROR(__xludf.DUMMYFUNCTION("""COMPUTED_VALUE"""),-4.5)</f>
        <v>-4.5</v>
      </c>
      <c r="V2200" s="4">
        <f>IFERROR(__xludf.DUMMYFUNCTION("""COMPUTED_VALUE"""),-0.2)</f>
        <v>-0.2</v>
      </c>
    </row>
    <row r="2201">
      <c r="A2201" s="4">
        <f>IFERROR(__xludf.DUMMYFUNCTION("""COMPUTED_VALUE"""),48.0)</f>
        <v>48</v>
      </c>
      <c r="B2201" s="4">
        <f>IFERROR(__xludf.DUMMYFUNCTION("""COMPUTED_VALUE"""),48.0)</f>
        <v>48</v>
      </c>
      <c r="C2201" s="4" t="str">
        <f>IFERROR(__xludf.DUMMYFUNCTION("""COMPUTED_VALUE"""),"PHO")</f>
        <v>PHO</v>
      </c>
      <c r="D2201" s="4" t="str">
        <f>IFERROR(__xludf.DUMMYFUNCTION("""COMPUTED_VALUE"""),"Brian Davis")</f>
        <v>Brian Davis</v>
      </c>
      <c r="E2201" s="4" t="str">
        <f>IFERROR(__xludf.DUMMYFUNCTION("""COMPUTED_VALUE"""),"Duke")</f>
        <v>Duke</v>
      </c>
      <c r="F2201" s="4">
        <f>IFERROR(__xludf.DUMMYFUNCTION("""COMPUTED_VALUE"""),1.0)</f>
        <v>1</v>
      </c>
      <c r="G2201" s="4">
        <f>IFERROR(__xludf.DUMMYFUNCTION("""COMPUTED_VALUE"""),68.0)</f>
        <v>68</v>
      </c>
      <c r="H2201" s="4">
        <f>IFERROR(__xludf.DUMMYFUNCTION("""COMPUTED_VALUE"""),374.0)</f>
        <v>374</v>
      </c>
      <c r="I2201" s="4">
        <f>IFERROR(__xludf.DUMMYFUNCTION("""COMPUTED_VALUE"""),131.0)</f>
        <v>131</v>
      </c>
      <c r="J2201" s="4">
        <f>IFERROR(__xludf.DUMMYFUNCTION("""COMPUTED_VALUE"""),55.0)</f>
        <v>55</v>
      </c>
      <c r="K2201" s="4">
        <f>IFERROR(__xludf.DUMMYFUNCTION("""COMPUTED_VALUE"""),22.0)</f>
        <v>22</v>
      </c>
      <c r="L2201" s="4">
        <f>IFERROR(__xludf.DUMMYFUNCTION("""COMPUTED_VALUE"""),0.317)</f>
        <v>0.317</v>
      </c>
      <c r="M2201" s="4">
        <f>IFERROR(__xludf.DUMMYFUNCTION("""COMPUTED_VALUE"""),0.333)</f>
        <v>0.333</v>
      </c>
      <c r="N2201" s="4">
        <f>IFERROR(__xludf.DUMMYFUNCTION("""COMPUTED_VALUE"""),0.735)</f>
        <v>0.735</v>
      </c>
      <c r="O2201" s="4">
        <f>IFERROR(__xludf.DUMMYFUNCTION("""COMPUTED_VALUE"""),5.5)</f>
        <v>5.5</v>
      </c>
      <c r="P2201" s="4">
        <f>IFERROR(__xludf.DUMMYFUNCTION("""COMPUTED_VALUE"""),1.9)</f>
        <v>1.9</v>
      </c>
      <c r="Q2201" s="4">
        <f>IFERROR(__xludf.DUMMYFUNCTION("""COMPUTED_VALUE"""),0.8)</f>
        <v>0.8</v>
      </c>
      <c r="R2201" s="4">
        <f>IFERROR(__xludf.DUMMYFUNCTION("""COMPUTED_VALUE"""),0.3)</f>
        <v>0.3</v>
      </c>
      <c r="S2201" s="4">
        <f>IFERROR(__xludf.DUMMYFUNCTION("""COMPUTED_VALUE"""),0.0)</f>
        <v>0</v>
      </c>
      <c r="T2201" s="4">
        <f>IFERROR(__xludf.DUMMYFUNCTION("""COMPUTED_VALUE"""),0.0)</f>
        <v>0</v>
      </c>
      <c r="U2201" s="4">
        <f>IFERROR(__xludf.DUMMYFUNCTION("""COMPUTED_VALUE"""),-4.7)</f>
        <v>-4.7</v>
      </c>
      <c r="V2201" s="4">
        <f>IFERROR(__xludf.DUMMYFUNCTION("""COMPUTED_VALUE"""),-0.3)</f>
        <v>-0.3</v>
      </c>
    </row>
    <row r="2202">
      <c r="A2202" s="4">
        <f>IFERROR(__xludf.DUMMYFUNCTION("""COMPUTED_VALUE"""),49.0)</f>
        <v>49</v>
      </c>
      <c r="B2202" s="4">
        <f>IFERROR(__xludf.DUMMYFUNCTION("""COMPUTED_VALUE"""),49.0)</f>
        <v>49</v>
      </c>
      <c r="C2202" s="4" t="str">
        <f>IFERROR(__xludf.DUMMYFUNCTION("""COMPUTED_VALUE"""),"PHO")</f>
        <v>PHO</v>
      </c>
      <c r="D2202" s="4" t="str">
        <f>IFERROR(__xludf.DUMMYFUNCTION("""COMPUTED_VALUE"""),"Ron Ellis")</f>
        <v>Ron Ellis</v>
      </c>
      <c r="E2202" s="4" t="str">
        <f>IFERROR(__xludf.DUMMYFUNCTION("""COMPUTED_VALUE"""),"Louisiana Tech")</f>
        <v>Louisiana Tech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</row>
    <row r="2203">
      <c r="A2203" s="4">
        <f>IFERROR(__xludf.DUMMYFUNCTION("""COMPUTED_VALUE"""),50.0)</f>
        <v>50</v>
      </c>
      <c r="B2203" s="4">
        <f>IFERROR(__xludf.DUMMYFUNCTION("""COMPUTED_VALUE"""),50.0)</f>
        <v>50</v>
      </c>
      <c r="C2203" s="4" t="str">
        <f>IFERROR(__xludf.DUMMYFUNCTION("""COMPUTED_VALUE"""),"GSW")</f>
        <v>GSW</v>
      </c>
      <c r="D2203" s="4" t="str">
        <f>IFERROR(__xludf.DUMMYFUNCTION("""COMPUTED_VALUE"""),"Matt Fish")</f>
        <v>Matt Fish</v>
      </c>
      <c r="E2203" s="4" t="str">
        <f>IFERROR(__xludf.DUMMYFUNCTION("""COMPUTED_VALUE"""),"UNC Wilmington")</f>
        <v>UNC Wilmington</v>
      </c>
      <c r="F2203" s="4">
        <f>IFERROR(__xludf.DUMMYFUNCTION("""COMPUTED_VALUE"""),3.0)</f>
        <v>3</v>
      </c>
      <c r="G2203" s="4">
        <f>IFERROR(__xludf.DUMMYFUNCTION("""COMPUTED_VALUE"""),50.0)</f>
        <v>50</v>
      </c>
      <c r="H2203" s="4">
        <f>IFERROR(__xludf.DUMMYFUNCTION("""COMPUTED_VALUE"""),512.0)</f>
        <v>512</v>
      </c>
      <c r="I2203" s="4">
        <f>IFERROR(__xludf.DUMMYFUNCTION("""COMPUTED_VALUE"""),177.0)</f>
        <v>177</v>
      </c>
      <c r="J2203" s="4">
        <f>IFERROR(__xludf.DUMMYFUNCTION("""COMPUTED_VALUE"""),110.0)</f>
        <v>110</v>
      </c>
      <c r="K2203" s="4">
        <f>IFERROR(__xludf.DUMMYFUNCTION("""COMPUTED_VALUE"""),25.0)</f>
        <v>25</v>
      </c>
      <c r="L2203" s="4">
        <f>IFERROR(__xludf.DUMMYFUNCTION("""COMPUTED_VALUE"""),0.5)</f>
        <v>0.5</v>
      </c>
      <c r="M2203" s="4">
        <f>IFERROR(__xludf.DUMMYFUNCTION("""COMPUTED_VALUE"""),0.0)</f>
        <v>0</v>
      </c>
      <c r="N2203" s="4">
        <f>IFERROR(__xludf.DUMMYFUNCTION("""COMPUTED_VALUE"""),0.625)</f>
        <v>0.625</v>
      </c>
      <c r="O2203" s="4">
        <f>IFERROR(__xludf.DUMMYFUNCTION("""COMPUTED_VALUE"""),10.2)</f>
        <v>10.2</v>
      </c>
      <c r="P2203" s="4">
        <f>IFERROR(__xludf.DUMMYFUNCTION("""COMPUTED_VALUE"""),3.5)</f>
        <v>3.5</v>
      </c>
      <c r="Q2203" s="4">
        <f>IFERROR(__xludf.DUMMYFUNCTION("""COMPUTED_VALUE"""),2.2)</f>
        <v>2.2</v>
      </c>
      <c r="R2203" s="4">
        <f>IFERROR(__xludf.DUMMYFUNCTION("""COMPUTED_VALUE"""),0.5)</f>
        <v>0.5</v>
      </c>
      <c r="S2203" s="4">
        <f>IFERROR(__xludf.DUMMYFUNCTION("""COMPUTED_VALUE"""),0.6)</f>
        <v>0.6</v>
      </c>
      <c r="T2203" s="4">
        <f>IFERROR(__xludf.DUMMYFUNCTION("""COMPUTED_VALUE"""),0.058)</f>
        <v>0.058</v>
      </c>
      <c r="U2203" s="4">
        <f>IFERROR(__xludf.DUMMYFUNCTION("""COMPUTED_VALUE"""),-3.1)</f>
        <v>-3.1</v>
      </c>
      <c r="V2203" s="4">
        <f>IFERROR(__xludf.DUMMYFUNCTION("""COMPUTED_VALUE"""),-0.1)</f>
        <v>-0.1</v>
      </c>
    </row>
    <row r="2204">
      <c r="A2204" s="4">
        <f>IFERROR(__xludf.DUMMYFUNCTION("""COMPUTED_VALUE"""),51.0)</f>
        <v>51</v>
      </c>
      <c r="B2204" s="4">
        <f>IFERROR(__xludf.DUMMYFUNCTION("""COMPUTED_VALUE"""),51.0)</f>
        <v>51</v>
      </c>
      <c r="C2204" s="4" t="str">
        <f>IFERROR(__xludf.DUMMYFUNCTION("""COMPUTED_VALUE"""),"MIN")</f>
        <v>MIN</v>
      </c>
      <c r="D2204" s="4" t="str">
        <f>IFERROR(__xludf.DUMMYFUNCTION("""COMPUTED_VALUE"""),"Tim Burroughs")</f>
        <v>Tim Burroughs</v>
      </c>
      <c r="E2204" s="4" t="str">
        <f>IFERROR(__xludf.DUMMYFUNCTION("""COMPUTED_VALUE"""),"Jacksonville University")</f>
        <v>Jacksonville University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</row>
    <row r="2205">
      <c r="A2205" s="4">
        <f>IFERROR(__xludf.DUMMYFUNCTION("""COMPUTED_VALUE"""),52.0)</f>
        <v>52</v>
      </c>
      <c r="B2205" s="4">
        <f>IFERROR(__xludf.DUMMYFUNCTION("""COMPUTED_VALUE"""),52.0)</f>
        <v>52</v>
      </c>
      <c r="C2205" s="4" t="str">
        <f>IFERROR(__xludf.DUMMYFUNCTION("""COMPUTED_VALUE"""),"CHI")</f>
        <v>CHI</v>
      </c>
      <c r="D2205" s="4" t="str">
        <f>IFERROR(__xludf.DUMMYFUNCTION("""COMPUTED_VALUE"""),"Matt Steigenga")</f>
        <v>Matt Steigenga</v>
      </c>
      <c r="E2205" s="4" t="str">
        <f>IFERROR(__xludf.DUMMYFUNCTION("""COMPUTED_VALUE"""),"Michigan State")</f>
        <v>Michigan State</v>
      </c>
      <c r="F2205" s="4">
        <f>IFERROR(__xludf.DUMMYFUNCTION("""COMPUTED_VALUE"""),1.0)</f>
        <v>1</v>
      </c>
      <c r="G2205" s="4">
        <f>IFERROR(__xludf.DUMMYFUNCTION("""COMPUTED_VALUE"""),2.0)</f>
        <v>2</v>
      </c>
      <c r="H2205" s="4">
        <f>IFERROR(__xludf.DUMMYFUNCTION("""COMPUTED_VALUE"""),12.0)</f>
        <v>12</v>
      </c>
      <c r="I2205" s="4">
        <f>IFERROR(__xludf.DUMMYFUNCTION("""COMPUTED_VALUE"""),3.0)</f>
        <v>3</v>
      </c>
      <c r="J2205" s="4">
        <f>IFERROR(__xludf.DUMMYFUNCTION("""COMPUTED_VALUE"""),3.0)</f>
        <v>3</v>
      </c>
      <c r="K2205" s="4">
        <f>IFERROR(__xludf.DUMMYFUNCTION("""COMPUTED_VALUE"""),2.0)</f>
        <v>2</v>
      </c>
      <c r="L2205" s="4">
        <f>IFERROR(__xludf.DUMMYFUNCTION("""COMPUTED_VALUE"""),0.25)</f>
        <v>0.25</v>
      </c>
      <c r="M2205" s="4">
        <f>IFERROR(__xludf.DUMMYFUNCTION("""COMPUTED_VALUE"""),0.0)</f>
        <v>0</v>
      </c>
      <c r="N2205" s="4">
        <f>IFERROR(__xludf.DUMMYFUNCTION("""COMPUTED_VALUE"""),0.5)</f>
        <v>0.5</v>
      </c>
      <c r="O2205" s="4">
        <f>IFERROR(__xludf.DUMMYFUNCTION("""COMPUTED_VALUE"""),6.0)</f>
        <v>6</v>
      </c>
      <c r="P2205" s="4">
        <f>IFERROR(__xludf.DUMMYFUNCTION("""COMPUTED_VALUE"""),1.5)</f>
        <v>1.5</v>
      </c>
      <c r="Q2205" s="4">
        <f>IFERROR(__xludf.DUMMYFUNCTION("""COMPUTED_VALUE"""),1.5)</f>
        <v>1.5</v>
      </c>
      <c r="R2205" s="4">
        <f>IFERROR(__xludf.DUMMYFUNCTION("""COMPUTED_VALUE"""),1.0)</f>
        <v>1</v>
      </c>
      <c r="S2205" s="4">
        <f>IFERROR(__xludf.DUMMYFUNCTION("""COMPUTED_VALUE"""),0.0)</f>
        <v>0</v>
      </c>
      <c r="T2205" s="4">
        <f>IFERROR(__xludf.DUMMYFUNCTION("""COMPUTED_VALUE"""),-0.126)</f>
        <v>-0.126</v>
      </c>
      <c r="U2205" s="4">
        <f>IFERROR(__xludf.DUMMYFUNCTION("""COMPUTED_VALUE"""),-8.5)</f>
        <v>-8.5</v>
      </c>
      <c r="V2205" s="4">
        <f>IFERROR(__xludf.DUMMYFUNCTION("""COMPUTED_VALUE"""),0.0)</f>
        <v>0</v>
      </c>
    </row>
    <row r="2206">
      <c r="A2206" s="4">
        <f>IFERROR(__xludf.DUMMYFUNCTION("""COMPUTED_VALUE"""),53.0)</f>
        <v>53</v>
      </c>
      <c r="B2206" s="4">
        <f>IFERROR(__xludf.DUMMYFUNCTION("""COMPUTED_VALUE"""),53.0)</f>
        <v>53</v>
      </c>
      <c r="C2206" s="4" t="str">
        <f>IFERROR(__xludf.DUMMYFUNCTION("""COMPUTED_VALUE"""),"HOU")</f>
        <v>HOU</v>
      </c>
      <c r="D2206" s="4" t="str">
        <f>IFERROR(__xludf.DUMMYFUNCTION("""COMPUTED_VALUE"""),"Curtis Blair")</f>
        <v>Curtis Blair</v>
      </c>
      <c r="E2206" s="4" t="str">
        <f>IFERROR(__xludf.DUMMYFUNCTION("""COMPUTED_VALUE"""),"Richmond")</f>
        <v>Richmond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</row>
    <row r="2207">
      <c r="A2207" s="4">
        <f>IFERROR(__xludf.DUMMYFUNCTION("""COMPUTED_VALUE"""),54.0)</f>
        <v>54</v>
      </c>
      <c r="B2207" s="4">
        <f>IFERROR(__xludf.DUMMYFUNCTION("""COMPUTED_VALUE"""),54.0)</f>
        <v>54</v>
      </c>
      <c r="C2207" s="4" t="str">
        <f>IFERROR(__xludf.DUMMYFUNCTION("""COMPUTED_VALUE"""),"SAC")</f>
        <v>SAC</v>
      </c>
      <c r="D2207" s="4" t="str">
        <f>IFERROR(__xludf.DUMMYFUNCTION("""COMPUTED_VALUE"""),"Brett Roberts")</f>
        <v>Brett Roberts</v>
      </c>
      <c r="E2207" s="4" t="str">
        <f>IFERROR(__xludf.DUMMYFUNCTION("""COMPUTED_VALUE"""),"Morehead State University")</f>
        <v>Morehead State University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</row>
    <row r="2209">
      <c r="A2209" s="2">
        <v>1991.0</v>
      </c>
    </row>
    <row r="2210">
      <c r="A2210" s="4" t="str">
        <f>IFERROR(__xludf.DUMMYFUNCTION("IMPORTHTML(""https://www.basketball-reference.com/draft/NBA_1991.html"", ""table"", 1)"),"")</f>
        <v/>
      </c>
      <c r="B2210" s="4"/>
      <c r="C2210" s="4"/>
      <c r="D2210" s="4" t="str">
        <f>IFERROR(__xludf.DUMMYFUNCTION("""COMPUTED_VALUE"""),"Round 1")</f>
        <v>Round 1</v>
      </c>
      <c r="E2210" s="4"/>
      <c r="F2210" s="4"/>
      <c r="G2210" s="4" t="str">
        <f>IFERROR(__xludf.DUMMYFUNCTION("""COMPUTED_VALUE"""),"Totals")</f>
        <v>Totals</v>
      </c>
      <c r="H2210" s="4"/>
      <c r="I2210" s="4"/>
      <c r="J2210" s="4"/>
      <c r="K2210" s="4"/>
      <c r="L2210" s="4" t="str">
        <f>IFERROR(__xludf.DUMMYFUNCTION("""COMPUTED_VALUE"""),"Shooting")</f>
        <v>Shooting</v>
      </c>
      <c r="M2210" s="4"/>
      <c r="N2210" s="4"/>
      <c r="O2210" s="4" t="str">
        <f>IFERROR(__xludf.DUMMYFUNCTION("""COMPUTED_VALUE"""),"Per Game")</f>
        <v>Per Game</v>
      </c>
      <c r="P2210" s="4"/>
      <c r="Q2210" s="4"/>
      <c r="R2210" s="4"/>
      <c r="S2210" s="4" t="str">
        <f>IFERROR(__xludf.DUMMYFUNCTION("""COMPUTED_VALUE"""),"Advanced")</f>
        <v>Advanced</v>
      </c>
      <c r="T2210" s="4"/>
      <c r="U2210" s="4"/>
      <c r="V2210" s="4"/>
    </row>
    <row r="2211">
      <c r="A2211" s="4" t="str">
        <f>IFERROR(__xludf.DUMMYFUNCTION("""COMPUTED_VALUE"""),"Rk")</f>
        <v>Rk</v>
      </c>
      <c r="B2211" s="4" t="str">
        <f>IFERROR(__xludf.DUMMYFUNCTION("""COMPUTED_VALUE"""),"Pk")</f>
        <v>Pk</v>
      </c>
      <c r="C2211" s="4" t="str">
        <f>IFERROR(__xludf.DUMMYFUNCTION("""COMPUTED_VALUE"""),"Tm")</f>
        <v>Tm</v>
      </c>
      <c r="D2211" s="4" t="str">
        <f>IFERROR(__xludf.DUMMYFUNCTION("""COMPUTED_VALUE"""),"Player")</f>
        <v>Player</v>
      </c>
      <c r="E2211" s="4" t="str">
        <f>IFERROR(__xludf.DUMMYFUNCTION("""COMPUTED_VALUE"""),"College")</f>
        <v>College</v>
      </c>
      <c r="F2211" s="4" t="str">
        <f>IFERROR(__xludf.DUMMYFUNCTION("""COMPUTED_VALUE"""),"Yrs")</f>
        <v>Yrs</v>
      </c>
      <c r="G2211" s="4" t="str">
        <f>IFERROR(__xludf.DUMMYFUNCTION("""COMPUTED_VALUE"""),"G")</f>
        <v>G</v>
      </c>
      <c r="H2211" s="4" t="str">
        <f>IFERROR(__xludf.DUMMYFUNCTION("""COMPUTED_VALUE"""),"MP")</f>
        <v>MP</v>
      </c>
      <c r="I2211" s="4" t="str">
        <f>IFERROR(__xludf.DUMMYFUNCTION("""COMPUTED_VALUE"""),"PTS")</f>
        <v>PTS</v>
      </c>
      <c r="J2211" s="4" t="str">
        <f>IFERROR(__xludf.DUMMYFUNCTION("""COMPUTED_VALUE"""),"TRB")</f>
        <v>TRB</v>
      </c>
      <c r="K2211" s="4" t="str">
        <f>IFERROR(__xludf.DUMMYFUNCTION("""COMPUTED_VALUE"""),"AST")</f>
        <v>AST</v>
      </c>
      <c r="L2211" s="4" t="str">
        <f>IFERROR(__xludf.DUMMYFUNCTION("""COMPUTED_VALUE"""),"FG%")</f>
        <v>FG%</v>
      </c>
      <c r="M2211" s="4" t="str">
        <f>IFERROR(__xludf.DUMMYFUNCTION("""COMPUTED_VALUE"""),"3P%")</f>
        <v>3P%</v>
      </c>
      <c r="N2211" s="4" t="str">
        <f>IFERROR(__xludf.DUMMYFUNCTION("""COMPUTED_VALUE"""),"FT%")</f>
        <v>FT%</v>
      </c>
      <c r="O2211" s="4" t="str">
        <f>IFERROR(__xludf.DUMMYFUNCTION("""COMPUTED_VALUE"""),"MP")</f>
        <v>MP</v>
      </c>
      <c r="P2211" s="4" t="str">
        <f>IFERROR(__xludf.DUMMYFUNCTION("""COMPUTED_VALUE"""),"PTS")</f>
        <v>PTS</v>
      </c>
      <c r="Q2211" s="4" t="str">
        <f>IFERROR(__xludf.DUMMYFUNCTION("""COMPUTED_VALUE"""),"TRB")</f>
        <v>TRB</v>
      </c>
      <c r="R2211" s="4" t="str">
        <f>IFERROR(__xludf.DUMMYFUNCTION("""COMPUTED_VALUE"""),"AST")</f>
        <v>AST</v>
      </c>
      <c r="S2211" s="4" t="str">
        <f>IFERROR(__xludf.DUMMYFUNCTION("""COMPUTED_VALUE"""),"WS")</f>
        <v>WS</v>
      </c>
      <c r="T2211" s="4" t="str">
        <f>IFERROR(__xludf.DUMMYFUNCTION("""COMPUTED_VALUE"""),"WS/48")</f>
        <v>WS/48</v>
      </c>
      <c r="U2211" s="4" t="str">
        <f>IFERROR(__xludf.DUMMYFUNCTION("""COMPUTED_VALUE"""),"BPM")</f>
        <v>BPM</v>
      </c>
      <c r="V2211" s="4" t="str">
        <f>IFERROR(__xludf.DUMMYFUNCTION("""COMPUTED_VALUE"""),"VORP")</f>
        <v>VORP</v>
      </c>
    </row>
    <row r="2212">
      <c r="A2212" s="4">
        <f>IFERROR(__xludf.DUMMYFUNCTION("""COMPUTED_VALUE"""),1.0)</f>
        <v>1</v>
      </c>
      <c r="B2212" s="4">
        <f>IFERROR(__xludf.DUMMYFUNCTION("""COMPUTED_VALUE"""),1.0)</f>
        <v>1</v>
      </c>
      <c r="C2212" s="4" t="str">
        <f>IFERROR(__xludf.DUMMYFUNCTION("""COMPUTED_VALUE"""),"CHH")</f>
        <v>CHH</v>
      </c>
      <c r="D2212" s="4" t="str">
        <f>IFERROR(__xludf.DUMMYFUNCTION("""COMPUTED_VALUE"""),"Larry Johnson")</f>
        <v>Larry Johnson</v>
      </c>
      <c r="E2212" s="4" t="str">
        <f>IFERROR(__xludf.DUMMYFUNCTION("""COMPUTED_VALUE"""),"UNLV")</f>
        <v>UNLV</v>
      </c>
      <c r="F2212" s="4">
        <f>IFERROR(__xludf.DUMMYFUNCTION("""COMPUTED_VALUE"""),10.0)</f>
        <v>10</v>
      </c>
      <c r="G2212" s="4">
        <f>IFERROR(__xludf.DUMMYFUNCTION("""COMPUTED_VALUE"""),707.0)</f>
        <v>707</v>
      </c>
      <c r="H2212" s="4">
        <f>IFERROR(__xludf.DUMMYFUNCTION("""COMPUTED_VALUE"""),25685.0)</f>
        <v>25685</v>
      </c>
      <c r="I2212" s="4">
        <f>IFERROR(__xludf.DUMMYFUNCTION("""COMPUTED_VALUE"""),11450.0)</f>
        <v>11450</v>
      </c>
      <c r="J2212" s="4">
        <f>IFERROR(__xludf.DUMMYFUNCTION("""COMPUTED_VALUE"""),5300.0)</f>
        <v>5300</v>
      </c>
      <c r="K2212" s="4">
        <f>IFERROR(__xludf.DUMMYFUNCTION("""COMPUTED_VALUE"""),2298.0)</f>
        <v>2298</v>
      </c>
      <c r="L2212" s="4">
        <f>IFERROR(__xludf.DUMMYFUNCTION("""COMPUTED_VALUE"""),0.484)</f>
        <v>0.484</v>
      </c>
      <c r="M2212" s="4">
        <f>IFERROR(__xludf.DUMMYFUNCTION("""COMPUTED_VALUE"""),0.332)</f>
        <v>0.332</v>
      </c>
      <c r="N2212" s="4">
        <f>IFERROR(__xludf.DUMMYFUNCTION("""COMPUTED_VALUE"""),0.766)</f>
        <v>0.766</v>
      </c>
      <c r="O2212" s="4">
        <f>IFERROR(__xludf.DUMMYFUNCTION("""COMPUTED_VALUE"""),36.3)</f>
        <v>36.3</v>
      </c>
      <c r="P2212" s="4">
        <f>IFERROR(__xludf.DUMMYFUNCTION("""COMPUTED_VALUE"""),16.2)</f>
        <v>16.2</v>
      </c>
      <c r="Q2212" s="4">
        <f>IFERROR(__xludf.DUMMYFUNCTION("""COMPUTED_VALUE"""),7.5)</f>
        <v>7.5</v>
      </c>
      <c r="R2212" s="4">
        <f>IFERROR(__xludf.DUMMYFUNCTION("""COMPUTED_VALUE"""),3.3)</f>
        <v>3.3</v>
      </c>
      <c r="S2212" s="4">
        <f>IFERROR(__xludf.DUMMYFUNCTION("""COMPUTED_VALUE"""),69.7)</f>
        <v>69.7</v>
      </c>
      <c r="T2212" s="4">
        <f>IFERROR(__xludf.DUMMYFUNCTION("""COMPUTED_VALUE"""),0.13)</f>
        <v>0.13</v>
      </c>
      <c r="U2212" s="4">
        <f>IFERROR(__xludf.DUMMYFUNCTION("""COMPUTED_VALUE"""),1.4)</f>
        <v>1.4</v>
      </c>
      <c r="V2212" s="4">
        <f>IFERROR(__xludf.DUMMYFUNCTION("""COMPUTED_VALUE"""),22.0)</f>
        <v>22</v>
      </c>
    </row>
    <row r="2213">
      <c r="A2213" s="4">
        <f>IFERROR(__xludf.DUMMYFUNCTION("""COMPUTED_VALUE"""),2.0)</f>
        <v>2</v>
      </c>
      <c r="B2213" s="4">
        <f>IFERROR(__xludf.DUMMYFUNCTION("""COMPUTED_VALUE"""),2.0)</f>
        <v>2</v>
      </c>
      <c r="C2213" s="4" t="str">
        <f>IFERROR(__xludf.DUMMYFUNCTION("""COMPUTED_VALUE"""),"NJN")</f>
        <v>NJN</v>
      </c>
      <c r="D2213" s="4" t="str">
        <f>IFERROR(__xludf.DUMMYFUNCTION("""COMPUTED_VALUE"""),"Kenny Anderson")</f>
        <v>Kenny Anderson</v>
      </c>
      <c r="E2213" s="4" t="str">
        <f>IFERROR(__xludf.DUMMYFUNCTION("""COMPUTED_VALUE"""),"Georgia Tech")</f>
        <v>Georgia Tech</v>
      </c>
      <c r="F2213" s="4">
        <f>IFERROR(__xludf.DUMMYFUNCTION("""COMPUTED_VALUE"""),14.0)</f>
        <v>14</v>
      </c>
      <c r="G2213" s="4">
        <f>IFERROR(__xludf.DUMMYFUNCTION("""COMPUTED_VALUE"""),858.0)</f>
        <v>858</v>
      </c>
      <c r="H2213" s="4">
        <f>IFERROR(__xludf.DUMMYFUNCTION("""COMPUTED_VALUE"""),25868.0)</f>
        <v>25868</v>
      </c>
      <c r="I2213" s="4">
        <f>IFERROR(__xludf.DUMMYFUNCTION("""COMPUTED_VALUE"""),10789.0)</f>
        <v>10789</v>
      </c>
      <c r="J2213" s="4">
        <f>IFERROR(__xludf.DUMMYFUNCTION("""COMPUTED_VALUE"""),2641.0)</f>
        <v>2641</v>
      </c>
      <c r="K2213" s="4">
        <f>IFERROR(__xludf.DUMMYFUNCTION("""COMPUTED_VALUE"""),5196.0)</f>
        <v>5196</v>
      </c>
      <c r="L2213" s="4">
        <f>IFERROR(__xludf.DUMMYFUNCTION("""COMPUTED_VALUE"""),0.421)</f>
        <v>0.421</v>
      </c>
      <c r="M2213" s="4">
        <f>IFERROR(__xludf.DUMMYFUNCTION("""COMPUTED_VALUE"""),0.346)</f>
        <v>0.346</v>
      </c>
      <c r="N2213" s="4">
        <f>IFERROR(__xludf.DUMMYFUNCTION("""COMPUTED_VALUE"""),0.79)</f>
        <v>0.79</v>
      </c>
      <c r="O2213" s="4">
        <f>IFERROR(__xludf.DUMMYFUNCTION("""COMPUTED_VALUE"""),30.1)</f>
        <v>30.1</v>
      </c>
      <c r="P2213" s="4">
        <f>IFERROR(__xludf.DUMMYFUNCTION("""COMPUTED_VALUE"""),12.6)</f>
        <v>12.6</v>
      </c>
      <c r="Q2213" s="4">
        <f>IFERROR(__xludf.DUMMYFUNCTION("""COMPUTED_VALUE"""),3.1)</f>
        <v>3.1</v>
      </c>
      <c r="R2213" s="4">
        <f>IFERROR(__xludf.DUMMYFUNCTION("""COMPUTED_VALUE"""),6.1)</f>
        <v>6.1</v>
      </c>
      <c r="S2213" s="4">
        <f>IFERROR(__xludf.DUMMYFUNCTION("""COMPUTED_VALUE"""),62.5)</f>
        <v>62.5</v>
      </c>
      <c r="T2213" s="4">
        <f>IFERROR(__xludf.DUMMYFUNCTION("""COMPUTED_VALUE"""),0.116)</f>
        <v>0.116</v>
      </c>
      <c r="U2213" s="4">
        <f>IFERROR(__xludf.DUMMYFUNCTION("""COMPUTED_VALUE"""),1.4)</f>
        <v>1.4</v>
      </c>
      <c r="V2213" s="4">
        <f>IFERROR(__xludf.DUMMYFUNCTION("""COMPUTED_VALUE"""),21.9)</f>
        <v>21.9</v>
      </c>
    </row>
    <row r="2214">
      <c r="A2214" s="4">
        <f>IFERROR(__xludf.DUMMYFUNCTION("""COMPUTED_VALUE"""),3.0)</f>
        <v>3</v>
      </c>
      <c r="B2214" s="4">
        <f>IFERROR(__xludf.DUMMYFUNCTION("""COMPUTED_VALUE"""),3.0)</f>
        <v>3</v>
      </c>
      <c r="C2214" s="4" t="str">
        <f>IFERROR(__xludf.DUMMYFUNCTION("""COMPUTED_VALUE"""),"SAC")</f>
        <v>SAC</v>
      </c>
      <c r="D2214" s="4" t="str">
        <f>IFERROR(__xludf.DUMMYFUNCTION("""COMPUTED_VALUE"""),"Billy Owens")</f>
        <v>Billy Owens</v>
      </c>
      <c r="E2214" s="4" t="str">
        <f>IFERROR(__xludf.DUMMYFUNCTION("""COMPUTED_VALUE"""),"Syracuse")</f>
        <v>Syracuse</v>
      </c>
      <c r="F2214" s="4">
        <f>IFERROR(__xludf.DUMMYFUNCTION("""COMPUTED_VALUE"""),10.0)</f>
        <v>10</v>
      </c>
      <c r="G2214" s="4">
        <f>IFERROR(__xludf.DUMMYFUNCTION("""COMPUTED_VALUE"""),600.0)</f>
        <v>600</v>
      </c>
      <c r="H2214" s="4">
        <f>IFERROR(__xludf.DUMMYFUNCTION("""COMPUTED_VALUE"""),17619.0)</f>
        <v>17619</v>
      </c>
      <c r="I2214" s="4">
        <f>IFERROR(__xludf.DUMMYFUNCTION("""COMPUTED_VALUE"""),7026.0)</f>
        <v>7026</v>
      </c>
      <c r="J2214" s="4">
        <f>IFERROR(__xludf.DUMMYFUNCTION("""COMPUTED_VALUE"""),4016.0)</f>
        <v>4016</v>
      </c>
      <c r="K2214" s="4">
        <f>IFERROR(__xludf.DUMMYFUNCTION("""COMPUTED_VALUE"""),1704.0)</f>
        <v>1704</v>
      </c>
      <c r="L2214" s="4">
        <f>IFERROR(__xludf.DUMMYFUNCTION("""COMPUTED_VALUE"""),0.481)</f>
        <v>0.481</v>
      </c>
      <c r="M2214" s="4">
        <f>IFERROR(__xludf.DUMMYFUNCTION("""COMPUTED_VALUE"""),0.291)</f>
        <v>0.291</v>
      </c>
      <c r="N2214" s="4">
        <f>IFERROR(__xludf.DUMMYFUNCTION("""COMPUTED_VALUE"""),0.629)</f>
        <v>0.629</v>
      </c>
      <c r="O2214" s="4">
        <f>IFERROR(__xludf.DUMMYFUNCTION("""COMPUTED_VALUE"""),29.4)</f>
        <v>29.4</v>
      </c>
      <c r="P2214" s="4">
        <f>IFERROR(__xludf.DUMMYFUNCTION("""COMPUTED_VALUE"""),11.7)</f>
        <v>11.7</v>
      </c>
      <c r="Q2214" s="4">
        <f>IFERROR(__xludf.DUMMYFUNCTION("""COMPUTED_VALUE"""),6.7)</f>
        <v>6.7</v>
      </c>
      <c r="R2214" s="4">
        <f>IFERROR(__xludf.DUMMYFUNCTION("""COMPUTED_VALUE"""),2.8)</f>
        <v>2.8</v>
      </c>
      <c r="S2214" s="4">
        <f>IFERROR(__xludf.DUMMYFUNCTION("""COMPUTED_VALUE"""),28.6)</f>
        <v>28.6</v>
      </c>
      <c r="T2214" s="4">
        <f>IFERROR(__xludf.DUMMYFUNCTION("""COMPUTED_VALUE"""),0.078)</f>
        <v>0.078</v>
      </c>
      <c r="U2214" s="4">
        <f>IFERROR(__xludf.DUMMYFUNCTION("""COMPUTED_VALUE"""),-0.2)</f>
        <v>-0.2</v>
      </c>
      <c r="V2214" s="4">
        <f>IFERROR(__xludf.DUMMYFUNCTION("""COMPUTED_VALUE"""),7.8)</f>
        <v>7.8</v>
      </c>
    </row>
    <row r="2215">
      <c r="A2215" s="4">
        <f>IFERROR(__xludf.DUMMYFUNCTION("""COMPUTED_VALUE"""),4.0)</f>
        <v>4</v>
      </c>
      <c r="B2215" s="4">
        <f>IFERROR(__xludf.DUMMYFUNCTION("""COMPUTED_VALUE"""),4.0)</f>
        <v>4</v>
      </c>
      <c r="C2215" s="4" t="str">
        <f>IFERROR(__xludf.DUMMYFUNCTION("""COMPUTED_VALUE"""),"DEN")</f>
        <v>DEN</v>
      </c>
      <c r="D2215" s="4" t="str">
        <f>IFERROR(__xludf.DUMMYFUNCTION("""COMPUTED_VALUE"""),"Dikembe Mutombo")</f>
        <v>Dikembe Mutombo</v>
      </c>
      <c r="E2215" s="4" t="str">
        <f>IFERROR(__xludf.DUMMYFUNCTION("""COMPUTED_VALUE"""),"Georgetown")</f>
        <v>Georgetown</v>
      </c>
      <c r="F2215" s="4">
        <f>IFERROR(__xludf.DUMMYFUNCTION("""COMPUTED_VALUE"""),18.0)</f>
        <v>18</v>
      </c>
      <c r="G2215" s="4">
        <f>IFERROR(__xludf.DUMMYFUNCTION("""COMPUTED_VALUE"""),1196.0)</f>
        <v>1196</v>
      </c>
      <c r="H2215" s="4">
        <f>IFERROR(__xludf.DUMMYFUNCTION("""COMPUTED_VALUE"""),36791.0)</f>
        <v>36791</v>
      </c>
      <c r="I2215" s="4">
        <f>IFERROR(__xludf.DUMMYFUNCTION("""COMPUTED_VALUE"""),11729.0)</f>
        <v>11729</v>
      </c>
      <c r="J2215" s="4">
        <f>IFERROR(__xludf.DUMMYFUNCTION("""COMPUTED_VALUE"""),12359.0)</f>
        <v>12359</v>
      </c>
      <c r="K2215" s="4">
        <f>IFERROR(__xludf.DUMMYFUNCTION("""COMPUTED_VALUE"""),1240.0)</f>
        <v>1240</v>
      </c>
      <c r="L2215" s="4">
        <f>IFERROR(__xludf.DUMMYFUNCTION("""COMPUTED_VALUE"""),0.518)</f>
        <v>0.518</v>
      </c>
      <c r="M2215" s="4">
        <f>IFERROR(__xludf.DUMMYFUNCTION("""COMPUTED_VALUE"""),0.0)</f>
        <v>0</v>
      </c>
      <c r="N2215" s="4">
        <f>IFERROR(__xludf.DUMMYFUNCTION("""COMPUTED_VALUE"""),0.684)</f>
        <v>0.684</v>
      </c>
      <c r="O2215" s="4">
        <f>IFERROR(__xludf.DUMMYFUNCTION("""COMPUTED_VALUE"""),30.8)</f>
        <v>30.8</v>
      </c>
      <c r="P2215" s="4">
        <f>IFERROR(__xludf.DUMMYFUNCTION("""COMPUTED_VALUE"""),9.8)</f>
        <v>9.8</v>
      </c>
      <c r="Q2215" s="4">
        <f>IFERROR(__xludf.DUMMYFUNCTION("""COMPUTED_VALUE"""),10.3)</f>
        <v>10.3</v>
      </c>
      <c r="R2215" s="4">
        <f>IFERROR(__xludf.DUMMYFUNCTION("""COMPUTED_VALUE"""),1.0)</f>
        <v>1</v>
      </c>
      <c r="S2215" s="4">
        <f>IFERROR(__xludf.DUMMYFUNCTION("""COMPUTED_VALUE"""),117.0)</f>
        <v>117</v>
      </c>
      <c r="T2215" s="4">
        <f>IFERROR(__xludf.DUMMYFUNCTION("""COMPUTED_VALUE"""),0.153)</f>
        <v>0.153</v>
      </c>
      <c r="U2215" s="4">
        <f>IFERROR(__xludf.DUMMYFUNCTION("""COMPUTED_VALUE"""),1.7)</f>
        <v>1.7</v>
      </c>
      <c r="V2215" s="4">
        <f>IFERROR(__xludf.DUMMYFUNCTION("""COMPUTED_VALUE"""),33.9)</f>
        <v>33.9</v>
      </c>
    </row>
    <row r="2216">
      <c r="A2216" s="4">
        <f>IFERROR(__xludf.DUMMYFUNCTION("""COMPUTED_VALUE"""),5.0)</f>
        <v>5</v>
      </c>
      <c r="B2216" s="4">
        <f>IFERROR(__xludf.DUMMYFUNCTION("""COMPUTED_VALUE"""),5.0)</f>
        <v>5</v>
      </c>
      <c r="C2216" s="4" t="str">
        <f>IFERROR(__xludf.DUMMYFUNCTION("""COMPUTED_VALUE"""),"MIA")</f>
        <v>MIA</v>
      </c>
      <c r="D2216" s="4" t="str">
        <f>IFERROR(__xludf.DUMMYFUNCTION("""COMPUTED_VALUE"""),"Steve Smith")</f>
        <v>Steve Smith</v>
      </c>
      <c r="E2216" s="4" t="str">
        <f>IFERROR(__xludf.DUMMYFUNCTION("""COMPUTED_VALUE"""),"Michigan State")</f>
        <v>Michigan State</v>
      </c>
      <c r="F2216" s="4">
        <f>IFERROR(__xludf.DUMMYFUNCTION("""COMPUTED_VALUE"""),14.0)</f>
        <v>14</v>
      </c>
      <c r="G2216" s="4">
        <f>IFERROR(__xludf.DUMMYFUNCTION("""COMPUTED_VALUE"""),942.0)</f>
        <v>942</v>
      </c>
      <c r="H2216" s="4">
        <f>IFERROR(__xludf.DUMMYFUNCTION("""COMPUTED_VALUE"""),28855.0)</f>
        <v>28855</v>
      </c>
      <c r="I2216" s="4">
        <f>IFERROR(__xludf.DUMMYFUNCTION("""COMPUTED_VALUE"""),13430.0)</f>
        <v>13430</v>
      </c>
      <c r="J2216" s="4">
        <f>IFERROR(__xludf.DUMMYFUNCTION("""COMPUTED_VALUE"""),3060.0)</f>
        <v>3060</v>
      </c>
      <c r="K2216" s="4">
        <f>IFERROR(__xludf.DUMMYFUNCTION("""COMPUTED_VALUE"""),2922.0)</f>
        <v>2922</v>
      </c>
      <c r="L2216" s="4">
        <f>IFERROR(__xludf.DUMMYFUNCTION("""COMPUTED_VALUE"""),0.44)</f>
        <v>0.44</v>
      </c>
      <c r="M2216" s="4">
        <f>IFERROR(__xludf.DUMMYFUNCTION("""COMPUTED_VALUE"""),0.358)</f>
        <v>0.358</v>
      </c>
      <c r="N2216" s="4">
        <f>IFERROR(__xludf.DUMMYFUNCTION("""COMPUTED_VALUE"""),0.845)</f>
        <v>0.845</v>
      </c>
      <c r="O2216" s="4">
        <f>IFERROR(__xludf.DUMMYFUNCTION("""COMPUTED_VALUE"""),30.6)</f>
        <v>30.6</v>
      </c>
      <c r="P2216" s="4">
        <f>IFERROR(__xludf.DUMMYFUNCTION("""COMPUTED_VALUE"""),14.3)</f>
        <v>14.3</v>
      </c>
      <c r="Q2216" s="4">
        <f>IFERROR(__xludf.DUMMYFUNCTION("""COMPUTED_VALUE"""),3.2)</f>
        <v>3.2</v>
      </c>
      <c r="R2216" s="4">
        <f>IFERROR(__xludf.DUMMYFUNCTION("""COMPUTED_VALUE"""),3.1)</f>
        <v>3.1</v>
      </c>
      <c r="S2216" s="4">
        <f>IFERROR(__xludf.DUMMYFUNCTION("""COMPUTED_VALUE"""),83.7)</f>
        <v>83.7</v>
      </c>
      <c r="T2216" s="4">
        <f>IFERROR(__xludf.DUMMYFUNCTION("""COMPUTED_VALUE"""),0.139)</f>
        <v>0.139</v>
      </c>
      <c r="U2216" s="4">
        <f>IFERROR(__xludf.DUMMYFUNCTION("""COMPUTED_VALUE"""),1.4)</f>
        <v>1.4</v>
      </c>
      <c r="V2216" s="4">
        <f>IFERROR(__xludf.DUMMYFUNCTION("""COMPUTED_VALUE"""),24.6)</f>
        <v>24.6</v>
      </c>
    </row>
    <row r="2217">
      <c r="A2217" s="4">
        <f>IFERROR(__xludf.DUMMYFUNCTION("""COMPUTED_VALUE"""),6.0)</f>
        <v>6</v>
      </c>
      <c r="B2217" s="4">
        <f>IFERROR(__xludf.DUMMYFUNCTION("""COMPUTED_VALUE"""),6.0)</f>
        <v>6</v>
      </c>
      <c r="C2217" s="4" t="str">
        <f>IFERROR(__xludf.DUMMYFUNCTION("""COMPUTED_VALUE"""),"DAL")</f>
        <v>DAL</v>
      </c>
      <c r="D2217" s="4" t="str">
        <f>IFERROR(__xludf.DUMMYFUNCTION("""COMPUTED_VALUE"""),"Doug Smith")</f>
        <v>Doug Smith</v>
      </c>
      <c r="E2217" s="4" t="str">
        <f>IFERROR(__xludf.DUMMYFUNCTION("""COMPUTED_VALUE"""),"Missouri")</f>
        <v>Missouri</v>
      </c>
      <c r="F2217" s="4">
        <f>IFERROR(__xludf.DUMMYFUNCTION("""COMPUTED_VALUE"""),5.0)</f>
        <v>5</v>
      </c>
      <c r="G2217" s="4">
        <f>IFERROR(__xludf.DUMMYFUNCTION("""COMPUTED_VALUE"""),296.0)</f>
        <v>296</v>
      </c>
      <c r="H2217" s="4">
        <f>IFERROR(__xludf.DUMMYFUNCTION("""COMPUTED_VALUE"""),5833.0)</f>
        <v>5833</v>
      </c>
      <c r="I2217" s="4">
        <f>IFERROR(__xludf.DUMMYFUNCTION("""COMPUTED_VALUE"""),2356.0)</f>
        <v>2356</v>
      </c>
      <c r="J2217" s="4">
        <f>IFERROR(__xludf.DUMMYFUNCTION("""COMPUTED_VALUE"""),1234.0)</f>
        <v>1234</v>
      </c>
      <c r="K2217" s="4">
        <f>IFERROR(__xludf.DUMMYFUNCTION("""COMPUTED_VALUE"""),400.0)</f>
        <v>400</v>
      </c>
      <c r="L2217" s="4">
        <f>IFERROR(__xludf.DUMMYFUNCTION("""COMPUTED_VALUE"""),0.425)</f>
        <v>0.425</v>
      </c>
      <c r="M2217" s="4">
        <f>IFERROR(__xludf.DUMMYFUNCTION("""COMPUTED_VALUE"""),0.083)</f>
        <v>0.083</v>
      </c>
      <c r="N2217" s="4">
        <f>IFERROR(__xludf.DUMMYFUNCTION("""COMPUTED_VALUE"""),0.773)</f>
        <v>0.773</v>
      </c>
      <c r="O2217" s="4">
        <f>IFERROR(__xludf.DUMMYFUNCTION("""COMPUTED_VALUE"""),19.7)</f>
        <v>19.7</v>
      </c>
      <c r="P2217" s="4">
        <f>IFERROR(__xludf.DUMMYFUNCTION("""COMPUTED_VALUE"""),8.0)</f>
        <v>8</v>
      </c>
      <c r="Q2217" s="4">
        <f>IFERROR(__xludf.DUMMYFUNCTION("""COMPUTED_VALUE"""),4.2)</f>
        <v>4.2</v>
      </c>
      <c r="R2217" s="4">
        <f>IFERROR(__xludf.DUMMYFUNCTION("""COMPUTED_VALUE"""),1.4)</f>
        <v>1.4</v>
      </c>
      <c r="S2217" s="4">
        <f>IFERROR(__xludf.DUMMYFUNCTION("""COMPUTED_VALUE"""),3.0)</f>
        <v>3</v>
      </c>
      <c r="T2217" s="4">
        <f>IFERROR(__xludf.DUMMYFUNCTION("""COMPUTED_VALUE"""),0.024)</f>
        <v>0.024</v>
      </c>
      <c r="U2217" s="4">
        <f>IFERROR(__xludf.DUMMYFUNCTION("""COMPUTED_VALUE"""),-3.6)</f>
        <v>-3.6</v>
      </c>
      <c r="V2217" s="4">
        <f>IFERROR(__xludf.DUMMYFUNCTION("""COMPUTED_VALUE"""),-2.4)</f>
        <v>-2.4</v>
      </c>
    </row>
    <row r="2218">
      <c r="A2218" s="4">
        <f>IFERROR(__xludf.DUMMYFUNCTION("""COMPUTED_VALUE"""),7.0)</f>
        <v>7</v>
      </c>
      <c r="B2218" s="4">
        <f>IFERROR(__xludf.DUMMYFUNCTION("""COMPUTED_VALUE"""),7.0)</f>
        <v>7</v>
      </c>
      <c r="C2218" s="4" t="str">
        <f>IFERROR(__xludf.DUMMYFUNCTION("""COMPUTED_VALUE"""),"MIN")</f>
        <v>MIN</v>
      </c>
      <c r="D2218" s="4" t="str">
        <f>IFERROR(__xludf.DUMMYFUNCTION("""COMPUTED_VALUE"""),"Luc Longley")</f>
        <v>Luc Longley</v>
      </c>
      <c r="E2218" s="4" t="str">
        <f>IFERROR(__xludf.DUMMYFUNCTION("""COMPUTED_VALUE"""),"New Mexico")</f>
        <v>New Mexico</v>
      </c>
      <c r="F2218" s="4">
        <f>IFERROR(__xludf.DUMMYFUNCTION("""COMPUTED_VALUE"""),10.0)</f>
        <v>10</v>
      </c>
      <c r="G2218" s="4">
        <f>IFERROR(__xludf.DUMMYFUNCTION("""COMPUTED_VALUE"""),567.0)</f>
        <v>567</v>
      </c>
      <c r="H2218" s="4">
        <f>IFERROR(__xludf.DUMMYFUNCTION("""COMPUTED_VALUE"""),12006.0)</f>
        <v>12006</v>
      </c>
      <c r="I2218" s="4">
        <f>IFERROR(__xludf.DUMMYFUNCTION("""COMPUTED_VALUE"""),4090.0)</f>
        <v>4090</v>
      </c>
      <c r="J2218" s="4">
        <f>IFERROR(__xludf.DUMMYFUNCTION("""COMPUTED_VALUE"""),2794.0)</f>
        <v>2794</v>
      </c>
      <c r="K2218" s="4">
        <f>IFERROR(__xludf.DUMMYFUNCTION("""COMPUTED_VALUE"""),836.0)</f>
        <v>836</v>
      </c>
      <c r="L2218" s="4">
        <f>IFERROR(__xludf.DUMMYFUNCTION("""COMPUTED_VALUE"""),0.462)</f>
        <v>0.462</v>
      </c>
      <c r="M2218" s="4">
        <f>IFERROR(__xludf.DUMMYFUNCTION("""COMPUTED_VALUE"""),0.0)</f>
        <v>0</v>
      </c>
      <c r="N2218" s="4">
        <f>IFERROR(__xludf.DUMMYFUNCTION("""COMPUTED_VALUE"""),0.76)</f>
        <v>0.76</v>
      </c>
      <c r="O2218" s="4">
        <f>IFERROR(__xludf.DUMMYFUNCTION("""COMPUTED_VALUE"""),21.2)</f>
        <v>21.2</v>
      </c>
      <c r="P2218" s="4">
        <f>IFERROR(__xludf.DUMMYFUNCTION("""COMPUTED_VALUE"""),7.2)</f>
        <v>7.2</v>
      </c>
      <c r="Q2218" s="4">
        <f>IFERROR(__xludf.DUMMYFUNCTION("""COMPUTED_VALUE"""),4.9)</f>
        <v>4.9</v>
      </c>
      <c r="R2218" s="4">
        <f>IFERROR(__xludf.DUMMYFUNCTION("""COMPUTED_VALUE"""),1.5)</f>
        <v>1.5</v>
      </c>
      <c r="S2218" s="4">
        <f>IFERROR(__xludf.DUMMYFUNCTION("""COMPUTED_VALUE"""),17.5)</f>
        <v>17.5</v>
      </c>
      <c r="T2218" s="4">
        <f>IFERROR(__xludf.DUMMYFUNCTION("""COMPUTED_VALUE"""),0.07)</f>
        <v>0.07</v>
      </c>
      <c r="U2218" s="4">
        <f>IFERROR(__xludf.DUMMYFUNCTION("""COMPUTED_VALUE"""),-2.6)</f>
        <v>-2.6</v>
      </c>
      <c r="V2218" s="4">
        <f>IFERROR(__xludf.DUMMYFUNCTION("""COMPUTED_VALUE"""),-1.9)</f>
        <v>-1.9</v>
      </c>
    </row>
    <row r="2219">
      <c r="A2219" s="4">
        <f>IFERROR(__xludf.DUMMYFUNCTION("""COMPUTED_VALUE"""),8.0)</f>
        <v>8</v>
      </c>
      <c r="B2219" s="4">
        <f>IFERROR(__xludf.DUMMYFUNCTION("""COMPUTED_VALUE"""),8.0)</f>
        <v>8</v>
      </c>
      <c r="C2219" s="4" t="str">
        <f>IFERROR(__xludf.DUMMYFUNCTION("""COMPUTED_VALUE"""),"DEN")</f>
        <v>DEN</v>
      </c>
      <c r="D2219" s="4" t="str">
        <f>IFERROR(__xludf.DUMMYFUNCTION("""COMPUTED_VALUE"""),"Mark Macon")</f>
        <v>Mark Macon</v>
      </c>
      <c r="E2219" s="4" t="str">
        <f>IFERROR(__xludf.DUMMYFUNCTION("""COMPUTED_VALUE"""),"Temple")</f>
        <v>Temple</v>
      </c>
      <c r="F2219" s="4">
        <f>IFERROR(__xludf.DUMMYFUNCTION("""COMPUTED_VALUE"""),6.0)</f>
        <v>6</v>
      </c>
      <c r="G2219" s="4">
        <f>IFERROR(__xludf.DUMMYFUNCTION("""COMPUTED_VALUE"""),251.0)</f>
        <v>251</v>
      </c>
      <c r="H2219" s="4">
        <f>IFERROR(__xludf.DUMMYFUNCTION("""COMPUTED_VALUE"""),5018.0)</f>
        <v>5018</v>
      </c>
      <c r="I2219" s="4">
        <f>IFERROR(__xludf.DUMMYFUNCTION("""COMPUTED_VALUE"""),1685.0)</f>
        <v>1685</v>
      </c>
      <c r="J2219" s="4">
        <f>IFERROR(__xludf.DUMMYFUNCTION("""COMPUTED_VALUE"""),467.0)</f>
        <v>467</v>
      </c>
      <c r="K2219" s="4">
        <f>IFERROR(__xludf.DUMMYFUNCTION("""COMPUTED_VALUE"""),428.0)</f>
        <v>428</v>
      </c>
      <c r="L2219" s="4">
        <f>IFERROR(__xludf.DUMMYFUNCTION("""COMPUTED_VALUE"""),0.384)</f>
        <v>0.384</v>
      </c>
      <c r="M2219" s="4">
        <f>IFERROR(__xludf.DUMMYFUNCTION("""COMPUTED_VALUE"""),0.27)</f>
        <v>0.27</v>
      </c>
      <c r="N2219" s="4">
        <f>IFERROR(__xludf.DUMMYFUNCTION("""COMPUTED_VALUE"""),0.735)</f>
        <v>0.735</v>
      </c>
      <c r="O2219" s="4">
        <f>IFERROR(__xludf.DUMMYFUNCTION("""COMPUTED_VALUE"""),20.0)</f>
        <v>20</v>
      </c>
      <c r="P2219" s="4">
        <f>IFERROR(__xludf.DUMMYFUNCTION("""COMPUTED_VALUE"""),6.7)</f>
        <v>6.7</v>
      </c>
      <c r="Q2219" s="4">
        <f>IFERROR(__xludf.DUMMYFUNCTION("""COMPUTED_VALUE"""),1.9)</f>
        <v>1.9</v>
      </c>
      <c r="R2219" s="4">
        <f>IFERROR(__xludf.DUMMYFUNCTION("""COMPUTED_VALUE"""),1.7)</f>
        <v>1.7</v>
      </c>
      <c r="S2219" s="4">
        <f>IFERROR(__xludf.DUMMYFUNCTION("""COMPUTED_VALUE"""),0.1)</f>
        <v>0.1</v>
      </c>
      <c r="T2219" s="4">
        <f>IFERROR(__xludf.DUMMYFUNCTION("""COMPUTED_VALUE"""),0.001)</f>
        <v>0.001</v>
      </c>
      <c r="U2219" s="4">
        <f>IFERROR(__xludf.DUMMYFUNCTION("""COMPUTED_VALUE"""),-3.7)</f>
        <v>-3.7</v>
      </c>
      <c r="V2219" s="4">
        <f>IFERROR(__xludf.DUMMYFUNCTION("""COMPUTED_VALUE"""),-2.2)</f>
        <v>-2.2</v>
      </c>
    </row>
    <row r="2220">
      <c r="A2220" s="4">
        <f>IFERROR(__xludf.DUMMYFUNCTION("""COMPUTED_VALUE"""),9.0)</f>
        <v>9</v>
      </c>
      <c r="B2220" s="4">
        <f>IFERROR(__xludf.DUMMYFUNCTION("""COMPUTED_VALUE"""),9.0)</f>
        <v>9</v>
      </c>
      <c r="C2220" s="4" t="str">
        <f>IFERROR(__xludf.DUMMYFUNCTION("""COMPUTED_VALUE"""),"ATL")</f>
        <v>ATL</v>
      </c>
      <c r="D2220" s="4" t="str">
        <f>IFERROR(__xludf.DUMMYFUNCTION("""COMPUTED_VALUE"""),"Stacey Augmon")</f>
        <v>Stacey Augmon</v>
      </c>
      <c r="E2220" s="4" t="str">
        <f>IFERROR(__xludf.DUMMYFUNCTION("""COMPUTED_VALUE"""),"UNLV")</f>
        <v>UNLV</v>
      </c>
      <c r="F2220" s="4">
        <f>IFERROR(__xludf.DUMMYFUNCTION("""COMPUTED_VALUE"""),15.0)</f>
        <v>15</v>
      </c>
      <c r="G2220" s="4">
        <f>IFERROR(__xludf.DUMMYFUNCTION("""COMPUTED_VALUE"""),1001.0)</f>
        <v>1001</v>
      </c>
      <c r="H2220" s="4">
        <f>IFERROR(__xludf.DUMMYFUNCTION("""COMPUTED_VALUE"""),21658.0)</f>
        <v>21658</v>
      </c>
      <c r="I2220" s="4">
        <f>IFERROR(__xludf.DUMMYFUNCTION("""COMPUTED_VALUE"""),7990.0)</f>
        <v>7990</v>
      </c>
      <c r="J2220" s="4">
        <f>IFERROR(__xludf.DUMMYFUNCTION("""COMPUTED_VALUE"""),3216.0)</f>
        <v>3216</v>
      </c>
      <c r="K2220" s="4">
        <f>IFERROR(__xludf.DUMMYFUNCTION("""COMPUTED_VALUE"""),1561.0)</f>
        <v>1561</v>
      </c>
      <c r="L2220" s="4">
        <f>IFERROR(__xludf.DUMMYFUNCTION("""COMPUTED_VALUE"""),0.469)</f>
        <v>0.469</v>
      </c>
      <c r="M2220" s="4">
        <f>IFERROR(__xludf.DUMMYFUNCTION("""COMPUTED_VALUE"""),0.152)</f>
        <v>0.152</v>
      </c>
      <c r="N2220" s="4">
        <f>IFERROR(__xludf.DUMMYFUNCTION("""COMPUTED_VALUE"""),0.728)</f>
        <v>0.728</v>
      </c>
      <c r="O2220" s="4">
        <f>IFERROR(__xludf.DUMMYFUNCTION("""COMPUTED_VALUE"""),21.6)</f>
        <v>21.6</v>
      </c>
      <c r="P2220" s="4">
        <f>IFERROR(__xludf.DUMMYFUNCTION("""COMPUTED_VALUE"""),8.0)</f>
        <v>8</v>
      </c>
      <c r="Q2220" s="4">
        <f>IFERROR(__xludf.DUMMYFUNCTION("""COMPUTED_VALUE"""),3.2)</f>
        <v>3.2</v>
      </c>
      <c r="R2220" s="4">
        <f>IFERROR(__xludf.DUMMYFUNCTION("""COMPUTED_VALUE"""),1.6)</f>
        <v>1.6</v>
      </c>
      <c r="S2220" s="4">
        <f>IFERROR(__xludf.DUMMYFUNCTION("""COMPUTED_VALUE"""),43.8)</f>
        <v>43.8</v>
      </c>
      <c r="T2220" s="4">
        <f>IFERROR(__xludf.DUMMYFUNCTION("""COMPUTED_VALUE"""),0.097)</f>
        <v>0.097</v>
      </c>
      <c r="U2220" s="4">
        <f>IFERROR(__xludf.DUMMYFUNCTION("""COMPUTED_VALUE"""),-0.2)</f>
        <v>-0.2</v>
      </c>
      <c r="V2220" s="4">
        <f>IFERROR(__xludf.DUMMYFUNCTION("""COMPUTED_VALUE"""),9.8)</f>
        <v>9.8</v>
      </c>
    </row>
    <row r="2221">
      <c r="A2221" s="4">
        <f>IFERROR(__xludf.DUMMYFUNCTION("""COMPUTED_VALUE"""),10.0)</f>
        <v>10</v>
      </c>
      <c r="B2221" s="4">
        <f>IFERROR(__xludf.DUMMYFUNCTION("""COMPUTED_VALUE"""),10.0)</f>
        <v>10</v>
      </c>
      <c r="C2221" s="4" t="str">
        <f>IFERROR(__xludf.DUMMYFUNCTION("""COMPUTED_VALUE"""),"ORL")</f>
        <v>ORL</v>
      </c>
      <c r="D2221" s="4" t="str">
        <f>IFERROR(__xludf.DUMMYFUNCTION("""COMPUTED_VALUE"""),"Bison Dele")</f>
        <v>Bison Dele</v>
      </c>
      <c r="E2221" s="4" t="str">
        <f>IFERROR(__xludf.DUMMYFUNCTION("""COMPUTED_VALUE"""),"Arizona")</f>
        <v>Arizona</v>
      </c>
      <c r="F2221" s="4">
        <f>IFERROR(__xludf.DUMMYFUNCTION("""COMPUTED_VALUE"""),8.0)</f>
        <v>8</v>
      </c>
      <c r="G2221" s="4">
        <f>IFERROR(__xludf.DUMMYFUNCTION("""COMPUTED_VALUE"""),413.0)</f>
        <v>413</v>
      </c>
      <c r="H2221" s="4">
        <f>IFERROR(__xludf.DUMMYFUNCTION("""COMPUTED_VALUE"""),10004.0)</f>
        <v>10004</v>
      </c>
      <c r="I2221" s="4">
        <f>IFERROR(__xludf.DUMMYFUNCTION("""COMPUTED_VALUE"""),4536.0)</f>
        <v>4536</v>
      </c>
      <c r="J2221" s="4">
        <f>IFERROR(__xludf.DUMMYFUNCTION("""COMPUTED_VALUE"""),2564.0)</f>
        <v>2564</v>
      </c>
      <c r="K2221" s="4">
        <f>IFERROR(__xludf.DUMMYFUNCTION("""COMPUTED_VALUE"""),440.0)</f>
        <v>440</v>
      </c>
      <c r="L2221" s="4">
        <f>IFERROR(__xludf.DUMMYFUNCTION("""COMPUTED_VALUE"""),0.528)</f>
        <v>0.528</v>
      </c>
      <c r="M2221" s="4">
        <f>IFERROR(__xludf.DUMMYFUNCTION("""COMPUTED_VALUE"""),0.143)</f>
        <v>0.143</v>
      </c>
      <c r="N2221" s="4">
        <f>IFERROR(__xludf.DUMMYFUNCTION("""COMPUTED_VALUE"""),0.691)</f>
        <v>0.691</v>
      </c>
      <c r="O2221" s="4">
        <f>IFERROR(__xludf.DUMMYFUNCTION("""COMPUTED_VALUE"""),24.2)</f>
        <v>24.2</v>
      </c>
      <c r="P2221" s="4">
        <f>IFERROR(__xludf.DUMMYFUNCTION("""COMPUTED_VALUE"""),11.0)</f>
        <v>11</v>
      </c>
      <c r="Q2221" s="4">
        <f>IFERROR(__xludf.DUMMYFUNCTION("""COMPUTED_VALUE"""),6.2)</f>
        <v>6.2</v>
      </c>
      <c r="R2221" s="4">
        <f>IFERROR(__xludf.DUMMYFUNCTION("""COMPUTED_VALUE"""),1.1)</f>
        <v>1.1</v>
      </c>
      <c r="S2221" s="4">
        <f>IFERROR(__xludf.DUMMYFUNCTION("""COMPUTED_VALUE"""),22.8)</f>
        <v>22.8</v>
      </c>
      <c r="T2221" s="4">
        <f>IFERROR(__xludf.DUMMYFUNCTION("""COMPUTED_VALUE"""),0.109)</f>
        <v>0.109</v>
      </c>
      <c r="U2221" s="4">
        <f>IFERROR(__xludf.DUMMYFUNCTION("""COMPUTED_VALUE"""),-0.6)</f>
        <v>-0.6</v>
      </c>
      <c r="V2221" s="4">
        <f>IFERROR(__xludf.DUMMYFUNCTION("""COMPUTED_VALUE"""),3.4)</f>
        <v>3.4</v>
      </c>
    </row>
    <row r="2222">
      <c r="A2222" s="4">
        <f>IFERROR(__xludf.DUMMYFUNCTION("""COMPUTED_VALUE"""),11.0)</f>
        <v>11</v>
      </c>
      <c r="B2222" s="4">
        <f>IFERROR(__xludf.DUMMYFUNCTION("""COMPUTED_VALUE"""),11.0)</f>
        <v>11</v>
      </c>
      <c r="C2222" s="4" t="str">
        <f>IFERROR(__xludf.DUMMYFUNCTION("""COMPUTED_VALUE"""),"CLE")</f>
        <v>CLE</v>
      </c>
      <c r="D2222" s="4" t="str">
        <f>IFERROR(__xludf.DUMMYFUNCTION("""COMPUTED_VALUE"""),"Terrell Brandon")</f>
        <v>Terrell Brandon</v>
      </c>
      <c r="E2222" s="4" t="str">
        <f>IFERROR(__xludf.DUMMYFUNCTION("""COMPUTED_VALUE"""),"Oregon")</f>
        <v>Oregon</v>
      </c>
      <c r="F2222" s="4">
        <f>IFERROR(__xludf.DUMMYFUNCTION("""COMPUTED_VALUE"""),11.0)</f>
        <v>11</v>
      </c>
      <c r="G2222" s="4">
        <f>IFERROR(__xludf.DUMMYFUNCTION("""COMPUTED_VALUE"""),724.0)</f>
        <v>724</v>
      </c>
      <c r="H2222" s="4">
        <f>IFERROR(__xludf.DUMMYFUNCTION("""COMPUTED_VALUE"""),21545.0)</f>
        <v>21545</v>
      </c>
      <c r="I2222" s="4">
        <f>IFERROR(__xludf.DUMMYFUNCTION("""COMPUTED_VALUE"""),9994.0)</f>
        <v>9994</v>
      </c>
      <c r="J2222" s="4">
        <f>IFERROR(__xludf.DUMMYFUNCTION("""COMPUTED_VALUE"""),2174.0)</f>
        <v>2174</v>
      </c>
      <c r="K2222" s="4">
        <f>IFERROR(__xludf.DUMMYFUNCTION("""COMPUTED_VALUE"""),4407.0)</f>
        <v>4407</v>
      </c>
      <c r="L2222" s="4">
        <f>IFERROR(__xludf.DUMMYFUNCTION("""COMPUTED_VALUE"""),0.448)</f>
        <v>0.448</v>
      </c>
      <c r="M2222" s="4">
        <f>IFERROR(__xludf.DUMMYFUNCTION("""COMPUTED_VALUE"""),0.355)</f>
        <v>0.355</v>
      </c>
      <c r="N2222" s="4">
        <f>IFERROR(__xludf.DUMMYFUNCTION("""COMPUTED_VALUE"""),0.873)</f>
        <v>0.873</v>
      </c>
      <c r="O2222" s="4">
        <f>IFERROR(__xludf.DUMMYFUNCTION("""COMPUTED_VALUE"""),29.8)</f>
        <v>29.8</v>
      </c>
      <c r="P2222" s="4">
        <f>IFERROR(__xludf.DUMMYFUNCTION("""COMPUTED_VALUE"""),13.8)</f>
        <v>13.8</v>
      </c>
      <c r="Q2222" s="4">
        <f>IFERROR(__xludf.DUMMYFUNCTION("""COMPUTED_VALUE"""),3.0)</f>
        <v>3</v>
      </c>
      <c r="R2222" s="4">
        <f>IFERROR(__xludf.DUMMYFUNCTION("""COMPUTED_VALUE"""),6.1)</f>
        <v>6.1</v>
      </c>
      <c r="S2222" s="4">
        <f>IFERROR(__xludf.DUMMYFUNCTION("""COMPUTED_VALUE"""),65.9)</f>
        <v>65.9</v>
      </c>
      <c r="T2222" s="4">
        <f>IFERROR(__xludf.DUMMYFUNCTION("""COMPUTED_VALUE"""),0.147)</f>
        <v>0.147</v>
      </c>
      <c r="U2222" s="4">
        <f>IFERROR(__xludf.DUMMYFUNCTION("""COMPUTED_VALUE"""),3.6)</f>
        <v>3.6</v>
      </c>
      <c r="V2222" s="4">
        <f>IFERROR(__xludf.DUMMYFUNCTION("""COMPUTED_VALUE"""),30.3)</f>
        <v>30.3</v>
      </c>
    </row>
    <row r="2223">
      <c r="A2223" s="4">
        <f>IFERROR(__xludf.DUMMYFUNCTION("""COMPUTED_VALUE"""),12.0)</f>
        <v>12</v>
      </c>
      <c r="B2223" s="4">
        <f>IFERROR(__xludf.DUMMYFUNCTION("""COMPUTED_VALUE"""),12.0)</f>
        <v>12</v>
      </c>
      <c r="C2223" s="4" t="str">
        <f>IFERROR(__xludf.DUMMYFUNCTION("""COMPUTED_VALUE"""),"NYK")</f>
        <v>NYK</v>
      </c>
      <c r="D2223" s="4" t="str">
        <f>IFERROR(__xludf.DUMMYFUNCTION("""COMPUTED_VALUE"""),"Greg Anthony")</f>
        <v>Greg Anthony</v>
      </c>
      <c r="E2223" s="4" t="str">
        <f>IFERROR(__xludf.DUMMYFUNCTION("""COMPUTED_VALUE"""),"UNLV")</f>
        <v>UNLV</v>
      </c>
      <c r="F2223" s="4">
        <f>IFERROR(__xludf.DUMMYFUNCTION("""COMPUTED_VALUE"""),11.0)</f>
        <v>11</v>
      </c>
      <c r="G2223" s="4">
        <f>IFERROR(__xludf.DUMMYFUNCTION("""COMPUTED_VALUE"""),757.0)</f>
        <v>757</v>
      </c>
      <c r="H2223" s="4">
        <f>IFERROR(__xludf.DUMMYFUNCTION("""COMPUTED_VALUE"""),15850.0)</f>
        <v>15850</v>
      </c>
      <c r="I2223" s="4">
        <f>IFERROR(__xludf.DUMMYFUNCTION("""COMPUTED_VALUE"""),5497.0)</f>
        <v>5497</v>
      </c>
      <c r="J2223" s="4">
        <f>IFERROR(__xludf.DUMMYFUNCTION("""COMPUTED_VALUE"""),1417.0)</f>
        <v>1417</v>
      </c>
      <c r="K2223" s="4">
        <f>IFERROR(__xludf.DUMMYFUNCTION("""COMPUTED_VALUE"""),2997.0)</f>
        <v>2997</v>
      </c>
      <c r="L2223" s="4">
        <f>IFERROR(__xludf.DUMMYFUNCTION("""COMPUTED_VALUE"""),0.403)</f>
        <v>0.403</v>
      </c>
      <c r="M2223" s="4">
        <f>IFERROR(__xludf.DUMMYFUNCTION("""COMPUTED_VALUE"""),0.349)</f>
        <v>0.349</v>
      </c>
      <c r="N2223" s="4">
        <f>IFERROR(__xludf.DUMMYFUNCTION("""COMPUTED_VALUE"""),0.733)</f>
        <v>0.733</v>
      </c>
      <c r="O2223" s="4">
        <f>IFERROR(__xludf.DUMMYFUNCTION("""COMPUTED_VALUE"""),20.9)</f>
        <v>20.9</v>
      </c>
      <c r="P2223" s="4">
        <f>IFERROR(__xludf.DUMMYFUNCTION("""COMPUTED_VALUE"""),7.3)</f>
        <v>7.3</v>
      </c>
      <c r="Q2223" s="4">
        <f>IFERROR(__xludf.DUMMYFUNCTION("""COMPUTED_VALUE"""),1.9)</f>
        <v>1.9</v>
      </c>
      <c r="R2223" s="4">
        <f>IFERROR(__xludf.DUMMYFUNCTION("""COMPUTED_VALUE"""),4.0)</f>
        <v>4</v>
      </c>
      <c r="S2223" s="4">
        <f>IFERROR(__xludf.DUMMYFUNCTION("""COMPUTED_VALUE"""),35.9)</f>
        <v>35.9</v>
      </c>
      <c r="T2223" s="4">
        <f>IFERROR(__xludf.DUMMYFUNCTION("""COMPUTED_VALUE"""),0.109)</f>
        <v>0.109</v>
      </c>
      <c r="U2223" s="4">
        <f>IFERROR(__xludf.DUMMYFUNCTION("""COMPUTED_VALUE"""),1.3)</f>
        <v>1.3</v>
      </c>
      <c r="V2223" s="4">
        <f>IFERROR(__xludf.DUMMYFUNCTION("""COMPUTED_VALUE"""),13.3)</f>
        <v>13.3</v>
      </c>
    </row>
    <row r="2224">
      <c r="A2224" s="4">
        <f>IFERROR(__xludf.DUMMYFUNCTION("""COMPUTED_VALUE"""),13.0)</f>
        <v>13</v>
      </c>
      <c r="B2224" s="4">
        <f>IFERROR(__xludf.DUMMYFUNCTION("""COMPUTED_VALUE"""),13.0)</f>
        <v>13</v>
      </c>
      <c r="C2224" s="4" t="str">
        <f>IFERROR(__xludf.DUMMYFUNCTION("""COMPUTED_VALUE"""),"IND")</f>
        <v>IND</v>
      </c>
      <c r="D2224" s="4" t="str">
        <f>IFERROR(__xludf.DUMMYFUNCTION("""COMPUTED_VALUE"""),"Dale Davis")</f>
        <v>Dale Davis</v>
      </c>
      <c r="E2224" s="4" t="str">
        <f>IFERROR(__xludf.DUMMYFUNCTION("""COMPUTED_VALUE"""),"Clemson")</f>
        <v>Clemson</v>
      </c>
      <c r="F2224" s="4">
        <f>IFERROR(__xludf.DUMMYFUNCTION("""COMPUTED_VALUE"""),16.0)</f>
        <v>16</v>
      </c>
      <c r="G2224" s="4">
        <f>IFERROR(__xludf.DUMMYFUNCTION("""COMPUTED_VALUE"""),1094.0)</f>
        <v>1094</v>
      </c>
      <c r="H2224" s="4">
        <f>IFERROR(__xludf.DUMMYFUNCTION("""COMPUTED_VALUE"""),29606.0)</f>
        <v>29606</v>
      </c>
      <c r="I2224" s="4">
        <f>IFERROR(__xludf.DUMMYFUNCTION("""COMPUTED_VALUE"""),8706.0)</f>
        <v>8706</v>
      </c>
      <c r="J2224" s="4">
        <f>IFERROR(__xludf.DUMMYFUNCTION("""COMPUTED_VALUE"""),8605.0)</f>
        <v>8605</v>
      </c>
      <c r="K2224" s="4">
        <f>IFERROR(__xludf.DUMMYFUNCTION("""COMPUTED_VALUE"""),978.0)</f>
        <v>978</v>
      </c>
      <c r="L2224" s="4">
        <f>IFERROR(__xludf.DUMMYFUNCTION("""COMPUTED_VALUE"""),0.53)</f>
        <v>0.53</v>
      </c>
      <c r="M2224" s="4">
        <f>IFERROR(__xludf.DUMMYFUNCTION("""COMPUTED_VALUE"""),0.0)</f>
        <v>0</v>
      </c>
      <c r="N2224" s="4">
        <f>IFERROR(__xludf.DUMMYFUNCTION("""COMPUTED_VALUE"""),0.562)</f>
        <v>0.562</v>
      </c>
      <c r="O2224" s="4">
        <f>IFERROR(__xludf.DUMMYFUNCTION("""COMPUTED_VALUE"""),27.1)</f>
        <v>27.1</v>
      </c>
      <c r="P2224" s="4">
        <f>IFERROR(__xludf.DUMMYFUNCTION("""COMPUTED_VALUE"""),8.0)</f>
        <v>8</v>
      </c>
      <c r="Q2224" s="4">
        <f>IFERROR(__xludf.DUMMYFUNCTION("""COMPUTED_VALUE"""),7.9)</f>
        <v>7.9</v>
      </c>
      <c r="R2224" s="4">
        <f>IFERROR(__xludf.DUMMYFUNCTION("""COMPUTED_VALUE"""),0.9)</f>
        <v>0.9</v>
      </c>
      <c r="S2224" s="4">
        <f>IFERROR(__xludf.DUMMYFUNCTION("""COMPUTED_VALUE"""),86.9)</f>
        <v>86.9</v>
      </c>
      <c r="T2224" s="4">
        <f>IFERROR(__xludf.DUMMYFUNCTION("""COMPUTED_VALUE"""),0.141)</f>
        <v>0.141</v>
      </c>
      <c r="U2224" s="4">
        <f>IFERROR(__xludf.DUMMYFUNCTION("""COMPUTED_VALUE"""),0.5)</f>
        <v>0.5</v>
      </c>
      <c r="V2224" s="4">
        <f>IFERROR(__xludf.DUMMYFUNCTION("""COMPUTED_VALUE"""),18.4)</f>
        <v>18.4</v>
      </c>
    </row>
    <row r="2225">
      <c r="A2225" s="4">
        <f>IFERROR(__xludf.DUMMYFUNCTION("""COMPUTED_VALUE"""),14.0)</f>
        <v>14</v>
      </c>
      <c r="B2225" s="4">
        <f>IFERROR(__xludf.DUMMYFUNCTION("""COMPUTED_VALUE"""),14.0)</f>
        <v>14</v>
      </c>
      <c r="C2225" s="4" t="str">
        <f>IFERROR(__xludf.DUMMYFUNCTION("""COMPUTED_VALUE"""),"SEA")</f>
        <v>SEA</v>
      </c>
      <c r="D2225" s="4" t="str">
        <f>IFERROR(__xludf.DUMMYFUNCTION("""COMPUTED_VALUE"""),"Rich King")</f>
        <v>Rich King</v>
      </c>
      <c r="E2225" s="4" t="str">
        <f>IFERROR(__xludf.DUMMYFUNCTION("""COMPUTED_VALUE"""),"Nebraska")</f>
        <v>Nebraska</v>
      </c>
      <c r="F2225" s="4">
        <f>IFERROR(__xludf.DUMMYFUNCTION("""COMPUTED_VALUE"""),4.0)</f>
        <v>4</v>
      </c>
      <c r="G2225" s="4">
        <f>IFERROR(__xludf.DUMMYFUNCTION("""COMPUTED_VALUE"""),72.0)</f>
        <v>72</v>
      </c>
      <c r="H2225" s="4">
        <f>IFERROR(__xludf.DUMMYFUNCTION("""COMPUTED_VALUE"""),309.0)</f>
        <v>309</v>
      </c>
      <c r="I2225" s="4">
        <f>IFERROR(__xludf.DUMMYFUNCTION("""COMPUTED_VALUE"""),135.0)</f>
        <v>135</v>
      </c>
      <c r="J2225" s="4">
        <f>IFERROR(__xludf.DUMMYFUNCTION("""COMPUTED_VALUE"""),74.0)</f>
        <v>74</v>
      </c>
      <c r="K2225" s="4">
        <f>IFERROR(__xludf.DUMMYFUNCTION("""COMPUTED_VALUE"""),21.0)</f>
        <v>21</v>
      </c>
      <c r="L2225" s="4">
        <f>IFERROR(__xludf.DUMMYFUNCTION("""COMPUTED_VALUE"""),0.393)</f>
        <v>0.393</v>
      </c>
      <c r="M2225" s="4">
        <f>IFERROR(__xludf.DUMMYFUNCTION("""COMPUTED_VALUE"""),0.0)</f>
        <v>0</v>
      </c>
      <c r="N2225" s="4">
        <f>IFERROR(__xludf.DUMMYFUNCTION("""COMPUTED_VALUE"""),0.662)</f>
        <v>0.662</v>
      </c>
      <c r="O2225" s="4">
        <f>IFERROR(__xludf.DUMMYFUNCTION("""COMPUTED_VALUE"""),4.3)</f>
        <v>4.3</v>
      </c>
      <c r="P2225" s="4">
        <f>IFERROR(__xludf.DUMMYFUNCTION("""COMPUTED_VALUE"""),1.9)</f>
        <v>1.9</v>
      </c>
      <c r="Q2225" s="4">
        <f>IFERROR(__xludf.DUMMYFUNCTION("""COMPUTED_VALUE"""),1.0)</f>
        <v>1</v>
      </c>
      <c r="R2225" s="4">
        <f>IFERROR(__xludf.DUMMYFUNCTION("""COMPUTED_VALUE"""),0.3)</f>
        <v>0.3</v>
      </c>
      <c r="S2225" s="4">
        <f>IFERROR(__xludf.DUMMYFUNCTION("""COMPUTED_VALUE"""),0.2)</f>
        <v>0.2</v>
      </c>
      <c r="T2225" s="4">
        <f>IFERROR(__xludf.DUMMYFUNCTION("""COMPUTED_VALUE"""),0.036)</f>
        <v>0.036</v>
      </c>
      <c r="U2225" s="4">
        <f>IFERROR(__xludf.DUMMYFUNCTION("""COMPUTED_VALUE"""),-6.9)</f>
        <v>-6.9</v>
      </c>
      <c r="V2225" s="4">
        <f>IFERROR(__xludf.DUMMYFUNCTION("""COMPUTED_VALUE"""),-0.4)</f>
        <v>-0.4</v>
      </c>
    </row>
    <row r="2226">
      <c r="A2226" s="4">
        <f>IFERROR(__xludf.DUMMYFUNCTION("""COMPUTED_VALUE"""),15.0)</f>
        <v>15</v>
      </c>
      <c r="B2226" s="4">
        <f>IFERROR(__xludf.DUMMYFUNCTION("""COMPUTED_VALUE"""),15.0)</f>
        <v>15</v>
      </c>
      <c r="C2226" s="4" t="str">
        <f>IFERROR(__xludf.DUMMYFUNCTION("""COMPUTED_VALUE"""),"ATL")</f>
        <v>ATL</v>
      </c>
      <c r="D2226" s="4" t="str">
        <f>IFERROR(__xludf.DUMMYFUNCTION("""COMPUTED_VALUE"""),"Anthony Avent")</f>
        <v>Anthony Avent</v>
      </c>
      <c r="E2226" s="4" t="str">
        <f>IFERROR(__xludf.DUMMYFUNCTION("""COMPUTED_VALUE"""),"Seton Hall")</f>
        <v>Seton Hall</v>
      </c>
      <c r="F2226" s="4">
        <f>IFERROR(__xludf.DUMMYFUNCTION("""COMPUTED_VALUE"""),6.0)</f>
        <v>6</v>
      </c>
      <c r="G2226" s="4">
        <f>IFERROR(__xludf.DUMMYFUNCTION("""COMPUTED_VALUE"""),352.0)</f>
        <v>352</v>
      </c>
      <c r="H2226" s="4">
        <f>IFERROR(__xludf.DUMMYFUNCTION("""COMPUTED_VALUE"""),6729.0)</f>
        <v>6729</v>
      </c>
      <c r="I2226" s="4">
        <f>IFERROR(__xludf.DUMMYFUNCTION("""COMPUTED_VALUE"""),1958.0)</f>
        <v>1958</v>
      </c>
      <c r="J2226" s="4">
        <f>IFERROR(__xludf.DUMMYFUNCTION("""COMPUTED_VALUE"""),1584.0)</f>
        <v>1584</v>
      </c>
      <c r="K2226" s="4">
        <f>IFERROR(__xludf.DUMMYFUNCTION("""COMPUTED_VALUE"""),278.0)</f>
        <v>278</v>
      </c>
      <c r="L2226" s="4">
        <f>IFERROR(__xludf.DUMMYFUNCTION("""COMPUTED_VALUE"""),0.403)</f>
        <v>0.403</v>
      </c>
      <c r="M2226" s="4">
        <f>IFERROR(__xludf.DUMMYFUNCTION("""COMPUTED_VALUE"""),0.0)</f>
        <v>0</v>
      </c>
      <c r="N2226" s="4">
        <f>IFERROR(__xludf.DUMMYFUNCTION("""COMPUTED_VALUE"""),0.686)</f>
        <v>0.686</v>
      </c>
      <c r="O2226" s="4">
        <f>IFERROR(__xludf.DUMMYFUNCTION("""COMPUTED_VALUE"""),19.1)</f>
        <v>19.1</v>
      </c>
      <c r="P2226" s="4">
        <f>IFERROR(__xludf.DUMMYFUNCTION("""COMPUTED_VALUE"""),5.6)</f>
        <v>5.6</v>
      </c>
      <c r="Q2226" s="4">
        <f>IFERROR(__xludf.DUMMYFUNCTION("""COMPUTED_VALUE"""),4.5)</f>
        <v>4.5</v>
      </c>
      <c r="R2226" s="4">
        <f>IFERROR(__xludf.DUMMYFUNCTION("""COMPUTED_VALUE"""),0.8)</f>
        <v>0.8</v>
      </c>
      <c r="S2226" s="4">
        <f>IFERROR(__xludf.DUMMYFUNCTION("""COMPUTED_VALUE"""),0.3)</f>
        <v>0.3</v>
      </c>
      <c r="T2226" s="4">
        <f>IFERROR(__xludf.DUMMYFUNCTION("""COMPUTED_VALUE"""),0.002)</f>
        <v>0.002</v>
      </c>
      <c r="U2226" s="4">
        <f>IFERROR(__xludf.DUMMYFUNCTION("""COMPUTED_VALUE"""),-5.7)</f>
        <v>-5.7</v>
      </c>
      <c r="V2226" s="4">
        <f>IFERROR(__xludf.DUMMYFUNCTION("""COMPUTED_VALUE"""),-6.4)</f>
        <v>-6.4</v>
      </c>
    </row>
    <row r="2227">
      <c r="A2227" s="4">
        <f>IFERROR(__xludf.DUMMYFUNCTION("""COMPUTED_VALUE"""),16.0)</f>
        <v>16</v>
      </c>
      <c r="B2227" s="4">
        <f>IFERROR(__xludf.DUMMYFUNCTION("""COMPUTED_VALUE"""),16.0)</f>
        <v>16</v>
      </c>
      <c r="C2227" s="4" t="str">
        <f>IFERROR(__xludf.DUMMYFUNCTION("""COMPUTED_VALUE"""),"GSW")</f>
        <v>GSW</v>
      </c>
      <c r="D2227" s="4" t="str">
        <f>IFERROR(__xludf.DUMMYFUNCTION("""COMPUTED_VALUE"""),"Chris Gatling")</f>
        <v>Chris Gatling</v>
      </c>
      <c r="E2227" s="4" t="str">
        <f>IFERROR(__xludf.DUMMYFUNCTION("""COMPUTED_VALUE"""),"Old Dominion")</f>
        <v>Old Dominion</v>
      </c>
      <c r="F2227" s="4">
        <f>IFERROR(__xludf.DUMMYFUNCTION("""COMPUTED_VALUE"""),11.0)</f>
        <v>11</v>
      </c>
      <c r="G2227" s="4">
        <f>IFERROR(__xludf.DUMMYFUNCTION("""COMPUTED_VALUE"""),700.0)</f>
        <v>700</v>
      </c>
      <c r="H2227" s="4">
        <f>IFERROR(__xludf.DUMMYFUNCTION("""COMPUTED_VALUE"""),13760.0)</f>
        <v>13760</v>
      </c>
      <c r="I2227" s="4">
        <f>IFERROR(__xludf.DUMMYFUNCTION("""COMPUTED_VALUE"""),7232.0)</f>
        <v>7232</v>
      </c>
      <c r="J2227" s="4">
        <f>IFERROR(__xludf.DUMMYFUNCTION("""COMPUTED_VALUE"""),3741.0)</f>
        <v>3741</v>
      </c>
      <c r="K2227" s="4">
        <f>IFERROR(__xludf.DUMMYFUNCTION("""COMPUTED_VALUE"""),461.0)</f>
        <v>461</v>
      </c>
      <c r="L2227" s="4">
        <f>IFERROR(__xludf.DUMMYFUNCTION("""COMPUTED_VALUE"""),0.513)</f>
        <v>0.513</v>
      </c>
      <c r="M2227" s="4">
        <f>IFERROR(__xludf.DUMMYFUNCTION("""COMPUTED_VALUE"""),0.249)</f>
        <v>0.249</v>
      </c>
      <c r="N2227" s="4">
        <f>IFERROR(__xludf.DUMMYFUNCTION("""COMPUTED_VALUE"""),0.66)</f>
        <v>0.66</v>
      </c>
      <c r="O2227" s="4">
        <f>IFERROR(__xludf.DUMMYFUNCTION("""COMPUTED_VALUE"""),19.7)</f>
        <v>19.7</v>
      </c>
      <c r="P2227" s="4">
        <f>IFERROR(__xludf.DUMMYFUNCTION("""COMPUTED_VALUE"""),10.3)</f>
        <v>10.3</v>
      </c>
      <c r="Q2227" s="4">
        <f>IFERROR(__xludf.DUMMYFUNCTION("""COMPUTED_VALUE"""),5.3)</f>
        <v>5.3</v>
      </c>
      <c r="R2227" s="4">
        <f>IFERROR(__xludf.DUMMYFUNCTION("""COMPUTED_VALUE"""),0.7)</f>
        <v>0.7</v>
      </c>
      <c r="S2227" s="4">
        <f>IFERROR(__xludf.DUMMYFUNCTION("""COMPUTED_VALUE"""),32.1)</f>
        <v>32.1</v>
      </c>
      <c r="T2227" s="4">
        <f>IFERROR(__xludf.DUMMYFUNCTION("""COMPUTED_VALUE"""),0.112)</f>
        <v>0.112</v>
      </c>
      <c r="U2227" s="4">
        <f>IFERROR(__xludf.DUMMYFUNCTION("""COMPUTED_VALUE"""),-1.1)</f>
        <v>-1.1</v>
      </c>
      <c r="V2227" s="4">
        <f>IFERROR(__xludf.DUMMYFUNCTION("""COMPUTED_VALUE"""),3.2)</f>
        <v>3.2</v>
      </c>
    </row>
    <row r="2228">
      <c r="A2228" s="4">
        <f>IFERROR(__xludf.DUMMYFUNCTION("""COMPUTED_VALUE"""),17.0)</f>
        <v>17</v>
      </c>
      <c r="B2228" s="4">
        <f>IFERROR(__xludf.DUMMYFUNCTION("""COMPUTED_VALUE"""),17.0)</f>
        <v>17</v>
      </c>
      <c r="C2228" s="4" t="str">
        <f>IFERROR(__xludf.DUMMYFUNCTION("""COMPUTED_VALUE"""),"GSW")</f>
        <v>GSW</v>
      </c>
      <c r="D2228" s="4" t="str">
        <f>IFERROR(__xludf.DUMMYFUNCTION("""COMPUTED_VALUE"""),"Victor Alexander")</f>
        <v>Victor Alexander</v>
      </c>
      <c r="E2228" s="4" t="str">
        <f>IFERROR(__xludf.DUMMYFUNCTION("""COMPUTED_VALUE"""),"Iowa State")</f>
        <v>Iowa State</v>
      </c>
      <c r="F2228" s="4">
        <f>IFERROR(__xludf.DUMMYFUNCTION("""COMPUTED_VALUE"""),5.0)</f>
        <v>5</v>
      </c>
      <c r="G2228" s="4">
        <f>IFERROR(__xludf.DUMMYFUNCTION("""COMPUTED_VALUE"""),286.0)</f>
        <v>286</v>
      </c>
      <c r="H2228" s="4">
        <f>IFERROR(__xludf.DUMMYFUNCTION("""COMPUTED_VALUE"""),5755.0)</f>
        <v>5755</v>
      </c>
      <c r="I2228" s="4">
        <f>IFERROR(__xludf.DUMMYFUNCTION("""COMPUTED_VALUE"""),2542.0)</f>
        <v>2542</v>
      </c>
      <c r="J2228" s="4">
        <f>IFERROR(__xludf.DUMMYFUNCTION("""COMPUTED_VALUE"""),1384.0)</f>
        <v>1384</v>
      </c>
      <c r="K2228" s="4">
        <f>IFERROR(__xludf.DUMMYFUNCTION("""COMPUTED_VALUE"""),257.0)</f>
        <v>257</v>
      </c>
      <c r="L2228" s="4">
        <f>IFERROR(__xludf.DUMMYFUNCTION("""COMPUTED_VALUE"""),0.518)</f>
        <v>0.518</v>
      </c>
      <c r="M2228" s="4">
        <f>IFERROR(__xludf.DUMMYFUNCTION("""COMPUTED_VALUE"""),0.286)</f>
        <v>0.286</v>
      </c>
      <c r="N2228" s="4">
        <f>IFERROR(__xludf.DUMMYFUNCTION("""COMPUTED_VALUE"""),0.634)</f>
        <v>0.634</v>
      </c>
      <c r="O2228" s="4">
        <f>IFERROR(__xludf.DUMMYFUNCTION("""COMPUTED_VALUE"""),20.1)</f>
        <v>20.1</v>
      </c>
      <c r="P2228" s="4">
        <f>IFERROR(__xludf.DUMMYFUNCTION("""COMPUTED_VALUE"""),8.9)</f>
        <v>8.9</v>
      </c>
      <c r="Q2228" s="4">
        <f>IFERROR(__xludf.DUMMYFUNCTION("""COMPUTED_VALUE"""),4.8)</f>
        <v>4.8</v>
      </c>
      <c r="R2228" s="4">
        <f>IFERROR(__xludf.DUMMYFUNCTION("""COMPUTED_VALUE"""),0.9)</f>
        <v>0.9</v>
      </c>
      <c r="S2228" s="4">
        <f>IFERROR(__xludf.DUMMYFUNCTION("""COMPUTED_VALUE"""),8.8)</f>
        <v>8.8</v>
      </c>
      <c r="T2228" s="4">
        <f>IFERROR(__xludf.DUMMYFUNCTION("""COMPUTED_VALUE"""),0.073)</f>
        <v>0.073</v>
      </c>
      <c r="U2228" s="4">
        <f>IFERROR(__xludf.DUMMYFUNCTION("""COMPUTED_VALUE"""),-2.2)</f>
        <v>-2.2</v>
      </c>
      <c r="V2228" s="4">
        <f>IFERROR(__xludf.DUMMYFUNCTION("""COMPUTED_VALUE"""),-0.3)</f>
        <v>-0.3</v>
      </c>
    </row>
    <row r="2229">
      <c r="A2229" s="4">
        <f>IFERROR(__xludf.DUMMYFUNCTION("""COMPUTED_VALUE"""),18.0)</f>
        <v>18</v>
      </c>
      <c r="B2229" s="4">
        <f>IFERROR(__xludf.DUMMYFUNCTION("""COMPUTED_VALUE"""),18.0)</f>
        <v>18</v>
      </c>
      <c r="C2229" s="4" t="str">
        <f>IFERROR(__xludf.DUMMYFUNCTION("""COMPUTED_VALUE"""),"MIL")</f>
        <v>MIL</v>
      </c>
      <c r="D2229" s="4" t="str">
        <f>IFERROR(__xludf.DUMMYFUNCTION("""COMPUTED_VALUE"""),"Kevin Brooks")</f>
        <v>Kevin Brooks</v>
      </c>
      <c r="E2229" s="4" t="str">
        <f>IFERROR(__xludf.DUMMYFUNCTION("""COMPUTED_VALUE"""),"Louisiana")</f>
        <v>Louisiana</v>
      </c>
      <c r="F2229" s="4">
        <f>IFERROR(__xludf.DUMMYFUNCTION("""COMPUTED_VALUE"""),3.0)</f>
        <v>3</v>
      </c>
      <c r="G2229" s="4">
        <f>IFERROR(__xludf.DUMMYFUNCTION("""COMPUTED_VALUE"""),126.0)</f>
        <v>126</v>
      </c>
      <c r="H2229" s="4">
        <f>IFERROR(__xludf.DUMMYFUNCTION("""COMPUTED_VALUE"""),1031.0)</f>
        <v>1031</v>
      </c>
      <c r="I2229" s="4">
        <f>IFERROR(__xludf.DUMMYFUNCTION("""COMPUTED_VALUE"""),417.0)</f>
        <v>417</v>
      </c>
      <c r="J2229" s="4">
        <f>IFERROR(__xludf.DUMMYFUNCTION("""COMPUTED_VALUE"""),141.0)</f>
        <v>141</v>
      </c>
      <c r="K2229" s="4">
        <f>IFERROR(__xludf.DUMMYFUNCTION("""COMPUTED_VALUE"""),48.0)</f>
        <v>48</v>
      </c>
      <c r="L2229" s="4">
        <f>IFERROR(__xludf.DUMMYFUNCTION("""COMPUTED_VALUE"""),0.401)</f>
        <v>0.401</v>
      </c>
      <c r="M2229" s="4">
        <f>IFERROR(__xludf.DUMMYFUNCTION("""COMPUTED_VALUE"""),0.2)</f>
        <v>0.2</v>
      </c>
      <c r="N2229" s="4">
        <f>IFERROR(__xludf.DUMMYFUNCTION("""COMPUTED_VALUE"""),0.859)</f>
        <v>0.859</v>
      </c>
      <c r="O2229" s="4">
        <f>IFERROR(__xludf.DUMMYFUNCTION("""COMPUTED_VALUE"""),8.2)</f>
        <v>8.2</v>
      </c>
      <c r="P2229" s="4">
        <f>IFERROR(__xludf.DUMMYFUNCTION("""COMPUTED_VALUE"""),3.3)</f>
        <v>3.3</v>
      </c>
      <c r="Q2229" s="4">
        <f>IFERROR(__xludf.DUMMYFUNCTION("""COMPUTED_VALUE"""),1.1)</f>
        <v>1.1</v>
      </c>
      <c r="R2229" s="4">
        <f>IFERROR(__xludf.DUMMYFUNCTION("""COMPUTED_VALUE"""),0.4)</f>
        <v>0.4</v>
      </c>
      <c r="S2229" s="4">
        <f>IFERROR(__xludf.DUMMYFUNCTION("""COMPUTED_VALUE"""),-0.1)</f>
        <v>-0.1</v>
      </c>
      <c r="T2229" s="4">
        <f>IFERROR(__xludf.DUMMYFUNCTION("""COMPUTED_VALUE"""),-0.004)</f>
        <v>-0.004</v>
      </c>
      <c r="U2229" s="4">
        <f>IFERROR(__xludf.DUMMYFUNCTION("""COMPUTED_VALUE"""),-5.9)</f>
        <v>-5.9</v>
      </c>
      <c r="V2229" s="4">
        <f>IFERROR(__xludf.DUMMYFUNCTION("""COMPUTED_VALUE"""),-1.0)</f>
        <v>-1</v>
      </c>
    </row>
    <row r="2230">
      <c r="A2230" s="4">
        <f>IFERROR(__xludf.DUMMYFUNCTION("""COMPUTED_VALUE"""),19.0)</f>
        <v>19</v>
      </c>
      <c r="B2230" s="4">
        <f>IFERROR(__xludf.DUMMYFUNCTION("""COMPUTED_VALUE"""),19.0)</f>
        <v>19</v>
      </c>
      <c r="C2230" s="4" t="str">
        <f>IFERROR(__xludf.DUMMYFUNCTION("""COMPUTED_VALUE"""),"WSB")</f>
        <v>WSB</v>
      </c>
      <c r="D2230" s="4" t="str">
        <f>IFERROR(__xludf.DUMMYFUNCTION("""COMPUTED_VALUE"""),"LaBradford Smith")</f>
        <v>LaBradford Smith</v>
      </c>
      <c r="E2230" s="4" t="str">
        <f>IFERROR(__xludf.DUMMYFUNCTION("""COMPUTED_VALUE"""),"Louisville")</f>
        <v>Louisville</v>
      </c>
      <c r="F2230" s="4">
        <f>IFERROR(__xludf.DUMMYFUNCTION("""COMPUTED_VALUE"""),3.0)</f>
        <v>3</v>
      </c>
      <c r="G2230" s="4">
        <f>IFERROR(__xludf.DUMMYFUNCTION("""COMPUTED_VALUE"""),183.0)</f>
        <v>183</v>
      </c>
      <c r="H2230" s="4">
        <f>IFERROR(__xludf.DUMMYFUNCTION("""COMPUTED_VALUE"""),3131.0)</f>
        <v>3131</v>
      </c>
      <c r="I2230" s="4">
        <f>IFERROR(__xludf.DUMMYFUNCTION("""COMPUTED_VALUE"""),1218.0)</f>
        <v>1218</v>
      </c>
      <c r="J2230" s="4">
        <f>IFERROR(__xludf.DUMMYFUNCTION("""COMPUTED_VALUE"""),271.0)</f>
        <v>271</v>
      </c>
      <c r="K2230" s="4">
        <f>IFERROR(__xludf.DUMMYFUNCTION("""COMPUTED_VALUE"""),394.0)</f>
        <v>394</v>
      </c>
      <c r="L2230" s="4">
        <f>IFERROR(__xludf.DUMMYFUNCTION("""COMPUTED_VALUE"""),0.432)</f>
        <v>0.432</v>
      </c>
      <c r="M2230" s="4">
        <f>IFERROR(__xludf.DUMMYFUNCTION("""COMPUTED_VALUE"""),0.298)</f>
        <v>0.298</v>
      </c>
      <c r="N2230" s="4">
        <f>IFERROR(__xludf.DUMMYFUNCTION("""COMPUTED_VALUE"""),0.813)</f>
        <v>0.813</v>
      </c>
      <c r="O2230" s="4">
        <f>IFERROR(__xludf.DUMMYFUNCTION("""COMPUTED_VALUE"""),17.1)</f>
        <v>17.1</v>
      </c>
      <c r="P2230" s="4">
        <f>IFERROR(__xludf.DUMMYFUNCTION("""COMPUTED_VALUE"""),6.7)</f>
        <v>6.7</v>
      </c>
      <c r="Q2230" s="4">
        <f>IFERROR(__xludf.DUMMYFUNCTION("""COMPUTED_VALUE"""),1.5)</f>
        <v>1.5</v>
      </c>
      <c r="R2230" s="4">
        <f>IFERROR(__xludf.DUMMYFUNCTION("""COMPUTED_VALUE"""),2.2)</f>
        <v>2.2</v>
      </c>
      <c r="S2230" s="4">
        <f>IFERROR(__xludf.DUMMYFUNCTION("""COMPUTED_VALUE"""),1.5)</f>
        <v>1.5</v>
      </c>
      <c r="T2230" s="4">
        <f>IFERROR(__xludf.DUMMYFUNCTION("""COMPUTED_VALUE"""),0.024)</f>
        <v>0.024</v>
      </c>
      <c r="U2230" s="4">
        <f>IFERROR(__xludf.DUMMYFUNCTION("""COMPUTED_VALUE"""),-3.6)</f>
        <v>-3.6</v>
      </c>
      <c r="V2230" s="4">
        <f>IFERROR(__xludf.DUMMYFUNCTION("""COMPUTED_VALUE"""),-1.2)</f>
        <v>-1.2</v>
      </c>
    </row>
    <row r="2231">
      <c r="A2231" s="4">
        <f>IFERROR(__xludf.DUMMYFUNCTION("""COMPUTED_VALUE"""),20.0)</f>
        <v>20</v>
      </c>
      <c r="B2231" s="4">
        <f>IFERROR(__xludf.DUMMYFUNCTION("""COMPUTED_VALUE"""),20.0)</f>
        <v>20</v>
      </c>
      <c r="C2231" s="4" t="str">
        <f>IFERROR(__xludf.DUMMYFUNCTION("""COMPUTED_VALUE"""),"HOU")</f>
        <v>HOU</v>
      </c>
      <c r="D2231" s="4" t="str">
        <f>IFERROR(__xludf.DUMMYFUNCTION("""COMPUTED_VALUE"""),"John Turner")</f>
        <v>John Turner</v>
      </c>
      <c r="E2231" s="4" t="str">
        <f>IFERROR(__xludf.DUMMYFUNCTION("""COMPUTED_VALUE"""),"Phillips University")</f>
        <v>Phillips University</v>
      </c>
      <c r="F2231" s="4">
        <f>IFERROR(__xludf.DUMMYFUNCTION("""COMPUTED_VALUE"""),1.0)</f>
        <v>1</v>
      </c>
      <c r="G2231" s="4">
        <f>IFERROR(__xludf.DUMMYFUNCTION("""COMPUTED_VALUE"""),42.0)</f>
        <v>42</v>
      </c>
      <c r="H2231" s="4">
        <f>IFERROR(__xludf.DUMMYFUNCTION("""COMPUTED_VALUE"""),345.0)</f>
        <v>345</v>
      </c>
      <c r="I2231" s="4">
        <f>IFERROR(__xludf.DUMMYFUNCTION("""COMPUTED_VALUE"""),117.0)</f>
        <v>117</v>
      </c>
      <c r="J2231" s="4">
        <f>IFERROR(__xludf.DUMMYFUNCTION("""COMPUTED_VALUE"""),78.0)</f>
        <v>78</v>
      </c>
      <c r="K2231" s="4">
        <f>IFERROR(__xludf.DUMMYFUNCTION("""COMPUTED_VALUE"""),12.0)</f>
        <v>12</v>
      </c>
      <c r="L2231" s="4">
        <f>IFERROR(__xludf.DUMMYFUNCTION("""COMPUTED_VALUE"""),0.439)</f>
        <v>0.439</v>
      </c>
      <c r="M2231" s="4"/>
      <c r="N2231" s="4">
        <f>IFERROR(__xludf.DUMMYFUNCTION("""COMPUTED_VALUE"""),0.525)</f>
        <v>0.525</v>
      </c>
      <c r="O2231" s="4">
        <f>IFERROR(__xludf.DUMMYFUNCTION("""COMPUTED_VALUE"""),8.2)</f>
        <v>8.2</v>
      </c>
      <c r="P2231" s="4">
        <f>IFERROR(__xludf.DUMMYFUNCTION("""COMPUTED_VALUE"""),2.8)</f>
        <v>2.8</v>
      </c>
      <c r="Q2231" s="4">
        <f>IFERROR(__xludf.DUMMYFUNCTION("""COMPUTED_VALUE"""),1.9)</f>
        <v>1.9</v>
      </c>
      <c r="R2231" s="4">
        <f>IFERROR(__xludf.DUMMYFUNCTION("""COMPUTED_VALUE"""),0.3)</f>
        <v>0.3</v>
      </c>
      <c r="S2231" s="4">
        <f>IFERROR(__xludf.DUMMYFUNCTION("""COMPUTED_VALUE"""),-0.1)</f>
        <v>-0.1</v>
      </c>
      <c r="T2231" s="4">
        <f>IFERROR(__xludf.DUMMYFUNCTION("""COMPUTED_VALUE"""),-0.021)</f>
        <v>-0.021</v>
      </c>
      <c r="U2231" s="4">
        <f>IFERROR(__xludf.DUMMYFUNCTION("""COMPUTED_VALUE"""),-7.9)</f>
        <v>-7.9</v>
      </c>
      <c r="V2231" s="4">
        <f>IFERROR(__xludf.DUMMYFUNCTION("""COMPUTED_VALUE"""),-0.5)</f>
        <v>-0.5</v>
      </c>
    </row>
    <row r="2232">
      <c r="A2232" s="4">
        <f>IFERROR(__xludf.DUMMYFUNCTION("""COMPUTED_VALUE"""),21.0)</f>
        <v>21</v>
      </c>
      <c r="B2232" s="4">
        <f>IFERROR(__xludf.DUMMYFUNCTION("""COMPUTED_VALUE"""),21.0)</f>
        <v>21</v>
      </c>
      <c r="C2232" s="4" t="str">
        <f>IFERROR(__xludf.DUMMYFUNCTION("""COMPUTED_VALUE"""),"UTA")</f>
        <v>UTA</v>
      </c>
      <c r="D2232" s="4" t="str">
        <f>IFERROR(__xludf.DUMMYFUNCTION("""COMPUTED_VALUE"""),"Eric Murdock")</f>
        <v>Eric Murdock</v>
      </c>
      <c r="E2232" s="4" t="str">
        <f>IFERROR(__xludf.DUMMYFUNCTION("""COMPUTED_VALUE"""),"Providence")</f>
        <v>Providence</v>
      </c>
      <c r="F2232" s="4">
        <f>IFERROR(__xludf.DUMMYFUNCTION("""COMPUTED_VALUE"""),9.0)</f>
        <v>9</v>
      </c>
      <c r="G2232" s="4">
        <f>IFERROR(__xludf.DUMMYFUNCTION("""COMPUTED_VALUE"""),508.0)</f>
        <v>508</v>
      </c>
      <c r="H2232" s="4">
        <f>IFERROR(__xludf.DUMMYFUNCTION("""COMPUTED_VALUE"""),11882.0)</f>
        <v>11882</v>
      </c>
      <c r="I2232" s="4">
        <f>IFERROR(__xludf.DUMMYFUNCTION("""COMPUTED_VALUE"""),5118.0)</f>
        <v>5118</v>
      </c>
      <c r="J2232" s="4">
        <f>IFERROR(__xludf.DUMMYFUNCTION("""COMPUTED_VALUE"""),1261.0)</f>
        <v>1261</v>
      </c>
      <c r="K2232" s="4">
        <f>IFERROR(__xludf.DUMMYFUNCTION("""COMPUTED_VALUE"""),2467.0)</f>
        <v>2467</v>
      </c>
      <c r="L2232" s="4">
        <f>IFERROR(__xludf.DUMMYFUNCTION("""COMPUTED_VALUE"""),0.438)</f>
        <v>0.438</v>
      </c>
      <c r="M2232" s="4">
        <f>IFERROR(__xludf.DUMMYFUNCTION("""COMPUTED_VALUE"""),0.343)</f>
        <v>0.343</v>
      </c>
      <c r="N2232" s="4">
        <f>IFERROR(__xludf.DUMMYFUNCTION("""COMPUTED_VALUE"""),0.786)</f>
        <v>0.786</v>
      </c>
      <c r="O2232" s="4">
        <f>IFERROR(__xludf.DUMMYFUNCTION("""COMPUTED_VALUE"""),23.4)</f>
        <v>23.4</v>
      </c>
      <c r="P2232" s="4">
        <f>IFERROR(__xludf.DUMMYFUNCTION("""COMPUTED_VALUE"""),10.1)</f>
        <v>10.1</v>
      </c>
      <c r="Q2232" s="4">
        <f>IFERROR(__xludf.DUMMYFUNCTION("""COMPUTED_VALUE"""),2.5)</f>
        <v>2.5</v>
      </c>
      <c r="R2232" s="4">
        <f>IFERROR(__xludf.DUMMYFUNCTION("""COMPUTED_VALUE"""),4.9)</f>
        <v>4.9</v>
      </c>
      <c r="S2232" s="4">
        <f>IFERROR(__xludf.DUMMYFUNCTION("""COMPUTED_VALUE"""),25.6)</f>
        <v>25.6</v>
      </c>
      <c r="T2232" s="4">
        <f>IFERROR(__xludf.DUMMYFUNCTION("""COMPUTED_VALUE"""),0.103)</f>
        <v>0.103</v>
      </c>
      <c r="U2232" s="4">
        <f>IFERROR(__xludf.DUMMYFUNCTION("""COMPUTED_VALUE"""),2.0)</f>
        <v>2</v>
      </c>
      <c r="V2232" s="4">
        <f>IFERROR(__xludf.DUMMYFUNCTION("""COMPUTED_VALUE"""),12.1)</f>
        <v>12.1</v>
      </c>
    </row>
    <row r="2233">
      <c r="A2233" s="4">
        <f>IFERROR(__xludf.DUMMYFUNCTION("""COMPUTED_VALUE"""),22.0)</f>
        <v>22</v>
      </c>
      <c r="B2233" s="4">
        <f>IFERROR(__xludf.DUMMYFUNCTION("""COMPUTED_VALUE"""),22.0)</f>
        <v>22</v>
      </c>
      <c r="C2233" s="4" t="str">
        <f>IFERROR(__xludf.DUMMYFUNCTION("""COMPUTED_VALUE"""),"LAC")</f>
        <v>LAC</v>
      </c>
      <c r="D2233" s="4" t="str">
        <f>IFERROR(__xludf.DUMMYFUNCTION("""COMPUTED_VALUE"""),"LeRon Ellis")</f>
        <v>LeRon Ellis</v>
      </c>
      <c r="E2233" s="4" t="str">
        <f>IFERROR(__xludf.DUMMYFUNCTION("""COMPUTED_VALUE"""),"Syracuse")</f>
        <v>Syracuse</v>
      </c>
      <c r="F2233" s="4">
        <f>IFERROR(__xludf.DUMMYFUNCTION("""COMPUTED_VALUE"""),3.0)</f>
        <v>3</v>
      </c>
      <c r="G2233" s="4">
        <f>IFERROR(__xludf.DUMMYFUNCTION("""COMPUTED_VALUE"""),91.0)</f>
        <v>91</v>
      </c>
      <c r="H2233" s="4">
        <f>IFERROR(__xludf.DUMMYFUNCTION("""COMPUTED_VALUE"""),857.0)</f>
        <v>857</v>
      </c>
      <c r="I2233" s="4">
        <f>IFERROR(__xludf.DUMMYFUNCTION("""COMPUTED_VALUE"""),277.0)</f>
        <v>277</v>
      </c>
      <c r="J2233" s="4">
        <f>IFERROR(__xludf.DUMMYFUNCTION("""COMPUTED_VALUE"""),220.0)</f>
        <v>220</v>
      </c>
      <c r="K2233" s="4">
        <f>IFERROR(__xludf.DUMMYFUNCTION("""COMPUTED_VALUE"""),29.0)</f>
        <v>29</v>
      </c>
      <c r="L2233" s="4">
        <f>IFERROR(__xludf.DUMMYFUNCTION("""COMPUTED_VALUE"""),0.433)</f>
        <v>0.433</v>
      </c>
      <c r="M2233" s="4"/>
      <c r="N2233" s="4">
        <f>IFERROR(__xludf.DUMMYFUNCTION("""COMPUTED_VALUE"""),0.613)</f>
        <v>0.613</v>
      </c>
      <c r="O2233" s="4">
        <f>IFERROR(__xludf.DUMMYFUNCTION("""COMPUTED_VALUE"""),9.4)</f>
        <v>9.4</v>
      </c>
      <c r="P2233" s="4">
        <f>IFERROR(__xludf.DUMMYFUNCTION("""COMPUTED_VALUE"""),3.0)</f>
        <v>3</v>
      </c>
      <c r="Q2233" s="4">
        <f>IFERROR(__xludf.DUMMYFUNCTION("""COMPUTED_VALUE"""),2.4)</f>
        <v>2.4</v>
      </c>
      <c r="R2233" s="4">
        <f>IFERROR(__xludf.DUMMYFUNCTION("""COMPUTED_VALUE"""),0.3)</f>
        <v>0.3</v>
      </c>
      <c r="S2233" s="4">
        <f>IFERROR(__xludf.DUMMYFUNCTION("""COMPUTED_VALUE"""),1.2)</f>
        <v>1.2</v>
      </c>
      <c r="T2233" s="4">
        <f>IFERROR(__xludf.DUMMYFUNCTION("""COMPUTED_VALUE"""),0.069)</f>
        <v>0.069</v>
      </c>
      <c r="U2233" s="4">
        <f>IFERROR(__xludf.DUMMYFUNCTION("""COMPUTED_VALUE"""),-3.5)</f>
        <v>-3.5</v>
      </c>
      <c r="V2233" s="4">
        <f>IFERROR(__xludf.DUMMYFUNCTION("""COMPUTED_VALUE"""),-0.3)</f>
        <v>-0.3</v>
      </c>
    </row>
    <row r="2234">
      <c r="A2234" s="4">
        <f>IFERROR(__xludf.DUMMYFUNCTION("""COMPUTED_VALUE"""),23.0)</f>
        <v>23</v>
      </c>
      <c r="B2234" s="4">
        <f>IFERROR(__xludf.DUMMYFUNCTION("""COMPUTED_VALUE"""),23.0)</f>
        <v>23</v>
      </c>
      <c r="C2234" s="4" t="str">
        <f>IFERROR(__xludf.DUMMYFUNCTION("""COMPUTED_VALUE"""),"ORL")</f>
        <v>ORL</v>
      </c>
      <c r="D2234" s="4" t="str">
        <f>IFERROR(__xludf.DUMMYFUNCTION("""COMPUTED_VALUE"""),"Stanley Roberts")</f>
        <v>Stanley Roberts</v>
      </c>
      <c r="E2234" s="4" t="str">
        <f>IFERROR(__xludf.DUMMYFUNCTION("""COMPUTED_VALUE"""),"LSU")</f>
        <v>LSU</v>
      </c>
      <c r="F2234" s="4">
        <f>IFERROR(__xludf.DUMMYFUNCTION("""COMPUTED_VALUE"""),8.0)</f>
        <v>8</v>
      </c>
      <c r="G2234" s="4">
        <f>IFERROR(__xludf.DUMMYFUNCTION("""COMPUTED_VALUE"""),300.0)</f>
        <v>300</v>
      </c>
      <c r="H2234" s="4">
        <f>IFERROR(__xludf.DUMMYFUNCTION("""COMPUTED_VALUE"""),5869.0)</f>
        <v>5869</v>
      </c>
      <c r="I2234" s="4">
        <f>IFERROR(__xludf.DUMMYFUNCTION("""COMPUTED_VALUE"""),2555.0)</f>
        <v>2555</v>
      </c>
      <c r="J2234" s="4">
        <f>IFERROR(__xludf.DUMMYFUNCTION("""COMPUTED_VALUE"""),1549.0)</f>
        <v>1549</v>
      </c>
      <c r="K2234" s="4">
        <f>IFERROR(__xludf.DUMMYFUNCTION("""COMPUTED_VALUE"""),189.0)</f>
        <v>189</v>
      </c>
      <c r="L2234" s="4">
        <f>IFERROR(__xludf.DUMMYFUNCTION("""COMPUTED_VALUE"""),0.499)</f>
        <v>0.499</v>
      </c>
      <c r="M2234" s="4">
        <f>IFERROR(__xludf.DUMMYFUNCTION("""COMPUTED_VALUE"""),0.0)</f>
        <v>0</v>
      </c>
      <c r="N2234" s="4">
        <f>IFERROR(__xludf.DUMMYFUNCTION("""COMPUTED_VALUE"""),0.514)</f>
        <v>0.514</v>
      </c>
      <c r="O2234" s="4">
        <f>IFERROR(__xludf.DUMMYFUNCTION("""COMPUTED_VALUE"""),19.6)</f>
        <v>19.6</v>
      </c>
      <c r="P2234" s="4">
        <f>IFERROR(__xludf.DUMMYFUNCTION("""COMPUTED_VALUE"""),8.5)</f>
        <v>8.5</v>
      </c>
      <c r="Q2234" s="4">
        <f>IFERROR(__xludf.DUMMYFUNCTION("""COMPUTED_VALUE"""),5.2)</f>
        <v>5.2</v>
      </c>
      <c r="R2234" s="4">
        <f>IFERROR(__xludf.DUMMYFUNCTION("""COMPUTED_VALUE"""),0.6)</f>
        <v>0.6</v>
      </c>
      <c r="S2234" s="4">
        <f>IFERROR(__xludf.DUMMYFUNCTION("""COMPUTED_VALUE"""),8.1)</f>
        <v>8.1</v>
      </c>
      <c r="T2234" s="4">
        <f>IFERROR(__xludf.DUMMYFUNCTION("""COMPUTED_VALUE"""),0.066)</f>
        <v>0.066</v>
      </c>
      <c r="U2234" s="4">
        <f>IFERROR(__xludf.DUMMYFUNCTION("""COMPUTED_VALUE"""),-3.4)</f>
        <v>-3.4</v>
      </c>
      <c r="V2234" s="4">
        <f>IFERROR(__xludf.DUMMYFUNCTION("""COMPUTED_VALUE"""),-2.0)</f>
        <v>-2</v>
      </c>
    </row>
    <row r="2235">
      <c r="A2235" s="4">
        <f>IFERROR(__xludf.DUMMYFUNCTION("""COMPUTED_VALUE"""),24.0)</f>
        <v>24</v>
      </c>
      <c r="B2235" s="4">
        <f>IFERROR(__xludf.DUMMYFUNCTION("""COMPUTED_VALUE"""),24.0)</f>
        <v>24</v>
      </c>
      <c r="C2235" s="4" t="str">
        <f>IFERROR(__xludf.DUMMYFUNCTION("""COMPUTED_VALUE"""),"BOS")</f>
        <v>BOS</v>
      </c>
      <c r="D2235" s="4" t="str">
        <f>IFERROR(__xludf.DUMMYFUNCTION("""COMPUTED_VALUE"""),"Rick Fox")</f>
        <v>Rick Fox</v>
      </c>
      <c r="E2235" s="4" t="str">
        <f>IFERROR(__xludf.DUMMYFUNCTION("""COMPUTED_VALUE"""),"UNC")</f>
        <v>UNC</v>
      </c>
      <c r="F2235" s="4">
        <f>IFERROR(__xludf.DUMMYFUNCTION("""COMPUTED_VALUE"""),13.0)</f>
        <v>13</v>
      </c>
      <c r="G2235" s="4">
        <f>IFERROR(__xludf.DUMMYFUNCTION("""COMPUTED_VALUE"""),930.0)</f>
        <v>930</v>
      </c>
      <c r="H2235" s="4">
        <f>IFERROR(__xludf.DUMMYFUNCTION("""COMPUTED_VALUE"""),23723.0)</f>
        <v>23723</v>
      </c>
      <c r="I2235" s="4">
        <f>IFERROR(__xludf.DUMMYFUNCTION("""COMPUTED_VALUE"""),8966.0)</f>
        <v>8966</v>
      </c>
      <c r="J2235" s="4">
        <f>IFERROR(__xludf.DUMMYFUNCTION("""COMPUTED_VALUE"""),3517.0)</f>
        <v>3517</v>
      </c>
      <c r="K2235" s="4">
        <f>IFERROR(__xludf.DUMMYFUNCTION("""COMPUTED_VALUE"""),2649.0)</f>
        <v>2649</v>
      </c>
      <c r="L2235" s="4">
        <f>IFERROR(__xludf.DUMMYFUNCTION("""COMPUTED_VALUE"""),0.45)</f>
        <v>0.45</v>
      </c>
      <c r="M2235" s="4">
        <f>IFERROR(__xludf.DUMMYFUNCTION("""COMPUTED_VALUE"""),0.349)</f>
        <v>0.349</v>
      </c>
      <c r="N2235" s="4">
        <f>IFERROR(__xludf.DUMMYFUNCTION("""COMPUTED_VALUE"""),0.77)</f>
        <v>0.77</v>
      </c>
      <c r="O2235" s="4">
        <f>IFERROR(__xludf.DUMMYFUNCTION("""COMPUTED_VALUE"""),25.5)</f>
        <v>25.5</v>
      </c>
      <c r="P2235" s="4">
        <f>IFERROR(__xludf.DUMMYFUNCTION("""COMPUTED_VALUE"""),9.6)</f>
        <v>9.6</v>
      </c>
      <c r="Q2235" s="4">
        <f>IFERROR(__xludf.DUMMYFUNCTION("""COMPUTED_VALUE"""),3.8)</f>
        <v>3.8</v>
      </c>
      <c r="R2235" s="4">
        <f>IFERROR(__xludf.DUMMYFUNCTION("""COMPUTED_VALUE"""),2.8)</f>
        <v>2.8</v>
      </c>
      <c r="S2235" s="4">
        <f>IFERROR(__xludf.DUMMYFUNCTION("""COMPUTED_VALUE"""),44.7)</f>
        <v>44.7</v>
      </c>
      <c r="T2235" s="4">
        <f>IFERROR(__xludf.DUMMYFUNCTION("""COMPUTED_VALUE"""),0.09)</f>
        <v>0.09</v>
      </c>
      <c r="U2235" s="4">
        <f>IFERROR(__xludf.DUMMYFUNCTION("""COMPUTED_VALUE"""),0.0)</f>
        <v>0</v>
      </c>
      <c r="V2235" s="4">
        <f>IFERROR(__xludf.DUMMYFUNCTION("""COMPUTED_VALUE"""),11.7)</f>
        <v>11.7</v>
      </c>
    </row>
    <row r="2236">
      <c r="A2236" s="4">
        <f>IFERROR(__xludf.DUMMYFUNCTION("""COMPUTED_VALUE"""),25.0)</f>
        <v>25</v>
      </c>
      <c r="B2236" s="4">
        <f>IFERROR(__xludf.DUMMYFUNCTION("""COMPUTED_VALUE"""),25.0)</f>
        <v>25</v>
      </c>
      <c r="C2236" s="4" t="str">
        <f>IFERROR(__xludf.DUMMYFUNCTION("""COMPUTED_VALUE"""),"GSW")</f>
        <v>GSW</v>
      </c>
      <c r="D2236" s="4" t="str">
        <f>IFERROR(__xludf.DUMMYFUNCTION("""COMPUTED_VALUE"""),"Shaun Vandiver")</f>
        <v>Shaun Vandiver</v>
      </c>
      <c r="E2236" s="4" t="str">
        <f>IFERROR(__xludf.DUMMYFUNCTION("""COMPUTED_VALUE"""),"Colorado")</f>
        <v>Colorado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</row>
    <row r="2237">
      <c r="A2237" s="4">
        <f>IFERROR(__xludf.DUMMYFUNCTION("""COMPUTED_VALUE"""),26.0)</f>
        <v>26</v>
      </c>
      <c r="B2237" s="4">
        <f>IFERROR(__xludf.DUMMYFUNCTION("""COMPUTED_VALUE"""),26.0)</f>
        <v>26</v>
      </c>
      <c r="C2237" s="4" t="str">
        <f>IFERROR(__xludf.DUMMYFUNCTION("""COMPUTED_VALUE"""),"CHI")</f>
        <v>CHI</v>
      </c>
      <c r="D2237" s="4" t="str">
        <f>IFERROR(__xludf.DUMMYFUNCTION("""COMPUTED_VALUE"""),"Mark Randall")</f>
        <v>Mark Randall</v>
      </c>
      <c r="E2237" s="4" t="str">
        <f>IFERROR(__xludf.DUMMYFUNCTION("""COMPUTED_VALUE"""),"Kansas")</f>
        <v>Kansas</v>
      </c>
      <c r="F2237" s="4">
        <f>IFERROR(__xludf.DUMMYFUNCTION("""COMPUTED_VALUE"""),4.0)</f>
        <v>4</v>
      </c>
      <c r="G2237" s="4">
        <f>IFERROR(__xludf.DUMMYFUNCTION("""COMPUTED_VALUE"""),127.0)</f>
        <v>127</v>
      </c>
      <c r="H2237" s="4">
        <f>IFERROR(__xludf.DUMMYFUNCTION("""COMPUTED_VALUE"""),883.0)</f>
        <v>883</v>
      </c>
      <c r="I2237" s="4">
        <f>IFERROR(__xludf.DUMMYFUNCTION("""COMPUTED_VALUE"""),332.0)</f>
        <v>332</v>
      </c>
      <c r="J2237" s="4">
        <f>IFERROR(__xludf.DUMMYFUNCTION("""COMPUTED_VALUE"""),160.0)</f>
        <v>160</v>
      </c>
      <c r="K2237" s="4">
        <f>IFERROR(__xludf.DUMMYFUNCTION("""COMPUTED_VALUE"""),56.0)</f>
        <v>56</v>
      </c>
      <c r="L2237" s="4">
        <f>IFERROR(__xludf.DUMMYFUNCTION("""COMPUTED_VALUE"""),0.443)</f>
        <v>0.443</v>
      </c>
      <c r="M2237" s="4">
        <f>IFERROR(__xludf.DUMMYFUNCTION("""COMPUTED_VALUE"""),0.154)</f>
        <v>0.154</v>
      </c>
      <c r="N2237" s="4">
        <f>IFERROR(__xludf.DUMMYFUNCTION("""COMPUTED_VALUE"""),0.722)</f>
        <v>0.722</v>
      </c>
      <c r="O2237" s="4">
        <f>IFERROR(__xludf.DUMMYFUNCTION("""COMPUTED_VALUE"""),7.0)</f>
        <v>7</v>
      </c>
      <c r="P2237" s="4">
        <f>IFERROR(__xludf.DUMMYFUNCTION("""COMPUTED_VALUE"""),2.6)</f>
        <v>2.6</v>
      </c>
      <c r="Q2237" s="4">
        <f>IFERROR(__xludf.DUMMYFUNCTION("""COMPUTED_VALUE"""),1.3)</f>
        <v>1.3</v>
      </c>
      <c r="R2237" s="4">
        <f>IFERROR(__xludf.DUMMYFUNCTION("""COMPUTED_VALUE"""),0.4)</f>
        <v>0.4</v>
      </c>
      <c r="S2237" s="4">
        <f>IFERROR(__xludf.DUMMYFUNCTION("""COMPUTED_VALUE"""),1.0)</f>
        <v>1</v>
      </c>
      <c r="T2237" s="4">
        <f>IFERROR(__xludf.DUMMYFUNCTION("""COMPUTED_VALUE"""),0.054)</f>
        <v>0.054</v>
      </c>
      <c r="U2237" s="4">
        <f>IFERROR(__xludf.DUMMYFUNCTION("""COMPUTED_VALUE"""),-3.3)</f>
        <v>-3.3</v>
      </c>
      <c r="V2237" s="4">
        <f>IFERROR(__xludf.DUMMYFUNCTION("""COMPUTED_VALUE"""),-0.3)</f>
        <v>-0.3</v>
      </c>
    </row>
    <row r="2238">
      <c r="A2238" s="4">
        <f>IFERROR(__xludf.DUMMYFUNCTION("""COMPUTED_VALUE"""),27.0)</f>
        <v>27</v>
      </c>
      <c r="B2238" s="4">
        <f>IFERROR(__xludf.DUMMYFUNCTION("""COMPUTED_VALUE"""),27.0)</f>
        <v>27</v>
      </c>
      <c r="C2238" s="4" t="str">
        <f>IFERROR(__xludf.DUMMYFUNCTION("""COMPUTED_VALUE"""),"SAC")</f>
        <v>SAC</v>
      </c>
      <c r="D2238" s="4" t="str">
        <f>IFERROR(__xludf.DUMMYFUNCTION("""COMPUTED_VALUE"""),"Pete Chilcutt")</f>
        <v>Pete Chilcutt</v>
      </c>
      <c r="E2238" s="4" t="str">
        <f>IFERROR(__xludf.DUMMYFUNCTION("""COMPUTED_VALUE"""),"UNC")</f>
        <v>UNC</v>
      </c>
      <c r="F2238" s="4">
        <f>IFERROR(__xludf.DUMMYFUNCTION("""COMPUTED_VALUE"""),9.0)</f>
        <v>9</v>
      </c>
      <c r="G2238" s="4">
        <f>IFERROR(__xludf.DUMMYFUNCTION("""COMPUTED_VALUE"""),584.0)</f>
        <v>584</v>
      </c>
      <c r="H2238" s="4">
        <f>IFERROR(__xludf.DUMMYFUNCTION("""COMPUTED_VALUE"""),8394.0)</f>
        <v>8394</v>
      </c>
      <c r="I2238" s="4">
        <f>IFERROR(__xludf.DUMMYFUNCTION("""COMPUTED_VALUE"""),2494.0)</f>
        <v>2494</v>
      </c>
      <c r="J2238" s="4">
        <f>IFERROR(__xludf.DUMMYFUNCTION("""COMPUTED_VALUE"""),1935.0)</f>
        <v>1935</v>
      </c>
      <c r="K2238" s="4">
        <f>IFERROR(__xludf.DUMMYFUNCTION("""COMPUTED_VALUE"""),488.0)</f>
        <v>488</v>
      </c>
      <c r="L2238" s="4">
        <f>IFERROR(__xludf.DUMMYFUNCTION("""COMPUTED_VALUE"""),0.441)</f>
        <v>0.441</v>
      </c>
      <c r="M2238" s="4">
        <f>IFERROR(__xludf.DUMMYFUNCTION("""COMPUTED_VALUE"""),0.381)</f>
        <v>0.381</v>
      </c>
      <c r="N2238" s="4">
        <f>IFERROR(__xludf.DUMMYFUNCTION("""COMPUTED_VALUE"""),0.696)</f>
        <v>0.696</v>
      </c>
      <c r="O2238" s="4">
        <f>IFERROR(__xludf.DUMMYFUNCTION("""COMPUTED_VALUE"""),14.4)</f>
        <v>14.4</v>
      </c>
      <c r="P2238" s="4">
        <f>IFERROR(__xludf.DUMMYFUNCTION("""COMPUTED_VALUE"""),4.3)</f>
        <v>4.3</v>
      </c>
      <c r="Q2238" s="4">
        <f>IFERROR(__xludf.DUMMYFUNCTION("""COMPUTED_VALUE"""),3.3)</f>
        <v>3.3</v>
      </c>
      <c r="R2238" s="4">
        <f>IFERROR(__xludf.DUMMYFUNCTION("""COMPUTED_VALUE"""),0.8)</f>
        <v>0.8</v>
      </c>
      <c r="S2238" s="4">
        <f>IFERROR(__xludf.DUMMYFUNCTION("""COMPUTED_VALUE"""),10.6)</f>
        <v>10.6</v>
      </c>
      <c r="T2238" s="4">
        <f>IFERROR(__xludf.DUMMYFUNCTION("""COMPUTED_VALUE"""),0.06)</f>
        <v>0.06</v>
      </c>
      <c r="U2238" s="4">
        <f>IFERROR(__xludf.DUMMYFUNCTION("""COMPUTED_VALUE"""),-1.8)</f>
        <v>-1.8</v>
      </c>
      <c r="V2238" s="4">
        <f>IFERROR(__xludf.DUMMYFUNCTION("""COMPUTED_VALUE"""),0.3)</f>
        <v>0.3</v>
      </c>
    </row>
    <row r="2239">
      <c r="A2239" s="4"/>
      <c r="B2239" s="4"/>
      <c r="C2239" s="4"/>
      <c r="D2239" s="4" t="str">
        <f>IFERROR(__xludf.DUMMYFUNCTION("""COMPUTED_VALUE"""),"Round 2")</f>
        <v>Round 2</v>
      </c>
      <c r="E2239" s="4"/>
      <c r="F2239" s="4"/>
      <c r="G2239" s="4" t="str">
        <f>IFERROR(__xludf.DUMMYFUNCTION("""COMPUTED_VALUE"""),"Totals")</f>
        <v>Totals</v>
      </c>
      <c r="H2239" s="4"/>
      <c r="I2239" s="4"/>
      <c r="J2239" s="4"/>
      <c r="K2239" s="4"/>
      <c r="L2239" s="4" t="str">
        <f>IFERROR(__xludf.DUMMYFUNCTION("""COMPUTED_VALUE"""),"Shooting")</f>
        <v>Shooting</v>
      </c>
      <c r="M2239" s="4"/>
      <c r="N2239" s="4"/>
      <c r="O2239" s="4" t="str">
        <f>IFERROR(__xludf.DUMMYFUNCTION("""COMPUTED_VALUE"""),"Per Game")</f>
        <v>Per Game</v>
      </c>
      <c r="P2239" s="4"/>
      <c r="Q2239" s="4"/>
      <c r="R2239" s="4"/>
      <c r="S2239" s="4" t="str">
        <f>IFERROR(__xludf.DUMMYFUNCTION("""COMPUTED_VALUE"""),"Advanced")</f>
        <v>Advanced</v>
      </c>
      <c r="T2239" s="4"/>
      <c r="U2239" s="4"/>
      <c r="V2239" s="4"/>
    </row>
    <row r="2240">
      <c r="A2240" s="4" t="str">
        <f>IFERROR(__xludf.DUMMYFUNCTION("""COMPUTED_VALUE"""),"Rk")</f>
        <v>Rk</v>
      </c>
      <c r="B2240" s="4" t="str">
        <f>IFERROR(__xludf.DUMMYFUNCTION("""COMPUTED_VALUE"""),"Pk")</f>
        <v>Pk</v>
      </c>
      <c r="C2240" s="4" t="str">
        <f>IFERROR(__xludf.DUMMYFUNCTION("""COMPUTED_VALUE"""),"Tm")</f>
        <v>Tm</v>
      </c>
      <c r="D2240" s="4" t="str">
        <f>IFERROR(__xludf.DUMMYFUNCTION("""COMPUTED_VALUE"""),"Player")</f>
        <v>Player</v>
      </c>
      <c r="E2240" s="4" t="str">
        <f>IFERROR(__xludf.DUMMYFUNCTION("""COMPUTED_VALUE"""),"College")</f>
        <v>College</v>
      </c>
      <c r="F2240" s="4" t="str">
        <f>IFERROR(__xludf.DUMMYFUNCTION("""COMPUTED_VALUE"""),"Yrs")</f>
        <v>Yrs</v>
      </c>
      <c r="G2240" s="4" t="str">
        <f>IFERROR(__xludf.DUMMYFUNCTION("""COMPUTED_VALUE"""),"G")</f>
        <v>G</v>
      </c>
      <c r="H2240" s="4" t="str">
        <f>IFERROR(__xludf.DUMMYFUNCTION("""COMPUTED_VALUE"""),"MP")</f>
        <v>MP</v>
      </c>
      <c r="I2240" s="4" t="str">
        <f>IFERROR(__xludf.DUMMYFUNCTION("""COMPUTED_VALUE"""),"PTS")</f>
        <v>PTS</v>
      </c>
      <c r="J2240" s="4" t="str">
        <f>IFERROR(__xludf.DUMMYFUNCTION("""COMPUTED_VALUE"""),"TRB")</f>
        <v>TRB</v>
      </c>
      <c r="K2240" s="4" t="str">
        <f>IFERROR(__xludf.DUMMYFUNCTION("""COMPUTED_VALUE"""),"AST")</f>
        <v>AST</v>
      </c>
      <c r="L2240" s="4" t="str">
        <f>IFERROR(__xludf.DUMMYFUNCTION("""COMPUTED_VALUE"""),"FG%")</f>
        <v>FG%</v>
      </c>
      <c r="M2240" s="4" t="str">
        <f>IFERROR(__xludf.DUMMYFUNCTION("""COMPUTED_VALUE"""),"3P%")</f>
        <v>3P%</v>
      </c>
      <c r="N2240" s="4" t="str">
        <f>IFERROR(__xludf.DUMMYFUNCTION("""COMPUTED_VALUE"""),"FT%")</f>
        <v>FT%</v>
      </c>
      <c r="O2240" s="4" t="str">
        <f>IFERROR(__xludf.DUMMYFUNCTION("""COMPUTED_VALUE"""),"MP")</f>
        <v>MP</v>
      </c>
      <c r="P2240" s="4" t="str">
        <f>IFERROR(__xludf.DUMMYFUNCTION("""COMPUTED_VALUE"""),"PTS")</f>
        <v>PTS</v>
      </c>
      <c r="Q2240" s="4" t="str">
        <f>IFERROR(__xludf.DUMMYFUNCTION("""COMPUTED_VALUE"""),"TRB")</f>
        <v>TRB</v>
      </c>
      <c r="R2240" s="4" t="str">
        <f>IFERROR(__xludf.DUMMYFUNCTION("""COMPUTED_VALUE"""),"AST")</f>
        <v>AST</v>
      </c>
      <c r="S2240" s="4" t="str">
        <f>IFERROR(__xludf.DUMMYFUNCTION("""COMPUTED_VALUE"""),"WS")</f>
        <v>WS</v>
      </c>
      <c r="T2240" s="4" t="str">
        <f>IFERROR(__xludf.DUMMYFUNCTION("""COMPUTED_VALUE"""),"WS/48")</f>
        <v>WS/48</v>
      </c>
      <c r="U2240" s="4" t="str">
        <f>IFERROR(__xludf.DUMMYFUNCTION("""COMPUTED_VALUE"""),"BPM")</f>
        <v>BPM</v>
      </c>
      <c r="V2240" s="4" t="str">
        <f>IFERROR(__xludf.DUMMYFUNCTION("""COMPUTED_VALUE"""),"VORP")</f>
        <v>VORP</v>
      </c>
    </row>
    <row r="2241">
      <c r="A2241" s="4">
        <f>IFERROR(__xludf.DUMMYFUNCTION("""COMPUTED_VALUE"""),28.0)</f>
        <v>28</v>
      </c>
      <c r="B2241" s="4">
        <f>IFERROR(__xludf.DUMMYFUNCTION("""COMPUTED_VALUE"""),28.0)</f>
        <v>28</v>
      </c>
      <c r="C2241" s="4" t="str">
        <f>IFERROR(__xludf.DUMMYFUNCTION("""COMPUTED_VALUE"""),"CHH")</f>
        <v>CHH</v>
      </c>
      <c r="D2241" s="4" t="str">
        <f>IFERROR(__xludf.DUMMYFUNCTION("""COMPUTED_VALUE"""),"Kevin Lynch")</f>
        <v>Kevin Lynch</v>
      </c>
      <c r="E2241" s="4" t="str">
        <f>IFERROR(__xludf.DUMMYFUNCTION("""COMPUTED_VALUE"""),"Minnesota")</f>
        <v>Minnesota</v>
      </c>
      <c r="F2241" s="4">
        <f>IFERROR(__xludf.DUMMYFUNCTION("""COMPUTED_VALUE"""),2.0)</f>
        <v>2</v>
      </c>
      <c r="G2241" s="4">
        <f>IFERROR(__xludf.DUMMYFUNCTION("""COMPUTED_VALUE"""),95.0)</f>
        <v>95</v>
      </c>
      <c r="H2241" s="4">
        <f>IFERROR(__xludf.DUMMYFUNCTION("""COMPUTED_VALUE"""),1143.0)</f>
        <v>1143</v>
      </c>
      <c r="I2241" s="4">
        <f>IFERROR(__xludf.DUMMYFUNCTION("""COMPUTED_VALUE"""),310.0)</f>
        <v>310</v>
      </c>
      <c r="J2241" s="4">
        <f>IFERROR(__xludf.DUMMYFUNCTION("""COMPUTED_VALUE"""),120.0)</f>
        <v>120</v>
      </c>
      <c r="K2241" s="4">
        <f>IFERROR(__xludf.DUMMYFUNCTION("""COMPUTED_VALUE"""),108.0)</f>
        <v>108</v>
      </c>
      <c r="L2241" s="4">
        <f>IFERROR(__xludf.DUMMYFUNCTION("""COMPUTED_VALUE"""),0.436)</f>
        <v>0.436</v>
      </c>
      <c r="M2241" s="4">
        <f>IFERROR(__xludf.DUMMYFUNCTION("""COMPUTED_VALUE"""),0.333)</f>
        <v>0.333</v>
      </c>
      <c r="N2241" s="4">
        <f>IFERROR(__xludf.DUMMYFUNCTION("""COMPUTED_VALUE"""),0.726)</f>
        <v>0.726</v>
      </c>
      <c r="O2241" s="4">
        <f>IFERROR(__xludf.DUMMYFUNCTION("""COMPUTED_VALUE"""),12.0)</f>
        <v>12</v>
      </c>
      <c r="P2241" s="4">
        <f>IFERROR(__xludf.DUMMYFUNCTION("""COMPUTED_VALUE"""),3.3)</f>
        <v>3.3</v>
      </c>
      <c r="Q2241" s="4">
        <f>IFERROR(__xludf.DUMMYFUNCTION("""COMPUTED_VALUE"""),1.3)</f>
        <v>1.3</v>
      </c>
      <c r="R2241" s="4">
        <f>IFERROR(__xludf.DUMMYFUNCTION("""COMPUTED_VALUE"""),1.1)</f>
        <v>1.1</v>
      </c>
      <c r="S2241" s="4">
        <f>IFERROR(__xludf.DUMMYFUNCTION("""COMPUTED_VALUE"""),0.4)</f>
        <v>0.4</v>
      </c>
      <c r="T2241" s="4">
        <f>IFERROR(__xludf.DUMMYFUNCTION("""COMPUTED_VALUE"""),0.016)</f>
        <v>0.016</v>
      </c>
      <c r="U2241" s="4">
        <f>IFERROR(__xludf.DUMMYFUNCTION("""COMPUTED_VALUE"""),-4.4)</f>
        <v>-4.4</v>
      </c>
      <c r="V2241" s="4">
        <f>IFERROR(__xludf.DUMMYFUNCTION("""COMPUTED_VALUE"""),-0.7)</f>
        <v>-0.7</v>
      </c>
    </row>
    <row r="2242">
      <c r="A2242" s="4">
        <f>IFERROR(__xludf.DUMMYFUNCTION("""COMPUTED_VALUE"""),29.0)</f>
        <v>29</v>
      </c>
      <c r="B2242" s="4">
        <f>IFERROR(__xludf.DUMMYFUNCTION("""COMPUTED_VALUE"""),29.0)</f>
        <v>29</v>
      </c>
      <c r="C2242" s="4" t="str">
        <f>IFERROR(__xludf.DUMMYFUNCTION("""COMPUTED_VALUE"""),"MIA")</f>
        <v>MIA</v>
      </c>
      <c r="D2242" s="4" t="str">
        <f>IFERROR(__xludf.DUMMYFUNCTION("""COMPUTED_VALUE"""),"George Ackles")</f>
        <v>George Ackles</v>
      </c>
      <c r="E2242" s="4" t="str">
        <f>IFERROR(__xludf.DUMMYFUNCTION("""COMPUTED_VALUE"""),"UNLV")</f>
        <v>UNLV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</row>
    <row r="2243">
      <c r="A2243" s="4">
        <f>IFERROR(__xludf.DUMMYFUNCTION("""COMPUTED_VALUE"""),30.0)</f>
        <v>30</v>
      </c>
      <c r="B2243" s="4">
        <f>IFERROR(__xludf.DUMMYFUNCTION("""COMPUTED_VALUE"""),30.0)</f>
        <v>30</v>
      </c>
      <c r="C2243" s="4" t="str">
        <f>IFERROR(__xludf.DUMMYFUNCTION("""COMPUTED_VALUE"""),"ATL")</f>
        <v>ATL</v>
      </c>
      <c r="D2243" s="4" t="str">
        <f>IFERROR(__xludf.DUMMYFUNCTION("""COMPUTED_VALUE"""),"Rodney Monroe")</f>
        <v>Rodney Monroe</v>
      </c>
      <c r="E2243" s="4" t="str">
        <f>IFERROR(__xludf.DUMMYFUNCTION("""COMPUTED_VALUE"""),"NC State")</f>
        <v>NC State</v>
      </c>
      <c r="F2243" s="4">
        <f>IFERROR(__xludf.DUMMYFUNCTION("""COMPUTED_VALUE"""),1.0)</f>
        <v>1</v>
      </c>
      <c r="G2243" s="4">
        <f>IFERROR(__xludf.DUMMYFUNCTION("""COMPUTED_VALUE"""),38.0)</f>
        <v>38</v>
      </c>
      <c r="H2243" s="4">
        <f>IFERROR(__xludf.DUMMYFUNCTION("""COMPUTED_VALUE"""),313.0)</f>
        <v>313</v>
      </c>
      <c r="I2243" s="4">
        <f>IFERROR(__xludf.DUMMYFUNCTION("""COMPUTED_VALUE"""),131.0)</f>
        <v>131</v>
      </c>
      <c r="J2243" s="4">
        <f>IFERROR(__xludf.DUMMYFUNCTION("""COMPUTED_VALUE"""),33.0)</f>
        <v>33</v>
      </c>
      <c r="K2243" s="4">
        <f>IFERROR(__xludf.DUMMYFUNCTION("""COMPUTED_VALUE"""),27.0)</f>
        <v>27</v>
      </c>
      <c r="L2243" s="4">
        <f>IFERROR(__xludf.DUMMYFUNCTION("""COMPUTED_VALUE"""),0.368)</f>
        <v>0.368</v>
      </c>
      <c r="M2243" s="4">
        <f>IFERROR(__xludf.DUMMYFUNCTION("""COMPUTED_VALUE"""),0.222)</f>
        <v>0.222</v>
      </c>
      <c r="N2243" s="4">
        <f>IFERROR(__xludf.DUMMYFUNCTION("""COMPUTED_VALUE"""),0.826)</f>
        <v>0.826</v>
      </c>
      <c r="O2243" s="4">
        <f>IFERROR(__xludf.DUMMYFUNCTION("""COMPUTED_VALUE"""),8.2)</f>
        <v>8.2</v>
      </c>
      <c r="P2243" s="4">
        <f>IFERROR(__xludf.DUMMYFUNCTION("""COMPUTED_VALUE"""),3.4)</f>
        <v>3.4</v>
      </c>
      <c r="Q2243" s="4">
        <f>IFERROR(__xludf.DUMMYFUNCTION("""COMPUTED_VALUE"""),0.9)</f>
        <v>0.9</v>
      </c>
      <c r="R2243" s="4">
        <f>IFERROR(__xludf.DUMMYFUNCTION("""COMPUTED_VALUE"""),0.7)</f>
        <v>0.7</v>
      </c>
      <c r="S2243" s="4">
        <f>IFERROR(__xludf.DUMMYFUNCTION("""COMPUTED_VALUE"""),-0.2)</f>
        <v>-0.2</v>
      </c>
      <c r="T2243" s="4">
        <f>IFERROR(__xludf.DUMMYFUNCTION("""COMPUTED_VALUE"""),-0.035)</f>
        <v>-0.035</v>
      </c>
      <c r="U2243" s="4">
        <f>IFERROR(__xludf.DUMMYFUNCTION("""COMPUTED_VALUE"""),-5.3)</f>
        <v>-5.3</v>
      </c>
      <c r="V2243" s="4">
        <f>IFERROR(__xludf.DUMMYFUNCTION("""COMPUTED_VALUE"""),-0.3)</f>
        <v>-0.3</v>
      </c>
    </row>
    <row r="2244">
      <c r="A2244" s="4">
        <f>IFERROR(__xludf.DUMMYFUNCTION("""COMPUTED_VALUE"""),31.0)</f>
        <v>31</v>
      </c>
      <c r="B2244" s="4">
        <f>IFERROR(__xludf.DUMMYFUNCTION("""COMPUTED_VALUE"""),31.0)</f>
        <v>31</v>
      </c>
      <c r="C2244" s="4" t="str">
        <f>IFERROR(__xludf.DUMMYFUNCTION("""COMPUTED_VALUE"""),"SAC")</f>
        <v>SAC</v>
      </c>
      <c r="D2244" s="4" t="str">
        <f>IFERROR(__xludf.DUMMYFUNCTION("""COMPUTED_VALUE"""),"Randy Brown")</f>
        <v>Randy Brown</v>
      </c>
      <c r="E2244" s="4" t="str">
        <f>IFERROR(__xludf.DUMMYFUNCTION("""COMPUTED_VALUE"""),"New Mexico State")</f>
        <v>New Mexico State</v>
      </c>
      <c r="F2244" s="4">
        <f>IFERROR(__xludf.DUMMYFUNCTION("""COMPUTED_VALUE"""),12.0)</f>
        <v>12</v>
      </c>
      <c r="G2244" s="4">
        <f>IFERROR(__xludf.DUMMYFUNCTION("""COMPUTED_VALUE"""),655.0)</f>
        <v>655</v>
      </c>
      <c r="H2244" s="4">
        <f>IFERROR(__xludf.DUMMYFUNCTION("""COMPUTED_VALUE"""),11533.0)</f>
        <v>11533</v>
      </c>
      <c r="I2244" s="4">
        <f>IFERROR(__xludf.DUMMYFUNCTION("""COMPUTED_VALUE"""),3148.0)</f>
        <v>3148</v>
      </c>
      <c r="J2244" s="4">
        <f>IFERROR(__xludf.DUMMYFUNCTION("""COMPUTED_VALUE"""),1173.0)</f>
        <v>1173</v>
      </c>
      <c r="K2244" s="4">
        <f>IFERROR(__xludf.DUMMYFUNCTION("""COMPUTED_VALUE"""),1420.0)</f>
        <v>1420</v>
      </c>
      <c r="L2244" s="4">
        <f>IFERROR(__xludf.DUMMYFUNCTION("""COMPUTED_VALUE"""),0.417)</f>
        <v>0.417</v>
      </c>
      <c r="M2244" s="4">
        <f>IFERROR(__xludf.DUMMYFUNCTION("""COMPUTED_VALUE"""),0.2)</f>
        <v>0.2</v>
      </c>
      <c r="N2244" s="4">
        <f>IFERROR(__xludf.DUMMYFUNCTION("""COMPUTED_VALUE"""),0.691)</f>
        <v>0.691</v>
      </c>
      <c r="O2244" s="4">
        <f>IFERROR(__xludf.DUMMYFUNCTION("""COMPUTED_VALUE"""),17.6)</f>
        <v>17.6</v>
      </c>
      <c r="P2244" s="4">
        <f>IFERROR(__xludf.DUMMYFUNCTION("""COMPUTED_VALUE"""),4.8)</f>
        <v>4.8</v>
      </c>
      <c r="Q2244" s="4">
        <f>IFERROR(__xludf.DUMMYFUNCTION("""COMPUTED_VALUE"""),1.8)</f>
        <v>1.8</v>
      </c>
      <c r="R2244" s="4">
        <f>IFERROR(__xludf.DUMMYFUNCTION("""COMPUTED_VALUE"""),2.2)</f>
        <v>2.2</v>
      </c>
      <c r="S2244" s="4">
        <f>IFERROR(__xludf.DUMMYFUNCTION("""COMPUTED_VALUE"""),11.0)</f>
        <v>11</v>
      </c>
      <c r="T2244" s="4">
        <f>IFERROR(__xludf.DUMMYFUNCTION("""COMPUTED_VALUE"""),0.046)</f>
        <v>0.046</v>
      </c>
      <c r="U2244" s="4">
        <f>IFERROR(__xludf.DUMMYFUNCTION("""COMPUTED_VALUE"""),-1.9)</f>
        <v>-1.9</v>
      </c>
      <c r="V2244" s="4">
        <f>IFERROR(__xludf.DUMMYFUNCTION("""COMPUTED_VALUE"""),0.2)</f>
        <v>0.2</v>
      </c>
    </row>
    <row r="2245">
      <c r="A2245" s="4">
        <f>IFERROR(__xludf.DUMMYFUNCTION("""COMPUTED_VALUE"""),32.0)</f>
        <v>32</v>
      </c>
      <c r="B2245" s="4">
        <f>IFERROR(__xludf.DUMMYFUNCTION("""COMPUTED_VALUE"""),32.0)</f>
        <v>32</v>
      </c>
      <c r="C2245" s="4" t="str">
        <f>IFERROR(__xludf.DUMMYFUNCTION("""COMPUTED_VALUE"""),"PHO")</f>
        <v>PHO</v>
      </c>
      <c r="D2245" s="4" t="str">
        <f>IFERROR(__xludf.DUMMYFUNCTION("""COMPUTED_VALUE"""),"Chad Gallagher")</f>
        <v>Chad Gallagher</v>
      </c>
      <c r="E2245" s="4" t="str">
        <f>IFERROR(__xludf.DUMMYFUNCTION("""COMPUTED_VALUE"""),"Creighton")</f>
        <v>Creighton</v>
      </c>
      <c r="F2245" s="4">
        <f>IFERROR(__xludf.DUMMYFUNCTION("""COMPUTED_VALUE"""),1.0)</f>
        <v>1</v>
      </c>
      <c r="G2245" s="4">
        <f>IFERROR(__xludf.DUMMYFUNCTION("""COMPUTED_VALUE"""),2.0)</f>
        <v>2</v>
      </c>
      <c r="H2245" s="4">
        <f>IFERROR(__xludf.DUMMYFUNCTION("""COMPUTED_VALUE"""),3.0)</f>
        <v>3</v>
      </c>
      <c r="I2245" s="4">
        <f>IFERROR(__xludf.DUMMYFUNCTION("""COMPUTED_VALUE"""),6.0)</f>
        <v>6</v>
      </c>
      <c r="J2245" s="4">
        <f>IFERROR(__xludf.DUMMYFUNCTION("""COMPUTED_VALUE"""),0.0)</f>
        <v>0</v>
      </c>
      <c r="K2245" s="4">
        <f>IFERROR(__xludf.DUMMYFUNCTION("""COMPUTED_VALUE"""),0.0)</f>
        <v>0</v>
      </c>
      <c r="L2245" s="4">
        <f>IFERROR(__xludf.DUMMYFUNCTION("""COMPUTED_VALUE"""),1.0)</f>
        <v>1</v>
      </c>
      <c r="M2245" s="4"/>
      <c r="N2245" s="4"/>
      <c r="O2245" s="4">
        <f>IFERROR(__xludf.DUMMYFUNCTION("""COMPUTED_VALUE"""),1.5)</f>
        <v>1.5</v>
      </c>
      <c r="P2245" s="4">
        <f>IFERROR(__xludf.DUMMYFUNCTION("""COMPUTED_VALUE"""),3.0)</f>
        <v>3</v>
      </c>
      <c r="Q2245" s="4">
        <f>IFERROR(__xludf.DUMMYFUNCTION("""COMPUTED_VALUE"""),0.0)</f>
        <v>0</v>
      </c>
      <c r="R2245" s="4">
        <f>IFERROR(__xludf.DUMMYFUNCTION("""COMPUTED_VALUE"""),0.0)</f>
        <v>0</v>
      </c>
      <c r="S2245" s="4">
        <f>IFERROR(__xludf.DUMMYFUNCTION("""COMPUTED_VALUE"""),0.1)</f>
        <v>0.1</v>
      </c>
      <c r="T2245" s="4">
        <f>IFERROR(__xludf.DUMMYFUNCTION("""COMPUTED_VALUE"""),1.442)</f>
        <v>1.442</v>
      </c>
      <c r="U2245" s="4">
        <f>IFERROR(__xludf.DUMMYFUNCTION("""COMPUTED_VALUE"""),30.1)</f>
        <v>30.1</v>
      </c>
      <c r="V2245" s="4">
        <f>IFERROR(__xludf.DUMMYFUNCTION("""COMPUTED_VALUE"""),0.0)</f>
        <v>0</v>
      </c>
    </row>
    <row r="2246">
      <c r="A2246" s="4">
        <f>IFERROR(__xludf.DUMMYFUNCTION("""COMPUTED_VALUE"""),33.0)</f>
        <v>33</v>
      </c>
      <c r="B2246" s="4">
        <f>IFERROR(__xludf.DUMMYFUNCTION("""COMPUTED_VALUE"""),33.0)</f>
        <v>33</v>
      </c>
      <c r="C2246" s="4" t="str">
        <f>IFERROR(__xludf.DUMMYFUNCTION("""COMPUTED_VALUE"""),"DAL")</f>
        <v>DAL</v>
      </c>
      <c r="D2246" s="4" t="str">
        <f>IFERROR(__xludf.DUMMYFUNCTION("""COMPUTED_VALUE"""),"Donald Hodge")</f>
        <v>Donald Hodge</v>
      </c>
      <c r="E2246" s="4" t="str">
        <f>IFERROR(__xludf.DUMMYFUNCTION("""COMPUTED_VALUE"""),"Temple")</f>
        <v>Temple</v>
      </c>
      <c r="F2246" s="4">
        <f>IFERROR(__xludf.DUMMYFUNCTION("""COMPUTED_VALUE"""),5.0)</f>
        <v>5</v>
      </c>
      <c r="G2246" s="4">
        <f>IFERROR(__xludf.DUMMYFUNCTION("""COMPUTED_VALUE"""),249.0)</f>
        <v>249</v>
      </c>
      <c r="H2246" s="4">
        <f>IFERROR(__xludf.DUMMYFUNCTION("""COMPUTED_VALUE"""),3501.0)</f>
        <v>3501</v>
      </c>
      <c r="I2246" s="4">
        <f>IFERROR(__xludf.DUMMYFUNCTION("""COMPUTED_VALUE"""),1182.0)</f>
        <v>1182</v>
      </c>
      <c r="J2246" s="4">
        <f>IFERROR(__xludf.DUMMYFUNCTION("""COMPUTED_VALUE"""),809.0)</f>
        <v>809</v>
      </c>
      <c r="K2246" s="4">
        <f>IFERROR(__xludf.DUMMYFUNCTION("""COMPUTED_VALUE"""),191.0)</f>
        <v>191</v>
      </c>
      <c r="L2246" s="4">
        <f>IFERROR(__xludf.DUMMYFUNCTION("""COMPUTED_VALUE"""),0.437)</f>
        <v>0.437</v>
      </c>
      <c r="M2246" s="4">
        <f>IFERROR(__xludf.DUMMYFUNCTION("""COMPUTED_VALUE"""),0.286)</f>
        <v>0.286</v>
      </c>
      <c r="N2246" s="4">
        <f>IFERROR(__xludf.DUMMYFUNCTION("""COMPUTED_VALUE"""),0.711)</f>
        <v>0.711</v>
      </c>
      <c r="O2246" s="4">
        <f>IFERROR(__xludf.DUMMYFUNCTION("""COMPUTED_VALUE"""),14.1)</f>
        <v>14.1</v>
      </c>
      <c r="P2246" s="4">
        <f>IFERROR(__xludf.DUMMYFUNCTION("""COMPUTED_VALUE"""),4.7)</f>
        <v>4.7</v>
      </c>
      <c r="Q2246" s="4">
        <f>IFERROR(__xludf.DUMMYFUNCTION("""COMPUTED_VALUE"""),3.2)</f>
        <v>3.2</v>
      </c>
      <c r="R2246" s="4">
        <f>IFERROR(__xludf.DUMMYFUNCTION("""COMPUTED_VALUE"""),0.8)</f>
        <v>0.8</v>
      </c>
      <c r="S2246" s="4">
        <f>IFERROR(__xludf.DUMMYFUNCTION("""COMPUTED_VALUE"""),1.8)</f>
        <v>1.8</v>
      </c>
      <c r="T2246" s="4">
        <f>IFERROR(__xludf.DUMMYFUNCTION("""COMPUTED_VALUE"""),0.025)</f>
        <v>0.025</v>
      </c>
      <c r="U2246" s="4">
        <f>IFERROR(__xludf.DUMMYFUNCTION("""COMPUTED_VALUE"""),-4.2)</f>
        <v>-4.2</v>
      </c>
      <c r="V2246" s="4">
        <f>IFERROR(__xludf.DUMMYFUNCTION("""COMPUTED_VALUE"""),-1.9)</f>
        <v>-1.9</v>
      </c>
    </row>
    <row r="2247">
      <c r="A2247" s="4">
        <f>IFERROR(__xludf.DUMMYFUNCTION("""COMPUTED_VALUE"""),34.0)</f>
        <v>34</v>
      </c>
      <c r="B2247" s="4">
        <f>IFERROR(__xludf.DUMMYFUNCTION("""COMPUTED_VALUE"""),34.0)</f>
        <v>34</v>
      </c>
      <c r="C2247" s="4" t="str">
        <f>IFERROR(__xludf.DUMMYFUNCTION("""COMPUTED_VALUE"""),"MIN")</f>
        <v>MIN</v>
      </c>
      <c r="D2247" s="4" t="str">
        <f>IFERROR(__xludf.DUMMYFUNCTION("""COMPUTED_VALUE"""),"Myron Brown")</f>
        <v>Myron Brown</v>
      </c>
      <c r="E2247" s="4" t="str">
        <f>IFERROR(__xludf.DUMMYFUNCTION("""COMPUTED_VALUE"""),"Slippery Rock University of Pennsylvania")</f>
        <v>Slippery Rock University of Pennsylvania</v>
      </c>
      <c r="F2247" s="4">
        <f>IFERROR(__xludf.DUMMYFUNCTION("""COMPUTED_VALUE"""),1.0)</f>
        <v>1</v>
      </c>
      <c r="G2247" s="4">
        <f>IFERROR(__xludf.DUMMYFUNCTION("""COMPUTED_VALUE"""),4.0)</f>
        <v>4</v>
      </c>
      <c r="H2247" s="4">
        <f>IFERROR(__xludf.DUMMYFUNCTION("""COMPUTED_VALUE"""),23.0)</f>
        <v>23</v>
      </c>
      <c r="I2247" s="4">
        <f>IFERROR(__xludf.DUMMYFUNCTION("""COMPUTED_VALUE"""),9.0)</f>
        <v>9</v>
      </c>
      <c r="J2247" s="4">
        <f>IFERROR(__xludf.DUMMYFUNCTION("""COMPUTED_VALUE"""),3.0)</f>
        <v>3</v>
      </c>
      <c r="K2247" s="4">
        <f>IFERROR(__xludf.DUMMYFUNCTION("""COMPUTED_VALUE"""),6.0)</f>
        <v>6</v>
      </c>
      <c r="L2247" s="4">
        <f>IFERROR(__xludf.DUMMYFUNCTION("""COMPUTED_VALUE"""),0.667)</f>
        <v>0.667</v>
      </c>
      <c r="M2247" s="4">
        <f>IFERROR(__xludf.DUMMYFUNCTION("""COMPUTED_VALUE"""),0.333)</f>
        <v>0.333</v>
      </c>
      <c r="N2247" s="4"/>
      <c r="O2247" s="4">
        <f>IFERROR(__xludf.DUMMYFUNCTION("""COMPUTED_VALUE"""),5.8)</f>
        <v>5.8</v>
      </c>
      <c r="P2247" s="4">
        <f>IFERROR(__xludf.DUMMYFUNCTION("""COMPUTED_VALUE"""),2.3)</f>
        <v>2.3</v>
      </c>
      <c r="Q2247" s="4">
        <f>IFERROR(__xludf.DUMMYFUNCTION("""COMPUTED_VALUE"""),0.8)</f>
        <v>0.8</v>
      </c>
      <c r="R2247" s="4">
        <f>IFERROR(__xludf.DUMMYFUNCTION("""COMPUTED_VALUE"""),1.5)</f>
        <v>1.5</v>
      </c>
      <c r="S2247" s="4">
        <f>IFERROR(__xludf.DUMMYFUNCTION("""COMPUTED_VALUE"""),0.0)</f>
        <v>0</v>
      </c>
      <c r="T2247" s="4">
        <f>IFERROR(__xludf.DUMMYFUNCTION("""COMPUTED_VALUE"""),0.032)</f>
        <v>0.032</v>
      </c>
      <c r="U2247" s="4">
        <f>IFERROR(__xludf.DUMMYFUNCTION("""COMPUTED_VALUE"""),-1.8)</f>
        <v>-1.8</v>
      </c>
      <c r="V2247" s="4">
        <f>IFERROR(__xludf.DUMMYFUNCTION("""COMPUTED_VALUE"""),0.0)</f>
        <v>0</v>
      </c>
    </row>
    <row r="2248">
      <c r="A2248" s="4">
        <f>IFERROR(__xludf.DUMMYFUNCTION("""COMPUTED_VALUE"""),35.0)</f>
        <v>35</v>
      </c>
      <c r="B2248" s="4">
        <f>IFERROR(__xludf.DUMMYFUNCTION("""COMPUTED_VALUE"""),35.0)</f>
        <v>35</v>
      </c>
      <c r="C2248" s="4" t="str">
        <f>IFERROR(__xludf.DUMMYFUNCTION("""COMPUTED_VALUE"""),"DAL")</f>
        <v>DAL</v>
      </c>
      <c r="D2248" s="4" t="str">
        <f>IFERROR(__xludf.DUMMYFUNCTION("""COMPUTED_VALUE"""),"Mike Iuzzolino")</f>
        <v>Mike Iuzzolino</v>
      </c>
      <c r="E2248" s="4" t="str">
        <f>IFERROR(__xludf.DUMMYFUNCTION("""COMPUTED_VALUE"""),"Saint Francis University")</f>
        <v>Saint Francis University</v>
      </c>
      <c r="F2248" s="4">
        <f>IFERROR(__xludf.DUMMYFUNCTION("""COMPUTED_VALUE"""),2.0)</f>
        <v>2</v>
      </c>
      <c r="G2248" s="4">
        <f>IFERROR(__xludf.DUMMYFUNCTION("""COMPUTED_VALUE"""),122.0)</f>
        <v>122</v>
      </c>
      <c r="H2248" s="4">
        <f>IFERROR(__xludf.DUMMYFUNCTION("""COMPUTED_VALUE"""),3049.0)</f>
        <v>3049</v>
      </c>
      <c r="I2248" s="4">
        <f>IFERROR(__xludf.DUMMYFUNCTION("""COMPUTED_VALUE"""),1096.0)</f>
        <v>1096</v>
      </c>
      <c r="J2248" s="4">
        <f>IFERROR(__xludf.DUMMYFUNCTION("""COMPUTED_VALUE"""),238.0)</f>
        <v>238</v>
      </c>
      <c r="K2248" s="4">
        <f>IFERROR(__xludf.DUMMYFUNCTION("""COMPUTED_VALUE"""),522.0)</f>
        <v>522</v>
      </c>
      <c r="L2248" s="4">
        <f>IFERROR(__xludf.DUMMYFUNCTION("""COMPUTED_VALUE"""),0.457)</f>
        <v>0.457</v>
      </c>
      <c r="M2248" s="4">
        <f>IFERROR(__xludf.DUMMYFUNCTION("""COMPUTED_VALUE"""),0.404)</f>
        <v>0.404</v>
      </c>
      <c r="N2248" s="4">
        <f>IFERROR(__xludf.DUMMYFUNCTION("""COMPUTED_VALUE"""),0.798)</f>
        <v>0.798</v>
      </c>
      <c r="O2248" s="4">
        <f>IFERROR(__xludf.DUMMYFUNCTION("""COMPUTED_VALUE"""),25.0)</f>
        <v>25</v>
      </c>
      <c r="P2248" s="4">
        <f>IFERROR(__xludf.DUMMYFUNCTION("""COMPUTED_VALUE"""),9.0)</f>
        <v>9</v>
      </c>
      <c r="Q2248" s="4">
        <f>IFERROR(__xludf.DUMMYFUNCTION("""COMPUTED_VALUE"""),2.0)</f>
        <v>2</v>
      </c>
      <c r="R2248" s="4">
        <f>IFERROR(__xludf.DUMMYFUNCTION("""COMPUTED_VALUE"""),4.3)</f>
        <v>4.3</v>
      </c>
      <c r="S2248" s="4">
        <f>IFERROR(__xludf.DUMMYFUNCTION("""COMPUTED_VALUE"""),3.7)</f>
        <v>3.7</v>
      </c>
      <c r="T2248" s="4">
        <f>IFERROR(__xludf.DUMMYFUNCTION("""COMPUTED_VALUE"""),0.058)</f>
        <v>0.058</v>
      </c>
      <c r="U2248" s="4">
        <f>IFERROR(__xludf.DUMMYFUNCTION("""COMPUTED_VALUE"""),-1.9)</f>
        <v>-1.9</v>
      </c>
      <c r="V2248" s="4">
        <f>IFERROR(__xludf.DUMMYFUNCTION("""COMPUTED_VALUE"""),0.1)</f>
        <v>0.1</v>
      </c>
    </row>
    <row r="2249">
      <c r="A2249" s="4">
        <f>IFERROR(__xludf.DUMMYFUNCTION("""COMPUTED_VALUE"""),36.0)</f>
        <v>36</v>
      </c>
      <c r="B2249" s="4">
        <f>IFERROR(__xludf.DUMMYFUNCTION("""COMPUTED_VALUE"""),36.0)</f>
        <v>36</v>
      </c>
      <c r="C2249" s="4" t="str">
        <f>IFERROR(__xludf.DUMMYFUNCTION("""COMPUTED_VALUE"""),"ORL")</f>
        <v>ORL</v>
      </c>
      <c r="D2249" s="4" t="str">
        <f>IFERROR(__xludf.DUMMYFUNCTION("""COMPUTED_VALUE"""),"Chris Corchiani")</f>
        <v>Chris Corchiani</v>
      </c>
      <c r="E2249" s="4" t="str">
        <f>IFERROR(__xludf.DUMMYFUNCTION("""COMPUTED_VALUE"""),"NC State")</f>
        <v>NC State</v>
      </c>
      <c r="F2249" s="4">
        <f>IFERROR(__xludf.DUMMYFUNCTION("""COMPUTED_VALUE"""),3.0)</f>
        <v>3</v>
      </c>
      <c r="G2249" s="4">
        <f>IFERROR(__xludf.DUMMYFUNCTION("""COMPUTED_VALUE"""),112.0)</f>
        <v>112</v>
      </c>
      <c r="H2249" s="4">
        <f>IFERROR(__xludf.DUMMYFUNCTION("""COMPUTED_VALUE"""),1313.0)</f>
        <v>1313</v>
      </c>
      <c r="I2249" s="4">
        <f>IFERROR(__xludf.DUMMYFUNCTION("""COMPUTED_VALUE"""),416.0)</f>
        <v>416</v>
      </c>
      <c r="J2249" s="4">
        <f>IFERROR(__xludf.DUMMYFUNCTION("""COMPUTED_VALUE"""),129.0)</f>
        <v>129</v>
      </c>
      <c r="K2249" s="4">
        <f>IFERROR(__xludf.DUMMYFUNCTION("""COMPUTED_VALUE"""),243.0)</f>
        <v>243</v>
      </c>
      <c r="L2249" s="4">
        <f>IFERROR(__xludf.DUMMYFUNCTION("""COMPUTED_VALUE"""),0.421)</f>
        <v>0.421</v>
      </c>
      <c r="M2249" s="4">
        <f>IFERROR(__xludf.DUMMYFUNCTION("""COMPUTED_VALUE"""),0.269)</f>
        <v>0.269</v>
      </c>
      <c r="N2249" s="4">
        <f>IFERROR(__xludf.DUMMYFUNCTION("""COMPUTED_VALUE"""),0.816)</f>
        <v>0.816</v>
      </c>
      <c r="O2249" s="4">
        <f>IFERROR(__xludf.DUMMYFUNCTION("""COMPUTED_VALUE"""),11.7)</f>
        <v>11.7</v>
      </c>
      <c r="P2249" s="4">
        <f>IFERROR(__xludf.DUMMYFUNCTION("""COMPUTED_VALUE"""),3.7)</f>
        <v>3.7</v>
      </c>
      <c r="Q2249" s="4">
        <f>IFERROR(__xludf.DUMMYFUNCTION("""COMPUTED_VALUE"""),1.2)</f>
        <v>1.2</v>
      </c>
      <c r="R2249" s="4">
        <f>IFERROR(__xludf.DUMMYFUNCTION("""COMPUTED_VALUE"""),2.2)</f>
        <v>2.2</v>
      </c>
      <c r="S2249" s="4">
        <f>IFERROR(__xludf.DUMMYFUNCTION("""COMPUTED_VALUE"""),1.6)</f>
        <v>1.6</v>
      </c>
      <c r="T2249" s="4">
        <f>IFERROR(__xludf.DUMMYFUNCTION("""COMPUTED_VALUE"""),0.058)</f>
        <v>0.058</v>
      </c>
      <c r="U2249" s="4">
        <f>IFERROR(__xludf.DUMMYFUNCTION("""COMPUTED_VALUE"""),-1.8)</f>
        <v>-1.8</v>
      </c>
      <c r="V2249" s="4">
        <f>IFERROR(__xludf.DUMMYFUNCTION("""COMPUTED_VALUE"""),0.1)</f>
        <v>0.1</v>
      </c>
    </row>
    <row r="2250">
      <c r="A2250" s="4">
        <f>IFERROR(__xludf.DUMMYFUNCTION("""COMPUTED_VALUE"""),37.0)</f>
        <v>37</v>
      </c>
      <c r="B2250" s="4">
        <f>IFERROR(__xludf.DUMMYFUNCTION("""COMPUTED_VALUE"""),37.0)</f>
        <v>37</v>
      </c>
      <c r="C2250" s="4" t="str">
        <f>IFERROR(__xludf.DUMMYFUNCTION("""COMPUTED_VALUE"""),"LAC")</f>
        <v>LAC</v>
      </c>
      <c r="D2250" s="4" t="str">
        <f>IFERROR(__xludf.DUMMYFUNCTION("""COMPUTED_VALUE"""),"Elliot Perry")</f>
        <v>Elliot Perry</v>
      </c>
      <c r="E2250" s="4" t="str">
        <f>IFERROR(__xludf.DUMMYFUNCTION("""COMPUTED_VALUE"""),"Memphis")</f>
        <v>Memphis</v>
      </c>
      <c r="F2250" s="4">
        <f>IFERROR(__xludf.DUMMYFUNCTION("""COMPUTED_VALUE"""),10.0)</f>
        <v>10</v>
      </c>
      <c r="G2250" s="4">
        <f>IFERROR(__xludf.DUMMYFUNCTION("""COMPUTED_VALUE"""),549.0)</f>
        <v>549</v>
      </c>
      <c r="H2250" s="4">
        <f>IFERROR(__xludf.DUMMYFUNCTION("""COMPUTED_VALUE"""),9501.0)</f>
        <v>9501</v>
      </c>
      <c r="I2250" s="4">
        <f>IFERROR(__xludf.DUMMYFUNCTION("""COMPUTED_VALUE"""),3449.0)</f>
        <v>3449</v>
      </c>
      <c r="J2250" s="4">
        <f>IFERROR(__xludf.DUMMYFUNCTION("""COMPUTED_VALUE"""),742.0)</f>
        <v>742</v>
      </c>
      <c r="K2250" s="4">
        <f>IFERROR(__xludf.DUMMYFUNCTION("""COMPUTED_VALUE"""),1699.0)</f>
        <v>1699</v>
      </c>
      <c r="L2250" s="4">
        <f>IFERROR(__xludf.DUMMYFUNCTION("""COMPUTED_VALUE"""),0.459)</f>
        <v>0.459</v>
      </c>
      <c r="M2250" s="4">
        <f>IFERROR(__xludf.DUMMYFUNCTION("""COMPUTED_VALUE"""),0.359)</f>
        <v>0.359</v>
      </c>
      <c r="N2250" s="4">
        <f>IFERROR(__xludf.DUMMYFUNCTION("""COMPUTED_VALUE"""),0.783)</f>
        <v>0.783</v>
      </c>
      <c r="O2250" s="4">
        <f>IFERROR(__xludf.DUMMYFUNCTION("""COMPUTED_VALUE"""),17.3)</f>
        <v>17.3</v>
      </c>
      <c r="P2250" s="4">
        <f>IFERROR(__xludf.DUMMYFUNCTION("""COMPUTED_VALUE"""),6.3)</f>
        <v>6.3</v>
      </c>
      <c r="Q2250" s="4">
        <f>IFERROR(__xludf.DUMMYFUNCTION("""COMPUTED_VALUE"""),1.4)</f>
        <v>1.4</v>
      </c>
      <c r="R2250" s="4">
        <f>IFERROR(__xludf.DUMMYFUNCTION("""COMPUTED_VALUE"""),3.1)</f>
        <v>3.1</v>
      </c>
      <c r="S2250" s="4">
        <f>IFERROR(__xludf.DUMMYFUNCTION("""COMPUTED_VALUE"""),14.0)</f>
        <v>14</v>
      </c>
      <c r="T2250" s="4">
        <f>IFERROR(__xludf.DUMMYFUNCTION("""COMPUTED_VALUE"""),0.071)</f>
        <v>0.071</v>
      </c>
      <c r="U2250" s="4">
        <f>IFERROR(__xludf.DUMMYFUNCTION("""COMPUTED_VALUE"""),-0.5)</f>
        <v>-0.5</v>
      </c>
      <c r="V2250" s="4">
        <f>IFERROR(__xludf.DUMMYFUNCTION("""COMPUTED_VALUE"""),3.6)</f>
        <v>3.6</v>
      </c>
    </row>
    <row r="2251">
      <c r="A2251" s="4">
        <f>IFERROR(__xludf.DUMMYFUNCTION("""COMPUTED_VALUE"""),38.0)</f>
        <v>38</v>
      </c>
      <c r="B2251" s="4">
        <f>IFERROR(__xludf.DUMMYFUNCTION("""COMPUTED_VALUE"""),38.0)</f>
        <v>38</v>
      </c>
      <c r="C2251" s="4" t="str">
        <f>IFERROR(__xludf.DUMMYFUNCTION("""COMPUTED_VALUE"""),"LAC")</f>
        <v>LAC</v>
      </c>
      <c r="D2251" s="4" t="str">
        <f>IFERROR(__xludf.DUMMYFUNCTION("""COMPUTED_VALUE"""),"Joe Wylie")</f>
        <v>Joe Wylie</v>
      </c>
      <c r="E2251" s="4" t="str">
        <f>IFERROR(__xludf.DUMMYFUNCTION("""COMPUTED_VALUE"""),"Miami (FL)")</f>
        <v>Miami (FL)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</row>
    <row r="2252">
      <c r="A2252" s="4">
        <f>IFERROR(__xludf.DUMMYFUNCTION("""COMPUTED_VALUE"""),39.0)</f>
        <v>39</v>
      </c>
      <c r="B2252" s="4">
        <f>IFERROR(__xludf.DUMMYFUNCTION("""COMPUTED_VALUE"""),39.0)</f>
        <v>39</v>
      </c>
      <c r="C2252" s="4" t="str">
        <f>IFERROR(__xludf.DUMMYFUNCTION("""COMPUTED_VALUE"""),"CLE")</f>
        <v>CLE</v>
      </c>
      <c r="D2252" s="4" t="str">
        <f>IFERROR(__xludf.DUMMYFUNCTION("""COMPUTED_VALUE"""),"Jimmy Oliver")</f>
        <v>Jimmy Oliver</v>
      </c>
      <c r="E2252" s="4" t="str">
        <f>IFERROR(__xludf.DUMMYFUNCTION("""COMPUTED_VALUE"""),"Purdue")</f>
        <v>Purdue</v>
      </c>
      <c r="F2252" s="4">
        <f>IFERROR(__xludf.DUMMYFUNCTION("""COMPUTED_VALUE"""),5.0)</f>
        <v>5</v>
      </c>
      <c r="G2252" s="4">
        <f>IFERROR(__xludf.DUMMYFUNCTION("""COMPUTED_VALUE"""),78.0)</f>
        <v>78</v>
      </c>
      <c r="H2252" s="4">
        <f>IFERROR(__xludf.DUMMYFUNCTION("""COMPUTED_VALUE"""),856.0)</f>
        <v>856</v>
      </c>
      <c r="I2252" s="4">
        <f>IFERROR(__xludf.DUMMYFUNCTION("""COMPUTED_VALUE"""),331.0)</f>
        <v>331</v>
      </c>
      <c r="J2252" s="4">
        <f>IFERROR(__xludf.DUMMYFUNCTION("""COMPUTED_VALUE"""),80.0)</f>
        <v>80</v>
      </c>
      <c r="K2252" s="4">
        <f>IFERROR(__xludf.DUMMYFUNCTION("""COMPUTED_VALUE"""),55.0)</f>
        <v>55</v>
      </c>
      <c r="L2252" s="4">
        <f>IFERROR(__xludf.DUMMYFUNCTION("""COMPUTED_VALUE"""),0.407)</f>
        <v>0.407</v>
      </c>
      <c r="M2252" s="4">
        <f>IFERROR(__xludf.DUMMYFUNCTION("""COMPUTED_VALUE"""),0.34)</f>
        <v>0.34</v>
      </c>
      <c r="N2252" s="4">
        <f>IFERROR(__xludf.DUMMYFUNCTION("""COMPUTED_VALUE"""),0.772)</f>
        <v>0.772</v>
      </c>
      <c r="O2252" s="4">
        <f>IFERROR(__xludf.DUMMYFUNCTION("""COMPUTED_VALUE"""),11.0)</f>
        <v>11</v>
      </c>
      <c r="P2252" s="4">
        <f>IFERROR(__xludf.DUMMYFUNCTION("""COMPUTED_VALUE"""),4.2)</f>
        <v>4.2</v>
      </c>
      <c r="Q2252" s="4">
        <f>IFERROR(__xludf.DUMMYFUNCTION("""COMPUTED_VALUE"""),1.0)</f>
        <v>1</v>
      </c>
      <c r="R2252" s="4">
        <f>IFERROR(__xludf.DUMMYFUNCTION("""COMPUTED_VALUE"""),0.7)</f>
        <v>0.7</v>
      </c>
      <c r="S2252" s="4">
        <f>IFERROR(__xludf.DUMMYFUNCTION("""COMPUTED_VALUE"""),0.3)</f>
        <v>0.3</v>
      </c>
      <c r="T2252" s="4">
        <f>IFERROR(__xludf.DUMMYFUNCTION("""COMPUTED_VALUE"""),0.018)</f>
        <v>0.018</v>
      </c>
      <c r="U2252" s="4">
        <f>IFERROR(__xludf.DUMMYFUNCTION("""COMPUTED_VALUE"""),-4.7)</f>
        <v>-4.7</v>
      </c>
      <c r="V2252" s="4">
        <f>IFERROR(__xludf.DUMMYFUNCTION("""COMPUTED_VALUE"""),-0.6)</f>
        <v>-0.6</v>
      </c>
    </row>
    <row r="2253">
      <c r="A2253" s="4">
        <f>IFERROR(__xludf.DUMMYFUNCTION("""COMPUTED_VALUE"""),40.0)</f>
        <v>40</v>
      </c>
      <c r="B2253" s="4">
        <f>IFERROR(__xludf.DUMMYFUNCTION("""COMPUTED_VALUE"""),40.0)</f>
        <v>40</v>
      </c>
      <c r="C2253" s="4" t="str">
        <f>IFERROR(__xludf.DUMMYFUNCTION("""COMPUTED_VALUE"""),"DET")</f>
        <v>DET</v>
      </c>
      <c r="D2253" s="4" t="str">
        <f>IFERROR(__xludf.DUMMYFUNCTION("""COMPUTED_VALUE"""),"Doug Overton")</f>
        <v>Doug Overton</v>
      </c>
      <c r="E2253" s="4" t="str">
        <f>IFERROR(__xludf.DUMMYFUNCTION("""COMPUTED_VALUE"""),"La Salle")</f>
        <v>La Salle</v>
      </c>
      <c r="F2253" s="4">
        <f>IFERROR(__xludf.DUMMYFUNCTION("""COMPUTED_VALUE"""),11.0)</f>
        <v>11</v>
      </c>
      <c r="G2253" s="4">
        <f>IFERROR(__xludf.DUMMYFUNCTION("""COMPUTED_VALUE"""),499.0)</f>
        <v>499</v>
      </c>
      <c r="H2253" s="4">
        <f>IFERROR(__xludf.DUMMYFUNCTION("""COMPUTED_VALUE"""),7275.0)</f>
        <v>7275</v>
      </c>
      <c r="I2253" s="4">
        <f>IFERROR(__xludf.DUMMYFUNCTION("""COMPUTED_VALUE"""),2253.0)</f>
        <v>2253</v>
      </c>
      <c r="J2253" s="4">
        <f>IFERROR(__xludf.DUMMYFUNCTION("""COMPUTED_VALUE"""),654.0)</f>
        <v>654</v>
      </c>
      <c r="K2253" s="4">
        <f>IFERROR(__xludf.DUMMYFUNCTION("""COMPUTED_VALUE"""),1038.0)</f>
        <v>1038</v>
      </c>
      <c r="L2253" s="4">
        <f>IFERROR(__xludf.DUMMYFUNCTION("""COMPUTED_VALUE"""),0.412)</f>
        <v>0.412</v>
      </c>
      <c r="M2253" s="4">
        <f>IFERROR(__xludf.DUMMYFUNCTION("""COMPUTED_VALUE"""),0.319)</f>
        <v>0.319</v>
      </c>
      <c r="N2253" s="4">
        <f>IFERROR(__xludf.DUMMYFUNCTION("""COMPUTED_VALUE"""),0.816)</f>
        <v>0.816</v>
      </c>
      <c r="O2253" s="4">
        <f>IFERROR(__xludf.DUMMYFUNCTION("""COMPUTED_VALUE"""),14.6)</f>
        <v>14.6</v>
      </c>
      <c r="P2253" s="4">
        <f>IFERROR(__xludf.DUMMYFUNCTION("""COMPUTED_VALUE"""),4.5)</f>
        <v>4.5</v>
      </c>
      <c r="Q2253" s="4">
        <f>IFERROR(__xludf.DUMMYFUNCTION("""COMPUTED_VALUE"""),1.3)</f>
        <v>1.3</v>
      </c>
      <c r="R2253" s="4">
        <f>IFERROR(__xludf.DUMMYFUNCTION("""COMPUTED_VALUE"""),2.1)</f>
        <v>2.1</v>
      </c>
      <c r="S2253" s="4">
        <f>IFERROR(__xludf.DUMMYFUNCTION("""COMPUTED_VALUE"""),2.5)</f>
        <v>2.5</v>
      </c>
      <c r="T2253" s="4">
        <f>IFERROR(__xludf.DUMMYFUNCTION("""COMPUTED_VALUE"""),0.016)</f>
        <v>0.016</v>
      </c>
      <c r="U2253" s="4">
        <f>IFERROR(__xludf.DUMMYFUNCTION("""COMPUTED_VALUE"""),-3.9)</f>
        <v>-3.9</v>
      </c>
      <c r="V2253" s="4">
        <f>IFERROR(__xludf.DUMMYFUNCTION("""COMPUTED_VALUE"""),-3.5)</f>
        <v>-3.5</v>
      </c>
    </row>
    <row r="2254">
      <c r="A2254" s="4">
        <f>IFERROR(__xludf.DUMMYFUNCTION("""COMPUTED_VALUE"""),41.0)</f>
        <v>41</v>
      </c>
      <c r="B2254" s="4">
        <f>IFERROR(__xludf.DUMMYFUNCTION("""COMPUTED_VALUE"""),41.0)</f>
        <v>41</v>
      </c>
      <c r="C2254" s="4" t="str">
        <f>IFERROR(__xludf.DUMMYFUNCTION("""COMPUTED_VALUE"""),"IND")</f>
        <v>IND</v>
      </c>
      <c r="D2254" s="4" t="str">
        <f>IFERROR(__xludf.DUMMYFUNCTION("""COMPUTED_VALUE"""),"Sean Green")</f>
        <v>Sean Green</v>
      </c>
      <c r="E2254" s="4" t="str">
        <f>IFERROR(__xludf.DUMMYFUNCTION("""COMPUTED_VALUE"""),"Iona College")</f>
        <v>Iona College</v>
      </c>
      <c r="F2254" s="4">
        <f>IFERROR(__xludf.DUMMYFUNCTION("""COMPUTED_VALUE"""),3.0)</f>
        <v>3</v>
      </c>
      <c r="G2254" s="4">
        <f>IFERROR(__xludf.DUMMYFUNCTION("""COMPUTED_VALUE"""),84.0)</f>
        <v>84</v>
      </c>
      <c r="H2254" s="4">
        <f>IFERROR(__xludf.DUMMYFUNCTION("""COMPUTED_VALUE"""),671.0)</f>
        <v>671</v>
      </c>
      <c r="I2254" s="4">
        <f>IFERROR(__xludf.DUMMYFUNCTION("""COMPUTED_VALUE"""),352.0)</f>
        <v>352</v>
      </c>
      <c r="J2254" s="4">
        <f>IFERROR(__xludf.DUMMYFUNCTION("""COMPUTED_VALUE"""),85.0)</f>
        <v>85</v>
      </c>
      <c r="K2254" s="4">
        <f>IFERROR(__xludf.DUMMYFUNCTION("""COMPUTED_VALUE"""),45.0)</f>
        <v>45</v>
      </c>
      <c r="L2254" s="4">
        <f>IFERROR(__xludf.DUMMYFUNCTION("""COMPUTED_VALUE"""),0.386)</f>
        <v>0.386</v>
      </c>
      <c r="M2254" s="4">
        <f>IFERROR(__xludf.DUMMYFUNCTION("""COMPUTED_VALUE"""),0.246)</f>
        <v>0.246</v>
      </c>
      <c r="N2254" s="4">
        <f>IFERROR(__xludf.DUMMYFUNCTION("""COMPUTED_VALUE"""),0.62)</f>
        <v>0.62</v>
      </c>
      <c r="O2254" s="4">
        <f>IFERROR(__xludf.DUMMYFUNCTION("""COMPUTED_VALUE"""),8.0)</f>
        <v>8</v>
      </c>
      <c r="P2254" s="4">
        <f>IFERROR(__xludf.DUMMYFUNCTION("""COMPUTED_VALUE"""),4.2)</f>
        <v>4.2</v>
      </c>
      <c r="Q2254" s="4">
        <f>IFERROR(__xludf.DUMMYFUNCTION("""COMPUTED_VALUE"""),1.0)</f>
        <v>1</v>
      </c>
      <c r="R2254" s="4">
        <f>IFERROR(__xludf.DUMMYFUNCTION("""COMPUTED_VALUE"""),0.5)</f>
        <v>0.5</v>
      </c>
      <c r="S2254" s="4">
        <f>IFERROR(__xludf.DUMMYFUNCTION("""COMPUTED_VALUE"""),-1.3)</f>
        <v>-1.3</v>
      </c>
      <c r="T2254" s="4">
        <f>IFERROR(__xludf.DUMMYFUNCTION("""COMPUTED_VALUE"""),-0.095)</f>
        <v>-0.095</v>
      </c>
      <c r="U2254" s="4">
        <f>IFERROR(__xludf.DUMMYFUNCTION("""COMPUTED_VALUE"""),-7.0)</f>
        <v>-7</v>
      </c>
      <c r="V2254" s="4">
        <f>IFERROR(__xludf.DUMMYFUNCTION("""COMPUTED_VALUE"""),-0.8)</f>
        <v>-0.8</v>
      </c>
    </row>
    <row r="2255">
      <c r="A2255" s="4">
        <f>IFERROR(__xludf.DUMMYFUNCTION("""COMPUTED_VALUE"""),42.0)</f>
        <v>42</v>
      </c>
      <c r="B2255" s="4">
        <f>IFERROR(__xludf.DUMMYFUNCTION("""COMPUTED_VALUE"""),42.0)</f>
        <v>42</v>
      </c>
      <c r="C2255" s="4" t="str">
        <f>IFERROR(__xludf.DUMMYFUNCTION("""COMPUTED_VALUE"""),"SAC")</f>
        <v>SAC</v>
      </c>
      <c r="D2255" s="4" t="str">
        <f>IFERROR(__xludf.DUMMYFUNCTION("""COMPUTED_VALUE"""),"Steve Hood")</f>
        <v>Steve Hood</v>
      </c>
      <c r="E2255" s="4" t="str">
        <f>IFERROR(__xludf.DUMMYFUNCTION("""COMPUTED_VALUE"""),"James Madison University")</f>
        <v>James Madison University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</row>
    <row r="2256">
      <c r="A2256" s="4">
        <f>IFERROR(__xludf.DUMMYFUNCTION("""COMPUTED_VALUE"""),43.0)</f>
        <v>43</v>
      </c>
      <c r="B2256" s="4">
        <f>IFERROR(__xludf.DUMMYFUNCTION("""COMPUTED_VALUE"""),43.0)</f>
        <v>43</v>
      </c>
      <c r="C2256" s="4" t="str">
        <f>IFERROR(__xludf.DUMMYFUNCTION("""COMPUTED_VALUE"""),"GSW")</f>
        <v>GSW</v>
      </c>
      <c r="D2256" s="4" t="str">
        <f>IFERROR(__xludf.DUMMYFUNCTION("""COMPUTED_VALUE"""),"Lamont Strothers")</f>
        <v>Lamont Strothers</v>
      </c>
      <c r="E2256" s="4" t="str">
        <f>IFERROR(__xludf.DUMMYFUNCTION("""COMPUTED_VALUE"""),"Christopher Newport University")</f>
        <v>Christopher Newport University</v>
      </c>
      <c r="F2256" s="4">
        <f>IFERROR(__xludf.DUMMYFUNCTION("""COMPUTED_VALUE"""),2.0)</f>
        <v>2</v>
      </c>
      <c r="G2256" s="4">
        <f>IFERROR(__xludf.DUMMYFUNCTION("""COMPUTED_VALUE"""),13.0)</f>
        <v>13</v>
      </c>
      <c r="H2256" s="4">
        <f>IFERROR(__xludf.DUMMYFUNCTION("""COMPUTED_VALUE"""),155.0)</f>
        <v>155</v>
      </c>
      <c r="I2256" s="4">
        <f>IFERROR(__xludf.DUMMYFUNCTION("""COMPUTED_VALUE"""),60.0)</f>
        <v>60</v>
      </c>
      <c r="J2256" s="4">
        <f>IFERROR(__xludf.DUMMYFUNCTION("""COMPUTED_VALUE"""),15.0)</f>
        <v>15</v>
      </c>
      <c r="K2256" s="4">
        <f>IFERROR(__xludf.DUMMYFUNCTION("""COMPUTED_VALUE"""),14.0)</f>
        <v>14</v>
      </c>
      <c r="L2256" s="4">
        <f>IFERROR(__xludf.DUMMYFUNCTION("""COMPUTED_VALUE"""),0.329)</f>
        <v>0.329</v>
      </c>
      <c r="M2256" s="4">
        <f>IFERROR(__xludf.DUMMYFUNCTION("""COMPUTED_VALUE"""),0.133)</f>
        <v>0.133</v>
      </c>
      <c r="N2256" s="4">
        <f>IFERROR(__xludf.DUMMYFUNCTION("""COMPUTED_VALUE"""),0.714)</f>
        <v>0.714</v>
      </c>
      <c r="O2256" s="4">
        <f>IFERROR(__xludf.DUMMYFUNCTION("""COMPUTED_VALUE"""),11.9)</f>
        <v>11.9</v>
      </c>
      <c r="P2256" s="4">
        <f>IFERROR(__xludf.DUMMYFUNCTION("""COMPUTED_VALUE"""),4.6)</f>
        <v>4.6</v>
      </c>
      <c r="Q2256" s="4">
        <f>IFERROR(__xludf.DUMMYFUNCTION("""COMPUTED_VALUE"""),1.2)</f>
        <v>1.2</v>
      </c>
      <c r="R2256" s="4">
        <f>IFERROR(__xludf.DUMMYFUNCTION("""COMPUTED_VALUE"""),1.1)</f>
        <v>1.1</v>
      </c>
      <c r="S2256" s="4">
        <f>IFERROR(__xludf.DUMMYFUNCTION("""COMPUTED_VALUE"""),-0.5)</f>
        <v>-0.5</v>
      </c>
      <c r="T2256" s="4">
        <f>IFERROR(__xludf.DUMMYFUNCTION("""COMPUTED_VALUE"""),-0.142)</f>
        <v>-0.142</v>
      </c>
      <c r="U2256" s="4">
        <f>IFERROR(__xludf.DUMMYFUNCTION("""COMPUTED_VALUE"""),-7.7)</f>
        <v>-7.7</v>
      </c>
      <c r="V2256" s="4">
        <f>IFERROR(__xludf.DUMMYFUNCTION("""COMPUTED_VALUE"""),-0.2)</f>
        <v>-0.2</v>
      </c>
    </row>
    <row r="2257">
      <c r="A2257" s="4">
        <f>IFERROR(__xludf.DUMMYFUNCTION("""COMPUTED_VALUE"""),44.0)</f>
        <v>44</v>
      </c>
      <c r="B2257" s="4">
        <f>IFERROR(__xludf.DUMMYFUNCTION("""COMPUTED_VALUE"""),44.0)</f>
        <v>44</v>
      </c>
      <c r="C2257" s="4" t="str">
        <f>IFERROR(__xludf.DUMMYFUNCTION("""COMPUTED_VALUE"""),"PHI")</f>
        <v>PHI</v>
      </c>
      <c r="D2257" s="4" t="str">
        <f>IFERROR(__xludf.DUMMYFUNCTION("""COMPUTED_VALUE"""),"Alvaro Teheran")</f>
        <v>Alvaro Teheran</v>
      </c>
      <c r="E2257" s="4" t="str">
        <f>IFERROR(__xludf.DUMMYFUNCTION("""COMPUTED_VALUE"""),"Houston")</f>
        <v>Houston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</row>
    <row r="2258">
      <c r="A2258" s="4">
        <f>IFERROR(__xludf.DUMMYFUNCTION("""COMPUTED_VALUE"""),45.0)</f>
        <v>45</v>
      </c>
      <c r="B2258" s="4">
        <f>IFERROR(__xludf.DUMMYFUNCTION("""COMPUTED_VALUE"""),45.0)</f>
        <v>45</v>
      </c>
      <c r="C2258" s="4" t="str">
        <f>IFERROR(__xludf.DUMMYFUNCTION("""COMPUTED_VALUE"""),"MIL")</f>
        <v>MIL</v>
      </c>
      <c r="D2258" s="4" t="str">
        <f>IFERROR(__xludf.DUMMYFUNCTION("""COMPUTED_VALUE"""),"Bobby Phills")</f>
        <v>Bobby Phills</v>
      </c>
      <c r="E2258" s="4" t="str">
        <f>IFERROR(__xludf.DUMMYFUNCTION("""COMPUTED_VALUE"""),"Southern University and A&amp;M College")</f>
        <v>Southern University and A&amp;M College</v>
      </c>
      <c r="F2258" s="4">
        <f>IFERROR(__xludf.DUMMYFUNCTION("""COMPUTED_VALUE"""),9.0)</f>
        <v>9</v>
      </c>
      <c r="G2258" s="4">
        <f>IFERROR(__xludf.DUMMYFUNCTION("""COMPUTED_VALUE"""),467.0)</f>
        <v>467</v>
      </c>
      <c r="H2258" s="4">
        <f>IFERROR(__xludf.DUMMYFUNCTION("""COMPUTED_VALUE"""),13426.0)</f>
        <v>13426</v>
      </c>
      <c r="I2258" s="4">
        <f>IFERROR(__xludf.DUMMYFUNCTION("""COMPUTED_VALUE"""),5153.0)</f>
        <v>5153</v>
      </c>
      <c r="J2258" s="4">
        <f>IFERROR(__xludf.DUMMYFUNCTION("""COMPUTED_VALUE"""),1469.0)</f>
        <v>1469</v>
      </c>
      <c r="K2258" s="4">
        <f>IFERROR(__xludf.DUMMYFUNCTION("""COMPUTED_VALUE"""),1246.0)</f>
        <v>1246</v>
      </c>
      <c r="L2258" s="4">
        <f>IFERROR(__xludf.DUMMYFUNCTION("""COMPUTED_VALUE"""),0.443)</f>
        <v>0.443</v>
      </c>
      <c r="M2258" s="4">
        <f>IFERROR(__xludf.DUMMYFUNCTION("""COMPUTED_VALUE"""),0.39)</f>
        <v>0.39</v>
      </c>
      <c r="N2258" s="4">
        <f>IFERROR(__xludf.DUMMYFUNCTION("""COMPUTED_VALUE"""),0.738)</f>
        <v>0.738</v>
      </c>
      <c r="O2258" s="4">
        <f>IFERROR(__xludf.DUMMYFUNCTION("""COMPUTED_VALUE"""),28.7)</f>
        <v>28.7</v>
      </c>
      <c r="P2258" s="4">
        <f>IFERROR(__xludf.DUMMYFUNCTION("""COMPUTED_VALUE"""),11.0)</f>
        <v>11</v>
      </c>
      <c r="Q2258" s="4">
        <f>IFERROR(__xludf.DUMMYFUNCTION("""COMPUTED_VALUE"""),3.1)</f>
        <v>3.1</v>
      </c>
      <c r="R2258" s="4">
        <f>IFERROR(__xludf.DUMMYFUNCTION("""COMPUTED_VALUE"""),2.7)</f>
        <v>2.7</v>
      </c>
      <c r="S2258" s="4">
        <f>IFERROR(__xludf.DUMMYFUNCTION("""COMPUTED_VALUE"""),27.2)</f>
        <v>27.2</v>
      </c>
      <c r="T2258" s="4">
        <f>IFERROR(__xludf.DUMMYFUNCTION("""COMPUTED_VALUE"""),0.097)</f>
        <v>0.097</v>
      </c>
      <c r="U2258" s="4">
        <f>IFERROR(__xludf.DUMMYFUNCTION("""COMPUTED_VALUE"""),0.2)</f>
        <v>0.2</v>
      </c>
      <c r="V2258" s="4">
        <f>IFERROR(__xludf.DUMMYFUNCTION("""COMPUTED_VALUE"""),7.5)</f>
        <v>7.5</v>
      </c>
    </row>
    <row r="2259">
      <c r="A2259" s="4">
        <f>IFERROR(__xludf.DUMMYFUNCTION("""COMPUTED_VALUE"""),46.0)</f>
        <v>46</v>
      </c>
      <c r="B2259" s="4">
        <f>IFERROR(__xludf.DUMMYFUNCTION("""COMPUTED_VALUE"""),46.0)</f>
        <v>46</v>
      </c>
      <c r="C2259" s="4" t="str">
        <f>IFERROR(__xludf.DUMMYFUNCTION("""COMPUTED_VALUE"""),"PHO")</f>
        <v>PHO</v>
      </c>
      <c r="D2259" s="4" t="str">
        <f>IFERROR(__xludf.DUMMYFUNCTION("""COMPUTED_VALUE"""),"Richard Dumas")</f>
        <v>Richard Dumas</v>
      </c>
      <c r="E2259" s="4" t="str">
        <f>IFERROR(__xludf.DUMMYFUNCTION("""COMPUTED_VALUE"""),"Oklahoma State")</f>
        <v>Oklahoma State</v>
      </c>
      <c r="F2259" s="4">
        <f>IFERROR(__xludf.DUMMYFUNCTION("""COMPUTED_VALUE"""),3.0)</f>
        <v>3</v>
      </c>
      <c r="G2259" s="4">
        <f>IFERROR(__xludf.DUMMYFUNCTION("""COMPUTED_VALUE"""),102.0)</f>
        <v>102</v>
      </c>
      <c r="H2259" s="4">
        <f>IFERROR(__xludf.DUMMYFUNCTION("""COMPUTED_VALUE"""),2226.0)</f>
        <v>2226</v>
      </c>
      <c r="I2259" s="4">
        <f>IFERROR(__xludf.DUMMYFUNCTION("""COMPUTED_VALUE"""),1080.0)</f>
        <v>1080</v>
      </c>
      <c r="J2259" s="4">
        <f>IFERROR(__xludf.DUMMYFUNCTION("""COMPUTED_VALUE"""),351.0)</f>
        <v>351</v>
      </c>
      <c r="K2259" s="4">
        <f>IFERROR(__xludf.DUMMYFUNCTION("""COMPUTED_VALUE"""),111.0)</f>
        <v>111</v>
      </c>
      <c r="L2259" s="4">
        <f>IFERROR(__xludf.DUMMYFUNCTION("""COMPUTED_VALUE"""),0.509)</f>
        <v>0.509</v>
      </c>
      <c r="M2259" s="4">
        <f>IFERROR(__xludf.DUMMYFUNCTION("""COMPUTED_VALUE"""),0.231)</f>
        <v>0.231</v>
      </c>
      <c r="N2259" s="4">
        <f>IFERROR(__xludf.DUMMYFUNCTION("""COMPUTED_VALUE"""),0.694)</f>
        <v>0.694</v>
      </c>
      <c r="O2259" s="4">
        <f>IFERROR(__xludf.DUMMYFUNCTION("""COMPUTED_VALUE"""),21.8)</f>
        <v>21.8</v>
      </c>
      <c r="P2259" s="4">
        <f>IFERROR(__xludf.DUMMYFUNCTION("""COMPUTED_VALUE"""),10.6)</f>
        <v>10.6</v>
      </c>
      <c r="Q2259" s="4">
        <f>IFERROR(__xludf.DUMMYFUNCTION("""COMPUTED_VALUE"""),3.4)</f>
        <v>3.4</v>
      </c>
      <c r="R2259" s="4">
        <f>IFERROR(__xludf.DUMMYFUNCTION("""COMPUTED_VALUE"""),1.1)</f>
        <v>1.1</v>
      </c>
      <c r="S2259" s="4">
        <f>IFERROR(__xludf.DUMMYFUNCTION("""COMPUTED_VALUE"""),4.5)</f>
        <v>4.5</v>
      </c>
      <c r="T2259" s="4">
        <f>IFERROR(__xludf.DUMMYFUNCTION("""COMPUTED_VALUE"""),0.097)</f>
        <v>0.097</v>
      </c>
      <c r="U2259" s="4">
        <f>IFERROR(__xludf.DUMMYFUNCTION("""COMPUTED_VALUE"""),-0.2)</f>
        <v>-0.2</v>
      </c>
      <c r="V2259" s="4">
        <f>IFERROR(__xludf.DUMMYFUNCTION("""COMPUTED_VALUE"""),1.0)</f>
        <v>1</v>
      </c>
    </row>
    <row r="2260">
      <c r="A2260" s="4">
        <f>IFERROR(__xludf.DUMMYFUNCTION("""COMPUTED_VALUE"""),47.0)</f>
        <v>47</v>
      </c>
      <c r="B2260" s="4">
        <f>IFERROR(__xludf.DUMMYFUNCTION("""COMPUTED_VALUE"""),47.0)</f>
        <v>47</v>
      </c>
      <c r="C2260" s="4" t="str">
        <f>IFERROR(__xludf.DUMMYFUNCTION("""COMPUTED_VALUE"""),"HOU")</f>
        <v>HOU</v>
      </c>
      <c r="D2260" s="4" t="str">
        <f>IFERROR(__xludf.DUMMYFUNCTION("""COMPUTED_VALUE"""),"Keith Hughes")</f>
        <v>Keith Hughes</v>
      </c>
      <c r="E2260" s="4" t="str">
        <f>IFERROR(__xludf.DUMMYFUNCTION("""COMPUTED_VALUE"""),"Rutgers University")</f>
        <v>Rutgers University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</row>
    <row r="2261">
      <c r="A2261" s="4">
        <f>IFERROR(__xludf.DUMMYFUNCTION("""COMPUTED_VALUE"""),48.0)</f>
        <v>48</v>
      </c>
      <c r="B2261" s="4">
        <f>IFERROR(__xludf.DUMMYFUNCTION("""COMPUTED_VALUE"""),48.0)</f>
        <v>48</v>
      </c>
      <c r="C2261" s="4" t="str">
        <f>IFERROR(__xludf.DUMMYFUNCTION("""COMPUTED_VALUE"""),"UTA")</f>
        <v>UTA</v>
      </c>
      <c r="D2261" s="4" t="str">
        <f>IFERROR(__xludf.DUMMYFUNCTION("""COMPUTED_VALUE"""),"Isaac Austin")</f>
        <v>Isaac Austin</v>
      </c>
      <c r="E2261" s="4" t="str">
        <f>IFERROR(__xludf.DUMMYFUNCTION("""COMPUTED_VALUE"""),"Arizona State")</f>
        <v>Arizona State</v>
      </c>
      <c r="F2261" s="4">
        <f>IFERROR(__xludf.DUMMYFUNCTION("""COMPUTED_VALUE"""),9.0)</f>
        <v>9</v>
      </c>
      <c r="G2261" s="4">
        <f>IFERROR(__xludf.DUMMYFUNCTION("""COMPUTED_VALUE"""),432.0)</f>
        <v>432</v>
      </c>
      <c r="H2261" s="4">
        <f>IFERROR(__xludf.DUMMYFUNCTION("""COMPUTED_VALUE"""),8350.0)</f>
        <v>8350</v>
      </c>
      <c r="I2261" s="4">
        <f>IFERROR(__xludf.DUMMYFUNCTION("""COMPUTED_VALUE"""),3285.0)</f>
        <v>3285</v>
      </c>
      <c r="J2261" s="4">
        <f>IFERROR(__xludf.DUMMYFUNCTION("""COMPUTED_VALUE"""),2030.0)</f>
        <v>2030</v>
      </c>
      <c r="K2261" s="4">
        <f>IFERROR(__xludf.DUMMYFUNCTION("""COMPUTED_VALUE"""),538.0)</f>
        <v>538</v>
      </c>
      <c r="L2261" s="4">
        <f>IFERROR(__xludf.DUMMYFUNCTION("""COMPUTED_VALUE"""),0.446)</f>
        <v>0.446</v>
      </c>
      <c r="M2261" s="4">
        <f>IFERROR(__xludf.DUMMYFUNCTION("""COMPUTED_VALUE"""),0.176)</f>
        <v>0.176</v>
      </c>
      <c r="N2261" s="4">
        <f>IFERROR(__xludf.DUMMYFUNCTION("""COMPUTED_VALUE"""),0.67)</f>
        <v>0.67</v>
      </c>
      <c r="O2261" s="4">
        <f>IFERROR(__xludf.DUMMYFUNCTION("""COMPUTED_VALUE"""),19.3)</f>
        <v>19.3</v>
      </c>
      <c r="P2261" s="4">
        <f>IFERROR(__xludf.DUMMYFUNCTION("""COMPUTED_VALUE"""),7.6)</f>
        <v>7.6</v>
      </c>
      <c r="Q2261" s="4">
        <f>IFERROR(__xludf.DUMMYFUNCTION("""COMPUTED_VALUE"""),4.7)</f>
        <v>4.7</v>
      </c>
      <c r="R2261" s="4">
        <f>IFERROR(__xludf.DUMMYFUNCTION("""COMPUTED_VALUE"""),1.2)</f>
        <v>1.2</v>
      </c>
      <c r="S2261" s="4">
        <f>IFERROR(__xludf.DUMMYFUNCTION("""COMPUTED_VALUE"""),9.2)</f>
        <v>9.2</v>
      </c>
      <c r="T2261" s="4">
        <f>IFERROR(__xludf.DUMMYFUNCTION("""COMPUTED_VALUE"""),0.053)</f>
        <v>0.053</v>
      </c>
      <c r="U2261" s="4">
        <f>IFERROR(__xludf.DUMMYFUNCTION("""COMPUTED_VALUE"""),-2.5)</f>
        <v>-2.5</v>
      </c>
      <c r="V2261" s="4">
        <f>IFERROR(__xludf.DUMMYFUNCTION("""COMPUTED_VALUE"""),-1.0)</f>
        <v>-1</v>
      </c>
    </row>
    <row r="2262">
      <c r="A2262" s="4">
        <f>IFERROR(__xludf.DUMMYFUNCTION("""COMPUTED_VALUE"""),49.0)</f>
        <v>49</v>
      </c>
      <c r="B2262" s="4">
        <f>IFERROR(__xludf.DUMMYFUNCTION("""COMPUTED_VALUE"""),49.0)</f>
        <v>49</v>
      </c>
      <c r="C2262" s="4" t="str">
        <f>IFERROR(__xludf.DUMMYFUNCTION("""COMPUTED_VALUE"""),"SAS")</f>
        <v>SAS</v>
      </c>
      <c r="D2262" s="4" t="str">
        <f>IFERROR(__xludf.DUMMYFUNCTION("""COMPUTED_VALUE"""),"Greg Sutton")</f>
        <v>Greg Sutton</v>
      </c>
      <c r="E2262" s="4" t="str">
        <f>IFERROR(__xludf.DUMMYFUNCTION("""COMPUTED_VALUE"""),"Oral Roberts")</f>
        <v>Oral Roberts</v>
      </c>
      <c r="F2262" s="4">
        <f>IFERROR(__xludf.DUMMYFUNCTION("""COMPUTED_VALUE"""),3.0)</f>
        <v>3</v>
      </c>
      <c r="G2262" s="4">
        <f>IFERROR(__xludf.DUMMYFUNCTION("""COMPUTED_VALUE"""),168.0)</f>
        <v>168</v>
      </c>
      <c r="H2262" s="4">
        <f>IFERROR(__xludf.DUMMYFUNCTION("""COMPUTED_VALUE"""),1946.0)</f>
        <v>1946</v>
      </c>
      <c r="I2262" s="4">
        <f>IFERROR(__xludf.DUMMYFUNCTION("""COMPUTED_VALUE"""),761.0)</f>
        <v>761</v>
      </c>
      <c r="J2262" s="4">
        <f>IFERROR(__xludf.DUMMYFUNCTION("""COMPUTED_VALUE"""),153.0)</f>
        <v>153</v>
      </c>
      <c r="K2262" s="4">
        <f>IFERROR(__xludf.DUMMYFUNCTION("""COMPUTED_VALUE"""),284.0)</f>
        <v>284</v>
      </c>
      <c r="L2262" s="4">
        <f>IFERROR(__xludf.DUMMYFUNCTION("""COMPUTED_VALUE"""),0.396)</f>
        <v>0.396</v>
      </c>
      <c r="M2262" s="4">
        <f>IFERROR(__xludf.DUMMYFUNCTION("""COMPUTED_VALUE"""),0.361)</f>
        <v>0.361</v>
      </c>
      <c r="N2262" s="4">
        <f>IFERROR(__xludf.DUMMYFUNCTION("""COMPUTED_VALUE"""),0.743)</f>
        <v>0.743</v>
      </c>
      <c r="O2262" s="4">
        <f>IFERROR(__xludf.DUMMYFUNCTION("""COMPUTED_VALUE"""),11.6)</f>
        <v>11.6</v>
      </c>
      <c r="P2262" s="4">
        <f>IFERROR(__xludf.DUMMYFUNCTION("""COMPUTED_VALUE"""),4.5)</f>
        <v>4.5</v>
      </c>
      <c r="Q2262" s="4">
        <f>IFERROR(__xludf.DUMMYFUNCTION("""COMPUTED_VALUE"""),0.9)</f>
        <v>0.9</v>
      </c>
      <c r="R2262" s="4">
        <f>IFERROR(__xludf.DUMMYFUNCTION("""COMPUTED_VALUE"""),1.7)</f>
        <v>1.7</v>
      </c>
      <c r="S2262" s="4">
        <f>IFERROR(__xludf.DUMMYFUNCTION("""COMPUTED_VALUE"""),1.0)</f>
        <v>1</v>
      </c>
      <c r="T2262" s="4">
        <f>IFERROR(__xludf.DUMMYFUNCTION("""COMPUTED_VALUE"""),0.024)</f>
        <v>0.024</v>
      </c>
      <c r="U2262" s="4">
        <f>IFERROR(__xludf.DUMMYFUNCTION("""COMPUTED_VALUE"""),-3.6)</f>
        <v>-3.6</v>
      </c>
      <c r="V2262" s="4">
        <f>IFERROR(__xludf.DUMMYFUNCTION("""COMPUTED_VALUE"""),-0.8)</f>
        <v>-0.8</v>
      </c>
    </row>
    <row r="2263">
      <c r="A2263" s="4">
        <f>IFERROR(__xludf.DUMMYFUNCTION("""COMPUTED_VALUE"""),50.0)</f>
        <v>50</v>
      </c>
      <c r="B2263" s="4">
        <f>IFERROR(__xludf.DUMMYFUNCTION("""COMPUTED_VALUE"""),50.0)</f>
        <v>50</v>
      </c>
      <c r="C2263" s="4" t="str">
        <f>IFERROR(__xludf.DUMMYFUNCTION("""COMPUTED_VALUE"""),"PHO")</f>
        <v>PHO</v>
      </c>
      <c r="D2263" s="4" t="str">
        <f>IFERROR(__xludf.DUMMYFUNCTION("""COMPUTED_VALUE"""),"Joey Wright")</f>
        <v>Joey Wright</v>
      </c>
      <c r="E2263" s="4" t="str">
        <f>IFERROR(__xludf.DUMMYFUNCTION("""COMPUTED_VALUE"""),"Texas")</f>
        <v>Texas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</row>
    <row r="2264">
      <c r="A2264" s="4">
        <f>IFERROR(__xludf.DUMMYFUNCTION("""COMPUTED_VALUE"""),51.0)</f>
        <v>51</v>
      </c>
      <c r="B2264" s="4">
        <f>IFERROR(__xludf.DUMMYFUNCTION("""COMPUTED_VALUE"""),51.0)</f>
        <v>51</v>
      </c>
      <c r="C2264" s="4" t="str">
        <f>IFERROR(__xludf.DUMMYFUNCTION("""COMPUTED_VALUE"""),"HOU")</f>
        <v>HOU</v>
      </c>
      <c r="D2264" s="4" t="str">
        <f>IFERROR(__xludf.DUMMYFUNCTION("""COMPUTED_VALUE"""),"Žan Tabak")</f>
        <v>Žan Tabak</v>
      </c>
      <c r="E2264" s="4"/>
      <c r="F2264" s="4">
        <f>IFERROR(__xludf.DUMMYFUNCTION("""COMPUTED_VALUE"""),6.0)</f>
        <v>6</v>
      </c>
      <c r="G2264" s="4">
        <f>IFERROR(__xludf.DUMMYFUNCTION("""COMPUTED_VALUE"""),247.0)</f>
        <v>247</v>
      </c>
      <c r="H2264" s="4">
        <f>IFERROR(__xludf.DUMMYFUNCTION("""COMPUTED_VALUE"""),3607.0)</f>
        <v>3607</v>
      </c>
      <c r="I2264" s="4">
        <f>IFERROR(__xludf.DUMMYFUNCTION("""COMPUTED_VALUE"""),1233.0)</f>
        <v>1233</v>
      </c>
      <c r="J2264" s="4">
        <f>IFERROR(__xludf.DUMMYFUNCTION("""COMPUTED_VALUE"""),883.0)</f>
        <v>883</v>
      </c>
      <c r="K2264" s="4">
        <f>IFERROR(__xludf.DUMMYFUNCTION("""COMPUTED_VALUE"""),165.0)</f>
        <v>165</v>
      </c>
      <c r="L2264" s="4">
        <f>IFERROR(__xludf.DUMMYFUNCTION("""COMPUTED_VALUE"""),0.506)</f>
        <v>0.506</v>
      </c>
      <c r="M2264" s="4">
        <f>IFERROR(__xludf.DUMMYFUNCTION("""COMPUTED_VALUE"""),0.0)</f>
        <v>0</v>
      </c>
      <c r="N2264" s="4">
        <f>IFERROR(__xludf.DUMMYFUNCTION("""COMPUTED_VALUE"""),0.525)</f>
        <v>0.525</v>
      </c>
      <c r="O2264" s="4">
        <f>IFERROR(__xludf.DUMMYFUNCTION("""COMPUTED_VALUE"""),14.6)</f>
        <v>14.6</v>
      </c>
      <c r="P2264" s="4">
        <f>IFERROR(__xludf.DUMMYFUNCTION("""COMPUTED_VALUE"""),5.0)</f>
        <v>5</v>
      </c>
      <c r="Q2264" s="4">
        <f>IFERROR(__xludf.DUMMYFUNCTION("""COMPUTED_VALUE"""),3.6)</f>
        <v>3.6</v>
      </c>
      <c r="R2264" s="4">
        <f>IFERROR(__xludf.DUMMYFUNCTION("""COMPUTED_VALUE"""),0.7)</f>
        <v>0.7</v>
      </c>
      <c r="S2264" s="4">
        <f>IFERROR(__xludf.DUMMYFUNCTION("""COMPUTED_VALUE"""),2.4)</f>
        <v>2.4</v>
      </c>
      <c r="T2264" s="4">
        <f>IFERROR(__xludf.DUMMYFUNCTION("""COMPUTED_VALUE"""),0.032)</f>
        <v>0.032</v>
      </c>
      <c r="U2264" s="4">
        <f>IFERROR(__xludf.DUMMYFUNCTION("""COMPUTED_VALUE"""),-4.9)</f>
        <v>-4.9</v>
      </c>
      <c r="V2264" s="4">
        <f>IFERROR(__xludf.DUMMYFUNCTION("""COMPUTED_VALUE"""),-2.7)</f>
        <v>-2.7</v>
      </c>
    </row>
    <row r="2265">
      <c r="A2265" s="4">
        <f>IFERROR(__xludf.DUMMYFUNCTION("""COMPUTED_VALUE"""),52.0)</f>
        <v>52</v>
      </c>
      <c r="B2265" s="4">
        <f>IFERROR(__xludf.DUMMYFUNCTION("""COMPUTED_VALUE"""),52.0)</f>
        <v>52</v>
      </c>
      <c r="C2265" s="4" t="str">
        <f>IFERROR(__xludf.DUMMYFUNCTION("""COMPUTED_VALUE"""),"LAL")</f>
        <v>LAL</v>
      </c>
      <c r="D2265" s="4" t="str">
        <f>IFERROR(__xludf.DUMMYFUNCTION("""COMPUTED_VALUE"""),"Anthony Jones")</f>
        <v>Anthony Jones</v>
      </c>
      <c r="E2265" s="4" t="str">
        <f>IFERROR(__xludf.DUMMYFUNCTION("""COMPUTED_VALUE"""),"Oral Roberts")</f>
        <v>Oral Roberts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</row>
    <row r="2266">
      <c r="A2266" s="4">
        <f>IFERROR(__xludf.DUMMYFUNCTION("""COMPUTED_VALUE"""),53.0)</f>
        <v>53</v>
      </c>
      <c r="B2266" s="4">
        <f>IFERROR(__xludf.DUMMYFUNCTION("""COMPUTED_VALUE"""),53.0)</f>
        <v>53</v>
      </c>
      <c r="C2266" s="4" t="str">
        <f>IFERROR(__xludf.DUMMYFUNCTION("""COMPUTED_VALUE"""),"NJN")</f>
        <v>NJN</v>
      </c>
      <c r="D2266" s="4" t="str">
        <f>IFERROR(__xludf.DUMMYFUNCTION("""COMPUTED_VALUE"""),"Von McDade")</f>
        <v>Von McDade</v>
      </c>
      <c r="E2266" s="4" t="str">
        <f>IFERROR(__xludf.DUMMYFUNCTION("""COMPUTED_VALUE"""),"UW-Milwaukee")</f>
        <v>UW-Milwaukee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</row>
    <row r="2267">
      <c r="A2267" s="4">
        <f>IFERROR(__xludf.DUMMYFUNCTION("""COMPUTED_VALUE"""),54.0)</f>
        <v>54</v>
      </c>
      <c r="B2267" s="4">
        <f>IFERROR(__xludf.DUMMYFUNCTION("""COMPUTED_VALUE"""),54.0)</f>
        <v>54</v>
      </c>
      <c r="C2267" s="4" t="str">
        <f>IFERROR(__xludf.DUMMYFUNCTION("""COMPUTED_VALUE"""),"POR")</f>
        <v>POR</v>
      </c>
      <c r="D2267" s="4" t="str">
        <f>IFERROR(__xludf.DUMMYFUNCTION("""COMPUTED_VALUE"""),"Marcus Kennedy")</f>
        <v>Marcus Kennedy</v>
      </c>
      <c r="E2267" s="4" t="str">
        <f>IFERROR(__xludf.DUMMYFUNCTION("""COMPUTED_VALUE"""),"Eastern Michigan")</f>
        <v>Eastern Michigan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</row>
    <row r="2269">
      <c r="A2269" s="2">
        <v>1990.0</v>
      </c>
    </row>
    <row r="2270">
      <c r="A2270" s="4" t="str">
        <f>IFERROR(__xludf.DUMMYFUNCTION("IMPORTHTML(""https://www.basketball-reference.com/draft/NBA_1990.html"", ""table"", 1)"),"")</f>
        <v/>
      </c>
      <c r="B2270" s="4"/>
      <c r="C2270" s="4"/>
      <c r="D2270" s="4" t="str">
        <f>IFERROR(__xludf.DUMMYFUNCTION("""COMPUTED_VALUE"""),"Round 1")</f>
        <v>Round 1</v>
      </c>
      <c r="E2270" s="4"/>
      <c r="F2270" s="4"/>
      <c r="G2270" s="4" t="str">
        <f>IFERROR(__xludf.DUMMYFUNCTION("""COMPUTED_VALUE"""),"Totals")</f>
        <v>Totals</v>
      </c>
      <c r="H2270" s="4"/>
      <c r="I2270" s="4"/>
      <c r="J2270" s="4"/>
      <c r="K2270" s="4"/>
      <c r="L2270" s="4" t="str">
        <f>IFERROR(__xludf.DUMMYFUNCTION("""COMPUTED_VALUE"""),"Shooting")</f>
        <v>Shooting</v>
      </c>
      <c r="M2270" s="4"/>
      <c r="N2270" s="4"/>
      <c r="O2270" s="4" t="str">
        <f>IFERROR(__xludf.DUMMYFUNCTION("""COMPUTED_VALUE"""),"Per Game")</f>
        <v>Per Game</v>
      </c>
      <c r="P2270" s="4"/>
      <c r="Q2270" s="4"/>
      <c r="R2270" s="4"/>
      <c r="S2270" s="4" t="str">
        <f>IFERROR(__xludf.DUMMYFUNCTION("""COMPUTED_VALUE"""),"Advanced")</f>
        <v>Advanced</v>
      </c>
      <c r="T2270" s="4"/>
      <c r="U2270" s="4"/>
      <c r="V2270" s="4"/>
    </row>
    <row r="2271">
      <c r="A2271" s="4" t="str">
        <f>IFERROR(__xludf.DUMMYFUNCTION("""COMPUTED_VALUE"""),"Rk")</f>
        <v>Rk</v>
      </c>
      <c r="B2271" s="4" t="str">
        <f>IFERROR(__xludf.DUMMYFUNCTION("""COMPUTED_VALUE"""),"Pk")</f>
        <v>Pk</v>
      </c>
      <c r="C2271" s="4" t="str">
        <f>IFERROR(__xludf.DUMMYFUNCTION("""COMPUTED_VALUE"""),"Tm")</f>
        <v>Tm</v>
      </c>
      <c r="D2271" s="4" t="str">
        <f>IFERROR(__xludf.DUMMYFUNCTION("""COMPUTED_VALUE"""),"Player")</f>
        <v>Player</v>
      </c>
      <c r="E2271" s="4" t="str">
        <f>IFERROR(__xludf.DUMMYFUNCTION("""COMPUTED_VALUE"""),"College")</f>
        <v>College</v>
      </c>
      <c r="F2271" s="4" t="str">
        <f>IFERROR(__xludf.DUMMYFUNCTION("""COMPUTED_VALUE"""),"Yrs")</f>
        <v>Yrs</v>
      </c>
      <c r="G2271" s="4" t="str">
        <f>IFERROR(__xludf.DUMMYFUNCTION("""COMPUTED_VALUE"""),"G")</f>
        <v>G</v>
      </c>
      <c r="H2271" s="4" t="str">
        <f>IFERROR(__xludf.DUMMYFUNCTION("""COMPUTED_VALUE"""),"MP")</f>
        <v>MP</v>
      </c>
      <c r="I2271" s="4" t="str">
        <f>IFERROR(__xludf.DUMMYFUNCTION("""COMPUTED_VALUE"""),"PTS")</f>
        <v>PTS</v>
      </c>
      <c r="J2271" s="4" t="str">
        <f>IFERROR(__xludf.DUMMYFUNCTION("""COMPUTED_VALUE"""),"TRB")</f>
        <v>TRB</v>
      </c>
      <c r="K2271" s="4" t="str">
        <f>IFERROR(__xludf.DUMMYFUNCTION("""COMPUTED_VALUE"""),"AST")</f>
        <v>AST</v>
      </c>
      <c r="L2271" s="4" t="str">
        <f>IFERROR(__xludf.DUMMYFUNCTION("""COMPUTED_VALUE"""),"FG%")</f>
        <v>FG%</v>
      </c>
      <c r="M2271" s="4" t="str">
        <f>IFERROR(__xludf.DUMMYFUNCTION("""COMPUTED_VALUE"""),"3P%")</f>
        <v>3P%</v>
      </c>
      <c r="N2271" s="4" t="str">
        <f>IFERROR(__xludf.DUMMYFUNCTION("""COMPUTED_VALUE"""),"FT%")</f>
        <v>FT%</v>
      </c>
      <c r="O2271" s="4" t="str">
        <f>IFERROR(__xludf.DUMMYFUNCTION("""COMPUTED_VALUE"""),"MP")</f>
        <v>MP</v>
      </c>
      <c r="P2271" s="4" t="str">
        <f>IFERROR(__xludf.DUMMYFUNCTION("""COMPUTED_VALUE"""),"PTS")</f>
        <v>PTS</v>
      </c>
      <c r="Q2271" s="4" t="str">
        <f>IFERROR(__xludf.DUMMYFUNCTION("""COMPUTED_VALUE"""),"TRB")</f>
        <v>TRB</v>
      </c>
      <c r="R2271" s="4" t="str">
        <f>IFERROR(__xludf.DUMMYFUNCTION("""COMPUTED_VALUE"""),"AST")</f>
        <v>AST</v>
      </c>
      <c r="S2271" s="4" t="str">
        <f>IFERROR(__xludf.DUMMYFUNCTION("""COMPUTED_VALUE"""),"WS")</f>
        <v>WS</v>
      </c>
      <c r="T2271" s="4" t="str">
        <f>IFERROR(__xludf.DUMMYFUNCTION("""COMPUTED_VALUE"""),"WS/48")</f>
        <v>WS/48</v>
      </c>
      <c r="U2271" s="4" t="str">
        <f>IFERROR(__xludf.DUMMYFUNCTION("""COMPUTED_VALUE"""),"BPM")</f>
        <v>BPM</v>
      </c>
      <c r="V2271" s="4" t="str">
        <f>IFERROR(__xludf.DUMMYFUNCTION("""COMPUTED_VALUE"""),"VORP")</f>
        <v>VORP</v>
      </c>
    </row>
    <row r="2272">
      <c r="A2272" s="4">
        <f>IFERROR(__xludf.DUMMYFUNCTION("""COMPUTED_VALUE"""),1.0)</f>
        <v>1</v>
      </c>
      <c r="B2272" s="4">
        <f>IFERROR(__xludf.DUMMYFUNCTION("""COMPUTED_VALUE"""),1.0)</f>
        <v>1</v>
      </c>
      <c r="C2272" s="4" t="str">
        <f>IFERROR(__xludf.DUMMYFUNCTION("""COMPUTED_VALUE"""),"NJN")</f>
        <v>NJN</v>
      </c>
      <c r="D2272" s="4" t="str">
        <f>IFERROR(__xludf.DUMMYFUNCTION("""COMPUTED_VALUE"""),"Derrick Coleman")</f>
        <v>Derrick Coleman</v>
      </c>
      <c r="E2272" s="4" t="str">
        <f>IFERROR(__xludf.DUMMYFUNCTION("""COMPUTED_VALUE"""),"Syracuse")</f>
        <v>Syracuse</v>
      </c>
      <c r="F2272" s="4">
        <f>IFERROR(__xludf.DUMMYFUNCTION("""COMPUTED_VALUE"""),15.0)</f>
        <v>15</v>
      </c>
      <c r="G2272" s="4">
        <f>IFERROR(__xludf.DUMMYFUNCTION("""COMPUTED_VALUE"""),781.0)</f>
        <v>781</v>
      </c>
      <c r="H2272" s="4">
        <f>IFERROR(__xludf.DUMMYFUNCTION("""COMPUTED_VALUE"""),25903.0)</f>
        <v>25903</v>
      </c>
      <c r="I2272" s="4">
        <f>IFERROR(__xludf.DUMMYFUNCTION("""COMPUTED_VALUE"""),12884.0)</f>
        <v>12884</v>
      </c>
      <c r="J2272" s="4">
        <f>IFERROR(__xludf.DUMMYFUNCTION("""COMPUTED_VALUE"""),7232.0)</f>
        <v>7232</v>
      </c>
      <c r="K2272" s="4">
        <f>IFERROR(__xludf.DUMMYFUNCTION("""COMPUTED_VALUE"""),1985.0)</f>
        <v>1985</v>
      </c>
      <c r="L2272" s="4">
        <f>IFERROR(__xludf.DUMMYFUNCTION("""COMPUTED_VALUE"""),0.447)</f>
        <v>0.447</v>
      </c>
      <c r="M2272" s="4">
        <f>IFERROR(__xludf.DUMMYFUNCTION("""COMPUTED_VALUE"""),0.295)</f>
        <v>0.295</v>
      </c>
      <c r="N2272" s="4">
        <f>IFERROR(__xludf.DUMMYFUNCTION("""COMPUTED_VALUE"""),0.769)</f>
        <v>0.769</v>
      </c>
      <c r="O2272" s="4">
        <f>IFERROR(__xludf.DUMMYFUNCTION("""COMPUTED_VALUE"""),33.2)</f>
        <v>33.2</v>
      </c>
      <c r="P2272" s="4">
        <f>IFERROR(__xludf.DUMMYFUNCTION("""COMPUTED_VALUE"""),16.5)</f>
        <v>16.5</v>
      </c>
      <c r="Q2272" s="4">
        <f>IFERROR(__xludf.DUMMYFUNCTION("""COMPUTED_VALUE"""),9.3)</f>
        <v>9.3</v>
      </c>
      <c r="R2272" s="4">
        <f>IFERROR(__xludf.DUMMYFUNCTION("""COMPUTED_VALUE"""),2.5)</f>
        <v>2.5</v>
      </c>
      <c r="S2272" s="4">
        <f>IFERROR(__xludf.DUMMYFUNCTION("""COMPUTED_VALUE"""),64.3)</f>
        <v>64.3</v>
      </c>
      <c r="T2272" s="4">
        <f>IFERROR(__xludf.DUMMYFUNCTION("""COMPUTED_VALUE"""),0.119)</f>
        <v>0.119</v>
      </c>
      <c r="U2272" s="4">
        <f>IFERROR(__xludf.DUMMYFUNCTION("""COMPUTED_VALUE"""),1.4)</f>
        <v>1.4</v>
      </c>
      <c r="V2272" s="4">
        <f>IFERROR(__xludf.DUMMYFUNCTION("""COMPUTED_VALUE"""),22.3)</f>
        <v>22.3</v>
      </c>
    </row>
    <row r="2273">
      <c r="A2273" s="4">
        <f>IFERROR(__xludf.DUMMYFUNCTION("""COMPUTED_VALUE"""),2.0)</f>
        <v>2</v>
      </c>
      <c r="B2273" s="4">
        <f>IFERROR(__xludf.DUMMYFUNCTION("""COMPUTED_VALUE"""),2.0)</f>
        <v>2</v>
      </c>
      <c r="C2273" s="4" t="str">
        <f>IFERROR(__xludf.DUMMYFUNCTION("""COMPUTED_VALUE"""),"SEA")</f>
        <v>SEA</v>
      </c>
      <c r="D2273" s="4" t="str">
        <f>IFERROR(__xludf.DUMMYFUNCTION("""COMPUTED_VALUE"""),"Gary Payton")</f>
        <v>Gary Payton</v>
      </c>
      <c r="E2273" s="4" t="str">
        <f>IFERROR(__xludf.DUMMYFUNCTION("""COMPUTED_VALUE"""),"Oregon State")</f>
        <v>Oregon State</v>
      </c>
      <c r="F2273" s="4">
        <f>IFERROR(__xludf.DUMMYFUNCTION("""COMPUTED_VALUE"""),17.0)</f>
        <v>17</v>
      </c>
      <c r="G2273" s="4">
        <f>IFERROR(__xludf.DUMMYFUNCTION("""COMPUTED_VALUE"""),1335.0)</f>
        <v>1335</v>
      </c>
      <c r="H2273" s="4">
        <f>IFERROR(__xludf.DUMMYFUNCTION("""COMPUTED_VALUE"""),47117.0)</f>
        <v>47117</v>
      </c>
      <c r="I2273" s="4">
        <f>IFERROR(__xludf.DUMMYFUNCTION("""COMPUTED_VALUE"""),21813.0)</f>
        <v>21813</v>
      </c>
      <c r="J2273" s="4">
        <f>IFERROR(__xludf.DUMMYFUNCTION("""COMPUTED_VALUE"""),5269.0)</f>
        <v>5269</v>
      </c>
      <c r="K2273" s="4">
        <f>IFERROR(__xludf.DUMMYFUNCTION("""COMPUTED_VALUE"""),8966.0)</f>
        <v>8966</v>
      </c>
      <c r="L2273" s="4">
        <f>IFERROR(__xludf.DUMMYFUNCTION("""COMPUTED_VALUE"""),0.466)</f>
        <v>0.466</v>
      </c>
      <c r="M2273" s="4">
        <f>IFERROR(__xludf.DUMMYFUNCTION("""COMPUTED_VALUE"""),0.317)</f>
        <v>0.317</v>
      </c>
      <c r="N2273" s="4">
        <f>IFERROR(__xludf.DUMMYFUNCTION("""COMPUTED_VALUE"""),0.729)</f>
        <v>0.729</v>
      </c>
      <c r="O2273" s="4">
        <f>IFERROR(__xludf.DUMMYFUNCTION("""COMPUTED_VALUE"""),35.3)</f>
        <v>35.3</v>
      </c>
      <c r="P2273" s="4">
        <f>IFERROR(__xludf.DUMMYFUNCTION("""COMPUTED_VALUE"""),16.3)</f>
        <v>16.3</v>
      </c>
      <c r="Q2273" s="4">
        <f>IFERROR(__xludf.DUMMYFUNCTION("""COMPUTED_VALUE"""),3.9)</f>
        <v>3.9</v>
      </c>
      <c r="R2273" s="4">
        <f>IFERROR(__xludf.DUMMYFUNCTION("""COMPUTED_VALUE"""),6.7)</f>
        <v>6.7</v>
      </c>
      <c r="S2273" s="4">
        <f>IFERROR(__xludf.DUMMYFUNCTION("""COMPUTED_VALUE"""),145.5)</f>
        <v>145.5</v>
      </c>
      <c r="T2273" s="4">
        <f>IFERROR(__xludf.DUMMYFUNCTION("""COMPUTED_VALUE"""),0.148)</f>
        <v>0.148</v>
      </c>
      <c r="U2273" s="4">
        <f>IFERROR(__xludf.DUMMYFUNCTION("""COMPUTED_VALUE"""),3.3)</f>
        <v>3.3</v>
      </c>
      <c r="V2273" s="4">
        <f>IFERROR(__xludf.DUMMYFUNCTION("""COMPUTED_VALUE"""),62.5)</f>
        <v>62.5</v>
      </c>
    </row>
    <row r="2274">
      <c r="A2274" s="4">
        <f>IFERROR(__xludf.DUMMYFUNCTION("""COMPUTED_VALUE"""),3.0)</f>
        <v>3</v>
      </c>
      <c r="B2274" s="4">
        <f>IFERROR(__xludf.DUMMYFUNCTION("""COMPUTED_VALUE"""),3.0)</f>
        <v>3</v>
      </c>
      <c r="C2274" s="4" t="str">
        <f>IFERROR(__xludf.DUMMYFUNCTION("""COMPUTED_VALUE"""),"DEN")</f>
        <v>DEN</v>
      </c>
      <c r="D2274" s="4" t="str">
        <f>IFERROR(__xludf.DUMMYFUNCTION("""COMPUTED_VALUE"""),"Mahmoud Abdul-Rauf")</f>
        <v>Mahmoud Abdul-Rauf</v>
      </c>
      <c r="E2274" s="4" t="str">
        <f>IFERROR(__xludf.DUMMYFUNCTION("""COMPUTED_VALUE"""),"LSU")</f>
        <v>LSU</v>
      </c>
      <c r="F2274" s="4">
        <f>IFERROR(__xludf.DUMMYFUNCTION("""COMPUTED_VALUE"""),9.0)</f>
        <v>9</v>
      </c>
      <c r="G2274" s="4">
        <f>IFERROR(__xludf.DUMMYFUNCTION("""COMPUTED_VALUE"""),586.0)</f>
        <v>586</v>
      </c>
      <c r="H2274" s="4">
        <f>IFERROR(__xludf.DUMMYFUNCTION("""COMPUTED_VALUE"""),15628.0)</f>
        <v>15628</v>
      </c>
      <c r="I2274" s="4">
        <f>IFERROR(__xludf.DUMMYFUNCTION("""COMPUTED_VALUE"""),8553.0)</f>
        <v>8553</v>
      </c>
      <c r="J2274" s="4">
        <f>IFERROR(__xludf.DUMMYFUNCTION("""COMPUTED_VALUE"""),1087.0)</f>
        <v>1087</v>
      </c>
      <c r="K2274" s="4">
        <f>IFERROR(__xludf.DUMMYFUNCTION("""COMPUTED_VALUE"""),2079.0)</f>
        <v>2079</v>
      </c>
      <c r="L2274" s="4">
        <f>IFERROR(__xludf.DUMMYFUNCTION("""COMPUTED_VALUE"""),0.442)</f>
        <v>0.442</v>
      </c>
      <c r="M2274" s="4">
        <f>IFERROR(__xludf.DUMMYFUNCTION("""COMPUTED_VALUE"""),0.354)</f>
        <v>0.354</v>
      </c>
      <c r="N2274" s="4">
        <f>IFERROR(__xludf.DUMMYFUNCTION("""COMPUTED_VALUE"""),0.905)</f>
        <v>0.905</v>
      </c>
      <c r="O2274" s="4">
        <f>IFERROR(__xludf.DUMMYFUNCTION("""COMPUTED_VALUE"""),26.7)</f>
        <v>26.7</v>
      </c>
      <c r="P2274" s="4">
        <f>IFERROR(__xludf.DUMMYFUNCTION("""COMPUTED_VALUE"""),14.6)</f>
        <v>14.6</v>
      </c>
      <c r="Q2274" s="4">
        <f>IFERROR(__xludf.DUMMYFUNCTION("""COMPUTED_VALUE"""),1.9)</f>
        <v>1.9</v>
      </c>
      <c r="R2274" s="4">
        <f>IFERROR(__xludf.DUMMYFUNCTION("""COMPUTED_VALUE"""),3.5)</f>
        <v>3.5</v>
      </c>
      <c r="S2274" s="4">
        <f>IFERROR(__xludf.DUMMYFUNCTION("""COMPUTED_VALUE"""),25.2)</f>
        <v>25.2</v>
      </c>
      <c r="T2274" s="4">
        <f>IFERROR(__xludf.DUMMYFUNCTION("""COMPUTED_VALUE"""),0.077)</f>
        <v>0.077</v>
      </c>
      <c r="U2274" s="4">
        <f>IFERROR(__xludf.DUMMYFUNCTION("""COMPUTED_VALUE"""),-0.8)</f>
        <v>-0.8</v>
      </c>
      <c r="V2274" s="4">
        <f>IFERROR(__xludf.DUMMYFUNCTION("""COMPUTED_VALUE"""),4.5)</f>
        <v>4.5</v>
      </c>
    </row>
    <row r="2275">
      <c r="A2275" s="4">
        <f>IFERROR(__xludf.DUMMYFUNCTION("""COMPUTED_VALUE"""),4.0)</f>
        <v>4</v>
      </c>
      <c r="B2275" s="4">
        <f>IFERROR(__xludf.DUMMYFUNCTION("""COMPUTED_VALUE"""),4.0)</f>
        <v>4</v>
      </c>
      <c r="C2275" s="4" t="str">
        <f>IFERROR(__xludf.DUMMYFUNCTION("""COMPUTED_VALUE"""),"ORL")</f>
        <v>ORL</v>
      </c>
      <c r="D2275" s="4" t="str">
        <f>IFERROR(__xludf.DUMMYFUNCTION("""COMPUTED_VALUE"""),"Dennis Scott")</f>
        <v>Dennis Scott</v>
      </c>
      <c r="E2275" s="4" t="str">
        <f>IFERROR(__xludf.DUMMYFUNCTION("""COMPUTED_VALUE"""),"Georgia Tech")</f>
        <v>Georgia Tech</v>
      </c>
      <c r="F2275" s="4">
        <f>IFERROR(__xludf.DUMMYFUNCTION("""COMPUTED_VALUE"""),10.0)</f>
        <v>10</v>
      </c>
      <c r="G2275" s="4">
        <f>IFERROR(__xludf.DUMMYFUNCTION("""COMPUTED_VALUE"""),629.0)</f>
        <v>629</v>
      </c>
      <c r="H2275" s="4">
        <f>IFERROR(__xludf.DUMMYFUNCTION("""COMPUTED_VALUE"""),17983.0)</f>
        <v>17983</v>
      </c>
      <c r="I2275" s="4">
        <f>IFERROR(__xludf.DUMMYFUNCTION("""COMPUTED_VALUE"""),8094.0)</f>
        <v>8094</v>
      </c>
      <c r="J2275" s="4">
        <f>IFERROR(__xludf.DUMMYFUNCTION("""COMPUTED_VALUE"""),1774.0)</f>
        <v>1774</v>
      </c>
      <c r="K2275" s="4">
        <f>IFERROR(__xludf.DUMMYFUNCTION("""COMPUTED_VALUE"""),1296.0)</f>
        <v>1296</v>
      </c>
      <c r="L2275" s="4">
        <f>IFERROR(__xludf.DUMMYFUNCTION("""COMPUTED_VALUE"""),0.417)</f>
        <v>0.417</v>
      </c>
      <c r="M2275" s="4">
        <f>IFERROR(__xludf.DUMMYFUNCTION("""COMPUTED_VALUE"""),0.397)</f>
        <v>0.397</v>
      </c>
      <c r="N2275" s="4">
        <f>IFERROR(__xludf.DUMMYFUNCTION("""COMPUTED_VALUE"""),0.793)</f>
        <v>0.793</v>
      </c>
      <c r="O2275" s="4">
        <f>IFERROR(__xludf.DUMMYFUNCTION("""COMPUTED_VALUE"""),28.6)</f>
        <v>28.6</v>
      </c>
      <c r="P2275" s="4">
        <f>IFERROR(__xludf.DUMMYFUNCTION("""COMPUTED_VALUE"""),12.9)</f>
        <v>12.9</v>
      </c>
      <c r="Q2275" s="4">
        <f>IFERROR(__xludf.DUMMYFUNCTION("""COMPUTED_VALUE"""),2.8)</f>
        <v>2.8</v>
      </c>
      <c r="R2275" s="4">
        <f>IFERROR(__xludf.DUMMYFUNCTION("""COMPUTED_VALUE"""),2.1)</f>
        <v>2.1</v>
      </c>
      <c r="S2275" s="4">
        <f>IFERROR(__xludf.DUMMYFUNCTION("""COMPUTED_VALUE"""),33.4)</f>
        <v>33.4</v>
      </c>
      <c r="T2275" s="4">
        <f>IFERROR(__xludf.DUMMYFUNCTION("""COMPUTED_VALUE"""),0.089)</f>
        <v>0.089</v>
      </c>
      <c r="U2275" s="4">
        <f>IFERROR(__xludf.DUMMYFUNCTION("""COMPUTED_VALUE"""),0.2)</f>
        <v>0.2</v>
      </c>
      <c r="V2275" s="4">
        <f>IFERROR(__xludf.DUMMYFUNCTION("""COMPUTED_VALUE"""),9.9)</f>
        <v>9.9</v>
      </c>
    </row>
    <row r="2276">
      <c r="A2276" s="4">
        <f>IFERROR(__xludf.DUMMYFUNCTION("""COMPUTED_VALUE"""),5.0)</f>
        <v>5</v>
      </c>
      <c r="B2276" s="4">
        <f>IFERROR(__xludf.DUMMYFUNCTION("""COMPUTED_VALUE"""),5.0)</f>
        <v>5</v>
      </c>
      <c r="C2276" s="4" t="str">
        <f>IFERROR(__xludf.DUMMYFUNCTION("""COMPUTED_VALUE"""),"CHH")</f>
        <v>CHH</v>
      </c>
      <c r="D2276" s="4" t="str">
        <f>IFERROR(__xludf.DUMMYFUNCTION("""COMPUTED_VALUE"""),"Kendall Gill")</f>
        <v>Kendall Gill</v>
      </c>
      <c r="E2276" s="4" t="str">
        <f>IFERROR(__xludf.DUMMYFUNCTION("""COMPUTED_VALUE"""),"Illinois")</f>
        <v>Illinois</v>
      </c>
      <c r="F2276" s="4">
        <f>IFERROR(__xludf.DUMMYFUNCTION("""COMPUTED_VALUE"""),15.0)</f>
        <v>15</v>
      </c>
      <c r="G2276" s="4">
        <f>IFERROR(__xludf.DUMMYFUNCTION("""COMPUTED_VALUE"""),966.0)</f>
        <v>966</v>
      </c>
      <c r="H2276" s="4">
        <f>IFERROR(__xludf.DUMMYFUNCTION("""COMPUTED_VALUE"""),29481.0)</f>
        <v>29481</v>
      </c>
      <c r="I2276" s="4">
        <f>IFERROR(__xludf.DUMMYFUNCTION("""COMPUTED_VALUE"""),12914.0)</f>
        <v>12914</v>
      </c>
      <c r="J2276" s="4">
        <f>IFERROR(__xludf.DUMMYFUNCTION("""COMPUTED_VALUE"""),4002.0)</f>
        <v>4002</v>
      </c>
      <c r="K2276" s="4">
        <f>IFERROR(__xludf.DUMMYFUNCTION("""COMPUTED_VALUE"""),2945.0)</f>
        <v>2945</v>
      </c>
      <c r="L2276" s="4">
        <f>IFERROR(__xludf.DUMMYFUNCTION("""COMPUTED_VALUE"""),0.434)</f>
        <v>0.434</v>
      </c>
      <c r="M2276" s="4">
        <f>IFERROR(__xludf.DUMMYFUNCTION("""COMPUTED_VALUE"""),0.3)</f>
        <v>0.3</v>
      </c>
      <c r="N2276" s="4">
        <f>IFERROR(__xludf.DUMMYFUNCTION("""COMPUTED_VALUE"""),0.754)</f>
        <v>0.754</v>
      </c>
      <c r="O2276" s="4">
        <f>IFERROR(__xludf.DUMMYFUNCTION("""COMPUTED_VALUE"""),30.5)</f>
        <v>30.5</v>
      </c>
      <c r="P2276" s="4">
        <f>IFERROR(__xludf.DUMMYFUNCTION("""COMPUTED_VALUE"""),13.4)</f>
        <v>13.4</v>
      </c>
      <c r="Q2276" s="4">
        <f>IFERROR(__xludf.DUMMYFUNCTION("""COMPUTED_VALUE"""),4.1)</f>
        <v>4.1</v>
      </c>
      <c r="R2276" s="4">
        <f>IFERROR(__xludf.DUMMYFUNCTION("""COMPUTED_VALUE"""),3.0)</f>
        <v>3</v>
      </c>
      <c r="S2276" s="4">
        <f>IFERROR(__xludf.DUMMYFUNCTION("""COMPUTED_VALUE"""),47.8)</f>
        <v>47.8</v>
      </c>
      <c r="T2276" s="4">
        <f>IFERROR(__xludf.DUMMYFUNCTION("""COMPUTED_VALUE"""),0.078)</f>
        <v>0.078</v>
      </c>
      <c r="U2276" s="4">
        <f>IFERROR(__xludf.DUMMYFUNCTION("""COMPUTED_VALUE"""),0.1)</f>
        <v>0.1</v>
      </c>
      <c r="V2276" s="4">
        <f>IFERROR(__xludf.DUMMYFUNCTION("""COMPUTED_VALUE"""),15.8)</f>
        <v>15.8</v>
      </c>
    </row>
    <row r="2277">
      <c r="A2277" s="4">
        <f>IFERROR(__xludf.DUMMYFUNCTION("""COMPUTED_VALUE"""),6.0)</f>
        <v>6</v>
      </c>
      <c r="B2277" s="4">
        <f>IFERROR(__xludf.DUMMYFUNCTION("""COMPUTED_VALUE"""),6.0)</f>
        <v>6</v>
      </c>
      <c r="C2277" s="4" t="str">
        <f>IFERROR(__xludf.DUMMYFUNCTION("""COMPUTED_VALUE"""),"MIN")</f>
        <v>MIN</v>
      </c>
      <c r="D2277" s="4" t="str">
        <f>IFERROR(__xludf.DUMMYFUNCTION("""COMPUTED_VALUE"""),"Felton Spencer")</f>
        <v>Felton Spencer</v>
      </c>
      <c r="E2277" s="4" t="str">
        <f>IFERROR(__xludf.DUMMYFUNCTION("""COMPUTED_VALUE"""),"Louisville")</f>
        <v>Louisville</v>
      </c>
      <c r="F2277" s="4">
        <f>IFERROR(__xludf.DUMMYFUNCTION("""COMPUTED_VALUE"""),12.0)</f>
        <v>12</v>
      </c>
      <c r="G2277" s="4">
        <f>IFERROR(__xludf.DUMMYFUNCTION("""COMPUTED_VALUE"""),640.0)</f>
        <v>640</v>
      </c>
      <c r="H2277" s="4">
        <f>IFERROR(__xludf.DUMMYFUNCTION("""COMPUTED_VALUE"""),12298.0)</f>
        <v>12298</v>
      </c>
      <c r="I2277" s="4">
        <f>IFERROR(__xludf.DUMMYFUNCTION("""COMPUTED_VALUE"""),3354.0)</f>
        <v>3354</v>
      </c>
      <c r="J2277" s="4">
        <f>IFERROR(__xludf.DUMMYFUNCTION("""COMPUTED_VALUE"""),3436.0)</f>
        <v>3436</v>
      </c>
      <c r="K2277" s="4">
        <f>IFERROR(__xludf.DUMMYFUNCTION("""COMPUTED_VALUE"""),213.0)</f>
        <v>213</v>
      </c>
      <c r="L2277" s="4">
        <f>IFERROR(__xludf.DUMMYFUNCTION("""COMPUTED_VALUE"""),0.484)</f>
        <v>0.484</v>
      </c>
      <c r="M2277" s="4">
        <f>IFERROR(__xludf.DUMMYFUNCTION("""COMPUTED_VALUE"""),0.0)</f>
        <v>0</v>
      </c>
      <c r="N2277" s="4">
        <f>IFERROR(__xludf.DUMMYFUNCTION("""COMPUTED_VALUE"""),0.658)</f>
        <v>0.658</v>
      </c>
      <c r="O2277" s="4">
        <f>IFERROR(__xludf.DUMMYFUNCTION("""COMPUTED_VALUE"""),19.2)</f>
        <v>19.2</v>
      </c>
      <c r="P2277" s="4">
        <f>IFERROR(__xludf.DUMMYFUNCTION("""COMPUTED_VALUE"""),5.2)</f>
        <v>5.2</v>
      </c>
      <c r="Q2277" s="4">
        <f>IFERROR(__xludf.DUMMYFUNCTION("""COMPUTED_VALUE"""),5.4)</f>
        <v>5.4</v>
      </c>
      <c r="R2277" s="4">
        <f>IFERROR(__xludf.DUMMYFUNCTION("""COMPUTED_VALUE"""),0.3)</f>
        <v>0.3</v>
      </c>
      <c r="S2277" s="4">
        <f>IFERROR(__xludf.DUMMYFUNCTION("""COMPUTED_VALUE"""),20.9)</f>
        <v>20.9</v>
      </c>
      <c r="T2277" s="4">
        <f>IFERROR(__xludf.DUMMYFUNCTION("""COMPUTED_VALUE"""),0.081)</f>
        <v>0.081</v>
      </c>
      <c r="U2277" s="4">
        <f>IFERROR(__xludf.DUMMYFUNCTION("""COMPUTED_VALUE"""),-4.3)</f>
        <v>-4.3</v>
      </c>
      <c r="V2277" s="4">
        <f>IFERROR(__xludf.DUMMYFUNCTION("""COMPUTED_VALUE"""),-7.0)</f>
        <v>-7</v>
      </c>
    </row>
    <row r="2278">
      <c r="A2278" s="4">
        <f>IFERROR(__xludf.DUMMYFUNCTION("""COMPUTED_VALUE"""),7.0)</f>
        <v>7</v>
      </c>
      <c r="B2278" s="4">
        <f>IFERROR(__xludf.DUMMYFUNCTION("""COMPUTED_VALUE"""),7.0)</f>
        <v>7</v>
      </c>
      <c r="C2278" s="4" t="str">
        <f>IFERROR(__xludf.DUMMYFUNCTION("""COMPUTED_VALUE"""),"SAC")</f>
        <v>SAC</v>
      </c>
      <c r="D2278" s="4" t="str">
        <f>IFERROR(__xludf.DUMMYFUNCTION("""COMPUTED_VALUE"""),"Lionel Simmons")</f>
        <v>Lionel Simmons</v>
      </c>
      <c r="E2278" s="4" t="str">
        <f>IFERROR(__xludf.DUMMYFUNCTION("""COMPUTED_VALUE"""),"La Salle")</f>
        <v>La Salle</v>
      </c>
      <c r="F2278" s="4">
        <f>IFERROR(__xludf.DUMMYFUNCTION("""COMPUTED_VALUE"""),7.0)</f>
        <v>7</v>
      </c>
      <c r="G2278" s="4">
        <f>IFERROR(__xludf.DUMMYFUNCTION("""COMPUTED_VALUE"""),454.0)</f>
        <v>454</v>
      </c>
      <c r="H2278" s="4">
        <f>IFERROR(__xludf.DUMMYFUNCTION("""COMPUTED_VALUE"""),13472.0)</f>
        <v>13472</v>
      </c>
      <c r="I2278" s="4">
        <f>IFERROR(__xludf.DUMMYFUNCTION("""COMPUTED_VALUE"""),5833.0)</f>
        <v>5833</v>
      </c>
      <c r="J2278" s="4">
        <f>IFERROR(__xludf.DUMMYFUNCTION("""COMPUTED_VALUE"""),2833.0)</f>
        <v>2833</v>
      </c>
      <c r="K2278" s="4">
        <f>IFERROR(__xludf.DUMMYFUNCTION("""COMPUTED_VALUE"""),1498.0)</f>
        <v>1498</v>
      </c>
      <c r="L2278" s="4">
        <f>IFERROR(__xludf.DUMMYFUNCTION("""COMPUTED_VALUE"""),0.433)</f>
        <v>0.433</v>
      </c>
      <c r="M2278" s="4">
        <f>IFERROR(__xludf.DUMMYFUNCTION("""COMPUTED_VALUE"""),0.305)</f>
        <v>0.305</v>
      </c>
      <c r="N2278" s="4">
        <f>IFERROR(__xludf.DUMMYFUNCTION("""COMPUTED_VALUE"""),0.771)</f>
        <v>0.771</v>
      </c>
      <c r="O2278" s="4">
        <f>IFERROR(__xludf.DUMMYFUNCTION("""COMPUTED_VALUE"""),29.7)</f>
        <v>29.7</v>
      </c>
      <c r="P2278" s="4">
        <f>IFERROR(__xludf.DUMMYFUNCTION("""COMPUTED_VALUE"""),12.8)</f>
        <v>12.8</v>
      </c>
      <c r="Q2278" s="4">
        <f>IFERROR(__xludf.DUMMYFUNCTION("""COMPUTED_VALUE"""),6.2)</f>
        <v>6.2</v>
      </c>
      <c r="R2278" s="4">
        <f>IFERROR(__xludf.DUMMYFUNCTION("""COMPUTED_VALUE"""),3.3)</f>
        <v>3.3</v>
      </c>
      <c r="S2278" s="4">
        <f>IFERROR(__xludf.DUMMYFUNCTION("""COMPUTED_VALUE"""),16.9)</f>
        <v>16.9</v>
      </c>
      <c r="T2278" s="4">
        <f>IFERROR(__xludf.DUMMYFUNCTION("""COMPUTED_VALUE"""),0.06)</f>
        <v>0.06</v>
      </c>
      <c r="U2278" s="4">
        <f>IFERROR(__xludf.DUMMYFUNCTION("""COMPUTED_VALUE"""),0.0)</f>
        <v>0</v>
      </c>
      <c r="V2278" s="4">
        <f>IFERROR(__xludf.DUMMYFUNCTION("""COMPUTED_VALUE"""),6.7)</f>
        <v>6.7</v>
      </c>
    </row>
    <row r="2279">
      <c r="A2279" s="4">
        <f>IFERROR(__xludf.DUMMYFUNCTION("""COMPUTED_VALUE"""),8.0)</f>
        <v>8</v>
      </c>
      <c r="B2279" s="4">
        <f>IFERROR(__xludf.DUMMYFUNCTION("""COMPUTED_VALUE"""),8.0)</f>
        <v>8</v>
      </c>
      <c r="C2279" s="4" t="str">
        <f>IFERROR(__xludf.DUMMYFUNCTION("""COMPUTED_VALUE"""),"LAC")</f>
        <v>LAC</v>
      </c>
      <c r="D2279" s="4" t="str">
        <f>IFERROR(__xludf.DUMMYFUNCTION("""COMPUTED_VALUE"""),"Bo Kimble")</f>
        <v>Bo Kimble</v>
      </c>
      <c r="E2279" s="4" t="str">
        <f>IFERROR(__xludf.DUMMYFUNCTION("""COMPUTED_VALUE"""),"Loyola Marymount")</f>
        <v>Loyola Marymount</v>
      </c>
      <c r="F2279" s="4">
        <f>IFERROR(__xludf.DUMMYFUNCTION("""COMPUTED_VALUE"""),3.0)</f>
        <v>3</v>
      </c>
      <c r="G2279" s="4">
        <f>IFERROR(__xludf.DUMMYFUNCTION("""COMPUTED_VALUE"""),105.0)</f>
        <v>105</v>
      </c>
      <c r="H2279" s="4">
        <f>IFERROR(__xludf.DUMMYFUNCTION("""COMPUTED_VALUE"""),1336.0)</f>
        <v>1336</v>
      </c>
      <c r="I2279" s="4">
        <f>IFERROR(__xludf.DUMMYFUNCTION("""COMPUTED_VALUE"""),574.0)</f>
        <v>574</v>
      </c>
      <c r="J2279" s="4">
        <f>IFERROR(__xludf.DUMMYFUNCTION("""COMPUTED_VALUE"""),162.0)</f>
        <v>162</v>
      </c>
      <c r="K2279" s="4">
        <f>IFERROR(__xludf.DUMMYFUNCTION("""COMPUTED_VALUE"""),98.0)</f>
        <v>98</v>
      </c>
      <c r="L2279" s="4">
        <f>IFERROR(__xludf.DUMMYFUNCTION("""COMPUTED_VALUE"""),0.386)</f>
        <v>0.386</v>
      </c>
      <c r="M2279" s="4">
        <f>IFERROR(__xludf.DUMMYFUNCTION("""COMPUTED_VALUE"""),0.291)</f>
        <v>0.291</v>
      </c>
      <c r="N2279" s="4">
        <f>IFERROR(__xludf.DUMMYFUNCTION("""COMPUTED_VALUE"""),0.728)</f>
        <v>0.728</v>
      </c>
      <c r="O2279" s="4">
        <f>IFERROR(__xludf.DUMMYFUNCTION("""COMPUTED_VALUE"""),12.7)</f>
        <v>12.7</v>
      </c>
      <c r="P2279" s="4">
        <f>IFERROR(__xludf.DUMMYFUNCTION("""COMPUTED_VALUE"""),5.5)</f>
        <v>5.5</v>
      </c>
      <c r="Q2279" s="4">
        <f>IFERROR(__xludf.DUMMYFUNCTION("""COMPUTED_VALUE"""),1.5)</f>
        <v>1.5</v>
      </c>
      <c r="R2279" s="4">
        <f>IFERROR(__xludf.DUMMYFUNCTION("""COMPUTED_VALUE"""),0.9)</f>
        <v>0.9</v>
      </c>
      <c r="S2279" s="4">
        <f>IFERROR(__xludf.DUMMYFUNCTION("""COMPUTED_VALUE"""),0.1)</f>
        <v>0.1</v>
      </c>
      <c r="T2279" s="4">
        <f>IFERROR(__xludf.DUMMYFUNCTION("""COMPUTED_VALUE"""),0.004)</f>
        <v>0.004</v>
      </c>
      <c r="U2279" s="4">
        <f>IFERROR(__xludf.DUMMYFUNCTION("""COMPUTED_VALUE"""),-5.7)</f>
        <v>-5.7</v>
      </c>
      <c r="V2279" s="4">
        <f>IFERROR(__xludf.DUMMYFUNCTION("""COMPUTED_VALUE"""),-1.2)</f>
        <v>-1.2</v>
      </c>
    </row>
    <row r="2280">
      <c r="A2280" s="4">
        <f>IFERROR(__xludf.DUMMYFUNCTION("""COMPUTED_VALUE"""),9.0)</f>
        <v>9</v>
      </c>
      <c r="B2280" s="4">
        <f>IFERROR(__xludf.DUMMYFUNCTION("""COMPUTED_VALUE"""),9.0)</f>
        <v>9</v>
      </c>
      <c r="C2280" s="4" t="str">
        <f>IFERROR(__xludf.DUMMYFUNCTION("""COMPUTED_VALUE"""),"MIA")</f>
        <v>MIA</v>
      </c>
      <c r="D2280" s="4" t="str">
        <f>IFERROR(__xludf.DUMMYFUNCTION("""COMPUTED_VALUE"""),"Willie Burton")</f>
        <v>Willie Burton</v>
      </c>
      <c r="E2280" s="4" t="str">
        <f>IFERROR(__xludf.DUMMYFUNCTION("""COMPUTED_VALUE"""),"Minnesota")</f>
        <v>Minnesota</v>
      </c>
      <c r="F2280" s="4">
        <f>IFERROR(__xludf.DUMMYFUNCTION("""COMPUTED_VALUE"""),8.0)</f>
        <v>8</v>
      </c>
      <c r="G2280" s="4">
        <f>IFERROR(__xludf.DUMMYFUNCTION("""COMPUTED_VALUE"""),316.0)</f>
        <v>316</v>
      </c>
      <c r="H2280" s="4">
        <f>IFERROR(__xludf.DUMMYFUNCTION("""COMPUTED_VALUE"""),6666.0)</f>
        <v>6666</v>
      </c>
      <c r="I2280" s="4">
        <f>IFERROR(__xludf.DUMMYFUNCTION("""COMPUTED_VALUE"""),3243.0)</f>
        <v>3243</v>
      </c>
      <c r="J2280" s="4">
        <f>IFERROR(__xludf.DUMMYFUNCTION("""COMPUTED_VALUE"""),932.0)</f>
        <v>932</v>
      </c>
      <c r="K2280" s="4">
        <f>IFERROR(__xludf.DUMMYFUNCTION("""COMPUTED_VALUE"""),393.0)</f>
        <v>393</v>
      </c>
      <c r="L2280" s="4">
        <f>IFERROR(__xludf.DUMMYFUNCTION("""COMPUTED_VALUE"""),0.424)</f>
        <v>0.424</v>
      </c>
      <c r="M2280" s="4">
        <f>IFERROR(__xludf.DUMMYFUNCTION("""COMPUTED_VALUE"""),0.345)</f>
        <v>0.345</v>
      </c>
      <c r="N2280" s="4">
        <f>IFERROR(__xludf.DUMMYFUNCTION("""COMPUTED_VALUE"""),0.786)</f>
        <v>0.786</v>
      </c>
      <c r="O2280" s="4">
        <f>IFERROR(__xludf.DUMMYFUNCTION("""COMPUTED_VALUE"""),21.1)</f>
        <v>21.1</v>
      </c>
      <c r="P2280" s="4">
        <f>IFERROR(__xludf.DUMMYFUNCTION("""COMPUTED_VALUE"""),10.3)</f>
        <v>10.3</v>
      </c>
      <c r="Q2280" s="4">
        <f>IFERROR(__xludf.DUMMYFUNCTION("""COMPUTED_VALUE"""),2.9)</f>
        <v>2.9</v>
      </c>
      <c r="R2280" s="4">
        <f>IFERROR(__xludf.DUMMYFUNCTION("""COMPUTED_VALUE"""),1.2)</f>
        <v>1.2</v>
      </c>
      <c r="S2280" s="4">
        <f>IFERROR(__xludf.DUMMYFUNCTION("""COMPUTED_VALUE"""),9.1)</f>
        <v>9.1</v>
      </c>
      <c r="T2280" s="4">
        <f>IFERROR(__xludf.DUMMYFUNCTION("""COMPUTED_VALUE"""),0.065)</f>
        <v>0.065</v>
      </c>
      <c r="U2280" s="4">
        <f>IFERROR(__xludf.DUMMYFUNCTION("""COMPUTED_VALUE"""),-2.5)</f>
        <v>-2.5</v>
      </c>
      <c r="V2280" s="4">
        <f>IFERROR(__xludf.DUMMYFUNCTION("""COMPUTED_VALUE"""),-0.9)</f>
        <v>-0.9</v>
      </c>
    </row>
    <row r="2281">
      <c r="A2281" s="4">
        <f>IFERROR(__xludf.DUMMYFUNCTION("""COMPUTED_VALUE"""),10.0)</f>
        <v>10</v>
      </c>
      <c r="B2281" s="4">
        <f>IFERROR(__xludf.DUMMYFUNCTION("""COMPUTED_VALUE"""),10.0)</f>
        <v>10</v>
      </c>
      <c r="C2281" s="4" t="str">
        <f>IFERROR(__xludf.DUMMYFUNCTION("""COMPUTED_VALUE"""),"ATL")</f>
        <v>ATL</v>
      </c>
      <c r="D2281" s="4" t="str">
        <f>IFERROR(__xludf.DUMMYFUNCTION("""COMPUTED_VALUE"""),"Rumeal Robinson")</f>
        <v>Rumeal Robinson</v>
      </c>
      <c r="E2281" s="4" t="str">
        <f>IFERROR(__xludf.DUMMYFUNCTION("""COMPUTED_VALUE"""),"Michigan")</f>
        <v>Michigan</v>
      </c>
      <c r="F2281" s="4">
        <f>IFERROR(__xludf.DUMMYFUNCTION("""COMPUTED_VALUE"""),6.0)</f>
        <v>6</v>
      </c>
      <c r="G2281" s="4">
        <f>IFERROR(__xludf.DUMMYFUNCTION("""COMPUTED_VALUE"""),336.0)</f>
        <v>336</v>
      </c>
      <c r="H2281" s="4">
        <f>IFERROR(__xludf.DUMMYFUNCTION("""COMPUTED_VALUE"""),6098.0)</f>
        <v>6098</v>
      </c>
      <c r="I2281" s="4">
        <f>IFERROR(__xludf.DUMMYFUNCTION("""COMPUTED_VALUE"""),2546.0)</f>
        <v>2546</v>
      </c>
      <c r="J2281" s="4">
        <f>IFERROR(__xludf.DUMMYFUNCTION("""COMPUTED_VALUE"""),606.0)</f>
        <v>606</v>
      </c>
      <c r="K2281" s="4">
        <f>IFERROR(__xludf.DUMMYFUNCTION("""COMPUTED_VALUE"""),1179.0)</f>
        <v>1179</v>
      </c>
      <c r="L2281" s="4">
        <f>IFERROR(__xludf.DUMMYFUNCTION("""COMPUTED_VALUE"""),0.432)</f>
        <v>0.432</v>
      </c>
      <c r="M2281" s="4">
        <f>IFERROR(__xludf.DUMMYFUNCTION("""COMPUTED_VALUE"""),0.344)</f>
        <v>0.344</v>
      </c>
      <c r="N2281" s="4">
        <f>IFERROR(__xludf.DUMMYFUNCTION("""COMPUTED_VALUE"""),0.611)</f>
        <v>0.611</v>
      </c>
      <c r="O2281" s="4">
        <f>IFERROR(__xludf.DUMMYFUNCTION("""COMPUTED_VALUE"""),18.1)</f>
        <v>18.1</v>
      </c>
      <c r="P2281" s="4">
        <f>IFERROR(__xludf.DUMMYFUNCTION("""COMPUTED_VALUE"""),7.6)</f>
        <v>7.6</v>
      </c>
      <c r="Q2281" s="4">
        <f>IFERROR(__xludf.DUMMYFUNCTION("""COMPUTED_VALUE"""),1.8)</f>
        <v>1.8</v>
      </c>
      <c r="R2281" s="4">
        <f>IFERROR(__xludf.DUMMYFUNCTION("""COMPUTED_VALUE"""),3.5)</f>
        <v>3.5</v>
      </c>
      <c r="S2281" s="4">
        <f>IFERROR(__xludf.DUMMYFUNCTION("""COMPUTED_VALUE"""),5.2)</f>
        <v>5.2</v>
      </c>
      <c r="T2281" s="4">
        <f>IFERROR(__xludf.DUMMYFUNCTION("""COMPUTED_VALUE"""),0.041)</f>
        <v>0.041</v>
      </c>
      <c r="U2281" s="4">
        <f>IFERROR(__xludf.DUMMYFUNCTION("""COMPUTED_VALUE"""),-1.5)</f>
        <v>-1.5</v>
      </c>
      <c r="V2281" s="4">
        <f>IFERROR(__xludf.DUMMYFUNCTION("""COMPUTED_VALUE"""),0.8)</f>
        <v>0.8</v>
      </c>
    </row>
    <row r="2282">
      <c r="A2282" s="4">
        <f>IFERROR(__xludf.DUMMYFUNCTION("""COMPUTED_VALUE"""),11.0)</f>
        <v>11</v>
      </c>
      <c r="B2282" s="4">
        <f>IFERROR(__xludf.DUMMYFUNCTION("""COMPUTED_VALUE"""),11.0)</f>
        <v>11</v>
      </c>
      <c r="C2282" s="4" t="str">
        <f>IFERROR(__xludf.DUMMYFUNCTION("""COMPUTED_VALUE"""),"GSW")</f>
        <v>GSW</v>
      </c>
      <c r="D2282" s="4" t="str">
        <f>IFERROR(__xludf.DUMMYFUNCTION("""COMPUTED_VALUE"""),"Tyrone Hill")</f>
        <v>Tyrone Hill</v>
      </c>
      <c r="E2282" s="4" t="str">
        <f>IFERROR(__xludf.DUMMYFUNCTION("""COMPUTED_VALUE"""),"Xavier")</f>
        <v>Xavier</v>
      </c>
      <c r="F2282" s="4">
        <f>IFERROR(__xludf.DUMMYFUNCTION("""COMPUTED_VALUE"""),14.0)</f>
        <v>14</v>
      </c>
      <c r="G2282" s="4">
        <f>IFERROR(__xludf.DUMMYFUNCTION("""COMPUTED_VALUE"""),801.0)</f>
        <v>801</v>
      </c>
      <c r="H2282" s="4">
        <f>IFERROR(__xludf.DUMMYFUNCTION("""COMPUTED_VALUE"""),22388.0)</f>
        <v>22388</v>
      </c>
      <c r="I2282" s="4">
        <f>IFERROR(__xludf.DUMMYFUNCTION("""COMPUTED_VALUE"""),7532.0)</f>
        <v>7532</v>
      </c>
      <c r="J2282" s="4">
        <f>IFERROR(__xludf.DUMMYFUNCTION("""COMPUTED_VALUE"""),6854.0)</f>
        <v>6854</v>
      </c>
      <c r="K2282" s="4">
        <f>IFERROR(__xludf.DUMMYFUNCTION("""COMPUTED_VALUE"""),647.0)</f>
        <v>647</v>
      </c>
      <c r="L2282" s="4">
        <f>IFERROR(__xludf.DUMMYFUNCTION("""COMPUTED_VALUE"""),0.502)</f>
        <v>0.502</v>
      </c>
      <c r="M2282" s="4">
        <f>IFERROR(__xludf.DUMMYFUNCTION("""COMPUTED_VALUE"""),0.0)</f>
        <v>0</v>
      </c>
      <c r="N2282" s="4">
        <f>IFERROR(__xludf.DUMMYFUNCTION("""COMPUTED_VALUE"""),0.643)</f>
        <v>0.643</v>
      </c>
      <c r="O2282" s="4">
        <f>IFERROR(__xludf.DUMMYFUNCTION("""COMPUTED_VALUE"""),28.0)</f>
        <v>28</v>
      </c>
      <c r="P2282" s="4">
        <f>IFERROR(__xludf.DUMMYFUNCTION("""COMPUTED_VALUE"""),9.4)</f>
        <v>9.4</v>
      </c>
      <c r="Q2282" s="4">
        <f>IFERROR(__xludf.DUMMYFUNCTION("""COMPUTED_VALUE"""),8.6)</f>
        <v>8.6</v>
      </c>
      <c r="R2282" s="4">
        <f>IFERROR(__xludf.DUMMYFUNCTION("""COMPUTED_VALUE"""),0.8)</f>
        <v>0.8</v>
      </c>
      <c r="S2282" s="4">
        <f>IFERROR(__xludf.DUMMYFUNCTION("""COMPUTED_VALUE"""),56.2)</f>
        <v>56.2</v>
      </c>
      <c r="T2282" s="4">
        <f>IFERROR(__xludf.DUMMYFUNCTION("""COMPUTED_VALUE"""),0.12)</f>
        <v>0.12</v>
      </c>
      <c r="U2282" s="4">
        <f>IFERROR(__xludf.DUMMYFUNCTION("""COMPUTED_VALUE"""),-1.9)</f>
        <v>-1.9</v>
      </c>
      <c r="V2282" s="4">
        <f>IFERROR(__xludf.DUMMYFUNCTION("""COMPUTED_VALUE"""),0.8)</f>
        <v>0.8</v>
      </c>
    </row>
    <row r="2283">
      <c r="A2283" s="4">
        <f>IFERROR(__xludf.DUMMYFUNCTION("""COMPUTED_VALUE"""),12.0)</f>
        <v>12</v>
      </c>
      <c r="B2283" s="4">
        <f>IFERROR(__xludf.DUMMYFUNCTION("""COMPUTED_VALUE"""),12.0)</f>
        <v>12</v>
      </c>
      <c r="C2283" s="4" t="str">
        <f>IFERROR(__xludf.DUMMYFUNCTION("""COMPUTED_VALUE"""),"HOU")</f>
        <v>HOU</v>
      </c>
      <c r="D2283" s="4" t="str">
        <f>IFERROR(__xludf.DUMMYFUNCTION("""COMPUTED_VALUE"""),"Alec Kessler")</f>
        <v>Alec Kessler</v>
      </c>
      <c r="E2283" s="4" t="str">
        <f>IFERROR(__xludf.DUMMYFUNCTION("""COMPUTED_VALUE"""),"Georgia")</f>
        <v>Georgia</v>
      </c>
      <c r="F2283" s="4">
        <f>IFERROR(__xludf.DUMMYFUNCTION("""COMPUTED_VALUE"""),4.0)</f>
        <v>4</v>
      </c>
      <c r="G2283" s="4">
        <f>IFERROR(__xludf.DUMMYFUNCTION("""COMPUTED_VALUE"""),210.0)</f>
        <v>210</v>
      </c>
      <c r="H2283" s="4">
        <f>IFERROR(__xludf.DUMMYFUNCTION("""COMPUTED_VALUE"""),2937.0)</f>
        <v>2937</v>
      </c>
      <c r="I2283" s="4">
        <f>IFERROR(__xludf.DUMMYFUNCTION("""COMPUTED_VALUE"""),1084.0)</f>
        <v>1084</v>
      </c>
      <c r="J2283" s="4">
        <f>IFERROR(__xludf.DUMMYFUNCTION("""COMPUTED_VALUE"""),751.0)</f>
        <v>751</v>
      </c>
      <c r="K2283" s="4">
        <f>IFERROR(__xludf.DUMMYFUNCTION("""COMPUTED_VALUE"""),81.0)</f>
        <v>81</v>
      </c>
      <c r="L2283" s="4">
        <f>IFERROR(__xludf.DUMMYFUNCTION("""COMPUTED_VALUE"""),0.426)</f>
        <v>0.426</v>
      </c>
      <c r="M2283" s="4">
        <f>IFERROR(__xludf.DUMMYFUNCTION("""COMPUTED_VALUE"""),0.417)</f>
        <v>0.417</v>
      </c>
      <c r="N2283" s="4">
        <f>IFERROR(__xludf.DUMMYFUNCTION("""COMPUTED_VALUE"""),0.744)</f>
        <v>0.744</v>
      </c>
      <c r="O2283" s="4">
        <f>IFERROR(__xludf.DUMMYFUNCTION("""COMPUTED_VALUE"""),14.0)</f>
        <v>14</v>
      </c>
      <c r="P2283" s="4">
        <f>IFERROR(__xludf.DUMMYFUNCTION("""COMPUTED_VALUE"""),5.2)</f>
        <v>5.2</v>
      </c>
      <c r="Q2283" s="4">
        <f>IFERROR(__xludf.DUMMYFUNCTION("""COMPUTED_VALUE"""),3.6)</f>
        <v>3.6</v>
      </c>
      <c r="R2283" s="4">
        <f>IFERROR(__xludf.DUMMYFUNCTION("""COMPUTED_VALUE"""),0.4)</f>
        <v>0.4</v>
      </c>
      <c r="S2283" s="4">
        <f>IFERROR(__xludf.DUMMYFUNCTION("""COMPUTED_VALUE"""),2.0)</f>
        <v>2</v>
      </c>
      <c r="T2283" s="4">
        <f>IFERROR(__xludf.DUMMYFUNCTION("""COMPUTED_VALUE"""),0.033)</f>
        <v>0.033</v>
      </c>
      <c r="U2283" s="4">
        <f>IFERROR(__xludf.DUMMYFUNCTION("""COMPUTED_VALUE"""),-5.9)</f>
        <v>-5.9</v>
      </c>
      <c r="V2283" s="4">
        <f>IFERROR(__xludf.DUMMYFUNCTION("""COMPUTED_VALUE"""),-2.8)</f>
        <v>-2.8</v>
      </c>
    </row>
    <row r="2284">
      <c r="A2284" s="4">
        <f>IFERROR(__xludf.DUMMYFUNCTION("""COMPUTED_VALUE"""),13.0)</f>
        <v>13</v>
      </c>
      <c r="B2284" s="4">
        <f>IFERROR(__xludf.DUMMYFUNCTION("""COMPUTED_VALUE"""),13.0)</f>
        <v>13</v>
      </c>
      <c r="C2284" s="4" t="str">
        <f>IFERROR(__xludf.DUMMYFUNCTION("""COMPUTED_VALUE"""),"LAC")</f>
        <v>LAC</v>
      </c>
      <c r="D2284" s="4" t="str">
        <f>IFERROR(__xludf.DUMMYFUNCTION("""COMPUTED_VALUE"""),"Loy Vaught")</f>
        <v>Loy Vaught</v>
      </c>
      <c r="E2284" s="4" t="str">
        <f>IFERROR(__xludf.DUMMYFUNCTION("""COMPUTED_VALUE"""),"Michigan")</f>
        <v>Michigan</v>
      </c>
      <c r="F2284" s="4">
        <f>IFERROR(__xludf.DUMMYFUNCTION("""COMPUTED_VALUE"""),11.0)</f>
        <v>11</v>
      </c>
      <c r="G2284" s="4">
        <f>IFERROR(__xludf.DUMMYFUNCTION("""COMPUTED_VALUE"""),689.0)</f>
        <v>689</v>
      </c>
      <c r="H2284" s="4">
        <f>IFERROR(__xludf.DUMMYFUNCTION("""COMPUTED_VALUE"""),16993.0)</f>
        <v>16993</v>
      </c>
      <c r="I2284" s="4">
        <f>IFERROR(__xludf.DUMMYFUNCTION("""COMPUTED_VALUE"""),6984.0)</f>
        <v>6984</v>
      </c>
      <c r="J2284" s="4">
        <f>IFERROR(__xludf.DUMMYFUNCTION("""COMPUTED_VALUE"""),4881.0)</f>
        <v>4881</v>
      </c>
      <c r="K2284" s="4">
        <f>IFERROR(__xludf.DUMMYFUNCTION("""COMPUTED_VALUE"""),652.0)</f>
        <v>652</v>
      </c>
      <c r="L2284" s="4">
        <f>IFERROR(__xludf.DUMMYFUNCTION("""COMPUTED_VALUE"""),0.504)</f>
        <v>0.504</v>
      </c>
      <c r="M2284" s="4">
        <f>IFERROR(__xludf.DUMMYFUNCTION("""COMPUTED_VALUE"""),0.244)</f>
        <v>0.244</v>
      </c>
      <c r="N2284" s="4">
        <f>IFERROR(__xludf.DUMMYFUNCTION("""COMPUTED_VALUE"""),0.718)</f>
        <v>0.718</v>
      </c>
      <c r="O2284" s="4">
        <f>IFERROR(__xludf.DUMMYFUNCTION("""COMPUTED_VALUE"""),24.7)</f>
        <v>24.7</v>
      </c>
      <c r="P2284" s="4">
        <f>IFERROR(__xludf.DUMMYFUNCTION("""COMPUTED_VALUE"""),10.1)</f>
        <v>10.1</v>
      </c>
      <c r="Q2284" s="4">
        <f>IFERROR(__xludf.DUMMYFUNCTION("""COMPUTED_VALUE"""),7.1)</f>
        <v>7.1</v>
      </c>
      <c r="R2284" s="4">
        <f>IFERROR(__xludf.DUMMYFUNCTION("""COMPUTED_VALUE"""),0.9)</f>
        <v>0.9</v>
      </c>
      <c r="S2284" s="4">
        <f>IFERROR(__xludf.DUMMYFUNCTION("""COMPUTED_VALUE"""),35.8)</f>
        <v>35.8</v>
      </c>
      <c r="T2284" s="4">
        <f>IFERROR(__xludf.DUMMYFUNCTION("""COMPUTED_VALUE"""),0.101)</f>
        <v>0.101</v>
      </c>
      <c r="U2284" s="4">
        <f>IFERROR(__xludf.DUMMYFUNCTION("""COMPUTED_VALUE"""),-1.5)</f>
        <v>-1.5</v>
      </c>
      <c r="V2284" s="4">
        <f>IFERROR(__xludf.DUMMYFUNCTION("""COMPUTED_VALUE"""),2.2)</f>
        <v>2.2</v>
      </c>
    </row>
    <row r="2285">
      <c r="A2285" s="4">
        <f>IFERROR(__xludf.DUMMYFUNCTION("""COMPUTED_VALUE"""),14.0)</f>
        <v>14</v>
      </c>
      <c r="B2285" s="4">
        <f>IFERROR(__xludf.DUMMYFUNCTION("""COMPUTED_VALUE"""),14.0)</f>
        <v>14</v>
      </c>
      <c r="C2285" s="4" t="str">
        <f>IFERROR(__xludf.DUMMYFUNCTION("""COMPUTED_VALUE"""),"SAC")</f>
        <v>SAC</v>
      </c>
      <c r="D2285" s="4" t="str">
        <f>IFERROR(__xludf.DUMMYFUNCTION("""COMPUTED_VALUE"""),"Travis Mays")</f>
        <v>Travis Mays</v>
      </c>
      <c r="E2285" s="4" t="str">
        <f>IFERROR(__xludf.DUMMYFUNCTION("""COMPUTED_VALUE"""),"Texas")</f>
        <v>Texas</v>
      </c>
      <c r="F2285" s="4">
        <f>IFERROR(__xludf.DUMMYFUNCTION("""COMPUTED_VALUE"""),3.0)</f>
        <v>3</v>
      </c>
      <c r="G2285" s="4">
        <f>IFERROR(__xludf.DUMMYFUNCTION("""COMPUTED_VALUE"""),115.0)</f>
        <v>115</v>
      </c>
      <c r="H2285" s="4">
        <f>IFERROR(__xludf.DUMMYFUNCTION("""COMPUTED_VALUE"""),2964.0)</f>
        <v>2964</v>
      </c>
      <c r="I2285" s="4">
        <f>IFERROR(__xludf.DUMMYFUNCTION("""COMPUTED_VALUE"""),1273.0)</f>
        <v>1273</v>
      </c>
      <c r="J2285" s="4">
        <f>IFERROR(__xludf.DUMMYFUNCTION("""COMPUTED_VALUE"""),233.0)</f>
        <v>233</v>
      </c>
      <c r="K2285" s="4">
        <f>IFERROR(__xludf.DUMMYFUNCTION("""COMPUTED_VALUE"""),326.0)</f>
        <v>326</v>
      </c>
      <c r="L2285" s="4">
        <f>IFERROR(__xludf.DUMMYFUNCTION("""COMPUTED_VALUE"""),0.41)</f>
        <v>0.41</v>
      </c>
      <c r="M2285" s="4">
        <f>IFERROR(__xludf.DUMMYFUNCTION("""COMPUTED_VALUE"""),0.362)</f>
        <v>0.362</v>
      </c>
      <c r="N2285" s="4">
        <f>IFERROR(__xludf.DUMMYFUNCTION("""COMPUTED_VALUE"""),0.749)</f>
        <v>0.749</v>
      </c>
      <c r="O2285" s="4">
        <f>IFERROR(__xludf.DUMMYFUNCTION("""COMPUTED_VALUE"""),25.8)</f>
        <v>25.8</v>
      </c>
      <c r="P2285" s="4">
        <f>IFERROR(__xludf.DUMMYFUNCTION("""COMPUTED_VALUE"""),11.1)</f>
        <v>11.1</v>
      </c>
      <c r="Q2285" s="4">
        <f>IFERROR(__xludf.DUMMYFUNCTION("""COMPUTED_VALUE"""),2.0)</f>
        <v>2</v>
      </c>
      <c r="R2285" s="4">
        <f>IFERROR(__xludf.DUMMYFUNCTION("""COMPUTED_VALUE"""),2.8)</f>
        <v>2.8</v>
      </c>
      <c r="S2285" s="4">
        <f>IFERROR(__xludf.DUMMYFUNCTION("""COMPUTED_VALUE"""),2.4)</f>
        <v>2.4</v>
      </c>
      <c r="T2285" s="4">
        <f>IFERROR(__xludf.DUMMYFUNCTION("""COMPUTED_VALUE"""),0.039)</f>
        <v>0.039</v>
      </c>
      <c r="U2285" s="4">
        <f>IFERROR(__xludf.DUMMYFUNCTION("""COMPUTED_VALUE"""),-2.6)</f>
        <v>-2.6</v>
      </c>
      <c r="V2285" s="4">
        <f>IFERROR(__xludf.DUMMYFUNCTION("""COMPUTED_VALUE"""),-0.5)</f>
        <v>-0.5</v>
      </c>
    </row>
    <row r="2286">
      <c r="A2286" s="4">
        <f>IFERROR(__xludf.DUMMYFUNCTION("""COMPUTED_VALUE"""),15.0)</f>
        <v>15</v>
      </c>
      <c r="B2286" s="4">
        <f>IFERROR(__xludf.DUMMYFUNCTION("""COMPUTED_VALUE"""),15.0)</f>
        <v>15</v>
      </c>
      <c r="C2286" s="4" t="str">
        <f>IFERROR(__xludf.DUMMYFUNCTION("""COMPUTED_VALUE"""),"MIA")</f>
        <v>MIA</v>
      </c>
      <c r="D2286" s="4" t="str">
        <f>IFERROR(__xludf.DUMMYFUNCTION("""COMPUTED_VALUE"""),"Dave Jamerson")</f>
        <v>Dave Jamerson</v>
      </c>
      <c r="E2286" s="4" t="str">
        <f>IFERROR(__xludf.DUMMYFUNCTION("""COMPUTED_VALUE"""),"Ohio University")</f>
        <v>Ohio University</v>
      </c>
      <c r="F2286" s="4">
        <f>IFERROR(__xludf.DUMMYFUNCTION("""COMPUTED_VALUE"""),3.0)</f>
        <v>3</v>
      </c>
      <c r="G2286" s="4">
        <f>IFERROR(__xludf.DUMMYFUNCTION("""COMPUTED_VALUE"""),90.0)</f>
        <v>90</v>
      </c>
      <c r="H2286" s="4">
        <f>IFERROR(__xludf.DUMMYFUNCTION("""COMPUTED_VALUE"""),594.0)</f>
        <v>594</v>
      </c>
      <c r="I2286" s="4">
        <f>IFERROR(__xludf.DUMMYFUNCTION("""COMPUTED_VALUE"""),306.0)</f>
        <v>306</v>
      </c>
      <c r="J2286" s="4">
        <f>IFERROR(__xludf.DUMMYFUNCTION("""COMPUTED_VALUE"""),77.0)</f>
        <v>77</v>
      </c>
      <c r="K2286" s="4">
        <f>IFERROR(__xludf.DUMMYFUNCTION("""COMPUTED_VALUE"""),61.0)</f>
        <v>61</v>
      </c>
      <c r="L2286" s="4">
        <f>IFERROR(__xludf.DUMMYFUNCTION("""COMPUTED_VALUE"""),0.392)</f>
        <v>0.392</v>
      </c>
      <c r="M2286" s="4">
        <f>IFERROR(__xludf.DUMMYFUNCTION("""COMPUTED_VALUE"""),0.277)</f>
        <v>0.277</v>
      </c>
      <c r="N2286" s="4">
        <f>IFERROR(__xludf.DUMMYFUNCTION("""COMPUTED_VALUE"""),0.86)</f>
        <v>0.86</v>
      </c>
      <c r="O2286" s="4">
        <f>IFERROR(__xludf.DUMMYFUNCTION("""COMPUTED_VALUE"""),6.6)</f>
        <v>6.6</v>
      </c>
      <c r="P2286" s="4">
        <f>IFERROR(__xludf.DUMMYFUNCTION("""COMPUTED_VALUE"""),3.4)</f>
        <v>3.4</v>
      </c>
      <c r="Q2286" s="4">
        <f>IFERROR(__xludf.DUMMYFUNCTION("""COMPUTED_VALUE"""),0.9)</f>
        <v>0.9</v>
      </c>
      <c r="R2286" s="4">
        <f>IFERROR(__xludf.DUMMYFUNCTION("""COMPUTED_VALUE"""),0.7)</f>
        <v>0.7</v>
      </c>
      <c r="S2286" s="4">
        <f>IFERROR(__xludf.DUMMYFUNCTION("""COMPUTED_VALUE"""),0.2)</f>
        <v>0.2</v>
      </c>
      <c r="T2286" s="4">
        <f>IFERROR(__xludf.DUMMYFUNCTION("""COMPUTED_VALUE"""),0.018)</f>
        <v>0.018</v>
      </c>
      <c r="U2286" s="4">
        <f>IFERROR(__xludf.DUMMYFUNCTION("""COMPUTED_VALUE"""),-3.9)</f>
        <v>-3.9</v>
      </c>
      <c r="V2286" s="4">
        <f>IFERROR(__xludf.DUMMYFUNCTION("""COMPUTED_VALUE"""),-0.3)</f>
        <v>-0.3</v>
      </c>
    </row>
    <row r="2287">
      <c r="A2287" s="4">
        <f>IFERROR(__xludf.DUMMYFUNCTION("""COMPUTED_VALUE"""),16.0)</f>
        <v>16</v>
      </c>
      <c r="B2287" s="4">
        <f>IFERROR(__xludf.DUMMYFUNCTION("""COMPUTED_VALUE"""),16.0)</f>
        <v>16</v>
      </c>
      <c r="C2287" s="4" t="str">
        <f>IFERROR(__xludf.DUMMYFUNCTION("""COMPUTED_VALUE"""),"MIL")</f>
        <v>MIL</v>
      </c>
      <c r="D2287" s="4" t="str">
        <f>IFERROR(__xludf.DUMMYFUNCTION("""COMPUTED_VALUE"""),"Terry Mills")</f>
        <v>Terry Mills</v>
      </c>
      <c r="E2287" s="4" t="str">
        <f>IFERROR(__xludf.DUMMYFUNCTION("""COMPUTED_VALUE"""),"Michigan")</f>
        <v>Michigan</v>
      </c>
      <c r="F2287" s="4">
        <f>IFERROR(__xludf.DUMMYFUNCTION("""COMPUTED_VALUE"""),11.0)</f>
        <v>11</v>
      </c>
      <c r="G2287" s="4">
        <f>IFERROR(__xludf.DUMMYFUNCTION("""COMPUTED_VALUE"""),678.0)</f>
        <v>678</v>
      </c>
      <c r="H2287" s="4">
        <f>IFERROR(__xludf.DUMMYFUNCTION("""COMPUTED_VALUE"""),16422.0)</f>
        <v>16422</v>
      </c>
      <c r="I2287" s="4">
        <f>IFERROR(__xludf.DUMMYFUNCTION("""COMPUTED_VALUE"""),7175.0)</f>
        <v>7175</v>
      </c>
      <c r="J2287" s="4">
        <f>IFERROR(__xludf.DUMMYFUNCTION("""COMPUTED_VALUE"""),3680.0)</f>
        <v>3680</v>
      </c>
      <c r="K2287" s="4">
        <f>IFERROR(__xludf.DUMMYFUNCTION("""COMPUTED_VALUE"""),891.0)</f>
        <v>891</v>
      </c>
      <c r="L2287" s="4">
        <f>IFERROR(__xludf.DUMMYFUNCTION("""COMPUTED_VALUE"""),0.457)</f>
        <v>0.457</v>
      </c>
      <c r="M2287" s="4">
        <f>IFERROR(__xludf.DUMMYFUNCTION("""COMPUTED_VALUE"""),0.384)</f>
        <v>0.384</v>
      </c>
      <c r="N2287" s="4">
        <f>IFERROR(__xludf.DUMMYFUNCTION("""COMPUTED_VALUE"""),0.781)</f>
        <v>0.781</v>
      </c>
      <c r="O2287" s="4">
        <f>IFERROR(__xludf.DUMMYFUNCTION("""COMPUTED_VALUE"""),24.2)</f>
        <v>24.2</v>
      </c>
      <c r="P2287" s="4">
        <f>IFERROR(__xludf.DUMMYFUNCTION("""COMPUTED_VALUE"""),10.6)</f>
        <v>10.6</v>
      </c>
      <c r="Q2287" s="4">
        <f>IFERROR(__xludf.DUMMYFUNCTION("""COMPUTED_VALUE"""),5.4)</f>
        <v>5.4</v>
      </c>
      <c r="R2287" s="4">
        <f>IFERROR(__xludf.DUMMYFUNCTION("""COMPUTED_VALUE"""),1.3)</f>
        <v>1.3</v>
      </c>
      <c r="S2287" s="4">
        <f>IFERROR(__xludf.DUMMYFUNCTION("""COMPUTED_VALUE"""),33.3)</f>
        <v>33.3</v>
      </c>
      <c r="T2287" s="4">
        <f>IFERROR(__xludf.DUMMYFUNCTION("""COMPUTED_VALUE"""),0.097)</f>
        <v>0.097</v>
      </c>
      <c r="U2287" s="4">
        <f>IFERROR(__xludf.DUMMYFUNCTION("""COMPUTED_VALUE"""),-0.6)</f>
        <v>-0.6</v>
      </c>
      <c r="V2287" s="4">
        <f>IFERROR(__xludf.DUMMYFUNCTION("""COMPUTED_VALUE"""),5.9)</f>
        <v>5.9</v>
      </c>
    </row>
    <row r="2288">
      <c r="A2288" s="4">
        <f>IFERROR(__xludf.DUMMYFUNCTION("""COMPUTED_VALUE"""),17.0)</f>
        <v>17</v>
      </c>
      <c r="B2288" s="4">
        <f>IFERROR(__xludf.DUMMYFUNCTION("""COMPUTED_VALUE"""),17.0)</f>
        <v>17</v>
      </c>
      <c r="C2288" s="4" t="str">
        <f>IFERROR(__xludf.DUMMYFUNCTION("""COMPUTED_VALUE"""),"NYK")</f>
        <v>NYK</v>
      </c>
      <c r="D2288" s="4" t="str">
        <f>IFERROR(__xludf.DUMMYFUNCTION("""COMPUTED_VALUE"""),"Jerrod Mustaf")</f>
        <v>Jerrod Mustaf</v>
      </c>
      <c r="E2288" s="4" t="str">
        <f>IFERROR(__xludf.DUMMYFUNCTION("""COMPUTED_VALUE"""),"Maryland")</f>
        <v>Maryland</v>
      </c>
      <c r="F2288" s="4">
        <f>IFERROR(__xludf.DUMMYFUNCTION("""COMPUTED_VALUE"""),4.0)</f>
        <v>4</v>
      </c>
      <c r="G2288" s="4">
        <f>IFERROR(__xludf.DUMMYFUNCTION("""COMPUTED_VALUE"""),179.0)</f>
        <v>179</v>
      </c>
      <c r="H2288" s="4">
        <f>IFERROR(__xludf.DUMMYFUNCTION("""COMPUTED_VALUE"""),1902.0)</f>
        <v>1902</v>
      </c>
      <c r="I2288" s="4">
        <f>IFERROR(__xludf.DUMMYFUNCTION("""COMPUTED_VALUE"""),721.0)</f>
        <v>721</v>
      </c>
      <c r="J2288" s="4">
        <f>IFERROR(__xludf.DUMMYFUNCTION("""COMPUTED_VALUE"""),452.0)</f>
        <v>452</v>
      </c>
      <c r="K2288" s="4">
        <f>IFERROR(__xludf.DUMMYFUNCTION("""COMPUTED_VALUE"""),99.0)</f>
        <v>99</v>
      </c>
      <c r="L2288" s="4">
        <f>IFERROR(__xludf.DUMMYFUNCTION("""COMPUTED_VALUE"""),0.449)</f>
        <v>0.449</v>
      </c>
      <c r="M2288" s="4">
        <f>IFERROR(__xludf.DUMMYFUNCTION("""COMPUTED_VALUE"""),0.0)</f>
        <v>0</v>
      </c>
      <c r="N2288" s="4">
        <f>IFERROR(__xludf.DUMMYFUNCTION("""COMPUTED_VALUE"""),0.648)</f>
        <v>0.648</v>
      </c>
      <c r="O2288" s="4">
        <f>IFERROR(__xludf.DUMMYFUNCTION("""COMPUTED_VALUE"""),10.6)</f>
        <v>10.6</v>
      </c>
      <c r="P2288" s="4">
        <f>IFERROR(__xludf.DUMMYFUNCTION("""COMPUTED_VALUE"""),4.0)</f>
        <v>4</v>
      </c>
      <c r="Q2288" s="4">
        <f>IFERROR(__xludf.DUMMYFUNCTION("""COMPUTED_VALUE"""),2.5)</f>
        <v>2.5</v>
      </c>
      <c r="R2288" s="4">
        <f>IFERROR(__xludf.DUMMYFUNCTION("""COMPUTED_VALUE"""),0.6)</f>
        <v>0.6</v>
      </c>
      <c r="S2288" s="4">
        <f>IFERROR(__xludf.DUMMYFUNCTION("""COMPUTED_VALUE"""),1.7)</f>
        <v>1.7</v>
      </c>
      <c r="T2288" s="4">
        <f>IFERROR(__xludf.DUMMYFUNCTION("""COMPUTED_VALUE"""),0.043)</f>
        <v>0.043</v>
      </c>
      <c r="U2288" s="4">
        <f>IFERROR(__xludf.DUMMYFUNCTION("""COMPUTED_VALUE"""),-4.1)</f>
        <v>-4.1</v>
      </c>
      <c r="V2288" s="4">
        <f>IFERROR(__xludf.DUMMYFUNCTION("""COMPUTED_VALUE"""),-1.0)</f>
        <v>-1</v>
      </c>
    </row>
    <row r="2289">
      <c r="A2289" s="4">
        <f>IFERROR(__xludf.DUMMYFUNCTION("""COMPUTED_VALUE"""),18.0)</f>
        <v>18</v>
      </c>
      <c r="B2289" s="4">
        <f>IFERROR(__xludf.DUMMYFUNCTION("""COMPUTED_VALUE"""),18.0)</f>
        <v>18</v>
      </c>
      <c r="C2289" s="4" t="str">
        <f>IFERROR(__xludf.DUMMYFUNCTION("""COMPUTED_VALUE"""),"SAC")</f>
        <v>SAC</v>
      </c>
      <c r="D2289" s="4" t="str">
        <f>IFERROR(__xludf.DUMMYFUNCTION("""COMPUTED_VALUE"""),"Duane Causwell")</f>
        <v>Duane Causwell</v>
      </c>
      <c r="E2289" s="4" t="str">
        <f>IFERROR(__xludf.DUMMYFUNCTION("""COMPUTED_VALUE"""),"Temple")</f>
        <v>Temple</v>
      </c>
      <c r="F2289" s="4">
        <f>IFERROR(__xludf.DUMMYFUNCTION("""COMPUTED_VALUE"""),11.0)</f>
        <v>11</v>
      </c>
      <c r="G2289" s="4">
        <f>IFERROR(__xludf.DUMMYFUNCTION("""COMPUTED_VALUE"""),541.0)</f>
        <v>541</v>
      </c>
      <c r="H2289" s="4">
        <f>IFERROR(__xludf.DUMMYFUNCTION("""COMPUTED_VALUE"""),9409.0)</f>
        <v>9409</v>
      </c>
      <c r="I2289" s="4">
        <f>IFERROR(__xludf.DUMMYFUNCTION("""COMPUTED_VALUE"""),2648.0)</f>
        <v>2648</v>
      </c>
      <c r="J2289" s="4">
        <f>IFERROR(__xludf.DUMMYFUNCTION("""COMPUTED_VALUE"""),2273.0)</f>
        <v>2273</v>
      </c>
      <c r="K2289" s="4">
        <f>IFERROR(__xludf.DUMMYFUNCTION("""COMPUTED_VALUE"""),243.0)</f>
        <v>243</v>
      </c>
      <c r="L2289" s="4">
        <f>IFERROR(__xludf.DUMMYFUNCTION("""COMPUTED_VALUE"""),0.507)</f>
        <v>0.507</v>
      </c>
      <c r="M2289" s="4">
        <f>IFERROR(__xludf.DUMMYFUNCTION("""COMPUTED_VALUE"""),0.286)</f>
        <v>0.286</v>
      </c>
      <c r="N2289" s="4">
        <f>IFERROR(__xludf.DUMMYFUNCTION("""COMPUTED_VALUE"""),0.618)</f>
        <v>0.618</v>
      </c>
      <c r="O2289" s="4">
        <f>IFERROR(__xludf.DUMMYFUNCTION("""COMPUTED_VALUE"""),17.4)</f>
        <v>17.4</v>
      </c>
      <c r="P2289" s="4">
        <f>IFERROR(__xludf.DUMMYFUNCTION("""COMPUTED_VALUE"""),4.9)</f>
        <v>4.9</v>
      </c>
      <c r="Q2289" s="4">
        <f>IFERROR(__xludf.DUMMYFUNCTION("""COMPUTED_VALUE"""),4.2)</f>
        <v>4.2</v>
      </c>
      <c r="R2289" s="4">
        <f>IFERROR(__xludf.DUMMYFUNCTION("""COMPUTED_VALUE"""),0.4)</f>
        <v>0.4</v>
      </c>
      <c r="S2289" s="4">
        <f>IFERROR(__xludf.DUMMYFUNCTION("""COMPUTED_VALUE"""),15.8)</f>
        <v>15.8</v>
      </c>
      <c r="T2289" s="4">
        <f>IFERROR(__xludf.DUMMYFUNCTION("""COMPUTED_VALUE"""),0.081)</f>
        <v>0.081</v>
      </c>
      <c r="U2289" s="4">
        <f>IFERROR(__xludf.DUMMYFUNCTION("""COMPUTED_VALUE"""),-2.3)</f>
        <v>-2.3</v>
      </c>
      <c r="V2289" s="4">
        <f>IFERROR(__xludf.DUMMYFUNCTION("""COMPUTED_VALUE"""),-0.7)</f>
        <v>-0.7</v>
      </c>
    </row>
    <row r="2290">
      <c r="A2290" s="4">
        <f>IFERROR(__xludf.DUMMYFUNCTION("""COMPUTED_VALUE"""),19.0)</f>
        <v>19</v>
      </c>
      <c r="B2290" s="4">
        <f>IFERROR(__xludf.DUMMYFUNCTION("""COMPUTED_VALUE"""),19.0)</f>
        <v>19</v>
      </c>
      <c r="C2290" s="4" t="str">
        <f>IFERROR(__xludf.DUMMYFUNCTION("""COMPUTED_VALUE"""),"BOS")</f>
        <v>BOS</v>
      </c>
      <c r="D2290" s="4" t="str">
        <f>IFERROR(__xludf.DUMMYFUNCTION("""COMPUTED_VALUE"""),"Dee Brown")</f>
        <v>Dee Brown</v>
      </c>
      <c r="E2290" s="4" t="str">
        <f>IFERROR(__xludf.DUMMYFUNCTION("""COMPUTED_VALUE"""),"Jacksonville University")</f>
        <v>Jacksonville University</v>
      </c>
      <c r="F2290" s="4">
        <f>IFERROR(__xludf.DUMMYFUNCTION("""COMPUTED_VALUE"""),12.0)</f>
        <v>12</v>
      </c>
      <c r="G2290" s="4">
        <f>IFERROR(__xludf.DUMMYFUNCTION("""COMPUTED_VALUE"""),608.0)</f>
        <v>608</v>
      </c>
      <c r="H2290" s="4">
        <f>IFERROR(__xludf.DUMMYFUNCTION("""COMPUTED_VALUE"""),16843.0)</f>
        <v>16843</v>
      </c>
      <c r="I2290" s="4">
        <f>IFERROR(__xludf.DUMMYFUNCTION("""COMPUTED_VALUE"""),6758.0)</f>
        <v>6758</v>
      </c>
      <c r="J2290" s="4">
        <f>IFERROR(__xludf.DUMMYFUNCTION("""COMPUTED_VALUE"""),1569.0)</f>
        <v>1569</v>
      </c>
      <c r="K2290" s="4">
        <f>IFERROR(__xludf.DUMMYFUNCTION("""COMPUTED_VALUE"""),2227.0)</f>
        <v>2227</v>
      </c>
      <c r="L2290" s="4">
        <f>IFERROR(__xludf.DUMMYFUNCTION("""COMPUTED_VALUE"""),0.436)</f>
        <v>0.436</v>
      </c>
      <c r="M2290" s="4">
        <f>IFERROR(__xludf.DUMMYFUNCTION("""COMPUTED_VALUE"""),0.357)</f>
        <v>0.357</v>
      </c>
      <c r="N2290" s="4">
        <f>IFERROR(__xludf.DUMMYFUNCTION("""COMPUTED_VALUE"""),0.825)</f>
        <v>0.825</v>
      </c>
      <c r="O2290" s="4">
        <f>IFERROR(__xludf.DUMMYFUNCTION("""COMPUTED_VALUE"""),27.7)</f>
        <v>27.7</v>
      </c>
      <c r="P2290" s="4">
        <f>IFERROR(__xludf.DUMMYFUNCTION("""COMPUTED_VALUE"""),11.1)</f>
        <v>11.1</v>
      </c>
      <c r="Q2290" s="4">
        <f>IFERROR(__xludf.DUMMYFUNCTION("""COMPUTED_VALUE"""),2.6)</f>
        <v>2.6</v>
      </c>
      <c r="R2290" s="4">
        <f>IFERROR(__xludf.DUMMYFUNCTION("""COMPUTED_VALUE"""),3.7)</f>
        <v>3.7</v>
      </c>
      <c r="S2290" s="4">
        <f>IFERROR(__xludf.DUMMYFUNCTION("""COMPUTED_VALUE"""),33.4)</f>
        <v>33.4</v>
      </c>
      <c r="T2290" s="4">
        <f>IFERROR(__xludf.DUMMYFUNCTION("""COMPUTED_VALUE"""),0.095)</f>
        <v>0.095</v>
      </c>
      <c r="U2290" s="4">
        <f>IFERROR(__xludf.DUMMYFUNCTION("""COMPUTED_VALUE"""),0.8)</f>
        <v>0.8</v>
      </c>
      <c r="V2290" s="4">
        <f>IFERROR(__xludf.DUMMYFUNCTION("""COMPUTED_VALUE"""),11.6)</f>
        <v>11.6</v>
      </c>
    </row>
    <row r="2291">
      <c r="A2291" s="4">
        <f>IFERROR(__xludf.DUMMYFUNCTION("""COMPUTED_VALUE"""),20.0)</f>
        <v>20</v>
      </c>
      <c r="B2291" s="4">
        <f>IFERROR(__xludf.DUMMYFUNCTION("""COMPUTED_VALUE"""),20.0)</f>
        <v>20</v>
      </c>
      <c r="C2291" s="4" t="str">
        <f>IFERROR(__xludf.DUMMYFUNCTION("""COMPUTED_VALUE"""),"MIN")</f>
        <v>MIN</v>
      </c>
      <c r="D2291" s="4" t="str">
        <f>IFERROR(__xludf.DUMMYFUNCTION("""COMPUTED_VALUE"""),"Gerald Glass")</f>
        <v>Gerald Glass</v>
      </c>
      <c r="E2291" s="4" t="str">
        <f>IFERROR(__xludf.DUMMYFUNCTION("""COMPUTED_VALUE"""),"Ole Miss")</f>
        <v>Ole Miss</v>
      </c>
      <c r="F2291" s="4">
        <f>IFERROR(__xludf.DUMMYFUNCTION("""COMPUTED_VALUE"""),4.0)</f>
        <v>4</v>
      </c>
      <c r="G2291" s="4">
        <f>IFERROR(__xludf.DUMMYFUNCTION("""COMPUTED_VALUE"""),201.0)</f>
        <v>201</v>
      </c>
      <c r="H2291" s="4">
        <f>IFERROR(__xludf.DUMMYFUNCTION("""COMPUTED_VALUE"""),3347.0)</f>
        <v>3347</v>
      </c>
      <c r="I2291" s="4">
        <f>IFERROR(__xludf.DUMMYFUNCTION("""COMPUTED_VALUE"""),1553.0)</f>
        <v>1553</v>
      </c>
      <c r="J2291" s="4">
        <f>IFERROR(__xludf.DUMMYFUNCTION("""COMPUTED_VALUE"""),512.0)</f>
        <v>512</v>
      </c>
      <c r="K2291" s="4">
        <f>IFERROR(__xludf.DUMMYFUNCTION("""COMPUTED_VALUE"""),298.0)</f>
        <v>298</v>
      </c>
      <c r="L2291" s="4">
        <f>IFERROR(__xludf.DUMMYFUNCTION("""COMPUTED_VALUE"""),0.433)</f>
        <v>0.433</v>
      </c>
      <c r="M2291" s="4">
        <f>IFERROR(__xludf.DUMMYFUNCTION("""COMPUTED_VALUE"""),0.236)</f>
        <v>0.236</v>
      </c>
      <c r="N2291" s="4">
        <f>IFERROR(__xludf.DUMMYFUNCTION("""COMPUTED_VALUE"""),0.643)</f>
        <v>0.643</v>
      </c>
      <c r="O2291" s="4">
        <f>IFERROR(__xludf.DUMMYFUNCTION("""COMPUTED_VALUE"""),16.7)</f>
        <v>16.7</v>
      </c>
      <c r="P2291" s="4">
        <f>IFERROR(__xludf.DUMMYFUNCTION("""COMPUTED_VALUE"""),7.7)</f>
        <v>7.7</v>
      </c>
      <c r="Q2291" s="4">
        <f>IFERROR(__xludf.DUMMYFUNCTION("""COMPUTED_VALUE"""),2.5)</f>
        <v>2.5</v>
      </c>
      <c r="R2291" s="4">
        <f>IFERROR(__xludf.DUMMYFUNCTION("""COMPUTED_VALUE"""),1.5)</f>
        <v>1.5</v>
      </c>
      <c r="S2291" s="4">
        <f>IFERROR(__xludf.DUMMYFUNCTION("""COMPUTED_VALUE"""),1.8)</f>
        <v>1.8</v>
      </c>
      <c r="T2291" s="4">
        <f>IFERROR(__xludf.DUMMYFUNCTION("""COMPUTED_VALUE"""),0.025)</f>
        <v>0.025</v>
      </c>
      <c r="U2291" s="4">
        <f>IFERROR(__xludf.DUMMYFUNCTION("""COMPUTED_VALUE"""),-1.9)</f>
        <v>-1.9</v>
      </c>
      <c r="V2291" s="4">
        <f>IFERROR(__xludf.DUMMYFUNCTION("""COMPUTED_VALUE"""),0.1)</f>
        <v>0.1</v>
      </c>
    </row>
    <row r="2292">
      <c r="A2292" s="4">
        <f>IFERROR(__xludf.DUMMYFUNCTION("""COMPUTED_VALUE"""),21.0)</f>
        <v>21</v>
      </c>
      <c r="B2292" s="4">
        <f>IFERROR(__xludf.DUMMYFUNCTION("""COMPUTED_VALUE"""),21.0)</f>
        <v>21</v>
      </c>
      <c r="C2292" s="4" t="str">
        <f>IFERROR(__xludf.DUMMYFUNCTION("""COMPUTED_VALUE"""),"PHO")</f>
        <v>PHO</v>
      </c>
      <c r="D2292" s="4" t="str">
        <f>IFERROR(__xludf.DUMMYFUNCTION("""COMPUTED_VALUE"""),"Jayson Williams")</f>
        <v>Jayson Williams</v>
      </c>
      <c r="E2292" s="4" t="str">
        <f>IFERROR(__xludf.DUMMYFUNCTION("""COMPUTED_VALUE"""),"St. John's")</f>
        <v>St. John's</v>
      </c>
      <c r="F2292" s="4">
        <f>IFERROR(__xludf.DUMMYFUNCTION("""COMPUTED_VALUE"""),9.0)</f>
        <v>9</v>
      </c>
      <c r="G2292" s="4">
        <f>IFERROR(__xludf.DUMMYFUNCTION("""COMPUTED_VALUE"""),475.0)</f>
        <v>475</v>
      </c>
      <c r="H2292" s="4">
        <f>IFERROR(__xludf.DUMMYFUNCTION("""COMPUTED_VALUE"""),9805.0)</f>
        <v>9805</v>
      </c>
      <c r="I2292" s="4">
        <f>IFERROR(__xludf.DUMMYFUNCTION("""COMPUTED_VALUE"""),3472.0)</f>
        <v>3472</v>
      </c>
      <c r="J2292" s="4">
        <f>IFERROR(__xludf.DUMMYFUNCTION("""COMPUTED_VALUE"""),3584.0)</f>
        <v>3584</v>
      </c>
      <c r="K2292" s="4">
        <f>IFERROR(__xludf.DUMMYFUNCTION("""COMPUTED_VALUE"""),287.0)</f>
        <v>287</v>
      </c>
      <c r="L2292" s="4">
        <f>IFERROR(__xludf.DUMMYFUNCTION("""COMPUTED_VALUE"""),0.44)</f>
        <v>0.44</v>
      </c>
      <c r="M2292" s="4">
        <f>IFERROR(__xludf.DUMMYFUNCTION("""COMPUTED_VALUE"""),0.125)</f>
        <v>0.125</v>
      </c>
      <c r="N2292" s="4">
        <f>IFERROR(__xludf.DUMMYFUNCTION("""COMPUTED_VALUE"""),0.606)</f>
        <v>0.606</v>
      </c>
      <c r="O2292" s="4">
        <f>IFERROR(__xludf.DUMMYFUNCTION("""COMPUTED_VALUE"""),20.6)</f>
        <v>20.6</v>
      </c>
      <c r="P2292" s="4">
        <f>IFERROR(__xludf.DUMMYFUNCTION("""COMPUTED_VALUE"""),7.3)</f>
        <v>7.3</v>
      </c>
      <c r="Q2292" s="4">
        <f>IFERROR(__xludf.DUMMYFUNCTION("""COMPUTED_VALUE"""),7.5)</f>
        <v>7.5</v>
      </c>
      <c r="R2292" s="4">
        <f>IFERROR(__xludf.DUMMYFUNCTION("""COMPUTED_VALUE"""),0.6)</f>
        <v>0.6</v>
      </c>
      <c r="S2292" s="4">
        <f>IFERROR(__xludf.DUMMYFUNCTION("""COMPUTED_VALUE"""),20.0)</f>
        <v>20</v>
      </c>
      <c r="T2292" s="4">
        <f>IFERROR(__xludf.DUMMYFUNCTION("""COMPUTED_VALUE"""),0.098)</f>
        <v>0.098</v>
      </c>
      <c r="U2292" s="4">
        <f>IFERROR(__xludf.DUMMYFUNCTION("""COMPUTED_VALUE"""),-2.8)</f>
        <v>-2.8</v>
      </c>
      <c r="V2292" s="4">
        <f>IFERROR(__xludf.DUMMYFUNCTION("""COMPUTED_VALUE"""),-2.1)</f>
        <v>-2.1</v>
      </c>
    </row>
    <row r="2293">
      <c r="A2293" s="4">
        <f>IFERROR(__xludf.DUMMYFUNCTION("""COMPUTED_VALUE"""),22.0)</f>
        <v>22</v>
      </c>
      <c r="B2293" s="4">
        <f>IFERROR(__xludf.DUMMYFUNCTION("""COMPUTED_VALUE"""),22.0)</f>
        <v>22</v>
      </c>
      <c r="C2293" s="4" t="str">
        <f>IFERROR(__xludf.DUMMYFUNCTION("""COMPUTED_VALUE"""),"NJN")</f>
        <v>NJN</v>
      </c>
      <c r="D2293" s="4" t="str">
        <f>IFERROR(__xludf.DUMMYFUNCTION("""COMPUTED_VALUE"""),"Tate George")</f>
        <v>Tate George</v>
      </c>
      <c r="E2293" s="4" t="str">
        <f>IFERROR(__xludf.DUMMYFUNCTION("""COMPUTED_VALUE"""),"UConn")</f>
        <v>UConn</v>
      </c>
      <c r="F2293" s="4">
        <f>IFERROR(__xludf.DUMMYFUNCTION("""COMPUTED_VALUE"""),4.0)</f>
        <v>4</v>
      </c>
      <c r="G2293" s="4">
        <f>IFERROR(__xludf.DUMMYFUNCTION("""COMPUTED_VALUE"""),177.0)</f>
        <v>177</v>
      </c>
      <c r="H2293" s="4">
        <f>IFERROR(__xludf.DUMMYFUNCTION("""COMPUTED_VALUE"""),2019.0)</f>
        <v>2019</v>
      </c>
      <c r="I2293" s="4">
        <f>IFERROR(__xludf.DUMMYFUNCTION("""COMPUTED_VALUE"""),736.0)</f>
        <v>736</v>
      </c>
      <c r="J2293" s="4">
        <f>IFERROR(__xludf.DUMMYFUNCTION("""COMPUTED_VALUE"""),180.0)</f>
        <v>180</v>
      </c>
      <c r="K2293" s="4">
        <f>IFERROR(__xludf.DUMMYFUNCTION("""COMPUTED_VALUE"""),325.0)</f>
        <v>325</v>
      </c>
      <c r="L2293" s="4">
        <f>IFERROR(__xludf.DUMMYFUNCTION("""COMPUTED_VALUE"""),0.414)</f>
        <v>0.414</v>
      </c>
      <c r="M2293" s="4">
        <f>IFERROR(__xludf.DUMMYFUNCTION("""COMPUTED_VALUE"""),0.071)</f>
        <v>0.071</v>
      </c>
      <c r="N2293" s="4">
        <f>IFERROR(__xludf.DUMMYFUNCTION("""COMPUTED_VALUE"""),0.82)</f>
        <v>0.82</v>
      </c>
      <c r="O2293" s="4">
        <f>IFERROR(__xludf.DUMMYFUNCTION("""COMPUTED_VALUE"""),11.4)</f>
        <v>11.4</v>
      </c>
      <c r="P2293" s="4">
        <f>IFERROR(__xludf.DUMMYFUNCTION("""COMPUTED_VALUE"""),4.2)</f>
        <v>4.2</v>
      </c>
      <c r="Q2293" s="4">
        <f>IFERROR(__xludf.DUMMYFUNCTION("""COMPUTED_VALUE"""),1.0)</f>
        <v>1</v>
      </c>
      <c r="R2293" s="4">
        <f>IFERROR(__xludf.DUMMYFUNCTION("""COMPUTED_VALUE"""),1.8)</f>
        <v>1.8</v>
      </c>
      <c r="S2293" s="4">
        <f>IFERROR(__xludf.DUMMYFUNCTION("""COMPUTED_VALUE"""),1.3)</f>
        <v>1.3</v>
      </c>
      <c r="T2293" s="4">
        <f>IFERROR(__xludf.DUMMYFUNCTION("""COMPUTED_VALUE"""),0.032)</f>
        <v>0.032</v>
      </c>
      <c r="U2293" s="4">
        <f>IFERROR(__xludf.DUMMYFUNCTION("""COMPUTED_VALUE"""),-3.5)</f>
        <v>-3.5</v>
      </c>
      <c r="V2293" s="4">
        <f>IFERROR(__xludf.DUMMYFUNCTION("""COMPUTED_VALUE"""),-0.8)</f>
        <v>-0.8</v>
      </c>
    </row>
    <row r="2294">
      <c r="A2294" s="4">
        <f>IFERROR(__xludf.DUMMYFUNCTION("""COMPUTED_VALUE"""),23.0)</f>
        <v>23</v>
      </c>
      <c r="B2294" s="4">
        <f>IFERROR(__xludf.DUMMYFUNCTION("""COMPUTED_VALUE"""),23.0)</f>
        <v>23</v>
      </c>
      <c r="C2294" s="4" t="str">
        <f>IFERROR(__xludf.DUMMYFUNCTION("""COMPUTED_VALUE"""),"SAC")</f>
        <v>SAC</v>
      </c>
      <c r="D2294" s="4" t="str">
        <f>IFERROR(__xludf.DUMMYFUNCTION("""COMPUTED_VALUE"""),"Anthony Bonner")</f>
        <v>Anthony Bonner</v>
      </c>
      <c r="E2294" s="4" t="str">
        <f>IFERROR(__xludf.DUMMYFUNCTION("""COMPUTED_VALUE"""),"Saint Louis")</f>
        <v>Saint Louis</v>
      </c>
      <c r="F2294" s="4">
        <f>IFERROR(__xludf.DUMMYFUNCTION("""COMPUTED_VALUE"""),6.0)</f>
        <v>6</v>
      </c>
      <c r="G2294" s="4">
        <f>IFERROR(__xludf.DUMMYFUNCTION("""COMPUTED_VALUE"""),318.0)</f>
        <v>318</v>
      </c>
      <c r="H2294" s="4">
        <f>IFERROR(__xludf.DUMMYFUNCTION("""COMPUTED_VALUE"""),7372.0)</f>
        <v>7372</v>
      </c>
      <c r="I2294" s="4">
        <f>IFERROR(__xludf.DUMMYFUNCTION("""COMPUTED_VALUE"""),2199.0)</f>
        <v>2199</v>
      </c>
      <c r="J2294" s="4">
        <f>IFERROR(__xludf.DUMMYFUNCTION("""COMPUTED_VALUE"""),1726.0)</f>
        <v>1726</v>
      </c>
      <c r="K2294" s="4">
        <f>IFERROR(__xludf.DUMMYFUNCTION("""COMPUTED_VALUE"""),442.0)</f>
        <v>442</v>
      </c>
      <c r="L2294" s="4">
        <f>IFERROR(__xludf.DUMMYFUNCTION("""COMPUTED_VALUE"""),0.468)</f>
        <v>0.468</v>
      </c>
      <c r="M2294" s="4">
        <f>IFERROR(__xludf.DUMMYFUNCTION("""COMPUTED_VALUE"""),0.125)</f>
        <v>0.125</v>
      </c>
      <c r="N2294" s="4">
        <f>IFERROR(__xludf.DUMMYFUNCTION("""COMPUTED_VALUE"""),0.59)</f>
        <v>0.59</v>
      </c>
      <c r="O2294" s="4">
        <f>IFERROR(__xludf.DUMMYFUNCTION("""COMPUTED_VALUE"""),23.2)</f>
        <v>23.2</v>
      </c>
      <c r="P2294" s="4">
        <f>IFERROR(__xludf.DUMMYFUNCTION("""COMPUTED_VALUE"""),6.9)</f>
        <v>6.9</v>
      </c>
      <c r="Q2294" s="4">
        <f>IFERROR(__xludf.DUMMYFUNCTION("""COMPUTED_VALUE"""),5.4)</f>
        <v>5.4</v>
      </c>
      <c r="R2294" s="4">
        <f>IFERROR(__xludf.DUMMYFUNCTION("""COMPUTED_VALUE"""),1.4)</f>
        <v>1.4</v>
      </c>
      <c r="S2294" s="4">
        <f>IFERROR(__xludf.DUMMYFUNCTION("""COMPUTED_VALUE"""),10.8)</f>
        <v>10.8</v>
      </c>
      <c r="T2294" s="4">
        <f>IFERROR(__xludf.DUMMYFUNCTION("""COMPUTED_VALUE"""),0.07)</f>
        <v>0.07</v>
      </c>
      <c r="U2294" s="4">
        <f>IFERROR(__xludf.DUMMYFUNCTION("""COMPUTED_VALUE"""),-2.0)</f>
        <v>-2</v>
      </c>
      <c r="V2294" s="4">
        <f>IFERROR(__xludf.DUMMYFUNCTION("""COMPUTED_VALUE"""),0.1)</f>
        <v>0.1</v>
      </c>
    </row>
    <row r="2295">
      <c r="A2295" s="4">
        <f>IFERROR(__xludf.DUMMYFUNCTION("""COMPUTED_VALUE"""),24.0)</f>
        <v>24</v>
      </c>
      <c r="B2295" s="4">
        <f>IFERROR(__xludf.DUMMYFUNCTION("""COMPUTED_VALUE"""),24.0)</f>
        <v>24</v>
      </c>
      <c r="C2295" s="4" t="str">
        <f>IFERROR(__xludf.DUMMYFUNCTION("""COMPUTED_VALUE"""),"SAS")</f>
        <v>SAS</v>
      </c>
      <c r="D2295" s="4" t="str">
        <f>IFERROR(__xludf.DUMMYFUNCTION("""COMPUTED_VALUE"""),"Dwayne Schintzius")</f>
        <v>Dwayne Schintzius</v>
      </c>
      <c r="E2295" s="4" t="str">
        <f>IFERROR(__xludf.DUMMYFUNCTION("""COMPUTED_VALUE"""),"Florida")</f>
        <v>Florida</v>
      </c>
      <c r="F2295" s="4">
        <f>IFERROR(__xludf.DUMMYFUNCTION("""COMPUTED_VALUE"""),8.0)</f>
        <v>8</v>
      </c>
      <c r="G2295" s="4">
        <f>IFERROR(__xludf.DUMMYFUNCTION("""COMPUTED_VALUE"""),217.0)</f>
        <v>217</v>
      </c>
      <c r="H2295" s="4">
        <f>IFERROR(__xludf.DUMMYFUNCTION("""COMPUTED_VALUE"""),1950.0)</f>
        <v>1950</v>
      </c>
      <c r="I2295" s="4">
        <f>IFERROR(__xludf.DUMMYFUNCTION("""COMPUTED_VALUE"""),587.0)</f>
        <v>587</v>
      </c>
      <c r="J2295" s="4">
        <f>IFERROR(__xludf.DUMMYFUNCTION("""COMPUTED_VALUE"""),536.0)</f>
        <v>536</v>
      </c>
      <c r="K2295" s="4">
        <f>IFERROR(__xludf.DUMMYFUNCTION("""COMPUTED_VALUE"""),93.0)</f>
        <v>93</v>
      </c>
      <c r="L2295" s="4">
        <f>IFERROR(__xludf.DUMMYFUNCTION("""COMPUTED_VALUE"""),0.404)</f>
        <v>0.404</v>
      </c>
      <c r="M2295" s="4">
        <f>IFERROR(__xludf.DUMMYFUNCTION("""COMPUTED_VALUE"""),0.125)</f>
        <v>0.125</v>
      </c>
      <c r="N2295" s="4">
        <f>IFERROR(__xludf.DUMMYFUNCTION("""COMPUTED_VALUE"""),0.638)</f>
        <v>0.638</v>
      </c>
      <c r="O2295" s="4">
        <f>IFERROR(__xludf.DUMMYFUNCTION("""COMPUTED_VALUE"""),9.0)</f>
        <v>9</v>
      </c>
      <c r="P2295" s="4">
        <f>IFERROR(__xludf.DUMMYFUNCTION("""COMPUTED_VALUE"""),2.7)</f>
        <v>2.7</v>
      </c>
      <c r="Q2295" s="4">
        <f>IFERROR(__xludf.DUMMYFUNCTION("""COMPUTED_VALUE"""),2.5)</f>
        <v>2.5</v>
      </c>
      <c r="R2295" s="4">
        <f>IFERROR(__xludf.DUMMYFUNCTION("""COMPUTED_VALUE"""),0.4)</f>
        <v>0.4</v>
      </c>
      <c r="S2295" s="4">
        <f>IFERROR(__xludf.DUMMYFUNCTION("""COMPUTED_VALUE"""),1.0)</f>
        <v>1</v>
      </c>
      <c r="T2295" s="4">
        <f>IFERROR(__xludf.DUMMYFUNCTION("""COMPUTED_VALUE"""),0.024)</f>
        <v>0.024</v>
      </c>
      <c r="U2295" s="4">
        <f>IFERROR(__xludf.DUMMYFUNCTION("""COMPUTED_VALUE"""),-5.0)</f>
        <v>-5</v>
      </c>
      <c r="V2295" s="4">
        <f>IFERROR(__xludf.DUMMYFUNCTION("""COMPUTED_VALUE"""),-1.5)</f>
        <v>-1.5</v>
      </c>
    </row>
    <row r="2296">
      <c r="A2296" s="4">
        <f>IFERROR(__xludf.DUMMYFUNCTION("""COMPUTED_VALUE"""),25.0)</f>
        <v>25</v>
      </c>
      <c r="B2296" s="4">
        <f>IFERROR(__xludf.DUMMYFUNCTION("""COMPUTED_VALUE"""),25.0)</f>
        <v>25</v>
      </c>
      <c r="C2296" s="4" t="str">
        <f>IFERROR(__xludf.DUMMYFUNCTION("""COMPUTED_VALUE"""),"POR")</f>
        <v>POR</v>
      </c>
      <c r="D2296" s="4" t="str">
        <f>IFERROR(__xludf.DUMMYFUNCTION("""COMPUTED_VALUE"""),"Alaa Abdelnaby")</f>
        <v>Alaa Abdelnaby</v>
      </c>
      <c r="E2296" s="4" t="str">
        <f>IFERROR(__xludf.DUMMYFUNCTION("""COMPUTED_VALUE"""),"Duke")</f>
        <v>Duke</v>
      </c>
      <c r="F2296" s="4">
        <f>IFERROR(__xludf.DUMMYFUNCTION("""COMPUTED_VALUE"""),5.0)</f>
        <v>5</v>
      </c>
      <c r="G2296" s="4">
        <f>IFERROR(__xludf.DUMMYFUNCTION("""COMPUTED_VALUE"""),256.0)</f>
        <v>256</v>
      </c>
      <c r="H2296" s="4">
        <f>IFERROR(__xludf.DUMMYFUNCTION("""COMPUTED_VALUE"""),3200.0)</f>
        <v>3200</v>
      </c>
      <c r="I2296" s="4">
        <f>IFERROR(__xludf.DUMMYFUNCTION("""COMPUTED_VALUE"""),1465.0)</f>
        <v>1465</v>
      </c>
      <c r="J2296" s="4">
        <f>IFERROR(__xludf.DUMMYFUNCTION("""COMPUTED_VALUE"""),846.0)</f>
        <v>846</v>
      </c>
      <c r="K2296" s="4">
        <f>IFERROR(__xludf.DUMMYFUNCTION("""COMPUTED_VALUE"""),85.0)</f>
        <v>85</v>
      </c>
      <c r="L2296" s="4">
        <f>IFERROR(__xludf.DUMMYFUNCTION("""COMPUTED_VALUE"""),0.502)</f>
        <v>0.502</v>
      </c>
      <c r="M2296" s="4">
        <f>IFERROR(__xludf.DUMMYFUNCTION("""COMPUTED_VALUE"""),0.0)</f>
        <v>0</v>
      </c>
      <c r="N2296" s="4">
        <f>IFERROR(__xludf.DUMMYFUNCTION("""COMPUTED_VALUE"""),0.701)</f>
        <v>0.701</v>
      </c>
      <c r="O2296" s="4">
        <f>IFERROR(__xludf.DUMMYFUNCTION("""COMPUTED_VALUE"""),12.5)</f>
        <v>12.5</v>
      </c>
      <c r="P2296" s="4">
        <f>IFERROR(__xludf.DUMMYFUNCTION("""COMPUTED_VALUE"""),5.7)</f>
        <v>5.7</v>
      </c>
      <c r="Q2296" s="4">
        <f>IFERROR(__xludf.DUMMYFUNCTION("""COMPUTED_VALUE"""),3.3)</f>
        <v>3.3</v>
      </c>
      <c r="R2296" s="4">
        <f>IFERROR(__xludf.DUMMYFUNCTION("""COMPUTED_VALUE"""),0.3)</f>
        <v>0.3</v>
      </c>
      <c r="S2296" s="4">
        <f>IFERROR(__xludf.DUMMYFUNCTION("""COMPUTED_VALUE"""),4.8)</f>
        <v>4.8</v>
      </c>
      <c r="T2296" s="4">
        <f>IFERROR(__xludf.DUMMYFUNCTION("""COMPUTED_VALUE"""),0.072)</f>
        <v>0.072</v>
      </c>
      <c r="U2296" s="4">
        <f>IFERROR(__xludf.DUMMYFUNCTION("""COMPUTED_VALUE"""),-3.8)</f>
        <v>-3.8</v>
      </c>
      <c r="V2296" s="4">
        <f>IFERROR(__xludf.DUMMYFUNCTION("""COMPUTED_VALUE"""),-1.5)</f>
        <v>-1.5</v>
      </c>
    </row>
    <row r="2297">
      <c r="A2297" s="4">
        <f>IFERROR(__xludf.DUMMYFUNCTION("""COMPUTED_VALUE"""),26.0)</f>
        <v>26</v>
      </c>
      <c r="B2297" s="4">
        <f>IFERROR(__xludf.DUMMYFUNCTION("""COMPUTED_VALUE"""),26.0)</f>
        <v>26</v>
      </c>
      <c r="C2297" s="4" t="str">
        <f>IFERROR(__xludf.DUMMYFUNCTION("""COMPUTED_VALUE"""),"DET")</f>
        <v>DET</v>
      </c>
      <c r="D2297" s="4" t="str">
        <f>IFERROR(__xludf.DUMMYFUNCTION("""COMPUTED_VALUE"""),"Lance Blanks")</f>
        <v>Lance Blanks</v>
      </c>
      <c r="E2297" s="4" t="str">
        <f>IFERROR(__xludf.DUMMYFUNCTION("""COMPUTED_VALUE"""),"Texas")</f>
        <v>Texas</v>
      </c>
      <c r="F2297" s="4">
        <f>IFERROR(__xludf.DUMMYFUNCTION("""COMPUTED_VALUE"""),3.0)</f>
        <v>3</v>
      </c>
      <c r="G2297" s="4">
        <f>IFERROR(__xludf.DUMMYFUNCTION("""COMPUTED_VALUE"""),142.0)</f>
        <v>142</v>
      </c>
      <c r="H2297" s="4">
        <f>IFERROR(__xludf.DUMMYFUNCTION("""COMPUTED_VALUE"""),1045.0)</f>
        <v>1045</v>
      </c>
      <c r="I2297" s="4">
        <f>IFERROR(__xludf.DUMMYFUNCTION("""COMPUTED_VALUE"""),289.0)</f>
        <v>289</v>
      </c>
      <c r="J2297" s="4">
        <f>IFERROR(__xludf.DUMMYFUNCTION("""COMPUTED_VALUE"""),110.0)</f>
        <v>110</v>
      </c>
      <c r="K2297" s="4">
        <f>IFERROR(__xludf.DUMMYFUNCTION("""COMPUTED_VALUE"""),117.0)</f>
        <v>117</v>
      </c>
      <c r="L2297" s="4">
        <f>IFERROR(__xludf.DUMMYFUNCTION("""COMPUTED_VALUE"""),0.436)</f>
        <v>0.436</v>
      </c>
      <c r="M2297" s="4">
        <f>IFERROR(__xludf.DUMMYFUNCTION("""COMPUTED_VALUE"""),0.253)</f>
        <v>0.253</v>
      </c>
      <c r="N2297" s="4">
        <f>IFERROR(__xludf.DUMMYFUNCTION("""COMPUTED_VALUE"""),0.667)</f>
        <v>0.667</v>
      </c>
      <c r="O2297" s="4">
        <f>IFERROR(__xludf.DUMMYFUNCTION("""COMPUTED_VALUE"""),7.4)</f>
        <v>7.4</v>
      </c>
      <c r="P2297" s="4">
        <f>IFERROR(__xludf.DUMMYFUNCTION("""COMPUTED_VALUE"""),2.0)</f>
        <v>2</v>
      </c>
      <c r="Q2297" s="4">
        <f>IFERROR(__xludf.DUMMYFUNCTION("""COMPUTED_VALUE"""),0.8)</f>
        <v>0.8</v>
      </c>
      <c r="R2297" s="4">
        <f>IFERROR(__xludf.DUMMYFUNCTION("""COMPUTED_VALUE"""),0.8)</f>
        <v>0.8</v>
      </c>
      <c r="S2297" s="4">
        <f>IFERROR(__xludf.DUMMYFUNCTION("""COMPUTED_VALUE"""),0.7)</f>
        <v>0.7</v>
      </c>
      <c r="T2297" s="4">
        <f>IFERROR(__xludf.DUMMYFUNCTION("""COMPUTED_VALUE"""),0.031)</f>
        <v>0.031</v>
      </c>
      <c r="U2297" s="4">
        <f>IFERROR(__xludf.DUMMYFUNCTION("""COMPUTED_VALUE"""),-3.2)</f>
        <v>-3.2</v>
      </c>
      <c r="V2297" s="4">
        <f>IFERROR(__xludf.DUMMYFUNCTION("""COMPUTED_VALUE"""),-0.3)</f>
        <v>-0.3</v>
      </c>
    </row>
    <row r="2298">
      <c r="A2298" s="4">
        <f>IFERROR(__xludf.DUMMYFUNCTION("""COMPUTED_VALUE"""),27.0)</f>
        <v>27</v>
      </c>
      <c r="B2298" s="4">
        <f>IFERROR(__xludf.DUMMYFUNCTION("""COMPUTED_VALUE"""),27.0)</f>
        <v>27</v>
      </c>
      <c r="C2298" s="4" t="str">
        <f>IFERROR(__xludf.DUMMYFUNCTION("""COMPUTED_VALUE"""),"LAL")</f>
        <v>LAL</v>
      </c>
      <c r="D2298" s="4" t="str">
        <f>IFERROR(__xludf.DUMMYFUNCTION("""COMPUTED_VALUE"""),"Elden Campbell")</f>
        <v>Elden Campbell</v>
      </c>
      <c r="E2298" s="4" t="str">
        <f>IFERROR(__xludf.DUMMYFUNCTION("""COMPUTED_VALUE"""),"Clemson")</f>
        <v>Clemson</v>
      </c>
      <c r="F2298" s="4">
        <f>IFERROR(__xludf.DUMMYFUNCTION("""COMPUTED_VALUE"""),15.0)</f>
        <v>15</v>
      </c>
      <c r="G2298" s="4">
        <f>IFERROR(__xludf.DUMMYFUNCTION("""COMPUTED_VALUE"""),1044.0)</f>
        <v>1044</v>
      </c>
      <c r="H2298" s="4">
        <f>IFERROR(__xludf.DUMMYFUNCTION("""COMPUTED_VALUE"""),25776.0)</f>
        <v>25776</v>
      </c>
      <c r="I2298" s="4">
        <f>IFERROR(__xludf.DUMMYFUNCTION("""COMPUTED_VALUE"""),10805.0)</f>
        <v>10805</v>
      </c>
      <c r="J2298" s="4">
        <f>IFERROR(__xludf.DUMMYFUNCTION("""COMPUTED_VALUE"""),6116.0)</f>
        <v>6116</v>
      </c>
      <c r="K2298" s="4">
        <f>IFERROR(__xludf.DUMMYFUNCTION("""COMPUTED_VALUE"""),1199.0)</f>
        <v>1199</v>
      </c>
      <c r="L2298" s="4">
        <f>IFERROR(__xludf.DUMMYFUNCTION("""COMPUTED_VALUE"""),0.46)</f>
        <v>0.46</v>
      </c>
      <c r="M2298" s="4">
        <f>IFERROR(__xludf.DUMMYFUNCTION("""COMPUTED_VALUE"""),0.054)</f>
        <v>0.054</v>
      </c>
      <c r="N2298" s="4">
        <f>IFERROR(__xludf.DUMMYFUNCTION("""COMPUTED_VALUE"""),0.699)</f>
        <v>0.699</v>
      </c>
      <c r="O2298" s="4">
        <f>IFERROR(__xludf.DUMMYFUNCTION("""COMPUTED_VALUE"""),24.7)</f>
        <v>24.7</v>
      </c>
      <c r="P2298" s="4">
        <f>IFERROR(__xludf.DUMMYFUNCTION("""COMPUTED_VALUE"""),10.3)</f>
        <v>10.3</v>
      </c>
      <c r="Q2298" s="4">
        <f>IFERROR(__xludf.DUMMYFUNCTION("""COMPUTED_VALUE"""),5.9)</f>
        <v>5.9</v>
      </c>
      <c r="R2298" s="4">
        <f>IFERROR(__xludf.DUMMYFUNCTION("""COMPUTED_VALUE"""),1.1)</f>
        <v>1.1</v>
      </c>
      <c r="S2298" s="4">
        <f>IFERROR(__xludf.DUMMYFUNCTION("""COMPUTED_VALUE"""),62.8)</f>
        <v>62.8</v>
      </c>
      <c r="T2298" s="4">
        <f>IFERROR(__xludf.DUMMYFUNCTION("""COMPUTED_VALUE"""),0.117)</f>
        <v>0.117</v>
      </c>
      <c r="U2298" s="4">
        <f>IFERROR(__xludf.DUMMYFUNCTION("""COMPUTED_VALUE"""),-0.5)</f>
        <v>-0.5</v>
      </c>
      <c r="V2298" s="4">
        <f>IFERROR(__xludf.DUMMYFUNCTION("""COMPUTED_VALUE"""),9.5)</f>
        <v>9.5</v>
      </c>
    </row>
    <row r="2299">
      <c r="A2299" s="4"/>
      <c r="B2299" s="4"/>
      <c r="C2299" s="4"/>
      <c r="D2299" s="4" t="str">
        <f>IFERROR(__xludf.DUMMYFUNCTION("""COMPUTED_VALUE"""),"Round 2")</f>
        <v>Round 2</v>
      </c>
      <c r="E2299" s="4"/>
      <c r="F2299" s="4"/>
      <c r="G2299" s="4" t="str">
        <f>IFERROR(__xludf.DUMMYFUNCTION("""COMPUTED_VALUE"""),"Totals")</f>
        <v>Totals</v>
      </c>
      <c r="H2299" s="4"/>
      <c r="I2299" s="4"/>
      <c r="J2299" s="4"/>
      <c r="K2299" s="4"/>
      <c r="L2299" s="4" t="str">
        <f>IFERROR(__xludf.DUMMYFUNCTION("""COMPUTED_VALUE"""),"Shooting")</f>
        <v>Shooting</v>
      </c>
      <c r="M2299" s="4"/>
      <c r="N2299" s="4"/>
      <c r="O2299" s="4" t="str">
        <f>IFERROR(__xludf.DUMMYFUNCTION("""COMPUTED_VALUE"""),"Per Game")</f>
        <v>Per Game</v>
      </c>
      <c r="P2299" s="4"/>
      <c r="Q2299" s="4"/>
      <c r="R2299" s="4"/>
      <c r="S2299" s="4" t="str">
        <f>IFERROR(__xludf.DUMMYFUNCTION("""COMPUTED_VALUE"""),"Advanced")</f>
        <v>Advanced</v>
      </c>
      <c r="T2299" s="4"/>
      <c r="U2299" s="4"/>
      <c r="V2299" s="4"/>
    </row>
    <row r="2300">
      <c r="A2300" s="4" t="str">
        <f>IFERROR(__xludf.DUMMYFUNCTION("""COMPUTED_VALUE"""),"Rk")</f>
        <v>Rk</v>
      </c>
      <c r="B2300" s="4" t="str">
        <f>IFERROR(__xludf.DUMMYFUNCTION("""COMPUTED_VALUE"""),"Pk")</f>
        <v>Pk</v>
      </c>
      <c r="C2300" s="4" t="str">
        <f>IFERROR(__xludf.DUMMYFUNCTION("""COMPUTED_VALUE"""),"Tm")</f>
        <v>Tm</v>
      </c>
      <c r="D2300" s="4" t="str">
        <f>IFERROR(__xludf.DUMMYFUNCTION("""COMPUTED_VALUE"""),"Player")</f>
        <v>Player</v>
      </c>
      <c r="E2300" s="4" t="str">
        <f>IFERROR(__xludf.DUMMYFUNCTION("""COMPUTED_VALUE"""),"College")</f>
        <v>College</v>
      </c>
      <c r="F2300" s="4" t="str">
        <f>IFERROR(__xludf.DUMMYFUNCTION("""COMPUTED_VALUE"""),"Yrs")</f>
        <v>Yrs</v>
      </c>
      <c r="G2300" s="4" t="str">
        <f>IFERROR(__xludf.DUMMYFUNCTION("""COMPUTED_VALUE"""),"G")</f>
        <v>G</v>
      </c>
      <c r="H2300" s="4" t="str">
        <f>IFERROR(__xludf.DUMMYFUNCTION("""COMPUTED_VALUE"""),"MP")</f>
        <v>MP</v>
      </c>
      <c r="I2300" s="4" t="str">
        <f>IFERROR(__xludf.DUMMYFUNCTION("""COMPUTED_VALUE"""),"PTS")</f>
        <v>PTS</v>
      </c>
      <c r="J2300" s="4" t="str">
        <f>IFERROR(__xludf.DUMMYFUNCTION("""COMPUTED_VALUE"""),"TRB")</f>
        <v>TRB</v>
      </c>
      <c r="K2300" s="4" t="str">
        <f>IFERROR(__xludf.DUMMYFUNCTION("""COMPUTED_VALUE"""),"AST")</f>
        <v>AST</v>
      </c>
      <c r="L2300" s="4" t="str">
        <f>IFERROR(__xludf.DUMMYFUNCTION("""COMPUTED_VALUE"""),"FG%")</f>
        <v>FG%</v>
      </c>
      <c r="M2300" s="4" t="str">
        <f>IFERROR(__xludf.DUMMYFUNCTION("""COMPUTED_VALUE"""),"3P%")</f>
        <v>3P%</v>
      </c>
      <c r="N2300" s="4" t="str">
        <f>IFERROR(__xludf.DUMMYFUNCTION("""COMPUTED_VALUE"""),"FT%")</f>
        <v>FT%</v>
      </c>
      <c r="O2300" s="4" t="str">
        <f>IFERROR(__xludf.DUMMYFUNCTION("""COMPUTED_VALUE"""),"MP")</f>
        <v>MP</v>
      </c>
      <c r="P2300" s="4" t="str">
        <f>IFERROR(__xludf.DUMMYFUNCTION("""COMPUTED_VALUE"""),"PTS")</f>
        <v>PTS</v>
      </c>
      <c r="Q2300" s="4" t="str">
        <f>IFERROR(__xludf.DUMMYFUNCTION("""COMPUTED_VALUE"""),"TRB")</f>
        <v>TRB</v>
      </c>
      <c r="R2300" s="4" t="str">
        <f>IFERROR(__xludf.DUMMYFUNCTION("""COMPUTED_VALUE"""),"AST")</f>
        <v>AST</v>
      </c>
      <c r="S2300" s="4" t="str">
        <f>IFERROR(__xludf.DUMMYFUNCTION("""COMPUTED_VALUE"""),"WS")</f>
        <v>WS</v>
      </c>
      <c r="T2300" s="4" t="str">
        <f>IFERROR(__xludf.DUMMYFUNCTION("""COMPUTED_VALUE"""),"WS/48")</f>
        <v>WS/48</v>
      </c>
      <c r="U2300" s="4" t="str">
        <f>IFERROR(__xludf.DUMMYFUNCTION("""COMPUTED_VALUE"""),"BPM")</f>
        <v>BPM</v>
      </c>
      <c r="V2300" s="4" t="str">
        <f>IFERROR(__xludf.DUMMYFUNCTION("""COMPUTED_VALUE"""),"VORP")</f>
        <v>VORP</v>
      </c>
    </row>
    <row r="2301">
      <c r="A2301" s="4">
        <f>IFERROR(__xludf.DUMMYFUNCTION("""COMPUTED_VALUE"""),28.0)</f>
        <v>28</v>
      </c>
      <c r="B2301" s="4">
        <f>IFERROR(__xludf.DUMMYFUNCTION("""COMPUTED_VALUE"""),28.0)</f>
        <v>28</v>
      </c>
      <c r="C2301" s="4" t="str">
        <f>IFERROR(__xludf.DUMMYFUNCTION("""COMPUTED_VALUE"""),"GSW")</f>
        <v>GSW</v>
      </c>
      <c r="D2301" s="4" t="str">
        <f>IFERROR(__xludf.DUMMYFUNCTION("""COMPUTED_VALUE"""),"Les Jepsen")</f>
        <v>Les Jepsen</v>
      </c>
      <c r="E2301" s="4" t="str">
        <f>IFERROR(__xludf.DUMMYFUNCTION("""COMPUTED_VALUE"""),"Iowa")</f>
        <v>Iowa</v>
      </c>
      <c r="F2301" s="4">
        <f>IFERROR(__xludf.DUMMYFUNCTION("""COMPUTED_VALUE"""),2.0)</f>
        <v>2</v>
      </c>
      <c r="G2301" s="4">
        <f>IFERROR(__xludf.DUMMYFUNCTION("""COMPUTED_VALUE"""),52.0)</f>
        <v>52</v>
      </c>
      <c r="H2301" s="4">
        <f>IFERROR(__xludf.DUMMYFUNCTION("""COMPUTED_VALUE"""),192.0)</f>
        <v>192</v>
      </c>
      <c r="I2301" s="4">
        <f>IFERROR(__xludf.DUMMYFUNCTION("""COMPUTED_VALUE"""),53.0)</f>
        <v>53</v>
      </c>
      <c r="J2301" s="4">
        <f>IFERROR(__xludf.DUMMYFUNCTION("""COMPUTED_VALUE"""),67.0)</f>
        <v>67</v>
      </c>
      <c r="K2301" s="4">
        <f>IFERROR(__xludf.DUMMYFUNCTION("""COMPUTED_VALUE"""),2.0)</f>
        <v>2</v>
      </c>
      <c r="L2301" s="4">
        <f>IFERROR(__xludf.DUMMYFUNCTION("""COMPUTED_VALUE"""),0.333)</f>
        <v>0.333</v>
      </c>
      <c r="M2301" s="4">
        <f>IFERROR(__xludf.DUMMYFUNCTION("""COMPUTED_VALUE"""),0.0)</f>
        <v>0</v>
      </c>
      <c r="N2301" s="4">
        <f>IFERROR(__xludf.DUMMYFUNCTION("""COMPUTED_VALUE"""),0.65)</f>
        <v>0.65</v>
      </c>
      <c r="O2301" s="4">
        <f>IFERROR(__xludf.DUMMYFUNCTION("""COMPUTED_VALUE"""),3.7)</f>
        <v>3.7</v>
      </c>
      <c r="P2301" s="4">
        <f>IFERROR(__xludf.DUMMYFUNCTION("""COMPUTED_VALUE"""),1.0)</f>
        <v>1</v>
      </c>
      <c r="Q2301" s="4">
        <f>IFERROR(__xludf.DUMMYFUNCTION("""COMPUTED_VALUE"""),1.3)</f>
        <v>1.3</v>
      </c>
      <c r="R2301" s="4">
        <f>IFERROR(__xludf.DUMMYFUNCTION("""COMPUTED_VALUE"""),0.0)</f>
        <v>0</v>
      </c>
      <c r="S2301" s="4">
        <f>IFERROR(__xludf.DUMMYFUNCTION("""COMPUTED_VALUE"""),0.1)</f>
        <v>0.1</v>
      </c>
      <c r="T2301" s="4">
        <f>IFERROR(__xludf.DUMMYFUNCTION("""COMPUTED_VALUE"""),0.031)</f>
        <v>0.031</v>
      </c>
      <c r="U2301" s="4">
        <f>IFERROR(__xludf.DUMMYFUNCTION("""COMPUTED_VALUE"""),-8.0)</f>
        <v>-8</v>
      </c>
      <c r="V2301" s="4">
        <f>IFERROR(__xludf.DUMMYFUNCTION("""COMPUTED_VALUE"""),-0.3)</f>
        <v>-0.3</v>
      </c>
    </row>
    <row r="2302">
      <c r="A2302" s="4">
        <f>IFERROR(__xludf.DUMMYFUNCTION("""COMPUTED_VALUE"""),29.0)</f>
        <v>29</v>
      </c>
      <c r="B2302" s="4">
        <f>IFERROR(__xludf.DUMMYFUNCTION("""COMPUTED_VALUE"""),29.0)</f>
        <v>29</v>
      </c>
      <c r="C2302" s="4" t="str">
        <f>IFERROR(__xludf.DUMMYFUNCTION("""COMPUTED_VALUE"""),"CHI")</f>
        <v>CHI</v>
      </c>
      <c r="D2302" s="4" t="str">
        <f>IFERROR(__xludf.DUMMYFUNCTION("""COMPUTED_VALUE"""),"Toni Kukoč")</f>
        <v>Toni Kukoč</v>
      </c>
      <c r="E2302" s="4"/>
      <c r="F2302" s="4">
        <f>IFERROR(__xludf.DUMMYFUNCTION("""COMPUTED_VALUE"""),13.0)</f>
        <v>13</v>
      </c>
      <c r="G2302" s="4">
        <f>IFERROR(__xludf.DUMMYFUNCTION("""COMPUTED_VALUE"""),846.0)</f>
        <v>846</v>
      </c>
      <c r="H2302" s="4">
        <f>IFERROR(__xludf.DUMMYFUNCTION("""COMPUTED_VALUE"""),22212.0)</f>
        <v>22212</v>
      </c>
      <c r="I2302" s="4">
        <f>IFERROR(__xludf.DUMMYFUNCTION("""COMPUTED_VALUE"""),9810.0)</f>
        <v>9810</v>
      </c>
      <c r="J2302" s="4">
        <f>IFERROR(__xludf.DUMMYFUNCTION("""COMPUTED_VALUE"""),3555.0)</f>
        <v>3555</v>
      </c>
      <c r="K2302" s="4">
        <f>IFERROR(__xludf.DUMMYFUNCTION("""COMPUTED_VALUE"""),3119.0)</f>
        <v>3119</v>
      </c>
      <c r="L2302" s="4">
        <f>IFERROR(__xludf.DUMMYFUNCTION("""COMPUTED_VALUE"""),0.447)</f>
        <v>0.447</v>
      </c>
      <c r="M2302" s="4">
        <f>IFERROR(__xludf.DUMMYFUNCTION("""COMPUTED_VALUE"""),0.335)</f>
        <v>0.335</v>
      </c>
      <c r="N2302" s="4">
        <f>IFERROR(__xludf.DUMMYFUNCTION("""COMPUTED_VALUE"""),0.729)</f>
        <v>0.729</v>
      </c>
      <c r="O2302" s="4">
        <f>IFERROR(__xludf.DUMMYFUNCTION("""COMPUTED_VALUE"""),26.3)</f>
        <v>26.3</v>
      </c>
      <c r="P2302" s="4">
        <f>IFERROR(__xludf.DUMMYFUNCTION("""COMPUTED_VALUE"""),11.6)</f>
        <v>11.6</v>
      </c>
      <c r="Q2302" s="4">
        <f>IFERROR(__xludf.DUMMYFUNCTION("""COMPUTED_VALUE"""),4.2)</f>
        <v>4.2</v>
      </c>
      <c r="R2302" s="4">
        <f>IFERROR(__xludf.DUMMYFUNCTION("""COMPUTED_VALUE"""),3.7)</f>
        <v>3.7</v>
      </c>
      <c r="S2302" s="4">
        <f>IFERROR(__xludf.DUMMYFUNCTION("""COMPUTED_VALUE"""),59.6)</f>
        <v>59.6</v>
      </c>
      <c r="T2302" s="4">
        <f>IFERROR(__xludf.DUMMYFUNCTION("""COMPUTED_VALUE"""),0.129)</f>
        <v>0.129</v>
      </c>
      <c r="U2302" s="4">
        <f>IFERROR(__xludf.DUMMYFUNCTION("""COMPUTED_VALUE"""),2.8)</f>
        <v>2.8</v>
      </c>
      <c r="V2302" s="4">
        <f>IFERROR(__xludf.DUMMYFUNCTION("""COMPUTED_VALUE"""),27.2)</f>
        <v>27.2</v>
      </c>
    </row>
    <row r="2303">
      <c r="A2303" s="4">
        <f>IFERROR(__xludf.DUMMYFUNCTION("""COMPUTED_VALUE"""),30.0)</f>
        <v>30</v>
      </c>
      <c r="B2303" s="4">
        <f>IFERROR(__xludf.DUMMYFUNCTION("""COMPUTED_VALUE"""),30.0)</f>
        <v>30</v>
      </c>
      <c r="C2303" s="4" t="str">
        <f>IFERROR(__xludf.DUMMYFUNCTION("""COMPUTED_VALUE"""),"MIA")</f>
        <v>MIA</v>
      </c>
      <c r="D2303" s="4" t="str">
        <f>IFERROR(__xludf.DUMMYFUNCTION("""COMPUTED_VALUE"""),"Carl Herrera")</f>
        <v>Carl Herrera</v>
      </c>
      <c r="E2303" s="4" t="str">
        <f>IFERROR(__xludf.DUMMYFUNCTION("""COMPUTED_VALUE"""),"Houston")</f>
        <v>Houston</v>
      </c>
      <c r="F2303" s="4">
        <f>IFERROR(__xludf.DUMMYFUNCTION("""COMPUTED_VALUE"""),8.0)</f>
        <v>8</v>
      </c>
      <c r="G2303" s="4">
        <f>IFERROR(__xludf.DUMMYFUNCTION("""COMPUTED_VALUE"""),465.0)</f>
        <v>465</v>
      </c>
      <c r="H2303" s="4">
        <f>IFERROR(__xludf.DUMMYFUNCTION("""COMPUTED_VALUE"""),8042.0)</f>
        <v>8042</v>
      </c>
      <c r="I2303" s="4">
        <f>IFERROR(__xludf.DUMMYFUNCTION("""COMPUTED_VALUE"""),2481.0)</f>
        <v>2481</v>
      </c>
      <c r="J2303" s="4">
        <f>IFERROR(__xludf.DUMMYFUNCTION("""COMPUTED_VALUE"""),1690.0)</f>
        <v>1690</v>
      </c>
      <c r="K2303" s="4">
        <f>IFERROR(__xludf.DUMMYFUNCTION("""COMPUTED_VALUE"""),261.0)</f>
        <v>261</v>
      </c>
      <c r="L2303" s="4">
        <f>IFERROR(__xludf.DUMMYFUNCTION("""COMPUTED_VALUE"""),0.476)</f>
        <v>0.476</v>
      </c>
      <c r="M2303" s="4">
        <f>IFERROR(__xludf.DUMMYFUNCTION("""COMPUTED_VALUE"""),0.143)</f>
        <v>0.143</v>
      </c>
      <c r="N2303" s="4">
        <f>IFERROR(__xludf.DUMMYFUNCTION("""COMPUTED_VALUE"""),0.643)</f>
        <v>0.643</v>
      </c>
      <c r="O2303" s="4">
        <f>IFERROR(__xludf.DUMMYFUNCTION("""COMPUTED_VALUE"""),17.3)</f>
        <v>17.3</v>
      </c>
      <c r="P2303" s="4">
        <f>IFERROR(__xludf.DUMMYFUNCTION("""COMPUTED_VALUE"""),5.3)</f>
        <v>5.3</v>
      </c>
      <c r="Q2303" s="4">
        <f>IFERROR(__xludf.DUMMYFUNCTION("""COMPUTED_VALUE"""),3.6)</f>
        <v>3.6</v>
      </c>
      <c r="R2303" s="4">
        <f>IFERROR(__xludf.DUMMYFUNCTION("""COMPUTED_VALUE"""),0.6)</f>
        <v>0.6</v>
      </c>
      <c r="S2303" s="4">
        <f>IFERROR(__xludf.DUMMYFUNCTION("""COMPUTED_VALUE"""),9.0)</f>
        <v>9</v>
      </c>
      <c r="T2303" s="4">
        <f>IFERROR(__xludf.DUMMYFUNCTION("""COMPUTED_VALUE"""),0.054)</f>
        <v>0.054</v>
      </c>
      <c r="U2303" s="4">
        <f>IFERROR(__xludf.DUMMYFUNCTION("""COMPUTED_VALUE"""),-3.7)</f>
        <v>-3.7</v>
      </c>
      <c r="V2303" s="4">
        <f>IFERROR(__xludf.DUMMYFUNCTION("""COMPUTED_VALUE"""),-3.4)</f>
        <v>-3.4</v>
      </c>
    </row>
    <row r="2304">
      <c r="A2304" s="4">
        <f>IFERROR(__xludf.DUMMYFUNCTION("""COMPUTED_VALUE"""),31.0)</f>
        <v>31</v>
      </c>
      <c r="B2304" s="4">
        <f>IFERROR(__xludf.DUMMYFUNCTION("""COMPUTED_VALUE"""),31.0)</f>
        <v>31</v>
      </c>
      <c r="C2304" s="4" t="str">
        <f>IFERROR(__xludf.DUMMYFUNCTION("""COMPUTED_VALUE"""),"PHO")</f>
        <v>PHO</v>
      </c>
      <c r="D2304" s="4" t="str">
        <f>IFERROR(__xludf.DUMMYFUNCTION("""COMPUTED_VALUE"""),"Negele Knight")</f>
        <v>Negele Knight</v>
      </c>
      <c r="E2304" s="4" t="str">
        <f>IFERROR(__xludf.DUMMYFUNCTION("""COMPUTED_VALUE"""),"Dayton")</f>
        <v>Dayton</v>
      </c>
      <c r="F2304" s="4">
        <f>IFERROR(__xludf.DUMMYFUNCTION("""COMPUTED_VALUE"""),6.0)</f>
        <v>6</v>
      </c>
      <c r="G2304" s="4">
        <f>IFERROR(__xludf.DUMMYFUNCTION("""COMPUTED_VALUE"""),276.0)</f>
        <v>276</v>
      </c>
      <c r="H2304" s="4">
        <f>IFERROR(__xludf.DUMMYFUNCTION("""COMPUTED_VALUE"""),4513.0)</f>
        <v>4513</v>
      </c>
      <c r="I2304" s="4">
        <f>IFERROR(__xludf.DUMMYFUNCTION("""COMPUTED_VALUE"""),1699.0)</f>
        <v>1699</v>
      </c>
      <c r="J2304" s="4">
        <f>IFERROR(__xludf.DUMMYFUNCTION("""COMPUTED_VALUE"""),351.0)</f>
        <v>351</v>
      </c>
      <c r="K2304" s="4">
        <f>IFERROR(__xludf.DUMMYFUNCTION("""COMPUTED_VALUE"""),780.0)</f>
        <v>780</v>
      </c>
      <c r="L2304" s="4">
        <f>IFERROR(__xludf.DUMMYFUNCTION("""COMPUTED_VALUE"""),0.436)</f>
        <v>0.436</v>
      </c>
      <c r="M2304" s="4">
        <f>IFERROR(__xludf.DUMMYFUNCTION("""COMPUTED_VALUE"""),0.263)</f>
        <v>0.263</v>
      </c>
      <c r="N2304" s="4">
        <f>IFERROR(__xludf.DUMMYFUNCTION("""COMPUTED_VALUE"""),0.73)</f>
        <v>0.73</v>
      </c>
      <c r="O2304" s="4">
        <f>IFERROR(__xludf.DUMMYFUNCTION("""COMPUTED_VALUE"""),16.4)</f>
        <v>16.4</v>
      </c>
      <c r="P2304" s="4">
        <f>IFERROR(__xludf.DUMMYFUNCTION("""COMPUTED_VALUE"""),6.2)</f>
        <v>6.2</v>
      </c>
      <c r="Q2304" s="4">
        <f>IFERROR(__xludf.DUMMYFUNCTION("""COMPUTED_VALUE"""),1.3)</f>
        <v>1.3</v>
      </c>
      <c r="R2304" s="4">
        <f>IFERROR(__xludf.DUMMYFUNCTION("""COMPUTED_VALUE"""),2.8)</f>
        <v>2.8</v>
      </c>
      <c r="S2304" s="4">
        <f>IFERROR(__xludf.DUMMYFUNCTION("""COMPUTED_VALUE"""),4.2)</f>
        <v>4.2</v>
      </c>
      <c r="T2304" s="4">
        <f>IFERROR(__xludf.DUMMYFUNCTION("""COMPUTED_VALUE"""),0.044)</f>
        <v>0.044</v>
      </c>
      <c r="U2304" s="4">
        <f>IFERROR(__xludf.DUMMYFUNCTION("""COMPUTED_VALUE"""),-3.0)</f>
        <v>-3</v>
      </c>
      <c r="V2304" s="4">
        <f>IFERROR(__xludf.DUMMYFUNCTION("""COMPUTED_VALUE"""),-1.1)</f>
        <v>-1.1</v>
      </c>
    </row>
    <row r="2305">
      <c r="A2305" s="4">
        <f>IFERROR(__xludf.DUMMYFUNCTION("""COMPUTED_VALUE"""),32.0)</f>
        <v>32</v>
      </c>
      <c r="B2305" s="4">
        <f>IFERROR(__xludf.DUMMYFUNCTION("""COMPUTED_VALUE"""),32.0)</f>
        <v>32</v>
      </c>
      <c r="C2305" s="4" t="str">
        <f>IFERROR(__xludf.DUMMYFUNCTION("""COMPUTED_VALUE"""),"PHI")</f>
        <v>PHI</v>
      </c>
      <c r="D2305" s="4" t="str">
        <f>IFERROR(__xludf.DUMMYFUNCTION("""COMPUTED_VALUE"""),"Brian Oliver")</f>
        <v>Brian Oliver</v>
      </c>
      <c r="E2305" s="4" t="str">
        <f>IFERROR(__xludf.DUMMYFUNCTION("""COMPUTED_VALUE"""),"Georgia Tech")</f>
        <v>Georgia Tech</v>
      </c>
      <c r="F2305" s="4">
        <f>IFERROR(__xludf.DUMMYFUNCTION("""COMPUTED_VALUE"""),4.0)</f>
        <v>4</v>
      </c>
      <c r="G2305" s="4">
        <f>IFERROR(__xludf.DUMMYFUNCTION("""COMPUTED_VALUE"""),118.0)</f>
        <v>118</v>
      </c>
      <c r="H2305" s="4">
        <f>IFERROR(__xludf.DUMMYFUNCTION("""COMPUTED_VALUE"""),1182.0)</f>
        <v>1182</v>
      </c>
      <c r="I2305" s="4">
        <f>IFERROR(__xludf.DUMMYFUNCTION("""COMPUTED_VALUE"""),389.0)</f>
        <v>389</v>
      </c>
      <c r="J2305" s="4">
        <f>IFERROR(__xludf.DUMMYFUNCTION("""COMPUTED_VALUE"""),123.0)</f>
        <v>123</v>
      </c>
      <c r="K2305" s="4">
        <f>IFERROR(__xludf.DUMMYFUNCTION("""COMPUTED_VALUE"""),114.0)</f>
        <v>114</v>
      </c>
      <c r="L2305" s="4">
        <f>IFERROR(__xludf.DUMMYFUNCTION("""COMPUTED_VALUE"""),0.388)</f>
        <v>0.388</v>
      </c>
      <c r="M2305" s="4">
        <f>IFERROR(__xludf.DUMMYFUNCTION("""COMPUTED_VALUE"""),0.227)</f>
        <v>0.227</v>
      </c>
      <c r="N2305" s="4">
        <f>IFERROR(__xludf.DUMMYFUNCTION("""COMPUTED_VALUE"""),0.705)</f>
        <v>0.705</v>
      </c>
      <c r="O2305" s="4">
        <f>IFERROR(__xludf.DUMMYFUNCTION("""COMPUTED_VALUE"""),10.0)</f>
        <v>10</v>
      </c>
      <c r="P2305" s="4">
        <f>IFERROR(__xludf.DUMMYFUNCTION("""COMPUTED_VALUE"""),3.3)</f>
        <v>3.3</v>
      </c>
      <c r="Q2305" s="4">
        <f>IFERROR(__xludf.DUMMYFUNCTION("""COMPUTED_VALUE"""),1.0)</f>
        <v>1</v>
      </c>
      <c r="R2305" s="4">
        <f>IFERROR(__xludf.DUMMYFUNCTION("""COMPUTED_VALUE"""),1.0)</f>
        <v>1</v>
      </c>
      <c r="S2305" s="4">
        <f>IFERROR(__xludf.DUMMYFUNCTION("""COMPUTED_VALUE"""),-0.5)</f>
        <v>-0.5</v>
      </c>
      <c r="T2305" s="4">
        <f>IFERROR(__xludf.DUMMYFUNCTION("""COMPUTED_VALUE"""),-0.02)</f>
        <v>-0.02</v>
      </c>
      <c r="U2305" s="4">
        <f>IFERROR(__xludf.DUMMYFUNCTION("""COMPUTED_VALUE"""),-5.9)</f>
        <v>-5.9</v>
      </c>
      <c r="V2305" s="4">
        <f>IFERROR(__xludf.DUMMYFUNCTION("""COMPUTED_VALUE"""),-1.2)</f>
        <v>-1.2</v>
      </c>
    </row>
    <row r="2306">
      <c r="A2306" s="4">
        <f>IFERROR(__xludf.DUMMYFUNCTION("""COMPUTED_VALUE"""),33.0)</f>
        <v>33</v>
      </c>
      <c r="B2306" s="4">
        <f>IFERROR(__xludf.DUMMYFUNCTION("""COMPUTED_VALUE"""),33.0)</f>
        <v>33</v>
      </c>
      <c r="C2306" s="4" t="str">
        <f>IFERROR(__xludf.DUMMYFUNCTION("""COMPUTED_VALUE"""),"UTA")</f>
        <v>UTA</v>
      </c>
      <c r="D2306" s="4" t="str">
        <f>IFERROR(__xludf.DUMMYFUNCTION("""COMPUTED_VALUE"""),"Walter Palmer")</f>
        <v>Walter Palmer</v>
      </c>
      <c r="E2306" s="4" t="str">
        <f>IFERROR(__xludf.DUMMYFUNCTION("""COMPUTED_VALUE"""),"Dartmouth College")</f>
        <v>Dartmouth College</v>
      </c>
      <c r="F2306" s="4">
        <f>IFERROR(__xludf.DUMMYFUNCTION("""COMPUTED_VALUE"""),2.0)</f>
        <v>2</v>
      </c>
      <c r="G2306" s="4">
        <f>IFERROR(__xludf.DUMMYFUNCTION("""COMPUTED_VALUE"""),48.0)</f>
        <v>48</v>
      </c>
      <c r="H2306" s="4">
        <f>IFERROR(__xludf.DUMMYFUNCTION("""COMPUTED_VALUE"""),209.0)</f>
        <v>209</v>
      </c>
      <c r="I2306" s="4">
        <f>IFERROR(__xludf.DUMMYFUNCTION("""COMPUTED_VALUE"""),100.0)</f>
        <v>100</v>
      </c>
      <c r="J2306" s="4">
        <f>IFERROR(__xludf.DUMMYFUNCTION("""COMPUTED_VALUE"""),65.0)</f>
        <v>65</v>
      </c>
      <c r="K2306" s="4">
        <f>IFERROR(__xludf.DUMMYFUNCTION("""COMPUTED_VALUE"""),11.0)</f>
        <v>11</v>
      </c>
      <c r="L2306" s="4">
        <f>IFERROR(__xludf.DUMMYFUNCTION("""COMPUTED_VALUE"""),0.412)</f>
        <v>0.412</v>
      </c>
      <c r="M2306" s="4">
        <f>IFERROR(__xludf.DUMMYFUNCTION("""COMPUTED_VALUE"""),0.0)</f>
        <v>0</v>
      </c>
      <c r="N2306" s="4">
        <f>IFERROR(__xludf.DUMMYFUNCTION("""COMPUTED_VALUE"""),0.667)</f>
        <v>0.667</v>
      </c>
      <c r="O2306" s="4">
        <f>IFERROR(__xludf.DUMMYFUNCTION("""COMPUTED_VALUE"""),4.4)</f>
        <v>4.4</v>
      </c>
      <c r="P2306" s="4">
        <f>IFERROR(__xludf.DUMMYFUNCTION("""COMPUTED_VALUE"""),2.1)</f>
        <v>2.1</v>
      </c>
      <c r="Q2306" s="4">
        <f>IFERROR(__xludf.DUMMYFUNCTION("""COMPUTED_VALUE"""),1.4)</f>
        <v>1.4</v>
      </c>
      <c r="R2306" s="4">
        <f>IFERROR(__xludf.DUMMYFUNCTION("""COMPUTED_VALUE"""),0.2)</f>
        <v>0.2</v>
      </c>
      <c r="S2306" s="4">
        <f>IFERROR(__xludf.DUMMYFUNCTION("""COMPUTED_VALUE"""),-0.1)</f>
        <v>-0.1</v>
      </c>
      <c r="T2306" s="4">
        <f>IFERROR(__xludf.DUMMYFUNCTION("""COMPUTED_VALUE"""),-0.013)</f>
        <v>-0.013</v>
      </c>
      <c r="U2306" s="4">
        <f>IFERROR(__xludf.DUMMYFUNCTION("""COMPUTED_VALUE"""),-6.7)</f>
        <v>-6.7</v>
      </c>
      <c r="V2306" s="4">
        <f>IFERROR(__xludf.DUMMYFUNCTION("""COMPUTED_VALUE"""),-0.2)</f>
        <v>-0.2</v>
      </c>
    </row>
    <row r="2307">
      <c r="A2307" s="4">
        <f>IFERROR(__xludf.DUMMYFUNCTION("""COMPUTED_VALUE"""),34.0)</f>
        <v>34</v>
      </c>
      <c r="B2307" s="4">
        <f>IFERROR(__xludf.DUMMYFUNCTION("""COMPUTED_VALUE"""),34.0)</f>
        <v>34</v>
      </c>
      <c r="C2307" s="4" t="str">
        <f>IFERROR(__xludf.DUMMYFUNCTION("""COMPUTED_VALUE"""),"GSW")</f>
        <v>GSW</v>
      </c>
      <c r="D2307" s="4" t="str">
        <f>IFERROR(__xludf.DUMMYFUNCTION("""COMPUTED_VALUE"""),"Kevin Pritchard")</f>
        <v>Kevin Pritchard</v>
      </c>
      <c r="E2307" s="4" t="str">
        <f>IFERROR(__xludf.DUMMYFUNCTION("""COMPUTED_VALUE"""),"Kansas")</f>
        <v>Kansas</v>
      </c>
      <c r="F2307" s="4">
        <f>IFERROR(__xludf.DUMMYFUNCTION("""COMPUTED_VALUE"""),4.0)</f>
        <v>4</v>
      </c>
      <c r="G2307" s="4">
        <f>IFERROR(__xludf.DUMMYFUNCTION("""COMPUTED_VALUE"""),94.0)</f>
        <v>94</v>
      </c>
      <c r="H2307" s="4">
        <f>IFERROR(__xludf.DUMMYFUNCTION("""COMPUTED_VALUE"""),1125.0)</f>
        <v>1125</v>
      </c>
      <c r="I2307" s="4">
        <f>IFERROR(__xludf.DUMMYFUNCTION("""COMPUTED_VALUE"""),340.0)</f>
        <v>340</v>
      </c>
      <c r="J2307" s="4">
        <f>IFERROR(__xludf.DUMMYFUNCTION("""COMPUTED_VALUE"""),90.0)</f>
        <v>90</v>
      </c>
      <c r="K2307" s="4">
        <f>IFERROR(__xludf.DUMMYFUNCTION("""COMPUTED_VALUE"""),152.0)</f>
        <v>152</v>
      </c>
      <c r="L2307" s="4">
        <f>IFERROR(__xludf.DUMMYFUNCTION("""COMPUTED_VALUE"""),0.399)</f>
        <v>0.399</v>
      </c>
      <c r="M2307" s="4">
        <f>IFERROR(__xludf.DUMMYFUNCTION("""COMPUTED_VALUE"""),0.186)</f>
        <v>0.186</v>
      </c>
      <c r="N2307" s="4">
        <f>IFERROR(__xludf.DUMMYFUNCTION("""COMPUTED_VALUE"""),0.79)</f>
        <v>0.79</v>
      </c>
      <c r="O2307" s="4">
        <f>IFERROR(__xludf.DUMMYFUNCTION("""COMPUTED_VALUE"""),12.0)</f>
        <v>12</v>
      </c>
      <c r="P2307" s="4">
        <f>IFERROR(__xludf.DUMMYFUNCTION("""COMPUTED_VALUE"""),3.6)</f>
        <v>3.6</v>
      </c>
      <c r="Q2307" s="4">
        <f>IFERROR(__xludf.DUMMYFUNCTION("""COMPUTED_VALUE"""),1.0)</f>
        <v>1</v>
      </c>
      <c r="R2307" s="4">
        <f>IFERROR(__xludf.DUMMYFUNCTION("""COMPUTED_VALUE"""),1.6)</f>
        <v>1.6</v>
      </c>
      <c r="S2307" s="4">
        <f>IFERROR(__xludf.DUMMYFUNCTION("""COMPUTED_VALUE"""),0.4)</f>
        <v>0.4</v>
      </c>
      <c r="T2307" s="4">
        <f>IFERROR(__xludf.DUMMYFUNCTION("""COMPUTED_VALUE"""),0.017)</f>
        <v>0.017</v>
      </c>
      <c r="U2307" s="4">
        <f>IFERROR(__xludf.DUMMYFUNCTION("""COMPUTED_VALUE"""),-4.0)</f>
        <v>-4</v>
      </c>
      <c r="V2307" s="4">
        <f>IFERROR(__xludf.DUMMYFUNCTION("""COMPUTED_VALUE"""),-0.6)</f>
        <v>-0.6</v>
      </c>
    </row>
    <row r="2308">
      <c r="A2308" s="4">
        <f>IFERROR(__xludf.DUMMYFUNCTION("""COMPUTED_VALUE"""),35.0)</f>
        <v>35</v>
      </c>
      <c r="B2308" s="4">
        <f>IFERROR(__xludf.DUMMYFUNCTION("""COMPUTED_VALUE"""),35.0)</f>
        <v>35</v>
      </c>
      <c r="C2308" s="4" t="str">
        <f>IFERROR(__xludf.DUMMYFUNCTION("""COMPUTED_VALUE"""),"WSB")</f>
        <v>WSB</v>
      </c>
      <c r="D2308" s="4" t="str">
        <f>IFERROR(__xludf.DUMMYFUNCTION("""COMPUTED_VALUE"""),"Greg Foster")</f>
        <v>Greg Foster</v>
      </c>
      <c r="E2308" s="4" t="str">
        <f>IFERROR(__xludf.DUMMYFUNCTION("""COMPUTED_VALUE"""),"Texas-El Paso")</f>
        <v>Texas-El Paso</v>
      </c>
      <c r="F2308" s="4">
        <f>IFERROR(__xludf.DUMMYFUNCTION("""COMPUTED_VALUE"""),13.0)</f>
        <v>13</v>
      </c>
      <c r="G2308" s="4">
        <f>IFERROR(__xludf.DUMMYFUNCTION("""COMPUTED_VALUE"""),656.0)</f>
        <v>656</v>
      </c>
      <c r="H2308" s="4">
        <f>IFERROR(__xludf.DUMMYFUNCTION("""COMPUTED_VALUE"""),7974.0)</f>
        <v>7974</v>
      </c>
      <c r="I2308" s="4">
        <f>IFERROR(__xludf.DUMMYFUNCTION("""COMPUTED_VALUE"""),2538.0)</f>
        <v>2538</v>
      </c>
      <c r="J2308" s="4">
        <f>IFERROR(__xludf.DUMMYFUNCTION("""COMPUTED_VALUE"""),1691.0)</f>
        <v>1691</v>
      </c>
      <c r="K2308" s="4">
        <f>IFERROR(__xludf.DUMMYFUNCTION("""COMPUTED_VALUE"""),351.0)</f>
        <v>351</v>
      </c>
      <c r="L2308" s="4">
        <f>IFERROR(__xludf.DUMMYFUNCTION("""COMPUTED_VALUE"""),0.44)</f>
        <v>0.44</v>
      </c>
      <c r="M2308" s="4">
        <f>IFERROR(__xludf.DUMMYFUNCTION("""COMPUTED_VALUE"""),0.225)</f>
        <v>0.225</v>
      </c>
      <c r="N2308" s="4">
        <f>IFERROR(__xludf.DUMMYFUNCTION("""COMPUTED_VALUE"""),0.748)</f>
        <v>0.748</v>
      </c>
      <c r="O2308" s="4">
        <f>IFERROR(__xludf.DUMMYFUNCTION("""COMPUTED_VALUE"""),12.2)</f>
        <v>12.2</v>
      </c>
      <c r="P2308" s="4">
        <f>IFERROR(__xludf.DUMMYFUNCTION("""COMPUTED_VALUE"""),3.9)</f>
        <v>3.9</v>
      </c>
      <c r="Q2308" s="4">
        <f>IFERROR(__xludf.DUMMYFUNCTION("""COMPUTED_VALUE"""),2.6)</f>
        <v>2.6</v>
      </c>
      <c r="R2308" s="4">
        <f>IFERROR(__xludf.DUMMYFUNCTION("""COMPUTED_VALUE"""),0.5)</f>
        <v>0.5</v>
      </c>
      <c r="S2308" s="4">
        <f>IFERROR(__xludf.DUMMYFUNCTION("""COMPUTED_VALUE"""),5.6)</f>
        <v>5.6</v>
      </c>
      <c r="T2308" s="4">
        <f>IFERROR(__xludf.DUMMYFUNCTION("""COMPUTED_VALUE"""),0.033)</f>
        <v>0.033</v>
      </c>
      <c r="U2308" s="4">
        <f>IFERROR(__xludf.DUMMYFUNCTION("""COMPUTED_VALUE"""),-5.5)</f>
        <v>-5.5</v>
      </c>
      <c r="V2308" s="4">
        <f>IFERROR(__xludf.DUMMYFUNCTION("""COMPUTED_VALUE"""),-7.0)</f>
        <v>-7</v>
      </c>
    </row>
    <row r="2309">
      <c r="A2309" s="4">
        <f>IFERROR(__xludf.DUMMYFUNCTION("""COMPUTED_VALUE"""),36.0)</f>
        <v>36</v>
      </c>
      <c r="B2309" s="4">
        <f>IFERROR(__xludf.DUMMYFUNCTION("""COMPUTED_VALUE"""),36.0)</f>
        <v>36</v>
      </c>
      <c r="C2309" s="4" t="str">
        <f>IFERROR(__xludf.DUMMYFUNCTION("""COMPUTED_VALUE"""),"ATL")</f>
        <v>ATL</v>
      </c>
      <c r="D2309" s="4" t="str">
        <f>IFERROR(__xludf.DUMMYFUNCTION("""COMPUTED_VALUE"""),"Trevor Wilson")</f>
        <v>Trevor Wilson</v>
      </c>
      <c r="E2309" s="4" t="str">
        <f>IFERROR(__xludf.DUMMYFUNCTION("""COMPUTED_VALUE"""),"UCLA")</f>
        <v>UCLA</v>
      </c>
      <c r="F2309" s="4">
        <f>IFERROR(__xludf.DUMMYFUNCTION("""COMPUTED_VALUE"""),4.0)</f>
        <v>4</v>
      </c>
      <c r="G2309" s="4">
        <f>IFERROR(__xludf.DUMMYFUNCTION("""COMPUTED_VALUE"""),103.0)</f>
        <v>103</v>
      </c>
      <c r="H2309" s="4">
        <f>IFERROR(__xludf.DUMMYFUNCTION("""COMPUTED_VALUE"""),1609.0)</f>
        <v>1609</v>
      </c>
      <c r="I2309" s="4">
        <f>IFERROR(__xludf.DUMMYFUNCTION("""COMPUTED_VALUE"""),591.0)</f>
        <v>591</v>
      </c>
      <c r="J2309" s="4">
        <f>IFERROR(__xludf.DUMMYFUNCTION("""COMPUTED_VALUE"""),353.0)</f>
        <v>353</v>
      </c>
      <c r="K2309" s="4">
        <f>IFERROR(__xludf.DUMMYFUNCTION("""COMPUTED_VALUE"""),99.0)</f>
        <v>99</v>
      </c>
      <c r="L2309" s="4">
        <f>IFERROR(__xludf.DUMMYFUNCTION("""COMPUTED_VALUE"""),0.456)</f>
        <v>0.456</v>
      </c>
      <c r="M2309" s="4">
        <f>IFERROR(__xludf.DUMMYFUNCTION("""COMPUTED_VALUE"""),0.0)</f>
        <v>0</v>
      </c>
      <c r="N2309" s="4">
        <f>IFERROR(__xludf.DUMMYFUNCTION("""COMPUTED_VALUE"""),0.567)</f>
        <v>0.567</v>
      </c>
      <c r="O2309" s="4">
        <f>IFERROR(__xludf.DUMMYFUNCTION("""COMPUTED_VALUE"""),15.6)</f>
        <v>15.6</v>
      </c>
      <c r="P2309" s="4">
        <f>IFERROR(__xludf.DUMMYFUNCTION("""COMPUTED_VALUE"""),5.7)</f>
        <v>5.7</v>
      </c>
      <c r="Q2309" s="4">
        <f>IFERROR(__xludf.DUMMYFUNCTION("""COMPUTED_VALUE"""),3.4)</f>
        <v>3.4</v>
      </c>
      <c r="R2309" s="4">
        <f>IFERROR(__xludf.DUMMYFUNCTION("""COMPUTED_VALUE"""),1.0)</f>
        <v>1</v>
      </c>
      <c r="S2309" s="4">
        <f>IFERROR(__xludf.DUMMYFUNCTION("""COMPUTED_VALUE"""),0.8)</f>
        <v>0.8</v>
      </c>
      <c r="T2309" s="4">
        <f>IFERROR(__xludf.DUMMYFUNCTION("""COMPUTED_VALUE"""),0.023)</f>
        <v>0.023</v>
      </c>
      <c r="U2309" s="4">
        <f>IFERROR(__xludf.DUMMYFUNCTION("""COMPUTED_VALUE"""),-3.4)</f>
        <v>-3.4</v>
      </c>
      <c r="V2309" s="4">
        <f>IFERROR(__xludf.DUMMYFUNCTION("""COMPUTED_VALUE"""),-0.6)</f>
        <v>-0.6</v>
      </c>
    </row>
    <row r="2310">
      <c r="A2310" s="4">
        <f>IFERROR(__xludf.DUMMYFUNCTION("""COMPUTED_VALUE"""),37.0)</f>
        <v>37</v>
      </c>
      <c r="B2310" s="4">
        <f>IFERROR(__xludf.DUMMYFUNCTION("""COMPUTED_VALUE"""),37.0)</f>
        <v>37</v>
      </c>
      <c r="C2310" s="4" t="str">
        <f>IFERROR(__xludf.DUMMYFUNCTION("""COMPUTED_VALUE"""),"WSB")</f>
        <v>WSB</v>
      </c>
      <c r="D2310" s="4" t="str">
        <f>IFERROR(__xludf.DUMMYFUNCTION("""COMPUTED_VALUE"""),"A.J. English")</f>
        <v>A.J. English</v>
      </c>
      <c r="E2310" s="4" t="str">
        <f>IFERROR(__xludf.DUMMYFUNCTION("""COMPUTED_VALUE"""),"Virginia Union University")</f>
        <v>Virginia Union University</v>
      </c>
      <c r="F2310" s="4">
        <f>IFERROR(__xludf.DUMMYFUNCTION("""COMPUTED_VALUE"""),2.0)</f>
        <v>2</v>
      </c>
      <c r="G2310" s="4">
        <f>IFERROR(__xludf.DUMMYFUNCTION("""COMPUTED_VALUE"""),151.0)</f>
        <v>151</v>
      </c>
      <c r="H2310" s="4">
        <f>IFERROR(__xludf.DUMMYFUNCTION("""COMPUTED_VALUE"""),3108.0)</f>
        <v>3108</v>
      </c>
      <c r="I2310" s="4">
        <f>IFERROR(__xludf.DUMMYFUNCTION("""COMPUTED_VALUE"""),1502.0)</f>
        <v>1502</v>
      </c>
      <c r="J2310" s="4">
        <f>IFERROR(__xludf.DUMMYFUNCTION("""COMPUTED_VALUE"""),315.0)</f>
        <v>315</v>
      </c>
      <c r="K2310" s="4">
        <f>IFERROR(__xludf.DUMMYFUNCTION("""COMPUTED_VALUE"""),320.0)</f>
        <v>320</v>
      </c>
      <c r="L2310" s="4">
        <f>IFERROR(__xludf.DUMMYFUNCTION("""COMPUTED_VALUE"""),0.435)</f>
        <v>0.435</v>
      </c>
      <c r="M2310" s="4">
        <f>IFERROR(__xludf.DUMMYFUNCTION("""COMPUTED_VALUE"""),0.138)</f>
        <v>0.138</v>
      </c>
      <c r="N2310" s="4">
        <f>IFERROR(__xludf.DUMMYFUNCTION("""COMPUTED_VALUE"""),0.778)</f>
        <v>0.778</v>
      </c>
      <c r="O2310" s="4">
        <f>IFERROR(__xludf.DUMMYFUNCTION("""COMPUTED_VALUE"""),20.6)</f>
        <v>20.6</v>
      </c>
      <c r="P2310" s="4">
        <f>IFERROR(__xludf.DUMMYFUNCTION("""COMPUTED_VALUE"""),9.9)</f>
        <v>9.9</v>
      </c>
      <c r="Q2310" s="4">
        <f>IFERROR(__xludf.DUMMYFUNCTION("""COMPUTED_VALUE"""),2.1)</f>
        <v>2.1</v>
      </c>
      <c r="R2310" s="4">
        <f>IFERROR(__xludf.DUMMYFUNCTION("""COMPUTED_VALUE"""),2.1)</f>
        <v>2.1</v>
      </c>
      <c r="S2310" s="4">
        <f>IFERROR(__xludf.DUMMYFUNCTION("""COMPUTED_VALUE"""),1.1)</f>
        <v>1.1</v>
      </c>
      <c r="T2310" s="4">
        <f>IFERROR(__xludf.DUMMYFUNCTION("""COMPUTED_VALUE"""),0.017)</f>
        <v>0.017</v>
      </c>
      <c r="U2310" s="4">
        <f>IFERROR(__xludf.DUMMYFUNCTION("""COMPUTED_VALUE"""),-3.9)</f>
        <v>-3.9</v>
      </c>
      <c r="V2310" s="4">
        <f>IFERROR(__xludf.DUMMYFUNCTION("""COMPUTED_VALUE"""),-1.5)</f>
        <v>-1.5</v>
      </c>
    </row>
    <row r="2311">
      <c r="A2311" s="4">
        <f>IFERROR(__xludf.DUMMYFUNCTION("""COMPUTED_VALUE"""),38.0)</f>
        <v>38</v>
      </c>
      <c r="B2311" s="4">
        <f>IFERROR(__xludf.DUMMYFUNCTION("""COMPUTED_VALUE"""),38.0)</f>
        <v>38</v>
      </c>
      <c r="C2311" s="4" t="str">
        <f>IFERROR(__xludf.DUMMYFUNCTION("""COMPUTED_VALUE"""),"SEA")</f>
        <v>SEA</v>
      </c>
      <c r="D2311" s="4" t="str">
        <f>IFERROR(__xludf.DUMMYFUNCTION("""COMPUTED_VALUE"""),"Jud Buechler")</f>
        <v>Jud Buechler</v>
      </c>
      <c r="E2311" s="4" t="str">
        <f>IFERROR(__xludf.DUMMYFUNCTION("""COMPUTED_VALUE"""),"Arizona")</f>
        <v>Arizona</v>
      </c>
      <c r="F2311" s="4">
        <f>IFERROR(__xludf.DUMMYFUNCTION("""COMPUTED_VALUE"""),12.0)</f>
        <v>12</v>
      </c>
      <c r="G2311" s="4">
        <f>IFERROR(__xludf.DUMMYFUNCTION("""COMPUTED_VALUE"""),720.0)</f>
        <v>720</v>
      </c>
      <c r="H2311" s="4">
        <f>IFERROR(__xludf.DUMMYFUNCTION("""COMPUTED_VALUE"""),8444.0)</f>
        <v>8444</v>
      </c>
      <c r="I2311" s="4">
        <f>IFERROR(__xludf.DUMMYFUNCTION("""COMPUTED_VALUE"""),2385.0)</f>
        <v>2385</v>
      </c>
      <c r="J2311" s="4">
        <f>IFERROR(__xludf.DUMMYFUNCTION("""COMPUTED_VALUE"""),1266.0)</f>
        <v>1266</v>
      </c>
      <c r="K2311" s="4">
        <f>IFERROR(__xludf.DUMMYFUNCTION("""COMPUTED_VALUE"""),560.0)</f>
        <v>560</v>
      </c>
      <c r="L2311" s="4">
        <f>IFERROR(__xludf.DUMMYFUNCTION("""COMPUTED_VALUE"""),0.433)</f>
        <v>0.433</v>
      </c>
      <c r="M2311" s="4">
        <f>IFERROR(__xludf.DUMMYFUNCTION("""COMPUTED_VALUE"""),0.366)</f>
        <v>0.366</v>
      </c>
      <c r="N2311" s="4">
        <f>IFERROR(__xludf.DUMMYFUNCTION("""COMPUTED_VALUE"""),0.633)</f>
        <v>0.633</v>
      </c>
      <c r="O2311" s="4">
        <f>IFERROR(__xludf.DUMMYFUNCTION("""COMPUTED_VALUE"""),11.7)</f>
        <v>11.7</v>
      </c>
      <c r="P2311" s="4">
        <f>IFERROR(__xludf.DUMMYFUNCTION("""COMPUTED_VALUE"""),3.3)</f>
        <v>3.3</v>
      </c>
      <c r="Q2311" s="4">
        <f>IFERROR(__xludf.DUMMYFUNCTION("""COMPUTED_VALUE"""),1.8)</f>
        <v>1.8</v>
      </c>
      <c r="R2311" s="4">
        <f>IFERROR(__xludf.DUMMYFUNCTION("""COMPUTED_VALUE"""),0.8)</f>
        <v>0.8</v>
      </c>
      <c r="S2311" s="4">
        <f>IFERROR(__xludf.DUMMYFUNCTION("""COMPUTED_VALUE"""),16.5)</f>
        <v>16.5</v>
      </c>
      <c r="T2311" s="4">
        <f>IFERROR(__xludf.DUMMYFUNCTION("""COMPUTED_VALUE"""),0.094)</f>
        <v>0.094</v>
      </c>
      <c r="U2311" s="4">
        <f>IFERROR(__xludf.DUMMYFUNCTION("""COMPUTED_VALUE"""),-0.1)</f>
        <v>-0.1</v>
      </c>
      <c r="V2311" s="4">
        <f>IFERROR(__xludf.DUMMYFUNCTION("""COMPUTED_VALUE"""),4.0)</f>
        <v>4</v>
      </c>
    </row>
    <row r="2312">
      <c r="A2312" s="4">
        <f>IFERROR(__xludf.DUMMYFUNCTION("""COMPUTED_VALUE"""),39.0)</f>
        <v>39</v>
      </c>
      <c r="B2312" s="4">
        <f>IFERROR(__xludf.DUMMYFUNCTION("""COMPUTED_VALUE"""),39.0)</f>
        <v>39</v>
      </c>
      <c r="C2312" s="4" t="str">
        <f>IFERROR(__xludf.DUMMYFUNCTION("""COMPUTED_VALUE"""),"CHH")</f>
        <v>CHH</v>
      </c>
      <c r="D2312" s="4" t="str">
        <f>IFERROR(__xludf.DUMMYFUNCTION("""COMPUTED_VALUE"""),"Steve Scheffler")</f>
        <v>Steve Scheffler</v>
      </c>
      <c r="E2312" s="4" t="str">
        <f>IFERROR(__xludf.DUMMYFUNCTION("""COMPUTED_VALUE"""),"Purdue")</f>
        <v>Purdue</v>
      </c>
      <c r="F2312" s="4">
        <f>IFERROR(__xludf.DUMMYFUNCTION("""COMPUTED_VALUE"""),7.0)</f>
        <v>7</v>
      </c>
      <c r="G2312" s="4">
        <f>IFERROR(__xludf.DUMMYFUNCTION("""COMPUTED_VALUE"""),174.0)</f>
        <v>174</v>
      </c>
      <c r="H2312" s="4">
        <f>IFERROR(__xludf.DUMMYFUNCTION("""COMPUTED_VALUE"""),918.0)</f>
        <v>918</v>
      </c>
      <c r="I2312" s="4">
        <f>IFERROR(__xludf.DUMMYFUNCTION("""COMPUTED_VALUE"""),331.0)</f>
        <v>331</v>
      </c>
      <c r="J2312" s="4">
        <f>IFERROR(__xludf.DUMMYFUNCTION("""COMPUTED_VALUE"""),180.0)</f>
        <v>180</v>
      </c>
      <c r="K2312" s="4">
        <f>IFERROR(__xludf.DUMMYFUNCTION("""COMPUTED_VALUE"""),26.0)</f>
        <v>26</v>
      </c>
      <c r="L2312" s="4">
        <f>IFERROR(__xludf.DUMMYFUNCTION("""COMPUTED_VALUE"""),0.558)</f>
        <v>0.558</v>
      </c>
      <c r="M2312" s="4">
        <f>IFERROR(__xludf.DUMMYFUNCTION("""COMPUTED_VALUE"""),0.2)</f>
        <v>0.2</v>
      </c>
      <c r="N2312" s="4">
        <f>IFERROR(__xludf.DUMMYFUNCTION("""COMPUTED_VALUE"""),0.759)</f>
        <v>0.759</v>
      </c>
      <c r="O2312" s="4">
        <f>IFERROR(__xludf.DUMMYFUNCTION("""COMPUTED_VALUE"""),5.3)</f>
        <v>5.3</v>
      </c>
      <c r="P2312" s="4">
        <f>IFERROR(__xludf.DUMMYFUNCTION("""COMPUTED_VALUE"""),1.9)</f>
        <v>1.9</v>
      </c>
      <c r="Q2312" s="4">
        <f>IFERROR(__xludf.DUMMYFUNCTION("""COMPUTED_VALUE"""),1.0)</f>
        <v>1</v>
      </c>
      <c r="R2312" s="4">
        <f>IFERROR(__xludf.DUMMYFUNCTION("""COMPUTED_VALUE"""),0.1)</f>
        <v>0.1</v>
      </c>
      <c r="S2312" s="4">
        <f>IFERROR(__xludf.DUMMYFUNCTION("""COMPUTED_VALUE"""),2.9)</f>
        <v>2.9</v>
      </c>
      <c r="T2312" s="4">
        <f>IFERROR(__xludf.DUMMYFUNCTION("""COMPUTED_VALUE"""),0.153)</f>
        <v>0.153</v>
      </c>
      <c r="U2312" s="4">
        <f>IFERROR(__xludf.DUMMYFUNCTION("""COMPUTED_VALUE"""),-1.9)</f>
        <v>-1.9</v>
      </c>
      <c r="V2312" s="4">
        <f>IFERROR(__xludf.DUMMYFUNCTION("""COMPUTED_VALUE"""),0.0)</f>
        <v>0</v>
      </c>
    </row>
    <row r="2313">
      <c r="A2313" s="4">
        <f>IFERROR(__xludf.DUMMYFUNCTION("""COMPUTED_VALUE"""),40.0)</f>
        <v>40</v>
      </c>
      <c r="B2313" s="4">
        <f>IFERROR(__xludf.DUMMYFUNCTION("""COMPUTED_VALUE"""),40.0)</f>
        <v>40</v>
      </c>
      <c r="C2313" s="4" t="str">
        <f>IFERROR(__xludf.DUMMYFUNCTION("""COMPUTED_VALUE"""),"SAC")</f>
        <v>SAC</v>
      </c>
      <c r="D2313" s="4" t="str">
        <f>IFERROR(__xludf.DUMMYFUNCTION("""COMPUTED_VALUE"""),"Bimbo Coles")</f>
        <v>Bimbo Coles</v>
      </c>
      <c r="E2313" s="4" t="str">
        <f>IFERROR(__xludf.DUMMYFUNCTION("""COMPUTED_VALUE"""),"Virginia Tech")</f>
        <v>Virginia Tech</v>
      </c>
      <c r="F2313" s="4">
        <f>IFERROR(__xludf.DUMMYFUNCTION("""COMPUTED_VALUE"""),14.0)</f>
        <v>14</v>
      </c>
      <c r="G2313" s="4">
        <f>IFERROR(__xludf.DUMMYFUNCTION("""COMPUTED_VALUE"""),852.0)</f>
        <v>852</v>
      </c>
      <c r="H2313" s="4">
        <f>IFERROR(__xludf.DUMMYFUNCTION("""COMPUTED_VALUE"""),20319.0)</f>
        <v>20319</v>
      </c>
      <c r="I2313" s="4">
        <f>IFERROR(__xludf.DUMMYFUNCTION("""COMPUTED_VALUE"""),6628.0)</f>
        <v>6628</v>
      </c>
      <c r="J2313" s="4">
        <f>IFERROR(__xludf.DUMMYFUNCTION("""COMPUTED_VALUE"""),1820.0)</f>
        <v>1820</v>
      </c>
      <c r="K2313" s="4">
        <f>IFERROR(__xludf.DUMMYFUNCTION("""COMPUTED_VALUE"""),3313.0)</f>
        <v>3313</v>
      </c>
      <c r="L2313" s="4">
        <f>IFERROR(__xludf.DUMMYFUNCTION("""COMPUTED_VALUE"""),0.425)</f>
        <v>0.425</v>
      </c>
      <c r="M2313" s="4">
        <f>IFERROR(__xludf.DUMMYFUNCTION("""COMPUTED_VALUE"""),0.267)</f>
        <v>0.267</v>
      </c>
      <c r="N2313" s="4">
        <f>IFERROR(__xludf.DUMMYFUNCTION("""COMPUTED_VALUE"""),0.811)</f>
        <v>0.811</v>
      </c>
      <c r="O2313" s="4">
        <f>IFERROR(__xludf.DUMMYFUNCTION("""COMPUTED_VALUE"""),23.8)</f>
        <v>23.8</v>
      </c>
      <c r="P2313" s="4">
        <f>IFERROR(__xludf.DUMMYFUNCTION("""COMPUTED_VALUE"""),7.8)</f>
        <v>7.8</v>
      </c>
      <c r="Q2313" s="4">
        <f>IFERROR(__xludf.DUMMYFUNCTION("""COMPUTED_VALUE"""),2.1)</f>
        <v>2.1</v>
      </c>
      <c r="R2313" s="4">
        <f>IFERROR(__xludf.DUMMYFUNCTION("""COMPUTED_VALUE"""),3.9)</f>
        <v>3.9</v>
      </c>
      <c r="S2313" s="4">
        <f>IFERROR(__xludf.DUMMYFUNCTION("""COMPUTED_VALUE"""),27.4)</f>
        <v>27.4</v>
      </c>
      <c r="T2313" s="4">
        <f>IFERROR(__xludf.DUMMYFUNCTION("""COMPUTED_VALUE"""),0.065)</f>
        <v>0.065</v>
      </c>
      <c r="U2313" s="4">
        <f>IFERROR(__xludf.DUMMYFUNCTION("""COMPUTED_VALUE"""),-1.6)</f>
        <v>-1.6</v>
      </c>
      <c r="V2313" s="4">
        <f>IFERROR(__xludf.DUMMYFUNCTION("""COMPUTED_VALUE"""),1.9)</f>
        <v>1.9</v>
      </c>
    </row>
    <row r="2314">
      <c r="A2314" s="4">
        <f>IFERROR(__xludf.DUMMYFUNCTION("""COMPUTED_VALUE"""),41.0)</f>
        <v>41</v>
      </c>
      <c r="B2314" s="4">
        <f>IFERROR(__xludf.DUMMYFUNCTION("""COMPUTED_VALUE"""),41.0)</f>
        <v>41</v>
      </c>
      <c r="C2314" s="4" t="str">
        <f>IFERROR(__xludf.DUMMYFUNCTION("""COMPUTED_VALUE"""),"ATL")</f>
        <v>ATL</v>
      </c>
      <c r="D2314" s="4" t="str">
        <f>IFERROR(__xludf.DUMMYFUNCTION("""COMPUTED_VALUE"""),"Steve Bardo")</f>
        <v>Steve Bardo</v>
      </c>
      <c r="E2314" s="4" t="str">
        <f>IFERROR(__xludf.DUMMYFUNCTION("""COMPUTED_VALUE"""),"Illinois")</f>
        <v>Illinois</v>
      </c>
      <c r="F2314" s="4">
        <f>IFERROR(__xludf.DUMMYFUNCTION("""COMPUTED_VALUE"""),3.0)</f>
        <v>3</v>
      </c>
      <c r="G2314" s="4">
        <f>IFERROR(__xludf.DUMMYFUNCTION("""COMPUTED_VALUE"""),33.0)</f>
        <v>33</v>
      </c>
      <c r="H2314" s="4">
        <f>IFERROR(__xludf.DUMMYFUNCTION("""COMPUTED_VALUE"""),299.0)</f>
        <v>299</v>
      </c>
      <c r="I2314" s="4">
        <f>IFERROR(__xludf.DUMMYFUNCTION("""COMPUTED_VALUE"""),73.0)</f>
        <v>73</v>
      </c>
      <c r="J2314" s="4">
        <f>IFERROR(__xludf.DUMMYFUNCTION("""COMPUTED_VALUE"""),60.0)</f>
        <v>60</v>
      </c>
      <c r="K2314" s="4">
        <f>IFERROR(__xludf.DUMMYFUNCTION("""COMPUTED_VALUE"""),44.0)</f>
        <v>44</v>
      </c>
      <c r="L2314" s="4">
        <f>IFERROR(__xludf.DUMMYFUNCTION("""COMPUTED_VALUE"""),0.329)</f>
        <v>0.329</v>
      </c>
      <c r="M2314" s="4">
        <f>IFERROR(__xludf.DUMMYFUNCTION("""COMPUTED_VALUE"""),0.1)</f>
        <v>0.1</v>
      </c>
      <c r="N2314" s="4">
        <f>IFERROR(__xludf.DUMMYFUNCTION("""COMPUTED_VALUE"""),0.696)</f>
        <v>0.696</v>
      </c>
      <c r="O2314" s="4">
        <f>IFERROR(__xludf.DUMMYFUNCTION("""COMPUTED_VALUE"""),9.1)</f>
        <v>9.1</v>
      </c>
      <c r="P2314" s="4">
        <f>IFERROR(__xludf.DUMMYFUNCTION("""COMPUTED_VALUE"""),2.2)</f>
        <v>2.2</v>
      </c>
      <c r="Q2314" s="4">
        <f>IFERROR(__xludf.DUMMYFUNCTION("""COMPUTED_VALUE"""),1.8)</f>
        <v>1.8</v>
      </c>
      <c r="R2314" s="4">
        <f>IFERROR(__xludf.DUMMYFUNCTION("""COMPUTED_VALUE"""),1.3)</f>
        <v>1.3</v>
      </c>
      <c r="S2314" s="4">
        <f>IFERROR(__xludf.DUMMYFUNCTION("""COMPUTED_VALUE"""),-0.1)</f>
        <v>-0.1</v>
      </c>
      <c r="T2314" s="4">
        <f>IFERROR(__xludf.DUMMYFUNCTION("""COMPUTED_VALUE"""),-0.02)</f>
        <v>-0.02</v>
      </c>
      <c r="U2314" s="4">
        <f>IFERROR(__xludf.DUMMYFUNCTION("""COMPUTED_VALUE"""),-4.0)</f>
        <v>-4</v>
      </c>
      <c r="V2314" s="4">
        <f>IFERROR(__xludf.DUMMYFUNCTION("""COMPUTED_VALUE"""),-0.2)</f>
        <v>-0.2</v>
      </c>
    </row>
    <row r="2315">
      <c r="A2315" s="4">
        <f>IFERROR(__xludf.DUMMYFUNCTION("""COMPUTED_VALUE"""),42.0)</f>
        <v>42</v>
      </c>
      <c r="B2315" s="4">
        <f>IFERROR(__xludf.DUMMYFUNCTION("""COMPUTED_VALUE"""),42.0)</f>
        <v>42</v>
      </c>
      <c r="C2315" s="4" t="str">
        <f>IFERROR(__xludf.DUMMYFUNCTION("""COMPUTED_VALUE"""),"DEN")</f>
        <v>DEN</v>
      </c>
      <c r="D2315" s="4" t="str">
        <f>IFERROR(__xludf.DUMMYFUNCTION("""COMPUTED_VALUE"""),"Marcus Liberty")</f>
        <v>Marcus Liberty</v>
      </c>
      <c r="E2315" s="4" t="str">
        <f>IFERROR(__xludf.DUMMYFUNCTION("""COMPUTED_VALUE"""),"Illinois")</f>
        <v>Illinois</v>
      </c>
      <c r="F2315" s="4">
        <f>IFERROR(__xludf.DUMMYFUNCTION("""COMPUTED_VALUE"""),4.0)</f>
        <v>4</v>
      </c>
      <c r="G2315" s="4">
        <f>IFERROR(__xludf.DUMMYFUNCTION("""COMPUTED_VALUE"""),267.0)</f>
        <v>267</v>
      </c>
      <c r="H2315" s="4">
        <f>IFERROR(__xludf.DUMMYFUNCTION("""COMPUTED_VALUE"""),4568.0)</f>
        <v>4568</v>
      </c>
      <c r="I2315" s="4">
        <f>IFERROR(__xludf.DUMMYFUNCTION("""COMPUTED_VALUE"""),1942.0)</f>
        <v>1942</v>
      </c>
      <c r="J2315" s="4">
        <f>IFERROR(__xludf.DUMMYFUNCTION("""COMPUTED_VALUE"""),925.0)</f>
        <v>925</v>
      </c>
      <c r="K2315" s="4">
        <f>IFERROR(__xludf.DUMMYFUNCTION("""COMPUTED_VALUE"""),244.0)</f>
        <v>244</v>
      </c>
      <c r="L2315" s="4">
        <f>IFERROR(__xludf.DUMMYFUNCTION("""COMPUTED_VALUE"""),0.417)</f>
        <v>0.417</v>
      </c>
      <c r="M2315" s="4">
        <f>IFERROR(__xludf.DUMMYFUNCTION("""COMPUTED_VALUE"""),0.34)</f>
        <v>0.34</v>
      </c>
      <c r="N2315" s="4">
        <f>IFERROR(__xludf.DUMMYFUNCTION("""COMPUTED_VALUE"""),0.664)</f>
        <v>0.664</v>
      </c>
      <c r="O2315" s="4">
        <f>IFERROR(__xludf.DUMMYFUNCTION("""COMPUTED_VALUE"""),17.1)</f>
        <v>17.1</v>
      </c>
      <c r="P2315" s="4">
        <f>IFERROR(__xludf.DUMMYFUNCTION("""COMPUTED_VALUE"""),7.3)</f>
        <v>7.3</v>
      </c>
      <c r="Q2315" s="4">
        <f>IFERROR(__xludf.DUMMYFUNCTION("""COMPUTED_VALUE"""),3.5)</f>
        <v>3.5</v>
      </c>
      <c r="R2315" s="4">
        <f>IFERROR(__xludf.DUMMYFUNCTION("""COMPUTED_VALUE"""),0.9)</f>
        <v>0.9</v>
      </c>
      <c r="S2315" s="4">
        <f>IFERROR(__xludf.DUMMYFUNCTION("""COMPUTED_VALUE"""),4.0)</f>
        <v>4</v>
      </c>
      <c r="T2315" s="4">
        <f>IFERROR(__xludf.DUMMYFUNCTION("""COMPUTED_VALUE"""),0.042)</f>
        <v>0.042</v>
      </c>
      <c r="U2315" s="4">
        <f>IFERROR(__xludf.DUMMYFUNCTION("""COMPUTED_VALUE"""),-2.6)</f>
        <v>-2.6</v>
      </c>
      <c r="V2315" s="4">
        <f>IFERROR(__xludf.DUMMYFUNCTION("""COMPUTED_VALUE"""),-0.7)</f>
        <v>-0.7</v>
      </c>
    </row>
    <row r="2316">
      <c r="A2316" s="4">
        <f>IFERROR(__xludf.DUMMYFUNCTION("""COMPUTED_VALUE"""),43.0)</f>
        <v>43</v>
      </c>
      <c r="B2316" s="4">
        <f>IFERROR(__xludf.DUMMYFUNCTION("""COMPUTED_VALUE"""),43.0)</f>
        <v>43</v>
      </c>
      <c r="C2316" s="4" t="str">
        <f>IFERROR(__xludf.DUMMYFUNCTION("""COMPUTED_VALUE"""),"SAS")</f>
        <v>SAS</v>
      </c>
      <c r="D2316" s="4" t="str">
        <f>IFERROR(__xludf.DUMMYFUNCTION("""COMPUTED_VALUE"""),"Tony Massenburg")</f>
        <v>Tony Massenburg</v>
      </c>
      <c r="E2316" s="4" t="str">
        <f>IFERROR(__xludf.DUMMYFUNCTION("""COMPUTED_VALUE"""),"Maryland")</f>
        <v>Maryland</v>
      </c>
      <c r="F2316" s="4">
        <f>IFERROR(__xludf.DUMMYFUNCTION("""COMPUTED_VALUE"""),13.0)</f>
        <v>13</v>
      </c>
      <c r="G2316" s="4">
        <f>IFERROR(__xludf.DUMMYFUNCTION("""COMPUTED_VALUE"""),683.0)</f>
        <v>683</v>
      </c>
      <c r="H2316" s="4">
        <f>IFERROR(__xludf.DUMMYFUNCTION("""COMPUTED_VALUE"""),12291.0)</f>
        <v>12291</v>
      </c>
      <c r="I2316" s="4">
        <f>IFERROR(__xludf.DUMMYFUNCTION("""COMPUTED_VALUE"""),4238.0)</f>
        <v>4238</v>
      </c>
      <c r="J2316" s="4">
        <f>IFERROR(__xludf.DUMMYFUNCTION("""COMPUTED_VALUE"""),2964.0)</f>
        <v>2964</v>
      </c>
      <c r="K2316" s="4">
        <f>IFERROR(__xludf.DUMMYFUNCTION("""COMPUTED_VALUE"""),266.0)</f>
        <v>266</v>
      </c>
      <c r="L2316" s="4">
        <f>IFERROR(__xludf.DUMMYFUNCTION("""COMPUTED_VALUE"""),0.47)</f>
        <v>0.47</v>
      </c>
      <c r="M2316" s="4">
        <f>IFERROR(__xludf.DUMMYFUNCTION("""COMPUTED_VALUE"""),0.091)</f>
        <v>0.091</v>
      </c>
      <c r="N2316" s="4">
        <f>IFERROR(__xludf.DUMMYFUNCTION("""COMPUTED_VALUE"""),0.705)</f>
        <v>0.705</v>
      </c>
      <c r="O2316" s="4">
        <f>IFERROR(__xludf.DUMMYFUNCTION("""COMPUTED_VALUE"""),18.0)</f>
        <v>18</v>
      </c>
      <c r="P2316" s="4">
        <f>IFERROR(__xludf.DUMMYFUNCTION("""COMPUTED_VALUE"""),6.2)</f>
        <v>6.2</v>
      </c>
      <c r="Q2316" s="4">
        <f>IFERROR(__xludf.DUMMYFUNCTION("""COMPUTED_VALUE"""),4.3)</f>
        <v>4.3</v>
      </c>
      <c r="R2316" s="4">
        <f>IFERROR(__xludf.DUMMYFUNCTION("""COMPUTED_VALUE"""),0.4)</f>
        <v>0.4</v>
      </c>
      <c r="S2316" s="4">
        <f>IFERROR(__xludf.DUMMYFUNCTION("""COMPUTED_VALUE"""),15.6)</f>
        <v>15.6</v>
      </c>
      <c r="T2316" s="4">
        <f>IFERROR(__xludf.DUMMYFUNCTION("""COMPUTED_VALUE"""),0.061)</f>
        <v>0.061</v>
      </c>
      <c r="U2316" s="4">
        <f>IFERROR(__xludf.DUMMYFUNCTION("""COMPUTED_VALUE"""),-4.5)</f>
        <v>-4.5</v>
      </c>
      <c r="V2316" s="4">
        <f>IFERROR(__xludf.DUMMYFUNCTION("""COMPUTED_VALUE"""),-7.8)</f>
        <v>-7.8</v>
      </c>
    </row>
    <row r="2317">
      <c r="A2317" s="4">
        <f>IFERROR(__xludf.DUMMYFUNCTION("""COMPUTED_VALUE"""),44.0)</f>
        <v>44</v>
      </c>
      <c r="B2317" s="4">
        <f>IFERROR(__xludf.DUMMYFUNCTION("""COMPUTED_VALUE"""),44.0)</f>
        <v>44</v>
      </c>
      <c r="C2317" s="4" t="str">
        <f>IFERROR(__xludf.DUMMYFUNCTION("""COMPUTED_VALUE"""),"MIL")</f>
        <v>MIL</v>
      </c>
      <c r="D2317" s="4" t="str">
        <f>IFERROR(__xludf.DUMMYFUNCTION("""COMPUTED_VALUE"""),"Steve Henson")</f>
        <v>Steve Henson</v>
      </c>
      <c r="E2317" s="4" t="str">
        <f>IFERROR(__xludf.DUMMYFUNCTION("""COMPUTED_VALUE"""),"Kansas State")</f>
        <v>Kansas State</v>
      </c>
      <c r="F2317" s="4">
        <f>IFERROR(__xludf.DUMMYFUNCTION("""COMPUTED_VALUE"""),7.0)</f>
        <v>7</v>
      </c>
      <c r="G2317" s="4">
        <f>IFERROR(__xludf.DUMMYFUNCTION("""COMPUTED_VALUE"""),238.0)</f>
        <v>238</v>
      </c>
      <c r="H2317" s="4">
        <f>IFERROR(__xludf.DUMMYFUNCTION("""COMPUTED_VALUE"""),2282.0)</f>
        <v>2282</v>
      </c>
      <c r="I2317" s="4">
        <f>IFERROR(__xludf.DUMMYFUNCTION("""COMPUTED_VALUE"""),739.0)</f>
        <v>739</v>
      </c>
      <c r="J2317" s="4">
        <f>IFERROR(__xludf.DUMMYFUNCTION("""COMPUTED_VALUE"""),176.0)</f>
        <v>176</v>
      </c>
      <c r="K2317" s="4">
        <f>IFERROR(__xludf.DUMMYFUNCTION("""COMPUTED_VALUE"""),465.0)</f>
        <v>465</v>
      </c>
      <c r="L2317" s="4">
        <f>IFERROR(__xludf.DUMMYFUNCTION("""COMPUTED_VALUE"""),0.403)</f>
        <v>0.403</v>
      </c>
      <c r="M2317" s="4">
        <f>IFERROR(__xludf.DUMMYFUNCTION("""COMPUTED_VALUE"""),0.432)</f>
        <v>0.432</v>
      </c>
      <c r="N2317" s="4">
        <f>IFERROR(__xludf.DUMMYFUNCTION("""COMPUTED_VALUE"""),0.869)</f>
        <v>0.869</v>
      </c>
      <c r="O2317" s="4">
        <f>IFERROR(__xludf.DUMMYFUNCTION("""COMPUTED_VALUE"""),9.6)</f>
        <v>9.6</v>
      </c>
      <c r="P2317" s="4">
        <f>IFERROR(__xludf.DUMMYFUNCTION("""COMPUTED_VALUE"""),3.1)</f>
        <v>3.1</v>
      </c>
      <c r="Q2317" s="4">
        <f>IFERROR(__xludf.DUMMYFUNCTION("""COMPUTED_VALUE"""),0.7)</f>
        <v>0.7</v>
      </c>
      <c r="R2317" s="4">
        <f>IFERROR(__xludf.DUMMYFUNCTION("""COMPUTED_VALUE"""),2.0)</f>
        <v>2</v>
      </c>
      <c r="S2317" s="4">
        <f>IFERROR(__xludf.DUMMYFUNCTION("""COMPUTED_VALUE"""),3.8)</f>
        <v>3.8</v>
      </c>
      <c r="T2317" s="4">
        <f>IFERROR(__xludf.DUMMYFUNCTION("""COMPUTED_VALUE"""),0.079)</f>
        <v>0.079</v>
      </c>
      <c r="U2317" s="4">
        <f>IFERROR(__xludf.DUMMYFUNCTION("""COMPUTED_VALUE"""),-1.8)</f>
        <v>-1.8</v>
      </c>
      <c r="V2317" s="4">
        <f>IFERROR(__xludf.DUMMYFUNCTION("""COMPUTED_VALUE"""),0.1)</f>
        <v>0.1</v>
      </c>
    </row>
    <row r="2318">
      <c r="A2318" s="4">
        <f>IFERROR(__xludf.DUMMYFUNCTION("""COMPUTED_VALUE"""),45.0)</f>
        <v>45</v>
      </c>
      <c r="B2318" s="4">
        <f>IFERROR(__xludf.DUMMYFUNCTION("""COMPUTED_VALUE"""),45.0)</f>
        <v>45</v>
      </c>
      <c r="C2318" s="4" t="str">
        <f>IFERROR(__xludf.DUMMYFUNCTION("""COMPUTED_VALUE"""),"IND")</f>
        <v>IND</v>
      </c>
      <c r="D2318" s="4" t="str">
        <f>IFERROR(__xludf.DUMMYFUNCTION("""COMPUTED_VALUE"""),"Antonio Davis")</f>
        <v>Antonio Davis</v>
      </c>
      <c r="E2318" s="4" t="str">
        <f>IFERROR(__xludf.DUMMYFUNCTION("""COMPUTED_VALUE"""),"Texas-El Paso")</f>
        <v>Texas-El Paso</v>
      </c>
      <c r="F2318" s="4">
        <f>IFERROR(__xludf.DUMMYFUNCTION("""COMPUTED_VALUE"""),13.0)</f>
        <v>13</v>
      </c>
      <c r="G2318" s="4">
        <f>IFERROR(__xludf.DUMMYFUNCTION("""COMPUTED_VALUE"""),903.0)</f>
        <v>903</v>
      </c>
      <c r="H2318" s="4">
        <f>IFERROR(__xludf.DUMMYFUNCTION("""COMPUTED_VALUE"""),26084.0)</f>
        <v>26084</v>
      </c>
      <c r="I2318" s="4">
        <f>IFERROR(__xludf.DUMMYFUNCTION("""COMPUTED_VALUE"""),9041.0)</f>
        <v>9041</v>
      </c>
      <c r="J2318" s="4">
        <f>IFERROR(__xludf.DUMMYFUNCTION("""COMPUTED_VALUE"""),6755.0)</f>
        <v>6755</v>
      </c>
      <c r="K2318" s="4">
        <f>IFERROR(__xludf.DUMMYFUNCTION("""COMPUTED_VALUE"""),1017.0)</f>
        <v>1017</v>
      </c>
      <c r="L2318" s="4">
        <f>IFERROR(__xludf.DUMMYFUNCTION("""COMPUTED_VALUE"""),0.448)</f>
        <v>0.448</v>
      </c>
      <c r="M2318" s="4">
        <f>IFERROR(__xludf.DUMMYFUNCTION("""COMPUTED_VALUE"""),0.087)</f>
        <v>0.087</v>
      </c>
      <c r="N2318" s="4">
        <f>IFERROR(__xludf.DUMMYFUNCTION("""COMPUTED_VALUE"""),0.727)</f>
        <v>0.727</v>
      </c>
      <c r="O2318" s="4">
        <f>IFERROR(__xludf.DUMMYFUNCTION("""COMPUTED_VALUE"""),28.9)</f>
        <v>28.9</v>
      </c>
      <c r="P2318" s="4">
        <f>IFERROR(__xludf.DUMMYFUNCTION("""COMPUTED_VALUE"""),10.0)</f>
        <v>10</v>
      </c>
      <c r="Q2318" s="4">
        <f>IFERROR(__xludf.DUMMYFUNCTION("""COMPUTED_VALUE"""),7.5)</f>
        <v>7.5</v>
      </c>
      <c r="R2318" s="4">
        <f>IFERROR(__xludf.DUMMYFUNCTION("""COMPUTED_VALUE"""),1.1)</f>
        <v>1.1</v>
      </c>
      <c r="S2318" s="4">
        <f>IFERROR(__xludf.DUMMYFUNCTION("""COMPUTED_VALUE"""),59.6)</f>
        <v>59.6</v>
      </c>
      <c r="T2318" s="4">
        <f>IFERROR(__xludf.DUMMYFUNCTION("""COMPUTED_VALUE"""),0.11)</f>
        <v>0.11</v>
      </c>
      <c r="U2318" s="4">
        <f>IFERROR(__xludf.DUMMYFUNCTION("""COMPUTED_VALUE"""),-1.3)</f>
        <v>-1.3</v>
      </c>
      <c r="V2318" s="4">
        <f>IFERROR(__xludf.DUMMYFUNCTION("""COMPUTED_VALUE"""),4.4)</f>
        <v>4.4</v>
      </c>
    </row>
    <row r="2319">
      <c r="A2319" s="4">
        <f>IFERROR(__xludf.DUMMYFUNCTION("""COMPUTED_VALUE"""),46.0)</f>
        <v>46</v>
      </c>
      <c r="B2319" s="4">
        <f>IFERROR(__xludf.DUMMYFUNCTION("""COMPUTED_VALUE"""),46.0)</f>
        <v>46</v>
      </c>
      <c r="C2319" s="4" t="str">
        <f>IFERROR(__xludf.DUMMYFUNCTION("""COMPUTED_VALUE"""),"IND")</f>
        <v>IND</v>
      </c>
      <c r="D2319" s="4" t="str">
        <f>IFERROR(__xludf.DUMMYFUNCTION("""COMPUTED_VALUE"""),"Kenny Williams")</f>
        <v>Kenny Williams</v>
      </c>
      <c r="E2319" s="4" t="str">
        <f>IFERROR(__xludf.DUMMYFUNCTION("""COMPUTED_VALUE"""),"Elizabeth City State University")</f>
        <v>Elizabeth City State University</v>
      </c>
      <c r="F2319" s="4">
        <f>IFERROR(__xludf.DUMMYFUNCTION("""COMPUTED_VALUE"""),4.0)</f>
        <v>4</v>
      </c>
      <c r="G2319" s="4">
        <f>IFERROR(__xludf.DUMMYFUNCTION("""COMPUTED_VALUE"""),260.0)</f>
        <v>260</v>
      </c>
      <c r="H2319" s="4">
        <f>IFERROR(__xludf.DUMMYFUNCTION("""COMPUTED_VALUE"""),2918.0)</f>
        <v>2918</v>
      </c>
      <c r="I2319" s="4">
        <f>IFERROR(__xludf.DUMMYFUNCTION("""COMPUTED_VALUE"""),1247.0)</f>
        <v>1247</v>
      </c>
      <c r="J2319" s="4">
        <f>IFERROR(__xludf.DUMMYFUNCTION("""COMPUTED_VALUE"""),693.0)</f>
        <v>693</v>
      </c>
      <c r="K2319" s="4">
        <f>IFERROR(__xludf.DUMMYFUNCTION("""COMPUTED_VALUE"""),161.0)</f>
        <v>161</v>
      </c>
      <c r="L2319" s="4">
        <f>IFERROR(__xludf.DUMMYFUNCTION("""COMPUTED_VALUE"""),0.511)</f>
        <v>0.511</v>
      </c>
      <c r="M2319" s="4">
        <f>IFERROR(__xludf.DUMMYFUNCTION("""COMPUTED_VALUE"""),0.0)</f>
        <v>0</v>
      </c>
      <c r="N2319" s="4">
        <f>IFERROR(__xludf.DUMMYFUNCTION("""COMPUTED_VALUE"""),0.68)</f>
        <v>0.68</v>
      </c>
      <c r="O2319" s="4">
        <f>IFERROR(__xludf.DUMMYFUNCTION("""COMPUTED_VALUE"""),11.2)</f>
        <v>11.2</v>
      </c>
      <c r="P2319" s="4">
        <f>IFERROR(__xludf.DUMMYFUNCTION("""COMPUTED_VALUE"""),4.8)</f>
        <v>4.8</v>
      </c>
      <c r="Q2319" s="4">
        <f>IFERROR(__xludf.DUMMYFUNCTION("""COMPUTED_VALUE"""),2.7)</f>
        <v>2.7</v>
      </c>
      <c r="R2319" s="4">
        <f>IFERROR(__xludf.DUMMYFUNCTION("""COMPUTED_VALUE"""),0.6)</f>
        <v>0.6</v>
      </c>
      <c r="S2319" s="4">
        <f>IFERROR(__xludf.DUMMYFUNCTION("""COMPUTED_VALUE"""),7.4)</f>
        <v>7.4</v>
      </c>
      <c r="T2319" s="4">
        <f>IFERROR(__xludf.DUMMYFUNCTION("""COMPUTED_VALUE"""),0.122)</f>
        <v>0.122</v>
      </c>
      <c r="U2319" s="4">
        <f>IFERROR(__xludf.DUMMYFUNCTION("""COMPUTED_VALUE"""),0.1)</f>
        <v>0.1</v>
      </c>
      <c r="V2319" s="4">
        <f>IFERROR(__xludf.DUMMYFUNCTION("""COMPUTED_VALUE"""),1.5)</f>
        <v>1.5</v>
      </c>
    </row>
    <row r="2320">
      <c r="A2320" s="4">
        <f>IFERROR(__xludf.DUMMYFUNCTION("""COMPUTED_VALUE"""),47.0)</f>
        <v>47</v>
      </c>
      <c r="B2320" s="4">
        <f>IFERROR(__xludf.DUMMYFUNCTION("""COMPUTED_VALUE"""),47.0)</f>
        <v>47</v>
      </c>
      <c r="C2320" s="4" t="str">
        <f>IFERROR(__xludf.DUMMYFUNCTION("""COMPUTED_VALUE"""),"PHI")</f>
        <v>PHI</v>
      </c>
      <c r="D2320" s="4" t="str">
        <f>IFERROR(__xludf.DUMMYFUNCTION("""COMPUTED_VALUE"""),"Derek Strong")</f>
        <v>Derek Strong</v>
      </c>
      <c r="E2320" s="4" t="str">
        <f>IFERROR(__xludf.DUMMYFUNCTION("""COMPUTED_VALUE"""),"Xavier")</f>
        <v>Xavier</v>
      </c>
      <c r="F2320" s="4">
        <f>IFERROR(__xludf.DUMMYFUNCTION("""COMPUTED_VALUE"""),10.0)</f>
        <v>10</v>
      </c>
      <c r="G2320" s="4">
        <f>IFERROR(__xludf.DUMMYFUNCTION("""COMPUTED_VALUE"""),456.0)</f>
        <v>456</v>
      </c>
      <c r="H2320" s="4">
        <f>IFERROR(__xludf.DUMMYFUNCTION("""COMPUTED_VALUE"""),8548.0)</f>
        <v>8548</v>
      </c>
      <c r="I2320" s="4">
        <f>IFERROR(__xludf.DUMMYFUNCTION("""COMPUTED_VALUE"""),3088.0)</f>
        <v>3088</v>
      </c>
      <c r="J2320" s="4">
        <f>IFERROR(__xludf.DUMMYFUNCTION("""COMPUTED_VALUE"""),2213.0)</f>
        <v>2213</v>
      </c>
      <c r="K2320" s="4">
        <f>IFERROR(__xludf.DUMMYFUNCTION("""COMPUTED_VALUE"""),291.0)</f>
        <v>291</v>
      </c>
      <c r="L2320" s="4">
        <f>IFERROR(__xludf.DUMMYFUNCTION("""COMPUTED_VALUE"""),0.43)</f>
        <v>0.43</v>
      </c>
      <c r="M2320" s="4">
        <f>IFERROR(__xludf.DUMMYFUNCTION("""COMPUTED_VALUE"""),0.18)</f>
        <v>0.18</v>
      </c>
      <c r="N2320" s="4">
        <f>IFERROR(__xludf.DUMMYFUNCTION("""COMPUTED_VALUE"""),0.786)</f>
        <v>0.786</v>
      </c>
      <c r="O2320" s="4">
        <f>IFERROR(__xludf.DUMMYFUNCTION("""COMPUTED_VALUE"""),18.7)</f>
        <v>18.7</v>
      </c>
      <c r="P2320" s="4">
        <f>IFERROR(__xludf.DUMMYFUNCTION("""COMPUTED_VALUE"""),6.8)</f>
        <v>6.8</v>
      </c>
      <c r="Q2320" s="4">
        <f>IFERROR(__xludf.DUMMYFUNCTION("""COMPUTED_VALUE"""),4.9)</f>
        <v>4.9</v>
      </c>
      <c r="R2320" s="4">
        <f>IFERROR(__xludf.DUMMYFUNCTION("""COMPUTED_VALUE"""),0.6)</f>
        <v>0.6</v>
      </c>
      <c r="S2320" s="4">
        <f>IFERROR(__xludf.DUMMYFUNCTION("""COMPUTED_VALUE"""),18.5)</f>
        <v>18.5</v>
      </c>
      <c r="T2320" s="4">
        <f>IFERROR(__xludf.DUMMYFUNCTION("""COMPUTED_VALUE"""),0.104)</f>
        <v>0.104</v>
      </c>
      <c r="U2320" s="4">
        <f>IFERROR(__xludf.DUMMYFUNCTION("""COMPUTED_VALUE"""),-2.1)</f>
        <v>-2.1</v>
      </c>
      <c r="V2320" s="4">
        <f>IFERROR(__xludf.DUMMYFUNCTION("""COMPUTED_VALUE"""),-0.3)</f>
        <v>-0.3</v>
      </c>
    </row>
    <row r="2321">
      <c r="A2321" s="4">
        <f>IFERROR(__xludf.DUMMYFUNCTION("""COMPUTED_VALUE"""),48.0)</f>
        <v>48</v>
      </c>
      <c r="B2321" s="4">
        <f>IFERROR(__xludf.DUMMYFUNCTION("""COMPUTED_VALUE"""),48.0)</f>
        <v>48</v>
      </c>
      <c r="C2321" s="4" t="str">
        <f>IFERROR(__xludf.DUMMYFUNCTION("""COMPUTED_VALUE"""),"PHO")</f>
        <v>PHO</v>
      </c>
      <c r="D2321" s="4" t="str">
        <f>IFERROR(__xludf.DUMMYFUNCTION("""COMPUTED_VALUE"""),"Cedric Ceballos")</f>
        <v>Cedric Ceballos</v>
      </c>
      <c r="E2321" s="4" t="str">
        <f>IFERROR(__xludf.DUMMYFUNCTION("""COMPUTED_VALUE"""),"Cal State Fullerton")</f>
        <v>Cal State Fullerton</v>
      </c>
      <c r="F2321" s="4">
        <f>IFERROR(__xludf.DUMMYFUNCTION("""COMPUTED_VALUE"""),11.0)</f>
        <v>11</v>
      </c>
      <c r="G2321" s="4">
        <f>IFERROR(__xludf.DUMMYFUNCTION("""COMPUTED_VALUE"""),609.0)</f>
        <v>609</v>
      </c>
      <c r="H2321" s="4">
        <f>IFERROR(__xludf.DUMMYFUNCTION("""COMPUTED_VALUE"""),14712.0)</f>
        <v>14712</v>
      </c>
      <c r="I2321" s="4">
        <f>IFERROR(__xludf.DUMMYFUNCTION("""COMPUTED_VALUE"""),8693.0)</f>
        <v>8693</v>
      </c>
      <c r="J2321" s="4">
        <f>IFERROR(__xludf.DUMMYFUNCTION("""COMPUTED_VALUE"""),3258.0)</f>
        <v>3258</v>
      </c>
      <c r="K2321" s="4">
        <f>IFERROR(__xludf.DUMMYFUNCTION("""COMPUTED_VALUE"""),723.0)</f>
        <v>723</v>
      </c>
      <c r="L2321" s="4">
        <f>IFERROR(__xludf.DUMMYFUNCTION("""COMPUTED_VALUE"""),0.5)</f>
        <v>0.5</v>
      </c>
      <c r="M2321" s="4">
        <f>IFERROR(__xludf.DUMMYFUNCTION("""COMPUTED_VALUE"""),0.309)</f>
        <v>0.309</v>
      </c>
      <c r="N2321" s="4">
        <f>IFERROR(__xludf.DUMMYFUNCTION("""COMPUTED_VALUE"""),0.753)</f>
        <v>0.753</v>
      </c>
      <c r="O2321" s="4">
        <f>IFERROR(__xludf.DUMMYFUNCTION("""COMPUTED_VALUE"""),24.2)</f>
        <v>24.2</v>
      </c>
      <c r="P2321" s="4">
        <f>IFERROR(__xludf.DUMMYFUNCTION("""COMPUTED_VALUE"""),14.3)</f>
        <v>14.3</v>
      </c>
      <c r="Q2321" s="4">
        <f>IFERROR(__xludf.DUMMYFUNCTION("""COMPUTED_VALUE"""),5.3)</f>
        <v>5.3</v>
      </c>
      <c r="R2321" s="4">
        <f>IFERROR(__xludf.DUMMYFUNCTION("""COMPUTED_VALUE"""),1.2)</f>
        <v>1.2</v>
      </c>
      <c r="S2321" s="4">
        <f>IFERROR(__xludf.DUMMYFUNCTION("""COMPUTED_VALUE"""),40.4)</f>
        <v>40.4</v>
      </c>
      <c r="T2321" s="4">
        <f>IFERROR(__xludf.DUMMYFUNCTION("""COMPUTED_VALUE"""),0.132)</f>
        <v>0.132</v>
      </c>
      <c r="U2321" s="4">
        <f>IFERROR(__xludf.DUMMYFUNCTION("""COMPUTED_VALUE"""),0.7)</f>
        <v>0.7</v>
      </c>
      <c r="V2321" s="4">
        <f>IFERROR(__xludf.DUMMYFUNCTION("""COMPUTED_VALUE"""),10.1)</f>
        <v>10.1</v>
      </c>
    </row>
    <row r="2322">
      <c r="A2322" s="4">
        <f>IFERROR(__xludf.DUMMYFUNCTION("""COMPUTED_VALUE"""),49.0)</f>
        <v>49</v>
      </c>
      <c r="B2322" s="4">
        <f>IFERROR(__xludf.DUMMYFUNCTION("""COMPUTED_VALUE"""),49.0)</f>
        <v>49</v>
      </c>
      <c r="C2322" s="4" t="str">
        <f>IFERROR(__xludf.DUMMYFUNCTION("""COMPUTED_VALUE"""),"DAL")</f>
        <v>DAL</v>
      </c>
      <c r="D2322" s="4" t="str">
        <f>IFERROR(__xludf.DUMMYFUNCTION("""COMPUTED_VALUE"""),"Phil Henderson")</f>
        <v>Phil Henderson</v>
      </c>
      <c r="E2322" s="4" t="str">
        <f>IFERROR(__xludf.DUMMYFUNCTION("""COMPUTED_VALUE"""),"Duke")</f>
        <v>Duke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</row>
    <row r="2323">
      <c r="A2323" s="4">
        <f>IFERROR(__xludf.DUMMYFUNCTION("""COMPUTED_VALUE"""),50.0)</f>
        <v>50</v>
      </c>
      <c r="B2323" s="4">
        <f>IFERROR(__xludf.DUMMYFUNCTION("""COMPUTED_VALUE"""),50.0)</f>
        <v>50</v>
      </c>
      <c r="C2323" s="4" t="str">
        <f>IFERROR(__xludf.DUMMYFUNCTION("""COMPUTED_VALUE"""),"PHO")</f>
        <v>PHO</v>
      </c>
      <c r="D2323" s="4" t="str">
        <f>IFERROR(__xludf.DUMMYFUNCTION("""COMPUTED_VALUE"""),"Miloš Babić")</f>
        <v>Miloš Babić</v>
      </c>
      <c r="E2323" s="4" t="str">
        <f>IFERROR(__xludf.DUMMYFUNCTION("""COMPUTED_VALUE"""),"Tennessee Technological University")</f>
        <v>Tennessee Technological University</v>
      </c>
      <c r="F2323" s="4">
        <f>IFERROR(__xludf.DUMMYFUNCTION("""COMPUTED_VALUE"""),2.0)</f>
        <v>2</v>
      </c>
      <c r="G2323" s="4">
        <f>IFERROR(__xludf.DUMMYFUNCTION("""COMPUTED_VALUE"""),21.0)</f>
        <v>21</v>
      </c>
      <c r="H2323" s="4">
        <f>IFERROR(__xludf.DUMMYFUNCTION("""COMPUTED_VALUE"""),87.0)</f>
        <v>87</v>
      </c>
      <c r="I2323" s="4">
        <f>IFERROR(__xludf.DUMMYFUNCTION("""COMPUTED_VALUE"""),37.0)</f>
        <v>37</v>
      </c>
      <c r="J2323" s="4">
        <f>IFERROR(__xludf.DUMMYFUNCTION("""COMPUTED_VALUE"""),20.0)</f>
        <v>20</v>
      </c>
      <c r="K2323" s="4">
        <f>IFERROR(__xludf.DUMMYFUNCTION("""COMPUTED_VALUE"""),10.0)</f>
        <v>10</v>
      </c>
      <c r="L2323" s="4">
        <f>IFERROR(__xludf.DUMMYFUNCTION("""COMPUTED_VALUE"""),0.375)</f>
        <v>0.375</v>
      </c>
      <c r="M2323" s="4"/>
      <c r="N2323" s="4">
        <f>IFERROR(__xludf.DUMMYFUNCTION("""COMPUTED_VALUE"""),0.65)</f>
        <v>0.65</v>
      </c>
      <c r="O2323" s="4">
        <f>IFERROR(__xludf.DUMMYFUNCTION("""COMPUTED_VALUE"""),4.1)</f>
        <v>4.1</v>
      </c>
      <c r="P2323" s="4">
        <f>IFERROR(__xludf.DUMMYFUNCTION("""COMPUTED_VALUE"""),1.8)</f>
        <v>1.8</v>
      </c>
      <c r="Q2323" s="4">
        <f>IFERROR(__xludf.DUMMYFUNCTION("""COMPUTED_VALUE"""),1.0)</f>
        <v>1</v>
      </c>
      <c r="R2323" s="4">
        <f>IFERROR(__xludf.DUMMYFUNCTION("""COMPUTED_VALUE"""),0.5)</f>
        <v>0.5</v>
      </c>
      <c r="S2323" s="4">
        <f>IFERROR(__xludf.DUMMYFUNCTION("""COMPUTED_VALUE"""),-0.1)</f>
        <v>-0.1</v>
      </c>
      <c r="T2323" s="4">
        <f>IFERROR(__xludf.DUMMYFUNCTION("""COMPUTED_VALUE"""),-0.028)</f>
        <v>-0.028</v>
      </c>
      <c r="U2323" s="4">
        <f>IFERROR(__xludf.DUMMYFUNCTION("""COMPUTED_VALUE"""),-5.9)</f>
        <v>-5.9</v>
      </c>
      <c r="V2323" s="4">
        <f>IFERROR(__xludf.DUMMYFUNCTION("""COMPUTED_VALUE"""),-0.1)</f>
        <v>-0.1</v>
      </c>
    </row>
    <row r="2324">
      <c r="A2324" s="4">
        <f>IFERROR(__xludf.DUMMYFUNCTION("""COMPUTED_VALUE"""),51.0)</f>
        <v>51</v>
      </c>
      <c r="B2324" s="4">
        <f>IFERROR(__xludf.DUMMYFUNCTION("""COMPUTED_VALUE"""),51.0)</f>
        <v>51</v>
      </c>
      <c r="C2324" s="4" t="str">
        <f>IFERROR(__xludf.DUMMYFUNCTION("""COMPUTED_VALUE"""),"LAL")</f>
        <v>LAL</v>
      </c>
      <c r="D2324" s="4" t="str">
        <f>IFERROR(__xludf.DUMMYFUNCTION("""COMPUTED_VALUE"""),"Tony Smith")</f>
        <v>Tony Smith</v>
      </c>
      <c r="E2324" s="4" t="str">
        <f>IFERROR(__xludf.DUMMYFUNCTION("""COMPUTED_VALUE"""),"Marquette")</f>
        <v>Marquette</v>
      </c>
      <c r="F2324" s="4">
        <f>IFERROR(__xludf.DUMMYFUNCTION("""COMPUTED_VALUE"""),9.0)</f>
        <v>9</v>
      </c>
      <c r="G2324" s="4">
        <f>IFERROR(__xludf.DUMMYFUNCTION("""COMPUTED_VALUE"""),457.0)</f>
        <v>457</v>
      </c>
      <c r="H2324" s="4">
        <f>IFERROR(__xludf.DUMMYFUNCTION("""COMPUTED_VALUE"""),7295.0)</f>
        <v>7295</v>
      </c>
      <c r="I2324" s="4">
        <f>IFERROR(__xludf.DUMMYFUNCTION("""COMPUTED_VALUE"""),2504.0)</f>
        <v>2504</v>
      </c>
      <c r="J2324" s="4">
        <f>IFERROR(__xludf.DUMMYFUNCTION("""COMPUTED_VALUE"""),735.0)</f>
        <v>735</v>
      </c>
      <c r="K2324" s="4">
        <f>IFERROR(__xludf.DUMMYFUNCTION("""COMPUTED_VALUE"""),881.0)</f>
        <v>881</v>
      </c>
      <c r="L2324" s="4">
        <f>IFERROR(__xludf.DUMMYFUNCTION("""COMPUTED_VALUE"""),0.431)</f>
        <v>0.431</v>
      </c>
      <c r="M2324" s="4">
        <f>IFERROR(__xludf.DUMMYFUNCTION("""COMPUTED_VALUE"""),0.307)</f>
        <v>0.307</v>
      </c>
      <c r="N2324" s="4">
        <f>IFERROR(__xludf.DUMMYFUNCTION("""COMPUTED_VALUE"""),0.69)</f>
        <v>0.69</v>
      </c>
      <c r="O2324" s="4">
        <f>IFERROR(__xludf.DUMMYFUNCTION("""COMPUTED_VALUE"""),16.0)</f>
        <v>16</v>
      </c>
      <c r="P2324" s="4">
        <f>IFERROR(__xludf.DUMMYFUNCTION("""COMPUTED_VALUE"""),5.5)</f>
        <v>5.5</v>
      </c>
      <c r="Q2324" s="4">
        <f>IFERROR(__xludf.DUMMYFUNCTION("""COMPUTED_VALUE"""),1.6)</f>
        <v>1.6</v>
      </c>
      <c r="R2324" s="4">
        <f>IFERROR(__xludf.DUMMYFUNCTION("""COMPUTED_VALUE"""),1.9)</f>
        <v>1.9</v>
      </c>
      <c r="S2324" s="4">
        <f>IFERROR(__xludf.DUMMYFUNCTION("""COMPUTED_VALUE"""),6.7)</f>
        <v>6.7</v>
      </c>
      <c r="T2324" s="4">
        <f>IFERROR(__xludf.DUMMYFUNCTION("""COMPUTED_VALUE"""),0.044)</f>
        <v>0.044</v>
      </c>
      <c r="U2324" s="4">
        <f>IFERROR(__xludf.DUMMYFUNCTION("""COMPUTED_VALUE"""),-2.0)</f>
        <v>-2</v>
      </c>
      <c r="V2324" s="4">
        <f>IFERROR(__xludf.DUMMYFUNCTION("""COMPUTED_VALUE"""),0.0)</f>
        <v>0</v>
      </c>
    </row>
    <row r="2325">
      <c r="A2325" s="4">
        <f>IFERROR(__xludf.DUMMYFUNCTION("""COMPUTED_VALUE"""),52.0)</f>
        <v>52</v>
      </c>
      <c r="B2325" s="4">
        <f>IFERROR(__xludf.DUMMYFUNCTION("""COMPUTED_VALUE"""),52.0)</f>
        <v>52</v>
      </c>
      <c r="C2325" s="4" t="str">
        <f>IFERROR(__xludf.DUMMYFUNCTION("""COMPUTED_VALUE"""),"CLE")</f>
        <v>CLE</v>
      </c>
      <c r="D2325" s="4" t="str">
        <f>IFERROR(__xludf.DUMMYFUNCTION("""COMPUTED_VALUE"""),"Stefano Rusconi")</f>
        <v>Stefano Rusconi</v>
      </c>
      <c r="E2325" s="4"/>
      <c r="F2325" s="4">
        <f>IFERROR(__xludf.DUMMYFUNCTION("""COMPUTED_VALUE"""),1.0)</f>
        <v>1</v>
      </c>
      <c r="G2325" s="4">
        <f>IFERROR(__xludf.DUMMYFUNCTION("""COMPUTED_VALUE"""),7.0)</f>
        <v>7</v>
      </c>
      <c r="H2325" s="4">
        <f>IFERROR(__xludf.DUMMYFUNCTION("""COMPUTED_VALUE"""),30.0)</f>
        <v>30</v>
      </c>
      <c r="I2325" s="4">
        <f>IFERROR(__xludf.DUMMYFUNCTION("""COMPUTED_VALUE"""),8.0)</f>
        <v>8</v>
      </c>
      <c r="J2325" s="4">
        <f>IFERROR(__xludf.DUMMYFUNCTION("""COMPUTED_VALUE"""),6.0)</f>
        <v>6</v>
      </c>
      <c r="K2325" s="4">
        <f>IFERROR(__xludf.DUMMYFUNCTION("""COMPUTED_VALUE"""),3.0)</f>
        <v>3</v>
      </c>
      <c r="L2325" s="4">
        <f>IFERROR(__xludf.DUMMYFUNCTION("""COMPUTED_VALUE"""),0.333)</f>
        <v>0.333</v>
      </c>
      <c r="M2325" s="4"/>
      <c r="N2325" s="4">
        <f>IFERROR(__xludf.DUMMYFUNCTION("""COMPUTED_VALUE"""),0.4)</f>
        <v>0.4</v>
      </c>
      <c r="O2325" s="4">
        <f>IFERROR(__xludf.DUMMYFUNCTION("""COMPUTED_VALUE"""),4.3)</f>
        <v>4.3</v>
      </c>
      <c r="P2325" s="4">
        <f>IFERROR(__xludf.DUMMYFUNCTION("""COMPUTED_VALUE"""),1.1)</f>
        <v>1.1</v>
      </c>
      <c r="Q2325" s="4">
        <f>IFERROR(__xludf.DUMMYFUNCTION("""COMPUTED_VALUE"""),0.9)</f>
        <v>0.9</v>
      </c>
      <c r="R2325" s="4">
        <f>IFERROR(__xludf.DUMMYFUNCTION("""COMPUTED_VALUE"""),0.4)</f>
        <v>0.4</v>
      </c>
      <c r="S2325" s="4">
        <f>IFERROR(__xludf.DUMMYFUNCTION("""COMPUTED_VALUE"""),-0.1)</f>
        <v>-0.1</v>
      </c>
      <c r="T2325" s="4">
        <f>IFERROR(__xludf.DUMMYFUNCTION("""COMPUTED_VALUE"""),-0.104)</f>
        <v>-0.104</v>
      </c>
      <c r="U2325" s="4">
        <f>IFERROR(__xludf.DUMMYFUNCTION("""COMPUTED_VALUE"""),-11.4)</f>
        <v>-11.4</v>
      </c>
      <c r="V2325" s="4">
        <f>IFERROR(__xludf.DUMMYFUNCTION("""COMPUTED_VALUE"""),-0.1)</f>
        <v>-0.1</v>
      </c>
    </row>
    <row r="2326">
      <c r="A2326" s="4">
        <f>IFERROR(__xludf.DUMMYFUNCTION("""COMPUTED_VALUE"""),53.0)</f>
        <v>53</v>
      </c>
      <c r="B2326" s="4">
        <f>IFERROR(__xludf.DUMMYFUNCTION("""COMPUTED_VALUE"""),53.0)</f>
        <v>53</v>
      </c>
      <c r="C2326" s="4" t="str">
        <f>IFERROR(__xludf.DUMMYFUNCTION("""COMPUTED_VALUE"""),"SEA")</f>
        <v>SEA</v>
      </c>
      <c r="D2326" s="4" t="str">
        <f>IFERROR(__xludf.DUMMYFUNCTION("""COMPUTED_VALUE"""),"Abdul Shamsid-Deen")</f>
        <v>Abdul Shamsid-Deen</v>
      </c>
      <c r="E2326" s="4" t="str">
        <f>IFERROR(__xludf.DUMMYFUNCTION("""COMPUTED_VALUE"""),"Providence")</f>
        <v>Providence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</row>
    <row r="2327">
      <c r="A2327" s="4">
        <f>IFERROR(__xludf.DUMMYFUNCTION("""COMPUTED_VALUE"""),54.0)</f>
        <v>54</v>
      </c>
      <c r="B2327" s="4">
        <f>IFERROR(__xludf.DUMMYFUNCTION("""COMPUTED_VALUE"""),54.0)</f>
        <v>54</v>
      </c>
      <c r="C2327" s="4" t="str">
        <f>IFERROR(__xludf.DUMMYFUNCTION("""COMPUTED_VALUE"""),"SAS")</f>
        <v>SAS</v>
      </c>
      <c r="D2327" s="4" t="str">
        <f>IFERROR(__xludf.DUMMYFUNCTION("""COMPUTED_VALUE"""),"Sean Higgins")</f>
        <v>Sean Higgins</v>
      </c>
      <c r="E2327" s="4" t="str">
        <f>IFERROR(__xludf.DUMMYFUNCTION("""COMPUTED_VALUE"""),"Michigan")</f>
        <v>Michigan</v>
      </c>
      <c r="F2327" s="4">
        <f>IFERROR(__xludf.DUMMYFUNCTION("""COMPUTED_VALUE"""),6.0)</f>
        <v>6</v>
      </c>
      <c r="G2327" s="4">
        <f>IFERROR(__xludf.DUMMYFUNCTION("""COMPUTED_VALUE"""),220.0)</f>
        <v>220</v>
      </c>
      <c r="H2327" s="4">
        <f>IFERROR(__xludf.DUMMYFUNCTION("""COMPUTED_VALUE"""),3334.0)</f>
        <v>3334</v>
      </c>
      <c r="I2327" s="4">
        <f>IFERROR(__xludf.DUMMYFUNCTION("""COMPUTED_VALUE"""),1375.0)</f>
        <v>1375</v>
      </c>
      <c r="J2327" s="4">
        <f>IFERROR(__xludf.DUMMYFUNCTION("""COMPUTED_VALUE"""),402.0)</f>
        <v>402</v>
      </c>
      <c r="K2327" s="4">
        <f>IFERROR(__xludf.DUMMYFUNCTION("""COMPUTED_VALUE"""),226.0)</f>
        <v>226</v>
      </c>
      <c r="L2327" s="4">
        <f>IFERROR(__xludf.DUMMYFUNCTION("""COMPUTED_VALUE"""),0.428)</f>
        <v>0.428</v>
      </c>
      <c r="M2327" s="4">
        <f>IFERROR(__xludf.DUMMYFUNCTION("""COMPUTED_VALUE"""),0.321)</f>
        <v>0.321</v>
      </c>
      <c r="N2327" s="4">
        <f>IFERROR(__xludf.DUMMYFUNCTION("""COMPUTED_VALUE"""),0.85)</f>
        <v>0.85</v>
      </c>
      <c r="O2327" s="4">
        <f>IFERROR(__xludf.DUMMYFUNCTION("""COMPUTED_VALUE"""),15.2)</f>
        <v>15.2</v>
      </c>
      <c r="P2327" s="4">
        <f>IFERROR(__xludf.DUMMYFUNCTION("""COMPUTED_VALUE"""),6.3)</f>
        <v>6.3</v>
      </c>
      <c r="Q2327" s="4">
        <f>IFERROR(__xludf.DUMMYFUNCTION("""COMPUTED_VALUE"""),1.8)</f>
        <v>1.8</v>
      </c>
      <c r="R2327" s="4">
        <f>IFERROR(__xludf.DUMMYFUNCTION("""COMPUTED_VALUE"""),1.0)</f>
        <v>1</v>
      </c>
      <c r="S2327" s="4">
        <f>IFERROR(__xludf.DUMMYFUNCTION("""COMPUTED_VALUE"""),0.4)</f>
        <v>0.4</v>
      </c>
      <c r="T2327" s="4">
        <f>IFERROR(__xludf.DUMMYFUNCTION("""COMPUTED_VALUE"""),0.006)</f>
        <v>0.006</v>
      </c>
      <c r="U2327" s="4">
        <f>IFERROR(__xludf.DUMMYFUNCTION("""COMPUTED_VALUE"""),-4.7)</f>
        <v>-4.7</v>
      </c>
      <c r="V2327" s="4">
        <f>IFERROR(__xludf.DUMMYFUNCTION("""COMPUTED_VALUE"""),-2.3)</f>
        <v>-2.3</v>
      </c>
    </row>
    <row r="2329">
      <c r="A2329" s="2">
        <v>1989.0</v>
      </c>
    </row>
    <row r="2330">
      <c r="A2330" s="4" t="str">
        <f>IFERROR(__xludf.DUMMYFUNCTION("IMPORTHTML(""https://www.basketball-reference.com/draft/NBA_1989.html"", ""table"", 1)"),"")</f>
        <v/>
      </c>
      <c r="B2330" s="4"/>
      <c r="C2330" s="4"/>
      <c r="D2330" s="4" t="str">
        <f>IFERROR(__xludf.DUMMYFUNCTION("""COMPUTED_VALUE"""),"Round 1")</f>
        <v>Round 1</v>
      </c>
      <c r="E2330" s="4"/>
      <c r="F2330" s="4"/>
      <c r="G2330" s="4" t="str">
        <f>IFERROR(__xludf.DUMMYFUNCTION("""COMPUTED_VALUE"""),"Totals")</f>
        <v>Totals</v>
      </c>
      <c r="H2330" s="4"/>
      <c r="I2330" s="4"/>
      <c r="J2330" s="4"/>
      <c r="K2330" s="4"/>
      <c r="L2330" s="4" t="str">
        <f>IFERROR(__xludf.DUMMYFUNCTION("""COMPUTED_VALUE"""),"Shooting")</f>
        <v>Shooting</v>
      </c>
      <c r="M2330" s="4"/>
      <c r="N2330" s="4"/>
      <c r="O2330" s="4" t="str">
        <f>IFERROR(__xludf.DUMMYFUNCTION("""COMPUTED_VALUE"""),"Per Game")</f>
        <v>Per Game</v>
      </c>
      <c r="P2330" s="4"/>
      <c r="Q2330" s="4"/>
      <c r="R2330" s="4"/>
      <c r="S2330" s="4" t="str">
        <f>IFERROR(__xludf.DUMMYFUNCTION("""COMPUTED_VALUE"""),"Advanced")</f>
        <v>Advanced</v>
      </c>
      <c r="T2330" s="4"/>
      <c r="U2330" s="4"/>
      <c r="V2330" s="4"/>
    </row>
    <row r="2331">
      <c r="A2331" s="4" t="str">
        <f>IFERROR(__xludf.DUMMYFUNCTION("""COMPUTED_VALUE"""),"Rk")</f>
        <v>Rk</v>
      </c>
      <c r="B2331" s="4" t="str">
        <f>IFERROR(__xludf.DUMMYFUNCTION("""COMPUTED_VALUE"""),"Pk")</f>
        <v>Pk</v>
      </c>
      <c r="C2331" s="4" t="str">
        <f>IFERROR(__xludf.DUMMYFUNCTION("""COMPUTED_VALUE"""),"Tm")</f>
        <v>Tm</v>
      </c>
      <c r="D2331" s="4" t="str">
        <f>IFERROR(__xludf.DUMMYFUNCTION("""COMPUTED_VALUE"""),"Player")</f>
        <v>Player</v>
      </c>
      <c r="E2331" s="4" t="str">
        <f>IFERROR(__xludf.DUMMYFUNCTION("""COMPUTED_VALUE"""),"College")</f>
        <v>College</v>
      </c>
      <c r="F2331" s="4" t="str">
        <f>IFERROR(__xludf.DUMMYFUNCTION("""COMPUTED_VALUE"""),"Yrs")</f>
        <v>Yrs</v>
      </c>
      <c r="G2331" s="4" t="str">
        <f>IFERROR(__xludf.DUMMYFUNCTION("""COMPUTED_VALUE"""),"G")</f>
        <v>G</v>
      </c>
      <c r="H2331" s="4" t="str">
        <f>IFERROR(__xludf.DUMMYFUNCTION("""COMPUTED_VALUE"""),"MP")</f>
        <v>MP</v>
      </c>
      <c r="I2331" s="4" t="str">
        <f>IFERROR(__xludf.DUMMYFUNCTION("""COMPUTED_VALUE"""),"PTS")</f>
        <v>PTS</v>
      </c>
      <c r="J2331" s="4" t="str">
        <f>IFERROR(__xludf.DUMMYFUNCTION("""COMPUTED_VALUE"""),"TRB")</f>
        <v>TRB</v>
      </c>
      <c r="K2331" s="4" t="str">
        <f>IFERROR(__xludf.DUMMYFUNCTION("""COMPUTED_VALUE"""),"AST")</f>
        <v>AST</v>
      </c>
      <c r="L2331" s="4" t="str">
        <f>IFERROR(__xludf.DUMMYFUNCTION("""COMPUTED_VALUE"""),"FG%")</f>
        <v>FG%</v>
      </c>
      <c r="M2331" s="4" t="str">
        <f>IFERROR(__xludf.DUMMYFUNCTION("""COMPUTED_VALUE"""),"3P%")</f>
        <v>3P%</v>
      </c>
      <c r="N2331" s="4" t="str">
        <f>IFERROR(__xludf.DUMMYFUNCTION("""COMPUTED_VALUE"""),"FT%")</f>
        <v>FT%</v>
      </c>
      <c r="O2331" s="4" t="str">
        <f>IFERROR(__xludf.DUMMYFUNCTION("""COMPUTED_VALUE"""),"MP")</f>
        <v>MP</v>
      </c>
      <c r="P2331" s="4" t="str">
        <f>IFERROR(__xludf.DUMMYFUNCTION("""COMPUTED_VALUE"""),"PTS")</f>
        <v>PTS</v>
      </c>
      <c r="Q2331" s="4" t="str">
        <f>IFERROR(__xludf.DUMMYFUNCTION("""COMPUTED_VALUE"""),"TRB")</f>
        <v>TRB</v>
      </c>
      <c r="R2331" s="4" t="str">
        <f>IFERROR(__xludf.DUMMYFUNCTION("""COMPUTED_VALUE"""),"AST")</f>
        <v>AST</v>
      </c>
      <c r="S2331" s="4" t="str">
        <f>IFERROR(__xludf.DUMMYFUNCTION("""COMPUTED_VALUE"""),"WS")</f>
        <v>WS</v>
      </c>
      <c r="T2331" s="4" t="str">
        <f>IFERROR(__xludf.DUMMYFUNCTION("""COMPUTED_VALUE"""),"WS/48")</f>
        <v>WS/48</v>
      </c>
      <c r="U2331" s="4" t="str">
        <f>IFERROR(__xludf.DUMMYFUNCTION("""COMPUTED_VALUE"""),"BPM")</f>
        <v>BPM</v>
      </c>
      <c r="V2331" s="4" t="str">
        <f>IFERROR(__xludf.DUMMYFUNCTION("""COMPUTED_VALUE"""),"VORP")</f>
        <v>VORP</v>
      </c>
    </row>
    <row r="2332">
      <c r="A2332" s="4">
        <f>IFERROR(__xludf.DUMMYFUNCTION("""COMPUTED_VALUE"""),1.0)</f>
        <v>1</v>
      </c>
      <c r="B2332" s="4">
        <f>IFERROR(__xludf.DUMMYFUNCTION("""COMPUTED_VALUE"""),1.0)</f>
        <v>1</v>
      </c>
      <c r="C2332" s="4" t="str">
        <f>IFERROR(__xludf.DUMMYFUNCTION("""COMPUTED_VALUE"""),"SAC")</f>
        <v>SAC</v>
      </c>
      <c r="D2332" s="4" t="str">
        <f>IFERROR(__xludf.DUMMYFUNCTION("""COMPUTED_VALUE"""),"Pervis Ellison")</f>
        <v>Pervis Ellison</v>
      </c>
      <c r="E2332" s="4" t="str">
        <f>IFERROR(__xludf.DUMMYFUNCTION("""COMPUTED_VALUE"""),"Louisville")</f>
        <v>Louisville</v>
      </c>
      <c r="F2332" s="4">
        <f>IFERROR(__xludf.DUMMYFUNCTION("""COMPUTED_VALUE"""),11.0)</f>
        <v>11</v>
      </c>
      <c r="G2332" s="4">
        <f>IFERROR(__xludf.DUMMYFUNCTION("""COMPUTED_VALUE"""),474.0)</f>
        <v>474</v>
      </c>
      <c r="H2332" s="4">
        <f>IFERROR(__xludf.DUMMYFUNCTION("""COMPUTED_VALUE"""),11593.0)</f>
        <v>11593</v>
      </c>
      <c r="I2332" s="4">
        <f>IFERROR(__xludf.DUMMYFUNCTION("""COMPUTED_VALUE"""),4494.0)</f>
        <v>4494</v>
      </c>
      <c r="J2332" s="4">
        <f>IFERROR(__xludf.DUMMYFUNCTION("""COMPUTED_VALUE"""),3170.0)</f>
        <v>3170</v>
      </c>
      <c r="K2332" s="4">
        <f>IFERROR(__xludf.DUMMYFUNCTION("""COMPUTED_VALUE"""),691.0)</f>
        <v>691</v>
      </c>
      <c r="L2332" s="4">
        <f>IFERROR(__xludf.DUMMYFUNCTION("""COMPUTED_VALUE"""),0.51)</f>
        <v>0.51</v>
      </c>
      <c r="M2332" s="4">
        <f>IFERROR(__xludf.DUMMYFUNCTION("""COMPUTED_VALUE"""),0.05)</f>
        <v>0.05</v>
      </c>
      <c r="N2332" s="4">
        <f>IFERROR(__xludf.DUMMYFUNCTION("""COMPUTED_VALUE"""),0.689)</f>
        <v>0.689</v>
      </c>
      <c r="O2332" s="4">
        <f>IFERROR(__xludf.DUMMYFUNCTION("""COMPUTED_VALUE"""),24.5)</f>
        <v>24.5</v>
      </c>
      <c r="P2332" s="4">
        <f>IFERROR(__xludf.DUMMYFUNCTION("""COMPUTED_VALUE"""),9.5)</f>
        <v>9.5</v>
      </c>
      <c r="Q2332" s="4">
        <f>IFERROR(__xludf.DUMMYFUNCTION("""COMPUTED_VALUE"""),6.7)</f>
        <v>6.7</v>
      </c>
      <c r="R2332" s="4">
        <f>IFERROR(__xludf.DUMMYFUNCTION("""COMPUTED_VALUE"""),1.5)</f>
        <v>1.5</v>
      </c>
      <c r="S2332" s="4">
        <f>IFERROR(__xludf.DUMMYFUNCTION("""COMPUTED_VALUE"""),21.8)</f>
        <v>21.8</v>
      </c>
      <c r="T2332" s="4">
        <f>IFERROR(__xludf.DUMMYFUNCTION("""COMPUTED_VALUE"""),0.09)</f>
        <v>0.09</v>
      </c>
      <c r="U2332" s="4">
        <f>IFERROR(__xludf.DUMMYFUNCTION("""COMPUTED_VALUE"""),-0.5)</f>
        <v>-0.5</v>
      </c>
      <c r="V2332" s="4">
        <f>IFERROR(__xludf.DUMMYFUNCTION("""COMPUTED_VALUE"""),4.4)</f>
        <v>4.4</v>
      </c>
    </row>
    <row r="2333">
      <c r="A2333" s="4">
        <f>IFERROR(__xludf.DUMMYFUNCTION("""COMPUTED_VALUE"""),2.0)</f>
        <v>2</v>
      </c>
      <c r="B2333" s="4">
        <f>IFERROR(__xludf.DUMMYFUNCTION("""COMPUTED_VALUE"""),2.0)</f>
        <v>2</v>
      </c>
      <c r="C2333" s="4" t="str">
        <f>IFERROR(__xludf.DUMMYFUNCTION("""COMPUTED_VALUE"""),"LAC")</f>
        <v>LAC</v>
      </c>
      <c r="D2333" s="4" t="str">
        <f>IFERROR(__xludf.DUMMYFUNCTION("""COMPUTED_VALUE"""),"Danny Ferry")</f>
        <v>Danny Ferry</v>
      </c>
      <c r="E2333" s="4" t="str">
        <f>IFERROR(__xludf.DUMMYFUNCTION("""COMPUTED_VALUE"""),"Duke")</f>
        <v>Duke</v>
      </c>
      <c r="F2333" s="4">
        <f>IFERROR(__xludf.DUMMYFUNCTION("""COMPUTED_VALUE"""),13.0)</f>
        <v>13</v>
      </c>
      <c r="G2333" s="4">
        <f>IFERROR(__xludf.DUMMYFUNCTION("""COMPUTED_VALUE"""),917.0)</f>
        <v>917</v>
      </c>
      <c r="H2333" s="4">
        <f>IFERROR(__xludf.DUMMYFUNCTION("""COMPUTED_VALUE"""),18133.0)</f>
        <v>18133</v>
      </c>
      <c r="I2333" s="4">
        <f>IFERROR(__xludf.DUMMYFUNCTION("""COMPUTED_VALUE"""),6439.0)</f>
        <v>6439</v>
      </c>
      <c r="J2333" s="4">
        <f>IFERROR(__xludf.DUMMYFUNCTION("""COMPUTED_VALUE"""),2550.0)</f>
        <v>2550</v>
      </c>
      <c r="K2333" s="4">
        <f>IFERROR(__xludf.DUMMYFUNCTION("""COMPUTED_VALUE"""),1185.0)</f>
        <v>1185</v>
      </c>
      <c r="L2333" s="4">
        <f>IFERROR(__xludf.DUMMYFUNCTION("""COMPUTED_VALUE"""),0.446)</f>
        <v>0.446</v>
      </c>
      <c r="M2333" s="4">
        <f>IFERROR(__xludf.DUMMYFUNCTION("""COMPUTED_VALUE"""),0.393)</f>
        <v>0.393</v>
      </c>
      <c r="N2333" s="4">
        <f>IFERROR(__xludf.DUMMYFUNCTION("""COMPUTED_VALUE"""),0.84)</f>
        <v>0.84</v>
      </c>
      <c r="O2333" s="4">
        <f>IFERROR(__xludf.DUMMYFUNCTION("""COMPUTED_VALUE"""),19.8)</f>
        <v>19.8</v>
      </c>
      <c r="P2333" s="4">
        <f>IFERROR(__xludf.DUMMYFUNCTION("""COMPUTED_VALUE"""),7.0)</f>
        <v>7</v>
      </c>
      <c r="Q2333" s="4">
        <f>IFERROR(__xludf.DUMMYFUNCTION("""COMPUTED_VALUE"""),2.8)</f>
        <v>2.8</v>
      </c>
      <c r="R2333" s="4">
        <f>IFERROR(__xludf.DUMMYFUNCTION("""COMPUTED_VALUE"""),1.3)</f>
        <v>1.3</v>
      </c>
      <c r="S2333" s="4">
        <f>IFERROR(__xludf.DUMMYFUNCTION("""COMPUTED_VALUE"""),34.8)</f>
        <v>34.8</v>
      </c>
      <c r="T2333" s="4">
        <f>IFERROR(__xludf.DUMMYFUNCTION("""COMPUTED_VALUE"""),0.092)</f>
        <v>0.092</v>
      </c>
      <c r="U2333" s="4">
        <f>IFERROR(__xludf.DUMMYFUNCTION("""COMPUTED_VALUE"""),-0.9)</f>
        <v>-0.9</v>
      </c>
      <c r="V2333" s="4">
        <f>IFERROR(__xludf.DUMMYFUNCTION("""COMPUTED_VALUE"""),4.9)</f>
        <v>4.9</v>
      </c>
    </row>
    <row r="2334">
      <c r="A2334" s="4">
        <f>IFERROR(__xludf.DUMMYFUNCTION("""COMPUTED_VALUE"""),3.0)</f>
        <v>3</v>
      </c>
      <c r="B2334" s="4">
        <f>IFERROR(__xludf.DUMMYFUNCTION("""COMPUTED_VALUE"""),3.0)</f>
        <v>3</v>
      </c>
      <c r="C2334" s="4" t="str">
        <f>IFERROR(__xludf.DUMMYFUNCTION("""COMPUTED_VALUE"""),"SAS")</f>
        <v>SAS</v>
      </c>
      <c r="D2334" s="4" t="str">
        <f>IFERROR(__xludf.DUMMYFUNCTION("""COMPUTED_VALUE"""),"Sean Elliott")</f>
        <v>Sean Elliott</v>
      </c>
      <c r="E2334" s="4" t="str">
        <f>IFERROR(__xludf.DUMMYFUNCTION("""COMPUTED_VALUE"""),"Arizona")</f>
        <v>Arizona</v>
      </c>
      <c r="F2334" s="4">
        <f>IFERROR(__xludf.DUMMYFUNCTION("""COMPUTED_VALUE"""),12.0)</f>
        <v>12</v>
      </c>
      <c r="G2334" s="4">
        <f>IFERROR(__xludf.DUMMYFUNCTION("""COMPUTED_VALUE"""),742.0)</f>
        <v>742</v>
      </c>
      <c r="H2334" s="4">
        <f>IFERROR(__xludf.DUMMYFUNCTION("""COMPUTED_VALUE"""),24502.0)</f>
        <v>24502</v>
      </c>
      <c r="I2334" s="4">
        <f>IFERROR(__xludf.DUMMYFUNCTION("""COMPUTED_VALUE"""),10544.0)</f>
        <v>10544</v>
      </c>
      <c r="J2334" s="4">
        <f>IFERROR(__xludf.DUMMYFUNCTION("""COMPUTED_VALUE"""),3204.0)</f>
        <v>3204</v>
      </c>
      <c r="K2334" s="4">
        <f>IFERROR(__xludf.DUMMYFUNCTION("""COMPUTED_VALUE"""),1897.0)</f>
        <v>1897</v>
      </c>
      <c r="L2334" s="4">
        <f>IFERROR(__xludf.DUMMYFUNCTION("""COMPUTED_VALUE"""),0.465)</f>
        <v>0.465</v>
      </c>
      <c r="M2334" s="4">
        <f>IFERROR(__xludf.DUMMYFUNCTION("""COMPUTED_VALUE"""),0.375)</f>
        <v>0.375</v>
      </c>
      <c r="N2334" s="4">
        <f>IFERROR(__xludf.DUMMYFUNCTION("""COMPUTED_VALUE"""),0.799)</f>
        <v>0.799</v>
      </c>
      <c r="O2334" s="4">
        <f>IFERROR(__xludf.DUMMYFUNCTION("""COMPUTED_VALUE"""),33.0)</f>
        <v>33</v>
      </c>
      <c r="P2334" s="4">
        <f>IFERROR(__xludf.DUMMYFUNCTION("""COMPUTED_VALUE"""),14.2)</f>
        <v>14.2</v>
      </c>
      <c r="Q2334" s="4">
        <f>IFERROR(__xludf.DUMMYFUNCTION("""COMPUTED_VALUE"""),4.3)</f>
        <v>4.3</v>
      </c>
      <c r="R2334" s="4">
        <f>IFERROR(__xludf.DUMMYFUNCTION("""COMPUTED_VALUE"""),2.6)</f>
        <v>2.6</v>
      </c>
      <c r="S2334" s="4">
        <f>IFERROR(__xludf.DUMMYFUNCTION("""COMPUTED_VALUE"""),55.7)</f>
        <v>55.7</v>
      </c>
      <c r="T2334" s="4">
        <f>IFERROR(__xludf.DUMMYFUNCTION("""COMPUTED_VALUE"""),0.109)</f>
        <v>0.109</v>
      </c>
      <c r="U2334" s="4">
        <f>IFERROR(__xludf.DUMMYFUNCTION("""COMPUTED_VALUE"""),0.2)</f>
        <v>0.2</v>
      </c>
      <c r="V2334" s="4">
        <f>IFERROR(__xludf.DUMMYFUNCTION("""COMPUTED_VALUE"""),13.5)</f>
        <v>13.5</v>
      </c>
    </row>
    <row r="2335">
      <c r="A2335" s="4">
        <f>IFERROR(__xludf.DUMMYFUNCTION("""COMPUTED_VALUE"""),4.0)</f>
        <v>4</v>
      </c>
      <c r="B2335" s="4">
        <f>IFERROR(__xludf.DUMMYFUNCTION("""COMPUTED_VALUE"""),4.0)</f>
        <v>4</v>
      </c>
      <c r="C2335" s="4" t="str">
        <f>IFERROR(__xludf.DUMMYFUNCTION("""COMPUTED_VALUE"""),"MIA")</f>
        <v>MIA</v>
      </c>
      <c r="D2335" s="4" t="str">
        <f>IFERROR(__xludf.DUMMYFUNCTION("""COMPUTED_VALUE"""),"Glen Rice")</f>
        <v>Glen Rice</v>
      </c>
      <c r="E2335" s="4" t="str">
        <f>IFERROR(__xludf.DUMMYFUNCTION("""COMPUTED_VALUE"""),"Michigan")</f>
        <v>Michigan</v>
      </c>
      <c r="F2335" s="4">
        <f>IFERROR(__xludf.DUMMYFUNCTION("""COMPUTED_VALUE"""),15.0)</f>
        <v>15</v>
      </c>
      <c r="G2335" s="4">
        <f>IFERROR(__xludf.DUMMYFUNCTION("""COMPUTED_VALUE"""),1000.0)</f>
        <v>1000</v>
      </c>
      <c r="H2335" s="4">
        <f>IFERROR(__xludf.DUMMYFUNCTION("""COMPUTED_VALUE"""),34985.0)</f>
        <v>34985</v>
      </c>
      <c r="I2335" s="4">
        <f>IFERROR(__xludf.DUMMYFUNCTION("""COMPUTED_VALUE"""),18336.0)</f>
        <v>18336</v>
      </c>
      <c r="J2335" s="4">
        <f>IFERROR(__xludf.DUMMYFUNCTION("""COMPUTED_VALUE"""),4387.0)</f>
        <v>4387</v>
      </c>
      <c r="K2335" s="4">
        <f>IFERROR(__xludf.DUMMYFUNCTION("""COMPUTED_VALUE"""),2097.0)</f>
        <v>2097</v>
      </c>
      <c r="L2335" s="4">
        <f>IFERROR(__xludf.DUMMYFUNCTION("""COMPUTED_VALUE"""),0.456)</f>
        <v>0.456</v>
      </c>
      <c r="M2335" s="4">
        <f>IFERROR(__xludf.DUMMYFUNCTION("""COMPUTED_VALUE"""),0.4)</f>
        <v>0.4</v>
      </c>
      <c r="N2335" s="4">
        <f>IFERROR(__xludf.DUMMYFUNCTION("""COMPUTED_VALUE"""),0.846)</f>
        <v>0.846</v>
      </c>
      <c r="O2335" s="4">
        <f>IFERROR(__xludf.DUMMYFUNCTION("""COMPUTED_VALUE"""),35.0)</f>
        <v>35</v>
      </c>
      <c r="P2335" s="4">
        <f>IFERROR(__xludf.DUMMYFUNCTION("""COMPUTED_VALUE"""),18.3)</f>
        <v>18.3</v>
      </c>
      <c r="Q2335" s="4">
        <f>IFERROR(__xludf.DUMMYFUNCTION("""COMPUTED_VALUE"""),4.4)</f>
        <v>4.4</v>
      </c>
      <c r="R2335" s="4">
        <f>IFERROR(__xludf.DUMMYFUNCTION("""COMPUTED_VALUE"""),2.1)</f>
        <v>2.1</v>
      </c>
      <c r="S2335" s="4">
        <f>IFERROR(__xludf.DUMMYFUNCTION("""COMPUTED_VALUE"""),88.7)</f>
        <v>88.7</v>
      </c>
      <c r="T2335" s="4">
        <f>IFERROR(__xludf.DUMMYFUNCTION("""COMPUTED_VALUE"""),0.122)</f>
        <v>0.122</v>
      </c>
      <c r="U2335" s="4">
        <f>IFERROR(__xludf.DUMMYFUNCTION("""COMPUTED_VALUE"""),0.8)</f>
        <v>0.8</v>
      </c>
      <c r="V2335" s="4">
        <f>IFERROR(__xludf.DUMMYFUNCTION("""COMPUTED_VALUE"""),24.9)</f>
        <v>24.9</v>
      </c>
    </row>
    <row r="2336">
      <c r="A2336" s="4">
        <f>IFERROR(__xludf.DUMMYFUNCTION("""COMPUTED_VALUE"""),5.0)</f>
        <v>5</v>
      </c>
      <c r="B2336" s="4">
        <f>IFERROR(__xludf.DUMMYFUNCTION("""COMPUTED_VALUE"""),5.0)</f>
        <v>5</v>
      </c>
      <c r="C2336" s="4" t="str">
        <f>IFERROR(__xludf.DUMMYFUNCTION("""COMPUTED_VALUE"""),"CHH")</f>
        <v>CHH</v>
      </c>
      <c r="D2336" s="4" t="str">
        <f>IFERROR(__xludf.DUMMYFUNCTION("""COMPUTED_VALUE"""),"J.R. Reid")</f>
        <v>J.R. Reid</v>
      </c>
      <c r="E2336" s="4" t="str">
        <f>IFERROR(__xludf.DUMMYFUNCTION("""COMPUTED_VALUE"""),"UNC")</f>
        <v>UNC</v>
      </c>
      <c r="F2336" s="4">
        <f>IFERROR(__xludf.DUMMYFUNCTION("""COMPUTED_VALUE"""),11.0)</f>
        <v>11</v>
      </c>
      <c r="G2336" s="4">
        <f>IFERROR(__xludf.DUMMYFUNCTION("""COMPUTED_VALUE"""),672.0)</f>
        <v>672</v>
      </c>
      <c r="H2336" s="4">
        <f>IFERROR(__xludf.DUMMYFUNCTION("""COMPUTED_VALUE"""),15370.0)</f>
        <v>15370</v>
      </c>
      <c r="I2336" s="4">
        <f>IFERROR(__xludf.DUMMYFUNCTION("""COMPUTED_VALUE"""),5680.0)</f>
        <v>5680</v>
      </c>
      <c r="J2336" s="4">
        <f>IFERROR(__xludf.DUMMYFUNCTION("""COMPUTED_VALUE"""),3381.0)</f>
        <v>3381</v>
      </c>
      <c r="K2336" s="4">
        <f>IFERROR(__xludf.DUMMYFUNCTION("""COMPUTED_VALUE"""),639.0)</f>
        <v>639</v>
      </c>
      <c r="L2336" s="4">
        <f>IFERROR(__xludf.DUMMYFUNCTION("""COMPUTED_VALUE"""),0.472)</f>
        <v>0.472</v>
      </c>
      <c r="M2336" s="4">
        <f>IFERROR(__xludf.DUMMYFUNCTION("""COMPUTED_VALUE"""),0.135)</f>
        <v>0.135</v>
      </c>
      <c r="N2336" s="4">
        <f>IFERROR(__xludf.DUMMYFUNCTION("""COMPUTED_VALUE"""),0.716)</f>
        <v>0.716</v>
      </c>
      <c r="O2336" s="4">
        <f>IFERROR(__xludf.DUMMYFUNCTION("""COMPUTED_VALUE"""),22.9)</f>
        <v>22.9</v>
      </c>
      <c r="P2336" s="4">
        <f>IFERROR(__xludf.DUMMYFUNCTION("""COMPUTED_VALUE"""),8.5)</f>
        <v>8.5</v>
      </c>
      <c r="Q2336" s="4">
        <f>IFERROR(__xludf.DUMMYFUNCTION("""COMPUTED_VALUE"""),5.0)</f>
        <v>5</v>
      </c>
      <c r="R2336" s="4">
        <f>IFERROR(__xludf.DUMMYFUNCTION("""COMPUTED_VALUE"""),1.0)</f>
        <v>1</v>
      </c>
      <c r="S2336" s="4">
        <f>IFERROR(__xludf.DUMMYFUNCTION("""COMPUTED_VALUE"""),22.5)</f>
        <v>22.5</v>
      </c>
      <c r="T2336" s="4">
        <f>IFERROR(__xludf.DUMMYFUNCTION("""COMPUTED_VALUE"""),0.07)</f>
        <v>0.07</v>
      </c>
      <c r="U2336" s="4">
        <f>IFERROR(__xludf.DUMMYFUNCTION("""COMPUTED_VALUE"""),-2.9)</f>
        <v>-2.9</v>
      </c>
      <c r="V2336" s="4">
        <f>IFERROR(__xludf.DUMMYFUNCTION("""COMPUTED_VALUE"""),-3.7)</f>
        <v>-3.7</v>
      </c>
    </row>
    <row r="2337">
      <c r="A2337" s="4">
        <f>IFERROR(__xludf.DUMMYFUNCTION("""COMPUTED_VALUE"""),6.0)</f>
        <v>6</v>
      </c>
      <c r="B2337" s="4">
        <f>IFERROR(__xludf.DUMMYFUNCTION("""COMPUTED_VALUE"""),6.0)</f>
        <v>6</v>
      </c>
      <c r="C2337" s="4" t="str">
        <f>IFERROR(__xludf.DUMMYFUNCTION("""COMPUTED_VALUE"""),"CHI")</f>
        <v>CHI</v>
      </c>
      <c r="D2337" s="4" t="str">
        <f>IFERROR(__xludf.DUMMYFUNCTION("""COMPUTED_VALUE"""),"Stacey King")</f>
        <v>Stacey King</v>
      </c>
      <c r="E2337" s="4" t="str">
        <f>IFERROR(__xludf.DUMMYFUNCTION("""COMPUTED_VALUE"""),"Oklahoma")</f>
        <v>Oklahoma</v>
      </c>
      <c r="F2337" s="4">
        <f>IFERROR(__xludf.DUMMYFUNCTION("""COMPUTED_VALUE"""),8.0)</f>
        <v>8</v>
      </c>
      <c r="G2337" s="4">
        <f>IFERROR(__xludf.DUMMYFUNCTION("""COMPUTED_VALUE"""),438.0)</f>
        <v>438</v>
      </c>
      <c r="H2337" s="4">
        <f>IFERROR(__xludf.DUMMYFUNCTION("""COMPUTED_VALUE"""),7406.0)</f>
        <v>7406</v>
      </c>
      <c r="I2337" s="4">
        <f>IFERROR(__xludf.DUMMYFUNCTION("""COMPUTED_VALUE"""),2819.0)</f>
        <v>2819</v>
      </c>
      <c r="J2337" s="4">
        <f>IFERROR(__xludf.DUMMYFUNCTION("""COMPUTED_VALUE"""),1460.0)</f>
        <v>1460</v>
      </c>
      <c r="K2337" s="4">
        <f>IFERROR(__xludf.DUMMYFUNCTION("""COMPUTED_VALUE"""),387.0)</f>
        <v>387</v>
      </c>
      <c r="L2337" s="4">
        <f>IFERROR(__xludf.DUMMYFUNCTION("""COMPUTED_VALUE"""),0.478)</f>
        <v>0.478</v>
      </c>
      <c r="M2337" s="4">
        <f>IFERROR(__xludf.DUMMYFUNCTION("""COMPUTED_VALUE"""),0.235)</f>
        <v>0.235</v>
      </c>
      <c r="N2337" s="4">
        <f>IFERROR(__xludf.DUMMYFUNCTION("""COMPUTED_VALUE"""),0.707)</f>
        <v>0.707</v>
      </c>
      <c r="O2337" s="4">
        <f>IFERROR(__xludf.DUMMYFUNCTION("""COMPUTED_VALUE"""),16.9)</f>
        <v>16.9</v>
      </c>
      <c r="P2337" s="4">
        <f>IFERROR(__xludf.DUMMYFUNCTION("""COMPUTED_VALUE"""),6.4)</f>
        <v>6.4</v>
      </c>
      <c r="Q2337" s="4">
        <f>IFERROR(__xludf.DUMMYFUNCTION("""COMPUTED_VALUE"""),3.3)</f>
        <v>3.3</v>
      </c>
      <c r="R2337" s="4">
        <f>IFERROR(__xludf.DUMMYFUNCTION("""COMPUTED_VALUE"""),0.9)</f>
        <v>0.9</v>
      </c>
      <c r="S2337" s="4">
        <f>IFERROR(__xludf.DUMMYFUNCTION("""COMPUTED_VALUE"""),10.9)</f>
        <v>10.9</v>
      </c>
      <c r="T2337" s="4">
        <f>IFERROR(__xludf.DUMMYFUNCTION("""COMPUTED_VALUE"""),0.071)</f>
        <v>0.071</v>
      </c>
      <c r="U2337" s="4">
        <f>IFERROR(__xludf.DUMMYFUNCTION("""COMPUTED_VALUE"""),-3.4)</f>
        <v>-3.4</v>
      </c>
      <c r="V2337" s="4">
        <f>IFERROR(__xludf.DUMMYFUNCTION("""COMPUTED_VALUE"""),-2.7)</f>
        <v>-2.7</v>
      </c>
    </row>
    <row r="2338">
      <c r="A2338" s="4">
        <f>IFERROR(__xludf.DUMMYFUNCTION("""COMPUTED_VALUE"""),7.0)</f>
        <v>7</v>
      </c>
      <c r="B2338" s="4">
        <f>IFERROR(__xludf.DUMMYFUNCTION("""COMPUTED_VALUE"""),7.0)</f>
        <v>7</v>
      </c>
      <c r="C2338" s="4" t="str">
        <f>IFERROR(__xludf.DUMMYFUNCTION("""COMPUTED_VALUE"""),"IND")</f>
        <v>IND</v>
      </c>
      <c r="D2338" s="4" t="str">
        <f>IFERROR(__xludf.DUMMYFUNCTION("""COMPUTED_VALUE"""),"George McCloud")</f>
        <v>George McCloud</v>
      </c>
      <c r="E2338" s="4" t="str">
        <f>IFERROR(__xludf.DUMMYFUNCTION("""COMPUTED_VALUE"""),"Florida State")</f>
        <v>Florida State</v>
      </c>
      <c r="F2338" s="4">
        <f>IFERROR(__xludf.DUMMYFUNCTION("""COMPUTED_VALUE"""),12.0)</f>
        <v>12</v>
      </c>
      <c r="G2338" s="4">
        <f>IFERROR(__xludf.DUMMYFUNCTION("""COMPUTED_VALUE"""),766.0)</f>
        <v>766</v>
      </c>
      <c r="H2338" s="4">
        <f>IFERROR(__xludf.DUMMYFUNCTION("""COMPUTED_VALUE"""),17429.0)</f>
        <v>17429</v>
      </c>
      <c r="I2338" s="4">
        <f>IFERROR(__xludf.DUMMYFUNCTION("""COMPUTED_VALUE"""),6925.0)</f>
        <v>6925</v>
      </c>
      <c r="J2338" s="4">
        <f>IFERROR(__xludf.DUMMYFUNCTION("""COMPUTED_VALUE"""),2342.0)</f>
        <v>2342</v>
      </c>
      <c r="K2338" s="4">
        <f>IFERROR(__xludf.DUMMYFUNCTION("""COMPUTED_VALUE"""),1769.0)</f>
        <v>1769</v>
      </c>
      <c r="L2338" s="4">
        <f>IFERROR(__xludf.DUMMYFUNCTION("""COMPUTED_VALUE"""),0.402)</f>
        <v>0.402</v>
      </c>
      <c r="M2338" s="4">
        <f>IFERROR(__xludf.DUMMYFUNCTION("""COMPUTED_VALUE"""),0.358)</f>
        <v>0.358</v>
      </c>
      <c r="N2338" s="4">
        <f>IFERROR(__xludf.DUMMYFUNCTION("""COMPUTED_VALUE"""),0.81)</f>
        <v>0.81</v>
      </c>
      <c r="O2338" s="4">
        <f>IFERROR(__xludf.DUMMYFUNCTION("""COMPUTED_VALUE"""),22.8)</f>
        <v>22.8</v>
      </c>
      <c r="P2338" s="4">
        <f>IFERROR(__xludf.DUMMYFUNCTION("""COMPUTED_VALUE"""),9.0)</f>
        <v>9</v>
      </c>
      <c r="Q2338" s="4">
        <f>IFERROR(__xludf.DUMMYFUNCTION("""COMPUTED_VALUE"""),3.1)</f>
        <v>3.1</v>
      </c>
      <c r="R2338" s="4">
        <f>IFERROR(__xludf.DUMMYFUNCTION("""COMPUTED_VALUE"""),2.3)</f>
        <v>2.3</v>
      </c>
      <c r="S2338" s="4">
        <f>IFERROR(__xludf.DUMMYFUNCTION("""COMPUTED_VALUE"""),24.6)</f>
        <v>24.6</v>
      </c>
      <c r="T2338" s="4">
        <f>IFERROR(__xludf.DUMMYFUNCTION("""COMPUTED_VALUE"""),0.068)</f>
        <v>0.068</v>
      </c>
      <c r="U2338" s="4">
        <f>IFERROR(__xludf.DUMMYFUNCTION("""COMPUTED_VALUE"""),-0.8)</f>
        <v>-0.8</v>
      </c>
      <c r="V2338" s="4">
        <f>IFERROR(__xludf.DUMMYFUNCTION("""COMPUTED_VALUE"""),5.3)</f>
        <v>5.3</v>
      </c>
    </row>
    <row r="2339">
      <c r="A2339" s="4">
        <f>IFERROR(__xludf.DUMMYFUNCTION("""COMPUTED_VALUE"""),8.0)</f>
        <v>8</v>
      </c>
      <c r="B2339" s="4">
        <f>IFERROR(__xludf.DUMMYFUNCTION("""COMPUTED_VALUE"""),8.0)</f>
        <v>8</v>
      </c>
      <c r="C2339" s="4" t="str">
        <f>IFERROR(__xludf.DUMMYFUNCTION("""COMPUTED_VALUE"""),"DAL")</f>
        <v>DAL</v>
      </c>
      <c r="D2339" s="4" t="str">
        <f>IFERROR(__xludf.DUMMYFUNCTION("""COMPUTED_VALUE"""),"Randy White")</f>
        <v>Randy White</v>
      </c>
      <c r="E2339" s="4" t="str">
        <f>IFERROR(__xludf.DUMMYFUNCTION("""COMPUTED_VALUE"""),"Louisiana Tech")</f>
        <v>Louisiana Tech</v>
      </c>
      <c r="F2339" s="4">
        <f>IFERROR(__xludf.DUMMYFUNCTION("""COMPUTED_VALUE"""),5.0)</f>
        <v>5</v>
      </c>
      <c r="G2339" s="4">
        <f>IFERROR(__xludf.DUMMYFUNCTION("""COMPUTED_VALUE"""),281.0)</f>
        <v>281</v>
      </c>
      <c r="H2339" s="4">
        <f>IFERROR(__xludf.DUMMYFUNCTION("""COMPUTED_VALUE"""),5382.0)</f>
        <v>5382</v>
      </c>
      <c r="I2339" s="4">
        <f>IFERROR(__xludf.DUMMYFUNCTION("""COMPUTED_VALUE"""),2083.0)</f>
        <v>2083</v>
      </c>
      <c r="J2339" s="4">
        <f>IFERROR(__xludf.DUMMYFUNCTION("""COMPUTED_VALUE"""),1366.0)</f>
        <v>1366</v>
      </c>
      <c r="K2339" s="4">
        <f>IFERROR(__xludf.DUMMYFUNCTION("""COMPUTED_VALUE"""),175.0)</f>
        <v>175</v>
      </c>
      <c r="L2339" s="4">
        <f>IFERROR(__xludf.DUMMYFUNCTION("""COMPUTED_VALUE"""),0.401)</f>
        <v>0.401</v>
      </c>
      <c r="M2339" s="4">
        <f>IFERROR(__xludf.DUMMYFUNCTION("""COMPUTED_VALUE"""),0.193)</f>
        <v>0.193</v>
      </c>
      <c r="N2339" s="4">
        <f>IFERROR(__xludf.DUMMYFUNCTION("""COMPUTED_VALUE"""),0.707)</f>
        <v>0.707</v>
      </c>
      <c r="O2339" s="4">
        <f>IFERROR(__xludf.DUMMYFUNCTION("""COMPUTED_VALUE"""),19.2)</f>
        <v>19.2</v>
      </c>
      <c r="P2339" s="4">
        <f>IFERROR(__xludf.DUMMYFUNCTION("""COMPUTED_VALUE"""),7.4)</f>
        <v>7.4</v>
      </c>
      <c r="Q2339" s="4">
        <f>IFERROR(__xludf.DUMMYFUNCTION("""COMPUTED_VALUE"""),4.9)</f>
        <v>4.9</v>
      </c>
      <c r="R2339" s="4">
        <f>IFERROR(__xludf.DUMMYFUNCTION("""COMPUTED_VALUE"""),0.6)</f>
        <v>0.6</v>
      </c>
      <c r="S2339" s="4">
        <f>IFERROR(__xludf.DUMMYFUNCTION("""COMPUTED_VALUE"""),1.9)</f>
        <v>1.9</v>
      </c>
      <c r="T2339" s="4">
        <f>IFERROR(__xludf.DUMMYFUNCTION("""COMPUTED_VALUE"""),0.017)</f>
        <v>0.017</v>
      </c>
      <c r="U2339" s="4">
        <f>IFERROR(__xludf.DUMMYFUNCTION("""COMPUTED_VALUE"""),-5.0)</f>
        <v>-5</v>
      </c>
      <c r="V2339" s="4">
        <f>IFERROR(__xludf.DUMMYFUNCTION("""COMPUTED_VALUE"""),-4.0)</f>
        <v>-4</v>
      </c>
    </row>
    <row r="2340">
      <c r="A2340" s="4">
        <f>IFERROR(__xludf.DUMMYFUNCTION("""COMPUTED_VALUE"""),9.0)</f>
        <v>9</v>
      </c>
      <c r="B2340" s="4">
        <f>IFERROR(__xludf.DUMMYFUNCTION("""COMPUTED_VALUE"""),9.0)</f>
        <v>9</v>
      </c>
      <c r="C2340" s="4" t="str">
        <f>IFERROR(__xludf.DUMMYFUNCTION("""COMPUTED_VALUE"""),"WSB")</f>
        <v>WSB</v>
      </c>
      <c r="D2340" s="4" t="str">
        <f>IFERROR(__xludf.DUMMYFUNCTION("""COMPUTED_VALUE"""),"Tom Hammonds")</f>
        <v>Tom Hammonds</v>
      </c>
      <c r="E2340" s="4" t="str">
        <f>IFERROR(__xludf.DUMMYFUNCTION("""COMPUTED_VALUE"""),"Georgia Tech")</f>
        <v>Georgia Tech</v>
      </c>
      <c r="F2340" s="4">
        <f>IFERROR(__xludf.DUMMYFUNCTION("""COMPUTED_VALUE"""),12.0)</f>
        <v>12</v>
      </c>
      <c r="G2340" s="4">
        <f>IFERROR(__xludf.DUMMYFUNCTION("""COMPUTED_VALUE"""),687.0)</f>
        <v>687</v>
      </c>
      <c r="H2340" s="4">
        <f>IFERROR(__xludf.DUMMYFUNCTION("""COMPUTED_VALUE"""),10419.0)</f>
        <v>10419</v>
      </c>
      <c r="I2340" s="4">
        <f>IFERROR(__xludf.DUMMYFUNCTION("""COMPUTED_VALUE"""),3617.0)</f>
        <v>3617</v>
      </c>
      <c r="J2340" s="4">
        <f>IFERROR(__xludf.DUMMYFUNCTION("""COMPUTED_VALUE"""),2243.0)</f>
        <v>2243</v>
      </c>
      <c r="K2340" s="4">
        <f>IFERROR(__xludf.DUMMYFUNCTION("""COMPUTED_VALUE"""),378.0)</f>
        <v>378</v>
      </c>
      <c r="L2340" s="4">
        <f>IFERROR(__xludf.DUMMYFUNCTION("""COMPUTED_VALUE"""),0.48)</f>
        <v>0.48</v>
      </c>
      <c r="M2340" s="4">
        <f>IFERROR(__xludf.DUMMYFUNCTION("""COMPUTED_VALUE"""),0.0)</f>
        <v>0</v>
      </c>
      <c r="N2340" s="4">
        <f>IFERROR(__xludf.DUMMYFUNCTION("""COMPUTED_VALUE"""),0.691)</f>
        <v>0.691</v>
      </c>
      <c r="O2340" s="4">
        <f>IFERROR(__xludf.DUMMYFUNCTION("""COMPUTED_VALUE"""),15.2)</f>
        <v>15.2</v>
      </c>
      <c r="P2340" s="4">
        <f>IFERROR(__xludf.DUMMYFUNCTION("""COMPUTED_VALUE"""),5.3)</f>
        <v>5.3</v>
      </c>
      <c r="Q2340" s="4">
        <f>IFERROR(__xludf.DUMMYFUNCTION("""COMPUTED_VALUE"""),3.3)</f>
        <v>3.3</v>
      </c>
      <c r="R2340" s="4">
        <f>IFERROR(__xludf.DUMMYFUNCTION("""COMPUTED_VALUE"""),0.6)</f>
        <v>0.6</v>
      </c>
      <c r="S2340" s="4">
        <f>IFERROR(__xludf.DUMMYFUNCTION("""COMPUTED_VALUE"""),14.7)</f>
        <v>14.7</v>
      </c>
      <c r="T2340" s="4">
        <f>IFERROR(__xludf.DUMMYFUNCTION("""COMPUTED_VALUE"""),0.068)</f>
        <v>0.068</v>
      </c>
      <c r="U2340" s="4">
        <f>IFERROR(__xludf.DUMMYFUNCTION("""COMPUTED_VALUE"""),-3.8)</f>
        <v>-3.8</v>
      </c>
      <c r="V2340" s="4">
        <f>IFERROR(__xludf.DUMMYFUNCTION("""COMPUTED_VALUE"""),-4.7)</f>
        <v>-4.7</v>
      </c>
    </row>
    <row r="2341">
      <c r="A2341" s="4">
        <f>IFERROR(__xludf.DUMMYFUNCTION("""COMPUTED_VALUE"""),10.0)</f>
        <v>10</v>
      </c>
      <c r="B2341" s="4">
        <f>IFERROR(__xludf.DUMMYFUNCTION("""COMPUTED_VALUE"""),10.0)</f>
        <v>10</v>
      </c>
      <c r="C2341" s="4" t="str">
        <f>IFERROR(__xludf.DUMMYFUNCTION("""COMPUTED_VALUE"""),"MIN")</f>
        <v>MIN</v>
      </c>
      <c r="D2341" s="4" t="str">
        <f>IFERROR(__xludf.DUMMYFUNCTION("""COMPUTED_VALUE"""),"Pooh Richardson")</f>
        <v>Pooh Richardson</v>
      </c>
      <c r="E2341" s="4" t="str">
        <f>IFERROR(__xludf.DUMMYFUNCTION("""COMPUTED_VALUE"""),"UCLA")</f>
        <v>UCLA</v>
      </c>
      <c r="F2341" s="4">
        <f>IFERROR(__xludf.DUMMYFUNCTION("""COMPUTED_VALUE"""),10.0)</f>
        <v>10</v>
      </c>
      <c r="G2341" s="4">
        <f>IFERROR(__xludf.DUMMYFUNCTION("""COMPUTED_VALUE"""),639.0)</f>
        <v>639</v>
      </c>
      <c r="H2341" s="4">
        <f>IFERROR(__xludf.DUMMYFUNCTION("""COMPUTED_VALUE"""),19399.0)</f>
        <v>19399</v>
      </c>
      <c r="I2341" s="4">
        <f>IFERROR(__xludf.DUMMYFUNCTION("""COMPUTED_VALUE"""),7083.0)</f>
        <v>7083</v>
      </c>
      <c r="J2341" s="4">
        <f>IFERROR(__xludf.DUMMYFUNCTION("""COMPUTED_VALUE"""),1807.0)</f>
        <v>1807</v>
      </c>
      <c r="K2341" s="4">
        <f>IFERROR(__xludf.DUMMYFUNCTION("""COMPUTED_VALUE"""),4180.0)</f>
        <v>4180</v>
      </c>
      <c r="L2341" s="4">
        <f>IFERROR(__xludf.DUMMYFUNCTION("""COMPUTED_VALUE"""),0.444)</f>
        <v>0.444</v>
      </c>
      <c r="M2341" s="4">
        <f>IFERROR(__xludf.DUMMYFUNCTION("""COMPUTED_VALUE"""),0.329)</f>
        <v>0.329</v>
      </c>
      <c r="N2341" s="4">
        <f>IFERROR(__xludf.DUMMYFUNCTION("""COMPUTED_VALUE"""),0.652)</f>
        <v>0.652</v>
      </c>
      <c r="O2341" s="4">
        <f>IFERROR(__xludf.DUMMYFUNCTION("""COMPUTED_VALUE"""),30.4)</f>
        <v>30.4</v>
      </c>
      <c r="P2341" s="4">
        <f>IFERROR(__xludf.DUMMYFUNCTION("""COMPUTED_VALUE"""),11.1)</f>
        <v>11.1</v>
      </c>
      <c r="Q2341" s="4">
        <f>IFERROR(__xludf.DUMMYFUNCTION("""COMPUTED_VALUE"""),2.8)</f>
        <v>2.8</v>
      </c>
      <c r="R2341" s="4">
        <f>IFERROR(__xludf.DUMMYFUNCTION("""COMPUTED_VALUE"""),6.5)</f>
        <v>6.5</v>
      </c>
      <c r="S2341" s="4">
        <f>IFERROR(__xludf.DUMMYFUNCTION("""COMPUTED_VALUE"""),26.7)</f>
        <v>26.7</v>
      </c>
      <c r="T2341" s="4">
        <f>IFERROR(__xludf.DUMMYFUNCTION("""COMPUTED_VALUE"""),0.066)</f>
        <v>0.066</v>
      </c>
      <c r="U2341" s="4">
        <f>IFERROR(__xludf.DUMMYFUNCTION("""COMPUTED_VALUE"""),0.2)</f>
        <v>0.2</v>
      </c>
      <c r="V2341" s="4">
        <f>IFERROR(__xludf.DUMMYFUNCTION("""COMPUTED_VALUE"""),10.5)</f>
        <v>10.5</v>
      </c>
    </row>
    <row r="2342">
      <c r="A2342" s="4">
        <f>IFERROR(__xludf.DUMMYFUNCTION("""COMPUTED_VALUE"""),11.0)</f>
        <v>11</v>
      </c>
      <c r="B2342" s="4">
        <f>IFERROR(__xludf.DUMMYFUNCTION("""COMPUTED_VALUE"""),11.0)</f>
        <v>11</v>
      </c>
      <c r="C2342" s="4" t="str">
        <f>IFERROR(__xludf.DUMMYFUNCTION("""COMPUTED_VALUE"""),"ORL")</f>
        <v>ORL</v>
      </c>
      <c r="D2342" s="4" t="str">
        <f>IFERROR(__xludf.DUMMYFUNCTION("""COMPUTED_VALUE"""),"Nick Anderson")</f>
        <v>Nick Anderson</v>
      </c>
      <c r="E2342" s="4" t="str">
        <f>IFERROR(__xludf.DUMMYFUNCTION("""COMPUTED_VALUE"""),"Illinois")</f>
        <v>Illinois</v>
      </c>
      <c r="F2342" s="4">
        <f>IFERROR(__xludf.DUMMYFUNCTION("""COMPUTED_VALUE"""),13.0)</f>
        <v>13</v>
      </c>
      <c r="G2342" s="4">
        <f>IFERROR(__xludf.DUMMYFUNCTION("""COMPUTED_VALUE"""),800.0)</f>
        <v>800</v>
      </c>
      <c r="H2342" s="4">
        <f>IFERROR(__xludf.DUMMYFUNCTION("""COMPUTED_VALUE"""),24922.0)</f>
        <v>24922</v>
      </c>
      <c r="I2342" s="4">
        <f>IFERROR(__xludf.DUMMYFUNCTION("""COMPUTED_VALUE"""),11529.0)</f>
        <v>11529</v>
      </c>
      <c r="J2342" s="4">
        <f>IFERROR(__xludf.DUMMYFUNCTION("""COMPUTED_VALUE"""),4064.0)</f>
        <v>4064</v>
      </c>
      <c r="K2342" s="4">
        <f>IFERROR(__xludf.DUMMYFUNCTION("""COMPUTED_VALUE"""),2087.0)</f>
        <v>2087</v>
      </c>
      <c r="L2342" s="4">
        <f>IFERROR(__xludf.DUMMYFUNCTION("""COMPUTED_VALUE"""),0.446)</f>
        <v>0.446</v>
      </c>
      <c r="M2342" s="4">
        <f>IFERROR(__xludf.DUMMYFUNCTION("""COMPUTED_VALUE"""),0.356)</f>
        <v>0.356</v>
      </c>
      <c r="N2342" s="4">
        <f>IFERROR(__xludf.DUMMYFUNCTION("""COMPUTED_VALUE"""),0.667)</f>
        <v>0.667</v>
      </c>
      <c r="O2342" s="4">
        <f>IFERROR(__xludf.DUMMYFUNCTION("""COMPUTED_VALUE"""),31.2)</f>
        <v>31.2</v>
      </c>
      <c r="P2342" s="4">
        <f>IFERROR(__xludf.DUMMYFUNCTION("""COMPUTED_VALUE"""),14.4)</f>
        <v>14.4</v>
      </c>
      <c r="Q2342" s="4">
        <f>IFERROR(__xludf.DUMMYFUNCTION("""COMPUTED_VALUE"""),5.1)</f>
        <v>5.1</v>
      </c>
      <c r="R2342" s="4">
        <f>IFERROR(__xludf.DUMMYFUNCTION("""COMPUTED_VALUE"""),2.6)</f>
        <v>2.6</v>
      </c>
      <c r="S2342" s="4">
        <f>IFERROR(__xludf.DUMMYFUNCTION("""COMPUTED_VALUE"""),55.3)</f>
        <v>55.3</v>
      </c>
      <c r="T2342" s="4">
        <f>IFERROR(__xludf.DUMMYFUNCTION("""COMPUTED_VALUE"""),0.106)</f>
        <v>0.106</v>
      </c>
      <c r="U2342" s="4">
        <f>IFERROR(__xludf.DUMMYFUNCTION("""COMPUTED_VALUE"""),1.9)</f>
        <v>1.9</v>
      </c>
      <c r="V2342" s="4">
        <f>IFERROR(__xludf.DUMMYFUNCTION("""COMPUTED_VALUE"""),24.7)</f>
        <v>24.7</v>
      </c>
    </row>
    <row r="2343">
      <c r="A2343" s="4">
        <f>IFERROR(__xludf.DUMMYFUNCTION("""COMPUTED_VALUE"""),12.0)</f>
        <v>12</v>
      </c>
      <c r="B2343" s="4">
        <f>IFERROR(__xludf.DUMMYFUNCTION("""COMPUTED_VALUE"""),12.0)</f>
        <v>12</v>
      </c>
      <c r="C2343" s="4" t="str">
        <f>IFERROR(__xludf.DUMMYFUNCTION("""COMPUTED_VALUE"""),"NJN")</f>
        <v>NJN</v>
      </c>
      <c r="D2343" s="4" t="str">
        <f>IFERROR(__xludf.DUMMYFUNCTION("""COMPUTED_VALUE"""),"Mookie Blaylock")</f>
        <v>Mookie Blaylock</v>
      </c>
      <c r="E2343" s="4" t="str">
        <f>IFERROR(__xludf.DUMMYFUNCTION("""COMPUTED_VALUE"""),"Oklahoma")</f>
        <v>Oklahoma</v>
      </c>
      <c r="F2343" s="4">
        <f>IFERROR(__xludf.DUMMYFUNCTION("""COMPUTED_VALUE"""),13.0)</f>
        <v>13</v>
      </c>
      <c r="G2343" s="4">
        <f>IFERROR(__xludf.DUMMYFUNCTION("""COMPUTED_VALUE"""),889.0)</f>
        <v>889</v>
      </c>
      <c r="H2343" s="4">
        <f>IFERROR(__xludf.DUMMYFUNCTION("""COMPUTED_VALUE"""),31026.0)</f>
        <v>31026</v>
      </c>
      <c r="I2343" s="4">
        <f>IFERROR(__xludf.DUMMYFUNCTION("""COMPUTED_VALUE"""),11962.0)</f>
        <v>11962</v>
      </c>
      <c r="J2343" s="4">
        <f>IFERROR(__xludf.DUMMYFUNCTION("""COMPUTED_VALUE"""),3659.0)</f>
        <v>3659</v>
      </c>
      <c r="K2343" s="4">
        <f>IFERROR(__xludf.DUMMYFUNCTION("""COMPUTED_VALUE"""),5972.0)</f>
        <v>5972</v>
      </c>
      <c r="L2343" s="4">
        <f>IFERROR(__xludf.DUMMYFUNCTION("""COMPUTED_VALUE"""),0.409)</f>
        <v>0.409</v>
      </c>
      <c r="M2343" s="4">
        <f>IFERROR(__xludf.DUMMYFUNCTION("""COMPUTED_VALUE"""),0.336)</f>
        <v>0.336</v>
      </c>
      <c r="N2343" s="4">
        <f>IFERROR(__xludf.DUMMYFUNCTION("""COMPUTED_VALUE"""),0.736)</f>
        <v>0.736</v>
      </c>
      <c r="O2343" s="4">
        <f>IFERROR(__xludf.DUMMYFUNCTION("""COMPUTED_VALUE"""),34.9)</f>
        <v>34.9</v>
      </c>
      <c r="P2343" s="4">
        <f>IFERROR(__xludf.DUMMYFUNCTION("""COMPUTED_VALUE"""),13.5)</f>
        <v>13.5</v>
      </c>
      <c r="Q2343" s="4">
        <f>IFERROR(__xludf.DUMMYFUNCTION("""COMPUTED_VALUE"""),4.1)</f>
        <v>4.1</v>
      </c>
      <c r="R2343" s="4">
        <f>IFERROR(__xludf.DUMMYFUNCTION("""COMPUTED_VALUE"""),6.7)</f>
        <v>6.7</v>
      </c>
      <c r="S2343" s="4">
        <f>IFERROR(__xludf.DUMMYFUNCTION("""COMPUTED_VALUE"""),71.8)</f>
        <v>71.8</v>
      </c>
      <c r="T2343" s="4">
        <f>IFERROR(__xludf.DUMMYFUNCTION("""COMPUTED_VALUE"""),0.111)</f>
        <v>0.111</v>
      </c>
      <c r="U2343" s="4">
        <f>IFERROR(__xludf.DUMMYFUNCTION("""COMPUTED_VALUE"""),3.0)</f>
        <v>3</v>
      </c>
      <c r="V2343" s="4">
        <f>IFERROR(__xludf.DUMMYFUNCTION("""COMPUTED_VALUE"""),39.2)</f>
        <v>39.2</v>
      </c>
    </row>
    <row r="2344">
      <c r="A2344" s="4">
        <f>IFERROR(__xludf.DUMMYFUNCTION("""COMPUTED_VALUE"""),13.0)</f>
        <v>13</v>
      </c>
      <c r="B2344" s="4">
        <f>IFERROR(__xludf.DUMMYFUNCTION("""COMPUTED_VALUE"""),13.0)</f>
        <v>13</v>
      </c>
      <c r="C2344" s="4" t="str">
        <f>IFERROR(__xludf.DUMMYFUNCTION("""COMPUTED_VALUE"""),"BOS")</f>
        <v>BOS</v>
      </c>
      <c r="D2344" s="4" t="str">
        <f>IFERROR(__xludf.DUMMYFUNCTION("""COMPUTED_VALUE"""),"Michael Smith")</f>
        <v>Michael Smith</v>
      </c>
      <c r="E2344" s="4" t="str">
        <f>IFERROR(__xludf.DUMMYFUNCTION("""COMPUTED_VALUE"""),"BYU")</f>
        <v>BYU</v>
      </c>
      <c r="F2344" s="4">
        <f>IFERROR(__xludf.DUMMYFUNCTION("""COMPUTED_VALUE"""),3.0)</f>
        <v>3</v>
      </c>
      <c r="G2344" s="4">
        <f>IFERROR(__xludf.DUMMYFUNCTION("""COMPUTED_VALUE"""),141.0)</f>
        <v>141</v>
      </c>
      <c r="H2344" s="4">
        <f>IFERROR(__xludf.DUMMYFUNCTION("""COMPUTED_VALUE"""),1328.0)</f>
        <v>1328</v>
      </c>
      <c r="I2344" s="4">
        <f>IFERROR(__xludf.DUMMYFUNCTION("""COMPUTED_VALUE"""),698.0)</f>
        <v>698</v>
      </c>
      <c r="J2344" s="4">
        <f>IFERROR(__xludf.DUMMYFUNCTION("""COMPUTED_VALUE"""),212.0)</f>
        <v>212</v>
      </c>
      <c r="K2344" s="4">
        <f>IFERROR(__xludf.DUMMYFUNCTION("""COMPUTED_VALUE"""),142.0)</f>
        <v>142</v>
      </c>
      <c r="L2344" s="4">
        <f>IFERROR(__xludf.DUMMYFUNCTION("""COMPUTED_VALUE"""),0.474)</f>
        <v>0.474</v>
      </c>
      <c r="M2344" s="4">
        <f>IFERROR(__xludf.DUMMYFUNCTION("""COMPUTED_VALUE"""),0.15)</f>
        <v>0.15</v>
      </c>
      <c r="N2344" s="4">
        <f>IFERROR(__xludf.DUMMYFUNCTION("""COMPUTED_VALUE"""),0.835)</f>
        <v>0.835</v>
      </c>
      <c r="O2344" s="4">
        <f>IFERROR(__xludf.DUMMYFUNCTION("""COMPUTED_VALUE"""),9.4)</f>
        <v>9.4</v>
      </c>
      <c r="P2344" s="4">
        <f>IFERROR(__xludf.DUMMYFUNCTION("""COMPUTED_VALUE"""),5.0)</f>
        <v>5</v>
      </c>
      <c r="Q2344" s="4">
        <f>IFERROR(__xludf.DUMMYFUNCTION("""COMPUTED_VALUE"""),1.5)</f>
        <v>1.5</v>
      </c>
      <c r="R2344" s="4">
        <f>IFERROR(__xludf.DUMMYFUNCTION("""COMPUTED_VALUE"""),1.0)</f>
        <v>1</v>
      </c>
      <c r="S2344" s="4">
        <f>IFERROR(__xludf.DUMMYFUNCTION("""COMPUTED_VALUE"""),1.4)</f>
        <v>1.4</v>
      </c>
      <c r="T2344" s="4">
        <f>IFERROR(__xludf.DUMMYFUNCTION("""COMPUTED_VALUE"""),0.049)</f>
        <v>0.049</v>
      </c>
      <c r="U2344" s="4">
        <f>IFERROR(__xludf.DUMMYFUNCTION("""COMPUTED_VALUE"""),-3.6)</f>
        <v>-3.6</v>
      </c>
      <c r="V2344" s="4">
        <f>IFERROR(__xludf.DUMMYFUNCTION("""COMPUTED_VALUE"""),-0.5)</f>
        <v>-0.5</v>
      </c>
    </row>
    <row r="2345">
      <c r="A2345" s="4">
        <f>IFERROR(__xludf.DUMMYFUNCTION("""COMPUTED_VALUE"""),14.0)</f>
        <v>14</v>
      </c>
      <c r="B2345" s="4">
        <f>IFERROR(__xludf.DUMMYFUNCTION("""COMPUTED_VALUE"""),14.0)</f>
        <v>14</v>
      </c>
      <c r="C2345" s="4" t="str">
        <f>IFERROR(__xludf.DUMMYFUNCTION("""COMPUTED_VALUE"""),"GSW")</f>
        <v>GSW</v>
      </c>
      <c r="D2345" s="4" t="str">
        <f>IFERROR(__xludf.DUMMYFUNCTION("""COMPUTED_VALUE"""),"Tim Hardaway")</f>
        <v>Tim Hardaway</v>
      </c>
      <c r="E2345" s="4" t="str">
        <f>IFERROR(__xludf.DUMMYFUNCTION("""COMPUTED_VALUE"""),"Texas-El Paso")</f>
        <v>Texas-El Paso</v>
      </c>
      <c r="F2345" s="4">
        <f>IFERROR(__xludf.DUMMYFUNCTION("""COMPUTED_VALUE"""),13.0)</f>
        <v>13</v>
      </c>
      <c r="G2345" s="4">
        <f>IFERROR(__xludf.DUMMYFUNCTION("""COMPUTED_VALUE"""),867.0)</f>
        <v>867</v>
      </c>
      <c r="H2345" s="4">
        <f>IFERROR(__xludf.DUMMYFUNCTION("""COMPUTED_VALUE"""),30626.0)</f>
        <v>30626</v>
      </c>
      <c r="I2345" s="4">
        <f>IFERROR(__xludf.DUMMYFUNCTION("""COMPUTED_VALUE"""),15373.0)</f>
        <v>15373</v>
      </c>
      <c r="J2345" s="4">
        <f>IFERROR(__xludf.DUMMYFUNCTION("""COMPUTED_VALUE"""),2855.0)</f>
        <v>2855</v>
      </c>
      <c r="K2345" s="4">
        <f>IFERROR(__xludf.DUMMYFUNCTION("""COMPUTED_VALUE"""),7095.0)</f>
        <v>7095</v>
      </c>
      <c r="L2345" s="4">
        <f>IFERROR(__xludf.DUMMYFUNCTION("""COMPUTED_VALUE"""),0.431)</f>
        <v>0.431</v>
      </c>
      <c r="M2345" s="4">
        <f>IFERROR(__xludf.DUMMYFUNCTION("""COMPUTED_VALUE"""),0.355)</f>
        <v>0.355</v>
      </c>
      <c r="N2345" s="4">
        <f>IFERROR(__xludf.DUMMYFUNCTION("""COMPUTED_VALUE"""),0.782)</f>
        <v>0.782</v>
      </c>
      <c r="O2345" s="4">
        <f>IFERROR(__xludf.DUMMYFUNCTION("""COMPUTED_VALUE"""),35.3)</f>
        <v>35.3</v>
      </c>
      <c r="P2345" s="4">
        <f>IFERROR(__xludf.DUMMYFUNCTION("""COMPUTED_VALUE"""),17.7)</f>
        <v>17.7</v>
      </c>
      <c r="Q2345" s="4">
        <f>IFERROR(__xludf.DUMMYFUNCTION("""COMPUTED_VALUE"""),3.3)</f>
        <v>3.3</v>
      </c>
      <c r="R2345" s="4">
        <f>IFERROR(__xludf.DUMMYFUNCTION("""COMPUTED_VALUE"""),8.2)</f>
        <v>8.2</v>
      </c>
      <c r="S2345" s="4">
        <f>IFERROR(__xludf.DUMMYFUNCTION("""COMPUTED_VALUE"""),85.0)</f>
        <v>85</v>
      </c>
      <c r="T2345" s="4">
        <f>IFERROR(__xludf.DUMMYFUNCTION("""COMPUTED_VALUE"""),0.133)</f>
        <v>0.133</v>
      </c>
      <c r="U2345" s="4">
        <f>IFERROR(__xludf.DUMMYFUNCTION("""COMPUTED_VALUE"""),3.1)</f>
        <v>3.1</v>
      </c>
      <c r="V2345" s="4">
        <f>IFERROR(__xludf.DUMMYFUNCTION("""COMPUTED_VALUE"""),39.6)</f>
        <v>39.6</v>
      </c>
    </row>
    <row r="2346">
      <c r="A2346" s="4">
        <f>IFERROR(__xludf.DUMMYFUNCTION("""COMPUTED_VALUE"""),15.0)</f>
        <v>15</v>
      </c>
      <c r="B2346" s="4">
        <f>IFERROR(__xludf.DUMMYFUNCTION("""COMPUTED_VALUE"""),15.0)</f>
        <v>15</v>
      </c>
      <c r="C2346" s="4" t="str">
        <f>IFERROR(__xludf.DUMMYFUNCTION("""COMPUTED_VALUE"""),"DEN")</f>
        <v>DEN</v>
      </c>
      <c r="D2346" s="4" t="str">
        <f>IFERROR(__xludf.DUMMYFUNCTION("""COMPUTED_VALUE"""),"Todd Lichti")</f>
        <v>Todd Lichti</v>
      </c>
      <c r="E2346" s="4" t="str">
        <f>IFERROR(__xludf.DUMMYFUNCTION("""COMPUTED_VALUE"""),"Stanford")</f>
        <v>Stanford</v>
      </c>
      <c r="F2346" s="4">
        <f>IFERROR(__xludf.DUMMYFUNCTION("""COMPUTED_VALUE"""),5.0)</f>
        <v>5</v>
      </c>
      <c r="G2346" s="4">
        <f>IFERROR(__xludf.DUMMYFUNCTION("""COMPUTED_VALUE"""),237.0)</f>
        <v>237</v>
      </c>
      <c r="H2346" s="4">
        <f>IFERROR(__xludf.DUMMYFUNCTION("""COMPUTED_VALUE"""),4240.0)</f>
        <v>4240</v>
      </c>
      <c r="I2346" s="4">
        <f>IFERROR(__xludf.DUMMYFUNCTION("""COMPUTED_VALUE"""),1870.0)</f>
        <v>1870</v>
      </c>
      <c r="J2346" s="4">
        <f>IFERROR(__xludf.DUMMYFUNCTION("""COMPUTED_VALUE"""),505.0)</f>
        <v>505</v>
      </c>
      <c r="K2346" s="4">
        <f>IFERROR(__xludf.DUMMYFUNCTION("""COMPUTED_VALUE"""),325.0)</f>
        <v>325</v>
      </c>
      <c r="L2346" s="4">
        <f>IFERROR(__xludf.DUMMYFUNCTION("""COMPUTED_VALUE"""),0.46)</f>
        <v>0.46</v>
      </c>
      <c r="M2346" s="4">
        <f>IFERROR(__xludf.DUMMYFUNCTION("""COMPUTED_VALUE"""),0.244)</f>
        <v>0.244</v>
      </c>
      <c r="N2346" s="4">
        <f>IFERROR(__xludf.DUMMYFUNCTION("""COMPUTED_VALUE"""),0.789)</f>
        <v>0.789</v>
      </c>
      <c r="O2346" s="4">
        <f>IFERROR(__xludf.DUMMYFUNCTION("""COMPUTED_VALUE"""),17.9)</f>
        <v>17.9</v>
      </c>
      <c r="P2346" s="4">
        <f>IFERROR(__xludf.DUMMYFUNCTION("""COMPUTED_VALUE"""),7.9)</f>
        <v>7.9</v>
      </c>
      <c r="Q2346" s="4">
        <f>IFERROR(__xludf.DUMMYFUNCTION("""COMPUTED_VALUE"""),2.1)</f>
        <v>2.1</v>
      </c>
      <c r="R2346" s="4">
        <f>IFERROR(__xludf.DUMMYFUNCTION("""COMPUTED_VALUE"""),1.4)</f>
        <v>1.4</v>
      </c>
      <c r="S2346" s="4">
        <f>IFERROR(__xludf.DUMMYFUNCTION("""COMPUTED_VALUE"""),5.6)</f>
        <v>5.6</v>
      </c>
      <c r="T2346" s="4">
        <f>IFERROR(__xludf.DUMMYFUNCTION("""COMPUTED_VALUE"""),0.063)</f>
        <v>0.063</v>
      </c>
      <c r="U2346" s="4">
        <f>IFERROR(__xludf.DUMMYFUNCTION("""COMPUTED_VALUE"""),-2.5)</f>
        <v>-2.5</v>
      </c>
      <c r="V2346" s="4">
        <f>IFERROR(__xludf.DUMMYFUNCTION("""COMPUTED_VALUE"""),-0.5)</f>
        <v>-0.5</v>
      </c>
    </row>
    <row r="2347">
      <c r="A2347" s="4">
        <f>IFERROR(__xludf.DUMMYFUNCTION("""COMPUTED_VALUE"""),16.0)</f>
        <v>16</v>
      </c>
      <c r="B2347" s="4">
        <f>IFERROR(__xludf.DUMMYFUNCTION("""COMPUTED_VALUE"""),16.0)</f>
        <v>16</v>
      </c>
      <c r="C2347" s="4" t="str">
        <f>IFERROR(__xludf.DUMMYFUNCTION("""COMPUTED_VALUE"""),"SEA")</f>
        <v>SEA</v>
      </c>
      <c r="D2347" s="4" t="str">
        <f>IFERROR(__xludf.DUMMYFUNCTION("""COMPUTED_VALUE"""),"Dana Barros")</f>
        <v>Dana Barros</v>
      </c>
      <c r="E2347" s="4" t="str">
        <f>IFERROR(__xludf.DUMMYFUNCTION("""COMPUTED_VALUE"""),"Boston College")</f>
        <v>Boston College</v>
      </c>
      <c r="F2347" s="4">
        <f>IFERROR(__xludf.DUMMYFUNCTION("""COMPUTED_VALUE"""),14.0)</f>
        <v>14</v>
      </c>
      <c r="G2347" s="4">
        <f>IFERROR(__xludf.DUMMYFUNCTION("""COMPUTED_VALUE"""),850.0)</f>
        <v>850</v>
      </c>
      <c r="H2347" s="4">
        <f>IFERROR(__xludf.DUMMYFUNCTION("""COMPUTED_VALUE"""),19480.0)</f>
        <v>19480</v>
      </c>
      <c r="I2347" s="4">
        <f>IFERROR(__xludf.DUMMYFUNCTION("""COMPUTED_VALUE"""),8901.0)</f>
        <v>8901</v>
      </c>
      <c r="J2347" s="4">
        <f>IFERROR(__xludf.DUMMYFUNCTION("""COMPUTED_VALUE"""),1609.0)</f>
        <v>1609</v>
      </c>
      <c r="K2347" s="4">
        <f>IFERROR(__xludf.DUMMYFUNCTION("""COMPUTED_VALUE"""),2837.0)</f>
        <v>2837</v>
      </c>
      <c r="L2347" s="4">
        <f>IFERROR(__xludf.DUMMYFUNCTION("""COMPUTED_VALUE"""),0.46)</f>
        <v>0.46</v>
      </c>
      <c r="M2347" s="4">
        <f>IFERROR(__xludf.DUMMYFUNCTION("""COMPUTED_VALUE"""),0.411)</f>
        <v>0.411</v>
      </c>
      <c r="N2347" s="4">
        <f>IFERROR(__xludf.DUMMYFUNCTION("""COMPUTED_VALUE"""),0.858)</f>
        <v>0.858</v>
      </c>
      <c r="O2347" s="4">
        <f>IFERROR(__xludf.DUMMYFUNCTION("""COMPUTED_VALUE"""),22.9)</f>
        <v>22.9</v>
      </c>
      <c r="P2347" s="4">
        <f>IFERROR(__xludf.DUMMYFUNCTION("""COMPUTED_VALUE"""),10.5)</f>
        <v>10.5</v>
      </c>
      <c r="Q2347" s="4">
        <f>IFERROR(__xludf.DUMMYFUNCTION("""COMPUTED_VALUE"""),1.9)</f>
        <v>1.9</v>
      </c>
      <c r="R2347" s="4">
        <f>IFERROR(__xludf.DUMMYFUNCTION("""COMPUTED_VALUE"""),3.3)</f>
        <v>3.3</v>
      </c>
      <c r="S2347" s="4">
        <f>IFERROR(__xludf.DUMMYFUNCTION("""COMPUTED_VALUE"""),49.6)</f>
        <v>49.6</v>
      </c>
      <c r="T2347" s="4">
        <f>IFERROR(__xludf.DUMMYFUNCTION("""COMPUTED_VALUE"""),0.122)</f>
        <v>0.122</v>
      </c>
      <c r="U2347" s="4">
        <f>IFERROR(__xludf.DUMMYFUNCTION("""COMPUTED_VALUE"""),1.7)</f>
        <v>1.7</v>
      </c>
      <c r="V2347" s="4">
        <f>IFERROR(__xludf.DUMMYFUNCTION("""COMPUTED_VALUE"""),18.1)</f>
        <v>18.1</v>
      </c>
    </row>
    <row r="2348">
      <c r="A2348" s="4">
        <f>IFERROR(__xludf.DUMMYFUNCTION("""COMPUTED_VALUE"""),17.0)</f>
        <v>17</v>
      </c>
      <c r="B2348" s="4">
        <f>IFERROR(__xludf.DUMMYFUNCTION("""COMPUTED_VALUE"""),17.0)</f>
        <v>17</v>
      </c>
      <c r="C2348" s="4" t="str">
        <f>IFERROR(__xludf.DUMMYFUNCTION("""COMPUTED_VALUE"""),"SEA")</f>
        <v>SEA</v>
      </c>
      <c r="D2348" s="4" t="str">
        <f>IFERROR(__xludf.DUMMYFUNCTION("""COMPUTED_VALUE"""),"Shawn Kemp")</f>
        <v>Shawn Kemp</v>
      </c>
      <c r="E2348" s="4" t="str">
        <f>IFERROR(__xludf.DUMMYFUNCTION("""COMPUTED_VALUE"""),"Trinity Valley CC")</f>
        <v>Trinity Valley CC</v>
      </c>
      <c r="F2348" s="4">
        <f>IFERROR(__xludf.DUMMYFUNCTION("""COMPUTED_VALUE"""),14.0)</f>
        <v>14</v>
      </c>
      <c r="G2348" s="4">
        <f>IFERROR(__xludf.DUMMYFUNCTION("""COMPUTED_VALUE"""),1051.0)</f>
        <v>1051</v>
      </c>
      <c r="H2348" s="4">
        <f>IFERROR(__xludf.DUMMYFUNCTION("""COMPUTED_VALUE"""),29293.0)</f>
        <v>29293</v>
      </c>
      <c r="I2348" s="4">
        <f>IFERROR(__xludf.DUMMYFUNCTION("""COMPUTED_VALUE"""),15347.0)</f>
        <v>15347</v>
      </c>
      <c r="J2348" s="4">
        <f>IFERROR(__xludf.DUMMYFUNCTION("""COMPUTED_VALUE"""),8834.0)</f>
        <v>8834</v>
      </c>
      <c r="K2348" s="4">
        <f>IFERROR(__xludf.DUMMYFUNCTION("""COMPUTED_VALUE"""),1704.0)</f>
        <v>1704</v>
      </c>
      <c r="L2348" s="4">
        <f>IFERROR(__xludf.DUMMYFUNCTION("""COMPUTED_VALUE"""),0.488)</f>
        <v>0.488</v>
      </c>
      <c r="M2348" s="4">
        <f>IFERROR(__xludf.DUMMYFUNCTION("""COMPUTED_VALUE"""),0.277)</f>
        <v>0.277</v>
      </c>
      <c r="N2348" s="4">
        <f>IFERROR(__xludf.DUMMYFUNCTION("""COMPUTED_VALUE"""),0.741)</f>
        <v>0.741</v>
      </c>
      <c r="O2348" s="4">
        <f>IFERROR(__xludf.DUMMYFUNCTION("""COMPUTED_VALUE"""),27.9)</f>
        <v>27.9</v>
      </c>
      <c r="P2348" s="4">
        <f>IFERROR(__xludf.DUMMYFUNCTION("""COMPUTED_VALUE"""),14.6)</f>
        <v>14.6</v>
      </c>
      <c r="Q2348" s="4">
        <f>IFERROR(__xludf.DUMMYFUNCTION("""COMPUTED_VALUE"""),8.4)</f>
        <v>8.4</v>
      </c>
      <c r="R2348" s="4">
        <f>IFERROR(__xludf.DUMMYFUNCTION("""COMPUTED_VALUE"""),1.6)</f>
        <v>1.6</v>
      </c>
      <c r="S2348" s="4">
        <f>IFERROR(__xludf.DUMMYFUNCTION("""COMPUTED_VALUE"""),89.5)</f>
        <v>89.5</v>
      </c>
      <c r="T2348" s="4">
        <f>IFERROR(__xludf.DUMMYFUNCTION("""COMPUTED_VALUE"""),0.147)</f>
        <v>0.147</v>
      </c>
      <c r="U2348" s="4">
        <f>IFERROR(__xludf.DUMMYFUNCTION("""COMPUTED_VALUE"""),0.6)</f>
        <v>0.6</v>
      </c>
      <c r="V2348" s="4">
        <f>IFERROR(__xludf.DUMMYFUNCTION("""COMPUTED_VALUE"""),19.4)</f>
        <v>19.4</v>
      </c>
    </row>
    <row r="2349">
      <c r="A2349" s="4">
        <f>IFERROR(__xludf.DUMMYFUNCTION("""COMPUTED_VALUE"""),18.0)</f>
        <v>18</v>
      </c>
      <c r="B2349" s="4">
        <f>IFERROR(__xludf.DUMMYFUNCTION("""COMPUTED_VALUE"""),18.0)</f>
        <v>18</v>
      </c>
      <c r="C2349" s="4" t="str">
        <f>IFERROR(__xludf.DUMMYFUNCTION("""COMPUTED_VALUE"""),"CHI")</f>
        <v>CHI</v>
      </c>
      <c r="D2349" s="4" t="str">
        <f>IFERROR(__xludf.DUMMYFUNCTION("""COMPUTED_VALUE"""),"B.J. Armstrong")</f>
        <v>B.J. Armstrong</v>
      </c>
      <c r="E2349" s="4" t="str">
        <f>IFERROR(__xludf.DUMMYFUNCTION("""COMPUTED_VALUE"""),"Iowa")</f>
        <v>Iowa</v>
      </c>
      <c r="F2349" s="4">
        <f>IFERROR(__xludf.DUMMYFUNCTION("""COMPUTED_VALUE"""),11.0)</f>
        <v>11</v>
      </c>
      <c r="G2349" s="4">
        <f>IFERROR(__xludf.DUMMYFUNCTION("""COMPUTED_VALUE"""),747.0)</f>
        <v>747</v>
      </c>
      <c r="H2349" s="4">
        <f>IFERROR(__xludf.DUMMYFUNCTION("""COMPUTED_VALUE"""),17790.0)</f>
        <v>17790</v>
      </c>
      <c r="I2349" s="4">
        <f>IFERROR(__xludf.DUMMYFUNCTION("""COMPUTED_VALUE"""),7320.0)</f>
        <v>7320</v>
      </c>
      <c r="J2349" s="4">
        <f>IFERROR(__xludf.DUMMYFUNCTION("""COMPUTED_VALUE"""),1321.0)</f>
        <v>1321</v>
      </c>
      <c r="K2349" s="4">
        <f>IFERROR(__xludf.DUMMYFUNCTION("""COMPUTED_VALUE"""),2479.0)</f>
        <v>2479</v>
      </c>
      <c r="L2349" s="4">
        <f>IFERROR(__xludf.DUMMYFUNCTION("""COMPUTED_VALUE"""),0.477)</f>
        <v>0.477</v>
      </c>
      <c r="M2349" s="4">
        <f>IFERROR(__xludf.DUMMYFUNCTION("""COMPUTED_VALUE"""),0.425)</f>
        <v>0.425</v>
      </c>
      <c r="N2349" s="4">
        <f>IFERROR(__xludf.DUMMYFUNCTION("""COMPUTED_VALUE"""),0.856)</f>
        <v>0.856</v>
      </c>
      <c r="O2349" s="4">
        <f>IFERROR(__xludf.DUMMYFUNCTION("""COMPUTED_VALUE"""),23.8)</f>
        <v>23.8</v>
      </c>
      <c r="P2349" s="4">
        <f>IFERROR(__xludf.DUMMYFUNCTION("""COMPUTED_VALUE"""),9.8)</f>
        <v>9.8</v>
      </c>
      <c r="Q2349" s="4">
        <f>IFERROR(__xludf.DUMMYFUNCTION("""COMPUTED_VALUE"""),1.8)</f>
        <v>1.8</v>
      </c>
      <c r="R2349" s="4">
        <f>IFERROR(__xludf.DUMMYFUNCTION("""COMPUTED_VALUE"""),3.3)</f>
        <v>3.3</v>
      </c>
      <c r="S2349" s="4">
        <f>IFERROR(__xludf.DUMMYFUNCTION("""COMPUTED_VALUE"""),45.0)</f>
        <v>45</v>
      </c>
      <c r="T2349" s="4">
        <f>IFERROR(__xludf.DUMMYFUNCTION("""COMPUTED_VALUE"""),0.121)</f>
        <v>0.121</v>
      </c>
      <c r="U2349" s="4">
        <f>IFERROR(__xludf.DUMMYFUNCTION("""COMPUTED_VALUE"""),-0.2)</f>
        <v>-0.2</v>
      </c>
      <c r="V2349" s="4">
        <f>IFERROR(__xludf.DUMMYFUNCTION("""COMPUTED_VALUE"""),8.1)</f>
        <v>8.1</v>
      </c>
    </row>
    <row r="2350">
      <c r="A2350" s="4">
        <f>IFERROR(__xludf.DUMMYFUNCTION("""COMPUTED_VALUE"""),19.0)</f>
        <v>19</v>
      </c>
      <c r="B2350" s="4">
        <f>IFERROR(__xludf.DUMMYFUNCTION("""COMPUTED_VALUE"""),19.0)</f>
        <v>19</v>
      </c>
      <c r="C2350" s="4" t="str">
        <f>IFERROR(__xludf.DUMMYFUNCTION("""COMPUTED_VALUE"""),"PHI")</f>
        <v>PHI</v>
      </c>
      <c r="D2350" s="4" t="str">
        <f>IFERROR(__xludf.DUMMYFUNCTION("""COMPUTED_VALUE"""),"Kenny Payne")</f>
        <v>Kenny Payne</v>
      </c>
      <c r="E2350" s="4" t="str">
        <f>IFERROR(__xludf.DUMMYFUNCTION("""COMPUTED_VALUE"""),"Louisville")</f>
        <v>Louisville</v>
      </c>
      <c r="F2350" s="4">
        <f>IFERROR(__xludf.DUMMYFUNCTION("""COMPUTED_VALUE"""),4.0)</f>
        <v>4</v>
      </c>
      <c r="G2350" s="4">
        <f>IFERROR(__xludf.DUMMYFUNCTION("""COMPUTED_VALUE"""),144.0)</f>
        <v>144</v>
      </c>
      <c r="H2350" s="4">
        <f>IFERROR(__xludf.DUMMYFUNCTION("""COMPUTED_VALUE"""),1167.0)</f>
        <v>1167</v>
      </c>
      <c r="I2350" s="4">
        <f>IFERROR(__xludf.DUMMYFUNCTION("""COMPUTED_VALUE"""),508.0)</f>
        <v>508</v>
      </c>
      <c r="J2350" s="4">
        <f>IFERROR(__xludf.DUMMYFUNCTION("""COMPUTED_VALUE"""),170.0)</f>
        <v>170</v>
      </c>
      <c r="K2350" s="4">
        <f>IFERROR(__xludf.DUMMYFUNCTION("""COMPUTED_VALUE"""),61.0)</f>
        <v>61</v>
      </c>
      <c r="L2350" s="4">
        <f>IFERROR(__xludf.DUMMYFUNCTION("""COMPUTED_VALUE"""),0.41)</f>
        <v>0.41</v>
      </c>
      <c r="M2350" s="4">
        <f>IFERROR(__xludf.DUMMYFUNCTION("""COMPUTED_VALUE"""),0.293)</f>
        <v>0.293</v>
      </c>
      <c r="N2350" s="4">
        <f>IFERROR(__xludf.DUMMYFUNCTION("""COMPUTED_VALUE"""),0.859)</f>
        <v>0.859</v>
      </c>
      <c r="O2350" s="4">
        <f>IFERROR(__xludf.DUMMYFUNCTION("""COMPUTED_VALUE"""),8.1)</f>
        <v>8.1</v>
      </c>
      <c r="P2350" s="4">
        <f>IFERROR(__xludf.DUMMYFUNCTION("""COMPUTED_VALUE"""),3.5)</f>
        <v>3.5</v>
      </c>
      <c r="Q2350" s="4">
        <f>IFERROR(__xludf.DUMMYFUNCTION("""COMPUTED_VALUE"""),1.2)</f>
        <v>1.2</v>
      </c>
      <c r="R2350" s="4">
        <f>IFERROR(__xludf.DUMMYFUNCTION("""COMPUTED_VALUE"""),0.4)</f>
        <v>0.4</v>
      </c>
      <c r="S2350" s="4">
        <f>IFERROR(__xludf.DUMMYFUNCTION("""COMPUTED_VALUE"""),-0.1)</f>
        <v>-0.1</v>
      </c>
      <c r="T2350" s="4">
        <f>IFERROR(__xludf.DUMMYFUNCTION("""COMPUTED_VALUE"""),-0.005)</f>
        <v>-0.005</v>
      </c>
      <c r="U2350" s="4">
        <f>IFERROR(__xludf.DUMMYFUNCTION("""COMPUTED_VALUE"""),-4.9)</f>
        <v>-4.9</v>
      </c>
      <c r="V2350" s="4">
        <f>IFERROR(__xludf.DUMMYFUNCTION("""COMPUTED_VALUE"""),-0.9)</f>
        <v>-0.9</v>
      </c>
    </row>
    <row r="2351">
      <c r="A2351" s="4">
        <f>IFERROR(__xludf.DUMMYFUNCTION("""COMPUTED_VALUE"""),20.0)</f>
        <v>20</v>
      </c>
      <c r="B2351" s="4">
        <f>IFERROR(__xludf.DUMMYFUNCTION("""COMPUTED_VALUE"""),20.0)</f>
        <v>20</v>
      </c>
      <c r="C2351" s="4" t="str">
        <f>IFERROR(__xludf.DUMMYFUNCTION("""COMPUTED_VALUE"""),"CHI")</f>
        <v>CHI</v>
      </c>
      <c r="D2351" s="4" t="str">
        <f>IFERROR(__xludf.DUMMYFUNCTION("""COMPUTED_VALUE"""),"Jeff Sanders")</f>
        <v>Jeff Sanders</v>
      </c>
      <c r="E2351" s="4" t="str">
        <f>IFERROR(__xludf.DUMMYFUNCTION("""COMPUTED_VALUE"""),"Georgia Southern University")</f>
        <v>Georgia Southern University</v>
      </c>
      <c r="F2351" s="4">
        <f>IFERROR(__xludf.DUMMYFUNCTION("""COMPUTED_VALUE"""),4.0)</f>
        <v>4</v>
      </c>
      <c r="G2351" s="4">
        <f>IFERROR(__xludf.DUMMYFUNCTION("""COMPUTED_VALUE"""),55.0)</f>
        <v>55</v>
      </c>
      <c r="H2351" s="4">
        <f>IFERROR(__xludf.DUMMYFUNCTION("""COMPUTED_VALUE"""),462.0)</f>
        <v>462</v>
      </c>
      <c r="I2351" s="4">
        <f>IFERROR(__xludf.DUMMYFUNCTION("""COMPUTED_VALUE"""),112.0)</f>
        <v>112</v>
      </c>
      <c r="J2351" s="4">
        <f>IFERROR(__xludf.DUMMYFUNCTION("""COMPUTED_VALUE"""),103.0)</f>
        <v>103</v>
      </c>
      <c r="K2351" s="4">
        <f>IFERROR(__xludf.DUMMYFUNCTION("""COMPUTED_VALUE"""),25.0)</f>
        <v>25</v>
      </c>
      <c r="L2351" s="4">
        <f>IFERROR(__xludf.DUMMYFUNCTION("""COMPUTED_VALUE"""),0.395)</f>
        <v>0.395</v>
      </c>
      <c r="M2351" s="4"/>
      <c r="N2351" s="4">
        <f>IFERROR(__xludf.DUMMYFUNCTION("""COMPUTED_VALUE"""),0.609)</f>
        <v>0.609</v>
      </c>
      <c r="O2351" s="4">
        <f>IFERROR(__xludf.DUMMYFUNCTION("""COMPUTED_VALUE"""),8.4)</f>
        <v>8.4</v>
      </c>
      <c r="P2351" s="4">
        <f>IFERROR(__xludf.DUMMYFUNCTION("""COMPUTED_VALUE"""),2.0)</f>
        <v>2</v>
      </c>
      <c r="Q2351" s="4">
        <f>IFERROR(__xludf.DUMMYFUNCTION("""COMPUTED_VALUE"""),1.9)</f>
        <v>1.9</v>
      </c>
      <c r="R2351" s="4">
        <f>IFERROR(__xludf.DUMMYFUNCTION("""COMPUTED_VALUE"""),0.5)</f>
        <v>0.5</v>
      </c>
      <c r="S2351" s="4">
        <f>IFERROR(__xludf.DUMMYFUNCTION("""COMPUTED_VALUE"""),-0.1)</f>
        <v>-0.1</v>
      </c>
      <c r="T2351" s="4">
        <f>IFERROR(__xludf.DUMMYFUNCTION("""COMPUTED_VALUE"""),-0.008)</f>
        <v>-0.008</v>
      </c>
      <c r="U2351" s="4">
        <f>IFERROR(__xludf.DUMMYFUNCTION("""COMPUTED_VALUE"""),-6.3)</f>
        <v>-6.3</v>
      </c>
      <c r="V2351" s="4">
        <f>IFERROR(__xludf.DUMMYFUNCTION("""COMPUTED_VALUE"""),-0.5)</f>
        <v>-0.5</v>
      </c>
    </row>
    <row r="2352">
      <c r="A2352" s="4">
        <f>IFERROR(__xludf.DUMMYFUNCTION("""COMPUTED_VALUE"""),21.0)</f>
        <v>21</v>
      </c>
      <c r="B2352" s="4">
        <f>IFERROR(__xludf.DUMMYFUNCTION("""COMPUTED_VALUE"""),21.0)</f>
        <v>21</v>
      </c>
      <c r="C2352" s="4" t="str">
        <f>IFERROR(__xludf.DUMMYFUNCTION("""COMPUTED_VALUE"""),"UTA")</f>
        <v>UTA</v>
      </c>
      <c r="D2352" s="4" t="str">
        <f>IFERROR(__xludf.DUMMYFUNCTION("""COMPUTED_VALUE"""),"Blue Edwards")</f>
        <v>Blue Edwards</v>
      </c>
      <c r="E2352" s="4" t="str">
        <f>IFERROR(__xludf.DUMMYFUNCTION("""COMPUTED_VALUE"""),"East Carolina University")</f>
        <v>East Carolina University</v>
      </c>
      <c r="F2352" s="4">
        <f>IFERROR(__xludf.DUMMYFUNCTION("""COMPUTED_VALUE"""),10.0)</f>
        <v>10</v>
      </c>
      <c r="G2352" s="4">
        <f>IFERROR(__xludf.DUMMYFUNCTION("""COMPUTED_VALUE"""),704.0)</f>
        <v>704</v>
      </c>
      <c r="H2352" s="4">
        <f>IFERROR(__xludf.DUMMYFUNCTION("""COMPUTED_VALUE"""),18409.0)</f>
        <v>18409</v>
      </c>
      <c r="I2352" s="4">
        <f>IFERROR(__xludf.DUMMYFUNCTION("""COMPUTED_VALUE"""),7585.0)</f>
        <v>7585</v>
      </c>
      <c r="J2352" s="4">
        <f>IFERROR(__xludf.DUMMYFUNCTION("""COMPUTED_VALUE"""),2376.0)</f>
        <v>2376</v>
      </c>
      <c r="K2352" s="4">
        <f>IFERROR(__xludf.DUMMYFUNCTION("""COMPUTED_VALUE"""),1409.0)</f>
        <v>1409</v>
      </c>
      <c r="L2352" s="4">
        <f>IFERROR(__xludf.DUMMYFUNCTION("""COMPUTED_VALUE"""),0.475)</f>
        <v>0.475</v>
      </c>
      <c r="M2352" s="4">
        <f>IFERROR(__xludf.DUMMYFUNCTION("""COMPUTED_VALUE"""),0.335)</f>
        <v>0.335</v>
      </c>
      <c r="N2352" s="4">
        <f>IFERROR(__xludf.DUMMYFUNCTION("""COMPUTED_VALUE"""),0.779)</f>
        <v>0.779</v>
      </c>
      <c r="O2352" s="4">
        <f>IFERROR(__xludf.DUMMYFUNCTION("""COMPUTED_VALUE"""),26.1)</f>
        <v>26.1</v>
      </c>
      <c r="P2352" s="4">
        <f>IFERROR(__xludf.DUMMYFUNCTION("""COMPUTED_VALUE"""),10.8)</f>
        <v>10.8</v>
      </c>
      <c r="Q2352" s="4">
        <f>IFERROR(__xludf.DUMMYFUNCTION("""COMPUTED_VALUE"""),3.4)</f>
        <v>3.4</v>
      </c>
      <c r="R2352" s="4">
        <f>IFERROR(__xludf.DUMMYFUNCTION("""COMPUTED_VALUE"""),2.0)</f>
        <v>2</v>
      </c>
      <c r="S2352" s="4">
        <f>IFERROR(__xludf.DUMMYFUNCTION("""COMPUTED_VALUE"""),24.2)</f>
        <v>24.2</v>
      </c>
      <c r="T2352" s="4">
        <f>IFERROR(__xludf.DUMMYFUNCTION("""COMPUTED_VALUE"""),0.063)</f>
        <v>0.063</v>
      </c>
      <c r="U2352" s="4">
        <f>IFERROR(__xludf.DUMMYFUNCTION("""COMPUTED_VALUE"""),-1.6)</f>
        <v>-1.6</v>
      </c>
      <c r="V2352" s="4">
        <f>IFERROR(__xludf.DUMMYFUNCTION("""COMPUTED_VALUE"""),1.9)</f>
        <v>1.9</v>
      </c>
    </row>
    <row r="2353">
      <c r="A2353" s="4">
        <f>IFERROR(__xludf.DUMMYFUNCTION("""COMPUTED_VALUE"""),22.0)</f>
        <v>22</v>
      </c>
      <c r="B2353" s="4">
        <f>IFERROR(__xludf.DUMMYFUNCTION("""COMPUTED_VALUE"""),22.0)</f>
        <v>22</v>
      </c>
      <c r="C2353" s="4" t="str">
        <f>IFERROR(__xludf.DUMMYFUNCTION("""COMPUTED_VALUE"""),"POR")</f>
        <v>POR</v>
      </c>
      <c r="D2353" s="4" t="str">
        <f>IFERROR(__xludf.DUMMYFUNCTION("""COMPUTED_VALUE"""),"Byron Irvin")</f>
        <v>Byron Irvin</v>
      </c>
      <c r="E2353" s="4" t="str">
        <f>IFERROR(__xludf.DUMMYFUNCTION("""COMPUTED_VALUE"""),"Missouri")</f>
        <v>Missouri</v>
      </c>
      <c r="F2353" s="4">
        <f>IFERROR(__xludf.DUMMYFUNCTION("""COMPUTED_VALUE"""),3.0)</f>
        <v>3</v>
      </c>
      <c r="G2353" s="4">
        <f>IFERROR(__xludf.DUMMYFUNCTION("""COMPUTED_VALUE"""),87.0)</f>
        <v>87</v>
      </c>
      <c r="H2353" s="4">
        <f>IFERROR(__xludf.DUMMYFUNCTION("""COMPUTED_VALUE"""),849.0)</f>
        <v>849</v>
      </c>
      <c r="I2353" s="4">
        <f>IFERROR(__xludf.DUMMYFUNCTION("""COMPUTED_VALUE"""),451.0)</f>
        <v>451</v>
      </c>
      <c r="J2353" s="4">
        <f>IFERROR(__xludf.DUMMYFUNCTION("""COMPUTED_VALUE"""),123.0)</f>
        <v>123</v>
      </c>
      <c r="K2353" s="4">
        <f>IFERROR(__xludf.DUMMYFUNCTION("""COMPUTED_VALUE"""),73.0)</f>
        <v>73</v>
      </c>
      <c r="L2353" s="4">
        <f>IFERROR(__xludf.DUMMYFUNCTION("""COMPUTED_VALUE"""),0.471)</f>
        <v>0.471</v>
      </c>
      <c r="M2353" s="4">
        <f>IFERROR(__xludf.DUMMYFUNCTION("""COMPUTED_VALUE"""),0.35)</f>
        <v>0.35</v>
      </c>
      <c r="N2353" s="4">
        <f>IFERROR(__xludf.DUMMYFUNCTION("""COMPUTED_VALUE"""),0.722)</f>
        <v>0.722</v>
      </c>
      <c r="O2353" s="4">
        <f>IFERROR(__xludf.DUMMYFUNCTION("""COMPUTED_VALUE"""),9.8)</f>
        <v>9.8</v>
      </c>
      <c r="P2353" s="4">
        <f>IFERROR(__xludf.DUMMYFUNCTION("""COMPUTED_VALUE"""),5.2)</f>
        <v>5.2</v>
      </c>
      <c r="Q2353" s="4">
        <f>IFERROR(__xludf.DUMMYFUNCTION("""COMPUTED_VALUE"""),1.4)</f>
        <v>1.4</v>
      </c>
      <c r="R2353" s="4">
        <f>IFERROR(__xludf.DUMMYFUNCTION("""COMPUTED_VALUE"""),0.8)</f>
        <v>0.8</v>
      </c>
      <c r="S2353" s="4">
        <f>IFERROR(__xludf.DUMMYFUNCTION("""COMPUTED_VALUE"""),2.1)</f>
        <v>2.1</v>
      </c>
      <c r="T2353" s="4">
        <f>IFERROR(__xludf.DUMMYFUNCTION("""COMPUTED_VALUE"""),0.121)</f>
        <v>0.121</v>
      </c>
      <c r="U2353" s="4">
        <f>IFERROR(__xludf.DUMMYFUNCTION("""COMPUTED_VALUE"""),0.6)</f>
        <v>0.6</v>
      </c>
      <c r="V2353" s="4">
        <f>IFERROR(__xludf.DUMMYFUNCTION("""COMPUTED_VALUE"""),0.6)</f>
        <v>0.6</v>
      </c>
    </row>
    <row r="2354">
      <c r="A2354" s="4">
        <f>IFERROR(__xludf.DUMMYFUNCTION("""COMPUTED_VALUE"""),23.0)</f>
        <v>23</v>
      </c>
      <c r="B2354" s="4">
        <f>IFERROR(__xludf.DUMMYFUNCTION("""COMPUTED_VALUE"""),23.0)</f>
        <v>23</v>
      </c>
      <c r="C2354" s="4" t="str">
        <f>IFERROR(__xludf.DUMMYFUNCTION("""COMPUTED_VALUE"""),"ATL")</f>
        <v>ATL</v>
      </c>
      <c r="D2354" s="4" t="str">
        <f>IFERROR(__xludf.DUMMYFUNCTION("""COMPUTED_VALUE"""),"Roy Marble")</f>
        <v>Roy Marble</v>
      </c>
      <c r="E2354" s="4" t="str">
        <f>IFERROR(__xludf.DUMMYFUNCTION("""COMPUTED_VALUE"""),"Iowa")</f>
        <v>Iowa</v>
      </c>
      <c r="F2354" s="4">
        <f>IFERROR(__xludf.DUMMYFUNCTION("""COMPUTED_VALUE"""),2.0)</f>
        <v>2</v>
      </c>
      <c r="G2354" s="4">
        <f>IFERROR(__xludf.DUMMYFUNCTION("""COMPUTED_VALUE"""),29.0)</f>
        <v>29</v>
      </c>
      <c r="H2354" s="4">
        <f>IFERROR(__xludf.DUMMYFUNCTION("""COMPUTED_VALUE"""),194.0)</f>
        <v>194</v>
      </c>
      <c r="I2354" s="4">
        <f>IFERROR(__xludf.DUMMYFUNCTION("""COMPUTED_VALUE"""),55.0)</f>
        <v>55</v>
      </c>
      <c r="J2354" s="4">
        <f>IFERROR(__xludf.DUMMYFUNCTION("""COMPUTED_VALUE"""),32.0)</f>
        <v>32</v>
      </c>
      <c r="K2354" s="4">
        <f>IFERROR(__xludf.DUMMYFUNCTION("""COMPUTED_VALUE"""),12.0)</f>
        <v>12</v>
      </c>
      <c r="L2354" s="4">
        <f>IFERROR(__xludf.DUMMYFUNCTION("""COMPUTED_VALUE"""),0.257)</f>
        <v>0.257</v>
      </c>
      <c r="M2354" s="4">
        <f>IFERROR(__xludf.DUMMYFUNCTION("""COMPUTED_VALUE"""),0.0)</f>
        <v>0</v>
      </c>
      <c r="N2354" s="4">
        <f>IFERROR(__xludf.DUMMYFUNCTION("""COMPUTED_VALUE"""),0.594)</f>
        <v>0.594</v>
      </c>
      <c r="O2354" s="4">
        <f>IFERROR(__xludf.DUMMYFUNCTION("""COMPUTED_VALUE"""),6.7)</f>
        <v>6.7</v>
      </c>
      <c r="P2354" s="4">
        <f>IFERROR(__xludf.DUMMYFUNCTION("""COMPUTED_VALUE"""),1.9)</f>
        <v>1.9</v>
      </c>
      <c r="Q2354" s="4">
        <f>IFERROR(__xludf.DUMMYFUNCTION("""COMPUTED_VALUE"""),1.1)</f>
        <v>1.1</v>
      </c>
      <c r="R2354" s="4">
        <f>IFERROR(__xludf.DUMMYFUNCTION("""COMPUTED_VALUE"""),0.4)</f>
        <v>0.4</v>
      </c>
      <c r="S2354" s="4">
        <f>IFERROR(__xludf.DUMMYFUNCTION("""COMPUTED_VALUE"""),-0.5)</f>
        <v>-0.5</v>
      </c>
      <c r="T2354" s="4">
        <f>IFERROR(__xludf.DUMMYFUNCTION("""COMPUTED_VALUE"""),-0.122)</f>
        <v>-0.122</v>
      </c>
      <c r="U2354" s="4">
        <f>IFERROR(__xludf.DUMMYFUNCTION("""COMPUTED_VALUE"""),-8.8)</f>
        <v>-8.8</v>
      </c>
      <c r="V2354" s="4">
        <f>IFERROR(__xludf.DUMMYFUNCTION("""COMPUTED_VALUE"""),-0.3)</f>
        <v>-0.3</v>
      </c>
    </row>
    <row r="2355">
      <c r="A2355" s="4">
        <f>IFERROR(__xludf.DUMMYFUNCTION("""COMPUTED_VALUE"""),24.0)</f>
        <v>24</v>
      </c>
      <c r="B2355" s="4">
        <f>IFERROR(__xludf.DUMMYFUNCTION("""COMPUTED_VALUE"""),24.0)</f>
        <v>24</v>
      </c>
      <c r="C2355" s="4" t="str">
        <f>IFERROR(__xludf.DUMMYFUNCTION("""COMPUTED_VALUE"""),"PHO")</f>
        <v>PHO</v>
      </c>
      <c r="D2355" s="4" t="str">
        <f>IFERROR(__xludf.DUMMYFUNCTION("""COMPUTED_VALUE"""),"Anthony Cook")</f>
        <v>Anthony Cook</v>
      </c>
      <c r="E2355" s="4" t="str">
        <f>IFERROR(__xludf.DUMMYFUNCTION("""COMPUTED_VALUE"""),"Arizona")</f>
        <v>Arizona</v>
      </c>
      <c r="F2355" s="4">
        <f>IFERROR(__xludf.DUMMYFUNCTION("""COMPUTED_VALUE"""),4.0)</f>
        <v>4</v>
      </c>
      <c r="G2355" s="4">
        <f>IFERROR(__xludf.DUMMYFUNCTION("""COMPUTED_VALUE"""),116.0)</f>
        <v>116</v>
      </c>
      <c r="H2355" s="4">
        <f>IFERROR(__xludf.DUMMYFUNCTION("""COMPUTED_VALUE"""),1499.0)</f>
        <v>1499</v>
      </c>
      <c r="I2355" s="4">
        <f>IFERROR(__xludf.DUMMYFUNCTION("""COMPUTED_VALUE"""),418.0)</f>
        <v>418</v>
      </c>
      <c r="J2355" s="4">
        <f>IFERROR(__xludf.DUMMYFUNCTION("""COMPUTED_VALUE"""),428.0)</f>
        <v>428</v>
      </c>
      <c r="K2355" s="4">
        <f>IFERROR(__xludf.DUMMYFUNCTION("""COMPUTED_VALUE"""),34.0)</f>
        <v>34</v>
      </c>
      <c r="L2355" s="4">
        <f>IFERROR(__xludf.DUMMYFUNCTION("""COMPUTED_VALUE"""),0.439)</f>
        <v>0.439</v>
      </c>
      <c r="M2355" s="4">
        <f>IFERROR(__xludf.DUMMYFUNCTION("""COMPUTED_VALUE"""),0.0)</f>
        <v>0</v>
      </c>
      <c r="N2355" s="4">
        <f>IFERROR(__xludf.DUMMYFUNCTION("""COMPUTED_VALUE"""),0.524)</f>
        <v>0.524</v>
      </c>
      <c r="O2355" s="4">
        <f>IFERROR(__xludf.DUMMYFUNCTION("""COMPUTED_VALUE"""),12.9)</f>
        <v>12.9</v>
      </c>
      <c r="P2355" s="4">
        <f>IFERROR(__xludf.DUMMYFUNCTION("""COMPUTED_VALUE"""),3.6)</f>
        <v>3.6</v>
      </c>
      <c r="Q2355" s="4">
        <f>IFERROR(__xludf.DUMMYFUNCTION("""COMPUTED_VALUE"""),3.7)</f>
        <v>3.7</v>
      </c>
      <c r="R2355" s="4">
        <f>IFERROR(__xludf.DUMMYFUNCTION("""COMPUTED_VALUE"""),0.3)</f>
        <v>0.3</v>
      </c>
      <c r="S2355" s="4">
        <f>IFERROR(__xludf.DUMMYFUNCTION("""COMPUTED_VALUE"""),1.0)</f>
        <v>1</v>
      </c>
      <c r="T2355" s="4">
        <f>IFERROR(__xludf.DUMMYFUNCTION("""COMPUTED_VALUE"""),0.033)</f>
        <v>0.033</v>
      </c>
      <c r="U2355" s="4">
        <f>IFERROR(__xludf.DUMMYFUNCTION("""COMPUTED_VALUE"""),-3.7)</f>
        <v>-3.7</v>
      </c>
      <c r="V2355" s="4">
        <f>IFERROR(__xludf.DUMMYFUNCTION("""COMPUTED_VALUE"""),-0.7)</f>
        <v>-0.7</v>
      </c>
    </row>
    <row r="2356">
      <c r="A2356" s="4">
        <f>IFERROR(__xludf.DUMMYFUNCTION("""COMPUTED_VALUE"""),25.0)</f>
        <v>25</v>
      </c>
      <c r="B2356" s="4">
        <f>IFERROR(__xludf.DUMMYFUNCTION("""COMPUTED_VALUE"""),25.0)</f>
        <v>25</v>
      </c>
      <c r="C2356" s="4" t="str">
        <f>IFERROR(__xludf.DUMMYFUNCTION("""COMPUTED_VALUE"""),"CLE")</f>
        <v>CLE</v>
      </c>
      <c r="D2356" s="4" t="str">
        <f>IFERROR(__xludf.DUMMYFUNCTION("""COMPUTED_VALUE"""),"John Morton")</f>
        <v>John Morton</v>
      </c>
      <c r="E2356" s="4" t="str">
        <f>IFERROR(__xludf.DUMMYFUNCTION("""COMPUTED_VALUE"""),"Seton Hall")</f>
        <v>Seton Hall</v>
      </c>
      <c r="F2356" s="4">
        <f>IFERROR(__xludf.DUMMYFUNCTION("""COMPUTED_VALUE"""),3.0)</f>
        <v>3</v>
      </c>
      <c r="G2356" s="4">
        <f>IFERROR(__xludf.DUMMYFUNCTION("""COMPUTED_VALUE"""),128.0)</f>
        <v>128</v>
      </c>
      <c r="H2356" s="4">
        <f>IFERROR(__xludf.DUMMYFUNCTION("""COMPUTED_VALUE"""),1879.0)</f>
        <v>1879</v>
      </c>
      <c r="I2356" s="4">
        <f>IFERROR(__xludf.DUMMYFUNCTION("""COMPUTED_VALUE"""),609.0)</f>
        <v>609</v>
      </c>
      <c r="J2356" s="4">
        <f>IFERROR(__xludf.DUMMYFUNCTION("""COMPUTED_VALUE"""),161.0)</f>
        <v>161</v>
      </c>
      <c r="K2356" s="4">
        <f>IFERROR(__xludf.DUMMYFUNCTION("""COMPUTED_VALUE"""),342.0)</f>
        <v>342</v>
      </c>
      <c r="L2356" s="4">
        <f>IFERROR(__xludf.DUMMYFUNCTION("""COMPUTED_VALUE"""),0.386)</f>
        <v>0.386</v>
      </c>
      <c r="M2356" s="4">
        <f>IFERROR(__xludf.DUMMYFUNCTION("""COMPUTED_VALUE"""),0.224)</f>
        <v>0.224</v>
      </c>
      <c r="N2356" s="4">
        <f>IFERROR(__xludf.DUMMYFUNCTION("""COMPUTED_VALUE"""),0.787)</f>
        <v>0.787</v>
      </c>
      <c r="O2356" s="4">
        <f>IFERROR(__xludf.DUMMYFUNCTION("""COMPUTED_VALUE"""),14.7)</f>
        <v>14.7</v>
      </c>
      <c r="P2356" s="4">
        <f>IFERROR(__xludf.DUMMYFUNCTION("""COMPUTED_VALUE"""),4.8)</f>
        <v>4.8</v>
      </c>
      <c r="Q2356" s="4">
        <f>IFERROR(__xludf.DUMMYFUNCTION("""COMPUTED_VALUE"""),1.3)</f>
        <v>1.3</v>
      </c>
      <c r="R2356" s="4">
        <f>IFERROR(__xludf.DUMMYFUNCTION("""COMPUTED_VALUE"""),2.7)</f>
        <v>2.7</v>
      </c>
      <c r="S2356" s="4">
        <f>IFERROR(__xludf.DUMMYFUNCTION("""COMPUTED_VALUE"""),0.5)</f>
        <v>0.5</v>
      </c>
      <c r="T2356" s="4">
        <f>IFERROR(__xludf.DUMMYFUNCTION("""COMPUTED_VALUE"""),0.013)</f>
        <v>0.013</v>
      </c>
      <c r="U2356" s="4">
        <f>IFERROR(__xludf.DUMMYFUNCTION("""COMPUTED_VALUE"""),-3.0)</f>
        <v>-3</v>
      </c>
      <c r="V2356" s="4">
        <f>IFERROR(__xludf.DUMMYFUNCTION("""COMPUTED_VALUE"""),-0.5)</f>
        <v>-0.5</v>
      </c>
    </row>
    <row r="2357">
      <c r="A2357" s="4">
        <f>IFERROR(__xludf.DUMMYFUNCTION("""COMPUTED_VALUE"""),26.0)</f>
        <v>26</v>
      </c>
      <c r="B2357" s="4">
        <f>IFERROR(__xludf.DUMMYFUNCTION("""COMPUTED_VALUE"""),26.0)</f>
        <v>26</v>
      </c>
      <c r="C2357" s="4" t="str">
        <f>IFERROR(__xludf.DUMMYFUNCTION("""COMPUTED_VALUE"""),"LAL")</f>
        <v>LAL</v>
      </c>
      <c r="D2357" s="4" t="str">
        <f>IFERROR(__xludf.DUMMYFUNCTION("""COMPUTED_VALUE"""),"Vlade Divac")</f>
        <v>Vlade Divac</v>
      </c>
      <c r="E2357" s="4"/>
      <c r="F2357" s="4">
        <f>IFERROR(__xludf.DUMMYFUNCTION("""COMPUTED_VALUE"""),16.0)</f>
        <v>16</v>
      </c>
      <c r="G2357" s="4">
        <f>IFERROR(__xludf.DUMMYFUNCTION("""COMPUTED_VALUE"""),1134.0)</f>
        <v>1134</v>
      </c>
      <c r="H2357" s="4">
        <f>IFERROR(__xludf.DUMMYFUNCTION("""COMPUTED_VALUE"""),33838.0)</f>
        <v>33838</v>
      </c>
      <c r="I2357" s="4">
        <f>IFERROR(__xludf.DUMMYFUNCTION("""COMPUTED_VALUE"""),13398.0)</f>
        <v>13398</v>
      </c>
      <c r="J2357" s="4">
        <f>IFERROR(__xludf.DUMMYFUNCTION("""COMPUTED_VALUE"""),9326.0)</f>
        <v>9326</v>
      </c>
      <c r="K2357" s="4">
        <f>IFERROR(__xludf.DUMMYFUNCTION("""COMPUTED_VALUE"""),3541.0)</f>
        <v>3541</v>
      </c>
      <c r="L2357" s="4">
        <f>IFERROR(__xludf.DUMMYFUNCTION("""COMPUTED_VALUE"""),0.495)</f>
        <v>0.495</v>
      </c>
      <c r="M2357" s="4">
        <f>IFERROR(__xludf.DUMMYFUNCTION("""COMPUTED_VALUE"""),0.235)</f>
        <v>0.235</v>
      </c>
      <c r="N2357" s="4">
        <f>IFERROR(__xludf.DUMMYFUNCTION("""COMPUTED_VALUE"""),0.692)</f>
        <v>0.692</v>
      </c>
      <c r="O2357" s="4">
        <f>IFERROR(__xludf.DUMMYFUNCTION("""COMPUTED_VALUE"""),29.8)</f>
        <v>29.8</v>
      </c>
      <c r="P2357" s="4">
        <f>IFERROR(__xludf.DUMMYFUNCTION("""COMPUTED_VALUE"""),11.8)</f>
        <v>11.8</v>
      </c>
      <c r="Q2357" s="4">
        <f>IFERROR(__xludf.DUMMYFUNCTION("""COMPUTED_VALUE"""),8.2)</f>
        <v>8.2</v>
      </c>
      <c r="R2357" s="4">
        <f>IFERROR(__xludf.DUMMYFUNCTION("""COMPUTED_VALUE"""),3.1)</f>
        <v>3.1</v>
      </c>
      <c r="S2357" s="4">
        <f>IFERROR(__xludf.DUMMYFUNCTION("""COMPUTED_VALUE"""),96.4)</f>
        <v>96.4</v>
      </c>
      <c r="T2357" s="4">
        <f>IFERROR(__xludf.DUMMYFUNCTION("""COMPUTED_VALUE"""),0.137)</f>
        <v>0.137</v>
      </c>
      <c r="U2357" s="4">
        <f>IFERROR(__xludf.DUMMYFUNCTION("""COMPUTED_VALUE"""),2.3)</f>
        <v>2.3</v>
      </c>
      <c r="V2357" s="4">
        <f>IFERROR(__xludf.DUMMYFUNCTION("""COMPUTED_VALUE"""),36.3)</f>
        <v>36.3</v>
      </c>
    </row>
    <row r="2358">
      <c r="A2358" s="4">
        <f>IFERROR(__xludf.DUMMYFUNCTION("""COMPUTED_VALUE"""),27.0)</f>
        <v>27</v>
      </c>
      <c r="B2358" s="4">
        <f>IFERROR(__xludf.DUMMYFUNCTION("""COMPUTED_VALUE"""),27.0)</f>
        <v>27</v>
      </c>
      <c r="C2358" s="4" t="str">
        <f>IFERROR(__xludf.DUMMYFUNCTION("""COMPUTED_VALUE"""),"DET")</f>
        <v>DET</v>
      </c>
      <c r="D2358" s="4" t="str">
        <f>IFERROR(__xludf.DUMMYFUNCTION("""COMPUTED_VALUE"""),"Kenny Battle")</f>
        <v>Kenny Battle</v>
      </c>
      <c r="E2358" s="4" t="str">
        <f>IFERROR(__xludf.DUMMYFUNCTION("""COMPUTED_VALUE"""),"Illinois")</f>
        <v>Illinois</v>
      </c>
      <c r="F2358" s="4">
        <f>IFERROR(__xludf.DUMMYFUNCTION("""COMPUTED_VALUE"""),4.0)</f>
        <v>4</v>
      </c>
      <c r="G2358" s="4">
        <f>IFERROR(__xludf.DUMMYFUNCTION("""COMPUTED_VALUE"""),134.0)</f>
        <v>134</v>
      </c>
      <c r="H2358" s="4">
        <f>IFERROR(__xludf.DUMMYFUNCTION("""COMPUTED_VALUE"""),1795.0)</f>
        <v>1795</v>
      </c>
      <c r="I2358" s="4">
        <f>IFERROR(__xludf.DUMMYFUNCTION("""COMPUTED_VALUE"""),627.0)</f>
        <v>627</v>
      </c>
      <c r="J2358" s="4">
        <f>IFERROR(__xludf.DUMMYFUNCTION("""COMPUTED_VALUE"""),327.0)</f>
        <v>327</v>
      </c>
      <c r="K2358" s="4">
        <f>IFERROR(__xludf.DUMMYFUNCTION("""COMPUTED_VALUE"""),106.0)</f>
        <v>106</v>
      </c>
      <c r="L2358" s="4">
        <f>IFERROR(__xludf.DUMMYFUNCTION("""COMPUTED_VALUE"""),0.504)</f>
        <v>0.504</v>
      </c>
      <c r="M2358" s="4">
        <f>IFERROR(__xludf.DUMMYFUNCTION("""COMPUTED_VALUE"""),0.133)</f>
        <v>0.133</v>
      </c>
      <c r="N2358" s="4">
        <f>IFERROR(__xludf.DUMMYFUNCTION("""COMPUTED_VALUE"""),0.725)</f>
        <v>0.725</v>
      </c>
      <c r="O2358" s="4">
        <f>IFERROR(__xludf.DUMMYFUNCTION("""COMPUTED_VALUE"""),13.4)</f>
        <v>13.4</v>
      </c>
      <c r="P2358" s="4">
        <f>IFERROR(__xludf.DUMMYFUNCTION("""COMPUTED_VALUE"""),4.7)</f>
        <v>4.7</v>
      </c>
      <c r="Q2358" s="4">
        <f>IFERROR(__xludf.DUMMYFUNCTION("""COMPUTED_VALUE"""),2.4)</f>
        <v>2.4</v>
      </c>
      <c r="R2358" s="4">
        <f>IFERROR(__xludf.DUMMYFUNCTION("""COMPUTED_VALUE"""),0.8)</f>
        <v>0.8</v>
      </c>
      <c r="S2358" s="4">
        <f>IFERROR(__xludf.DUMMYFUNCTION("""COMPUTED_VALUE"""),3.7)</f>
        <v>3.7</v>
      </c>
      <c r="T2358" s="4">
        <f>IFERROR(__xludf.DUMMYFUNCTION("""COMPUTED_VALUE"""),0.098)</f>
        <v>0.098</v>
      </c>
      <c r="U2358" s="4">
        <f>IFERROR(__xludf.DUMMYFUNCTION("""COMPUTED_VALUE"""),-0.4)</f>
        <v>-0.4</v>
      </c>
      <c r="V2358" s="4">
        <f>IFERROR(__xludf.DUMMYFUNCTION("""COMPUTED_VALUE"""),0.7)</f>
        <v>0.7</v>
      </c>
    </row>
    <row r="2359">
      <c r="A2359" s="4"/>
      <c r="B2359" s="4"/>
      <c r="C2359" s="4"/>
      <c r="D2359" s="4" t="str">
        <f>IFERROR(__xludf.DUMMYFUNCTION("""COMPUTED_VALUE"""),"Round 2")</f>
        <v>Round 2</v>
      </c>
      <c r="E2359" s="4"/>
      <c r="F2359" s="4"/>
      <c r="G2359" s="4" t="str">
        <f>IFERROR(__xludf.DUMMYFUNCTION("""COMPUTED_VALUE"""),"Totals")</f>
        <v>Totals</v>
      </c>
      <c r="H2359" s="4"/>
      <c r="I2359" s="4"/>
      <c r="J2359" s="4"/>
      <c r="K2359" s="4"/>
      <c r="L2359" s="4" t="str">
        <f>IFERROR(__xludf.DUMMYFUNCTION("""COMPUTED_VALUE"""),"Shooting")</f>
        <v>Shooting</v>
      </c>
      <c r="M2359" s="4"/>
      <c r="N2359" s="4"/>
      <c r="O2359" s="4" t="str">
        <f>IFERROR(__xludf.DUMMYFUNCTION("""COMPUTED_VALUE"""),"Per Game")</f>
        <v>Per Game</v>
      </c>
      <c r="P2359" s="4"/>
      <c r="Q2359" s="4"/>
      <c r="R2359" s="4"/>
      <c r="S2359" s="4" t="str">
        <f>IFERROR(__xludf.DUMMYFUNCTION("""COMPUTED_VALUE"""),"Advanced")</f>
        <v>Advanced</v>
      </c>
      <c r="T2359" s="4"/>
      <c r="U2359" s="4"/>
      <c r="V2359" s="4"/>
    </row>
    <row r="2360">
      <c r="A2360" s="4" t="str">
        <f>IFERROR(__xludf.DUMMYFUNCTION("""COMPUTED_VALUE"""),"Rk")</f>
        <v>Rk</v>
      </c>
      <c r="B2360" s="4" t="str">
        <f>IFERROR(__xludf.DUMMYFUNCTION("""COMPUTED_VALUE"""),"Pk")</f>
        <v>Pk</v>
      </c>
      <c r="C2360" s="4" t="str">
        <f>IFERROR(__xludf.DUMMYFUNCTION("""COMPUTED_VALUE"""),"Tm")</f>
        <v>Tm</v>
      </c>
      <c r="D2360" s="4" t="str">
        <f>IFERROR(__xludf.DUMMYFUNCTION("""COMPUTED_VALUE"""),"Player")</f>
        <v>Player</v>
      </c>
      <c r="E2360" s="4" t="str">
        <f>IFERROR(__xludf.DUMMYFUNCTION("""COMPUTED_VALUE"""),"College")</f>
        <v>College</v>
      </c>
      <c r="F2360" s="4" t="str">
        <f>IFERROR(__xludf.DUMMYFUNCTION("""COMPUTED_VALUE"""),"Yrs")</f>
        <v>Yrs</v>
      </c>
      <c r="G2360" s="4" t="str">
        <f>IFERROR(__xludf.DUMMYFUNCTION("""COMPUTED_VALUE"""),"G")</f>
        <v>G</v>
      </c>
      <c r="H2360" s="4" t="str">
        <f>IFERROR(__xludf.DUMMYFUNCTION("""COMPUTED_VALUE"""),"MP")</f>
        <v>MP</v>
      </c>
      <c r="I2360" s="4" t="str">
        <f>IFERROR(__xludf.DUMMYFUNCTION("""COMPUTED_VALUE"""),"PTS")</f>
        <v>PTS</v>
      </c>
      <c r="J2360" s="4" t="str">
        <f>IFERROR(__xludf.DUMMYFUNCTION("""COMPUTED_VALUE"""),"TRB")</f>
        <v>TRB</v>
      </c>
      <c r="K2360" s="4" t="str">
        <f>IFERROR(__xludf.DUMMYFUNCTION("""COMPUTED_VALUE"""),"AST")</f>
        <v>AST</v>
      </c>
      <c r="L2360" s="4" t="str">
        <f>IFERROR(__xludf.DUMMYFUNCTION("""COMPUTED_VALUE"""),"FG%")</f>
        <v>FG%</v>
      </c>
      <c r="M2360" s="4" t="str">
        <f>IFERROR(__xludf.DUMMYFUNCTION("""COMPUTED_VALUE"""),"3P%")</f>
        <v>3P%</v>
      </c>
      <c r="N2360" s="4" t="str">
        <f>IFERROR(__xludf.DUMMYFUNCTION("""COMPUTED_VALUE"""),"FT%")</f>
        <v>FT%</v>
      </c>
      <c r="O2360" s="4" t="str">
        <f>IFERROR(__xludf.DUMMYFUNCTION("""COMPUTED_VALUE"""),"MP")</f>
        <v>MP</v>
      </c>
      <c r="P2360" s="4" t="str">
        <f>IFERROR(__xludf.DUMMYFUNCTION("""COMPUTED_VALUE"""),"PTS")</f>
        <v>PTS</v>
      </c>
      <c r="Q2360" s="4" t="str">
        <f>IFERROR(__xludf.DUMMYFUNCTION("""COMPUTED_VALUE"""),"TRB")</f>
        <v>TRB</v>
      </c>
      <c r="R2360" s="4" t="str">
        <f>IFERROR(__xludf.DUMMYFUNCTION("""COMPUTED_VALUE"""),"AST")</f>
        <v>AST</v>
      </c>
      <c r="S2360" s="4" t="str">
        <f>IFERROR(__xludf.DUMMYFUNCTION("""COMPUTED_VALUE"""),"WS")</f>
        <v>WS</v>
      </c>
      <c r="T2360" s="4" t="str">
        <f>IFERROR(__xludf.DUMMYFUNCTION("""COMPUTED_VALUE"""),"WS/48")</f>
        <v>WS/48</v>
      </c>
      <c r="U2360" s="4" t="str">
        <f>IFERROR(__xludf.DUMMYFUNCTION("""COMPUTED_VALUE"""),"BPM")</f>
        <v>BPM</v>
      </c>
      <c r="V2360" s="4" t="str">
        <f>IFERROR(__xludf.DUMMYFUNCTION("""COMPUTED_VALUE"""),"VORP")</f>
        <v>VORP</v>
      </c>
    </row>
    <row r="2361">
      <c r="A2361" s="4">
        <f>IFERROR(__xludf.DUMMYFUNCTION("""COMPUTED_VALUE"""),28.0)</f>
        <v>28</v>
      </c>
      <c r="B2361" s="4">
        <f>IFERROR(__xludf.DUMMYFUNCTION("""COMPUTED_VALUE"""),28.0)</f>
        <v>28</v>
      </c>
      <c r="C2361" s="4" t="str">
        <f>IFERROR(__xludf.DUMMYFUNCTION("""COMPUTED_VALUE"""),"MIA")</f>
        <v>MIA</v>
      </c>
      <c r="D2361" s="4" t="str">
        <f>IFERROR(__xludf.DUMMYFUNCTION("""COMPUTED_VALUE"""),"Sherman Douglas")</f>
        <v>Sherman Douglas</v>
      </c>
      <c r="E2361" s="4" t="str">
        <f>IFERROR(__xludf.DUMMYFUNCTION("""COMPUTED_VALUE"""),"Syracuse")</f>
        <v>Syracuse</v>
      </c>
      <c r="F2361" s="4">
        <f>IFERROR(__xludf.DUMMYFUNCTION("""COMPUTED_VALUE"""),12.0)</f>
        <v>12</v>
      </c>
      <c r="G2361" s="4">
        <f>IFERROR(__xludf.DUMMYFUNCTION("""COMPUTED_VALUE"""),765.0)</f>
        <v>765</v>
      </c>
      <c r="H2361" s="4">
        <f>IFERROR(__xludf.DUMMYFUNCTION("""COMPUTED_VALUE"""),21148.0)</f>
        <v>21148</v>
      </c>
      <c r="I2361" s="4">
        <f>IFERROR(__xludf.DUMMYFUNCTION("""COMPUTED_VALUE"""),8425.0)</f>
        <v>8425</v>
      </c>
      <c r="J2361" s="4">
        <f>IFERROR(__xludf.DUMMYFUNCTION("""COMPUTED_VALUE"""),1672.0)</f>
        <v>1672</v>
      </c>
      <c r="K2361" s="4">
        <f>IFERROR(__xludf.DUMMYFUNCTION("""COMPUTED_VALUE"""),4536.0)</f>
        <v>4536</v>
      </c>
      <c r="L2361" s="4">
        <f>IFERROR(__xludf.DUMMYFUNCTION("""COMPUTED_VALUE"""),0.484)</f>
        <v>0.484</v>
      </c>
      <c r="M2361" s="4">
        <f>IFERROR(__xludf.DUMMYFUNCTION("""COMPUTED_VALUE"""),0.267)</f>
        <v>0.267</v>
      </c>
      <c r="N2361" s="4">
        <f>IFERROR(__xludf.DUMMYFUNCTION("""COMPUTED_VALUE"""),0.678)</f>
        <v>0.678</v>
      </c>
      <c r="O2361" s="4">
        <f>IFERROR(__xludf.DUMMYFUNCTION("""COMPUTED_VALUE"""),27.6)</f>
        <v>27.6</v>
      </c>
      <c r="P2361" s="4">
        <f>IFERROR(__xludf.DUMMYFUNCTION("""COMPUTED_VALUE"""),11.0)</f>
        <v>11</v>
      </c>
      <c r="Q2361" s="4">
        <f>IFERROR(__xludf.DUMMYFUNCTION("""COMPUTED_VALUE"""),2.2)</f>
        <v>2.2</v>
      </c>
      <c r="R2361" s="4">
        <f>IFERROR(__xludf.DUMMYFUNCTION("""COMPUTED_VALUE"""),5.9)</f>
        <v>5.9</v>
      </c>
      <c r="S2361" s="4">
        <f>IFERROR(__xludf.DUMMYFUNCTION("""COMPUTED_VALUE"""),32.9)</f>
        <v>32.9</v>
      </c>
      <c r="T2361" s="4">
        <f>IFERROR(__xludf.DUMMYFUNCTION("""COMPUTED_VALUE"""),0.075)</f>
        <v>0.075</v>
      </c>
      <c r="U2361" s="4">
        <f>IFERROR(__xludf.DUMMYFUNCTION("""COMPUTED_VALUE"""),-0.3)</f>
        <v>-0.3</v>
      </c>
      <c r="V2361" s="4">
        <f>IFERROR(__xludf.DUMMYFUNCTION("""COMPUTED_VALUE"""),9.2)</f>
        <v>9.2</v>
      </c>
    </row>
    <row r="2362">
      <c r="A2362" s="4">
        <f>IFERROR(__xludf.DUMMYFUNCTION("""COMPUTED_VALUE"""),29.0)</f>
        <v>29</v>
      </c>
      <c r="B2362" s="4">
        <f>IFERROR(__xludf.DUMMYFUNCTION("""COMPUTED_VALUE"""),29.0)</f>
        <v>29</v>
      </c>
      <c r="C2362" s="4" t="str">
        <f>IFERROR(__xludf.DUMMYFUNCTION("""COMPUTED_VALUE"""),"CHH")</f>
        <v>CHH</v>
      </c>
      <c r="D2362" s="4" t="str">
        <f>IFERROR(__xludf.DUMMYFUNCTION("""COMPUTED_VALUE"""),"Dyron Nix")</f>
        <v>Dyron Nix</v>
      </c>
      <c r="E2362" s="4" t="str">
        <f>IFERROR(__xludf.DUMMYFUNCTION("""COMPUTED_VALUE"""),"Tennessee")</f>
        <v>Tennessee</v>
      </c>
      <c r="F2362" s="4">
        <f>IFERROR(__xludf.DUMMYFUNCTION("""COMPUTED_VALUE"""),1.0)</f>
        <v>1</v>
      </c>
      <c r="G2362" s="4">
        <f>IFERROR(__xludf.DUMMYFUNCTION("""COMPUTED_VALUE"""),20.0)</f>
        <v>20</v>
      </c>
      <c r="H2362" s="4">
        <f>IFERROR(__xludf.DUMMYFUNCTION("""COMPUTED_VALUE"""),109.0)</f>
        <v>109</v>
      </c>
      <c r="I2362" s="4">
        <f>IFERROR(__xludf.DUMMYFUNCTION("""COMPUTED_VALUE"""),39.0)</f>
        <v>39</v>
      </c>
      <c r="J2362" s="4">
        <f>IFERROR(__xludf.DUMMYFUNCTION("""COMPUTED_VALUE"""),26.0)</f>
        <v>26</v>
      </c>
      <c r="K2362" s="4">
        <f>IFERROR(__xludf.DUMMYFUNCTION("""COMPUTED_VALUE"""),5.0)</f>
        <v>5</v>
      </c>
      <c r="L2362" s="4">
        <f>IFERROR(__xludf.DUMMYFUNCTION("""COMPUTED_VALUE"""),0.359)</f>
        <v>0.359</v>
      </c>
      <c r="M2362" s="4"/>
      <c r="N2362" s="4">
        <f>IFERROR(__xludf.DUMMYFUNCTION("""COMPUTED_VALUE"""),0.688)</f>
        <v>0.688</v>
      </c>
      <c r="O2362" s="4">
        <f>IFERROR(__xludf.DUMMYFUNCTION("""COMPUTED_VALUE"""),5.5)</f>
        <v>5.5</v>
      </c>
      <c r="P2362" s="4">
        <f>IFERROR(__xludf.DUMMYFUNCTION("""COMPUTED_VALUE"""),2.0)</f>
        <v>2</v>
      </c>
      <c r="Q2362" s="4">
        <f>IFERROR(__xludf.DUMMYFUNCTION("""COMPUTED_VALUE"""),1.3)</f>
        <v>1.3</v>
      </c>
      <c r="R2362" s="4">
        <f>IFERROR(__xludf.DUMMYFUNCTION("""COMPUTED_VALUE"""),0.3)</f>
        <v>0.3</v>
      </c>
      <c r="S2362" s="4">
        <f>IFERROR(__xludf.DUMMYFUNCTION("""COMPUTED_VALUE"""),0.0)</f>
        <v>0</v>
      </c>
      <c r="T2362" s="4">
        <f>IFERROR(__xludf.DUMMYFUNCTION("""COMPUTED_VALUE"""),-0.015)</f>
        <v>-0.015</v>
      </c>
      <c r="U2362" s="4">
        <f>IFERROR(__xludf.DUMMYFUNCTION("""COMPUTED_VALUE"""),-5.8)</f>
        <v>-5.8</v>
      </c>
      <c r="V2362" s="4">
        <f>IFERROR(__xludf.DUMMYFUNCTION("""COMPUTED_VALUE"""),-0.1)</f>
        <v>-0.1</v>
      </c>
    </row>
    <row r="2363">
      <c r="A2363" s="4">
        <f>IFERROR(__xludf.DUMMYFUNCTION("""COMPUTED_VALUE"""),30.0)</f>
        <v>30</v>
      </c>
      <c r="B2363" s="4">
        <f>IFERROR(__xludf.DUMMYFUNCTION("""COMPUTED_VALUE"""),30.0)</f>
        <v>30</v>
      </c>
      <c r="C2363" s="4" t="str">
        <f>IFERROR(__xludf.DUMMYFUNCTION("""COMPUTED_VALUE"""),"MIL")</f>
        <v>MIL</v>
      </c>
      <c r="D2363" s="4" t="str">
        <f>IFERROR(__xludf.DUMMYFUNCTION("""COMPUTED_VALUE"""),"Frank Kornet")</f>
        <v>Frank Kornet</v>
      </c>
      <c r="E2363" s="4" t="str">
        <f>IFERROR(__xludf.DUMMYFUNCTION("""COMPUTED_VALUE"""),"Vanderbilt")</f>
        <v>Vanderbilt</v>
      </c>
      <c r="F2363" s="4">
        <f>IFERROR(__xludf.DUMMYFUNCTION("""COMPUTED_VALUE"""),2.0)</f>
        <v>2</v>
      </c>
      <c r="G2363" s="4">
        <f>IFERROR(__xludf.DUMMYFUNCTION("""COMPUTED_VALUE"""),89.0)</f>
        <v>89</v>
      </c>
      <c r="H2363" s="4">
        <f>IFERROR(__xludf.DUMMYFUNCTION("""COMPUTED_VALUE"""),595.0)</f>
        <v>595</v>
      </c>
      <c r="I2363" s="4">
        <f>IFERROR(__xludf.DUMMYFUNCTION("""COMPUTED_VALUE"""),171.0)</f>
        <v>171</v>
      </c>
      <c r="J2363" s="4">
        <f>IFERROR(__xludf.DUMMYFUNCTION("""COMPUTED_VALUE"""),95.0)</f>
        <v>95</v>
      </c>
      <c r="K2363" s="4">
        <f>IFERROR(__xludf.DUMMYFUNCTION("""COMPUTED_VALUE"""),30.0)</f>
        <v>30</v>
      </c>
      <c r="L2363" s="4">
        <f>IFERROR(__xludf.DUMMYFUNCTION("""COMPUTED_VALUE"""),0.369)</f>
        <v>0.369</v>
      </c>
      <c r="M2363" s="4">
        <f>IFERROR(__xludf.DUMMYFUNCTION("""COMPUTED_VALUE"""),0.263)</f>
        <v>0.263</v>
      </c>
      <c r="N2363" s="4">
        <f>IFERROR(__xludf.DUMMYFUNCTION("""COMPUTED_VALUE"""),0.596)</f>
        <v>0.596</v>
      </c>
      <c r="O2363" s="4">
        <f>IFERROR(__xludf.DUMMYFUNCTION("""COMPUTED_VALUE"""),6.7)</f>
        <v>6.7</v>
      </c>
      <c r="P2363" s="4">
        <f>IFERROR(__xludf.DUMMYFUNCTION("""COMPUTED_VALUE"""),1.9)</f>
        <v>1.9</v>
      </c>
      <c r="Q2363" s="4">
        <f>IFERROR(__xludf.DUMMYFUNCTION("""COMPUTED_VALUE"""),1.1)</f>
        <v>1.1</v>
      </c>
      <c r="R2363" s="4">
        <f>IFERROR(__xludf.DUMMYFUNCTION("""COMPUTED_VALUE"""),0.3)</f>
        <v>0.3</v>
      </c>
      <c r="S2363" s="4">
        <f>IFERROR(__xludf.DUMMYFUNCTION("""COMPUTED_VALUE"""),0.0)</f>
        <v>0</v>
      </c>
      <c r="T2363" s="4">
        <f>IFERROR(__xludf.DUMMYFUNCTION("""COMPUTED_VALUE"""),-0.004)</f>
        <v>-0.004</v>
      </c>
      <c r="U2363" s="4">
        <f>IFERROR(__xludf.DUMMYFUNCTION("""COMPUTED_VALUE"""),-6.2)</f>
        <v>-6.2</v>
      </c>
      <c r="V2363" s="4">
        <f>IFERROR(__xludf.DUMMYFUNCTION("""COMPUTED_VALUE"""),-0.6)</f>
        <v>-0.6</v>
      </c>
    </row>
    <row r="2364">
      <c r="A2364" s="4">
        <f>IFERROR(__xludf.DUMMYFUNCTION("""COMPUTED_VALUE"""),31.0)</f>
        <v>31</v>
      </c>
      <c r="B2364" s="4">
        <f>IFERROR(__xludf.DUMMYFUNCTION("""COMPUTED_VALUE"""),31.0)</f>
        <v>31</v>
      </c>
      <c r="C2364" s="4" t="str">
        <f>IFERROR(__xludf.DUMMYFUNCTION("""COMPUTED_VALUE"""),"LAC")</f>
        <v>LAC</v>
      </c>
      <c r="D2364" s="4" t="str">
        <f>IFERROR(__xludf.DUMMYFUNCTION("""COMPUTED_VALUE"""),"Jeff Martin")</f>
        <v>Jeff Martin</v>
      </c>
      <c r="E2364" s="4" t="str">
        <f>IFERROR(__xludf.DUMMYFUNCTION("""COMPUTED_VALUE"""),"Murray State")</f>
        <v>Murray State</v>
      </c>
      <c r="F2364" s="4">
        <f>IFERROR(__xludf.DUMMYFUNCTION("""COMPUTED_VALUE"""),2.0)</f>
        <v>2</v>
      </c>
      <c r="G2364" s="4">
        <f>IFERROR(__xludf.DUMMYFUNCTION("""COMPUTED_VALUE"""),143.0)</f>
        <v>143</v>
      </c>
      <c r="H2364" s="4">
        <f>IFERROR(__xludf.DUMMYFUNCTION("""COMPUTED_VALUE"""),2685.0)</f>
        <v>2685</v>
      </c>
      <c r="I2364" s="4">
        <f>IFERROR(__xludf.DUMMYFUNCTION("""COMPUTED_VALUE"""),956.0)</f>
        <v>956</v>
      </c>
      <c r="J2364" s="4">
        <f>IFERROR(__xludf.DUMMYFUNCTION("""COMPUTED_VALUE"""),290.0)</f>
        <v>290</v>
      </c>
      <c r="K2364" s="4">
        <f>IFERROR(__xludf.DUMMYFUNCTION("""COMPUTED_VALUE"""),109.0)</f>
        <v>109</v>
      </c>
      <c r="L2364" s="4">
        <f>IFERROR(__xludf.DUMMYFUNCTION("""COMPUTED_VALUE"""),0.417)</f>
        <v>0.417</v>
      </c>
      <c r="M2364" s="4">
        <f>IFERROR(__xludf.DUMMYFUNCTION("""COMPUTED_VALUE"""),0.282)</f>
        <v>0.282</v>
      </c>
      <c r="N2364" s="4">
        <f>IFERROR(__xludf.DUMMYFUNCTION("""COMPUTED_VALUE"""),0.694)</f>
        <v>0.694</v>
      </c>
      <c r="O2364" s="4">
        <f>IFERROR(__xludf.DUMMYFUNCTION("""COMPUTED_VALUE"""),18.8)</f>
        <v>18.8</v>
      </c>
      <c r="P2364" s="4">
        <f>IFERROR(__xludf.DUMMYFUNCTION("""COMPUTED_VALUE"""),6.7)</f>
        <v>6.7</v>
      </c>
      <c r="Q2364" s="4">
        <f>IFERROR(__xludf.DUMMYFUNCTION("""COMPUTED_VALUE"""),2.0)</f>
        <v>2</v>
      </c>
      <c r="R2364" s="4">
        <f>IFERROR(__xludf.DUMMYFUNCTION("""COMPUTED_VALUE"""),0.8)</f>
        <v>0.8</v>
      </c>
      <c r="S2364" s="4">
        <f>IFERROR(__xludf.DUMMYFUNCTION("""COMPUTED_VALUE"""),2.1)</f>
        <v>2.1</v>
      </c>
      <c r="T2364" s="4">
        <f>IFERROR(__xludf.DUMMYFUNCTION("""COMPUTED_VALUE"""),0.038)</f>
        <v>0.038</v>
      </c>
      <c r="U2364" s="4">
        <f>IFERROR(__xludf.DUMMYFUNCTION("""COMPUTED_VALUE"""),-3.2)</f>
        <v>-3.2</v>
      </c>
      <c r="V2364" s="4">
        <f>IFERROR(__xludf.DUMMYFUNCTION("""COMPUTED_VALUE"""),-0.8)</f>
        <v>-0.8</v>
      </c>
    </row>
    <row r="2365">
      <c r="A2365" s="4">
        <f>IFERROR(__xludf.DUMMYFUNCTION("""COMPUTED_VALUE"""),32.0)</f>
        <v>32</v>
      </c>
      <c r="B2365" s="4">
        <f>IFERROR(__xludf.DUMMYFUNCTION("""COMPUTED_VALUE"""),32.0)</f>
        <v>32</v>
      </c>
      <c r="C2365" s="4" t="str">
        <f>IFERROR(__xludf.DUMMYFUNCTION("""COMPUTED_VALUE"""),"NJN")</f>
        <v>NJN</v>
      </c>
      <c r="D2365" s="4" t="str">
        <f>IFERROR(__xludf.DUMMYFUNCTION("""COMPUTED_VALUE"""),"Stanley Brundy")</f>
        <v>Stanley Brundy</v>
      </c>
      <c r="E2365" s="4" t="str">
        <f>IFERROR(__xludf.DUMMYFUNCTION("""COMPUTED_VALUE"""),"DePaul")</f>
        <v>DePaul</v>
      </c>
      <c r="F2365" s="4">
        <f>IFERROR(__xludf.DUMMYFUNCTION("""COMPUTED_VALUE"""),1.0)</f>
        <v>1</v>
      </c>
      <c r="G2365" s="4">
        <f>IFERROR(__xludf.DUMMYFUNCTION("""COMPUTED_VALUE"""),16.0)</f>
        <v>16</v>
      </c>
      <c r="H2365" s="4">
        <f>IFERROR(__xludf.DUMMYFUNCTION("""COMPUTED_VALUE"""),128.0)</f>
        <v>128</v>
      </c>
      <c r="I2365" s="4">
        <f>IFERROR(__xludf.DUMMYFUNCTION("""COMPUTED_VALUE"""),37.0)</f>
        <v>37</v>
      </c>
      <c r="J2365" s="4">
        <f>IFERROR(__xludf.DUMMYFUNCTION("""COMPUTED_VALUE"""),26.0)</f>
        <v>26</v>
      </c>
      <c r="K2365" s="4">
        <f>IFERROR(__xludf.DUMMYFUNCTION("""COMPUTED_VALUE"""),3.0)</f>
        <v>3</v>
      </c>
      <c r="L2365" s="4">
        <f>IFERROR(__xludf.DUMMYFUNCTION("""COMPUTED_VALUE"""),0.5)</f>
        <v>0.5</v>
      </c>
      <c r="M2365" s="4"/>
      <c r="N2365" s="4">
        <f>IFERROR(__xludf.DUMMYFUNCTION("""COMPUTED_VALUE"""),0.389)</f>
        <v>0.389</v>
      </c>
      <c r="O2365" s="4">
        <f>IFERROR(__xludf.DUMMYFUNCTION("""COMPUTED_VALUE"""),8.0)</f>
        <v>8</v>
      </c>
      <c r="P2365" s="4">
        <f>IFERROR(__xludf.DUMMYFUNCTION("""COMPUTED_VALUE"""),2.3)</f>
        <v>2.3</v>
      </c>
      <c r="Q2365" s="4">
        <f>IFERROR(__xludf.DUMMYFUNCTION("""COMPUTED_VALUE"""),1.6)</f>
        <v>1.6</v>
      </c>
      <c r="R2365" s="4">
        <f>IFERROR(__xludf.DUMMYFUNCTION("""COMPUTED_VALUE"""),0.2)</f>
        <v>0.2</v>
      </c>
      <c r="S2365" s="4">
        <f>IFERROR(__xludf.DUMMYFUNCTION("""COMPUTED_VALUE"""),0.2)</f>
        <v>0.2</v>
      </c>
      <c r="T2365" s="4">
        <f>IFERROR(__xludf.DUMMYFUNCTION("""COMPUTED_VALUE"""),0.057)</f>
        <v>0.057</v>
      </c>
      <c r="U2365" s="4">
        <f>IFERROR(__xludf.DUMMYFUNCTION("""COMPUTED_VALUE"""),-3.1)</f>
        <v>-3.1</v>
      </c>
      <c r="V2365" s="4">
        <f>IFERROR(__xludf.DUMMYFUNCTION("""COMPUTED_VALUE"""),0.0)</f>
        <v>0</v>
      </c>
    </row>
    <row r="2366">
      <c r="A2366" s="4">
        <f>IFERROR(__xludf.DUMMYFUNCTION("""COMPUTED_VALUE"""),33.0)</f>
        <v>33</v>
      </c>
      <c r="B2366" s="4">
        <f>IFERROR(__xludf.DUMMYFUNCTION("""COMPUTED_VALUE"""),33.0)</f>
        <v>33</v>
      </c>
      <c r="C2366" s="4" t="str">
        <f>IFERROR(__xludf.DUMMYFUNCTION("""COMPUTED_VALUE"""),"LAC")</f>
        <v>LAC</v>
      </c>
      <c r="D2366" s="4" t="str">
        <f>IFERROR(__xludf.DUMMYFUNCTION("""COMPUTED_VALUE"""),"Jay Edwards")</f>
        <v>Jay Edwards</v>
      </c>
      <c r="E2366" s="4" t="str">
        <f>IFERROR(__xludf.DUMMYFUNCTION("""COMPUTED_VALUE"""),"Indiana")</f>
        <v>Indiana</v>
      </c>
      <c r="F2366" s="4">
        <f>IFERROR(__xludf.DUMMYFUNCTION("""COMPUTED_VALUE"""),1.0)</f>
        <v>1</v>
      </c>
      <c r="G2366" s="4">
        <f>IFERROR(__xludf.DUMMYFUNCTION("""COMPUTED_VALUE"""),4.0)</f>
        <v>4</v>
      </c>
      <c r="H2366" s="4">
        <f>IFERROR(__xludf.DUMMYFUNCTION("""COMPUTED_VALUE"""),26.0)</f>
        <v>26</v>
      </c>
      <c r="I2366" s="4">
        <f>IFERROR(__xludf.DUMMYFUNCTION("""COMPUTED_VALUE"""),7.0)</f>
        <v>7</v>
      </c>
      <c r="J2366" s="4">
        <f>IFERROR(__xludf.DUMMYFUNCTION("""COMPUTED_VALUE"""),2.0)</f>
        <v>2</v>
      </c>
      <c r="K2366" s="4">
        <f>IFERROR(__xludf.DUMMYFUNCTION("""COMPUTED_VALUE"""),4.0)</f>
        <v>4</v>
      </c>
      <c r="L2366" s="4">
        <f>IFERROR(__xludf.DUMMYFUNCTION("""COMPUTED_VALUE"""),0.429)</f>
        <v>0.429</v>
      </c>
      <c r="M2366" s="4">
        <f>IFERROR(__xludf.DUMMYFUNCTION("""COMPUTED_VALUE"""),0.0)</f>
        <v>0</v>
      </c>
      <c r="N2366" s="4">
        <f>IFERROR(__xludf.DUMMYFUNCTION("""COMPUTED_VALUE"""),0.333)</f>
        <v>0.333</v>
      </c>
      <c r="O2366" s="4">
        <f>IFERROR(__xludf.DUMMYFUNCTION("""COMPUTED_VALUE"""),6.5)</f>
        <v>6.5</v>
      </c>
      <c r="P2366" s="4">
        <f>IFERROR(__xludf.DUMMYFUNCTION("""COMPUTED_VALUE"""),1.8)</f>
        <v>1.8</v>
      </c>
      <c r="Q2366" s="4">
        <f>IFERROR(__xludf.DUMMYFUNCTION("""COMPUTED_VALUE"""),0.5)</f>
        <v>0.5</v>
      </c>
      <c r="R2366" s="4">
        <f>IFERROR(__xludf.DUMMYFUNCTION("""COMPUTED_VALUE"""),1.0)</f>
        <v>1</v>
      </c>
      <c r="S2366" s="4">
        <f>IFERROR(__xludf.DUMMYFUNCTION("""COMPUTED_VALUE"""),0.0)</f>
        <v>0</v>
      </c>
      <c r="T2366" s="4">
        <f>IFERROR(__xludf.DUMMYFUNCTION("""COMPUTED_VALUE"""),0.022)</f>
        <v>0.022</v>
      </c>
      <c r="U2366" s="4">
        <f>IFERROR(__xludf.DUMMYFUNCTION("""COMPUTED_VALUE"""),-4.0)</f>
        <v>-4</v>
      </c>
      <c r="V2366" s="4">
        <f>IFERROR(__xludf.DUMMYFUNCTION("""COMPUTED_VALUE"""),0.0)</f>
        <v>0</v>
      </c>
    </row>
    <row r="2367">
      <c r="A2367" s="4">
        <f>IFERROR(__xludf.DUMMYFUNCTION("""COMPUTED_VALUE"""),34.0)</f>
        <v>34</v>
      </c>
      <c r="B2367" s="4">
        <f>IFERROR(__xludf.DUMMYFUNCTION("""COMPUTED_VALUE"""),34.0)</f>
        <v>34</v>
      </c>
      <c r="C2367" s="4" t="str">
        <f>IFERROR(__xludf.DUMMYFUNCTION("""COMPUTED_VALUE"""),"MIN")</f>
        <v>MIN</v>
      </c>
      <c r="D2367" s="4" t="str">
        <f>IFERROR(__xludf.DUMMYFUNCTION("""COMPUTED_VALUE"""),"Gary Leonard")</f>
        <v>Gary Leonard</v>
      </c>
      <c r="E2367" s="4" t="str">
        <f>IFERROR(__xludf.DUMMYFUNCTION("""COMPUTED_VALUE"""),"Missouri")</f>
        <v>Missouri</v>
      </c>
      <c r="F2367" s="4">
        <f>IFERROR(__xludf.DUMMYFUNCTION("""COMPUTED_VALUE"""),3.0)</f>
        <v>3</v>
      </c>
      <c r="G2367" s="4">
        <f>IFERROR(__xludf.DUMMYFUNCTION("""COMPUTED_VALUE"""),31.0)</f>
        <v>31</v>
      </c>
      <c r="H2367" s="4">
        <f>IFERROR(__xludf.DUMMYFUNCTION("""COMPUTED_VALUE"""),149.0)</f>
        <v>149</v>
      </c>
      <c r="I2367" s="4">
        <f>IFERROR(__xludf.DUMMYFUNCTION("""COMPUTED_VALUE"""),44.0)</f>
        <v>44</v>
      </c>
      <c r="J2367" s="4">
        <f>IFERROR(__xludf.DUMMYFUNCTION("""COMPUTED_VALUE"""),34.0)</f>
        <v>34</v>
      </c>
      <c r="K2367" s="4">
        <f>IFERROR(__xludf.DUMMYFUNCTION("""COMPUTED_VALUE"""),2.0)</f>
        <v>2</v>
      </c>
      <c r="L2367" s="4">
        <f>IFERROR(__xludf.DUMMYFUNCTION("""COMPUTED_VALUE"""),0.459)</f>
        <v>0.459</v>
      </c>
      <c r="M2367" s="4">
        <f>IFERROR(__xludf.DUMMYFUNCTION("""COMPUTED_VALUE"""),0.0)</f>
        <v>0</v>
      </c>
      <c r="N2367" s="4">
        <f>IFERROR(__xludf.DUMMYFUNCTION("""COMPUTED_VALUE"""),0.5)</f>
        <v>0.5</v>
      </c>
      <c r="O2367" s="4">
        <f>IFERROR(__xludf.DUMMYFUNCTION("""COMPUTED_VALUE"""),4.8)</f>
        <v>4.8</v>
      </c>
      <c r="P2367" s="4">
        <f>IFERROR(__xludf.DUMMYFUNCTION("""COMPUTED_VALUE"""),1.4)</f>
        <v>1.4</v>
      </c>
      <c r="Q2367" s="4">
        <f>IFERROR(__xludf.DUMMYFUNCTION("""COMPUTED_VALUE"""),1.1)</f>
        <v>1.1</v>
      </c>
      <c r="R2367" s="4">
        <f>IFERROR(__xludf.DUMMYFUNCTION("""COMPUTED_VALUE"""),0.1)</f>
        <v>0.1</v>
      </c>
      <c r="S2367" s="4">
        <f>IFERROR(__xludf.DUMMYFUNCTION("""COMPUTED_VALUE"""),0.1)</f>
        <v>0.1</v>
      </c>
      <c r="T2367" s="4">
        <f>IFERROR(__xludf.DUMMYFUNCTION("""COMPUTED_VALUE"""),0.029)</f>
        <v>0.029</v>
      </c>
      <c r="U2367" s="4">
        <f>IFERROR(__xludf.DUMMYFUNCTION("""COMPUTED_VALUE"""),-6.9)</f>
        <v>-6.9</v>
      </c>
      <c r="V2367" s="4">
        <f>IFERROR(__xludf.DUMMYFUNCTION("""COMPUTED_VALUE"""),-0.2)</f>
        <v>-0.2</v>
      </c>
    </row>
    <row r="2368">
      <c r="A2368" s="4">
        <f>IFERROR(__xludf.DUMMYFUNCTION("""COMPUTED_VALUE"""),35.0)</f>
        <v>35</v>
      </c>
      <c r="B2368" s="4">
        <f>IFERROR(__xludf.DUMMYFUNCTION("""COMPUTED_VALUE"""),35.0)</f>
        <v>35</v>
      </c>
      <c r="C2368" s="4" t="str">
        <f>IFERROR(__xludf.DUMMYFUNCTION("""COMPUTED_VALUE"""),"DAL")</f>
        <v>DAL</v>
      </c>
      <c r="D2368" s="4" t="str">
        <f>IFERROR(__xludf.DUMMYFUNCTION("""COMPUTED_VALUE"""),"Pat Durham")</f>
        <v>Pat Durham</v>
      </c>
      <c r="E2368" s="4" t="str">
        <f>IFERROR(__xludf.DUMMYFUNCTION("""COMPUTED_VALUE"""),"Colorado State")</f>
        <v>Colorado State</v>
      </c>
      <c r="F2368" s="4">
        <f>IFERROR(__xludf.DUMMYFUNCTION("""COMPUTED_VALUE"""),2.0)</f>
        <v>2</v>
      </c>
      <c r="G2368" s="4">
        <f>IFERROR(__xludf.DUMMYFUNCTION("""COMPUTED_VALUE"""),64.0)</f>
        <v>64</v>
      </c>
      <c r="H2368" s="4">
        <f>IFERROR(__xludf.DUMMYFUNCTION("""COMPUTED_VALUE"""),930.0)</f>
        <v>930</v>
      </c>
      <c r="I2368" s="4">
        <f>IFERROR(__xludf.DUMMYFUNCTION("""COMPUTED_VALUE"""),323.0)</f>
        <v>323</v>
      </c>
      <c r="J2368" s="4">
        <f>IFERROR(__xludf.DUMMYFUNCTION("""COMPUTED_VALUE"""),108.0)</f>
        <v>108</v>
      </c>
      <c r="K2368" s="4">
        <f>IFERROR(__xludf.DUMMYFUNCTION("""COMPUTED_VALUE"""),57.0)</f>
        <v>57</v>
      </c>
      <c r="L2368" s="4">
        <f>IFERROR(__xludf.DUMMYFUNCTION("""COMPUTED_VALUE"""),0.469)</f>
        <v>0.469</v>
      </c>
      <c r="M2368" s="4">
        <f>IFERROR(__xludf.DUMMYFUNCTION("""COMPUTED_VALUE"""),0.192)</f>
        <v>0.192</v>
      </c>
      <c r="N2368" s="4">
        <f>IFERROR(__xludf.DUMMYFUNCTION("""COMPUTED_VALUE"""),0.667)</f>
        <v>0.667</v>
      </c>
      <c r="O2368" s="4">
        <f>IFERROR(__xludf.DUMMYFUNCTION("""COMPUTED_VALUE"""),14.5)</f>
        <v>14.5</v>
      </c>
      <c r="P2368" s="4">
        <f>IFERROR(__xludf.DUMMYFUNCTION("""COMPUTED_VALUE"""),5.0)</f>
        <v>5</v>
      </c>
      <c r="Q2368" s="4">
        <f>IFERROR(__xludf.DUMMYFUNCTION("""COMPUTED_VALUE"""),1.7)</f>
        <v>1.7</v>
      </c>
      <c r="R2368" s="4">
        <f>IFERROR(__xludf.DUMMYFUNCTION("""COMPUTED_VALUE"""),0.9)</f>
        <v>0.9</v>
      </c>
      <c r="S2368" s="4">
        <f>IFERROR(__xludf.DUMMYFUNCTION("""COMPUTED_VALUE"""),0.7)</f>
        <v>0.7</v>
      </c>
      <c r="T2368" s="4">
        <f>IFERROR(__xludf.DUMMYFUNCTION("""COMPUTED_VALUE"""),0.037)</f>
        <v>0.037</v>
      </c>
      <c r="U2368" s="4">
        <f>IFERROR(__xludf.DUMMYFUNCTION("""COMPUTED_VALUE"""),-2.0)</f>
        <v>-2</v>
      </c>
      <c r="V2368" s="4">
        <f>IFERROR(__xludf.DUMMYFUNCTION("""COMPUTED_VALUE"""),0.0)</f>
        <v>0</v>
      </c>
    </row>
    <row r="2369">
      <c r="A2369" s="4">
        <f>IFERROR(__xludf.DUMMYFUNCTION("""COMPUTED_VALUE"""),36.0)</f>
        <v>36</v>
      </c>
      <c r="B2369" s="4">
        <f>IFERROR(__xludf.DUMMYFUNCTION("""COMPUTED_VALUE"""),36.0)</f>
        <v>36</v>
      </c>
      <c r="C2369" s="4" t="str">
        <f>IFERROR(__xludf.DUMMYFUNCTION("""COMPUTED_VALUE"""),"POR")</f>
        <v>POR</v>
      </c>
      <c r="D2369" s="4" t="str">
        <f>IFERROR(__xludf.DUMMYFUNCTION("""COMPUTED_VALUE"""),"Clifford Robinson")</f>
        <v>Clifford Robinson</v>
      </c>
      <c r="E2369" s="4" t="str">
        <f>IFERROR(__xludf.DUMMYFUNCTION("""COMPUTED_VALUE"""),"UConn")</f>
        <v>UConn</v>
      </c>
      <c r="F2369" s="4">
        <f>IFERROR(__xludf.DUMMYFUNCTION("""COMPUTED_VALUE"""),18.0)</f>
        <v>18</v>
      </c>
      <c r="G2369" s="4">
        <f>IFERROR(__xludf.DUMMYFUNCTION("""COMPUTED_VALUE"""),1380.0)</f>
        <v>1380</v>
      </c>
      <c r="H2369" s="4">
        <f>IFERROR(__xludf.DUMMYFUNCTION("""COMPUTED_VALUE"""),42561.0)</f>
        <v>42561</v>
      </c>
      <c r="I2369" s="4">
        <f>IFERROR(__xludf.DUMMYFUNCTION("""COMPUTED_VALUE"""),19591.0)</f>
        <v>19591</v>
      </c>
      <c r="J2369" s="4">
        <f>IFERROR(__xludf.DUMMYFUNCTION("""COMPUTED_VALUE"""),6306.0)</f>
        <v>6306</v>
      </c>
      <c r="K2369" s="4">
        <f>IFERROR(__xludf.DUMMYFUNCTION("""COMPUTED_VALUE"""),3094.0)</f>
        <v>3094</v>
      </c>
      <c r="L2369" s="4">
        <f>IFERROR(__xludf.DUMMYFUNCTION("""COMPUTED_VALUE"""),0.438)</f>
        <v>0.438</v>
      </c>
      <c r="M2369" s="4">
        <f>IFERROR(__xludf.DUMMYFUNCTION("""COMPUTED_VALUE"""),0.356)</f>
        <v>0.356</v>
      </c>
      <c r="N2369" s="4">
        <f>IFERROR(__xludf.DUMMYFUNCTION("""COMPUTED_VALUE"""),0.689)</f>
        <v>0.689</v>
      </c>
      <c r="O2369" s="4">
        <f>IFERROR(__xludf.DUMMYFUNCTION("""COMPUTED_VALUE"""),30.8)</f>
        <v>30.8</v>
      </c>
      <c r="P2369" s="4">
        <f>IFERROR(__xludf.DUMMYFUNCTION("""COMPUTED_VALUE"""),14.2)</f>
        <v>14.2</v>
      </c>
      <c r="Q2369" s="4">
        <f>IFERROR(__xludf.DUMMYFUNCTION("""COMPUTED_VALUE"""),4.6)</f>
        <v>4.6</v>
      </c>
      <c r="R2369" s="4">
        <f>IFERROR(__xludf.DUMMYFUNCTION("""COMPUTED_VALUE"""),2.2)</f>
        <v>2.2</v>
      </c>
      <c r="S2369" s="4">
        <f>IFERROR(__xludf.DUMMYFUNCTION("""COMPUTED_VALUE"""),89.7)</f>
        <v>89.7</v>
      </c>
      <c r="T2369" s="4">
        <f>IFERROR(__xludf.DUMMYFUNCTION("""COMPUTED_VALUE"""),0.101)</f>
        <v>0.101</v>
      </c>
      <c r="U2369" s="4">
        <f>IFERROR(__xludf.DUMMYFUNCTION("""COMPUTED_VALUE"""),0.5)</f>
        <v>0.5</v>
      </c>
      <c r="V2369" s="4">
        <f>IFERROR(__xludf.DUMMYFUNCTION("""COMPUTED_VALUE"""),26.6)</f>
        <v>26.6</v>
      </c>
    </row>
    <row r="2370">
      <c r="A2370" s="4">
        <f>IFERROR(__xludf.DUMMYFUNCTION("""COMPUTED_VALUE"""),37.0)</f>
        <v>37</v>
      </c>
      <c r="B2370" s="4">
        <f>IFERROR(__xludf.DUMMYFUNCTION("""COMPUTED_VALUE"""),37.0)</f>
        <v>37</v>
      </c>
      <c r="C2370" s="4" t="str">
        <f>IFERROR(__xludf.DUMMYFUNCTION("""COMPUTED_VALUE"""),"ORL")</f>
        <v>ORL</v>
      </c>
      <c r="D2370" s="4" t="str">
        <f>IFERROR(__xludf.DUMMYFUNCTION("""COMPUTED_VALUE"""),"Michael Ansley")</f>
        <v>Michael Ansley</v>
      </c>
      <c r="E2370" s="4" t="str">
        <f>IFERROR(__xludf.DUMMYFUNCTION("""COMPUTED_VALUE"""),"Alabama")</f>
        <v>Alabama</v>
      </c>
      <c r="F2370" s="4">
        <f>IFERROR(__xludf.DUMMYFUNCTION("""COMPUTED_VALUE"""),3.0)</f>
        <v>3</v>
      </c>
      <c r="G2370" s="4">
        <f>IFERROR(__xludf.DUMMYFUNCTION("""COMPUTED_VALUE"""),149.0)</f>
        <v>149</v>
      </c>
      <c r="H2370" s="4">
        <f>IFERROR(__xludf.DUMMYFUNCTION("""COMPUTED_VALUE"""),2143.0)</f>
        <v>2143</v>
      </c>
      <c r="I2370" s="4">
        <f>IFERROR(__xludf.DUMMYFUNCTION("""COMPUTED_VALUE"""),1026.0)</f>
        <v>1026</v>
      </c>
      <c r="J2370" s="4">
        <f>IFERROR(__xludf.DUMMYFUNCTION("""COMPUTED_VALUE"""),621.0)</f>
        <v>621</v>
      </c>
      <c r="K2370" s="4">
        <f>IFERROR(__xludf.DUMMYFUNCTION("""COMPUTED_VALUE"""),67.0)</f>
        <v>67</v>
      </c>
      <c r="L2370" s="4">
        <f>IFERROR(__xludf.DUMMYFUNCTION("""COMPUTED_VALUE"""),0.513)</f>
        <v>0.513</v>
      </c>
      <c r="M2370" s="4"/>
      <c r="N2370" s="4">
        <f>IFERROR(__xludf.DUMMYFUNCTION("""COMPUTED_VALUE"""),0.722)</f>
        <v>0.722</v>
      </c>
      <c r="O2370" s="4">
        <f>IFERROR(__xludf.DUMMYFUNCTION("""COMPUTED_VALUE"""),14.4)</f>
        <v>14.4</v>
      </c>
      <c r="P2370" s="4">
        <f>IFERROR(__xludf.DUMMYFUNCTION("""COMPUTED_VALUE"""),6.9)</f>
        <v>6.9</v>
      </c>
      <c r="Q2370" s="4">
        <f>IFERROR(__xludf.DUMMYFUNCTION("""COMPUTED_VALUE"""),4.2)</f>
        <v>4.2</v>
      </c>
      <c r="R2370" s="4">
        <f>IFERROR(__xludf.DUMMYFUNCTION("""COMPUTED_VALUE"""),0.4)</f>
        <v>0.4</v>
      </c>
      <c r="S2370" s="4">
        <f>IFERROR(__xludf.DUMMYFUNCTION("""COMPUTED_VALUE"""),6.4)</f>
        <v>6.4</v>
      </c>
      <c r="T2370" s="4">
        <f>IFERROR(__xludf.DUMMYFUNCTION("""COMPUTED_VALUE"""),0.142)</f>
        <v>0.142</v>
      </c>
      <c r="U2370" s="4">
        <f>IFERROR(__xludf.DUMMYFUNCTION("""COMPUTED_VALUE"""),-1.0)</f>
        <v>-1</v>
      </c>
      <c r="V2370" s="4">
        <f>IFERROR(__xludf.DUMMYFUNCTION("""COMPUTED_VALUE"""),0.6)</f>
        <v>0.6</v>
      </c>
    </row>
    <row r="2371">
      <c r="A2371" s="4">
        <f>IFERROR(__xludf.DUMMYFUNCTION("""COMPUTED_VALUE"""),38.0)</f>
        <v>38</v>
      </c>
      <c r="B2371" s="4">
        <f>IFERROR(__xludf.DUMMYFUNCTION("""COMPUTED_VALUE"""),38.0)</f>
        <v>38</v>
      </c>
      <c r="C2371" s="4" t="str">
        <f>IFERROR(__xludf.DUMMYFUNCTION("""COMPUTED_VALUE"""),"MIN")</f>
        <v>MIN</v>
      </c>
      <c r="D2371" s="4" t="str">
        <f>IFERROR(__xludf.DUMMYFUNCTION("""COMPUTED_VALUE"""),"Doug West")</f>
        <v>Doug West</v>
      </c>
      <c r="E2371" s="4" t="str">
        <f>IFERROR(__xludf.DUMMYFUNCTION("""COMPUTED_VALUE"""),"Villanova")</f>
        <v>Villanova</v>
      </c>
      <c r="F2371" s="4">
        <f>IFERROR(__xludf.DUMMYFUNCTION("""COMPUTED_VALUE"""),12.0)</f>
        <v>12</v>
      </c>
      <c r="G2371" s="4">
        <f>IFERROR(__xludf.DUMMYFUNCTION("""COMPUTED_VALUE"""),676.0)</f>
        <v>676</v>
      </c>
      <c r="H2371" s="4">
        <f>IFERROR(__xludf.DUMMYFUNCTION("""COMPUTED_VALUE"""),16649.0)</f>
        <v>16649</v>
      </c>
      <c r="I2371" s="4">
        <f>IFERROR(__xludf.DUMMYFUNCTION("""COMPUTED_VALUE"""),6477.0)</f>
        <v>6477</v>
      </c>
      <c r="J2371" s="4">
        <f>IFERROR(__xludf.DUMMYFUNCTION("""COMPUTED_VALUE"""),1670.0)</f>
        <v>1670</v>
      </c>
      <c r="K2371" s="4">
        <f>IFERROR(__xludf.DUMMYFUNCTION("""COMPUTED_VALUE"""),1292.0)</f>
        <v>1292</v>
      </c>
      <c r="L2371" s="4">
        <f>IFERROR(__xludf.DUMMYFUNCTION("""COMPUTED_VALUE"""),0.481)</f>
        <v>0.481</v>
      </c>
      <c r="M2371" s="4">
        <f>IFERROR(__xludf.DUMMYFUNCTION("""COMPUTED_VALUE"""),0.191)</f>
        <v>0.191</v>
      </c>
      <c r="N2371" s="4">
        <f>IFERROR(__xludf.DUMMYFUNCTION("""COMPUTED_VALUE"""),0.801)</f>
        <v>0.801</v>
      </c>
      <c r="O2371" s="4">
        <f>IFERROR(__xludf.DUMMYFUNCTION("""COMPUTED_VALUE"""),24.6)</f>
        <v>24.6</v>
      </c>
      <c r="P2371" s="4">
        <f>IFERROR(__xludf.DUMMYFUNCTION("""COMPUTED_VALUE"""),9.6)</f>
        <v>9.6</v>
      </c>
      <c r="Q2371" s="4">
        <f>IFERROR(__xludf.DUMMYFUNCTION("""COMPUTED_VALUE"""),2.5)</f>
        <v>2.5</v>
      </c>
      <c r="R2371" s="4">
        <f>IFERROR(__xludf.DUMMYFUNCTION("""COMPUTED_VALUE"""),1.9)</f>
        <v>1.9</v>
      </c>
      <c r="S2371" s="4">
        <f>IFERROR(__xludf.DUMMYFUNCTION("""COMPUTED_VALUE"""),17.7)</f>
        <v>17.7</v>
      </c>
      <c r="T2371" s="4">
        <f>IFERROR(__xludf.DUMMYFUNCTION("""COMPUTED_VALUE"""),0.051)</f>
        <v>0.051</v>
      </c>
      <c r="U2371" s="4">
        <f>IFERROR(__xludf.DUMMYFUNCTION("""COMPUTED_VALUE"""),-3.0)</f>
        <v>-3</v>
      </c>
      <c r="V2371" s="4">
        <f>IFERROR(__xludf.DUMMYFUNCTION("""COMPUTED_VALUE"""),-4.2)</f>
        <v>-4.2</v>
      </c>
    </row>
    <row r="2372">
      <c r="A2372" s="4">
        <f>IFERROR(__xludf.DUMMYFUNCTION("""COMPUTED_VALUE"""),39.0)</f>
        <v>39</v>
      </c>
      <c r="B2372" s="4">
        <f>IFERROR(__xludf.DUMMYFUNCTION("""COMPUTED_VALUE"""),39.0)</f>
        <v>39</v>
      </c>
      <c r="C2372" s="4" t="str">
        <f>IFERROR(__xludf.DUMMYFUNCTION("""COMPUTED_VALUE"""),"WSB")</f>
        <v>WSB</v>
      </c>
      <c r="D2372" s="4" t="str">
        <f>IFERROR(__xludf.DUMMYFUNCTION("""COMPUTED_VALUE"""),"Ed Horton")</f>
        <v>Ed Horton</v>
      </c>
      <c r="E2372" s="4" t="str">
        <f>IFERROR(__xludf.DUMMYFUNCTION("""COMPUTED_VALUE"""),"Iowa")</f>
        <v>Iowa</v>
      </c>
      <c r="F2372" s="4">
        <f>IFERROR(__xludf.DUMMYFUNCTION("""COMPUTED_VALUE"""),1.0)</f>
        <v>1</v>
      </c>
      <c r="G2372" s="4">
        <f>IFERROR(__xludf.DUMMYFUNCTION("""COMPUTED_VALUE"""),45.0)</f>
        <v>45</v>
      </c>
      <c r="H2372" s="4">
        <f>IFERROR(__xludf.DUMMYFUNCTION("""COMPUTED_VALUE"""),374.0)</f>
        <v>374</v>
      </c>
      <c r="I2372" s="4">
        <f>IFERROR(__xludf.DUMMYFUNCTION("""COMPUTED_VALUE"""),202.0)</f>
        <v>202</v>
      </c>
      <c r="J2372" s="4">
        <f>IFERROR(__xludf.DUMMYFUNCTION("""COMPUTED_VALUE"""),108.0)</f>
        <v>108</v>
      </c>
      <c r="K2372" s="4">
        <f>IFERROR(__xludf.DUMMYFUNCTION("""COMPUTED_VALUE"""),19.0)</f>
        <v>19</v>
      </c>
      <c r="L2372" s="4">
        <f>IFERROR(__xludf.DUMMYFUNCTION("""COMPUTED_VALUE"""),0.494)</f>
        <v>0.494</v>
      </c>
      <c r="M2372" s="4">
        <f>IFERROR(__xludf.DUMMYFUNCTION("""COMPUTED_VALUE"""),0.0)</f>
        <v>0</v>
      </c>
      <c r="N2372" s="4">
        <f>IFERROR(__xludf.DUMMYFUNCTION("""COMPUTED_VALUE"""),0.609)</f>
        <v>0.609</v>
      </c>
      <c r="O2372" s="4">
        <f>IFERROR(__xludf.DUMMYFUNCTION("""COMPUTED_VALUE"""),8.3)</f>
        <v>8.3</v>
      </c>
      <c r="P2372" s="4">
        <f>IFERROR(__xludf.DUMMYFUNCTION("""COMPUTED_VALUE"""),4.5)</f>
        <v>4.5</v>
      </c>
      <c r="Q2372" s="4">
        <f>IFERROR(__xludf.DUMMYFUNCTION("""COMPUTED_VALUE"""),2.4)</f>
        <v>2.4</v>
      </c>
      <c r="R2372" s="4">
        <f>IFERROR(__xludf.DUMMYFUNCTION("""COMPUTED_VALUE"""),0.4)</f>
        <v>0.4</v>
      </c>
      <c r="S2372" s="4">
        <f>IFERROR(__xludf.DUMMYFUNCTION("""COMPUTED_VALUE"""),0.4)</f>
        <v>0.4</v>
      </c>
      <c r="T2372" s="4">
        <f>IFERROR(__xludf.DUMMYFUNCTION("""COMPUTED_VALUE"""),0.05)</f>
        <v>0.05</v>
      </c>
      <c r="U2372" s="4">
        <f>IFERROR(__xludf.DUMMYFUNCTION("""COMPUTED_VALUE"""),-4.9)</f>
        <v>-4.9</v>
      </c>
      <c r="V2372" s="4">
        <f>IFERROR(__xludf.DUMMYFUNCTION("""COMPUTED_VALUE"""),-0.3)</f>
        <v>-0.3</v>
      </c>
    </row>
    <row r="2373">
      <c r="A2373" s="4">
        <f>IFERROR(__xludf.DUMMYFUNCTION("""COMPUTED_VALUE"""),40.0)</f>
        <v>40</v>
      </c>
      <c r="B2373" s="4">
        <f>IFERROR(__xludf.DUMMYFUNCTION("""COMPUTED_VALUE"""),40.0)</f>
        <v>40</v>
      </c>
      <c r="C2373" s="4" t="str">
        <f>IFERROR(__xludf.DUMMYFUNCTION("""COMPUTED_VALUE"""),"BOS")</f>
        <v>BOS</v>
      </c>
      <c r="D2373" s="4" t="str">
        <f>IFERROR(__xludf.DUMMYFUNCTION("""COMPUTED_VALUE"""),"Dino Radja")</f>
        <v>Dino Radja</v>
      </c>
      <c r="E2373" s="4"/>
      <c r="F2373" s="4">
        <f>IFERROR(__xludf.DUMMYFUNCTION("""COMPUTED_VALUE"""),4.0)</f>
        <v>4</v>
      </c>
      <c r="G2373" s="4">
        <f>IFERROR(__xludf.DUMMYFUNCTION("""COMPUTED_VALUE"""),224.0)</f>
        <v>224</v>
      </c>
      <c r="H2373" s="4">
        <f>IFERROR(__xludf.DUMMYFUNCTION("""COMPUTED_VALUE"""),7308.0)</f>
        <v>7308</v>
      </c>
      <c r="I2373" s="4">
        <f>IFERROR(__xludf.DUMMYFUNCTION("""COMPUTED_VALUE"""),3733.0)</f>
        <v>3733</v>
      </c>
      <c r="J2373" s="4">
        <f>IFERROR(__xludf.DUMMYFUNCTION("""COMPUTED_VALUE"""),1883.0)</f>
        <v>1883</v>
      </c>
      <c r="K2373" s="4">
        <f>IFERROR(__xludf.DUMMYFUNCTION("""COMPUTED_VALUE"""),356.0)</f>
        <v>356</v>
      </c>
      <c r="L2373" s="4">
        <f>IFERROR(__xludf.DUMMYFUNCTION("""COMPUTED_VALUE"""),0.497)</f>
        <v>0.497</v>
      </c>
      <c r="M2373" s="4">
        <f>IFERROR(__xludf.DUMMYFUNCTION("""COMPUTED_VALUE"""),0.0)</f>
        <v>0</v>
      </c>
      <c r="N2373" s="4">
        <f>IFERROR(__xludf.DUMMYFUNCTION("""COMPUTED_VALUE"""),0.735)</f>
        <v>0.735</v>
      </c>
      <c r="O2373" s="4">
        <f>IFERROR(__xludf.DUMMYFUNCTION("""COMPUTED_VALUE"""),32.6)</f>
        <v>32.6</v>
      </c>
      <c r="P2373" s="4">
        <f>IFERROR(__xludf.DUMMYFUNCTION("""COMPUTED_VALUE"""),16.7)</f>
        <v>16.7</v>
      </c>
      <c r="Q2373" s="4">
        <f>IFERROR(__xludf.DUMMYFUNCTION("""COMPUTED_VALUE"""),8.4)</f>
        <v>8.4</v>
      </c>
      <c r="R2373" s="4">
        <f>IFERROR(__xludf.DUMMYFUNCTION("""COMPUTED_VALUE"""),1.6)</f>
        <v>1.6</v>
      </c>
      <c r="S2373" s="4">
        <f>IFERROR(__xludf.DUMMYFUNCTION("""COMPUTED_VALUE"""),14.3)</f>
        <v>14.3</v>
      </c>
      <c r="T2373" s="4">
        <f>IFERROR(__xludf.DUMMYFUNCTION("""COMPUTED_VALUE"""),0.094)</f>
        <v>0.094</v>
      </c>
      <c r="U2373" s="4">
        <f>IFERROR(__xludf.DUMMYFUNCTION("""COMPUTED_VALUE"""),-0.4)</f>
        <v>-0.4</v>
      </c>
      <c r="V2373" s="4">
        <f>IFERROR(__xludf.DUMMYFUNCTION("""COMPUTED_VALUE"""),3.0)</f>
        <v>3</v>
      </c>
    </row>
    <row r="2374">
      <c r="A2374" s="4">
        <f>IFERROR(__xludf.DUMMYFUNCTION("""COMPUTED_VALUE"""),41.0)</f>
        <v>41</v>
      </c>
      <c r="B2374" s="4">
        <f>IFERROR(__xludf.DUMMYFUNCTION("""COMPUTED_VALUE"""),41.0)</f>
        <v>41</v>
      </c>
      <c r="C2374" s="4" t="str">
        <f>IFERROR(__xludf.DUMMYFUNCTION("""COMPUTED_VALUE"""),"WSB")</f>
        <v>WSB</v>
      </c>
      <c r="D2374" s="4" t="str">
        <f>IFERROR(__xludf.DUMMYFUNCTION("""COMPUTED_VALUE"""),"Doug Roth")</f>
        <v>Doug Roth</v>
      </c>
      <c r="E2374" s="4" t="str">
        <f>IFERROR(__xludf.DUMMYFUNCTION("""COMPUTED_VALUE"""),"Tennessee")</f>
        <v>Tennessee</v>
      </c>
      <c r="F2374" s="4">
        <f>IFERROR(__xludf.DUMMYFUNCTION("""COMPUTED_VALUE"""),1.0)</f>
        <v>1</v>
      </c>
      <c r="G2374" s="4">
        <f>IFERROR(__xludf.DUMMYFUNCTION("""COMPUTED_VALUE"""),42.0)</f>
        <v>42</v>
      </c>
      <c r="H2374" s="4">
        <f>IFERROR(__xludf.DUMMYFUNCTION("""COMPUTED_VALUE"""),412.0)</f>
        <v>412</v>
      </c>
      <c r="I2374" s="4">
        <f>IFERROR(__xludf.DUMMYFUNCTION("""COMPUTED_VALUE"""),81.0)</f>
        <v>81</v>
      </c>
      <c r="J2374" s="4">
        <f>IFERROR(__xludf.DUMMYFUNCTION("""COMPUTED_VALUE"""),120.0)</f>
        <v>120</v>
      </c>
      <c r="K2374" s="4">
        <f>IFERROR(__xludf.DUMMYFUNCTION("""COMPUTED_VALUE"""),20.0)</f>
        <v>20</v>
      </c>
      <c r="L2374" s="4">
        <f>IFERROR(__xludf.DUMMYFUNCTION("""COMPUTED_VALUE"""),0.43)</f>
        <v>0.43</v>
      </c>
      <c r="M2374" s="4">
        <f>IFERROR(__xludf.DUMMYFUNCTION("""COMPUTED_VALUE"""),0.0)</f>
        <v>0</v>
      </c>
      <c r="N2374" s="4">
        <f>IFERROR(__xludf.DUMMYFUNCTION("""COMPUTED_VALUE"""),0.5)</f>
        <v>0.5</v>
      </c>
      <c r="O2374" s="4">
        <f>IFERROR(__xludf.DUMMYFUNCTION("""COMPUTED_VALUE"""),9.8)</f>
        <v>9.8</v>
      </c>
      <c r="P2374" s="4">
        <f>IFERROR(__xludf.DUMMYFUNCTION("""COMPUTED_VALUE"""),1.9)</f>
        <v>1.9</v>
      </c>
      <c r="Q2374" s="4">
        <f>IFERROR(__xludf.DUMMYFUNCTION("""COMPUTED_VALUE"""),2.9)</f>
        <v>2.9</v>
      </c>
      <c r="R2374" s="4">
        <f>IFERROR(__xludf.DUMMYFUNCTION("""COMPUTED_VALUE"""),0.5)</f>
        <v>0.5</v>
      </c>
      <c r="S2374" s="4">
        <f>IFERROR(__xludf.DUMMYFUNCTION("""COMPUTED_VALUE"""),0.4)</f>
        <v>0.4</v>
      </c>
      <c r="T2374" s="4">
        <f>IFERROR(__xludf.DUMMYFUNCTION("""COMPUTED_VALUE"""),0.052)</f>
        <v>0.052</v>
      </c>
      <c r="U2374" s="4">
        <f>IFERROR(__xludf.DUMMYFUNCTION("""COMPUTED_VALUE"""),-5.3)</f>
        <v>-5.3</v>
      </c>
      <c r="V2374" s="4">
        <f>IFERROR(__xludf.DUMMYFUNCTION("""COMPUTED_VALUE"""),-0.3)</f>
        <v>-0.3</v>
      </c>
    </row>
    <row r="2375">
      <c r="A2375" s="4">
        <f>IFERROR(__xludf.DUMMYFUNCTION("""COMPUTED_VALUE"""),42.0)</f>
        <v>42</v>
      </c>
      <c r="B2375" s="4">
        <f>IFERROR(__xludf.DUMMYFUNCTION("""COMPUTED_VALUE"""),42.0)</f>
        <v>42</v>
      </c>
      <c r="C2375" s="4" t="str">
        <f>IFERROR(__xludf.DUMMYFUNCTION("""COMPUTED_VALUE"""),"DEN")</f>
        <v>DEN</v>
      </c>
      <c r="D2375" s="4" t="str">
        <f>IFERROR(__xludf.DUMMYFUNCTION("""COMPUTED_VALUE"""),"Michael Cutright")</f>
        <v>Michael Cutright</v>
      </c>
      <c r="E2375" s="4" t="str">
        <f>IFERROR(__xludf.DUMMYFUNCTION("""COMPUTED_VALUE"""),"McNeese State University")</f>
        <v>McNeese State University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</row>
    <row r="2376">
      <c r="A2376" s="4">
        <f>IFERROR(__xludf.DUMMYFUNCTION("""COMPUTED_VALUE"""),43.0)</f>
        <v>43</v>
      </c>
      <c r="B2376" s="4">
        <f>IFERROR(__xludf.DUMMYFUNCTION("""COMPUTED_VALUE"""),43.0)</f>
        <v>43</v>
      </c>
      <c r="C2376" s="4" t="str">
        <f>IFERROR(__xludf.DUMMYFUNCTION("""COMPUTED_VALUE"""),"CLE")</f>
        <v>CLE</v>
      </c>
      <c r="D2376" s="4" t="str">
        <f>IFERROR(__xludf.DUMMYFUNCTION("""COMPUTED_VALUE"""),"Chucky Brown")</f>
        <v>Chucky Brown</v>
      </c>
      <c r="E2376" s="4" t="str">
        <f>IFERROR(__xludf.DUMMYFUNCTION("""COMPUTED_VALUE"""),"NC State")</f>
        <v>NC State</v>
      </c>
      <c r="F2376" s="4">
        <f>IFERROR(__xludf.DUMMYFUNCTION("""COMPUTED_VALUE"""),13.0)</f>
        <v>13</v>
      </c>
      <c r="G2376" s="4">
        <f>IFERROR(__xludf.DUMMYFUNCTION("""COMPUTED_VALUE"""),694.0)</f>
        <v>694</v>
      </c>
      <c r="H2376" s="4">
        <f>IFERROR(__xludf.DUMMYFUNCTION("""COMPUTED_VALUE"""),11962.0)</f>
        <v>11962</v>
      </c>
      <c r="I2376" s="4">
        <f>IFERROR(__xludf.DUMMYFUNCTION("""COMPUTED_VALUE"""),4125.0)</f>
        <v>4125</v>
      </c>
      <c r="J2376" s="4">
        <f>IFERROR(__xludf.DUMMYFUNCTION("""COMPUTED_VALUE"""),2148.0)</f>
        <v>2148</v>
      </c>
      <c r="K2376" s="4">
        <f>IFERROR(__xludf.DUMMYFUNCTION("""COMPUTED_VALUE"""),549.0)</f>
        <v>549</v>
      </c>
      <c r="L2376" s="4">
        <f>IFERROR(__xludf.DUMMYFUNCTION("""COMPUTED_VALUE"""),0.491)</f>
        <v>0.491</v>
      </c>
      <c r="M2376" s="4">
        <f>IFERROR(__xludf.DUMMYFUNCTION("""COMPUTED_VALUE"""),0.227)</f>
        <v>0.227</v>
      </c>
      <c r="N2376" s="4">
        <f>IFERROR(__xludf.DUMMYFUNCTION("""COMPUTED_VALUE"""),0.699)</f>
        <v>0.699</v>
      </c>
      <c r="O2376" s="4">
        <f>IFERROR(__xludf.DUMMYFUNCTION("""COMPUTED_VALUE"""),17.2)</f>
        <v>17.2</v>
      </c>
      <c r="P2376" s="4">
        <f>IFERROR(__xludf.DUMMYFUNCTION("""COMPUTED_VALUE"""),5.9)</f>
        <v>5.9</v>
      </c>
      <c r="Q2376" s="4">
        <f>IFERROR(__xludf.DUMMYFUNCTION("""COMPUTED_VALUE"""),3.1)</f>
        <v>3.1</v>
      </c>
      <c r="R2376" s="4">
        <f>IFERROR(__xludf.DUMMYFUNCTION("""COMPUTED_VALUE"""),0.8)</f>
        <v>0.8</v>
      </c>
      <c r="S2376" s="4">
        <f>IFERROR(__xludf.DUMMYFUNCTION("""COMPUTED_VALUE"""),19.0)</f>
        <v>19</v>
      </c>
      <c r="T2376" s="4">
        <f>IFERROR(__xludf.DUMMYFUNCTION("""COMPUTED_VALUE"""),0.076)</f>
        <v>0.076</v>
      </c>
      <c r="U2376" s="4">
        <f>IFERROR(__xludf.DUMMYFUNCTION("""COMPUTED_VALUE"""),-2.7)</f>
        <v>-2.7</v>
      </c>
      <c r="V2376" s="4">
        <f>IFERROR(__xludf.DUMMYFUNCTION("""COMPUTED_VALUE"""),-2.0)</f>
        <v>-2</v>
      </c>
    </row>
    <row r="2377">
      <c r="A2377" s="4">
        <f>IFERROR(__xludf.DUMMYFUNCTION("""COMPUTED_VALUE"""),44.0)</f>
        <v>44</v>
      </c>
      <c r="B2377" s="4">
        <f>IFERROR(__xludf.DUMMYFUNCTION("""COMPUTED_VALUE"""),44.0)</f>
        <v>44</v>
      </c>
      <c r="C2377" s="4" t="str">
        <f>IFERROR(__xludf.DUMMYFUNCTION("""COMPUTED_VALUE"""),"PHI")</f>
        <v>PHI</v>
      </c>
      <c r="D2377" s="4" t="str">
        <f>IFERROR(__xludf.DUMMYFUNCTION("""COMPUTED_VALUE"""),"Reggie Cross")</f>
        <v>Reggie Cross</v>
      </c>
      <c r="E2377" s="4" t="str">
        <f>IFERROR(__xludf.DUMMYFUNCTION("""COMPUTED_VALUE"""),"Hawaii")</f>
        <v>Hawaii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</row>
    <row r="2378">
      <c r="A2378" s="4">
        <f>IFERROR(__xludf.DUMMYFUNCTION("""COMPUTED_VALUE"""),45.0)</f>
        <v>45</v>
      </c>
      <c r="B2378" s="4">
        <f>IFERROR(__xludf.DUMMYFUNCTION("""COMPUTED_VALUE"""),45.0)</f>
        <v>45</v>
      </c>
      <c r="C2378" s="4" t="str">
        <f>IFERROR(__xludf.DUMMYFUNCTION("""COMPUTED_VALUE"""),"MIA")</f>
        <v>MIA</v>
      </c>
      <c r="D2378" s="4" t="str">
        <f>IFERROR(__xludf.DUMMYFUNCTION("""COMPUTED_VALUE"""),"Scott Haffner")</f>
        <v>Scott Haffner</v>
      </c>
      <c r="E2378" s="4" t="str">
        <f>IFERROR(__xludf.DUMMYFUNCTION("""COMPUTED_VALUE"""),"University of Evansville")</f>
        <v>University of Evansville</v>
      </c>
      <c r="F2378" s="4">
        <f>IFERROR(__xludf.DUMMYFUNCTION("""COMPUTED_VALUE"""),2.0)</f>
        <v>2</v>
      </c>
      <c r="G2378" s="4">
        <f>IFERROR(__xludf.DUMMYFUNCTION("""COMPUTED_VALUE"""),50.0)</f>
        <v>50</v>
      </c>
      <c r="H2378" s="4">
        <f>IFERROR(__xludf.DUMMYFUNCTION("""COMPUTED_VALUE"""),609.0)</f>
        <v>609</v>
      </c>
      <c r="I2378" s="4">
        <f>IFERROR(__xludf.DUMMYFUNCTION("""COMPUTED_VALUE"""),213.0)</f>
        <v>213</v>
      </c>
      <c r="J2378" s="4">
        <f>IFERROR(__xludf.DUMMYFUNCTION("""COMPUTED_VALUE"""),55.0)</f>
        <v>55</v>
      </c>
      <c r="K2378" s="4">
        <f>IFERROR(__xludf.DUMMYFUNCTION("""COMPUTED_VALUE"""),89.0)</f>
        <v>89</v>
      </c>
      <c r="L2378" s="4">
        <f>IFERROR(__xludf.DUMMYFUNCTION("""COMPUTED_VALUE"""),0.403)</f>
        <v>0.403</v>
      </c>
      <c r="M2378" s="4">
        <f>IFERROR(__xludf.DUMMYFUNCTION("""COMPUTED_VALUE"""),0.13)</f>
        <v>0.13</v>
      </c>
      <c r="N2378" s="4">
        <f>IFERROR(__xludf.DUMMYFUNCTION("""COMPUTED_VALUE"""),0.667)</f>
        <v>0.667</v>
      </c>
      <c r="O2378" s="4">
        <f>IFERROR(__xludf.DUMMYFUNCTION("""COMPUTED_VALUE"""),12.2)</f>
        <v>12.2</v>
      </c>
      <c r="P2378" s="4">
        <f>IFERROR(__xludf.DUMMYFUNCTION("""COMPUTED_VALUE"""),4.3)</f>
        <v>4.3</v>
      </c>
      <c r="Q2378" s="4">
        <f>IFERROR(__xludf.DUMMYFUNCTION("""COMPUTED_VALUE"""),1.1)</f>
        <v>1.1</v>
      </c>
      <c r="R2378" s="4">
        <f>IFERROR(__xludf.DUMMYFUNCTION("""COMPUTED_VALUE"""),1.8)</f>
        <v>1.8</v>
      </c>
      <c r="S2378" s="4">
        <f>IFERROR(__xludf.DUMMYFUNCTION("""COMPUTED_VALUE"""),-0.1)</f>
        <v>-0.1</v>
      </c>
      <c r="T2378" s="4">
        <f>IFERROR(__xludf.DUMMYFUNCTION("""COMPUTED_VALUE"""),-0.012)</f>
        <v>-0.012</v>
      </c>
      <c r="U2378" s="4">
        <f>IFERROR(__xludf.DUMMYFUNCTION("""COMPUTED_VALUE"""),-5.1)</f>
        <v>-5.1</v>
      </c>
      <c r="V2378" s="4">
        <f>IFERROR(__xludf.DUMMYFUNCTION("""COMPUTED_VALUE"""),-0.5)</f>
        <v>-0.5</v>
      </c>
    </row>
    <row r="2379">
      <c r="A2379" s="4">
        <f>IFERROR(__xludf.DUMMYFUNCTION("""COMPUTED_VALUE"""),46.0)</f>
        <v>46</v>
      </c>
      <c r="B2379" s="4">
        <f>IFERROR(__xludf.DUMMYFUNCTION("""COMPUTED_VALUE"""),46.0)</f>
        <v>46</v>
      </c>
      <c r="C2379" s="4" t="str">
        <f>IFERROR(__xludf.DUMMYFUNCTION("""COMPUTED_VALUE"""),"PHO")</f>
        <v>PHO</v>
      </c>
      <c r="D2379" s="4" t="str">
        <f>IFERROR(__xludf.DUMMYFUNCTION("""COMPUTED_VALUE"""),"Ricky Blanton")</f>
        <v>Ricky Blanton</v>
      </c>
      <c r="E2379" s="4" t="str">
        <f>IFERROR(__xludf.DUMMYFUNCTION("""COMPUTED_VALUE"""),"LSU")</f>
        <v>LSU</v>
      </c>
      <c r="F2379" s="4">
        <f>IFERROR(__xludf.DUMMYFUNCTION("""COMPUTED_VALUE"""),1.0)</f>
        <v>1</v>
      </c>
      <c r="G2379" s="4">
        <f>IFERROR(__xludf.DUMMYFUNCTION("""COMPUTED_VALUE"""),2.0)</f>
        <v>2</v>
      </c>
      <c r="H2379" s="4">
        <f>IFERROR(__xludf.DUMMYFUNCTION("""COMPUTED_VALUE"""),13.0)</f>
        <v>13</v>
      </c>
      <c r="I2379" s="4">
        <f>IFERROR(__xludf.DUMMYFUNCTION("""COMPUTED_VALUE"""),6.0)</f>
        <v>6</v>
      </c>
      <c r="J2379" s="4">
        <f>IFERROR(__xludf.DUMMYFUNCTION("""COMPUTED_VALUE"""),3.0)</f>
        <v>3</v>
      </c>
      <c r="K2379" s="4">
        <f>IFERROR(__xludf.DUMMYFUNCTION("""COMPUTED_VALUE"""),1.0)</f>
        <v>1</v>
      </c>
      <c r="L2379" s="4">
        <f>IFERROR(__xludf.DUMMYFUNCTION("""COMPUTED_VALUE"""),0.429)</f>
        <v>0.429</v>
      </c>
      <c r="M2379" s="4"/>
      <c r="N2379" s="4"/>
      <c r="O2379" s="4">
        <f>IFERROR(__xludf.DUMMYFUNCTION("""COMPUTED_VALUE"""),6.5)</f>
        <v>6.5</v>
      </c>
      <c r="P2379" s="4">
        <f>IFERROR(__xludf.DUMMYFUNCTION("""COMPUTED_VALUE"""),3.0)</f>
        <v>3</v>
      </c>
      <c r="Q2379" s="4">
        <f>IFERROR(__xludf.DUMMYFUNCTION("""COMPUTED_VALUE"""),1.5)</f>
        <v>1.5</v>
      </c>
      <c r="R2379" s="4">
        <f>IFERROR(__xludf.DUMMYFUNCTION("""COMPUTED_VALUE"""),0.5)</f>
        <v>0.5</v>
      </c>
      <c r="S2379" s="4">
        <f>IFERROR(__xludf.DUMMYFUNCTION("""COMPUTED_VALUE"""),0.0)</f>
        <v>0</v>
      </c>
      <c r="T2379" s="4">
        <f>IFERROR(__xludf.DUMMYFUNCTION("""COMPUTED_VALUE"""),0.088)</f>
        <v>0.088</v>
      </c>
      <c r="U2379" s="4">
        <f>IFERROR(__xludf.DUMMYFUNCTION("""COMPUTED_VALUE"""),-0.3)</f>
        <v>-0.3</v>
      </c>
      <c r="V2379" s="4">
        <f>IFERROR(__xludf.DUMMYFUNCTION("""COMPUTED_VALUE"""),0.0)</f>
        <v>0</v>
      </c>
    </row>
    <row r="2380">
      <c r="A2380" s="4">
        <f>IFERROR(__xludf.DUMMYFUNCTION("""COMPUTED_VALUE"""),47.0)</f>
        <v>47</v>
      </c>
      <c r="B2380" s="4">
        <f>IFERROR(__xludf.DUMMYFUNCTION("""COMPUTED_VALUE"""),47.0)</f>
        <v>47</v>
      </c>
      <c r="C2380" s="4" t="str">
        <f>IFERROR(__xludf.DUMMYFUNCTION("""COMPUTED_VALUE"""),"DEN")</f>
        <v>DEN</v>
      </c>
      <c r="D2380" s="4" t="str">
        <f>IFERROR(__xludf.DUMMYFUNCTION("""COMPUTED_VALUE"""),"Reggie Turner")</f>
        <v>Reggie Turner</v>
      </c>
      <c r="E2380" s="4" t="str">
        <f>IFERROR(__xludf.DUMMYFUNCTION("""COMPUTED_VALUE"""),"UAB")</f>
        <v>UAB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</row>
    <row r="2381">
      <c r="A2381" s="4">
        <f>IFERROR(__xludf.DUMMYFUNCTION("""COMPUTED_VALUE"""),48.0)</f>
        <v>48</v>
      </c>
      <c r="B2381" s="4">
        <f>IFERROR(__xludf.DUMMYFUNCTION("""COMPUTED_VALUE"""),48.0)</f>
        <v>48</v>
      </c>
      <c r="C2381" s="4" t="str">
        <f>IFERROR(__xludf.DUMMYFUNCTION("""COMPUTED_VALUE"""),"UTA")</f>
        <v>UTA</v>
      </c>
      <c r="D2381" s="4" t="str">
        <f>IFERROR(__xludf.DUMMYFUNCTION("""COMPUTED_VALUE"""),"Junie Lewis")</f>
        <v>Junie Lewis</v>
      </c>
      <c r="E2381" s="4" t="str">
        <f>IFERROR(__xludf.DUMMYFUNCTION("""COMPUTED_VALUE"""),"University of South Alabama")</f>
        <v>University of South Alabama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</row>
    <row r="2382">
      <c r="A2382" s="4">
        <f>IFERROR(__xludf.DUMMYFUNCTION("""COMPUTED_VALUE"""),49.0)</f>
        <v>49</v>
      </c>
      <c r="B2382" s="4">
        <f>IFERROR(__xludf.DUMMYFUNCTION("""COMPUTED_VALUE"""),49.0)</f>
        <v>49</v>
      </c>
      <c r="C2382" s="4" t="str">
        <f>IFERROR(__xludf.DUMMYFUNCTION("""COMPUTED_VALUE"""),"ATL")</f>
        <v>ATL</v>
      </c>
      <c r="D2382" s="4" t="str">
        <f>IFERROR(__xludf.DUMMYFUNCTION("""COMPUTED_VALUE"""),"Haywoode Workman")</f>
        <v>Haywoode Workman</v>
      </c>
      <c r="E2382" s="4" t="str">
        <f>IFERROR(__xludf.DUMMYFUNCTION("""COMPUTED_VALUE"""),"Oral Roberts")</f>
        <v>Oral Roberts</v>
      </c>
      <c r="F2382" s="4">
        <f>IFERROR(__xludf.DUMMYFUNCTION("""COMPUTED_VALUE"""),8.0)</f>
        <v>8</v>
      </c>
      <c r="G2382" s="4">
        <f>IFERROR(__xludf.DUMMYFUNCTION("""COMPUTED_VALUE"""),359.0)</f>
        <v>359</v>
      </c>
      <c r="H2382" s="4">
        <f>IFERROR(__xludf.DUMMYFUNCTION("""COMPUTED_VALUE"""),7202.0)</f>
        <v>7202</v>
      </c>
      <c r="I2382" s="4">
        <f>IFERROR(__xludf.DUMMYFUNCTION("""COMPUTED_VALUE"""),1967.0)</f>
        <v>1967</v>
      </c>
      <c r="J2382" s="4">
        <f>IFERROR(__xludf.DUMMYFUNCTION("""COMPUTED_VALUE"""),819.0)</f>
        <v>819</v>
      </c>
      <c r="K2382" s="4">
        <f>IFERROR(__xludf.DUMMYFUNCTION("""COMPUTED_VALUE"""),1410.0)</f>
        <v>1410</v>
      </c>
      <c r="L2382" s="4">
        <f>IFERROR(__xludf.DUMMYFUNCTION("""COMPUTED_VALUE"""),0.419)</f>
        <v>0.419</v>
      </c>
      <c r="M2382" s="4">
        <f>IFERROR(__xludf.DUMMYFUNCTION("""COMPUTED_VALUE"""),0.323)</f>
        <v>0.323</v>
      </c>
      <c r="N2382" s="4">
        <f>IFERROR(__xludf.DUMMYFUNCTION("""COMPUTED_VALUE"""),0.764)</f>
        <v>0.764</v>
      </c>
      <c r="O2382" s="4">
        <f>IFERROR(__xludf.DUMMYFUNCTION("""COMPUTED_VALUE"""),20.1)</f>
        <v>20.1</v>
      </c>
      <c r="P2382" s="4">
        <f>IFERROR(__xludf.DUMMYFUNCTION("""COMPUTED_VALUE"""),5.5)</f>
        <v>5.5</v>
      </c>
      <c r="Q2382" s="4">
        <f>IFERROR(__xludf.DUMMYFUNCTION("""COMPUTED_VALUE"""),2.3)</f>
        <v>2.3</v>
      </c>
      <c r="R2382" s="4">
        <f>IFERROR(__xludf.DUMMYFUNCTION("""COMPUTED_VALUE"""),3.9)</f>
        <v>3.9</v>
      </c>
      <c r="S2382" s="4">
        <f>IFERROR(__xludf.DUMMYFUNCTION("""COMPUTED_VALUE"""),10.7)</f>
        <v>10.7</v>
      </c>
      <c r="T2382" s="4">
        <f>IFERROR(__xludf.DUMMYFUNCTION("""COMPUTED_VALUE"""),0.071)</f>
        <v>0.071</v>
      </c>
      <c r="U2382" s="4">
        <f>IFERROR(__xludf.DUMMYFUNCTION("""COMPUTED_VALUE"""),-0.7)</f>
        <v>-0.7</v>
      </c>
      <c r="V2382" s="4">
        <f>IFERROR(__xludf.DUMMYFUNCTION("""COMPUTED_VALUE"""),2.4)</f>
        <v>2.4</v>
      </c>
    </row>
    <row r="2383">
      <c r="A2383" s="4">
        <f>IFERROR(__xludf.DUMMYFUNCTION("""COMPUTED_VALUE"""),50.0)</f>
        <v>50</v>
      </c>
      <c r="B2383" s="4">
        <f>IFERROR(__xludf.DUMMYFUNCTION("""COMPUTED_VALUE"""),50.0)</f>
        <v>50</v>
      </c>
      <c r="C2383" s="4" t="str">
        <f>IFERROR(__xludf.DUMMYFUNCTION("""COMPUTED_VALUE"""),"NYK")</f>
        <v>NYK</v>
      </c>
      <c r="D2383" s="4" t="str">
        <f>IFERROR(__xludf.DUMMYFUNCTION("""COMPUTED_VALUE"""),"Brian Quinnett")</f>
        <v>Brian Quinnett</v>
      </c>
      <c r="E2383" s="4" t="str">
        <f>IFERROR(__xludf.DUMMYFUNCTION("""COMPUTED_VALUE"""),"Washington State")</f>
        <v>Washington State</v>
      </c>
      <c r="F2383" s="4">
        <f>IFERROR(__xludf.DUMMYFUNCTION("""COMPUTED_VALUE"""),3.0)</f>
        <v>3</v>
      </c>
      <c r="G2383" s="4">
        <f>IFERROR(__xludf.DUMMYFUNCTION("""COMPUTED_VALUE"""),138.0)</f>
        <v>138</v>
      </c>
      <c r="H2383" s="4">
        <f>IFERROR(__xludf.DUMMYFUNCTION("""COMPUTED_VALUE"""),1530.0)</f>
        <v>1530</v>
      </c>
      <c r="I2383" s="4">
        <f>IFERROR(__xludf.DUMMYFUNCTION("""COMPUTED_VALUE"""),474.0)</f>
        <v>474</v>
      </c>
      <c r="J2383" s="4">
        <f>IFERROR(__xludf.DUMMYFUNCTION("""COMPUTED_VALUE"""),224.0)</f>
        <v>224</v>
      </c>
      <c r="K2383" s="4">
        <f>IFERROR(__xludf.DUMMYFUNCTION("""COMPUTED_VALUE"""),76.0)</f>
        <v>76</v>
      </c>
      <c r="L2383" s="4">
        <f>IFERROR(__xludf.DUMMYFUNCTION("""COMPUTED_VALUE"""),0.414)</f>
        <v>0.414</v>
      </c>
      <c r="M2383" s="4">
        <f>IFERROR(__xludf.DUMMYFUNCTION("""COMPUTED_VALUE"""),0.326)</f>
        <v>0.326</v>
      </c>
      <c r="N2383" s="4">
        <f>IFERROR(__xludf.DUMMYFUNCTION("""COMPUTED_VALUE"""),0.677)</f>
        <v>0.677</v>
      </c>
      <c r="O2383" s="4">
        <f>IFERROR(__xludf.DUMMYFUNCTION("""COMPUTED_VALUE"""),11.1)</f>
        <v>11.1</v>
      </c>
      <c r="P2383" s="4">
        <f>IFERROR(__xludf.DUMMYFUNCTION("""COMPUTED_VALUE"""),3.4)</f>
        <v>3.4</v>
      </c>
      <c r="Q2383" s="4">
        <f>IFERROR(__xludf.DUMMYFUNCTION("""COMPUTED_VALUE"""),1.6)</f>
        <v>1.6</v>
      </c>
      <c r="R2383" s="4">
        <f>IFERROR(__xludf.DUMMYFUNCTION("""COMPUTED_VALUE"""),0.6)</f>
        <v>0.6</v>
      </c>
      <c r="S2383" s="4">
        <f>IFERROR(__xludf.DUMMYFUNCTION("""COMPUTED_VALUE"""),0.9)</f>
        <v>0.9</v>
      </c>
      <c r="T2383" s="4">
        <f>IFERROR(__xludf.DUMMYFUNCTION("""COMPUTED_VALUE"""),0.027)</f>
        <v>0.027</v>
      </c>
      <c r="U2383" s="4">
        <f>IFERROR(__xludf.DUMMYFUNCTION("""COMPUTED_VALUE"""),-3.7)</f>
        <v>-3.7</v>
      </c>
      <c r="V2383" s="4">
        <f>IFERROR(__xludf.DUMMYFUNCTION("""COMPUTED_VALUE"""),-0.6)</f>
        <v>-0.6</v>
      </c>
    </row>
    <row r="2384">
      <c r="A2384" s="4">
        <f>IFERROR(__xludf.DUMMYFUNCTION("""COMPUTED_VALUE"""),51.0)</f>
        <v>51</v>
      </c>
      <c r="B2384" s="4">
        <f>IFERROR(__xludf.DUMMYFUNCTION("""COMPUTED_VALUE"""),51.0)</f>
        <v>51</v>
      </c>
      <c r="C2384" s="4" t="str">
        <f>IFERROR(__xludf.DUMMYFUNCTION("""COMPUTED_VALUE"""),"PHO")</f>
        <v>PHO</v>
      </c>
      <c r="D2384" s="4" t="str">
        <f>IFERROR(__xludf.DUMMYFUNCTION("""COMPUTED_VALUE"""),"Mike Morrison")</f>
        <v>Mike Morrison</v>
      </c>
      <c r="E2384" s="4" t="str">
        <f>IFERROR(__xludf.DUMMYFUNCTION("""COMPUTED_VALUE"""),"Loyola (MD)")</f>
        <v>Loyola (MD)</v>
      </c>
      <c r="F2384" s="4">
        <f>IFERROR(__xludf.DUMMYFUNCTION("""COMPUTED_VALUE"""),1.0)</f>
        <v>1</v>
      </c>
      <c r="G2384" s="4">
        <f>IFERROR(__xludf.DUMMYFUNCTION("""COMPUTED_VALUE"""),36.0)</f>
        <v>36</v>
      </c>
      <c r="H2384" s="4">
        <f>IFERROR(__xludf.DUMMYFUNCTION("""COMPUTED_VALUE"""),153.0)</f>
        <v>153</v>
      </c>
      <c r="I2384" s="4">
        <f>IFERROR(__xludf.DUMMYFUNCTION("""COMPUTED_VALUE"""),72.0)</f>
        <v>72</v>
      </c>
      <c r="J2384" s="4">
        <f>IFERROR(__xludf.DUMMYFUNCTION("""COMPUTED_VALUE"""),20.0)</f>
        <v>20</v>
      </c>
      <c r="K2384" s="4">
        <f>IFERROR(__xludf.DUMMYFUNCTION("""COMPUTED_VALUE"""),11.0)</f>
        <v>11</v>
      </c>
      <c r="L2384" s="4">
        <f>IFERROR(__xludf.DUMMYFUNCTION("""COMPUTED_VALUE"""),0.338)</f>
        <v>0.338</v>
      </c>
      <c r="M2384" s="4">
        <f>IFERROR(__xludf.DUMMYFUNCTION("""COMPUTED_VALUE"""),0.286)</f>
        <v>0.286</v>
      </c>
      <c r="N2384" s="4">
        <f>IFERROR(__xludf.DUMMYFUNCTION("""COMPUTED_VALUE"""),0.8)</f>
        <v>0.8</v>
      </c>
      <c r="O2384" s="4">
        <f>IFERROR(__xludf.DUMMYFUNCTION("""COMPUTED_VALUE"""),4.3)</f>
        <v>4.3</v>
      </c>
      <c r="P2384" s="4">
        <f>IFERROR(__xludf.DUMMYFUNCTION("""COMPUTED_VALUE"""),2.0)</f>
        <v>2</v>
      </c>
      <c r="Q2384" s="4">
        <f>IFERROR(__xludf.DUMMYFUNCTION("""COMPUTED_VALUE"""),0.6)</f>
        <v>0.6</v>
      </c>
      <c r="R2384" s="4">
        <f>IFERROR(__xludf.DUMMYFUNCTION("""COMPUTED_VALUE"""),0.3)</f>
        <v>0.3</v>
      </c>
      <c r="S2384" s="4">
        <f>IFERROR(__xludf.DUMMYFUNCTION("""COMPUTED_VALUE"""),-0.3)</f>
        <v>-0.3</v>
      </c>
      <c r="T2384" s="4">
        <f>IFERROR(__xludf.DUMMYFUNCTION("""COMPUTED_VALUE"""),-0.106)</f>
        <v>-0.106</v>
      </c>
      <c r="U2384" s="4">
        <f>IFERROR(__xludf.DUMMYFUNCTION("""COMPUTED_VALUE"""),-10.5)</f>
        <v>-10.5</v>
      </c>
      <c r="V2384" s="4">
        <f>IFERROR(__xludf.DUMMYFUNCTION("""COMPUTED_VALUE"""),-0.3)</f>
        <v>-0.3</v>
      </c>
    </row>
    <row r="2385">
      <c r="A2385" s="4">
        <f>IFERROR(__xludf.DUMMYFUNCTION("""COMPUTED_VALUE"""),52.0)</f>
        <v>52</v>
      </c>
      <c r="B2385" s="4">
        <f>IFERROR(__xludf.DUMMYFUNCTION("""COMPUTED_VALUE"""),52.0)</f>
        <v>52</v>
      </c>
      <c r="C2385" s="4" t="str">
        <f>IFERROR(__xludf.DUMMYFUNCTION("""COMPUTED_VALUE"""),"PHO")</f>
        <v>PHO</v>
      </c>
      <c r="D2385" s="4" t="str">
        <f>IFERROR(__xludf.DUMMYFUNCTION("""COMPUTED_VALUE"""),"Greg Grant")</f>
        <v>Greg Grant</v>
      </c>
      <c r="E2385" s="4" t="str">
        <f>IFERROR(__xludf.DUMMYFUNCTION("""COMPUTED_VALUE"""),"Trenton State University")</f>
        <v>Trenton State University</v>
      </c>
      <c r="F2385" s="4">
        <f>IFERROR(__xludf.DUMMYFUNCTION("""COMPUTED_VALUE"""),6.0)</f>
        <v>6</v>
      </c>
      <c r="G2385" s="4">
        <f>IFERROR(__xludf.DUMMYFUNCTION("""COMPUTED_VALUE"""),274.0)</f>
        <v>274</v>
      </c>
      <c r="H2385" s="4">
        <f>IFERROR(__xludf.DUMMYFUNCTION("""COMPUTED_VALUE"""),3350.0)</f>
        <v>3350</v>
      </c>
      <c r="I2385" s="4">
        <f>IFERROR(__xludf.DUMMYFUNCTION("""COMPUTED_VALUE"""),767.0)</f>
        <v>767</v>
      </c>
      <c r="J2385" s="4">
        <f>IFERROR(__xludf.DUMMYFUNCTION("""COMPUTED_VALUE"""),248.0)</f>
        <v>248</v>
      </c>
      <c r="K2385" s="4">
        <f>IFERROR(__xludf.DUMMYFUNCTION("""COMPUTED_VALUE"""),751.0)</f>
        <v>751</v>
      </c>
      <c r="L2385" s="4">
        <f>IFERROR(__xludf.DUMMYFUNCTION("""COMPUTED_VALUE"""),0.383)</f>
        <v>0.383</v>
      </c>
      <c r="M2385" s="4">
        <f>IFERROR(__xludf.DUMMYFUNCTION("""COMPUTED_VALUE"""),0.281)</f>
        <v>0.281</v>
      </c>
      <c r="N2385" s="4">
        <f>IFERROR(__xludf.DUMMYFUNCTION("""COMPUTED_VALUE"""),0.71)</f>
        <v>0.71</v>
      </c>
      <c r="O2385" s="4">
        <f>IFERROR(__xludf.DUMMYFUNCTION("""COMPUTED_VALUE"""),12.2)</f>
        <v>12.2</v>
      </c>
      <c r="P2385" s="4">
        <f>IFERROR(__xludf.DUMMYFUNCTION("""COMPUTED_VALUE"""),2.8)</f>
        <v>2.8</v>
      </c>
      <c r="Q2385" s="4">
        <f>IFERROR(__xludf.DUMMYFUNCTION("""COMPUTED_VALUE"""),0.9)</f>
        <v>0.9</v>
      </c>
      <c r="R2385" s="4">
        <f>IFERROR(__xludf.DUMMYFUNCTION("""COMPUTED_VALUE"""),2.7)</f>
        <v>2.7</v>
      </c>
      <c r="S2385" s="4">
        <f>IFERROR(__xludf.DUMMYFUNCTION("""COMPUTED_VALUE"""),1.6)</f>
        <v>1.6</v>
      </c>
      <c r="T2385" s="4">
        <f>IFERROR(__xludf.DUMMYFUNCTION("""COMPUTED_VALUE"""),0.023)</f>
        <v>0.023</v>
      </c>
      <c r="U2385" s="4">
        <f>IFERROR(__xludf.DUMMYFUNCTION("""COMPUTED_VALUE"""),-2.9)</f>
        <v>-2.9</v>
      </c>
      <c r="V2385" s="4">
        <f>IFERROR(__xludf.DUMMYFUNCTION("""COMPUTED_VALUE"""),-0.8)</f>
        <v>-0.8</v>
      </c>
    </row>
    <row r="2386">
      <c r="A2386" s="4">
        <f>IFERROR(__xludf.DUMMYFUNCTION("""COMPUTED_VALUE"""),53.0)</f>
        <v>53</v>
      </c>
      <c r="B2386" s="4">
        <f>IFERROR(__xludf.DUMMYFUNCTION("""COMPUTED_VALUE"""),53.0)</f>
        <v>53</v>
      </c>
      <c r="C2386" s="4" t="str">
        <f>IFERROR(__xludf.DUMMYFUNCTION("""COMPUTED_VALUE"""),"DAL")</f>
        <v>DAL</v>
      </c>
      <c r="D2386" s="4" t="str">
        <f>IFERROR(__xludf.DUMMYFUNCTION("""COMPUTED_VALUE"""),"Jeff Hodge")</f>
        <v>Jeff Hodge</v>
      </c>
      <c r="E2386" s="4" t="str">
        <f>IFERROR(__xludf.DUMMYFUNCTION("""COMPUTED_VALUE"""),"University of South Alabama")</f>
        <v>University of South Alabama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</row>
    <row r="2387">
      <c r="A2387" s="4">
        <f>IFERROR(__xludf.DUMMYFUNCTION("""COMPUTED_VALUE"""),54.0)</f>
        <v>54</v>
      </c>
      <c r="B2387" s="4">
        <f>IFERROR(__xludf.DUMMYFUNCTION("""COMPUTED_VALUE"""),54.0)</f>
        <v>54</v>
      </c>
      <c r="C2387" s="4" t="str">
        <f>IFERROR(__xludf.DUMMYFUNCTION("""COMPUTED_VALUE"""),"PHI")</f>
        <v>PHI</v>
      </c>
      <c r="D2387" s="4" t="str">
        <f>IFERROR(__xludf.DUMMYFUNCTION("""COMPUTED_VALUE"""),"Toney Mack")</f>
        <v>Toney Mack</v>
      </c>
      <c r="E2387" s="4" t="str">
        <f>IFERROR(__xludf.DUMMYFUNCTION("""COMPUTED_VALUE"""),"Georgia")</f>
        <v>Georgia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</row>
    <row r="2389">
      <c r="A2389" s="2">
        <v>1988.0</v>
      </c>
    </row>
    <row r="2390">
      <c r="A2390" s="4" t="str">
        <f>IFERROR(__xludf.DUMMYFUNCTION("IMPORTHTML(""https://www.basketball-reference.com/draft/NBA_1988.html"", ""table"", 1)"),"")</f>
        <v/>
      </c>
      <c r="B2390" s="4"/>
      <c r="C2390" s="4"/>
      <c r="D2390" s="4" t="str">
        <f>IFERROR(__xludf.DUMMYFUNCTION("""COMPUTED_VALUE"""),"Round 1")</f>
        <v>Round 1</v>
      </c>
      <c r="E2390" s="4"/>
      <c r="F2390" s="4"/>
      <c r="G2390" s="4" t="str">
        <f>IFERROR(__xludf.DUMMYFUNCTION("""COMPUTED_VALUE"""),"Totals")</f>
        <v>Totals</v>
      </c>
      <c r="H2390" s="4"/>
      <c r="I2390" s="4"/>
      <c r="J2390" s="4"/>
      <c r="K2390" s="4"/>
      <c r="L2390" s="4" t="str">
        <f>IFERROR(__xludf.DUMMYFUNCTION("""COMPUTED_VALUE"""),"Shooting")</f>
        <v>Shooting</v>
      </c>
      <c r="M2390" s="4"/>
      <c r="N2390" s="4"/>
      <c r="O2390" s="4" t="str">
        <f>IFERROR(__xludf.DUMMYFUNCTION("""COMPUTED_VALUE"""),"Per Game")</f>
        <v>Per Game</v>
      </c>
      <c r="P2390" s="4"/>
      <c r="Q2390" s="4"/>
      <c r="R2390" s="4"/>
      <c r="S2390" s="4" t="str">
        <f>IFERROR(__xludf.DUMMYFUNCTION("""COMPUTED_VALUE"""),"Advanced")</f>
        <v>Advanced</v>
      </c>
      <c r="T2390" s="4"/>
      <c r="U2390" s="4"/>
      <c r="V2390" s="4"/>
    </row>
    <row r="2391">
      <c r="A2391" s="4" t="str">
        <f>IFERROR(__xludf.DUMMYFUNCTION("""COMPUTED_VALUE"""),"Rk")</f>
        <v>Rk</v>
      </c>
      <c r="B2391" s="4" t="str">
        <f>IFERROR(__xludf.DUMMYFUNCTION("""COMPUTED_VALUE"""),"Pk")</f>
        <v>Pk</v>
      </c>
      <c r="C2391" s="4" t="str">
        <f>IFERROR(__xludf.DUMMYFUNCTION("""COMPUTED_VALUE"""),"Tm")</f>
        <v>Tm</v>
      </c>
      <c r="D2391" s="4" t="str">
        <f>IFERROR(__xludf.DUMMYFUNCTION("""COMPUTED_VALUE"""),"Player")</f>
        <v>Player</v>
      </c>
      <c r="E2391" s="4" t="str">
        <f>IFERROR(__xludf.DUMMYFUNCTION("""COMPUTED_VALUE"""),"College")</f>
        <v>College</v>
      </c>
      <c r="F2391" s="4" t="str">
        <f>IFERROR(__xludf.DUMMYFUNCTION("""COMPUTED_VALUE"""),"Yrs")</f>
        <v>Yrs</v>
      </c>
      <c r="G2391" s="4" t="str">
        <f>IFERROR(__xludf.DUMMYFUNCTION("""COMPUTED_VALUE"""),"G")</f>
        <v>G</v>
      </c>
      <c r="H2391" s="4" t="str">
        <f>IFERROR(__xludf.DUMMYFUNCTION("""COMPUTED_VALUE"""),"MP")</f>
        <v>MP</v>
      </c>
      <c r="I2391" s="4" t="str">
        <f>IFERROR(__xludf.DUMMYFUNCTION("""COMPUTED_VALUE"""),"PTS")</f>
        <v>PTS</v>
      </c>
      <c r="J2391" s="4" t="str">
        <f>IFERROR(__xludf.DUMMYFUNCTION("""COMPUTED_VALUE"""),"TRB")</f>
        <v>TRB</v>
      </c>
      <c r="K2391" s="4" t="str">
        <f>IFERROR(__xludf.DUMMYFUNCTION("""COMPUTED_VALUE"""),"AST")</f>
        <v>AST</v>
      </c>
      <c r="L2391" s="4" t="str">
        <f>IFERROR(__xludf.DUMMYFUNCTION("""COMPUTED_VALUE"""),"FG%")</f>
        <v>FG%</v>
      </c>
      <c r="M2391" s="4" t="str">
        <f>IFERROR(__xludf.DUMMYFUNCTION("""COMPUTED_VALUE"""),"3P%")</f>
        <v>3P%</v>
      </c>
      <c r="N2391" s="4" t="str">
        <f>IFERROR(__xludf.DUMMYFUNCTION("""COMPUTED_VALUE"""),"FT%")</f>
        <v>FT%</v>
      </c>
      <c r="O2391" s="4" t="str">
        <f>IFERROR(__xludf.DUMMYFUNCTION("""COMPUTED_VALUE"""),"MP")</f>
        <v>MP</v>
      </c>
      <c r="P2391" s="4" t="str">
        <f>IFERROR(__xludf.DUMMYFUNCTION("""COMPUTED_VALUE"""),"PTS")</f>
        <v>PTS</v>
      </c>
      <c r="Q2391" s="4" t="str">
        <f>IFERROR(__xludf.DUMMYFUNCTION("""COMPUTED_VALUE"""),"TRB")</f>
        <v>TRB</v>
      </c>
      <c r="R2391" s="4" t="str">
        <f>IFERROR(__xludf.DUMMYFUNCTION("""COMPUTED_VALUE"""),"AST")</f>
        <v>AST</v>
      </c>
      <c r="S2391" s="4" t="str">
        <f>IFERROR(__xludf.DUMMYFUNCTION("""COMPUTED_VALUE"""),"WS")</f>
        <v>WS</v>
      </c>
      <c r="T2391" s="4" t="str">
        <f>IFERROR(__xludf.DUMMYFUNCTION("""COMPUTED_VALUE"""),"WS/48")</f>
        <v>WS/48</v>
      </c>
      <c r="U2391" s="4" t="str">
        <f>IFERROR(__xludf.DUMMYFUNCTION("""COMPUTED_VALUE"""),"BPM")</f>
        <v>BPM</v>
      </c>
      <c r="V2391" s="4" t="str">
        <f>IFERROR(__xludf.DUMMYFUNCTION("""COMPUTED_VALUE"""),"VORP")</f>
        <v>VORP</v>
      </c>
    </row>
    <row r="2392">
      <c r="A2392" s="4">
        <f>IFERROR(__xludf.DUMMYFUNCTION("""COMPUTED_VALUE"""),1.0)</f>
        <v>1</v>
      </c>
      <c r="B2392" s="4">
        <f>IFERROR(__xludf.DUMMYFUNCTION("""COMPUTED_VALUE"""),1.0)</f>
        <v>1</v>
      </c>
      <c r="C2392" s="4" t="str">
        <f>IFERROR(__xludf.DUMMYFUNCTION("""COMPUTED_VALUE"""),"LAC")</f>
        <v>LAC</v>
      </c>
      <c r="D2392" s="4" t="str">
        <f>IFERROR(__xludf.DUMMYFUNCTION("""COMPUTED_VALUE"""),"Danny Manning")</f>
        <v>Danny Manning</v>
      </c>
      <c r="E2392" s="4" t="str">
        <f>IFERROR(__xludf.DUMMYFUNCTION("""COMPUTED_VALUE"""),"Kansas")</f>
        <v>Kansas</v>
      </c>
      <c r="F2392" s="4">
        <f>IFERROR(__xludf.DUMMYFUNCTION("""COMPUTED_VALUE"""),15.0)</f>
        <v>15</v>
      </c>
      <c r="G2392" s="4">
        <f>IFERROR(__xludf.DUMMYFUNCTION("""COMPUTED_VALUE"""),883.0)</f>
        <v>883</v>
      </c>
      <c r="H2392" s="4">
        <f>IFERROR(__xludf.DUMMYFUNCTION("""COMPUTED_VALUE"""),24202.0)</f>
        <v>24202</v>
      </c>
      <c r="I2392" s="4">
        <f>IFERROR(__xludf.DUMMYFUNCTION("""COMPUTED_VALUE"""),12367.0)</f>
        <v>12367</v>
      </c>
      <c r="J2392" s="4">
        <f>IFERROR(__xludf.DUMMYFUNCTION("""COMPUTED_VALUE"""),4615.0)</f>
        <v>4615</v>
      </c>
      <c r="K2392" s="4">
        <f>IFERROR(__xludf.DUMMYFUNCTION("""COMPUTED_VALUE"""),2063.0)</f>
        <v>2063</v>
      </c>
      <c r="L2392" s="4">
        <f>IFERROR(__xludf.DUMMYFUNCTION("""COMPUTED_VALUE"""),0.511)</f>
        <v>0.511</v>
      </c>
      <c r="M2392" s="4">
        <f>IFERROR(__xludf.DUMMYFUNCTION("""COMPUTED_VALUE"""),0.206)</f>
        <v>0.206</v>
      </c>
      <c r="N2392" s="4">
        <f>IFERROR(__xludf.DUMMYFUNCTION("""COMPUTED_VALUE"""),0.729)</f>
        <v>0.729</v>
      </c>
      <c r="O2392" s="4">
        <f>IFERROR(__xludf.DUMMYFUNCTION("""COMPUTED_VALUE"""),27.4)</f>
        <v>27.4</v>
      </c>
      <c r="P2392" s="4">
        <f>IFERROR(__xludf.DUMMYFUNCTION("""COMPUTED_VALUE"""),14.0)</f>
        <v>14</v>
      </c>
      <c r="Q2392" s="4">
        <f>IFERROR(__xludf.DUMMYFUNCTION("""COMPUTED_VALUE"""),5.2)</f>
        <v>5.2</v>
      </c>
      <c r="R2392" s="4">
        <f>IFERROR(__xludf.DUMMYFUNCTION("""COMPUTED_VALUE"""),2.3)</f>
        <v>2.3</v>
      </c>
      <c r="S2392" s="4">
        <f>IFERROR(__xludf.DUMMYFUNCTION("""COMPUTED_VALUE"""),55.1)</f>
        <v>55.1</v>
      </c>
      <c r="T2392" s="4">
        <f>IFERROR(__xludf.DUMMYFUNCTION("""COMPUTED_VALUE"""),0.109)</f>
        <v>0.109</v>
      </c>
      <c r="U2392" s="4">
        <f>IFERROR(__xludf.DUMMYFUNCTION("""COMPUTED_VALUE"""),1.0)</f>
        <v>1</v>
      </c>
      <c r="V2392" s="4">
        <f>IFERROR(__xludf.DUMMYFUNCTION("""COMPUTED_VALUE"""),18.4)</f>
        <v>18.4</v>
      </c>
    </row>
    <row r="2393">
      <c r="A2393" s="4">
        <f>IFERROR(__xludf.DUMMYFUNCTION("""COMPUTED_VALUE"""),2.0)</f>
        <v>2</v>
      </c>
      <c r="B2393" s="4">
        <f>IFERROR(__xludf.DUMMYFUNCTION("""COMPUTED_VALUE"""),2.0)</f>
        <v>2</v>
      </c>
      <c r="C2393" s="4" t="str">
        <f>IFERROR(__xludf.DUMMYFUNCTION("""COMPUTED_VALUE"""),"IND")</f>
        <v>IND</v>
      </c>
      <c r="D2393" s="4" t="str">
        <f>IFERROR(__xludf.DUMMYFUNCTION("""COMPUTED_VALUE"""),"Rik Smits")</f>
        <v>Rik Smits</v>
      </c>
      <c r="E2393" s="4" t="str">
        <f>IFERROR(__xludf.DUMMYFUNCTION("""COMPUTED_VALUE"""),"Marist College")</f>
        <v>Marist College</v>
      </c>
      <c r="F2393" s="4">
        <f>IFERROR(__xludf.DUMMYFUNCTION("""COMPUTED_VALUE"""),12.0)</f>
        <v>12</v>
      </c>
      <c r="G2393" s="4">
        <f>IFERROR(__xludf.DUMMYFUNCTION("""COMPUTED_VALUE"""),867.0)</f>
        <v>867</v>
      </c>
      <c r="H2393" s="4">
        <f>IFERROR(__xludf.DUMMYFUNCTION("""COMPUTED_VALUE"""),23100.0)</f>
        <v>23100</v>
      </c>
      <c r="I2393" s="4">
        <f>IFERROR(__xludf.DUMMYFUNCTION("""COMPUTED_VALUE"""),12871.0)</f>
        <v>12871</v>
      </c>
      <c r="J2393" s="4">
        <f>IFERROR(__xludf.DUMMYFUNCTION("""COMPUTED_VALUE"""),5277.0)</f>
        <v>5277</v>
      </c>
      <c r="K2393" s="4">
        <f>IFERROR(__xludf.DUMMYFUNCTION("""COMPUTED_VALUE"""),1215.0)</f>
        <v>1215</v>
      </c>
      <c r="L2393" s="4">
        <f>IFERROR(__xludf.DUMMYFUNCTION("""COMPUTED_VALUE"""),0.507)</f>
        <v>0.507</v>
      </c>
      <c r="M2393" s="4">
        <f>IFERROR(__xludf.DUMMYFUNCTION("""COMPUTED_VALUE"""),0.115)</f>
        <v>0.115</v>
      </c>
      <c r="N2393" s="4">
        <f>IFERROR(__xludf.DUMMYFUNCTION("""COMPUTED_VALUE"""),0.773)</f>
        <v>0.773</v>
      </c>
      <c r="O2393" s="4">
        <f>IFERROR(__xludf.DUMMYFUNCTION("""COMPUTED_VALUE"""),26.6)</f>
        <v>26.6</v>
      </c>
      <c r="P2393" s="4">
        <f>IFERROR(__xludf.DUMMYFUNCTION("""COMPUTED_VALUE"""),14.8)</f>
        <v>14.8</v>
      </c>
      <c r="Q2393" s="4">
        <f>IFERROR(__xludf.DUMMYFUNCTION("""COMPUTED_VALUE"""),6.1)</f>
        <v>6.1</v>
      </c>
      <c r="R2393" s="4">
        <f>IFERROR(__xludf.DUMMYFUNCTION("""COMPUTED_VALUE"""),1.4)</f>
        <v>1.4</v>
      </c>
      <c r="S2393" s="4">
        <f>IFERROR(__xludf.DUMMYFUNCTION("""COMPUTED_VALUE"""),56.6)</f>
        <v>56.6</v>
      </c>
      <c r="T2393" s="4">
        <f>IFERROR(__xludf.DUMMYFUNCTION("""COMPUTED_VALUE"""),0.118)</f>
        <v>0.118</v>
      </c>
      <c r="U2393" s="4">
        <f>IFERROR(__xludf.DUMMYFUNCTION("""COMPUTED_VALUE"""),-0.2)</f>
        <v>-0.2</v>
      </c>
      <c r="V2393" s="4">
        <f>IFERROR(__xludf.DUMMYFUNCTION("""COMPUTED_VALUE"""),10.4)</f>
        <v>10.4</v>
      </c>
    </row>
    <row r="2394">
      <c r="A2394" s="4">
        <f>IFERROR(__xludf.DUMMYFUNCTION("""COMPUTED_VALUE"""),3.0)</f>
        <v>3</v>
      </c>
      <c r="B2394" s="4">
        <f>IFERROR(__xludf.DUMMYFUNCTION("""COMPUTED_VALUE"""),3.0)</f>
        <v>3</v>
      </c>
      <c r="C2394" s="4" t="str">
        <f>IFERROR(__xludf.DUMMYFUNCTION("""COMPUTED_VALUE"""),"PHI")</f>
        <v>PHI</v>
      </c>
      <c r="D2394" s="4" t="str">
        <f>IFERROR(__xludf.DUMMYFUNCTION("""COMPUTED_VALUE"""),"Charles Smith")</f>
        <v>Charles Smith</v>
      </c>
      <c r="E2394" s="4" t="str">
        <f>IFERROR(__xludf.DUMMYFUNCTION("""COMPUTED_VALUE"""),"Pitt")</f>
        <v>Pitt</v>
      </c>
      <c r="F2394" s="4">
        <f>IFERROR(__xludf.DUMMYFUNCTION("""COMPUTED_VALUE"""),9.0)</f>
        <v>9</v>
      </c>
      <c r="G2394" s="4">
        <f>IFERROR(__xludf.DUMMYFUNCTION("""COMPUTED_VALUE"""),564.0)</f>
        <v>564</v>
      </c>
      <c r="H2394" s="4">
        <f>IFERROR(__xludf.DUMMYFUNCTION("""COMPUTED_VALUE"""),16378.0)</f>
        <v>16378</v>
      </c>
      <c r="I2394" s="4">
        <f>IFERROR(__xludf.DUMMYFUNCTION("""COMPUTED_VALUE"""),8107.0)</f>
        <v>8107</v>
      </c>
      <c r="J2394" s="4">
        <f>IFERROR(__xludf.DUMMYFUNCTION("""COMPUTED_VALUE"""),3246.0)</f>
        <v>3246</v>
      </c>
      <c r="K2394" s="4">
        <f>IFERROR(__xludf.DUMMYFUNCTION("""COMPUTED_VALUE"""),798.0)</f>
        <v>798</v>
      </c>
      <c r="L2394" s="4">
        <f>IFERROR(__xludf.DUMMYFUNCTION("""COMPUTED_VALUE"""),0.475)</f>
        <v>0.475</v>
      </c>
      <c r="M2394" s="4">
        <f>IFERROR(__xludf.DUMMYFUNCTION("""COMPUTED_VALUE"""),0.194)</f>
        <v>0.194</v>
      </c>
      <c r="N2394" s="4">
        <f>IFERROR(__xludf.DUMMYFUNCTION("""COMPUTED_VALUE"""),0.774)</f>
        <v>0.774</v>
      </c>
      <c r="O2394" s="4">
        <f>IFERROR(__xludf.DUMMYFUNCTION("""COMPUTED_VALUE"""),29.0)</f>
        <v>29</v>
      </c>
      <c r="P2394" s="4">
        <f>IFERROR(__xludf.DUMMYFUNCTION("""COMPUTED_VALUE"""),14.4)</f>
        <v>14.4</v>
      </c>
      <c r="Q2394" s="4">
        <f>IFERROR(__xludf.DUMMYFUNCTION("""COMPUTED_VALUE"""),5.8)</f>
        <v>5.8</v>
      </c>
      <c r="R2394" s="4">
        <f>IFERROR(__xludf.DUMMYFUNCTION("""COMPUTED_VALUE"""),1.4)</f>
        <v>1.4</v>
      </c>
      <c r="S2394" s="4">
        <f>IFERROR(__xludf.DUMMYFUNCTION("""COMPUTED_VALUE"""),40.9)</f>
        <v>40.9</v>
      </c>
      <c r="T2394" s="4">
        <f>IFERROR(__xludf.DUMMYFUNCTION("""COMPUTED_VALUE"""),0.12)</f>
        <v>0.12</v>
      </c>
      <c r="U2394" s="4">
        <f>IFERROR(__xludf.DUMMYFUNCTION("""COMPUTED_VALUE"""),-0.1)</f>
        <v>-0.1</v>
      </c>
      <c r="V2394" s="4">
        <f>IFERROR(__xludf.DUMMYFUNCTION("""COMPUTED_VALUE"""),8.1)</f>
        <v>8.1</v>
      </c>
    </row>
    <row r="2395">
      <c r="A2395" s="4">
        <f>IFERROR(__xludf.DUMMYFUNCTION("""COMPUTED_VALUE"""),4.0)</f>
        <v>4</v>
      </c>
      <c r="B2395" s="4">
        <f>IFERROR(__xludf.DUMMYFUNCTION("""COMPUTED_VALUE"""),4.0)</f>
        <v>4</v>
      </c>
      <c r="C2395" s="4" t="str">
        <f>IFERROR(__xludf.DUMMYFUNCTION("""COMPUTED_VALUE"""),"NJN")</f>
        <v>NJN</v>
      </c>
      <c r="D2395" s="4" t="str">
        <f>IFERROR(__xludf.DUMMYFUNCTION("""COMPUTED_VALUE"""),"Chris Morris")</f>
        <v>Chris Morris</v>
      </c>
      <c r="E2395" s="4" t="str">
        <f>IFERROR(__xludf.DUMMYFUNCTION("""COMPUTED_VALUE"""),"Auburn")</f>
        <v>Auburn</v>
      </c>
      <c r="F2395" s="4">
        <f>IFERROR(__xludf.DUMMYFUNCTION("""COMPUTED_VALUE"""),11.0)</f>
        <v>11</v>
      </c>
      <c r="G2395" s="4">
        <f>IFERROR(__xludf.DUMMYFUNCTION("""COMPUTED_VALUE"""),747.0)</f>
        <v>747</v>
      </c>
      <c r="H2395" s="4">
        <f>IFERROR(__xludf.DUMMYFUNCTION("""COMPUTED_VALUE"""),18748.0)</f>
        <v>18748</v>
      </c>
      <c r="I2395" s="4">
        <f>IFERROR(__xludf.DUMMYFUNCTION("""COMPUTED_VALUE"""),8184.0)</f>
        <v>8184</v>
      </c>
      <c r="J2395" s="4">
        <f>IFERROR(__xludf.DUMMYFUNCTION("""COMPUTED_VALUE"""),3544.0)</f>
        <v>3544</v>
      </c>
      <c r="K2395" s="4">
        <f>IFERROR(__xludf.DUMMYFUNCTION("""COMPUTED_VALUE"""),1182.0)</f>
        <v>1182</v>
      </c>
      <c r="L2395" s="4">
        <f>IFERROR(__xludf.DUMMYFUNCTION("""COMPUTED_VALUE"""),0.441)</f>
        <v>0.441</v>
      </c>
      <c r="M2395" s="4">
        <f>IFERROR(__xludf.DUMMYFUNCTION("""COMPUTED_VALUE"""),0.306)</f>
        <v>0.306</v>
      </c>
      <c r="N2395" s="4">
        <f>IFERROR(__xludf.DUMMYFUNCTION("""COMPUTED_VALUE"""),0.739)</f>
        <v>0.739</v>
      </c>
      <c r="O2395" s="4">
        <f>IFERROR(__xludf.DUMMYFUNCTION("""COMPUTED_VALUE"""),25.1)</f>
        <v>25.1</v>
      </c>
      <c r="P2395" s="4">
        <f>IFERROR(__xludf.DUMMYFUNCTION("""COMPUTED_VALUE"""),11.0)</f>
        <v>11</v>
      </c>
      <c r="Q2395" s="4">
        <f>IFERROR(__xludf.DUMMYFUNCTION("""COMPUTED_VALUE"""),4.7)</f>
        <v>4.7</v>
      </c>
      <c r="R2395" s="4">
        <f>IFERROR(__xludf.DUMMYFUNCTION("""COMPUTED_VALUE"""),1.6)</f>
        <v>1.6</v>
      </c>
      <c r="S2395" s="4">
        <f>IFERROR(__xludf.DUMMYFUNCTION("""COMPUTED_VALUE"""),37.4)</f>
        <v>37.4</v>
      </c>
      <c r="T2395" s="4">
        <f>IFERROR(__xludf.DUMMYFUNCTION("""COMPUTED_VALUE"""),0.096)</f>
        <v>0.096</v>
      </c>
      <c r="U2395" s="4">
        <f>IFERROR(__xludf.DUMMYFUNCTION("""COMPUTED_VALUE"""),0.9)</f>
        <v>0.9</v>
      </c>
      <c r="V2395" s="4">
        <f>IFERROR(__xludf.DUMMYFUNCTION("""COMPUTED_VALUE"""),13.7)</f>
        <v>13.7</v>
      </c>
    </row>
    <row r="2396">
      <c r="A2396" s="4">
        <f>IFERROR(__xludf.DUMMYFUNCTION("""COMPUTED_VALUE"""),5.0)</f>
        <v>5</v>
      </c>
      <c r="B2396" s="4">
        <f>IFERROR(__xludf.DUMMYFUNCTION("""COMPUTED_VALUE"""),5.0)</f>
        <v>5</v>
      </c>
      <c r="C2396" s="4" t="str">
        <f>IFERROR(__xludf.DUMMYFUNCTION("""COMPUTED_VALUE"""),"GSW")</f>
        <v>GSW</v>
      </c>
      <c r="D2396" s="4" t="str">
        <f>IFERROR(__xludf.DUMMYFUNCTION("""COMPUTED_VALUE"""),"Mitch Richmond")</f>
        <v>Mitch Richmond</v>
      </c>
      <c r="E2396" s="4" t="str">
        <f>IFERROR(__xludf.DUMMYFUNCTION("""COMPUTED_VALUE"""),"Kansas State")</f>
        <v>Kansas State</v>
      </c>
      <c r="F2396" s="4">
        <f>IFERROR(__xludf.DUMMYFUNCTION("""COMPUTED_VALUE"""),14.0)</f>
        <v>14</v>
      </c>
      <c r="G2396" s="4">
        <f>IFERROR(__xludf.DUMMYFUNCTION("""COMPUTED_VALUE"""),976.0)</f>
        <v>976</v>
      </c>
      <c r="H2396" s="4">
        <f>IFERROR(__xludf.DUMMYFUNCTION("""COMPUTED_VALUE"""),34309.0)</f>
        <v>34309</v>
      </c>
      <c r="I2396" s="4">
        <f>IFERROR(__xludf.DUMMYFUNCTION("""COMPUTED_VALUE"""),20497.0)</f>
        <v>20497</v>
      </c>
      <c r="J2396" s="4">
        <f>IFERROR(__xludf.DUMMYFUNCTION("""COMPUTED_VALUE"""),3801.0)</f>
        <v>3801</v>
      </c>
      <c r="K2396" s="4">
        <f>IFERROR(__xludf.DUMMYFUNCTION("""COMPUTED_VALUE"""),3398.0)</f>
        <v>3398</v>
      </c>
      <c r="L2396" s="4">
        <f>IFERROR(__xludf.DUMMYFUNCTION("""COMPUTED_VALUE"""),0.455)</f>
        <v>0.455</v>
      </c>
      <c r="M2396" s="4">
        <f>IFERROR(__xludf.DUMMYFUNCTION("""COMPUTED_VALUE"""),0.388)</f>
        <v>0.388</v>
      </c>
      <c r="N2396" s="4">
        <f>IFERROR(__xludf.DUMMYFUNCTION("""COMPUTED_VALUE"""),0.85)</f>
        <v>0.85</v>
      </c>
      <c r="O2396" s="4">
        <f>IFERROR(__xludf.DUMMYFUNCTION("""COMPUTED_VALUE"""),35.2)</f>
        <v>35.2</v>
      </c>
      <c r="P2396" s="4">
        <f>IFERROR(__xludf.DUMMYFUNCTION("""COMPUTED_VALUE"""),21.0)</f>
        <v>21</v>
      </c>
      <c r="Q2396" s="4">
        <f>IFERROR(__xludf.DUMMYFUNCTION("""COMPUTED_VALUE"""),3.9)</f>
        <v>3.9</v>
      </c>
      <c r="R2396" s="4">
        <f>IFERROR(__xludf.DUMMYFUNCTION("""COMPUTED_VALUE"""),3.5)</f>
        <v>3.5</v>
      </c>
      <c r="S2396" s="4">
        <f>IFERROR(__xludf.DUMMYFUNCTION("""COMPUTED_VALUE"""),79.3)</f>
        <v>79.3</v>
      </c>
      <c r="T2396" s="4">
        <f>IFERROR(__xludf.DUMMYFUNCTION("""COMPUTED_VALUE"""),0.111)</f>
        <v>0.111</v>
      </c>
      <c r="U2396" s="4">
        <f>IFERROR(__xludf.DUMMYFUNCTION("""COMPUTED_VALUE"""),1.4)</f>
        <v>1.4</v>
      </c>
      <c r="V2396" s="4">
        <f>IFERROR(__xludf.DUMMYFUNCTION("""COMPUTED_VALUE"""),29.3)</f>
        <v>29.3</v>
      </c>
    </row>
    <row r="2397">
      <c r="A2397" s="4">
        <f>IFERROR(__xludf.DUMMYFUNCTION("""COMPUTED_VALUE"""),6.0)</f>
        <v>6</v>
      </c>
      <c r="B2397" s="4">
        <f>IFERROR(__xludf.DUMMYFUNCTION("""COMPUTED_VALUE"""),6.0)</f>
        <v>6</v>
      </c>
      <c r="C2397" s="4" t="str">
        <f>IFERROR(__xludf.DUMMYFUNCTION("""COMPUTED_VALUE"""),"LAC")</f>
        <v>LAC</v>
      </c>
      <c r="D2397" s="4" t="str">
        <f>IFERROR(__xludf.DUMMYFUNCTION("""COMPUTED_VALUE"""),"Hersey Hawkins")</f>
        <v>Hersey Hawkins</v>
      </c>
      <c r="E2397" s="4" t="str">
        <f>IFERROR(__xludf.DUMMYFUNCTION("""COMPUTED_VALUE"""),"Bradley")</f>
        <v>Bradley</v>
      </c>
      <c r="F2397" s="4">
        <f>IFERROR(__xludf.DUMMYFUNCTION("""COMPUTED_VALUE"""),13.0)</f>
        <v>13</v>
      </c>
      <c r="G2397" s="4">
        <f>IFERROR(__xludf.DUMMYFUNCTION("""COMPUTED_VALUE"""),983.0)</f>
        <v>983</v>
      </c>
      <c r="H2397" s="4">
        <f>IFERROR(__xludf.DUMMYFUNCTION("""COMPUTED_VALUE"""),32034.0)</f>
        <v>32034</v>
      </c>
      <c r="I2397" s="4">
        <f>IFERROR(__xludf.DUMMYFUNCTION("""COMPUTED_VALUE"""),14470.0)</f>
        <v>14470</v>
      </c>
      <c r="J2397" s="4">
        <f>IFERROR(__xludf.DUMMYFUNCTION("""COMPUTED_VALUE"""),3554.0)</f>
        <v>3554</v>
      </c>
      <c r="K2397" s="4">
        <f>IFERROR(__xludf.DUMMYFUNCTION("""COMPUTED_VALUE"""),2860.0)</f>
        <v>2860</v>
      </c>
      <c r="L2397" s="4">
        <f>IFERROR(__xludf.DUMMYFUNCTION("""COMPUTED_VALUE"""),0.461)</f>
        <v>0.461</v>
      </c>
      <c r="M2397" s="4">
        <f>IFERROR(__xludf.DUMMYFUNCTION("""COMPUTED_VALUE"""),0.394)</f>
        <v>0.394</v>
      </c>
      <c r="N2397" s="4">
        <f>IFERROR(__xludf.DUMMYFUNCTION("""COMPUTED_VALUE"""),0.87)</f>
        <v>0.87</v>
      </c>
      <c r="O2397" s="4">
        <f>IFERROR(__xludf.DUMMYFUNCTION("""COMPUTED_VALUE"""),32.6)</f>
        <v>32.6</v>
      </c>
      <c r="P2397" s="4">
        <f>IFERROR(__xludf.DUMMYFUNCTION("""COMPUTED_VALUE"""),14.7)</f>
        <v>14.7</v>
      </c>
      <c r="Q2397" s="4">
        <f>IFERROR(__xludf.DUMMYFUNCTION("""COMPUTED_VALUE"""),3.6)</f>
        <v>3.6</v>
      </c>
      <c r="R2397" s="4">
        <f>IFERROR(__xludf.DUMMYFUNCTION("""COMPUTED_VALUE"""),2.9)</f>
        <v>2.9</v>
      </c>
      <c r="S2397" s="4">
        <f>IFERROR(__xludf.DUMMYFUNCTION("""COMPUTED_VALUE"""),90.6)</f>
        <v>90.6</v>
      </c>
      <c r="T2397" s="4">
        <f>IFERROR(__xludf.DUMMYFUNCTION("""COMPUTED_VALUE"""),0.136)</f>
        <v>0.136</v>
      </c>
      <c r="U2397" s="4">
        <f>IFERROR(__xludf.DUMMYFUNCTION("""COMPUTED_VALUE"""),2.0)</f>
        <v>2</v>
      </c>
      <c r="V2397" s="4">
        <f>IFERROR(__xludf.DUMMYFUNCTION("""COMPUTED_VALUE"""),32.6)</f>
        <v>32.6</v>
      </c>
    </row>
    <row r="2398">
      <c r="A2398" s="4">
        <f>IFERROR(__xludf.DUMMYFUNCTION("""COMPUTED_VALUE"""),7.0)</f>
        <v>7</v>
      </c>
      <c r="B2398" s="4">
        <f>IFERROR(__xludf.DUMMYFUNCTION("""COMPUTED_VALUE"""),7.0)</f>
        <v>7</v>
      </c>
      <c r="C2398" s="4" t="str">
        <f>IFERROR(__xludf.DUMMYFUNCTION("""COMPUTED_VALUE"""),"PHO")</f>
        <v>PHO</v>
      </c>
      <c r="D2398" s="4" t="str">
        <f>IFERROR(__xludf.DUMMYFUNCTION("""COMPUTED_VALUE"""),"Tim Perry")</f>
        <v>Tim Perry</v>
      </c>
      <c r="E2398" s="4" t="str">
        <f>IFERROR(__xludf.DUMMYFUNCTION("""COMPUTED_VALUE"""),"Temple")</f>
        <v>Temple</v>
      </c>
      <c r="F2398" s="4">
        <f>IFERROR(__xludf.DUMMYFUNCTION("""COMPUTED_VALUE"""),8.0)</f>
        <v>8</v>
      </c>
      <c r="G2398" s="4">
        <f>IFERROR(__xludf.DUMMYFUNCTION("""COMPUTED_VALUE"""),481.0)</f>
        <v>481</v>
      </c>
      <c r="H2398" s="4">
        <f>IFERROR(__xludf.DUMMYFUNCTION("""COMPUTED_VALUE"""),9436.0)</f>
        <v>9436</v>
      </c>
      <c r="I2398" s="4">
        <f>IFERROR(__xludf.DUMMYFUNCTION("""COMPUTED_VALUE"""),3283.0)</f>
        <v>3283</v>
      </c>
      <c r="J2398" s="4">
        <f>IFERROR(__xludf.DUMMYFUNCTION("""COMPUTED_VALUE"""),1911.0)</f>
        <v>1911</v>
      </c>
      <c r="K2398" s="4">
        <f>IFERROR(__xludf.DUMMYFUNCTION("""COMPUTED_VALUE"""),436.0)</f>
        <v>436</v>
      </c>
      <c r="L2398" s="4">
        <f>IFERROR(__xludf.DUMMYFUNCTION("""COMPUTED_VALUE"""),0.485)</f>
        <v>0.485</v>
      </c>
      <c r="M2398" s="4">
        <f>IFERROR(__xludf.DUMMYFUNCTION("""COMPUTED_VALUE"""),0.318)</f>
        <v>0.318</v>
      </c>
      <c r="N2398" s="4">
        <f>IFERROR(__xludf.DUMMYFUNCTION("""COMPUTED_VALUE"""),0.648)</f>
        <v>0.648</v>
      </c>
      <c r="O2398" s="4">
        <f>IFERROR(__xludf.DUMMYFUNCTION("""COMPUTED_VALUE"""),19.6)</f>
        <v>19.6</v>
      </c>
      <c r="P2398" s="4">
        <f>IFERROR(__xludf.DUMMYFUNCTION("""COMPUTED_VALUE"""),6.8)</f>
        <v>6.8</v>
      </c>
      <c r="Q2398" s="4">
        <f>IFERROR(__xludf.DUMMYFUNCTION("""COMPUTED_VALUE"""),4.0)</f>
        <v>4</v>
      </c>
      <c r="R2398" s="4">
        <f>IFERROR(__xludf.DUMMYFUNCTION("""COMPUTED_VALUE"""),0.9)</f>
        <v>0.9</v>
      </c>
      <c r="S2398" s="4">
        <f>IFERROR(__xludf.DUMMYFUNCTION("""COMPUTED_VALUE"""),14.6)</f>
        <v>14.6</v>
      </c>
      <c r="T2398" s="4">
        <f>IFERROR(__xludf.DUMMYFUNCTION("""COMPUTED_VALUE"""),0.074)</f>
        <v>0.074</v>
      </c>
      <c r="U2398" s="4">
        <f>IFERROR(__xludf.DUMMYFUNCTION("""COMPUTED_VALUE"""),-1.4)</f>
        <v>-1.4</v>
      </c>
      <c r="V2398" s="4">
        <f>IFERROR(__xludf.DUMMYFUNCTION("""COMPUTED_VALUE"""),1.5)</f>
        <v>1.5</v>
      </c>
    </row>
    <row r="2399">
      <c r="A2399" s="4">
        <f>IFERROR(__xludf.DUMMYFUNCTION("""COMPUTED_VALUE"""),8.0)</f>
        <v>8</v>
      </c>
      <c r="B2399" s="4">
        <f>IFERROR(__xludf.DUMMYFUNCTION("""COMPUTED_VALUE"""),8.0)</f>
        <v>8</v>
      </c>
      <c r="C2399" s="4" t="str">
        <f>IFERROR(__xludf.DUMMYFUNCTION("""COMPUTED_VALUE"""),"CHH")</f>
        <v>CHH</v>
      </c>
      <c r="D2399" s="4" t="str">
        <f>IFERROR(__xludf.DUMMYFUNCTION("""COMPUTED_VALUE"""),"Rex Chapman")</f>
        <v>Rex Chapman</v>
      </c>
      <c r="E2399" s="4" t="str">
        <f>IFERROR(__xludf.DUMMYFUNCTION("""COMPUTED_VALUE"""),"Kentucky")</f>
        <v>Kentucky</v>
      </c>
      <c r="F2399" s="4">
        <f>IFERROR(__xludf.DUMMYFUNCTION("""COMPUTED_VALUE"""),12.0)</f>
        <v>12</v>
      </c>
      <c r="G2399" s="4">
        <f>IFERROR(__xludf.DUMMYFUNCTION("""COMPUTED_VALUE"""),666.0)</f>
        <v>666</v>
      </c>
      <c r="H2399" s="4">
        <f>IFERROR(__xludf.DUMMYFUNCTION("""COMPUTED_VALUE"""),19542.0)</f>
        <v>19542</v>
      </c>
      <c r="I2399" s="4">
        <f>IFERROR(__xludf.DUMMYFUNCTION("""COMPUTED_VALUE"""),9731.0)</f>
        <v>9731</v>
      </c>
      <c r="J2399" s="4">
        <f>IFERROR(__xludf.DUMMYFUNCTION("""COMPUTED_VALUE"""),1645.0)</f>
        <v>1645</v>
      </c>
      <c r="K2399" s="4">
        <f>IFERROR(__xludf.DUMMYFUNCTION("""COMPUTED_VALUE"""),1798.0)</f>
        <v>1798</v>
      </c>
      <c r="L2399" s="4">
        <f>IFERROR(__xludf.DUMMYFUNCTION("""COMPUTED_VALUE"""),0.43)</f>
        <v>0.43</v>
      </c>
      <c r="M2399" s="4">
        <f>IFERROR(__xludf.DUMMYFUNCTION("""COMPUTED_VALUE"""),0.35)</f>
        <v>0.35</v>
      </c>
      <c r="N2399" s="4">
        <f>IFERROR(__xludf.DUMMYFUNCTION("""COMPUTED_VALUE"""),0.8)</f>
        <v>0.8</v>
      </c>
      <c r="O2399" s="4">
        <f>IFERROR(__xludf.DUMMYFUNCTION("""COMPUTED_VALUE"""),29.3)</f>
        <v>29.3</v>
      </c>
      <c r="P2399" s="4">
        <f>IFERROR(__xludf.DUMMYFUNCTION("""COMPUTED_VALUE"""),14.6)</f>
        <v>14.6</v>
      </c>
      <c r="Q2399" s="4">
        <f>IFERROR(__xludf.DUMMYFUNCTION("""COMPUTED_VALUE"""),2.5)</f>
        <v>2.5</v>
      </c>
      <c r="R2399" s="4">
        <f>IFERROR(__xludf.DUMMYFUNCTION("""COMPUTED_VALUE"""),2.7)</f>
        <v>2.7</v>
      </c>
      <c r="S2399" s="4">
        <f>IFERROR(__xludf.DUMMYFUNCTION("""COMPUTED_VALUE"""),24.7)</f>
        <v>24.7</v>
      </c>
      <c r="T2399" s="4">
        <f>IFERROR(__xludf.DUMMYFUNCTION("""COMPUTED_VALUE"""),0.061)</f>
        <v>0.061</v>
      </c>
      <c r="U2399" s="4">
        <f>IFERROR(__xludf.DUMMYFUNCTION("""COMPUTED_VALUE"""),-1.0)</f>
        <v>-1</v>
      </c>
      <c r="V2399" s="4">
        <f>IFERROR(__xludf.DUMMYFUNCTION("""COMPUTED_VALUE"""),5.2)</f>
        <v>5.2</v>
      </c>
    </row>
    <row r="2400">
      <c r="A2400" s="4">
        <f>IFERROR(__xludf.DUMMYFUNCTION("""COMPUTED_VALUE"""),9.0)</f>
        <v>9</v>
      </c>
      <c r="B2400" s="4">
        <f>IFERROR(__xludf.DUMMYFUNCTION("""COMPUTED_VALUE"""),9.0)</f>
        <v>9</v>
      </c>
      <c r="C2400" s="4" t="str">
        <f>IFERROR(__xludf.DUMMYFUNCTION("""COMPUTED_VALUE"""),"MIA")</f>
        <v>MIA</v>
      </c>
      <c r="D2400" s="4" t="str">
        <f>IFERROR(__xludf.DUMMYFUNCTION("""COMPUTED_VALUE"""),"Rony Seikaly")</f>
        <v>Rony Seikaly</v>
      </c>
      <c r="E2400" s="4" t="str">
        <f>IFERROR(__xludf.DUMMYFUNCTION("""COMPUTED_VALUE"""),"Syracuse")</f>
        <v>Syracuse</v>
      </c>
      <c r="F2400" s="4">
        <f>IFERROR(__xludf.DUMMYFUNCTION("""COMPUTED_VALUE"""),11.0)</f>
        <v>11</v>
      </c>
      <c r="G2400" s="4">
        <f>IFERROR(__xludf.DUMMYFUNCTION("""COMPUTED_VALUE"""),678.0)</f>
        <v>678</v>
      </c>
      <c r="H2400" s="4">
        <f>IFERROR(__xludf.DUMMYFUNCTION("""COMPUTED_VALUE"""),21395.0)</f>
        <v>21395</v>
      </c>
      <c r="I2400" s="4">
        <f>IFERROR(__xludf.DUMMYFUNCTION("""COMPUTED_VALUE"""),9991.0)</f>
        <v>9991</v>
      </c>
      <c r="J2400" s="4">
        <f>IFERROR(__xludf.DUMMYFUNCTION("""COMPUTED_VALUE"""),6424.0)</f>
        <v>6424</v>
      </c>
      <c r="K2400" s="4">
        <f>IFERROR(__xludf.DUMMYFUNCTION("""COMPUTED_VALUE"""),860.0)</f>
        <v>860</v>
      </c>
      <c r="L2400" s="4">
        <f>IFERROR(__xludf.DUMMYFUNCTION("""COMPUTED_VALUE"""),0.484)</f>
        <v>0.484</v>
      </c>
      <c r="M2400" s="4">
        <f>IFERROR(__xludf.DUMMYFUNCTION("""COMPUTED_VALUE"""),0.188)</f>
        <v>0.188</v>
      </c>
      <c r="N2400" s="4">
        <f>IFERROR(__xludf.DUMMYFUNCTION("""COMPUTED_VALUE"""),0.679)</f>
        <v>0.679</v>
      </c>
      <c r="O2400" s="4">
        <f>IFERROR(__xludf.DUMMYFUNCTION("""COMPUTED_VALUE"""),31.6)</f>
        <v>31.6</v>
      </c>
      <c r="P2400" s="4">
        <f>IFERROR(__xludf.DUMMYFUNCTION("""COMPUTED_VALUE"""),14.7)</f>
        <v>14.7</v>
      </c>
      <c r="Q2400" s="4">
        <f>IFERROR(__xludf.DUMMYFUNCTION("""COMPUTED_VALUE"""),9.5)</f>
        <v>9.5</v>
      </c>
      <c r="R2400" s="4">
        <f>IFERROR(__xludf.DUMMYFUNCTION("""COMPUTED_VALUE"""),1.3)</f>
        <v>1.3</v>
      </c>
      <c r="S2400" s="4">
        <f>IFERROR(__xludf.DUMMYFUNCTION("""COMPUTED_VALUE"""),37.3)</f>
        <v>37.3</v>
      </c>
      <c r="T2400" s="4">
        <f>IFERROR(__xludf.DUMMYFUNCTION("""COMPUTED_VALUE"""),0.084)</f>
        <v>0.084</v>
      </c>
      <c r="U2400" s="4">
        <f>IFERROR(__xludf.DUMMYFUNCTION("""COMPUTED_VALUE"""),-1.9)</f>
        <v>-1.9</v>
      </c>
      <c r="V2400" s="4">
        <f>IFERROR(__xludf.DUMMYFUNCTION("""COMPUTED_VALUE"""),0.6)</f>
        <v>0.6</v>
      </c>
    </row>
    <row r="2401">
      <c r="A2401" s="4">
        <f>IFERROR(__xludf.DUMMYFUNCTION("""COMPUTED_VALUE"""),10.0)</f>
        <v>10</v>
      </c>
      <c r="B2401" s="4">
        <f>IFERROR(__xludf.DUMMYFUNCTION("""COMPUTED_VALUE"""),10.0)</f>
        <v>10</v>
      </c>
      <c r="C2401" s="4" t="str">
        <f>IFERROR(__xludf.DUMMYFUNCTION("""COMPUTED_VALUE"""),"SAS")</f>
        <v>SAS</v>
      </c>
      <c r="D2401" s="4" t="str">
        <f>IFERROR(__xludf.DUMMYFUNCTION("""COMPUTED_VALUE"""),"Willie Anderson")</f>
        <v>Willie Anderson</v>
      </c>
      <c r="E2401" s="4" t="str">
        <f>IFERROR(__xludf.DUMMYFUNCTION("""COMPUTED_VALUE"""),"Georgia")</f>
        <v>Georgia</v>
      </c>
      <c r="F2401" s="4">
        <f>IFERROR(__xludf.DUMMYFUNCTION("""COMPUTED_VALUE"""),9.0)</f>
        <v>9</v>
      </c>
      <c r="G2401" s="4">
        <f>IFERROR(__xludf.DUMMYFUNCTION("""COMPUTED_VALUE"""),555.0)</f>
        <v>555</v>
      </c>
      <c r="H2401" s="4">
        <f>IFERROR(__xludf.DUMMYFUNCTION("""COMPUTED_VALUE"""),15974.0)</f>
        <v>15974</v>
      </c>
      <c r="I2401" s="4">
        <f>IFERROR(__xludf.DUMMYFUNCTION("""COMPUTED_VALUE"""),6771.0)</f>
        <v>6771</v>
      </c>
      <c r="J2401" s="4">
        <f>IFERROR(__xludf.DUMMYFUNCTION("""COMPUTED_VALUE"""),2082.0)</f>
        <v>2082</v>
      </c>
      <c r="K2401" s="4">
        <f>IFERROR(__xludf.DUMMYFUNCTION("""COMPUTED_VALUE"""),2105.0)</f>
        <v>2105</v>
      </c>
      <c r="L2401" s="4">
        <f>IFERROR(__xludf.DUMMYFUNCTION("""COMPUTED_VALUE"""),0.471)</f>
        <v>0.471</v>
      </c>
      <c r="M2401" s="4">
        <f>IFERROR(__xludf.DUMMYFUNCTION("""COMPUTED_VALUE"""),0.266)</f>
        <v>0.266</v>
      </c>
      <c r="N2401" s="4">
        <f>IFERROR(__xludf.DUMMYFUNCTION("""COMPUTED_VALUE"""),0.786)</f>
        <v>0.786</v>
      </c>
      <c r="O2401" s="4">
        <f>IFERROR(__xludf.DUMMYFUNCTION("""COMPUTED_VALUE"""),28.8)</f>
        <v>28.8</v>
      </c>
      <c r="P2401" s="4">
        <f>IFERROR(__xludf.DUMMYFUNCTION("""COMPUTED_VALUE"""),12.2)</f>
        <v>12.2</v>
      </c>
      <c r="Q2401" s="4">
        <f>IFERROR(__xludf.DUMMYFUNCTION("""COMPUTED_VALUE"""),3.8)</f>
        <v>3.8</v>
      </c>
      <c r="R2401" s="4">
        <f>IFERROR(__xludf.DUMMYFUNCTION("""COMPUTED_VALUE"""),3.8)</f>
        <v>3.8</v>
      </c>
      <c r="S2401" s="4">
        <f>IFERROR(__xludf.DUMMYFUNCTION("""COMPUTED_VALUE"""),27.9)</f>
        <v>27.9</v>
      </c>
      <c r="T2401" s="4">
        <f>IFERROR(__xludf.DUMMYFUNCTION("""COMPUTED_VALUE"""),0.084)</f>
        <v>0.084</v>
      </c>
      <c r="U2401" s="4">
        <f>IFERROR(__xludf.DUMMYFUNCTION("""COMPUTED_VALUE"""),0.1)</f>
        <v>0.1</v>
      </c>
      <c r="V2401" s="4">
        <f>IFERROR(__xludf.DUMMYFUNCTION("""COMPUTED_VALUE"""),8.6)</f>
        <v>8.6</v>
      </c>
    </row>
    <row r="2402">
      <c r="A2402" s="4">
        <f>IFERROR(__xludf.DUMMYFUNCTION("""COMPUTED_VALUE"""),11.0)</f>
        <v>11</v>
      </c>
      <c r="B2402" s="4">
        <f>IFERROR(__xludf.DUMMYFUNCTION("""COMPUTED_VALUE"""),11.0)</f>
        <v>11</v>
      </c>
      <c r="C2402" s="4" t="str">
        <f>IFERROR(__xludf.DUMMYFUNCTION("""COMPUTED_VALUE"""),"CHI")</f>
        <v>CHI</v>
      </c>
      <c r="D2402" s="4" t="str">
        <f>IFERROR(__xludf.DUMMYFUNCTION("""COMPUTED_VALUE"""),"Will Perdue")</f>
        <v>Will Perdue</v>
      </c>
      <c r="E2402" s="4" t="str">
        <f>IFERROR(__xludf.DUMMYFUNCTION("""COMPUTED_VALUE"""),"Vanderbilt")</f>
        <v>Vanderbilt</v>
      </c>
      <c r="F2402" s="4">
        <f>IFERROR(__xludf.DUMMYFUNCTION("""COMPUTED_VALUE"""),13.0)</f>
        <v>13</v>
      </c>
      <c r="G2402" s="4">
        <f>IFERROR(__xludf.DUMMYFUNCTION("""COMPUTED_VALUE"""),792.0)</f>
        <v>792</v>
      </c>
      <c r="H2402" s="4">
        <f>IFERROR(__xludf.DUMMYFUNCTION("""COMPUTED_VALUE"""),12360.0)</f>
        <v>12360</v>
      </c>
      <c r="I2402" s="4">
        <f>IFERROR(__xludf.DUMMYFUNCTION("""COMPUTED_VALUE"""),3740.0)</f>
        <v>3740</v>
      </c>
      <c r="J2402" s="4">
        <f>IFERROR(__xludf.DUMMYFUNCTION("""COMPUTED_VALUE"""),3918.0)</f>
        <v>3918</v>
      </c>
      <c r="K2402" s="4">
        <f>IFERROR(__xludf.DUMMYFUNCTION("""COMPUTED_VALUE"""),595.0)</f>
        <v>595</v>
      </c>
      <c r="L2402" s="4">
        <f>IFERROR(__xludf.DUMMYFUNCTION("""COMPUTED_VALUE"""),0.515)</f>
        <v>0.515</v>
      </c>
      <c r="M2402" s="4">
        <f>IFERROR(__xludf.DUMMYFUNCTION("""COMPUTED_VALUE"""),0.067)</f>
        <v>0.067</v>
      </c>
      <c r="N2402" s="4">
        <f>IFERROR(__xludf.DUMMYFUNCTION("""COMPUTED_VALUE"""),0.577)</f>
        <v>0.577</v>
      </c>
      <c r="O2402" s="4">
        <f>IFERROR(__xludf.DUMMYFUNCTION("""COMPUTED_VALUE"""),15.6)</f>
        <v>15.6</v>
      </c>
      <c r="P2402" s="4">
        <f>IFERROR(__xludf.DUMMYFUNCTION("""COMPUTED_VALUE"""),4.7)</f>
        <v>4.7</v>
      </c>
      <c r="Q2402" s="4">
        <f>IFERROR(__xludf.DUMMYFUNCTION("""COMPUTED_VALUE"""),4.9)</f>
        <v>4.9</v>
      </c>
      <c r="R2402" s="4">
        <f>IFERROR(__xludf.DUMMYFUNCTION("""COMPUTED_VALUE"""),0.8)</f>
        <v>0.8</v>
      </c>
      <c r="S2402" s="4">
        <f>IFERROR(__xludf.DUMMYFUNCTION("""COMPUTED_VALUE"""),26.6)</f>
        <v>26.6</v>
      </c>
      <c r="T2402" s="4">
        <f>IFERROR(__xludf.DUMMYFUNCTION("""COMPUTED_VALUE"""),0.103)</f>
        <v>0.103</v>
      </c>
      <c r="U2402" s="4">
        <f>IFERROR(__xludf.DUMMYFUNCTION("""COMPUTED_VALUE"""),-2.1)</f>
        <v>-2.1</v>
      </c>
      <c r="V2402" s="4">
        <f>IFERROR(__xludf.DUMMYFUNCTION("""COMPUTED_VALUE"""),-0.2)</f>
        <v>-0.2</v>
      </c>
    </row>
    <row r="2403">
      <c r="A2403" s="4">
        <f>IFERROR(__xludf.DUMMYFUNCTION("""COMPUTED_VALUE"""),12.0)</f>
        <v>12</v>
      </c>
      <c r="B2403" s="4">
        <f>IFERROR(__xludf.DUMMYFUNCTION("""COMPUTED_VALUE"""),12.0)</f>
        <v>12</v>
      </c>
      <c r="C2403" s="4" t="str">
        <f>IFERROR(__xludf.DUMMYFUNCTION("""COMPUTED_VALUE"""),"WSB")</f>
        <v>WSB</v>
      </c>
      <c r="D2403" s="4" t="str">
        <f>IFERROR(__xludf.DUMMYFUNCTION("""COMPUTED_VALUE"""),"Harvey Grant")</f>
        <v>Harvey Grant</v>
      </c>
      <c r="E2403" s="4" t="str">
        <f>IFERROR(__xludf.DUMMYFUNCTION("""COMPUTED_VALUE"""),"Oklahoma")</f>
        <v>Oklahoma</v>
      </c>
      <c r="F2403" s="4">
        <f>IFERROR(__xludf.DUMMYFUNCTION("""COMPUTED_VALUE"""),11.0)</f>
        <v>11</v>
      </c>
      <c r="G2403" s="4">
        <f>IFERROR(__xludf.DUMMYFUNCTION("""COMPUTED_VALUE"""),783.0)</f>
        <v>783</v>
      </c>
      <c r="H2403" s="4">
        <f>IFERROR(__xludf.DUMMYFUNCTION("""COMPUTED_VALUE"""),20510.0)</f>
        <v>20510</v>
      </c>
      <c r="I2403" s="4">
        <f>IFERROR(__xludf.DUMMYFUNCTION("""COMPUTED_VALUE"""),7781.0)</f>
        <v>7781</v>
      </c>
      <c r="J2403" s="4">
        <f>IFERROR(__xludf.DUMMYFUNCTION("""COMPUTED_VALUE"""),3436.0)</f>
        <v>3436</v>
      </c>
      <c r="K2403" s="4">
        <f>IFERROR(__xludf.DUMMYFUNCTION("""COMPUTED_VALUE"""),1219.0)</f>
        <v>1219</v>
      </c>
      <c r="L2403" s="4">
        <f>IFERROR(__xludf.DUMMYFUNCTION("""COMPUTED_VALUE"""),0.469)</f>
        <v>0.469</v>
      </c>
      <c r="M2403" s="4">
        <f>IFERROR(__xludf.DUMMYFUNCTION("""COMPUTED_VALUE"""),0.267)</f>
        <v>0.267</v>
      </c>
      <c r="N2403" s="4">
        <f>IFERROR(__xludf.DUMMYFUNCTION("""COMPUTED_VALUE"""),0.709)</f>
        <v>0.709</v>
      </c>
      <c r="O2403" s="4">
        <f>IFERROR(__xludf.DUMMYFUNCTION("""COMPUTED_VALUE"""),26.2)</f>
        <v>26.2</v>
      </c>
      <c r="P2403" s="4">
        <f>IFERROR(__xludf.DUMMYFUNCTION("""COMPUTED_VALUE"""),9.9)</f>
        <v>9.9</v>
      </c>
      <c r="Q2403" s="4">
        <f>IFERROR(__xludf.DUMMYFUNCTION("""COMPUTED_VALUE"""),4.4)</f>
        <v>4.4</v>
      </c>
      <c r="R2403" s="4">
        <f>IFERROR(__xludf.DUMMYFUNCTION("""COMPUTED_VALUE"""),1.6)</f>
        <v>1.6</v>
      </c>
      <c r="S2403" s="4">
        <f>IFERROR(__xludf.DUMMYFUNCTION("""COMPUTED_VALUE"""),36.4)</f>
        <v>36.4</v>
      </c>
      <c r="T2403" s="4">
        <f>IFERROR(__xludf.DUMMYFUNCTION("""COMPUTED_VALUE"""),0.085)</f>
        <v>0.085</v>
      </c>
      <c r="U2403" s="4">
        <f>IFERROR(__xludf.DUMMYFUNCTION("""COMPUTED_VALUE"""),-0.9)</f>
        <v>-0.9</v>
      </c>
      <c r="V2403" s="4">
        <f>IFERROR(__xludf.DUMMYFUNCTION("""COMPUTED_VALUE"""),5.7)</f>
        <v>5.7</v>
      </c>
    </row>
    <row r="2404">
      <c r="A2404" s="4">
        <f>IFERROR(__xludf.DUMMYFUNCTION("""COMPUTED_VALUE"""),13.0)</f>
        <v>13</v>
      </c>
      <c r="B2404" s="4">
        <f>IFERROR(__xludf.DUMMYFUNCTION("""COMPUTED_VALUE"""),13.0)</f>
        <v>13</v>
      </c>
      <c r="C2404" s="4" t="str">
        <f>IFERROR(__xludf.DUMMYFUNCTION("""COMPUTED_VALUE"""),"MIL")</f>
        <v>MIL</v>
      </c>
      <c r="D2404" s="4" t="str">
        <f>IFERROR(__xludf.DUMMYFUNCTION("""COMPUTED_VALUE"""),"Jeff Grayer")</f>
        <v>Jeff Grayer</v>
      </c>
      <c r="E2404" s="4" t="str">
        <f>IFERROR(__xludf.DUMMYFUNCTION("""COMPUTED_VALUE"""),"Iowa State")</f>
        <v>Iowa State</v>
      </c>
      <c r="F2404" s="4">
        <f>IFERROR(__xludf.DUMMYFUNCTION("""COMPUTED_VALUE"""),9.0)</f>
        <v>9</v>
      </c>
      <c r="G2404" s="4">
        <f>IFERROR(__xludf.DUMMYFUNCTION("""COMPUTED_VALUE"""),438.0)</f>
        <v>438</v>
      </c>
      <c r="H2404" s="4">
        <f>IFERROR(__xludf.DUMMYFUNCTION("""COMPUTED_VALUE"""),8277.0)</f>
        <v>8277</v>
      </c>
      <c r="I2404" s="4">
        <f>IFERROR(__xludf.DUMMYFUNCTION("""COMPUTED_VALUE"""),3257.0)</f>
        <v>3257</v>
      </c>
      <c r="J2404" s="4">
        <f>IFERROR(__xludf.DUMMYFUNCTION("""COMPUTED_VALUE"""),1294.0)</f>
        <v>1294</v>
      </c>
      <c r="K2404" s="4">
        <f>IFERROR(__xludf.DUMMYFUNCTION("""COMPUTED_VALUE"""),635.0)</f>
        <v>635</v>
      </c>
      <c r="L2404" s="4">
        <f>IFERROR(__xludf.DUMMYFUNCTION("""COMPUTED_VALUE"""),0.457)</f>
        <v>0.457</v>
      </c>
      <c r="M2404" s="4">
        <f>IFERROR(__xludf.DUMMYFUNCTION("""COMPUTED_VALUE"""),0.255)</f>
        <v>0.255</v>
      </c>
      <c r="N2404" s="4">
        <f>IFERROR(__xludf.DUMMYFUNCTION("""COMPUTED_VALUE"""),0.663)</f>
        <v>0.663</v>
      </c>
      <c r="O2404" s="4">
        <f>IFERROR(__xludf.DUMMYFUNCTION("""COMPUTED_VALUE"""),18.9)</f>
        <v>18.9</v>
      </c>
      <c r="P2404" s="4">
        <f>IFERROR(__xludf.DUMMYFUNCTION("""COMPUTED_VALUE"""),7.4)</f>
        <v>7.4</v>
      </c>
      <c r="Q2404" s="4">
        <f>IFERROR(__xludf.DUMMYFUNCTION("""COMPUTED_VALUE"""),3.0)</f>
        <v>3</v>
      </c>
      <c r="R2404" s="4">
        <f>IFERROR(__xludf.DUMMYFUNCTION("""COMPUTED_VALUE"""),1.4)</f>
        <v>1.4</v>
      </c>
      <c r="S2404" s="4">
        <f>IFERROR(__xludf.DUMMYFUNCTION("""COMPUTED_VALUE"""),9.0)</f>
        <v>9</v>
      </c>
      <c r="T2404" s="4">
        <f>IFERROR(__xludf.DUMMYFUNCTION("""COMPUTED_VALUE"""),0.052)</f>
        <v>0.052</v>
      </c>
      <c r="U2404" s="4">
        <f>IFERROR(__xludf.DUMMYFUNCTION("""COMPUTED_VALUE"""),-2.5)</f>
        <v>-2.5</v>
      </c>
      <c r="V2404" s="4">
        <f>IFERROR(__xludf.DUMMYFUNCTION("""COMPUTED_VALUE"""),-1.1)</f>
        <v>-1.1</v>
      </c>
    </row>
    <row r="2405">
      <c r="A2405" s="4">
        <f>IFERROR(__xludf.DUMMYFUNCTION("""COMPUTED_VALUE"""),14.0)</f>
        <v>14</v>
      </c>
      <c r="B2405" s="4">
        <f>IFERROR(__xludf.DUMMYFUNCTION("""COMPUTED_VALUE"""),14.0)</f>
        <v>14</v>
      </c>
      <c r="C2405" s="4" t="str">
        <f>IFERROR(__xludf.DUMMYFUNCTION("""COMPUTED_VALUE"""),"PHO")</f>
        <v>PHO</v>
      </c>
      <c r="D2405" s="4" t="str">
        <f>IFERROR(__xludf.DUMMYFUNCTION("""COMPUTED_VALUE"""),"Dan Majerle")</f>
        <v>Dan Majerle</v>
      </c>
      <c r="E2405" s="4" t="str">
        <f>IFERROR(__xludf.DUMMYFUNCTION("""COMPUTED_VALUE"""),"Central Michigan University")</f>
        <v>Central Michigan University</v>
      </c>
      <c r="F2405" s="4">
        <f>IFERROR(__xludf.DUMMYFUNCTION("""COMPUTED_VALUE"""),14.0)</f>
        <v>14</v>
      </c>
      <c r="G2405" s="4">
        <f>IFERROR(__xludf.DUMMYFUNCTION("""COMPUTED_VALUE"""),955.0)</f>
        <v>955</v>
      </c>
      <c r="H2405" s="4">
        <f>IFERROR(__xludf.DUMMYFUNCTION("""COMPUTED_VALUE"""),30206.0)</f>
        <v>30206</v>
      </c>
      <c r="I2405" s="4">
        <f>IFERROR(__xludf.DUMMYFUNCTION("""COMPUTED_VALUE"""),10925.0)</f>
        <v>10925</v>
      </c>
      <c r="J2405" s="4">
        <f>IFERROR(__xludf.DUMMYFUNCTION("""COMPUTED_VALUE"""),4265.0)</f>
        <v>4265</v>
      </c>
      <c r="K2405" s="4">
        <f>IFERROR(__xludf.DUMMYFUNCTION("""COMPUTED_VALUE"""),2755.0)</f>
        <v>2755</v>
      </c>
      <c r="L2405" s="4">
        <f>IFERROR(__xludf.DUMMYFUNCTION("""COMPUTED_VALUE"""),0.431)</f>
        <v>0.431</v>
      </c>
      <c r="M2405" s="4">
        <f>IFERROR(__xludf.DUMMYFUNCTION("""COMPUTED_VALUE"""),0.358)</f>
        <v>0.358</v>
      </c>
      <c r="N2405" s="4">
        <f>IFERROR(__xludf.DUMMYFUNCTION("""COMPUTED_VALUE"""),0.741)</f>
        <v>0.741</v>
      </c>
      <c r="O2405" s="4">
        <f>IFERROR(__xludf.DUMMYFUNCTION("""COMPUTED_VALUE"""),31.6)</f>
        <v>31.6</v>
      </c>
      <c r="P2405" s="4">
        <f>IFERROR(__xludf.DUMMYFUNCTION("""COMPUTED_VALUE"""),11.4)</f>
        <v>11.4</v>
      </c>
      <c r="Q2405" s="4">
        <f>IFERROR(__xludf.DUMMYFUNCTION("""COMPUTED_VALUE"""),4.5)</f>
        <v>4.5</v>
      </c>
      <c r="R2405" s="4">
        <f>IFERROR(__xludf.DUMMYFUNCTION("""COMPUTED_VALUE"""),2.9)</f>
        <v>2.9</v>
      </c>
      <c r="S2405" s="4">
        <f>IFERROR(__xludf.DUMMYFUNCTION("""COMPUTED_VALUE"""),78.5)</f>
        <v>78.5</v>
      </c>
      <c r="T2405" s="4">
        <f>IFERROR(__xludf.DUMMYFUNCTION("""COMPUTED_VALUE"""),0.125)</f>
        <v>0.125</v>
      </c>
      <c r="U2405" s="4">
        <f>IFERROR(__xludf.DUMMYFUNCTION("""COMPUTED_VALUE"""),1.9)</f>
        <v>1.9</v>
      </c>
      <c r="V2405" s="4">
        <f>IFERROR(__xludf.DUMMYFUNCTION("""COMPUTED_VALUE"""),29.7)</f>
        <v>29.7</v>
      </c>
    </row>
    <row r="2406">
      <c r="A2406" s="4">
        <f>IFERROR(__xludf.DUMMYFUNCTION("""COMPUTED_VALUE"""),15.0)</f>
        <v>15</v>
      </c>
      <c r="B2406" s="4">
        <f>IFERROR(__xludf.DUMMYFUNCTION("""COMPUTED_VALUE"""),15.0)</f>
        <v>15</v>
      </c>
      <c r="C2406" s="4" t="str">
        <f>IFERROR(__xludf.DUMMYFUNCTION("""COMPUTED_VALUE"""),"SEA")</f>
        <v>SEA</v>
      </c>
      <c r="D2406" s="4" t="str">
        <f>IFERROR(__xludf.DUMMYFUNCTION("""COMPUTED_VALUE"""),"Gary Grant")</f>
        <v>Gary Grant</v>
      </c>
      <c r="E2406" s="4" t="str">
        <f>IFERROR(__xludf.DUMMYFUNCTION("""COMPUTED_VALUE"""),"Michigan")</f>
        <v>Michigan</v>
      </c>
      <c r="F2406" s="4">
        <f>IFERROR(__xludf.DUMMYFUNCTION("""COMPUTED_VALUE"""),13.0)</f>
        <v>13</v>
      </c>
      <c r="G2406" s="4">
        <f>IFERROR(__xludf.DUMMYFUNCTION("""COMPUTED_VALUE"""),552.0)</f>
        <v>552</v>
      </c>
      <c r="H2406" s="4">
        <f>IFERROR(__xludf.DUMMYFUNCTION("""COMPUTED_VALUE"""),12602.0)</f>
        <v>12602</v>
      </c>
      <c r="I2406" s="4">
        <f>IFERROR(__xludf.DUMMYFUNCTION("""COMPUTED_VALUE"""),4368.0)</f>
        <v>4368</v>
      </c>
      <c r="J2406" s="4">
        <f>IFERROR(__xludf.DUMMYFUNCTION("""COMPUTED_VALUE"""),1283.0)</f>
        <v>1283</v>
      </c>
      <c r="K2406" s="4">
        <f>IFERROR(__xludf.DUMMYFUNCTION("""COMPUTED_VALUE"""),3013.0)</f>
        <v>3013</v>
      </c>
      <c r="L2406" s="4">
        <f>IFERROR(__xludf.DUMMYFUNCTION("""COMPUTED_VALUE"""),0.45)</f>
        <v>0.45</v>
      </c>
      <c r="M2406" s="4">
        <f>IFERROR(__xludf.DUMMYFUNCTION("""COMPUTED_VALUE"""),0.278)</f>
        <v>0.278</v>
      </c>
      <c r="N2406" s="4">
        <f>IFERROR(__xludf.DUMMYFUNCTION("""COMPUTED_VALUE"""),0.776)</f>
        <v>0.776</v>
      </c>
      <c r="O2406" s="4">
        <f>IFERROR(__xludf.DUMMYFUNCTION("""COMPUTED_VALUE"""),22.8)</f>
        <v>22.8</v>
      </c>
      <c r="P2406" s="4">
        <f>IFERROR(__xludf.DUMMYFUNCTION("""COMPUTED_VALUE"""),7.9)</f>
        <v>7.9</v>
      </c>
      <c r="Q2406" s="4">
        <f>IFERROR(__xludf.DUMMYFUNCTION("""COMPUTED_VALUE"""),2.3)</f>
        <v>2.3</v>
      </c>
      <c r="R2406" s="4">
        <f>IFERROR(__xludf.DUMMYFUNCTION("""COMPUTED_VALUE"""),5.5)</f>
        <v>5.5</v>
      </c>
      <c r="S2406" s="4">
        <f>IFERROR(__xludf.DUMMYFUNCTION("""COMPUTED_VALUE"""),12.0)</f>
        <v>12</v>
      </c>
      <c r="T2406" s="4">
        <f>IFERROR(__xludf.DUMMYFUNCTION("""COMPUTED_VALUE"""),0.046)</f>
        <v>0.046</v>
      </c>
      <c r="U2406" s="4">
        <f>IFERROR(__xludf.DUMMYFUNCTION("""COMPUTED_VALUE"""),-0.8)</f>
        <v>-0.8</v>
      </c>
      <c r="V2406" s="4">
        <f>IFERROR(__xludf.DUMMYFUNCTION("""COMPUTED_VALUE"""),3.7)</f>
        <v>3.7</v>
      </c>
    </row>
    <row r="2407">
      <c r="A2407" s="4">
        <f>IFERROR(__xludf.DUMMYFUNCTION("""COMPUTED_VALUE"""),16.0)</f>
        <v>16</v>
      </c>
      <c r="B2407" s="4">
        <f>IFERROR(__xludf.DUMMYFUNCTION("""COMPUTED_VALUE"""),16.0)</f>
        <v>16</v>
      </c>
      <c r="C2407" s="4" t="str">
        <f>IFERROR(__xludf.DUMMYFUNCTION("""COMPUTED_VALUE"""),"HOU")</f>
        <v>HOU</v>
      </c>
      <c r="D2407" s="4" t="str">
        <f>IFERROR(__xludf.DUMMYFUNCTION("""COMPUTED_VALUE"""),"Derrick Chievous")</f>
        <v>Derrick Chievous</v>
      </c>
      <c r="E2407" s="4" t="str">
        <f>IFERROR(__xludf.DUMMYFUNCTION("""COMPUTED_VALUE"""),"Missouri")</f>
        <v>Missouri</v>
      </c>
      <c r="F2407" s="4">
        <f>IFERROR(__xludf.DUMMYFUNCTION("""COMPUTED_VALUE"""),3.0)</f>
        <v>3</v>
      </c>
      <c r="G2407" s="4">
        <f>IFERROR(__xludf.DUMMYFUNCTION("""COMPUTED_VALUE"""),154.0)</f>
        <v>154</v>
      </c>
      <c r="H2407" s="4">
        <f>IFERROR(__xludf.DUMMYFUNCTION("""COMPUTED_VALUE"""),2240.0)</f>
        <v>2240</v>
      </c>
      <c r="I2407" s="4">
        <f>IFERROR(__xludf.DUMMYFUNCTION("""COMPUTED_VALUE"""),1086.0)</f>
        <v>1086</v>
      </c>
      <c r="J2407" s="4">
        <f>IFERROR(__xludf.DUMMYFUNCTION("""COMPUTED_VALUE"""),364.0)</f>
        <v>364</v>
      </c>
      <c r="K2407" s="4">
        <f>IFERROR(__xludf.DUMMYFUNCTION("""COMPUTED_VALUE"""),110.0)</f>
        <v>110</v>
      </c>
      <c r="L2407" s="4">
        <f>IFERROR(__xludf.DUMMYFUNCTION("""COMPUTED_VALUE"""),0.443)</f>
        <v>0.443</v>
      </c>
      <c r="M2407" s="4">
        <f>IFERROR(__xludf.DUMMYFUNCTION("""COMPUTED_VALUE"""),0.242)</f>
        <v>0.242</v>
      </c>
      <c r="N2407" s="4">
        <f>IFERROR(__xludf.DUMMYFUNCTION("""COMPUTED_VALUE"""),0.755)</f>
        <v>0.755</v>
      </c>
      <c r="O2407" s="4">
        <f>IFERROR(__xludf.DUMMYFUNCTION("""COMPUTED_VALUE"""),14.5)</f>
        <v>14.5</v>
      </c>
      <c r="P2407" s="4">
        <f>IFERROR(__xludf.DUMMYFUNCTION("""COMPUTED_VALUE"""),7.1)</f>
        <v>7.1</v>
      </c>
      <c r="Q2407" s="4">
        <f>IFERROR(__xludf.DUMMYFUNCTION("""COMPUTED_VALUE"""),2.4)</f>
        <v>2.4</v>
      </c>
      <c r="R2407" s="4">
        <f>IFERROR(__xludf.DUMMYFUNCTION("""COMPUTED_VALUE"""),0.7)</f>
        <v>0.7</v>
      </c>
      <c r="S2407" s="4">
        <f>IFERROR(__xludf.DUMMYFUNCTION("""COMPUTED_VALUE"""),2.7)</f>
        <v>2.7</v>
      </c>
      <c r="T2407" s="4">
        <f>IFERROR(__xludf.DUMMYFUNCTION("""COMPUTED_VALUE"""),0.057)</f>
        <v>0.057</v>
      </c>
      <c r="U2407" s="4">
        <f>IFERROR(__xludf.DUMMYFUNCTION("""COMPUTED_VALUE"""),-3.2)</f>
        <v>-3.2</v>
      </c>
      <c r="V2407" s="4">
        <f>IFERROR(__xludf.DUMMYFUNCTION("""COMPUTED_VALUE"""),-0.7)</f>
        <v>-0.7</v>
      </c>
    </row>
    <row r="2408">
      <c r="A2408" s="4">
        <f>IFERROR(__xludf.DUMMYFUNCTION("""COMPUTED_VALUE"""),17.0)</f>
        <v>17</v>
      </c>
      <c r="B2408" s="4">
        <f>IFERROR(__xludf.DUMMYFUNCTION("""COMPUTED_VALUE"""),17.0)</f>
        <v>17</v>
      </c>
      <c r="C2408" s="4" t="str">
        <f>IFERROR(__xludf.DUMMYFUNCTION("""COMPUTED_VALUE"""),"UTA")</f>
        <v>UTA</v>
      </c>
      <c r="D2408" s="4" t="str">
        <f>IFERROR(__xludf.DUMMYFUNCTION("""COMPUTED_VALUE"""),"Eric Leckner")</f>
        <v>Eric Leckner</v>
      </c>
      <c r="E2408" s="4" t="str">
        <f>IFERROR(__xludf.DUMMYFUNCTION("""COMPUTED_VALUE"""),"Wyoming")</f>
        <v>Wyoming</v>
      </c>
      <c r="F2408" s="4">
        <f>IFERROR(__xludf.DUMMYFUNCTION("""COMPUTED_VALUE"""),8.0)</f>
        <v>8</v>
      </c>
      <c r="G2408" s="4">
        <f>IFERROR(__xludf.DUMMYFUNCTION("""COMPUTED_VALUE"""),449.0)</f>
        <v>449</v>
      </c>
      <c r="H2408" s="4">
        <f>IFERROR(__xludf.DUMMYFUNCTION("""COMPUTED_VALUE"""),5448.0)</f>
        <v>5448</v>
      </c>
      <c r="I2408" s="4">
        <f>IFERROR(__xludf.DUMMYFUNCTION("""COMPUTED_VALUE"""),1835.0)</f>
        <v>1835</v>
      </c>
      <c r="J2408" s="4">
        <f>IFERROR(__xludf.DUMMYFUNCTION("""COMPUTED_VALUE"""),1418.0)</f>
        <v>1418</v>
      </c>
      <c r="K2408" s="4">
        <f>IFERROR(__xludf.DUMMYFUNCTION("""COMPUTED_VALUE"""),211.0)</f>
        <v>211</v>
      </c>
      <c r="L2408" s="4">
        <f>IFERROR(__xludf.DUMMYFUNCTION("""COMPUTED_VALUE"""),0.508)</f>
        <v>0.508</v>
      </c>
      <c r="M2408" s="4">
        <f>IFERROR(__xludf.DUMMYFUNCTION("""COMPUTED_VALUE"""),0.0)</f>
        <v>0</v>
      </c>
      <c r="N2408" s="4">
        <f>IFERROR(__xludf.DUMMYFUNCTION("""COMPUTED_VALUE"""),0.669)</f>
        <v>0.669</v>
      </c>
      <c r="O2408" s="4">
        <f>IFERROR(__xludf.DUMMYFUNCTION("""COMPUTED_VALUE"""),12.1)</f>
        <v>12.1</v>
      </c>
      <c r="P2408" s="4">
        <f>IFERROR(__xludf.DUMMYFUNCTION("""COMPUTED_VALUE"""),4.1)</f>
        <v>4.1</v>
      </c>
      <c r="Q2408" s="4">
        <f>IFERROR(__xludf.DUMMYFUNCTION("""COMPUTED_VALUE"""),3.2)</f>
        <v>3.2</v>
      </c>
      <c r="R2408" s="4">
        <f>IFERROR(__xludf.DUMMYFUNCTION("""COMPUTED_VALUE"""),0.5)</f>
        <v>0.5</v>
      </c>
      <c r="S2408" s="4">
        <f>IFERROR(__xludf.DUMMYFUNCTION("""COMPUTED_VALUE"""),6.2)</f>
        <v>6.2</v>
      </c>
      <c r="T2408" s="4">
        <f>IFERROR(__xludf.DUMMYFUNCTION("""COMPUTED_VALUE"""),0.054)</f>
        <v>0.054</v>
      </c>
      <c r="U2408" s="4">
        <f>IFERROR(__xludf.DUMMYFUNCTION("""COMPUTED_VALUE"""),-5.3)</f>
        <v>-5.3</v>
      </c>
      <c r="V2408" s="4">
        <f>IFERROR(__xludf.DUMMYFUNCTION("""COMPUTED_VALUE"""),-4.6)</f>
        <v>-4.6</v>
      </c>
    </row>
    <row r="2409">
      <c r="A2409" s="4">
        <f>IFERROR(__xludf.DUMMYFUNCTION("""COMPUTED_VALUE"""),18.0)</f>
        <v>18</v>
      </c>
      <c r="B2409" s="4">
        <f>IFERROR(__xludf.DUMMYFUNCTION("""COMPUTED_VALUE"""),18.0)</f>
        <v>18</v>
      </c>
      <c r="C2409" s="4" t="str">
        <f>IFERROR(__xludf.DUMMYFUNCTION("""COMPUTED_VALUE"""),"SAC")</f>
        <v>SAC</v>
      </c>
      <c r="D2409" s="4" t="str">
        <f>IFERROR(__xludf.DUMMYFUNCTION("""COMPUTED_VALUE"""),"Ricky Berry")</f>
        <v>Ricky Berry</v>
      </c>
      <c r="E2409" s="4" t="str">
        <f>IFERROR(__xludf.DUMMYFUNCTION("""COMPUTED_VALUE"""),"San Jose State")</f>
        <v>San Jose State</v>
      </c>
      <c r="F2409" s="4">
        <f>IFERROR(__xludf.DUMMYFUNCTION("""COMPUTED_VALUE"""),1.0)</f>
        <v>1</v>
      </c>
      <c r="G2409" s="4">
        <f>IFERROR(__xludf.DUMMYFUNCTION("""COMPUTED_VALUE"""),64.0)</f>
        <v>64</v>
      </c>
      <c r="H2409" s="4">
        <f>IFERROR(__xludf.DUMMYFUNCTION("""COMPUTED_VALUE"""),1406.0)</f>
        <v>1406</v>
      </c>
      <c r="I2409" s="4">
        <f>IFERROR(__xludf.DUMMYFUNCTION("""COMPUTED_VALUE"""),706.0)</f>
        <v>706</v>
      </c>
      <c r="J2409" s="4">
        <f>IFERROR(__xludf.DUMMYFUNCTION("""COMPUTED_VALUE"""),197.0)</f>
        <v>197</v>
      </c>
      <c r="K2409" s="4">
        <f>IFERROR(__xludf.DUMMYFUNCTION("""COMPUTED_VALUE"""),80.0)</f>
        <v>80</v>
      </c>
      <c r="L2409" s="4">
        <f>IFERROR(__xludf.DUMMYFUNCTION("""COMPUTED_VALUE"""),0.45)</f>
        <v>0.45</v>
      </c>
      <c r="M2409" s="4">
        <f>IFERROR(__xludf.DUMMYFUNCTION("""COMPUTED_VALUE"""),0.406)</f>
        <v>0.406</v>
      </c>
      <c r="N2409" s="4">
        <f>IFERROR(__xludf.DUMMYFUNCTION("""COMPUTED_VALUE"""),0.789)</f>
        <v>0.789</v>
      </c>
      <c r="O2409" s="4">
        <f>IFERROR(__xludf.DUMMYFUNCTION("""COMPUTED_VALUE"""),22.0)</f>
        <v>22</v>
      </c>
      <c r="P2409" s="4">
        <f>IFERROR(__xludf.DUMMYFUNCTION("""COMPUTED_VALUE"""),11.0)</f>
        <v>11</v>
      </c>
      <c r="Q2409" s="4">
        <f>IFERROR(__xludf.DUMMYFUNCTION("""COMPUTED_VALUE"""),3.1)</f>
        <v>3.1</v>
      </c>
      <c r="R2409" s="4">
        <f>IFERROR(__xludf.DUMMYFUNCTION("""COMPUTED_VALUE"""),1.3)</f>
        <v>1.3</v>
      </c>
      <c r="S2409" s="4">
        <f>IFERROR(__xludf.DUMMYFUNCTION("""COMPUTED_VALUE"""),2.4)</f>
        <v>2.4</v>
      </c>
      <c r="T2409" s="4">
        <f>IFERROR(__xludf.DUMMYFUNCTION("""COMPUTED_VALUE"""),0.083)</f>
        <v>0.083</v>
      </c>
      <c r="U2409" s="4">
        <f>IFERROR(__xludf.DUMMYFUNCTION("""COMPUTED_VALUE"""),-1.7)</f>
        <v>-1.7</v>
      </c>
      <c r="V2409" s="4">
        <f>IFERROR(__xludf.DUMMYFUNCTION("""COMPUTED_VALUE"""),0.1)</f>
        <v>0.1</v>
      </c>
    </row>
    <row r="2410">
      <c r="A2410" s="4">
        <f>IFERROR(__xludf.DUMMYFUNCTION("""COMPUTED_VALUE"""),19.0)</f>
        <v>19</v>
      </c>
      <c r="B2410" s="4">
        <f>IFERROR(__xludf.DUMMYFUNCTION("""COMPUTED_VALUE"""),19.0)</f>
        <v>19</v>
      </c>
      <c r="C2410" s="4" t="str">
        <f>IFERROR(__xludf.DUMMYFUNCTION("""COMPUTED_VALUE"""),"NYK")</f>
        <v>NYK</v>
      </c>
      <c r="D2410" s="4" t="str">
        <f>IFERROR(__xludf.DUMMYFUNCTION("""COMPUTED_VALUE"""),"Rod Strickland")</f>
        <v>Rod Strickland</v>
      </c>
      <c r="E2410" s="4" t="str">
        <f>IFERROR(__xludf.DUMMYFUNCTION("""COMPUTED_VALUE"""),"DePaul")</f>
        <v>DePaul</v>
      </c>
      <c r="F2410" s="4">
        <f>IFERROR(__xludf.DUMMYFUNCTION("""COMPUTED_VALUE"""),17.0)</f>
        <v>17</v>
      </c>
      <c r="G2410" s="4">
        <f>IFERROR(__xludf.DUMMYFUNCTION("""COMPUTED_VALUE"""),1094.0)</f>
        <v>1094</v>
      </c>
      <c r="H2410" s="4">
        <f>IFERROR(__xludf.DUMMYFUNCTION("""COMPUTED_VALUE"""),33634.0)</f>
        <v>33634</v>
      </c>
      <c r="I2410" s="4">
        <f>IFERROR(__xludf.DUMMYFUNCTION("""COMPUTED_VALUE"""),14463.0)</f>
        <v>14463</v>
      </c>
      <c r="J2410" s="4">
        <f>IFERROR(__xludf.DUMMYFUNCTION("""COMPUTED_VALUE"""),4084.0)</f>
        <v>4084</v>
      </c>
      <c r="K2410" s="4">
        <f>IFERROR(__xludf.DUMMYFUNCTION("""COMPUTED_VALUE"""),7987.0)</f>
        <v>7987</v>
      </c>
      <c r="L2410" s="4">
        <f>IFERROR(__xludf.DUMMYFUNCTION("""COMPUTED_VALUE"""),0.454)</f>
        <v>0.454</v>
      </c>
      <c r="M2410" s="4">
        <f>IFERROR(__xludf.DUMMYFUNCTION("""COMPUTED_VALUE"""),0.282)</f>
        <v>0.282</v>
      </c>
      <c r="N2410" s="4">
        <f>IFERROR(__xludf.DUMMYFUNCTION("""COMPUTED_VALUE"""),0.721)</f>
        <v>0.721</v>
      </c>
      <c r="O2410" s="4">
        <f>IFERROR(__xludf.DUMMYFUNCTION("""COMPUTED_VALUE"""),30.7)</f>
        <v>30.7</v>
      </c>
      <c r="P2410" s="4">
        <f>IFERROR(__xludf.DUMMYFUNCTION("""COMPUTED_VALUE"""),13.2)</f>
        <v>13.2</v>
      </c>
      <c r="Q2410" s="4">
        <f>IFERROR(__xludf.DUMMYFUNCTION("""COMPUTED_VALUE"""),3.7)</f>
        <v>3.7</v>
      </c>
      <c r="R2410" s="4">
        <f>IFERROR(__xludf.DUMMYFUNCTION("""COMPUTED_VALUE"""),7.3)</f>
        <v>7.3</v>
      </c>
      <c r="S2410" s="4">
        <f>IFERROR(__xludf.DUMMYFUNCTION("""COMPUTED_VALUE"""),85.8)</f>
        <v>85.8</v>
      </c>
      <c r="T2410" s="4">
        <f>IFERROR(__xludf.DUMMYFUNCTION("""COMPUTED_VALUE"""),0.122)</f>
        <v>0.122</v>
      </c>
      <c r="U2410" s="4">
        <f>IFERROR(__xludf.DUMMYFUNCTION("""COMPUTED_VALUE"""),2.3)</f>
        <v>2.3</v>
      </c>
      <c r="V2410" s="4">
        <f>IFERROR(__xludf.DUMMYFUNCTION("""COMPUTED_VALUE"""),36.6)</f>
        <v>36.6</v>
      </c>
    </row>
    <row r="2411">
      <c r="A2411" s="4">
        <f>IFERROR(__xludf.DUMMYFUNCTION("""COMPUTED_VALUE"""),20.0)</f>
        <v>20</v>
      </c>
      <c r="B2411" s="4">
        <f>IFERROR(__xludf.DUMMYFUNCTION("""COMPUTED_VALUE"""),20.0)</f>
        <v>20</v>
      </c>
      <c r="C2411" s="4" t="str">
        <f>IFERROR(__xludf.DUMMYFUNCTION("""COMPUTED_VALUE"""),"MIA")</f>
        <v>MIA</v>
      </c>
      <c r="D2411" s="4" t="str">
        <f>IFERROR(__xludf.DUMMYFUNCTION("""COMPUTED_VALUE"""),"Kevin Edwards")</f>
        <v>Kevin Edwards</v>
      </c>
      <c r="E2411" s="4" t="str">
        <f>IFERROR(__xludf.DUMMYFUNCTION("""COMPUTED_VALUE"""),"DePaul")</f>
        <v>DePaul</v>
      </c>
      <c r="F2411" s="4">
        <f>IFERROR(__xludf.DUMMYFUNCTION("""COMPUTED_VALUE"""),11.0)</f>
        <v>11</v>
      </c>
      <c r="G2411" s="4">
        <f>IFERROR(__xludf.DUMMYFUNCTION("""COMPUTED_VALUE"""),604.0)</f>
        <v>604</v>
      </c>
      <c r="H2411" s="4">
        <f>IFERROR(__xludf.DUMMYFUNCTION("""COMPUTED_VALUE"""),15332.0)</f>
        <v>15332</v>
      </c>
      <c r="I2411" s="4">
        <f>IFERROR(__xludf.DUMMYFUNCTION("""COMPUTED_VALUE"""),6596.0)</f>
        <v>6596</v>
      </c>
      <c r="J2411" s="4">
        <f>IFERROR(__xludf.DUMMYFUNCTION("""COMPUTED_VALUE"""),1653.0)</f>
        <v>1653</v>
      </c>
      <c r="K2411" s="4">
        <f>IFERROR(__xludf.DUMMYFUNCTION("""COMPUTED_VALUE"""),1609.0)</f>
        <v>1609</v>
      </c>
      <c r="L2411" s="4">
        <f>IFERROR(__xludf.DUMMYFUNCTION("""COMPUTED_VALUE"""),0.423)</f>
        <v>0.423</v>
      </c>
      <c r="M2411" s="4">
        <f>IFERROR(__xludf.DUMMYFUNCTION("""COMPUTED_VALUE"""),0.335)</f>
        <v>0.335</v>
      </c>
      <c r="N2411" s="4">
        <f>IFERROR(__xludf.DUMMYFUNCTION("""COMPUTED_VALUE"""),0.803)</f>
        <v>0.803</v>
      </c>
      <c r="O2411" s="4">
        <f>IFERROR(__xludf.DUMMYFUNCTION("""COMPUTED_VALUE"""),25.4)</f>
        <v>25.4</v>
      </c>
      <c r="P2411" s="4">
        <f>IFERROR(__xludf.DUMMYFUNCTION("""COMPUTED_VALUE"""),10.9)</f>
        <v>10.9</v>
      </c>
      <c r="Q2411" s="4">
        <f>IFERROR(__xludf.DUMMYFUNCTION("""COMPUTED_VALUE"""),2.7)</f>
        <v>2.7</v>
      </c>
      <c r="R2411" s="4">
        <f>IFERROR(__xludf.DUMMYFUNCTION("""COMPUTED_VALUE"""),2.7)</f>
        <v>2.7</v>
      </c>
      <c r="S2411" s="4">
        <f>IFERROR(__xludf.DUMMYFUNCTION("""COMPUTED_VALUE"""),12.5)</f>
        <v>12.5</v>
      </c>
      <c r="T2411" s="4">
        <f>IFERROR(__xludf.DUMMYFUNCTION("""COMPUTED_VALUE"""),0.039)</f>
        <v>0.039</v>
      </c>
      <c r="U2411" s="4">
        <f>IFERROR(__xludf.DUMMYFUNCTION("""COMPUTED_VALUE"""),-1.1)</f>
        <v>-1.1</v>
      </c>
      <c r="V2411" s="4">
        <f>IFERROR(__xludf.DUMMYFUNCTION("""COMPUTED_VALUE"""),3.3)</f>
        <v>3.3</v>
      </c>
    </row>
    <row r="2412">
      <c r="A2412" s="4">
        <f>IFERROR(__xludf.DUMMYFUNCTION("""COMPUTED_VALUE"""),21.0)</f>
        <v>21</v>
      </c>
      <c r="B2412" s="4">
        <f>IFERROR(__xludf.DUMMYFUNCTION("""COMPUTED_VALUE"""),21.0)</f>
        <v>21</v>
      </c>
      <c r="C2412" s="4" t="str">
        <f>IFERROR(__xludf.DUMMYFUNCTION("""COMPUTED_VALUE"""),"POR")</f>
        <v>POR</v>
      </c>
      <c r="D2412" s="4" t="str">
        <f>IFERROR(__xludf.DUMMYFUNCTION("""COMPUTED_VALUE"""),"Mark Bryant")</f>
        <v>Mark Bryant</v>
      </c>
      <c r="E2412" s="4" t="str">
        <f>IFERROR(__xludf.DUMMYFUNCTION("""COMPUTED_VALUE"""),"Seton Hall")</f>
        <v>Seton Hall</v>
      </c>
      <c r="F2412" s="4">
        <f>IFERROR(__xludf.DUMMYFUNCTION("""COMPUTED_VALUE"""),15.0)</f>
        <v>15</v>
      </c>
      <c r="G2412" s="4">
        <f>IFERROR(__xludf.DUMMYFUNCTION("""COMPUTED_VALUE"""),797.0)</f>
        <v>797</v>
      </c>
      <c r="H2412" s="4">
        <f>IFERROR(__xludf.DUMMYFUNCTION("""COMPUTED_VALUE"""),13479.0)</f>
        <v>13479</v>
      </c>
      <c r="I2412" s="4">
        <f>IFERROR(__xludf.DUMMYFUNCTION("""COMPUTED_VALUE"""),4313.0)</f>
        <v>4313</v>
      </c>
      <c r="J2412" s="4">
        <f>IFERROR(__xludf.DUMMYFUNCTION("""COMPUTED_VALUE"""),2992.0)</f>
        <v>2992</v>
      </c>
      <c r="K2412" s="4">
        <f>IFERROR(__xludf.DUMMYFUNCTION("""COMPUTED_VALUE"""),491.0)</f>
        <v>491</v>
      </c>
      <c r="L2412" s="4">
        <f>IFERROR(__xludf.DUMMYFUNCTION("""COMPUTED_VALUE"""),0.5)</f>
        <v>0.5</v>
      </c>
      <c r="M2412" s="4">
        <f>IFERROR(__xludf.DUMMYFUNCTION("""COMPUTED_VALUE"""),0.083)</f>
        <v>0.083</v>
      </c>
      <c r="N2412" s="4">
        <f>IFERROR(__xludf.DUMMYFUNCTION("""COMPUTED_VALUE"""),0.697)</f>
        <v>0.697</v>
      </c>
      <c r="O2412" s="4">
        <f>IFERROR(__xludf.DUMMYFUNCTION("""COMPUTED_VALUE"""),16.9)</f>
        <v>16.9</v>
      </c>
      <c r="P2412" s="4">
        <f>IFERROR(__xludf.DUMMYFUNCTION("""COMPUTED_VALUE"""),5.4)</f>
        <v>5.4</v>
      </c>
      <c r="Q2412" s="4">
        <f>IFERROR(__xludf.DUMMYFUNCTION("""COMPUTED_VALUE"""),3.8)</f>
        <v>3.8</v>
      </c>
      <c r="R2412" s="4">
        <f>IFERROR(__xludf.DUMMYFUNCTION("""COMPUTED_VALUE"""),0.6)</f>
        <v>0.6</v>
      </c>
      <c r="S2412" s="4">
        <f>IFERROR(__xludf.DUMMYFUNCTION("""COMPUTED_VALUE"""),26.1)</f>
        <v>26.1</v>
      </c>
      <c r="T2412" s="4">
        <f>IFERROR(__xludf.DUMMYFUNCTION("""COMPUTED_VALUE"""),0.093)</f>
        <v>0.093</v>
      </c>
      <c r="U2412" s="4">
        <f>IFERROR(__xludf.DUMMYFUNCTION("""COMPUTED_VALUE"""),-3.2)</f>
        <v>-3.2</v>
      </c>
      <c r="V2412" s="4">
        <f>IFERROR(__xludf.DUMMYFUNCTION("""COMPUTED_VALUE"""),-4.0)</f>
        <v>-4</v>
      </c>
    </row>
    <row r="2413">
      <c r="A2413" s="4">
        <f>IFERROR(__xludf.DUMMYFUNCTION("""COMPUTED_VALUE"""),22.0)</f>
        <v>22</v>
      </c>
      <c r="B2413" s="4">
        <f>IFERROR(__xludf.DUMMYFUNCTION("""COMPUTED_VALUE"""),22.0)</f>
        <v>22</v>
      </c>
      <c r="C2413" s="4" t="str">
        <f>IFERROR(__xludf.DUMMYFUNCTION("""COMPUTED_VALUE"""),"CLE")</f>
        <v>CLE</v>
      </c>
      <c r="D2413" s="4" t="str">
        <f>IFERROR(__xludf.DUMMYFUNCTION("""COMPUTED_VALUE"""),"Randolph Keys")</f>
        <v>Randolph Keys</v>
      </c>
      <c r="E2413" s="4" t="str">
        <f>IFERROR(__xludf.DUMMYFUNCTION("""COMPUTED_VALUE"""),"Southern Miss")</f>
        <v>Southern Miss</v>
      </c>
      <c r="F2413" s="4">
        <f>IFERROR(__xludf.DUMMYFUNCTION("""COMPUTED_VALUE"""),5.0)</f>
        <v>5</v>
      </c>
      <c r="G2413" s="4">
        <f>IFERROR(__xludf.DUMMYFUNCTION("""COMPUTED_VALUE"""),241.0)</f>
        <v>241</v>
      </c>
      <c r="H2413" s="4">
        <f>IFERROR(__xludf.DUMMYFUNCTION("""COMPUTED_VALUE"""),3318.0)</f>
        <v>3318</v>
      </c>
      <c r="I2413" s="4">
        <f>IFERROR(__xludf.DUMMYFUNCTION("""COMPUTED_VALUE"""),1262.0)</f>
        <v>1262</v>
      </c>
      <c r="J2413" s="4">
        <f>IFERROR(__xludf.DUMMYFUNCTION("""COMPUTED_VALUE"""),551.0)</f>
        <v>551</v>
      </c>
      <c r="K2413" s="4">
        <f>IFERROR(__xludf.DUMMYFUNCTION("""COMPUTED_VALUE"""),192.0)</f>
        <v>192</v>
      </c>
      <c r="L2413" s="4">
        <f>IFERROR(__xludf.DUMMYFUNCTION("""COMPUTED_VALUE"""),0.425)</f>
        <v>0.425</v>
      </c>
      <c r="M2413" s="4">
        <f>IFERROR(__xludf.DUMMYFUNCTION("""COMPUTED_VALUE"""),0.272)</f>
        <v>0.272</v>
      </c>
      <c r="N2413" s="4">
        <f>IFERROR(__xludf.DUMMYFUNCTION("""COMPUTED_VALUE"""),0.721)</f>
        <v>0.721</v>
      </c>
      <c r="O2413" s="4">
        <f>IFERROR(__xludf.DUMMYFUNCTION("""COMPUTED_VALUE"""),13.8)</f>
        <v>13.8</v>
      </c>
      <c r="P2413" s="4">
        <f>IFERROR(__xludf.DUMMYFUNCTION("""COMPUTED_VALUE"""),5.2)</f>
        <v>5.2</v>
      </c>
      <c r="Q2413" s="4">
        <f>IFERROR(__xludf.DUMMYFUNCTION("""COMPUTED_VALUE"""),2.3)</f>
        <v>2.3</v>
      </c>
      <c r="R2413" s="4">
        <f>IFERROR(__xludf.DUMMYFUNCTION("""COMPUTED_VALUE"""),0.8)</f>
        <v>0.8</v>
      </c>
      <c r="S2413" s="4">
        <f>IFERROR(__xludf.DUMMYFUNCTION("""COMPUTED_VALUE"""),2.3)</f>
        <v>2.3</v>
      </c>
      <c r="T2413" s="4">
        <f>IFERROR(__xludf.DUMMYFUNCTION("""COMPUTED_VALUE"""),0.034)</f>
        <v>0.034</v>
      </c>
      <c r="U2413" s="4">
        <f>IFERROR(__xludf.DUMMYFUNCTION("""COMPUTED_VALUE"""),-3.9)</f>
        <v>-3.9</v>
      </c>
      <c r="V2413" s="4">
        <f>IFERROR(__xludf.DUMMYFUNCTION("""COMPUTED_VALUE"""),-1.6)</f>
        <v>-1.6</v>
      </c>
    </row>
    <row r="2414">
      <c r="A2414" s="4">
        <f>IFERROR(__xludf.DUMMYFUNCTION("""COMPUTED_VALUE"""),23.0)</f>
        <v>23</v>
      </c>
      <c r="B2414" s="4">
        <f>IFERROR(__xludf.DUMMYFUNCTION("""COMPUTED_VALUE"""),23.0)</f>
        <v>23</v>
      </c>
      <c r="C2414" s="4" t="str">
        <f>IFERROR(__xludf.DUMMYFUNCTION("""COMPUTED_VALUE"""),"DEN")</f>
        <v>DEN</v>
      </c>
      <c r="D2414" s="4" t="str">
        <f>IFERROR(__xludf.DUMMYFUNCTION("""COMPUTED_VALUE"""),"Jerome Lane")</f>
        <v>Jerome Lane</v>
      </c>
      <c r="E2414" s="4" t="str">
        <f>IFERROR(__xludf.DUMMYFUNCTION("""COMPUTED_VALUE"""),"Pitt")</f>
        <v>Pitt</v>
      </c>
      <c r="F2414" s="4">
        <f>IFERROR(__xludf.DUMMYFUNCTION("""COMPUTED_VALUE"""),5.0)</f>
        <v>5</v>
      </c>
      <c r="G2414" s="4">
        <f>IFERROR(__xludf.DUMMYFUNCTION("""COMPUTED_VALUE"""),218.0)</f>
        <v>218</v>
      </c>
      <c r="H2414" s="4">
        <f>IFERROR(__xludf.DUMMYFUNCTION("""COMPUTED_VALUE"""),3215.0)</f>
        <v>3215</v>
      </c>
      <c r="I2414" s="4">
        <f>IFERROR(__xludf.DUMMYFUNCTION("""COMPUTED_VALUE"""),1154.0)</f>
        <v>1154</v>
      </c>
      <c r="J2414" s="4">
        <f>IFERROR(__xludf.DUMMYFUNCTION("""COMPUTED_VALUE"""),1258.0)</f>
        <v>1258</v>
      </c>
      <c r="K2414" s="4">
        <f>IFERROR(__xludf.DUMMYFUNCTION("""COMPUTED_VALUE"""),322.0)</f>
        <v>322</v>
      </c>
      <c r="L2414" s="4">
        <f>IFERROR(__xludf.DUMMYFUNCTION("""COMPUTED_VALUE"""),0.441)</f>
        <v>0.441</v>
      </c>
      <c r="M2414" s="4">
        <f>IFERROR(__xludf.DUMMYFUNCTION("""COMPUTED_VALUE"""),0.063)</f>
        <v>0.063</v>
      </c>
      <c r="N2414" s="4">
        <f>IFERROR(__xludf.DUMMYFUNCTION("""COMPUTED_VALUE"""),0.379)</f>
        <v>0.379</v>
      </c>
      <c r="O2414" s="4">
        <f>IFERROR(__xludf.DUMMYFUNCTION("""COMPUTED_VALUE"""),14.7)</f>
        <v>14.7</v>
      </c>
      <c r="P2414" s="4">
        <f>IFERROR(__xludf.DUMMYFUNCTION("""COMPUTED_VALUE"""),5.3)</f>
        <v>5.3</v>
      </c>
      <c r="Q2414" s="4">
        <f>IFERROR(__xludf.DUMMYFUNCTION("""COMPUTED_VALUE"""),5.8)</f>
        <v>5.8</v>
      </c>
      <c r="R2414" s="4">
        <f>IFERROR(__xludf.DUMMYFUNCTION("""COMPUTED_VALUE"""),1.5)</f>
        <v>1.5</v>
      </c>
      <c r="S2414" s="4">
        <f>IFERROR(__xludf.DUMMYFUNCTION("""COMPUTED_VALUE"""),2.3)</f>
        <v>2.3</v>
      </c>
      <c r="T2414" s="4">
        <f>IFERROR(__xludf.DUMMYFUNCTION("""COMPUTED_VALUE"""),0.034)</f>
        <v>0.034</v>
      </c>
      <c r="U2414" s="4">
        <f>IFERROR(__xludf.DUMMYFUNCTION("""COMPUTED_VALUE"""),-3.6)</f>
        <v>-3.6</v>
      </c>
      <c r="V2414" s="4">
        <f>IFERROR(__xludf.DUMMYFUNCTION("""COMPUTED_VALUE"""),-1.3)</f>
        <v>-1.3</v>
      </c>
    </row>
    <row r="2415">
      <c r="A2415" s="4">
        <f>IFERROR(__xludf.DUMMYFUNCTION("""COMPUTED_VALUE"""),24.0)</f>
        <v>24</v>
      </c>
      <c r="B2415" s="4">
        <f>IFERROR(__xludf.DUMMYFUNCTION("""COMPUTED_VALUE"""),24.0)</f>
        <v>24</v>
      </c>
      <c r="C2415" s="4" t="str">
        <f>IFERROR(__xludf.DUMMYFUNCTION("""COMPUTED_VALUE"""),"BOS")</f>
        <v>BOS</v>
      </c>
      <c r="D2415" s="4" t="str">
        <f>IFERROR(__xludf.DUMMYFUNCTION("""COMPUTED_VALUE"""),"Brian Shaw")</f>
        <v>Brian Shaw</v>
      </c>
      <c r="E2415" s="4" t="str">
        <f>IFERROR(__xludf.DUMMYFUNCTION("""COMPUTED_VALUE"""),"UC Santa Barbara")</f>
        <v>UC Santa Barbara</v>
      </c>
      <c r="F2415" s="4">
        <f>IFERROR(__xludf.DUMMYFUNCTION("""COMPUTED_VALUE"""),14.0)</f>
        <v>14</v>
      </c>
      <c r="G2415" s="4">
        <f>IFERROR(__xludf.DUMMYFUNCTION("""COMPUTED_VALUE"""),943.0)</f>
        <v>943</v>
      </c>
      <c r="H2415" s="4">
        <f>IFERROR(__xludf.DUMMYFUNCTION("""COMPUTED_VALUE"""),21666.0)</f>
        <v>21666</v>
      </c>
      <c r="I2415" s="4">
        <f>IFERROR(__xludf.DUMMYFUNCTION("""COMPUTED_VALUE"""),6547.0)</f>
        <v>6547</v>
      </c>
      <c r="J2415" s="4">
        <f>IFERROR(__xludf.DUMMYFUNCTION("""COMPUTED_VALUE"""),3183.0)</f>
        <v>3183</v>
      </c>
      <c r="K2415" s="4">
        <f>IFERROR(__xludf.DUMMYFUNCTION("""COMPUTED_VALUE"""),3918.0)</f>
        <v>3918</v>
      </c>
      <c r="L2415" s="4">
        <f>IFERROR(__xludf.DUMMYFUNCTION("""COMPUTED_VALUE"""),0.403)</f>
        <v>0.403</v>
      </c>
      <c r="M2415" s="4">
        <f>IFERROR(__xludf.DUMMYFUNCTION("""COMPUTED_VALUE"""),0.304)</f>
        <v>0.304</v>
      </c>
      <c r="N2415" s="4">
        <f>IFERROR(__xludf.DUMMYFUNCTION("""COMPUTED_VALUE"""),0.782)</f>
        <v>0.782</v>
      </c>
      <c r="O2415" s="4">
        <f>IFERROR(__xludf.DUMMYFUNCTION("""COMPUTED_VALUE"""),23.0)</f>
        <v>23</v>
      </c>
      <c r="P2415" s="4">
        <f>IFERROR(__xludf.DUMMYFUNCTION("""COMPUTED_VALUE"""),6.9)</f>
        <v>6.9</v>
      </c>
      <c r="Q2415" s="4">
        <f>IFERROR(__xludf.DUMMYFUNCTION("""COMPUTED_VALUE"""),3.4)</f>
        <v>3.4</v>
      </c>
      <c r="R2415" s="4">
        <f>IFERROR(__xludf.DUMMYFUNCTION("""COMPUTED_VALUE"""),4.2)</f>
        <v>4.2</v>
      </c>
      <c r="S2415" s="4">
        <f>IFERROR(__xludf.DUMMYFUNCTION("""COMPUTED_VALUE"""),23.8)</f>
        <v>23.8</v>
      </c>
      <c r="T2415" s="4">
        <f>IFERROR(__xludf.DUMMYFUNCTION("""COMPUTED_VALUE"""),0.053)</f>
        <v>0.053</v>
      </c>
      <c r="U2415" s="4">
        <f>IFERROR(__xludf.DUMMYFUNCTION("""COMPUTED_VALUE"""),-1.0)</f>
        <v>-1</v>
      </c>
      <c r="V2415" s="4">
        <f>IFERROR(__xludf.DUMMYFUNCTION("""COMPUTED_VALUE"""),5.3)</f>
        <v>5.3</v>
      </c>
    </row>
    <row r="2416">
      <c r="A2416" s="4">
        <f>IFERROR(__xludf.DUMMYFUNCTION("""COMPUTED_VALUE"""),25.0)</f>
        <v>25</v>
      </c>
      <c r="B2416" s="4">
        <f>IFERROR(__xludf.DUMMYFUNCTION("""COMPUTED_VALUE"""),25.0)</f>
        <v>25</v>
      </c>
      <c r="C2416" s="4" t="str">
        <f>IFERROR(__xludf.DUMMYFUNCTION("""COMPUTED_VALUE"""),"LAL")</f>
        <v>LAL</v>
      </c>
      <c r="D2416" s="4" t="str">
        <f>IFERROR(__xludf.DUMMYFUNCTION("""COMPUTED_VALUE"""),"David Rivers")</f>
        <v>David Rivers</v>
      </c>
      <c r="E2416" s="4" t="str">
        <f>IFERROR(__xludf.DUMMYFUNCTION("""COMPUTED_VALUE"""),"Notre Dame")</f>
        <v>Notre Dame</v>
      </c>
      <c r="F2416" s="4">
        <f>IFERROR(__xludf.DUMMYFUNCTION("""COMPUTED_VALUE"""),3.0)</f>
        <v>3</v>
      </c>
      <c r="G2416" s="4">
        <f>IFERROR(__xludf.DUMMYFUNCTION("""COMPUTED_VALUE"""),114.0)</f>
        <v>114</v>
      </c>
      <c r="H2416" s="4">
        <f>IFERROR(__xludf.DUMMYFUNCTION("""COMPUTED_VALUE"""),1286.0)</f>
        <v>1286</v>
      </c>
      <c r="I2416" s="4">
        <f>IFERROR(__xludf.DUMMYFUNCTION("""COMPUTED_VALUE"""),383.0)</f>
        <v>383</v>
      </c>
      <c r="J2416" s="4">
        <f>IFERROR(__xludf.DUMMYFUNCTION("""COMPUTED_VALUE"""),147.0)</f>
        <v>147</v>
      </c>
      <c r="K2416" s="4">
        <f>IFERROR(__xludf.DUMMYFUNCTION("""COMPUTED_VALUE"""),282.0)</f>
        <v>282</v>
      </c>
      <c r="L2416" s="4">
        <f>IFERROR(__xludf.DUMMYFUNCTION("""COMPUTED_VALUE"""),0.398)</f>
        <v>0.398</v>
      </c>
      <c r="M2416" s="4">
        <f>IFERROR(__xludf.DUMMYFUNCTION("""COMPUTED_VALUE"""),0.083)</f>
        <v>0.083</v>
      </c>
      <c r="N2416" s="4">
        <f>IFERROR(__xludf.DUMMYFUNCTION("""COMPUTED_VALUE"""),0.794)</f>
        <v>0.794</v>
      </c>
      <c r="O2416" s="4">
        <f>IFERROR(__xludf.DUMMYFUNCTION("""COMPUTED_VALUE"""),11.3)</f>
        <v>11.3</v>
      </c>
      <c r="P2416" s="4">
        <f>IFERROR(__xludf.DUMMYFUNCTION("""COMPUTED_VALUE"""),3.4)</f>
        <v>3.4</v>
      </c>
      <c r="Q2416" s="4">
        <f>IFERROR(__xludf.DUMMYFUNCTION("""COMPUTED_VALUE"""),1.3)</f>
        <v>1.3</v>
      </c>
      <c r="R2416" s="4">
        <f>IFERROR(__xludf.DUMMYFUNCTION("""COMPUTED_VALUE"""),2.5)</f>
        <v>2.5</v>
      </c>
      <c r="S2416" s="4">
        <f>IFERROR(__xludf.DUMMYFUNCTION("""COMPUTED_VALUE"""),-0.3)</f>
        <v>-0.3</v>
      </c>
      <c r="T2416" s="4">
        <f>IFERROR(__xludf.DUMMYFUNCTION("""COMPUTED_VALUE"""),-0.01)</f>
        <v>-0.01</v>
      </c>
      <c r="U2416" s="4">
        <f>IFERROR(__xludf.DUMMYFUNCTION("""COMPUTED_VALUE"""),-4.0)</f>
        <v>-4</v>
      </c>
      <c r="V2416" s="4">
        <f>IFERROR(__xludf.DUMMYFUNCTION("""COMPUTED_VALUE"""),-0.7)</f>
        <v>-0.7</v>
      </c>
    </row>
    <row r="2417">
      <c r="A2417" s="4"/>
      <c r="B2417" s="4"/>
      <c r="C2417" s="4"/>
      <c r="D2417" s="4" t="str">
        <f>IFERROR(__xludf.DUMMYFUNCTION("""COMPUTED_VALUE"""),"Round 2")</f>
        <v>Round 2</v>
      </c>
      <c r="E2417" s="4"/>
      <c r="F2417" s="4"/>
      <c r="G2417" s="4" t="str">
        <f>IFERROR(__xludf.DUMMYFUNCTION("""COMPUTED_VALUE"""),"Totals")</f>
        <v>Totals</v>
      </c>
      <c r="H2417" s="4"/>
      <c r="I2417" s="4"/>
      <c r="J2417" s="4"/>
      <c r="K2417" s="4"/>
      <c r="L2417" s="4" t="str">
        <f>IFERROR(__xludf.DUMMYFUNCTION("""COMPUTED_VALUE"""),"Shooting")</f>
        <v>Shooting</v>
      </c>
      <c r="M2417" s="4"/>
      <c r="N2417" s="4"/>
      <c r="O2417" s="4" t="str">
        <f>IFERROR(__xludf.DUMMYFUNCTION("""COMPUTED_VALUE"""),"Per Game")</f>
        <v>Per Game</v>
      </c>
      <c r="P2417" s="4"/>
      <c r="Q2417" s="4"/>
      <c r="R2417" s="4"/>
      <c r="S2417" s="4" t="str">
        <f>IFERROR(__xludf.DUMMYFUNCTION("""COMPUTED_VALUE"""),"Advanced")</f>
        <v>Advanced</v>
      </c>
      <c r="T2417" s="4"/>
      <c r="U2417" s="4"/>
      <c r="V2417" s="4"/>
    </row>
    <row r="2418">
      <c r="A2418" s="4" t="str">
        <f>IFERROR(__xludf.DUMMYFUNCTION("""COMPUTED_VALUE"""),"Rk")</f>
        <v>Rk</v>
      </c>
      <c r="B2418" s="4" t="str">
        <f>IFERROR(__xludf.DUMMYFUNCTION("""COMPUTED_VALUE"""),"Pk")</f>
        <v>Pk</v>
      </c>
      <c r="C2418" s="4" t="str">
        <f>IFERROR(__xludf.DUMMYFUNCTION("""COMPUTED_VALUE"""),"Tm")</f>
        <v>Tm</v>
      </c>
      <c r="D2418" s="4" t="str">
        <f>IFERROR(__xludf.DUMMYFUNCTION("""COMPUTED_VALUE"""),"Player")</f>
        <v>Player</v>
      </c>
      <c r="E2418" s="4" t="str">
        <f>IFERROR(__xludf.DUMMYFUNCTION("""COMPUTED_VALUE"""),"College")</f>
        <v>College</v>
      </c>
      <c r="F2418" s="4" t="str">
        <f>IFERROR(__xludf.DUMMYFUNCTION("""COMPUTED_VALUE"""),"Yrs")</f>
        <v>Yrs</v>
      </c>
      <c r="G2418" s="4" t="str">
        <f>IFERROR(__xludf.DUMMYFUNCTION("""COMPUTED_VALUE"""),"G")</f>
        <v>G</v>
      </c>
      <c r="H2418" s="4" t="str">
        <f>IFERROR(__xludf.DUMMYFUNCTION("""COMPUTED_VALUE"""),"MP")</f>
        <v>MP</v>
      </c>
      <c r="I2418" s="4" t="str">
        <f>IFERROR(__xludf.DUMMYFUNCTION("""COMPUTED_VALUE"""),"PTS")</f>
        <v>PTS</v>
      </c>
      <c r="J2418" s="4" t="str">
        <f>IFERROR(__xludf.DUMMYFUNCTION("""COMPUTED_VALUE"""),"TRB")</f>
        <v>TRB</v>
      </c>
      <c r="K2418" s="4" t="str">
        <f>IFERROR(__xludf.DUMMYFUNCTION("""COMPUTED_VALUE"""),"AST")</f>
        <v>AST</v>
      </c>
      <c r="L2418" s="4" t="str">
        <f>IFERROR(__xludf.DUMMYFUNCTION("""COMPUTED_VALUE"""),"FG%")</f>
        <v>FG%</v>
      </c>
      <c r="M2418" s="4" t="str">
        <f>IFERROR(__xludf.DUMMYFUNCTION("""COMPUTED_VALUE"""),"3P%")</f>
        <v>3P%</v>
      </c>
      <c r="N2418" s="4" t="str">
        <f>IFERROR(__xludf.DUMMYFUNCTION("""COMPUTED_VALUE"""),"FT%")</f>
        <v>FT%</v>
      </c>
      <c r="O2418" s="4" t="str">
        <f>IFERROR(__xludf.DUMMYFUNCTION("""COMPUTED_VALUE"""),"MP")</f>
        <v>MP</v>
      </c>
      <c r="P2418" s="4" t="str">
        <f>IFERROR(__xludf.DUMMYFUNCTION("""COMPUTED_VALUE"""),"PTS")</f>
        <v>PTS</v>
      </c>
      <c r="Q2418" s="4" t="str">
        <f>IFERROR(__xludf.DUMMYFUNCTION("""COMPUTED_VALUE"""),"TRB")</f>
        <v>TRB</v>
      </c>
      <c r="R2418" s="4" t="str">
        <f>IFERROR(__xludf.DUMMYFUNCTION("""COMPUTED_VALUE"""),"AST")</f>
        <v>AST</v>
      </c>
      <c r="S2418" s="4" t="str">
        <f>IFERROR(__xludf.DUMMYFUNCTION("""COMPUTED_VALUE"""),"WS")</f>
        <v>WS</v>
      </c>
      <c r="T2418" s="4" t="str">
        <f>IFERROR(__xludf.DUMMYFUNCTION("""COMPUTED_VALUE"""),"WS/48")</f>
        <v>WS/48</v>
      </c>
      <c r="U2418" s="4" t="str">
        <f>IFERROR(__xludf.DUMMYFUNCTION("""COMPUTED_VALUE"""),"BPM")</f>
        <v>BPM</v>
      </c>
      <c r="V2418" s="4" t="str">
        <f>IFERROR(__xludf.DUMMYFUNCTION("""COMPUTED_VALUE"""),"VORP")</f>
        <v>VORP</v>
      </c>
    </row>
    <row r="2419">
      <c r="A2419" s="4">
        <f>IFERROR(__xludf.DUMMYFUNCTION("""COMPUTED_VALUE"""),26.0)</f>
        <v>26</v>
      </c>
      <c r="B2419" s="4">
        <f>IFERROR(__xludf.DUMMYFUNCTION("""COMPUTED_VALUE"""),26.0)</f>
        <v>26</v>
      </c>
      <c r="C2419" s="4" t="str">
        <f>IFERROR(__xludf.DUMMYFUNCTION("""COMPUTED_VALUE"""),"POR")</f>
        <v>POR</v>
      </c>
      <c r="D2419" s="4" t="str">
        <f>IFERROR(__xludf.DUMMYFUNCTION("""COMPUTED_VALUE"""),"Rolando Ferreira")</f>
        <v>Rolando Ferreira</v>
      </c>
      <c r="E2419" s="4" t="str">
        <f>IFERROR(__xludf.DUMMYFUNCTION("""COMPUTED_VALUE"""),"Houston")</f>
        <v>Houston</v>
      </c>
      <c r="F2419" s="4">
        <f>IFERROR(__xludf.DUMMYFUNCTION("""COMPUTED_VALUE"""),1.0)</f>
        <v>1</v>
      </c>
      <c r="G2419" s="4">
        <f>IFERROR(__xludf.DUMMYFUNCTION("""COMPUTED_VALUE"""),12.0)</f>
        <v>12</v>
      </c>
      <c r="H2419" s="4">
        <f>IFERROR(__xludf.DUMMYFUNCTION("""COMPUTED_VALUE"""),34.0)</f>
        <v>34</v>
      </c>
      <c r="I2419" s="4">
        <f>IFERROR(__xludf.DUMMYFUNCTION("""COMPUTED_VALUE"""),9.0)</f>
        <v>9</v>
      </c>
      <c r="J2419" s="4">
        <f>IFERROR(__xludf.DUMMYFUNCTION("""COMPUTED_VALUE"""),13.0)</f>
        <v>13</v>
      </c>
      <c r="K2419" s="4">
        <f>IFERROR(__xludf.DUMMYFUNCTION("""COMPUTED_VALUE"""),1.0)</f>
        <v>1</v>
      </c>
      <c r="L2419" s="4">
        <f>IFERROR(__xludf.DUMMYFUNCTION("""COMPUTED_VALUE"""),0.056)</f>
        <v>0.056</v>
      </c>
      <c r="M2419" s="4"/>
      <c r="N2419" s="4">
        <f>IFERROR(__xludf.DUMMYFUNCTION("""COMPUTED_VALUE"""),0.875)</f>
        <v>0.875</v>
      </c>
      <c r="O2419" s="4">
        <f>IFERROR(__xludf.DUMMYFUNCTION("""COMPUTED_VALUE"""),2.8)</f>
        <v>2.8</v>
      </c>
      <c r="P2419" s="4">
        <f>IFERROR(__xludf.DUMMYFUNCTION("""COMPUTED_VALUE"""),0.8)</f>
        <v>0.8</v>
      </c>
      <c r="Q2419" s="4">
        <f>IFERROR(__xludf.DUMMYFUNCTION("""COMPUTED_VALUE"""),1.1)</f>
        <v>1.1</v>
      </c>
      <c r="R2419" s="4">
        <f>IFERROR(__xludf.DUMMYFUNCTION("""COMPUTED_VALUE"""),0.1)</f>
        <v>0.1</v>
      </c>
      <c r="S2419" s="4">
        <f>IFERROR(__xludf.DUMMYFUNCTION("""COMPUTED_VALUE"""),-0.2)</f>
        <v>-0.2</v>
      </c>
      <c r="T2419" s="4">
        <f>IFERROR(__xludf.DUMMYFUNCTION("""COMPUTED_VALUE"""),-0.352)</f>
        <v>-0.352</v>
      </c>
      <c r="U2419" s="4">
        <f>IFERROR(__xludf.DUMMYFUNCTION("""COMPUTED_VALUE"""),-23.2)</f>
        <v>-23.2</v>
      </c>
      <c r="V2419" s="4">
        <f>IFERROR(__xludf.DUMMYFUNCTION("""COMPUTED_VALUE"""),-0.2)</f>
        <v>-0.2</v>
      </c>
    </row>
    <row r="2420">
      <c r="A2420" s="4">
        <f>IFERROR(__xludf.DUMMYFUNCTION("""COMPUTED_VALUE"""),27.0)</f>
        <v>27</v>
      </c>
      <c r="B2420" s="4">
        <f>IFERROR(__xludf.DUMMYFUNCTION("""COMPUTED_VALUE"""),27.0)</f>
        <v>27</v>
      </c>
      <c r="C2420" s="4" t="str">
        <f>IFERROR(__xludf.DUMMYFUNCTION("""COMPUTED_VALUE"""),"SAS")</f>
        <v>SAS</v>
      </c>
      <c r="D2420" s="4" t="str">
        <f>IFERROR(__xludf.DUMMYFUNCTION("""COMPUTED_VALUE"""),"Shelton Jones")</f>
        <v>Shelton Jones</v>
      </c>
      <c r="E2420" s="4" t="str">
        <f>IFERROR(__xludf.DUMMYFUNCTION("""COMPUTED_VALUE"""),"St. John's")</f>
        <v>St. John's</v>
      </c>
      <c r="F2420" s="4">
        <f>IFERROR(__xludf.DUMMYFUNCTION("""COMPUTED_VALUE"""),1.0)</f>
        <v>1</v>
      </c>
      <c r="G2420" s="4">
        <f>IFERROR(__xludf.DUMMYFUNCTION("""COMPUTED_VALUE"""),51.0)</f>
        <v>51</v>
      </c>
      <c r="H2420" s="4">
        <f>IFERROR(__xludf.DUMMYFUNCTION("""COMPUTED_VALUE"""),682.0)</f>
        <v>682</v>
      </c>
      <c r="I2420" s="4">
        <f>IFERROR(__xludf.DUMMYFUNCTION("""COMPUTED_VALUE"""),244.0)</f>
        <v>244</v>
      </c>
      <c r="J2420" s="4">
        <f>IFERROR(__xludf.DUMMYFUNCTION("""COMPUTED_VALUE"""),113.0)</f>
        <v>113</v>
      </c>
      <c r="K2420" s="4">
        <f>IFERROR(__xludf.DUMMYFUNCTION("""COMPUTED_VALUE"""),42.0)</f>
        <v>42</v>
      </c>
      <c r="L2420" s="4">
        <f>IFERROR(__xludf.DUMMYFUNCTION("""COMPUTED_VALUE"""),0.445)</f>
        <v>0.445</v>
      </c>
      <c r="M2420" s="4">
        <f>IFERROR(__xludf.DUMMYFUNCTION("""COMPUTED_VALUE"""),0.0)</f>
        <v>0</v>
      </c>
      <c r="N2420" s="4">
        <f>IFERROR(__xludf.DUMMYFUNCTION("""COMPUTED_VALUE"""),0.725)</f>
        <v>0.725</v>
      </c>
      <c r="O2420" s="4">
        <f>IFERROR(__xludf.DUMMYFUNCTION("""COMPUTED_VALUE"""),13.4)</f>
        <v>13.4</v>
      </c>
      <c r="P2420" s="4">
        <f>IFERROR(__xludf.DUMMYFUNCTION("""COMPUTED_VALUE"""),4.8)</f>
        <v>4.8</v>
      </c>
      <c r="Q2420" s="4">
        <f>IFERROR(__xludf.DUMMYFUNCTION("""COMPUTED_VALUE"""),2.2)</f>
        <v>2.2</v>
      </c>
      <c r="R2420" s="4">
        <f>IFERROR(__xludf.DUMMYFUNCTION("""COMPUTED_VALUE"""),0.8)</f>
        <v>0.8</v>
      </c>
      <c r="S2420" s="4">
        <f>IFERROR(__xludf.DUMMYFUNCTION("""COMPUTED_VALUE"""),0.3)</f>
        <v>0.3</v>
      </c>
      <c r="T2420" s="4">
        <f>IFERROR(__xludf.DUMMYFUNCTION("""COMPUTED_VALUE"""),0.022)</f>
        <v>0.022</v>
      </c>
      <c r="U2420" s="4">
        <f>IFERROR(__xludf.DUMMYFUNCTION("""COMPUTED_VALUE"""),-3.3)</f>
        <v>-3.3</v>
      </c>
      <c r="V2420" s="4">
        <f>IFERROR(__xludf.DUMMYFUNCTION("""COMPUTED_VALUE"""),-0.2)</f>
        <v>-0.2</v>
      </c>
    </row>
    <row r="2421">
      <c r="A2421" s="4">
        <f>IFERROR(__xludf.DUMMYFUNCTION("""COMPUTED_VALUE"""),28.0)</f>
        <v>28</v>
      </c>
      <c r="B2421" s="4">
        <f>IFERROR(__xludf.DUMMYFUNCTION("""COMPUTED_VALUE"""),28.0)</f>
        <v>28</v>
      </c>
      <c r="C2421" s="4" t="str">
        <f>IFERROR(__xludf.DUMMYFUNCTION("""COMPUTED_VALUE"""),"PHO")</f>
        <v>PHO</v>
      </c>
      <c r="D2421" s="4" t="str">
        <f>IFERROR(__xludf.DUMMYFUNCTION("""COMPUTED_VALUE"""),"Andrew Lang")</f>
        <v>Andrew Lang</v>
      </c>
      <c r="E2421" s="4" t="str">
        <f>IFERROR(__xludf.DUMMYFUNCTION("""COMPUTED_VALUE"""),"Arkansas")</f>
        <v>Arkansas</v>
      </c>
      <c r="F2421" s="4">
        <f>IFERROR(__xludf.DUMMYFUNCTION("""COMPUTED_VALUE"""),12.0)</f>
        <v>12</v>
      </c>
      <c r="G2421" s="4">
        <f>IFERROR(__xludf.DUMMYFUNCTION("""COMPUTED_VALUE"""),737.0)</f>
        <v>737</v>
      </c>
      <c r="H2421" s="4">
        <f>IFERROR(__xludf.DUMMYFUNCTION("""COMPUTED_VALUE"""),15344.0)</f>
        <v>15344</v>
      </c>
      <c r="I2421" s="4">
        <f>IFERROR(__xludf.DUMMYFUNCTION("""COMPUTED_VALUE"""),4431.0)</f>
        <v>4431</v>
      </c>
      <c r="J2421" s="4">
        <f>IFERROR(__xludf.DUMMYFUNCTION("""COMPUTED_VALUE"""),3511.0)</f>
        <v>3511</v>
      </c>
      <c r="K2421" s="4">
        <f>IFERROR(__xludf.DUMMYFUNCTION("""COMPUTED_VALUE"""),424.0)</f>
        <v>424</v>
      </c>
      <c r="L2421" s="4">
        <f>IFERROR(__xludf.DUMMYFUNCTION("""COMPUTED_VALUE"""),0.47)</f>
        <v>0.47</v>
      </c>
      <c r="M2421" s="4">
        <f>IFERROR(__xludf.DUMMYFUNCTION("""COMPUTED_VALUE"""),0.25)</f>
        <v>0.25</v>
      </c>
      <c r="N2421" s="4">
        <f>IFERROR(__xludf.DUMMYFUNCTION("""COMPUTED_VALUE"""),0.744)</f>
        <v>0.744</v>
      </c>
      <c r="O2421" s="4">
        <f>IFERROR(__xludf.DUMMYFUNCTION("""COMPUTED_VALUE"""),20.8)</f>
        <v>20.8</v>
      </c>
      <c r="P2421" s="4">
        <f>IFERROR(__xludf.DUMMYFUNCTION("""COMPUTED_VALUE"""),6.0)</f>
        <v>6</v>
      </c>
      <c r="Q2421" s="4">
        <f>IFERROR(__xludf.DUMMYFUNCTION("""COMPUTED_VALUE"""),4.8)</f>
        <v>4.8</v>
      </c>
      <c r="R2421" s="4">
        <f>IFERROR(__xludf.DUMMYFUNCTION("""COMPUTED_VALUE"""),0.6)</f>
        <v>0.6</v>
      </c>
      <c r="S2421" s="4">
        <f>IFERROR(__xludf.DUMMYFUNCTION("""COMPUTED_VALUE"""),28.6)</f>
        <v>28.6</v>
      </c>
      <c r="T2421" s="4">
        <f>IFERROR(__xludf.DUMMYFUNCTION("""COMPUTED_VALUE"""),0.089)</f>
        <v>0.089</v>
      </c>
      <c r="U2421" s="4">
        <f>IFERROR(__xludf.DUMMYFUNCTION("""COMPUTED_VALUE"""),-1.8)</f>
        <v>-1.8</v>
      </c>
      <c r="V2421" s="4">
        <f>IFERROR(__xludf.DUMMYFUNCTION("""COMPUTED_VALUE"""),0.7)</f>
        <v>0.7</v>
      </c>
    </row>
    <row r="2422">
      <c r="A2422" s="4">
        <f>IFERROR(__xludf.DUMMYFUNCTION("""COMPUTED_VALUE"""),29.0)</f>
        <v>29</v>
      </c>
      <c r="B2422" s="4">
        <f>IFERROR(__xludf.DUMMYFUNCTION("""COMPUTED_VALUE"""),29.0)</f>
        <v>29</v>
      </c>
      <c r="C2422" s="4" t="str">
        <f>IFERROR(__xludf.DUMMYFUNCTION("""COMPUTED_VALUE"""),"SAC")</f>
        <v>SAC</v>
      </c>
      <c r="D2422" s="4" t="str">
        <f>IFERROR(__xludf.DUMMYFUNCTION("""COMPUTED_VALUE"""),"Vinny Del Negro")</f>
        <v>Vinny Del Negro</v>
      </c>
      <c r="E2422" s="4" t="str">
        <f>IFERROR(__xludf.DUMMYFUNCTION("""COMPUTED_VALUE"""),"NC State")</f>
        <v>NC State</v>
      </c>
      <c r="F2422" s="4">
        <f>IFERROR(__xludf.DUMMYFUNCTION("""COMPUTED_VALUE"""),12.0)</f>
        <v>12</v>
      </c>
      <c r="G2422" s="4">
        <f>IFERROR(__xludf.DUMMYFUNCTION("""COMPUTED_VALUE"""),771.0)</f>
        <v>771</v>
      </c>
      <c r="H2422" s="4">
        <f>IFERROR(__xludf.DUMMYFUNCTION("""COMPUTED_VALUE"""),19211.0)</f>
        <v>19211</v>
      </c>
      <c r="I2422" s="4">
        <f>IFERROR(__xludf.DUMMYFUNCTION("""COMPUTED_VALUE"""),7038.0)</f>
        <v>7038</v>
      </c>
      <c r="J2422" s="4">
        <f>IFERROR(__xludf.DUMMYFUNCTION("""COMPUTED_VALUE"""),1810.0)</f>
        <v>1810</v>
      </c>
      <c r="K2422" s="4">
        <f>IFERROR(__xludf.DUMMYFUNCTION("""COMPUTED_VALUE"""),2484.0)</f>
        <v>2484</v>
      </c>
      <c r="L2422" s="4">
        <f>IFERROR(__xludf.DUMMYFUNCTION("""COMPUTED_VALUE"""),0.475)</f>
        <v>0.475</v>
      </c>
      <c r="M2422" s="4">
        <f>IFERROR(__xludf.DUMMYFUNCTION("""COMPUTED_VALUE"""),0.359)</f>
        <v>0.359</v>
      </c>
      <c r="N2422" s="4">
        <f>IFERROR(__xludf.DUMMYFUNCTION("""COMPUTED_VALUE"""),0.84)</f>
        <v>0.84</v>
      </c>
      <c r="O2422" s="4">
        <f>IFERROR(__xludf.DUMMYFUNCTION("""COMPUTED_VALUE"""),24.9)</f>
        <v>24.9</v>
      </c>
      <c r="P2422" s="4">
        <f>IFERROR(__xludf.DUMMYFUNCTION("""COMPUTED_VALUE"""),9.1)</f>
        <v>9.1</v>
      </c>
      <c r="Q2422" s="4">
        <f>IFERROR(__xludf.DUMMYFUNCTION("""COMPUTED_VALUE"""),2.3)</f>
        <v>2.3</v>
      </c>
      <c r="R2422" s="4">
        <f>IFERROR(__xludf.DUMMYFUNCTION("""COMPUTED_VALUE"""),3.2)</f>
        <v>3.2</v>
      </c>
      <c r="S2422" s="4">
        <f>IFERROR(__xludf.DUMMYFUNCTION("""COMPUTED_VALUE"""),40.6)</f>
        <v>40.6</v>
      </c>
      <c r="T2422" s="4">
        <f>IFERROR(__xludf.DUMMYFUNCTION("""COMPUTED_VALUE"""),0.101)</f>
        <v>0.101</v>
      </c>
      <c r="U2422" s="4">
        <f>IFERROR(__xludf.DUMMYFUNCTION("""COMPUTED_VALUE"""),-0.7)</f>
        <v>-0.7</v>
      </c>
      <c r="V2422" s="4">
        <f>IFERROR(__xludf.DUMMYFUNCTION("""COMPUTED_VALUE"""),6.1)</f>
        <v>6.1</v>
      </c>
    </row>
    <row r="2423">
      <c r="A2423" s="4">
        <f>IFERROR(__xludf.DUMMYFUNCTION("""COMPUTED_VALUE"""),30.0)</f>
        <v>30</v>
      </c>
      <c r="B2423" s="4">
        <f>IFERROR(__xludf.DUMMYFUNCTION("""COMPUTED_VALUE"""),30.0)</f>
        <v>30</v>
      </c>
      <c r="C2423" s="4" t="str">
        <f>IFERROR(__xludf.DUMMYFUNCTION("""COMPUTED_VALUE"""),"DET")</f>
        <v>DET</v>
      </c>
      <c r="D2423" s="4" t="str">
        <f>IFERROR(__xludf.DUMMYFUNCTION("""COMPUTED_VALUE"""),"Fennis Dembo")</f>
        <v>Fennis Dembo</v>
      </c>
      <c r="E2423" s="4" t="str">
        <f>IFERROR(__xludf.DUMMYFUNCTION("""COMPUTED_VALUE"""),"Wyoming")</f>
        <v>Wyoming</v>
      </c>
      <c r="F2423" s="4">
        <f>IFERROR(__xludf.DUMMYFUNCTION("""COMPUTED_VALUE"""),1.0)</f>
        <v>1</v>
      </c>
      <c r="G2423" s="4">
        <f>IFERROR(__xludf.DUMMYFUNCTION("""COMPUTED_VALUE"""),31.0)</f>
        <v>31</v>
      </c>
      <c r="H2423" s="4">
        <f>IFERROR(__xludf.DUMMYFUNCTION("""COMPUTED_VALUE"""),74.0)</f>
        <v>74</v>
      </c>
      <c r="I2423" s="4">
        <f>IFERROR(__xludf.DUMMYFUNCTION("""COMPUTED_VALUE"""),36.0)</f>
        <v>36</v>
      </c>
      <c r="J2423" s="4">
        <f>IFERROR(__xludf.DUMMYFUNCTION("""COMPUTED_VALUE"""),23.0)</f>
        <v>23</v>
      </c>
      <c r="K2423" s="4">
        <f>IFERROR(__xludf.DUMMYFUNCTION("""COMPUTED_VALUE"""),5.0)</f>
        <v>5</v>
      </c>
      <c r="L2423" s="4">
        <f>IFERROR(__xludf.DUMMYFUNCTION("""COMPUTED_VALUE"""),0.333)</f>
        <v>0.333</v>
      </c>
      <c r="M2423" s="4">
        <f>IFERROR(__xludf.DUMMYFUNCTION("""COMPUTED_VALUE"""),0.0)</f>
        <v>0</v>
      </c>
      <c r="N2423" s="4">
        <f>IFERROR(__xludf.DUMMYFUNCTION("""COMPUTED_VALUE"""),0.8)</f>
        <v>0.8</v>
      </c>
      <c r="O2423" s="4">
        <f>IFERROR(__xludf.DUMMYFUNCTION("""COMPUTED_VALUE"""),2.4)</f>
        <v>2.4</v>
      </c>
      <c r="P2423" s="4">
        <f>IFERROR(__xludf.DUMMYFUNCTION("""COMPUTED_VALUE"""),1.2)</f>
        <v>1.2</v>
      </c>
      <c r="Q2423" s="4">
        <f>IFERROR(__xludf.DUMMYFUNCTION("""COMPUTED_VALUE"""),0.7)</f>
        <v>0.7</v>
      </c>
      <c r="R2423" s="4">
        <f>IFERROR(__xludf.DUMMYFUNCTION("""COMPUTED_VALUE"""),0.2)</f>
        <v>0.2</v>
      </c>
      <c r="S2423" s="4">
        <f>IFERROR(__xludf.DUMMYFUNCTION("""COMPUTED_VALUE"""),-0.1)</f>
        <v>-0.1</v>
      </c>
      <c r="T2423" s="4">
        <f>IFERROR(__xludf.DUMMYFUNCTION("""COMPUTED_VALUE"""),-0.037)</f>
        <v>-0.037</v>
      </c>
      <c r="U2423" s="4">
        <f>IFERROR(__xludf.DUMMYFUNCTION("""COMPUTED_VALUE"""),-10.8)</f>
        <v>-10.8</v>
      </c>
      <c r="V2423" s="4">
        <f>IFERROR(__xludf.DUMMYFUNCTION("""COMPUTED_VALUE"""),-0.2)</f>
        <v>-0.2</v>
      </c>
    </row>
    <row r="2424">
      <c r="A2424" s="4">
        <f>IFERROR(__xludf.DUMMYFUNCTION("""COMPUTED_VALUE"""),31.0)</f>
        <v>31</v>
      </c>
      <c r="B2424" s="4">
        <f>IFERROR(__xludf.DUMMYFUNCTION("""COMPUTED_VALUE"""),31.0)</f>
        <v>31</v>
      </c>
      <c r="C2424" s="4" t="str">
        <f>IFERROR(__xludf.DUMMYFUNCTION("""COMPUTED_VALUE"""),"PHI")</f>
        <v>PHI</v>
      </c>
      <c r="D2424" s="4" t="str">
        <f>IFERROR(__xludf.DUMMYFUNCTION("""COMPUTED_VALUE"""),"Everette Stephens")</f>
        <v>Everette Stephens</v>
      </c>
      <c r="E2424" s="4" t="str">
        <f>IFERROR(__xludf.DUMMYFUNCTION("""COMPUTED_VALUE"""),"Purdue")</f>
        <v>Purdue</v>
      </c>
      <c r="F2424" s="4">
        <f>IFERROR(__xludf.DUMMYFUNCTION("""COMPUTED_VALUE"""),2.0)</f>
        <v>2</v>
      </c>
      <c r="G2424" s="4">
        <f>IFERROR(__xludf.DUMMYFUNCTION("""COMPUTED_VALUE"""),38.0)</f>
        <v>38</v>
      </c>
      <c r="H2424" s="4">
        <f>IFERROR(__xludf.DUMMYFUNCTION("""COMPUTED_VALUE"""),215.0)</f>
        <v>215</v>
      </c>
      <c r="I2424" s="4">
        <f>IFERROR(__xludf.DUMMYFUNCTION("""COMPUTED_VALUE"""),71.0)</f>
        <v>71</v>
      </c>
      <c r="J2424" s="4">
        <f>IFERROR(__xludf.DUMMYFUNCTION("""COMPUTED_VALUE"""),23.0)</f>
        <v>23</v>
      </c>
      <c r="K2424" s="4">
        <f>IFERROR(__xludf.DUMMYFUNCTION("""COMPUTED_VALUE"""),39.0)</f>
        <v>39</v>
      </c>
      <c r="L2424" s="4">
        <f>IFERROR(__xludf.DUMMYFUNCTION("""COMPUTED_VALUE"""),0.333)</f>
        <v>0.333</v>
      </c>
      <c r="M2424" s="4">
        <f>IFERROR(__xludf.DUMMYFUNCTION("""COMPUTED_VALUE"""),0.2)</f>
        <v>0.2</v>
      </c>
      <c r="N2424" s="4">
        <f>IFERROR(__xludf.DUMMYFUNCTION("""COMPUTED_VALUE"""),0.792)</f>
        <v>0.792</v>
      </c>
      <c r="O2424" s="4">
        <f>IFERROR(__xludf.DUMMYFUNCTION("""COMPUTED_VALUE"""),5.7)</f>
        <v>5.7</v>
      </c>
      <c r="P2424" s="4">
        <f>IFERROR(__xludf.DUMMYFUNCTION("""COMPUTED_VALUE"""),1.9)</f>
        <v>1.9</v>
      </c>
      <c r="Q2424" s="4">
        <f>IFERROR(__xludf.DUMMYFUNCTION("""COMPUTED_VALUE"""),0.6)</f>
        <v>0.6</v>
      </c>
      <c r="R2424" s="4">
        <f>IFERROR(__xludf.DUMMYFUNCTION("""COMPUTED_VALUE"""),1.0)</f>
        <v>1</v>
      </c>
      <c r="S2424" s="4">
        <f>IFERROR(__xludf.DUMMYFUNCTION("""COMPUTED_VALUE"""),-0.4)</f>
        <v>-0.4</v>
      </c>
      <c r="T2424" s="4">
        <f>IFERROR(__xludf.DUMMYFUNCTION("""COMPUTED_VALUE"""),-0.083)</f>
        <v>-0.083</v>
      </c>
      <c r="U2424" s="4">
        <f>IFERROR(__xludf.DUMMYFUNCTION("""COMPUTED_VALUE"""),-4.7)</f>
        <v>-4.7</v>
      </c>
      <c r="V2424" s="4">
        <f>IFERROR(__xludf.DUMMYFUNCTION("""COMPUTED_VALUE"""),-0.1)</f>
        <v>-0.1</v>
      </c>
    </row>
    <row r="2425">
      <c r="A2425" s="4">
        <f>IFERROR(__xludf.DUMMYFUNCTION("""COMPUTED_VALUE"""),32.0)</f>
        <v>32</v>
      </c>
      <c r="B2425" s="4">
        <f>IFERROR(__xludf.DUMMYFUNCTION("""COMPUTED_VALUE"""),32.0)</f>
        <v>32</v>
      </c>
      <c r="C2425" s="4" t="str">
        <f>IFERROR(__xludf.DUMMYFUNCTION("""COMPUTED_VALUE"""),"NJN")</f>
        <v>NJN</v>
      </c>
      <c r="D2425" s="4" t="str">
        <f>IFERROR(__xludf.DUMMYFUNCTION("""COMPUTED_VALUE"""),"Charles Shackleford")</f>
        <v>Charles Shackleford</v>
      </c>
      <c r="E2425" s="4" t="str">
        <f>IFERROR(__xludf.DUMMYFUNCTION("""COMPUTED_VALUE"""),"NC State")</f>
        <v>NC State</v>
      </c>
      <c r="F2425" s="4">
        <f>IFERROR(__xludf.DUMMYFUNCTION("""COMPUTED_VALUE"""),6.0)</f>
        <v>6</v>
      </c>
      <c r="G2425" s="4">
        <f>IFERROR(__xludf.DUMMYFUNCTION("""COMPUTED_VALUE"""),303.0)</f>
        <v>303</v>
      </c>
      <c r="H2425" s="4">
        <f>IFERROR(__xludf.DUMMYFUNCTION("""COMPUTED_VALUE"""),4614.0)</f>
        <v>4614</v>
      </c>
      <c r="I2425" s="4">
        <f>IFERROR(__xludf.DUMMYFUNCTION("""COMPUTED_VALUE"""),1625.0)</f>
        <v>1625</v>
      </c>
      <c r="J2425" s="4">
        <f>IFERROR(__xludf.DUMMYFUNCTION("""COMPUTED_VALUE"""),1448.0)</f>
        <v>1448</v>
      </c>
      <c r="K2425" s="4">
        <f>IFERROR(__xludf.DUMMYFUNCTION("""COMPUTED_VALUE"""),170.0)</f>
        <v>170</v>
      </c>
      <c r="L2425" s="4">
        <f>IFERROR(__xludf.DUMMYFUNCTION("""COMPUTED_VALUE"""),0.483)</f>
        <v>0.483</v>
      </c>
      <c r="M2425" s="4">
        <f>IFERROR(__xludf.DUMMYFUNCTION("""COMPUTED_VALUE"""),0.0)</f>
        <v>0</v>
      </c>
      <c r="N2425" s="4">
        <f>IFERROR(__xludf.DUMMYFUNCTION("""COMPUTED_VALUE"""),0.654)</f>
        <v>0.654</v>
      </c>
      <c r="O2425" s="4">
        <f>IFERROR(__xludf.DUMMYFUNCTION("""COMPUTED_VALUE"""),15.2)</f>
        <v>15.2</v>
      </c>
      <c r="P2425" s="4">
        <f>IFERROR(__xludf.DUMMYFUNCTION("""COMPUTED_VALUE"""),5.4)</f>
        <v>5.4</v>
      </c>
      <c r="Q2425" s="4">
        <f>IFERROR(__xludf.DUMMYFUNCTION("""COMPUTED_VALUE"""),4.8)</f>
        <v>4.8</v>
      </c>
      <c r="R2425" s="4">
        <f>IFERROR(__xludf.DUMMYFUNCTION("""COMPUTED_VALUE"""),0.6)</f>
        <v>0.6</v>
      </c>
      <c r="S2425" s="4">
        <f>IFERROR(__xludf.DUMMYFUNCTION("""COMPUTED_VALUE"""),7.3)</f>
        <v>7.3</v>
      </c>
      <c r="T2425" s="4">
        <f>IFERROR(__xludf.DUMMYFUNCTION("""COMPUTED_VALUE"""),0.076)</f>
        <v>0.076</v>
      </c>
      <c r="U2425" s="4">
        <f>IFERROR(__xludf.DUMMYFUNCTION("""COMPUTED_VALUE"""),-3.0)</f>
        <v>-3</v>
      </c>
      <c r="V2425" s="4">
        <f>IFERROR(__xludf.DUMMYFUNCTION("""COMPUTED_VALUE"""),-1.2)</f>
        <v>-1.2</v>
      </c>
    </row>
    <row r="2426">
      <c r="A2426" s="4">
        <f>IFERROR(__xludf.DUMMYFUNCTION("""COMPUTED_VALUE"""),33.0)</f>
        <v>33</v>
      </c>
      <c r="B2426" s="4">
        <f>IFERROR(__xludf.DUMMYFUNCTION("""COMPUTED_VALUE"""),33.0)</f>
        <v>33</v>
      </c>
      <c r="C2426" s="4" t="str">
        <f>IFERROR(__xludf.DUMMYFUNCTION("""COMPUTED_VALUE"""),"MIA")</f>
        <v>MIA</v>
      </c>
      <c r="D2426" s="4" t="str">
        <f>IFERROR(__xludf.DUMMYFUNCTION("""COMPUTED_VALUE"""),"Grant Long")</f>
        <v>Grant Long</v>
      </c>
      <c r="E2426" s="4" t="str">
        <f>IFERROR(__xludf.DUMMYFUNCTION("""COMPUTED_VALUE"""),"Eastern Michigan")</f>
        <v>Eastern Michigan</v>
      </c>
      <c r="F2426" s="4">
        <f>IFERROR(__xludf.DUMMYFUNCTION("""COMPUTED_VALUE"""),15.0)</f>
        <v>15</v>
      </c>
      <c r="G2426" s="4">
        <f>IFERROR(__xludf.DUMMYFUNCTION("""COMPUTED_VALUE"""),1003.0)</f>
        <v>1003</v>
      </c>
      <c r="H2426" s="4">
        <f>IFERROR(__xludf.DUMMYFUNCTION("""COMPUTED_VALUE"""),28514.0)</f>
        <v>28514</v>
      </c>
      <c r="I2426" s="4">
        <f>IFERROR(__xludf.DUMMYFUNCTION("""COMPUTED_VALUE"""),9518.0)</f>
        <v>9518</v>
      </c>
      <c r="J2426" s="4">
        <f>IFERROR(__xludf.DUMMYFUNCTION("""COMPUTED_VALUE"""),6154.0)</f>
        <v>6154</v>
      </c>
      <c r="K2426" s="4">
        <f>IFERROR(__xludf.DUMMYFUNCTION("""COMPUTED_VALUE"""),1716.0)</f>
        <v>1716</v>
      </c>
      <c r="L2426" s="4">
        <f>IFERROR(__xludf.DUMMYFUNCTION("""COMPUTED_VALUE"""),0.467)</f>
        <v>0.467</v>
      </c>
      <c r="M2426" s="4">
        <f>IFERROR(__xludf.DUMMYFUNCTION("""COMPUTED_VALUE"""),0.283)</f>
        <v>0.283</v>
      </c>
      <c r="N2426" s="4">
        <f>IFERROR(__xludf.DUMMYFUNCTION("""COMPUTED_VALUE"""),0.761)</f>
        <v>0.761</v>
      </c>
      <c r="O2426" s="4">
        <f>IFERROR(__xludf.DUMMYFUNCTION("""COMPUTED_VALUE"""),28.4)</f>
        <v>28.4</v>
      </c>
      <c r="P2426" s="4">
        <f>IFERROR(__xludf.DUMMYFUNCTION("""COMPUTED_VALUE"""),9.5)</f>
        <v>9.5</v>
      </c>
      <c r="Q2426" s="4">
        <f>IFERROR(__xludf.DUMMYFUNCTION("""COMPUTED_VALUE"""),6.1)</f>
        <v>6.1</v>
      </c>
      <c r="R2426" s="4">
        <f>IFERROR(__xludf.DUMMYFUNCTION("""COMPUTED_VALUE"""),1.7)</f>
        <v>1.7</v>
      </c>
      <c r="S2426" s="4">
        <f>IFERROR(__xludf.DUMMYFUNCTION("""COMPUTED_VALUE"""),60.1)</f>
        <v>60.1</v>
      </c>
      <c r="T2426" s="4">
        <f>IFERROR(__xludf.DUMMYFUNCTION("""COMPUTED_VALUE"""),0.101)</f>
        <v>0.101</v>
      </c>
      <c r="U2426" s="4">
        <f>IFERROR(__xludf.DUMMYFUNCTION("""COMPUTED_VALUE"""),-0.6)</f>
        <v>-0.6</v>
      </c>
      <c r="V2426" s="4">
        <f>IFERROR(__xludf.DUMMYFUNCTION("""COMPUTED_VALUE"""),10.2)</f>
        <v>10.2</v>
      </c>
    </row>
    <row r="2427">
      <c r="A2427" s="4">
        <f>IFERROR(__xludf.DUMMYFUNCTION("""COMPUTED_VALUE"""),34.0)</f>
        <v>34</v>
      </c>
      <c r="B2427" s="4">
        <f>IFERROR(__xludf.DUMMYFUNCTION("""COMPUTED_VALUE"""),34.0)</f>
        <v>34</v>
      </c>
      <c r="C2427" s="4" t="str">
        <f>IFERROR(__xludf.DUMMYFUNCTION("""COMPUTED_VALUE"""),"CHH")</f>
        <v>CHH</v>
      </c>
      <c r="D2427" s="4" t="str">
        <f>IFERROR(__xludf.DUMMYFUNCTION("""COMPUTED_VALUE"""),"Tom Tolbert")</f>
        <v>Tom Tolbert</v>
      </c>
      <c r="E2427" s="4" t="str">
        <f>IFERROR(__xludf.DUMMYFUNCTION("""COMPUTED_VALUE"""),"Arizona")</f>
        <v>Arizona</v>
      </c>
      <c r="F2427" s="4">
        <f>IFERROR(__xludf.DUMMYFUNCTION("""COMPUTED_VALUE"""),7.0)</f>
        <v>7</v>
      </c>
      <c r="G2427" s="4">
        <f>IFERROR(__xludf.DUMMYFUNCTION("""COMPUTED_VALUE"""),312.0)</f>
        <v>312</v>
      </c>
      <c r="H2427" s="4">
        <f>IFERROR(__xludf.DUMMYFUNCTION("""COMPUTED_VALUE"""),5680.0)</f>
        <v>5680</v>
      </c>
      <c r="I2427" s="4">
        <f>IFERROR(__xludf.DUMMYFUNCTION("""COMPUTED_VALUE"""),2030.0)</f>
        <v>2030</v>
      </c>
      <c r="J2427" s="4">
        <f>IFERROR(__xludf.DUMMYFUNCTION("""COMPUTED_VALUE"""),1251.0)</f>
        <v>1251</v>
      </c>
      <c r="K2427" s="4">
        <f>IFERROR(__xludf.DUMMYFUNCTION("""COMPUTED_VALUE"""),285.0)</f>
        <v>285</v>
      </c>
      <c r="L2427" s="4">
        <f>IFERROR(__xludf.DUMMYFUNCTION("""COMPUTED_VALUE"""),0.46)</f>
        <v>0.46</v>
      </c>
      <c r="M2427" s="4">
        <f>IFERROR(__xludf.DUMMYFUNCTION("""COMPUTED_VALUE"""),0.296)</f>
        <v>0.296</v>
      </c>
      <c r="N2427" s="4">
        <f>IFERROR(__xludf.DUMMYFUNCTION("""COMPUTED_VALUE"""),0.716)</f>
        <v>0.716</v>
      </c>
      <c r="O2427" s="4">
        <f>IFERROR(__xludf.DUMMYFUNCTION("""COMPUTED_VALUE"""),18.2)</f>
        <v>18.2</v>
      </c>
      <c r="P2427" s="4">
        <f>IFERROR(__xludf.DUMMYFUNCTION("""COMPUTED_VALUE"""),6.5)</f>
        <v>6.5</v>
      </c>
      <c r="Q2427" s="4">
        <f>IFERROR(__xludf.DUMMYFUNCTION("""COMPUTED_VALUE"""),4.0)</f>
        <v>4</v>
      </c>
      <c r="R2427" s="4">
        <f>IFERROR(__xludf.DUMMYFUNCTION("""COMPUTED_VALUE"""),0.9)</f>
        <v>0.9</v>
      </c>
      <c r="S2427" s="4">
        <f>IFERROR(__xludf.DUMMYFUNCTION("""COMPUTED_VALUE"""),6.6)</f>
        <v>6.6</v>
      </c>
      <c r="T2427" s="4">
        <f>IFERROR(__xludf.DUMMYFUNCTION("""COMPUTED_VALUE"""),0.056)</f>
        <v>0.056</v>
      </c>
      <c r="U2427" s="4">
        <f>IFERROR(__xludf.DUMMYFUNCTION("""COMPUTED_VALUE"""),-3.4)</f>
        <v>-3.4</v>
      </c>
      <c r="V2427" s="4">
        <f>IFERROR(__xludf.DUMMYFUNCTION("""COMPUTED_VALUE"""),-2.0)</f>
        <v>-2</v>
      </c>
    </row>
    <row r="2428">
      <c r="A2428" s="4">
        <f>IFERROR(__xludf.DUMMYFUNCTION("""COMPUTED_VALUE"""),35.0)</f>
        <v>35</v>
      </c>
      <c r="B2428" s="4">
        <f>IFERROR(__xludf.DUMMYFUNCTION("""COMPUTED_VALUE"""),35.0)</f>
        <v>35</v>
      </c>
      <c r="C2428" s="4" t="str">
        <f>IFERROR(__xludf.DUMMYFUNCTION("""COMPUTED_VALUE"""),"MIA")</f>
        <v>MIA</v>
      </c>
      <c r="D2428" s="4" t="str">
        <f>IFERROR(__xludf.DUMMYFUNCTION("""COMPUTED_VALUE"""),"Sylvester Gray")</f>
        <v>Sylvester Gray</v>
      </c>
      <c r="E2428" s="4" t="str">
        <f>IFERROR(__xludf.DUMMYFUNCTION("""COMPUTED_VALUE"""),"Memphis")</f>
        <v>Memphis</v>
      </c>
      <c r="F2428" s="4">
        <f>IFERROR(__xludf.DUMMYFUNCTION("""COMPUTED_VALUE"""),1.0)</f>
        <v>1</v>
      </c>
      <c r="G2428" s="4">
        <f>IFERROR(__xludf.DUMMYFUNCTION("""COMPUTED_VALUE"""),55.0)</f>
        <v>55</v>
      </c>
      <c r="H2428" s="4">
        <f>IFERROR(__xludf.DUMMYFUNCTION("""COMPUTED_VALUE"""),1220.0)</f>
        <v>1220</v>
      </c>
      <c r="I2428" s="4">
        <f>IFERROR(__xludf.DUMMYFUNCTION("""COMPUTED_VALUE"""),440.0)</f>
        <v>440</v>
      </c>
      <c r="J2428" s="4">
        <f>IFERROR(__xludf.DUMMYFUNCTION("""COMPUTED_VALUE"""),286.0)</f>
        <v>286</v>
      </c>
      <c r="K2428" s="4">
        <f>IFERROR(__xludf.DUMMYFUNCTION("""COMPUTED_VALUE"""),117.0)</f>
        <v>117</v>
      </c>
      <c r="L2428" s="4">
        <f>IFERROR(__xludf.DUMMYFUNCTION("""COMPUTED_VALUE"""),0.42)</f>
        <v>0.42</v>
      </c>
      <c r="M2428" s="4">
        <f>IFERROR(__xludf.DUMMYFUNCTION("""COMPUTED_VALUE"""),0.25)</f>
        <v>0.25</v>
      </c>
      <c r="N2428" s="4">
        <f>IFERROR(__xludf.DUMMYFUNCTION("""COMPUTED_VALUE"""),0.673)</f>
        <v>0.673</v>
      </c>
      <c r="O2428" s="4">
        <f>IFERROR(__xludf.DUMMYFUNCTION("""COMPUTED_VALUE"""),22.2)</f>
        <v>22.2</v>
      </c>
      <c r="P2428" s="4">
        <f>IFERROR(__xludf.DUMMYFUNCTION("""COMPUTED_VALUE"""),8.0)</f>
        <v>8</v>
      </c>
      <c r="Q2428" s="4">
        <f>IFERROR(__xludf.DUMMYFUNCTION("""COMPUTED_VALUE"""),5.2)</f>
        <v>5.2</v>
      </c>
      <c r="R2428" s="4">
        <f>IFERROR(__xludf.DUMMYFUNCTION("""COMPUTED_VALUE"""),2.1)</f>
        <v>2.1</v>
      </c>
      <c r="S2428" s="4">
        <f>IFERROR(__xludf.DUMMYFUNCTION("""COMPUTED_VALUE"""),0.7)</f>
        <v>0.7</v>
      </c>
      <c r="T2428" s="4">
        <f>IFERROR(__xludf.DUMMYFUNCTION("""COMPUTED_VALUE"""),0.028)</f>
        <v>0.028</v>
      </c>
      <c r="U2428" s="4">
        <f>IFERROR(__xludf.DUMMYFUNCTION("""COMPUTED_VALUE"""),-2.6)</f>
        <v>-2.6</v>
      </c>
      <c r="V2428" s="4">
        <f>IFERROR(__xludf.DUMMYFUNCTION("""COMPUTED_VALUE"""),-0.2)</f>
        <v>-0.2</v>
      </c>
    </row>
    <row r="2429">
      <c r="A2429" s="4">
        <f>IFERROR(__xludf.DUMMYFUNCTION("""COMPUTED_VALUE"""),36.0)</f>
        <v>36</v>
      </c>
      <c r="B2429" s="4">
        <f>IFERROR(__xludf.DUMMYFUNCTION("""COMPUTED_VALUE"""),36.0)</f>
        <v>36</v>
      </c>
      <c r="C2429" s="4" t="str">
        <f>IFERROR(__xludf.DUMMYFUNCTION("""COMPUTED_VALUE"""),"WSB")</f>
        <v>WSB</v>
      </c>
      <c r="D2429" s="4" t="str">
        <f>IFERROR(__xludf.DUMMYFUNCTION("""COMPUTED_VALUE"""),"Ledell Eackles")</f>
        <v>Ledell Eackles</v>
      </c>
      <c r="E2429" s="4" t="str">
        <f>IFERROR(__xludf.DUMMYFUNCTION("""COMPUTED_VALUE"""),"New Orleans")</f>
        <v>New Orleans</v>
      </c>
      <c r="F2429" s="4">
        <f>IFERROR(__xludf.DUMMYFUNCTION("""COMPUTED_VALUE"""),7.0)</f>
        <v>7</v>
      </c>
      <c r="G2429" s="4">
        <f>IFERROR(__xludf.DUMMYFUNCTION("""COMPUTED_VALUE"""),441.0)</f>
        <v>441</v>
      </c>
      <c r="H2429" s="4">
        <f>IFERROR(__xludf.DUMMYFUNCTION("""COMPUTED_VALUE"""),8917.0)</f>
        <v>8917</v>
      </c>
      <c r="I2429" s="4">
        <f>IFERROR(__xludf.DUMMYFUNCTION("""COMPUTED_VALUE"""),4783.0)</f>
        <v>4783</v>
      </c>
      <c r="J2429" s="4">
        <f>IFERROR(__xludf.DUMMYFUNCTION("""COMPUTED_VALUE"""),979.0)</f>
        <v>979</v>
      </c>
      <c r="K2429" s="4">
        <f>IFERROR(__xludf.DUMMYFUNCTION("""COMPUTED_VALUE"""),740.0)</f>
        <v>740</v>
      </c>
      <c r="L2429" s="4">
        <f>IFERROR(__xludf.DUMMYFUNCTION("""COMPUTED_VALUE"""),0.445)</f>
        <v>0.445</v>
      </c>
      <c r="M2429" s="4">
        <f>IFERROR(__xludf.DUMMYFUNCTION("""COMPUTED_VALUE"""),0.336)</f>
        <v>0.336</v>
      </c>
      <c r="N2429" s="4">
        <f>IFERROR(__xludf.DUMMYFUNCTION("""COMPUTED_VALUE"""),0.767)</f>
        <v>0.767</v>
      </c>
      <c r="O2429" s="4">
        <f>IFERROR(__xludf.DUMMYFUNCTION("""COMPUTED_VALUE"""),20.2)</f>
        <v>20.2</v>
      </c>
      <c r="P2429" s="4">
        <f>IFERROR(__xludf.DUMMYFUNCTION("""COMPUTED_VALUE"""),10.8)</f>
        <v>10.8</v>
      </c>
      <c r="Q2429" s="4">
        <f>IFERROR(__xludf.DUMMYFUNCTION("""COMPUTED_VALUE"""),2.2)</f>
        <v>2.2</v>
      </c>
      <c r="R2429" s="4">
        <f>IFERROR(__xludf.DUMMYFUNCTION("""COMPUTED_VALUE"""),1.7)</f>
        <v>1.7</v>
      </c>
      <c r="S2429" s="4">
        <f>IFERROR(__xludf.DUMMYFUNCTION("""COMPUTED_VALUE"""),10.8)</f>
        <v>10.8</v>
      </c>
      <c r="T2429" s="4">
        <f>IFERROR(__xludf.DUMMYFUNCTION("""COMPUTED_VALUE"""),0.058)</f>
        <v>0.058</v>
      </c>
      <c r="U2429" s="4">
        <f>IFERROR(__xludf.DUMMYFUNCTION("""COMPUTED_VALUE"""),-2.3)</f>
        <v>-2.3</v>
      </c>
      <c r="V2429" s="4">
        <f>IFERROR(__xludf.DUMMYFUNCTION("""COMPUTED_VALUE"""),-0.7)</f>
        <v>-0.7</v>
      </c>
    </row>
    <row r="2430">
      <c r="A2430" s="4">
        <f>IFERROR(__xludf.DUMMYFUNCTION("""COMPUTED_VALUE"""),37.0)</f>
        <v>37</v>
      </c>
      <c r="B2430" s="4">
        <f>IFERROR(__xludf.DUMMYFUNCTION("""COMPUTED_VALUE"""),37.0)</f>
        <v>37</v>
      </c>
      <c r="C2430" s="4" t="str">
        <f>IFERROR(__xludf.DUMMYFUNCTION("""COMPUTED_VALUE"""),"NYK")</f>
        <v>NYK</v>
      </c>
      <c r="D2430" s="4" t="str">
        <f>IFERROR(__xludf.DUMMYFUNCTION("""COMPUTED_VALUE"""),"Greg Butler")</f>
        <v>Greg Butler</v>
      </c>
      <c r="E2430" s="4" t="str">
        <f>IFERROR(__xludf.DUMMYFUNCTION("""COMPUTED_VALUE"""),"Stanford")</f>
        <v>Stanford</v>
      </c>
      <c r="F2430" s="4">
        <f>IFERROR(__xludf.DUMMYFUNCTION("""COMPUTED_VALUE"""),3.0)</f>
        <v>3</v>
      </c>
      <c r="G2430" s="4">
        <f>IFERROR(__xludf.DUMMYFUNCTION("""COMPUTED_VALUE"""),55.0)</f>
        <v>55</v>
      </c>
      <c r="H2430" s="4">
        <f>IFERROR(__xludf.DUMMYFUNCTION("""COMPUTED_VALUE"""),210.0)</f>
        <v>210</v>
      </c>
      <c r="I2430" s="4">
        <f>IFERROR(__xludf.DUMMYFUNCTION("""COMPUTED_VALUE"""),76.0)</f>
        <v>76</v>
      </c>
      <c r="J2430" s="4">
        <f>IFERROR(__xludf.DUMMYFUNCTION("""COMPUTED_VALUE"""),53.0)</f>
        <v>53</v>
      </c>
      <c r="K2430" s="4">
        <f>IFERROR(__xludf.DUMMYFUNCTION("""COMPUTED_VALUE"""),4.0)</f>
        <v>4</v>
      </c>
      <c r="L2430" s="4">
        <f>IFERROR(__xludf.DUMMYFUNCTION("""COMPUTED_VALUE"""),0.354)</f>
        <v>0.354</v>
      </c>
      <c r="M2430" s="4">
        <f>IFERROR(__xludf.DUMMYFUNCTION("""COMPUTED_VALUE"""),0.0)</f>
        <v>0</v>
      </c>
      <c r="N2430" s="4">
        <f>IFERROR(__xludf.DUMMYFUNCTION("""COMPUTED_VALUE"""),0.714)</f>
        <v>0.714</v>
      </c>
      <c r="O2430" s="4">
        <f>IFERROR(__xludf.DUMMYFUNCTION("""COMPUTED_VALUE"""),3.8)</f>
        <v>3.8</v>
      </c>
      <c r="P2430" s="4">
        <f>IFERROR(__xludf.DUMMYFUNCTION("""COMPUTED_VALUE"""),1.4)</f>
        <v>1.4</v>
      </c>
      <c r="Q2430" s="4">
        <f>IFERROR(__xludf.DUMMYFUNCTION("""COMPUTED_VALUE"""),1.0)</f>
        <v>1</v>
      </c>
      <c r="R2430" s="4">
        <f>IFERROR(__xludf.DUMMYFUNCTION("""COMPUTED_VALUE"""),0.1)</f>
        <v>0.1</v>
      </c>
      <c r="S2430" s="4">
        <f>IFERROR(__xludf.DUMMYFUNCTION("""COMPUTED_VALUE"""),-0.3)</f>
        <v>-0.3</v>
      </c>
      <c r="T2430" s="4">
        <f>IFERROR(__xludf.DUMMYFUNCTION("""COMPUTED_VALUE"""),-0.078)</f>
        <v>-0.078</v>
      </c>
      <c r="U2430" s="4">
        <f>IFERROR(__xludf.DUMMYFUNCTION("""COMPUTED_VALUE"""),-12.7)</f>
        <v>-12.7</v>
      </c>
      <c r="V2430" s="4">
        <f>IFERROR(__xludf.DUMMYFUNCTION("""COMPUTED_VALUE"""),-0.6)</f>
        <v>-0.6</v>
      </c>
    </row>
    <row r="2431">
      <c r="A2431" s="4">
        <f>IFERROR(__xludf.DUMMYFUNCTION("""COMPUTED_VALUE"""),38.0)</f>
        <v>38</v>
      </c>
      <c r="B2431" s="4">
        <f>IFERROR(__xludf.DUMMYFUNCTION("""COMPUTED_VALUE"""),38.0)</f>
        <v>38</v>
      </c>
      <c r="C2431" s="4" t="str">
        <f>IFERROR(__xludf.DUMMYFUNCTION("""COMPUTED_VALUE"""),"PHO")</f>
        <v>PHO</v>
      </c>
      <c r="D2431" s="4" t="str">
        <f>IFERROR(__xludf.DUMMYFUNCTION("""COMPUTED_VALUE"""),"Dean Garrett")</f>
        <v>Dean Garrett</v>
      </c>
      <c r="E2431" s="4" t="str">
        <f>IFERROR(__xludf.DUMMYFUNCTION("""COMPUTED_VALUE"""),"Indiana")</f>
        <v>Indiana</v>
      </c>
      <c r="F2431" s="4">
        <f>IFERROR(__xludf.DUMMYFUNCTION("""COMPUTED_VALUE"""),6.0)</f>
        <v>6</v>
      </c>
      <c r="G2431" s="4">
        <f>IFERROR(__xludf.DUMMYFUNCTION("""COMPUTED_VALUE"""),359.0)</f>
        <v>359</v>
      </c>
      <c r="H2431" s="4">
        <f>IFERROR(__xludf.DUMMYFUNCTION("""COMPUTED_VALUE"""),6969.0)</f>
        <v>6969</v>
      </c>
      <c r="I2431" s="4">
        <f>IFERROR(__xludf.DUMMYFUNCTION("""COMPUTED_VALUE"""),1737.0)</f>
        <v>1737</v>
      </c>
      <c r="J2431" s="4">
        <f>IFERROR(__xludf.DUMMYFUNCTION("""COMPUTED_VALUE"""),1810.0)</f>
        <v>1810</v>
      </c>
      <c r="K2431" s="4">
        <f>IFERROR(__xludf.DUMMYFUNCTION("""COMPUTED_VALUE"""),204.0)</f>
        <v>204</v>
      </c>
      <c r="L2431" s="4">
        <f>IFERROR(__xludf.DUMMYFUNCTION("""COMPUTED_VALUE"""),0.48)</f>
        <v>0.48</v>
      </c>
      <c r="M2431" s="4"/>
      <c r="N2431" s="4">
        <f>IFERROR(__xludf.DUMMYFUNCTION("""COMPUTED_VALUE"""),0.677)</f>
        <v>0.677</v>
      </c>
      <c r="O2431" s="4">
        <f>IFERROR(__xludf.DUMMYFUNCTION("""COMPUTED_VALUE"""),19.4)</f>
        <v>19.4</v>
      </c>
      <c r="P2431" s="4">
        <f>IFERROR(__xludf.DUMMYFUNCTION("""COMPUTED_VALUE"""),4.8)</f>
        <v>4.8</v>
      </c>
      <c r="Q2431" s="4">
        <f>IFERROR(__xludf.DUMMYFUNCTION("""COMPUTED_VALUE"""),5.0)</f>
        <v>5</v>
      </c>
      <c r="R2431" s="4">
        <f>IFERROR(__xludf.DUMMYFUNCTION("""COMPUTED_VALUE"""),0.6)</f>
        <v>0.6</v>
      </c>
      <c r="S2431" s="4">
        <f>IFERROR(__xludf.DUMMYFUNCTION("""COMPUTED_VALUE"""),14.1)</f>
        <v>14.1</v>
      </c>
      <c r="T2431" s="4">
        <f>IFERROR(__xludf.DUMMYFUNCTION("""COMPUTED_VALUE"""),0.097)</f>
        <v>0.097</v>
      </c>
      <c r="U2431" s="4">
        <f>IFERROR(__xludf.DUMMYFUNCTION("""COMPUTED_VALUE"""),-1.4)</f>
        <v>-1.4</v>
      </c>
      <c r="V2431" s="4">
        <f>IFERROR(__xludf.DUMMYFUNCTION("""COMPUTED_VALUE"""),1.1)</f>
        <v>1.1</v>
      </c>
    </row>
    <row r="2432">
      <c r="A2432" s="4">
        <f>IFERROR(__xludf.DUMMYFUNCTION("""COMPUTED_VALUE"""),39.0)</f>
        <v>39</v>
      </c>
      <c r="B2432" s="4">
        <f>IFERROR(__xludf.DUMMYFUNCTION("""COMPUTED_VALUE"""),39.0)</f>
        <v>39</v>
      </c>
      <c r="C2432" s="4" t="str">
        <f>IFERROR(__xludf.DUMMYFUNCTION("""COMPUTED_VALUE"""),"MIL")</f>
        <v>MIL</v>
      </c>
      <c r="D2432" s="4" t="str">
        <f>IFERROR(__xludf.DUMMYFUNCTION("""COMPUTED_VALUE"""),"Tito Horford")</f>
        <v>Tito Horford</v>
      </c>
      <c r="E2432" s="4" t="str">
        <f>IFERROR(__xludf.DUMMYFUNCTION("""COMPUTED_VALUE"""),"Miami (FL)")</f>
        <v>Miami (FL)</v>
      </c>
      <c r="F2432" s="4">
        <f>IFERROR(__xludf.DUMMYFUNCTION("""COMPUTED_VALUE"""),3.0)</f>
        <v>3</v>
      </c>
      <c r="G2432" s="4">
        <f>IFERROR(__xludf.DUMMYFUNCTION("""COMPUTED_VALUE"""),63.0)</f>
        <v>63</v>
      </c>
      <c r="H2432" s="4">
        <f>IFERROR(__xludf.DUMMYFUNCTION("""COMPUTED_VALUE"""),376.0)</f>
        <v>376</v>
      </c>
      <c r="I2432" s="4">
        <f>IFERROR(__xludf.DUMMYFUNCTION("""COMPUTED_VALUE"""),93.0)</f>
        <v>93</v>
      </c>
      <c r="J2432" s="4">
        <f>IFERROR(__xludf.DUMMYFUNCTION("""COMPUTED_VALUE"""),84.0)</f>
        <v>84</v>
      </c>
      <c r="K2432" s="4">
        <f>IFERROR(__xludf.DUMMYFUNCTION("""COMPUTED_VALUE"""),5.0)</f>
        <v>5</v>
      </c>
      <c r="L2432" s="4">
        <f>IFERROR(__xludf.DUMMYFUNCTION("""COMPUTED_VALUE"""),0.3)</f>
        <v>0.3</v>
      </c>
      <c r="M2432" s="4"/>
      <c r="N2432" s="4">
        <f>IFERROR(__xludf.DUMMYFUNCTION("""COMPUTED_VALUE"""),0.628)</f>
        <v>0.628</v>
      </c>
      <c r="O2432" s="4">
        <f>IFERROR(__xludf.DUMMYFUNCTION("""COMPUTED_VALUE"""),6.0)</f>
        <v>6</v>
      </c>
      <c r="P2432" s="4">
        <f>IFERROR(__xludf.DUMMYFUNCTION("""COMPUTED_VALUE"""),1.5)</f>
        <v>1.5</v>
      </c>
      <c r="Q2432" s="4">
        <f>IFERROR(__xludf.DUMMYFUNCTION("""COMPUTED_VALUE"""),1.3)</f>
        <v>1.3</v>
      </c>
      <c r="R2432" s="4">
        <f>IFERROR(__xludf.DUMMYFUNCTION("""COMPUTED_VALUE"""),0.1)</f>
        <v>0.1</v>
      </c>
      <c r="S2432" s="4">
        <f>IFERROR(__xludf.DUMMYFUNCTION("""COMPUTED_VALUE"""),-0.5)</f>
        <v>-0.5</v>
      </c>
      <c r="T2432" s="4">
        <f>IFERROR(__xludf.DUMMYFUNCTION("""COMPUTED_VALUE"""),-0.069)</f>
        <v>-0.069</v>
      </c>
      <c r="U2432" s="4">
        <f>IFERROR(__xludf.DUMMYFUNCTION("""COMPUTED_VALUE"""),-9.4)</f>
        <v>-9.4</v>
      </c>
      <c r="V2432" s="4">
        <f>IFERROR(__xludf.DUMMYFUNCTION("""COMPUTED_VALUE"""),-0.7)</f>
        <v>-0.7</v>
      </c>
    </row>
    <row r="2433">
      <c r="A2433" s="4">
        <f>IFERROR(__xludf.DUMMYFUNCTION("""COMPUTED_VALUE"""),40.0)</f>
        <v>40</v>
      </c>
      <c r="B2433" s="4">
        <f>IFERROR(__xludf.DUMMYFUNCTION("""COMPUTED_VALUE"""),40.0)</f>
        <v>40</v>
      </c>
      <c r="C2433" s="4" t="str">
        <f>IFERROR(__xludf.DUMMYFUNCTION("""COMPUTED_VALUE"""),"MIA")</f>
        <v>MIA</v>
      </c>
      <c r="D2433" s="4" t="str">
        <f>IFERROR(__xludf.DUMMYFUNCTION("""COMPUTED_VALUE"""),"Orlando Graham")</f>
        <v>Orlando Graham</v>
      </c>
      <c r="E2433" s="4" t="str">
        <f>IFERROR(__xludf.DUMMYFUNCTION("""COMPUTED_VALUE"""),"Auburn University at Montgomery")</f>
        <v>Auburn University at Montgomery</v>
      </c>
      <c r="F2433" s="4">
        <f>IFERROR(__xludf.DUMMYFUNCTION("""COMPUTED_VALUE"""),1.0)</f>
        <v>1</v>
      </c>
      <c r="G2433" s="4">
        <f>IFERROR(__xludf.DUMMYFUNCTION("""COMPUTED_VALUE"""),7.0)</f>
        <v>7</v>
      </c>
      <c r="H2433" s="4">
        <f>IFERROR(__xludf.DUMMYFUNCTION("""COMPUTED_VALUE"""),22.0)</f>
        <v>22</v>
      </c>
      <c r="I2433" s="4">
        <f>IFERROR(__xludf.DUMMYFUNCTION("""COMPUTED_VALUE"""),8.0)</f>
        <v>8</v>
      </c>
      <c r="J2433" s="4">
        <f>IFERROR(__xludf.DUMMYFUNCTION("""COMPUTED_VALUE"""),11.0)</f>
        <v>11</v>
      </c>
      <c r="K2433" s="4">
        <f>IFERROR(__xludf.DUMMYFUNCTION("""COMPUTED_VALUE"""),0.0)</f>
        <v>0</v>
      </c>
      <c r="L2433" s="4">
        <f>IFERROR(__xludf.DUMMYFUNCTION("""COMPUTED_VALUE"""),0.3)</f>
        <v>0.3</v>
      </c>
      <c r="M2433" s="4"/>
      <c r="N2433" s="4">
        <f>IFERROR(__xludf.DUMMYFUNCTION("""COMPUTED_VALUE"""),0.5)</f>
        <v>0.5</v>
      </c>
      <c r="O2433" s="4">
        <f>IFERROR(__xludf.DUMMYFUNCTION("""COMPUTED_VALUE"""),3.1)</f>
        <v>3.1</v>
      </c>
      <c r="P2433" s="4">
        <f>IFERROR(__xludf.DUMMYFUNCTION("""COMPUTED_VALUE"""),1.1)</f>
        <v>1.1</v>
      </c>
      <c r="Q2433" s="4">
        <f>IFERROR(__xludf.DUMMYFUNCTION("""COMPUTED_VALUE"""),1.6)</f>
        <v>1.6</v>
      </c>
      <c r="R2433" s="4">
        <f>IFERROR(__xludf.DUMMYFUNCTION("""COMPUTED_VALUE"""),0.0)</f>
        <v>0</v>
      </c>
      <c r="S2433" s="4">
        <f>IFERROR(__xludf.DUMMYFUNCTION("""COMPUTED_VALUE"""),0.0)</f>
        <v>0</v>
      </c>
      <c r="T2433" s="4">
        <f>IFERROR(__xludf.DUMMYFUNCTION("""COMPUTED_VALUE"""),-0.047)</f>
        <v>-0.047</v>
      </c>
      <c r="U2433" s="4">
        <f>IFERROR(__xludf.DUMMYFUNCTION("""COMPUTED_VALUE"""),-13.2)</f>
        <v>-13.2</v>
      </c>
      <c r="V2433" s="4">
        <f>IFERROR(__xludf.DUMMYFUNCTION("""COMPUTED_VALUE"""),-0.1)</f>
        <v>-0.1</v>
      </c>
    </row>
    <row r="2434">
      <c r="A2434" s="4">
        <f>IFERROR(__xludf.DUMMYFUNCTION("""COMPUTED_VALUE"""),41.0)</f>
        <v>41</v>
      </c>
      <c r="B2434" s="4">
        <f>IFERROR(__xludf.DUMMYFUNCTION("""COMPUTED_VALUE"""),41.0)</f>
        <v>41</v>
      </c>
      <c r="C2434" s="4" t="str">
        <f>IFERROR(__xludf.DUMMYFUNCTION("""COMPUTED_VALUE"""),"GSW")</f>
        <v>GSW</v>
      </c>
      <c r="D2434" s="4" t="str">
        <f>IFERROR(__xludf.DUMMYFUNCTION("""COMPUTED_VALUE"""),"Keith Smart")</f>
        <v>Keith Smart</v>
      </c>
      <c r="E2434" s="4" t="str">
        <f>IFERROR(__xludf.DUMMYFUNCTION("""COMPUTED_VALUE"""),"Indiana")</f>
        <v>Indiana</v>
      </c>
      <c r="F2434" s="4">
        <f>IFERROR(__xludf.DUMMYFUNCTION("""COMPUTED_VALUE"""),1.0)</f>
        <v>1</v>
      </c>
      <c r="G2434" s="4">
        <f>IFERROR(__xludf.DUMMYFUNCTION("""COMPUTED_VALUE"""),2.0)</f>
        <v>2</v>
      </c>
      <c r="H2434" s="4">
        <f>IFERROR(__xludf.DUMMYFUNCTION("""COMPUTED_VALUE"""),12.0)</f>
        <v>12</v>
      </c>
      <c r="I2434" s="4">
        <f>IFERROR(__xludf.DUMMYFUNCTION("""COMPUTED_VALUE"""),2.0)</f>
        <v>2</v>
      </c>
      <c r="J2434" s="4">
        <f>IFERROR(__xludf.DUMMYFUNCTION("""COMPUTED_VALUE"""),1.0)</f>
        <v>1</v>
      </c>
      <c r="K2434" s="4">
        <f>IFERROR(__xludf.DUMMYFUNCTION("""COMPUTED_VALUE"""),2.0)</f>
        <v>2</v>
      </c>
      <c r="L2434" s="4">
        <f>IFERROR(__xludf.DUMMYFUNCTION("""COMPUTED_VALUE"""),0.0)</f>
        <v>0</v>
      </c>
      <c r="M2434" s="4">
        <f>IFERROR(__xludf.DUMMYFUNCTION("""COMPUTED_VALUE"""),0.0)</f>
        <v>0</v>
      </c>
      <c r="N2434" s="4">
        <f>IFERROR(__xludf.DUMMYFUNCTION("""COMPUTED_VALUE"""),1.0)</f>
        <v>1</v>
      </c>
      <c r="O2434" s="4">
        <f>IFERROR(__xludf.DUMMYFUNCTION("""COMPUTED_VALUE"""),6.0)</f>
        <v>6</v>
      </c>
      <c r="P2434" s="4">
        <f>IFERROR(__xludf.DUMMYFUNCTION("""COMPUTED_VALUE"""),1.0)</f>
        <v>1</v>
      </c>
      <c r="Q2434" s="4">
        <f>IFERROR(__xludf.DUMMYFUNCTION("""COMPUTED_VALUE"""),0.5)</f>
        <v>0.5</v>
      </c>
      <c r="R2434" s="4">
        <f>IFERROR(__xludf.DUMMYFUNCTION("""COMPUTED_VALUE"""),1.0)</f>
        <v>1</v>
      </c>
      <c r="S2434" s="4">
        <f>IFERROR(__xludf.DUMMYFUNCTION("""COMPUTED_VALUE"""),0.0)</f>
        <v>0</v>
      </c>
      <c r="T2434" s="4">
        <f>IFERROR(__xludf.DUMMYFUNCTION("""COMPUTED_VALUE"""),-0.175)</f>
        <v>-0.175</v>
      </c>
      <c r="U2434" s="4">
        <f>IFERROR(__xludf.DUMMYFUNCTION("""COMPUTED_VALUE"""),-14.1)</f>
        <v>-14.1</v>
      </c>
      <c r="V2434" s="4">
        <f>IFERROR(__xludf.DUMMYFUNCTION("""COMPUTED_VALUE"""),0.0)</f>
        <v>0</v>
      </c>
    </row>
    <row r="2435">
      <c r="A2435" s="4">
        <f>IFERROR(__xludf.DUMMYFUNCTION("""COMPUTED_VALUE"""),42.0)</f>
        <v>42</v>
      </c>
      <c r="B2435" s="4">
        <f>IFERROR(__xludf.DUMMYFUNCTION("""COMPUTED_VALUE"""),42.0)</f>
        <v>42</v>
      </c>
      <c r="C2435" s="4" t="str">
        <f>IFERROR(__xludf.DUMMYFUNCTION("""COMPUTED_VALUE"""),"UTA")</f>
        <v>UTA</v>
      </c>
      <c r="D2435" s="4" t="str">
        <f>IFERROR(__xludf.DUMMYFUNCTION("""COMPUTED_VALUE"""),"Jeff Moe")</f>
        <v>Jeff Moe</v>
      </c>
      <c r="E2435" s="4" t="str">
        <f>IFERROR(__xludf.DUMMYFUNCTION("""COMPUTED_VALUE"""),"Iowa")</f>
        <v>Iowa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</row>
    <row r="2436">
      <c r="A2436" s="4">
        <f>IFERROR(__xludf.DUMMYFUNCTION("""COMPUTED_VALUE"""),43.0)</f>
        <v>43</v>
      </c>
      <c r="B2436" s="4">
        <f>IFERROR(__xludf.DUMMYFUNCTION("""COMPUTED_VALUE"""),43.0)</f>
        <v>43</v>
      </c>
      <c r="C2436" s="4" t="str">
        <f>IFERROR(__xludf.DUMMYFUNCTION("""COMPUTED_VALUE"""),"DEN")</f>
        <v>DEN</v>
      </c>
      <c r="D2436" s="4" t="str">
        <f>IFERROR(__xludf.DUMMYFUNCTION("""COMPUTED_VALUE"""),"Todd Mitchell")</f>
        <v>Todd Mitchell</v>
      </c>
      <c r="E2436" s="4" t="str">
        <f>IFERROR(__xludf.DUMMYFUNCTION("""COMPUTED_VALUE"""),"Purdue")</f>
        <v>Purdue</v>
      </c>
      <c r="F2436" s="4">
        <f>IFERROR(__xludf.DUMMYFUNCTION("""COMPUTED_VALUE"""),1.0)</f>
        <v>1</v>
      </c>
      <c r="G2436" s="4">
        <f>IFERROR(__xludf.DUMMYFUNCTION("""COMPUTED_VALUE"""),24.0)</f>
        <v>24</v>
      </c>
      <c r="H2436" s="4">
        <f>IFERROR(__xludf.DUMMYFUNCTION("""COMPUTED_VALUE"""),353.0)</f>
        <v>353</v>
      </c>
      <c r="I2436" s="4">
        <f>IFERROR(__xludf.DUMMYFUNCTION("""COMPUTED_VALUE"""),123.0)</f>
        <v>123</v>
      </c>
      <c r="J2436" s="4">
        <f>IFERROR(__xludf.DUMMYFUNCTION("""COMPUTED_VALUE"""),50.0)</f>
        <v>50</v>
      </c>
      <c r="K2436" s="4">
        <f>IFERROR(__xludf.DUMMYFUNCTION("""COMPUTED_VALUE"""),21.0)</f>
        <v>21</v>
      </c>
      <c r="L2436" s="4">
        <f>IFERROR(__xludf.DUMMYFUNCTION("""COMPUTED_VALUE"""),0.443)</f>
        <v>0.443</v>
      </c>
      <c r="M2436" s="4"/>
      <c r="N2436" s="4">
        <f>IFERROR(__xludf.DUMMYFUNCTION("""COMPUTED_VALUE"""),0.578)</f>
        <v>0.578</v>
      </c>
      <c r="O2436" s="4">
        <f>IFERROR(__xludf.DUMMYFUNCTION("""COMPUTED_VALUE"""),14.7)</f>
        <v>14.7</v>
      </c>
      <c r="P2436" s="4">
        <f>IFERROR(__xludf.DUMMYFUNCTION("""COMPUTED_VALUE"""),5.1)</f>
        <v>5.1</v>
      </c>
      <c r="Q2436" s="4">
        <f>IFERROR(__xludf.DUMMYFUNCTION("""COMPUTED_VALUE"""),2.1)</f>
        <v>2.1</v>
      </c>
      <c r="R2436" s="4">
        <f>IFERROR(__xludf.DUMMYFUNCTION("""COMPUTED_VALUE"""),0.9)</f>
        <v>0.9</v>
      </c>
      <c r="S2436" s="4">
        <f>IFERROR(__xludf.DUMMYFUNCTION("""COMPUTED_VALUE"""),-0.1)</f>
        <v>-0.1</v>
      </c>
      <c r="T2436" s="4">
        <f>IFERROR(__xludf.DUMMYFUNCTION("""COMPUTED_VALUE"""),-0.008)</f>
        <v>-0.008</v>
      </c>
      <c r="U2436" s="4">
        <f>IFERROR(__xludf.DUMMYFUNCTION("""COMPUTED_VALUE"""),-5.6)</f>
        <v>-5.6</v>
      </c>
      <c r="V2436" s="4">
        <f>IFERROR(__xludf.DUMMYFUNCTION("""COMPUTED_VALUE"""),-0.3)</f>
        <v>-0.3</v>
      </c>
    </row>
    <row r="2437">
      <c r="A2437" s="4">
        <f>IFERROR(__xludf.DUMMYFUNCTION("""COMPUTED_VALUE"""),44.0)</f>
        <v>44</v>
      </c>
      <c r="B2437" s="4">
        <f>IFERROR(__xludf.DUMMYFUNCTION("""COMPUTED_VALUE"""),44.0)</f>
        <v>44</v>
      </c>
      <c r="C2437" s="4" t="str">
        <f>IFERROR(__xludf.DUMMYFUNCTION("""COMPUTED_VALUE"""),"ATL")</f>
        <v>ATL</v>
      </c>
      <c r="D2437" s="4" t="str">
        <f>IFERROR(__xludf.DUMMYFUNCTION("""COMPUTED_VALUE"""),"Anthony Taylor")</f>
        <v>Anthony Taylor</v>
      </c>
      <c r="E2437" s="4" t="str">
        <f>IFERROR(__xludf.DUMMYFUNCTION("""COMPUTED_VALUE"""),"Oregon")</f>
        <v>Oregon</v>
      </c>
      <c r="F2437" s="4">
        <f>IFERROR(__xludf.DUMMYFUNCTION("""COMPUTED_VALUE"""),1.0)</f>
        <v>1</v>
      </c>
      <c r="G2437" s="4">
        <f>IFERROR(__xludf.DUMMYFUNCTION("""COMPUTED_VALUE"""),21.0)</f>
        <v>21</v>
      </c>
      <c r="H2437" s="4">
        <f>IFERROR(__xludf.DUMMYFUNCTION("""COMPUTED_VALUE"""),368.0)</f>
        <v>368</v>
      </c>
      <c r="I2437" s="4">
        <f>IFERROR(__xludf.DUMMYFUNCTION("""COMPUTED_VALUE"""),144.0)</f>
        <v>144</v>
      </c>
      <c r="J2437" s="4">
        <f>IFERROR(__xludf.DUMMYFUNCTION("""COMPUTED_VALUE"""),34.0)</f>
        <v>34</v>
      </c>
      <c r="K2437" s="4">
        <f>IFERROR(__xludf.DUMMYFUNCTION("""COMPUTED_VALUE"""),43.0)</f>
        <v>43</v>
      </c>
      <c r="L2437" s="4">
        <f>IFERROR(__xludf.DUMMYFUNCTION("""COMPUTED_VALUE"""),0.397)</f>
        <v>0.397</v>
      </c>
      <c r="M2437" s="4">
        <f>IFERROR(__xludf.DUMMYFUNCTION("""COMPUTED_VALUE"""),0.0)</f>
        <v>0</v>
      </c>
      <c r="N2437" s="4">
        <f>IFERROR(__xludf.DUMMYFUNCTION("""COMPUTED_VALUE"""),0.75)</f>
        <v>0.75</v>
      </c>
      <c r="O2437" s="4">
        <f>IFERROR(__xludf.DUMMYFUNCTION("""COMPUTED_VALUE"""),17.5)</f>
        <v>17.5</v>
      </c>
      <c r="P2437" s="4">
        <f>IFERROR(__xludf.DUMMYFUNCTION("""COMPUTED_VALUE"""),6.9)</f>
        <v>6.9</v>
      </c>
      <c r="Q2437" s="4">
        <f>IFERROR(__xludf.DUMMYFUNCTION("""COMPUTED_VALUE"""),1.6)</f>
        <v>1.6</v>
      </c>
      <c r="R2437" s="4">
        <f>IFERROR(__xludf.DUMMYFUNCTION("""COMPUTED_VALUE"""),2.0)</f>
        <v>2</v>
      </c>
      <c r="S2437" s="4">
        <f>IFERROR(__xludf.DUMMYFUNCTION("""COMPUTED_VALUE"""),0.2)</f>
        <v>0.2</v>
      </c>
      <c r="T2437" s="4">
        <f>IFERROR(__xludf.DUMMYFUNCTION("""COMPUTED_VALUE"""),0.029)</f>
        <v>0.029</v>
      </c>
      <c r="U2437" s="4">
        <f>IFERROR(__xludf.DUMMYFUNCTION("""COMPUTED_VALUE"""),-2.1)</f>
        <v>-2.1</v>
      </c>
      <c r="V2437" s="4">
        <f>IFERROR(__xludf.DUMMYFUNCTION("""COMPUTED_VALUE"""),0.0)</f>
        <v>0</v>
      </c>
    </row>
    <row r="2438">
      <c r="A2438" s="4">
        <f>IFERROR(__xludf.DUMMYFUNCTION("""COMPUTED_VALUE"""),45.0)</f>
        <v>45</v>
      </c>
      <c r="B2438" s="4">
        <f>IFERROR(__xludf.DUMMYFUNCTION("""COMPUTED_VALUE"""),45.0)</f>
        <v>45</v>
      </c>
      <c r="C2438" s="4" t="str">
        <f>IFERROR(__xludf.DUMMYFUNCTION("""COMPUTED_VALUE"""),"LAC")</f>
        <v>LAC</v>
      </c>
      <c r="D2438" s="4" t="str">
        <f>IFERROR(__xludf.DUMMYFUNCTION("""COMPUTED_VALUE"""),"Tom Garrick")</f>
        <v>Tom Garrick</v>
      </c>
      <c r="E2438" s="4" t="str">
        <f>IFERROR(__xludf.DUMMYFUNCTION("""COMPUTED_VALUE"""),"Rhode Island")</f>
        <v>Rhode Island</v>
      </c>
      <c r="F2438" s="4">
        <f>IFERROR(__xludf.DUMMYFUNCTION("""COMPUTED_VALUE"""),4.0)</f>
        <v>4</v>
      </c>
      <c r="G2438" s="4">
        <f>IFERROR(__xludf.DUMMYFUNCTION("""COMPUTED_VALUE"""),251.0)</f>
        <v>251</v>
      </c>
      <c r="H2438" s="4">
        <f>IFERROR(__xludf.DUMMYFUNCTION("""COMPUTED_VALUE"""),4718.0)</f>
        <v>4718</v>
      </c>
      <c r="I2438" s="4">
        <f>IFERROR(__xludf.DUMMYFUNCTION("""COMPUTED_VALUE"""),1359.0)</f>
        <v>1359</v>
      </c>
      <c r="J2438" s="4">
        <f>IFERROR(__xludf.DUMMYFUNCTION("""COMPUTED_VALUE"""),501.0)</f>
        <v>501</v>
      </c>
      <c r="K2438" s="4">
        <f>IFERROR(__xludf.DUMMYFUNCTION("""COMPUTED_VALUE"""),853.0)</f>
        <v>853</v>
      </c>
      <c r="L2438" s="4">
        <f>IFERROR(__xludf.DUMMYFUNCTION("""COMPUTED_VALUE"""),0.469)</f>
        <v>0.469</v>
      </c>
      <c r="M2438" s="4">
        <f>IFERROR(__xludf.DUMMYFUNCTION("""COMPUTED_VALUE"""),0.083)</f>
        <v>0.083</v>
      </c>
      <c r="N2438" s="4">
        <f>IFERROR(__xludf.DUMMYFUNCTION("""COMPUTED_VALUE"""),0.775)</f>
        <v>0.775</v>
      </c>
      <c r="O2438" s="4">
        <f>IFERROR(__xludf.DUMMYFUNCTION("""COMPUTED_VALUE"""),18.8)</f>
        <v>18.8</v>
      </c>
      <c r="P2438" s="4">
        <f>IFERROR(__xludf.DUMMYFUNCTION("""COMPUTED_VALUE"""),5.4)</f>
        <v>5.4</v>
      </c>
      <c r="Q2438" s="4">
        <f>IFERROR(__xludf.DUMMYFUNCTION("""COMPUTED_VALUE"""),2.0)</f>
        <v>2</v>
      </c>
      <c r="R2438" s="4">
        <f>IFERROR(__xludf.DUMMYFUNCTION("""COMPUTED_VALUE"""),3.4)</f>
        <v>3.4</v>
      </c>
      <c r="S2438" s="4">
        <f>IFERROR(__xludf.DUMMYFUNCTION("""COMPUTED_VALUE"""),5.9)</f>
        <v>5.9</v>
      </c>
      <c r="T2438" s="4">
        <f>IFERROR(__xludf.DUMMYFUNCTION("""COMPUTED_VALUE"""),0.06)</f>
        <v>0.06</v>
      </c>
      <c r="U2438" s="4">
        <f>IFERROR(__xludf.DUMMYFUNCTION("""COMPUTED_VALUE"""),-1.4)</f>
        <v>-1.4</v>
      </c>
      <c r="V2438" s="4">
        <f>IFERROR(__xludf.DUMMYFUNCTION("""COMPUTED_VALUE"""),0.7)</f>
        <v>0.7</v>
      </c>
    </row>
    <row r="2439">
      <c r="A2439" s="4">
        <f>IFERROR(__xludf.DUMMYFUNCTION("""COMPUTED_VALUE"""),46.0)</f>
        <v>46</v>
      </c>
      <c r="B2439" s="4">
        <f>IFERROR(__xludf.DUMMYFUNCTION("""COMPUTED_VALUE"""),46.0)</f>
        <v>46</v>
      </c>
      <c r="C2439" s="4" t="str">
        <f>IFERROR(__xludf.DUMMYFUNCTION("""COMPUTED_VALUE"""),"DAL")</f>
        <v>DAL</v>
      </c>
      <c r="D2439" s="4" t="str">
        <f>IFERROR(__xludf.DUMMYFUNCTION("""COMPUTED_VALUE"""),"Morlon Wiley")</f>
        <v>Morlon Wiley</v>
      </c>
      <c r="E2439" s="4" t="str">
        <f>IFERROR(__xludf.DUMMYFUNCTION("""COMPUTED_VALUE"""),"Cal State Long Beach")</f>
        <v>Cal State Long Beach</v>
      </c>
      <c r="F2439" s="4">
        <f>IFERROR(__xludf.DUMMYFUNCTION("""COMPUTED_VALUE"""),7.0)</f>
        <v>7</v>
      </c>
      <c r="G2439" s="4">
        <f>IFERROR(__xludf.DUMMYFUNCTION("""COMPUTED_VALUE"""),295.0)</f>
        <v>295</v>
      </c>
      <c r="H2439" s="4">
        <f>IFERROR(__xludf.DUMMYFUNCTION("""COMPUTED_VALUE"""),3843.0)</f>
        <v>3843</v>
      </c>
      <c r="I2439" s="4">
        <f>IFERROR(__xludf.DUMMYFUNCTION("""COMPUTED_VALUE"""),1078.0)</f>
        <v>1078</v>
      </c>
      <c r="J2439" s="4">
        <f>IFERROR(__xludf.DUMMYFUNCTION("""COMPUTED_VALUE"""),341.0)</f>
        <v>341</v>
      </c>
      <c r="K2439" s="4">
        <f>IFERROR(__xludf.DUMMYFUNCTION("""COMPUTED_VALUE"""),722.0)</f>
        <v>722</v>
      </c>
      <c r="L2439" s="4">
        <f>IFERROR(__xludf.DUMMYFUNCTION("""COMPUTED_VALUE"""),0.412)</f>
        <v>0.412</v>
      </c>
      <c r="M2439" s="4">
        <f>IFERROR(__xludf.DUMMYFUNCTION("""COMPUTED_VALUE"""),0.354)</f>
        <v>0.354</v>
      </c>
      <c r="N2439" s="4">
        <f>IFERROR(__xludf.DUMMYFUNCTION("""COMPUTED_VALUE"""),0.707)</f>
        <v>0.707</v>
      </c>
      <c r="O2439" s="4">
        <f>IFERROR(__xludf.DUMMYFUNCTION("""COMPUTED_VALUE"""),13.0)</f>
        <v>13</v>
      </c>
      <c r="P2439" s="4">
        <f>IFERROR(__xludf.DUMMYFUNCTION("""COMPUTED_VALUE"""),3.7)</f>
        <v>3.7</v>
      </c>
      <c r="Q2439" s="4">
        <f>IFERROR(__xludf.DUMMYFUNCTION("""COMPUTED_VALUE"""),1.2)</f>
        <v>1.2</v>
      </c>
      <c r="R2439" s="4">
        <f>IFERROR(__xludf.DUMMYFUNCTION("""COMPUTED_VALUE"""),2.4)</f>
        <v>2.4</v>
      </c>
      <c r="S2439" s="4">
        <f>IFERROR(__xludf.DUMMYFUNCTION("""COMPUTED_VALUE"""),2.7)</f>
        <v>2.7</v>
      </c>
      <c r="T2439" s="4">
        <f>IFERROR(__xludf.DUMMYFUNCTION("""COMPUTED_VALUE"""),0.034)</f>
        <v>0.034</v>
      </c>
      <c r="U2439" s="4">
        <f>IFERROR(__xludf.DUMMYFUNCTION("""COMPUTED_VALUE"""),-1.8)</f>
        <v>-1.8</v>
      </c>
      <c r="V2439" s="4">
        <f>IFERROR(__xludf.DUMMYFUNCTION("""COMPUTED_VALUE"""),0.2)</f>
        <v>0.2</v>
      </c>
    </row>
    <row r="2440">
      <c r="A2440" s="4">
        <f>IFERROR(__xludf.DUMMYFUNCTION("""COMPUTED_VALUE"""),47.0)</f>
        <v>47</v>
      </c>
      <c r="B2440" s="4">
        <f>IFERROR(__xludf.DUMMYFUNCTION("""COMPUTED_VALUE"""),47.0)</f>
        <v>47</v>
      </c>
      <c r="C2440" s="4" t="str">
        <f>IFERROR(__xludf.DUMMYFUNCTION("""COMPUTED_VALUE"""),"DEN")</f>
        <v>DEN</v>
      </c>
      <c r="D2440" s="4" t="str">
        <f>IFERROR(__xludf.DUMMYFUNCTION("""COMPUTED_VALUE"""),"Vernon Maxwell")</f>
        <v>Vernon Maxwell</v>
      </c>
      <c r="E2440" s="4" t="str">
        <f>IFERROR(__xludf.DUMMYFUNCTION("""COMPUTED_VALUE"""),"Florida")</f>
        <v>Florida</v>
      </c>
      <c r="F2440" s="4">
        <f>IFERROR(__xludf.DUMMYFUNCTION("""COMPUTED_VALUE"""),13.0)</f>
        <v>13</v>
      </c>
      <c r="G2440" s="4">
        <f>IFERROR(__xludf.DUMMYFUNCTION("""COMPUTED_VALUE"""),855.0)</f>
        <v>855</v>
      </c>
      <c r="H2440" s="4">
        <f>IFERROR(__xludf.DUMMYFUNCTION("""COMPUTED_VALUE"""),24309.0)</f>
        <v>24309</v>
      </c>
      <c r="I2440" s="4">
        <f>IFERROR(__xludf.DUMMYFUNCTION("""COMPUTED_VALUE"""),10912.0)</f>
        <v>10912</v>
      </c>
      <c r="J2440" s="4">
        <f>IFERROR(__xludf.DUMMYFUNCTION("""COMPUTED_VALUE"""),2200.0)</f>
        <v>2200</v>
      </c>
      <c r="K2440" s="4">
        <f>IFERROR(__xludf.DUMMYFUNCTION("""COMPUTED_VALUE"""),2912.0)</f>
        <v>2912</v>
      </c>
      <c r="L2440" s="4">
        <f>IFERROR(__xludf.DUMMYFUNCTION("""COMPUTED_VALUE"""),0.398)</f>
        <v>0.398</v>
      </c>
      <c r="M2440" s="4">
        <f>IFERROR(__xludf.DUMMYFUNCTION("""COMPUTED_VALUE"""),0.32)</f>
        <v>0.32</v>
      </c>
      <c r="N2440" s="4">
        <f>IFERROR(__xludf.DUMMYFUNCTION("""COMPUTED_VALUE"""),0.733)</f>
        <v>0.733</v>
      </c>
      <c r="O2440" s="4">
        <f>IFERROR(__xludf.DUMMYFUNCTION("""COMPUTED_VALUE"""),28.4)</f>
        <v>28.4</v>
      </c>
      <c r="P2440" s="4">
        <f>IFERROR(__xludf.DUMMYFUNCTION("""COMPUTED_VALUE"""),12.8)</f>
        <v>12.8</v>
      </c>
      <c r="Q2440" s="4">
        <f>IFERROR(__xludf.DUMMYFUNCTION("""COMPUTED_VALUE"""),2.6)</f>
        <v>2.6</v>
      </c>
      <c r="R2440" s="4">
        <f>IFERROR(__xludf.DUMMYFUNCTION("""COMPUTED_VALUE"""),3.4)</f>
        <v>3.4</v>
      </c>
      <c r="S2440" s="4">
        <f>IFERROR(__xludf.DUMMYFUNCTION("""COMPUTED_VALUE"""),27.4)</f>
        <v>27.4</v>
      </c>
      <c r="T2440" s="4">
        <f>IFERROR(__xludf.DUMMYFUNCTION("""COMPUTED_VALUE"""),0.054)</f>
        <v>0.054</v>
      </c>
      <c r="U2440" s="4">
        <f>IFERROR(__xludf.DUMMYFUNCTION("""COMPUTED_VALUE"""),-1.2)</f>
        <v>-1.2</v>
      </c>
      <c r="V2440" s="4">
        <f>IFERROR(__xludf.DUMMYFUNCTION("""COMPUTED_VALUE"""),5.1)</f>
        <v>5.1</v>
      </c>
    </row>
    <row r="2441">
      <c r="A2441" s="4">
        <f>IFERROR(__xludf.DUMMYFUNCTION("""COMPUTED_VALUE"""),48.0)</f>
        <v>48</v>
      </c>
      <c r="B2441" s="4">
        <f>IFERROR(__xludf.DUMMYFUNCTION("""COMPUTED_VALUE"""),48.0)</f>
        <v>48</v>
      </c>
      <c r="C2441" s="4" t="str">
        <f>IFERROR(__xludf.DUMMYFUNCTION("""COMPUTED_VALUE"""),"DET")</f>
        <v>DET</v>
      </c>
      <c r="D2441" s="4" t="str">
        <f>IFERROR(__xludf.DUMMYFUNCTION("""COMPUTED_VALUE"""),"Micheal Williams")</f>
        <v>Micheal Williams</v>
      </c>
      <c r="E2441" s="4" t="str">
        <f>IFERROR(__xludf.DUMMYFUNCTION("""COMPUTED_VALUE"""),"Baylor")</f>
        <v>Baylor</v>
      </c>
      <c r="F2441" s="4">
        <f>IFERROR(__xludf.DUMMYFUNCTION("""COMPUTED_VALUE"""),10.0)</f>
        <v>10</v>
      </c>
      <c r="G2441" s="4">
        <f>IFERROR(__xludf.DUMMYFUNCTION("""COMPUTED_VALUE"""),413.0)</f>
        <v>413</v>
      </c>
      <c r="H2441" s="4">
        <f>IFERROR(__xludf.DUMMYFUNCTION("""COMPUTED_VALUE"""),10403.0)</f>
        <v>10403</v>
      </c>
      <c r="I2441" s="4">
        <f>IFERROR(__xludf.DUMMYFUNCTION("""COMPUTED_VALUE"""),4533.0)</f>
        <v>4533</v>
      </c>
      <c r="J2441" s="4">
        <f>IFERROR(__xludf.DUMMYFUNCTION("""COMPUTED_VALUE"""),1050.0)</f>
        <v>1050</v>
      </c>
      <c r="K2441" s="4">
        <f>IFERROR(__xludf.DUMMYFUNCTION("""COMPUTED_VALUE"""),2385.0)</f>
        <v>2385</v>
      </c>
      <c r="L2441" s="4">
        <f>IFERROR(__xludf.DUMMYFUNCTION("""COMPUTED_VALUE"""),0.464)</f>
        <v>0.464</v>
      </c>
      <c r="M2441" s="4">
        <f>IFERROR(__xludf.DUMMYFUNCTION("""COMPUTED_VALUE"""),0.227)</f>
        <v>0.227</v>
      </c>
      <c r="N2441" s="4">
        <f>IFERROR(__xludf.DUMMYFUNCTION("""COMPUTED_VALUE"""),0.868)</f>
        <v>0.868</v>
      </c>
      <c r="O2441" s="4">
        <f>IFERROR(__xludf.DUMMYFUNCTION("""COMPUTED_VALUE"""),25.2)</f>
        <v>25.2</v>
      </c>
      <c r="P2441" s="4">
        <f>IFERROR(__xludf.DUMMYFUNCTION("""COMPUTED_VALUE"""),11.0)</f>
        <v>11</v>
      </c>
      <c r="Q2441" s="4">
        <f>IFERROR(__xludf.DUMMYFUNCTION("""COMPUTED_VALUE"""),2.5)</f>
        <v>2.5</v>
      </c>
      <c r="R2441" s="4">
        <f>IFERROR(__xludf.DUMMYFUNCTION("""COMPUTED_VALUE"""),5.8)</f>
        <v>5.8</v>
      </c>
      <c r="S2441" s="4">
        <f>IFERROR(__xludf.DUMMYFUNCTION("""COMPUTED_VALUE"""),28.5)</f>
        <v>28.5</v>
      </c>
      <c r="T2441" s="4">
        <f>IFERROR(__xludf.DUMMYFUNCTION("""COMPUTED_VALUE"""),0.132)</f>
        <v>0.132</v>
      </c>
      <c r="U2441" s="4">
        <f>IFERROR(__xludf.DUMMYFUNCTION("""COMPUTED_VALUE"""),2.3)</f>
        <v>2.3</v>
      </c>
      <c r="V2441" s="4">
        <f>IFERROR(__xludf.DUMMYFUNCTION("""COMPUTED_VALUE"""),11.2)</f>
        <v>11.2</v>
      </c>
    </row>
    <row r="2442">
      <c r="A2442" s="4">
        <f>IFERROR(__xludf.DUMMYFUNCTION("""COMPUTED_VALUE"""),49.0)</f>
        <v>49</v>
      </c>
      <c r="B2442" s="4">
        <f>IFERROR(__xludf.DUMMYFUNCTION("""COMPUTED_VALUE"""),49.0)</f>
        <v>49</v>
      </c>
      <c r="C2442" s="4" t="str">
        <f>IFERROR(__xludf.DUMMYFUNCTION("""COMPUTED_VALUE"""),"DAL")</f>
        <v>DAL</v>
      </c>
      <c r="D2442" s="4" t="str">
        <f>IFERROR(__xludf.DUMMYFUNCTION("""COMPUTED_VALUE"""),"José Vargas")</f>
        <v>José Vargas</v>
      </c>
      <c r="E2442" s="4" t="str">
        <f>IFERROR(__xludf.DUMMYFUNCTION("""COMPUTED_VALUE"""),"LSU")</f>
        <v>LSU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</row>
    <row r="2443">
      <c r="A2443" s="4">
        <f>IFERROR(__xludf.DUMMYFUNCTION("""COMPUTED_VALUE"""),50.0)</f>
        <v>50</v>
      </c>
      <c r="B2443" s="4">
        <f>IFERROR(__xludf.DUMMYFUNCTION("""COMPUTED_VALUE"""),50.0)</f>
        <v>50</v>
      </c>
      <c r="C2443" s="4" t="str">
        <f>IFERROR(__xludf.DUMMYFUNCTION("""COMPUTED_VALUE"""),"PHO")</f>
        <v>PHO</v>
      </c>
      <c r="D2443" s="4" t="str">
        <f>IFERROR(__xludf.DUMMYFUNCTION("""COMPUTED_VALUE"""),"Steve Kerr")</f>
        <v>Steve Kerr</v>
      </c>
      <c r="E2443" s="4" t="str">
        <f>IFERROR(__xludf.DUMMYFUNCTION("""COMPUTED_VALUE"""),"Arizona")</f>
        <v>Arizona</v>
      </c>
      <c r="F2443" s="4">
        <f>IFERROR(__xludf.DUMMYFUNCTION("""COMPUTED_VALUE"""),15.0)</f>
        <v>15</v>
      </c>
      <c r="G2443" s="4">
        <f>IFERROR(__xludf.DUMMYFUNCTION("""COMPUTED_VALUE"""),910.0)</f>
        <v>910</v>
      </c>
      <c r="H2443" s="4">
        <f>IFERROR(__xludf.DUMMYFUNCTION("""COMPUTED_VALUE"""),16207.0)</f>
        <v>16207</v>
      </c>
      <c r="I2443" s="4">
        <f>IFERROR(__xludf.DUMMYFUNCTION("""COMPUTED_VALUE"""),5437.0)</f>
        <v>5437</v>
      </c>
      <c r="J2443" s="4">
        <f>IFERROR(__xludf.DUMMYFUNCTION("""COMPUTED_VALUE"""),1060.0)</f>
        <v>1060</v>
      </c>
      <c r="K2443" s="4">
        <f>IFERROR(__xludf.DUMMYFUNCTION("""COMPUTED_VALUE"""),1658.0)</f>
        <v>1658</v>
      </c>
      <c r="L2443" s="4">
        <f>IFERROR(__xludf.DUMMYFUNCTION("""COMPUTED_VALUE"""),0.479)</f>
        <v>0.479</v>
      </c>
      <c r="M2443" s="4">
        <f>IFERROR(__xludf.DUMMYFUNCTION("""COMPUTED_VALUE"""),0.454)</f>
        <v>0.454</v>
      </c>
      <c r="N2443" s="4">
        <f>IFERROR(__xludf.DUMMYFUNCTION("""COMPUTED_VALUE"""),0.864)</f>
        <v>0.864</v>
      </c>
      <c r="O2443" s="4">
        <f>IFERROR(__xludf.DUMMYFUNCTION("""COMPUTED_VALUE"""),17.8)</f>
        <v>17.8</v>
      </c>
      <c r="P2443" s="4">
        <f>IFERROR(__xludf.DUMMYFUNCTION("""COMPUTED_VALUE"""),6.0)</f>
        <v>6</v>
      </c>
      <c r="Q2443" s="4">
        <f>IFERROR(__xludf.DUMMYFUNCTION("""COMPUTED_VALUE"""),1.2)</f>
        <v>1.2</v>
      </c>
      <c r="R2443" s="4">
        <f>IFERROR(__xludf.DUMMYFUNCTION("""COMPUTED_VALUE"""),1.8)</f>
        <v>1.8</v>
      </c>
      <c r="S2443" s="4">
        <f>IFERROR(__xludf.DUMMYFUNCTION("""COMPUTED_VALUE"""),47.2)</f>
        <v>47.2</v>
      </c>
      <c r="T2443" s="4">
        <f>IFERROR(__xludf.DUMMYFUNCTION("""COMPUTED_VALUE"""),0.14)</f>
        <v>0.14</v>
      </c>
      <c r="U2443" s="4">
        <f>IFERROR(__xludf.DUMMYFUNCTION("""COMPUTED_VALUE"""),0.8)</f>
        <v>0.8</v>
      </c>
      <c r="V2443" s="4">
        <f>IFERROR(__xludf.DUMMYFUNCTION("""COMPUTED_VALUE"""),11.6)</f>
        <v>11.6</v>
      </c>
    </row>
    <row r="2444">
      <c r="A2444" s="4"/>
      <c r="B2444" s="4"/>
      <c r="C2444" s="4"/>
      <c r="D2444" s="4" t="str">
        <f>IFERROR(__xludf.DUMMYFUNCTION("""COMPUTED_VALUE"""),"Round 3")</f>
        <v>Round 3</v>
      </c>
      <c r="E2444" s="4"/>
      <c r="F2444" s="4"/>
      <c r="G2444" s="4" t="str">
        <f>IFERROR(__xludf.DUMMYFUNCTION("""COMPUTED_VALUE"""),"Totals")</f>
        <v>Totals</v>
      </c>
      <c r="H2444" s="4"/>
      <c r="I2444" s="4"/>
      <c r="J2444" s="4"/>
      <c r="K2444" s="4"/>
      <c r="L2444" s="4" t="str">
        <f>IFERROR(__xludf.DUMMYFUNCTION("""COMPUTED_VALUE"""),"Shooting")</f>
        <v>Shooting</v>
      </c>
      <c r="M2444" s="4"/>
      <c r="N2444" s="4"/>
      <c r="O2444" s="4" t="str">
        <f>IFERROR(__xludf.DUMMYFUNCTION("""COMPUTED_VALUE"""),"Per Game")</f>
        <v>Per Game</v>
      </c>
      <c r="P2444" s="4"/>
      <c r="Q2444" s="4"/>
      <c r="R2444" s="4"/>
      <c r="S2444" s="4" t="str">
        <f>IFERROR(__xludf.DUMMYFUNCTION("""COMPUTED_VALUE"""),"Advanced")</f>
        <v>Advanced</v>
      </c>
      <c r="T2444" s="4"/>
      <c r="U2444" s="4"/>
      <c r="V2444" s="4"/>
    </row>
    <row r="2445">
      <c r="A2445" s="4" t="str">
        <f>IFERROR(__xludf.DUMMYFUNCTION("""COMPUTED_VALUE"""),"Rk")</f>
        <v>Rk</v>
      </c>
      <c r="B2445" s="4" t="str">
        <f>IFERROR(__xludf.DUMMYFUNCTION("""COMPUTED_VALUE"""),"Pk")</f>
        <v>Pk</v>
      </c>
      <c r="C2445" s="4" t="str">
        <f>IFERROR(__xludf.DUMMYFUNCTION("""COMPUTED_VALUE"""),"Tm")</f>
        <v>Tm</v>
      </c>
      <c r="D2445" s="4" t="str">
        <f>IFERROR(__xludf.DUMMYFUNCTION("""COMPUTED_VALUE"""),"Player")</f>
        <v>Player</v>
      </c>
      <c r="E2445" s="4" t="str">
        <f>IFERROR(__xludf.DUMMYFUNCTION("""COMPUTED_VALUE"""),"College")</f>
        <v>College</v>
      </c>
      <c r="F2445" s="4" t="str">
        <f>IFERROR(__xludf.DUMMYFUNCTION("""COMPUTED_VALUE"""),"Yrs")</f>
        <v>Yrs</v>
      </c>
      <c r="G2445" s="4" t="str">
        <f>IFERROR(__xludf.DUMMYFUNCTION("""COMPUTED_VALUE"""),"G")</f>
        <v>G</v>
      </c>
      <c r="H2445" s="4" t="str">
        <f>IFERROR(__xludf.DUMMYFUNCTION("""COMPUTED_VALUE"""),"MP")</f>
        <v>MP</v>
      </c>
      <c r="I2445" s="4" t="str">
        <f>IFERROR(__xludf.DUMMYFUNCTION("""COMPUTED_VALUE"""),"PTS")</f>
        <v>PTS</v>
      </c>
      <c r="J2445" s="4" t="str">
        <f>IFERROR(__xludf.DUMMYFUNCTION("""COMPUTED_VALUE"""),"TRB")</f>
        <v>TRB</v>
      </c>
      <c r="K2445" s="4" t="str">
        <f>IFERROR(__xludf.DUMMYFUNCTION("""COMPUTED_VALUE"""),"AST")</f>
        <v>AST</v>
      </c>
      <c r="L2445" s="4" t="str">
        <f>IFERROR(__xludf.DUMMYFUNCTION("""COMPUTED_VALUE"""),"FG%")</f>
        <v>FG%</v>
      </c>
      <c r="M2445" s="4" t="str">
        <f>IFERROR(__xludf.DUMMYFUNCTION("""COMPUTED_VALUE"""),"3P%")</f>
        <v>3P%</v>
      </c>
      <c r="N2445" s="4" t="str">
        <f>IFERROR(__xludf.DUMMYFUNCTION("""COMPUTED_VALUE"""),"FT%")</f>
        <v>FT%</v>
      </c>
      <c r="O2445" s="4" t="str">
        <f>IFERROR(__xludf.DUMMYFUNCTION("""COMPUTED_VALUE"""),"MP")</f>
        <v>MP</v>
      </c>
      <c r="P2445" s="4" t="str">
        <f>IFERROR(__xludf.DUMMYFUNCTION("""COMPUTED_VALUE"""),"PTS")</f>
        <v>PTS</v>
      </c>
      <c r="Q2445" s="4" t="str">
        <f>IFERROR(__xludf.DUMMYFUNCTION("""COMPUTED_VALUE"""),"TRB")</f>
        <v>TRB</v>
      </c>
      <c r="R2445" s="4" t="str">
        <f>IFERROR(__xludf.DUMMYFUNCTION("""COMPUTED_VALUE"""),"AST")</f>
        <v>AST</v>
      </c>
      <c r="S2445" s="4" t="str">
        <f>IFERROR(__xludf.DUMMYFUNCTION("""COMPUTED_VALUE"""),"WS")</f>
        <v>WS</v>
      </c>
      <c r="T2445" s="4" t="str">
        <f>IFERROR(__xludf.DUMMYFUNCTION("""COMPUTED_VALUE"""),"WS/48")</f>
        <v>WS/48</v>
      </c>
      <c r="U2445" s="4" t="str">
        <f>IFERROR(__xludf.DUMMYFUNCTION("""COMPUTED_VALUE"""),"BPM")</f>
        <v>BPM</v>
      </c>
      <c r="V2445" s="4" t="str">
        <f>IFERROR(__xludf.DUMMYFUNCTION("""COMPUTED_VALUE"""),"VORP")</f>
        <v>VORP</v>
      </c>
    </row>
    <row r="2446">
      <c r="A2446" s="4">
        <f>IFERROR(__xludf.DUMMYFUNCTION("""COMPUTED_VALUE"""),51.0)</f>
        <v>51</v>
      </c>
      <c r="B2446" s="4">
        <f>IFERROR(__xludf.DUMMYFUNCTION("""COMPUTED_VALUE"""),51.0)</f>
        <v>51</v>
      </c>
      <c r="C2446" s="4" t="str">
        <f>IFERROR(__xludf.DUMMYFUNCTION("""COMPUTED_VALUE"""),"LAC")</f>
        <v>LAC</v>
      </c>
      <c r="D2446" s="4" t="str">
        <f>IFERROR(__xludf.DUMMYFUNCTION("""COMPUTED_VALUE"""),"Rob Lock")</f>
        <v>Rob Lock</v>
      </c>
      <c r="E2446" s="4" t="str">
        <f>IFERROR(__xludf.DUMMYFUNCTION("""COMPUTED_VALUE"""),"Kentucky")</f>
        <v>Kentucky</v>
      </c>
      <c r="F2446" s="4">
        <f>IFERROR(__xludf.DUMMYFUNCTION("""COMPUTED_VALUE"""),1.0)</f>
        <v>1</v>
      </c>
      <c r="G2446" s="4">
        <f>IFERROR(__xludf.DUMMYFUNCTION("""COMPUTED_VALUE"""),20.0)</f>
        <v>20</v>
      </c>
      <c r="H2446" s="4">
        <f>IFERROR(__xludf.DUMMYFUNCTION("""COMPUTED_VALUE"""),110.0)</f>
        <v>110</v>
      </c>
      <c r="I2446" s="4">
        <f>IFERROR(__xludf.DUMMYFUNCTION("""COMPUTED_VALUE"""),30.0)</f>
        <v>30</v>
      </c>
      <c r="J2446" s="4">
        <f>IFERROR(__xludf.DUMMYFUNCTION("""COMPUTED_VALUE"""),32.0)</f>
        <v>32</v>
      </c>
      <c r="K2446" s="4">
        <f>IFERROR(__xludf.DUMMYFUNCTION("""COMPUTED_VALUE"""),4.0)</f>
        <v>4</v>
      </c>
      <c r="L2446" s="4">
        <f>IFERROR(__xludf.DUMMYFUNCTION("""COMPUTED_VALUE"""),0.281)</f>
        <v>0.281</v>
      </c>
      <c r="M2446" s="4"/>
      <c r="N2446" s="4">
        <f>IFERROR(__xludf.DUMMYFUNCTION("""COMPUTED_VALUE"""),0.8)</f>
        <v>0.8</v>
      </c>
      <c r="O2446" s="4">
        <f>IFERROR(__xludf.DUMMYFUNCTION("""COMPUTED_VALUE"""),5.5)</f>
        <v>5.5</v>
      </c>
      <c r="P2446" s="4">
        <f>IFERROR(__xludf.DUMMYFUNCTION("""COMPUTED_VALUE"""),1.5)</f>
        <v>1.5</v>
      </c>
      <c r="Q2446" s="4">
        <f>IFERROR(__xludf.DUMMYFUNCTION("""COMPUTED_VALUE"""),1.6)</f>
        <v>1.6</v>
      </c>
      <c r="R2446" s="4">
        <f>IFERROR(__xludf.DUMMYFUNCTION("""COMPUTED_VALUE"""),0.2)</f>
        <v>0.2</v>
      </c>
      <c r="S2446" s="4">
        <f>IFERROR(__xludf.DUMMYFUNCTION("""COMPUTED_VALUE"""),-0.2)</f>
        <v>-0.2</v>
      </c>
      <c r="T2446" s="4">
        <f>IFERROR(__xludf.DUMMYFUNCTION("""COMPUTED_VALUE"""),-0.083)</f>
        <v>-0.083</v>
      </c>
      <c r="U2446" s="4">
        <f>IFERROR(__xludf.DUMMYFUNCTION("""COMPUTED_VALUE"""),-9.3)</f>
        <v>-9.3</v>
      </c>
      <c r="V2446" s="4">
        <f>IFERROR(__xludf.DUMMYFUNCTION("""COMPUTED_VALUE"""),-0.2)</f>
        <v>-0.2</v>
      </c>
    </row>
    <row r="2447">
      <c r="A2447" s="4">
        <f>IFERROR(__xludf.DUMMYFUNCTION("""COMPUTED_VALUE"""),52.0)</f>
        <v>52</v>
      </c>
      <c r="B2447" s="4">
        <f>IFERROR(__xludf.DUMMYFUNCTION("""COMPUTED_VALUE"""),52.0)</f>
        <v>52</v>
      </c>
      <c r="C2447" s="4" t="str">
        <f>IFERROR(__xludf.DUMMYFUNCTION("""COMPUTED_VALUE"""),"NJN")</f>
        <v>NJN</v>
      </c>
      <c r="D2447" s="4" t="str">
        <f>IFERROR(__xludf.DUMMYFUNCTION("""COMPUTED_VALUE"""),"Derrek Hamilton")</f>
        <v>Derrek Hamilton</v>
      </c>
      <c r="E2447" s="4" t="str">
        <f>IFERROR(__xludf.DUMMYFUNCTION("""COMPUTED_VALUE"""),"Southern Miss")</f>
        <v>Southern Miss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</row>
    <row r="2448">
      <c r="A2448" s="4">
        <f>IFERROR(__xludf.DUMMYFUNCTION("""COMPUTED_VALUE"""),53.0)</f>
        <v>53</v>
      </c>
      <c r="B2448" s="4">
        <f>IFERROR(__xludf.DUMMYFUNCTION("""COMPUTED_VALUE"""),53.0)</f>
        <v>53</v>
      </c>
      <c r="C2448" s="4" t="str">
        <f>IFERROR(__xludf.DUMMYFUNCTION("""COMPUTED_VALUE"""),"POR")</f>
        <v>POR</v>
      </c>
      <c r="D2448" s="4" t="str">
        <f>IFERROR(__xludf.DUMMYFUNCTION("""COMPUTED_VALUE"""),"Anthony Mason")</f>
        <v>Anthony Mason</v>
      </c>
      <c r="E2448" s="4" t="str">
        <f>IFERROR(__xludf.DUMMYFUNCTION("""COMPUTED_VALUE"""),"Tennessee State")</f>
        <v>Tennessee State</v>
      </c>
      <c r="F2448" s="4">
        <f>IFERROR(__xludf.DUMMYFUNCTION("""COMPUTED_VALUE"""),13.0)</f>
        <v>13</v>
      </c>
      <c r="G2448" s="4">
        <f>IFERROR(__xludf.DUMMYFUNCTION("""COMPUTED_VALUE"""),882.0)</f>
        <v>882</v>
      </c>
      <c r="H2448" s="4">
        <f>IFERROR(__xludf.DUMMYFUNCTION("""COMPUTED_VALUE"""),30605.0)</f>
        <v>30605</v>
      </c>
      <c r="I2448" s="4">
        <f>IFERROR(__xludf.DUMMYFUNCTION("""COMPUTED_VALUE"""),9656.0)</f>
        <v>9656</v>
      </c>
      <c r="J2448" s="4">
        <f>IFERROR(__xludf.DUMMYFUNCTION("""COMPUTED_VALUE"""),7279.0)</f>
        <v>7279</v>
      </c>
      <c r="K2448" s="4">
        <f>IFERROR(__xludf.DUMMYFUNCTION("""COMPUTED_VALUE"""),2963.0)</f>
        <v>2963</v>
      </c>
      <c r="L2448" s="4">
        <f>IFERROR(__xludf.DUMMYFUNCTION("""COMPUTED_VALUE"""),0.509)</f>
        <v>0.509</v>
      </c>
      <c r="M2448" s="4">
        <f>IFERROR(__xludf.DUMMYFUNCTION("""COMPUTED_VALUE"""),0.167)</f>
        <v>0.167</v>
      </c>
      <c r="N2448" s="4">
        <f>IFERROR(__xludf.DUMMYFUNCTION("""COMPUTED_VALUE"""),0.709)</f>
        <v>0.709</v>
      </c>
      <c r="O2448" s="4">
        <f>IFERROR(__xludf.DUMMYFUNCTION("""COMPUTED_VALUE"""),34.7)</f>
        <v>34.7</v>
      </c>
      <c r="P2448" s="4">
        <f>IFERROR(__xludf.DUMMYFUNCTION("""COMPUTED_VALUE"""),10.9)</f>
        <v>10.9</v>
      </c>
      <c r="Q2448" s="4">
        <f>IFERROR(__xludf.DUMMYFUNCTION("""COMPUTED_VALUE"""),8.3)</f>
        <v>8.3</v>
      </c>
      <c r="R2448" s="4">
        <f>IFERROR(__xludf.DUMMYFUNCTION("""COMPUTED_VALUE"""),3.4)</f>
        <v>3.4</v>
      </c>
      <c r="S2448" s="4">
        <f>IFERROR(__xludf.DUMMYFUNCTION("""COMPUTED_VALUE"""),88.3)</f>
        <v>88.3</v>
      </c>
      <c r="T2448" s="4">
        <f>IFERROR(__xludf.DUMMYFUNCTION("""COMPUTED_VALUE"""),0.138)</f>
        <v>0.138</v>
      </c>
      <c r="U2448" s="4">
        <f>IFERROR(__xludf.DUMMYFUNCTION("""COMPUTED_VALUE"""),1.0)</f>
        <v>1</v>
      </c>
      <c r="V2448" s="4">
        <f>IFERROR(__xludf.DUMMYFUNCTION("""COMPUTED_VALUE"""),23.2)</f>
        <v>23.2</v>
      </c>
    </row>
    <row r="2449">
      <c r="A2449" s="4">
        <f>IFERROR(__xludf.DUMMYFUNCTION("""COMPUTED_VALUE"""),54.0)</f>
        <v>54</v>
      </c>
      <c r="B2449" s="4">
        <f>IFERROR(__xludf.DUMMYFUNCTION("""COMPUTED_VALUE"""),54.0)</f>
        <v>54</v>
      </c>
      <c r="C2449" s="4" t="str">
        <f>IFERROR(__xludf.DUMMYFUNCTION("""COMPUTED_VALUE"""),"ATL")</f>
        <v>ATL</v>
      </c>
      <c r="D2449" s="4" t="str">
        <f>IFERROR(__xludf.DUMMYFUNCTION("""COMPUTED_VALUE"""),"Jorge Gonzalez")</f>
        <v>Jorge Gonzalez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</row>
    <row r="2450">
      <c r="A2450" s="4">
        <f>IFERROR(__xludf.DUMMYFUNCTION("""COMPUTED_VALUE"""),55.0)</f>
        <v>55</v>
      </c>
      <c r="B2450" s="4">
        <f>IFERROR(__xludf.DUMMYFUNCTION("""COMPUTED_VALUE"""),55.0)</f>
        <v>55</v>
      </c>
      <c r="C2450" s="4" t="str">
        <f>IFERROR(__xludf.DUMMYFUNCTION("""COMPUTED_VALUE"""),"PHO")</f>
        <v>PHO</v>
      </c>
      <c r="D2450" s="4" t="str">
        <f>IFERROR(__xludf.DUMMYFUNCTION("""COMPUTED_VALUE"""),"Rodney Johns")</f>
        <v>Rodney Johns</v>
      </c>
      <c r="E2450" s="4" t="str">
        <f>IFERROR(__xludf.DUMMYFUNCTION("""COMPUTED_VALUE"""),"Grand Canyon University")</f>
        <v>Grand Canyon University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</row>
    <row r="2451">
      <c r="A2451" s="4">
        <f>IFERROR(__xludf.DUMMYFUNCTION("""COMPUTED_VALUE"""),56.0)</f>
        <v>56</v>
      </c>
      <c r="B2451" s="4">
        <f>IFERROR(__xludf.DUMMYFUNCTION("""COMPUTED_VALUE"""),56.0)</f>
        <v>56</v>
      </c>
      <c r="C2451" s="4" t="str">
        <f>IFERROR(__xludf.DUMMYFUNCTION("""COMPUTED_VALUE"""),"SAS")</f>
        <v>SAS</v>
      </c>
      <c r="D2451" s="4" t="str">
        <f>IFERROR(__xludf.DUMMYFUNCTION("""COMPUTED_VALUE"""),"Barry Sumpter")</f>
        <v>Barry Sumpter</v>
      </c>
      <c r="E2451" s="4" t="str">
        <f>IFERROR(__xludf.DUMMYFUNCTION("""COMPUTED_VALUE"""),"Austin Peay State University")</f>
        <v>Austin Peay State University</v>
      </c>
      <c r="F2451" s="4">
        <f>IFERROR(__xludf.DUMMYFUNCTION("""COMPUTED_VALUE"""),1.0)</f>
        <v>1</v>
      </c>
      <c r="G2451" s="4">
        <f>IFERROR(__xludf.DUMMYFUNCTION("""COMPUTED_VALUE"""),1.0)</f>
        <v>1</v>
      </c>
      <c r="H2451" s="4">
        <f>IFERROR(__xludf.DUMMYFUNCTION("""COMPUTED_VALUE"""),1.0)</f>
        <v>1</v>
      </c>
      <c r="I2451" s="4">
        <f>IFERROR(__xludf.DUMMYFUNCTION("""COMPUTED_VALUE"""),0.0)</f>
        <v>0</v>
      </c>
      <c r="J2451" s="4">
        <f>IFERROR(__xludf.DUMMYFUNCTION("""COMPUTED_VALUE"""),0.0)</f>
        <v>0</v>
      </c>
      <c r="K2451" s="4">
        <f>IFERROR(__xludf.DUMMYFUNCTION("""COMPUTED_VALUE"""),0.0)</f>
        <v>0</v>
      </c>
      <c r="L2451" s="4">
        <f>IFERROR(__xludf.DUMMYFUNCTION("""COMPUTED_VALUE"""),0.0)</f>
        <v>0</v>
      </c>
      <c r="M2451" s="4"/>
      <c r="N2451" s="4"/>
      <c r="O2451" s="4">
        <f>IFERROR(__xludf.DUMMYFUNCTION("""COMPUTED_VALUE"""),1.0)</f>
        <v>1</v>
      </c>
      <c r="P2451" s="4">
        <f>IFERROR(__xludf.DUMMYFUNCTION("""COMPUTED_VALUE"""),0.0)</f>
        <v>0</v>
      </c>
      <c r="Q2451" s="4">
        <f>IFERROR(__xludf.DUMMYFUNCTION("""COMPUTED_VALUE"""),0.0)</f>
        <v>0</v>
      </c>
      <c r="R2451" s="4">
        <f>IFERROR(__xludf.DUMMYFUNCTION("""COMPUTED_VALUE"""),0.0)</f>
        <v>0</v>
      </c>
      <c r="S2451" s="4">
        <f>IFERROR(__xludf.DUMMYFUNCTION("""COMPUTED_VALUE"""),0.0)</f>
        <v>0</v>
      </c>
      <c r="T2451" s="4">
        <f>IFERROR(__xludf.DUMMYFUNCTION("""COMPUTED_VALUE"""),-0.894)</f>
        <v>-0.894</v>
      </c>
      <c r="U2451" s="4">
        <f>IFERROR(__xludf.DUMMYFUNCTION("""COMPUTED_VALUE"""),-49.2)</f>
        <v>-49.2</v>
      </c>
      <c r="V2451" s="4">
        <f>IFERROR(__xludf.DUMMYFUNCTION("""COMPUTED_VALUE"""),0.0)</f>
        <v>0</v>
      </c>
    </row>
    <row r="2452">
      <c r="A2452" s="4">
        <f>IFERROR(__xludf.DUMMYFUNCTION("""COMPUTED_VALUE"""),57.0)</f>
        <v>57</v>
      </c>
      <c r="B2452" s="4">
        <f>IFERROR(__xludf.DUMMYFUNCTION("""COMPUTED_VALUE"""),57.0)</f>
        <v>57</v>
      </c>
      <c r="C2452" s="4" t="str">
        <f>IFERROR(__xludf.DUMMYFUNCTION("""COMPUTED_VALUE"""),"PHI")</f>
        <v>PHI</v>
      </c>
      <c r="D2452" s="4" t="str">
        <f>IFERROR(__xludf.DUMMYFUNCTION("""COMPUTED_VALUE"""),"Hernán Montenegro")</f>
        <v>Hernán Montenegro</v>
      </c>
      <c r="E2452" s="4" t="str">
        <f>IFERROR(__xludf.DUMMYFUNCTION("""COMPUTED_VALUE"""),"LSU")</f>
        <v>LSU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</row>
    <row r="2453">
      <c r="A2453" s="4">
        <f>IFERROR(__xludf.DUMMYFUNCTION("""COMPUTED_VALUE"""),58.0)</f>
        <v>58</v>
      </c>
      <c r="B2453" s="4">
        <f>IFERROR(__xludf.DUMMYFUNCTION("""COMPUTED_VALUE"""),58.0)</f>
        <v>58</v>
      </c>
      <c r="C2453" s="4" t="str">
        <f>IFERROR(__xludf.DUMMYFUNCTION("""COMPUTED_VALUE"""),"CHH")</f>
        <v>CHH</v>
      </c>
      <c r="D2453" s="4" t="str">
        <f>IFERROR(__xludf.DUMMYFUNCTION("""COMPUTED_VALUE"""),"Jeff Moore")</f>
        <v>Jeff Moore</v>
      </c>
      <c r="E2453" s="4" t="str">
        <f>IFERROR(__xludf.DUMMYFUNCTION("""COMPUTED_VALUE"""),"Auburn")</f>
        <v>Auburn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</row>
    <row r="2454">
      <c r="A2454" s="4">
        <f>IFERROR(__xludf.DUMMYFUNCTION("""COMPUTED_VALUE"""),59.0)</f>
        <v>59</v>
      </c>
      <c r="B2454" s="4">
        <f>IFERROR(__xludf.DUMMYFUNCTION("""COMPUTED_VALUE"""),59.0)</f>
        <v>59</v>
      </c>
      <c r="C2454" s="4" t="str">
        <f>IFERROR(__xludf.DUMMYFUNCTION("""COMPUTED_VALUE"""),"MIA")</f>
        <v>MIA</v>
      </c>
      <c r="D2454" s="4" t="str">
        <f>IFERROR(__xludf.DUMMYFUNCTION("""COMPUTED_VALUE"""),"Nate Johnston")</f>
        <v>Nate Johnston</v>
      </c>
      <c r="E2454" s="4" t="str">
        <f>IFERROR(__xludf.DUMMYFUNCTION("""COMPUTED_VALUE"""),"University of Tampa")</f>
        <v>University of Tampa</v>
      </c>
      <c r="F2454" s="4">
        <f>IFERROR(__xludf.DUMMYFUNCTION("""COMPUTED_VALUE"""),1.0)</f>
        <v>1</v>
      </c>
      <c r="G2454" s="4">
        <f>IFERROR(__xludf.DUMMYFUNCTION("""COMPUTED_VALUE"""),21.0)</f>
        <v>21</v>
      </c>
      <c r="H2454" s="4">
        <f>IFERROR(__xludf.DUMMYFUNCTION("""COMPUTED_VALUE"""),87.0)</f>
        <v>87</v>
      </c>
      <c r="I2454" s="4">
        <f>IFERROR(__xludf.DUMMYFUNCTION("""COMPUTED_VALUE"""),46.0)</f>
        <v>46</v>
      </c>
      <c r="J2454" s="4">
        <f>IFERROR(__xludf.DUMMYFUNCTION("""COMPUTED_VALUE"""),23.0)</f>
        <v>23</v>
      </c>
      <c r="K2454" s="4">
        <f>IFERROR(__xludf.DUMMYFUNCTION("""COMPUTED_VALUE"""),1.0)</f>
        <v>1</v>
      </c>
      <c r="L2454" s="4">
        <f>IFERROR(__xludf.DUMMYFUNCTION("""COMPUTED_VALUE"""),0.375)</f>
        <v>0.375</v>
      </c>
      <c r="M2454" s="4">
        <f>IFERROR(__xludf.DUMMYFUNCTION("""COMPUTED_VALUE"""),0.25)</f>
        <v>0.25</v>
      </c>
      <c r="N2454" s="4">
        <f>IFERROR(__xludf.DUMMYFUNCTION("""COMPUTED_VALUE"""),0.692)</f>
        <v>0.692</v>
      </c>
      <c r="O2454" s="4">
        <f>IFERROR(__xludf.DUMMYFUNCTION("""COMPUTED_VALUE"""),4.1)</f>
        <v>4.1</v>
      </c>
      <c r="P2454" s="4">
        <f>IFERROR(__xludf.DUMMYFUNCTION("""COMPUTED_VALUE"""),2.2)</f>
        <v>2.2</v>
      </c>
      <c r="Q2454" s="4">
        <f>IFERROR(__xludf.DUMMYFUNCTION("""COMPUTED_VALUE"""),1.1)</f>
        <v>1.1</v>
      </c>
      <c r="R2454" s="4">
        <f>IFERROR(__xludf.DUMMYFUNCTION("""COMPUTED_VALUE"""),0.0)</f>
        <v>0</v>
      </c>
      <c r="S2454" s="4">
        <f>IFERROR(__xludf.DUMMYFUNCTION("""COMPUTED_VALUE"""),0.1)</f>
        <v>0.1</v>
      </c>
      <c r="T2454" s="4">
        <f>IFERROR(__xludf.DUMMYFUNCTION("""COMPUTED_VALUE"""),0.05)</f>
        <v>0.05</v>
      </c>
      <c r="U2454" s="4">
        <f>IFERROR(__xludf.DUMMYFUNCTION("""COMPUTED_VALUE"""),-4.5)</f>
        <v>-4.5</v>
      </c>
      <c r="V2454" s="4">
        <f>IFERROR(__xludf.DUMMYFUNCTION("""COMPUTED_VALUE"""),-0.1)</f>
        <v>-0.1</v>
      </c>
    </row>
    <row r="2455">
      <c r="A2455" s="4">
        <f>IFERROR(__xludf.DUMMYFUNCTION("""COMPUTED_VALUE"""),60.0)</f>
        <v>60</v>
      </c>
      <c r="B2455" s="4">
        <f>IFERROR(__xludf.DUMMYFUNCTION("""COMPUTED_VALUE"""),60.0)</f>
        <v>60</v>
      </c>
      <c r="C2455" s="4" t="str">
        <f>IFERROR(__xludf.DUMMYFUNCTION("""COMPUTED_VALUE"""),"WSB")</f>
        <v>WSB</v>
      </c>
      <c r="D2455" s="4" t="str">
        <f>IFERROR(__xludf.DUMMYFUNCTION("""COMPUTED_VALUE"""),"Ed Davender")</f>
        <v>Ed Davender</v>
      </c>
      <c r="E2455" s="4" t="str">
        <f>IFERROR(__xludf.DUMMYFUNCTION("""COMPUTED_VALUE"""),"Kentucky")</f>
        <v>Kentucky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</row>
    <row r="2456">
      <c r="A2456" s="4">
        <f>IFERROR(__xludf.DUMMYFUNCTION("""COMPUTED_VALUE"""),61.0)</f>
        <v>61</v>
      </c>
      <c r="B2456" s="4">
        <f>IFERROR(__xludf.DUMMYFUNCTION("""COMPUTED_VALUE"""),61.0)</f>
        <v>61</v>
      </c>
      <c r="C2456" s="4" t="str">
        <f>IFERROR(__xludf.DUMMYFUNCTION("""COMPUTED_VALUE"""),"IND")</f>
        <v>IND</v>
      </c>
      <c r="D2456" s="4" t="str">
        <f>IFERROR(__xludf.DUMMYFUNCTION("""COMPUTED_VALUE"""),"Herbert Crook")</f>
        <v>Herbert Crook</v>
      </c>
      <c r="E2456" s="4" t="str">
        <f>IFERROR(__xludf.DUMMYFUNCTION("""COMPUTED_VALUE"""),"Louisville")</f>
        <v>Louisville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</row>
    <row r="2457">
      <c r="A2457" s="4">
        <f>IFERROR(__xludf.DUMMYFUNCTION("""COMPUTED_VALUE"""),62.0)</f>
        <v>62</v>
      </c>
      <c r="B2457" s="4">
        <f>IFERROR(__xludf.DUMMYFUNCTION("""COMPUTED_VALUE"""),62.0)</f>
        <v>62</v>
      </c>
      <c r="C2457" s="4" t="str">
        <f>IFERROR(__xludf.DUMMYFUNCTION("""COMPUTED_VALUE"""),"CHI")</f>
        <v>CHI</v>
      </c>
      <c r="D2457" s="4" t="str">
        <f>IFERROR(__xludf.DUMMYFUNCTION("""COMPUTED_VALUE"""),"Derrick Lewis")</f>
        <v>Derrick Lewis</v>
      </c>
      <c r="E2457" s="4" t="str">
        <f>IFERROR(__xludf.DUMMYFUNCTION("""COMPUTED_VALUE"""),"Maryland")</f>
        <v>Maryland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</row>
    <row r="2458">
      <c r="A2458" s="4">
        <f>IFERROR(__xludf.DUMMYFUNCTION("""COMPUTED_VALUE"""),63.0)</f>
        <v>63</v>
      </c>
      <c r="B2458" s="4">
        <f>IFERROR(__xludf.DUMMYFUNCTION("""COMPUTED_VALUE"""),63.0)</f>
        <v>63</v>
      </c>
      <c r="C2458" s="4" t="str">
        <f>IFERROR(__xludf.DUMMYFUNCTION("""COMPUTED_VALUE"""),"MIL")</f>
        <v>MIL</v>
      </c>
      <c r="D2458" s="4" t="str">
        <f>IFERROR(__xludf.DUMMYFUNCTION("""COMPUTED_VALUE"""),"Mike Jones")</f>
        <v>Mike Jones</v>
      </c>
      <c r="E2458" s="4" t="str">
        <f>IFERROR(__xludf.DUMMYFUNCTION("""COMPUTED_VALUE"""),"Auburn")</f>
        <v>Auburn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</row>
    <row r="2459">
      <c r="A2459" s="4">
        <f>IFERROR(__xludf.DUMMYFUNCTION("""COMPUTED_VALUE"""),64.0)</f>
        <v>64</v>
      </c>
      <c r="B2459" s="4">
        <f>IFERROR(__xludf.DUMMYFUNCTION("""COMPUTED_VALUE"""),64.0)</f>
        <v>64</v>
      </c>
      <c r="C2459" s="4" t="str">
        <f>IFERROR(__xludf.DUMMYFUNCTION("""COMPUTED_VALUE"""),"CLE")</f>
        <v>CLE</v>
      </c>
      <c r="D2459" s="4" t="str">
        <f>IFERROR(__xludf.DUMMYFUNCTION("""COMPUTED_VALUE"""),"Winston Bennett")</f>
        <v>Winston Bennett</v>
      </c>
      <c r="E2459" s="4" t="str">
        <f>IFERROR(__xludf.DUMMYFUNCTION("""COMPUTED_VALUE"""),"Kentucky")</f>
        <v>Kentucky</v>
      </c>
      <c r="F2459" s="4">
        <f>IFERROR(__xludf.DUMMYFUNCTION("""COMPUTED_VALUE"""),3.0)</f>
        <v>3</v>
      </c>
      <c r="G2459" s="4">
        <f>IFERROR(__xludf.DUMMYFUNCTION("""COMPUTED_VALUE"""),136.0)</f>
        <v>136</v>
      </c>
      <c r="H2459" s="4">
        <f>IFERROR(__xludf.DUMMYFUNCTION("""COMPUTED_VALUE"""),2157.0)</f>
        <v>2157</v>
      </c>
      <c r="I2459" s="4">
        <f>IFERROR(__xludf.DUMMYFUNCTION("""COMPUTED_VALUE"""),648.0)</f>
        <v>648</v>
      </c>
      <c r="J2459" s="4">
        <f>IFERROR(__xludf.DUMMYFUNCTION("""COMPUTED_VALUE"""),414.0)</f>
        <v>414</v>
      </c>
      <c r="K2459" s="4">
        <f>IFERROR(__xludf.DUMMYFUNCTION("""COMPUTED_VALUE"""),120.0)</f>
        <v>120</v>
      </c>
      <c r="L2459" s="4">
        <f>IFERROR(__xludf.DUMMYFUNCTION("""COMPUTED_VALUE"""),0.425)</f>
        <v>0.425</v>
      </c>
      <c r="M2459" s="4">
        <f>IFERROR(__xludf.DUMMYFUNCTION("""COMPUTED_VALUE"""),0.0)</f>
        <v>0</v>
      </c>
      <c r="N2459" s="4">
        <f>IFERROR(__xludf.DUMMYFUNCTION("""COMPUTED_VALUE"""),0.694)</f>
        <v>0.694</v>
      </c>
      <c r="O2459" s="4">
        <f>IFERROR(__xludf.DUMMYFUNCTION("""COMPUTED_VALUE"""),15.9)</f>
        <v>15.9</v>
      </c>
      <c r="P2459" s="4">
        <f>IFERROR(__xludf.DUMMYFUNCTION("""COMPUTED_VALUE"""),4.8)</f>
        <v>4.8</v>
      </c>
      <c r="Q2459" s="4">
        <f>IFERROR(__xludf.DUMMYFUNCTION("""COMPUTED_VALUE"""),3.0)</f>
        <v>3</v>
      </c>
      <c r="R2459" s="4">
        <f>IFERROR(__xludf.DUMMYFUNCTION("""COMPUTED_VALUE"""),0.9)</f>
        <v>0.9</v>
      </c>
      <c r="S2459" s="4">
        <f>IFERROR(__xludf.DUMMYFUNCTION("""COMPUTED_VALUE"""),1.7)</f>
        <v>1.7</v>
      </c>
      <c r="T2459" s="4">
        <f>IFERROR(__xludf.DUMMYFUNCTION("""COMPUTED_VALUE"""),0.037)</f>
        <v>0.037</v>
      </c>
      <c r="U2459" s="4">
        <f>IFERROR(__xludf.DUMMYFUNCTION("""COMPUTED_VALUE"""),-5.3)</f>
        <v>-5.3</v>
      </c>
      <c r="V2459" s="4">
        <f>IFERROR(__xludf.DUMMYFUNCTION("""COMPUTED_VALUE"""),-1.8)</f>
        <v>-1.8</v>
      </c>
    </row>
    <row r="2460">
      <c r="A2460" s="4">
        <f>IFERROR(__xludf.DUMMYFUNCTION("""COMPUTED_VALUE"""),65.0)</f>
        <v>65</v>
      </c>
      <c r="B2460" s="4">
        <f>IFERROR(__xludf.DUMMYFUNCTION("""COMPUTED_VALUE"""),65.0)</f>
        <v>65</v>
      </c>
      <c r="C2460" s="4" t="str">
        <f>IFERROR(__xludf.DUMMYFUNCTION("""COMPUTED_VALUE"""),"SEA")</f>
        <v>SEA</v>
      </c>
      <c r="D2460" s="4" t="str">
        <f>IFERROR(__xludf.DUMMYFUNCTION("""COMPUTED_VALUE"""),"Corey Gaines")</f>
        <v>Corey Gaines</v>
      </c>
      <c r="E2460" s="4" t="str">
        <f>IFERROR(__xludf.DUMMYFUNCTION("""COMPUTED_VALUE"""),"Loyola Marymount")</f>
        <v>Loyola Marymount</v>
      </c>
      <c r="F2460" s="4">
        <f>IFERROR(__xludf.DUMMYFUNCTION("""COMPUTED_VALUE"""),5.0)</f>
        <v>5</v>
      </c>
      <c r="G2460" s="4">
        <f>IFERROR(__xludf.DUMMYFUNCTION("""COMPUTED_VALUE"""),80.0)</f>
        <v>80</v>
      </c>
      <c r="H2460" s="4">
        <f>IFERROR(__xludf.DUMMYFUNCTION("""COMPUTED_VALUE"""),1002.0)</f>
        <v>1002</v>
      </c>
      <c r="I2460" s="4">
        <f>IFERROR(__xludf.DUMMYFUNCTION("""COMPUTED_VALUE"""),248.0)</f>
        <v>248</v>
      </c>
      <c r="J2460" s="4">
        <f>IFERROR(__xludf.DUMMYFUNCTION("""COMPUTED_VALUE"""),69.0)</f>
        <v>69</v>
      </c>
      <c r="K2460" s="4">
        <f>IFERROR(__xludf.DUMMYFUNCTION("""COMPUTED_VALUE"""),247.0)</f>
        <v>247</v>
      </c>
      <c r="L2460" s="4">
        <f>IFERROR(__xludf.DUMMYFUNCTION("""COMPUTED_VALUE"""),0.424)</f>
        <v>0.424</v>
      </c>
      <c r="M2460" s="4">
        <f>IFERROR(__xludf.DUMMYFUNCTION("""COMPUTED_VALUE"""),0.229)</f>
        <v>0.229</v>
      </c>
      <c r="N2460" s="4">
        <f>IFERROR(__xludf.DUMMYFUNCTION("""COMPUTED_VALUE"""),0.736)</f>
        <v>0.736</v>
      </c>
      <c r="O2460" s="4">
        <f>IFERROR(__xludf.DUMMYFUNCTION("""COMPUTED_VALUE"""),12.5)</f>
        <v>12.5</v>
      </c>
      <c r="P2460" s="4">
        <f>IFERROR(__xludf.DUMMYFUNCTION("""COMPUTED_VALUE"""),3.1)</f>
        <v>3.1</v>
      </c>
      <c r="Q2460" s="4">
        <f>IFERROR(__xludf.DUMMYFUNCTION("""COMPUTED_VALUE"""),0.9)</f>
        <v>0.9</v>
      </c>
      <c r="R2460" s="4">
        <f>IFERROR(__xludf.DUMMYFUNCTION("""COMPUTED_VALUE"""),3.1)</f>
        <v>3.1</v>
      </c>
      <c r="S2460" s="4">
        <f>IFERROR(__xludf.DUMMYFUNCTION("""COMPUTED_VALUE"""),1.1)</f>
        <v>1.1</v>
      </c>
      <c r="T2460" s="4">
        <f>IFERROR(__xludf.DUMMYFUNCTION("""COMPUTED_VALUE"""),0.052)</f>
        <v>0.052</v>
      </c>
      <c r="U2460" s="4">
        <f>IFERROR(__xludf.DUMMYFUNCTION("""COMPUTED_VALUE"""),-2.3)</f>
        <v>-2.3</v>
      </c>
      <c r="V2460" s="4">
        <f>IFERROR(__xludf.DUMMYFUNCTION("""COMPUTED_VALUE"""),-0.1)</f>
        <v>-0.1</v>
      </c>
    </row>
    <row r="2461">
      <c r="A2461" s="4">
        <f>IFERROR(__xludf.DUMMYFUNCTION("""COMPUTED_VALUE"""),66.0)</f>
        <v>66</v>
      </c>
      <c r="B2461" s="4">
        <f>IFERROR(__xludf.DUMMYFUNCTION("""COMPUTED_VALUE"""),66.0)</f>
        <v>66</v>
      </c>
      <c r="C2461" s="4" t="str">
        <f>IFERROR(__xludf.DUMMYFUNCTION("""COMPUTED_VALUE"""),"DEN")</f>
        <v>DEN</v>
      </c>
      <c r="D2461" s="4" t="str">
        <f>IFERROR(__xludf.DUMMYFUNCTION("""COMPUTED_VALUE"""),"Dwight Boyd")</f>
        <v>Dwight Boyd</v>
      </c>
      <c r="E2461" s="4" t="str">
        <f>IFERROR(__xludf.DUMMYFUNCTION("""COMPUTED_VALUE"""),"Memphis")</f>
        <v>Memphis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</row>
    <row r="2462">
      <c r="A2462" s="4">
        <f>IFERROR(__xludf.DUMMYFUNCTION("""COMPUTED_VALUE"""),67.0)</f>
        <v>67</v>
      </c>
      <c r="B2462" s="4">
        <f>IFERROR(__xludf.DUMMYFUNCTION("""COMPUTED_VALUE"""),67.0)</f>
        <v>67</v>
      </c>
      <c r="C2462" s="4" t="str">
        <f>IFERROR(__xludf.DUMMYFUNCTION("""COMPUTED_VALUE"""),"UTA")</f>
        <v>UTA</v>
      </c>
      <c r="D2462" s="4" t="str">
        <f>IFERROR(__xludf.DUMMYFUNCTION("""COMPUTED_VALUE"""),"Ricky Grace")</f>
        <v>Ricky Grace</v>
      </c>
      <c r="E2462" s="4" t="str">
        <f>IFERROR(__xludf.DUMMYFUNCTION("""COMPUTED_VALUE"""),"Oklahoma")</f>
        <v>Oklahoma</v>
      </c>
      <c r="F2462" s="4">
        <f>IFERROR(__xludf.DUMMYFUNCTION("""COMPUTED_VALUE"""),1.0)</f>
        <v>1</v>
      </c>
      <c r="G2462" s="4">
        <f>IFERROR(__xludf.DUMMYFUNCTION("""COMPUTED_VALUE"""),3.0)</f>
        <v>3</v>
      </c>
      <c r="H2462" s="4">
        <f>IFERROR(__xludf.DUMMYFUNCTION("""COMPUTED_VALUE"""),8.0)</f>
        <v>8</v>
      </c>
      <c r="I2462" s="4">
        <f>IFERROR(__xludf.DUMMYFUNCTION("""COMPUTED_VALUE"""),4.0)</f>
        <v>4</v>
      </c>
      <c r="J2462" s="4">
        <f>IFERROR(__xludf.DUMMYFUNCTION("""COMPUTED_VALUE"""),1.0)</f>
        <v>1</v>
      </c>
      <c r="K2462" s="4">
        <f>IFERROR(__xludf.DUMMYFUNCTION("""COMPUTED_VALUE"""),1.0)</f>
        <v>1</v>
      </c>
      <c r="L2462" s="4">
        <f>IFERROR(__xludf.DUMMYFUNCTION("""COMPUTED_VALUE"""),0.667)</f>
        <v>0.667</v>
      </c>
      <c r="M2462" s="4"/>
      <c r="N2462" s="4">
        <f>IFERROR(__xludf.DUMMYFUNCTION("""COMPUTED_VALUE"""),0.0)</f>
        <v>0</v>
      </c>
      <c r="O2462" s="4">
        <f>IFERROR(__xludf.DUMMYFUNCTION("""COMPUTED_VALUE"""),2.7)</f>
        <v>2.7</v>
      </c>
      <c r="P2462" s="4">
        <f>IFERROR(__xludf.DUMMYFUNCTION("""COMPUTED_VALUE"""),1.3)</f>
        <v>1.3</v>
      </c>
      <c r="Q2462" s="4">
        <f>IFERROR(__xludf.DUMMYFUNCTION("""COMPUTED_VALUE"""),0.3)</f>
        <v>0.3</v>
      </c>
      <c r="R2462" s="4">
        <f>IFERROR(__xludf.DUMMYFUNCTION("""COMPUTED_VALUE"""),0.3)</f>
        <v>0.3</v>
      </c>
      <c r="S2462" s="4">
        <f>IFERROR(__xludf.DUMMYFUNCTION("""COMPUTED_VALUE"""),0.0)</f>
        <v>0</v>
      </c>
      <c r="T2462" s="4">
        <f>IFERROR(__xludf.DUMMYFUNCTION("""COMPUTED_VALUE"""),0.103)</f>
        <v>0.103</v>
      </c>
      <c r="U2462" s="4">
        <f>IFERROR(__xludf.DUMMYFUNCTION("""COMPUTED_VALUE"""),-3.9)</f>
        <v>-3.9</v>
      </c>
      <c r="V2462" s="4">
        <f>IFERROR(__xludf.DUMMYFUNCTION("""COMPUTED_VALUE"""),0.0)</f>
        <v>0</v>
      </c>
    </row>
    <row r="2463">
      <c r="A2463" s="4">
        <f>IFERROR(__xludf.DUMMYFUNCTION("""COMPUTED_VALUE"""),68.0)</f>
        <v>68</v>
      </c>
      <c r="B2463" s="4">
        <f>IFERROR(__xludf.DUMMYFUNCTION("""COMPUTED_VALUE"""),68.0)</f>
        <v>68</v>
      </c>
      <c r="C2463" s="4" t="str">
        <f>IFERROR(__xludf.DUMMYFUNCTION("""COMPUTED_VALUE"""),"ATL")</f>
        <v>ATL</v>
      </c>
      <c r="D2463" s="4" t="str">
        <f>IFERROR(__xludf.DUMMYFUNCTION("""COMPUTED_VALUE"""),"Darryl Middleton")</f>
        <v>Darryl Middleton</v>
      </c>
      <c r="E2463" s="4" t="str">
        <f>IFERROR(__xludf.DUMMYFUNCTION("""COMPUTED_VALUE"""),"Baylor")</f>
        <v>Baylor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</row>
    <row r="2464">
      <c r="A2464" s="4">
        <f>IFERROR(__xludf.DUMMYFUNCTION("""COMPUTED_VALUE"""),69.0)</f>
        <v>69</v>
      </c>
      <c r="B2464" s="4">
        <f>IFERROR(__xludf.DUMMYFUNCTION("""COMPUTED_VALUE"""),69.0)</f>
        <v>69</v>
      </c>
      <c r="C2464" s="4" t="str">
        <f>IFERROR(__xludf.DUMMYFUNCTION("""COMPUTED_VALUE"""),"NYK")</f>
        <v>NYK</v>
      </c>
      <c r="D2464" s="4" t="str">
        <f>IFERROR(__xludf.DUMMYFUNCTION("""COMPUTED_VALUE"""),"Phil Stinnie")</f>
        <v>Phil Stinnie</v>
      </c>
      <c r="E2464" s="4" t="str">
        <f>IFERROR(__xludf.DUMMYFUNCTION("""COMPUTED_VALUE"""),"VCU")</f>
        <v>VCU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</row>
    <row r="2465">
      <c r="A2465" s="4">
        <f>IFERROR(__xludf.DUMMYFUNCTION("""COMPUTED_VALUE"""),70.0)</f>
        <v>70</v>
      </c>
      <c r="B2465" s="4">
        <f>IFERROR(__xludf.DUMMYFUNCTION("""COMPUTED_VALUE"""),70.0)</f>
        <v>70</v>
      </c>
      <c r="C2465" s="4" t="str">
        <f>IFERROR(__xludf.DUMMYFUNCTION("""COMPUTED_VALUE"""),"DAL")</f>
        <v>DAL</v>
      </c>
      <c r="D2465" s="4" t="str">
        <f>IFERROR(__xludf.DUMMYFUNCTION("""COMPUTED_VALUE"""),"Jerry Johnson")</f>
        <v>Jerry Johnson</v>
      </c>
      <c r="E2465" s="4" t="str">
        <f>IFERROR(__xludf.DUMMYFUNCTION("""COMPUTED_VALUE"""),"Florida Southern College")</f>
        <v>Florida Southern College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</row>
    <row r="2466">
      <c r="A2466" s="4">
        <f>IFERROR(__xludf.DUMMYFUNCTION("""COMPUTED_VALUE"""),71.0)</f>
        <v>71</v>
      </c>
      <c r="B2466" s="4">
        <f>IFERROR(__xludf.DUMMYFUNCTION("""COMPUTED_VALUE"""),71.0)</f>
        <v>71</v>
      </c>
      <c r="C2466" s="4" t="str">
        <f>IFERROR(__xludf.DUMMYFUNCTION("""COMPUTED_VALUE"""),"POR")</f>
        <v>POR</v>
      </c>
      <c r="D2466" s="4" t="str">
        <f>IFERROR(__xludf.DUMMYFUNCTION("""COMPUTED_VALUE"""),"Craig Neal")</f>
        <v>Craig Neal</v>
      </c>
      <c r="E2466" s="4" t="str">
        <f>IFERROR(__xludf.DUMMYFUNCTION("""COMPUTED_VALUE"""),"Georgia Tech")</f>
        <v>Georgia Tech</v>
      </c>
      <c r="F2466" s="4">
        <f>IFERROR(__xludf.DUMMYFUNCTION("""COMPUTED_VALUE"""),2.0)</f>
        <v>2</v>
      </c>
      <c r="G2466" s="4">
        <f>IFERROR(__xludf.DUMMYFUNCTION("""COMPUTED_VALUE"""),63.0)</f>
        <v>63</v>
      </c>
      <c r="H2466" s="4">
        <f>IFERROR(__xludf.DUMMYFUNCTION("""COMPUTED_VALUE"""),625.0)</f>
        <v>625</v>
      </c>
      <c r="I2466" s="4">
        <f>IFERROR(__xludf.DUMMYFUNCTION("""COMPUTED_VALUE"""),158.0)</f>
        <v>158</v>
      </c>
      <c r="J2466" s="4">
        <f>IFERROR(__xludf.DUMMYFUNCTION("""COMPUTED_VALUE"""),45.0)</f>
        <v>45</v>
      </c>
      <c r="K2466" s="4">
        <f>IFERROR(__xludf.DUMMYFUNCTION("""COMPUTED_VALUE"""),155.0)</f>
        <v>155</v>
      </c>
      <c r="L2466" s="4">
        <f>IFERROR(__xludf.DUMMYFUNCTION("""COMPUTED_VALUE"""),0.373)</f>
        <v>0.373</v>
      </c>
      <c r="M2466" s="4">
        <f>IFERROR(__xludf.DUMMYFUNCTION("""COMPUTED_VALUE"""),0.302)</f>
        <v>0.302</v>
      </c>
      <c r="N2466" s="4">
        <f>IFERROR(__xludf.DUMMYFUNCTION("""COMPUTED_VALUE"""),0.6)</f>
        <v>0.6</v>
      </c>
      <c r="O2466" s="4">
        <f>IFERROR(__xludf.DUMMYFUNCTION("""COMPUTED_VALUE"""),9.9)</f>
        <v>9.9</v>
      </c>
      <c r="P2466" s="4">
        <f>IFERROR(__xludf.DUMMYFUNCTION("""COMPUTED_VALUE"""),2.5)</f>
        <v>2.5</v>
      </c>
      <c r="Q2466" s="4">
        <f>IFERROR(__xludf.DUMMYFUNCTION("""COMPUTED_VALUE"""),0.7)</f>
        <v>0.7</v>
      </c>
      <c r="R2466" s="4">
        <f>IFERROR(__xludf.DUMMYFUNCTION("""COMPUTED_VALUE"""),2.5)</f>
        <v>2.5</v>
      </c>
      <c r="S2466" s="4">
        <f>IFERROR(__xludf.DUMMYFUNCTION("""COMPUTED_VALUE"""),-0.4)</f>
        <v>-0.4</v>
      </c>
      <c r="T2466" s="4">
        <f>IFERROR(__xludf.DUMMYFUNCTION("""COMPUTED_VALUE"""),-0.03)</f>
        <v>-0.03</v>
      </c>
      <c r="U2466" s="4">
        <f>IFERROR(__xludf.DUMMYFUNCTION("""COMPUTED_VALUE"""),-5.8)</f>
        <v>-5.8</v>
      </c>
      <c r="V2466" s="4">
        <f>IFERROR(__xludf.DUMMYFUNCTION("""COMPUTED_VALUE"""),-0.6)</f>
        <v>-0.6</v>
      </c>
    </row>
    <row r="2467">
      <c r="A2467" s="4">
        <f>IFERROR(__xludf.DUMMYFUNCTION("""COMPUTED_VALUE"""),72.0)</f>
        <v>72</v>
      </c>
      <c r="B2467" s="4">
        <f>IFERROR(__xludf.DUMMYFUNCTION("""COMPUTED_VALUE"""),72.0)</f>
        <v>72</v>
      </c>
      <c r="C2467" s="4" t="str">
        <f>IFERROR(__xludf.DUMMYFUNCTION("""COMPUTED_VALUE"""),"DET")</f>
        <v>DET</v>
      </c>
      <c r="D2467" s="4" t="str">
        <f>IFERROR(__xludf.DUMMYFUNCTION("""COMPUTED_VALUE"""),"Lee Johnson")</f>
        <v>Lee Johnson</v>
      </c>
      <c r="E2467" s="4" t="str">
        <f>IFERROR(__xludf.DUMMYFUNCTION("""COMPUTED_VALUE"""),"Norfolk State")</f>
        <v>Norfolk State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</row>
    <row r="2468">
      <c r="A2468" s="4">
        <f>IFERROR(__xludf.DUMMYFUNCTION("""COMPUTED_VALUE"""),73.0)</f>
        <v>73</v>
      </c>
      <c r="B2468" s="4">
        <f>IFERROR(__xludf.DUMMYFUNCTION("""COMPUTED_VALUE"""),73.0)</f>
        <v>73</v>
      </c>
      <c r="C2468" s="4" t="str">
        <f>IFERROR(__xludf.DUMMYFUNCTION("""COMPUTED_VALUE"""),"IND")</f>
        <v>IND</v>
      </c>
      <c r="D2468" s="4" t="str">
        <f>IFERROR(__xludf.DUMMYFUNCTION("""COMPUTED_VALUE"""),"Michael Anderson")</f>
        <v>Michael Anderson</v>
      </c>
      <c r="E2468" s="4" t="str">
        <f>IFERROR(__xludf.DUMMYFUNCTION("""COMPUTED_VALUE"""),"Drexel")</f>
        <v>Drexel</v>
      </c>
      <c r="F2468" s="4">
        <f>IFERROR(__xludf.DUMMYFUNCTION("""COMPUTED_VALUE"""),1.0)</f>
        <v>1</v>
      </c>
      <c r="G2468" s="4">
        <f>IFERROR(__xludf.DUMMYFUNCTION("""COMPUTED_VALUE"""),36.0)</f>
        <v>36</v>
      </c>
      <c r="H2468" s="4">
        <f>IFERROR(__xludf.DUMMYFUNCTION("""COMPUTED_VALUE"""),730.0)</f>
        <v>730</v>
      </c>
      <c r="I2468" s="4">
        <f>IFERROR(__xludf.DUMMYFUNCTION("""COMPUTED_VALUE"""),204.0)</f>
        <v>204</v>
      </c>
      <c r="J2468" s="4">
        <f>IFERROR(__xludf.DUMMYFUNCTION("""COMPUTED_VALUE"""),89.0)</f>
        <v>89</v>
      </c>
      <c r="K2468" s="4">
        <f>IFERROR(__xludf.DUMMYFUNCTION("""COMPUTED_VALUE"""),153.0)</f>
        <v>153</v>
      </c>
      <c r="L2468" s="4">
        <f>IFERROR(__xludf.DUMMYFUNCTION("""COMPUTED_VALUE"""),0.417)</f>
        <v>0.417</v>
      </c>
      <c r="M2468" s="4">
        <f>IFERROR(__xludf.DUMMYFUNCTION("""COMPUTED_VALUE"""),0.143)</f>
        <v>0.143</v>
      </c>
      <c r="N2468" s="4">
        <f>IFERROR(__xludf.DUMMYFUNCTION("""COMPUTED_VALUE"""),0.695)</f>
        <v>0.695</v>
      </c>
      <c r="O2468" s="4">
        <f>IFERROR(__xludf.DUMMYFUNCTION("""COMPUTED_VALUE"""),20.3)</f>
        <v>20.3</v>
      </c>
      <c r="P2468" s="4">
        <f>IFERROR(__xludf.DUMMYFUNCTION("""COMPUTED_VALUE"""),5.7)</f>
        <v>5.7</v>
      </c>
      <c r="Q2468" s="4">
        <f>IFERROR(__xludf.DUMMYFUNCTION("""COMPUTED_VALUE"""),2.5)</f>
        <v>2.5</v>
      </c>
      <c r="R2468" s="4">
        <f>IFERROR(__xludf.DUMMYFUNCTION("""COMPUTED_VALUE"""),4.3)</f>
        <v>4.3</v>
      </c>
      <c r="S2468" s="4">
        <f>IFERROR(__xludf.DUMMYFUNCTION("""COMPUTED_VALUE"""),0.2)</f>
        <v>0.2</v>
      </c>
      <c r="T2468" s="4">
        <f>IFERROR(__xludf.DUMMYFUNCTION("""COMPUTED_VALUE"""),0.01)</f>
        <v>0.01</v>
      </c>
      <c r="U2468" s="4">
        <f>IFERROR(__xludf.DUMMYFUNCTION("""COMPUTED_VALUE"""),-2.4)</f>
        <v>-2.4</v>
      </c>
      <c r="V2468" s="4">
        <f>IFERROR(__xludf.DUMMYFUNCTION("""COMPUTED_VALUE"""),-0.1)</f>
        <v>-0.1</v>
      </c>
    </row>
    <row r="2469">
      <c r="A2469" s="4">
        <f>IFERROR(__xludf.DUMMYFUNCTION("""COMPUTED_VALUE"""),74.0)</f>
        <v>74</v>
      </c>
      <c r="B2469" s="4">
        <f>IFERROR(__xludf.DUMMYFUNCTION("""COMPUTED_VALUE"""),74.0)</f>
        <v>74</v>
      </c>
      <c r="C2469" s="4" t="str">
        <f>IFERROR(__xludf.DUMMYFUNCTION("""COMPUTED_VALUE"""),"BOS")</f>
        <v>BOS</v>
      </c>
      <c r="D2469" s="4" t="str">
        <f>IFERROR(__xludf.DUMMYFUNCTION("""COMPUTED_VALUE"""),"Gerald Paddio")</f>
        <v>Gerald Paddio</v>
      </c>
      <c r="E2469" s="4" t="str">
        <f>IFERROR(__xludf.DUMMYFUNCTION("""COMPUTED_VALUE"""),"UNLV")</f>
        <v>UNLV</v>
      </c>
      <c r="F2469" s="4">
        <f>IFERROR(__xludf.DUMMYFUNCTION("""COMPUTED_VALUE"""),3.0)</f>
        <v>3</v>
      </c>
      <c r="G2469" s="4">
        <f>IFERROR(__xludf.DUMMYFUNCTION("""COMPUTED_VALUE"""),129.0)</f>
        <v>129</v>
      </c>
      <c r="H2469" s="4">
        <f>IFERROR(__xludf.DUMMYFUNCTION("""COMPUTED_VALUE"""),1625.0)</f>
        <v>1625</v>
      </c>
      <c r="I2469" s="4">
        <f>IFERROR(__xludf.DUMMYFUNCTION("""COMPUTED_VALUE"""),715.0)</f>
        <v>715</v>
      </c>
      <c r="J2469" s="4">
        <f>IFERROR(__xludf.DUMMYFUNCTION("""COMPUTED_VALUE"""),184.0)</f>
        <v>184</v>
      </c>
      <c r="K2469" s="4">
        <f>IFERROR(__xludf.DUMMYFUNCTION("""COMPUTED_VALUE"""),134.0)</f>
        <v>134</v>
      </c>
      <c r="L2469" s="4">
        <f>IFERROR(__xludf.DUMMYFUNCTION("""COMPUTED_VALUE"""),0.421)</f>
        <v>0.421</v>
      </c>
      <c r="M2469" s="4">
        <f>IFERROR(__xludf.DUMMYFUNCTION("""COMPUTED_VALUE"""),0.242)</f>
        <v>0.242</v>
      </c>
      <c r="N2469" s="4">
        <f>IFERROR(__xludf.DUMMYFUNCTION("""COMPUTED_VALUE"""),0.746)</f>
        <v>0.746</v>
      </c>
      <c r="O2469" s="4">
        <f>IFERROR(__xludf.DUMMYFUNCTION("""COMPUTED_VALUE"""),12.6)</f>
        <v>12.6</v>
      </c>
      <c r="P2469" s="4">
        <f>IFERROR(__xludf.DUMMYFUNCTION("""COMPUTED_VALUE"""),5.5)</f>
        <v>5.5</v>
      </c>
      <c r="Q2469" s="4">
        <f>IFERROR(__xludf.DUMMYFUNCTION("""COMPUTED_VALUE"""),1.4)</f>
        <v>1.4</v>
      </c>
      <c r="R2469" s="4">
        <f>IFERROR(__xludf.DUMMYFUNCTION("""COMPUTED_VALUE"""),1.0)</f>
        <v>1</v>
      </c>
      <c r="S2469" s="4">
        <f>IFERROR(__xludf.DUMMYFUNCTION("""COMPUTED_VALUE"""),0.1)</f>
        <v>0.1</v>
      </c>
      <c r="T2469" s="4">
        <f>IFERROR(__xludf.DUMMYFUNCTION("""COMPUTED_VALUE"""),0.002)</f>
        <v>0.002</v>
      </c>
      <c r="U2469" s="4">
        <f>IFERROR(__xludf.DUMMYFUNCTION("""COMPUTED_VALUE"""),-5.3)</f>
        <v>-5.3</v>
      </c>
      <c r="V2469" s="4">
        <f>IFERROR(__xludf.DUMMYFUNCTION("""COMPUTED_VALUE"""),-1.3)</f>
        <v>-1.3</v>
      </c>
    </row>
    <row r="2470">
      <c r="A2470" s="4">
        <f>IFERROR(__xludf.DUMMYFUNCTION("""COMPUTED_VALUE"""),75.0)</f>
        <v>75</v>
      </c>
      <c r="B2470" s="4">
        <f>IFERROR(__xludf.DUMMYFUNCTION("""COMPUTED_VALUE"""),75.0)</f>
        <v>75</v>
      </c>
      <c r="C2470" s="4" t="str">
        <f>IFERROR(__xludf.DUMMYFUNCTION("""COMPUTED_VALUE"""),"SAS")</f>
        <v>SAS</v>
      </c>
      <c r="D2470" s="4" t="str">
        <f>IFERROR(__xludf.DUMMYFUNCTION("""COMPUTED_VALUE"""),"Archie Marshall")</f>
        <v>Archie Marshall</v>
      </c>
      <c r="E2470" s="4" t="str">
        <f>IFERROR(__xludf.DUMMYFUNCTION("""COMPUTED_VALUE"""),"Kansas")</f>
        <v>Kansas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</row>
    <row r="2472">
      <c r="A2472" s="2">
        <v>1987.0</v>
      </c>
    </row>
    <row r="2473">
      <c r="A2473" s="4" t="str">
        <f>IFERROR(__xludf.DUMMYFUNCTION("IMPORTHTML(""https://www.basketball-reference.com/draft/NBA_1987.html"", ""table"", 1)"),"")</f>
        <v/>
      </c>
      <c r="B2473" s="4"/>
      <c r="C2473" s="4"/>
      <c r="D2473" s="4" t="str">
        <f>IFERROR(__xludf.DUMMYFUNCTION("""COMPUTED_VALUE"""),"Round 1")</f>
        <v>Round 1</v>
      </c>
      <c r="E2473" s="4"/>
      <c r="F2473" s="4"/>
      <c r="G2473" s="4" t="str">
        <f>IFERROR(__xludf.DUMMYFUNCTION("""COMPUTED_VALUE"""),"Totals")</f>
        <v>Totals</v>
      </c>
      <c r="H2473" s="4"/>
      <c r="I2473" s="4"/>
      <c r="J2473" s="4"/>
      <c r="K2473" s="4"/>
      <c r="L2473" s="4" t="str">
        <f>IFERROR(__xludf.DUMMYFUNCTION("""COMPUTED_VALUE"""),"Shooting")</f>
        <v>Shooting</v>
      </c>
      <c r="M2473" s="4"/>
      <c r="N2473" s="4"/>
      <c r="O2473" s="4" t="str">
        <f>IFERROR(__xludf.DUMMYFUNCTION("""COMPUTED_VALUE"""),"Per Game")</f>
        <v>Per Game</v>
      </c>
      <c r="P2473" s="4"/>
      <c r="Q2473" s="4"/>
      <c r="R2473" s="4"/>
      <c r="S2473" s="4" t="str">
        <f>IFERROR(__xludf.DUMMYFUNCTION("""COMPUTED_VALUE"""),"Advanced")</f>
        <v>Advanced</v>
      </c>
      <c r="T2473" s="4"/>
      <c r="U2473" s="4"/>
      <c r="V2473" s="4"/>
    </row>
    <row r="2474">
      <c r="A2474" s="4" t="str">
        <f>IFERROR(__xludf.DUMMYFUNCTION("""COMPUTED_VALUE"""),"Rk")</f>
        <v>Rk</v>
      </c>
      <c r="B2474" s="4" t="str">
        <f>IFERROR(__xludf.DUMMYFUNCTION("""COMPUTED_VALUE"""),"Pk")</f>
        <v>Pk</v>
      </c>
      <c r="C2474" s="4" t="str">
        <f>IFERROR(__xludf.DUMMYFUNCTION("""COMPUTED_VALUE"""),"Tm")</f>
        <v>Tm</v>
      </c>
      <c r="D2474" s="4" t="str">
        <f>IFERROR(__xludf.DUMMYFUNCTION("""COMPUTED_VALUE"""),"Player")</f>
        <v>Player</v>
      </c>
      <c r="E2474" s="4" t="str">
        <f>IFERROR(__xludf.DUMMYFUNCTION("""COMPUTED_VALUE"""),"College")</f>
        <v>College</v>
      </c>
      <c r="F2474" s="4" t="str">
        <f>IFERROR(__xludf.DUMMYFUNCTION("""COMPUTED_VALUE"""),"Yrs")</f>
        <v>Yrs</v>
      </c>
      <c r="G2474" s="4" t="str">
        <f>IFERROR(__xludf.DUMMYFUNCTION("""COMPUTED_VALUE"""),"G")</f>
        <v>G</v>
      </c>
      <c r="H2474" s="4" t="str">
        <f>IFERROR(__xludf.DUMMYFUNCTION("""COMPUTED_VALUE"""),"MP")</f>
        <v>MP</v>
      </c>
      <c r="I2474" s="4" t="str">
        <f>IFERROR(__xludf.DUMMYFUNCTION("""COMPUTED_VALUE"""),"PTS")</f>
        <v>PTS</v>
      </c>
      <c r="J2474" s="4" t="str">
        <f>IFERROR(__xludf.DUMMYFUNCTION("""COMPUTED_VALUE"""),"TRB")</f>
        <v>TRB</v>
      </c>
      <c r="K2474" s="4" t="str">
        <f>IFERROR(__xludf.DUMMYFUNCTION("""COMPUTED_VALUE"""),"AST")</f>
        <v>AST</v>
      </c>
      <c r="L2474" s="4" t="str">
        <f>IFERROR(__xludf.DUMMYFUNCTION("""COMPUTED_VALUE"""),"FG%")</f>
        <v>FG%</v>
      </c>
      <c r="M2474" s="4" t="str">
        <f>IFERROR(__xludf.DUMMYFUNCTION("""COMPUTED_VALUE"""),"3P%")</f>
        <v>3P%</v>
      </c>
      <c r="N2474" s="4" t="str">
        <f>IFERROR(__xludf.DUMMYFUNCTION("""COMPUTED_VALUE"""),"FT%")</f>
        <v>FT%</v>
      </c>
      <c r="O2474" s="4" t="str">
        <f>IFERROR(__xludf.DUMMYFUNCTION("""COMPUTED_VALUE"""),"MP")</f>
        <v>MP</v>
      </c>
      <c r="P2474" s="4" t="str">
        <f>IFERROR(__xludf.DUMMYFUNCTION("""COMPUTED_VALUE"""),"PTS")</f>
        <v>PTS</v>
      </c>
      <c r="Q2474" s="4" t="str">
        <f>IFERROR(__xludf.DUMMYFUNCTION("""COMPUTED_VALUE"""),"TRB")</f>
        <v>TRB</v>
      </c>
      <c r="R2474" s="4" t="str">
        <f>IFERROR(__xludf.DUMMYFUNCTION("""COMPUTED_VALUE"""),"AST")</f>
        <v>AST</v>
      </c>
      <c r="S2474" s="4" t="str">
        <f>IFERROR(__xludf.DUMMYFUNCTION("""COMPUTED_VALUE"""),"WS")</f>
        <v>WS</v>
      </c>
      <c r="T2474" s="4" t="str">
        <f>IFERROR(__xludf.DUMMYFUNCTION("""COMPUTED_VALUE"""),"WS/48")</f>
        <v>WS/48</v>
      </c>
      <c r="U2474" s="4" t="str">
        <f>IFERROR(__xludf.DUMMYFUNCTION("""COMPUTED_VALUE"""),"BPM")</f>
        <v>BPM</v>
      </c>
      <c r="V2474" s="4" t="str">
        <f>IFERROR(__xludf.DUMMYFUNCTION("""COMPUTED_VALUE"""),"VORP")</f>
        <v>VORP</v>
      </c>
    </row>
    <row r="2475">
      <c r="A2475" s="4">
        <f>IFERROR(__xludf.DUMMYFUNCTION("""COMPUTED_VALUE"""),1.0)</f>
        <v>1</v>
      </c>
      <c r="B2475" s="4">
        <f>IFERROR(__xludf.DUMMYFUNCTION("""COMPUTED_VALUE"""),1.0)</f>
        <v>1</v>
      </c>
      <c r="C2475" s="4" t="str">
        <f>IFERROR(__xludf.DUMMYFUNCTION("""COMPUTED_VALUE"""),"SAS")</f>
        <v>SAS</v>
      </c>
      <c r="D2475" s="4" t="str">
        <f>IFERROR(__xludf.DUMMYFUNCTION("""COMPUTED_VALUE"""),"David Robinson")</f>
        <v>David Robinson</v>
      </c>
      <c r="E2475" s="4" t="str">
        <f>IFERROR(__xludf.DUMMYFUNCTION("""COMPUTED_VALUE"""),"United States Naval Academy")</f>
        <v>United States Naval Academy</v>
      </c>
      <c r="F2475" s="4">
        <f>IFERROR(__xludf.DUMMYFUNCTION("""COMPUTED_VALUE"""),14.0)</f>
        <v>14</v>
      </c>
      <c r="G2475" s="4">
        <f>IFERROR(__xludf.DUMMYFUNCTION("""COMPUTED_VALUE"""),987.0)</f>
        <v>987</v>
      </c>
      <c r="H2475" s="4">
        <f>IFERROR(__xludf.DUMMYFUNCTION("""COMPUTED_VALUE"""),34271.0)</f>
        <v>34271</v>
      </c>
      <c r="I2475" s="4">
        <f>IFERROR(__xludf.DUMMYFUNCTION("""COMPUTED_VALUE"""),20790.0)</f>
        <v>20790</v>
      </c>
      <c r="J2475" s="4">
        <f>IFERROR(__xludf.DUMMYFUNCTION("""COMPUTED_VALUE"""),10497.0)</f>
        <v>10497</v>
      </c>
      <c r="K2475" s="4">
        <f>IFERROR(__xludf.DUMMYFUNCTION("""COMPUTED_VALUE"""),2441.0)</f>
        <v>2441</v>
      </c>
      <c r="L2475" s="4">
        <f>IFERROR(__xludf.DUMMYFUNCTION("""COMPUTED_VALUE"""),0.518)</f>
        <v>0.518</v>
      </c>
      <c r="M2475" s="4">
        <f>IFERROR(__xludf.DUMMYFUNCTION("""COMPUTED_VALUE"""),0.25)</f>
        <v>0.25</v>
      </c>
      <c r="N2475" s="4">
        <f>IFERROR(__xludf.DUMMYFUNCTION("""COMPUTED_VALUE"""),0.736)</f>
        <v>0.736</v>
      </c>
      <c r="O2475" s="4">
        <f>IFERROR(__xludf.DUMMYFUNCTION("""COMPUTED_VALUE"""),34.7)</f>
        <v>34.7</v>
      </c>
      <c r="P2475" s="4">
        <f>IFERROR(__xludf.DUMMYFUNCTION("""COMPUTED_VALUE"""),21.1)</f>
        <v>21.1</v>
      </c>
      <c r="Q2475" s="4">
        <f>IFERROR(__xludf.DUMMYFUNCTION("""COMPUTED_VALUE"""),10.6)</f>
        <v>10.6</v>
      </c>
      <c r="R2475" s="4">
        <f>IFERROR(__xludf.DUMMYFUNCTION("""COMPUTED_VALUE"""),2.5)</f>
        <v>2.5</v>
      </c>
      <c r="S2475" s="4">
        <f>IFERROR(__xludf.DUMMYFUNCTION("""COMPUTED_VALUE"""),178.7)</f>
        <v>178.7</v>
      </c>
      <c r="T2475" s="4">
        <f>IFERROR(__xludf.DUMMYFUNCTION("""COMPUTED_VALUE"""),0.25)</f>
        <v>0.25</v>
      </c>
      <c r="U2475" s="4">
        <f>IFERROR(__xludf.DUMMYFUNCTION("""COMPUTED_VALUE"""),7.5)</f>
        <v>7.5</v>
      </c>
      <c r="V2475" s="4">
        <f>IFERROR(__xludf.DUMMYFUNCTION("""COMPUTED_VALUE"""),81.9)</f>
        <v>81.9</v>
      </c>
    </row>
    <row r="2476">
      <c r="A2476" s="4">
        <f>IFERROR(__xludf.DUMMYFUNCTION("""COMPUTED_VALUE"""),2.0)</f>
        <v>2</v>
      </c>
      <c r="B2476" s="4">
        <f>IFERROR(__xludf.DUMMYFUNCTION("""COMPUTED_VALUE"""),2.0)</f>
        <v>2</v>
      </c>
      <c r="C2476" s="4" t="str">
        <f>IFERROR(__xludf.DUMMYFUNCTION("""COMPUTED_VALUE"""),"PHO")</f>
        <v>PHO</v>
      </c>
      <c r="D2476" s="4" t="str">
        <f>IFERROR(__xludf.DUMMYFUNCTION("""COMPUTED_VALUE"""),"Armen Gilliam")</f>
        <v>Armen Gilliam</v>
      </c>
      <c r="E2476" s="4" t="str">
        <f>IFERROR(__xludf.DUMMYFUNCTION("""COMPUTED_VALUE"""),"UNLV")</f>
        <v>UNLV</v>
      </c>
      <c r="F2476" s="4">
        <f>IFERROR(__xludf.DUMMYFUNCTION("""COMPUTED_VALUE"""),13.0)</f>
        <v>13</v>
      </c>
      <c r="G2476" s="4">
        <f>IFERROR(__xludf.DUMMYFUNCTION("""COMPUTED_VALUE"""),929.0)</f>
        <v>929</v>
      </c>
      <c r="H2476" s="4">
        <f>IFERROR(__xludf.DUMMYFUNCTION("""COMPUTED_VALUE"""),26421.0)</f>
        <v>26421</v>
      </c>
      <c r="I2476" s="4">
        <f>IFERROR(__xludf.DUMMYFUNCTION("""COMPUTED_VALUE"""),12700.0)</f>
        <v>12700</v>
      </c>
      <c r="J2476" s="4">
        <f>IFERROR(__xludf.DUMMYFUNCTION("""COMPUTED_VALUE"""),6401.0)</f>
        <v>6401</v>
      </c>
      <c r="K2476" s="4">
        <f>IFERROR(__xludf.DUMMYFUNCTION("""COMPUTED_VALUE"""),1088.0)</f>
        <v>1088</v>
      </c>
      <c r="L2476" s="4">
        <f>IFERROR(__xludf.DUMMYFUNCTION("""COMPUTED_VALUE"""),0.489)</f>
        <v>0.489</v>
      </c>
      <c r="M2476" s="4">
        <f>IFERROR(__xludf.DUMMYFUNCTION("""COMPUTED_VALUE"""),0.0)</f>
        <v>0</v>
      </c>
      <c r="N2476" s="4">
        <f>IFERROR(__xludf.DUMMYFUNCTION("""COMPUTED_VALUE"""),0.776)</f>
        <v>0.776</v>
      </c>
      <c r="O2476" s="4">
        <f>IFERROR(__xludf.DUMMYFUNCTION("""COMPUTED_VALUE"""),28.4)</f>
        <v>28.4</v>
      </c>
      <c r="P2476" s="4">
        <f>IFERROR(__xludf.DUMMYFUNCTION("""COMPUTED_VALUE"""),13.7)</f>
        <v>13.7</v>
      </c>
      <c r="Q2476" s="4">
        <f>IFERROR(__xludf.DUMMYFUNCTION("""COMPUTED_VALUE"""),6.9)</f>
        <v>6.9</v>
      </c>
      <c r="R2476" s="4">
        <f>IFERROR(__xludf.DUMMYFUNCTION("""COMPUTED_VALUE"""),1.2)</f>
        <v>1.2</v>
      </c>
      <c r="S2476" s="4">
        <f>IFERROR(__xludf.DUMMYFUNCTION("""COMPUTED_VALUE"""),58.1)</f>
        <v>58.1</v>
      </c>
      <c r="T2476" s="4">
        <f>IFERROR(__xludf.DUMMYFUNCTION("""COMPUTED_VALUE"""),0.106)</f>
        <v>0.106</v>
      </c>
      <c r="U2476" s="4">
        <f>IFERROR(__xludf.DUMMYFUNCTION("""COMPUTED_VALUE"""),-0.7)</f>
        <v>-0.7</v>
      </c>
      <c r="V2476" s="4">
        <f>IFERROR(__xludf.DUMMYFUNCTION("""COMPUTED_VALUE"""),8.8)</f>
        <v>8.8</v>
      </c>
    </row>
    <row r="2477">
      <c r="A2477" s="4">
        <f>IFERROR(__xludf.DUMMYFUNCTION("""COMPUTED_VALUE"""),3.0)</f>
        <v>3</v>
      </c>
      <c r="B2477" s="4">
        <f>IFERROR(__xludf.DUMMYFUNCTION("""COMPUTED_VALUE"""),3.0)</f>
        <v>3</v>
      </c>
      <c r="C2477" s="4" t="str">
        <f>IFERROR(__xludf.DUMMYFUNCTION("""COMPUTED_VALUE"""),"NJN")</f>
        <v>NJN</v>
      </c>
      <c r="D2477" s="4" t="str">
        <f>IFERROR(__xludf.DUMMYFUNCTION("""COMPUTED_VALUE"""),"Dennis Hopson")</f>
        <v>Dennis Hopson</v>
      </c>
      <c r="E2477" s="4" t="str">
        <f>IFERROR(__xludf.DUMMYFUNCTION("""COMPUTED_VALUE"""),"Ohio State")</f>
        <v>Ohio State</v>
      </c>
      <c r="F2477" s="4">
        <f>IFERROR(__xludf.DUMMYFUNCTION("""COMPUTED_VALUE"""),5.0)</f>
        <v>5</v>
      </c>
      <c r="G2477" s="4">
        <f>IFERROR(__xludf.DUMMYFUNCTION("""COMPUTED_VALUE"""),334.0)</f>
        <v>334</v>
      </c>
      <c r="H2477" s="4">
        <f>IFERROR(__xludf.DUMMYFUNCTION("""COMPUTED_VALUE"""),7509.0)</f>
        <v>7509</v>
      </c>
      <c r="I2477" s="4">
        <f>IFERROR(__xludf.DUMMYFUNCTION("""COMPUTED_VALUE"""),3633.0)</f>
        <v>3633</v>
      </c>
      <c r="J2477" s="4">
        <f>IFERROR(__xludf.DUMMYFUNCTION("""COMPUTED_VALUE"""),939.0)</f>
        <v>939</v>
      </c>
      <c r="K2477" s="4">
        <f>IFERROR(__xludf.DUMMYFUNCTION("""COMPUTED_VALUE"""),539.0)</f>
        <v>539</v>
      </c>
      <c r="L2477" s="4">
        <f>IFERROR(__xludf.DUMMYFUNCTION("""COMPUTED_VALUE"""),0.431)</f>
        <v>0.431</v>
      </c>
      <c r="M2477" s="4">
        <f>IFERROR(__xludf.DUMMYFUNCTION("""COMPUTED_VALUE"""),0.271)</f>
        <v>0.271</v>
      </c>
      <c r="N2477" s="4">
        <f>IFERROR(__xludf.DUMMYFUNCTION("""COMPUTED_VALUE"""),0.765)</f>
        <v>0.765</v>
      </c>
      <c r="O2477" s="4">
        <f>IFERROR(__xludf.DUMMYFUNCTION("""COMPUTED_VALUE"""),22.5)</f>
        <v>22.5</v>
      </c>
      <c r="P2477" s="4">
        <f>IFERROR(__xludf.DUMMYFUNCTION("""COMPUTED_VALUE"""),10.9)</f>
        <v>10.9</v>
      </c>
      <c r="Q2477" s="4">
        <f>IFERROR(__xludf.DUMMYFUNCTION("""COMPUTED_VALUE"""),2.8)</f>
        <v>2.8</v>
      </c>
      <c r="R2477" s="4">
        <f>IFERROR(__xludf.DUMMYFUNCTION("""COMPUTED_VALUE"""),1.6)</f>
        <v>1.6</v>
      </c>
      <c r="S2477" s="4">
        <f>IFERROR(__xludf.DUMMYFUNCTION("""COMPUTED_VALUE"""),7.1)</f>
        <v>7.1</v>
      </c>
      <c r="T2477" s="4">
        <f>IFERROR(__xludf.DUMMYFUNCTION("""COMPUTED_VALUE"""),0.046)</f>
        <v>0.046</v>
      </c>
      <c r="U2477" s="4">
        <f>IFERROR(__xludf.DUMMYFUNCTION("""COMPUTED_VALUE"""),-1.7)</f>
        <v>-1.7</v>
      </c>
      <c r="V2477" s="4">
        <f>IFERROR(__xludf.DUMMYFUNCTION("""COMPUTED_VALUE"""),0.7)</f>
        <v>0.7</v>
      </c>
    </row>
    <row r="2478">
      <c r="A2478" s="4">
        <f>IFERROR(__xludf.DUMMYFUNCTION("""COMPUTED_VALUE"""),4.0)</f>
        <v>4</v>
      </c>
      <c r="B2478" s="4">
        <f>IFERROR(__xludf.DUMMYFUNCTION("""COMPUTED_VALUE"""),4.0)</f>
        <v>4</v>
      </c>
      <c r="C2478" s="4" t="str">
        <f>IFERROR(__xludf.DUMMYFUNCTION("""COMPUTED_VALUE"""),"LAC")</f>
        <v>LAC</v>
      </c>
      <c r="D2478" s="4" t="str">
        <f>IFERROR(__xludf.DUMMYFUNCTION("""COMPUTED_VALUE"""),"Reggie Williams")</f>
        <v>Reggie Williams</v>
      </c>
      <c r="E2478" s="4" t="str">
        <f>IFERROR(__xludf.DUMMYFUNCTION("""COMPUTED_VALUE"""),"Georgetown")</f>
        <v>Georgetown</v>
      </c>
      <c r="F2478" s="4">
        <f>IFERROR(__xludf.DUMMYFUNCTION("""COMPUTED_VALUE"""),10.0)</f>
        <v>10</v>
      </c>
      <c r="G2478" s="4">
        <f>IFERROR(__xludf.DUMMYFUNCTION("""COMPUTED_VALUE"""),599.0)</f>
        <v>599</v>
      </c>
      <c r="H2478" s="4">
        <f>IFERROR(__xludf.DUMMYFUNCTION("""COMPUTED_VALUE"""),16013.0)</f>
        <v>16013</v>
      </c>
      <c r="I2478" s="4">
        <f>IFERROR(__xludf.DUMMYFUNCTION("""COMPUTED_VALUE"""),7508.0)</f>
        <v>7508</v>
      </c>
      <c r="J2478" s="4">
        <f>IFERROR(__xludf.DUMMYFUNCTION("""COMPUTED_VALUE"""),2393.0)</f>
        <v>2393</v>
      </c>
      <c r="K2478" s="4">
        <f>IFERROR(__xludf.DUMMYFUNCTION("""COMPUTED_VALUE"""),1492.0)</f>
        <v>1492</v>
      </c>
      <c r="L2478" s="4">
        <f>IFERROR(__xludf.DUMMYFUNCTION("""COMPUTED_VALUE"""),0.437)</f>
        <v>0.437</v>
      </c>
      <c r="M2478" s="4">
        <f>IFERROR(__xludf.DUMMYFUNCTION("""COMPUTED_VALUE"""),0.298)</f>
        <v>0.298</v>
      </c>
      <c r="N2478" s="4">
        <f>IFERROR(__xludf.DUMMYFUNCTION("""COMPUTED_VALUE"""),0.784)</f>
        <v>0.784</v>
      </c>
      <c r="O2478" s="4">
        <f>IFERROR(__xludf.DUMMYFUNCTION("""COMPUTED_VALUE"""),26.7)</f>
        <v>26.7</v>
      </c>
      <c r="P2478" s="4">
        <f>IFERROR(__xludf.DUMMYFUNCTION("""COMPUTED_VALUE"""),12.5)</f>
        <v>12.5</v>
      </c>
      <c r="Q2478" s="4">
        <f>IFERROR(__xludf.DUMMYFUNCTION("""COMPUTED_VALUE"""),4.0)</f>
        <v>4</v>
      </c>
      <c r="R2478" s="4">
        <f>IFERROR(__xludf.DUMMYFUNCTION("""COMPUTED_VALUE"""),2.5)</f>
        <v>2.5</v>
      </c>
      <c r="S2478" s="4">
        <f>IFERROR(__xludf.DUMMYFUNCTION("""COMPUTED_VALUE"""),26.0)</f>
        <v>26</v>
      </c>
      <c r="T2478" s="4">
        <f>IFERROR(__xludf.DUMMYFUNCTION("""COMPUTED_VALUE"""),0.078)</f>
        <v>0.078</v>
      </c>
      <c r="U2478" s="4">
        <f>IFERROR(__xludf.DUMMYFUNCTION("""COMPUTED_VALUE"""),0.2)</f>
        <v>0.2</v>
      </c>
      <c r="V2478" s="4">
        <f>IFERROR(__xludf.DUMMYFUNCTION("""COMPUTED_VALUE"""),9.0)</f>
        <v>9</v>
      </c>
    </row>
    <row r="2479">
      <c r="A2479" s="4">
        <f>IFERROR(__xludf.DUMMYFUNCTION("""COMPUTED_VALUE"""),5.0)</f>
        <v>5</v>
      </c>
      <c r="B2479" s="4">
        <f>IFERROR(__xludf.DUMMYFUNCTION("""COMPUTED_VALUE"""),5.0)</f>
        <v>5</v>
      </c>
      <c r="C2479" s="4" t="str">
        <f>IFERROR(__xludf.DUMMYFUNCTION("""COMPUTED_VALUE"""),"SEA")</f>
        <v>SEA</v>
      </c>
      <c r="D2479" s="4" t="str">
        <f>IFERROR(__xludf.DUMMYFUNCTION("""COMPUTED_VALUE"""),"Scottie Pippen")</f>
        <v>Scottie Pippen</v>
      </c>
      <c r="E2479" s="4" t="str">
        <f>IFERROR(__xludf.DUMMYFUNCTION("""COMPUTED_VALUE"""),"University of Central Arkansas")</f>
        <v>University of Central Arkansas</v>
      </c>
      <c r="F2479" s="4">
        <f>IFERROR(__xludf.DUMMYFUNCTION("""COMPUTED_VALUE"""),17.0)</f>
        <v>17</v>
      </c>
      <c r="G2479" s="4">
        <f>IFERROR(__xludf.DUMMYFUNCTION("""COMPUTED_VALUE"""),1178.0)</f>
        <v>1178</v>
      </c>
      <c r="H2479" s="4">
        <f>IFERROR(__xludf.DUMMYFUNCTION("""COMPUTED_VALUE"""),41069.0)</f>
        <v>41069</v>
      </c>
      <c r="I2479" s="4">
        <f>IFERROR(__xludf.DUMMYFUNCTION("""COMPUTED_VALUE"""),18940.0)</f>
        <v>18940</v>
      </c>
      <c r="J2479" s="4">
        <f>IFERROR(__xludf.DUMMYFUNCTION("""COMPUTED_VALUE"""),7494.0)</f>
        <v>7494</v>
      </c>
      <c r="K2479" s="4">
        <f>IFERROR(__xludf.DUMMYFUNCTION("""COMPUTED_VALUE"""),6135.0)</f>
        <v>6135</v>
      </c>
      <c r="L2479" s="4">
        <f>IFERROR(__xludf.DUMMYFUNCTION("""COMPUTED_VALUE"""),0.473)</f>
        <v>0.473</v>
      </c>
      <c r="M2479" s="4">
        <f>IFERROR(__xludf.DUMMYFUNCTION("""COMPUTED_VALUE"""),0.326)</f>
        <v>0.326</v>
      </c>
      <c r="N2479" s="4">
        <f>IFERROR(__xludf.DUMMYFUNCTION("""COMPUTED_VALUE"""),0.704)</f>
        <v>0.704</v>
      </c>
      <c r="O2479" s="4">
        <f>IFERROR(__xludf.DUMMYFUNCTION("""COMPUTED_VALUE"""),34.9)</f>
        <v>34.9</v>
      </c>
      <c r="P2479" s="4">
        <f>IFERROR(__xludf.DUMMYFUNCTION("""COMPUTED_VALUE"""),16.1)</f>
        <v>16.1</v>
      </c>
      <c r="Q2479" s="4">
        <f>IFERROR(__xludf.DUMMYFUNCTION("""COMPUTED_VALUE"""),6.4)</f>
        <v>6.4</v>
      </c>
      <c r="R2479" s="4">
        <f>IFERROR(__xludf.DUMMYFUNCTION("""COMPUTED_VALUE"""),5.2)</f>
        <v>5.2</v>
      </c>
      <c r="S2479" s="4">
        <f>IFERROR(__xludf.DUMMYFUNCTION("""COMPUTED_VALUE"""),125.1)</f>
        <v>125.1</v>
      </c>
      <c r="T2479" s="4">
        <f>IFERROR(__xludf.DUMMYFUNCTION("""COMPUTED_VALUE"""),0.146)</f>
        <v>0.146</v>
      </c>
      <c r="U2479" s="4">
        <f>IFERROR(__xludf.DUMMYFUNCTION("""COMPUTED_VALUE"""),4.1)</f>
        <v>4.1</v>
      </c>
      <c r="V2479" s="4">
        <f>IFERROR(__xludf.DUMMYFUNCTION("""COMPUTED_VALUE"""),63.2)</f>
        <v>63.2</v>
      </c>
    </row>
    <row r="2480">
      <c r="A2480" s="4">
        <f>IFERROR(__xludf.DUMMYFUNCTION("""COMPUTED_VALUE"""),6.0)</f>
        <v>6</v>
      </c>
      <c r="B2480" s="4">
        <f>IFERROR(__xludf.DUMMYFUNCTION("""COMPUTED_VALUE"""),6.0)</f>
        <v>6</v>
      </c>
      <c r="C2480" s="4" t="str">
        <f>IFERROR(__xludf.DUMMYFUNCTION("""COMPUTED_VALUE"""),"SAC")</f>
        <v>SAC</v>
      </c>
      <c r="D2480" s="4" t="str">
        <f>IFERROR(__xludf.DUMMYFUNCTION("""COMPUTED_VALUE"""),"Kenny Smith")</f>
        <v>Kenny Smith</v>
      </c>
      <c r="E2480" s="4" t="str">
        <f>IFERROR(__xludf.DUMMYFUNCTION("""COMPUTED_VALUE"""),"UNC")</f>
        <v>UNC</v>
      </c>
      <c r="F2480" s="4">
        <f>IFERROR(__xludf.DUMMYFUNCTION("""COMPUTED_VALUE"""),10.0)</f>
        <v>10</v>
      </c>
      <c r="G2480" s="4">
        <f>IFERROR(__xludf.DUMMYFUNCTION("""COMPUTED_VALUE"""),737.0)</f>
        <v>737</v>
      </c>
      <c r="H2480" s="4">
        <f>IFERROR(__xludf.DUMMYFUNCTION("""COMPUTED_VALUE"""),22213.0)</f>
        <v>22213</v>
      </c>
      <c r="I2480" s="4">
        <f>IFERROR(__xludf.DUMMYFUNCTION("""COMPUTED_VALUE"""),9397.0)</f>
        <v>9397</v>
      </c>
      <c r="J2480" s="4">
        <f>IFERROR(__xludf.DUMMYFUNCTION("""COMPUTED_VALUE"""),1454.0)</f>
        <v>1454</v>
      </c>
      <c r="K2480" s="4">
        <f>IFERROR(__xludf.DUMMYFUNCTION("""COMPUTED_VALUE"""),4073.0)</f>
        <v>4073</v>
      </c>
      <c r="L2480" s="4">
        <f>IFERROR(__xludf.DUMMYFUNCTION("""COMPUTED_VALUE"""),0.48)</f>
        <v>0.48</v>
      </c>
      <c r="M2480" s="4">
        <f>IFERROR(__xludf.DUMMYFUNCTION("""COMPUTED_VALUE"""),0.399)</f>
        <v>0.399</v>
      </c>
      <c r="N2480" s="4">
        <f>IFERROR(__xludf.DUMMYFUNCTION("""COMPUTED_VALUE"""),0.829)</f>
        <v>0.829</v>
      </c>
      <c r="O2480" s="4">
        <f>IFERROR(__xludf.DUMMYFUNCTION("""COMPUTED_VALUE"""),30.1)</f>
        <v>30.1</v>
      </c>
      <c r="P2480" s="4">
        <f>IFERROR(__xludf.DUMMYFUNCTION("""COMPUTED_VALUE"""),12.8)</f>
        <v>12.8</v>
      </c>
      <c r="Q2480" s="4">
        <f>IFERROR(__xludf.DUMMYFUNCTION("""COMPUTED_VALUE"""),2.0)</f>
        <v>2</v>
      </c>
      <c r="R2480" s="4">
        <f>IFERROR(__xludf.DUMMYFUNCTION("""COMPUTED_VALUE"""),5.5)</f>
        <v>5.5</v>
      </c>
      <c r="S2480" s="4">
        <f>IFERROR(__xludf.DUMMYFUNCTION("""COMPUTED_VALUE"""),46.8)</f>
        <v>46.8</v>
      </c>
      <c r="T2480" s="4">
        <f>IFERROR(__xludf.DUMMYFUNCTION("""COMPUTED_VALUE"""),0.101)</f>
        <v>0.101</v>
      </c>
      <c r="U2480" s="4">
        <f>IFERROR(__xludf.DUMMYFUNCTION("""COMPUTED_VALUE"""),0.0)</f>
        <v>0</v>
      </c>
      <c r="V2480" s="4">
        <f>IFERROR(__xludf.DUMMYFUNCTION("""COMPUTED_VALUE"""),11.2)</f>
        <v>11.2</v>
      </c>
    </row>
    <row r="2481">
      <c r="A2481" s="4">
        <f>IFERROR(__xludf.DUMMYFUNCTION("""COMPUTED_VALUE"""),7.0)</f>
        <v>7</v>
      </c>
      <c r="B2481" s="4">
        <f>IFERROR(__xludf.DUMMYFUNCTION("""COMPUTED_VALUE"""),7.0)</f>
        <v>7</v>
      </c>
      <c r="C2481" s="4" t="str">
        <f>IFERROR(__xludf.DUMMYFUNCTION("""COMPUTED_VALUE"""),"CLE")</f>
        <v>CLE</v>
      </c>
      <c r="D2481" s="4" t="str">
        <f>IFERROR(__xludf.DUMMYFUNCTION("""COMPUTED_VALUE"""),"Kevin Johnson")</f>
        <v>Kevin Johnson</v>
      </c>
      <c r="E2481" s="4" t="str">
        <f>IFERROR(__xludf.DUMMYFUNCTION("""COMPUTED_VALUE"""),"California")</f>
        <v>California</v>
      </c>
      <c r="F2481" s="4">
        <f>IFERROR(__xludf.DUMMYFUNCTION("""COMPUTED_VALUE"""),12.0)</f>
        <v>12</v>
      </c>
      <c r="G2481" s="4">
        <f>IFERROR(__xludf.DUMMYFUNCTION("""COMPUTED_VALUE"""),735.0)</f>
        <v>735</v>
      </c>
      <c r="H2481" s="4">
        <f>IFERROR(__xludf.DUMMYFUNCTION("""COMPUTED_VALUE"""),25061.0)</f>
        <v>25061</v>
      </c>
      <c r="I2481" s="4">
        <f>IFERROR(__xludf.DUMMYFUNCTION("""COMPUTED_VALUE"""),13127.0)</f>
        <v>13127</v>
      </c>
      <c r="J2481" s="4">
        <f>IFERROR(__xludf.DUMMYFUNCTION("""COMPUTED_VALUE"""),2404.0)</f>
        <v>2404</v>
      </c>
      <c r="K2481" s="4">
        <f>IFERROR(__xludf.DUMMYFUNCTION("""COMPUTED_VALUE"""),6711.0)</f>
        <v>6711</v>
      </c>
      <c r="L2481" s="4">
        <f>IFERROR(__xludf.DUMMYFUNCTION("""COMPUTED_VALUE"""),0.493)</f>
        <v>0.493</v>
      </c>
      <c r="M2481" s="4">
        <f>IFERROR(__xludf.DUMMYFUNCTION("""COMPUTED_VALUE"""),0.305)</f>
        <v>0.305</v>
      </c>
      <c r="N2481" s="4">
        <f>IFERROR(__xludf.DUMMYFUNCTION("""COMPUTED_VALUE"""),0.841)</f>
        <v>0.841</v>
      </c>
      <c r="O2481" s="4">
        <f>IFERROR(__xludf.DUMMYFUNCTION("""COMPUTED_VALUE"""),34.1)</f>
        <v>34.1</v>
      </c>
      <c r="P2481" s="4">
        <f>IFERROR(__xludf.DUMMYFUNCTION("""COMPUTED_VALUE"""),17.9)</f>
        <v>17.9</v>
      </c>
      <c r="Q2481" s="4">
        <f>IFERROR(__xludf.DUMMYFUNCTION("""COMPUTED_VALUE"""),3.3)</f>
        <v>3.3</v>
      </c>
      <c r="R2481" s="4">
        <f>IFERROR(__xludf.DUMMYFUNCTION("""COMPUTED_VALUE"""),9.1)</f>
        <v>9.1</v>
      </c>
      <c r="S2481" s="4">
        <f>IFERROR(__xludf.DUMMYFUNCTION("""COMPUTED_VALUE"""),92.8)</f>
        <v>92.8</v>
      </c>
      <c r="T2481" s="4">
        <f>IFERROR(__xludf.DUMMYFUNCTION("""COMPUTED_VALUE"""),0.178)</f>
        <v>0.178</v>
      </c>
      <c r="U2481" s="4">
        <f>IFERROR(__xludf.DUMMYFUNCTION("""COMPUTED_VALUE"""),3.9)</f>
        <v>3.9</v>
      </c>
      <c r="V2481" s="4">
        <f>IFERROR(__xludf.DUMMYFUNCTION("""COMPUTED_VALUE"""),37.3)</f>
        <v>37.3</v>
      </c>
    </row>
    <row r="2482">
      <c r="A2482" s="4">
        <f>IFERROR(__xludf.DUMMYFUNCTION("""COMPUTED_VALUE"""),8.0)</f>
        <v>8</v>
      </c>
      <c r="B2482" s="4">
        <f>IFERROR(__xludf.DUMMYFUNCTION("""COMPUTED_VALUE"""),8.0)</f>
        <v>8</v>
      </c>
      <c r="C2482" s="4" t="str">
        <f>IFERROR(__xludf.DUMMYFUNCTION("""COMPUTED_VALUE"""),"CHI")</f>
        <v>CHI</v>
      </c>
      <c r="D2482" s="4" t="str">
        <f>IFERROR(__xludf.DUMMYFUNCTION("""COMPUTED_VALUE"""),"Olden Polynice")</f>
        <v>Olden Polynice</v>
      </c>
      <c r="E2482" s="4" t="str">
        <f>IFERROR(__xludf.DUMMYFUNCTION("""COMPUTED_VALUE"""),"Virginia")</f>
        <v>Virginia</v>
      </c>
      <c r="F2482" s="4">
        <f>IFERROR(__xludf.DUMMYFUNCTION("""COMPUTED_VALUE"""),15.0)</f>
        <v>15</v>
      </c>
      <c r="G2482" s="4">
        <f>IFERROR(__xludf.DUMMYFUNCTION("""COMPUTED_VALUE"""),1058.0)</f>
        <v>1058</v>
      </c>
      <c r="H2482" s="4">
        <f>IFERROR(__xludf.DUMMYFUNCTION("""COMPUTED_VALUE"""),24884.0)</f>
        <v>24884</v>
      </c>
      <c r="I2482" s="4">
        <f>IFERROR(__xludf.DUMMYFUNCTION("""COMPUTED_VALUE"""),8265.0)</f>
        <v>8265</v>
      </c>
      <c r="J2482" s="4">
        <f>IFERROR(__xludf.DUMMYFUNCTION("""COMPUTED_VALUE"""),7110.0)</f>
        <v>7110</v>
      </c>
      <c r="K2482" s="4">
        <f>IFERROR(__xludf.DUMMYFUNCTION("""COMPUTED_VALUE"""),744.0)</f>
        <v>744</v>
      </c>
      <c r="L2482" s="4">
        <f>IFERROR(__xludf.DUMMYFUNCTION("""COMPUTED_VALUE"""),0.505)</f>
        <v>0.505</v>
      </c>
      <c r="M2482" s="4">
        <f>IFERROR(__xludf.DUMMYFUNCTION("""COMPUTED_VALUE"""),0.192)</f>
        <v>0.192</v>
      </c>
      <c r="N2482" s="4">
        <f>IFERROR(__xludf.DUMMYFUNCTION("""COMPUTED_VALUE"""),0.535)</f>
        <v>0.535</v>
      </c>
      <c r="O2482" s="4">
        <f>IFERROR(__xludf.DUMMYFUNCTION("""COMPUTED_VALUE"""),23.5)</f>
        <v>23.5</v>
      </c>
      <c r="P2482" s="4">
        <f>IFERROR(__xludf.DUMMYFUNCTION("""COMPUTED_VALUE"""),7.8)</f>
        <v>7.8</v>
      </c>
      <c r="Q2482" s="4">
        <f>IFERROR(__xludf.DUMMYFUNCTION("""COMPUTED_VALUE"""),6.7)</f>
        <v>6.7</v>
      </c>
      <c r="R2482" s="4">
        <f>IFERROR(__xludf.DUMMYFUNCTION("""COMPUTED_VALUE"""),0.7)</f>
        <v>0.7</v>
      </c>
      <c r="S2482" s="4">
        <f>IFERROR(__xludf.DUMMYFUNCTION("""COMPUTED_VALUE"""),46.8)</f>
        <v>46.8</v>
      </c>
      <c r="T2482" s="4">
        <f>IFERROR(__xludf.DUMMYFUNCTION("""COMPUTED_VALUE"""),0.09)</f>
        <v>0.09</v>
      </c>
      <c r="U2482" s="4">
        <f>IFERROR(__xludf.DUMMYFUNCTION("""COMPUTED_VALUE"""),-2.3)</f>
        <v>-2.3</v>
      </c>
      <c r="V2482" s="4">
        <f>IFERROR(__xludf.DUMMYFUNCTION("""COMPUTED_VALUE"""),-1.8)</f>
        <v>-1.8</v>
      </c>
    </row>
    <row r="2483">
      <c r="A2483" s="4">
        <f>IFERROR(__xludf.DUMMYFUNCTION("""COMPUTED_VALUE"""),9.0)</f>
        <v>9</v>
      </c>
      <c r="B2483" s="4">
        <f>IFERROR(__xludf.DUMMYFUNCTION("""COMPUTED_VALUE"""),9.0)</f>
        <v>9</v>
      </c>
      <c r="C2483" s="4" t="str">
        <f>IFERROR(__xludf.DUMMYFUNCTION("""COMPUTED_VALUE"""),"SEA")</f>
        <v>SEA</v>
      </c>
      <c r="D2483" s="4" t="str">
        <f>IFERROR(__xludf.DUMMYFUNCTION("""COMPUTED_VALUE"""),"Derrick McKey")</f>
        <v>Derrick McKey</v>
      </c>
      <c r="E2483" s="4" t="str">
        <f>IFERROR(__xludf.DUMMYFUNCTION("""COMPUTED_VALUE"""),"Alabama")</f>
        <v>Alabama</v>
      </c>
      <c r="F2483" s="4">
        <f>IFERROR(__xludf.DUMMYFUNCTION("""COMPUTED_VALUE"""),15.0)</f>
        <v>15</v>
      </c>
      <c r="G2483" s="4">
        <f>IFERROR(__xludf.DUMMYFUNCTION("""COMPUTED_VALUE"""),937.0)</f>
        <v>937</v>
      </c>
      <c r="H2483" s="4">
        <f>IFERROR(__xludf.DUMMYFUNCTION("""COMPUTED_VALUE"""),27229.0)</f>
        <v>27229</v>
      </c>
      <c r="I2483" s="4">
        <f>IFERROR(__xludf.DUMMYFUNCTION("""COMPUTED_VALUE"""),10266.0)</f>
        <v>10266</v>
      </c>
      <c r="J2483" s="4">
        <f>IFERROR(__xludf.DUMMYFUNCTION("""COMPUTED_VALUE"""),4387.0)</f>
        <v>4387</v>
      </c>
      <c r="K2483" s="4">
        <f>IFERROR(__xludf.DUMMYFUNCTION("""COMPUTED_VALUE"""),2254.0)</f>
        <v>2254</v>
      </c>
      <c r="L2483" s="4">
        <f>IFERROR(__xludf.DUMMYFUNCTION("""COMPUTED_VALUE"""),0.486)</f>
        <v>0.486</v>
      </c>
      <c r="M2483" s="4">
        <f>IFERROR(__xludf.DUMMYFUNCTION("""COMPUTED_VALUE"""),0.316)</f>
        <v>0.316</v>
      </c>
      <c r="N2483" s="4">
        <f>IFERROR(__xludf.DUMMYFUNCTION("""COMPUTED_VALUE"""),0.779)</f>
        <v>0.779</v>
      </c>
      <c r="O2483" s="4">
        <f>IFERROR(__xludf.DUMMYFUNCTION("""COMPUTED_VALUE"""),29.1)</f>
        <v>29.1</v>
      </c>
      <c r="P2483" s="4">
        <f>IFERROR(__xludf.DUMMYFUNCTION("""COMPUTED_VALUE"""),11.0)</f>
        <v>11</v>
      </c>
      <c r="Q2483" s="4">
        <f>IFERROR(__xludf.DUMMYFUNCTION("""COMPUTED_VALUE"""),4.7)</f>
        <v>4.7</v>
      </c>
      <c r="R2483" s="4">
        <f>IFERROR(__xludf.DUMMYFUNCTION("""COMPUTED_VALUE"""),2.4)</f>
        <v>2.4</v>
      </c>
      <c r="S2483" s="4">
        <f>IFERROR(__xludf.DUMMYFUNCTION("""COMPUTED_VALUE"""),61.8)</f>
        <v>61.8</v>
      </c>
      <c r="T2483" s="4">
        <f>IFERROR(__xludf.DUMMYFUNCTION("""COMPUTED_VALUE"""),0.109)</f>
        <v>0.109</v>
      </c>
      <c r="U2483" s="4">
        <f>IFERROR(__xludf.DUMMYFUNCTION("""COMPUTED_VALUE"""),1.0)</f>
        <v>1</v>
      </c>
      <c r="V2483" s="4">
        <f>IFERROR(__xludf.DUMMYFUNCTION("""COMPUTED_VALUE"""),20.4)</f>
        <v>20.4</v>
      </c>
    </row>
    <row r="2484">
      <c r="A2484" s="4">
        <f>IFERROR(__xludf.DUMMYFUNCTION("""COMPUTED_VALUE"""),10.0)</f>
        <v>10</v>
      </c>
      <c r="B2484" s="4">
        <f>IFERROR(__xludf.DUMMYFUNCTION("""COMPUTED_VALUE"""),10.0)</f>
        <v>10</v>
      </c>
      <c r="C2484" s="4" t="str">
        <f>IFERROR(__xludf.DUMMYFUNCTION("""COMPUTED_VALUE"""),"CHI")</f>
        <v>CHI</v>
      </c>
      <c r="D2484" s="4" t="str">
        <f>IFERROR(__xludf.DUMMYFUNCTION("""COMPUTED_VALUE"""),"Horace Grant")</f>
        <v>Horace Grant</v>
      </c>
      <c r="E2484" s="4" t="str">
        <f>IFERROR(__xludf.DUMMYFUNCTION("""COMPUTED_VALUE"""),"Clemson")</f>
        <v>Clemson</v>
      </c>
      <c r="F2484" s="4">
        <f>IFERROR(__xludf.DUMMYFUNCTION("""COMPUTED_VALUE"""),17.0)</f>
        <v>17</v>
      </c>
      <c r="G2484" s="4">
        <f>IFERROR(__xludf.DUMMYFUNCTION("""COMPUTED_VALUE"""),1165.0)</f>
        <v>1165</v>
      </c>
      <c r="H2484" s="4">
        <f>IFERROR(__xludf.DUMMYFUNCTION("""COMPUTED_VALUE"""),38621.0)</f>
        <v>38621</v>
      </c>
      <c r="I2484" s="4">
        <f>IFERROR(__xludf.DUMMYFUNCTION("""COMPUTED_VALUE"""),12996.0)</f>
        <v>12996</v>
      </c>
      <c r="J2484" s="4">
        <f>IFERROR(__xludf.DUMMYFUNCTION("""COMPUTED_VALUE"""),9443.0)</f>
        <v>9443</v>
      </c>
      <c r="K2484" s="4">
        <f>IFERROR(__xludf.DUMMYFUNCTION("""COMPUTED_VALUE"""),2575.0)</f>
        <v>2575</v>
      </c>
      <c r="L2484" s="4">
        <f>IFERROR(__xludf.DUMMYFUNCTION("""COMPUTED_VALUE"""),0.509)</f>
        <v>0.509</v>
      </c>
      <c r="M2484" s="4">
        <f>IFERROR(__xludf.DUMMYFUNCTION("""COMPUTED_VALUE"""),0.063)</f>
        <v>0.063</v>
      </c>
      <c r="N2484" s="4">
        <f>IFERROR(__xludf.DUMMYFUNCTION("""COMPUTED_VALUE"""),0.692)</f>
        <v>0.692</v>
      </c>
      <c r="O2484" s="4">
        <f>IFERROR(__xludf.DUMMYFUNCTION("""COMPUTED_VALUE"""),33.2)</f>
        <v>33.2</v>
      </c>
      <c r="P2484" s="4">
        <f>IFERROR(__xludf.DUMMYFUNCTION("""COMPUTED_VALUE"""),11.2)</f>
        <v>11.2</v>
      </c>
      <c r="Q2484" s="4">
        <f>IFERROR(__xludf.DUMMYFUNCTION("""COMPUTED_VALUE"""),8.1)</f>
        <v>8.1</v>
      </c>
      <c r="R2484" s="4">
        <f>IFERROR(__xludf.DUMMYFUNCTION("""COMPUTED_VALUE"""),2.2)</f>
        <v>2.2</v>
      </c>
      <c r="S2484" s="4">
        <f>IFERROR(__xludf.DUMMYFUNCTION("""COMPUTED_VALUE"""),118.2)</f>
        <v>118.2</v>
      </c>
      <c r="T2484" s="4">
        <f>IFERROR(__xludf.DUMMYFUNCTION("""COMPUTED_VALUE"""),0.147)</f>
        <v>0.147</v>
      </c>
      <c r="U2484" s="4">
        <f>IFERROR(__xludf.DUMMYFUNCTION("""COMPUTED_VALUE"""),1.4)</f>
        <v>1.4</v>
      </c>
      <c r="V2484" s="4">
        <f>IFERROR(__xludf.DUMMYFUNCTION("""COMPUTED_VALUE"""),33.0)</f>
        <v>33</v>
      </c>
    </row>
    <row r="2485">
      <c r="A2485" s="4">
        <f>IFERROR(__xludf.DUMMYFUNCTION("""COMPUTED_VALUE"""),11.0)</f>
        <v>11</v>
      </c>
      <c r="B2485" s="4">
        <f>IFERROR(__xludf.DUMMYFUNCTION("""COMPUTED_VALUE"""),11.0)</f>
        <v>11</v>
      </c>
      <c r="C2485" s="4" t="str">
        <f>IFERROR(__xludf.DUMMYFUNCTION("""COMPUTED_VALUE"""),"IND")</f>
        <v>IND</v>
      </c>
      <c r="D2485" s="4" t="str">
        <f>IFERROR(__xludf.DUMMYFUNCTION("""COMPUTED_VALUE"""),"Reggie Miller")</f>
        <v>Reggie Miller</v>
      </c>
      <c r="E2485" s="4" t="str">
        <f>IFERROR(__xludf.DUMMYFUNCTION("""COMPUTED_VALUE"""),"UCLA")</f>
        <v>UCLA</v>
      </c>
      <c r="F2485" s="4">
        <f>IFERROR(__xludf.DUMMYFUNCTION("""COMPUTED_VALUE"""),18.0)</f>
        <v>18</v>
      </c>
      <c r="G2485" s="4">
        <f>IFERROR(__xludf.DUMMYFUNCTION("""COMPUTED_VALUE"""),1389.0)</f>
        <v>1389</v>
      </c>
      <c r="H2485" s="4">
        <f>IFERROR(__xludf.DUMMYFUNCTION("""COMPUTED_VALUE"""),47619.0)</f>
        <v>47619</v>
      </c>
      <c r="I2485" s="4">
        <f>IFERROR(__xludf.DUMMYFUNCTION("""COMPUTED_VALUE"""),25279.0)</f>
        <v>25279</v>
      </c>
      <c r="J2485" s="4">
        <f>IFERROR(__xludf.DUMMYFUNCTION("""COMPUTED_VALUE"""),4182.0)</f>
        <v>4182</v>
      </c>
      <c r="K2485" s="4">
        <f>IFERROR(__xludf.DUMMYFUNCTION("""COMPUTED_VALUE"""),4141.0)</f>
        <v>4141</v>
      </c>
      <c r="L2485" s="4">
        <f>IFERROR(__xludf.DUMMYFUNCTION("""COMPUTED_VALUE"""),0.471)</f>
        <v>0.471</v>
      </c>
      <c r="M2485" s="4">
        <f>IFERROR(__xludf.DUMMYFUNCTION("""COMPUTED_VALUE"""),0.395)</f>
        <v>0.395</v>
      </c>
      <c r="N2485" s="4">
        <f>IFERROR(__xludf.DUMMYFUNCTION("""COMPUTED_VALUE"""),0.888)</f>
        <v>0.888</v>
      </c>
      <c r="O2485" s="4">
        <f>IFERROR(__xludf.DUMMYFUNCTION("""COMPUTED_VALUE"""),34.3)</f>
        <v>34.3</v>
      </c>
      <c r="P2485" s="4">
        <f>IFERROR(__xludf.DUMMYFUNCTION("""COMPUTED_VALUE"""),18.2)</f>
        <v>18.2</v>
      </c>
      <c r="Q2485" s="4">
        <f>IFERROR(__xludf.DUMMYFUNCTION("""COMPUTED_VALUE"""),3.0)</f>
        <v>3</v>
      </c>
      <c r="R2485" s="4">
        <f>IFERROR(__xludf.DUMMYFUNCTION("""COMPUTED_VALUE"""),3.0)</f>
        <v>3</v>
      </c>
      <c r="S2485" s="4">
        <f>IFERROR(__xludf.DUMMYFUNCTION("""COMPUTED_VALUE"""),174.4)</f>
        <v>174.4</v>
      </c>
      <c r="T2485" s="4">
        <f>IFERROR(__xludf.DUMMYFUNCTION("""COMPUTED_VALUE"""),0.176)</f>
        <v>0.176</v>
      </c>
      <c r="U2485" s="4">
        <f>IFERROR(__xludf.DUMMYFUNCTION("""COMPUTED_VALUE"""),3.5)</f>
        <v>3.5</v>
      </c>
      <c r="V2485" s="4">
        <f>IFERROR(__xludf.DUMMYFUNCTION("""COMPUTED_VALUE"""),66.1)</f>
        <v>66.1</v>
      </c>
    </row>
    <row r="2486">
      <c r="A2486" s="4">
        <f>IFERROR(__xludf.DUMMYFUNCTION("""COMPUTED_VALUE"""),12.0)</f>
        <v>12</v>
      </c>
      <c r="B2486" s="4">
        <f>IFERROR(__xludf.DUMMYFUNCTION("""COMPUTED_VALUE"""),12.0)</f>
        <v>12</v>
      </c>
      <c r="C2486" s="4" t="str">
        <f>IFERROR(__xludf.DUMMYFUNCTION("""COMPUTED_VALUE"""),"WSB")</f>
        <v>WSB</v>
      </c>
      <c r="D2486" s="4" t="str">
        <f>IFERROR(__xludf.DUMMYFUNCTION("""COMPUTED_VALUE"""),"Muggsy Bogues")</f>
        <v>Muggsy Bogues</v>
      </c>
      <c r="E2486" s="4" t="str">
        <f>IFERROR(__xludf.DUMMYFUNCTION("""COMPUTED_VALUE"""),"Wake Forest")</f>
        <v>Wake Forest</v>
      </c>
      <c r="F2486" s="4">
        <f>IFERROR(__xludf.DUMMYFUNCTION("""COMPUTED_VALUE"""),14.0)</f>
        <v>14</v>
      </c>
      <c r="G2486" s="4">
        <f>IFERROR(__xludf.DUMMYFUNCTION("""COMPUTED_VALUE"""),889.0)</f>
        <v>889</v>
      </c>
      <c r="H2486" s="4">
        <f>IFERROR(__xludf.DUMMYFUNCTION("""COMPUTED_VALUE"""),25429.0)</f>
        <v>25429</v>
      </c>
      <c r="I2486" s="4">
        <f>IFERROR(__xludf.DUMMYFUNCTION("""COMPUTED_VALUE"""),6858.0)</f>
        <v>6858</v>
      </c>
      <c r="J2486" s="4">
        <f>IFERROR(__xludf.DUMMYFUNCTION("""COMPUTED_VALUE"""),2318.0)</f>
        <v>2318</v>
      </c>
      <c r="K2486" s="4">
        <f>IFERROR(__xludf.DUMMYFUNCTION("""COMPUTED_VALUE"""),6726.0)</f>
        <v>6726</v>
      </c>
      <c r="L2486" s="4">
        <f>IFERROR(__xludf.DUMMYFUNCTION("""COMPUTED_VALUE"""),0.458)</f>
        <v>0.458</v>
      </c>
      <c r="M2486" s="4">
        <f>IFERROR(__xludf.DUMMYFUNCTION("""COMPUTED_VALUE"""),0.278)</f>
        <v>0.278</v>
      </c>
      <c r="N2486" s="4">
        <f>IFERROR(__xludf.DUMMYFUNCTION("""COMPUTED_VALUE"""),0.827)</f>
        <v>0.827</v>
      </c>
      <c r="O2486" s="4">
        <f>IFERROR(__xludf.DUMMYFUNCTION("""COMPUTED_VALUE"""),28.6)</f>
        <v>28.6</v>
      </c>
      <c r="P2486" s="4">
        <f>IFERROR(__xludf.DUMMYFUNCTION("""COMPUTED_VALUE"""),7.7)</f>
        <v>7.7</v>
      </c>
      <c r="Q2486" s="4">
        <f>IFERROR(__xludf.DUMMYFUNCTION("""COMPUTED_VALUE"""),2.6)</f>
        <v>2.6</v>
      </c>
      <c r="R2486" s="4">
        <f>IFERROR(__xludf.DUMMYFUNCTION("""COMPUTED_VALUE"""),7.6)</f>
        <v>7.6</v>
      </c>
      <c r="S2486" s="4">
        <f>IFERROR(__xludf.DUMMYFUNCTION("""COMPUTED_VALUE"""),54.0)</f>
        <v>54</v>
      </c>
      <c r="T2486" s="4">
        <f>IFERROR(__xludf.DUMMYFUNCTION("""COMPUTED_VALUE"""),0.102)</f>
        <v>0.102</v>
      </c>
      <c r="U2486" s="4">
        <f>IFERROR(__xludf.DUMMYFUNCTION("""COMPUTED_VALUE"""),0.8)</f>
        <v>0.8</v>
      </c>
      <c r="V2486" s="4">
        <f>IFERROR(__xludf.DUMMYFUNCTION("""COMPUTED_VALUE"""),17.9)</f>
        <v>17.9</v>
      </c>
    </row>
    <row r="2487">
      <c r="A2487" s="4">
        <f>IFERROR(__xludf.DUMMYFUNCTION("""COMPUTED_VALUE"""),13.0)</f>
        <v>13</v>
      </c>
      <c r="B2487" s="4">
        <f>IFERROR(__xludf.DUMMYFUNCTION("""COMPUTED_VALUE"""),13.0)</f>
        <v>13</v>
      </c>
      <c r="C2487" s="4" t="str">
        <f>IFERROR(__xludf.DUMMYFUNCTION("""COMPUTED_VALUE"""),"LAC")</f>
        <v>LAC</v>
      </c>
      <c r="D2487" s="4" t="str">
        <f>IFERROR(__xludf.DUMMYFUNCTION("""COMPUTED_VALUE"""),"Joe Wolf")</f>
        <v>Joe Wolf</v>
      </c>
      <c r="E2487" s="4" t="str">
        <f>IFERROR(__xludf.DUMMYFUNCTION("""COMPUTED_VALUE"""),"UNC")</f>
        <v>UNC</v>
      </c>
      <c r="F2487" s="4">
        <f>IFERROR(__xludf.DUMMYFUNCTION("""COMPUTED_VALUE"""),11.0)</f>
        <v>11</v>
      </c>
      <c r="G2487" s="4">
        <f>IFERROR(__xludf.DUMMYFUNCTION("""COMPUTED_VALUE"""),592.0)</f>
        <v>592</v>
      </c>
      <c r="H2487" s="4">
        <f>IFERROR(__xludf.DUMMYFUNCTION("""COMPUTED_VALUE"""),9636.0)</f>
        <v>9636</v>
      </c>
      <c r="I2487" s="4">
        <f>IFERROR(__xludf.DUMMYFUNCTION("""COMPUTED_VALUE"""),2485.0)</f>
        <v>2485</v>
      </c>
      <c r="J2487" s="4">
        <f>IFERROR(__xludf.DUMMYFUNCTION("""COMPUTED_VALUE"""),1933.0)</f>
        <v>1933</v>
      </c>
      <c r="K2487" s="4">
        <f>IFERROR(__xludf.DUMMYFUNCTION("""COMPUTED_VALUE"""),596.0)</f>
        <v>596</v>
      </c>
      <c r="L2487" s="4">
        <f>IFERROR(__xludf.DUMMYFUNCTION("""COMPUTED_VALUE"""),0.423)</f>
        <v>0.423</v>
      </c>
      <c r="M2487" s="4">
        <f>IFERROR(__xludf.DUMMYFUNCTION("""COMPUTED_VALUE"""),0.164)</f>
        <v>0.164</v>
      </c>
      <c r="N2487" s="4">
        <f>IFERROR(__xludf.DUMMYFUNCTION("""COMPUTED_VALUE"""),0.77)</f>
        <v>0.77</v>
      </c>
      <c r="O2487" s="4">
        <f>IFERROR(__xludf.DUMMYFUNCTION("""COMPUTED_VALUE"""),16.3)</f>
        <v>16.3</v>
      </c>
      <c r="P2487" s="4">
        <f>IFERROR(__xludf.DUMMYFUNCTION("""COMPUTED_VALUE"""),4.2)</f>
        <v>4.2</v>
      </c>
      <c r="Q2487" s="4">
        <f>IFERROR(__xludf.DUMMYFUNCTION("""COMPUTED_VALUE"""),3.3)</f>
        <v>3.3</v>
      </c>
      <c r="R2487" s="4">
        <f>IFERROR(__xludf.DUMMYFUNCTION("""COMPUTED_VALUE"""),1.0)</f>
        <v>1</v>
      </c>
      <c r="S2487" s="4">
        <f>IFERROR(__xludf.DUMMYFUNCTION("""COMPUTED_VALUE"""),3.5)</f>
        <v>3.5</v>
      </c>
      <c r="T2487" s="4">
        <f>IFERROR(__xludf.DUMMYFUNCTION("""COMPUTED_VALUE"""),0.017)</f>
        <v>0.017</v>
      </c>
      <c r="U2487" s="4">
        <f>IFERROR(__xludf.DUMMYFUNCTION("""COMPUTED_VALUE"""),-4.8)</f>
        <v>-4.8</v>
      </c>
      <c r="V2487" s="4">
        <f>IFERROR(__xludf.DUMMYFUNCTION("""COMPUTED_VALUE"""),-6.7)</f>
        <v>-6.7</v>
      </c>
    </row>
    <row r="2488">
      <c r="A2488" s="4">
        <f>IFERROR(__xludf.DUMMYFUNCTION("""COMPUTED_VALUE"""),14.0)</f>
        <v>14</v>
      </c>
      <c r="B2488" s="4">
        <f>IFERROR(__xludf.DUMMYFUNCTION("""COMPUTED_VALUE"""),14.0)</f>
        <v>14</v>
      </c>
      <c r="C2488" s="4" t="str">
        <f>IFERROR(__xludf.DUMMYFUNCTION("""COMPUTED_VALUE"""),"GSW")</f>
        <v>GSW</v>
      </c>
      <c r="D2488" s="4" t="str">
        <f>IFERROR(__xludf.DUMMYFUNCTION("""COMPUTED_VALUE"""),"Tellis Frank")</f>
        <v>Tellis Frank</v>
      </c>
      <c r="E2488" s="4" t="str">
        <f>IFERROR(__xludf.DUMMYFUNCTION("""COMPUTED_VALUE"""),"Western Kentucky")</f>
        <v>Western Kentucky</v>
      </c>
      <c r="F2488" s="4">
        <f>IFERROR(__xludf.DUMMYFUNCTION("""COMPUTED_VALUE"""),5.0)</f>
        <v>5</v>
      </c>
      <c r="G2488" s="4">
        <f>IFERROR(__xludf.DUMMYFUNCTION("""COMPUTED_VALUE"""),264.0)</f>
        <v>264</v>
      </c>
      <c r="H2488" s="4">
        <f>IFERROR(__xludf.DUMMYFUNCTION("""COMPUTED_VALUE"""),4703.0)</f>
        <v>4703</v>
      </c>
      <c r="I2488" s="4">
        <f>IFERROR(__xludf.DUMMYFUNCTION("""COMPUTED_VALUE"""),1710.0)</f>
        <v>1710</v>
      </c>
      <c r="J2488" s="4">
        <f>IFERROR(__xludf.DUMMYFUNCTION("""COMPUTED_VALUE"""),1022.0)</f>
        <v>1022</v>
      </c>
      <c r="K2488" s="4">
        <f>IFERROR(__xludf.DUMMYFUNCTION("""COMPUTED_VALUE"""),276.0)</f>
        <v>276</v>
      </c>
      <c r="L2488" s="4">
        <f>IFERROR(__xludf.DUMMYFUNCTION("""COMPUTED_VALUE"""),0.439)</f>
        <v>0.439</v>
      </c>
      <c r="M2488" s="4">
        <f>IFERROR(__xludf.DUMMYFUNCTION("""COMPUTED_VALUE"""),0.0)</f>
        <v>0</v>
      </c>
      <c r="N2488" s="4">
        <f>IFERROR(__xludf.DUMMYFUNCTION("""COMPUTED_VALUE"""),0.741)</f>
        <v>0.741</v>
      </c>
      <c r="O2488" s="4">
        <f>IFERROR(__xludf.DUMMYFUNCTION("""COMPUTED_VALUE"""),17.8)</f>
        <v>17.8</v>
      </c>
      <c r="P2488" s="4">
        <f>IFERROR(__xludf.DUMMYFUNCTION("""COMPUTED_VALUE"""),6.5)</f>
        <v>6.5</v>
      </c>
      <c r="Q2488" s="4">
        <f>IFERROR(__xludf.DUMMYFUNCTION("""COMPUTED_VALUE"""),3.9)</f>
        <v>3.9</v>
      </c>
      <c r="R2488" s="4">
        <f>IFERROR(__xludf.DUMMYFUNCTION("""COMPUTED_VALUE"""),1.0)</f>
        <v>1</v>
      </c>
      <c r="S2488" s="4">
        <f>IFERROR(__xludf.DUMMYFUNCTION("""COMPUTED_VALUE"""),4.0)</f>
        <v>4</v>
      </c>
      <c r="T2488" s="4">
        <f>IFERROR(__xludf.DUMMYFUNCTION("""COMPUTED_VALUE"""),0.041)</f>
        <v>0.041</v>
      </c>
      <c r="U2488" s="4">
        <f>IFERROR(__xludf.DUMMYFUNCTION("""COMPUTED_VALUE"""),-4.1)</f>
        <v>-4.1</v>
      </c>
      <c r="V2488" s="4">
        <f>IFERROR(__xludf.DUMMYFUNCTION("""COMPUTED_VALUE"""),-2.5)</f>
        <v>-2.5</v>
      </c>
    </row>
    <row r="2489">
      <c r="A2489" s="4">
        <f>IFERROR(__xludf.DUMMYFUNCTION("""COMPUTED_VALUE"""),15.0)</f>
        <v>15</v>
      </c>
      <c r="B2489" s="4">
        <f>IFERROR(__xludf.DUMMYFUNCTION("""COMPUTED_VALUE"""),15.0)</f>
        <v>15</v>
      </c>
      <c r="C2489" s="4" t="str">
        <f>IFERROR(__xludf.DUMMYFUNCTION("""COMPUTED_VALUE"""),"UTA")</f>
        <v>UTA</v>
      </c>
      <c r="D2489" s="4" t="str">
        <f>IFERROR(__xludf.DUMMYFUNCTION("""COMPUTED_VALUE"""),"José Ortiz")</f>
        <v>José Ortiz</v>
      </c>
      <c r="E2489" s="4" t="str">
        <f>IFERROR(__xludf.DUMMYFUNCTION("""COMPUTED_VALUE"""),"Oregon State")</f>
        <v>Oregon State</v>
      </c>
      <c r="F2489" s="4">
        <f>IFERROR(__xludf.DUMMYFUNCTION("""COMPUTED_VALUE"""),2.0)</f>
        <v>2</v>
      </c>
      <c r="G2489" s="4">
        <f>IFERROR(__xludf.DUMMYFUNCTION("""COMPUTED_VALUE"""),64.0)</f>
        <v>64</v>
      </c>
      <c r="H2489" s="4">
        <f>IFERROR(__xludf.DUMMYFUNCTION("""COMPUTED_VALUE"""),391.0)</f>
        <v>391</v>
      </c>
      <c r="I2489" s="4">
        <f>IFERROR(__xludf.DUMMYFUNCTION("""COMPUTED_VALUE"""),183.0)</f>
        <v>183</v>
      </c>
      <c r="J2489" s="4">
        <f>IFERROR(__xludf.DUMMYFUNCTION("""COMPUTED_VALUE"""),73.0)</f>
        <v>73</v>
      </c>
      <c r="K2489" s="4">
        <f>IFERROR(__xludf.DUMMYFUNCTION("""COMPUTED_VALUE"""),18.0)</f>
        <v>18</v>
      </c>
      <c r="L2489" s="4">
        <f>IFERROR(__xludf.DUMMYFUNCTION("""COMPUTED_VALUE"""),0.443)</f>
        <v>0.443</v>
      </c>
      <c r="M2489" s="4">
        <f>IFERROR(__xludf.DUMMYFUNCTION("""COMPUTED_VALUE"""),0.333)</f>
        <v>0.333</v>
      </c>
      <c r="N2489" s="4">
        <f>IFERROR(__xludf.DUMMYFUNCTION("""COMPUTED_VALUE"""),0.596)</f>
        <v>0.596</v>
      </c>
      <c r="O2489" s="4">
        <f>IFERROR(__xludf.DUMMYFUNCTION("""COMPUTED_VALUE"""),6.1)</f>
        <v>6.1</v>
      </c>
      <c r="P2489" s="4">
        <f>IFERROR(__xludf.DUMMYFUNCTION("""COMPUTED_VALUE"""),2.9)</f>
        <v>2.9</v>
      </c>
      <c r="Q2489" s="4">
        <f>IFERROR(__xludf.DUMMYFUNCTION("""COMPUTED_VALUE"""),1.1)</f>
        <v>1.1</v>
      </c>
      <c r="R2489" s="4">
        <f>IFERROR(__xludf.DUMMYFUNCTION("""COMPUTED_VALUE"""),0.3)</f>
        <v>0.3</v>
      </c>
      <c r="S2489" s="4">
        <f>IFERROR(__xludf.DUMMYFUNCTION("""COMPUTED_VALUE"""),0.0)</f>
        <v>0</v>
      </c>
      <c r="T2489" s="4">
        <f>IFERROR(__xludf.DUMMYFUNCTION("""COMPUTED_VALUE"""),0.002)</f>
        <v>0.002</v>
      </c>
      <c r="U2489" s="4">
        <f>IFERROR(__xludf.DUMMYFUNCTION("""COMPUTED_VALUE"""),-6.4)</f>
        <v>-6.4</v>
      </c>
      <c r="V2489" s="4">
        <f>IFERROR(__xludf.DUMMYFUNCTION("""COMPUTED_VALUE"""),-0.4)</f>
        <v>-0.4</v>
      </c>
    </row>
    <row r="2490">
      <c r="A2490" s="4">
        <f>IFERROR(__xludf.DUMMYFUNCTION("""COMPUTED_VALUE"""),16.0)</f>
        <v>16</v>
      </c>
      <c r="B2490" s="4">
        <f>IFERROR(__xludf.DUMMYFUNCTION("""COMPUTED_VALUE"""),16.0)</f>
        <v>16</v>
      </c>
      <c r="C2490" s="4" t="str">
        <f>IFERROR(__xludf.DUMMYFUNCTION("""COMPUTED_VALUE"""),"PHI")</f>
        <v>PHI</v>
      </c>
      <c r="D2490" s="4" t="str">
        <f>IFERROR(__xludf.DUMMYFUNCTION("""COMPUTED_VALUE"""),"Chris Welp")</f>
        <v>Chris Welp</v>
      </c>
      <c r="E2490" s="4" t="str">
        <f>IFERROR(__xludf.DUMMYFUNCTION("""COMPUTED_VALUE"""),"Washington")</f>
        <v>Washington</v>
      </c>
      <c r="F2490" s="4">
        <f>IFERROR(__xludf.DUMMYFUNCTION("""COMPUTED_VALUE"""),3.0)</f>
        <v>3</v>
      </c>
      <c r="G2490" s="4">
        <f>IFERROR(__xludf.DUMMYFUNCTION("""COMPUTED_VALUE"""),109.0)</f>
        <v>109</v>
      </c>
      <c r="H2490" s="4">
        <f>IFERROR(__xludf.DUMMYFUNCTION("""COMPUTED_VALUE"""),1173.0)</f>
        <v>1173</v>
      </c>
      <c r="I2490" s="4">
        <f>IFERROR(__xludf.DUMMYFUNCTION("""COMPUTED_VALUE"""),359.0)</f>
        <v>359</v>
      </c>
      <c r="J2490" s="4">
        <f>IFERROR(__xludf.DUMMYFUNCTION("""COMPUTED_VALUE"""),265.0)</f>
        <v>265</v>
      </c>
      <c r="K2490" s="4">
        <f>IFERROR(__xludf.DUMMYFUNCTION("""COMPUTED_VALUE"""),43.0)</f>
        <v>43</v>
      </c>
      <c r="L2490" s="4">
        <f>IFERROR(__xludf.DUMMYFUNCTION("""COMPUTED_VALUE"""),0.446)</f>
        <v>0.446</v>
      </c>
      <c r="M2490" s="4">
        <f>IFERROR(__xludf.DUMMYFUNCTION("""COMPUTED_VALUE"""),0.0)</f>
        <v>0</v>
      </c>
      <c r="N2490" s="4">
        <f>IFERROR(__xludf.DUMMYFUNCTION("""COMPUTED_VALUE"""),0.681)</f>
        <v>0.681</v>
      </c>
      <c r="O2490" s="4">
        <f>IFERROR(__xludf.DUMMYFUNCTION("""COMPUTED_VALUE"""),10.8)</f>
        <v>10.8</v>
      </c>
      <c r="P2490" s="4">
        <f>IFERROR(__xludf.DUMMYFUNCTION("""COMPUTED_VALUE"""),3.3)</f>
        <v>3.3</v>
      </c>
      <c r="Q2490" s="4">
        <f>IFERROR(__xludf.DUMMYFUNCTION("""COMPUTED_VALUE"""),2.4)</f>
        <v>2.4</v>
      </c>
      <c r="R2490" s="4">
        <f>IFERROR(__xludf.DUMMYFUNCTION("""COMPUTED_VALUE"""),0.4)</f>
        <v>0.4</v>
      </c>
      <c r="S2490" s="4">
        <f>IFERROR(__xludf.DUMMYFUNCTION("""COMPUTED_VALUE"""),1.0)</f>
        <v>1</v>
      </c>
      <c r="T2490" s="4">
        <f>IFERROR(__xludf.DUMMYFUNCTION("""COMPUTED_VALUE"""),0.042)</f>
        <v>0.042</v>
      </c>
      <c r="U2490" s="4">
        <f>IFERROR(__xludf.DUMMYFUNCTION("""COMPUTED_VALUE"""),-5.0)</f>
        <v>-5</v>
      </c>
      <c r="V2490" s="4">
        <f>IFERROR(__xludf.DUMMYFUNCTION("""COMPUTED_VALUE"""),-0.9)</f>
        <v>-0.9</v>
      </c>
    </row>
    <row r="2491">
      <c r="A2491" s="4">
        <f>IFERROR(__xludf.DUMMYFUNCTION("""COMPUTED_VALUE"""),17.0)</f>
        <v>17</v>
      </c>
      <c r="B2491" s="4">
        <f>IFERROR(__xludf.DUMMYFUNCTION("""COMPUTED_VALUE"""),17.0)</f>
        <v>17</v>
      </c>
      <c r="C2491" s="4" t="str">
        <f>IFERROR(__xludf.DUMMYFUNCTION("""COMPUTED_VALUE"""),"POR")</f>
        <v>POR</v>
      </c>
      <c r="D2491" s="4" t="str">
        <f>IFERROR(__xludf.DUMMYFUNCTION("""COMPUTED_VALUE"""),"Ronnie Murphy")</f>
        <v>Ronnie Murphy</v>
      </c>
      <c r="E2491" s="4" t="str">
        <f>IFERROR(__xludf.DUMMYFUNCTION("""COMPUTED_VALUE"""),"Jacksonville University")</f>
        <v>Jacksonville University</v>
      </c>
      <c r="F2491" s="4">
        <f>IFERROR(__xludf.DUMMYFUNCTION("""COMPUTED_VALUE"""),1.0)</f>
        <v>1</v>
      </c>
      <c r="G2491" s="4">
        <f>IFERROR(__xludf.DUMMYFUNCTION("""COMPUTED_VALUE"""),18.0)</f>
        <v>18</v>
      </c>
      <c r="H2491" s="4">
        <f>IFERROR(__xludf.DUMMYFUNCTION("""COMPUTED_VALUE"""),89.0)</f>
        <v>89</v>
      </c>
      <c r="I2491" s="4">
        <f>IFERROR(__xludf.DUMMYFUNCTION("""COMPUTED_VALUE"""),36.0)</f>
        <v>36</v>
      </c>
      <c r="J2491" s="4">
        <f>IFERROR(__xludf.DUMMYFUNCTION("""COMPUTED_VALUE"""),11.0)</f>
        <v>11</v>
      </c>
      <c r="K2491" s="4">
        <f>IFERROR(__xludf.DUMMYFUNCTION("""COMPUTED_VALUE"""),6.0)</f>
        <v>6</v>
      </c>
      <c r="L2491" s="4">
        <f>IFERROR(__xludf.DUMMYFUNCTION("""COMPUTED_VALUE"""),0.286)</f>
        <v>0.286</v>
      </c>
      <c r="M2491" s="4">
        <f>IFERROR(__xludf.DUMMYFUNCTION("""COMPUTED_VALUE"""),0.25)</f>
        <v>0.25</v>
      </c>
      <c r="N2491" s="4">
        <f>IFERROR(__xludf.DUMMYFUNCTION("""COMPUTED_VALUE"""),0.636)</f>
        <v>0.636</v>
      </c>
      <c r="O2491" s="4">
        <f>IFERROR(__xludf.DUMMYFUNCTION("""COMPUTED_VALUE"""),4.9)</f>
        <v>4.9</v>
      </c>
      <c r="P2491" s="4">
        <f>IFERROR(__xludf.DUMMYFUNCTION("""COMPUTED_VALUE"""),2.0)</f>
        <v>2</v>
      </c>
      <c r="Q2491" s="4">
        <f>IFERROR(__xludf.DUMMYFUNCTION("""COMPUTED_VALUE"""),0.6)</f>
        <v>0.6</v>
      </c>
      <c r="R2491" s="4">
        <f>IFERROR(__xludf.DUMMYFUNCTION("""COMPUTED_VALUE"""),0.3)</f>
        <v>0.3</v>
      </c>
      <c r="S2491" s="4">
        <f>IFERROR(__xludf.DUMMYFUNCTION("""COMPUTED_VALUE"""),-0.2)</f>
        <v>-0.2</v>
      </c>
      <c r="T2491" s="4">
        <f>IFERROR(__xludf.DUMMYFUNCTION("""COMPUTED_VALUE"""),-0.13)</f>
        <v>-0.13</v>
      </c>
      <c r="U2491" s="4">
        <f>IFERROR(__xludf.DUMMYFUNCTION("""COMPUTED_VALUE"""),-11.5)</f>
        <v>-11.5</v>
      </c>
      <c r="V2491" s="4">
        <f>IFERROR(__xludf.DUMMYFUNCTION("""COMPUTED_VALUE"""),-0.2)</f>
        <v>-0.2</v>
      </c>
    </row>
    <row r="2492">
      <c r="A2492" s="4">
        <f>IFERROR(__xludf.DUMMYFUNCTION("""COMPUTED_VALUE"""),18.0)</f>
        <v>18</v>
      </c>
      <c r="B2492" s="4">
        <f>IFERROR(__xludf.DUMMYFUNCTION("""COMPUTED_VALUE"""),18.0)</f>
        <v>18</v>
      </c>
      <c r="C2492" s="4" t="str">
        <f>IFERROR(__xludf.DUMMYFUNCTION("""COMPUTED_VALUE"""),"NYK")</f>
        <v>NYK</v>
      </c>
      <c r="D2492" s="4" t="str">
        <f>IFERROR(__xludf.DUMMYFUNCTION("""COMPUTED_VALUE"""),"Mark Jackson")</f>
        <v>Mark Jackson</v>
      </c>
      <c r="E2492" s="4" t="str">
        <f>IFERROR(__xludf.DUMMYFUNCTION("""COMPUTED_VALUE"""),"St. John's")</f>
        <v>St. John's</v>
      </c>
      <c r="F2492" s="4">
        <f>IFERROR(__xludf.DUMMYFUNCTION("""COMPUTED_VALUE"""),17.0)</f>
        <v>17</v>
      </c>
      <c r="G2492" s="4">
        <f>IFERROR(__xludf.DUMMYFUNCTION("""COMPUTED_VALUE"""),1296.0)</f>
        <v>1296</v>
      </c>
      <c r="H2492" s="4">
        <f>IFERROR(__xludf.DUMMYFUNCTION("""COMPUTED_VALUE"""),39121.0)</f>
        <v>39121</v>
      </c>
      <c r="I2492" s="4">
        <f>IFERROR(__xludf.DUMMYFUNCTION("""COMPUTED_VALUE"""),12489.0)</f>
        <v>12489</v>
      </c>
      <c r="J2492" s="4">
        <f>IFERROR(__xludf.DUMMYFUNCTION("""COMPUTED_VALUE"""),4963.0)</f>
        <v>4963</v>
      </c>
      <c r="K2492" s="4">
        <f>IFERROR(__xludf.DUMMYFUNCTION("""COMPUTED_VALUE"""),10334.0)</f>
        <v>10334</v>
      </c>
      <c r="L2492" s="4">
        <f>IFERROR(__xludf.DUMMYFUNCTION("""COMPUTED_VALUE"""),0.447)</f>
        <v>0.447</v>
      </c>
      <c r="M2492" s="4">
        <f>IFERROR(__xludf.DUMMYFUNCTION("""COMPUTED_VALUE"""),0.332)</f>
        <v>0.332</v>
      </c>
      <c r="N2492" s="4">
        <f>IFERROR(__xludf.DUMMYFUNCTION("""COMPUTED_VALUE"""),0.77)</f>
        <v>0.77</v>
      </c>
      <c r="O2492" s="4">
        <f>IFERROR(__xludf.DUMMYFUNCTION("""COMPUTED_VALUE"""),30.2)</f>
        <v>30.2</v>
      </c>
      <c r="P2492" s="4">
        <f>IFERROR(__xludf.DUMMYFUNCTION("""COMPUTED_VALUE"""),9.6)</f>
        <v>9.6</v>
      </c>
      <c r="Q2492" s="4">
        <f>IFERROR(__xludf.DUMMYFUNCTION("""COMPUTED_VALUE"""),3.8)</f>
        <v>3.8</v>
      </c>
      <c r="R2492" s="4">
        <f>IFERROR(__xludf.DUMMYFUNCTION("""COMPUTED_VALUE"""),8.0)</f>
        <v>8</v>
      </c>
      <c r="S2492" s="4">
        <f>IFERROR(__xludf.DUMMYFUNCTION("""COMPUTED_VALUE"""),91.8)</f>
        <v>91.8</v>
      </c>
      <c r="T2492" s="4">
        <f>IFERROR(__xludf.DUMMYFUNCTION("""COMPUTED_VALUE"""),0.113)</f>
        <v>0.113</v>
      </c>
      <c r="U2492" s="4">
        <f>IFERROR(__xludf.DUMMYFUNCTION("""COMPUTED_VALUE"""),1.8)</f>
        <v>1.8</v>
      </c>
      <c r="V2492" s="4">
        <f>IFERROR(__xludf.DUMMYFUNCTION("""COMPUTED_VALUE"""),37.5)</f>
        <v>37.5</v>
      </c>
    </row>
    <row r="2493">
      <c r="A2493" s="4">
        <f>IFERROR(__xludf.DUMMYFUNCTION("""COMPUTED_VALUE"""),19.0)</f>
        <v>19</v>
      </c>
      <c r="B2493" s="4">
        <f>IFERROR(__xludf.DUMMYFUNCTION("""COMPUTED_VALUE"""),19.0)</f>
        <v>19</v>
      </c>
      <c r="C2493" s="4" t="str">
        <f>IFERROR(__xludf.DUMMYFUNCTION("""COMPUTED_VALUE"""),"LAC")</f>
        <v>LAC</v>
      </c>
      <c r="D2493" s="4" t="str">
        <f>IFERROR(__xludf.DUMMYFUNCTION("""COMPUTED_VALUE"""),"Ken Norman")</f>
        <v>Ken Norman</v>
      </c>
      <c r="E2493" s="4" t="str">
        <f>IFERROR(__xludf.DUMMYFUNCTION("""COMPUTED_VALUE"""),"Illinois")</f>
        <v>Illinois</v>
      </c>
      <c r="F2493" s="4">
        <f>IFERROR(__xludf.DUMMYFUNCTION("""COMPUTED_VALUE"""),10.0)</f>
        <v>10</v>
      </c>
      <c r="G2493" s="4">
        <f>IFERROR(__xludf.DUMMYFUNCTION("""COMPUTED_VALUE"""),646.0)</f>
        <v>646</v>
      </c>
      <c r="H2493" s="4">
        <f>IFERROR(__xludf.DUMMYFUNCTION("""COMPUTED_VALUE"""),18992.0)</f>
        <v>18992</v>
      </c>
      <c r="I2493" s="4">
        <f>IFERROR(__xludf.DUMMYFUNCTION("""COMPUTED_VALUE"""),8717.0)</f>
        <v>8717</v>
      </c>
      <c r="J2493" s="4">
        <f>IFERROR(__xludf.DUMMYFUNCTION("""COMPUTED_VALUE"""),3949.0)</f>
        <v>3949</v>
      </c>
      <c r="K2493" s="4">
        <f>IFERROR(__xludf.DUMMYFUNCTION("""COMPUTED_VALUE"""),1355.0)</f>
        <v>1355</v>
      </c>
      <c r="L2493" s="4">
        <f>IFERROR(__xludf.DUMMYFUNCTION("""COMPUTED_VALUE"""),0.486)</f>
        <v>0.486</v>
      </c>
      <c r="M2493" s="4">
        <f>IFERROR(__xludf.DUMMYFUNCTION("""COMPUTED_VALUE"""),0.312)</f>
        <v>0.312</v>
      </c>
      <c r="N2493" s="4">
        <f>IFERROR(__xludf.DUMMYFUNCTION("""COMPUTED_VALUE"""),0.567)</f>
        <v>0.567</v>
      </c>
      <c r="O2493" s="4">
        <f>IFERROR(__xludf.DUMMYFUNCTION("""COMPUTED_VALUE"""),29.4)</f>
        <v>29.4</v>
      </c>
      <c r="P2493" s="4">
        <f>IFERROR(__xludf.DUMMYFUNCTION("""COMPUTED_VALUE"""),13.5)</f>
        <v>13.5</v>
      </c>
      <c r="Q2493" s="4">
        <f>IFERROR(__xludf.DUMMYFUNCTION("""COMPUTED_VALUE"""),6.1)</f>
        <v>6.1</v>
      </c>
      <c r="R2493" s="4">
        <f>IFERROR(__xludf.DUMMYFUNCTION("""COMPUTED_VALUE"""),2.1)</f>
        <v>2.1</v>
      </c>
      <c r="S2493" s="4">
        <f>IFERROR(__xludf.DUMMYFUNCTION("""COMPUTED_VALUE"""),27.1)</f>
        <v>27.1</v>
      </c>
      <c r="T2493" s="4">
        <f>IFERROR(__xludf.DUMMYFUNCTION("""COMPUTED_VALUE"""),0.069)</f>
        <v>0.069</v>
      </c>
      <c r="U2493" s="4">
        <f>IFERROR(__xludf.DUMMYFUNCTION("""COMPUTED_VALUE"""),-1.0)</f>
        <v>-1</v>
      </c>
      <c r="V2493" s="4">
        <f>IFERROR(__xludf.DUMMYFUNCTION("""COMPUTED_VALUE"""),4.9)</f>
        <v>4.9</v>
      </c>
    </row>
    <row r="2494">
      <c r="A2494" s="4">
        <f>IFERROR(__xludf.DUMMYFUNCTION("""COMPUTED_VALUE"""),20.0)</f>
        <v>20</v>
      </c>
      <c r="B2494" s="4">
        <f>IFERROR(__xludf.DUMMYFUNCTION("""COMPUTED_VALUE"""),20.0)</f>
        <v>20</v>
      </c>
      <c r="C2494" s="4" t="str">
        <f>IFERROR(__xludf.DUMMYFUNCTION("""COMPUTED_VALUE"""),"DAL")</f>
        <v>DAL</v>
      </c>
      <c r="D2494" s="4" t="str">
        <f>IFERROR(__xludf.DUMMYFUNCTION("""COMPUTED_VALUE"""),"Jim Farmer")</f>
        <v>Jim Farmer</v>
      </c>
      <c r="E2494" s="4" t="str">
        <f>IFERROR(__xludf.DUMMYFUNCTION("""COMPUTED_VALUE"""),"Alabama")</f>
        <v>Alabama</v>
      </c>
      <c r="F2494" s="4">
        <f>IFERROR(__xludf.DUMMYFUNCTION("""COMPUTED_VALUE"""),5.0)</f>
        <v>5</v>
      </c>
      <c r="G2494" s="4">
        <f>IFERROR(__xludf.DUMMYFUNCTION("""COMPUTED_VALUE"""),136.0)</f>
        <v>136</v>
      </c>
      <c r="H2494" s="4">
        <f>IFERROR(__xludf.DUMMYFUNCTION("""COMPUTED_VALUE"""),1454.0)</f>
        <v>1454</v>
      </c>
      <c r="I2494" s="4">
        <f>IFERROR(__xludf.DUMMYFUNCTION("""COMPUTED_VALUE"""),715.0)</f>
        <v>715</v>
      </c>
      <c r="J2494" s="4">
        <f>IFERROR(__xludf.DUMMYFUNCTION("""COMPUTED_VALUE"""),186.0)</f>
        <v>186</v>
      </c>
      <c r="K2494" s="4">
        <f>IFERROR(__xludf.DUMMYFUNCTION("""COMPUTED_VALUE"""),111.0)</f>
        <v>111</v>
      </c>
      <c r="L2494" s="4">
        <f>IFERROR(__xludf.DUMMYFUNCTION("""COMPUTED_VALUE"""),0.428)</f>
        <v>0.428</v>
      </c>
      <c r="M2494" s="4">
        <f>IFERROR(__xludf.DUMMYFUNCTION("""COMPUTED_VALUE"""),0.282)</f>
        <v>0.282</v>
      </c>
      <c r="N2494" s="4">
        <f>IFERROR(__xludf.DUMMYFUNCTION("""COMPUTED_VALUE"""),0.73)</f>
        <v>0.73</v>
      </c>
      <c r="O2494" s="4">
        <f>IFERROR(__xludf.DUMMYFUNCTION("""COMPUTED_VALUE"""),10.7)</f>
        <v>10.7</v>
      </c>
      <c r="P2494" s="4">
        <f>IFERROR(__xludf.DUMMYFUNCTION("""COMPUTED_VALUE"""),5.3)</f>
        <v>5.3</v>
      </c>
      <c r="Q2494" s="4">
        <f>IFERROR(__xludf.DUMMYFUNCTION("""COMPUTED_VALUE"""),1.4)</f>
        <v>1.4</v>
      </c>
      <c r="R2494" s="4">
        <f>IFERROR(__xludf.DUMMYFUNCTION("""COMPUTED_VALUE"""),0.8)</f>
        <v>0.8</v>
      </c>
      <c r="S2494" s="4">
        <f>IFERROR(__xludf.DUMMYFUNCTION("""COMPUTED_VALUE"""),0.7)</f>
        <v>0.7</v>
      </c>
      <c r="T2494" s="4">
        <f>IFERROR(__xludf.DUMMYFUNCTION("""COMPUTED_VALUE"""),0.024)</f>
        <v>0.024</v>
      </c>
      <c r="U2494" s="4">
        <f>IFERROR(__xludf.DUMMYFUNCTION("""COMPUTED_VALUE"""),-4.3)</f>
        <v>-4.3</v>
      </c>
      <c r="V2494" s="4">
        <f>IFERROR(__xludf.DUMMYFUNCTION("""COMPUTED_VALUE"""),-0.8)</f>
        <v>-0.8</v>
      </c>
    </row>
    <row r="2495">
      <c r="A2495" s="4">
        <f>IFERROR(__xludf.DUMMYFUNCTION("""COMPUTED_VALUE"""),21.0)</f>
        <v>21</v>
      </c>
      <c r="B2495" s="4">
        <f>IFERROR(__xludf.DUMMYFUNCTION("""COMPUTED_VALUE"""),21.0)</f>
        <v>21</v>
      </c>
      <c r="C2495" s="4" t="str">
        <f>IFERROR(__xludf.DUMMYFUNCTION("""COMPUTED_VALUE"""),"ATL")</f>
        <v>ATL</v>
      </c>
      <c r="D2495" s="4" t="str">
        <f>IFERROR(__xludf.DUMMYFUNCTION("""COMPUTED_VALUE"""),"Dallas Comegys")</f>
        <v>Dallas Comegys</v>
      </c>
      <c r="E2495" s="4" t="str">
        <f>IFERROR(__xludf.DUMMYFUNCTION("""COMPUTED_VALUE"""),"DePaul")</f>
        <v>DePaul</v>
      </c>
      <c r="F2495" s="4">
        <f>IFERROR(__xludf.DUMMYFUNCTION("""COMPUTED_VALUE"""),2.0)</f>
        <v>2</v>
      </c>
      <c r="G2495" s="4">
        <f>IFERROR(__xludf.DUMMYFUNCTION("""COMPUTED_VALUE"""),142.0)</f>
        <v>142</v>
      </c>
      <c r="H2495" s="4">
        <f>IFERROR(__xludf.DUMMYFUNCTION("""COMPUTED_VALUE"""),2241.0)</f>
        <v>2241</v>
      </c>
      <c r="I2495" s="4">
        <f>IFERROR(__xludf.DUMMYFUNCTION("""COMPUTED_VALUE"""),856.0)</f>
        <v>856</v>
      </c>
      <c r="J2495" s="4">
        <f>IFERROR(__xludf.DUMMYFUNCTION("""COMPUTED_VALUE"""),452.0)</f>
        <v>452</v>
      </c>
      <c r="K2495" s="4">
        <f>IFERROR(__xludf.DUMMYFUNCTION("""COMPUTED_VALUE"""),95.0)</f>
        <v>95</v>
      </c>
      <c r="L2495" s="4">
        <f>IFERROR(__xludf.DUMMYFUNCTION("""COMPUTED_VALUE"""),0.457)</f>
        <v>0.457</v>
      </c>
      <c r="M2495" s="4">
        <f>IFERROR(__xludf.DUMMYFUNCTION("""COMPUTED_VALUE"""),0.0)</f>
        <v>0</v>
      </c>
      <c r="N2495" s="4">
        <f>IFERROR(__xludf.DUMMYFUNCTION("""COMPUTED_VALUE"""),0.682)</f>
        <v>0.682</v>
      </c>
      <c r="O2495" s="4">
        <f>IFERROR(__xludf.DUMMYFUNCTION("""COMPUTED_VALUE"""),15.8)</f>
        <v>15.8</v>
      </c>
      <c r="P2495" s="4">
        <f>IFERROR(__xludf.DUMMYFUNCTION("""COMPUTED_VALUE"""),6.0)</f>
        <v>6</v>
      </c>
      <c r="Q2495" s="4">
        <f>IFERROR(__xludf.DUMMYFUNCTION("""COMPUTED_VALUE"""),3.2)</f>
        <v>3.2</v>
      </c>
      <c r="R2495" s="4">
        <f>IFERROR(__xludf.DUMMYFUNCTION("""COMPUTED_VALUE"""),0.7)</f>
        <v>0.7</v>
      </c>
      <c r="S2495" s="4">
        <f>IFERROR(__xludf.DUMMYFUNCTION("""COMPUTED_VALUE"""),1.1)</f>
        <v>1.1</v>
      </c>
      <c r="T2495" s="4">
        <f>IFERROR(__xludf.DUMMYFUNCTION("""COMPUTED_VALUE"""),0.024)</f>
        <v>0.024</v>
      </c>
      <c r="U2495" s="4">
        <f>IFERROR(__xludf.DUMMYFUNCTION("""COMPUTED_VALUE"""),-3.6)</f>
        <v>-3.6</v>
      </c>
      <c r="V2495" s="4">
        <f>IFERROR(__xludf.DUMMYFUNCTION("""COMPUTED_VALUE"""),-0.9)</f>
        <v>-0.9</v>
      </c>
    </row>
    <row r="2496">
      <c r="A2496" s="4">
        <f>IFERROR(__xludf.DUMMYFUNCTION("""COMPUTED_VALUE"""),22.0)</f>
        <v>22</v>
      </c>
      <c r="B2496" s="4">
        <f>IFERROR(__xludf.DUMMYFUNCTION("""COMPUTED_VALUE"""),22.0)</f>
        <v>22</v>
      </c>
      <c r="C2496" s="4" t="str">
        <f>IFERROR(__xludf.DUMMYFUNCTION("""COMPUTED_VALUE"""),"BOS")</f>
        <v>BOS</v>
      </c>
      <c r="D2496" s="4" t="str">
        <f>IFERROR(__xludf.DUMMYFUNCTION("""COMPUTED_VALUE"""),"Reggie Lewis")</f>
        <v>Reggie Lewis</v>
      </c>
      <c r="E2496" s="4" t="str">
        <f>IFERROR(__xludf.DUMMYFUNCTION("""COMPUTED_VALUE"""),"Northeastern University")</f>
        <v>Northeastern University</v>
      </c>
      <c r="F2496" s="4">
        <f>IFERROR(__xludf.DUMMYFUNCTION("""COMPUTED_VALUE"""),6.0)</f>
        <v>6</v>
      </c>
      <c r="G2496" s="4">
        <f>IFERROR(__xludf.DUMMYFUNCTION("""COMPUTED_VALUE"""),450.0)</f>
        <v>450</v>
      </c>
      <c r="H2496" s="4">
        <f>IFERROR(__xludf.DUMMYFUNCTION("""COMPUTED_VALUE"""),14676.0)</f>
        <v>14676</v>
      </c>
      <c r="I2496" s="4">
        <f>IFERROR(__xludf.DUMMYFUNCTION("""COMPUTED_VALUE"""),7902.0)</f>
        <v>7902</v>
      </c>
      <c r="J2496" s="4">
        <f>IFERROR(__xludf.DUMMYFUNCTION("""COMPUTED_VALUE"""),1938.0)</f>
        <v>1938</v>
      </c>
      <c r="K2496" s="4">
        <f>IFERROR(__xludf.DUMMYFUNCTION("""COMPUTED_VALUE"""),1153.0)</f>
        <v>1153</v>
      </c>
      <c r="L2496" s="4">
        <f>IFERROR(__xludf.DUMMYFUNCTION("""COMPUTED_VALUE"""),0.488)</f>
        <v>0.488</v>
      </c>
      <c r="M2496" s="4">
        <f>IFERROR(__xludf.DUMMYFUNCTION("""COMPUTED_VALUE"""),0.2)</f>
        <v>0.2</v>
      </c>
      <c r="N2496" s="4">
        <f>IFERROR(__xludf.DUMMYFUNCTION("""COMPUTED_VALUE"""),0.824)</f>
        <v>0.824</v>
      </c>
      <c r="O2496" s="4">
        <f>IFERROR(__xludf.DUMMYFUNCTION("""COMPUTED_VALUE"""),32.6)</f>
        <v>32.6</v>
      </c>
      <c r="P2496" s="4">
        <f>IFERROR(__xludf.DUMMYFUNCTION("""COMPUTED_VALUE"""),17.6)</f>
        <v>17.6</v>
      </c>
      <c r="Q2496" s="4">
        <f>IFERROR(__xludf.DUMMYFUNCTION("""COMPUTED_VALUE"""),4.3)</f>
        <v>4.3</v>
      </c>
      <c r="R2496" s="4">
        <f>IFERROR(__xludf.DUMMYFUNCTION("""COMPUTED_VALUE"""),2.6)</f>
        <v>2.6</v>
      </c>
      <c r="S2496" s="4">
        <f>IFERROR(__xludf.DUMMYFUNCTION("""COMPUTED_VALUE"""),38.9)</f>
        <v>38.9</v>
      </c>
      <c r="T2496" s="4">
        <f>IFERROR(__xludf.DUMMYFUNCTION("""COMPUTED_VALUE"""),0.127)</f>
        <v>0.127</v>
      </c>
      <c r="U2496" s="4">
        <f>IFERROR(__xludf.DUMMYFUNCTION("""COMPUTED_VALUE"""),1.4)</f>
        <v>1.4</v>
      </c>
      <c r="V2496" s="4">
        <f>IFERROR(__xludf.DUMMYFUNCTION("""COMPUTED_VALUE"""),12.4)</f>
        <v>12.4</v>
      </c>
    </row>
    <row r="2497">
      <c r="A2497" s="4">
        <f>IFERROR(__xludf.DUMMYFUNCTION("""COMPUTED_VALUE"""),23.0)</f>
        <v>23</v>
      </c>
      <c r="B2497" s="4">
        <f>IFERROR(__xludf.DUMMYFUNCTION("""COMPUTED_VALUE"""),23.0)</f>
        <v>23</v>
      </c>
      <c r="C2497" s="4" t="str">
        <f>IFERROR(__xludf.DUMMYFUNCTION("""COMPUTED_VALUE"""),"SAS")</f>
        <v>SAS</v>
      </c>
      <c r="D2497" s="4" t="str">
        <f>IFERROR(__xludf.DUMMYFUNCTION("""COMPUTED_VALUE"""),"Greg Anderson")</f>
        <v>Greg Anderson</v>
      </c>
      <c r="E2497" s="4" t="str">
        <f>IFERROR(__xludf.DUMMYFUNCTION("""COMPUTED_VALUE"""),"Houston")</f>
        <v>Houston</v>
      </c>
      <c r="F2497" s="4">
        <f>IFERROR(__xludf.DUMMYFUNCTION("""COMPUTED_VALUE"""),10.0)</f>
        <v>10</v>
      </c>
      <c r="G2497" s="4">
        <f>IFERROR(__xludf.DUMMYFUNCTION("""COMPUTED_VALUE"""),680.0)</f>
        <v>680</v>
      </c>
      <c r="H2497" s="4">
        <f>IFERROR(__xludf.DUMMYFUNCTION("""COMPUTED_VALUE"""),14040.0)</f>
        <v>14040</v>
      </c>
      <c r="I2497" s="4">
        <f>IFERROR(__xludf.DUMMYFUNCTION("""COMPUTED_VALUE"""),4953.0)</f>
        <v>4953</v>
      </c>
      <c r="J2497" s="4">
        <f>IFERROR(__xludf.DUMMYFUNCTION("""COMPUTED_VALUE"""),4246.0)</f>
        <v>4246</v>
      </c>
      <c r="K2497" s="4">
        <f>IFERROR(__xludf.DUMMYFUNCTION("""COMPUTED_VALUE"""),385.0)</f>
        <v>385</v>
      </c>
      <c r="L2497" s="4">
        <f>IFERROR(__xludf.DUMMYFUNCTION("""COMPUTED_VALUE"""),0.492)</f>
        <v>0.492</v>
      </c>
      <c r="M2497" s="4">
        <f>IFERROR(__xludf.DUMMYFUNCTION("""COMPUTED_VALUE"""),0.087)</f>
        <v>0.087</v>
      </c>
      <c r="N2497" s="4">
        <f>IFERROR(__xludf.DUMMYFUNCTION("""COMPUTED_VALUE"""),0.557)</f>
        <v>0.557</v>
      </c>
      <c r="O2497" s="4">
        <f>IFERROR(__xludf.DUMMYFUNCTION("""COMPUTED_VALUE"""),20.6)</f>
        <v>20.6</v>
      </c>
      <c r="P2497" s="4">
        <f>IFERROR(__xludf.DUMMYFUNCTION("""COMPUTED_VALUE"""),7.3)</f>
        <v>7.3</v>
      </c>
      <c r="Q2497" s="4">
        <f>IFERROR(__xludf.DUMMYFUNCTION("""COMPUTED_VALUE"""),6.2)</f>
        <v>6.2</v>
      </c>
      <c r="R2497" s="4">
        <f>IFERROR(__xludf.DUMMYFUNCTION("""COMPUTED_VALUE"""),0.6)</f>
        <v>0.6</v>
      </c>
      <c r="S2497" s="4">
        <f>IFERROR(__xludf.DUMMYFUNCTION("""COMPUTED_VALUE"""),18.7)</f>
        <v>18.7</v>
      </c>
      <c r="T2497" s="4">
        <f>IFERROR(__xludf.DUMMYFUNCTION("""COMPUTED_VALUE"""),0.064)</f>
        <v>0.064</v>
      </c>
      <c r="U2497" s="4">
        <f>IFERROR(__xludf.DUMMYFUNCTION("""COMPUTED_VALUE"""),-3.0)</f>
        <v>-3</v>
      </c>
      <c r="V2497" s="4">
        <f>IFERROR(__xludf.DUMMYFUNCTION("""COMPUTED_VALUE"""),-3.7)</f>
        <v>-3.7</v>
      </c>
    </row>
    <row r="2498">
      <c r="A2498" s="4"/>
      <c r="B2498" s="4"/>
      <c r="C2498" s="4"/>
      <c r="D2498" s="4" t="str">
        <f>IFERROR(__xludf.DUMMYFUNCTION("""COMPUTED_VALUE"""),"Round 2")</f>
        <v>Round 2</v>
      </c>
      <c r="E2498" s="4"/>
      <c r="F2498" s="4"/>
      <c r="G2498" s="4" t="str">
        <f>IFERROR(__xludf.DUMMYFUNCTION("""COMPUTED_VALUE"""),"Totals")</f>
        <v>Totals</v>
      </c>
      <c r="H2498" s="4"/>
      <c r="I2498" s="4"/>
      <c r="J2498" s="4"/>
      <c r="K2498" s="4"/>
      <c r="L2498" s="4" t="str">
        <f>IFERROR(__xludf.DUMMYFUNCTION("""COMPUTED_VALUE"""),"Shooting")</f>
        <v>Shooting</v>
      </c>
      <c r="M2498" s="4"/>
      <c r="N2498" s="4"/>
      <c r="O2498" s="4" t="str">
        <f>IFERROR(__xludf.DUMMYFUNCTION("""COMPUTED_VALUE"""),"Per Game")</f>
        <v>Per Game</v>
      </c>
      <c r="P2498" s="4"/>
      <c r="Q2498" s="4"/>
      <c r="R2498" s="4"/>
      <c r="S2498" s="4" t="str">
        <f>IFERROR(__xludf.DUMMYFUNCTION("""COMPUTED_VALUE"""),"Advanced")</f>
        <v>Advanced</v>
      </c>
      <c r="T2498" s="4"/>
      <c r="U2498" s="4"/>
      <c r="V2498" s="4"/>
    </row>
    <row r="2499">
      <c r="A2499" s="4" t="str">
        <f>IFERROR(__xludf.DUMMYFUNCTION("""COMPUTED_VALUE"""),"Rk")</f>
        <v>Rk</v>
      </c>
      <c r="B2499" s="4" t="str">
        <f>IFERROR(__xludf.DUMMYFUNCTION("""COMPUTED_VALUE"""),"Pk")</f>
        <v>Pk</v>
      </c>
      <c r="C2499" s="4" t="str">
        <f>IFERROR(__xludf.DUMMYFUNCTION("""COMPUTED_VALUE"""),"Tm")</f>
        <v>Tm</v>
      </c>
      <c r="D2499" s="4" t="str">
        <f>IFERROR(__xludf.DUMMYFUNCTION("""COMPUTED_VALUE"""),"Player")</f>
        <v>Player</v>
      </c>
      <c r="E2499" s="4" t="str">
        <f>IFERROR(__xludf.DUMMYFUNCTION("""COMPUTED_VALUE"""),"College")</f>
        <v>College</v>
      </c>
      <c r="F2499" s="4" t="str">
        <f>IFERROR(__xludf.DUMMYFUNCTION("""COMPUTED_VALUE"""),"Yrs")</f>
        <v>Yrs</v>
      </c>
      <c r="G2499" s="4" t="str">
        <f>IFERROR(__xludf.DUMMYFUNCTION("""COMPUTED_VALUE"""),"G")</f>
        <v>G</v>
      </c>
      <c r="H2499" s="4" t="str">
        <f>IFERROR(__xludf.DUMMYFUNCTION("""COMPUTED_VALUE"""),"MP")</f>
        <v>MP</v>
      </c>
      <c r="I2499" s="4" t="str">
        <f>IFERROR(__xludf.DUMMYFUNCTION("""COMPUTED_VALUE"""),"PTS")</f>
        <v>PTS</v>
      </c>
      <c r="J2499" s="4" t="str">
        <f>IFERROR(__xludf.DUMMYFUNCTION("""COMPUTED_VALUE"""),"TRB")</f>
        <v>TRB</v>
      </c>
      <c r="K2499" s="4" t="str">
        <f>IFERROR(__xludf.DUMMYFUNCTION("""COMPUTED_VALUE"""),"AST")</f>
        <v>AST</v>
      </c>
      <c r="L2499" s="4" t="str">
        <f>IFERROR(__xludf.DUMMYFUNCTION("""COMPUTED_VALUE"""),"FG%")</f>
        <v>FG%</v>
      </c>
      <c r="M2499" s="4" t="str">
        <f>IFERROR(__xludf.DUMMYFUNCTION("""COMPUTED_VALUE"""),"3P%")</f>
        <v>3P%</v>
      </c>
      <c r="N2499" s="4" t="str">
        <f>IFERROR(__xludf.DUMMYFUNCTION("""COMPUTED_VALUE"""),"FT%")</f>
        <v>FT%</v>
      </c>
      <c r="O2499" s="4" t="str">
        <f>IFERROR(__xludf.DUMMYFUNCTION("""COMPUTED_VALUE"""),"MP")</f>
        <v>MP</v>
      </c>
      <c r="P2499" s="4" t="str">
        <f>IFERROR(__xludf.DUMMYFUNCTION("""COMPUTED_VALUE"""),"PTS")</f>
        <v>PTS</v>
      </c>
      <c r="Q2499" s="4" t="str">
        <f>IFERROR(__xludf.DUMMYFUNCTION("""COMPUTED_VALUE"""),"TRB")</f>
        <v>TRB</v>
      </c>
      <c r="R2499" s="4" t="str">
        <f>IFERROR(__xludf.DUMMYFUNCTION("""COMPUTED_VALUE"""),"AST")</f>
        <v>AST</v>
      </c>
      <c r="S2499" s="4" t="str">
        <f>IFERROR(__xludf.DUMMYFUNCTION("""COMPUTED_VALUE"""),"WS")</f>
        <v>WS</v>
      </c>
      <c r="T2499" s="4" t="str">
        <f>IFERROR(__xludf.DUMMYFUNCTION("""COMPUTED_VALUE"""),"WS/48")</f>
        <v>WS/48</v>
      </c>
      <c r="U2499" s="4" t="str">
        <f>IFERROR(__xludf.DUMMYFUNCTION("""COMPUTED_VALUE"""),"BPM")</f>
        <v>BPM</v>
      </c>
      <c r="V2499" s="4" t="str">
        <f>IFERROR(__xludf.DUMMYFUNCTION("""COMPUTED_VALUE"""),"VORP")</f>
        <v>VORP</v>
      </c>
    </row>
    <row r="2500">
      <c r="A2500" s="4">
        <f>IFERROR(__xludf.DUMMYFUNCTION("""COMPUTED_VALUE"""),24.0)</f>
        <v>24</v>
      </c>
      <c r="B2500" s="4">
        <f>IFERROR(__xludf.DUMMYFUNCTION("""COMPUTED_VALUE"""),24.0)</f>
        <v>24</v>
      </c>
      <c r="C2500" s="4" t="str">
        <f>IFERROR(__xludf.DUMMYFUNCTION("""COMPUTED_VALUE"""),"DET")</f>
        <v>DET</v>
      </c>
      <c r="D2500" s="4" t="str">
        <f>IFERROR(__xludf.DUMMYFUNCTION("""COMPUTED_VALUE"""),"Freddie Banks")</f>
        <v>Freddie Banks</v>
      </c>
      <c r="E2500" s="4" t="str">
        <f>IFERROR(__xludf.DUMMYFUNCTION("""COMPUTED_VALUE"""),"UNLV")</f>
        <v>UNLV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</row>
    <row r="2501">
      <c r="A2501" s="4">
        <f>IFERROR(__xludf.DUMMYFUNCTION("""COMPUTED_VALUE"""),25.0)</f>
        <v>25</v>
      </c>
      <c r="B2501" s="4">
        <f>IFERROR(__xludf.DUMMYFUNCTION("""COMPUTED_VALUE"""),25.0)</f>
        <v>25</v>
      </c>
      <c r="C2501" s="4" t="str">
        <f>IFERROR(__xludf.DUMMYFUNCTION("""COMPUTED_VALUE"""),"NYK")</f>
        <v>NYK</v>
      </c>
      <c r="D2501" s="4" t="str">
        <f>IFERROR(__xludf.DUMMYFUNCTION("""COMPUTED_VALUE"""),"Ron Moore")</f>
        <v>Ron Moore</v>
      </c>
      <c r="E2501" s="4" t="str">
        <f>IFERROR(__xludf.DUMMYFUNCTION("""COMPUTED_VALUE"""),"West Virginia State University")</f>
        <v>West Virginia State University</v>
      </c>
      <c r="F2501" s="4">
        <f>IFERROR(__xludf.DUMMYFUNCTION("""COMPUTED_VALUE"""),1.0)</f>
        <v>1</v>
      </c>
      <c r="G2501" s="4">
        <f>IFERROR(__xludf.DUMMYFUNCTION("""COMPUTED_VALUE"""),14.0)</f>
        <v>14</v>
      </c>
      <c r="H2501" s="4">
        <f>IFERROR(__xludf.DUMMYFUNCTION("""COMPUTED_VALUE"""),59.0)</f>
        <v>59</v>
      </c>
      <c r="I2501" s="4">
        <f>IFERROR(__xludf.DUMMYFUNCTION("""COMPUTED_VALUE"""),24.0)</f>
        <v>24</v>
      </c>
      <c r="J2501" s="4">
        <f>IFERROR(__xludf.DUMMYFUNCTION("""COMPUTED_VALUE"""),8.0)</f>
        <v>8</v>
      </c>
      <c r="K2501" s="4">
        <f>IFERROR(__xludf.DUMMYFUNCTION("""COMPUTED_VALUE"""),1.0)</f>
        <v>1</v>
      </c>
      <c r="L2501" s="4">
        <f>IFERROR(__xludf.DUMMYFUNCTION("""COMPUTED_VALUE"""),0.31)</f>
        <v>0.31</v>
      </c>
      <c r="M2501" s="4"/>
      <c r="N2501" s="4">
        <f>IFERROR(__xludf.DUMMYFUNCTION("""COMPUTED_VALUE"""),0.75)</f>
        <v>0.75</v>
      </c>
      <c r="O2501" s="4">
        <f>IFERROR(__xludf.DUMMYFUNCTION("""COMPUTED_VALUE"""),4.2)</f>
        <v>4.2</v>
      </c>
      <c r="P2501" s="4">
        <f>IFERROR(__xludf.DUMMYFUNCTION("""COMPUTED_VALUE"""),1.7)</f>
        <v>1.7</v>
      </c>
      <c r="Q2501" s="4">
        <f>IFERROR(__xludf.DUMMYFUNCTION("""COMPUTED_VALUE"""),0.6)</f>
        <v>0.6</v>
      </c>
      <c r="R2501" s="4">
        <f>IFERROR(__xludf.DUMMYFUNCTION("""COMPUTED_VALUE"""),0.1)</f>
        <v>0.1</v>
      </c>
      <c r="S2501" s="4">
        <f>IFERROR(__xludf.DUMMYFUNCTION("""COMPUTED_VALUE"""),-0.1)</f>
        <v>-0.1</v>
      </c>
      <c r="T2501" s="4">
        <f>IFERROR(__xludf.DUMMYFUNCTION("""COMPUTED_VALUE"""),-0.074)</f>
        <v>-0.074</v>
      </c>
      <c r="U2501" s="4">
        <f>IFERROR(__xludf.DUMMYFUNCTION("""COMPUTED_VALUE"""),-12.5)</f>
        <v>-12.5</v>
      </c>
      <c r="V2501" s="4">
        <f>IFERROR(__xludf.DUMMYFUNCTION("""COMPUTED_VALUE"""),-0.2)</f>
        <v>-0.2</v>
      </c>
    </row>
    <row r="2502">
      <c r="A2502" s="4">
        <f>IFERROR(__xludf.DUMMYFUNCTION("""COMPUTED_VALUE"""),26.0)</f>
        <v>26</v>
      </c>
      <c r="B2502" s="4">
        <f>IFERROR(__xludf.DUMMYFUNCTION("""COMPUTED_VALUE"""),26.0)</f>
        <v>26</v>
      </c>
      <c r="C2502" s="4" t="str">
        <f>IFERROR(__xludf.DUMMYFUNCTION("""COMPUTED_VALUE"""),"DAL")</f>
        <v>DAL</v>
      </c>
      <c r="D2502" s="4" t="str">
        <f>IFERROR(__xludf.DUMMYFUNCTION("""COMPUTED_VALUE"""),"Steve Alford")</f>
        <v>Steve Alford</v>
      </c>
      <c r="E2502" s="4" t="str">
        <f>IFERROR(__xludf.DUMMYFUNCTION("""COMPUTED_VALUE"""),"Indiana")</f>
        <v>Indiana</v>
      </c>
      <c r="F2502" s="4">
        <f>IFERROR(__xludf.DUMMYFUNCTION("""COMPUTED_VALUE"""),4.0)</f>
        <v>4</v>
      </c>
      <c r="G2502" s="4">
        <f>IFERROR(__xludf.DUMMYFUNCTION("""COMPUTED_VALUE"""),169.0)</f>
        <v>169</v>
      </c>
      <c r="H2502" s="4">
        <f>IFERROR(__xludf.DUMMYFUNCTION("""COMPUTED_VALUE"""),1641.0)</f>
        <v>1641</v>
      </c>
      <c r="I2502" s="4">
        <f>IFERROR(__xludf.DUMMYFUNCTION("""COMPUTED_VALUE"""),744.0)</f>
        <v>744</v>
      </c>
      <c r="J2502" s="4">
        <f>IFERROR(__xludf.DUMMYFUNCTION("""COMPUTED_VALUE"""),144.0)</f>
        <v>144</v>
      </c>
      <c r="K2502" s="4">
        <f>IFERROR(__xludf.DUMMYFUNCTION("""COMPUTED_VALUE"""),176.0)</f>
        <v>176</v>
      </c>
      <c r="L2502" s="4">
        <f>IFERROR(__xludf.DUMMYFUNCTION("""COMPUTED_VALUE"""),0.459)</f>
        <v>0.459</v>
      </c>
      <c r="M2502" s="4">
        <f>IFERROR(__xludf.DUMMYFUNCTION("""COMPUTED_VALUE"""),0.324)</f>
        <v>0.324</v>
      </c>
      <c r="N2502" s="4">
        <f>IFERROR(__xludf.DUMMYFUNCTION("""COMPUTED_VALUE"""),0.87)</f>
        <v>0.87</v>
      </c>
      <c r="O2502" s="4">
        <f>IFERROR(__xludf.DUMMYFUNCTION("""COMPUTED_VALUE"""),9.7)</f>
        <v>9.7</v>
      </c>
      <c r="P2502" s="4">
        <f>IFERROR(__xludf.DUMMYFUNCTION("""COMPUTED_VALUE"""),4.4)</f>
        <v>4.4</v>
      </c>
      <c r="Q2502" s="4">
        <f>IFERROR(__xludf.DUMMYFUNCTION("""COMPUTED_VALUE"""),0.9)</f>
        <v>0.9</v>
      </c>
      <c r="R2502" s="4">
        <f>IFERROR(__xludf.DUMMYFUNCTION("""COMPUTED_VALUE"""),1.0)</f>
        <v>1</v>
      </c>
      <c r="S2502" s="4">
        <f>IFERROR(__xludf.DUMMYFUNCTION("""COMPUTED_VALUE"""),3.2)</f>
        <v>3.2</v>
      </c>
      <c r="T2502" s="4">
        <f>IFERROR(__xludf.DUMMYFUNCTION("""COMPUTED_VALUE"""),0.093)</f>
        <v>0.093</v>
      </c>
      <c r="U2502" s="4">
        <f>IFERROR(__xludf.DUMMYFUNCTION("""COMPUTED_VALUE"""),-0.9)</f>
        <v>-0.9</v>
      </c>
      <c r="V2502" s="4">
        <f>IFERROR(__xludf.DUMMYFUNCTION("""COMPUTED_VALUE"""),0.5)</f>
        <v>0.5</v>
      </c>
    </row>
    <row r="2503">
      <c r="A2503" s="4">
        <f>IFERROR(__xludf.DUMMYFUNCTION("""COMPUTED_VALUE"""),27.0)</f>
        <v>27</v>
      </c>
      <c r="B2503" s="4">
        <f>IFERROR(__xludf.DUMMYFUNCTION("""COMPUTED_VALUE"""),27.0)</f>
        <v>27</v>
      </c>
      <c r="C2503" s="4" t="str">
        <f>IFERROR(__xludf.DUMMYFUNCTION("""COMPUTED_VALUE"""),"SAS")</f>
        <v>SAS</v>
      </c>
      <c r="D2503" s="4" t="str">
        <f>IFERROR(__xludf.DUMMYFUNCTION("""COMPUTED_VALUE"""),"Nate Blackwell")</f>
        <v>Nate Blackwell</v>
      </c>
      <c r="E2503" s="4" t="str">
        <f>IFERROR(__xludf.DUMMYFUNCTION("""COMPUTED_VALUE"""),"Temple")</f>
        <v>Temple</v>
      </c>
      <c r="F2503" s="4">
        <f>IFERROR(__xludf.DUMMYFUNCTION("""COMPUTED_VALUE"""),1.0)</f>
        <v>1</v>
      </c>
      <c r="G2503" s="4">
        <f>IFERROR(__xludf.DUMMYFUNCTION("""COMPUTED_VALUE"""),10.0)</f>
        <v>10</v>
      </c>
      <c r="H2503" s="4">
        <f>IFERROR(__xludf.DUMMYFUNCTION("""COMPUTED_VALUE"""),112.0)</f>
        <v>112</v>
      </c>
      <c r="I2503" s="4">
        <f>IFERROR(__xludf.DUMMYFUNCTION("""COMPUTED_VALUE"""),37.0)</f>
        <v>37</v>
      </c>
      <c r="J2503" s="4">
        <f>IFERROR(__xludf.DUMMYFUNCTION("""COMPUTED_VALUE"""),6.0)</f>
        <v>6</v>
      </c>
      <c r="K2503" s="4">
        <f>IFERROR(__xludf.DUMMYFUNCTION("""COMPUTED_VALUE"""),18.0)</f>
        <v>18</v>
      </c>
      <c r="L2503" s="4">
        <f>IFERROR(__xludf.DUMMYFUNCTION("""COMPUTED_VALUE"""),0.366)</f>
        <v>0.366</v>
      </c>
      <c r="M2503" s="4">
        <f>IFERROR(__xludf.DUMMYFUNCTION("""COMPUTED_VALUE"""),0.182)</f>
        <v>0.182</v>
      </c>
      <c r="N2503" s="4">
        <f>IFERROR(__xludf.DUMMYFUNCTION("""COMPUTED_VALUE"""),0.833)</f>
        <v>0.833</v>
      </c>
      <c r="O2503" s="4">
        <f>IFERROR(__xludf.DUMMYFUNCTION("""COMPUTED_VALUE"""),11.2)</f>
        <v>11.2</v>
      </c>
      <c r="P2503" s="4">
        <f>IFERROR(__xludf.DUMMYFUNCTION("""COMPUTED_VALUE"""),3.7)</f>
        <v>3.7</v>
      </c>
      <c r="Q2503" s="4">
        <f>IFERROR(__xludf.DUMMYFUNCTION("""COMPUTED_VALUE"""),0.6)</f>
        <v>0.6</v>
      </c>
      <c r="R2503" s="4">
        <f>IFERROR(__xludf.DUMMYFUNCTION("""COMPUTED_VALUE"""),1.8)</f>
        <v>1.8</v>
      </c>
      <c r="S2503" s="4">
        <f>IFERROR(__xludf.DUMMYFUNCTION("""COMPUTED_VALUE"""),-0.1)</f>
        <v>-0.1</v>
      </c>
      <c r="T2503" s="4">
        <f>IFERROR(__xludf.DUMMYFUNCTION("""COMPUTED_VALUE"""),-0.045)</f>
        <v>-0.045</v>
      </c>
      <c r="U2503" s="4">
        <f>IFERROR(__xludf.DUMMYFUNCTION("""COMPUTED_VALUE"""),-7.2)</f>
        <v>-7.2</v>
      </c>
      <c r="V2503" s="4">
        <f>IFERROR(__xludf.DUMMYFUNCTION("""COMPUTED_VALUE"""),-0.1)</f>
        <v>-0.1</v>
      </c>
    </row>
    <row r="2504">
      <c r="A2504" s="4">
        <f>IFERROR(__xludf.DUMMYFUNCTION("""COMPUTED_VALUE"""),28.0)</f>
        <v>28</v>
      </c>
      <c r="B2504" s="4">
        <f>IFERROR(__xludf.DUMMYFUNCTION("""COMPUTED_VALUE"""),28.0)</f>
        <v>28</v>
      </c>
      <c r="C2504" s="4" t="str">
        <f>IFERROR(__xludf.DUMMYFUNCTION("""COMPUTED_VALUE"""),"CHI")</f>
        <v>CHI</v>
      </c>
      <c r="D2504" s="4" t="str">
        <f>IFERROR(__xludf.DUMMYFUNCTION("""COMPUTED_VALUE"""),"Rickie Winslow")</f>
        <v>Rickie Winslow</v>
      </c>
      <c r="E2504" s="4" t="str">
        <f>IFERROR(__xludf.DUMMYFUNCTION("""COMPUTED_VALUE"""),"Houston")</f>
        <v>Houston</v>
      </c>
      <c r="F2504" s="4">
        <f>IFERROR(__xludf.DUMMYFUNCTION("""COMPUTED_VALUE"""),1.0)</f>
        <v>1</v>
      </c>
      <c r="G2504" s="4">
        <f>IFERROR(__xludf.DUMMYFUNCTION("""COMPUTED_VALUE"""),7.0)</f>
        <v>7</v>
      </c>
      <c r="H2504" s="4">
        <f>IFERROR(__xludf.DUMMYFUNCTION("""COMPUTED_VALUE"""),45.0)</f>
        <v>45</v>
      </c>
      <c r="I2504" s="4">
        <f>IFERROR(__xludf.DUMMYFUNCTION("""COMPUTED_VALUE"""),7.0)</f>
        <v>7</v>
      </c>
      <c r="J2504" s="4">
        <f>IFERROR(__xludf.DUMMYFUNCTION("""COMPUTED_VALUE"""),7.0)</f>
        <v>7</v>
      </c>
      <c r="K2504" s="4">
        <f>IFERROR(__xludf.DUMMYFUNCTION("""COMPUTED_VALUE"""),2.0)</f>
        <v>2</v>
      </c>
      <c r="L2504" s="4">
        <f>IFERROR(__xludf.DUMMYFUNCTION("""COMPUTED_VALUE"""),0.231)</f>
        <v>0.231</v>
      </c>
      <c r="M2504" s="4">
        <f>IFERROR(__xludf.DUMMYFUNCTION("""COMPUTED_VALUE"""),0.0)</f>
        <v>0</v>
      </c>
      <c r="N2504" s="4">
        <f>IFERROR(__xludf.DUMMYFUNCTION("""COMPUTED_VALUE"""),0.5)</f>
        <v>0.5</v>
      </c>
      <c r="O2504" s="4">
        <f>IFERROR(__xludf.DUMMYFUNCTION("""COMPUTED_VALUE"""),6.4)</f>
        <v>6.4</v>
      </c>
      <c r="P2504" s="4">
        <f>IFERROR(__xludf.DUMMYFUNCTION("""COMPUTED_VALUE"""),1.0)</f>
        <v>1</v>
      </c>
      <c r="Q2504" s="4">
        <f>IFERROR(__xludf.DUMMYFUNCTION("""COMPUTED_VALUE"""),1.0)</f>
        <v>1</v>
      </c>
      <c r="R2504" s="4">
        <f>IFERROR(__xludf.DUMMYFUNCTION("""COMPUTED_VALUE"""),0.3)</f>
        <v>0.3</v>
      </c>
      <c r="S2504" s="4">
        <f>IFERROR(__xludf.DUMMYFUNCTION("""COMPUTED_VALUE"""),-0.2)</f>
        <v>-0.2</v>
      </c>
      <c r="T2504" s="4">
        <f>IFERROR(__xludf.DUMMYFUNCTION("""COMPUTED_VALUE"""),-0.165)</f>
        <v>-0.165</v>
      </c>
      <c r="U2504" s="4">
        <f>IFERROR(__xludf.DUMMYFUNCTION("""COMPUTED_VALUE"""),-14.8)</f>
        <v>-14.8</v>
      </c>
      <c r="V2504" s="4">
        <f>IFERROR(__xludf.DUMMYFUNCTION("""COMPUTED_VALUE"""),-0.1)</f>
        <v>-0.1</v>
      </c>
    </row>
    <row r="2505">
      <c r="A2505" s="4">
        <f>IFERROR(__xludf.DUMMYFUNCTION("""COMPUTED_VALUE"""),29.0)</f>
        <v>29</v>
      </c>
      <c r="B2505" s="4">
        <f>IFERROR(__xludf.DUMMYFUNCTION("""COMPUTED_VALUE"""),29.0)</f>
        <v>29</v>
      </c>
      <c r="C2505" s="4" t="str">
        <f>IFERROR(__xludf.DUMMYFUNCTION("""COMPUTED_VALUE"""),"POR")</f>
        <v>POR</v>
      </c>
      <c r="D2505" s="4" t="str">
        <f>IFERROR(__xludf.DUMMYFUNCTION("""COMPUTED_VALUE"""),"Lester Fonville")</f>
        <v>Lester Fonville</v>
      </c>
      <c r="E2505" s="4" t="str">
        <f>IFERROR(__xludf.DUMMYFUNCTION("""COMPUTED_VALUE"""),"Jackson State University")</f>
        <v>Jackson State University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</row>
    <row r="2506">
      <c r="A2506" s="4">
        <f>IFERROR(__xludf.DUMMYFUNCTION("""COMPUTED_VALUE"""),30.0)</f>
        <v>30</v>
      </c>
      <c r="B2506" s="4">
        <f>IFERROR(__xludf.DUMMYFUNCTION("""COMPUTED_VALUE"""),30.0)</f>
        <v>30</v>
      </c>
      <c r="C2506" s="4" t="str">
        <f>IFERROR(__xludf.DUMMYFUNCTION("""COMPUTED_VALUE"""),"POR")</f>
        <v>POR</v>
      </c>
      <c r="D2506" s="4" t="str">
        <f>IFERROR(__xludf.DUMMYFUNCTION("""COMPUTED_VALUE"""),"Nikita Wilson")</f>
        <v>Nikita Wilson</v>
      </c>
      <c r="E2506" s="4" t="str">
        <f>IFERROR(__xludf.DUMMYFUNCTION("""COMPUTED_VALUE"""),"LSU")</f>
        <v>LSU</v>
      </c>
      <c r="F2506" s="4">
        <f>IFERROR(__xludf.DUMMYFUNCTION("""COMPUTED_VALUE"""),1.0)</f>
        <v>1</v>
      </c>
      <c r="G2506" s="4">
        <f>IFERROR(__xludf.DUMMYFUNCTION("""COMPUTED_VALUE"""),15.0)</f>
        <v>15</v>
      </c>
      <c r="H2506" s="4">
        <f>IFERROR(__xludf.DUMMYFUNCTION("""COMPUTED_VALUE"""),54.0)</f>
        <v>54</v>
      </c>
      <c r="I2506" s="4">
        <f>IFERROR(__xludf.DUMMYFUNCTION("""COMPUTED_VALUE"""),19.0)</f>
        <v>19</v>
      </c>
      <c r="J2506" s="4">
        <f>IFERROR(__xludf.DUMMYFUNCTION("""COMPUTED_VALUE"""),11.0)</f>
        <v>11</v>
      </c>
      <c r="K2506" s="4">
        <f>IFERROR(__xludf.DUMMYFUNCTION("""COMPUTED_VALUE"""),3.0)</f>
        <v>3</v>
      </c>
      <c r="L2506" s="4">
        <f>IFERROR(__xludf.DUMMYFUNCTION("""COMPUTED_VALUE"""),0.304)</f>
        <v>0.304</v>
      </c>
      <c r="M2506" s="4"/>
      <c r="N2506" s="4">
        <f>IFERROR(__xludf.DUMMYFUNCTION("""COMPUTED_VALUE"""),0.833)</f>
        <v>0.833</v>
      </c>
      <c r="O2506" s="4">
        <f>IFERROR(__xludf.DUMMYFUNCTION("""COMPUTED_VALUE"""),3.6)</f>
        <v>3.6</v>
      </c>
      <c r="P2506" s="4">
        <f>IFERROR(__xludf.DUMMYFUNCTION("""COMPUTED_VALUE"""),1.3)</f>
        <v>1.3</v>
      </c>
      <c r="Q2506" s="4">
        <f>IFERROR(__xludf.DUMMYFUNCTION("""COMPUTED_VALUE"""),0.7)</f>
        <v>0.7</v>
      </c>
      <c r="R2506" s="4">
        <f>IFERROR(__xludf.DUMMYFUNCTION("""COMPUTED_VALUE"""),0.2)</f>
        <v>0.2</v>
      </c>
      <c r="S2506" s="4">
        <f>IFERROR(__xludf.DUMMYFUNCTION("""COMPUTED_VALUE"""),-0.1)</f>
        <v>-0.1</v>
      </c>
      <c r="T2506" s="4">
        <f>IFERROR(__xludf.DUMMYFUNCTION("""COMPUTED_VALUE"""),-0.099)</f>
        <v>-0.099</v>
      </c>
      <c r="U2506" s="4">
        <f>IFERROR(__xludf.DUMMYFUNCTION("""COMPUTED_VALUE"""),-11.3)</f>
        <v>-11.3</v>
      </c>
      <c r="V2506" s="4">
        <f>IFERROR(__xludf.DUMMYFUNCTION("""COMPUTED_VALUE"""),-0.1)</f>
        <v>-0.1</v>
      </c>
    </row>
    <row r="2507">
      <c r="A2507" s="4">
        <f>IFERROR(__xludf.DUMMYFUNCTION("""COMPUTED_VALUE"""),31.0)</f>
        <v>31</v>
      </c>
      <c r="B2507" s="4">
        <f>IFERROR(__xludf.DUMMYFUNCTION("""COMPUTED_VALUE"""),31.0)</f>
        <v>31</v>
      </c>
      <c r="C2507" s="4" t="str">
        <f>IFERROR(__xludf.DUMMYFUNCTION("""COMPUTED_VALUE"""),"DEN")</f>
        <v>DEN</v>
      </c>
      <c r="D2507" s="4" t="str">
        <f>IFERROR(__xludf.DUMMYFUNCTION("""COMPUTED_VALUE"""),"Andre Moore")</f>
        <v>Andre Moore</v>
      </c>
      <c r="E2507" s="4" t="str">
        <f>IFERROR(__xludf.DUMMYFUNCTION("""COMPUTED_VALUE"""),"Loyola Chicago")</f>
        <v>Loyola Chicago</v>
      </c>
      <c r="F2507" s="4">
        <f>IFERROR(__xludf.DUMMYFUNCTION("""COMPUTED_VALUE"""),1.0)</f>
        <v>1</v>
      </c>
      <c r="G2507" s="4">
        <f>IFERROR(__xludf.DUMMYFUNCTION("""COMPUTED_VALUE"""),10.0)</f>
        <v>10</v>
      </c>
      <c r="H2507" s="4">
        <f>IFERROR(__xludf.DUMMYFUNCTION("""COMPUTED_VALUE"""),50.0)</f>
        <v>50</v>
      </c>
      <c r="I2507" s="4">
        <f>IFERROR(__xludf.DUMMYFUNCTION("""COMPUTED_VALUE"""),24.0)</f>
        <v>24</v>
      </c>
      <c r="J2507" s="4">
        <f>IFERROR(__xludf.DUMMYFUNCTION("""COMPUTED_VALUE"""),14.0)</f>
        <v>14</v>
      </c>
      <c r="K2507" s="4">
        <f>IFERROR(__xludf.DUMMYFUNCTION("""COMPUTED_VALUE"""),6.0)</f>
        <v>6</v>
      </c>
      <c r="L2507" s="4">
        <f>IFERROR(__xludf.DUMMYFUNCTION("""COMPUTED_VALUE"""),0.333)</f>
        <v>0.333</v>
      </c>
      <c r="M2507" s="4"/>
      <c r="N2507" s="4">
        <f>IFERROR(__xludf.DUMMYFUNCTION("""COMPUTED_VALUE"""),0.75)</f>
        <v>0.75</v>
      </c>
      <c r="O2507" s="4">
        <f>IFERROR(__xludf.DUMMYFUNCTION("""COMPUTED_VALUE"""),5.0)</f>
        <v>5</v>
      </c>
      <c r="P2507" s="4">
        <f>IFERROR(__xludf.DUMMYFUNCTION("""COMPUTED_VALUE"""),2.4)</f>
        <v>2.4</v>
      </c>
      <c r="Q2507" s="4">
        <f>IFERROR(__xludf.DUMMYFUNCTION("""COMPUTED_VALUE"""),1.4)</f>
        <v>1.4</v>
      </c>
      <c r="R2507" s="4">
        <f>IFERROR(__xludf.DUMMYFUNCTION("""COMPUTED_VALUE"""),0.6)</f>
        <v>0.6</v>
      </c>
      <c r="S2507" s="4">
        <f>IFERROR(__xludf.DUMMYFUNCTION("""COMPUTED_VALUE"""),0.0)</f>
        <v>0</v>
      </c>
      <c r="T2507" s="4">
        <f>IFERROR(__xludf.DUMMYFUNCTION("""COMPUTED_VALUE"""),-0.013)</f>
        <v>-0.013</v>
      </c>
      <c r="U2507" s="4">
        <f>IFERROR(__xludf.DUMMYFUNCTION("""COMPUTED_VALUE"""),-6.0)</f>
        <v>-6</v>
      </c>
      <c r="V2507" s="4">
        <f>IFERROR(__xludf.DUMMYFUNCTION("""COMPUTED_VALUE"""),-0.1)</f>
        <v>-0.1</v>
      </c>
    </row>
    <row r="2508">
      <c r="A2508" s="4">
        <f>IFERROR(__xludf.DUMMYFUNCTION("""COMPUTED_VALUE"""),32.0)</f>
        <v>32</v>
      </c>
      <c r="B2508" s="4">
        <f>IFERROR(__xludf.DUMMYFUNCTION("""COMPUTED_VALUE"""),32.0)</f>
        <v>32</v>
      </c>
      <c r="C2508" s="4" t="str">
        <f>IFERROR(__xludf.DUMMYFUNCTION("""COMPUTED_VALUE"""),"MIL")</f>
        <v>MIL</v>
      </c>
      <c r="D2508" s="4" t="str">
        <f>IFERROR(__xludf.DUMMYFUNCTION("""COMPUTED_VALUE"""),"Bob McCann")</f>
        <v>Bob McCann</v>
      </c>
      <c r="E2508" s="4" t="str">
        <f>IFERROR(__xludf.DUMMYFUNCTION("""COMPUTED_VALUE"""),"Morehead State University")</f>
        <v>Morehead State University</v>
      </c>
      <c r="F2508" s="4">
        <f>IFERROR(__xludf.DUMMYFUNCTION("""COMPUTED_VALUE"""),5.0)</f>
        <v>5</v>
      </c>
      <c r="G2508" s="4">
        <f>IFERROR(__xludf.DUMMYFUNCTION("""COMPUTED_VALUE"""),178.0)</f>
        <v>178</v>
      </c>
      <c r="H2508" s="4">
        <f>IFERROR(__xludf.DUMMYFUNCTION("""COMPUTED_VALUE"""),2385.0)</f>
        <v>2385</v>
      </c>
      <c r="I2508" s="4">
        <f>IFERROR(__xludf.DUMMYFUNCTION("""COMPUTED_VALUE"""),739.0)</f>
        <v>739</v>
      </c>
      <c r="J2508" s="4">
        <f>IFERROR(__xludf.DUMMYFUNCTION("""COMPUTED_VALUE"""),468.0)</f>
        <v>468</v>
      </c>
      <c r="K2508" s="4">
        <f>IFERROR(__xludf.DUMMYFUNCTION("""COMPUTED_VALUE"""),104.0)</f>
        <v>104</v>
      </c>
      <c r="L2508" s="4">
        <f>IFERROR(__xludf.DUMMYFUNCTION("""COMPUTED_VALUE"""),0.479)</f>
        <v>0.479</v>
      </c>
      <c r="M2508" s="4">
        <f>IFERROR(__xludf.DUMMYFUNCTION("""COMPUTED_VALUE"""),0.2)</f>
        <v>0.2</v>
      </c>
      <c r="N2508" s="4">
        <f>IFERROR(__xludf.DUMMYFUNCTION("""COMPUTED_VALUE"""),0.577)</f>
        <v>0.577</v>
      </c>
      <c r="O2508" s="4">
        <f>IFERROR(__xludf.DUMMYFUNCTION("""COMPUTED_VALUE"""),13.4)</f>
        <v>13.4</v>
      </c>
      <c r="P2508" s="4">
        <f>IFERROR(__xludf.DUMMYFUNCTION("""COMPUTED_VALUE"""),4.2)</f>
        <v>4.2</v>
      </c>
      <c r="Q2508" s="4">
        <f>IFERROR(__xludf.DUMMYFUNCTION("""COMPUTED_VALUE"""),2.6)</f>
        <v>2.6</v>
      </c>
      <c r="R2508" s="4">
        <f>IFERROR(__xludf.DUMMYFUNCTION("""COMPUTED_VALUE"""),0.6)</f>
        <v>0.6</v>
      </c>
      <c r="S2508" s="4">
        <f>IFERROR(__xludf.DUMMYFUNCTION("""COMPUTED_VALUE"""),2.0)</f>
        <v>2</v>
      </c>
      <c r="T2508" s="4">
        <f>IFERROR(__xludf.DUMMYFUNCTION("""COMPUTED_VALUE"""),0.041)</f>
        <v>0.041</v>
      </c>
      <c r="U2508" s="4">
        <f>IFERROR(__xludf.DUMMYFUNCTION("""COMPUTED_VALUE"""),-3.8)</f>
        <v>-3.8</v>
      </c>
      <c r="V2508" s="4">
        <f>IFERROR(__xludf.DUMMYFUNCTION("""COMPUTED_VALUE"""),-1.1)</f>
        <v>-1.1</v>
      </c>
    </row>
    <row r="2509">
      <c r="A2509" s="4">
        <f>IFERROR(__xludf.DUMMYFUNCTION("""COMPUTED_VALUE"""),33.0)</f>
        <v>33</v>
      </c>
      <c r="B2509" s="4">
        <f>IFERROR(__xludf.DUMMYFUNCTION("""COMPUTED_VALUE"""),33.0)</f>
        <v>33</v>
      </c>
      <c r="C2509" s="4" t="str">
        <f>IFERROR(__xludf.DUMMYFUNCTION("""COMPUTED_VALUE"""),"CHI")</f>
        <v>CHI</v>
      </c>
      <c r="D2509" s="4" t="str">
        <f>IFERROR(__xludf.DUMMYFUNCTION("""COMPUTED_VALUE"""),"Tony White")</f>
        <v>Tony White</v>
      </c>
      <c r="E2509" s="4" t="str">
        <f>IFERROR(__xludf.DUMMYFUNCTION("""COMPUTED_VALUE"""),"Tennessee")</f>
        <v>Tennessee</v>
      </c>
      <c r="F2509" s="4">
        <f>IFERROR(__xludf.DUMMYFUNCTION("""COMPUTED_VALUE"""),1.0)</f>
        <v>1</v>
      </c>
      <c r="G2509" s="4">
        <f>IFERROR(__xludf.DUMMYFUNCTION("""COMPUTED_VALUE"""),49.0)</f>
        <v>49</v>
      </c>
      <c r="H2509" s="4">
        <f>IFERROR(__xludf.DUMMYFUNCTION("""COMPUTED_VALUE"""),581.0)</f>
        <v>581</v>
      </c>
      <c r="I2509" s="4">
        <f>IFERROR(__xludf.DUMMYFUNCTION("""COMPUTED_VALUE"""),261.0)</f>
        <v>261</v>
      </c>
      <c r="J2509" s="4">
        <f>IFERROR(__xludf.DUMMYFUNCTION("""COMPUTED_VALUE"""),31.0)</f>
        <v>31</v>
      </c>
      <c r="K2509" s="4">
        <f>IFERROR(__xludf.DUMMYFUNCTION("""COMPUTED_VALUE"""),59.0)</f>
        <v>59</v>
      </c>
      <c r="L2509" s="4">
        <f>IFERROR(__xludf.DUMMYFUNCTION("""COMPUTED_VALUE"""),0.446)</f>
        <v>0.446</v>
      </c>
      <c r="M2509" s="4">
        <f>IFERROR(__xludf.DUMMYFUNCTION("""COMPUTED_VALUE"""),0.0)</f>
        <v>0</v>
      </c>
      <c r="N2509" s="4">
        <f>IFERROR(__xludf.DUMMYFUNCTION("""COMPUTED_VALUE"""),0.722)</f>
        <v>0.722</v>
      </c>
      <c r="O2509" s="4">
        <f>IFERROR(__xludf.DUMMYFUNCTION("""COMPUTED_VALUE"""),11.9)</f>
        <v>11.9</v>
      </c>
      <c r="P2509" s="4">
        <f>IFERROR(__xludf.DUMMYFUNCTION("""COMPUTED_VALUE"""),5.3)</f>
        <v>5.3</v>
      </c>
      <c r="Q2509" s="4">
        <f>IFERROR(__xludf.DUMMYFUNCTION("""COMPUTED_VALUE"""),0.6)</f>
        <v>0.6</v>
      </c>
      <c r="R2509" s="4">
        <f>IFERROR(__xludf.DUMMYFUNCTION("""COMPUTED_VALUE"""),1.2)</f>
        <v>1.2</v>
      </c>
      <c r="S2509" s="4">
        <f>IFERROR(__xludf.DUMMYFUNCTION("""COMPUTED_VALUE"""),-0.3)</f>
        <v>-0.3</v>
      </c>
      <c r="T2509" s="4">
        <f>IFERROR(__xludf.DUMMYFUNCTION("""COMPUTED_VALUE"""),-0.025)</f>
        <v>-0.025</v>
      </c>
      <c r="U2509" s="4">
        <f>IFERROR(__xludf.DUMMYFUNCTION("""COMPUTED_VALUE"""),-5.4)</f>
        <v>-5.4</v>
      </c>
      <c r="V2509" s="4">
        <f>IFERROR(__xludf.DUMMYFUNCTION("""COMPUTED_VALUE"""),-0.5)</f>
        <v>-0.5</v>
      </c>
    </row>
    <row r="2510">
      <c r="A2510" s="4">
        <f>IFERROR(__xludf.DUMMYFUNCTION("""COMPUTED_VALUE"""),34.0)</f>
        <v>34</v>
      </c>
      <c r="B2510" s="4">
        <f>IFERROR(__xludf.DUMMYFUNCTION("""COMPUTED_VALUE"""),34.0)</f>
        <v>34</v>
      </c>
      <c r="C2510" s="4" t="str">
        <f>IFERROR(__xludf.DUMMYFUNCTION("""COMPUTED_VALUE"""),"IND")</f>
        <v>IND</v>
      </c>
      <c r="D2510" s="4" t="str">
        <f>IFERROR(__xludf.DUMMYFUNCTION("""COMPUTED_VALUE"""),"Brian Rowsom")</f>
        <v>Brian Rowsom</v>
      </c>
      <c r="E2510" s="4" t="str">
        <f>IFERROR(__xludf.DUMMYFUNCTION("""COMPUTED_VALUE"""),"UNC Wilmington")</f>
        <v>UNC Wilmington</v>
      </c>
      <c r="F2510" s="4">
        <f>IFERROR(__xludf.DUMMYFUNCTION("""COMPUTED_VALUE"""),3.0)</f>
        <v>3</v>
      </c>
      <c r="G2510" s="4">
        <f>IFERROR(__xludf.DUMMYFUNCTION("""COMPUTED_VALUE"""),82.0)</f>
        <v>82</v>
      </c>
      <c r="H2510" s="4">
        <f>IFERROR(__xludf.DUMMYFUNCTION("""COMPUTED_VALUE"""),1092.0)</f>
        <v>1092</v>
      </c>
      <c r="I2510" s="4">
        <f>IFERROR(__xludf.DUMMYFUNCTION("""COMPUTED_VALUE"""),457.0)</f>
        <v>457</v>
      </c>
      <c r="J2510" s="4">
        <f>IFERROR(__xludf.DUMMYFUNCTION("""COMPUTED_VALUE"""),273.0)</f>
        <v>273</v>
      </c>
      <c r="K2510" s="4">
        <f>IFERROR(__xludf.DUMMYFUNCTION("""COMPUTED_VALUE"""),47.0)</f>
        <v>47</v>
      </c>
      <c r="L2510" s="4">
        <f>IFERROR(__xludf.DUMMYFUNCTION("""COMPUTED_VALUE"""),0.455)</f>
        <v>0.455</v>
      </c>
      <c r="M2510" s="4">
        <f>IFERROR(__xludf.DUMMYFUNCTION("""COMPUTED_VALUE"""),0.667)</f>
        <v>0.667</v>
      </c>
      <c r="N2510" s="4">
        <f>IFERROR(__xludf.DUMMYFUNCTION("""COMPUTED_VALUE"""),0.818)</f>
        <v>0.818</v>
      </c>
      <c r="O2510" s="4">
        <f>IFERROR(__xludf.DUMMYFUNCTION("""COMPUTED_VALUE"""),13.3)</f>
        <v>13.3</v>
      </c>
      <c r="P2510" s="4">
        <f>IFERROR(__xludf.DUMMYFUNCTION("""COMPUTED_VALUE"""),5.6)</f>
        <v>5.6</v>
      </c>
      <c r="Q2510" s="4">
        <f>IFERROR(__xludf.DUMMYFUNCTION("""COMPUTED_VALUE"""),3.3)</f>
        <v>3.3</v>
      </c>
      <c r="R2510" s="4">
        <f>IFERROR(__xludf.DUMMYFUNCTION("""COMPUTED_VALUE"""),0.6)</f>
        <v>0.6</v>
      </c>
      <c r="S2510" s="4">
        <f>IFERROR(__xludf.DUMMYFUNCTION("""COMPUTED_VALUE"""),2.4)</f>
        <v>2.4</v>
      </c>
      <c r="T2510" s="4">
        <f>IFERROR(__xludf.DUMMYFUNCTION("""COMPUTED_VALUE"""),0.107)</f>
        <v>0.107</v>
      </c>
      <c r="U2510" s="4">
        <f>IFERROR(__xludf.DUMMYFUNCTION("""COMPUTED_VALUE"""),-1.6)</f>
        <v>-1.6</v>
      </c>
      <c r="V2510" s="4">
        <f>IFERROR(__xludf.DUMMYFUNCTION("""COMPUTED_VALUE"""),0.1)</f>
        <v>0.1</v>
      </c>
    </row>
    <row r="2511">
      <c r="A2511" s="4">
        <f>IFERROR(__xludf.DUMMYFUNCTION("""COMPUTED_VALUE"""),35.0)</f>
        <v>35</v>
      </c>
      <c r="B2511" s="4">
        <f>IFERROR(__xludf.DUMMYFUNCTION("""COMPUTED_VALUE"""),35.0)</f>
        <v>35</v>
      </c>
      <c r="C2511" s="4" t="str">
        <f>IFERROR(__xludf.DUMMYFUNCTION("""COMPUTED_VALUE"""),"HOU")</f>
        <v>HOU</v>
      </c>
      <c r="D2511" s="4" t="str">
        <f>IFERROR(__xludf.DUMMYFUNCTION("""COMPUTED_VALUE"""),"Doug Lee")</f>
        <v>Doug Lee</v>
      </c>
      <c r="E2511" s="4" t="str">
        <f>IFERROR(__xludf.DUMMYFUNCTION("""COMPUTED_VALUE"""),"Purdue")</f>
        <v>Purdue</v>
      </c>
      <c r="F2511" s="4">
        <f>IFERROR(__xludf.DUMMYFUNCTION("""COMPUTED_VALUE"""),3.0)</f>
        <v>3</v>
      </c>
      <c r="G2511" s="4">
        <f>IFERROR(__xludf.DUMMYFUNCTION("""COMPUTED_VALUE"""),73.0)</f>
        <v>73</v>
      </c>
      <c r="H2511" s="4">
        <f>IFERROR(__xludf.DUMMYFUNCTION("""COMPUTED_VALUE"""),415.0)</f>
        <v>415</v>
      </c>
      <c r="I2511" s="4">
        <f>IFERROR(__xludf.DUMMYFUNCTION("""COMPUTED_VALUE"""),168.0)</f>
        <v>168</v>
      </c>
      <c r="J2511" s="4">
        <f>IFERROR(__xludf.DUMMYFUNCTION("""COMPUTED_VALUE"""),42.0)</f>
        <v>42</v>
      </c>
      <c r="K2511" s="4">
        <f>IFERROR(__xludf.DUMMYFUNCTION("""COMPUTED_VALUE"""),32.0)</f>
        <v>32</v>
      </c>
      <c r="L2511" s="4">
        <f>IFERROR(__xludf.DUMMYFUNCTION("""COMPUTED_VALUE"""),0.412)</f>
        <v>0.412</v>
      </c>
      <c r="M2511" s="4">
        <f>IFERROR(__xludf.DUMMYFUNCTION("""COMPUTED_VALUE"""),0.31)</f>
        <v>0.31</v>
      </c>
      <c r="N2511" s="4">
        <f>IFERROR(__xludf.DUMMYFUNCTION("""COMPUTED_VALUE"""),0.7)</f>
        <v>0.7</v>
      </c>
      <c r="O2511" s="4">
        <f>IFERROR(__xludf.DUMMYFUNCTION("""COMPUTED_VALUE"""),5.7)</f>
        <v>5.7</v>
      </c>
      <c r="P2511" s="4">
        <f>IFERROR(__xludf.DUMMYFUNCTION("""COMPUTED_VALUE"""),2.3)</f>
        <v>2.3</v>
      </c>
      <c r="Q2511" s="4">
        <f>IFERROR(__xludf.DUMMYFUNCTION("""COMPUTED_VALUE"""),0.6)</f>
        <v>0.6</v>
      </c>
      <c r="R2511" s="4">
        <f>IFERROR(__xludf.DUMMYFUNCTION("""COMPUTED_VALUE"""),0.4)</f>
        <v>0.4</v>
      </c>
      <c r="S2511" s="4">
        <f>IFERROR(__xludf.DUMMYFUNCTION("""COMPUTED_VALUE"""),0.7)</f>
        <v>0.7</v>
      </c>
      <c r="T2511" s="4">
        <f>IFERROR(__xludf.DUMMYFUNCTION("""COMPUTED_VALUE"""),0.086)</f>
        <v>0.086</v>
      </c>
      <c r="U2511" s="4">
        <f>IFERROR(__xludf.DUMMYFUNCTION("""COMPUTED_VALUE"""),-2.4)</f>
        <v>-2.4</v>
      </c>
      <c r="V2511" s="4">
        <f>IFERROR(__xludf.DUMMYFUNCTION("""COMPUTED_VALUE"""),0.0)</f>
        <v>0</v>
      </c>
    </row>
    <row r="2512">
      <c r="A2512" s="4">
        <f>IFERROR(__xludf.DUMMYFUNCTION("""COMPUTED_VALUE"""),36.0)</f>
        <v>36</v>
      </c>
      <c r="B2512" s="4">
        <f>IFERROR(__xludf.DUMMYFUNCTION("""COMPUTED_VALUE"""),36.0)</f>
        <v>36</v>
      </c>
      <c r="C2512" s="4" t="str">
        <f>IFERROR(__xludf.DUMMYFUNCTION("""COMPUTED_VALUE"""),"WSB")</f>
        <v>WSB</v>
      </c>
      <c r="D2512" s="4" t="str">
        <f>IFERROR(__xludf.DUMMYFUNCTION("""COMPUTED_VALUE"""),"Duane Washington")</f>
        <v>Duane Washington</v>
      </c>
      <c r="E2512" s="4" t="str">
        <f>IFERROR(__xludf.DUMMYFUNCTION("""COMPUTED_VALUE"""),"Middle Tennessee")</f>
        <v>Middle Tennessee</v>
      </c>
      <c r="F2512" s="4">
        <f>IFERROR(__xludf.DUMMYFUNCTION("""COMPUTED_VALUE"""),2.0)</f>
        <v>2</v>
      </c>
      <c r="G2512" s="4">
        <f>IFERROR(__xludf.DUMMYFUNCTION("""COMPUTED_VALUE"""),19.0)</f>
        <v>19</v>
      </c>
      <c r="H2512" s="4">
        <f>IFERROR(__xludf.DUMMYFUNCTION("""COMPUTED_VALUE"""),184.0)</f>
        <v>184</v>
      </c>
      <c r="I2512" s="4">
        <f>IFERROR(__xludf.DUMMYFUNCTION("""COMPUTED_VALUE"""),54.0)</f>
        <v>54</v>
      </c>
      <c r="J2512" s="4">
        <f>IFERROR(__xludf.DUMMYFUNCTION("""COMPUTED_VALUE"""),24.0)</f>
        <v>24</v>
      </c>
      <c r="K2512" s="4">
        <f>IFERROR(__xludf.DUMMYFUNCTION("""COMPUTED_VALUE"""),39.0)</f>
        <v>39</v>
      </c>
      <c r="L2512" s="4">
        <f>IFERROR(__xludf.DUMMYFUNCTION("""COMPUTED_VALUE"""),0.383)</f>
        <v>0.383</v>
      </c>
      <c r="M2512" s="4">
        <f>IFERROR(__xludf.DUMMYFUNCTION("""COMPUTED_VALUE"""),0.5)</f>
        <v>0.5</v>
      </c>
      <c r="N2512" s="4">
        <f>IFERROR(__xludf.DUMMYFUNCTION("""COMPUTED_VALUE"""),0.8)</f>
        <v>0.8</v>
      </c>
      <c r="O2512" s="4">
        <f>IFERROR(__xludf.DUMMYFUNCTION("""COMPUTED_VALUE"""),9.7)</f>
        <v>9.7</v>
      </c>
      <c r="P2512" s="4">
        <f>IFERROR(__xludf.DUMMYFUNCTION("""COMPUTED_VALUE"""),2.8)</f>
        <v>2.8</v>
      </c>
      <c r="Q2512" s="4">
        <f>IFERROR(__xludf.DUMMYFUNCTION("""COMPUTED_VALUE"""),1.3)</f>
        <v>1.3</v>
      </c>
      <c r="R2512" s="4">
        <f>IFERROR(__xludf.DUMMYFUNCTION("""COMPUTED_VALUE"""),2.1)</f>
        <v>2.1</v>
      </c>
      <c r="S2512" s="4">
        <f>IFERROR(__xludf.DUMMYFUNCTION("""COMPUTED_VALUE"""),0.4)</f>
        <v>0.4</v>
      </c>
      <c r="T2512" s="4">
        <f>IFERROR(__xludf.DUMMYFUNCTION("""COMPUTED_VALUE"""),0.092)</f>
        <v>0.092</v>
      </c>
      <c r="U2512" s="4">
        <f>IFERROR(__xludf.DUMMYFUNCTION("""COMPUTED_VALUE"""),0.4)</f>
        <v>0.4</v>
      </c>
      <c r="V2512" s="4">
        <f>IFERROR(__xludf.DUMMYFUNCTION("""COMPUTED_VALUE"""),0.1)</f>
        <v>0.1</v>
      </c>
    </row>
    <row r="2513">
      <c r="A2513" s="4">
        <f>IFERROR(__xludf.DUMMYFUNCTION("""COMPUTED_VALUE"""),37.0)</f>
        <v>37</v>
      </c>
      <c r="B2513" s="4">
        <f>IFERROR(__xludf.DUMMYFUNCTION("""COMPUTED_VALUE"""),37.0)</f>
        <v>37</v>
      </c>
      <c r="C2513" s="4" t="str">
        <f>IFERROR(__xludf.DUMMYFUNCTION("""COMPUTED_VALUE"""),"WSB")</f>
        <v>WSB</v>
      </c>
      <c r="D2513" s="4" t="str">
        <f>IFERROR(__xludf.DUMMYFUNCTION("""COMPUTED_VALUE"""),"Derrick Dowell")</f>
        <v>Derrick Dowell</v>
      </c>
      <c r="E2513" s="4" t="str">
        <f>IFERROR(__xludf.DUMMYFUNCTION("""COMPUTED_VALUE"""),"USC")</f>
        <v>USC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</row>
    <row r="2514">
      <c r="A2514" s="4">
        <f>IFERROR(__xludf.DUMMYFUNCTION("""COMPUTED_VALUE"""),38.0)</f>
        <v>38</v>
      </c>
      <c r="B2514" s="4">
        <f>IFERROR(__xludf.DUMMYFUNCTION("""COMPUTED_VALUE"""),38.0)</f>
        <v>38</v>
      </c>
      <c r="C2514" s="4" t="str">
        <f>IFERROR(__xludf.DUMMYFUNCTION("""COMPUTED_VALUE"""),"LAC")</f>
        <v>LAC</v>
      </c>
      <c r="D2514" s="4" t="str">
        <f>IFERROR(__xludf.DUMMYFUNCTION("""COMPUTED_VALUE"""),"Norris Coleman")</f>
        <v>Norris Coleman</v>
      </c>
      <c r="E2514" s="4" t="str">
        <f>IFERROR(__xludf.DUMMYFUNCTION("""COMPUTED_VALUE"""),"Kansas State")</f>
        <v>Kansas State</v>
      </c>
      <c r="F2514" s="4">
        <f>IFERROR(__xludf.DUMMYFUNCTION("""COMPUTED_VALUE"""),1.0)</f>
        <v>1</v>
      </c>
      <c r="G2514" s="4">
        <f>IFERROR(__xludf.DUMMYFUNCTION("""COMPUTED_VALUE"""),29.0)</f>
        <v>29</v>
      </c>
      <c r="H2514" s="4">
        <f>IFERROR(__xludf.DUMMYFUNCTION("""COMPUTED_VALUE"""),431.0)</f>
        <v>431</v>
      </c>
      <c r="I2514" s="4">
        <f>IFERROR(__xludf.DUMMYFUNCTION("""COMPUTED_VALUE"""),153.0)</f>
        <v>153</v>
      </c>
      <c r="J2514" s="4">
        <f>IFERROR(__xludf.DUMMYFUNCTION("""COMPUTED_VALUE"""),81.0)</f>
        <v>81</v>
      </c>
      <c r="K2514" s="4">
        <f>IFERROR(__xludf.DUMMYFUNCTION("""COMPUTED_VALUE"""),13.0)</f>
        <v>13</v>
      </c>
      <c r="L2514" s="4">
        <f>IFERROR(__xludf.DUMMYFUNCTION("""COMPUTED_VALUE"""),0.346)</f>
        <v>0.346</v>
      </c>
      <c r="M2514" s="4">
        <f>IFERROR(__xludf.DUMMYFUNCTION("""COMPUTED_VALUE"""),0.5)</f>
        <v>0.5</v>
      </c>
      <c r="N2514" s="4">
        <f>IFERROR(__xludf.DUMMYFUNCTION("""COMPUTED_VALUE"""),0.556)</f>
        <v>0.556</v>
      </c>
      <c r="O2514" s="4">
        <f>IFERROR(__xludf.DUMMYFUNCTION("""COMPUTED_VALUE"""),14.9)</f>
        <v>14.9</v>
      </c>
      <c r="P2514" s="4">
        <f>IFERROR(__xludf.DUMMYFUNCTION("""COMPUTED_VALUE"""),5.3)</f>
        <v>5.3</v>
      </c>
      <c r="Q2514" s="4">
        <f>IFERROR(__xludf.DUMMYFUNCTION("""COMPUTED_VALUE"""),2.8)</f>
        <v>2.8</v>
      </c>
      <c r="R2514" s="4">
        <f>IFERROR(__xludf.DUMMYFUNCTION("""COMPUTED_VALUE"""),0.4)</f>
        <v>0.4</v>
      </c>
      <c r="S2514" s="4">
        <f>IFERROR(__xludf.DUMMYFUNCTION("""COMPUTED_VALUE"""),-0.4)</f>
        <v>-0.4</v>
      </c>
      <c r="T2514" s="4">
        <f>IFERROR(__xludf.DUMMYFUNCTION("""COMPUTED_VALUE"""),-0.046)</f>
        <v>-0.046</v>
      </c>
      <c r="U2514" s="4">
        <f>IFERROR(__xludf.DUMMYFUNCTION("""COMPUTED_VALUE"""),-7.1)</f>
        <v>-7.1</v>
      </c>
      <c r="V2514" s="4">
        <f>IFERROR(__xludf.DUMMYFUNCTION("""COMPUTED_VALUE"""),-0.6)</f>
        <v>-0.6</v>
      </c>
    </row>
    <row r="2515">
      <c r="A2515" s="4">
        <f>IFERROR(__xludf.DUMMYFUNCTION("""COMPUTED_VALUE"""),39.0)</f>
        <v>39</v>
      </c>
      <c r="B2515" s="4">
        <f>IFERROR(__xludf.DUMMYFUNCTION("""COMPUTED_VALUE"""),39.0)</f>
        <v>39</v>
      </c>
      <c r="C2515" s="4" t="str">
        <f>IFERROR(__xludf.DUMMYFUNCTION("""COMPUTED_VALUE"""),"PHI")</f>
        <v>PHI</v>
      </c>
      <c r="D2515" s="4" t="str">
        <f>IFERROR(__xludf.DUMMYFUNCTION("""COMPUTED_VALUE"""),"Vincent Askew")</f>
        <v>Vincent Askew</v>
      </c>
      <c r="E2515" s="4" t="str">
        <f>IFERROR(__xludf.DUMMYFUNCTION("""COMPUTED_VALUE"""),"Memphis")</f>
        <v>Memphis</v>
      </c>
      <c r="F2515" s="4">
        <f>IFERROR(__xludf.DUMMYFUNCTION("""COMPUTED_VALUE"""),9.0)</f>
        <v>9</v>
      </c>
      <c r="G2515" s="4">
        <f>IFERROR(__xludf.DUMMYFUNCTION("""COMPUTED_VALUE"""),467.0)</f>
        <v>467</v>
      </c>
      <c r="H2515" s="4">
        <f>IFERROR(__xludf.DUMMYFUNCTION("""COMPUTED_VALUE"""),9361.0)</f>
        <v>9361</v>
      </c>
      <c r="I2515" s="4">
        <f>IFERROR(__xludf.DUMMYFUNCTION("""COMPUTED_VALUE"""),3311.0)</f>
        <v>3311</v>
      </c>
      <c r="J2515" s="4">
        <f>IFERROR(__xludf.DUMMYFUNCTION("""COMPUTED_VALUE"""),1176.0)</f>
        <v>1176</v>
      </c>
      <c r="K2515" s="4">
        <f>IFERROR(__xludf.DUMMYFUNCTION("""COMPUTED_VALUE"""),1017.0)</f>
        <v>1017</v>
      </c>
      <c r="L2515" s="4">
        <f>IFERROR(__xludf.DUMMYFUNCTION("""COMPUTED_VALUE"""),0.479)</f>
        <v>0.479</v>
      </c>
      <c r="M2515" s="4">
        <f>IFERROR(__xludf.DUMMYFUNCTION("""COMPUTED_VALUE"""),0.3)</f>
        <v>0.3</v>
      </c>
      <c r="N2515" s="4">
        <f>IFERROR(__xludf.DUMMYFUNCTION("""COMPUTED_VALUE"""),0.754)</f>
        <v>0.754</v>
      </c>
      <c r="O2515" s="4">
        <f>IFERROR(__xludf.DUMMYFUNCTION("""COMPUTED_VALUE"""),20.0)</f>
        <v>20</v>
      </c>
      <c r="P2515" s="4">
        <f>IFERROR(__xludf.DUMMYFUNCTION("""COMPUTED_VALUE"""),7.1)</f>
        <v>7.1</v>
      </c>
      <c r="Q2515" s="4">
        <f>IFERROR(__xludf.DUMMYFUNCTION("""COMPUTED_VALUE"""),2.5)</f>
        <v>2.5</v>
      </c>
      <c r="R2515" s="4">
        <f>IFERROR(__xludf.DUMMYFUNCTION("""COMPUTED_VALUE"""),2.2)</f>
        <v>2.2</v>
      </c>
      <c r="S2515" s="4">
        <f>IFERROR(__xludf.DUMMYFUNCTION("""COMPUTED_VALUE"""),22.1)</f>
        <v>22.1</v>
      </c>
      <c r="T2515" s="4">
        <f>IFERROR(__xludf.DUMMYFUNCTION("""COMPUTED_VALUE"""),0.113)</f>
        <v>0.113</v>
      </c>
      <c r="U2515" s="4">
        <f>IFERROR(__xludf.DUMMYFUNCTION("""COMPUTED_VALUE"""),0.0)</f>
        <v>0</v>
      </c>
      <c r="V2515" s="4">
        <f>IFERROR(__xludf.DUMMYFUNCTION("""COMPUTED_VALUE"""),4.7)</f>
        <v>4.7</v>
      </c>
    </row>
    <row r="2516">
      <c r="A2516" s="4">
        <f>IFERROR(__xludf.DUMMYFUNCTION("""COMPUTED_VALUE"""),40.0)</f>
        <v>40</v>
      </c>
      <c r="B2516" s="4">
        <f>IFERROR(__xludf.DUMMYFUNCTION("""COMPUTED_VALUE"""),40.0)</f>
        <v>40</v>
      </c>
      <c r="C2516" s="4" t="str">
        <f>IFERROR(__xludf.DUMMYFUNCTION("""COMPUTED_VALUE"""),"MIL")</f>
        <v>MIL</v>
      </c>
      <c r="D2516" s="4" t="str">
        <f>IFERROR(__xludf.DUMMYFUNCTION("""COMPUTED_VALUE"""),"Winston Garland")</f>
        <v>Winston Garland</v>
      </c>
      <c r="E2516" s="4" t="str">
        <f>IFERROR(__xludf.DUMMYFUNCTION("""COMPUTED_VALUE"""),"Missouri State")</f>
        <v>Missouri State</v>
      </c>
      <c r="F2516" s="4">
        <f>IFERROR(__xludf.DUMMYFUNCTION("""COMPUTED_VALUE"""),7.0)</f>
        <v>7</v>
      </c>
      <c r="G2516" s="4">
        <f>IFERROR(__xludf.DUMMYFUNCTION("""COMPUTED_VALUE"""),511.0)</f>
        <v>511</v>
      </c>
      <c r="H2516" s="4">
        <f>IFERROR(__xludf.DUMMYFUNCTION("""COMPUTED_VALUE"""),13391.0)</f>
        <v>13391</v>
      </c>
      <c r="I2516" s="4">
        <f>IFERROR(__xludf.DUMMYFUNCTION("""COMPUTED_VALUE"""),4799.0)</f>
        <v>4799</v>
      </c>
      <c r="J2516" s="4">
        <f>IFERROR(__xludf.DUMMYFUNCTION("""COMPUTED_VALUE"""),1433.0)</f>
        <v>1433</v>
      </c>
      <c r="K2516" s="4">
        <f>IFERROR(__xludf.DUMMYFUNCTION("""COMPUTED_VALUE"""),2421.0)</f>
        <v>2421</v>
      </c>
      <c r="L2516" s="4">
        <f>IFERROR(__xludf.DUMMYFUNCTION("""COMPUTED_VALUE"""),0.43)</f>
        <v>0.43</v>
      </c>
      <c r="M2516" s="4">
        <f>IFERROR(__xludf.DUMMYFUNCTION("""COMPUTED_VALUE"""),0.281)</f>
        <v>0.281</v>
      </c>
      <c r="N2516" s="4">
        <f>IFERROR(__xludf.DUMMYFUNCTION("""COMPUTED_VALUE"""),0.83)</f>
        <v>0.83</v>
      </c>
      <c r="O2516" s="4">
        <f>IFERROR(__xludf.DUMMYFUNCTION("""COMPUTED_VALUE"""),26.2)</f>
        <v>26.2</v>
      </c>
      <c r="P2516" s="4">
        <f>IFERROR(__xludf.DUMMYFUNCTION("""COMPUTED_VALUE"""),9.4)</f>
        <v>9.4</v>
      </c>
      <c r="Q2516" s="4">
        <f>IFERROR(__xludf.DUMMYFUNCTION("""COMPUTED_VALUE"""),2.8)</f>
        <v>2.8</v>
      </c>
      <c r="R2516" s="4">
        <f>IFERROR(__xludf.DUMMYFUNCTION("""COMPUTED_VALUE"""),4.7)</f>
        <v>4.7</v>
      </c>
      <c r="S2516" s="4">
        <f>IFERROR(__xludf.DUMMYFUNCTION("""COMPUTED_VALUE"""),14.2)</f>
        <v>14.2</v>
      </c>
      <c r="T2516" s="4">
        <f>IFERROR(__xludf.DUMMYFUNCTION("""COMPUTED_VALUE"""),0.051)</f>
        <v>0.051</v>
      </c>
      <c r="U2516" s="4">
        <f>IFERROR(__xludf.DUMMYFUNCTION("""COMPUTED_VALUE"""),-1.6)</f>
        <v>-1.6</v>
      </c>
      <c r="V2516" s="4">
        <f>IFERROR(__xludf.DUMMYFUNCTION("""COMPUTED_VALUE"""),1.3)</f>
        <v>1.3</v>
      </c>
    </row>
    <row r="2517">
      <c r="A2517" s="4">
        <f>IFERROR(__xludf.DUMMYFUNCTION("""COMPUTED_VALUE"""),41.0)</f>
        <v>41</v>
      </c>
      <c r="B2517" s="4">
        <f>IFERROR(__xludf.DUMMYFUNCTION("""COMPUTED_VALUE"""),41.0)</f>
        <v>41</v>
      </c>
      <c r="C2517" s="4" t="str">
        <f>IFERROR(__xludf.DUMMYFUNCTION("""COMPUTED_VALUE"""),"CLE")</f>
        <v>CLE</v>
      </c>
      <c r="D2517" s="4" t="str">
        <f>IFERROR(__xludf.DUMMYFUNCTION("""COMPUTED_VALUE"""),"Kannard Johnson")</f>
        <v>Kannard Johnson</v>
      </c>
      <c r="E2517" s="4" t="str">
        <f>IFERROR(__xludf.DUMMYFUNCTION("""COMPUTED_VALUE"""),"Western Kentucky")</f>
        <v>Western Kentucky</v>
      </c>
      <c r="F2517" s="4">
        <f>IFERROR(__xludf.DUMMYFUNCTION("""COMPUTED_VALUE"""),1.0)</f>
        <v>1</v>
      </c>
      <c r="G2517" s="4">
        <f>IFERROR(__xludf.DUMMYFUNCTION("""COMPUTED_VALUE"""),4.0)</f>
        <v>4</v>
      </c>
      <c r="H2517" s="4">
        <f>IFERROR(__xludf.DUMMYFUNCTION("""COMPUTED_VALUE"""),12.0)</f>
        <v>12</v>
      </c>
      <c r="I2517" s="4">
        <f>IFERROR(__xludf.DUMMYFUNCTION("""COMPUTED_VALUE"""),2.0)</f>
        <v>2</v>
      </c>
      <c r="J2517" s="4">
        <f>IFERROR(__xludf.DUMMYFUNCTION("""COMPUTED_VALUE"""),0.0)</f>
        <v>0</v>
      </c>
      <c r="K2517" s="4">
        <f>IFERROR(__xludf.DUMMYFUNCTION("""COMPUTED_VALUE"""),0.0)</f>
        <v>0</v>
      </c>
      <c r="L2517" s="4">
        <f>IFERROR(__xludf.DUMMYFUNCTION("""COMPUTED_VALUE"""),0.333)</f>
        <v>0.333</v>
      </c>
      <c r="M2517" s="4"/>
      <c r="N2517" s="4"/>
      <c r="O2517" s="4">
        <f>IFERROR(__xludf.DUMMYFUNCTION("""COMPUTED_VALUE"""),3.0)</f>
        <v>3</v>
      </c>
      <c r="P2517" s="4">
        <f>IFERROR(__xludf.DUMMYFUNCTION("""COMPUTED_VALUE"""),0.5)</f>
        <v>0.5</v>
      </c>
      <c r="Q2517" s="4">
        <f>IFERROR(__xludf.DUMMYFUNCTION("""COMPUTED_VALUE"""),0.0)</f>
        <v>0</v>
      </c>
      <c r="R2517" s="4">
        <f>IFERROR(__xludf.DUMMYFUNCTION("""COMPUTED_VALUE"""),0.0)</f>
        <v>0</v>
      </c>
      <c r="S2517" s="4">
        <f>IFERROR(__xludf.DUMMYFUNCTION("""COMPUTED_VALUE"""),-0.1)</f>
        <v>-0.1</v>
      </c>
      <c r="T2517" s="4">
        <f>IFERROR(__xludf.DUMMYFUNCTION("""COMPUTED_VALUE"""),-0.238)</f>
        <v>-0.238</v>
      </c>
      <c r="U2517" s="4">
        <f>IFERROR(__xludf.DUMMYFUNCTION("""COMPUTED_VALUE"""),-9.7)</f>
        <v>-9.7</v>
      </c>
      <c r="V2517" s="4">
        <f>IFERROR(__xludf.DUMMYFUNCTION("""COMPUTED_VALUE"""),0.0)</f>
        <v>0</v>
      </c>
    </row>
    <row r="2518">
      <c r="A2518" s="4">
        <f>IFERROR(__xludf.DUMMYFUNCTION("""COMPUTED_VALUE"""),42.0)</f>
        <v>42</v>
      </c>
      <c r="B2518" s="4">
        <f>IFERROR(__xludf.DUMMYFUNCTION("""COMPUTED_VALUE"""),42.0)</f>
        <v>42</v>
      </c>
      <c r="C2518" s="4" t="str">
        <f>IFERROR(__xludf.DUMMYFUNCTION("""COMPUTED_VALUE"""),"ATL")</f>
        <v>ATL</v>
      </c>
      <c r="D2518" s="4" t="str">
        <f>IFERROR(__xludf.DUMMYFUNCTION("""COMPUTED_VALUE"""),"Terrance Bailey")</f>
        <v>Terrance Bailey</v>
      </c>
      <c r="E2518" s="4" t="str">
        <f>IFERROR(__xludf.DUMMYFUNCTION("""COMPUTED_VALUE"""),"Wagner College")</f>
        <v>Wagner College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</row>
    <row r="2519">
      <c r="A2519" s="4">
        <f>IFERROR(__xludf.DUMMYFUNCTION("""COMPUTED_VALUE"""),43.0)</f>
        <v>43</v>
      </c>
      <c r="B2519" s="4">
        <f>IFERROR(__xludf.DUMMYFUNCTION("""COMPUTED_VALUE"""),43.0)</f>
        <v>43</v>
      </c>
      <c r="C2519" s="4" t="str">
        <f>IFERROR(__xludf.DUMMYFUNCTION("""COMPUTED_VALUE"""),"PHI")</f>
        <v>PHI</v>
      </c>
      <c r="D2519" s="4" t="str">
        <f>IFERROR(__xludf.DUMMYFUNCTION("""COMPUTED_VALUE"""),"Andrew Kennedy")</f>
        <v>Andrew Kennedy</v>
      </c>
      <c r="E2519" s="4" t="str">
        <f>IFERROR(__xludf.DUMMYFUNCTION("""COMPUTED_VALUE"""),"Virginia")</f>
        <v>Virginia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</row>
    <row r="2520">
      <c r="A2520" s="4">
        <f>IFERROR(__xludf.DUMMYFUNCTION("""COMPUTED_VALUE"""),44.0)</f>
        <v>44</v>
      </c>
      <c r="B2520" s="4">
        <f>IFERROR(__xludf.DUMMYFUNCTION("""COMPUTED_VALUE"""),44.0)</f>
        <v>44</v>
      </c>
      <c r="C2520" s="4" t="str">
        <f>IFERROR(__xludf.DUMMYFUNCTION("""COMPUTED_VALUE"""),"ATL")</f>
        <v>ATL</v>
      </c>
      <c r="D2520" s="4" t="str">
        <f>IFERROR(__xludf.DUMMYFUNCTION("""COMPUTED_VALUE"""),"Terry Coner")</f>
        <v>Terry Coner</v>
      </c>
      <c r="E2520" s="4" t="str">
        <f>IFERROR(__xludf.DUMMYFUNCTION("""COMPUTED_VALUE"""),"Alabama")</f>
        <v>Alabama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</row>
    <row r="2521">
      <c r="A2521" s="4">
        <f>IFERROR(__xludf.DUMMYFUNCTION("""COMPUTED_VALUE"""),45.0)</f>
        <v>45</v>
      </c>
      <c r="B2521" s="4">
        <f>IFERROR(__xludf.DUMMYFUNCTION("""COMPUTED_VALUE"""),45.0)</f>
        <v>45</v>
      </c>
      <c r="C2521" s="4" t="str">
        <f>IFERROR(__xludf.DUMMYFUNCTION("""COMPUTED_VALUE"""),"BOS")</f>
        <v>BOS</v>
      </c>
      <c r="D2521" s="4" t="str">
        <f>IFERROR(__xludf.DUMMYFUNCTION("""COMPUTED_VALUE"""),"Brad Lohaus")</f>
        <v>Brad Lohaus</v>
      </c>
      <c r="E2521" s="4" t="str">
        <f>IFERROR(__xludf.DUMMYFUNCTION("""COMPUTED_VALUE"""),"Iowa")</f>
        <v>Iowa</v>
      </c>
      <c r="F2521" s="4">
        <f>IFERROR(__xludf.DUMMYFUNCTION("""COMPUTED_VALUE"""),11.0)</f>
        <v>11</v>
      </c>
      <c r="G2521" s="4">
        <f>IFERROR(__xludf.DUMMYFUNCTION("""COMPUTED_VALUE"""),656.0)</f>
        <v>656</v>
      </c>
      <c r="H2521" s="4">
        <f>IFERROR(__xludf.DUMMYFUNCTION("""COMPUTED_VALUE"""),10378.0)</f>
        <v>10378</v>
      </c>
      <c r="I2521" s="4">
        <f>IFERROR(__xludf.DUMMYFUNCTION("""COMPUTED_VALUE"""),3854.0)</f>
        <v>3854</v>
      </c>
      <c r="J2521" s="4">
        <f>IFERROR(__xludf.DUMMYFUNCTION("""COMPUTED_VALUE"""),1869.0)</f>
        <v>1869</v>
      </c>
      <c r="K2521" s="4">
        <f>IFERROR(__xludf.DUMMYFUNCTION("""COMPUTED_VALUE"""),714.0)</f>
        <v>714</v>
      </c>
      <c r="L2521" s="4">
        <f>IFERROR(__xludf.DUMMYFUNCTION("""COMPUTED_VALUE"""),0.44)</f>
        <v>0.44</v>
      </c>
      <c r="M2521" s="4">
        <f>IFERROR(__xludf.DUMMYFUNCTION("""COMPUTED_VALUE"""),0.361)</f>
        <v>0.361</v>
      </c>
      <c r="N2521" s="4">
        <f>IFERROR(__xludf.DUMMYFUNCTION("""COMPUTED_VALUE"""),0.733)</f>
        <v>0.733</v>
      </c>
      <c r="O2521" s="4">
        <f>IFERROR(__xludf.DUMMYFUNCTION("""COMPUTED_VALUE"""),15.8)</f>
        <v>15.8</v>
      </c>
      <c r="P2521" s="4">
        <f>IFERROR(__xludf.DUMMYFUNCTION("""COMPUTED_VALUE"""),5.9)</f>
        <v>5.9</v>
      </c>
      <c r="Q2521" s="4">
        <f>IFERROR(__xludf.DUMMYFUNCTION("""COMPUTED_VALUE"""),2.8)</f>
        <v>2.8</v>
      </c>
      <c r="R2521" s="4">
        <f>IFERROR(__xludf.DUMMYFUNCTION("""COMPUTED_VALUE"""),1.1)</f>
        <v>1.1</v>
      </c>
      <c r="S2521" s="4">
        <f>IFERROR(__xludf.DUMMYFUNCTION("""COMPUTED_VALUE"""),15.2)</f>
        <v>15.2</v>
      </c>
      <c r="T2521" s="4">
        <f>IFERROR(__xludf.DUMMYFUNCTION("""COMPUTED_VALUE"""),0.07)</f>
        <v>0.07</v>
      </c>
      <c r="U2521" s="4">
        <f>IFERROR(__xludf.DUMMYFUNCTION("""COMPUTED_VALUE"""),-0.7)</f>
        <v>-0.7</v>
      </c>
      <c r="V2521" s="4">
        <f>IFERROR(__xludf.DUMMYFUNCTION("""COMPUTED_VALUE"""),3.5)</f>
        <v>3.5</v>
      </c>
    </row>
    <row r="2522">
      <c r="A2522" s="4">
        <f>IFERROR(__xludf.DUMMYFUNCTION("""COMPUTED_VALUE"""),46.0)</f>
        <v>46</v>
      </c>
      <c r="B2522" s="4">
        <f>IFERROR(__xludf.DUMMYFUNCTION("""COMPUTED_VALUE"""),46.0)</f>
        <v>46</v>
      </c>
      <c r="C2522" s="4" t="str">
        <f>IFERROR(__xludf.DUMMYFUNCTION("""COMPUTED_VALUE"""),"PHO")</f>
        <v>PHO</v>
      </c>
      <c r="D2522" s="4" t="str">
        <f>IFERROR(__xludf.DUMMYFUNCTION("""COMPUTED_VALUE"""),"Bruce Dalrymple")</f>
        <v>Bruce Dalrymple</v>
      </c>
      <c r="E2522" s="4" t="str">
        <f>IFERROR(__xludf.DUMMYFUNCTION("""COMPUTED_VALUE"""),"Georgia Tech")</f>
        <v>Georgia Tech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</row>
    <row r="2523">
      <c r="A2523" s="4"/>
      <c r="B2523" s="4"/>
      <c r="C2523" s="4"/>
      <c r="D2523" s="4" t="str">
        <f>IFERROR(__xludf.DUMMYFUNCTION("""COMPUTED_VALUE"""),"Round 3")</f>
        <v>Round 3</v>
      </c>
      <c r="E2523" s="4"/>
      <c r="F2523" s="4"/>
      <c r="G2523" s="4" t="str">
        <f>IFERROR(__xludf.DUMMYFUNCTION("""COMPUTED_VALUE"""),"Totals")</f>
        <v>Totals</v>
      </c>
      <c r="H2523" s="4"/>
      <c r="I2523" s="4"/>
      <c r="J2523" s="4"/>
      <c r="K2523" s="4"/>
      <c r="L2523" s="4" t="str">
        <f>IFERROR(__xludf.DUMMYFUNCTION("""COMPUTED_VALUE"""),"Shooting")</f>
        <v>Shooting</v>
      </c>
      <c r="M2523" s="4"/>
      <c r="N2523" s="4"/>
      <c r="O2523" s="4" t="str">
        <f>IFERROR(__xludf.DUMMYFUNCTION("""COMPUTED_VALUE"""),"Per Game")</f>
        <v>Per Game</v>
      </c>
      <c r="P2523" s="4"/>
      <c r="Q2523" s="4"/>
      <c r="R2523" s="4"/>
      <c r="S2523" s="4" t="str">
        <f>IFERROR(__xludf.DUMMYFUNCTION("""COMPUTED_VALUE"""),"Advanced")</f>
        <v>Advanced</v>
      </c>
      <c r="T2523" s="4"/>
      <c r="U2523" s="4"/>
      <c r="V2523" s="4"/>
    </row>
    <row r="2524">
      <c r="A2524" s="4" t="str">
        <f>IFERROR(__xludf.DUMMYFUNCTION("""COMPUTED_VALUE"""),"Rk")</f>
        <v>Rk</v>
      </c>
      <c r="B2524" s="4" t="str">
        <f>IFERROR(__xludf.DUMMYFUNCTION("""COMPUTED_VALUE"""),"Pk")</f>
        <v>Pk</v>
      </c>
      <c r="C2524" s="4" t="str">
        <f>IFERROR(__xludf.DUMMYFUNCTION("""COMPUTED_VALUE"""),"Tm")</f>
        <v>Tm</v>
      </c>
      <c r="D2524" s="4" t="str">
        <f>IFERROR(__xludf.DUMMYFUNCTION("""COMPUTED_VALUE"""),"Player")</f>
        <v>Player</v>
      </c>
      <c r="E2524" s="4" t="str">
        <f>IFERROR(__xludf.DUMMYFUNCTION("""COMPUTED_VALUE"""),"College")</f>
        <v>College</v>
      </c>
      <c r="F2524" s="4" t="str">
        <f>IFERROR(__xludf.DUMMYFUNCTION("""COMPUTED_VALUE"""),"Yrs")</f>
        <v>Yrs</v>
      </c>
      <c r="G2524" s="4" t="str">
        <f>IFERROR(__xludf.DUMMYFUNCTION("""COMPUTED_VALUE"""),"G")</f>
        <v>G</v>
      </c>
      <c r="H2524" s="4" t="str">
        <f>IFERROR(__xludf.DUMMYFUNCTION("""COMPUTED_VALUE"""),"MP")</f>
        <v>MP</v>
      </c>
      <c r="I2524" s="4" t="str">
        <f>IFERROR(__xludf.DUMMYFUNCTION("""COMPUTED_VALUE"""),"PTS")</f>
        <v>PTS</v>
      </c>
      <c r="J2524" s="4" t="str">
        <f>IFERROR(__xludf.DUMMYFUNCTION("""COMPUTED_VALUE"""),"TRB")</f>
        <v>TRB</v>
      </c>
      <c r="K2524" s="4" t="str">
        <f>IFERROR(__xludf.DUMMYFUNCTION("""COMPUTED_VALUE"""),"AST")</f>
        <v>AST</v>
      </c>
      <c r="L2524" s="4" t="str">
        <f>IFERROR(__xludf.DUMMYFUNCTION("""COMPUTED_VALUE"""),"FG%")</f>
        <v>FG%</v>
      </c>
      <c r="M2524" s="4" t="str">
        <f>IFERROR(__xludf.DUMMYFUNCTION("""COMPUTED_VALUE"""),"3P%")</f>
        <v>3P%</v>
      </c>
      <c r="N2524" s="4" t="str">
        <f>IFERROR(__xludf.DUMMYFUNCTION("""COMPUTED_VALUE"""),"FT%")</f>
        <v>FT%</v>
      </c>
      <c r="O2524" s="4" t="str">
        <f>IFERROR(__xludf.DUMMYFUNCTION("""COMPUTED_VALUE"""),"MP")</f>
        <v>MP</v>
      </c>
      <c r="P2524" s="4" t="str">
        <f>IFERROR(__xludf.DUMMYFUNCTION("""COMPUTED_VALUE"""),"PTS")</f>
        <v>PTS</v>
      </c>
      <c r="Q2524" s="4" t="str">
        <f>IFERROR(__xludf.DUMMYFUNCTION("""COMPUTED_VALUE"""),"TRB")</f>
        <v>TRB</v>
      </c>
      <c r="R2524" s="4" t="str">
        <f>IFERROR(__xludf.DUMMYFUNCTION("""COMPUTED_VALUE"""),"AST")</f>
        <v>AST</v>
      </c>
      <c r="S2524" s="4" t="str">
        <f>IFERROR(__xludf.DUMMYFUNCTION("""COMPUTED_VALUE"""),"WS")</f>
        <v>WS</v>
      </c>
      <c r="T2524" s="4" t="str">
        <f>IFERROR(__xludf.DUMMYFUNCTION("""COMPUTED_VALUE"""),"WS/48")</f>
        <v>WS/48</v>
      </c>
      <c r="U2524" s="4" t="str">
        <f>IFERROR(__xludf.DUMMYFUNCTION("""COMPUTED_VALUE"""),"BPM")</f>
        <v>BPM</v>
      </c>
      <c r="V2524" s="4" t="str">
        <f>IFERROR(__xludf.DUMMYFUNCTION("""COMPUTED_VALUE"""),"VORP")</f>
        <v>VORP</v>
      </c>
    </row>
    <row r="2525">
      <c r="A2525" s="4">
        <f>IFERROR(__xludf.DUMMYFUNCTION("""COMPUTED_VALUE"""),47.0)</f>
        <v>47</v>
      </c>
      <c r="B2525" s="4">
        <f>IFERROR(__xludf.DUMMYFUNCTION("""COMPUTED_VALUE"""),47.0)</f>
        <v>47</v>
      </c>
      <c r="C2525" s="4" t="str">
        <f>IFERROR(__xludf.DUMMYFUNCTION("""COMPUTED_VALUE"""),"LAC")</f>
        <v>LAC</v>
      </c>
      <c r="D2525" s="4" t="str">
        <f>IFERROR(__xludf.DUMMYFUNCTION("""COMPUTED_VALUE"""),"Tim McCalister")</f>
        <v>Tim McCalister</v>
      </c>
      <c r="E2525" s="4" t="str">
        <f>IFERROR(__xludf.DUMMYFUNCTION("""COMPUTED_VALUE"""),"Oklahoma")</f>
        <v>Oklahoma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</row>
    <row r="2526">
      <c r="A2526" s="4">
        <f>IFERROR(__xludf.DUMMYFUNCTION("""COMPUTED_VALUE"""),48.0)</f>
        <v>48</v>
      </c>
      <c r="B2526" s="4">
        <f>IFERROR(__xludf.DUMMYFUNCTION("""COMPUTED_VALUE"""),48.0)</f>
        <v>48</v>
      </c>
      <c r="C2526" s="4" t="str">
        <f>IFERROR(__xludf.DUMMYFUNCTION("""COMPUTED_VALUE"""),"NJN")</f>
        <v>NJN</v>
      </c>
      <c r="D2526" s="4" t="str">
        <f>IFERROR(__xludf.DUMMYFUNCTION("""COMPUTED_VALUE"""),"Jamie Waller")</f>
        <v>Jamie Waller</v>
      </c>
      <c r="E2526" s="4" t="str">
        <f>IFERROR(__xludf.DUMMYFUNCTION("""COMPUTED_VALUE"""),"Virginia Union University")</f>
        <v>Virginia Union University</v>
      </c>
      <c r="F2526" s="4">
        <f>IFERROR(__xludf.DUMMYFUNCTION("""COMPUTED_VALUE"""),1.0)</f>
        <v>1</v>
      </c>
      <c r="G2526" s="4">
        <f>IFERROR(__xludf.DUMMYFUNCTION("""COMPUTED_VALUE"""),9.0)</f>
        <v>9</v>
      </c>
      <c r="H2526" s="4">
        <f>IFERROR(__xludf.DUMMYFUNCTION("""COMPUTED_VALUE"""),91.0)</f>
        <v>91</v>
      </c>
      <c r="I2526" s="4">
        <f>IFERROR(__xludf.DUMMYFUNCTION("""COMPUTED_VALUE"""),42.0)</f>
        <v>42</v>
      </c>
      <c r="J2526" s="4">
        <f>IFERROR(__xludf.DUMMYFUNCTION("""COMPUTED_VALUE"""),13.0)</f>
        <v>13</v>
      </c>
      <c r="K2526" s="4">
        <f>IFERROR(__xludf.DUMMYFUNCTION("""COMPUTED_VALUE"""),3.0)</f>
        <v>3</v>
      </c>
      <c r="L2526" s="4">
        <f>IFERROR(__xludf.DUMMYFUNCTION("""COMPUTED_VALUE"""),0.4)</f>
        <v>0.4</v>
      </c>
      <c r="M2526" s="4">
        <f>IFERROR(__xludf.DUMMYFUNCTION("""COMPUTED_VALUE"""),0.0)</f>
        <v>0</v>
      </c>
      <c r="N2526" s="4">
        <f>IFERROR(__xludf.DUMMYFUNCTION("""COMPUTED_VALUE"""),0.556)</f>
        <v>0.556</v>
      </c>
      <c r="O2526" s="4">
        <f>IFERROR(__xludf.DUMMYFUNCTION("""COMPUTED_VALUE"""),10.1)</f>
        <v>10.1</v>
      </c>
      <c r="P2526" s="4">
        <f>IFERROR(__xludf.DUMMYFUNCTION("""COMPUTED_VALUE"""),4.7)</f>
        <v>4.7</v>
      </c>
      <c r="Q2526" s="4">
        <f>IFERROR(__xludf.DUMMYFUNCTION("""COMPUTED_VALUE"""),1.4)</f>
        <v>1.4</v>
      </c>
      <c r="R2526" s="4">
        <f>IFERROR(__xludf.DUMMYFUNCTION("""COMPUTED_VALUE"""),0.3)</f>
        <v>0.3</v>
      </c>
      <c r="S2526" s="4">
        <f>IFERROR(__xludf.DUMMYFUNCTION("""COMPUTED_VALUE"""),-0.2)</f>
        <v>-0.2</v>
      </c>
      <c r="T2526" s="4">
        <f>IFERROR(__xludf.DUMMYFUNCTION("""COMPUTED_VALUE"""),-0.097)</f>
        <v>-0.097</v>
      </c>
      <c r="U2526" s="4">
        <f>IFERROR(__xludf.DUMMYFUNCTION("""COMPUTED_VALUE"""),-7.1)</f>
        <v>-7.1</v>
      </c>
      <c r="V2526" s="4">
        <f>IFERROR(__xludf.DUMMYFUNCTION("""COMPUTED_VALUE"""),-0.1)</f>
        <v>-0.1</v>
      </c>
    </row>
    <row r="2527">
      <c r="A2527" s="4">
        <f>IFERROR(__xludf.DUMMYFUNCTION("""COMPUTED_VALUE"""),49.0)</f>
        <v>49</v>
      </c>
      <c r="B2527" s="4">
        <f>IFERROR(__xludf.DUMMYFUNCTION("""COMPUTED_VALUE"""),49.0)</f>
        <v>49</v>
      </c>
      <c r="C2527" s="4" t="str">
        <f>IFERROR(__xludf.DUMMYFUNCTION("""COMPUTED_VALUE"""),"NYK")</f>
        <v>NYK</v>
      </c>
      <c r="D2527" s="4" t="str">
        <f>IFERROR(__xludf.DUMMYFUNCTION("""COMPUTED_VALUE"""),"Jerome Batiste")</f>
        <v>Jerome Batiste</v>
      </c>
      <c r="E2527" s="4" t="str">
        <f>IFERROR(__xludf.DUMMYFUNCTION("""COMPUTED_VALUE"""),"McNeese State University")</f>
        <v>McNeese State University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</row>
    <row r="2528">
      <c r="A2528" s="4">
        <f>IFERROR(__xludf.DUMMYFUNCTION("""COMPUTED_VALUE"""),50.0)</f>
        <v>50</v>
      </c>
      <c r="B2528" s="4">
        <f>IFERROR(__xludf.DUMMYFUNCTION("""COMPUTED_VALUE"""),50.0)</f>
        <v>50</v>
      </c>
      <c r="C2528" s="4" t="str">
        <f>IFERROR(__xludf.DUMMYFUNCTION("""COMPUTED_VALUE"""),"SAS")</f>
        <v>SAS</v>
      </c>
      <c r="D2528" s="4" t="str">
        <f>IFERROR(__xludf.DUMMYFUNCTION("""COMPUTED_VALUE"""),"Phil Zevenbergen")</f>
        <v>Phil Zevenbergen</v>
      </c>
      <c r="E2528" s="4" t="str">
        <f>IFERROR(__xludf.DUMMYFUNCTION("""COMPUTED_VALUE"""),"Washington")</f>
        <v>Washington</v>
      </c>
      <c r="F2528" s="4">
        <f>IFERROR(__xludf.DUMMYFUNCTION("""COMPUTED_VALUE"""),1.0)</f>
        <v>1</v>
      </c>
      <c r="G2528" s="4">
        <f>IFERROR(__xludf.DUMMYFUNCTION("""COMPUTED_VALUE"""),8.0)</f>
        <v>8</v>
      </c>
      <c r="H2528" s="4">
        <f>IFERROR(__xludf.DUMMYFUNCTION("""COMPUTED_VALUE"""),58.0)</f>
        <v>58</v>
      </c>
      <c r="I2528" s="4">
        <f>IFERROR(__xludf.DUMMYFUNCTION("""COMPUTED_VALUE"""),30.0)</f>
        <v>30</v>
      </c>
      <c r="J2528" s="4">
        <f>IFERROR(__xludf.DUMMYFUNCTION("""COMPUTED_VALUE"""),13.0)</f>
        <v>13</v>
      </c>
      <c r="K2528" s="4">
        <f>IFERROR(__xludf.DUMMYFUNCTION("""COMPUTED_VALUE"""),3.0)</f>
        <v>3</v>
      </c>
      <c r="L2528" s="4">
        <f>IFERROR(__xludf.DUMMYFUNCTION("""COMPUTED_VALUE"""),0.556)</f>
        <v>0.556</v>
      </c>
      <c r="M2528" s="4"/>
      <c r="N2528" s="4">
        <f>IFERROR(__xludf.DUMMYFUNCTION("""COMPUTED_VALUE"""),0.0)</f>
        <v>0</v>
      </c>
      <c r="O2528" s="4">
        <f>IFERROR(__xludf.DUMMYFUNCTION("""COMPUTED_VALUE"""),7.3)</f>
        <v>7.3</v>
      </c>
      <c r="P2528" s="4">
        <f>IFERROR(__xludf.DUMMYFUNCTION("""COMPUTED_VALUE"""),3.8)</f>
        <v>3.8</v>
      </c>
      <c r="Q2528" s="4">
        <f>IFERROR(__xludf.DUMMYFUNCTION("""COMPUTED_VALUE"""),1.6)</f>
        <v>1.6</v>
      </c>
      <c r="R2528" s="4">
        <f>IFERROR(__xludf.DUMMYFUNCTION("""COMPUTED_VALUE"""),0.4)</f>
        <v>0.4</v>
      </c>
      <c r="S2528" s="4">
        <f>IFERROR(__xludf.DUMMYFUNCTION("""COMPUTED_VALUE"""),0.0)</f>
        <v>0</v>
      </c>
      <c r="T2528" s="4">
        <f>IFERROR(__xludf.DUMMYFUNCTION("""COMPUTED_VALUE"""),0.041)</f>
        <v>0.041</v>
      </c>
      <c r="U2528" s="4">
        <f>IFERROR(__xludf.DUMMYFUNCTION("""COMPUTED_VALUE"""),-2.4)</f>
        <v>-2.4</v>
      </c>
      <c r="V2528" s="4">
        <f>IFERROR(__xludf.DUMMYFUNCTION("""COMPUTED_VALUE"""),0.0)</f>
        <v>0</v>
      </c>
    </row>
    <row r="2529">
      <c r="A2529" s="4">
        <f>IFERROR(__xludf.DUMMYFUNCTION("""COMPUTED_VALUE"""),51.0)</f>
        <v>51</v>
      </c>
      <c r="B2529" s="4">
        <f>IFERROR(__xludf.DUMMYFUNCTION("""COMPUTED_VALUE"""),51.0)</f>
        <v>51</v>
      </c>
      <c r="C2529" s="4" t="str">
        <f>IFERROR(__xludf.DUMMYFUNCTION("""COMPUTED_VALUE"""),"SAC")</f>
        <v>SAC</v>
      </c>
      <c r="D2529" s="4" t="str">
        <f>IFERROR(__xludf.DUMMYFUNCTION("""COMPUTED_VALUE"""),"Sven Meyer")</f>
        <v>Sven Meyer</v>
      </c>
      <c r="E2529" s="4" t="str">
        <f>IFERROR(__xludf.DUMMYFUNCTION("""COMPUTED_VALUE"""),"Oregon")</f>
        <v>Oregon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</row>
    <row r="2530">
      <c r="A2530" s="4">
        <f>IFERROR(__xludf.DUMMYFUNCTION("""COMPUTED_VALUE"""),52.0)</f>
        <v>52</v>
      </c>
      <c r="B2530" s="4">
        <f>IFERROR(__xludf.DUMMYFUNCTION("""COMPUTED_VALUE"""),52.0)</f>
        <v>52</v>
      </c>
      <c r="C2530" s="4" t="str">
        <f>IFERROR(__xludf.DUMMYFUNCTION("""COMPUTED_VALUE"""),"CLE")</f>
        <v>CLE</v>
      </c>
      <c r="D2530" s="4" t="str">
        <f>IFERROR(__xludf.DUMMYFUNCTION("""COMPUTED_VALUE"""),"Donald Royal")</f>
        <v>Donald Royal</v>
      </c>
      <c r="E2530" s="4" t="str">
        <f>IFERROR(__xludf.DUMMYFUNCTION("""COMPUTED_VALUE"""),"Notre Dame")</f>
        <v>Notre Dame</v>
      </c>
      <c r="F2530" s="4">
        <f>IFERROR(__xludf.DUMMYFUNCTION("""COMPUTED_VALUE"""),8.0)</f>
        <v>8</v>
      </c>
      <c r="G2530" s="4">
        <f>IFERROR(__xludf.DUMMYFUNCTION("""COMPUTED_VALUE"""),504.0)</f>
        <v>504</v>
      </c>
      <c r="H2530" s="4">
        <f>IFERROR(__xludf.DUMMYFUNCTION("""COMPUTED_VALUE"""),8442.0)</f>
        <v>8442</v>
      </c>
      <c r="I2530" s="4">
        <f>IFERROR(__xludf.DUMMYFUNCTION("""COMPUTED_VALUE"""),3161.0)</f>
        <v>3161</v>
      </c>
      <c r="J2530" s="4">
        <f>IFERROR(__xludf.DUMMYFUNCTION("""COMPUTED_VALUE"""),1431.0)</f>
        <v>1431</v>
      </c>
      <c r="K2530" s="4">
        <f>IFERROR(__xludf.DUMMYFUNCTION("""COMPUTED_VALUE"""),500.0)</f>
        <v>500</v>
      </c>
      <c r="L2530" s="4">
        <f>IFERROR(__xludf.DUMMYFUNCTION("""COMPUTED_VALUE"""),0.473)</f>
        <v>0.473</v>
      </c>
      <c r="M2530" s="4">
        <f>IFERROR(__xludf.DUMMYFUNCTION("""COMPUTED_VALUE"""),0.0)</f>
        <v>0</v>
      </c>
      <c r="N2530" s="4">
        <f>IFERROR(__xludf.DUMMYFUNCTION("""COMPUTED_VALUE"""),0.77)</f>
        <v>0.77</v>
      </c>
      <c r="O2530" s="4">
        <f>IFERROR(__xludf.DUMMYFUNCTION("""COMPUTED_VALUE"""),16.8)</f>
        <v>16.8</v>
      </c>
      <c r="P2530" s="4">
        <f>IFERROR(__xludf.DUMMYFUNCTION("""COMPUTED_VALUE"""),6.3)</f>
        <v>6.3</v>
      </c>
      <c r="Q2530" s="4">
        <f>IFERROR(__xludf.DUMMYFUNCTION("""COMPUTED_VALUE"""),2.8)</f>
        <v>2.8</v>
      </c>
      <c r="R2530" s="4">
        <f>IFERROR(__xludf.DUMMYFUNCTION("""COMPUTED_VALUE"""),1.0)</f>
        <v>1</v>
      </c>
      <c r="S2530" s="4">
        <f>IFERROR(__xludf.DUMMYFUNCTION("""COMPUTED_VALUE"""),19.1)</f>
        <v>19.1</v>
      </c>
      <c r="T2530" s="4">
        <f>IFERROR(__xludf.DUMMYFUNCTION("""COMPUTED_VALUE"""),0.109)</f>
        <v>0.109</v>
      </c>
      <c r="U2530" s="4">
        <f>IFERROR(__xludf.DUMMYFUNCTION("""COMPUTED_VALUE"""),-1.6)</f>
        <v>-1.6</v>
      </c>
      <c r="V2530" s="4">
        <f>IFERROR(__xludf.DUMMYFUNCTION("""COMPUTED_VALUE"""),0.9)</f>
        <v>0.9</v>
      </c>
    </row>
    <row r="2531">
      <c r="A2531" s="4">
        <f>IFERROR(__xludf.DUMMYFUNCTION("""COMPUTED_VALUE"""),53.0)</f>
        <v>53</v>
      </c>
      <c r="B2531" s="4">
        <f>IFERROR(__xludf.DUMMYFUNCTION("""COMPUTED_VALUE"""),53.0)</f>
        <v>53</v>
      </c>
      <c r="C2531" s="4" t="str">
        <f>IFERROR(__xludf.DUMMYFUNCTION("""COMPUTED_VALUE"""),"PHO")</f>
        <v>PHO</v>
      </c>
      <c r="D2531" s="4" t="str">
        <f>IFERROR(__xludf.DUMMYFUNCTION("""COMPUTED_VALUE"""),"Winston Crite")</f>
        <v>Winston Crite</v>
      </c>
      <c r="E2531" s="4" t="str">
        <f>IFERROR(__xludf.DUMMYFUNCTION("""COMPUTED_VALUE"""),"Texas A&amp;M")</f>
        <v>Texas A&amp;M</v>
      </c>
      <c r="F2531" s="4">
        <f>IFERROR(__xludf.DUMMYFUNCTION("""COMPUTED_VALUE"""),2.0)</f>
        <v>2</v>
      </c>
      <c r="G2531" s="4">
        <f>IFERROR(__xludf.DUMMYFUNCTION("""COMPUTED_VALUE"""),31.0)</f>
        <v>31</v>
      </c>
      <c r="H2531" s="4">
        <f>IFERROR(__xludf.DUMMYFUNCTION("""COMPUTED_VALUE"""),264.0)</f>
        <v>264</v>
      </c>
      <c r="I2531" s="4">
        <f>IFERROR(__xludf.DUMMYFUNCTION("""COMPUTED_VALUE"""),87.0)</f>
        <v>87</v>
      </c>
      <c r="J2531" s="4">
        <f>IFERROR(__xludf.DUMMYFUNCTION("""COMPUTED_VALUE"""),65.0)</f>
        <v>65</v>
      </c>
      <c r="K2531" s="4">
        <f>IFERROR(__xludf.DUMMYFUNCTION("""COMPUTED_VALUE"""),15.0)</f>
        <v>15</v>
      </c>
      <c r="L2531" s="4">
        <f>IFERROR(__xludf.DUMMYFUNCTION("""COMPUTED_VALUE"""),0.479)</f>
        <v>0.479</v>
      </c>
      <c r="M2531" s="4"/>
      <c r="N2531" s="4">
        <f>IFERROR(__xludf.DUMMYFUNCTION("""COMPUTED_VALUE"""),0.76)</f>
        <v>0.76</v>
      </c>
      <c r="O2531" s="4">
        <f>IFERROR(__xludf.DUMMYFUNCTION("""COMPUTED_VALUE"""),8.5)</f>
        <v>8.5</v>
      </c>
      <c r="P2531" s="4">
        <f>IFERROR(__xludf.DUMMYFUNCTION("""COMPUTED_VALUE"""),2.8)</f>
        <v>2.8</v>
      </c>
      <c r="Q2531" s="4">
        <f>IFERROR(__xludf.DUMMYFUNCTION("""COMPUTED_VALUE"""),2.1)</f>
        <v>2.1</v>
      </c>
      <c r="R2531" s="4">
        <f>IFERROR(__xludf.DUMMYFUNCTION("""COMPUTED_VALUE"""),0.5)</f>
        <v>0.5</v>
      </c>
      <c r="S2531" s="4">
        <f>IFERROR(__xludf.DUMMYFUNCTION("""COMPUTED_VALUE"""),0.1)</f>
        <v>0.1</v>
      </c>
      <c r="T2531" s="4">
        <f>IFERROR(__xludf.DUMMYFUNCTION("""COMPUTED_VALUE"""),0.012)</f>
        <v>0.012</v>
      </c>
      <c r="U2531" s="4">
        <f>IFERROR(__xludf.DUMMYFUNCTION("""COMPUTED_VALUE"""),-5.5)</f>
        <v>-5.5</v>
      </c>
      <c r="V2531" s="4">
        <f>IFERROR(__xludf.DUMMYFUNCTION("""COMPUTED_VALUE"""),-0.2)</f>
        <v>-0.2</v>
      </c>
    </row>
    <row r="2532">
      <c r="A2532" s="4">
        <f>IFERROR(__xludf.DUMMYFUNCTION("""COMPUTED_VALUE"""),54.0)</f>
        <v>54</v>
      </c>
      <c r="B2532" s="4">
        <f>IFERROR(__xludf.DUMMYFUNCTION("""COMPUTED_VALUE"""),54.0)</f>
        <v>54</v>
      </c>
      <c r="C2532" s="4" t="str">
        <f>IFERROR(__xludf.DUMMYFUNCTION("""COMPUTED_VALUE"""),"DEN")</f>
        <v>DEN</v>
      </c>
      <c r="D2532" s="4" t="str">
        <f>IFERROR(__xludf.DUMMYFUNCTION("""COMPUTED_VALUE"""),"Tom Schafer")</f>
        <v>Tom Schafer</v>
      </c>
      <c r="E2532" s="4" t="str">
        <f>IFERROR(__xludf.DUMMYFUNCTION("""COMPUTED_VALUE"""),"Iowa State")</f>
        <v>Iowa State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</row>
    <row r="2533">
      <c r="A2533" s="4">
        <f>IFERROR(__xludf.DUMMYFUNCTION("""COMPUTED_VALUE"""),55.0)</f>
        <v>55</v>
      </c>
      <c r="B2533" s="4">
        <f>IFERROR(__xludf.DUMMYFUNCTION("""COMPUTED_VALUE"""),55.0)</f>
        <v>55</v>
      </c>
      <c r="C2533" s="4" t="str">
        <f>IFERROR(__xludf.DUMMYFUNCTION("""COMPUTED_VALUE"""),"SEA")</f>
        <v>SEA</v>
      </c>
      <c r="D2533" s="4" t="str">
        <f>IFERROR(__xludf.DUMMYFUNCTION("""COMPUTED_VALUE"""),"Tommy Amaker")</f>
        <v>Tommy Amaker</v>
      </c>
      <c r="E2533" s="4" t="str">
        <f>IFERROR(__xludf.DUMMYFUNCTION("""COMPUTED_VALUE"""),"Duke")</f>
        <v>Duke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</row>
    <row r="2534">
      <c r="A2534" s="4">
        <f>IFERROR(__xludf.DUMMYFUNCTION("""COMPUTED_VALUE"""),56.0)</f>
        <v>56</v>
      </c>
      <c r="B2534" s="4">
        <f>IFERROR(__xludf.DUMMYFUNCTION("""COMPUTED_VALUE"""),56.0)</f>
        <v>56</v>
      </c>
      <c r="C2534" s="4" t="str">
        <f>IFERROR(__xludf.DUMMYFUNCTION("""COMPUTED_VALUE"""),"CHI")</f>
        <v>CHI</v>
      </c>
      <c r="D2534" s="4" t="str">
        <f>IFERROR(__xludf.DUMMYFUNCTION("""COMPUTED_VALUE"""),"John Fox")</f>
        <v>John Fox</v>
      </c>
      <c r="E2534" s="4" t="str">
        <f>IFERROR(__xludf.DUMMYFUNCTION("""COMPUTED_VALUE"""),"Millersville")</f>
        <v>Millersville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</row>
    <row r="2535">
      <c r="A2535" s="4">
        <f>IFERROR(__xludf.DUMMYFUNCTION("""COMPUTED_VALUE"""),57.0)</f>
        <v>57</v>
      </c>
      <c r="B2535" s="4">
        <f>IFERROR(__xludf.DUMMYFUNCTION("""COMPUTED_VALUE"""),57.0)</f>
        <v>57</v>
      </c>
      <c r="C2535" s="4" t="str">
        <f>IFERROR(__xludf.DUMMYFUNCTION("""COMPUTED_VALUE"""),"PHI")</f>
        <v>PHI</v>
      </c>
      <c r="D2535" s="4" t="str">
        <f>IFERROR(__xludf.DUMMYFUNCTION("""COMPUTED_VALUE"""),"Hansi Gnad")</f>
        <v>Hansi Gnad</v>
      </c>
      <c r="E2535" s="4" t="str">
        <f>IFERROR(__xludf.DUMMYFUNCTION("""COMPUTED_VALUE"""),"University of Alaska Anchorage")</f>
        <v>University of Alaska Anchorage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</row>
    <row r="2536">
      <c r="A2536" s="4">
        <f>IFERROR(__xludf.DUMMYFUNCTION("""COMPUTED_VALUE"""),58.0)</f>
        <v>58</v>
      </c>
      <c r="B2536" s="4">
        <f>IFERROR(__xludf.DUMMYFUNCTION("""COMPUTED_VALUE"""),58.0)</f>
        <v>58</v>
      </c>
      <c r="C2536" s="4" t="str">
        <f>IFERROR(__xludf.DUMMYFUNCTION("""COMPUTED_VALUE"""),"GSW")</f>
        <v>GSW</v>
      </c>
      <c r="D2536" s="4" t="str">
        <f>IFERROR(__xludf.DUMMYFUNCTION("""COMPUTED_VALUE"""),"Darryl Johnson")</f>
        <v>Darryl Johnson</v>
      </c>
      <c r="E2536" s="4" t="str">
        <f>IFERROR(__xludf.DUMMYFUNCTION("""COMPUTED_VALUE"""),"Michigan State")</f>
        <v>Michigan State</v>
      </c>
      <c r="F2536" s="4">
        <f>IFERROR(__xludf.DUMMYFUNCTION("""COMPUTED_VALUE"""),1.0)</f>
        <v>1</v>
      </c>
      <c r="G2536" s="4">
        <f>IFERROR(__xludf.DUMMYFUNCTION("""COMPUTED_VALUE"""),11.0)</f>
        <v>11</v>
      </c>
      <c r="H2536" s="4">
        <f>IFERROR(__xludf.DUMMYFUNCTION("""COMPUTED_VALUE"""),28.0)</f>
        <v>28</v>
      </c>
      <c r="I2536" s="4">
        <f>IFERROR(__xludf.DUMMYFUNCTION("""COMPUTED_VALUE"""),12.0)</f>
        <v>12</v>
      </c>
      <c r="J2536" s="4">
        <f>IFERROR(__xludf.DUMMYFUNCTION("""COMPUTED_VALUE"""),2.0)</f>
        <v>2</v>
      </c>
      <c r="K2536" s="4">
        <f>IFERROR(__xludf.DUMMYFUNCTION("""COMPUTED_VALUE"""),1.0)</f>
        <v>1</v>
      </c>
      <c r="L2536" s="4">
        <f>IFERROR(__xludf.DUMMYFUNCTION("""COMPUTED_VALUE"""),0.417)</f>
        <v>0.417</v>
      </c>
      <c r="M2536" s="4">
        <f>IFERROR(__xludf.DUMMYFUNCTION("""COMPUTED_VALUE"""),0.0)</f>
        <v>0</v>
      </c>
      <c r="N2536" s="4">
        <f>IFERROR(__xludf.DUMMYFUNCTION("""COMPUTED_VALUE"""),1.0)</f>
        <v>1</v>
      </c>
      <c r="O2536" s="4">
        <f>IFERROR(__xludf.DUMMYFUNCTION("""COMPUTED_VALUE"""),2.5)</f>
        <v>2.5</v>
      </c>
      <c r="P2536" s="4">
        <f>IFERROR(__xludf.DUMMYFUNCTION("""COMPUTED_VALUE"""),1.1)</f>
        <v>1.1</v>
      </c>
      <c r="Q2536" s="4">
        <f>IFERROR(__xludf.DUMMYFUNCTION("""COMPUTED_VALUE"""),0.2)</f>
        <v>0.2</v>
      </c>
      <c r="R2536" s="4">
        <f>IFERROR(__xludf.DUMMYFUNCTION("""COMPUTED_VALUE"""),0.1)</f>
        <v>0.1</v>
      </c>
      <c r="S2536" s="4">
        <f>IFERROR(__xludf.DUMMYFUNCTION("""COMPUTED_VALUE"""),0.0)</f>
        <v>0</v>
      </c>
      <c r="T2536" s="4">
        <f>IFERROR(__xludf.DUMMYFUNCTION("""COMPUTED_VALUE"""),0.01)</f>
        <v>0.01</v>
      </c>
      <c r="U2536" s="4">
        <f>IFERROR(__xludf.DUMMYFUNCTION("""COMPUTED_VALUE"""),-8.4)</f>
        <v>-8.4</v>
      </c>
      <c r="V2536" s="4">
        <f>IFERROR(__xludf.DUMMYFUNCTION("""COMPUTED_VALUE"""),0.0)</f>
        <v>0</v>
      </c>
    </row>
    <row r="2537">
      <c r="A2537" s="4">
        <f>IFERROR(__xludf.DUMMYFUNCTION("""COMPUTED_VALUE"""),59.0)</f>
        <v>59</v>
      </c>
      <c r="B2537" s="4">
        <f>IFERROR(__xludf.DUMMYFUNCTION("""COMPUTED_VALUE"""),59.0)</f>
        <v>59</v>
      </c>
      <c r="C2537" s="4" t="str">
        <f>IFERROR(__xludf.DUMMYFUNCTION("""COMPUTED_VALUE"""),"WSB")</f>
        <v>WSB</v>
      </c>
      <c r="D2537" s="4" t="str">
        <f>IFERROR(__xludf.DUMMYFUNCTION("""COMPUTED_VALUE"""),"Danny Pearson")</f>
        <v>Danny Pearson</v>
      </c>
      <c r="E2537" s="4" t="str">
        <f>IFERROR(__xludf.DUMMYFUNCTION("""COMPUTED_VALUE"""),"Jacksonville University")</f>
        <v>Jacksonville University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</row>
    <row r="2538">
      <c r="A2538" s="4">
        <f>IFERROR(__xludf.DUMMYFUNCTION("""COMPUTED_VALUE"""),60.0)</f>
        <v>60</v>
      </c>
      <c r="B2538" s="4">
        <f>IFERROR(__xludf.DUMMYFUNCTION("""COMPUTED_VALUE"""),60.0)</f>
        <v>60</v>
      </c>
      <c r="C2538" s="4" t="str">
        <f>IFERROR(__xludf.DUMMYFUNCTION("""COMPUTED_VALUE"""),"IND")</f>
        <v>IND</v>
      </c>
      <c r="D2538" s="4" t="str">
        <f>IFERROR(__xludf.DUMMYFUNCTION("""COMPUTED_VALUE"""),"Sean Couch")</f>
        <v>Sean Couch</v>
      </c>
      <c r="E2538" s="4" t="str">
        <f>IFERROR(__xludf.DUMMYFUNCTION("""COMPUTED_VALUE"""),"Columbia University")</f>
        <v>Columbia University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</row>
    <row r="2539">
      <c r="A2539" s="4">
        <f>IFERROR(__xludf.DUMMYFUNCTION("""COMPUTED_VALUE"""),61.0)</f>
        <v>61</v>
      </c>
      <c r="B2539" s="4">
        <f>IFERROR(__xludf.DUMMYFUNCTION("""COMPUTED_VALUE"""),61.0)</f>
        <v>61</v>
      </c>
      <c r="C2539" s="4" t="str">
        <f>IFERROR(__xludf.DUMMYFUNCTION("""COMPUTED_VALUE"""),"UTA")</f>
        <v>UTA</v>
      </c>
      <c r="D2539" s="4" t="str">
        <f>IFERROR(__xludf.DUMMYFUNCTION("""COMPUTED_VALUE"""),"Clarence Martin")</f>
        <v>Clarence Martin</v>
      </c>
      <c r="E2539" s="4" t="str">
        <f>IFERROR(__xludf.DUMMYFUNCTION("""COMPUTED_VALUE"""),"Western Kentucky")</f>
        <v>Western Kentucky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</row>
    <row r="2540">
      <c r="A2540" s="4">
        <f>IFERROR(__xludf.DUMMYFUNCTION("""COMPUTED_VALUE"""),62.0)</f>
        <v>62</v>
      </c>
      <c r="B2540" s="4">
        <f>IFERROR(__xludf.DUMMYFUNCTION("""COMPUTED_VALUE"""),62.0)</f>
        <v>62</v>
      </c>
      <c r="C2540" s="4" t="str">
        <f>IFERROR(__xludf.DUMMYFUNCTION("""COMPUTED_VALUE"""),"PHI")</f>
        <v>PHI</v>
      </c>
      <c r="D2540" s="4" t="str">
        <f>IFERROR(__xludf.DUMMYFUNCTION("""COMPUTED_VALUE"""),"Eric Riggins")</f>
        <v>Eric Riggins</v>
      </c>
      <c r="E2540" s="4" t="str">
        <f>IFERROR(__xludf.DUMMYFUNCTION("""COMPUTED_VALUE"""),"Rutgers University")</f>
        <v>Rutgers University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</row>
    <row r="2541">
      <c r="A2541" s="4">
        <f>IFERROR(__xludf.DUMMYFUNCTION("""COMPUTED_VALUE"""),63.0)</f>
        <v>63</v>
      </c>
      <c r="B2541" s="4">
        <f>IFERROR(__xludf.DUMMYFUNCTION("""COMPUTED_VALUE"""),63.0)</f>
        <v>63</v>
      </c>
      <c r="C2541" s="4" t="str">
        <f>IFERROR(__xludf.DUMMYFUNCTION("""COMPUTED_VALUE"""),"POR")</f>
        <v>POR</v>
      </c>
      <c r="D2541" s="4" t="str">
        <f>IFERROR(__xludf.DUMMYFUNCTION("""COMPUTED_VALUE"""),"Kevin Gamble")</f>
        <v>Kevin Gamble</v>
      </c>
      <c r="E2541" s="4" t="str">
        <f>IFERROR(__xludf.DUMMYFUNCTION("""COMPUTED_VALUE"""),"Iowa")</f>
        <v>Iowa</v>
      </c>
      <c r="F2541" s="4">
        <f>IFERROR(__xludf.DUMMYFUNCTION("""COMPUTED_VALUE"""),10.0)</f>
        <v>10</v>
      </c>
      <c r="G2541" s="4">
        <f>IFERROR(__xludf.DUMMYFUNCTION("""COMPUTED_VALUE"""),649.0)</f>
        <v>649</v>
      </c>
      <c r="H2541" s="4">
        <f>IFERROR(__xludf.DUMMYFUNCTION("""COMPUTED_VALUE"""),14508.0)</f>
        <v>14508</v>
      </c>
      <c r="I2541" s="4">
        <f>IFERROR(__xludf.DUMMYFUNCTION("""COMPUTED_VALUE"""),6154.0)</f>
        <v>6154</v>
      </c>
      <c r="J2541" s="4">
        <f>IFERROR(__xludf.DUMMYFUNCTION("""COMPUTED_VALUE"""),1457.0)</f>
        <v>1457</v>
      </c>
      <c r="K2541" s="4">
        <f>IFERROR(__xludf.DUMMYFUNCTION("""COMPUTED_VALUE"""),1300.0)</f>
        <v>1300</v>
      </c>
      <c r="L2541" s="4">
        <f>IFERROR(__xludf.DUMMYFUNCTION("""COMPUTED_VALUE"""),0.502)</f>
        <v>0.502</v>
      </c>
      <c r="M2541" s="4">
        <f>IFERROR(__xludf.DUMMYFUNCTION("""COMPUTED_VALUE"""),0.36)</f>
        <v>0.36</v>
      </c>
      <c r="N2541" s="4">
        <f>IFERROR(__xludf.DUMMYFUNCTION("""COMPUTED_VALUE"""),0.81)</f>
        <v>0.81</v>
      </c>
      <c r="O2541" s="4">
        <f>IFERROR(__xludf.DUMMYFUNCTION("""COMPUTED_VALUE"""),22.4)</f>
        <v>22.4</v>
      </c>
      <c r="P2541" s="4">
        <f>IFERROR(__xludf.DUMMYFUNCTION("""COMPUTED_VALUE"""),9.5)</f>
        <v>9.5</v>
      </c>
      <c r="Q2541" s="4">
        <f>IFERROR(__xludf.DUMMYFUNCTION("""COMPUTED_VALUE"""),2.2)</f>
        <v>2.2</v>
      </c>
      <c r="R2541" s="4">
        <f>IFERROR(__xludf.DUMMYFUNCTION("""COMPUTED_VALUE"""),2.0)</f>
        <v>2</v>
      </c>
      <c r="S2541" s="4">
        <f>IFERROR(__xludf.DUMMYFUNCTION("""COMPUTED_VALUE"""),33.3)</f>
        <v>33.3</v>
      </c>
      <c r="T2541" s="4">
        <f>IFERROR(__xludf.DUMMYFUNCTION("""COMPUTED_VALUE"""),0.11)</f>
        <v>0.11</v>
      </c>
      <c r="U2541" s="4">
        <f>IFERROR(__xludf.DUMMYFUNCTION("""COMPUTED_VALUE"""),0.2)</f>
        <v>0.2</v>
      </c>
      <c r="V2541" s="4">
        <f>IFERROR(__xludf.DUMMYFUNCTION("""COMPUTED_VALUE"""),8.1)</f>
        <v>8.1</v>
      </c>
    </row>
    <row r="2542">
      <c r="A2542" s="4">
        <f>IFERROR(__xludf.DUMMYFUNCTION("""COMPUTED_VALUE"""),64.0)</f>
        <v>64</v>
      </c>
      <c r="B2542" s="4">
        <f>IFERROR(__xludf.DUMMYFUNCTION("""COMPUTED_VALUE"""),64.0)</f>
        <v>64</v>
      </c>
      <c r="C2542" s="4" t="str">
        <f>IFERROR(__xludf.DUMMYFUNCTION("""COMPUTED_VALUE"""),"MIL")</f>
        <v>MIL</v>
      </c>
      <c r="D2542" s="4" t="str">
        <f>IFERROR(__xludf.DUMMYFUNCTION("""COMPUTED_VALUE"""),"J. J. Weber")</f>
        <v>J. J. Weber</v>
      </c>
      <c r="E2542" s="4" t="str">
        <f>IFERROR(__xludf.DUMMYFUNCTION("""COMPUTED_VALUE"""),"Wisconsin")</f>
        <v>Wisconsin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</row>
    <row r="2543">
      <c r="A2543" s="4">
        <f>IFERROR(__xludf.DUMMYFUNCTION("""COMPUTED_VALUE"""),65.0)</f>
        <v>65</v>
      </c>
      <c r="B2543" s="4">
        <f>IFERROR(__xludf.DUMMYFUNCTION("""COMPUTED_VALUE"""),65.0)</f>
        <v>65</v>
      </c>
      <c r="C2543" s="4" t="str">
        <f>IFERROR(__xludf.DUMMYFUNCTION("""COMPUTED_VALUE"""),"DET")</f>
        <v>DET</v>
      </c>
      <c r="D2543" s="4" t="str">
        <f>IFERROR(__xludf.DUMMYFUNCTION("""COMPUTED_VALUE"""),"Eric White")</f>
        <v>Eric White</v>
      </c>
      <c r="E2543" s="4" t="str">
        <f>IFERROR(__xludf.DUMMYFUNCTION("""COMPUTED_VALUE"""),"Pepperdine")</f>
        <v>Pepperdine</v>
      </c>
      <c r="F2543" s="4">
        <f>IFERROR(__xludf.DUMMYFUNCTION("""COMPUTED_VALUE"""),2.0)</f>
        <v>2</v>
      </c>
      <c r="G2543" s="4">
        <f>IFERROR(__xludf.DUMMYFUNCTION("""COMPUTED_VALUE"""),55.0)</f>
        <v>55</v>
      </c>
      <c r="H2543" s="4">
        <f>IFERROR(__xludf.DUMMYFUNCTION("""COMPUTED_VALUE"""),788.0)</f>
        <v>788</v>
      </c>
      <c r="I2543" s="4">
        <f>IFERROR(__xludf.DUMMYFUNCTION("""COMPUTED_VALUE"""),336.0)</f>
        <v>336</v>
      </c>
      <c r="J2543" s="4">
        <f>IFERROR(__xludf.DUMMYFUNCTION("""COMPUTED_VALUE"""),132.0)</f>
        <v>132</v>
      </c>
      <c r="K2543" s="4">
        <f>IFERROR(__xludf.DUMMYFUNCTION("""COMPUTED_VALUE"""),26.0)</f>
        <v>26</v>
      </c>
      <c r="L2543" s="4">
        <f>IFERROR(__xludf.DUMMYFUNCTION("""COMPUTED_VALUE"""),0.525)</f>
        <v>0.525</v>
      </c>
      <c r="M2543" s="4">
        <f>IFERROR(__xludf.DUMMYFUNCTION("""COMPUTED_VALUE"""),1.0)</f>
        <v>1</v>
      </c>
      <c r="N2543" s="4">
        <f>IFERROR(__xludf.DUMMYFUNCTION("""COMPUTED_VALUE"""),0.798)</f>
        <v>0.798</v>
      </c>
      <c r="O2543" s="4">
        <f>IFERROR(__xludf.DUMMYFUNCTION("""COMPUTED_VALUE"""),14.3)</f>
        <v>14.3</v>
      </c>
      <c r="P2543" s="4">
        <f>IFERROR(__xludf.DUMMYFUNCTION("""COMPUTED_VALUE"""),6.1)</f>
        <v>6.1</v>
      </c>
      <c r="Q2543" s="4">
        <f>IFERROR(__xludf.DUMMYFUNCTION("""COMPUTED_VALUE"""),2.4)</f>
        <v>2.4</v>
      </c>
      <c r="R2543" s="4">
        <f>IFERROR(__xludf.DUMMYFUNCTION("""COMPUTED_VALUE"""),0.5)</f>
        <v>0.5</v>
      </c>
      <c r="S2543" s="4">
        <f>IFERROR(__xludf.DUMMYFUNCTION("""COMPUTED_VALUE"""),1.3)</f>
        <v>1.3</v>
      </c>
      <c r="T2543" s="4">
        <f>IFERROR(__xludf.DUMMYFUNCTION("""COMPUTED_VALUE"""),0.079)</f>
        <v>0.079</v>
      </c>
      <c r="U2543" s="4">
        <f>IFERROR(__xludf.DUMMYFUNCTION("""COMPUTED_VALUE"""),-3.1)</f>
        <v>-3.1</v>
      </c>
      <c r="V2543" s="4">
        <f>IFERROR(__xludf.DUMMYFUNCTION("""COMPUTED_VALUE"""),-0.2)</f>
        <v>-0.2</v>
      </c>
    </row>
    <row r="2544">
      <c r="A2544" s="4">
        <f>IFERROR(__xludf.DUMMYFUNCTION("""COMPUTED_VALUE"""),66.0)</f>
        <v>66</v>
      </c>
      <c r="B2544" s="4">
        <f>IFERROR(__xludf.DUMMYFUNCTION("""COMPUTED_VALUE"""),66.0)</f>
        <v>66</v>
      </c>
      <c r="C2544" s="4" t="str">
        <f>IFERROR(__xludf.DUMMYFUNCTION("""COMPUTED_VALUE"""),"DAL")</f>
        <v>DAL</v>
      </c>
      <c r="D2544" s="4" t="str">
        <f>IFERROR(__xludf.DUMMYFUNCTION("""COMPUTED_VALUE"""),"Mike Richmond")</f>
        <v>Mike Richmond</v>
      </c>
      <c r="E2544" s="4" t="str">
        <f>IFERROR(__xludf.DUMMYFUNCTION("""COMPUTED_VALUE"""),"Texas-El Paso")</f>
        <v>Texas-El Paso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</row>
    <row r="2545">
      <c r="A2545" s="4">
        <f>IFERROR(__xludf.DUMMYFUNCTION("""COMPUTED_VALUE"""),67.0)</f>
        <v>67</v>
      </c>
      <c r="B2545" s="4">
        <f>IFERROR(__xludf.DUMMYFUNCTION("""COMPUTED_VALUE"""),67.0)</f>
        <v>67</v>
      </c>
      <c r="C2545" s="4" t="str">
        <f>IFERROR(__xludf.DUMMYFUNCTION("""COMPUTED_VALUE"""),"ATL")</f>
        <v>ATL</v>
      </c>
      <c r="D2545" s="4" t="str">
        <f>IFERROR(__xludf.DUMMYFUNCTION("""COMPUTED_VALUE"""),"Song Tao")</f>
        <v>Song Tao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</row>
    <row r="2546">
      <c r="A2546" s="4">
        <f>IFERROR(__xludf.DUMMYFUNCTION("""COMPUTED_VALUE"""),68.0)</f>
        <v>68</v>
      </c>
      <c r="B2546" s="4">
        <f>IFERROR(__xludf.DUMMYFUNCTION("""COMPUTED_VALUE"""),68.0)</f>
        <v>68</v>
      </c>
      <c r="C2546" s="4" t="str">
        <f>IFERROR(__xludf.DUMMYFUNCTION("""COMPUTED_VALUE"""),"UTA")</f>
        <v>UTA</v>
      </c>
      <c r="D2546" s="4" t="str">
        <f>IFERROR(__xludf.DUMMYFUNCTION("""COMPUTED_VALUE"""),"Billy Donovan")</f>
        <v>Billy Donovan</v>
      </c>
      <c r="E2546" s="4" t="str">
        <f>IFERROR(__xludf.DUMMYFUNCTION("""COMPUTED_VALUE"""),"Providence")</f>
        <v>Providence</v>
      </c>
      <c r="F2546" s="4">
        <f>IFERROR(__xludf.DUMMYFUNCTION("""COMPUTED_VALUE"""),1.0)</f>
        <v>1</v>
      </c>
      <c r="G2546" s="4">
        <f>IFERROR(__xludf.DUMMYFUNCTION("""COMPUTED_VALUE"""),44.0)</f>
        <v>44</v>
      </c>
      <c r="H2546" s="4">
        <f>IFERROR(__xludf.DUMMYFUNCTION("""COMPUTED_VALUE"""),364.0)</f>
        <v>364</v>
      </c>
      <c r="I2546" s="4">
        <f>IFERROR(__xludf.DUMMYFUNCTION("""COMPUTED_VALUE"""),105.0)</f>
        <v>105</v>
      </c>
      <c r="J2546" s="4">
        <f>IFERROR(__xludf.DUMMYFUNCTION("""COMPUTED_VALUE"""),25.0)</f>
        <v>25</v>
      </c>
      <c r="K2546" s="4">
        <f>IFERROR(__xludf.DUMMYFUNCTION("""COMPUTED_VALUE"""),87.0)</f>
        <v>87</v>
      </c>
      <c r="L2546" s="4">
        <f>IFERROR(__xludf.DUMMYFUNCTION("""COMPUTED_VALUE"""),0.404)</f>
        <v>0.404</v>
      </c>
      <c r="M2546" s="4">
        <f>IFERROR(__xludf.DUMMYFUNCTION("""COMPUTED_VALUE"""),0.0)</f>
        <v>0</v>
      </c>
      <c r="N2546" s="4">
        <f>IFERROR(__xludf.DUMMYFUNCTION("""COMPUTED_VALUE"""),0.81)</f>
        <v>0.81</v>
      </c>
      <c r="O2546" s="4">
        <f>IFERROR(__xludf.DUMMYFUNCTION("""COMPUTED_VALUE"""),8.3)</f>
        <v>8.3</v>
      </c>
      <c r="P2546" s="4">
        <f>IFERROR(__xludf.DUMMYFUNCTION("""COMPUTED_VALUE"""),2.4)</f>
        <v>2.4</v>
      </c>
      <c r="Q2546" s="4">
        <f>IFERROR(__xludf.DUMMYFUNCTION("""COMPUTED_VALUE"""),0.6)</f>
        <v>0.6</v>
      </c>
      <c r="R2546" s="4">
        <f>IFERROR(__xludf.DUMMYFUNCTION("""COMPUTED_VALUE"""),2.0)</f>
        <v>2</v>
      </c>
      <c r="S2546" s="4">
        <f>IFERROR(__xludf.DUMMYFUNCTION("""COMPUTED_VALUE"""),-0.1)</f>
        <v>-0.1</v>
      </c>
      <c r="T2546" s="4">
        <f>IFERROR(__xludf.DUMMYFUNCTION("""COMPUTED_VALUE"""),-0.009)</f>
        <v>-0.009</v>
      </c>
      <c r="U2546" s="4">
        <f>IFERROR(__xludf.DUMMYFUNCTION("""COMPUTED_VALUE"""),-3.7)</f>
        <v>-3.7</v>
      </c>
      <c r="V2546" s="4">
        <f>IFERROR(__xludf.DUMMYFUNCTION("""COMPUTED_VALUE"""),-0.2)</f>
        <v>-0.2</v>
      </c>
    </row>
    <row r="2547">
      <c r="A2547" s="4">
        <f>IFERROR(__xludf.DUMMYFUNCTION("""COMPUTED_VALUE"""),69.0)</f>
        <v>69</v>
      </c>
      <c r="B2547" s="4">
        <f>IFERROR(__xludf.DUMMYFUNCTION("""COMPUTED_VALUE"""),69.0)</f>
        <v>69</v>
      </c>
      <c r="C2547" s="4" t="str">
        <f>IFERROR(__xludf.DUMMYFUNCTION("""COMPUTED_VALUE"""),"LAL")</f>
        <v>LAL</v>
      </c>
      <c r="D2547" s="4" t="str">
        <f>IFERROR(__xludf.DUMMYFUNCTION("""COMPUTED_VALUE"""),"Willie Glass")</f>
        <v>Willie Glass</v>
      </c>
      <c r="E2547" s="4" t="str">
        <f>IFERROR(__xludf.DUMMYFUNCTION("""COMPUTED_VALUE"""),"St. John's")</f>
        <v>St. John's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</row>
    <row r="2548">
      <c r="A2548" s="4"/>
      <c r="B2548" s="4"/>
      <c r="C2548" s="4"/>
      <c r="D2548" s="4" t="str">
        <f>IFERROR(__xludf.DUMMYFUNCTION("""COMPUTED_VALUE"""),"Round 4")</f>
        <v>Round 4</v>
      </c>
      <c r="E2548" s="4"/>
      <c r="F2548" s="4"/>
      <c r="G2548" s="4" t="str">
        <f>IFERROR(__xludf.DUMMYFUNCTION("""COMPUTED_VALUE"""),"Totals")</f>
        <v>Totals</v>
      </c>
      <c r="H2548" s="4"/>
      <c r="I2548" s="4"/>
      <c r="J2548" s="4"/>
      <c r="K2548" s="4"/>
      <c r="L2548" s="4" t="str">
        <f>IFERROR(__xludf.DUMMYFUNCTION("""COMPUTED_VALUE"""),"Shooting")</f>
        <v>Shooting</v>
      </c>
      <c r="M2548" s="4"/>
      <c r="N2548" s="4"/>
      <c r="O2548" s="4" t="str">
        <f>IFERROR(__xludf.DUMMYFUNCTION("""COMPUTED_VALUE"""),"Per Game")</f>
        <v>Per Game</v>
      </c>
      <c r="P2548" s="4"/>
      <c r="Q2548" s="4"/>
      <c r="R2548" s="4"/>
      <c r="S2548" s="4" t="str">
        <f>IFERROR(__xludf.DUMMYFUNCTION("""COMPUTED_VALUE"""),"Advanced")</f>
        <v>Advanced</v>
      </c>
      <c r="T2548" s="4"/>
      <c r="U2548" s="4"/>
      <c r="V2548" s="4"/>
    </row>
    <row r="2549">
      <c r="A2549" s="4" t="str">
        <f>IFERROR(__xludf.DUMMYFUNCTION("""COMPUTED_VALUE"""),"Rk")</f>
        <v>Rk</v>
      </c>
      <c r="B2549" s="4" t="str">
        <f>IFERROR(__xludf.DUMMYFUNCTION("""COMPUTED_VALUE"""),"Pk")</f>
        <v>Pk</v>
      </c>
      <c r="C2549" s="4" t="str">
        <f>IFERROR(__xludf.DUMMYFUNCTION("""COMPUTED_VALUE"""),"Tm")</f>
        <v>Tm</v>
      </c>
      <c r="D2549" s="4" t="str">
        <f>IFERROR(__xludf.DUMMYFUNCTION("""COMPUTED_VALUE"""),"Player")</f>
        <v>Player</v>
      </c>
      <c r="E2549" s="4" t="str">
        <f>IFERROR(__xludf.DUMMYFUNCTION("""COMPUTED_VALUE"""),"College")</f>
        <v>College</v>
      </c>
      <c r="F2549" s="4" t="str">
        <f>IFERROR(__xludf.DUMMYFUNCTION("""COMPUTED_VALUE"""),"Yrs")</f>
        <v>Yrs</v>
      </c>
      <c r="G2549" s="4" t="str">
        <f>IFERROR(__xludf.DUMMYFUNCTION("""COMPUTED_VALUE"""),"G")</f>
        <v>G</v>
      </c>
      <c r="H2549" s="4" t="str">
        <f>IFERROR(__xludf.DUMMYFUNCTION("""COMPUTED_VALUE"""),"MP")</f>
        <v>MP</v>
      </c>
      <c r="I2549" s="4" t="str">
        <f>IFERROR(__xludf.DUMMYFUNCTION("""COMPUTED_VALUE"""),"PTS")</f>
        <v>PTS</v>
      </c>
      <c r="J2549" s="4" t="str">
        <f>IFERROR(__xludf.DUMMYFUNCTION("""COMPUTED_VALUE"""),"TRB")</f>
        <v>TRB</v>
      </c>
      <c r="K2549" s="4" t="str">
        <f>IFERROR(__xludf.DUMMYFUNCTION("""COMPUTED_VALUE"""),"AST")</f>
        <v>AST</v>
      </c>
      <c r="L2549" s="4" t="str">
        <f>IFERROR(__xludf.DUMMYFUNCTION("""COMPUTED_VALUE"""),"FG%")</f>
        <v>FG%</v>
      </c>
      <c r="M2549" s="4" t="str">
        <f>IFERROR(__xludf.DUMMYFUNCTION("""COMPUTED_VALUE"""),"3P%")</f>
        <v>3P%</v>
      </c>
      <c r="N2549" s="4" t="str">
        <f>IFERROR(__xludf.DUMMYFUNCTION("""COMPUTED_VALUE"""),"FT%")</f>
        <v>FT%</v>
      </c>
      <c r="O2549" s="4" t="str">
        <f>IFERROR(__xludf.DUMMYFUNCTION("""COMPUTED_VALUE"""),"MP")</f>
        <v>MP</v>
      </c>
      <c r="P2549" s="4" t="str">
        <f>IFERROR(__xludf.DUMMYFUNCTION("""COMPUTED_VALUE"""),"PTS")</f>
        <v>PTS</v>
      </c>
      <c r="Q2549" s="4" t="str">
        <f>IFERROR(__xludf.DUMMYFUNCTION("""COMPUTED_VALUE"""),"TRB")</f>
        <v>TRB</v>
      </c>
      <c r="R2549" s="4" t="str">
        <f>IFERROR(__xludf.DUMMYFUNCTION("""COMPUTED_VALUE"""),"AST")</f>
        <v>AST</v>
      </c>
      <c r="S2549" s="4" t="str">
        <f>IFERROR(__xludf.DUMMYFUNCTION("""COMPUTED_VALUE"""),"WS")</f>
        <v>WS</v>
      </c>
      <c r="T2549" s="4" t="str">
        <f>IFERROR(__xludf.DUMMYFUNCTION("""COMPUTED_VALUE"""),"WS/48")</f>
        <v>WS/48</v>
      </c>
      <c r="U2549" s="4" t="str">
        <f>IFERROR(__xludf.DUMMYFUNCTION("""COMPUTED_VALUE"""),"BPM")</f>
        <v>BPM</v>
      </c>
      <c r="V2549" s="4" t="str">
        <f>IFERROR(__xludf.DUMMYFUNCTION("""COMPUTED_VALUE"""),"VORP")</f>
        <v>VORP</v>
      </c>
    </row>
    <row r="2550">
      <c r="A2550" s="4">
        <f>IFERROR(__xludf.DUMMYFUNCTION("""COMPUTED_VALUE"""),70.0)</f>
        <v>70</v>
      </c>
      <c r="B2550" s="4">
        <f>IFERROR(__xludf.DUMMYFUNCTION("""COMPUTED_VALUE"""),70.0)</f>
        <v>70</v>
      </c>
      <c r="C2550" s="4" t="str">
        <f>IFERROR(__xludf.DUMMYFUNCTION("""COMPUTED_VALUE"""),"BOS")</f>
        <v>BOS</v>
      </c>
      <c r="D2550" s="4" t="str">
        <f>IFERROR(__xludf.DUMMYFUNCTION("""COMPUTED_VALUE"""),"Tom Sheehey")</f>
        <v>Tom Sheehey</v>
      </c>
      <c r="E2550" s="4" t="str">
        <f>IFERROR(__xludf.DUMMYFUNCTION("""COMPUTED_VALUE"""),"Virginia")</f>
        <v>Virginia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</row>
    <row r="2551">
      <c r="A2551" s="4">
        <f>IFERROR(__xludf.DUMMYFUNCTION("""COMPUTED_VALUE"""),71.0)</f>
        <v>71</v>
      </c>
      <c r="B2551" s="4">
        <f>IFERROR(__xludf.DUMMYFUNCTION("""COMPUTED_VALUE"""),71.0)</f>
        <v>71</v>
      </c>
      <c r="C2551" s="4" t="str">
        <f>IFERROR(__xludf.DUMMYFUNCTION("""COMPUTED_VALUE"""),"NYK")</f>
        <v>NYK</v>
      </c>
      <c r="D2551" s="4" t="str">
        <f>IFERROR(__xludf.DUMMYFUNCTION("""COMPUTED_VALUE"""),"Mike Morgan")</f>
        <v>Mike Morgan</v>
      </c>
      <c r="E2551" s="4" t="str">
        <f>IFERROR(__xludf.DUMMYFUNCTION("""COMPUTED_VALUE"""),"Drake University")</f>
        <v>Drake University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</row>
    <row r="2552">
      <c r="A2552" s="4">
        <f>IFERROR(__xludf.DUMMYFUNCTION("""COMPUTED_VALUE"""),72.0)</f>
        <v>72</v>
      </c>
      <c r="B2552" s="4">
        <f>IFERROR(__xludf.DUMMYFUNCTION("""COMPUTED_VALUE"""),72.0)</f>
        <v>72</v>
      </c>
      <c r="C2552" s="4" t="str">
        <f>IFERROR(__xludf.DUMMYFUNCTION("""COMPUTED_VALUE"""),"NJN")</f>
        <v>NJN</v>
      </c>
      <c r="D2552" s="4" t="str">
        <f>IFERROR(__xludf.DUMMYFUNCTION("""COMPUTED_VALUE"""),"Andrew Moten")</f>
        <v>Andrew Moten</v>
      </c>
      <c r="E2552" s="4" t="str">
        <f>IFERROR(__xludf.DUMMYFUNCTION("""COMPUTED_VALUE"""),"Florida")</f>
        <v>Florida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</row>
    <row r="2553">
      <c r="A2553" s="4">
        <f>IFERROR(__xludf.DUMMYFUNCTION("""COMPUTED_VALUE"""),73.0)</f>
        <v>73</v>
      </c>
      <c r="B2553" s="4">
        <f>IFERROR(__xludf.DUMMYFUNCTION("""COMPUTED_VALUE"""),73.0)</f>
        <v>73</v>
      </c>
      <c r="C2553" s="4" t="str">
        <f>IFERROR(__xludf.DUMMYFUNCTION("""COMPUTED_VALUE"""),"SAS")</f>
        <v>SAS</v>
      </c>
      <c r="D2553" s="4" t="str">
        <f>IFERROR(__xludf.DUMMYFUNCTION("""COMPUTED_VALUE"""),"Todd May")</f>
        <v>Todd May</v>
      </c>
      <c r="E2553" s="4" t="str">
        <f>IFERROR(__xludf.DUMMYFUNCTION("""COMPUTED_VALUE"""),"Pikeville College")</f>
        <v>Pikeville College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</row>
    <row r="2554">
      <c r="A2554" s="4">
        <f>IFERROR(__xludf.DUMMYFUNCTION("""COMPUTED_VALUE"""),74.0)</f>
        <v>74</v>
      </c>
      <c r="B2554" s="4">
        <f>IFERROR(__xludf.DUMMYFUNCTION("""COMPUTED_VALUE"""),74.0)</f>
        <v>74</v>
      </c>
      <c r="C2554" s="4" t="str">
        <f>IFERROR(__xludf.DUMMYFUNCTION("""COMPUTED_VALUE"""),"SAC")</f>
        <v>SAC</v>
      </c>
      <c r="D2554" s="4" t="str">
        <f>IFERROR(__xludf.DUMMYFUNCTION("""COMPUTED_VALUE"""),"Joe Arlauckas")</f>
        <v>Joe Arlauckas</v>
      </c>
      <c r="E2554" s="4" t="str">
        <f>IFERROR(__xludf.DUMMYFUNCTION("""COMPUTED_VALUE"""),"Niagara University")</f>
        <v>Niagara University</v>
      </c>
      <c r="F2554" s="4">
        <f>IFERROR(__xludf.DUMMYFUNCTION("""COMPUTED_VALUE"""),1.0)</f>
        <v>1</v>
      </c>
      <c r="G2554" s="4">
        <f>IFERROR(__xludf.DUMMYFUNCTION("""COMPUTED_VALUE"""),9.0)</f>
        <v>9</v>
      </c>
      <c r="H2554" s="4">
        <f>IFERROR(__xludf.DUMMYFUNCTION("""COMPUTED_VALUE"""),85.0)</f>
        <v>85</v>
      </c>
      <c r="I2554" s="4">
        <f>IFERROR(__xludf.DUMMYFUNCTION("""COMPUTED_VALUE"""),34.0)</f>
        <v>34</v>
      </c>
      <c r="J2554" s="4">
        <f>IFERROR(__xludf.DUMMYFUNCTION("""COMPUTED_VALUE"""),13.0)</f>
        <v>13</v>
      </c>
      <c r="K2554" s="4">
        <f>IFERROR(__xludf.DUMMYFUNCTION("""COMPUTED_VALUE"""),8.0)</f>
        <v>8</v>
      </c>
      <c r="L2554" s="4">
        <f>IFERROR(__xludf.DUMMYFUNCTION("""COMPUTED_VALUE"""),0.326)</f>
        <v>0.326</v>
      </c>
      <c r="M2554" s="4"/>
      <c r="N2554" s="4">
        <f>IFERROR(__xludf.DUMMYFUNCTION("""COMPUTED_VALUE"""),0.75)</f>
        <v>0.75</v>
      </c>
      <c r="O2554" s="4">
        <f>IFERROR(__xludf.DUMMYFUNCTION("""COMPUTED_VALUE"""),9.4)</f>
        <v>9.4</v>
      </c>
      <c r="P2554" s="4">
        <f>IFERROR(__xludf.DUMMYFUNCTION("""COMPUTED_VALUE"""),3.8)</f>
        <v>3.8</v>
      </c>
      <c r="Q2554" s="4">
        <f>IFERROR(__xludf.DUMMYFUNCTION("""COMPUTED_VALUE"""),1.4)</f>
        <v>1.4</v>
      </c>
      <c r="R2554" s="4">
        <f>IFERROR(__xludf.DUMMYFUNCTION("""COMPUTED_VALUE"""),0.9)</f>
        <v>0.9</v>
      </c>
      <c r="S2554" s="4">
        <f>IFERROR(__xludf.DUMMYFUNCTION("""COMPUTED_VALUE"""),-0.1)</f>
        <v>-0.1</v>
      </c>
      <c r="T2554" s="4">
        <f>IFERROR(__xludf.DUMMYFUNCTION("""COMPUTED_VALUE"""),-0.045)</f>
        <v>-0.045</v>
      </c>
      <c r="U2554" s="4">
        <f>IFERROR(__xludf.DUMMYFUNCTION("""COMPUTED_VALUE"""),-6.8)</f>
        <v>-6.8</v>
      </c>
      <c r="V2554" s="4">
        <f>IFERROR(__xludf.DUMMYFUNCTION("""COMPUTED_VALUE"""),-0.1)</f>
        <v>-0.1</v>
      </c>
    </row>
    <row r="2555">
      <c r="A2555" s="4">
        <f>IFERROR(__xludf.DUMMYFUNCTION("""COMPUTED_VALUE"""),75.0)</f>
        <v>75</v>
      </c>
      <c r="B2555" s="4">
        <f>IFERROR(__xludf.DUMMYFUNCTION("""COMPUTED_VALUE"""),75.0)</f>
        <v>75</v>
      </c>
      <c r="C2555" s="4" t="str">
        <f>IFERROR(__xludf.DUMMYFUNCTION("""COMPUTED_VALUE"""),"CLE")</f>
        <v>CLE</v>
      </c>
      <c r="D2555" s="4" t="str">
        <f>IFERROR(__xludf.DUMMYFUNCTION("""COMPUTED_VALUE"""),"Chris Dudley")</f>
        <v>Chris Dudley</v>
      </c>
      <c r="E2555" s="4" t="str">
        <f>IFERROR(__xludf.DUMMYFUNCTION("""COMPUTED_VALUE"""),"Yale")</f>
        <v>Yale</v>
      </c>
      <c r="F2555" s="4">
        <f>IFERROR(__xludf.DUMMYFUNCTION("""COMPUTED_VALUE"""),16.0)</f>
        <v>16</v>
      </c>
      <c r="G2555" s="4">
        <f>IFERROR(__xludf.DUMMYFUNCTION("""COMPUTED_VALUE"""),886.0)</f>
        <v>886</v>
      </c>
      <c r="H2555" s="4">
        <f>IFERROR(__xludf.DUMMYFUNCTION("""COMPUTED_VALUE"""),16321.0)</f>
        <v>16321</v>
      </c>
      <c r="I2555" s="4">
        <f>IFERROR(__xludf.DUMMYFUNCTION("""COMPUTED_VALUE"""),3473.0)</f>
        <v>3473</v>
      </c>
      <c r="J2555" s="4">
        <f>IFERROR(__xludf.DUMMYFUNCTION("""COMPUTED_VALUE"""),5457.0)</f>
        <v>5457</v>
      </c>
      <c r="K2555" s="4">
        <f>IFERROR(__xludf.DUMMYFUNCTION("""COMPUTED_VALUE"""),375.0)</f>
        <v>375</v>
      </c>
      <c r="L2555" s="4">
        <f>IFERROR(__xludf.DUMMYFUNCTION("""COMPUTED_VALUE"""),0.412)</f>
        <v>0.412</v>
      </c>
      <c r="M2555" s="4">
        <f>IFERROR(__xludf.DUMMYFUNCTION("""COMPUTED_VALUE"""),0.0)</f>
        <v>0</v>
      </c>
      <c r="N2555" s="4">
        <f>IFERROR(__xludf.DUMMYFUNCTION("""COMPUTED_VALUE"""),0.458)</f>
        <v>0.458</v>
      </c>
      <c r="O2555" s="4">
        <f>IFERROR(__xludf.DUMMYFUNCTION("""COMPUTED_VALUE"""),18.4)</f>
        <v>18.4</v>
      </c>
      <c r="P2555" s="4">
        <f>IFERROR(__xludf.DUMMYFUNCTION("""COMPUTED_VALUE"""),3.9)</f>
        <v>3.9</v>
      </c>
      <c r="Q2555" s="4">
        <f>IFERROR(__xludf.DUMMYFUNCTION("""COMPUTED_VALUE"""),6.2)</f>
        <v>6.2</v>
      </c>
      <c r="R2555" s="4">
        <f>IFERROR(__xludf.DUMMYFUNCTION("""COMPUTED_VALUE"""),0.4)</f>
        <v>0.4</v>
      </c>
      <c r="S2555" s="4">
        <f>IFERROR(__xludf.DUMMYFUNCTION("""COMPUTED_VALUE"""),26.2)</f>
        <v>26.2</v>
      </c>
      <c r="T2555" s="4">
        <f>IFERROR(__xludf.DUMMYFUNCTION("""COMPUTED_VALUE"""),0.077)</f>
        <v>0.077</v>
      </c>
      <c r="U2555" s="4">
        <f>IFERROR(__xludf.DUMMYFUNCTION("""COMPUTED_VALUE"""),-3.0)</f>
        <v>-3</v>
      </c>
      <c r="V2555" s="4">
        <f>IFERROR(__xludf.DUMMYFUNCTION("""COMPUTED_VALUE"""),-4.2)</f>
        <v>-4.2</v>
      </c>
    </row>
    <row r="2556">
      <c r="A2556" s="4">
        <f>IFERROR(__xludf.DUMMYFUNCTION("""COMPUTED_VALUE"""),76.0)</f>
        <v>76</v>
      </c>
      <c r="B2556" s="4">
        <f>IFERROR(__xludf.DUMMYFUNCTION("""COMPUTED_VALUE"""),76.0)</f>
        <v>76</v>
      </c>
      <c r="C2556" s="4" t="str">
        <f>IFERROR(__xludf.DUMMYFUNCTION("""COMPUTED_VALUE"""),"PHO")</f>
        <v>PHO</v>
      </c>
      <c r="D2556" s="4" t="str">
        <f>IFERROR(__xludf.DUMMYFUNCTION("""COMPUTED_VALUE"""),"Steve Beck")</f>
        <v>Steve Beck</v>
      </c>
      <c r="E2556" s="4" t="str">
        <f>IFERROR(__xludf.DUMMYFUNCTION("""COMPUTED_VALUE"""),"Arizona State")</f>
        <v>Arizona State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</row>
    <row r="2557">
      <c r="A2557" s="4">
        <f>IFERROR(__xludf.DUMMYFUNCTION("""COMPUTED_VALUE"""),77.0)</f>
        <v>77</v>
      </c>
      <c r="B2557" s="4">
        <f>IFERROR(__xludf.DUMMYFUNCTION("""COMPUTED_VALUE"""),77.0)</f>
        <v>77</v>
      </c>
      <c r="C2557" s="4" t="str">
        <f>IFERROR(__xludf.DUMMYFUNCTION("""COMPUTED_VALUE"""),"DEN")</f>
        <v>DEN</v>
      </c>
      <c r="D2557" s="4" t="str">
        <f>IFERROR(__xludf.DUMMYFUNCTION("""COMPUTED_VALUE"""),"David Boone")</f>
        <v>David Boone</v>
      </c>
      <c r="E2557" s="4" t="str">
        <f>IFERROR(__xludf.DUMMYFUNCTION("""COMPUTED_VALUE"""),"Marquette")</f>
        <v>Marquette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</row>
    <row r="2558">
      <c r="A2558" s="4">
        <f>IFERROR(__xludf.DUMMYFUNCTION("""COMPUTED_VALUE"""),78.0)</f>
        <v>78</v>
      </c>
      <c r="B2558" s="4">
        <f>IFERROR(__xludf.DUMMYFUNCTION("""COMPUTED_VALUE"""),78.0)</f>
        <v>78</v>
      </c>
      <c r="C2558" s="4" t="str">
        <f>IFERROR(__xludf.DUMMYFUNCTION("""COMPUTED_VALUE"""),"SEA")</f>
        <v>SEA</v>
      </c>
      <c r="D2558" s="4" t="str">
        <f>IFERROR(__xludf.DUMMYFUNCTION("""COMPUTED_VALUE"""),"Todd Linder")</f>
        <v>Todd Linder</v>
      </c>
      <c r="E2558" s="4" t="str">
        <f>IFERROR(__xludf.DUMMYFUNCTION("""COMPUTED_VALUE"""),"University of Tampa")</f>
        <v>University of Tampa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</row>
    <row r="2559">
      <c r="A2559" s="4">
        <f>IFERROR(__xludf.DUMMYFUNCTION("""COMPUTED_VALUE"""),79.0)</f>
        <v>79</v>
      </c>
      <c r="B2559" s="4">
        <f>IFERROR(__xludf.DUMMYFUNCTION("""COMPUTED_VALUE"""),79.0)</f>
        <v>79</v>
      </c>
      <c r="C2559" s="4" t="str">
        <f>IFERROR(__xludf.DUMMYFUNCTION("""COMPUTED_VALUE"""),"CHI")</f>
        <v>CHI</v>
      </c>
      <c r="D2559" s="4" t="str">
        <f>IFERROR(__xludf.DUMMYFUNCTION("""COMPUTED_VALUE"""),"Jack Haley")</f>
        <v>Jack Haley</v>
      </c>
      <c r="E2559" s="4" t="str">
        <f>IFERROR(__xludf.DUMMYFUNCTION("""COMPUTED_VALUE"""),"UCLA")</f>
        <v>UCLA</v>
      </c>
      <c r="F2559" s="4">
        <f>IFERROR(__xludf.DUMMYFUNCTION("""COMPUTED_VALUE"""),9.0)</f>
        <v>9</v>
      </c>
      <c r="G2559" s="4">
        <f>IFERROR(__xludf.DUMMYFUNCTION("""COMPUTED_VALUE"""),341.0)</f>
        <v>341</v>
      </c>
      <c r="H2559" s="4">
        <f>IFERROR(__xludf.DUMMYFUNCTION("""COMPUTED_VALUE"""),3288.0)</f>
        <v>3288</v>
      </c>
      <c r="I2559" s="4">
        <f>IFERROR(__xludf.DUMMYFUNCTION("""COMPUTED_VALUE"""),1180.0)</f>
        <v>1180</v>
      </c>
      <c r="J2559" s="4">
        <f>IFERROR(__xludf.DUMMYFUNCTION("""COMPUTED_VALUE"""),922.0)</f>
        <v>922</v>
      </c>
      <c r="K2559" s="4">
        <f>IFERROR(__xludf.DUMMYFUNCTION("""COMPUTED_VALUE"""),82.0)</f>
        <v>82</v>
      </c>
      <c r="L2559" s="4">
        <f>IFERROR(__xludf.DUMMYFUNCTION("""COMPUTED_VALUE"""),0.425)</f>
        <v>0.425</v>
      </c>
      <c r="M2559" s="4">
        <f>IFERROR(__xludf.DUMMYFUNCTION("""COMPUTED_VALUE"""),0.0)</f>
        <v>0</v>
      </c>
      <c r="N2559" s="4">
        <f>IFERROR(__xludf.DUMMYFUNCTION("""COMPUTED_VALUE"""),0.655)</f>
        <v>0.655</v>
      </c>
      <c r="O2559" s="4">
        <f>IFERROR(__xludf.DUMMYFUNCTION("""COMPUTED_VALUE"""),9.6)</f>
        <v>9.6</v>
      </c>
      <c r="P2559" s="4">
        <f>IFERROR(__xludf.DUMMYFUNCTION("""COMPUTED_VALUE"""),3.5)</f>
        <v>3.5</v>
      </c>
      <c r="Q2559" s="4">
        <f>IFERROR(__xludf.DUMMYFUNCTION("""COMPUTED_VALUE"""),2.7)</f>
        <v>2.7</v>
      </c>
      <c r="R2559" s="4">
        <f>IFERROR(__xludf.DUMMYFUNCTION("""COMPUTED_VALUE"""),0.2)</f>
        <v>0.2</v>
      </c>
      <c r="S2559" s="4">
        <f>IFERROR(__xludf.DUMMYFUNCTION("""COMPUTED_VALUE"""),2.9)</f>
        <v>2.9</v>
      </c>
      <c r="T2559" s="4">
        <f>IFERROR(__xludf.DUMMYFUNCTION("""COMPUTED_VALUE"""),0.042)</f>
        <v>0.042</v>
      </c>
      <c r="U2559" s="4">
        <f>IFERROR(__xludf.DUMMYFUNCTION("""COMPUTED_VALUE"""),-6.7)</f>
        <v>-6.7</v>
      </c>
      <c r="V2559" s="4">
        <f>IFERROR(__xludf.DUMMYFUNCTION("""COMPUTED_VALUE"""),-3.9)</f>
        <v>-3.9</v>
      </c>
    </row>
    <row r="2560">
      <c r="A2560" s="4">
        <f>IFERROR(__xludf.DUMMYFUNCTION("""COMPUTED_VALUE"""),80.0)</f>
        <v>80</v>
      </c>
      <c r="B2560" s="4">
        <f>IFERROR(__xludf.DUMMYFUNCTION("""COMPUTED_VALUE"""),80.0)</f>
        <v>80</v>
      </c>
      <c r="C2560" s="4" t="str">
        <f>IFERROR(__xludf.DUMMYFUNCTION("""COMPUTED_VALUE"""),"CLE")</f>
        <v>CLE</v>
      </c>
      <c r="D2560" s="4" t="str">
        <f>IFERROR(__xludf.DUMMYFUNCTION("""COMPUTED_VALUE"""),"Carven Holcombe")</f>
        <v>Carven Holcombe</v>
      </c>
      <c r="E2560" s="4" t="str">
        <f>IFERROR(__xludf.DUMMYFUNCTION("""COMPUTED_VALUE"""),"TCU")</f>
        <v>TCU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</row>
    <row r="2561">
      <c r="A2561" s="4">
        <f>IFERROR(__xludf.DUMMYFUNCTION("""COMPUTED_VALUE"""),81.0)</f>
        <v>81</v>
      </c>
      <c r="B2561" s="4">
        <f>IFERROR(__xludf.DUMMYFUNCTION("""COMPUTED_VALUE"""),81.0)</f>
        <v>81</v>
      </c>
      <c r="C2561" s="4" t="str">
        <f>IFERROR(__xludf.DUMMYFUNCTION("""COMPUTED_VALUE"""),"WSB")</f>
        <v>WSB</v>
      </c>
      <c r="D2561" s="4" t="str">
        <f>IFERROR(__xludf.DUMMYFUNCTION("""COMPUTED_VALUE"""),"Scott Thompson")</f>
        <v>Scott Thompson</v>
      </c>
      <c r="E2561" s="4" t="str">
        <f>IFERROR(__xludf.DUMMYFUNCTION("""COMPUTED_VALUE"""),"University of San Diego")</f>
        <v>University of San Diego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</row>
    <row r="2562">
      <c r="A2562" s="4">
        <f>IFERROR(__xludf.DUMMYFUNCTION("""COMPUTED_VALUE"""),82.0)</f>
        <v>82</v>
      </c>
      <c r="B2562" s="4">
        <f>IFERROR(__xludf.DUMMYFUNCTION("""COMPUTED_VALUE"""),82.0)</f>
        <v>82</v>
      </c>
      <c r="C2562" s="4" t="str">
        <f>IFERROR(__xludf.DUMMYFUNCTION("""COMPUTED_VALUE"""),"HOU")</f>
        <v>HOU</v>
      </c>
      <c r="D2562" s="4" t="str">
        <f>IFERROR(__xludf.DUMMYFUNCTION("""COMPUTED_VALUE"""),"Joe Niego")</f>
        <v>Joe Niego</v>
      </c>
      <c r="E2562" s="4" t="str">
        <f>IFERROR(__xludf.DUMMYFUNCTION("""COMPUTED_VALUE"""),"Lewis (IL)")</f>
        <v>Lewis (IL)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</row>
    <row r="2563">
      <c r="A2563" s="4">
        <f>IFERROR(__xludf.DUMMYFUNCTION("""COMPUTED_VALUE"""),83.0)</f>
        <v>83</v>
      </c>
      <c r="B2563" s="4">
        <f>IFERROR(__xludf.DUMMYFUNCTION("""COMPUTED_VALUE"""),83.0)</f>
        <v>83</v>
      </c>
      <c r="C2563" s="4" t="str">
        <f>IFERROR(__xludf.DUMMYFUNCTION("""COMPUTED_VALUE"""),"GSW")</f>
        <v>GSW</v>
      </c>
      <c r="D2563" s="4" t="str">
        <f>IFERROR(__xludf.DUMMYFUNCTION("""COMPUTED_VALUE"""),"Bennie Bolton")</f>
        <v>Bennie Bolton</v>
      </c>
      <c r="E2563" s="4" t="str">
        <f>IFERROR(__xludf.DUMMYFUNCTION("""COMPUTED_VALUE"""),"NC State")</f>
        <v>NC State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</row>
    <row r="2564">
      <c r="A2564" s="4">
        <f>IFERROR(__xludf.DUMMYFUNCTION("""COMPUTED_VALUE"""),84.0)</f>
        <v>84</v>
      </c>
      <c r="B2564" s="4">
        <f>IFERROR(__xludf.DUMMYFUNCTION("""COMPUTED_VALUE"""),84.0)</f>
        <v>84</v>
      </c>
      <c r="C2564" s="4" t="str">
        <f>IFERROR(__xludf.DUMMYFUNCTION("""COMPUTED_VALUE"""),"UTA")</f>
        <v>UTA</v>
      </c>
      <c r="D2564" s="4" t="str">
        <f>IFERROR(__xludf.DUMMYFUNCTION("""COMPUTED_VALUE"""),"Reuben Holmes")</f>
        <v>Reuben Holmes</v>
      </c>
      <c r="E2564" s="4" t="str">
        <f>IFERROR(__xludf.DUMMYFUNCTION("""COMPUTED_VALUE"""),"Alabama State University")</f>
        <v>Alabama State University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</row>
    <row r="2565">
      <c r="A2565" s="4">
        <f>IFERROR(__xludf.DUMMYFUNCTION("""COMPUTED_VALUE"""),85.0)</f>
        <v>85</v>
      </c>
      <c r="B2565" s="4">
        <f>IFERROR(__xludf.DUMMYFUNCTION("""COMPUTED_VALUE"""),85.0)</f>
        <v>85</v>
      </c>
      <c r="C2565" s="4" t="str">
        <f>IFERROR(__xludf.DUMMYFUNCTION("""COMPUTED_VALUE"""),"PHI")</f>
        <v>PHI</v>
      </c>
      <c r="D2565" s="4" t="str">
        <f>IFERROR(__xludf.DUMMYFUNCTION("""COMPUTED_VALUE"""),"Brian Rahilly")</f>
        <v>Brian Rahilly</v>
      </c>
      <c r="E2565" s="4" t="str">
        <f>IFERROR(__xludf.DUMMYFUNCTION("""COMPUTED_VALUE"""),"Tulsa")</f>
        <v>Tulsa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</row>
    <row r="2566">
      <c r="A2566" s="4">
        <f>IFERROR(__xludf.DUMMYFUNCTION("""COMPUTED_VALUE"""),86.0)</f>
        <v>86</v>
      </c>
      <c r="B2566" s="4">
        <f>IFERROR(__xludf.DUMMYFUNCTION("""COMPUTED_VALUE"""),86.0)</f>
        <v>86</v>
      </c>
      <c r="C2566" s="4" t="str">
        <f>IFERROR(__xludf.DUMMYFUNCTION("""COMPUTED_VALUE"""),"POR")</f>
        <v>POR</v>
      </c>
      <c r="D2566" s="4" t="str">
        <f>IFERROR(__xludf.DUMMYFUNCTION("""COMPUTED_VALUE"""),"Norwood Barber")</f>
        <v>Norwood Barber</v>
      </c>
      <c r="E2566" s="4" t="str">
        <f>IFERROR(__xludf.DUMMYFUNCTION("""COMPUTED_VALUE"""),"Florida State")</f>
        <v>Florida State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</row>
    <row r="2567">
      <c r="A2567" s="4">
        <f>IFERROR(__xludf.DUMMYFUNCTION("""COMPUTED_VALUE"""),87.0)</f>
        <v>87</v>
      </c>
      <c r="B2567" s="4">
        <f>IFERROR(__xludf.DUMMYFUNCTION("""COMPUTED_VALUE"""),87.0)</f>
        <v>87</v>
      </c>
      <c r="C2567" s="4" t="str">
        <f>IFERROR(__xludf.DUMMYFUNCTION("""COMPUTED_VALUE"""),"MIL")</f>
        <v>MIL</v>
      </c>
      <c r="D2567" s="4" t="str">
        <f>IFERROR(__xludf.DUMMYFUNCTION("""COMPUTED_VALUE"""),"Darryl Bedford")</f>
        <v>Darryl Bedford</v>
      </c>
      <c r="E2567" s="4" t="str">
        <f>IFERROR(__xludf.DUMMYFUNCTION("""COMPUTED_VALUE"""),"Austin Peay State University")</f>
        <v>Austin Peay State University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</row>
    <row r="2568">
      <c r="A2568" s="4">
        <f>IFERROR(__xludf.DUMMYFUNCTION("""COMPUTED_VALUE"""),88.0)</f>
        <v>88</v>
      </c>
      <c r="B2568" s="4">
        <f>IFERROR(__xludf.DUMMYFUNCTION("""COMPUTED_VALUE"""),88.0)</f>
        <v>88</v>
      </c>
      <c r="C2568" s="4" t="str">
        <f>IFERROR(__xludf.DUMMYFUNCTION("""COMPUTED_VALUE"""),"DET")</f>
        <v>DET</v>
      </c>
      <c r="D2568" s="4" t="str">
        <f>IFERROR(__xludf.DUMMYFUNCTION("""COMPUTED_VALUE"""),"Dave Popson")</f>
        <v>Dave Popson</v>
      </c>
      <c r="E2568" s="4" t="str">
        <f>IFERROR(__xludf.DUMMYFUNCTION("""COMPUTED_VALUE"""),"UNC")</f>
        <v>UNC</v>
      </c>
      <c r="F2568" s="4">
        <f>IFERROR(__xludf.DUMMYFUNCTION("""COMPUTED_VALUE"""),3.0)</f>
        <v>3</v>
      </c>
      <c r="G2568" s="4">
        <f>IFERROR(__xludf.DUMMYFUNCTION("""COMPUTED_VALUE"""),41.0)</f>
        <v>41</v>
      </c>
      <c r="H2568" s="4">
        <f>IFERROR(__xludf.DUMMYFUNCTION("""COMPUTED_VALUE"""),196.0)</f>
        <v>196</v>
      </c>
      <c r="I2568" s="4">
        <f>IFERROR(__xludf.DUMMYFUNCTION("""COMPUTED_VALUE"""),76.0)</f>
        <v>76</v>
      </c>
      <c r="J2568" s="4">
        <f>IFERROR(__xludf.DUMMYFUNCTION("""COMPUTED_VALUE"""),46.0)</f>
        <v>46</v>
      </c>
      <c r="K2568" s="4">
        <f>IFERROR(__xludf.DUMMYFUNCTION("""COMPUTED_VALUE"""),13.0)</f>
        <v>13</v>
      </c>
      <c r="L2568" s="4">
        <f>IFERROR(__xludf.DUMMYFUNCTION("""COMPUTED_VALUE"""),0.405)</f>
        <v>0.405</v>
      </c>
      <c r="M2568" s="4">
        <f>IFERROR(__xludf.DUMMYFUNCTION("""COMPUTED_VALUE"""),0.0)</f>
        <v>0</v>
      </c>
      <c r="N2568" s="4">
        <f>IFERROR(__xludf.DUMMYFUNCTION("""COMPUTED_VALUE"""),0.75)</f>
        <v>0.75</v>
      </c>
      <c r="O2568" s="4">
        <f>IFERROR(__xludf.DUMMYFUNCTION("""COMPUTED_VALUE"""),4.8)</f>
        <v>4.8</v>
      </c>
      <c r="P2568" s="4">
        <f>IFERROR(__xludf.DUMMYFUNCTION("""COMPUTED_VALUE"""),1.9)</f>
        <v>1.9</v>
      </c>
      <c r="Q2568" s="4">
        <f>IFERROR(__xludf.DUMMYFUNCTION("""COMPUTED_VALUE"""),1.1)</f>
        <v>1.1</v>
      </c>
      <c r="R2568" s="4">
        <f>IFERROR(__xludf.DUMMYFUNCTION("""COMPUTED_VALUE"""),0.3)</f>
        <v>0.3</v>
      </c>
      <c r="S2568" s="4">
        <f>IFERROR(__xludf.DUMMYFUNCTION("""COMPUTED_VALUE"""),-0.1)</f>
        <v>-0.1</v>
      </c>
      <c r="T2568" s="4">
        <f>IFERROR(__xludf.DUMMYFUNCTION("""COMPUTED_VALUE"""),-0.033)</f>
        <v>-0.033</v>
      </c>
      <c r="U2568" s="4">
        <f>IFERROR(__xludf.DUMMYFUNCTION("""COMPUTED_VALUE"""),-7.7)</f>
        <v>-7.7</v>
      </c>
      <c r="V2568" s="4">
        <f>IFERROR(__xludf.DUMMYFUNCTION("""COMPUTED_VALUE"""),-0.3)</f>
        <v>-0.3</v>
      </c>
    </row>
    <row r="2569">
      <c r="A2569" s="4">
        <f>IFERROR(__xludf.DUMMYFUNCTION("""COMPUTED_VALUE"""),89.0)</f>
        <v>89</v>
      </c>
      <c r="B2569" s="4">
        <f>IFERROR(__xludf.DUMMYFUNCTION("""COMPUTED_VALUE"""),89.0)</f>
        <v>89</v>
      </c>
      <c r="C2569" s="4" t="str">
        <f>IFERROR(__xludf.DUMMYFUNCTION("""COMPUTED_VALUE"""),"DAL")</f>
        <v>DAL</v>
      </c>
      <c r="D2569" s="4" t="str">
        <f>IFERROR(__xludf.DUMMYFUNCTION("""COMPUTED_VALUE"""),"David Johnson")</f>
        <v>David Johnson</v>
      </c>
      <c r="E2569" s="4" t="str">
        <f>IFERROR(__xludf.DUMMYFUNCTION("""COMPUTED_VALUE"""),"Oklahoma")</f>
        <v>Oklahoma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</row>
    <row r="2570">
      <c r="A2570" s="4">
        <f>IFERROR(__xludf.DUMMYFUNCTION("""COMPUTED_VALUE"""),90.0)</f>
        <v>90</v>
      </c>
      <c r="B2570" s="4">
        <f>IFERROR(__xludf.DUMMYFUNCTION("""COMPUTED_VALUE"""),90.0)</f>
        <v>90</v>
      </c>
      <c r="C2570" s="4" t="str">
        <f>IFERROR(__xludf.DUMMYFUNCTION("""COMPUTED_VALUE"""),"ATL")</f>
        <v>ATL</v>
      </c>
      <c r="D2570" s="4" t="str">
        <f>IFERROR(__xludf.DUMMYFUNCTION("""COMPUTED_VALUE"""),"Theofanis Christodoulou")</f>
        <v>Theofanis Christodoulou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</row>
    <row r="2571">
      <c r="A2571" s="4">
        <f>IFERROR(__xludf.DUMMYFUNCTION("""COMPUTED_VALUE"""),91.0)</f>
        <v>91</v>
      </c>
      <c r="B2571" s="4">
        <f>IFERROR(__xludf.DUMMYFUNCTION("""COMPUTED_VALUE"""),91.0)</f>
        <v>91</v>
      </c>
      <c r="C2571" s="4" t="str">
        <f>IFERROR(__xludf.DUMMYFUNCTION("""COMPUTED_VALUE"""),"BOS")</f>
        <v>BOS</v>
      </c>
      <c r="D2571" s="4" t="str">
        <f>IFERROR(__xludf.DUMMYFUNCTION("""COMPUTED_VALUE"""),"Darryl Kennedy")</f>
        <v>Darryl Kennedy</v>
      </c>
      <c r="E2571" s="4" t="str">
        <f>IFERROR(__xludf.DUMMYFUNCTION("""COMPUTED_VALUE"""),"Oklahoma")</f>
        <v>Oklahoma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</row>
    <row r="2572">
      <c r="A2572" s="4">
        <f>IFERROR(__xludf.DUMMYFUNCTION("""COMPUTED_VALUE"""),92.0)</f>
        <v>92</v>
      </c>
      <c r="B2572" s="4">
        <f>IFERROR(__xludf.DUMMYFUNCTION("""COMPUTED_VALUE"""),92.0)</f>
        <v>92</v>
      </c>
      <c r="C2572" s="4" t="str">
        <f>IFERROR(__xludf.DUMMYFUNCTION("""COMPUTED_VALUE"""),"LAL")</f>
        <v>LAL</v>
      </c>
      <c r="D2572" s="4" t="str">
        <f>IFERROR(__xludf.DUMMYFUNCTION("""COMPUTED_VALUE"""),"Ralph Tally")</f>
        <v>Ralph Tally</v>
      </c>
      <c r="E2572" s="4" t="str">
        <f>IFERROR(__xludf.DUMMYFUNCTION("""COMPUTED_VALUE"""),"Norfolk State")</f>
        <v>Norfolk State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</row>
    <row r="2573">
      <c r="A2573" s="4"/>
      <c r="B2573" s="4"/>
      <c r="C2573" s="4"/>
      <c r="D2573" s="4" t="str">
        <f>IFERROR(__xludf.DUMMYFUNCTION("""COMPUTED_VALUE"""),"Round 5")</f>
        <v>Round 5</v>
      </c>
      <c r="E2573" s="4"/>
      <c r="F2573" s="4"/>
      <c r="G2573" s="4" t="str">
        <f>IFERROR(__xludf.DUMMYFUNCTION("""COMPUTED_VALUE"""),"Totals")</f>
        <v>Totals</v>
      </c>
      <c r="H2573" s="4"/>
      <c r="I2573" s="4"/>
      <c r="J2573" s="4"/>
      <c r="K2573" s="4"/>
      <c r="L2573" s="4" t="str">
        <f>IFERROR(__xludf.DUMMYFUNCTION("""COMPUTED_VALUE"""),"Shooting")</f>
        <v>Shooting</v>
      </c>
      <c r="M2573" s="4"/>
      <c r="N2573" s="4"/>
      <c r="O2573" s="4" t="str">
        <f>IFERROR(__xludf.DUMMYFUNCTION("""COMPUTED_VALUE"""),"Per Game")</f>
        <v>Per Game</v>
      </c>
      <c r="P2573" s="4"/>
      <c r="Q2573" s="4"/>
      <c r="R2573" s="4"/>
      <c r="S2573" s="4" t="str">
        <f>IFERROR(__xludf.DUMMYFUNCTION("""COMPUTED_VALUE"""),"Advanced")</f>
        <v>Advanced</v>
      </c>
      <c r="T2573" s="4"/>
      <c r="U2573" s="4"/>
      <c r="V2573" s="4"/>
    </row>
    <row r="2574">
      <c r="A2574" s="4" t="str">
        <f>IFERROR(__xludf.DUMMYFUNCTION("""COMPUTED_VALUE"""),"Rk")</f>
        <v>Rk</v>
      </c>
      <c r="B2574" s="4" t="str">
        <f>IFERROR(__xludf.DUMMYFUNCTION("""COMPUTED_VALUE"""),"Pk")</f>
        <v>Pk</v>
      </c>
      <c r="C2574" s="4" t="str">
        <f>IFERROR(__xludf.DUMMYFUNCTION("""COMPUTED_VALUE"""),"Tm")</f>
        <v>Tm</v>
      </c>
      <c r="D2574" s="4" t="str">
        <f>IFERROR(__xludf.DUMMYFUNCTION("""COMPUTED_VALUE"""),"Player")</f>
        <v>Player</v>
      </c>
      <c r="E2574" s="4" t="str">
        <f>IFERROR(__xludf.DUMMYFUNCTION("""COMPUTED_VALUE"""),"College")</f>
        <v>College</v>
      </c>
      <c r="F2574" s="4" t="str">
        <f>IFERROR(__xludf.DUMMYFUNCTION("""COMPUTED_VALUE"""),"Yrs")</f>
        <v>Yrs</v>
      </c>
      <c r="G2574" s="4" t="str">
        <f>IFERROR(__xludf.DUMMYFUNCTION("""COMPUTED_VALUE"""),"G")</f>
        <v>G</v>
      </c>
      <c r="H2574" s="4" t="str">
        <f>IFERROR(__xludf.DUMMYFUNCTION("""COMPUTED_VALUE"""),"MP")</f>
        <v>MP</v>
      </c>
      <c r="I2574" s="4" t="str">
        <f>IFERROR(__xludf.DUMMYFUNCTION("""COMPUTED_VALUE"""),"PTS")</f>
        <v>PTS</v>
      </c>
      <c r="J2574" s="4" t="str">
        <f>IFERROR(__xludf.DUMMYFUNCTION("""COMPUTED_VALUE"""),"TRB")</f>
        <v>TRB</v>
      </c>
      <c r="K2574" s="4" t="str">
        <f>IFERROR(__xludf.DUMMYFUNCTION("""COMPUTED_VALUE"""),"AST")</f>
        <v>AST</v>
      </c>
      <c r="L2574" s="4" t="str">
        <f>IFERROR(__xludf.DUMMYFUNCTION("""COMPUTED_VALUE"""),"FG%")</f>
        <v>FG%</v>
      </c>
      <c r="M2574" s="4" t="str">
        <f>IFERROR(__xludf.DUMMYFUNCTION("""COMPUTED_VALUE"""),"3P%")</f>
        <v>3P%</v>
      </c>
      <c r="N2574" s="4" t="str">
        <f>IFERROR(__xludf.DUMMYFUNCTION("""COMPUTED_VALUE"""),"FT%")</f>
        <v>FT%</v>
      </c>
      <c r="O2574" s="4" t="str">
        <f>IFERROR(__xludf.DUMMYFUNCTION("""COMPUTED_VALUE"""),"MP")</f>
        <v>MP</v>
      </c>
      <c r="P2574" s="4" t="str">
        <f>IFERROR(__xludf.DUMMYFUNCTION("""COMPUTED_VALUE"""),"PTS")</f>
        <v>PTS</v>
      </c>
      <c r="Q2574" s="4" t="str">
        <f>IFERROR(__xludf.DUMMYFUNCTION("""COMPUTED_VALUE"""),"TRB")</f>
        <v>TRB</v>
      </c>
      <c r="R2574" s="4" t="str">
        <f>IFERROR(__xludf.DUMMYFUNCTION("""COMPUTED_VALUE"""),"AST")</f>
        <v>AST</v>
      </c>
      <c r="S2574" s="4" t="str">
        <f>IFERROR(__xludf.DUMMYFUNCTION("""COMPUTED_VALUE"""),"WS")</f>
        <v>WS</v>
      </c>
      <c r="T2574" s="4" t="str">
        <f>IFERROR(__xludf.DUMMYFUNCTION("""COMPUTED_VALUE"""),"WS/48")</f>
        <v>WS/48</v>
      </c>
      <c r="U2574" s="4" t="str">
        <f>IFERROR(__xludf.DUMMYFUNCTION("""COMPUTED_VALUE"""),"BPM")</f>
        <v>BPM</v>
      </c>
      <c r="V2574" s="4" t="str">
        <f>IFERROR(__xludf.DUMMYFUNCTION("""COMPUTED_VALUE"""),"VORP")</f>
        <v>VORP</v>
      </c>
    </row>
    <row r="2575">
      <c r="A2575" s="4">
        <f>IFERROR(__xludf.DUMMYFUNCTION("""COMPUTED_VALUE"""),93.0)</f>
        <v>93</v>
      </c>
      <c r="B2575" s="4">
        <f>IFERROR(__xludf.DUMMYFUNCTION("""COMPUTED_VALUE"""),93.0)</f>
        <v>93</v>
      </c>
      <c r="C2575" s="4" t="str">
        <f>IFERROR(__xludf.DUMMYFUNCTION("""COMPUTED_VALUE"""),"LAC")</f>
        <v>LAC</v>
      </c>
      <c r="D2575" s="4" t="str">
        <f>IFERROR(__xludf.DUMMYFUNCTION("""COMPUTED_VALUE"""),"Chad Kessler")</f>
        <v>Chad Kessler</v>
      </c>
      <c r="E2575" s="4" t="str">
        <f>IFERROR(__xludf.DUMMYFUNCTION("""COMPUTED_VALUE"""),"Georgia")</f>
        <v>Georgia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</row>
    <row r="2576">
      <c r="A2576" s="4">
        <f>IFERROR(__xludf.DUMMYFUNCTION("""COMPUTED_VALUE"""),94.0)</f>
        <v>94</v>
      </c>
      <c r="B2576" s="4">
        <f>IFERROR(__xludf.DUMMYFUNCTION("""COMPUTED_VALUE"""),94.0)</f>
        <v>94</v>
      </c>
      <c r="C2576" s="4" t="str">
        <f>IFERROR(__xludf.DUMMYFUNCTION("""COMPUTED_VALUE"""),"NJN")</f>
        <v>NJN</v>
      </c>
      <c r="D2576" s="4" t="str">
        <f>IFERROR(__xludf.DUMMYFUNCTION("""COMPUTED_VALUE"""),"James Blackmon")</f>
        <v>James Blackmon</v>
      </c>
      <c r="E2576" s="4" t="str">
        <f>IFERROR(__xludf.DUMMYFUNCTION("""COMPUTED_VALUE"""),"Kentucky")</f>
        <v>Kentucky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</row>
    <row r="2577">
      <c r="A2577" s="4">
        <f>IFERROR(__xludf.DUMMYFUNCTION("""COMPUTED_VALUE"""),95.0)</f>
        <v>95</v>
      </c>
      <c r="B2577" s="4">
        <f>IFERROR(__xludf.DUMMYFUNCTION("""COMPUTED_VALUE"""),95.0)</f>
        <v>95</v>
      </c>
      <c r="C2577" s="4" t="str">
        <f>IFERROR(__xludf.DUMMYFUNCTION("""COMPUTED_VALUE"""),"NYK")</f>
        <v>NYK</v>
      </c>
      <c r="D2577" s="4" t="str">
        <f>IFERROR(__xludf.DUMMYFUNCTION("""COMPUTED_VALUE"""),"Glen Clem")</f>
        <v>Glen Clem</v>
      </c>
      <c r="E2577" s="4" t="str">
        <f>IFERROR(__xludf.DUMMYFUNCTION("""COMPUTED_VALUE"""),"Vanderbilt")</f>
        <v>Vanderbilt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</row>
    <row r="2578">
      <c r="A2578" s="4">
        <f>IFERROR(__xludf.DUMMYFUNCTION("""COMPUTED_VALUE"""),96.0)</f>
        <v>96</v>
      </c>
      <c r="B2578" s="4">
        <f>IFERROR(__xludf.DUMMYFUNCTION("""COMPUTED_VALUE"""),96.0)</f>
        <v>96</v>
      </c>
      <c r="C2578" s="4" t="str">
        <f>IFERROR(__xludf.DUMMYFUNCTION("""COMPUTED_VALUE"""),"SAS")</f>
        <v>SAS</v>
      </c>
      <c r="D2578" s="4" t="str">
        <f>IFERROR(__xludf.DUMMYFUNCTION("""COMPUTED_VALUE"""),"Dennis Willliams")</f>
        <v>Dennis Willliams</v>
      </c>
      <c r="E2578" s="4" t="str">
        <f>IFERROR(__xludf.DUMMYFUNCTION("""COMPUTED_VALUE"""),"Georgia")</f>
        <v>Georgia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</row>
    <row r="2579">
      <c r="A2579" s="4">
        <f>IFERROR(__xludf.DUMMYFUNCTION("""COMPUTED_VALUE"""),97.0)</f>
        <v>97</v>
      </c>
      <c r="B2579" s="4">
        <f>IFERROR(__xludf.DUMMYFUNCTION("""COMPUTED_VALUE"""),97.0)</f>
        <v>97</v>
      </c>
      <c r="C2579" s="4" t="str">
        <f>IFERROR(__xludf.DUMMYFUNCTION("""COMPUTED_VALUE"""),"SAC")</f>
        <v>SAC</v>
      </c>
      <c r="D2579" s="4" t="str">
        <f>IFERROR(__xludf.DUMMYFUNCTION("""COMPUTED_VALUE"""),"Vernon Carr")</f>
        <v>Vernon Carr</v>
      </c>
      <c r="E2579" s="4" t="str">
        <f>IFERROR(__xludf.DUMMYFUNCTION("""COMPUTED_VALUE"""),"Michigan State")</f>
        <v>Michigan State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</row>
    <row r="2580">
      <c r="A2580" s="4">
        <f>IFERROR(__xludf.DUMMYFUNCTION("""COMPUTED_VALUE"""),98.0)</f>
        <v>98</v>
      </c>
      <c r="B2580" s="4">
        <f>IFERROR(__xludf.DUMMYFUNCTION("""COMPUTED_VALUE"""),98.0)</f>
        <v>98</v>
      </c>
      <c r="C2580" s="4" t="str">
        <f>IFERROR(__xludf.DUMMYFUNCTION("""COMPUTED_VALUE"""),"CLE")</f>
        <v>CLE</v>
      </c>
      <c r="D2580" s="4" t="str">
        <f>IFERROR(__xludf.DUMMYFUNCTION("""COMPUTED_VALUE"""),"Carl Lott")</f>
        <v>Carl Lott</v>
      </c>
      <c r="E2580" s="4" t="str">
        <f>IFERROR(__xludf.DUMMYFUNCTION("""COMPUTED_VALUE"""),"TCU")</f>
        <v>TCU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</row>
    <row r="2581">
      <c r="A2581" s="4">
        <f>IFERROR(__xludf.DUMMYFUNCTION("""COMPUTED_VALUE"""),99.0)</f>
        <v>99</v>
      </c>
      <c r="B2581" s="4">
        <f>IFERROR(__xludf.DUMMYFUNCTION("""COMPUTED_VALUE"""),99.0)</f>
        <v>99</v>
      </c>
      <c r="C2581" s="4" t="str">
        <f>IFERROR(__xludf.DUMMYFUNCTION("""COMPUTED_VALUE"""),"PHO")</f>
        <v>PHO</v>
      </c>
      <c r="D2581" s="4" t="str">
        <f>IFERROR(__xludf.DUMMYFUNCTION("""COMPUTED_VALUE"""),"Brent Counts")</f>
        <v>Brent Counts</v>
      </c>
      <c r="E2581" s="4" t="str">
        <f>IFERROR(__xludf.DUMMYFUNCTION("""COMPUTED_VALUE"""),"University of the Pacific")</f>
        <v>University of the Pacific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</row>
    <row r="2582">
      <c r="A2582" s="4">
        <f>IFERROR(__xludf.DUMMYFUNCTION("""COMPUTED_VALUE"""),100.0)</f>
        <v>100</v>
      </c>
      <c r="B2582" s="4">
        <f>IFERROR(__xludf.DUMMYFUNCTION("""COMPUTED_VALUE"""),100.0)</f>
        <v>100</v>
      </c>
      <c r="C2582" s="4" t="str">
        <f>IFERROR(__xludf.DUMMYFUNCTION("""COMPUTED_VALUE"""),"DEN")</f>
        <v>DEN</v>
      </c>
      <c r="D2582" s="4" t="str">
        <f>IFERROR(__xludf.DUMMYFUNCTION("""COMPUTED_VALUE"""),"Ron Grandison")</f>
        <v>Ron Grandison</v>
      </c>
      <c r="E2582" s="4" t="str">
        <f>IFERROR(__xludf.DUMMYFUNCTION("""COMPUTED_VALUE"""),"New Orleans")</f>
        <v>New Orleans</v>
      </c>
      <c r="F2582" s="4">
        <f>IFERROR(__xludf.DUMMYFUNCTION("""COMPUTED_VALUE"""),4.0)</f>
        <v>4</v>
      </c>
      <c r="G2582" s="4">
        <f>IFERROR(__xludf.DUMMYFUNCTION("""COMPUTED_VALUE"""),105.0)</f>
        <v>105</v>
      </c>
      <c r="H2582" s="4">
        <f>IFERROR(__xludf.DUMMYFUNCTION("""COMPUTED_VALUE"""),872.0)</f>
        <v>872</v>
      </c>
      <c r="I2582" s="4">
        <f>IFERROR(__xludf.DUMMYFUNCTION("""COMPUTED_VALUE"""),254.0)</f>
        <v>254</v>
      </c>
      <c r="J2582" s="4">
        <f>IFERROR(__xludf.DUMMYFUNCTION("""COMPUTED_VALUE"""),163.0)</f>
        <v>163</v>
      </c>
      <c r="K2582" s="4">
        <f>IFERROR(__xludf.DUMMYFUNCTION("""COMPUTED_VALUE"""),58.0)</f>
        <v>58</v>
      </c>
      <c r="L2582" s="4">
        <f>IFERROR(__xludf.DUMMYFUNCTION("""COMPUTED_VALUE"""),0.404)</f>
        <v>0.404</v>
      </c>
      <c r="M2582" s="4">
        <f>IFERROR(__xludf.DUMMYFUNCTION("""COMPUTED_VALUE"""),0.167)</f>
        <v>0.167</v>
      </c>
      <c r="N2582" s="4">
        <f>IFERROR(__xludf.DUMMYFUNCTION("""COMPUTED_VALUE"""),0.713)</f>
        <v>0.713</v>
      </c>
      <c r="O2582" s="4">
        <f>IFERROR(__xludf.DUMMYFUNCTION("""COMPUTED_VALUE"""),8.3)</f>
        <v>8.3</v>
      </c>
      <c r="P2582" s="4">
        <f>IFERROR(__xludf.DUMMYFUNCTION("""COMPUTED_VALUE"""),2.4)</f>
        <v>2.4</v>
      </c>
      <c r="Q2582" s="4">
        <f>IFERROR(__xludf.DUMMYFUNCTION("""COMPUTED_VALUE"""),1.6)</f>
        <v>1.6</v>
      </c>
      <c r="R2582" s="4">
        <f>IFERROR(__xludf.DUMMYFUNCTION("""COMPUTED_VALUE"""),0.6)</f>
        <v>0.6</v>
      </c>
      <c r="S2582" s="4">
        <f>IFERROR(__xludf.DUMMYFUNCTION("""COMPUTED_VALUE"""),1.2)</f>
        <v>1.2</v>
      </c>
      <c r="T2582" s="4">
        <f>IFERROR(__xludf.DUMMYFUNCTION("""COMPUTED_VALUE"""),0.064)</f>
        <v>0.064</v>
      </c>
      <c r="U2582" s="4">
        <f>IFERROR(__xludf.DUMMYFUNCTION("""COMPUTED_VALUE"""),-2.6)</f>
        <v>-2.6</v>
      </c>
      <c r="V2582" s="4">
        <f>IFERROR(__xludf.DUMMYFUNCTION("""COMPUTED_VALUE"""),-0.1)</f>
        <v>-0.1</v>
      </c>
    </row>
    <row r="2583">
      <c r="A2583" s="4">
        <f>IFERROR(__xludf.DUMMYFUNCTION("""COMPUTED_VALUE"""),101.0)</f>
        <v>101</v>
      </c>
      <c r="B2583" s="4">
        <f>IFERROR(__xludf.DUMMYFUNCTION("""COMPUTED_VALUE"""),101.0)</f>
        <v>101</v>
      </c>
      <c r="C2583" s="4" t="str">
        <f>IFERROR(__xludf.DUMMYFUNCTION("""COMPUTED_VALUE"""),"SEA")</f>
        <v>SEA</v>
      </c>
      <c r="D2583" s="4" t="str">
        <f>IFERROR(__xludf.DUMMYFUNCTION("""COMPUTED_VALUE"""),"Michael Tait")</f>
        <v>Michael Tait</v>
      </c>
      <c r="E2583" s="4" t="str">
        <f>IFERROR(__xludf.DUMMYFUNCTION("""COMPUTED_VALUE"""),"Clemson")</f>
        <v>Clemson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</row>
    <row r="2584">
      <c r="A2584" s="4">
        <f>IFERROR(__xludf.DUMMYFUNCTION("""COMPUTED_VALUE"""),102.0)</f>
        <v>102</v>
      </c>
      <c r="B2584" s="4">
        <f>IFERROR(__xludf.DUMMYFUNCTION("""COMPUTED_VALUE"""),102.0)</f>
        <v>102</v>
      </c>
      <c r="C2584" s="4" t="str">
        <f>IFERROR(__xludf.DUMMYFUNCTION("""COMPUTED_VALUE"""),"CHI")</f>
        <v>CHI</v>
      </c>
      <c r="D2584" s="4" t="str">
        <f>IFERROR(__xludf.DUMMYFUNCTION("""COMPUTED_VALUE"""),"Anthony Wilson")</f>
        <v>Anthony Wilson</v>
      </c>
      <c r="E2584" s="4" t="str">
        <f>IFERROR(__xludf.DUMMYFUNCTION("""COMPUTED_VALUE"""),"LSU")</f>
        <v>LSU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</row>
    <row r="2585">
      <c r="A2585" s="4">
        <f>IFERROR(__xludf.DUMMYFUNCTION("""COMPUTED_VALUE"""),103.0)</f>
        <v>103</v>
      </c>
      <c r="B2585" s="4">
        <f>IFERROR(__xludf.DUMMYFUNCTION("""COMPUTED_VALUE"""),103.0)</f>
        <v>103</v>
      </c>
      <c r="C2585" s="4" t="str">
        <f>IFERROR(__xludf.DUMMYFUNCTION("""COMPUTED_VALUE"""),"IND")</f>
        <v>IND</v>
      </c>
      <c r="D2585" s="4" t="str">
        <f>IFERROR(__xludf.DUMMYFUNCTION("""COMPUTED_VALUE"""),"Mike Milling")</f>
        <v>Mike Milling</v>
      </c>
      <c r="E2585" s="4" t="str">
        <f>IFERROR(__xludf.DUMMYFUNCTION("""COMPUTED_VALUE"""),"UNC Charlotte")</f>
        <v>UNC Charlotte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</row>
    <row r="2586">
      <c r="A2586" s="4">
        <f>IFERROR(__xludf.DUMMYFUNCTION("""COMPUTED_VALUE"""),104.0)</f>
        <v>104</v>
      </c>
      <c r="B2586" s="4">
        <f>IFERROR(__xludf.DUMMYFUNCTION("""COMPUTED_VALUE"""),104.0)</f>
        <v>104</v>
      </c>
      <c r="C2586" s="4" t="str">
        <f>IFERROR(__xludf.DUMMYFUNCTION("""COMPUTED_VALUE"""),"HOU")</f>
        <v>HOU</v>
      </c>
      <c r="D2586" s="4" t="str">
        <f>IFERROR(__xludf.DUMMYFUNCTION("""COMPUTED_VALUE"""),"Andre LaFleur")</f>
        <v>Andre LaFleur</v>
      </c>
      <c r="E2586" s="4" t="str">
        <f>IFERROR(__xludf.DUMMYFUNCTION("""COMPUTED_VALUE"""),"Northeastern University")</f>
        <v>Northeastern University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</row>
    <row r="2587">
      <c r="A2587" s="4">
        <f>IFERROR(__xludf.DUMMYFUNCTION("""COMPUTED_VALUE"""),105.0)</f>
        <v>105</v>
      </c>
      <c r="B2587" s="4">
        <f>IFERROR(__xludf.DUMMYFUNCTION("""COMPUTED_VALUE"""),105.0)</f>
        <v>105</v>
      </c>
      <c r="C2587" s="4" t="str">
        <f>IFERROR(__xludf.DUMMYFUNCTION("""COMPUTED_VALUE"""),"GSW")</f>
        <v>GSW</v>
      </c>
      <c r="D2587" s="4" t="str">
        <f>IFERROR(__xludf.DUMMYFUNCTION("""COMPUTED_VALUE"""),"Terry Williams")</f>
        <v>Terry Williams</v>
      </c>
      <c r="E2587" s="4" t="str">
        <f>IFERROR(__xludf.DUMMYFUNCTION("""COMPUTED_VALUE"""),"SMU")</f>
        <v>SMU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</row>
    <row r="2588">
      <c r="A2588" s="4">
        <f>IFERROR(__xludf.DUMMYFUNCTION("""COMPUTED_VALUE"""),106.0)</f>
        <v>106</v>
      </c>
      <c r="B2588" s="4">
        <f>IFERROR(__xludf.DUMMYFUNCTION("""COMPUTED_VALUE"""),106.0)</f>
        <v>106</v>
      </c>
      <c r="C2588" s="4" t="str">
        <f>IFERROR(__xludf.DUMMYFUNCTION("""COMPUTED_VALUE"""),"WSB")</f>
        <v>WSB</v>
      </c>
      <c r="D2588" s="4" t="str">
        <f>IFERROR(__xludf.DUMMYFUNCTION("""COMPUTED_VALUE"""),"Patrick Fairs")</f>
        <v>Patrick Fairs</v>
      </c>
      <c r="E2588" s="4" t="str">
        <f>IFERROR(__xludf.DUMMYFUNCTION("""COMPUTED_VALUE"""),"Texas")</f>
        <v>Texas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</row>
    <row r="2589">
      <c r="A2589" s="4">
        <f>IFERROR(__xludf.DUMMYFUNCTION("""COMPUTED_VALUE"""),107.0)</f>
        <v>107</v>
      </c>
      <c r="B2589" s="4">
        <f>IFERROR(__xludf.DUMMYFUNCTION("""COMPUTED_VALUE"""),107.0)</f>
        <v>107</v>
      </c>
      <c r="C2589" s="4" t="str">
        <f>IFERROR(__xludf.DUMMYFUNCTION("""COMPUTED_VALUE"""),"UTA")</f>
        <v>UTA</v>
      </c>
      <c r="D2589" s="4" t="str">
        <f>IFERROR(__xludf.DUMMYFUNCTION("""COMPUTED_VALUE"""),"Bart Kofoed")</f>
        <v>Bart Kofoed</v>
      </c>
      <c r="E2589" s="4" t="str">
        <f>IFERROR(__xludf.DUMMYFUNCTION("""COMPUTED_VALUE"""),"University of Nebraska at Kearney")</f>
        <v>University of Nebraska at Kearney</v>
      </c>
      <c r="F2589" s="4">
        <f>IFERROR(__xludf.DUMMYFUNCTION("""COMPUTED_VALUE"""),5.0)</f>
        <v>5</v>
      </c>
      <c r="G2589" s="4">
        <f>IFERROR(__xludf.DUMMYFUNCTION("""COMPUTED_VALUE"""),111.0)</f>
        <v>111</v>
      </c>
      <c r="H2589" s="4">
        <f>IFERROR(__xludf.DUMMYFUNCTION("""COMPUTED_VALUE"""),702.0)</f>
        <v>702</v>
      </c>
      <c r="I2589" s="4">
        <f>IFERROR(__xludf.DUMMYFUNCTION("""COMPUTED_VALUE"""),162.0)</f>
        <v>162</v>
      </c>
      <c r="J2589" s="4">
        <f>IFERROR(__xludf.DUMMYFUNCTION("""COMPUTED_VALUE"""),56.0)</f>
        <v>56</v>
      </c>
      <c r="K2589" s="4">
        <f>IFERROR(__xludf.DUMMYFUNCTION("""COMPUTED_VALUE"""),108.0)</f>
        <v>108</v>
      </c>
      <c r="L2589" s="4">
        <f>IFERROR(__xludf.DUMMYFUNCTION("""COMPUTED_VALUE"""),0.387)</f>
        <v>0.387</v>
      </c>
      <c r="M2589" s="4">
        <f>IFERROR(__xludf.DUMMYFUNCTION("""COMPUTED_VALUE"""),0.188)</f>
        <v>0.188</v>
      </c>
      <c r="N2589" s="4">
        <f>IFERROR(__xludf.DUMMYFUNCTION("""COMPUTED_VALUE"""),0.614)</f>
        <v>0.614</v>
      </c>
      <c r="O2589" s="4">
        <f>IFERROR(__xludf.DUMMYFUNCTION("""COMPUTED_VALUE"""),6.3)</f>
        <v>6.3</v>
      </c>
      <c r="P2589" s="4">
        <f>IFERROR(__xludf.DUMMYFUNCTION("""COMPUTED_VALUE"""),1.5)</f>
        <v>1.5</v>
      </c>
      <c r="Q2589" s="4">
        <f>IFERROR(__xludf.DUMMYFUNCTION("""COMPUTED_VALUE"""),0.5)</f>
        <v>0.5</v>
      </c>
      <c r="R2589" s="4">
        <f>IFERROR(__xludf.DUMMYFUNCTION("""COMPUTED_VALUE"""),1.0)</f>
        <v>1</v>
      </c>
      <c r="S2589" s="4">
        <f>IFERROR(__xludf.DUMMYFUNCTION("""COMPUTED_VALUE"""),0.0)</f>
        <v>0</v>
      </c>
      <c r="T2589" s="4">
        <f>IFERROR(__xludf.DUMMYFUNCTION("""COMPUTED_VALUE"""),0.002)</f>
        <v>0.002</v>
      </c>
      <c r="U2589" s="4">
        <f>IFERROR(__xludf.DUMMYFUNCTION("""COMPUTED_VALUE"""),-5.1)</f>
        <v>-5.1</v>
      </c>
      <c r="V2589" s="4">
        <f>IFERROR(__xludf.DUMMYFUNCTION("""COMPUTED_VALUE"""),-0.6)</f>
        <v>-0.6</v>
      </c>
    </row>
    <row r="2590">
      <c r="A2590" s="4">
        <f>IFERROR(__xludf.DUMMYFUNCTION("""COMPUTED_VALUE"""),108.0)</f>
        <v>108</v>
      </c>
      <c r="B2590" s="4">
        <f>IFERROR(__xludf.DUMMYFUNCTION("""COMPUTED_VALUE"""),108.0)</f>
        <v>108</v>
      </c>
      <c r="C2590" s="4" t="str">
        <f>IFERROR(__xludf.DUMMYFUNCTION("""COMPUTED_VALUE"""),"PHI")</f>
        <v>PHI</v>
      </c>
      <c r="D2590" s="4" t="str">
        <f>IFERROR(__xludf.DUMMYFUNCTION("""COMPUTED_VALUE"""),"Frank Ross")</f>
        <v>Frank Ross</v>
      </c>
      <c r="E2590" s="4" t="str">
        <f>IFERROR(__xludf.DUMMYFUNCTION("""COMPUTED_VALUE"""),"American University")</f>
        <v>American University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</row>
    <row r="2591">
      <c r="A2591" s="4">
        <f>IFERROR(__xludf.DUMMYFUNCTION("""COMPUTED_VALUE"""),109.0)</f>
        <v>109</v>
      </c>
      <c r="B2591" s="4">
        <f>IFERROR(__xludf.DUMMYFUNCTION("""COMPUTED_VALUE"""),109.0)</f>
        <v>109</v>
      </c>
      <c r="C2591" s="4" t="str">
        <f>IFERROR(__xludf.DUMMYFUNCTION("""COMPUTED_VALUE"""),"POR")</f>
        <v>POR</v>
      </c>
      <c r="D2591" s="4" t="str">
        <f>IFERROR(__xludf.DUMMYFUNCTION("""COMPUTED_VALUE"""),"David Moss")</f>
        <v>David Moss</v>
      </c>
      <c r="E2591" s="4" t="str">
        <f>IFERROR(__xludf.DUMMYFUNCTION("""COMPUTED_VALUE"""),"Tulsa")</f>
        <v>Tulsa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</row>
    <row r="2592">
      <c r="A2592" s="4">
        <f>IFERROR(__xludf.DUMMYFUNCTION("""COMPUTED_VALUE"""),110.0)</f>
        <v>110</v>
      </c>
      <c r="B2592" s="4">
        <f>IFERROR(__xludf.DUMMYFUNCTION("""COMPUTED_VALUE"""),110.0)</f>
        <v>110</v>
      </c>
      <c r="C2592" s="4" t="str">
        <f>IFERROR(__xludf.DUMMYFUNCTION("""COMPUTED_VALUE"""),"MIL")</f>
        <v>MIL</v>
      </c>
      <c r="D2592" s="4" t="str">
        <f>IFERROR(__xludf.DUMMYFUNCTION("""COMPUTED_VALUE"""),"Brian Vaughns")</f>
        <v>Brian Vaughns</v>
      </c>
      <c r="E2592" s="4" t="str">
        <f>IFERROR(__xludf.DUMMYFUNCTION("""COMPUTED_VALUE"""),"UC Santa Barbara")</f>
        <v>UC Santa Barbara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</row>
    <row r="2593">
      <c r="A2593" s="4">
        <f>IFERROR(__xludf.DUMMYFUNCTION("""COMPUTED_VALUE"""),111.0)</f>
        <v>111</v>
      </c>
      <c r="B2593" s="4">
        <f>IFERROR(__xludf.DUMMYFUNCTION("""COMPUTED_VALUE"""),111.0)</f>
        <v>111</v>
      </c>
      <c r="C2593" s="4" t="str">
        <f>IFERROR(__xludf.DUMMYFUNCTION("""COMPUTED_VALUE"""),"DET")</f>
        <v>DET</v>
      </c>
      <c r="D2593" s="4" t="str">
        <f>IFERROR(__xludf.DUMMYFUNCTION("""COMPUTED_VALUE"""),"Gerry Wright")</f>
        <v>Gerry Wright</v>
      </c>
      <c r="E2593" s="4" t="str">
        <f>IFERROR(__xludf.DUMMYFUNCTION("""COMPUTED_VALUE"""),"Iowa")</f>
        <v>Iowa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</row>
    <row r="2594">
      <c r="A2594" s="4">
        <f>IFERROR(__xludf.DUMMYFUNCTION("""COMPUTED_VALUE"""),112.0)</f>
        <v>112</v>
      </c>
      <c r="B2594" s="4">
        <f>IFERROR(__xludf.DUMMYFUNCTION("""COMPUTED_VALUE"""),112.0)</f>
        <v>112</v>
      </c>
      <c r="C2594" s="4" t="str">
        <f>IFERROR(__xludf.DUMMYFUNCTION("""COMPUTED_VALUE"""),"DAL")</f>
        <v>DAL</v>
      </c>
      <c r="D2594" s="4" t="str">
        <f>IFERROR(__xludf.DUMMYFUNCTION("""COMPUTED_VALUE"""),"Sam Hill")</f>
        <v>Sam Hill</v>
      </c>
      <c r="E2594" s="4" t="str">
        <f>IFERROR(__xludf.DUMMYFUNCTION("""COMPUTED_VALUE"""),"Iowa State")</f>
        <v>Iowa State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</row>
    <row r="2595">
      <c r="A2595" s="4">
        <f>IFERROR(__xludf.DUMMYFUNCTION("""COMPUTED_VALUE"""),113.0)</f>
        <v>113</v>
      </c>
      <c r="B2595" s="4">
        <f>IFERROR(__xludf.DUMMYFUNCTION("""COMPUTED_VALUE"""),113.0)</f>
        <v>113</v>
      </c>
      <c r="C2595" s="4" t="str">
        <f>IFERROR(__xludf.DUMMYFUNCTION("""COMPUTED_VALUE"""),"ATL")</f>
        <v>ATL</v>
      </c>
      <c r="D2595" s="4" t="str">
        <f>IFERROR(__xludf.DUMMYFUNCTION("""COMPUTED_VALUE"""),"Jose Antonio Montero")</f>
        <v>Jose Antonio Montero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</row>
    <row r="2596">
      <c r="A2596" s="4">
        <f>IFERROR(__xludf.DUMMYFUNCTION("""COMPUTED_VALUE"""),114.0)</f>
        <v>114</v>
      </c>
      <c r="B2596" s="4">
        <f>IFERROR(__xludf.DUMMYFUNCTION("""COMPUTED_VALUE"""),114.0)</f>
        <v>114</v>
      </c>
      <c r="C2596" s="4" t="str">
        <f>IFERROR(__xludf.DUMMYFUNCTION("""COMPUTED_VALUE"""),"BOS")</f>
        <v>BOS</v>
      </c>
      <c r="D2596" s="4" t="str">
        <f>IFERROR(__xludf.DUMMYFUNCTION("""COMPUTED_VALUE"""),"Dave Butler")</f>
        <v>Dave Butler</v>
      </c>
      <c r="E2596" s="4" t="str">
        <f>IFERROR(__xludf.DUMMYFUNCTION("""COMPUTED_VALUE"""),"California")</f>
        <v>California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</row>
    <row r="2597">
      <c r="A2597" s="4"/>
      <c r="B2597" s="4"/>
      <c r="C2597" s="4"/>
      <c r="D2597" s="4" t="str">
        <f>IFERROR(__xludf.DUMMYFUNCTION("""COMPUTED_VALUE"""),"Round 6")</f>
        <v>Round 6</v>
      </c>
      <c r="E2597" s="4"/>
      <c r="F2597" s="4"/>
      <c r="G2597" s="4" t="str">
        <f>IFERROR(__xludf.DUMMYFUNCTION("""COMPUTED_VALUE"""),"Totals")</f>
        <v>Totals</v>
      </c>
      <c r="H2597" s="4"/>
      <c r="I2597" s="4"/>
      <c r="J2597" s="4"/>
      <c r="K2597" s="4"/>
      <c r="L2597" s="4" t="str">
        <f>IFERROR(__xludf.DUMMYFUNCTION("""COMPUTED_VALUE"""),"Shooting")</f>
        <v>Shooting</v>
      </c>
      <c r="M2597" s="4"/>
      <c r="N2597" s="4"/>
      <c r="O2597" s="4" t="str">
        <f>IFERROR(__xludf.DUMMYFUNCTION("""COMPUTED_VALUE"""),"Per Game")</f>
        <v>Per Game</v>
      </c>
      <c r="P2597" s="4"/>
      <c r="Q2597" s="4"/>
      <c r="R2597" s="4"/>
      <c r="S2597" s="4" t="str">
        <f>IFERROR(__xludf.DUMMYFUNCTION("""COMPUTED_VALUE"""),"Advanced")</f>
        <v>Advanced</v>
      </c>
      <c r="T2597" s="4"/>
      <c r="U2597" s="4"/>
      <c r="V2597" s="4"/>
    </row>
    <row r="2598">
      <c r="A2598" s="4" t="str">
        <f>IFERROR(__xludf.DUMMYFUNCTION("""COMPUTED_VALUE"""),"Rk")</f>
        <v>Rk</v>
      </c>
      <c r="B2598" s="4" t="str">
        <f>IFERROR(__xludf.DUMMYFUNCTION("""COMPUTED_VALUE"""),"Pk")</f>
        <v>Pk</v>
      </c>
      <c r="C2598" s="4" t="str">
        <f>IFERROR(__xludf.DUMMYFUNCTION("""COMPUTED_VALUE"""),"Tm")</f>
        <v>Tm</v>
      </c>
      <c r="D2598" s="4" t="str">
        <f>IFERROR(__xludf.DUMMYFUNCTION("""COMPUTED_VALUE"""),"Player")</f>
        <v>Player</v>
      </c>
      <c r="E2598" s="4" t="str">
        <f>IFERROR(__xludf.DUMMYFUNCTION("""COMPUTED_VALUE"""),"College")</f>
        <v>College</v>
      </c>
      <c r="F2598" s="4" t="str">
        <f>IFERROR(__xludf.DUMMYFUNCTION("""COMPUTED_VALUE"""),"Yrs")</f>
        <v>Yrs</v>
      </c>
      <c r="G2598" s="4" t="str">
        <f>IFERROR(__xludf.DUMMYFUNCTION("""COMPUTED_VALUE"""),"G")</f>
        <v>G</v>
      </c>
      <c r="H2598" s="4" t="str">
        <f>IFERROR(__xludf.DUMMYFUNCTION("""COMPUTED_VALUE"""),"MP")</f>
        <v>MP</v>
      </c>
      <c r="I2598" s="4" t="str">
        <f>IFERROR(__xludf.DUMMYFUNCTION("""COMPUTED_VALUE"""),"PTS")</f>
        <v>PTS</v>
      </c>
      <c r="J2598" s="4" t="str">
        <f>IFERROR(__xludf.DUMMYFUNCTION("""COMPUTED_VALUE"""),"TRB")</f>
        <v>TRB</v>
      </c>
      <c r="K2598" s="4" t="str">
        <f>IFERROR(__xludf.DUMMYFUNCTION("""COMPUTED_VALUE"""),"AST")</f>
        <v>AST</v>
      </c>
      <c r="L2598" s="4" t="str">
        <f>IFERROR(__xludf.DUMMYFUNCTION("""COMPUTED_VALUE"""),"FG%")</f>
        <v>FG%</v>
      </c>
      <c r="M2598" s="4" t="str">
        <f>IFERROR(__xludf.DUMMYFUNCTION("""COMPUTED_VALUE"""),"3P%")</f>
        <v>3P%</v>
      </c>
      <c r="N2598" s="4" t="str">
        <f>IFERROR(__xludf.DUMMYFUNCTION("""COMPUTED_VALUE"""),"FT%")</f>
        <v>FT%</v>
      </c>
      <c r="O2598" s="4" t="str">
        <f>IFERROR(__xludf.DUMMYFUNCTION("""COMPUTED_VALUE"""),"MP")</f>
        <v>MP</v>
      </c>
      <c r="P2598" s="4" t="str">
        <f>IFERROR(__xludf.DUMMYFUNCTION("""COMPUTED_VALUE"""),"PTS")</f>
        <v>PTS</v>
      </c>
      <c r="Q2598" s="4" t="str">
        <f>IFERROR(__xludf.DUMMYFUNCTION("""COMPUTED_VALUE"""),"TRB")</f>
        <v>TRB</v>
      </c>
      <c r="R2598" s="4" t="str">
        <f>IFERROR(__xludf.DUMMYFUNCTION("""COMPUTED_VALUE"""),"AST")</f>
        <v>AST</v>
      </c>
      <c r="S2598" s="4" t="str">
        <f>IFERROR(__xludf.DUMMYFUNCTION("""COMPUTED_VALUE"""),"WS")</f>
        <v>WS</v>
      </c>
      <c r="T2598" s="4" t="str">
        <f>IFERROR(__xludf.DUMMYFUNCTION("""COMPUTED_VALUE"""),"WS/48")</f>
        <v>WS/48</v>
      </c>
      <c r="U2598" s="4" t="str">
        <f>IFERROR(__xludf.DUMMYFUNCTION("""COMPUTED_VALUE"""),"BPM")</f>
        <v>BPM</v>
      </c>
      <c r="V2598" s="4" t="str">
        <f>IFERROR(__xludf.DUMMYFUNCTION("""COMPUTED_VALUE"""),"VORP")</f>
        <v>VORP</v>
      </c>
    </row>
    <row r="2599">
      <c r="A2599" s="4">
        <f>IFERROR(__xludf.DUMMYFUNCTION("""COMPUTED_VALUE"""),115.0)</f>
        <v>115</v>
      </c>
      <c r="B2599" s="4">
        <f>IFERROR(__xludf.DUMMYFUNCTION("""COMPUTED_VALUE"""),115.0)</f>
        <v>115</v>
      </c>
      <c r="C2599" s="4" t="str">
        <f>IFERROR(__xludf.DUMMYFUNCTION("""COMPUTED_VALUE"""),"LAL")</f>
        <v>LAL</v>
      </c>
      <c r="D2599" s="4" t="str">
        <f>IFERROR(__xludf.DUMMYFUNCTION("""COMPUTED_VALUE"""),"Kenny Travis")</f>
        <v>Kenny Travis</v>
      </c>
      <c r="E2599" s="4" t="str">
        <f>IFERROR(__xludf.DUMMYFUNCTION("""COMPUTED_VALUE"""),"New Mexico State")</f>
        <v>New Mexico State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</row>
    <row r="2600">
      <c r="A2600" s="4">
        <f>IFERROR(__xludf.DUMMYFUNCTION("""COMPUTED_VALUE"""),116.0)</f>
        <v>116</v>
      </c>
      <c r="B2600" s="4">
        <f>IFERROR(__xludf.DUMMYFUNCTION("""COMPUTED_VALUE"""),116.0)</f>
        <v>116</v>
      </c>
      <c r="C2600" s="4" t="str">
        <f>IFERROR(__xludf.DUMMYFUNCTION("""COMPUTED_VALUE"""),"LAC")</f>
        <v>LAC</v>
      </c>
      <c r="D2600" s="4" t="str">
        <f>IFERROR(__xludf.DUMMYFUNCTION("""COMPUTED_VALUE"""),"Martin Nessley")</f>
        <v>Martin Nessley</v>
      </c>
      <c r="E2600" s="4" t="str">
        <f>IFERROR(__xludf.DUMMYFUNCTION("""COMPUTED_VALUE"""),"Duke")</f>
        <v>Duke</v>
      </c>
      <c r="F2600" s="4">
        <f>IFERROR(__xludf.DUMMYFUNCTION("""COMPUTED_VALUE"""),1.0)</f>
        <v>1</v>
      </c>
      <c r="G2600" s="4">
        <f>IFERROR(__xludf.DUMMYFUNCTION("""COMPUTED_VALUE"""),44.0)</f>
        <v>44</v>
      </c>
      <c r="H2600" s="4">
        <f>IFERROR(__xludf.DUMMYFUNCTION("""COMPUTED_VALUE"""),336.0)</f>
        <v>336</v>
      </c>
      <c r="I2600" s="4">
        <f>IFERROR(__xludf.DUMMYFUNCTION("""COMPUTED_VALUE"""),48.0)</f>
        <v>48</v>
      </c>
      <c r="J2600" s="4">
        <f>IFERROR(__xludf.DUMMYFUNCTION("""COMPUTED_VALUE"""),82.0)</f>
        <v>82</v>
      </c>
      <c r="K2600" s="4">
        <f>IFERROR(__xludf.DUMMYFUNCTION("""COMPUTED_VALUE"""),16.0)</f>
        <v>16</v>
      </c>
      <c r="L2600" s="4">
        <f>IFERROR(__xludf.DUMMYFUNCTION("""COMPUTED_VALUE"""),0.385)</f>
        <v>0.385</v>
      </c>
      <c r="M2600" s="4"/>
      <c r="N2600" s="4">
        <f>IFERROR(__xludf.DUMMYFUNCTION("""COMPUTED_VALUE"""),0.444)</f>
        <v>0.444</v>
      </c>
      <c r="O2600" s="4">
        <f>IFERROR(__xludf.DUMMYFUNCTION("""COMPUTED_VALUE"""),7.6)</f>
        <v>7.6</v>
      </c>
      <c r="P2600" s="4">
        <f>IFERROR(__xludf.DUMMYFUNCTION("""COMPUTED_VALUE"""),1.1)</f>
        <v>1.1</v>
      </c>
      <c r="Q2600" s="4">
        <f>IFERROR(__xludf.DUMMYFUNCTION("""COMPUTED_VALUE"""),1.9)</f>
        <v>1.9</v>
      </c>
      <c r="R2600" s="4">
        <f>IFERROR(__xludf.DUMMYFUNCTION("""COMPUTED_VALUE"""),0.4)</f>
        <v>0.4</v>
      </c>
      <c r="S2600" s="4">
        <f>IFERROR(__xludf.DUMMYFUNCTION("""COMPUTED_VALUE"""),-0.1)</f>
        <v>-0.1</v>
      </c>
      <c r="T2600" s="4">
        <f>IFERROR(__xludf.DUMMYFUNCTION("""COMPUTED_VALUE"""),-0.014)</f>
        <v>-0.014</v>
      </c>
      <c r="U2600" s="4">
        <f>IFERROR(__xludf.DUMMYFUNCTION("""COMPUTED_VALUE"""),-8.2)</f>
        <v>-8.2</v>
      </c>
      <c r="V2600" s="4">
        <f>IFERROR(__xludf.DUMMYFUNCTION("""COMPUTED_VALUE"""),-0.5)</f>
        <v>-0.5</v>
      </c>
    </row>
    <row r="2601">
      <c r="A2601" s="4">
        <f>IFERROR(__xludf.DUMMYFUNCTION("""COMPUTED_VALUE"""),117.0)</f>
        <v>117</v>
      </c>
      <c r="B2601" s="4">
        <f>IFERROR(__xludf.DUMMYFUNCTION("""COMPUTED_VALUE"""),117.0)</f>
        <v>117</v>
      </c>
      <c r="C2601" s="4" t="str">
        <f>IFERROR(__xludf.DUMMYFUNCTION("""COMPUTED_VALUE"""),"NYK")</f>
        <v>NYK</v>
      </c>
      <c r="D2601" s="4" t="str">
        <f>IFERROR(__xludf.DUMMYFUNCTION("""COMPUTED_VALUE"""),"Howard Triche")</f>
        <v>Howard Triche</v>
      </c>
      <c r="E2601" s="4" t="str">
        <f>IFERROR(__xludf.DUMMYFUNCTION("""COMPUTED_VALUE"""),"Syracuse")</f>
        <v>Syracuse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</row>
    <row r="2602">
      <c r="A2602" s="4">
        <f>IFERROR(__xludf.DUMMYFUNCTION("""COMPUTED_VALUE"""),118.0)</f>
        <v>118</v>
      </c>
      <c r="B2602" s="4">
        <f>IFERROR(__xludf.DUMMYFUNCTION("""COMPUTED_VALUE"""),118.0)</f>
        <v>118</v>
      </c>
      <c r="C2602" s="4" t="str">
        <f>IFERROR(__xludf.DUMMYFUNCTION("""COMPUTED_VALUE"""),"NJN")</f>
        <v>NJN</v>
      </c>
      <c r="D2602" s="4" t="str">
        <f>IFERROR(__xludf.DUMMYFUNCTION("""COMPUTED_VALUE"""),"Perry Bromwell")</f>
        <v>Perry Bromwell</v>
      </c>
      <c r="E2602" s="4" t="str">
        <f>IFERROR(__xludf.DUMMYFUNCTION("""COMPUTED_VALUE"""),"Penn")</f>
        <v>Penn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</row>
    <row r="2603">
      <c r="A2603" s="4">
        <f>IFERROR(__xludf.DUMMYFUNCTION("""COMPUTED_VALUE"""),119.0)</f>
        <v>119</v>
      </c>
      <c r="B2603" s="4">
        <f>IFERROR(__xludf.DUMMYFUNCTION("""COMPUTED_VALUE"""),119.0)</f>
        <v>119</v>
      </c>
      <c r="C2603" s="4" t="str">
        <f>IFERROR(__xludf.DUMMYFUNCTION("""COMPUTED_VALUE"""),"SAS")</f>
        <v>SAS</v>
      </c>
      <c r="D2603" s="4" t="str">
        <f>IFERROR(__xludf.DUMMYFUNCTION("""COMPUTED_VALUE"""),"Ricky Brown")</f>
        <v>Ricky Brown</v>
      </c>
      <c r="E2603" s="4" t="str">
        <f>IFERROR(__xludf.DUMMYFUNCTION("""COMPUTED_VALUE"""),"University of South Alabama")</f>
        <v>University of South Alabama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</row>
    <row r="2604">
      <c r="A2604" s="4">
        <f>IFERROR(__xludf.DUMMYFUNCTION("""COMPUTED_VALUE"""),120.0)</f>
        <v>120</v>
      </c>
      <c r="B2604" s="4">
        <f>IFERROR(__xludf.DUMMYFUNCTION("""COMPUTED_VALUE"""),120.0)</f>
        <v>120</v>
      </c>
      <c r="C2604" s="4" t="str">
        <f>IFERROR(__xludf.DUMMYFUNCTION("""COMPUTED_VALUE"""),"SAC")</f>
        <v>SAC</v>
      </c>
      <c r="D2604" s="4" t="str">
        <f>IFERROR(__xludf.DUMMYFUNCTION("""COMPUTED_VALUE"""),"Daryl Thomas")</f>
        <v>Daryl Thomas</v>
      </c>
      <c r="E2604" s="4" t="str">
        <f>IFERROR(__xludf.DUMMYFUNCTION("""COMPUTED_VALUE"""),"Indiana")</f>
        <v>Indiana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</row>
    <row r="2605">
      <c r="A2605" s="4">
        <f>IFERROR(__xludf.DUMMYFUNCTION("""COMPUTED_VALUE"""),121.0)</f>
        <v>121</v>
      </c>
      <c r="B2605" s="4">
        <f>IFERROR(__xludf.DUMMYFUNCTION("""COMPUTED_VALUE"""),121.0)</f>
        <v>121</v>
      </c>
      <c r="C2605" s="4" t="str">
        <f>IFERROR(__xludf.DUMMYFUNCTION("""COMPUTED_VALUE"""),"CLE")</f>
        <v>CLE</v>
      </c>
      <c r="D2605" s="4" t="str">
        <f>IFERROR(__xludf.DUMMYFUNCTION("""COMPUTED_VALUE"""),"Harold Jensen")</f>
        <v>Harold Jensen</v>
      </c>
      <c r="E2605" s="4" t="str">
        <f>IFERROR(__xludf.DUMMYFUNCTION("""COMPUTED_VALUE"""),"Villanova")</f>
        <v>Villanova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</row>
    <row r="2606">
      <c r="A2606" s="4">
        <f>IFERROR(__xludf.DUMMYFUNCTION("""COMPUTED_VALUE"""),122.0)</f>
        <v>122</v>
      </c>
      <c r="B2606" s="4">
        <f>IFERROR(__xludf.DUMMYFUNCTION("""COMPUTED_VALUE"""),122.0)</f>
        <v>122</v>
      </c>
      <c r="C2606" s="4" t="str">
        <f>IFERROR(__xludf.DUMMYFUNCTION("""COMPUTED_VALUE"""),"PHO")</f>
        <v>PHO</v>
      </c>
      <c r="D2606" s="4" t="str">
        <f>IFERROR(__xludf.DUMMYFUNCTION("""COMPUTED_VALUE"""),"Marcel Boyce")</f>
        <v>Marcel Boyce</v>
      </c>
      <c r="E2606" s="4" t="str">
        <f>IFERROR(__xludf.DUMMYFUNCTION("""COMPUTED_VALUE"""),"University of Akron")</f>
        <v>University of Akron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</row>
    <row r="2607">
      <c r="A2607" s="4">
        <f>IFERROR(__xludf.DUMMYFUNCTION("""COMPUTED_VALUE"""),123.0)</f>
        <v>123</v>
      </c>
      <c r="B2607" s="4">
        <f>IFERROR(__xludf.DUMMYFUNCTION("""COMPUTED_VALUE"""),123.0)</f>
        <v>123</v>
      </c>
      <c r="C2607" s="4" t="str">
        <f>IFERROR(__xludf.DUMMYFUNCTION("""COMPUTED_VALUE"""),"DEN")</f>
        <v>DEN</v>
      </c>
      <c r="D2607" s="4" t="str">
        <f>IFERROR(__xludf.DUMMYFUNCTION("""COMPUTED_VALUE"""),"Kelvin Scarborough")</f>
        <v>Kelvin Scarborough</v>
      </c>
      <c r="E2607" s="4" t="str">
        <f>IFERROR(__xludf.DUMMYFUNCTION("""COMPUTED_VALUE"""),"New Mexico")</f>
        <v>New Mexico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</row>
    <row r="2608">
      <c r="A2608" s="4">
        <f>IFERROR(__xludf.DUMMYFUNCTION("""COMPUTED_VALUE"""),124.0)</f>
        <v>124</v>
      </c>
      <c r="B2608" s="4">
        <f>IFERROR(__xludf.DUMMYFUNCTION("""COMPUTED_VALUE"""),124.0)</f>
        <v>124</v>
      </c>
      <c r="C2608" s="4" t="str">
        <f>IFERROR(__xludf.DUMMYFUNCTION("""COMPUTED_VALUE"""),"SEA")</f>
        <v>SEA</v>
      </c>
      <c r="D2608" s="4" t="str">
        <f>IFERROR(__xludf.DUMMYFUNCTION("""COMPUTED_VALUE"""),"Tom Gneiting")</f>
        <v>Tom Gneiting</v>
      </c>
      <c r="E2608" s="4" t="str">
        <f>IFERROR(__xludf.DUMMYFUNCTION("""COMPUTED_VALUE"""),"BYU")</f>
        <v>BYU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</row>
    <row r="2609">
      <c r="A2609" s="4">
        <f>IFERROR(__xludf.DUMMYFUNCTION("""COMPUTED_VALUE"""),125.0)</f>
        <v>125</v>
      </c>
      <c r="B2609" s="4">
        <f>IFERROR(__xludf.DUMMYFUNCTION("""COMPUTED_VALUE"""),125.0)</f>
        <v>125</v>
      </c>
      <c r="C2609" s="4" t="str">
        <f>IFERROR(__xludf.DUMMYFUNCTION("""COMPUTED_VALUE"""),"CHI")</f>
        <v>CHI</v>
      </c>
      <c r="D2609" s="4" t="str">
        <f>IFERROR(__xludf.DUMMYFUNCTION("""COMPUTED_VALUE"""),"Doug Altenberger")</f>
        <v>Doug Altenberger</v>
      </c>
      <c r="E2609" s="4" t="str">
        <f>IFERROR(__xludf.DUMMYFUNCTION("""COMPUTED_VALUE"""),"Illinois")</f>
        <v>Illinois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</row>
    <row r="2610">
      <c r="A2610" s="4">
        <f>IFERROR(__xludf.DUMMYFUNCTION("""COMPUTED_VALUE"""),126.0)</f>
        <v>126</v>
      </c>
      <c r="B2610" s="4">
        <f>IFERROR(__xludf.DUMMYFUNCTION("""COMPUTED_VALUE"""),126.0)</f>
        <v>126</v>
      </c>
      <c r="C2610" s="4" t="str">
        <f>IFERROR(__xludf.DUMMYFUNCTION("""COMPUTED_VALUE"""),"IND")</f>
        <v>IND</v>
      </c>
      <c r="D2610" s="4" t="str">
        <f>IFERROR(__xludf.DUMMYFUNCTION("""COMPUTED_VALUE"""),"Gary Graham")</f>
        <v>Gary Graham</v>
      </c>
      <c r="E2610" s="4" t="str">
        <f>IFERROR(__xludf.DUMMYFUNCTION("""COMPUTED_VALUE"""),"UNLV")</f>
        <v>UNLV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</row>
    <row r="2611">
      <c r="A2611" s="4">
        <f>IFERROR(__xludf.DUMMYFUNCTION("""COMPUTED_VALUE"""),127.0)</f>
        <v>127</v>
      </c>
      <c r="B2611" s="4">
        <f>IFERROR(__xludf.DUMMYFUNCTION("""COMPUTED_VALUE"""),127.0)</f>
        <v>127</v>
      </c>
      <c r="C2611" s="4" t="str">
        <f>IFERROR(__xludf.DUMMYFUNCTION("""COMPUTED_VALUE"""),"GSW")</f>
        <v>GSW</v>
      </c>
      <c r="D2611" s="4" t="str">
        <f>IFERROR(__xludf.DUMMYFUNCTION("""COMPUTED_VALUE"""),"Šarūnas Marčiulionis")</f>
        <v>Šarūnas Marčiulionis</v>
      </c>
      <c r="E2611" s="4"/>
      <c r="F2611" s="4">
        <f>IFERROR(__xludf.DUMMYFUNCTION("""COMPUTED_VALUE"""),7.0)</f>
        <v>7</v>
      </c>
      <c r="G2611" s="4">
        <f>IFERROR(__xludf.DUMMYFUNCTION("""COMPUTED_VALUE"""),363.0)</f>
        <v>363</v>
      </c>
      <c r="H2611" s="4">
        <f>IFERROR(__xludf.DUMMYFUNCTION("""COMPUTED_VALUE"""),8123.0)</f>
        <v>8123</v>
      </c>
      <c r="I2611" s="4">
        <f>IFERROR(__xludf.DUMMYFUNCTION("""COMPUTED_VALUE"""),4631.0)</f>
        <v>4631</v>
      </c>
      <c r="J2611" s="4">
        <f>IFERROR(__xludf.DUMMYFUNCTION("""COMPUTED_VALUE"""),819.0)</f>
        <v>819</v>
      </c>
      <c r="K2611" s="4">
        <f>IFERROR(__xludf.DUMMYFUNCTION("""COMPUTED_VALUE"""),807.0)</f>
        <v>807</v>
      </c>
      <c r="L2611" s="4">
        <f>IFERROR(__xludf.DUMMYFUNCTION("""COMPUTED_VALUE"""),0.505)</f>
        <v>0.505</v>
      </c>
      <c r="M2611" s="4">
        <f>IFERROR(__xludf.DUMMYFUNCTION("""COMPUTED_VALUE"""),0.369)</f>
        <v>0.369</v>
      </c>
      <c r="N2611" s="4">
        <f>IFERROR(__xludf.DUMMYFUNCTION("""COMPUTED_VALUE"""),0.768)</f>
        <v>0.768</v>
      </c>
      <c r="O2611" s="4">
        <f>IFERROR(__xludf.DUMMYFUNCTION("""COMPUTED_VALUE"""),22.4)</f>
        <v>22.4</v>
      </c>
      <c r="P2611" s="4">
        <f>IFERROR(__xludf.DUMMYFUNCTION("""COMPUTED_VALUE"""),12.8)</f>
        <v>12.8</v>
      </c>
      <c r="Q2611" s="4">
        <f>IFERROR(__xludf.DUMMYFUNCTION("""COMPUTED_VALUE"""),2.3)</f>
        <v>2.3</v>
      </c>
      <c r="R2611" s="4">
        <f>IFERROR(__xludf.DUMMYFUNCTION("""COMPUTED_VALUE"""),2.2)</f>
        <v>2.2</v>
      </c>
      <c r="S2611" s="4">
        <f>IFERROR(__xludf.DUMMYFUNCTION("""COMPUTED_VALUE"""),20.0)</f>
        <v>20</v>
      </c>
      <c r="T2611" s="4">
        <f>IFERROR(__xludf.DUMMYFUNCTION("""COMPUTED_VALUE"""),0.118)</f>
        <v>0.118</v>
      </c>
      <c r="U2611" s="4">
        <f>IFERROR(__xludf.DUMMYFUNCTION("""COMPUTED_VALUE"""),0.3)</f>
        <v>0.3</v>
      </c>
      <c r="V2611" s="4">
        <f>IFERROR(__xludf.DUMMYFUNCTION("""COMPUTED_VALUE"""),4.7)</f>
        <v>4.7</v>
      </c>
    </row>
    <row r="2612">
      <c r="A2612" s="4">
        <f>IFERROR(__xludf.DUMMYFUNCTION("""COMPUTED_VALUE"""),128.0)</f>
        <v>128</v>
      </c>
      <c r="B2612" s="4">
        <f>IFERROR(__xludf.DUMMYFUNCTION("""COMPUTED_VALUE"""),128.0)</f>
        <v>128</v>
      </c>
      <c r="C2612" s="4" t="str">
        <f>IFERROR(__xludf.DUMMYFUNCTION("""COMPUTED_VALUE"""),"WSB")</f>
        <v>WSB</v>
      </c>
      <c r="D2612" s="4" t="str">
        <f>IFERROR(__xludf.DUMMYFUNCTION("""COMPUTED_VALUE"""),"Dwayne Scholten")</f>
        <v>Dwayne Scholten</v>
      </c>
      <c r="E2612" s="4" t="str">
        <f>IFERROR(__xludf.DUMMYFUNCTION("""COMPUTED_VALUE"""),"Washington State")</f>
        <v>Washington State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</row>
    <row r="2613">
      <c r="A2613" s="4">
        <f>IFERROR(__xludf.DUMMYFUNCTION("""COMPUTED_VALUE"""),129.0)</f>
        <v>129</v>
      </c>
      <c r="B2613" s="4">
        <f>IFERROR(__xludf.DUMMYFUNCTION("""COMPUTED_VALUE"""),129.0)</f>
        <v>129</v>
      </c>
      <c r="C2613" s="4" t="str">
        <f>IFERROR(__xludf.DUMMYFUNCTION("""COMPUTED_VALUE"""),"HOU")</f>
        <v>HOU</v>
      </c>
      <c r="D2613" s="4" t="str">
        <f>IFERROR(__xludf.DUMMYFUNCTION("""COMPUTED_VALUE"""),"Fred Jenkins")</f>
        <v>Fred Jenkins</v>
      </c>
      <c r="E2613" s="4" t="str">
        <f>IFERROR(__xludf.DUMMYFUNCTION("""COMPUTED_VALUE"""),"Tennessee")</f>
        <v>Tennessee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</row>
    <row r="2614">
      <c r="A2614" s="4">
        <f>IFERROR(__xludf.DUMMYFUNCTION("""COMPUTED_VALUE"""),130.0)</f>
        <v>130</v>
      </c>
      <c r="B2614" s="4">
        <f>IFERROR(__xludf.DUMMYFUNCTION("""COMPUTED_VALUE"""),130.0)</f>
        <v>130</v>
      </c>
      <c r="C2614" s="4" t="str">
        <f>IFERROR(__xludf.DUMMYFUNCTION("""COMPUTED_VALUE"""),"UTA")</f>
        <v>UTA</v>
      </c>
      <c r="D2614" s="4" t="str">
        <f>IFERROR(__xludf.DUMMYFUNCTION("""COMPUTED_VALUE"""),"Art Sabb")</f>
        <v>Art Sabb</v>
      </c>
      <c r="E2614" s="4" t="str">
        <f>IFERROR(__xludf.DUMMYFUNCTION("""COMPUTED_VALUE"""),"Bloomfield College")</f>
        <v>Bloomfield College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</row>
    <row r="2615">
      <c r="A2615" s="4">
        <f>IFERROR(__xludf.DUMMYFUNCTION("""COMPUTED_VALUE"""),131.0)</f>
        <v>131</v>
      </c>
      <c r="B2615" s="4">
        <f>IFERROR(__xludf.DUMMYFUNCTION("""COMPUTED_VALUE"""),131.0)</f>
        <v>131</v>
      </c>
      <c r="C2615" s="4" t="str">
        <f>IFERROR(__xludf.DUMMYFUNCTION("""COMPUTED_VALUE"""),"PHI")</f>
        <v>PHI</v>
      </c>
      <c r="D2615" s="4" t="str">
        <f>IFERROR(__xludf.DUMMYFUNCTION("""COMPUTED_VALUE"""),"Tracy Foster")</f>
        <v>Tracy Foster</v>
      </c>
      <c r="E2615" s="4" t="str">
        <f>IFERROR(__xludf.DUMMYFUNCTION("""COMPUTED_VALUE"""),"UAB")</f>
        <v>UAB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</row>
    <row r="2616">
      <c r="A2616" s="4">
        <f>IFERROR(__xludf.DUMMYFUNCTION("""COMPUTED_VALUE"""),132.0)</f>
        <v>132</v>
      </c>
      <c r="B2616" s="4">
        <f>IFERROR(__xludf.DUMMYFUNCTION("""COMPUTED_VALUE"""),132.0)</f>
        <v>132</v>
      </c>
      <c r="C2616" s="4" t="str">
        <f>IFERROR(__xludf.DUMMYFUNCTION("""COMPUTED_VALUE"""),"POR")</f>
        <v>POR</v>
      </c>
      <c r="D2616" s="4" t="str">
        <f>IFERROR(__xludf.DUMMYFUNCTION("""COMPUTED_VALUE"""),"Bernard Jackson")</f>
        <v>Bernard Jackson</v>
      </c>
      <c r="E2616" s="4" t="str">
        <f>IFERROR(__xludf.DUMMYFUNCTION("""COMPUTED_VALUE"""),"Loyola Chicago")</f>
        <v>Loyola Chicago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</row>
    <row r="2617">
      <c r="A2617" s="4">
        <f>IFERROR(__xludf.DUMMYFUNCTION("""COMPUTED_VALUE"""),133.0)</f>
        <v>133</v>
      </c>
      <c r="B2617" s="4">
        <f>IFERROR(__xludf.DUMMYFUNCTION("""COMPUTED_VALUE"""),133.0)</f>
        <v>133</v>
      </c>
      <c r="C2617" s="4" t="str">
        <f>IFERROR(__xludf.DUMMYFUNCTION("""COMPUTED_VALUE"""),"MIL")</f>
        <v>MIL</v>
      </c>
      <c r="D2617" s="4" t="str">
        <f>IFERROR(__xludf.DUMMYFUNCTION("""COMPUTED_VALUE"""),"Gay Elmore")</f>
        <v>Gay Elmore</v>
      </c>
      <c r="E2617" s="4" t="str">
        <f>IFERROR(__xludf.DUMMYFUNCTION("""COMPUTED_VALUE"""),"Virginia Military Institute")</f>
        <v>Virginia Military Institute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</row>
    <row r="2618">
      <c r="A2618" s="4">
        <f>IFERROR(__xludf.DUMMYFUNCTION("""COMPUTED_VALUE"""),134.0)</f>
        <v>134</v>
      </c>
      <c r="B2618" s="4">
        <f>IFERROR(__xludf.DUMMYFUNCTION("""COMPUTED_VALUE"""),134.0)</f>
        <v>134</v>
      </c>
      <c r="C2618" s="4" t="str">
        <f>IFERROR(__xludf.DUMMYFUNCTION("""COMPUTED_VALUE"""),"DET")</f>
        <v>DET</v>
      </c>
      <c r="D2618" s="4" t="str">
        <f>IFERROR(__xludf.DUMMYFUNCTION("""COMPUTED_VALUE"""),"Antoine Joubert")</f>
        <v>Antoine Joubert</v>
      </c>
      <c r="E2618" s="4" t="str">
        <f>IFERROR(__xludf.DUMMYFUNCTION("""COMPUTED_VALUE"""),"Michigan")</f>
        <v>Michigan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</row>
    <row r="2619">
      <c r="A2619" s="4">
        <f>IFERROR(__xludf.DUMMYFUNCTION("""COMPUTED_VALUE"""),135.0)</f>
        <v>135</v>
      </c>
      <c r="B2619" s="4">
        <f>IFERROR(__xludf.DUMMYFUNCTION("""COMPUTED_VALUE"""),135.0)</f>
        <v>135</v>
      </c>
      <c r="C2619" s="4" t="str">
        <f>IFERROR(__xludf.DUMMYFUNCTION("""COMPUTED_VALUE"""),"DAL")</f>
        <v>DAL</v>
      </c>
      <c r="D2619" s="4" t="str">
        <f>IFERROR(__xludf.DUMMYFUNCTION("""COMPUTED_VALUE"""),"Quintan Gates")</f>
        <v>Quintan Gates</v>
      </c>
      <c r="E2619" s="4" t="str">
        <f>IFERROR(__xludf.DUMMYFUNCTION("""COMPUTED_VALUE"""),"Texas-El Paso")</f>
        <v>Texas-El Paso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</row>
    <row r="2620">
      <c r="A2620" s="4">
        <f>IFERROR(__xludf.DUMMYFUNCTION("""COMPUTED_VALUE"""),136.0)</f>
        <v>136</v>
      </c>
      <c r="B2620" s="4">
        <f>IFERROR(__xludf.DUMMYFUNCTION("""COMPUTED_VALUE"""),136.0)</f>
        <v>136</v>
      </c>
      <c r="C2620" s="4" t="str">
        <f>IFERROR(__xludf.DUMMYFUNCTION("""COMPUTED_VALUE"""),"ATL")</f>
        <v>ATL</v>
      </c>
      <c r="D2620" s="4" t="str">
        <f>IFERROR(__xludf.DUMMYFUNCTION("""COMPUTED_VALUE"""),"Riccardo Morandotti")</f>
        <v>Riccardo Morandotti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</row>
    <row r="2621">
      <c r="A2621" s="4">
        <f>IFERROR(__xludf.DUMMYFUNCTION("""COMPUTED_VALUE"""),137.0)</f>
        <v>137</v>
      </c>
      <c r="B2621" s="4">
        <f>IFERROR(__xludf.DUMMYFUNCTION("""COMPUTED_VALUE"""),137.0)</f>
        <v>137</v>
      </c>
      <c r="C2621" s="4" t="str">
        <f>IFERROR(__xludf.DUMMYFUNCTION("""COMPUTED_VALUE"""),"BOS")</f>
        <v>BOS</v>
      </c>
      <c r="D2621" s="4" t="str">
        <f>IFERROR(__xludf.DUMMYFUNCTION("""COMPUTED_VALUE"""),"Tim Naegeli")</f>
        <v>Tim Naegeli</v>
      </c>
      <c r="E2621" s="4" t="str">
        <f>IFERROR(__xludf.DUMMYFUNCTION("""COMPUTED_VALUE"""),"University of Wisconsin-Stevens Point")</f>
        <v>University of Wisconsin-Stevens Point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</row>
    <row r="2622">
      <c r="A2622" s="4">
        <f>IFERROR(__xludf.DUMMYFUNCTION("""COMPUTED_VALUE"""),138.0)</f>
        <v>138</v>
      </c>
      <c r="B2622" s="4">
        <f>IFERROR(__xludf.DUMMYFUNCTION("""COMPUTED_VALUE"""),138.0)</f>
        <v>138</v>
      </c>
      <c r="C2622" s="4" t="str">
        <f>IFERROR(__xludf.DUMMYFUNCTION("""COMPUTED_VALUE"""),"LAL")</f>
        <v>LAL</v>
      </c>
      <c r="D2622" s="4" t="str">
        <f>IFERROR(__xludf.DUMMYFUNCTION("""COMPUTED_VALUE"""),"Frank Ford")</f>
        <v>Frank Ford</v>
      </c>
      <c r="E2622" s="4" t="str">
        <f>IFERROR(__xludf.DUMMYFUNCTION("""COMPUTED_VALUE"""),"Auburn")</f>
        <v>Auburn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</row>
    <row r="2623">
      <c r="A2623" s="4"/>
      <c r="B2623" s="4"/>
      <c r="C2623" s="4"/>
      <c r="D2623" s="4" t="str">
        <f>IFERROR(__xludf.DUMMYFUNCTION("""COMPUTED_VALUE"""),"Round 7")</f>
        <v>Round 7</v>
      </c>
      <c r="E2623" s="4"/>
      <c r="F2623" s="4"/>
      <c r="G2623" s="4" t="str">
        <f>IFERROR(__xludf.DUMMYFUNCTION("""COMPUTED_VALUE"""),"Totals")</f>
        <v>Totals</v>
      </c>
      <c r="H2623" s="4"/>
      <c r="I2623" s="4"/>
      <c r="J2623" s="4"/>
      <c r="K2623" s="4"/>
      <c r="L2623" s="4" t="str">
        <f>IFERROR(__xludf.DUMMYFUNCTION("""COMPUTED_VALUE"""),"Shooting")</f>
        <v>Shooting</v>
      </c>
      <c r="M2623" s="4"/>
      <c r="N2623" s="4"/>
      <c r="O2623" s="4" t="str">
        <f>IFERROR(__xludf.DUMMYFUNCTION("""COMPUTED_VALUE"""),"Per Game")</f>
        <v>Per Game</v>
      </c>
      <c r="P2623" s="4"/>
      <c r="Q2623" s="4"/>
      <c r="R2623" s="4"/>
      <c r="S2623" s="4" t="str">
        <f>IFERROR(__xludf.DUMMYFUNCTION("""COMPUTED_VALUE"""),"Advanced")</f>
        <v>Advanced</v>
      </c>
      <c r="T2623" s="4"/>
      <c r="U2623" s="4"/>
      <c r="V2623" s="4"/>
    </row>
    <row r="2624">
      <c r="A2624" s="4" t="str">
        <f>IFERROR(__xludf.DUMMYFUNCTION("""COMPUTED_VALUE"""),"Rk")</f>
        <v>Rk</v>
      </c>
      <c r="B2624" s="4" t="str">
        <f>IFERROR(__xludf.DUMMYFUNCTION("""COMPUTED_VALUE"""),"Pk")</f>
        <v>Pk</v>
      </c>
      <c r="C2624" s="4" t="str">
        <f>IFERROR(__xludf.DUMMYFUNCTION("""COMPUTED_VALUE"""),"Tm")</f>
        <v>Tm</v>
      </c>
      <c r="D2624" s="4" t="str">
        <f>IFERROR(__xludf.DUMMYFUNCTION("""COMPUTED_VALUE"""),"Player")</f>
        <v>Player</v>
      </c>
      <c r="E2624" s="4" t="str">
        <f>IFERROR(__xludf.DUMMYFUNCTION("""COMPUTED_VALUE"""),"College")</f>
        <v>College</v>
      </c>
      <c r="F2624" s="4" t="str">
        <f>IFERROR(__xludf.DUMMYFUNCTION("""COMPUTED_VALUE"""),"Yrs")</f>
        <v>Yrs</v>
      </c>
      <c r="G2624" s="4" t="str">
        <f>IFERROR(__xludf.DUMMYFUNCTION("""COMPUTED_VALUE"""),"G")</f>
        <v>G</v>
      </c>
      <c r="H2624" s="4" t="str">
        <f>IFERROR(__xludf.DUMMYFUNCTION("""COMPUTED_VALUE"""),"MP")</f>
        <v>MP</v>
      </c>
      <c r="I2624" s="4" t="str">
        <f>IFERROR(__xludf.DUMMYFUNCTION("""COMPUTED_VALUE"""),"PTS")</f>
        <v>PTS</v>
      </c>
      <c r="J2624" s="4" t="str">
        <f>IFERROR(__xludf.DUMMYFUNCTION("""COMPUTED_VALUE"""),"TRB")</f>
        <v>TRB</v>
      </c>
      <c r="K2624" s="4" t="str">
        <f>IFERROR(__xludf.DUMMYFUNCTION("""COMPUTED_VALUE"""),"AST")</f>
        <v>AST</v>
      </c>
      <c r="L2624" s="4" t="str">
        <f>IFERROR(__xludf.DUMMYFUNCTION("""COMPUTED_VALUE"""),"FG%")</f>
        <v>FG%</v>
      </c>
      <c r="M2624" s="4" t="str">
        <f>IFERROR(__xludf.DUMMYFUNCTION("""COMPUTED_VALUE"""),"3P%")</f>
        <v>3P%</v>
      </c>
      <c r="N2624" s="4" t="str">
        <f>IFERROR(__xludf.DUMMYFUNCTION("""COMPUTED_VALUE"""),"FT%")</f>
        <v>FT%</v>
      </c>
      <c r="O2624" s="4" t="str">
        <f>IFERROR(__xludf.DUMMYFUNCTION("""COMPUTED_VALUE"""),"MP")</f>
        <v>MP</v>
      </c>
      <c r="P2624" s="4" t="str">
        <f>IFERROR(__xludf.DUMMYFUNCTION("""COMPUTED_VALUE"""),"PTS")</f>
        <v>PTS</v>
      </c>
      <c r="Q2624" s="4" t="str">
        <f>IFERROR(__xludf.DUMMYFUNCTION("""COMPUTED_VALUE"""),"TRB")</f>
        <v>TRB</v>
      </c>
      <c r="R2624" s="4" t="str">
        <f>IFERROR(__xludf.DUMMYFUNCTION("""COMPUTED_VALUE"""),"AST")</f>
        <v>AST</v>
      </c>
      <c r="S2624" s="4" t="str">
        <f>IFERROR(__xludf.DUMMYFUNCTION("""COMPUTED_VALUE"""),"WS")</f>
        <v>WS</v>
      </c>
      <c r="T2624" s="4" t="str">
        <f>IFERROR(__xludf.DUMMYFUNCTION("""COMPUTED_VALUE"""),"WS/48")</f>
        <v>WS/48</v>
      </c>
      <c r="U2624" s="4" t="str">
        <f>IFERROR(__xludf.DUMMYFUNCTION("""COMPUTED_VALUE"""),"BPM")</f>
        <v>BPM</v>
      </c>
      <c r="V2624" s="4" t="str">
        <f>IFERROR(__xludf.DUMMYFUNCTION("""COMPUTED_VALUE"""),"VORP")</f>
        <v>VORP</v>
      </c>
    </row>
    <row r="2625">
      <c r="A2625" s="4">
        <f>IFERROR(__xludf.DUMMYFUNCTION("""COMPUTED_VALUE"""),139.0)</f>
        <v>139</v>
      </c>
      <c r="B2625" s="4">
        <f>IFERROR(__xludf.DUMMYFUNCTION("""COMPUTED_VALUE"""),139.0)</f>
        <v>139</v>
      </c>
      <c r="C2625" s="4" t="str">
        <f>IFERROR(__xludf.DUMMYFUNCTION("""COMPUTED_VALUE"""),"LAC")</f>
        <v>LAC</v>
      </c>
      <c r="D2625" s="4" t="str">
        <f>IFERROR(__xludf.DUMMYFUNCTION("""COMPUTED_VALUE"""),"Henry Carr")</f>
        <v>Henry Carr</v>
      </c>
      <c r="E2625" s="4" t="str">
        <f>IFERROR(__xludf.DUMMYFUNCTION("""COMPUTED_VALUE"""),"Wichita State")</f>
        <v>Wichita State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</row>
    <row r="2626">
      <c r="A2626" s="4">
        <f>IFERROR(__xludf.DUMMYFUNCTION("""COMPUTED_VALUE"""),140.0)</f>
        <v>140</v>
      </c>
      <c r="B2626" s="4">
        <f>IFERROR(__xludf.DUMMYFUNCTION("""COMPUTED_VALUE"""),140.0)</f>
        <v>140</v>
      </c>
      <c r="C2626" s="4" t="str">
        <f>IFERROR(__xludf.DUMMYFUNCTION("""COMPUTED_VALUE"""),"NJN")</f>
        <v>NJN</v>
      </c>
      <c r="D2626" s="4" t="str">
        <f>IFERROR(__xludf.DUMMYFUNCTION("""COMPUTED_VALUE"""),"Frank Booker")</f>
        <v>Frank Booker</v>
      </c>
      <c r="E2626" s="4" t="str">
        <f>IFERROR(__xludf.DUMMYFUNCTION("""COMPUTED_VALUE"""),"Bowling Green")</f>
        <v>Bowling Green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</row>
    <row r="2627">
      <c r="A2627" s="4">
        <f>IFERROR(__xludf.DUMMYFUNCTION("""COMPUTED_VALUE"""),141.0)</f>
        <v>141</v>
      </c>
      <c r="B2627" s="4">
        <f>IFERROR(__xludf.DUMMYFUNCTION("""COMPUTED_VALUE"""),141.0)</f>
        <v>141</v>
      </c>
      <c r="C2627" s="4" t="str">
        <f>IFERROR(__xludf.DUMMYFUNCTION("""COMPUTED_VALUE"""),"NYK")</f>
        <v>NYK</v>
      </c>
      <c r="D2627" s="4" t="str">
        <f>IFERROR(__xludf.DUMMYFUNCTION("""COMPUTED_VALUE"""),"Wayne Williams")</f>
        <v>Wayne Williams</v>
      </c>
      <c r="E2627" s="4" t="str">
        <f>IFERROR(__xludf.DUMMYFUNCTION("""COMPUTED_VALUE"""),"Saint Joseph's")</f>
        <v>Saint Joseph's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</row>
    <row r="2628">
      <c r="A2628" s="4">
        <f>IFERROR(__xludf.DUMMYFUNCTION("""COMPUTED_VALUE"""),142.0)</f>
        <v>142</v>
      </c>
      <c r="B2628" s="4">
        <f>IFERROR(__xludf.DUMMYFUNCTION("""COMPUTED_VALUE"""),142.0)</f>
        <v>142</v>
      </c>
      <c r="C2628" s="4" t="str">
        <f>IFERROR(__xludf.DUMMYFUNCTION("""COMPUTED_VALUE"""),"SAS")</f>
        <v>SAS</v>
      </c>
      <c r="D2628" s="4" t="str">
        <f>IFERROR(__xludf.DUMMYFUNCTION("""COMPUTED_VALUE"""),"Raynard Davis")</f>
        <v>Raynard Davis</v>
      </c>
      <c r="E2628" s="4" t="str">
        <f>IFERROR(__xludf.DUMMYFUNCTION("""COMPUTED_VALUE"""),"Texas")</f>
        <v>Texas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</row>
    <row r="2629">
      <c r="A2629" s="4">
        <f>IFERROR(__xludf.DUMMYFUNCTION("""COMPUTED_VALUE"""),143.0)</f>
        <v>143</v>
      </c>
      <c r="B2629" s="4">
        <f>IFERROR(__xludf.DUMMYFUNCTION("""COMPUTED_VALUE"""),143.0)</f>
        <v>143</v>
      </c>
      <c r="C2629" s="4" t="str">
        <f>IFERROR(__xludf.DUMMYFUNCTION("""COMPUTED_VALUE"""),"SAC")</f>
        <v>SAC</v>
      </c>
      <c r="D2629" s="4" t="str">
        <f>IFERROR(__xludf.DUMMYFUNCTION("""COMPUTED_VALUE"""),"Scott Adubato")</f>
        <v>Scott Adubato</v>
      </c>
      <c r="E2629" s="4" t="str">
        <f>IFERROR(__xludf.DUMMYFUNCTION("""COMPUTED_VALUE"""),"Upsala College")</f>
        <v>Upsala College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</row>
    <row r="2630">
      <c r="A2630" s="4">
        <f>IFERROR(__xludf.DUMMYFUNCTION("""COMPUTED_VALUE"""),144.0)</f>
        <v>144</v>
      </c>
      <c r="B2630" s="4">
        <f>IFERROR(__xludf.DUMMYFUNCTION("""COMPUTED_VALUE"""),144.0)</f>
        <v>144</v>
      </c>
      <c r="C2630" s="4" t="str">
        <f>IFERROR(__xludf.DUMMYFUNCTION("""COMPUTED_VALUE"""),"CLE")</f>
        <v>CLE</v>
      </c>
      <c r="D2630" s="4" t="str">
        <f>IFERROR(__xludf.DUMMYFUNCTION("""COMPUTED_VALUE"""),"Michael Foster")</f>
        <v>Michael Foster</v>
      </c>
      <c r="E2630" s="4" t="str">
        <f>IFERROR(__xludf.DUMMYFUNCTION("""COMPUTED_VALUE"""),"South Carolina")</f>
        <v>South Carolina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</row>
    <row r="2631">
      <c r="A2631" s="4">
        <f>IFERROR(__xludf.DUMMYFUNCTION("""COMPUTED_VALUE"""),145.0)</f>
        <v>145</v>
      </c>
      <c r="B2631" s="4">
        <f>IFERROR(__xludf.DUMMYFUNCTION("""COMPUTED_VALUE"""),145.0)</f>
        <v>145</v>
      </c>
      <c r="C2631" s="4" t="str">
        <f>IFERROR(__xludf.DUMMYFUNCTION("""COMPUTED_VALUE"""),"PHO")</f>
        <v>PHO</v>
      </c>
      <c r="D2631" s="4" t="str">
        <f>IFERROR(__xludf.DUMMYFUNCTION("""COMPUTED_VALUE"""),"Roy Singleton")</f>
        <v>Roy Singleton</v>
      </c>
      <c r="E2631" s="4" t="str">
        <f>IFERROR(__xludf.DUMMYFUNCTION("""COMPUTED_VALUE"""),"Grand Canyon University")</f>
        <v>Grand Canyon University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</row>
    <row r="2632">
      <c r="A2632" s="4">
        <f>IFERROR(__xludf.DUMMYFUNCTION("""COMPUTED_VALUE"""),146.0)</f>
        <v>146</v>
      </c>
      <c r="B2632" s="4">
        <f>IFERROR(__xludf.DUMMYFUNCTION("""COMPUTED_VALUE"""),146.0)</f>
        <v>146</v>
      </c>
      <c r="C2632" s="4" t="str">
        <f>IFERROR(__xludf.DUMMYFUNCTION("""COMPUTED_VALUE"""),"DEN")</f>
        <v>DEN</v>
      </c>
      <c r="D2632" s="4" t="str">
        <f>IFERROR(__xludf.DUMMYFUNCTION("""COMPUTED_VALUE"""),"Rowan Gomes")</f>
        <v>Rowan Gomes</v>
      </c>
      <c r="E2632" s="4" t="str">
        <f>IFERROR(__xludf.DUMMYFUNCTION("""COMPUTED_VALUE"""),"Hampton")</f>
        <v>Hampton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</row>
    <row r="2633">
      <c r="A2633" s="4">
        <f>IFERROR(__xludf.DUMMYFUNCTION("""COMPUTED_VALUE"""),147.0)</f>
        <v>147</v>
      </c>
      <c r="B2633" s="4">
        <f>IFERROR(__xludf.DUMMYFUNCTION("""COMPUTED_VALUE"""),147.0)</f>
        <v>147</v>
      </c>
      <c r="C2633" s="4" t="str">
        <f>IFERROR(__xludf.DUMMYFUNCTION("""COMPUTED_VALUE"""),"SEA")</f>
        <v>SEA</v>
      </c>
      <c r="D2633" s="4" t="str">
        <f>IFERROR(__xludf.DUMMYFUNCTION("""COMPUTED_VALUE"""),"Mike Giomi")</f>
        <v>Mike Giomi</v>
      </c>
      <c r="E2633" s="4" t="str">
        <f>IFERROR(__xludf.DUMMYFUNCTION("""COMPUTED_VALUE"""),"NC State")</f>
        <v>NC State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</row>
    <row r="2634">
      <c r="A2634" s="4">
        <f>IFERROR(__xludf.DUMMYFUNCTION("""COMPUTED_VALUE"""),148.0)</f>
        <v>148</v>
      </c>
      <c r="B2634" s="4">
        <f>IFERROR(__xludf.DUMMYFUNCTION("""COMPUTED_VALUE"""),148.0)</f>
        <v>148</v>
      </c>
      <c r="C2634" s="4" t="str">
        <f>IFERROR(__xludf.DUMMYFUNCTION("""COMPUTED_VALUE"""),"CHI")</f>
        <v>CHI</v>
      </c>
      <c r="D2634" s="4" t="str">
        <f>IFERROR(__xludf.DUMMYFUNCTION("""COMPUTED_VALUE"""),"Ervin Leavy")</f>
        <v>Ervin Leavy</v>
      </c>
      <c r="E2634" s="4" t="str">
        <f>IFERROR(__xludf.DUMMYFUNCTION("""COMPUTED_VALUE"""),"Central Michigan University")</f>
        <v>Central Michigan University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</row>
    <row r="2635">
      <c r="A2635" s="4">
        <f>IFERROR(__xludf.DUMMYFUNCTION("""COMPUTED_VALUE"""),149.0)</f>
        <v>149</v>
      </c>
      <c r="B2635" s="4">
        <f>IFERROR(__xludf.DUMMYFUNCTION("""COMPUTED_VALUE"""),149.0)</f>
        <v>149</v>
      </c>
      <c r="C2635" s="4" t="str">
        <f>IFERROR(__xludf.DUMMYFUNCTION("""COMPUTED_VALUE"""),"IND")</f>
        <v>IND</v>
      </c>
      <c r="D2635" s="4" t="str">
        <f>IFERROR(__xludf.DUMMYFUNCTION("""COMPUTED_VALUE"""),"Montel Hatcher")</f>
        <v>Montel Hatcher</v>
      </c>
      <c r="E2635" s="4" t="str">
        <f>IFERROR(__xludf.DUMMYFUNCTION("""COMPUTED_VALUE"""),"UCLA")</f>
        <v>UCLA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</row>
    <row r="2636">
      <c r="A2636" s="4">
        <f>IFERROR(__xludf.DUMMYFUNCTION("""COMPUTED_VALUE"""),150.0)</f>
        <v>150</v>
      </c>
      <c r="B2636" s="4">
        <f>IFERROR(__xludf.DUMMYFUNCTION("""COMPUTED_VALUE"""),150.0)</f>
        <v>150</v>
      </c>
      <c r="C2636" s="4" t="str">
        <f>IFERROR(__xludf.DUMMYFUNCTION("""COMPUTED_VALUE"""),"WSB")</f>
        <v>WSB</v>
      </c>
      <c r="D2636" s="4" t="str">
        <f>IFERROR(__xludf.DUMMYFUNCTION("""COMPUTED_VALUE"""),"Jamie Dixon")</f>
        <v>Jamie Dixon</v>
      </c>
      <c r="E2636" s="4" t="str">
        <f>IFERROR(__xludf.DUMMYFUNCTION("""COMPUTED_VALUE"""),"TCU")</f>
        <v>TCU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</row>
    <row r="2637">
      <c r="A2637" s="4">
        <f>IFERROR(__xludf.DUMMYFUNCTION("""COMPUTED_VALUE"""),151.0)</f>
        <v>151</v>
      </c>
      <c r="B2637" s="4">
        <f>IFERROR(__xludf.DUMMYFUNCTION("""COMPUTED_VALUE"""),151.0)</f>
        <v>151</v>
      </c>
      <c r="C2637" s="4" t="str">
        <f>IFERROR(__xludf.DUMMYFUNCTION("""COMPUTED_VALUE"""),"HOU")</f>
        <v>HOU</v>
      </c>
      <c r="D2637" s="4" t="str">
        <f>IFERROR(__xludf.DUMMYFUNCTION("""COMPUTED_VALUE"""),"Clarence Grier")</f>
        <v>Clarence Grier</v>
      </c>
      <c r="E2637" s="4" t="str">
        <f>IFERROR(__xludf.DUMMYFUNCTION("""COMPUTED_VALUE"""),"Campbell")</f>
        <v>Campbell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</row>
    <row r="2638">
      <c r="A2638" s="4">
        <f>IFERROR(__xludf.DUMMYFUNCTION("""COMPUTED_VALUE"""),152.0)</f>
        <v>152</v>
      </c>
      <c r="B2638" s="4">
        <f>IFERROR(__xludf.DUMMYFUNCTION("""COMPUTED_VALUE"""),152.0)</f>
        <v>152</v>
      </c>
      <c r="C2638" s="4" t="str">
        <f>IFERROR(__xludf.DUMMYFUNCTION("""COMPUTED_VALUE"""),"GSW")</f>
        <v>GSW</v>
      </c>
      <c r="D2638" s="4" t="str">
        <f>IFERROR(__xludf.DUMMYFUNCTION("""COMPUTED_VALUE"""),"Ronnie Leggette")</f>
        <v>Ronnie Leggette</v>
      </c>
      <c r="E2638" s="4" t="str">
        <f>IFERROR(__xludf.DUMMYFUNCTION("""COMPUTED_VALUE"""),"West Virginia State University")</f>
        <v>West Virginia State University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</row>
    <row r="2639">
      <c r="A2639" s="4">
        <f>IFERROR(__xludf.DUMMYFUNCTION("""COMPUTED_VALUE"""),153.0)</f>
        <v>153</v>
      </c>
      <c r="B2639" s="4">
        <f>IFERROR(__xludf.DUMMYFUNCTION("""COMPUTED_VALUE"""),153.0)</f>
        <v>153</v>
      </c>
      <c r="C2639" s="4" t="str">
        <f>IFERROR(__xludf.DUMMYFUNCTION("""COMPUTED_VALUE"""),"UTA")</f>
        <v>UTA</v>
      </c>
      <c r="D2639" s="4" t="str">
        <f>IFERROR(__xludf.DUMMYFUNCTION("""COMPUTED_VALUE"""),"Keith Webster")</f>
        <v>Keith Webster</v>
      </c>
      <c r="E2639" s="4" t="str">
        <f>IFERROR(__xludf.DUMMYFUNCTION("""COMPUTED_VALUE"""),"Harvard University")</f>
        <v>Harvard University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</row>
    <row r="2640">
      <c r="A2640" s="4">
        <f>IFERROR(__xludf.DUMMYFUNCTION("""COMPUTED_VALUE"""),154.0)</f>
        <v>154</v>
      </c>
      <c r="B2640" s="4">
        <f>IFERROR(__xludf.DUMMYFUNCTION("""COMPUTED_VALUE"""),154.0)</f>
        <v>154</v>
      </c>
      <c r="C2640" s="4" t="str">
        <f>IFERROR(__xludf.DUMMYFUNCTION("""COMPUTED_VALUE"""),"PHI")</f>
        <v>PHI</v>
      </c>
      <c r="D2640" s="4" t="str">
        <f>IFERROR(__xludf.DUMMYFUNCTION("""COMPUTED_VALUE"""),"Eric Semisch")</f>
        <v>Eric Semisch</v>
      </c>
      <c r="E2640" s="4" t="str">
        <f>IFERROR(__xludf.DUMMYFUNCTION("""COMPUTED_VALUE"""),"West Virginia")</f>
        <v>West Virginia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</row>
    <row r="2641">
      <c r="A2641" s="4">
        <f>IFERROR(__xludf.DUMMYFUNCTION("""COMPUTED_VALUE"""),155.0)</f>
        <v>155</v>
      </c>
      <c r="B2641" s="4">
        <f>IFERROR(__xludf.DUMMYFUNCTION("""COMPUTED_VALUE"""),155.0)</f>
        <v>155</v>
      </c>
      <c r="C2641" s="4" t="str">
        <f>IFERROR(__xludf.DUMMYFUNCTION("""COMPUTED_VALUE"""),"POR")</f>
        <v>POR</v>
      </c>
      <c r="D2641" s="4" t="str">
        <f>IFERROR(__xludf.DUMMYFUNCTION("""COMPUTED_VALUE"""),"Kenny Stone")</f>
        <v>Kenny Stone</v>
      </c>
      <c r="E2641" s="4" t="str">
        <f>IFERROR(__xludf.DUMMYFUNCTION("""COMPUTED_VALUE"""),"George Fox University")</f>
        <v>George Fox University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</row>
    <row r="2642">
      <c r="A2642" s="4">
        <f>IFERROR(__xludf.DUMMYFUNCTION("""COMPUTED_VALUE"""),156.0)</f>
        <v>156</v>
      </c>
      <c r="B2642" s="4">
        <f>IFERROR(__xludf.DUMMYFUNCTION("""COMPUTED_VALUE"""),156.0)</f>
        <v>156</v>
      </c>
      <c r="C2642" s="4" t="str">
        <f>IFERROR(__xludf.DUMMYFUNCTION("""COMPUTED_VALUE"""),"DEN")</f>
        <v>DEN</v>
      </c>
      <c r="D2642" s="4" t="str">
        <f>IFERROR(__xludf.DUMMYFUNCTION("""COMPUTED_VALUE"""),"Curtis Hunter")</f>
        <v>Curtis Hunter</v>
      </c>
      <c r="E2642" s="4" t="str">
        <f>IFERROR(__xludf.DUMMYFUNCTION("""COMPUTED_VALUE"""),"UNC")</f>
        <v>UNC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</row>
    <row r="2643">
      <c r="A2643" s="4">
        <f>IFERROR(__xludf.DUMMYFUNCTION("""COMPUTED_VALUE"""),157.0)</f>
        <v>157</v>
      </c>
      <c r="B2643" s="4">
        <f>IFERROR(__xludf.DUMMYFUNCTION("""COMPUTED_VALUE"""),157.0)</f>
        <v>157</v>
      </c>
      <c r="C2643" s="4" t="str">
        <f>IFERROR(__xludf.DUMMYFUNCTION("""COMPUTED_VALUE"""),"DET")</f>
        <v>DET</v>
      </c>
      <c r="D2643" s="4" t="str">
        <f>IFERROR(__xludf.DUMMYFUNCTION("""COMPUTED_VALUE"""),"Mark Gottfried")</f>
        <v>Mark Gottfried</v>
      </c>
      <c r="E2643" s="4" t="str">
        <f>IFERROR(__xludf.DUMMYFUNCTION("""COMPUTED_VALUE"""),"Alabama")</f>
        <v>Alabama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</row>
    <row r="2644">
      <c r="A2644" s="4">
        <f>IFERROR(__xludf.DUMMYFUNCTION("""COMPUTED_VALUE"""),158.0)</f>
        <v>158</v>
      </c>
      <c r="B2644" s="4">
        <f>IFERROR(__xludf.DUMMYFUNCTION("""COMPUTED_VALUE"""),158.0)</f>
        <v>158</v>
      </c>
      <c r="C2644" s="4" t="str">
        <f>IFERROR(__xludf.DUMMYFUNCTION("""COMPUTED_VALUE"""),"DAL")</f>
        <v>DAL</v>
      </c>
      <c r="D2644" s="4" t="str">
        <f>IFERROR(__xludf.DUMMYFUNCTION("""COMPUTED_VALUE"""),"Gerald White")</f>
        <v>Gerald White</v>
      </c>
      <c r="E2644" s="4" t="str">
        <f>IFERROR(__xludf.DUMMYFUNCTION("""COMPUTED_VALUE"""),"Auburn")</f>
        <v>Auburn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</row>
    <row r="2645">
      <c r="A2645" s="4">
        <f>IFERROR(__xludf.DUMMYFUNCTION("""COMPUTED_VALUE"""),159.0)</f>
        <v>159</v>
      </c>
      <c r="B2645" s="4">
        <f>IFERROR(__xludf.DUMMYFUNCTION("""COMPUTED_VALUE"""),159.0)</f>
        <v>159</v>
      </c>
      <c r="C2645" s="4" t="str">
        <f>IFERROR(__xludf.DUMMYFUNCTION("""COMPUTED_VALUE"""),"ATL")</f>
        <v>ATL</v>
      </c>
      <c r="D2645" s="4" t="str">
        <f>IFERROR(__xludf.DUMMYFUNCTION("""COMPUTED_VALUE"""),"Franjo Arapovic")</f>
        <v>Franjo Arapovic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</row>
    <row r="2646">
      <c r="A2646" s="4">
        <f>IFERROR(__xludf.DUMMYFUNCTION("""COMPUTED_VALUE"""),160.0)</f>
        <v>160</v>
      </c>
      <c r="B2646" s="4">
        <f>IFERROR(__xludf.DUMMYFUNCTION("""COMPUTED_VALUE"""),160.0)</f>
        <v>160</v>
      </c>
      <c r="C2646" s="4" t="str">
        <f>IFERROR(__xludf.DUMMYFUNCTION("""COMPUTED_VALUE"""),"BOS")</f>
        <v>BOS</v>
      </c>
      <c r="D2646" s="4" t="str">
        <f>IFERROR(__xludf.DUMMYFUNCTION("""COMPUTED_VALUE"""),"Gerry Corcoran")</f>
        <v>Gerry Corcoran</v>
      </c>
      <c r="E2646" s="4" t="str">
        <f>IFERROR(__xludf.DUMMYFUNCTION("""COMPUTED_VALUE"""),"Northeastern University")</f>
        <v>Northeastern University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</row>
    <row r="2647">
      <c r="A2647" s="4">
        <f>IFERROR(__xludf.DUMMYFUNCTION("""COMPUTED_VALUE"""),161.0)</f>
        <v>161</v>
      </c>
      <c r="B2647" s="4">
        <f>IFERROR(__xludf.DUMMYFUNCTION("""COMPUTED_VALUE"""),161.0)</f>
        <v>161</v>
      </c>
      <c r="C2647" s="4" t="str">
        <f>IFERROR(__xludf.DUMMYFUNCTION("""COMPUTED_VALUE"""),"LAL")</f>
        <v>LAL</v>
      </c>
      <c r="D2647" s="4" t="str">
        <f>IFERROR(__xludf.DUMMYFUNCTION("""COMPUTED_VALUE"""),"Ron Vanderschaaf")</f>
        <v>Ron Vanderschaaf</v>
      </c>
      <c r="E2647" s="4" t="str">
        <f>IFERROR(__xludf.DUMMYFUNCTION("""COMPUTED_VALUE"""),"Central Washington University")</f>
        <v>Central Washington University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</row>
    <row r="2649">
      <c r="A2649" s="2">
        <v>1986.0</v>
      </c>
    </row>
    <row r="2650">
      <c r="A2650" s="4" t="str">
        <f>IFERROR(__xludf.DUMMYFUNCTION("IMPORTHTML(""https://www.basketball-reference.com/draft/NBA_1986.html"", ""table"", 1)"),"")</f>
        <v/>
      </c>
      <c r="B2650" s="4"/>
      <c r="C2650" s="4"/>
      <c r="D2650" s="4" t="str">
        <f>IFERROR(__xludf.DUMMYFUNCTION("""COMPUTED_VALUE"""),"Round 1")</f>
        <v>Round 1</v>
      </c>
      <c r="E2650" s="4"/>
      <c r="F2650" s="4"/>
      <c r="G2650" s="4" t="str">
        <f>IFERROR(__xludf.DUMMYFUNCTION("""COMPUTED_VALUE"""),"Totals")</f>
        <v>Totals</v>
      </c>
      <c r="H2650" s="4"/>
      <c r="I2650" s="4"/>
      <c r="J2650" s="4"/>
      <c r="K2650" s="4"/>
      <c r="L2650" s="4" t="str">
        <f>IFERROR(__xludf.DUMMYFUNCTION("""COMPUTED_VALUE"""),"Shooting")</f>
        <v>Shooting</v>
      </c>
      <c r="M2650" s="4"/>
      <c r="N2650" s="4"/>
      <c r="O2650" s="4" t="str">
        <f>IFERROR(__xludf.DUMMYFUNCTION("""COMPUTED_VALUE"""),"Per Game")</f>
        <v>Per Game</v>
      </c>
      <c r="P2650" s="4"/>
      <c r="Q2650" s="4"/>
      <c r="R2650" s="4"/>
      <c r="S2650" s="4" t="str">
        <f>IFERROR(__xludf.DUMMYFUNCTION("""COMPUTED_VALUE"""),"Advanced")</f>
        <v>Advanced</v>
      </c>
      <c r="T2650" s="4"/>
      <c r="U2650" s="4"/>
      <c r="V2650" s="4"/>
    </row>
    <row r="2651">
      <c r="A2651" s="4" t="str">
        <f>IFERROR(__xludf.DUMMYFUNCTION("""COMPUTED_VALUE"""),"Rk")</f>
        <v>Rk</v>
      </c>
      <c r="B2651" s="4" t="str">
        <f>IFERROR(__xludf.DUMMYFUNCTION("""COMPUTED_VALUE"""),"Pk")</f>
        <v>Pk</v>
      </c>
      <c r="C2651" s="4" t="str">
        <f>IFERROR(__xludf.DUMMYFUNCTION("""COMPUTED_VALUE"""),"Tm")</f>
        <v>Tm</v>
      </c>
      <c r="D2651" s="4" t="str">
        <f>IFERROR(__xludf.DUMMYFUNCTION("""COMPUTED_VALUE"""),"Player")</f>
        <v>Player</v>
      </c>
      <c r="E2651" s="4" t="str">
        <f>IFERROR(__xludf.DUMMYFUNCTION("""COMPUTED_VALUE"""),"College")</f>
        <v>College</v>
      </c>
      <c r="F2651" s="4" t="str">
        <f>IFERROR(__xludf.DUMMYFUNCTION("""COMPUTED_VALUE"""),"Yrs")</f>
        <v>Yrs</v>
      </c>
      <c r="G2651" s="4" t="str">
        <f>IFERROR(__xludf.DUMMYFUNCTION("""COMPUTED_VALUE"""),"G")</f>
        <v>G</v>
      </c>
      <c r="H2651" s="4" t="str">
        <f>IFERROR(__xludf.DUMMYFUNCTION("""COMPUTED_VALUE"""),"MP")</f>
        <v>MP</v>
      </c>
      <c r="I2651" s="4" t="str">
        <f>IFERROR(__xludf.DUMMYFUNCTION("""COMPUTED_VALUE"""),"PTS")</f>
        <v>PTS</v>
      </c>
      <c r="J2651" s="4" t="str">
        <f>IFERROR(__xludf.DUMMYFUNCTION("""COMPUTED_VALUE"""),"TRB")</f>
        <v>TRB</v>
      </c>
      <c r="K2651" s="4" t="str">
        <f>IFERROR(__xludf.DUMMYFUNCTION("""COMPUTED_VALUE"""),"AST")</f>
        <v>AST</v>
      </c>
      <c r="L2651" s="4" t="str">
        <f>IFERROR(__xludf.DUMMYFUNCTION("""COMPUTED_VALUE"""),"FG%")</f>
        <v>FG%</v>
      </c>
      <c r="M2651" s="4" t="str">
        <f>IFERROR(__xludf.DUMMYFUNCTION("""COMPUTED_VALUE"""),"3P%")</f>
        <v>3P%</v>
      </c>
      <c r="N2651" s="4" t="str">
        <f>IFERROR(__xludf.DUMMYFUNCTION("""COMPUTED_VALUE"""),"FT%")</f>
        <v>FT%</v>
      </c>
      <c r="O2651" s="4" t="str">
        <f>IFERROR(__xludf.DUMMYFUNCTION("""COMPUTED_VALUE"""),"MP")</f>
        <v>MP</v>
      </c>
      <c r="P2651" s="4" t="str">
        <f>IFERROR(__xludf.DUMMYFUNCTION("""COMPUTED_VALUE"""),"PTS")</f>
        <v>PTS</v>
      </c>
      <c r="Q2651" s="4" t="str">
        <f>IFERROR(__xludf.DUMMYFUNCTION("""COMPUTED_VALUE"""),"TRB")</f>
        <v>TRB</v>
      </c>
      <c r="R2651" s="4" t="str">
        <f>IFERROR(__xludf.DUMMYFUNCTION("""COMPUTED_VALUE"""),"AST")</f>
        <v>AST</v>
      </c>
      <c r="S2651" s="4" t="str">
        <f>IFERROR(__xludf.DUMMYFUNCTION("""COMPUTED_VALUE"""),"WS")</f>
        <v>WS</v>
      </c>
      <c r="T2651" s="4" t="str">
        <f>IFERROR(__xludf.DUMMYFUNCTION("""COMPUTED_VALUE"""),"WS/48")</f>
        <v>WS/48</v>
      </c>
      <c r="U2651" s="4" t="str">
        <f>IFERROR(__xludf.DUMMYFUNCTION("""COMPUTED_VALUE"""),"BPM")</f>
        <v>BPM</v>
      </c>
      <c r="V2651" s="4" t="str">
        <f>IFERROR(__xludf.DUMMYFUNCTION("""COMPUTED_VALUE"""),"VORP")</f>
        <v>VORP</v>
      </c>
    </row>
    <row r="2652">
      <c r="A2652" s="4">
        <f>IFERROR(__xludf.DUMMYFUNCTION("""COMPUTED_VALUE"""),1.0)</f>
        <v>1</v>
      </c>
      <c r="B2652" s="4">
        <f>IFERROR(__xludf.DUMMYFUNCTION("""COMPUTED_VALUE"""),1.0)</f>
        <v>1</v>
      </c>
      <c r="C2652" s="4" t="str">
        <f>IFERROR(__xludf.DUMMYFUNCTION("""COMPUTED_VALUE"""),"CLE")</f>
        <v>CLE</v>
      </c>
      <c r="D2652" s="4" t="str">
        <f>IFERROR(__xludf.DUMMYFUNCTION("""COMPUTED_VALUE"""),"Brad Daugherty")</f>
        <v>Brad Daugherty</v>
      </c>
      <c r="E2652" s="4" t="str">
        <f>IFERROR(__xludf.DUMMYFUNCTION("""COMPUTED_VALUE"""),"UNC")</f>
        <v>UNC</v>
      </c>
      <c r="F2652" s="4">
        <f>IFERROR(__xludf.DUMMYFUNCTION("""COMPUTED_VALUE"""),8.0)</f>
        <v>8</v>
      </c>
      <c r="G2652" s="4">
        <f>IFERROR(__xludf.DUMMYFUNCTION("""COMPUTED_VALUE"""),548.0)</f>
        <v>548</v>
      </c>
      <c r="H2652" s="4">
        <f>IFERROR(__xludf.DUMMYFUNCTION("""COMPUTED_VALUE"""),20029.0)</f>
        <v>20029</v>
      </c>
      <c r="I2652" s="4">
        <f>IFERROR(__xludf.DUMMYFUNCTION("""COMPUTED_VALUE"""),10389.0)</f>
        <v>10389</v>
      </c>
      <c r="J2652" s="4">
        <f>IFERROR(__xludf.DUMMYFUNCTION("""COMPUTED_VALUE"""),5227.0)</f>
        <v>5227</v>
      </c>
      <c r="K2652" s="4">
        <f>IFERROR(__xludf.DUMMYFUNCTION("""COMPUTED_VALUE"""),2028.0)</f>
        <v>2028</v>
      </c>
      <c r="L2652" s="4">
        <f>IFERROR(__xludf.DUMMYFUNCTION("""COMPUTED_VALUE"""),0.532)</f>
        <v>0.532</v>
      </c>
      <c r="M2652" s="4">
        <f>IFERROR(__xludf.DUMMYFUNCTION("""COMPUTED_VALUE"""),0.143)</f>
        <v>0.143</v>
      </c>
      <c r="N2652" s="4">
        <f>IFERROR(__xludf.DUMMYFUNCTION("""COMPUTED_VALUE"""),0.747)</f>
        <v>0.747</v>
      </c>
      <c r="O2652" s="4">
        <f>IFERROR(__xludf.DUMMYFUNCTION("""COMPUTED_VALUE"""),36.5)</f>
        <v>36.5</v>
      </c>
      <c r="P2652" s="4">
        <f>IFERROR(__xludf.DUMMYFUNCTION("""COMPUTED_VALUE"""),19.0)</f>
        <v>19</v>
      </c>
      <c r="Q2652" s="4">
        <f>IFERROR(__xludf.DUMMYFUNCTION("""COMPUTED_VALUE"""),9.5)</f>
        <v>9.5</v>
      </c>
      <c r="R2652" s="4">
        <f>IFERROR(__xludf.DUMMYFUNCTION("""COMPUTED_VALUE"""),3.7)</f>
        <v>3.7</v>
      </c>
      <c r="S2652" s="4">
        <f>IFERROR(__xludf.DUMMYFUNCTION("""COMPUTED_VALUE"""),65.2)</f>
        <v>65.2</v>
      </c>
      <c r="T2652" s="4">
        <f>IFERROR(__xludf.DUMMYFUNCTION("""COMPUTED_VALUE"""),0.156)</f>
        <v>0.156</v>
      </c>
      <c r="U2652" s="4">
        <f>IFERROR(__xludf.DUMMYFUNCTION("""COMPUTED_VALUE"""),2.2)</f>
        <v>2.2</v>
      </c>
      <c r="V2652" s="4">
        <f>IFERROR(__xludf.DUMMYFUNCTION("""COMPUTED_VALUE"""),21.3)</f>
        <v>21.3</v>
      </c>
    </row>
    <row r="2653">
      <c r="A2653" s="4">
        <f>IFERROR(__xludf.DUMMYFUNCTION("""COMPUTED_VALUE"""),2.0)</f>
        <v>2</v>
      </c>
      <c r="B2653" s="4">
        <f>IFERROR(__xludf.DUMMYFUNCTION("""COMPUTED_VALUE"""),2.0)</f>
        <v>2</v>
      </c>
      <c r="C2653" s="4" t="str">
        <f>IFERROR(__xludf.DUMMYFUNCTION("""COMPUTED_VALUE"""),"BOS")</f>
        <v>BOS</v>
      </c>
      <c r="D2653" s="4" t="str">
        <f>IFERROR(__xludf.DUMMYFUNCTION("""COMPUTED_VALUE"""),"Len Bias")</f>
        <v>Len Bias</v>
      </c>
      <c r="E2653" s="4" t="str">
        <f>IFERROR(__xludf.DUMMYFUNCTION("""COMPUTED_VALUE"""),"Maryland")</f>
        <v>Maryland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</row>
    <row r="2654">
      <c r="A2654" s="4">
        <f>IFERROR(__xludf.DUMMYFUNCTION("""COMPUTED_VALUE"""),3.0)</f>
        <v>3</v>
      </c>
      <c r="B2654" s="4">
        <f>IFERROR(__xludf.DUMMYFUNCTION("""COMPUTED_VALUE"""),3.0)</f>
        <v>3</v>
      </c>
      <c r="C2654" s="4" t="str">
        <f>IFERROR(__xludf.DUMMYFUNCTION("""COMPUTED_VALUE"""),"GSW")</f>
        <v>GSW</v>
      </c>
      <c r="D2654" s="4" t="str">
        <f>IFERROR(__xludf.DUMMYFUNCTION("""COMPUTED_VALUE"""),"Chris Washburn")</f>
        <v>Chris Washburn</v>
      </c>
      <c r="E2654" s="4" t="str">
        <f>IFERROR(__xludf.DUMMYFUNCTION("""COMPUTED_VALUE"""),"NC State")</f>
        <v>NC State</v>
      </c>
      <c r="F2654" s="4">
        <f>IFERROR(__xludf.DUMMYFUNCTION("""COMPUTED_VALUE"""),2.0)</f>
        <v>2</v>
      </c>
      <c r="G2654" s="4">
        <f>IFERROR(__xludf.DUMMYFUNCTION("""COMPUTED_VALUE"""),72.0)</f>
        <v>72</v>
      </c>
      <c r="H2654" s="4">
        <f>IFERROR(__xludf.DUMMYFUNCTION("""COMPUTED_VALUE"""),645.0)</f>
        <v>645</v>
      </c>
      <c r="I2654" s="4">
        <f>IFERROR(__xludf.DUMMYFUNCTION("""COMPUTED_VALUE"""),222.0)</f>
        <v>222</v>
      </c>
      <c r="J2654" s="4">
        <f>IFERROR(__xludf.DUMMYFUNCTION("""COMPUTED_VALUE"""),176.0)</f>
        <v>176</v>
      </c>
      <c r="K2654" s="4">
        <f>IFERROR(__xludf.DUMMYFUNCTION("""COMPUTED_VALUE"""),22.0)</f>
        <v>22</v>
      </c>
      <c r="L2654" s="4">
        <f>IFERROR(__xludf.DUMMYFUNCTION("""COMPUTED_VALUE"""),0.412)</f>
        <v>0.412</v>
      </c>
      <c r="M2654" s="4">
        <f>IFERROR(__xludf.DUMMYFUNCTION("""COMPUTED_VALUE"""),0.0)</f>
        <v>0</v>
      </c>
      <c r="N2654" s="4">
        <f>IFERROR(__xludf.DUMMYFUNCTION("""COMPUTED_VALUE"""),0.439)</f>
        <v>0.439</v>
      </c>
      <c r="O2654" s="4">
        <f>IFERROR(__xludf.DUMMYFUNCTION("""COMPUTED_VALUE"""),9.0)</f>
        <v>9</v>
      </c>
      <c r="P2654" s="4">
        <f>IFERROR(__xludf.DUMMYFUNCTION("""COMPUTED_VALUE"""),3.1)</f>
        <v>3.1</v>
      </c>
      <c r="Q2654" s="4">
        <f>IFERROR(__xludf.DUMMYFUNCTION("""COMPUTED_VALUE"""),2.4)</f>
        <v>2.4</v>
      </c>
      <c r="R2654" s="4">
        <f>IFERROR(__xludf.DUMMYFUNCTION("""COMPUTED_VALUE"""),0.3)</f>
        <v>0.3</v>
      </c>
      <c r="S2654" s="4">
        <f>IFERROR(__xludf.DUMMYFUNCTION("""COMPUTED_VALUE"""),-0.6)</f>
        <v>-0.6</v>
      </c>
      <c r="T2654" s="4">
        <f>IFERROR(__xludf.DUMMYFUNCTION("""COMPUTED_VALUE"""),-0.046)</f>
        <v>-0.046</v>
      </c>
      <c r="U2654" s="4">
        <f>IFERROR(__xludf.DUMMYFUNCTION("""COMPUTED_VALUE"""),-7.4)</f>
        <v>-7.4</v>
      </c>
      <c r="V2654" s="4">
        <f>IFERROR(__xludf.DUMMYFUNCTION("""COMPUTED_VALUE"""),-0.9)</f>
        <v>-0.9</v>
      </c>
    </row>
    <row r="2655">
      <c r="A2655" s="4">
        <f>IFERROR(__xludf.DUMMYFUNCTION("""COMPUTED_VALUE"""),4.0)</f>
        <v>4</v>
      </c>
      <c r="B2655" s="4">
        <f>IFERROR(__xludf.DUMMYFUNCTION("""COMPUTED_VALUE"""),4.0)</f>
        <v>4</v>
      </c>
      <c r="C2655" s="4" t="str">
        <f>IFERROR(__xludf.DUMMYFUNCTION("""COMPUTED_VALUE"""),"IND")</f>
        <v>IND</v>
      </c>
      <c r="D2655" s="4" t="str">
        <f>IFERROR(__xludf.DUMMYFUNCTION("""COMPUTED_VALUE"""),"Chuck Person")</f>
        <v>Chuck Person</v>
      </c>
      <c r="E2655" s="4" t="str">
        <f>IFERROR(__xludf.DUMMYFUNCTION("""COMPUTED_VALUE"""),"Auburn")</f>
        <v>Auburn</v>
      </c>
      <c r="F2655" s="4">
        <f>IFERROR(__xludf.DUMMYFUNCTION("""COMPUTED_VALUE"""),13.0)</f>
        <v>13</v>
      </c>
      <c r="G2655" s="4">
        <f>IFERROR(__xludf.DUMMYFUNCTION("""COMPUTED_VALUE"""),943.0)</f>
        <v>943</v>
      </c>
      <c r="H2655" s="4">
        <f>IFERROR(__xludf.DUMMYFUNCTION("""COMPUTED_VALUE"""),28941.0)</f>
        <v>28941</v>
      </c>
      <c r="I2655" s="4">
        <f>IFERROR(__xludf.DUMMYFUNCTION("""COMPUTED_VALUE"""),13858.0)</f>
        <v>13858</v>
      </c>
      <c r="J2655" s="4">
        <f>IFERROR(__xludf.DUMMYFUNCTION("""COMPUTED_VALUE"""),4763.0)</f>
        <v>4763</v>
      </c>
      <c r="K2655" s="4">
        <f>IFERROR(__xludf.DUMMYFUNCTION("""COMPUTED_VALUE"""),2645.0)</f>
        <v>2645</v>
      </c>
      <c r="L2655" s="4">
        <f>IFERROR(__xludf.DUMMYFUNCTION("""COMPUTED_VALUE"""),0.458)</f>
        <v>0.458</v>
      </c>
      <c r="M2655" s="4">
        <f>IFERROR(__xludf.DUMMYFUNCTION("""COMPUTED_VALUE"""),0.362)</f>
        <v>0.362</v>
      </c>
      <c r="N2655" s="4">
        <f>IFERROR(__xludf.DUMMYFUNCTION("""COMPUTED_VALUE"""),0.723)</f>
        <v>0.723</v>
      </c>
      <c r="O2655" s="4">
        <f>IFERROR(__xludf.DUMMYFUNCTION("""COMPUTED_VALUE"""),30.7)</f>
        <v>30.7</v>
      </c>
      <c r="P2655" s="4">
        <f>IFERROR(__xludf.DUMMYFUNCTION("""COMPUTED_VALUE"""),14.7)</f>
        <v>14.7</v>
      </c>
      <c r="Q2655" s="4">
        <f>IFERROR(__xludf.DUMMYFUNCTION("""COMPUTED_VALUE"""),5.1)</f>
        <v>5.1</v>
      </c>
      <c r="R2655" s="4">
        <f>IFERROR(__xludf.DUMMYFUNCTION("""COMPUTED_VALUE"""),2.8)</f>
        <v>2.8</v>
      </c>
      <c r="S2655" s="4">
        <f>IFERROR(__xludf.DUMMYFUNCTION("""COMPUTED_VALUE"""),38.9)</f>
        <v>38.9</v>
      </c>
      <c r="T2655" s="4">
        <f>IFERROR(__xludf.DUMMYFUNCTION("""COMPUTED_VALUE"""),0.065)</f>
        <v>0.065</v>
      </c>
      <c r="U2655" s="4">
        <f>IFERROR(__xludf.DUMMYFUNCTION("""COMPUTED_VALUE"""),-0.7)</f>
        <v>-0.7</v>
      </c>
      <c r="V2655" s="4">
        <f>IFERROR(__xludf.DUMMYFUNCTION("""COMPUTED_VALUE"""),9.2)</f>
        <v>9.2</v>
      </c>
    </row>
    <row r="2656">
      <c r="A2656" s="4">
        <f>IFERROR(__xludf.DUMMYFUNCTION("""COMPUTED_VALUE"""),5.0)</f>
        <v>5</v>
      </c>
      <c r="B2656" s="4">
        <f>IFERROR(__xludf.DUMMYFUNCTION("""COMPUTED_VALUE"""),5.0)</f>
        <v>5</v>
      </c>
      <c r="C2656" s="4" t="str">
        <f>IFERROR(__xludf.DUMMYFUNCTION("""COMPUTED_VALUE"""),"NYK")</f>
        <v>NYK</v>
      </c>
      <c r="D2656" s="4" t="str">
        <f>IFERROR(__xludf.DUMMYFUNCTION("""COMPUTED_VALUE"""),"Kenny Walker")</f>
        <v>Kenny Walker</v>
      </c>
      <c r="E2656" s="4" t="str">
        <f>IFERROR(__xludf.DUMMYFUNCTION("""COMPUTED_VALUE"""),"Kentucky")</f>
        <v>Kentucky</v>
      </c>
      <c r="F2656" s="4">
        <f>IFERROR(__xludf.DUMMYFUNCTION("""COMPUTED_VALUE"""),7.0)</f>
        <v>7</v>
      </c>
      <c r="G2656" s="4">
        <f>IFERROR(__xludf.DUMMYFUNCTION("""COMPUTED_VALUE"""),448.0)</f>
        <v>448</v>
      </c>
      <c r="H2656" s="4">
        <f>IFERROR(__xludf.DUMMYFUNCTION("""COMPUTED_VALUE"""),9050.0)</f>
        <v>9050</v>
      </c>
      <c r="I2656" s="4">
        <f>IFERROR(__xludf.DUMMYFUNCTION("""COMPUTED_VALUE"""),3128.0)</f>
        <v>3128</v>
      </c>
      <c r="J2656" s="4">
        <f>IFERROR(__xludf.DUMMYFUNCTION("""COMPUTED_VALUE"""),1793.0)</f>
        <v>1793</v>
      </c>
      <c r="K2656" s="4">
        <f>IFERROR(__xludf.DUMMYFUNCTION("""COMPUTED_VALUE"""),299.0)</f>
        <v>299</v>
      </c>
      <c r="L2656" s="4">
        <f>IFERROR(__xludf.DUMMYFUNCTION("""COMPUTED_VALUE"""),0.485)</f>
        <v>0.485</v>
      </c>
      <c r="M2656" s="4">
        <f>IFERROR(__xludf.DUMMYFUNCTION("""COMPUTED_VALUE"""),0.206)</f>
        <v>0.206</v>
      </c>
      <c r="N2656" s="4">
        <f>IFERROR(__xludf.DUMMYFUNCTION("""COMPUTED_VALUE"""),0.749)</f>
        <v>0.749</v>
      </c>
      <c r="O2656" s="4">
        <f>IFERROR(__xludf.DUMMYFUNCTION("""COMPUTED_VALUE"""),20.2)</f>
        <v>20.2</v>
      </c>
      <c r="P2656" s="4">
        <f>IFERROR(__xludf.DUMMYFUNCTION("""COMPUTED_VALUE"""),7.0)</f>
        <v>7</v>
      </c>
      <c r="Q2656" s="4">
        <f>IFERROR(__xludf.DUMMYFUNCTION("""COMPUTED_VALUE"""),4.0)</f>
        <v>4</v>
      </c>
      <c r="R2656" s="4">
        <f>IFERROR(__xludf.DUMMYFUNCTION("""COMPUTED_VALUE"""),0.7)</f>
        <v>0.7</v>
      </c>
      <c r="S2656" s="4">
        <f>IFERROR(__xludf.DUMMYFUNCTION("""COMPUTED_VALUE"""),17.9)</f>
        <v>17.9</v>
      </c>
      <c r="T2656" s="4">
        <f>IFERROR(__xludf.DUMMYFUNCTION("""COMPUTED_VALUE"""),0.095)</f>
        <v>0.095</v>
      </c>
      <c r="U2656" s="4">
        <f>IFERROR(__xludf.DUMMYFUNCTION("""COMPUTED_VALUE"""),-1.8)</f>
        <v>-1.8</v>
      </c>
      <c r="V2656" s="4">
        <f>IFERROR(__xludf.DUMMYFUNCTION("""COMPUTED_VALUE"""),0.6)</f>
        <v>0.6</v>
      </c>
    </row>
    <row r="2657">
      <c r="A2657" s="4">
        <f>IFERROR(__xludf.DUMMYFUNCTION("""COMPUTED_VALUE"""),6.0)</f>
        <v>6</v>
      </c>
      <c r="B2657" s="4">
        <f>IFERROR(__xludf.DUMMYFUNCTION("""COMPUTED_VALUE"""),6.0)</f>
        <v>6</v>
      </c>
      <c r="C2657" s="4" t="str">
        <f>IFERROR(__xludf.DUMMYFUNCTION("""COMPUTED_VALUE"""),"PHO")</f>
        <v>PHO</v>
      </c>
      <c r="D2657" s="4" t="str">
        <f>IFERROR(__xludf.DUMMYFUNCTION("""COMPUTED_VALUE"""),"William Bedford")</f>
        <v>William Bedford</v>
      </c>
      <c r="E2657" s="4" t="str">
        <f>IFERROR(__xludf.DUMMYFUNCTION("""COMPUTED_VALUE"""),"Memphis")</f>
        <v>Memphis</v>
      </c>
      <c r="F2657" s="4">
        <f>IFERROR(__xludf.DUMMYFUNCTION("""COMPUTED_VALUE"""),6.0)</f>
        <v>6</v>
      </c>
      <c r="G2657" s="4">
        <f>IFERROR(__xludf.DUMMYFUNCTION("""COMPUTED_VALUE"""),238.0)</f>
        <v>238</v>
      </c>
      <c r="H2657" s="4">
        <f>IFERROR(__xludf.DUMMYFUNCTION("""COMPUTED_VALUE"""),2514.0)</f>
        <v>2514</v>
      </c>
      <c r="I2657" s="4">
        <f>IFERROR(__xludf.DUMMYFUNCTION("""COMPUTED_VALUE"""),964.0)</f>
        <v>964</v>
      </c>
      <c r="J2657" s="4">
        <f>IFERROR(__xludf.DUMMYFUNCTION("""COMPUTED_VALUE"""),573.0)</f>
        <v>573</v>
      </c>
      <c r="K2657" s="4">
        <f>IFERROR(__xludf.DUMMYFUNCTION("""COMPUTED_VALUE"""),109.0)</f>
        <v>109</v>
      </c>
      <c r="L2657" s="4">
        <f>IFERROR(__xludf.DUMMYFUNCTION("""COMPUTED_VALUE"""),0.416)</f>
        <v>0.416</v>
      </c>
      <c r="M2657" s="4">
        <f>IFERROR(__xludf.DUMMYFUNCTION("""COMPUTED_VALUE"""),0.318)</f>
        <v>0.318</v>
      </c>
      <c r="N2657" s="4">
        <f>IFERROR(__xludf.DUMMYFUNCTION("""COMPUTED_VALUE"""),0.605)</f>
        <v>0.605</v>
      </c>
      <c r="O2657" s="4">
        <f>IFERROR(__xludf.DUMMYFUNCTION("""COMPUTED_VALUE"""),10.6)</f>
        <v>10.6</v>
      </c>
      <c r="P2657" s="4">
        <f>IFERROR(__xludf.DUMMYFUNCTION("""COMPUTED_VALUE"""),4.1)</f>
        <v>4.1</v>
      </c>
      <c r="Q2657" s="4">
        <f>IFERROR(__xludf.DUMMYFUNCTION("""COMPUTED_VALUE"""),2.4)</f>
        <v>2.4</v>
      </c>
      <c r="R2657" s="4">
        <f>IFERROR(__xludf.DUMMYFUNCTION("""COMPUTED_VALUE"""),0.5)</f>
        <v>0.5</v>
      </c>
      <c r="S2657" s="4">
        <f>IFERROR(__xludf.DUMMYFUNCTION("""COMPUTED_VALUE"""),0.9)</f>
        <v>0.9</v>
      </c>
      <c r="T2657" s="4">
        <f>IFERROR(__xludf.DUMMYFUNCTION("""COMPUTED_VALUE"""),0.017)</f>
        <v>0.017</v>
      </c>
      <c r="U2657" s="4">
        <f>IFERROR(__xludf.DUMMYFUNCTION("""COMPUTED_VALUE"""),-4.8)</f>
        <v>-4.8</v>
      </c>
      <c r="V2657" s="4">
        <f>IFERROR(__xludf.DUMMYFUNCTION("""COMPUTED_VALUE"""),-1.8)</f>
        <v>-1.8</v>
      </c>
    </row>
    <row r="2658">
      <c r="A2658" s="4">
        <f>IFERROR(__xludf.DUMMYFUNCTION("""COMPUTED_VALUE"""),7.0)</f>
        <v>7</v>
      </c>
      <c r="B2658" s="4">
        <f>IFERROR(__xludf.DUMMYFUNCTION("""COMPUTED_VALUE"""),7.0)</f>
        <v>7</v>
      </c>
      <c r="C2658" s="4" t="str">
        <f>IFERROR(__xludf.DUMMYFUNCTION("""COMPUTED_VALUE"""),"DAL")</f>
        <v>DAL</v>
      </c>
      <c r="D2658" s="4" t="str">
        <f>IFERROR(__xludf.DUMMYFUNCTION("""COMPUTED_VALUE"""),"Roy Tarpley")</f>
        <v>Roy Tarpley</v>
      </c>
      <c r="E2658" s="4" t="str">
        <f>IFERROR(__xludf.DUMMYFUNCTION("""COMPUTED_VALUE"""),"Michigan")</f>
        <v>Michigan</v>
      </c>
      <c r="F2658" s="4">
        <f>IFERROR(__xludf.DUMMYFUNCTION("""COMPUTED_VALUE"""),6.0)</f>
        <v>6</v>
      </c>
      <c r="G2658" s="4">
        <f>IFERROR(__xludf.DUMMYFUNCTION("""COMPUTED_VALUE"""),280.0)</f>
        <v>280</v>
      </c>
      <c r="H2658" s="4">
        <f>IFERROR(__xludf.DUMMYFUNCTION("""COMPUTED_VALUE"""),7476.0)</f>
        <v>7476</v>
      </c>
      <c r="I2658" s="4">
        <f>IFERROR(__xludf.DUMMYFUNCTION("""COMPUTED_VALUE"""),3533.0)</f>
        <v>3533</v>
      </c>
      <c r="J2658" s="4">
        <f>IFERROR(__xludf.DUMMYFUNCTION("""COMPUTED_VALUE"""),2803.0)</f>
        <v>2803</v>
      </c>
      <c r="K2658" s="4">
        <f>IFERROR(__xludf.DUMMYFUNCTION("""COMPUTED_VALUE"""),292.0)</f>
        <v>292</v>
      </c>
      <c r="L2658" s="4">
        <f>IFERROR(__xludf.DUMMYFUNCTION("""COMPUTED_VALUE"""),0.483)</f>
        <v>0.483</v>
      </c>
      <c r="M2658" s="4">
        <f>IFERROR(__xludf.DUMMYFUNCTION("""COMPUTED_VALUE"""),0.176)</f>
        <v>0.176</v>
      </c>
      <c r="N2658" s="4">
        <f>IFERROR(__xludf.DUMMYFUNCTION("""COMPUTED_VALUE"""),0.744)</f>
        <v>0.744</v>
      </c>
      <c r="O2658" s="4">
        <f>IFERROR(__xludf.DUMMYFUNCTION("""COMPUTED_VALUE"""),26.7)</f>
        <v>26.7</v>
      </c>
      <c r="P2658" s="4">
        <f>IFERROR(__xludf.DUMMYFUNCTION("""COMPUTED_VALUE"""),12.6)</f>
        <v>12.6</v>
      </c>
      <c r="Q2658" s="4">
        <f>IFERROR(__xludf.DUMMYFUNCTION("""COMPUTED_VALUE"""),10.0)</f>
        <v>10</v>
      </c>
      <c r="R2658" s="4">
        <f>IFERROR(__xludf.DUMMYFUNCTION("""COMPUTED_VALUE"""),1.0)</f>
        <v>1</v>
      </c>
      <c r="S2658" s="4">
        <f>IFERROR(__xludf.DUMMYFUNCTION("""COMPUTED_VALUE"""),19.8)</f>
        <v>19.8</v>
      </c>
      <c r="T2658" s="4">
        <f>IFERROR(__xludf.DUMMYFUNCTION("""COMPUTED_VALUE"""),0.127)</f>
        <v>0.127</v>
      </c>
      <c r="U2658" s="4">
        <f>IFERROR(__xludf.DUMMYFUNCTION("""COMPUTED_VALUE"""),-0.2)</f>
        <v>-0.2</v>
      </c>
      <c r="V2658" s="4">
        <f>IFERROR(__xludf.DUMMYFUNCTION("""COMPUTED_VALUE"""),3.4)</f>
        <v>3.4</v>
      </c>
    </row>
    <row r="2659">
      <c r="A2659" s="4">
        <f>IFERROR(__xludf.DUMMYFUNCTION("""COMPUTED_VALUE"""),8.0)</f>
        <v>8</v>
      </c>
      <c r="B2659" s="4">
        <f>IFERROR(__xludf.DUMMYFUNCTION("""COMPUTED_VALUE"""),8.0)</f>
        <v>8</v>
      </c>
      <c r="C2659" s="4" t="str">
        <f>IFERROR(__xludf.DUMMYFUNCTION("""COMPUTED_VALUE"""),"CLE")</f>
        <v>CLE</v>
      </c>
      <c r="D2659" s="4" t="str">
        <f>IFERROR(__xludf.DUMMYFUNCTION("""COMPUTED_VALUE"""),"Ron Harper")</f>
        <v>Ron Harper</v>
      </c>
      <c r="E2659" s="4" t="str">
        <f>IFERROR(__xludf.DUMMYFUNCTION("""COMPUTED_VALUE"""),"Miami University")</f>
        <v>Miami University</v>
      </c>
      <c r="F2659" s="4">
        <f>IFERROR(__xludf.DUMMYFUNCTION("""COMPUTED_VALUE"""),15.0)</f>
        <v>15</v>
      </c>
      <c r="G2659" s="4">
        <f>IFERROR(__xludf.DUMMYFUNCTION("""COMPUTED_VALUE"""),1009.0)</f>
        <v>1009</v>
      </c>
      <c r="H2659" s="4">
        <f>IFERROR(__xludf.DUMMYFUNCTION("""COMPUTED_VALUE"""),31199.0)</f>
        <v>31199</v>
      </c>
      <c r="I2659" s="4">
        <f>IFERROR(__xludf.DUMMYFUNCTION("""COMPUTED_VALUE"""),13910.0)</f>
        <v>13910</v>
      </c>
      <c r="J2659" s="4">
        <f>IFERROR(__xludf.DUMMYFUNCTION("""COMPUTED_VALUE"""),4309.0)</f>
        <v>4309</v>
      </c>
      <c r="K2659" s="4">
        <f>IFERROR(__xludf.DUMMYFUNCTION("""COMPUTED_VALUE"""),3916.0)</f>
        <v>3916</v>
      </c>
      <c r="L2659" s="4">
        <f>IFERROR(__xludf.DUMMYFUNCTION("""COMPUTED_VALUE"""),0.446)</f>
        <v>0.446</v>
      </c>
      <c r="M2659" s="4">
        <f>IFERROR(__xludf.DUMMYFUNCTION("""COMPUTED_VALUE"""),0.289)</f>
        <v>0.289</v>
      </c>
      <c r="N2659" s="4">
        <f>IFERROR(__xludf.DUMMYFUNCTION("""COMPUTED_VALUE"""),0.72)</f>
        <v>0.72</v>
      </c>
      <c r="O2659" s="4">
        <f>IFERROR(__xludf.DUMMYFUNCTION("""COMPUTED_VALUE"""),30.9)</f>
        <v>30.9</v>
      </c>
      <c r="P2659" s="4">
        <f>IFERROR(__xludf.DUMMYFUNCTION("""COMPUTED_VALUE"""),13.8)</f>
        <v>13.8</v>
      </c>
      <c r="Q2659" s="4">
        <f>IFERROR(__xludf.DUMMYFUNCTION("""COMPUTED_VALUE"""),4.3)</f>
        <v>4.3</v>
      </c>
      <c r="R2659" s="4">
        <f>IFERROR(__xludf.DUMMYFUNCTION("""COMPUTED_VALUE"""),3.9)</f>
        <v>3.9</v>
      </c>
      <c r="S2659" s="4">
        <f>IFERROR(__xludf.DUMMYFUNCTION("""COMPUTED_VALUE"""),65.8)</f>
        <v>65.8</v>
      </c>
      <c r="T2659" s="4">
        <f>IFERROR(__xludf.DUMMYFUNCTION("""COMPUTED_VALUE"""),0.101)</f>
        <v>0.101</v>
      </c>
      <c r="U2659" s="4">
        <f>IFERROR(__xludf.DUMMYFUNCTION("""COMPUTED_VALUE"""),1.9)</f>
        <v>1.9</v>
      </c>
      <c r="V2659" s="4">
        <f>IFERROR(__xludf.DUMMYFUNCTION("""COMPUTED_VALUE"""),30.3)</f>
        <v>30.3</v>
      </c>
    </row>
    <row r="2660">
      <c r="A2660" s="4">
        <f>IFERROR(__xludf.DUMMYFUNCTION("""COMPUTED_VALUE"""),9.0)</f>
        <v>9</v>
      </c>
      <c r="B2660" s="4">
        <f>IFERROR(__xludf.DUMMYFUNCTION("""COMPUTED_VALUE"""),9.0)</f>
        <v>9</v>
      </c>
      <c r="C2660" s="4" t="str">
        <f>IFERROR(__xludf.DUMMYFUNCTION("""COMPUTED_VALUE"""),"CHI")</f>
        <v>CHI</v>
      </c>
      <c r="D2660" s="4" t="str">
        <f>IFERROR(__xludf.DUMMYFUNCTION("""COMPUTED_VALUE"""),"Brad Sellers")</f>
        <v>Brad Sellers</v>
      </c>
      <c r="E2660" s="4" t="str">
        <f>IFERROR(__xludf.DUMMYFUNCTION("""COMPUTED_VALUE"""),"Ohio State")</f>
        <v>Ohio State</v>
      </c>
      <c r="F2660" s="4">
        <f>IFERROR(__xludf.DUMMYFUNCTION("""COMPUTED_VALUE"""),6.0)</f>
        <v>6</v>
      </c>
      <c r="G2660" s="4">
        <f>IFERROR(__xludf.DUMMYFUNCTION("""COMPUTED_VALUE"""),398.0)</f>
        <v>398</v>
      </c>
      <c r="H2660" s="4">
        <f>IFERROR(__xludf.DUMMYFUNCTION("""COMPUTED_VALUE"""),7154.0)</f>
        <v>7154</v>
      </c>
      <c r="I2660" s="4">
        <f>IFERROR(__xludf.DUMMYFUNCTION("""COMPUTED_VALUE"""),2509.0)</f>
        <v>2509</v>
      </c>
      <c r="J2660" s="4">
        <f>IFERROR(__xludf.DUMMYFUNCTION("""COMPUTED_VALUE"""),1064.0)</f>
        <v>1064</v>
      </c>
      <c r="K2660" s="4">
        <f>IFERROR(__xludf.DUMMYFUNCTION("""COMPUTED_VALUE"""),435.0)</f>
        <v>435</v>
      </c>
      <c r="L2660" s="4">
        <f>IFERROR(__xludf.DUMMYFUNCTION("""COMPUTED_VALUE"""),0.452)</f>
        <v>0.452</v>
      </c>
      <c r="M2660" s="4">
        <f>IFERROR(__xludf.DUMMYFUNCTION("""COMPUTED_VALUE"""),0.2)</f>
        <v>0.2</v>
      </c>
      <c r="N2660" s="4">
        <f>IFERROR(__xludf.DUMMYFUNCTION("""COMPUTED_VALUE"""),0.793)</f>
        <v>0.793</v>
      </c>
      <c r="O2660" s="4">
        <f>IFERROR(__xludf.DUMMYFUNCTION("""COMPUTED_VALUE"""),18.0)</f>
        <v>18</v>
      </c>
      <c r="P2660" s="4">
        <f>IFERROR(__xludf.DUMMYFUNCTION("""COMPUTED_VALUE"""),6.3)</f>
        <v>6.3</v>
      </c>
      <c r="Q2660" s="4">
        <f>IFERROR(__xludf.DUMMYFUNCTION("""COMPUTED_VALUE"""),2.7)</f>
        <v>2.7</v>
      </c>
      <c r="R2660" s="4">
        <f>IFERROR(__xludf.DUMMYFUNCTION("""COMPUTED_VALUE"""),1.1)</f>
        <v>1.1</v>
      </c>
      <c r="S2660" s="4">
        <f>IFERROR(__xludf.DUMMYFUNCTION("""COMPUTED_VALUE"""),9.8)</f>
        <v>9.8</v>
      </c>
      <c r="T2660" s="4">
        <f>IFERROR(__xludf.DUMMYFUNCTION("""COMPUTED_VALUE"""),0.066)</f>
        <v>0.066</v>
      </c>
      <c r="U2660" s="4">
        <f>IFERROR(__xludf.DUMMYFUNCTION("""COMPUTED_VALUE"""),-2.2)</f>
        <v>-2.2</v>
      </c>
      <c r="V2660" s="4">
        <f>IFERROR(__xludf.DUMMYFUNCTION("""COMPUTED_VALUE"""),-0.4)</f>
        <v>-0.4</v>
      </c>
    </row>
    <row r="2661">
      <c r="A2661" s="4">
        <f>IFERROR(__xludf.DUMMYFUNCTION("""COMPUTED_VALUE"""),10.0)</f>
        <v>10</v>
      </c>
      <c r="B2661" s="4">
        <f>IFERROR(__xludf.DUMMYFUNCTION("""COMPUTED_VALUE"""),10.0)</f>
        <v>10</v>
      </c>
      <c r="C2661" s="4" t="str">
        <f>IFERROR(__xludf.DUMMYFUNCTION("""COMPUTED_VALUE"""),"SAS")</f>
        <v>SAS</v>
      </c>
      <c r="D2661" s="4" t="str">
        <f>IFERROR(__xludf.DUMMYFUNCTION("""COMPUTED_VALUE"""),"Johnny Dawkins")</f>
        <v>Johnny Dawkins</v>
      </c>
      <c r="E2661" s="4" t="str">
        <f>IFERROR(__xludf.DUMMYFUNCTION("""COMPUTED_VALUE"""),"Duke")</f>
        <v>Duke</v>
      </c>
      <c r="F2661" s="4">
        <f>IFERROR(__xludf.DUMMYFUNCTION("""COMPUTED_VALUE"""),9.0)</f>
        <v>9</v>
      </c>
      <c r="G2661" s="4">
        <f>IFERROR(__xludf.DUMMYFUNCTION("""COMPUTED_VALUE"""),541.0)</f>
        <v>541</v>
      </c>
      <c r="H2661" s="4">
        <f>IFERROR(__xludf.DUMMYFUNCTION("""COMPUTED_VALUE"""),14859.0)</f>
        <v>14859</v>
      </c>
      <c r="I2661" s="4">
        <f>IFERROR(__xludf.DUMMYFUNCTION("""COMPUTED_VALUE"""),5984.0)</f>
        <v>5984</v>
      </c>
      <c r="J2661" s="4">
        <f>IFERROR(__xludf.DUMMYFUNCTION("""COMPUTED_VALUE"""),1336.0)</f>
        <v>1336</v>
      </c>
      <c r="K2661" s="4">
        <f>IFERROR(__xludf.DUMMYFUNCTION("""COMPUTED_VALUE"""),2997.0)</f>
        <v>2997</v>
      </c>
      <c r="L2661" s="4">
        <f>IFERROR(__xludf.DUMMYFUNCTION("""COMPUTED_VALUE"""),0.456)</f>
        <v>0.456</v>
      </c>
      <c r="M2661" s="4">
        <f>IFERROR(__xludf.DUMMYFUNCTION("""COMPUTED_VALUE"""),0.33)</f>
        <v>0.33</v>
      </c>
      <c r="N2661" s="4">
        <f>IFERROR(__xludf.DUMMYFUNCTION("""COMPUTED_VALUE"""),0.857)</f>
        <v>0.857</v>
      </c>
      <c r="O2661" s="4">
        <f>IFERROR(__xludf.DUMMYFUNCTION("""COMPUTED_VALUE"""),27.5)</f>
        <v>27.5</v>
      </c>
      <c r="P2661" s="4">
        <f>IFERROR(__xludf.DUMMYFUNCTION("""COMPUTED_VALUE"""),11.1)</f>
        <v>11.1</v>
      </c>
      <c r="Q2661" s="4">
        <f>IFERROR(__xludf.DUMMYFUNCTION("""COMPUTED_VALUE"""),2.5)</f>
        <v>2.5</v>
      </c>
      <c r="R2661" s="4">
        <f>IFERROR(__xludf.DUMMYFUNCTION("""COMPUTED_VALUE"""),5.5)</f>
        <v>5.5</v>
      </c>
      <c r="S2661" s="4">
        <f>IFERROR(__xludf.DUMMYFUNCTION("""COMPUTED_VALUE"""),21.8)</f>
        <v>21.8</v>
      </c>
      <c r="T2661" s="4">
        <f>IFERROR(__xludf.DUMMYFUNCTION("""COMPUTED_VALUE"""),0.07)</f>
        <v>0.07</v>
      </c>
      <c r="U2661" s="4">
        <f>IFERROR(__xludf.DUMMYFUNCTION("""COMPUTED_VALUE"""),-0.9)</f>
        <v>-0.9</v>
      </c>
      <c r="V2661" s="4">
        <f>IFERROR(__xludf.DUMMYFUNCTION("""COMPUTED_VALUE"""),4.2)</f>
        <v>4.2</v>
      </c>
    </row>
    <row r="2662">
      <c r="A2662" s="4">
        <f>IFERROR(__xludf.DUMMYFUNCTION("""COMPUTED_VALUE"""),11.0)</f>
        <v>11</v>
      </c>
      <c r="B2662" s="4">
        <f>IFERROR(__xludf.DUMMYFUNCTION("""COMPUTED_VALUE"""),11.0)</f>
        <v>11</v>
      </c>
      <c r="C2662" s="4" t="str">
        <f>IFERROR(__xludf.DUMMYFUNCTION("""COMPUTED_VALUE"""),"DET")</f>
        <v>DET</v>
      </c>
      <c r="D2662" s="4" t="str">
        <f>IFERROR(__xludf.DUMMYFUNCTION("""COMPUTED_VALUE"""),"John Salley")</f>
        <v>John Salley</v>
      </c>
      <c r="E2662" s="4" t="str">
        <f>IFERROR(__xludf.DUMMYFUNCTION("""COMPUTED_VALUE"""),"Georgia Tech")</f>
        <v>Georgia Tech</v>
      </c>
      <c r="F2662" s="4">
        <f>IFERROR(__xludf.DUMMYFUNCTION("""COMPUTED_VALUE"""),11.0)</f>
        <v>11</v>
      </c>
      <c r="G2662" s="4">
        <f>IFERROR(__xludf.DUMMYFUNCTION("""COMPUTED_VALUE"""),748.0)</f>
        <v>748</v>
      </c>
      <c r="H2662" s="4">
        <f>IFERROR(__xludf.DUMMYFUNCTION("""COMPUTED_VALUE"""),16524.0)</f>
        <v>16524</v>
      </c>
      <c r="I2662" s="4">
        <f>IFERROR(__xludf.DUMMYFUNCTION("""COMPUTED_VALUE"""),5228.0)</f>
        <v>5228</v>
      </c>
      <c r="J2662" s="4">
        <f>IFERROR(__xludf.DUMMYFUNCTION("""COMPUTED_VALUE"""),3356.0)</f>
        <v>3356</v>
      </c>
      <c r="K2662" s="4">
        <f>IFERROR(__xludf.DUMMYFUNCTION("""COMPUTED_VALUE"""),916.0)</f>
        <v>916</v>
      </c>
      <c r="L2662" s="4">
        <f>IFERROR(__xludf.DUMMYFUNCTION("""COMPUTED_VALUE"""),0.506)</f>
        <v>0.506</v>
      </c>
      <c r="M2662" s="4">
        <f>IFERROR(__xludf.DUMMYFUNCTION("""COMPUTED_VALUE"""),0.214)</f>
        <v>0.214</v>
      </c>
      <c r="N2662" s="4">
        <f>IFERROR(__xludf.DUMMYFUNCTION("""COMPUTED_VALUE"""),0.714)</f>
        <v>0.714</v>
      </c>
      <c r="O2662" s="4">
        <f>IFERROR(__xludf.DUMMYFUNCTION("""COMPUTED_VALUE"""),22.1)</f>
        <v>22.1</v>
      </c>
      <c r="P2662" s="4">
        <f>IFERROR(__xludf.DUMMYFUNCTION("""COMPUTED_VALUE"""),7.0)</f>
        <v>7</v>
      </c>
      <c r="Q2662" s="4">
        <f>IFERROR(__xludf.DUMMYFUNCTION("""COMPUTED_VALUE"""),4.5)</f>
        <v>4.5</v>
      </c>
      <c r="R2662" s="4">
        <f>IFERROR(__xludf.DUMMYFUNCTION("""COMPUTED_VALUE"""),1.2)</f>
        <v>1.2</v>
      </c>
      <c r="S2662" s="4">
        <f>IFERROR(__xludf.DUMMYFUNCTION("""COMPUTED_VALUE"""),41.5)</f>
        <v>41.5</v>
      </c>
      <c r="T2662" s="4">
        <f>IFERROR(__xludf.DUMMYFUNCTION("""COMPUTED_VALUE"""),0.121)</f>
        <v>0.121</v>
      </c>
      <c r="U2662" s="4">
        <f>IFERROR(__xludf.DUMMYFUNCTION("""COMPUTED_VALUE"""),0.5)</f>
        <v>0.5</v>
      </c>
      <c r="V2662" s="4">
        <f>IFERROR(__xludf.DUMMYFUNCTION("""COMPUTED_VALUE"""),10.5)</f>
        <v>10.5</v>
      </c>
    </row>
    <row r="2663">
      <c r="A2663" s="4">
        <f>IFERROR(__xludf.DUMMYFUNCTION("""COMPUTED_VALUE"""),12.0)</f>
        <v>12</v>
      </c>
      <c r="B2663" s="4">
        <f>IFERROR(__xludf.DUMMYFUNCTION("""COMPUTED_VALUE"""),12.0)</f>
        <v>12</v>
      </c>
      <c r="C2663" s="4" t="str">
        <f>IFERROR(__xludf.DUMMYFUNCTION("""COMPUTED_VALUE"""),"WSB")</f>
        <v>WSB</v>
      </c>
      <c r="D2663" s="4" t="str">
        <f>IFERROR(__xludf.DUMMYFUNCTION("""COMPUTED_VALUE"""),"John Williams")</f>
        <v>John Williams</v>
      </c>
      <c r="E2663" s="4" t="str">
        <f>IFERROR(__xludf.DUMMYFUNCTION("""COMPUTED_VALUE"""),"LSU")</f>
        <v>LSU</v>
      </c>
      <c r="F2663" s="4">
        <f>IFERROR(__xludf.DUMMYFUNCTION("""COMPUTED_VALUE"""),8.0)</f>
        <v>8</v>
      </c>
      <c r="G2663" s="4">
        <f>IFERROR(__xludf.DUMMYFUNCTION("""COMPUTED_VALUE"""),435.0)</f>
        <v>435</v>
      </c>
      <c r="H2663" s="4">
        <f>IFERROR(__xludf.DUMMYFUNCTION("""COMPUTED_VALUE"""),10952.0)</f>
        <v>10952</v>
      </c>
      <c r="I2663" s="4">
        <f>IFERROR(__xludf.DUMMYFUNCTION("""COMPUTED_VALUE"""),4406.0)</f>
        <v>4406</v>
      </c>
      <c r="J2663" s="4">
        <f>IFERROR(__xludf.DUMMYFUNCTION("""COMPUTED_VALUE"""),2201.0)</f>
        <v>2201</v>
      </c>
      <c r="K2663" s="4">
        <f>IFERROR(__xludf.DUMMYFUNCTION("""COMPUTED_VALUE"""),1262.0)</f>
        <v>1262</v>
      </c>
      <c r="L2663" s="4">
        <f>IFERROR(__xludf.DUMMYFUNCTION("""COMPUTED_VALUE"""),0.451)</f>
        <v>0.451</v>
      </c>
      <c r="M2663" s="4">
        <f>IFERROR(__xludf.DUMMYFUNCTION("""COMPUTED_VALUE"""),0.225)</f>
        <v>0.225</v>
      </c>
      <c r="N2663" s="4">
        <f>IFERROR(__xludf.DUMMYFUNCTION("""COMPUTED_VALUE"""),0.704)</f>
        <v>0.704</v>
      </c>
      <c r="O2663" s="4">
        <f>IFERROR(__xludf.DUMMYFUNCTION("""COMPUTED_VALUE"""),25.2)</f>
        <v>25.2</v>
      </c>
      <c r="P2663" s="4">
        <f>IFERROR(__xludf.DUMMYFUNCTION("""COMPUTED_VALUE"""),10.1)</f>
        <v>10.1</v>
      </c>
      <c r="Q2663" s="4">
        <f>IFERROR(__xludf.DUMMYFUNCTION("""COMPUTED_VALUE"""),5.1)</f>
        <v>5.1</v>
      </c>
      <c r="R2663" s="4">
        <f>IFERROR(__xludf.DUMMYFUNCTION("""COMPUTED_VALUE"""),2.9)</f>
        <v>2.9</v>
      </c>
      <c r="S2663" s="4">
        <f>IFERROR(__xludf.DUMMYFUNCTION("""COMPUTED_VALUE"""),19.9)</f>
        <v>19.9</v>
      </c>
      <c r="T2663" s="4">
        <f>IFERROR(__xludf.DUMMYFUNCTION("""COMPUTED_VALUE"""),0.087)</f>
        <v>0.087</v>
      </c>
      <c r="U2663" s="4">
        <f>IFERROR(__xludf.DUMMYFUNCTION("""COMPUTED_VALUE"""),1.2)</f>
        <v>1.2</v>
      </c>
      <c r="V2663" s="4">
        <f>IFERROR(__xludf.DUMMYFUNCTION("""COMPUTED_VALUE"""),8.8)</f>
        <v>8.8</v>
      </c>
    </row>
    <row r="2664">
      <c r="A2664" s="4">
        <f>IFERROR(__xludf.DUMMYFUNCTION("""COMPUTED_VALUE"""),13.0)</f>
        <v>13</v>
      </c>
      <c r="B2664" s="4">
        <f>IFERROR(__xludf.DUMMYFUNCTION("""COMPUTED_VALUE"""),13.0)</f>
        <v>13</v>
      </c>
      <c r="C2664" s="4" t="str">
        <f>IFERROR(__xludf.DUMMYFUNCTION("""COMPUTED_VALUE"""),"NJN")</f>
        <v>NJN</v>
      </c>
      <c r="D2664" s="4" t="str">
        <f>IFERROR(__xludf.DUMMYFUNCTION("""COMPUTED_VALUE"""),"Pearl Washington")</f>
        <v>Pearl Washington</v>
      </c>
      <c r="E2664" s="4" t="str">
        <f>IFERROR(__xludf.DUMMYFUNCTION("""COMPUTED_VALUE"""),"Syracuse")</f>
        <v>Syracuse</v>
      </c>
      <c r="F2664" s="4">
        <f>IFERROR(__xludf.DUMMYFUNCTION("""COMPUTED_VALUE"""),3.0)</f>
        <v>3</v>
      </c>
      <c r="G2664" s="4">
        <f>IFERROR(__xludf.DUMMYFUNCTION("""COMPUTED_VALUE"""),194.0)</f>
        <v>194</v>
      </c>
      <c r="H2664" s="4">
        <f>IFERROR(__xludf.DUMMYFUNCTION("""COMPUTED_VALUE"""),4044.0)</f>
        <v>4044</v>
      </c>
      <c r="I2664" s="4">
        <f>IFERROR(__xludf.DUMMYFUNCTION("""COMPUTED_VALUE"""),1660.0)</f>
        <v>1660</v>
      </c>
      <c r="J2664" s="4">
        <f>IFERROR(__xludf.DUMMYFUNCTION("""COMPUTED_VALUE"""),370.0)</f>
        <v>370</v>
      </c>
      <c r="K2664" s="4">
        <f>IFERROR(__xludf.DUMMYFUNCTION("""COMPUTED_VALUE"""),733.0)</f>
        <v>733</v>
      </c>
      <c r="L2664" s="4">
        <f>IFERROR(__xludf.DUMMYFUNCTION("""COMPUTED_VALUE"""),0.452)</f>
        <v>0.452</v>
      </c>
      <c r="M2664" s="4">
        <f>IFERROR(__xludf.DUMMYFUNCTION("""COMPUTED_VALUE"""),0.184)</f>
        <v>0.184</v>
      </c>
      <c r="N2664" s="4">
        <f>IFERROR(__xludf.DUMMYFUNCTION("""COMPUTED_VALUE"""),0.746)</f>
        <v>0.746</v>
      </c>
      <c r="O2664" s="4">
        <f>IFERROR(__xludf.DUMMYFUNCTION("""COMPUTED_VALUE"""),20.8)</f>
        <v>20.8</v>
      </c>
      <c r="P2664" s="4">
        <f>IFERROR(__xludf.DUMMYFUNCTION("""COMPUTED_VALUE"""),8.6)</f>
        <v>8.6</v>
      </c>
      <c r="Q2664" s="4">
        <f>IFERROR(__xludf.DUMMYFUNCTION("""COMPUTED_VALUE"""),1.9)</f>
        <v>1.9</v>
      </c>
      <c r="R2664" s="4">
        <f>IFERROR(__xludf.DUMMYFUNCTION("""COMPUTED_VALUE"""),3.8)</f>
        <v>3.8</v>
      </c>
      <c r="S2664" s="4">
        <f>IFERROR(__xludf.DUMMYFUNCTION("""COMPUTED_VALUE"""),1.9)</f>
        <v>1.9</v>
      </c>
      <c r="T2664" s="4">
        <f>IFERROR(__xludf.DUMMYFUNCTION("""COMPUTED_VALUE"""),0.023)</f>
        <v>0.023</v>
      </c>
      <c r="U2664" s="4">
        <f>IFERROR(__xludf.DUMMYFUNCTION("""COMPUTED_VALUE"""),-1.7)</f>
        <v>-1.7</v>
      </c>
      <c r="V2664" s="4">
        <f>IFERROR(__xludf.DUMMYFUNCTION("""COMPUTED_VALUE"""),0.3)</f>
        <v>0.3</v>
      </c>
    </row>
    <row r="2665">
      <c r="A2665" s="4">
        <f>IFERROR(__xludf.DUMMYFUNCTION("""COMPUTED_VALUE"""),14.0)</f>
        <v>14</v>
      </c>
      <c r="B2665" s="4">
        <f>IFERROR(__xludf.DUMMYFUNCTION("""COMPUTED_VALUE"""),14.0)</f>
        <v>14</v>
      </c>
      <c r="C2665" s="4" t="str">
        <f>IFERROR(__xludf.DUMMYFUNCTION("""COMPUTED_VALUE"""),"POR")</f>
        <v>POR</v>
      </c>
      <c r="D2665" s="4" t="str">
        <f>IFERROR(__xludf.DUMMYFUNCTION("""COMPUTED_VALUE"""),"Walter Berry")</f>
        <v>Walter Berry</v>
      </c>
      <c r="E2665" s="4" t="str">
        <f>IFERROR(__xludf.DUMMYFUNCTION("""COMPUTED_VALUE"""),"St. John's")</f>
        <v>St. John's</v>
      </c>
      <c r="F2665" s="4">
        <f>IFERROR(__xludf.DUMMYFUNCTION("""COMPUTED_VALUE"""),3.0)</f>
        <v>3</v>
      </c>
      <c r="G2665" s="4">
        <f>IFERROR(__xludf.DUMMYFUNCTION("""COMPUTED_VALUE"""),205.0)</f>
        <v>205</v>
      </c>
      <c r="H2665" s="4">
        <f>IFERROR(__xludf.DUMMYFUNCTION("""COMPUTED_VALUE"""),4863.0)</f>
        <v>4863</v>
      </c>
      <c r="I2665" s="4">
        <f>IFERROR(__xludf.DUMMYFUNCTION("""COMPUTED_VALUE"""),2882.0)</f>
        <v>2882</v>
      </c>
      <c r="J2665" s="4">
        <f>IFERROR(__xludf.DUMMYFUNCTION("""COMPUTED_VALUE"""),971.0)</f>
        <v>971</v>
      </c>
      <c r="K2665" s="4">
        <f>IFERROR(__xludf.DUMMYFUNCTION("""COMPUTED_VALUE"""),292.0)</f>
        <v>292</v>
      </c>
      <c r="L2665" s="4">
        <f>IFERROR(__xludf.DUMMYFUNCTION("""COMPUTED_VALUE"""),0.539)</f>
        <v>0.539</v>
      </c>
      <c r="M2665" s="4">
        <f>IFERROR(__xludf.DUMMYFUNCTION("""COMPUTED_VALUE"""),0.2)</f>
        <v>0.2</v>
      </c>
      <c r="N2665" s="4">
        <f>IFERROR(__xludf.DUMMYFUNCTION("""COMPUTED_VALUE"""),0.638)</f>
        <v>0.638</v>
      </c>
      <c r="O2665" s="4">
        <f>IFERROR(__xludf.DUMMYFUNCTION("""COMPUTED_VALUE"""),23.7)</f>
        <v>23.7</v>
      </c>
      <c r="P2665" s="4">
        <f>IFERROR(__xludf.DUMMYFUNCTION("""COMPUTED_VALUE"""),14.1)</f>
        <v>14.1</v>
      </c>
      <c r="Q2665" s="4">
        <f>IFERROR(__xludf.DUMMYFUNCTION("""COMPUTED_VALUE"""),4.7)</f>
        <v>4.7</v>
      </c>
      <c r="R2665" s="4">
        <f>IFERROR(__xludf.DUMMYFUNCTION("""COMPUTED_VALUE"""),1.4)</f>
        <v>1.4</v>
      </c>
      <c r="S2665" s="4">
        <f>IFERROR(__xludf.DUMMYFUNCTION("""COMPUTED_VALUE"""),8.2)</f>
        <v>8.2</v>
      </c>
      <c r="T2665" s="4">
        <f>IFERROR(__xludf.DUMMYFUNCTION("""COMPUTED_VALUE"""),0.081)</f>
        <v>0.081</v>
      </c>
      <c r="U2665" s="4">
        <f>IFERROR(__xludf.DUMMYFUNCTION("""COMPUTED_VALUE"""),-1.0)</f>
        <v>-1</v>
      </c>
      <c r="V2665" s="4">
        <f>IFERROR(__xludf.DUMMYFUNCTION("""COMPUTED_VALUE"""),1.2)</f>
        <v>1.2</v>
      </c>
    </row>
    <row r="2666">
      <c r="A2666" s="4">
        <f>IFERROR(__xludf.DUMMYFUNCTION("""COMPUTED_VALUE"""),15.0)</f>
        <v>15</v>
      </c>
      <c r="B2666" s="4">
        <f>IFERROR(__xludf.DUMMYFUNCTION("""COMPUTED_VALUE"""),15.0)</f>
        <v>15</v>
      </c>
      <c r="C2666" s="4" t="str">
        <f>IFERROR(__xludf.DUMMYFUNCTION("""COMPUTED_VALUE"""),"UTA")</f>
        <v>UTA</v>
      </c>
      <c r="D2666" s="4" t="str">
        <f>IFERROR(__xludf.DUMMYFUNCTION("""COMPUTED_VALUE"""),"Dell Curry")</f>
        <v>Dell Curry</v>
      </c>
      <c r="E2666" s="4" t="str">
        <f>IFERROR(__xludf.DUMMYFUNCTION("""COMPUTED_VALUE"""),"Virginia Tech")</f>
        <v>Virginia Tech</v>
      </c>
      <c r="F2666" s="4">
        <f>IFERROR(__xludf.DUMMYFUNCTION("""COMPUTED_VALUE"""),16.0)</f>
        <v>16</v>
      </c>
      <c r="G2666" s="4">
        <f>IFERROR(__xludf.DUMMYFUNCTION("""COMPUTED_VALUE"""),1083.0)</f>
        <v>1083</v>
      </c>
      <c r="H2666" s="4">
        <f>IFERROR(__xludf.DUMMYFUNCTION("""COMPUTED_VALUE"""),23549.0)</f>
        <v>23549</v>
      </c>
      <c r="I2666" s="4">
        <f>IFERROR(__xludf.DUMMYFUNCTION("""COMPUTED_VALUE"""),12670.0)</f>
        <v>12670</v>
      </c>
      <c r="J2666" s="4">
        <f>IFERROR(__xludf.DUMMYFUNCTION("""COMPUTED_VALUE"""),2617.0)</f>
        <v>2617</v>
      </c>
      <c r="K2666" s="4">
        <f>IFERROR(__xludf.DUMMYFUNCTION("""COMPUTED_VALUE"""),1909.0)</f>
        <v>1909</v>
      </c>
      <c r="L2666" s="4">
        <f>IFERROR(__xludf.DUMMYFUNCTION("""COMPUTED_VALUE"""),0.457)</f>
        <v>0.457</v>
      </c>
      <c r="M2666" s="4">
        <f>IFERROR(__xludf.DUMMYFUNCTION("""COMPUTED_VALUE"""),0.402)</f>
        <v>0.402</v>
      </c>
      <c r="N2666" s="4">
        <f>IFERROR(__xludf.DUMMYFUNCTION("""COMPUTED_VALUE"""),0.843)</f>
        <v>0.843</v>
      </c>
      <c r="O2666" s="4">
        <f>IFERROR(__xludf.DUMMYFUNCTION("""COMPUTED_VALUE"""),21.7)</f>
        <v>21.7</v>
      </c>
      <c r="P2666" s="4">
        <f>IFERROR(__xludf.DUMMYFUNCTION("""COMPUTED_VALUE"""),11.7)</f>
        <v>11.7</v>
      </c>
      <c r="Q2666" s="4">
        <f>IFERROR(__xludf.DUMMYFUNCTION("""COMPUTED_VALUE"""),2.4)</f>
        <v>2.4</v>
      </c>
      <c r="R2666" s="4">
        <f>IFERROR(__xludf.DUMMYFUNCTION("""COMPUTED_VALUE"""),1.8)</f>
        <v>1.8</v>
      </c>
      <c r="S2666" s="4">
        <f>IFERROR(__xludf.DUMMYFUNCTION("""COMPUTED_VALUE"""),41.5)</f>
        <v>41.5</v>
      </c>
      <c r="T2666" s="4">
        <f>IFERROR(__xludf.DUMMYFUNCTION("""COMPUTED_VALUE"""),0.085)</f>
        <v>0.085</v>
      </c>
      <c r="U2666" s="4">
        <f>IFERROR(__xludf.DUMMYFUNCTION("""COMPUTED_VALUE"""),0.9)</f>
        <v>0.9</v>
      </c>
      <c r="V2666" s="4">
        <f>IFERROR(__xludf.DUMMYFUNCTION("""COMPUTED_VALUE"""),17.1)</f>
        <v>17.1</v>
      </c>
    </row>
    <row r="2667">
      <c r="A2667" s="4">
        <f>IFERROR(__xludf.DUMMYFUNCTION("""COMPUTED_VALUE"""),16.0)</f>
        <v>16</v>
      </c>
      <c r="B2667" s="4">
        <f>IFERROR(__xludf.DUMMYFUNCTION("""COMPUTED_VALUE"""),16.0)</f>
        <v>16</v>
      </c>
      <c r="C2667" s="4" t="str">
        <f>IFERROR(__xludf.DUMMYFUNCTION("""COMPUTED_VALUE"""),"DEN")</f>
        <v>DEN</v>
      </c>
      <c r="D2667" s="4" t="str">
        <f>IFERROR(__xludf.DUMMYFUNCTION("""COMPUTED_VALUE"""),"Maurice Martin")</f>
        <v>Maurice Martin</v>
      </c>
      <c r="E2667" s="4" t="str">
        <f>IFERROR(__xludf.DUMMYFUNCTION("""COMPUTED_VALUE"""),"Saint Joseph's")</f>
        <v>Saint Joseph's</v>
      </c>
      <c r="F2667" s="4">
        <f>IFERROR(__xludf.DUMMYFUNCTION("""COMPUTED_VALUE"""),2.0)</f>
        <v>2</v>
      </c>
      <c r="G2667" s="4">
        <f>IFERROR(__xludf.DUMMYFUNCTION("""COMPUTED_VALUE"""),69.0)</f>
        <v>69</v>
      </c>
      <c r="H2667" s="4">
        <f>IFERROR(__xludf.DUMMYFUNCTION("""COMPUTED_VALUE"""),422.0)</f>
        <v>422</v>
      </c>
      <c r="I2667" s="4">
        <f>IFERROR(__xludf.DUMMYFUNCTION("""COMPUTED_VALUE"""),204.0)</f>
        <v>204</v>
      </c>
      <c r="J2667" s="4">
        <f>IFERROR(__xludf.DUMMYFUNCTION("""COMPUTED_VALUE"""),65.0)</f>
        <v>65</v>
      </c>
      <c r="K2667" s="4">
        <f>IFERROR(__xludf.DUMMYFUNCTION("""COMPUTED_VALUE"""),49.0)</f>
        <v>49</v>
      </c>
      <c r="L2667" s="4">
        <f>IFERROR(__xludf.DUMMYFUNCTION("""COMPUTED_VALUE"""),0.378)</f>
        <v>0.378</v>
      </c>
      <c r="M2667" s="4">
        <f>IFERROR(__xludf.DUMMYFUNCTION("""COMPUTED_VALUE"""),0.211)</f>
        <v>0.211</v>
      </c>
      <c r="N2667" s="4">
        <f>IFERROR(__xludf.DUMMYFUNCTION("""COMPUTED_VALUE"""),0.598)</f>
        <v>0.598</v>
      </c>
      <c r="O2667" s="4">
        <f>IFERROR(__xludf.DUMMYFUNCTION("""COMPUTED_VALUE"""),6.1)</f>
        <v>6.1</v>
      </c>
      <c r="P2667" s="4">
        <f>IFERROR(__xludf.DUMMYFUNCTION("""COMPUTED_VALUE"""),3.0)</f>
        <v>3</v>
      </c>
      <c r="Q2667" s="4">
        <f>IFERROR(__xludf.DUMMYFUNCTION("""COMPUTED_VALUE"""),0.9)</f>
        <v>0.9</v>
      </c>
      <c r="R2667" s="4">
        <f>IFERROR(__xludf.DUMMYFUNCTION("""COMPUTED_VALUE"""),0.7)</f>
        <v>0.7</v>
      </c>
      <c r="S2667" s="4">
        <f>IFERROR(__xludf.DUMMYFUNCTION("""COMPUTED_VALUE"""),-0.3)</f>
        <v>-0.3</v>
      </c>
      <c r="T2667" s="4">
        <f>IFERROR(__xludf.DUMMYFUNCTION("""COMPUTED_VALUE"""),-0.033)</f>
        <v>-0.033</v>
      </c>
      <c r="U2667" s="4">
        <f>IFERROR(__xludf.DUMMYFUNCTION("""COMPUTED_VALUE"""),-6.0)</f>
        <v>-6</v>
      </c>
      <c r="V2667" s="4">
        <f>IFERROR(__xludf.DUMMYFUNCTION("""COMPUTED_VALUE"""),-0.4)</f>
        <v>-0.4</v>
      </c>
    </row>
    <row r="2668">
      <c r="A2668" s="4">
        <f>IFERROR(__xludf.DUMMYFUNCTION("""COMPUTED_VALUE"""),17.0)</f>
        <v>17</v>
      </c>
      <c r="B2668" s="4">
        <f>IFERROR(__xludf.DUMMYFUNCTION("""COMPUTED_VALUE"""),17.0)</f>
        <v>17</v>
      </c>
      <c r="C2668" s="4" t="str">
        <f>IFERROR(__xludf.DUMMYFUNCTION("""COMPUTED_VALUE"""),"SAC")</f>
        <v>SAC</v>
      </c>
      <c r="D2668" s="4" t="str">
        <f>IFERROR(__xludf.DUMMYFUNCTION("""COMPUTED_VALUE"""),"Harold Pressley")</f>
        <v>Harold Pressley</v>
      </c>
      <c r="E2668" s="4" t="str">
        <f>IFERROR(__xludf.DUMMYFUNCTION("""COMPUTED_VALUE"""),"Villanova")</f>
        <v>Villanova</v>
      </c>
      <c r="F2668" s="4">
        <f>IFERROR(__xludf.DUMMYFUNCTION("""COMPUTED_VALUE"""),4.0)</f>
        <v>4</v>
      </c>
      <c r="G2668" s="4">
        <f>IFERROR(__xludf.DUMMYFUNCTION("""COMPUTED_VALUE"""),299.0)</f>
        <v>299</v>
      </c>
      <c r="H2668" s="4">
        <f>IFERROR(__xludf.DUMMYFUNCTION("""COMPUTED_VALUE"""),6802.0)</f>
        <v>6802</v>
      </c>
      <c r="I2668" s="4">
        <f>IFERROR(__xludf.DUMMYFUNCTION("""COMPUTED_VALUE"""),2702.0)</f>
        <v>2702</v>
      </c>
      <c r="J2668" s="4">
        <f>IFERROR(__xludf.DUMMYFUNCTION("""COMPUTED_VALUE"""),1339.0)</f>
        <v>1339</v>
      </c>
      <c r="K2668" s="4">
        <f>IFERROR(__xludf.DUMMYFUNCTION("""COMPUTED_VALUE"""),628.0)</f>
        <v>628</v>
      </c>
      <c r="L2668" s="4">
        <f>IFERROR(__xludf.DUMMYFUNCTION("""COMPUTED_VALUE"""),0.437)</f>
        <v>0.437</v>
      </c>
      <c r="M2668" s="4">
        <f>IFERROR(__xludf.DUMMYFUNCTION("""COMPUTED_VALUE"""),0.358)</f>
        <v>0.358</v>
      </c>
      <c r="N2668" s="4">
        <f>IFERROR(__xludf.DUMMYFUNCTION("""COMPUTED_VALUE"""),0.778)</f>
        <v>0.778</v>
      </c>
      <c r="O2668" s="4">
        <f>IFERROR(__xludf.DUMMYFUNCTION("""COMPUTED_VALUE"""),22.7)</f>
        <v>22.7</v>
      </c>
      <c r="P2668" s="4">
        <f>IFERROR(__xludf.DUMMYFUNCTION("""COMPUTED_VALUE"""),9.0)</f>
        <v>9</v>
      </c>
      <c r="Q2668" s="4">
        <f>IFERROR(__xludf.DUMMYFUNCTION("""COMPUTED_VALUE"""),4.5)</f>
        <v>4.5</v>
      </c>
      <c r="R2668" s="4">
        <f>IFERROR(__xludf.DUMMYFUNCTION("""COMPUTED_VALUE"""),2.1)</f>
        <v>2.1</v>
      </c>
      <c r="S2668" s="4">
        <f>IFERROR(__xludf.DUMMYFUNCTION("""COMPUTED_VALUE"""),10.0)</f>
        <v>10</v>
      </c>
      <c r="T2668" s="4">
        <f>IFERROR(__xludf.DUMMYFUNCTION("""COMPUTED_VALUE"""),0.07)</f>
        <v>0.07</v>
      </c>
      <c r="U2668" s="4">
        <f>IFERROR(__xludf.DUMMYFUNCTION("""COMPUTED_VALUE"""),0.3)</f>
        <v>0.3</v>
      </c>
      <c r="V2668" s="4">
        <f>IFERROR(__xludf.DUMMYFUNCTION("""COMPUTED_VALUE"""),4.0)</f>
        <v>4</v>
      </c>
    </row>
    <row r="2669">
      <c r="A2669" s="4">
        <f>IFERROR(__xludf.DUMMYFUNCTION("""COMPUTED_VALUE"""),18.0)</f>
        <v>18</v>
      </c>
      <c r="B2669" s="4">
        <f>IFERROR(__xludf.DUMMYFUNCTION("""COMPUTED_VALUE"""),18.0)</f>
        <v>18</v>
      </c>
      <c r="C2669" s="4" t="str">
        <f>IFERROR(__xludf.DUMMYFUNCTION("""COMPUTED_VALUE"""),"DEN")</f>
        <v>DEN</v>
      </c>
      <c r="D2669" s="4" t="str">
        <f>IFERROR(__xludf.DUMMYFUNCTION("""COMPUTED_VALUE"""),"Mark Alarie")</f>
        <v>Mark Alarie</v>
      </c>
      <c r="E2669" s="4" t="str">
        <f>IFERROR(__xludf.DUMMYFUNCTION("""COMPUTED_VALUE"""),"Duke")</f>
        <v>Duke</v>
      </c>
      <c r="F2669" s="4">
        <f>IFERROR(__xludf.DUMMYFUNCTION("""COMPUTED_VALUE"""),5.0)</f>
        <v>5</v>
      </c>
      <c r="G2669" s="4">
        <f>IFERROR(__xludf.DUMMYFUNCTION("""COMPUTED_VALUE"""),325.0)</f>
        <v>325</v>
      </c>
      <c r="H2669" s="4">
        <f>IFERROR(__xludf.DUMMYFUNCTION("""COMPUTED_VALUE"""),5500.0)</f>
        <v>5500</v>
      </c>
      <c r="I2669" s="4">
        <f>IFERROR(__xludf.DUMMYFUNCTION("""COMPUTED_VALUE"""),2432.0)</f>
        <v>2432</v>
      </c>
      <c r="J2669" s="4">
        <f>IFERROR(__xludf.DUMMYFUNCTION("""COMPUTED_VALUE"""),1120.0)</f>
        <v>1120</v>
      </c>
      <c r="K2669" s="4">
        <f>IFERROR(__xludf.DUMMYFUNCTION("""COMPUTED_VALUE"""),363.0)</f>
        <v>363</v>
      </c>
      <c r="L2669" s="4">
        <f>IFERROR(__xludf.DUMMYFUNCTION("""COMPUTED_VALUE"""),0.475)</f>
        <v>0.475</v>
      </c>
      <c r="M2669" s="4">
        <f>IFERROR(__xludf.DUMMYFUNCTION("""COMPUTED_VALUE"""),0.252)</f>
        <v>0.252</v>
      </c>
      <c r="N2669" s="4">
        <f>IFERROR(__xludf.DUMMYFUNCTION("""COMPUTED_VALUE"""),0.775)</f>
        <v>0.775</v>
      </c>
      <c r="O2669" s="4">
        <f>IFERROR(__xludf.DUMMYFUNCTION("""COMPUTED_VALUE"""),16.9)</f>
        <v>16.9</v>
      </c>
      <c r="P2669" s="4">
        <f>IFERROR(__xludf.DUMMYFUNCTION("""COMPUTED_VALUE"""),7.5)</f>
        <v>7.5</v>
      </c>
      <c r="Q2669" s="4">
        <f>IFERROR(__xludf.DUMMYFUNCTION("""COMPUTED_VALUE"""),3.4)</f>
        <v>3.4</v>
      </c>
      <c r="R2669" s="4">
        <f>IFERROR(__xludf.DUMMYFUNCTION("""COMPUTED_VALUE"""),1.1)</f>
        <v>1.1</v>
      </c>
      <c r="S2669" s="4">
        <f>IFERROR(__xludf.DUMMYFUNCTION("""COMPUTED_VALUE"""),8.4)</f>
        <v>8.4</v>
      </c>
      <c r="T2669" s="4">
        <f>IFERROR(__xludf.DUMMYFUNCTION("""COMPUTED_VALUE"""),0.073)</f>
        <v>0.073</v>
      </c>
      <c r="U2669" s="4">
        <f>IFERROR(__xludf.DUMMYFUNCTION("""COMPUTED_VALUE"""),-2.3)</f>
        <v>-2.3</v>
      </c>
      <c r="V2669" s="4">
        <f>IFERROR(__xludf.DUMMYFUNCTION("""COMPUTED_VALUE"""),-0.5)</f>
        <v>-0.5</v>
      </c>
    </row>
    <row r="2670">
      <c r="A2670" s="4">
        <f>IFERROR(__xludf.DUMMYFUNCTION("""COMPUTED_VALUE"""),19.0)</f>
        <v>19</v>
      </c>
      <c r="B2670" s="4">
        <f>IFERROR(__xludf.DUMMYFUNCTION("""COMPUTED_VALUE"""),19.0)</f>
        <v>19</v>
      </c>
      <c r="C2670" s="4" t="str">
        <f>IFERROR(__xludf.DUMMYFUNCTION("""COMPUTED_VALUE"""),"ATL")</f>
        <v>ATL</v>
      </c>
      <c r="D2670" s="4" t="str">
        <f>IFERROR(__xludf.DUMMYFUNCTION("""COMPUTED_VALUE"""),"Billy Thompson")</f>
        <v>Billy Thompson</v>
      </c>
      <c r="E2670" s="4" t="str">
        <f>IFERROR(__xludf.DUMMYFUNCTION("""COMPUTED_VALUE"""),"Louisville")</f>
        <v>Louisville</v>
      </c>
      <c r="F2670" s="4">
        <f>IFERROR(__xludf.DUMMYFUNCTION("""COMPUTED_VALUE"""),6.0)</f>
        <v>6</v>
      </c>
      <c r="G2670" s="4">
        <f>IFERROR(__xludf.DUMMYFUNCTION("""COMPUTED_VALUE"""),300.0)</f>
        <v>300</v>
      </c>
      <c r="H2670" s="4">
        <f>IFERROR(__xludf.DUMMYFUNCTION("""COMPUTED_VALUE"""),6697.0)</f>
        <v>6697</v>
      </c>
      <c r="I2670" s="4">
        <f>IFERROR(__xludf.DUMMYFUNCTION("""COMPUTED_VALUE"""),2566.0)</f>
        <v>2566</v>
      </c>
      <c r="J2670" s="4">
        <f>IFERROR(__xludf.DUMMYFUNCTION("""COMPUTED_VALUE"""),1615.0)</f>
        <v>1615</v>
      </c>
      <c r="K2670" s="4">
        <f>IFERROR(__xludf.DUMMYFUNCTION("""COMPUTED_VALUE"""),514.0)</f>
        <v>514</v>
      </c>
      <c r="L2670" s="4">
        <f>IFERROR(__xludf.DUMMYFUNCTION("""COMPUTED_VALUE"""),0.505)</f>
        <v>0.505</v>
      </c>
      <c r="M2670" s="4">
        <f>IFERROR(__xludf.DUMMYFUNCTION("""COMPUTED_VALUE"""),0.154)</f>
        <v>0.154</v>
      </c>
      <c r="N2670" s="4">
        <f>IFERROR(__xludf.DUMMYFUNCTION("""COMPUTED_VALUE"""),0.674)</f>
        <v>0.674</v>
      </c>
      <c r="O2670" s="4">
        <f>IFERROR(__xludf.DUMMYFUNCTION("""COMPUTED_VALUE"""),22.3)</f>
        <v>22.3</v>
      </c>
      <c r="P2670" s="4">
        <f>IFERROR(__xludf.DUMMYFUNCTION("""COMPUTED_VALUE"""),8.6)</f>
        <v>8.6</v>
      </c>
      <c r="Q2670" s="4">
        <f>IFERROR(__xludf.DUMMYFUNCTION("""COMPUTED_VALUE"""),5.4)</f>
        <v>5.4</v>
      </c>
      <c r="R2670" s="4">
        <f>IFERROR(__xludf.DUMMYFUNCTION("""COMPUTED_VALUE"""),1.7)</f>
        <v>1.7</v>
      </c>
      <c r="S2670" s="4">
        <f>IFERROR(__xludf.DUMMYFUNCTION("""COMPUTED_VALUE"""),9.6)</f>
        <v>9.6</v>
      </c>
      <c r="T2670" s="4">
        <f>IFERROR(__xludf.DUMMYFUNCTION("""COMPUTED_VALUE"""),0.069)</f>
        <v>0.069</v>
      </c>
      <c r="U2670" s="4">
        <f>IFERROR(__xludf.DUMMYFUNCTION("""COMPUTED_VALUE"""),-1.3)</f>
        <v>-1.3</v>
      </c>
      <c r="V2670" s="4">
        <f>IFERROR(__xludf.DUMMYFUNCTION("""COMPUTED_VALUE"""),1.2)</f>
        <v>1.2</v>
      </c>
    </row>
    <row r="2671">
      <c r="A2671" s="4">
        <f>IFERROR(__xludf.DUMMYFUNCTION("""COMPUTED_VALUE"""),20.0)</f>
        <v>20</v>
      </c>
      <c r="B2671" s="4">
        <f>IFERROR(__xludf.DUMMYFUNCTION("""COMPUTED_VALUE"""),20.0)</f>
        <v>20</v>
      </c>
      <c r="C2671" s="4" t="str">
        <f>IFERROR(__xludf.DUMMYFUNCTION("""COMPUTED_VALUE"""),"HOU")</f>
        <v>HOU</v>
      </c>
      <c r="D2671" s="4" t="str">
        <f>IFERROR(__xludf.DUMMYFUNCTION("""COMPUTED_VALUE"""),"Buck Johnson")</f>
        <v>Buck Johnson</v>
      </c>
      <c r="E2671" s="4" t="str">
        <f>IFERROR(__xludf.DUMMYFUNCTION("""COMPUTED_VALUE"""),"Alabama")</f>
        <v>Alabama</v>
      </c>
      <c r="F2671" s="4">
        <f>IFERROR(__xludf.DUMMYFUNCTION("""COMPUTED_VALUE"""),7.0)</f>
        <v>7</v>
      </c>
      <c r="G2671" s="4">
        <f>IFERROR(__xludf.DUMMYFUNCTION("""COMPUTED_VALUE"""),505.0)</f>
        <v>505</v>
      </c>
      <c r="H2671" s="4">
        <f>IFERROR(__xludf.DUMMYFUNCTION("""COMPUTED_VALUE"""),11849.0)</f>
        <v>11849</v>
      </c>
      <c r="I2671" s="4">
        <f>IFERROR(__xludf.DUMMYFUNCTION("""COMPUTED_VALUE"""),4617.0)</f>
        <v>4617</v>
      </c>
      <c r="J2671" s="4">
        <f>IFERROR(__xludf.DUMMYFUNCTION("""COMPUTED_VALUE"""),1760.0)</f>
        <v>1760</v>
      </c>
      <c r="K2671" s="4">
        <f>IFERROR(__xludf.DUMMYFUNCTION("""COMPUTED_VALUE"""),856.0)</f>
        <v>856</v>
      </c>
      <c r="L2671" s="4">
        <f>IFERROR(__xludf.DUMMYFUNCTION("""COMPUTED_VALUE"""),0.488)</f>
        <v>0.488</v>
      </c>
      <c r="M2671" s="4">
        <f>IFERROR(__xludf.DUMMYFUNCTION("""COMPUTED_VALUE"""),0.113)</f>
        <v>0.113</v>
      </c>
      <c r="N2671" s="4">
        <f>IFERROR(__xludf.DUMMYFUNCTION("""COMPUTED_VALUE"""),0.738)</f>
        <v>0.738</v>
      </c>
      <c r="O2671" s="4">
        <f>IFERROR(__xludf.DUMMYFUNCTION("""COMPUTED_VALUE"""),23.5)</f>
        <v>23.5</v>
      </c>
      <c r="P2671" s="4">
        <f>IFERROR(__xludf.DUMMYFUNCTION("""COMPUTED_VALUE"""),9.1)</f>
        <v>9.1</v>
      </c>
      <c r="Q2671" s="4">
        <f>IFERROR(__xludf.DUMMYFUNCTION("""COMPUTED_VALUE"""),3.5)</f>
        <v>3.5</v>
      </c>
      <c r="R2671" s="4">
        <f>IFERROR(__xludf.DUMMYFUNCTION("""COMPUTED_VALUE"""),1.7)</f>
        <v>1.7</v>
      </c>
      <c r="S2671" s="4">
        <f>IFERROR(__xludf.DUMMYFUNCTION("""COMPUTED_VALUE"""),20.8)</f>
        <v>20.8</v>
      </c>
      <c r="T2671" s="4">
        <f>IFERROR(__xludf.DUMMYFUNCTION("""COMPUTED_VALUE"""),0.084)</f>
        <v>0.084</v>
      </c>
      <c r="U2671" s="4">
        <f>IFERROR(__xludf.DUMMYFUNCTION("""COMPUTED_VALUE"""),-1.4)</f>
        <v>-1.4</v>
      </c>
      <c r="V2671" s="4">
        <f>IFERROR(__xludf.DUMMYFUNCTION("""COMPUTED_VALUE"""),1.7)</f>
        <v>1.7</v>
      </c>
    </row>
    <row r="2672">
      <c r="A2672" s="4">
        <f>IFERROR(__xludf.DUMMYFUNCTION("""COMPUTED_VALUE"""),21.0)</f>
        <v>21</v>
      </c>
      <c r="B2672" s="4">
        <f>IFERROR(__xludf.DUMMYFUNCTION("""COMPUTED_VALUE"""),21.0)</f>
        <v>21</v>
      </c>
      <c r="C2672" s="4" t="str">
        <f>IFERROR(__xludf.DUMMYFUNCTION("""COMPUTED_VALUE"""),"WSB")</f>
        <v>WSB</v>
      </c>
      <c r="D2672" s="4" t="str">
        <f>IFERROR(__xludf.DUMMYFUNCTION("""COMPUTED_VALUE"""),"Anthony Jones")</f>
        <v>Anthony Jones</v>
      </c>
      <c r="E2672" s="4" t="str">
        <f>IFERROR(__xludf.DUMMYFUNCTION("""COMPUTED_VALUE"""),"UNLV")</f>
        <v>UNLV</v>
      </c>
      <c r="F2672" s="4">
        <f>IFERROR(__xludf.DUMMYFUNCTION("""COMPUTED_VALUE"""),3.0)</f>
        <v>3</v>
      </c>
      <c r="G2672" s="4">
        <f>IFERROR(__xludf.DUMMYFUNCTION("""COMPUTED_VALUE"""),164.0)</f>
        <v>164</v>
      </c>
      <c r="H2672" s="4">
        <f>IFERROR(__xludf.DUMMYFUNCTION("""COMPUTED_VALUE"""),1704.0)</f>
        <v>1704</v>
      </c>
      <c r="I2672" s="4">
        <f>IFERROR(__xludf.DUMMYFUNCTION("""COMPUTED_VALUE"""),594.0)</f>
        <v>594</v>
      </c>
      <c r="J2672" s="4">
        <f>IFERROR(__xludf.DUMMYFUNCTION("""COMPUTED_VALUE"""),214.0)</f>
        <v>214</v>
      </c>
      <c r="K2672" s="4">
        <f>IFERROR(__xludf.DUMMYFUNCTION("""COMPUTED_VALUE"""),119.0)</f>
        <v>119</v>
      </c>
      <c r="L2672" s="4">
        <f>IFERROR(__xludf.DUMMYFUNCTION("""COMPUTED_VALUE"""),0.393)</f>
        <v>0.393</v>
      </c>
      <c r="M2672" s="4">
        <f>IFERROR(__xludf.DUMMYFUNCTION("""COMPUTED_VALUE"""),0.306)</f>
        <v>0.306</v>
      </c>
      <c r="N2672" s="4">
        <f>IFERROR(__xludf.DUMMYFUNCTION("""COMPUTED_VALUE"""),0.74)</f>
        <v>0.74</v>
      </c>
      <c r="O2672" s="4">
        <f>IFERROR(__xludf.DUMMYFUNCTION("""COMPUTED_VALUE"""),10.4)</f>
        <v>10.4</v>
      </c>
      <c r="P2672" s="4">
        <f>IFERROR(__xludf.DUMMYFUNCTION("""COMPUTED_VALUE"""),3.6)</f>
        <v>3.6</v>
      </c>
      <c r="Q2672" s="4">
        <f>IFERROR(__xludf.DUMMYFUNCTION("""COMPUTED_VALUE"""),1.3)</f>
        <v>1.3</v>
      </c>
      <c r="R2672" s="4">
        <f>IFERROR(__xludf.DUMMYFUNCTION("""COMPUTED_VALUE"""),0.7)</f>
        <v>0.7</v>
      </c>
      <c r="S2672" s="4">
        <f>IFERROR(__xludf.DUMMYFUNCTION("""COMPUTED_VALUE"""),0.8)</f>
        <v>0.8</v>
      </c>
      <c r="T2672" s="4">
        <f>IFERROR(__xludf.DUMMYFUNCTION("""COMPUTED_VALUE"""),0.022)</f>
        <v>0.022</v>
      </c>
      <c r="U2672" s="4">
        <f>IFERROR(__xludf.DUMMYFUNCTION("""COMPUTED_VALUE"""),-2.8)</f>
        <v>-2.8</v>
      </c>
      <c r="V2672" s="4">
        <f>IFERROR(__xludf.DUMMYFUNCTION("""COMPUTED_VALUE"""),-0.3)</f>
        <v>-0.3</v>
      </c>
    </row>
    <row r="2673">
      <c r="A2673" s="4">
        <f>IFERROR(__xludf.DUMMYFUNCTION("""COMPUTED_VALUE"""),22.0)</f>
        <v>22</v>
      </c>
      <c r="B2673" s="4">
        <f>IFERROR(__xludf.DUMMYFUNCTION("""COMPUTED_VALUE"""),22.0)</f>
        <v>22</v>
      </c>
      <c r="C2673" s="4" t="str">
        <f>IFERROR(__xludf.DUMMYFUNCTION("""COMPUTED_VALUE"""),"MIL")</f>
        <v>MIL</v>
      </c>
      <c r="D2673" s="4" t="str">
        <f>IFERROR(__xludf.DUMMYFUNCTION("""COMPUTED_VALUE"""),"Scott Skiles")</f>
        <v>Scott Skiles</v>
      </c>
      <c r="E2673" s="4" t="str">
        <f>IFERROR(__xludf.DUMMYFUNCTION("""COMPUTED_VALUE"""),"Michigan State")</f>
        <v>Michigan State</v>
      </c>
      <c r="F2673" s="4">
        <f>IFERROR(__xludf.DUMMYFUNCTION("""COMPUTED_VALUE"""),10.0)</f>
        <v>10</v>
      </c>
      <c r="G2673" s="4">
        <f>IFERROR(__xludf.DUMMYFUNCTION("""COMPUTED_VALUE"""),600.0)</f>
        <v>600</v>
      </c>
      <c r="H2673" s="4">
        <f>IFERROR(__xludf.DUMMYFUNCTION("""COMPUTED_VALUE"""),16789.0)</f>
        <v>16789</v>
      </c>
      <c r="I2673" s="4">
        <f>IFERROR(__xludf.DUMMYFUNCTION("""COMPUTED_VALUE"""),6652.0)</f>
        <v>6652</v>
      </c>
      <c r="J2673" s="4">
        <f>IFERROR(__xludf.DUMMYFUNCTION("""COMPUTED_VALUE"""),1526.0)</f>
        <v>1526</v>
      </c>
      <c r="K2673" s="4">
        <f>IFERROR(__xludf.DUMMYFUNCTION("""COMPUTED_VALUE"""),3881.0)</f>
        <v>3881</v>
      </c>
      <c r="L2673" s="4">
        <f>IFERROR(__xludf.DUMMYFUNCTION("""COMPUTED_VALUE"""),0.435)</f>
        <v>0.435</v>
      </c>
      <c r="M2673" s="4">
        <f>IFERROR(__xludf.DUMMYFUNCTION("""COMPUTED_VALUE"""),0.379)</f>
        <v>0.379</v>
      </c>
      <c r="N2673" s="4">
        <f>IFERROR(__xludf.DUMMYFUNCTION("""COMPUTED_VALUE"""),0.889)</f>
        <v>0.889</v>
      </c>
      <c r="O2673" s="4">
        <f>IFERROR(__xludf.DUMMYFUNCTION("""COMPUTED_VALUE"""),28.0)</f>
        <v>28</v>
      </c>
      <c r="P2673" s="4">
        <f>IFERROR(__xludf.DUMMYFUNCTION("""COMPUTED_VALUE"""),11.1)</f>
        <v>11.1</v>
      </c>
      <c r="Q2673" s="4">
        <f>IFERROR(__xludf.DUMMYFUNCTION("""COMPUTED_VALUE"""),2.5)</f>
        <v>2.5</v>
      </c>
      <c r="R2673" s="4">
        <f>IFERROR(__xludf.DUMMYFUNCTION("""COMPUTED_VALUE"""),6.5)</f>
        <v>6.5</v>
      </c>
      <c r="S2673" s="4">
        <f>IFERROR(__xludf.DUMMYFUNCTION("""COMPUTED_VALUE"""),30.4)</f>
        <v>30.4</v>
      </c>
      <c r="T2673" s="4">
        <f>IFERROR(__xludf.DUMMYFUNCTION("""COMPUTED_VALUE"""),0.087)</f>
        <v>0.087</v>
      </c>
      <c r="U2673" s="4">
        <f>IFERROR(__xludf.DUMMYFUNCTION("""COMPUTED_VALUE"""),-0.4)</f>
        <v>-0.4</v>
      </c>
      <c r="V2673" s="4">
        <f>IFERROR(__xludf.DUMMYFUNCTION("""COMPUTED_VALUE"""),6.7)</f>
        <v>6.7</v>
      </c>
    </row>
    <row r="2674">
      <c r="A2674" s="4">
        <f>IFERROR(__xludf.DUMMYFUNCTION("""COMPUTED_VALUE"""),23.0)</f>
        <v>23</v>
      </c>
      <c r="B2674" s="4">
        <f>IFERROR(__xludf.DUMMYFUNCTION("""COMPUTED_VALUE"""),23.0)</f>
        <v>23</v>
      </c>
      <c r="C2674" s="4" t="str">
        <f>IFERROR(__xludf.DUMMYFUNCTION("""COMPUTED_VALUE"""),"LAL")</f>
        <v>LAL</v>
      </c>
      <c r="D2674" s="4" t="str">
        <f>IFERROR(__xludf.DUMMYFUNCTION("""COMPUTED_VALUE"""),"Ken Barlow")</f>
        <v>Ken Barlow</v>
      </c>
      <c r="E2674" s="4" t="str">
        <f>IFERROR(__xludf.DUMMYFUNCTION("""COMPUTED_VALUE"""),"Notre Dame")</f>
        <v>Notre Dame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</row>
    <row r="2675">
      <c r="A2675" s="4">
        <f>IFERROR(__xludf.DUMMYFUNCTION("""COMPUTED_VALUE"""),24.0)</f>
        <v>24</v>
      </c>
      <c r="B2675" s="4">
        <f>IFERROR(__xludf.DUMMYFUNCTION("""COMPUTED_VALUE"""),24.0)</f>
        <v>24</v>
      </c>
      <c r="C2675" s="4" t="str">
        <f>IFERROR(__xludf.DUMMYFUNCTION("""COMPUTED_VALUE"""),"POR")</f>
        <v>POR</v>
      </c>
      <c r="D2675" s="4" t="str">
        <f>IFERROR(__xludf.DUMMYFUNCTION("""COMPUTED_VALUE"""),"Arvydas Sabonis")</f>
        <v>Arvydas Sabonis</v>
      </c>
      <c r="E2675" s="4"/>
      <c r="F2675" s="4">
        <f>IFERROR(__xludf.DUMMYFUNCTION("""COMPUTED_VALUE"""),7.0)</f>
        <v>7</v>
      </c>
      <c r="G2675" s="4">
        <f>IFERROR(__xludf.DUMMYFUNCTION("""COMPUTED_VALUE"""),470.0)</f>
        <v>470</v>
      </c>
      <c r="H2675" s="4">
        <f>IFERROR(__xludf.DUMMYFUNCTION("""COMPUTED_VALUE"""),11375.0)</f>
        <v>11375</v>
      </c>
      <c r="I2675" s="4">
        <f>IFERROR(__xludf.DUMMYFUNCTION("""COMPUTED_VALUE"""),5629.0)</f>
        <v>5629</v>
      </c>
      <c r="J2675" s="4">
        <f>IFERROR(__xludf.DUMMYFUNCTION("""COMPUTED_VALUE"""),3436.0)</f>
        <v>3436</v>
      </c>
      <c r="K2675" s="4">
        <f>IFERROR(__xludf.DUMMYFUNCTION("""COMPUTED_VALUE"""),964.0)</f>
        <v>964</v>
      </c>
      <c r="L2675" s="4">
        <f>IFERROR(__xludf.DUMMYFUNCTION("""COMPUTED_VALUE"""),0.5)</f>
        <v>0.5</v>
      </c>
      <c r="M2675" s="4">
        <f>IFERROR(__xludf.DUMMYFUNCTION("""COMPUTED_VALUE"""),0.328)</f>
        <v>0.328</v>
      </c>
      <c r="N2675" s="4">
        <f>IFERROR(__xludf.DUMMYFUNCTION("""COMPUTED_VALUE"""),0.786)</f>
        <v>0.786</v>
      </c>
      <c r="O2675" s="4">
        <f>IFERROR(__xludf.DUMMYFUNCTION("""COMPUTED_VALUE"""),24.2)</f>
        <v>24.2</v>
      </c>
      <c r="P2675" s="4">
        <f>IFERROR(__xludf.DUMMYFUNCTION("""COMPUTED_VALUE"""),12.0)</f>
        <v>12</v>
      </c>
      <c r="Q2675" s="4">
        <f>IFERROR(__xludf.DUMMYFUNCTION("""COMPUTED_VALUE"""),7.3)</f>
        <v>7.3</v>
      </c>
      <c r="R2675" s="4">
        <f>IFERROR(__xludf.DUMMYFUNCTION("""COMPUTED_VALUE"""),2.1)</f>
        <v>2.1</v>
      </c>
      <c r="S2675" s="4">
        <f>IFERROR(__xludf.DUMMYFUNCTION("""COMPUTED_VALUE"""),47.3)</f>
        <v>47.3</v>
      </c>
      <c r="T2675" s="4">
        <f>IFERROR(__xludf.DUMMYFUNCTION("""COMPUTED_VALUE"""),0.2)</f>
        <v>0.2</v>
      </c>
      <c r="U2675" s="4">
        <f>IFERROR(__xludf.DUMMYFUNCTION("""COMPUTED_VALUE"""),4.4)</f>
        <v>4.4</v>
      </c>
      <c r="V2675" s="4">
        <f>IFERROR(__xludf.DUMMYFUNCTION("""COMPUTED_VALUE"""),18.4)</f>
        <v>18.4</v>
      </c>
    </row>
    <row r="2676">
      <c r="A2676" s="4"/>
      <c r="B2676" s="4"/>
      <c r="C2676" s="4"/>
      <c r="D2676" s="4" t="str">
        <f>IFERROR(__xludf.DUMMYFUNCTION("""COMPUTED_VALUE"""),"Round 2")</f>
        <v>Round 2</v>
      </c>
      <c r="E2676" s="4"/>
      <c r="F2676" s="4"/>
      <c r="G2676" s="4" t="str">
        <f>IFERROR(__xludf.DUMMYFUNCTION("""COMPUTED_VALUE"""),"Totals")</f>
        <v>Totals</v>
      </c>
      <c r="H2676" s="4"/>
      <c r="I2676" s="4"/>
      <c r="J2676" s="4"/>
      <c r="K2676" s="4"/>
      <c r="L2676" s="4" t="str">
        <f>IFERROR(__xludf.DUMMYFUNCTION("""COMPUTED_VALUE"""),"Shooting")</f>
        <v>Shooting</v>
      </c>
      <c r="M2676" s="4"/>
      <c r="N2676" s="4"/>
      <c r="O2676" s="4" t="str">
        <f>IFERROR(__xludf.DUMMYFUNCTION("""COMPUTED_VALUE"""),"Per Game")</f>
        <v>Per Game</v>
      </c>
      <c r="P2676" s="4"/>
      <c r="Q2676" s="4"/>
      <c r="R2676" s="4"/>
      <c r="S2676" s="4" t="str">
        <f>IFERROR(__xludf.DUMMYFUNCTION("""COMPUTED_VALUE"""),"Advanced")</f>
        <v>Advanced</v>
      </c>
      <c r="T2676" s="4"/>
      <c r="U2676" s="4"/>
      <c r="V2676" s="4"/>
    </row>
    <row r="2677">
      <c r="A2677" s="4" t="str">
        <f>IFERROR(__xludf.DUMMYFUNCTION("""COMPUTED_VALUE"""),"Rk")</f>
        <v>Rk</v>
      </c>
      <c r="B2677" s="4" t="str">
        <f>IFERROR(__xludf.DUMMYFUNCTION("""COMPUTED_VALUE"""),"Pk")</f>
        <v>Pk</v>
      </c>
      <c r="C2677" s="4" t="str">
        <f>IFERROR(__xludf.DUMMYFUNCTION("""COMPUTED_VALUE"""),"Tm")</f>
        <v>Tm</v>
      </c>
      <c r="D2677" s="4" t="str">
        <f>IFERROR(__xludf.DUMMYFUNCTION("""COMPUTED_VALUE"""),"Player")</f>
        <v>Player</v>
      </c>
      <c r="E2677" s="4" t="str">
        <f>IFERROR(__xludf.DUMMYFUNCTION("""COMPUTED_VALUE"""),"College")</f>
        <v>College</v>
      </c>
      <c r="F2677" s="4" t="str">
        <f>IFERROR(__xludf.DUMMYFUNCTION("""COMPUTED_VALUE"""),"Yrs")</f>
        <v>Yrs</v>
      </c>
      <c r="G2677" s="4" t="str">
        <f>IFERROR(__xludf.DUMMYFUNCTION("""COMPUTED_VALUE"""),"G")</f>
        <v>G</v>
      </c>
      <c r="H2677" s="4" t="str">
        <f>IFERROR(__xludf.DUMMYFUNCTION("""COMPUTED_VALUE"""),"MP")</f>
        <v>MP</v>
      </c>
      <c r="I2677" s="4" t="str">
        <f>IFERROR(__xludf.DUMMYFUNCTION("""COMPUTED_VALUE"""),"PTS")</f>
        <v>PTS</v>
      </c>
      <c r="J2677" s="4" t="str">
        <f>IFERROR(__xludf.DUMMYFUNCTION("""COMPUTED_VALUE"""),"TRB")</f>
        <v>TRB</v>
      </c>
      <c r="K2677" s="4" t="str">
        <f>IFERROR(__xludf.DUMMYFUNCTION("""COMPUTED_VALUE"""),"AST")</f>
        <v>AST</v>
      </c>
      <c r="L2677" s="4" t="str">
        <f>IFERROR(__xludf.DUMMYFUNCTION("""COMPUTED_VALUE"""),"FG%")</f>
        <v>FG%</v>
      </c>
      <c r="M2677" s="4" t="str">
        <f>IFERROR(__xludf.DUMMYFUNCTION("""COMPUTED_VALUE"""),"3P%")</f>
        <v>3P%</v>
      </c>
      <c r="N2677" s="4" t="str">
        <f>IFERROR(__xludf.DUMMYFUNCTION("""COMPUTED_VALUE"""),"FT%")</f>
        <v>FT%</v>
      </c>
      <c r="O2677" s="4" t="str">
        <f>IFERROR(__xludf.DUMMYFUNCTION("""COMPUTED_VALUE"""),"MP")</f>
        <v>MP</v>
      </c>
      <c r="P2677" s="4" t="str">
        <f>IFERROR(__xludf.DUMMYFUNCTION("""COMPUTED_VALUE"""),"PTS")</f>
        <v>PTS</v>
      </c>
      <c r="Q2677" s="4" t="str">
        <f>IFERROR(__xludf.DUMMYFUNCTION("""COMPUTED_VALUE"""),"TRB")</f>
        <v>TRB</v>
      </c>
      <c r="R2677" s="4" t="str">
        <f>IFERROR(__xludf.DUMMYFUNCTION("""COMPUTED_VALUE"""),"AST")</f>
        <v>AST</v>
      </c>
      <c r="S2677" s="4" t="str">
        <f>IFERROR(__xludf.DUMMYFUNCTION("""COMPUTED_VALUE"""),"WS")</f>
        <v>WS</v>
      </c>
      <c r="T2677" s="4" t="str">
        <f>IFERROR(__xludf.DUMMYFUNCTION("""COMPUTED_VALUE"""),"WS/48")</f>
        <v>WS/48</v>
      </c>
      <c r="U2677" s="4" t="str">
        <f>IFERROR(__xludf.DUMMYFUNCTION("""COMPUTED_VALUE"""),"BPM")</f>
        <v>BPM</v>
      </c>
      <c r="V2677" s="4" t="str">
        <f>IFERROR(__xludf.DUMMYFUNCTION("""COMPUTED_VALUE"""),"VORP")</f>
        <v>VORP</v>
      </c>
    </row>
    <row r="2678">
      <c r="A2678" s="4">
        <f>IFERROR(__xludf.DUMMYFUNCTION("""COMPUTED_VALUE"""),25.0)</f>
        <v>25</v>
      </c>
      <c r="B2678" s="4">
        <f>IFERROR(__xludf.DUMMYFUNCTION("""COMPUTED_VALUE"""),25.0)</f>
        <v>25</v>
      </c>
      <c r="C2678" s="4" t="str">
        <f>IFERROR(__xludf.DUMMYFUNCTION("""COMPUTED_VALUE"""),"DAL")</f>
        <v>DAL</v>
      </c>
      <c r="D2678" s="4" t="str">
        <f>IFERROR(__xludf.DUMMYFUNCTION("""COMPUTED_VALUE"""),"Mark Price")</f>
        <v>Mark Price</v>
      </c>
      <c r="E2678" s="4" t="str">
        <f>IFERROR(__xludf.DUMMYFUNCTION("""COMPUTED_VALUE"""),"Georgia Tech")</f>
        <v>Georgia Tech</v>
      </c>
      <c r="F2678" s="4">
        <f>IFERROR(__xludf.DUMMYFUNCTION("""COMPUTED_VALUE"""),12.0)</f>
        <v>12</v>
      </c>
      <c r="G2678" s="4">
        <f>IFERROR(__xludf.DUMMYFUNCTION("""COMPUTED_VALUE"""),722.0)</f>
        <v>722</v>
      </c>
      <c r="H2678" s="4">
        <f>IFERROR(__xludf.DUMMYFUNCTION("""COMPUTED_VALUE"""),21560.0)</f>
        <v>21560</v>
      </c>
      <c r="I2678" s="4">
        <f>IFERROR(__xludf.DUMMYFUNCTION("""COMPUTED_VALUE"""),10989.0)</f>
        <v>10989</v>
      </c>
      <c r="J2678" s="4">
        <f>IFERROR(__xludf.DUMMYFUNCTION("""COMPUTED_VALUE"""),1848.0)</f>
        <v>1848</v>
      </c>
      <c r="K2678" s="4">
        <f>IFERROR(__xludf.DUMMYFUNCTION("""COMPUTED_VALUE"""),4863.0)</f>
        <v>4863</v>
      </c>
      <c r="L2678" s="4">
        <f>IFERROR(__xludf.DUMMYFUNCTION("""COMPUTED_VALUE"""),0.472)</f>
        <v>0.472</v>
      </c>
      <c r="M2678" s="4">
        <f>IFERROR(__xludf.DUMMYFUNCTION("""COMPUTED_VALUE"""),0.402)</f>
        <v>0.402</v>
      </c>
      <c r="N2678" s="4">
        <f>IFERROR(__xludf.DUMMYFUNCTION("""COMPUTED_VALUE"""),0.904)</f>
        <v>0.904</v>
      </c>
      <c r="O2678" s="4">
        <f>IFERROR(__xludf.DUMMYFUNCTION("""COMPUTED_VALUE"""),29.9)</f>
        <v>29.9</v>
      </c>
      <c r="P2678" s="4">
        <f>IFERROR(__xludf.DUMMYFUNCTION("""COMPUTED_VALUE"""),15.2)</f>
        <v>15.2</v>
      </c>
      <c r="Q2678" s="4">
        <f>IFERROR(__xludf.DUMMYFUNCTION("""COMPUTED_VALUE"""),2.6)</f>
        <v>2.6</v>
      </c>
      <c r="R2678" s="4">
        <f>IFERROR(__xludf.DUMMYFUNCTION("""COMPUTED_VALUE"""),6.7)</f>
        <v>6.7</v>
      </c>
      <c r="S2678" s="4">
        <f>IFERROR(__xludf.DUMMYFUNCTION("""COMPUTED_VALUE"""),71.1)</f>
        <v>71.1</v>
      </c>
      <c r="T2678" s="4">
        <f>IFERROR(__xludf.DUMMYFUNCTION("""COMPUTED_VALUE"""),0.158)</f>
        <v>0.158</v>
      </c>
      <c r="U2678" s="4">
        <f>IFERROR(__xludf.DUMMYFUNCTION("""COMPUTED_VALUE"""),3.7)</f>
        <v>3.7</v>
      </c>
      <c r="V2678" s="4">
        <f>IFERROR(__xludf.DUMMYFUNCTION("""COMPUTED_VALUE"""),31.1)</f>
        <v>31.1</v>
      </c>
    </row>
    <row r="2679">
      <c r="A2679" s="4">
        <f>IFERROR(__xludf.DUMMYFUNCTION("""COMPUTED_VALUE"""),26.0)</f>
        <v>26</v>
      </c>
      <c r="B2679" s="4">
        <f>IFERROR(__xludf.DUMMYFUNCTION("""COMPUTED_VALUE"""),26.0)</f>
        <v>26</v>
      </c>
      <c r="C2679" s="4" t="str">
        <f>IFERROR(__xludf.DUMMYFUNCTION("""COMPUTED_VALUE"""),"IND")</f>
        <v>IND</v>
      </c>
      <c r="D2679" s="4" t="str">
        <f>IFERROR(__xludf.DUMMYFUNCTION("""COMPUTED_VALUE"""),"Greg Dreiling")</f>
        <v>Greg Dreiling</v>
      </c>
      <c r="E2679" s="4" t="str">
        <f>IFERROR(__xludf.DUMMYFUNCTION("""COMPUTED_VALUE"""),"Kansas")</f>
        <v>Kansas</v>
      </c>
      <c r="F2679" s="4">
        <f>IFERROR(__xludf.DUMMYFUNCTION("""COMPUTED_VALUE"""),10.0)</f>
        <v>10</v>
      </c>
      <c r="G2679" s="4">
        <f>IFERROR(__xludf.DUMMYFUNCTION("""COMPUTED_VALUE"""),474.0)</f>
        <v>474</v>
      </c>
      <c r="H2679" s="4">
        <f>IFERROR(__xludf.DUMMYFUNCTION("""COMPUTED_VALUE"""),4241.0)</f>
        <v>4241</v>
      </c>
      <c r="I2679" s="4">
        <f>IFERROR(__xludf.DUMMYFUNCTION("""COMPUTED_VALUE"""),1014.0)</f>
        <v>1014</v>
      </c>
      <c r="J2679" s="4">
        <f>IFERROR(__xludf.DUMMYFUNCTION("""COMPUTED_VALUE"""),1018.0)</f>
        <v>1018</v>
      </c>
      <c r="K2679" s="4">
        <f>IFERROR(__xludf.DUMMYFUNCTION("""COMPUTED_VALUE"""),186.0)</f>
        <v>186</v>
      </c>
      <c r="L2679" s="4">
        <f>IFERROR(__xludf.DUMMYFUNCTION("""COMPUTED_VALUE"""),0.467)</f>
        <v>0.467</v>
      </c>
      <c r="M2679" s="4">
        <f>IFERROR(__xludf.DUMMYFUNCTION("""COMPUTED_VALUE"""),0.333)</f>
        <v>0.333</v>
      </c>
      <c r="N2679" s="4">
        <f>IFERROR(__xludf.DUMMYFUNCTION("""COMPUTED_VALUE"""),0.649)</f>
        <v>0.649</v>
      </c>
      <c r="O2679" s="4">
        <f>IFERROR(__xludf.DUMMYFUNCTION("""COMPUTED_VALUE"""),8.9)</f>
        <v>8.9</v>
      </c>
      <c r="P2679" s="4">
        <f>IFERROR(__xludf.DUMMYFUNCTION("""COMPUTED_VALUE"""),2.1)</f>
        <v>2.1</v>
      </c>
      <c r="Q2679" s="4">
        <f>IFERROR(__xludf.DUMMYFUNCTION("""COMPUTED_VALUE"""),2.1)</f>
        <v>2.1</v>
      </c>
      <c r="R2679" s="4">
        <f>IFERROR(__xludf.DUMMYFUNCTION("""COMPUTED_VALUE"""),0.4)</f>
        <v>0.4</v>
      </c>
      <c r="S2679" s="4">
        <f>IFERROR(__xludf.DUMMYFUNCTION("""COMPUTED_VALUE"""),4.0)</f>
        <v>4</v>
      </c>
      <c r="T2679" s="4">
        <f>IFERROR(__xludf.DUMMYFUNCTION("""COMPUTED_VALUE"""),0.045)</f>
        <v>0.045</v>
      </c>
      <c r="U2679" s="4">
        <f>IFERROR(__xludf.DUMMYFUNCTION("""COMPUTED_VALUE"""),-5.3)</f>
        <v>-5.3</v>
      </c>
      <c r="V2679" s="4">
        <f>IFERROR(__xludf.DUMMYFUNCTION("""COMPUTED_VALUE"""),-3.5)</f>
        <v>-3.5</v>
      </c>
    </row>
    <row r="2680">
      <c r="A2680" s="4">
        <f>IFERROR(__xludf.DUMMYFUNCTION("""COMPUTED_VALUE"""),27.0)</f>
        <v>27</v>
      </c>
      <c r="B2680" s="4">
        <f>IFERROR(__xludf.DUMMYFUNCTION("""COMPUTED_VALUE"""),27.0)</f>
        <v>27</v>
      </c>
      <c r="C2680" s="4" t="str">
        <f>IFERROR(__xludf.DUMMYFUNCTION("""COMPUTED_VALUE"""),"DET")</f>
        <v>DET</v>
      </c>
      <c r="D2680" s="4" t="str">
        <f>IFERROR(__xludf.DUMMYFUNCTION("""COMPUTED_VALUE"""),"Dennis Rodman")</f>
        <v>Dennis Rodman</v>
      </c>
      <c r="E2680" s="4" t="str">
        <f>IFERROR(__xludf.DUMMYFUNCTION("""COMPUTED_VALUE"""),"Southeastern Oklahoma State University")</f>
        <v>Southeastern Oklahoma State University</v>
      </c>
      <c r="F2680" s="4">
        <f>IFERROR(__xludf.DUMMYFUNCTION("""COMPUTED_VALUE"""),14.0)</f>
        <v>14</v>
      </c>
      <c r="G2680" s="4">
        <f>IFERROR(__xludf.DUMMYFUNCTION("""COMPUTED_VALUE"""),911.0)</f>
        <v>911</v>
      </c>
      <c r="H2680" s="4">
        <f>IFERROR(__xludf.DUMMYFUNCTION("""COMPUTED_VALUE"""),28839.0)</f>
        <v>28839</v>
      </c>
      <c r="I2680" s="4">
        <f>IFERROR(__xludf.DUMMYFUNCTION("""COMPUTED_VALUE"""),6683.0)</f>
        <v>6683</v>
      </c>
      <c r="J2680" s="4">
        <f>IFERROR(__xludf.DUMMYFUNCTION("""COMPUTED_VALUE"""),11954.0)</f>
        <v>11954</v>
      </c>
      <c r="K2680" s="4">
        <f>IFERROR(__xludf.DUMMYFUNCTION("""COMPUTED_VALUE"""),1600.0)</f>
        <v>1600</v>
      </c>
      <c r="L2680" s="4">
        <f>IFERROR(__xludf.DUMMYFUNCTION("""COMPUTED_VALUE"""),0.521)</f>
        <v>0.521</v>
      </c>
      <c r="M2680" s="4">
        <f>IFERROR(__xludf.DUMMYFUNCTION("""COMPUTED_VALUE"""),0.231)</f>
        <v>0.231</v>
      </c>
      <c r="N2680" s="4">
        <f>IFERROR(__xludf.DUMMYFUNCTION("""COMPUTED_VALUE"""),0.584)</f>
        <v>0.584</v>
      </c>
      <c r="O2680" s="4">
        <f>IFERROR(__xludf.DUMMYFUNCTION("""COMPUTED_VALUE"""),31.7)</f>
        <v>31.7</v>
      </c>
      <c r="P2680" s="4">
        <f>IFERROR(__xludf.DUMMYFUNCTION("""COMPUTED_VALUE"""),7.3)</f>
        <v>7.3</v>
      </c>
      <c r="Q2680" s="4">
        <f>IFERROR(__xludf.DUMMYFUNCTION("""COMPUTED_VALUE"""),13.1)</f>
        <v>13.1</v>
      </c>
      <c r="R2680" s="4">
        <f>IFERROR(__xludf.DUMMYFUNCTION("""COMPUTED_VALUE"""),1.8)</f>
        <v>1.8</v>
      </c>
      <c r="S2680" s="4">
        <f>IFERROR(__xludf.DUMMYFUNCTION("""COMPUTED_VALUE"""),89.8)</f>
        <v>89.8</v>
      </c>
      <c r="T2680" s="4">
        <f>IFERROR(__xludf.DUMMYFUNCTION("""COMPUTED_VALUE"""),0.15)</f>
        <v>0.15</v>
      </c>
      <c r="U2680" s="4">
        <f>IFERROR(__xludf.DUMMYFUNCTION("""COMPUTED_VALUE"""),0.9)</f>
        <v>0.9</v>
      </c>
      <c r="V2680" s="4">
        <f>IFERROR(__xludf.DUMMYFUNCTION("""COMPUTED_VALUE"""),21.0)</f>
        <v>21</v>
      </c>
    </row>
    <row r="2681">
      <c r="A2681" s="4">
        <f>IFERROR(__xludf.DUMMYFUNCTION("""COMPUTED_VALUE"""),28.0)</f>
        <v>28</v>
      </c>
      <c r="B2681" s="4">
        <f>IFERROR(__xludf.DUMMYFUNCTION("""COMPUTED_VALUE"""),28.0)</f>
        <v>28</v>
      </c>
      <c r="C2681" s="4" t="str">
        <f>IFERROR(__xludf.DUMMYFUNCTION("""COMPUTED_VALUE"""),"CHI")</f>
        <v>CHI</v>
      </c>
      <c r="D2681" s="4" t="str">
        <f>IFERROR(__xludf.DUMMYFUNCTION("""COMPUTED_VALUE"""),"Larry Krystkowiak")</f>
        <v>Larry Krystkowiak</v>
      </c>
      <c r="E2681" s="4" t="str">
        <f>IFERROR(__xludf.DUMMYFUNCTION("""COMPUTED_VALUE"""),"Montana")</f>
        <v>Montana</v>
      </c>
      <c r="F2681" s="4">
        <f>IFERROR(__xludf.DUMMYFUNCTION("""COMPUTED_VALUE"""),9.0)</f>
        <v>9</v>
      </c>
      <c r="G2681" s="4">
        <f>IFERROR(__xludf.DUMMYFUNCTION("""COMPUTED_VALUE"""),420.0)</f>
        <v>420</v>
      </c>
      <c r="H2681" s="4">
        <f>IFERROR(__xludf.DUMMYFUNCTION("""COMPUTED_VALUE"""),9097.0)</f>
        <v>9097</v>
      </c>
      <c r="I2681" s="4">
        <f>IFERROR(__xludf.DUMMYFUNCTION("""COMPUTED_VALUE"""),3425.0)</f>
        <v>3425</v>
      </c>
      <c r="J2681" s="4">
        <f>IFERROR(__xludf.DUMMYFUNCTION("""COMPUTED_VALUE"""),2051.0)</f>
        <v>2051</v>
      </c>
      <c r="K2681" s="4">
        <f>IFERROR(__xludf.DUMMYFUNCTION("""COMPUTED_VALUE"""),513.0)</f>
        <v>513</v>
      </c>
      <c r="L2681" s="4">
        <f>IFERROR(__xludf.DUMMYFUNCTION("""COMPUTED_VALUE"""),0.457)</f>
        <v>0.457</v>
      </c>
      <c r="M2681" s="4">
        <f>IFERROR(__xludf.DUMMYFUNCTION("""COMPUTED_VALUE"""),0.139)</f>
        <v>0.139</v>
      </c>
      <c r="N2681" s="4">
        <f>IFERROR(__xludf.DUMMYFUNCTION("""COMPUTED_VALUE"""),0.795)</f>
        <v>0.795</v>
      </c>
      <c r="O2681" s="4">
        <f>IFERROR(__xludf.DUMMYFUNCTION("""COMPUTED_VALUE"""),21.7)</f>
        <v>21.7</v>
      </c>
      <c r="P2681" s="4">
        <f>IFERROR(__xludf.DUMMYFUNCTION("""COMPUTED_VALUE"""),8.2)</f>
        <v>8.2</v>
      </c>
      <c r="Q2681" s="4">
        <f>IFERROR(__xludf.DUMMYFUNCTION("""COMPUTED_VALUE"""),4.9)</f>
        <v>4.9</v>
      </c>
      <c r="R2681" s="4">
        <f>IFERROR(__xludf.DUMMYFUNCTION("""COMPUTED_VALUE"""),1.2)</f>
        <v>1.2</v>
      </c>
      <c r="S2681" s="4">
        <f>IFERROR(__xludf.DUMMYFUNCTION("""COMPUTED_VALUE"""),15.6)</f>
        <v>15.6</v>
      </c>
      <c r="T2681" s="4">
        <f>IFERROR(__xludf.DUMMYFUNCTION("""COMPUTED_VALUE"""),0.082)</f>
        <v>0.082</v>
      </c>
      <c r="U2681" s="4">
        <f>IFERROR(__xludf.DUMMYFUNCTION("""COMPUTED_VALUE"""),-2.7)</f>
        <v>-2.7</v>
      </c>
      <c r="V2681" s="4">
        <f>IFERROR(__xludf.DUMMYFUNCTION("""COMPUTED_VALUE"""),-1.6)</f>
        <v>-1.6</v>
      </c>
    </row>
    <row r="2682">
      <c r="A2682" s="4">
        <f>IFERROR(__xludf.DUMMYFUNCTION("""COMPUTED_VALUE"""),29.0)</f>
        <v>29</v>
      </c>
      <c r="B2682" s="4">
        <f>IFERROR(__xludf.DUMMYFUNCTION("""COMPUTED_VALUE"""),29.0)</f>
        <v>29</v>
      </c>
      <c r="C2682" s="4" t="str">
        <f>IFERROR(__xludf.DUMMYFUNCTION("""COMPUTED_VALUE"""),"CLE")</f>
        <v>CLE</v>
      </c>
      <c r="D2682" s="4" t="str">
        <f>IFERROR(__xludf.DUMMYFUNCTION("""COMPUTED_VALUE"""),"Johnny Newman")</f>
        <v>Johnny Newman</v>
      </c>
      <c r="E2682" s="4" t="str">
        <f>IFERROR(__xludf.DUMMYFUNCTION("""COMPUTED_VALUE"""),"Richmond")</f>
        <v>Richmond</v>
      </c>
      <c r="F2682" s="4">
        <f>IFERROR(__xludf.DUMMYFUNCTION("""COMPUTED_VALUE"""),16.0)</f>
        <v>16</v>
      </c>
      <c r="G2682" s="4">
        <f>IFERROR(__xludf.DUMMYFUNCTION("""COMPUTED_VALUE"""),1159.0)</f>
        <v>1159</v>
      </c>
      <c r="H2682" s="4">
        <f>IFERROR(__xludf.DUMMYFUNCTION("""COMPUTED_VALUE"""),28435.0)</f>
        <v>28435</v>
      </c>
      <c r="I2682" s="4">
        <f>IFERROR(__xludf.DUMMYFUNCTION("""COMPUTED_VALUE"""),12740.0)</f>
        <v>12740</v>
      </c>
      <c r="J2682" s="4">
        <f>IFERROR(__xludf.DUMMYFUNCTION("""COMPUTED_VALUE"""),2536.0)</f>
        <v>2536</v>
      </c>
      <c r="K2682" s="4">
        <f>IFERROR(__xludf.DUMMYFUNCTION("""COMPUTED_VALUE"""),1688.0)</f>
        <v>1688</v>
      </c>
      <c r="L2682" s="4">
        <f>IFERROR(__xludf.DUMMYFUNCTION("""COMPUTED_VALUE"""),0.461)</f>
        <v>0.461</v>
      </c>
      <c r="M2682" s="4">
        <f>IFERROR(__xludf.DUMMYFUNCTION("""COMPUTED_VALUE"""),0.336)</f>
        <v>0.336</v>
      </c>
      <c r="N2682" s="4">
        <f>IFERROR(__xludf.DUMMYFUNCTION("""COMPUTED_VALUE"""),0.81)</f>
        <v>0.81</v>
      </c>
      <c r="O2682" s="4">
        <f>IFERROR(__xludf.DUMMYFUNCTION("""COMPUTED_VALUE"""),24.5)</f>
        <v>24.5</v>
      </c>
      <c r="P2682" s="4">
        <f>IFERROR(__xludf.DUMMYFUNCTION("""COMPUTED_VALUE"""),11.0)</f>
        <v>11</v>
      </c>
      <c r="Q2682" s="4">
        <f>IFERROR(__xludf.DUMMYFUNCTION("""COMPUTED_VALUE"""),2.2)</f>
        <v>2.2</v>
      </c>
      <c r="R2682" s="4">
        <f>IFERROR(__xludf.DUMMYFUNCTION("""COMPUTED_VALUE"""),1.5)</f>
        <v>1.5</v>
      </c>
      <c r="S2682" s="4">
        <f>IFERROR(__xludf.DUMMYFUNCTION("""COMPUTED_VALUE"""),50.3)</f>
        <v>50.3</v>
      </c>
      <c r="T2682" s="4">
        <f>IFERROR(__xludf.DUMMYFUNCTION("""COMPUTED_VALUE"""),0.085)</f>
        <v>0.085</v>
      </c>
      <c r="U2682" s="4">
        <f>IFERROR(__xludf.DUMMYFUNCTION("""COMPUTED_VALUE"""),-1.6)</f>
        <v>-1.6</v>
      </c>
      <c r="V2682" s="4">
        <f>IFERROR(__xludf.DUMMYFUNCTION("""COMPUTED_VALUE"""),2.9)</f>
        <v>2.9</v>
      </c>
    </row>
    <row r="2683">
      <c r="A2683" s="4">
        <f>IFERROR(__xludf.DUMMYFUNCTION("""COMPUTED_VALUE"""),30.0)</f>
        <v>30</v>
      </c>
      <c r="B2683" s="4">
        <f>IFERROR(__xludf.DUMMYFUNCTION("""COMPUTED_VALUE"""),30.0)</f>
        <v>30</v>
      </c>
      <c r="C2683" s="4" t="str">
        <f>IFERROR(__xludf.DUMMYFUNCTION("""COMPUTED_VALUE"""),"SEA")</f>
        <v>SEA</v>
      </c>
      <c r="D2683" s="4" t="str">
        <f>IFERROR(__xludf.DUMMYFUNCTION("""COMPUTED_VALUE"""),"Nate McMillan")</f>
        <v>Nate McMillan</v>
      </c>
      <c r="E2683" s="4" t="str">
        <f>IFERROR(__xludf.DUMMYFUNCTION("""COMPUTED_VALUE"""),"NC State")</f>
        <v>NC State</v>
      </c>
      <c r="F2683" s="4">
        <f>IFERROR(__xludf.DUMMYFUNCTION("""COMPUTED_VALUE"""),12.0)</f>
        <v>12</v>
      </c>
      <c r="G2683" s="4">
        <f>IFERROR(__xludf.DUMMYFUNCTION("""COMPUTED_VALUE"""),796.0)</f>
        <v>796</v>
      </c>
      <c r="H2683" s="4">
        <f>IFERROR(__xludf.DUMMYFUNCTION("""COMPUTED_VALUE"""),20462.0)</f>
        <v>20462</v>
      </c>
      <c r="I2683" s="4">
        <f>IFERROR(__xludf.DUMMYFUNCTION("""COMPUTED_VALUE"""),4733.0)</f>
        <v>4733</v>
      </c>
      <c r="J2683" s="4">
        <f>IFERROR(__xludf.DUMMYFUNCTION("""COMPUTED_VALUE"""),3222.0)</f>
        <v>3222</v>
      </c>
      <c r="K2683" s="4">
        <f>IFERROR(__xludf.DUMMYFUNCTION("""COMPUTED_VALUE"""),4893.0)</f>
        <v>4893</v>
      </c>
      <c r="L2683" s="4">
        <f>IFERROR(__xludf.DUMMYFUNCTION("""COMPUTED_VALUE"""),0.443)</f>
        <v>0.443</v>
      </c>
      <c r="M2683" s="4">
        <f>IFERROR(__xludf.DUMMYFUNCTION("""COMPUTED_VALUE"""),0.343)</f>
        <v>0.343</v>
      </c>
      <c r="N2683" s="4">
        <f>IFERROR(__xludf.DUMMYFUNCTION("""COMPUTED_VALUE"""),0.65)</f>
        <v>0.65</v>
      </c>
      <c r="O2683" s="4">
        <f>IFERROR(__xludf.DUMMYFUNCTION("""COMPUTED_VALUE"""),25.7)</f>
        <v>25.7</v>
      </c>
      <c r="P2683" s="4">
        <f>IFERROR(__xludf.DUMMYFUNCTION("""COMPUTED_VALUE"""),5.9)</f>
        <v>5.9</v>
      </c>
      <c r="Q2683" s="4">
        <f>IFERROR(__xludf.DUMMYFUNCTION("""COMPUTED_VALUE"""),4.0)</f>
        <v>4</v>
      </c>
      <c r="R2683" s="4">
        <f>IFERROR(__xludf.DUMMYFUNCTION("""COMPUTED_VALUE"""),6.1)</f>
        <v>6.1</v>
      </c>
      <c r="S2683" s="4">
        <f>IFERROR(__xludf.DUMMYFUNCTION("""COMPUTED_VALUE"""),50.2)</f>
        <v>50.2</v>
      </c>
      <c r="T2683" s="4">
        <f>IFERROR(__xludf.DUMMYFUNCTION("""COMPUTED_VALUE"""),0.118)</f>
        <v>0.118</v>
      </c>
      <c r="U2683" s="4">
        <f>IFERROR(__xludf.DUMMYFUNCTION("""COMPUTED_VALUE"""),3.3)</f>
        <v>3.3</v>
      </c>
      <c r="V2683" s="4">
        <f>IFERROR(__xludf.DUMMYFUNCTION("""COMPUTED_VALUE"""),27.2)</f>
        <v>27.2</v>
      </c>
    </row>
    <row r="2684">
      <c r="A2684" s="4">
        <f>IFERROR(__xludf.DUMMYFUNCTION("""COMPUTED_VALUE"""),31.0)</f>
        <v>31</v>
      </c>
      <c r="B2684" s="4">
        <f>IFERROR(__xludf.DUMMYFUNCTION("""COMPUTED_VALUE"""),31.0)</f>
        <v>31</v>
      </c>
      <c r="C2684" s="4" t="str">
        <f>IFERROR(__xludf.DUMMYFUNCTION("""COMPUTED_VALUE"""),"PHO")</f>
        <v>PHO</v>
      </c>
      <c r="D2684" s="4" t="str">
        <f>IFERROR(__xludf.DUMMYFUNCTION("""COMPUTED_VALUE"""),"Joe Ward")</f>
        <v>Joe Ward</v>
      </c>
      <c r="E2684" s="4" t="str">
        <f>IFERROR(__xludf.DUMMYFUNCTION("""COMPUTED_VALUE"""),"Georgia")</f>
        <v>Georgia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</row>
    <row r="2685">
      <c r="A2685" s="4">
        <f>IFERROR(__xludf.DUMMYFUNCTION("""COMPUTED_VALUE"""),32.0)</f>
        <v>32</v>
      </c>
      <c r="B2685" s="4">
        <f>IFERROR(__xludf.DUMMYFUNCTION("""COMPUTED_VALUE"""),32.0)</f>
        <v>32</v>
      </c>
      <c r="C2685" s="4" t="str">
        <f>IFERROR(__xludf.DUMMYFUNCTION("""COMPUTED_VALUE"""),"ATL")</f>
        <v>ATL</v>
      </c>
      <c r="D2685" s="4" t="str">
        <f>IFERROR(__xludf.DUMMYFUNCTION("""COMPUTED_VALUE"""),"Cedric Henderson")</f>
        <v>Cedric Henderson</v>
      </c>
      <c r="E2685" s="4" t="str">
        <f>IFERROR(__xludf.DUMMYFUNCTION("""COMPUTED_VALUE"""),"Georgia")</f>
        <v>Georgia</v>
      </c>
      <c r="F2685" s="4">
        <f>IFERROR(__xludf.DUMMYFUNCTION("""COMPUTED_VALUE"""),1.0)</f>
        <v>1</v>
      </c>
      <c r="G2685" s="4">
        <f>IFERROR(__xludf.DUMMYFUNCTION("""COMPUTED_VALUE"""),8.0)</f>
        <v>8</v>
      </c>
      <c r="H2685" s="4">
        <f>IFERROR(__xludf.DUMMYFUNCTION("""COMPUTED_VALUE"""),16.0)</f>
        <v>16</v>
      </c>
      <c r="I2685" s="4">
        <f>IFERROR(__xludf.DUMMYFUNCTION("""COMPUTED_VALUE"""),11.0)</f>
        <v>11</v>
      </c>
      <c r="J2685" s="4">
        <f>IFERROR(__xludf.DUMMYFUNCTION("""COMPUTED_VALUE"""),8.0)</f>
        <v>8</v>
      </c>
      <c r="K2685" s="4">
        <f>IFERROR(__xludf.DUMMYFUNCTION("""COMPUTED_VALUE"""),0.0)</f>
        <v>0</v>
      </c>
      <c r="L2685" s="4">
        <f>IFERROR(__xludf.DUMMYFUNCTION("""COMPUTED_VALUE"""),0.5)</f>
        <v>0.5</v>
      </c>
      <c r="M2685" s="4"/>
      <c r="N2685" s="4">
        <f>IFERROR(__xludf.DUMMYFUNCTION("""COMPUTED_VALUE"""),1.0)</f>
        <v>1</v>
      </c>
      <c r="O2685" s="4">
        <f>IFERROR(__xludf.DUMMYFUNCTION("""COMPUTED_VALUE"""),2.0)</f>
        <v>2</v>
      </c>
      <c r="P2685" s="4">
        <f>IFERROR(__xludf.DUMMYFUNCTION("""COMPUTED_VALUE"""),1.4)</f>
        <v>1.4</v>
      </c>
      <c r="Q2685" s="4">
        <f>IFERROR(__xludf.DUMMYFUNCTION("""COMPUTED_VALUE"""),1.0)</f>
        <v>1</v>
      </c>
      <c r="R2685" s="4">
        <f>IFERROR(__xludf.DUMMYFUNCTION("""COMPUTED_VALUE"""),0.0)</f>
        <v>0</v>
      </c>
      <c r="S2685" s="4">
        <f>IFERROR(__xludf.DUMMYFUNCTION("""COMPUTED_VALUE"""),0.0)</f>
        <v>0</v>
      </c>
      <c r="T2685" s="4">
        <f>IFERROR(__xludf.DUMMYFUNCTION("""COMPUTED_VALUE"""),-0.015)</f>
        <v>-0.015</v>
      </c>
      <c r="U2685" s="4">
        <f>IFERROR(__xludf.DUMMYFUNCTION("""COMPUTED_VALUE"""),-8.6)</f>
        <v>-8.6</v>
      </c>
      <c r="V2685" s="4">
        <f>IFERROR(__xludf.DUMMYFUNCTION("""COMPUTED_VALUE"""),0.0)</f>
        <v>0</v>
      </c>
    </row>
    <row r="2686">
      <c r="A2686" s="4">
        <f>IFERROR(__xludf.DUMMYFUNCTION("""COMPUTED_VALUE"""),33.0)</f>
        <v>33</v>
      </c>
      <c r="B2686" s="4">
        <f>IFERROR(__xludf.DUMMYFUNCTION("""COMPUTED_VALUE"""),33.0)</f>
        <v>33</v>
      </c>
      <c r="C2686" s="4" t="str">
        <f>IFERROR(__xludf.DUMMYFUNCTION("""COMPUTED_VALUE"""),"SAS")</f>
        <v>SAS</v>
      </c>
      <c r="D2686" s="4" t="str">
        <f>IFERROR(__xludf.DUMMYFUNCTION("""COMPUTED_VALUE"""),"Kevin Duckworth")</f>
        <v>Kevin Duckworth</v>
      </c>
      <c r="E2686" s="4" t="str">
        <f>IFERROR(__xludf.DUMMYFUNCTION("""COMPUTED_VALUE"""),"Eastern Illinois University")</f>
        <v>Eastern Illinois University</v>
      </c>
      <c r="F2686" s="4">
        <f>IFERROR(__xludf.DUMMYFUNCTION("""COMPUTED_VALUE"""),11.0)</f>
        <v>11</v>
      </c>
      <c r="G2686" s="4">
        <f>IFERROR(__xludf.DUMMYFUNCTION("""COMPUTED_VALUE"""),684.0)</f>
        <v>684</v>
      </c>
      <c r="H2686" s="4">
        <f>IFERROR(__xludf.DUMMYFUNCTION("""COMPUTED_VALUE"""),17462.0)</f>
        <v>17462</v>
      </c>
      <c r="I2686" s="4">
        <f>IFERROR(__xludf.DUMMYFUNCTION("""COMPUTED_VALUE"""),8085.0)</f>
        <v>8085</v>
      </c>
      <c r="J2686" s="4">
        <f>IFERROR(__xludf.DUMMYFUNCTION("""COMPUTED_VALUE"""),3945.0)</f>
        <v>3945</v>
      </c>
      <c r="K2686" s="4">
        <f>IFERROR(__xludf.DUMMYFUNCTION("""COMPUTED_VALUE"""),598.0)</f>
        <v>598</v>
      </c>
      <c r="L2686" s="4">
        <f>IFERROR(__xludf.DUMMYFUNCTION("""COMPUTED_VALUE"""),0.468)</f>
        <v>0.468</v>
      </c>
      <c r="M2686" s="4">
        <f>IFERROR(__xludf.DUMMYFUNCTION("""COMPUTED_VALUE"""),0.208)</f>
        <v>0.208</v>
      </c>
      <c r="N2686" s="4">
        <f>IFERROR(__xludf.DUMMYFUNCTION("""COMPUTED_VALUE"""),0.736)</f>
        <v>0.736</v>
      </c>
      <c r="O2686" s="4">
        <f>IFERROR(__xludf.DUMMYFUNCTION("""COMPUTED_VALUE"""),25.5)</f>
        <v>25.5</v>
      </c>
      <c r="P2686" s="4">
        <f>IFERROR(__xludf.DUMMYFUNCTION("""COMPUTED_VALUE"""),11.8)</f>
        <v>11.8</v>
      </c>
      <c r="Q2686" s="4">
        <f>IFERROR(__xludf.DUMMYFUNCTION("""COMPUTED_VALUE"""),5.8)</f>
        <v>5.8</v>
      </c>
      <c r="R2686" s="4">
        <f>IFERROR(__xludf.DUMMYFUNCTION("""COMPUTED_VALUE"""),0.9)</f>
        <v>0.9</v>
      </c>
      <c r="S2686" s="4">
        <f>IFERROR(__xludf.DUMMYFUNCTION("""COMPUTED_VALUE"""),24.7)</f>
        <v>24.7</v>
      </c>
      <c r="T2686" s="4">
        <f>IFERROR(__xludf.DUMMYFUNCTION("""COMPUTED_VALUE"""),0.068)</f>
        <v>0.068</v>
      </c>
      <c r="U2686" s="4">
        <f>IFERROR(__xludf.DUMMYFUNCTION("""COMPUTED_VALUE"""),-3.8)</f>
        <v>-3.8</v>
      </c>
      <c r="V2686" s="4">
        <f>IFERROR(__xludf.DUMMYFUNCTION("""COMPUTED_VALUE"""),-7.6)</f>
        <v>-7.6</v>
      </c>
    </row>
    <row r="2687">
      <c r="A2687" s="4">
        <f>IFERROR(__xludf.DUMMYFUNCTION("""COMPUTED_VALUE"""),34.0)</f>
        <v>34</v>
      </c>
      <c r="B2687" s="4">
        <f>IFERROR(__xludf.DUMMYFUNCTION("""COMPUTED_VALUE"""),34.0)</f>
        <v>34</v>
      </c>
      <c r="C2687" s="4" t="str">
        <f>IFERROR(__xludf.DUMMYFUNCTION("""COMPUTED_VALUE"""),"SAC")</f>
        <v>SAC</v>
      </c>
      <c r="D2687" s="4" t="str">
        <f>IFERROR(__xludf.DUMMYFUNCTION("""COMPUTED_VALUE"""),"Johnny Rogers")</f>
        <v>Johnny Rogers</v>
      </c>
      <c r="E2687" s="4" t="str">
        <f>IFERROR(__xludf.DUMMYFUNCTION("""COMPUTED_VALUE"""),"University of California, Irvine")</f>
        <v>University of California, Irvine</v>
      </c>
      <c r="F2687" s="4">
        <f>IFERROR(__xludf.DUMMYFUNCTION("""COMPUTED_VALUE"""),2.0)</f>
        <v>2</v>
      </c>
      <c r="G2687" s="4">
        <f>IFERROR(__xludf.DUMMYFUNCTION("""COMPUTED_VALUE"""),69.0)</f>
        <v>69</v>
      </c>
      <c r="H2687" s="4">
        <f>IFERROR(__xludf.DUMMYFUNCTION("""COMPUTED_VALUE"""),636.0)</f>
        <v>636</v>
      </c>
      <c r="I2687" s="4">
        <f>IFERROR(__xludf.DUMMYFUNCTION("""COMPUTED_VALUE"""),251.0)</f>
        <v>251</v>
      </c>
      <c r="J2687" s="4">
        <f>IFERROR(__xludf.DUMMYFUNCTION("""COMPUTED_VALUE"""),104.0)</f>
        <v>104</v>
      </c>
      <c r="K2687" s="4">
        <f>IFERROR(__xludf.DUMMYFUNCTION("""COMPUTED_VALUE"""),29.0)</f>
        <v>29</v>
      </c>
      <c r="L2687" s="4">
        <f>IFERROR(__xludf.DUMMYFUNCTION("""COMPUTED_VALUE"""),0.472)</f>
        <v>0.472</v>
      </c>
      <c r="M2687" s="4">
        <f>IFERROR(__xludf.DUMMYFUNCTION("""COMPUTED_VALUE"""),0.0)</f>
        <v>0</v>
      </c>
      <c r="N2687" s="4">
        <f>IFERROR(__xludf.DUMMYFUNCTION("""COMPUTED_VALUE"""),0.679)</f>
        <v>0.679</v>
      </c>
      <c r="O2687" s="4">
        <f>IFERROR(__xludf.DUMMYFUNCTION("""COMPUTED_VALUE"""),9.2)</f>
        <v>9.2</v>
      </c>
      <c r="P2687" s="4">
        <f>IFERROR(__xludf.DUMMYFUNCTION("""COMPUTED_VALUE"""),3.6)</f>
        <v>3.6</v>
      </c>
      <c r="Q2687" s="4">
        <f>IFERROR(__xludf.DUMMYFUNCTION("""COMPUTED_VALUE"""),1.5)</f>
        <v>1.5</v>
      </c>
      <c r="R2687" s="4">
        <f>IFERROR(__xludf.DUMMYFUNCTION("""COMPUTED_VALUE"""),0.4)</f>
        <v>0.4</v>
      </c>
      <c r="S2687" s="4">
        <f>IFERROR(__xludf.DUMMYFUNCTION("""COMPUTED_VALUE"""),0.4)</f>
        <v>0.4</v>
      </c>
      <c r="T2687" s="4">
        <f>IFERROR(__xludf.DUMMYFUNCTION("""COMPUTED_VALUE"""),0.032)</f>
        <v>0.032</v>
      </c>
      <c r="U2687" s="4">
        <f>IFERROR(__xludf.DUMMYFUNCTION("""COMPUTED_VALUE"""),-4.8)</f>
        <v>-4.8</v>
      </c>
      <c r="V2687" s="4">
        <f>IFERROR(__xludf.DUMMYFUNCTION("""COMPUTED_VALUE"""),-0.4)</f>
        <v>-0.4</v>
      </c>
    </row>
    <row r="2688">
      <c r="A2688" s="4">
        <f>IFERROR(__xludf.DUMMYFUNCTION("""COMPUTED_VALUE"""),35.0)</f>
        <v>35</v>
      </c>
      <c r="B2688" s="4">
        <f>IFERROR(__xludf.DUMMYFUNCTION("""COMPUTED_VALUE"""),35.0)</f>
        <v>35</v>
      </c>
      <c r="C2688" s="4" t="str">
        <f>IFERROR(__xludf.DUMMYFUNCTION("""COMPUTED_VALUE"""),"DAL")</f>
        <v>DAL</v>
      </c>
      <c r="D2688" s="4" t="str">
        <f>IFERROR(__xludf.DUMMYFUNCTION("""COMPUTED_VALUE"""),"Milt Wagner")</f>
        <v>Milt Wagner</v>
      </c>
      <c r="E2688" s="4" t="str">
        <f>IFERROR(__xludf.DUMMYFUNCTION("""COMPUTED_VALUE"""),"Louisville")</f>
        <v>Louisville</v>
      </c>
      <c r="F2688" s="4">
        <f>IFERROR(__xludf.DUMMYFUNCTION("""COMPUTED_VALUE"""),2.0)</f>
        <v>2</v>
      </c>
      <c r="G2688" s="4">
        <f>IFERROR(__xludf.DUMMYFUNCTION("""COMPUTED_VALUE"""),53.0)</f>
        <v>53</v>
      </c>
      <c r="H2688" s="4">
        <f>IFERROR(__xludf.DUMMYFUNCTION("""COMPUTED_VALUE"""),496.0)</f>
        <v>496</v>
      </c>
      <c r="I2688" s="4">
        <f>IFERROR(__xludf.DUMMYFUNCTION("""COMPUTED_VALUE"""),215.0)</f>
        <v>215</v>
      </c>
      <c r="J2688" s="4">
        <f>IFERROR(__xludf.DUMMYFUNCTION("""COMPUTED_VALUE"""),35.0)</f>
        <v>35</v>
      </c>
      <c r="K2688" s="4">
        <f>IFERROR(__xludf.DUMMYFUNCTION("""COMPUTED_VALUE"""),76.0)</f>
        <v>76</v>
      </c>
      <c r="L2688" s="4">
        <f>IFERROR(__xludf.DUMMYFUNCTION("""COMPUTED_VALUE"""),0.422)</f>
        <v>0.422</v>
      </c>
      <c r="M2688" s="4">
        <f>IFERROR(__xludf.DUMMYFUNCTION("""COMPUTED_VALUE"""),0.296)</f>
        <v>0.296</v>
      </c>
      <c r="N2688" s="4">
        <f>IFERROR(__xludf.DUMMYFUNCTION("""COMPUTED_VALUE"""),0.875)</f>
        <v>0.875</v>
      </c>
      <c r="O2688" s="4">
        <f>IFERROR(__xludf.DUMMYFUNCTION("""COMPUTED_VALUE"""),9.4)</f>
        <v>9.4</v>
      </c>
      <c r="P2688" s="4">
        <f>IFERROR(__xludf.DUMMYFUNCTION("""COMPUTED_VALUE"""),4.1)</f>
        <v>4.1</v>
      </c>
      <c r="Q2688" s="4">
        <f>IFERROR(__xludf.DUMMYFUNCTION("""COMPUTED_VALUE"""),0.7)</f>
        <v>0.7</v>
      </c>
      <c r="R2688" s="4">
        <f>IFERROR(__xludf.DUMMYFUNCTION("""COMPUTED_VALUE"""),1.4)</f>
        <v>1.4</v>
      </c>
      <c r="S2688" s="4">
        <f>IFERROR(__xludf.DUMMYFUNCTION("""COMPUTED_VALUE"""),0.4)</f>
        <v>0.4</v>
      </c>
      <c r="T2688" s="4">
        <f>IFERROR(__xludf.DUMMYFUNCTION("""COMPUTED_VALUE"""),0.039)</f>
        <v>0.039</v>
      </c>
      <c r="U2688" s="4">
        <f>IFERROR(__xludf.DUMMYFUNCTION("""COMPUTED_VALUE"""),-4.0)</f>
        <v>-4</v>
      </c>
      <c r="V2688" s="4">
        <f>IFERROR(__xludf.DUMMYFUNCTION("""COMPUTED_VALUE"""),-0.2)</f>
        <v>-0.2</v>
      </c>
    </row>
    <row r="2689">
      <c r="A2689" s="4">
        <f>IFERROR(__xludf.DUMMYFUNCTION("""COMPUTED_VALUE"""),36.0)</f>
        <v>36</v>
      </c>
      <c r="B2689" s="4">
        <f>IFERROR(__xludf.DUMMYFUNCTION("""COMPUTED_VALUE"""),36.0)</f>
        <v>36</v>
      </c>
      <c r="C2689" s="4" t="str">
        <f>IFERROR(__xludf.DUMMYFUNCTION("""COMPUTED_VALUE"""),"WSB")</f>
        <v>WSB</v>
      </c>
      <c r="D2689" s="4" t="str">
        <f>IFERROR(__xludf.DUMMYFUNCTION("""COMPUTED_VALUE"""),"Steve Mitchell")</f>
        <v>Steve Mitchell</v>
      </c>
      <c r="E2689" s="4" t="str">
        <f>IFERROR(__xludf.DUMMYFUNCTION("""COMPUTED_VALUE"""),"UAB")</f>
        <v>UAB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</row>
    <row r="2690">
      <c r="A2690" s="4">
        <f>IFERROR(__xludf.DUMMYFUNCTION("""COMPUTED_VALUE"""),37.0)</f>
        <v>37</v>
      </c>
      <c r="B2690" s="4">
        <f>IFERROR(__xludf.DUMMYFUNCTION("""COMPUTED_VALUE"""),37.0)</f>
        <v>37</v>
      </c>
      <c r="C2690" s="4" t="str">
        <f>IFERROR(__xludf.DUMMYFUNCTION("""COMPUTED_VALUE"""),"POR")</f>
        <v>POR</v>
      </c>
      <c r="D2690" s="4" t="str">
        <f>IFERROR(__xludf.DUMMYFUNCTION("""COMPUTED_VALUE"""),"Panagiotis Fasoulas")</f>
        <v>Panagiotis Fasoulas</v>
      </c>
      <c r="E2690" s="4" t="str">
        <f>IFERROR(__xludf.DUMMYFUNCTION("""COMPUTED_VALUE"""),"NC State")</f>
        <v>NC State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</row>
    <row r="2691">
      <c r="A2691" s="4">
        <f>IFERROR(__xludf.DUMMYFUNCTION("""COMPUTED_VALUE"""),38.0)</f>
        <v>38</v>
      </c>
      <c r="B2691" s="4">
        <f>IFERROR(__xludf.DUMMYFUNCTION("""COMPUTED_VALUE"""),38.0)</f>
        <v>38</v>
      </c>
      <c r="C2691" s="4" t="str">
        <f>IFERROR(__xludf.DUMMYFUNCTION("""COMPUTED_VALUE"""),"SEA")</f>
        <v>SEA</v>
      </c>
      <c r="D2691" s="4" t="str">
        <f>IFERROR(__xludf.DUMMYFUNCTION("""COMPUTED_VALUE"""),"Lemone Lampley")</f>
        <v>Lemone Lampley</v>
      </c>
      <c r="E2691" s="4" t="str">
        <f>IFERROR(__xludf.DUMMYFUNCTION("""COMPUTED_VALUE"""),"DePaul")</f>
        <v>DePaul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</row>
    <row r="2692">
      <c r="A2692" s="4">
        <f>IFERROR(__xludf.DUMMYFUNCTION("""COMPUTED_VALUE"""),39.0)</f>
        <v>39</v>
      </c>
      <c r="B2692" s="4">
        <f>IFERROR(__xludf.DUMMYFUNCTION("""COMPUTED_VALUE"""),39.0)</f>
        <v>39</v>
      </c>
      <c r="C2692" s="4" t="str">
        <f>IFERROR(__xludf.DUMMYFUNCTION("""COMPUTED_VALUE"""),"PHO")</f>
        <v>PHO</v>
      </c>
      <c r="D2692" s="4" t="str">
        <f>IFERROR(__xludf.DUMMYFUNCTION("""COMPUTED_VALUE"""),"Rafael Addison")</f>
        <v>Rafael Addison</v>
      </c>
      <c r="E2692" s="4" t="str">
        <f>IFERROR(__xludf.DUMMYFUNCTION("""COMPUTED_VALUE"""),"Syracuse")</f>
        <v>Syracuse</v>
      </c>
      <c r="F2692" s="4">
        <f>IFERROR(__xludf.DUMMYFUNCTION("""COMPUTED_VALUE"""),6.0)</f>
        <v>6</v>
      </c>
      <c r="G2692" s="4">
        <f>IFERROR(__xludf.DUMMYFUNCTION("""COMPUTED_VALUE"""),379.0)</f>
        <v>379</v>
      </c>
      <c r="H2692" s="4">
        <f>IFERROR(__xludf.DUMMYFUNCTION("""COMPUTED_VALUE"""),5697.0)</f>
        <v>5697</v>
      </c>
      <c r="I2692" s="4">
        <f>IFERROR(__xludf.DUMMYFUNCTION("""COMPUTED_VALUE"""),2186.0)</f>
        <v>2186</v>
      </c>
      <c r="J2692" s="4">
        <f>IFERROR(__xludf.DUMMYFUNCTION("""COMPUTED_VALUE"""),780.0)</f>
        <v>780</v>
      </c>
      <c r="K2692" s="4">
        <f>IFERROR(__xludf.DUMMYFUNCTION("""COMPUTED_VALUE"""),339.0)</f>
        <v>339</v>
      </c>
      <c r="L2692" s="4">
        <f>IFERROR(__xludf.DUMMYFUNCTION("""COMPUTED_VALUE"""),0.449)</f>
        <v>0.449</v>
      </c>
      <c r="M2692" s="4">
        <f>IFERROR(__xludf.DUMMYFUNCTION("""COMPUTED_VALUE"""),0.282)</f>
        <v>0.282</v>
      </c>
      <c r="N2692" s="4">
        <f>IFERROR(__xludf.DUMMYFUNCTION("""COMPUTED_VALUE"""),0.772)</f>
        <v>0.772</v>
      </c>
      <c r="O2692" s="4">
        <f>IFERROR(__xludf.DUMMYFUNCTION("""COMPUTED_VALUE"""),15.0)</f>
        <v>15</v>
      </c>
      <c r="P2692" s="4">
        <f>IFERROR(__xludf.DUMMYFUNCTION("""COMPUTED_VALUE"""),5.8)</f>
        <v>5.8</v>
      </c>
      <c r="Q2692" s="4">
        <f>IFERROR(__xludf.DUMMYFUNCTION("""COMPUTED_VALUE"""),2.1)</f>
        <v>2.1</v>
      </c>
      <c r="R2692" s="4">
        <f>IFERROR(__xludf.DUMMYFUNCTION("""COMPUTED_VALUE"""),0.9)</f>
        <v>0.9</v>
      </c>
      <c r="S2692" s="4">
        <f>IFERROR(__xludf.DUMMYFUNCTION("""COMPUTED_VALUE"""),4.9)</f>
        <v>4.9</v>
      </c>
      <c r="T2692" s="4">
        <f>IFERROR(__xludf.DUMMYFUNCTION("""COMPUTED_VALUE"""),0.041)</f>
        <v>0.041</v>
      </c>
      <c r="U2692" s="4">
        <f>IFERROR(__xludf.DUMMYFUNCTION("""COMPUTED_VALUE"""),-3.8)</f>
        <v>-3.8</v>
      </c>
      <c r="V2692" s="4">
        <f>IFERROR(__xludf.DUMMYFUNCTION("""COMPUTED_VALUE"""),-2.5)</f>
        <v>-2.5</v>
      </c>
    </row>
    <row r="2693">
      <c r="A2693" s="4">
        <f>IFERROR(__xludf.DUMMYFUNCTION("""COMPUTED_VALUE"""),40.0)</f>
        <v>40</v>
      </c>
      <c r="B2693" s="4">
        <f>IFERROR(__xludf.DUMMYFUNCTION("""COMPUTED_VALUE"""),40.0)</f>
        <v>40</v>
      </c>
      <c r="C2693" s="4" t="str">
        <f>IFERROR(__xludf.DUMMYFUNCTION("""COMPUTED_VALUE"""),"ATL")</f>
        <v>ATL</v>
      </c>
      <c r="D2693" s="4" t="str">
        <f>IFERROR(__xludf.DUMMYFUNCTION("""COMPUTED_VALUE"""),"Augusto Binelli")</f>
        <v>Augusto Binelli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</row>
    <row r="2694">
      <c r="A2694" s="4">
        <f>IFERROR(__xludf.DUMMYFUNCTION("""COMPUTED_VALUE"""),41.0)</f>
        <v>41</v>
      </c>
      <c r="B2694" s="4">
        <f>IFERROR(__xludf.DUMMYFUNCTION("""COMPUTED_VALUE"""),41.0)</f>
        <v>41</v>
      </c>
      <c r="C2694" s="4" t="str">
        <f>IFERROR(__xludf.DUMMYFUNCTION("""COMPUTED_VALUE"""),"DEN")</f>
        <v>DEN</v>
      </c>
      <c r="D2694" s="4" t="str">
        <f>IFERROR(__xludf.DUMMYFUNCTION("""COMPUTED_VALUE"""),"Otis Smith")</f>
        <v>Otis Smith</v>
      </c>
      <c r="E2694" s="4" t="str">
        <f>IFERROR(__xludf.DUMMYFUNCTION("""COMPUTED_VALUE"""),"Jacksonville University")</f>
        <v>Jacksonville University</v>
      </c>
      <c r="F2694" s="4">
        <f>IFERROR(__xludf.DUMMYFUNCTION("""COMPUTED_VALUE"""),6.0)</f>
        <v>6</v>
      </c>
      <c r="G2694" s="4">
        <f>IFERROR(__xludf.DUMMYFUNCTION("""COMPUTED_VALUE"""),375.0)</f>
        <v>375</v>
      </c>
      <c r="H2694" s="4">
        <f>IFERROR(__xludf.DUMMYFUNCTION("""COMPUTED_VALUE"""),7720.0)</f>
        <v>7720</v>
      </c>
      <c r="I2694" s="4">
        <f>IFERROR(__xludf.DUMMYFUNCTION("""COMPUTED_VALUE"""),3951.0)</f>
        <v>3951</v>
      </c>
      <c r="J2694" s="4">
        <f>IFERROR(__xludf.DUMMYFUNCTION("""COMPUTED_VALUE"""),1416.0)</f>
        <v>1416</v>
      </c>
      <c r="K2694" s="4">
        <f>IFERROR(__xludf.DUMMYFUNCTION("""COMPUTED_VALUE"""),690.0)</f>
        <v>690</v>
      </c>
      <c r="L2694" s="4">
        <f>IFERROR(__xludf.DUMMYFUNCTION("""COMPUTED_VALUE"""),0.455)</f>
        <v>0.455</v>
      </c>
      <c r="M2694" s="4">
        <f>IFERROR(__xludf.DUMMYFUNCTION("""COMPUTED_VALUE"""),0.251)</f>
        <v>0.251</v>
      </c>
      <c r="N2694" s="4">
        <f>IFERROR(__xludf.DUMMYFUNCTION("""COMPUTED_VALUE"""),0.762)</f>
        <v>0.762</v>
      </c>
      <c r="O2694" s="4">
        <f>IFERROR(__xludf.DUMMYFUNCTION("""COMPUTED_VALUE"""),20.6)</f>
        <v>20.6</v>
      </c>
      <c r="P2694" s="4">
        <f>IFERROR(__xludf.DUMMYFUNCTION("""COMPUTED_VALUE"""),10.5)</f>
        <v>10.5</v>
      </c>
      <c r="Q2694" s="4">
        <f>IFERROR(__xludf.DUMMYFUNCTION("""COMPUTED_VALUE"""),3.8)</f>
        <v>3.8</v>
      </c>
      <c r="R2694" s="4">
        <f>IFERROR(__xludf.DUMMYFUNCTION("""COMPUTED_VALUE"""),1.8)</f>
        <v>1.8</v>
      </c>
      <c r="S2694" s="4">
        <f>IFERROR(__xludf.DUMMYFUNCTION("""COMPUTED_VALUE"""),12.3)</f>
        <v>12.3</v>
      </c>
      <c r="T2694" s="4">
        <f>IFERROR(__xludf.DUMMYFUNCTION("""COMPUTED_VALUE"""),0.076)</f>
        <v>0.076</v>
      </c>
      <c r="U2694" s="4">
        <f>IFERROR(__xludf.DUMMYFUNCTION("""COMPUTED_VALUE"""),0.2)</f>
        <v>0.2</v>
      </c>
      <c r="V2694" s="4">
        <f>IFERROR(__xludf.DUMMYFUNCTION("""COMPUTED_VALUE"""),4.2)</f>
        <v>4.2</v>
      </c>
    </row>
    <row r="2695">
      <c r="A2695" s="4">
        <f>IFERROR(__xludf.DUMMYFUNCTION("""COMPUTED_VALUE"""),42.0)</f>
        <v>42</v>
      </c>
      <c r="B2695" s="4">
        <f>IFERROR(__xludf.DUMMYFUNCTION("""COMPUTED_VALUE"""),42.0)</f>
        <v>42</v>
      </c>
      <c r="C2695" s="4" t="str">
        <f>IFERROR(__xludf.DUMMYFUNCTION("""COMPUTED_VALUE"""),"ATL")</f>
        <v>ATL</v>
      </c>
      <c r="D2695" s="4" t="str">
        <f>IFERROR(__xludf.DUMMYFUNCTION("""COMPUTED_VALUE"""),"Ron Kellogg")</f>
        <v>Ron Kellogg</v>
      </c>
      <c r="E2695" s="4" t="str">
        <f>IFERROR(__xludf.DUMMYFUNCTION("""COMPUTED_VALUE"""),"Kansas")</f>
        <v>Kansas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</row>
    <row r="2696">
      <c r="A2696" s="4">
        <f>IFERROR(__xludf.DUMMYFUNCTION("""COMPUTED_VALUE"""),43.0)</f>
        <v>43</v>
      </c>
      <c r="B2696" s="4">
        <f>IFERROR(__xludf.DUMMYFUNCTION("""COMPUTED_VALUE"""),43.0)</f>
        <v>43</v>
      </c>
      <c r="C2696" s="4" t="str">
        <f>IFERROR(__xludf.DUMMYFUNCTION("""COMPUTED_VALUE"""),"HOU")</f>
        <v>HOU</v>
      </c>
      <c r="D2696" s="4" t="str">
        <f>IFERROR(__xludf.DUMMYFUNCTION("""COMPUTED_VALUE"""),"Dave Feitl")</f>
        <v>Dave Feitl</v>
      </c>
      <c r="E2696" s="4" t="str">
        <f>IFERROR(__xludf.DUMMYFUNCTION("""COMPUTED_VALUE"""),"Texas-El Paso")</f>
        <v>Texas-El Paso</v>
      </c>
      <c r="F2696" s="4">
        <f>IFERROR(__xludf.DUMMYFUNCTION("""COMPUTED_VALUE"""),5.0)</f>
        <v>5</v>
      </c>
      <c r="G2696" s="4">
        <f>IFERROR(__xludf.DUMMYFUNCTION("""COMPUTED_VALUE"""),275.0)</f>
        <v>275</v>
      </c>
      <c r="H2696" s="4">
        <f>IFERROR(__xludf.DUMMYFUNCTION("""COMPUTED_VALUE"""),3001.0)</f>
        <v>3001</v>
      </c>
      <c r="I2696" s="4">
        <f>IFERROR(__xludf.DUMMYFUNCTION("""COMPUTED_VALUE"""),1192.0)</f>
        <v>1192</v>
      </c>
      <c r="J2696" s="4">
        <f>IFERROR(__xludf.DUMMYFUNCTION("""COMPUTED_VALUE"""),815.0)</f>
        <v>815</v>
      </c>
      <c r="K2696" s="4">
        <f>IFERROR(__xludf.DUMMYFUNCTION("""COMPUTED_VALUE"""),125.0)</f>
        <v>125</v>
      </c>
      <c r="L2696" s="4">
        <f>IFERROR(__xludf.DUMMYFUNCTION("""COMPUTED_VALUE"""),0.433)</f>
        <v>0.433</v>
      </c>
      <c r="M2696" s="4">
        <f>IFERROR(__xludf.DUMMYFUNCTION("""COMPUTED_VALUE"""),0.0)</f>
        <v>0</v>
      </c>
      <c r="N2696" s="4">
        <f>IFERROR(__xludf.DUMMYFUNCTION("""COMPUTED_VALUE"""),0.751)</f>
        <v>0.751</v>
      </c>
      <c r="O2696" s="4">
        <f>IFERROR(__xludf.DUMMYFUNCTION("""COMPUTED_VALUE"""),10.9)</f>
        <v>10.9</v>
      </c>
      <c r="P2696" s="4">
        <f>IFERROR(__xludf.DUMMYFUNCTION("""COMPUTED_VALUE"""),4.3)</f>
        <v>4.3</v>
      </c>
      <c r="Q2696" s="4">
        <f>IFERROR(__xludf.DUMMYFUNCTION("""COMPUTED_VALUE"""),3.0)</f>
        <v>3</v>
      </c>
      <c r="R2696" s="4">
        <f>IFERROR(__xludf.DUMMYFUNCTION("""COMPUTED_VALUE"""),0.5)</f>
        <v>0.5</v>
      </c>
      <c r="S2696" s="4">
        <f>IFERROR(__xludf.DUMMYFUNCTION("""COMPUTED_VALUE"""),1.4)</f>
        <v>1.4</v>
      </c>
      <c r="T2696" s="4">
        <f>IFERROR(__xludf.DUMMYFUNCTION("""COMPUTED_VALUE"""),0.022)</f>
        <v>0.022</v>
      </c>
      <c r="U2696" s="4">
        <f>IFERROR(__xludf.DUMMYFUNCTION("""COMPUTED_VALUE"""),-5.8)</f>
        <v>-5.8</v>
      </c>
      <c r="V2696" s="4">
        <f>IFERROR(__xludf.DUMMYFUNCTION("""COMPUTED_VALUE"""),-2.9)</f>
        <v>-2.9</v>
      </c>
    </row>
    <row r="2697">
      <c r="A2697" s="4">
        <f>IFERROR(__xludf.DUMMYFUNCTION("""COMPUTED_VALUE"""),44.0)</f>
        <v>44</v>
      </c>
      <c r="B2697" s="4">
        <f>IFERROR(__xludf.DUMMYFUNCTION("""COMPUTED_VALUE"""),44.0)</f>
        <v>44</v>
      </c>
      <c r="C2697" s="4" t="str">
        <f>IFERROR(__xludf.DUMMYFUNCTION("""COMPUTED_VALUE"""),"PHI")</f>
        <v>PHI</v>
      </c>
      <c r="D2697" s="4" t="str">
        <f>IFERROR(__xludf.DUMMYFUNCTION("""COMPUTED_VALUE"""),"David Wingate")</f>
        <v>David Wingate</v>
      </c>
      <c r="E2697" s="4" t="str">
        <f>IFERROR(__xludf.DUMMYFUNCTION("""COMPUTED_VALUE"""),"Georgetown")</f>
        <v>Georgetown</v>
      </c>
      <c r="F2697" s="4">
        <f>IFERROR(__xludf.DUMMYFUNCTION("""COMPUTED_VALUE"""),15.0)</f>
        <v>15</v>
      </c>
      <c r="G2697" s="4">
        <f>IFERROR(__xludf.DUMMYFUNCTION("""COMPUTED_VALUE"""),740.0)</f>
        <v>740</v>
      </c>
      <c r="H2697" s="4">
        <f>IFERROR(__xludf.DUMMYFUNCTION("""COMPUTED_VALUE"""),13243.0)</f>
        <v>13243</v>
      </c>
      <c r="I2697" s="4">
        <f>IFERROR(__xludf.DUMMYFUNCTION("""COMPUTED_VALUE"""),4166.0)</f>
        <v>4166</v>
      </c>
      <c r="J2697" s="4">
        <f>IFERROR(__xludf.DUMMYFUNCTION("""COMPUTED_VALUE"""),1420.0)</f>
        <v>1420</v>
      </c>
      <c r="K2697" s="4">
        <f>IFERROR(__xludf.DUMMYFUNCTION("""COMPUTED_VALUE"""),1376.0)</f>
        <v>1376</v>
      </c>
      <c r="L2697" s="4">
        <f>IFERROR(__xludf.DUMMYFUNCTION("""COMPUTED_VALUE"""),0.445)</f>
        <v>0.445</v>
      </c>
      <c r="M2697" s="4">
        <f>IFERROR(__xludf.DUMMYFUNCTION("""COMPUTED_VALUE"""),0.272)</f>
        <v>0.272</v>
      </c>
      <c r="N2697" s="4">
        <f>IFERROR(__xludf.DUMMYFUNCTION("""COMPUTED_VALUE"""),0.738)</f>
        <v>0.738</v>
      </c>
      <c r="O2697" s="4">
        <f>IFERROR(__xludf.DUMMYFUNCTION("""COMPUTED_VALUE"""),17.9)</f>
        <v>17.9</v>
      </c>
      <c r="P2697" s="4">
        <f>IFERROR(__xludf.DUMMYFUNCTION("""COMPUTED_VALUE"""),5.6)</f>
        <v>5.6</v>
      </c>
      <c r="Q2697" s="4">
        <f>IFERROR(__xludf.DUMMYFUNCTION("""COMPUTED_VALUE"""),1.9)</f>
        <v>1.9</v>
      </c>
      <c r="R2697" s="4">
        <f>IFERROR(__xludf.DUMMYFUNCTION("""COMPUTED_VALUE"""),1.9)</f>
        <v>1.9</v>
      </c>
      <c r="S2697" s="4">
        <f>IFERROR(__xludf.DUMMYFUNCTION("""COMPUTED_VALUE"""),11.7)</f>
        <v>11.7</v>
      </c>
      <c r="T2697" s="4">
        <f>IFERROR(__xludf.DUMMYFUNCTION("""COMPUTED_VALUE"""),0.042)</f>
        <v>0.042</v>
      </c>
      <c r="U2697" s="4">
        <f>IFERROR(__xludf.DUMMYFUNCTION("""COMPUTED_VALUE"""),-2.4)</f>
        <v>-2.4</v>
      </c>
      <c r="V2697" s="4">
        <f>IFERROR(__xludf.DUMMYFUNCTION("""COMPUTED_VALUE"""),-1.2)</f>
        <v>-1.2</v>
      </c>
    </row>
    <row r="2698">
      <c r="A2698" s="4">
        <f>IFERROR(__xludf.DUMMYFUNCTION("""COMPUTED_VALUE"""),45.0)</f>
        <v>45</v>
      </c>
      <c r="B2698" s="4">
        <f>IFERROR(__xludf.DUMMYFUNCTION("""COMPUTED_VALUE"""),45.0)</f>
        <v>45</v>
      </c>
      <c r="C2698" s="4" t="str">
        <f>IFERROR(__xludf.DUMMYFUNCTION("""COMPUTED_VALUE"""),"MIL")</f>
        <v>MIL</v>
      </c>
      <c r="D2698" s="4" t="str">
        <f>IFERROR(__xludf.DUMMYFUNCTION("""COMPUTED_VALUE"""),"Keith Smith")</f>
        <v>Keith Smith</v>
      </c>
      <c r="E2698" s="4" t="str">
        <f>IFERROR(__xludf.DUMMYFUNCTION("""COMPUTED_VALUE"""),"Loyola Marymount")</f>
        <v>Loyola Marymount</v>
      </c>
      <c r="F2698" s="4">
        <f>IFERROR(__xludf.DUMMYFUNCTION("""COMPUTED_VALUE"""),1.0)</f>
        <v>1</v>
      </c>
      <c r="G2698" s="4">
        <f>IFERROR(__xludf.DUMMYFUNCTION("""COMPUTED_VALUE"""),42.0)</f>
        <v>42</v>
      </c>
      <c r="H2698" s="4">
        <f>IFERROR(__xludf.DUMMYFUNCTION("""COMPUTED_VALUE"""),461.0)</f>
        <v>461</v>
      </c>
      <c r="I2698" s="4">
        <f>IFERROR(__xludf.DUMMYFUNCTION("""COMPUTED_VALUE"""),138.0)</f>
        <v>138</v>
      </c>
      <c r="J2698" s="4">
        <f>IFERROR(__xludf.DUMMYFUNCTION("""COMPUTED_VALUE"""),32.0)</f>
        <v>32</v>
      </c>
      <c r="K2698" s="4">
        <f>IFERROR(__xludf.DUMMYFUNCTION("""COMPUTED_VALUE"""),43.0)</f>
        <v>43</v>
      </c>
      <c r="L2698" s="4">
        <f>IFERROR(__xludf.DUMMYFUNCTION("""COMPUTED_VALUE"""),0.38)</f>
        <v>0.38</v>
      </c>
      <c r="M2698" s="4">
        <f>IFERROR(__xludf.DUMMYFUNCTION("""COMPUTED_VALUE"""),0.333)</f>
        <v>0.333</v>
      </c>
      <c r="N2698" s="4">
        <f>IFERROR(__xludf.DUMMYFUNCTION("""COMPUTED_VALUE"""),0.75)</f>
        <v>0.75</v>
      </c>
      <c r="O2698" s="4">
        <f>IFERROR(__xludf.DUMMYFUNCTION("""COMPUTED_VALUE"""),11.0)</f>
        <v>11</v>
      </c>
      <c r="P2698" s="4">
        <f>IFERROR(__xludf.DUMMYFUNCTION("""COMPUTED_VALUE"""),3.3)</f>
        <v>3.3</v>
      </c>
      <c r="Q2698" s="4">
        <f>IFERROR(__xludf.DUMMYFUNCTION("""COMPUTED_VALUE"""),0.8)</f>
        <v>0.8</v>
      </c>
      <c r="R2698" s="4">
        <f>IFERROR(__xludf.DUMMYFUNCTION("""COMPUTED_VALUE"""),1.0)</f>
        <v>1</v>
      </c>
      <c r="S2698" s="4">
        <f>IFERROR(__xludf.DUMMYFUNCTION("""COMPUTED_VALUE"""),0.0)</f>
        <v>0</v>
      </c>
      <c r="T2698" s="4">
        <f>IFERROR(__xludf.DUMMYFUNCTION("""COMPUTED_VALUE"""),-0.003)</f>
        <v>-0.003</v>
      </c>
      <c r="U2698" s="4">
        <f>IFERROR(__xludf.DUMMYFUNCTION("""COMPUTED_VALUE"""),-5.5)</f>
        <v>-5.5</v>
      </c>
      <c r="V2698" s="4">
        <f>IFERROR(__xludf.DUMMYFUNCTION("""COMPUTED_VALUE"""),-0.4)</f>
        <v>-0.4</v>
      </c>
    </row>
    <row r="2699">
      <c r="A2699" s="4">
        <f>IFERROR(__xludf.DUMMYFUNCTION("""COMPUTED_VALUE"""),46.0)</f>
        <v>46</v>
      </c>
      <c r="B2699" s="4">
        <f>IFERROR(__xludf.DUMMYFUNCTION("""COMPUTED_VALUE"""),46.0)</f>
        <v>46</v>
      </c>
      <c r="C2699" s="4" t="str">
        <f>IFERROR(__xludf.DUMMYFUNCTION("""COMPUTED_VALUE"""),"PHO")</f>
        <v>PHO</v>
      </c>
      <c r="D2699" s="4" t="str">
        <f>IFERROR(__xludf.DUMMYFUNCTION("""COMPUTED_VALUE"""),"Jeff Hornacek")</f>
        <v>Jeff Hornacek</v>
      </c>
      <c r="E2699" s="4" t="str">
        <f>IFERROR(__xludf.DUMMYFUNCTION("""COMPUTED_VALUE"""),"Iowa State")</f>
        <v>Iowa State</v>
      </c>
      <c r="F2699" s="4">
        <f>IFERROR(__xludf.DUMMYFUNCTION("""COMPUTED_VALUE"""),14.0)</f>
        <v>14</v>
      </c>
      <c r="G2699" s="4">
        <f>IFERROR(__xludf.DUMMYFUNCTION("""COMPUTED_VALUE"""),1077.0)</f>
        <v>1077</v>
      </c>
      <c r="H2699" s="4">
        <f>IFERROR(__xludf.DUMMYFUNCTION("""COMPUTED_VALUE"""),33964.0)</f>
        <v>33964</v>
      </c>
      <c r="I2699" s="4">
        <f>IFERROR(__xludf.DUMMYFUNCTION("""COMPUTED_VALUE"""),15659.0)</f>
        <v>15659</v>
      </c>
      <c r="J2699" s="4">
        <f>IFERROR(__xludf.DUMMYFUNCTION("""COMPUTED_VALUE"""),3646.0)</f>
        <v>3646</v>
      </c>
      <c r="K2699" s="4">
        <f>IFERROR(__xludf.DUMMYFUNCTION("""COMPUTED_VALUE"""),5281.0)</f>
        <v>5281</v>
      </c>
      <c r="L2699" s="4">
        <f>IFERROR(__xludf.DUMMYFUNCTION("""COMPUTED_VALUE"""),0.496)</f>
        <v>0.496</v>
      </c>
      <c r="M2699" s="4">
        <f>IFERROR(__xludf.DUMMYFUNCTION("""COMPUTED_VALUE"""),0.403)</f>
        <v>0.403</v>
      </c>
      <c r="N2699" s="4">
        <f>IFERROR(__xludf.DUMMYFUNCTION("""COMPUTED_VALUE"""),0.877)</f>
        <v>0.877</v>
      </c>
      <c r="O2699" s="4">
        <f>IFERROR(__xludf.DUMMYFUNCTION("""COMPUTED_VALUE"""),31.5)</f>
        <v>31.5</v>
      </c>
      <c r="P2699" s="4">
        <f>IFERROR(__xludf.DUMMYFUNCTION("""COMPUTED_VALUE"""),14.5)</f>
        <v>14.5</v>
      </c>
      <c r="Q2699" s="4">
        <f>IFERROR(__xludf.DUMMYFUNCTION("""COMPUTED_VALUE"""),3.4)</f>
        <v>3.4</v>
      </c>
      <c r="R2699" s="4">
        <f>IFERROR(__xludf.DUMMYFUNCTION("""COMPUTED_VALUE"""),4.9)</f>
        <v>4.9</v>
      </c>
      <c r="S2699" s="4">
        <f>IFERROR(__xludf.DUMMYFUNCTION("""COMPUTED_VALUE"""),108.9)</f>
        <v>108.9</v>
      </c>
      <c r="T2699" s="4">
        <f>IFERROR(__xludf.DUMMYFUNCTION("""COMPUTED_VALUE"""),0.154)</f>
        <v>0.154</v>
      </c>
      <c r="U2699" s="4">
        <f>IFERROR(__xludf.DUMMYFUNCTION("""COMPUTED_VALUE"""),2.9)</f>
        <v>2.9</v>
      </c>
      <c r="V2699" s="4">
        <f>IFERROR(__xludf.DUMMYFUNCTION("""COMPUTED_VALUE"""),42.1)</f>
        <v>42.1</v>
      </c>
    </row>
    <row r="2700">
      <c r="A2700" s="4">
        <f>IFERROR(__xludf.DUMMYFUNCTION("""COMPUTED_VALUE"""),47.0)</f>
        <v>47</v>
      </c>
      <c r="B2700" s="4">
        <f>IFERROR(__xludf.DUMMYFUNCTION("""COMPUTED_VALUE"""),47.0)</f>
        <v>47</v>
      </c>
      <c r="C2700" s="4" t="str">
        <f>IFERROR(__xludf.DUMMYFUNCTION("""COMPUTED_VALUE"""),"NYK")</f>
        <v>NYK</v>
      </c>
      <c r="D2700" s="4" t="str">
        <f>IFERROR(__xludf.DUMMYFUNCTION("""COMPUTED_VALUE"""),"Michael Jackson")</f>
        <v>Michael Jackson</v>
      </c>
      <c r="E2700" s="4" t="str">
        <f>IFERROR(__xludf.DUMMYFUNCTION("""COMPUTED_VALUE"""),"Georgetown")</f>
        <v>Georgetown</v>
      </c>
      <c r="F2700" s="4">
        <f>IFERROR(__xludf.DUMMYFUNCTION("""COMPUTED_VALUE"""),3.0)</f>
        <v>3</v>
      </c>
      <c r="G2700" s="4">
        <f>IFERROR(__xludf.DUMMYFUNCTION("""COMPUTED_VALUE"""),89.0)</f>
        <v>89</v>
      </c>
      <c r="H2700" s="4">
        <f>IFERROR(__xludf.DUMMYFUNCTION("""COMPUTED_VALUE"""),888.0)</f>
        <v>888</v>
      </c>
      <c r="I2700" s="4">
        <f>IFERROR(__xludf.DUMMYFUNCTION("""COMPUTED_VALUE"""),188.0)</f>
        <v>188</v>
      </c>
      <c r="J2700" s="4">
        <f>IFERROR(__xludf.DUMMYFUNCTION("""COMPUTED_VALUE"""),70.0)</f>
        <v>70</v>
      </c>
      <c r="K2700" s="4">
        <f>IFERROR(__xludf.DUMMYFUNCTION("""COMPUTED_VALUE"""),198.0)</f>
        <v>198</v>
      </c>
      <c r="L2700" s="4">
        <f>IFERROR(__xludf.DUMMYFUNCTION("""COMPUTED_VALUE"""),0.369)</f>
        <v>0.369</v>
      </c>
      <c r="M2700" s="4">
        <f>IFERROR(__xludf.DUMMYFUNCTION("""COMPUTED_VALUE"""),0.273)</f>
        <v>0.273</v>
      </c>
      <c r="N2700" s="4">
        <f>IFERROR(__xludf.DUMMYFUNCTION("""COMPUTED_VALUE"""),0.675)</f>
        <v>0.675</v>
      </c>
      <c r="O2700" s="4">
        <f>IFERROR(__xludf.DUMMYFUNCTION("""COMPUTED_VALUE"""),10.0)</f>
        <v>10</v>
      </c>
      <c r="P2700" s="4">
        <f>IFERROR(__xludf.DUMMYFUNCTION("""COMPUTED_VALUE"""),2.1)</f>
        <v>2.1</v>
      </c>
      <c r="Q2700" s="4">
        <f>IFERROR(__xludf.DUMMYFUNCTION("""COMPUTED_VALUE"""),0.8)</f>
        <v>0.8</v>
      </c>
      <c r="R2700" s="4">
        <f>IFERROR(__xludf.DUMMYFUNCTION("""COMPUTED_VALUE"""),2.2)</f>
        <v>2.2</v>
      </c>
      <c r="S2700" s="4">
        <f>IFERROR(__xludf.DUMMYFUNCTION("""COMPUTED_VALUE"""),-0.2)</f>
        <v>-0.2</v>
      </c>
      <c r="T2700" s="4">
        <f>IFERROR(__xludf.DUMMYFUNCTION("""COMPUTED_VALUE"""),-0.011)</f>
        <v>-0.011</v>
      </c>
      <c r="U2700" s="4">
        <f>IFERROR(__xludf.DUMMYFUNCTION("""COMPUTED_VALUE"""),-4.8)</f>
        <v>-4.8</v>
      </c>
      <c r="V2700" s="4">
        <f>IFERROR(__xludf.DUMMYFUNCTION("""COMPUTED_VALUE"""),-0.6)</f>
        <v>-0.6</v>
      </c>
    </row>
    <row r="2701">
      <c r="A2701" s="4"/>
      <c r="B2701" s="4"/>
      <c r="C2701" s="4"/>
      <c r="D2701" s="4" t="str">
        <f>IFERROR(__xludf.DUMMYFUNCTION("""COMPUTED_VALUE"""),"Round 3")</f>
        <v>Round 3</v>
      </c>
      <c r="E2701" s="4"/>
      <c r="F2701" s="4"/>
      <c r="G2701" s="4" t="str">
        <f>IFERROR(__xludf.DUMMYFUNCTION("""COMPUTED_VALUE"""),"Totals")</f>
        <v>Totals</v>
      </c>
      <c r="H2701" s="4"/>
      <c r="I2701" s="4"/>
      <c r="J2701" s="4"/>
      <c r="K2701" s="4"/>
      <c r="L2701" s="4" t="str">
        <f>IFERROR(__xludf.DUMMYFUNCTION("""COMPUTED_VALUE"""),"Shooting")</f>
        <v>Shooting</v>
      </c>
      <c r="M2701" s="4"/>
      <c r="N2701" s="4"/>
      <c r="O2701" s="4" t="str">
        <f>IFERROR(__xludf.DUMMYFUNCTION("""COMPUTED_VALUE"""),"Per Game")</f>
        <v>Per Game</v>
      </c>
      <c r="P2701" s="4"/>
      <c r="Q2701" s="4"/>
      <c r="R2701" s="4"/>
      <c r="S2701" s="4" t="str">
        <f>IFERROR(__xludf.DUMMYFUNCTION("""COMPUTED_VALUE"""),"Advanced")</f>
        <v>Advanced</v>
      </c>
      <c r="T2701" s="4"/>
      <c r="U2701" s="4"/>
      <c r="V2701" s="4"/>
    </row>
    <row r="2702">
      <c r="A2702" s="4" t="str">
        <f>IFERROR(__xludf.DUMMYFUNCTION("""COMPUTED_VALUE"""),"Rk")</f>
        <v>Rk</v>
      </c>
      <c r="B2702" s="4" t="str">
        <f>IFERROR(__xludf.DUMMYFUNCTION("""COMPUTED_VALUE"""),"Pk")</f>
        <v>Pk</v>
      </c>
      <c r="C2702" s="4" t="str">
        <f>IFERROR(__xludf.DUMMYFUNCTION("""COMPUTED_VALUE"""),"Tm")</f>
        <v>Tm</v>
      </c>
      <c r="D2702" s="4" t="str">
        <f>IFERROR(__xludf.DUMMYFUNCTION("""COMPUTED_VALUE"""),"Player")</f>
        <v>Player</v>
      </c>
      <c r="E2702" s="4" t="str">
        <f>IFERROR(__xludf.DUMMYFUNCTION("""COMPUTED_VALUE"""),"College")</f>
        <v>College</v>
      </c>
      <c r="F2702" s="4" t="str">
        <f>IFERROR(__xludf.DUMMYFUNCTION("""COMPUTED_VALUE"""),"Yrs")</f>
        <v>Yrs</v>
      </c>
      <c r="G2702" s="4" t="str">
        <f>IFERROR(__xludf.DUMMYFUNCTION("""COMPUTED_VALUE"""),"G")</f>
        <v>G</v>
      </c>
      <c r="H2702" s="4" t="str">
        <f>IFERROR(__xludf.DUMMYFUNCTION("""COMPUTED_VALUE"""),"MP")</f>
        <v>MP</v>
      </c>
      <c r="I2702" s="4" t="str">
        <f>IFERROR(__xludf.DUMMYFUNCTION("""COMPUTED_VALUE"""),"PTS")</f>
        <v>PTS</v>
      </c>
      <c r="J2702" s="4" t="str">
        <f>IFERROR(__xludf.DUMMYFUNCTION("""COMPUTED_VALUE"""),"TRB")</f>
        <v>TRB</v>
      </c>
      <c r="K2702" s="4" t="str">
        <f>IFERROR(__xludf.DUMMYFUNCTION("""COMPUTED_VALUE"""),"AST")</f>
        <v>AST</v>
      </c>
      <c r="L2702" s="4" t="str">
        <f>IFERROR(__xludf.DUMMYFUNCTION("""COMPUTED_VALUE"""),"FG%")</f>
        <v>FG%</v>
      </c>
      <c r="M2702" s="4" t="str">
        <f>IFERROR(__xludf.DUMMYFUNCTION("""COMPUTED_VALUE"""),"3P%")</f>
        <v>3P%</v>
      </c>
      <c r="N2702" s="4" t="str">
        <f>IFERROR(__xludf.DUMMYFUNCTION("""COMPUTED_VALUE"""),"FT%")</f>
        <v>FT%</v>
      </c>
      <c r="O2702" s="4" t="str">
        <f>IFERROR(__xludf.DUMMYFUNCTION("""COMPUTED_VALUE"""),"MP")</f>
        <v>MP</v>
      </c>
      <c r="P2702" s="4" t="str">
        <f>IFERROR(__xludf.DUMMYFUNCTION("""COMPUTED_VALUE"""),"PTS")</f>
        <v>PTS</v>
      </c>
      <c r="Q2702" s="4" t="str">
        <f>IFERROR(__xludf.DUMMYFUNCTION("""COMPUTED_VALUE"""),"TRB")</f>
        <v>TRB</v>
      </c>
      <c r="R2702" s="4" t="str">
        <f>IFERROR(__xludf.DUMMYFUNCTION("""COMPUTED_VALUE"""),"AST")</f>
        <v>AST</v>
      </c>
      <c r="S2702" s="4" t="str">
        <f>IFERROR(__xludf.DUMMYFUNCTION("""COMPUTED_VALUE"""),"WS")</f>
        <v>WS</v>
      </c>
      <c r="T2702" s="4" t="str">
        <f>IFERROR(__xludf.DUMMYFUNCTION("""COMPUTED_VALUE"""),"WS/48")</f>
        <v>WS/48</v>
      </c>
      <c r="U2702" s="4" t="str">
        <f>IFERROR(__xludf.DUMMYFUNCTION("""COMPUTED_VALUE"""),"BPM")</f>
        <v>BPM</v>
      </c>
      <c r="V2702" s="4" t="str">
        <f>IFERROR(__xludf.DUMMYFUNCTION("""COMPUTED_VALUE"""),"VORP")</f>
        <v>VORP</v>
      </c>
    </row>
    <row r="2703">
      <c r="A2703" s="4">
        <f>IFERROR(__xludf.DUMMYFUNCTION("""COMPUTED_VALUE"""),48.0)</f>
        <v>48</v>
      </c>
      <c r="B2703" s="4">
        <f>IFERROR(__xludf.DUMMYFUNCTION("""COMPUTED_VALUE"""),48.0)</f>
        <v>48</v>
      </c>
      <c r="C2703" s="4" t="str">
        <f>IFERROR(__xludf.DUMMYFUNCTION("""COMPUTED_VALUE"""),"SAS")</f>
        <v>SAS</v>
      </c>
      <c r="D2703" s="4" t="str">
        <f>IFERROR(__xludf.DUMMYFUNCTION("""COMPUTED_VALUE"""),"Forrest McKenzie")</f>
        <v>Forrest McKenzie</v>
      </c>
      <c r="E2703" s="4" t="str">
        <f>IFERROR(__xludf.DUMMYFUNCTION("""COMPUTED_VALUE"""),"Loyola Marymount")</f>
        <v>Loyola Marymount</v>
      </c>
      <c r="F2703" s="4">
        <f>IFERROR(__xludf.DUMMYFUNCTION("""COMPUTED_VALUE"""),1.0)</f>
        <v>1</v>
      </c>
      <c r="G2703" s="4">
        <f>IFERROR(__xludf.DUMMYFUNCTION("""COMPUTED_VALUE"""),6.0)</f>
        <v>6</v>
      </c>
      <c r="H2703" s="4">
        <f>IFERROR(__xludf.DUMMYFUNCTION("""COMPUTED_VALUE"""),42.0)</f>
        <v>42</v>
      </c>
      <c r="I2703" s="4">
        <f>IFERROR(__xludf.DUMMYFUNCTION("""COMPUTED_VALUE"""),17.0)</f>
        <v>17</v>
      </c>
      <c r="J2703" s="4">
        <f>IFERROR(__xludf.DUMMYFUNCTION("""COMPUTED_VALUE"""),7.0)</f>
        <v>7</v>
      </c>
      <c r="K2703" s="4">
        <f>IFERROR(__xludf.DUMMYFUNCTION("""COMPUTED_VALUE"""),1.0)</f>
        <v>1</v>
      </c>
      <c r="L2703" s="4">
        <f>IFERROR(__xludf.DUMMYFUNCTION("""COMPUTED_VALUE"""),0.25)</f>
        <v>0.25</v>
      </c>
      <c r="M2703" s="4">
        <f>IFERROR(__xludf.DUMMYFUNCTION("""COMPUTED_VALUE"""),0.5)</f>
        <v>0.5</v>
      </c>
      <c r="N2703" s="4">
        <f>IFERROR(__xludf.DUMMYFUNCTION("""COMPUTED_VALUE"""),1.0)</f>
        <v>1</v>
      </c>
      <c r="O2703" s="4">
        <f>IFERROR(__xludf.DUMMYFUNCTION("""COMPUTED_VALUE"""),7.0)</f>
        <v>7</v>
      </c>
      <c r="P2703" s="4">
        <f>IFERROR(__xludf.DUMMYFUNCTION("""COMPUTED_VALUE"""),2.8)</f>
        <v>2.8</v>
      </c>
      <c r="Q2703" s="4">
        <f>IFERROR(__xludf.DUMMYFUNCTION("""COMPUTED_VALUE"""),1.2)</f>
        <v>1.2</v>
      </c>
      <c r="R2703" s="4">
        <f>IFERROR(__xludf.DUMMYFUNCTION("""COMPUTED_VALUE"""),0.2)</f>
        <v>0.2</v>
      </c>
      <c r="S2703" s="4">
        <f>IFERROR(__xludf.DUMMYFUNCTION("""COMPUTED_VALUE"""),-0.2)</f>
        <v>-0.2</v>
      </c>
      <c r="T2703" s="4">
        <f>IFERROR(__xludf.DUMMYFUNCTION("""COMPUTED_VALUE"""),-0.223)</f>
        <v>-0.223</v>
      </c>
      <c r="U2703" s="4">
        <f>IFERROR(__xludf.DUMMYFUNCTION("""COMPUTED_VALUE"""),-16.8)</f>
        <v>-16.8</v>
      </c>
      <c r="V2703" s="4">
        <f>IFERROR(__xludf.DUMMYFUNCTION("""COMPUTED_VALUE"""),-0.2)</f>
        <v>-0.2</v>
      </c>
    </row>
    <row r="2704">
      <c r="A2704" s="4">
        <f>IFERROR(__xludf.DUMMYFUNCTION("""COMPUTED_VALUE"""),49.0)</f>
        <v>49</v>
      </c>
      <c r="B2704" s="4">
        <f>IFERROR(__xludf.DUMMYFUNCTION("""COMPUTED_VALUE"""),49.0)</f>
        <v>49</v>
      </c>
      <c r="C2704" s="4" t="str">
        <f>IFERROR(__xludf.DUMMYFUNCTION("""COMPUTED_VALUE"""),"POR")</f>
        <v>POR</v>
      </c>
      <c r="D2704" s="4" t="str">
        <f>IFERROR(__xludf.DUMMYFUNCTION("""COMPUTED_VALUE"""),"Juden Smith")</f>
        <v>Juden Smith</v>
      </c>
      <c r="E2704" s="4" t="str">
        <f>IFERROR(__xludf.DUMMYFUNCTION("""COMPUTED_VALUE"""),"Texas-El Paso")</f>
        <v>Texas-El Paso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</row>
    <row r="2705">
      <c r="A2705" s="4">
        <f>IFERROR(__xludf.DUMMYFUNCTION("""COMPUTED_VALUE"""),50.0)</f>
        <v>50</v>
      </c>
      <c r="B2705" s="4">
        <f>IFERROR(__xludf.DUMMYFUNCTION("""COMPUTED_VALUE"""),50.0)</f>
        <v>50</v>
      </c>
      <c r="C2705" s="4" t="str">
        <f>IFERROR(__xludf.DUMMYFUNCTION("""COMPUTED_VALUE"""),"CLE")</f>
        <v>CLE</v>
      </c>
      <c r="D2705" s="4" t="str">
        <f>IFERROR(__xludf.DUMMYFUNCTION("""COMPUTED_VALUE"""),"Kevin Henderson")</f>
        <v>Kevin Henderson</v>
      </c>
      <c r="E2705" s="4" t="str">
        <f>IFERROR(__xludf.DUMMYFUNCTION("""COMPUTED_VALUE"""),"Cal State Fullerton")</f>
        <v>Cal State Fullerton</v>
      </c>
      <c r="F2705" s="4">
        <f>IFERROR(__xludf.DUMMYFUNCTION("""COMPUTED_VALUE"""),2.0)</f>
        <v>2</v>
      </c>
      <c r="G2705" s="4">
        <f>IFERROR(__xludf.DUMMYFUNCTION("""COMPUTED_VALUE"""),22.0)</f>
        <v>22</v>
      </c>
      <c r="H2705" s="4">
        <f>IFERROR(__xludf.DUMMYFUNCTION("""COMPUTED_VALUE"""),235.0)</f>
        <v>235</v>
      </c>
      <c r="I2705" s="4">
        <f>IFERROR(__xludf.DUMMYFUNCTION("""COMPUTED_VALUE"""),65.0)</f>
        <v>65</v>
      </c>
      <c r="J2705" s="4">
        <f>IFERROR(__xludf.DUMMYFUNCTION("""COMPUTED_VALUE"""),24.0)</f>
        <v>24</v>
      </c>
      <c r="K2705" s="4">
        <f>IFERROR(__xludf.DUMMYFUNCTION("""COMPUTED_VALUE"""),34.0)</f>
        <v>34</v>
      </c>
      <c r="L2705" s="4">
        <f>IFERROR(__xludf.DUMMYFUNCTION("""COMPUTED_VALUE"""),0.393)</f>
        <v>0.393</v>
      </c>
      <c r="M2705" s="4">
        <f>IFERROR(__xludf.DUMMYFUNCTION("""COMPUTED_VALUE"""),0.0)</f>
        <v>0</v>
      </c>
      <c r="N2705" s="4">
        <f>IFERROR(__xludf.DUMMYFUNCTION("""COMPUTED_VALUE"""),0.607)</f>
        <v>0.607</v>
      </c>
      <c r="O2705" s="4">
        <f>IFERROR(__xludf.DUMMYFUNCTION("""COMPUTED_VALUE"""),10.7)</f>
        <v>10.7</v>
      </c>
      <c r="P2705" s="4">
        <f>IFERROR(__xludf.DUMMYFUNCTION("""COMPUTED_VALUE"""),3.0)</f>
        <v>3</v>
      </c>
      <c r="Q2705" s="4">
        <f>IFERROR(__xludf.DUMMYFUNCTION("""COMPUTED_VALUE"""),1.1)</f>
        <v>1.1</v>
      </c>
      <c r="R2705" s="4">
        <f>IFERROR(__xludf.DUMMYFUNCTION("""COMPUTED_VALUE"""),1.5)</f>
        <v>1.5</v>
      </c>
      <c r="S2705" s="4">
        <f>IFERROR(__xludf.DUMMYFUNCTION("""COMPUTED_VALUE"""),-0.2)</f>
        <v>-0.2</v>
      </c>
      <c r="T2705" s="4">
        <f>IFERROR(__xludf.DUMMYFUNCTION("""COMPUTED_VALUE"""),-0.038)</f>
        <v>-0.038</v>
      </c>
      <c r="U2705" s="4">
        <f>IFERROR(__xludf.DUMMYFUNCTION("""COMPUTED_VALUE"""),-6.4)</f>
        <v>-6.4</v>
      </c>
      <c r="V2705" s="4">
        <f>IFERROR(__xludf.DUMMYFUNCTION("""COMPUTED_VALUE"""),-0.3)</f>
        <v>-0.3</v>
      </c>
    </row>
    <row r="2706">
      <c r="A2706" s="4">
        <f>IFERROR(__xludf.DUMMYFUNCTION("""COMPUTED_VALUE"""),51.0)</f>
        <v>51</v>
      </c>
      <c r="B2706" s="4">
        <f>IFERROR(__xludf.DUMMYFUNCTION("""COMPUTED_VALUE"""),51.0)</f>
        <v>51</v>
      </c>
      <c r="C2706" s="4" t="str">
        <f>IFERROR(__xludf.DUMMYFUNCTION("""COMPUTED_VALUE"""),"GSW")</f>
        <v>GSW</v>
      </c>
      <c r="D2706" s="4" t="str">
        <f>IFERROR(__xludf.DUMMYFUNCTION("""COMPUTED_VALUE"""),"Mike Williams")</f>
        <v>Mike Williams</v>
      </c>
      <c r="E2706" s="4" t="str">
        <f>IFERROR(__xludf.DUMMYFUNCTION("""COMPUTED_VALUE"""),"Bradley")</f>
        <v>Bradley</v>
      </c>
      <c r="F2706" s="4">
        <f>IFERROR(__xludf.DUMMYFUNCTION("""COMPUTED_VALUE"""),1.0)</f>
        <v>1</v>
      </c>
      <c r="G2706" s="4">
        <f>IFERROR(__xludf.DUMMYFUNCTION("""COMPUTED_VALUE"""),21.0)</f>
        <v>21</v>
      </c>
      <c r="H2706" s="4">
        <f>IFERROR(__xludf.DUMMYFUNCTION("""COMPUTED_VALUE"""),102.0)</f>
        <v>102</v>
      </c>
      <c r="I2706" s="4">
        <f>IFERROR(__xludf.DUMMYFUNCTION("""COMPUTED_VALUE"""),15.0)</f>
        <v>15</v>
      </c>
      <c r="J2706" s="4">
        <f>IFERROR(__xludf.DUMMYFUNCTION("""COMPUTED_VALUE"""),23.0)</f>
        <v>23</v>
      </c>
      <c r="K2706" s="4">
        <f>IFERROR(__xludf.DUMMYFUNCTION("""COMPUTED_VALUE"""),2.0)</f>
        <v>2</v>
      </c>
      <c r="L2706" s="4">
        <f>IFERROR(__xludf.DUMMYFUNCTION("""COMPUTED_VALUE"""),0.333)</f>
        <v>0.333</v>
      </c>
      <c r="M2706" s="4">
        <f>IFERROR(__xludf.DUMMYFUNCTION("""COMPUTED_VALUE"""),0.0)</f>
        <v>0</v>
      </c>
      <c r="N2706" s="4">
        <f>IFERROR(__xludf.DUMMYFUNCTION("""COMPUTED_VALUE"""),0.5)</f>
        <v>0.5</v>
      </c>
      <c r="O2706" s="4">
        <f>IFERROR(__xludf.DUMMYFUNCTION("""COMPUTED_VALUE"""),4.9)</f>
        <v>4.9</v>
      </c>
      <c r="P2706" s="4">
        <f>IFERROR(__xludf.DUMMYFUNCTION("""COMPUTED_VALUE"""),0.7)</f>
        <v>0.7</v>
      </c>
      <c r="Q2706" s="4">
        <f>IFERROR(__xludf.DUMMYFUNCTION("""COMPUTED_VALUE"""),1.1)</f>
        <v>1.1</v>
      </c>
      <c r="R2706" s="4">
        <f>IFERROR(__xludf.DUMMYFUNCTION("""COMPUTED_VALUE"""),0.1)</f>
        <v>0.1</v>
      </c>
      <c r="S2706" s="4">
        <f>IFERROR(__xludf.DUMMYFUNCTION("""COMPUTED_VALUE"""),0.0)</f>
        <v>0</v>
      </c>
      <c r="T2706" s="4">
        <f>IFERROR(__xludf.DUMMYFUNCTION("""COMPUTED_VALUE"""),0.012)</f>
        <v>0.012</v>
      </c>
      <c r="U2706" s="4">
        <f>IFERROR(__xludf.DUMMYFUNCTION("""COMPUTED_VALUE"""),-7.4)</f>
        <v>-7.4</v>
      </c>
      <c r="V2706" s="4">
        <f>IFERROR(__xludf.DUMMYFUNCTION("""COMPUTED_VALUE"""),-0.1)</f>
        <v>-0.1</v>
      </c>
    </row>
    <row r="2707">
      <c r="A2707" s="4">
        <f>IFERROR(__xludf.DUMMYFUNCTION("""COMPUTED_VALUE"""),52.0)</f>
        <v>52</v>
      </c>
      <c r="B2707" s="4">
        <f>IFERROR(__xludf.DUMMYFUNCTION("""COMPUTED_VALUE"""),52.0)</f>
        <v>52</v>
      </c>
      <c r="C2707" s="4" t="str">
        <f>IFERROR(__xludf.DUMMYFUNCTION("""COMPUTED_VALUE"""),"CHI")</f>
        <v>CHI</v>
      </c>
      <c r="D2707" s="4" t="str">
        <f>IFERROR(__xludf.DUMMYFUNCTION("""COMPUTED_VALUE"""),"Ricky Wilson")</f>
        <v>Ricky Wilson</v>
      </c>
      <c r="E2707" s="4" t="str">
        <f>IFERROR(__xludf.DUMMYFUNCTION("""COMPUTED_VALUE"""),"George Mason")</f>
        <v>George Mason</v>
      </c>
      <c r="F2707" s="4">
        <f>IFERROR(__xludf.DUMMYFUNCTION("""COMPUTED_VALUE"""),1.0)</f>
        <v>1</v>
      </c>
      <c r="G2707" s="4">
        <f>IFERROR(__xludf.DUMMYFUNCTION("""COMPUTED_VALUE"""),24.0)</f>
        <v>24</v>
      </c>
      <c r="H2707" s="4">
        <f>IFERROR(__xludf.DUMMYFUNCTION("""COMPUTED_VALUE"""),420.0)</f>
        <v>420</v>
      </c>
      <c r="I2707" s="4">
        <f>IFERROR(__xludf.DUMMYFUNCTION("""COMPUTED_VALUE"""),125.0)</f>
        <v>125</v>
      </c>
      <c r="J2707" s="4">
        <f>IFERROR(__xludf.DUMMYFUNCTION("""COMPUTED_VALUE"""),27.0)</f>
        <v>27</v>
      </c>
      <c r="K2707" s="4">
        <f>IFERROR(__xludf.DUMMYFUNCTION("""COMPUTED_VALUE"""),69.0)</f>
        <v>69</v>
      </c>
      <c r="L2707" s="4">
        <f>IFERROR(__xludf.DUMMYFUNCTION("""COMPUTED_VALUE"""),0.391)</f>
        <v>0.391</v>
      </c>
      <c r="M2707" s="4">
        <f>IFERROR(__xludf.DUMMYFUNCTION("""COMPUTED_VALUE"""),0.385)</f>
        <v>0.385</v>
      </c>
      <c r="N2707" s="4">
        <f>IFERROR(__xludf.DUMMYFUNCTION("""COMPUTED_VALUE"""),0.725)</f>
        <v>0.725</v>
      </c>
      <c r="O2707" s="4">
        <f>IFERROR(__xludf.DUMMYFUNCTION("""COMPUTED_VALUE"""),17.5)</f>
        <v>17.5</v>
      </c>
      <c r="P2707" s="4">
        <f>IFERROR(__xludf.DUMMYFUNCTION("""COMPUTED_VALUE"""),5.2)</f>
        <v>5.2</v>
      </c>
      <c r="Q2707" s="4">
        <f>IFERROR(__xludf.DUMMYFUNCTION("""COMPUTED_VALUE"""),1.1)</f>
        <v>1.1</v>
      </c>
      <c r="R2707" s="4">
        <f>IFERROR(__xludf.DUMMYFUNCTION("""COMPUTED_VALUE"""),2.9)</f>
        <v>2.9</v>
      </c>
      <c r="S2707" s="4">
        <f>IFERROR(__xludf.DUMMYFUNCTION("""COMPUTED_VALUE"""),0.3)</f>
        <v>0.3</v>
      </c>
      <c r="T2707" s="4">
        <f>IFERROR(__xludf.DUMMYFUNCTION("""COMPUTED_VALUE"""),0.032)</f>
        <v>0.032</v>
      </c>
      <c r="U2707" s="4">
        <f>IFERROR(__xludf.DUMMYFUNCTION("""COMPUTED_VALUE"""),-2.6)</f>
        <v>-2.6</v>
      </c>
      <c r="V2707" s="4">
        <f>IFERROR(__xludf.DUMMYFUNCTION("""COMPUTED_VALUE"""),-0.1)</f>
        <v>-0.1</v>
      </c>
    </row>
    <row r="2708">
      <c r="A2708" s="4">
        <f>IFERROR(__xludf.DUMMYFUNCTION("""COMPUTED_VALUE"""),53.0)</f>
        <v>53</v>
      </c>
      <c r="B2708" s="4">
        <f>IFERROR(__xludf.DUMMYFUNCTION("""COMPUTED_VALUE"""),53.0)</f>
        <v>53</v>
      </c>
      <c r="C2708" s="4" t="str">
        <f>IFERROR(__xludf.DUMMYFUNCTION("""COMPUTED_VALUE"""),"SEA")</f>
        <v>SEA</v>
      </c>
      <c r="D2708" s="4" t="str">
        <f>IFERROR(__xludf.DUMMYFUNCTION("""COMPUTED_VALUE"""),"Tod Murphy")</f>
        <v>Tod Murphy</v>
      </c>
      <c r="E2708" s="4" t="str">
        <f>IFERROR(__xludf.DUMMYFUNCTION("""COMPUTED_VALUE"""),"University of California, Irvine")</f>
        <v>University of California, Irvine</v>
      </c>
      <c r="F2708" s="4">
        <f>IFERROR(__xludf.DUMMYFUNCTION("""COMPUTED_VALUE"""),5.0)</f>
        <v>5</v>
      </c>
      <c r="G2708" s="4">
        <f>IFERROR(__xludf.DUMMYFUNCTION("""COMPUTED_VALUE"""),191.0)</f>
        <v>191</v>
      </c>
      <c r="H2708" s="4">
        <f>IFERROR(__xludf.DUMMYFUNCTION("""COMPUTED_VALUE"""),4071.0)</f>
        <v>4071</v>
      </c>
      <c r="I2708" s="4">
        <f>IFERROR(__xludf.DUMMYFUNCTION("""COMPUTED_VALUE"""),1049.0)</f>
        <v>1049</v>
      </c>
      <c r="J2708" s="4">
        <f>IFERROR(__xludf.DUMMYFUNCTION("""COMPUTED_VALUE"""),941.0)</f>
        <v>941</v>
      </c>
      <c r="K2708" s="4">
        <f>IFERROR(__xludf.DUMMYFUNCTION("""COMPUTED_VALUE"""),183.0)</f>
        <v>183</v>
      </c>
      <c r="L2708" s="4">
        <f>IFERROR(__xludf.DUMMYFUNCTION("""COMPUTED_VALUE"""),0.454)</f>
        <v>0.454</v>
      </c>
      <c r="M2708" s="4">
        <f>IFERROR(__xludf.DUMMYFUNCTION("""COMPUTED_VALUE"""),0.29)</f>
        <v>0.29</v>
      </c>
      <c r="N2708" s="4">
        <f>IFERROR(__xludf.DUMMYFUNCTION("""COMPUTED_VALUE"""),0.679)</f>
        <v>0.679</v>
      </c>
      <c r="O2708" s="4">
        <f>IFERROR(__xludf.DUMMYFUNCTION("""COMPUTED_VALUE"""),21.3)</f>
        <v>21.3</v>
      </c>
      <c r="P2708" s="4">
        <f>IFERROR(__xludf.DUMMYFUNCTION("""COMPUTED_VALUE"""),5.5)</f>
        <v>5.5</v>
      </c>
      <c r="Q2708" s="4">
        <f>IFERROR(__xludf.DUMMYFUNCTION("""COMPUTED_VALUE"""),4.9)</f>
        <v>4.9</v>
      </c>
      <c r="R2708" s="4">
        <f>IFERROR(__xludf.DUMMYFUNCTION("""COMPUTED_VALUE"""),1.0)</f>
        <v>1</v>
      </c>
      <c r="S2708" s="4">
        <f>IFERROR(__xludf.DUMMYFUNCTION("""COMPUTED_VALUE"""),8.0)</f>
        <v>8</v>
      </c>
      <c r="T2708" s="4">
        <f>IFERROR(__xludf.DUMMYFUNCTION("""COMPUTED_VALUE"""),0.095)</f>
        <v>0.095</v>
      </c>
      <c r="U2708" s="4">
        <f>IFERROR(__xludf.DUMMYFUNCTION("""COMPUTED_VALUE"""),-1.5)</f>
        <v>-1.5</v>
      </c>
      <c r="V2708" s="4">
        <f>IFERROR(__xludf.DUMMYFUNCTION("""COMPUTED_VALUE"""),0.6)</f>
        <v>0.6</v>
      </c>
    </row>
    <row r="2709">
      <c r="A2709" s="4">
        <f>IFERROR(__xludf.DUMMYFUNCTION("""COMPUTED_VALUE"""),54.0)</f>
        <v>54</v>
      </c>
      <c r="B2709" s="4">
        <f>IFERROR(__xludf.DUMMYFUNCTION("""COMPUTED_VALUE"""),54.0)</f>
        <v>54</v>
      </c>
      <c r="C2709" s="4" t="str">
        <f>IFERROR(__xludf.DUMMYFUNCTION("""COMPUTED_VALUE"""),"LAC")</f>
        <v>LAC</v>
      </c>
      <c r="D2709" s="4" t="str">
        <f>IFERROR(__xludf.DUMMYFUNCTION("""COMPUTED_VALUE"""),"Dwayne Polee")</f>
        <v>Dwayne Polee</v>
      </c>
      <c r="E2709" s="4" t="str">
        <f>IFERROR(__xludf.DUMMYFUNCTION("""COMPUTED_VALUE"""),"Pepperdine")</f>
        <v>Pepperdine</v>
      </c>
      <c r="F2709" s="4">
        <f>IFERROR(__xludf.DUMMYFUNCTION("""COMPUTED_VALUE"""),1.0)</f>
        <v>1</v>
      </c>
      <c r="G2709" s="4">
        <f>IFERROR(__xludf.DUMMYFUNCTION("""COMPUTED_VALUE"""),1.0)</f>
        <v>1</v>
      </c>
      <c r="H2709" s="4">
        <f>IFERROR(__xludf.DUMMYFUNCTION("""COMPUTED_VALUE"""),6.0)</f>
        <v>6</v>
      </c>
      <c r="I2709" s="4">
        <f>IFERROR(__xludf.DUMMYFUNCTION("""COMPUTED_VALUE"""),2.0)</f>
        <v>2</v>
      </c>
      <c r="J2709" s="4">
        <f>IFERROR(__xludf.DUMMYFUNCTION("""COMPUTED_VALUE"""),0.0)</f>
        <v>0</v>
      </c>
      <c r="K2709" s="4">
        <f>IFERROR(__xludf.DUMMYFUNCTION("""COMPUTED_VALUE"""),0.0)</f>
        <v>0</v>
      </c>
      <c r="L2709" s="4">
        <f>IFERROR(__xludf.DUMMYFUNCTION("""COMPUTED_VALUE"""),0.25)</f>
        <v>0.25</v>
      </c>
      <c r="M2709" s="4">
        <f>IFERROR(__xludf.DUMMYFUNCTION("""COMPUTED_VALUE"""),0.0)</f>
        <v>0</v>
      </c>
      <c r="N2709" s="4"/>
      <c r="O2709" s="4">
        <f>IFERROR(__xludf.DUMMYFUNCTION("""COMPUTED_VALUE"""),6.0)</f>
        <v>6</v>
      </c>
      <c r="P2709" s="4">
        <f>IFERROR(__xludf.DUMMYFUNCTION("""COMPUTED_VALUE"""),2.0)</f>
        <v>2</v>
      </c>
      <c r="Q2709" s="4">
        <f>IFERROR(__xludf.DUMMYFUNCTION("""COMPUTED_VALUE"""),0.0)</f>
        <v>0</v>
      </c>
      <c r="R2709" s="4">
        <f>IFERROR(__xludf.DUMMYFUNCTION("""COMPUTED_VALUE"""),0.0)</f>
        <v>0</v>
      </c>
      <c r="S2709" s="4">
        <f>IFERROR(__xludf.DUMMYFUNCTION("""COMPUTED_VALUE"""),0.0)</f>
        <v>0</v>
      </c>
      <c r="T2709" s="4">
        <f>IFERROR(__xludf.DUMMYFUNCTION("""COMPUTED_VALUE"""),-0.397)</f>
        <v>-0.397</v>
      </c>
      <c r="U2709" s="4">
        <f>IFERROR(__xludf.DUMMYFUNCTION("""COMPUTED_VALUE"""),-22.3)</f>
        <v>-22.3</v>
      </c>
      <c r="V2709" s="4">
        <f>IFERROR(__xludf.DUMMYFUNCTION("""COMPUTED_VALUE"""),0.0)</f>
        <v>0</v>
      </c>
    </row>
    <row r="2710">
      <c r="A2710" s="4">
        <f>IFERROR(__xludf.DUMMYFUNCTION("""COMPUTED_VALUE"""),55.0)</f>
        <v>55</v>
      </c>
      <c r="B2710" s="4">
        <f>IFERROR(__xludf.DUMMYFUNCTION("""COMPUTED_VALUE"""),55.0)</f>
        <v>55</v>
      </c>
      <c r="C2710" s="4" t="str">
        <f>IFERROR(__xludf.DUMMYFUNCTION("""COMPUTED_VALUE"""),"PHO")</f>
        <v>PHO</v>
      </c>
      <c r="D2710" s="4" t="str">
        <f>IFERROR(__xludf.DUMMYFUNCTION("""COMPUTED_VALUE"""),"Kenny Gattison")</f>
        <v>Kenny Gattison</v>
      </c>
      <c r="E2710" s="4" t="str">
        <f>IFERROR(__xludf.DUMMYFUNCTION("""COMPUTED_VALUE"""),"Old Dominion")</f>
        <v>Old Dominion</v>
      </c>
      <c r="F2710" s="4">
        <f>IFERROR(__xludf.DUMMYFUNCTION("""COMPUTED_VALUE"""),9.0)</f>
        <v>9</v>
      </c>
      <c r="G2710" s="4">
        <f>IFERROR(__xludf.DUMMYFUNCTION("""COMPUTED_VALUE"""),494.0)</f>
        <v>494</v>
      </c>
      <c r="H2710" s="4">
        <f>IFERROR(__xludf.DUMMYFUNCTION("""COMPUTED_VALUE"""),9927.0)</f>
        <v>9927</v>
      </c>
      <c r="I2710" s="4">
        <f>IFERROR(__xludf.DUMMYFUNCTION("""COMPUTED_VALUE"""),3923.0)</f>
        <v>3923</v>
      </c>
      <c r="J2710" s="4">
        <f>IFERROR(__xludf.DUMMYFUNCTION("""COMPUTED_VALUE"""),2327.0)</f>
        <v>2327</v>
      </c>
      <c r="K2710" s="4">
        <f>IFERROR(__xludf.DUMMYFUNCTION("""COMPUTED_VALUE"""),444.0)</f>
        <v>444</v>
      </c>
      <c r="L2710" s="4">
        <f>IFERROR(__xludf.DUMMYFUNCTION("""COMPUTED_VALUE"""),0.52)</f>
        <v>0.52</v>
      </c>
      <c r="M2710" s="4">
        <f>IFERROR(__xludf.DUMMYFUNCTION("""COMPUTED_VALUE"""),0.083)</f>
        <v>0.083</v>
      </c>
      <c r="N2710" s="4">
        <f>IFERROR(__xludf.DUMMYFUNCTION("""COMPUTED_VALUE"""),0.649)</f>
        <v>0.649</v>
      </c>
      <c r="O2710" s="4">
        <f>IFERROR(__xludf.DUMMYFUNCTION("""COMPUTED_VALUE"""),20.1)</f>
        <v>20.1</v>
      </c>
      <c r="P2710" s="4">
        <f>IFERROR(__xludf.DUMMYFUNCTION("""COMPUTED_VALUE"""),7.9)</f>
        <v>7.9</v>
      </c>
      <c r="Q2710" s="4">
        <f>IFERROR(__xludf.DUMMYFUNCTION("""COMPUTED_VALUE"""),4.7)</f>
        <v>4.7</v>
      </c>
      <c r="R2710" s="4">
        <f>IFERROR(__xludf.DUMMYFUNCTION("""COMPUTED_VALUE"""),0.9)</f>
        <v>0.9</v>
      </c>
      <c r="S2710" s="4">
        <f>IFERROR(__xludf.DUMMYFUNCTION("""COMPUTED_VALUE"""),16.9)</f>
        <v>16.9</v>
      </c>
      <c r="T2710" s="4">
        <f>IFERROR(__xludf.DUMMYFUNCTION("""COMPUTED_VALUE"""),0.082)</f>
        <v>0.082</v>
      </c>
      <c r="U2710" s="4">
        <f>IFERROR(__xludf.DUMMYFUNCTION("""COMPUTED_VALUE"""),-2.4)</f>
        <v>-2.4</v>
      </c>
      <c r="V2710" s="4">
        <f>IFERROR(__xludf.DUMMYFUNCTION("""COMPUTED_VALUE"""),-1.1)</f>
        <v>-1.1</v>
      </c>
    </row>
    <row r="2711">
      <c r="A2711" s="4">
        <f>IFERROR(__xludf.DUMMYFUNCTION("""COMPUTED_VALUE"""),56.0)</f>
        <v>56</v>
      </c>
      <c r="B2711" s="4">
        <f>IFERROR(__xludf.DUMMYFUNCTION("""COMPUTED_VALUE"""),56.0)</f>
        <v>56</v>
      </c>
      <c r="C2711" s="4" t="str">
        <f>IFERROR(__xludf.DUMMYFUNCTION("""COMPUTED_VALUE"""),"PHI")</f>
        <v>PHI</v>
      </c>
      <c r="D2711" s="4" t="str">
        <f>IFERROR(__xludf.DUMMYFUNCTION("""COMPUTED_VALUE"""),"Keith Colbert")</f>
        <v>Keith Colbert</v>
      </c>
      <c r="E2711" s="4" t="str">
        <f>IFERROR(__xludf.DUMMYFUNCTION("""COMPUTED_VALUE"""),"Virginia Tech")</f>
        <v>Virginia Tech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</row>
    <row r="2712">
      <c r="A2712" s="4">
        <f>IFERROR(__xludf.DUMMYFUNCTION("""COMPUTED_VALUE"""),57.0)</f>
        <v>57</v>
      </c>
      <c r="B2712" s="4">
        <f>IFERROR(__xludf.DUMMYFUNCTION("""COMPUTED_VALUE"""),57.0)</f>
        <v>57</v>
      </c>
      <c r="C2712" s="4" t="str">
        <f>IFERROR(__xludf.DUMMYFUNCTION("""COMPUTED_VALUE"""),"SAC")</f>
        <v>SAC</v>
      </c>
      <c r="D2712" s="4" t="str">
        <f>IFERROR(__xludf.DUMMYFUNCTION("""COMPUTED_VALUE"""),"Bruce Douglas")</f>
        <v>Bruce Douglas</v>
      </c>
      <c r="E2712" s="4" t="str">
        <f>IFERROR(__xludf.DUMMYFUNCTION("""COMPUTED_VALUE"""),"Illinois")</f>
        <v>Illinois</v>
      </c>
      <c r="F2712" s="4">
        <f>IFERROR(__xludf.DUMMYFUNCTION("""COMPUTED_VALUE"""),1.0)</f>
        <v>1</v>
      </c>
      <c r="G2712" s="4">
        <f>IFERROR(__xludf.DUMMYFUNCTION("""COMPUTED_VALUE"""),8.0)</f>
        <v>8</v>
      </c>
      <c r="H2712" s="4">
        <f>IFERROR(__xludf.DUMMYFUNCTION("""COMPUTED_VALUE"""),98.0)</f>
        <v>98</v>
      </c>
      <c r="I2712" s="4">
        <f>IFERROR(__xludf.DUMMYFUNCTION("""COMPUTED_VALUE"""),14.0)</f>
        <v>14</v>
      </c>
      <c r="J2712" s="4">
        <f>IFERROR(__xludf.DUMMYFUNCTION("""COMPUTED_VALUE"""),14.0)</f>
        <v>14</v>
      </c>
      <c r="K2712" s="4">
        <f>IFERROR(__xludf.DUMMYFUNCTION("""COMPUTED_VALUE"""),17.0)</f>
        <v>17</v>
      </c>
      <c r="L2712" s="4">
        <f>IFERROR(__xludf.DUMMYFUNCTION("""COMPUTED_VALUE"""),0.292)</f>
        <v>0.292</v>
      </c>
      <c r="M2712" s="4">
        <f>IFERROR(__xludf.DUMMYFUNCTION("""COMPUTED_VALUE"""),0.0)</f>
        <v>0</v>
      </c>
      <c r="N2712" s="4">
        <f>IFERROR(__xludf.DUMMYFUNCTION("""COMPUTED_VALUE"""),0.0)</f>
        <v>0</v>
      </c>
      <c r="O2712" s="4">
        <f>IFERROR(__xludf.DUMMYFUNCTION("""COMPUTED_VALUE"""),12.3)</f>
        <v>12.3</v>
      </c>
      <c r="P2712" s="4">
        <f>IFERROR(__xludf.DUMMYFUNCTION("""COMPUTED_VALUE"""),1.8)</f>
        <v>1.8</v>
      </c>
      <c r="Q2712" s="4">
        <f>IFERROR(__xludf.DUMMYFUNCTION("""COMPUTED_VALUE"""),1.8)</f>
        <v>1.8</v>
      </c>
      <c r="R2712" s="4">
        <f>IFERROR(__xludf.DUMMYFUNCTION("""COMPUTED_VALUE"""),2.1)</f>
        <v>2.1</v>
      </c>
      <c r="S2712" s="4">
        <f>IFERROR(__xludf.DUMMYFUNCTION("""COMPUTED_VALUE"""),-0.2)</f>
        <v>-0.2</v>
      </c>
      <c r="T2712" s="4">
        <f>IFERROR(__xludf.DUMMYFUNCTION("""COMPUTED_VALUE"""),-0.082)</f>
        <v>-0.082</v>
      </c>
      <c r="U2712" s="4">
        <f>IFERROR(__xludf.DUMMYFUNCTION("""COMPUTED_VALUE"""),-3.0)</f>
        <v>-3</v>
      </c>
      <c r="V2712" s="4">
        <f>IFERROR(__xludf.DUMMYFUNCTION("""COMPUTED_VALUE"""),0.0)</f>
        <v>0</v>
      </c>
    </row>
    <row r="2713">
      <c r="A2713" s="4">
        <f>IFERROR(__xludf.DUMMYFUNCTION("""COMPUTED_VALUE"""),58.0)</f>
        <v>58</v>
      </c>
      <c r="B2713" s="4">
        <f>IFERROR(__xludf.DUMMYFUNCTION("""COMPUTED_VALUE"""),58.0)</f>
        <v>58</v>
      </c>
      <c r="C2713" s="4" t="str">
        <f>IFERROR(__xludf.DUMMYFUNCTION("""COMPUTED_VALUE"""),"WSB")</f>
        <v>WSB</v>
      </c>
      <c r="D2713" s="4" t="str">
        <f>IFERROR(__xludf.DUMMYFUNCTION("""COMPUTED_VALUE"""),"Dave Henderson")</f>
        <v>Dave Henderson</v>
      </c>
      <c r="E2713" s="4" t="str">
        <f>IFERROR(__xludf.DUMMYFUNCTION("""COMPUTED_VALUE"""),"Duke")</f>
        <v>Duke</v>
      </c>
      <c r="F2713" s="4">
        <f>IFERROR(__xludf.DUMMYFUNCTION("""COMPUTED_VALUE"""),1.0)</f>
        <v>1</v>
      </c>
      <c r="G2713" s="4">
        <f>IFERROR(__xludf.DUMMYFUNCTION("""COMPUTED_VALUE"""),22.0)</f>
        <v>22</v>
      </c>
      <c r="H2713" s="4">
        <f>IFERROR(__xludf.DUMMYFUNCTION("""COMPUTED_VALUE"""),351.0)</f>
        <v>351</v>
      </c>
      <c r="I2713" s="4">
        <f>IFERROR(__xludf.DUMMYFUNCTION("""COMPUTED_VALUE"""),126.0)</f>
        <v>126</v>
      </c>
      <c r="J2713" s="4">
        <f>IFERROR(__xludf.DUMMYFUNCTION("""COMPUTED_VALUE"""),35.0)</f>
        <v>35</v>
      </c>
      <c r="K2713" s="4">
        <f>IFERROR(__xludf.DUMMYFUNCTION("""COMPUTED_VALUE"""),34.0)</f>
        <v>34</v>
      </c>
      <c r="L2713" s="4">
        <f>IFERROR(__xludf.DUMMYFUNCTION("""COMPUTED_VALUE"""),0.405)</f>
        <v>0.405</v>
      </c>
      <c r="M2713" s="4">
        <f>IFERROR(__xludf.DUMMYFUNCTION("""COMPUTED_VALUE"""),0.0)</f>
        <v>0</v>
      </c>
      <c r="N2713" s="4">
        <f>IFERROR(__xludf.DUMMYFUNCTION("""COMPUTED_VALUE"""),0.681)</f>
        <v>0.681</v>
      </c>
      <c r="O2713" s="4">
        <f>IFERROR(__xludf.DUMMYFUNCTION("""COMPUTED_VALUE"""),16.0)</f>
        <v>16</v>
      </c>
      <c r="P2713" s="4">
        <f>IFERROR(__xludf.DUMMYFUNCTION("""COMPUTED_VALUE"""),5.7)</f>
        <v>5.7</v>
      </c>
      <c r="Q2713" s="4">
        <f>IFERROR(__xludf.DUMMYFUNCTION("""COMPUTED_VALUE"""),1.6)</f>
        <v>1.6</v>
      </c>
      <c r="R2713" s="4">
        <f>IFERROR(__xludf.DUMMYFUNCTION("""COMPUTED_VALUE"""),1.5)</f>
        <v>1.5</v>
      </c>
      <c r="S2713" s="4">
        <f>IFERROR(__xludf.DUMMYFUNCTION("""COMPUTED_VALUE"""),-0.4)</f>
        <v>-0.4</v>
      </c>
      <c r="T2713" s="4">
        <f>IFERROR(__xludf.DUMMYFUNCTION("""COMPUTED_VALUE"""),-0.058)</f>
        <v>-0.058</v>
      </c>
      <c r="U2713" s="4">
        <f>IFERROR(__xludf.DUMMYFUNCTION("""COMPUTED_VALUE"""),-7.1)</f>
        <v>-7.1</v>
      </c>
      <c r="V2713" s="4">
        <f>IFERROR(__xludf.DUMMYFUNCTION("""COMPUTED_VALUE"""),-0.4)</f>
        <v>-0.4</v>
      </c>
    </row>
    <row r="2714">
      <c r="A2714" s="4">
        <f>IFERROR(__xludf.DUMMYFUNCTION("""COMPUTED_VALUE"""),59.0)</f>
        <v>59</v>
      </c>
      <c r="B2714" s="4">
        <f>IFERROR(__xludf.DUMMYFUNCTION("""COMPUTED_VALUE"""),59.0)</f>
        <v>59</v>
      </c>
      <c r="C2714" s="4" t="str">
        <f>IFERROR(__xludf.DUMMYFUNCTION("""COMPUTED_VALUE"""),"GSW")</f>
        <v>GSW</v>
      </c>
      <c r="D2714" s="4" t="str">
        <f>IFERROR(__xludf.DUMMYFUNCTION("""COMPUTED_VALUE"""),"Wendell Alexis")</f>
        <v>Wendell Alexis</v>
      </c>
      <c r="E2714" s="4" t="str">
        <f>IFERROR(__xludf.DUMMYFUNCTION("""COMPUTED_VALUE"""),"Syracuse")</f>
        <v>Syracuse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</row>
    <row r="2715">
      <c r="A2715" s="4">
        <f>IFERROR(__xludf.DUMMYFUNCTION("""COMPUTED_VALUE"""),60.0)</f>
        <v>60</v>
      </c>
      <c r="B2715" s="4">
        <f>IFERROR(__xludf.DUMMYFUNCTION("""COMPUTED_VALUE"""),60.0)</f>
        <v>60</v>
      </c>
      <c r="C2715" s="4" t="str">
        <f>IFERROR(__xludf.DUMMYFUNCTION("""COMPUTED_VALUE"""),"POR")</f>
        <v>POR</v>
      </c>
      <c r="D2715" s="4" t="str">
        <f>IFERROR(__xludf.DUMMYFUNCTION("""COMPUTED_VALUE"""),"Dražen Petrović")</f>
        <v>Dražen Petrović</v>
      </c>
      <c r="E2715" s="4"/>
      <c r="F2715" s="4">
        <f>IFERROR(__xludf.DUMMYFUNCTION("""COMPUTED_VALUE"""),4.0)</f>
        <v>4</v>
      </c>
      <c r="G2715" s="4">
        <f>IFERROR(__xludf.DUMMYFUNCTION("""COMPUTED_VALUE"""),290.0)</f>
        <v>290</v>
      </c>
      <c r="H2715" s="4">
        <f>IFERROR(__xludf.DUMMYFUNCTION("""COMPUTED_VALUE"""),7669.0)</f>
        <v>7669</v>
      </c>
      <c r="I2715" s="4">
        <f>IFERROR(__xludf.DUMMYFUNCTION("""COMPUTED_VALUE"""),4461.0)</f>
        <v>4461</v>
      </c>
      <c r="J2715" s="4">
        <f>IFERROR(__xludf.DUMMYFUNCTION("""COMPUTED_VALUE"""),669.0)</f>
        <v>669</v>
      </c>
      <c r="K2715" s="4">
        <f>IFERROR(__xludf.DUMMYFUNCTION("""COMPUTED_VALUE"""),701.0)</f>
        <v>701</v>
      </c>
      <c r="L2715" s="4">
        <f>IFERROR(__xludf.DUMMYFUNCTION("""COMPUTED_VALUE"""),0.506)</f>
        <v>0.506</v>
      </c>
      <c r="M2715" s="4">
        <f>IFERROR(__xludf.DUMMYFUNCTION("""COMPUTED_VALUE"""),0.437)</f>
        <v>0.437</v>
      </c>
      <c r="N2715" s="4">
        <f>IFERROR(__xludf.DUMMYFUNCTION("""COMPUTED_VALUE"""),0.841)</f>
        <v>0.841</v>
      </c>
      <c r="O2715" s="4">
        <f>IFERROR(__xludf.DUMMYFUNCTION("""COMPUTED_VALUE"""),26.4)</f>
        <v>26.4</v>
      </c>
      <c r="P2715" s="4">
        <f>IFERROR(__xludf.DUMMYFUNCTION("""COMPUTED_VALUE"""),15.4)</f>
        <v>15.4</v>
      </c>
      <c r="Q2715" s="4">
        <f>IFERROR(__xludf.DUMMYFUNCTION("""COMPUTED_VALUE"""),2.3)</f>
        <v>2.3</v>
      </c>
      <c r="R2715" s="4">
        <f>IFERROR(__xludf.DUMMYFUNCTION("""COMPUTED_VALUE"""),2.4)</f>
        <v>2.4</v>
      </c>
      <c r="S2715" s="4">
        <f>IFERROR(__xludf.DUMMYFUNCTION("""COMPUTED_VALUE"""),21.5)</f>
        <v>21.5</v>
      </c>
      <c r="T2715" s="4">
        <f>IFERROR(__xludf.DUMMYFUNCTION("""COMPUTED_VALUE"""),0.134)</f>
        <v>0.134</v>
      </c>
      <c r="U2715" s="4">
        <f>IFERROR(__xludf.DUMMYFUNCTION("""COMPUTED_VALUE"""),0.8)</f>
        <v>0.8</v>
      </c>
      <c r="V2715" s="4">
        <f>IFERROR(__xludf.DUMMYFUNCTION("""COMPUTED_VALUE"""),5.4)</f>
        <v>5.4</v>
      </c>
    </row>
    <row r="2716">
      <c r="A2716" s="4">
        <f>IFERROR(__xludf.DUMMYFUNCTION("""COMPUTED_VALUE"""),61.0)</f>
        <v>61</v>
      </c>
      <c r="B2716" s="4">
        <f>IFERROR(__xludf.DUMMYFUNCTION("""COMPUTED_VALUE"""),61.0)</f>
        <v>61</v>
      </c>
      <c r="C2716" s="4" t="str">
        <f>IFERROR(__xludf.DUMMYFUNCTION("""COMPUTED_VALUE"""),"UTA")</f>
        <v>UTA</v>
      </c>
      <c r="D2716" s="4" t="str">
        <f>IFERROR(__xludf.DUMMYFUNCTION("""COMPUTED_VALUE"""),"John Shasky")</f>
        <v>John Shasky</v>
      </c>
      <c r="E2716" s="4" t="str">
        <f>IFERROR(__xludf.DUMMYFUNCTION("""COMPUTED_VALUE"""),"Minnesota")</f>
        <v>Minnesota</v>
      </c>
      <c r="F2716" s="4">
        <f>IFERROR(__xludf.DUMMYFUNCTION("""COMPUTED_VALUE"""),3.0)</f>
        <v>3</v>
      </c>
      <c r="G2716" s="4">
        <f>IFERROR(__xludf.DUMMYFUNCTION("""COMPUTED_VALUE"""),136.0)</f>
        <v>136</v>
      </c>
      <c r="H2716" s="4">
        <f>IFERROR(__xludf.DUMMYFUNCTION("""COMPUTED_VALUE"""),1505.0)</f>
        <v>1505</v>
      </c>
      <c r="I2716" s="4">
        <f>IFERROR(__xludf.DUMMYFUNCTION("""COMPUTED_VALUE"""),517.0)</f>
        <v>517</v>
      </c>
      <c r="J2716" s="4">
        <f>IFERROR(__xludf.DUMMYFUNCTION("""COMPUTED_VALUE"""),379.0)</f>
        <v>379</v>
      </c>
      <c r="K2716" s="4">
        <f>IFERROR(__xludf.DUMMYFUNCTION("""COMPUTED_VALUE"""),34.0)</f>
        <v>34</v>
      </c>
      <c r="L2716" s="4">
        <f>IFERROR(__xludf.DUMMYFUNCTION("""COMPUTED_VALUE"""),0.466)</f>
        <v>0.466</v>
      </c>
      <c r="M2716" s="4">
        <f>IFERROR(__xludf.DUMMYFUNCTION("""COMPUTED_VALUE"""),0.0)</f>
        <v>0</v>
      </c>
      <c r="N2716" s="4">
        <f>IFERROR(__xludf.DUMMYFUNCTION("""COMPUTED_VALUE"""),0.655)</f>
        <v>0.655</v>
      </c>
      <c r="O2716" s="4">
        <f>IFERROR(__xludf.DUMMYFUNCTION("""COMPUTED_VALUE"""),11.1)</f>
        <v>11.1</v>
      </c>
      <c r="P2716" s="4">
        <f>IFERROR(__xludf.DUMMYFUNCTION("""COMPUTED_VALUE"""),3.8)</f>
        <v>3.8</v>
      </c>
      <c r="Q2716" s="4">
        <f>IFERROR(__xludf.DUMMYFUNCTION("""COMPUTED_VALUE"""),2.8)</f>
        <v>2.8</v>
      </c>
      <c r="R2716" s="4">
        <f>IFERROR(__xludf.DUMMYFUNCTION("""COMPUTED_VALUE"""),0.3)</f>
        <v>0.3</v>
      </c>
      <c r="S2716" s="4">
        <f>IFERROR(__xludf.DUMMYFUNCTION("""COMPUTED_VALUE"""),2.5)</f>
        <v>2.5</v>
      </c>
      <c r="T2716" s="4">
        <f>IFERROR(__xludf.DUMMYFUNCTION("""COMPUTED_VALUE"""),0.079)</f>
        <v>0.079</v>
      </c>
      <c r="U2716" s="4">
        <f>IFERROR(__xludf.DUMMYFUNCTION("""COMPUTED_VALUE"""),-3.4)</f>
        <v>-3.4</v>
      </c>
      <c r="V2716" s="4">
        <f>IFERROR(__xludf.DUMMYFUNCTION("""COMPUTED_VALUE"""),-0.5)</f>
        <v>-0.5</v>
      </c>
    </row>
    <row r="2717">
      <c r="A2717" s="4">
        <f>IFERROR(__xludf.DUMMYFUNCTION("""COMPUTED_VALUE"""),62.0)</f>
        <v>62</v>
      </c>
      <c r="B2717" s="4">
        <f>IFERROR(__xludf.DUMMYFUNCTION("""COMPUTED_VALUE"""),62.0)</f>
        <v>62</v>
      </c>
      <c r="C2717" s="4" t="str">
        <f>IFERROR(__xludf.DUMMYFUNCTION("""COMPUTED_VALUE"""),"DAL")</f>
        <v>DAL</v>
      </c>
      <c r="D2717" s="4" t="str">
        <f>IFERROR(__xludf.DUMMYFUNCTION("""COMPUTED_VALUE"""),"Anthony Welch")</f>
        <v>Anthony Welch</v>
      </c>
      <c r="E2717" s="4" t="str">
        <f>IFERROR(__xludf.DUMMYFUNCTION("""COMPUTED_VALUE"""),"Illinois")</f>
        <v>Illinois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</row>
    <row r="2718">
      <c r="A2718" s="4">
        <f>IFERROR(__xludf.DUMMYFUNCTION("""COMPUTED_VALUE"""),63.0)</f>
        <v>63</v>
      </c>
      <c r="B2718" s="4">
        <f>IFERROR(__xludf.DUMMYFUNCTION("""COMPUTED_VALUE"""),63.0)</f>
        <v>63</v>
      </c>
      <c r="C2718" s="4" t="str">
        <f>IFERROR(__xludf.DUMMYFUNCTION("""COMPUTED_VALUE"""),"UTA")</f>
        <v>UTA</v>
      </c>
      <c r="D2718" s="4" t="str">
        <f>IFERROR(__xludf.DUMMYFUNCTION("""COMPUTED_VALUE"""),"Bill Breeding")</f>
        <v>Bill Breeding</v>
      </c>
      <c r="E2718" s="4" t="str">
        <f>IFERROR(__xludf.DUMMYFUNCTION("""COMPUTED_VALUE"""),"Rocky Mountain College")</f>
        <v>Rocky Mountain College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</row>
    <row r="2719">
      <c r="A2719" s="4">
        <f>IFERROR(__xludf.DUMMYFUNCTION("""COMPUTED_VALUE"""),64.0)</f>
        <v>64</v>
      </c>
      <c r="B2719" s="4">
        <f>IFERROR(__xludf.DUMMYFUNCTION("""COMPUTED_VALUE"""),64.0)</f>
        <v>64</v>
      </c>
      <c r="C2719" s="4" t="str">
        <f>IFERROR(__xludf.DUMMYFUNCTION("""COMPUTED_VALUE"""),"DEN")</f>
        <v>DEN</v>
      </c>
      <c r="D2719" s="4" t="str">
        <f>IFERROR(__xludf.DUMMYFUNCTION("""COMPUTED_VALUE"""),"Don Redden")</f>
        <v>Don Redden</v>
      </c>
      <c r="E2719" s="4" t="str">
        <f>IFERROR(__xludf.DUMMYFUNCTION("""COMPUTED_VALUE"""),"LSU")</f>
        <v>LSU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</row>
    <row r="2720">
      <c r="A2720" s="4">
        <f>IFERROR(__xludf.DUMMYFUNCTION("""COMPUTED_VALUE"""),65.0)</f>
        <v>65</v>
      </c>
      <c r="B2720" s="4">
        <f>IFERROR(__xludf.DUMMYFUNCTION("""COMPUTED_VALUE"""),65.0)</f>
        <v>65</v>
      </c>
      <c r="C2720" s="4" t="str">
        <f>IFERROR(__xludf.DUMMYFUNCTION("""COMPUTED_VALUE"""),"ATL")</f>
        <v>ATL</v>
      </c>
      <c r="D2720" s="4" t="str">
        <f>IFERROR(__xludf.DUMMYFUNCTION("""COMPUTED_VALUE"""),"Dave Hoppen")</f>
        <v>Dave Hoppen</v>
      </c>
      <c r="E2720" s="4" t="str">
        <f>IFERROR(__xludf.DUMMYFUNCTION("""COMPUTED_VALUE"""),"Nebraska")</f>
        <v>Nebraska</v>
      </c>
      <c r="F2720" s="4">
        <f>IFERROR(__xludf.DUMMYFUNCTION("""COMPUTED_VALUE"""),6.0)</f>
        <v>6</v>
      </c>
      <c r="G2720" s="4">
        <f>IFERROR(__xludf.DUMMYFUNCTION("""COMPUTED_VALUE"""),169.0)</f>
        <v>169</v>
      </c>
      <c r="H2720" s="4">
        <f>IFERROR(__xludf.DUMMYFUNCTION("""COMPUTED_VALUE"""),2401.0)</f>
        <v>2401</v>
      </c>
      <c r="I2720" s="4">
        <f>IFERROR(__xludf.DUMMYFUNCTION("""COMPUTED_VALUE"""),837.0)</f>
        <v>837</v>
      </c>
      <c r="J2720" s="4">
        <f>IFERROR(__xludf.DUMMYFUNCTION("""COMPUTED_VALUE"""),647.0)</f>
        <v>647</v>
      </c>
      <c r="K2720" s="4">
        <f>IFERROR(__xludf.DUMMYFUNCTION("""COMPUTED_VALUE"""),100.0)</f>
        <v>100</v>
      </c>
      <c r="L2720" s="4">
        <f>IFERROR(__xludf.DUMMYFUNCTION("""COMPUTED_VALUE"""),0.518)</f>
        <v>0.518</v>
      </c>
      <c r="M2720" s="4">
        <f>IFERROR(__xludf.DUMMYFUNCTION("""COMPUTED_VALUE"""),0.2)</f>
        <v>0.2</v>
      </c>
      <c r="N2720" s="4">
        <f>IFERROR(__xludf.DUMMYFUNCTION("""COMPUTED_VALUE"""),0.751)</f>
        <v>0.751</v>
      </c>
      <c r="O2720" s="4">
        <f>IFERROR(__xludf.DUMMYFUNCTION("""COMPUTED_VALUE"""),14.2)</f>
        <v>14.2</v>
      </c>
      <c r="P2720" s="4">
        <f>IFERROR(__xludf.DUMMYFUNCTION("""COMPUTED_VALUE"""),5.0)</f>
        <v>5</v>
      </c>
      <c r="Q2720" s="4">
        <f>IFERROR(__xludf.DUMMYFUNCTION("""COMPUTED_VALUE"""),3.8)</f>
        <v>3.8</v>
      </c>
      <c r="R2720" s="4">
        <f>IFERROR(__xludf.DUMMYFUNCTION("""COMPUTED_VALUE"""),0.6)</f>
        <v>0.6</v>
      </c>
      <c r="S2720" s="4">
        <f>IFERROR(__xludf.DUMMYFUNCTION("""COMPUTED_VALUE"""),3.6)</f>
        <v>3.6</v>
      </c>
      <c r="T2720" s="4">
        <f>IFERROR(__xludf.DUMMYFUNCTION("""COMPUTED_VALUE"""),0.072)</f>
        <v>0.072</v>
      </c>
      <c r="U2720" s="4">
        <f>IFERROR(__xludf.DUMMYFUNCTION("""COMPUTED_VALUE"""),-4.2)</f>
        <v>-4.2</v>
      </c>
      <c r="V2720" s="4">
        <f>IFERROR(__xludf.DUMMYFUNCTION("""COMPUTED_VALUE"""),-1.4)</f>
        <v>-1.4</v>
      </c>
    </row>
    <row r="2721">
      <c r="A2721" s="4">
        <f>IFERROR(__xludf.DUMMYFUNCTION("""COMPUTED_VALUE"""),66.0)</f>
        <v>66</v>
      </c>
      <c r="B2721" s="4">
        <f>IFERROR(__xludf.DUMMYFUNCTION("""COMPUTED_VALUE"""),66.0)</f>
        <v>66</v>
      </c>
      <c r="C2721" s="4" t="str">
        <f>IFERROR(__xludf.DUMMYFUNCTION("""COMPUTED_VALUE"""),"HOU")</f>
        <v>HOU</v>
      </c>
      <c r="D2721" s="4" t="str">
        <f>IFERROR(__xludf.DUMMYFUNCTION("""COMPUTED_VALUE"""),"Anthony Bowie")</f>
        <v>Anthony Bowie</v>
      </c>
      <c r="E2721" s="4" t="str">
        <f>IFERROR(__xludf.DUMMYFUNCTION("""COMPUTED_VALUE"""),"Oklahoma")</f>
        <v>Oklahoma</v>
      </c>
      <c r="F2721" s="4">
        <f>IFERROR(__xludf.DUMMYFUNCTION("""COMPUTED_VALUE"""),8.0)</f>
        <v>8</v>
      </c>
      <c r="G2721" s="4">
        <f>IFERROR(__xludf.DUMMYFUNCTION("""COMPUTED_VALUE"""),461.0)</f>
        <v>461</v>
      </c>
      <c r="H2721" s="4">
        <f>IFERROR(__xludf.DUMMYFUNCTION("""COMPUTED_VALUE"""),8349.0)</f>
        <v>8349</v>
      </c>
      <c r="I2721" s="4">
        <f>IFERROR(__xludf.DUMMYFUNCTION("""COMPUTED_VALUE"""),2945.0)</f>
        <v>2945</v>
      </c>
      <c r="J2721" s="4">
        <f>IFERROR(__xludf.DUMMYFUNCTION("""COMPUTED_VALUE"""),1021.0)</f>
        <v>1021</v>
      </c>
      <c r="K2721" s="4">
        <f>IFERROR(__xludf.DUMMYFUNCTION("""COMPUTED_VALUE"""),840.0)</f>
        <v>840</v>
      </c>
      <c r="L2721" s="4">
        <f>IFERROR(__xludf.DUMMYFUNCTION("""COMPUTED_VALUE"""),0.475)</f>
        <v>0.475</v>
      </c>
      <c r="M2721" s="4">
        <f>IFERROR(__xludf.DUMMYFUNCTION("""COMPUTED_VALUE"""),0.318)</f>
        <v>0.318</v>
      </c>
      <c r="N2721" s="4">
        <f>IFERROR(__xludf.DUMMYFUNCTION("""COMPUTED_VALUE"""),0.824)</f>
        <v>0.824</v>
      </c>
      <c r="O2721" s="4">
        <f>IFERROR(__xludf.DUMMYFUNCTION("""COMPUTED_VALUE"""),18.1)</f>
        <v>18.1</v>
      </c>
      <c r="P2721" s="4">
        <f>IFERROR(__xludf.DUMMYFUNCTION("""COMPUTED_VALUE"""),6.4)</f>
        <v>6.4</v>
      </c>
      <c r="Q2721" s="4">
        <f>IFERROR(__xludf.DUMMYFUNCTION("""COMPUTED_VALUE"""),2.2)</f>
        <v>2.2</v>
      </c>
      <c r="R2721" s="4">
        <f>IFERROR(__xludf.DUMMYFUNCTION("""COMPUTED_VALUE"""),1.8)</f>
        <v>1.8</v>
      </c>
      <c r="S2721" s="4">
        <f>IFERROR(__xludf.DUMMYFUNCTION("""COMPUTED_VALUE"""),12.3)</f>
        <v>12.3</v>
      </c>
      <c r="T2721" s="4">
        <f>IFERROR(__xludf.DUMMYFUNCTION("""COMPUTED_VALUE"""),0.07)</f>
        <v>0.07</v>
      </c>
      <c r="U2721" s="4">
        <f>IFERROR(__xludf.DUMMYFUNCTION("""COMPUTED_VALUE"""),-1.3)</f>
        <v>-1.3</v>
      </c>
      <c r="V2721" s="4">
        <f>IFERROR(__xludf.DUMMYFUNCTION("""COMPUTED_VALUE"""),1.4)</f>
        <v>1.4</v>
      </c>
    </row>
    <row r="2722">
      <c r="A2722" s="4">
        <f>IFERROR(__xludf.DUMMYFUNCTION("""COMPUTED_VALUE"""),67.0)</f>
        <v>67</v>
      </c>
      <c r="B2722" s="4">
        <f>IFERROR(__xludf.DUMMYFUNCTION("""COMPUTED_VALUE"""),67.0)</f>
        <v>67</v>
      </c>
      <c r="C2722" s="4" t="str">
        <f>IFERROR(__xludf.DUMMYFUNCTION("""COMPUTED_VALUE"""),"PHI")</f>
        <v>PHI</v>
      </c>
      <c r="D2722" s="4" t="str">
        <f>IFERROR(__xludf.DUMMYFUNCTION("""COMPUTED_VALUE"""),"Ron Rowan")</f>
        <v>Ron Rowan</v>
      </c>
      <c r="E2722" s="4" t="str">
        <f>IFERROR(__xludf.DUMMYFUNCTION("""COMPUTED_VALUE"""),"St. John's")</f>
        <v>St. John's</v>
      </c>
      <c r="F2722" s="4">
        <f>IFERROR(__xludf.DUMMYFUNCTION("""COMPUTED_VALUE"""),1.0)</f>
        <v>1</v>
      </c>
      <c r="G2722" s="4">
        <f>IFERROR(__xludf.DUMMYFUNCTION("""COMPUTED_VALUE"""),7.0)</f>
        <v>7</v>
      </c>
      <c r="H2722" s="4">
        <f>IFERROR(__xludf.DUMMYFUNCTION("""COMPUTED_VALUE"""),16.0)</f>
        <v>16</v>
      </c>
      <c r="I2722" s="4">
        <f>IFERROR(__xludf.DUMMYFUNCTION("""COMPUTED_VALUE"""),12.0)</f>
        <v>12</v>
      </c>
      <c r="J2722" s="4">
        <f>IFERROR(__xludf.DUMMYFUNCTION("""COMPUTED_VALUE"""),1.0)</f>
        <v>1</v>
      </c>
      <c r="K2722" s="4">
        <f>IFERROR(__xludf.DUMMYFUNCTION("""COMPUTED_VALUE"""),1.0)</f>
        <v>1</v>
      </c>
      <c r="L2722" s="4">
        <f>IFERROR(__xludf.DUMMYFUNCTION("""COMPUTED_VALUE"""),0.444)</f>
        <v>0.444</v>
      </c>
      <c r="M2722" s="4">
        <f>IFERROR(__xludf.DUMMYFUNCTION("""COMPUTED_VALUE"""),1.0)</f>
        <v>1</v>
      </c>
      <c r="N2722" s="4">
        <f>IFERROR(__xludf.DUMMYFUNCTION("""COMPUTED_VALUE"""),0.75)</f>
        <v>0.75</v>
      </c>
      <c r="O2722" s="4">
        <f>IFERROR(__xludf.DUMMYFUNCTION("""COMPUTED_VALUE"""),2.3)</f>
        <v>2.3</v>
      </c>
      <c r="P2722" s="4">
        <f>IFERROR(__xludf.DUMMYFUNCTION("""COMPUTED_VALUE"""),1.7)</f>
        <v>1.7</v>
      </c>
      <c r="Q2722" s="4">
        <f>IFERROR(__xludf.DUMMYFUNCTION("""COMPUTED_VALUE"""),0.1)</f>
        <v>0.1</v>
      </c>
      <c r="R2722" s="4">
        <f>IFERROR(__xludf.DUMMYFUNCTION("""COMPUTED_VALUE"""),0.1)</f>
        <v>0.1</v>
      </c>
      <c r="S2722" s="4">
        <f>IFERROR(__xludf.DUMMYFUNCTION("""COMPUTED_VALUE"""),0.0)</f>
        <v>0</v>
      </c>
      <c r="T2722" s="4">
        <f>IFERROR(__xludf.DUMMYFUNCTION("""COMPUTED_VALUE"""),0.084)</f>
        <v>0.084</v>
      </c>
      <c r="U2722" s="4">
        <f>IFERROR(__xludf.DUMMYFUNCTION("""COMPUTED_VALUE"""),8.5)</f>
        <v>8.5</v>
      </c>
      <c r="V2722" s="4">
        <f>IFERROR(__xludf.DUMMYFUNCTION("""COMPUTED_VALUE"""),0.0)</f>
        <v>0</v>
      </c>
    </row>
    <row r="2723">
      <c r="A2723" s="4">
        <f>IFERROR(__xludf.DUMMYFUNCTION("""COMPUTED_VALUE"""),68.0)</f>
        <v>68</v>
      </c>
      <c r="B2723" s="4">
        <f>IFERROR(__xludf.DUMMYFUNCTION("""COMPUTED_VALUE"""),68.0)</f>
        <v>68</v>
      </c>
      <c r="C2723" s="4" t="str">
        <f>IFERROR(__xludf.DUMMYFUNCTION("""COMPUTED_VALUE"""),"MIL")</f>
        <v>MIL</v>
      </c>
      <c r="D2723" s="4" t="str">
        <f>IFERROR(__xludf.DUMMYFUNCTION("""COMPUTED_VALUE"""),"Baskerville Holmes")</f>
        <v>Baskerville Holmes</v>
      </c>
      <c r="E2723" s="4" t="str">
        <f>IFERROR(__xludf.DUMMYFUNCTION("""COMPUTED_VALUE"""),"Memphis")</f>
        <v>Memphis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</row>
    <row r="2724">
      <c r="A2724" s="4">
        <f>IFERROR(__xludf.DUMMYFUNCTION("""COMPUTED_VALUE"""),69.0)</f>
        <v>69</v>
      </c>
      <c r="B2724" s="4">
        <f>IFERROR(__xludf.DUMMYFUNCTION("""COMPUTED_VALUE"""),69.0)</f>
        <v>69</v>
      </c>
      <c r="C2724" s="4" t="str">
        <f>IFERROR(__xludf.DUMMYFUNCTION("""COMPUTED_VALUE"""),"LAL")</f>
        <v>LAL</v>
      </c>
      <c r="D2724" s="4" t="str">
        <f>IFERROR(__xludf.DUMMYFUNCTION("""COMPUTED_VALUE"""),"Andre Turner")</f>
        <v>Andre Turner</v>
      </c>
      <c r="E2724" s="4" t="str">
        <f>IFERROR(__xludf.DUMMYFUNCTION("""COMPUTED_VALUE"""),"Memphis")</f>
        <v>Memphis</v>
      </c>
      <c r="F2724" s="4">
        <f>IFERROR(__xludf.DUMMYFUNCTION("""COMPUTED_VALUE"""),6.0)</f>
        <v>6</v>
      </c>
      <c r="G2724" s="4">
        <f>IFERROR(__xludf.DUMMYFUNCTION("""COMPUTED_VALUE"""),170.0)</f>
        <v>170</v>
      </c>
      <c r="H2724" s="4">
        <f>IFERROR(__xludf.DUMMYFUNCTION("""COMPUTED_VALUE"""),2523.0)</f>
        <v>2523</v>
      </c>
      <c r="I2724" s="4">
        <f>IFERROR(__xludf.DUMMYFUNCTION("""COMPUTED_VALUE"""),767.0)</f>
        <v>767</v>
      </c>
      <c r="J2724" s="4">
        <f>IFERROR(__xludf.DUMMYFUNCTION("""COMPUTED_VALUE"""),263.0)</f>
        <v>263</v>
      </c>
      <c r="K2724" s="4">
        <f>IFERROR(__xludf.DUMMYFUNCTION("""COMPUTED_VALUE"""),535.0)</f>
        <v>535</v>
      </c>
      <c r="L2724" s="4">
        <f>IFERROR(__xludf.DUMMYFUNCTION("""COMPUTED_VALUE"""),0.422)</f>
        <v>0.422</v>
      </c>
      <c r="M2724" s="4">
        <f>IFERROR(__xludf.DUMMYFUNCTION("""COMPUTED_VALUE"""),0.237)</f>
        <v>0.237</v>
      </c>
      <c r="N2724" s="4">
        <f>IFERROR(__xludf.DUMMYFUNCTION("""COMPUTED_VALUE"""),0.764)</f>
        <v>0.764</v>
      </c>
      <c r="O2724" s="4">
        <f>IFERROR(__xludf.DUMMYFUNCTION("""COMPUTED_VALUE"""),14.8)</f>
        <v>14.8</v>
      </c>
      <c r="P2724" s="4">
        <f>IFERROR(__xludf.DUMMYFUNCTION("""COMPUTED_VALUE"""),4.5)</f>
        <v>4.5</v>
      </c>
      <c r="Q2724" s="4">
        <f>IFERROR(__xludf.DUMMYFUNCTION("""COMPUTED_VALUE"""),1.5)</f>
        <v>1.5</v>
      </c>
      <c r="R2724" s="4">
        <f>IFERROR(__xludf.DUMMYFUNCTION("""COMPUTED_VALUE"""),3.1)</f>
        <v>3.1</v>
      </c>
      <c r="S2724" s="4">
        <f>IFERROR(__xludf.DUMMYFUNCTION("""COMPUTED_VALUE"""),1.8)</f>
        <v>1.8</v>
      </c>
      <c r="T2724" s="4">
        <f>IFERROR(__xludf.DUMMYFUNCTION("""COMPUTED_VALUE"""),0.034)</f>
        <v>0.034</v>
      </c>
      <c r="U2724" s="4">
        <f>IFERROR(__xludf.DUMMYFUNCTION("""COMPUTED_VALUE"""),-2.3)</f>
        <v>-2.3</v>
      </c>
      <c r="V2724" s="4">
        <f>IFERROR(__xludf.DUMMYFUNCTION("""COMPUTED_VALUE"""),-0.2)</f>
        <v>-0.2</v>
      </c>
    </row>
    <row r="2725">
      <c r="A2725" s="4">
        <f>IFERROR(__xludf.DUMMYFUNCTION("""COMPUTED_VALUE"""),70.0)</f>
        <v>70</v>
      </c>
      <c r="B2725" s="4">
        <f>IFERROR(__xludf.DUMMYFUNCTION("""COMPUTED_VALUE"""),70.0)</f>
        <v>70</v>
      </c>
      <c r="C2725" s="4" t="str">
        <f>IFERROR(__xludf.DUMMYFUNCTION("""COMPUTED_VALUE"""),"ATL")</f>
        <v>ATL</v>
      </c>
      <c r="D2725" s="4" t="str">
        <f>IFERROR(__xludf.DUMMYFUNCTION("""COMPUTED_VALUE"""),"Jim Les")</f>
        <v>Jim Les</v>
      </c>
      <c r="E2725" s="4" t="str">
        <f>IFERROR(__xludf.DUMMYFUNCTION("""COMPUTED_VALUE"""),"Bradley")</f>
        <v>Bradley</v>
      </c>
      <c r="F2725" s="4">
        <f>IFERROR(__xludf.DUMMYFUNCTION("""COMPUTED_VALUE"""),7.0)</f>
        <v>7</v>
      </c>
      <c r="G2725" s="4">
        <f>IFERROR(__xludf.DUMMYFUNCTION("""COMPUTED_VALUE"""),321.0)</f>
        <v>321</v>
      </c>
      <c r="H2725" s="4">
        <f>IFERROR(__xludf.DUMMYFUNCTION("""COMPUTED_VALUE"""),4222.0)</f>
        <v>4222</v>
      </c>
      <c r="I2725" s="4">
        <f>IFERROR(__xludf.DUMMYFUNCTION("""COMPUTED_VALUE"""),1210.0)</f>
        <v>1210</v>
      </c>
      <c r="J2725" s="4">
        <f>IFERROR(__xludf.DUMMYFUNCTION("""COMPUTED_VALUE"""),396.0)</f>
        <v>396</v>
      </c>
      <c r="K2725" s="4">
        <f>IFERROR(__xludf.DUMMYFUNCTION("""COMPUTED_VALUE"""),930.0)</f>
        <v>930</v>
      </c>
      <c r="L2725" s="4">
        <f>IFERROR(__xludf.DUMMYFUNCTION("""COMPUTED_VALUE"""),0.397)</f>
        <v>0.397</v>
      </c>
      <c r="M2725" s="4">
        <f>IFERROR(__xludf.DUMMYFUNCTION("""COMPUTED_VALUE"""),0.396)</f>
        <v>0.396</v>
      </c>
      <c r="N2725" s="4">
        <f>IFERROR(__xludf.DUMMYFUNCTION("""COMPUTED_VALUE"""),0.818)</f>
        <v>0.818</v>
      </c>
      <c r="O2725" s="4">
        <f>IFERROR(__xludf.DUMMYFUNCTION("""COMPUTED_VALUE"""),13.2)</f>
        <v>13.2</v>
      </c>
      <c r="P2725" s="4">
        <f>IFERROR(__xludf.DUMMYFUNCTION("""COMPUTED_VALUE"""),3.8)</f>
        <v>3.8</v>
      </c>
      <c r="Q2725" s="4">
        <f>IFERROR(__xludf.DUMMYFUNCTION("""COMPUTED_VALUE"""),1.2)</f>
        <v>1.2</v>
      </c>
      <c r="R2725" s="4">
        <f>IFERROR(__xludf.DUMMYFUNCTION("""COMPUTED_VALUE"""),2.9)</f>
        <v>2.9</v>
      </c>
      <c r="S2725" s="4">
        <f>IFERROR(__xludf.DUMMYFUNCTION("""COMPUTED_VALUE"""),8.1)</f>
        <v>8.1</v>
      </c>
      <c r="T2725" s="4">
        <f>IFERROR(__xludf.DUMMYFUNCTION("""COMPUTED_VALUE"""),0.092)</f>
        <v>0.092</v>
      </c>
      <c r="U2725" s="4">
        <f>IFERROR(__xludf.DUMMYFUNCTION("""COMPUTED_VALUE"""),-0.7)</f>
        <v>-0.7</v>
      </c>
      <c r="V2725" s="4">
        <f>IFERROR(__xludf.DUMMYFUNCTION("""COMPUTED_VALUE"""),1.4)</f>
        <v>1.4</v>
      </c>
    </row>
    <row r="2726">
      <c r="A2726" s="4"/>
      <c r="B2726" s="4"/>
      <c r="C2726" s="4"/>
      <c r="D2726" s="4" t="str">
        <f>IFERROR(__xludf.DUMMYFUNCTION("""COMPUTED_VALUE"""),"Round 4")</f>
        <v>Round 4</v>
      </c>
      <c r="E2726" s="4"/>
      <c r="F2726" s="4"/>
      <c r="G2726" s="4" t="str">
        <f>IFERROR(__xludf.DUMMYFUNCTION("""COMPUTED_VALUE"""),"Totals")</f>
        <v>Totals</v>
      </c>
      <c r="H2726" s="4"/>
      <c r="I2726" s="4"/>
      <c r="J2726" s="4"/>
      <c r="K2726" s="4"/>
      <c r="L2726" s="4" t="str">
        <f>IFERROR(__xludf.DUMMYFUNCTION("""COMPUTED_VALUE"""),"Shooting")</f>
        <v>Shooting</v>
      </c>
      <c r="M2726" s="4"/>
      <c r="N2726" s="4"/>
      <c r="O2726" s="4" t="str">
        <f>IFERROR(__xludf.DUMMYFUNCTION("""COMPUTED_VALUE"""),"Per Game")</f>
        <v>Per Game</v>
      </c>
      <c r="P2726" s="4"/>
      <c r="Q2726" s="4"/>
      <c r="R2726" s="4"/>
      <c r="S2726" s="4" t="str">
        <f>IFERROR(__xludf.DUMMYFUNCTION("""COMPUTED_VALUE"""),"Advanced")</f>
        <v>Advanced</v>
      </c>
      <c r="T2726" s="4"/>
      <c r="U2726" s="4"/>
      <c r="V2726" s="4"/>
    </row>
    <row r="2727">
      <c r="A2727" s="4" t="str">
        <f>IFERROR(__xludf.DUMMYFUNCTION("""COMPUTED_VALUE"""),"Rk")</f>
        <v>Rk</v>
      </c>
      <c r="B2727" s="4" t="str">
        <f>IFERROR(__xludf.DUMMYFUNCTION("""COMPUTED_VALUE"""),"Pk")</f>
        <v>Pk</v>
      </c>
      <c r="C2727" s="4" t="str">
        <f>IFERROR(__xludf.DUMMYFUNCTION("""COMPUTED_VALUE"""),"Tm")</f>
        <v>Tm</v>
      </c>
      <c r="D2727" s="4" t="str">
        <f>IFERROR(__xludf.DUMMYFUNCTION("""COMPUTED_VALUE"""),"Player")</f>
        <v>Player</v>
      </c>
      <c r="E2727" s="4" t="str">
        <f>IFERROR(__xludf.DUMMYFUNCTION("""COMPUTED_VALUE"""),"College")</f>
        <v>College</v>
      </c>
      <c r="F2727" s="4" t="str">
        <f>IFERROR(__xludf.DUMMYFUNCTION("""COMPUTED_VALUE"""),"Yrs")</f>
        <v>Yrs</v>
      </c>
      <c r="G2727" s="4" t="str">
        <f>IFERROR(__xludf.DUMMYFUNCTION("""COMPUTED_VALUE"""),"G")</f>
        <v>G</v>
      </c>
      <c r="H2727" s="4" t="str">
        <f>IFERROR(__xludf.DUMMYFUNCTION("""COMPUTED_VALUE"""),"MP")</f>
        <v>MP</v>
      </c>
      <c r="I2727" s="4" t="str">
        <f>IFERROR(__xludf.DUMMYFUNCTION("""COMPUTED_VALUE"""),"PTS")</f>
        <v>PTS</v>
      </c>
      <c r="J2727" s="4" t="str">
        <f>IFERROR(__xludf.DUMMYFUNCTION("""COMPUTED_VALUE"""),"TRB")</f>
        <v>TRB</v>
      </c>
      <c r="K2727" s="4" t="str">
        <f>IFERROR(__xludf.DUMMYFUNCTION("""COMPUTED_VALUE"""),"AST")</f>
        <v>AST</v>
      </c>
      <c r="L2727" s="4" t="str">
        <f>IFERROR(__xludf.DUMMYFUNCTION("""COMPUTED_VALUE"""),"FG%")</f>
        <v>FG%</v>
      </c>
      <c r="M2727" s="4" t="str">
        <f>IFERROR(__xludf.DUMMYFUNCTION("""COMPUTED_VALUE"""),"3P%")</f>
        <v>3P%</v>
      </c>
      <c r="N2727" s="4" t="str">
        <f>IFERROR(__xludf.DUMMYFUNCTION("""COMPUTED_VALUE"""),"FT%")</f>
        <v>FT%</v>
      </c>
      <c r="O2727" s="4" t="str">
        <f>IFERROR(__xludf.DUMMYFUNCTION("""COMPUTED_VALUE"""),"MP")</f>
        <v>MP</v>
      </c>
      <c r="P2727" s="4" t="str">
        <f>IFERROR(__xludf.DUMMYFUNCTION("""COMPUTED_VALUE"""),"PTS")</f>
        <v>PTS</v>
      </c>
      <c r="Q2727" s="4" t="str">
        <f>IFERROR(__xludf.DUMMYFUNCTION("""COMPUTED_VALUE"""),"TRB")</f>
        <v>TRB</v>
      </c>
      <c r="R2727" s="4" t="str">
        <f>IFERROR(__xludf.DUMMYFUNCTION("""COMPUTED_VALUE"""),"AST")</f>
        <v>AST</v>
      </c>
      <c r="S2727" s="4" t="str">
        <f>IFERROR(__xludf.DUMMYFUNCTION("""COMPUTED_VALUE"""),"WS")</f>
        <v>WS</v>
      </c>
      <c r="T2727" s="4" t="str">
        <f>IFERROR(__xludf.DUMMYFUNCTION("""COMPUTED_VALUE"""),"WS/48")</f>
        <v>WS/48</v>
      </c>
      <c r="U2727" s="4" t="str">
        <f>IFERROR(__xludf.DUMMYFUNCTION("""COMPUTED_VALUE"""),"BPM")</f>
        <v>BPM</v>
      </c>
      <c r="V2727" s="4" t="str">
        <f>IFERROR(__xludf.DUMMYFUNCTION("""COMPUTED_VALUE"""),"VORP")</f>
        <v>VORP</v>
      </c>
    </row>
    <row r="2728">
      <c r="A2728" s="4">
        <f>IFERROR(__xludf.DUMMYFUNCTION("""COMPUTED_VALUE"""),71.0)</f>
        <v>71</v>
      </c>
      <c r="B2728" s="4">
        <f>IFERROR(__xludf.DUMMYFUNCTION("""COMPUTED_VALUE"""),71.0)</f>
        <v>71</v>
      </c>
      <c r="C2728" s="4" t="str">
        <f>IFERROR(__xludf.DUMMYFUNCTION("""COMPUTED_VALUE"""),"NYK")</f>
        <v>NYK</v>
      </c>
      <c r="D2728" s="4" t="str">
        <f>IFERROR(__xludf.DUMMYFUNCTION("""COMPUTED_VALUE"""),"Calvin Thompson")</f>
        <v>Calvin Thompson</v>
      </c>
      <c r="E2728" s="4" t="str">
        <f>IFERROR(__xludf.DUMMYFUNCTION("""COMPUTED_VALUE"""),"Kansas")</f>
        <v>Kansas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</row>
    <row r="2729">
      <c r="A2729" s="4">
        <f>IFERROR(__xludf.DUMMYFUNCTION("""COMPUTED_VALUE"""),72.0)</f>
        <v>72</v>
      </c>
      <c r="B2729" s="4">
        <f>IFERROR(__xludf.DUMMYFUNCTION("""COMPUTED_VALUE"""),72.0)</f>
        <v>72</v>
      </c>
      <c r="C2729" s="4" t="str">
        <f>IFERROR(__xludf.DUMMYFUNCTION("""COMPUTED_VALUE"""),"IND")</f>
        <v>IND</v>
      </c>
      <c r="D2729" s="4" t="str">
        <f>IFERROR(__xludf.DUMMYFUNCTION("""COMPUTED_VALUE"""),"Derrick Taylor")</f>
        <v>Derrick Taylor</v>
      </c>
      <c r="E2729" s="4" t="str">
        <f>IFERROR(__xludf.DUMMYFUNCTION("""COMPUTED_VALUE"""),"LSU")</f>
        <v>LSU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</row>
    <row r="2730">
      <c r="A2730" s="4">
        <f>IFERROR(__xludf.DUMMYFUNCTION("""COMPUTED_VALUE"""),73.0)</f>
        <v>73</v>
      </c>
      <c r="B2730" s="4">
        <f>IFERROR(__xludf.DUMMYFUNCTION("""COMPUTED_VALUE"""),73.0)</f>
        <v>73</v>
      </c>
      <c r="C2730" s="4" t="str">
        <f>IFERROR(__xludf.DUMMYFUNCTION("""COMPUTED_VALUE"""),"CLE")</f>
        <v>CLE</v>
      </c>
      <c r="D2730" s="4" t="str">
        <f>IFERROR(__xludf.DUMMYFUNCTION("""COMPUTED_VALUE"""),"Warren Martin")</f>
        <v>Warren Martin</v>
      </c>
      <c r="E2730" s="4" t="str">
        <f>IFERROR(__xludf.DUMMYFUNCTION("""COMPUTED_VALUE"""),"UNC")</f>
        <v>UNC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</row>
    <row r="2731">
      <c r="A2731" s="4">
        <f>IFERROR(__xludf.DUMMYFUNCTION("""COMPUTED_VALUE"""),74.0)</f>
        <v>74</v>
      </c>
      <c r="B2731" s="4">
        <f>IFERROR(__xludf.DUMMYFUNCTION("""COMPUTED_VALUE"""),74.0)</f>
        <v>74</v>
      </c>
      <c r="C2731" s="4" t="str">
        <f>IFERROR(__xludf.DUMMYFUNCTION("""COMPUTED_VALUE"""),"CHI")</f>
        <v>CHI</v>
      </c>
      <c r="D2731" s="4" t="str">
        <f>IFERROR(__xludf.DUMMYFUNCTION("""COMPUTED_VALUE"""),"Scott Meents")</f>
        <v>Scott Meents</v>
      </c>
      <c r="E2731" s="4" t="str">
        <f>IFERROR(__xludf.DUMMYFUNCTION("""COMPUTED_VALUE"""),"Illinois")</f>
        <v>Illinois</v>
      </c>
      <c r="F2731" s="4">
        <f>IFERROR(__xludf.DUMMYFUNCTION("""COMPUTED_VALUE"""),2.0)</f>
        <v>2</v>
      </c>
      <c r="G2731" s="4">
        <f>IFERROR(__xludf.DUMMYFUNCTION("""COMPUTED_VALUE"""),39.0)</f>
        <v>39</v>
      </c>
      <c r="H2731" s="4">
        <f>IFERROR(__xludf.DUMMYFUNCTION("""COMPUTED_VALUE"""),201.0)</f>
        <v>201</v>
      </c>
      <c r="I2731" s="4">
        <f>IFERROR(__xludf.DUMMYFUNCTION("""COMPUTED_VALUE"""),72.0)</f>
        <v>72</v>
      </c>
      <c r="J2731" s="4">
        <f>IFERROR(__xludf.DUMMYFUNCTION("""COMPUTED_VALUE"""),40.0)</f>
        <v>40</v>
      </c>
      <c r="K2731" s="4">
        <f>IFERROR(__xludf.DUMMYFUNCTION("""COMPUTED_VALUE"""),15.0)</f>
        <v>15</v>
      </c>
      <c r="L2731" s="4">
        <f>IFERROR(__xludf.DUMMYFUNCTION("""COMPUTED_VALUE"""),0.361)</f>
        <v>0.361</v>
      </c>
      <c r="M2731" s="4">
        <f>IFERROR(__xludf.DUMMYFUNCTION("""COMPUTED_VALUE"""),1.0)</f>
        <v>1</v>
      </c>
      <c r="N2731" s="4">
        <f>IFERROR(__xludf.DUMMYFUNCTION("""COMPUTED_VALUE"""),0.704)</f>
        <v>0.704</v>
      </c>
      <c r="O2731" s="4">
        <f>IFERROR(__xludf.DUMMYFUNCTION("""COMPUTED_VALUE"""),5.2)</f>
        <v>5.2</v>
      </c>
      <c r="P2731" s="4">
        <f>IFERROR(__xludf.DUMMYFUNCTION("""COMPUTED_VALUE"""),1.8)</f>
        <v>1.8</v>
      </c>
      <c r="Q2731" s="4">
        <f>IFERROR(__xludf.DUMMYFUNCTION("""COMPUTED_VALUE"""),1.0)</f>
        <v>1</v>
      </c>
      <c r="R2731" s="4">
        <f>IFERROR(__xludf.DUMMYFUNCTION("""COMPUTED_VALUE"""),0.4)</f>
        <v>0.4</v>
      </c>
      <c r="S2731" s="4">
        <f>IFERROR(__xludf.DUMMYFUNCTION("""COMPUTED_VALUE"""),0.1)</f>
        <v>0.1</v>
      </c>
      <c r="T2731" s="4">
        <f>IFERROR(__xludf.DUMMYFUNCTION("""COMPUTED_VALUE"""),0.017)</f>
        <v>0.017</v>
      </c>
      <c r="U2731" s="4">
        <f>IFERROR(__xludf.DUMMYFUNCTION("""COMPUTED_VALUE"""),-1.6)</f>
        <v>-1.6</v>
      </c>
      <c r="V2731" s="4">
        <f>IFERROR(__xludf.DUMMYFUNCTION("""COMPUTED_VALUE"""),0.0)</f>
        <v>0</v>
      </c>
    </row>
    <row r="2732">
      <c r="A2732" s="4">
        <f>IFERROR(__xludf.DUMMYFUNCTION("""COMPUTED_VALUE"""),75.0)</f>
        <v>75</v>
      </c>
      <c r="B2732" s="4">
        <f>IFERROR(__xludf.DUMMYFUNCTION("""COMPUTED_VALUE"""),75.0)</f>
        <v>75</v>
      </c>
      <c r="C2732" s="4" t="str">
        <f>IFERROR(__xludf.DUMMYFUNCTION("""COMPUTED_VALUE"""),"GSW")</f>
        <v>GSW</v>
      </c>
      <c r="D2732" s="4" t="str">
        <f>IFERROR(__xludf.DUMMYFUNCTION("""COMPUTED_VALUE"""),"Dan Bingenheimer")</f>
        <v>Dan Bingenheimer</v>
      </c>
      <c r="E2732" s="4" t="str">
        <f>IFERROR(__xludf.DUMMYFUNCTION("""COMPUTED_VALUE"""),"Missouri")</f>
        <v>Missouri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</row>
    <row r="2733">
      <c r="A2733" s="4">
        <f>IFERROR(__xludf.DUMMYFUNCTION("""COMPUTED_VALUE"""),76.0)</f>
        <v>76</v>
      </c>
      <c r="B2733" s="4">
        <f>IFERROR(__xludf.DUMMYFUNCTION("""COMPUTED_VALUE"""),76.0)</f>
        <v>76</v>
      </c>
      <c r="C2733" s="4" t="str">
        <f>IFERROR(__xludf.DUMMYFUNCTION("""COMPUTED_VALUE"""),"SEA")</f>
        <v>SEA</v>
      </c>
      <c r="D2733" s="4" t="str">
        <f>IFERROR(__xludf.DUMMYFUNCTION("""COMPUTED_VALUE"""),"Michael Graham")</f>
        <v>Michael Graham</v>
      </c>
      <c r="E2733" s="4" t="str">
        <f>IFERROR(__xludf.DUMMYFUNCTION("""COMPUTED_VALUE"""),"Georgetown")</f>
        <v>Georgetown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</row>
    <row r="2734">
      <c r="A2734" s="4">
        <f>IFERROR(__xludf.DUMMYFUNCTION("""COMPUTED_VALUE"""),77.0)</f>
        <v>77</v>
      </c>
      <c r="B2734" s="4">
        <f>IFERROR(__xludf.DUMMYFUNCTION("""COMPUTED_VALUE"""),77.0)</f>
        <v>77</v>
      </c>
      <c r="C2734" s="4" t="str">
        <f>IFERROR(__xludf.DUMMYFUNCTION("""COMPUTED_VALUE"""),"PHO")</f>
        <v>PHO</v>
      </c>
      <c r="D2734" s="4" t="str">
        <f>IFERROR(__xludf.DUMMYFUNCTION("""COMPUTED_VALUE"""),"Grant Gondrezick")</f>
        <v>Grant Gondrezick</v>
      </c>
      <c r="E2734" s="4" t="str">
        <f>IFERROR(__xludf.DUMMYFUNCTION("""COMPUTED_VALUE"""),"Pepperdine")</f>
        <v>Pepperdine</v>
      </c>
      <c r="F2734" s="4">
        <f>IFERROR(__xludf.DUMMYFUNCTION("""COMPUTED_VALUE"""),2.0)</f>
        <v>2</v>
      </c>
      <c r="G2734" s="4">
        <f>IFERROR(__xludf.DUMMYFUNCTION("""COMPUTED_VALUE"""),91.0)</f>
        <v>91</v>
      </c>
      <c r="H2734" s="4">
        <f>IFERROR(__xludf.DUMMYFUNCTION("""COMPUTED_VALUE"""),1080.0)</f>
        <v>1080</v>
      </c>
      <c r="I2734" s="4">
        <f>IFERROR(__xludf.DUMMYFUNCTION("""COMPUTED_VALUE"""),454.0)</f>
        <v>454</v>
      </c>
      <c r="J2734" s="4">
        <f>IFERROR(__xludf.DUMMYFUNCTION("""COMPUTED_VALUE"""),146.0)</f>
        <v>146</v>
      </c>
      <c r="K2734" s="4">
        <f>IFERROR(__xludf.DUMMYFUNCTION("""COMPUTED_VALUE"""),115.0)</f>
        <v>115</v>
      </c>
      <c r="L2734" s="4">
        <f>IFERROR(__xludf.DUMMYFUNCTION("""COMPUTED_VALUE"""),0.438)</f>
        <v>0.438</v>
      </c>
      <c r="M2734" s="4">
        <f>IFERROR(__xludf.DUMMYFUNCTION("""COMPUTED_VALUE"""),0.25)</f>
        <v>0.25</v>
      </c>
      <c r="N2734" s="4">
        <f>IFERROR(__xludf.DUMMYFUNCTION("""COMPUTED_VALUE"""),0.687)</f>
        <v>0.687</v>
      </c>
      <c r="O2734" s="4">
        <f>IFERROR(__xludf.DUMMYFUNCTION("""COMPUTED_VALUE"""),11.9)</f>
        <v>11.9</v>
      </c>
      <c r="P2734" s="4">
        <f>IFERROR(__xludf.DUMMYFUNCTION("""COMPUTED_VALUE"""),5.0)</f>
        <v>5</v>
      </c>
      <c r="Q2734" s="4">
        <f>IFERROR(__xludf.DUMMYFUNCTION("""COMPUTED_VALUE"""),1.6)</f>
        <v>1.6</v>
      </c>
      <c r="R2734" s="4">
        <f>IFERROR(__xludf.DUMMYFUNCTION("""COMPUTED_VALUE"""),1.3)</f>
        <v>1.3</v>
      </c>
      <c r="S2734" s="4">
        <f>IFERROR(__xludf.DUMMYFUNCTION("""COMPUTED_VALUE"""),0.8)</f>
        <v>0.8</v>
      </c>
      <c r="T2734" s="4">
        <f>IFERROR(__xludf.DUMMYFUNCTION("""COMPUTED_VALUE"""),0.036)</f>
        <v>0.036</v>
      </c>
      <c r="U2734" s="4">
        <f>IFERROR(__xludf.DUMMYFUNCTION("""COMPUTED_VALUE"""),-3.0)</f>
        <v>-3</v>
      </c>
      <c r="V2734" s="4">
        <f>IFERROR(__xludf.DUMMYFUNCTION("""COMPUTED_VALUE"""),-0.3)</f>
        <v>-0.3</v>
      </c>
    </row>
    <row r="2735">
      <c r="A2735" s="4">
        <f>IFERROR(__xludf.DUMMYFUNCTION("""COMPUTED_VALUE"""),78.0)</f>
        <v>78</v>
      </c>
      <c r="B2735" s="4">
        <f>IFERROR(__xludf.DUMMYFUNCTION("""COMPUTED_VALUE"""),78.0)</f>
        <v>78</v>
      </c>
      <c r="C2735" s="4" t="str">
        <f>IFERROR(__xludf.DUMMYFUNCTION("""COMPUTED_VALUE"""),"LAC")</f>
        <v>LAC</v>
      </c>
      <c r="D2735" s="4" t="str">
        <f>IFERROR(__xludf.DUMMYFUNCTION("""COMPUTED_VALUE"""),"John Brownlee")</f>
        <v>John Brownlee</v>
      </c>
      <c r="E2735" s="4" t="str">
        <f>IFERROR(__xludf.DUMMYFUNCTION("""COMPUTED_VALUE"""),"Texas")</f>
        <v>Texas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</row>
    <row r="2736">
      <c r="A2736" s="4">
        <f>IFERROR(__xludf.DUMMYFUNCTION("""COMPUTED_VALUE"""),79.0)</f>
        <v>79</v>
      </c>
      <c r="B2736" s="4">
        <f>IFERROR(__xludf.DUMMYFUNCTION("""COMPUTED_VALUE"""),79.0)</f>
        <v>79</v>
      </c>
      <c r="C2736" s="4" t="str">
        <f>IFERROR(__xludf.DUMMYFUNCTION("""COMPUTED_VALUE"""),"SAS")</f>
        <v>SAS</v>
      </c>
      <c r="D2736" s="4" t="str">
        <f>IFERROR(__xludf.DUMMYFUNCTION("""COMPUTED_VALUE"""),"Carlos Briggs")</f>
        <v>Carlos Briggs</v>
      </c>
      <c r="E2736" s="4" t="str">
        <f>IFERROR(__xludf.DUMMYFUNCTION("""COMPUTED_VALUE"""),"Baylor")</f>
        <v>Baylor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</row>
    <row r="2737">
      <c r="A2737" s="4">
        <f>IFERROR(__xludf.DUMMYFUNCTION("""COMPUTED_VALUE"""),80.0)</f>
        <v>80</v>
      </c>
      <c r="B2737" s="4">
        <f>IFERROR(__xludf.DUMMYFUNCTION("""COMPUTED_VALUE"""),80.0)</f>
        <v>80</v>
      </c>
      <c r="C2737" s="4" t="str">
        <f>IFERROR(__xludf.DUMMYFUNCTION("""COMPUTED_VALUE"""),"SAC")</f>
        <v>SAC</v>
      </c>
      <c r="D2737" s="4" t="str">
        <f>IFERROR(__xludf.DUMMYFUNCTION("""COMPUTED_VALUE"""),"Alvin Franklin")</f>
        <v>Alvin Franklin</v>
      </c>
      <c r="E2737" s="4" t="str">
        <f>IFERROR(__xludf.DUMMYFUNCTION("""COMPUTED_VALUE"""),"Houston")</f>
        <v>Houston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</row>
    <row r="2738">
      <c r="A2738" s="4">
        <f>IFERROR(__xludf.DUMMYFUNCTION("""COMPUTED_VALUE"""),81.0)</f>
        <v>81</v>
      </c>
      <c r="B2738" s="4">
        <f>IFERROR(__xludf.DUMMYFUNCTION("""COMPUTED_VALUE"""),81.0)</f>
        <v>81</v>
      </c>
      <c r="C2738" s="4" t="str">
        <f>IFERROR(__xludf.DUMMYFUNCTION("""COMPUTED_VALUE"""),"NJN")</f>
        <v>NJN</v>
      </c>
      <c r="D2738" s="4" t="str">
        <f>IFERROR(__xludf.DUMMYFUNCTION("""COMPUTED_VALUE"""),"Steve Hale")</f>
        <v>Steve Hale</v>
      </c>
      <c r="E2738" s="4" t="str">
        <f>IFERROR(__xludf.DUMMYFUNCTION("""COMPUTED_VALUE"""),"UNC")</f>
        <v>UNC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</row>
    <row r="2739">
      <c r="A2739" s="4">
        <f>IFERROR(__xludf.DUMMYFUNCTION("""COMPUTED_VALUE"""),82.0)</f>
        <v>82</v>
      </c>
      <c r="B2739" s="4">
        <f>IFERROR(__xludf.DUMMYFUNCTION("""COMPUTED_VALUE"""),82.0)</f>
        <v>82</v>
      </c>
      <c r="C2739" s="4" t="str">
        <f>IFERROR(__xludf.DUMMYFUNCTION("""COMPUTED_VALUE"""),"WSB")</f>
        <v>WSB</v>
      </c>
      <c r="D2739" s="4" t="str">
        <f>IFERROR(__xludf.DUMMYFUNCTION("""COMPUTED_VALUE"""),"Barry Mungar")</f>
        <v>Barry Mungar</v>
      </c>
      <c r="E2739" s="4" t="str">
        <f>IFERROR(__xludf.DUMMYFUNCTION("""COMPUTED_VALUE"""),"St. Bonaventure")</f>
        <v>St. Bonaventure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</row>
    <row r="2740">
      <c r="A2740" s="4">
        <f>IFERROR(__xludf.DUMMYFUNCTION("""COMPUTED_VALUE"""),83.0)</f>
        <v>83</v>
      </c>
      <c r="B2740" s="4">
        <f>IFERROR(__xludf.DUMMYFUNCTION("""COMPUTED_VALUE"""),83.0)</f>
        <v>83</v>
      </c>
      <c r="C2740" s="4" t="str">
        <f>IFERROR(__xludf.DUMMYFUNCTION("""COMPUTED_VALUE"""),"POR")</f>
        <v>POR</v>
      </c>
      <c r="D2740" s="4" t="str">
        <f>IFERROR(__xludf.DUMMYFUNCTION("""COMPUTED_VALUE"""),"David Shaffer")</f>
        <v>David Shaffer</v>
      </c>
      <c r="E2740" s="4" t="str">
        <f>IFERROR(__xludf.DUMMYFUNCTION("""COMPUTED_VALUE"""),"Florida State")</f>
        <v>Florida State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</row>
    <row r="2741">
      <c r="A2741" s="4">
        <f>IFERROR(__xludf.DUMMYFUNCTION("""COMPUTED_VALUE"""),84.0)</f>
        <v>84</v>
      </c>
      <c r="B2741" s="4">
        <f>IFERROR(__xludf.DUMMYFUNCTION("""COMPUTED_VALUE"""),84.0)</f>
        <v>84</v>
      </c>
      <c r="C2741" s="4" t="str">
        <f>IFERROR(__xludf.DUMMYFUNCTION("""COMPUTED_VALUE"""),"UTA")</f>
        <v>UTA</v>
      </c>
      <c r="D2741" s="4" t="str">
        <f>IFERROR(__xludf.DUMMYFUNCTION("""COMPUTED_VALUE"""),"Marty Embry")</f>
        <v>Marty Embry</v>
      </c>
      <c r="E2741" s="4" t="str">
        <f>IFERROR(__xludf.DUMMYFUNCTION("""COMPUTED_VALUE"""),"DePaul")</f>
        <v>DePaul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</row>
    <row r="2742">
      <c r="A2742" s="4">
        <f>IFERROR(__xludf.DUMMYFUNCTION("""COMPUTED_VALUE"""),85.0)</f>
        <v>85</v>
      </c>
      <c r="B2742" s="4">
        <f>IFERROR(__xludf.DUMMYFUNCTION("""COMPUTED_VALUE"""),85.0)</f>
        <v>85</v>
      </c>
      <c r="C2742" s="4" t="str">
        <f>IFERROR(__xludf.DUMMYFUNCTION("""COMPUTED_VALUE"""),"DAL")</f>
        <v>DAL</v>
      </c>
      <c r="D2742" s="4" t="str">
        <f>IFERROR(__xludf.DUMMYFUNCTION("""COMPUTED_VALUE"""),"Myron Jackson")</f>
        <v>Myron Jackson</v>
      </c>
      <c r="E2742" s="4" t="str">
        <f>IFERROR(__xludf.DUMMYFUNCTION("""COMPUTED_VALUE"""),"Little Rock")</f>
        <v>Little Rock</v>
      </c>
      <c r="F2742" s="4">
        <f>IFERROR(__xludf.DUMMYFUNCTION("""COMPUTED_VALUE"""),1.0)</f>
        <v>1</v>
      </c>
      <c r="G2742" s="4">
        <f>IFERROR(__xludf.DUMMYFUNCTION("""COMPUTED_VALUE"""),8.0)</f>
        <v>8</v>
      </c>
      <c r="H2742" s="4">
        <f>IFERROR(__xludf.DUMMYFUNCTION("""COMPUTED_VALUE"""),22.0)</f>
        <v>22</v>
      </c>
      <c r="I2742" s="4">
        <f>IFERROR(__xludf.DUMMYFUNCTION("""COMPUTED_VALUE"""),11.0)</f>
        <v>11</v>
      </c>
      <c r="J2742" s="4">
        <f>IFERROR(__xludf.DUMMYFUNCTION("""COMPUTED_VALUE"""),3.0)</f>
        <v>3</v>
      </c>
      <c r="K2742" s="4">
        <f>IFERROR(__xludf.DUMMYFUNCTION("""COMPUTED_VALUE"""),6.0)</f>
        <v>6</v>
      </c>
      <c r="L2742" s="4">
        <f>IFERROR(__xludf.DUMMYFUNCTION("""COMPUTED_VALUE"""),0.222)</f>
        <v>0.222</v>
      </c>
      <c r="M2742" s="4"/>
      <c r="N2742" s="4">
        <f>IFERROR(__xludf.DUMMYFUNCTION("""COMPUTED_VALUE"""),0.875)</f>
        <v>0.875</v>
      </c>
      <c r="O2742" s="4">
        <f>IFERROR(__xludf.DUMMYFUNCTION("""COMPUTED_VALUE"""),2.8)</f>
        <v>2.8</v>
      </c>
      <c r="P2742" s="4">
        <f>IFERROR(__xludf.DUMMYFUNCTION("""COMPUTED_VALUE"""),1.4)</f>
        <v>1.4</v>
      </c>
      <c r="Q2742" s="4">
        <f>IFERROR(__xludf.DUMMYFUNCTION("""COMPUTED_VALUE"""),0.4)</f>
        <v>0.4</v>
      </c>
      <c r="R2742" s="4">
        <f>IFERROR(__xludf.DUMMYFUNCTION("""COMPUTED_VALUE"""),0.8)</f>
        <v>0.8</v>
      </c>
      <c r="S2742" s="4">
        <f>IFERROR(__xludf.DUMMYFUNCTION("""COMPUTED_VALUE"""),0.0)</f>
        <v>0</v>
      </c>
      <c r="T2742" s="4">
        <f>IFERROR(__xludf.DUMMYFUNCTION("""COMPUTED_VALUE"""),-0.104)</f>
        <v>-0.104</v>
      </c>
      <c r="U2742" s="4">
        <f>IFERROR(__xludf.DUMMYFUNCTION("""COMPUTED_VALUE"""),-5.6)</f>
        <v>-5.6</v>
      </c>
      <c r="V2742" s="4">
        <f>IFERROR(__xludf.DUMMYFUNCTION("""COMPUTED_VALUE"""),0.0)</f>
        <v>0</v>
      </c>
    </row>
    <row r="2743">
      <c r="A2743" s="4">
        <f>IFERROR(__xludf.DUMMYFUNCTION("""COMPUTED_VALUE"""),86.0)</f>
        <v>86</v>
      </c>
      <c r="B2743" s="4">
        <f>IFERROR(__xludf.DUMMYFUNCTION("""COMPUTED_VALUE"""),86.0)</f>
        <v>86</v>
      </c>
      <c r="C2743" s="4" t="str">
        <f>IFERROR(__xludf.DUMMYFUNCTION("""COMPUTED_VALUE"""),"DET")</f>
        <v>DET</v>
      </c>
      <c r="D2743" s="4" t="str">
        <f>IFERROR(__xludf.DUMMYFUNCTION("""COMPUTED_VALUE"""),"Chauncey Robinson")</f>
        <v>Chauncey Robinson</v>
      </c>
      <c r="E2743" s="4" t="str">
        <f>IFERROR(__xludf.DUMMYFUNCTION("""COMPUTED_VALUE"""),"Mississippi State")</f>
        <v>Mississippi State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</row>
    <row r="2744">
      <c r="A2744" s="4">
        <f>IFERROR(__xludf.DUMMYFUNCTION("""COMPUTED_VALUE"""),87.0)</f>
        <v>87</v>
      </c>
      <c r="B2744" s="4">
        <f>IFERROR(__xludf.DUMMYFUNCTION("""COMPUTED_VALUE"""),87.0)</f>
        <v>87</v>
      </c>
      <c r="C2744" s="4" t="str">
        <f>IFERROR(__xludf.DUMMYFUNCTION("""COMPUTED_VALUE"""),"DEN")</f>
        <v>DEN</v>
      </c>
      <c r="D2744" s="4" t="str">
        <f>IFERROR(__xludf.DUMMYFUNCTION("""COMPUTED_VALUE"""),"Anthony Watson")</f>
        <v>Anthony Watson</v>
      </c>
      <c r="E2744" s="4" t="str">
        <f>IFERROR(__xludf.DUMMYFUNCTION("""COMPUTED_VALUE"""),"San Diego State")</f>
        <v>San Diego State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</row>
    <row r="2745">
      <c r="A2745" s="4">
        <f>IFERROR(__xludf.DUMMYFUNCTION("""COMPUTED_VALUE"""),88.0)</f>
        <v>88</v>
      </c>
      <c r="B2745" s="4">
        <f>IFERROR(__xludf.DUMMYFUNCTION("""COMPUTED_VALUE"""),88.0)</f>
        <v>88</v>
      </c>
      <c r="C2745" s="4" t="str">
        <f>IFERROR(__xludf.DUMMYFUNCTION("""COMPUTED_VALUE"""),"ATL")</f>
        <v>ATL</v>
      </c>
      <c r="D2745" s="4" t="str">
        <f>IFERROR(__xludf.DUMMYFUNCTION("""COMPUTED_VALUE"""),"Efrem Winters")</f>
        <v>Efrem Winters</v>
      </c>
      <c r="E2745" s="4" t="str">
        <f>IFERROR(__xludf.DUMMYFUNCTION("""COMPUTED_VALUE"""),"Illinois")</f>
        <v>Illinois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</row>
    <row r="2746">
      <c r="A2746" s="4">
        <f>IFERROR(__xludf.DUMMYFUNCTION("""COMPUTED_VALUE"""),89.0)</f>
        <v>89</v>
      </c>
      <c r="B2746" s="4">
        <f>IFERROR(__xludf.DUMMYFUNCTION("""COMPUTED_VALUE"""),89.0)</f>
        <v>89</v>
      </c>
      <c r="C2746" s="4" t="str">
        <f>IFERROR(__xludf.DUMMYFUNCTION("""COMPUTED_VALUE"""),"HOU")</f>
        <v>HOU</v>
      </c>
      <c r="D2746" s="4" t="str">
        <f>IFERROR(__xludf.DUMMYFUNCTION("""COMPUTED_VALUE"""),"Conner Henry")</f>
        <v>Conner Henry</v>
      </c>
      <c r="E2746" s="4" t="str">
        <f>IFERROR(__xludf.DUMMYFUNCTION("""COMPUTED_VALUE"""),"UC Santa Barbara")</f>
        <v>UC Santa Barbara</v>
      </c>
      <c r="F2746" s="4">
        <f>IFERROR(__xludf.DUMMYFUNCTION("""COMPUTED_VALUE"""),2.0)</f>
        <v>2</v>
      </c>
      <c r="G2746" s="4">
        <f>IFERROR(__xludf.DUMMYFUNCTION("""COMPUTED_VALUE"""),93.0)</f>
        <v>93</v>
      </c>
      <c r="H2746" s="4">
        <f>IFERROR(__xludf.DUMMYFUNCTION("""COMPUTED_VALUE"""),756.0)</f>
        <v>756</v>
      </c>
      <c r="I2746" s="4">
        <f>IFERROR(__xludf.DUMMYFUNCTION("""COMPUTED_VALUE"""),305.0)</f>
        <v>305</v>
      </c>
      <c r="J2746" s="4">
        <f>IFERROR(__xludf.DUMMYFUNCTION("""COMPUTED_VALUE"""),83.0)</f>
        <v>83</v>
      </c>
      <c r="K2746" s="4">
        <f>IFERROR(__xludf.DUMMYFUNCTION("""COMPUTED_VALUE"""),102.0)</f>
        <v>102</v>
      </c>
      <c r="L2746" s="4">
        <f>IFERROR(__xludf.DUMMYFUNCTION("""COMPUTED_VALUE"""),0.378)</f>
        <v>0.378</v>
      </c>
      <c r="M2746" s="4">
        <f>IFERROR(__xludf.DUMMYFUNCTION("""COMPUTED_VALUE"""),0.379)</f>
        <v>0.379</v>
      </c>
      <c r="N2746" s="4">
        <f>IFERROR(__xludf.DUMMYFUNCTION("""COMPUTED_VALUE"""),0.757)</f>
        <v>0.757</v>
      </c>
      <c r="O2746" s="4">
        <f>IFERROR(__xludf.DUMMYFUNCTION("""COMPUTED_VALUE"""),8.1)</f>
        <v>8.1</v>
      </c>
      <c r="P2746" s="4">
        <f>IFERROR(__xludf.DUMMYFUNCTION("""COMPUTED_VALUE"""),3.3)</f>
        <v>3.3</v>
      </c>
      <c r="Q2746" s="4">
        <f>IFERROR(__xludf.DUMMYFUNCTION("""COMPUTED_VALUE"""),0.9)</f>
        <v>0.9</v>
      </c>
      <c r="R2746" s="4">
        <f>IFERROR(__xludf.DUMMYFUNCTION("""COMPUTED_VALUE"""),1.1)</f>
        <v>1.1</v>
      </c>
      <c r="S2746" s="4">
        <f>IFERROR(__xludf.DUMMYFUNCTION("""COMPUTED_VALUE"""),0.1)</f>
        <v>0.1</v>
      </c>
      <c r="T2746" s="4">
        <f>IFERROR(__xludf.DUMMYFUNCTION("""COMPUTED_VALUE"""),0.007)</f>
        <v>0.007</v>
      </c>
      <c r="U2746" s="4">
        <f>IFERROR(__xludf.DUMMYFUNCTION("""COMPUTED_VALUE"""),-3.8)</f>
        <v>-3.8</v>
      </c>
      <c r="V2746" s="4">
        <f>IFERROR(__xludf.DUMMYFUNCTION("""COMPUTED_VALUE"""),-0.3)</f>
        <v>-0.3</v>
      </c>
    </row>
    <row r="2747">
      <c r="A2747" s="4">
        <f>IFERROR(__xludf.DUMMYFUNCTION("""COMPUTED_VALUE"""),90.0)</f>
        <v>90</v>
      </c>
      <c r="B2747" s="4">
        <f>IFERROR(__xludf.DUMMYFUNCTION("""COMPUTED_VALUE"""),90.0)</f>
        <v>90</v>
      </c>
      <c r="C2747" s="4" t="str">
        <f>IFERROR(__xludf.DUMMYFUNCTION("""COMPUTED_VALUE"""),"PHI")</f>
        <v>PHI</v>
      </c>
      <c r="D2747" s="4" t="str">
        <f>IFERROR(__xludf.DUMMYFUNCTION("""COMPUTED_VALUE"""),"Wes Stallings")</f>
        <v>Wes Stallings</v>
      </c>
      <c r="E2747" s="4" t="str">
        <f>IFERROR(__xludf.DUMMYFUNCTION("""COMPUTED_VALUE"""),"East Tennessee State University")</f>
        <v>East Tennessee State University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</row>
    <row r="2748">
      <c r="A2748" s="4">
        <f>IFERROR(__xludf.DUMMYFUNCTION("""COMPUTED_VALUE"""),91.0)</f>
        <v>91</v>
      </c>
      <c r="B2748" s="4">
        <f>IFERROR(__xludf.DUMMYFUNCTION("""COMPUTED_VALUE"""),91.0)</f>
        <v>91</v>
      </c>
      <c r="C2748" s="4" t="str">
        <f>IFERROR(__xludf.DUMMYFUNCTION("""COMPUTED_VALUE"""),"SAC")</f>
        <v>SAC</v>
      </c>
      <c r="D2748" s="4" t="str">
        <f>IFERROR(__xludf.DUMMYFUNCTION("""COMPUTED_VALUE"""),"Bob Beecher")</f>
        <v>Bob Beecher</v>
      </c>
      <c r="E2748" s="4" t="str">
        <f>IFERROR(__xludf.DUMMYFUNCTION("""COMPUTED_VALUE"""),"Virginia Tech")</f>
        <v>Virginia Tech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</row>
    <row r="2749">
      <c r="A2749" s="4">
        <f>IFERROR(__xludf.DUMMYFUNCTION("""COMPUTED_VALUE"""),92.0)</f>
        <v>92</v>
      </c>
      <c r="B2749" s="4">
        <f>IFERROR(__xludf.DUMMYFUNCTION("""COMPUTED_VALUE"""),92.0)</f>
        <v>92</v>
      </c>
      <c r="C2749" s="4" t="str">
        <f>IFERROR(__xludf.DUMMYFUNCTION("""COMPUTED_VALUE"""),"LAL")</f>
        <v>LAL</v>
      </c>
      <c r="D2749" s="4" t="str">
        <f>IFERROR(__xludf.DUMMYFUNCTION("""COMPUTED_VALUE"""),"Dale Blaney")</f>
        <v>Dale Blaney</v>
      </c>
      <c r="E2749" s="4" t="str">
        <f>IFERROR(__xludf.DUMMYFUNCTION("""COMPUTED_VALUE"""),"West Virginia")</f>
        <v>West Virginia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</row>
    <row r="2750">
      <c r="A2750" s="4">
        <f>IFERROR(__xludf.DUMMYFUNCTION("""COMPUTED_VALUE"""),93.0)</f>
        <v>93</v>
      </c>
      <c r="B2750" s="4">
        <f>IFERROR(__xludf.DUMMYFUNCTION("""COMPUTED_VALUE"""),93.0)</f>
        <v>93</v>
      </c>
      <c r="C2750" s="4" t="str">
        <f>IFERROR(__xludf.DUMMYFUNCTION("""COMPUTED_VALUE"""),"BOS")</f>
        <v>BOS</v>
      </c>
      <c r="D2750" s="4" t="str">
        <f>IFERROR(__xludf.DUMMYFUNCTION("""COMPUTED_VALUE"""),"Tony Benford")</f>
        <v>Tony Benford</v>
      </c>
      <c r="E2750" s="4" t="str">
        <f>IFERROR(__xludf.DUMMYFUNCTION("""COMPUTED_VALUE"""),"Texas Tech")</f>
        <v>Texas Tech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</row>
    <row r="2751">
      <c r="A2751" s="4"/>
      <c r="B2751" s="4"/>
      <c r="C2751" s="4"/>
      <c r="D2751" s="4" t="str">
        <f>IFERROR(__xludf.DUMMYFUNCTION("""COMPUTED_VALUE"""),"Round 5")</f>
        <v>Round 5</v>
      </c>
      <c r="E2751" s="4"/>
      <c r="F2751" s="4"/>
      <c r="G2751" s="4" t="str">
        <f>IFERROR(__xludf.DUMMYFUNCTION("""COMPUTED_VALUE"""),"Totals")</f>
        <v>Totals</v>
      </c>
      <c r="H2751" s="4"/>
      <c r="I2751" s="4"/>
      <c r="J2751" s="4"/>
      <c r="K2751" s="4"/>
      <c r="L2751" s="4" t="str">
        <f>IFERROR(__xludf.DUMMYFUNCTION("""COMPUTED_VALUE"""),"Shooting")</f>
        <v>Shooting</v>
      </c>
      <c r="M2751" s="4"/>
      <c r="N2751" s="4"/>
      <c r="O2751" s="4" t="str">
        <f>IFERROR(__xludf.DUMMYFUNCTION("""COMPUTED_VALUE"""),"Per Game")</f>
        <v>Per Game</v>
      </c>
      <c r="P2751" s="4"/>
      <c r="Q2751" s="4"/>
      <c r="R2751" s="4"/>
      <c r="S2751" s="4" t="str">
        <f>IFERROR(__xludf.DUMMYFUNCTION("""COMPUTED_VALUE"""),"Advanced")</f>
        <v>Advanced</v>
      </c>
      <c r="T2751" s="4"/>
      <c r="U2751" s="4"/>
      <c r="V2751" s="4"/>
    </row>
    <row r="2752">
      <c r="A2752" s="4" t="str">
        <f>IFERROR(__xludf.DUMMYFUNCTION("""COMPUTED_VALUE"""),"Rk")</f>
        <v>Rk</v>
      </c>
      <c r="B2752" s="4" t="str">
        <f>IFERROR(__xludf.DUMMYFUNCTION("""COMPUTED_VALUE"""),"Pk")</f>
        <v>Pk</v>
      </c>
      <c r="C2752" s="4" t="str">
        <f>IFERROR(__xludf.DUMMYFUNCTION("""COMPUTED_VALUE"""),"Tm")</f>
        <v>Tm</v>
      </c>
      <c r="D2752" s="4" t="str">
        <f>IFERROR(__xludf.DUMMYFUNCTION("""COMPUTED_VALUE"""),"Player")</f>
        <v>Player</v>
      </c>
      <c r="E2752" s="4" t="str">
        <f>IFERROR(__xludf.DUMMYFUNCTION("""COMPUTED_VALUE"""),"College")</f>
        <v>College</v>
      </c>
      <c r="F2752" s="4" t="str">
        <f>IFERROR(__xludf.DUMMYFUNCTION("""COMPUTED_VALUE"""),"Yrs")</f>
        <v>Yrs</v>
      </c>
      <c r="G2752" s="4" t="str">
        <f>IFERROR(__xludf.DUMMYFUNCTION("""COMPUTED_VALUE"""),"G")</f>
        <v>G</v>
      </c>
      <c r="H2752" s="4" t="str">
        <f>IFERROR(__xludf.DUMMYFUNCTION("""COMPUTED_VALUE"""),"MP")</f>
        <v>MP</v>
      </c>
      <c r="I2752" s="4" t="str">
        <f>IFERROR(__xludf.DUMMYFUNCTION("""COMPUTED_VALUE"""),"PTS")</f>
        <v>PTS</v>
      </c>
      <c r="J2752" s="4" t="str">
        <f>IFERROR(__xludf.DUMMYFUNCTION("""COMPUTED_VALUE"""),"TRB")</f>
        <v>TRB</v>
      </c>
      <c r="K2752" s="4" t="str">
        <f>IFERROR(__xludf.DUMMYFUNCTION("""COMPUTED_VALUE"""),"AST")</f>
        <v>AST</v>
      </c>
      <c r="L2752" s="4" t="str">
        <f>IFERROR(__xludf.DUMMYFUNCTION("""COMPUTED_VALUE"""),"FG%")</f>
        <v>FG%</v>
      </c>
      <c r="M2752" s="4" t="str">
        <f>IFERROR(__xludf.DUMMYFUNCTION("""COMPUTED_VALUE"""),"3P%")</f>
        <v>3P%</v>
      </c>
      <c r="N2752" s="4" t="str">
        <f>IFERROR(__xludf.DUMMYFUNCTION("""COMPUTED_VALUE"""),"FT%")</f>
        <v>FT%</v>
      </c>
      <c r="O2752" s="4" t="str">
        <f>IFERROR(__xludf.DUMMYFUNCTION("""COMPUTED_VALUE"""),"MP")</f>
        <v>MP</v>
      </c>
      <c r="P2752" s="4" t="str">
        <f>IFERROR(__xludf.DUMMYFUNCTION("""COMPUTED_VALUE"""),"PTS")</f>
        <v>PTS</v>
      </c>
      <c r="Q2752" s="4" t="str">
        <f>IFERROR(__xludf.DUMMYFUNCTION("""COMPUTED_VALUE"""),"TRB")</f>
        <v>TRB</v>
      </c>
      <c r="R2752" s="4" t="str">
        <f>IFERROR(__xludf.DUMMYFUNCTION("""COMPUTED_VALUE"""),"AST")</f>
        <v>AST</v>
      </c>
      <c r="S2752" s="4" t="str">
        <f>IFERROR(__xludf.DUMMYFUNCTION("""COMPUTED_VALUE"""),"WS")</f>
        <v>WS</v>
      </c>
      <c r="T2752" s="4" t="str">
        <f>IFERROR(__xludf.DUMMYFUNCTION("""COMPUTED_VALUE"""),"WS/48")</f>
        <v>WS/48</v>
      </c>
      <c r="U2752" s="4" t="str">
        <f>IFERROR(__xludf.DUMMYFUNCTION("""COMPUTED_VALUE"""),"BPM")</f>
        <v>BPM</v>
      </c>
      <c r="V2752" s="4" t="str">
        <f>IFERROR(__xludf.DUMMYFUNCTION("""COMPUTED_VALUE"""),"VORP")</f>
        <v>VORP</v>
      </c>
    </row>
    <row r="2753">
      <c r="A2753" s="4">
        <f>IFERROR(__xludf.DUMMYFUNCTION("""COMPUTED_VALUE"""),94.0)</f>
        <v>94</v>
      </c>
      <c r="B2753" s="4">
        <f>IFERROR(__xludf.DUMMYFUNCTION("""COMPUTED_VALUE"""),94.0)</f>
        <v>94</v>
      </c>
      <c r="C2753" s="4" t="str">
        <f>IFERROR(__xludf.DUMMYFUNCTION("""COMPUTED_VALUE"""),"NYK")</f>
        <v>NYK</v>
      </c>
      <c r="D2753" s="4" t="str">
        <f>IFERROR(__xludf.DUMMYFUNCTION("""COMPUTED_VALUE"""),"Jerome Mincey")</f>
        <v>Jerome Mincey</v>
      </c>
      <c r="E2753" s="4" t="str">
        <f>IFERROR(__xludf.DUMMYFUNCTION("""COMPUTED_VALUE"""),"UAB")</f>
        <v>UAB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</row>
    <row r="2754">
      <c r="A2754" s="4">
        <f>IFERROR(__xludf.DUMMYFUNCTION("""COMPUTED_VALUE"""),95.0)</f>
        <v>95</v>
      </c>
      <c r="B2754" s="4">
        <f>IFERROR(__xludf.DUMMYFUNCTION("""COMPUTED_VALUE"""),95.0)</f>
        <v>95</v>
      </c>
      <c r="C2754" s="4" t="str">
        <f>IFERROR(__xludf.DUMMYFUNCTION("""COMPUTED_VALUE"""),"IND")</f>
        <v>IND</v>
      </c>
      <c r="D2754" s="4" t="str">
        <f>IFERROR(__xludf.DUMMYFUNCTION("""COMPUTED_VALUE"""),"Richard Rellford")</f>
        <v>Richard Rellford</v>
      </c>
      <c r="E2754" s="4" t="str">
        <f>IFERROR(__xludf.DUMMYFUNCTION("""COMPUTED_VALUE"""),"Michigan")</f>
        <v>Michigan</v>
      </c>
      <c r="F2754" s="4">
        <f>IFERROR(__xludf.DUMMYFUNCTION("""COMPUTED_VALUE"""),1.0)</f>
        <v>1</v>
      </c>
      <c r="G2754" s="4">
        <f>IFERROR(__xludf.DUMMYFUNCTION("""COMPUTED_VALUE"""),4.0)</f>
        <v>4</v>
      </c>
      <c r="H2754" s="4">
        <f>IFERROR(__xludf.DUMMYFUNCTION("""COMPUTED_VALUE"""),42.0)</f>
        <v>42</v>
      </c>
      <c r="I2754" s="4">
        <f>IFERROR(__xludf.DUMMYFUNCTION("""COMPUTED_VALUE"""),16.0)</f>
        <v>16</v>
      </c>
      <c r="J2754" s="4">
        <f>IFERROR(__xludf.DUMMYFUNCTION("""COMPUTED_VALUE"""),7.0)</f>
        <v>7</v>
      </c>
      <c r="K2754" s="4">
        <f>IFERROR(__xludf.DUMMYFUNCTION("""COMPUTED_VALUE"""),1.0)</f>
        <v>1</v>
      </c>
      <c r="L2754" s="4">
        <f>IFERROR(__xludf.DUMMYFUNCTION("""COMPUTED_VALUE"""),0.625)</f>
        <v>0.625</v>
      </c>
      <c r="M2754" s="4"/>
      <c r="N2754" s="4">
        <f>IFERROR(__xludf.DUMMYFUNCTION("""COMPUTED_VALUE"""),0.75)</f>
        <v>0.75</v>
      </c>
      <c r="O2754" s="4">
        <f>IFERROR(__xludf.DUMMYFUNCTION("""COMPUTED_VALUE"""),10.5)</f>
        <v>10.5</v>
      </c>
      <c r="P2754" s="4">
        <f>IFERROR(__xludf.DUMMYFUNCTION("""COMPUTED_VALUE"""),4.0)</f>
        <v>4</v>
      </c>
      <c r="Q2754" s="4">
        <f>IFERROR(__xludf.DUMMYFUNCTION("""COMPUTED_VALUE"""),1.8)</f>
        <v>1.8</v>
      </c>
      <c r="R2754" s="4">
        <f>IFERROR(__xludf.DUMMYFUNCTION("""COMPUTED_VALUE"""),0.3)</f>
        <v>0.3</v>
      </c>
      <c r="S2754" s="4">
        <f>IFERROR(__xludf.DUMMYFUNCTION("""COMPUTED_VALUE"""),0.0)</f>
        <v>0</v>
      </c>
      <c r="T2754" s="4">
        <f>IFERROR(__xludf.DUMMYFUNCTION("""COMPUTED_VALUE"""),0.048)</f>
        <v>0.048</v>
      </c>
      <c r="U2754" s="4">
        <f>IFERROR(__xludf.DUMMYFUNCTION("""COMPUTED_VALUE"""),-1.8)</f>
        <v>-1.8</v>
      </c>
      <c r="V2754" s="4">
        <f>IFERROR(__xludf.DUMMYFUNCTION("""COMPUTED_VALUE"""),0.0)</f>
        <v>0</v>
      </c>
    </row>
    <row r="2755">
      <c r="A2755" s="4">
        <f>IFERROR(__xludf.DUMMYFUNCTION("""COMPUTED_VALUE"""),96.0)</f>
        <v>96</v>
      </c>
      <c r="B2755" s="4">
        <f>IFERROR(__xludf.DUMMYFUNCTION("""COMPUTED_VALUE"""),96.0)</f>
        <v>96</v>
      </c>
      <c r="C2755" s="4" t="str">
        <f>IFERROR(__xludf.DUMMYFUNCTION("""COMPUTED_VALUE"""),"CLE")</f>
        <v>CLE</v>
      </c>
      <c r="D2755" s="4" t="str">
        <f>IFERROR(__xludf.DUMMYFUNCTION("""COMPUTED_VALUE"""),"Ben Davis")</f>
        <v>Ben Davis</v>
      </c>
      <c r="E2755" s="4" t="str">
        <f>IFERROR(__xludf.DUMMYFUNCTION("""COMPUTED_VALUE"""),"Gardner-Webb University")</f>
        <v>Gardner-Webb University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</row>
    <row r="2756">
      <c r="A2756" s="4">
        <f>IFERROR(__xludf.DUMMYFUNCTION("""COMPUTED_VALUE"""),97.0)</f>
        <v>97</v>
      </c>
      <c r="B2756" s="4">
        <f>IFERROR(__xludf.DUMMYFUNCTION("""COMPUTED_VALUE"""),97.0)</f>
        <v>97</v>
      </c>
      <c r="C2756" s="4" t="str">
        <f>IFERROR(__xludf.DUMMYFUNCTION("""COMPUTED_VALUE"""),"GSW")</f>
        <v>GSW</v>
      </c>
      <c r="D2756" s="4" t="str">
        <f>IFERROR(__xludf.DUMMYFUNCTION("""COMPUTED_VALUE"""),"Clinton Smith")</f>
        <v>Clinton Smith</v>
      </c>
      <c r="E2756" s="4" t="str">
        <f>IFERROR(__xludf.DUMMYFUNCTION("""COMPUTED_VALUE"""),"Cleveland State University")</f>
        <v>Cleveland State University</v>
      </c>
      <c r="F2756" s="4">
        <f>IFERROR(__xludf.DUMMYFUNCTION("""COMPUTED_VALUE"""),2.0)</f>
        <v>2</v>
      </c>
      <c r="G2756" s="4">
        <f>IFERROR(__xludf.DUMMYFUNCTION("""COMPUTED_VALUE"""),46.0)</f>
        <v>46</v>
      </c>
      <c r="H2756" s="4">
        <f>IFERROR(__xludf.DUMMYFUNCTION("""COMPUTED_VALUE"""),386.0)</f>
        <v>386</v>
      </c>
      <c r="I2756" s="4">
        <f>IFERROR(__xludf.DUMMYFUNCTION("""COMPUTED_VALUE"""),134.0)</f>
        <v>134</v>
      </c>
      <c r="J2756" s="4">
        <f>IFERROR(__xludf.DUMMYFUNCTION("""COMPUTED_VALUE"""),60.0)</f>
        <v>60</v>
      </c>
      <c r="K2756" s="4">
        <f>IFERROR(__xludf.DUMMYFUNCTION("""COMPUTED_VALUE"""),49.0)</f>
        <v>49</v>
      </c>
      <c r="L2756" s="4">
        <f>IFERROR(__xludf.DUMMYFUNCTION("""COMPUTED_VALUE"""),0.43)</f>
        <v>0.43</v>
      </c>
      <c r="M2756" s="4">
        <f>IFERROR(__xludf.DUMMYFUNCTION("""COMPUTED_VALUE"""),0.0)</f>
        <v>0</v>
      </c>
      <c r="N2756" s="4">
        <f>IFERROR(__xludf.DUMMYFUNCTION("""COMPUTED_VALUE"""),0.714)</f>
        <v>0.714</v>
      </c>
      <c r="O2756" s="4">
        <f>IFERROR(__xludf.DUMMYFUNCTION("""COMPUTED_VALUE"""),8.4)</f>
        <v>8.4</v>
      </c>
      <c r="P2756" s="4">
        <f>IFERROR(__xludf.DUMMYFUNCTION("""COMPUTED_VALUE"""),2.9)</f>
        <v>2.9</v>
      </c>
      <c r="Q2756" s="4">
        <f>IFERROR(__xludf.DUMMYFUNCTION("""COMPUTED_VALUE"""),1.3)</f>
        <v>1.3</v>
      </c>
      <c r="R2756" s="4">
        <f>IFERROR(__xludf.DUMMYFUNCTION("""COMPUTED_VALUE"""),1.1)</f>
        <v>1.1</v>
      </c>
      <c r="S2756" s="4">
        <f>IFERROR(__xludf.DUMMYFUNCTION("""COMPUTED_VALUE"""),0.3)</f>
        <v>0.3</v>
      </c>
      <c r="T2756" s="4">
        <f>IFERROR(__xludf.DUMMYFUNCTION("""COMPUTED_VALUE"""),0.035)</f>
        <v>0.035</v>
      </c>
      <c r="U2756" s="4">
        <f>IFERROR(__xludf.DUMMYFUNCTION("""COMPUTED_VALUE"""),-2.4)</f>
        <v>-2.4</v>
      </c>
      <c r="V2756" s="4">
        <f>IFERROR(__xludf.DUMMYFUNCTION("""COMPUTED_VALUE"""),0.0)</f>
        <v>0</v>
      </c>
    </row>
    <row r="2757">
      <c r="A2757" s="4">
        <f>IFERROR(__xludf.DUMMYFUNCTION("""COMPUTED_VALUE"""),98.0)</f>
        <v>98</v>
      </c>
      <c r="B2757" s="4">
        <f>IFERROR(__xludf.DUMMYFUNCTION("""COMPUTED_VALUE"""),98.0)</f>
        <v>98</v>
      </c>
      <c r="C2757" s="4" t="str">
        <f>IFERROR(__xludf.DUMMYFUNCTION("""COMPUTED_VALUE"""),"CHI")</f>
        <v>CHI</v>
      </c>
      <c r="D2757" s="4" t="str">
        <f>IFERROR(__xludf.DUMMYFUNCTION("""COMPUTED_VALUE"""),"Jimmy Gilbert")</f>
        <v>Jimmy Gilbert</v>
      </c>
      <c r="E2757" s="4" t="str">
        <f>IFERROR(__xludf.DUMMYFUNCTION("""COMPUTED_VALUE"""),"Texas A&amp;M")</f>
        <v>Texas A&amp;M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</row>
    <row r="2758">
      <c r="A2758" s="4">
        <f>IFERROR(__xludf.DUMMYFUNCTION("""COMPUTED_VALUE"""),99.0)</f>
        <v>99</v>
      </c>
      <c r="B2758" s="4">
        <f>IFERROR(__xludf.DUMMYFUNCTION("""COMPUTED_VALUE"""),99.0)</f>
        <v>99</v>
      </c>
      <c r="C2758" s="4" t="str">
        <f>IFERROR(__xludf.DUMMYFUNCTION("""COMPUTED_VALUE"""),"SEA")</f>
        <v>SEA</v>
      </c>
      <c r="D2758" s="4" t="str">
        <f>IFERROR(__xludf.DUMMYFUNCTION("""COMPUTED_VALUE"""),"Dominic Pressley")</f>
        <v>Dominic Pressley</v>
      </c>
      <c r="E2758" s="4" t="str">
        <f>IFERROR(__xludf.DUMMYFUNCTION("""COMPUTED_VALUE"""),"Boston College")</f>
        <v>Boston College</v>
      </c>
      <c r="F2758" s="4">
        <f>IFERROR(__xludf.DUMMYFUNCTION("""COMPUTED_VALUE"""),1.0)</f>
        <v>1</v>
      </c>
      <c r="G2758" s="4">
        <f>IFERROR(__xludf.DUMMYFUNCTION("""COMPUTED_VALUE"""),13.0)</f>
        <v>13</v>
      </c>
      <c r="H2758" s="4">
        <f>IFERROR(__xludf.DUMMYFUNCTION("""COMPUTED_VALUE"""),124.0)</f>
        <v>124</v>
      </c>
      <c r="I2758" s="4">
        <f>IFERROR(__xludf.DUMMYFUNCTION("""COMPUTED_VALUE"""),23.0)</f>
        <v>23</v>
      </c>
      <c r="J2758" s="4">
        <f>IFERROR(__xludf.DUMMYFUNCTION("""COMPUTED_VALUE"""),15.0)</f>
        <v>15</v>
      </c>
      <c r="K2758" s="4">
        <f>IFERROR(__xludf.DUMMYFUNCTION("""COMPUTED_VALUE"""),26.0)</f>
        <v>26</v>
      </c>
      <c r="L2758" s="4">
        <f>IFERROR(__xludf.DUMMYFUNCTION("""COMPUTED_VALUE"""),0.29)</f>
        <v>0.29</v>
      </c>
      <c r="M2758" s="4">
        <f>IFERROR(__xludf.DUMMYFUNCTION("""COMPUTED_VALUE"""),0.0)</f>
        <v>0</v>
      </c>
      <c r="N2758" s="4">
        <f>IFERROR(__xludf.DUMMYFUNCTION("""COMPUTED_VALUE"""),0.556)</f>
        <v>0.556</v>
      </c>
      <c r="O2758" s="4">
        <f>IFERROR(__xludf.DUMMYFUNCTION("""COMPUTED_VALUE"""),9.5)</f>
        <v>9.5</v>
      </c>
      <c r="P2758" s="4">
        <f>IFERROR(__xludf.DUMMYFUNCTION("""COMPUTED_VALUE"""),1.8)</f>
        <v>1.8</v>
      </c>
      <c r="Q2758" s="4">
        <f>IFERROR(__xludf.DUMMYFUNCTION("""COMPUTED_VALUE"""),1.2)</f>
        <v>1.2</v>
      </c>
      <c r="R2758" s="4">
        <f>IFERROR(__xludf.DUMMYFUNCTION("""COMPUTED_VALUE"""),2.0)</f>
        <v>2</v>
      </c>
      <c r="S2758" s="4">
        <f>IFERROR(__xludf.DUMMYFUNCTION("""COMPUTED_VALUE"""),-0.2)</f>
        <v>-0.2</v>
      </c>
      <c r="T2758" s="4">
        <f>IFERROR(__xludf.DUMMYFUNCTION("""COMPUTED_VALUE"""),-0.069)</f>
        <v>-0.069</v>
      </c>
      <c r="U2758" s="4">
        <f>IFERROR(__xludf.DUMMYFUNCTION("""COMPUTED_VALUE"""),-6.7)</f>
        <v>-6.7</v>
      </c>
      <c r="V2758" s="4">
        <f>IFERROR(__xludf.DUMMYFUNCTION("""COMPUTED_VALUE"""),-0.1)</f>
        <v>-0.1</v>
      </c>
    </row>
    <row r="2759">
      <c r="A2759" s="4">
        <f>IFERROR(__xludf.DUMMYFUNCTION("""COMPUTED_VALUE"""),100.0)</f>
        <v>100</v>
      </c>
      <c r="B2759" s="4">
        <f>IFERROR(__xludf.DUMMYFUNCTION("""COMPUTED_VALUE"""),100.0)</f>
        <v>100</v>
      </c>
      <c r="C2759" s="4" t="str">
        <f>IFERROR(__xludf.DUMMYFUNCTION("""COMPUTED_VALUE"""),"LAC")</f>
        <v>LAC</v>
      </c>
      <c r="D2759" s="4" t="str">
        <f>IFERROR(__xludf.DUMMYFUNCTION("""COMPUTED_VALUE"""),"Steffond Johnson")</f>
        <v>Steffond Johnson</v>
      </c>
      <c r="E2759" s="4" t="str">
        <f>IFERROR(__xludf.DUMMYFUNCTION("""COMPUTED_VALUE"""),"San Diego State")</f>
        <v>San Diego State</v>
      </c>
      <c r="F2759" s="4">
        <f>IFERROR(__xludf.DUMMYFUNCTION("""COMPUTED_VALUE"""),1.0)</f>
        <v>1</v>
      </c>
      <c r="G2759" s="4">
        <f>IFERROR(__xludf.DUMMYFUNCTION("""COMPUTED_VALUE"""),29.0)</f>
        <v>29</v>
      </c>
      <c r="H2759" s="4">
        <f>IFERROR(__xludf.DUMMYFUNCTION("""COMPUTED_VALUE"""),234.0)</f>
        <v>234</v>
      </c>
      <c r="I2759" s="4">
        <f>IFERROR(__xludf.DUMMYFUNCTION("""COMPUTED_VALUE"""),74.0)</f>
        <v>74</v>
      </c>
      <c r="J2759" s="4">
        <f>IFERROR(__xludf.DUMMYFUNCTION("""COMPUTED_VALUE"""),43.0)</f>
        <v>43</v>
      </c>
      <c r="K2759" s="4">
        <f>IFERROR(__xludf.DUMMYFUNCTION("""COMPUTED_VALUE"""),5.0)</f>
        <v>5</v>
      </c>
      <c r="L2759" s="4">
        <f>IFERROR(__xludf.DUMMYFUNCTION("""COMPUTED_VALUE"""),0.422)</f>
        <v>0.422</v>
      </c>
      <c r="M2759" s="4">
        <f>IFERROR(__xludf.DUMMYFUNCTION("""COMPUTED_VALUE"""),0.0)</f>
        <v>0</v>
      </c>
      <c r="N2759" s="4">
        <f>IFERROR(__xludf.DUMMYFUNCTION("""COMPUTED_VALUE"""),0.526)</f>
        <v>0.526</v>
      </c>
      <c r="O2759" s="4">
        <f>IFERROR(__xludf.DUMMYFUNCTION("""COMPUTED_VALUE"""),8.1)</f>
        <v>8.1</v>
      </c>
      <c r="P2759" s="4">
        <f>IFERROR(__xludf.DUMMYFUNCTION("""COMPUTED_VALUE"""),2.6)</f>
        <v>2.6</v>
      </c>
      <c r="Q2759" s="4">
        <f>IFERROR(__xludf.DUMMYFUNCTION("""COMPUTED_VALUE"""),1.5)</f>
        <v>1.5</v>
      </c>
      <c r="R2759" s="4">
        <f>IFERROR(__xludf.DUMMYFUNCTION("""COMPUTED_VALUE"""),0.2)</f>
        <v>0.2</v>
      </c>
      <c r="S2759" s="4">
        <f>IFERROR(__xludf.DUMMYFUNCTION("""COMPUTED_VALUE"""),-0.2)</f>
        <v>-0.2</v>
      </c>
      <c r="T2759" s="4">
        <f>IFERROR(__xludf.DUMMYFUNCTION("""COMPUTED_VALUE"""),-0.037)</f>
        <v>-0.037</v>
      </c>
      <c r="U2759" s="4">
        <f>IFERROR(__xludf.DUMMYFUNCTION("""COMPUTED_VALUE"""),-9.8)</f>
        <v>-9.8</v>
      </c>
      <c r="V2759" s="4">
        <f>IFERROR(__xludf.DUMMYFUNCTION("""COMPUTED_VALUE"""),-0.5)</f>
        <v>-0.5</v>
      </c>
    </row>
    <row r="2760">
      <c r="A2760" s="4">
        <f>IFERROR(__xludf.DUMMYFUNCTION("""COMPUTED_VALUE"""),101.0)</f>
        <v>101</v>
      </c>
      <c r="B2760" s="4">
        <f>IFERROR(__xludf.DUMMYFUNCTION("""COMPUTED_VALUE"""),101.0)</f>
        <v>101</v>
      </c>
      <c r="C2760" s="4" t="str">
        <f>IFERROR(__xludf.DUMMYFUNCTION("""COMPUTED_VALUE"""),"PHO")</f>
        <v>PHO</v>
      </c>
      <c r="D2760" s="4" t="str">
        <f>IFERROR(__xludf.DUMMYFUNCTION("""COMPUTED_VALUE"""),"Greg Spurling")</f>
        <v>Greg Spurling</v>
      </c>
      <c r="E2760" s="4" t="str">
        <f>IFERROR(__xludf.DUMMYFUNCTION("""COMPUTED_VALUE"""),"Carson-Newman College")</f>
        <v>Carson-Newman College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</row>
    <row r="2761">
      <c r="A2761" s="4">
        <f>IFERROR(__xludf.DUMMYFUNCTION("""COMPUTED_VALUE"""),102.0)</f>
        <v>102</v>
      </c>
      <c r="B2761" s="4">
        <f>IFERROR(__xludf.DUMMYFUNCTION("""COMPUTED_VALUE"""),102.0)</f>
        <v>102</v>
      </c>
      <c r="C2761" s="4" t="str">
        <f>IFERROR(__xludf.DUMMYFUNCTION("""COMPUTED_VALUE"""),"SAS")</f>
        <v>SAS</v>
      </c>
      <c r="D2761" s="4" t="str">
        <f>IFERROR(__xludf.DUMMYFUNCTION("""COMPUTED_VALUE"""),"Earl Kelley")</f>
        <v>Earl Kelley</v>
      </c>
      <c r="E2761" s="4" t="str">
        <f>IFERROR(__xludf.DUMMYFUNCTION("""COMPUTED_VALUE"""),"UConn")</f>
        <v>UConn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</row>
    <row r="2762">
      <c r="A2762" s="4">
        <f>IFERROR(__xludf.DUMMYFUNCTION("""COMPUTED_VALUE"""),103.0)</f>
        <v>103</v>
      </c>
      <c r="B2762" s="4">
        <f>IFERROR(__xludf.DUMMYFUNCTION("""COMPUTED_VALUE"""),103.0)</f>
        <v>103</v>
      </c>
      <c r="C2762" s="4" t="str">
        <f>IFERROR(__xludf.DUMMYFUNCTION("""COMPUTED_VALUE"""),"SAC")</f>
        <v>SAC</v>
      </c>
      <c r="D2762" s="4" t="str">
        <f>IFERROR(__xludf.DUMMYFUNCTION("""COMPUTED_VALUE"""),"Keith Morrison")</f>
        <v>Keith Morrison</v>
      </c>
      <c r="E2762" s="4" t="str">
        <f>IFERROR(__xludf.DUMMYFUNCTION("""COMPUTED_VALUE"""),"Washington State")</f>
        <v>Washington State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</row>
    <row r="2763">
      <c r="A2763" s="4">
        <f>IFERROR(__xludf.DUMMYFUNCTION("""COMPUTED_VALUE"""),104.0)</f>
        <v>104</v>
      </c>
      <c r="B2763" s="4">
        <f>IFERROR(__xludf.DUMMYFUNCTION("""COMPUTED_VALUE"""),104.0)</f>
        <v>104</v>
      </c>
      <c r="C2763" s="4" t="str">
        <f>IFERROR(__xludf.DUMMYFUNCTION("""COMPUTED_VALUE"""),"WSB")</f>
        <v>WSB</v>
      </c>
      <c r="D2763" s="4" t="str">
        <f>IFERROR(__xludf.DUMMYFUNCTION("""COMPUTED_VALUE"""),"Paul Fortier")</f>
        <v>Paul Fortier</v>
      </c>
      <c r="E2763" s="4" t="str">
        <f>IFERROR(__xludf.DUMMYFUNCTION("""COMPUTED_VALUE"""),"Washington")</f>
        <v>Washington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</row>
    <row r="2764">
      <c r="A2764" s="4">
        <f>IFERROR(__xludf.DUMMYFUNCTION("""COMPUTED_VALUE"""),105.0)</f>
        <v>105</v>
      </c>
      <c r="B2764" s="4">
        <f>IFERROR(__xludf.DUMMYFUNCTION("""COMPUTED_VALUE"""),105.0)</f>
        <v>105</v>
      </c>
      <c r="C2764" s="4" t="str">
        <f>IFERROR(__xludf.DUMMYFUNCTION("""COMPUTED_VALUE"""),"NJN")</f>
        <v>NJN</v>
      </c>
      <c r="D2764" s="4" t="str">
        <f>IFERROR(__xludf.DUMMYFUNCTION("""COMPUTED_VALUE"""),"Archie Johnson")</f>
        <v>Archie Johnson</v>
      </c>
      <c r="E2764" s="4" t="str">
        <f>IFERROR(__xludf.DUMMYFUNCTION("""COMPUTED_VALUE"""),"UAB")</f>
        <v>UAB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</row>
    <row r="2765">
      <c r="A2765" s="4">
        <f>IFERROR(__xludf.DUMMYFUNCTION("""COMPUTED_VALUE"""),106.0)</f>
        <v>106</v>
      </c>
      <c r="B2765" s="4">
        <f>IFERROR(__xludf.DUMMYFUNCTION("""COMPUTED_VALUE"""),106.0)</f>
        <v>106</v>
      </c>
      <c r="C2765" s="4" t="str">
        <f>IFERROR(__xludf.DUMMYFUNCTION("""COMPUTED_VALUE"""),"POR")</f>
        <v>POR</v>
      </c>
      <c r="D2765" s="4" t="str">
        <f>IFERROR(__xludf.DUMMYFUNCTION("""COMPUTED_VALUE"""),"Jerry Adams")</f>
        <v>Jerry Adams</v>
      </c>
      <c r="E2765" s="4" t="str">
        <f>IFERROR(__xludf.DUMMYFUNCTION("""COMPUTED_VALUE"""),"Oregon")</f>
        <v>Oregon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</row>
    <row r="2766">
      <c r="A2766" s="4">
        <f>IFERROR(__xludf.DUMMYFUNCTION("""COMPUTED_VALUE"""),107.0)</f>
        <v>107</v>
      </c>
      <c r="B2766" s="4">
        <f>IFERROR(__xludf.DUMMYFUNCTION("""COMPUTED_VALUE"""),107.0)</f>
        <v>107</v>
      </c>
      <c r="C2766" s="4" t="str">
        <f>IFERROR(__xludf.DUMMYFUNCTION("""COMPUTED_VALUE"""),"UTA")</f>
        <v>UTA</v>
      </c>
      <c r="D2766" s="4" t="str">
        <f>IFERROR(__xludf.DUMMYFUNCTION("""COMPUTED_VALUE"""),"Kerry Boagni")</f>
        <v>Kerry Boagni</v>
      </c>
      <c r="E2766" s="4" t="str">
        <f>IFERROR(__xludf.DUMMYFUNCTION("""COMPUTED_VALUE"""),"Cal State Fullerton")</f>
        <v>Cal State Fullerton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</row>
    <row r="2767">
      <c r="A2767" s="4">
        <f>IFERROR(__xludf.DUMMYFUNCTION("""COMPUTED_VALUE"""),108.0)</f>
        <v>108</v>
      </c>
      <c r="B2767" s="4">
        <f>IFERROR(__xludf.DUMMYFUNCTION("""COMPUTED_VALUE"""),108.0)</f>
        <v>108</v>
      </c>
      <c r="C2767" s="4" t="str">
        <f>IFERROR(__xludf.DUMMYFUNCTION("""COMPUTED_VALUE"""),"DAL")</f>
        <v>DAL</v>
      </c>
      <c r="D2767" s="4" t="str">
        <f>IFERROR(__xludf.DUMMYFUNCTION("""COMPUTED_VALUE"""),"Jay Bilas")</f>
        <v>Jay Bilas</v>
      </c>
      <c r="E2767" s="4" t="str">
        <f>IFERROR(__xludf.DUMMYFUNCTION("""COMPUTED_VALUE"""),"Duke")</f>
        <v>Duke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</row>
    <row r="2768">
      <c r="A2768" s="4">
        <f>IFERROR(__xludf.DUMMYFUNCTION("""COMPUTED_VALUE"""),109.0)</f>
        <v>109</v>
      </c>
      <c r="B2768" s="4">
        <f>IFERROR(__xludf.DUMMYFUNCTION("""COMPUTED_VALUE"""),109.0)</f>
        <v>109</v>
      </c>
      <c r="C2768" s="4" t="str">
        <f>IFERROR(__xludf.DUMMYFUNCTION("""COMPUTED_VALUE"""),"DET")</f>
        <v>DET</v>
      </c>
      <c r="D2768" s="4" t="str">
        <f>IFERROR(__xludf.DUMMYFUNCTION("""COMPUTED_VALUE"""),"Clarence Hanley")</f>
        <v>Clarence Hanley</v>
      </c>
      <c r="E2768" s="4" t="str">
        <f>IFERROR(__xludf.DUMMYFUNCTION("""COMPUTED_VALUE"""),"Old Dominion")</f>
        <v>Old Dominion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</row>
    <row r="2769">
      <c r="A2769" s="4">
        <f>IFERROR(__xludf.DUMMYFUNCTION("""COMPUTED_VALUE"""),110.0)</f>
        <v>110</v>
      </c>
      <c r="B2769" s="4">
        <f>IFERROR(__xludf.DUMMYFUNCTION("""COMPUTED_VALUE"""),110.0)</f>
        <v>110</v>
      </c>
      <c r="C2769" s="4" t="str">
        <f>IFERROR(__xludf.DUMMYFUNCTION("""COMPUTED_VALUE"""),"DEN")</f>
        <v>DEN</v>
      </c>
      <c r="D2769" s="4" t="str">
        <f>IFERROR(__xludf.DUMMYFUNCTION("""COMPUTED_VALUE"""),"Jon Collins")</f>
        <v>Jon Collins</v>
      </c>
      <c r="E2769" s="4" t="str">
        <f>IFERROR(__xludf.DUMMYFUNCTION("""COMPUTED_VALUE"""),"Eastern Illinois University")</f>
        <v>Eastern Illinois University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</row>
    <row r="2770">
      <c r="A2770" s="4">
        <f>IFERROR(__xludf.DUMMYFUNCTION("""COMPUTED_VALUE"""),111.0)</f>
        <v>111</v>
      </c>
      <c r="B2770" s="4">
        <f>IFERROR(__xludf.DUMMYFUNCTION("""COMPUTED_VALUE"""),111.0)</f>
        <v>111</v>
      </c>
      <c r="C2770" s="4" t="str">
        <f>IFERROR(__xludf.DUMMYFUNCTION("""COMPUTED_VALUE"""),"ATL")</f>
        <v>ATL</v>
      </c>
      <c r="D2770" s="4" t="str">
        <f>IFERROR(__xludf.DUMMYFUNCTION("""COMPUTED_VALUE"""),"Nicky Jones")</f>
        <v>Nicky Jones</v>
      </c>
      <c r="E2770" s="4" t="str">
        <f>IFERROR(__xludf.DUMMYFUNCTION("""COMPUTED_VALUE"""),"VCU")</f>
        <v>VCU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</row>
    <row r="2771">
      <c r="A2771" s="4">
        <f>IFERROR(__xludf.DUMMYFUNCTION("""COMPUTED_VALUE"""),112.0)</f>
        <v>112</v>
      </c>
      <c r="B2771" s="4">
        <f>IFERROR(__xludf.DUMMYFUNCTION("""COMPUTED_VALUE"""),112.0)</f>
        <v>112</v>
      </c>
      <c r="C2771" s="4" t="str">
        <f>IFERROR(__xludf.DUMMYFUNCTION("""COMPUTED_VALUE"""),"HOU")</f>
        <v>HOU</v>
      </c>
      <c r="D2771" s="4" t="str">
        <f>IFERROR(__xludf.DUMMYFUNCTION("""COMPUTED_VALUE"""),"Andre Banks")</f>
        <v>Andre Banks</v>
      </c>
      <c r="E2771" s="4" t="str">
        <f>IFERROR(__xludf.DUMMYFUNCTION("""COMPUTED_VALUE"""),"Iowa")</f>
        <v>Iowa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</row>
    <row r="2772">
      <c r="A2772" s="4">
        <f>IFERROR(__xludf.DUMMYFUNCTION("""COMPUTED_VALUE"""),113.0)</f>
        <v>113</v>
      </c>
      <c r="B2772" s="4">
        <f>IFERROR(__xludf.DUMMYFUNCTION("""COMPUTED_VALUE"""),113.0)</f>
        <v>113</v>
      </c>
      <c r="C2772" s="4" t="str">
        <f>IFERROR(__xludf.DUMMYFUNCTION("""COMPUTED_VALUE"""),"PHI")</f>
        <v>PHI</v>
      </c>
      <c r="D2772" s="4" t="str">
        <f>IFERROR(__xludf.DUMMYFUNCTION("""COMPUTED_VALUE"""),"Kevin Holmes")</f>
        <v>Kevin Holmes</v>
      </c>
      <c r="E2772" s="4" t="str">
        <f>IFERROR(__xludf.DUMMYFUNCTION("""COMPUTED_VALUE"""),"DePaul")</f>
        <v>DePaul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</row>
    <row r="2773">
      <c r="A2773" s="4">
        <f>IFERROR(__xludf.DUMMYFUNCTION("""COMPUTED_VALUE"""),114.0)</f>
        <v>114</v>
      </c>
      <c r="B2773" s="4">
        <f>IFERROR(__xludf.DUMMYFUNCTION("""COMPUTED_VALUE"""),114.0)</f>
        <v>114</v>
      </c>
      <c r="C2773" s="4" t="str">
        <f>IFERROR(__xludf.DUMMYFUNCTION("""COMPUTED_VALUE"""),"MIL")</f>
        <v>MIL</v>
      </c>
      <c r="D2773" s="4" t="str">
        <f>IFERROR(__xludf.DUMMYFUNCTION("""COMPUTED_VALUE"""),"Bobby Deaton")</f>
        <v>Bobby Deaton</v>
      </c>
      <c r="E2773" s="4" t="str">
        <f>IFERROR(__xludf.DUMMYFUNCTION("""COMPUTED_VALUE"""),"Southwstern University")</f>
        <v>Southwstern University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</row>
    <row r="2774">
      <c r="A2774" s="4">
        <f>IFERROR(__xludf.DUMMYFUNCTION("""COMPUTED_VALUE"""),115.0)</f>
        <v>115</v>
      </c>
      <c r="B2774" s="4">
        <f>IFERROR(__xludf.DUMMYFUNCTION("""COMPUTED_VALUE"""),115.0)</f>
        <v>115</v>
      </c>
      <c r="C2774" s="4" t="str">
        <f>IFERROR(__xludf.DUMMYFUNCTION("""COMPUTED_VALUE"""),"LAL")</f>
        <v>LAL</v>
      </c>
      <c r="D2774" s="4" t="str">
        <f>IFERROR(__xludf.DUMMYFUNCTION("""COMPUTED_VALUE"""),"Roger Harden")</f>
        <v>Roger Harden</v>
      </c>
      <c r="E2774" s="4" t="str">
        <f>IFERROR(__xludf.DUMMYFUNCTION("""COMPUTED_VALUE"""),"Kentucky")</f>
        <v>Kentucky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</row>
    <row r="2775">
      <c r="A2775" s="4">
        <f>IFERROR(__xludf.DUMMYFUNCTION("""COMPUTED_VALUE"""),116.0)</f>
        <v>116</v>
      </c>
      <c r="B2775" s="4">
        <f>IFERROR(__xludf.DUMMYFUNCTION("""COMPUTED_VALUE"""),116.0)</f>
        <v>116</v>
      </c>
      <c r="C2775" s="4" t="str">
        <f>IFERROR(__xludf.DUMMYFUNCTION("""COMPUTED_VALUE"""),"BOS")</f>
        <v>BOS</v>
      </c>
      <c r="D2775" s="4" t="str">
        <f>IFERROR(__xludf.DUMMYFUNCTION("""COMPUTED_VALUE"""),"Dave Colbert")</f>
        <v>Dave Colbert</v>
      </c>
      <c r="E2775" s="4" t="str">
        <f>IFERROR(__xludf.DUMMYFUNCTION("""COMPUTED_VALUE"""),"Dayton")</f>
        <v>Dayton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</row>
    <row r="2776">
      <c r="A2776" s="4"/>
      <c r="B2776" s="4"/>
      <c r="C2776" s="4"/>
      <c r="D2776" s="4" t="str">
        <f>IFERROR(__xludf.DUMMYFUNCTION("""COMPUTED_VALUE"""),"Round 6")</f>
        <v>Round 6</v>
      </c>
      <c r="E2776" s="4"/>
      <c r="F2776" s="4"/>
      <c r="G2776" s="4" t="str">
        <f>IFERROR(__xludf.DUMMYFUNCTION("""COMPUTED_VALUE"""),"Totals")</f>
        <v>Totals</v>
      </c>
      <c r="H2776" s="4"/>
      <c r="I2776" s="4"/>
      <c r="J2776" s="4"/>
      <c r="K2776" s="4"/>
      <c r="L2776" s="4" t="str">
        <f>IFERROR(__xludf.DUMMYFUNCTION("""COMPUTED_VALUE"""),"Shooting")</f>
        <v>Shooting</v>
      </c>
      <c r="M2776" s="4"/>
      <c r="N2776" s="4"/>
      <c r="O2776" s="4" t="str">
        <f>IFERROR(__xludf.DUMMYFUNCTION("""COMPUTED_VALUE"""),"Per Game")</f>
        <v>Per Game</v>
      </c>
      <c r="P2776" s="4"/>
      <c r="Q2776" s="4"/>
      <c r="R2776" s="4"/>
      <c r="S2776" s="4" t="str">
        <f>IFERROR(__xludf.DUMMYFUNCTION("""COMPUTED_VALUE"""),"Advanced")</f>
        <v>Advanced</v>
      </c>
      <c r="T2776" s="4"/>
      <c r="U2776" s="4"/>
      <c r="V2776" s="4"/>
    </row>
    <row r="2777">
      <c r="A2777" s="4" t="str">
        <f>IFERROR(__xludf.DUMMYFUNCTION("""COMPUTED_VALUE"""),"Rk")</f>
        <v>Rk</v>
      </c>
      <c r="B2777" s="4" t="str">
        <f>IFERROR(__xludf.DUMMYFUNCTION("""COMPUTED_VALUE"""),"Pk")</f>
        <v>Pk</v>
      </c>
      <c r="C2777" s="4" t="str">
        <f>IFERROR(__xludf.DUMMYFUNCTION("""COMPUTED_VALUE"""),"Tm")</f>
        <v>Tm</v>
      </c>
      <c r="D2777" s="4" t="str">
        <f>IFERROR(__xludf.DUMMYFUNCTION("""COMPUTED_VALUE"""),"Player")</f>
        <v>Player</v>
      </c>
      <c r="E2777" s="4" t="str">
        <f>IFERROR(__xludf.DUMMYFUNCTION("""COMPUTED_VALUE"""),"College")</f>
        <v>College</v>
      </c>
      <c r="F2777" s="4" t="str">
        <f>IFERROR(__xludf.DUMMYFUNCTION("""COMPUTED_VALUE"""),"Yrs")</f>
        <v>Yrs</v>
      </c>
      <c r="G2777" s="4" t="str">
        <f>IFERROR(__xludf.DUMMYFUNCTION("""COMPUTED_VALUE"""),"G")</f>
        <v>G</v>
      </c>
      <c r="H2777" s="4" t="str">
        <f>IFERROR(__xludf.DUMMYFUNCTION("""COMPUTED_VALUE"""),"MP")</f>
        <v>MP</v>
      </c>
      <c r="I2777" s="4" t="str">
        <f>IFERROR(__xludf.DUMMYFUNCTION("""COMPUTED_VALUE"""),"PTS")</f>
        <v>PTS</v>
      </c>
      <c r="J2777" s="4" t="str">
        <f>IFERROR(__xludf.DUMMYFUNCTION("""COMPUTED_VALUE"""),"TRB")</f>
        <v>TRB</v>
      </c>
      <c r="K2777" s="4" t="str">
        <f>IFERROR(__xludf.DUMMYFUNCTION("""COMPUTED_VALUE"""),"AST")</f>
        <v>AST</v>
      </c>
      <c r="L2777" s="4" t="str">
        <f>IFERROR(__xludf.DUMMYFUNCTION("""COMPUTED_VALUE"""),"FG%")</f>
        <v>FG%</v>
      </c>
      <c r="M2777" s="4" t="str">
        <f>IFERROR(__xludf.DUMMYFUNCTION("""COMPUTED_VALUE"""),"3P%")</f>
        <v>3P%</v>
      </c>
      <c r="N2777" s="4" t="str">
        <f>IFERROR(__xludf.DUMMYFUNCTION("""COMPUTED_VALUE"""),"FT%")</f>
        <v>FT%</v>
      </c>
      <c r="O2777" s="4" t="str">
        <f>IFERROR(__xludf.DUMMYFUNCTION("""COMPUTED_VALUE"""),"MP")</f>
        <v>MP</v>
      </c>
      <c r="P2777" s="4" t="str">
        <f>IFERROR(__xludf.DUMMYFUNCTION("""COMPUTED_VALUE"""),"PTS")</f>
        <v>PTS</v>
      </c>
      <c r="Q2777" s="4" t="str">
        <f>IFERROR(__xludf.DUMMYFUNCTION("""COMPUTED_VALUE"""),"TRB")</f>
        <v>TRB</v>
      </c>
      <c r="R2777" s="4" t="str">
        <f>IFERROR(__xludf.DUMMYFUNCTION("""COMPUTED_VALUE"""),"AST")</f>
        <v>AST</v>
      </c>
      <c r="S2777" s="4" t="str">
        <f>IFERROR(__xludf.DUMMYFUNCTION("""COMPUTED_VALUE"""),"WS")</f>
        <v>WS</v>
      </c>
      <c r="T2777" s="4" t="str">
        <f>IFERROR(__xludf.DUMMYFUNCTION("""COMPUTED_VALUE"""),"WS/48")</f>
        <v>WS/48</v>
      </c>
      <c r="U2777" s="4" t="str">
        <f>IFERROR(__xludf.DUMMYFUNCTION("""COMPUTED_VALUE"""),"BPM")</f>
        <v>BPM</v>
      </c>
      <c r="V2777" s="4" t="str">
        <f>IFERROR(__xludf.DUMMYFUNCTION("""COMPUTED_VALUE"""),"VORP")</f>
        <v>VORP</v>
      </c>
    </row>
    <row r="2778">
      <c r="A2778" s="4">
        <f>IFERROR(__xludf.DUMMYFUNCTION("""COMPUTED_VALUE"""),117.0)</f>
        <v>117</v>
      </c>
      <c r="B2778" s="4">
        <f>IFERROR(__xludf.DUMMYFUNCTION("""COMPUTED_VALUE"""),117.0)</f>
        <v>117</v>
      </c>
      <c r="C2778" s="4" t="str">
        <f>IFERROR(__xludf.DUMMYFUNCTION("""COMPUTED_VALUE"""),"NYK")</f>
        <v>NYK</v>
      </c>
      <c r="D2778" s="4" t="str">
        <f>IFERROR(__xludf.DUMMYFUNCTION("""COMPUTED_VALUE"""),"Butch Wade")</f>
        <v>Butch Wade</v>
      </c>
      <c r="E2778" s="4" t="str">
        <f>IFERROR(__xludf.DUMMYFUNCTION("""COMPUTED_VALUE"""),"Michigan")</f>
        <v>Michigan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</row>
    <row r="2779">
      <c r="A2779" s="4">
        <f>IFERROR(__xludf.DUMMYFUNCTION("""COMPUTED_VALUE"""),118.0)</f>
        <v>118</v>
      </c>
      <c r="B2779" s="4">
        <f>IFERROR(__xludf.DUMMYFUNCTION("""COMPUTED_VALUE"""),118.0)</f>
        <v>118</v>
      </c>
      <c r="C2779" s="4" t="str">
        <f>IFERROR(__xludf.DUMMYFUNCTION("""COMPUTED_VALUE"""),"IND")</f>
        <v>IND</v>
      </c>
      <c r="D2779" s="4" t="str">
        <f>IFERROR(__xludf.DUMMYFUNCTION("""COMPUTED_VALUE"""),"Jeff Hall")</f>
        <v>Jeff Hall</v>
      </c>
      <c r="E2779" s="4" t="str">
        <f>IFERROR(__xludf.DUMMYFUNCTION("""COMPUTED_VALUE"""),"Louisville")</f>
        <v>Louisville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</row>
    <row r="2780">
      <c r="A2780" s="4">
        <f>IFERROR(__xludf.DUMMYFUNCTION("""COMPUTED_VALUE"""),119.0)</f>
        <v>119</v>
      </c>
      <c r="B2780" s="4">
        <f>IFERROR(__xludf.DUMMYFUNCTION("""COMPUTED_VALUE"""),119.0)</f>
        <v>119</v>
      </c>
      <c r="C2780" s="4" t="str">
        <f>IFERROR(__xludf.DUMMYFUNCTION("""COMPUTED_VALUE"""),"CLE")</f>
        <v>CLE</v>
      </c>
      <c r="D2780" s="4" t="str">
        <f>IFERROR(__xludf.DUMMYFUNCTION("""COMPUTED_VALUE"""),"Gilbert Wilburn")</f>
        <v>Gilbert Wilburn</v>
      </c>
      <c r="E2780" s="4" t="str">
        <f>IFERROR(__xludf.DUMMYFUNCTION("""COMPUTED_VALUE"""),"New Mexico State")</f>
        <v>New Mexico State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</row>
    <row r="2781">
      <c r="A2781" s="4">
        <f>IFERROR(__xludf.DUMMYFUNCTION("""COMPUTED_VALUE"""),120.0)</f>
        <v>120</v>
      </c>
      <c r="B2781" s="4">
        <f>IFERROR(__xludf.DUMMYFUNCTION("""COMPUTED_VALUE"""),120.0)</f>
        <v>120</v>
      </c>
      <c r="C2781" s="4" t="str">
        <f>IFERROR(__xludf.DUMMYFUNCTION("""COMPUTED_VALUE"""),"CHI")</f>
        <v>CHI</v>
      </c>
      <c r="D2781" s="4" t="str">
        <f>IFERROR(__xludf.DUMMYFUNCTION("""COMPUTED_VALUE"""),"Pete Myers")</f>
        <v>Pete Myers</v>
      </c>
      <c r="E2781" s="4" t="str">
        <f>IFERROR(__xludf.DUMMYFUNCTION("""COMPUTED_VALUE"""),"Little Rock")</f>
        <v>Little Rock</v>
      </c>
      <c r="F2781" s="4">
        <f>IFERROR(__xludf.DUMMYFUNCTION("""COMPUTED_VALUE"""),9.0)</f>
        <v>9</v>
      </c>
      <c r="G2781" s="4">
        <f>IFERROR(__xludf.DUMMYFUNCTION("""COMPUTED_VALUE"""),377.0)</f>
        <v>377</v>
      </c>
      <c r="H2781" s="4">
        <f>IFERROR(__xludf.DUMMYFUNCTION("""COMPUTED_VALUE"""),6039.0)</f>
        <v>6039</v>
      </c>
      <c r="I2781" s="4">
        <f>IFERROR(__xludf.DUMMYFUNCTION("""COMPUTED_VALUE"""),1804.0)</f>
        <v>1804</v>
      </c>
      <c r="J2781" s="4">
        <f>IFERROR(__xludf.DUMMYFUNCTION("""COMPUTED_VALUE"""),671.0)</f>
        <v>671</v>
      </c>
      <c r="K2781" s="4">
        <f>IFERROR(__xludf.DUMMYFUNCTION("""COMPUTED_VALUE"""),807.0)</f>
        <v>807</v>
      </c>
      <c r="L2781" s="4">
        <f>IFERROR(__xludf.DUMMYFUNCTION("""COMPUTED_VALUE"""),0.421)</f>
        <v>0.421</v>
      </c>
      <c r="M2781" s="4">
        <f>IFERROR(__xludf.DUMMYFUNCTION("""COMPUTED_VALUE"""),0.219)</f>
        <v>0.219</v>
      </c>
      <c r="N2781" s="4">
        <f>IFERROR(__xludf.DUMMYFUNCTION("""COMPUTED_VALUE"""),0.668)</f>
        <v>0.668</v>
      </c>
      <c r="O2781" s="4">
        <f>IFERROR(__xludf.DUMMYFUNCTION("""COMPUTED_VALUE"""),16.0)</f>
        <v>16</v>
      </c>
      <c r="P2781" s="4">
        <f>IFERROR(__xludf.DUMMYFUNCTION("""COMPUTED_VALUE"""),4.8)</f>
        <v>4.8</v>
      </c>
      <c r="Q2781" s="4">
        <f>IFERROR(__xludf.DUMMYFUNCTION("""COMPUTED_VALUE"""),1.8)</f>
        <v>1.8</v>
      </c>
      <c r="R2781" s="4">
        <f>IFERROR(__xludf.DUMMYFUNCTION("""COMPUTED_VALUE"""),2.1)</f>
        <v>2.1</v>
      </c>
      <c r="S2781" s="4">
        <f>IFERROR(__xludf.DUMMYFUNCTION("""COMPUTED_VALUE"""),5.8)</f>
        <v>5.8</v>
      </c>
      <c r="T2781" s="4">
        <f>IFERROR(__xludf.DUMMYFUNCTION("""COMPUTED_VALUE"""),0.046)</f>
        <v>0.046</v>
      </c>
      <c r="U2781" s="4">
        <f>IFERROR(__xludf.DUMMYFUNCTION("""COMPUTED_VALUE"""),-2.5)</f>
        <v>-2.5</v>
      </c>
      <c r="V2781" s="4">
        <f>IFERROR(__xludf.DUMMYFUNCTION("""COMPUTED_VALUE"""),-0.8)</f>
        <v>-0.8</v>
      </c>
    </row>
    <row r="2782">
      <c r="A2782" s="4">
        <f>IFERROR(__xludf.DUMMYFUNCTION("""COMPUTED_VALUE"""),121.0)</f>
        <v>121</v>
      </c>
      <c r="B2782" s="4">
        <f>IFERROR(__xludf.DUMMYFUNCTION("""COMPUTED_VALUE"""),121.0)</f>
        <v>121</v>
      </c>
      <c r="C2782" s="4" t="str">
        <f>IFERROR(__xludf.DUMMYFUNCTION("""COMPUTED_VALUE"""),"GSW")</f>
        <v>GSW</v>
      </c>
      <c r="D2782" s="4" t="str">
        <f>IFERROR(__xludf.DUMMYFUNCTION("""COMPUTED_VALUE"""),"Bobby Lee Hurt")</f>
        <v>Bobby Lee Hurt</v>
      </c>
      <c r="E2782" s="4" t="str">
        <f>IFERROR(__xludf.DUMMYFUNCTION("""COMPUTED_VALUE"""),"Alabama")</f>
        <v>Alabama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</row>
    <row r="2783">
      <c r="A2783" s="4">
        <f>IFERROR(__xludf.DUMMYFUNCTION("""COMPUTED_VALUE"""),122.0)</f>
        <v>122</v>
      </c>
      <c r="B2783" s="4">
        <f>IFERROR(__xludf.DUMMYFUNCTION("""COMPUTED_VALUE"""),122.0)</f>
        <v>122</v>
      </c>
      <c r="C2783" s="4" t="str">
        <f>IFERROR(__xludf.DUMMYFUNCTION("""COMPUTED_VALUE"""),"SEA")</f>
        <v>SEA</v>
      </c>
      <c r="D2783" s="4" t="str">
        <f>IFERROR(__xludf.DUMMYFUNCTION("""COMPUTED_VALUE"""),"Curtis Kitchen")</f>
        <v>Curtis Kitchen</v>
      </c>
      <c r="E2783" s="4" t="str">
        <f>IFERROR(__xludf.DUMMYFUNCTION("""COMPUTED_VALUE"""),"South Florida")</f>
        <v>South Florida</v>
      </c>
      <c r="F2783" s="4">
        <f>IFERROR(__xludf.DUMMYFUNCTION("""COMPUTED_VALUE"""),1.0)</f>
        <v>1</v>
      </c>
      <c r="G2783" s="4">
        <f>IFERROR(__xludf.DUMMYFUNCTION("""COMPUTED_VALUE"""),6.0)</f>
        <v>6</v>
      </c>
      <c r="H2783" s="4">
        <f>IFERROR(__xludf.DUMMYFUNCTION("""COMPUTED_VALUE"""),31.0)</f>
        <v>31</v>
      </c>
      <c r="I2783" s="4">
        <f>IFERROR(__xludf.DUMMYFUNCTION("""COMPUTED_VALUE"""),9.0)</f>
        <v>9</v>
      </c>
      <c r="J2783" s="4">
        <f>IFERROR(__xludf.DUMMYFUNCTION("""COMPUTED_VALUE"""),9.0)</f>
        <v>9</v>
      </c>
      <c r="K2783" s="4">
        <f>IFERROR(__xludf.DUMMYFUNCTION("""COMPUTED_VALUE"""),1.0)</f>
        <v>1</v>
      </c>
      <c r="L2783" s="4">
        <f>IFERROR(__xludf.DUMMYFUNCTION("""COMPUTED_VALUE"""),0.5)</f>
        <v>0.5</v>
      </c>
      <c r="M2783" s="4">
        <f>IFERROR(__xludf.DUMMYFUNCTION("""COMPUTED_VALUE"""),0.0)</f>
        <v>0</v>
      </c>
      <c r="N2783" s="4">
        <f>IFERROR(__xludf.DUMMYFUNCTION("""COMPUTED_VALUE"""),0.75)</f>
        <v>0.75</v>
      </c>
      <c r="O2783" s="4">
        <f>IFERROR(__xludf.DUMMYFUNCTION("""COMPUTED_VALUE"""),5.2)</f>
        <v>5.2</v>
      </c>
      <c r="P2783" s="4">
        <f>IFERROR(__xludf.DUMMYFUNCTION("""COMPUTED_VALUE"""),1.5)</f>
        <v>1.5</v>
      </c>
      <c r="Q2783" s="4">
        <f>IFERROR(__xludf.DUMMYFUNCTION("""COMPUTED_VALUE"""),1.5)</f>
        <v>1.5</v>
      </c>
      <c r="R2783" s="4">
        <f>IFERROR(__xludf.DUMMYFUNCTION("""COMPUTED_VALUE"""),0.2)</f>
        <v>0.2</v>
      </c>
      <c r="S2783" s="4">
        <f>IFERROR(__xludf.DUMMYFUNCTION("""COMPUTED_VALUE"""),0.1)</f>
        <v>0.1</v>
      </c>
      <c r="T2783" s="4">
        <f>IFERROR(__xludf.DUMMYFUNCTION("""COMPUTED_VALUE"""),0.217)</f>
        <v>0.217</v>
      </c>
      <c r="U2783" s="4">
        <f>IFERROR(__xludf.DUMMYFUNCTION("""COMPUTED_VALUE"""),4.8)</f>
        <v>4.8</v>
      </c>
      <c r="V2783" s="4">
        <f>IFERROR(__xludf.DUMMYFUNCTION("""COMPUTED_VALUE"""),0.1)</f>
        <v>0.1</v>
      </c>
    </row>
    <row r="2784">
      <c r="A2784" s="4">
        <f>IFERROR(__xludf.DUMMYFUNCTION("""COMPUTED_VALUE"""),123.0)</f>
        <v>123</v>
      </c>
      <c r="B2784" s="4">
        <f>IFERROR(__xludf.DUMMYFUNCTION("""COMPUTED_VALUE"""),123.0)</f>
        <v>123</v>
      </c>
      <c r="C2784" s="4" t="str">
        <f>IFERROR(__xludf.DUMMYFUNCTION("""COMPUTED_VALUE"""),"PHO")</f>
        <v>PHO</v>
      </c>
      <c r="D2784" s="4" t="str">
        <f>IFERROR(__xludf.DUMMYFUNCTION("""COMPUTED_VALUE"""),"Jim McCaffrey")</f>
        <v>Jim McCaffrey</v>
      </c>
      <c r="E2784" s="4" t="str">
        <f>IFERROR(__xludf.DUMMYFUNCTION("""COMPUTED_VALUE"""),"Holy Cross")</f>
        <v>Holy Cross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</row>
    <row r="2785">
      <c r="A2785" s="4">
        <f>IFERROR(__xludf.DUMMYFUNCTION("""COMPUTED_VALUE"""),124.0)</f>
        <v>124</v>
      </c>
      <c r="B2785" s="4">
        <f>IFERROR(__xludf.DUMMYFUNCTION("""COMPUTED_VALUE"""),124.0)</f>
        <v>124</v>
      </c>
      <c r="C2785" s="4" t="str">
        <f>IFERROR(__xludf.DUMMYFUNCTION("""COMPUTED_VALUE"""),"LAC")</f>
        <v>LAC</v>
      </c>
      <c r="D2785" s="4" t="str">
        <f>IFERROR(__xludf.DUMMYFUNCTION("""COMPUTED_VALUE"""),"Tim Kempton")</f>
        <v>Tim Kempton</v>
      </c>
      <c r="E2785" s="4" t="str">
        <f>IFERROR(__xludf.DUMMYFUNCTION("""COMPUTED_VALUE"""),"Notre Dame")</f>
        <v>Notre Dame</v>
      </c>
      <c r="F2785" s="4">
        <f>IFERROR(__xludf.DUMMYFUNCTION("""COMPUTED_VALUE"""),8.0)</f>
        <v>8</v>
      </c>
      <c r="G2785" s="4">
        <f>IFERROR(__xludf.DUMMYFUNCTION("""COMPUTED_VALUE"""),280.0)</f>
        <v>280</v>
      </c>
      <c r="H2785" s="4">
        <f>IFERROR(__xludf.DUMMYFUNCTION("""COMPUTED_VALUE"""),3758.0)</f>
        <v>3758</v>
      </c>
      <c r="I2785" s="4">
        <f>IFERROR(__xludf.DUMMYFUNCTION("""COMPUTED_VALUE"""),1259.0)</f>
        <v>1259</v>
      </c>
      <c r="J2785" s="4">
        <f>IFERROR(__xludf.DUMMYFUNCTION("""COMPUTED_VALUE"""),795.0)</f>
        <v>795</v>
      </c>
      <c r="K2785" s="4">
        <f>IFERROR(__xludf.DUMMYFUNCTION("""COMPUTED_VALUE"""),307.0)</f>
        <v>307</v>
      </c>
      <c r="L2785" s="4">
        <f>IFERROR(__xludf.DUMMYFUNCTION("""COMPUTED_VALUE"""),0.481)</f>
        <v>0.481</v>
      </c>
      <c r="M2785" s="4">
        <f>IFERROR(__xludf.DUMMYFUNCTION("""COMPUTED_VALUE"""),0.0)</f>
        <v>0</v>
      </c>
      <c r="N2785" s="4">
        <f>IFERROR(__xludf.DUMMYFUNCTION("""COMPUTED_VALUE"""),0.677)</f>
        <v>0.677</v>
      </c>
      <c r="O2785" s="4">
        <f>IFERROR(__xludf.DUMMYFUNCTION("""COMPUTED_VALUE"""),13.4)</f>
        <v>13.4</v>
      </c>
      <c r="P2785" s="4">
        <f>IFERROR(__xludf.DUMMYFUNCTION("""COMPUTED_VALUE"""),4.5)</f>
        <v>4.5</v>
      </c>
      <c r="Q2785" s="4">
        <f>IFERROR(__xludf.DUMMYFUNCTION("""COMPUTED_VALUE"""),2.8)</f>
        <v>2.8</v>
      </c>
      <c r="R2785" s="4">
        <f>IFERROR(__xludf.DUMMYFUNCTION("""COMPUTED_VALUE"""),1.1)</f>
        <v>1.1</v>
      </c>
      <c r="S2785" s="4">
        <f>IFERROR(__xludf.DUMMYFUNCTION("""COMPUTED_VALUE"""),3.3)</f>
        <v>3.3</v>
      </c>
      <c r="T2785" s="4">
        <f>IFERROR(__xludf.DUMMYFUNCTION("""COMPUTED_VALUE"""),0.042)</f>
        <v>0.042</v>
      </c>
      <c r="U2785" s="4">
        <f>IFERROR(__xludf.DUMMYFUNCTION("""COMPUTED_VALUE"""),-3.8)</f>
        <v>-3.8</v>
      </c>
      <c r="V2785" s="4">
        <f>IFERROR(__xludf.DUMMYFUNCTION("""COMPUTED_VALUE"""),-1.7)</f>
        <v>-1.7</v>
      </c>
    </row>
    <row r="2786">
      <c r="A2786" s="4">
        <f>IFERROR(__xludf.DUMMYFUNCTION("""COMPUTED_VALUE"""),125.0)</f>
        <v>125</v>
      </c>
      <c r="B2786" s="4">
        <f>IFERROR(__xludf.DUMMYFUNCTION("""COMPUTED_VALUE"""),125.0)</f>
        <v>125</v>
      </c>
      <c r="C2786" s="4" t="str">
        <f>IFERROR(__xludf.DUMMYFUNCTION("""COMPUTED_VALUE"""),"SAS")</f>
        <v>SAS</v>
      </c>
      <c r="D2786" s="4" t="str">
        <f>IFERROR(__xludf.DUMMYFUNCTION("""COMPUTED_VALUE"""),"Kevin Lewis")</f>
        <v>Kevin Lewis</v>
      </c>
      <c r="E2786" s="4" t="str">
        <f>IFERROR(__xludf.DUMMYFUNCTION("""COMPUTED_VALUE"""),"SMU")</f>
        <v>SMU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</row>
    <row r="2787">
      <c r="A2787" s="4">
        <f>IFERROR(__xludf.DUMMYFUNCTION("""COMPUTED_VALUE"""),126.0)</f>
        <v>126</v>
      </c>
      <c r="B2787" s="4">
        <f>IFERROR(__xludf.DUMMYFUNCTION("""COMPUTED_VALUE"""),126.0)</f>
        <v>126</v>
      </c>
      <c r="C2787" s="4" t="str">
        <f>IFERROR(__xludf.DUMMYFUNCTION("""COMPUTED_VALUE"""),"SAC")</f>
        <v>SAC</v>
      </c>
      <c r="D2787" s="4" t="str">
        <f>IFERROR(__xludf.DUMMYFUNCTION("""COMPUTED_VALUE"""),"John Flowers")</f>
        <v>John Flowers</v>
      </c>
      <c r="E2787" s="4" t="str">
        <f>IFERROR(__xludf.DUMMYFUNCTION("""COMPUTED_VALUE"""),"UNLV")</f>
        <v>UNLV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</row>
    <row r="2788">
      <c r="A2788" s="4">
        <f>IFERROR(__xludf.DUMMYFUNCTION("""COMPUTED_VALUE"""),127.0)</f>
        <v>127</v>
      </c>
      <c r="B2788" s="4">
        <f>IFERROR(__xludf.DUMMYFUNCTION("""COMPUTED_VALUE"""),127.0)</f>
        <v>127</v>
      </c>
      <c r="C2788" s="4" t="str">
        <f>IFERROR(__xludf.DUMMYFUNCTION("""COMPUTED_VALUE"""),"NJN")</f>
        <v>NJN</v>
      </c>
      <c r="D2788" s="4" t="str">
        <f>IFERROR(__xludf.DUMMYFUNCTION("""COMPUTED_VALUE"""),"Troy Webster")</f>
        <v>Troy Webster</v>
      </c>
      <c r="E2788" s="4" t="str">
        <f>IFERROR(__xludf.DUMMYFUNCTION("""COMPUTED_VALUE"""),"George Washington")</f>
        <v>George Washington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</row>
    <row r="2789">
      <c r="A2789" s="4">
        <f>IFERROR(__xludf.DUMMYFUNCTION("""COMPUTED_VALUE"""),128.0)</f>
        <v>128</v>
      </c>
      <c r="B2789" s="4">
        <f>IFERROR(__xludf.DUMMYFUNCTION("""COMPUTED_VALUE"""),128.0)</f>
        <v>128</v>
      </c>
      <c r="C2789" s="4" t="str">
        <f>IFERROR(__xludf.DUMMYFUNCTION("""COMPUTED_VALUE"""),"WSB")</f>
        <v>WSB</v>
      </c>
      <c r="D2789" s="4" t="str">
        <f>IFERROR(__xludf.DUMMYFUNCTION("""COMPUTED_VALUE"""),"Lorenzo Duncan")</f>
        <v>Lorenzo Duncan</v>
      </c>
      <c r="E2789" s="4" t="str">
        <f>IFERROR(__xludf.DUMMYFUNCTION("""COMPUTED_VALUE"""),"Sam Houston State University")</f>
        <v>Sam Houston State University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</row>
    <row r="2790">
      <c r="A2790" s="4">
        <f>IFERROR(__xludf.DUMMYFUNCTION("""COMPUTED_VALUE"""),129.0)</f>
        <v>129</v>
      </c>
      <c r="B2790" s="4">
        <f>IFERROR(__xludf.DUMMYFUNCTION("""COMPUTED_VALUE"""),129.0)</f>
        <v>129</v>
      </c>
      <c r="C2790" s="4" t="str">
        <f>IFERROR(__xludf.DUMMYFUNCTION("""COMPUTED_VALUE"""),"POR")</f>
        <v>POR</v>
      </c>
      <c r="D2790" s="4" t="str">
        <f>IFERROR(__xludf.DUMMYFUNCTION("""COMPUTED_VALUE"""),"Tony Hampton")</f>
        <v>Tony Hampton</v>
      </c>
      <c r="E2790" s="4" t="str">
        <f>IFERROR(__xludf.DUMMYFUNCTION("""COMPUTED_VALUE"""),"Montana State")</f>
        <v>Montana State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</row>
    <row r="2791">
      <c r="A2791" s="4">
        <f>IFERROR(__xludf.DUMMYFUNCTION("""COMPUTED_VALUE"""),130.0)</f>
        <v>130</v>
      </c>
      <c r="B2791" s="4">
        <f>IFERROR(__xludf.DUMMYFUNCTION("""COMPUTED_VALUE"""),130.0)</f>
        <v>130</v>
      </c>
      <c r="C2791" s="4" t="str">
        <f>IFERROR(__xludf.DUMMYFUNCTION("""COMPUTED_VALUE"""),"UTA")</f>
        <v>UTA</v>
      </c>
      <c r="D2791" s="4" t="str">
        <f>IFERROR(__xludf.DUMMYFUNCTION("""COMPUTED_VALUE"""),"Chuck Everson")</f>
        <v>Chuck Everson</v>
      </c>
      <c r="E2791" s="4" t="str">
        <f>IFERROR(__xludf.DUMMYFUNCTION("""COMPUTED_VALUE"""),"Villanova")</f>
        <v>Villanova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</row>
    <row r="2792">
      <c r="A2792" s="4">
        <f>IFERROR(__xludf.DUMMYFUNCTION("""COMPUTED_VALUE"""),131.0)</f>
        <v>131</v>
      </c>
      <c r="B2792" s="4">
        <f>IFERROR(__xludf.DUMMYFUNCTION("""COMPUTED_VALUE"""),131.0)</f>
        <v>131</v>
      </c>
      <c r="C2792" s="4" t="str">
        <f>IFERROR(__xludf.DUMMYFUNCTION("""COMPUTED_VALUE"""),"DAL")</f>
        <v>DAL</v>
      </c>
      <c r="D2792" s="4" t="str">
        <f>IFERROR(__xludf.DUMMYFUNCTION("""COMPUTED_VALUE"""),"Greg Anderson")</f>
        <v>Greg Anderson</v>
      </c>
      <c r="E2792" s="4" t="str">
        <f>IFERROR(__xludf.DUMMYFUNCTION("""COMPUTED_VALUE"""),"Lamar")</f>
        <v>Lamar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</row>
    <row r="2793">
      <c r="A2793" s="4">
        <f>IFERROR(__xludf.DUMMYFUNCTION("""COMPUTED_VALUE"""),132.0)</f>
        <v>132</v>
      </c>
      <c r="B2793" s="4">
        <f>IFERROR(__xludf.DUMMYFUNCTION("""COMPUTED_VALUE"""),132.0)</f>
        <v>132</v>
      </c>
      <c r="C2793" s="4" t="str">
        <f>IFERROR(__xludf.DUMMYFUNCTION("""COMPUTED_VALUE"""),"DET")</f>
        <v>DET</v>
      </c>
      <c r="D2793" s="4" t="str">
        <f>IFERROR(__xludf.DUMMYFUNCTION("""COMPUTED_VALUE"""),"Greg Grant")</f>
        <v>Greg Grant</v>
      </c>
      <c r="E2793" s="4" t="str">
        <f>IFERROR(__xludf.DUMMYFUNCTION("""COMPUTED_VALUE"""),"Utah State University")</f>
        <v>Utah State University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</row>
    <row r="2794">
      <c r="A2794" s="4">
        <f>IFERROR(__xludf.DUMMYFUNCTION("""COMPUTED_VALUE"""),133.0)</f>
        <v>133</v>
      </c>
      <c r="B2794" s="4">
        <f>IFERROR(__xludf.DUMMYFUNCTION("""COMPUTED_VALUE"""),133.0)</f>
        <v>133</v>
      </c>
      <c r="C2794" s="4" t="str">
        <f>IFERROR(__xludf.DUMMYFUNCTION("""COMPUTED_VALUE"""),"DEN")</f>
        <v>DEN</v>
      </c>
      <c r="D2794" s="4" t="str">
        <f>IFERROR(__xludf.DUMMYFUNCTION("""COMPUTED_VALUE"""),"Anthony Frederick")</f>
        <v>Anthony Frederick</v>
      </c>
      <c r="E2794" s="4" t="str">
        <f>IFERROR(__xludf.DUMMYFUNCTION("""COMPUTED_VALUE"""),"Pepperdine")</f>
        <v>Pepperdine</v>
      </c>
      <c r="F2794" s="4">
        <f>IFERROR(__xludf.DUMMYFUNCTION("""COMPUTED_VALUE"""),3.0)</f>
        <v>3</v>
      </c>
      <c r="G2794" s="4">
        <f>IFERROR(__xludf.DUMMYFUNCTION("""COMPUTED_VALUE"""),147.0)</f>
        <v>147</v>
      </c>
      <c r="H2794" s="4">
        <f>IFERROR(__xludf.DUMMYFUNCTION("""COMPUTED_VALUE"""),1640.0)</f>
        <v>1640</v>
      </c>
      <c r="I2794" s="4">
        <f>IFERROR(__xludf.DUMMYFUNCTION("""COMPUTED_VALUE"""),718.0)</f>
        <v>718</v>
      </c>
      <c r="J2794" s="4">
        <f>IFERROR(__xludf.DUMMYFUNCTION("""COMPUTED_VALUE"""),280.0)</f>
        <v>280</v>
      </c>
      <c r="K2794" s="4">
        <f>IFERROR(__xludf.DUMMYFUNCTION("""COMPUTED_VALUE"""),135.0)</f>
        <v>135</v>
      </c>
      <c r="L2794" s="4">
        <f>IFERROR(__xludf.DUMMYFUNCTION("""COMPUTED_VALUE"""),0.439)</f>
        <v>0.439</v>
      </c>
      <c r="M2794" s="4">
        <f>IFERROR(__xludf.DUMMYFUNCTION("""COMPUTED_VALUE"""),0.273)</f>
        <v>0.273</v>
      </c>
      <c r="N2794" s="4">
        <f>IFERROR(__xludf.DUMMYFUNCTION("""COMPUTED_VALUE"""),0.699)</f>
        <v>0.699</v>
      </c>
      <c r="O2794" s="4">
        <f>IFERROR(__xludf.DUMMYFUNCTION("""COMPUTED_VALUE"""),11.2)</f>
        <v>11.2</v>
      </c>
      <c r="P2794" s="4">
        <f>IFERROR(__xludf.DUMMYFUNCTION("""COMPUTED_VALUE"""),4.9)</f>
        <v>4.9</v>
      </c>
      <c r="Q2794" s="4">
        <f>IFERROR(__xludf.DUMMYFUNCTION("""COMPUTED_VALUE"""),1.9)</f>
        <v>1.9</v>
      </c>
      <c r="R2794" s="4">
        <f>IFERROR(__xludf.DUMMYFUNCTION("""COMPUTED_VALUE"""),0.9)</f>
        <v>0.9</v>
      </c>
      <c r="S2794" s="4">
        <f>IFERROR(__xludf.DUMMYFUNCTION("""COMPUTED_VALUE"""),0.7)</f>
        <v>0.7</v>
      </c>
      <c r="T2794" s="4">
        <f>IFERROR(__xludf.DUMMYFUNCTION("""COMPUTED_VALUE"""),0.019)</f>
        <v>0.019</v>
      </c>
      <c r="U2794" s="4">
        <f>IFERROR(__xludf.DUMMYFUNCTION("""COMPUTED_VALUE"""),-2.5)</f>
        <v>-2.5</v>
      </c>
      <c r="V2794" s="4">
        <f>IFERROR(__xludf.DUMMYFUNCTION("""COMPUTED_VALUE"""),-0.2)</f>
        <v>-0.2</v>
      </c>
    </row>
    <row r="2795">
      <c r="A2795" s="4">
        <f>IFERROR(__xludf.DUMMYFUNCTION("""COMPUTED_VALUE"""),134.0)</f>
        <v>134</v>
      </c>
      <c r="B2795" s="4">
        <f>IFERROR(__xludf.DUMMYFUNCTION("""COMPUTED_VALUE"""),134.0)</f>
        <v>134</v>
      </c>
      <c r="C2795" s="4" t="str">
        <f>IFERROR(__xludf.DUMMYFUNCTION("""COMPUTED_VALUE"""),"ATL")</f>
        <v>ATL</v>
      </c>
      <c r="D2795" s="4" t="str">
        <f>IFERROR(__xludf.DUMMYFUNCTION("""COMPUTED_VALUE"""),"Alexander Volkov")</f>
        <v>Alexander Volkov</v>
      </c>
      <c r="E2795" s="4"/>
      <c r="F2795" s="4">
        <f>IFERROR(__xludf.DUMMYFUNCTION("""COMPUTED_VALUE"""),2.0)</f>
        <v>2</v>
      </c>
      <c r="G2795" s="4">
        <f>IFERROR(__xludf.DUMMYFUNCTION("""COMPUTED_VALUE"""),149.0)</f>
        <v>149</v>
      </c>
      <c r="H2795" s="4">
        <f>IFERROR(__xludf.DUMMYFUNCTION("""COMPUTED_VALUE"""),2453.0)</f>
        <v>2453</v>
      </c>
      <c r="I2795" s="4">
        <f>IFERROR(__xludf.DUMMYFUNCTION("""COMPUTED_VALUE"""),1019.0)</f>
        <v>1019</v>
      </c>
      <c r="J2795" s="4">
        <f>IFERROR(__xludf.DUMMYFUNCTION("""COMPUTED_VALUE"""),384.0)</f>
        <v>384</v>
      </c>
      <c r="K2795" s="4">
        <f>IFERROR(__xludf.DUMMYFUNCTION("""COMPUTED_VALUE"""),333.0)</f>
        <v>333</v>
      </c>
      <c r="L2795" s="4">
        <f>IFERROR(__xludf.DUMMYFUNCTION("""COMPUTED_VALUE"""),0.455)</f>
        <v>0.455</v>
      </c>
      <c r="M2795" s="4">
        <f>IFERROR(__xludf.DUMMYFUNCTION("""COMPUTED_VALUE"""),0.333)</f>
        <v>0.333</v>
      </c>
      <c r="N2795" s="4">
        <f>IFERROR(__xludf.DUMMYFUNCTION("""COMPUTED_VALUE"""),0.613)</f>
        <v>0.613</v>
      </c>
      <c r="O2795" s="4">
        <f>IFERROR(__xludf.DUMMYFUNCTION("""COMPUTED_VALUE"""),16.5)</f>
        <v>16.5</v>
      </c>
      <c r="P2795" s="4">
        <f>IFERROR(__xludf.DUMMYFUNCTION("""COMPUTED_VALUE"""),6.8)</f>
        <v>6.8</v>
      </c>
      <c r="Q2795" s="4">
        <f>IFERROR(__xludf.DUMMYFUNCTION("""COMPUTED_VALUE"""),2.6)</f>
        <v>2.6</v>
      </c>
      <c r="R2795" s="4">
        <f>IFERROR(__xludf.DUMMYFUNCTION("""COMPUTED_VALUE"""),2.2)</f>
        <v>2.2</v>
      </c>
      <c r="S2795" s="4">
        <f>IFERROR(__xludf.DUMMYFUNCTION("""COMPUTED_VALUE"""),4.5)</f>
        <v>4.5</v>
      </c>
      <c r="T2795" s="4">
        <f>IFERROR(__xludf.DUMMYFUNCTION("""COMPUTED_VALUE"""),0.087)</f>
        <v>0.087</v>
      </c>
      <c r="U2795" s="4">
        <f>IFERROR(__xludf.DUMMYFUNCTION("""COMPUTED_VALUE"""),0.5)</f>
        <v>0.5</v>
      </c>
      <c r="V2795" s="4">
        <f>IFERROR(__xludf.DUMMYFUNCTION("""COMPUTED_VALUE"""),1.5)</f>
        <v>1.5</v>
      </c>
    </row>
    <row r="2796">
      <c r="A2796" s="4">
        <f>IFERROR(__xludf.DUMMYFUNCTION("""COMPUTED_VALUE"""),135.0)</f>
        <v>135</v>
      </c>
      <c r="B2796" s="4">
        <f>IFERROR(__xludf.DUMMYFUNCTION("""COMPUTED_VALUE"""),135.0)</f>
        <v>135</v>
      </c>
      <c r="C2796" s="4" t="str">
        <f>IFERROR(__xludf.DUMMYFUNCTION("""COMPUTED_VALUE"""),"HOU")</f>
        <v>HOU</v>
      </c>
      <c r="D2796" s="4" t="str">
        <f>IFERROR(__xludf.DUMMYFUNCTION("""COMPUTED_VALUE"""),"Robert Worthy")</f>
        <v>Robert Worthy</v>
      </c>
      <c r="E2796" s="4" t="str">
        <f>IFERROR(__xludf.DUMMYFUNCTION("""COMPUTED_VALUE"""),"Chancellor University")</f>
        <v>Chancellor University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</row>
    <row r="2797">
      <c r="A2797" s="4">
        <f>IFERROR(__xludf.DUMMYFUNCTION("""COMPUTED_VALUE"""),136.0)</f>
        <v>136</v>
      </c>
      <c r="B2797" s="4">
        <f>IFERROR(__xludf.DUMMYFUNCTION("""COMPUTED_VALUE"""),136.0)</f>
        <v>136</v>
      </c>
      <c r="C2797" s="4" t="str">
        <f>IFERROR(__xludf.DUMMYFUNCTION("""COMPUTED_VALUE"""),"PHI")</f>
        <v>PHI</v>
      </c>
      <c r="D2797" s="4" t="str">
        <f>IFERROR(__xludf.DUMMYFUNCTION("""COMPUTED_VALUE"""),"Andre McCloud")</f>
        <v>Andre McCloud</v>
      </c>
      <c r="E2797" s="4" t="str">
        <f>IFERROR(__xludf.DUMMYFUNCTION("""COMPUTED_VALUE"""),"Seton Hall")</f>
        <v>Seton Hall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</row>
    <row r="2798">
      <c r="A2798" s="4">
        <f>IFERROR(__xludf.DUMMYFUNCTION("""COMPUTED_VALUE"""),137.0)</f>
        <v>137</v>
      </c>
      <c r="B2798" s="4">
        <f>IFERROR(__xludf.DUMMYFUNCTION("""COMPUTED_VALUE"""),137.0)</f>
        <v>137</v>
      </c>
      <c r="C2798" s="4" t="str">
        <f>IFERROR(__xludf.DUMMYFUNCTION("""COMPUTED_VALUE"""),"MIL")</f>
        <v>MIL</v>
      </c>
      <c r="D2798" s="4" t="str">
        <f>IFERROR(__xludf.DUMMYFUNCTION("""COMPUTED_VALUE"""),"John Kimbrell")</f>
        <v>John Kimbrell</v>
      </c>
      <c r="E2798" s="4" t="str">
        <f>IFERROR(__xludf.DUMMYFUNCTION("""COMPUTED_VALUE"""),"Lipscomb")</f>
        <v>Lipscomb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</row>
    <row r="2799">
      <c r="A2799" s="4">
        <f>IFERROR(__xludf.DUMMYFUNCTION("""COMPUTED_VALUE"""),138.0)</f>
        <v>138</v>
      </c>
      <c r="B2799" s="4">
        <f>IFERROR(__xludf.DUMMYFUNCTION("""COMPUTED_VALUE"""),138.0)</f>
        <v>138</v>
      </c>
      <c r="C2799" s="4" t="str">
        <f>IFERROR(__xludf.DUMMYFUNCTION("""COMPUTED_VALUE"""),"LAL")</f>
        <v>LAL</v>
      </c>
      <c r="D2799" s="4" t="str">
        <f>IFERROR(__xludf.DUMMYFUNCTION("""COMPUTED_VALUE"""),"Walter Downing")</f>
        <v>Walter Downing</v>
      </c>
      <c r="E2799" s="4" t="str">
        <f>IFERROR(__xludf.DUMMYFUNCTION("""COMPUTED_VALUE"""),"Marquette")</f>
        <v>Marquette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</row>
    <row r="2800">
      <c r="A2800" s="4">
        <f>IFERROR(__xludf.DUMMYFUNCTION("""COMPUTED_VALUE"""),139.0)</f>
        <v>139</v>
      </c>
      <c r="B2800" s="4">
        <f>IFERROR(__xludf.DUMMYFUNCTION("""COMPUTED_VALUE"""),139.0)</f>
        <v>139</v>
      </c>
      <c r="C2800" s="4" t="str">
        <f>IFERROR(__xludf.DUMMYFUNCTION("""COMPUTED_VALUE"""),"BOS")</f>
        <v>BOS</v>
      </c>
      <c r="D2800" s="4" t="str">
        <f>IFERROR(__xludf.DUMMYFUNCTION("""COMPUTED_VALUE"""),"Greg Wendt")</f>
        <v>Greg Wendt</v>
      </c>
      <c r="E2800" s="4" t="str">
        <f>IFERROR(__xludf.DUMMYFUNCTION("""COMPUTED_VALUE"""),"Detroit Mercy")</f>
        <v>Detroit Mercy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</row>
    <row r="2801">
      <c r="A2801" s="4"/>
      <c r="B2801" s="4"/>
      <c r="C2801" s="4"/>
      <c r="D2801" s="4" t="str">
        <f>IFERROR(__xludf.DUMMYFUNCTION("""COMPUTED_VALUE"""),"Round 7")</f>
        <v>Round 7</v>
      </c>
      <c r="E2801" s="4"/>
      <c r="F2801" s="4"/>
      <c r="G2801" s="4" t="str">
        <f>IFERROR(__xludf.DUMMYFUNCTION("""COMPUTED_VALUE"""),"Totals")</f>
        <v>Totals</v>
      </c>
      <c r="H2801" s="4"/>
      <c r="I2801" s="4"/>
      <c r="J2801" s="4"/>
      <c r="K2801" s="4"/>
      <c r="L2801" s="4" t="str">
        <f>IFERROR(__xludf.DUMMYFUNCTION("""COMPUTED_VALUE"""),"Shooting")</f>
        <v>Shooting</v>
      </c>
      <c r="M2801" s="4"/>
      <c r="N2801" s="4"/>
      <c r="O2801" s="4" t="str">
        <f>IFERROR(__xludf.DUMMYFUNCTION("""COMPUTED_VALUE"""),"Per Game")</f>
        <v>Per Game</v>
      </c>
      <c r="P2801" s="4"/>
      <c r="Q2801" s="4"/>
      <c r="R2801" s="4"/>
      <c r="S2801" s="4" t="str">
        <f>IFERROR(__xludf.DUMMYFUNCTION("""COMPUTED_VALUE"""),"Advanced")</f>
        <v>Advanced</v>
      </c>
      <c r="T2801" s="4"/>
      <c r="U2801" s="4"/>
      <c r="V2801" s="4"/>
    </row>
    <row r="2802">
      <c r="A2802" s="4" t="str">
        <f>IFERROR(__xludf.DUMMYFUNCTION("""COMPUTED_VALUE"""),"Rk")</f>
        <v>Rk</v>
      </c>
      <c r="B2802" s="4" t="str">
        <f>IFERROR(__xludf.DUMMYFUNCTION("""COMPUTED_VALUE"""),"Pk")</f>
        <v>Pk</v>
      </c>
      <c r="C2802" s="4" t="str">
        <f>IFERROR(__xludf.DUMMYFUNCTION("""COMPUTED_VALUE"""),"Tm")</f>
        <v>Tm</v>
      </c>
      <c r="D2802" s="4" t="str">
        <f>IFERROR(__xludf.DUMMYFUNCTION("""COMPUTED_VALUE"""),"Player")</f>
        <v>Player</v>
      </c>
      <c r="E2802" s="4" t="str">
        <f>IFERROR(__xludf.DUMMYFUNCTION("""COMPUTED_VALUE"""),"College")</f>
        <v>College</v>
      </c>
      <c r="F2802" s="4" t="str">
        <f>IFERROR(__xludf.DUMMYFUNCTION("""COMPUTED_VALUE"""),"Yrs")</f>
        <v>Yrs</v>
      </c>
      <c r="G2802" s="4" t="str">
        <f>IFERROR(__xludf.DUMMYFUNCTION("""COMPUTED_VALUE"""),"G")</f>
        <v>G</v>
      </c>
      <c r="H2802" s="4" t="str">
        <f>IFERROR(__xludf.DUMMYFUNCTION("""COMPUTED_VALUE"""),"MP")</f>
        <v>MP</v>
      </c>
      <c r="I2802" s="4" t="str">
        <f>IFERROR(__xludf.DUMMYFUNCTION("""COMPUTED_VALUE"""),"PTS")</f>
        <v>PTS</v>
      </c>
      <c r="J2802" s="4" t="str">
        <f>IFERROR(__xludf.DUMMYFUNCTION("""COMPUTED_VALUE"""),"TRB")</f>
        <v>TRB</v>
      </c>
      <c r="K2802" s="4" t="str">
        <f>IFERROR(__xludf.DUMMYFUNCTION("""COMPUTED_VALUE"""),"AST")</f>
        <v>AST</v>
      </c>
      <c r="L2802" s="4" t="str">
        <f>IFERROR(__xludf.DUMMYFUNCTION("""COMPUTED_VALUE"""),"FG%")</f>
        <v>FG%</v>
      </c>
      <c r="M2802" s="4" t="str">
        <f>IFERROR(__xludf.DUMMYFUNCTION("""COMPUTED_VALUE"""),"3P%")</f>
        <v>3P%</v>
      </c>
      <c r="N2802" s="4" t="str">
        <f>IFERROR(__xludf.DUMMYFUNCTION("""COMPUTED_VALUE"""),"FT%")</f>
        <v>FT%</v>
      </c>
      <c r="O2802" s="4" t="str">
        <f>IFERROR(__xludf.DUMMYFUNCTION("""COMPUTED_VALUE"""),"MP")</f>
        <v>MP</v>
      </c>
      <c r="P2802" s="4" t="str">
        <f>IFERROR(__xludf.DUMMYFUNCTION("""COMPUTED_VALUE"""),"PTS")</f>
        <v>PTS</v>
      </c>
      <c r="Q2802" s="4" t="str">
        <f>IFERROR(__xludf.DUMMYFUNCTION("""COMPUTED_VALUE"""),"TRB")</f>
        <v>TRB</v>
      </c>
      <c r="R2802" s="4" t="str">
        <f>IFERROR(__xludf.DUMMYFUNCTION("""COMPUTED_VALUE"""),"AST")</f>
        <v>AST</v>
      </c>
      <c r="S2802" s="4" t="str">
        <f>IFERROR(__xludf.DUMMYFUNCTION("""COMPUTED_VALUE"""),"WS")</f>
        <v>WS</v>
      </c>
      <c r="T2802" s="4" t="str">
        <f>IFERROR(__xludf.DUMMYFUNCTION("""COMPUTED_VALUE"""),"WS/48")</f>
        <v>WS/48</v>
      </c>
      <c r="U2802" s="4" t="str">
        <f>IFERROR(__xludf.DUMMYFUNCTION("""COMPUTED_VALUE"""),"BPM")</f>
        <v>BPM</v>
      </c>
      <c r="V2802" s="4" t="str">
        <f>IFERROR(__xludf.DUMMYFUNCTION("""COMPUTED_VALUE"""),"VORP")</f>
        <v>VORP</v>
      </c>
    </row>
    <row r="2803">
      <c r="A2803" s="4">
        <f>IFERROR(__xludf.DUMMYFUNCTION("""COMPUTED_VALUE"""),140.0)</f>
        <v>140</v>
      </c>
      <c r="B2803" s="4">
        <f>IFERROR(__xludf.DUMMYFUNCTION("""COMPUTED_VALUE"""),140.0)</f>
        <v>140</v>
      </c>
      <c r="C2803" s="4" t="str">
        <f>IFERROR(__xludf.DUMMYFUNCTION("""COMPUTED_VALUE"""),"NYK")</f>
        <v>NYK</v>
      </c>
      <c r="D2803" s="4" t="str">
        <f>IFERROR(__xludf.DUMMYFUNCTION("""COMPUTED_VALUE"""),"Duane Kendall")</f>
        <v>Duane Kendall</v>
      </c>
      <c r="E2803" s="4" t="str">
        <f>IFERROR(__xludf.DUMMYFUNCTION("""COMPUTED_VALUE"""),"South Carolina")</f>
        <v>South Carolina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</row>
    <row r="2804">
      <c r="A2804" s="4">
        <f>IFERROR(__xludf.DUMMYFUNCTION("""COMPUTED_VALUE"""),141.0)</f>
        <v>141</v>
      </c>
      <c r="B2804" s="4">
        <f>IFERROR(__xludf.DUMMYFUNCTION("""COMPUTED_VALUE"""),141.0)</f>
        <v>141</v>
      </c>
      <c r="C2804" s="4" t="str">
        <f>IFERROR(__xludf.DUMMYFUNCTION("""COMPUTED_VALUE"""),"IND")</f>
        <v>IND</v>
      </c>
      <c r="D2804" s="4" t="str">
        <f>IFERROR(__xludf.DUMMYFUNCTION("""COMPUTED_VALUE"""),"Steve Woodside")</f>
        <v>Steve Woodside</v>
      </c>
      <c r="E2804" s="4" t="str">
        <f>IFERROR(__xludf.DUMMYFUNCTION("""COMPUTED_VALUE"""),"Oregon State")</f>
        <v>Oregon State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</row>
    <row r="2805">
      <c r="A2805" s="4">
        <f>IFERROR(__xludf.DUMMYFUNCTION("""COMPUTED_VALUE"""),142.0)</f>
        <v>142</v>
      </c>
      <c r="B2805" s="4">
        <f>IFERROR(__xludf.DUMMYFUNCTION("""COMPUTED_VALUE"""),142.0)</f>
        <v>142</v>
      </c>
      <c r="C2805" s="4" t="str">
        <f>IFERROR(__xludf.DUMMYFUNCTION("""COMPUTED_VALUE"""),"CLE")</f>
        <v>CLE</v>
      </c>
      <c r="D2805" s="4" t="str">
        <f>IFERROR(__xludf.DUMMYFUNCTION("""COMPUTED_VALUE"""),"Ralph Dalton")</f>
        <v>Ralph Dalton</v>
      </c>
      <c r="E2805" s="4" t="str">
        <f>IFERROR(__xludf.DUMMYFUNCTION("""COMPUTED_VALUE"""),"Georgetown")</f>
        <v>Georgetown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</row>
    <row r="2806">
      <c r="A2806" s="4">
        <f>IFERROR(__xludf.DUMMYFUNCTION("""COMPUTED_VALUE"""),143.0)</f>
        <v>143</v>
      </c>
      <c r="B2806" s="4">
        <f>IFERROR(__xludf.DUMMYFUNCTION("""COMPUTED_VALUE"""),143.0)</f>
        <v>143</v>
      </c>
      <c r="C2806" s="4" t="str">
        <f>IFERROR(__xludf.DUMMYFUNCTION("""COMPUTED_VALUE"""),"GSW")</f>
        <v>GSW</v>
      </c>
      <c r="D2806" s="4" t="str">
        <f>IFERROR(__xludf.DUMMYFUNCTION("""COMPUTED_VALUE"""),"Steve Kenilvort")</f>
        <v>Steve Kenilvort</v>
      </c>
      <c r="E2806" s="4" t="str">
        <f>IFERROR(__xludf.DUMMYFUNCTION("""COMPUTED_VALUE"""),"Santa Clara")</f>
        <v>Santa Clara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</row>
    <row r="2807">
      <c r="A2807" s="4">
        <f>IFERROR(__xludf.DUMMYFUNCTION("""COMPUTED_VALUE"""),144.0)</f>
        <v>144</v>
      </c>
      <c r="B2807" s="4">
        <f>IFERROR(__xludf.DUMMYFUNCTION("""COMPUTED_VALUE"""),144.0)</f>
        <v>144</v>
      </c>
      <c r="C2807" s="4" t="str">
        <f>IFERROR(__xludf.DUMMYFUNCTION("""COMPUTED_VALUE"""),"CHI")</f>
        <v>CHI</v>
      </c>
      <c r="D2807" s="4" t="str">
        <f>IFERROR(__xludf.DUMMYFUNCTION("""COMPUTED_VALUE"""),"Robert Henderson")</f>
        <v>Robert Henderson</v>
      </c>
      <c r="E2807" s="4" t="str">
        <f>IFERROR(__xludf.DUMMYFUNCTION("""COMPUTED_VALUE"""),"Michigan")</f>
        <v>Michigan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</row>
    <row r="2808">
      <c r="A2808" s="4">
        <f>IFERROR(__xludf.DUMMYFUNCTION("""COMPUTED_VALUE"""),145.0)</f>
        <v>145</v>
      </c>
      <c r="B2808" s="4">
        <f>IFERROR(__xludf.DUMMYFUNCTION("""COMPUTED_VALUE"""),145.0)</f>
        <v>145</v>
      </c>
      <c r="C2808" s="4" t="str">
        <f>IFERROR(__xludf.DUMMYFUNCTION("""COMPUTED_VALUE"""),"SEA")</f>
        <v>SEA</v>
      </c>
      <c r="D2808" s="4" t="str">
        <f>IFERROR(__xludf.DUMMYFUNCTION("""COMPUTED_VALUE"""),"Glen McCants")</f>
        <v>Glen McCants</v>
      </c>
      <c r="E2808" s="4" t="str">
        <f>IFERROR(__xludf.DUMMYFUNCTION("""COMPUTED_VALUE"""),"Clemson")</f>
        <v>Clemson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</row>
    <row r="2809">
      <c r="A2809" s="4">
        <f>IFERROR(__xludf.DUMMYFUNCTION("""COMPUTED_VALUE"""),146.0)</f>
        <v>146</v>
      </c>
      <c r="B2809" s="4">
        <f>IFERROR(__xludf.DUMMYFUNCTION("""COMPUTED_VALUE"""),146.0)</f>
        <v>146</v>
      </c>
      <c r="C2809" s="4" t="str">
        <f>IFERROR(__xludf.DUMMYFUNCTION("""COMPUTED_VALUE"""),"LAC")</f>
        <v>LAC</v>
      </c>
      <c r="D2809" s="4" t="str">
        <f>IFERROR(__xludf.DUMMYFUNCTION("""COMPUTED_VALUE"""),"Johnny Brown")</f>
        <v>Johnny Brown</v>
      </c>
      <c r="E2809" s="4" t="str">
        <f>IFERROR(__xludf.DUMMYFUNCTION("""COMPUTED_VALUE"""),"New Mexico")</f>
        <v>New Mexico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</row>
    <row r="2810">
      <c r="A2810" s="4">
        <f>IFERROR(__xludf.DUMMYFUNCTION("""COMPUTED_VALUE"""),147.0)</f>
        <v>147</v>
      </c>
      <c r="B2810" s="4">
        <f>IFERROR(__xludf.DUMMYFUNCTION("""COMPUTED_VALUE"""),147.0)</f>
        <v>147</v>
      </c>
      <c r="C2810" s="4" t="str">
        <f>IFERROR(__xludf.DUMMYFUNCTION("""COMPUTED_VALUE"""),"PHO")</f>
        <v>PHO</v>
      </c>
      <c r="D2810" s="4" t="str">
        <f>IFERROR(__xludf.DUMMYFUNCTION("""COMPUTED_VALUE"""),"Damon Goodwin")</f>
        <v>Damon Goodwin</v>
      </c>
      <c r="E2810" s="4" t="str">
        <f>IFERROR(__xludf.DUMMYFUNCTION("""COMPUTED_VALUE"""),"Dayton")</f>
        <v>Dayton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</row>
    <row r="2811">
      <c r="A2811" s="4">
        <f>IFERROR(__xludf.DUMMYFUNCTION("""COMPUTED_VALUE"""),148.0)</f>
        <v>148</v>
      </c>
      <c r="B2811" s="4">
        <f>IFERROR(__xludf.DUMMYFUNCTION("""COMPUTED_VALUE"""),148.0)</f>
        <v>148</v>
      </c>
      <c r="C2811" s="4" t="str">
        <f>IFERROR(__xludf.DUMMYFUNCTION("""COMPUTED_VALUE"""),"SAS")</f>
        <v>SAS</v>
      </c>
      <c r="D2811" s="4" t="str">
        <f>IFERROR(__xludf.DUMMYFUNCTION("""COMPUTED_VALUE"""),"Michael Anderson")</f>
        <v>Michael Anderson</v>
      </c>
      <c r="E2811" s="4" t="str">
        <f>IFERROR(__xludf.DUMMYFUNCTION("""COMPUTED_VALUE"""),"University of Texas Rio Grande Valley")</f>
        <v>University of Texas Rio Grande Valley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</row>
    <row r="2812">
      <c r="A2812" s="4">
        <f>IFERROR(__xludf.DUMMYFUNCTION("""COMPUTED_VALUE"""),149.0)</f>
        <v>149</v>
      </c>
      <c r="B2812" s="4">
        <f>IFERROR(__xludf.DUMMYFUNCTION("""COMPUTED_VALUE"""),149.0)</f>
        <v>149</v>
      </c>
      <c r="C2812" s="4" t="str">
        <f>IFERROR(__xludf.DUMMYFUNCTION("""COMPUTED_VALUE"""),"SAC")</f>
        <v>SAC</v>
      </c>
      <c r="D2812" s="4" t="str">
        <f>IFERROR(__xludf.DUMMYFUNCTION("""COMPUTED_VALUE"""),"Ron Rankin")</f>
        <v>Ron Rankin</v>
      </c>
      <c r="E2812" s="4" t="str">
        <f>IFERROR(__xludf.DUMMYFUNCTION("""COMPUTED_VALUE"""),"SE Missouri State")</f>
        <v>SE Missouri State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</row>
    <row r="2813">
      <c r="A2813" s="4">
        <f>IFERROR(__xludf.DUMMYFUNCTION("""COMPUTED_VALUE"""),150.0)</f>
        <v>150</v>
      </c>
      <c r="B2813" s="4">
        <f>IFERROR(__xludf.DUMMYFUNCTION("""COMPUTED_VALUE"""),150.0)</f>
        <v>150</v>
      </c>
      <c r="C2813" s="4" t="str">
        <f>IFERROR(__xludf.DUMMYFUNCTION("""COMPUTED_VALUE"""),"WSB")</f>
        <v>WSB</v>
      </c>
      <c r="D2813" s="4" t="str">
        <f>IFERROR(__xludf.DUMMYFUNCTION("""COMPUTED_VALUE"""),"Joe Price")</f>
        <v>Joe Price</v>
      </c>
      <c r="E2813" s="4" t="str">
        <f>IFERROR(__xludf.DUMMYFUNCTION("""COMPUTED_VALUE"""),"Notre Dame")</f>
        <v>Notre Dame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</row>
    <row r="2814">
      <c r="A2814" s="4">
        <f>IFERROR(__xludf.DUMMYFUNCTION("""COMPUTED_VALUE"""),151.0)</f>
        <v>151</v>
      </c>
      <c r="B2814" s="4">
        <f>IFERROR(__xludf.DUMMYFUNCTION("""COMPUTED_VALUE"""),151.0)</f>
        <v>151</v>
      </c>
      <c r="C2814" s="4" t="str">
        <f>IFERROR(__xludf.DUMMYFUNCTION("""COMPUTED_VALUE"""),"NJN")</f>
        <v>NJN</v>
      </c>
      <c r="D2814" s="4" t="str">
        <f>IFERROR(__xludf.DUMMYFUNCTION("""COMPUTED_VALUE"""),"Jim Dolan")</f>
        <v>Jim Dolan</v>
      </c>
      <c r="E2814" s="4" t="str">
        <f>IFERROR(__xludf.DUMMYFUNCTION("""COMPUTED_VALUE"""),"Notre Dame")</f>
        <v>Notre Dame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</row>
    <row r="2815">
      <c r="A2815" s="4">
        <f>IFERROR(__xludf.DUMMYFUNCTION("""COMPUTED_VALUE"""),152.0)</f>
        <v>152</v>
      </c>
      <c r="B2815" s="4">
        <f>IFERROR(__xludf.DUMMYFUNCTION("""COMPUTED_VALUE"""),152.0)</f>
        <v>152</v>
      </c>
      <c r="C2815" s="4" t="str">
        <f>IFERROR(__xludf.DUMMYFUNCTION("""COMPUTED_VALUE"""),"POR")</f>
        <v>POR</v>
      </c>
      <c r="D2815" s="4" t="str">
        <f>IFERROR(__xludf.DUMMYFUNCTION("""COMPUTED_VALUE"""),"Randy Schiff")</f>
        <v>Randy Schiff</v>
      </c>
      <c r="E2815" s="4" t="str">
        <f>IFERROR(__xludf.DUMMYFUNCTION("""COMPUTED_VALUE"""),"Linfield College")</f>
        <v>Linfield College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</row>
    <row r="2816">
      <c r="A2816" s="4">
        <f>IFERROR(__xludf.DUMMYFUNCTION("""COMPUTED_VALUE"""),153.0)</f>
        <v>153</v>
      </c>
      <c r="B2816" s="4">
        <f>IFERROR(__xludf.DUMMYFUNCTION("""COMPUTED_VALUE"""),153.0)</f>
        <v>153</v>
      </c>
      <c r="C2816" s="4" t="str">
        <f>IFERROR(__xludf.DUMMYFUNCTION("""COMPUTED_VALUE"""),"UTA")</f>
        <v>UTA</v>
      </c>
      <c r="D2816" s="4" t="str">
        <f>IFERROR(__xludf.DUMMYFUNCTION("""COMPUTED_VALUE"""),"Mark Mitchell")</f>
        <v>Mark Mitchell</v>
      </c>
      <c r="E2816" s="4" t="str">
        <f>IFERROR(__xludf.DUMMYFUNCTION("""COMPUTED_VALUE"""),"University of Hartford")</f>
        <v>University of Hartford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</row>
    <row r="2817">
      <c r="A2817" s="4">
        <f>IFERROR(__xludf.DUMMYFUNCTION("""COMPUTED_VALUE"""),154.0)</f>
        <v>154</v>
      </c>
      <c r="B2817" s="4">
        <f>IFERROR(__xludf.DUMMYFUNCTION("""COMPUTED_VALUE"""),154.0)</f>
        <v>154</v>
      </c>
      <c r="C2817" s="4" t="str">
        <f>IFERROR(__xludf.DUMMYFUNCTION("""COMPUTED_VALUE"""),"DAL")</f>
        <v>DAL</v>
      </c>
      <c r="D2817" s="4" t="str">
        <f>IFERROR(__xludf.DUMMYFUNCTION("""COMPUTED_VALUE"""),"Kim Cooksey")</f>
        <v>Kim Cooksey</v>
      </c>
      <c r="E2817" s="4" t="str">
        <f>IFERROR(__xludf.DUMMYFUNCTION("""COMPUTED_VALUE"""),"Middle Tennessee")</f>
        <v>Middle Tennessee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</row>
    <row r="2818">
      <c r="A2818" s="4">
        <f>IFERROR(__xludf.DUMMYFUNCTION("""COMPUTED_VALUE"""),155.0)</f>
        <v>155</v>
      </c>
      <c r="B2818" s="4">
        <f>IFERROR(__xludf.DUMMYFUNCTION("""COMPUTED_VALUE"""),155.0)</f>
        <v>155</v>
      </c>
      <c r="C2818" s="4" t="str">
        <f>IFERROR(__xludf.DUMMYFUNCTION("""COMPUTED_VALUE"""),"DET")</f>
        <v>DET</v>
      </c>
      <c r="D2818" s="4" t="str">
        <f>IFERROR(__xludf.DUMMYFUNCTION("""COMPUTED_VALUE"""),"Larry Polec")</f>
        <v>Larry Polec</v>
      </c>
      <c r="E2818" s="4" t="str">
        <f>IFERROR(__xludf.DUMMYFUNCTION("""COMPUTED_VALUE"""),"Michigan State")</f>
        <v>Michigan State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</row>
    <row r="2819">
      <c r="A2819" s="4">
        <f>IFERROR(__xludf.DUMMYFUNCTION("""COMPUTED_VALUE"""),156.0)</f>
        <v>156</v>
      </c>
      <c r="B2819" s="4">
        <f>IFERROR(__xludf.DUMMYFUNCTION("""COMPUTED_VALUE"""),156.0)</f>
        <v>156</v>
      </c>
      <c r="C2819" s="4" t="str">
        <f>IFERROR(__xludf.DUMMYFUNCTION("""COMPUTED_VALUE"""),"DEN")</f>
        <v>DEN</v>
      </c>
      <c r="D2819" s="4" t="str">
        <f>IFERROR(__xludf.DUMMYFUNCTION("""COMPUTED_VALUE"""),"Mike Marshall")</f>
        <v>Mike Marshall</v>
      </c>
      <c r="E2819" s="4" t="str">
        <f>IFERROR(__xludf.DUMMYFUNCTION("""COMPUTED_VALUE"""),"McNeese State University")</f>
        <v>McNeese State University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</row>
    <row r="2820">
      <c r="A2820" s="4">
        <f>IFERROR(__xludf.DUMMYFUNCTION("""COMPUTED_VALUE"""),157.0)</f>
        <v>157</v>
      </c>
      <c r="B2820" s="4">
        <f>IFERROR(__xludf.DUMMYFUNCTION("""COMPUTED_VALUE"""),157.0)</f>
        <v>157</v>
      </c>
      <c r="C2820" s="4" t="str">
        <f>IFERROR(__xludf.DUMMYFUNCTION("""COMPUTED_VALUE"""),"ATL")</f>
        <v>ATL</v>
      </c>
      <c r="D2820" s="4" t="str">
        <f>IFERROR(__xludf.DUMMYFUNCTION("""COMPUTED_VALUE"""),"Valeri Tikhonenko")</f>
        <v>Valeri Tikhonenko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</row>
    <row r="2821">
      <c r="A2821" s="4">
        <f>IFERROR(__xludf.DUMMYFUNCTION("""COMPUTED_VALUE"""),158.0)</f>
        <v>158</v>
      </c>
      <c r="B2821" s="4">
        <f>IFERROR(__xludf.DUMMYFUNCTION("""COMPUTED_VALUE"""),158.0)</f>
        <v>158</v>
      </c>
      <c r="C2821" s="4" t="str">
        <f>IFERROR(__xludf.DUMMYFUNCTION("""COMPUTED_VALUE"""),"HOU")</f>
        <v>HOU</v>
      </c>
      <c r="D2821" s="4" t="str">
        <f>IFERROR(__xludf.DUMMYFUNCTION("""COMPUTED_VALUE"""),"Rick Olson")</f>
        <v>Rick Olson</v>
      </c>
      <c r="E2821" s="4" t="str">
        <f>IFERROR(__xludf.DUMMYFUNCTION("""COMPUTED_VALUE"""),"Wisconsin")</f>
        <v>Wisconsin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</row>
    <row r="2822">
      <c r="A2822" s="4">
        <f>IFERROR(__xludf.DUMMYFUNCTION("""COMPUTED_VALUE"""),159.0)</f>
        <v>159</v>
      </c>
      <c r="B2822" s="4">
        <f>IFERROR(__xludf.DUMMYFUNCTION("""COMPUTED_VALUE"""),159.0)</f>
        <v>159</v>
      </c>
      <c r="C2822" s="4" t="str">
        <f>IFERROR(__xludf.DUMMYFUNCTION("""COMPUTED_VALUE"""),"PHI")</f>
        <v>PHI</v>
      </c>
      <c r="D2822" s="4" t="str">
        <f>IFERROR(__xludf.DUMMYFUNCTION("""COMPUTED_VALUE"""),"Dan Palombizio")</f>
        <v>Dan Palombizio</v>
      </c>
      <c r="E2822" s="4" t="str">
        <f>IFERROR(__xludf.DUMMYFUNCTION("""COMPUTED_VALUE"""),"Ball State University")</f>
        <v>Ball State University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</row>
    <row r="2823">
      <c r="A2823" s="4">
        <f>IFERROR(__xludf.DUMMYFUNCTION("""COMPUTED_VALUE"""),160.0)</f>
        <v>160</v>
      </c>
      <c r="B2823" s="4">
        <f>IFERROR(__xludf.DUMMYFUNCTION("""COMPUTED_VALUE"""),160.0)</f>
        <v>160</v>
      </c>
      <c r="C2823" s="4" t="str">
        <f>IFERROR(__xludf.DUMMYFUNCTION("""COMPUTED_VALUE"""),"MIL")</f>
        <v>MIL</v>
      </c>
      <c r="D2823" s="4" t="str">
        <f>IFERROR(__xludf.DUMMYFUNCTION("""COMPUTED_VALUE"""),"Jeff Strong")</f>
        <v>Jeff Strong</v>
      </c>
      <c r="E2823" s="4" t="str">
        <f>IFERROR(__xludf.DUMMYFUNCTION("""COMPUTED_VALUE"""),"Missouri")</f>
        <v>Missouri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</row>
    <row r="2824">
      <c r="A2824" s="4">
        <f>IFERROR(__xludf.DUMMYFUNCTION("""COMPUTED_VALUE"""),161.0)</f>
        <v>161</v>
      </c>
      <c r="B2824" s="4">
        <f>IFERROR(__xludf.DUMMYFUNCTION("""COMPUTED_VALUE"""),161.0)</f>
        <v>161</v>
      </c>
      <c r="C2824" s="4" t="str">
        <f>IFERROR(__xludf.DUMMYFUNCTION("""COMPUTED_VALUE"""),"LAL")</f>
        <v>LAL</v>
      </c>
      <c r="D2824" s="4" t="str">
        <f>IFERROR(__xludf.DUMMYFUNCTION("""COMPUTED_VALUE"""),"Mark Coleman")</f>
        <v>Mark Coleman</v>
      </c>
      <c r="E2824" s="4" t="str">
        <f>IFERROR(__xludf.DUMMYFUNCTION("""COMPUTED_VALUE"""),"Mississippi Valley State University")</f>
        <v>Mississippi Valley State University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</row>
    <row r="2825">
      <c r="A2825" s="4">
        <f>IFERROR(__xludf.DUMMYFUNCTION("""COMPUTED_VALUE"""),162.0)</f>
        <v>162</v>
      </c>
      <c r="B2825" s="4">
        <f>IFERROR(__xludf.DUMMYFUNCTION("""COMPUTED_VALUE"""),162.0)</f>
        <v>162</v>
      </c>
      <c r="C2825" s="4" t="str">
        <f>IFERROR(__xludf.DUMMYFUNCTION("""COMPUTED_VALUE"""),"BOS")</f>
        <v>BOS</v>
      </c>
      <c r="D2825" s="4" t="str">
        <f>IFERROR(__xludf.DUMMYFUNCTION("""COMPUTED_VALUE"""),"Tom Ivey")</f>
        <v>Tom Ivey</v>
      </c>
      <c r="E2825" s="4" t="str">
        <f>IFERROR(__xludf.DUMMYFUNCTION("""COMPUTED_VALUE"""),"Boston University")</f>
        <v>Boston University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</row>
    <row r="2827">
      <c r="A2827" s="2">
        <v>1985.0</v>
      </c>
    </row>
    <row r="2828">
      <c r="A2828" s="4" t="str">
        <f>IFERROR(__xludf.DUMMYFUNCTION("IMPORTHTML(""https://www.basketball-reference.com/draft/NBA_1985.html"", ""table"", 1)"),"")</f>
        <v/>
      </c>
      <c r="B2828" s="4"/>
      <c r="C2828" s="4"/>
      <c r="D2828" s="4" t="str">
        <f>IFERROR(__xludf.DUMMYFUNCTION("""COMPUTED_VALUE"""),"Round 1")</f>
        <v>Round 1</v>
      </c>
      <c r="E2828" s="4"/>
      <c r="F2828" s="4"/>
      <c r="G2828" s="4" t="str">
        <f>IFERROR(__xludf.DUMMYFUNCTION("""COMPUTED_VALUE"""),"Totals")</f>
        <v>Totals</v>
      </c>
      <c r="H2828" s="4"/>
      <c r="I2828" s="4"/>
      <c r="J2828" s="4"/>
      <c r="K2828" s="4"/>
      <c r="L2828" s="4" t="str">
        <f>IFERROR(__xludf.DUMMYFUNCTION("""COMPUTED_VALUE"""),"Shooting")</f>
        <v>Shooting</v>
      </c>
      <c r="M2828" s="4"/>
      <c r="N2828" s="4"/>
      <c r="O2828" s="4" t="str">
        <f>IFERROR(__xludf.DUMMYFUNCTION("""COMPUTED_VALUE"""),"Per Game")</f>
        <v>Per Game</v>
      </c>
      <c r="P2828" s="4"/>
      <c r="Q2828" s="4"/>
      <c r="R2828" s="4"/>
      <c r="S2828" s="4" t="str">
        <f>IFERROR(__xludf.DUMMYFUNCTION("""COMPUTED_VALUE"""),"Advanced")</f>
        <v>Advanced</v>
      </c>
      <c r="T2828" s="4"/>
      <c r="U2828" s="4"/>
      <c r="V2828" s="4"/>
    </row>
    <row r="2829">
      <c r="A2829" s="4" t="str">
        <f>IFERROR(__xludf.DUMMYFUNCTION("""COMPUTED_VALUE"""),"Rk")</f>
        <v>Rk</v>
      </c>
      <c r="B2829" s="4" t="str">
        <f>IFERROR(__xludf.DUMMYFUNCTION("""COMPUTED_VALUE"""),"Pk")</f>
        <v>Pk</v>
      </c>
      <c r="C2829" s="4" t="str">
        <f>IFERROR(__xludf.DUMMYFUNCTION("""COMPUTED_VALUE"""),"Tm")</f>
        <v>Tm</v>
      </c>
      <c r="D2829" s="4" t="str">
        <f>IFERROR(__xludf.DUMMYFUNCTION("""COMPUTED_VALUE"""),"Player")</f>
        <v>Player</v>
      </c>
      <c r="E2829" s="4" t="str">
        <f>IFERROR(__xludf.DUMMYFUNCTION("""COMPUTED_VALUE"""),"College")</f>
        <v>College</v>
      </c>
      <c r="F2829" s="4" t="str">
        <f>IFERROR(__xludf.DUMMYFUNCTION("""COMPUTED_VALUE"""),"Yrs")</f>
        <v>Yrs</v>
      </c>
      <c r="G2829" s="4" t="str">
        <f>IFERROR(__xludf.DUMMYFUNCTION("""COMPUTED_VALUE"""),"G")</f>
        <v>G</v>
      </c>
      <c r="H2829" s="4" t="str">
        <f>IFERROR(__xludf.DUMMYFUNCTION("""COMPUTED_VALUE"""),"MP")</f>
        <v>MP</v>
      </c>
      <c r="I2829" s="4" t="str">
        <f>IFERROR(__xludf.DUMMYFUNCTION("""COMPUTED_VALUE"""),"PTS")</f>
        <v>PTS</v>
      </c>
      <c r="J2829" s="4" t="str">
        <f>IFERROR(__xludf.DUMMYFUNCTION("""COMPUTED_VALUE"""),"TRB")</f>
        <v>TRB</v>
      </c>
      <c r="K2829" s="4" t="str">
        <f>IFERROR(__xludf.DUMMYFUNCTION("""COMPUTED_VALUE"""),"AST")</f>
        <v>AST</v>
      </c>
      <c r="L2829" s="4" t="str">
        <f>IFERROR(__xludf.DUMMYFUNCTION("""COMPUTED_VALUE"""),"FG%")</f>
        <v>FG%</v>
      </c>
      <c r="M2829" s="4" t="str">
        <f>IFERROR(__xludf.DUMMYFUNCTION("""COMPUTED_VALUE"""),"3P%")</f>
        <v>3P%</v>
      </c>
      <c r="N2829" s="4" t="str">
        <f>IFERROR(__xludf.DUMMYFUNCTION("""COMPUTED_VALUE"""),"FT%")</f>
        <v>FT%</v>
      </c>
      <c r="O2829" s="4" t="str">
        <f>IFERROR(__xludf.DUMMYFUNCTION("""COMPUTED_VALUE"""),"MP")</f>
        <v>MP</v>
      </c>
      <c r="P2829" s="4" t="str">
        <f>IFERROR(__xludf.DUMMYFUNCTION("""COMPUTED_VALUE"""),"PTS")</f>
        <v>PTS</v>
      </c>
      <c r="Q2829" s="4" t="str">
        <f>IFERROR(__xludf.DUMMYFUNCTION("""COMPUTED_VALUE"""),"TRB")</f>
        <v>TRB</v>
      </c>
      <c r="R2829" s="4" t="str">
        <f>IFERROR(__xludf.DUMMYFUNCTION("""COMPUTED_VALUE"""),"AST")</f>
        <v>AST</v>
      </c>
      <c r="S2829" s="4" t="str">
        <f>IFERROR(__xludf.DUMMYFUNCTION("""COMPUTED_VALUE"""),"WS")</f>
        <v>WS</v>
      </c>
      <c r="T2829" s="4" t="str">
        <f>IFERROR(__xludf.DUMMYFUNCTION("""COMPUTED_VALUE"""),"WS/48")</f>
        <v>WS/48</v>
      </c>
      <c r="U2829" s="4" t="str">
        <f>IFERROR(__xludf.DUMMYFUNCTION("""COMPUTED_VALUE"""),"BPM")</f>
        <v>BPM</v>
      </c>
      <c r="V2829" s="4" t="str">
        <f>IFERROR(__xludf.DUMMYFUNCTION("""COMPUTED_VALUE"""),"VORP")</f>
        <v>VORP</v>
      </c>
    </row>
    <row r="2830">
      <c r="A2830" s="4">
        <f>IFERROR(__xludf.DUMMYFUNCTION("""COMPUTED_VALUE"""),1.0)</f>
        <v>1</v>
      </c>
      <c r="B2830" s="4">
        <f>IFERROR(__xludf.DUMMYFUNCTION("""COMPUTED_VALUE"""),1.0)</f>
        <v>1</v>
      </c>
      <c r="C2830" s="4" t="str">
        <f>IFERROR(__xludf.DUMMYFUNCTION("""COMPUTED_VALUE"""),"NYK")</f>
        <v>NYK</v>
      </c>
      <c r="D2830" s="4" t="str">
        <f>IFERROR(__xludf.DUMMYFUNCTION("""COMPUTED_VALUE"""),"Patrick Ewing")</f>
        <v>Patrick Ewing</v>
      </c>
      <c r="E2830" s="4" t="str">
        <f>IFERROR(__xludf.DUMMYFUNCTION("""COMPUTED_VALUE"""),"Georgetown")</f>
        <v>Georgetown</v>
      </c>
      <c r="F2830" s="4">
        <f>IFERROR(__xludf.DUMMYFUNCTION("""COMPUTED_VALUE"""),17.0)</f>
        <v>17</v>
      </c>
      <c r="G2830" s="4">
        <f>IFERROR(__xludf.DUMMYFUNCTION("""COMPUTED_VALUE"""),1183.0)</f>
        <v>1183</v>
      </c>
      <c r="H2830" s="4">
        <f>IFERROR(__xludf.DUMMYFUNCTION("""COMPUTED_VALUE"""),40594.0)</f>
        <v>40594</v>
      </c>
      <c r="I2830" s="4">
        <f>IFERROR(__xludf.DUMMYFUNCTION("""COMPUTED_VALUE"""),24815.0)</f>
        <v>24815</v>
      </c>
      <c r="J2830" s="4">
        <f>IFERROR(__xludf.DUMMYFUNCTION("""COMPUTED_VALUE"""),11607.0)</f>
        <v>11607</v>
      </c>
      <c r="K2830" s="4">
        <f>IFERROR(__xludf.DUMMYFUNCTION("""COMPUTED_VALUE"""),2215.0)</f>
        <v>2215</v>
      </c>
      <c r="L2830" s="4">
        <f>IFERROR(__xludf.DUMMYFUNCTION("""COMPUTED_VALUE"""),0.504)</f>
        <v>0.504</v>
      </c>
      <c r="M2830" s="4">
        <f>IFERROR(__xludf.DUMMYFUNCTION("""COMPUTED_VALUE"""),0.152)</f>
        <v>0.152</v>
      </c>
      <c r="N2830" s="4">
        <f>IFERROR(__xludf.DUMMYFUNCTION("""COMPUTED_VALUE"""),0.74)</f>
        <v>0.74</v>
      </c>
      <c r="O2830" s="4">
        <f>IFERROR(__xludf.DUMMYFUNCTION("""COMPUTED_VALUE"""),34.3)</f>
        <v>34.3</v>
      </c>
      <c r="P2830" s="4">
        <f>IFERROR(__xludf.DUMMYFUNCTION("""COMPUTED_VALUE"""),21.0)</f>
        <v>21</v>
      </c>
      <c r="Q2830" s="4">
        <f>IFERROR(__xludf.DUMMYFUNCTION("""COMPUTED_VALUE"""),9.8)</f>
        <v>9.8</v>
      </c>
      <c r="R2830" s="4">
        <f>IFERROR(__xludf.DUMMYFUNCTION("""COMPUTED_VALUE"""),1.9)</f>
        <v>1.9</v>
      </c>
      <c r="S2830" s="4">
        <f>IFERROR(__xludf.DUMMYFUNCTION("""COMPUTED_VALUE"""),126.4)</f>
        <v>126.4</v>
      </c>
      <c r="T2830" s="4">
        <f>IFERROR(__xludf.DUMMYFUNCTION("""COMPUTED_VALUE"""),0.15)</f>
        <v>0.15</v>
      </c>
      <c r="U2830" s="4">
        <f>IFERROR(__xludf.DUMMYFUNCTION("""COMPUTED_VALUE"""),2.9)</f>
        <v>2.9</v>
      </c>
      <c r="V2830" s="4">
        <f>IFERROR(__xludf.DUMMYFUNCTION("""COMPUTED_VALUE"""),50.1)</f>
        <v>50.1</v>
      </c>
    </row>
    <row r="2831">
      <c r="A2831" s="4">
        <f>IFERROR(__xludf.DUMMYFUNCTION("""COMPUTED_VALUE"""),2.0)</f>
        <v>2</v>
      </c>
      <c r="B2831" s="4">
        <f>IFERROR(__xludf.DUMMYFUNCTION("""COMPUTED_VALUE"""),2.0)</f>
        <v>2</v>
      </c>
      <c r="C2831" s="4" t="str">
        <f>IFERROR(__xludf.DUMMYFUNCTION("""COMPUTED_VALUE"""),"IND")</f>
        <v>IND</v>
      </c>
      <c r="D2831" s="4" t="str">
        <f>IFERROR(__xludf.DUMMYFUNCTION("""COMPUTED_VALUE"""),"Wayman Tisdale")</f>
        <v>Wayman Tisdale</v>
      </c>
      <c r="E2831" s="4" t="str">
        <f>IFERROR(__xludf.DUMMYFUNCTION("""COMPUTED_VALUE"""),"Oklahoma")</f>
        <v>Oklahoma</v>
      </c>
      <c r="F2831" s="4">
        <f>IFERROR(__xludf.DUMMYFUNCTION("""COMPUTED_VALUE"""),12.0)</f>
        <v>12</v>
      </c>
      <c r="G2831" s="4">
        <f>IFERROR(__xludf.DUMMYFUNCTION("""COMPUTED_VALUE"""),840.0)</f>
        <v>840</v>
      </c>
      <c r="H2831" s="4">
        <f>IFERROR(__xludf.DUMMYFUNCTION("""COMPUTED_VALUE"""),23868.0)</f>
        <v>23868</v>
      </c>
      <c r="I2831" s="4">
        <f>IFERROR(__xludf.DUMMYFUNCTION("""COMPUTED_VALUE"""),12878.0)</f>
        <v>12878</v>
      </c>
      <c r="J2831" s="4">
        <f>IFERROR(__xludf.DUMMYFUNCTION("""COMPUTED_VALUE"""),5117.0)</f>
        <v>5117</v>
      </c>
      <c r="K2831" s="4">
        <f>IFERROR(__xludf.DUMMYFUNCTION("""COMPUTED_VALUE"""),1077.0)</f>
        <v>1077</v>
      </c>
      <c r="L2831" s="4">
        <f>IFERROR(__xludf.DUMMYFUNCTION("""COMPUTED_VALUE"""),0.505)</f>
        <v>0.505</v>
      </c>
      <c r="M2831" s="4">
        <f>IFERROR(__xludf.DUMMYFUNCTION("""COMPUTED_VALUE"""),0.0)</f>
        <v>0</v>
      </c>
      <c r="N2831" s="4">
        <f>IFERROR(__xludf.DUMMYFUNCTION("""COMPUTED_VALUE"""),0.76)</f>
        <v>0.76</v>
      </c>
      <c r="O2831" s="4">
        <f>IFERROR(__xludf.DUMMYFUNCTION("""COMPUTED_VALUE"""),28.4)</f>
        <v>28.4</v>
      </c>
      <c r="P2831" s="4">
        <f>IFERROR(__xludf.DUMMYFUNCTION("""COMPUTED_VALUE"""),15.3)</f>
        <v>15.3</v>
      </c>
      <c r="Q2831" s="4">
        <f>IFERROR(__xludf.DUMMYFUNCTION("""COMPUTED_VALUE"""),6.1)</f>
        <v>6.1</v>
      </c>
      <c r="R2831" s="4">
        <f>IFERROR(__xludf.DUMMYFUNCTION("""COMPUTED_VALUE"""),1.3)</f>
        <v>1.3</v>
      </c>
      <c r="S2831" s="4">
        <f>IFERROR(__xludf.DUMMYFUNCTION("""COMPUTED_VALUE"""),45.7)</f>
        <v>45.7</v>
      </c>
      <c r="T2831" s="4">
        <f>IFERROR(__xludf.DUMMYFUNCTION("""COMPUTED_VALUE"""),0.092)</f>
        <v>0.092</v>
      </c>
      <c r="U2831" s="4">
        <f>IFERROR(__xludf.DUMMYFUNCTION("""COMPUTED_VALUE"""),-1.6)</f>
        <v>-1.6</v>
      </c>
      <c r="V2831" s="4">
        <f>IFERROR(__xludf.DUMMYFUNCTION("""COMPUTED_VALUE"""),2.3)</f>
        <v>2.3</v>
      </c>
    </row>
    <row r="2832">
      <c r="A2832" s="4">
        <f>IFERROR(__xludf.DUMMYFUNCTION("""COMPUTED_VALUE"""),3.0)</f>
        <v>3</v>
      </c>
      <c r="B2832" s="4">
        <f>IFERROR(__xludf.DUMMYFUNCTION("""COMPUTED_VALUE"""),3.0)</f>
        <v>3</v>
      </c>
      <c r="C2832" s="4" t="str">
        <f>IFERROR(__xludf.DUMMYFUNCTION("""COMPUTED_VALUE"""),"LAC")</f>
        <v>LAC</v>
      </c>
      <c r="D2832" s="4" t="str">
        <f>IFERROR(__xludf.DUMMYFUNCTION("""COMPUTED_VALUE"""),"Benoit Benjamin")</f>
        <v>Benoit Benjamin</v>
      </c>
      <c r="E2832" s="4" t="str">
        <f>IFERROR(__xludf.DUMMYFUNCTION("""COMPUTED_VALUE"""),"Creighton")</f>
        <v>Creighton</v>
      </c>
      <c r="F2832" s="4">
        <f>IFERROR(__xludf.DUMMYFUNCTION("""COMPUTED_VALUE"""),15.0)</f>
        <v>15</v>
      </c>
      <c r="G2832" s="4">
        <f>IFERROR(__xludf.DUMMYFUNCTION("""COMPUTED_VALUE"""),807.0)</f>
        <v>807</v>
      </c>
      <c r="H2832" s="4">
        <f>IFERROR(__xludf.DUMMYFUNCTION("""COMPUTED_VALUE"""),21911.0)</f>
        <v>21911</v>
      </c>
      <c r="I2832" s="4">
        <f>IFERROR(__xludf.DUMMYFUNCTION("""COMPUTED_VALUE"""),9223.0)</f>
        <v>9223</v>
      </c>
      <c r="J2832" s="4">
        <f>IFERROR(__xludf.DUMMYFUNCTION("""COMPUTED_VALUE"""),6063.0)</f>
        <v>6063</v>
      </c>
      <c r="K2832" s="4">
        <f>IFERROR(__xludf.DUMMYFUNCTION("""COMPUTED_VALUE"""),1070.0)</f>
        <v>1070</v>
      </c>
      <c r="L2832" s="4">
        <f>IFERROR(__xludf.DUMMYFUNCTION("""COMPUTED_VALUE"""),0.497)</f>
        <v>0.497</v>
      </c>
      <c r="M2832" s="4">
        <f>IFERROR(__xludf.DUMMYFUNCTION("""COMPUTED_VALUE"""),0.048)</f>
        <v>0.048</v>
      </c>
      <c r="N2832" s="4">
        <f>IFERROR(__xludf.DUMMYFUNCTION("""COMPUTED_VALUE"""),0.721)</f>
        <v>0.721</v>
      </c>
      <c r="O2832" s="4">
        <f>IFERROR(__xludf.DUMMYFUNCTION("""COMPUTED_VALUE"""),27.2)</f>
        <v>27.2</v>
      </c>
      <c r="P2832" s="4">
        <f>IFERROR(__xludf.DUMMYFUNCTION("""COMPUTED_VALUE"""),11.4)</f>
        <v>11.4</v>
      </c>
      <c r="Q2832" s="4">
        <f>IFERROR(__xludf.DUMMYFUNCTION("""COMPUTED_VALUE"""),7.5)</f>
        <v>7.5</v>
      </c>
      <c r="R2832" s="4">
        <f>IFERROR(__xludf.DUMMYFUNCTION("""COMPUTED_VALUE"""),1.3)</f>
        <v>1.3</v>
      </c>
      <c r="S2832" s="4">
        <f>IFERROR(__xludf.DUMMYFUNCTION("""COMPUTED_VALUE"""),32.7)</f>
        <v>32.7</v>
      </c>
      <c r="T2832" s="4">
        <f>IFERROR(__xludf.DUMMYFUNCTION("""COMPUTED_VALUE"""),0.072)</f>
        <v>0.072</v>
      </c>
      <c r="U2832" s="4">
        <f>IFERROR(__xludf.DUMMYFUNCTION("""COMPUTED_VALUE"""),-1.1)</f>
        <v>-1.1</v>
      </c>
      <c r="V2832" s="4">
        <f>IFERROR(__xludf.DUMMYFUNCTION("""COMPUTED_VALUE"""),4.8)</f>
        <v>4.8</v>
      </c>
    </row>
    <row r="2833">
      <c r="A2833" s="4">
        <f>IFERROR(__xludf.DUMMYFUNCTION("""COMPUTED_VALUE"""),4.0)</f>
        <v>4</v>
      </c>
      <c r="B2833" s="4">
        <f>IFERROR(__xludf.DUMMYFUNCTION("""COMPUTED_VALUE"""),4.0)</f>
        <v>4</v>
      </c>
      <c r="C2833" s="4" t="str">
        <f>IFERROR(__xludf.DUMMYFUNCTION("""COMPUTED_VALUE"""),"SEA")</f>
        <v>SEA</v>
      </c>
      <c r="D2833" s="4" t="str">
        <f>IFERROR(__xludf.DUMMYFUNCTION("""COMPUTED_VALUE"""),"Xavier McDaniel")</f>
        <v>Xavier McDaniel</v>
      </c>
      <c r="E2833" s="4" t="str">
        <f>IFERROR(__xludf.DUMMYFUNCTION("""COMPUTED_VALUE"""),"Wichita State")</f>
        <v>Wichita State</v>
      </c>
      <c r="F2833" s="4">
        <f>IFERROR(__xludf.DUMMYFUNCTION("""COMPUTED_VALUE"""),12.0)</f>
        <v>12</v>
      </c>
      <c r="G2833" s="4">
        <f>IFERROR(__xludf.DUMMYFUNCTION("""COMPUTED_VALUE"""),870.0)</f>
        <v>870</v>
      </c>
      <c r="H2833" s="4">
        <f>IFERROR(__xludf.DUMMYFUNCTION("""COMPUTED_VALUE"""),25201.0)</f>
        <v>25201</v>
      </c>
      <c r="I2833" s="4">
        <f>IFERROR(__xludf.DUMMYFUNCTION("""COMPUTED_VALUE"""),13606.0)</f>
        <v>13606</v>
      </c>
      <c r="J2833" s="4">
        <f>IFERROR(__xludf.DUMMYFUNCTION("""COMPUTED_VALUE"""),5313.0)</f>
        <v>5313</v>
      </c>
      <c r="K2833" s="4">
        <f>IFERROR(__xludf.DUMMYFUNCTION("""COMPUTED_VALUE"""),1775.0)</f>
        <v>1775</v>
      </c>
      <c r="L2833" s="4">
        <f>IFERROR(__xludf.DUMMYFUNCTION("""COMPUTED_VALUE"""),0.485)</f>
        <v>0.485</v>
      </c>
      <c r="M2833" s="4">
        <f>IFERROR(__xludf.DUMMYFUNCTION("""COMPUTED_VALUE"""),0.261)</f>
        <v>0.261</v>
      </c>
      <c r="N2833" s="4">
        <f>IFERROR(__xludf.DUMMYFUNCTION("""COMPUTED_VALUE"""),0.718)</f>
        <v>0.718</v>
      </c>
      <c r="O2833" s="4">
        <f>IFERROR(__xludf.DUMMYFUNCTION("""COMPUTED_VALUE"""),29.0)</f>
        <v>29</v>
      </c>
      <c r="P2833" s="4">
        <f>IFERROR(__xludf.DUMMYFUNCTION("""COMPUTED_VALUE"""),15.6)</f>
        <v>15.6</v>
      </c>
      <c r="Q2833" s="4">
        <f>IFERROR(__xludf.DUMMYFUNCTION("""COMPUTED_VALUE"""),6.1)</f>
        <v>6.1</v>
      </c>
      <c r="R2833" s="4">
        <f>IFERROR(__xludf.DUMMYFUNCTION("""COMPUTED_VALUE"""),2.0)</f>
        <v>2</v>
      </c>
      <c r="S2833" s="4">
        <f>IFERROR(__xludf.DUMMYFUNCTION("""COMPUTED_VALUE"""),47.8)</f>
        <v>47.8</v>
      </c>
      <c r="T2833" s="4">
        <f>IFERROR(__xludf.DUMMYFUNCTION("""COMPUTED_VALUE"""),0.091)</f>
        <v>0.091</v>
      </c>
      <c r="U2833" s="4">
        <f>IFERROR(__xludf.DUMMYFUNCTION("""COMPUTED_VALUE"""),-0.5)</f>
        <v>-0.5</v>
      </c>
      <c r="V2833" s="4">
        <f>IFERROR(__xludf.DUMMYFUNCTION("""COMPUTED_VALUE"""),9.6)</f>
        <v>9.6</v>
      </c>
    </row>
    <row r="2834">
      <c r="A2834" s="4">
        <f>IFERROR(__xludf.DUMMYFUNCTION("""COMPUTED_VALUE"""),5.0)</f>
        <v>5</v>
      </c>
      <c r="B2834" s="4">
        <f>IFERROR(__xludf.DUMMYFUNCTION("""COMPUTED_VALUE"""),5.0)</f>
        <v>5</v>
      </c>
      <c r="C2834" s="4" t="str">
        <f>IFERROR(__xludf.DUMMYFUNCTION("""COMPUTED_VALUE"""),"ATL")</f>
        <v>ATL</v>
      </c>
      <c r="D2834" s="4" t="str">
        <f>IFERROR(__xludf.DUMMYFUNCTION("""COMPUTED_VALUE"""),"Jon Koncak")</f>
        <v>Jon Koncak</v>
      </c>
      <c r="E2834" s="4" t="str">
        <f>IFERROR(__xludf.DUMMYFUNCTION("""COMPUTED_VALUE"""),"SMU")</f>
        <v>SMU</v>
      </c>
      <c r="F2834" s="4">
        <f>IFERROR(__xludf.DUMMYFUNCTION("""COMPUTED_VALUE"""),11.0)</f>
        <v>11</v>
      </c>
      <c r="G2834" s="4">
        <f>IFERROR(__xludf.DUMMYFUNCTION("""COMPUTED_VALUE"""),784.0)</f>
        <v>784</v>
      </c>
      <c r="H2834" s="4">
        <f>IFERROR(__xludf.DUMMYFUNCTION("""COMPUTED_VALUE"""),16409.0)</f>
        <v>16409</v>
      </c>
      <c r="I2834" s="4">
        <f>IFERROR(__xludf.DUMMYFUNCTION("""COMPUTED_VALUE"""),3520.0)</f>
        <v>3520</v>
      </c>
      <c r="J2834" s="4">
        <f>IFERROR(__xludf.DUMMYFUNCTION("""COMPUTED_VALUE"""),3856.0)</f>
        <v>3856</v>
      </c>
      <c r="K2834" s="4">
        <f>IFERROR(__xludf.DUMMYFUNCTION("""COMPUTED_VALUE"""),785.0)</f>
        <v>785</v>
      </c>
      <c r="L2834" s="4">
        <f>IFERROR(__xludf.DUMMYFUNCTION("""COMPUTED_VALUE"""),0.47)</f>
        <v>0.47</v>
      </c>
      <c r="M2834" s="4">
        <f>IFERROR(__xludf.DUMMYFUNCTION("""COMPUTED_VALUE"""),0.226)</f>
        <v>0.226</v>
      </c>
      <c r="N2834" s="4">
        <f>IFERROR(__xludf.DUMMYFUNCTION("""COMPUTED_VALUE"""),0.597)</f>
        <v>0.597</v>
      </c>
      <c r="O2834" s="4">
        <f>IFERROR(__xludf.DUMMYFUNCTION("""COMPUTED_VALUE"""),20.9)</f>
        <v>20.9</v>
      </c>
      <c r="P2834" s="4">
        <f>IFERROR(__xludf.DUMMYFUNCTION("""COMPUTED_VALUE"""),4.5)</f>
        <v>4.5</v>
      </c>
      <c r="Q2834" s="4">
        <f>IFERROR(__xludf.DUMMYFUNCTION("""COMPUTED_VALUE"""),4.9)</f>
        <v>4.9</v>
      </c>
      <c r="R2834" s="4">
        <f>IFERROR(__xludf.DUMMYFUNCTION("""COMPUTED_VALUE"""),1.0)</f>
        <v>1</v>
      </c>
      <c r="S2834" s="4">
        <f>IFERROR(__xludf.DUMMYFUNCTION("""COMPUTED_VALUE"""),29.2)</f>
        <v>29.2</v>
      </c>
      <c r="T2834" s="4">
        <f>IFERROR(__xludf.DUMMYFUNCTION("""COMPUTED_VALUE"""),0.085)</f>
        <v>0.085</v>
      </c>
      <c r="U2834" s="4">
        <f>IFERROR(__xludf.DUMMYFUNCTION("""COMPUTED_VALUE"""),-1.2)</f>
        <v>-1.2</v>
      </c>
      <c r="V2834" s="4">
        <f>IFERROR(__xludf.DUMMYFUNCTION("""COMPUTED_VALUE"""),3.3)</f>
        <v>3.3</v>
      </c>
    </row>
    <row r="2835">
      <c r="A2835" s="4">
        <f>IFERROR(__xludf.DUMMYFUNCTION("""COMPUTED_VALUE"""),6.0)</f>
        <v>6</v>
      </c>
      <c r="B2835" s="4">
        <f>IFERROR(__xludf.DUMMYFUNCTION("""COMPUTED_VALUE"""),6.0)</f>
        <v>6</v>
      </c>
      <c r="C2835" s="4" t="str">
        <f>IFERROR(__xludf.DUMMYFUNCTION("""COMPUTED_VALUE"""),"SAC")</f>
        <v>SAC</v>
      </c>
      <c r="D2835" s="4" t="str">
        <f>IFERROR(__xludf.DUMMYFUNCTION("""COMPUTED_VALUE"""),"Joe Kleine")</f>
        <v>Joe Kleine</v>
      </c>
      <c r="E2835" s="4" t="str">
        <f>IFERROR(__xludf.DUMMYFUNCTION("""COMPUTED_VALUE"""),"Arkansas")</f>
        <v>Arkansas</v>
      </c>
      <c r="F2835" s="4">
        <f>IFERROR(__xludf.DUMMYFUNCTION("""COMPUTED_VALUE"""),15.0)</f>
        <v>15</v>
      </c>
      <c r="G2835" s="4">
        <f>IFERROR(__xludf.DUMMYFUNCTION("""COMPUTED_VALUE"""),965.0)</f>
        <v>965</v>
      </c>
      <c r="H2835" s="4">
        <f>IFERROR(__xludf.DUMMYFUNCTION("""COMPUTED_VALUE"""),14712.0)</f>
        <v>14712</v>
      </c>
      <c r="I2835" s="4">
        <f>IFERROR(__xludf.DUMMYFUNCTION("""COMPUTED_VALUE"""),4666.0)</f>
        <v>4666</v>
      </c>
      <c r="J2835" s="4">
        <f>IFERROR(__xludf.DUMMYFUNCTION("""COMPUTED_VALUE"""),3991.0)</f>
        <v>3991</v>
      </c>
      <c r="K2835" s="4">
        <f>IFERROR(__xludf.DUMMYFUNCTION("""COMPUTED_VALUE"""),622.0)</f>
        <v>622</v>
      </c>
      <c r="L2835" s="4">
        <f>IFERROR(__xludf.DUMMYFUNCTION("""COMPUTED_VALUE"""),0.453)</f>
        <v>0.453</v>
      </c>
      <c r="M2835" s="4">
        <f>IFERROR(__xludf.DUMMYFUNCTION("""COMPUTED_VALUE"""),0.271)</f>
        <v>0.271</v>
      </c>
      <c r="N2835" s="4">
        <f>IFERROR(__xludf.DUMMYFUNCTION("""COMPUTED_VALUE"""),0.794)</f>
        <v>0.794</v>
      </c>
      <c r="O2835" s="4">
        <f>IFERROR(__xludf.DUMMYFUNCTION("""COMPUTED_VALUE"""),15.2)</f>
        <v>15.2</v>
      </c>
      <c r="P2835" s="4">
        <f>IFERROR(__xludf.DUMMYFUNCTION("""COMPUTED_VALUE"""),4.8)</f>
        <v>4.8</v>
      </c>
      <c r="Q2835" s="4">
        <f>IFERROR(__xludf.DUMMYFUNCTION("""COMPUTED_VALUE"""),4.1)</f>
        <v>4.1</v>
      </c>
      <c r="R2835" s="4">
        <f>IFERROR(__xludf.DUMMYFUNCTION("""COMPUTED_VALUE"""),0.6)</f>
        <v>0.6</v>
      </c>
      <c r="S2835" s="4">
        <f>IFERROR(__xludf.DUMMYFUNCTION("""COMPUTED_VALUE"""),19.1)</f>
        <v>19.1</v>
      </c>
      <c r="T2835" s="4">
        <f>IFERROR(__xludf.DUMMYFUNCTION("""COMPUTED_VALUE"""),0.062)</f>
        <v>0.062</v>
      </c>
      <c r="U2835" s="4">
        <f>IFERROR(__xludf.DUMMYFUNCTION("""COMPUTED_VALUE"""),-3.9)</f>
        <v>-3.9</v>
      </c>
      <c r="V2835" s="4">
        <f>IFERROR(__xludf.DUMMYFUNCTION("""COMPUTED_VALUE"""),-7.0)</f>
        <v>-7</v>
      </c>
    </row>
    <row r="2836">
      <c r="A2836" s="4">
        <f>IFERROR(__xludf.DUMMYFUNCTION("""COMPUTED_VALUE"""),7.0)</f>
        <v>7</v>
      </c>
      <c r="B2836" s="4">
        <f>IFERROR(__xludf.DUMMYFUNCTION("""COMPUTED_VALUE"""),7.0)</f>
        <v>7</v>
      </c>
      <c r="C2836" s="4" t="str">
        <f>IFERROR(__xludf.DUMMYFUNCTION("""COMPUTED_VALUE"""),"GSW")</f>
        <v>GSW</v>
      </c>
      <c r="D2836" s="4" t="str">
        <f>IFERROR(__xludf.DUMMYFUNCTION("""COMPUTED_VALUE"""),"Chris Mullin")</f>
        <v>Chris Mullin</v>
      </c>
      <c r="E2836" s="4" t="str">
        <f>IFERROR(__xludf.DUMMYFUNCTION("""COMPUTED_VALUE"""),"St. John's")</f>
        <v>St. John's</v>
      </c>
      <c r="F2836" s="4">
        <f>IFERROR(__xludf.DUMMYFUNCTION("""COMPUTED_VALUE"""),16.0)</f>
        <v>16</v>
      </c>
      <c r="G2836" s="4">
        <f>IFERROR(__xludf.DUMMYFUNCTION("""COMPUTED_VALUE"""),986.0)</f>
        <v>986</v>
      </c>
      <c r="H2836" s="4">
        <f>IFERROR(__xludf.DUMMYFUNCTION("""COMPUTED_VALUE"""),32163.0)</f>
        <v>32163</v>
      </c>
      <c r="I2836" s="4">
        <f>IFERROR(__xludf.DUMMYFUNCTION("""COMPUTED_VALUE"""),17911.0)</f>
        <v>17911</v>
      </c>
      <c r="J2836" s="4">
        <f>IFERROR(__xludf.DUMMYFUNCTION("""COMPUTED_VALUE"""),4034.0)</f>
        <v>4034</v>
      </c>
      <c r="K2836" s="4">
        <f>IFERROR(__xludf.DUMMYFUNCTION("""COMPUTED_VALUE"""),3450.0)</f>
        <v>3450</v>
      </c>
      <c r="L2836" s="4">
        <f>IFERROR(__xludf.DUMMYFUNCTION("""COMPUTED_VALUE"""),0.509)</f>
        <v>0.509</v>
      </c>
      <c r="M2836" s="4">
        <f>IFERROR(__xludf.DUMMYFUNCTION("""COMPUTED_VALUE"""),0.384)</f>
        <v>0.384</v>
      </c>
      <c r="N2836" s="4">
        <f>IFERROR(__xludf.DUMMYFUNCTION("""COMPUTED_VALUE"""),0.865)</f>
        <v>0.865</v>
      </c>
      <c r="O2836" s="4">
        <f>IFERROR(__xludf.DUMMYFUNCTION("""COMPUTED_VALUE"""),32.6)</f>
        <v>32.6</v>
      </c>
      <c r="P2836" s="4">
        <f>IFERROR(__xludf.DUMMYFUNCTION("""COMPUTED_VALUE"""),18.2)</f>
        <v>18.2</v>
      </c>
      <c r="Q2836" s="4">
        <f>IFERROR(__xludf.DUMMYFUNCTION("""COMPUTED_VALUE"""),4.1)</f>
        <v>4.1</v>
      </c>
      <c r="R2836" s="4">
        <f>IFERROR(__xludf.DUMMYFUNCTION("""COMPUTED_VALUE"""),3.5)</f>
        <v>3.5</v>
      </c>
      <c r="S2836" s="4">
        <f>IFERROR(__xludf.DUMMYFUNCTION("""COMPUTED_VALUE"""),93.1)</f>
        <v>93.1</v>
      </c>
      <c r="T2836" s="4">
        <f>IFERROR(__xludf.DUMMYFUNCTION("""COMPUTED_VALUE"""),0.139)</f>
        <v>0.139</v>
      </c>
      <c r="U2836" s="4">
        <f>IFERROR(__xludf.DUMMYFUNCTION("""COMPUTED_VALUE"""),3.1)</f>
        <v>3.1</v>
      </c>
      <c r="V2836" s="4">
        <f>IFERROR(__xludf.DUMMYFUNCTION("""COMPUTED_VALUE"""),41.6)</f>
        <v>41.6</v>
      </c>
    </row>
    <row r="2837">
      <c r="A2837" s="4">
        <f>IFERROR(__xludf.DUMMYFUNCTION("""COMPUTED_VALUE"""),8.0)</f>
        <v>8</v>
      </c>
      <c r="B2837" s="4">
        <f>IFERROR(__xludf.DUMMYFUNCTION("""COMPUTED_VALUE"""),8.0)</f>
        <v>8</v>
      </c>
      <c r="C2837" s="4" t="str">
        <f>IFERROR(__xludf.DUMMYFUNCTION("""COMPUTED_VALUE"""),"DAL")</f>
        <v>DAL</v>
      </c>
      <c r="D2837" s="4" t="str">
        <f>IFERROR(__xludf.DUMMYFUNCTION("""COMPUTED_VALUE"""),"Detlef Schrempf")</f>
        <v>Detlef Schrempf</v>
      </c>
      <c r="E2837" s="4" t="str">
        <f>IFERROR(__xludf.DUMMYFUNCTION("""COMPUTED_VALUE"""),"Washington")</f>
        <v>Washington</v>
      </c>
      <c r="F2837" s="4">
        <f>IFERROR(__xludf.DUMMYFUNCTION("""COMPUTED_VALUE"""),16.0)</f>
        <v>16</v>
      </c>
      <c r="G2837" s="4">
        <f>IFERROR(__xludf.DUMMYFUNCTION("""COMPUTED_VALUE"""),1136.0)</f>
        <v>1136</v>
      </c>
      <c r="H2837" s="4">
        <f>IFERROR(__xludf.DUMMYFUNCTION("""COMPUTED_VALUE"""),33597.0)</f>
        <v>33597</v>
      </c>
      <c r="I2837" s="4">
        <f>IFERROR(__xludf.DUMMYFUNCTION("""COMPUTED_VALUE"""),15761.0)</f>
        <v>15761</v>
      </c>
      <c r="J2837" s="4">
        <f>IFERROR(__xludf.DUMMYFUNCTION("""COMPUTED_VALUE"""),7023.0)</f>
        <v>7023</v>
      </c>
      <c r="K2837" s="4">
        <f>IFERROR(__xludf.DUMMYFUNCTION("""COMPUTED_VALUE"""),3833.0)</f>
        <v>3833</v>
      </c>
      <c r="L2837" s="4">
        <f>IFERROR(__xludf.DUMMYFUNCTION("""COMPUTED_VALUE"""),0.491)</f>
        <v>0.491</v>
      </c>
      <c r="M2837" s="4">
        <f>IFERROR(__xludf.DUMMYFUNCTION("""COMPUTED_VALUE"""),0.384)</f>
        <v>0.384</v>
      </c>
      <c r="N2837" s="4">
        <f>IFERROR(__xludf.DUMMYFUNCTION("""COMPUTED_VALUE"""),0.803)</f>
        <v>0.803</v>
      </c>
      <c r="O2837" s="4">
        <f>IFERROR(__xludf.DUMMYFUNCTION("""COMPUTED_VALUE"""),29.6)</f>
        <v>29.6</v>
      </c>
      <c r="P2837" s="4">
        <f>IFERROR(__xludf.DUMMYFUNCTION("""COMPUTED_VALUE"""),13.9)</f>
        <v>13.9</v>
      </c>
      <c r="Q2837" s="4">
        <f>IFERROR(__xludf.DUMMYFUNCTION("""COMPUTED_VALUE"""),6.2)</f>
        <v>6.2</v>
      </c>
      <c r="R2837" s="4">
        <f>IFERROR(__xludf.DUMMYFUNCTION("""COMPUTED_VALUE"""),3.4)</f>
        <v>3.4</v>
      </c>
      <c r="S2837" s="4">
        <f>IFERROR(__xludf.DUMMYFUNCTION("""COMPUTED_VALUE"""),109.5)</f>
        <v>109.5</v>
      </c>
      <c r="T2837" s="4">
        <f>IFERROR(__xludf.DUMMYFUNCTION("""COMPUTED_VALUE"""),0.156)</f>
        <v>0.156</v>
      </c>
      <c r="U2837" s="4">
        <f>IFERROR(__xludf.DUMMYFUNCTION("""COMPUTED_VALUE"""),1.8)</f>
        <v>1.8</v>
      </c>
      <c r="V2837" s="4">
        <f>IFERROR(__xludf.DUMMYFUNCTION("""COMPUTED_VALUE"""),32.4)</f>
        <v>32.4</v>
      </c>
    </row>
    <row r="2838">
      <c r="A2838" s="4">
        <f>IFERROR(__xludf.DUMMYFUNCTION("""COMPUTED_VALUE"""),9.0)</f>
        <v>9</v>
      </c>
      <c r="B2838" s="4">
        <f>IFERROR(__xludf.DUMMYFUNCTION("""COMPUTED_VALUE"""),9.0)</f>
        <v>9</v>
      </c>
      <c r="C2838" s="4" t="str">
        <f>IFERROR(__xludf.DUMMYFUNCTION("""COMPUTED_VALUE"""),"CLE")</f>
        <v>CLE</v>
      </c>
      <c r="D2838" s="4" t="str">
        <f>IFERROR(__xludf.DUMMYFUNCTION("""COMPUTED_VALUE"""),"Charles Oakley")</f>
        <v>Charles Oakley</v>
      </c>
      <c r="E2838" s="4" t="str">
        <f>IFERROR(__xludf.DUMMYFUNCTION("""COMPUTED_VALUE"""),"Virginia Union University")</f>
        <v>Virginia Union University</v>
      </c>
      <c r="F2838" s="4">
        <f>IFERROR(__xludf.DUMMYFUNCTION("""COMPUTED_VALUE"""),19.0)</f>
        <v>19</v>
      </c>
      <c r="G2838" s="4">
        <f>IFERROR(__xludf.DUMMYFUNCTION("""COMPUTED_VALUE"""),1282.0)</f>
        <v>1282</v>
      </c>
      <c r="H2838" s="4">
        <f>IFERROR(__xludf.DUMMYFUNCTION("""COMPUTED_VALUE"""),40280.0)</f>
        <v>40280</v>
      </c>
      <c r="I2838" s="4">
        <f>IFERROR(__xludf.DUMMYFUNCTION("""COMPUTED_VALUE"""),12417.0)</f>
        <v>12417</v>
      </c>
      <c r="J2838" s="4">
        <f>IFERROR(__xludf.DUMMYFUNCTION("""COMPUTED_VALUE"""),12205.0)</f>
        <v>12205</v>
      </c>
      <c r="K2838" s="4">
        <f>IFERROR(__xludf.DUMMYFUNCTION("""COMPUTED_VALUE"""),3217.0)</f>
        <v>3217</v>
      </c>
      <c r="L2838" s="4">
        <f>IFERROR(__xludf.DUMMYFUNCTION("""COMPUTED_VALUE"""),0.471)</f>
        <v>0.471</v>
      </c>
      <c r="M2838" s="4">
        <f>IFERROR(__xludf.DUMMYFUNCTION("""COMPUTED_VALUE"""),0.253)</f>
        <v>0.253</v>
      </c>
      <c r="N2838" s="4">
        <f>IFERROR(__xludf.DUMMYFUNCTION("""COMPUTED_VALUE"""),0.761)</f>
        <v>0.761</v>
      </c>
      <c r="O2838" s="4">
        <f>IFERROR(__xludf.DUMMYFUNCTION("""COMPUTED_VALUE"""),31.4)</f>
        <v>31.4</v>
      </c>
      <c r="P2838" s="4">
        <f>IFERROR(__xludf.DUMMYFUNCTION("""COMPUTED_VALUE"""),9.7)</f>
        <v>9.7</v>
      </c>
      <c r="Q2838" s="4">
        <f>IFERROR(__xludf.DUMMYFUNCTION("""COMPUTED_VALUE"""),9.5)</f>
        <v>9.5</v>
      </c>
      <c r="R2838" s="4">
        <f>IFERROR(__xludf.DUMMYFUNCTION("""COMPUTED_VALUE"""),2.5)</f>
        <v>2.5</v>
      </c>
      <c r="S2838" s="4">
        <f>IFERROR(__xludf.DUMMYFUNCTION("""COMPUTED_VALUE"""),89.7)</f>
        <v>89.7</v>
      </c>
      <c r="T2838" s="4">
        <f>IFERROR(__xludf.DUMMYFUNCTION("""COMPUTED_VALUE"""),0.107)</f>
        <v>0.107</v>
      </c>
      <c r="U2838" s="4">
        <f>IFERROR(__xludf.DUMMYFUNCTION("""COMPUTED_VALUE"""),-0.5)</f>
        <v>-0.5</v>
      </c>
      <c r="V2838" s="4">
        <f>IFERROR(__xludf.DUMMYFUNCTION("""COMPUTED_VALUE"""),15.4)</f>
        <v>15.4</v>
      </c>
    </row>
    <row r="2839">
      <c r="A2839" s="4">
        <f>IFERROR(__xludf.DUMMYFUNCTION("""COMPUTED_VALUE"""),10.0)</f>
        <v>10</v>
      </c>
      <c r="B2839" s="4">
        <f>IFERROR(__xludf.DUMMYFUNCTION("""COMPUTED_VALUE"""),10.0)</f>
        <v>10</v>
      </c>
      <c r="C2839" s="4" t="str">
        <f>IFERROR(__xludf.DUMMYFUNCTION("""COMPUTED_VALUE"""),"PHO")</f>
        <v>PHO</v>
      </c>
      <c r="D2839" s="4" t="str">
        <f>IFERROR(__xludf.DUMMYFUNCTION("""COMPUTED_VALUE"""),"Ed Pinckney")</f>
        <v>Ed Pinckney</v>
      </c>
      <c r="E2839" s="4" t="str">
        <f>IFERROR(__xludf.DUMMYFUNCTION("""COMPUTED_VALUE"""),"Villanova")</f>
        <v>Villanova</v>
      </c>
      <c r="F2839" s="4">
        <f>IFERROR(__xludf.DUMMYFUNCTION("""COMPUTED_VALUE"""),12.0)</f>
        <v>12</v>
      </c>
      <c r="G2839" s="4">
        <f>IFERROR(__xludf.DUMMYFUNCTION("""COMPUTED_VALUE"""),793.0)</f>
        <v>793</v>
      </c>
      <c r="H2839" s="4">
        <f>IFERROR(__xludf.DUMMYFUNCTION("""COMPUTED_VALUE"""),15698.0)</f>
        <v>15698</v>
      </c>
      <c r="I2839" s="4">
        <f>IFERROR(__xludf.DUMMYFUNCTION("""COMPUTED_VALUE"""),5378.0)</f>
        <v>5378</v>
      </c>
      <c r="J2839" s="4">
        <f>IFERROR(__xludf.DUMMYFUNCTION("""COMPUTED_VALUE"""),3952.0)</f>
        <v>3952</v>
      </c>
      <c r="K2839" s="4">
        <f>IFERROR(__xludf.DUMMYFUNCTION("""COMPUTED_VALUE"""),727.0)</f>
        <v>727</v>
      </c>
      <c r="L2839" s="4">
        <f>IFERROR(__xludf.DUMMYFUNCTION("""COMPUTED_VALUE"""),0.535)</f>
        <v>0.535</v>
      </c>
      <c r="M2839" s="4">
        <f>IFERROR(__xludf.DUMMYFUNCTION("""COMPUTED_VALUE"""),0.0)</f>
        <v>0</v>
      </c>
      <c r="N2839" s="4">
        <f>IFERROR(__xludf.DUMMYFUNCTION("""COMPUTED_VALUE"""),0.765)</f>
        <v>0.765</v>
      </c>
      <c r="O2839" s="4">
        <f>IFERROR(__xludf.DUMMYFUNCTION("""COMPUTED_VALUE"""),19.8)</f>
        <v>19.8</v>
      </c>
      <c r="P2839" s="4">
        <f>IFERROR(__xludf.DUMMYFUNCTION("""COMPUTED_VALUE"""),6.8)</f>
        <v>6.8</v>
      </c>
      <c r="Q2839" s="4">
        <f>IFERROR(__xludf.DUMMYFUNCTION("""COMPUTED_VALUE"""),5.0)</f>
        <v>5</v>
      </c>
      <c r="R2839" s="4">
        <f>IFERROR(__xludf.DUMMYFUNCTION("""COMPUTED_VALUE"""),0.9)</f>
        <v>0.9</v>
      </c>
      <c r="S2839" s="4">
        <f>IFERROR(__xludf.DUMMYFUNCTION("""COMPUTED_VALUE"""),42.7)</f>
        <v>42.7</v>
      </c>
      <c r="T2839" s="4">
        <f>IFERROR(__xludf.DUMMYFUNCTION("""COMPUTED_VALUE"""),0.13)</f>
        <v>0.13</v>
      </c>
      <c r="U2839" s="4">
        <f>IFERROR(__xludf.DUMMYFUNCTION("""COMPUTED_VALUE"""),0.3)</f>
        <v>0.3</v>
      </c>
      <c r="V2839" s="4">
        <f>IFERROR(__xludf.DUMMYFUNCTION("""COMPUTED_VALUE"""),9.2)</f>
        <v>9.2</v>
      </c>
    </row>
    <row r="2840">
      <c r="A2840" s="4">
        <f>IFERROR(__xludf.DUMMYFUNCTION("""COMPUTED_VALUE"""),11.0)</f>
        <v>11</v>
      </c>
      <c r="B2840" s="4">
        <f>IFERROR(__xludf.DUMMYFUNCTION("""COMPUTED_VALUE"""),11.0)</f>
        <v>11</v>
      </c>
      <c r="C2840" s="4" t="str">
        <f>IFERROR(__xludf.DUMMYFUNCTION("""COMPUTED_VALUE"""),"CHI")</f>
        <v>CHI</v>
      </c>
      <c r="D2840" s="4" t="str">
        <f>IFERROR(__xludf.DUMMYFUNCTION("""COMPUTED_VALUE"""),"Keith Lee")</f>
        <v>Keith Lee</v>
      </c>
      <c r="E2840" s="4" t="str">
        <f>IFERROR(__xludf.DUMMYFUNCTION("""COMPUTED_VALUE"""),"Memphis")</f>
        <v>Memphis</v>
      </c>
      <c r="F2840" s="4">
        <f>IFERROR(__xludf.DUMMYFUNCTION("""COMPUTED_VALUE"""),3.0)</f>
        <v>3</v>
      </c>
      <c r="G2840" s="4">
        <f>IFERROR(__xludf.DUMMYFUNCTION("""COMPUTED_VALUE"""),182.0)</f>
        <v>182</v>
      </c>
      <c r="H2840" s="4">
        <f>IFERROR(__xludf.DUMMYFUNCTION("""COMPUTED_VALUE"""),2907.0)</f>
        <v>2907</v>
      </c>
      <c r="I2840" s="4">
        <f>IFERROR(__xludf.DUMMYFUNCTION("""COMPUTED_VALUE"""),1114.0)</f>
        <v>1114</v>
      </c>
      <c r="J2840" s="4">
        <f>IFERROR(__xludf.DUMMYFUNCTION("""COMPUTED_VALUE"""),861.0)</f>
        <v>861</v>
      </c>
      <c r="K2840" s="4">
        <f>IFERROR(__xludf.DUMMYFUNCTION("""COMPUTED_VALUE"""),178.0)</f>
        <v>178</v>
      </c>
      <c r="L2840" s="4">
        <f>IFERROR(__xludf.DUMMYFUNCTION("""COMPUTED_VALUE"""),0.451)</f>
        <v>0.451</v>
      </c>
      <c r="M2840" s="4">
        <f>IFERROR(__xludf.DUMMYFUNCTION("""COMPUTED_VALUE"""),0.167)</f>
        <v>0.167</v>
      </c>
      <c r="N2840" s="4">
        <f>IFERROR(__xludf.DUMMYFUNCTION("""COMPUTED_VALUE"""),0.746)</f>
        <v>0.746</v>
      </c>
      <c r="O2840" s="4">
        <f>IFERROR(__xludf.DUMMYFUNCTION("""COMPUTED_VALUE"""),16.0)</f>
        <v>16</v>
      </c>
      <c r="P2840" s="4">
        <f>IFERROR(__xludf.DUMMYFUNCTION("""COMPUTED_VALUE"""),6.1)</f>
        <v>6.1</v>
      </c>
      <c r="Q2840" s="4">
        <f>IFERROR(__xludf.DUMMYFUNCTION("""COMPUTED_VALUE"""),4.7)</f>
        <v>4.7</v>
      </c>
      <c r="R2840" s="4">
        <f>IFERROR(__xludf.DUMMYFUNCTION("""COMPUTED_VALUE"""),1.0)</f>
        <v>1</v>
      </c>
      <c r="S2840" s="4">
        <f>IFERROR(__xludf.DUMMYFUNCTION("""COMPUTED_VALUE"""),3.7)</f>
        <v>3.7</v>
      </c>
      <c r="T2840" s="4">
        <f>IFERROR(__xludf.DUMMYFUNCTION("""COMPUTED_VALUE"""),0.062)</f>
        <v>0.062</v>
      </c>
      <c r="U2840" s="4">
        <f>IFERROR(__xludf.DUMMYFUNCTION("""COMPUTED_VALUE"""),-3.0)</f>
        <v>-3</v>
      </c>
      <c r="V2840" s="4">
        <f>IFERROR(__xludf.DUMMYFUNCTION("""COMPUTED_VALUE"""),-0.7)</f>
        <v>-0.7</v>
      </c>
    </row>
    <row r="2841">
      <c r="A2841" s="4">
        <f>IFERROR(__xludf.DUMMYFUNCTION("""COMPUTED_VALUE"""),12.0)</f>
        <v>12</v>
      </c>
      <c r="B2841" s="4">
        <f>IFERROR(__xludf.DUMMYFUNCTION("""COMPUTED_VALUE"""),12.0)</f>
        <v>12</v>
      </c>
      <c r="C2841" s="4" t="str">
        <f>IFERROR(__xludf.DUMMYFUNCTION("""COMPUTED_VALUE"""),"WSB")</f>
        <v>WSB</v>
      </c>
      <c r="D2841" s="4" t="str">
        <f>IFERROR(__xludf.DUMMYFUNCTION("""COMPUTED_VALUE"""),"Kenny Green")</f>
        <v>Kenny Green</v>
      </c>
      <c r="E2841" s="4" t="str">
        <f>IFERROR(__xludf.DUMMYFUNCTION("""COMPUTED_VALUE"""),"Wake Forest")</f>
        <v>Wake Forest</v>
      </c>
      <c r="F2841" s="4">
        <f>IFERROR(__xludf.DUMMYFUNCTION("""COMPUTED_VALUE"""),2.0)</f>
        <v>2</v>
      </c>
      <c r="G2841" s="4">
        <f>IFERROR(__xludf.DUMMYFUNCTION("""COMPUTED_VALUE"""),60.0)</f>
        <v>60</v>
      </c>
      <c r="H2841" s="4">
        <f>IFERROR(__xludf.DUMMYFUNCTION("""COMPUTED_VALUE"""),625.0)</f>
        <v>625</v>
      </c>
      <c r="I2841" s="4">
        <f>IFERROR(__xludf.DUMMYFUNCTION("""COMPUTED_VALUE"""),265.0)</f>
        <v>265</v>
      </c>
      <c r="J2841" s="4">
        <f>IFERROR(__xludf.DUMMYFUNCTION("""COMPUTED_VALUE"""),101.0)</f>
        <v>101</v>
      </c>
      <c r="K2841" s="4">
        <f>IFERROR(__xludf.DUMMYFUNCTION("""COMPUTED_VALUE"""),16.0)</f>
        <v>16</v>
      </c>
      <c r="L2841" s="4">
        <f>IFERROR(__xludf.DUMMYFUNCTION("""COMPUTED_VALUE"""),0.412)</f>
        <v>0.412</v>
      </c>
      <c r="M2841" s="4">
        <f>IFERROR(__xludf.DUMMYFUNCTION("""COMPUTED_VALUE"""),0.0)</f>
        <v>0</v>
      </c>
      <c r="N2841" s="4">
        <f>IFERROR(__xludf.DUMMYFUNCTION("""COMPUTED_VALUE"""),0.721)</f>
        <v>0.721</v>
      </c>
      <c r="O2841" s="4">
        <f>IFERROR(__xludf.DUMMYFUNCTION("""COMPUTED_VALUE"""),10.4)</f>
        <v>10.4</v>
      </c>
      <c r="P2841" s="4">
        <f>IFERROR(__xludf.DUMMYFUNCTION("""COMPUTED_VALUE"""),4.4)</f>
        <v>4.4</v>
      </c>
      <c r="Q2841" s="4">
        <f>IFERROR(__xludf.DUMMYFUNCTION("""COMPUTED_VALUE"""),1.7)</f>
        <v>1.7</v>
      </c>
      <c r="R2841" s="4">
        <f>IFERROR(__xludf.DUMMYFUNCTION("""COMPUTED_VALUE"""),0.3)</f>
        <v>0.3</v>
      </c>
      <c r="S2841" s="4">
        <f>IFERROR(__xludf.DUMMYFUNCTION("""COMPUTED_VALUE"""),-0.3)</f>
        <v>-0.3</v>
      </c>
      <c r="T2841" s="4">
        <f>IFERROR(__xludf.DUMMYFUNCTION("""COMPUTED_VALUE"""),-0.022)</f>
        <v>-0.022</v>
      </c>
      <c r="U2841" s="4">
        <f>IFERROR(__xludf.DUMMYFUNCTION("""COMPUTED_VALUE"""),-7.3)</f>
        <v>-7.3</v>
      </c>
      <c r="V2841" s="4">
        <f>IFERROR(__xludf.DUMMYFUNCTION("""COMPUTED_VALUE"""),-0.8)</f>
        <v>-0.8</v>
      </c>
    </row>
    <row r="2842">
      <c r="A2842" s="4">
        <f>IFERROR(__xludf.DUMMYFUNCTION("""COMPUTED_VALUE"""),13.0)</f>
        <v>13</v>
      </c>
      <c r="B2842" s="4">
        <f>IFERROR(__xludf.DUMMYFUNCTION("""COMPUTED_VALUE"""),13.0)</f>
        <v>13</v>
      </c>
      <c r="C2842" s="4" t="str">
        <f>IFERROR(__xludf.DUMMYFUNCTION("""COMPUTED_VALUE"""),"UTA")</f>
        <v>UTA</v>
      </c>
      <c r="D2842" s="4" t="str">
        <f>IFERROR(__xludf.DUMMYFUNCTION("""COMPUTED_VALUE"""),"Karl Malone")</f>
        <v>Karl Malone</v>
      </c>
      <c r="E2842" s="4" t="str">
        <f>IFERROR(__xludf.DUMMYFUNCTION("""COMPUTED_VALUE"""),"Louisiana Tech")</f>
        <v>Louisiana Tech</v>
      </c>
      <c r="F2842" s="4">
        <f>IFERROR(__xludf.DUMMYFUNCTION("""COMPUTED_VALUE"""),19.0)</f>
        <v>19</v>
      </c>
      <c r="G2842" s="4">
        <f>IFERROR(__xludf.DUMMYFUNCTION("""COMPUTED_VALUE"""),1476.0)</f>
        <v>1476</v>
      </c>
      <c r="H2842" s="4">
        <f>IFERROR(__xludf.DUMMYFUNCTION("""COMPUTED_VALUE"""),54852.0)</f>
        <v>54852</v>
      </c>
      <c r="I2842" s="4">
        <f>IFERROR(__xludf.DUMMYFUNCTION("""COMPUTED_VALUE"""),36928.0)</f>
        <v>36928</v>
      </c>
      <c r="J2842" s="4">
        <f>IFERROR(__xludf.DUMMYFUNCTION("""COMPUTED_VALUE"""),14968.0)</f>
        <v>14968</v>
      </c>
      <c r="K2842" s="4">
        <f>IFERROR(__xludf.DUMMYFUNCTION("""COMPUTED_VALUE"""),5248.0)</f>
        <v>5248</v>
      </c>
      <c r="L2842" s="4">
        <f>IFERROR(__xludf.DUMMYFUNCTION("""COMPUTED_VALUE"""),0.516)</f>
        <v>0.516</v>
      </c>
      <c r="M2842" s="4">
        <f>IFERROR(__xludf.DUMMYFUNCTION("""COMPUTED_VALUE"""),0.274)</f>
        <v>0.274</v>
      </c>
      <c r="N2842" s="4">
        <f>IFERROR(__xludf.DUMMYFUNCTION("""COMPUTED_VALUE"""),0.742)</f>
        <v>0.742</v>
      </c>
      <c r="O2842" s="4">
        <f>IFERROR(__xludf.DUMMYFUNCTION("""COMPUTED_VALUE"""),37.2)</f>
        <v>37.2</v>
      </c>
      <c r="P2842" s="4">
        <f>IFERROR(__xludf.DUMMYFUNCTION("""COMPUTED_VALUE"""),25.0)</f>
        <v>25</v>
      </c>
      <c r="Q2842" s="4">
        <f>IFERROR(__xludf.DUMMYFUNCTION("""COMPUTED_VALUE"""),10.1)</f>
        <v>10.1</v>
      </c>
      <c r="R2842" s="4">
        <f>IFERROR(__xludf.DUMMYFUNCTION("""COMPUTED_VALUE"""),3.6)</f>
        <v>3.6</v>
      </c>
      <c r="S2842" s="4">
        <f>IFERROR(__xludf.DUMMYFUNCTION("""COMPUTED_VALUE"""),234.6)</f>
        <v>234.6</v>
      </c>
      <c r="T2842" s="4">
        <f>IFERROR(__xludf.DUMMYFUNCTION("""COMPUTED_VALUE"""),0.205)</f>
        <v>0.205</v>
      </c>
      <c r="U2842" s="4">
        <f>IFERROR(__xludf.DUMMYFUNCTION("""COMPUTED_VALUE"""),5.1)</f>
        <v>5.1</v>
      </c>
      <c r="V2842" s="4">
        <f>IFERROR(__xludf.DUMMYFUNCTION("""COMPUTED_VALUE"""),99.0)</f>
        <v>99</v>
      </c>
    </row>
    <row r="2843">
      <c r="A2843" s="4">
        <f>IFERROR(__xludf.DUMMYFUNCTION("""COMPUTED_VALUE"""),14.0)</f>
        <v>14</v>
      </c>
      <c r="B2843" s="4">
        <f>IFERROR(__xludf.DUMMYFUNCTION("""COMPUTED_VALUE"""),14.0)</f>
        <v>14</v>
      </c>
      <c r="C2843" s="4" t="str">
        <f>IFERROR(__xludf.DUMMYFUNCTION("""COMPUTED_VALUE"""),"SAS")</f>
        <v>SAS</v>
      </c>
      <c r="D2843" s="4" t="str">
        <f>IFERROR(__xludf.DUMMYFUNCTION("""COMPUTED_VALUE"""),"Alfredrick Hughes")</f>
        <v>Alfredrick Hughes</v>
      </c>
      <c r="E2843" s="4" t="str">
        <f>IFERROR(__xludf.DUMMYFUNCTION("""COMPUTED_VALUE"""),"Loyola Chicago")</f>
        <v>Loyola Chicago</v>
      </c>
      <c r="F2843" s="4">
        <f>IFERROR(__xludf.DUMMYFUNCTION("""COMPUTED_VALUE"""),1.0)</f>
        <v>1</v>
      </c>
      <c r="G2843" s="4">
        <f>IFERROR(__xludf.DUMMYFUNCTION("""COMPUTED_VALUE"""),68.0)</f>
        <v>68</v>
      </c>
      <c r="H2843" s="4">
        <f>IFERROR(__xludf.DUMMYFUNCTION("""COMPUTED_VALUE"""),866.0)</f>
        <v>866</v>
      </c>
      <c r="I2843" s="4">
        <f>IFERROR(__xludf.DUMMYFUNCTION("""COMPUTED_VALUE"""),356.0)</f>
        <v>356</v>
      </c>
      <c r="J2843" s="4">
        <f>IFERROR(__xludf.DUMMYFUNCTION("""COMPUTED_VALUE"""),113.0)</f>
        <v>113</v>
      </c>
      <c r="K2843" s="4">
        <f>IFERROR(__xludf.DUMMYFUNCTION("""COMPUTED_VALUE"""),61.0)</f>
        <v>61</v>
      </c>
      <c r="L2843" s="4">
        <f>IFERROR(__xludf.DUMMYFUNCTION("""COMPUTED_VALUE"""),0.409)</f>
        <v>0.409</v>
      </c>
      <c r="M2843" s="4">
        <f>IFERROR(__xludf.DUMMYFUNCTION("""COMPUTED_VALUE"""),0.176)</f>
        <v>0.176</v>
      </c>
      <c r="N2843" s="4">
        <f>IFERROR(__xludf.DUMMYFUNCTION("""COMPUTED_VALUE"""),0.583)</f>
        <v>0.583</v>
      </c>
      <c r="O2843" s="4">
        <f>IFERROR(__xludf.DUMMYFUNCTION("""COMPUTED_VALUE"""),12.7)</f>
        <v>12.7</v>
      </c>
      <c r="P2843" s="4">
        <f>IFERROR(__xludf.DUMMYFUNCTION("""COMPUTED_VALUE"""),5.2)</f>
        <v>5.2</v>
      </c>
      <c r="Q2843" s="4">
        <f>IFERROR(__xludf.DUMMYFUNCTION("""COMPUTED_VALUE"""),1.7)</f>
        <v>1.7</v>
      </c>
      <c r="R2843" s="4">
        <f>IFERROR(__xludf.DUMMYFUNCTION("""COMPUTED_VALUE"""),0.9)</f>
        <v>0.9</v>
      </c>
      <c r="S2843" s="4">
        <f>IFERROR(__xludf.DUMMYFUNCTION("""COMPUTED_VALUE"""),-0.5)</f>
        <v>-0.5</v>
      </c>
      <c r="T2843" s="4">
        <f>IFERROR(__xludf.DUMMYFUNCTION("""COMPUTED_VALUE"""),-0.029)</f>
        <v>-0.029</v>
      </c>
      <c r="U2843" s="4">
        <f>IFERROR(__xludf.DUMMYFUNCTION("""COMPUTED_VALUE"""),-5.7)</f>
        <v>-5.7</v>
      </c>
      <c r="V2843" s="4">
        <f>IFERROR(__xludf.DUMMYFUNCTION("""COMPUTED_VALUE"""),-0.8)</f>
        <v>-0.8</v>
      </c>
    </row>
    <row r="2844">
      <c r="A2844" s="4">
        <f>IFERROR(__xludf.DUMMYFUNCTION("""COMPUTED_VALUE"""),15.0)</f>
        <v>15</v>
      </c>
      <c r="B2844" s="4">
        <f>IFERROR(__xludf.DUMMYFUNCTION("""COMPUTED_VALUE"""),15.0)</f>
        <v>15</v>
      </c>
      <c r="C2844" s="4" t="str">
        <f>IFERROR(__xludf.DUMMYFUNCTION("""COMPUTED_VALUE"""),"DEN")</f>
        <v>DEN</v>
      </c>
      <c r="D2844" s="4" t="str">
        <f>IFERROR(__xludf.DUMMYFUNCTION("""COMPUTED_VALUE"""),"Blair Rasmussen")</f>
        <v>Blair Rasmussen</v>
      </c>
      <c r="E2844" s="4" t="str">
        <f>IFERROR(__xludf.DUMMYFUNCTION("""COMPUTED_VALUE"""),"Oregon")</f>
        <v>Oregon</v>
      </c>
      <c r="F2844" s="4">
        <f>IFERROR(__xludf.DUMMYFUNCTION("""COMPUTED_VALUE"""),8.0)</f>
        <v>8</v>
      </c>
      <c r="G2844" s="4">
        <f>IFERROR(__xludf.DUMMYFUNCTION("""COMPUTED_VALUE"""),532.0)</f>
        <v>532</v>
      </c>
      <c r="H2844" s="4">
        <f>IFERROR(__xludf.DUMMYFUNCTION("""COMPUTED_VALUE"""),11409.0)</f>
        <v>11409</v>
      </c>
      <c r="I2844" s="4">
        <f>IFERROR(__xludf.DUMMYFUNCTION("""COMPUTED_VALUE"""),5119.0)</f>
        <v>5119</v>
      </c>
      <c r="J2844" s="4">
        <f>IFERROR(__xludf.DUMMYFUNCTION("""COMPUTED_VALUE"""),3006.0)</f>
        <v>3006</v>
      </c>
      <c r="K2844" s="4">
        <f>IFERROR(__xludf.DUMMYFUNCTION("""COMPUTED_VALUE"""),467.0)</f>
        <v>467</v>
      </c>
      <c r="L2844" s="4">
        <f>IFERROR(__xludf.DUMMYFUNCTION("""COMPUTED_VALUE"""),0.472)</f>
        <v>0.472</v>
      </c>
      <c r="M2844" s="4">
        <f>IFERROR(__xludf.DUMMYFUNCTION("""COMPUTED_VALUE"""),0.257)</f>
        <v>0.257</v>
      </c>
      <c r="N2844" s="4">
        <f>IFERROR(__xludf.DUMMYFUNCTION("""COMPUTED_VALUE"""),0.767)</f>
        <v>0.767</v>
      </c>
      <c r="O2844" s="4">
        <f>IFERROR(__xludf.DUMMYFUNCTION("""COMPUTED_VALUE"""),21.4)</f>
        <v>21.4</v>
      </c>
      <c r="P2844" s="4">
        <f>IFERROR(__xludf.DUMMYFUNCTION("""COMPUTED_VALUE"""),9.6)</f>
        <v>9.6</v>
      </c>
      <c r="Q2844" s="4">
        <f>IFERROR(__xludf.DUMMYFUNCTION("""COMPUTED_VALUE"""),5.7)</f>
        <v>5.7</v>
      </c>
      <c r="R2844" s="4">
        <f>IFERROR(__xludf.DUMMYFUNCTION("""COMPUTED_VALUE"""),0.9)</f>
        <v>0.9</v>
      </c>
      <c r="S2844" s="4">
        <f>IFERROR(__xludf.DUMMYFUNCTION("""COMPUTED_VALUE"""),19.0)</f>
        <v>19</v>
      </c>
      <c r="T2844" s="4">
        <f>IFERROR(__xludf.DUMMYFUNCTION("""COMPUTED_VALUE"""),0.08)</f>
        <v>0.08</v>
      </c>
      <c r="U2844" s="4">
        <f>IFERROR(__xludf.DUMMYFUNCTION("""COMPUTED_VALUE"""),-3.2)</f>
        <v>-3.2</v>
      </c>
      <c r="V2844" s="4">
        <f>IFERROR(__xludf.DUMMYFUNCTION("""COMPUTED_VALUE"""),-3.4)</f>
        <v>-3.4</v>
      </c>
    </row>
    <row r="2845">
      <c r="A2845" s="4">
        <f>IFERROR(__xludf.DUMMYFUNCTION("""COMPUTED_VALUE"""),16.0)</f>
        <v>16</v>
      </c>
      <c r="B2845" s="4">
        <f>IFERROR(__xludf.DUMMYFUNCTION("""COMPUTED_VALUE"""),16.0)</f>
        <v>16</v>
      </c>
      <c r="C2845" s="4" t="str">
        <f>IFERROR(__xludf.DUMMYFUNCTION("""COMPUTED_VALUE"""),"DAL")</f>
        <v>DAL</v>
      </c>
      <c r="D2845" s="4" t="str">
        <f>IFERROR(__xludf.DUMMYFUNCTION("""COMPUTED_VALUE"""),"Bill Wennington")</f>
        <v>Bill Wennington</v>
      </c>
      <c r="E2845" s="4" t="str">
        <f>IFERROR(__xludf.DUMMYFUNCTION("""COMPUTED_VALUE"""),"St. John's")</f>
        <v>St. John's</v>
      </c>
      <c r="F2845" s="4">
        <f>IFERROR(__xludf.DUMMYFUNCTION("""COMPUTED_VALUE"""),13.0)</f>
        <v>13</v>
      </c>
      <c r="G2845" s="4">
        <f>IFERROR(__xludf.DUMMYFUNCTION("""COMPUTED_VALUE"""),720.0)</f>
        <v>720</v>
      </c>
      <c r="H2845" s="4">
        <f>IFERROR(__xludf.DUMMYFUNCTION("""COMPUTED_VALUE"""),9740.0)</f>
        <v>9740</v>
      </c>
      <c r="I2845" s="4">
        <f>IFERROR(__xludf.DUMMYFUNCTION("""COMPUTED_VALUE"""),3301.0)</f>
        <v>3301</v>
      </c>
      <c r="J2845" s="4">
        <f>IFERROR(__xludf.DUMMYFUNCTION("""COMPUTED_VALUE"""),2148.0)</f>
        <v>2148</v>
      </c>
      <c r="K2845" s="4">
        <f>IFERROR(__xludf.DUMMYFUNCTION("""COMPUTED_VALUE"""),440.0)</f>
        <v>440</v>
      </c>
      <c r="L2845" s="4">
        <f>IFERROR(__xludf.DUMMYFUNCTION("""COMPUTED_VALUE"""),0.459)</f>
        <v>0.459</v>
      </c>
      <c r="M2845" s="4">
        <f>IFERROR(__xludf.DUMMYFUNCTION("""COMPUTED_VALUE"""),0.139)</f>
        <v>0.139</v>
      </c>
      <c r="N2845" s="4">
        <f>IFERROR(__xludf.DUMMYFUNCTION("""COMPUTED_VALUE"""),0.787)</f>
        <v>0.787</v>
      </c>
      <c r="O2845" s="4">
        <f>IFERROR(__xludf.DUMMYFUNCTION("""COMPUTED_VALUE"""),13.5)</f>
        <v>13.5</v>
      </c>
      <c r="P2845" s="4">
        <f>IFERROR(__xludf.DUMMYFUNCTION("""COMPUTED_VALUE"""),4.6)</f>
        <v>4.6</v>
      </c>
      <c r="Q2845" s="4">
        <f>IFERROR(__xludf.DUMMYFUNCTION("""COMPUTED_VALUE"""),3.0)</f>
        <v>3</v>
      </c>
      <c r="R2845" s="4">
        <f>IFERROR(__xludf.DUMMYFUNCTION("""COMPUTED_VALUE"""),0.6)</f>
        <v>0.6</v>
      </c>
      <c r="S2845" s="4">
        <f>IFERROR(__xludf.DUMMYFUNCTION("""COMPUTED_VALUE"""),17.7)</f>
        <v>17.7</v>
      </c>
      <c r="T2845" s="4">
        <f>IFERROR(__xludf.DUMMYFUNCTION("""COMPUTED_VALUE"""),0.087)</f>
        <v>0.087</v>
      </c>
      <c r="U2845" s="4">
        <f>IFERROR(__xludf.DUMMYFUNCTION("""COMPUTED_VALUE"""),-3.7)</f>
        <v>-3.7</v>
      </c>
      <c r="V2845" s="4">
        <f>IFERROR(__xludf.DUMMYFUNCTION("""COMPUTED_VALUE"""),-4.2)</f>
        <v>-4.2</v>
      </c>
    </row>
    <row r="2846">
      <c r="A2846" s="4">
        <f>IFERROR(__xludf.DUMMYFUNCTION("""COMPUTED_VALUE"""),17.0)</f>
        <v>17</v>
      </c>
      <c r="B2846" s="4">
        <f>IFERROR(__xludf.DUMMYFUNCTION("""COMPUTED_VALUE"""),17.0)</f>
        <v>17</v>
      </c>
      <c r="C2846" s="4" t="str">
        <f>IFERROR(__xludf.DUMMYFUNCTION("""COMPUTED_VALUE"""),"DAL")</f>
        <v>DAL</v>
      </c>
      <c r="D2846" s="4" t="str">
        <f>IFERROR(__xludf.DUMMYFUNCTION("""COMPUTED_VALUE"""),"Uwe Blab")</f>
        <v>Uwe Blab</v>
      </c>
      <c r="E2846" s="4" t="str">
        <f>IFERROR(__xludf.DUMMYFUNCTION("""COMPUTED_VALUE"""),"Indiana")</f>
        <v>Indiana</v>
      </c>
      <c r="F2846" s="4">
        <f>IFERROR(__xludf.DUMMYFUNCTION("""COMPUTED_VALUE"""),5.0)</f>
        <v>5</v>
      </c>
      <c r="G2846" s="4">
        <f>IFERROR(__xludf.DUMMYFUNCTION("""COMPUTED_VALUE"""),235.0)</f>
        <v>235</v>
      </c>
      <c r="H2846" s="4">
        <f>IFERROR(__xludf.DUMMYFUNCTION("""COMPUTED_VALUE"""),1966.0)</f>
        <v>1966</v>
      </c>
      <c r="I2846" s="4">
        <f>IFERROR(__xludf.DUMMYFUNCTION("""COMPUTED_VALUE"""),505.0)</f>
        <v>505</v>
      </c>
      <c r="J2846" s="4">
        <f>IFERROR(__xludf.DUMMYFUNCTION("""COMPUTED_VALUE"""),413.0)</f>
        <v>413</v>
      </c>
      <c r="K2846" s="4">
        <f>IFERROR(__xludf.DUMMYFUNCTION("""COMPUTED_VALUE"""),102.0)</f>
        <v>102</v>
      </c>
      <c r="L2846" s="4">
        <f>IFERROR(__xludf.DUMMYFUNCTION("""COMPUTED_VALUE"""),0.433)</f>
        <v>0.433</v>
      </c>
      <c r="M2846" s="4"/>
      <c r="N2846" s="4">
        <f>IFERROR(__xludf.DUMMYFUNCTION("""COMPUTED_VALUE"""),0.608)</f>
        <v>0.608</v>
      </c>
      <c r="O2846" s="4">
        <f>IFERROR(__xludf.DUMMYFUNCTION("""COMPUTED_VALUE"""),8.4)</f>
        <v>8.4</v>
      </c>
      <c r="P2846" s="4">
        <f>IFERROR(__xludf.DUMMYFUNCTION("""COMPUTED_VALUE"""),2.1)</f>
        <v>2.1</v>
      </c>
      <c r="Q2846" s="4">
        <f>IFERROR(__xludf.DUMMYFUNCTION("""COMPUTED_VALUE"""),1.8)</f>
        <v>1.8</v>
      </c>
      <c r="R2846" s="4">
        <f>IFERROR(__xludf.DUMMYFUNCTION("""COMPUTED_VALUE"""),0.4)</f>
        <v>0.4</v>
      </c>
      <c r="S2846" s="4">
        <f>IFERROR(__xludf.DUMMYFUNCTION("""COMPUTED_VALUE"""),0.4)</f>
        <v>0.4</v>
      </c>
      <c r="T2846" s="4">
        <f>IFERROR(__xludf.DUMMYFUNCTION("""COMPUTED_VALUE"""),0.009)</f>
        <v>0.009</v>
      </c>
      <c r="U2846" s="4">
        <f>IFERROR(__xludf.DUMMYFUNCTION("""COMPUTED_VALUE"""),-5.4)</f>
        <v>-5.4</v>
      </c>
      <c r="V2846" s="4">
        <f>IFERROR(__xludf.DUMMYFUNCTION("""COMPUTED_VALUE"""),-1.7)</f>
        <v>-1.7</v>
      </c>
    </row>
    <row r="2847">
      <c r="A2847" s="4">
        <f>IFERROR(__xludf.DUMMYFUNCTION("""COMPUTED_VALUE"""),18.0)</f>
        <v>18</v>
      </c>
      <c r="B2847" s="4">
        <f>IFERROR(__xludf.DUMMYFUNCTION("""COMPUTED_VALUE"""),18.0)</f>
        <v>18</v>
      </c>
      <c r="C2847" s="4" t="str">
        <f>IFERROR(__xludf.DUMMYFUNCTION("""COMPUTED_VALUE"""),"DET")</f>
        <v>DET</v>
      </c>
      <c r="D2847" s="4" t="str">
        <f>IFERROR(__xludf.DUMMYFUNCTION("""COMPUTED_VALUE"""),"Joe Dumars")</f>
        <v>Joe Dumars</v>
      </c>
      <c r="E2847" s="4" t="str">
        <f>IFERROR(__xludf.DUMMYFUNCTION("""COMPUTED_VALUE"""),"McNeese State University")</f>
        <v>McNeese State University</v>
      </c>
      <c r="F2847" s="4">
        <f>IFERROR(__xludf.DUMMYFUNCTION("""COMPUTED_VALUE"""),14.0)</f>
        <v>14</v>
      </c>
      <c r="G2847" s="4">
        <f>IFERROR(__xludf.DUMMYFUNCTION("""COMPUTED_VALUE"""),1018.0)</f>
        <v>1018</v>
      </c>
      <c r="H2847" s="4">
        <f>IFERROR(__xludf.DUMMYFUNCTION("""COMPUTED_VALUE"""),35139.0)</f>
        <v>35139</v>
      </c>
      <c r="I2847" s="4">
        <f>IFERROR(__xludf.DUMMYFUNCTION("""COMPUTED_VALUE"""),16401.0)</f>
        <v>16401</v>
      </c>
      <c r="J2847" s="4">
        <f>IFERROR(__xludf.DUMMYFUNCTION("""COMPUTED_VALUE"""),2203.0)</f>
        <v>2203</v>
      </c>
      <c r="K2847" s="4">
        <f>IFERROR(__xludf.DUMMYFUNCTION("""COMPUTED_VALUE"""),4612.0)</f>
        <v>4612</v>
      </c>
      <c r="L2847" s="4">
        <f>IFERROR(__xludf.DUMMYFUNCTION("""COMPUTED_VALUE"""),0.46)</f>
        <v>0.46</v>
      </c>
      <c r="M2847" s="4">
        <f>IFERROR(__xludf.DUMMYFUNCTION("""COMPUTED_VALUE"""),0.382)</f>
        <v>0.382</v>
      </c>
      <c r="N2847" s="4">
        <f>IFERROR(__xludf.DUMMYFUNCTION("""COMPUTED_VALUE"""),0.843)</f>
        <v>0.843</v>
      </c>
      <c r="O2847" s="4">
        <f>IFERROR(__xludf.DUMMYFUNCTION("""COMPUTED_VALUE"""),34.5)</f>
        <v>34.5</v>
      </c>
      <c r="P2847" s="4">
        <f>IFERROR(__xludf.DUMMYFUNCTION("""COMPUTED_VALUE"""),16.1)</f>
        <v>16.1</v>
      </c>
      <c r="Q2847" s="4">
        <f>IFERROR(__xludf.DUMMYFUNCTION("""COMPUTED_VALUE"""),2.2)</f>
        <v>2.2</v>
      </c>
      <c r="R2847" s="4">
        <f>IFERROR(__xludf.DUMMYFUNCTION("""COMPUTED_VALUE"""),4.5)</f>
        <v>4.5</v>
      </c>
      <c r="S2847" s="4">
        <f>IFERROR(__xludf.DUMMYFUNCTION("""COMPUTED_VALUE"""),86.2)</f>
        <v>86.2</v>
      </c>
      <c r="T2847" s="4">
        <f>IFERROR(__xludf.DUMMYFUNCTION("""COMPUTED_VALUE"""),0.118)</f>
        <v>0.118</v>
      </c>
      <c r="U2847" s="4">
        <f>IFERROR(__xludf.DUMMYFUNCTION("""COMPUTED_VALUE"""),0.8)</f>
        <v>0.8</v>
      </c>
      <c r="V2847" s="4">
        <f>IFERROR(__xludf.DUMMYFUNCTION("""COMPUTED_VALUE"""),25.3)</f>
        <v>25.3</v>
      </c>
    </row>
    <row r="2848">
      <c r="A2848" s="4">
        <f>IFERROR(__xludf.DUMMYFUNCTION("""COMPUTED_VALUE"""),19.0)</f>
        <v>19</v>
      </c>
      <c r="B2848" s="4">
        <f>IFERROR(__xludf.DUMMYFUNCTION("""COMPUTED_VALUE"""),19.0)</f>
        <v>19</v>
      </c>
      <c r="C2848" s="4" t="str">
        <f>IFERROR(__xludf.DUMMYFUNCTION("""COMPUTED_VALUE"""),"HOU")</f>
        <v>HOU</v>
      </c>
      <c r="D2848" s="4" t="str">
        <f>IFERROR(__xludf.DUMMYFUNCTION("""COMPUTED_VALUE"""),"Steve Harris")</f>
        <v>Steve Harris</v>
      </c>
      <c r="E2848" s="4" t="str">
        <f>IFERROR(__xludf.DUMMYFUNCTION("""COMPUTED_VALUE"""),"Tulsa")</f>
        <v>Tulsa</v>
      </c>
      <c r="F2848" s="4">
        <f>IFERROR(__xludf.DUMMYFUNCTION("""COMPUTED_VALUE"""),5.0)</f>
        <v>5</v>
      </c>
      <c r="G2848" s="4">
        <f>IFERROR(__xludf.DUMMYFUNCTION("""COMPUTED_VALUE"""),207.0)</f>
        <v>207</v>
      </c>
      <c r="H2848" s="4">
        <f>IFERROR(__xludf.DUMMYFUNCTION("""COMPUTED_VALUE"""),2840.0)</f>
        <v>2840</v>
      </c>
      <c r="I2848" s="4">
        <f>IFERROR(__xludf.DUMMYFUNCTION("""COMPUTED_VALUE"""),1440.0)</f>
        <v>1440</v>
      </c>
      <c r="J2848" s="4">
        <f>IFERROR(__xludf.DUMMYFUNCTION("""COMPUTED_VALUE"""),365.0)</f>
        <v>365</v>
      </c>
      <c r="K2848" s="4">
        <f>IFERROR(__xludf.DUMMYFUNCTION("""COMPUTED_VALUE"""),238.0)</f>
        <v>238</v>
      </c>
      <c r="L2848" s="4">
        <f>IFERROR(__xludf.DUMMYFUNCTION("""COMPUTED_VALUE"""),0.434)</f>
        <v>0.434</v>
      </c>
      <c r="M2848" s="4">
        <f>IFERROR(__xludf.DUMMYFUNCTION("""COMPUTED_VALUE"""),0.05)</f>
        <v>0.05</v>
      </c>
      <c r="N2848" s="4">
        <f>IFERROR(__xludf.DUMMYFUNCTION("""COMPUTED_VALUE"""),0.842)</f>
        <v>0.842</v>
      </c>
      <c r="O2848" s="4">
        <f>IFERROR(__xludf.DUMMYFUNCTION("""COMPUTED_VALUE"""),13.7)</f>
        <v>13.7</v>
      </c>
      <c r="P2848" s="4">
        <f>IFERROR(__xludf.DUMMYFUNCTION("""COMPUTED_VALUE"""),7.0)</f>
        <v>7</v>
      </c>
      <c r="Q2848" s="4">
        <f>IFERROR(__xludf.DUMMYFUNCTION("""COMPUTED_VALUE"""),1.8)</f>
        <v>1.8</v>
      </c>
      <c r="R2848" s="4">
        <f>IFERROR(__xludf.DUMMYFUNCTION("""COMPUTED_VALUE"""),1.1)</f>
        <v>1.1</v>
      </c>
      <c r="S2848" s="4">
        <f>IFERROR(__xludf.DUMMYFUNCTION("""COMPUTED_VALUE"""),3.1)</f>
        <v>3.1</v>
      </c>
      <c r="T2848" s="4">
        <f>IFERROR(__xludf.DUMMYFUNCTION("""COMPUTED_VALUE"""),0.053)</f>
        <v>0.053</v>
      </c>
      <c r="U2848" s="4">
        <f>IFERROR(__xludf.DUMMYFUNCTION("""COMPUTED_VALUE"""),-2.6)</f>
        <v>-2.6</v>
      </c>
      <c r="V2848" s="4">
        <f>IFERROR(__xludf.DUMMYFUNCTION("""COMPUTED_VALUE"""),-0.4)</f>
        <v>-0.4</v>
      </c>
    </row>
    <row r="2849">
      <c r="A2849" s="4">
        <f>IFERROR(__xludf.DUMMYFUNCTION("""COMPUTED_VALUE"""),20.0)</f>
        <v>20</v>
      </c>
      <c r="B2849" s="4">
        <f>IFERROR(__xludf.DUMMYFUNCTION("""COMPUTED_VALUE"""),20.0)</f>
        <v>20</v>
      </c>
      <c r="C2849" s="4" t="str">
        <f>IFERROR(__xludf.DUMMYFUNCTION("""COMPUTED_VALUE"""),"BOS")</f>
        <v>BOS</v>
      </c>
      <c r="D2849" s="4" t="str">
        <f>IFERROR(__xludf.DUMMYFUNCTION("""COMPUTED_VALUE"""),"Sam Vincent")</f>
        <v>Sam Vincent</v>
      </c>
      <c r="E2849" s="4" t="str">
        <f>IFERROR(__xludf.DUMMYFUNCTION("""COMPUTED_VALUE"""),"Michigan State")</f>
        <v>Michigan State</v>
      </c>
      <c r="F2849" s="4">
        <f>IFERROR(__xludf.DUMMYFUNCTION("""COMPUTED_VALUE"""),7.0)</f>
        <v>7</v>
      </c>
      <c r="G2849" s="4">
        <f>IFERROR(__xludf.DUMMYFUNCTION("""COMPUTED_VALUE"""),396.0)</f>
        <v>396</v>
      </c>
      <c r="H2849" s="4">
        <f>IFERROR(__xludf.DUMMYFUNCTION("""COMPUTED_VALUE"""),7527.0)</f>
        <v>7527</v>
      </c>
      <c r="I2849" s="4">
        <f>IFERROR(__xludf.DUMMYFUNCTION("""COMPUTED_VALUE"""),3106.0)</f>
        <v>3106</v>
      </c>
      <c r="J2849" s="4">
        <f>IFERROR(__xludf.DUMMYFUNCTION("""COMPUTED_VALUE"""),819.0)</f>
        <v>819</v>
      </c>
      <c r="K2849" s="4">
        <f>IFERROR(__xludf.DUMMYFUNCTION("""COMPUTED_VALUE"""),1543.0)</f>
        <v>1543</v>
      </c>
      <c r="L2849" s="4">
        <f>IFERROR(__xludf.DUMMYFUNCTION("""COMPUTED_VALUE"""),0.449)</f>
        <v>0.449</v>
      </c>
      <c r="M2849" s="4">
        <f>IFERROR(__xludf.DUMMYFUNCTION("""COMPUTED_VALUE"""),0.182)</f>
        <v>0.182</v>
      </c>
      <c r="N2849" s="4">
        <f>IFERROR(__xludf.DUMMYFUNCTION("""COMPUTED_VALUE"""),0.863)</f>
        <v>0.863</v>
      </c>
      <c r="O2849" s="4">
        <f>IFERROR(__xludf.DUMMYFUNCTION("""COMPUTED_VALUE"""),19.0)</f>
        <v>19</v>
      </c>
      <c r="P2849" s="4">
        <f>IFERROR(__xludf.DUMMYFUNCTION("""COMPUTED_VALUE"""),7.8)</f>
        <v>7.8</v>
      </c>
      <c r="Q2849" s="4">
        <f>IFERROR(__xludf.DUMMYFUNCTION("""COMPUTED_VALUE"""),2.1)</f>
        <v>2.1</v>
      </c>
      <c r="R2849" s="4">
        <f>IFERROR(__xludf.DUMMYFUNCTION("""COMPUTED_VALUE"""),3.9)</f>
        <v>3.9</v>
      </c>
      <c r="S2849" s="4">
        <f>IFERROR(__xludf.DUMMYFUNCTION("""COMPUTED_VALUE"""),10.9)</f>
        <v>10.9</v>
      </c>
      <c r="T2849" s="4">
        <f>IFERROR(__xludf.DUMMYFUNCTION("""COMPUTED_VALUE"""),0.069)</f>
        <v>0.069</v>
      </c>
      <c r="U2849" s="4">
        <f>IFERROR(__xludf.DUMMYFUNCTION("""COMPUTED_VALUE"""),-0.8)</f>
        <v>-0.8</v>
      </c>
      <c r="V2849" s="4">
        <f>IFERROR(__xludf.DUMMYFUNCTION("""COMPUTED_VALUE"""),2.2)</f>
        <v>2.2</v>
      </c>
    </row>
    <row r="2850">
      <c r="A2850" s="4">
        <f>IFERROR(__xludf.DUMMYFUNCTION("""COMPUTED_VALUE"""),21.0)</f>
        <v>21</v>
      </c>
      <c r="B2850" s="4">
        <f>IFERROR(__xludf.DUMMYFUNCTION("""COMPUTED_VALUE"""),21.0)</f>
        <v>21</v>
      </c>
      <c r="C2850" s="4" t="str">
        <f>IFERROR(__xludf.DUMMYFUNCTION("""COMPUTED_VALUE"""),"PHI")</f>
        <v>PHI</v>
      </c>
      <c r="D2850" s="4" t="str">
        <f>IFERROR(__xludf.DUMMYFUNCTION("""COMPUTED_VALUE"""),"Terry Catledge")</f>
        <v>Terry Catledge</v>
      </c>
      <c r="E2850" s="4" t="str">
        <f>IFERROR(__xludf.DUMMYFUNCTION("""COMPUTED_VALUE"""),"University of South Alabama")</f>
        <v>University of South Alabama</v>
      </c>
      <c r="F2850" s="4">
        <f>IFERROR(__xludf.DUMMYFUNCTION("""COMPUTED_VALUE"""),8.0)</f>
        <v>8</v>
      </c>
      <c r="G2850" s="4">
        <f>IFERROR(__xludf.DUMMYFUNCTION("""COMPUTED_VALUE"""),515.0)</f>
        <v>515</v>
      </c>
      <c r="H2850" s="4">
        <f>IFERROR(__xludf.DUMMYFUNCTION("""COMPUTED_VALUE"""),13541.0)</f>
        <v>13541</v>
      </c>
      <c r="I2850" s="4">
        <f>IFERROR(__xludf.DUMMYFUNCTION("""COMPUTED_VALUE"""),6520.0)</f>
        <v>6520</v>
      </c>
      <c r="J2850" s="4">
        <f>IFERROR(__xludf.DUMMYFUNCTION("""COMPUTED_VALUE"""),3314.0)</f>
        <v>3314</v>
      </c>
      <c r="K2850" s="4">
        <f>IFERROR(__xludf.DUMMYFUNCTION("""COMPUTED_VALUE"""),459.0)</f>
        <v>459</v>
      </c>
      <c r="L2850" s="4">
        <f>IFERROR(__xludf.DUMMYFUNCTION("""COMPUTED_VALUE"""),0.485)</f>
        <v>0.485</v>
      </c>
      <c r="M2850" s="4">
        <f>IFERROR(__xludf.DUMMYFUNCTION("""COMPUTED_VALUE"""),0.094)</f>
        <v>0.094</v>
      </c>
      <c r="N2850" s="4">
        <f>IFERROR(__xludf.DUMMYFUNCTION("""COMPUTED_VALUE"""),0.654)</f>
        <v>0.654</v>
      </c>
      <c r="O2850" s="4">
        <f>IFERROR(__xludf.DUMMYFUNCTION("""COMPUTED_VALUE"""),26.3)</f>
        <v>26.3</v>
      </c>
      <c r="P2850" s="4">
        <f>IFERROR(__xludf.DUMMYFUNCTION("""COMPUTED_VALUE"""),12.7)</f>
        <v>12.7</v>
      </c>
      <c r="Q2850" s="4">
        <f>IFERROR(__xludf.DUMMYFUNCTION("""COMPUTED_VALUE"""),6.4)</f>
        <v>6.4</v>
      </c>
      <c r="R2850" s="4">
        <f>IFERROR(__xludf.DUMMYFUNCTION("""COMPUTED_VALUE"""),0.9)</f>
        <v>0.9</v>
      </c>
      <c r="S2850" s="4">
        <f>IFERROR(__xludf.DUMMYFUNCTION("""COMPUTED_VALUE"""),20.9)</f>
        <v>20.9</v>
      </c>
      <c r="T2850" s="4">
        <f>IFERROR(__xludf.DUMMYFUNCTION("""COMPUTED_VALUE"""),0.074)</f>
        <v>0.074</v>
      </c>
      <c r="U2850" s="4">
        <f>IFERROR(__xludf.DUMMYFUNCTION("""COMPUTED_VALUE"""),-2.6)</f>
        <v>-2.6</v>
      </c>
      <c r="V2850" s="4">
        <f>IFERROR(__xludf.DUMMYFUNCTION("""COMPUTED_VALUE"""),-2.0)</f>
        <v>-2</v>
      </c>
    </row>
    <row r="2851">
      <c r="A2851" s="4">
        <f>IFERROR(__xludf.DUMMYFUNCTION("""COMPUTED_VALUE"""),22.0)</f>
        <v>22</v>
      </c>
      <c r="B2851" s="4">
        <f>IFERROR(__xludf.DUMMYFUNCTION("""COMPUTED_VALUE"""),22.0)</f>
        <v>22</v>
      </c>
      <c r="C2851" s="4" t="str">
        <f>IFERROR(__xludf.DUMMYFUNCTION("""COMPUTED_VALUE"""),"MIL")</f>
        <v>MIL</v>
      </c>
      <c r="D2851" s="4" t="str">
        <f>IFERROR(__xludf.DUMMYFUNCTION("""COMPUTED_VALUE"""),"Jerry Reynolds")</f>
        <v>Jerry Reynolds</v>
      </c>
      <c r="E2851" s="4" t="str">
        <f>IFERROR(__xludf.DUMMYFUNCTION("""COMPUTED_VALUE"""),"LSU")</f>
        <v>LSU</v>
      </c>
      <c r="F2851" s="4">
        <f>IFERROR(__xludf.DUMMYFUNCTION("""COMPUTED_VALUE"""),8.0)</f>
        <v>8</v>
      </c>
      <c r="G2851" s="4">
        <f>IFERROR(__xludf.DUMMYFUNCTION("""COMPUTED_VALUE"""),443.0)</f>
        <v>443</v>
      </c>
      <c r="H2851" s="4">
        <f>IFERROR(__xludf.DUMMYFUNCTION("""COMPUTED_VALUE"""),8379.0)</f>
        <v>8379</v>
      </c>
      <c r="I2851" s="4">
        <f>IFERROR(__xludf.DUMMYFUNCTION("""COMPUTED_VALUE"""),4036.0)</f>
        <v>4036</v>
      </c>
      <c r="J2851" s="4">
        <f>IFERROR(__xludf.DUMMYFUNCTION("""COMPUTED_VALUE"""),1317.0)</f>
        <v>1317</v>
      </c>
      <c r="K2851" s="4">
        <f>IFERROR(__xludf.DUMMYFUNCTION("""COMPUTED_VALUE"""),904.0)</f>
        <v>904</v>
      </c>
      <c r="L2851" s="4">
        <f>IFERROR(__xludf.DUMMYFUNCTION("""COMPUTED_VALUE"""),0.418)</f>
        <v>0.418</v>
      </c>
      <c r="M2851" s="4">
        <f>IFERROR(__xludf.DUMMYFUNCTION("""COMPUTED_VALUE"""),0.226)</f>
        <v>0.226</v>
      </c>
      <c r="N2851" s="4">
        <f>IFERROR(__xludf.DUMMYFUNCTION("""COMPUTED_VALUE"""),0.749)</f>
        <v>0.749</v>
      </c>
      <c r="O2851" s="4">
        <f>IFERROR(__xludf.DUMMYFUNCTION("""COMPUTED_VALUE"""),18.9)</f>
        <v>18.9</v>
      </c>
      <c r="P2851" s="4">
        <f>IFERROR(__xludf.DUMMYFUNCTION("""COMPUTED_VALUE"""),9.1)</f>
        <v>9.1</v>
      </c>
      <c r="Q2851" s="4">
        <f>IFERROR(__xludf.DUMMYFUNCTION("""COMPUTED_VALUE"""),3.0)</f>
        <v>3</v>
      </c>
      <c r="R2851" s="4">
        <f>IFERROR(__xludf.DUMMYFUNCTION("""COMPUTED_VALUE"""),2.0)</f>
        <v>2</v>
      </c>
      <c r="S2851" s="4">
        <f>IFERROR(__xludf.DUMMYFUNCTION("""COMPUTED_VALUE"""),10.5)</f>
        <v>10.5</v>
      </c>
      <c r="T2851" s="4">
        <f>IFERROR(__xludf.DUMMYFUNCTION("""COMPUTED_VALUE"""),0.06)</f>
        <v>0.06</v>
      </c>
      <c r="U2851" s="4">
        <f>IFERROR(__xludf.DUMMYFUNCTION("""COMPUTED_VALUE"""),0.6)</f>
        <v>0.6</v>
      </c>
      <c r="V2851" s="4">
        <f>IFERROR(__xludf.DUMMYFUNCTION("""COMPUTED_VALUE"""),5.4)</f>
        <v>5.4</v>
      </c>
    </row>
    <row r="2852">
      <c r="A2852" s="4">
        <f>IFERROR(__xludf.DUMMYFUNCTION("""COMPUTED_VALUE"""),23.0)</f>
        <v>23</v>
      </c>
      <c r="B2852" s="4">
        <f>IFERROR(__xludf.DUMMYFUNCTION("""COMPUTED_VALUE"""),23.0)</f>
        <v>23</v>
      </c>
      <c r="C2852" s="4" t="str">
        <f>IFERROR(__xludf.DUMMYFUNCTION("""COMPUTED_VALUE"""),"LAL")</f>
        <v>LAL</v>
      </c>
      <c r="D2852" s="4" t="str">
        <f>IFERROR(__xludf.DUMMYFUNCTION("""COMPUTED_VALUE"""),"A.C. Green")</f>
        <v>A.C. Green</v>
      </c>
      <c r="E2852" s="4" t="str">
        <f>IFERROR(__xludf.DUMMYFUNCTION("""COMPUTED_VALUE"""),"Oregon State")</f>
        <v>Oregon State</v>
      </c>
      <c r="F2852" s="4">
        <f>IFERROR(__xludf.DUMMYFUNCTION("""COMPUTED_VALUE"""),16.0)</f>
        <v>16</v>
      </c>
      <c r="G2852" s="4">
        <f>IFERROR(__xludf.DUMMYFUNCTION("""COMPUTED_VALUE"""),1278.0)</f>
        <v>1278</v>
      </c>
      <c r="H2852" s="4">
        <f>IFERROR(__xludf.DUMMYFUNCTION("""COMPUTED_VALUE"""),36552.0)</f>
        <v>36552</v>
      </c>
      <c r="I2852" s="4">
        <f>IFERROR(__xludf.DUMMYFUNCTION("""COMPUTED_VALUE"""),12331.0)</f>
        <v>12331</v>
      </c>
      <c r="J2852" s="4">
        <f>IFERROR(__xludf.DUMMYFUNCTION("""COMPUTED_VALUE"""),9473.0)</f>
        <v>9473</v>
      </c>
      <c r="K2852" s="4">
        <f>IFERROR(__xludf.DUMMYFUNCTION("""COMPUTED_VALUE"""),1400.0)</f>
        <v>1400</v>
      </c>
      <c r="L2852" s="4">
        <f>IFERROR(__xludf.DUMMYFUNCTION("""COMPUTED_VALUE"""),0.494)</f>
        <v>0.494</v>
      </c>
      <c r="M2852" s="4">
        <f>IFERROR(__xludf.DUMMYFUNCTION("""COMPUTED_VALUE"""),0.254)</f>
        <v>0.254</v>
      </c>
      <c r="N2852" s="4">
        <f>IFERROR(__xludf.DUMMYFUNCTION("""COMPUTED_VALUE"""),0.734)</f>
        <v>0.734</v>
      </c>
      <c r="O2852" s="4">
        <f>IFERROR(__xludf.DUMMYFUNCTION("""COMPUTED_VALUE"""),28.6)</f>
        <v>28.6</v>
      </c>
      <c r="P2852" s="4">
        <f>IFERROR(__xludf.DUMMYFUNCTION("""COMPUTED_VALUE"""),9.6)</f>
        <v>9.6</v>
      </c>
      <c r="Q2852" s="4">
        <f>IFERROR(__xludf.DUMMYFUNCTION("""COMPUTED_VALUE"""),7.4)</f>
        <v>7.4</v>
      </c>
      <c r="R2852" s="4">
        <f>IFERROR(__xludf.DUMMYFUNCTION("""COMPUTED_VALUE"""),1.1)</f>
        <v>1.1</v>
      </c>
      <c r="S2852" s="4">
        <f>IFERROR(__xludf.DUMMYFUNCTION("""COMPUTED_VALUE"""),99.5)</f>
        <v>99.5</v>
      </c>
      <c r="T2852" s="4">
        <f>IFERROR(__xludf.DUMMYFUNCTION("""COMPUTED_VALUE"""),0.131)</f>
        <v>0.131</v>
      </c>
      <c r="U2852" s="4">
        <f>IFERROR(__xludf.DUMMYFUNCTION("""COMPUTED_VALUE"""),-0.2)</f>
        <v>-0.2</v>
      </c>
      <c r="V2852" s="4">
        <f>IFERROR(__xludf.DUMMYFUNCTION("""COMPUTED_VALUE"""),16.6)</f>
        <v>16.6</v>
      </c>
    </row>
    <row r="2853">
      <c r="A2853" s="4">
        <f>IFERROR(__xludf.DUMMYFUNCTION("""COMPUTED_VALUE"""),24.0)</f>
        <v>24</v>
      </c>
      <c r="B2853" s="4">
        <f>IFERROR(__xludf.DUMMYFUNCTION("""COMPUTED_VALUE"""),24.0)</f>
        <v>24</v>
      </c>
      <c r="C2853" s="4" t="str">
        <f>IFERROR(__xludf.DUMMYFUNCTION("""COMPUTED_VALUE"""),"POR")</f>
        <v>POR</v>
      </c>
      <c r="D2853" s="4" t="str">
        <f>IFERROR(__xludf.DUMMYFUNCTION("""COMPUTED_VALUE"""),"Terry Porter")</f>
        <v>Terry Porter</v>
      </c>
      <c r="E2853" s="4" t="str">
        <f>IFERROR(__xludf.DUMMYFUNCTION("""COMPUTED_VALUE"""),"University of Wisconsin-Stevens Point")</f>
        <v>University of Wisconsin-Stevens Point</v>
      </c>
      <c r="F2853" s="4">
        <f>IFERROR(__xludf.DUMMYFUNCTION("""COMPUTED_VALUE"""),17.0)</f>
        <v>17</v>
      </c>
      <c r="G2853" s="4">
        <f>IFERROR(__xludf.DUMMYFUNCTION("""COMPUTED_VALUE"""),1274.0)</f>
        <v>1274</v>
      </c>
      <c r="H2853" s="4">
        <f>IFERROR(__xludf.DUMMYFUNCTION("""COMPUTED_VALUE"""),35354.0)</f>
        <v>35354</v>
      </c>
      <c r="I2853" s="4">
        <f>IFERROR(__xludf.DUMMYFUNCTION("""COMPUTED_VALUE"""),15586.0)</f>
        <v>15586</v>
      </c>
      <c r="J2853" s="4">
        <f>IFERROR(__xludf.DUMMYFUNCTION("""COMPUTED_VALUE"""),3872.0)</f>
        <v>3872</v>
      </c>
      <c r="K2853" s="4">
        <f>IFERROR(__xludf.DUMMYFUNCTION("""COMPUTED_VALUE"""),7160.0)</f>
        <v>7160</v>
      </c>
      <c r="L2853" s="4">
        <f>IFERROR(__xludf.DUMMYFUNCTION("""COMPUTED_VALUE"""),0.463)</f>
        <v>0.463</v>
      </c>
      <c r="M2853" s="4">
        <f>IFERROR(__xludf.DUMMYFUNCTION("""COMPUTED_VALUE"""),0.386)</f>
        <v>0.386</v>
      </c>
      <c r="N2853" s="4">
        <f>IFERROR(__xludf.DUMMYFUNCTION("""COMPUTED_VALUE"""),0.836)</f>
        <v>0.836</v>
      </c>
      <c r="O2853" s="4">
        <f>IFERROR(__xludf.DUMMYFUNCTION("""COMPUTED_VALUE"""),27.8)</f>
        <v>27.8</v>
      </c>
      <c r="P2853" s="4">
        <f>IFERROR(__xludf.DUMMYFUNCTION("""COMPUTED_VALUE"""),12.2)</f>
        <v>12.2</v>
      </c>
      <c r="Q2853" s="4">
        <f>IFERROR(__xludf.DUMMYFUNCTION("""COMPUTED_VALUE"""),3.0)</f>
        <v>3</v>
      </c>
      <c r="R2853" s="4">
        <f>IFERROR(__xludf.DUMMYFUNCTION("""COMPUTED_VALUE"""),5.6)</f>
        <v>5.6</v>
      </c>
      <c r="S2853" s="4">
        <f>IFERROR(__xludf.DUMMYFUNCTION("""COMPUTED_VALUE"""),110.4)</f>
        <v>110.4</v>
      </c>
      <c r="T2853" s="4">
        <f>IFERROR(__xludf.DUMMYFUNCTION("""COMPUTED_VALUE"""),0.15)</f>
        <v>0.15</v>
      </c>
      <c r="U2853" s="4">
        <f>IFERROR(__xludf.DUMMYFUNCTION("""COMPUTED_VALUE"""),2.9)</f>
        <v>2.9</v>
      </c>
      <c r="V2853" s="4">
        <f>IFERROR(__xludf.DUMMYFUNCTION("""COMPUTED_VALUE"""),43.3)</f>
        <v>43.3</v>
      </c>
    </row>
    <row r="2854">
      <c r="A2854" s="4"/>
      <c r="B2854" s="4"/>
      <c r="C2854" s="4"/>
      <c r="D2854" s="4" t="str">
        <f>IFERROR(__xludf.DUMMYFUNCTION("""COMPUTED_VALUE"""),"Round 2")</f>
        <v>Round 2</v>
      </c>
      <c r="E2854" s="4"/>
      <c r="F2854" s="4"/>
      <c r="G2854" s="4" t="str">
        <f>IFERROR(__xludf.DUMMYFUNCTION("""COMPUTED_VALUE"""),"Totals")</f>
        <v>Totals</v>
      </c>
      <c r="H2854" s="4"/>
      <c r="I2854" s="4"/>
      <c r="J2854" s="4"/>
      <c r="K2854" s="4"/>
      <c r="L2854" s="4" t="str">
        <f>IFERROR(__xludf.DUMMYFUNCTION("""COMPUTED_VALUE"""),"Shooting")</f>
        <v>Shooting</v>
      </c>
      <c r="M2854" s="4"/>
      <c r="N2854" s="4"/>
      <c r="O2854" s="4" t="str">
        <f>IFERROR(__xludf.DUMMYFUNCTION("""COMPUTED_VALUE"""),"Per Game")</f>
        <v>Per Game</v>
      </c>
      <c r="P2854" s="4"/>
      <c r="Q2854" s="4"/>
      <c r="R2854" s="4"/>
      <c r="S2854" s="4" t="str">
        <f>IFERROR(__xludf.DUMMYFUNCTION("""COMPUTED_VALUE"""),"Advanced")</f>
        <v>Advanced</v>
      </c>
      <c r="T2854" s="4"/>
      <c r="U2854" s="4"/>
      <c r="V2854" s="4"/>
    </row>
    <row r="2855">
      <c r="A2855" s="4" t="str">
        <f>IFERROR(__xludf.DUMMYFUNCTION("""COMPUTED_VALUE"""),"Rk")</f>
        <v>Rk</v>
      </c>
      <c r="B2855" s="4" t="str">
        <f>IFERROR(__xludf.DUMMYFUNCTION("""COMPUTED_VALUE"""),"Pk")</f>
        <v>Pk</v>
      </c>
      <c r="C2855" s="4" t="str">
        <f>IFERROR(__xludf.DUMMYFUNCTION("""COMPUTED_VALUE"""),"Tm")</f>
        <v>Tm</v>
      </c>
      <c r="D2855" s="4" t="str">
        <f>IFERROR(__xludf.DUMMYFUNCTION("""COMPUTED_VALUE"""),"Player")</f>
        <v>Player</v>
      </c>
      <c r="E2855" s="4" t="str">
        <f>IFERROR(__xludf.DUMMYFUNCTION("""COMPUTED_VALUE"""),"College")</f>
        <v>College</v>
      </c>
      <c r="F2855" s="4" t="str">
        <f>IFERROR(__xludf.DUMMYFUNCTION("""COMPUTED_VALUE"""),"Yrs")</f>
        <v>Yrs</v>
      </c>
      <c r="G2855" s="4" t="str">
        <f>IFERROR(__xludf.DUMMYFUNCTION("""COMPUTED_VALUE"""),"G")</f>
        <v>G</v>
      </c>
      <c r="H2855" s="4" t="str">
        <f>IFERROR(__xludf.DUMMYFUNCTION("""COMPUTED_VALUE"""),"MP")</f>
        <v>MP</v>
      </c>
      <c r="I2855" s="4" t="str">
        <f>IFERROR(__xludf.DUMMYFUNCTION("""COMPUTED_VALUE"""),"PTS")</f>
        <v>PTS</v>
      </c>
      <c r="J2855" s="4" t="str">
        <f>IFERROR(__xludf.DUMMYFUNCTION("""COMPUTED_VALUE"""),"TRB")</f>
        <v>TRB</v>
      </c>
      <c r="K2855" s="4" t="str">
        <f>IFERROR(__xludf.DUMMYFUNCTION("""COMPUTED_VALUE"""),"AST")</f>
        <v>AST</v>
      </c>
      <c r="L2855" s="4" t="str">
        <f>IFERROR(__xludf.DUMMYFUNCTION("""COMPUTED_VALUE"""),"FG%")</f>
        <v>FG%</v>
      </c>
      <c r="M2855" s="4" t="str">
        <f>IFERROR(__xludf.DUMMYFUNCTION("""COMPUTED_VALUE"""),"3P%")</f>
        <v>3P%</v>
      </c>
      <c r="N2855" s="4" t="str">
        <f>IFERROR(__xludf.DUMMYFUNCTION("""COMPUTED_VALUE"""),"FT%")</f>
        <v>FT%</v>
      </c>
      <c r="O2855" s="4" t="str">
        <f>IFERROR(__xludf.DUMMYFUNCTION("""COMPUTED_VALUE"""),"MP")</f>
        <v>MP</v>
      </c>
      <c r="P2855" s="4" t="str">
        <f>IFERROR(__xludf.DUMMYFUNCTION("""COMPUTED_VALUE"""),"PTS")</f>
        <v>PTS</v>
      </c>
      <c r="Q2855" s="4" t="str">
        <f>IFERROR(__xludf.DUMMYFUNCTION("""COMPUTED_VALUE"""),"TRB")</f>
        <v>TRB</v>
      </c>
      <c r="R2855" s="4" t="str">
        <f>IFERROR(__xludf.DUMMYFUNCTION("""COMPUTED_VALUE"""),"AST")</f>
        <v>AST</v>
      </c>
      <c r="S2855" s="4" t="str">
        <f>IFERROR(__xludf.DUMMYFUNCTION("""COMPUTED_VALUE"""),"WS")</f>
        <v>WS</v>
      </c>
      <c r="T2855" s="4" t="str">
        <f>IFERROR(__xludf.DUMMYFUNCTION("""COMPUTED_VALUE"""),"WS/48")</f>
        <v>WS/48</v>
      </c>
      <c r="U2855" s="4" t="str">
        <f>IFERROR(__xludf.DUMMYFUNCTION("""COMPUTED_VALUE"""),"BPM")</f>
        <v>BPM</v>
      </c>
      <c r="V2855" s="4" t="str">
        <f>IFERROR(__xludf.DUMMYFUNCTION("""COMPUTED_VALUE"""),"VORP")</f>
        <v>VORP</v>
      </c>
    </row>
    <row r="2856">
      <c r="A2856" s="4">
        <f>IFERROR(__xludf.DUMMYFUNCTION("""COMPUTED_VALUE"""),25.0)</f>
        <v>25</v>
      </c>
      <c r="B2856" s="4">
        <f>IFERROR(__xludf.DUMMYFUNCTION("""COMPUTED_VALUE"""),25.0)</f>
        <v>25</v>
      </c>
      <c r="C2856" s="4" t="str">
        <f>IFERROR(__xludf.DUMMYFUNCTION("""COMPUTED_VALUE"""),"POR")</f>
        <v>POR</v>
      </c>
      <c r="D2856" s="4" t="str">
        <f>IFERROR(__xludf.DUMMYFUNCTION("""COMPUTED_VALUE"""),"Mike Smrek")</f>
        <v>Mike Smrek</v>
      </c>
      <c r="E2856" s="4" t="str">
        <f>IFERROR(__xludf.DUMMYFUNCTION("""COMPUTED_VALUE"""),"Canisius")</f>
        <v>Canisius</v>
      </c>
      <c r="F2856" s="4">
        <f>IFERROR(__xludf.DUMMYFUNCTION("""COMPUTED_VALUE"""),7.0)</f>
        <v>7</v>
      </c>
      <c r="G2856" s="4">
        <f>IFERROR(__xludf.DUMMYFUNCTION("""COMPUTED_VALUE"""),194.0)</f>
        <v>194</v>
      </c>
      <c r="H2856" s="4">
        <f>IFERROR(__xludf.DUMMYFUNCTION("""COMPUTED_VALUE"""),1890.0)</f>
        <v>1890</v>
      </c>
      <c r="I2856" s="4">
        <f>IFERROR(__xludf.DUMMYFUNCTION("""COMPUTED_VALUE"""),554.0)</f>
        <v>554</v>
      </c>
      <c r="J2856" s="4">
        <f>IFERROR(__xludf.DUMMYFUNCTION("""COMPUTED_VALUE"""),422.0)</f>
        <v>422</v>
      </c>
      <c r="K2856" s="4">
        <f>IFERROR(__xludf.DUMMYFUNCTION("""COMPUTED_VALUE"""),49.0)</f>
        <v>49</v>
      </c>
      <c r="L2856" s="4">
        <f>IFERROR(__xludf.DUMMYFUNCTION("""COMPUTED_VALUE"""),0.431)</f>
        <v>0.431</v>
      </c>
      <c r="M2856" s="4">
        <f>IFERROR(__xludf.DUMMYFUNCTION("""COMPUTED_VALUE"""),0.0)</f>
        <v>0</v>
      </c>
      <c r="N2856" s="4">
        <f>IFERROR(__xludf.DUMMYFUNCTION("""COMPUTED_VALUE"""),0.617)</f>
        <v>0.617</v>
      </c>
      <c r="O2856" s="4">
        <f>IFERROR(__xludf.DUMMYFUNCTION("""COMPUTED_VALUE"""),9.7)</f>
        <v>9.7</v>
      </c>
      <c r="P2856" s="4">
        <f>IFERROR(__xludf.DUMMYFUNCTION("""COMPUTED_VALUE"""),2.9)</f>
        <v>2.9</v>
      </c>
      <c r="Q2856" s="4">
        <f>IFERROR(__xludf.DUMMYFUNCTION("""COMPUTED_VALUE"""),2.2)</f>
        <v>2.2</v>
      </c>
      <c r="R2856" s="4">
        <f>IFERROR(__xludf.DUMMYFUNCTION("""COMPUTED_VALUE"""),0.3)</f>
        <v>0.3</v>
      </c>
      <c r="S2856" s="4">
        <f>IFERROR(__xludf.DUMMYFUNCTION("""COMPUTED_VALUE"""),0.7)</f>
        <v>0.7</v>
      </c>
      <c r="T2856" s="4">
        <f>IFERROR(__xludf.DUMMYFUNCTION("""COMPUTED_VALUE"""),0.018)</f>
        <v>0.018</v>
      </c>
      <c r="U2856" s="4">
        <f>IFERROR(__xludf.DUMMYFUNCTION("""COMPUTED_VALUE"""),-6.1)</f>
        <v>-6.1</v>
      </c>
      <c r="V2856" s="4">
        <f>IFERROR(__xludf.DUMMYFUNCTION("""COMPUTED_VALUE"""),-1.9)</f>
        <v>-1.9</v>
      </c>
    </row>
    <row r="2857">
      <c r="A2857" s="4">
        <f>IFERROR(__xludf.DUMMYFUNCTION("""COMPUTED_VALUE"""),26.0)</f>
        <v>26</v>
      </c>
      <c r="B2857" s="4">
        <f>IFERROR(__xludf.DUMMYFUNCTION("""COMPUTED_VALUE"""),26.0)</f>
        <v>26</v>
      </c>
      <c r="C2857" s="4" t="str">
        <f>IFERROR(__xludf.DUMMYFUNCTION("""COMPUTED_VALUE"""),"IND")</f>
        <v>IND</v>
      </c>
      <c r="D2857" s="4" t="str">
        <f>IFERROR(__xludf.DUMMYFUNCTION("""COMPUTED_VALUE"""),"Bill Martin")</f>
        <v>Bill Martin</v>
      </c>
      <c r="E2857" s="4" t="str">
        <f>IFERROR(__xludf.DUMMYFUNCTION("""COMPUTED_VALUE"""),"Georgetown")</f>
        <v>Georgetown</v>
      </c>
      <c r="F2857" s="4">
        <f>IFERROR(__xludf.DUMMYFUNCTION("""COMPUTED_VALUE"""),3.0)</f>
        <v>3</v>
      </c>
      <c r="G2857" s="4">
        <f>IFERROR(__xludf.DUMMYFUNCTION("""COMPUTED_VALUE"""),84.0)</f>
        <v>84</v>
      </c>
      <c r="H2857" s="4">
        <f>IFERROR(__xludf.DUMMYFUNCTION("""COMPUTED_VALUE"""),860.0)</f>
        <v>860</v>
      </c>
      <c r="I2857" s="4">
        <f>IFERROR(__xludf.DUMMYFUNCTION("""COMPUTED_VALUE"""),397.0)</f>
        <v>397</v>
      </c>
      <c r="J2857" s="4">
        <f>IFERROR(__xludf.DUMMYFUNCTION("""COMPUTED_VALUE"""),136.0)</f>
        <v>136</v>
      </c>
      <c r="K2857" s="4">
        <f>IFERROR(__xludf.DUMMYFUNCTION("""COMPUTED_VALUE"""),58.0)</f>
        <v>58</v>
      </c>
      <c r="L2857" s="4">
        <f>IFERROR(__xludf.DUMMYFUNCTION("""COMPUTED_VALUE"""),0.449)</f>
        <v>0.449</v>
      </c>
      <c r="M2857" s="4">
        <f>IFERROR(__xludf.DUMMYFUNCTION("""COMPUTED_VALUE"""),0.0)</f>
        <v>0</v>
      </c>
      <c r="N2857" s="4">
        <f>IFERROR(__xludf.DUMMYFUNCTION("""COMPUTED_VALUE"""),0.813)</f>
        <v>0.813</v>
      </c>
      <c r="O2857" s="4">
        <f>IFERROR(__xludf.DUMMYFUNCTION("""COMPUTED_VALUE"""),10.2)</f>
        <v>10.2</v>
      </c>
      <c r="P2857" s="4">
        <f>IFERROR(__xludf.DUMMYFUNCTION("""COMPUTED_VALUE"""),4.7)</f>
        <v>4.7</v>
      </c>
      <c r="Q2857" s="4">
        <f>IFERROR(__xludf.DUMMYFUNCTION("""COMPUTED_VALUE"""),1.6)</f>
        <v>1.6</v>
      </c>
      <c r="R2857" s="4">
        <f>IFERROR(__xludf.DUMMYFUNCTION("""COMPUTED_VALUE"""),0.7)</f>
        <v>0.7</v>
      </c>
      <c r="S2857" s="4">
        <f>IFERROR(__xludf.DUMMYFUNCTION("""COMPUTED_VALUE"""),0.3)</f>
        <v>0.3</v>
      </c>
      <c r="T2857" s="4">
        <f>IFERROR(__xludf.DUMMYFUNCTION("""COMPUTED_VALUE"""),0.016)</f>
        <v>0.016</v>
      </c>
      <c r="U2857" s="4">
        <f>IFERROR(__xludf.DUMMYFUNCTION("""COMPUTED_VALUE"""),-4.4)</f>
        <v>-4.4</v>
      </c>
      <c r="V2857" s="4">
        <f>IFERROR(__xludf.DUMMYFUNCTION("""COMPUTED_VALUE"""),-0.5)</f>
        <v>-0.5</v>
      </c>
    </row>
    <row r="2858">
      <c r="A2858" s="4">
        <f>IFERROR(__xludf.DUMMYFUNCTION("""COMPUTED_VALUE"""),27.0)</f>
        <v>27</v>
      </c>
      <c r="B2858" s="4">
        <f>IFERROR(__xludf.DUMMYFUNCTION("""COMPUTED_VALUE"""),27.0)</f>
        <v>27</v>
      </c>
      <c r="C2858" s="4" t="str">
        <f>IFERROR(__xludf.DUMMYFUNCTION("""COMPUTED_VALUE"""),"IND")</f>
        <v>IND</v>
      </c>
      <c r="D2858" s="4" t="str">
        <f>IFERROR(__xludf.DUMMYFUNCTION("""COMPUTED_VALUE"""),"Dwayne McClain")</f>
        <v>Dwayne McClain</v>
      </c>
      <c r="E2858" s="4" t="str">
        <f>IFERROR(__xludf.DUMMYFUNCTION("""COMPUTED_VALUE"""),"Villanova")</f>
        <v>Villanova</v>
      </c>
      <c r="F2858" s="4">
        <f>IFERROR(__xludf.DUMMYFUNCTION("""COMPUTED_VALUE"""),1.0)</f>
        <v>1</v>
      </c>
      <c r="G2858" s="4">
        <f>IFERROR(__xludf.DUMMYFUNCTION("""COMPUTED_VALUE"""),45.0)</f>
        <v>45</v>
      </c>
      <c r="H2858" s="4">
        <f>IFERROR(__xludf.DUMMYFUNCTION("""COMPUTED_VALUE"""),461.0)</f>
        <v>461</v>
      </c>
      <c r="I2858" s="4">
        <f>IFERROR(__xludf.DUMMYFUNCTION("""COMPUTED_VALUE"""),157.0)</f>
        <v>157</v>
      </c>
      <c r="J2858" s="4">
        <f>IFERROR(__xludf.DUMMYFUNCTION("""COMPUTED_VALUE"""),30.0)</f>
        <v>30</v>
      </c>
      <c r="K2858" s="4">
        <f>IFERROR(__xludf.DUMMYFUNCTION("""COMPUTED_VALUE"""),67.0)</f>
        <v>67</v>
      </c>
      <c r="L2858" s="4">
        <f>IFERROR(__xludf.DUMMYFUNCTION("""COMPUTED_VALUE"""),0.383)</f>
        <v>0.383</v>
      </c>
      <c r="M2858" s="4">
        <f>IFERROR(__xludf.DUMMYFUNCTION("""COMPUTED_VALUE"""),0.111)</f>
        <v>0.111</v>
      </c>
      <c r="N2858" s="4">
        <f>IFERROR(__xludf.DUMMYFUNCTION("""COMPUTED_VALUE"""),0.514)</f>
        <v>0.514</v>
      </c>
      <c r="O2858" s="4">
        <f>IFERROR(__xludf.DUMMYFUNCTION("""COMPUTED_VALUE"""),10.2)</f>
        <v>10.2</v>
      </c>
      <c r="P2858" s="4">
        <f>IFERROR(__xludf.DUMMYFUNCTION("""COMPUTED_VALUE"""),3.5)</f>
        <v>3.5</v>
      </c>
      <c r="Q2858" s="4">
        <f>IFERROR(__xludf.DUMMYFUNCTION("""COMPUTED_VALUE"""),0.7)</f>
        <v>0.7</v>
      </c>
      <c r="R2858" s="4">
        <f>IFERROR(__xludf.DUMMYFUNCTION("""COMPUTED_VALUE"""),1.5)</f>
        <v>1.5</v>
      </c>
      <c r="S2858" s="4">
        <f>IFERROR(__xludf.DUMMYFUNCTION("""COMPUTED_VALUE"""),-0.3)</f>
        <v>-0.3</v>
      </c>
      <c r="T2858" s="4">
        <f>IFERROR(__xludf.DUMMYFUNCTION("""COMPUTED_VALUE"""),-0.026)</f>
        <v>-0.026</v>
      </c>
      <c r="U2858" s="4">
        <f>IFERROR(__xludf.DUMMYFUNCTION("""COMPUTED_VALUE"""),-3.8)</f>
        <v>-3.8</v>
      </c>
      <c r="V2858" s="4">
        <f>IFERROR(__xludf.DUMMYFUNCTION("""COMPUTED_VALUE"""),-0.2)</f>
        <v>-0.2</v>
      </c>
    </row>
    <row r="2859">
      <c r="A2859" s="4">
        <f>IFERROR(__xludf.DUMMYFUNCTION("""COMPUTED_VALUE"""),28.0)</f>
        <v>28</v>
      </c>
      <c r="B2859" s="4">
        <f>IFERROR(__xludf.DUMMYFUNCTION("""COMPUTED_VALUE"""),28.0)</f>
        <v>28</v>
      </c>
      <c r="C2859" s="4" t="str">
        <f>IFERROR(__xludf.DUMMYFUNCTION("""COMPUTED_VALUE"""),"CHI")</f>
        <v>CHI</v>
      </c>
      <c r="D2859" s="4" t="str">
        <f>IFERROR(__xludf.DUMMYFUNCTION("""COMPUTED_VALUE"""),"Ken Johnson")</f>
        <v>Ken Johnson</v>
      </c>
      <c r="E2859" s="4" t="str">
        <f>IFERROR(__xludf.DUMMYFUNCTION("""COMPUTED_VALUE"""),"Michigan State")</f>
        <v>Michigan State</v>
      </c>
      <c r="F2859" s="4">
        <f>IFERROR(__xludf.DUMMYFUNCTION("""COMPUTED_VALUE"""),1.0)</f>
        <v>1</v>
      </c>
      <c r="G2859" s="4">
        <f>IFERROR(__xludf.DUMMYFUNCTION("""COMPUTED_VALUE"""),64.0)</f>
        <v>64</v>
      </c>
      <c r="H2859" s="4">
        <f>IFERROR(__xludf.DUMMYFUNCTION("""COMPUTED_VALUE"""),815.0)</f>
        <v>815</v>
      </c>
      <c r="I2859" s="4">
        <f>IFERROR(__xludf.DUMMYFUNCTION("""COMPUTED_VALUE"""),263.0)</f>
        <v>263</v>
      </c>
      <c r="J2859" s="4">
        <f>IFERROR(__xludf.DUMMYFUNCTION("""COMPUTED_VALUE"""),243.0)</f>
        <v>243</v>
      </c>
      <c r="K2859" s="4">
        <f>IFERROR(__xludf.DUMMYFUNCTION("""COMPUTED_VALUE"""),19.0)</f>
        <v>19</v>
      </c>
      <c r="L2859" s="4">
        <f>IFERROR(__xludf.DUMMYFUNCTION("""COMPUTED_VALUE"""),0.528)</f>
        <v>0.528</v>
      </c>
      <c r="M2859" s="4"/>
      <c r="N2859" s="4">
        <f>IFERROR(__xludf.DUMMYFUNCTION("""COMPUTED_VALUE"""),0.435)</f>
        <v>0.435</v>
      </c>
      <c r="O2859" s="4">
        <f>IFERROR(__xludf.DUMMYFUNCTION("""COMPUTED_VALUE"""),12.7)</f>
        <v>12.7</v>
      </c>
      <c r="P2859" s="4">
        <f>IFERROR(__xludf.DUMMYFUNCTION("""COMPUTED_VALUE"""),4.1)</f>
        <v>4.1</v>
      </c>
      <c r="Q2859" s="4">
        <f>IFERROR(__xludf.DUMMYFUNCTION("""COMPUTED_VALUE"""),3.8)</f>
        <v>3.8</v>
      </c>
      <c r="R2859" s="4">
        <f>IFERROR(__xludf.DUMMYFUNCTION("""COMPUTED_VALUE"""),0.3)</f>
        <v>0.3</v>
      </c>
      <c r="S2859" s="4">
        <f>IFERROR(__xludf.DUMMYFUNCTION("""COMPUTED_VALUE"""),0.8)</f>
        <v>0.8</v>
      </c>
      <c r="T2859" s="4">
        <f>IFERROR(__xludf.DUMMYFUNCTION("""COMPUTED_VALUE"""),0.044)</f>
        <v>0.044</v>
      </c>
      <c r="U2859" s="4">
        <f>IFERROR(__xludf.DUMMYFUNCTION("""COMPUTED_VALUE"""),-4.9)</f>
        <v>-4.9</v>
      </c>
      <c r="V2859" s="4">
        <f>IFERROR(__xludf.DUMMYFUNCTION("""COMPUTED_VALUE"""),-0.6)</f>
        <v>-0.6</v>
      </c>
    </row>
    <row r="2860">
      <c r="A2860" s="4">
        <f>IFERROR(__xludf.DUMMYFUNCTION("""COMPUTED_VALUE"""),29.0)</f>
        <v>29</v>
      </c>
      <c r="B2860" s="4">
        <f>IFERROR(__xludf.DUMMYFUNCTION("""COMPUTED_VALUE"""),29.0)</f>
        <v>29</v>
      </c>
      <c r="C2860" s="4" t="str">
        <f>IFERROR(__xludf.DUMMYFUNCTION("""COMPUTED_VALUE"""),"SAS")</f>
        <v>SAS</v>
      </c>
      <c r="D2860" s="4" t="str">
        <f>IFERROR(__xludf.DUMMYFUNCTION("""COMPUTED_VALUE"""),"Mike Brittain")</f>
        <v>Mike Brittain</v>
      </c>
      <c r="E2860" s="4" t="str">
        <f>IFERROR(__xludf.DUMMYFUNCTION("""COMPUTED_VALUE"""),"South Carolina")</f>
        <v>South Carolina</v>
      </c>
      <c r="F2860" s="4">
        <f>IFERROR(__xludf.DUMMYFUNCTION("""COMPUTED_VALUE"""),2.0)</f>
        <v>2</v>
      </c>
      <c r="G2860" s="4">
        <f>IFERROR(__xludf.DUMMYFUNCTION("""COMPUTED_VALUE"""),38.0)</f>
        <v>38</v>
      </c>
      <c r="H2860" s="4">
        <f>IFERROR(__xludf.DUMMYFUNCTION("""COMPUTED_VALUE"""),248.0)</f>
        <v>248</v>
      </c>
      <c r="I2860" s="4">
        <f>IFERROR(__xludf.DUMMYFUNCTION("""COMPUTED_VALUE"""),63.0)</f>
        <v>63</v>
      </c>
      <c r="J2860" s="4">
        <f>IFERROR(__xludf.DUMMYFUNCTION("""COMPUTED_VALUE"""),53.0)</f>
        <v>53</v>
      </c>
      <c r="K2860" s="4">
        <f>IFERROR(__xludf.DUMMYFUNCTION("""COMPUTED_VALUE"""),7.0)</f>
        <v>7</v>
      </c>
      <c r="L2860" s="4">
        <f>IFERROR(__xludf.DUMMYFUNCTION("""COMPUTED_VALUE"""),0.5)</f>
        <v>0.5</v>
      </c>
      <c r="M2860" s="4"/>
      <c r="N2860" s="4">
        <f>IFERROR(__xludf.DUMMYFUNCTION("""COMPUTED_VALUE"""),0.524)</f>
        <v>0.524</v>
      </c>
      <c r="O2860" s="4">
        <f>IFERROR(__xludf.DUMMYFUNCTION("""COMPUTED_VALUE"""),6.5)</f>
        <v>6.5</v>
      </c>
      <c r="P2860" s="4">
        <f>IFERROR(__xludf.DUMMYFUNCTION("""COMPUTED_VALUE"""),1.7)</f>
        <v>1.7</v>
      </c>
      <c r="Q2860" s="4">
        <f>IFERROR(__xludf.DUMMYFUNCTION("""COMPUTED_VALUE"""),1.4)</f>
        <v>1.4</v>
      </c>
      <c r="R2860" s="4">
        <f>IFERROR(__xludf.DUMMYFUNCTION("""COMPUTED_VALUE"""),0.2)</f>
        <v>0.2</v>
      </c>
      <c r="S2860" s="4">
        <f>IFERROR(__xludf.DUMMYFUNCTION("""COMPUTED_VALUE"""),-0.1)</f>
        <v>-0.1</v>
      </c>
      <c r="T2860" s="4">
        <f>IFERROR(__xludf.DUMMYFUNCTION("""COMPUTED_VALUE"""),-0.011)</f>
        <v>-0.011</v>
      </c>
      <c r="U2860" s="4">
        <f>IFERROR(__xludf.DUMMYFUNCTION("""COMPUTED_VALUE"""),-7.6)</f>
        <v>-7.6</v>
      </c>
      <c r="V2860" s="4">
        <f>IFERROR(__xludf.DUMMYFUNCTION("""COMPUTED_VALUE"""),-0.4)</f>
        <v>-0.4</v>
      </c>
    </row>
    <row r="2861">
      <c r="A2861" s="4">
        <f>IFERROR(__xludf.DUMMYFUNCTION("""COMPUTED_VALUE"""),30.0)</f>
        <v>30</v>
      </c>
      <c r="B2861" s="4">
        <f>IFERROR(__xludf.DUMMYFUNCTION("""COMPUTED_VALUE"""),30.0)</f>
        <v>30</v>
      </c>
      <c r="C2861" s="4" t="str">
        <f>IFERROR(__xludf.DUMMYFUNCTION("""COMPUTED_VALUE"""),"CLE")</f>
        <v>CLE</v>
      </c>
      <c r="D2861" s="4" t="str">
        <f>IFERROR(__xludf.DUMMYFUNCTION("""COMPUTED_VALUE"""),"Calvin Duncan")</f>
        <v>Calvin Duncan</v>
      </c>
      <c r="E2861" s="4" t="str">
        <f>IFERROR(__xludf.DUMMYFUNCTION("""COMPUTED_VALUE"""),"VCU")</f>
        <v>VCU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</row>
    <row r="2862">
      <c r="A2862" s="4">
        <f>IFERROR(__xludf.DUMMYFUNCTION("""COMPUTED_VALUE"""),31.0)</f>
        <v>31</v>
      </c>
      <c r="B2862" s="4">
        <f>IFERROR(__xludf.DUMMYFUNCTION("""COMPUTED_VALUE"""),31.0)</f>
        <v>31</v>
      </c>
      <c r="C2862" s="4" t="str">
        <f>IFERROR(__xludf.DUMMYFUNCTION("""COMPUTED_VALUE"""),"WSB")</f>
        <v>WSB</v>
      </c>
      <c r="D2862" s="4" t="str">
        <f>IFERROR(__xludf.DUMMYFUNCTION("""COMPUTED_VALUE"""),"Manute Bol")</f>
        <v>Manute Bol</v>
      </c>
      <c r="E2862" s="4" t="str">
        <f>IFERROR(__xludf.DUMMYFUNCTION("""COMPUTED_VALUE"""),"University of Bridgeport")</f>
        <v>University of Bridgeport</v>
      </c>
      <c r="F2862" s="4">
        <f>IFERROR(__xludf.DUMMYFUNCTION("""COMPUTED_VALUE"""),10.0)</f>
        <v>10</v>
      </c>
      <c r="G2862" s="4">
        <f>IFERROR(__xludf.DUMMYFUNCTION("""COMPUTED_VALUE"""),624.0)</f>
        <v>624</v>
      </c>
      <c r="H2862" s="4">
        <f>IFERROR(__xludf.DUMMYFUNCTION("""COMPUTED_VALUE"""),11698.0)</f>
        <v>11698</v>
      </c>
      <c r="I2862" s="4">
        <f>IFERROR(__xludf.DUMMYFUNCTION("""COMPUTED_VALUE"""),1599.0)</f>
        <v>1599</v>
      </c>
      <c r="J2862" s="4">
        <f>IFERROR(__xludf.DUMMYFUNCTION("""COMPUTED_VALUE"""),2647.0)</f>
        <v>2647</v>
      </c>
      <c r="K2862" s="4">
        <f>IFERROR(__xludf.DUMMYFUNCTION("""COMPUTED_VALUE"""),171.0)</f>
        <v>171</v>
      </c>
      <c r="L2862" s="4">
        <f>IFERROR(__xludf.DUMMYFUNCTION("""COMPUTED_VALUE"""),0.407)</f>
        <v>0.407</v>
      </c>
      <c r="M2862" s="4">
        <f>IFERROR(__xludf.DUMMYFUNCTION("""COMPUTED_VALUE"""),0.21)</f>
        <v>0.21</v>
      </c>
      <c r="N2862" s="4">
        <f>IFERROR(__xludf.DUMMYFUNCTION("""COMPUTED_VALUE"""),0.561)</f>
        <v>0.561</v>
      </c>
      <c r="O2862" s="4">
        <f>IFERROR(__xludf.DUMMYFUNCTION("""COMPUTED_VALUE"""),18.7)</f>
        <v>18.7</v>
      </c>
      <c r="P2862" s="4">
        <f>IFERROR(__xludf.DUMMYFUNCTION("""COMPUTED_VALUE"""),2.6)</f>
        <v>2.6</v>
      </c>
      <c r="Q2862" s="4">
        <f>IFERROR(__xludf.DUMMYFUNCTION("""COMPUTED_VALUE"""),4.2)</f>
        <v>4.2</v>
      </c>
      <c r="R2862" s="4">
        <f>IFERROR(__xludf.DUMMYFUNCTION("""COMPUTED_VALUE"""),0.3)</f>
        <v>0.3</v>
      </c>
      <c r="S2862" s="4">
        <f>IFERROR(__xludf.DUMMYFUNCTION("""COMPUTED_VALUE"""),12.3)</f>
        <v>12.3</v>
      </c>
      <c r="T2862" s="4">
        <f>IFERROR(__xludf.DUMMYFUNCTION("""COMPUTED_VALUE"""),0.051)</f>
        <v>0.051</v>
      </c>
      <c r="U2862" s="4">
        <f>IFERROR(__xludf.DUMMYFUNCTION("""COMPUTED_VALUE"""),-0.5)</f>
        <v>-0.5</v>
      </c>
      <c r="V2862" s="4">
        <f>IFERROR(__xludf.DUMMYFUNCTION("""COMPUTED_VALUE"""),4.5)</f>
        <v>4.5</v>
      </c>
    </row>
    <row r="2863">
      <c r="A2863" s="4">
        <f>IFERROR(__xludf.DUMMYFUNCTION("""COMPUTED_VALUE"""),32.0)</f>
        <v>32</v>
      </c>
      <c r="B2863" s="4">
        <f>IFERROR(__xludf.DUMMYFUNCTION("""COMPUTED_VALUE"""),32.0)</f>
        <v>32</v>
      </c>
      <c r="C2863" s="4" t="str">
        <f>IFERROR(__xludf.DUMMYFUNCTION("""COMPUTED_VALUE"""),"PHO")</f>
        <v>PHO</v>
      </c>
      <c r="D2863" s="4" t="str">
        <f>IFERROR(__xludf.DUMMYFUNCTION("""COMPUTED_VALUE"""),"Nick Vanos")</f>
        <v>Nick Vanos</v>
      </c>
      <c r="E2863" s="4" t="str">
        <f>IFERROR(__xludf.DUMMYFUNCTION("""COMPUTED_VALUE"""),"Santa Clara")</f>
        <v>Santa Clara</v>
      </c>
      <c r="F2863" s="4">
        <f>IFERROR(__xludf.DUMMYFUNCTION("""COMPUTED_VALUE"""),2.0)</f>
        <v>2</v>
      </c>
      <c r="G2863" s="4">
        <f>IFERROR(__xludf.DUMMYFUNCTION("""COMPUTED_VALUE"""),68.0)</f>
        <v>68</v>
      </c>
      <c r="H2863" s="4">
        <f>IFERROR(__xludf.DUMMYFUNCTION("""COMPUTED_VALUE"""),842.0)</f>
        <v>842</v>
      </c>
      <c r="I2863" s="4">
        <f>IFERROR(__xludf.DUMMYFUNCTION("""COMPUTED_VALUE"""),222.0)</f>
        <v>222</v>
      </c>
      <c r="J2863" s="4">
        <f>IFERROR(__xludf.DUMMYFUNCTION("""COMPUTED_VALUE"""),240.0)</f>
        <v>240</v>
      </c>
      <c r="K2863" s="4">
        <f>IFERROR(__xludf.DUMMYFUNCTION("""COMPUTED_VALUE"""),59.0)</f>
        <v>59</v>
      </c>
      <c r="L2863" s="4">
        <f>IFERROR(__xludf.DUMMYFUNCTION("""COMPUTED_VALUE"""),0.383)</f>
        <v>0.383</v>
      </c>
      <c r="M2863" s="4">
        <f>IFERROR(__xludf.DUMMYFUNCTION("""COMPUTED_VALUE"""),0.0)</f>
        <v>0</v>
      </c>
      <c r="N2863" s="4">
        <f>IFERROR(__xludf.DUMMYFUNCTION("""COMPUTED_VALUE"""),0.561)</f>
        <v>0.561</v>
      </c>
      <c r="O2863" s="4">
        <f>IFERROR(__xludf.DUMMYFUNCTION("""COMPUTED_VALUE"""),12.4)</f>
        <v>12.4</v>
      </c>
      <c r="P2863" s="4">
        <f>IFERROR(__xludf.DUMMYFUNCTION("""COMPUTED_VALUE"""),3.3)</f>
        <v>3.3</v>
      </c>
      <c r="Q2863" s="4">
        <f>IFERROR(__xludf.DUMMYFUNCTION("""COMPUTED_VALUE"""),3.5)</f>
        <v>3.5</v>
      </c>
      <c r="R2863" s="4">
        <f>IFERROR(__xludf.DUMMYFUNCTION("""COMPUTED_VALUE"""),0.9)</f>
        <v>0.9</v>
      </c>
      <c r="S2863" s="4">
        <f>IFERROR(__xludf.DUMMYFUNCTION("""COMPUTED_VALUE"""),-0.1)</f>
        <v>-0.1</v>
      </c>
      <c r="T2863" s="4">
        <f>IFERROR(__xludf.DUMMYFUNCTION("""COMPUTED_VALUE"""),-0.007)</f>
        <v>-0.007</v>
      </c>
      <c r="U2863" s="4">
        <f>IFERROR(__xludf.DUMMYFUNCTION("""COMPUTED_VALUE"""),-5.5)</f>
        <v>-5.5</v>
      </c>
      <c r="V2863" s="4">
        <f>IFERROR(__xludf.DUMMYFUNCTION("""COMPUTED_VALUE"""),-0.7)</f>
        <v>-0.7</v>
      </c>
    </row>
    <row r="2864">
      <c r="A2864" s="4">
        <f>IFERROR(__xludf.DUMMYFUNCTION("""COMPUTED_VALUE"""),33.0)</f>
        <v>33</v>
      </c>
      <c r="B2864" s="4">
        <f>IFERROR(__xludf.DUMMYFUNCTION("""COMPUTED_VALUE"""),33.0)</f>
        <v>33</v>
      </c>
      <c r="C2864" s="4" t="str">
        <f>IFERROR(__xludf.DUMMYFUNCTION("""COMPUTED_VALUE"""),"PHI")</f>
        <v>PHI</v>
      </c>
      <c r="D2864" s="4" t="str">
        <f>IFERROR(__xludf.DUMMYFUNCTION("""COMPUTED_VALUE"""),"Greg Stokes")</f>
        <v>Greg Stokes</v>
      </c>
      <c r="E2864" s="4" t="str">
        <f>IFERROR(__xludf.DUMMYFUNCTION("""COMPUTED_VALUE"""),"Iowa")</f>
        <v>Iowa</v>
      </c>
      <c r="F2864" s="4">
        <f>IFERROR(__xludf.DUMMYFUNCTION("""COMPUTED_VALUE"""),2.0)</f>
        <v>2</v>
      </c>
      <c r="G2864" s="4">
        <f>IFERROR(__xludf.DUMMYFUNCTION("""COMPUTED_VALUE"""),42.0)</f>
        <v>42</v>
      </c>
      <c r="H2864" s="4">
        <f>IFERROR(__xludf.DUMMYFUNCTION("""COMPUTED_VALUE"""),384.0)</f>
        <v>384</v>
      </c>
      <c r="I2864" s="4">
        <f>IFERROR(__xludf.DUMMYFUNCTION("""COMPUTED_VALUE"""),130.0)</f>
        <v>130</v>
      </c>
      <c r="J2864" s="4">
        <f>IFERROR(__xludf.DUMMYFUNCTION("""COMPUTED_VALUE"""),62.0)</f>
        <v>62</v>
      </c>
      <c r="K2864" s="4">
        <f>IFERROR(__xludf.DUMMYFUNCTION("""COMPUTED_VALUE"""),17.0)</f>
        <v>17</v>
      </c>
      <c r="L2864" s="4">
        <f>IFERROR(__xludf.DUMMYFUNCTION("""COMPUTED_VALUE"""),0.445)</f>
        <v>0.445</v>
      </c>
      <c r="M2864" s="4">
        <f>IFERROR(__xludf.DUMMYFUNCTION("""COMPUTED_VALUE"""),0.0)</f>
        <v>0</v>
      </c>
      <c r="N2864" s="4">
        <f>IFERROR(__xludf.DUMMYFUNCTION("""COMPUTED_VALUE"""),0.696)</f>
        <v>0.696</v>
      </c>
      <c r="O2864" s="4">
        <f>IFERROR(__xludf.DUMMYFUNCTION("""COMPUTED_VALUE"""),9.1)</f>
        <v>9.1</v>
      </c>
      <c r="P2864" s="4">
        <f>IFERROR(__xludf.DUMMYFUNCTION("""COMPUTED_VALUE"""),3.1)</f>
        <v>3.1</v>
      </c>
      <c r="Q2864" s="4">
        <f>IFERROR(__xludf.DUMMYFUNCTION("""COMPUTED_VALUE"""),1.5)</f>
        <v>1.5</v>
      </c>
      <c r="R2864" s="4">
        <f>IFERROR(__xludf.DUMMYFUNCTION("""COMPUTED_VALUE"""),0.4)</f>
        <v>0.4</v>
      </c>
      <c r="S2864" s="4">
        <f>IFERROR(__xludf.DUMMYFUNCTION("""COMPUTED_VALUE"""),0.3)</f>
        <v>0.3</v>
      </c>
      <c r="T2864" s="4">
        <f>IFERROR(__xludf.DUMMYFUNCTION("""COMPUTED_VALUE"""),0.041)</f>
        <v>0.041</v>
      </c>
      <c r="U2864" s="4">
        <f>IFERROR(__xludf.DUMMYFUNCTION("""COMPUTED_VALUE"""),-4.1)</f>
        <v>-4.1</v>
      </c>
      <c r="V2864" s="4">
        <f>IFERROR(__xludf.DUMMYFUNCTION("""COMPUTED_VALUE"""),-0.2)</f>
        <v>-0.2</v>
      </c>
    </row>
    <row r="2865">
      <c r="A2865" s="4">
        <f>IFERROR(__xludf.DUMMYFUNCTION("""COMPUTED_VALUE"""),34.0)</f>
        <v>34</v>
      </c>
      <c r="B2865" s="4">
        <f>IFERROR(__xludf.DUMMYFUNCTION("""COMPUTED_VALUE"""),34.0)</f>
        <v>34</v>
      </c>
      <c r="C2865" s="4" t="str">
        <f>IFERROR(__xludf.DUMMYFUNCTION("""COMPUTED_VALUE"""),"CHI")</f>
        <v>CHI</v>
      </c>
      <c r="D2865" s="4" t="str">
        <f>IFERROR(__xludf.DUMMYFUNCTION("""COMPUTED_VALUE"""),"Aubrey Sherrod")</f>
        <v>Aubrey Sherrod</v>
      </c>
      <c r="E2865" s="4" t="str">
        <f>IFERROR(__xludf.DUMMYFUNCTION("""COMPUTED_VALUE"""),"Wichita State")</f>
        <v>Wichita State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</row>
    <row r="2866">
      <c r="A2866" s="4">
        <f>IFERROR(__xludf.DUMMYFUNCTION("""COMPUTED_VALUE"""),35.0)</f>
        <v>35</v>
      </c>
      <c r="B2866" s="4">
        <f>IFERROR(__xludf.DUMMYFUNCTION("""COMPUTED_VALUE"""),35.0)</f>
        <v>35</v>
      </c>
      <c r="C2866" s="4" t="str">
        <f>IFERROR(__xludf.DUMMYFUNCTION("""COMPUTED_VALUE"""),"SAS")</f>
        <v>SAS</v>
      </c>
      <c r="D2866" s="4" t="str">
        <f>IFERROR(__xludf.DUMMYFUNCTION("""COMPUTED_VALUE"""),"Tyrone Corbin")</f>
        <v>Tyrone Corbin</v>
      </c>
      <c r="E2866" s="4" t="str">
        <f>IFERROR(__xludf.DUMMYFUNCTION("""COMPUTED_VALUE"""),"DePaul")</f>
        <v>DePaul</v>
      </c>
      <c r="F2866" s="4">
        <f>IFERROR(__xludf.DUMMYFUNCTION("""COMPUTED_VALUE"""),16.0)</f>
        <v>16</v>
      </c>
      <c r="G2866" s="4">
        <f>IFERROR(__xludf.DUMMYFUNCTION("""COMPUTED_VALUE"""),1065.0)</f>
        <v>1065</v>
      </c>
      <c r="H2866" s="4">
        <f>IFERROR(__xludf.DUMMYFUNCTION("""COMPUTED_VALUE"""),27657.0)</f>
        <v>27657</v>
      </c>
      <c r="I2866" s="4">
        <f>IFERROR(__xludf.DUMMYFUNCTION("""COMPUTED_VALUE"""),9766.0)</f>
        <v>9766</v>
      </c>
      <c r="J2866" s="4">
        <f>IFERROR(__xludf.DUMMYFUNCTION("""COMPUTED_VALUE"""),5046.0)</f>
        <v>5046</v>
      </c>
      <c r="K2866" s="4">
        <f>IFERROR(__xludf.DUMMYFUNCTION("""COMPUTED_VALUE"""),1894.0)</f>
        <v>1894</v>
      </c>
      <c r="L2866" s="4">
        <f>IFERROR(__xludf.DUMMYFUNCTION("""COMPUTED_VALUE"""),0.456)</f>
        <v>0.456</v>
      </c>
      <c r="M2866" s="4">
        <f>IFERROR(__xludf.DUMMYFUNCTION("""COMPUTED_VALUE"""),0.299)</f>
        <v>0.299</v>
      </c>
      <c r="N2866" s="4">
        <f>IFERROR(__xludf.DUMMYFUNCTION("""COMPUTED_VALUE"""),0.791)</f>
        <v>0.791</v>
      </c>
      <c r="O2866" s="4">
        <f>IFERROR(__xludf.DUMMYFUNCTION("""COMPUTED_VALUE"""),26.0)</f>
        <v>26</v>
      </c>
      <c r="P2866" s="4">
        <f>IFERROR(__xludf.DUMMYFUNCTION("""COMPUTED_VALUE"""),9.2)</f>
        <v>9.2</v>
      </c>
      <c r="Q2866" s="4">
        <f>IFERROR(__xludf.DUMMYFUNCTION("""COMPUTED_VALUE"""),4.7)</f>
        <v>4.7</v>
      </c>
      <c r="R2866" s="4">
        <f>IFERROR(__xludf.DUMMYFUNCTION("""COMPUTED_VALUE"""),1.8)</f>
        <v>1.8</v>
      </c>
      <c r="S2866" s="4">
        <f>IFERROR(__xludf.DUMMYFUNCTION("""COMPUTED_VALUE"""),56.5)</f>
        <v>56.5</v>
      </c>
      <c r="T2866" s="4">
        <f>IFERROR(__xludf.DUMMYFUNCTION("""COMPUTED_VALUE"""),0.098)</f>
        <v>0.098</v>
      </c>
      <c r="U2866" s="4">
        <f>IFERROR(__xludf.DUMMYFUNCTION("""COMPUTED_VALUE"""),-0.3)</f>
        <v>-0.3</v>
      </c>
      <c r="V2866" s="4">
        <f>IFERROR(__xludf.DUMMYFUNCTION("""COMPUTED_VALUE"""),12.0)</f>
        <v>12</v>
      </c>
    </row>
    <row r="2867">
      <c r="A2867" s="4">
        <f>IFERROR(__xludf.DUMMYFUNCTION("""COMPUTED_VALUE"""),36.0)</f>
        <v>36</v>
      </c>
      <c r="B2867" s="4">
        <f>IFERROR(__xludf.DUMMYFUNCTION("""COMPUTED_VALUE"""),36.0)</f>
        <v>36</v>
      </c>
      <c r="C2867" s="4" t="str">
        <f>IFERROR(__xludf.DUMMYFUNCTION("""COMPUTED_VALUE"""),"NJN")</f>
        <v>NJN</v>
      </c>
      <c r="D2867" s="4" t="str">
        <f>IFERROR(__xludf.DUMMYFUNCTION("""COMPUTED_VALUE"""),"Yvon Joseph")</f>
        <v>Yvon Joseph</v>
      </c>
      <c r="E2867" s="4" t="str">
        <f>IFERROR(__xludf.DUMMYFUNCTION("""COMPUTED_VALUE"""),"Georgia Tech")</f>
        <v>Georgia Tech</v>
      </c>
      <c r="F2867" s="4">
        <f>IFERROR(__xludf.DUMMYFUNCTION("""COMPUTED_VALUE"""),1.0)</f>
        <v>1</v>
      </c>
      <c r="G2867" s="4">
        <f>IFERROR(__xludf.DUMMYFUNCTION("""COMPUTED_VALUE"""),1.0)</f>
        <v>1</v>
      </c>
      <c r="H2867" s="4">
        <f>IFERROR(__xludf.DUMMYFUNCTION("""COMPUTED_VALUE"""),5.0)</f>
        <v>5</v>
      </c>
      <c r="I2867" s="4">
        <f>IFERROR(__xludf.DUMMYFUNCTION("""COMPUTED_VALUE"""),2.0)</f>
        <v>2</v>
      </c>
      <c r="J2867" s="4">
        <f>IFERROR(__xludf.DUMMYFUNCTION("""COMPUTED_VALUE"""),0.0)</f>
        <v>0</v>
      </c>
      <c r="K2867" s="4">
        <f>IFERROR(__xludf.DUMMYFUNCTION("""COMPUTED_VALUE"""),0.0)</f>
        <v>0</v>
      </c>
      <c r="L2867" s="4"/>
      <c r="M2867" s="4"/>
      <c r="N2867" s="4">
        <f>IFERROR(__xludf.DUMMYFUNCTION("""COMPUTED_VALUE"""),1.0)</f>
        <v>1</v>
      </c>
      <c r="O2867" s="4">
        <f>IFERROR(__xludf.DUMMYFUNCTION("""COMPUTED_VALUE"""),5.0)</f>
        <v>5</v>
      </c>
      <c r="P2867" s="4">
        <f>IFERROR(__xludf.DUMMYFUNCTION("""COMPUTED_VALUE"""),2.0)</f>
        <v>2</v>
      </c>
      <c r="Q2867" s="4">
        <f>IFERROR(__xludf.DUMMYFUNCTION("""COMPUTED_VALUE"""),0.0)</f>
        <v>0</v>
      </c>
      <c r="R2867" s="4">
        <f>IFERROR(__xludf.DUMMYFUNCTION("""COMPUTED_VALUE"""),0.0)</f>
        <v>0</v>
      </c>
      <c r="S2867" s="4">
        <f>IFERROR(__xludf.DUMMYFUNCTION("""COMPUTED_VALUE"""),0.0)</f>
        <v>0</v>
      </c>
      <c r="T2867" s="4">
        <f>IFERROR(__xludf.DUMMYFUNCTION("""COMPUTED_VALUE"""),0.309)</f>
        <v>0.309</v>
      </c>
      <c r="U2867" s="4">
        <f>IFERROR(__xludf.DUMMYFUNCTION("""COMPUTED_VALUE"""),0.7)</f>
        <v>0.7</v>
      </c>
      <c r="V2867" s="4">
        <f>IFERROR(__xludf.DUMMYFUNCTION("""COMPUTED_VALUE"""),0.0)</f>
        <v>0</v>
      </c>
    </row>
    <row r="2868">
      <c r="A2868" s="4">
        <f>IFERROR(__xludf.DUMMYFUNCTION("""COMPUTED_VALUE"""),37.0)</f>
        <v>37</v>
      </c>
      <c r="B2868" s="4">
        <f>IFERROR(__xludf.DUMMYFUNCTION("""COMPUTED_VALUE"""),37.0)</f>
        <v>37</v>
      </c>
      <c r="C2868" s="4" t="str">
        <f>IFERROR(__xludf.DUMMYFUNCTION("""COMPUTED_VALUE"""),"UTA")</f>
        <v>UTA</v>
      </c>
      <c r="D2868" s="4" t="str">
        <f>IFERROR(__xludf.DUMMYFUNCTION("""COMPUTED_VALUE"""),"Carey Scurry")</f>
        <v>Carey Scurry</v>
      </c>
      <c r="E2868" s="4" t="str">
        <f>IFERROR(__xludf.DUMMYFUNCTION("""COMPUTED_VALUE"""),"Long Island University")</f>
        <v>Long Island University</v>
      </c>
      <c r="F2868" s="4">
        <f>IFERROR(__xludf.DUMMYFUNCTION("""COMPUTED_VALUE"""),3.0)</f>
        <v>3</v>
      </c>
      <c r="G2868" s="4">
        <f>IFERROR(__xludf.DUMMYFUNCTION("""COMPUTED_VALUE"""),180.0)</f>
        <v>180</v>
      </c>
      <c r="H2868" s="4">
        <f>IFERROR(__xludf.DUMMYFUNCTION("""COMPUTED_VALUE"""),2376.0)</f>
        <v>2376</v>
      </c>
      <c r="I2868" s="4">
        <f>IFERROR(__xludf.DUMMYFUNCTION("""COMPUTED_VALUE"""),847.0)</f>
        <v>847</v>
      </c>
      <c r="J2868" s="4">
        <f>IFERROR(__xludf.DUMMYFUNCTION("""COMPUTED_VALUE"""),524.0)</f>
        <v>524</v>
      </c>
      <c r="K2868" s="4">
        <f>IFERROR(__xludf.DUMMYFUNCTION("""COMPUTED_VALUE"""),192.0)</f>
        <v>192</v>
      </c>
      <c r="L2868" s="4">
        <f>IFERROR(__xludf.DUMMYFUNCTION("""COMPUTED_VALUE"""),0.48)</f>
        <v>0.48</v>
      </c>
      <c r="M2868" s="4">
        <f>IFERROR(__xludf.DUMMYFUNCTION("""COMPUTED_VALUE"""),0.25)</f>
        <v>0.25</v>
      </c>
      <c r="N2868" s="4">
        <f>IFERROR(__xludf.DUMMYFUNCTION("""COMPUTED_VALUE"""),0.666)</f>
        <v>0.666</v>
      </c>
      <c r="O2868" s="4">
        <f>IFERROR(__xludf.DUMMYFUNCTION("""COMPUTED_VALUE"""),13.2)</f>
        <v>13.2</v>
      </c>
      <c r="P2868" s="4">
        <f>IFERROR(__xludf.DUMMYFUNCTION("""COMPUTED_VALUE"""),4.7)</f>
        <v>4.7</v>
      </c>
      <c r="Q2868" s="4">
        <f>IFERROR(__xludf.DUMMYFUNCTION("""COMPUTED_VALUE"""),2.9)</f>
        <v>2.9</v>
      </c>
      <c r="R2868" s="4">
        <f>IFERROR(__xludf.DUMMYFUNCTION("""COMPUTED_VALUE"""),1.1)</f>
        <v>1.1</v>
      </c>
      <c r="S2868" s="4">
        <f>IFERROR(__xludf.DUMMYFUNCTION("""COMPUTED_VALUE"""),5.3)</f>
        <v>5.3</v>
      </c>
      <c r="T2868" s="4">
        <f>IFERROR(__xludf.DUMMYFUNCTION("""COMPUTED_VALUE"""),0.107)</f>
        <v>0.107</v>
      </c>
      <c r="U2868" s="4">
        <f>IFERROR(__xludf.DUMMYFUNCTION("""COMPUTED_VALUE"""),1.7)</f>
        <v>1.7</v>
      </c>
      <c r="V2868" s="4">
        <f>IFERROR(__xludf.DUMMYFUNCTION("""COMPUTED_VALUE"""),2.2)</f>
        <v>2.2</v>
      </c>
    </row>
    <row r="2869">
      <c r="A2869" s="4">
        <f>IFERROR(__xludf.DUMMYFUNCTION("""COMPUTED_VALUE"""),38.0)</f>
        <v>38</v>
      </c>
      <c r="B2869" s="4">
        <f>IFERROR(__xludf.DUMMYFUNCTION("""COMPUTED_VALUE"""),38.0)</f>
        <v>38</v>
      </c>
      <c r="C2869" s="4" t="str">
        <f>IFERROR(__xludf.DUMMYFUNCTION("""COMPUTED_VALUE"""),"NJN")</f>
        <v>NJN</v>
      </c>
      <c r="D2869" s="4" t="str">
        <f>IFERROR(__xludf.DUMMYFUNCTION("""COMPUTED_VALUE"""),"Fernando Martín")</f>
        <v>Fernando Martín</v>
      </c>
      <c r="E2869" s="4"/>
      <c r="F2869" s="4">
        <f>IFERROR(__xludf.DUMMYFUNCTION("""COMPUTED_VALUE"""),1.0)</f>
        <v>1</v>
      </c>
      <c r="G2869" s="4">
        <f>IFERROR(__xludf.DUMMYFUNCTION("""COMPUTED_VALUE"""),24.0)</f>
        <v>24</v>
      </c>
      <c r="H2869" s="4">
        <f>IFERROR(__xludf.DUMMYFUNCTION("""COMPUTED_VALUE"""),146.0)</f>
        <v>146</v>
      </c>
      <c r="I2869" s="4">
        <f>IFERROR(__xludf.DUMMYFUNCTION("""COMPUTED_VALUE"""),22.0)</f>
        <v>22</v>
      </c>
      <c r="J2869" s="4">
        <f>IFERROR(__xludf.DUMMYFUNCTION("""COMPUTED_VALUE"""),28.0)</f>
        <v>28</v>
      </c>
      <c r="K2869" s="4">
        <f>IFERROR(__xludf.DUMMYFUNCTION("""COMPUTED_VALUE"""),9.0)</f>
        <v>9</v>
      </c>
      <c r="L2869" s="4">
        <f>IFERROR(__xludf.DUMMYFUNCTION("""COMPUTED_VALUE"""),0.29)</f>
        <v>0.29</v>
      </c>
      <c r="M2869" s="4">
        <f>IFERROR(__xludf.DUMMYFUNCTION("""COMPUTED_VALUE"""),0.0)</f>
        <v>0</v>
      </c>
      <c r="N2869" s="4">
        <f>IFERROR(__xludf.DUMMYFUNCTION("""COMPUTED_VALUE"""),0.364)</f>
        <v>0.364</v>
      </c>
      <c r="O2869" s="4">
        <f>IFERROR(__xludf.DUMMYFUNCTION("""COMPUTED_VALUE"""),6.1)</f>
        <v>6.1</v>
      </c>
      <c r="P2869" s="4">
        <f>IFERROR(__xludf.DUMMYFUNCTION("""COMPUTED_VALUE"""),0.9)</f>
        <v>0.9</v>
      </c>
      <c r="Q2869" s="4">
        <f>IFERROR(__xludf.DUMMYFUNCTION("""COMPUTED_VALUE"""),1.2)</f>
        <v>1.2</v>
      </c>
      <c r="R2869" s="4">
        <f>IFERROR(__xludf.DUMMYFUNCTION("""COMPUTED_VALUE"""),0.4)</f>
        <v>0.4</v>
      </c>
      <c r="S2869" s="4">
        <f>IFERROR(__xludf.DUMMYFUNCTION("""COMPUTED_VALUE"""),-0.4)</f>
        <v>-0.4</v>
      </c>
      <c r="T2869" s="4">
        <f>IFERROR(__xludf.DUMMYFUNCTION("""COMPUTED_VALUE"""),-0.144)</f>
        <v>-0.144</v>
      </c>
      <c r="U2869" s="4">
        <f>IFERROR(__xludf.DUMMYFUNCTION("""COMPUTED_VALUE"""),-10.3)</f>
        <v>-10.3</v>
      </c>
      <c r="V2869" s="4">
        <f>IFERROR(__xludf.DUMMYFUNCTION("""COMPUTED_VALUE"""),-0.3)</f>
        <v>-0.3</v>
      </c>
    </row>
    <row r="2870">
      <c r="A2870" s="4">
        <f>IFERROR(__xludf.DUMMYFUNCTION("""COMPUTED_VALUE"""),39.0)</f>
        <v>39</v>
      </c>
      <c r="B2870" s="4">
        <f>IFERROR(__xludf.DUMMYFUNCTION("""COMPUTED_VALUE"""),39.0)</f>
        <v>39</v>
      </c>
      <c r="C2870" s="4" t="str">
        <f>IFERROR(__xludf.DUMMYFUNCTION("""COMPUTED_VALUE"""),"POR")</f>
        <v>POR</v>
      </c>
      <c r="D2870" s="4" t="str">
        <f>IFERROR(__xludf.DUMMYFUNCTION("""COMPUTED_VALUE"""),"George Montgomery")</f>
        <v>George Montgomery</v>
      </c>
      <c r="E2870" s="4" t="str">
        <f>IFERROR(__xludf.DUMMYFUNCTION("""COMPUTED_VALUE"""),"Illinois")</f>
        <v>Illinois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</row>
    <row r="2871">
      <c r="A2871" s="4">
        <f>IFERROR(__xludf.DUMMYFUNCTION("""COMPUTED_VALUE"""),40.0)</f>
        <v>40</v>
      </c>
      <c r="B2871" s="4">
        <f>IFERROR(__xludf.DUMMYFUNCTION("""COMPUTED_VALUE"""),40.0)</f>
        <v>40</v>
      </c>
      <c r="C2871" s="4" t="str">
        <f>IFERROR(__xludf.DUMMYFUNCTION("""COMPUTED_VALUE"""),"DAL")</f>
        <v>DAL</v>
      </c>
      <c r="D2871" s="4" t="str">
        <f>IFERROR(__xludf.DUMMYFUNCTION("""COMPUTED_VALUE"""),"Mark Acres")</f>
        <v>Mark Acres</v>
      </c>
      <c r="E2871" s="4" t="str">
        <f>IFERROR(__xludf.DUMMYFUNCTION("""COMPUTED_VALUE"""),"Oral Roberts")</f>
        <v>Oral Roberts</v>
      </c>
      <c r="F2871" s="4">
        <f>IFERROR(__xludf.DUMMYFUNCTION("""COMPUTED_VALUE"""),6.0)</f>
        <v>6</v>
      </c>
      <c r="G2871" s="4">
        <f>IFERROR(__xludf.DUMMYFUNCTION("""COMPUTED_VALUE"""),375.0)</f>
        <v>375</v>
      </c>
      <c r="H2871" s="4">
        <f>IFERROR(__xludf.DUMMYFUNCTION("""COMPUTED_VALUE"""),5982.0)</f>
        <v>5982</v>
      </c>
      <c r="I2871" s="4">
        <f>IFERROR(__xludf.DUMMYFUNCTION("""COMPUTED_VALUE"""),1343.0)</f>
        <v>1343</v>
      </c>
      <c r="J2871" s="4">
        <f>IFERROR(__xludf.DUMMYFUNCTION("""COMPUTED_VALUE"""),1525.0)</f>
        <v>1525</v>
      </c>
      <c r="K2871" s="4">
        <f>IFERROR(__xludf.DUMMYFUNCTION("""COMPUTED_VALUE"""),180.0)</f>
        <v>180</v>
      </c>
      <c r="L2871" s="4">
        <f>IFERROR(__xludf.DUMMYFUNCTION("""COMPUTED_VALUE"""),0.506)</f>
        <v>0.506</v>
      </c>
      <c r="M2871" s="4">
        <f>IFERROR(__xludf.DUMMYFUNCTION("""COMPUTED_VALUE"""),0.538)</f>
        <v>0.538</v>
      </c>
      <c r="N2871" s="4">
        <f>IFERROR(__xludf.DUMMYFUNCTION("""COMPUTED_VALUE"""),0.665)</f>
        <v>0.665</v>
      </c>
      <c r="O2871" s="4">
        <f>IFERROR(__xludf.DUMMYFUNCTION("""COMPUTED_VALUE"""),16.0)</f>
        <v>16</v>
      </c>
      <c r="P2871" s="4">
        <f>IFERROR(__xludf.DUMMYFUNCTION("""COMPUTED_VALUE"""),3.6)</f>
        <v>3.6</v>
      </c>
      <c r="Q2871" s="4">
        <f>IFERROR(__xludf.DUMMYFUNCTION("""COMPUTED_VALUE"""),4.1)</f>
        <v>4.1</v>
      </c>
      <c r="R2871" s="4">
        <f>IFERROR(__xludf.DUMMYFUNCTION("""COMPUTED_VALUE"""),0.5)</f>
        <v>0.5</v>
      </c>
      <c r="S2871" s="4">
        <f>IFERROR(__xludf.DUMMYFUNCTION("""COMPUTED_VALUE"""),9.3)</f>
        <v>9.3</v>
      </c>
      <c r="T2871" s="4">
        <f>IFERROR(__xludf.DUMMYFUNCTION("""COMPUTED_VALUE"""),0.075)</f>
        <v>0.075</v>
      </c>
      <c r="U2871" s="4">
        <f>IFERROR(__xludf.DUMMYFUNCTION("""COMPUTED_VALUE"""),-3.3)</f>
        <v>-3.3</v>
      </c>
      <c r="V2871" s="4">
        <f>IFERROR(__xludf.DUMMYFUNCTION("""COMPUTED_VALUE"""),-1.9)</f>
        <v>-1.9</v>
      </c>
    </row>
    <row r="2872">
      <c r="A2872" s="4">
        <f>IFERROR(__xludf.DUMMYFUNCTION("""COMPUTED_VALUE"""),41.0)</f>
        <v>41</v>
      </c>
      <c r="B2872" s="4">
        <f>IFERROR(__xludf.DUMMYFUNCTION("""COMPUTED_VALUE"""),41.0)</f>
        <v>41</v>
      </c>
      <c r="C2872" s="4" t="str">
        <f>IFERROR(__xludf.DUMMYFUNCTION("""COMPUTED_VALUE"""),"ATL")</f>
        <v>ATL</v>
      </c>
      <c r="D2872" s="4" t="str">
        <f>IFERROR(__xludf.DUMMYFUNCTION("""COMPUTED_VALUE"""),"Lorenzo Charles")</f>
        <v>Lorenzo Charles</v>
      </c>
      <c r="E2872" s="4" t="str">
        <f>IFERROR(__xludf.DUMMYFUNCTION("""COMPUTED_VALUE"""),"NC State")</f>
        <v>NC State</v>
      </c>
      <c r="F2872" s="4">
        <f>IFERROR(__xludf.DUMMYFUNCTION("""COMPUTED_VALUE"""),1.0)</f>
        <v>1</v>
      </c>
      <c r="G2872" s="4">
        <f>IFERROR(__xludf.DUMMYFUNCTION("""COMPUTED_VALUE"""),36.0)</f>
        <v>36</v>
      </c>
      <c r="H2872" s="4">
        <f>IFERROR(__xludf.DUMMYFUNCTION("""COMPUTED_VALUE"""),273.0)</f>
        <v>273</v>
      </c>
      <c r="I2872" s="4">
        <f>IFERROR(__xludf.DUMMYFUNCTION("""COMPUTED_VALUE"""),122.0)</f>
        <v>122</v>
      </c>
      <c r="J2872" s="4">
        <f>IFERROR(__xludf.DUMMYFUNCTION("""COMPUTED_VALUE"""),39.0)</f>
        <v>39</v>
      </c>
      <c r="K2872" s="4">
        <f>IFERROR(__xludf.DUMMYFUNCTION("""COMPUTED_VALUE"""),8.0)</f>
        <v>8</v>
      </c>
      <c r="L2872" s="4">
        <f>IFERROR(__xludf.DUMMYFUNCTION("""COMPUTED_VALUE"""),0.557)</f>
        <v>0.557</v>
      </c>
      <c r="M2872" s="4"/>
      <c r="N2872" s="4">
        <f>IFERROR(__xludf.DUMMYFUNCTION("""COMPUTED_VALUE"""),0.667)</f>
        <v>0.667</v>
      </c>
      <c r="O2872" s="4">
        <f>IFERROR(__xludf.DUMMYFUNCTION("""COMPUTED_VALUE"""),7.6)</f>
        <v>7.6</v>
      </c>
      <c r="P2872" s="4">
        <f>IFERROR(__xludf.DUMMYFUNCTION("""COMPUTED_VALUE"""),3.4)</f>
        <v>3.4</v>
      </c>
      <c r="Q2872" s="4">
        <f>IFERROR(__xludf.DUMMYFUNCTION("""COMPUTED_VALUE"""),1.1)</f>
        <v>1.1</v>
      </c>
      <c r="R2872" s="4">
        <f>IFERROR(__xludf.DUMMYFUNCTION("""COMPUTED_VALUE"""),0.2)</f>
        <v>0.2</v>
      </c>
      <c r="S2872" s="4">
        <f>IFERROR(__xludf.DUMMYFUNCTION("""COMPUTED_VALUE"""),0.5)</f>
        <v>0.5</v>
      </c>
      <c r="T2872" s="4">
        <f>IFERROR(__xludf.DUMMYFUNCTION("""COMPUTED_VALUE"""),0.086)</f>
        <v>0.086</v>
      </c>
      <c r="U2872" s="4">
        <f>IFERROR(__xludf.DUMMYFUNCTION("""COMPUTED_VALUE"""),-1.6)</f>
        <v>-1.6</v>
      </c>
      <c r="V2872" s="4">
        <f>IFERROR(__xludf.DUMMYFUNCTION("""COMPUTED_VALUE"""),0.0)</f>
        <v>0</v>
      </c>
    </row>
    <row r="2873">
      <c r="A2873" s="4">
        <f>IFERROR(__xludf.DUMMYFUNCTION("""COMPUTED_VALUE"""),42.0)</f>
        <v>42</v>
      </c>
      <c r="B2873" s="4">
        <f>IFERROR(__xludf.DUMMYFUNCTION("""COMPUTED_VALUE"""),42.0)</f>
        <v>42</v>
      </c>
      <c r="C2873" s="4" t="str">
        <f>IFERROR(__xludf.DUMMYFUNCTION("""COMPUTED_VALUE"""),"GSW")</f>
        <v>GSW</v>
      </c>
      <c r="D2873" s="4" t="str">
        <f>IFERROR(__xludf.DUMMYFUNCTION("""COMPUTED_VALUE"""),"Bobby Lee Hurt")</f>
        <v>Bobby Lee Hurt</v>
      </c>
      <c r="E2873" s="4" t="str">
        <f>IFERROR(__xludf.DUMMYFUNCTION("""COMPUTED_VALUE"""),"Alabama")</f>
        <v>Alabama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</row>
    <row r="2874">
      <c r="A2874" s="4">
        <f>IFERROR(__xludf.DUMMYFUNCTION("""COMPUTED_VALUE"""),43.0)</f>
        <v>43</v>
      </c>
      <c r="B2874" s="4">
        <f>IFERROR(__xludf.DUMMYFUNCTION("""COMPUTED_VALUE"""),43.0)</f>
        <v>43</v>
      </c>
      <c r="C2874" s="4" t="str">
        <f>IFERROR(__xludf.DUMMYFUNCTION("""COMPUTED_VALUE"""),"DEN")</f>
        <v>DEN</v>
      </c>
      <c r="D2874" s="4" t="str">
        <f>IFERROR(__xludf.DUMMYFUNCTION("""COMPUTED_VALUE"""),"Barry Stevens")</f>
        <v>Barry Stevens</v>
      </c>
      <c r="E2874" s="4" t="str">
        <f>IFERROR(__xludf.DUMMYFUNCTION("""COMPUTED_VALUE"""),"Iowa State")</f>
        <v>Iowa State</v>
      </c>
      <c r="F2874" s="4">
        <f>IFERROR(__xludf.DUMMYFUNCTION("""COMPUTED_VALUE"""),1.0)</f>
        <v>1</v>
      </c>
      <c r="G2874" s="4">
        <f>IFERROR(__xludf.DUMMYFUNCTION("""COMPUTED_VALUE"""),2.0)</f>
        <v>2</v>
      </c>
      <c r="H2874" s="4">
        <f>IFERROR(__xludf.DUMMYFUNCTION("""COMPUTED_VALUE"""),6.0)</f>
        <v>6</v>
      </c>
      <c r="I2874" s="4">
        <f>IFERROR(__xludf.DUMMYFUNCTION("""COMPUTED_VALUE"""),2.0)</f>
        <v>2</v>
      </c>
      <c r="J2874" s="4">
        <f>IFERROR(__xludf.DUMMYFUNCTION("""COMPUTED_VALUE"""),2.0)</f>
        <v>2</v>
      </c>
      <c r="K2874" s="4">
        <f>IFERROR(__xludf.DUMMYFUNCTION("""COMPUTED_VALUE"""),0.0)</f>
        <v>0</v>
      </c>
      <c r="L2874" s="4">
        <f>IFERROR(__xludf.DUMMYFUNCTION("""COMPUTED_VALUE"""),0.5)</f>
        <v>0.5</v>
      </c>
      <c r="M2874" s="4"/>
      <c r="N2874" s="4"/>
      <c r="O2874" s="4">
        <f>IFERROR(__xludf.DUMMYFUNCTION("""COMPUTED_VALUE"""),3.0)</f>
        <v>3</v>
      </c>
      <c r="P2874" s="4">
        <f>IFERROR(__xludf.DUMMYFUNCTION("""COMPUTED_VALUE"""),1.0)</f>
        <v>1</v>
      </c>
      <c r="Q2874" s="4">
        <f>IFERROR(__xludf.DUMMYFUNCTION("""COMPUTED_VALUE"""),1.0)</f>
        <v>1</v>
      </c>
      <c r="R2874" s="4">
        <f>IFERROR(__xludf.DUMMYFUNCTION("""COMPUTED_VALUE"""),0.0)</f>
        <v>0</v>
      </c>
      <c r="S2874" s="4">
        <f>IFERROR(__xludf.DUMMYFUNCTION("""COMPUTED_VALUE"""),0.0)</f>
        <v>0</v>
      </c>
      <c r="T2874" s="4">
        <f>IFERROR(__xludf.DUMMYFUNCTION("""COMPUTED_VALUE"""),0.157)</f>
        <v>0.157</v>
      </c>
      <c r="U2874" s="4">
        <f>IFERROR(__xludf.DUMMYFUNCTION("""COMPUTED_VALUE"""),-0.8)</f>
        <v>-0.8</v>
      </c>
      <c r="V2874" s="4">
        <f>IFERROR(__xludf.DUMMYFUNCTION("""COMPUTED_VALUE"""),0.0)</f>
        <v>0</v>
      </c>
    </row>
    <row r="2875">
      <c r="A2875" s="4">
        <f>IFERROR(__xludf.DUMMYFUNCTION("""COMPUTED_VALUE"""),44.0)</f>
        <v>44</v>
      </c>
      <c r="B2875" s="4">
        <f>IFERROR(__xludf.DUMMYFUNCTION("""COMPUTED_VALUE"""),44.0)</f>
        <v>44</v>
      </c>
      <c r="C2875" s="4" t="str">
        <f>IFERROR(__xludf.DUMMYFUNCTION("""COMPUTED_VALUE"""),"PHI")</f>
        <v>PHI</v>
      </c>
      <c r="D2875" s="4" t="str">
        <f>IFERROR(__xludf.DUMMYFUNCTION("""COMPUTED_VALUE"""),"Voise Winters")</f>
        <v>Voise Winters</v>
      </c>
      <c r="E2875" s="4" t="str">
        <f>IFERROR(__xludf.DUMMYFUNCTION("""COMPUTED_VALUE"""),"Bradley")</f>
        <v>Bradley</v>
      </c>
      <c r="F2875" s="4">
        <f>IFERROR(__xludf.DUMMYFUNCTION("""COMPUTED_VALUE"""),1.0)</f>
        <v>1</v>
      </c>
      <c r="G2875" s="4">
        <f>IFERROR(__xludf.DUMMYFUNCTION("""COMPUTED_VALUE"""),4.0)</f>
        <v>4</v>
      </c>
      <c r="H2875" s="4">
        <f>IFERROR(__xludf.DUMMYFUNCTION("""COMPUTED_VALUE"""),17.0)</f>
        <v>17</v>
      </c>
      <c r="I2875" s="4">
        <f>IFERROR(__xludf.DUMMYFUNCTION("""COMPUTED_VALUE"""),6.0)</f>
        <v>6</v>
      </c>
      <c r="J2875" s="4">
        <f>IFERROR(__xludf.DUMMYFUNCTION("""COMPUTED_VALUE"""),3.0)</f>
        <v>3</v>
      </c>
      <c r="K2875" s="4">
        <f>IFERROR(__xludf.DUMMYFUNCTION("""COMPUTED_VALUE"""),0.0)</f>
        <v>0</v>
      </c>
      <c r="L2875" s="4">
        <f>IFERROR(__xludf.DUMMYFUNCTION("""COMPUTED_VALUE"""),0.231)</f>
        <v>0.231</v>
      </c>
      <c r="M2875" s="4">
        <f>IFERROR(__xludf.DUMMYFUNCTION("""COMPUTED_VALUE"""),0.0)</f>
        <v>0</v>
      </c>
      <c r="N2875" s="4"/>
      <c r="O2875" s="4">
        <f>IFERROR(__xludf.DUMMYFUNCTION("""COMPUTED_VALUE"""),4.3)</f>
        <v>4.3</v>
      </c>
      <c r="P2875" s="4">
        <f>IFERROR(__xludf.DUMMYFUNCTION("""COMPUTED_VALUE"""),1.5)</f>
        <v>1.5</v>
      </c>
      <c r="Q2875" s="4">
        <f>IFERROR(__xludf.DUMMYFUNCTION("""COMPUTED_VALUE"""),0.8)</f>
        <v>0.8</v>
      </c>
      <c r="R2875" s="4">
        <f>IFERROR(__xludf.DUMMYFUNCTION("""COMPUTED_VALUE"""),0.0)</f>
        <v>0</v>
      </c>
      <c r="S2875" s="4">
        <f>IFERROR(__xludf.DUMMYFUNCTION("""COMPUTED_VALUE"""),-0.1)</f>
        <v>-0.1</v>
      </c>
      <c r="T2875" s="4">
        <f>IFERROR(__xludf.DUMMYFUNCTION("""COMPUTED_VALUE"""),-0.355)</f>
        <v>-0.355</v>
      </c>
      <c r="U2875" s="4">
        <f>IFERROR(__xludf.DUMMYFUNCTION("""COMPUTED_VALUE"""),-21.8)</f>
        <v>-21.8</v>
      </c>
      <c r="V2875" s="4">
        <f>IFERROR(__xludf.DUMMYFUNCTION("""COMPUTED_VALUE"""),-0.1)</f>
        <v>-0.1</v>
      </c>
    </row>
    <row r="2876">
      <c r="A2876" s="4">
        <f>IFERROR(__xludf.DUMMYFUNCTION("""COMPUTED_VALUE"""),45.0)</f>
        <v>45</v>
      </c>
      <c r="B2876" s="4">
        <f>IFERROR(__xludf.DUMMYFUNCTION("""COMPUTED_VALUE"""),45.0)</f>
        <v>45</v>
      </c>
      <c r="C2876" s="4" t="str">
        <f>IFERROR(__xludf.DUMMYFUNCTION("""COMPUTED_VALUE"""),"CLE")</f>
        <v>CLE</v>
      </c>
      <c r="D2876" s="4" t="str">
        <f>IFERROR(__xludf.DUMMYFUNCTION("""COMPUTED_VALUE"""),"Hot Rod Williams")</f>
        <v>Hot Rod Williams</v>
      </c>
      <c r="E2876" s="4" t="str">
        <f>IFERROR(__xludf.DUMMYFUNCTION("""COMPUTED_VALUE"""),"Tulane")</f>
        <v>Tulane</v>
      </c>
      <c r="F2876" s="4">
        <f>IFERROR(__xludf.DUMMYFUNCTION("""COMPUTED_VALUE"""),13.0)</f>
        <v>13</v>
      </c>
      <c r="G2876" s="4">
        <f>IFERROR(__xludf.DUMMYFUNCTION("""COMPUTED_VALUE"""),887.0)</f>
        <v>887</v>
      </c>
      <c r="H2876" s="4">
        <f>IFERROR(__xludf.DUMMYFUNCTION("""COMPUTED_VALUE"""),26327.0)</f>
        <v>26327</v>
      </c>
      <c r="I2876" s="4">
        <f>IFERROR(__xludf.DUMMYFUNCTION("""COMPUTED_VALUE"""),9784.0)</f>
        <v>9784</v>
      </c>
      <c r="J2876" s="4">
        <f>IFERROR(__xludf.DUMMYFUNCTION("""COMPUTED_VALUE"""),5998.0)</f>
        <v>5998</v>
      </c>
      <c r="K2876" s="4">
        <f>IFERROR(__xludf.DUMMYFUNCTION("""COMPUTED_VALUE"""),1592.0)</f>
        <v>1592</v>
      </c>
      <c r="L2876" s="4">
        <f>IFERROR(__xludf.DUMMYFUNCTION("""COMPUTED_VALUE"""),0.48)</f>
        <v>0.48</v>
      </c>
      <c r="M2876" s="4">
        <f>IFERROR(__xludf.DUMMYFUNCTION("""COMPUTED_VALUE"""),0.105)</f>
        <v>0.105</v>
      </c>
      <c r="N2876" s="4">
        <f>IFERROR(__xludf.DUMMYFUNCTION("""COMPUTED_VALUE"""),0.726)</f>
        <v>0.726</v>
      </c>
      <c r="O2876" s="4">
        <f>IFERROR(__xludf.DUMMYFUNCTION("""COMPUTED_VALUE"""),29.7)</f>
        <v>29.7</v>
      </c>
      <c r="P2876" s="4">
        <f>IFERROR(__xludf.DUMMYFUNCTION("""COMPUTED_VALUE"""),11.0)</f>
        <v>11</v>
      </c>
      <c r="Q2876" s="4">
        <f>IFERROR(__xludf.DUMMYFUNCTION("""COMPUTED_VALUE"""),6.8)</f>
        <v>6.8</v>
      </c>
      <c r="R2876" s="4">
        <f>IFERROR(__xludf.DUMMYFUNCTION("""COMPUTED_VALUE"""),1.8)</f>
        <v>1.8</v>
      </c>
      <c r="S2876" s="4">
        <f>IFERROR(__xludf.DUMMYFUNCTION("""COMPUTED_VALUE"""),70.5)</f>
        <v>70.5</v>
      </c>
      <c r="T2876" s="4">
        <f>IFERROR(__xludf.DUMMYFUNCTION("""COMPUTED_VALUE"""),0.129)</f>
        <v>0.129</v>
      </c>
      <c r="U2876" s="4">
        <f>IFERROR(__xludf.DUMMYFUNCTION("""COMPUTED_VALUE"""),1.0)</f>
        <v>1</v>
      </c>
      <c r="V2876" s="4">
        <f>IFERROR(__xludf.DUMMYFUNCTION("""COMPUTED_VALUE"""),19.9)</f>
        <v>19.9</v>
      </c>
    </row>
    <row r="2877">
      <c r="A2877" s="4">
        <f>IFERROR(__xludf.DUMMYFUNCTION("""COMPUTED_VALUE"""),46.0)</f>
        <v>46</v>
      </c>
      <c r="B2877" s="4">
        <f>IFERROR(__xludf.DUMMYFUNCTION("""COMPUTED_VALUE"""),46.0)</f>
        <v>46</v>
      </c>
      <c r="C2877" s="4" t="str">
        <f>IFERROR(__xludf.DUMMYFUNCTION("""COMPUTED_VALUE"""),"CHI")</f>
        <v>CHI</v>
      </c>
      <c r="D2877" s="4" t="str">
        <f>IFERROR(__xludf.DUMMYFUNCTION("""COMPUTED_VALUE"""),"Adrian Branch")</f>
        <v>Adrian Branch</v>
      </c>
      <c r="E2877" s="4" t="str">
        <f>IFERROR(__xludf.DUMMYFUNCTION("""COMPUTED_VALUE"""),"Maryland")</f>
        <v>Maryland</v>
      </c>
      <c r="F2877" s="4">
        <f>IFERROR(__xludf.DUMMYFUNCTION("""COMPUTED_VALUE"""),4.0)</f>
        <v>4</v>
      </c>
      <c r="G2877" s="4">
        <f>IFERROR(__xludf.DUMMYFUNCTION("""COMPUTED_VALUE"""),130.0)</f>
        <v>130</v>
      </c>
      <c r="H2877" s="4">
        <f>IFERROR(__xludf.DUMMYFUNCTION("""COMPUTED_VALUE"""),1429.0)</f>
        <v>1429</v>
      </c>
      <c r="I2877" s="4">
        <f>IFERROR(__xludf.DUMMYFUNCTION("""COMPUTED_VALUE"""),834.0)</f>
        <v>834</v>
      </c>
      <c r="J2877" s="4">
        <f>IFERROR(__xludf.DUMMYFUNCTION("""COMPUTED_VALUE"""),253.0)</f>
        <v>253</v>
      </c>
      <c r="K2877" s="4">
        <f>IFERROR(__xludf.DUMMYFUNCTION("""COMPUTED_VALUE"""),96.0)</f>
        <v>96</v>
      </c>
      <c r="L2877" s="4">
        <f>IFERROR(__xludf.DUMMYFUNCTION("""COMPUTED_VALUE"""),0.455)</f>
        <v>0.455</v>
      </c>
      <c r="M2877" s="4">
        <f>IFERROR(__xludf.DUMMYFUNCTION("""COMPUTED_VALUE"""),0.231)</f>
        <v>0.231</v>
      </c>
      <c r="N2877" s="4">
        <f>IFERROR(__xludf.DUMMYFUNCTION("""COMPUTED_VALUE"""),0.744)</f>
        <v>0.744</v>
      </c>
      <c r="O2877" s="4">
        <f>IFERROR(__xludf.DUMMYFUNCTION("""COMPUTED_VALUE"""),11.0)</f>
        <v>11</v>
      </c>
      <c r="P2877" s="4">
        <f>IFERROR(__xludf.DUMMYFUNCTION("""COMPUTED_VALUE"""),6.4)</f>
        <v>6.4</v>
      </c>
      <c r="Q2877" s="4">
        <f>IFERROR(__xludf.DUMMYFUNCTION("""COMPUTED_VALUE"""),1.9)</f>
        <v>1.9</v>
      </c>
      <c r="R2877" s="4">
        <f>IFERROR(__xludf.DUMMYFUNCTION("""COMPUTED_VALUE"""),0.7)</f>
        <v>0.7</v>
      </c>
      <c r="S2877" s="4">
        <f>IFERROR(__xludf.DUMMYFUNCTION("""COMPUTED_VALUE"""),2.1)</f>
        <v>2.1</v>
      </c>
      <c r="T2877" s="4">
        <f>IFERROR(__xludf.DUMMYFUNCTION("""COMPUTED_VALUE"""),0.07)</f>
        <v>0.07</v>
      </c>
      <c r="U2877" s="4">
        <f>IFERROR(__xludf.DUMMYFUNCTION("""COMPUTED_VALUE"""),-1.9)</f>
        <v>-1.9</v>
      </c>
      <c r="V2877" s="4">
        <f>IFERROR(__xludf.DUMMYFUNCTION("""COMPUTED_VALUE"""),0.0)</f>
        <v>0</v>
      </c>
    </row>
    <row r="2878">
      <c r="A2878" s="4">
        <f>IFERROR(__xludf.DUMMYFUNCTION("""COMPUTED_VALUE"""),47.0)</f>
        <v>47</v>
      </c>
      <c r="B2878" s="4">
        <f>IFERROR(__xludf.DUMMYFUNCTION("""COMPUTED_VALUE"""),47.0)</f>
        <v>47</v>
      </c>
      <c r="C2878" s="4" t="str">
        <f>IFERROR(__xludf.DUMMYFUNCTION("""COMPUTED_VALUE"""),"NYK")</f>
        <v>NYK</v>
      </c>
      <c r="D2878" s="4" t="str">
        <f>IFERROR(__xludf.DUMMYFUNCTION("""COMPUTED_VALUE"""),"Gerald Wilkins")</f>
        <v>Gerald Wilkins</v>
      </c>
      <c r="E2878" s="4" t="str">
        <f>IFERROR(__xludf.DUMMYFUNCTION("""COMPUTED_VALUE"""),"Chattanooga")</f>
        <v>Chattanooga</v>
      </c>
      <c r="F2878" s="4">
        <f>IFERROR(__xludf.DUMMYFUNCTION("""COMPUTED_VALUE"""),13.0)</f>
        <v>13</v>
      </c>
      <c r="G2878" s="4">
        <f>IFERROR(__xludf.DUMMYFUNCTION("""COMPUTED_VALUE"""),900.0)</f>
        <v>900</v>
      </c>
      <c r="H2878" s="4">
        <f>IFERROR(__xludf.DUMMYFUNCTION("""COMPUTED_VALUE"""),26084.0)</f>
        <v>26084</v>
      </c>
      <c r="I2878" s="4">
        <f>IFERROR(__xludf.DUMMYFUNCTION("""COMPUTED_VALUE"""),11736.0)</f>
        <v>11736</v>
      </c>
      <c r="J2878" s="4">
        <f>IFERROR(__xludf.DUMMYFUNCTION("""COMPUTED_VALUE"""),2646.0)</f>
        <v>2646</v>
      </c>
      <c r="K2878" s="4">
        <f>IFERROR(__xludf.DUMMYFUNCTION("""COMPUTED_VALUE"""),2697.0)</f>
        <v>2697</v>
      </c>
      <c r="L2878" s="4">
        <f>IFERROR(__xludf.DUMMYFUNCTION("""COMPUTED_VALUE"""),0.45)</f>
        <v>0.45</v>
      </c>
      <c r="M2878" s="4">
        <f>IFERROR(__xludf.DUMMYFUNCTION("""COMPUTED_VALUE"""),0.316)</f>
        <v>0.316</v>
      </c>
      <c r="N2878" s="4">
        <f>IFERROR(__xludf.DUMMYFUNCTION("""COMPUTED_VALUE"""),0.745)</f>
        <v>0.745</v>
      </c>
      <c r="O2878" s="4">
        <f>IFERROR(__xludf.DUMMYFUNCTION("""COMPUTED_VALUE"""),29.0)</f>
        <v>29</v>
      </c>
      <c r="P2878" s="4">
        <f>IFERROR(__xludf.DUMMYFUNCTION("""COMPUTED_VALUE"""),13.0)</f>
        <v>13</v>
      </c>
      <c r="Q2878" s="4">
        <f>IFERROR(__xludf.DUMMYFUNCTION("""COMPUTED_VALUE"""),2.9)</f>
        <v>2.9</v>
      </c>
      <c r="R2878" s="4">
        <f>IFERROR(__xludf.DUMMYFUNCTION("""COMPUTED_VALUE"""),3.0)</f>
        <v>3</v>
      </c>
      <c r="S2878" s="4">
        <f>IFERROR(__xludf.DUMMYFUNCTION("""COMPUTED_VALUE"""),33.9)</f>
        <v>33.9</v>
      </c>
      <c r="T2878" s="4">
        <f>IFERROR(__xludf.DUMMYFUNCTION("""COMPUTED_VALUE"""),0.062)</f>
        <v>0.062</v>
      </c>
      <c r="U2878" s="4">
        <f>IFERROR(__xludf.DUMMYFUNCTION("""COMPUTED_VALUE"""),-1.2)</f>
        <v>-1.2</v>
      </c>
      <c r="V2878" s="4">
        <f>IFERROR(__xludf.DUMMYFUNCTION("""COMPUTED_VALUE"""),5.3)</f>
        <v>5.3</v>
      </c>
    </row>
    <row r="2879">
      <c r="A2879" s="4"/>
      <c r="B2879" s="4"/>
      <c r="C2879" s="4"/>
      <c r="D2879" s="4" t="str">
        <f>IFERROR(__xludf.DUMMYFUNCTION("""COMPUTED_VALUE"""),"Round 3")</f>
        <v>Round 3</v>
      </c>
      <c r="E2879" s="4"/>
      <c r="F2879" s="4"/>
      <c r="G2879" s="4" t="str">
        <f>IFERROR(__xludf.DUMMYFUNCTION("""COMPUTED_VALUE"""),"Totals")</f>
        <v>Totals</v>
      </c>
      <c r="H2879" s="4"/>
      <c r="I2879" s="4"/>
      <c r="J2879" s="4"/>
      <c r="K2879" s="4"/>
      <c r="L2879" s="4" t="str">
        <f>IFERROR(__xludf.DUMMYFUNCTION("""COMPUTED_VALUE"""),"Shooting")</f>
        <v>Shooting</v>
      </c>
      <c r="M2879" s="4"/>
      <c r="N2879" s="4"/>
      <c r="O2879" s="4" t="str">
        <f>IFERROR(__xludf.DUMMYFUNCTION("""COMPUTED_VALUE"""),"Per Game")</f>
        <v>Per Game</v>
      </c>
      <c r="P2879" s="4"/>
      <c r="Q2879" s="4"/>
      <c r="R2879" s="4"/>
      <c r="S2879" s="4" t="str">
        <f>IFERROR(__xludf.DUMMYFUNCTION("""COMPUTED_VALUE"""),"Advanced")</f>
        <v>Advanced</v>
      </c>
      <c r="T2879" s="4"/>
      <c r="U2879" s="4"/>
      <c r="V2879" s="4"/>
    </row>
    <row r="2880">
      <c r="A2880" s="4" t="str">
        <f>IFERROR(__xludf.DUMMYFUNCTION("""COMPUTED_VALUE"""),"Rk")</f>
        <v>Rk</v>
      </c>
      <c r="B2880" s="4" t="str">
        <f>IFERROR(__xludf.DUMMYFUNCTION("""COMPUTED_VALUE"""),"Pk")</f>
        <v>Pk</v>
      </c>
      <c r="C2880" s="4" t="str">
        <f>IFERROR(__xludf.DUMMYFUNCTION("""COMPUTED_VALUE"""),"Tm")</f>
        <v>Tm</v>
      </c>
      <c r="D2880" s="4" t="str">
        <f>IFERROR(__xludf.DUMMYFUNCTION("""COMPUTED_VALUE"""),"Player")</f>
        <v>Player</v>
      </c>
      <c r="E2880" s="4" t="str">
        <f>IFERROR(__xludf.DUMMYFUNCTION("""COMPUTED_VALUE"""),"College")</f>
        <v>College</v>
      </c>
      <c r="F2880" s="4" t="str">
        <f>IFERROR(__xludf.DUMMYFUNCTION("""COMPUTED_VALUE"""),"Yrs")</f>
        <v>Yrs</v>
      </c>
      <c r="G2880" s="4" t="str">
        <f>IFERROR(__xludf.DUMMYFUNCTION("""COMPUTED_VALUE"""),"G")</f>
        <v>G</v>
      </c>
      <c r="H2880" s="4" t="str">
        <f>IFERROR(__xludf.DUMMYFUNCTION("""COMPUTED_VALUE"""),"MP")</f>
        <v>MP</v>
      </c>
      <c r="I2880" s="4" t="str">
        <f>IFERROR(__xludf.DUMMYFUNCTION("""COMPUTED_VALUE"""),"PTS")</f>
        <v>PTS</v>
      </c>
      <c r="J2880" s="4" t="str">
        <f>IFERROR(__xludf.DUMMYFUNCTION("""COMPUTED_VALUE"""),"TRB")</f>
        <v>TRB</v>
      </c>
      <c r="K2880" s="4" t="str">
        <f>IFERROR(__xludf.DUMMYFUNCTION("""COMPUTED_VALUE"""),"AST")</f>
        <v>AST</v>
      </c>
      <c r="L2880" s="4" t="str">
        <f>IFERROR(__xludf.DUMMYFUNCTION("""COMPUTED_VALUE"""),"FG%")</f>
        <v>FG%</v>
      </c>
      <c r="M2880" s="4" t="str">
        <f>IFERROR(__xludf.DUMMYFUNCTION("""COMPUTED_VALUE"""),"3P%")</f>
        <v>3P%</v>
      </c>
      <c r="N2880" s="4" t="str">
        <f>IFERROR(__xludf.DUMMYFUNCTION("""COMPUTED_VALUE"""),"FT%")</f>
        <v>FT%</v>
      </c>
      <c r="O2880" s="4" t="str">
        <f>IFERROR(__xludf.DUMMYFUNCTION("""COMPUTED_VALUE"""),"MP")</f>
        <v>MP</v>
      </c>
      <c r="P2880" s="4" t="str">
        <f>IFERROR(__xludf.DUMMYFUNCTION("""COMPUTED_VALUE"""),"PTS")</f>
        <v>PTS</v>
      </c>
      <c r="Q2880" s="4" t="str">
        <f>IFERROR(__xludf.DUMMYFUNCTION("""COMPUTED_VALUE"""),"TRB")</f>
        <v>TRB</v>
      </c>
      <c r="R2880" s="4" t="str">
        <f>IFERROR(__xludf.DUMMYFUNCTION("""COMPUTED_VALUE"""),"AST")</f>
        <v>AST</v>
      </c>
      <c r="S2880" s="4" t="str">
        <f>IFERROR(__xludf.DUMMYFUNCTION("""COMPUTED_VALUE"""),"WS")</f>
        <v>WS</v>
      </c>
      <c r="T2880" s="4" t="str">
        <f>IFERROR(__xludf.DUMMYFUNCTION("""COMPUTED_VALUE"""),"WS/48")</f>
        <v>WS/48</v>
      </c>
      <c r="U2880" s="4" t="str">
        <f>IFERROR(__xludf.DUMMYFUNCTION("""COMPUTED_VALUE"""),"BPM")</f>
        <v>BPM</v>
      </c>
      <c r="V2880" s="4" t="str">
        <f>IFERROR(__xludf.DUMMYFUNCTION("""COMPUTED_VALUE"""),"VORP")</f>
        <v>VORP</v>
      </c>
    </row>
    <row r="2881">
      <c r="A2881" s="4">
        <f>IFERROR(__xludf.DUMMYFUNCTION("""COMPUTED_VALUE"""),48.0)</f>
        <v>48</v>
      </c>
      <c r="B2881" s="4">
        <f>IFERROR(__xludf.DUMMYFUNCTION("""COMPUTED_VALUE"""),48.0)</f>
        <v>48</v>
      </c>
      <c r="C2881" s="4" t="str">
        <f>IFERROR(__xludf.DUMMYFUNCTION("""COMPUTED_VALUE"""),"IND")</f>
        <v>IND</v>
      </c>
      <c r="D2881" s="4" t="str">
        <f>IFERROR(__xludf.DUMMYFUNCTION("""COMPUTED_VALUE"""),"Kenny Patterson")</f>
        <v>Kenny Patterson</v>
      </c>
      <c r="E2881" s="4" t="str">
        <f>IFERROR(__xludf.DUMMYFUNCTION("""COMPUTED_VALUE"""),"DePaul")</f>
        <v>DePaul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</row>
    <row r="2882">
      <c r="A2882" s="4">
        <f>IFERROR(__xludf.DUMMYFUNCTION("""COMPUTED_VALUE"""),49.0)</f>
        <v>49</v>
      </c>
      <c r="B2882" s="4">
        <f>IFERROR(__xludf.DUMMYFUNCTION("""COMPUTED_VALUE"""),49.0)</f>
        <v>49</v>
      </c>
      <c r="C2882" s="4" t="str">
        <f>IFERROR(__xludf.DUMMYFUNCTION("""COMPUTED_VALUE"""),"GSW")</f>
        <v>GSW</v>
      </c>
      <c r="D2882" s="4" t="str">
        <f>IFERROR(__xludf.DUMMYFUNCTION("""COMPUTED_VALUE"""),"Brad Wright")</f>
        <v>Brad Wright</v>
      </c>
      <c r="E2882" s="4" t="str">
        <f>IFERROR(__xludf.DUMMYFUNCTION("""COMPUTED_VALUE"""),"UCLA")</f>
        <v>UCLA</v>
      </c>
      <c r="F2882" s="4">
        <f>IFERROR(__xludf.DUMMYFUNCTION("""COMPUTED_VALUE"""),2.0)</f>
        <v>2</v>
      </c>
      <c r="G2882" s="4">
        <f>IFERROR(__xludf.DUMMYFUNCTION("""COMPUTED_VALUE"""),16.0)</f>
        <v>16</v>
      </c>
      <c r="H2882" s="4">
        <f>IFERROR(__xludf.DUMMYFUNCTION("""COMPUTED_VALUE"""),145.0)</f>
        <v>145</v>
      </c>
      <c r="I2882" s="4">
        <f>IFERROR(__xludf.DUMMYFUNCTION("""COMPUTED_VALUE"""),54.0)</f>
        <v>54</v>
      </c>
      <c r="J2882" s="4">
        <f>IFERROR(__xludf.DUMMYFUNCTION("""COMPUTED_VALUE"""),54.0)</f>
        <v>54</v>
      </c>
      <c r="K2882" s="4">
        <f>IFERROR(__xludf.DUMMYFUNCTION("""COMPUTED_VALUE"""),1.0)</f>
        <v>1</v>
      </c>
      <c r="L2882" s="4">
        <f>IFERROR(__xludf.DUMMYFUNCTION("""COMPUTED_VALUE"""),0.412)</f>
        <v>0.412</v>
      </c>
      <c r="M2882" s="4">
        <f>IFERROR(__xludf.DUMMYFUNCTION("""COMPUTED_VALUE"""),0.0)</f>
        <v>0</v>
      </c>
      <c r="N2882" s="4">
        <f>IFERROR(__xludf.DUMMYFUNCTION("""COMPUTED_VALUE"""),0.429)</f>
        <v>0.429</v>
      </c>
      <c r="O2882" s="4">
        <f>IFERROR(__xludf.DUMMYFUNCTION("""COMPUTED_VALUE"""),9.1)</f>
        <v>9.1</v>
      </c>
      <c r="P2882" s="4">
        <f>IFERROR(__xludf.DUMMYFUNCTION("""COMPUTED_VALUE"""),3.4)</f>
        <v>3.4</v>
      </c>
      <c r="Q2882" s="4">
        <f>IFERROR(__xludf.DUMMYFUNCTION("""COMPUTED_VALUE"""),3.4)</f>
        <v>3.4</v>
      </c>
      <c r="R2882" s="4">
        <f>IFERROR(__xludf.DUMMYFUNCTION("""COMPUTED_VALUE"""),0.1)</f>
        <v>0.1</v>
      </c>
      <c r="S2882" s="4">
        <f>IFERROR(__xludf.DUMMYFUNCTION("""COMPUTED_VALUE"""),-0.1)</f>
        <v>-0.1</v>
      </c>
      <c r="T2882" s="4">
        <f>IFERROR(__xludf.DUMMYFUNCTION("""COMPUTED_VALUE"""),-0.045)</f>
        <v>-0.045</v>
      </c>
      <c r="U2882" s="4">
        <f>IFERROR(__xludf.DUMMYFUNCTION("""COMPUTED_VALUE"""),-8.0)</f>
        <v>-8</v>
      </c>
      <c r="V2882" s="4">
        <f>IFERROR(__xludf.DUMMYFUNCTION("""COMPUTED_VALUE"""),-0.2)</f>
        <v>-0.2</v>
      </c>
    </row>
    <row r="2883">
      <c r="A2883" s="4">
        <f>IFERROR(__xludf.DUMMYFUNCTION("""COMPUTED_VALUE"""),50.0)</f>
        <v>50</v>
      </c>
      <c r="B2883" s="4">
        <f>IFERROR(__xludf.DUMMYFUNCTION("""COMPUTED_VALUE"""),50.0)</f>
        <v>50</v>
      </c>
      <c r="C2883" s="4" t="str">
        <f>IFERROR(__xludf.DUMMYFUNCTION("""COMPUTED_VALUE"""),"DAL")</f>
        <v>DAL</v>
      </c>
      <c r="D2883" s="4" t="str">
        <f>IFERROR(__xludf.DUMMYFUNCTION("""COMPUTED_VALUE"""),"Leonard Allen")</f>
        <v>Leonard Allen</v>
      </c>
      <c r="E2883" s="4" t="str">
        <f>IFERROR(__xludf.DUMMYFUNCTION("""COMPUTED_VALUE"""),"San Diego State")</f>
        <v>San Diego State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</row>
    <row r="2884">
      <c r="A2884" s="4">
        <f>IFERROR(__xludf.DUMMYFUNCTION("""COMPUTED_VALUE"""),51.0)</f>
        <v>51</v>
      </c>
      <c r="B2884" s="4">
        <f>IFERROR(__xludf.DUMMYFUNCTION("""COMPUTED_VALUE"""),51.0)</f>
        <v>51</v>
      </c>
      <c r="C2884" s="4" t="str">
        <f>IFERROR(__xludf.DUMMYFUNCTION("""COMPUTED_VALUE"""),"SAC")</f>
        <v>SAC</v>
      </c>
      <c r="D2884" s="4" t="str">
        <f>IFERROR(__xludf.DUMMYFUNCTION("""COMPUTED_VALUE"""),"Charles Bradley")</f>
        <v>Charles Bradley</v>
      </c>
      <c r="E2884" s="4" t="str">
        <f>IFERROR(__xludf.DUMMYFUNCTION("""COMPUTED_VALUE"""),"South Florida")</f>
        <v>South Florida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</row>
    <row r="2885">
      <c r="A2885" s="4">
        <f>IFERROR(__xludf.DUMMYFUNCTION("""COMPUTED_VALUE"""),52.0)</f>
        <v>52</v>
      </c>
      <c r="B2885" s="4">
        <f>IFERROR(__xludf.DUMMYFUNCTION("""COMPUTED_VALUE"""),52.0)</f>
        <v>52</v>
      </c>
      <c r="C2885" s="4" t="str">
        <f>IFERROR(__xludf.DUMMYFUNCTION("""COMPUTED_VALUE"""),"LAC")</f>
        <v>LAC</v>
      </c>
      <c r="D2885" s="4" t="str">
        <f>IFERROR(__xludf.DUMMYFUNCTION("""COMPUTED_VALUE"""),"Anicet Lavodrama")</f>
        <v>Anicet Lavodrama</v>
      </c>
      <c r="E2885" s="4" t="str">
        <f>IFERROR(__xludf.DUMMYFUNCTION("""COMPUTED_VALUE"""),"Houston Baptist University")</f>
        <v>Houston Baptist University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</row>
    <row r="2886">
      <c r="A2886" s="4">
        <f>IFERROR(__xludf.DUMMYFUNCTION("""COMPUTED_VALUE"""),53.0)</f>
        <v>53</v>
      </c>
      <c r="B2886" s="4">
        <f>IFERROR(__xludf.DUMMYFUNCTION("""COMPUTED_VALUE"""),53.0)</f>
        <v>53</v>
      </c>
      <c r="C2886" s="4" t="str">
        <f>IFERROR(__xludf.DUMMYFUNCTION("""COMPUTED_VALUE"""),"SEA")</f>
        <v>SEA</v>
      </c>
      <c r="D2886" s="4" t="str">
        <f>IFERROR(__xludf.DUMMYFUNCTION("""COMPUTED_VALUE"""),"Rolando Lamb")</f>
        <v>Rolando Lamb</v>
      </c>
      <c r="E2886" s="4" t="str">
        <f>IFERROR(__xludf.DUMMYFUNCTION("""COMPUTED_VALUE"""),"VCU")</f>
        <v>VCU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</row>
    <row r="2887">
      <c r="A2887" s="4">
        <f>IFERROR(__xludf.DUMMYFUNCTION("""COMPUTED_VALUE"""),54.0)</f>
        <v>54</v>
      </c>
      <c r="B2887" s="4">
        <f>IFERROR(__xludf.DUMMYFUNCTION("""COMPUTED_VALUE"""),54.0)</f>
        <v>54</v>
      </c>
      <c r="C2887" s="4" t="str">
        <f>IFERROR(__xludf.DUMMYFUNCTION("""COMPUTED_VALUE"""),"HOU")</f>
        <v>HOU</v>
      </c>
      <c r="D2887" s="4" t="str">
        <f>IFERROR(__xludf.DUMMYFUNCTION("""COMPUTED_VALUE"""),"Sam Mitchell")</f>
        <v>Sam Mitchell</v>
      </c>
      <c r="E2887" s="4" t="str">
        <f>IFERROR(__xludf.DUMMYFUNCTION("""COMPUTED_VALUE"""),"Mercer University")</f>
        <v>Mercer University</v>
      </c>
      <c r="F2887" s="4">
        <f>IFERROR(__xludf.DUMMYFUNCTION("""COMPUTED_VALUE"""),13.0)</f>
        <v>13</v>
      </c>
      <c r="G2887" s="4">
        <f>IFERROR(__xludf.DUMMYFUNCTION("""COMPUTED_VALUE"""),994.0)</f>
        <v>994</v>
      </c>
      <c r="H2887" s="4">
        <f>IFERROR(__xludf.DUMMYFUNCTION("""COMPUTED_VALUE"""),22257.0)</f>
        <v>22257</v>
      </c>
      <c r="I2887" s="4">
        <f>IFERROR(__xludf.DUMMYFUNCTION("""COMPUTED_VALUE"""),8636.0)</f>
        <v>8636</v>
      </c>
      <c r="J2887" s="4">
        <f>IFERROR(__xludf.DUMMYFUNCTION("""COMPUTED_VALUE"""),3711.0)</f>
        <v>3711</v>
      </c>
      <c r="K2887" s="4">
        <f>IFERROR(__xludf.DUMMYFUNCTION("""COMPUTED_VALUE"""),1089.0)</f>
        <v>1089</v>
      </c>
      <c r="L2887" s="4">
        <f>IFERROR(__xludf.DUMMYFUNCTION("""COMPUTED_VALUE"""),0.447)</f>
        <v>0.447</v>
      </c>
      <c r="M2887" s="4">
        <f>IFERROR(__xludf.DUMMYFUNCTION("""COMPUTED_VALUE"""),0.223)</f>
        <v>0.223</v>
      </c>
      <c r="N2887" s="4">
        <f>IFERROR(__xludf.DUMMYFUNCTION("""COMPUTED_VALUE"""),0.784)</f>
        <v>0.784</v>
      </c>
      <c r="O2887" s="4">
        <f>IFERROR(__xludf.DUMMYFUNCTION("""COMPUTED_VALUE"""),22.4)</f>
        <v>22.4</v>
      </c>
      <c r="P2887" s="4">
        <f>IFERROR(__xludf.DUMMYFUNCTION("""COMPUTED_VALUE"""),8.7)</f>
        <v>8.7</v>
      </c>
      <c r="Q2887" s="4">
        <f>IFERROR(__xludf.DUMMYFUNCTION("""COMPUTED_VALUE"""),3.7)</f>
        <v>3.7</v>
      </c>
      <c r="R2887" s="4">
        <f>IFERROR(__xludf.DUMMYFUNCTION("""COMPUTED_VALUE"""),1.1)</f>
        <v>1.1</v>
      </c>
      <c r="S2887" s="4">
        <f>IFERROR(__xludf.DUMMYFUNCTION("""COMPUTED_VALUE"""),41.7)</f>
        <v>41.7</v>
      </c>
      <c r="T2887" s="4">
        <f>IFERROR(__xludf.DUMMYFUNCTION("""COMPUTED_VALUE"""),0.09)</f>
        <v>0.09</v>
      </c>
      <c r="U2887" s="4">
        <f>IFERROR(__xludf.DUMMYFUNCTION("""COMPUTED_VALUE"""),-2.5)</f>
        <v>-2.5</v>
      </c>
      <c r="V2887" s="4">
        <f>IFERROR(__xludf.DUMMYFUNCTION("""COMPUTED_VALUE"""),-3.1)</f>
        <v>-3.1</v>
      </c>
    </row>
    <row r="2888">
      <c r="A2888" s="4">
        <f>IFERROR(__xludf.DUMMYFUNCTION("""COMPUTED_VALUE"""),55.0)</f>
        <v>55</v>
      </c>
      <c r="B2888" s="4">
        <f>IFERROR(__xludf.DUMMYFUNCTION("""COMPUTED_VALUE"""),55.0)</f>
        <v>55</v>
      </c>
      <c r="C2888" s="4" t="str">
        <f>IFERROR(__xludf.DUMMYFUNCTION("""COMPUTED_VALUE"""),"CLE")</f>
        <v>CLE</v>
      </c>
      <c r="D2888" s="4" t="str">
        <f>IFERROR(__xludf.DUMMYFUNCTION("""COMPUTED_VALUE"""),"Herb Johnson")</f>
        <v>Herb Johnson</v>
      </c>
      <c r="E2888" s="4" t="str">
        <f>IFERROR(__xludf.DUMMYFUNCTION("""COMPUTED_VALUE"""),"Tulsa")</f>
        <v>Tulsa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</row>
    <row r="2889">
      <c r="A2889" s="4">
        <f>IFERROR(__xludf.DUMMYFUNCTION("""COMPUTED_VALUE"""),56.0)</f>
        <v>56</v>
      </c>
      <c r="B2889" s="4">
        <f>IFERROR(__xludf.DUMMYFUNCTION("""COMPUTED_VALUE"""),56.0)</f>
        <v>56</v>
      </c>
      <c r="C2889" s="4" t="str">
        <f>IFERROR(__xludf.DUMMYFUNCTION("""COMPUTED_VALUE"""),"PHO")</f>
        <v>PHO</v>
      </c>
      <c r="D2889" s="4" t="str">
        <f>IFERROR(__xludf.DUMMYFUNCTION("""COMPUTED_VALUE"""),"Jerry Everett")</f>
        <v>Jerry Everett</v>
      </c>
      <c r="E2889" s="4" t="str">
        <f>IFERROR(__xludf.DUMMYFUNCTION("""COMPUTED_VALUE"""),"Lamar")</f>
        <v>Lamar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</row>
    <row r="2890">
      <c r="A2890" s="4">
        <f>IFERROR(__xludf.DUMMYFUNCTION("""COMPUTED_VALUE"""),57.0)</f>
        <v>57</v>
      </c>
      <c r="B2890" s="4">
        <f>IFERROR(__xludf.DUMMYFUNCTION("""COMPUTED_VALUE"""),57.0)</f>
        <v>57</v>
      </c>
      <c r="C2890" s="4" t="str">
        <f>IFERROR(__xludf.DUMMYFUNCTION("""COMPUTED_VALUE"""),"HOU")</f>
        <v>HOU</v>
      </c>
      <c r="D2890" s="4" t="str">
        <f>IFERROR(__xludf.DUMMYFUNCTION("""COMPUTED_VALUE"""),"Michael Payne")</f>
        <v>Michael Payne</v>
      </c>
      <c r="E2890" s="4" t="str">
        <f>IFERROR(__xludf.DUMMYFUNCTION("""COMPUTED_VALUE"""),"Iowa")</f>
        <v>Iowa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</row>
    <row r="2891">
      <c r="A2891" s="4">
        <f>IFERROR(__xludf.DUMMYFUNCTION("""COMPUTED_VALUE"""),58.0)</f>
        <v>58</v>
      </c>
      <c r="B2891" s="4">
        <f>IFERROR(__xludf.DUMMYFUNCTION("""COMPUTED_VALUE"""),58.0)</f>
        <v>58</v>
      </c>
      <c r="C2891" s="4" t="str">
        <f>IFERROR(__xludf.DUMMYFUNCTION("""COMPUTED_VALUE"""),"WSB")</f>
        <v>WSB</v>
      </c>
      <c r="D2891" s="4" t="str">
        <f>IFERROR(__xludf.DUMMYFUNCTION("""COMPUTED_VALUE"""),"Vernon Moore")</f>
        <v>Vernon Moore</v>
      </c>
      <c r="E2891" s="4" t="str">
        <f>IFERROR(__xludf.DUMMYFUNCTION("""COMPUTED_VALUE"""),"Creighton")</f>
        <v>Creighton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</row>
    <row r="2892">
      <c r="A2892" s="4">
        <f>IFERROR(__xludf.DUMMYFUNCTION("""COMPUTED_VALUE"""),59.0)</f>
        <v>59</v>
      </c>
      <c r="B2892" s="4">
        <f>IFERROR(__xludf.DUMMYFUNCTION("""COMPUTED_VALUE"""),59.0)</f>
        <v>59</v>
      </c>
      <c r="C2892" s="4" t="str">
        <f>IFERROR(__xludf.DUMMYFUNCTION("""COMPUTED_VALUE"""),"ATL")</f>
        <v>ATL</v>
      </c>
      <c r="D2892" s="4" t="str">
        <f>IFERROR(__xludf.DUMMYFUNCTION("""COMPUTED_VALUE"""),"Sedric Toney")</f>
        <v>Sedric Toney</v>
      </c>
      <c r="E2892" s="4" t="str">
        <f>IFERROR(__xludf.DUMMYFUNCTION("""COMPUTED_VALUE"""),"Dayton")</f>
        <v>Dayton</v>
      </c>
      <c r="F2892" s="4">
        <f>IFERROR(__xludf.DUMMYFUNCTION("""COMPUTED_VALUE"""),5.0)</f>
        <v>5</v>
      </c>
      <c r="G2892" s="4">
        <f>IFERROR(__xludf.DUMMYFUNCTION("""COMPUTED_VALUE"""),112.0)</f>
        <v>112</v>
      </c>
      <c r="H2892" s="4">
        <f>IFERROR(__xludf.DUMMYFUNCTION("""COMPUTED_VALUE"""),1410.0)</f>
        <v>1410</v>
      </c>
      <c r="I2892" s="4">
        <f>IFERROR(__xludf.DUMMYFUNCTION("""COMPUTED_VALUE"""),409.0)</f>
        <v>409</v>
      </c>
      <c r="J2892" s="4">
        <f>IFERROR(__xludf.DUMMYFUNCTION("""COMPUTED_VALUE"""),98.0)</f>
        <v>98</v>
      </c>
      <c r="K2892" s="4">
        <f>IFERROR(__xludf.DUMMYFUNCTION("""COMPUTED_VALUE"""),235.0)</f>
        <v>235</v>
      </c>
      <c r="L2892" s="4">
        <f>IFERROR(__xludf.DUMMYFUNCTION("""COMPUTED_VALUE"""),0.365)</f>
        <v>0.365</v>
      </c>
      <c r="M2892" s="4">
        <f>IFERROR(__xludf.DUMMYFUNCTION("""COMPUTED_VALUE"""),0.341)</f>
        <v>0.341</v>
      </c>
      <c r="N2892" s="4">
        <f>IFERROR(__xludf.DUMMYFUNCTION("""COMPUTED_VALUE"""),0.781)</f>
        <v>0.781</v>
      </c>
      <c r="O2892" s="4">
        <f>IFERROR(__xludf.DUMMYFUNCTION("""COMPUTED_VALUE"""),12.6)</f>
        <v>12.6</v>
      </c>
      <c r="P2892" s="4">
        <f>IFERROR(__xludf.DUMMYFUNCTION("""COMPUTED_VALUE"""),3.7)</f>
        <v>3.7</v>
      </c>
      <c r="Q2892" s="4">
        <f>IFERROR(__xludf.DUMMYFUNCTION("""COMPUTED_VALUE"""),0.9)</f>
        <v>0.9</v>
      </c>
      <c r="R2892" s="4">
        <f>IFERROR(__xludf.DUMMYFUNCTION("""COMPUTED_VALUE"""),2.1)</f>
        <v>2.1</v>
      </c>
      <c r="S2892" s="4">
        <f>IFERROR(__xludf.DUMMYFUNCTION("""COMPUTED_VALUE"""),0.0)</f>
        <v>0</v>
      </c>
      <c r="T2892" s="4">
        <f>IFERROR(__xludf.DUMMYFUNCTION("""COMPUTED_VALUE"""),0.0)</f>
        <v>0</v>
      </c>
      <c r="U2892" s="4">
        <f>IFERROR(__xludf.DUMMYFUNCTION("""COMPUTED_VALUE"""),-5.0)</f>
        <v>-5</v>
      </c>
      <c r="V2892" s="4">
        <f>IFERROR(__xludf.DUMMYFUNCTION("""COMPUTED_VALUE"""),-1.1)</f>
        <v>-1.1</v>
      </c>
    </row>
    <row r="2893">
      <c r="A2893" s="4">
        <f>IFERROR(__xludf.DUMMYFUNCTION("""COMPUTED_VALUE"""),60.0)</f>
        <v>60</v>
      </c>
      <c r="B2893" s="4">
        <f>IFERROR(__xludf.DUMMYFUNCTION("""COMPUTED_VALUE"""),60.0)</f>
        <v>60</v>
      </c>
      <c r="C2893" s="4" t="str">
        <f>IFERROR(__xludf.DUMMYFUNCTION("""COMPUTED_VALUE"""),"DET")</f>
        <v>DET</v>
      </c>
      <c r="D2893" s="4" t="str">
        <f>IFERROR(__xludf.DUMMYFUNCTION("""COMPUTED_VALUE"""),"Andre Goode")</f>
        <v>Andre Goode</v>
      </c>
      <c r="E2893" s="4" t="str">
        <f>IFERROR(__xludf.DUMMYFUNCTION("""COMPUTED_VALUE"""),"Northwestern")</f>
        <v>Northwestern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</row>
    <row r="2894">
      <c r="A2894" s="4">
        <f>IFERROR(__xludf.DUMMYFUNCTION("""COMPUTED_VALUE"""),61.0)</f>
        <v>61</v>
      </c>
      <c r="B2894" s="4">
        <f>IFERROR(__xludf.DUMMYFUNCTION("""COMPUTED_VALUE"""),61.0)</f>
        <v>61</v>
      </c>
      <c r="C2894" s="4" t="str">
        <f>IFERROR(__xludf.DUMMYFUNCTION("""COMPUTED_VALUE"""),"POR")</f>
        <v>POR</v>
      </c>
      <c r="D2894" s="4" t="str">
        <f>IFERROR(__xludf.DUMMYFUNCTION("""COMPUTED_VALUE"""),"Perry Young")</f>
        <v>Perry Young</v>
      </c>
      <c r="E2894" s="4" t="str">
        <f>IFERROR(__xludf.DUMMYFUNCTION("""COMPUTED_VALUE"""),"Virginia Tech")</f>
        <v>Virginia Tech</v>
      </c>
      <c r="F2894" s="4">
        <f>IFERROR(__xludf.DUMMYFUNCTION("""COMPUTED_VALUE"""),1.0)</f>
        <v>1</v>
      </c>
      <c r="G2894" s="4">
        <f>IFERROR(__xludf.DUMMYFUNCTION("""COMPUTED_VALUE"""),9.0)</f>
        <v>9</v>
      </c>
      <c r="H2894" s="4">
        <f>IFERROR(__xludf.DUMMYFUNCTION("""COMPUTED_VALUE"""),72.0)</f>
        <v>72</v>
      </c>
      <c r="I2894" s="4">
        <f>IFERROR(__xludf.DUMMYFUNCTION("""COMPUTED_VALUE"""),13.0)</f>
        <v>13</v>
      </c>
      <c r="J2894" s="4">
        <f>IFERROR(__xludf.DUMMYFUNCTION("""COMPUTED_VALUE"""),8.0)</f>
        <v>8</v>
      </c>
      <c r="K2894" s="4">
        <f>IFERROR(__xludf.DUMMYFUNCTION("""COMPUTED_VALUE"""),7.0)</f>
        <v>7</v>
      </c>
      <c r="L2894" s="4">
        <f>IFERROR(__xludf.DUMMYFUNCTION("""COMPUTED_VALUE"""),0.286)</f>
        <v>0.286</v>
      </c>
      <c r="M2894" s="4"/>
      <c r="N2894" s="4">
        <f>IFERROR(__xludf.DUMMYFUNCTION("""COMPUTED_VALUE"""),0.5)</f>
        <v>0.5</v>
      </c>
      <c r="O2894" s="4">
        <f>IFERROR(__xludf.DUMMYFUNCTION("""COMPUTED_VALUE"""),8.0)</f>
        <v>8</v>
      </c>
      <c r="P2894" s="4">
        <f>IFERROR(__xludf.DUMMYFUNCTION("""COMPUTED_VALUE"""),1.4)</f>
        <v>1.4</v>
      </c>
      <c r="Q2894" s="4">
        <f>IFERROR(__xludf.DUMMYFUNCTION("""COMPUTED_VALUE"""),0.9)</f>
        <v>0.9</v>
      </c>
      <c r="R2894" s="4">
        <f>IFERROR(__xludf.DUMMYFUNCTION("""COMPUTED_VALUE"""),0.8)</f>
        <v>0.8</v>
      </c>
      <c r="S2894" s="4">
        <f>IFERROR(__xludf.DUMMYFUNCTION("""COMPUTED_VALUE"""),-0.1)</f>
        <v>-0.1</v>
      </c>
      <c r="T2894" s="4">
        <f>IFERROR(__xludf.DUMMYFUNCTION("""COMPUTED_VALUE"""),-0.047)</f>
        <v>-0.047</v>
      </c>
      <c r="U2894" s="4">
        <f>IFERROR(__xludf.DUMMYFUNCTION("""COMPUTED_VALUE"""),-7.3)</f>
        <v>-7.3</v>
      </c>
      <c r="V2894" s="4">
        <f>IFERROR(__xludf.DUMMYFUNCTION("""COMPUTED_VALUE"""),-0.1)</f>
        <v>-0.1</v>
      </c>
    </row>
    <row r="2895">
      <c r="A2895" s="4">
        <f>IFERROR(__xludf.DUMMYFUNCTION("""COMPUTED_VALUE"""),62.0)</f>
        <v>62</v>
      </c>
      <c r="B2895" s="4">
        <f>IFERROR(__xludf.DUMMYFUNCTION("""COMPUTED_VALUE"""),62.0)</f>
        <v>62</v>
      </c>
      <c r="C2895" s="4" t="str">
        <f>IFERROR(__xludf.DUMMYFUNCTION("""COMPUTED_VALUE"""),"NJN")</f>
        <v>NJN</v>
      </c>
      <c r="D2895" s="4" t="str">
        <f>IFERROR(__xludf.DUMMYFUNCTION("""COMPUTED_VALUE"""),"Nigel Miguel")</f>
        <v>Nigel Miguel</v>
      </c>
      <c r="E2895" s="4" t="str">
        <f>IFERROR(__xludf.DUMMYFUNCTION("""COMPUTED_VALUE"""),"UCLA")</f>
        <v>UCLA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</row>
    <row r="2896">
      <c r="A2896" s="4">
        <f>IFERROR(__xludf.DUMMYFUNCTION("""COMPUTED_VALUE"""),63.0)</f>
        <v>63</v>
      </c>
      <c r="B2896" s="4">
        <f>IFERROR(__xludf.DUMMYFUNCTION("""COMPUTED_VALUE"""),63.0)</f>
        <v>63</v>
      </c>
      <c r="C2896" s="4" t="str">
        <f>IFERROR(__xludf.DUMMYFUNCTION("""COMPUTED_VALUE"""),"DAL")</f>
        <v>DAL</v>
      </c>
      <c r="D2896" s="4" t="str">
        <f>IFERROR(__xludf.DUMMYFUNCTION("""COMPUTED_VALUE"""),"Harold Keeling")</f>
        <v>Harold Keeling</v>
      </c>
      <c r="E2896" s="4" t="str">
        <f>IFERROR(__xludf.DUMMYFUNCTION("""COMPUTED_VALUE"""),"Santa Clara")</f>
        <v>Santa Clara</v>
      </c>
      <c r="F2896" s="4">
        <f>IFERROR(__xludf.DUMMYFUNCTION("""COMPUTED_VALUE"""),1.0)</f>
        <v>1</v>
      </c>
      <c r="G2896" s="4">
        <f>IFERROR(__xludf.DUMMYFUNCTION("""COMPUTED_VALUE"""),20.0)</f>
        <v>20</v>
      </c>
      <c r="H2896" s="4">
        <f>IFERROR(__xludf.DUMMYFUNCTION("""COMPUTED_VALUE"""),75.0)</f>
        <v>75</v>
      </c>
      <c r="I2896" s="4">
        <f>IFERROR(__xludf.DUMMYFUNCTION("""COMPUTED_VALUE"""),44.0)</f>
        <v>44</v>
      </c>
      <c r="J2896" s="4">
        <f>IFERROR(__xludf.DUMMYFUNCTION("""COMPUTED_VALUE"""),6.0)</f>
        <v>6</v>
      </c>
      <c r="K2896" s="4">
        <f>IFERROR(__xludf.DUMMYFUNCTION("""COMPUTED_VALUE"""),10.0)</f>
        <v>10</v>
      </c>
      <c r="L2896" s="4">
        <f>IFERROR(__xludf.DUMMYFUNCTION("""COMPUTED_VALUE"""),0.436)</f>
        <v>0.436</v>
      </c>
      <c r="M2896" s="4"/>
      <c r="N2896" s="4">
        <f>IFERROR(__xludf.DUMMYFUNCTION("""COMPUTED_VALUE"""),0.714)</f>
        <v>0.714</v>
      </c>
      <c r="O2896" s="4">
        <f>IFERROR(__xludf.DUMMYFUNCTION("""COMPUTED_VALUE"""),3.8)</f>
        <v>3.8</v>
      </c>
      <c r="P2896" s="4">
        <f>IFERROR(__xludf.DUMMYFUNCTION("""COMPUTED_VALUE"""),2.2)</f>
        <v>2.2</v>
      </c>
      <c r="Q2896" s="4">
        <f>IFERROR(__xludf.DUMMYFUNCTION("""COMPUTED_VALUE"""),0.3)</f>
        <v>0.3</v>
      </c>
      <c r="R2896" s="4">
        <f>IFERROR(__xludf.DUMMYFUNCTION("""COMPUTED_VALUE"""),0.5)</f>
        <v>0.5</v>
      </c>
      <c r="S2896" s="4">
        <f>IFERROR(__xludf.DUMMYFUNCTION("""COMPUTED_VALUE"""),0.1)</f>
        <v>0.1</v>
      </c>
      <c r="T2896" s="4">
        <f>IFERROR(__xludf.DUMMYFUNCTION("""COMPUTED_VALUE"""),0.041)</f>
        <v>0.041</v>
      </c>
      <c r="U2896" s="4">
        <f>IFERROR(__xludf.DUMMYFUNCTION("""COMPUTED_VALUE"""),-2.8)</f>
        <v>-2.8</v>
      </c>
      <c r="V2896" s="4">
        <f>IFERROR(__xludf.DUMMYFUNCTION("""COMPUTED_VALUE"""),0.0)</f>
        <v>0</v>
      </c>
    </row>
    <row r="2897">
      <c r="A2897" s="4">
        <f>IFERROR(__xludf.DUMMYFUNCTION("""COMPUTED_VALUE"""),64.0)</f>
        <v>64</v>
      </c>
      <c r="B2897" s="4">
        <f>IFERROR(__xludf.DUMMYFUNCTION("""COMPUTED_VALUE"""),64.0)</f>
        <v>64</v>
      </c>
      <c r="C2897" s="4" t="str">
        <f>IFERROR(__xludf.DUMMYFUNCTION("""COMPUTED_VALUE"""),"DET")</f>
        <v>DET</v>
      </c>
      <c r="D2897" s="4" t="str">
        <f>IFERROR(__xludf.DUMMYFUNCTION("""COMPUTED_VALUE"""),"Richie Johnson")</f>
        <v>Richie Johnson</v>
      </c>
      <c r="E2897" s="4" t="str">
        <f>IFERROR(__xludf.DUMMYFUNCTION("""COMPUTED_VALUE"""),"University of Evansville")</f>
        <v>University of Evansville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</row>
    <row r="2898">
      <c r="A2898" s="4">
        <f>IFERROR(__xludf.DUMMYFUNCTION("""COMPUTED_VALUE"""),65.0)</f>
        <v>65</v>
      </c>
      <c r="B2898" s="4">
        <f>IFERROR(__xludf.DUMMYFUNCTION("""COMPUTED_VALUE"""),65.0)</f>
        <v>65</v>
      </c>
      <c r="C2898" s="4" t="str">
        <f>IFERROR(__xludf.DUMMYFUNCTION("""COMPUTED_VALUE"""),"WSB")</f>
        <v>WSB</v>
      </c>
      <c r="D2898" s="4" t="str">
        <f>IFERROR(__xludf.DUMMYFUNCTION("""COMPUTED_VALUE"""),"Kenny Perry")</f>
        <v>Kenny Perry</v>
      </c>
      <c r="E2898" s="4" t="str">
        <f>IFERROR(__xludf.DUMMYFUNCTION("""COMPUTED_VALUE"""),"Southern Illinois")</f>
        <v>Southern Illinois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</row>
    <row r="2899">
      <c r="A2899" s="4">
        <f>IFERROR(__xludf.DUMMYFUNCTION("""COMPUTED_VALUE"""),66.0)</f>
        <v>66</v>
      </c>
      <c r="B2899" s="4">
        <f>IFERROR(__xludf.DUMMYFUNCTION("""COMPUTED_VALUE"""),66.0)</f>
        <v>66</v>
      </c>
      <c r="C2899" s="4" t="str">
        <f>IFERROR(__xludf.DUMMYFUNCTION("""COMPUTED_VALUE"""),"SAC")</f>
        <v>SAC</v>
      </c>
      <c r="D2899" s="4" t="str">
        <f>IFERROR(__xludf.DUMMYFUNCTION("""COMPUTED_VALUE"""),"Michael Adams")</f>
        <v>Michael Adams</v>
      </c>
      <c r="E2899" s="4" t="str">
        <f>IFERROR(__xludf.DUMMYFUNCTION("""COMPUTED_VALUE"""),"Boston College")</f>
        <v>Boston College</v>
      </c>
      <c r="F2899" s="4">
        <f>IFERROR(__xludf.DUMMYFUNCTION("""COMPUTED_VALUE"""),11.0)</f>
        <v>11</v>
      </c>
      <c r="G2899" s="4">
        <f>IFERROR(__xludf.DUMMYFUNCTION("""COMPUTED_VALUE"""),653.0)</f>
        <v>653</v>
      </c>
      <c r="H2899" s="4">
        <f>IFERROR(__xludf.DUMMYFUNCTION("""COMPUTED_VALUE"""),20446.0)</f>
        <v>20446</v>
      </c>
      <c r="I2899" s="4">
        <f>IFERROR(__xludf.DUMMYFUNCTION("""COMPUTED_VALUE"""),9621.0)</f>
        <v>9621</v>
      </c>
      <c r="J2899" s="4">
        <f>IFERROR(__xludf.DUMMYFUNCTION("""COMPUTED_VALUE"""),1900.0)</f>
        <v>1900</v>
      </c>
      <c r="K2899" s="4">
        <f>IFERROR(__xludf.DUMMYFUNCTION("""COMPUTED_VALUE"""),4209.0)</f>
        <v>4209</v>
      </c>
      <c r="L2899" s="4">
        <f>IFERROR(__xludf.DUMMYFUNCTION("""COMPUTED_VALUE"""),0.415)</f>
        <v>0.415</v>
      </c>
      <c r="M2899" s="4">
        <f>IFERROR(__xludf.DUMMYFUNCTION("""COMPUTED_VALUE"""),0.332)</f>
        <v>0.332</v>
      </c>
      <c r="N2899" s="4">
        <f>IFERROR(__xludf.DUMMYFUNCTION("""COMPUTED_VALUE"""),0.849)</f>
        <v>0.849</v>
      </c>
      <c r="O2899" s="4">
        <f>IFERROR(__xludf.DUMMYFUNCTION("""COMPUTED_VALUE"""),31.3)</f>
        <v>31.3</v>
      </c>
      <c r="P2899" s="4">
        <f>IFERROR(__xludf.DUMMYFUNCTION("""COMPUTED_VALUE"""),14.7)</f>
        <v>14.7</v>
      </c>
      <c r="Q2899" s="4">
        <f>IFERROR(__xludf.DUMMYFUNCTION("""COMPUTED_VALUE"""),2.9)</f>
        <v>2.9</v>
      </c>
      <c r="R2899" s="4">
        <f>IFERROR(__xludf.DUMMYFUNCTION("""COMPUTED_VALUE"""),6.4)</f>
        <v>6.4</v>
      </c>
      <c r="S2899" s="4">
        <f>IFERROR(__xludf.DUMMYFUNCTION("""COMPUTED_VALUE"""),46.9)</f>
        <v>46.9</v>
      </c>
      <c r="T2899" s="4">
        <f>IFERROR(__xludf.DUMMYFUNCTION("""COMPUTED_VALUE"""),0.11)</f>
        <v>0.11</v>
      </c>
      <c r="U2899" s="4">
        <f>IFERROR(__xludf.DUMMYFUNCTION("""COMPUTED_VALUE"""),1.9)</f>
        <v>1.9</v>
      </c>
      <c r="V2899" s="4">
        <f>IFERROR(__xludf.DUMMYFUNCTION("""COMPUTED_VALUE"""),19.9)</f>
        <v>19.9</v>
      </c>
    </row>
    <row r="2900">
      <c r="A2900" s="4">
        <f>IFERROR(__xludf.DUMMYFUNCTION("""COMPUTED_VALUE"""),67.0)</f>
        <v>67</v>
      </c>
      <c r="B2900" s="4">
        <f>IFERROR(__xludf.DUMMYFUNCTION("""COMPUTED_VALUE"""),67.0)</f>
        <v>67</v>
      </c>
      <c r="C2900" s="4" t="str">
        <f>IFERROR(__xludf.DUMMYFUNCTION("""COMPUTED_VALUE"""),"PHI")</f>
        <v>PHI</v>
      </c>
      <c r="D2900" s="4" t="str">
        <f>IFERROR(__xludf.DUMMYFUNCTION("""COMPUTED_VALUE"""),"Steve Black")</f>
        <v>Steve Black</v>
      </c>
      <c r="E2900" s="4" t="str">
        <f>IFERROR(__xludf.DUMMYFUNCTION("""COMPUTED_VALUE"""),"La Salle")</f>
        <v>La Salle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</row>
    <row r="2901">
      <c r="A2901" s="4">
        <f>IFERROR(__xludf.DUMMYFUNCTION("""COMPUTED_VALUE"""),68.0)</f>
        <v>68</v>
      </c>
      <c r="B2901" s="4">
        <f>IFERROR(__xludf.DUMMYFUNCTION("""COMPUTED_VALUE"""),68.0)</f>
        <v>68</v>
      </c>
      <c r="C2901" s="4" t="str">
        <f>IFERROR(__xludf.DUMMYFUNCTION("""COMPUTED_VALUE"""),"MIL")</f>
        <v>MIL</v>
      </c>
      <c r="D2901" s="4" t="str">
        <f>IFERROR(__xludf.DUMMYFUNCTION("""COMPUTED_VALUE"""),"Eugene McDowell")</f>
        <v>Eugene McDowell</v>
      </c>
      <c r="E2901" s="4" t="str">
        <f>IFERROR(__xludf.DUMMYFUNCTION("""COMPUTED_VALUE"""),"Florida")</f>
        <v>Florida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</row>
    <row r="2902">
      <c r="A2902" s="4">
        <f>IFERROR(__xludf.DUMMYFUNCTION("""COMPUTED_VALUE"""),69.0)</f>
        <v>69</v>
      </c>
      <c r="B2902" s="4">
        <f>IFERROR(__xludf.DUMMYFUNCTION("""COMPUTED_VALUE"""),69.0)</f>
        <v>69</v>
      </c>
      <c r="C2902" s="4" t="str">
        <f>IFERROR(__xludf.DUMMYFUNCTION("""COMPUTED_VALUE"""),"CHI")</f>
        <v>CHI</v>
      </c>
      <c r="D2902" s="4" t="str">
        <f>IFERROR(__xludf.DUMMYFUNCTION("""COMPUTED_VALUE"""),"Mike Brown")</f>
        <v>Mike Brown</v>
      </c>
      <c r="E2902" s="4" t="str">
        <f>IFERROR(__xludf.DUMMYFUNCTION("""COMPUTED_VALUE"""),"George Washington")</f>
        <v>George Washington</v>
      </c>
      <c r="F2902" s="4">
        <f>IFERROR(__xludf.DUMMYFUNCTION("""COMPUTED_VALUE"""),11.0)</f>
        <v>11</v>
      </c>
      <c r="G2902" s="4">
        <f>IFERROR(__xludf.DUMMYFUNCTION("""COMPUTED_VALUE"""),626.0)</f>
        <v>626</v>
      </c>
      <c r="H2902" s="4">
        <f>IFERROR(__xludf.DUMMYFUNCTION("""COMPUTED_VALUE"""),10961.0)</f>
        <v>10961</v>
      </c>
      <c r="I2902" s="4">
        <f>IFERROR(__xludf.DUMMYFUNCTION("""COMPUTED_VALUE"""),3130.0)</f>
        <v>3130</v>
      </c>
      <c r="J2902" s="4">
        <f>IFERROR(__xludf.DUMMYFUNCTION("""COMPUTED_VALUE"""),2762.0)</f>
        <v>2762</v>
      </c>
      <c r="K2902" s="4">
        <f>IFERROR(__xludf.DUMMYFUNCTION("""COMPUTED_VALUE"""),424.0)</f>
        <v>424</v>
      </c>
      <c r="L2902" s="4">
        <f>IFERROR(__xludf.DUMMYFUNCTION("""COMPUTED_VALUE"""),0.455)</f>
        <v>0.455</v>
      </c>
      <c r="M2902" s="4">
        <f>IFERROR(__xludf.DUMMYFUNCTION("""COMPUTED_VALUE"""),0.125)</f>
        <v>0.125</v>
      </c>
      <c r="N2902" s="4">
        <f>IFERROR(__xludf.DUMMYFUNCTION("""COMPUTED_VALUE"""),0.69)</f>
        <v>0.69</v>
      </c>
      <c r="O2902" s="4">
        <f>IFERROR(__xludf.DUMMYFUNCTION("""COMPUTED_VALUE"""),17.5)</f>
        <v>17.5</v>
      </c>
      <c r="P2902" s="4">
        <f>IFERROR(__xludf.DUMMYFUNCTION("""COMPUTED_VALUE"""),5.0)</f>
        <v>5</v>
      </c>
      <c r="Q2902" s="4">
        <f>IFERROR(__xludf.DUMMYFUNCTION("""COMPUTED_VALUE"""),4.4)</f>
        <v>4.4</v>
      </c>
      <c r="R2902" s="4">
        <f>IFERROR(__xludf.DUMMYFUNCTION("""COMPUTED_VALUE"""),0.7)</f>
        <v>0.7</v>
      </c>
      <c r="S2902" s="4">
        <f>IFERROR(__xludf.DUMMYFUNCTION("""COMPUTED_VALUE"""),15.9)</f>
        <v>15.9</v>
      </c>
      <c r="T2902" s="4">
        <f>IFERROR(__xludf.DUMMYFUNCTION("""COMPUTED_VALUE"""),0.069)</f>
        <v>0.069</v>
      </c>
      <c r="U2902" s="4">
        <f>IFERROR(__xludf.DUMMYFUNCTION("""COMPUTED_VALUE"""),-3.6)</f>
        <v>-3.6</v>
      </c>
      <c r="V2902" s="4">
        <f>IFERROR(__xludf.DUMMYFUNCTION("""COMPUTED_VALUE"""),-4.4)</f>
        <v>-4.4</v>
      </c>
    </row>
    <row r="2903">
      <c r="A2903" s="4">
        <f>IFERROR(__xludf.DUMMYFUNCTION("""COMPUTED_VALUE"""),70.0)</f>
        <v>70</v>
      </c>
      <c r="B2903" s="4">
        <f>IFERROR(__xludf.DUMMYFUNCTION("""COMPUTED_VALUE"""),70.0)</f>
        <v>70</v>
      </c>
      <c r="C2903" s="4" t="str">
        <f>IFERROR(__xludf.DUMMYFUNCTION("""COMPUTED_VALUE"""),"BOS")</f>
        <v>BOS</v>
      </c>
      <c r="D2903" s="4" t="str">
        <f>IFERROR(__xludf.DUMMYFUNCTION("""COMPUTED_VALUE"""),"Andre Battle")</f>
        <v>Andre Battle</v>
      </c>
      <c r="E2903" s="4" t="str">
        <f>IFERROR(__xludf.DUMMYFUNCTION("""COMPUTED_VALUE"""),"Loyola Chicago")</f>
        <v>Loyola Chicago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</row>
    <row r="2904">
      <c r="A2904" s="4"/>
      <c r="B2904" s="4"/>
      <c r="C2904" s="4"/>
      <c r="D2904" s="4" t="str">
        <f>IFERROR(__xludf.DUMMYFUNCTION("""COMPUTED_VALUE"""),"Round 4")</f>
        <v>Round 4</v>
      </c>
      <c r="E2904" s="4"/>
      <c r="F2904" s="4"/>
      <c r="G2904" s="4" t="str">
        <f>IFERROR(__xludf.DUMMYFUNCTION("""COMPUTED_VALUE"""),"Totals")</f>
        <v>Totals</v>
      </c>
      <c r="H2904" s="4"/>
      <c r="I2904" s="4"/>
      <c r="J2904" s="4"/>
      <c r="K2904" s="4"/>
      <c r="L2904" s="4" t="str">
        <f>IFERROR(__xludf.DUMMYFUNCTION("""COMPUTED_VALUE"""),"Shooting")</f>
        <v>Shooting</v>
      </c>
      <c r="M2904" s="4"/>
      <c r="N2904" s="4"/>
      <c r="O2904" s="4" t="str">
        <f>IFERROR(__xludf.DUMMYFUNCTION("""COMPUTED_VALUE"""),"Per Game")</f>
        <v>Per Game</v>
      </c>
      <c r="P2904" s="4"/>
      <c r="Q2904" s="4"/>
      <c r="R2904" s="4"/>
      <c r="S2904" s="4" t="str">
        <f>IFERROR(__xludf.DUMMYFUNCTION("""COMPUTED_VALUE"""),"Advanced")</f>
        <v>Advanced</v>
      </c>
      <c r="T2904" s="4"/>
      <c r="U2904" s="4"/>
      <c r="V2904" s="4"/>
    </row>
    <row r="2905">
      <c r="A2905" s="4" t="str">
        <f>IFERROR(__xludf.DUMMYFUNCTION("""COMPUTED_VALUE"""),"Rk")</f>
        <v>Rk</v>
      </c>
      <c r="B2905" s="4" t="str">
        <f>IFERROR(__xludf.DUMMYFUNCTION("""COMPUTED_VALUE"""),"Pk")</f>
        <v>Pk</v>
      </c>
      <c r="C2905" s="4" t="str">
        <f>IFERROR(__xludf.DUMMYFUNCTION("""COMPUTED_VALUE"""),"Tm")</f>
        <v>Tm</v>
      </c>
      <c r="D2905" s="4" t="str">
        <f>IFERROR(__xludf.DUMMYFUNCTION("""COMPUTED_VALUE"""),"Player")</f>
        <v>Player</v>
      </c>
      <c r="E2905" s="4" t="str">
        <f>IFERROR(__xludf.DUMMYFUNCTION("""COMPUTED_VALUE"""),"College")</f>
        <v>College</v>
      </c>
      <c r="F2905" s="4" t="str">
        <f>IFERROR(__xludf.DUMMYFUNCTION("""COMPUTED_VALUE"""),"Yrs")</f>
        <v>Yrs</v>
      </c>
      <c r="G2905" s="4" t="str">
        <f>IFERROR(__xludf.DUMMYFUNCTION("""COMPUTED_VALUE"""),"G")</f>
        <v>G</v>
      </c>
      <c r="H2905" s="4" t="str">
        <f>IFERROR(__xludf.DUMMYFUNCTION("""COMPUTED_VALUE"""),"MP")</f>
        <v>MP</v>
      </c>
      <c r="I2905" s="4" t="str">
        <f>IFERROR(__xludf.DUMMYFUNCTION("""COMPUTED_VALUE"""),"PTS")</f>
        <v>PTS</v>
      </c>
      <c r="J2905" s="4" t="str">
        <f>IFERROR(__xludf.DUMMYFUNCTION("""COMPUTED_VALUE"""),"TRB")</f>
        <v>TRB</v>
      </c>
      <c r="K2905" s="4" t="str">
        <f>IFERROR(__xludf.DUMMYFUNCTION("""COMPUTED_VALUE"""),"AST")</f>
        <v>AST</v>
      </c>
      <c r="L2905" s="4" t="str">
        <f>IFERROR(__xludf.DUMMYFUNCTION("""COMPUTED_VALUE"""),"FG%")</f>
        <v>FG%</v>
      </c>
      <c r="M2905" s="4" t="str">
        <f>IFERROR(__xludf.DUMMYFUNCTION("""COMPUTED_VALUE"""),"3P%")</f>
        <v>3P%</v>
      </c>
      <c r="N2905" s="4" t="str">
        <f>IFERROR(__xludf.DUMMYFUNCTION("""COMPUTED_VALUE"""),"FT%")</f>
        <v>FT%</v>
      </c>
      <c r="O2905" s="4" t="str">
        <f>IFERROR(__xludf.DUMMYFUNCTION("""COMPUTED_VALUE"""),"MP")</f>
        <v>MP</v>
      </c>
      <c r="P2905" s="4" t="str">
        <f>IFERROR(__xludf.DUMMYFUNCTION("""COMPUTED_VALUE"""),"PTS")</f>
        <v>PTS</v>
      </c>
      <c r="Q2905" s="4" t="str">
        <f>IFERROR(__xludf.DUMMYFUNCTION("""COMPUTED_VALUE"""),"TRB")</f>
        <v>TRB</v>
      </c>
      <c r="R2905" s="4" t="str">
        <f>IFERROR(__xludf.DUMMYFUNCTION("""COMPUTED_VALUE"""),"AST")</f>
        <v>AST</v>
      </c>
      <c r="S2905" s="4" t="str">
        <f>IFERROR(__xludf.DUMMYFUNCTION("""COMPUTED_VALUE"""),"WS")</f>
        <v>WS</v>
      </c>
      <c r="T2905" s="4" t="str">
        <f>IFERROR(__xludf.DUMMYFUNCTION("""COMPUTED_VALUE"""),"WS/48")</f>
        <v>WS/48</v>
      </c>
      <c r="U2905" s="4" t="str">
        <f>IFERROR(__xludf.DUMMYFUNCTION("""COMPUTED_VALUE"""),"BPM")</f>
        <v>BPM</v>
      </c>
      <c r="V2905" s="4" t="str">
        <f>IFERROR(__xludf.DUMMYFUNCTION("""COMPUTED_VALUE"""),"VORP")</f>
        <v>VORP</v>
      </c>
    </row>
    <row r="2906">
      <c r="A2906" s="4">
        <f>IFERROR(__xludf.DUMMYFUNCTION("""COMPUTED_VALUE"""),71.0)</f>
        <v>71</v>
      </c>
      <c r="B2906" s="4">
        <f>IFERROR(__xludf.DUMMYFUNCTION("""COMPUTED_VALUE"""),71.0)</f>
        <v>71</v>
      </c>
      <c r="C2906" s="4" t="str">
        <f>IFERROR(__xludf.DUMMYFUNCTION("""COMPUTED_VALUE"""),"GSW")</f>
        <v>GSW</v>
      </c>
      <c r="D2906" s="4" t="str">
        <f>IFERROR(__xludf.DUMMYFUNCTION("""COMPUTED_VALUE"""),"Luster Goodwin")</f>
        <v>Luster Goodwin</v>
      </c>
      <c r="E2906" s="4" t="str">
        <f>IFERROR(__xludf.DUMMYFUNCTION("""COMPUTED_VALUE"""),"Texas-El Paso")</f>
        <v>Texas-El Paso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</row>
    <row r="2907">
      <c r="A2907" s="4">
        <f>IFERROR(__xludf.DUMMYFUNCTION("""COMPUTED_VALUE"""),72.0)</f>
        <v>72</v>
      </c>
      <c r="B2907" s="4">
        <f>IFERROR(__xludf.DUMMYFUNCTION("""COMPUTED_VALUE"""),72.0)</f>
        <v>72</v>
      </c>
      <c r="C2907" s="4" t="str">
        <f>IFERROR(__xludf.DUMMYFUNCTION("""COMPUTED_VALUE"""),"IND")</f>
        <v>IND</v>
      </c>
      <c r="D2907" s="4" t="str">
        <f>IFERROR(__xludf.DUMMYFUNCTION("""COMPUTED_VALUE"""),"Vince Hamilton")</f>
        <v>Vince Hamilton</v>
      </c>
      <c r="E2907" s="4" t="str">
        <f>IFERROR(__xludf.DUMMYFUNCTION("""COMPUTED_VALUE"""),"Clemson")</f>
        <v>Clemson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</row>
    <row r="2908">
      <c r="A2908" s="4">
        <f>IFERROR(__xludf.DUMMYFUNCTION("""COMPUTED_VALUE"""),73.0)</f>
        <v>73</v>
      </c>
      <c r="B2908" s="4">
        <f>IFERROR(__xludf.DUMMYFUNCTION("""COMPUTED_VALUE"""),73.0)</f>
        <v>73</v>
      </c>
      <c r="C2908" s="4" t="str">
        <f>IFERROR(__xludf.DUMMYFUNCTION("""COMPUTED_VALUE"""),"NYK")</f>
        <v>NYK</v>
      </c>
      <c r="D2908" s="4" t="str">
        <f>IFERROR(__xludf.DUMMYFUNCTION("""COMPUTED_VALUE"""),"Fred Cofield")</f>
        <v>Fred Cofield</v>
      </c>
      <c r="E2908" s="4" t="str">
        <f>IFERROR(__xludf.DUMMYFUNCTION("""COMPUTED_VALUE"""),"Eastern Michigan")</f>
        <v>Eastern Michigan</v>
      </c>
      <c r="F2908" s="4">
        <f>IFERROR(__xludf.DUMMYFUNCTION("""COMPUTED_VALUE"""),2.0)</f>
        <v>2</v>
      </c>
      <c r="G2908" s="4">
        <f>IFERROR(__xludf.DUMMYFUNCTION("""COMPUTED_VALUE"""),50.0)</f>
        <v>50</v>
      </c>
      <c r="H2908" s="4">
        <f>IFERROR(__xludf.DUMMYFUNCTION("""COMPUTED_VALUE"""),496.0)</f>
        <v>496</v>
      </c>
      <c r="I2908" s="4">
        <f>IFERROR(__xludf.DUMMYFUNCTION("""COMPUTED_VALUE"""),169.0)</f>
        <v>169</v>
      </c>
      <c r="J2908" s="4">
        <f>IFERROR(__xludf.DUMMYFUNCTION("""COMPUTED_VALUE"""),51.0)</f>
        <v>51</v>
      </c>
      <c r="K2908" s="4">
        <f>IFERROR(__xludf.DUMMYFUNCTION("""COMPUTED_VALUE"""),86.0)</f>
        <v>86</v>
      </c>
      <c r="L2908" s="4">
        <f>IFERROR(__xludf.DUMMYFUNCTION("""COMPUTED_VALUE"""),0.395)</f>
        <v>0.395</v>
      </c>
      <c r="M2908" s="4">
        <f>IFERROR(__xludf.DUMMYFUNCTION("""COMPUTED_VALUE"""),0.188)</f>
        <v>0.188</v>
      </c>
      <c r="N2908" s="4">
        <f>IFERROR(__xludf.DUMMYFUNCTION("""COMPUTED_VALUE"""),0.6)</f>
        <v>0.6</v>
      </c>
      <c r="O2908" s="4">
        <f>IFERROR(__xludf.DUMMYFUNCTION("""COMPUTED_VALUE"""),9.9)</f>
        <v>9.9</v>
      </c>
      <c r="P2908" s="4">
        <f>IFERROR(__xludf.DUMMYFUNCTION("""COMPUTED_VALUE"""),3.4)</f>
        <v>3.4</v>
      </c>
      <c r="Q2908" s="4">
        <f>IFERROR(__xludf.DUMMYFUNCTION("""COMPUTED_VALUE"""),1.0)</f>
        <v>1</v>
      </c>
      <c r="R2908" s="4">
        <f>IFERROR(__xludf.DUMMYFUNCTION("""COMPUTED_VALUE"""),1.7)</f>
        <v>1.7</v>
      </c>
      <c r="S2908" s="4">
        <f>IFERROR(__xludf.DUMMYFUNCTION("""COMPUTED_VALUE"""),-0.5)</f>
        <v>-0.5</v>
      </c>
      <c r="T2908" s="4">
        <f>IFERROR(__xludf.DUMMYFUNCTION("""COMPUTED_VALUE"""),-0.044)</f>
        <v>-0.044</v>
      </c>
      <c r="U2908" s="4">
        <f>IFERROR(__xludf.DUMMYFUNCTION("""COMPUTED_VALUE"""),-4.7)</f>
        <v>-4.7</v>
      </c>
      <c r="V2908" s="4">
        <f>IFERROR(__xludf.DUMMYFUNCTION("""COMPUTED_VALUE"""),-0.3)</f>
        <v>-0.3</v>
      </c>
    </row>
    <row r="2909">
      <c r="A2909" s="4">
        <f>IFERROR(__xludf.DUMMYFUNCTION("""COMPUTED_VALUE"""),74.0)</f>
        <v>74</v>
      </c>
      <c r="B2909" s="4">
        <f>IFERROR(__xludf.DUMMYFUNCTION("""COMPUTED_VALUE"""),74.0)</f>
        <v>74</v>
      </c>
      <c r="C2909" s="4" t="str">
        <f>IFERROR(__xludf.DUMMYFUNCTION("""COMPUTED_VALUE"""),"LAC")</f>
        <v>LAC</v>
      </c>
      <c r="D2909" s="4" t="str">
        <f>IFERROR(__xludf.DUMMYFUNCTION("""COMPUTED_VALUE"""),"Jim Deines")</f>
        <v>Jim Deines</v>
      </c>
      <c r="E2909" s="4" t="str">
        <f>IFERROR(__xludf.DUMMYFUNCTION("""COMPUTED_VALUE"""),"Arizona State")</f>
        <v>Arizona State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</row>
    <row r="2910">
      <c r="A2910" s="4">
        <f>IFERROR(__xludf.DUMMYFUNCTION("""COMPUTED_VALUE"""),75.0)</f>
        <v>75</v>
      </c>
      <c r="B2910" s="4">
        <f>IFERROR(__xludf.DUMMYFUNCTION("""COMPUTED_VALUE"""),75.0)</f>
        <v>75</v>
      </c>
      <c r="C2910" s="4" t="str">
        <f>IFERROR(__xludf.DUMMYFUNCTION("""COMPUTED_VALUE"""),"SEA")</f>
        <v>SEA</v>
      </c>
      <c r="D2910" s="4" t="str">
        <f>IFERROR(__xludf.DUMMYFUNCTION("""COMPUTED_VALUE"""),"Alex Stivrins")</f>
        <v>Alex Stivrins</v>
      </c>
      <c r="E2910" s="4" t="str">
        <f>IFERROR(__xludf.DUMMYFUNCTION("""COMPUTED_VALUE"""),"Colorado")</f>
        <v>Colorado</v>
      </c>
      <c r="F2910" s="4">
        <f>IFERROR(__xludf.DUMMYFUNCTION("""COMPUTED_VALUE"""),2.0)</f>
        <v>2</v>
      </c>
      <c r="G2910" s="4">
        <f>IFERROR(__xludf.DUMMYFUNCTION("""COMPUTED_VALUE"""),22.0)</f>
        <v>22</v>
      </c>
      <c r="H2910" s="4">
        <f>IFERROR(__xludf.DUMMYFUNCTION("""COMPUTED_VALUE"""),90.0)</f>
        <v>90</v>
      </c>
      <c r="I2910" s="4">
        <f>IFERROR(__xludf.DUMMYFUNCTION("""COMPUTED_VALUE"""),44.0)</f>
        <v>44</v>
      </c>
      <c r="J2910" s="4">
        <f>IFERROR(__xludf.DUMMYFUNCTION("""COMPUTED_VALUE"""),22.0)</f>
        <v>22</v>
      </c>
      <c r="K2910" s="4">
        <f>IFERROR(__xludf.DUMMYFUNCTION("""COMPUTED_VALUE"""),4.0)</f>
        <v>4</v>
      </c>
      <c r="L2910" s="4">
        <f>IFERROR(__xludf.DUMMYFUNCTION("""COMPUTED_VALUE"""),0.465)</f>
        <v>0.465</v>
      </c>
      <c r="M2910" s="4">
        <f>IFERROR(__xludf.DUMMYFUNCTION("""COMPUTED_VALUE"""),0.0)</f>
        <v>0</v>
      </c>
      <c r="N2910" s="4">
        <f>IFERROR(__xludf.DUMMYFUNCTION("""COMPUTED_VALUE"""),0.5)</f>
        <v>0.5</v>
      </c>
      <c r="O2910" s="4">
        <f>IFERROR(__xludf.DUMMYFUNCTION("""COMPUTED_VALUE"""),4.1)</f>
        <v>4.1</v>
      </c>
      <c r="P2910" s="4">
        <f>IFERROR(__xludf.DUMMYFUNCTION("""COMPUTED_VALUE"""),2.0)</f>
        <v>2</v>
      </c>
      <c r="Q2910" s="4">
        <f>IFERROR(__xludf.DUMMYFUNCTION("""COMPUTED_VALUE"""),1.0)</f>
        <v>1</v>
      </c>
      <c r="R2910" s="4">
        <f>IFERROR(__xludf.DUMMYFUNCTION("""COMPUTED_VALUE"""),0.2)</f>
        <v>0.2</v>
      </c>
      <c r="S2910" s="4">
        <f>IFERROR(__xludf.DUMMYFUNCTION("""COMPUTED_VALUE"""),-0.1)</f>
        <v>-0.1</v>
      </c>
      <c r="T2910" s="4">
        <f>IFERROR(__xludf.DUMMYFUNCTION("""COMPUTED_VALUE"""),-0.043)</f>
        <v>-0.043</v>
      </c>
      <c r="U2910" s="4">
        <f>IFERROR(__xludf.DUMMYFUNCTION("""COMPUTED_VALUE"""),-7.4)</f>
        <v>-7.4</v>
      </c>
      <c r="V2910" s="4">
        <f>IFERROR(__xludf.DUMMYFUNCTION("""COMPUTED_VALUE"""),-0.1)</f>
        <v>-0.1</v>
      </c>
    </row>
    <row r="2911">
      <c r="A2911" s="4">
        <f>IFERROR(__xludf.DUMMYFUNCTION("""COMPUTED_VALUE"""),76.0)</f>
        <v>76</v>
      </c>
      <c r="B2911" s="4">
        <f>IFERROR(__xludf.DUMMYFUNCTION("""COMPUTED_VALUE"""),76.0)</f>
        <v>76</v>
      </c>
      <c r="C2911" s="4" t="str">
        <f>IFERROR(__xludf.DUMMYFUNCTION("""COMPUTED_VALUE"""),"SAC")</f>
        <v>SAC</v>
      </c>
      <c r="D2911" s="4" t="str">
        <f>IFERROR(__xludf.DUMMYFUNCTION("""COMPUTED_VALUE"""),"Willie Simmons")</f>
        <v>Willie Simmons</v>
      </c>
      <c r="E2911" s="4" t="str">
        <f>IFERROR(__xludf.DUMMYFUNCTION("""COMPUTED_VALUE"""),"Louisiana Tech")</f>
        <v>Louisiana Tech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</row>
    <row r="2912">
      <c r="A2912" s="4">
        <f>IFERROR(__xludf.DUMMYFUNCTION("""COMPUTED_VALUE"""),77.0)</f>
        <v>77</v>
      </c>
      <c r="B2912" s="4">
        <f>IFERROR(__xludf.DUMMYFUNCTION("""COMPUTED_VALUE"""),77.0)</f>
        <v>77</v>
      </c>
      <c r="C2912" s="4" t="str">
        <f>IFERROR(__xludf.DUMMYFUNCTION("""COMPUTED_VALUE"""),"ATL")</f>
        <v>ATL</v>
      </c>
      <c r="D2912" s="4" t="str">
        <f>IFERROR(__xludf.DUMMYFUNCTION("""COMPUTED_VALUE"""),"Arvydas Sabonis")</f>
        <v>Arvydas Sabonis</v>
      </c>
      <c r="E2912" s="4"/>
      <c r="F2912" s="4">
        <f>IFERROR(__xludf.DUMMYFUNCTION("""COMPUTED_VALUE"""),7.0)</f>
        <v>7</v>
      </c>
      <c r="G2912" s="4">
        <f>IFERROR(__xludf.DUMMYFUNCTION("""COMPUTED_VALUE"""),470.0)</f>
        <v>470</v>
      </c>
      <c r="H2912" s="4">
        <f>IFERROR(__xludf.DUMMYFUNCTION("""COMPUTED_VALUE"""),11375.0)</f>
        <v>11375</v>
      </c>
      <c r="I2912" s="4">
        <f>IFERROR(__xludf.DUMMYFUNCTION("""COMPUTED_VALUE"""),5629.0)</f>
        <v>5629</v>
      </c>
      <c r="J2912" s="4">
        <f>IFERROR(__xludf.DUMMYFUNCTION("""COMPUTED_VALUE"""),3436.0)</f>
        <v>3436</v>
      </c>
      <c r="K2912" s="4">
        <f>IFERROR(__xludf.DUMMYFUNCTION("""COMPUTED_VALUE"""),964.0)</f>
        <v>964</v>
      </c>
      <c r="L2912" s="4">
        <f>IFERROR(__xludf.DUMMYFUNCTION("""COMPUTED_VALUE"""),0.5)</f>
        <v>0.5</v>
      </c>
      <c r="M2912" s="4">
        <f>IFERROR(__xludf.DUMMYFUNCTION("""COMPUTED_VALUE"""),0.328)</f>
        <v>0.328</v>
      </c>
      <c r="N2912" s="4">
        <f>IFERROR(__xludf.DUMMYFUNCTION("""COMPUTED_VALUE"""),0.786)</f>
        <v>0.786</v>
      </c>
      <c r="O2912" s="4">
        <f>IFERROR(__xludf.DUMMYFUNCTION("""COMPUTED_VALUE"""),24.2)</f>
        <v>24.2</v>
      </c>
      <c r="P2912" s="4">
        <f>IFERROR(__xludf.DUMMYFUNCTION("""COMPUTED_VALUE"""),12.0)</f>
        <v>12</v>
      </c>
      <c r="Q2912" s="4">
        <f>IFERROR(__xludf.DUMMYFUNCTION("""COMPUTED_VALUE"""),7.3)</f>
        <v>7.3</v>
      </c>
      <c r="R2912" s="4">
        <f>IFERROR(__xludf.DUMMYFUNCTION("""COMPUTED_VALUE"""),2.1)</f>
        <v>2.1</v>
      </c>
      <c r="S2912" s="4">
        <f>IFERROR(__xludf.DUMMYFUNCTION("""COMPUTED_VALUE"""),47.3)</f>
        <v>47.3</v>
      </c>
      <c r="T2912" s="4">
        <f>IFERROR(__xludf.DUMMYFUNCTION("""COMPUTED_VALUE"""),0.2)</f>
        <v>0.2</v>
      </c>
      <c r="U2912" s="4">
        <f>IFERROR(__xludf.DUMMYFUNCTION("""COMPUTED_VALUE"""),4.4)</f>
        <v>4.4</v>
      </c>
      <c r="V2912" s="4">
        <f>IFERROR(__xludf.DUMMYFUNCTION("""COMPUTED_VALUE"""),18.4)</f>
        <v>18.4</v>
      </c>
    </row>
    <row r="2913">
      <c r="A2913" s="4">
        <f>IFERROR(__xludf.DUMMYFUNCTION("""COMPUTED_VALUE"""),78.0)</f>
        <v>78</v>
      </c>
      <c r="B2913" s="4">
        <f>IFERROR(__xludf.DUMMYFUNCTION("""COMPUTED_VALUE"""),78.0)</f>
        <v>78</v>
      </c>
      <c r="C2913" s="4" t="str">
        <f>IFERROR(__xludf.DUMMYFUNCTION("""COMPUTED_VALUE"""),"PHO")</f>
        <v>PHO</v>
      </c>
      <c r="D2913" s="4" t="str">
        <f>IFERROR(__xludf.DUMMYFUNCTION("""COMPUTED_VALUE"""),"Granger Hall")</f>
        <v>Granger Hall</v>
      </c>
      <c r="E2913" s="4" t="str">
        <f>IFERROR(__xludf.DUMMYFUNCTION("""COMPUTED_VALUE"""),"Temple")</f>
        <v>Temple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</row>
    <row r="2914">
      <c r="A2914" s="4">
        <f>IFERROR(__xludf.DUMMYFUNCTION("""COMPUTED_VALUE"""),79.0)</f>
        <v>79</v>
      </c>
      <c r="B2914" s="4">
        <f>IFERROR(__xludf.DUMMYFUNCTION("""COMPUTED_VALUE"""),79.0)</f>
        <v>79</v>
      </c>
      <c r="C2914" s="4" t="str">
        <f>IFERROR(__xludf.DUMMYFUNCTION("""COMPUTED_VALUE"""),"CLE")</f>
        <v>CLE</v>
      </c>
      <c r="D2914" s="4" t="str">
        <f>IFERROR(__xludf.DUMMYFUNCTION("""COMPUTED_VALUE"""),"Mark Davis")</f>
        <v>Mark Davis</v>
      </c>
      <c r="E2914" s="4" t="str">
        <f>IFERROR(__xludf.DUMMYFUNCTION("""COMPUTED_VALUE"""),"Old Dominion")</f>
        <v>Old Dominion</v>
      </c>
      <c r="F2914" s="4">
        <f>IFERROR(__xludf.DUMMYFUNCTION("""COMPUTED_VALUE"""),1.0)</f>
        <v>1</v>
      </c>
      <c r="G2914" s="4">
        <f>IFERROR(__xludf.DUMMYFUNCTION("""COMPUTED_VALUE"""),33.0)</f>
        <v>33</v>
      </c>
      <c r="H2914" s="4">
        <f>IFERROR(__xludf.DUMMYFUNCTION("""COMPUTED_VALUE"""),258.0)</f>
        <v>258</v>
      </c>
      <c r="I2914" s="4">
        <f>IFERROR(__xludf.DUMMYFUNCTION("""COMPUTED_VALUE"""),127.0)</f>
        <v>127</v>
      </c>
      <c r="J2914" s="4">
        <f>IFERROR(__xludf.DUMMYFUNCTION("""COMPUTED_VALUE"""),37.0)</f>
        <v>37</v>
      </c>
      <c r="K2914" s="4">
        <f>IFERROR(__xludf.DUMMYFUNCTION("""COMPUTED_VALUE"""),14.0)</f>
        <v>14</v>
      </c>
      <c r="L2914" s="4">
        <f>IFERROR(__xludf.DUMMYFUNCTION("""COMPUTED_VALUE"""),0.48)</f>
        <v>0.48</v>
      </c>
      <c r="M2914" s="4">
        <f>IFERROR(__xludf.DUMMYFUNCTION("""COMPUTED_VALUE"""),0.1)</f>
        <v>0.1</v>
      </c>
      <c r="N2914" s="4">
        <f>IFERROR(__xludf.DUMMYFUNCTION("""COMPUTED_VALUE"""),0.824)</f>
        <v>0.824</v>
      </c>
      <c r="O2914" s="4">
        <f>IFERROR(__xludf.DUMMYFUNCTION("""COMPUTED_VALUE"""),7.8)</f>
        <v>7.8</v>
      </c>
      <c r="P2914" s="4">
        <f>IFERROR(__xludf.DUMMYFUNCTION("""COMPUTED_VALUE"""),3.8)</f>
        <v>3.8</v>
      </c>
      <c r="Q2914" s="4">
        <f>IFERROR(__xludf.DUMMYFUNCTION("""COMPUTED_VALUE"""),1.1)</f>
        <v>1.1</v>
      </c>
      <c r="R2914" s="4">
        <f>IFERROR(__xludf.DUMMYFUNCTION("""COMPUTED_VALUE"""),0.4)</f>
        <v>0.4</v>
      </c>
      <c r="S2914" s="4">
        <f>IFERROR(__xludf.DUMMYFUNCTION("""COMPUTED_VALUE"""),0.7)</f>
        <v>0.7</v>
      </c>
      <c r="T2914" s="4">
        <f>IFERROR(__xludf.DUMMYFUNCTION("""COMPUTED_VALUE"""),0.134)</f>
        <v>0.134</v>
      </c>
      <c r="U2914" s="4">
        <f>IFERROR(__xludf.DUMMYFUNCTION("""COMPUTED_VALUE"""),-0.5)</f>
        <v>-0.5</v>
      </c>
      <c r="V2914" s="4">
        <f>IFERROR(__xludf.DUMMYFUNCTION("""COMPUTED_VALUE"""),0.1)</f>
        <v>0.1</v>
      </c>
    </row>
    <row r="2915">
      <c r="A2915" s="4">
        <f>IFERROR(__xludf.DUMMYFUNCTION("""COMPUTED_VALUE"""),80.0)</f>
        <v>80</v>
      </c>
      <c r="B2915" s="4">
        <f>IFERROR(__xludf.DUMMYFUNCTION("""COMPUTED_VALUE"""),80.0)</f>
        <v>80</v>
      </c>
      <c r="C2915" s="4" t="str">
        <f>IFERROR(__xludf.DUMMYFUNCTION("""COMPUTED_VALUE"""),"CHI")</f>
        <v>CHI</v>
      </c>
      <c r="D2915" s="4" t="str">
        <f>IFERROR(__xludf.DUMMYFUNCTION("""COMPUTED_VALUE"""),"Craig Beard")</f>
        <v>Craig Beard</v>
      </c>
      <c r="E2915" s="4" t="str">
        <f>IFERROR(__xludf.DUMMYFUNCTION("""COMPUTED_VALUE"""),"Samford University")</f>
        <v>Samford University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</row>
    <row r="2916">
      <c r="A2916" s="4">
        <f>IFERROR(__xludf.DUMMYFUNCTION("""COMPUTED_VALUE"""),81.0)</f>
        <v>81</v>
      </c>
      <c r="B2916" s="4">
        <f>IFERROR(__xludf.DUMMYFUNCTION("""COMPUTED_VALUE"""),81.0)</f>
        <v>81</v>
      </c>
      <c r="C2916" s="4" t="str">
        <f>IFERROR(__xludf.DUMMYFUNCTION("""COMPUTED_VALUE"""),"WSB")</f>
        <v>WSB</v>
      </c>
      <c r="D2916" s="4" t="str">
        <f>IFERROR(__xludf.DUMMYFUNCTION("""COMPUTED_VALUE"""),"Richie Adams")</f>
        <v>Richie Adams</v>
      </c>
      <c r="E2916" s="4" t="str">
        <f>IFERROR(__xludf.DUMMYFUNCTION("""COMPUTED_VALUE"""),"UNLV")</f>
        <v>UNLV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</row>
    <row r="2917">
      <c r="A2917" s="4">
        <f>IFERROR(__xludf.DUMMYFUNCTION("""COMPUTED_VALUE"""),82.0)</f>
        <v>82</v>
      </c>
      <c r="B2917" s="4">
        <f>IFERROR(__xludf.DUMMYFUNCTION("""COMPUTED_VALUE"""),82.0)</f>
        <v>82</v>
      </c>
      <c r="C2917" s="4" t="str">
        <f>IFERROR(__xludf.DUMMYFUNCTION("""COMPUTED_VALUE"""),"SAS")</f>
        <v>SAS</v>
      </c>
      <c r="D2917" s="4" t="str">
        <f>IFERROR(__xludf.DUMMYFUNCTION("""COMPUTED_VALUE"""),"Scott Roth")</f>
        <v>Scott Roth</v>
      </c>
      <c r="E2917" s="4" t="str">
        <f>IFERROR(__xludf.DUMMYFUNCTION("""COMPUTED_VALUE"""),"Wisconsin")</f>
        <v>Wisconsin</v>
      </c>
      <c r="F2917" s="4">
        <f>IFERROR(__xludf.DUMMYFUNCTION("""COMPUTED_VALUE"""),3.0)</f>
        <v>3</v>
      </c>
      <c r="G2917" s="4">
        <f>IFERROR(__xludf.DUMMYFUNCTION("""COMPUTED_VALUE"""),160.0)</f>
        <v>160</v>
      </c>
      <c r="H2917" s="4">
        <f>IFERROR(__xludf.DUMMYFUNCTION("""COMPUTED_VALUE"""),1798.0)</f>
        <v>1798</v>
      </c>
      <c r="I2917" s="4">
        <f>IFERROR(__xludf.DUMMYFUNCTION("""COMPUTED_VALUE"""),751.0)</f>
        <v>751</v>
      </c>
      <c r="J2917" s="4">
        <f>IFERROR(__xludf.DUMMYFUNCTION("""COMPUTED_VALUE"""),204.0)</f>
        <v>204</v>
      </c>
      <c r="K2917" s="4">
        <f>IFERROR(__xludf.DUMMYFUNCTION("""COMPUTED_VALUE"""),186.0)</f>
        <v>186</v>
      </c>
      <c r="L2917" s="4">
        <f>IFERROR(__xludf.DUMMYFUNCTION("""COMPUTED_VALUE"""),0.375)</f>
        <v>0.375</v>
      </c>
      <c r="M2917" s="4">
        <f>IFERROR(__xludf.DUMMYFUNCTION("""COMPUTED_VALUE"""),0.291)</f>
        <v>0.291</v>
      </c>
      <c r="N2917" s="4">
        <f>IFERROR(__xludf.DUMMYFUNCTION("""COMPUTED_VALUE"""),0.73)</f>
        <v>0.73</v>
      </c>
      <c r="O2917" s="4">
        <f>IFERROR(__xludf.DUMMYFUNCTION("""COMPUTED_VALUE"""),11.2)</f>
        <v>11.2</v>
      </c>
      <c r="P2917" s="4">
        <f>IFERROR(__xludf.DUMMYFUNCTION("""COMPUTED_VALUE"""),4.7)</f>
        <v>4.7</v>
      </c>
      <c r="Q2917" s="4">
        <f>IFERROR(__xludf.DUMMYFUNCTION("""COMPUTED_VALUE"""),1.3)</f>
        <v>1.3</v>
      </c>
      <c r="R2917" s="4">
        <f>IFERROR(__xludf.DUMMYFUNCTION("""COMPUTED_VALUE"""),1.2)</f>
        <v>1.2</v>
      </c>
      <c r="S2917" s="4">
        <f>IFERROR(__xludf.DUMMYFUNCTION("""COMPUTED_VALUE"""),1.1)</f>
        <v>1.1</v>
      </c>
      <c r="T2917" s="4">
        <f>IFERROR(__xludf.DUMMYFUNCTION("""COMPUTED_VALUE"""),0.03)</f>
        <v>0.03</v>
      </c>
      <c r="U2917" s="4">
        <f>IFERROR(__xludf.DUMMYFUNCTION("""COMPUTED_VALUE"""),-3.3)</f>
        <v>-3.3</v>
      </c>
      <c r="V2917" s="4">
        <f>IFERROR(__xludf.DUMMYFUNCTION("""COMPUTED_VALUE"""),-0.6)</f>
        <v>-0.6</v>
      </c>
    </row>
    <row r="2918">
      <c r="A2918" s="4">
        <f>IFERROR(__xludf.DUMMYFUNCTION("""COMPUTED_VALUE"""),83.0)</f>
        <v>83</v>
      </c>
      <c r="B2918" s="4">
        <f>IFERROR(__xludf.DUMMYFUNCTION("""COMPUTED_VALUE"""),83.0)</f>
        <v>83</v>
      </c>
      <c r="C2918" s="4" t="str">
        <f>IFERROR(__xludf.DUMMYFUNCTION("""COMPUTED_VALUE"""),"UTA")</f>
        <v>UTA</v>
      </c>
      <c r="D2918" s="4" t="str">
        <f>IFERROR(__xludf.DUMMYFUNCTION("""COMPUTED_VALUE"""),"Delaney Rudd")</f>
        <v>Delaney Rudd</v>
      </c>
      <c r="E2918" s="4" t="str">
        <f>IFERROR(__xludf.DUMMYFUNCTION("""COMPUTED_VALUE"""),"Wake Forest")</f>
        <v>Wake Forest</v>
      </c>
      <c r="F2918" s="4">
        <f>IFERROR(__xludf.DUMMYFUNCTION("""COMPUTED_VALUE"""),4.0)</f>
        <v>4</v>
      </c>
      <c r="G2918" s="4">
        <f>IFERROR(__xludf.DUMMYFUNCTION("""COMPUTED_VALUE"""),239.0)</f>
        <v>239</v>
      </c>
      <c r="H2918" s="4">
        <f>IFERROR(__xludf.DUMMYFUNCTION("""COMPUTED_VALUE"""),2357.0)</f>
        <v>2357</v>
      </c>
      <c r="I2918" s="4">
        <f>IFERROR(__xludf.DUMMYFUNCTION("""COMPUTED_VALUE"""),816.0)</f>
        <v>816</v>
      </c>
      <c r="J2918" s="4">
        <f>IFERROR(__xludf.DUMMYFUNCTION("""COMPUTED_VALUE"""),184.0)</f>
        <v>184</v>
      </c>
      <c r="K2918" s="4">
        <f>IFERROR(__xludf.DUMMYFUNCTION("""COMPUTED_VALUE"""),519.0)</f>
        <v>519</v>
      </c>
      <c r="L2918" s="4">
        <f>IFERROR(__xludf.DUMMYFUNCTION("""COMPUTED_VALUE"""),0.413)</f>
        <v>0.413</v>
      </c>
      <c r="M2918" s="4">
        <f>IFERROR(__xludf.DUMMYFUNCTION("""COMPUTED_VALUE"""),0.257)</f>
        <v>0.257</v>
      </c>
      <c r="N2918" s="4">
        <f>IFERROR(__xludf.DUMMYFUNCTION("""COMPUTED_VALUE"""),0.761)</f>
        <v>0.761</v>
      </c>
      <c r="O2918" s="4">
        <f>IFERROR(__xludf.DUMMYFUNCTION("""COMPUTED_VALUE"""),9.9)</f>
        <v>9.9</v>
      </c>
      <c r="P2918" s="4">
        <f>IFERROR(__xludf.DUMMYFUNCTION("""COMPUTED_VALUE"""),3.4)</f>
        <v>3.4</v>
      </c>
      <c r="Q2918" s="4">
        <f>IFERROR(__xludf.DUMMYFUNCTION("""COMPUTED_VALUE"""),0.8)</f>
        <v>0.8</v>
      </c>
      <c r="R2918" s="4">
        <f>IFERROR(__xludf.DUMMYFUNCTION("""COMPUTED_VALUE"""),2.2)</f>
        <v>2.2</v>
      </c>
      <c r="S2918" s="4">
        <f>IFERROR(__xludf.DUMMYFUNCTION("""COMPUTED_VALUE"""),0.7)</f>
        <v>0.7</v>
      </c>
      <c r="T2918" s="4">
        <f>IFERROR(__xludf.DUMMYFUNCTION("""COMPUTED_VALUE"""),0.014)</f>
        <v>0.014</v>
      </c>
      <c r="U2918" s="4">
        <f>IFERROR(__xludf.DUMMYFUNCTION("""COMPUTED_VALUE"""),-3.9)</f>
        <v>-3.9</v>
      </c>
      <c r="V2918" s="4">
        <f>IFERROR(__xludf.DUMMYFUNCTION("""COMPUTED_VALUE"""),-1.2)</f>
        <v>-1.2</v>
      </c>
    </row>
    <row r="2919">
      <c r="A2919" s="4">
        <f>IFERROR(__xludf.DUMMYFUNCTION("""COMPUTED_VALUE"""),84.0)</f>
        <v>84</v>
      </c>
      <c r="B2919" s="4">
        <f>IFERROR(__xludf.DUMMYFUNCTION("""COMPUTED_VALUE"""),84.0)</f>
        <v>84</v>
      </c>
      <c r="C2919" s="4" t="str">
        <f>IFERROR(__xludf.DUMMYFUNCTION("""COMPUTED_VALUE"""),"ATL")</f>
        <v>ATL</v>
      </c>
      <c r="D2919" s="4" t="str">
        <f>IFERROR(__xludf.DUMMYFUNCTION("""COMPUTED_VALUE"""),"John Battle")</f>
        <v>John Battle</v>
      </c>
      <c r="E2919" s="4" t="str">
        <f>IFERROR(__xludf.DUMMYFUNCTION("""COMPUTED_VALUE"""),"Rutgers University")</f>
        <v>Rutgers University</v>
      </c>
      <c r="F2919" s="4">
        <f>IFERROR(__xludf.DUMMYFUNCTION("""COMPUTED_VALUE"""),10.0)</f>
        <v>10</v>
      </c>
      <c r="G2919" s="4">
        <f>IFERROR(__xludf.DUMMYFUNCTION("""COMPUTED_VALUE"""),612.0)</f>
        <v>612</v>
      </c>
      <c r="H2919" s="4">
        <f>IFERROR(__xludf.DUMMYFUNCTION("""COMPUTED_VALUE"""),10910.0)</f>
        <v>10910</v>
      </c>
      <c r="I2919" s="4">
        <f>IFERROR(__xludf.DUMMYFUNCTION("""COMPUTED_VALUE"""),5338.0)</f>
        <v>5338</v>
      </c>
      <c r="J2919" s="4">
        <f>IFERROR(__xludf.DUMMYFUNCTION("""COMPUTED_VALUE"""),824.0)</f>
        <v>824</v>
      </c>
      <c r="K2919" s="4">
        <f>IFERROR(__xludf.DUMMYFUNCTION("""COMPUTED_VALUE"""),1257.0)</f>
        <v>1257</v>
      </c>
      <c r="L2919" s="4">
        <f>IFERROR(__xludf.DUMMYFUNCTION("""COMPUTED_VALUE"""),0.464)</f>
        <v>0.464</v>
      </c>
      <c r="M2919" s="4">
        <f>IFERROR(__xludf.DUMMYFUNCTION("""COMPUTED_VALUE"""),0.273)</f>
        <v>0.273</v>
      </c>
      <c r="N2919" s="4">
        <f>IFERROR(__xludf.DUMMYFUNCTION("""COMPUTED_VALUE"""),0.793)</f>
        <v>0.793</v>
      </c>
      <c r="O2919" s="4">
        <f>IFERROR(__xludf.DUMMYFUNCTION("""COMPUTED_VALUE"""),17.8)</f>
        <v>17.8</v>
      </c>
      <c r="P2919" s="4">
        <f>IFERROR(__xludf.DUMMYFUNCTION("""COMPUTED_VALUE"""),8.7)</f>
        <v>8.7</v>
      </c>
      <c r="Q2919" s="4">
        <f>IFERROR(__xludf.DUMMYFUNCTION("""COMPUTED_VALUE"""),1.3)</f>
        <v>1.3</v>
      </c>
      <c r="R2919" s="4">
        <f>IFERROR(__xludf.DUMMYFUNCTION("""COMPUTED_VALUE"""),2.1)</f>
        <v>2.1</v>
      </c>
      <c r="S2919" s="4">
        <f>IFERROR(__xludf.DUMMYFUNCTION("""COMPUTED_VALUE"""),17.9)</f>
        <v>17.9</v>
      </c>
      <c r="T2919" s="4">
        <f>IFERROR(__xludf.DUMMYFUNCTION("""COMPUTED_VALUE"""),0.079)</f>
        <v>0.079</v>
      </c>
      <c r="U2919" s="4">
        <f>IFERROR(__xludf.DUMMYFUNCTION("""COMPUTED_VALUE"""),-2.0)</f>
        <v>-2</v>
      </c>
      <c r="V2919" s="4">
        <f>IFERROR(__xludf.DUMMYFUNCTION("""COMPUTED_VALUE"""),0.1)</f>
        <v>0.1</v>
      </c>
    </row>
    <row r="2920">
      <c r="A2920" s="4">
        <f>IFERROR(__xludf.DUMMYFUNCTION("""COMPUTED_VALUE"""),85.0)</f>
        <v>85</v>
      </c>
      <c r="B2920" s="4">
        <f>IFERROR(__xludf.DUMMYFUNCTION("""COMPUTED_VALUE"""),85.0)</f>
        <v>85</v>
      </c>
      <c r="C2920" s="4" t="str">
        <f>IFERROR(__xludf.DUMMYFUNCTION("""COMPUTED_VALUE"""),"POR")</f>
        <v>POR</v>
      </c>
      <c r="D2920" s="4" t="str">
        <f>IFERROR(__xludf.DUMMYFUNCTION("""COMPUTED_VALUE"""),"Joe Atkinson")</f>
        <v>Joe Atkinson</v>
      </c>
      <c r="E2920" s="4" t="str">
        <f>IFERROR(__xludf.DUMMYFUNCTION("""COMPUTED_VALUE"""),"Oklahoma State")</f>
        <v>Oklahoma State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</row>
    <row r="2921">
      <c r="A2921" s="4">
        <f>IFERROR(__xludf.DUMMYFUNCTION("""COMPUTED_VALUE"""),86.0)</f>
        <v>86</v>
      </c>
      <c r="B2921" s="4">
        <f>IFERROR(__xludf.DUMMYFUNCTION("""COMPUTED_VALUE"""),86.0)</f>
        <v>86</v>
      </c>
      <c r="C2921" s="4" t="str">
        <f>IFERROR(__xludf.DUMMYFUNCTION("""COMPUTED_VALUE"""),"DAL")</f>
        <v>DAL</v>
      </c>
      <c r="D2921" s="4" t="str">
        <f>IFERROR(__xludf.DUMMYFUNCTION("""COMPUTED_VALUE"""),"Bubba Jennings")</f>
        <v>Bubba Jennings</v>
      </c>
      <c r="E2921" s="4" t="str">
        <f>IFERROR(__xludf.DUMMYFUNCTION("""COMPUTED_VALUE"""),"Texas Tech")</f>
        <v>Texas Tech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</row>
    <row r="2922">
      <c r="A2922" s="4">
        <f>IFERROR(__xludf.DUMMYFUNCTION("""COMPUTED_VALUE"""),87.0)</f>
        <v>87</v>
      </c>
      <c r="B2922" s="4">
        <f>IFERROR(__xludf.DUMMYFUNCTION("""COMPUTED_VALUE"""),87.0)</f>
        <v>87</v>
      </c>
      <c r="C2922" s="4" t="str">
        <f>IFERROR(__xludf.DUMMYFUNCTION("""COMPUTED_VALUE"""),"DET")</f>
        <v>DET</v>
      </c>
      <c r="D2922" s="4" t="str">
        <f>IFERROR(__xludf.DUMMYFUNCTION("""COMPUTED_VALUE"""),"Spud Webb")</f>
        <v>Spud Webb</v>
      </c>
      <c r="E2922" s="4" t="str">
        <f>IFERROR(__xludf.DUMMYFUNCTION("""COMPUTED_VALUE"""),"NC State")</f>
        <v>NC State</v>
      </c>
      <c r="F2922" s="4">
        <f>IFERROR(__xludf.DUMMYFUNCTION("""COMPUTED_VALUE"""),12.0)</f>
        <v>12</v>
      </c>
      <c r="G2922" s="4">
        <f>IFERROR(__xludf.DUMMYFUNCTION("""COMPUTED_VALUE"""),814.0)</f>
        <v>814</v>
      </c>
      <c r="H2922" s="4">
        <f>IFERROR(__xludf.DUMMYFUNCTION("""COMPUTED_VALUE"""),20288.0)</f>
        <v>20288</v>
      </c>
      <c r="I2922" s="4">
        <f>IFERROR(__xludf.DUMMYFUNCTION("""COMPUTED_VALUE"""),8072.0)</f>
        <v>8072</v>
      </c>
      <c r="J2922" s="4">
        <f>IFERROR(__xludf.DUMMYFUNCTION("""COMPUTED_VALUE"""),1742.0)</f>
        <v>1742</v>
      </c>
      <c r="K2922" s="4">
        <f>IFERROR(__xludf.DUMMYFUNCTION("""COMPUTED_VALUE"""),4342.0)</f>
        <v>4342</v>
      </c>
      <c r="L2922" s="4">
        <f>IFERROR(__xludf.DUMMYFUNCTION("""COMPUTED_VALUE"""),0.452)</f>
        <v>0.452</v>
      </c>
      <c r="M2922" s="4">
        <f>IFERROR(__xludf.DUMMYFUNCTION("""COMPUTED_VALUE"""),0.314)</f>
        <v>0.314</v>
      </c>
      <c r="N2922" s="4">
        <f>IFERROR(__xludf.DUMMYFUNCTION("""COMPUTED_VALUE"""),0.848)</f>
        <v>0.848</v>
      </c>
      <c r="O2922" s="4">
        <f>IFERROR(__xludf.DUMMYFUNCTION("""COMPUTED_VALUE"""),24.9)</f>
        <v>24.9</v>
      </c>
      <c r="P2922" s="4">
        <f>IFERROR(__xludf.DUMMYFUNCTION("""COMPUTED_VALUE"""),9.9)</f>
        <v>9.9</v>
      </c>
      <c r="Q2922" s="4">
        <f>IFERROR(__xludf.DUMMYFUNCTION("""COMPUTED_VALUE"""),2.1)</f>
        <v>2.1</v>
      </c>
      <c r="R2922" s="4">
        <f>IFERROR(__xludf.DUMMYFUNCTION("""COMPUTED_VALUE"""),5.3)</f>
        <v>5.3</v>
      </c>
      <c r="S2922" s="4">
        <f>IFERROR(__xludf.DUMMYFUNCTION("""COMPUTED_VALUE"""),40.2)</f>
        <v>40.2</v>
      </c>
      <c r="T2922" s="4">
        <f>IFERROR(__xludf.DUMMYFUNCTION("""COMPUTED_VALUE"""),0.095)</f>
        <v>0.095</v>
      </c>
      <c r="U2922" s="4">
        <f>IFERROR(__xludf.DUMMYFUNCTION("""COMPUTED_VALUE"""),0.2)</f>
        <v>0.2</v>
      </c>
      <c r="V2922" s="4">
        <f>IFERROR(__xludf.DUMMYFUNCTION("""COMPUTED_VALUE"""),11.5)</f>
        <v>11.5</v>
      </c>
    </row>
    <row r="2923">
      <c r="A2923" s="4">
        <f>IFERROR(__xludf.DUMMYFUNCTION("""COMPUTED_VALUE"""),88.0)</f>
        <v>88</v>
      </c>
      <c r="B2923" s="4">
        <f>IFERROR(__xludf.DUMMYFUNCTION("""COMPUTED_VALUE"""),88.0)</f>
        <v>88</v>
      </c>
      <c r="C2923" s="4" t="str">
        <f>IFERROR(__xludf.DUMMYFUNCTION("""COMPUTED_VALUE"""),"HOU")</f>
        <v>HOU</v>
      </c>
      <c r="D2923" s="4" t="str">
        <f>IFERROR(__xludf.DUMMYFUNCTION("""COMPUTED_VALUE"""),"Michael Brooks")</f>
        <v>Michael Brooks</v>
      </c>
      <c r="E2923" s="4" t="str">
        <f>IFERROR(__xludf.DUMMYFUNCTION("""COMPUTED_VALUE"""),"Tennessee")</f>
        <v>Tennessee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</row>
    <row r="2924">
      <c r="A2924" s="4">
        <f>IFERROR(__xludf.DUMMYFUNCTION("""COMPUTED_VALUE"""),89.0)</f>
        <v>89</v>
      </c>
      <c r="B2924" s="4">
        <f>IFERROR(__xludf.DUMMYFUNCTION("""COMPUTED_VALUE"""),89.0)</f>
        <v>89</v>
      </c>
      <c r="C2924" s="4" t="str">
        <f>IFERROR(__xludf.DUMMYFUNCTION("""COMPUTED_VALUE"""),"DEN")</f>
        <v>DEN</v>
      </c>
      <c r="D2924" s="4" t="str">
        <f>IFERROR(__xludf.DUMMYFUNCTION("""COMPUTED_VALUE"""),"Pete Williams")</f>
        <v>Pete Williams</v>
      </c>
      <c r="E2924" s="4" t="str">
        <f>IFERROR(__xludf.DUMMYFUNCTION("""COMPUTED_VALUE"""),"Arizona")</f>
        <v>Arizona</v>
      </c>
      <c r="F2924" s="4">
        <f>IFERROR(__xludf.DUMMYFUNCTION("""COMPUTED_VALUE"""),2.0)</f>
        <v>2</v>
      </c>
      <c r="G2924" s="4">
        <f>IFERROR(__xludf.DUMMYFUNCTION("""COMPUTED_VALUE"""),58.0)</f>
        <v>58</v>
      </c>
      <c r="H2924" s="4">
        <f>IFERROR(__xludf.DUMMYFUNCTION("""COMPUTED_VALUE"""),583.0)</f>
        <v>583</v>
      </c>
      <c r="I2924" s="4">
        <f>IFERROR(__xludf.DUMMYFUNCTION("""COMPUTED_VALUE"""),153.0)</f>
        <v>153</v>
      </c>
      <c r="J2924" s="4">
        <f>IFERROR(__xludf.DUMMYFUNCTION("""COMPUTED_VALUE"""),147.0)</f>
        <v>147</v>
      </c>
      <c r="K2924" s="4">
        <f>IFERROR(__xludf.DUMMYFUNCTION("""COMPUTED_VALUE"""),15.0)</f>
        <v>15</v>
      </c>
      <c r="L2924" s="4">
        <f>IFERROR(__xludf.DUMMYFUNCTION("""COMPUTED_VALUE"""),0.602)</f>
        <v>0.602</v>
      </c>
      <c r="M2924" s="4"/>
      <c r="N2924" s="4">
        <f>IFERROR(__xludf.DUMMYFUNCTION("""COMPUTED_VALUE"""),0.425)</f>
        <v>0.425</v>
      </c>
      <c r="O2924" s="4">
        <f>IFERROR(__xludf.DUMMYFUNCTION("""COMPUTED_VALUE"""),10.1)</f>
        <v>10.1</v>
      </c>
      <c r="P2924" s="4">
        <f>IFERROR(__xludf.DUMMYFUNCTION("""COMPUTED_VALUE"""),2.6)</f>
        <v>2.6</v>
      </c>
      <c r="Q2924" s="4">
        <f>IFERROR(__xludf.DUMMYFUNCTION("""COMPUTED_VALUE"""),2.5)</f>
        <v>2.5</v>
      </c>
      <c r="R2924" s="4">
        <f>IFERROR(__xludf.DUMMYFUNCTION("""COMPUTED_VALUE"""),0.3)</f>
        <v>0.3</v>
      </c>
      <c r="S2924" s="4">
        <f>IFERROR(__xludf.DUMMYFUNCTION("""COMPUTED_VALUE"""),1.4)</f>
        <v>1.4</v>
      </c>
      <c r="T2924" s="4">
        <f>IFERROR(__xludf.DUMMYFUNCTION("""COMPUTED_VALUE"""),0.112)</f>
        <v>0.112</v>
      </c>
      <c r="U2924" s="4">
        <f>IFERROR(__xludf.DUMMYFUNCTION("""COMPUTED_VALUE"""),-1.1)</f>
        <v>-1.1</v>
      </c>
      <c r="V2924" s="4">
        <f>IFERROR(__xludf.DUMMYFUNCTION("""COMPUTED_VALUE"""),0.1)</f>
        <v>0.1</v>
      </c>
    </row>
    <row r="2925">
      <c r="A2925" s="4">
        <f>IFERROR(__xludf.DUMMYFUNCTION("""COMPUTED_VALUE"""),90.0)</f>
        <v>90</v>
      </c>
      <c r="B2925" s="4">
        <f>IFERROR(__xludf.DUMMYFUNCTION("""COMPUTED_VALUE"""),90.0)</f>
        <v>90</v>
      </c>
      <c r="C2925" s="4" t="str">
        <f>IFERROR(__xludf.DUMMYFUNCTION("""COMPUTED_VALUE"""),"PHI")</f>
        <v>PHI</v>
      </c>
      <c r="D2925" s="4" t="str">
        <f>IFERROR(__xludf.DUMMYFUNCTION("""COMPUTED_VALUE"""),"Derrick Gervin")</f>
        <v>Derrick Gervin</v>
      </c>
      <c r="E2925" s="4" t="str">
        <f>IFERROR(__xludf.DUMMYFUNCTION("""COMPUTED_VALUE"""),"Texas-San Antonio")</f>
        <v>Texas-San Antonio</v>
      </c>
      <c r="F2925" s="4">
        <f>IFERROR(__xludf.DUMMYFUNCTION("""COMPUTED_VALUE"""),2.0)</f>
        <v>2</v>
      </c>
      <c r="G2925" s="4">
        <f>IFERROR(__xludf.DUMMYFUNCTION("""COMPUTED_VALUE"""),77.0)</f>
        <v>77</v>
      </c>
      <c r="H2925" s="4">
        <f>IFERROR(__xludf.DUMMYFUNCTION("""COMPUTED_VALUE"""),1082.0)</f>
        <v>1082</v>
      </c>
      <c r="I2925" s="4">
        <f>IFERROR(__xludf.DUMMYFUNCTION("""COMPUTED_VALUE"""),676.0)</f>
        <v>676</v>
      </c>
      <c r="J2925" s="4">
        <f>IFERROR(__xludf.DUMMYFUNCTION("""COMPUTED_VALUE"""),175.0)</f>
        <v>175</v>
      </c>
      <c r="K2925" s="4">
        <f>IFERROR(__xludf.DUMMYFUNCTION("""COMPUTED_VALUE"""),38.0)</f>
        <v>38</v>
      </c>
      <c r="L2925" s="4">
        <f>IFERROR(__xludf.DUMMYFUNCTION("""COMPUTED_VALUE"""),0.435)</f>
        <v>0.435</v>
      </c>
      <c r="M2925" s="4">
        <f>IFERROR(__xludf.DUMMYFUNCTION("""COMPUTED_VALUE"""),0.226)</f>
        <v>0.226</v>
      </c>
      <c r="N2925" s="4">
        <f>IFERROR(__xludf.DUMMYFUNCTION("""COMPUTED_VALUE"""),0.764)</f>
        <v>0.764</v>
      </c>
      <c r="O2925" s="4">
        <f>IFERROR(__xludf.DUMMYFUNCTION("""COMPUTED_VALUE"""),14.1)</f>
        <v>14.1</v>
      </c>
      <c r="P2925" s="4">
        <f>IFERROR(__xludf.DUMMYFUNCTION("""COMPUTED_VALUE"""),8.8)</f>
        <v>8.8</v>
      </c>
      <c r="Q2925" s="4">
        <f>IFERROR(__xludf.DUMMYFUNCTION("""COMPUTED_VALUE"""),2.3)</f>
        <v>2.3</v>
      </c>
      <c r="R2925" s="4">
        <f>IFERROR(__xludf.DUMMYFUNCTION("""COMPUTED_VALUE"""),0.5)</f>
        <v>0.5</v>
      </c>
      <c r="S2925" s="4">
        <f>IFERROR(__xludf.DUMMYFUNCTION("""COMPUTED_VALUE"""),2.1)</f>
        <v>2.1</v>
      </c>
      <c r="T2925" s="4">
        <f>IFERROR(__xludf.DUMMYFUNCTION("""COMPUTED_VALUE"""),0.095)</f>
        <v>0.095</v>
      </c>
      <c r="U2925" s="4">
        <f>IFERROR(__xludf.DUMMYFUNCTION("""COMPUTED_VALUE"""),-1.0)</f>
        <v>-1</v>
      </c>
      <c r="V2925" s="4">
        <f>IFERROR(__xludf.DUMMYFUNCTION("""COMPUTED_VALUE"""),0.3)</f>
        <v>0.3</v>
      </c>
    </row>
    <row r="2926">
      <c r="A2926" s="4">
        <f>IFERROR(__xludf.DUMMYFUNCTION("""COMPUTED_VALUE"""),91.0)</f>
        <v>91</v>
      </c>
      <c r="B2926" s="4">
        <f>IFERROR(__xludf.DUMMYFUNCTION("""COMPUTED_VALUE"""),91.0)</f>
        <v>91</v>
      </c>
      <c r="C2926" s="4" t="str">
        <f>IFERROR(__xludf.DUMMYFUNCTION("""COMPUTED_VALUE"""),"MIL")</f>
        <v>MIL</v>
      </c>
      <c r="D2926" s="4" t="str">
        <f>IFERROR(__xludf.DUMMYFUNCTION("""COMPUTED_VALUE"""),"Cozell McQueen")</f>
        <v>Cozell McQueen</v>
      </c>
      <c r="E2926" s="4" t="str">
        <f>IFERROR(__xludf.DUMMYFUNCTION("""COMPUTED_VALUE"""),"NC State")</f>
        <v>NC State</v>
      </c>
      <c r="F2926" s="4">
        <f>IFERROR(__xludf.DUMMYFUNCTION("""COMPUTED_VALUE"""),1.0)</f>
        <v>1</v>
      </c>
      <c r="G2926" s="4">
        <f>IFERROR(__xludf.DUMMYFUNCTION("""COMPUTED_VALUE"""),3.0)</f>
        <v>3</v>
      </c>
      <c r="H2926" s="4">
        <f>IFERROR(__xludf.DUMMYFUNCTION("""COMPUTED_VALUE"""),7.0)</f>
        <v>7</v>
      </c>
      <c r="I2926" s="4">
        <f>IFERROR(__xludf.DUMMYFUNCTION("""COMPUTED_VALUE"""),6.0)</f>
        <v>6</v>
      </c>
      <c r="J2926" s="4">
        <f>IFERROR(__xludf.DUMMYFUNCTION("""COMPUTED_VALUE"""),8.0)</f>
        <v>8</v>
      </c>
      <c r="K2926" s="4">
        <f>IFERROR(__xludf.DUMMYFUNCTION("""COMPUTED_VALUE"""),0.0)</f>
        <v>0</v>
      </c>
      <c r="L2926" s="4">
        <f>IFERROR(__xludf.DUMMYFUNCTION("""COMPUTED_VALUE"""),1.0)</f>
        <v>1</v>
      </c>
      <c r="M2926" s="4"/>
      <c r="N2926" s="4"/>
      <c r="O2926" s="4">
        <f>IFERROR(__xludf.DUMMYFUNCTION("""COMPUTED_VALUE"""),2.3)</f>
        <v>2.3</v>
      </c>
      <c r="P2926" s="4">
        <f>IFERROR(__xludf.DUMMYFUNCTION("""COMPUTED_VALUE"""),2.0)</f>
        <v>2</v>
      </c>
      <c r="Q2926" s="4">
        <f>IFERROR(__xludf.DUMMYFUNCTION("""COMPUTED_VALUE"""),2.7)</f>
        <v>2.7</v>
      </c>
      <c r="R2926" s="4">
        <f>IFERROR(__xludf.DUMMYFUNCTION("""COMPUTED_VALUE"""),0.0)</f>
        <v>0</v>
      </c>
      <c r="S2926" s="4">
        <f>IFERROR(__xludf.DUMMYFUNCTION("""COMPUTED_VALUE"""),0.1)</f>
        <v>0.1</v>
      </c>
      <c r="T2926" s="4">
        <f>IFERROR(__xludf.DUMMYFUNCTION("""COMPUTED_VALUE"""),0.627)</f>
        <v>0.627</v>
      </c>
      <c r="U2926" s="4">
        <f>IFERROR(__xludf.DUMMYFUNCTION("""COMPUTED_VALUE"""),26.1)</f>
        <v>26.1</v>
      </c>
      <c r="V2926" s="4">
        <f>IFERROR(__xludf.DUMMYFUNCTION("""COMPUTED_VALUE"""),0.0)</f>
        <v>0</v>
      </c>
    </row>
    <row r="2927">
      <c r="A2927" s="4">
        <f>IFERROR(__xludf.DUMMYFUNCTION("""COMPUTED_VALUE"""),92.0)</f>
        <v>92</v>
      </c>
      <c r="B2927" s="4">
        <f>IFERROR(__xludf.DUMMYFUNCTION("""COMPUTED_VALUE"""),92.0)</f>
        <v>92</v>
      </c>
      <c r="C2927" s="4" t="str">
        <f>IFERROR(__xludf.DUMMYFUNCTION("""COMPUTED_VALUE"""),"LAL")</f>
        <v>LAL</v>
      </c>
      <c r="D2927" s="4" t="str">
        <f>IFERROR(__xludf.DUMMYFUNCTION("""COMPUTED_VALUE"""),"Dexter Shouse")</f>
        <v>Dexter Shouse</v>
      </c>
      <c r="E2927" s="4" t="str">
        <f>IFERROR(__xludf.DUMMYFUNCTION("""COMPUTED_VALUE"""),"University of South Alabama")</f>
        <v>University of South Alabama</v>
      </c>
      <c r="F2927" s="4">
        <f>IFERROR(__xludf.DUMMYFUNCTION("""COMPUTED_VALUE"""),1.0)</f>
        <v>1</v>
      </c>
      <c r="G2927" s="4">
        <f>IFERROR(__xludf.DUMMYFUNCTION("""COMPUTED_VALUE"""),3.0)</f>
        <v>3</v>
      </c>
      <c r="H2927" s="4">
        <f>IFERROR(__xludf.DUMMYFUNCTION("""COMPUTED_VALUE"""),18.0)</f>
        <v>18</v>
      </c>
      <c r="I2927" s="4">
        <f>IFERROR(__xludf.DUMMYFUNCTION("""COMPUTED_VALUE"""),0.0)</f>
        <v>0</v>
      </c>
      <c r="J2927" s="4">
        <f>IFERROR(__xludf.DUMMYFUNCTION("""COMPUTED_VALUE"""),0.0)</f>
        <v>0</v>
      </c>
      <c r="K2927" s="4">
        <f>IFERROR(__xludf.DUMMYFUNCTION("""COMPUTED_VALUE"""),2.0)</f>
        <v>2</v>
      </c>
      <c r="L2927" s="4">
        <f>IFERROR(__xludf.DUMMYFUNCTION("""COMPUTED_VALUE"""),0.0)</f>
        <v>0</v>
      </c>
      <c r="M2927" s="4">
        <f>IFERROR(__xludf.DUMMYFUNCTION("""COMPUTED_VALUE"""),0.0)</f>
        <v>0</v>
      </c>
      <c r="N2927" s="4"/>
      <c r="O2927" s="4">
        <f>IFERROR(__xludf.DUMMYFUNCTION("""COMPUTED_VALUE"""),6.0)</f>
        <v>6</v>
      </c>
      <c r="P2927" s="4">
        <f>IFERROR(__xludf.DUMMYFUNCTION("""COMPUTED_VALUE"""),0.0)</f>
        <v>0</v>
      </c>
      <c r="Q2927" s="4">
        <f>IFERROR(__xludf.DUMMYFUNCTION("""COMPUTED_VALUE"""),0.0)</f>
        <v>0</v>
      </c>
      <c r="R2927" s="4">
        <f>IFERROR(__xludf.DUMMYFUNCTION("""COMPUTED_VALUE"""),0.7)</f>
        <v>0.7</v>
      </c>
      <c r="S2927" s="4">
        <f>IFERROR(__xludf.DUMMYFUNCTION("""COMPUTED_VALUE"""),-0.1)</f>
        <v>-0.1</v>
      </c>
      <c r="T2927" s="4">
        <f>IFERROR(__xludf.DUMMYFUNCTION("""COMPUTED_VALUE"""),-0.281)</f>
        <v>-0.281</v>
      </c>
      <c r="U2927" s="4">
        <f>IFERROR(__xludf.DUMMYFUNCTION("""COMPUTED_VALUE"""),-12.0)</f>
        <v>-12</v>
      </c>
      <c r="V2927" s="4">
        <f>IFERROR(__xludf.DUMMYFUNCTION("""COMPUTED_VALUE"""),0.0)</f>
        <v>0</v>
      </c>
    </row>
    <row r="2928">
      <c r="A2928" s="4">
        <f>IFERROR(__xludf.DUMMYFUNCTION("""COMPUTED_VALUE"""),93.0)</f>
        <v>93</v>
      </c>
      <c r="B2928" s="4">
        <f>IFERROR(__xludf.DUMMYFUNCTION("""COMPUTED_VALUE"""),93.0)</f>
        <v>93</v>
      </c>
      <c r="C2928" s="4" t="str">
        <f>IFERROR(__xludf.DUMMYFUNCTION("""COMPUTED_VALUE"""),"BOS")</f>
        <v>BOS</v>
      </c>
      <c r="D2928" s="4" t="str">
        <f>IFERROR(__xludf.DUMMYFUNCTION("""COMPUTED_VALUE"""),"Cliff Webber")</f>
        <v>Cliff Webber</v>
      </c>
      <c r="E2928" s="4" t="str">
        <f>IFERROR(__xludf.DUMMYFUNCTION("""COMPUTED_VALUE"""),"Liberty")</f>
        <v>Liberty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</row>
    <row r="2929">
      <c r="A2929" s="4"/>
      <c r="B2929" s="4"/>
      <c r="C2929" s="4"/>
      <c r="D2929" s="4" t="str">
        <f>IFERROR(__xludf.DUMMYFUNCTION("""COMPUTED_VALUE"""),"Round 5")</f>
        <v>Round 5</v>
      </c>
      <c r="E2929" s="4"/>
      <c r="F2929" s="4"/>
      <c r="G2929" s="4" t="str">
        <f>IFERROR(__xludf.DUMMYFUNCTION("""COMPUTED_VALUE"""),"Totals")</f>
        <v>Totals</v>
      </c>
      <c r="H2929" s="4"/>
      <c r="I2929" s="4"/>
      <c r="J2929" s="4"/>
      <c r="K2929" s="4"/>
      <c r="L2929" s="4" t="str">
        <f>IFERROR(__xludf.DUMMYFUNCTION("""COMPUTED_VALUE"""),"Shooting")</f>
        <v>Shooting</v>
      </c>
      <c r="M2929" s="4"/>
      <c r="N2929" s="4"/>
      <c r="O2929" s="4" t="str">
        <f>IFERROR(__xludf.DUMMYFUNCTION("""COMPUTED_VALUE"""),"Per Game")</f>
        <v>Per Game</v>
      </c>
      <c r="P2929" s="4"/>
      <c r="Q2929" s="4"/>
      <c r="R2929" s="4"/>
      <c r="S2929" s="4" t="str">
        <f>IFERROR(__xludf.DUMMYFUNCTION("""COMPUTED_VALUE"""),"Advanced")</f>
        <v>Advanced</v>
      </c>
      <c r="T2929" s="4"/>
      <c r="U2929" s="4"/>
      <c r="V2929" s="4"/>
    </row>
    <row r="2930">
      <c r="A2930" s="4" t="str">
        <f>IFERROR(__xludf.DUMMYFUNCTION("""COMPUTED_VALUE"""),"Rk")</f>
        <v>Rk</v>
      </c>
      <c r="B2930" s="4" t="str">
        <f>IFERROR(__xludf.DUMMYFUNCTION("""COMPUTED_VALUE"""),"Pk")</f>
        <v>Pk</v>
      </c>
      <c r="C2930" s="4" t="str">
        <f>IFERROR(__xludf.DUMMYFUNCTION("""COMPUTED_VALUE"""),"Tm")</f>
        <v>Tm</v>
      </c>
      <c r="D2930" s="4" t="str">
        <f>IFERROR(__xludf.DUMMYFUNCTION("""COMPUTED_VALUE"""),"Player")</f>
        <v>Player</v>
      </c>
      <c r="E2930" s="4" t="str">
        <f>IFERROR(__xludf.DUMMYFUNCTION("""COMPUTED_VALUE"""),"College")</f>
        <v>College</v>
      </c>
      <c r="F2930" s="4" t="str">
        <f>IFERROR(__xludf.DUMMYFUNCTION("""COMPUTED_VALUE"""),"Yrs")</f>
        <v>Yrs</v>
      </c>
      <c r="G2930" s="4" t="str">
        <f>IFERROR(__xludf.DUMMYFUNCTION("""COMPUTED_VALUE"""),"G")</f>
        <v>G</v>
      </c>
      <c r="H2930" s="4" t="str">
        <f>IFERROR(__xludf.DUMMYFUNCTION("""COMPUTED_VALUE"""),"MP")</f>
        <v>MP</v>
      </c>
      <c r="I2930" s="4" t="str">
        <f>IFERROR(__xludf.DUMMYFUNCTION("""COMPUTED_VALUE"""),"PTS")</f>
        <v>PTS</v>
      </c>
      <c r="J2930" s="4" t="str">
        <f>IFERROR(__xludf.DUMMYFUNCTION("""COMPUTED_VALUE"""),"TRB")</f>
        <v>TRB</v>
      </c>
      <c r="K2930" s="4" t="str">
        <f>IFERROR(__xludf.DUMMYFUNCTION("""COMPUTED_VALUE"""),"AST")</f>
        <v>AST</v>
      </c>
      <c r="L2930" s="4" t="str">
        <f>IFERROR(__xludf.DUMMYFUNCTION("""COMPUTED_VALUE"""),"FG%")</f>
        <v>FG%</v>
      </c>
      <c r="M2930" s="4" t="str">
        <f>IFERROR(__xludf.DUMMYFUNCTION("""COMPUTED_VALUE"""),"3P%")</f>
        <v>3P%</v>
      </c>
      <c r="N2930" s="4" t="str">
        <f>IFERROR(__xludf.DUMMYFUNCTION("""COMPUTED_VALUE"""),"FT%")</f>
        <v>FT%</v>
      </c>
      <c r="O2930" s="4" t="str">
        <f>IFERROR(__xludf.DUMMYFUNCTION("""COMPUTED_VALUE"""),"MP")</f>
        <v>MP</v>
      </c>
      <c r="P2930" s="4" t="str">
        <f>IFERROR(__xludf.DUMMYFUNCTION("""COMPUTED_VALUE"""),"PTS")</f>
        <v>PTS</v>
      </c>
      <c r="Q2930" s="4" t="str">
        <f>IFERROR(__xludf.DUMMYFUNCTION("""COMPUTED_VALUE"""),"TRB")</f>
        <v>TRB</v>
      </c>
      <c r="R2930" s="4" t="str">
        <f>IFERROR(__xludf.DUMMYFUNCTION("""COMPUTED_VALUE"""),"AST")</f>
        <v>AST</v>
      </c>
      <c r="S2930" s="4" t="str">
        <f>IFERROR(__xludf.DUMMYFUNCTION("""COMPUTED_VALUE"""),"WS")</f>
        <v>WS</v>
      </c>
      <c r="T2930" s="4" t="str">
        <f>IFERROR(__xludf.DUMMYFUNCTION("""COMPUTED_VALUE"""),"WS/48")</f>
        <v>WS/48</v>
      </c>
      <c r="U2930" s="4" t="str">
        <f>IFERROR(__xludf.DUMMYFUNCTION("""COMPUTED_VALUE"""),"BPM")</f>
        <v>BPM</v>
      </c>
      <c r="V2930" s="4" t="str">
        <f>IFERROR(__xludf.DUMMYFUNCTION("""COMPUTED_VALUE"""),"VORP")</f>
        <v>VORP</v>
      </c>
    </row>
    <row r="2931">
      <c r="A2931" s="4">
        <f>IFERROR(__xludf.DUMMYFUNCTION("""COMPUTED_VALUE"""),94.0)</f>
        <v>94</v>
      </c>
      <c r="B2931" s="4">
        <f>IFERROR(__xludf.DUMMYFUNCTION("""COMPUTED_VALUE"""),94.0)</f>
        <v>94</v>
      </c>
      <c r="C2931" s="4" t="str">
        <f>IFERROR(__xludf.DUMMYFUNCTION("""COMPUTED_VALUE"""),"IND")</f>
        <v>IND</v>
      </c>
      <c r="D2931" s="4" t="str">
        <f>IFERROR(__xludf.DUMMYFUNCTION("""COMPUTED_VALUE"""),"Kelvin Johnson")</f>
        <v>Kelvin Johnson</v>
      </c>
      <c r="E2931" s="4" t="str">
        <f>IFERROR(__xludf.DUMMYFUNCTION("""COMPUTED_VALUE"""),"Richmond")</f>
        <v>Richmond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</row>
    <row r="2932">
      <c r="A2932" s="4">
        <f>IFERROR(__xludf.DUMMYFUNCTION("""COMPUTED_VALUE"""),95.0)</f>
        <v>95</v>
      </c>
      <c r="B2932" s="4">
        <f>IFERROR(__xludf.DUMMYFUNCTION("""COMPUTED_VALUE"""),95.0)</f>
        <v>95</v>
      </c>
      <c r="C2932" s="4" t="str">
        <f>IFERROR(__xludf.DUMMYFUNCTION("""COMPUTED_VALUE"""),"GSW")</f>
        <v>GSW</v>
      </c>
      <c r="D2932" s="4" t="str">
        <f>IFERROR(__xludf.DUMMYFUNCTION("""COMPUTED_VALUE"""),"Greg Cavener")</f>
        <v>Greg Cavener</v>
      </c>
      <c r="E2932" s="4" t="str">
        <f>IFERROR(__xludf.DUMMYFUNCTION("""COMPUTED_VALUE"""),"Missouri")</f>
        <v>Missouri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</row>
    <row r="2933">
      <c r="A2933" s="4">
        <f>IFERROR(__xludf.DUMMYFUNCTION("""COMPUTED_VALUE"""),96.0)</f>
        <v>96</v>
      </c>
      <c r="B2933" s="4">
        <f>IFERROR(__xludf.DUMMYFUNCTION("""COMPUTED_VALUE"""),96.0)</f>
        <v>96</v>
      </c>
      <c r="C2933" s="4" t="str">
        <f>IFERROR(__xludf.DUMMYFUNCTION("""COMPUTED_VALUE"""),"NYK")</f>
        <v>NYK</v>
      </c>
      <c r="D2933" s="4" t="str">
        <f>IFERROR(__xludf.DUMMYFUNCTION("""COMPUTED_VALUE"""),"Mike Schlegel")</f>
        <v>Mike Schlegel</v>
      </c>
      <c r="E2933" s="4" t="str">
        <f>IFERROR(__xludf.DUMMYFUNCTION("""COMPUTED_VALUE"""),"VCU")</f>
        <v>VCU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</row>
    <row r="2934">
      <c r="A2934" s="4">
        <f>IFERROR(__xludf.DUMMYFUNCTION("""COMPUTED_VALUE"""),97.0)</f>
        <v>97</v>
      </c>
      <c r="B2934" s="4">
        <f>IFERROR(__xludf.DUMMYFUNCTION("""COMPUTED_VALUE"""),97.0)</f>
        <v>97</v>
      </c>
      <c r="C2934" s="4" t="str">
        <f>IFERROR(__xludf.DUMMYFUNCTION("""COMPUTED_VALUE"""),"SEA")</f>
        <v>SEA</v>
      </c>
      <c r="D2934" s="4" t="str">
        <f>IFERROR(__xludf.DUMMYFUNCTION("""COMPUTED_VALUE"""),"Lou Stefanovic")</f>
        <v>Lou Stefanovic</v>
      </c>
      <c r="E2934" s="4" t="str">
        <f>IFERROR(__xludf.DUMMYFUNCTION("""COMPUTED_VALUE"""),"Illinois State")</f>
        <v>Illinois State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</row>
    <row r="2935">
      <c r="A2935" s="4">
        <f>IFERROR(__xludf.DUMMYFUNCTION("""COMPUTED_VALUE"""),98.0)</f>
        <v>98</v>
      </c>
      <c r="B2935" s="4">
        <f>IFERROR(__xludf.DUMMYFUNCTION("""COMPUTED_VALUE"""),98.0)</f>
        <v>98</v>
      </c>
      <c r="C2935" s="4" t="str">
        <f>IFERROR(__xludf.DUMMYFUNCTION("""COMPUTED_VALUE"""),"SAC")</f>
        <v>SAC</v>
      </c>
      <c r="D2935" s="4" t="str">
        <f>IFERROR(__xludf.DUMMYFUNCTION("""COMPUTED_VALUE"""),"Bob Lojewski")</f>
        <v>Bob Lojewski</v>
      </c>
      <c r="E2935" s="4" t="str">
        <f>IFERROR(__xludf.DUMMYFUNCTION("""COMPUTED_VALUE"""),"Saint Joseph's")</f>
        <v>Saint Joseph's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</row>
    <row r="2936">
      <c r="A2936" s="4">
        <f>IFERROR(__xludf.DUMMYFUNCTION("""COMPUTED_VALUE"""),99.0)</f>
        <v>99</v>
      </c>
      <c r="B2936" s="4">
        <f>IFERROR(__xludf.DUMMYFUNCTION("""COMPUTED_VALUE"""),99.0)</f>
        <v>99</v>
      </c>
      <c r="C2936" s="4" t="str">
        <f>IFERROR(__xludf.DUMMYFUNCTION("""COMPUTED_VALUE"""),"LAC")</f>
        <v>LAC</v>
      </c>
      <c r="D2936" s="4" t="str">
        <f>IFERROR(__xludf.DUMMYFUNCTION("""COMPUTED_VALUE"""),"Wayne Carlander")</f>
        <v>Wayne Carlander</v>
      </c>
      <c r="E2936" s="4" t="str">
        <f>IFERROR(__xludf.DUMMYFUNCTION("""COMPUTED_VALUE"""),"USC")</f>
        <v>USC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</row>
    <row r="2937">
      <c r="A2937" s="4">
        <f>IFERROR(__xludf.DUMMYFUNCTION("""COMPUTED_VALUE"""),100.0)</f>
        <v>100</v>
      </c>
      <c r="B2937" s="4">
        <f>IFERROR(__xludf.DUMMYFUNCTION("""COMPUTED_VALUE"""),100.0)</f>
        <v>100</v>
      </c>
      <c r="C2937" s="4" t="str">
        <f>IFERROR(__xludf.DUMMYFUNCTION("""COMPUTED_VALUE"""),"ATL")</f>
        <v>ATL</v>
      </c>
      <c r="D2937" s="4" t="str">
        <f>IFERROR(__xludf.DUMMYFUNCTION("""COMPUTED_VALUE"""),"Larry Hampton")</f>
        <v>Larry Hampton</v>
      </c>
      <c r="E2937" s="4" t="str">
        <f>IFERROR(__xludf.DUMMYFUNCTION("""COMPUTED_VALUE"""),"Hampton")</f>
        <v>Hampton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</row>
    <row r="2938">
      <c r="A2938" s="4">
        <f>IFERROR(__xludf.DUMMYFUNCTION("""COMPUTED_VALUE"""),101.0)</f>
        <v>101</v>
      </c>
      <c r="B2938" s="4">
        <f>IFERROR(__xludf.DUMMYFUNCTION("""COMPUTED_VALUE"""),101.0)</f>
        <v>101</v>
      </c>
      <c r="C2938" s="4" t="str">
        <f>IFERROR(__xludf.DUMMYFUNCTION("""COMPUTED_VALUE"""),"CLE")</f>
        <v>CLE</v>
      </c>
      <c r="D2938" s="4" t="str">
        <f>IFERROR(__xludf.DUMMYFUNCTION("""COMPUTED_VALUE"""),"Gunther Behnke")</f>
        <v>Gunther Behnke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</row>
    <row r="2939">
      <c r="A2939" s="4">
        <f>IFERROR(__xludf.DUMMYFUNCTION("""COMPUTED_VALUE"""),102.0)</f>
        <v>102</v>
      </c>
      <c r="B2939" s="4">
        <f>IFERROR(__xludf.DUMMYFUNCTION("""COMPUTED_VALUE"""),102.0)</f>
        <v>102</v>
      </c>
      <c r="C2939" s="4" t="str">
        <f>IFERROR(__xludf.DUMMYFUNCTION("""COMPUTED_VALUE"""),"PHO")</f>
        <v>PHO</v>
      </c>
      <c r="D2939" s="4" t="str">
        <f>IFERROR(__xludf.DUMMYFUNCTION("""COMPUTED_VALUE"""),"Shawn Campbell")</f>
        <v>Shawn Campbell</v>
      </c>
      <c r="E2939" s="4" t="str">
        <f>IFERROR(__xludf.DUMMYFUNCTION("""COMPUTED_VALUE"""),"Weber State")</f>
        <v>Weber State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</row>
    <row r="2940">
      <c r="A2940" s="4">
        <f>IFERROR(__xludf.DUMMYFUNCTION("""COMPUTED_VALUE"""),103.0)</f>
        <v>103</v>
      </c>
      <c r="B2940" s="4">
        <f>IFERROR(__xludf.DUMMYFUNCTION("""COMPUTED_VALUE"""),103.0)</f>
        <v>103</v>
      </c>
      <c r="C2940" s="4" t="str">
        <f>IFERROR(__xludf.DUMMYFUNCTION("""COMPUTED_VALUE"""),"CHI")</f>
        <v>CHI</v>
      </c>
      <c r="D2940" s="4" t="str">
        <f>IFERROR(__xludf.DUMMYFUNCTION("""COMPUTED_VALUE"""),"Reid Gettys")</f>
        <v>Reid Gettys</v>
      </c>
      <c r="E2940" s="4" t="str">
        <f>IFERROR(__xludf.DUMMYFUNCTION("""COMPUTED_VALUE"""),"Houston")</f>
        <v>Houston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</row>
    <row r="2941">
      <c r="A2941" s="4">
        <f>IFERROR(__xludf.DUMMYFUNCTION("""COMPUTED_VALUE"""),104.0)</f>
        <v>104</v>
      </c>
      <c r="B2941" s="4">
        <f>IFERROR(__xludf.DUMMYFUNCTION("""COMPUTED_VALUE"""),104.0)</f>
        <v>104</v>
      </c>
      <c r="C2941" s="4" t="str">
        <f>IFERROR(__xludf.DUMMYFUNCTION("""COMPUTED_VALUE"""),"WSB")</f>
        <v>WSB</v>
      </c>
      <c r="D2941" s="4" t="str">
        <f>IFERROR(__xludf.DUMMYFUNCTION("""COMPUTED_VALUE"""),"Dean Shaffer")</f>
        <v>Dean Shaffer</v>
      </c>
      <c r="E2941" s="4" t="str">
        <f>IFERROR(__xludf.DUMMYFUNCTION("""COMPUTED_VALUE"""),"Florida State")</f>
        <v>Florida State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</row>
    <row r="2942">
      <c r="A2942" s="4">
        <f>IFERROR(__xludf.DUMMYFUNCTION("""COMPUTED_VALUE"""),105.0)</f>
        <v>105</v>
      </c>
      <c r="B2942" s="4">
        <f>IFERROR(__xludf.DUMMYFUNCTION("""COMPUTED_VALUE"""),105.0)</f>
        <v>105</v>
      </c>
      <c r="C2942" s="4" t="str">
        <f>IFERROR(__xludf.DUMMYFUNCTION("""COMPUTED_VALUE"""),"UTA")</f>
        <v>UTA</v>
      </c>
      <c r="D2942" s="4" t="str">
        <f>IFERROR(__xludf.DUMMYFUNCTION("""COMPUTED_VALUE"""),"Ray Hall")</f>
        <v>Ray Hall</v>
      </c>
      <c r="E2942" s="4" t="str">
        <f>IFERROR(__xludf.DUMMYFUNCTION("""COMPUTED_VALUE"""),"Canisius")</f>
        <v>Canisius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</row>
    <row r="2943">
      <c r="A2943" s="4">
        <f>IFERROR(__xludf.DUMMYFUNCTION("""COMPUTED_VALUE"""),106.0)</f>
        <v>106</v>
      </c>
      <c r="B2943" s="4">
        <f>IFERROR(__xludf.DUMMYFUNCTION("""COMPUTED_VALUE"""),106.0)</f>
        <v>106</v>
      </c>
      <c r="C2943" s="4" t="str">
        <f>IFERROR(__xludf.DUMMYFUNCTION("""COMPUTED_VALUE"""),"SAS")</f>
        <v>SAS</v>
      </c>
      <c r="D2943" s="4" t="str">
        <f>IFERROR(__xludf.DUMMYFUNCTION("""COMPUTED_VALUE"""),"Clayton Olivier")</f>
        <v>Clayton Olivier</v>
      </c>
      <c r="E2943" s="4" t="str">
        <f>IFERROR(__xludf.DUMMYFUNCTION("""COMPUTED_VALUE"""),"USC")</f>
        <v>USC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</row>
    <row r="2944">
      <c r="A2944" s="4">
        <f>IFERROR(__xludf.DUMMYFUNCTION("""COMPUTED_VALUE"""),107.0)</f>
        <v>107</v>
      </c>
      <c r="B2944" s="4">
        <f>IFERROR(__xludf.DUMMYFUNCTION("""COMPUTED_VALUE"""),107.0)</f>
        <v>107</v>
      </c>
      <c r="C2944" s="4" t="str">
        <f>IFERROR(__xludf.DUMMYFUNCTION("""COMPUTED_VALUE"""),"POR")</f>
        <v>POR</v>
      </c>
      <c r="D2944" s="4" t="str">
        <f>IFERROR(__xludf.DUMMYFUNCTION("""COMPUTED_VALUE"""),"James Anderson")</f>
        <v>James Anderson</v>
      </c>
      <c r="E2944" s="4" t="str">
        <f>IFERROR(__xludf.DUMMYFUNCTION("""COMPUTED_VALUE"""),"Union College")</f>
        <v>Union College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</row>
    <row r="2945">
      <c r="A2945" s="4">
        <f>IFERROR(__xludf.DUMMYFUNCTION("""COMPUTED_VALUE"""),108.0)</f>
        <v>108</v>
      </c>
      <c r="B2945" s="4">
        <f>IFERROR(__xludf.DUMMYFUNCTION("""COMPUTED_VALUE"""),108.0)</f>
        <v>108</v>
      </c>
      <c r="C2945" s="4" t="str">
        <f>IFERROR(__xludf.DUMMYFUNCTION("""COMPUTED_VALUE"""),"NJN")</f>
        <v>NJN</v>
      </c>
      <c r="D2945" s="4" t="str">
        <f>IFERROR(__xludf.DUMMYFUNCTION("""COMPUTED_VALUE"""),"Kelly Blaine")</f>
        <v>Kelly Blaine</v>
      </c>
      <c r="E2945" s="4" t="str">
        <f>IFERROR(__xludf.DUMMYFUNCTION("""COMPUTED_VALUE"""),"University of South Alabama")</f>
        <v>University of South Alabama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</row>
    <row r="2946">
      <c r="A2946" s="4">
        <f>IFERROR(__xludf.DUMMYFUNCTION("""COMPUTED_VALUE"""),109.0)</f>
        <v>109</v>
      </c>
      <c r="B2946" s="4">
        <f>IFERROR(__xludf.DUMMYFUNCTION("""COMPUTED_VALUE"""),109.0)</f>
        <v>109</v>
      </c>
      <c r="C2946" s="4" t="str">
        <f>IFERROR(__xludf.DUMMYFUNCTION("""COMPUTED_VALUE"""),"DAL")</f>
        <v>DAL</v>
      </c>
      <c r="D2946" s="4" t="str">
        <f>IFERROR(__xludf.DUMMYFUNCTION("""COMPUTED_VALUE"""),"Tommy Davis")</f>
        <v>Tommy Davis</v>
      </c>
      <c r="E2946" s="4" t="str">
        <f>IFERROR(__xludf.DUMMYFUNCTION("""COMPUTED_VALUE"""),"Minnesota")</f>
        <v>Minnesota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</row>
    <row r="2947">
      <c r="A2947" s="4">
        <f>IFERROR(__xludf.DUMMYFUNCTION("""COMPUTED_VALUE"""),110.0)</f>
        <v>110</v>
      </c>
      <c r="B2947" s="4">
        <f>IFERROR(__xludf.DUMMYFUNCTION("""COMPUTED_VALUE"""),110.0)</f>
        <v>110</v>
      </c>
      <c r="C2947" s="4" t="str">
        <f>IFERROR(__xludf.DUMMYFUNCTION("""COMPUTED_VALUE"""),"DET")</f>
        <v>DET</v>
      </c>
      <c r="D2947" s="4" t="str">
        <f>IFERROR(__xludf.DUMMYFUNCTION("""COMPUTED_VALUE"""),"Mike Lahm")</f>
        <v>Mike Lahm</v>
      </c>
      <c r="E2947" s="4" t="str">
        <f>IFERROR(__xludf.DUMMYFUNCTION("""COMPUTED_VALUE"""),"Murray State")</f>
        <v>Murray State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</row>
    <row r="2948">
      <c r="A2948" s="4">
        <f>IFERROR(__xludf.DUMMYFUNCTION("""COMPUTED_VALUE"""),111.0)</f>
        <v>111</v>
      </c>
      <c r="B2948" s="4">
        <f>IFERROR(__xludf.DUMMYFUNCTION("""COMPUTED_VALUE"""),111.0)</f>
        <v>111</v>
      </c>
      <c r="C2948" s="4" t="str">
        <f>IFERROR(__xludf.DUMMYFUNCTION("""COMPUTED_VALUE"""),"IND")</f>
        <v>IND</v>
      </c>
      <c r="D2948" s="4" t="str">
        <f>IFERROR(__xludf.DUMMYFUNCTION("""COMPUTED_VALUE"""),"Ivan Daniels")</f>
        <v>Ivan Daniels</v>
      </c>
      <c r="E2948" s="4" t="str">
        <f>IFERROR(__xludf.DUMMYFUNCTION("""COMPUTED_VALUE"""),"University of Illinois at Chicago")</f>
        <v>University of Illinois at Chicago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</row>
    <row r="2949">
      <c r="A2949" s="4">
        <f>IFERROR(__xludf.DUMMYFUNCTION("""COMPUTED_VALUE"""),112.0)</f>
        <v>112</v>
      </c>
      <c r="B2949" s="4">
        <f>IFERROR(__xludf.DUMMYFUNCTION("""COMPUTED_VALUE"""),112.0)</f>
        <v>112</v>
      </c>
      <c r="C2949" s="4" t="str">
        <f>IFERROR(__xludf.DUMMYFUNCTION("""COMPUTED_VALUE"""),"DEN")</f>
        <v>DEN</v>
      </c>
      <c r="D2949" s="4" t="str">
        <f>IFERROR(__xludf.DUMMYFUNCTION("""COMPUTED_VALUE"""),"Kenny Brown")</f>
        <v>Kenny Brown</v>
      </c>
      <c r="E2949" s="4" t="str">
        <f>IFERROR(__xludf.DUMMYFUNCTION("""COMPUTED_VALUE"""),"Texas A&amp;M")</f>
        <v>Texas A&amp;M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</row>
    <row r="2950">
      <c r="A2950" s="4">
        <f>IFERROR(__xludf.DUMMYFUNCTION("""COMPUTED_VALUE"""),113.0)</f>
        <v>113</v>
      </c>
      <c r="B2950" s="4">
        <f>IFERROR(__xludf.DUMMYFUNCTION("""COMPUTED_VALUE"""),113.0)</f>
        <v>113</v>
      </c>
      <c r="C2950" s="4" t="str">
        <f>IFERROR(__xludf.DUMMYFUNCTION("""COMPUTED_VALUE"""),"PHI")</f>
        <v>PHI</v>
      </c>
      <c r="D2950" s="4" t="str">
        <f>IFERROR(__xludf.DUMMYFUNCTION("""COMPUTED_VALUE"""),"Carl Wright")</f>
        <v>Carl Wright</v>
      </c>
      <c r="E2950" s="4" t="str">
        <f>IFERROR(__xludf.DUMMYFUNCTION("""COMPUTED_VALUE"""),"SMU")</f>
        <v>SMU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</row>
    <row r="2951">
      <c r="A2951" s="4">
        <f>IFERROR(__xludf.DUMMYFUNCTION("""COMPUTED_VALUE"""),114.0)</f>
        <v>114</v>
      </c>
      <c r="B2951" s="4">
        <f>IFERROR(__xludf.DUMMYFUNCTION("""COMPUTED_VALUE"""),114.0)</f>
        <v>114</v>
      </c>
      <c r="C2951" s="4" t="str">
        <f>IFERROR(__xludf.DUMMYFUNCTION("""COMPUTED_VALUE"""),"MIL")</f>
        <v>MIL</v>
      </c>
      <c r="D2951" s="4" t="str">
        <f>IFERROR(__xludf.DUMMYFUNCTION("""COMPUTED_VALUE"""),"Ray Knight")</f>
        <v>Ray Knight</v>
      </c>
      <c r="E2951" s="4" t="str">
        <f>IFERROR(__xludf.DUMMYFUNCTION("""COMPUTED_VALUE"""),"Providence")</f>
        <v>Providence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</row>
    <row r="2952">
      <c r="A2952" s="4">
        <f>IFERROR(__xludf.DUMMYFUNCTION("""COMPUTED_VALUE"""),115.0)</f>
        <v>115</v>
      </c>
      <c r="B2952" s="4">
        <f>IFERROR(__xludf.DUMMYFUNCTION("""COMPUTED_VALUE"""),115.0)</f>
        <v>115</v>
      </c>
      <c r="C2952" s="4" t="str">
        <f>IFERROR(__xludf.DUMMYFUNCTION("""COMPUTED_VALUE"""),"LAL")</f>
        <v>LAL</v>
      </c>
      <c r="D2952" s="4" t="str">
        <f>IFERROR(__xludf.DUMMYFUNCTION("""COMPUTED_VALUE"""),"Timo Saarelainen")</f>
        <v>Timo Saarelainen</v>
      </c>
      <c r="E2952" s="4" t="str">
        <f>IFERROR(__xludf.DUMMYFUNCTION("""COMPUTED_VALUE"""),"BYU")</f>
        <v>BYU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</row>
    <row r="2953">
      <c r="A2953" s="4">
        <f>IFERROR(__xludf.DUMMYFUNCTION("""COMPUTED_VALUE"""),116.0)</f>
        <v>116</v>
      </c>
      <c r="B2953" s="4">
        <f>IFERROR(__xludf.DUMMYFUNCTION("""COMPUTED_VALUE"""),116.0)</f>
        <v>116</v>
      </c>
      <c r="C2953" s="4" t="str">
        <f>IFERROR(__xludf.DUMMYFUNCTION("""COMPUTED_VALUE"""),"BOS")</f>
        <v>BOS</v>
      </c>
      <c r="D2953" s="4" t="str">
        <f>IFERROR(__xludf.DUMMYFUNCTION("""COMPUTED_VALUE"""),"Albert Butts")</f>
        <v>Albert Butts</v>
      </c>
      <c r="E2953" s="4" t="str">
        <f>IFERROR(__xludf.DUMMYFUNCTION("""COMPUTED_VALUE"""),"La Salle")</f>
        <v>La Salle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</row>
    <row r="2954">
      <c r="A2954" s="4"/>
      <c r="B2954" s="4"/>
      <c r="C2954" s="4"/>
      <c r="D2954" s="4" t="str">
        <f>IFERROR(__xludf.DUMMYFUNCTION("""COMPUTED_VALUE"""),"Round 6")</f>
        <v>Round 6</v>
      </c>
      <c r="E2954" s="4"/>
      <c r="F2954" s="4"/>
      <c r="G2954" s="4" t="str">
        <f>IFERROR(__xludf.DUMMYFUNCTION("""COMPUTED_VALUE"""),"Totals")</f>
        <v>Totals</v>
      </c>
      <c r="H2954" s="4"/>
      <c r="I2954" s="4"/>
      <c r="J2954" s="4"/>
      <c r="K2954" s="4"/>
      <c r="L2954" s="4" t="str">
        <f>IFERROR(__xludf.DUMMYFUNCTION("""COMPUTED_VALUE"""),"Shooting")</f>
        <v>Shooting</v>
      </c>
      <c r="M2954" s="4"/>
      <c r="N2954" s="4"/>
      <c r="O2954" s="4" t="str">
        <f>IFERROR(__xludf.DUMMYFUNCTION("""COMPUTED_VALUE"""),"Per Game")</f>
        <v>Per Game</v>
      </c>
      <c r="P2954" s="4"/>
      <c r="Q2954" s="4"/>
      <c r="R2954" s="4"/>
      <c r="S2954" s="4" t="str">
        <f>IFERROR(__xludf.DUMMYFUNCTION("""COMPUTED_VALUE"""),"Advanced")</f>
        <v>Advanced</v>
      </c>
      <c r="T2954" s="4"/>
      <c r="U2954" s="4"/>
      <c r="V2954" s="4"/>
    </row>
    <row r="2955">
      <c r="A2955" s="4" t="str">
        <f>IFERROR(__xludf.DUMMYFUNCTION("""COMPUTED_VALUE"""),"Rk")</f>
        <v>Rk</v>
      </c>
      <c r="B2955" s="4" t="str">
        <f>IFERROR(__xludf.DUMMYFUNCTION("""COMPUTED_VALUE"""),"Pk")</f>
        <v>Pk</v>
      </c>
      <c r="C2955" s="4" t="str">
        <f>IFERROR(__xludf.DUMMYFUNCTION("""COMPUTED_VALUE"""),"Tm")</f>
        <v>Tm</v>
      </c>
      <c r="D2955" s="4" t="str">
        <f>IFERROR(__xludf.DUMMYFUNCTION("""COMPUTED_VALUE"""),"Player")</f>
        <v>Player</v>
      </c>
      <c r="E2955" s="4" t="str">
        <f>IFERROR(__xludf.DUMMYFUNCTION("""COMPUTED_VALUE"""),"College")</f>
        <v>College</v>
      </c>
      <c r="F2955" s="4" t="str">
        <f>IFERROR(__xludf.DUMMYFUNCTION("""COMPUTED_VALUE"""),"Yrs")</f>
        <v>Yrs</v>
      </c>
      <c r="G2955" s="4" t="str">
        <f>IFERROR(__xludf.DUMMYFUNCTION("""COMPUTED_VALUE"""),"G")</f>
        <v>G</v>
      </c>
      <c r="H2955" s="4" t="str">
        <f>IFERROR(__xludf.DUMMYFUNCTION("""COMPUTED_VALUE"""),"MP")</f>
        <v>MP</v>
      </c>
      <c r="I2955" s="4" t="str">
        <f>IFERROR(__xludf.DUMMYFUNCTION("""COMPUTED_VALUE"""),"PTS")</f>
        <v>PTS</v>
      </c>
      <c r="J2955" s="4" t="str">
        <f>IFERROR(__xludf.DUMMYFUNCTION("""COMPUTED_VALUE"""),"TRB")</f>
        <v>TRB</v>
      </c>
      <c r="K2955" s="4" t="str">
        <f>IFERROR(__xludf.DUMMYFUNCTION("""COMPUTED_VALUE"""),"AST")</f>
        <v>AST</v>
      </c>
      <c r="L2955" s="4" t="str">
        <f>IFERROR(__xludf.DUMMYFUNCTION("""COMPUTED_VALUE"""),"FG%")</f>
        <v>FG%</v>
      </c>
      <c r="M2955" s="4" t="str">
        <f>IFERROR(__xludf.DUMMYFUNCTION("""COMPUTED_VALUE"""),"3P%")</f>
        <v>3P%</v>
      </c>
      <c r="N2955" s="4" t="str">
        <f>IFERROR(__xludf.DUMMYFUNCTION("""COMPUTED_VALUE"""),"FT%")</f>
        <v>FT%</v>
      </c>
      <c r="O2955" s="4" t="str">
        <f>IFERROR(__xludf.DUMMYFUNCTION("""COMPUTED_VALUE"""),"MP")</f>
        <v>MP</v>
      </c>
      <c r="P2955" s="4" t="str">
        <f>IFERROR(__xludf.DUMMYFUNCTION("""COMPUTED_VALUE"""),"PTS")</f>
        <v>PTS</v>
      </c>
      <c r="Q2955" s="4" t="str">
        <f>IFERROR(__xludf.DUMMYFUNCTION("""COMPUTED_VALUE"""),"TRB")</f>
        <v>TRB</v>
      </c>
      <c r="R2955" s="4" t="str">
        <f>IFERROR(__xludf.DUMMYFUNCTION("""COMPUTED_VALUE"""),"AST")</f>
        <v>AST</v>
      </c>
      <c r="S2955" s="4" t="str">
        <f>IFERROR(__xludf.DUMMYFUNCTION("""COMPUTED_VALUE"""),"WS")</f>
        <v>WS</v>
      </c>
      <c r="T2955" s="4" t="str">
        <f>IFERROR(__xludf.DUMMYFUNCTION("""COMPUTED_VALUE"""),"WS/48")</f>
        <v>WS/48</v>
      </c>
      <c r="U2955" s="4" t="str">
        <f>IFERROR(__xludf.DUMMYFUNCTION("""COMPUTED_VALUE"""),"BPM")</f>
        <v>BPM</v>
      </c>
      <c r="V2955" s="4" t="str">
        <f>IFERROR(__xludf.DUMMYFUNCTION("""COMPUTED_VALUE"""),"VORP")</f>
        <v>VORP</v>
      </c>
    </row>
    <row r="2956">
      <c r="A2956" s="4">
        <f>IFERROR(__xludf.DUMMYFUNCTION("""COMPUTED_VALUE"""),117.0)</f>
        <v>117</v>
      </c>
      <c r="B2956" s="4">
        <f>IFERROR(__xludf.DUMMYFUNCTION("""COMPUTED_VALUE"""),117.0)</f>
        <v>117</v>
      </c>
      <c r="C2956" s="4" t="str">
        <f>IFERROR(__xludf.DUMMYFUNCTION("""COMPUTED_VALUE"""),"GSW")</f>
        <v>GSW</v>
      </c>
      <c r="D2956" s="4" t="str">
        <f>IFERROR(__xludf.DUMMYFUNCTION("""COMPUTED_VALUE"""),"Gerald Crosby")</f>
        <v>Gerald Crosby</v>
      </c>
      <c r="E2956" s="4" t="str">
        <f>IFERROR(__xludf.DUMMYFUNCTION("""COMPUTED_VALUE"""),"Georgia")</f>
        <v>Georgia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</row>
    <row r="2957">
      <c r="A2957" s="4">
        <f>IFERROR(__xludf.DUMMYFUNCTION("""COMPUTED_VALUE"""),118.0)</f>
        <v>118</v>
      </c>
      <c r="B2957" s="4">
        <f>IFERROR(__xludf.DUMMYFUNCTION("""COMPUTED_VALUE"""),118.0)</f>
        <v>118</v>
      </c>
      <c r="C2957" s="4" t="str">
        <f>IFERROR(__xludf.DUMMYFUNCTION("""COMPUTED_VALUE"""),"IND")</f>
        <v>IND</v>
      </c>
      <c r="D2957" s="4" t="str">
        <f>IFERROR(__xludf.DUMMYFUNCTION("""COMPUTED_VALUE"""),"Stu Primus")</f>
        <v>Stu Primus</v>
      </c>
      <c r="E2957" s="4" t="str">
        <f>IFERROR(__xludf.DUMMYFUNCTION("""COMPUTED_VALUE"""),"Boston College")</f>
        <v>Boston College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</row>
    <row r="2958">
      <c r="A2958" s="4">
        <f>IFERROR(__xludf.DUMMYFUNCTION("""COMPUTED_VALUE"""),119.0)</f>
        <v>119</v>
      </c>
      <c r="B2958" s="4">
        <f>IFERROR(__xludf.DUMMYFUNCTION("""COMPUTED_VALUE"""),119.0)</f>
        <v>119</v>
      </c>
      <c r="C2958" s="4" t="str">
        <f>IFERROR(__xludf.DUMMYFUNCTION("""COMPUTED_VALUE"""),"NYK")</f>
        <v>NYK</v>
      </c>
      <c r="D2958" s="4" t="str">
        <f>IFERROR(__xludf.DUMMYFUNCTION("""COMPUTED_VALUE"""),"Kent Lockhart")</f>
        <v>Kent Lockhart</v>
      </c>
      <c r="E2958" s="4" t="str">
        <f>IFERROR(__xludf.DUMMYFUNCTION("""COMPUTED_VALUE"""),"Texas-El Paso")</f>
        <v>Texas-El Paso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</row>
    <row r="2959">
      <c r="A2959" s="4">
        <f>IFERROR(__xludf.DUMMYFUNCTION("""COMPUTED_VALUE"""),120.0)</f>
        <v>120</v>
      </c>
      <c r="B2959" s="4">
        <f>IFERROR(__xludf.DUMMYFUNCTION("""COMPUTED_VALUE"""),120.0)</f>
        <v>120</v>
      </c>
      <c r="C2959" s="4" t="str">
        <f>IFERROR(__xludf.DUMMYFUNCTION("""COMPUTED_VALUE"""),"SAC")</f>
        <v>SAC</v>
      </c>
      <c r="D2959" s="4" t="str">
        <f>IFERROR(__xludf.DUMMYFUNCTION("""COMPUTED_VALUE"""),"Charles Balentine")</f>
        <v>Charles Balentine</v>
      </c>
      <c r="E2959" s="4" t="str">
        <f>IFERROR(__xludf.DUMMYFUNCTION("""COMPUTED_VALUE"""),"Arkansas")</f>
        <v>Arkansas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</row>
    <row r="2960">
      <c r="A2960" s="4">
        <f>IFERROR(__xludf.DUMMYFUNCTION("""COMPUTED_VALUE"""),121.0)</f>
        <v>121</v>
      </c>
      <c r="B2960" s="4">
        <f>IFERROR(__xludf.DUMMYFUNCTION("""COMPUTED_VALUE"""),121.0)</f>
        <v>121</v>
      </c>
      <c r="C2960" s="4" t="str">
        <f>IFERROR(__xludf.DUMMYFUNCTION("""COMPUTED_VALUE"""),"LAC")</f>
        <v>LAC</v>
      </c>
      <c r="D2960" s="4" t="str">
        <f>IFERROR(__xludf.DUMMYFUNCTION("""COMPUTED_VALUE"""),"Malcolm Thomas")</f>
        <v>Malcolm Thomas</v>
      </c>
      <c r="E2960" s="4" t="str">
        <f>IFERROR(__xludf.DUMMYFUNCTION("""COMPUTED_VALUE"""),"Missouri")</f>
        <v>Missouri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</row>
    <row r="2961">
      <c r="A2961" s="4">
        <f>IFERROR(__xludf.DUMMYFUNCTION("""COMPUTED_VALUE"""),122.0)</f>
        <v>122</v>
      </c>
      <c r="B2961" s="4">
        <f>IFERROR(__xludf.DUMMYFUNCTION("""COMPUTED_VALUE"""),122.0)</f>
        <v>122</v>
      </c>
      <c r="C2961" s="4" t="str">
        <f>IFERROR(__xludf.DUMMYFUNCTION("""COMPUTED_VALUE"""),"SEA")</f>
        <v>SEA</v>
      </c>
      <c r="D2961" s="4" t="str">
        <f>IFERROR(__xludf.DUMMYFUNCTION("""COMPUTED_VALUE"""),"Earl Walker")</f>
        <v>Earl Walker</v>
      </c>
      <c r="E2961" s="4" t="str">
        <f>IFERROR(__xludf.DUMMYFUNCTION("""COMPUTED_VALUE"""),"Mercer University")</f>
        <v>Mercer University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</row>
    <row r="2962">
      <c r="A2962" s="4">
        <f>IFERROR(__xludf.DUMMYFUNCTION("""COMPUTED_VALUE"""),123.0)</f>
        <v>123</v>
      </c>
      <c r="B2962" s="4">
        <f>IFERROR(__xludf.DUMMYFUNCTION("""COMPUTED_VALUE"""),123.0)</f>
        <v>123</v>
      </c>
      <c r="C2962" s="4" t="str">
        <f>IFERROR(__xludf.DUMMYFUNCTION("""COMPUTED_VALUE"""),"ATL")</f>
        <v>ATL</v>
      </c>
      <c r="D2962" s="4" t="str">
        <f>IFERROR(__xludf.DUMMYFUNCTION("""COMPUTED_VALUE"""),"Tony Duckett")</f>
        <v>Tony Duckett</v>
      </c>
      <c r="E2962" s="4" t="str">
        <f>IFERROR(__xludf.DUMMYFUNCTION("""COMPUTED_VALUE"""),"Lafayette College")</f>
        <v>Lafayette College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</row>
    <row r="2963">
      <c r="A2963" s="4">
        <f>IFERROR(__xludf.DUMMYFUNCTION("""COMPUTED_VALUE"""),124.0)</f>
        <v>124</v>
      </c>
      <c r="B2963" s="4">
        <f>IFERROR(__xludf.DUMMYFUNCTION("""COMPUTED_VALUE"""),124.0)</f>
        <v>124</v>
      </c>
      <c r="C2963" s="4" t="str">
        <f>IFERROR(__xludf.DUMMYFUNCTION("""COMPUTED_VALUE"""),"PHO")</f>
        <v>PHO</v>
      </c>
      <c r="D2963" s="4" t="str">
        <f>IFERROR(__xludf.DUMMYFUNCTION("""COMPUTED_VALUE"""),"Charles Rayne")</f>
        <v>Charles Rayne</v>
      </c>
      <c r="E2963" s="4" t="str">
        <f>IFERROR(__xludf.DUMMYFUNCTION("""COMPUTED_VALUE"""),"Temple")</f>
        <v>Temple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</row>
    <row r="2964">
      <c r="A2964" s="4">
        <f>IFERROR(__xludf.DUMMYFUNCTION("""COMPUTED_VALUE"""),125.0)</f>
        <v>125</v>
      </c>
      <c r="B2964" s="4">
        <f>IFERROR(__xludf.DUMMYFUNCTION("""COMPUTED_VALUE"""),125.0)</f>
        <v>125</v>
      </c>
      <c r="C2964" s="4" t="str">
        <f>IFERROR(__xludf.DUMMYFUNCTION("""COMPUTED_VALUE"""),"CLE")</f>
        <v>CLE</v>
      </c>
      <c r="D2964" s="4" t="str">
        <f>IFERROR(__xludf.DUMMYFUNCTION("""COMPUTED_VALUE"""),"Rickie Johnson")</f>
        <v>Rickie Johnson</v>
      </c>
      <c r="E2964" s="4" t="str">
        <f>IFERROR(__xludf.DUMMYFUNCTION("""COMPUTED_VALUE"""),"Illinois State")</f>
        <v>Illinois State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</row>
    <row r="2965">
      <c r="A2965" s="4">
        <f>IFERROR(__xludf.DUMMYFUNCTION("""COMPUTED_VALUE"""),126.0)</f>
        <v>126</v>
      </c>
      <c r="B2965" s="4">
        <f>IFERROR(__xludf.DUMMYFUNCTION("""COMPUTED_VALUE"""),126.0)</f>
        <v>126</v>
      </c>
      <c r="C2965" s="4" t="str">
        <f>IFERROR(__xludf.DUMMYFUNCTION("""COMPUTED_VALUE"""),"CHI")</f>
        <v>CHI</v>
      </c>
      <c r="D2965" s="4" t="str">
        <f>IFERROR(__xludf.DUMMYFUNCTION("""COMPUTED_VALUE"""),"Dan Meagher")</f>
        <v>Dan Meagher</v>
      </c>
      <c r="E2965" s="4" t="str">
        <f>IFERROR(__xludf.DUMMYFUNCTION("""COMPUTED_VALUE"""),"Duke")</f>
        <v>Duke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</row>
    <row r="2966">
      <c r="A2966" s="4">
        <f>IFERROR(__xludf.DUMMYFUNCTION("""COMPUTED_VALUE"""),127.0)</f>
        <v>127</v>
      </c>
      <c r="B2966" s="4">
        <f>IFERROR(__xludf.DUMMYFUNCTION("""COMPUTED_VALUE"""),127.0)</f>
        <v>127</v>
      </c>
      <c r="C2966" s="4" t="str">
        <f>IFERROR(__xludf.DUMMYFUNCTION("""COMPUTED_VALUE"""),"WSB")</f>
        <v>WSB</v>
      </c>
      <c r="D2966" s="4" t="str">
        <f>IFERROR(__xludf.DUMMYFUNCTION("""COMPUTED_VALUE"""),"Matt England")</f>
        <v>Matt England</v>
      </c>
      <c r="E2966" s="4" t="str">
        <f>IFERROR(__xludf.DUMMYFUNCTION("""COMPUTED_VALUE"""),"Houston Baptist University")</f>
        <v>Houston Baptist University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</row>
    <row r="2967">
      <c r="A2967" s="4">
        <f>IFERROR(__xludf.DUMMYFUNCTION("""COMPUTED_VALUE"""),128.0)</f>
        <v>128</v>
      </c>
      <c r="B2967" s="4">
        <f>IFERROR(__xludf.DUMMYFUNCTION("""COMPUTED_VALUE"""),128.0)</f>
        <v>128</v>
      </c>
      <c r="C2967" s="4" t="str">
        <f>IFERROR(__xludf.DUMMYFUNCTION("""COMPUTED_VALUE"""),"SAS")</f>
        <v>SAS</v>
      </c>
      <c r="D2967" s="4" t="str">
        <f>IFERROR(__xludf.DUMMYFUNCTION("""COMPUTED_VALUE"""),"Chris Harper")</f>
        <v>Chris Harper</v>
      </c>
      <c r="E2967" s="4" t="str">
        <f>IFERROR(__xludf.DUMMYFUNCTION("""COMPUTED_VALUE"""),"Oregon")</f>
        <v>Oregon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</row>
    <row r="2968">
      <c r="A2968" s="4">
        <f>IFERROR(__xludf.DUMMYFUNCTION("""COMPUTED_VALUE"""),129.0)</f>
        <v>129</v>
      </c>
      <c r="B2968" s="4">
        <f>IFERROR(__xludf.DUMMYFUNCTION("""COMPUTED_VALUE"""),129.0)</f>
        <v>129</v>
      </c>
      <c r="C2968" s="4" t="str">
        <f>IFERROR(__xludf.DUMMYFUNCTION("""COMPUTED_VALUE"""),"UTA")</f>
        <v>UTA</v>
      </c>
      <c r="D2968" s="4" t="str">
        <f>IFERROR(__xludf.DUMMYFUNCTION("""COMPUTED_VALUE"""),"Jim Miller")</f>
        <v>Jim Miller</v>
      </c>
      <c r="E2968" s="4" t="str">
        <f>IFERROR(__xludf.DUMMYFUNCTION("""COMPUTED_VALUE"""),"Virginia")</f>
        <v>Virginia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</row>
    <row r="2969">
      <c r="A2969" s="4">
        <f>IFERROR(__xludf.DUMMYFUNCTION("""COMPUTED_VALUE"""),130.0)</f>
        <v>130</v>
      </c>
      <c r="B2969" s="4">
        <f>IFERROR(__xludf.DUMMYFUNCTION("""COMPUTED_VALUE"""),130.0)</f>
        <v>130</v>
      </c>
      <c r="C2969" s="4" t="str">
        <f>IFERROR(__xludf.DUMMYFUNCTION("""COMPUTED_VALUE"""),"NJN")</f>
        <v>NJN</v>
      </c>
      <c r="D2969" s="4" t="str">
        <f>IFERROR(__xludf.DUMMYFUNCTION("""COMPUTED_VALUE"""),"George Almones")</f>
        <v>George Almones</v>
      </c>
      <c r="E2969" s="4" t="str">
        <f>IFERROR(__xludf.DUMMYFUNCTION("""COMPUTED_VALUE"""),"Louisiana")</f>
        <v>Louisiana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</row>
    <row r="2970">
      <c r="A2970" s="4">
        <f>IFERROR(__xludf.DUMMYFUNCTION("""COMPUTED_VALUE"""),131.0)</f>
        <v>131</v>
      </c>
      <c r="B2970" s="4">
        <f>IFERROR(__xludf.DUMMYFUNCTION("""COMPUTED_VALUE"""),131.0)</f>
        <v>131</v>
      </c>
      <c r="C2970" s="4" t="str">
        <f>IFERROR(__xludf.DUMMYFUNCTION("""COMPUTED_VALUE"""),"POR")</f>
        <v>POR</v>
      </c>
      <c r="D2970" s="4" t="str">
        <f>IFERROR(__xludf.DUMMYFUNCTION("""COMPUTED_VALUE"""),"Curtis Moore")</f>
        <v>Curtis Moore</v>
      </c>
      <c r="E2970" s="4" t="str">
        <f>IFERROR(__xludf.DUMMYFUNCTION("""COMPUTED_VALUE"""),"Nebraska")</f>
        <v>Nebraska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</row>
    <row r="2971">
      <c r="A2971" s="4">
        <f>IFERROR(__xludf.DUMMYFUNCTION("""COMPUTED_VALUE"""),132.0)</f>
        <v>132</v>
      </c>
      <c r="B2971" s="4">
        <f>IFERROR(__xludf.DUMMYFUNCTION("""COMPUTED_VALUE"""),132.0)</f>
        <v>132</v>
      </c>
      <c r="C2971" s="4" t="str">
        <f>IFERROR(__xludf.DUMMYFUNCTION("""COMPUTED_VALUE"""),"DAL")</f>
        <v>DAL</v>
      </c>
      <c r="D2971" s="4" t="str">
        <f>IFERROR(__xludf.DUMMYFUNCTION("""COMPUTED_VALUE"""),"Carlton Cooper")</f>
        <v>Carlton Cooper</v>
      </c>
      <c r="E2971" s="4" t="str">
        <f>IFERROR(__xludf.DUMMYFUNCTION("""COMPUTED_VALUE"""),"Texas")</f>
        <v>Texas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</row>
    <row r="2972">
      <c r="A2972" s="4">
        <f>IFERROR(__xludf.DUMMYFUNCTION("""COMPUTED_VALUE"""),133.0)</f>
        <v>133</v>
      </c>
      <c r="B2972" s="4">
        <f>IFERROR(__xludf.DUMMYFUNCTION("""COMPUTED_VALUE"""),133.0)</f>
        <v>133</v>
      </c>
      <c r="C2972" s="4" t="str">
        <f>IFERROR(__xludf.DUMMYFUNCTION("""COMPUTED_VALUE"""),"DET")</f>
        <v>DET</v>
      </c>
      <c r="D2972" s="4" t="str">
        <f>IFERROR(__xludf.DUMMYFUNCTION("""COMPUTED_VALUE"""),"Vincent Giles")</f>
        <v>Vincent Giles</v>
      </c>
      <c r="E2972" s="4" t="str">
        <f>IFERROR(__xludf.DUMMYFUNCTION("""COMPUTED_VALUE"""),"Eastern Michigan")</f>
        <v>Eastern Michigan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</row>
    <row r="2973">
      <c r="A2973" s="4">
        <f>IFERROR(__xludf.DUMMYFUNCTION("""COMPUTED_VALUE"""),134.0)</f>
        <v>134</v>
      </c>
      <c r="B2973" s="4">
        <f>IFERROR(__xludf.DUMMYFUNCTION("""COMPUTED_VALUE"""),134.0)</f>
        <v>134</v>
      </c>
      <c r="C2973" s="4" t="str">
        <f>IFERROR(__xludf.DUMMYFUNCTION("""COMPUTED_VALUE"""),"HOU")</f>
        <v>HOU</v>
      </c>
      <c r="D2973" s="4" t="str">
        <f>IFERROR(__xludf.DUMMYFUNCTION("""COMPUTED_VALUE"""),"Sam Potter")</f>
        <v>Sam Potter</v>
      </c>
      <c r="E2973" s="4" t="str">
        <f>IFERROR(__xludf.DUMMYFUNCTION("""COMPUTED_VALUE"""),"Oral Roberts")</f>
        <v>Oral Roberts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</row>
    <row r="2974">
      <c r="A2974" s="4">
        <f>IFERROR(__xludf.DUMMYFUNCTION("""COMPUTED_VALUE"""),135.0)</f>
        <v>135</v>
      </c>
      <c r="B2974" s="4">
        <f>IFERROR(__xludf.DUMMYFUNCTION("""COMPUTED_VALUE"""),135.0)</f>
        <v>135</v>
      </c>
      <c r="C2974" s="4" t="str">
        <f>IFERROR(__xludf.DUMMYFUNCTION("""COMPUTED_VALUE"""),"DEN")</f>
        <v>DEN</v>
      </c>
      <c r="D2974" s="4" t="str">
        <f>IFERROR(__xludf.DUMMYFUNCTION("""COMPUTED_VALUE"""),"Joe Carrabino")</f>
        <v>Joe Carrabino</v>
      </c>
      <c r="E2974" s="4" t="str">
        <f>IFERROR(__xludf.DUMMYFUNCTION("""COMPUTED_VALUE"""),"Harvard University")</f>
        <v>Harvard University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</row>
    <row r="2975">
      <c r="A2975" s="4">
        <f>IFERROR(__xludf.DUMMYFUNCTION("""COMPUTED_VALUE"""),136.0)</f>
        <v>136</v>
      </c>
      <c r="B2975" s="4">
        <f>IFERROR(__xludf.DUMMYFUNCTION("""COMPUTED_VALUE"""),136.0)</f>
        <v>136</v>
      </c>
      <c r="C2975" s="4" t="str">
        <f>IFERROR(__xludf.DUMMYFUNCTION("""COMPUTED_VALUE"""),"PHI")</f>
        <v>PHI</v>
      </c>
      <c r="D2975" s="4" t="str">
        <f>IFERROR(__xludf.DUMMYFUNCTION("""COMPUTED_VALUE"""),"Daryl Lloyd")</f>
        <v>Daryl Lloyd</v>
      </c>
      <c r="E2975" s="4" t="str">
        <f>IFERROR(__xludf.DUMMYFUNCTION("""COMPUTED_VALUE"""),"Drake University")</f>
        <v>Drake University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</row>
    <row r="2976">
      <c r="A2976" s="4">
        <f>IFERROR(__xludf.DUMMYFUNCTION("""COMPUTED_VALUE"""),137.0)</f>
        <v>137</v>
      </c>
      <c r="B2976" s="4">
        <f>IFERROR(__xludf.DUMMYFUNCTION("""COMPUTED_VALUE"""),137.0)</f>
        <v>137</v>
      </c>
      <c r="C2976" s="4" t="str">
        <f>IFERROR(__xludf.DUMMYFUNCTION("""COMPUTED_VALUE"""),"MIL")</f>
        <v>MIL</v>
      </c>
      <c r="D2976" s="4" t="str">
        <f>IFERROR(__xludf.DUMMYFUNCTION("""COMPUTED_VALUE"""),"Quentin Anderson")</f>
        <v>Quentin Anderson</v>
      </c>
      <c r="E2976" s="4" t="str">
        <f>IFERROR(__xludf.DUMMYFUNCTION("""COMPUTED_VALUE"""),"Texas Tech")</f>
        <v>Texas Tech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</row>
    <row r="2977">
      <c r="A2977" s="4">
        <f>IFERROR(__xludf.DUMMYFUNCTION("""COMPUTED_VALUE"""),138.0)</f>
        <v>138</v>
      </c>
      <c r="B2977" s="4">
        <f>IFERROR(__xludf.DUMMYFUNCTION("""COMPUTED_VALUE"""),138.0)</f>
        <v>138</v>
      </c>
      <c r="C2977" s="4" t="str">
        <f>IFERROR(__xludf.DUMMYFUNCTION("""COMPUTED_VALUE"""),"LAL")</f>
        <v>LAL</v>
      </c>
      <c r="D2977" s="4" t="str">
        <f>IFERROR(__xludf.DUMMYFUNCTION("""COMPUTED_VALUE"""),"Tony Neal")</f>
        <v>Tony Neal</v>
      </c>
      <c r="E2977" s="4" t="str">
        <f>IFERROR(__xludf.DUMMYFUNCTION("""COMPUTED_VALUE"""),"Cal State Fullerton")</f>
        <v>Cal State Fullerton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</row>
    <row r="2978">
      <c r="A2978" s="4">
        <f>IFERROR(__xludf.DUMMYFUNCTION("""COMPUTED_VALUE"""),139.0)</f>
        <v>139</v>
      </c>
      <c r="B2978" s="4">
        <f>IFERROR(__xludf.DUMMYFUNCTION("""COMPUTED_VALUE"""),139.0)</f>
        <v>139</v>
      </c>
      <c r="C2978" s="4" t="str">
        <f>IFERROR(__xludf.DUMMYFUNCTION("""COMPUTED_VALUE"""),"BOS")</f>
        <v>BOS</v>
      </c>
      <c r="D2978" s="4" t="str">
        <f>IFERROR(__xludf.DUMMYFUNCTION("""COMPUTED_VALUE"""),"Ralph Lewis")</f>
        <v>Ralph Lewis</v>
      </c>
      <c r="E2978" s="4" t="str">
        <f>IFERROR(__xludf.DUMMYFUNCTION("""COMPUTED_VALUE"""),"La Salle")</f>
        <v>La Salle</v>
      </c>
      <c r="F2978" s="4">
        <f>IFERROR(__xludf.DUMMYFUNCTION("""COMPUTED_VALUE"""),3.0)</f>
        <v>3</v>
      </c>
      <c r="G2978" s="4">
        <f>IFERROR(__xludf.DUMMYFUNCTION("""COMPUTED_VALUE"""),99.0)</f>
        <v>99</v>
      </c>
      <c r="H2978" s="4">
        <f>IFERROR(__xludf.DUMMYFUNCTION("""COMPUTED_VALUE"""),672.0)</f>
        <v>672</v>
      </c>
      <c r="I2978" s="4">
        <f>IFERROR(__xludf.DUMMYFUNCTION("""COMPUTED_VALUE"""),229.0)</f>
        <v>229</v>
      </c>
      <c r="J2978" s="4">
        <f>IFERROR(__xludf.DUMMYFUNCTION("""COMPUTED_VALUE"""),118.0)</f>
        <v>118</v>
      </c>
      <c r="K2978" s="4">
        <f>IFERROR(__xludf.DUMMYFUNCTION("""COMPUTED_VALUE"""),29.0)</f>
        <v>29</v>
      </c>
      <c r="L2978" s="4">
        <f>IFERROR(__xludf.DUMMYFUNCTION("""COMPUTED_VALUE"""),0.414)</f>
        <v>0.414</v>
      </c>
      <c r="M2978" s="4">
        <f>IFERROR(__xludf.DUMMYFUNCTION("""COMPUTED_VALUE"""),0.25)</f>
        <v>0.25</v>
      </c>
      <c r="N2978" s="4">
        <f>IFERROR(__xludf.DUMMYFUNCTION("""COMPUTED_VALUE"""),0.562)</f>
        <v>0.562</v>
      </c>
      <c r="O2978" s="4">
        <f>IFERROR(__xludf.DUMMYFUNCTION("""COMPUTED_VALUE"""),6.8)</f>
        <v>6.8</v>
      </c>
      <c r="P2978" s="4">
        <f>IFERROR(__xludf.DUMMYFUNCTION("""COMPUTED_VALUE"""),2.3)</f>
        <v>2.3</v>
      </c>
      <c r="Q2978" s="4">
        <f>IFERROR(__xludf.DUMMYFUNCTION("""COMPUTED_VALUE"""),1.2)</f>
        <v>1.2</v>
      </c>
      <c r="R2978" s="4">
        <f>IFERROR(__xludf.DUMMYFUNCTION("""COMPUTED_VALUE"""),0.3)</f>
        <v>0.3</v>
      </c>
      <c r="S2978" s="4">
        <f>IFERROR(__xludf.DUMMYFUNCTION("""COMPUTED_VALUE"""),0.0)</f>
        <v>0</v>
      </c>
      <c r="T2978" s="4">
        <f>IFERROR(__xludf.DUMMYFUNCTION("""COMPUTED_VALUE"""),-0.003)</f>
        <v>-0.003</v>
      </c>
      <c r="U2978" s="4">
        <f>IFERROR(__xludf.DUMMYFUNCTION("""COMPUTED_VALUE"""),-4.0)</f>
        <v>-4</v>
      </c>
      <c r="V2978" s="4">
        <f>IFERROR(__xludf.DUMMYFUNCTION("""COMPUTED_VALUE"""),-0.3)</f>
        <v>-0.3</v>
      </c>
    </row>
    <row r="2979">
      <c r="A2979" s="4"/>
      <c r="B2979" s="4"/>
      <c r="C2979" s="4"/>
      <c r="D2979" s="4" t="str">
        <f>IFERROR(__xludf.DUMMYFUNCTION("""COMPUTED_VALUE"""),"Round 7")</f>
        <v>Round 7</v>
      </c>
      <c r="E2979" s="4"/>
      <c r="F2979" s="4"/>
      <c r="G2979" s="4" t="str">
        <f>IFERROR(__xludf.DUMMYFUNCTION("""COMPUTED_VALUE"""),"Totals")</f>
        <v>Totals</v>
      </c>
      <c r="H2979" s="4"/>
      <c r="I2979" s="4"/>
      <c r="J2979" s="4"/>
      <c r="K2979" s="4"/>
      <c r="L2979" s="4" t="str">
        <f>IFERROR(__xludf.DUMMYFUNCTION("""COMPUTED_VALUE"""),"Shooting")</f>
        <v>Shooting</v>
      </c>
      <c r="M2979" s="4"/>
      <c r="N2979" s="4"/>
      <c r="O2979" s="4" t="str">
        <f>IFERROR(__xludf.DUMMYFUNCTION("""COMPUTED_VALUE"""),"Per Game")</f>
        <v>Per Game</v>
      </c>
      <c r="P2979" s="4"/>
      <c r="Q2979" s="4"/>
      <c r="R2979" s="4"/>
      <c r="S2979" s="4" t="str">
        <f>IFERROR(__xludf.DUMMYFUNCTION("""COMPUTED_VALUE"""),"Advanced")</f>
        <v>Advanced</v>
      </c>
      <c r="T2979" s="4"/>
      <c r="U2979" s="4"/>
      <c r="V2979" s="4"/>
    </row>
    <row r="2980">
      <c r="A2980" s="4" t="str">
        <f>IFERROR(__xludf.DUMMYFUNCTION("""COMPUTED_VALUE"""),"Rk")</f>
        <v>Rk</v>
      </c>
      <c r="B2980" s="4" t="str">
        <f>IFERROR(__xludf.DUMMYFUNCTION("""COMPUTED_VALUE"""),"Pk")</f>
        <v>Pk</v>
      </c>
      <c r="C2980" s="4" t="str">
        <f>IFERROR(__xludf.DUMMYFUNCTION("""COMPUTED_VALUE"""),"Tm")</f>
        <v>Tm</v>
      </c>
      <c r="D2980" s="4" t="str">
        <f>IFERROR(__xludf.DUMMYFUNCTION("""COMPUTED_VALUE"""),"Player")</f>
        <v>Player</v>
      </c>
      <c r="E2980" s="4" t="str">
        <f>IFERROR(__xludf.DUMMYFUNCTION("""COMPUTED_VALUE"""),"College")</f>
        <v>College</v>
      </c>
      <c r="F2980" s="4" t="str">
        <f>IFERROR(__xludf.DUMMYFUNCTION("""COMPUTED_VALUE"""),"Yrs")</f>
        <v>Yrs</v>
      </c>
      <c r="G2980" s="4" t="str">
        <f>IFERROR(__xludf.DUMMYFUNCTION("""COMPUTED_VALUE"""),"G")</f>
        <v>G</v>
      </c>
      <c r="H2980" s="4" t="str">
        <f>IFERROR(__xludf.DUMMYFUNCTION("""COMPUTED_VALUE"""),"MP")</f>
        <v>MP</v>
      </c>
      <c r="I2980" s="4" t="str">
        <f>IFERROR(__xludf.DUMMYFUNCTION("""COMPUTED_VALUE"""),"PTS")</f>
        <v>PTS</v>
      </c>
      <c r="J2980" s="4" t="str">
        <f>IFERROR(__xludf.DUMMYFUNCTION("""COMPUTED_VALUE"""),"TRB")</f>
        <v>TRB</v>
      </c>
      <c r="K2980" s="4" t="str">
        <f>IFERROR(__xludf.DUMMYFUNCTION("""COMPUTED_VALUE"""),"AST")</f>
        <v>AST</v>
      </c>
      <c r="L2980" s="4" t="str">
        <f>IFERROR(__xludf.DUMMYFUNCTION("""COMPUTED_VALUE"""),"FG%")</f>
        <v>FG%</v>
      </c>
      <c r="M2980" s="4" t="str">
        <f>IFERROR(__xludf.DUMMYFUNCTION("""COMPUTED_VALUE"""),"3P%")</f>
        <v>3P%</v>
      </c>
      <c r="N2980" s="4" t="str">
        <f>IFERROR(__xludf.DUMMYFUNCTION("""COMPUTED_VALUE"""),"FT%")</f>
        <v>FT%</v>
      </c>
      <c r="O2980" s="4" t="str">
        <f>IFERROR(__xludf.DUMMYFUNCTION("""COMPUTED_VALUE"""),"MP")</f>
        <v>MP</v>
      </c>
      <c r="P2980" s="4" t="str">
        <f>IFERROR(__xludf.DUMMYFUNCTION("""COMPUTED_VALUE"""),"PTS")</f>
        <v>PTS</v>
      </c>
      <c r="Q2980" s="4" t="str">
        <f>IFERROR(__xludf.DUMMYFUNCTION("""COMPUTED_VALUE"""),"TRB")</f>
        <v>TRB</v>
      </c>
      <c r="R2980" s="4" t="str">
        <f>IFERROR(__xludf.DUMMYFUNCTION("""COMPUTED_VALUE"""),"AST")</f>
        <v>AST</v>
      </c>
      <c r="S2980" s="4" t="str">
        <f>IFERROR(__xludf.DUMMYFUNCTION("""COMPUTED_VALUE"""),"WS")</f>
        <v>WS</v>
      </c>
      <c r="T2980" s="4" t="str">
        <f>IFERROR(__xludf.DUMMYFUNCTION("""COMPUTED_VALUE"""),"WS/48")</f>
        <v>WS/48</v>
      </c>
      <c r="U2980" s="4" t="str">
        <f>IFERROR(__xludf.DUMMYFUNCTION("""COMPUTED_VALUE"""),"BPM")</f>
        <v>BPM</v>
      </c>
      <c r="V2980" s="4" t="str">
        <f>IFERROR(__xludf.DUMMYFUNCTION("""COMPUTED_VALUE"""),"VORP")</f>
        <v>VORP</v>
      </c>
    </row>
    <row r="2981">
      <c r="A2981" s="4">
        <f>IFERROR(__xludf.DUMMYFUNCTION("""COMPUTED_VALUE"""),140.0)</f>
        <v>140</v>
      </c>
      <c r="B2981" s="4">
        <f>IFERROR(__xludf.DUMMYFUNCTION("""COMPUTED_VALUE"""),140.0)</f>
        <v>140</v>
      </c>
      <c r="C2981" s="4" t="str">
        <f>IFERROR(__xludf.DUMMYFUNCTION("""COMPUTED_VALUE"""),"IND")</f>
        <v>IND</v>
      </c>
      <c r="D2981" s="4" t="str">
        <f>IFERROR(__xludf.DUMMYFUNCTION("""COMPUTED_VALUE"""),"Jeff Acres")</f>
        <v>Jeff Acres</v>
      </c>
      <c r="E2981" s="4" t="str">
        <f>IFERROR(__xludf.DUMMYFUNCTION("""COMPUTED_VALUE"""),"Oral Roberts")</f>
        <v>Oral Roberts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</row>
    <row r="2982">
      <c r="A2982" s="4">
        <f>IFERROR(__xludf.DUMMYFUNCTION("""COMPUTED_VALUE"""),141.0)</f>
        <v>141</v>
      </c>
      <c r="B2982" s="4">
        <f>IFERROR(__xludf.DUMMYFUNCTION("""COMPUTED_VALUE"""),141.0)</f>
        <v>141</v>
      </c>
      <c r="C2982" s="4" t="str">
        <f>IFERROR(__xludf.DUMMYFUNCTION("""COMPUTED_VALUE"""),"GSW")</f>
        <v>GSW</v>
      </c>
      <c r="D2982" s="4" t="str">
        <f>IFERROR(__xludf.DUMMYFUNCTION("""COMPUTED_VALUE"""),"Eric Boyd")</f>
        <v>Eric Boyd</v>
      </c>
      <c r="E2982" s="4" t="str">
        <f>IFERROR(__xludf.DUMMYFUNCTION("""COMPUTED_VALUE"""),"North Carolina A&amp;T")</f>
        <v>North Carolina A&amp;T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</row>
    <row r="2983">
      <c r="A2983" s="4">
        <f>IFERROR(__xludf.DUMMYFUNCTION("""COMPUTED_VALUE"""),142.0)</f>
        <v>142</v>
      </c>
      <c r="B2983" s="4">
        <f>IFERROR(__xludf.DUMMYFUNCTION("""COMPUTED_VALUE"""),142.0)</f>
        <v>142</v>
      </c>
      <c r="C2983" s="4" t="str">
        <f>IFERROR(__xludf.DUMMYFUNCTION("""COMPUTED_VALUE"""),"NYK")</f>
        <v>NYK</v>
      </c>
      <c r="D2983" s="4" t="str">
        <f>IFERROR(__xludf.DUMMYFUNCTION("""COMPUTED_VALUE"""),"Ken Bantum")</f>
        <v>Ken Bantum</v>
      </c>
      <c r="E2983" s="4" t="str">
        <f>IFERROR(__xludf.DUMMYFUNCTION("""COMPUTED_VALUE"""),"Cornell")</f>
        <v>Cornell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</row>
    <row r="2984">
      <c r="A2984" s="4">
        <f>IFERROR(__xludf.DUMMYFUNCTION("""COMPUTED_VALUE"""),143.0)</f>
        <v>143</v>
      </c>
      <c r="B2984" s="4">
        <f>IFERROR(__xludf.DUMMYFUNCTION("""COMPUTED_VALUE"""),143.0)</f>
        <v>143</v>
      </c>
      <c r="C2984" s="4" t="str">
        <f>IFERROR(__xludf.DUMMYFUNCTION("""COMPUTED_VALUE"""),"LAC")</f>
        <v>LAC</v>
      </c>
      <c r="D2984" s="4" t="str">
        <f>IFERROR(__xludf.DUMMYFUNCTION("""COMPUTED_VALUE"""),"Gary Maloncon")</f>
        <v>Gary Maloncon</v>
      </c>
      <c r="E2984" s="4" t="str">
        <f>IFERROR(__xludf.DUMMYFUNCTION("""COMPUTED_VALUE"""),"UCLA")</f>
        <v>UCLA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</row>
    <row r="2985">
      <c r="A2985" s="4">
        <f>IFERROR(__xludf.DUMMYFUNCTION("""COMPUTED_VALUE"""),144.0)</f>
        <v>144</v>
      </c>
      <c r="B2985" s="4">
        <f>IFERROR(__xludf.DUMMYFUNCTION("""COMPUTED_VALUE"""),144.0)</f>
        <v>144</v>
      </c>
      <c r="C2985" s="4" t="str">
        <f>IFERROR(__xludf.DUMMYFUNCTION("""COMPUTED_VALUE"""),"SEA")</f>
        <v>SEA</v>
      </c>
      <c r="D2985" s="4" t="str">
        <f>IFERROR(__xludf.DUMMYFUNCTION("""COMPUTED_VALUE"""),"Michael Phelps")</f>
        <v>Michael Phelps</v>
      </c>
      <c r="E2985" s="4" t="str">
        <f>IFERROR(__xludf.DUMMYFUNCTION("""COMPUTED_VALUE"""),"Alcorn State")</f>
        <v>Alcorn State</v>
      </c>
      <c r="F2985" s="4">
        <f>IFERROR(__xludf.DUMMYFUNCTION("""COMPUTED_VALUE"""),3.0)</f>
        <v>3</v>
      </c>
      <c r="G2985" s="4">
        <f>IFERROR(__xludf.DUMMYFUNCTION("""COMPUTED_VALUE"""),132.0)</f>
        <v>132</v>
      </c>
      <c r="H2985" s="4">
        <f>IFERROR(__xludf.DUMMYFUNCTION("""COMPUTED_VALUE"""),1372.0)</f>
        <v>1372</v>
      </c>
      <c r="I2985" s="4">
        <f>IFERROR(__xludf.DUMMYFUNCTION("""COMPUTED_VALUE"""),470.0)</f>
        <v>470</v>
      </c>
      <c r="J2985" s="4">
        <f>IFERROR(__xludf.DUMMYFUNCTION("""COMPUTED_VALUE"""),141.0)</f>
        <v>141</v>
      </c>
      <c r="K2985" s="4">
        <f>IFERROR(__xludf.DUMMYFUNCTION("""COMPUTED_VALUE"""),138.0)</f>
        <v>138</v>
      </c>
      <c r="L2985" s="4">
        <f>IFERROR(__xludf.DUMMYFUNCTION("""COMPUTED_VALUE"""),0.416)</f>
        <v>0.416</v>
      </c>
      <c r="M2985" s="4">
        <f>IFERROR(__xludf.DUMMYFUNCTION("""COMPUTED_VALUE"""),0.091)</f>
        <v>0.091</v>
      </c>
      <c r="N2985" s="4">
        <f>IFERROR(__xludf.DUMMYFUNCTION("""COMPUTED_VALUE"""),0.639)</f>
        <v>0.639</v>
      </c>
      <c r="O2985" s="4">
        <f>IFERROR(__xludf.DUMMYFUNCTION("""COMPUTED_VALUE"""),10.4)</f>
        <v>10.4</v>
      </c>
      <c r="P2985" s="4">
        <f>IFERROR(__xludf.DUMMYFUNCTION("""COMPUTED_VALUE"""),3.6)</f>
        <v>3.6</v>
      </c>
      <c r="Q2985" s="4">
        <f>IFERROR(__xludf.DUMMYFUNCTION("""COMPUTED_VALUE"""),1.1)</f>
        <v>1.1</v>
      </c>
      <c r="R2985" s="4">
        <f>IFERROR(__xludf.DUMMYFUNCTION("""COMPUTED_VALUE"""),1.0)</f>
        <v>1</v>
      </c>
      <c r="S2985" s="4">
        <f>IFERROR(__xludf.DUMMYFUNCTION("""COMPUTED_VALUE"""),0.3)</f>
        <v>0.3</v>
      </c>
      <c r="T2985" s="4">
        <f>IFERROR(__xludf.DUMMYFUNCTION("""COMPUTED_VALUE"""),0.012)</f>
        <v>0.012</v>
      </c>
      <c r="U2985" s="4">
        <f>IFERROR(__xludf.DUMMYFUNCTION("""COMPUTED_VALUE"""),-3.8)</f>
        <v>-3.8</v>
      </c>
      <c r="V2985" s="4">
        <f>IFERROR(__xludf.DUMMYFUNCTION("""COMPUTED_VALUE"""),-0.6)</f>
        <v>-0.6</v>
      </c>
    </row>
    <row r="2986">
      <c r="A2986" s="4">
        <f>IFERROR(__xludf.DUMMYFUNCTION("""COMPUTED_VALUE"""),145.0)</f>
        <v>145</v>
      </c>
      <c r="B2986" s="4">
        <f>IFERROR(__xludf.DUMMYFUNCTION("""COMPUTED_VALUE"""),145.0)</f>
        <v>145</v>
      </c>
      <c r="C2986" s="4" t="str">
        <f>IFERROR(__xludf.DUMMYFUNCTION("""COMPUTED_VALUE"""),"SAC")</f>
        <v>SAC</v>
      </c>
      <c r="D2986" s="4" t="str">
        <f>IFERROR(__xludf.DUMMYFUNCTION("""COMPUTED_VALUE"""),"Alton Lee Gipson")</f>
        <v>Alton Lee Gipson</v>
      </c>
      <c r="E2986" s="4" t="str">
        <f>IFERROR(__xludf.DUMMYFUNCTION("""COMPUTED_VALUE"""),"Florida State")</f>
        <v>Florida State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</row>
    <row r="2987">
      <c r="A2987" s="4">
        <f>IFERROR(__xludf.DUMMYFUNCTION("""COMPUTED_VALUE"""),146.0)</f>
        <v>146</v>
      </c>
      <c r="B2987" s="4">
        <f>IFERROR(__xludf.DUMMYFUNCTION("""COMPUTED_VALUE"""),146.0)</f>
        <v>146</v>
      </c>
      <c r="C2987" s="4" t="str">
        <f>IFERROR(__xludf.DUMMYFUNCTION("""COMPUTED_VALUE"""),"ATL")</f>
        <v>ATL</v>
      </c>
      <c r="D2987" s="4" t="str">
        <f>IFERROR(__xludf.DUMMYFUNCTION("""COMPUTED_VALUE"""),"Bob Ferry Jr.")</f>
        <v>Bob Ferry Jr.</v>
      </c>
      <c r="E2987" s="4" t="str">
        <f>IFERROR(__xludf.DUMMYFUNCTION("""COMPUTED_VALUE"""),"Harvard University")</f>
        <v>Harvard University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</row>
    <row r="2988">
      <c r="A2988" s="4">
        <f>IFERROR(__xludf.DUMMYFUNCTION("""COMPUTED_VALUE"""),147.0)</f>
        <v>147</v>
      </c>
      <c r="B2988" s="4">
        <f>IFERROR(__xludf.DUMMYFUNCTION("""COMPUTED_VALUE"""),147.0)</f>
        <v>147</v>
      </c>
      <c r="C2988" s="4" t="str">
        <f>IFERROR(__xludf.DUMMYFUNCTION("""COMPUTED_VALUE"""),"CLE")</f>
        <v>CLE</v>
      </c>
      <c r="D2988" s="4" t="str">
        <f>IFERROR(__xludf.DUMMYFUNCTION("""COMPUTED_VALUE"""),"Buzz Peterson")</f>
        <v>Buzz Peterson</v>
      </c>
      <c r="E2988" s="4" t="str">
        <f>IFERROR(__xludf.DUMMYFUNCTION("""COMPUTED_VALUE"""),"UNC")</f>
        <v>UNC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</row>
    <row r="2989">
      <c r="A2989" s="4">
        <f>IFERROR(__xludf.DUMMYFUNCTION("""COMPUTED_VALUE"""),148.0)</f>
        <v>148</v>
      </c>
      <c r="B2989" s="4">
        <f>IFERROR(__xludf.DUMMYFUNCTION("""COMPUTED_VALUE"""),148.0)</f>
        <v>148</v>
      </c>
      <c r="C2989" s="4" t="str">
        <f>IFERROR(__xludf.DUMMYFUNCTION("""COMPUTED_VALUE"""),"PHO")</f>
        <v>PHO</v>
      </c>
      <c r="D2989" s="4" t="str">
        <f>IFERROR(__xludf.DUMMYFUNCTION("""COMPUTED_VALUE"""),"Georgi Glouchkov")</f>
        <v>Georgi Glouchkov</v>
      </c>
      <c r="E2989" s="4"/>
      <c r="F2989" s="4">
        <f>IFERROR(__xludf.DUMMYFUNCTION("""COMPUTED_VALUE"""),1.0)</f>
        <v>1</v>
      </c>
      <c r="G2989" s="4">
        <f>IFERROR(__xludf.DUMMYFUNCTION("""COMPUTED_VALUE"""),49.0)</f>
        <v>49</v>
      </c>
      <c r="H2989" s="4">
        <f>IFERROR(__xludf.DUMMYFUNCTION("""COMPUTED_VALUE"""),772.0)</f>
        <v>772</v>
      </c>
      <c r="I2989" s="4">
        <f>IFERROR(__xludf.DUMMYFUNCTION("""COMPUTED_VALUE"""),239.0)</f>
        <v>239</v>
      </c>
      <c r="J2989" s="4">
        <f>IFERROR(__xludf.DUMMYFUNCTION("""COMPUTED_VALUE"""),163.0)</f>
        <v>163</v>
      </c>
      <c r="K2989" s="4">
        <f>IFERROR(__xludf.DUMMYFUNCTION("""COMPUTED_VALUE"""),32.0)</f>
        <v>32</v>
      </c>
      <c r="L2989" s="4">
        <f>IFERROR(__xludf.DUMMYFUNCTION("""COMPUTED_VALUE"""),0.402)</f>
        <v>0.402</v>
      </c>
      <c r="M2989" s="4">
        <f>IFERROR(__xludf.DUMMYFUNCTION("""COMPUTED_VALUE"""),1.0)</f>
        <v>1</v>
      </c>
      <c r="N2989" s="4">
        <f>IFERROR(__xludf.DUMMYFUNCTION("""COMPUTED_VALUE"""),0.574)</f>
        <v>0.574</v>
      </c>
      <c r="O2989" s="4">
        <f>IFERROR(__xludf.DUMMYFUNCTION("""COMPUTED_VALUE"""),15.8)</f>
        <v>15.8</v>
      </c>
      <c r="P2989" s="4">
        <f>IFERROR(__xludf.DUMMYFUNCTION("""COMPUTED_VALUE"""),4.9)</f>
        <v>4.9</v>
      </c>
      <c r="Q2989" s="4">
        <f>IFERROR(__xludf.DUMMYFUNCTION("""COMPUTED_VALUE"""),3.3)</f>
        <v>3.3</v>
      </c>
      <c r="R2989" s="4">
        <f>IFERROR(__xludf.DUMMYFUNCTION("""COMPUTED_VALUE"""),0.7)</f>
        <v>0.7</v>
      </c>
      <c r="S2989" s="4">
        <f>IFERROR(__xludf.DUMMYFUNCTION("""COMPUTED_VALUE"""),-0.5)</f>
        <v>-0.5</v>
      </c>
      <c r="T2989" s="4">
        <f>IFERROR(__xludf.DUMMYFUNCTION("""COMPUTED_VALUE"""),-0.029)</f>
        <v>-0.029</v>
      </c>
      <c r="U2989" s="4">
        <f>IFERROR(__xludf.DUMMYFUNCTION("""COMPUTED_VALUE"""),-6.3)</f>
        <v>-6.3</v>
      </c>
      <c r="V2989" s="4">
        <f>IFERROR(__xludf.DUMMYFUNCTION("""COMPUTED_VALUE"""),-0.8)</f>
        <v>-0.8</v>
      </c>
    </row>
    <row r="2990">
      <c r="A2990" s="4">
        <f>IFERROR(__xludf.DUMMYFUNCTION("""COMPUTED_VALUE"""),149.0)</f>
        <v>149</v>
      </c>
      <c r="B2990" s="4">
        <f>IFERROR(__xludf.DUMMYFUNCTION("""COMPUTED_VALUE"""),149.0)</f>
        <v>149</v>
      </c>
      <c r="C2990" s="4" t="str">
        <f>IFERROR(__xludf.DUMMYFUNCTION("""COMPUTED_VALUE"""),"CHI")</f>
        <v>CHI</v>
      </c>
      <c r="D2990" s="4" t="str">
        <f>IFERROR(__xludf.DUMMYFUNCTION("""COMPUTED_VALUE"""),"Jeff Adkins")</f>
        <v>Jeff Adkins</v>
      </c>
      <c r="E2990" s="4" t="str">
        <f>IFERROR(__xludf.DUMMYFUNCTION("""COMPUTED_VALUE"""),"Maryland")</f>
        <v>Maryland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</row>
    <row r="2991">
      <c r="A2991" s="4">
        <f>IFERROR(__xludf.DUMMYFUNCTION("""COMPUTED_VALUE"""),150.0)</f>
        <v>150</v>
      </c>
      <c r="B2991" s="4">
        <f>IFERROR(__xludf.DUMMYFUNCTION("""COMPUTED_VALUE"""),150.0)</f>
        <v>150</v>
      </c>
      <c r="C2991" s="4" t="str">
        <f>IFERROR(__xludf.DUMMYFUNCTION("""COMPUTED_VALUE"""),"WSB")</f>
        <v>WSB</v>
      </c>
      <c r="D2991" s="4" t="str">
        <f>IFERROR(__xludf.DUMMYFUNCTION("""COMPUTED_VALUE"""),"Keith Gray")</f>
        <v>Keith Gray</v>
      </c>
      <c r="E2991" s="4" t="str">
        <f>IFERROR(__xludf.DUMMYFUNCTION("""COMPUTED_VALUE"""),"Detroit Mercy")</f>
        <v>Detroit Mercy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</row>
    <row r="2992">
      <c r="A2992" s="4">
        <f>IFERROR(__xludf.DUMMYFUNCTION("""COMPUTED_VALUE"""),151.0)</f>
        <v>151</v>
      </c>
      <c r="B2992" s="4">
        <f>IFERROR(__xludf.DUMMYFUNCTION("""COMPUTED_VALUE"""),151.0)</f>
        <v>151</v>
      </c>
      <c r="C2992" s="4" t="str">
        <f>IFERROR(__xludf.DUMMYFUNCTION("""COMPUTED_VALUE"""),"UTA")</f>
        <v>UTA</v>
      </c>
      <c r="D2992" s="4" t="str">
        <f>IFERROR(__xludf.DUMMYFUNCTION("""COMPUTED_VALUE"""),"Mike Wacker")</f>
        <v>Mike Wacker</v>
      </c>
      <c r="E2992" s="4" t="str">
        <f>IFERROR(__xludf.DUMMYFUNCTION("""COMPUTED_VALUE"""),"Texas")</f>
        <v>Texas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</row>
    <row r="2993">
      <c r="A2993" s="4">
        <f>IFERROR(__xludf.DUMMYFUNCTION("""COMPUTED_VALUE"""),152.0)</f>
        <v>152</v>
      </c>
      <c r="B2993" s="4">
        <f>IFERROR(__xludf.DUMMYFUNCTION("""COMPUTED_VALUE"""),152.0)</f>
        <v>152</v>
      </c>
      <c r="C2993" s="4" t="str">
        <f>IFERROR(__xludf.DUMMYFUNCTION("""COMPUTED_VALUE"""),"SAS")</f>
        <v>SAS</v>
      </c>
      <c r="D2993" s="4" t="str">
        <f>IFERROR(__xludf.DUMMYFUNCTION("""COMPUTED_VALUE"""),"Al Young")</f>
        <v>Al Young</v>
      </c>
      <c r="E2993" s="4" t="str">
        <f>IFERROR(__xludf.DUMMYFUNCTION("""COMPUTED_VALUE"""),"Virginia Tech")</f>
        <v>Virginia Tech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</row>
    <row r="2994">
      <c r="A2994" s="4">
        <f>IFERROR(__xludf.DUMMYFUNCTION("""COMPUTED_VALUE"""),153.0)</f>
        <v>153</v>
      </c>
      <c r="B2994" s="4">
        <f>IFERROR(__xludf.DUMMYFUNCTION("""COMPUTED_VALUE"""),153.0)</f>
        <v>153</v>
      </c>
      <c r="C2994" s="4" t="str">
        <f>IFERROR(__xludf.DUMMYFUNCTION("""COMPUTED_VALUE"""),"POR")</f>
        <v>POR</v>
      </c>
      <c r="D2994" s="4" t="str">
        <f>IFERROR(__xludf.DUMMYFUNCTION("""COMPUTED_VALUE"""),"Mark Owen")</f>
        <v>Mark Owen</v>
      </c>
      <c r="E2994" s="4" t="str">
        <f>IFERROR(__xludf.DUMMYFUNCTION("""COMPUTED_VALUE"""),"College of Idaho")</f>
        <v>College of Idaho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</row>
    <row r="2995">
      <c r="A2995" s="4">
        <f>IFERROR(__xludf.DUMMYFUNCTION("""COMPUTED_VALUE"""),154.0)</f>
        <v>154</v>
      </c>
      <c r="B2995" s="4">
        <f>IFERROR(__xludf.DUMMYFUNCTION("""COMPUTED_VALUE"""),154.0)</f>
        <v>154</v>
      </c>
      <c r="C2995" s="4" t="str">
        <f>IFERROR(__xludf.DUMMYFUNCTION("""COMPUTED_VALUE"""),"NJN")</f>
        <v>NJN</v>
      </c>
      <c r="D2995" s="4" t="str">
        <f>IFERROR(__xludf.DUMMYFUNCTION("""COMPUTED_VALUE"""),"Gary McLain")</f>
        <v>Gary McLain</v>
      </c>
      <c r="E2995" s="4" t="str">
        <f>IFERROR(__xludf.DUMMYFUNCTION("""COMPUTED_VALUE"""),"Villanova")</f>
        <v>Villanova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</row>
    <row r="2996">
      <c r="A2996" s="4">
        <f>IFERROR(__xludf.DUMMYFUNCTION("""COMPUTED_VALUE"""),155.0)</f>
        <v>155</v>
      </c>
      <c r="B2996" s="4">
        <f>IFERROR(__xludf.DUMMYFUNCTION("""COMPUTED_VALUE"""),155.0)</f>
        <v>155</v>
      </c>
      <c r="C2996" s="4" t="str">
        <f>IFERROR(__xludf.DUMMYFUNCTION("""COMPUTED_VALUE"""),"DAL")</f>
        <v>DAL</v>
      </c>
      <c r="D2996" s="4" t="str">
        <f>IFERROR(__xludf.DUMMYFUNCTION("""COMPUTED_VALUE"""),"Ed Catchings")</f>
        <v>Ed Catchings</v>
      </c>
      <c r="E2996" s="4" t="str">
        <f>IFERROR(__xludf.DUMMYFUNCTION("""COMPUTED_VALUE"""),"UNLV")</f>
        <v>UNLV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</row>
    <row r="2997">
      <c r="A2997" s="4">
        <f>IFERROR(__xludf.DUMMYFUNCTION("""COMPUTED_VALUE"""),156.0)</f>
        <v>156</v>
      </c>
      <c r="B2997" s="4">
        <f>IFERROR(__xludf.DUMMYFUNCTION("""COMPUTED_VALUE"""),156.0)</f>
        <v>156</v>
      </c>
      <c r="C2997" s="4" t="str">
        <f>IFERROR(__xludf.DUMMYFUNCTION("""COMPUTED_VALUE"""),"DET")</f>
        <v>DET</v>
      </c>
      <c r="D2997" s="4" t="str">
        <f>IFERROR(__xludf.DUMMYFUNCTION("""COMPUTED_VALUE"""),"Frank James")</f>
        <v>Frank James</v>
      </c>
      <c r="E2997" s="4" t="str">
        <f>IFERROR(__xludf.DUMMYFUNCTION("""COMPUTED_VALUE"""),"UNLV")</f>
        <v>UNLV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</row>
    <row r="2998">
      <c r="A2998" s="4">
        <f>IFERROR(__xludf.DUMMYFUNCTION("""COMPUTED_VALUE"""),157.0)</f>
        <v>157</v>
      </c>
      <c r="B2998" s="4">
        <f>IFERROR(__xludf.DUMMYFUNCTION("""COMPUTED_VALUE"""),157.0)</f>
        <v>157</v>
      </c>
      <c r="C2998" s="4" t="str">
        <f>IFERROR(__xludf.DUMMYFUNCTION("""COMPUTED_VALUE"""),"IND")</f>
        <v>IND</v>
      </c>
      <c r="D2998" s="4" t="str">
        <f>IFERROR(__xludf.DUMMYFUNCTION("""COMPUTED_VALUE"""),"Don Turney")</f>
        <v>Don Turney</v>
      </c>
      <c r="E2998" s="4" t="str">
        <f>IFERROR(__xludf.DUMMYFUNCTION("""COMPUTED_VALUE"""),"Marshall")</f>
        <v>Marshall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</row>
    <row r="2999">
      <c r="A2999" s="4">
        <f>IFERROR(__xludf.DUMMYFUNCTION("""COMPUTED_VALUE"""),158.0)</f>
        <v>158</v>
      </c>
      <c r="B2999" s="4">
        <f>IFERROR(__xludf.DUMMYFUNCTION("""COMPUTED_VALUE"""),158.0)</f>
        <v>158</v>
      </c>
      <c r="C2999" s="4" t="str">
        <f>IFERROR(__xludf.DUMMYFUNCTION("""COMPUTED_VALUE"""),"DEN")</f>
        <v>DEN</v>
      </c>
      <c r="D2999" s="4" t="str">
        <f>IFERROR(__xludf.DUMMYFUNCTION("""COMPUTED_VALUE"""),"Eddie Smith")</f>
        <v>Eddie Smith</v>
      </c>
      <c r="E2999" s="4" t="str">
        <f>IFERROR(__xludf.DUMMYFUNCTION("""COMPUTED_VALUE"""),"Arizona")</f>
        <v>Arizona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</row>
    <row r="3000">
      <c r="A3000" s="4">
        <f>IFERROR(__xludf.DUMMYFUNCTION("""COMPUTED_VALUE"""),159.0)</f>
        <v>159</v>
      </c>
      <c r="B3000" s="4">
        <f>IFERROR(__xludf.DUMMYFUNCTION("""COMPUTED_VALUE"""),159.0)</f>
        <v>159</v>
      </c>
      <c r="C3000" s="4" t="str">
        <f>IFERROR(__xludf.DUMMYFUNCTION("""COMPUTED_VALUE"""),"PHI")</f>
        <v>PHI</v>
      </c>
      <c r="D3000" s="4" t="str">
        <f>IFERROR(__xludf.DUMMYFUNCTION("""COMPUTED_VALUE"""),"Jaye Andrews")</f>
        <v>Jaye Andrews</v>
      </c>
      <c r="E3000" s="4" t="str">
        <f>IFERROR(__xludf.DUMMYFUNCTION("""COMPUTED_VALUE"""),"Bucknell")</f>
        <v>Bucknell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</row>
    <row r="3001">
      <c r="A3001" s="4">
        <f>IFERROR(__xludf.DUMMYFUNCTION("""COMPUTED_VALUE"""),160.0)</f>
        <v>160</v>
      </c>
      <c r="B3001" s="4">
        <f>IFERROR(__xludf.DUMMYFUNCTION("""COMPUTED_VALUE"""),160.0)</f>
        <v>160</v>
      </c>
      <c r="C3001" s="4" t="str">
        <f>IFERROR(__xludf.DUMMYFUNCTION("""COMPUTED_VALUE"""),"MIL")</f>
        <v>MIL</v>
      </c>
      <c r="D3001" s="4" t="str">
        <f>IFERROR(__xludf.DUMMYFUNCTION("""COMPUTED_VALUE"""),"Mario Elie")</f>
        <v>Mario Elie</v>
      </c>
      <c r="E3001" s="4" t="str">
        <f>IFERROR(__xludf.DUMMYFUNCTION("""COMPUTED_VALUE"""),"American International College")</f>
        <v>American International College</v>
      </c>
      <c r="F3001" s="4">
        <f>IFERROR(__xludf.DUMMYFUNCTION("""COMPUTED_VALUE"""),11.0)</f>
        <v>11</v>
      </c>
      <c r="G3001" s="4">
        <f>IFERROR(__xludf.DUMMYFUNCTION("""COMPUTED_VALUE"""),732.0)</f>
        <v>732</v>
      </c>
      <c r="H3001" s="4">
        <f>IFERROR(__xludf.DUMMYFUNCTION("""COMPUTED_VALUE"""),18654.0)</f>
        <v>18654</v>
      </c>
      <c r="I3001" s="4">
        <f>IFERROR(__xludf.DUMMYFUNCTION("""COMPUTED_VALUE"""),6265.0)</f>
        <v>6265</v>
      </c>
      <c r="J3001" s="4">
        <f>IFERROR(__xludf.DUMMYFUNCTION("""COMPUTED_VALUE"""),2017.0)</f>
        <v>2017</v>
      </c>
      <c r="K3001" s="4">
        <f>IFERROR(__xludf.DUMMYFUNCTION("""COMPUTED_VALUE"""),1875.0)</f>
        <v>1875</v>
      </c>
      <c r="L3001" s="4">
        <f>IFERROR(__xludf.DUMMYFUNCTION("""COMPUTED_VALUE"""),0.473)</f>
        <v>0.473</v>
      </c>
      <c r="M3001" s="4">
        <f>IFERROR(__xludf.DUMMYFUNCTION("""COMPUTED_VALUE"""),0.365)</f>
        <v>0.365</v>
      </c>
      <c r="N3001" s="4">
        <f>IFERROR(__xludf.DUMMYFUNCTION("""COMPUTED_VALUE"""),0.854)</f>
        <v>0.854</v>
      </c>
      <c r="O3001" s="4">
        <f>IFERROR(__xludf.DUMMYFUNCTION("""COMPUTED_VALUE"""),25.5)</f>
        <v>25.5</v>
      </c>
      <c r="P3001" s="4">
        <f>IFERROR(__xludf.DUMMYFUNCTION("""COMPUTED_VALUE"""),8.6)</f>
        <v>8.6</v>
      </c>
      <c r="Q3001" s="4">
        <f>IFERROR(__xludf.DUMMYFUNCTION("""COMPUTED_VALUE"""),2.8)</f>
        <v>2.8</v>
      </c>
      <c r="R3001" s="4">
        <f>IFERROR(__xludf.DUMMYFUNCTION("""COMPUTED_VALUE"""),2.6)</f>
        <v>2.6</v>
      </c>
      <c r="S3001" s="4">
        <f>IFERROR(__xludf.DUMMYFUNCTION("""COMPUTED_VALUE"""),48.9)</f>
        <v>48.9</v>
      </c>
      <c r="T3001" s="4">
        <f>IFERROR(__xludf.DUMMYFUNCTION("""COMPUTED_VALUE"""),0.126)</f>
        <v>0.126</v>
      </c>
      <c r="U3001" s="4">
        <f>IFERROR(__xludf.DUMMYFUNCTION("""COMPUTED_VALUE"""),0.7)</f>
        <v>0.7</v>
      </c>
      <c r="V3001" s="4">
        <f>IFERROR(__xludf.DUMMYFUNCTION("""COMPUTED_VALUE"""),12.6)</f>
        <v>12.6</v>
      </c>
    </row>
    <row r="3002">
      <c r="A3002" s="4">
        <f>IFERROR(__xludf.DUMMYFUNCTION("""COMPUTED_VALUE"""),161.0)</f>
        <v>161</v>
      </c>
      <c r="B3002" s="4">
        <f>IFERROR(__xludf.DUMMYFUNCTION("""COMPUTED_VALUE"""),161.0)</f>
        <v>161</v>
      </c>
      <c r="C3002" s="4" t="str">
        <f>IFERROR(__xludf.DUMMYFUNCTION("""COMPUTED_VALUE"""),"LAL")</f>
        <v>LAL</v>
      </c>
      <c r="D3002" s="4" t="str">
        <f>IFERROR(__xludf.DUMMYFUNCTION("""COMPUTED_VALUE"""),"Keith Cieplicki")</f>
        <v>Keith Cieplicki</v>
      </c>
      <c r="E3002" s="4" t="str">
        <f>IFERROR(__xludf.DUMMYFUNCTION("""COMPUTED_VALUE"""),"William &amp; Mary")</f>
        <v>William &amp; Mary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</row>
    <row r="3003">
      <c r="A3003" s="4">
        <f>IFERROR(__xludf.DUMMYFUNCTION("""COMPUTED_VALUE"""),162.0)</f>
        <v>162</v>
      </c>
      <c r="B3003" s="4">
        <f>IFERROR(__xludf.DUMMYFUNCTION("""COMPUTED_VALUE"""),162.0)</f>
        <v>162</v>
      </c>
      <c r="C3003" s="4" t="str">
        <f>IFERROR(__xludf.DUMMYFUNCTION("""COMPUTED_VALUE"""),"BOS")</f>
        <v>BOS</v>
      </c>
      <c r="D3003" s="4" t="str">
        <f>IFERROR(__xludf.DUMMYFUNCTION("""COMPUTED_VALUE"""),"Chris Remley")</f>
        <v>Chris Remley</v>
      </c>
      <c r="E3003" s="4" t="str">
        <f>IFERROR(__xludf.DUMMYFUNCTION("""COMPUTED_VALUE"""),"Rutgers University")</f>
        <v>Rutgers University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</row>
    <row r="3005">
      <c r="A3005" s="2">
        <v>1984.0</v>
      </c>
    </row>
    <row r="3006">
      <c r="A3006" s="4" t="str">
        <f>IFERROR(__xludf.DUMMYFUNCTION("IMPORTHTML(""https://www.basketball-reference.com/draft/NBA_1984.html"", ""table"", 1)"),"")</f>
        <v/>
      </c>
      <c r="B3006" s="4"/>
      <c r="C3006" s="4"/>
      <c r="D3006" s="4" t="str">
        <f>IFERROR(__xludf.DUMMYFUNCTION("""COMPUTED_VALUE"""),"Round 1")</f>
        <v>Round 1</v>
      </c>
      <c r="E3006" s="4"/>
      <c r="F3006" s="4"/>
      <c r="G3006" s="4" t="str">
        <f>IFERROR(__xludf.DUMMYFUNCTION("""COMPUTED_VALUE"""),"Totals")</f>
        <v>Totals</v>
      </c>
      <c r="H3006" s="4"/>
      <c r="I3006" s="4"/>
      <c r="J3006" s="4"/>
      <c r="K3006" s="4"/>
      <c r="L3006" s="4" t="str">
        <f>IFERROR(__xludf.DUMMYFUNCTION("""COMPUTED_VALUE"""),"Shooting")</f>
        <v>Shooting</v>
      </c>
      <c r="M3006" s="4"/>
      <c r="N3006" s="4"/>
      <c r="O3006" s="4" t="str">
        <f>IFERROR(__xludf.DUMMYFUNCTION("""COMPUTED_VALUE"""),"Per Game")</f>
        <v>Per Game</v>
      </c>
      <c r="P3006" s="4"/>
      <c r="Q3006" s="4"/>
      <c r="R3006" s="4"/>
      <c r="S3006" s="4" t="str">
        <f>IFERROR(__xludf.DUMMYFUNCTION("""COMPUTED_VALUE"""),"Advanced")</f>
        <v>Advanced</v>
      </c>
      <c r="T3006" s="4"/>
      <c r="U3006" s="4"/>
      <c r="V3006" s="4"/>
    </row>
    <row r="3007">
      <c r="A3007" s="4" t="str">
        <f>IFERROR(__xludf.DUMMYFUNCTION("""COMPUTED_VALUE"""),"Rk")</f>
        <v>Rk</v>
      </c>
      <c r="B3007" s="4" t="str">
        <f>IFERROR(__xludf.DUMMYFUNCTION("""COMPUTED_VALUE"""),"Pk")</f>
        <v>Pk</v>
      </c>
      <c r="C3007" s="4" t="str">
        <f>IFERROR(__xludf.DUMMYFUNCTION("""COMPUTED_VALUE"""),"Tm")</f>
        <v>Tm</v>
      </c>
      <c r="D3007" s="4" t="str">
        <f>IFERROR(__xludf.DUMMYFUNCTION("""COMPUTED_VALUE"""),"Player")</f>
        <v>Player</v>
      </c>
      <c r="E3007" s="4" t="str">
        <f>IFERROR(__xludf.DUMMYFUNCTION("""COMPUTED_VALUE"""),"College")</f>
        <v>College</v>
      </c>
      <c r="F3007" s="4" t="str">
        <f>IFERROR(__xludf.DUMMYFUNCTION("""COMPUTED_VALUE"""),"Yrs")</f>
        <v>Yrs</v>
      </c>
      <c r="G3007" s="4" t="str">
        <f>IFERROR(__xludf.DUMMYFUNCTION("""COMPUTED_VALUE"""),"G")</f>
        <v>G</v>
      </c>
      <c r="H3007" s="4" t="str">
        <f>IFERROR(__xludf.DUMMYFUNCTION("""COMPUTED_VALUE"""),"MP")</f>
        <v>MP</v>
      </c>
      <c r="I3007" s="4" t="str">
        <f>IFERROR(__xludf.DUMMYFUNCTION("""COMPUTED_VALUE"""),"PTS")</f>
        <v>PTS</v>
      </c>
      <c r="J3007" s="4" t="str">
        <f>IFERROR(__xludf.DUMMYFUNCTION("""COMPUTED_VALUE"""),"TRB")</f>
        <v>TRB</v>
      </c>
      <c r="K3007" s="4" t="str">
        <f>IFERROR(__xludf.DUMMYFUNCTION("""COMPUTED_VALUE"""),"AST")</f>
        <v>AST</v>
      </c>
      <c r="L3007" s="4" t="str">
        <f>IFERROR(__xludf.DUMMYFUNCTION("""COMPUTED_VALUE"""),"FG%")</f>
        <v>FG%</v>
      </c>
      <c r="M3007" s="4" t="str">
        <f>IFERROR(__xludf.DUMMYFUNCTION("""COMPUTED_VALUE"""),"3P%")</f>
        <v>3P%</v>
      </c>
      <c r="N3007" s="4" t="str">
        <f>IFERROR(__xludf.DUMMYFUNCTION("""COMPUTED_VALUE"""),"FT%")</f>
        <v>FT%</v>
      </c>
      <c r="O3007" s="4" t="str">
        <f>IFERROR(__xludf.DUMMYFUNCTION("""COMPUTED_VALUE"""),"MP")</f>
        <v>MP</v>
      </c>
      <c r="P3007" s="4" t="str">
        <f>IFERROR(__xludf.DUMMYFUNCTION("""COMPUTED_VALUE"""),"PTS")</f>
        <v>PTS</v>
      </c>
      <c r="Q3007" s="4" t="str">
        <f>IFERROR(__xludf.DUMMYFUNCTION("""COMPUTED_VALUE"""),"TRB")</f>
        <v>TRB</v>
      </c>
      <c r="R3007" s="4" t="str">
        <f>IFERROR(__xludf.DUMMYFUNCTION("""COMPUTED_VALUE"""),"AST")</f>
        <v>AST</v>
      </c>
      <c r="S3007" s="4" t="str">
        <f>IFERROR(__xludf.DUMMYFUNCTION("""COMPUTED_VALUE"""),"WS")</f>
        <v>WS</v>
      </c>
      <c r="T3007" s="4" t="str">
        <f>IFERROR(__xludf.DUMMYFUNCTION("""COMPUTED_VALUE"""),"WS/48")</f>
        <v>WS/48</v>
      </c>
      <c r="U3007" s="4" t="str">
        <f>IFERROR(__xludf.DUMMYFUNCTION("""COMPUTED_VALUE"""),"BPM")</f>
        <v>BPM</v>
      </c>
      <c r="V3007" s="4" t="str">
        <f>IFERROR(__xludf.DUMMYFUNCTION("""COMPUTED_VALUE"""),"VORP")</f>
        <v>VORP</v>
      </c>
    </row>
    <row r="3008">
      <c r="A3008" s="4">
        <f>IFERROR(__xludf.DUMMYFUNCTION("""COMPUTED_VALUE"""),1.0)</f>
        <v>1</v>
      </c>
      <c r="B3008" s="4">
        <f>IFERROR(__xludf.DUMMYFUNCTION("""COMPUTED_VALUE"""),1.0)</f>
        <v>1</v>
      </c>
      <c r="C3008" s="4" t="str">
        <f>IFERROR(__xludf.DUMMYFUNCTION("""COMPUTED_VALUE"""),"HOU")</f>
        <v>HOU</v>
      </c>
      <c r="D3008" s="4" t="str">
        <f>IFERROR(__xludf.DUMMYFUNCTION("""COMPUTED_VALUE"""),"Hakeem Olajuwon")</f>
        <v>Hakeem Olajuwon</v>
      </c>
      <c r="E3008" s="4" t="str">
        <f>IFERROR(__xludf.DUMMYFUNCTION("""COMPUTED_VALUE"""),"Houston")</f>
        <v>Houston</v>
      </c>
      <c r="F3008" s="4">
        <f>IFERROR(__xludf.DUMMYFUNCTION("""COMPUTED_VALUE"""),18.0)</f>
        <v>18</v>
      </c>
      <c r="G3008" s="4">
        <f>IFERROR(__xludf.DUMMYFUNCTION("""COMPUTED_VALUE"""),1238.0)</f>
        <v>1238</v>
      </c>
      <c r="H3008" s="4">
        <f>IFERROR(__xludf.DUMMYFUNCTION("""COMPUTED_VALUE"""),44222.0)</f>
        <v>44222</v>
      </c>
      <c r="I3008" s="4">
        <f>IFERROR(__xludf.DUMMYFUNCTION("""COMPUTED_VALUE"""),26946.0)</f>
        <v>26946</v>
      </c>
      <c r="J3008" s="4">
        <f>IFERROR(__xludf.DUMMYFUNCTION("""COMPUTED_VALUE"""),13748.0)</f>
        <v>13748</v>
      </c>
      <c r="K3008" s="4">
        <f>IFERROR(__xludf.DUMMYFUNCTION("""COMPUTED_VALUE"""),3058.0)</f>
        <v>3058</v>
      </c>
      <c r="L3008" s="4">
        <f>IFERROR(__xludf.DUMMYFUNCTION("""COMPUTED_VALUE"""),0.512)</f>
        <v>0.512</v>
      </c>
      <c r="M3008" s="4">
        <f>IFERROR(__xludf.DUMMYFUNCTION("""COMPUTED_VALUE"""),0.202)</f>
        <v>0.202</v>
      </c>
      <c r="N3008" s="4">
        <f>IFERROR(__xludf.DUMMYFUNCTION("""COMPUTED_VALUE"""),0.712)</f>
        <v>0.712</v>
      </c>
      <c r="O3008" s="4">
        <f>IFERROR(__xludf.DUMMYFUNCTION("""COMPUTED_VALUE"""),35.7)</f>
        <v>35.7</v>
      </c>
      <c r="P3008" s="4">
        <f>IFERROR(__xludf.DUMMYFUNCTION("""COMPUTED_VALUE"""),21.8)</f>
        <v>21.8</v>
      </c>
      <c r="Q3008" s="4">
        <f>IFERROR(__xludf.DUMMYFUNCTION("""COMPUTED_VALUE"""),11.1)</f>
        <v>11.1</v>
      </c>
      <c r="R3008" s="4">
        <f>IFERROR(__xludf.DUMMYFUNCTION("""COMPUTED_VALUE"""),2.5)</f>
        <v>2.5</v>
      </c>
      <c r="S3008" s="4">
        <f>IFERROR(__xludf.DUMMYFUNCTION("""COMPUTED_VALUE"""),162.8)</f>
        <v>162.8</v>
      </c>
      <c r="T3008" s="4">
        <f>IFERROR(__xludf.DUMMYFUNCTION("""COMPUTED_VALUE"""),0.177)</f>
        <v>0.177</v>
      </c>
      <c r="U3008" s="4">
        <f>IFERROR(__xludf.DUMMYFUNCTION("""COMPUTED_VALUE"""),4.6)</f>
        <v>4.6</v>
      </c>
      <c r="V3008" s="4">
        <f>IFERROR(__xludf.DUMMYFUNCTION("""COMPUTED_VALUE"""),74.2)</f>
        <v>74.2</v>
      </c>
    </row>
    <row r="3009">
      <c r="A3009" s="4">
        <f>IFERROR(__xludf.DUMMYFUNCTION("""COMPUTED_VALUE"""),2.0)</f>
        <v>2</v>
      </c>
      <c r="B3009" s="4">
        <f>IFERROR(__xludf.DUMMYFUNCTION("""COMPUTED_VALUE"""),2.0)</f>
        <v>2</v>
      </c>
      <c r="C3009" s="4" t="str">
        <f>IFERROR(__xludf.DUMMYFUNCTION("""COMPUTED_VALUE"""),"POR")</f>
        <v>POR</v>
      </c>
      <c r="D3009" s="4" t="str">
        <f>IFERROR(__xludf.DUMMYFUNCTION("""COMPUTED_VALUE"""),"Sam Bowie")</f>
        <v>Sam Bowie</v>
      </c>
      <c r="E3009" s="4" t="str">
        <f>IFERROR(__xludf.DUMMYFUNCTION("""COMPUTED_VALUE"""),"Kentucky")</f>
        <v>Kentucky</v>
      </c>
      <c r="F3009" s="4">
        <f>IFERROR(__xludf.DUMMYFUNCTION("""COMPUTED_VALUE"""),10.0)</f>
        <v>10</v>
      </c>
      <c r="G3009" s="4">
        <f>IFERROR(__xludf.DUMMYFUNCTION("""COMPUTED_VALUE"""),511.0)</f>
        <v>511</v>
      </c>
      <c r="H3009" s="4">
        <f>IFERROR(__xludf.DUMMYFUNCTION("""COMPUTED_VALUE"""),14098.0)</f>
        <v>14098</v>
      </c>
      <c r="I3009" s="4">
        <f>IFERROR(__xludf.DUMMYFUNCTION("""COMPUTED_VALUE"""),5564.0)</f>
        <v>5564</v>
      </c>
      <c r="J3009" s="4">
        <f>IFERROR(__xludf.DUMMYFUNCTION("""COMPUTED_VALUE"""),3845.0)</f>
        <v>3845</v>
      </c>
      <c r="K3009" s="4">
        <f>IFERROR(__xludf.DUMMYFUNCTION("""COMPUTED_VALUE"""),1075.0)</f>
        <v>1075</v>
      </c>
      <c r="L3009" s="4">
        <f>IFERROR(__xludf.DUMMYFUNCTION("""COMPUTED_VALUE"""),0.452)</f>
        <v>0.452</v>
      </c>
      <c r="M3009" s="4">
        <f>IFERROR(__xludf.DUMMYFUNCTION("""COMPUTED_VALUE"""),0.302)</f>
        <v>0.302</v>
      </c>
      <c r="N3009" s="4">
        <f>IFERROR(__xludf.DUMMYFUNCTION("""COMPUTED_VALUE"""),0.748)</f>
        <v>0.748</v>
      </c>
      <c r="O3009" s="4">
        <f>IFERROR(__xludf.DUMMYFUNCTION("""COMPUTED_VALUE"""),27.6)</f>
        <v>27.6</v>
      </c>
      <c r="P3009" s="4">
        <f>IFERROR(__xludf.DUMMYFUNCTION("""COMPUTED_VALUE"""),10.9)</f>
        <v>10.9</v>
      </c>
      <c r="Q3009" s="4">
        <f>IFERROR(__xludf.DUMMYFUNCTION("""COMPUTED_VALUE"""),7.5)</f>
        <v>7.5</v>
      </c>
      <c r="R3009" s="4">
        <f>IFERROR(__xludf.DUMMYFUNCTION("""COMPUTED_VALUE"""),2.1)</f>
        <v>2.1</v>
      </c>
      <c r="S3009" s="4">
        <f>IFERROR(__xludf.DUMMYFUNCTION("""COMPUTED_VALUE"""),26.9)</f>
        <v>26.9</v>
      </c>
      <c r="T3009" s="4">
        <f>IFERROR(__xludf.DUMMYFUNCTION("""COMPUTED_VALUE"""),0.091)</f>
        <v>0.091</v>
      </c>
      <c r="U3009" s="4">
        <f>IFERROR(__xludf.DUMMYFUNCTION("""COMPUTED_VALUE"""),-0.3)</f>
        <v>-0.3</v>
      </c>
      <c r="V3009" s="4">
        <f>IFERROR(__xludf.DUMMYFUNCTION("""COMPUTED_VALUE"""),6.2)</f>
        <v>6.2</v>
      </c>
    </row>
    <row r="3010">
      <c r="A3010" s="4">
        <f>IFERROR(__xludf.DUMMYFUNCTION("""COMPUTED_VALUE"""),3.0)</f>
        <v>3</v>
      </c>
      <c r="B3010" s="4">
        <f>IFERROR(__xludf.DUMMYFUNCTION("""COMPUTED_VALUE"""),3.0)</f>
        <v>3</v>
      </c>
      <c r="C3010" s="4" t="str">
        <f>IFERROR(__xludf.DUMMYFUNCTION("""COMPUTED_VALUE"""),"CHI")</f>
        <v>CHI</v>
      </c>
      <c r="D3010" s="4" t="str">
        <f>IFERROR(__xludf.DUMMYFUNCTION("""COMPUTED_VALUE"""),"Michael Jordan")</f>
        <v>Michael Jordan</v>
      </c>
      <c r="E3010" s="4" t="str">
        <f>IFERROR(__xludf.DUMMYFUNCTION("""COMPUTED_VALUE"""),"UNC")</f>
        <v>UNC</v>
      </c>
      <c r="F3010" s="4">
        <f>IFERROR(__xludf.DUMMYFUNCTION("""COMPUTED_VALUE"""),15.0)</f>
        <v>15</v>
      </c>
      <c r="G3010" s="4">
        <f>IFERROR(__xludf.DUMMYFUNCTION("""COMPUTED_VALUE"""),1072.0)</f>
        <v>1072</v>
      </c>
      <c r="H3010" s="4">
        <f>IFERROR(__xludf.DUMMYFUNCTION("""COMPUTED_VALUE"""),41011.0)</f>
        <v>41011</v>
      </c>
      <c r="I3010" s="4">
        <f>IFERROR(__xludf.DUMMYFUNCTION("""COMPUTED_VALUE"""),32292.0)</f>
        <v>32292</v>
      </c>
      <c r="J3010" s="4">
        <f>IFERROR(__xludf.DUMMYFUNCTION("""COMPUTED_VALUE"""),6672.0)</f>
        <v>6672</v>
      </c>
      <c r="K3010" s="4">
        <f>IFERROR(__xludf.DUMMYFUNCTION("""COMPUTED_VALUE"""),5633.0)</f>
        <v>5633</v>
      </c>
      <c r="L3010" s="4">
        <f>IFERROR(__xludf.DUMMYFUNCTION("""COMPUTED_VALUE"""),0.497)</f>
        <v>0.497</v>
      </c>
      <c r="M3010" s="4">
        <f>IFERROR(__xludf.DUMMYFUNCTION("""COMPUTED_VALUE"""),0.327)</f>
        <v>0.327</v>
      </c>
      <c r="N3010" s="4">
        <f>IFERROR(__xludf.DUMMYFUNCTION("""COMPUTED_VALUE"""),0.835)</f>
        <v>0.835</v>
      </c>
      <c r="O3010" s="4">
        <f>IFERROR(__xludf.DUMMYFUNCTION("""COMPUTED_VALUE"""),38.3)</f>
        <v>38.3</v>
      </c>
      <c r="P3010" s="4">
        <f>IFERROR(__xludf.DUMMYFUNCTION("""COMPUTED_VALUE"""),30.1)</f>
        <v>30.1</v>
      </c>
      <c r="Q3010" s="4">
        <f>IFERROR(__xludf.DUMMYFUNCTION("""COMPUTED_VALUE"""),6.2)</f>
        <v>6.2</v>
      </c>
      <c r="R3010" s="4">
        <f>IFERROR(__xludf.DUMMYFUNCTION("""COMPUTED_VALUE"""),5.3)</f>
        <v>5.3</v>
      </c>
      <c r="S3010" s="4">
        <f>IFERROR(__xludf.DUMMYFUNCTION("""COMPUTED_VALUE"""),214.0)</f>
        <v>214</v>
      </c>
      <c r="T3010" s="4">
        <f>IFERROR(__xludf.DUMMYFUNCTION("""COMPUTED_VALUE"""),0.25)</f>
        <v>0.25</v>
      </c>
      <c r="U3010" s="4">
        <f>IFERROR(__xludf.DUMMYFUNCTION("""COMPUTED_VALUE"""),9.2)</f>
        <v>9.2</v>
      </c>
      <c r="V3010" s="4">
        <f>IFERROR(__xludf.DUMMYFUNCTION("""COMPUTED_VALUE"""),116.1)</f>
        <v>116.1</v>
      </c>
    </row>
    <row r="3011">
      <c r="A3011" s="4">
        <f>IFERROR(__xludf.DUMMYFUNCTION("""COMPUTED_VALUE"""),4.0)</f>
        <v>4</v>
      </c>
      <c r="B3011" s="4">
        <f>IFERROR(__xludf.DUMMYFUNCTION("""COMPUTED_VALUE"""),4.0)</f>
        <v>4</v>
      </c>
      <c r="C3011" s="4" t="str">
        <f>IFERROR(__xludf.DUMMYFUNCTION("""COMPUTED_VALUE"""),"DAL")</f>
        <v>DAL</v>
      </c>
      <c r="D3011" s="4" t="str">
        <f>IFERROR(__xludf.DUMMYFUNCTION("""COMPUTED_VALUE"""),"Sam Perkins")</f>
        <v>Sam Perkins</v>
      </c>
      <c r="E3011" s="4" t="str">
        <f>IFERROR(__xludf.DUMMYFUNCTION("""COMPUTED_VALUE"""),"UNC")</f>
        <v>UNC</v>
      </c>
      <c r="F3011" s="4">
        <f>IFERROR(__xludf.DUMMYFUNCTION("""COMPUTED_VALUE"""),17.0)</f>
        <v>17</v>
      </c>
      <c r="G3011" s="4">
        <f>IFERROR(__xludf.DUMMYFUNCTION("""COMPUTED_VALUE"""),1286.0)</f>
        <v>1286</v>
      </c>
      <c r="H3011" s="4">
        <f>IFERROR(__xludf.DUMMYFUNCTION("""COMPUTED_VALUE"""),36598.0)</f>
        <v>36598</v>
      </c>
      <c r="I3011" s="4">
        <f>IFERROR(__xludf.DUMMYFUNCTION("""COMPUTED_VALUE"""),15324.0)</f>
        <v>15324</v>
      </c>
      <c r="J3011" s="4">
        <f>IFERROR(__xludf.DUMMYFUNCTION("""COMPUTED_VALUE"""),7666.0)</f>
        <v>7666</v>
      </c>
      <c r="K3011" s="4">
        <f>IFERROR(__xludf.DUMMYFUNCTION("""COMPUTED_VALUE"""),1975.0)</f>
        <v>1975</v>
      </c>
      <c r="L3011" s="4">
        <f>IFERROR(__xludf.DUMMYFUNCTION("""COMPUTED_VALUE"""),0.459)</f>
        <v>0.459</v>
      </c>
      <c r="M3011" s="4">
        <f>IFERROR(__xludf.DUMMYFUNCTION("""COMPUTED_VALUE"""),0.362)</f>
        <v>0.362</v>
      </c>
      <c r="N3011" s="4">
        <f>IFERROR(__xludf.DUMMYFUNCTION("""COMPUTED_VALUE"""),0.811)</f>
        <v>0.811</v>
      </c>
      <c r="O3011" s="4">
        <f>IFERROR(__xludf.DUMMYFUNCTION("""COMPUTED_VALUE"""),28.5)</f>
        <v>28.5</v>
      </c>
      <c r="P3011" s="4">
        <f>IFERROR(__xludf.DUMMYFUNCTION("""COMPUTED_VALUE"""),11.9)</f>
        <v>11.9</v>
      </c>
      <c r="Q3011" s="4">
        <f>IFERROR(__xludf.DUMMYFUNCTION("""COMPUTED_VALUE"""),6.0)</f>
        <v>6</v>
      </c>
      <c r="R3011" s="4">
        <f>IFERROR(__xludf.DUMMYFUNCTION("""COMPUTED_VALUE"""),1.5)</f>
        <v>1.5</v>
      </c>
      <c r="S3011" s="4">
        <f>IFERROR(__xludf.DUMMYFUNCTION("""COMPUTED_VALUE"""),105.4)</f>
        <v>105.4</v>
      </c>
      <c r="T3011" s="4">
        <f>IFERROR(__xludf.DUMMYFUNCTION("""COMPUTED_VALUE"""),0.138)</f>
        <v>0.138</v>
      </c>
      <c r="U3011" s="4">
        <f>IFERROR(__xludf.DUMMYFUNCTION("""COMPUTED_VALUE"""),1.2)</f>
        <v>1.2</v>
      </c>
      <c r="V3011" s="4">
        <f>IFERROR(__xludf.DUMMYFUNCTION("""COMPUTED_VALUE"""),29.1)</f>
        <v>29.1</v>
      </c>
    </row>
    <row r="3012">
      <c r="A3012" s="4">
        <f>IFERROR(__xludf.DUMMYFUNCTION("""COMPUTED_VALUE"""),5.0)</f>
        <v>5</v>
      </c>
      <c r="B3012" s="4">
        <f>IFERROR(__xludf.DUMMYFUNCTION("""COMPUTED_VALUE"""),5.0)</f>
        <v>5</v>
      </c>
      <c r="C3012" s="4" t="str">
        <f>IFERROR(__xludf.DUMMYFUNCTION("""COMPUTED_VALUE"""),"PHI")</f>
        <v>PHI</v>
      </c>
      <c r="D3012" s="4" t="str">
        <f>IFERROR(__xludf.DUMMYFUNCTION("""COMPUTED_VALUE"""),"Charles Barkley")</f>
        <v>Charles Barkley</v>
      </c>
      <c r="E3012" s="4" t="str">
        <f>IFERROR(__xludf.DUMMYFUNCTION("""COMPUTED_VALUE"""),"Auburn")</f>
        <v>Auburn</v>
      </c>
      <c r="F3012" s="4">
        <f>IFERROR(__xludf.DUMMYFUNCTION("""COMPUTED_VALUE"""),16.0)</f>
        <v>16</v>
      </c>
      <c r="G3012" s="4">
        <f>IFERROR(__xludf.DUMMYFUNCTION("""COMPUTED_VALUE"""),1073.0)</f>
        <v>1073</v>
      </c>
      <c r="H3012" s="4">
        <f>IFERROR(__xludf.DUMMYFUNCTION("""COMPUTED_VALUE"""),39330.0)</f>
        <v>39330</v>
      </c>
      <c r="I3012" s="4">
        <f>IFERROR(__xludf.DUMMYFUNCTION("""COMPUTED_VALUE"""),23757.0)</f>
        <v>23757</v>
      </c>
      <c r="J3012" s="4">
        <f>IFERROR(__xludf.DUMMYFUNCTION("""COMPUTED_VALUE"""),12546.0)</f>
        <v>12546</v>
      </c>
      <c r="K3012" s="4">
        <f>IFERROR(__xludf.DUMMYFUNCTION("""COMPUTED_VALUE"""),4215.0)</f>
        <v>4215</v>
      </c>
      <c r="L3012" s="4">
        <f>IFERROR(__xludf.DUMMYFUNCTION("""COMPUTED_VALUE"""),0.541)</f>
        <v>0.541</v>
      </c>
      <c r="M3012" s="4">
        <f>IFERROR(__xludf.DUMMYFUNCTION("""COMPUTED_VALUE"""),0.266)</f>
        <v>0.266</v>
      </c>
      <c r="N3012" s="4">
        <f>IFERROR(__xludf.DUMMYFUNCTION("""COMPUTED_VALUE"""),0.735)</f>
        <v>0.735</v>
      </c>
      <c r="O3012" s="4">
        <f>IFERROR(__xludf.DUMMYFUNCTION("""COMPUTED_VALUE"""),36.7)</f>
        <v>36.7</v>
      </c>
      <c r="P3012" s="4">
        <f>IFERROR(__xludf.DUMMYFUNCTION("""COMPUTED_VALUE"""),22.1)</f>
        <v>22.1</v>
      </c>
      <c r="Q3012" s="4">
        <f>IFERROR(__xludf.DUMMYFUNCTION("""COMPUTED_VALUE"""),11.7)</f>
        <v>11.7</v>
      </c>
      <c r="R3012" s="4">
        <f>IFERROR(__xludf.DUMMYFUNCTION("""COMPUTED_VALUE"""),3.9)</f>
        <v>3.9</v>
      </c>
      <c r="S3012" s="4">
        <f>IFERROR(__xludf.DUMMYFUNCTION("""COMPUTED_VALUE"""),177.2)</f>
        <v>177.2</v>
      </c>
      <c r="T3012" s="4">
        <f>IFERROR(__xludf.DUMMYFUNCTION("""COMPUTED_VALUE"""),0.216)</f>
        <v>0.216</v>
      </c>
      <c r="U3012" s="4">
        <f>IFERROR(__xludf.DUMMYFUNCTION("""COMPUTED_VALUE"""),6.1)</f>
        <v>6.1</v>
      </c>
      <c r="V3012" s="4">
        <f>IFERROR(__xludf.DUMMYFUNCTION("""COMPUTED_VALUE"""),80.5)</f>
        <v>80.5</v>
      </c>
    </row>
    <row r="3013">
      <c r="A3013" s="4">
        <f>IFERROR(__xludf.DUMMYFUNCTION("""COMPUTED_VALUE"""),6.0)</f>
        <v>6</v>
      </c>
      <c r="B3013" s="4">
        <f>IFERROR(__xludf.DUMMYFUNCTION("""COMPUTED_VALUE"""),6.0)</f>
        <v>6</v>
      </c>
      <c r="C3013" s="4" t="str">
        <f>IFERROR(__xludf.DUMMYFUNCTION("""COMPUTED_VALUE"""),"WSB")</f>
        <v>WSB</v>
      </c>
      <c r="D3013" s="4" t="str">
        <f>IFERROR(__xludf.DUMMYFUNCTION("""COMPUTED_VALUE"""),"Melvin Turpin")</f>
        <v>Melvin Turpin</v>
      </c>
      <c r="E3013" s="4" t="str">
        <f>IFERROR(__xludf.DUMMYFUNCTION("""COMPUTED_VALUE"""),"Kentucky")</f>
        <v>Kentucky</v>
      </c>
      <c r="F3013" s="4">
        <f>IFERROR(__xludf.DUMMYFUNCTION("""COMPUTED_VALUE"""),5.0)</f>
        <v>5</v>
      </c>
      <c r="G3013" s="4">
        <f>IFERROR(__xludf.DUMMYFUNCTION("""COMPUTED_VALUE"""),361.0)</f>
        <v>361</v>
      </c>
      <c r="H3013" s="4">
        <f>IFERROR(__xludf.DUMMYFUNCTION("""COMPUTED_VALUE"""),6871.0)</f>
        <v>6871</v>
      </c>
      <c r="I3013" s="4">
        <f>IFERROR(__xludf.DUMMYFUNCTION("""COMPUTED_VALUE"""),3071.0)</f>
        <v>3071</v>
      </c>
      <c r="J3013" s="4">
        <f>IFERROR(__xludf.DUMMYFUNCTION("""COMPUTED_VALUE"""),1655.0)</f>
        <v>1655</v>
      </c>
      <c r="K3013" s="4">
        <f>IFERROR(__xludf.DUMMYFUNCTION("""COMPUTED_VALUE"""),183.0)</f>
        <v>183</v>
      </c>
      <c r="L3013" s="4">
        <f>IFERROR(__xludf.DUMMYFUNCTION("""COMPUTED_VALUE"""),0.516)</f>
        <v>0.516</v>
      </c>
      <c r="M3013" s="4">
        <f>IFERROR(__xludf.DUMMYFUNCTION("""COMPUTED_VALUE"""),0.111)</f>
        <v>0.111</v>
      </c>
      <c r="N3013" s="4">
        <f>IFERROR(__xludf.DUMMYFUNCTION("""COMPUTED_VALUE"""),0.777)</f>
        <v>0.777</v>
      </c>
      <c r="O3013" s="4">
        <f>IFERROR(__xludf.DUMMYFUNCTION("""COMPUTED_VALUE"""),19.0)</f>
        <v>19</v>
      </c>
      <c r="P3013" s="4">
        <f>IFERROR(__xludf.DUMMYFUNCTION("""COMPUTED_VALUE"""),8.5)</f>
        <v>8.5</v>
      </c>
      <c r="Q3013" s="4">
        <f>IFERROR(__xludf.DUMMYFUNCTION("""COMPUTED_VALUE"""),4.6)</f>
        <v>4.6</v>
      </c>
      <c r="R3013" s="4">
        <f>IFERROR(__xludf.DUMMYFUNCTION("""COMPUTED_VALUE"""),0.5)</f>
        <v>0.5</v>
      </c>
      <c r="S3013" s="4">
        <f>IFERROR(__xludf.DUMMYFUNCTION("""COMPUTED_VALUE"""),13.7)</f>
        <v>13.7</v>
      </c>
      <c r="T3013" s="4">
        <f>IFERROR(__xludf.DUMMYFUNCTION("""COMPUTED_VALUE"""),0.096)</f>
        <v>0.096</v>
      </c>
      <c r="U3013" s="4">
        <f>IFERROR(__xludf.DUMMYFUNCTION("""COMPUTED_VALUE"""),-1.3)</f>
        <v>-1.3</v>
      </c>
      <c r="V3013" s="4">
        <f>IFERROR(__xludf.DUMMYFUNCTION("""COMPUTED_VALUE"""),1.2)</f>
        <v>1.2</v>
      </c>
    </row>
    <row r="3014">
      <c r="A3014" s="4">
        <f>IFERROR(__xludf.DUMMYFUNCTION("""COMPUTED_VALUE"""),7.0)</f>
        <v>7</v>
      </c>
      <c r="B3014" s="4">
        <f>IFERROR(__xludf.DUMMYFUNCTION("""COMPUTED_VALUE"""),7.0)</f>
        <v>7</v>
      </c>
      <c r="C3014" s="4" t="str">
        <f>IFERROR(__xludf.DUMMYFUNCTION("""COMPUTED_VALUE"""),"SAS")</f>
        <v>SAS</v>
      </c>
      <c r="D3014" s="4" t="str">
        <f>IFERROR(__xludf.DUMMYFUNCTION("""COMPUTED_VALUE"""),"Alvin Robertson")</f>
        <v>Alvin Robertson</v>
      </c>
      <c r="E3014" s="4" t="str">
        <f>IFERROR(__xludf.DUMMYFUNCTION("""COMPUTED_VALUE"""),"Arkansas")</f>
        <v>Arkansas</v>
      </c>
      <c r="F3014" s="4">
        <f>IFERROR(__xludf.DUMMYFUNCTION("""COMPUTED_VALUE"""),10.0)</f>
        <v>10</v>
      </c>
      <c r="G3014" s="4">
        <f>IFERROR(__xludf.DUMMYFUNCTION("""COMPUTED_VALUE"""),779.0)</f>
        <v>779</v>
      </c>
      <c r="H3014" s="4">
        <f>IFERROR(__xludf.DUMMYFUNCTION("""COMPUTED_VALUE"""),24669.0)</f>
        <v>24669</v>
      </c>
      <c r="I3014" s="4">
        <f>IFERROR(__xludf.DUMMYFUNCTION("""COMPUTED_VALUE"""),10882.0)</f>
        <v>10882</v>
      </c>
      <c r="J3014" s="4">
        <f>IFERROR(__xludf.DUMMYFUNCTION("""COMPUTED_VALUE"""),4066.0)</f>
        <v>4066</v>
      </c>
      <c r="K3014" s="4">
        <f>IFERROR(__xludf.DUMMYFUNCTION("""COMPUTED_VALUE"""),3929.0)</f>
        <v>3929</v>
      </c>
      <c r="L3014" s="4">
        <f>IFERROR(__xludf.DUMMYFUNCTION("""COMPUTED_VALUE"""),0.477)</f>
        <v>0.477</v>
      </c>
      <c r="M3014" s="4">
        <f>IFERROR(__xludf.DUMMYFUNCTION("""COMPUTED_VALUE"""),0.295)</f>
        <v>0.295</v>
      </c>
      <c r="N3014" s="4">
        <f>IFERROR(__xludf.DUMMYFUNCTION("""COMPUTED_VALUE"""),0.743)</f>
        <v>0.743</v>
      </c>
      <c r="O3014" s="4">
        <f>IFERROR(__xludf.DUMMYFUNCTION("""COMPUTED_VALUE"""),31.7)</f>
        <v>31.7</v>
      </c>
      <c r="P3014" s="4">
        <f>IFERROR(__xludf.DUMMYFUNCTION("""COMPUTED_VALUE"""),14.0)</f>
        <v>14</v>
      </c>
      <c r="Q3014" s="4">
        <f>IFERROR(__xludf.DUMMYFUNCTION("""COMPUTED_VALUE"""),5.2)</f>
        <v>5.2</v>
      </c>
      <c r="R3014" s="4">
        <f>IFERROR(__xludf.DUMMYFUNCTION("""COMPUTED_VALUE"""),5.0)</f>
        <v>5</v>
      </c>
      <c r="S3014" s="4">
        <f>IFERROR(__xludf.DUMMYFUNCTION("""COMPUTED_VALUE"""),52.1)</f>
        <v>52.1</v>
      </c>
      <c r="T3014" s="4">
        <f>IFERROR(__xludf.DUMMYFUNCTION("""COMPUTED_VALUE"""),0.101)</f>
        <v>0.101</v>
      </c>
      <c r="U3014" s="4">
        <f>IFERROR(__xludf.DUMMYFUNCTION("""COMPUTED_VALUE"""),2.6)</f>
        <v>2.6</v>
      </c>
      <c r="V3014" s="4">
        <f>IFERROR(__xludf.DUMMYFUNCTION("""COMPUTED_VALUE"""),28.3)</f>
        <v>28.3</v>
      </c>
    </row>
    <row r="3015">
      <c r="A3015" s="4">
        <f>IFERROR(__xludf.DUMMYFUNCTION("""COMPUTED_VALUE"""),8.0)</f>
        <v>8</v>
      </c>
      <c r="B3015" s="4">
        <f>IFERROR(__xludf.DUMMYFUNCTION("""COMPUTED_VALUE"""),8.0)</f>
        <v>8</v>
      </c>
      <c r="C3015" s="4" t="str">
        <f>IFERROR(__xludf.DUMMYFUNCTION("""COMPUTED_VALUE"""),"LAC")</f>
        <v>LAC</v>
      </c>
      <c r="D3015" s="4" t="str">
        <f>IFERROR(__xludf.DUMMYFUNCTION("""COMPUTED_VALUE"""),"Lancaster Gordon")</f>
        <v>Lancaster Gordon</v>
      </c>
      <c r="E3015" s="4" t="str">
        <f>IFERROR(__xludf.DUMMYFUNCTION("""COMPUTED_VALUE"""),"Louisville")</f>
        <v>Louisville</v>
      </c>
      <c r="F3015" s="4">
        <f>IFERROR(__xludf.DUMMYFUNCTION("""COMPUTED_VALUE"""),4.0)</f>
        <v>4</v>
      </c>
      <c r="G3015" s="4">
        <f>IFERROR(__xludf.DUMMYFUNCTION("""COMPUTED_VALUE"""),201.0)</f>
        <v>201</v>
      </c>
      <c r="H3015" s="4">
        <f>IFERROR(__xludf.DUMMYFUNCTION("""COMPUTED_VALUE"""),2581.0)</f>
        <v>2581</v>
      </c>
      <c r="I3015" s="4">
        <f>IFERROR(__xludf.DUMMYFUNCTION("""COMPUTED_VALUE"""),1125.0)</f>
        <v>1125</v>
      </c>
      <c r="J3015" s="4">
        <f>IFERROR(__xludf.DUMMYFUNCTION("""COMPUTED_VALUE"""),259.0)</f>
        <v>259</v>
      </c>
      <c r="K3015" s="4">
        <f>IFERROR(__xludf.DUMMYFUNCTION("""COMPUTED_VALUE"""),294.0)</f>
        <v>294</v>
      </c>
      <c r="L3015" s="4">
        <f>IFERROR(__xludf.DUMMYFUNCTION("""COMPUTED_VALUE"""),0.391)</f>
        <v>0.391</v>
      </c>
      <c r="M3015" s="4">
        <f>IFERROR(__xludf.DUMMYFUNCTION("""COMPUTED_VALUE"""),0.271)</f>
        <v>0.271</v>
      </c>
      <c r="N3015" s="4">
        <f>IFERROR(__xludf.DUMMYFUNCTION("""COMPUTED_VALUE"""),0.767)</f>
        <v>0.767</v>
      </c>
      <c r="O3015" s="4">
        <f>IFERROR(__xludf.DUMMYFUNCTION("""COMPUTED_VALUE"""),12.8)</f>
        <v>12.8</v>
      </c>
      <c r="P3015" s="4">
        <f>IFERROR(__xludf.DUMMYFUNCTION("""COMPUTED_VALUE"""),5.6)</f>
        <v>5.6</v>
      </c>
      <c r="Q3015" s="4">
        <f>IFERROR(__xludf.DUMMYFUNCTION("""COMPUTED_VALUE"""),1.3)</f>
        <v>1.3</v>
      </c>
      <c r="R3015" s="4">
        <f>IFERROR(__xludf.DUMMYFUNCTION("""COMPUTED_VALUE"""),1.5)</f>
        <v>1.5</v>
      </c>
      <c r="S3015" s="4">
        <f>IFERROR(__xludf.DUMMYFUNCTION("""COMPUTED_VALUE"""),-2.7)</f>
        <v>-2.7</v>
      </c>
      <c r="T3015" s="4">
        <f>IFERROR(__xludf.DUMMYFUNCTION("""COMPUTED_VALUE"""),-0.05)</f>
        <v>-0.05</v>
      </c>
      <c r="U3015" s="4">
        <f>IFERROR(__xludf.DUMMYFUNCTION("""COMPUTED_VALUE"""),-5.4)</f>
        <v>-5.4</v>
      </c>
      <c r="V3015" s="4">
        <f>IFERROR(__xludf.DUMMYFUNCTION("""COMPUTED_VALUE"""),-2.2)</f>
        <v>-2.2</v>
      </c>
    </row>
    <row r="3016">
      <c r="A3016" s="4">
        <f>IFERROR(__xludf.DUMMYFUNCTION("""COMPUTED_VALUE"""),9.0)</f>
        <v>9</v>
      </c>
      <c r="B3016" s="4">
        <f>IFERROR(__xludf.DUMMYFUNCTION("""COMPUTED_VALUE"""),9.0)</f>
        <v>9</v>
      </c>
      <c r="C3016" s="4" t="str">
        <f>IFERROR(__xludf.DUMMYFUNCTION("""COMPUTED_VALUE"""),"KCK")</f>
        <v>KCK</v>
      </c>
      <c r="D3016" s="4" t="str">
        <f>IFERROR(__xludf.DUMMYFUNCTION("""COMPUTED_VALUE"""),"Otis Thorpe")</f>
        <v>Otis Thorpe</v>
      </c>
      <c r="E3016" s="4" t="str">
        <f>IFERROR(__xludf.DUMMYFUNCTION("""COMPUTED_VALUE"""),"Providence")</f>
        <v>Providence</v>
      </c>
      <c r="F3016" s="4">
        <f>IFERROR(__xludf.DUMMYFUNCTION("""COMPUTED_VALUE"""),17.0)</f>
        <v>17</v>
      </c>
      <c r="G3016" s="4">
        <f>IFERROR(__xludf.DUMMYFUNCTION("""COMPUTED_VALUE"""),1257.0)</f>
        <v>1257</v>
      </c>
      <c r="H3016" s="4">
        <f>IFERROR(__xludf.DUMMYFUNCTION("""COMPUTED_VALUE"""),39822.0)</f>
        <v>39822</v>
      </c>
      <c r="I3016" s="4">
        <f>IFERROR(__xludf.DUMMYFUNCTION("""COMPUTED_VALUE"""),17600.0)</f>
        <v>17600</v>
      </c>
      <c r="J3016" s="4">
        <f>IFERROR(__xludf.DUMMYFUNCTION("""COMPUTED_VALUE"""),10370.0)</f>
        <v>10370</v>
      </c>
      <c r="K3016" s="4">
        <f>IFERROR(__xludf.DUMMYFUNCTION("""COMPUTED_VALUE"""),2730.0)</f>
        <v>2730</v>
      </c>
      <c r="L3016" s="4">
        <f>IFERROR(__xludf.DUMMYFUNCTION("""COMPUTED_VALUE"""),0.546)</f>
        <v>0.546</v>
      </c>
      <c r="M3016" s="4">
        <f>IFERROR(__xludf.DUMMYFUNCTION("""COMPUTED_VALUE"""),0.047)</f>
        <v>0.047</v>
      </c>
      <c r="N3016" s="4">
        <f>IFERROR(__xludf.DUMMYFUNCTION("""COMPUTED_VALUE"""),0.687)</f>
        <v>0.687</v>
      </c>
      <c r="O3016" s="4">
        <f>IFERROR(__xludf.DUMMYFUNCTION("""COMPUTED_VALUE"""),31.7)</f>
        <v>31.7</v>
      </c>
      <c r="P3016" s="4">
        <f>IFERROR(__xludf.DUMMYFUNCTION("""COMPUTED_VALUE"""),14.0)</f>
        <v>14</v>
      </c>
      <c r="Q3016" s="4">
        <f>IFERROR(__xludf.DUMMYFUNCTION("""COMPUTED_VALUE"""),8.2)</f>
        <v>8.2</v>
      </c>
      <c r="R3016" s="4">
        <f>IFERROR(__xludf.DUMMYFUNCTION("""COMPUTED_VALUE"""),2.2)</f>
        <v>2.2</v>
      </c>
      <c r="S3016" s="4">
        <f>IFERROR(__xludf.DUMMYFUNCTION("""COMPUTED_VALUE"""),106.4)</f>
        <v>106.4</v>
      </c>
      <c r="T3016" s="4">
        <f>IFERROR(__xludf.DUMMYFUNCTION("""COMPUTED_VALUE"""),0.128)</f>
        <v>0.128</v>
      </c>
      <c r="U3016" s="4">
        <f>IFERROR(__xludf.DUMMYFUNCTION("""COMPUTED_VALUE"""),-0.1)</f>
        <v>-0.1</v>
      </c>
      <c r="V3016" s="4">
        <f>IFERROR(__xludf.DUMMYFUNCTION("""COMPUTED_VALUE"""),19.1)</f>
        <v>19.1</v>
      </c>
    </row>
    <row r="3017">
      <c r="A3017" s="4">
        <f>IFERROR(__xludf.DUMMYFUNCTION("""COMPUTED_VALUE"""),10.0)</f>
        <v>10</v>
      </c>
      <c r="B3017" s="4">
        <f>IFERROR(__xludf.DUMMYFUNCTION("""COMPUTED_VALUE"""),10.0)</f>
        <v>10</v>
      </c>
      <c r="C3017" s="4" t="str">
        <f>IFERROR(__xludf.DUMMYFUNCTION("""COMPUTED_VALUE"""),"PHI")</f>
        <v>PHI</v>
      </c>
      <c r="D3017" s="4" t="str">
        <f>IFERROR(__xludf.DUMMYFUNCTION("""COMPUTED_VALUE"""),"Leon Wood")</f>
        <v>Leon Wood</v>
      </c>
      <c r="E3017" s="4" t="str">
        <f>IFERROR(__xludf.DUMMYFUNCTION("""COMPUTED_VALUE"""),"Cal State Fullerton")</f>
        <v>Cal State Fullerton</v>
      </c>
      <c r="F3017" s="4">
        <f>IFERROR(__xludf.DUMMYFUNCTION("""COMPUTED_VALUE"""),6.0)</f>
        <v>6</v>
      </c>
      <c r="G3017" s="4">
        <f>IFERROR(__xludf.DUMMYFUNCTION("""COMPUTED_VALUE"""),274.0)</f>
        <v>274</v>
      </c>
      <c r="H3017" s="4">
        <f>IFERROR(__xludf.DUMMYFUNCTION("""COMPUTED_VALUE"""),4531.0)</f>
        <v>4531</v>
      </c>
      <c r="I3017" s="4">
        <f>IFERROR(__xludf.DUMMYFUNCTION("""COMPUTED_VALUE"""),1742.0)</f>
        <v>1742</v>
      </c>
      <c r="J3017" s="4">
        <f>IFERROR(__xludf.DUMMYFUNCTION("""COMPUTED_VALUE"""),316.0)</f>
        <v>316</v>
      </c>
      <c r="K3017" s="4">
        <f>IFERROR(__xludf.DUMMYFUNCTION("""COMPUTED_VALUE"""),867.0)</f>
        <v>867</v>
      </c>
      <c r="L3017" s="4">
        <f>IFERROR(__xludf.DUMMYFUNCTION("""COMPUTED_VALUE"""),0.392)</f>
        <v>0.392</v>
      </c>
      <c r="M3017" s="4">
        <f>IFERROR(__xludf.DUMMYFUNCTION("""COMPUTED_VALUE"""),0.326)</f>
        <v>0.326</v>
      </c>
      <c r="N3017" s="4">
        <f>IFERROR(__xludf.DUMMYFUNCTION("""COMPUTED_VALUE"""),0.792)</f>
        <v>0.792</v>
      </c>
      <c r="O3017" s="4">
        <f>IFERROR(__xludf.DUMMYFUNCTION("""COMPUTED_VALUE"""),16.5)</f>
        <v>16.5</v>
      </c>
      <c r="P3017" s="4">
        <f>IFERROR(__xludf.DUMMYFUNCTION("""COMPUTED_VALUE"""),6.4)</f>
        <v>6.4</v>
      </c>
      <c r="Q3017" s="4">
        <f>IFERROR(__xludf.DUMMYFUNCTION("""COMPUTED_VALUE"""),1.2)</f>
        <v>1.2</v>
      </c>
      <c r="R3017" s="4">
        <f>IFERROR(__xludf.DUMMYFUNCTION("""COMPUTED_VALUE"""),3.2)</f>
        <v>3.2</v>
      </c>
      <c r="S3017" s="4">
        <f>IFERROR(__xludf.DUMMYFUNCTION("""COMPUTED_VALUE"""),6.7)</f>
        <v>6.7</v>
      </c>
      <c r="T3017" s="4">
        <f>IFERROR(__xludf.DUMMYFUNCTION("""COMPUTED_VALUE"""),0.071)</f>
        <v>0.071</v>
      </c>
      <c r="U3017" s="4">
        <f>IFERROR(__xludf.DUMMYFUNCTION("""COMPUTED_VALUE"""),-1.2)</f>
        <v>-1.2</v>
      </c>
      <c r="V3017" s="4">
        <f>IFERROR(__xludf.DUMMYFUNCTION("""COMPUTED_VALUE"""),0.9)</f>
        <v>0.9</v>
      </c>
    </row>
    <row r="3018">
      <c r="A3018" s="4">
        <f>IFERROR(__xludf.DUMMYFUNCTION("""COMPUTED_VALUE"""),11.0)</f>
        <v>11</v>
      </c>
      <c r="B3018" s="4">
        <f>IFERROR(__xludf.DUMMYFUNCTION("""COMPUTED_VALUE"""),11.0)</f>
        <v>11</v>
      </c>
      <c r="C3018" s="4" t="str">
        <f>IFERROR(__xludf.DUMMYFUNCTION("""COMPUTED_VALUE"""),"ATL")</f>
        <v>ATL</v>
      </c>
      <c r="D3018" s="4" t="str">
        <f>IFERROR(__xludf.DUMMYFUNCTION("""COMPUTED_VALUE"""),"Kevin Willis")</f>
        <v>Kevin Willis</v>
      </c>
      <c r="E3018" s="4" t="str">
        <f>IFERROR(__xludf.DUMMYFUNCTION("""COMPUTED_VALUE"""),"Michigan State")</f>
        <v>Michigan State</v>
      </c>
      <c r="F3018" s="4">
        <f>IFERROR(__xludf.DUMMYFUNCTION("""COMPUTED_VALUE"""),21.0)</f>
        <v>21</v>
      </c>
      <c r="G3018" s="4">
        <f>IFERROR(__xludf.DUMMYFUNCTION("""COMPUTED_VALUE"""),1424.0)</f>
        <v>1424</v>
      </c>
      <c r="H3018" s="4">
        <f>IFERROR(__xludf.DUMMYFUNCTION("""COMPUTED_VALUE"""),38362.0)</f>
        <v>38362</v>
      </c>
      <c r="I3018" s="4">
        <f>IFERROR(__xludf.DUMMYFUNCTION("""COMPUTED_VALUE"""),17253.0)</f>
        <v>17253</v>
      </c>
      <c r="J3018" s="4">
        <f>IFERROR(__xludf.DUMMYFUNCTION("""COMPUTED_VALUE"""),11901.0)</f>
        <v>11901</v>
      </c>
      <c r="K3018" s="4">
        <f>IFERROR(__xludf.DUMMYFUNCTION("""COMPUTED_VALUE"""),1328.0)</f>
        <v>1328</v>
      </c>
      <c r="L3018" s="4">
        <f>IFERROR(__xludf.DUMMYFUNCTION("""COMPUTED_VALUE"""),0.487)</f>
        <v>0.487</v>
      </c>
      <c r="M3018" s="4">
        <f>IFERROR(__xludf.DUMMYFUNCTION("""COMPUTED_VALUE"""),0.211)</f>
        <v>0.211</v>
      </c>
      <c r="N3018" s="4">
        <f>IFERROR(__xludf.DUMMYFUNCTION("""COMPUTED_VALUE"""),0.713)</f>
        <v>0.713</v>
      </c>
      <c r="O3018" s="4">
        <f>IFERROR(__xludf.DUMMYFUNCTION("""COMPUTED_VALUE"""),26.9)</f>
        <v>26.9</v>
      </c>
      <c r="P3018" s="4">
        <f>IFERROR(__xludf.DUMMYFUNCTION("""COMPUTED_VALUE"""),12.1)</f>
        <v>12.1</v>
      </c>
      <c r="Q3018" s="4">
        <f>IFERROR(__xludf.DUMMYFUNCTION("""COMPUTED_VALUE"""),8.4)</f>
        <v>8.4</v>
      </c>
      <c r="R3018" s="4">
        <f>IFERROR(__xludf.DUMMYFUNCTION("""COMPUTED_VALUE"""),0.9)</f>
        <v>0.9</v>
      </c>
      <c r="S3018" s="4">
        <f>IFERROR(__xludf.DUMMYFUNCTION("""COMPUTED_VALUE"""),81.8)</f>
        <v>81.8</v>
      </c>
      <c r="T3018" s="4">
        <f>IFERROR(__xludf.DUMMYFUNCTION("""COMPUTED_VALUE"""),0.102)</f>
        <v>0.102</v>
      </c>
      <c r="U3018" s="4">
        <f>IFERROR(__xludf.DUMMYFUNCTION("""COMPUTED_VALUE"""),-2.1)</f>
        <v>-2.1</v>
      </c>
      <c r="V3018" s="4">
        <f>IFERROR(__xludf.DUMMYFUNCTION("""COMPUTED_VALUE"""),-1.0)</f>
        <v>-1</v>
      </c>
    </row>
    <row r="3019">
      <c r="A3019" s="4">
        <f>IFERROR(__xludf.DUMMYFUNCTION("""COMPUTED_VALUE"""),12.0)</f>
        <v>12</v>
      </c>
      <c r="B3019" s="4">
        <f>IFERROR(__xludf.DUMMYFUNCTION("""COMPUTED_VALUE"""),12.0)</f>
        <v>12</v>
      </c>
      <c r="C3019" s="4" t="str">
        <f>IFERROR(__xludf.DUMMYFUNCTION("""COMPUTED_VALUE"""),"CLE")</f>
        <v>CLE</v>
      </c>
      <c r="D3019" s="4" t="str">
        <f>IFERROR(__xludf.DUMMYFUNCTION("""COMPUTED_VALUE"""),"Tim McCormick")</f>
        <v>Tim McCormick</v>
      </c>
      <c r="E3019" s="4" t="str">
        <f>IFERROR(__xludf.DUMMYFUNCTION("""COMPUTED_VALUE"""),"Michigan")</f>
        <v>Michigan</v>
      </c>
      <c r="F3019" s="4">
        <f>IFERROR(__xludf.DUMMYFUNCTION("""COMPUTED_VALUE"""),8.0)</f>
        <v>8</v>
      </c>
      <c r="G3019" s="4">
        <f>IFERROR(__xludf.DUMMYFUNCTION("""COMPUTED_VALUE"""),483.0)</f>
        <v>483</v>
      </c>
      <c r="H3019" s="4">
        <f>IFERROR(__xludf.DUMMYFUNCTION("""COMPUTED_VALUE"""),10390.0)</f>
        <v>10390</v>
      </c>
      <c r="I3019" s="4">
        <f>IFERROR(__xludf.DUMMYFUNCTION("""COMPUTED_VALUE"""),4030.0)</f>
        <v>4030</v>
      </c>
      <c r="J3019" s="4">
        <f>IFERROR(__xludf.DUMMYFUNCTION("""COMPUTED_VALUE"""),2366.0)</f>
        <v>2366</v>
      </c>
      <c r="K3019" s="4">
        <f>IFERROR(__xludf.DUMMYFUNCTION("""COMPUTED_VALUE"""),491.0)</f>
        <v>491</v>
      </c>
      <c r="L3019" s="4">
        <f>IFERROR(__xludf.DUMMYFUNCTION("""COMPUTED_VALUE"""),0.535)</f>
        <v>0.535</v>
      </c>
      <c r="M3019" s="4">
        <f>IFERROR(__xludf.DUMMYFUNCTION("""COMPUTED_VALUE"""),0.063)</f>
        <v>0.063</v>
      </c>
      <c r="N3019" s="4">
        <f>IFERROR(__xludf.DUMMYFUNCTION("""COMPUTED_VALUE"""),0.703)</f>
        <v>0.703</v>
      </c>
      <c r="O3019" s="4">
        <f>IFERROR(__xludf.DUMMYFUNCTION("""COMPUTED_VALUE"""),21.5)</f>
        <v>21.5</v>
      </c>
      <c r="P3019" s="4">
        <f>IFERROR(__xludf.DUMMYFUNCTION("""COMPUTED_VALUE"""),8.3)</f>
        <v>8.3</v>
      </c>
      <c r="Q3019" s="4">
        <f>IFERROR(__xludf.DUMMYFUNCTION("""COMPUTED_VALUE"""),4.9)</f>
        <v>4.9</v>
      </c>
      <c r="R3019" s="4">
        <f>IFERROR(__xludf.DUMMYFUNCTION("""COMPUTED_VALUE"""),1.0)</f>
        <v>1</v>
      </c>
      <c r="S3019" s="4">
        <f>IFERROR(__xludf.DUMMYFUNCTION("""COMPUTED_VALUE"""),21.5)</f>
        <v>21.5</v>
      </c>
      <c r="T3019" s="4">
        <f>IFERROR(__xludf.DUMMYFUNCTION("""COMPUTED_VALUE"""),0.099)</f>
        <v>0.099</v>
      </c>
      <c r="U3019" s="4">
        <f>IFERROR(__xludf.DUMMYFUNCTION("""COMPUTED_VALUE"""),-2.0)</f>
        <v>-2</v>
      </c>
      <c r="V3019" s="4">
        <f>IFERROR(__xludf.DUMMYFUNCTION("""COMPUTED_VALUE"""),0.0)</f>
        <v>0</v>
      </c>
    </row>
    <row r="3020">
      <c r="A3020" s="4">
        <f>IFERROR(__xludf.DUMMYFUNCTION("""COMPUTED_VALUE"""),13.0)</f>
        <v>13</v>
      </c>
      <c r="B3020" s="4">
        <f>IFERROR(__xludf.DUMMYFUNCTION("""COMPUTED_VALUE"""),13.0)</f>
        <v>13</v>
      </c>
      <c r="C3020" s="4" t="str">
        <f>IFERROR(__xludf.DUMMYFUNCTION("""COMPUTED_VALUE"""),"PHO")</f>
        <v>PHO</v>
      </c>
      <c r="D3020" s="4" t="str">
        <f>IFERROR(__xludf.DUMMYFUNCTION("""COMPUTED_VALUE"""),"Jay Humphries")</f>
        <v>Jay Humphries</v>
      </c>
      <c r="E3020" s="4" t="str">
        <f>IFERROR(__xludf.DUMMYFUNCTION("""COMPUTED_VALUE"""),"Colorado")</f>
        <v>Colorado</v>
      </c>
      <c r="F3020" s="4">
        <f>IFERROR(__xludf.DUMMYFUNCTION("""COMPUTED_VALUE"""),11.0)</f>
        <v>11</v>
      </c>
      <c r="G3020" s="4">
        <f>IFERROR(__xludf.DUMMYFUNCTION("""COMPUTED_VALUE"""),788.0)</f>
        <v>788</v>
      </c>
      <c r="H3020" s="4">
        <f>IFERROR(__xludf.DUMMYFUNCTION("""COMPUTED_VALUE"""),23062.0)</f>
        <v>23062</v>
      </c>
      <c r="I3020" s="4">
        <f>IFERROR(__xludf.DUMMYFUNCTION("""COMPUTED_VALUE"""),8772.0)</f>
        <v>8772</v>
      </c>
      <c r="J3020" s="4">
        <f>IFERROR(__xludf.DUMMYFUNCTION("""COMPUTED_VALUE"""),2003.0)</f>
        <v>2003</v>
      </c>
      <c r="K3020" s="4">
        <f>IFERROR(__xludf.DUMMYFUNCTION("""COMPUTED_VALUE"""),4339.0)</f>
        <v>4339</v>
      </c>
      <c r="L3020" s="4">
        <f>IFERROR(__xludf.DUMMYFUNCTION("""COMPUTED_VALUE"""),0.476)</f>
        <v>0.476</v>
      </c>
      <c r="M3020" s="4">
        <f>IFERROR(__xludf.DUMMYFUNCTION("""COMPUTED_VALUE"""),0.297)</f>
        <v>0.297</v>
      </c>
      <c r="N3020" s="4">
        <f>IFERROR(__xludf.DUMMYFUNCTION("""COMPUTED_VALUE"""),0.782)</f>
        <v>0.782</v>
      </c>
      <c r="O3020" s="4">
        <f>IFERROR(__xludf.DUMMYFUNCTION("""COMPUTED_VALUE"""),29.3)</f>
        <v>29.3</v>
      </c>
      <c r="P3020" s="4">
        <f>IFERROR(__xludf.DUMMYFUNCTION("""COMPUTED_VALUE"""),11.1)</f>
        <v>11.1</v>
      </c>
      <c r="Q3020" s="4">
        <f>IFERROR(__xludf.DUMMYFUNCTION("""COMPUTED_VALUE"""),2.5)</f>
        <v>2.5</v>
      </c>
      <c r="R3020" s="4">
        <f>IFERROR(__xludf.DUMMYFUNCTION("""COMPUTED_VALUE"""),5.5)</f>
        <v>5.5</v>
      </c>
      <c r="S3020" s="4">
        <f>IFERROR(__xludf.DUMMYFUNCTION("""COMPUTED_VALUE"""),45.0)</f>
        <v>45</v>
      </c>
      <c r="T3020" s="4">
        <f>IFERROR(__xludf.DUMMYFUNCTION("""COMPUTED_VALUE"""),0.094)</f>
        <v>0.094</v>
      </c>
      <c r="U3020" s="4">
        <f>IFERROR(__xludf.DUMMYFUNCTION("""COMPUTED_VALUE"""),-0.1)</f>
        <v>-0.1</v>
      </c>
      <c r="V3020" s="4">
        <f>IFERROR(__xludf.DUMMYFUNCTION("""COMPUTED_VALUE"""),11.0)</f>
        <v>11</v>
      </c>
    </row>
    <row r="3021">
      <c r="A3021" s="4">
        <f>IFERROR(__xludf.DUMMYFUNCTION("""COMPUTED_VALUE"""),14.0)</f>
        <v>14</v>
      </c>
      <c r="B3021" s="4">
        <f>IFERROR(__xludf.DUMMYFUNCTION("""COMPUTED_VALUE"""),14.0)</f>
        <v>14</v>
      </c>
      <c r="C3021" s="4" t="str">
        <f>IFERROR(__xludf.DUMMYFUNCTION("""COMPUTED_VALUE"""),"LAC")</f>
        <v>LAC</v>
      </c>
      <c r="D3021" s="4" t="str">
        <f>IFERROR(__xludf.DUMMYFUNCTION("""COMPUTED_VALUE"""),"Michael Cage")</f>
        <v>Michael Cage</v>
      </c>
      <c r="E3021" s="4" t="str">
        <f>IFERROR(__xludf.DUMMYFUNCTION("""COMPUTED_VALUE"""),"San Diego State")</f>
        <v>San Diego State</v>
      </c>
      <c r="F3021" s="4">
        <f>IFERROR(__xludf.DUMMYFUNCTION("""COMPUTED_VALUE"""),15.0)</f>
        <v>15</v>
      </c>
      <c r="G3021" s="4">
        <f>IFERROR(__xludf.DUMMYFUNCTION("""COMPUTED_VALUE"""),1140.0)</f>
        <v>1140</v>
      </c>
      <c r="H3021" s="4">
        <f>IFERROR(__xludf.DUMMYFUNCTION("""COMPUTED_VALUE"""),29716.0)</f>
        <v>29716</v>
      </c>
      <c r="I3021" s="4">
        <f>IFERROR(__xludf.DUMMYFUNCTION("""COMPUTED_VALUE"""),8278.0)</f>
        <v>8278</v>
      </c>
      <c r="J3021" s="4">
        <f>IFERROR(__xludf.DUMMYFUNCTION("""COMPUTED_VALUE"""),8646.0)</f>
        <v>8646</v>
      </c>
      <c r="K3021" s="4">
        <f>IFERROR(__xludf.DUMMYFUNCTION("""COMPUTED_VALUE"""),1057.0)</f>
        <v>1057</v>
      </c>
      <c r="L3021" s="4">
        <f>IFERROR(__xludf.DUMMYFUNCTION("""COMPUTED_VALUE"""),0.515)</f>
        <v>0.515</v>
      </c>
      <c r="M3021" s="4">
        <f>IFERROR(__xludf.DUMMYFUNCTION("""COMPUTED_VALUE"""),0.0)</f>
        <v>0</v>
      </c>
      <c r="N3021" s="4">
        <f>IFERROR(__xludf.DUMMYFUNCTION("""COMPUTED_VALUE"""),0.664)</f>
        <v>0.664</v>
      </c>
      <c r="O3021" s="4">
        <f>IFERROR(__xludf.DUMMYFUNCTION("""COMPUTED_VALUE"""),26.1)</f>
        <v>26.1</v>
      </c>
      <c r="P3021" s="4">
        <f>IFERROR(__xludf.DUMMYFUNCTION("""COMPUTED_VALUE"""),7.3)</f>
        <v>7.3</v>
      </c>
      <c r="Q3021" s="4">
        <f>IFERROR(__xludf.DUMMYFUNCTION("""COMPUTED_VALUE"""),7.6)</f>
        <v>7.6</v>
      </c>
      <c r="R3021" s="4">
        <f>IFERROR(__xludf.DUMMYFUNCTION("""COMPUTED_VALUE"""),0.9)</f>
        <v>0.9</v>
      </c>
      <c r="S3021" s="4">
        <f>IFERROR(__xludf.DUMMYFUNCTION("""COMPUTED_VALUE"""),74.4)</f>
        <v>74.4</v>
      </c>
      <c r="T3021" s="4">
        <f>IFERROR(__xludf.DUMMYFUNCTION("""COMPUTED_VALUE"""),0.12)</f>
        <v>0.12</v>
      </c>
      <c r="U3021" s="4">
        <f>IFERROR(__xludf.DUMMYFUNCTION("""COMPUTED_VALUE"""),-0.2)</f>
        <v>-0.2</v>
      </c>
      <c r="V3021" s="4">
        <f>IFERROR(__xludf.DUMMYFUNCTION("""COMPUTED_VALUE"""),13.7)</f>
        <v>13.7</v>
      </c>
    </row>
    <row r="3022">
      <c r="A3022" s="4">
        <f>IFERROR(__xludf.DUMMYFUNCTION("""COMPUTED_VALUE"""),15.0)</f>
        <v>15</v>
      </c>
      <c r="B3022" s="4">
        <f>IFERROR(__xludf.DUMMYFUNCTION("""COMPUTED_VALUE"""),15.0)</f>
        <v>15</v>
      </c>
      <c r="C3022" s="4" t="str">
        <f>IFERROR(__xludf.DUMMYFUNCTION("""COMPUTED_VALUE"""),"DAL")</f>
        <v>DAL</v>
      </c>
      <c r="D3022" s="4" t="str">
        <f>IFERROR(__xludf.DUMMYFUNCTION("""COMPUTED_VALUE"""),"Terence Stansbury")</f>
        <v>Terence Stansbury</v>
      </c>
      <c r="E3022" s="4" t="str">
        <f>IFERROR(__xludf.DUMMYFUNCTION("""COMPUTED_VALUE"""),"Temple")</f>
        <v>Temple</v>
      </c>
      <c r="F3022" s="4">
        <f>IFERROR(__xludf.DUMMYFUNCTION("""COMPUTED_VALUE"""),3.0)</f>
        <v>3</v>
      </c>
      <c r="G3022" s="4">
        <f>IFERROR(__xludf.DUMMYFUNCTION("""COMPUTED_VALUE"""),192.0)</f>
        <v>192</v>
      </c>
      <c r="H3022" s="4">
        <f>IFERROR(__xludf.DUMMYFUNCTION("""COMPUTED_VALUE"""),2984.0)</f>
        <v>2984</v>
      </c>
      <c r="I3022" s="4">
        <f>IFERROR(__xludf.DUMMYFUNCTION("""COMPUTED_VALUE"""),1200.0)</f>
        <v>1200</v>
      </c>
      <c r="J3022" s="4">
        <f>IFERROR(__xludf.DUMMYFUNCTION("""COMPUTED_VALUE"""),277.0)</f>
        <v>277</v>
      </c>
      <c r="K3022" s="4">
        <f>IFERROR(__xludf.DUMMYFUNCTION("""COMPUTED_VALUE"""),390.0)</f>
        <v>390</v>
      </c>
      <c r="L3022" s="4">
        <f>IFERROR(__xludf.DUMMYFUNCTION("""COMPUTED_VALUE"""),0.444)</f>
        <v>0.444</v>
      </c>
      <c r="M3022" s="4">
        <f>IFERROR(__xludf.DUMMYFUNCTION("""COMPUTED_VALUE"""),0.224)</f>
        <v>0.224</v>
      </c>
      <c r="N3022" s="4">
        <f>IFERROR(__xludf.DUMMYFUNCTION("""COMPUTED_VALUE"""),0.779)</f>
        <v>0.779</v>
      </c>
      <c r="O3022" s="4">
        <f>IFERROR(__xludf.DUMMYFUNCTION("""COMPUTED_VALUE"""),15.5)</f>
        <v>15.5</v>
      </c>
      <c r="P3022" s="4">
        <f>IFERROR(__xludf.DUMMYFUNCTION("""COMPUTED_VALUE"""),6.3)</f>
        <v>6.3</v>
      </c>
      <c r="Q3022" s="4">
        <f>IFERROR(__xludf.DUMMYFUNCTION("""COMPUTED_VALUE"""),1.4)</f>
        <v>1.4</v>
      </c>
      <c r="R3022" s="4">
        <f>IFERROR(__xludf.DUMMYFUNCTION("""COMPUTED_VALUE"""),2.0)</f>
        <v>2</v>
      </c>
      <c r="S3022" s="4">
        <f>IFERROR(__xludf.DUMMYFUNCTION("""COMPUTED_VALUE"""),2.4)</f>
        <v>2.4</v>
      </c>
      <c r="T3022" s="4">
        <f>IFERROR(__xludf.DUMMYFUNCTION("""COMPUTED_VALUE"""),0.038)</f>
        <v>0.038</v>
      </c>
      <c r="U3022" s="4">
        <f>IFERROR(__xludf.DUMMYFUNCTION("""COMPUTED_VALUE"""),-3.5)</f>
        <v>-3.5</v>
      </c>
      <c r="V3022" s="4">
        <f>IFERROR(__xludf.DUMMYFUNCTION("""COMPUTED_VALUE"""),-1.2)</f>
        <v>-1.2</v>
      </c>
    </row>
    <row r="3023">
      <c r="A3023" s="4">
        <f>IFERROR(__xludf.DUMMYFUNCTION("""COMPUTED_VALUE"""),16.0)</f>
        <v>16</v>
      </c>
      <c r="B3023" s="4">
        <f>IFERROR(__xludf.DUMMYFUNCTION("""COMPUTED_VALUE"""),16.0)</f>
        <v>16</v>
      </c>
      <c r="C3023" s="4" t="str">
        <f>IFERROR(__xludf.DUMMYFUNCTION("""COMPUTED_VALUE"""),"UTA")</f>
        <v>UTA</v>
      </c>
      <c r="D3023" s="4" t="str">
        <f>IFERROR(__xludf.DUMMYFUNCTION("""COMPUTED_VALUE"""),"John Stockton")</f>
        <v>John Stockton</v>
      </c>
      <c r="E3023" s="4" t="str">
        <f>IFERROR(__xludf.DUMMYFUNCTION("""COMPUTED_VALUE"""),"Gonzaga")</f>
        <v>Gonzaga</v>
      </c>
      <c r="F3023" s="4">
        <f>IFERROR(__xludf.DUMMYFUNCTION("""COMPUTED_VALUE"""),19.0)</f>
        <v>19</v>
      </c>
      <c r="G3023" s="4">
        <f>IFERROR(__xludf.DUMMYFUNCTION("""COMPUTED_VALUE"""),1504.0)</f>
        <v>1504</v>
      </c>
      <c r="H3023" s="4">
        <f>IFERROR(__xludf.DUMMYFUNCTION("""COMPUTED_VALUE"""),47764.0)</f>
        <v>47764</v>
      </c>
      <c r="I3023" s="4">
        <f>IFERROR(__xludf.DUMMYFUNCTION("""COMPUTED_VALUE"""),19711.0)</f>
        <v>19711</v>
      </c>
      <c r="J3023" s="4">
        <f>IFERROR(__xludf.DUMMYFUNCTION("""COMPUTED_VALUE"""),4051.0)</f>
        <v>4051</v>
      </c>
      <c r="K3023" s="4">
        <f>IFERROR(__xludf.DUMMYFUNCTION("""COMPUTED_VALUE"""),15806.0)</f>
        <v>15806</v>
      </c>
      <c r="L3023" s="4">
        <f>IFERROR(__xludf.DUMMYFUNCTION("""COMPUTED_VALUE"""),0.515)</f>
        <v>0.515</v>
      </c>
      <c r="M3023" s="4">
        <f>IFERROR(__xludf.DUMMYFUNCTION("""COMPUTED_VALUE"""),0.384)</f>
        <v>0.384</v>
      </c>
      <c r="N3023" s="4">
        <f>IFERROR(__xludf.DUMMYFUNCTION("""COMPUTED_VALUE"""),0.826)</f>
        <v>0.826</v>
      </c>
      <c r="O3023" s="4">
        <f>IFERROR(__xludf.DUMMYFUNCTION("""COMPUTED_VALUE"""),31.8)</f>
        <v>31.8</v>
      </c>
      <c r="P3023" s="4">
        <f>IFERROR(__xludf.DUMMYFUNCTION("""COMPUTED_VALUE"""),13.1)</f>
        <v>13.1</v>
      </c>
      <c r="Q3023" s="4">
        <f>IFERROR(__xludf.DUMMYFUNCTION("""COMPUTED_VALUE"""),2.7)</f>
        <v>2.7</v>
      </c>
      <c r="R3023" s="4">
        <f>IFERROR(__xludf.DUMMYFUNCTION("""COMPUTED_VALUE"""),10.5)</f>
        <v>10.5</v>
      </c>
      <c r="S3023" s="4">
        <f>IFERROR(__xludf.DUMMYFUNCTION("""COMPUTED_VALUE"""),207.7)</f>
        <v>207.7</v>
      </c>
      <c r="T3023" s="4">
        <f>IFERROR(__xludf.DUMMYFUNCTION("""COMPUTED_VALUE"""),0.209)</f>
        <v>0.209</v>
      </c>
      <c r="U3023" s="4">
        <f>IFERROR(__xludf.DUMMYFUNCTION("""COMPUTED_VALUE"""),6.8)</f>
        <v>6.8</v>
      </c>
      <c r="V3023" s="4">
        <f>IFERROR(__xludf.DUMMYFUNCTION("""COMPUTED_VALUE"""),106.5)</f>
        <v>106.5</v>
      </c>
    </row>
    <row r="3024">
      <c r="A3024" s="4">
        <f>IFERROR(__xludf.DUMMYFUNCTION("""COMPUTED_VALUE"""),17.0)</f>
        <v>17</v>
      </c>
      <c r="B3024" s="4">
        <f>IFERROR(__xludf.DUMMYFUNCTION("""COMPUTED_VALUE"""),17.0)</f>
        <v>17</v>
      </c>
      <c r="C3024" s="4" t="str">
        <f>IFERROR(__xludf.DUMMYFUNCTION("""COMPUTED_VALUE"""),"NJN")</f>
        <v>NJN</v>
      </c>
      <c r="D3024" s="4" t="str">
        <f>IFERROR(__xludf.DUMMYFUNCTION("""COMPUTED_VALUE"""),"Jeff Turner")</f>
        <v>Jeff Turner</v>
      </c>
      <c r="E3024" s="4" t="str">
        <f>IFERROR(__xludf.DUMMYFUNCTION("""COMPUTED_VALUE"""),"Vanderbilt")</f>
        <v>Vanderbilt</v>
      </c>
      <c r="F3024" s="4">
        <f>IFERROR(__xludf.DUMMYFUNCTION("""COMPUTED_VALUE"""),10.0)</f>
        <v>10</v>
      </c>
      <c r="G3024" s="4">
        <f>IFERROR(__xludf.DUMMYFUNCTION("""COMPUTED_VALUE"""),612.0)</f>
        <v>612</v>
      </c>
      <c r="H3024" s="4">
        <f>IFERROR(__xludf.DUMMYFUNCTION("""COMPUTED_VALUE"""),11244.0)</f>
        <v>11244</v>
      </c>
      <c r="I3024" s="4">
        <f>IFERROR(__xludf.DUMMYFUNCTION("""COMPUTED_VALUE"""),3697.0)</f>
        <v>3697</v>
      </c>
      <c r="J3024" s="4">
        <f>IFERROR(__xludf.DUMMYFUNCTION("""COMPUTED_VALUE"""),2036.0)</f>
        <v>2036</v>
      </c>
      <c r="K3024" s="4">
        <f>IFERROR(__xludf.DUMMYFUNCTION("""COMPUTED_VALUE"""),635.0)</f>
        <v>635</v>
      </c>
      <c r="L3024" s="4">
        <f>IFERROR(__xludf.DUMMYFUNCTION("""COMPUTED_VALUE"""),0.467)</f>
        <v>0.467</v>
      </c>
      <c r="M3024" s="4">
        <f>IFERROR(__xludf.DUMMYFUNCTION("""COMPUTED_VALUE"""),0.344)</f>
        <v>0.344</v>
      </c>
      <c r="N3024" s="4">
        <f>IFERROR(__xludf.DUMMYFUNCTION("""COMPUTED_VALUE"""),0.769)</f>
        <v>0.769</v>
      </c>
      <c r="O3024" s="4">
        <f>IFERROR(__xludf.DUMMYFUNCTION("""COMPUTED_VALUE"""),18.4)</f>
        <v>18.4</v>
      </c>
      <c r="P3024" s="4">
        <f>IFERROR(__xludf.DUMMYFUNCTION("""COMPUTED_VALUE"""),6.0)</f>
        <v>6</v>
      </c>
      <c r="Q3024" s="4">
        <f>IFERROR(__xludf.DUMMYFUNCTION("""COMPUTED_VALUE"""),3.3)</f>
        <v>3.3</v>
      </c>
      <c r="R3024" s="4">
        <f>IFERROR(__xludf.DUMMYFUNCTION("""COMPUTED_VALUE"""),1.0)</f>
        <v>1</v>
      </c>
      <c r="S3024" s="4">
        <f>IFERROR(__xludf.DUMMYFUNCTION("""COMPUTED_VALUE"""),8.9)</f>
        <v>8.9</v>
      </c>
      <c r="T3024" s="4">
        <f>IFERROR(__xludf.DUMMYFUNCTION("""COMPUTED_VALUE"""),0.038)</f>
        <v>0.038</v>
      </c>
      <c r="U3024" s="4">
        <f>IFERROR(__xludf.DUMMYFUNCTION("""COMPUTED_VALUE"""),-4.5)</f>
        <v>-4.5</v>
      </c>
      <c r="V3024" s="4">
        <f>IFERROR(__xludf.DUMMYFUNCTION("""COMPUTED_VALUE"""),-7.2)</f>
        <v>-7.2</v>
      </c>
    </row>
    <row r="3025">
      <c r="A3025" s="4">
        <f>IFERROR(__xludf.DUMMYFUNCTION("""COMPUTED_VALUE"""),18.0)</f>
        <v>18</v>
      </c>
      <c r="B3025" s="4">
        <f>IFERROR(__xludf.DUMMYFUNCTION("""COMPUTED_VALUE"""),18.0)</f>
        <v>18</v>
      </c>
      <c r="C3025" s="4" t="str">
        <f>IFERROR(__xludf.DUMMYFUNCTION("""COMPUTED_VALUE"""),"IND")</f>
        <v>IND</v>
      </c>
      <c r="D3025" s="4" t="str">
        <f>IFERROR(__xludf.DUMMYFUNCTION("""COMPUTED_VALUE"""),"Vern Fleming")</f>
        <v>Vern Fleming</v>
      </c>
      <c r="E3025" s="4" t="str">
        <f>IFERROR(__xludf.DUMMYFUNCTION("""COMPUTED_VALUE"""),"Georgia")</f>
        <v>Georgia</v>
      </c>
      <c r="F3025" s="4">
        <f>IFERROR(__xludf.DUMMYFUNCTION("""COMPUTED_VALUE"""),12.0)</f>
        <v>12</v>
      </c>
      <c r="G3025" s="4">
        <f>IFERROR(__xludf.DUMMYFUNCTION("""COMPUTED_VALUE"""),893.0)</f>
        <v>893</v>
      </c>
      <c r="H3025" s="4">
        <f>IFERROR(__xludf.DUMMYFUNCTION("""COMPUTED_VALUE"""),24721.0)</f>
        <v>24721</v>
      </c>
      <c r="I3025" s="4">
        <f>IFERROR(__xludf.DUMMYFUNCTION("""COMPUTED_VALUE"""),10125.0)</f>
        <v>10125</v>
      </c>
      <c r="J3025" s="4">
        <f>IFERROR(__xludf.DUMMYFUNCTION("""COMPUTED_VALUE"""),3012.0)</f>
        <v>3012</v>
      </c>
      <c r="K3025" s="4">
        <f>IFERROR(__xludf.DUMMYFUNCTION("""COMPUTED_VALUE"""),4293.0)</f>
        <v>4293</v>
      </c>
      <c r="L3025" s="4">
        <f>IFERROR(__xludf.DUMMYFUNCTION("""COMPUTED_VALUE"""),0.498)</f>
        <v>0.498</v>
      </c>
      <c r="M3025" s="4">
        <f>IFERROR(__xludf.DUMMYFUNCTION("""COMPUTED_VALUE"""),0.181)</f>
        <v>0.181</v>
      </c>
      <c r="N3025" s="4">
        <f>IFERROR(__xludf.DUMMYFUNCTION("""COMPUTED_VALUE"""),0.764)</f>
        <v>0.764</v>
      </c>
      <c r="O3025" s="4">
        <f>IFERROR(__xludf.DUMMYFUNCTION("""COMPUTED_VALUE"""),27.7)</f>
        <v>27.7</v>
      </c>
      <c r="P3025" s="4">
        <f>IFERROR(__xludf.DUMMYFUNCTION("""COMPUTED_VALUE"""),11.3)</f>
        <v>11.3</v>
      </c>
      <c r="Q3025" s="4">
        <f>IFERROR(__xludf.DUMMYFUNCTION("""COMPUTED_VALUE"""),3.4)</f>
        <v>3.4</v>
      </c>
      <c r="R3025" s="4">
        <f>IFERROR(__xludf.DUMMYFUNCTION("""COMPUTED_VALUE"""),4.8)</f>
        <v>4.8</v>
      </c>
      <c r="S3025" s="4">
        <f>IFERROR(__xludf.DUMMYFUNCTION("""COMPUTED_VALUE"""),52.0)</f>
        <v>52</v>
      </c>
      <c r="T3025" s="4">
        <f>IFERROR(__xludf.DUMMYFUNCTION("""COMPUTED_VALUE"""),0.101)</f>
        <v>0.101</v>
      </c>
      <c r="U3025" s="4">
        <f>IFERROR(__xludf.DUMMYFUNCTION("""COMPUTED_VALUE"""),0.4)</f>
        <v>0.4</v>
      </c>
      <c r="V3025" s="4">
        <f>IFERROR(__xludf.DUMMYFUNCTION("""COMPUTED_VALUE"""),15.3)</f>
        <v>15.3</v>
      </c>
    </row>
    <row r="3026">
      <c r="A3026" s="4">
        <f>IFERROR(__xludf.DUMMYFUNCTION("""COMPUTED_VALUE"""),19.0)</f>
        <v>19</v>
      </c>
      <c r="B3026" s="4">
        <f>IFERROR(__xludf.DUMMYFUNCTION("""COMPUTED_VALUE"""),19.0)</f>
        <v>19</v>
      </c>
      <c r="C3026" s="4" t="str">
        <f>IFERROR(__xludf.DUMMYFUNCTION("""COMPUTED_VALUE"""),"POR")</f>
        <v>POR</v>
      </c>
      <c r="D3026" s="4" t="str">
        <f>IFERROR(__xludf.DUMMYFUNCTION("""COMPUTED_VALUE"""),"Bernard Thompson")</f>
        <v>Bernard Thompson</v>
      </c>
      <c r="E3026" s="4" t="str">
        <f>IFERROR(__xludf.DUMMYFUNCTION("""COMPUTED_VALUE"""),"Fresno State")</f>
        <v>Fresno State</v>
      </c>
      <c r="F3026" s="4">
        <f>IFERROR(__xludf.DUMMYFUNCTION("""COMPUTED_VALUE"""),5.0)</f>
        <v>5</v>
      </c>
      <c r="G3026" s="4">
        <f>IFERROR(__xludf.DUMMYFUNCTION("""COMPUTED_VALUE"""),204.0)</f>
        <v>204</v>
      </c>
      <c r="H3026" s="4">
        <f>IFERROR(__xludf.DUMMYFUNCTION("""COMPUTED_VALUE"""),2935.0)</f>
        <v>2935</v>
      </c>
      <c r="I3026" s="4">
        <f>IFERROR(__xludf.DUMMYFUNCTION("""COMPUTED_VALUE"""),1078.0)</f>
        <v>1078</v>
      </c>
      <c r="J3026" s="4">
        <f>IFERROR(__xludf.DUMMYFUNCTION("""COMPUTED_VALUE"""),352.0)</f>
        <v>352</v>
      </c>
      <c r="K3026" s="4">
        <f>IFERROR(__xludf.DUMMYFUNCTION("""COMPUTED_VALUE"""),266.0)</f>
        <v>266</v>
      </c>
      <c r="L3026" s="4">
        <f>IFERROR(__xludf.DUMMYFUNCTION("""COMPUTED_VALUE"""),0.439)</f>
        <v>0.439</v>
      </c>
      <c r="M3026" s="4">
        <f>IFERROR(__xludf.DUMMYFUNCTION("""COMPUTED_VALUE"""),0.0)</f>
        <v>0</v>
      </c>
      <c r="N3026" s="4">
        <f>IFERROR(__xludf.DUMMYFUNCTION("""COMPUTED_VALUE"""),0.789)</f>
        <v>0.789</v>
      </c>
      <c r="O3026" s="4">
        <f>IFERROR(__xludf.DUMMYFUNCTION("""COMPUTED_VALUE"""),14.4)</f>
        <v>14.4</v>
      </c>
      <c r="P3026" s="4">
        <f>IFERROR(__xludf.DUMMYFUNCTION("""COMPUTED_VALUE"""),5.3)</f>
        <v>5.3</v>
      </c>
      <c r="Q3026" s="4">
        <f>IFERROR(__xludf.DUMMYFUNCTION("""COMPUTED_VALUE"""),1.7)</f>
        <v>1.7</v>
      </c>
      <c r="R3026" s="4">
        <f>IFERROR(__xludf.DUMMYFUNCTION("""COMPUTED_VALUE"""),1.3)</f>
        <v>1.3</v>
      </c>
      <c r="S3026" s="4">
        <f>IFERROR(__xludf.DUMMYFUNCTION("""COMPUTED_VALUE"""),3.4)</f>
        <v>3.4</v>
      </c>
      <c r="T3026" s="4">
        <f>IFERROR(__xludf.DUMMYFUNCTION("""COMPUTED_VALUE"""),0.056)</f>
        <v>0.056</v>
      </c>
      <c r="U3026" s="4">
        <f>IFERROR(__xludf.DUMMYFUNCTION("""COMPUTED_VALUE"""),-2.9)</f>
        <v>-2.9</v>
      </c>
      <c r="V3026" s="4">
        <f>IFERROR(__xludf.DUMMYFUNCTION("""COMPUTED_VALUE"""),-0.7)</f>
        <v>-0.7</v>
      </c>
    </row>
    <row r="3027">
      <c r="A3027" s="4">
        <f>IFERROR(__xludf.DUMMYFUNCTION("""COMPUTED_VALUE"""),20.0)</f>
        <v>20</v>
      </c>
      <c r="B3027" s="4">
        <f>IFERROR(__xludf.DUMMYFUNCTION("""COMPUTED_VALUE"""),20.0)</f>
        <v>20</v>
      </c>
      <c r="C3027" s="4" t="str">
        <f>IFERROR(__xludf.DUMMYFUNCTION("""COMPUTED_VALUE"""),"DET")</f>
        <v>DET</v>
      </c>
      <c r="D3027" s="4" t="str">
        <f>IFERROR(__xludf.DUMMYFUNCTION("""COMPUTED_VALUE"""),"Tony Campbell")</f>
        <v>Tony Campbell</v>
      </c>
      <c r="E3027" s="4" t="str">
        <f>IFERROR(__xludf.DUMMYFUNCTION("""COMPUTED_VALUE"""),"Ohio State")</f>
        <v>Ohio State</v>
      </c>
      <c r="F3027" s="4">
        <f>IFERROR(__xludf.DUMMYFUNCTION("""COMPUTED_VALUE"""),11.0)</f>
        <v>11</v>
      </c>
      <c r="G3027" s="4">
        <f>IFERROR(__xludf.DUMMYFUNCTION("""COMPUTED_VALUE"""),690.0)</f>
        <v>690</v>
      </c>
      <c r="H3027" s="4">
        <f>IFERROR(__xludf.DUMMYFUNCTION("""COMPUTED_VALUE"""),15180.0)</f>
        <v>15180</v>
      </c>
      <c r="I3027" s="4">
        <f>IFERROR(__xludf.DUMMYFUNCTION("""COMPUTED_VALUE"""),7994.0)</f>
        <v>7994</v>
      </c>
      <c r="J3027" s="4">
        <f>IFERROR(__xludf.DUMMYFUNCTION("""COMPUTED_VALUE"""),2117.0)</f>
        <v>2117</v>
      </c>
      <c r="K3027" s="4">
        <f>IFERROR(__xludf.DUMMYFUNCTION("""COMPUTED_VALUE"""),1019.0)</f>
        <v>1019</v>
      </c>
      <c r="L3027" s="4">
        <f>IFERROR(__xludf.DUMMYFUNCTION("""COMPUTED_VALUE"""),0.456)</f>
        <v>0.456</v>
      </c>
      <c r="M3027" s="4">
        <f>IFERROR(__xludf.DUMMYFUNCTION("""COMPUTED_VALUE"""),0.254)</f>
        <v>0.254</v>
      </c>
      <c r="N3027" s="4">
        <f>IFERROR(__xludf.DUMMYFUNCTION("""COMPUTED_VALUE"""),0.79)</f>
        <v>0.79</v>
      </c>
      <c r="O3027" s="4">
        <f>IFERROR(__xludf.DUMMYFUNCTION("""COMPUTED_VALUE"""),22.0)</f>
        <v>22</v>
      </c>
      <c r="P3027" s="4">
        <f>IFERROR(__xludf.DUMMYFUNCTION("""COMPUTED_VALUE"""),11.6)</f>
        <v>11.6</v>
      </c>
      <c r="Q3027" s="4">
        <f>IFERROR(__xludf.DUMMYFUNCTION("""COMPUTED_VALUE"""),3.1)</f>
        <v>3.1</v>
      </c>
      <c r="R3027" s="4">
        <f>IFERROR(__xludf.DUMMYFUNCTION("""COMPUTED_VALUE"""),1.5)</f>
        <v>1.5</v>
      </c>
      <c r="S3027" s="4">
        <f>IFERROR(__xludf.DUMMYFUNCTION("""COMPUTED_VALUE"""),20.7)</f>
        <v>20.7</v>
      </c>
      <c r="T3027" s="4">
        <f>IFERROR(__xludf.DUMMYFUNCTION("""COMPUTED_VALUE"""),0.065)</f>
        <v>0.065</v>
      </c>
      <c r="U3027" s="4">
        <f>IFERROR(__xludf.DUMMYFUNCTION("""COMPUTED_VALUE"""),-1.4)</f>
        <v>-1.4</v>
      </c>
      <c r="V3027" s="4">
        <f>IFERROR(__xludf.DUMMYFUNCTION("""COMPUTED_VALUE"""),2.2)</f>
        <v>2.2</v>
      </c>
    </row>
    <row r="3028">
      <c r="A3028" s="4">
        <f>IFERROR(__xludf.DUMMYFUNCTION("""COMPUTED_VALUE"""),21.0)</f>
        <v>21</v>
      </c>
      <c r="B3028" s="4">
        <f>IFERROR(__xludf.DUMMYFUNCTION("""COMPUTED_VALUE"""),21.0)</f>
        <v>21</v>
      </c>
      <c r="C3028" s="4" t="str">
        <f>IFERROR(__xludf.DUMMYFUNCTION("""COMPUTED_VALUE"""),"MIL")</f>
        <v>MIL</v>
      </c>
      <c r="D3028" s="4" t="str">
        <f>IFERROR(__xludf.DUMMYFUNCTION("""COMPUTED_VALUE"""),"Kenny Fields")</f>
        <v>Kenny Fields</v>
      </c>
      <c r="E3028" s="4" t="str">
        <f>IFERROR(__xludf.DUMMYFUNCTION("""COMPUTED_VALUE"""),"UCLA")</f>
        <v>UCLA</v>
      </c>
      <c r="F3028" s="4">
        <f>IFERROR(__xludf.DUMMYFUNCTION("""COMPUTED_VALUE"""),4.0)</f>
        <v>4</v>
      </c>
      <c r="G3028" s="4">
        <f>IFERROR(__xludf.DUMMYFUNCTION("""COMPUTED_VALUE"""),184.0)</f>
        <v>184</v>
      </c>
      <c r="H3028" s="4">
        <f>IFERROR(__xludf.DUMMYFUNCTION("""COMPUTED_VALUE"""),2692.0)</f>
        <v>2692</v>
      </c>
      <c r="I3028" s="4">
        <f>IFERROR(__xludf.DUMMYFUNCTION("""COMPUTED_VALUE"""),1140.0)</f>
        <v>1140</v>
      </c>
      <c r="J3028" s="4">
        <f>IFERROR(__xludf.DUMMYFUNCTION("""COMPUTED_VALUE"""),464.0)</f>
        <v>464</v>
      </c>
      <c r="K3028" s="4">
        <f>IFERROR(__xludf.DUMMYFUNCTION("""COMPUTED_VALUE"""),188.0)</f>
        <v>188</v>
      </c>
      <c r="L3028" s="4">
        <f>IFERROR(__xludf.DUMMYFUNCTION("""COMPUTED_VALUE"""),0.474)</f>
        <v>0.474</v>
      </c>
      <c r="M3028" s="4">
        <f>IFERROR(__xludf.DUMMYFUNCTION("""COMPUTED_VALUE"""),0.188)</f>
        <v>0.188</v>
      </c>
      <c r="N3028" s="4">
        <f>IFERROR(__xludf.DUMMYFUNCTION("""COMPUTED_VALUE"""),0.733)</f>
        <v>0.733</v>
      </c>
      <c r="O3028" s="4">
        <f>IFERROR(__xludf.DUMMYFUNCTION("""COMPUTED_VALUE"""),14.6)</f>
        <v>14.6</v>
      </c>
      <c r="P3028" s="4">
        <f>IFERROR(__xludf.DUMMYFUNCTION("""COMPUTED_VALUE"""),6.2)</f>
        <v>6.2</v>
      </c>
      <c r="Q3028" s="4">
        <f>IFERROR(__xludf.DUMMYFUNCTION("""COMPUTED_VALUE"""),2.5)</f>
        <v>2.5</v>
      </c>
      <c r="R3028" s="4">
        <f>IFERROR(__xludf.DUMMYFUNCTION("""COMPUTED_VALUE"""),1.0)</f>
        <v>1</v>
      </c>
      <c r="S3028" s="4">
        <f>IFERROR(__xludf.DUMMYFUNCTION("""COMPUTED_VALUE"""),4.2)</f>
        <v>4.2</v>
      </c>
      <c r="T3028" s="4">
        <f>IFERROR(__xludf.DUMMYFUNCTION("""COMPUTED_VALUE"""),0.074)</f>
        <v>0.074</v>
      </c>
      <c r="U3028" s="4">
        <f>IFERROR(__xludf.DUMMYFUNCTION("""COMPUTED_VALUE"""),-2.2)</f>
        <v>-2.2</v>
      </c>
      <c r="V3028" s="4">
        <f>IFERROR(__xludf.DUMMYFUNCTION("""COMPUTED_VALUE"""),-0.1)</f>
        <v>-0.1</v>
      </c>
    </row>
    <row r="3029">
      <c r="A3029" s="4">
        <f>IFERROR(__xludf.DUMMYFUNCTION("""COMPUTED_VALUE"""),22.0)</f>
        <v>22</v>
      </c>
      <c r="B3029" s="4">
        <f>IFERROR(__xludf.DUMMYFUNCTION("""COMPUTED_VALUE"""),22.0)</f>
        <v>22</v>
      </c>
      <c r="C3029" s="4" t="str">
        <f>IFERROR(__xludf.DUMMYFUNCTION("""COMPUTED_VALUE"""),"PHI")</f>
        <v>PHI</v>
      </c>
      <c r="D3029" s="4" t="str">
        <f>IFERROR(__xludf.DUMMYFUNCTION("""COMPUTED_VALUE"""),"Tom Sewell")</f>
        <v>Tom Sewell</v>
      </c>
      <c r="E3029" s="4" t="str">
        <f>IFERROR(__xludf.DUMMYFUNCTION("""COMPUTED_VALUE"""),"Lamar")</f>
        <v>Lamar</v>
      </c>
      <c r="F3029" s="4">
        <f>IFERROR(__xludf.DUMMYFUNCTION("""COMPUTED_VALUE"""),1.0)</f>
        <v>1</v>
      </c>
      <c r="G3029" s="4">
        <f>IFERROR(__xludf.DUMMYFUNCTION("""COMPUTED_VALUE"""),21.0)</f>
        <v>21</v>
      </c>
      <c r="H3029" s="4">
        <f>IFERROR(__xludf.DUMMYFUNCTION("""COMPUTED_VALUE"""),87.0)</f>
        <v>87</v>
      </c>
      <c r="I3029" s="4">
        <f>IFERROR(__xludf.DUMMYFUNCTION("""COMPUTED_VALUE"""),20.0)</f>
        <v>20</v>
      </c>
      <c r="J3029" s="4">
        <f>IFERROR(__xludf.DUMMYFUNCTION("""COMPUTED_VALUE"""),4.0)</f>
        <v>4</v>
      </c>
      <c r="K3029" s="4">
        <f>IFERROR(__xludf.DUMMYFUNCTION("""COMPUTED_VALUE"""),6.0)</f>
        <v>6</v>
      </c>
      <c r="L3029" s="4">
        <f>IFERROR(__xludf.DUMMYFUNCTION("""COMPUTED_VALUE"""),0.25)</f>
        <v>0.25</v>
      </c>
      <c r="M3029" s="4">
        <f>IFERROR(__xludf.DUMMYFUNCTION("""COMPUTED_VALUE"""),0.0)</f>
        <v>0</v>
      </c>
      <c r="N3029" s="4">
        <f>IFERROR(__xludf.DUMMYFUNCTION("""COMPUTED_VALUE"""),0.5)</f>
        <v>0.5</v>
      </c>
      <c r="O3029" s="4">
        <f>IFERROR(__xludf.DUMMYFUNCTION("""COMPUTED_VALUE"""),4.1)</f>
        <v>4.1</v>
      </c>
      <c r="P3029" s="4">
        <f>IFERROR(__xludf.DUMMYFUNCTION("""COMPUTED_VALUE"""),1.0)</f>
        <v>1</v>
      </c>
      <c r="Q3029" s="4">
        <f>IFERROR(__xludf.DUMMYFUNCTION("""COMPUTED_VALUE"""),0.2)</f>
        <v>0.2</v>
      </c>
      <c r="R3029" s="4">
        <f>IFERROR(__xludf.DUMMYFUNCTION("""COMPUTED_VALUE"""),0.3)</f>
        <v>0.3</v>
      </c>
      <c r="S3029" s="4">
        <f>IFERROR(__xludf.DUMMYFUNCTION("""COMPUTED_VALUE"""),-0.4)</f>
        <v>-0.4</v>
      </c>
      <c r="T3029" s="4">
        <f>IFERROR(__xludf.DUMMYFUNCTION("""COMPUTED_VALUE"""),-0.201)</f>
        <v>-0.201</v>
      </c>
      <c r="U3029" s="4">
        <f>IFERROR(__xludf.DUMMYFUNCTION("""COMPUTED_VALUE"""),-12.7)</f>
        <v>-12.7</v>
      </c>
      <c r="V3029" s="4">
        <f>IFERROR(__xludf.DUMMYFUNCTION("""COMPUTED_VALUE"""),-0.2)</f>
        <v>-0.2</v>
      </c>
    </row>
    <row r="3030">
      <c r="A3030" s="4">
        <f>IFERROR(__xludf.DUMMYFUNCTION("""COMPUTED_VALUE"""),23.0)</f>
        <v>23</v>
      </c>
      <c r="B3030" s="4">
        <f>IFERROR(__xludf.DUMMYFUNCTION("""COMPUTED_VALUE"""),23.0)</f>
        <v>23</v>
      </c>
      <c r="C3030" s="4" t="str">
        <f>IFERROR(__xludf.DUMMYFUNCTION("""COMPUTED_VALUE"""),"LAL")</f>
        <v>LAL</v>
      </c>
      <c r="D3030" s="4" t="str">
        <f>IFERROR(__xludf.DUMMYFUNCTION("""COMPUTED_VALUE"""),"Earl Jones")</f>
        <v>Earl Jones</v>
      </c>
      <c r="E3030" s="4" t="str">
        <f>IFERROR(__xludf.DUMMYFUNCTION("""COMPUTED_VALUE"""),"University of the District of Columbia")</f>
        <v>University of the District of Columbia</v>
      </c>
      <c r="F3030" s="4">
        <f>IFERROR(__xludf.DUMMYFUNCTION("""COMPUTED_VALUE"""),2.0)</f>
        <v>2</v>
      </c>
      <c r="G3030" s="4">
        <f>IFERROR(__xludf.DUMMYFUNCTION("""COMPUTED_VALUE"""),14.0)</f>
        <v>14</v>
      </c>
      <c r="H3030" s="4">
        <f>IFERROR(__xludf.DUMMYFUNCTION("""COMPUTED_VALUE"""),50.0)</f>
        <v>50</v>
      </c>
      <c r="I3030" s="4">
        <f>IFERROR(__xludf.DUMMYFUNCTION("""COMPUTED_VALUE"""),13.0)</f>
        <v>13</v>
      </c>
      <c r="J3030" s="4">
        <f>IFERROR(__xludf.DUMMYFUNCTION("""COMPUTED_VALUE"""),10.0)</f>
        <v>10</v>
      </c>
      <c r="K3030" s="4">
        <f>IFERROR(__xludf.DUMMYFUNCTION("""COMPUTED_VALUE"""),4.0)</f>
        <v>4</v>
      </c>
      <c r="L3030" s="4">
        <f>IFERROR(__xludf.DUMMYFUNCTION("""COMPUTED_VALUE"""),0.385)</f>
        <v>0.385</v>
      </c>
      <c r="M3030" s="4"/>
      <c r="N3030" s="4">
        <f>IFERROR(__xludf.DUMMYFUNCTION("""COMPUTED_VALUE"""),0.75)</f>
        <v>0.75</v>
      </c>
      <c r="O3030" s="4">
        <f>IFERROR(__xludf.DUMMYFUNCTION("""COMPUTED_VALUE"""),3.6)</f>
        <v>3.6</v>
      </c>
      <c r="P3030" s="4">
        <f>IFERROR(__xludf.DUMMYFUNCTION("""COMPUTED_VALUE"""),0.9)</f>
        <v>0.9</v>
      </c>
      <c r="Q3030" s="4">
        <f>IFERROR(__xludf.DUMMYFUNCTION("""COMPUTED_VALUE"""),0.7)</f>
        <v>0.7</v>
      </c>
      <c r="R3030" s="4">
        <f>IFERROR(__xludf.DUMMYFUNCTION("""COMPUTED_VALUE"""),0.3)</f>
        <v>0.3</v>
      </c>
      <c r="S3030" s="4">
        <f>IFERROR(__xludf.DUMMYFUNCTION("""COMPUTED_VALUE"""),-0.1)</f>
        <v>-0.1</v>
      </c>
      <c r="T3030" s="4">
        <f>IFERROR(__xludf.DUMMYFUNCTION("""COMPUTED_VALUE"""),-0.09)</f>
        <v>-0.09</v>
      </c>
      <c r="U3030" s="4">
        <f>IFERROR(__xludf.DUMMYFUNCTION("""COMPUTED_VALUE"""),-12.4)</f>
        <v>-12.4</v>
      </c>
      <c r="V3030" s="4">
        <f>IFERROR(__xludf.DUMMYFUNCTION("""COMPUTED_VALUE"""),-0.1)</f>
        <v>-0.1</v>
      </c>
    </row>
    <row r="3031">
      <c r="A3031" s="4">
        <f>IFERROR(__xludf.DUMMYFUNCTION("""COMPUTED_VALUE"""),24.0)</f>
        <v>24</v>
      </c>
      <c r="B3031" s="4">
        <f>IFERROR(__xludf.DUMMYFUNCTION("""COMPUTED_VALUE"""),24.0)</f>
        <v>24</v>
      </c>
      <c r="C3031" s="4" t="str">
        <f>IFERROR(__xludf.DUMMYFUNCTION("""COMPUTED_VALUE"""),"BOS")</f>
        <v>BOS</v>
      </c>
      <c r="D3031" s="4" t="str">
        <f>IFERROR(__xludf.DUMMYFUNCTION("""COMPUTED_VALUE"""),"Michael Young")</f>
        <v>Michael Young</v>
      </c>
      <c r="E3031" s="4" t="str">
        <f>IFERROR(__xludf.DUMMYFUNCTION("""COMPUTED_VALUE"""),"Houston")</f>
        <v>Houston</v>
      </c>
      <c r="F3031" s="4">
        <f>IFERROR(__xludf.DUMMYFUNCTION("""COMPUTED_VALUE"""),3.0)</f>
        <v>3</v>
      </c>
      <c r="G3031" s="4">
        <f>IFERROR(__xludf.DUMMYFUNCTION("""COMPUTED_VALUE"""),49.0)</f>
        <v>49</v>
      </c>
      <c r="H3031" s="4">
        <f>IFERROR(__xludf.DUMMYFUNCTION("""COMPUTED_VALUE"""),472.0)</f>
        <v>472</v>
      </c>
      <c r="I3031" s="4">
        <f>IFERROR(__xludf.DUMMYFUNCTION("""COMPUTED_VALUE"""),223.0)</f>
        <v>223</v>
      </c>
      <c r="J3031" s="4">
        <f>IFERROR(__xludf.DUMMYFUNCTION("""COMPUTED_VALUE"""),88.0)</f>
        <v>88</v>
      </c>
      <c r="K3031" s="4">
        <f>IFERROR(__xludf.DUMMYFUNCTION("""COMPUTED_VALUE"""),24.0)</f>
        <v>24</v>
      </c>
      <c r="L3031" s="4">
        <f>IFERROR(__xludf.DUMMYFUNCTION("""COMPUTED_VALUE"""),0.465)</f>
        <v>0.465</v>
      </c>
      <c r="M3031" s="4">
        <f>IFERROR(__xludf.DUMMYFUNCTION("""COMPUTED_VALUE"""),0.296)</f>
        <v>0.296</v>
      </c>
      <c r="N3031" s="4">
        <f>IFERROR(__xludf.DUMMYFUNCTION("""COMPUTED_VALUE"""),0.711)</f>
        <v>0.711</v>
      </c>
      <c r="O3031" s="4">
        <f>IFERROR(__xludf.DUMMYFUNCTION("""COMPUTED_VALUE"""),9.6)</f>
        <v>9.6</v>
      </c>
      <c r="P3031" s="4">
        <f>IFERROR(__xludf.DUMMYFUNCTION("""COMPUTED_VALUE"""),4.6)</f>
        <v>4.6</v>
      </c>
      <c r="Q3031" s="4">
        <f>IFERROR(__xludf.DUMMYFUNCTION("""COMPUTED_VALUE"""),1.8)</f>
        <v>1.8</v>
      </c>
      <c r="R3031" s="4">
        <f>IFERROR(__xludf.DUMMYFUNCTION("""COMPUTED_VALUE"""),0.5)</f>
        <v>0.5</v>
      </c>
      <c r="S3031" s="4">
        <f>IFERROR(__xludf.DUMMYFUNCTION("""COMPUTED_VALUE"""),1.1)</f>
        <v>1.1</v>
      </c>
      <c r="T3031" s="4">
        <f>IFERROR(__xludf.DUMMYFUNCTION("""COMPUTED_VALUE"""),0.11)</f>
        <v>0.11</v>
      </c>
      <c r="U3031" s="4">
        <f>IFERROR(__xludf.DUMMYFUNCTION("""COMPUTED_VALUE"""),0.0)</f>
        <v>0</v>
      </c>
      <c r="V3031" s="4">
        <f>IFERROR(__xludf.DUMMYFUNCTION("""COMPUTED_VALUE"""),0.2)</f>
        <v>0.2</v>
      </c>
    </row>
    <row r="3032">
      <c r="A3032" s="4"/>
      <c r="B3032" s="4"/>
      <c r="C3032" s="4"/>
      <c r="D3032" s="4" t="str">
        <f>IFERROR(__xludf.DUMMYFUNCTION("""COMPUTED_VALUE"""),"Round 2")</f>
        <v>Round 2</v>
      </c>
      <c r="E3032" s="4"/>
      <c r="F3032" s="4"/>
      <c r="G3032" s="4" t="str">
        <f>IFERROR(__xludf.DUMMYFUNCTION("""COMPUTED_VALUE"""),"Totals")</f>
        <v>Totals</v>
      </c>
      <c r="H3032" s="4"/>
      <c r="I3032" s="4"/>
      <c r="J3032" s="4"/>
      <c r="K3032" s="4"/>
      <c r="L3032" s="4" t="str">
        <f>IFERROR(__xludf.DUMMYFUNCTION("""COMPUTED_VALUE"""),"Shooting")</f>
        <v>Shooting</v>
      </c>
      <c r="M3032" s="4"/>
      <c r="N3032" s="4"/>
      <c r="O3032" s="4" t="str">
        <f>IFERROR(__xludf.DUMMYFUNCTION("""COMPUTED_VALUE"""),"Per Game")</f>
        <v>Per Game</v>
      </c>
      <c r="P3032" s="4"/>
      <c r="Q3032" s="4"/>
      <c r="R3032" s="4"/>
      <c r="S3032" s="4" t="str">
        <f>IFERROR(__xludf.DUMMYFUNCTION("""COMPUTED_VALUE"""),"Advanced")</f>
        <v>Advanced</v>
      </c>
      <c r="T3032" s="4"/>
      <c r="U3032" s="4"/>
      <c r="V3032" s="4"/>
    </row>
    <row r="3033">
      <c r="A3033" s="4" t="str">
        <f>IFERROR(__xludf.DUMMYFUNCTION("""COMPUTED_VALUE"""),"Rk")</f>
        <v>Rk</v>
      </c>
      <c r="B3033" s="4" t="str">
        <f>IFERROR(__xludf.DUMMYFUNCTION("""COMPUTED_VALUE"""),"Pk")</f>
        <v>Pk</v>
      </c>
      <c r="C3033" s="4" t="str">
        <f>IFERROR(__xludf.DUMMYFUNCTION("""COMPUTED_VALUE"""),"Tm")</f>
        <v>Tm</v>
      </c>
      <c r="D3033" s="4" t="str">
        <f>IFERROR(__xludf.DUMMYFUNCTION("""COMPUTED_VALUE"""),"Player")</f>
        <v>Player</v>
      </c>
      <c r="E3033" s="4" t="str">
        <f>IFERROR(__xludf.DUMMYFUNCTION("""COMPUTED_VALUE"""),"College")</f>
        <v>College</v>
      </c>
      <c r="F3033" s="4" t="str">
        <f>IFERROR(__xludf.DUMMYFUNCTION("""COMPUTED_VALUE"""),"Yrs")</f>
        <v>Yrs</v>
      </c>
      <c r="G3033" s="4" t="str">
        <f>IFERROR(__xludf.DUMMYFUNCTION("""COMPUTED_VALUE"""),"G")</f>
        <v>G</v>
      </c>
      <c r="H3033" s="4" t="str">
        <f>IFERROR(__xludf.DUMMYFUNCTION("""COMPUTED_VALUE"""),"MP")</f>
        <v>MP</v>
      </c>
      <c r="I3033" s="4" t="str">
        <f>IFERROR(__xludf.DUMMYFUNCTION("""COMPUTED_VALUE"""),"PTS")</f>
        <v>PTS</v>
      </c>
      <c r="J3033" s="4" t="str">
        <f>IFERROR(__xludf.DUMMYFUNCTION("""COMPUTED_VALUE"""),"TRB")</f>
        <v>TRB</v>
      </c>
      <c r="K3033" s="4" t="str">
        <f>IFERROR(__xludf.DUMMYFUNCTION("""COMPUTED_VALUE"""),"AST")</f>
        <v>AST</v>
      </c>
      <c r="L3033" s="4" t="str">
        <f>IFERROR(__xludf.DUMMYFUNCTION("""COMPUTED_VALUE"""),"FG%")</f>
        <v>FG%</v>
      </c>
      <c r="M3033" s="4" t="str">
        <f>IFERROR(__xludf.DUMMYFUNCTION("""COMPUTED_VALUE"""),"3P%")</f>
        <v>3P%</v>
      </c>
      <c r="N3033" s="4" t="str">
        <f>IFERROR(__xludf.DUMMYFUNCTION("""COMPUTED_VALUE"""),"FT%")</f>
        <v>FT%</v>
      </c>
      <c r="O3033" s="4" t="str">
        <f>IFERROR(__xludf.DUMMYFUNCTION("""COMPUTED_VALUE"""),"MP")</f>
        <v>MP</v>
      </c>
      <c r="P3033" s="4" t="str">
        <f>IFERROR(__xludf.DUMMYFUNCTION("""COMPUTED_VALUE"""),"PTS")</f>
        <v>PTS</v>
      </c>
      <c r="Q3033" s="4" t="str">
        <f>IFERROR(__xludf.DUMMYFUNCTION("""COMPUTED_VALUE"""),"TRB")</f>
        <v>TRB</v>
      </c>
      <c r="R3033" s="4" t="str">
        <f>IFERROR(__xludf.DUMMYFUNCTION("""COMPUTED_VALUE"""),"AST")</f>
        <v>AST</v>
      </c>
      <c r="S3033" s="4" t="str">
        <f>IFERROR(__xludf.DUMMYFUNCTION("""COMPUTED_VALUE"""),"WS")</f>
        <v>WS</v>
      </c>
      <c r="T3033" s="4" t="str">
        <f>IFERROR(__xludf.DUMMYFUNCTION("""COMPUTED_VALUE"""),"WS/48")</f>
        <v>WS/48</v>
      </c>
      <c r="U3033" s="4" t="str">
        <f>IFERROR(__xludf.DUMMYFUNCTION("""COMPUTED_VALUE"""),"BPM")</f>
        <v>BPM</v>
      </c>
      <c r="V3033" s="4" t="str">
        <f>IFERROR(__xludf.DUMMYFUNCTION("""COMPUTED_VALUE"""),"VORP")</f>
        <v>VORP</v>
      </c>
    </row>
    <row r="3034">
      <c r="A3034" s="4">
        <f>IFERROR(__xludf.DUMMYFUNCTION("""COMPUTED_VALUE"""),25.0)</f>
        <v>25</v>
      </c>
      <c r="B3034" s="4">
        <f>IFERROR(__xludf.DUMMYFUNCTION("""COMPUTED_VALUE"""),25.0)</f>
        <v>25</v>
      </c>
      <c r="C3034" s="4" t="str">
        <f>IFERROR(__xludf.DUMMYFUNCTION("""COMPUTED_VALUE"""),"IND")</f>
        <v>IND</v>
      </c>
      <c r="D3034" s="4" t="str">
        <f>IFERROR(__xludf.DUMMYFUNCTION("""COMPUTED_VALUE"""),"Devin Durrant")</f>
        <v>Devin Durrant</v>
      </c>
      <c r="E3034" s="4" t="str">
        <f>IFERROR(__xludf.DUMMYFUNCTION("""COMPUTED_VALUE"""),"BYU")</f>
        <v>BYU</v>
      </c>
      <c r="F3034" s="4">
        <f>IFERROR(__xludf.DUMMYFUNCTION("""COMPUTED_VALUE"""),2.0)</f>
        <v>2</v>
      </c>
      <c r="G3034" s="4">
        <f>IFERROR(__xludf.DUMMYFUNCTION("""COMPUTED_VALUE"""),63.0)</f>
        <v>63</v>
      </c>
      <c r="H3034" s="4">
        <f>IFERROR(__xludf.DUMMYFUNCTION("""COMPUTED_VALUE"""),807.0)</f>
        <v>807</v>
      </c>
      <c r="I3034" s="4">
        <f>IFERROR(__xludf.DUMMYFUNCTION("""COMPUTED_VALUE"""),317.0)</f>
        <v>317</v>
      </c>
      <c r="J3034" s="4">
        <f>IFERROR(__xludf.DUMMYFUNCTION("""COMPUTED_VALUE"""),132.0)</f>
        <v>132</v>
      </c>
      <c r="K3034" s="4">
        <f>IFERROR(__xludf.DUMMYFUNCTION("""COMPUTED_VALUE"""),85.0)</f>
        <v>85</v>
      </c>
      <c r="L3034" s="4">
        <f>IFERROR(__xludf.DUMMYFUNCTION("""COMPUTED_VALUE"""),0.414)</f>
        <v>0.414</v>
      </c>
      <c r="M3034" s="4">
        <f>IFERROR(__xludf.DUMMYFUNCTION("""COMPUTED_VALUE"""),0.0)</f>
        <v>0</v>
      </c>
      <c r="N3034" s="4">
        <f>IFERROR(__xludf.DUMMYFUNCTION("""COMPUTED_VALUE"""),0.689)</f>
        <v>0.689</v>
      </c>
      <c r="O3034" s="4">
        <f>IFERROR(__xludf.DUMMYFUNCTION("""COMPUTED_VALUE"""),12.8)</f>
        <v>12.8</v>
      </c>
      <c r="P3034" s="4">
        <f>IFERROR(__xludf.DUMMYFUNCTION("""COMPUTED_VALUE"""),5.0)</f>
        <v>5</v>
      </c>
      <c r="Q3034" s="4">
        <f>IFERROR(__xludf.DUMMYFUNCTION("""COMPUTED_VALUE"""),2.1)</f>
        <v>2.1</v>
      </c>
      <c r="R3034" s="4">
        <f>IFERROR(__xludf.DUMMYFUNCTION("""COMPUTED_VALUE"""),1.3)</f>
        <v>1.3</v>
      </c>
      <c r="S3034" s="4">
        <f>IFERROR(__xludf.DUMMYFUNCTION("""COMPUTED_VALUE"""),-0.2)</f>
        <v>-0.2</v>
      </c>
      <c r="T3034" s="4">
        <f>IFERROR(__xludf.DUMMYFUNCTION("""COMPUTED_VALUE"""),-0.012)</f>
        <v>-0.012</v>
      </c>
      <c r="U3034" s="4">
        <f>IFERROR(__xludf.DUMMYFUNCTION("""COMPUTED_VALUE"""),-4.5)</f>
        <v>-4.5</v>
      </c>
      <c r="V3034" s="4">
        <f>IFERROR(__xludf.DUMMYFUNCTION("""COMPUTED_VALUE"""),-0.5)</f>
        <v>-0.5</v>
      </c>
    </row>
    <row r="3035">
      <c r="A3035" s="4">
        <f>IFERROR(__xludf.DUMMYFUNCTION("""COMPUTED_VALUE"""),26.0)</f>
        <v>26</v>
      </c>
      <c r="B3035" s="4">
        <f>IFERROR(__xludf.DUMMYFUNCTION("""COMPUTED_VALUE"""),26.0)</f>
        <v>26</v>
      </c>
      <c r="C3035" s="4" t="str">
        <f>IFERROR(__xludf.DUMMYFUNCTION("""COMPUTED_VALUE"""),"POR")</f>
        <v>POR</v>
      </c>
      <c r="D3035" s="4" t="str">
        <f>IFERROR(__xludf.DUMMYFUNCTION("""COMPUTED_VALUE"""),"Victor Fleming")</f>
        <v>Victor Fleming</v>
      </c>
      <c r="E3035" s="4" t="str">
        <f>IFERROR(__xludf.DUMMYFUNCTION("""COMPUTED_VALUE"""),"Xavier")</f>
        <v>Xavier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</row>
    <row r="3036">
      <c r="A3036" s="4">
        <f>IFERROR(__xludf.DUMMYFUNCTION("""COMPUTED_VALUE"""),27.0)</f>
        <v>27</v>
      </c>
      <c r="B3036" s="4">
        <f>IFERROR(__xludf.DUMMYFUNCTION("""COMPUTED_VALUE"""),27.0)</f>
        <v>27</v>
      </c>
      <c r="C3036" s="4" t="str">
        <f>IFERROR(__xludf.DUMMYFUNCTION("""COMPUTED_VALUE"""),"CLE")</f>
        <v>CLE</v>
      </c>
      <c r="D3036" s="4" t="str">
        <f>IFERROR(__xludf.DUMMYFUNCTION("""COMPUTED_VALUE"""),"Ron Anderson")</f>
        <v>Ron Anderson</v>
      </c>
      <c r="E3036" s="4" t="str">
        <f>IFERROR(__xludf.DUMMYFUNCTION("""COMPUTED_VALUE"""),"Fresno State")</f>
        <v>Fresno State</v>
      </c>
      <c r="F3036" s="4">
        <f>IFERROR(__xludf.DUMMYFUNCTION("""COMPUTED_VALUE"""),10.0)</f>
        <v>10</v>
      </c>
      <c r="G3036" s="4">
        <f>IFERROR(__xludf.DUMMYFUNCTION("""COMPUTED_VALUE"""),664.0)</f>
        <v>664</v>
      </c>
      <c r="H3036" s="4">
        <f>IFERROR(__xludf.DUMMYFUNCTION("""COMPUTED_VALUE"""),15112.0)</f>
        <v>15112</v>
      </c>
      <c r="I3036" s="4">
        <f>IFERROR(__xludf.DUMMYFUNCTION("""COMPUTED_VALUE"""),7056.0)</f>
        <v>7056</v>
      </c>
      <c r="J3036" s="4">
        <f>IFERROR(__xludf.DUMMYFUNCTION("""COMPUTED_VALUE"""),2312.0)</f>
        <v>2312</v>
      </c>
      <c r="K3036" s="4">
        <f>IFERROR(__xludf.DUMMYFUNCTION("""COMPUTED_VALUE"""),952.0)</f>
        <v>952</v>
      </c>
      <c r="L3036" s="4">
        <f>IFERROR(__xludf.DUMMYFUNCTION("""COMPUTED_VALUE"""),0.471)</f>
        <v>0.471</v>
      </c>
      <c r="M3036" s="4">
        <f>IFERROR(__xludf.DUMMYFUNCTION("""COMPUTED_VALUE"""),0.287)</f>
        <v>0.287</v>
      </c>
      <c r="N3036" s="4">
        <f>IFERROR(__xludf.DUMMYFUNCTION("""COMPUTED_VALUE"""),0.814)</f>
        <v>0.814</v>
      </c>
      <c r="O3036" s="4">
        <f>IFERROR(__xludf.DUMMYFUNCTION("""COMPUTED_VALUE"""),22.8)</f>
        <v>22.8</v>
      </c>
      <c r="P3036" s="4">
        <f>IFERROR(__xludf.DUMMYFUNCTION("""COMPUTED_VALUE"""),10.6)</f>
        <v>10.6</v>
      </c>
      <c r="Q3036" s="4">
        <f>IFERROR(__xludf.DUMMYFUNCTION("""COMPUTED_VALUE"""),3.5)</f>
        <v>3.5</v>
      </c>
      <c r="R3036" s="4">
        <f>IFERROR(__xludf.DUMMYFUNCTION("""COMPUTED_VALUE"""),1.4)</f>
        <v>1.4</v>
      </c>
      <c r="S3036" s="4">
        <f>IFERROR(__xludf.DUMMYFUNCTION("""COMPUTED_VALUE"""),24.2)</f>
        <v>24.2</v>
      </c>
      <c r="T3036" s="4">
        <f>IFERROR(__xludf.DUMMYFUNCTION("""COMPUTED_VALUE"""),0.077)</f>
        <v>0.077</v>
      </c>
      <c r="U3036" s="4">
        <f>IFERROR(__xludf.DUMMYFUNCTION("""COMPUTED_VALUE"""),-1.3)</f>
        <v>-1.3</v>
      </c>
      <c r="V3036" s="4">
        <f>IFERROR(__xludf.DUMMYFUNCTION("""COMPUTED_VALUE"""),2.6)</f>
        <v>2.6</v>
      </c>
    </row>
    <row r="3037">
      <c r="A3037" s="4">
        <f>IFERROR(__xludf.DUMMYFUNCTION("""COMPUTED_VALUE"""),28.0)</f>
        <v>28</v>
      </c>
      <c r="B3037" s="4">
        <f>IFERROR(__xludf.DUMMYFUNCTION("""COMPUTED_VALUE"""),28.0)</f>
        <v>28</v>
      </c>
      <c r="C3037" s="4" t="str">
        <f>IFERROR(__xludf.DUMMYFUNCTION("""COMPUTED_VALUE"""),"SEA")</f>
        <v>SEA</v>
      </c>
      <c r="D3037" s="4" t="str">
        <f>IFERROR(__xludf.DUMMYFUNCTION("""COMPUTED_VALUE"""),"Cory Blackwell")</f>
        <v>Cory Blackwell</v>
      </c>
      <c r="E3037" s="4" t="str">
        <f>IFERROR(__xludf.DUMMYFUNCTION("""COMPUTED_VALUE"""),"Wisconsin")</f>
        <v>Wisconsin</v>
      </c>
      <c r="F3037" s="4">
        <f>IFERROR(__xludf.DUMMYFUNCTION("""COMPUTED_VALUE"""),1.0)</f>
        <v>1</v>
      </c>
      <c r="G3037" s="4">
        <f>IFERROR(__xludf.DUMMYFUNCTION("""COMPUTED_VALUE"""),60.0)</f>
        <v>60</v>
      </c>
      <c r="H3037" s="4">
        <f>IFERROR(__xludf.DUMMYFUNCTION("""COMPUTED_VALUE"""),551.0)</f>
        <v>551</v>
      </c>
      <c r="I3037" s="4">
        <f>IFERROR(__xludf.DUMMYFUNCTION("""COMPUTED_VALUE"""),202.0)</f>
        <v>202</v>
      </c>
      <c r="J3037" s="4">
        <f>IFERROR(__xludf.DUMMYFUNCTION("""COMPUTED_VALUE"""),96.0)</f>
        <v>96</v>
      </c>
      <c r="K3037" s="4">
        <f>IFERROR(__xludf.DUMMYFUNCTION("""COMPUTED_VALUE"""),26.0)</f>
        <v>26</v>
      </c>
      <c r="L3037" s="4">
        <f>IFERROR(__xludf.DUMMYFUNCTION("""COMPUTED_VALUE"""),0.367)</f>
        <v>0.367</v>
      </c>
      <c r="M3037" s="4">
        <f>IFERROR(__xludf.DUMMYFUNCTION("""COMPUTED_VALUE"""),0.0)</f>
        <v>0</v>
      </c>
      <c r="N3037" s="4">
        <f>IFERROR(__xludf.DUMMYFUNCTION("""COMPUTED_VALUE"""),0.509)</f>
        <v>0.509</v>
      </c>
      <c r="O3037" s="4">
        <f>IFERROR(__xludf.DUMMYFUNCTION("""COMPUTED_VALUE"""),9.2)</f>
        <v>9.2</v>
      </c>
      <c r="P3037" s="4">
        <f>IFERROR(__xludf.DUMMYFUNCTION("""COMPUTED_VALUE"""),3.4)</f>
        <v>3.4</v>
      </c>
      <c r="Q3037" s="4">
        <f>IFERROR(__xludf.DUMMYFUNCTION("""COMPUTED_VALUE"""),1.6)</f>
        <v>1.6</v>
      </c>
      <c r="R3037" s="4">
        <f>IFERROR(__xludf.DUMMYFUNCTION("""COMPUTED_VALUE"""),0.4)</f>
        <v>0.4</v>
      </c>
      <c r="S3037" s="4">
        <f>IFERROR(__xludf.DUMMYFUNCTION("""COMPUTED_VALUE"""),-0.9)</f>
        <v>-0.9</v>
      </c>
      <c r="T3037" s="4">
        <f>IFERROR(__xludf.DUMMYFUNCTION("""COMPUTED_VALUE"""),-0.081)</f>
        <v>-0.081</v>
      </c>
      <c r="U3037" s="4">
        <f>IFERROR(__xludf.DUMMYFUNCTION("""COMPUTED_VALUE"""),-7.9)</f>
        <v>-7.9</v>
      </c>
      <c r="V3037" s="4">
        <f>IFERROR(__xludf.DUMMYFUNCTION("""COMPUTED_VALUE"""),-0.8)</f>
        <v>-0.8</v>
      </c>
    </row>
    <row r="3038">
      <c r="A3038" s="4">
        <f>IFERROR(__xludf.DUMMYFUNCTION("""COMPUTED_VALUE"""),29.0)</f>
        <v>29</v>
      </c>
      <c r="B3038" s="4">
        <f>IFERROR(__xludf.DUMMYFUNCTION("""COMPUTED_VALUE"""),29.0)</f>
        <v>29</v>
      </c>
      <c r="C3038" s="4" t="str">
        <f>IFERROR(__xludf.DUMMYFUNCTION("""COMPUTED_VALUE"""),"IND")</f>
        <v>IND</v>
      </c>
      <c r="D3038" s="4" t="str">
        <f>IFERROR(__xludf.DUMMYFUNCTION("""COMPUTED_VALUE"""),"Stuart Gray")</f>
        <v>Stuart Gray</v>
      </c>
      <c r="E3038" s="4" t="str">
        <f>IFERROR(__xludf.DUMMYFUNCTION("""COMPUTED_VALUE"""),"UCLA")</f>
        <v>UCLA</v>
      </c>
      <c r="F3038" s="4">
        <f>IFERROR(__xludf.DUMMYFUNCTION("""COMPUTED_VALUE"""),7.0)</f>
        <v>7</v>
      </c>
      <c r="G3038" s="4">
        <f>IFERROR(__xludf.DUMMYFUNCTION("""COMPUTED_VALUE"""),386.0)</f>
        <v>386</v>
      </c>
      <c r="H3038" s="4">
        <f>IFERROR(__xludf.DUMMYFUNCTION("""COMPUTED_VALUE"""),3457.0)</f>
        <v>3457</v>
      </c>
      <c r="I3038" s="4">
        <f>IFERROR(__xludf.DUMMYFUNCTION("""COMPUTED_VALUE"""),906.0)</f>
        <v>906</v>
      </c>
      <c r="J3038" s="4">
        <f>IFERROR(__xludf.DUMMYFUNCTION("""COMPUTED_VALUE"""),1020.0)</f>
        <v>1020</v>
      </c>
      <c r="K3038" s="4">
        <f>IFERROR(__xludf.DUMMYFUNCTION("""COMPUTED_VALUE"""),148.0)</f>
        <v>148</v>
      </c>
      <c r="L3038" s="4">
        <f>IFERROR(__xludf.DUMMYFUNCTION("""COMPUTED_VALUE"""),0.446)</f>
        <v>0.446</v>
      </c>
      <c r="M3038" s="4">
        <f>IFERROR(__xludf.DUMMYFUNCTION("""COMPUTED_VALUE"""),0.0)</f>
        <v>0</v>
      </c>
      <c r="N3038" s="4">
        <f>IFERROR(__xludf.DUMMYFUNCTION("""COMPUTED_VALUE"""),0.663)</f>
        <v>0.663</v>
      </c>
      <c r="O3038" s="4">
        <f>IFERROR(__xludf.DUMMYFUNCTION("""COMPUTED_VALUE"""),9.0)</f>
        <v>9</v>
      </c>
      <c r="P3038" s="4">
        <f>IFERROR(__xludf.DUMMYFUNCTION("""COMPUTED_VALUE"""),2.3)</f>
        <v>2.3</v>
      </c>
      <c r="Q3038" s="4">
        <f>IFERROR(__xludf.DUMMYFUNCTION("""COMPUTED_VALUE"""),2.6)</f>
        <v>2.6</v>
      </c>
      <c r="R3038" s="4">
        <f>IFERROR(__xludf.DUMMYFUNCTION("""COMPUTED_VALUE"""),0.4)</f>
        <v>0.4</v>
      </c>
      <c r="S3038" s="4">
        <f>IFERROR(__xludf.DUMMYFUNCTION("""COMPUTED_VALUE"""),3.3)</f>
        <v>3.3</v>
      </c>
      <c r="T3038" s="4">
        <f>IFERROR(__xludf.DUMMYFUNCTION("""COMPUTED_VALUE"""),0.046)</f>
        <v>0.046</v>
      </c>
      <c r="U3038" s="4">
        <f>IFERROR(__xludf.DUMMYFUNCTION("""COMPUTED_VALUE"""),-4.2)</f>
        <v>-4.2</v>
      </c>
      <c r="V3038" s="4">
        <f>IFERROR(__xludf.DUMMYFUNCTION("""COMPUTED_VALUE"""),-1.9)</f>
        <v>-1.9</v>
      </c>
    </row>
    <row r="3039">
      <c r="A3039" s="4">
        <f>IFERROR(__xludf.DUMMYFUNCTION("""COMPUTED_VALUE"""),30.0)</f>
        <v>30</v>
      </c>
      <c r="B3039" s="4">
        <f>IFERROR(__xludf.DUMMYFUNCTION("""COMPUTED_VALUE"""),30.0)</f>
        <v>30</v>
      </c>
      <c r="C3039" s="4" t="str">
        <f>IFERROR(__xludf.DUMMYFUNCTION("""COMPUTED_VALUE"""),"GSW")</f>
        <v>GSW</v>
      </c>
      <c r="D3039" s="4" t="str">
        <f>IFERROR(__xludf.DUMMYFUNCTION("""COMPUTED_VALUE"""),"Steve Burtt")</f>
        <v>Steve Burtt</v>
      </c>
      <c r="E3039" s="4" t="str">
        <f>IFERROR(__xludf.DUMMYFUNCTION("""COMPUTED_VALUE"""),"Iona College")</f>
        <v>Iona College</v>
      </c>
      <c r="F3039" s="4">
        <f>IFERROR(__xludf.DUMMYFUNCTION("""COMPUTED_VALUE"""),4.0)</f>
        <v>4</v>
      </c>
      <c r="G3039" s="4">
        <f>IFERROR(__xludf.DUMMYFUNCTION("""COMPUTED_VALUE"""),101.0)</f>
        <v>101</v>
      </c>
      <c r="H3039" s="4">
        <f>IFERROR(__xludf.DUMMYFUNCTION("""COMPUTED_VALUE"""),1121.0)</f>
        <v>1121</v>
      </c>
      <c r="I3039" s="4">
        <f>IFERROR(__xludf.DUMMYFUNCTION("""COMPUTED_VALUE"""),584.0)</f>
        <v>584</v>
      </c>
      <c r="J3039" s="4">
        <f>IFERROR(__xludf.DUMMYFUNCTION("""COMPUTED_VALUE"""),92.0)</f>
        <v>92</v>
      </c>
      <c r="K3039" s="4">
        <f>IFERROR(__xludf.DUMMYFUNCTION("""COMPUTED_VALUE"""),123.0)</f>
        <v>123</v>
      </c>
      <c r="L3039" s="4">
        <f>IFERROR(__xludf.DUMMYFUNCTION("""COMPUTED_VALUE"""),0.426)</f>
        <v>0.426</v>
      </c>
      <c r="M3039" s="4">
        <f>IFERROR(__xludf.DUMMYFUNCTION("""COMPUTED_VALUE"""),0.143)</f>
        <v>0.143</v>
      </c>
      <c r="N3039" s="4">
        <f>IFERROR(__xludf.DUMMYFUNCTION("""COMPUTED_VALUE"""),0.695)</f>
        <v>0.695</v>
      </c>
      <c r="O3039" s="4">
        <f>IFERROR(__xludf.DUMMYFUNCTION("""COMPUTED_VALUE"""),11.1)</f>
        <v>11.1</v>
      </c>
      <c r="P3039" s="4">
        <f>IFERROR(__xludf.DUMMYFUNCTION("""COMPUTED_VALUE"""),5.8)</f>
        <v>5.8</v>
      </c>
      <c r="Q3039" s="4">
        <f>IFERROR(__xludf.DUMMYFUNCTION("""COMPUTED_VALUE"""),0.9)</f>
        <v>0.9</v>
      </c>
      <c r="R3039" s="4">
        <f>IFERROR(__xludf.DUMMYFUNCTION("""COMPUTED_VALUE"""),1.2)</f>
        <v>1.2</v>
      </c>
      <c r="S3039" s="4">
        <f>IFERROR(__xludf.DUMMYFUNCTION("""COMPUTED_VALUE"""),0.0)</f>
        <v>0</v>
      </c>
      <c r="T3039" s="4">
        <f>IFERROR(__xludf.DUMMYFUNCTION("""COMPUTED_VALUE"""),0.0)</f>
        <v>0</v>
      </c>
      <c r="U3039" s="4">
        <f>IFERROR(__xludf.DUMMYFUNCTION("""COMPUTED_VALUE"""),-5.1)</f>
        <v>-5.1</v>
      </c>
      <c r="V3039" s="4">
        <f>IFERROR(__xludf.DUMMYFUNCTION("""COMPUTED_VALUE"""),-0.9)</f>
        <v>-0.9</v>
      </c>
    </row>
    <row r="3040">
      <c r="A3040" s="4">
        <f>IFERROR(__xludf.DUMMYFUNCTION("""COMPUTED_VALUE"""),31.0)</f>
        <v>31</v>
      </c>
      <c r="B3040" s="4">
        <f>IFERROR(__xludf.DUMMYFUNCTION("""COMPUTED_VALUE"""),31.0)</f>
        <v>31</v>
      </c>
      <c r="C3040" s="4" t="str">
        <f>IFERROR(__xludf.DUMMYFUNCTION("""COMPUTED_VALUE"""),"GSW")</f>
        <v>GSW</v>
      </c>
      <c r="D3040" s="4" t="str">
        <f>IFERROR(__xludf.DUMMYFUNCTION("""COMPUTED_VALUE"""),"Jay Murphy")</f>
        <v>Jay Murphy</v>
      </c>
      <c r="E3040" s="4" t="str">
        <f>IFERROR(__xludf.DUMMYFUNCTION("""COMPUTED_VALUE"""),"Boston College")</f>
        <v>Boston College</v>
      </c>
      <c r="F3040" s="4">
        <f>IFERROR(__xludf.DUMMYFUNCTION("""COMPUTED_VALUE"""),4.0)</f>
        <v>4</v>
      </c>
      <c r="G3040" s="4">
        <f>IFERROR(__xludf.DUMMYFUNCTION("""COMPUTED_VALUE"""),67.0)</f>
        <v>67</v>
      </c>
      <c r="H3040" s="4">
        <f>IFERROR(__xludf.DUMMYFUNCTION("""COMPUTED_VALUE"""),436.0)</f>
        <v>436</v>
      </c>
      <c r="I3040" s="4">
        <f>IFERROR(__xludf.DUMMYFUNCTION("""COMPUTED_VALUE"""),160.0)</f>
        <v>160</v>
      </c>
      <c r="J3040" s="4">
        <f>IFERROR(__xludf.DUMMYFUNCTION("""COMPUTED_VALUE"""),111.0)</f>
        <v>111</v>
      </c>
      <c r="K3040" s="4">
        <f>IFERROR(__xludf.DUMMYFUNCTION("""COMPUTED_VALUE"""),13.0)</f>
        <v>13</v>
      </c>
      <c r="L3040" s="4">
        <f>IFERROR(__xludf.DUMMYFUNCTION("""COMPUTED_VALUE"""),0.332)</f>
        <v>0.332</v>
      </c>
      <c r="M3040" s="4">
        <f>IFERROR(__xludf.DUMMYFUNCTION("""COMPUTED_VALUE"""),0.0)</f>
        <v>0</v>
      </c>
      <c r="N3040" s="4">
        <f>IFERROR(__xludf.DUMMYFUNCTION("""COMPUTED_VALUE"""),0.607)</f>
        <v>0.607</v>
      </c>
      <c r="O3040" s="4">
        <f>IFERROR(__xludf.DUMMYFUNCTION("""COMPUTED_VALUE"""),6.5)</f>
        <v>6.5</v>
      </c>
      <c r="P3040" s="4">
        <f>IFERROR(__xludf.DUMMYFUNCTION("""COMPUTED_VALUE"""),2.4)</f>
        <v>2.4</v>
      </c>
      <c r="Q3040" s="4">
        <f>IFERROR(__xludf.DUMMYFUNCTION("""COMPUTED_VALUE"""),1.7)</f>
        <v>1.7</v>
      </c>
      <c r="R3040" s="4">
        <f>IFERROR(__xludf.DUMMYFUNCTION("""COMPUTED_VALUE"""),0.2)</f>
        <v>0.2</v>
      </c>
      <c r="S3040" s="4">
        <f>IFERROR(__xludf.DUMMYFUNCTION("""COMPUTED_VALUE"""),-0.5)</f>
        <v>-0.5</v>
      </c>
      <c r="T3040" s="4">
        <f>IFERROR(__xludf.DUMMYFUNCTION("""COMPUTED_VALUE"""),-0.052)</f>
        <v>-0.052</v>
      </c>
      <c r="U3040" s="4">
        <f>IFERROR(__xludf.DUMMYFUNCTION("""COMPUTED_VALUE"""),-8.0)</f>
        <v>-8</v>
      </c>
      <c r="V3040" s="4">
        <f>IFERROR(__xludf.DUMMYFUNCTION("""COMPUTED_VALUE"""),-0.7)</f>
        <v>-0.7</v>
      </c>
    </row>
    <row r="3041">
      <c r="A3041" s="4">
        <f>IFERROR(__xludf.DUMMYFUNCTION("""COMPUTED_VALUE"""),32.0)</f>
        <v>32</v>
      </c>
      <c r="B3041" s="4">
        <f>IFERROR(__xludf.DUMMYFUNCTION("""COMPUTED_VALUE"""),32.0)</f>
        <v>32</v>
      </c>
      <c r="C3041" s="4" t="str">
        <f>IFERROR(__xludf.DUMMYFUNCTION("""COMPUTED_VALUE"""),"DET")</f>
        <v>DET</v>
      </c>
      <c r="D3041" s="4" t="str">
        <f>IFERROR(__xludf.DUMMYFUNCTION("""COMPUTED_VALUE"""),"Eric Turner")</f>
        <v>Eric Turner</v>
      </c>
      <c r="E3041" s="4" t="str">
        <f>IFERROR(__xludf.DUMMYFUNCTION("""COMPUTED_VALUE"""),"Michigan")</f>
        <v>Michigan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</row>
    <row r="3042">
      <c r="A3042" s="4">
        <f>IFERROR(__xludf.DUMMYFUNCTION("""COMPUTED_VALUE"""),33.0)</f>
        <v>33</v>
      </c>
      <c r="B3042" s="4">
        <f>IFERROR(__xludf.DUMMYFUNCTION("""COMPUTED_VALUE"""),33.0)</f>
        <v>33</v>
      </c>
      <c r="C3042" s="4" t="str">
        <f>IFERROR(__xludf.DUMMYFUNCTION("""COMPUTED_VALUE"""),"POR")</f>
        <v>POR</v>
      </c>
      <c r="D3042" s="4" t="str">
        <f>IFERROR(__xludf.DUMMYFUNCTION("""COMPUTED_VALUE"""),"Steve Colter")</f>
        <v>Steve Colter</v>
      </c>
      <c r="E3042" s="4" t="str">
        <f>IFERROR(__xludf.DUMMYFUNCTION("""COMPUTED_VALUE"""),"New Mexico State")</f>
        <v>New Mexico State</v>
      </c>
      <c r="F3042" s="4">
        <f>IFERROR(__xludf.DUMMYFUNCTION("""COMPUTED_VALUE"""),8.0)</f>
        <v>8</v>
      </c>
      <c r="G3042" s="4">
        <f>IFERROR(__xludf.DUMMYFUNCTION("""COMPUTED_VALUE"""),526.0)</f>
        <v>526</v>
      </c>
      <c r="H3042" s="4">
        <f>IFERROR(__xludf.DUMMYFUNCTION("""COMPUTED_VALUE"""),9570.0)</f>
        <v>9570</v>
      </c>
      <c r="I3042" s="4">
        <f>IFERROR(__xludf.DUMMYFUNCTION("""COMPUTED_VALUE"""),3319.0)</f>
        <v>3319</v>
      </c>
      <c r="J3042" s="4">
        <f>IFERROR(__xludf.DUMMYFUNCTION("""COMPUTED_VALUE"""),1051.0)</f>
        <v>1051</v>
      </c>
      <c r="K3042" s="4">
        <f>IFERROR(__xludf.DUMMYFUNCTION("""COMPUTED_VALUE"""),1482.0)</f>
        <v>1482</v>
      </c>
      <c r="L3042" s="4">
        <f>IFERROR(__xludf.DUMMYFUNCTION("""COMPUTED_VALUE"""),0.448)</f>
        <v>0.448</v>
      </c>
      <c r="M3042" s="4">
        <f>IFERROR(__xludf.DUMMYFUNCTION("""COMPUTED_VALUE"""),0.289)</f>
        <v>0.289</v>
      </c>
      <c r="N3042" s="4">
        <f>IFERROR(__xludf.DUMMYFUNCTION("""COMPUTED_VALUE"""),0.778)</f>
        <v>0.778</v>
      </c>
      <c r="O3042" s="4">
        <f>IFERROR(__xludf.DUMMYFUNCTION("""COMPUTED_VALUE"""),18.2)</f>
        <v>18.2</v>
      </c>
      <c r="P3042" s="4">
        <f>IFERROR(__xludf.DUMMYFUNCTION("""COMPUTED_VALUE"""),6.3)</f>
        <v>6.3</v>
      </c>
      <c r="Q3042" s="4">
        <f>IFERROR(__xludf.DUMMYFUNCTION("""COMPUTED_VALUE"""),2.0)</f>
        <v>2</v>
      </c>
      <c r="R3042" s="4">
        <f>IFERROR(__xludf.DUMMYFUNCTION("""COMPUTED_VALUE"""),2.8)</f>
        <v>2.8</v>
      </c>
      <c r="S3042" s="4">
        <f>IFERROR(__xludf.DUMMYFUNCTION("""COMPUTED_VALUE"""),17.3)</f>
        <v>17.3</v>
      </c>
      <c r="T3042" s="4">
        <f>IFERROR(__xludf.DUMMYFUNCTION("""COMPUTED_VALUE"""),0.087)</f>
        <v>0.087</v>
      </c>
      <c r="U3042" s="4">
        <f>IFERROR(__xludf.DUMMYFUNCTION("""COMPUTED_VALUE"""),-0.2)</f>
        <v>-0.2</v>
      </c>
      <c r="V3042" s="4">
        <f>IFERROR(__xludf.DUMMYFUNCTION("""COMPUTED_VALUE"""),4.4)</f>
        <v>4.4</v>
      </c>
    </row>
    <row r="3043">
      <c r="A3043" s="4">
        <f>IFERROR(__xludf.DUMMYFUNCTION("""COMPUTED_VALUE"""),34.0)</f>
        <v>34</v>
      </c>
      <c r="B3043" s="4">
        <f>IFERROR(__xludf.DUMMYFUNCTION("""COMPUTED_VALUE"""),34.0)</f>
        <v>34</v>
      </c>
      <c r="C3043" s="4" t="str">
        <f>IFERROR(__xludf.DUMMYFUNCTION("""COMPUTED_VALUE"""),"WSB")</f>
        <v>WSB</v>
      </c>
      <c r="D3043" s="4" t="str">
        <f>IFERROR(__xludf.DUMMYFUNCTION("""COMPUTED_VALUE"""),"Tony Costner")</f>
        <v>Tony Costner</v>
      </c>
      <c r="E3043" s="4" t="str">
        <f>IFERROR(__xludf.DUMMYFUNCTION("""COMPUTED_VALUE"""),"Saint Joseph's")</f>
        <v>Saint Joseph's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</row>
    <row r="3044">
      <c r="A3044" s="4">
        <f>IFERROR(__xludf.DUMMYFUNCTION("""COMPUTED_VALUE"""),35.0)</f>
        <v>35</v>
      </c>
      <c r="B3044" s="4">
        <f>IFERROR(__xludf.DUMMYFUNCTION("""COMPUTED_VALUE"""),35.0)</f>
        <v>35</v>
      </c>
      <c r="C3044" s="4" t="str">
        <f>IFERROR(__xludf.DUMMYFUNCTION("""COMPUTED_VALUE"""),"GSW")</f>
        <v>GSW</v>
      </c>
      <c r="D3044" s="4" t="str">
        <f>IFERROR(__xludf.DUMMYFUNCTION("""COMPUTED_VALUE"""),"Othell Wilson")</f>
        <v>Othell Wilson</v>
      </c>
      <c r="E3044" s="4" t="str">
        <f>IFERROR(__xludf.DUMMYFUNCTION("""COMPUTED_VALUE"""),"Virginia")</f>
        <v>Virginia</v>
      </c>
      <c r="F3044" s="4">
        <f>IFERROR(__xludf.DUMMYFUNCTION("""COMPUTED_VALUE"""),2.0)</f>
        <v>2</v>
      </c>
      <c r="G3044" s="4">
        <f>IFERROR(__xludf.DUMMYFUNCTION("""COMPUTED_VALUE"""),127.0)</f>
        <v>127</v>
      </c>
      <c r="H3044" s="4">
        <f>IFERROR(__xludf.DUMMYFUNCTION("""COMPUTED_VALUE"""),2049.0)</f>
        <v>2049</v>
      </c>
      <c r="I3044" s="4">
        <f>IFERROR(__xludf.DUMMYFUNCTION("""COMPUTED_VALUE"""),535.0)</f>
        <v>535</v>
      </c>
      <c r="J3044" s="4">
        <f>IFERROR(__xludf.DUMMYFUNCTION("""COMPUTED_VALUE"""),212.0)</f>
        <v>212</v>
      </c>
      <c r="K3044" s="4">
        <f>IFERROR(__xludf.DUMMYFUNCTION("""COMPUTED_VALUE"""),424.0)</f>
        <v>424</v>
      </c>
      <c r="L3044" s="4">
        <f>IFERROR(__xludf.DUMMYFUNCTION("""COMPUTED_VALUE"""),0.454)</f>
        <v>0.454</v>
      </c>
      <c r="M3044" s="4">
        <f>IFERROR(__xludf.DUMMYFUNCTION("""COMPUTED_VALUE"""),0.176)</f>
        <v>0.176</v>
      </c>
      <c r="N3044" s="4">
        <f>IFERROR(__xludf.DUMMYFUNCTION("""COMPUTED_VALUE"""),0.746)</f>
        <v>0.746</v>
      </c>
      <c r="O3044" s="4">
        <f>IFERROR(__xludf.DUMMYFUNCTION("""COMPUTED_VALUE"""),16.1)</f>
        <v>16.1</v>
      </c>
      <c r="P3044" s="4">
        <f>IFERROR(__xludf.DUMMYFUNCTION("""COMPUTED_VALUE"""),4.2)</f>
        <v>4.2</v>
      </c>
      <c r="Q3044" s="4">
        <f>IFERROR(__xludf.DUMMYFUNCTION("""COMPUTED_VALUE"""),1.7)</f>
        <v>1.7</v>
      </c>
      <c r="R3044" s="4">
        <f>IFERROR(__xludf.DUMMYFUNCTION("""COMPUTED_VALUE"""),3.3)</f>
        <v>3.3</v>
      </c>
      <c r="S3044" s="4">
        <f>IFERROR(__xludf.DUMMYFUNCTION("""COMPUTED_VALUE"""),1.4)</f>
        <v>1.4</v>
      </c>
      <c r="T3044" s="4">
        <f>IFERROR(__xludf.DUMMYFUNCTION("""COMPUTED_VALUE"""),0.032)</f>
        <v>0.032</v>
      </c>
      <c r="U3044" s="4">
        <f>IFERROR(__xludf.DUMMYFUNCTION("""COMPUTED_VALUE"""),-1.3)</f>
        <v>-1.3</v>
      </c>
      <c r="V3044" s="4">
        <f>IFERROR(__xludf.DUMMYFUNCTION("""COMPUTED_VALUE"""),0.4)</f>
        <v>0.4</v>
      </c>
    </row>
    <row r="3045">
      <c r="A3045" s="4">
        <f>IFERROR(__xludf.DUMMYFUNCTION("""COMPUTED_VALUE"""),36.0)</f>
        <v>36</v>
      </c>
      <c r="B3045" s="4">
        <f>IFERROR(__xludf.DUMMYFUNCTION("""COMPUTED_VALUE"""),36.0)</f>
        <v>36</v>
      </c>
      <c r="C3045" s="4" t="str">
        <f>IFERROR(__xludf.DUMMYFUNCTION("""COMPUTED_VALUE"""),"PHO")</f>
        <v>PHO</v>
      </c>
      <c r="D3045" s="4" t="str">
        <f>IFERROR(__xludf.DUMMYFUNCTION("""COMPUTED_VALUE"""),"Charles Jones")</f>
        <v>Charles Jones</v>
      </c>
      <c r="E3045" s="4" t="str">
        <f>IFERROR(__xludf.DUMMYFUNCTION("""COMPUTED_VALUE"""),"Louisville")</f>
        <v>Louisville</v>
      </c>
      <c r="F3045" s="4">
        <f>IFERROR(__xludf.DUMMYFUNCTION("""COMPUTED_VALUE"""),4.0)</f>
        <v>4</v>
      </c>
      <c r="G3045" s="4">
        <f>IFERROR(__xludf.DUMMYFUNCTION("""COMPUTED_VALUE"""),201.0)</f>
        <v>201</v>
      </c>
      <c r="H3045" s="4">
        <f>IFERROR(__xludf.DUMMYFUNCTION("""COMPUTED_VALUE"""),3009.0)</f>
        <v>3009</v>
      </c>
      <c r="I3045" s="4">
        <f>IFERROR(__xludf.DUMMYFUNCTION("""COMPUTED_VALUE"""),1015.0)</f>
        <v>1015</v>
      </c>
      <c r="J3045" s="4">
        <f>IFERROR(__xludf.DUMMYFUNCTION("""COMPUTED_VALUE"""),758.0)</f>
        <v>758</v>
      </c>
      <c r="K3045" s="4">
        <f>IFERROR(__xludf.DUMMYFUNCTION("""COMPUTED_VALUE"""),206.0)</f>
        <v>206</v>
      </c>
      <c r="L3045" s="4">
        <f>IFERROR(__xludf.DUMMYFUNCTION("""COMPUTED_VALUE"""),0.493)</f>
        <v>0.493</v>
      </c>
      <c r="M3045" s="4">
        <f>IFERROR(__xludf.DUMMYFUNCTION("""COMPUTED_VALUE"""),0.111)</f>
        <v>0.111</v>
      </c>
      <c r="N3045" s="4">
        <f>IFERROR(__xludf.DUMMYFUNCTION("""COMPUTED_VALUE"""),0.611)</f>
        <v>0.611</v>
      </c>
      <c r="O3045" s="4">
        <f>IFERROR(__xludf.DUMMYFUNCTION("""COMPUTED_VALUE"""),15.0)</f>
        <v>15</v>
      </c>
      <c r="P3045" s="4">
        <f>IFERROR(__xludf.DUMMYFUNCTION("""COMPUTED_VALUE"""),5.0)</f>
        <v>5</v>
      </c>
      <c r="Q3045" s="4">
        <f>IFERROR(__xludf.DUMMYFUNCTION("""COMPUTED_VALUE"""),3.8)</f>
        <v>3.8</v>
      </c>
      <c r="R3045" s="4">
        <f>IFERROR(__xludf.DUMMYFUNCTION("""COMPUTED_VALUE"""),1.0)</f>
        <v>1</v>
      </c>
      <c r="S3045" s="4">
        <f>IFERROR(__xludf.DUMMYFUNCTION("""COMPUTED_VALUE"""),4.5)</f>
        <v>4.5</v>
      </c>
      <c r="T3045" s="4">
        <f>IFERROR(__xludf.DUMMYFUNCTION("""COMPUTED_VALUE"""),0.072)</f>
        <v>0.072</v>
      </c>
      <c r="U3045" s="4">
        <f>IFERROR(__xludf.DUMMYFUNCTION("""COMPUTED_VALUE"""),-0.9)</f>
        <v>-0.9</v>
      </c>
      <c r="V3045" s="4">
        <f>IFERROR(__xludf.DUMMYFUNCTION("""COMPUTED_VALUE"""),0.8)</f>
        <v>0.8</v>
      </c>
    </row>
    <row r="3046">
      <c r="A3046" s="4">
        <f>IFERROR(__xludf.DUMMYFUNCTION("""COMPUTED_VALUE"""),37.0)</f>
        <v>37</v>
      </c>
      <c r="B3046" s="4">
        <f>IFERROR(__xludf.DUMMYFUNCTION("""COMPUTED_VALUE"""),37.0)</f>
        <v>37</v>
      </c>
      <c r="C3046" s="4" t="str">
        <f>IFERROR(__xludf.DUMMYFUNCTION("""COMPUTED_VALUE"""),"CHI")</f>
        <v>CHI</v>
      </c>
      <c r="D3046" s="4" t="str">
        <f>IFERROR(__xludf.DUMMYFUNCTION("""COMPUTED_VALUE"""),"Ben Coleman")</f>
        <v>Ben Coleman</v>
      </c>
      <c r="E3046" s="4" t="str">
        <f>IFERROR(__xludf.DUMMYFUNCTION("""COMPUTED_VALUE"""),"Maryland")</f>
        <v>Maryland</v>
      </c>
      <c r="F3046" s="4">
        <f>IFERROR(__xludf.DUMMYFUNCTION("""COMPUTED_VALUE"""),5.0)</f>
        <v>5</v>
      </c>
      <c r="G3046" s="4">
        <f>IFERROR(__xludf.DUMMYFUNCTION("""COMPUTED_VALUE"""),227.0)</f>
        <v>227</v>
      </c>
      <c r="H3046" s="4">
        <f>IFERROR(__xludf.DUMMYFUNCTION("""COMPUTED_VALUE"""),3612.0)</f>
        <v>3612</v>
      </c>
      <c r="I3046" s="4">
        <f>IFERROR(__xludf.DUMMYFUNCTION("""COMPUTED_VALUE"""),1494.0)</f>
        <v>1494</v>
      </c>
      <c r="J3046" s="4">
        <f>IFERROR(__xludf.DUMMYFUNCTION("""COMPUTED_VALUE"""),928.0)</f>
        <v>928</v>
      </c>
      <c r="K3046" s="4">
        <f>IFERROR(__xludf.DUMMYFUNCTION("""COMPUTED_VALUE"""),128.0)</f>
        <v>128</v>
      </c>
      <c r="L3046" s="4">
        <f>IFERROR(__xludf.DUMMYFUNCTION("""COMPUTED_VALUE"""),0.516)</f>
        <v>0.516</v>
      </c>
      <c r="M3046" s="4">
        <f>IFERROR(__xludf.DUMMYFUNCTION("""COMPUTED_VALUE"""),0.0)</f>
        <v>0</v>
      </c>
      <c r="N3046" s="4">
        <f>IFERROR(__xludf.DUMMYFUNCTION("""COMPUTED_VALUE"""),0.759)</f>
        <v>0.759</v>
      </c>
      <c r="O3046" s="4">
        <f>IFERROR(__xludf.DUMMYFUNCTION("""COMPUTED_VALUE"""),15.9)</f>
        <v>15.9</v>
      </c>
      <c r="P3046" s="4">
        <f>IFERROR(__xludf.DUMMYFUNCTION("""COMPUTED_VALUE"""),6.6)</f>
        <v>6.6</v>
      </c>
      <c r="Q3046" s="4">
        <f>IFERROR(__xludf.DUMMYFUNCTION("""COMPUTED_VALUE"""),4.1)</f>
        <v>4.1</v>
      </c>
      <c r="R3046" s="4">
        <f>IFERROR(__xludf.DUMMYFUNCTION("""COMPUTED_VALUE"""),0.6)</f>
        <v>0.6</v>
      </c>
      <c r="S3046" s="4">
        <f>IFERROR(__xludf.DUMMYFUNCTION("""COMPUTED_VALUE"""),5.0)</f>
        <v>5</v>
      </c>
      <c r="T3046" s="4">
        <f>IFERROR(__xludf.DUMMYFUNCTION("""COMPUTED_VALUE"""),0.067)</f>
        <v>0.067</v>
      </c>
      <c r="U3046" s="4">
        <f>IFERROR(__xludf.DUMMYFUNCTION("""COMPUTED_VALUE"""),-3.4)</f>
        <v>-3.4</v>
      </c>
      <c r="V3046" s="4">
        <f>IFERROR(__xludf.DUMMYFUNCTION("""COMPUTED_VALUE"""),-1.3)</f>
        <v>-1.3</v>
      </c>
    </row>
    <row r="3047">
      <c r="A3047" s="4">
        <f>IFERROR(__xludf.DUMMYFUNCTION("""COMPUTED_VALUE"""),38.0)</f>
        <v>38</v>
      </c>
      <c r="B3047" s="4">
        <f>IFERROR(__xludf.DUMMYFUNCTION("""COMPUTED_VALUE"""),38.0)</f>
        <v>38</v>
      </c>
      <c r="C3047" s="4" t="str">
        <f>IFERROR(__xludf.DUMMYFUNCTION("""COMPUTED_VALUE"""),"DAL")</f>
        <v>DAL</v>
      </c>
      <c r="D3047" s="4" t="str">
        <f>IFERROR(__xludf.DUMMYFUNCTION("""COMPUTED_VALUE"""),"Charlie Sitton")</f>
        <v>Charlie Sitton</v>
      </c>
      <c r="E3047" s="4" t="str">
        <f>IFERROR(__xludf.DUMMYFUNCTION("""COMPUTED_VALUE"""),"Oregon State")</f>
        <v>Oregon State</v>
      </c>
      <c r="F3047" s="4">
        <f>IFERROR(__xludf.DUMMYFUNCTION("""COMPUTED_VALUE"""),1.0)</f>
        <v>1</v>
      </c>
      <c r="G3047" s="4">
        <f>IFERROR(__xludf.DUMMYFUNCTION("""COMPUTED_VALUE"""),43.0)</f>
        <v>43</v>
      </c>
      <c r="H3047" s="4">
        <f>IFERROR(__xludf.DUMMYFUNCTION("""COMPUTED_VALUE"""),304.0)</f>
        <v>304</v>
      </c>
      <c r="I3047" s="4">
        <f>IFERROR(__xludf.DUMMYFUNCTION("""COMPUTED_VALUE"""),91.0)</f>
        <v>91</v>
      </c>
      <c r="J3047" s="4">
        <f>IFERROR(__xludf.DUMMYFUNCTION("""COMPUTED_VALUE"""),60.0)</f>
        <v>60</v>
      </c>
      <c r="K3047" s="4">
        <f>IFERROR(__xludf.DUMMYFUNCTION("""COMPUTED_VALUE"""),26.0)</f>
        <v>26</v>
      </c>
      <c r="L3047" s="4">
        <f>IFERROR(__xludf.DUMMYFUNCTION("""COMPUTED_VALUE"""),0.415)</f>
        <v>0.415</v>
      </c>
      <c r="M3047" s="4">
        <f>IFERROR(__xludf.DUMMYFUNCTION("""COMPUTED_VALUE"""),0.0)</f>
        <v>0</v>
      </c>
      <c r="N3047" s="4">
        <f>IFERROR(__xludf.DUMMYFUNCTION("""COMPUTED_VALUE"""),0.52)</f>
        <v>0.52</v>
      </c>
      <c r="O3047" s="4">
        <f>IFERROR(__xludf.DUMMYFUNCTION("""COMPUTED_VALUE"""),7.1)</f>
        <v>7.1</v>
      </c>
      <c r="P3047" s="4">
        <f>IFERROR(__xludf.DUMMYFUNCTION("""COMPUTED_VALUE"""),2.1)</f>
        <v>2.1</v>
      </c>
      <c r="Q3047" s="4">
        <f>IFERROR(__xludf.DUMMYFUNCTION("""COMPUTED_VALUE"""),1.4)</f>
        <v>1.4</v>
      </c>
      <c r="R3047" s="4">
        <f>IFERROR(__xludf.DUMMYFUNCTION("""COMPUTED_VALUE"""),0.6)</f>
        <v>0.6</v>
      </c>
      <c r="S3047" s="4">
        <f>IFERROR(__xludf.DUMMYFUNCTION("""COMPUTED_VALUE"""),0.1)</f>
        <v>0.1</v>
      </c>
      <c r="T3047" s="4">
        <f>IFERROR(__xludf.DUMMYFUNCTION("""COMPUTED_VALUE"""),0.008)</f>
        <v>0.008</v>
      </c>
      <c r="U3047" s="4">
        <f>IFERROR(__xludf.DUMMYFUNCTION("""COMPUTED_VALUE"""),-5.3)</f>
        <v>-5.3</v>
      </c>
      <c r="V3047" s="4">
        <f>IFERROR(__xludf.DUMMYFUNCTION("""COMPUTED_VALUE"""),-0.2)</f>
        <v>-0.2</v>
      </c>
    </row>
    <row r="3048">
      <c r="A3048" s="4">
        <f>IFERROR(__xludf.DUMMYFUNCTION("""COMPUTED_VALUE"""),39.0)</f>
        <v>39</v>
      </c>
      <c r="B3048" s="4">
        <f>IFERROR(__xludf.DUMMYFUNCTION("""COMPUTED_VALUE"""),39.0)</f>
        <v>39</v>
      </c>
      <c r="C3048" s="4" t="str">
        <f>IFERROR(__xludf.DUMMYFUNCTION("""COMPUTED_VALUE"""),"SEA")</f>
        <v>SEA</v>
      </c>
      <c r="D3048" s="4" t="str">
        <f>IFERROR(__xludf.DUMMYFUNCTION("""COMPUTED_VALUE"""),"Danny Young")</f>
        <v>Danny Young</v>
      </c>
      <c r="E3048" s="4" t="str">
        <f>IFERROR(__xludf.DUMMYFUNCTION("""COMPUTED_VALUE"""),"Wake Forest")</f>
        <v>Wake Forest</v>
      </c>
      <c r="F3048" s="4">
        <f>IFERROR(__xludf.DUMMYFUNCTION("""COMPUTED_VALUE"""),10.0)</f>
        <v>10</v>
      </c>
      <c r="G3048" s="4">
        <f>IFERROR(__xludf.DUMMYFUNCTION("""COMPUTED_VALUE"""),574.0)</f>
        <v>574</v>
      </c>
      <c r="H3048" s="4">
        <f>IFERROR(__xludf.DUMMYFUNCTION("""COMPUTED_VALUE"""),9536.0)</f>
        <v>9536</v>
      </c>
      <c r="I3048" s="4">
        <f>IFERROR(__xludf.DUMMYFUNCTION("""COMPUTED_VALUE"""),2622.0)</f>
        <v>2622</v>
      </c>
      <c r="J3048" s="4">
        <f>IFERROR(__xludf.DUMMYFUNCTION("""COMPUTED_VALUE"""),709.0)</f>
        <v>709</v>
      </c>
      <c r="K3048" s="4">
        <f>IFERROR(__xludf.DUMMYFUNCTION("""COMPUTED_VALUE"""),1674.0)</f>
        <v>1674</v>
      </c>
      <c r="L3048" s="4">
        <f>IFERROR(__xludf.DUMMYFUNCTION("""COMPUTED_VALUE"""),0.437)</f>
        <v>0.437</v>
      </c>
      <c r="M3048" s="4">
        <f>IFERROR(__xludf.DUMMYFUNCTION("""COMPUTED_VALUE"""),0.327)</f>
        <v>0.327</v>
      </c>
      <c r="N3048" s="4">
        <f>IFERROR(__xludf.DUMMYFUNCTION("""COMPUTED_VALUE"""),0.835)</f>
        <v>0.835</v>
      </c>
      <c r="O3048" s="4">
        <f>IFERROR(__xludf.DUMMYFUNCTION("""COMPUTED_VALUE"""),16.6)</f>
        <v>16.6</v>
      </c>
      <c r="P3048" s="4">
        <f>IFERROR(__xludf.DUMMYFUNCTION("""COMPUTED_VALUE"""),4.6)</f>
        <v>4.6</v>
      </c>
      <c r="Q3048" s="4">
        <f>IFERROR(__xludf.DUMMYFUNCTION("""COMPUTED_VALUE"""),1.2)</f>
        <v>1.2</v>
      </c>
      <c r="R3048" s="4">
        <f>IFERROR(__xludf.DUMMYFUNCTION("""COMPUTED_VALUE"""),2.9)</f>
        <v>2.9</v>
      </c>
      <c r="S3048" s="4">
        <f>IFERROR(__xludf.DUMMYFUNCTION("""COMPUTED_VALUE"""),20.2)</f>
        <v>20.2</v>
      </c>
      <c r="T3048" s="4">
        <f>IFERROR(__xludf.DUMMYFUNCTION("""COMPUTED_VALUE"""),0.101)</f>
        <v>0.101</v>
      </c>
      <c r="U3048" s="4">
        <f>IFERROR(__xludf.DUMMYFUNCTION("""COMPUTED_VALUE"""),0.7)</f>
        <v>0.7</v>
      </c>
      <c r="V3048" s="4">
        <f>IFERROR(__xludf.DUMMYFUNCTION("""COMPUTED_VALUE"""),6.6)</f>
        <v>6.6</v>
      </c>
    </row>
    <row r="3049">
      <c r="A3049" s="4">
        <f>IFERROR(__xludf.DUMMYFUNCTION("""COMPUTED_VALUE"""),40.0)</f>
        <v>40</v>
      </c>
      <c r="B3049" s="4">
        <f>IFERROR(__xludf.DUMMYFUNCTION("""COMPUTED_VALUE"""),40.0)</f>
        <v>40</v>
      </c>
      <c r="C3049" s="4" t="str">
        <f>IFERROR(__xludf.DUMMYFUNCTION("""COMPUTED_VALUE"""),"DAL")</f>
        <v>DAL</v>
      </c>
      <c r="D3049" s="4" t="str">
        <f>IFERROR(__xludf.DUMMYFUNCTION("""COMPUTED_VALUE"""),"Anthony Teachey")</f>
        <v>Anthony Teachey</v>
      </c>
      <c r="E3049" s="4" t="str">
        <f>IFERROR(__xludf.DUMMYFUNCTION("""COMPUTED_VALUE"""),"Wake Forest")</f>
        <v>Wake Forest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</row>
    <row r="3050">
      <c r="A3050" s="4">
        <f>IFERROR(__xludf.DUMMYFUNCTION("""COMPUTED_VALUE"""),41.0)</f>
        <v>41</v>
      </c>
      <c r="B3050" s="4">
        <f>IFERROR(__xludf.DUMMYFUNCTION("""COMPUTED_VALUE"""),41.0)</f>
        <v>41</v>
      </c>
      <c r="C3050" s="4" t="str">
        <f>IFERROR(__xludf.DUMMYFUNCTION("""COMPUTED_VALUE"""),"DAL")</f>
        <v>DAL</v>
      </c>
      <c r="D3050" s="4" t="str">
        <f>IFERROR(__xludf.DUMMYFUNCTION("""COMPUTED_VALUE"""),"Tom Sluby")</f>
        <v>Tom Sluby</v>
      </c>
      <c r="E3050" s="4" t="str">
        <f>IFERROR(__xludf.DUMMYFUNCTION("""COMPUTED_VALUE"""),"Notre Dame")</f>
        <v>Notre Dame</v>
      </c>
      <c r="F3050" s="4">
        <f>IFERROR(__xludf.DUMMYFUNCTION("""COMPUTED_VALUE"""),1.0)</f>
        <v>1</v>
      </c>
      <c r="G3050" s="4">
        <f>IFERROR(__xludf.DUMMYFUNCTION("""COMPUTED_VALUE"""),31.0)</f>
        <v>31</v>
      </c>
      <c r="H3050" s="4">
        <f>IFERROR(__xludf.DUMMYFUNCTION("""COMPUTED_VALUE"""),151.0)</f>
        <v>151</v>
      </c>
      <c r="I3050" s="4">
        <f>IFERROR(__xludf.DUMMYFUNCTION("""COMPUTED_VALUE"""),73.0)</f>
        <v>73</v>
      </c>
      <c r="J3050" s="4">
        <f>IFERROR(__xludf.DUMMYFUNCTION("""COMPUTED_VALUE"""),12.0)</f>
        <v>12</v>
      </c>
      <c r="K3050" s="4">
        <f>IFERROR(__xludf.DUMMYFUNCTION("""COMPUTED_VALUE"""),16.0)</f>
        <v>16</v>
      </c>
      <c r="L3050" s="4">
        <f>IFERROR(__xludf.DUMMYFUNCTION("""COMPUTED_VALUE"""),0.517)</f>
        <v>0.517</v>
      </c>
      <c r="M3050" s="4">
        <f>IFERROR(__xludf.DUMMYFUNCTION("""COMPUTED_VALUE"""),0.0)</f>
        <v>0</v>
      </c>
      <c r="N3050" s="4">
        <f>IFERROR(__xludf.DUMMYFUNCTION("""COMPUTED_VALUE"""),0.619)</f>
        <v>0.619</v>
      </c>
      <c r="O3050" s="4">
        <f>IFERROR(__xludf.DUMMYFUNCTION("""COMPUTED_VALUE"""),4.9)</f>
        <v>4.9</v>
      </c>
      <c r="P3050" s="4">
        <f>IFERROR(__xludf.DUMMYFUNCTION("""COMPUTED_VALUE"""),2.4)</f>
        <v>2.4</v>
      </c>
      <c r="Q3050" s="4">
        <f>IFERROR(__xludf.DUMMYFUNCTION("""COMPUTED_VALUE"""),0.4)</f>
        <v>0.4</v>
      </c>
      <c r="R3050" s="4">
        <f>IFERROR(__xludf.DUMMYFUNCTION("""COMPUTED_VALUE"""),0.5)</f>
        <v>0.5</v>
      </c>
      <c r="S3050" s="4">
        <f>IFERROR(__xludf.DUMMYFUNCTION("""COMPUTED_VALUE"""),0.2)</f>
        <v>0.2</v>
      </c>
      <c r="T3050" s="4">
        <f>IFERROR(__xludf.DUMMYFUNCTION("""COMPUTED_VALUE"""),0.052)</f>
        <v>0.052</v>
      </c>
      <c r="U3050" s="4">
        <f>IFERROR(__xludf.DUMMYFUNCTION("""COMPUTED_VALUE"""),-3.4)</f>
        <v>-3.4</v>
      </c>
      <c r="V3050" s="4">
        <f>IFERROR(__xludf.DUMMYFUNCTION("""COMPUTED_VALUE"""),0.0)</f>
        <v>0</v>
      </c>
    </row>
    <row r="3051">
      <c r="A3051" s="4">
        <f>IFERROR(__xludf.DUMMYFUNCTION("""COMPUTED_VALUE"""),42.0)</f>
        <v>42</v>
      </c>
      <c r="B3051" s="4">
        <f>IFERROR(__xludf.DUMMYFUNCTION("""COMPUTED_VALUE"""),42.0)</f>
        <v>42</v>
      </c>
      <c r="C3051" s="4" t="str">
        <f>IFERROR(__xludf.DUMMYFUNCTION("""COMPUTED_VALUE"""),"DEN")</f>
        <v>DEN</v>
      </c>
      <c r="D3051" s="4" t="str">
        <f>IFERROR(__xludf.DUMMYFUNCTION("""COMPUTED_VALUE"""),"Willie White")</f>
        <v>Willie White</v>
      </c>
      <c r="E3051" s="4" t="str">
        <f>IFERROR(__xludf.DUMMYFUNCTION("""COMPUTED_VALUE"""),"Chattanooga")</f>
        <v>Chattanooga</v>
      </c>
      <c r="F3051" s="4">
        <f>IFERROR(__xludf.DUMMYFUNCTION("""COMPUTED_VALUE"""),2.0)</f>
        <v>2</v>
      </c>
      <c r="G3051" s="4">
        <f>IFERROR(__xludf.DUMMYFUNCTION("""COMPUTED_VALUE"""),82.0)</f>
        <v>82</v>
      </c>
      <c r="H3051" s="4">
        <f>IFERROR(__xludf.DUMMYFUNCTION("""COMPUTED_VALUE"""),577.0)</f>
        <v>577</v>
      </c>
      <c r="I3051" s="4">
        <f>IFERROR(__xludf.DUMMYFUNCTION("""COMPUTED_VALUE"""),302.0)</f>
        <v>302</v>
      </c>
      <c r="J3051" s="4">
        <f>IFERROR(__xludf.DUMMYFUNCTION("""COMPUTED_VALUE"""),80.0)</f>
        <v>80</v>
      </c>
      <c r="K3051" s="4">
        <f>IFERROR(__xludf.DUMMYFUNCTION("""COMPUTED_VALUE"""),82.0)</f>
        <v>82</v>
      </c>
      <c r="L3051" s="4">
        <f>IFERROR(__xludf.DUMMYFUNCTION("""COMPUTED_VALUE"""),0.432)</f>
        <v>0.432</v>
      </c>
      <c r="M3051" s="4">
        <f>IFERROR(__xludf.DUMMYFUNCTION("""COMPUTED_VALUE"""),0.313)</f>
        <v>0.313</v>
      </c>
      <c r="N3051" s="4">
        <f>IFERROR(__xludf.DUMMYFUNCTION("""COMPUTED_VALUE"""),0.741)</f>
        <v>0.741</v>
      </c>
      <c r="O3051" s="4">
        <f>IFERROR(__xludf.DUMMYFUNCTION("""COMPUTED_VALUE"""),7.0)</f>
        <v>7</v>
      </c>
      <c r="P3051" s="4">
        <f>IFERROR(__xludf.DUMMYFUNCTION("""COMPUTED_VALUE"""),3.7)</f>
        <v>3.7</v>
      </c>
      <c r="Q3051" s="4">
        <f>IFERROR(__xludf.DUMMYFUNCTION("""COMPUTED_VALUE"""),1.0)</f>
        <v>1</v>
      </c>
      <c r="R3051" s="4">
        <f>IFERROR(__xludf.DUMMYFUNCTION("""COMPUTED_VALUE"""),1.0)</f>
        <v>1</v>
      </c>
      <c r="S3051" s="4">
        <f>IFERROR(__xludf.DUMMYFUNCTION("""COMPUTED_VALUE"""),0.3)</f>
        <v>0.3</v>
      </c>
      <c r="T3051" s="4">
        <f>IFERROR(__xludf.DUMMYFUNCTION("""COMPUTED_VALUE"""),0.028)</f>
        <v>0.028</v>
      </c>
      <c r="U3051" s="4">
        <f>IFERROR(__xludf.DUMMYFUNCTION("""COMPUTED_VALUE"""),-2.3)</f>
        <v>-2.3</v>
      </c>
      <c r="V3051" s="4">
        <f>IFERROR(__xludf.DUMMYFUNCTION("""COMPUTED_VALUE"""),0.0)</f>
        <v>0</v>
      </c>
    </row>
    <row r="3052">
      <c r="A3052" s="4">
        <f>IFERROR(__xludf.DUMMYFUNCTION("""COMPUTED_VALUE"""),43.0)</f>
        <v>43</v>
      </c>
      <c r="B3052" s="4">
        <f>IFERROR(__xludf.DUMMYFUNCTION("""COMPUTED_VALUE"""),43.0)</f>
        <v>43</v>
      </c>
      <c r="C3052" s="4" t="str">
        <f>IFERROR(__xludf.DUMMYFUNCTION("""COMPUTED_VALUE"""),"CHI")</f>
        <v>CHI</v>
      </c>
      <c r="D3052" s="4" t="str">
        <f>IFERROR(__xludf.DUMMYFUNCTION("""COMPUTED_VALUE"""),"Greg Wiltjer")</f>
        <v>Greg Wiltjer</v>
      </c>
      <c r="E3052" s="4" t="str">
        <f>IFERROR(__xludf.DUMMYFUNCTION("""COMPUTED_VALUE"""),"Oregon State")</f>
        <v>Oregon State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</row>
    <row r="3053">
      <c r="A3053" s="4">
        <f>IFERROR(__xludf.DUMMYFUNCTION("""COMPUTED_VALUE"""),44.0)</f>
        <v>44</v>
      </c>
      <c r="B3053" s="4">
        <f>IFERROR(__xludf.DUMMYFUNCTION("""COMPUTED_VALUE"""),44.0)</f>
        <v>44</v>
      </c>
      <c r="C3053" s="4" t="str">
        <f>IFERROR(__xludf.DUMMYFUNCTION("""COMPUTED_VALUE"""),"WSB")</f>
        <v>WSB</v>
      </c>
      <c r="D3053" s="4" t="str">
        <f>IFERROR(__xludf.DUMMYFUNCTION("""COMPUTED_VALUE"""),"Fred Reynolds")</f>
        <v>Fred Reynolds</v>
      </c>
      <c r="E3053" s="4" t="str">
        <f>IFERROR(__xludf.DUMMYFUNCTION("""COMPUTED_VALUE"""),"Texas-El Paso")</f>
        <v>Texas-El Paso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</row>
    <row r="3054">
      <c r="A3054" s="4">
        <f>IFERROR(__xludf.DUMMYFUNCTION("""COMPUTED_VALUE"""),45.0)</f>
        <v>45</v>
      </c>
      <c r="B3054" s="4">
        <f>IFERROR(__xludf.DUMMYFUNCTION("""COMPUTED_VALUE"""),45.0)</f>
        <v>45</v>
      </c>
      <c r="C3054" s="4" t="str">
        <f>IFERROR(__xludf.DUMMYFUNCTION("""COMPUTED_VALUE"""),"GSW")</f>
        <v>GSW</v>
      </c>
      <c r="D3054" s="4" t="str">
        <f>IFERROR(__xludf.DUMMYFUNCTION("""COMPUTED_VALUE"""),"Gary Plummer")</f>
        <v>Gary Plummer</v>
      </c>
      <c r="E3054" s="4" t="str">
        <f>IFERROR(__xludf.DUMMYFUNCTION("""COMPUTED_VALUE"""),"Boston University")</f>
        <v>Boston University</v>
      </c>
      <c r="F3054" s="4">
        <f>IFERROR(__xludf.DUMMYFUNCTION("""COMPUTED_VALUE"""),2.0)</f>
        <v>2</v>
      </c>
      <c r="G3054" s="4">
        <f>IFERROR(__xludf.DUMMYFUNCTION("""COMPUTED_VALUE"""),126.0)</f>
        <v>126</v>
      </c>
      <c r="H3054" s="4">
        <f>IFERROR(__xludf.DUMMYFUNCTION("""COMPUTED_VALUE"""),1439.0)</f>
        <v>1439</v>
      </c>
      <c r="I3054" s="4">
        <f>IFERROR(__xludf.DUMMYFUNCTION("""COMPUTED_VALUE"""),531.0)</f>
        <v>531</v>
      </c>
      <c r="J3054" s="4">
        <f>IFERROR(__xludf.DUMMYFUNCTION("""COMPUTED_VALUE"""),307.0)</f>
        <v>307</v>
      </c>
      <c r="K3054" s="4">
        <f>IFERROR(__xludf.DUMMYFUNCTION("""COMPUTED_VALUE"""),66.0)</f>
        <v>66</v>
      </c>
      <c r="L3054" s="4">
        <f>IFERROR(__xludf.DUMMYFUNCTION("""COMPUTED_VALUE"""),0.43)</f>
        <v>0.43</v>
      </c>
      <c r="M3054" s="4">
        <f>IFERROR(__xludf.DUMMYFUNCTION("""COMPUTED_VALUE"""),0.143)</f>
        <v>0.143</v>
      </c>
      <c r="N3054" s="4">
        <f>IFERROR(__xludf.DUMMYFUNCTION("""COMPUTED_VALUE"""),0.717)</f>
        <v>0.717</v>
      </c>
      <c r="O3054" s="4">
        <f>IFERROR(__xludf.DUMMYFUNCTION("""COMPUTED_VALUE"""),11.4)</f>
        <v>11.4</v>
      </c>
      <c r="P3054" s="4">
        <f>IFERROR(__xludf.DUMMYFUNCTION("""COMPUTED_VALUE"""),4.2)</f>
        <v>4.2</v>
      </c>
      <c r="Q3054" s="4">
        <f>IFERROR(__xludf.DUMMYFUNCTION("""COMPUTED_VALUE"""),2.4)</f>
        <v>2.4</v>
      </c>
      <c r="R3054" s="4">
        <f>IFERROR(__xludf.DUMMYFUNCTION("""COMPUTED_VALUE"""),0.5)</f>
        <v>0.5</v>
      </c>
      <c r="S3054" s="4">
        <f>IFERROR(__xludf.DUMMYFUNCTION("""COMPUTED_VALUE"""),0.2)</f>
        <v>0.2</v>
      </c>
      <c r="T3054" s="4">
        <f>IFERROR(__xludf.DUMMYFUNCTION("""COMPUTED_VALUE"""),0.006)</f>
        <v>0.006</v>
      </c>
      <c r="U3054" s="4">
        <f>IFERROR(__xludf.DUMMYFUNCTION("""COMPUTED_VALUE"""),-6.6)</f>
        <v>-6.6</v>
      </c>
      <c r="V3054" s="4">
        <f>IFERROR(__xludf.DUMMYFUNCTION("""COMPUTED_VALUE"""),-1.7)</f>
        <v>-1.7</v>
      </c>
    </row>
    <row r="3055">
      <c r="A3055" s="4">
        <f>IFERROR(__xludf.DUMMYFUNCTION("""COMPUTED_VALUE"""),46.0)</f>
        <v>46</v>
      </c>
      <c r="B3055" s="4">
        <f>IFERROR(__xludf.DUMMYFUNCTION("""COMPUTED_VALUE"""),46.0)</f>
        <v>46</v>
      </c>
      <c r="C3055" s="4" t="str">
        <f>IFERROR(__xludf.DUMMYFUNCTION("""COMPUTED_VALUE"""),"POR")</f>
        <v>POR</v>
      </c>
      <c r="D3055" s="4" t="str">
        <f>IFERROR(__xludf.DUMMYFUNCTION("""COMPUTED_VALUE"""),"Jerome Kersey")</f>
        <v>Jerome Kersey</v>
      </c>
      <c r="E3055" s="4" t="str">
        <f>IFERROR(__xludf.DUMMYFUNCTION("""COMPUTED_VALUE"""),"Longwood University")</f>
        <v>Longwood University</v>
      </c>
      <c r="F3055" s="4">
        <f>IFERROR(__xludf.DUMMYFUNCTION("""COMPUTED_VALUE"""),17.0)</f>
        <v>17</v>
      </c>
      <c r="G3055" s="4">
        <f>IFERROR(__xludf.DUMMYFUNCTION("""COMPUTED_VALUE"""),1153.0)</f>
        <v>1153</v>
      </c>
      <c r="H3055" s="4">
        <f>IFERROR(__xludf.DUMMYFUNCTION("""COMPUTED_VALUE"""),28115.0)</f>
        <v>28115</v>
      </c>
      <c r="I3055" s="4">
        <f>IFERROR(__xludf.DUMMYFUNCTION("""COMPUTED_VALUE"""),11825.0)</f>
        <v>11825</v>
      </c>
      <c r="J3055" s="4">
        <f>IFERROR(__xludf.DUMMYFUNCTION("""COMPUTED_VALUE"""),6339.0)</f>
        <v>6339</v>
      </c>
      <c r="K3055" s="4">
        <f>IFERROR(__xludf.DUMMYFUNCTION("""COMPUTED_VALUE"""),2134.0)</f>
        <v>2134</v>
      </c>
      <c r="L3055" s="4">
        <f>IFERROR(__xludf.DUMMYFUNCTION("""COMPUTED_VALUE"""),0.465)</f>
        <v>0.465</v>
      </c>
      <c r="M3055" s="4">
        <f>IFERROR(__xludf.DUMMYFUNCTION("""COMPUTED_VALUE"""),0.201)</f>
        <v>0.201</v>
      </c>
      <c r="N3055" s="4">
        <f>IFERROR(__xludf.DUMMYFUNCTION("""COMPUTED_VALUE"""),0.69)</f>
        <v>0.69</v>
      </c>
      <c r="O3055" s="4">
        <f>IFERROR(__xludf.DUMMYFUNCTION("""COMPUTED_VALUE"""),24.4)</f>
        <v>24.4</v>
      </c>
      <c r="P3055" s="4">
        <f>IFERROR(__xludf.DUMMYFUNCTION("""COMPUTED_VALUE"""),10.3)</f>
        <v>10.3</v>
      </c>
      <c r="Q3055" s="4">
        <f>IFERROR(__xludf.DUMMYFUNCTION("""COMPUTED_VALUE"""),5.5)</f>
        <v>5.5</v>
      </c>
      <c r="R3055" s="4">
        <f>IFERROR(__xludf.DUMMYFUNCTION("""COMPUTED_VALUE"""),1.9)</f>
        <v>1.9</v>
      </c>
      <c r="S3055" s="4">
        <f>IFERROR(__xludf.DUMMYFUNCTION("""COMPUTED_VALUE"""),69.5)</f>
        <v>69.5</v>
      </c>
      <c r="T3055" s="4">
        <f>IFERROR(__xludf.DUMMYFUNCTION("""COMPUTED_VALUE"""),0.119)</f>
        <v>0.119</v>
      </c>
      <c r="U3055" s="4">
        <f>IFERROR(__xludf.DUMMYFUNCTION("""COMPUTED_VALUE"""),0.7)</f>
        <v>0.7</v>
      </c>
      <c r="V3055" s="4">
        <f>IFERROR(__xludf.DUMMYFUNCTION("""COMPUTED_VALUE"""),19.3)</f>
        <v>19.3</v>
      </c>
    </row>
    <row r="3056">
      <c r="A3056" s="4">
        <f>IFERROR(__xludf.DUMMYFUNCTION("""COMPUTED_VALUE"""),47.0)</f>
        <v>47</v>
      </c>
      <c r="B3056" s="4">
        <f>IFERROR(__xludf.DUMMYFUNCTION("""COMPUTED_VALUE"""),47.0)</f>
        <v>47</v>
      </c>
      <c r="C3056" s="4" t="str">
        <f>IFERROR(__xludf.DUMMYFUNCTION("""COMPUTED_VALUE"""),"BOS")</f>
        <v>BOS</v>
      </c>
      <c r="D3056" s="4" t="str">
        <f>IFERROR(__xludf.DUMMYFUNCTION("""COMPUTED_VALUE"""),"Ronnie Williams")</f>
        <v>Ronnie Williams</v>
      </c>
      <c r="E3056" s="4" t="str">
        <f>IFERROR(__xludf.DUMMYFUNCTION("""COMPUTED_VALUE"""),"Florida")</f>
        <v>Florida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</row>
    <row r="3057">
      <c r="A3057" s="4"/>
      <c r="B3057" s="4"/>
      <c r="C3057" s="4"/>
      <c r="D3057" s="4" t="str">
        <f>IFERROR(__xludf.DUMMYFUNCTION("""COMPUTED_VALUE"""),"Round 3")</f>
        <v>Round 3</v>
      </c>
      <c r="E3057" s="4"/>
      <c r="F3057" s="4"/>
      <c r="G3057" s="4" t="str">
        <f>IFERROR(__xludf.DUMMYFUNCTION("""COMPUTED_VALUE"""),"Totals")</f>
        <v>Totals</v>
      </c>
      <c r="H3057" s="4"/>
      <c r="I3057" s="4"/>
      <c r="J3057" s="4"/>
      <c r="K3057" s="4"/>
      <c r="L3057" s="4" t="str">
        <f>IFERROR(__xludf.DUMMYFUNCTION("""COMPUTED_VALUE"""),"Shooting")</f>
        <v>Shooting</v>
      </c>
      <c r="M3057" s="4"/>
      <c r="N3057" s="4"/>
      <c r="O3057" s="4" t="str">
        <f>IFERROR(__xludf.DUMMYFUNCTION("""COMPUTED_VALUE"""),"Per Game")</f>
        <v>Per Game</v>
      </c>
      <c r="P3057" s="4"/>
      <c r="Q3057" s="4"/>
      <c r="R3057" s="4"/>
      <c r="S3057" s="4" t="str">
        <f>IFERROR(__xludf.DUMMYFUNCTION("""COMPUTED_VALUE"""),"Advanced")</f>
        <v>Advanced</v>
      </c>
      <c r="T3057" s="4"/>
      <c r="U3057" s="4"/>
      <c r="V3057" s="4"/>
    </row>
    <row r="3058">
      <c r="A3058" s="4" t="str">
        <f>IFERROR(__xludf.DUMMYFUNCTION("""COMPUTED_VALUE"""),"Rk")</f>
        <v>Rk</v>
      </c>
      <c r="B3058" s="4" t="str">
        <f>IFERROR(__xludf.DUMMYFUNCTION("""COMPUTED_VALUE"""),"Pk")</f>
        <v>Pk</v>
      </c>
      <c r="C3058" s="4" t="str">
        <f>IFERROR(__xludf.DUMMYFUNCTION("""COMPUTED_VALUE"""),"Tm")</f>
        <v>Tm</v>
      </c>
      <c r="D3058" s="4" t="str">
        <f>IFERROR(__xludf.DUMMYFUNCTION("""COMPUTED_VALUE"""),"Player")</f>
        <v>Player</v>
      </c>
      <c r="E3058" s="4" t="str">
        <f>IFERROR(__xludf.DUMMYFUNCTION("""COMPUTED_VALUE"""),"College")</f>
        <v>College</v>
      </c>
      <c r="F3058" s="4" t="str">
        <f>IFERROR(__xludf.DUMMYFUNCTION("""COMPUTED_VALUE"""),"Yrs")</f>
        <v>Yrs</v>
      </c>
      <c r="G3058" s="4" t="str">
        <f>IFERROR(__xludf.DUMMYFUNCTION("""COMPUTED_VALUE"""),"G")</f>
        <v>G</v>
      </c>
      <c r="H3058" s="4" t="str">
        <f>IFERROR(__xludf.DUMMYFUNCTION("""COMPUTED_VALUE"""),"MP")</f>
        <v>MP</v>
      </c>
      <c r="I3058" s="4" t="str">
        <f>IFERROR(__xludf.DUMMYFUNCTION("""COMPUTED_VALUE"""),"PTS")</f>
        <v>PTS</v>
      </c>
      <c r="J3058" s="4" t="str">
        <f>IFERROR(__xludf.DUMMYFUNCTION("""COMPUTED_VALUE"""),"TRB")</f>
        <v>TRB</v>
      </c>
      <c r="K3058" s="4" t="str">
        <f>IFERROR(__xludf.DUMMYFUNCTION("""COMPUTED_VALUE"""),"AST")</f>
        <v>AST</v>
      </c>
      <c r="L3058" s="4" t="str">
        <f>IFERROR(__xludf.DUMMYFUNCTION("""COMPUTED_VALUE"""),"FG%")</f>
        <v>FG%</v>
      </c>
      <c r="M3058" s="4" t="str">
        <f>IFERROR(__xludf.DUMMYFUNCTION("""COMPUTED_VALUE"""),"3P%")</f>
        <v>3P%</v>
      </c>
      <c r="N3058" s="4" t="str">
        <f>IFERROR(__xludf.DUMMYFUNCTION("""COMPUTED_VALUE"""),"FT%")</f>
        <v>FT%</v>
      </c>
      <c r="O3058" s="4" t="str">
        <f>IFERROR(__xludf.DUMMYFUNCTION("""COMPUTED_VALUE"""),"MP")</f>
        <v>MP</v>
      </c>
      <c r="P3058" s="4" t="str">
        <f>IFERROR(__xludf.DUMMYFUNCTION("""COMPUTED_VALUE"""),"PTS")</f>
        <v>PTS</v>
      </c>
      <c r="Q3058" s="4" t="str">
        <f>IFERROR(__xludf.DUMMYFUNCTION("""COMPUTED_VALUE"""),"TRB")</f>
        <v>TRB</v>
      </c>
      <c r="R3058" s="4" t="str">
        <f>IFERROR(__xludf.DUMMYFUNCTION("""COMPUTED_VALUE"""),"AST")</f>
        <v>AST</v>
      </c>
      <c r="S3058" s="4" t="str">
        <f>IFERROR(__xludf.DUMMYFUNCTION("""COMPUTED_VALUE"""),"WS")</f>
        <v>WS</v>
      </c>
      <c r="T3058" s="4" t="str">
        <f>IFERROR(__xludf.DUMMYFUNCTION("""COMPUTED_VALUE"""),"WS/48")</f>
        <v>WS/48</v>
      </c>
      <c r="U3058" s="4" t="str">
        <f>IFERROR(__xludf.DUMMYFUNCTION("""COMPUTED_VALUE"""),"BPM")</f>
        <v>BPM</v>
      </c>
      <c r="V3058" s="4" t="str">
        <f>IFERROR(__xludf.DUMMYFUNCTION("""COMPUTED_VALUE"""),"VORP")</f>
        <v>VORP</v>
      </c>
    </row>
    <row r="3059">
      <c r="A3059" s="4">
        <f>IFERROR(__xludf.DUMMYFUNCTION("""COMPUTED_VALUE"""),48.0)</f>
        <v>48</v>
      </c>
      <c r="B3059" s="4">
        <f>IFERROR(__xludf.DUMMYFUNCTION("""COMPUTED_VALUE"""),48.0)</f>
        <v>48</v>
      </c>
      <c r="C3059" s="4" t="str">
        <f>IFERROR(__xludf.DUMMYFUNCTION("""COMPUTED_VALUE"""),"PHI")</f>
        <v>PHI</v>
      </c>
      <c r="D3059" s="4" t="str">
        <f>IFERROR(__xludf.DUMMYFUNCTION("""COMPUTED_VALUE"""),"James Banks")</f>
        <v>James Banks</v>
      </c>
      <c r="E3059" s="4" t="str">
        <f>IFERROR(__xludf.DUMMYFUNCTION("""COMPUTED_VALUE"""),"Georgia")</f>
        <v>Georgia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</row>
    <row r="3060">
      <c r="A3060" s="4">
        <f>IFERROR(__xludf.DUMMYFUNCTION("""COMPUTED_VALUE"""),49.0)</f>
        <v>49</v>
      </c>
      <c r="B3060" s="4">
        <f>IFERROR(__xludf.DUMMYFUNCTION("""COMPUTED_VALUE"""),49.0)</f>
        <v>49</v>
      </c>
      <c r="C3060" s="4" t="str">
        <f>IFERROR(__xludf.DUMMYFUNCTION("""COMPUTED_VALUE"""),"CHI")</f>
        <v>CHI</v>
      </c>
      <c r="D3060" s="4" t="str">
        <f>IFERROR(__xludf.DUMMYFUNCTION("""COMPUTED_VALUE"""),"Tim Dillon")</f>
        <v>Tim Dillon</v>
      </c>
      <c r="E3060" s="4" t="str">
        <f>IFERROR(__xludf.DUMMYFUNCTION("""COMPUTED_VALUE"""),"Northern Illinois")</f>
        <v>Northern Illinois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</row>
    <row r="3061">
      <c r="A3061" s="4">
        <f>IFERROR(__xludf.DUMMYFUNCTION("""COMPUTED_VALUE"""),50.0)</f>
        <v>50</v>
      </c>
      <c r="B3061" s="4">
        <f>IFERROR(__xludf.DUMMYFUNCTION("""COMPUTED_VALUE"""),50.0)</f>
        <v>50</v>
      </c>
      <c r="C3061" s="4" t="str">
        <f>IFERROR(__xludf.DUMMYFUNCTION("""COMPUTED_VALUE"""),"CLE")</f>
        <v>CLE</v>
      </c>
      <c r="D3061" s="4" t="str">
        <f>IFERROR(__xludf.DUMMYFUNCTION("""COMPUTED_VALUE"""),"Ben McDonald")</f>
        <v>Ben McDonald</v>
      </c>
      <c r="E3061" s="4" t="str">
        <f>IFERROR(__xludf.DUMMYFUNCTION("""COMPUTED_VALUE"""),"University of California, Irvine")</f>
        <v>University of California, Irvine</v>
      </c>
      <c r="F3061" s="4">
        <f>IFERROR(__xludf.DUMMYFUNCTION("""COMPUTED_VALUE"""),4.0)</f>
        <v>4</v>
      </c>
      <c r="G3061" s="4">
        <f>IFERROR(__xludf.DUMMYFUNCTION("""COMPUTED_VALUE"""),176.0)</f>
        <v>176</v>
      </c>
      <c r="H3061" s="4">
        <f>IFERROR(__xludf.DUMMYFUNCTION("""COMPUTED_VALUE"""),3692.0)</f>
        <v>3692</v>
      </c>
      <c r="I3061" s="4">
        <f>IFERROR(__xludf.DUMMYFUNCTION("""COMPUTED_VALUE"""),1061.0)</f>
        <v>1061</v>
      </c>
      <c r="J3061" s="4">
        <f>IFERROR(__xludf.DUMMYFUNCTION("""COMPUTED_VALUE"""),568.0)</f>
        <v>568</v>
      </c>
      <c r="K3061" s="4">
        <f>IFERROR(__xludf.DUMMYFUNCTION("""COMPUTED_VALUE"""),236.0)</f>
        <v>236</v>
      </c>
      <c r="L3061" s="4">
        <f>IFERROR(__xludf.DUMMYFUNCTION("""COMPUTED_VALUE"""),0.468)</f>
        <v>0.468</v>
      </c>
      <c r="M3061" s="4">
        <f>IFERROR(__xludf.DUMMYFUNCTION("""COMPUTED_VALUE"""),0.227)</f>
        <v>0.227</v>
      </c>
      <c r="N3061" s="4">
        <f>IFERROR(__xludf.DUMMYFUNCTION("""COMPUTED_VALUE"""),0.727)</f>
        <v>0.727</v>
      </c>
      <c r="O3061" s="4">
        <f>IFERROR(__xludf.DUMMYFUNCTION("""COMPUTED_VALUE"""),21.0)</f>
        <v>21</v>
      </c>
      <c r="P3061" s="4">
        <f>IFERROR(__xludf.DUMMYFUNCTION("""COMPUTED_VALUE"""),6.0)</f>
        <v>6</v>
      </c>
      <c r="Q3061" s="4">
        <f>IFERROR(__xludf.DUMMYFUNCTION("""COMPUTED_VALUE"""),3.2)</f>
        <v>3.2</v>
      </c>
      <c r="R3061" s="4">
        <f>IFERROR(__xludf.DUMMYFUNCTION("""COMPUTED_VALUE"""),1.3)</f>
        <v>1.3</v>
      </c>
      <c r="S3061" s="4">
        <f>IFERROR(__xludf.DUMMYFUNCTION("""COMPUTED_VALUE"""),2.5)</f>
        <v>2.5</v>
      </c>
      <c r="T3061" s="4">
        <f>IFERROR(__xludf.DUMMYFUNCTION("""COMPUTED_VALUE"""),0.033)</f>
        <v>0.033</v>
      </c>
      <c r="U3061" s="4">
        <f>IFERROR(__xludf.DUMMYFUNCTION("""COMPUTED_VALUE"""),-4.2)</f>
        <v>-4.2</v>
      </c>
      <c r="V3061" s="4">
        <f>IFERROR(__xludf.DUMMYFUNCTION("""COMPUTED_VALUE"""),-2.1)</f>
        <v>-2.1</v>
      </c>
    </row>
    <row r="3062">
      <c r="A3062" s="4">
        <f>IFERROR(__xludf.DUMMYFUNCTION("""COMPUTED_VALUE"""),51.0)</f>
        <v>51</v>
      </c>
      <c r="B3062" s="4">
        <f>IFERROR(__xludf.DUMMYFUNCTION("""COMPUTED_VALUE"""),51.0)</f>
        <v>51</v>
      </c>
      <c r="C3062" s="4" t="str">
        <f>IFERROR(__xludf.DUMMYFUNCTION("""COMPUTED_VALUE"""),"HOU")</f>
        <v>HOU</v>
      </c>
      <c r="D3062" s="4" t="str">
        <f>IFERROR(__xludf.DUMMYFUNCTION("""COMPUTED_VALUE"""),"Jim Petersen")</f>
        <v>Jim Petersen</v>
      </c>
      <c r="E3062" s="4" t="str">
        <f>IFERROR(__xludf.DUMMYFUNCTION("""COMPUTED_VALUE"""),"Minnesota")</f>
        <v>Minnesota</v>
      </c>
      <c r="F3062" s="4">
        <f>IFERROR(__xludf.DUMMYFUNCTION("""COMPUTED_VALUE"""),8.0)</f>
        <v>8</v>
      </c>
      <c r="G3062" s="4">
        <f>IFERROR(__xludf.DUMMYFUNCTION("""COMPUTED_VALUE"""),491.0)</f>
        <v>491</v>
      </c>
      <c r="H3062" s="4">
        <f>IFERROR(__xludf.DUMMYFUNCTION("""COMPUTED_VALUE"""),9802.0)</f>
        <v>9802</v>
      </c>
      <c r="I3062" s="4">
        <f>IFERROR(__xludf.DUMMYFUNCTION("""COMPUTED_VALUE"""),3397.0)</f>
        <v>3397</v>
      </c>
      <c r="J3062" s="4">
        <f>IFERROR(__xludf.DUMMYFUNCTION("""COMPUTED_VALUE"""),2354.0)</f>
        <v>2354</v>
      </c>
      <c r="K3062" s="4">
        <f>IFERROR(__xludf.DUMMYFUNCTION("""COMPUTED_VALUE"""),487.0)</f>
        <v>487</v>
      </c>
      <c r="L3062" s="4">
        <f>IFERROR(__xludf.DUMMYFUNCTION("""COMPUTED_VALUE"""),0.486)</f>
        <v>0.486</v>
      </c>
      <c r="M3062" s="4">
        <f>IFERROR(__xludf.DUMMYFUNCTION("""COMPUTED_VALUE"""),0.071)</f>
        <v>0.071</v>
      </c>
      <c r="N3062" s="4">
        <f>IFERROR(__xludf.DUMMYFUNCTION("""COMPUTED_VALUE"""),0.725)</f>
        <v>0.725</v>
      </c>
      <c r="O3062" s="4">
        <f>IFERROR(__xludf.DUMMYFUNCTION("""COMPUTED_VALUE"""),20.0)</f>
        <v>20</v>
      </c>
      <c r="P3062" s="4">
        <f>IFERROR(__xludf.DUMMYFUNCTION("""COMPUTED_VALUE"""),6.9)</f>
        <v>6.9</v>
      </c>
      <c r="Q3062" s="4">
        <f>IFERROR(__xludf.DUMMYFUNCTION("""COMPUTED_VALUE"""),4.8)</f>
        <v>4.8</v>
      </c>
      <c r="R3062" s="4">
        <f>IFERROR(__xludf.DUMMYFUNCTION("""COMPUTED_VALUE"""),1.0)</f>
        <v>1</v>
      </c>
      <c r="S3062" s="4">
        <f>IFERROR(__xludf.DUMMYFUNCTION("""COMPUTED_VALUE"""),13.8)</f>
        <v>13.8</v>
      </c>
      <c r="T3062" s="4">
        <f>IFERROR(__xludf.DUMMYFUNCTION("""COMPUTED_VALUE"""),0.067)</f>
        <v>0.067</v>
      </c>
      <c r="U3062" s="4">
        <f>IFERROR(__xludf.DUMMYFUNCTION("""COMPUTED_VALUE"""),-2.7)</f>
        <v>-2.7</v>
      </c>
      <c r="V3062" s="4">
        <f>IFERROR(__xludf.DUMMYFUNCTION("""COMPUTED_VALUE"""),-1.6)</f>
        <v>-1.6</v>
      </c>
    </row>
    <row r="3063">
      <c r="A3063" s="4">
        <f>IFERROR(__xludf.DUMMYFUNCTION("""COMPUTED_VALUE"""),52.0)</f>
        <v>52</v>
      </c>
      <c r="B3063" s="4">
        <f>IFERROR(__xludf.DUMMYFUNCTION("""COMPUTED_VALUE"""),52.0)</f>
        <v>52</v>
      </c>
      <c r="C3063" s="4" t="str">
        <f>IFERROR(__xludf.DUMMYFUNCTION("""COMPUTED_VALUE"""),"SEA")</f>
        <v>SEA</v>
      </c>
      <c r="D3063" s="4" t="str">
        <f>IFERROR(__xludf.DUMMYFUNCTION("""COMPUTED_VALUE"""),"Terry Williams")</f>
        <v>Terry Williams</v>
      </c>
      <c r="E3063" s="4" t="str">
        <f>IFERROR(__xludf.DUMMYFUNCTION("""COMPUTED_VALUE"""),"Alabama")</f>
        <v>Alabama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</row>
    <row r="3064">
      <c r="A3064" s="4">
        <f>IFERROR(__xludf.DUMMYFUNCTION("""COMPUTED_VALUE"""),53.0)</f>
        <v>53</v>
      </c>
      <c r="B3064" s="4">
        <f>IFERROR(__xludf.DUMMYFUNCTION("""COMPUTED_VALUE"""),53.0)</f>
        <v>53</v>
      </c>
      <c r="C3064" s="4" t="str">
        <f>IFERROR(__xludf.DUMMYFUNCTION("""COMPUTED_VALUE"""),"WSB")</f>
        <v>WSB</v>
      </c>
      <c r="D3064" s="4" t="str">
        <f>IFERROR(__xludf.DUMMYFUNCTION("""COMPUTED_VALUE"""),"Ricky Ross")</f>
        <v>Ricky Ross</v>
      </c>
      <c r="E3064" s="4" t="str">
        <f>IFERROR(__xludf.DUMMYFUNCTION("""COMPUTED_VALUE"""),"Tulsa")</f>
        <v>Tulsa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</row>
    <row r="3065">
      <c r="A3065" s="4">
        <f>IFERROR(__xludf.DUMMYFUNCTION("""COMPUTED_VALUE"""),54.0)</f>
        <v>54</v>
      </c>
      <c r="B3065" s="4">
        <f>IFERROR(__xludf.DUMMYFUNCTION("""COMPUTED_VALUE"""),54.0)</f>
        <v>54</v>
      </c>
      <c r="C3065" s="4" t="str">
        <f>IFERROR(__xludf.DUMMYFUNCTION("""COMPUTED_VALUE"""),"KCK")</f>
        <v>KCK</v>
      </c>
      <c r="D3065" s="4" t="str">
        <f>IFERROR(__xludf.DUMMYFUNCTION("""COMPUTED_VALUE"""),"Roosevelt Chapman")</f>
        <v>Roosevelt Chapman</v>
      </c>
      <c r="E3065" s="4" t="str">
        <f>IFERROR(__xludf.DUMMYFUNCTION("""COMPUTED_VALUE"""),"Dayton")</f>
        <v>Dayton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</row>
    <row r="3066">
      <c r="A3066" s="4">
        <f>IFERROR(__xludf.DUMMYFUNCTION("""COMPUTED_VALUE"""),55.0)</f>
        <v>55</v>
      </c>
      <c r="B3066" s="4">
        <f>IFERROR(__xludf.DUMMYFUNCTION("""COMPUTED_VALUE"""),55.0)</f>
        <v>55</v>
      </c>
      <c r="C3066" s="4" t="str">
        <f>IFERROR(__xludf.DUMMYFUNCTION("""COMPUTED_VALUE"""),"GSW")</f>
        <v>GSW</v>
      </c>
      <c r="D3066" s="4" t="str">
        <f>IFERROR(__xludf.DUMMYFUNCTION("""COMPUTED_VALUE"""),"Lewis Jackson")</f>
        <v>Lewis Jackson</v>
      </c>
      <c r="E3066" s="4" t="str">
        <f>IFERROR(__xludf.DUMMYFUNCTION("""COMPUTED_VALUE"""),"Alabama State University")</f>
        <v>Alabama State University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</row>
    <row r="3067">
      <c r="A3067" s="4">
        <f>IFERROR(__xludf.DUMMYFUNCTION("""COMPUTED_VALUE"""),56.0)</f>
        <v>56</v>
      </c>
      <c r="B3067" s="4">
        <f>IFERROR(__xludf.DUMMYFUNCTION("""COMPUTED_VALUE"""),56.0)</f>
        <v>56</v>
      </c>
      <c r="C3067" s="4" t="str">
        <f>IFERROR(__xludf.DUMMYFUNCTION("""COMPUTED_VALUE"""),"KCK")</f>
        <v>KCK</v>
      </c>
      <c r="D3067" s="4" t="str">
        <f>IFERROR(__xludf.DUMMYFUNCTION("""COMPUTED_VALUE"""),"Jeff Allen")</f>
        <v>Jeff Allen</v>
      </c>
      <c r="E3067" s="4" t="str">
        <f>IFERROR(__xludf.DUMMYFUNCTION("""COMPUTED_VALUE"""),"St. John's")</f>
        <v>St. John's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</row>
    <row r="3068">
      <c r="A3068" s="4">
        <f>IFERROR(__xludf.DUMMYFUNCTION("""COMPUTED_VALUE"""),57.0)</f>
        <v>57</v>
      </c>
      <c r="B3068" s="4">
        <f>IFERROR(__xludf.DUMMYFUNCTION("""COMPUTED_VALUE"""),57.0)</f>
        <v>57</v>
      </c>
      <c r="C3068" s="4" t="str">
        <f>IFERROR(__xludf.DUMMYFUNCTION("""COMPUTED_VALUE"""),"SAS")</f>
        <v>SAS</v>
      </c>
      <c r="D3068" s="4" t="str">
        <f>IFERROR(__xludf.DUMMYFUNCTION("""COMPUTED_VALUE"""),"Joe Binion")</f>
        <v>Joe Binion</v>
      </c>
      <c r="E3068" s="4" t="str">
        <f>IFERROR(__xludf.DUMMYFUNCTION("""COMPUTED_VALUE"""),"North Carolina A&amp;T")</f>
        <v>North Carolina A&amp;T</v>
      </c>
      <c r="F3068" s="4">
        <f>IFERROR(__xludf.DUMMYFUNCTION("""COMPUTED_VALUE"""),1.0)</f>
        <v>1</v>
      </c>
      <c r="G3068" s="4">
        <f>IFERROR(__xludf.DUMMYFUNCTION("""COMPUTED_VALUE"""),11.0)</f>
        <v>11</v>
      </c>
      <c r="H3068" s="4">
        <f>IFERROR(__xludf.DUMMYFUNCTION("""COMPUTED_VALUE"""),51.0)</f>
        <v>51</v>
      </c>
      <c r="I3068" s="4">
        <f>IFERROR(__xludf.DUMMYFUNCTION("""COMPUTED_VALUE"""),14.0)</f>
        <v>14</v>
      </c>
      <c r="J3068" s="4">
        <f>IFERROR(__xludf.DUMMYFUNCTION("""COMPUTED_VALUE"""),18.0)</f>
        <v>18</v>
      </c>
      <c r="K3068" s="4">
        <f>IFERROR(__xludf.DUMMYFUNCTION("""COMPUTED_VALUE"""),1.0)</f>
        <v>1</v>
      </c>
      <c r="L3068" s="4">
        <f>IFERROR(__xludf.DUMMYFUNCTION("""COMPUTED_VALUE"""),0.4)</f>
        <v>0.4</v>
      </c>
      <c r="M3068" s="4"/>
      <c r="N3068" s="4">
        <f>IFERROR(__xludf.DUMMYFUNCTION("""COMPUTED_VALUE"""),0.6)</f>
        <v>0.6</v>
      </c>
      <c r="O3068" s="4">
        <f>IFERROR(__xludf.DUMMYFUNCTION("""COMPUTED_VALUE"""),4.6)</f>
        <v>4.6</v>
      </c>
      <c r="P3068" s="4">
        <f>IFERROR(__xludf.DUMMYFUNCTION("""COMPUTED_VALUE"""),1.3)</f>
        <v>1.3</v>
      </c>
      <c r="Q3068" s="4">
        <f>IFERROR(__xludf.DUMMYFUNCTION("""COMPUTED_VALUE"""),1.6)</f>
        <v>1.6</v>
      </c>
      <c r="R3068" s="4">
        <f>IFERROR(__xludf.DUMMYFUNCTION("""COMPUTED_VALUE"""),0.1)</f>
        <v>0.1</v>
      </c>
      <c r="S3068" s="4">
        <f>IFERROR(__xludf.DUMMYFUNCTION("""COMPUTED_VALUE"""),0.1)</f>
        <v>0.1</v>
      </c>
      <c r="T3068" s="4">
        <f>IFERROR(__xludf.DUMMYFUNCTION("""COMPUTED_VALUE"""),0.092)</f>
        <v>0.092</v>
      </c>
      <c r="U3068" s="4">
        <f>IFERROR(__xludf.DUMMYFUNCTION("""COMPUTED_VALUE"""),-1.7)</f>
        <v>-1.7</v>
      </c>
      <c r="V3068" s="4">
        <f>IFERROR(__xludf.DUMMYFUNCTION("""COMPUTED_VALUE"""),0.0)</f>
        <v>0</v>
      </c>
    </row>
    <row r="3069">
      <c r="A3069" s="4">
        <f>IFERROR(__xludf.DUMMYFUNCTION("""COMPUTED_VALUE"""),58.0)</f>
        <v>58</v>
      </c>
      <c r="B3069" s="4">
        <f>IFERROR(__xludf.DUMMYFUNCTION("""COMPUTED_VALUE"""),58.0)</f>
        <v>58</v>
      </c>
      <c r="C3069" s="4" t="str">
        <f>IFERROR(__xludf.DUMMYFUNCTION("""COMPUTED_VALUE"""),"ATL")</f>
        <v>ATL</v>
      </c>
      <c r="D3069" s="4" t="str">
        <f>IFERROR(__xludf.DUMMYFUNCTION("""COMPUTED_VALUE"""),"Bobby Parks")</f>
        <v>Bobby Parks</v>
      </c>
      <c r="E3069" s="4" t="str">
        <f>IFERROR(__xludf.DUMMYFUNCTION("""COMPUTED_VALUE"""),"Memphis")</f>
        <v>Memphis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</row>
    <row r="3070">
      <c r="A3070" s="4">
        <f>IFERROR(__xludf.DUMMYFUNCTION("""COMPUTED_VALUE"""),59.0)</f>
        <v>59</v>
      </c>
      <c r="B3070" s="4">
        <f>IFERROR(__xludf.DUMMYFUNCTION("""COMPUTED_VALUE"""),59.0)</f>
        <v>59</v>
      </c>
      <c r="C3070" s="4" t="str">
        <f>IFERROR(__xludf.DUMMYFUNCTION("""COMPUTED_VALUE"""),"PHO")</f>
        <v>PHO</v>
      </c>
      <c r="D3070" s="4" t="str">
        <f>IFERROR(__xludf.DUMMYFUNCTION("""COMPUTED_VALUE"""),"Murray Jarman")</f>
        <v>Murray Jarman</v>
      </c>
      <c r="E3070" s="4" t="str">
        <f>IFERROR(__xludf.DUMMYFUNCTION("""COMPUTED_VALUE"""),"Clemson")</f>
        <v>Clemson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</row>
    <row r="3071">
      <c r="A3071" s="4">
        <f>IFERROR(__xludf.DUMMYFUNCTION("""COMPUTED_VALUE"""),60.0)</f>
        <v>60</v>
      </c>
      <c r="B3071" s="4">
        <f>IFERROR(__xludf.DUMMYFUNCTION("""COMPUTED_VALUE"""),60.0)</f>
        <v>60</v>
      </c>
      <c r="C3071" s="4" t="str">
        <f>IFERROR(__xludf.DUMMYFUNCTION("""COMPUTED_VALUE"""),"CLE")</f>
        <v>CLE</v>
      </c>
      <c r="D3071" s="4" t="str">
        <f>IFERROR(__xludf.DUMMYFUNCTION("""COMPUTED_VALUE"""),"Leonard Mitchell")</f>
        <v>Leonard Mitchell</v>
      </c>
      <c r="E3071" s="4" t="str">
        <f>IFERROR(__xludf.DUMMYFUNCTION("""COMPUTED_VALUE"""),"LSU")</f>
        <v>LSU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</row>
    <row r="3072">
      <c r="A3072" s="4">
        <f>IFERROR(__xludf.DUMMYFUNCTION("""COMPUTED_VALUE"""),61.0)</f>
        <v>61</v>
      </c>
      <c r="B3072" s="4">
        <f>IFERROR(__xludf.DUMMYFUNCTION("""COMPUTED_VALUE"""),61.0)</f>
        <v>61</v>
      </c>
      <c r="C3072" s="4" t="str">
        <f>IFERROR(__xludf.DUMMYFUNCTION("""COMPUTED_VALUE"""),"DAL")</f>
        <v>DAL</v>
      </c>
      <c r="D3072" s="4" t="str">
        <f>IFERROR(__xludf.DUMMYFUNCTION("""COMPUTED_VALUE"""),"Jeff Cross")</f>
        <v>Jeff Cross</v>
      </c>
      <c r="E3072" s="4" t="str">
        <f>IFERROR(__xludf.DUMMYFUNCTION("""COMPUTED_VALUE"""),"University of Maine")</f>
        <v>University of Maine</v>
      </c>
      <c r="F3072" s="4">
        <f>IFERROR(__xludf.DUMMYFUNCTION("""COMPUTED_VALUE"""),1.0)</f>
        <v>1</v>
      </c>
      <c r="G3072" s="4">
        <f>IFERROR(__xludf.DUMMYFUNCTION("""COMPUTED_VALUE"""),21.0)</f>
        <v>21</v>
      </c>
      <c r="H3072" s="4">
        <f>IFERROR(__xludf.DUMMYFUNCTION("""COMPUTED_VALUE"""),128.0)</f>
        <v>128</v>
      </c>
      <c r="I3072" s="4">
        <f>IFERROR(__xludf.DUMMYFUNCTION("""COMPUTED_VALUE"""),26.0)</f>
        <v>26</v>
      </c>
      <c r="J3072" s="4">
        <f>IFERROR(__xludf.DUMMYFUNCTION("""COMPUTED_VALUE"""),30.0)</f>
        <v>30</v>
      </c>
      <c r="K3072" s="4">
        <f>IFERROR(__xludf.DUMMYFUNCTION("""COMPUTED_VALUE"""),1.0)</f>
        <v>1</v>
      </c>
      <c r="L3072" s="4">
        <f>IFERROR(__xludf.DUMMYFUNCTION("""COMPUTED_VALUE"""),0.25)</f>
        <v>0.25</v>
      </c>
      <c r="M3072" s="4"/>
      <c r="N3072" s="4">
        <f>IFERROR(__xludf.DUMMYFUNCTION("""COMPUTED_VALUE"""),0.56)</f>
        <v>0.56</v>
      </c>
      <c r="O3072" s="4">
        <f>IFERROR(__xludf.DUMMYFUNCTION("""COMPUTED_VALUE"""),6.1)</f>
        <v>6.1</v>
      </c>
      <c r="P3072" s="4">
        <f>IFERROR(__xludf.DUMMYFUNCTION("""COMPUTED_VALUE"""),1.2)</f>
        <v>1.2</v>
      </c>
      <c r="Q3072" s="4">
        <f>IFERROR(__xludf.DUMMYFUNCTION("""COMPUTED_VALUE"""),1.4)</f>
        <v>1.4</v>
      </c>
      <c r="R3072" s="4">
        <f>IFERROR(__xludf.DUMMYFUNCTION("""COMPUTED_VALUE"""),0.0)</f>
        <v>0</v>
      </c>
      <c r="S3072" s="4">
        <f>IFERROR(__xludf.DUMMYFUNCTION("""COMPUTED_VALUE"""),-0.1)</f>
        <v>-0.1</v>
      </c>
      <c r="T3072" s="4">
        <f>IFERROR(__xludf.DUMMYFUNCTION("""COMPUTED_VALUE"""),-0.038)</f>
        <v>-0.038</v>
      </c>
      <c r="U3072" s="4">
        <f>IFERROR(__xludf.DUMMYFUNCTION("""COMPUTED_VALUE"""),-11.4)</f>
        <v>-11.4</v>
      </c>
      <c r="V3072" s="4">
        <f>IFERROR(__xludf.DUMMYFUNCTION("""COMPUTED_VALUE"""),-0.3)</f>
        <v>-0.3</v>
      </c>
    </row>
    <row r="3073">
      <c r="A3073" s="4">
        <f>IFERROR(__xludf.DUMMYFUNCTION("""COMPUTED_VALUE"""),62.0)</f>
        <v>62</v>
      </c>
      <c r="B3073" s="4">
        <f>IFERROR(__xludf.DUMMYFUNCTION("""COMPUTED_VALUE"""),62.0)</f>
        <v>62</v>
      </c>
      <c r="C3073" s="4" t="str">
        <f>IFERROR(__xludf.DUMMYFUNCTION("""COMPUTED_VALUE"""),"UTA")</f>
        <v>UTA</v>
      </c>
      <c r="D3073" s="4" t="str">
        <f>IFERROR(__xludf.DUMMYFUNCTION("""COMPUTED_VALUE"""),"David Pope")</f>
        <v>David Pope</v>
      </c>
      <c r="E3073" s="4" t="str">
        <f>IFERROR(__xludf.DUMMYFUNCTION("""COMPUTED_VALUE"""),"Norfolk State")</f>
        <v>Norfolk State</v>
      </c>
      <c r="F3073" s="4">
        <f>IFERROR(__xludf.DUMMYFUNCTION("""COMPUTED_VALUE"""),2.0)</f>
        <v>2</v>
      </c>
      <c r="G3073" s="4">
        <f>IFERROR(__xludf.DUMMYFUNCTION("""COMPUTED_VALUE"""),33.0)</f>
        <v>33</v>
      </c>
      <c r="H3073" s="4">
        <f>IFERROR(__xludf.DUMMYFUNCTION("""COMPUTED_VALUE"""),203.0)</f>
        <v>203</v>
      </c>
      <c r="I3073" s="4">
        <f>IFERROR(__xludf.DUMMYFUNCTION("""COMPUTED_VALUE"""),62.0)</f>
        <v>62</v>
      </c>
      <c r="J3073" s="4">
        <f>IFERROR(__xludf.DUMMYFUNCTION("""COMPUTED_VALUE"""),29.0)</f>
        <v>29</v>
      </c>
      <c r="K3073" s="4">
        <f>IFERROR(__xludf.DUMMYFUNCTION("""COMPUTED_VALUE"""),9.0)</f>
        <v>9</v>
      </c>
      <c r="L3073" s="4">
        <f>IFERROR(__xludf.DUMMYFUNCTION("""COMPUTED_VALUE"""),0.356)</f>
        <v>0.356</v>
      </c>
      <c r="M3073" s="4">
        <f>IFERROR(__xludf.DUMMYFUNCTION("""COMPUTED_VALUE"""),0.5)</f>
        <v>0.5</v>
      </c>
      <c r="N3073" s="4">
        <f>IFERROR(__xludf.DUMMYFUNCTION("""COMPUTED_VALUE"""),0.529)</f>
        <v>0.529</v>
      </c>
      <c r="O3073" s="4">
        <f>IFERROR(__xludf.DUMMYFUNCTION("""COMPUTED_VALUE"""),6.2)</f>
        <v>6.2</v>
      </c>
      <c r="P3073" s="4">
        <f>IFERROR(__xludf.DUMMYFUNCTION("""COMPUTED_VALUE"""),1.9)</f>
        <v>1.9</v>
      </c>
      <c r="Q3073" s="4">
        <f>IFERROR(__xludf.DUMMYFUNCTION("""COMPUTED_VALUE"""),0.9)</f>
        <v>0.9</v>
      </c>
      <c r="R3073" s="4">
        <f>IFERROR(__xludf.DUMMYFUNCTION("""COMPUTED_VALUE"""),0.3)</f>
        <v>0.3</v>
      </c>
      <c r="S3073" s="4">
        <f>IFERROR(__xludf.DUMMYFUNCTION("""COMPUTED_VALUE"""),-0.1)</f>
        <v>-0.1</v>
      </c>
      <c r="T3073" s="4">
        <f>IFERROR(__xludf.DUMMYFUNCTION("""COMPUTED_VALUE"""),-0.026)</f>
        <v>-0.026</v>
      </c>
      <c r="U3073" s="4">
        <f>IFERROR(__xludf.DUMMYFUNCTION("""COMPUTED_VALUE"""),-8.1)</f>
        <v>-8.1</v>
      </c>
      <c r="V3073" s="4">
        <f>IFERROR(__xludf.DUMMYFUNCTION("""COMPUTED_VALUE"""),-0.3)</f>
        <v>-0.3</v>
      </c>
    </row>
    <row r="3074">
      <c r="A3074" s="4">
        <f>IFERROR(__xludf.DUMMYFUNCTION("""COMPUTED_VALUE"""),63.0)</f>
        <v>63</v>
      </c>
      <c r="B3074" s="4">
        <f>IFERROR(__xludf.DUMMYFUNCTION("""COMPUTED_VALUE"""),63.0)</f>
        <v>63</v>
      </c>
      <c r="C3074" s="4" t="str">
        <f>IFERROR(__xludf.DUMMYFUNCTION("""COMPUTED_VALUE"""),"NJN")</f>
        <v>NJN</v>
      </c>
      <c r="D3074" s="4" t="str">
        <f>IFERROR(__xludf.DUMMYFUNCTION("""COMPUTED_VALUE"""),"Yommy Sangodeyi")</f>
        <v>Yommy Sangodeyi</v>
      </c>
      <c r="E3074" s="4" t="str">
        <f>IFERROR(__xludf.DUMMYFUNCTION("""COMPUTED_VALUE"""),"Sam Houston State University")</f>
        <v>Sam Houston State University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</row>
    <row r="3075">
      <c r="A3075" s="4">
        <f>IFERROR(__xludf.DUMMYFUNCTION("""COMPUTED_VALUE"""),64.0)</f>
        <v>64</v>
      </c>
      <c r="B3075" s="4">
        <f>IFERROR(__xludf.DUMMYFUNCTION("""COMPUTED_VALUE"""),64.0)</f>
        <v>64</v>
      </c>
      <c r="C3075" s="4" t="str">
        <f>IFERROR(__xludf.DUMMYFUNCTION("""COMPUTED_VALUE"""),"NYK")</f>
        <v>NYK</v>
      </c>
      <c r="D3075" s="4" t="str">
        <f>IFERROR(__xludf.DUMMYFUNCTION("""COMPUTED_VALUE"""),"Curtis Green")</f>
        <v>Curtis Green</v>
      </c>
      <c r="E3075" s="4" t="str">
        <f>IFERROR(__xludf.DUMMYFUNCTION("""COMPUTED_VALUE"""),"Southern Miss")</f>
        <v>Southern Miss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</row>
    <row r="3076">
      <c r="A3076" s="4">
        <f>IFERROR(__xludf.DUMMYFUNCTION("""COMPUTED_VALUE"""),65.0)</f>
        <v>65</v>
      </c>
      <c r="B3076" s="4">
        <f>IFERROR(__xludf.DUMMYFUNCTION("""COMPUTED_VALUE"""),65.0)</f>
        <v>65</v>
      </c>
      <c r="C3076" s="4" t="str">
        <f>IFERROR(__xludf.DUMMYFUNCTION("""COMPUTED_VALUE"""),"POR")</f>
        <v>POR</v>
      </c>
      <c r="D3076" s="4" t="str">
        <f>IFERROR(__xludf.DUMMYFUNCTION("""COMPUTED_VALUE"""),"Tim Kearney")</f>
        <v>Tim Kearney</v>
      </c>
      <c r="E3076" s="4" t="str">
        <f>IFERROR(__xludf.DUMMYFUNCTION("""COMPUTED_VALUE"""),"West Virginia")</f>
        <v>West Virginia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</row>
    <row r="3077">
      <c r="A3077" s="4">
        <f>IFERROR(__xludf.DUMMYFUNCTION("""COMPUTED_VALUE"""),66.0)</f>
        <v>66</v>
      </c>
      <c r="B3077" s="4">
        <f>IFERROR(__xludf.DUMMYFUNCTION("""COMPUTED_VALUE"""),66.0)</f>
        <v>66</v>
      </c>
      <c r="C3077" s="4" t="str">
        <f>IFERROR(__xludf.DUMMYFUNCTION("""COMPUTED_VALUE"""),"DET")</f>
        <v>DET</v>
      </c>
      <c r="D3077" s="4" t="str">
        <f>IFERROR(__xludf.DUMMYFUNCTION("""COMPUTED_VALUE"""),"Kevin Springman")</f>
        <v>Kevin Springman</v>
      </c>
      <c r="E3077" s="4" t="str">
        <f>IFERROR(__xludf.DUMMYFUNCTION("""COMPUTED_VALUE"""),"Saint Joseph's")</f>
        <v>Saint Joseph's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</row>
    <row r="3078">
      <c r="A3078" s="4">
        <f>IFERROR(__xludf.DUMMYFUNCTION("""COMPUTED_VALUE"""),67.0)</f>
        <v>67</v>
      </c>
      <c r="B3078" s="4">
        <f>IFERROR(__xludf.DUMMYFUNCTION("""COMPUTED_VALUE"""),67.0)</f>
        <v>67</v>
      </c>
      <c r="C3078" s="4" t="str">
        <f>IFERROR(__xludf.DUMMYFUNCTION("""COMPUTED_VALUE"""),"MIL")</f>
        <v>MIL</v>
      </c>
      <c r="D3078" s="4" t="str">
        <f>IFERROR(__xludf.DUMMYFUNCTION("""COMPUTED_VALUE"""),"Vernon Delancy")</f>
        <v>Vernon Delancy</v>
      </c>
      <c r="E3078" s="4" t="str">
        <f>IFERROR(__xludf.DUMMYFUNCTION("""COMPUTED_VALUE"""),"Florida")</f>
        <v>Florida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</row>
    <row r="3079">
      <c r="A3079" s="4">
        <f>IFERROR(__xludf.DUMMYFUNCTION("""COMPUTED_VALUE"""),68.0)</f>
        <v>68</v>
      </c>
      <c r="B3079" s="4">
        <f>IFERROR(__xludf.DUMMYFUNCTION("""COMPUTED_VALUE"""),68.0)</f>
        <v>68</v>
      </c>
      <c r="C3079" s="4" t="str">
        <f>IFERROR(__xludf.DUMMYFUNCTION("""COMPUTED_VALUE"""),"PHI")</f>
        <v>PHI</v>
      </c>
      <c r="D3079" s="4" t="str">
        <f>IFERROR(__xludf.DUMMYFUNCTION("""COMPUTED_VALUE"""),"Butch Graves")</f>
        <v>Butch Graves</v>
      </c>
      <c r="E3079" s="4" t="str">
        <f>IFERROR(__xludf.DUMMYFUNCTION("""COMPUTED_VALUE"""),"Yale")</f>
        <v>Yale</v>
      </c>
      <c r="F3079" s="4">
        <f>IFERROR(__xludf.DUMMYFUNCTION("""COMPUTED_VALUE"""),1.0)</f>
        <v>1</v>
      </c>
      <c r="G3079" s="4">
        <f>IFERROR(__xludf.DUMMYFUNCTION("""COMPUTED_VALUE"""),4.0)</f>
        <v>4</v>
      </c>
      <c r="H3079" s="4">
        <f>IFERROR(__xludf.DUMMYFUNCTION("""COMPUTED_VALUE"""),11.0)</f>
        <v>11</v>
      </c>
      <c r="I3079" s="4">
        <f>IFERROR(__xludf.DUMMYFUNCTION("""COMPUTED_VALUE"""),5.0)</f>
        <v>5</v>
      </c>
      <c r="J3079" s="4">
        <f>IFERROR(__xludf.DUMMYFUNCTION("""COMPUTED_VALUE"""),2.0)</f>
        <v>2</v>
      </c>
      <c r="K3079" s="4">
        <f>IFERROR(__xludf.DUMMYFUNCTION("""COMPUTED_VALUE"""),1.0)</f>
        <v>1</v>
      </c>
      <c r="L3079" s="4">
        <f>IFERROR(__xludf.DUMMYFUNCTION("""COMPUTED_VALUE"""),0.333)</f>
        <v>0.333</v>
      </c>
      <c r="M3079" s="4">
        <f>IFERROR(__xludf.DUMMYFUNCTION("""COMPUTED_VALUE"""),0.0)</f>
        <v>0</v>
      </c>
      <c r="N3079" s="4">
        <f>IFERROR(__xludf.DUMMYFUNCTION("""COMPUTED_VALUE"""),0.2)</f>
        <v>0.2</v>
      </c>
      <c r="O3079" s="4">
        <f>IFERROR(__xludf.DUMMYFUNCTION("""COMPUTED_VALUE"""),2.8)</f>
        <v>2.8</v>
      </c>
      <c r="P3079" s="4">
        <f>IFERROR(__xludf.DUMMYFUNCTION("""COMPUTED_VALUE"""),1.3)</f>
        <v>1.3</v>
      </c>
      <c r="Q3079" s="4">
        <f>IFERROR(__xludf.DUMMYFUNCTION("""COMPUTED_VALUE"""),0.5)</f>
        <v>0.5</v>
      </c>
      <c r="R3079" s="4">
        <f>IFERROR(__xludf.DUMMYFUNCTION("""COMPUTED_VALUE"""),0.3)</f>
        <v>0.3</v>
      </c>
      <c r="S3079" s="4">
        <f>IFERROR(__xludf.DUMMYFUNCTION("""COMPUTED_VALUE"""),-0.1)</f>
        <v>-0.1</v>
      </c>
      <c r="T3079" s="4">
        <f>IFERROR(__xludf.DUMMYFUNCTION("""COMPUTED_VALUE"""),-0.243)</f>
        <v>-0.243</v>
      </c>
      <c r="U3079" s="4">
        <f>IFERROR(__xludf.DUMMYFUNCTION("""COMPUTED_VALUE"""),-16.9)</f>
        <v>-16.9</v>
      </c>
      <c r="V3079" s="4">
        <f>IFERROR(__xludf.DUMMYFUNCTION("""COMPUTED_VALUE"""),0.0)</f>
        <v>0</v>
      </c>
    </row>
    <row r="3080">
      <c r="A3080" s="4">
        <f>IFERROR(__xludf.DUMMYFUNCTION("""COMPUTED_VALUE"""),69.0)</f>
        <v>69</v>
      </c>
      <c r="B3080" s="4">
        <f>IFERROR(__xludf.DUMMYFUNCTION("""COMPUTED_VALUE"""),69.0)</f>
        <v>69</v>
      </c>
      <c r="C3080" s="4" t="str">
        <f>IFERROR(__xludf.DUMMYFUNCTION("""COMPUTED_VALUE"""),"LAL")</f>
        <v>LAL</v>
      </c>
      <c r="D3080" s="4" t="str">
        <f>IFERROR(__xludf.DUMMYFUNCTION("""COMPUTED_VALUE"""),"George Singleton")</f>
        <v>George Singleton</v>
      </c>
      <c r="E3080" s="4" t="str">
        <f>IFERROR(__xludf.DUMMYFUNCTION("""COMPUTED_VALUE"""),"Furman University")</f>
        <v>Furman University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</row>
    <row r="3081">
      <c r="A3081" s="4">
        <f>IFERROR(__xludf.DUMMYFUNCTION("""COMPUTED_VALUE"""),70.0)</f>
        <v>70</v>
      </c>
      <c r="B3081" s="4">
        <f>IFERROR(__xludf.DUMMYFUNCTION("""COMPUTED_VALUE"""),70.0)</f>
        <v>70</v>
      </c>
      <c r="C3081" s="4" t="str">
        <f>IFERROR(__xludf.DUMMYFUNCTION("""COMPUTED_VALUE"""),"BOS")</f>
        <v>BOS</v>
      </c>
      <c r="D3081" s="4" t="str">
        <f>IFERROR(__xludf.DUMMYFUNCTION("""COMPUTED_VALUE"""),"Rick Carlisle")</f>
        <v>Rick Carlisle</v>
      </c>
      <c r="E3081" s="4" t="str">
        <f>IFERROR(__xludf.DUMMYFUNCTION("""COMPUTED_VALUE"""),"Virginia")</f>
        <v>Virginia</v>
      </c>
      <c r="F3081" s="4">
        <f>IFERROR(__xludf.DUMMYFUNCTION("""COMPUTED_VALUE"""),5.0)</f>
        <v>5</v>
      </c>
      <c r="G3081" s="4">
        <f>IFERROR(__xludf.DUMMYFUNCTION("""COMPUTED_VALUE"""),188.0)</f>
        <v>188</v>
      </c>
      <c r="H3081" s="4">
        <f>IFERROR(__xludf.DUMMYFUNCTION("""COMPUTED_VALUE"""),1461.0)</f>
        <v>1461</v>
      </c>
      <c r="I3081" s="4">
        <f>IFERROR(__xludf.DUMMYFUNCTION("""COMPUTED_VALUE"""),422.0)</f>
        <v>422</v>
      </c>
      <c r="J3081" s="4">
        <f>IFERROR(__xludf.DUMMYFUNCTION("""COMPUTED_VALUE"""),141.0)</f>
        <v>141</v>
      </c>
      <c r="K3081" s="4">
        <f>IFERROR(__xludf.DUMMYFUNCTION("""COMPUTED_VALUE"""),201.0)</f>
        <v>201</v>
      </c>
      <c r="L3081" s="4">
        <f>IFERROR(__xludf.DUMMYFUNCTION("""COMPUTED_VALUE"""),0.422)</f>
        <v>0.422</v>
      </c>
      <c r="M3081" s="4">
        <f>IFERROR(__xludf.DUMMYFUNCTION("""COMPUTED_VALUE"""),0.229)</f>
        <v>0.229</v>
      </c>
      <c r="N3081" s="4">
        <f>IFERROR(__xludf.DUMMYFUNCTION("""COMPUTED_VALUE"""),0.775)</f>
        <v>0.775</v>
      </c>
      <c r="O3081" s="4">
        <f>IFERROR(__xludf.DUMMYFUNCTION("""COMPUTED_VALUE"""),7.8)</f>
        <v>7.8</v>
      </c>
      <c r="P3081" s="4">
        <f>IFERROR(__xludf.DUMMYFUNCTION("""COMPUTED_VALUE"""),2.2)</f>
        <v>2.2</v>
      </c>
      <c r="Q3081" s="4">
        <f>IFERROR(__xludf.DUMMYFUNCTION("""COMPUTED_VALUE"""),0.8)</f>
        <v>0.8</v>
      </c>
      <c r="R3081" s="4">
        <f>IFERROR(__xludf.DUMMYFUNCTION("""COMPUTED_VALUE"""),1.1)</f>
        <v>1.1</v>
      </c>
      <c r="S3081" s="4">
        <f>IFERROR(__xludf.DUMMYFUNCTION("""COMPUTED_VALUE"""),0.5)</f>
        <v>0.5</v>
      </c>
      <c r="T3081" s="4">
        <f>IFERROR(__xludf.DUMMYFUNCTION("""COMPUTED_VALUE"""),0.015)</f>
        <v>0.015</v>
      </c>
      <c r="U3081" s="4">
        <f>IFERROR(__xludf.DUMMYFUNCTION("""COMPUTED_VALUE"""),-4.4)</f>
        <v>-4.4</v>
      </c>
      <c r="V3081" s="4">
        <f>IFERROR(__xludf.DUMMYFUNCTION("""COMPUTED_VALUE"""),-0.9)</f>
        <v>-0.9</v>
      </c>
    </row>
    <row r="3082">
      <c r="A3082" s="4"/>
      <c r="B3082" s="4"/>
      <c r="C3082" s="4"/>
      <c r="D3082" s="4" t="str">
        <f>IFERROR(__xludf.DUMMYFUNCTION("""COMPUTED_VALUE"""),"Round 4")</f>
        <v>Round 4</v>
      </c>
      <c r="E3082" s="4"/>
      <c r="F3082" s="4"/>
      <c r="G3082" s="4" t="str">
        <f>IFERROR(__xludf.DUMMYFUNCTION("""COMPUTED_VALUE"""),"Totals")</f>
        <v>Totals</v>
      </c>
      <c r="H3082" s="4"/>
      <c r="I3082" s="4"/>
      <c r="J3082" s="4"/>
      <c r="K3082" s="4"/>
      <c r="L3082" s="4" t="str">
        <f>IFERROR(__xludf.DUMMYFUNCTION("""COMPUTED_VALUE"""),"Shooting")</f>
        <v>Shooting</v>
      </c>
      <c r="M3082" s="4"/>
      <c r="N3082" s="4"/>
      <c r="O3082" s="4" t="str">
        <f>IFERROR(__xludf.DUMMYFUNCTION("""COMPUTED_VALUE"""),"Per Game")</f>
        <v>Per Game</v>
      </c>
      <c r="P3082" s="4"/>
      <c r="Q3082" s="4"/>
      <c r="R3082" s="4"/>
      <c r="S3082" s="4" t="str">
        <f>IFERROR(__xludf.DUMMYFUNCTION("""COMPUTED_VALUE"""),"Advanced")</f>
        <v>Advanced</v>
      </c>
      <c r="T3082" s="4"/>
      <c r="U3082" s="4"/>
      <c r="V3082" s="4"/>
    </row>
    <row r="3083">
      <c r="A3083" s="4" t="str">
        <f>IFERROR(__xludf.DUMMYFUNCTION("""COMPUTED_VALUE"""),"Rk")</f>
        <v>Rk</v>
      </c>
      <c r="B3083" s="4" t="str">
        <f>IFERROR(__xludf.DUMMYFUNCTION("""COMPUTED_VALUE"""),"Pk")</f>
        <v>Pk</v>
      </c>
      <c r="C3083" s="4" t="str">
        <f>IFERROR(__xludf.DUMMYFUNCTION("""COMPUTED_VALUE"""),"Tm")</f>
        <v>Tm</v>
      </c>
      <c r="D3083" s="4" t="str">
        <f>IFERROR(__xludf.DUMMYFUNCTION("""COMPUTED_VALUE"""),"Player")</f>
        <v>Player</v>
      </c>
      <c r="E3083" s="4" t="str">
        <f>IFERROR(__xludf.DUMMYFUNCTION("""COMPUTED_VALUE"""),"College")</f>
        <v>College</v>
      </c>
      <c r="F3083" s="4" t="str">
        <f>IFERROR(__xludf.DUMMYFUNCTION("""COMPUTED_VALUE"""),"Yrs")</f>
        <v>Yrs</v>
      </c>
      <c r="G3083" s="4" t="str">
        <f>IFERROR(__xludf.DUMMYFUNCTION("""COMPUTED_VALUE"""),"G")</f>
        <v>G</v>
      </c>
      <c r="H3083" s="4" t="str">
        <f>IFERROR(__xludf.DUMMYFUNCTION("""COMPUTED_VALUE"""),"MP")</f>
        <v>MP</v>
      </c>
      <c r="I3083" s="4" t="str">
        <f>IFERROR(__xludf.DUMMYFUNCTION("""COMPUTED_VALUE"""),"PTS")</f>
        <v>PTS</v>
      </c>
      <c r="J3083" s="4" t="str">
        <f>IFERROR(__xludf.DUMMYFUNCTION("""COMPUTED_VALUE"""),"TRB")</f>
        <v>TRB</v>
      </c>
      <c r="K3083" s="4" t="str">
        <f>IFERROR(__xludf.DUMMYFUNCTION("""COMPUTED_VALUE"""),"AST")</f>
        <v>AST</v>
      </c>
      <c r="L3083" s="4" t="str">
        <f>IFERROR(__xludf.DUMMYFUNCTION("""COMPUTED_VALUE"""),"FG%")</f>
        <v>FG%</v>
      </c>
      <c r="M3083" s="4" t="str">
        <f>IFERROR(__xludf.DUMMYFUNCTION("""COMPUTED_VALUE"""),"3P%")</f>
        <v>3P%</v>
      </c>
      <c r="N3083" s="4" t="str">
        <f>IFERROR(__xludf.DUMMYFUNCTION("""COMPUTED_VALUE"""),"FT%")</f>
        <v>FT%</v>
      </c>
      <c r="O3083" s="4" t="str">
        <f>IFERROR(__xludf.DUMMYFUNCTION("""COMPUTED_VALUE"""),"MP")</f>
        <v>MP</v>
      </c>
      <c r="P3083" s="4" t="str">
        <f>IFERROR(__xludf.DUMMYFUNCTION("""COMPUTED_VALUE"""),"PTS")</f>
        <v>PTS</v>
      </c>
      <c r="Q3083" s="4" t="str">
        <f>IFERROR(__xludf.DUMMYFUNCTION("""COMPUTED_VALUE"""),"TRB")</f>
        <v>TRB</v>
      </c>
      <c r="R3083" s="4" t="str">
        <f>IFERROR(__xludf.DUMMYFUNCTION("""COMPUTED_VALUE"""),"AST")</f>
        <v>AST</v>
      </c>
      <c r="S3083" s="4" t="str">
        <f>IFERROR(__xludf.DUMMYFUNCTION("""COMPUTED_VALUE"""),"WS")</f>
        <v>WS</v>
      </c>
      <c r="T3083" s="4" t="str">
        <f>IFERROR(__xludf.DUMMYFUNCTION("""COMPUTED_VALUE"""),"WS/48")</f>
        <v>WS/48</v>
      </c>
      <c r="U3083" s="4" t="str">
        <f>IFERROR(__xludf.DUMMYFUNCTION("""COMPUTED_VALUE"""),"BPM")</f>
        <v>BPM</v>
      </c>
      <c r="V3083" s="4" t="str">
        <f>IFERROR(__xludf.DUMMYFUNCTION("""COMPUTED_VALUE"""),"VORP")</f>
        <v>VORP</v>
      </c>
    </row>
    <row r="3084">
      <c r="A3084" s="4">
        <f>IFERROR(__xludf.DUMMYFUNCTION("""COMPUTED_VALUE"""),71.0)</f>
        <v>71</v>
      </c>
      <c r="B3084" s="4">
        <f>IFERROR(__xludf.DUMMYFUNCTION("""COMPUTED_VALUE"""),71.0)</f>
        <v>71</v>
      </c>
      <c r="C3084" s="4" t="str">
        <f>IFERROR(__xludf.DUMMYFUNCTION("""COMPUTED_VALUE"""),"IND")</f>
        <v>IND</v>
      </c>
      <c r="D3084" s="4" t="str">
        <f>IFERROR(__xludf.DUMMYFUNCTION("""COMPUTED_VALUE"""),"Ralph Jackson")</f>
        <v>Ralph Jackson</v>
      </c>
      <c r="E3084" s="4" t="str">
        <f>IFERROR(__xludf.DUMMYFUNCTION("""COMPUTED_VALUE"""),"UCLA")</f>
        <v>UCLA</v>
      </c>
      <c r="F3084" s="4">
        <f>IFERROR(__xludf.DUMMYFUNCTION("""COMPUTED_VALUE"""),1.0)</f>
        <v>1</v>
      </c>
      <c r="G3084" s="4">
        <f>IFERROR(__xludf.DUMMYFUNCTION("""COMPUTED_VALUE"""),1.0)</f>
        <v>1</v>
      </c>
      <c r="H3084" s="4">
        <f>IFERROR(__xludf.DUMMYFUNCTION("""COMPUTED_VALUE"""),12.0)</f>
        <v>12</v>
      </c>
      <c r="I3084" s="4">
        <f>IFERROR(__xludf.DUMMYFUNCTION("""COMPUTED_VALUE"""),2.0)</f>
        <v>2</v>
      </c>
      <c r="J3084" s="4">
        <f>IFERROR(__xludf.DUMMYFUNCTION("""COMPUTED_VALUE"""),1.0)</f>
        <v>1</v>
      </c>
      <c r="K3084" s="4">
        <f>IFERROR(__xludf.DUMMYFUNCTION("""COMPUTED_VALUE"""),4.0)</f>
        <v>4</v>
      </c>
      <c r="L3084" s="4">
        <f>IFERROR(__xludf.DUMMYFUNCTION("""COMPUTED_VALUE"""),0.333)</f>
        <v>0.333</v>
      </c>
      <c r="M3084" s="4"/>
      <c r="N3084" s="4"/>
      <c r="O3084" s="4">
        <f>IFERROR(__xludf.DUMMYFUNCTION("""COMPUTED_VALUE"""),12.0)</f>
        <v>12</v>
      </c>
      <c r="P3084" s="4">
        <f>IFERROR(__xludf.DUMMYFUNCTION("""COMPUTED_VALUE"""),2.0)</f>
        <v>2</v>
      </c>
      <c r="Q3084" s="4">
        <f>IFERROR(__xludf.DUMMYFUNCTION("""COMPUTED_VALUE"""),1.0)</f>
        <v>1</v>
      </c>
      <c r="R3084" s="4">
        <f>IFERROR(__xludf.DUMMYFUNCTION("""COMPUTED_VALUE"""),4.0)</f>
        <v>4</v>
      </c>
      <c r="S3084" s="4">
        <f>IFERROR(__xludf.DUMMYFUNCTION("""COMPUTED_VALUE"""),0.0)</f>
        <v>0</v>
      </c>
      <c r="T3084" s="4">
        <f>IFERROR(__xludf.DUMMYFUNCTION("""COMPUTED_VALUE"""),0.069)</f>
        <v>0.069</v>
      </c>
      <c r="U3084" s="4">
        <f>IFERROR(__xludf.DUMMYFUNCTION("""COMPUTED_VALUE"""),4.3)</f>
        <v>4.3</v>
      </c>
      <c r="V3084" s="4">
        <f>IFERROR(__xludf.DUMMYFUNCTION("""COMPUTED_VALUE"""),0.0)</f>
        <v>0</v>
      </c>
    </row>
    <row r="3085">
      <c r="A3085" s="4">
        <f>IFERROR(__xludf.DUMMYFUNCTION("""COMPUTED_VALUE"""),72.0)</f>
        <v>72</v>
      </c>
      <c r="B3085" s="4">
        <f>IFERROR(__xludf.DUMMYFUNCTION("""COMPUTED_VALUE"""),72.0)</f>
        <v>72</v>
      </c>
      <c r="C3085" s="4" t="str">
        <f>IFERROR(__xludf.DUMMYFUNCTION("""COMPUTED_VALUE"""),"CHI")</f>
        <v>CHI</v>
      </c>
      <c r="D3085" s="4" t="str">
        <f>IFERROR(__xludf.DUMMYFUNCTION("""COMPUTED_VALUE"""),"Melvin Johnson")</f>
        <v>Melvin Johnson</v>
      </c>
      <c r="E3085" s="4" t="str">
        <f>IFERROR(__xludf.DUMMYFUNCTION("""COMPUTED_VALUE"""),"UNC Charlotte")</f>
        <v>UNC Charlotte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</row>
    <row r="3086">
      <c r="A3086" s="4">
        <f>IFERROR(__xludf.DUMMYFUNCTION("""COMPUTED_VALUE"""),73.0)</f>
        <v>73</v>
      </c>
      <c r="B3086" s="4">
        <f>IFERROR(__xludf.DUMMYFUNCTION("""COMPUTED_VALUE"""),73.0)</f>
        <v>73</v>
      </c>
      <c r="C3086" s="4" t="str">
        <f>IFERROR(__xludf.DUMMYFUNCTION("""COMPUTED_VALUE"""),"CLE")</f>
        <v>CLE</v>
      </c>
      <c r="D3086" s="4" t="str">
        <f>IFERROR(__xludf.DUMMYFUNCTION("""COMPUTED_VALUE"""),"Art Aaron")</f>
        <v>Art Aaron</v>
      </c>
      <c r="E3086" s="4" t="str">
        <f>IFERROR(__xludf.DUMMYFUNCTION("""COMPUTED_VALUE"""),"Northwestern")</f>
        <v>Northwestern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</row>
    <row r="3087">
      <c r="A3087" s="4">
        <f>IFERROR(__xludf.DUMMYFUNCTION("""COMPUTED_VALUE"""),74.0)</f>
        <v>74</v>
      </c>
      <c r="B3087" s="4">
        <f>IFERROR(__xludf.DUMMYFUNCTION("""COMPUTED_VALUE"""),74.0)</f>
        <v>74</v>
      </c>
      <c r="C3087" s="4" t="str">
        <f>IFERROR(__xludf.DUMMYFUNCTION("""COMPUTED_VALUE"""),"HOU")</f>
        <v>HOU</v>
      </c>
      <c r="D3087" s="4" t="str">
        <f>IFERROR(__xludf.DUMMYFUNCTION("""COMPUTED_VALUE"""),"Willie Jackson")</f>
        <v>Willie Jackson</v>
      </c>
      <c r="E3087" s="4" t="str">
        <f>IFERROR(__xludf.DUMMYFUNCTION("""COMPUTED_VALUE"""),"Centenary (LA)")</f>
        <v>Centenary (LA)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</row>
    <row r="3088">
      <c r="A3088" s="4">
        <f>IFERROR(__xludf.DUMMYFUNCTION("""COMPUTED_VALUE"""),75.0)</f>
        <v>75</v>
      </c>
      <c r="B3088" s="4">
        <f>IFERROR(__xludf.DUMMYFUNCTION("""COMPUTED_VALUE"""),75.0)</f>
        <v>75</v>
      </c>
      <c r="C3088" s="4" t="str">
        <f>IFERROR(__xludf.DUMMYFUNCTION("""COMPUTED_VALUE"""),"LAC")</f>
        <v>LAC</v>
      </c>
      <c r="D3088" s="4" t="str">
        <f>IFERROR(__xludf.DUMMYFUNCTION("""COMPUTED_VALUE"""),"Marc Glass")</f>
        <v>Marc Glass</v>
      </c>
      <c r="E3088" s="4" t="str">
        <f>IFERROR(__xludf.DUMMYFUNCTION("""COMPUTED_VALUE"""),"Montana")</f>
        <v>Montana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</row>
    <row r="3089">
      <c r="A3089" s="4">
        <f>IFERROR(__xludf.DUMMYFUNCTION("""COMPUTED_VALUE"""),76.0)</f>
        <v>76</v>
      </c>
      <c r="B3089" s="4">
        <f>IFERROR(__xludf.DUMMYFUNCTION("""COMPUTED_VALUE"""),76.0)</f>
        <v>76</v>
      </c>
      <c r="C3089" s="4" t="str">
        <f>IFERROR(__xludf.DUMMYFUNCTION("""COMPUTED_VALUE"""),"WSB")</f>
        <v>WSB</v>
      </c>
      <c r="D3089" s="4" t="str">
        <f>IFERROR(__xludf.DUMMYFUNCTION("""COMPUTED_VALUE"""),"Jim Grandholm")</f>
        <v>Jim Grandholm</v>
      </c>
      <c r="E3089" s="4" t="str">
        <f>IFERROR(__xludf.DUMMYFUNCTION("""COMPUTED_VALUE"""),"South Florida")</f>
        <v>South Florida</v>
      </c>
      <c r="F3089" s="4">
        <f>IFERROR(__xludf.DUMMYFUNCTION("""COMPUTED_VALUE"""),1.0)</f>
        <v>1</v>
      </c>
      <c r="G3089" s="4">
        <f>IFERROR(__xludf.DUMMYFUNCTION("""COMPUTED_VALUE"""),26.0)</f>
        <v>26</v>
      </c>
      <c r="H3089" s="4">
        <f>IFERROR(__xludf.DUMMYFUNCTION("""COMPUTED_VALUE"""),168.0)</f>
        <v>168</v>
      </c>
      <c r="I3089" s="4">
        <f>IFERROR(__xludf.DUMMYFUNCTION("""COMPUTED_VALUE"""),79.0)</f>
        <v>79</v>
      </c>
      <c r="J3089" s="4">
        <f>IFERROR(__xludf.DUMMYFUNCTION("""COMPUTED_VALUE"""),50.0)</f>
        <v>50</v>
      </c>
      <c r="K3089" s="4">
        <f>IFERROR(__xludf.DUMMYFUNCTION("""COMPUTED_VALUE"""),8.0)</f>
        <v>8</v>
      </c>
      <c r="L3089" s="4">
        <f>IFERROR(__xludf.DUMMYFUNCTION("""COMPUTED_VALUE"""),0.517)</f>
        <v>0.517</v>
      </c>
      <c r="M3089" s="4">
        <f>IFERROR(__xludf.DUMMYFUNCTION("""COMPUTED_VALUE"""),0.529)</f>
        <v>0.529</v>
      </c>
      <c r="N3089" s="4">
        <f>IFERROR(__xludf.DUMMYFUNCTION("""COMPUTED_VALUE"""),0.476)</f>
        <v>0.476</v>
      </c>
      <c r="O3089" s="4">
        <f>IFERROR(__xludf.DUMMYFUNCTION("""COMPUTED_VALUE"""),6.5)</f>
        <v>6.5</v>
      </c>
      <c r="P3089" s="4">
        <f>IFERROR(__xludf.DUMMYFUNCTION("""COMPUTED_VALUE"""),3.0)</f>
        <v>3</v>
      </c>
      <c r="Q3089" s="4">
        <f>IFERROR(__xludf.DUMMYFUNCTION("""COMPUTED_VALUE"""),1.9)</f>
        <v>1.9</v>
      </c>
      <c r="R3089" s="4">
        <f>IFERROR(__xludf.DUMMYFUNCTION("""COMPUTED_VALUE"""),0.3)</f>
        <v>0.3</v>
      </c>
      <c r="S3089" s="4">
        <f>IFERROR(__xludf.DUMMYFUNCTION("""COMPUTED_VALUE"""),0.4)</f>
        <v>0.4</v>
      </c>
      <c r="T3089" s="4">
        <f>IFERROR(__xludf.DUMMYFUNCTION("""COMPUTED_VALUE"""),0.123)</f>
        <v>0.123</v>
      </c>
      <c r="U3089" s="4">
        <f>IFERROR(__xludf.DUMMYFUNCTION("""COMPUTED_VALUE"""),-0.9)</f>
        <v>-0.9</v>
      </c>
      <c r="V3089" s="4">
        <f>IFERROR(__xludf.DUMMYFUNCTION("""COMPUTED_VALUE"""),0.0)</f>
        <v>0</v>
      </c>
    </row>
    <row r="3090">
      <c r="A3090" s="4">
        <f>IFERROR(__xludf.DUMMYFUNCTION("""COMPUTED_VALUE"""),77.0)</f>
        <v>77</v>
      </c>
      <c r="B3090" s="4">
        <f>IFERROR(__xludf.DUMMYFUNCTION("""COMPUTED_VALUE"""),77.0)</f>
        <v>77</v>
      </c>
      <c r="C3090" s="4" t="str">
        <f>IFERROR(__xludf.DUMMYFUNCTION("""COMPUTED_VALUE"""),"CHI")</f>
        <v>CHI</v>
      </c>
      <c r="D3090" s="4" t="str">
        <f>IFERROR(__xludf.DUMMYFUNCTION("""COMPUTED_VALUE"""),"Mark Halsel")</f>
        <v>Mark Halsel</v>
      </c>
      <c r="E3090" s="4" t="str">
        <f>IFERROR(__xludf.DUMMYFUNCTION("""COMPUTED_VALUE"""),"Northeastern University")</f>
        <v>Northeastern University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</row>
    <row r="3091">
      <c r="A3091" s="4">
        <f>IFERROR(__xludf.DUMMYFUNCTION("""COMPUTED_VALUE"""),78.0)</f>
        <v>78</v>
      </c>
      <c r="B3091" s="4">
        <f>IFERROR(__xludf.DUMMYFUNCTION("""COMPUTED_VALUE"""),78.0)</f>
        <v>78</v>
      </c>
      <c r="C3091" s="4" t="str">
        <f>IFERROR(__xludf.DUMMYFUNCTION("""COMPUTED_VALUE"""),"SAS")</f>
        <v>SAS</v>
      </c>
      <c r="D3091" s="4" t="str">
        <f>IFERROR(__xludf.DUMMYFUNCTION("""COMPUTED_VALUE"""),"John Devereaux")</f>
        <v>John Devereaux</v>
      </c>
      <c r="E3091" s="4" t="str">
        <f>IFERROR(__xludf.DUMMYFUNCTION("""COMPUTED_VALUE"""),"Ohio University")</f>
        <v>Ohio University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</row>
    <row r="3092">
      <c r="A3092" s="4">
        <f>IFERROR(__xludf.DUMMYFUNCTION("""COMPUTED_VALUE"""),79.0)</f>
        <v>79</v>
      </c>
      <c r="B3092" s="4">
        <f>IFERROR(__xludf.DUMMYFUNCTION("""COMPUTED_VALUE"""),79.0)</f>
        <v>79</v>
      </c>
      <c r="C3092" s="4" t="str">
        <f>IFERROR(__xludf.DUMMYFUNCTION("""COMPUTED_VALUE"""),"DEN")</f>
        <v>DEN</v>
      </c>
      <c r="D3092" s="4" t="str">
        <f>IFERROR(__xludf.DUMMYFUNCTION("""COMPUTED_VALUE"""),"Karl Tilleman")</f>
        <v>Karl Tilleman</v>
      </c>
      <c r="E3092" s="4" t="str">
        <f>IFERROR(__xludf.DUMMYFUNCTION("""COMPUTED_VALUE"""),"University of Calgary")</f>
        <v>University of Calgary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</row>
    <row r="3093">
      <c r="A3093" s="4">
        <f>IFERROR(__xludf.DUMMYFUNCTION("""COMPUTED_VALUE"""),80.0)</f>
        <v>80</v>
      </c>
      <c r="B3093" s="4">
        <f>IFERROR(__xludf.DUMMYFUNCTION("""COMPUTED_VALUE"""),80.0)</f>
        <v>80</v>
      </c>
      <c r="C3093" s="4" t="str">
        <f>IFERROR(__xludf.DUMMYFUNCTION("""COMPUTED_VALUE"""),"KCK")</f>
        <v>KCK</v>
      </c>
      <c r="D3093" s="4" t="str">
        <f>IFERROR(__xludf.DUMMYFUNCTION("""COMPUTED_VALUE"""),"Carl Henry")</f>
        <v>Carl Henry</v>
      </c>
      <c r="E3093" s="4" t="str">
        <f>IFERROR(__xludf.DUMMYFUNCTION("""COMPUTED_VALUE"""),"Kansas")</f>
        <v>Kansas</v>
      </c>
      <c r="F3093" s="4">
        <f>IFERROR(__xludf.DUMMYFUNCTION("""COMPUTED_VALUE"""),1.0)</f>
        <v>1</v>
      </c>
      <c r="G3093" s="4">
        <f>IFERROR(__xludf.DUMMYFUNCTION("""COMPUTED_VALUE"""),28.0)</f>
        <v>28</v>
      </c>
      <c r="H3093" s="4">
        <f>IFERROR(__xludf.DUMMYFUNCTION("""COMPUTED_VALUE"""),149.0)</f>
        <v>149</v>
      </c>
      <c r="I3093" s="4">
        <f>IFERROR(__xludf.DUMMYFUNCTION("""COMPUTED_VALUE"""),78.0)</f>
        <v>78</v>
      </c>
      <c r="J3093" s="4">
        <f>IFERROR(__xludf.DUMMYFUNCTION("""COMPUTED_VALUE"""),19.0)</f>
        <v>19</v>
      </c>
      <c r="K3093" s="4">
        <f>IFERROR(__xludf.DUMMYFUNCTION("""COMPUTED_VALUE"""),4.0)</f>
        <v>4</v>
      </c>
      <c r="L3093" s="4">
        <f>IFERROR(__xludf.DUMMYFUNCTION("""COMPUTED_VALUE"""),0.463)</f>
        <v>0.463</v>
      </c>
      <c r="M3093" s="4">
        <f>IFERROR(__xludf.DUMMYFUNCTION("""COMPUTED_VALUE"""),0.4)</f>
        <v>0.4</v>
      </c>
      <c r="N3093" s="4">
        <f>IFERROR(__xludf.DUMMYFUNCTION("""COMPUTED_VALUE"""),0.706)</f>
        <v>0.706</v>
      </c>
      <c r="O3093" s="4">
        <f>IFERROR(__xludf.DUMMYFUNCTION("""COMPUTED_VALUE"""),5.3)</f>
        <v>5.3</v>
      </c>
      <c r="P3093" s="4">
        <f>IFERROR(__xludf.DUMMYFUNCTION("""COMPUTED_VALUE"""),2.8)</f>
        <v>2.8</v>
      </c>
      <c r="Q3093" s="4">
        <f>IFERROR(__xludf.DUMMYFUNCTION("""COMPUTED_VALUE"""),0.7)</f>
        <v>0.7</v>
      </c>
      <c r="R3093" s="4">
        <f>IFERROR(__xludf.DUMMYFUNCTION("""COMPUTED_VALUE"""),0.1)</f>
        <v>0.1</v>
      </c>
      <c r="S3093" s="4">
        <f>IFERROR(__xludf.DUMMYFUNCTION("""COMPUTED_VALUE"""),0.2)</f>
        <v>0.2</v>
      </c>
      <c r="T3093" s="4">
        <f>IFERROR(__xludf.DUMMYFUNCTION("""COMPUTED_VALUE"""),0.049)</f>
        <v>0.049</v>
      </c>
      <c r="U3093" s="4">
        <f>IFERROR(__xludf.DUMMYFUNCTION("""COMPUTED_VALUE"""),-2.5)</f>
        <v>-2.5</v>
      </c>
      <c r="V3093" s="4">
        <f>IFERROR(__xludf.DUMMYFUNCTION("""COMPUTED_VALUE"""),0.0)</f>
        <v>0</v>
      </c>
    </row>
    <row r="3094">
      <c r="A3094" s="4">
        <f>IFERROR(__xludf.DUMMYFUNCTION("""COMPUTED_VALUE"""),81.0)</f>
        <v>81</v>
      </c>
      <c r="B3094" s="4">
        <f>IFERROR(__xludf.DUMMYFUNCTION("""COMPUTED_VALUE"""),81.0)</f>
        <v>81</v>
      </c>
      <c r="C3094" s="4" t="str">
        <f>IFERROR(__xludf.DUMMYFUNCTION("""COMPUTED_VALUE"""),"ATL")</f>
        <v>ATL</v>
      </c>
      <c r="D3094" s="4" t="str">
        <f>IFERROR(__xludf.DUMMYFUNCTION("""COMPUTED_VALUE"""),"Dicky Beal")</f>
        <v>Dicky Beal</v>
      </c>
      <c r="E3094" s="4" t="str">
        <f>IFERROR(__xludf.DUMMYFUNCTION("""COMPUTED_VALUE"""),"Kentucky")</f>
        <v>Kentucky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</row>
    <row r="3095">
      <c r="A3095" s="4">
        <f>IFERROR(__xludf.DUMMYFUNCTION("""COMPUTED_VALUE"""),82.0)</f>
        <v>82</v>
      </c>
      <c r="B3095" s="4">
        <f>IFERROR(__xludf.DUMMYFUNCTION("""COMPUTED_VALUE"""),82.0)</f>
        <v>82</v>
      </c>
      <c r="C3095" s="4" t="str">
        <f>IFERROR(__xludf.DUMMYFUNCTION("""COMPUTED_VALUE"""),"PHO")</f>
        <v>PHO</v>
      </c>
      <c r="D3095" s="4" t="str">
        <f>IFERROR(__xludf.DUMMYFUNCTION("""COMPUTED_VALUE"""),"Jeff Collins")</f>
        <v>Jeff Collins</v>
      </c>
      <c r="E3095" s="4" t="str">
        <f>IFERROR(__xludf.DUMMYFUNCTION("""COMPUTED_VALUE"""),"UNLV")</f>
        <v>UNLV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</row>
    <row r="3096">
      <c r="A3096" s="4">
        <f>IFERROR(__xludf.DUMMYFUNCTION("""COMPUTED_VALUE"""),83.0)</f>
        <v>83</v>
      </c>
      <c r="B3096" s="4">
        <f>IFERROR(__xludf.DUMMYFUNCTION("""COMPUTED_VALUE"""),83.0)</f>
        <v>83</v>
      </c>
      <c r="C3096" s="4" t="str">
        <f>IFERROR(__xludf.DUMMYFUNCTION("""COMPUTED_VALUE"""),"SEA")</f>
        <v>SEA</v>
      </c>
      <c r="D3096" s="4" t="str">
        <f>IFERROR(__xludf.DUMMYFUNCTION("""COMPUTED_VALUE"""),"Jeff Jenkins")</f>
        <v>Jeff Jenkins</v>
      </c>
      <c r="E3096" s="4" t="str">
        <f>IFERROR(__xludf.DUMMYFUNCTION("""COMPUTED_VALUE"""),"Xavier")</f>
        <v>Xavier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</row>
    <row r="3097">
      <c r="A3097" s="4">
        <f>IFERROR(__xludf.DUMMYFUNCTION("""COMPUTED_VALUE"""),84.0)</f>
        <v>84</v>
      </c>
      <c r="B3097" s="4">
        <f>IFERROR(__xludf.DUMMYFUNCTION("""COMPUTED_VALUE"""),84.0)</f>
        <v>84</v>
      </c>
      <c r="C3097" s="4" t="str">
        <f>IFERROR(__xludf.DUMMYFUNCTION("""COMPUTED_VALUE"""),"DAL")</f>
        <v>DAL</v>
      </c>
      <c r="D3097" s="4" t="str">
        <f>IFERROR(__xludf.DUMMYFUNCTION("""COMPUTED_VALUE"""),"John Horrocks")</f>
        <v>John Horrocks</v>
      </c>
      <c r="E3097" s="4" t="str">
        <f>IFERROR(__xludf.DUMMYFUNCTION("""COMPUTED_VALUE"""),"University of North Texas")</f>
        <v>University of North Texas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</row>
    <row r="3098">
      <c r="A3098" s="4">
        <f>IFERROR(__xludf.DUMMYFUNCTION("""COMPUTED_VALUE"""),85.0)</f>
        <v>85</v>
      </c>
      <c r="B3098" s="4">
        <f>IFERROR(__xludf.DUMMYFUNCTION("""COMPUTED_VALUE"""),85.0)</f>
        <v>85</v>
      </c>
      <c r="C3098" s="4" t="str">
        <f>IFERROR(__xludf.DUMMYFUNCTION("""COMPUTED_VALUE"""),"NJN")</f>
        <v>NJN</v>
      </c>
      <c r="D3098" s="4" t="str">
        <f>IFERROR(__xludf.DUMMYFUNCTION("""COMPUTED_VALUE"""),"Hank Cornley")</f>
        <v>Hank Cornley</v>
      </c>
      <c r="E3098" s="4" t="str">
        <f>IFERROR(__xludf.DUMMYFUNCTION("""COMPUTED_VALUE"""),"Illinois State")</f>
        <v>Illinois State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</row>
    <row r="3099">
      <c r="A3099" s="4">
        <f>IFERROR(__xludf.DUMMYFUNCTION("""COMPUTED_VALUE"""),86.0)</f>
        <v>86</v>
      </c>
      <c r="B3099" s="4">
        <f>IFERROR(__xludf.DUMMYFUNCTION("""COMPUTED_VALUE"""),86.0)</f>
        <v>86</v>
      </c>
      <c r="C3099" s="4" t="str">
        <f>IFERROR(__xludf.DUMMYFUNCTION("""COMPUTED_VALUE"""),"UTA")</f>
        <v>UTA</v>
      </c>
      <c r="D3099" s="4" t="str">
        <f>IFERROR(__xludf.DUMMYFUNCTION("""COMPUTED_VALUE"""),"Jim Rowinski")</f>
        <v>Jim Rowinski</v>
      </c>
      <c r="E3099" s="4" t="str">
        <f>IFERROR(__xludf.DUMMYFUNCTION("""COMPUTED_VALUE"""),"Purdue")</f>
        <v>Purdue</v>
      </c>
      <c r="F3099" s="4">
        <f>IFERROR(__xludf.DUMMYFUNCTION("""COMPUTED_VALUE"""),2.0)</f>
        <v>2</v>
      </c>
      <c r="G3099" s="4">
        <f>IFERROR(__xludf.DUMMYFUNCTION("""COMPUTED_VALUE"""),23.0)</f>
        <v>23</v>
      </c>
      <c r="H3099" s="4">
        <f>IFERROR(__xludf.DUMMYFUNCTION("""COMPUTED_VALUE"""),127.0)</f>
        <v>127</v>
      </c>
      <c r="I3099" s="4">
        <f>IFERROR(__xludf.DUMMYFUNCTION("""COMPUTED_VALUE"""),57.0)</f>
        <v>57</v>
      </c>
      <c r="J3099" s="4">
        <f>IFERROR(__xludf.DUMMYFUNCTION("""COMPUTED_VALUE"""),34.0)</f>
        <v>34</v>
      </c>
      <c r="K3099" s="4">
        <f>IFERROR(__xludf.DUMMYFUNCTION("""COMPUTED_VALUE"""),5.0)</f>
        <v>5</v>
      </c>
      <c r="L3099" s="4">
        <f>IFERROR(__xludf.DUMMYFUNCTION("""COMPUTED_VALUE"""),0.417)</f>
        <v>0.417</v>
      </c>
      <c r="M3099" s="4"/>
      <c r="N3099" s="4">
        <f>IFERROR(__xludf.DUMMYFUNCTION("""COMPUTED_VALUE"""),0.844)</f>
        <v>0.844</v>
      </c>
      <c r="O3099" s="4">
        <f>IFERROR(__xludf.DUMMYFUNCTION("""COMPUTED_VALUE"""),5.5)</f>
        <v>5.5</v>
      </c>
      <c r="P3099" s="4">
        <f>IFERROR(__xludf.DUMMYFUNCTION("""COMPUTED_VALUE"""),2.5)</f>
        <v>2.5</v>
      </c>
      <c r="Q3099" s="4">
        <f>IFERROR(__xludf.DUMMYFUNCTION("""COMPUTED_VALUE"""),1.5)</f>
        <v>1.5</v>
      </c>
      <c r="R3099" s="4">
        <f>IFERROR(__xludf.DUMMYFUNCTION("""COMPUTED_VALUE"""),0.2)</f>
        <v>0.2</v>
      </c>
      <c r="S3099" s="4">
        <f>IFERROR(__xludf.DUMMYFUNCTION("""COMPUTED_VALUE"""),0.3)</f>
        <v>0.3</v>
      </c>
      <c r="T3099" s="4">
        <f>IFERROR(__xludf.DUMMYFUNCTION("""COMPUTED_VALUE"""),0.113)</f>
        <v>0.113</v>
      </c>
      <c r="U3099" s="4">
        <f>IFERROR(__xludf.DUMMYFUNCTION("""COMPUTED_VALUE"""),-3.9)</f>
        <v>-3.9</v>
      </c>
      <c r="V3099" s="4">
        <f>IFERROR(__xludf.DUMMYFUNCTION("""COMPUTED_VALUE"""),-0.1)</f>
        <v>-0.1</v>
      </c>
    </row>
    <row r="3100">
      <c r="A3100" s="4">
        <f>IFERROR(__xludf.DUMMYFUNCTION("""COMPUTED_VALUE"""),87.0)</f>
        <v>87</v>
      </c>
      <c r="B3100" s="4">
        <f>IFERROR(__xludf.DUMMYFUNCTION("""COMPUTED_VALUE"""),87.0)</f>
        <v>87</v>
      </c>
      <c r="C3100" s="4" t="str">
        <f>IFERROR(__xludf.DUMMYFUNCTION("""COMPUTED_VALUE"""),"NYK")</f>
        <v>NYK</v>
      </c>
      <c r="D3100" s="4" t="str">
        <f>IFERROR(__xludf.DUMMYFUNCTION("""COMPUTED_VALUE"""),"Bob Thornton")</f>
        <v>Bob Thornton</v>
      </c>
      <c r="E3100" s="4" t="str">
        <f>IFERROR(__xludf.DUMMYFUNCTION("""COMPUTED_VALUE"""),"University of California, Irvine")</f>
        <v>University of California, Irvine</v>
      </c>
      <c r="F3100" s="4">
        <f>IFERROR(__xludf.DUMMYFUNCTION("""COMPUTED_VALUE"""),8.0)</f>
        <v>8</v>
      </c>
      <c r="G3100" s="4">
        <f>IFERROR(__xludf.DUMMYFUNCTION("""COMPUTED_VALUE"""),283.0)</f>
        <v>283</v>
      </c>
      <c r="H3100" s="4">
        <f>IFERROR(__xludf.DUMMYFUNCTION("""COMPUTED_VALUE"""),3386.0)</f>
        <v>3386</v>
      </c>
      <c r="I3100" s="4">
        <f>IFERROR(__xludf.DUMMYFUNCTION("""COMPUTED_VALUE"""),844.0)</f>
        <v>844</v>
      </c>
      <c r="J3100" s="4">
        <f>IFERROR(__xludf.DUMMYFUNCTION("""COMPUTED_VALUE"""),712.0)</f>
        <v>712</v>
      </c>
      <c r="K3100" s="4">
        <f>IFERROR(__xludf.DUMMYFUNCTION("""COMPUTED_VALUE"""),99.0)</f>
        <v>99</v>
      </c>
      <c r="L3100" s="4">
        <f>IFERROR(__xludf.DUMMYFUNCTION("""COMPUTED_VALUE"""),0.444)</f>
        <v>0.444</v>
      </c>
      <c r="M3100" s="4">
        <f>IFERROR(__xludf.DUMMYFUNCTION("""COMPUTED_VALUE"""),0.222)</f>
        <v>0.222</v>
      </c>
      <c r="N3100" s="4">
        <f>IFERROR(__xludf.DUMMYFUNCTION("""COMPUTED_VALUE"""),0.558)</f>
        <v>0.558</v>
      </c>
      <c r="O3100" s="4">
        <f>IFERROR(__xludf.DUMMYFUNCTION("""COMPUTED_VALUE"""),12.0)</f>
        <v>12</v>
      </c>
      <c r="P3100" s="4">
        <f>IFERROR(__xludf.DUMMYFUNCTION("""COMPUTED_VALUE"""),3.0)</f>
        <v>3</v>
      </c>
      <c r="Q3100" s="4">
        <f>IFERROR(__xludf.DUMMYFUNCTION("""COMPUTED_VALUE"""),2.5)</f>
        <v>2.5</v>
      </c>
      <c r="R3100" s="4">
        <f>IFERROR(__xludf.DUMMYFUNCTION("""COMPUTED_VALUE"""),0.3)</f>
        <v>0.3</v>
      </c>
      <c r="S3100" s="4">
        <f>IFERROR(__xludf.DUMMYFUNCTION("""COMPUTED_VALUE"""),1.3)</f>
        <v>1.3</v>
      </c>
      <c r="T3100" s="4">
        <f>IFERROR(__xludf.DUMMYFUNCTION("""COMPUTED_VALUE"""),0.018)</f>
        <v>0.018</v>
      </c>
      <c r="U3100" s="4">
        <f>IFERROR(__xludf.DUMMYFUNCTION("""COMPUTED_VALUE"""),-6.0)</f>
        <v>-6</v>
      </c>
      <c r="V3100" s="4">
        <f>IFERROR(__xludf.DUMMYFUNCTION("""COMPUTED_VALUE"""),-3.4)</f>
        <v>-3.4</v>
      </c>
    </row>
    <row r="3101">
      <c r="A3101" s="4">
        <f>IFERROR(__xludf.DUMMYFUNCTION("""COMPUTED_VALUE"""),88.0)</f>
        <v>88</v>
      </c>
      <c r="B3101" s="4">
        <f>IFERROR(__xludf.DUMMYFUNCTION("""COMPUTED_VALUE"""),88.0)</f>
        <v>88</v>
      </c>
      <c r="C3101" s="4" t="str">
        <f>IFERROR(__xludf.DUMMYFUNCTION("""COMPUTED_VALUE"""),"POR")</f>
        <v>POR</v>
      </c>
      <c r="D3101" s="4" t="str">
        <f>IFERROR(__xludf.DUMMYFUNCTION("""COMPUTED_VALUE"""),"Brett Applegate")</f>
        <v>Brett Applegate</v>
      </c>
      <c r="E3101" s="4" t="str">
        <f>IFERROR(__xludf.DUMMYFUNCTION("""COMPUTED_VALUE"""),"BYU")</f>
        <v>BYU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</row>
    <row r="3102">
      <c r="A3102" s="4">
        <f>IFERROR(__xludf.DUMMYFUNCTION("""COMPUTED_VALUE"""),89.0)</f>
        <v>89</v>
      </c>
      <c r="B3102" s="4">
        <f>IFERROR(__xludf.DUMMYFUNCTION("""COMPUTED_VALUE"""),89.0)</f>
        <v>89</v>
      </c>
      <c r="C3102" s="4" t="str">
        <f>IFERROR(__xludf.DUMMYFUNCTION("""COMPUTED_VALUE"""),"DET")</f>
        <v>DET</v>
      </c>
      <c r="D3102" s="4" t="str">
        <f>IFERROR(__xludf.DUMMYFUNCTION("""COMPUTED_VALUE"""),"Phillip Smith")</f>
        <v>Phillip Smith</v>
      </c>
      <c r="E3102" s="4" t="str">
        <f>IFERROR(__xludf.DUMMYFUNCTION("""COMPUTED_VALUE"""),"New Mexico")</f>
        <v>New Mexico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</row>
    <row r="3103">
      <c r="A3103" s="4">
        <f>IFERROR(__xludf.DUMMYFUNCTION("""COMPUTED_VALUE"""),90.0)</f>
        <v>90</v>
      </c>
      <c r="B3103" s="4">
        <f>IFERROR(__xludf.DUMMYFUNCTION("""COMPUTED_VALUE"""),90.0)</f>
        <v>90</v>
      </c>
      <c r="C3103" s="4" t="str">
        <f>IFERROR(__xludf.DUMMYFUNCTION("""COMPUTED_VALUE"""),"SAS")</f>
        <v>SAS</v>
      </c>
      <c r="D3103" s="4" t="str">
        <f>IFERROR(__xludf.DUMMYFUNCTION("""COMPUTED_VALUE"""),"Ozell Jones")</f>
        <v>Ozell Jones</v>
      </c>
      <c r="E3103" s="4" t="str">
        <f>IFERROR(__xludf.DUMMYFUNCTION("""COMPUTED_VALUE"""),"Cal State Fullerton")</f>
        <v>Cal State Fullerton</v>
      </c>
      <c r="F3103" s="4">
        <f>IFERROR(__xludf.DUMMYFUNCTION("""COMPUTED_VALUE"""),2.0)</f>
        <v>2</v>
      </c>
      <c r="G3103" s="4">
        <f>IFERROR(__xludf.DUMMYFUNCTION("""COMPUTED_VALUE"""),70.0)</f>
        <v>70</v>
      </c>
      <c r="H3103" s="4">
        <f>IFERROR(__xludf.DUMMYFUNCTION("""COMPUTED_VALUE"""),906.0)</f>
        <v>906</v>
      </c>
      <c r="I3103" s="4">
        <f>IFERROR(__xludf.DUMMYFUNCTION("""COMPUTED_VALUE"""),245.0)</f>
        <v>245</v>
      </c>
      <c r="J3103" s="4">
        <f>IFERROR(__xludf.DUMMYFUNCTION("""COMPUTED_VALUE"""),240.0)</f>
        <v>240</v>
      </c>
      <c r="K3103" s="4">
        <f>IFERROR(__xludf.DUMMYFUNCTION("""COMPUTED_VALUE"""),56.0)</f>
        <v>56</v>
      </c>
      <c r="L3103" s="4">
        <f>IFERROR(__xludf.DUMMYFUNCTION("""COMPUTED_VALUE"""),0.582)</f>
        <v>0.582</v>
      </c>
      <c r="M3103" s="4">
        <f>IFERROR(__xludf.DUMMYFUNCTION("""COMPUTED_VALUE"""),0.0)</f>
        <v>0</v>
      </c>
      <c r="N3103" s="4">
        <f>IFERROR(__xludf.DUMMYFUNCTION("""COMPUTED_VALUE"""),0.398)</f>
        <v>0.398</v>
      </c>
      <c r="O3103" s="4">
        <f>IFERROR(__xludf.DUMMYFUNCTION("""COMPUTED_VALUE"""),12.9)</f>
        <v>12.9</v>
      </c>
      <c r="P3103" s="4">
        <f>IFERROR(__xludf.DUMMYFUNCTION("""COMPUTED_VALUE"""),3.5)</f>
        <v>3.5</v>
      </c>
      <c r="Q3103" s="4">
        <f>IFERROR(__xludf.DUMMYFUNCTION("""COMPUTED_VALUE"""),3.4)</f>
        <v>3.4</v>
      </c>
      <c r="R3103" s="4">
        <f>IFERROR(__xludf.DUMMYFUNCTION("""COMPUTED_VALUE"""),0.8)</f>
        <v>0.8</v>
      </c>
      <c r="S3103" s="4">
        <f>IFERROR(__xludf.DUMMYFUNCTION("""COMPUTED_VALUE"""),1.2)</f>
        <v>1.2</v>
      </c>
      <c r="T3103" s="4">
        <f>IFERROR(__xludf.DUMMYFUNCTION("""COMPUTED_VALUE"""),0.066)</f>
        <v>0.066</v>
      </c>
      <c r="U3103" s="4">
        <f>IFERROR(__xludf.DUMMYFUNCTION("""COMPUTED_VALUE"""),-1.0)</f>
        <v>-1</v>
      </c>
      <c r="V3103" s="4">
        <f>IFERROR(__xludf.DUMMYFUNCTION("""COMPUTED_VALUE"""),0.2)</f>
        <v>0.2</v>
      </c>
    </row>
    <row r="3104">
      <c r="A3104" s="4">
        <f>IFERROR(__xludf.DUMMYFUNCTION("""COMPUTED_VALUE"""),91.0)</f>
        <v>91</v>
      </c>
      <c r="B3104" s="4">
        <f>IFERROR(__xludf.DUMMYFUNCTION("""COMPUTED_VALUE"""),91.0)</f>
        <v>91</v>
      </c>
      <c r="C3104" s="4" t="str">
        <f>IFERROR(__xludf.DUMMYFUNCTION("""COMPUTED_VALUE"""),"PHI")</f>
        <v>PHI</v>
      </c>
      <c r="D3104" s="4" t="str">
        <f>IFERROR(__xludf.DUMMYFUNCTION("""COMPUTED_VALUE"""),"Earl Harrison")</f>
        <v>Earl Harrison</v>
      </c>
      <c r="E3104" s="4" t="str">
        <f>IFERROR(__xludf.DUMMYFUNCTION("""COMPUTED_VALUE"""),"Morehead State University")</f>
        <v>Morehead State University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</row>
    <row r="3105">
      <c r="A3105" s="4">
        <f>IFERROR(__xludf.DUMMYFUNCTION("""COMPUTED_VALUE"""),92.0)</f>
        <v>92</v>
      </c>
      <c r="B3105" s="4">
        <f>IFERROR(__xludf.DUMMYFUNCTION("""COMPUTED_VALUE"""),92.0)</f>
        <v>92</v>
      </c>
      <c r="C3105" s="4" t="str">
        <f>IFERROR(__xludf.DUMMYFUNCTION("""COMPUTED_VALUE"""),"LAL")</f>
        <v>LAL</v>
      </c>
      <c r="D3105" s="4" t="str">
        <f>IFERROR(__xludf.DUMMYFUNCTION("""COMPUTED_VALUE"""),"John Revelli")</f>
        <v>John Revelli</v>
      </c>
      <c r="E3105" s="4" t="str">
        <f>IFERROR(__xludf.DUMMYFUNCTION("""COMPUTED_VALUE"""),"Stanford")</f>
        <v>Stanford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</row>
    <row r="3106">
      <c r="A3106" s="4">
        <f>IFERROR(__xludf.DUMMYFUNCTION("""COMPUTED_VALUE"""),93.0)</f>
        <v>93</v>
      </c>
      <c r="B3106" s="4">
        <f>IFERROR(__xludf.DUMMYFUNCTION("""COMPUTED_VALUE"""),93.0)</f>
        <v>93</v>
      </c>
      <c r="C3106" s="4" t="str">
        <f>IFERROR(__xludf.DUMMYFUNCTION("""COMPUTED_VALUE"""),"BOS")</f>
        <v>BOS</v>
      </c>
      <c r="D3106" s="4" t="str">
        <f>IFERROR(__xludf.DUMMYFUNCTION("""COMPUTED_VALUE"""),"Kevin Mullin")</f>
        <v>Kevin Mullin</v>
      </c>
      <c r="E3106" s="4" t="str">
        <f>IFERROR(__xludf.DUMMYFUNCTION("""COMPUTED_VALUE"""),"Princeton")</f>
        <v>Princeton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</row>
    <row r="3107">
      <c r="A3107" s="4"/>
      <c r="B3107" s="4"/>
      <c r="C3107" s="4"/>
      <c r="D3107" s="4" t="str">
        <f>IFERROR(__xludf.DUMMYFUNCTION("""COMPUTED_VALUE"""),"Round 5")</f>
        <v>Round 5</v>
      </c>
      <c r="E3107" s="4"/>
      <c r="F3107" s="4"/>
      <c r="G3107" s="4" t="str">
        <f>IFERROR(__xludf.DUMMYFUNCTION("""COMPUTED_VALUE"""),"Totals")</f>
        <v>Totals</v>
      </c>
      <c r="H3107" s="4"/>
      <c r="I3107" s="4"/>
      <c r="J3107" s="4"/>
      <c r="K3107" s="4"/>
      <c r="L3107" s="4" t="str">
        <f>IFERROR(__xludf.DUMMYFUNCTION("""COMPUTED_VALUE"""),"Shooting")</f>
        <v>Shooting</v>
      </c>
      <c r="M3107" s="4"/>
      <c r="N3107" s="4"/>
      <c r="O3107" s="4" t="str">
        <f>IFERROR(__xludf.DUMMYFUNCTION("""COMPUTED_VALUE"""),"Per Game")</f>
        <v>Per Game</v>
      </c>
      <c r="P3107" s="4"/>
      <c r="Q3107" s="4"/>
      <c r="R3107" s="4"/>
      <c r="S3107" s="4" t="str">
        <f>IFERROR(__xludf.DUMMYFUNCTION("""COMPUTED_VALUE"""),"Advanced")</f>
        <v>Advanced</v>
      </c>
      <c r="T3107" s="4"/>
      <c r="U3107" s="4"/>
      <c r="V3107" s="4"/>
    </row>
    <row r="3108">
      <c r="A3108" s="4" t="str">
        <f>IFERROR(__xludf.DUMMYFUNCTION("""COMPUTED_VALUE"""),"Rk")</f>
        <v>Rk</v>
      </c>
      <c r="B3108" s="4" t="str">
        <f>IFERROR(__xludf.DUMMYFUNCTION("""COMPUTED_VALUE"""),"Pk")</f>
        <v>Pk</v>
      </c>
      <c r="C3108" s="4" t="str">
        <f>IFERROR(__xludf.DUMMYFUNCTION("""COMPUTED_VALUE"""),"Tm")</f>
        <v>Tm</v>
      </c>
      <c r="D3108" s="4" t="str">
        <f>IFERROR(__xludf.DUMMYFUNCTION("""COMPUTED_VALUE"""),"Player")</f>
        <v>Player</v>
      </c>
      <c r="E3108" s="4" t="str">
        <f>IFERROR(__xludf.DUMMYFUNCTION("""COMPUTED_VALUE"""),"College")</f>
        <v>College</v>
      </c>
      <c r="F3108" s="4" t="str">
        <f>IFERROR(__xludf.DUMMYFUNCTION("""COMPUTED_VALUE"""),"Yrs")</f>
        <v>Yrs</v>
      </c>
      <c r="G3108" s="4" t="str">
        <f>IFERROR(__xludf.DUMMYFUNCTION("""COMPUTED_VALUE"""),"G")</f>
        <v>G</v>
      </c>
      <c r="H3108" s="4" t="str">
        <f>IFERROR(__xludf.DUMMYFUNCTION("""COMPUTED_VALUE"""),"MP")</f>
        <v>MP</v>
      </c>
      <c r="I3108" s="4" t="str">
        <f>IFERROR(__xludf.DUMMYFUNCTION("""COMPUTED_VALUE"""),"PTS")</f>
        <v>PTS</v>
      </c>
      <c r="J3108" s="4" t="str">
        <f>IFERROR(__xludf.DUMMYFUNCTION("""COMPUTED_VALUE"""),"TRB")</f>
        <v>TRB</v>
      </c>
      <c r="K3108" s="4" t="str">
        <f>IFERROR(__xludf.DUMMYFUNCTION("""COMPUTED_VALUE"""),"AST")</f>
        <v>AST</v>
      </c>
      <c r="L3108" s="4" t="str">
        <f>IFERROR(__xludf.DUMMYFUNCTION("""COMPUTED_VALUE"""),"FG%")</f>
        <v>FG%</v>
      </c>
      <c r="M3108" s="4" t="str">
        <f>IFERROR(__xludf.DUMMYFUNCTION("""COMPUTED_VALUE"""),"3P%")</f>
        <v>3P%</v>
      </c>
      <c r="N3108" s="4" t="str">
        <f>IFERROR(__xludf.DUMMYFUNCTION("""COMPUTED_VALUE"""),"FT%")</f>
        <v>FT%</v>
      </c>
      <c r="O3108" s="4" t="str">
        <f>IFERROR(__xludf.DUMMYFUNCTION("""COMPUTED_VALUE"""),"MP")</f>
        <v>MP</v>
      </c>
      <c r="P3108" s="4" t="str">
        <f>IFERROR(__xludf.DUMMYFUNCTION("""COMPUTED_VALUE"""),"PTS")</f>
        <v>PTS</v>
      </c>
      <c r="Q3108" s="4" t="str">
        <f>IFERROR(__xludf.DUMMYFUNCTION("""COMPUTED_VALUE"""),"TRB")</f>
        <v>TRB</v>
      </c>
      <c r="R3108" s="4" t="str">
        <f>IFERROR(__xludf.DUMMYFUNCTION("""COMPUTED_VALUE"""),"AST")</f>
        <v>AST</v>
      </c>
      <c r="S3108" s="4" t="str">
        <f>IFERROR(__xludf.DUMMYFUNCTION("""COMPUTED_VALUE"""),"WS")</f>
        <v>WS</v>
      </c>
      <c r="T3108" s="4" t="str">
        <f>IFERROR(__xludf.DUMMYFUNCTION("""COMPUTED_VALUE"""),"WS/48")</f>
        <v>WS/48</v>
      </c>
      <c r="U3108" s="4" t="str">
        <f>IFERROR(__xludf.DUMMYFUNCTION("""COMPUTED_VALUE"""),"BPM")</f>
        <v>BPM</v>
      </c>
      <c r="V3108" s="4" t="str">
        <f>IFERROR(__xludf.DUMMYFUNCTION("""COMPUTED_VALUE"""),"VORP")</f>
        <v>VORP</v>
      </c>
    </row>
    <row r="3109">
      <c r="A3109" s="4">
        <f>IFERROR(__xludf.DUMMYFUNCTION("""COMPUTED_VALUE"""),94.0)</f>
        <v>94</v>
      </c>
      <c r="B3109" s="4">
        <f>IFERROR(__xludf.DUMMYFUNCTION("""COMPUTED_VALUE"""),94.0)</f>
        <v>94</v>
      </c>
      <c r="C3109" s="4" t="str">
        <f>IFERROR(__xludf.DUMMYFUNCTION("""COMPUTED_VALUE"""),"IND")</f>
        <v>IND</v>
      </c>
      <c r="D3109" s="4" t="str">
        <f>IFERROR(__xludf.DUMMYFUNCTION("""COMPUTED_VALUE"""),"Gene Smith")</f>
        <v>Gene Smith</v>
      </c>
      <c r="E3109" s="4" t="str">
        <f>IFERROR(__xludf.DUMMYFUNCTION("""COMPUTED_VALUE"""),"Georgetown")</f>
        <v>Georgetown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</row>
    <row r="3110">
      <c r="A3110" s="4">
        <f>IFERROR(__xludf.DUMMYFUNCTION("""COMPUTED_VALUE"""),95.0)</f>
        <v>95</v>
      </c>
      <c r="B3110" s="4">
        <f>IFERROR(__xludf.DUMMYFUNCTION("""COMPUTED_VALUE"""),95.0)</f>
        <v>95</v>
      </c>
      <c r="C3110" s="4" t="str">
        <f>IFERROR(__xludf.DUMMYFUNCTION("""COMPUTED_VALUE"""),"CHI")</f>
        <v>CHI</v>
      </c>
      <c r="D3110" s="4" t="str">
        <f>IFERROR(__xludf.DUMMYFUNCTION("""COMPUTED_VALUE"""),"Lamont Robinson")</f>
        <v>Lamont Robinson</v>
      </c>
      <c r="E3110" s="4" t="str">
        <f>IFERROR(__xludf.DUMMYFUNCTION("""COMPUTED_VALUE"""),"Lamar")</f>
        <v>Lamar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</row>
    <row r="3111">
      <c r="A3111" s="4">
        <f>IFERROR(__xludf.DUMMYFUNCTION("""COMPUTED_VALUE"""),96.0)</f>
        <v>96</v>
      </c>
      <c r="B3111" s="4">
        <f>IFERROR(__xludf.DUMMYFUNCTION("""COMPUTED_VALUE"""),96.0)</f>
        <v>96</v>
      </c>
      <c r="C3111" s="4" t="str">
        <f>IFERROR(__xludf.DUMMYFUNCTION("""COMPUTED_VALUE"""),"CLE")</f>
        <v>CLE</v>
      </c>
      <c r="D3111" s="4" t="str">
        <f>IFERROR(__xludf.DUMMYFUNCTION("""COMPUTED_VALUE"""),"Vince Hinchen")</f>
        <v>Vince Hinchen</v>
      </c>
      <c r="E3111" s="4" t="str">
        <f>IFERROR(__xludf.DUMMYFUNCTION("""COMPUTED_VALUE"""),"Boise State")</f>
        <v>Boise State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</row>
    <row r="3112">
      <c r="A3112" s="4">
        <f>IFERROR(__xludf.DUMMYFUNCTION("""COMPUTED_VALUE"""),97.0)</f>
        <v>97</v>
      </c>
      <c r="B3112" s="4">
        <f>IFERROR(__xludf.DUMMYFUNCTION("""COMPUTED_VALUE"""),97.0)</f>
        <v>97</v>
      </c>
      <c r="C3112" s="4" t="str">
        <f>IFERROR(__xludf.DUMMYFUNCTION("""COMPUTED_VALUE"""),"HOU")</f>
        <v>HOU</v>
      </c>
      <c r="D3112" s="4" t="str">
        <f>IFERROR(__xludf.DUMMYFUNCTION("""COMPUTED_VALUE"""),"Al McClain")</f>
        <v>Al McClain</v>
      </c>
      <c r="E3112" s="4" t="str">
        <f>IFERROR(__xludf.DUMMYFUNCTION("""COMPUTED_VALUE"""),"University of New Hampshire")</f>
        <v>University of New Hampshire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</row>
    <row r="3113">
      <c r="A3113" s="4">
        <f>IFERROR(__xludf.DUMMYFUNCTION("""COMPUTED_VALUE"""),98.0)</f>
        <v>98</v>
      </c>
      <c r="B3113" s="4">
        <f>IFERROR(__xludf.DUMMYFUNCTION("""COMPUTED_VALUE"""),98.0)</f>
        <v>98</v>
      </c>
      <c r="C3113" s="4" t="str">
        <f>IFERROR(__xludf.DUMMYFUNCTION("""COMPUTED_VALUE"""),"LAC")</f>
        <v>LAC</v>
      </c>
      <c r="D3113" s="4" t="str">
        <f>IFERROR(__xludf.DUMMYFUNCTION("""COMPUTED_VALUE"""),"Alonza Allen")</f>
        <v>Alonza Allen</v>
      </c>
      <c r="E3113" s="4" t="str">
        <f>IFERROR(__xludf.DUMMYFUNCTION("""COMPUTED_VALUE"""),"Louisiana")</f>
        <v>Louisiana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</row>
    <row r="3114">
      <c r="A3114" s="4">
        <f>IFERROR(__xludf.DUMMYFUNCTION("""COMPUTED_VALUE"""),99.0)</f>
        <v>99</v>
      </c>
      <c r="B3114" s="4">
        <f>IFERROR(__xludf.DUMMYFUNCTION("""COMPUTED_VALUE"""),99.0)</f>
        <v>99</v>
      </c>
      <c r="C3114" s="4" t="str">
        <f>IFERROR(__xludf.DUMMYFUNCTION("""COMPUTED_VALUE"""),"WSB")</f>
        <v>WSB</v>
      </c>
      <c r="D3114" s="4" t="str">
        <f>IFERROR(__xludf.DUMMYFUNCTION("""COMPUTED_VALUE"""),"Colin Irish")</f>
        <v>Colin Irish</v>
      </c>
      <c r="E3114" s="4" t="str">
        <f>IFERROR(__xludf.DUMMYFUNCTION("""COMPUTED_VALUE"""),"Bowling Green")</f>
        <v>Bowling Green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</row>
    <row r="3115">
      <c r="A3115" s="4">
        <f>IFERROR(__xludf.DUMMYFUNCTION("""COMPUTED_VALUE"""),100.0)</f>
        <v>100</v>
      </c>
      <c r="B3115" s="4">
        <f>IFERROR(__xludf.DUMMYFUNCTION("""COMPUTED_VALUE"""),100.0)</f>
        <v>100</v>
      </c>
      <c r="C3115" s="4" t="str">
        <f>IFERROR(__xludf.DUMMYFUNCTION("""COMPUTED_VALUE"""),"SAS")</f>
        <v>SAS</v>
      </c>
      <c r="D3115" s="4" t="str">
        <f>IFERROR(__xludf.DUMMYFUNCTION("""COMPUTED_VALUE"""),"Eric Richardson")</f>
        <v>Eric Richardson</v>
      </c>
      <c r="E3115" s="4" t="str">
        <f>IFERROR(__xludf.DUMMYFUNCTION("""COMPUTED_VALUE"""),"Alabama")</f>
        <v>Alabama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</row>
    <row r="3116">
      <c r="A3116" s="4">
        <f>IFERROR(__xludf.DUMMYFUNCTION("""COMPUTED_VALUE"""),101.0)</f>
        <v>101</v>
      </c>
      <c r="B3116" s="4">
        <f>IFERROR(__xludf.DUMMYFUNCTION("""COMPUTED_VALUE"""),101.0)</f>
        <v>101</v>
      </c>
      <c r="C3116" s="4" t="str">
        <f>IFERROR(__xludf.DUMMYFUNCTION("""COMPUTED_VALUE"""),"GSW")</f>
        <v>GSW</v>
      </c>
      <c r="D3116" s="4" t="str">
        <f>IFERROR(__xludf.DUMMYFUNCTION("""COMPUTED_VALUE"""),"Steve Bartek")</f>
        <v>Steve Bartek</v>
      </c>
      <c r="E3116" s="4" t="str">
        <f>IFERROR(__xludf.DUMMYFUNCTION("""COMPUTED_VALUE"""),"Doane University")</f>
        <v>Doane University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</row>
    <row r="3117">
      <c r="A3117" s="4">
        <f>IFERROR(__xludf.DUMMYFUNCTION("""COMPUTED_VALUE"""),102.0)</f>
        <v>102</v>
      </c>
      <c r="B3117" s="4">
        <f>IFERROR(__xludf.DUMMYFUNCTION("""COMPUTED_VALUE"""),102.0)</f>
        <v>102</v>
      </c>
      <c r="C3117" s="4" t="str">
        <f>IFERROR(__xludf.DUMMYFUNCTION("""COMPUTED_VALUE"""),"KCK")</f>
        <v>KCK</v>
      </c>
      <c r="D3117" s="4" t="str">
        <f>IFERROR(__xludf.DUMMYFUNCTION("""COMPUTED_VALUE"""),"Jim Foster")</f>
        <v>Jim Foster</v>
      </c>
      <c r="E3117" s="4" t="str">
        <f>IFERROR(__xludf.DUMMYFUNCTION("""COMPUTED_VALUE"""),"South Carolina")</f>
        <v>South Carolina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</row>
    <row r="3118">
      <c r="A3118" s="4">
        <f>IFERROR(__xludf.DUMMYFUNCTION("""COMPUTED_VALUE"""),103.0)</f>
        <v>103</v>
      </c>
      <c r="B3118" s="4">
        <f>IFERROR(__xludf.DUMMYFUNCTION("""COMPUTED_VALUE"""),103.0)</f>
        <v>103</v>
      </c>
      <c r="C3118" s="4" t="str">
        <f>IFERROR(__xludf.DUMMYFUNCTION("""COMPUTED_VALUE"""),"DEN")</f>
        <v>DEN</v>
      </c>
      <c r="D3118" s="4" t="str">
        <f>IFERROR(__xludf.DUMMYFUNCTION("""COMPUTED_VALUE"""),"Prince Bridges")</f>
        <v>Prince Bridges</v>
      </c>
      <c r="E3118" s="4" t="str">
        <f>IFERROR(__xludf.DUMMYFUNCTION("""COMPUTED_VALUE"""),"Missouri")</f>
        <v>Missouri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</row>
    <row r="3119">
      <c r="A3119" s="4">
        <f>IFERROR(__xludf.DUMMYFUNCTION("""COMPUTED_VALUE"""),104.0)</f>
        <v>104</v>
      </c>
      <c r="B3119" s="4">
        <f>IFERROR(__xludf.DUMMYFUNCTION("""COMPUTED_VALUE"""),104.0)</f>
        <v>104</v>
      </c>
      <c r="C3119" s="4" t="str">
        <f>IFERROR(__xludf.DUMMYFUNCTION("""COMPUTED_VALUE"""),"ATL")</f>
        <v>ATL</v>
      </c>
      <c r="D3119" s="4" t="str">
        <f>IFERROR(__xludf.DUMMYFUNCTION("""COMPUTED_VALUE"""),"Terry Martin")</f>
        <v>Terry Martin</v>
      </c>
      <c r="E3119" s="4" t="str">
        <f>IFERROR(__xludf.DUMMYFUNCTION("""COMPUTED_VALUE"""),"Louisiana-Monroe")</f>
        <v>Louisiana-Monroe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</row>
    <row r="3120">
      <c r="A3120" s="4">
        <f>IFERROR(__xludf.DUMMYFUNCTION("""COMPUTED_VALUE"""),105.0)</f>
        <v>105</v>
      </c>
      <c r="B3120" s="4">
        <f>IFERROR(__xludf.DUMMYFUNCTION("""COMPUTED_VALUE"""),105.0)</f>
        <v>105</v>
      </c>
      <c r="C3120" s="4" t="str">
        <f>IFERROR(__xludf.DUMMYFUNCTION("""COMPUTED_VALUE"""),"PHO")</f>
        <v>PHO</v>
      </c>
      <c r="D3120" s="4" t="str">
        <f>IFERROR(__xludf.DUMMYFUNCTION("""COMPUTED_VALUE"""),"Bill Flye")</f>
        <v>Bill Flye</v>
      </c>
      <c r="E3120" s="4" t="str">
        <f>IFERROR(__xludf.DUMMYFUNCTION("""COMPUTED_VALUE"""),"Richmond")</f>
        <v>Richmond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</row>
    <row r="3121">
      <c r="A3121" s="4">
        <f>IFERROR(__xludf.DUMMYFUNCTION("""COMPUTED_VALUE"""),106.0)</f>
        <v>106</v>
      </c>
      <c r="B3121" s="4">
        <f>IFERROR(__xludf.DUMMYFUNCTION("""COMPUTED_VALUE"""),106.0)</f>
        <v>106</v>
      </c>
      <c r="C3121" s="4" t="str">
        <f>IFERROR(__xludf.DUMMYFUNCTION("""COMPUTED_VALUE"""),"SEA")</f>
        <v>SEA</v>
      </c>
      <c r="D3121" s="4" t="str">
        <f>IFERROR(__xludf.DUMMYFUNCTION("""COMPUTED_VALUE"""),"Eli Pasquale")</f>
        <v>Eli Pasquale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</row>
    <row r="3122">
      <c r="A3122" s="4">
        <f>IFERROR(__xludf.DUMMYFUNCTION("""COMPUTED_VALUE"""),107.0)</f>
        <v>107</v>
      </c>
      <c r="B3122" s="4">
        <f>IFERROR(__xludf.DUMMYFUNCTION("""COMPUTED_VALUE"""),107.0)</f>
        <v>107</v>
      </c>
      <c r="C3122" s="4" t="str">
        <f>IFERROR(__xludf.DUMMYFUNCTION("""COMPUTED_VALUE"""),"DAL")</f>
        <v>DAL</v>
      </c>
      <c r="D3122" s="4" t="str">
        <f>IFERROR(__xludf.DUMMYFUNCTION("""COMPUTED_VALUE"""),"Dave Williams")</f>
        <v>Dave Williams</v>
      </c>
      <c r="E3122" s="4" t="str">
        <f>IFERROR(__xludf.DUMMYFUNCTION("""COMPUTED_VALUE"""),"University of Illinois at Chicago")</f>
        <v>University of Illinois at Chicago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</row>
    <row r="3123">
      <c r="A3123" s="4">
        <f>IFERROR(__xludf.DUMMYFUNCTION("""COMPUTED_VALUE"""),108.0)</f>
        <v>108</v>
      </c>
      <c r="B3123" s="4">
        <f>IFERROR(__xludf.DUMMYFUNCTION("""COMPUTED_VALUE"""),108.0)</f>
        <v>108</v>
      </c>
      <c r="C3123" s="4" t="str">
        <f>IFERROR(__xludf.DUMMYFUNCTION("""COMPUTED_VALUE"""),"UTA")</f>
        <v>UTA</v>
      </c>
      <c r="D3123" s="4" t="str">
        <f>IFERROR(__xludf.DUMMYFUNCTION("""COMPUTED_VALUE"""),"Marcus Gaither")</f>
        <v>Marcus Gaither</v>
      </c>
      <c r="E3123" s="4" t="str">
        <f>IFERROR(__xludf.DUMMYFUNCTION("""COMPUTED_VALUE"""),"Fairleigh Dickinson University")</f>
        <v>Fairleigh Dickinson University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</row>
    <row r="3124">
      <c r="A3124" s="4">
        <f>IFERROR(__xludf.DUMMYFUNCTION("""COMPUTED_VALUE"""),109.0)</f>
        <v>109</v>
      </c>
      <c r="B3124" s="4">
        <f>IFERROR(__xludf.DUMMYFUNCTION("""COMPUTED_VALUE"""),109.0)</f>
        <v>109</v>
      </c>
      <c r="C3124" s="4" t="str">
        <f>IFERROR(__xludf.DUMMYFUNCTION("""COMPUTED_VALUE"""),"NJN")</f>
        <v>NJN</v>
      </c>
      <c r="D3124" s="4" t="str">
        <f>IFERROR(__xludf.DUMMYFUNCTION("""COMPUTED_VALUE"""),"Michael Gerren")</f>
        <v>Michael Gerren</v>
      </c>
      <c r="E3124" s="4" t="str">
        <f>IFERROR(__xludf.DUMMYFUNCTION("""COMPUTED_VALUE"""),"University of South Alabama")</f>
        <v>University of South Alabama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</row>
    <row r="3125">
      <c r="A3125" s="4">
        <f>IFERROR(__xludf.DUMMYFUNCTION("""COMPUTED_VALUE"""),110.0)</f>
        <v>110</v>
      </c>
      <c r="B3125" s="4">
        <f>IFERROR(__xludf.DUMMYFUNCTION("""COMPUTED_VALUE"""),110.0)</f>
        <v>110</v>
      </c>
      <c r="C3125" s="4" t="str">
        <f>IFERROR(__xludf.DUMMYFUNCTION("""COMPUTED_VALUE"""),"GSW")</f>
        <v>GSW</v>
      </c>
      <c r="D3125" s="4" t="str">
        <f>IFERROR(__xludf.DUMMYFUNCTION("""COMPUTED_VALUE"""),"Scott McCollum")</f>
        <v>Scott McCollum</v>
      </c>
      <c r="E3125" s="4" t="str">
        <f>IFERROR(__xludf.DUMMYFUNCTION("""COMPUTED_VALUE"""),"Pepperdine")</f>
        <v>Pepperdine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</row>
    <row r="3126">
      <c r="A3126" s="4">
        <f>IFERROR(__xludf.DUMMYFUNCTION("""COMPUTED_VALUE"""),111.0)</f>
        <v>111</v>
      </c>
      <c r="B3126" s="4">
        <f>IFERROR(__xludf.DUMMYFUNCTION("""COMPUTED_VALUE"""),111.0)</f>
        <v>111</v>
      </c>
      <c r="C3126" s="4" t="str">
        <f>IFERROR(__xludf.DUMMYFUNCTION("""COMPUTED_VALUE"""),"POR")</f>
        <v>POR</v>
      </c>
      <c r="D3126" s="4" t="str">
        <f>IFERROR(__xludf.DUMMYFUNCTION("""COMPUTED_VALUE"""),"Mike Whitmarsh")</f>
        <v>Mike Whitmarsh</v>
      </c>
      <c r="E3126" s="4" t="str">
        <f>IFERROR(__xludf.DUMMYFUNCTION("""COMPUTED_VALUE"""),"University of San Diego")</f>
        <v>University of San Diego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</row>
    <row r="3127">
      <c r="A3127" s="4">
        <f>IFERROR(__xludf.DUMMYFUNCTION("""COMPUTED_VALUE"""),112.0)</f>
        <v>112</v>
      </c>
      <c r="B3127" s="4">
        <f>IFERROR(__xludf.DUMMYFUNCTION("""COMPUTED_VALUE"""),112.0)</f>
        <v>112</v>
      </c>
      <c r="C3127" s="4" t="str">
        <f>IFERROR(__xludf.DUMMYFUNCTION("""COMPUTED_VALUE"""),"DET")</f>
        <v>DET</v>
      </c>
      <c r="D3127" s="4" t="str">
        <f>IFERROR(__xludf.DUMMYFUNCTION("""COMPUTED_VALUE"""),"Rick Doyle")</f>
        <v>Rick Doyle</v>
      </c>
      <c r="E3127" s="4" t="str">
        <f>IFERROR(__xludf.DUMMYFUNCTION("""COMPUTED_VALUE"""),"Texas-San Antonio")</f>
        <v>Texas-San Antonio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</row>
    <row r="3128">
      <c r="A3128" s="4">
        <f>IFERROR(__xludf.DUMMYFUNCTION("""COMPUTED_VALUE"""),113.0)</f>
        <v>113</v>
      </c>
      <c r="B3128" s="4">
        <f>IFERROR(__xludf.DUMMYFUNCTION("""COMPUTED_VALUE"""),113.0)</f>
        <v>113</v>
      </c>
      <c r="C3128" s="4" t="str">
        <f>IFERROR(__xludf.DUMMYFUNCTION("""COMPUTED_VALUE"""),"MIL")</f>
        <v>MIL</v>
      </c>
      <c r="D3128" s="4" t="str">
        <f>IFERROR(__xludf.DUMMYFUNCTION("""COMPUTED_VALUE"""),"Ernie Floyd")</f>
        <v>Ernie Floyd</v>
      </c>
      <c r="E3128" s="4" t="str">
        <f>IFERROR(__xludf.DUMMYFUNCTION("""COMPUTED_VALUE"""),"Holy Cross")</f>
        <v>Holy Cross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</row>
    <row r="3129">
      <c r="A3129" s="4">
        <f>IFERROR(__xludf.DUMMYFUNCTION("""COMPUTED_VALUE"""),114.0)</f>
        <v>114</v>
      </c>
      <c r="B3129" s="4">
        <f>IFERROR(__xludf.DUMMYFUNCTION("""COMPUTED_VALUE"""),114.0)</f>
        <v>114</v>
      </c>
      <c r="C3129" s="4" t="str">
        <f>IFERROR(__xludf.DUMMYFUNCTION("""COMPUTED_VALUE"""),"PHI")</f>
        <v>PHI</v>
      </c>
      <c r="D3129" s="4" t="str">
        <f>IFERROR(__xludf.DUMMYFUNCTION("""COMPUTED_VALUE"""),"Dan Federman")</f>
        <v>Dan Federman</v>
      </c>
      <c r="E3129" s="4" t="str">
        <f>IFERROR(__xludf.DUMMYFUNCTION("""COMPUTED_VALUE"""),"Tennessee")</f>
        <v>Tennessee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</row>
    <row r="3130">
      <c r="A3130" s="4">
        <f>IFERROR(__xludf.DUMMYFUNCTION("""COMPUTED_VALUE"""),115.0)</f>
        <v>115</v>
      </c>
      <c r="B3130" s="4">
        <f>IFERROR(__xludf.DUMMYFUNCTION("""COMPUTED_VALUE"""),115.0)</f>
        <v>115</v>
      </c>
      <c r="C3130" s="4" t="str">
        <f>IFERROR(__xludf.DUMMYFUNCTION("""COMPUTED_VALUE"""),"LAL")</f>
        <v>LAL</v>
      </c>
      <c r="D3130" s="4" t="str">
        <f>IFERROR(__xludf.DUMMYFUNCTION("""COMPUTED_VALUE"""),"Lance Berwald")</f>
        <v>Lance Berwald</v>
      </c>
      <c r="E3130" s="4" t="str">
        <f>IFERROR(__xludf.DUMMYFUNCTION("""COMPUTED_VALUE"""),"North Dakota State University")</f>
        <v>North Dakota State University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</row>
    <row r="3131">
      <c r="A3131" s="4">
        <f>IFERROR(__xludf.DUMMYFUNCTION("""COMPUTED_VALUE"""),116.0)</f>
        <v>116</v>
      </c>
      <c r="B3131" s="4">
        <f>IFERROR(__xludf.DUMMYFUNCTION("""COMPUTED_VALUE"""),116.0)</f>
        <v>116</v>
      </c>
      <c r="C3131" s="4" t="str">
        <f>IFERROR(__xludf.DUMMYFUNCTION("""COMPUTED_VALUE"""),"BOS")</f>
        <v>BOS</v>
      </c>
      <c r="D3131" s="4" t="str">
        <f>IFERROR(__xludf.DUMMYFUNCTION("""COMPUTED_VALUE"""),"Todd Orlando")</f>
        <v>Todd Orlando</v>
      </c>
      <c r="E3131" s="4" t="str">
        <f>IFERROR(__xludf.DUMMYFUNCTION("""COMPUTED_VALUE"""),"Bentley College")</f>
        <v>Bentley College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</row>
    <row r="3132">
      <c r="A3132" s="4"/>
      <c r="B3132" s="4"/>
      <c r="C3132" s="4"/>
      <c r="D3132" s="4" t="str">
        <f>IFERROR(__xludf.DUMMYFUNCTION("""COMPUTED_VALUE"""),"Round 6")</f>
        <v>Round 6</v>
      </c>
      <c r="E3132" s="4"/>
      <c r="F3132" s="4"/>
      <c r="G3132" s="4" t="str">
        <f>IFERROR(__xludf.DUMMYFUNCTION("""COMPUTED_VALUE"""),"Totals")</f>
        <v>Totals</v>
      </c>
      <c r="H3132" s="4"/>
      <c r="I3132" s="4"/>
      <c r="J3132" s="4"/>
      <c r="K3132" s="4"/>
      <c r="L3132" s="4" t="str">
        <f>IFERROR(__xludf.DUMMYFUNCTION("""COMPUTED_VALUE"""),"Shooting")</f>
        <v>Shooting</v>
      </c>
      <c r="M3132" s="4"/>
      <c r="N3132" s="4"/>
      <c r="O3132" s="4" t="str">
        <f>IFERROR(__xludf.DUMMYFUNCTION("""COMPUTED_VALUE"""),"Per Game")</f>
        <v>Per Game</v>
      </c>
      <c r="P3132" s="4"/>
      <c r="Q3132" s="4"/>
      <c r="R3132" s="4"/>
      <c r="S3132" s="4" t="str">
        <f>IFERROR(__xludf.DUMMYFUNCTION("""COMPUTED_VALUE"""),"Advanced")</f>
        <v>Advanced</v>
      </c>
      <c r="T3132" s="4"/>
      <c r="U3132" s="4"/>
      <c r="V3132" s="4"/>
    </row>
    <row r="3133">
      <c r="A3133" s="4" t="str">
        <f>IFERROR(__xludf.DUMMYFUNCTION("""COMPUTED_VALUE"""),"Rk")</f>
        <v>Rk</v>
      </c>
      <c r="B3133" s="4" t="str">
        <f>IFERROR(__xludf.DUMMYFUNCTION("""COMPUTED_VALUE"""),"Pk")</f>
        <v>Pk</v>
      </c>
      <c r="C3133" s="4" t="str">
        <f>IFERROR(__xludf.DUMMYFUNCTION("""COMPUTED_VALUE"""),"Tm")</f>
        <v>Tm</v>
      </c>
      <c r="D3133" s="4" t="str">
        <f>IFERROR(__xludf.DUMMYFUNCTION("""COMPUTED_VALUE"""),"Player")</f>
        <v>Player</v>
      </c>
      <c r="E3133" s="4" t="str">
        <f>IFERROR(__xludf.DUMMYFUNCTION("""COMPUTED_VALUE"""),"College")</f>
        <v>College</v>
      </c>
      <c r="F3133" s="4" t="str">
        <f>IFERROR(__xludf.DUMMYFUNCTION("""COMPUTED_VALUE"""),"Yrs")</f>
        <v>Yrs</v>
      </c>
      <c r="G3133" s="4" t="str">
        <f>IFERROR(__xludf.DUMMYFUNCTION("""COMPUTED_VALUE"""),"G")</f>
        <v>G</v>
      </c>
      <c r="H3133" s="4" t="str">
        <f>IFERROR(__xludf.DUMMYFUNCTION("""COMPUTED_VALUE"""),"MP")</f>
        <v>MP</v>
      </c>
      <c r="I3133" s="4" t="str">
        <f>IFERROR(__xludf.DUMMYFUNCTION("""COMPUTED_VALUE"""),"PTS")</f>
        <v>PTS</v>
      </c>
      <c r="J3133" s="4" t="str">
        <f>IFERROR(__xludf.DUMMYFUNCTION("""COMPUTED_VALUE"""),"TRB")</f>
        <v>TRB</v>
      </c>
      <c r="K3133" s="4" t="str">
        <f>IFERROR(__xludf.DUMMYFUNCTION("""COMPUTED_VALUE"""),"AST")</f>
        <v>AST</v>
      </c>
      <c r="L3133" s="4" t="str">
        <f>IFERROR(__xludf.DUMMYFUNCTION("""COMPUTED_VALUE"""),"FG%")</f>
        <v>FG%</v>
      </c>
      <c r="M3133" s="4" t="str">
        <f>IFERROR(__xludf.DUMMYFUNCTION("""COMPUTED_VALUE"""),"3P%")</f>
        <v>3P%</v>
      </c>
      <c r="N3133" s="4" t="str">
        <f>IFERROR(__xludf.DUMMYFUNCTION("""COMPUTED_VALUE"""),"FT%")</f>
        <v>FT%</v>
      </c>
      <c r="O3133" s="4" t="str">
        <f>IFERROR(__xludf.DUMMYFUNCTION("""COMPUTED_VALUE"""),"MP")</f>
        <v>MP</v>
      </c>
      <c r="P3133" s="4" t="str">
        <f>IFERROR(__xludf.DUMMYFUNCTION("""COMPUTED_VALUE"""),"PTS")</f>
        <v>PTS</v>
      </c>
      <c r="Q3133" s="4" t="str">
        <f>IFERROR(__xludf.DUMMYFUNCTION("""COMPUTED_VALUE"""),"TRB")</f>
        <v>TRB</v>
      </c>
      <c r="R3133" s="4" t="str">
        <f>IFERROR(__xludf.DUMMYFUNCTION("""COMPUTED_VALUE"""),"AST")</f>
        <v>AST</v>
      </c>
      <c r="S3133" s="4" t="str">
        <f>IFERROR(__xludf.DUMMYFUNCTION("""COMPUTED_VALUE"""),"WS")</f>
        <v>WS</v>
      </c>
      <c r="T3133" s="4" t="str">
        <f>IFERROR(__xludf.DUMMYFUNCTION("""COMPUTED_VALUE"""),"WS/48")</f>
        <v>WS/48</v>
      </c>
      <c r="U3133" s="4" t="str">
        <f>IFERROR(__xludf.DUMMYFUNCTION("""COMPUTED_VALUE"""),"BPM")</f>
        <v>BPM</v>
      </c>
      <c r="V3133" s="4" t="str">
        <f>IFERROR(__xludf.DUMMYFUNCTION("""COMPUTED_VALUE"""),"VORP")</f>
        <v>VORP</v>
      </c>
    </row>
    <row r="3134">
      <c r="A3134" s="4">
        <f>IFERROR(__xludf.DUMMYFUNCTION("""COMPUTED_VALUE"""),117.0)</f>
        <v>117</v>
      </c>
      <c r="B3134" s="4">
        <f>IFERROR(__xludf.DUMMYFUNCTION("""COMPUTED_VALUE"""),117.0)</f>
        <v>117</v>
      </c>
      <c r="C3134" s="4" t="str">
        <f>IFERROR(__xludf.DUMMYFUNCTION("""COMPUTED_VALUE"""),"IND")</f>
        <v>IND</v>
      </c>
      <c r="D3134" s="4" t="str">
        <f>IFERROR(__xludf.DUMMYFUNCTION("""COMPUTED_VALUE"""),"Clyde Vaughan")</f>
        <v>Clyde Vaughan</v>
      </c>
      <c r="E3134" s="4" t="str">
        <f>IFERROR(__xludf.DUMMYFUNCTION("""COMPUTED_VALUE"""),"Pitt")</f>
        <v>Pitt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</row>
    <row r="3135">
      <c r="A3135" s="4">
        <f>IFERROR(__xludf.DUMMYFUNCTION("""COMPUTED_VALUE"""),118.0)</f>
        <v>118</v>
      </c>
      <c r="B3135" s="4">
        <f>IFERROR(__xludf.DUMMYFUNCTION("""COMPUTED_VALUE"""),118.0)</f>
        <v>118</v>
      </c>
      <c r="C3135" s="4" t="str">
        <f>IFERROR(__xludf.DUMMYFUNCTION("""COMPUTED_VALUE"""),"CHI")</f>
        <v>CHI</v>
      </c>
      <c r="D3135" s="4" t="str">
        <f>IFERROR(__xludf.DUMMYFUNCTION("""COMPUTED_VALUE"""),"Jeff Tipton")</f>
        <v>Jeff Tipton</v>
      </c>
      <c r="E3135" s="4" t="str">
        <f>IFERROR(__xludf.DUMMYFUNCTION("""COMPUTED_VALUE"""),"Morehead State University")</f>
        <v>Morehead State University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</row>
    <row r="3136">
      <c r="A3136" s="4">
        <f>IFERROR(__xludf.DUMMYFUNCTION("""COMPUTED_VALUE"""),119.0)</f>
        <v>119</v>
      </c>
      <c r="B3136" s="4">
        <f>IFERROR(__xludf.DUMMYFUNCTION("""COMPUTED_VALUE"""),119.0)</f>
        <v>119</v>
      </c>
      <c r="C3136" s="4" t="str">
        <f>IFERROR(__xludf.DUMMYFUNCTION("""COMPUTED_VALUE"""),"CLE")</f>
        <v>CLE</v>
      </c>
      <c r="D3136" s="4" t="str">
        <f>IFERROR(__xludf.DUMMYFUNCTION("""COMPUTED_VALUE"""),"Matt Doherty")</f>
        <v>Matt Doherty</v>
      </c>
      <c r="E3136" s="4" t="str">
        <f>IFERROR(__xludf.DUMMYFUNCTION("""COMPUTED_VALUE"""),"UNC")</f>
        <v>UNC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</row>
    <row r="3137">
      <c r="A3137" s="4">
        <f>IFERROR(__xludf.DUMMYFUNCTION("""COMPUTED_VALUE"""),120.0)</f>
        <v>120</v>
      </c>
      <c r="B3137" s="4">
        <f>IFERROR(__xludf.DUMMYFUNCTION("""COMPUTED_VALUE"""),120.0)</f>
        <v>120</v>
      </c>
      <c r="C3137" s="4" t="str">
        <f>IFERROR(__xludf.DUMMYFUNCTION("""COMPUTED_VALUE"""),"MIL")</f>
        <v>MIL</v>
      </c>
      <c r="D3137" s="4" t="str">
        <f>IFERROR(__xludf.DUMMYFUNCTION("""COMPUTED_VALUE"""),"McKinley Singleton")</f>
        <v>McKinley Singleton</v>
      </c>
      <c r="E3137" s="4" t="str">
        <f>IFERROR(__xludf.DUMMYFUNCTION("""COMPUTED_VALUE"""),"UAB")</f>
        <v>UAB</v>
      </c>
      <c r="F3137" s="4">
        <f>IFERROR(__xludf.DUMMYFUNCTION("""COMPUTED_VALUE"""),1.0)</f>
        <v>1</v>
      </c>
      <c r="G3137" s="4">
        <f>IFERROR(__xludf.DUMMYFUNCTION("""COMPUTED_VALUE"""),2.0)</f>
        <v>2</v>
      </c>
      <c r="H3137" s="4">
        <f>IFERROR(__xludf.DUMMYFUNCTION("""COMPUTED_VALUE"""),10.0)</f>
        <v>10</v>
      </c>
      <c r="I3137" s="4">
        <f>IFERROR(__xludf.DUMMYFUNCTION("""COMPUTED_VALUE"""),4.0)</f>
        <v>4</v>
      </c>
      <c r="J3137" s="4">
        <f>IFERROR(__xludf.DUMMYFUNCTION("""COMPUTED_VALUE"""),0.0)</f>
        <v>0</v>
      </c>
      <c r="K3137" s="4">
        <f>IFERROR(__xludf.DUMMYFUNCTION("""COMPUTED_VALUE"""),1.0)</f>
        <v>1</v>
      </c>
      <c r="L3137" s="4">
        <f>IFERROR(__xludf.DUMMYFUNCTION("""COMPUTED_VALUE"""),0.667)</f>
        <v>0.667</v>
      </c>
      <c r="M3137" s="4">
        <f>IFERROR(__xludf.DUMMYFUNCTION("""COMPUTED_VALUE"""),0.0)</f>
        <v>0</v>
      </c>
      <c r="N3137" s="4"/>
      <c r="O3137" s="4">
        <f>IFERROR(__xludf.DUMMYFUNCTION("""COMPUTED_VALUE"""),5.0)</f>
        <v>5</v>
      </c>
      <c r="P3137" s="4">
        <f>IFERROR(__xludf.DUMMYFUNCTION("""COMPUTED_VALUE"""),2.0)</f>
        <v>2</v>
      </c>
      <c r="Q3137" s="4">
        <f>IFERROR(__xludf.DUMMYFUNCTION("""COMPUTED_VALUE"""),0.0)</f>
        <v>0</v>
      </c>
      <c r="R3137" s="4">
        <f>IFERROR(__xludf.DUMMYFUNCTION("""COMPUTED_VALUE"""),0.5)</f>
        <v>0.5</v>
      </c>
      <c r="S3137" s="4">
        <f>IFERROR(__xludf.DUMMYFUNCTION("""COMPUTED_VALUE"""),0.0)</f>
        <v>0</v>
      </c>
      <c r="T3137" s="4">
        <f>IFERROR(__xludf.DUMMYFUNCTION("""COMPUTED_VALUE"""),0.131)</f>
        <v>0.131</v>
      </c>
      <c r="U3137" s="4">
        <f>IFERROR(__xludf.DUMMYFUNCTION("""COMPUTED_VALUE"""),0.1)</f>
        <v>0.1</v>
      </c>
      <c r="V3137" s="4">
        <f>IFERROR(__xludf.DUMMYFUNCTION("""COMPUTED_VALUE"""),0.0)</f>
        <v>0</v>
      </c>
    </row>
    <row r="3138">
      <c r="A3138" s="4">
        <f>IFERROR(__xludf.DUMMYFUNCTION("""COMPUTED_VALUE"""),121.0)</f>
        <v>121</v>
      </c>
      <c r="B3138" s="4">
        <f>IFERROR(__xludf.DUMMYFUNCTION("""COMPUTED_VALUE"""),121.0)</f>
        <v>121</v>
      </c>
      <c r="C3138" s="4" t="str">
        <f>IFERROR(__xludf.DUMMYFUNCTION("""COMPUTED_VALUE"""),"LAC")</f>
        <v>LAC</v>
      </c>
      <c r="D3138" s="4" t="str">
        <f>IFERROR(__xludf.DUMMYFUNCTION("""COMPUTED_VALUE"""),"Phillip Haynes")</f>
        <v>Phillip Haynes</v>
      </c>
      <c r="E3138" s="4" t="str">
        <f>IFERROR(__xludf.DUMMYFUNCTION("""COMPUTED_VALUE"""),"Memphis")</f>
        <v>Memphis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</row>
    <row r="3139">
      <c r="A3139" s="4">
        <f>IFERROR(__xludf.DUMMYFUNCTION("""COMPUTED_VALUE"""),122.0)</f>
        <v>122</v>
      </c>
      <c r="B3139" s="4">
        <f>IFERROR(__xludf.DUMMYFUNCTION("""COMPUTED_VALUE"""),122.0)</f>
        <v>122</v>
      </c>
      <c r="C3139" s="4" t="str">
        <f>IFERROR(__xludf.DUMMYFUNCTION("""COMPUTED_VALUE"""),"WSB")</f>
        <v>WSB</v>
      </c>
      <c r="D3139" s="4" t="str">
        <f>IFERROR(__xludf.DUMMYFUNCTION("""COMPUTED_VALUE"""),"Blaise Bugajski")</f>
        <v>Blaise Bugajski</v>
      </c>
      <c r="E3139" s="4" t="str">
        <f>IFERROR(__xludf.DUMMYFUNCTION("""COMPUTED_VALUE"""),"Illinois Wesleyan University")</f>
        <v>Illinois Wesleyan University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</row>
    <row r="3140">
      <c r="A3140" s="4">
        <f>IFERROR(__xludf.DUMMYFUNCTION("""COMPUTED_VALUE"""),123.0)</f>
        <v>123</v>
      </c>
      <c r="B3140" s="4">
        <f>IFERROR(__xludf.DUMMYFUNCTION("""COMPUTED_VALUE"""),123.0)</f>
        <v>123</v>
      </c>
      <c r="C3140" s="4" t="str">
        <f>IFERROR(__xludf.DUMMYFUNCTION("""COMPUTED_VALUE"""),"GSW")</f>
        <v>GSW</v>
      </c>
      <c r="D3140" s="4" t="str">
        <f>IFERROR(__xludf.DUMMYFUNCTION("""COMPUTED_VALUE"""),"Tony Martin")</f>
        <v>Tony Martin</v>
      </c>
      <c r="E3140" s="4" t="str">
        <f>IFERROR(__xludf.DUMMYFUNCTION("""COMPUTED_VALUE"""),"Wyoming")</f>
        <v>Wyoming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</row>
    <row r="3141">
      <c r="A3141" s="4">
        <f>IFERROR(__xludf.DUMMYFUNCTION("""COMPUTED_VALUE"""),124.0)</f>
        <v>124</v>
      </c>
      <c r="B3141" s="4">
        <f>IFERROR(__xludf.DUMMYFUNCTION("""COMPUTED_VALUE"""),124.0)</f>
        <v>124</v>
      </c>
      <c r="C3141" s="4" t="str">
        <f>IFERROR(__xludf.DUMMYFUNCTION("""COMPUTED_VALUE"""),"SAS")</f>
        <v>SAS</v>
      </c>
      <c r="D3141" s="4" t="str">
        <f>IFERROR(__xludf.DUMMYFUNCTION("""COMPUTED_VALUE"""),"Dion Brown")</f>
        <v>Dion Brown</v>
      </c>
      <c r="E3141" s="4" t="str">
        <f>IFERROR(__xludf.DUMMYFUNCTION("""COMPUTED_VALUE"""),"Louisiana")</f>
        <v>Louisiana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</row>
    <row r="3142">
      <c r="A3142" s="4">
        <f>IFERROR(__xludf.DUMMYFUNCTION("""COMPUTED_VALUE"""),125.0)</f>
        <v>125</v>
      </c>
      <c r="B3142" s="4">
        <f>IFERROR(__xludf.DUMMYFUNCTION("""COMPUTED_VALUE"""),125.0)</f>
        <v>125</v>
      </c>
      <c r="C3142" s="4" t="str">
        <f>IFERROR(__xludf.DUMMYFUNCTION("""COMPUTED_VALUE"""),"DEN")</f>
        <v>DEN</v>
      </c>
      <c r="D3142" s="4" t="str">
        <f>IFERROR(__xludf.DUMMYFUNCTION("""COMPUTED_VALUE"""),"Willie Burton")</f>
        <v>Willie Burton</v>
      </c>
      <c r="E3142" s="4" t="str">
        <f>IFERROR(__xludf.DUMMYFUNCTION("""COMPUTED_VALUE"""),"Tennessee")</f>
        <v>Tennessee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</row>
    <row r="3143">
      <c r="A3143" s="4">
        <f>IFERROR(__xludf.DUMMYFUNCTION("""COMPUTED_VALUE"""),126.0)</f>
        <v>126</v>
      </c>
      <c r="B3143" s="4">
        <f>IFERROR(__xludf.DUMMYFUNCTION("""COMPUTED_VALUE"""),126.0)</f>
        <v>126</v>
      </c>
      <c r="C3143" s="4" t="str">
        <f>IFERROR(__xludf.DUMMYFUNCTION("""COMPUTED_VALUE"""),"KCK")</f>
        <v>KCK</v>
      </c>
      <c r="D3143" s="4" t="str">
        <f>IFERROR(__xludf.DUMMYFUNCTION("""COMPUTED_VALUE"""),"Bruce Vanley")</f>
        <v>Bruce Vanley</v>
      </c>
      <c r="E3143" s="4" t="str">
        <f>IFERROR(__xludf.DUMMYFUNCTION("""COMPUTED_VALUE"""),"Tulsa")</f>
        <v>Tulsa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</row>
    <row r="3144">
      <c r="A3144" s="4">
        <f>IFERROR(__xludf.DUMMYFUNCTION("""COMPUTED_VALUE"""),127.0)</f>
        <v>127</v>
      </c>
      <c r="B3144" s="4">
        <f>IFERROR(__xludf.DUMMYFUNCTION("""COMPUTED_VALUE"""),127.0)</f>
        <v>127</v>
      </c>
      <c r="C3144" s="4" t="str">
        <f>IFERROR(__xludf.DUMMYFUNCTION("""COMPUTED_VALUE"""),"ATL")</f>
        <v>ATL</v>
      </c>
      <c r="D3144" s="4" t="str">
        <f>IFERROR(__xludf.DUMMYFUNCTION("""COMPUTED_VALUE"""),"Jim Master")</f>
        <v>Jim Master</v>
      </c>
      <c r="E3144" s="4" t="str">
        <f>IFERROR(__xludf.DUMMYFUNCTION("""COMPUTED_VALUE"""),"Kentucky")</f>
        <v>Kentucky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</row>
    <row r="3145">
      <c r="A3145" s="4">
        <f>IFERROR(__xludf.DUMMYFUNCTION("""COMPUTED_VALUE"""),128.0)</f>
        <v>128</v>
      </c>
      <c r="B3145" s="4">
        <f>IFERROR(__xludf.DUMMYFUNCTION("""COMPUTED_VALUE"""),128.0)</f>
        <v>128</v>
      </c>
      <c r="C3145" s="4" t="str">
        <f>IFERROR(__xludf.DUMMYFUNCTION("""COMPUTED_VALUE"""),"PHO")</f>
        <v>PHO</v>
      </c>
      <c r="D3145" s="4" t="str">
        <f>IFERROR(__xludf.DUMMYFUNCTION("""COMPUTED_VALUE"""),"Herman Veal")</f>
        <v>Herman Veal</v>
      </c>
      <c r="E3145" s="4" t="str">
        <f>IFERROR(__xludf.DUMMYFUNCTION("""COMPUTED_VALUE"""),"Maryland")</f>
        <v>Maryland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</row>
    <row r="3146">
      <c r="A3146" s="4">
        <f>IFERROR(__xludf.DUMMYFUNCTION("""COMPUTED_VALUE"""),129.0)</f>
        <v>129</v>
      </c>
      <c r="B3146" s="4">
        <f>IFERROR(__xludf.DUMMYFUNCTION("""COMPUTED_VALUE"""),129.0)</f>
        <v>129</v>
      </c>
      <c r="C3146" s="4" t="str">
        <f>IFERROR(__xludf.DUMMYFUNCTION("""COMPUTED_VALUE"""),"SEA")</f>
        <v>SEA</v>
      </c>
      <c r="D3146" s="4" t="str">
        <f>IFERROR(__xludf.DUMMYFUNCTION("""COMPUTED_VALUE"""),"Graylin Warner")</f>
        <v>Graylin Warner</v>
      </c>
      <c r="E3146" s="4" t="str">
        <f>IFERROR(__xludf.DUMMYFUNCTION("""COMPUTED_VALUE"""),"Louisiana")</f>
        <v>Louisiana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</row>
    <row r="3147">
      <c r="A3147" s="4">
        <f>IFERROR(__xludf.DUMMYFUNCTION("""COMPUTED_VALUE"""),130.0)</f>
        <v>130</v>
      </c>
      <c r="B3147" s="4">
        <f>IFERROR(__xludf.DUMMYFUNCTION("""COMPUTED_VALUE"""),130.0)</f>
        <v>130</v>
      </c>
      <c r="C3147" s="4" t="str">
        <f>IFERROR(__xludf.DUMMYFUNCTION("""COMPUTED_VALUE"""),"DAL")</f>
        <v>DAL</v>
      </c>
      <c r="D3147" s="4" t="str">
        <f>IFERROR(__xludf.DUMMYFUNCTION("""COMPUTED_VALUE"""),"LaVerne Evans")</f>
        <v>LaVerne Evans</v>
      </c>
      <c r="E3147" s="4" t="str">
        <f>IFERROR(__xludf.DUMMYFUNCTION("""COMPUTED_VALUE"""),"Marshall")</f>
        <v>Marshall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</row>
    <row r="3148">
      <c r="A3148" s="4">
        <f>IFERROR(__xludf.DUMMYFUNCTION("""COMPUTED_VALUE"""),131.0)</f>
        <v>131</v>
      </c>
      <c r="B3148" s="4">
        <f>IFERROR(__xludf.DUMMYFUNCTION("""COMPUTED_VALUE"""),131.0)</f>
        <v>131</v>
      </c>
      <c r="C3148" s="4" t="str">
        <f>IFERROR(__xludf.DUMMYFUNCTION("""COMPUTED_VALUE"""),"NJN")</f>
        <v>NJN</v>
      </c>
      <c r="D3148" s="4" t="str">
        <f>IFERROR(__xludf.DUMMYFUNCTION("""COMPUTED_VALUE"""),"Oscar Schmidt")</f>
        <v>Oscar Schmidt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</row>
    <row r="3149">
      <c r="A3149" s="4">
        <f>IFERROR(__xludf.DUMMYFUNCTION("""COMPUTED_VALUE"""),132.0)</f>
        <v>132</v>
      </c>
      <c r="B3149" s="4">
        <f>IFERROR(__xludf.DUMMYFUNCTION("""COMPUTED_VALUE"""),132.0)</f>
        <v>132</v>
      </c>
      <c r="C3149" s="4" t="str">
        <f>IFERROR(__xludf.DUMMYFUNCTION("""COMPUTED_VALUE"""),"UTA")</f>
        <v>UTA</v>
      </c>
      <c r="D3149" s="4" t="str">
        <f>IFERROR(__xludf.DUMMYFUNCTION("""COMPUTED_VALUE"""),"Chris Harrison")</f>
        <v>Chris Harrison</v>
      </c>
      <c r="E3149" s="4" t="str">
        <f>IFERROR(__xludf.DUMMYFUNCTION("""COMPUTED_VALUE"""),"West Virginia Wesleyan College")</f>
        <v>West Virginia Wesleyan College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</row>
    <row r="3150">
      <c r="A3150" s="4">
        <f>IFERROR(__xludf.DUMMYFUNCTION("""COMPUTED_VALUE"""),133.0)</f>
        <v>133</v>
      </c>
      <c r="B3150" s="4">
        <f>IFERROR(__xludf.DUMMYFUNCTION("""COMPUTED_VALUE"""),133.0)</f>
        <v>133</v>
      </c>
      <c r="C3150" s="4" t="str">
        <f>IFERROR(__xludf.DUMMYFUNCTION("""COMPUTED_VALUE"""),"NYK")</f>
        <v>NYK</v>
      </c>
      <c r="D3150" s="4" t="str">
        <f>IFERROR(__xludf.DUMMYFUNCTION("""COMPUTED_VALUE"""),"Eddie Lee Wilkins")</f>
        <v>Eddie Lee Wilkins</v>
      </c>
      <c r="E3150" s="4" t="str">
        <f>IFERROR(__xludf.DUMMYFUNCTION("""COMPUTED_VALUE"""),"Gardner-Webb University")</f>
        <v>Gardner-Webb University</v>
      </c>
      <c r="F3150" s="4">
        <f>IFERROR(__xludf.DUMMYFUNCTION("""COMPUTED_VALUE"""),6.0)</f>
        <v>6</v>
      </c>
      <c r="G3150" s="4">
        <f>IFERROR(__xludf.DUMMYFUNCTION("""COMPUTED_VALUE"""),322.0)</f>
        <v>322</v>
      </c>
      <c r="H3150" s="4">
        <f>IFERROR(__xludf.DUMMYFUNCTION("""COMPUTED_VALUE"""),3787.0)</f>
        <v>3787</v>
      </c>
      <c r="I3150" s="4">
        <f>IFERROR(__xludf.DUMMYFUNCTION("""COMPUTED_VALUE"""),1534.0)</f>
        <v>1534</v>
      </c>
      <c r="J3150" s="4">
        <f>IFERROR(__xludf.DUMMYFUNCTION("""COMPUTED_VALUE"""),1002.0)</f>
        <v>1002</v>
      </c>
      <c r="K3150" s="4">
        <f>IFERROR(__xludf.DUMMYFUNCTION("""COMPUTED_VALUE"""),62.0)</f>
        <v>62</v>
      </c>
      <c r="L3150" s="4">
        <f>IFERROR(__xludf.DUMMYFUNCTION("""COMPUTED_VALUE"""),0.47)</f>
        <v>0.47</v>
      </c>
      <c r="M3150" s="4">
        <f>IFERROR(__xludf.DUMMYFUNCTION("""COMPUTED_VALUE"""),0.0)</f>
        <v>0</v>
      </c>
      <c r="N3150" s="4">
        <f>IFERROR(__xludf.DUMMYFUNCTION("""COMPUTED_VALUE"""),0.564)</f>
        <v>0.564</v>
      </c>
      <c r="O3150" s="4">
        <f>IFERROR(__xludf.DUMMYFUNCTION("""COMPUTED_VALUE"""),11.8)</f>
        <v>11.8</v>
      </c>
      <c r="P3150" s="4">
        <f>IFERROR(__xludf.DUMMYFUNCTION("""COMPUTED_VALUE"""),4.8)</f>
        <v>4.8</v>
      </c>
      <c r="Q3150" s="4">
        <f>IFERROR(__xludf.DUMMYFUNCTION("""COMPUTED_VALUE"""),3.1)</f>
        <v>3.1</v>
      </c>
      <c r="R3150" s="4">
        <f>IFERROR(__xludf.DUMMYFUNCTION("""COMPUTED_VALUE"""),0.2)</f>
        <v>0.2</v>
      </c>
      <c r="S3150" s="4">
        <f>IFERROR(__xludf.DUMMYFUNCTION("""COMPUTED_VALUE"""),2.5)</f>
        <v>2.5</v>
      </c>
      <c r="T3150" s="4">
        <f>IFERROR(__xludf.DUMMYFUNCTION("""COMPUTED_VALUE"""),0.032)</f>
        <v>0.032</v>
      </c>
      <c r="U3150" s="4">
        <f>IFERROR(__xludf.DUMMYFUNCTION("""COMPUTED_VALUE"""),-6.3)</f>
        <v>-6.3</v>
      </c>
      <c r="V3150" s="4">
        <f>IFERROR(__xludf.DUMMYFUNCTION("""COMPUTED_VALUE"""),-4.1)</f>
        <v>-4.1</v>
      </c>
    </row>
    <row r="3151">
      <c r="A3151" s="4">
        <f>IFERROR(__xludf.DUMMYFUNCTION("""COMPUTED_VALUE"""),134.0)</f>
        <v>134</v>
      </c>
      <c r="B3151" s="4">
        <f>IFERROR(__xludf.DUMMYFUNCTION("""COMPUTED_VALUE"""),134.0)</f>
        <v>134</v>
      </c>
      <c r="C3151" s="4" t="str">
        <f>IFERROR(__xludf.DUMMYFUNCTION("""COMPUTED_VALUE"""),"POR")</f>
        <v>POR</v>
      </c>
      <c r="D3151" s="4" t="str">
        <f>IFERROR(__xludf.DUMMYFUNCTION("""COMPUTED_VALUE"""),"Lance Ball")</f>
        <v>Lance Ball</v>
      </c>
      <c r="E3151" s="4" t="str">
        <f>IFERROR(__xludf.DUMMYFUNCTION("""COMPUTED_VALUE"""),"Western Oregon University")</f>
        <v>Western Oregon University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</row>
    <row r="3152">
      <c r="A3152" s="4">
        <f>IFERROR(__xludf.DUMMYFUNCTION("""COMPUTED_VALUE"""),135.0)</f>
        <v>135</v>
      </c>
      <c r="B3152" s="4">
        <f>IFERROR(__xludf.DUMMYFUNCTION("""COMPUTED_VALUE"""),135.0)</f>
        <v>135</v>
      </c>
      <c r="C3152" s="4" t="str">
        <f>IFERROR(__xludf.DUMMYFUNCTION("""COMPUTED_VALUE"""),"DET")</f>
        <v>DET</v>
      </c>
      <c r="D3152" s="4" t="str">
        <f>IFERROR(__xludf.DUMMYFUNCTION("""COMPUTED_VALUE"""),"Rennie Bailey")</f>
        <v>Rennie Bailey</v>
      </c>
      <c r="E3152" s="4" t="str">
        <f>IFERROR(__xludf.DUMMYFUNCTION("""COMPUTED_VALUE"""),"Louisiana Tech")</f>
        <v>Louisiana Tech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</row>
    <row r="3153">
      <c r="A3153" s="4">
        <f>IFERROR(__xludf.DUMMYFUNCTION("""COMPUTED_VALUE"""),136.0)</f>
        <v>136</v>
      </c>
      <c r="B3153" s="4">
        <f>IFERROR(__xludf.DUMMYFUNCTION("""COMPUTED_VALUE"""),136.0)</f>
        <v>136</v>
      </c>
      <c r="C3153" s="4" t="str">
        <f>IFERROR(__xludf.DUMMYFUNCTION("""COMPUTED_VALUE"""),"MIL")</f>
        <v>MIL</v>
      </c>
      <c r="D3153" s="4" t="str">
        <f>IFERROR(__xludf.DUMMYFUNCTION("""COMPUTED_VALUE"""),"Mike Reddick")</f>
        <v>Mike Reddick</v>
      </c>
      <c r="E3153" s="4" t="str">
        <f>IFERROR(__xludf.DUMMYFUNCTION("""COMPUTED_VALUE"""),"Stetson University")</f>
        <v>Stetson University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</row>
    <row r="3154">
      <c r="A3154" s="4">
        <f>IFERROR(__xludf.DUMMYFUNCTION("""COMPUTED_VALUE"""),137.0)</f>
        <v>137</v>
      </c>
      <c r="B3154" s="4">
        <f>IFERROR(__xludf.DUMMYFUNCTION("""COMPUTED_VALUE"""),137.0)</f>
        <v>137</v>
      </c>
      <c r="C3154" s="4" t="str">
        <f>IFERROR(__xludf.DUMMYFUNCTION("""COMPUTED_VALUE"""),"PHI")</f>
        <v>PHI</v>
      </c>
      <c r="D3154" s="4" t="str">
        <f>IFERROR(__xludf.DUMMYFUNCTION("""COMPUTED_VALUE"""),"Gary Springer")</f>
        <v>Gary Springer</v>
      </c>
      <c r="E3154" s="4" t="str">
        <f>IFERROR(__xludf.DUMMYFUNCTION("""COMPUTED_VALUE"""),"Iona College")</f>
        <v>Iona College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</row>
    <row r="3155">
      <c r="A3155" s="4">
        <f>IFERROR(__xludf.DUMMYFUNCTION("""COMPUTED_VALUE"""),138.0)</f>
        <v>138</v>
      </c>
      <c r="B3155" s="4">
        <f>IFERROR(__xludf.DUMMYFUNCTION("""COMPUTED_VALUE"""),138.0)</f>
        <v>138</v>
      </c>
      <c r="C3155" s="4" t="str">
        <f>IFERROR(__xludf.DUMMYFUNCTION("""COMPUTED_VALUE"""),"LAL")</f>
        <v>LAL</v>
      </c>
      <c r="D3155" s="4" t="str">
        <f>IFERROR(__xludf.DUMMYFUNCTION("""COMPUTED_VALUE"""),"Keith Jones")</f>
        <v>Keith Jones</v>
      </c>
      <c r="E3155" s="4" t="str">
        <f>IFERROR(__xludf.DUMMYFUNCTION("""COMPUTED_VALUE"""),"Stanford")</f>
        <v>Stanford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</row>
    <row r="3156">
      <c r="A3156" s="4">
        <f>IFERROR(__xludf.DUMMYFUNCTION("""COMPUTED_VALUE"""),139.0)</f>
        <v>139</v>
      </c>
      <c r="B3156" s="4">
        <f>IFERROR(__xludf.DUMMYFUNCTION("""COMPUTED_VALUE"""),139.0)</f>
        <v>139</v>
      </c>
      <c r="C3156" s="4" t="str">
        <f>IFERROR(__xludf.DUMMYFUNCTION("""COMPUTED_VALUE"""),"BOS")</f>
        <v>BOS</v>
      </c>
      <c r="D3156" s="4" t="str">
        <f>IFERROR(__xludf.DUMMYFUNCTION("""COMPUTED_VALUE"""),"Steve Carfino")</f>
        <v>Steve Carfino</v>
      </c>
      <c r="E3156" s="4" t="str">
        <f>IFERROR(__xludf.DUMMYFUNCTION("""COMPUTED_VALUE"""),"Iowa")</f>
        <v>Iowa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</row>
    <row r="3157">
      <c r="A3157" s="4"/>
      <c r="B3157" s="4"/>
      <c r="C3157" s="4"/>
      <c r="D3157" s="4" t="str">
        <f>IFERROR(__xludf.DUMMYFUNCTION("""COMPUTED_VALUE"""),"Round 7")</f>
        <v>Round 7</v>
      </c>
      <c r="E3157" s="4"/>
      <c r="F3157" s="4"/>
      <c r="G3157" s="4" t="str">
        <f>IFERROR(__xludf.DUMMYFUNCTION("""COMPUTED_VALUE"""),"Totals")</f>
        <v>Totals</v>
      </c>
      <c r="H3157" s="4"/>
      <c r="I3157" s="4"/>
      <c r="J3157" s="4"/>
      <c r="K3157" s="4"/>
      <c r="L3157" s="4" t="str">
        <f>IFERROR(__xludf.DUMMYFUNCTION("""COMPUTED_VALUE"""),"Shooting")</f>
        <v>Shooting</v>
      </c>
      <c r="M3157" s="4"/>
      <c r="N3157" s="4"/>
      <c r="O3157" s="4" t="str">
        <f>IFERROR(__xludf.DUMMYFUNCTION("""COMPUTED_VALUE"""),"Per Game")</f>
        <v>Per Game</v>
      </c>
      <c r="P3157" s="4"/>
      <c r="Q3157" s="4"/>
      <c r="R3157" s="4"/>
      <c r="S3157" s="4" t="str">
        <f>IFERROR(__xludf.DUMMYFUNCTION("""COMPUTED_VALUE"""),"Advanced")</f>
        <v>Advanced</v>
      </c>
      <c r="T3157" s="4"/>
      <c r="U3157" s="4"/>
      <c r="V3157" s="4"/>
    </row>
    <row r="3158">
      <c r="A3158" s="4" t="str">
        <f>IFERROR(__xludf.DUMMYFUNCTION("""COMPUTED_VALUE"""),"Rk")</f>
        <v>Rk</v>
      </c>
      <c r="B3158" s="4" t="str">
        <f>IFERROR(__xludf.DUMMYFUNCTION("""COMPUTED_VALUE"""),"Pk")</f>
        <v>Pk</v>
      </c>
      <c r="C3158" s="4" t="str">
        <f>IFERROR(__xludf.DUMMYFUNCTION("""COMPUTED_VALUE"""),"Tm")</f>
        <v>Tm</v>
      </c>
      <c r="D3158" s="4" t="str">
        <f>IFERROR(__xludf.DUMMYFUNCTION("""COMPUTED_VALUE"""),"Player")</f>
        <v>Player</v>
      </c>
      <c r="E3158" s="4" t="str">
        <f>IFERROR(__xludf.DUMMYFUNCTION("""COMPUTED_VALUE"""),"College")</f>
        <v>College</v>
      </c>
      <c r="F3158" s="4" t="str">
        <f>IFERROR(__xludf.DUMMYFUNCTION("""COMPUTED_VALUE"""),"Yrs")</f>
        <v>Yrs</v>
      </c>
      <c r="G3158" s="4" t="str">
        <f>IFERROR(__xludf.DUMMYFUNCTION("""COMPUTED_VALUE"""),"G")</f>
        <v>G</v>
      </c>
      <c r="H3158" s="4" t="str">
        <f>IFERROR(__xludf.DUMMYFUNCTION("""COMPUTED_VALUE"""),"MP")</f>
        <v>MP</v>
      </c>
      <c r="I3158" s="4" t="str">
        <f>IFERROR(__xludf.DUMMYFUNCTION("""COMPUTED_VALUE"""),"PTS")</f>
        <v>PTS</v>
      </c>
      <c r="J3158" s="4" t="str">
        <f>IFERROR(__xludf.DUMMYFUNCTION("""COMPUTED_VALUE"""),"TRB")</f>
        <v>TRB</v>
      </c>
      <c r="K3158" s="4" t="str">
        <f>IFERROR(__xludf.DUMMYFUNCTION("""COMPUTED_VALUE"""),"AST")</f>
        <v>AST</v>
      </c>
      <c r="L3158" s="4" t="str">
        <f>IFERROR(__xludf.DUMMYFUNCTION("""COMPUTED_VALUE"""),"FG%")</f>
        <v>FG%</v>
      </c>
      <c r="M3158" s="4" t="str">
        <f>IFERROR(__xludf.DUMMYFUNCTION("""COMPUTED_VALUE"""),"3P%")</f>
        <v>3P%</v>
      </c>
      <c r="N3158" s="4" t="str">
        <f>IFERROR(__xludf.DUMMYFUNCTION("""COMPUTED_VALUE"""),"FT%")</f>
        <v>FT%</v>
      </c>
      <c r="O3158" s="4" t="str">
        <f>IFERROR(__xludf.DUMMYFUNCTION("""COMPUTED_VALUE"""),"MP")</f>
        <v>MP</v>
      </c>
      <c r="P3158" s="4" t="str">
        <f>IFERROR(__xludf.DUMMYFUNCTION("""COMPUTED_VALUE"""),"PTS")</f>
        <v>PTS</v>
      </c>
      <c r="Q3158" s="4" t="str">
        <f>IFERROR(__xludf.DUMMYFUNCTION("""COMPUTED_VALUE"""),"TRB")</f>
        <v>TRB</v>
      </c>
      <c r="R3158" s="4" t="str">
        <f>IFERROR(__xludf.DUMMYFUNCTION("""COMPUTED_VALUE"""),"AST")</f>
        <v>AST</v>
      </c>
      <c r="S3158" s="4" t="str">
        <f>IFERROR(__xludf.DUMMYFUNCTION("""COMPUTED_VALUE"""),"WS")</f>
        <v>WS</v>
      </c>
      <c r="T3158" s="4" t="str">
        <f>IFERROR(__xludf.DUMMYFUNCTION("""COMPUTED_VALUE"""),"WS/48")</f>
        <v>WS/48</v>
      </c>
      <c r="U3158" s="4" t="str">
        <f>IFERROR(__xludf.DUMMYFUNCTION("""COMPUTED_VALUE"""),"BPM")</f>
        <v>BPM</v>
      </c>
      <c r="V3158" s="4" t="str">
        <f>IFERROR(__xludf.DUMMYFUNCTION("""COMPUTED_VALUE"""),"VORP")</f>
        <v>VORP</v>
      </c>
    </row>
    <row r="3159">
      <c r="A3159" s="4">
        <f>IFERROR(__xludf.DUMMYFUNCTION("""COMPUTED_VALUE"""),140.0)</f>
        <v>140</v>
      </c>
      <c r="B3159" s="4">
        <f>IFERROR(__xludf.DUMMYFUNCTION("""COMPUTED_VALUE"""),140.0)</f>
        <v>140</v>
      </c>
      <c r="C3159" s="4" t="str">
        <f>IFERROR(__xludf.DUMMYFUNCTION("""COMPUTED_VALUE"""),"IND")</f>
        <v>IND</v>
      </c>
      <c r="D3159" s="4" t="str">
        <f>IFERROR(__xludf.DUMMYFUNCTION("""COMPUTED_VALUE"""),"Kenton Edelin")</f>
        <v>Kenton Edelin</v>
      </c>
      <c r="E3159" s="4" t="str">
        <f>IFERROR(__xludf.DUMMYFUNCTION("""COMPUTED_VALUE"""),"Virginia")</f>
        <v>Virginia</v>
      </c>
      <c r="F3159" s="4">
        <f>IFERROR(__xludf.DUMMYFUNCTION("""COMPUTED_VALUE"""),1.0)</f>
        <v>1</v>
      </c>
      <c r="G3159" s="4">
        <f>IFERROR(__xludf.DUMMYFUNCTION("""COMPUTED_VALUE"""),10.0)</f>
        <v>10</v>
      </c>
      <c r="H3159" s="4">
        <f>IFERROR(__xludf.DUMMYFUNCTION("""COMPUTED_VALUE"""),143.0)</f>
        <v>143</v>
      </c>
      <c r="I3159" s="4">
        <f>IFERROR(__xludf.DUMMYFUNCTION("""COMPUTED_VALUE"""),11.0)</f>
        <v>11</v>
      </c>
      <c r="J3159" s="4">
        <f>IFERROR(__xludf.DUMMYFUNCTION("""COMPUTED_VALUE"""),26.0)</f>
        <v>26</v>
      </c>
      <c r="K3159" s="4">
        <f>IFERROR(__xludf.DUMMYFUNCTION("""COMPUTED_VALUE"""),10.0)</f>
        <v>10</v>
      </c>
      <c r="L3159" s="4">
        <f>IFERROR(__xludf.DUMMYFUNCTION("""COMPUTED_VALUE"""),0.308)</f>
        <v>0.308</v>
      </c>
      <c r="M3159" s="4"/>
      <c r="N3159" s="4">
        <f>IFERROR(__xludf.DUMMYFUNCTION("""COMPUTED_VALUE"""),0.375)</f>
        <v>0.375</v>
      </c>
      <c r="O3159" s="4">
        <f>IFERROR(__xludf.DUMMYFUNCTION("""COMPUTED_VALUE"""),14.3)</f>
        <v>14.3</v>
      </c>
      <c r="P3159" s="4">
        <f>IFERROR(__xludf.DUMMYFUNCTION("""COMPUTED_VALUE"""),1.1)</f>
        <v>1.1</v>
      </c>
      <c r="Q3159" s="4">
        <f>IFERROR(__xludf.DUMMYFUNCTION("""COMPUTED_VALUE"""),2.6)</f>
        <v>2.6</v>
      </c>
      <c r="R3159" s="4">
        <f>IFERROR(__xludf.DUMMYFUNCTION("""COMPUTED_VALUE"""),1.0)</f>
        <v>1</v>
      </c>
      <c r="S3159" s="4">
        <f>IFERROR(__xludf.DUMMYFUNCTION("""COMPUTED_VALUE"""),0.1)</f>
        <v>0.1</v>
      </c>
      <c r="T3159" s="4">
        <f>IFERROR(__xludf.DUMMYFUNCTION("""COMPUTED_VALUE"""),0.042)</f>
        <v>0.042</v>
      </c>
      <c r="U3159" s="4">
        <f>IFERROR(__xludf.DUMMYFUNCTION("""COMPUTED_VALUE"""),-4.2)</f>
        <v>-4.2</v>
      </c>
      <c r="V3159" s="4">
        <f>IFERROR(__xludf.DUMMYFUNCTION("""COMPUTED_VALUE"""),-0.1)</f>
        <v>-0.1</v>
      </c>
    </row>
    <row r="3160">
      <c r="A3160" s="4">
        <f>IFERROR(__xludf.DUMMYFUNCTION("""COMPUTED_VALUE"""),141.0)</f>
        <v>141</v>
      </c>
      <c r="B3160" s="4">
        <f>IFERROR(__xludf.DUMMYFUNCTION("""COMPUTED_VALUE"""),141.0)</f>
        <v>141</v>
      </c>
      <c r="C3160" s="4" t="str">
        <f>IFERROR(__xludf.DUMMYFUNCTION("""COMPUTED_VALUE"""),"CHI")</f>
        <v>CHI</v>
      </c>
      <c r="D3160" s="4" t="str">
        <f>IFERROR(__xludf.DUMMYFUNCTION("""COMPUTED_VALUE"""),"Butch Hays")</f>
        <v>Butch Hays</v>
      </c>
      <c r="E3160" s="4" t="str">
        <f>IFERROR(__xludf.DUMMYFUNCTION("""COMPUTED_VALUE"""),"California")</f>
        <v>California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</row>
    <row r="3161">
      <c r="A3161" s="4">
        <f>IFERROR(__xludf.DUMMYFUNCTION("""COMPUTED_VALUE"""),142.0)</f>
        <v>142</v>
      </c>
      <c r="B3161" s="4">
        <f>IFERROR(__xludf.DUMMYFUNCTION("""COMPUTED_VALUE"""),142.0)</f>
        <v>142</v>
      </c>
      <c r="C3161" s="4" t="str">
        <f>IFERROR(__xludf.DUMMYFUNCTION("""COMPUTED_VALUE"""),"CLE")</f>
        <v>CLE</v>
      </c>
      <c r="D3161" s="4" t="str">
        <f>IFERROR(__xludf.DUMMYFUNCTION("""COMPUTED_VALUE"""),"Joe Jakubick")</f>
        <v>Joe Jakubick</v>
      </c>
      <c r="E3161" s="4" t="str">
        <f>IFERROR(__xludf.DUMMYFUNCTION("""COMPUTED_VALUE"""),"University of Akron")</f>
        <v>University of Akron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</row>
    <row r="3162">
      <c r="A3162" s="4">
        <f>IFERROR(__xludf.DUMMYFUNCTION("""COMPUTED_VALUE"""),143.0)</f>
        <v>143</v>
      </c>
      <c r="B3162" s="4">
        <f>IFERROR(__xludf.DUMMYFUNCTION("""COMPUTED_VALUE"""),143.0)</f>
        <v>143</v>
      </c>
      <c r="C3162" s="4" t="str">
        <f>IFERROR(__xludf.DUMMYFUNCTION("""COMPUTED_VALUE"""),"HOU")</f>
        <v>HOU</v>
      </c>
      <c r="D3162" s="4" t="str">
        <f>IFERROR(__xludf.DUMMYFUNCTION("""COMPUTED_VALUE"""),"Joedy Gardner")</f>
        <v>Joedy Gardner</v>
      </c>
      <c r="E3162" s="4" t="str">
        <f>IFERROR(__xludf.DUMMYFUNCTION("""COMPUTED_VALUE"""),"Cal State Long Beach")</f>
        <v>Cal State Long Beach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</row>
    <row r="3163">
      <c r="A3163" s="4">
        <f>IFERROR(__xludf.DUMMYFUNCTION("""COMPUTED_VALUE"""),144.0)</f>
        <v>144</v>
      </c>
      <c r="B3163" s="4">
        <f>IFERROR(__xludf.DUMMYFUNCTION("""COMPUTED_VALUE"""),144.0)</f>
        <v>144</v>
      </c>
      <c r="C3163" s="4" t="str">
        <f>IFERROR(__xludf.DUMMYFUNCTION("""COMPUTED_VALUE"""),"LAC")</f>
        <v>LAC</v>
      </c>
      <c r="D3163" s="4" t="str">
        <f>IFERROR(__xludf.DUMMYFUNCTION("""COMPUTED_VALUE"""),"David Brantley")</f>
        <v>David Brantley</v>
      </c>
      <c r="E3163" s="4" t="str">
        <f>IFERROR(__xludf.DUMMYFUNCTION("""COMPUTED_VALUE"""),"Oregon")</f>
        <v>Oregon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</row>
    <row r="3164">
      <c r="A3164" s="4">
        <f>IFERROR(__xludf.DUMMYFUNCTION("""COMPUTED_VALUE"""),145.0)</f>
        <v>145</v>
      </c>
      <c r="B3164" s="4">
        <f>IFERROR(__xludf.DUMMYFUNCTION("""COMPUTED_VALUE"""),145.0)</f>
        <v>145</v>
      </c>
      <c r="C3164" s="4" t="str">
        <f>IFERROR(__xludf.DUMMYFUNCTION("""COMPUTED_VALUE"""),"WSB")</f>
        <v>WSB</v>
      </c>
      <c r="D3164" s="4" t="str">
        <f>IFERROR(__xludf.DUMMYFUNCTION("""COMPUTED_VALUE"""),"Tim Garrett")</f>
        <v>Tim Garrett</v>
      </c>
      <c r="E3164" s="4" t="str">
        <f>IFERROR(__xludf.DUMMYFUNCTION("""COMPUTED_VALUE"""),"New Mexico")</f>
        <v>New Mexico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</row>
    <row r="3165">
      <c r="A3165" s="4">
        <f>IFERROR(__xludf.DUMMYFUNCTION("""COMPUTED_VALUE"""),146.0)</f>
        <v>146</v>
      </c>
      <c r="B3165" s="4">
        <f>IFERROR(__xludf.DUMMYFUNCTION("""COMPUTED_VALUE"""),146.0)</f>
        <v>146</v>
      </c>
      <c r="C3165" s="4" t="str">
        <f>IFERROR(__xludf.DUMMYFUNCTION("""COMPUTED_VALUE"""),"SAS")</f>
        <v>SAS</v>
      </c>
      <c r="D3165" s="4" t="str">
        <f>IFERROR(__xludf.DUMMYFUNCTION("""COMPUTED_VALUE"""),"Michael Pitts")</f>
        <v>Michael Pitts</v>
      </c>
      <c r="E3165" s="4" t="str">
        <f>IFERROR(__xludf.DUMMYFUNCTION("""COMPUTED_VALUE"""),"California")</f>
        <v>California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</row>
    <row r="3166">
      <c r="A3166" s="4">
        <f>IFERROR(__xludf.DUMMYFUNCTION("""COMPUTED_VALUE"""),147.0)</f>
        <v>147</v>
      </c>
      <c r="B3166" s="4">
        <f>IFERROR(__xludf.DUMMYFUNCTION("""COMPUTED_VALUE"""),147.0)</f>
        <v>147</v>
      </c>
      <c r="C3166" s="4" t="str">
        <f>IFERROR(__xludf.DUMMYFUNCTION("""COMPUTED_VALUE"""),"GSW")</f>
        <v>GSW</v>
      </c>
      <c r="D3166" s="4" t="str">
        <f>IFERROR(__xludf.DUMMYFUNCTION("""COMPUTED_VALUE"""),"Cliff Higgins")</f>
        <v>Cliff Higgins</v>
      </c>
      <c r="E3166" s="4" t="str">
        <f>IFERROR(__xludf.DUMMYFUNCTION("""COMPUTED_VALUE"""),"Cal State Northridge")</f>
        <v>Cal State Northridge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</row>
    <row r="3167">
      <c r="A3167" s="4">
        <f>IFERROR(__xludf.DUMMYFUNCTION("""COMPUTED_VALUE"""),148.0)</f>
        <v>148</v>
      </c>
      <c r="B3167" s="4">
        <f>IFERROR(__xludf.DUMMYFUNCTION("""COMPUTED_VALUE"""),148.0)</f>
        <v>148</v>
      </c>
      <c r="C3167" s="4" t="str">
        <f>IFERROR(__xludf.DUMMYFUNCTION("""COMPUTED_VALUE"""),"KCK")</f>
        <v>KCK</v>
      </c>
      <c r="D3167" s="4" t="str">
        <f>IFERROR(__xludf.DUMMYFUNCTION("""COMPUTED_VALUE"""),"Chipper Harris")</f>
        <v>Chipper Harris</v>
      </c>
      <c r="E3167" s="4" t="str">
        <f>IFERROR(__xludf.DUMMYFUNCTION("""COMPUTED_VALUE"""),"Robert Morris University (PA)")</f>
        <v>Robert Morris University (PA)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</row>
    <row r="3168">
      <c r="A3168" s="4">
        <f>IFERROR(__xludf.DUMMYFUNCTION("""COMPUTED_VALUE"""),149.0)</f>
        <v>149</v>
      </c>
      <c r="B3168" s="4">
        <f>IFERROR(__xludf.DUMMYFUNCTION("""COMPUTED_VALUE"""),149.0)</f>
        <v>149</v>
      </c>
      <c r="C3168" s="4" t="str">
        <f>IFERROR(__xludf.DUMMYFUNCTION("""COMPUTED_VALUE"""),"DEN")</f>
        <v>DEN</v>
      </c>
      <c r="D3168" s="4" t="str">
        <f>IFERROR(__xludf.DUMMYFUNCTION("""COMPUTED_VALUE"""),"Mark Simpson")</f>
        <v>Mark Simpson</v>
      </c>
      <c r="E3168" s="4" t="str">
        <f>IFERROR(__xludf.DUMMYFUNCTION("""COMPUTED_VALUE"""),"Catawba College")</f>
        <v>Catawba College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</row>
    <row r="3169">
      <c r="A3169" s="4">
        <f>IFERROR(__xludf.DUMMYFUNCTION("""COMPUTED_VALUE"""),150.0)</f>
        <v>150</v>
      </c>
      <c r="B3169" s="4">
        <f>IFERROR(__xludf.DUMMYFUNCTION("""COMPUTED_VALUE"""),150.0)</f>
        <v>150</v>
      </c>
      <c r="C3169" s="4" t="str">
        <f>IFERROR(__xludf.DUMMYFUNCTION("""COMPUTED_VALUE"""),"ATL")</f>
        <v>ATL</v>
      </c>
      <c r="D3169" s="4" t="str">
        <f>IFERROR(__xludf.DUMMYFUNCTION("""COMPUTED_VALUE"""),"Vince Martello")</f>
        <v>Vince Martello</v>
      </c>
      <c r="E3169" s="4" t="str">
        <f>IFERROR(__xludf.DUMMYFUNCTION("""COMPUTED_VALUE"""),"Florida State")</f>
        <v>Florida State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</row>
    <row r="3170">
      <c r="A3170" s="4">
        <f>IFERROR(__xludf.DUMMYFUNCTION("""COMPUTED_VALUE"""),151.0)</f>
        <v>151</v>
      </c>
      <c r="B3170" s="4">
        <f>IFERROR(__xludf.DUMMYFUNCTION("""COMPUTED_VALUE"""),151.0)</f>
        <v>151</v>
      </c>
      <c r="C3170" s="4" t="str">
        <f>IFERROR(__xludf.DUMMYFUNCTION("""COMPUTED_VALUE"""),"PHO")</f>
        <v>PHO</v>
      </c>
      <c r="D3170" s="4" t="str">
        <f>IFERROR(__xludf.DUMMYFUNCTION("""COMPUTED_VALUE"""),"Raymond Crenshaw")</f>
        <v>Raymond Crenshaw</v>
      </c>
      <c r="E3170" s="4" t="str">
        <f>IFERROR(__xludf.DUMMYFUNCTION("""COMPUTED_VALUE"""),"Oklahoma State")</f>
        <v>Oklahoma State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</row>
    <row r="3171">
      <c r="A3171" s="4">
        <f>IFERROR(__xludf.DUMMYFUNCTION("""COMPUTED_VALUE"""),152.0)</f>
        <v>152</v>
      </c>
      <c r="B3171" s="4">
        <f>IFERROR(__xludf.DUMMYFUNCTION("""COMPUTED_VALUE"""),152.0)</f>
        <v>152</v>
      </c>
      <c r="C3171" s="4" t="str">
        <f>IFERROR(__xludf.DUMMYFUNCTION("""COMPUTED_VALUE"""),"SEA")</f>
        <v>SEA</v>
      </c>
      <c r="D3171" s="4" t="str">
        <f>IFERROR(__xludf.DUMMYFUNCTION("""COMPUTED_VALUE"""),"Gary Gatewood")</f>
        <v>Gary Gatewood</v>
      </c>
      <c r="E3171" s="4" t="str">
        <f>IFERROR(__xludf.DUMMYFUNCTION("""COMPUTED_VALUE"""),"Oregon")</f>
        <v>Oregon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</row>
    <row r="3172">
      <c r="A3172" s="4">
        <f>IFERROR(__xludf.DUMMYFUNCTION("""COMPUTED_VALUE"""),153.0)</f>
        <v>153</v>
      </c>
      <c r="B3172" s="4">
        <f>IFERROR(__xludf.DUMMYFUNCTION("""COMPUTED_VALUE"""),153.0)</f>
        <v>153</v>
      </c>
      <c r="C3172" s="4" t="str">
        <f>IFERROR(__xludf.DUMMYFUNCTION("""COMPUTED_VALUE"""),"DAL")</f>
        <v>DAL</v>
      </c>
      <c r="D3172" s="4" t="str">
        <f>IFERROR(__xludf.DUMMYFUNCTION("""COMPUTED_VALUE"""),"George Turner")</f>
        <v>George Turner</v>
      </c>
      <c r="E3172" s="4" t="str">
        <f>IFERROR(__xludf.DUMMYFUNCTION("""COMPUTED_VALUE"""),"University of California, Irvine")</f>
        <v>University of California, Irvine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</row>
    <row r="3173">
      <c r="A3173" s="4">
        <f>IFERROR(__xludf.DUMMYFUNCTION("""COMPUTED_VALUE"""),154.0)</f>
        <v>154</v>
      </c>
      <c r="B3173" s="4">
        <f>IFERROR(__xludf.DUMMYFUNCTION("""COMPUTED_VALUE"""),154.0)</f>
        <v>154</v>
      </c>
      <c r="C3173" s="4" t="str">
        <f>IFERROR(__xludf.DUMMYFUNCTION("""COMPUTED_VALUE"""),"UTA")</f>
        <v>UTA</v>
      </c>
      <c r="D3173" s="4" t="str">
        <f>IFERROR(__xludf.DUMMYFUNCTION("""COMPUTED_VALUE"""),"Bob Evans")</f>
        <v>Bob Evans</v>
      </c>
      <c r="E3173" s="4" t="str">
        <f>IFERROR(__xludf.DUMMYFUNCTION("""COMPUTED_VALUE"""),"Southern Utah University")</f>
        <v>Southern Utah University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</row>
    <row r="3174">
      <c r="A3174" s="4">
        <f>IFERROR(__xludf.DUMMYFUNCTION("""COMPUTED_VALUE"""),155.0)</f>
        <v>155</v>
      </c>
      <c r="B3174" s="4">
        <f>IFERROR(__xludf.DUMMYFUNCTION("""COMPUTED_VALUE"""),155.0)</f>
        <v>155</v>
      </c>
      <c r="C3174" s="4" t="str">
        <f>IFERROR(__xludf.DUMMYFUNCTION("""COMPUTED_VALUE"""),"NJN")</f>
        <v>NJN</v>
      </c>
      <c r="D3174" s="4" t="str">
        <f>IFERROR(__xludf.DUMMYFUNCTION("""COMPUTED_VALUE"""),"Sean Kerins")</f>
        <v>Sean Kerins</v>
      </c>
      <c r="E3174" s="4" t="str">
        <f>IFERROR(__xludf.DUMMYFUNCTION("""COMPUTED_VALUE"""),"Syracuse")</f>
        <v>Syracuse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</row>
    <row r="3175">
      <c r="A3175" s="4">
        <f>IFERROR(__xludf.DUMMYFUNCTION("""COMPUTED_VALUE"""),156.0)</f>
        <v>156</v>
      </c>
      <c r="B3175" s="4">
        <f>IFERROR(__xludf.DUMMYFUNCTION("""COMPUTED_VALUE"""),156.0)</f>
        <v>156</v>
      </c>
      <c r="C3175" s="4" t="str">
        <f>IFERROR(__xludf.DUMMYFUNCTION("""COMPUTED_VALUE"""),"NYK")</f>
        <v>NYK</v>
      </c>
      <c r="D3175" s="4" t="str">
        <f>IFERROR(__xludf.DUMMYFUNCTION("""COMPUTED_VALUE"""),"Ken Bannister")</f>
        <v>Ken Bannister</v>
      </c>
      <c r="E3175" s="4" t="str">
        <f>IFERROR(__xludf.DUMMYFUNCTION("""COMPUTED_VALUE"""),"Saint Augustine's College")</f>
        <v>Saint Augustine's College</v>
      </c>
      <c r="F3175" s="4">
        <f>IFERROR(__xludf.DUMMYFUNCTION("""COMPUTED_VALUE"""),5.0)</f>
        <v>5</v>
      </c>
      <c r="G3175" s="4">
        <f>IFERROR(__xludf.DUMMYFUNCTION("""COMPUTED_VALUE"""),253.0)</f>
        <v>253</v>
      </c>
      <c r="H3175" s="4">
        <f>IFERROR(__xludf.DUMMYFUNCTION("""COMPUTED_VALUE"""),3867.0)</f>
        <v>3867</v>
      </c>
      <c r="I3175" s="4">
        <f>IFERROR(__xludf.DUMMYFUNCTION("""COMPUTED_VALUE"""),1501.0)</f>
        <v>1501</v>
      </c>
      <c r="J3175" s="4">
        <f>IFERROR(__xludf.DUMMYFUNCTION("""COMPUTED_VALUE"""),893.0)</f>
        <v>893</v>
      </c>
      <c r="K3175" s="4">
        <f>IFERROR(__xludf.DUMMYFUNCTION("""COMPUTED_VALUE"""),111.0)</f>
        <v>111</v>
      </c>
      <c r="L3175" s="4">
        <f>IFERROR(__xludf.DUMMYFUNCTION("""COMPUTED_VALUE"""),0.488)</f>
        <v>0.488</v>
      </c>
      <c r="M3175" s="4">
        <f>IFERROR(__xludf.DUMMYFUNCTION("""COMPUTED_VALUE"""),0.0)</f>
        <v>0</v>
      </c>
      <c r="N3175" s="4">
        <f>IFERROR(__xludf.DUMMYFUNCTION("""COMPUTED_VALUE"""),0.492)</f>
        <v>0.492</v>
      </c>
      <c r="O3175" s="4">
        <f>IFERROR(__xludf.DUMMYFUNCTION("""COMPUTED_VALUE"""),15.3)</f>
        <v>15.3</v>
      </c>
      <c r="P3175" s="4">
        <f>IFERROR(__xludf.DUMMYFUNCTION("""COMPUTED_VALUE"""),5.9)</f>
        <v>5.9</v>
      </c>
      <c r="Q3175" s="4">
        <f>IFERROR(__xludf.DUMMYFUNCTION("""COMPUTED_VALUE"""),3.5)</f>
        <v>3.5</v>
      </c>
      <c r="R3175" s="4">
        <f>IFERROR(__xludf.DUMMYFUNCTION("""COMPUTED_VALUE"""),0.4)</f>
        <v>0.4</v>
      </c>
      <c r="S3175" s="4">
        <f>IFERROR(__xludf.DUMMYFUNCTION("""COMPUTED_VALUE"""),0.6)</f>
        <v>0.6</v>
      </c>
      <c r="T3175" s="4">
        <f>IFERROR(__xludf.DUMMYFUNCTION("""COMPUTED_VALUE"""),0.007)</f>
        <v>0.007</v>
      </c>
      <c r="U3175" s="4">
        <f>IFERROR(__xludf.DUMMYFUNCTION("""COMPUTED_VALUE"""),-5.6)</f>
        <v>-5.6</v>
      </c>
      <c r="V3175" s="4">
        <f>IFERROR(__xludf.DUMMYFUNCTION("""COMPUTED_VALUE"""),-3.6)</f>
        <v>-3.6</v>
      </c>
    </row>
    <row r="3176">
      <c r="A3176" s="4">
        <f>IFERROR(__xludf.DUMMYFUNCTION("""COMPUTED_VALUE"""),157.0)</f>
        <v>157</v>
      </c>
      <c r="B3176" s="4">
        <f>IFERROR(__xludf.DUMMYFUNCTION("""COMPUTED_VALUE"""),157.0)</f>
        <v>157</v>
      </c>
      <c r="C3176" s="4" t="str">
        <f>IFERROR(__xludf.DUMMYFUNCTION("""COMPUTED_VALUE"""),"POR")</f>
        <v>POR</v>
      </c>
      <c r="D3176" s="4" t="str">
        <f>IFERROR(__xludf.DUMMYFUNCTION("""COMPUTED_VALUE"""),"Victor Anger")</f>
        <v>Victor Anger</v>
      </c>
      <c r="E3176" s="4" t="str">
        <f>IFERROR(__xludf.DUMMYFUNCTION("""COMPUTED_VALUE"""),"Pepperdine")</f>
        <v>Pepperdine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</row>
    <row r="3177">
      <c r="A3177" s="4">
        <f>IFERROR(__xludf.DUMMYFUNCTION("""COMPUTED_VALUE"""),158.0)</f>
        <v>158</v>
      </c>
      <c r="B3177" s="4">
        <f>IFERROR(__xludf.DUMMYFUNCTION("""COMPUTED_VALUE"""),158.0)</f>
        <v>158</v>
      </c>
      <c r="C3177" s="4" t="str">
        <f>IFERROR(__xludf.DUMMYFUNCTION("""COMPUTED_VALUE"""),"DET")</f>
        <v>DET</v>
      </c>
      <c r="D3177" s="4" t="str">
        <f>IFERROR(__xludf.DUMMYFUNCTION("""COMPUTED_VALUE"""),"Barry Francisco")</f>
        <v>Barry Francisco</v>
      </c>
      <c r="E3177" s="4" t="str">
        <f>IFERROR(__xludf.DUMMYFUNCTION("""COMPUTED_VALUE"""),"Bloomsburg University of Pennsylvania")</f>
        <v>Bloomsburg University of Pennsylvania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</row>
    <row r="3178">
      <c r="A3178" s="4">
        <f>IFERROR(__xludf.DUMMYFUNCTION("""COMPUTED_VALUE"""),159.0)</f>
        <v>159</v>
      </c>
      <c r="B3178" s="4">
        <f>IFERROR(__xludf.DUMMYFUNCTION("""COMPUTED_VALUE"""),159.0)</f>
        <v>159</v>
      </c>
      <c r="C3178" s="4" t="str">
        <f>IFERROR(__xludf.DUMMYFUNCTION("""COMPUTED_VALUE"""),"MIL")</f>
        <v>MIL</v>
      </c>
      <c r="D3178" s="4" t="str">
        <f>IFERROR(__xludf.DUMMYFUNCTION("""COMPUTED_VALUE"""),"Tony William")</f>
        <v>Tony William</v>
      </c>
      <c r="E3178" s="4" t="str">
        <f>IFERROR(__xludf.DUMMYFUNCTION("""COMPUTED_VALUE"""),"Florida State")</f>
        <v>Florida State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</row>
    <row r="3179">
      <c r="A3179" s="4">
        <f>IFERROR(__xludf.DUMMYFUNCTION("""COMPUTED_VALUE"""),160.0)</f>
        <v>160</v>
      </c>
      <c r="B3179" s="4">
        <f>IFERROR(__xludf.DUMMYFUNCTION("""COMPUTED_VALUE"""),160.0)</f>
        <v>160</v>
      </c>
      <c r="C3179" s="4" t="str">
        <f>IFERROR(__xludf.DUMMYFUNCTION("""COMPUTED_VALUE"""),"PHI")</f>
        <v>PHI</v>
      </c>
      <c r="D3179" s="4" t="str">
        <f>IFERROR(__xludf.DUMMYFUNCTION("""COMPUTED_VALUE"""),"Rich Congo")</f>
        <v>Rich Congo</v>
      </c>
      <c r="E3179" s="4" t="str">
        <f>IFERROR(__xludf.DUMMYFUNCTION("""COMPUTED_VALUE"""),"Drexel")</f>
        <v>Drexel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</row>
    <row r="3180">
      <c r="A3180" s="4">
        <f>IFERROR(__xludf.DUMMYFUNCTION("""COMPUTED_VALUE"""),161.0)</f>
        <v>161</v>
      </c>
      <c r="B3180" s="4">
        <f>IFERROR(__xludf.DUMMYFUNCTION("""COMPUTED_VALUE"""),161.0)</f>
        <v>161</v>
      </c>
      <c r="C3180" s="4" t="str">
        <f>IFERROR(__xludf.DUMMYFUNCTION("""COMPUTED_VALUE"""),"LAL")</f>
        <v>LAL</v>
      </c>
      <c r="D3180" s="4" t="str">
        <f>IFERROR(__xludf.DUMMYFUNCTION("""COMPUTED_VALUE"""),"Richard Haenisch")</f>
        <v>Richard Haenisch</v>
      </c>
      <c r="E3180" s="4" t="str">
        <f>IFERROR(__xludf.DUMMYFUNCTION("""COMPUTED_VALUE"""),"Chaminade University of Honolulu")</f>
        <v>Chaminade University of Honolulu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</row>
    <row r="3181">
      <c r="A3181" s="4">
        <f>IFERROR(__xludf.DUMMYFUNCTION("""COMPUTED_VALUE"""),162.0)</f>
        <v>162</v>
      </c>
      <c r="B3181" s="4">
        <f>IFERROR(__xludf.DUMMYFUNCTION("""COMPUTED_VALUE"""),162.0)</f>
        <v>162</v>
      </c>
      <c r="C3181" s="4" t="str">
        <f>IFERROR(__xludf.DUMMYFUNCTION("""COMPUTED_VALUE"""),"BOS")</f>
        <v>BOS</v>
      </c>
      <c r="D3181" s="4" t="str">
        <f>IFERROR(__xludf.DUMMYFUNCTION("""COMPUTED_VALUE"""),"Mark Van Valkenburg")</f>
        <v>Mark Van Valkenburg</v>
      </c>
      <c r="E3181" s="4" t="str">
        <f>IFERROR(__xludf.DUMMYFUNCTION("""COMPUTED_VALUE"""),"Framingham State College")</f>
        <v>Framingham State College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</row>
    <row r="3182">
      <c r="A3182" s="4"/>
      <c r="B3182" s="4"/>
      <c r="C3182" s="4"/>
      <c r="D3182" s="4" t="str">
        <f>IFERROR(__xludf.DUMMYFUNCTION("""COMPUTED_VALUE"""),"Round 8")</f>
        <v>Round 8</v>
      </c>
      <c r="E3182" s="4"/>
      <c r="F3182" s="4"/>
      <c r="G3182" s="4" t="str">
        <f>IFERROR(__xludf.DUMMYFUNCTION("""COMPUTED_VALUE"""),"Totals")</f>
        <v>Totals</v>
      </c>
      <c r="H3182" s="4"/>
      <c r="I3182" s="4"/>
      <c r="J3182" s="4"/>
      <c r="K3182" s="4"/>
      <c r="L3182" s="4" t="str">
        <f>IFERROR(__xludf.DUMMYFUNCTION("""COMPUTED_VALUE"""),"Shooting")</f>
        <v>Shooting</v>
      </c>
      <c r="M3182" s="4"/>
      <c r="N3182" s="4"/>
      <c r="O3182" s="4" t="str">
        <f>IFERROR(__xludf.DUMMYFUNCTION("""COMPUTED_VALUE"""),"Per Game")</f>
        <v>Per Game</v>
      </c>
      <c r="P3182" s="4"/>
      <c r="Q3182" s="4"/>
      <c r="R3182" s="4"/>
      <c r="S3182" s="4" t="str">
        <f>IFERROR(__xludf.DUMMYFUNCTION("""COMPUTED_VALUE"""),"Advanced")</f>
        <v>Advanced</v>
      </c>
      <c r="T3182" s="4"/>
      <c r="U3182" s="4"/>
      <c r="V3182" s="4"/>
    </row>
    <row r="3183">
      <c r="A3183" s="4" t="str">
        <f>IFERROR(__xludf.DUMMYFUNCTION("""COMPUTED_VALUE"""),"Rk")</f>
        <v>Rk</v>
      </c>
      <c r="B3183" s="4" t="str">
        <f>IFERROR(__xludf.DUMMYFUNCTION("""COMPUTED_VALUE"""),"Pk")</f>
        <v>Pk</v>
      </c>
      <c r="C3183" s="4" t="str">
        <f>IFERROR(__xludf.DUMMYFUNCTION("""COMPUTED_VALUE"""),"Tm")</f>
        <v>Tm</v>
      </c>
      <c r="D3183" s="4" t="str">
        <f>IFERROR(__xludf.DUMMYFUNCTION("""COMPUTED_VALUE"""),"Player")</f>
        <v>Player</v>
      </c>
      <c r="E3183" s="4" t="str">
        <f>IFERROR(__xludf.DUMMYFUNCTION("""COMPUTED_VALUE"""),"College")</f>
        <v>College</v>
      </c>
      <c r="F3183" s="4" t="str">
        <f>IFERROR(__xludf.DUMMYFUNCTION("""COMPUTED_VALUE"""),"Yrs")</f>
        <v>Yrs</v>
      </c>
      <c r="G3183" s="4" t="str">
        <f>IFERROR(__xludf.DUMMYFUNCTION("""COMPUTED_VALUE"""),"G")</f>
        <v>G</v>
      </c>
      <c r="H3183" s="4" t="str">
        <f>IFERROR(__xludf.DUMMYFUNCTION("""COMPUTED_VALUE"""),"MP")</f>
        <v>MP</v>
      </c>
      <c r="I3183" s="4" t="str">
        <f>IFERROR(__xludf.DUMMYFUNCTION("""COMPUTED_VALUE"""),"PTS")</f>
        <v>PTS</v>
      </c>
      <c r="J3183" s="4" t="str">
        <f>IFERROR(__xludf.DUMMYFUNCTION("""COMPUTED_VALUE"""),"TRB")</f>
        <v>TRB</v>
      </c>
      <c r="K3183" s="4" t="str">
        <f>IFERROR(__xludf.DUMMYFUNCTION("""COMPUTED_VALUE"""),"AST")</f>
        <v>AST</v>
      </c>
      <c r="L3183" s="4" t="str">
        <f>IFERROR(__xludf.DUMMYFUNCTION("""COMPUTED_VALUE"""),"FG%")</f>
        <v>FG%</v>
      </c>
      <c r="M3183" s="4" t="str">
        <f>IFERROR(__xludf.DUMMYFUNCTION("""COMPUTED_VALUE"""),"3P%")</f>
        <v>3P%</v>
      </c>
      <c r="N3183" s="4" t="str">
        <f>IFERROR(__xludf.DUMMYFUNCTION("""COMPUTED_VALUE"""),"FT%")</f>
        <v>FT%</v>
      </c>
      <c r="O3183" s="4" t="str">
        <f>IFERROR(__xludf.DUMMYFUNCTION("""COMPUTED_VALUE"""),"MP")</f>
        <v>MP</v>
      </c>
      <c r="P3183" s="4" t="str">
        <f>IFERROR(__xludf.DUMMYFUNCTION("""COMPUTED_VALUE"""),"PTS")</f>
        <v>PTS</v>
      </c>
      <c r="Q3183" s="4" t="str">
        <f>IFERROR(__xludf.DUMMYFUNCTION("""COMPUTED_VALUE"""),"TRB")</f>
        <v>TRB</v>
      </c>
      <c r="R3183" s="4" t="str">
        <f>IFERROR(__xludf.DUMMYFUNCTION("""COMPUTED_VALUE"""),"AST")</f>
        <v>AST</v>
      </c>
      <c r="S3183" s="4" t="str">
        <f>IFERROR(__xludf.DUMMYFUNCTION("""COMPUTED_VALUE"""),"WS")</f>
        <v>WS</v>
      </c>
      <c r="T3183" s="4" t="str">
        <f>IFERROR(__xludf.DUMMYFUNCTION("""COMPUTED_VALUE"""),"WS/48")</f>
        <v>WS/48</v>
      </c>
      <c r="U3183" s="4" t="str">
        <f>IFERROR(__xludf.DUMMYFUNCTION("""COMPUTED_VALUE"""),"BPM")</f>
        <v>BPM</v>
      </c>
      <c r="V3183" s="4" t="str">
        <f>IFERROR(__xludf.DUMMYFUNCTION("""COMPUTED_VALUE"""),"VORP")</f>
        <v>VORP</v>
      </c>
    </row>
    <row r="3184">
      <c r="A3184" s="4">
        <f>IFERROR(__xludf.DUMMYFUNCTION("""COMPUTED_VALUE"""),163.0)</f>
        <v>163</v>
      </c>
      <c r="B3184" s="4">
        <f>IFERROR(__xludf.DUMMYFUNCTION("""COMPUTED_VALUE"""),163.0)</f>
        <v>163</v>
      </c>
      <c r="C3184" s="4" t="str">
        <f>IFERROR(__xludf.DUMMYFUNCTION("""COMPUTED_VALUE"""),"IND")</f>
        <v>IND</v>
      </c>
      <c r="D3184" s="4" t="str">
        <f>IFERROR(__xludf.DUMMYFUNCTION("""COMPUTED_VALUE"""),"Tom Heitz")</f>
        <v>Tom Heitz</v>
      </c>
      <c r="E3184" s="4" t="str">
        <f>IFERROR(__xludf.DUMMYFUNCTION("""COMPUTED_VALUE"""),"Kentucky")</f>
        <v>Kentucky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</row>
    <row r="3185">
      <c r="A3185" s="4">
        <f>IFERROR(__xludf.DUMMYFUNCTION("""COMPUTED_VALUE"""),164.0)</f>
        <v>164</v>
      </c>
      <c r="B3185" s="4">
        <f>IFERROR(__xludf.DUMMYFUNCTION("""COMPUTED_VALUE"""),164.0)</f>
        <v>164</v>
      </c>
      <c r="C3185" s="4" t="str">
        <f>IFERROR(__xludf.DUMMYFUNCTION("""COMPUTED_VALUE"""),"CHI")</f>
        <v>CHI</v>
      </c>
      <c r="D3185" s="4" t="str">
        <f>IFERROR(__xludf.DUMMYFUNCTION("""COMPUTED_VALUE"""),"Brett Crawford")</f>
        <v>Brett Crawford</v>
      </c>
      <c r="E3185" s="4" t="str">
        <f>IFERROR(__xludf.DUMMYFUNCTION("""COMPUTED_VALUE"""),"Alliant International University")</f>
        <v>Alliant International University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</row>
    <row r="3186">
      <c r="A3186" s="4">
        <f>IFERROR(__xludf.DUMMYFUNCTION("""COMPUTED_VALUE"""),165.0)</f>
        <v>165</v>
      </c>
      <c r="B3186" s="4">
        <f>IFERROR(__xludf.DUMMYFUNCTION("""COMPUTED_VALUE"""),165.0)</f>
        <v>165</v>
      </c>
      <c r="C3186" s="4" t="str">
        <f>IFERROR(__xludf.DUMMYFUNCTION("""COMPUTED_VALUE"""),"CLE")</f>
        <v>CLE</v>
      </c>
      <c r="D3186" s="4" t="str">
        <f>IFERROR(__xludf.DUMMYFUNCTION("""COMPUTED_VALUE"""),"Elliot Beard")</f>
        <v>Elliot Beard</v>
      </c>
      <c r="E3186" s="4" t="str">
        <f>IFERROR(__xludf.DUMMYFUNCTION("""COMPUTED_VALUE"""),"Oberlin College")</f>
        <v>Oberlin College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</row>
    <row r="3187">
      <c r="A3187" s="4">
        <f>IFERROR(__xludf.DUMMYFUNCTION("""COMPUTED_VALUE"""),166.0)</f>
        <v>166</v>
      </c>
      <c r="B3187" s="4">
        <f>IFERROR(__xludf.DUMMYFUNCTION("""COMPUTED_VALUE"""),166.0)</f>
        <v>166</v>
      </c>
      <c r="C3187" s="4" t="str">
        <f>IFERROR(__xludf.DUMMYFUNCTION("""COMPUTED_VALUE"""),"HOU")</f>
        <v>HOU</v>
      </c>
      <c r="D3187" s="4" t="str">
        <f>IFERROR(__xludf.DUMMYFUNCTION("""COMPUTED_VALUE"""),"Greg Wolff")</f>
        <v>Greg Wolff</v>
      </c>
      <c r="E3187" s="4" t="str">
        <f>IFERROR(__xludf.DUMMYFUNCTION("""COMPUTED_VALUE"""),"Angelo State University")</f>
        <v>Angelo State University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</row>
    <row r="3188">
      <c r="A3188" s="4">
        <f>IFERROR(__xludf.DUMMYFUNCTION("""COMPUTED_VALUE"""),167.0)</f>
        <v>167</v>
      </c>
      <c r="B3188" s="4">
        <f>IFERROR(__xludf.DUMMYFUNCTION("""COMPUTED_VALUE"""),167.0)</f>
        <v>167</v>
      </c>
      <c r="C3188" s="4" t="str">
        <f>IFERROR(__xludf.DUMMYFUNCTION("""COMPUTED_VALUE"""),"LAC")</f>
        <v>LAC</v>
      </c>
      <c r="D3188" s="4" t="str">
        <f>IFERROR(__xludf.DUMMYFUNCTION("""COMPUTED_VALUE"""),"Jim McLoughlin")</f>
        <v>Jim McLoughlin</v>
      </c>
      <c r="E3188" s="4" t="str">
        <f>IFERROR(__xludf.DUMMYFUNCTION("""COMPUTED_VALUE"""),"Temple")</f>
        <v>Temple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</row>
    <row r="3189">
      <c r="A3189" s="4">
        <f>IFERROR(__xludf.DUMMYFUNCTION("""COMPUTED_VALUE"""),168.0)</f>
        <v>168</v>
      </c>
      <c r="B3189" s="4">
        <f>IFERROR(__xludf.DUMMYFUNCTION("""COMPUTED_VALUE"""),168.0)</f>
        <v>168</v>
      </c>
      <c r="C3189" s="4" t="str">
        <f>IFERROR(__xludf.DUMMYFUNCTION("""COMPUTED_VALUE"""),"WSB")</f>
        <v>WSB</v>
      </c>
      <c r="D3189" s="4" t="str">
        <f>IFERROR(__xludf.DUMMYFUNCTION("""COMPUTED_VALUE"""),"Darryl Odom")</f>
        <v>Darryl Odom</v>
      </c>
      <c r="E3189" s="4" t="str">
        <f>IFERROR(__xludf.DUMMYFUNCTION("""COMPUTED_VALUE"""),"West Virginia Wesleyan College")</f>
        <v>West Virginia Wesleyan College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</row>
    <row r="3190">
      <c r="A3190" s="4">
        <f>IFERROR(__xludf.DUMMYFUNCTION("""COMPUTED_VALUE"""),169.0)</f>
        <v>169</v>
      </c>
      <c r="B3190" s="4">
        <f>IFERROR(__xludf.DUMMYFUNCTION("""COMPUTED_VALUE"""),169.0)</f>
        <v>169</v>
      </c>
      <c r="C3190" s="4" t="str">
        <f>IFERROR(__xludf.DUMMYFUNCTION("""COMPUTED_VALUE"""),"GSW")</f>
        <v>GSW</v>
      </c>
      <c r="D3190" s="4" t="str">
        <f>IFERROR(__xludf.DUMMYFUNCTION("""COMPUTED_VALUE"""),"Paul Brozovich")</f>
        <v>Paul Brozovich</v>
      </c>
      <c r="E3190" s="4" t="str">
        <f>IFERROR(__xludf.DUMMYFUNCTION("""COMPUTED_VALUE"""),"UNLV")</f>
        <v>UNLV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</row>
    <row r="3191">
      <c r="A3191" s="4">
        <f>IFERROR(__xludf.DUMMYFUNCTION("""COMPUTED_VALUE"""),170.0)</f>
        <v>170</v>
      </c>
      <c r="B3191" s="4">
        <f>IFERROR(__xludf.DUMMYFUNCTION("""COMPUTED_VALUE"""),170.0)</f>
        <v>170</v>
      </c>
      <c r="C3191" s="4" t="str">
        <f>IFERROR(__xludf.DUMMYFUNCTION("""COMPUTED_VALUE"""),"SAS")</f>
        <v>SAS</v>
      </c>
      <c r="D3191" s="4" t="str">
        <f>IFERROR(__xludf.DUMMYFUNCTION("""COMPUTED_VALUE"""),"Dan Tarkanian")</f>
        <v>Dan Tarkanian</v>
      </c>
      <c r="E3191" s="4" t="str">
        <f>IFERROR(__xludf.DUMMYFUNCTION("""COMPUTED_VALUE"""),"UNLV")</f>
        <v>UNLV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</row>
    <row r="3192">
      <c r="A3192" s="4">
        <f>IFERROR(__xludf.DUMMYFUNCTION("""COMPUTED_VALUE"""),171.0)</f>
        <v>171</v>
      </c>
      <c r="B3192" s="4">
        <f>IFERROR(__xludf.DUMMYFUNCTION("""COMPUTED_VALUE"""),171.0)</f>
        <v>171</v>
      </c>
      <c r="C3192" s="4" t="str">
        <f>IFERROR(__xludf.DUMMYFUNCTION("""COMPUTED_VALUE"""),"DEN")</f>
        <v>DEN</v>
      </c>
      <c r="D3192" s="4" t="str">
        <f>IFERROR(__xludf.DUMMYFUNCTION("""COMPUTED_VALUE"""),"Bill Wendlandt")</f>
        <v>Bill Wendlandt</v>
      </c>
      <c r="E3192" s="4" t="str">
        <f>IFERROR(__xludf.DUMMYFUNCTION("""COMPUTED_VALUE"""),"Texas")</f>
        <v>Texas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</row>
    <row r="3193">
      <c r="A3193" s="4">
        <f>IFERROR(__xludf.DUMMYFUNCTION("""COMPUTED_VALUE"""),172.0)</f>
        <v>172</v>
      </c>
      <c r="B3193" s="4">
        <f>IFERROR(__xludf.DUMMYFUNCTION("""COMPUTED_VALUE"""),172.0)</f>
        <v>172</v>
      </c>
      <c r="C3193" s="4" t="str">
        <f>IFERROR(__xludf.DUMMYFUNCTION("""COMPUTED_VALUE"""),"KCK")</f>
        <v>KCK</v>
      </c>
      <c r="D3193" s="4" t="str">
        <f>IFERROR(__xludf.DUMMYFUNCTION("""COMPUTED_VALUE"""),"Nate Rollins")</f>
        <v>Nate Rollins</v>
      </c>
      <c r="E3193" s="4" t="str">
        <f>IFERROR(__xludf.DUMMYFUNCTION("""COMPUTED_VALUE"""),"Fort Hays State University")</f>
        <v>Fort Hays State University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</row>
    <row r="3194">
      <c r="A3194" s="4">
        <f>IFERROR(__xludf.DUMMYFUNCTION("""COMPUTED_VALUE"""),173.0)</f>
        <v>173</v>
      </c>
      <c r="B3194" s="4">
        <f>IFERROR(__xludf.DUMMYFUNCTION("""COMPUTED_VALUE"""),173.0)</f>
        <v>173</v>
      </c>
      <c r="C3194" s="4" t="str">
        <f>IFERROR(__xludf.DUMMYFUNCTION("""COMPUTED_VALUE"""),"ATL")</f>
        <v>ATL</v>
      </c>
      <c r="D3194" s="4" t="str">
        <f>IFERROR(__xludf.DUMMYFUNCTION("""COMPUTED_VALUE"""),"Robert Brown")</f>
        <v>Robert Brown</v>
      </c>
      <c r="E3194" s="4" t="str">
        <f>IFERROR(__xludf.DUMMYFUNCTION("""COMPUTED_VALUE"""),"Long Island University")</f>
        <v>Long Island University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</row>
    <row r="3195">
      <c r="A3195" s="4">
        <f>IFERROR(__xludf.DUMMYFUNCTION("""COMPUTED_VALUE"""),174.0)</f>
        <v>174</v>
      </c>
      <c r="B3195" s="4">
        <f>IFERROR(__xludf.DUMMYFUNCTION("""COMPUTED_VALUE"""),174.0)</f>
        <v>174</v>
      </c>
      <c r="C3195" s="4" t="str">
        <f>IFERROR(__xludf.DUMMYFUNCTION("""COMPUTED_VALUE"""),"PHO")</f>
        <v>PHO</v>
      </c>
      <c r="D3195" s="4" t="str">
        <f>IFERROR(__xludf.DUMMYFUNCTION("""COMPUTED_VALUE"""),"Mark Fothergill")</f>
        <v>Mark Fothergill</v>
      </c>
      <c r="E3195" s="4" t="str">
        <f>IFERROR(__xludf.DUMMYFUNCTION("""COMPUTED_VALUE"""),"Maryland")</f>
        <v>Maryland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</row>
    <row r="3196">
      <c r="A3196" s="4">
        <f>IFERROR(__xludf.DUMMYFUNCTION("""COMPUTED_VALUE"""),175.0)</f>
        <v>175</v>
      </c>
      <c r="B3196" s="4">
        <f>IFERROR(__xludf.DUMMYFUNCTION("""COMPUTED_VALUE"""),175.0)</f>
        <v>175</v>
      </c>
      <c r="C3196" s="4" t="str">
        <f>IFERROR(__xludf.DUMMYFUNCTION("""COMPUTED_VALUE"""),"SEA")</f>
        <v>SEA</v>
      </c>
      <c r="D3196" s="4" t="str">
        <f>IFERROR(__xludf.DUMMYFUNCTION("""COMPUTED_VALUE"""),"Jerry McMillan")</f>
        <v>Jerry McMillan</v>
      </c>
      <c r="E3196" s="4" t="str">
        <f>IFERROR(__xludf.DUMMYFUNCTION("""COMPUTED_VALUE"""),"DePaul")</f>
        <v>DePaul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</row>
    <row r="3197">
      <c r="A3197" s="4">
        <f>IFERROR(__xludf.DUMMYFUNCTION("""COMPUTED_VALUE"""),176.0)</f>
        <v>176</v>
      </c>
      <c r="B3197" s="4">
        <f>IFERROR(__xludf.DUMMYFUNCTION("""COMPUTED_VALUE"""),176.0)</f>
        <v>176</v>
      </c>
      <c r="C3197" s="4" t="str">
        <f>IFERROR(__xludf.DUMMYFUNCTION("""COMPUTED_VALUE"""),"DAL")</f>
        <v>DAL</v>
      </c>
      <c r="D3197" s="4" t="str">
        <f>IFERROR(__xludf.DUMMYFUNCTION("""COMPUTED_VALUE"""),"Leroy Sutton")</f>
        <v>Leroy Sutton</v>
      </c>
      <c r="E3197" s="4" t="str">
        <f>IFERROR(__xludf.DUMMYFUNCTION("""COMPUTED_VALUE"""),"Arkansas")</f>
        <v>Arkansas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</row>
    <row r="3198">
      <c r="A3198" s="4">
        <f>IFERROR(__xludf.DUMMYFUNCTION("""COMPUTED_VALUE"""),177.0)</f>
        <v>177</v>
      </c>
      <c r="B3198" s="4">
        <f>IFERROR(__xludf.DUMMYFUNCTION("""COMPUTED_VALUE"""),177.0)</f>
        <v>177</v>
      </c>
      <c r="C3198" s="4" t="str">
        <f>IFERROR(__xludf.DUMMYFUNCTION("""COMPUTED_VALUE"""),"NJN")</f>
        <v>NJN</v>
      </c>
      <c r="D3198" s="4" t="str">
        <f>IFERROR(__xludf.DUMMYFUNCTION("""COMPUTED_VALUE"""),"Chris Winans")</f>
        <v>Chris Winans</v>
      </c>
      <c r="E3198" s="4" t="str">
        <f>IFERROR(__xludf.DUMMYFUNCTION("""COMPUTED_VALUE"""),"Utah")</f>
        <v>Utah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</row>
    <row r="3199">
      <c r="A3199" s="4">
        <f>IFERROR(__xludf.DUMMYFUNCTION("""COMPUTED_VALUE"""),178.0)</f>
        <v>178</v>
      </c>
      <c r="B3199" s="4">
        <f>IFERROR(__xludf.DUMMYFUNCTION("""COMPUTED_VALUE"""),178.0)</f>
        <v>178</v>
      </c>
      <c r="C3199" s="4" t="str">
        <f>IFERROR(__xludf.DUMMYFUNCTION("""COMPUTED_VALUE"""),"UTA")</f>
        <v>UTA</v>
      </c>
      <c r="D3199" s="4" t="str">
        <f>IFERROR(__xludf.DUMMYFUNCTION("""COMPUTED_VALUE"""),"Eric Booker")</f>
        <v>Eric Booker</v>
      </c>
      <c r="E3199" s="4" t="str">
        <f>IFERROR(__xludf.DUMMYFUNCTION("""COMPUTED_VALUE"""),"UNLV")</f>
        <v>UNLV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</row>
    <row r="3200">
      <c r="A3200" s="4">
        <f>IFERROR(__xludf.DUMMYFUNCTION("""COMPUTED_VALUE"""),179.0)</f>
        <v>179</v>
      </c>
      <c r="B3200" s="4">
        <f>IFERROR(__xludf.DUMMYFUNCTION("""COMPUTED_VALUE"""),179.0)</f>
        <v>179</v>
      </c>
      <c r="C3200" s="4" t="str">
        <f>IFERROR(__xludf.DUMMYFUNCTION("""COMPUTED_VALUE"""),"NYK")</f>
        <v>NYK</v>
      </c>
      <c r="D3200" s="4" t="str">
        <f>IFERROR(__xludf.DUMMYFUNCTION("""COMPUTED_VALUE"""),"Ricky Tunstall")</f>
        <v>Ricky Tunstall</v>
      </c>
      <c r="E3200" s="4" t="str">
        <f>IFERROR(__xludf.DUMMYFUNCTION("""COMPUTED_VALUE"""),"Youngstown State University")</f>
        <v>Youngstown State University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</row>
    <row r="3201">
      <c r="A3201" s="4">
        <f>IFERROR(__xludf.DUMMYFUNCTION("""COMPUTED_VALUE"""),180.0)</f>
        <v>180</v>
      </c>
      <c r="B3201" s="4">
        <f>IFERROR(__xludf.DUMMYFUNCTION("""COMPUTED_VALUE"""),180.0)</f>
        <v>180</v>
      </c>
      <c r="C3201" s="4" t="str">
        <f>IFERROR(__xludf.DUMMYFUNCTION("""COMPUTED_VALUE"""),"POR")</f>
        <v>POR</v>
      </c>
      <c r="D3201" s="4" t="str">
        <f>IFERROR(__xludf.DUMMYFUNCTION("""COMPUTED_VALUE"""),"Steve Flint")</f>
        <v>Steve Flint</v>
      </c>
      <c r="E3201" s="4" t="str">
        <f>IFERROR(__xludf.DUMMYFUNCTION("""COMPUTED_VALUE"""),"UC San Diego")</f>
        <v>UC San Diego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</row>
    <row r="3202">
      <c r="A3202" s="4">
        <f>IFERROR(__xludf.DUMMYFUNCTION("""COMPUTED_VALUE"""),181.0)</f>
        <v>181</v>
      </c>
      <c r="B3202" s="4">
        <f>IFERROR(__xludf.DUMMYFUNCTION("""COMPUTED_VALUE"""),181.0)</f>
        <v>181</v>
      </c>
      <c r="C3202" s="4" t="str">
        <f>IFERROR(__xludf.DUMMYFUNCTION("""COMPUTED_VALUE"""),"DET")</f>
        <v>DET</v>
      </c>
      <c r="D3202" s="4" t="str">
        <f>IFERROR(__xludf.DUMMYFUNCTION("""COMPUTED_VALUE"""),"Dale Roberts")</f>
        <v>Dale Roberts</v>
      </c>
      <c r="E3202" s="4" t="str">
        <f>IFERROR(__xludf.DUMMYFUNCTION("""COMPUTED_VALUE"""),"Appalachian State University")</f>
        <v>Appalachian State University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</row>
    <row r="3203">
      <c r="A3203" s="4">
        <f>IFERROR(__xludf.DUMMYFUNCTION("""COMPUTED_VALUE"""),182.0)</f>
        <v>182</v>
      </c>
      <c r="B3203" s="4">
        <f>IFERROR(__xludf.DUMMYFUNCTION("""COMPUTED_VALUE"""),182.0)</f>
        <v>182</v>
      </c>
      <c r="C3203" s="4" t="str">
        <f>IFERROR(__xludf.DUMMYFUNCTION("""COMPUTED_VALUE"""),"MIL")</f>
        <v>MIL</v>
      </c>
      <c r="D3203" s="4" t="str">
        <f>IFERROR(__xludf.DUMMYFUNCTION("""COMPUTED_VALUE"""),"Brad Jergenson")</f>
        <v>Brad Jergenson</v>
      </c>
      <c r="E3203" s="4" t="str">
        <f>IFERROR(__xludf.DUMMYFUNCTION("""COMPUTED_VALUE"""),"South Carolina")</f>
        <v>South Carolina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</row>
    <row r="3204">
      <c r="A3204" s="4">
        <f>IFERROR(__xludf.DUMMYFUNCTION("""COMPUTED_VALUE"""),183.0)</f>
        <v>183</v>
      </c>
      <c r="B3204" s="4">
        <f>IFERROR(__xludf.DUMMYFUNCTION("""COMPUTED_VALUE"""),183.0)</f>
        <v>183</v>
      </c>
      <c r="C3204" s="4" t="str">
        <f>IFERROR(__xludf.DUMMYFUNCTION("""COMPUTED_VALUE"""),"PHI")</f>
        <v>PHI</v>
      </c>
      <c r="D3204" s="4" t="str">
        <f>IFERROR(__xludf.DUMMYFUNCTION("""COMPUTED_VALUE"""),"Frank Dobbs")</f>
        <v>Frank Dobbs</v>
      </c>
      <c r="E3204" s="4" t="str">
        <f>IFERROR(__xludf.DUMMYFUNCTION("""COMPUTED_VALUE"""),"Villanova")</f>
        <v>Villanova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</row>
    <row r="3205">
      <c r="A3205" s="4">
        <f>IFERROR(__xludf.DUMMYFUNCTION("""COMPUTED_VALUE"""),184.0)</f>
        <v>184</v>
      </c>
      <c r="B3205" s="4">
        <f>IFERROR(__xludf.DUMMYFUNCTION("""COMPUTED_VALUE"""),184.0)</f>
        <v>184</v>
      </c>
      <c r="C3205" s="4" t="str">
        <f>IFERROR(__xludf.DUMMYFUNCTION("""COMPUTED_VALUE"""),"BOS")</f>
        <v>BOS</v>
      </c>
      <c r="D3205" s="4" t="str">
        <f>IFERROR(__xludf.DUMMYFUNCTION("""COMPUTED_VALUE"""),"Champ Godbolt")</f>
        <v>Champ Godbolt</v>
      </c>
      <c r="E3205" s="4" t="str">
        <f>IFERROR(__xludf.DUMMYFUNCTION("""COMPUTED_VALUE"""),"Holy Cross")</f>
        <v>Holy Cross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</row>
    <row r="3206">
      <c r="A3206" s="4"/>
      <c r="B3206" s="4"/>
      <c r="C3206" s="4"/>
      <c r="D3206" s="4" t="str">
        <f>IFERROR(__xludf.DUMMYFUNCTION("""COMPUTED_VALUE"""),"Round 9")</f>
        <v>Round 9</v>
      </c>
      <c r="E3206" s="4"/>
      <c r="F3206" s="4"/>
      <c r="G3206" s="4" t="str">
        <f>IFERROR(__xludf.DUMMYFUNCTION("""COMPUTED_VALUE"""),"Totals")</f>
        <v>Totals</v>
      </c>
      <c r="H3206" s="4"/>
      <c r="I3206" s="4"/>
      <c r="J3206" s="4"/>
      <c r="K3206" s="4"/>
      <c r="L3206" s="4" t="str">
        <f>IFERROR(__xludf.DUMMYFUNCTION("""COMPUTED_VALUE"""),"Shooting")</f>
        <v>Shooting</v>
      </c>
      <c r="M3206" s="4"/>
      <c r="N3206" s="4"/>
      <c r="O3206" s="4" t="str">
        <f>IFERROR(__xludf.DUMMYFUNCTION("""COMPUTED_VALUE"""),"Per Game")</f>
        <v>Per Game</v>
      </c>
      <c r="P3206" s="4"/>
      <c r="Q3206" s="4"/>
      <c r="R3206" s="4"/>
      <c r="S3206" s="4" t="str">
        <f>IFERROR(__xludf.DUMMYFUNCTION("""COMPUTED_VALUE"""),"Advanced")</f>
        <v>Advanced</v>
      </c>
      <c r="T3206" s="4"/>
      <c r="U3206" s="4"/>
      <c r="V3206" s="4"/>
    </row>
    <row r="3207">
      <c r="A3207" s="4" t="str">
        <f>IFERROR(__xludf.DUMMYFUNCTION("""COMPUTED_VALUE"""),"Rk")</f>
        <v>Rk</v>
      </c>
      <c r="B3207" s="4" t="str">
        <f>IFERROR(__xludf.DUMMYFUNCTION("""COMPUTED_VALUE"""),"Pk")</f>
        <v>Pk</v>
      </c>
      <c r="C3207" s="4" t="str">
        <f>IFERROR(__xludf.DUMMYFUNCTION("""COMPUTED_VALUE"""),"Tm")</f>
        <v>Tm</v>
      </c>
      <c r="D3207" s="4" t="str">
        <f>IFERROR(__xludf.DUMMYFUNCTION("""COMPUTED_VALUE"""),"Player")</f>
        <v>Player</v>
      </c>
      <c r="E3207" s="4" t="str">
        <f>IFERROR(__xludf.DUMMYFUNCTION("""COMPUTED_VALUE"""),"College")</f>
        <v>College</v>
      </c>
      <c r="F3207" s="4" t="str">
        <f>IFERROR(__xludf.DUMMYFUNCTION("""COMPUTED_VALUE"""),"Yrs")</f>
        <v>Yrs</v>
      </c>
      <c r="G3207" s="4" t="str">
        <f>IFERROR(__xludf.DUMMYFUNCTION("""COMPUTED_VALUE"""),"G")</f>
        <v>G</v>
      </c>
      <c r="H3207" s="4" t="str">
        <f>IFERROR(__xludf.DUMMYFUNCTION("""COMPUTED_VALUE"""),"MP")</f>
        <v>MP</v>
      </c>
      <c r="I3207" s="4" t="str">
        <f>IFERROR(__xludf.DUMMYFUNCTION("""COMPUTED_VALUE"""),"PTS")</f>
        <v>PTS</v>
      </c>
      <c r="J3207" s="4" t="str">
        <f>IFERROR(__xludf.DUMMYFUNCTION("""COMPUTED_VALUE"""),"TRB")</f>
        <v>TRB</v>
      </c>
      <c r="K3207" s="4" t="str">
        <f>IFERROR(__xludf.DUMMYFUNCTION("""COMPUTED_VALUE"""),"AST")</f>
        <v>AST</v>
      </c>
      <c r="L3207" s="4" t="str">
        <f>IFERROR(__xludf.DUMMYFUNCTION("""COMPUTED_VALUE"""),"FG%")</f>
        <v>FG%</v>
      </c>
      <c r="M3207" s="4" t="str">
        <f>IFERROR(__xludf.DUMMYFUNCTION("""COMPUTED_VALUE"""),"3P%")</f>
        <v>3P%</v>
      </c>
      <c r="N3207" s="4" t="str">
        <f>IFERROR(__xludf.DUMMYFUNCTION("""COMPUTED_VALUE"""),"FT%")</f>
        <v>FT%</v>
      </c>
      <c r="O3207" s="4" t="str">
        <f>IFERROR(__xludf.DUMMYFUNCTION("""COMPUTED_VALUE"""),"MP")</f>
        <v>MP</v>
      </c>
      <c r="P3207" s="4" t="str">
        <f>IFERROR(__xludf.DUMMYFUNCTION("""COMPUTED_VALUE"""),"PTS")</f>
        <v>PTS</v>
      </c>
      <c r="Q3207" s="4" t="str">
        <f>IFERROR(__xludf.DUMMYFUNCTION("""COMPUTED_VALUE"""),"TRB")</f>
        <v>TRB</v>
      </c>
      <c r="R3207" s="4" t="str">
        <f>IFERROR(__xludf.DUMMYFUNCTION("""COMPUTED_VALUE"""),"AST")</f>
        <v>AST</v>
      </c>
      <c r="S3207" s="4" t="str">
        <f>IFERROR(__xludf.DUMMYFUNCTION("""COMPUTED_VALUE"""),"WS")</f>
        <v>WS</v>
      </c>
      <c r="T3207" s="4" t="str">
        <f>IFERROR(__xludf.DUMMYFUNCTION("""COMPUTED_VALUE"""),"WS/48")</f>
        <v>WS/48</v>
      </c>
      <c r="U3207" s="4" t="str">
        <f>IFERROR(__xludf.DUMMYFUNCTION("""COMPUTED_VALUE"""),"BPM")</f>
        <v>BPM</v>
      </c>
      <c r="V3207" s="4" t="str">
        <f>IFERROR(__xludf.DUMMYFUNCTION("""COMPUTED_VALUE"""),"VORP")</f>
        <v>VORP</v>
      </c>
    </row>
    <row r="3208">
      <c r="A3208" s="4">
        <f>IFERROR(__xludf.DUMMYFUNCTION("""COMPUTED_VALUE"""),185.0)</f>
        <v>185</v>
      </c>
      <c r="B3208" s="4">
        <f>IFERROR(__xludf.DUMMYFUNCTION("""COMPUTED_VALUE"""),185.0)</f>
        <v>185</v>
      </c>
      <c r="C3208" s="4" t="str">
        <f>IFERROR(__xludf.DUMMYFUNCTION("""COMPUTED_VALUE"""),"IND")</f>
        <v>IND</v>
      </c>
      <c r="D3208" s="4" t="str">
        <f>IFERROR(__xludf.DUMMYFUNCTION("""COMPUTED_VALUE"""),"Brian Martin")</f>
        <v>Brian Martin</v>
      </c>
      <c r="E3208" s="4" t="str">
        <f>IFERROR(__xludf.DUMMYFUNCTION("""COMPUTED_VALUE"""),"Kansas")</f>
        <v>Kansas</v>
      </c>
      <c r="F3208" s="4">
        <f>IFERROR(__xludf.DUMMYFUNCTION("""COMPUTED_VALUE"""),1.0)</f>
        <v>1</v>
      </c>
      <c r="G3208" s="4">
        <f>IFERROR(__xludf.DUMMYFUNCTION("""COMPUTED_VALUE"""),8.0)</f>
        <v>8</v>
      </c>
      <c r="H3208" s="4">
        <f>IFERROR(__xludf.DUMMYFUNCTION("""COMPUTED_VALUE"""),21.0)</f>
        <v>21</v>
      </c>
      <c r="I3208" s="4">
        <f>IFERROR(__xludf.DUMMYFUNCTION("""COMPUTED_VALUE"""),6.0)</f>
        <v>6</v>
      </c>
      <c r="J3208" s="4">
        <f>IFERROR(__xludf.DUMMYFUNCTION("""COMPUTED_VALUE"""),4.0)</f>
        <v>4</v>
      </c>
      <c r="K3208" s="4">
        <f>IFERROR(__xludf.DUMMYFUNCTION("""COMPUTED_VALUE"""),0.0)</f>
        <v>0</v>
      </c>
      <c r="L3208" s="4">
        <f>IFERROR(__xludf.DUMMYFUNCTION("""COMPUTED_VALUE"""),0.429)</f>
        <v>0.429</v>
      </c>
      <c r="M3208" s="4"/>
      <c r="N3208" s="4">
        <f>IFERROR(__xludf.DUMMYFUNCTION("""COMPUTED_VALUE"""),0.0)</f>
        <v>0</v>
      </c>
      <c r="O3208" s="4">
        <f>IFERROR(__xludf.DUMMYFUNCTION("""COMPUTED_VALUE"""),2.6)</f>
        <v>2.6</v>
      </c>
      <c r="P3208" s="4">
        <f>IFERROR(__xludf.DUMMYFUNCTION("""COMPUTED_VALUE"""),0.8)</f>
        <v>0.8</v>
      </c>
      <c r="Q3208" s="4">
        <f>IFERROR(__xludf.DUMMYFUNCTION("""COMPUTED_VALUE"""),0.5)</f>
        <v>0.5</v>
      </c>
      <c r="R3208" s="4">
        <f>IFERROR(__xludf.DUMMYFUNCTION("""COMPUTED_VALUE"""),0.0)</f>
        <v>0</v>
      </c>
      <c r="S3208" s="4">
        <f>IFERROR(__xludf.DUMMYFUNCTION("""COMPUTED_VALUE"""),-0.1)</f>
        <v>-0.1</v>
      </c>
      <c r="T3208" s="4">
        <f>IFERROR(__xludf.DUMMYFUNCTION("""COMPUTED_VALUE"""),-0.132)</f>
        <v>-0.132</v>
      </c>
      <c r="U3208" s="4">
        <f>IFERROR(__xludf.DUMMYFUNCTION("""COMPUTED_VALUE"""),-14.2)</f>
        <v>-14.2</v>
      </c>
      <c r="V3208" s="4">
        <f>IFERROR(__xludf.DUMMYFUNCTION("""COMPUTED_VALUE"""),-0.1)</f>
        <v>-0.1</v>
      </c>
    </row>
    <row r="3209">
      <c r="A3209" s="4">
        <f>IFERROR(__xludf.DUMMYFUNCTION("""COMPUTED_VALUE"""),186.0)</f>
        <v>186</v>
      </c>
      <c r="B3209" s="4">
        <f>IFERROR(__xludf.DUMMYFUNCTION("""COMPUTED_VALUE"""),186.0)</f>
        <v>186</v>
      </c>
      <c r="C3209" s="4" t="str">
        <f>IFERROR(__xludf.DUMMYFUNCTION("""COMPUTED_VALUE"""),"CHI")</f>
        <v>CHI</v>
      </c>
      <c r="D3209" s="4" t="str">
        <f>IFERROR(__xludf.DUMMYFUNCTION("""COMPUTED_VALUE"""),"Calvin Pierce")</f>
        <v>Calvin Pierce</v>
      </c>
      <c r="E3209" s="4" t="str">
        <f>IFERROR(__xludf.DUMMYFUNCTION("""COMPUTED_VALUE"""),"Oklahoma")</f>
        <v>Oklahoma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</row>
    <row r="3210">
      <c r="A3210" s="4">
        <f>IFERROR(__xludf.DUMMYFUNCTION("""COMPUTED_VALUE"""),187.0)</f>
        <v>187</v>
      </c>
      <c r="B3210" s="4">
        <f>IFERROR(__xludf.DUMMYFUNCTION("""COMPUTED_VALUE"""),187.0)</f>
        <v>187</v>
      </c>
      <c r="C3210" s="4" t="str">
        <f>IFERROR(__xludf.DUMMYFUNCTION("""COMPUTED_VALUE"""),"CLE")</f>
        <v>CLE</v>
      </c>
      <c r="D3210" s="4" t="str">
        <f>IFERROR(__xludf.DUMMYFUNCTION("""COMPUTED_VALUE"""),"John Shimko")</f>
        <v>John Shimko</v>
      </c>
      <c r="E3210" s="4" t="str">
        <f>IFERROR(__xludf.DUMMYFUNCTION("""COMPUTED_VALUE"""),"Xavier")</f>
        <v>Xavier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</row>
    <row r="3211">
      <c r="A3211" s="4">
        <f>IFERROR(__xludf.DUMMYFUNCTION("""COMPUTED_VALUE"""),188.0)</f>
        <v>188</v>
      </c>
      <c r="B3211" s="4">
        <f>IFERROR(__xludf.DUMMYFUNCTION("""COMPUTED_VALUE"""),188.0)</f>
        <v>188</v>
      </c>
      <c r="C3211" s="4" t="str">
        <f>IFERROR(__xludf.DUMMYFUNCTION("""COMPUTED_VALUE"""),"HOU")</f>
        <v>HOU</v>
      </c>
      <c r="D3211" s="4" t="str">
        <f>IFERROR(__xludf.DUMMYFUNCTION("""COMPUTED_VALUE"""),"Bill Coon")</f>
        <v>Bill Coon</v>
      </c>
      <c r="E3211" s="4" t="str">
        <f>IFERROR(__xludf.DUMMYFUNCTION("""COMPUTED_VALUE"""),"Presbyterian College")</f>
        <v>Presbyterian College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</row>
    <row r="3212">
      <c r="A3212" s="4">
        <f>IFERROR(__xludf.DUMMYFUNCTION("""COMPUTED_VALUE"""),189.0)</f>
        <v>189</v>
      </c>
      <c r="B3212" s="4">
        <f>IFERROR(__xludf.DUMMYFUNCTION("""COMPUTED_VALUE"""),189.0)</f>
        <v>189</v>
      </c>
      <c r="C3212" s="4" t="str">
        <f>IFERROR(__xludf.DUMMYFUNCTION("""COMPUTED_VALUE"""),"LAC")</f>
        <v>LAC</v>
      </c>
      <c r="D3212" s="4" t="str">
        <f>IFERROR(__xludf.DUMMYFUNCTION("""COMPUTED_VALUE"""),"Dave Schultz")</f>
        <v>Dave Schultz</v>
      </c>
      <c r="E3212" s="4" t="str">
        <f>IFERROR(__xludf.DUMMYFUNCTION("""COMPUTED_VALUE"""),"Westmont College")</f>
        <v>Westmont College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</row>
    <row r="3213">
      <c r="A3213" s="4">
        <f>IFERROR(__xludf.DUMMYFUNCTION("""COMPUTED_VALUE"""),190.0)</f>
        <v>190</v>
      </c>
      <c r="B3213" s="4">
        <f>IFERROR(__xludf.DUMMYFUNCTION("""COMPUTED_VALUE"""),190.0)</f>
        <v>190</v>
      </c>
      <c r="C3213" s="4" t="str">
        <f>IFERROR(__xludf.DUMMYFUNCTION("""COMPUTED_VALUE"""),"WSB")</f>
        <v>WSB</v>
      </c>
      <c r="D3213" s="4" t="str">
        <f>IFERROR(__xludf.DUMMYFUNCTION("""COMPUTED_VALUE"""),"Mike Emanuel")</f>
        <v>Mike Emanuel</v>
      </c>
      <c r="E3213" s="4" t="str">
        <f>IFERROR(__xludf.DUMMYFUNCTION("""COMPUTED_VALUE"""),"University of North Carolina at Pembroke")</f>
        <v>University of North Carolina at Pembroke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</row>
    <row r="3214">
      <c r="A3214" s="4">
        <f>IFERROR(__xludf.DUMMYFUNCTION("""COMPUTED_VALUE"""),191.0)</f>
        <v>191</v>
      </c>
      <c r="B3214" s="4">
        <f>IFERROR(__xludf.DUMMYFUNCTION("""COMPUTED_VALUE"""),191.0)</f>
        <v>191</v>
      </c>
      <c r="C3214" s="4" t="str">
        <f>IFERROR(__xludf.DUMMYFUNCTION("""COMPUTED_VALUE"""),"SAS")</f>
        <v>SAS</v>
      </c>
      <c r="D3214" s="4" t="str">
        <f>IFERROR(__xludf.DUMMYFUNCTION("""COMPUTED_VALUE"""),"Melvin Roseboro")</f>
        <v>Melvin Roseboro</v>
      </c>
      <c r="E3214" s="4" t="str">
        <f>IFERROR(__xludf.DUMMYFUNCTION("""COMPUTED_VALUE"""),"St. Mary's University")</f>
        <v>St. Mary's University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</row>
    <row r="3215">
      <c r="A3215" s="4">
        <f>IFERROR(__xludf.DUMMYFUNCTION("""COMPUTED_VALUE"""),192.0)</f>
        <v>192</v>
      </c>
      <c r="B3215" s="4">
        <f>IFERROR(__xludf.DUMMYFUNCTION("""COMPUTED_VALUE"""),192.0)</f>
        <v>192</v>
      </c>
      <c r="C3215" s="4" t="str">
        <f>IFERROR(__xludf.DUMMYFUNCTION("""COMPUTED_VALUE"""),"GSW")</f>
        <v>GSW</v>
      </c>
      <c r="D3215" s="4" t="str">
        <f>IFERROR(__xludf.DUMMYFUNCTION("""COMPUTED_VALUE"""),"Mitch Arnold")</f>
        <v>Mitch Arnold</v>
      </c>
      <c r="E3215" s="4" t="str">
        <f>IFERROR(__xludf.DUMMYFUNCTION("""COMPUTED_VALUE"""),"Fresno State")</f>
        <v>Fresno State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</row>
    <row r="3216">
      <c r="A3216" s="4">
        <f>IFERROR(__xludf.DUMMYFUNCTION("""COMPUTED_VALUE"""),193.0)</f>
        <v>193</v>
      </c>
      <c r="B3216" s="4">
        <f>IFERROR(__xludf.DUMMYFUNCTION("""COMPUTED_VALUE"""),193.0)</f>
        <v>193</v>
      </c>
      <c r="C3216" s="4" t="str">
        <f>IFERROR(__xludf.DUMMYFUNCTION("""COMPUTED_VALUE"""),"KCK")</f>
        <v>KCK</v>
      </c>
      <c r="D3216" s="4" t="str">
        <f>IFERROR(__xludf.DUMMYFUNCTION("""COMPUTED_VALUE"""),"Greg Turner")</f>
        <v>Greg Turner</v>
      </c>
      <c r="E3216" s="4" t="str">
        <f>IFERROR(__xludf.DUMMYFUNCTION("""COMPUTED_VALUE"""),"Auburn")</f>
        <v>Auburn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</row>
    <row r="3217">
      <c r="A3217" s="4">
        <f>IFERROR(__xludf.DUMMYFUNCTION("""COMPUTED_VALUE"""),194.0)</f>
        <v>194</v>
      </c>
      <c r="B3217" s="4">
        <f>IFERROR(__xludf.DUMMYFUNCTION("""COMPUTED_VALUE"""),194.0)</f>
        <v>194</v>
      </c>
      <c r="C3217" s="4" t="str">
        <f>IFERROR(__xludf.DUMMYFUNCTION("""COMPUTED_VALUE"""),"DEN")</f>
        <v>DEN</v>
      </c>
      <c r="D3217" s="4" t="str">
        <f>IFERROR(__xludf.DUMMYFUNCTION("""COMPUTED_VALUE"""),"Cecil Exum")</f>
        <v>Cecil Exum</v>
      </c>
      <c r="E3217" s="4" t="str">
        <f>IFERROR(__xludf.DUMMYFUNCTION("""COMPUTED_VALUE"""),"UNC")</f>
        <v>UNC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</row>
    <row r="3218">
      <c r="A3218" s="4">
        <f>IFERROR(__xludf.DUMMYFUNCTION("""COMPUTED_VALUE"""),195.0)</f>
        <v>195</v>
      </c>
      <c r="B3218" s="4">
        <f>IFERROR(__xludf.DUMMYFUNCTION("""COMPUTED_VALUE"""),195.0)</f>
        <v>195</v>
      </c>
      <c r="C3218" s="4" t="str">
        <f>IFERROR(__xludf.DUMMYFUNCTION("""COMPUTED_VALUE"""),"ATL")</f>
        <v>ATL</v>
      </c>
      <c r="D3218" s="4" t="str">
        <f>IFERROR(__xludf.DUMMYFUNCTION("""COMPUTED_VALUE"""),"Fred Brown")</f>
        <v>Fred Brown</v>
      </c>
      <c r="E3218" s="4" t="str">
        <f>IFERROR(__xludf.DUMMYFUNCTION("""COMPUTED_VALUE"""),"Georgetown")</f>
        <v>Georgetown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</row>
    <row r="3219">
      <c r="A3219" s="4">
        <f>IFERROR(__xludf.DUMMYFUNCTION("""COMPUTED_VALUE"""),196.0)</f>
        <v>196</v>
      </c>
      <c r="B3219" s="4">
        <f>IFERROR(__xludf.DUMMYFUNCTION("""COMPUTED_VALUE"""),196.0)</f>
        <v>196</v>
      </c>
      <c r="C3219" s="4" t="str">
        <f>IFERROR(__xludf.DUMMYFUNCTION("""COMPUTED_VALUE"""),"PHO")</f>
        <v>PHO</v>
      </c>
      <c r="D3219" s="4" t="str">
        <f>IFERROR(__xludf.DUMMYFUNCTION("""COMPUTED_VALUE"""),"Buddy Cox")</f>
        <v>Buddy Cox</v>
      </c>
      <c r="E3219" s="4" t="str">
        <f>IFERROR(__xludf.DUMMYFUNCTION("""COMPUTED_VALUE"""),"Bellarmine University")</f>
        <v>Bellarmine University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</row>
    <row r="3220">
      <c r="A3220" s="4">
        <f>IFERROR(__xludf.DUMMYFUNCTION("""COMPUTED_VALUE"""),197.0)</f>
        <v>197</v>
      </c>
      <c r="B3220" s="4">
        <f>IFERROR(__xludf.DUMMYFUNCTION("""COMPUTED_VALUE"""),197.0)</f>
        <v>197</v>
      </c>
      <c r="C3220" s="4" t="str">
        <f>IFERROR(__xludf.DUMMYFUNCTION("""COMPUTED_VALUE"""),"SEA")</f>
        <v>SEA</v>
      </c>
      <c r="D3220" s="4" t="str">
        <f>IFERROR(__xludf.DUMMYFUNCTION("""COMPUTED_VALUE"""),"Mike Williams")</f>
        <v>Mike Williams</v>
      </c>
      <c r="E3220" s="4" t="str">
        <f>IFERROR(__xludf.DUMMYFUNCTION("""COMPUTED_VALUE"""),"Idaho State University")</f>
        <v>Idaho State University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</row>
    <row r="3221">
      <c r="A3221" s="4">
        <f>IFERROR(__xludf.DUMMYFUNCTION("""COMPUTED_VALUE"""),198.0)</f>
        <v>198</v>
      </c>
      <c r="B3221" s="4">
        <f>IFERROR(__xludf.DUMMYFUNCTION("""COMPUTED_VALUE"""),198.0)</f>
        <v>198</v>
      </c>
      <c r="C3221" s="4" t="str">
        <f>IFERROR(__xludf.DUMMYFUNCTION("""COMPUTED_VALUE"""),"DAL")</f>
        <v>DAL</v>
      </c>
      <c r="D3221" s="4" t="str">
        <f>IFERROR(__xludf.DUMMYFUNCTION("""COMPUTED_VALUE"""),"John Tudor")</f>
        <v>John Tudor</v>
      </c>
      <c r="E3221" s="4" t="str">
        <f>IFERROR(__xludf.DUMMYFUNCTION("""COMPUTED_VALUE"""),"LSU")</f>
        <v>LSU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</row>
    <row r="3222">
      <c r="A3222" s="4">
        <f>IFERROR(__xludf.DUMMYFUNCTION("""COMPUTED_VALUE"""),199.0)</f>
        <v>199</v>
      </c>
      <c r="B3222" s="4">
        <f>IFERROR(__xludf.DUMMYFUNCTION("""COMPUTED_VALUE"""),199.0)</f>
        <v>199</v>
      </c>
      <c r="C3222" s="4" t="str">
        <f>IFERROR(__xludf.DUMMYFUNCTION("""COMPUTED_VALUE"""),"UTA")</f>
        <v>UTA</v>
      </c>
      <c r="D3222" s="4" t="str">
        <f>IFERROR(__xludf.DUMMYFUNCTION("""COMPUTED_VALUE"""),"Kelly Knight")</f>
        <v>Kelly Knight</v>
      </c>
      <c r="E3222" s="4" t="str">
        <f>IFERROR(__xludf.DUMMYFUNCTION("""COMPUTED_VALUE"""),"Kansas")</f>
        <v>Kansas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</row>
    <row r="3223">
      <c r="A3223" s="4">
        <f>IFERROR(__xludf.DUMMYFUNCTION("""COMPUTED_VALUE"""),200.0)</f>
        <v>200</v>
      </c>
      <c r="B3223" s="4">
        <f>IFERROR(__xludf.DUMMYFUNCTION("""COMPUTED_VALUE"""),200.0)</f>
        <v>200</v>
      </c>
      <c r="C3223" s="4" t="str">
        <f>IFERROR(__xludf.DUMMYFUNCTION("""COMPUTED_VALUE"""),"NJN")</f>
        <v>NJN</v>
      </c>
      <c r="D3223" s="4" t="str">
        <f>IFERROR(__xludf.DUMMYFUNCTION("""COMPUTED_VALUE"""),"Bill Ryan")</f>
        <v>Bill Ryan</v>
      </c>
      <c r="E3223" s="4" t="str">
        <f>IFERROR(__xludf.DUMMYFUNCTION("""COMPUTED_VALUE"""),"Princeton")</f>
        <v>Princeton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</row>
    <row r="3224">
      <c r="A3224" s="4">
        <f>IFERROR(__xludf.DUMMYFUNCTION("""COMPUTED_VALUE"""),201.0)</f>
        <v>201</v>
      </c>
      <c r="B3224" s="4">
        <f>IFERROR(__xludf.DUMMYFUNCTION("""COMPUTED_VALUE"""),201.0)</f>
        <v>201</v>
      </c>
      <c r="C3224" s="4" t="str">
        <f>IFERROR(__xludf.DUMMYFUNCTION("""COMPUTED_VALUE"""),"NYK")</f>
        <v>NYK</v>
      </c>
      <c r="D3224" s="4" t="str">
        <f>IFERROR(__xludf.DUMMYFUNCTION("""COMPUTED_VALUE"""),"Marc Marotta")</f>
        <v>Marc Marotta</v>
      </c>
      <c r="E3224" s="4" t="str">
        <f>IFERROR(__xludf.DUMMYFUNCTION("""COMPUTED_VALUE"""),"Marquette")</f>
        <v>Marquette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</row>
    <row r="3225">
      <c r="A3225" s="4">
        <f>IFERROR(__xludf.DUMMYFUNCTION("""COMPUTED_VALUE"""),202.0)</f>
        <v>202</v>
      </c>
      <c r="B3225" s="4">
        <f>IFERROR(__xludf.DUMMYFUNCTION("""COMPUTED_VALUE"""),202.0)</f>
        <v>202</v>
      </c>
      <c r="C3225" s="4" t="str">
        <f>IFERROR(__xludf.DUMMYFUNCTION("""COMPUTED_VALUE"""),"POR")</f>
        <v>POR</v>
      </c>
      <c r="D3225" s="4" t="str">
        <f>IFERROR(__xludf.DUMMYFUNCTION("""COMPUTED_VALUE"""),"Dennis Black")</f>
        <v>Dennis Black</v>
      </c>
      <c r="E3225" s="4" t="str">
        <f>IFERROR(__xludf.DUMMYFUNCTION("""COMPUTED_VALUE"""),"University of Portland")</f>
        <v>University of Portland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</row>
    <row r="3226">
      <c r="A3226" s="4">
        <f>IFERROR(__xludf.DUMMYFUNCTION("""COMPUTED_VALUE"""),203.0)</f>
        <v>203</v>
      </c>
      <c r="B3226" s="4">
        <f>IFERROR(__xludf.DUMMYFUNCTION("""COMPUTED_VALUE"""),203.0)</f>
        <v>203</v>
      </c>
      <c r="C3226" s="4" t="str">
        <f>IFERROR(__xludf.DUMMYFUNCTION("""COMPUTED_VALUE"""),"DET")</f>
        <v>DET</v>
      </c>
      <c r="D3226" s="4" t="str">
        <f>IFERROR(__xludf.DUMMYFUNCTION("""COMPUTED_VALUE"""),"Ben Tower")</f>
        <v>Ben Tower</v>
      </c>
      <c r="E3226" s="4" t="str">
        <f>IFERROR(__xludf.DUMMYFUNCTION("""COMPUTED_VALUE"""),"Michigan State")</f>
        <v>Michigan State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</row>
    <row r="3227">
      <c r="A3227" s="4">
        <f>IFERROR(__xludf.DUMMYFUNCTION("""COMPUTED_VALUE"""),204.0)</f>
        <v>204</v>
      </c>
      <c r="B3227" s="4">
        <f>IFERROR(__xludf.DUMMYFUNCTION("""COMPUTED_VALUE"""),204.0)</f>
        <v>204</v>
      </c>
      <c r="C3227" s="4" t="str">
        <f>IFERROR(__xludf.DUMMYFUNCTION("""COMPUTED_VALUE"""),"MIL")</f>
        <v>MIL</v>
      </c>
      <c r="D3227" s="4" t="str">
        <f>IFERROR(__xludf.DUMMYFUNCTION("""COMPUTED_VALUE"""),"Edwin Green")</f>
        <v>Edwin Green</v>
      </c>
      <c r="E3227" s="4" t="str">
        <f>IFERROR(__xludf.DUMMYFUNCTION("""COMPUTED_VALUE"""),"UMass")</f>
        <v>UMass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</row>
    <row r="3228">
      <c r="A3228" s="4">
        <f>IFERROR(__xludf.DUMMYFUNCTION("""COMPUTED_VALUE"""),205.0)</f>
        <v>205</v>
      </c>
      <c r="B3228" s="4">
        <f>IFERROR(__xludf.DUMMYFUNCTION("""COMPUTED_VALUE"""),205.0)</f>
        <v>205</v>
      </c>
      <c r="C3228" s="4" t="str">
        <f>IFERROR(__xludf.DUMMYFUNCTION("""COMPUTED_VALUE"""),"PHI")</f>
        <v>PHI</v>
      </c>
      <c r="D3228" s="4" t="str">
        <f>IFERROR(__xludf.DUMMYFUNCTION("""COMPUTED_VALUE"""),"Michael Mitchell")</f>
        <v>Michael Mitchell</v>
      </c>
      <c r="E3228" s="4" t="str">
        <f>IFERROR(__xludf.DUMMYFUNCTION("""COMPUTED_VALUE"""),"Drexel")</f>
        <v>Drexel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</row>
    <row r="3229">
      <c r="A3229" s="4">
        <f>IFERROR(__xludf.DUMMYFUNCTION("""COMPUTED_VALUE"""),206.0)</f>
        <v>206</v>
      </c>
      <c r="B3229" s="4">
        <f>IFERROR(__xludf.DUMMYFUNCTION("""COMPUTED_VALUE"""),206.0)</f>
        <v>206</v>
      </c>
      <c r="C3229" s="4" t="str">
        <f>IFERROR(__xludf.DUMMYFUNCTION("""COMPUTED_VALUE"""),"BOS")</f>
        <v>BOS</v>
      </c>
      <c r="D3229" s="4" t="str">
        <f>IFERROR(__xludf.DUMMYFUNCTION("""COMPUTED_VALUE"""),"Joe Dickson")</f>
        <v>Joe Dickson</v>
      </c>
      <c r="E3229" s="4" t="str">
        <f>IFERROR(__xludf.DUMMYFUNCTION("""COMPUTED_VALUE"""),"Merrimack College")</f>
        <v>Merrimack College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</row>
    <row r="3230">
      <c r="A3230" s="4"/>
      <c r="B3230" s="4"/>
      <c r="C3230" s="4"/>
      <c r="D3230" s="4" t="str">
        <f>IFERROR(__xludf.DUMMYFUNCTION("""COMPUTED_VALUE"""),"Round 10")</f>
        <v>Round 10</v>
      </c>
      <c r="E3230" s="4"/>
      <c r="F3230" s="4"/>
      <c r="G3230" s="4" t="str">
        <f>IFERROR(__xludf.DUMMYFUNCTION("""COMPUTED_VALUE"""),"Totals")</f>
        <v>Totals</v>
      </c>
      <c r="H3230" s="4"/>
      <c r="I3230" s="4"/>
      <c r="J3230" s="4"/>
      <c r="K3230" s="4"/>
      <c r="L3230" s="4" t="str">
        <f>IFERROR(__xludf.DUMMYFUNCTION("""COMPUTED_VALUE"""),"Shooting")</f>
        <v>Shooting</v>
      </c>
      <c r="M3230" s="4"/>
      <c r="N3230" s="4"/>
      <c r="O3230" s="4" t="str">
        <f>IFERROR(__xludf.DUMMYFUNCTION("""COMPUTED_VALUE"""),"Per Game")</f>
        <v>Per Game</v>
      </c>
      <c r="P3230" s="4"/>
      <c r="Q3230" s="4"/>
      <c r="R3230" s="4"/>
      <c r="S3230" s="4" t="str">
        <f>IFERROR(__xludf.DUMMYFUNCTION("""COMPUTED_VALUE"""),"Advanced")</f>
        <v>Advanced</v>
      </c>
      <c r="T3230" s="4"/>
      <c r="U3230" s="4"/>
      <c r="V3230" s="4"/>
    </row>
    <row r="3231">
      <c r="A3231" s="4" t="str">
        <f>IFERROR(__xludf.DUMMYFUNCTION("""COMPUTED_VALUE"""),"Rk")</f>
        <v>Rk</v>
      </c>
      <c r="B3231" s="4" t="str">
        <f>IFERROR(__xludf.DUMMYFUNCTION("""COMPUTED_VALUE"""),"Pk")</f>
        <v>Pk</v>
      </c>
      <c r="C3231" s="4" t="str">
        <f>IFERROR(__xludf.DUMMYFUNCTION("""COMPUTED_VALUE"""),"Tm")</f>
        <v>Tm</v>
      </c>
      <c r="D3231" s="4" t="str">
        <f>IFERROR(__xludf.DUMMYFUNCTION("""COMPUTED_VALUE"""),"Player")</f>
        <v>Player</v>
      </c>
      <c r="E3231" s="4" t="str">
        <f>IFERROR(__xludf.DUMMYFUNCTION("""COMPUTED_VALUE"""),"College")</f>
        <v>College</v>
      </c>
      <c r="F3231" s="4" t="str">
        <f>IFERROR(__xludf.DUMMYFUNCTION("""COMPUTED_VALUE"""),"Yrs")</f>
        <v>Yrs</v>
      </c>
      <c r="G3231" s="4" t="str">
        <f>IFERROR(__xludf.DUMMYFUNCTION("""COMPUTED_VALUE"""),"G")</f>
        <v>G</v>
      </c>
      <c r="H3231" s="4" t="str">
        <f>IFERROR(__xludf.DUMMYFUNCTION("""COMPUTED_VALUE"""),"MP")</f>
        <v>MP</v>
      </c>
      <c r="I3231" s="4" t="str">
        <f>IFERROR(__xludf.DUMMYFUNCTION("""COMPUTED_VALUE"""),"PTS")</f>
        <v>PTS</v>
      </c>
      <c r="J3231" s="4" t="str">
        <f>IFERROR(__xludf.DUMMYFUNCTION("""COMPUTED_VALUE"""),"TRB")</f>
        <v>TRB</v>
      </c>
      <c r="K3231" s="4" t="str">
        <f>IFERROR(__xludf.DUMMYFUNCTION("""COMPUTED_VALUE"""),"AST")</f>
        <v>AST</v>
      </c>
      <c r="L3231" s="4" t="str">
        <f>IFERROR(__xludf.DUMMYFUNCTION("""COMPUTED_VALUE"""),"FG%")</f>
        <v>FG%</v>
      </c>
      <c r="M3231" s="4" t="str">
        <f>IFERROR(__xludf.DUMMYFUNCTION("""COMPUTED_VALUE"""),"3P%")</f>
        <v>3P%</v>
      </c>
      <c r="N3231" s="4" t="str">
        <f>IFERROR(__xludf.DUMMYFUNCTION("""COMPUTED_VALUE"""),"FT%")</f>
        <v>FT%</v>
      </c>
      <c r="O3231" s="4" t="str">
        <f>IFERROR(__xludf.DUMMYFUNCTION("""COMPUTED_VALUE"""),"MP")</f>
        <v>MP</v>
      </c>
      <c r="P3231" s="4" t="str">
        <f>IFERROR(__xludf.DUMMYFUNCTION("""COMPUTED_VALUE"""),"PTS")</f>
        <v>PTS</v>
      </c>
      <c r="Q3231" s="4" t="str">
        <f>IFERROR(__xludf.DUMMYFUNCTION("""COMPUTED_VALUE"""),"TRB")</f>
        <v>TRB</v>
      </c>
      <c r="R3231" s="4" t="str">
        <f>IFERROR(__xludf.DUMMYFUNCTION("""COMPUTED_VALUE"""),"AST")</f>
        <v>AST</v>
      </c>
      <c r="S3231" s="4" t="str">
        <f>IFERROR(__xludf.DUMMYFUNCTION("""COMPUTED_VALUE"""),"WS")</f>
        <v>WS</v>
      </c>
      <c r="T3231" s="4" t="str">
        <f>IFERROR(__xludf.DUMMYFUNCTION("""COMPUTED_VALUE"""),"WS/48")</f>
        <v>WS/48</v>
      </c>
      <c r="U3231" s="4" t="str">
        <f>IFERROR(__xludf.DUMMYFUNCTION("""COMPUTED_VALUE"""),"BPM")</f>
        <v>BPM</v>
      </c>
      <c r="V3231" s="4" t="str">
        <f>IFERROR(__xludf.DUMMYFUNCTION("""COMPUTED_VALUE"""),"VORP")</f>
        <v>VORP</v>
      </c>
    </row>
    <row r="3232">
      <c r="A3232" s="4">
        <f>IFERROR(__xludf.DUMMYFUNCTION("""COMPUTED_VALUE"""),207.0)</f>
        <v>207</v>
      </c>
      <c r="B3232" s="4">
        <f>IFERROR(__xludf.DUMMYFUNCTION("""COMPUTED_VALUE"""),207.0)</f>
        <v>207</v>
      </c>
      <c r="C3232" s="4" t="str">
        <f>IFERROR(__xludf.DUMMYFUNCTION("""COMPUTED_VALUE"""),"IND")</f>
        <v>IND</v>
      </c>
      <c r="D3232" s="4" t="str">
        <f>IFERROR(__xludf.DUMMYFUNCTION("""COMPUTED_VALUE"""),"Gary Carver")</f>
        <v>Gary Carver</v>
      </c>
      <c r="E3232" s="4" t="str">
        <f>IFERROR(__xludf.DUMMYFUNCTION("""COMPUTED_VALUE"""),"Western Kentucky")</f>
        <v>Western Kentucky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</row>
    <row r="3233">
      <c r="A3233" s="4">
        <f>IFERROR(__xludf.DUMMYFUNCTION("""COMPUTED_VALUE"""),208.0)</f>
        <v>208</v>
      </c>
      <c r="B3233" s="4">
        <f>IFERROR(__xludf.DUMMYFUNCTION("""COMPUTED_VALUE"""),208.0)</f>
        <v>208</v>
      </c>
      <c r="C3233" s="4" t="str">
        <f>IFERROR(__xludf.DUMMYFUNCTION("""COMPUTED_VALUE"""),"CHI")</f>
        <v>CHI</v>
      </c>
      <c r="D3233" s="4" t="str">
        <f>IFERROR(__xludf.DUMMYFUNCTION("""COMPUTED_VALUE"""),"Carl Lewis")</f>
        <v>Carl Lewis</v>
      </c>
      <c r="E3233" s="4" t="str">
        <f>IFERROR(__xludf.DUMMYFUNCTION("""COMPUTED_VALUE"""),"Houston")</f>
        <v>Houston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</row>
    <row r="3234">
      <c r="A3234" s="4">
        <f>IFERROR(__xludf.DUMMYFUNCTION("""COMPUTED_VALUE"""),209.0)</f>
        <v>209</v>
      </c>
      <c r="B3234" s="4">
        <f>IFERROR(__xludf.DUMMYFUNCTION("""COMPUTED_VALUE"""),209.0)</f>
        <v>209</v>
      </c>
      <c r="C3234" s="4" t="str">
        <f>IFERROR(__xludf.DUMMYFUNCTION("""COMPUTED_VALUE"""),"CLE")</f>
        <v>CLE</v>
      </c>
      <c r="D3234" s="4" t="str">
        <f>IFERROR(__xludf.DUMMYFUNCTION("""COMPUTED_VALUE"""),"Darrell Space")</f>
        <v>Darrell Space</v>
      </c>
      <c r="E3234" s="4" t="str">
        <f>IFERROR(__xludf.DUMMYFUNCTION("""COMPUTED_VALUE"""),"Northeastern Illinois University")</f>
        <v>Northeastern Illinois University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</row>
    <row r="3235">
      <c r="A3235" s="4">
        <f>IFERROR(__xludf.DUMMYFUNCTION("""COMPUTED_VALUE"""),210.0)</f>
        <v>210</v>
      </c>
      <c r="B3235" s="4">
        <f>IFERROR(__xludf.DUMMYFUNCTION("""COMPUTED_VALUE"""),210.0)</f>
        <v>210</v>
      </c>
      <c r="C3235" s="4" t="str">
        <f>IFERROR(__xludf.DUMMYFUNCTION("""COMPUTED_VALUE"""),"HOU")</f>
        <v>HOU</v>
      </c>
      <c r="D3235" s="4" t="str">
        <f>IFERROR(__xludf.DUMMYFUNCTION("""COMPUTED_VALUE"""),"Robert Turner")</f>
        <v>Robert Turner</v>
      </c>
      <c r="E3235" s="4" t="str">
        <f>IFERROR(__xludf.DUMMYFUNCTION("""COMPUTED_VALUE"""),"Canisius")</f>
        <v>Canisius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</row>
    <row r="3236">
      <c r="A3236" s="4">
        <f>IFERROR(__xludf.DUMMYFUNCTION("""COMPUTED_VALUE"""),211.0)</f>
        <v>211</v>
      </c>
      <c r="B3236" s="4">
        <f>IFERROR(__xludf.DUMMYFUNCTION("""COMPUTED_VALUE"""),211.0)</f>
        <v>211</v>
      </c>
      <c r="C3236" s="4" t="str">
        <f>IFERROR(__xludf.DUMMYFUNCTION("""COMPUTED_VALUE"""),"LAC")</f>
        <v>LAC</v>
      </c>
      <c r="D3236" s="4" t="str">
        <f>IFERROR(__xludf.DUMMYFUNCTION("""COMPUTED_VALUE"""),"Dick Mumma")</f>
        <v>Dick Mumma</v>
      </c>
      <c r="E3236" s="4" t="str">
        <f>IFERROR(__xludf.DUMMYFUNCTION("""COMPUTED_VALUE"""),"Penn State")</f>
        <v>Penn State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</row>
    <row r="3237">
      <c r="A3237" s="4">
        <f>IFERROR(__xludf.DUMMYFUNCTION("""COMPUTED_VALUE"""),212.0)</f>
        <v>212</v>
      </c>
      <c r="B3237" s="4">
        <f>IFERROR(__xludf.DUMMYFUNCTION("""COMPUTED_VALUE"""),212.0)</f>
        <v>212</v>
      </c>
      <c r="C3237" s="4" t="str">
        <f>IFERROR(__xludf.DUMMYFUNCTION("""COMPUTED_VALUE"""),"WSB")</f>
        <v>WSB</v>
      </c>
      <c r="D3237" s="4" t="str">
        <f>IFERROR(__xludf.DUMMYFUNCTION("""COMPUTED_VALUE"""),"Glynn Myrick")</f>
        <v>Glynn Myrick</v>
      </c>
      <c r="E3237" s="4" t="str">
        <f>IFERROR(__xludf.DUMMYFUNCTION("""COMPUTED_VALUE"""),"Stetson University")</f>
        <v>Stetson University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</row>
    <row r="3238">
      <c r="A3238" s="4">
        <f>IFERROR(__xludf.DUMMYFUNCTION("""COMPUTED_VALUE"""),213.0)</f>
        <v>213</v>
      </c>
      <c r="B3238" s="4">
        <f>IFERROR(__xludf.DUMMYFUNCTION("""COMPUTED_VALUE"""),213.0)</f>
        <v>213</v>
      </c>
      <c r="C3238" s="4" t="str">
        <f>IFERROR(__xludf.DUMMYFUNCTION("""COMPUTED_VALUE"""),"GSW")</f>
        <v>GSW</v>
      </c>
      <c r="D3238" s="4" t="str">
        <f>IFERROR(__xludf.DUMMYFUNCTION("""COMPUTED_VALUE"""),"Tim Bell")</f>
        <v>Tim Bell</v>
      </c>
      <c r="E3238" s="4" t="str">
        <f>IFERROR(__xludf.DUMMYFUNCTION("""COMPUTED_VALUE"""),"University of California, Riverside")</f>
        <v>University of California, Riverside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</row>
    <row r="3239">
      <c r="A3239" s="4">
        <f>IFERROR(__xludf.DUMMYFUNCTION("""COMPUTED_VALUE"""),214.0)</f>
        <v>214</v>
      </c>
      <c r="B3239" s="4">
        <f>IFERROR(__xludf.DUMMYFUNCTION("""COMPUTED_VALUE"""),214.0)</f>
        <v>214</v>
      </c>
      <c r="C3239" s="4" t="str">
        <f>IFERROR(__xludf.DUMMYFUNCTION("""COMPUTED_VALUE"""),"SAS")</f>
        <v>SAS</v>
      </c>
      <c r="D3239" s="4" t="str">
        <f>IFERROR(__xludf.DUMMYFUNCTION("""COMPUTED_VALUE"""),"Frank Rodriguez")</f>
        <v>Frank Rodriguez</v>
      </c>
      <c r="E3239" s="4" t="str">
        <f>IFERROR(__xludf.DUMMYFUNCTION("""COMPUTED_VALUE"""),"New Mexico State")</f>
        <v>New Mexico State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</row>
    <row r="3240">
      <c r="A3240" s="4">
        <f>IFERROR(__xludf.DUMMYFUNCTION("""COMPUTED_VALUE"""),215.0)</f>
        <v>215</v>
      </c>
      <c r="B3240" s="4">
        <f>IFERROR(__xludf.DUMMYFUNCTION("""COMPUTED_VALUE"""),215.0)</f>
        <v>215</v>
      </c>
      <c r="C3240" s="4" t="str">
        <f>IFERROR(__xludf.DUMMYFUNCTION("""COMPUTED_VALUE"""),"DEN")</f>
        <v>DEN</v>
      </c>
      <c r="D3240" s="4" t="str">
        <f>IFERROR(__xludf.DUMMYFUNCTION("""COMPUTED_VALUE"""),"Dexter Bailey")</f>
        <v>Dexter Bailey</v>
      </c>
      <c r="E3240" s="4" t="str">
        <f>IFERROR(__xludf.DUMMYFUNCTION("""COMPUTED_VALUE"""),"Xavier")</f>
        <v>Xavier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</row>
    <row r="3241">
      <c r="A3241" s="4">
        <f>IFERROR(__xludf.DUMMYFUNCTION("""COMPUTED_VALUE"""),216.0)</f>
        <v>216</v>
      </c>
      <c r="B3241" s="4">
        <f>IFERROR(__xludf.DUMMYFUNCTION("""COMPUTED_VALUE"""),216.0)</f>
        <v>216</v>
      </c>
      <c r="C3241" s="4" t="str">
        <f>IFERROR(__xludf.DUMMYFUNCTION("""COMPUTED_VALUE"""),"KCK")</f>
        <v>KCK</v>
      </c>
      <c r="D3241" s="4" t="str">
        <f>IFERROR(__xludf.DUMMYFUNCTION("""COMPUTED_VALUE"""),"Victor Coleman")</f>
        <v>Victor Coleman</v>
      </c>
      <c r="E3241" s="4" t="str">
        <f>IFERROR(__xludf.DUMMYFUNCTION("""COMPUTED_VALUE"""),"Northwest Missouri State University")</f>
        <v>Northwest Missouri State University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</row>
    <row r="3242">
      <c r="A3242" s="4">
        <f>IFERROR(__xludf.DUMMYFUNCTION("""COMPUTED_VALUE"""),217.0)</f>
        <v>217</v>
      </c>
      <c r="B3242" s="4">
        <f>IFERROR(__xludf.DUMMYFUNCTION("""COMPUTED_VALUE"""),217.0)</f>
        <v>217</v>
      </c>
      <c r="C3242" s="4" t="str">
        <f>IFERROR(__xludf.DUMMYFUNCTION("""COMPUTED_VALUE"""),"ATL")</f>
        <v>ATL</v>
      </c>
      <c r="D3242" s="4" t="str">
        <f>IFERROR(__xludf.DUMMYFUNCTION("""COMPUTED_VALUE"""),"Doug Mills")</f>
        <v>Doug Mills</v>
      </c>
      <c r="E3242" s="4" t="str">
        <f>IFERROR(__xludf.DUMMYFUNCTION("""COMPUTED_VALUE"""),"Hofstra")</f>
        <v>Hofstra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</row>
    <row r="3243">
      <c r="A3243" s="4">
        <f>IFERROR(__xludf.DUMMYFUNCTION("""COMPUTED_VALUE"""),218.0)</f>
        <v>218</v>
      </c>
      <c r="B3243" s="4">
        <f>IFERROR(__xludf.DUMMYFUNCTION("""COMPUTED_VALUE"""),218.0)</f>
        <v>218</v>
      </c>
      <c r="C3243" s="4" t="str">
        <f>IFERROR(__xludf.DUMMYFUNCTION("""COMPUTED_VALUE"""),"PHO")</f>
        <v>PHO</v>
      </c>
      <c r="D3243" s="4" t="str">
        <f>IFERROR(__xludf.DUMMYFUNCTION("""COMPUTED_VALUE"""),"Ezra Hill")</f>
        <v>Ezra Hill</v>
      </c>
      <c r="E3243" s="4" t="str">
        <f>IFERROR(__xludf.DUMMYFUNCTION("""COMPUTED_VALUE"""),"Liberty")</f>
        <v>Liberty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</row>
    <row r="3244">
      <c r="A3244" s="4">
        <f>IFERROR(__xludf.DUMMYFUNCTION("""COMPUTED_VALUE"""),219.0)</f>
        <v>219</v>
      </c>
      <c r="B3244" s="4">
        <f>IFERROR(__xludf.DUMMYFUNCTION("""COMPUTED_VALUE"""),219.0)</f>
        <v>219</v>
      </c>
      <c r="C3244" s="4" t="str">
        <f>IFERROR(__xludf.DUMMYFUNCTION("""COMPUTED_VALUE"""),"SEA")</f>
        <v>SEA</v>
      </c>
      <c r="D3244" s="4" t="str">
        <f>IFERROR(__xludf.DUMMYFUNCTION("""COMPUTED_VALUE"""),"Greg Brandon")</f>
        <v>Greg Brandon</v>
      </c>
      <c r="E3244" s="4" t="str">
        <f>IFERROR(__xludf.DUMMYFUNCTION("""COMPUTED_VALUE"""),"Creighton")</f>
        <v>Creighton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</row>
    <row r="3245">
      <c r="A3245" s="4">
        <f>IFERROR(__xludf.DUMMYFUNCTION("""COMPUTED_VALUE"""),220.0)</f>
        <v>220</v>
      </c>
      <c r="B3245" s="4">
        <f>IFERROR(__xludf.DUMMYFUNCTION("""COMPUTED_VALUE"""),220.0)</f>
        <v>220</v>
      </c>
      <c r="C3245" s="4" t="str">
        <f>IFERROR(__xludf.DUMMYFUNCTION("""COMPUTED_VALUE"""),"DAL")</f>
        <v>DAL</v>
      </c>
      <c r="D3245" s="4" t="str">
        <f>IFERROR(__xludf.DUMMYFUNCTION("""COMPUTED_VALUE"""),"Napoleon Johnson")</f>
        <v>Napoleon Johnson</v>
      </c>
      <c r="E3245" s="4" t="str">
        <f>IFERROR(__xludf.DUMMYFUNCTION("""COMPUTED_VALUE"""),"Grambling State University")</f>
        <v>Grambling State University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</row>
    <row r="3246">
      <c r="A3246" s="4">
        <f>IFERROR(__xludf.DUMMYFUNCTION("""COMPUTED_VALUE"""),221.0)</f>
        <v>221</v>
      </c>
      <c r="B3246" s="4">
        <f>IFERROR(__xludf.DUMMYFUNCTION("""COMPUTED_VALUE"""),221.0)</f>
        <v>221</v>
      </c>
      <c r="C3246" s="4" t="str">
        <f>IFERROR(__xludf.DUMMYFUNCTION("""COMPUTED_VALUE"""),"NJN")</f>
        <v>NJN</v>
      </c>
      <c r="D3246" s="4" t="str">
        <f>IFERROR(__xludf.DUMMYFUNCTION("""COMPUTED_VALUE"""),"Phil Jamison")</f>
        <v>Phil Jamison</v>
      </c>
      <c r="E3246" s="4" t="str">
        <f>IFERROR(__xludf.DUMMYFUNCTION("""COMPUTED_VALUE"""),"Saint Peter's College")</f>
        <v>Saint Peter's College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</row>
    <row r="3247">
      <c r="A3247" s="4">
        <f>IFERROR(__xludf.DUMMYFUNCTION("""COMPUTED_VALUE"""),222.0)</f>
        <v>222</v>
      </c>
      <c r="B3247" s="4">
        <f>IFERROR(__xludf.DUMMYFUNCTION("""COMPUTED_VALUE"""),222.0)</f>
        <v>222</v>
      </c>
      <c r="C3247" s="4" t="str">
        <f>IFERROR(__xludf.DUMMYFUNCTION("""COMPUTED_VALUE"""),"UTA")</f>
        <v>UTA</v>
      </c>
      <c r="D3247" s="4" t="str">
        <f>IFERROR(__xludf.DUMMYFUNCTION("""COMPUTED_VALUE"""),"Mike Curran")</f>
        <v>Mike Curran</v>
      </c>
      <c r="E3247" s="4" t="str">
        <f>IFERROR(__xludf.DUMMYFUNCTION("""COMPUTED_VALUE"""),"Niagara University")</f>
        <v>Niagara University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</row>
    <row r="3248">
      <c r="A3248" s="4">
        <f>IFERROR(__xludf.DUMMYFUNCTION("""COMPUTED_VALUE"""),223.0)</f>
        <v>223</v>
      </c>
      <c r="B3248" s="4">
        <f>IFERROR(__xludf.DUMMYFUNCTION("""COMPUTED_VALUE"""),223.0)</f>
        <v>223</v>
      </c>
      <c r="C3248" s="4" t="str">
        <f>IFERROR(__xludf.DUMMYFUNCTION("""COMPUTED_VALUE"""),"NYK")</f>
        <v>NYK</v>
      </c>
      <c r="D3248" s="4" t="str">
        <f>IFERROR(__xludf.DUMMYFUNCTION("""COMPUTED_VALUE"""),"Mike Henderson")</f>
        <v>Mike Henderson</v>
      </c>
      <c r="E3248" s="4" t="str">
        <f>IFERROR(__xludf.DUMMYFUNCTION("""COMPUTED_VALUE"""),"LIU Post")</f>
        <v>LIU Post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</row>
    <row r="3249">
      <c r="A3249" s="4">
        <f>IFERROR(__xludf.DUMMYFUNCTION("""COMPUTED_VALUE"""),224.0)</f>
        <v>224</v>
      </c>
      <c r="B3249" s="4">
        <f>IFERROR(__xludf.DUMMYFUNCTION("""COMPUTED_VALUE"""),224.0)</f>
        <v>224</v>
      </c>
      <c r="C3249" s="4" t="str">
        <f>IFERROR(__xludf.DUMMYFUNCTION("""COMPUTED_VALUE"""),"POR")</f>
        <v>POR</v>
      </c>
      <c r="D3249" s="4" t="str">
        <f>IFERROR(__xludf.DUMMYFUNCTION("""COMPUTED_VALUE"""),"Randy Dunn")</f>
        <v>Randy Dunn</v>
      </c>
      <c r="E3249" s="4" t="str">
        <f>IFERROR(__xludf.DUMMYFUNCTION("""COMPUTED_VALUE"""),"George Fox University")</f>
        <v>George Fox University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</row>
    <row r="3250">
      <c r="A3250" s="4">
        <f>IFERROR(__xludf.DUMMYFUNCTION("""COMPUTED_VALUE"""),225.0)</f>
        <v>225</v>
      </c>
      <c r="B3250" s="4">
        <f>IFERROR(__xludf.DUMMYFUNCTION("""COMPUTED_VALUE"""),225.0)</f>
        <v>225</v>
      </c>
      <c r="C3250" s="4" t="str">
        <f>IFERROR(__xludf.DUMMYFUNCTION("""COMPUTED_VALUE"""),"DET")</f>
        <v>DET</v>
      </c>
      <c r="D3250" s="4" t="str">
        <f>IFERROR(__xludf.DUMMYFUNCTION("""COMPUTED_VALUE"""),"Dan Pelekoudas")</f>
        <v>Dan Pelekoudas</v>
      </c>
      <c r="E3250" s="4" t="str">
        <f>IFERROR(__xludf.DUMMYFUNCTION("""COMPUTED_VALUE"""),"Michigan")</f>
        <v>Michigan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</row>
    <row r="3251">
      <c r="A3251" s="4">
        <f>IFERROR(__xludf.DUMMYFUNCTION("""COMPUTED_VALUE"""),226.0)</f>
        <v>226</v>
      </c>
      <c r="B3251" s="4">
        <f>IFERROR(__xludf.DUMMYFUNCTION("""COMPUTED_VALUE"""),226.0)</f>
        <v>226</v>
      </c>
      <c r="C3251" s="4" t="str">
        <f>IFERROR(__xludf.DUMMYFUNCTION("""COMPUTED_VALUE"""),"MIL")</f>
        <v>MIL</v>
      </c>
      <c r="D3251" s="4" t="str">
        <f>IFERROR(__xludf.DUMMYFUNCTION("""COMPUTED_VALUE"""),"Mike Toomer")</f>
        <v>Mike Toomer</v>
      </c>
      <c r="E3251" s="4" t="str">
        <f>IFERROR(__xludf.DUMMYFUNCTION("""COMPUTED_VALUE"""),"Florida A&amp;M")</f>
        <v>Florida A&amp;M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</row>
    <row r="3252">
      <c r="A3252" s="4">
        <f>IFERROR(__xludf.DUMMYFUNCTION("""COMPUTED_VALUE"""),227.0)</f>
        <v>227</v>
      </c>
      <c r="B3252" s="4">
        <f>IFERROR(__xludf.DUMMYFUNCTION("""COMPUTED_VALUE"""),227.0)</f>
        <v>227</v>
      </c>
      <c r="C3252" s="4" t="str">
        <f>IFERROR(__xludf.DUMMYFUNCTION("""COMPUTED_VALUE"""),"PHI")</f>
        <v>PHI</v>
      </c>
      <c r="D3252" s="4" t="str">
        <f>IFERROR(__xludf.DUMMYFUNCTION("""COMPUTED_VALUE"""),"Martin Clark")</f>
        <v>Martin Clark</v>
      </c>
      <c r="E3252" s="4" t="str">
        <f>IFERROR(__xludf.DUMMYFUNCTION("""COMPUTED_VALUE"""),"Boston College")</f>
        <v>Boston College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</row>
    <row r="3253">
      <c r="A3253" s="4">
        <f>IFERROR(__xludf.DUMMYFUNCTION("""COMPUTED_VALUE"""),228.0)</f>
        <v>228</v>
      </c>
      <c r="B3253" s="4">
        <f>IFERROR(__xludf.DUMMYFUNCTION("""COMPUTED_VALUE"""),228.0)</f>
        <v>228</v>
      </c>
      <c r="C3253" s="4" t="str">
        <f>IFERROR(__xludf.DUMMYFUNCTION("""COMPUTED_VALUE"""),"BOS")</f>
        <v>BOS</v>
      </c>
      <c r="D3253" s="4" t="str">
        <f>IFERROR(__xludf.DUMMYFUNCTION("""COMPUTED_VALUE"""),"Dan Trant")</f>
        <v>Dan Trant</v>
      </c>
      <c r="E3253" s="4" t="str">
        <f>IFERROR(__xludf.DUMMYFUNCTION("""COMPUTED_VALUE"""),"Clark University")</f>
        <v>Clark University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</row>
    <row r="3255">
      <c r="A3255" s="2">
        <v>1983.0</v>
      </c>
    </row>
    <row r="3256">
      <c r="A3256" s="4" t="str">
        <f>IFERROR(__xludf.DUMMYFUNCTION("IMPORTHTML(""https://www.basketball-reference.com/draft/NBA_1983.html"", ""table"", 1)"),"")</f>
        <v/>
      </c>
      <c r="B3256" s="4"/>
      <c r="C3256" s="4"/>
      <c r="D3256" s="4" t="str">
        <f>IFERROR(__xludf.DUMMYFUNCTION("""COMPUTED_VALUE"""),"Round 1")</f>
        <v>Round 1</v>
      </c>
      <c r="E3256" s="4"/>
      <c r="F3256" s="4"/>
      <c r="G3256" s="4" t="str">
        <f>IFERROR(__xludf.DUMMYFUNCTION("""COMPUTED_VALUE"""),"Totals")</f>
        <v>Totals</v>
      </c>
      <c r="H3256" s="4"/>
      <c r="I3256" s="4"/>
      <c r="J3256" s="4"/>
      <c r="K3256" s="4"/>
      <c r="L3256" s="4" t="str">
        <f>IFERROR(__xludf.DUMMYFUNCTION("""COMPUTED_VALUE"""),"Shooting")</f>
        <v>Shooting</v>
      </c>
      <c r="M3256" s="4"/>
      <c r="N3256" s="4"/>
      <c r="O3256" s="4" t="str">
        <f>IFERROR(__xludf.DUMMYFUNCTION("""COMPUTED_VALUE"""),"Per Game")</f>
        <v>Per Game</v>
      </c>
      <c r="P3256" s="4"/>
      <c r="Q3256" s="4"/>
      <c r="R3256" s="4"/>
      <c r="S3256" s="4" t="str">
        <f>IFERROR(__xludf.DUMMYFUNCTION("""COMPUTED_VALUE"""),"Advanced")</f>
        <v>Advanced</v>
      </c>
      <c r="T3256" s="4"/>
      <c r="U3256" s="4"/>
      <c r="V3256" s="4"/>
    </row>
    <row r="3257">
      <c r="A3257" s="4" t="str">
        <f>IFERROR(__xludf.DUMMYFUNCTION("""COMPUTED_VALUE"""),"Rk")</f>
        <v>Rk</v>
      </c>
      <c r="B3257" s="4" t="str">
        <f>IFERROR(__xludf.DUMMYFUNCTION("""COMPUTED_VALUE"""),"Pk")</f>
        <v>Pk</v>
      </c>
      <c r="C3257" s="4" t="str">
        <f>IFERROR(__xludf.DUMMYFUNCTION("""COMPUTED_VALUE"""),"Tm")</f>
        <v>Tm</v>
      </c>
      <c r="D3257" s="4" t="str">
        <f>IFERROR(__xludf.DUMMYFUNCTION("""COMPUTED_VALUE"""),"Player")</f>
        <v>Player</v>
      </c>
      <c r="E3257" s="4" t="str">
        <f>IFERROR(__xludf.DUMMYFUNCTION("""COMPUTED_VALUE"""),"College")</f>
        <v>College</v>
      </c>
      <c r="F3257" s="4" t="str">
        <f>IFERROR(__xludf.DUMMYFUNCTION("""COMPUTED_VALUE"""),"Yrs")</f>
        <v>Yrs</v>
      </c>
      <c r="G3257" s="4" t="str">
        <f>IFERROR(__xludf.DUMMYFUNCTION("""COMPUTED_VALUE"""),"G")</f>
        <v>G</v>
      </c>
      <c r="H3257" s="4" t="str">
        <f>IFERROR(__xludf.DUMMYFUNCTION("""COMPUTED_VALUE"""),"MP")</f>
        <v>MP</v>
      </c>
      <c r="I3257" s="4" t="str">
        <f>IFERROR(__xludf.DUMMYFUNCTION("""COMPUTED_VALUE"""),"PTS")</f>
        <v>PTS</v>
      </c>
      <c r="J3257" s="4" t="str">
        <f>IFERROR(__xludf.DUMMYFUNCTION("""COMPUTED_VALUE"""),"TRB")</f>
        <v>TRB</v>
      </c>
      <c r="K3257" s="4" t="str">
        <f>IFERROR(__xludf.DUMMYFUNCTION("""COMPUTED_VALUE"""),"AST")</f>
        <v>AST</v>
      </c>
      <c r="L3257" s="4" t="str">
        <f>IFERROR(__xludf.DUMMYFUNCTION("""COMPUTED_VALUE"""),"FG%")</f>
        <v>FG%</v>
      </c>
      <c r="M3257" s="4" t="str">
        <f>IFERROR(__xludf.DUMMYFUNCTION("""COMPUTED_VALUE"""),"3P%")</f>
        <v>3P%</v>
      </c>
      <c r="N3257" s="4" t="str">
        <f>IFERROR(__xludf.DUMMYFUNCTION("""COMPUTED_VALUE"""),"FT%")</f>
        <v>FT%</v>
      </c>
      <c r="O3257" s="4" t="str">
        <f>IFERROR(__xludf.DUMMYFUNCTION("""COMPUTED_VALUE"""),"MP")</f>
        <v>MP</v>
      </c>
      <c r="P3257" s="4" t="str">
        <f>IFERROR(__xludf.DUMMYFUNCTION("""COMPUTED_VALUE"""),"PTS")</f>
        <v>PTS</v>
      </c>
      <c r="Q3257" s="4" t="str">
        <f>IFERROR(__xludf.DUMMYFUNCTION("""COMPUTED_VALUE"""),"TRB")</f>
        <v>TRB</v>
      </c>
      <c r="R3257" s="4" t="str">
        <f>IFERROR(__xludf.DUMMYFUNCTION("""COMPUTED_VALUE"""),"AST")</f>
        <v>AST</v>
      </c>
      <c r="S3257" s="4" t="str">
        <f>IFERROR(__xludf.DUMMYFUNCTION("""COMPUTED_VALUE"""),"WS")</f>
        <v>WS</v>
      </c>
      <c r="T3257" s="4" t="str">
        <f>IFERROR(__xludf.DUMMYFUNCTION("""COMPUTED_VALUE"""),"WS/48")</f>
        <v>WS/48</v>
      </c>
      <c r="U3257" s="4" t="str">
        <f>IFERROR(__xludf.DUMMYFUNCTION("""COMPUTED_VALUE"""),"BPM")</f>
        <v>BPM</v>
      </c>
      <c r="V3257" s="4" t="str">
        <f>IFERROR(__xludf.DUMMYFUNCTION("""COMPUTED_VALUE"""),"VORP")</f>
        <v>VORP</v>
      </c>
    </row>
    <row r="3258">
      <c r="A3258" s="4">
        <f>IFERROR(__xludf.DUMMYFUNCTION("""COMPUTED_VALUE"""),1.0)</f>
        <v>1</v>
      </c>
      <c r="B3258" s="4">
        <f>IFERROR(__xludf.DUMMYFUNCTION("""COMPUTED_VALUE"""),1.0)</f>
        <v>1</v>
      </c>
      <c r="C3258" s="4" t="str">
        <f>IFERROR(__xludf.DUMMYFUNCTION("""COMPUTED_VALUE"""),"HOU")</f>
        <v>HOU</v>
      </c>
      <c r="D3258" s="4" t="str">
        <f>IFERROR(__xludf.DUMMYFUNCTION("""COMPUTED_VALUE"""),"Ralph Sampson")</f>
        <v>Ralph Sampson</v>
      </c>
      <c r="E3258" s="4" t="str">
        <f>IFERROR(__xludf.DUMMYFUNCTION("""COMPUTED_VALUE"""),"Virginia")</f>
        <v>Virginia</v>
      </c>
      <c r="F3258" s="4">
        <f>IFERROR(__xludf.DUMMYFUNCTION("""COMPUTED_VALUE"""),9.0)</f>
        <v>9</v>
      </c>
      <c r="G3258" s="4">
        <f>IFERROR(__xludf.DUMMYFUNCTION("""COMPUTED_VALUE"""),456.0)</f>
        <v>456</v>
      </c>
      <c r="H3258" s="4">
        <f>IFERROR(__xludf.DUMMYFUNCTION("""COMPUTED_VALUE"""),13591.0)</f>
        <v>13591</v>
      </c>
      <c r="I3258" s="4">
        <f>IFERROR(__xludf.DUMMYFUNCTION("""COMPUTED_VALUE"""),7039.0)</f>
        <v>7039</v>
      </c>
      <c r="J3258" s="4">
        <f>IFERROR(__xludf.DUMMYFUNCTION("""COMPUTED_VALUE"""),4011.0)</f>
        <v>4011</v>
      </c>
      <c r="K3258" s="4">
        <f>IFERROR(__xludf.DUMMYFUNCTION("""COMPUTED_VALUE"""),1038.0)</f>
        <v>1038</v>
      </c>
      <c r="L3258" s="4">
        <f>IFERROR(__xludf.DUMMYFUNCTION("""COMPUTED_VALUE"""),0.486)</f>
        <v>0.486</v>
      </c>
      <c r="M3258" s="4">
        <f>IFERROR(__xludf.DUMMYFUNCTION("""COMPUTED_VALUE"""),0.172)</f>
        <v>0.172</v>
      </c>
      <c r="N3258" s="4">
        <f>IFERROR(__xludf.DUMMYFUNCTION("""COMPUTED_VALUE"""),0.661)</f>
        <v>0.661</v>
      </c>
      <c r="O3258" s="4">
        <f>IFERROR(__xludf.DUMMYFUNCTION("""COMPUTED_VALUE"""),29.8)</f>
        <v>29.8</v>
      </c>
      <c r="P3258" s="4">
        <f>IFERROR(__xludf.DUMMYFUNCTION("""COMPUTED_VALUE"""),15.4)</f>
        <v>15.4</v>
      </c>
      <c r="Q3258" s="4">
        <f>IFERROR(__xludf.DUMMYFUNCTION("""COMPUTED_VALUE"""),8.8)</f>
        <v>8.8</v>
      </c>
      <c r="R3258" s="4">
        <f>IFERROR(__xludf.DUMMYFUNCTION("""COMPUTED_VALUE"""),2.3)</f>
        <v>2.3</v>
      </c>
      <c r="S3258" s="4">
        <f>IFERROR(__xludf.DUMMYFUNCTION("""COMPUTED_VALUE"""),20.1)</f>
        <v>20.1</v>
      </c>
      <c r="T3258" s="4">
        <f>IFERROR(__xludf.DUMMYFUNCTION("""COMPUTED_VALUE"""),0.071)</f>
        <v>0.071</v>
      </c>
      <c r="U3258" s="4">
        <f>IFERROR(__xludf.DUMMYFUNCTION("""COMPUTED_VALUE"""),-0.6)</f>
        <v>-0.6</v>
      </c>
      <c r="V3258" s="4">
        <f>IFERROR(__xludf.DUMMYFUNCTION("""COMPUTED_VALUE"""),5.0)</f>
        <v>5</v>
      </c>
    </row>
    <row r="3259">
      <c r="A3259" s="4">
        <f>IFERROR(__xludf.DUMMYFUNCTION("""COMPUTED_VALUE"""),2.0)</f>
        <v>2</v>
      </c>
      <c r="B3259" s="4">
        <f>IFERROR(__xludf.DUMMYFUNCTION("""COMPUTED_VALUE"""),2.0)</f>
        <v>2</v>
      </c>
      <c r="C3259" s="4" t="str">
        <f>IFERROR(__xludf.DUMMYFUNCTION("""COMPUTED_VALUE"""),"IND")</f>
        <v>IND</v>
      </c>
      <c r="D3259" s="4" t="str">
        <f>IFERROR(__xludf.DUMMYFUNCTION("""COMPUTED_VALUE"""),"Steve Stipanovich")</f>
        <v>Steve Stipanovich</v>
      </c>
      <c r="E3259" s="4" t="str">
        <f>IFERROR(__xludf.DUMMYFUNCTION("""COMPUTED_VALUE"""),"Missouri")</f>
        <v>Missouri</v>
      </c>
      <c r="F3259" s="4">
        <f>IFERROR(__xludf.DUMMYFUNCTION("""COMPUTED_VALUE"""),5.0)</f>
        <v>5</v>
      </c>
      <c r="G3259" s="4">
        <f>IFERROR(__xludf.DUMMYFUNCTION("""COMPUTED_VALUE"""),403.0)</f>
        <v>403</v>
      </c>
      <c r="H3259" s="4">
        <f>IFERROR(__xludf.DUMMYFUNCTION("""COMPUTED_VALUE"""),12591.0)</f>
        <v>12591</v>
      </c>
      <c r="I3259" s="4">
        <f>IFERROR(__xludf.DUMMYFUNCTION("""COMPUTED_VALUE"""),5323.0)</f>
        <v>5323</v>
      </c>
      <c r="J3259" s="4">
        <f>IFERROR(__xludf.DUMMYFUNCTION("""COMPUTED_VALUE"""),3131.0)</f>
        <v>3131</v>
      </c>
      <c r="K3259" s="4">
        <f>IFERROR(__xludf.DUMMYFUNCTION("""COMPUTED_VALUE"""),938.0)</f>
        <v>938</v>
      </c>
      <c r="L3259" s="4">
        <f>IFERROR(__xludf.DUMMYFUNCTION("""COMPUTED_VALUE"""),0.484)</f>
        <v>0.484</v>
      </c>
      <c r="M3259" s="4">
        <f>IFERROR(__xludf.DUMMYFUNCTION("""COMPUTED_VALUE"""),0.179)</f>
        <v>0.179</v>
      </c>
      <c r="N3259" s="4">
        <f>IFERROR(__xludf.DUMMYFUNCTION("""COMPUTED_VALUE"""),0.796)</f>
        <v>0.796</v>
      </c>
      <c r="O3259" s="4">
        <f>IFERROR(__xludf.DUMMYFUNCTION("""COMPUTED_VALUE"""),31.2)</f>
        <v>31.2</v>
      </c>
      <c r="P3259" s="4">
        <f>IFERROR(__xludf.DUMMYFUNCTION("""COMPUTED_VALUE"""),13.2)</f>
        <v>13.2</v>
      </c>
      <c r="Q3259" s="4">
        <f>IFERROR(__xludf.DUMMYFUNCTION("""COMPUTED_VALUE"""),7.8)</f>
        <v>7.8</v>
      </c>
      <c r="R3259" s="4">
        <f>IFERROR(__xludf.DUMMYFUNCTION("""COMPUTED_VALUE"""),2.3)</f>
        <v>2.3</v>
      </c>
      <c r="S3259" s="4">
        <f>IFERROR(__xludf.DUMMYFUNCTION("""COMPUTED_VALUE"""),30.4)</f>
        <v>30.4</v>
      </c>
      <c r="T3259" s="4">
        <f>IFERROR(__xludf.DUMMYFUNCTION("""COMPUTED_VALUE"""),0.116)</f>
        <v>0.116</v>
      </c>
      <c r="U3259" s="4">
        <f>IFERROR(__xludf.DUMMYFUNCTION("""COMPUTED_VALUE"""),0.6)</f>
        <v>0.6</v>
      </c>
      <c r="V3259" s="4">
        <f>IFERROR(__xludf.DUMMYFUNCTION("""COMPUTED_VALUE"""),8.4)</f>
        <v>8.4</v>
      </c>
    </row>
    <row r="3260">
      <c r="A3260" s="4">
        <f>IFERROR(__xludf.DUMMYFUNCTION("""COMPUTED_VALUE"""),3.0)</f>
        <v>3</v>
      </c>
      <c r="B3260" s="4">
        <f>IFERROR(__xludf.DUMMYFUNCTION("""COMPUTED_VALUE"""),3.0)</f>
        <v>3</v>
      </c>
      <c r="C3260" s="4" t="str">
        <f>IFERROR(__xludf.DUMMYFUNCTION("""COMPUTED_VALUE"""),"HOU")</f>
        <v>HOU</v>
      </c>
      <c r="D3260" s="4" t="str">
        <f>IFERROR(__xludf.DUMMYFUNCTION("""COMPUTED_VALUE"""),"Rodney McCray")</f>
        <v>Rodney McCray</v>
      </c>
      <c r="E3260" s="4" t="str">
        <f>IFERROR(__xludf.DUMMYFUNCTION("""COMPUTED_VALUE"""),"Louisville")</f>
        <v>Louisville</v>
      </c>
      <c r="F3260" s="4">
        <f>IFERROR(__xludf.DUMMYFUNCTION("""COMPUTED_VALUE"""),10.0)</f>
        <v>10</v>
      </c>
      <c r="G3260" s="4">
        <f>IFERROR(__xludf.DUMMYFUNCTION("""COMPUTED_VALUE"""),768.0)</f>
        <v>768</v>
      </c>
      <c r="H3260" s="4">
        <f>IFERROR(__xludf.DUMMYFUNCTION("""COMPUTED_VALUE"""),24876.0)</f>
        <v>24876</v>
      </c>
      <c r="I3260" s="4">
        <f>IFERROR(__xludf.DUMMYFUNCTION("""COMPUTED_VALUE"""),9014.0)</f>
        <v>9014</v>
      </c>
      <c r="J3260" s="4">
        <f>IFERROR(__xludf.DUMMYFUNCTION("""COMPUTED_VALUE"""),5087.0)</f>
        <v>5087</v>
      </c>
      <c r="K3260" s="4">
        <f>IFERROR(__xludf.DUMMYFUNCTION("""COMPUTED_VALUE"""),2750.0)</f>
        <v>2750</v>
      </c>
      <c r="L3260" s="4">
        <f>IFERROR(__xludf.DUMMYFUNCTION("""COMPUTED_VALUE"""),0.503)</f>
        <v>0.503</v>
      </c>
      <c r="M3260" s="4">
        <f>IFERROR(__xludf.DUMMYFUNCTION("""COMPUTED_VALUE"""),0.26)</f>
        <v>0.26</v>
      </c>
      <c r="N3260" s="4">
        <f>IFERROR(__xludf.DUMMYFUNCTION("""COMPUTED_VALUE"""),0.761)</f>
        <v>0.761</v>
      </c>
      <c r="O3260" s="4">
        <f>IFERROR(__xludf.DUMMYFUNCTION("""COMPUTED_VALUE"""),32.4)</f>
        <v>32.4</v>
      </c>
      <c r="P3260" s="4">
        <f>IFERROR(__xludf.DUMMYFUNCTION("""COMPUTED_VALUE"""),11.7)</f>
        <v>11.7</v>
      </c>
      <c r="Q3260" s="4">
        <f>IFERROR(__xludf.DUMMYFUNCTION("""COMPUTED_VALUE"""),6.6)</f>
        <v>6.6</v>
      </c>
      <c r="R3260" s="4">
        <f>IFERROR(__xludf.DUMMYFUNCTION("""COMPUTED_VALUE"""),3.6)</f>
        <v>3.6</v>
      </c>
      <c r="S3260" s="4">
        <f>IFERROR(__xludf.DUMMYFUNCTION("""COMPUTED_VALUE"""),56.0)</f>
        <v>56</v>
      </c>
      <c r="T3260" s="4">
        <f>IFERROR(__xludf.DUMMYFUNCTION("""COMPUTED_VALUE"""),0.108)</f>
        <v>0.108</v>
      </c>
      <c r="U3260" s="4">
        <f>IFERROR(__xludf.DUMMYFUNCTION("""COMPUTED_VALUE"""),1.0)</f>
        <v>1</v>
      </c>
      <c r="V3260" s="4">
        <f>IFERROR(__xludf.DUMMYFUNCTION("""COMPUTED_VALUE"""),19.1)</f>
        <v>19.1</v>
      </c>
    </row>
    <row r="3261">
      <c r="A3261" s="4">
        <f>IFERROR(__xludf.DUMMYFUNCTION("""COMPUTED_VALUE"""),4.0)</f>
        <v>4</v>
      </c>
      <c r="B3261" s="4">
        <f>IFERROR(__xludf.DUMMYFUNCTION("""COMPUTED_VALUE"""),4.0)</f>
        <v>4</v>
      </c>
      <c r="C3261" s="4" t="str">
        <f>IFERROR(__xludf.DUMMYFUNCTION("""COMPUTED_VALUE"""),"SDC")</f>
        <v>SDC</v>
      </c>
      <c r="D3261" s="4" t="str">
        <f>IFERROR(__xludf.DUMMYFUNCTION("""COMPUTED_VALUE"""),"Byron Scott")</f>
        <v>Byron Scott</v>
      </c>
      <c r="E3261" s="4" t="str">
        <f>IFERROR(__xludf.DUMMYFUNCTION("""COMPUTED_VALUE"""),"Arizona State")</f>
        <v>Arizona State</v>
      </c>
      <c r="F3261" s="4">
        <f>IFERROR(__xludf.DUMMYFUNCTION("""COMPUTED_VALUE"""),14.0)</f>
        <v>14</v>
      </c>
      <c r="G3261" s="4">
        <f>IFERROR(__xludf.DUMMYFUNCTION("""COMPUTED_VALUE"""),1073.0)</f>
        <v>1073</v>
      </c>
      <c r="H3261" s="4">
        <f>IFERROR(__xludf.DUMMYFUNCTION("""COMPUTED_VALUE"""),30152.0)</f>
        <v>30152</v>
      </c>
      <c r="I3261" s="4">
        <f>IFERROR(__xludf.DUMMYFUNCTION("""COMPUTED_VALUE"""),15097.0)</f>
        <v>15097</v>
      </c>
      <c r="J3261" s="4">
        <f>IFERROR(__xludf.DUMMYFUNCTION("""COMPUTED_VALUE"""),2987.0)</f>
        <v>2987</v>
      </c>
      <c r="K3261" s="4">
        <f>IFERROR(__xludf.DUMMYFUNCTION("""COMPUTED_VALUE"""),2729.0)</f>
        <v>2729</v>
      </c>
      <c r="L3261" s="4">
        <f>IFERROR(__xludf.DUMMYFUNCTION("""COMPUTED_VALUE"""),0.482)</f>
        <v>0.482</v>
      </c>
      <c r="M3261" s="4">
        <f>IFERROR(__xludf.DUMMYFUNCTION("""COMPUTED_VALUE"""),0.37)</f>
        <v>0.37</v>
      </c>
      <c r="N3261" s="4">
        <f>IFERROR(__xludf.DUMMYFUNCTION("""COMPUTED_VALUE"""),0.833)</f>
        <v>0.833</v>
      </c>
      <c r="O3261" s="4">
        <f>IFERROR(__xludf.DUMMYFUNCTION("""COMPUTED_VALUE"""),28.1)</f>
        <v>28.1</v>
      </c>
      <c r="P3261" s="4">
        <f>IFERROR(__xludf.DUMMYFUNCTION("""COMPUTED_VALUE"""),14.1)</f>
        <v>14.1</v>
      </c>
      <c r="Q3261" s="4">
        <f>IFERROR(__xludf.DUMMYFUNCTION("""COMPUTED_VALUE"""),2.8)</f>
        <v>2.8</v>
      </c>
      <c r="R3261" s="4">
        <f>IFERROR(__xludf.DUMMYFUNCTION("""COMPUTED_VALUE"""),2.5)</f>
        <v>2.5</v>
      </c>
      <c r="S3261" s="4">
        <f>IFERROR(__xludf.DUMMYFUNCTION("""COMPUTED_VALUE"""),75.2)</f>
        <v>75.2</v>
      </c>
      <c r="T3261" s="4">
        <f>IFERROR(__xludf.DUMMYFUNCTION("""COMPUTED_VALUE"""),0.12)</f>
        <v>0.12</v>
      </c>
      <c r="U3261" s="4">
        <f>IFERROR(__xludf.DUMMYFUNCTION("""COMPUTED_VALUE"""),0.8)</f>
        <v>0.8</v>
      </c>
      <c r="V3261" s="4">
        <f>IFERROR(__xludf.DUMMYFUNCTION("""COMPUTED_VALUE"""),21.0)</f>
        <v>21</v>
      </c>
    </row>
    <row r="3262">
      <c r="A3262" s="4">
        <f>IFERROR(__xludf.DUMMYFUNCTION("""COMPUTED_VALUE"""),5.0)</f>
        <v>5</v>
      </c>
      <c r="B3262" s="4">
        <f>IFERROR(__xludf.DUMMYFUNCTION("""COMPUTED_VALUE"""),5.0)</f>
        <v>5</v>
      </c>
      <c r="C3262" s="4" t="str">
        <f>IFERROR(__xludf.DUMMYFUNCTION("""COMPUTED_VALUE"""),"CHI")</f>
        <v>CHI</v>
      </c>
      <c r="D3262" s="4" t="str">
        <f>IFERROR(__xludf.DUMMYFUNCTION("""COMPUTED_VALUE"""),"Sidney Green")</f>
        <v>Sidney Green</v>
      </c>
      <c r="E3262" s="4" t="str">
        <f>IFERROR(__xludf.DUMMYFUNCTION("""COMPUTED_VALUE"""),"UNLV")</f>
        <v>UNLV</v>
      </c>
      <c r="F3262" s="4">
        <f>IFERROR(__xludf.DUMMYFUNCTION("""COMPUTED_VALUE"""),10.0)</f>
        <v>10</v>
      </c>
      <c r="G3262" s="4">
        <f>IFERROR(__xludf.DUMMYFUNCTION("""COMPUTED_VALUE"""),679.0)</f>
        <v>679</v>
      </c>
      <c r="H3262" s="4">
        <f>IFERROR(__xludf.DUMMYFUNCTION("""COMPUTED_VALUE"""),13247.0)</f>
        <v>13247</v>
      </c>
      <c r="I3262" s="4">
        <f>IFERROR(__xludf.DUMMYFUNCTION("""COMPUTED_VALUE"""),5080.0)</f>
        <v>5080</v>
      </c>
      <c r="J3262" s="4">
        <f>IFERROR(__xludf.DUMMYFUNCTION("""COMPUTED_VALUE"""),4128.0)</f>
        <v>4128</v>
      </c>
      <c r="K3262" s="4">
        <f>IFERROR(__xludf.DUMMYFUNCTION("""COMPUTED_VALUE"""),635.0)</f>
        <v>635</v>
      </c>
      <c r="L3262" s="4">
        <f>IFERROR(__xludf.DUMMYFUNCTION("""COMPUTED_VALUE"""),0.454)</f>
        <v>0.454</v>
      </c>
      <c r="M3262" s="4">
        <f>IFERROR(__xludf.DUMMYFUNCTION("""COMPUTED_VALUE"""),0.037)</f>
        <v>0.037</v>
      </c>
      <c r="N3262" s="4">
        <f>IFERROR(__xludf.DUMMYFUNCTION("""COMPUTED_VALUE"""),0.738)</f>
        <v>0.738</v>
      </c>
      <c r="O3262" s="4">
        <f>IFERROR(__xludf.DUMMYFUNCTION("""COMPUTED_VALUE"""),19.5)</f>
        <v>19.5</v>
      </c>
      <c r="P3262" s="4">
        <f>IFERROR(__xludf.DUMMYFUNCTION("""COMPUTED_VALUE"""),7.5)</f>
        <v>7.5</v>
      </c>
      <c r="Q3262" s="4">
        <f>IFERROR(__xludf.DUMMYFUNCTION("""COMPUTED_VALUE"""),6.1)</f>
        <v>6.1</v>
      </c>
      <c r="R3262" s="4">
        <f>IFERROR(__xludf.DUMMYFUNCTION("""COMPUTED_VALUE"""),0.9)</f>
        <v>0.9</v>
      </c>
      <c r="S3262" s="4">
        <f>IFERROR(__xludf.DUMMYFUNCTION("""COMPUTED_VALUE"""),17.4)</f>
        <v>17.4</v>
      </c>
      <c r="T3262" s="4">
        <f>IFERROR(__xludf.DUMMYFUNCTION("""COMPUTED_VALUE"""),0.063)</f>
        <v>0.063</v>
      </c>
      <c r="U3262" s="4">
        <f>IFERROR(__xludf.DUMMYFUNCTION("""COMPUTED_VALUE"""),-3.2)</f>
        <v>-3.2</v>
      </c>
      <c r="V3262" s="4">
        <f>IFERROR(__xludf.DUMMYFUNCTION("""COMPUTED_VALUE"""),-3.9)</f>
        <v>-3.9</v>
      </c>
    </row>
    <row r="3263">
      <c r="A3263" s="4">
        <f>IFERROR(__xludf.DUMMYFUNCTION("""COMPUTED_VALUE"""),6.0)</f>
        <v>6</v>
      </c>
      <c r="B3263" s="4">
        <f>IFERROR(__xludf.DUMMYFUNCTION("""COMPUTED_VALUE"""),6.0)</f>
        <v>6</v>
      </c>
      <c r="C3263" s="4" t="str">
        <f>IFERROR(__xludf.DUMMYFUNCTION("""COMPUTED_VALUE"""),"GSW")</f>
        <v>GSW</v>
      </c>
      <c r="D3263" s="4" t="str">
        <f>IFERROR(__xludf.DUMMYFUNCTION("""COMPUTED_VALUE"""),"Russell Cross")</f>
        <v>Russell Cross</v>
      </c>
      <c r="E3263" s="4" t="str">
        <f>IFERROR(__xludf.DUMMYFUNCTION("""COMPUTED_VALUE"""),"Purdue")</f>
        <v>Purdue</v>
      </c>
      <c r="F3263" s="4">
        <f>IFERROR(__xludf.DUMMYFUNCTION("""COMPUTED_VALUE"""),1.0)</f>
        <v>1</v>
      </c>
      <c r="G3263" s="4">
        <f>IFERROR(__xludf.DUMMYFUNCTION("""COMPUTED_VALUE"""),45.0)</f>
        <v>45</v>
      </c>
      <c r="H3263" s="4">
        <f>IFERROR(__xludf.DUMMYFUNCTION("""COMPUTED_VALUE"""),354.0)</f>
        <v>354</v>
      </c>
      <c r="I3263" s="4">
        <f>IFERROR(__xludf.DUMMYFUNCTION("""COMPUTED_VALUE"""),166.0)</f>
        <v>166</v>
      </c>
      <c r="J3263" s="4">
        <f>IFERROR(__xludf.DUMMYFUNCTION("""COMPUTED_VALUE"""),82.0)</f>
        <v>82</v>
      </c>
      <c r="K3263" s="4">
        <f>IFERROR(__xludf.DUMMYFUNCTION("""COMPUTED_VALUE"""),22.0)</f>
        <v>22</v>
      </c>
      <c r="L3263" s="4">
        <f>IFERROR(__xludf.DUMMYFUNCTION("""COMPUTED_VALUE"""),0.571)</f>
        <v>0.571</v>
      </c>
      <c r="M3263" s="4"/>
      <c r="N3263" s="4">
        <f>IFERROR(__xludf.DUMMYFUNCTION("""COMPUTED_VALUE"""),0.418)</f>
        <v>0.418</v>
      </c>
      <c r="O3263" s="4">
        <f>IFERROR(__xludf.DUMMYFUNCTION("""COMPUTED_VALUE"""),7.9)</f>
        <v>7.9</v>
      </c>
      <c r="P3263" s="4">
        <f>IFERROR(__xludf.DUMMYFUNCTION("""COMPUTED_VALUE"""),3.7)</f>
        <v>3.7</v>
      </c>
      <c r="Q3263" s="4">
        <f>IFERROR(__xludf.DUMMYFUNCTION("""COMPUTED_VALUE"""),1.8)</f>
        <v>1.8</v>
      </c>
      <c r="R3263" s="4">
        <f>IFERROR(__xludf.DUMMYFUNCTION("""COMPUTED_VALUE"""),0.5)</f>
        <v>0.5</v>
      </c>
      <c r="S3263" s="4">
        <f>IFERROR(__xludf.DUMMYFUNCTION("""COMPUTED_VALUE"""),0.8)</f>
        <v>0.8</v>
      </c>
      <c r="T3263" s="4">
        <f>IFERROR(__xludf.DUMMYFUNCTION("""COMPUTED_VALUE"""),0.106)</f>
        <v>0.106</v>
      </c>
      <c r="U3263" s="4">
        <f>IFERROR(__xludf.DUMMYFUNCTION("""COMPUTED_VALUE"""),-0.8)</f>
        <v>-0.8</v>
      </c>
      <c r="V3263" s="4">
        <f>IFERROR(__xludf.DUMMYFUNCTION("""COMPUTED_VALUE"""),0.1)</f>
        <v>0.1</v>
      </c>
    </row>
    <row r="3264">
      <c r="A3264" s="4">
        <f>IFERROR(__xludf.DUMMYFUNCTION("""COMPUTED_VALUE"""),7.0)</f>
        <v>7</v>
      </c>
      <c r="B3264" s="4">
        <f>IFERROR(__xludf.DUMMYFUNCTION("""COMPUTED_VALUE"""),7.0)</f>
        <v>7</v>
      </c>
      <c r="C3264" s="4" t="str">
        <f>IFERROR(__xludf.DUMMYFUNCTION("""COMPUTED_VALUE"""),"UTA")</f>
        <v>UTA</v>
      </c>
      <c r="D3264" s="4" t="str">
        <f>IFERROR(__xludf.DUMMYFUNCTION("""COMPUTED_VALUE"""),"Thurl Bailey")</f>
        <v>Thurl Bailey</v>
      </c>
      <c r="E3264" s="4" t="str">
        <f>IFERROR(__xludf.DUMMYFUNCTION("""COMPUTED_VALUE"""),"NC State")</f>
        <v>NC State</v>
      </c>
      <c r="F3264" s="4">
        <f>IFERROR(__xludf.DUMMYFUNCTION("""COMPUTED_VALUE"""),12.0)</f>
        <v>12</v>
      </c>
      <c r="G3264" s="4">
        <f>IFERROR(__xludf.DUMMYFUNCTION("""COMPUTED_VALUE"""),928.0)</f>
        <v>928</v>
      </c>
      <c r="H3264" s="4">
        <f>IFERROR(__xludf.DUMMYFUNCTION("""COMPUTED_VALUE"""),24873.0)</f>
        <v>24873</v>
      </c>
      <c r="I3264" s="4">
        <f>IFERROR(__xludf.DUMMYFUNCTION("""COMPUTED_VALUE"""),11834.0)</f>
        <v>11834</v>
      </c>
      <c r="J3264" s="4">
        <f>IFERROR(__xludf.DUMMYFUNCTION("""COMPUTED_VALUE"""),4718.0)</f>
        <v>4718</v>
      </c>
      <c r="K3264" s="4">
        <f>IFERROR(__xludf.DUMMYFUNCTION("""COMPUTED_VALUE"""),1298.0)</f>
        <v>1298</v>
      </c>
      <c r="L3264" s="4">
        <f>IFERROR(__xludf.DUMMYFUNCTION("""COMPUTED_VALUE"""),0.473)</f>
        <v>0.473</v>
      </c>
      <c r="M3264" s="4">
        <f>IFERROR(__xludf.DUMMYFUNCTION("""COMPUTED_VALUE"""),0.114)</f>
        <v>0.114</v>
      </c>
      <c r="N3264" s="4">
        <f>IFERROR(__xludf.DUMMYFUNCTION("""COMPUTED_VALUE"""),0.812)</f>
        <v>0.812</v>
      </c>
      <c r="O3264" s="4">
        <f>IFERROR(__xludf.DUMMYFUNCTION("""COMPUTED_VALUE"""),26.8)</f>
        <v>26.8</v>
      </c>
      <c r="P3264" s="4">
        <f>IFERROR(__xludf.DUMMYFUNCTION("""COMPUTED_VALUE"""),12.8)</f>
        <v>12.8</v>
      </c>
      <c r="Q3264" s="4">
        <f>IFERROR(__xludf.DUMMYFUNCTION("""COMPUTED_VALUE"""),5.1)</f>
        <v>5.1</v>
      </c>
      <c r="R3264" s="4">
        <f>IFERROR(__xludf.DUMMYFUNCTION("""COMPUTED_VALUE"""),1.4)</f>
        <v>1.4</v>
      </c>
      <c r="S3264" s="4">
        <f>IFERROR(__xludf.DUMMYFUNCTION("""COMPUTED_VALUE"""),45.0)</f>
        <v>45</v>
      </c>
      <c r="T3264" s="4">
        <f>IFERROR(__xludf.DUMMYFUNCTION("""COMPUTED_VALUE"""),0.087)</f>
        <v>0.087</v>
      </c>
      <c r="U3264" s="4">
        <f>IFERROR(__xludf.DUMMYFUNCTION("""COMPUTED_VALUE"""),-0.9)</f>
        <v>-0.9</v>
      </c>
      <c r="V3264" s="4">
        <f>IFERROR(__xludf.DUMMYFUNCTION("""COMPUTED_VALUE"""),6.9)</f>
        <v>6.9</v>
      </c>
    </row>
    <row r="3265">
      <c r="A3265" s="4">
        <f>IFERROR(__xludf.DUMMYFUNCTION("""COMPUTED_VALUE"""),8.0)</f>
        <v>8</v>
      </c>
      <c r="B3265" s="4">
        <f>IFERROR(__xludf.DUMMYFUNCTION("""COMPUTED_VALUE"""),8.0)</f>
        <v>8</v>
      </c>
      <c r="C3265" s="4" t="str">
        <f>IFERROR(__xludf.DUMMYFUNCTION("""COMPUTED_VALUE"""),"DET")</f>
        <v>DET</v>
      </c>
      <c r="D3265" s="4" t="str">
        <f>IFERROR(__xludf.DUMMYFUNCTION("""COMPUTED_VALUE"""),"Antoine Carr")</f>
        <v>Antoine Carr</v>
      </c>
      <c r="E3265" s="4" t="str">
        <f>IFERROR(__xludf.DUMMYFUNCTION("""COMPUTED_VALUE"""),"Wichita State")</f>
        <v>Wichita State</v>
      </c>
      <c r="F3265" s="4">
        <f>IFERROR(__xludf.DUMMYFUNCTION("""COMPUTED_VALUE"""),16.0)</f>
        <v>16</v>
      </c>
      <c r="G3265" s="4">
        <f>IFERROR(__xludf.DUMMYFUNCTION("""COMPUTED_VALUE"""),987.0)</f>
        <v>987</v>
      </c>
      <c r="H3265" s="4">
        <f>IFERROR(__xludf.DUMMYFUNCTION("""COMPUTED_VALUE"""),19780.0)</f>
        <v>19780</v>
      </c>
      <c r="I3265" s="4">
        <f>IFERROR(__xludf.DUMMYFUNCTION("""COMPUTED_VALUE"""),9176.0)</f>
        <v>9176</v>
      </c>
      <c r="J3265" s="4">
        <f>IFERROR(__xludf.DUMMYFUNCTION("""COMPUTED_VALUE"""),3384.0)</f>
        <v>3384</v>
      </c>
      <c r="K3265" s="4">
        <f>IFERROR(__xludf.DUMMYFUNCTION("""COMPUTED_VALUE"""),1086.0)</f>
        <v>1086</v>
      </c>
      <c r="L3265" s="4">
        <f>IFERROR(__xludf.DUMMYFUNCTION("""COMPUTED_VALUE"""),0.503)</f>
        <v>0.503</v>
      </c>
      <c r="M3265" s="4">
        <f>IFERROR(__xludf.DUMMYFUNCTION("""COMPUTED_VALUE"""),0.13)</f>
        <v>0.13</v>
      </c>
      <c r="N3265" s="4">
        <f>IFERROR(__xludf.DUMMYFUNCTION("""COMPUTED_VALUE"""),0.78)</f>
        <v>0.78</v>
      </c>
      <c r="O3265" s="4">
        <f>IFERROR(__xludf.DUMMYFUNCTION("""COMPUTED_VALUE"""),20.0)</f>
        <v>20</v>
      </c>
      <c r="P3265" s="4">
        <f>IFERROR(__xludf.DUMMYFUNCTION("""COMPUTED_VALUE"""),9.3)</f>
        <v>9.3</v>
      </c>
      <c r="Q3265" s="4">
        <f>IFERROR(__xludf.DUMMYFUNCTION("""COMPUTED_VALUE"""),3.4)</f>
        <v>3.4</v>
      </c>
      <c r="R3265" s="4">
        <f>IFERROR(__xludf.DUMMYFUNCTION("""COMPUTED_VALUE"""),1.1)</f>
        <v>1.1</v>
      </c>
      <c r="S3265" s="4">
        <f>IFERROR(__xludf.DUMMYFUNCTION("""COMPUTED_VALUE"""),42.1)</f>
        <v>42.1</v>
      </c>
      <c r="T3265" s="4">
        <f>IFERROR(__xludf.DUMMYFUNCTION("""COMPUTED_VALUE"""),0.102)</f>
        <v>0.102</v>
      </c>
      <c r="U3265" s="4">
        <f>IFERROR(__xludf.DUMMYFUNCTION("""COMPUTED_VALUE"""),-1.2)</f>
        <v>-1.2</v>
      </c>
      <c r="V3265" s="4">
        <f>IFERROR(__xludf.DUMMYFUNCTION("""COMPUTED_VALUE"""),4.1)</f>
        <v>4.1</v>
      </c>
    </row>
    <row r="3266">
      <c r="A3266" s="4">
        <f>IFERROR(__xludf.DUMMYFUNCTION("""COMPUTED_VALUE"""),9.0)</f>
        <v>9</v>
      </c>
      <c r="B3266" s="4">
        <f>IFERROR(__xludf.DUMMYFUNCTION("""COMPUTED_VALUE"""),9.0)</f>
        <v>9</v>
      </c>
      <c r="C3266" s="4" t="str">
        <f>IFERROR(__xludf.DUMMYFUNCTION("""COMPUTED_VALUE"""),"DAL")</f>
        <v>DAL</v>
      </c>
      <c r="D3266" s="4" t="str">
        <f>IFERROR(__xludf.DUMMYFUNCTION("""COMPUTED_VALUE"""),"Dale Ellis")</f>
        <v>Dale Ellis</v>
      </c>
      <c r="E3266" s="4" t="str">
        <f>IFERROR(__xludf.DUMMYFUNCTION("""COMPUTED_VALUE"""),"Tennessee")</f>
        <v>Tennessee</v>
      </c>
      <c r="F3266" s="4">
        <f>IFERROR(__xludf.DUMMYFUNCTION("""COMPUTED_VALUE"""),17.0)</f>
        <v>17</v>
      </c>
      <c r="G3266" s="4">
        <f>IFERROR(__xludf.DUMMYFUNCTION("""COMPUTED_VALUE"""),1209.0)</f>
        <v>1209</v>
      </c>
      <c r="H3266" s="4">
        <f>IFERROR(__xludf.DUMMYFUNCTION("""COMPUTED_VALUE"""),34778.0)</f>
        <v>34778</v>
      </c>
      <c r="I3266" s="4">
        <f>IFERROR(__xludf.DUMMYFUNCTION("""COMPUTED_VALUE"""),19004.0)</f>
        <v>19004</v>
      </c>
      <c r="J3266" s="4">
        <f>IFERROR(__xludf.DUMMYFUNCTION("""COMPUTED_VALUE"""),4201.0)</f>
        <v>4201</v>
      </c>
      <c r="K3266" s="4">
        <f>IFERROR(__xludf.DUMMYFUNCTION("""COMPUTED_VALUE"""),1746.0)</f>
        <v>1746</v>
      </c>
      <c r="L3266" s="4">
        <f>IFERROR(__xludf.DUMMYFUNCTION("""COMPUTED_VALUE"""),0.479)</f>
        <v>0.479</v>
      </c>
      <c r="M3266" s="4">
        <f>IFERROR(__xludf.DUMMYFUNCTION("""COMPUTED_VALUE"""),0.403)</f>
        <v>0.403</v>
      </c>
      <c r="N3266" s="4">
        <f>IFERROR(__xludf.DUMMYFUNCTION("""COMPUTED_VALUE"""),0.784)</f>
        <v>0.784</v>
      </c>
      <c r="O3266" s="4">
        <f>IFERROR(__xludf.DUMMYFUNCTION("""COMPUTED_VALUE"""),28.8)</f>
        <v>28.8</v>
      </c>
      <c r="P3266" s="4">
        <f>IFERROR(__xludf.DUMMYFUNCTION("""COMPUTED_VALUE"""),15.7)</f>
        <v>15.7</v>
      </c>
      <c r="Q3266" s="4">
        <f>IFERROR(__xludf.DUMMYFUNCTION("""COMPUTED_VALUE"""),3.5)</f>
        <v>3.5</v>
      </c>
      <c r="R3266" s="4">
        <f>IFERROR(__xludf.DUMMYFUNCTION("""COMPUTED_VALUE"""),1.4)</f>
        <v>1.4</v>
      </c>
      <c r="S3266" s="4">
        <f>IFERROR(__xludf.DUMMYFUNCTION("""COMPUTED_VALUE"""),84.7)</f>
        <v>84.7</v>
      </c>
      <c r="T3266" s="4">
        <f>IFERROR(__xludf.DUMMYFUNCTION("""COMPUTED_VALUE"""),0.117)</f>
        <v>0.117</v>
      </c>
      <c r="U3266" s="4">
        <f>IFERROR(__xludf.DUMMYFUNCTION("""COMPUTED_VALUE"""),0.6)</f>
        <v>0.6</v>
      </c>
      <c r="V3266" s="4">
        <f>IFERROR(__xludf.DUMMYFUNCTION("""COMPUTED_VALUE"""),22.9)</f>
        <v>22.9</v>
      </c>
    </row>
    <row r="3267">
      <c r="A3267" s="4">
        <f>IFERROR(__xludf.DUMMYFUNCTION("""COMPUTED_VALUE"""),10.0)</f>
        <v>10</v>
      </c>
      <c r="B3267" s="4">
        <f>IFERROR(__xludf.DUMMYFUNCTION("""COMPUTED_VALUE"""),10.0)</f>
        <v>10</v>
      </c>
      <c r="C3267" s="4" t="str">
        <f>IFERROR(__xludf.DUMMYFUNCTION("""COMPUTED_VALUE"""),"WSB")</f>
        <v>WSB</v>
      </c>
      <c r="D3267" s="4" t="str">
        <f>IFERROR(__xludf.DUMMYFUNCTION("""COMPUTED_VALUE"""),"Jeff Malone")</f>
        <v>Jeff Malone</v>
      </c>
      <c r="E3267" s="4" t="str">
        <f>IFERROR(__xludf.DUMMYFUNCTION("""COMPUTED_VALUE"""),"Mississippi State")</f>
        <v>Mississippi State</v>
      </c>
      <c r="F3267" s="4">
        <f>IFERROR(__xludf.DUMMYFUNCTION("""COMPUTED_VALUE"""),13.0)</f>
        <v>13</v>
      </c>
      <c r="G3267" s="4">
        <f>IFERROR(__xludf.DUMMYFUNCTION("""COMPUTED_VALUE"""),905.0)</f>
        <v>905</v>
      </c>
      <c r="H3267" s="4">
        <f>IFERROR(__xludf.DUMMYFUNCTION("""COMPUTED_VALUE"""),29660.0)</f>
        <v>29660</v>
      </c>
      <c r="I3267" s="4">
        <f>IFERROR(__xludf.DUMMYFUNCTION("""COMPUTED_VALUE"""),17231.0)</f>
        <v>17231</v>
      </c>
      <c r="J3267" s="4">
        <f>IFERROR(__xludf.DUMMYFUNCTION("""COMPUTED_VALUE"""),2364.0)</f>
        <v>2364</v>
      </c>
      <c r="K3267" s="4">
        <f>IFERROR(__xludf.DUMMYFUNCTION("""COMPUTED_VALUE"""),2154.0)</f>
        <v>2154</v>
      </c>
      <c r="L3267" s="4">
        <f>IFERROR(__xludf.DUMMYFUNCTION("""COMPUTED_VALUE"""),0.484)</f>
        <v>0.484</v>
      </c>
      <c r="M3267" s="4">
        <f>IFERROR(__xludf.DUMMYFUNCTION("""COMPUTED_VALUE"""),0.268)</f>
        <v>0.268</v>
      </c>
      <c r="N3267" s="4">
        <f>IFERROR(__xludf.DUMMYFUNCTION("""COMPUTED_VALUE"""),0.871)</f>
        <v>0.871</v>
      </c>
      <c r="O3267" s="4">
        <f>IFERROR(__xludf.DUMMYFUNCTION("""COMPUTED_VALUE"""),32.8)</f>
        <v>32.8</v>
      </c>
      <c r="P3267" s="4">
        <f>IFERROR(__xludf.DUMMYFUNCTION("""COMPUTED_VALUE"""),19.0)</f>
        <v>19</v>
      </c>
      <c r="Q3267" s="4">
        <f>IFERROR(__xludf.DUMMYFUNCTION("""COMPUTED_VALUE"""),2.6)</f>
        <v>2.6</v>
      </c>
      <c r="R3267" s="4">
        <f>IFERROR(__xludf.DUMMYFUNCTION("""COMPUTED_VALUE"""),2.4)</f>
        <v>2.4</v>
      </c>
      <c r="S3267" s="4">
        <f>IFERROR(__xludf.DUMMYFUNCTION("""COMPUTED_VALUE"""),54.2)</f>
        <v>54.2</v>
      </c>
      <c r="T3267" s="4">
        <f>IFERROR(__xludf.DUMMYFUNCTION("""COMPUTED_VALUE"""),0.088)</f>
        <v>0.088</v>
      </c>
      <c r="U3267" s="4">
        <f>IFERROR(__xludf.DUMMYFUNCTION("""COMPUTED_VALUE"""),-1.5)</f>
        <v>-1.5</v>
      </c>
      <c r="V3267" s="4">
        <f>IFERROR(__xludf.DUMMYFUNCTION("""COMPUTED_VALUE"""),4.0)</f>
        <v>4</v>
      </c>
    </row>
    <row r="3268">
      <c r="A3268" s="4">
        <f>IFERROR(__xludf.DUMMYFUNCTION("""COMPUTED_VALUE"""),11.0)</f>
        <v>11</v>
      </c>
      <c r="B3268" s="4">
        <f>IFERROR(__xludf.DUMMYFUNCTION("""COMPUTED_VALUE"""),11.0)</f>
        <v>11</v>
      </c>
      <c r="C3268" s="4" t="str">
        <f>IFERROR(__xludf.DUMMYFUNCTION("""COMPUTED_VALUE"""),"DAL")</f>
        <v>DAL</v>
      </c>
      <c r="D3268" s="4" t="str">
        <f>IFERROR(__xludf.DUMMYFUNCTION("""COMPUTED_VALUE"""),"Derek Harper")</f>
        <v>Derek Harper</v>
      </c>
      <c r="E3268" s="4" t="str">
        <f>IFERROR(__xludf.DUMMYFUNCTION("""COMPUTED_VALUE"""),"Illinois")</f>
        <v>Illinois</v>
      </c>
      <c r="F3268" s="4">
        <f>IFERROR(__xludf.DUMMYFUNCTION("""COMPUTED_VALUE"""),16.0)</f>
        <v>16</v>
      </c>
      <c r="G3268" s="4">
        <f>IFERROR(__xludf.DUMMYFUNCTION("""COMPUTED_VALUE"""),1199.0)</f>
        <v>1199</v>
      </c>
      <c r="H3268" s="4">
        <f>IFERROR(__xludf.DUMMYFUNCTION("""COMPUTED_VALUE"""),37786.0)</f>
        <v>37786</v>
      </c>
      <c r="I3268" s="4">
        <f>IFERROR(__xludf.DUMMYFUNCTION("""COMPUTED_VALUE"""),16006.0)</f>
        <v>16006</v>
      </c>
      <c r="J3268" s="4">
        <f>IFERROR(__xludf.DUMMYFUNCTION("""COMPUTED_VALUE"""),2884.0)</f>
        <v>2884</v>
      </c>
      <c r="K3268" s="4">
        <f>IFERROR(__xludf.DUMMYFUNCTION("""COMPUTED_VALUE"""),6577.0)</f>
        <v>6577</v>
      </c>
      <c r="L3268" s="4">
        <f>IFERROR(__xludf.DUMMYFUNCTION("""COMPUTED_VALUE"""),0.463)</f>
        <v>0.463</v>
      </c>
      <c r="M3268" s="4">
        <f>IFERROR(__xludf.DUMMYFUNCTION("""COMPUTED_VALUE"""),0.354)</f>
        <v>0.354</v>
      </c>
      <c r="N3268" s="4">
        <f>IFERROR(__xludf.DUMMYFUNCTION("""COMPUTED_VALUE"""),0.745)</f>
        <v>0.745</v>
      </c>
      <c r="O3268" s="4">
        <f>IFERROR(__xludf.DUMMYFUNCTION("""COMPUTED_VALUE"""),31.5)</f>
        <v>31.5</v>
      </c>
      <c r="P3268" s="4">
        <f>IFERROR(__xludf.DUMMYFUNCTION("""COMPUTED_VALUE"""),13.3)</f>
        <v>13.3</v>
      </c>
      <c r="Q3268" s="4">
        <f>IFERROR(__xludf.DUMMYFUNCTION("""COMPUTED_VALUE"""),2.4)</f>
        <v>2.4</v>
      </c>
      <c r="R3268" s="4">
        <f>IFERROR(__xludf.DUMMYFUNCTION("""COMPUTED_VALUE"""),5.5)</f>
        <v>5.5</v>
      </c>
      <c r="S3268" s="4">
        <f>IFERROR(__xludf.DUMMYFUNCTION("""COMPUTED_VALUE"""),86.8)</f>
        <v>86.8</v>
      </c>
      <c r="T3268" s="4">
        <f>IFERROR(__xludf.DUMMYFUNCTION("""COMPUTED_VALUE"""),0.11)</f>
        <v>0.11</v>
      </c>
      <c r="U3268" s="4">
        <f>IFERROR(__xludf.DUMMYFUNCTION("""COMPUTED_VALUE"""),1.8)</f>
        <v>1.8</v>
      </c>
      <c r="V3268" s="4">
        <f>IFERROR(__xludf.DUMMYFUNCTION("""COMPUTED_VALUE"""),35.7)</f>
        <v>35.7</v>
      </c>
    </row>
    <row r="3269">
      <c r="A3269" s="4">
        <f>IFERROR(__xludf.DUMMYFUNCTION("""COMPUTED_VALUE"""),12.0)</f>
        <v>12</v>
      </c>
      <c r="B3269" s="4">
        <f>IFERROR(__xludf.DUMMYFUNCTION("""COMPUTED_VALUE"""),12.0)</f>
        <v>12</v>
      </c>
      <c r="C3269" s="4" t="str">
        <f>IFERROR(__xludf.DUMMYFUNCTION("""COMPUTED_VALUE"""),"NYK")</f>
        <v>NYK</v>
      </c>
      <c r="D3269" s="4" t="str">
        <f>IFERROR(__xludf.DUMMYFUNCTION("""COMPUTED_VALUE"""),"Darrell Walker")</f>
        <v>Darrell Walker</v>
      </c>
      <c r="E3269" s="4" t="str">
        <f>IFERROR(__xludf.DUMMYFUNCTION("""COMPUTED_VALUE"""),"Arkansas")</f>
        <v>Arkansas</v>
      </c>
      <c r="F3269" s="4">
        <f>IFERROR(__xludf.DUMMYFUNCTION("""COMPUTED_VALUE"""),10.0)</f>
        <v>10</v>
      </c>
      <c r="G3269" s="4">
        <f>IFERROR(__xludf.DUMMYFUNCTION("""COMPUTED_VALUE"""),720.0)</f>
        <v>720</v>
      </c>
      <c r="H3269" s="4">
        <f>IFERROR(__xludf.DUMMYFUNCTION("""COMPUTED_VALUE"""),18601.0)</f>
        <v>18601</v>
      </c>
      <c r="I3269" s="4">
        <f>IFERROR(__xludf.DUMMYFUNCTION("""COMPUTED_VALUE"""),6389.0)</f>
        <v>6389</v>
      </c>
      <c r="J3269" s="4">
        <f>IFERROR(__xludf.DUMMYFUNCTION("""COMPUTED_VALUE"""),3134.0)</f>
        <v>3134</v>
      </c>
      <c r="K3269" s="4">
        <f>IFERROR(__xludf.DUMMYFUNCTION("""COMPUTED_VALUE"""),3276.0)</f>
        <v>3276</v>
      </c>
      <c r="L3269" s="4">
        <f>IFERROR(__xludf.DUMMYFUNCTION("""COMPUTED_VALUE"""),0.435)</f>
        <v>0.435</v>
      </c>
      <c r="M3269" s="4">
        <f>IFERROR(__xludf.DUMMYFUNCTION("""COMPUTED_VALUE"""),0.059)</f>
        <v>0.059</v>
      </c>
      <c r="N3269" s="4">
        <f>IFERROR(__xludf.DUMMYFUNCTION("""COMPUTED_VALUE"""),0.713)</f>
        <v>0.713</v>
      </c>
      <c r="O3269" s="4">
        <f>IFERROR(__xludf.DUMMYFUNCTION("""COMPUTED_VALUE"""),25.8)</f>
        <v>25.8</v>
      </c>
      <c r="P3269" s="4">
        <f>IFERROR(__xludf.DUMMYFUNCTION("""COMPUTED_VALUE"""),8.9)</f>
        <v>8.9</v>
      </c>
      <c r="Q3269" s="4">
        <f>IFERROR(__xludf.DUMMYFUNCTION("""COMPUTED_VALUE"""),4.4)</f>
        <v>4.4</v>
      </c>
      <c r="R3269" s="4">
        <f>IFERROR(__xludf.DUMMYFUNCTION("""COMPUTED_VALUE"""),4.6)</f>
        <v>4.6</v>
      </c>
      <c r="S3269" s="4">
        <f>IFERROR(__xludf.DUMMYFUNCTION("""COMPUTED_VALUE"""),27.4)</f>
        <v>27.4</v>
      </c>
      <c r="T3269" s="4">
        <f>IFERROR(__xludf.DUMMYFUNCTION("""COMPUTED_VALUE"""),0.071)</f>
        <v>0.071</v>
      </c>
      <c r="U3269" s="4">
        <f>IFERROR(__xludf.DUMMYFUNCTION("""COMPUTED_VALUE"""),0.8)</f>
        <v>0.8</v>
      </c>
      <c r="V3269" s="4">
        <f>IFERROR(__xludf.DUMMYFUNCTION("""COMPUTED_VALUE"""),13.0)</f>
        <v>13</v>
      </c>
    </row>
    <row r="3270">
      <c r="A3270" s="4">
        <f>IFERROR(__xludf.DUMMYFUNCTION("""COMPUTED_VALUE"""),13.0)</f>
        <v>13</v>
      </c>
      <c r="B3270" s="4">
        <f>IFERROR(__xludf.DUMMYFUNCTION("""COMPUTED_VALUE"""),13.0)</f>
        <v>13</v>
      </c>
      <c r="C3270" s="4" t="str">
        <f>IFERROR(__xludf.DUMMYFUNCTION("""COMPUTED_VALUE"""),"KCK")</f>
        <v>KCK</v>
      </c>
      <c r="D3270" s="4" t="str">
        <f>IFERROR(__xludf.DUMMYFUNCTION("""COMPUTED_VALUE"""),"Ennis Whatley")</f>
        <v>Ennis Whatley</v>
      </c>
      <c r="E3270" s="4" t="str">
        <f>IFERROR(__xludf.DUMMYFUNCTION("""COMPUTED_VALUE"""),"Alabama")</f>
        <v>Alabama</v>
      </c>
      <c r="F3270" s="4">
        <f>IFERROR(__xludf.DUMMYFUNCTION("""COMPUTED_VALUE"""),10.0)</f>
        <v>10</v>
      </c>
      <c r="G3270" s="4">
        <f>IFERROR(__xludf.DUMMYFUNCTION("""COMPUTED_VALUE"""),385.0)</f>
        <v>385</v>
      </c>
      <c r="H3270" s="4">
        <f>IFERROR(__xludf.DUMMYFUNCTION("""COMPUTED_VALUE"""),7108.0)</f>
        <v>7108</v>
      </c>
      <c r="I3270" s="4">
        <f>IFERROR(__xludf.DUMMYFUNCTION("""COMPUTED_VALUE"""),2150.0)</f>
        <v>2150</v>
      </c>
      <c r="J3270" s="4">
        <f>IFERROR(__xludf.DUMMYFUNCTION("""COMPUTED_VALUE"""),679.0)</f>
        <v>679</v>
      </c>
      <c r="K3270" s="4">
        <f>IFERROR(__xludf.DUMMYFUNCTION("""COMPUTED_VALUE"""),1754.0)</f>
        <v>1754</v>
      </c>
      <c r="L3270" s="4">
        <f>IFERROR(__xludf.DUMMYFUNCTION("""COMPUTED_VALUE"""),0.468)</f>
        <v>0.468</v>
      </c>
      <c r="M3270" s="4">
        <f>IFERROR(__xludf.DUMMYFUNCTION("""COMPUTED_VALUE"""),0.097)</f>
        <v>0.097</v>
      </c>
      <c r="N3270" s="4">
        <f>IFERROR(__xludf.DUMMYFUNCTION("""COMPUTED_VALUE"""),0.755)</f>
        <v>0.755</v>
      </c>
      <c r="O3270" s="4">
        <f>IFERROR(__xludf.DUMMYFUNCTION("""COMPUTED_VALUE"""),18.5)</f>
        <v>18.5</v>
      </c>
      <c r="P3270" s="4">
        <f>IFERROR(__xludf.DUMMYFUNCTION("""COMPUTED_VALUE"""),5.6)</f>
        <v>5.6</v>
      </c>
      <c r="Q3270" s="4">
        <f>IFERROR(__xludf.DUMMYFUNCTION("""COMPUTED_VALUE"""),1.8)</f>
        <v>1.8</v>
      </c>
      <c r="R3270" s="4">
        <f>IFERROR(__xludf.DUMMYFUNCTION("""COMPUTED_VALUE"""),4.6)</f>
        <v>4.6</v>
      </c>
      <c r="S3270" s="4">
        <f>IFERROR(__xludf.DUMMYFUNCTION("""COMPUTED_VALUE"""),9.6)</f>
        <v>9.6</v>
      </c>
      <c r="T3270" s="4">
        <f>IFERROR(__xludf.DUMMYFUNCTION("""COMPUTED_VALUE"""),0.065)</f>
        <v>0.065</v>
      </c>
      <c r="U3270" s="4">
        <f>IFERROR(__xludf.DUMMYFUNCTION("""COMPUTED_VALUE"""),-0.9)</f>
        <v>-0.9</v>
      </c>
      <c r="V3270" s="4">
        <f>IFERROR(__xludf.DUMMYFUNCTION("""COMPUTED_VALUE"""),2.0)</f>
        <v>2</v>
      </c>
    </row>
    <row r="3271">
      <c r="A3271" s="4">
        <f>IFERROR(__xludf.DUMMYFUNCTION("""COMPUTED_VALUE"""),14.0)</f>
        <v>14</v>
      </c>
      <c r="B3271" s="4">
        <f>IFERROR(__xludf.DUMMYFUNCTION("""COMPUTED_VALUE"""),14.0)</f>
        <v>14</v>
      </c>
      <c r="C3271" s="4" t="str">
        <f>IFERROR(__xludf.DUMMYFUNCTION("""COMPUTED_VALUE"""),"POR")</f>
        <v>POR</v>
      </c>
      <c r="D3271" s="4" t="str">
        <f>IFERROR(__xludf.DUMMYFUNCTION("""COMPUTED_VALUE"""),"Clyde Drexler")</f>
        <v>Clyde Drexler</v>
      </c>
      <c r="E3271" s="4" t="str">
        <f>IFERROR(__xludf.DUMMYFUNCTION("""COMPUTED_VALUE"""),"Houston")</f>
        <v>Houston</v>
      </c>
      <c r="F3271" s="4">
        <f>IFERROR(__xludf.DUMMYFUNCTION("""COMPUTED_VALUE"""),15.0)</f>
        <v>15</v>
      </c>
      <c r="G3271" s="4">
        <f>IFERROR(__xludf.DUMMYFUNCTION("""COMPUTED_VALUE"""),1086.0)</f>
        <v>1086</v>
      </c>
      <c r="H3271" s="4">
        <f>IFERROR(__xludf.DUMMYFUNCTION("""COMPUTED_VALUE"""),37537.0)</f>
        <v>37537</v>
      </c>
      <c r="I3271" s="4">
        <f>IFERROR(__xludf.DUMMYFUNCTION("""COMPUTED_VALUE"""),22195.0)</f>
        <v>22195</v>
      </c>
      <c r="J3271" s="4">
        <f>IFERROR(__xludf.DUMMYFUNCTION("""COMPUTED_VALUE"""),6677.0)</f>
        <v>6677</v>
      </c>
      <c r="K3271" s="4">
        <f>IFERROR(__xludf.DUMMYFUNCTION("""COMPUTED_VALUE"""),6125.0)</f>
        <v>6125</v>
      </c>
      <c r="L3271" s="4">
        <f>IFERROR(__xludf.DUMMYFUNCTION("""COMPUTED_VALUE"""),0.472)</f>
        <v>0.472</v>
      </c>
      <c r="M3271" s="4">
        <f>IFERROR(__xludf.DUMMYFUNCTION("""COMPUTED_VALUE"""),0.318)</f>
        <v>0.318</v>
      </c>
      <c r="N3271" s="4">
        <f>IFERROR(__xludf.DUMMYFUNCTION("""COMPUTED_VALUE"""),0.788)</f>
        <v>0.788</v>
      </c>
      <c r="O3271" s="4">
        <f>IFERROR(__xludf.DUMMYFUNCTION("""COMPUTED_VALUE"""),34.6)</f>
        <v>34.6</v>
      </c>
      <c r="P3271" s="4">
        <f>IFERROR(__xludf.DUMMYFUNCTION("""COMPUTED_VALUE"""),20.4)</f>
        <v>20.4</v>
      </c>
      <c r="Q3271" s="4">
        <f>IFERROR(__xludf.DUMMYFUNCTION("""COMPUTED_VALUE"""),6.1)</f>
        <v>6.1</v>
      </c>
      <c r="R3271" s="4">
        <f>IFERROR(__xludf.DUMMYFUNCTION("""COMPUTED_VALUE"""),5.6)</f>
        <v>5.6</v>
      </c>
      <c r="S3271" s="4">
        <f>IFERROR(__xludf.DUMMYFUNCTION("""COMPUTED_VALUE"""),135.6)</f>
        <v>135.6</v>
      </c>
      <c r="T3271" s="4">
        <f>IFERROR(__xludf.DUMMYFUNCTION("""COMPUTED_VALUE"""),0.173)</f>
        <v>0.173</v>
      </c>
      <c r="U3271" s="4">
        <f>IFERROR(__xludf.DUMMYFUNCTION("""COMPUTED_VALUE"""),5.4)</f>
        <v>5.4</v>
      </c>
      <c r="V3271" s="4">
        <f>IFERROR(__xludf.DUMMYFUNCTION("""COMPUTED_VALUE"""),70.2)</f>
        <v>70.2</v>
      </c>
    </row>
    <row r="3272">
      <c r="A3272" s="4">
        <f>IFERROR(__xludf.DUMMYFUNCTION("""COMPUTED_VALUE"""),15.0)</f>
        <v>15</v>
      </c>
      <c r="B3272" s="4">
        <f>IFERROR(__xludf.DUMMYFUNCTION("""COMPUTED_VALUE"""),15.0)</f>
        <v>15</v>
      </c>
      <c r="C3272" s="4" t="str">
        <f>IFERROR(__xludf.DUMMYFUNCTION("""COMPUTED_VALUE"""),"DEN")</f>
        <v>DEN</v>
      </c>
      <c r="D3272" s="4" t="str">
        <f>IFERROR(__xludf.DUMMYFUNCTION("""COMPUTED_VALUE"""),"Howard Carter")</f>
        <v>Howard Carter</v>
      </c>
      <c r="E3272" s="4" t="str">
        <f>IFERROR(__xludf.DUMMYFUNCTION("""COMPUTED_VALUE"""),"LSU")</f>
        <v>LSU</v>
      </c>
      <c r="F3272" s="4">
        <f>IFERROR(__xludf.DUMMYFUNCTION("""COMPUTED_VALUE"""),2.0)</f>
        <v>2</v>
      </c>
      <c r="G3272" s="4">
        <f>IFERROR(__xludf.DUMMYFUNCTION("""COMPUTED_VALUE"""),66.0)</f>
        <v>66</v>
      </c>
      <c r="H3272" s="4">
        <f>IFERROR(__xludf.DUMMYFUNCTION("""COMPUTED_VALUE"""),754.0)</f>
        <v>754</v>
      </c>
      <c r="I3272" s="4">
        <f>IFERROR(__xludf.DUMMYFUNCTION("""COMPUTED_VALUE"""),351.0)</f>
        <v>351</v>
      </c>
      <c r="J3272" s="4">
        <f>IFERROR(__xludf.DUMMYFUNCTION("""COMPUTED_VALUE"""),89.0)</f>
        <v>89</v>
      </c>
      <c r="K3272" s="4">
        <f>IFERROR(__xludf.DUMMYFUNCTION("""COMPUTED_VALUE"""),75.0)</f>
        <v>75</v>
      </c>
      <c r="L3272" s="4">
        <f>IFERROR(__xludf.DUMMYFUNCTION("""COMPUTED_VALUE"""),0.44)</f>
        <v>0.44</v>
      </c>
      <c r="M3272" s="4">
        <f>IFERROR(__xludf.DUMMYFUNCTION("""COMPUTED_VALUE"""),0.227)</f>
        <v>0.227</v>
      </c>
      <c r="N3272" s="4">
        <f>IFERROR(__xludf.DUMMYFUNCTION("""COMPUTED_VALUE"""),0.774)</f>
        <v>0.774</v>
      </c>
      <c r="O3272" s="4">
        <f>IFERROR(__xludf.DUMMYFUNCTION("""COMPUTED_VALUE"""),11.4)</f>
        <v>11.4</v>
      </c>
      <c r="P3272" s="4">
        <f>IFERROR(__xludf.DUMMYFUNCTION("""COMPUTED_VALUE"""),5.3)</f>
        <v>5.3</v>
      </c>
      <c r="Q3272" s="4">
        <f>IFERROR(__xludf.DUMMYFUNCTION("""COMPUTED_VALUE"""),1.3)</f>
        <v>1.3</v>
      </c>
      <c r="R3272" s="4">
        <f>IFERROR(__xludf.DUMMYFUNCTION("""COMPUTED_VALUE"""),1.1)</f>
        <v>1.1</v>
      </c>
      <c r="S3272" s="4">
        <f>IFERROR(__xludf.DUMMYFUNCTION("""COMPUTED_VALUE"""),0.0)</f>
        <v>0</v>
      </c>
      <c r="T3272" s="4">
        <f>IFERROR(__xludf.DUMMYFUNCTION("""COMPUTED_VALUE"""),-0.002)</f>
        <v>-0.002</v>
      </c>
      <c r="U3272" s="4">
        <f>IFERROR(__xludf.DUMMYFUNCTION("""COMPUTED_VALUE"""),-5.0)</f>
        <v>-5</v>
      </c>
      <c r="V3272" s="4">
        <f>IFERROR(__xludf.DUMMYFUNCTION("""COMPUTED_VALUE"""),-0.6)</f>
        <v>-0.6</v>
      </c>
    </row>
    <row r="3273">
      <c r="A3273" s="4">
        <f>IFERROR(__xludf.DUMMYFUNCTION("""COMPUTED_VALUE"""),16.0)</f>
        <v>16</v>
      </c>
      <c r="B3273" s="4">
        <f>IFERROR(__xludf.DUMMYFUNCTION("""COMPUTED_VALUE"""),16.0)</f>
        <v>16</v>
      </c>
      <c r="C3273" s="4" t="str">
        <f>IFERROR(__xludf.DUMMYFUNCTION("""COMPUTED_VALUE"""),"SEA")</f>
        <v>SEA</v>
      </c>
      <c r="D3273" s="4" t="str">
        <f>IFERROR(__xludf.DUMMYFUNCTION("""COMPUTED_VALUE"""),"Jon Sundvold")</f>
        <v>Jon Sundvold</v>
      </c>
      <c r="E3273" s="4" t="str">
        <f>IFERROR(__xludf.DUMMYFUNCTION("""COMPUTED_VALUE"""),"Missouri")</f>
        <v>Missouri</v>
      </c>
      <c r="F3273" s="4">
        <f>IFERROR(__xludf.DUMMYFUNCTION("""COMPUTED_VALUE"""),9.0)</f>
        <v>9</v>
      </c>
      <c r="G3273" s="4">
        <f>IFERROR(__xludf.DUMMYFUNCTION("""COMPUTED_VALUE"""),502.0)</f>
        <v>502</v>
      </c>
      <c r="H3273" s="4">
        <f>IFERROR(__xludf.DUMMYFUNCTION("""COMPUTED_VALUE"""),8811.0)</f>
        <v>8811</v>
      </c>
      <c r="I3273" s="4">
        <f>IFERROR(__xludf.DUMMYFUNCTION("""COMPUTED_VALUE"""),3886.0)</f>
        <v>3886</v>
      </c>
      <c r="J3273" s="4">
        <f>IFERROR(__xludf.DUMMYFUNCTION("""COMPUTED_VALUE"""),554.0)</f>
        <v>554</v>
      </c>
      <c r="K3273" s="4">
        <f>IFERROR(__xludf.DUMMYFUNCTION("""COMPUTED_VALUE"""),1469.0)</f>
        <v>1469</v>
      </c>
      <c r="L3273" s="4">
        <f>IFERROR(__xludf.DUMMYFUNCTION("""COMPUTED_VALUE"""),0.452)</f>
        <v>0.452</v>
      </c>
      <c r="M3273" s="4">
        <f>IFERROR(__xludf.DUMMYFUNCTION("""COMPUTED_VALUE"""),0.392)</f>
        <v>0.392</v>
      </c>
      <c r="N3273" s="4">
        <f>IFERROR(__xludf.DUMMYFUNCTION("""COMPUTED_VALUE"""),0.849)</f>
        <v>0.849</v>
      </c>
      <c r="O3273" s="4">
        <f>IFERROR(__xludf.DUMMYFUNCTION("""COMPUTED_VALUE"""),17.6)</f>
        <v>17.6</v>
      </c>
      <c r="P3273" s="4">
        <f>IFERROR(__xludf.DUMMYFUNCTION("""COMPUTED_VALUE"""),7.7)</f>
        <v>7.7</v>
      </c>
      <c r="Q3273" s="4">
        <f>IFERROR(__xludf.DUMMYFUNCTION("""COMPUTED_VALUE"""),1.1)</f>
        <v>1.1</v>
      </c>
      <c r="R3273" s="4">
        <f>IFERROR(__xludf.DUMMYFUNCTION("""COMPUTED_VALUE"""),2.9)</f>
        <v>2.9</v>
      </c>
      <c r="S3273" s="4">
        <f>IFERROR(__xludf.DUMMYFUNCTION("""COMPUTED_VALUE"""),8.9)</f>
        <v>8.9</v>
      </c>
      <c r="T3273" s="4">
        <f>IFERROR(__xludf.DUMMYFUNCTION("""COMPUTED_VALUE"""),0.048)</f>
        <v>0.048</v>
      </c>
      <c r="U3273" s="4">
        <f>IFERROR(__xludf.DUMMYFUNCTION("""COMPUTED_VALUE"""),-2.4)</f>
        <v>-2.4</v>
      </c>
      <c r="V3273" s="4">
        <f>IFERROR(__xludf.DUMMYFUNCTION("""COMPUTED_VALUE"""),-0.9)</f>
        <v>-0.9</v>
      </c>
    </row>
    <row r="3274">
      <c r="A3274" s="4">
        <f>IFERROR(__xludf.DUMMYFUNCTION("""COMPUTED_VALUE"""),17.0)</f>
        <v>17</v>
      </c>
      <c r="B3274" s="4">
        <f>IFERROR(__xludf.DUMMYFUNCTION("""COMPUTED_VALUE"""),17.0)</f>
        <v>17</v>
      </c>
      <c r="C3274" s="4" t="str">
        <f>IFERROR(__xludf.DUMMYFUNCTION("""COMPUTED_VALUE"""),"PHI")</f>
        <v>PHI</v>
      </c>
      <c r="D3274" s="4" t="str">
        <f>IFERROR(__xludf.DUMMYFUNCTION("""COMPUTED_VALUE"""),"Leo Rautins")</f>
        <v>Leo Rautins</v>
      </c>
      <c r="E3274" s="4" t="str">
        <f>IFERROR(__xludf.DUMMYFUNCTION("""COMPUTED_VALUE"""),"Syracuse")</f>
        <v>Syracuse</v>
      </c>
      <c r="F3274" s="4">
        <f>IFERROR(__xludf.DUMMYFUNCTION("""COMPUTED_VALUE"""),2.0)</f>
        <v>2</v>
      </c>
      <c r="G3274" s="4">
        <f>IFERROR(__xludf.DUMMYFUNCTION("""COMPUTED_VALUE"""),32.0)</f>
        <v>32</v>
      </c>
      <c r="H3274" s="4">
        <f>IFERROR(__xludf.DUMMYFUNCTION("""COMPUTED_VALUE"""),208.0)</f>
        <v>208</v>
      </c>
      <c r="I3274" s="4">
        <f>IFERROR(__xludf.DUMMYFUNCTION("""COMPUTED_VALUE"""),48.0)</f>
        <v>48</v>
      </c>
      <c r="J3274" s="4">
        <f>IFERROR(__xludf.DUMMYFUNCTION("""COMPUTED_VALUE"""),35.0)</f>
        <v>35</v>
      </c>
      <c r="K3274" s="4">
        <f>IFERROR(__xludf.DUMMYFUNCTION("""COMPUTED_VALUE"""),32.0)</f>
        <v>32</v>
      </c>
      <c r="L3274" s="4">
        <f>IFERROR(__xludf.DUMMYFUNCTION("""COMPUTED_VALUE"""),0.35)</f>
        <v>0.35</v>
      </c>
      <c r="M3274" s="4"/>
      <c r="N3274" s="4">
        <f>IFERROR(__xludf.DUMMYFUNCTION("""COMPUTED_VALUE"""),0.6)</f>
        <v>0.6</v>
      </c>
      <c r="O3274" s="4">
        <f>IFERROR(__xludf.DUMMYFUNCTION("""COMPUTED_VALUE"""),6.5)</f>
        <v>6.5</v>
      </c>
      <c r="P3274" s="4">
        <f>IFERROR(__xludf.DUMMYFUNCTION("""COMPUTED_VALUE"""),1.5)</f>
        <v>1.5</v>
      </c>
      <c r="Q3274" s="4">
        <f>IFERROR(__xludf.DUMMYFUNCTION("""COMPUTED_VALUE"""),1.1)</f>
        <v>1.1</v>
      </c>
      <c r="R3274" s="4">
        <f>IFERROR(__xludf.DUMMYFUNCTION("""COMPUTED_VALUE"""),1.0)</f>
        <v>1</v>
      </c>
      <c r="S3274" s="4">
        <f>IFERROR(__xludf.DUMMYFUNCTION("""COMPUTED_VALUE"""),-0.1)</f>
        <v>-0.1</v>
      </c>
      <c r="T3274" s="4">
        <f>IFERROR(__xludf.DUMMYFUNCTION("""COMPUTED_VALUE"""),-0.03)</f>
        <v>-0.03</v>
      </c>
      <c r="U3274" s="4">
        <f>IFERROR(__xludf.DUMMYFUNCTION("""COMPUTED_VALUE"""),-4.6)</f>
        <v>-4.6</v>
      </c>
      <c r="V3274" s="4">
        <f>IFERROR(__xludf.DUMMYFUNCTION("""COMPUTED_VALUE"""),-0.2)</f>
        <v>-0.2</v>
      </c>
    </row>
    <row r="3275">
      <c r="A3275" s="4">
        <f>IFERROR(__xludf.DUMMYFUNCTION("""COMPUTED_VALUE"""),18.0)</f>
        <v>18</v>
      </c>
      <c r="B3275" s="4">
        <f>IFERROR(__xludf.DUMMYFUNCTION("""COMPUTED_VALUE"""),18.0)</f>
        <v>18</v>
      </c>
      <c r="C3275" s="4" t="str">
        <f>IFERROR(__xludf.DUMMYFUNCTION("""COMPUTED_VALUE"""),"MIL")</f>
        <v>MIL</v>
      </c>
      <c r="D3275" s="4" t="str">
        <f>IFERROR(__xludf.DUMMYFUNCTION("""COMPUTED_VALUE"""),"Randy Breuer")</f>
        <v>Randy Breuer</v>
      </c>
      <c r="E3275" s="4" t="str">
        <f>IFERROR(__xludf.DUMMYFUNCTION("""COMPUTED_VALUE"""),"Minnesota")</f>
        <v>Minnesota</v>
      </c>
      <c r="F3275" s="4">
        <f>IFERROR(__xludf.DUMMYFUNCTION("""COMPUTED_VALUE"""),11.0)</f>
        <v>11</v>
      </c>
      <c r="G3275" s="4">
        <f>IFERROR(__xludf.DUMMYFUNCTION("""COMPUTED_VALUE"""),681.0)</f>
        <v>681</v>
      </c>
      <c r="H3275" s="4">
        <f>IFERROR(__xludf.DUMMYFUNCTION("""COMPUTED_VALUE"""),12499.0)</f>
        <v>12499</v>
      </c>
      <c r="I3275" s="4">
        <f>IFERROR(__xludf.DUMMYFUNCTION("""COMPUTED_VALUE"""),4599.0)</f>
        <v>4599</v>
      </c>
      <c r="J3275" s="4">
        <f>IFERROR(__xludf.DUMMYFUNCTION("""COMPUTED_VALUE"""),2986.0)</f>
        <v>2986</v>
      </c>
      <c r="K3275" s="4">
        <f>IFERROR(__xludf.DUMMYFUNCTION("""COMPUTED_VALUE"""),616.0)</f>
        <v>616</v>
      </c>
      <c r="L3275" s="4">
        <f>IFERROR(__xludf.DUMMYFUNCTION("""COMPUTED_VALUE"""),0.467)</f>
        <v>0.467</v>
      </c>
      <c r="M3275" s="4">
        <f>IFERROR(__xludf.DUMMYFUNCTION("""COMPUTED_VALUE"""),0.0)</f>
        <v>0</v>
      </c>
      <c r="N3275" s="4">
        <f>IFERROR(__xludf.DUMMYFUNCTION("""COMPUTED_VALUE"""),0.628)</f>
        <v>0.628</v>
      </c>
      <c r="O3275" s="4">
        <f>IFERROR(__xludf.DUMMYFUNCTION("""COMPUTED_VALUE"""),18.4)</f>
        <v>18.4</v>
      </c>
      <c r="P3275" s="4">
        <f>IFERROR(__xludf.DUMMYFUNCTION("""COMPUTED_VALUE"""),6.8)</f>
        <v>6.8</v>
      </c>
      <c r="Q3275" s="4">
        <f>IFERROR(__xludf.DUMMYFUNCTION("""COMPUTED_VALUE"""),4.4)</f>
        <v>4.4</v>
      </c>
      <c r="R3275" s="4">
        <f>IFERROR(__xludf.DUMMYFUNCTION("""COMPUTED_VALUE"""),0.9)</f>
        <v>0.9</v>
      </c>
      <c r="S3275" s="4">
        <f>IFERROR(__xludf.DUMMYFUNCTION("""COMPUTED_VALUE"""),20.9)</f>
        <v>20.9</v>
      </c>
      <c r="T3275" s="4">
        <f>IFERROR(__xludf.DUMMYFUNCTION("""COMPUTED_VALUE"""),0.08)</f>
        <v>0.08</v>
      </c>
      <c r="U3275" s="4">
        <f>IFERROR(__xludf.DUMMYFUNCTION("""COMPUTED_VALUE"""),-1.3)</f>
        <v>-1.3</v>
      </c>
      <c r="V3275" s="4">
        <f>IFERROR(__xludf.DUMMYFUNCTION("""COMPUTED_VALUE"""),2.3)</f>
        <v>2.3</v>
      </c>
    </row>
    <row r="3276">
      <c r="A3276" s="4">
        <f>IFERROR(__xludf.DUMMYFUNCTION("""COMPUTED_VALUE"""),19.0)</f>
        <v>19</v>
      </c>
      <c r="B3276" s="4">
        <f>IFERROR(__xludf.DUMMYFUNCTION("""COMPUTED_VALUE"""),19.0)</f>
        <v>19</v>
      </c>
      <c r="C3276" s="4" t="str">
        <f>IFERROR(__xludf.DUMMYFUNCTION("""COMPUTED_VALUE"""),"SAS")</f>
        <v>SAS</v>
      </c>
      <c r="D3276" s="4" t="str">
        <f>IFERROR(__xludf.DUMMYFUNCTION("""COMPUTED_VALUE"""),"John Paxson")</f>
        <v>John Paxson</v>
      </c>
      <c r="E3276" s="4" t="str">
        <f>IFERROR(__xludf.DUMMYFUNCTION("""COMPUTED_VALUE"""),"Notre Dame")</f>
        <v>Notre Dame</v>
      </c>
      <c r="F3276" s="4">
        <f>IFERROR(__xludf.DUMMYFUNCTION("""COMPUTED_VALUE"""),11.0)</f>
        <v>11</v>
      </c>
      <c r="G3276" s="4">
        <f>IFERROR(__xludf.DUMMYFUNCTION("""COMPUTED_VALUE"""),772.0)</f>
        <v>772</v>
      </c>
      <c r="H3276" s="4">
        <f>IFERROR(__xludf.DUMMYFUNCTION("""COMPUTED_VALUE"""),17257.0)</f>
        <v>17257</v>
      </c>
      <c r="I3276" s="4">
        <f>IFERROR(__xludf.DUMMYFUNCTION("""COMPUTED_VALUE"""),5560.0)</f>
        <v>5560</v>
      </c>
      <c r="J3276" s="4">
        <f>IFERROR(__xludf.DUMMYFUNCTION("""COMPUTED_VALUE"""),906.0)</f>
        <v>906</v>
      </c>
      <c r="K3276" s="4">
        <f>IFERROR(__xludf.DUMMYFUNCTION("""COMPUTED_VALUE"""),2758.0)</f>
        <v>2758</v>
      </c>
      <c r="L3276" s="4">
        <f>IFERROR(__xludf.DUMMYFUNCTION("""COMPUTED_VALUE"""),0.499)</f>
        <v>0.499</v>
      </c>
      <c r="M3276" s="4">
        <f>IFERROR(__xludf.DUMMYFUNCTION("""COMPUTED_VALUE"""),0.355)</f>
        <v>0.355</v>
      </c>
      <c r="N3276" s="4">
        <f>IFERROR(__xludf.DUMMYFUNCTION("""COMPUTED_VALUE"""),0.804)</f>
        <v>0.804</v>
      </c>
      <c r="O3276" s="4">
        <f>IFERROR(__xludf.DUMMYFUNCTION("""COMPUTED_VALUE"""),22.4)</f>
        <v>22.4</v>
      </c>
      <c r="P3276" s="4">
        <f>IFERROR(__xludf.DUMMYFUNCTION("""COMPUTED_VALUE"""),7.2)</f>
        <v>7.2</v>
      </c>
      <c r="Q3276" s="4">
        <f>IFERROR(__xludf.DUMMYFUNCTION("""COMPUTED_VALUE"""),1.2)</f>
        <v>1.2</v>
      </c>
      <c r="R3276" s="4">
        <f>IFERROR(__xludf.DUMMYFUNCTION("""COMPUTED_VALUE"""),3.6)</f>
        <v>3.6</v>
      </c>
      <c r="S3276" s="4">
        <f>IFERROR(__xludf.DUMMYFUNCTION("""COMPUTED_VALUE"""),36.3)</f>
        <v>36.3</v>
      </c>
      <c r="T3276" s="4">
        <f>IFERROR(__xludf.DUMMYFUNCTION("""COMPUTED_VALUE"""),0.101)</f>
        <v>0.101</v>
      </c>
      <c r="U3276" s="4">
        <f>IFERROR(__xludf.DUMMYFUNCTION("""COMPUTED_VALUE"""),-1.3)</f>
        <v>-1.3</v>
      </c>
      <c r="V3276" s="4">
        <f>IFERROR(__xludf.DUMMYFUNCTION("""COMPUTED_VALUE"""),3.0)</f>
        <v>3</v>
      </c>
    </row>
    <row r="3277">
      <c r="A3277" s="4">
        <f>IFERROR(__xludf.DUMMYFUNCTION("""COMPUTED_VALUE"""),20.0)</f>
        <v>20</v>
      </c>
      <c r="B3277" s="4">
        <f>IFERROR(__xludf.DUMMYFUNCTION("""COMPUTED_VALUE"""),20.0)</f>
        <v>20</v>
      </c>
      <c r="C3277" s="4" t="str">
        <f>IFERROR(__xludf.DUMMYFUNCTION("""COMPUTED_VALUE"""),"CLE")</f>
        <v>CLE</v>
      </c>
      <c r="D3277" s="4" t="str">
        <f>IFERROR(__xludf.DUMMYFUNCTION("""COMPUTED_VALUE"""),"Roy Hinson")</f>
        <v>Roy Hinson</v>
      </c>
      <c r="E3277" s="4" t="str">
        <f>IFERROR(__xludf.DUMMYFUNCTION("""COMPUTED_VALUE"""),"Rutgers University")</f>
        <v>Rutgers University</v>
      </c>
      <c r="F3277" s="4">
        <f>IFERROR(__xludf.DUMMYFUNCTION("""COMPUTED_VALUE"""),8.0)</f>
        <v>8</v>
      </c>
      <c r="G3277" s="4">
        <f>IFERROR(__xludf.DUMMYFUNCTION("""COMPUTED_VALUE"""),507.0)</f>
        <v>507</v>
      </c>
      <c r="H3277" s="4">
        <f>IFERROR(__xludf.DUMMYFUNCTION("""COMPUTED_VALUE"""),15543.0)</f>
        <v>15543</v>
      </c>
      <c r="I3277" s="4">
        <f>IFERROR(__xludf.DUMMYFUNCTION("""COMPUTED_VALUE"""),7206.0)</f>
        <v>7206</v>
      </c>
      <c r="J3277" s="4">
        <f>IFERROR(__xludf.DUMMYFUNCTION("""COMPUTED_VALUE"""),3452.0)</f>
        <v>3452</v>
      </c>
      <c r="K3277" s="4">
        <f>IFERROR(__xludf.DUMMYFUNCTION("""COMPUTED_VALUE"""),495.0)</f>
        <v>495</v>
      </c>
      <c r="L3277" s="4">
        <f>IFERROR(__xludf.DUMMYFUNCTION("""COMPUTED_VALUE"""),0.499)</f>
        <v>0.499</v>
      </c>
      <c r="M3277" s="4">
        <f>IFERROR(__xludf.DUMMYFUNCTION("""COMPUTED_VALUE"""),0.0)</f>
        <v>0</v>
      </c>
      <c r="N3277" s="4">
        <f>IFERROR(__xludf.DUMMYFUNCTION("""COMPUTED_VALUE"""),0.741)</f>
        <v>0.741</v>
      </c>
      <c r="O3277" s="4">
        <f>IFERROR(__xludf.DUMMYFUNCTION("""COMPUTED_VALUE"""),30.7)</f>
        <v>30.7</v>
      </c>
      <c r="P3277" s="4">
        <f>IFERROR(__xludf.DUMMYFUNCTION("""COMPUTED_VALUE"""),14.2)</f>
        <v>14.2</v>
      </c>
      <c r="Q3277" s="4">
        <f>IFERROR(__xludf.DUMMYFUNCTION("""COMPUTED_VALUE"""),6.8)</f>
        <v>6.8</v>
      </c>
      <c r="R3277" s="4">
        <f>IFERROR(__xludf.DUMMYFUNCTION("""COMPUTED_VALUE"""),1.0)</f>
        <v>1</v>
      </c>
      <c r="S3277" s="4">
        <f>IFERROR(__xludf.DUMMYFUNCTION("""COMPUTED_VALUE"""),30.2)</f>
        <v>30.2</v>
      </c>
      <c r="T3277" s="4">
        <f>IFERROR(__xludf.DUMMYFUNCTION("""COMPUTED_VALUE"""),0.093)</f>
        <v>0.093</v>
      </c>
      <c r="U3277" s="4">
        <f>IFERROR(__xludf.DUMMYFUNCTION("""COMPUTED_VALUE"""),-1.1)</f>
        <v>-1.1</v>
      </c>
      <c r="V3277" s="4">
        <f>IFERROR(__xludf.DUMMYFUNCTION("""COMPUTED_VALUE"""),3.4)</f>
        <v>3.4</v>
      </c>
    </row>
    <row r="3278">
      <c r="A3278" s="4">
        <f>IFERROR(__xludf.DUMMYFUNCTION("""COMPUTED_VALUE"""),21.0)</f>
        <v>21</v>
      </c>
      <c r="B3278" s="4">
        <f>IFERROR(__xludf.DUMMYFUNCTION("""COMPUTED_VALUE"""),21.0)</f>
        <v>21</v>
      </c>
      <c r="C3278" s="4" t="str">
        <f>IFERROR(__xludf.DUMMYFUNCTION("""COMPUTED_VALUE"""),"BOS")</f>
        <v>BOS</v>
      </c>
      <c r="D3278" s="4" t="str">
        <f>IFERROR(__xludf.DUMMYFUNCTION("""COMPUTED_VALUE"""),"Greg Kite")</f>
        <v>Greg Kite</v>
      </c>
      <c r="E3278" s="4" t="str">
        <f>IFERROR(__xludf.DUMMYFUNCTION("""COMPUTED_VALUE"""),"BYU")</f>
        <v>BYU</v>
      </c>
      <c r="F3278" s="4">
        <f>IFERROR(__xludf.DUMMYFUNCTION("""COMPUTED_VALUE"""),12.0)</f>
        <v>12</v>
      </c>
      <c r="G3278" s="4">
        <f>IFERROR(__xludf.DUMMYFUNCTION("""COMPUTED_VALUE"""),680.0)</f>
        <v>680</v>
      </c>
      <c r="H3278" s="4">
        <f>IFERROR(__xludf.DUMMYFUNCTION("""COMPUTED_VALUE"""),10080.0)</f>
        <v>10080</v>
      </c>
      <c r="I3278" s="4">
        <f>IFERROR(__xludf.DUMMYFUNCTION("""COMPUTED_VALUE"""),1717.0)</f>
        <v>1717</v>
      </c>
      <c r="J3278" s="4">
        <f>IFERROR(__xludf.DUMMYFUNCTION("""COMPUTED_VALUE"""),2607.0)</f>
        <v>2607</v>
      </c>
      <c r="K3278" s="4">
        <f>IFERROR(__xludf.DUMMYFUNCTION("""COMPUTED_VALUE"""),345.0)</f>
        <v>345</v>
      </c>
      <c r="L3278" s="4">
        <f>IFERROR(__xludf.DUMMYFUNCTION("""COMPUTED_VALUE"""),0.438)</f>
        <v>0.438</v>
      </c>
      <c r="M3278" s="4">
        <f>IFERROR(__xludf.DUMMYFUNCTION("""COMPUTED_VALUE"""),0.167)</f>
        <v>0.167</v>
      </c>
      <c r="N3278" s="4">
        <f>IFERROR(__xludf.DUMMYFUNCTION("""COMPUTED_VALUE"""),0.486)</f>
        <v>0.486</v>
      </c>
      <c r="O3278" s="4">
        <f>IFERROR(__xludf.DUMMYFUNCTION("""COMPUTED_VALUE"""),14.8)</f>
        <v>14.8</v>
      </c>
      <c r="P3278" s="4">
        <f>IFERROR(__xludf.DUMMYFUNCTION("""COMPUTED_VALUE"""),2.5)</f>
        <v>2.5</v>
      </c>
      <c r="Q3278" s="4">
        <f>IFERROR(__xludf.DUMMYFUNCTION("""COMPUTED_VALUE"""),3.8)</f>
        <v>3.8</v>
      </c>
      <c r="R3278" s="4">
        <f>IFERROR(__xludf.DUMMYFUNCTION("""COMPUTED_VALUE"""),0.5)</f>
        <v>0.5</v>
      </c>
      <c r="S3278" s="4">
        <f>IFERROR(__xludf.DUMMYFUNCTION("""COMPUTED_VALUE"""),5.6)</f>
        <v>5.6</v>
      </c>
      <c r="T3278" s="4">
        <f>IFERROR(__xludf.DUMMYFUNCTION("""COMPUTED_VALUE"""),0.027)</f>
        <v>0.027</v>
      </c>
      <c r="U3278" s="4">
        <f>IFERROR(__xludf.DUMMYFUNCTION("""COMPUTED_VALUE"""),-4.6)</f>
        <v>-4.6</v>
      </c>
      <c r="V3278" s="4">
        <f>IFERROR(__xludf.DUMMYFUNCTION("""COMPUTED_VALUE"""),-6.7)</f>
        <v>-6.7</v>
      </c>
    </row>
    <row r="3279">
      <c r="A3279" s="4">
        <f>IFERROR(__xludf.DUMMYFUNCTION("""COMPUTED_VALUE"""),22.0)</f>
        <v>22</v>
      </c>
      <c r="B3279" s="4">
        <f>IFERROR(__xludf.DUMMYFUNCTION("""COMPUTED_VALUE"""),22.0)</f>
        <v>22</v>
      </c>
      <c r="C3279" s="4" t="str">
        <f>IFERROR(__xludf.DUMMYFUNCTION("""COMPUTED_VALUE"""),"WSB")</f>
        <v>WSB</v>
      </c>
      <c r="D3279" s="4" t="str">
        <f>IFERROR(__xludf.DUMMYFUNCTION("""COMPUTED_VALUE"""),"Randy Wittman")</f>
        <v>Randy Wittman</v>
      </c>
      <c r="E3279" s="4" t="str">
        <f>IFERROR(__xludf.DUMMYFUNCTION("""COMPUTED_VALUE"""),"Indiana")</f>
        <v>Indiana</v>
      </c>
      <c r="F3279" s="4">
        <f>IFERROR(__xludf.DUMMYFUNCTION("""COMPUTED_VALUE"""),9.0)</f>
        <v>9</v>
      </c>
      <c r="G3279" s="4">
        <f>IFERROR(__xludf.DUMMYFUNCTION("""COMPUTED_VALUE"""),543.0)</f>
        <v>543</v>
      </c>
      <c r="H3279" s="4">
        <f>IFERROR(__xludf.DUMMYFUNCTION("""COMPUTED_VALUE"""),11594.0)</f>
        <v>11594</v>
      </c>
      <c r="I3279" s="4">
        <f>IFERROR(__xludf.DUMMYFUNCTION("""COMPUTED_VALUE"""),4034.0)</f>
        <v>4034</v>
      </c>
      <c r="J3279" s="4">
        <f>IFERROR(__xludf.DUMMYFUNCTION("""COMPUTED_VALUE"""),760.0)</f>
        <v>760</v>
      </c>
      <c r="K3279" s="4">
        <f>IFERROR(__xludf.DUMMYFUNCTION("""COMPUTED_VALUE"""),1201.0)</f>
        <v>1201</v>
      </c>
      <c r="L3279" s="4">
        <f>IFERROR(__xludf.DUMMYFUNCTION("""COMPUTED_VALUE"""),0.501)</f>
        <v>0.501</v>
      </c>
      <c r="M3279" s="4">
        <f>IFERROR(__xludf.DUMMYFUNCTION("""COMPUTED_VALUE"""),0.321)</f>
        <v>0.321</v>
      </c>
      <c r="N3279" s="4">
        <f>IFERROR(__xludf.DUMMYFUNCTION("""COMPUTED_VALUE"""),0.753)</f>
        <v>0.753</v>
      </c>
      <c r="O3279" s="4">
        <f>IFERROR(__xludf.DUMMYFUNCTION("""COMPUTED_VALUE"""),21.4)</f>
        <v>21.4</v>
      </c>
      <c r="P3279" s="4">
        <f>IFERROR(__xludf.DUMMYFUNCTION("""COMPUTED_VALUE"""),7.4)</f>
        <v>7.4</v>
      </c>
      <c r="Q3279" s="4">
        <f>IFERROR(__xludf.DUMMYFUNCTION("""COMPUTED_VALUE"""),1.4)</f>
        <v>1.4</v>
      </c>
      <c r="R3279" s="4">
        <f>IFERROR(__xludf.DUMMYFUNCTION("""COMPUTED_VALUE"""),2.2)</f>
        <v>2.2</v>
      </c>
      <c r="S3279" s="4">
        <f>IFERROR(__xludf.DUMMYFUNCTION("""COMPUTED_VALUE"""),17.2)</f>
        <v>17.2</v>
      </c>
      <c r="T3279" s="4">
        <f>IFERROR(__xludf.DUMMYFUNCTION("""COMPUTED_VALUE"""),0.071)</f>
        <v>0.071</v>
      </c>
      <c r="U3279" s="4">
        <f>IFERROR(__xludf.DUMMYFUNCTION("""COMPUTED_VALUE"""),-1.3)</f>
        <v>-1.3</v>
      </c>
      <c r="V3279" s="4">
        <f>IFERROR(__xludf.DUMMYFUNCTION("""COMPUTED_VALUE"""),2.1)</f>
        <v>2.1</v>
      </c>
    </row>
    <row r="3280">
      <c r="A3280" s="4">
        <f>IFERROR(__xludf.DUMMYFUNCTION("""COMPUTED_VALUE"""),23.0)</f>
        <v>23</v>
      </c>
      <c r="B3280" s="4">
        <f>IFERROR(__xludf.DUMMYFUNCTION("""COMPUTED_VALUE"""),23.0)</f>
        <v>23</v>
      </c>
      <c r="C3280" s="4" t="str">
        <f>IFERROR(__xludf.DUMMYFUNCTION("""COMPUTED_VALUE"""),"IND")</f>
        <v>IND</v>
      </c>
      <c r="D3280" s="4" t="str">
        <f>IFERROR(__xludf.DUMMYFUNCTION("""COMPUTED_VALUE"""),"Mitchell Wiggins")</f>
        <v>Mitchell Wiggins</v>
      </c>
      <c r="E3280" s="4" t="str">
        <f>IFERROR(__xludf.DUMMYFUNCTION("""COMPUTED_VALUE"""),"Florida State")</f>
        <v>Florida State</v>
      </c>
      <c r="F3280" s="4">
        <f>IFERROR(__xludf.DUMMYFUNCTION("""COMPUTED_VALUE"""),6.0)</f>
        <v>6</v>
      </c>
      <c r="G3280" s="4">
        <f>IFERROR(__xludf.DUMMYFUNCTION("""COMPUTED_VALUE"""),389.0)</f>
        <v>389</v>
      </c>
      <c r="H3280" s="4">
        <f>IFERROR(__xludf.DUMMYFUNCTION("""COMPUTED_VALUE"""),8105.0)</f>
        <v>8105</v>
      </c>
      <c r="I3280" s="4">
        <f>IFERROR(__xludf.DUMMYFUNCTION("""COMPUTED_VALUE"""),3877.0)</f>
        <v>3877</v>
      </c>
      <c r="J3280" s="4">
        <f>IFERROR(__xludf.DUMMYFUNCTION("""COMPUTED_VALUE"""),1235.0)</f>
        <v>1235</v>
      </c>
      <c r="K3280" s="4">
        <f>IFERROR(__xludf.DUMMYFUNCTION("""COMPUTED_VALUE"""),609.0)</f>
        <v>609</v>
      </c>
      <c r="L3280" s="4">
        <f>IFERROR(__xludf.DUMMYFUNCTION("""COMPUTED_VALUE"""),0.46)</f>
        <v>0.46</v>
      </c>
      <c r="M3280" s="4">
        <f>IFERROR(__xludf.DUMMYFUNCTION("""COMPUTED_VALUE"""),0.192)</f>
        <v>0.192</v>
      </c>
      <c r="N3280" s="4">
        <f>IFERROR(__xludf.DUMMYFUNCTION("""COMPUTED_VALUE"""),0.755)</f>
        <v>0.755</v>
      </c>
      <c r="O3280" s="4">
        <f>IFERROR(__xludf.DUMMYFUNCTION("""COMPUTED_VALUE"""),20.8)</f>
        <v>20.8</v>
      </c>
      <c r="P3280" s="4">
        <f>IFERROR(__xludf.DUMMYFUNCTION("""COMPUTED_VALUE"""),10.0)</f>
        <v>10</v>
      </c>
      <c r="Q3280" s="4">
        <f>IFERROR(__xludf.DUMMYFUNCTION("""COMPUTED_VALUE"""),3.2)</f>
        <v>3.2</v>
      </c>
      <c r="R3280" s="4">
        <f>IFERROR(__xludf.DUMMYFUNCTION("""COMPUTED_VALUE"""),1.6)</f>
        <v>1.6</v>
      </c>
      <c r="S3280" s="4">
        <f>IFERROR(__xludf.DUMMYFUNCTION("""COMPUTED_VALUE"""),15.2)</f>
        <v>15.2</v>
      </c>
      <c r="T3280" s="4">
        <f>IFERROR(__xludf.DUMMYFUNCTION("""COMPUTED_VALUE"""),0.09)</f>
        <v>0.09</v>
      </c>
      <c r="U3280" s="4">
        <f>IFERROR(__xludf.DUMMYFUNCTION("""COMPUTED_VALUE"""),-1.2)</f>
        <v>-1.2</v>
      </c>
      <c r="V3280" s="4">
        <f>IFERROR(__xludf.DUMMYFUNCTION("""COMPUTED_VALUE"""),1.6)</f>
        <v>1.6</v>
      </c>
    </row>
    <row r="3281">
      <c r="A3281" s="4">
        <f>IFERROR(__xludf.DUMMYFUNCTION("""COMPUTED_VALUE"""),24.0)</f>
        <v>24</v>
      </c>
      <c r="B3281" s="4">
        <f>IFERROR(__xludf.DUMMYFUNCTION("""COMPUTED_VALUE"""),24.0)</f>
        <v>24</v>
      </c>
      <c r="C3281" s="4" t="str">
        <f>IFERROR(__xludf.DUMMYFUNCTION("""COMPUTED_VALUE"""),"CLE")</f>
        <v>CLE</v>
      </c>
      <c r="D3281" s="4" t="str">
        <f>IFERROR(__xludf.DUMMYFUNCTION("""COMPUTED_VALUE"""),"Stewart Granger")</f>
        <v>Stewart Granger</v>
      </c>
      <c r="E3281" s="4" t="str">
        <f>IFERROR(__xludf.DUMMYFUNCTION("""COMPUTED_VALUE"""),"Villanova")</f>
        <v>Villanova</v>
      </c>
      <c r="F3281" s="4">
        <f>IFERROR(__xludf.DUMMYFUNCTION("""COMPUTED_VALUE"""),3.0)</f>
        <v>3</v>
      </c>
      <c r="G3281" s="4">
        <f>IFERROR(__xludf.DUMMYFUNCTION("""COMPUTED_VALUE"""),80.0)</f>
        <v>80</v>
      </c>
      <c r="H3281" s="4">
        <f>IFERROR(__xludf.DUMMYFUNCTION("""COMPUTED_VALUE"""),996.0)</f>
        <v>996</v>
      </c>
      <c r="I3281" s="4">
        <f>IFERROR(__xludf.DUMMYFUNCTION("""COMPUTED_VALUE"""),316.0)</f>
        <v>316</v>
      </c>
      <c r="J3281" s="4">
        <f>IFERROR(__xludf.DUMMYFUNCTION("""COMPUTED_VALUE"""),78.0)</f>
        <v>78</v>
      </c>
      <c r="K3281" s="4">
        <f>IFERROR(__xludf.DUMMYFUNCTION("""COMPUTED_VALUE"""),173.0)</f>
        <v>173</v>
      </c>
      <c r="L3281" s="4">
        <f>IFERROR(__xludf.DUMMYFUNCTION("""COMPUTED_VALUE"""),0.414)</f>
        <v>0.414</v>
      </c>
      <c r="M3281" s="4">
        <f>IFERROR(__xludf.DUMMYFUNCTION("""COMPUTED_VALUE"""),0.235)</f>
        <v>0.235</v>
      </c>
      <c r="N3281" s="4">
        <f>IFERROR(__xludf.DUMMYFUNCTION("""COMPUTED_VALUE"""),0.742)</f>
        <v>0.742</v>
      </c>
      <c r="O3281" s="4">
        <f>IFERROR(__xludf.DUMMYFUNCTION("""COMPUTED_VALUE"""),12.5)</f>
        <v>12.5</v>
      </c>
      <c r="P3281" s="4">
        <f>IFERROR(__xludf.DUMMYFUNCTION("""COMPUTED_VALUE"""),4.0)</f>
        <v>4</v>
      </c>
      <c r="Q3281" s="4">
        <f>IFERROR(__xludf.DUMMYFUNCTION("""COMPUTED_VALUE"""),1.0)</f>
        <v>1</v>
      </c>
      <c r="R3281" s="4">
        <f>IFERROR(__xludf.DUMMYFUNCTION("""COMPUTED_VALUE"""),2.2)</f>
        <v>2.2</v>
      </c>
      <c r="S3281" s="4">
        <f>IFERROR(__xludf.DUMMYFUNCTION("""COMPUTED_VALUE"""),-0.1)</f>
        <v>-0.1</v>
      </c>
      <c r="T3281" s="4">
        <f>IFERROR(__xludf.DUMMYFUNCTION("""COMPUTED_VALUE"""),-0.005)</f>
        <v>-0.005</v>
      </c>
      <c r="U3281" s="4">
        <f>IFERROR(__xludf.DUMMYFUNCTION("""COMPUTED_VALUE"""),-4.7)</f>
        <v>-4.7</v>
      </c>
      <c r="V3281" s="4">
        <f>IFERROR(__xludf.DUMMYFUNCTION("""COMPUTED_VALUE"""),-0.7)</f>
        <v>-0.7</v>
      </c>
    </row>
    <row r="3282">
      <c r="A3282" s="4"/>
      <c r="B3282" s="4"/>
      <c r="C3282" s="4"/>
      <c r="D3282" s="4" t="str">
        <f>IFERROR(__xludf.DUMMYFUNCTION("""COMPUTED_VALUE"""),"Round 2")</f>
        <v>Round 2</v>
      </c>
      <c r="E3282" s="4"/>
      <c r="F3282" s="4"/>
      <c r="G3282" s="4" t="str">
        <f>IFERROR(__xludf.DUMMYFUNCTION("""COMPUTED_VALUE"""),"Totals")</f>
        <v>Totals</v>
      </c>
      <c r="H3282" s="4"/>
      <c r="I3282" s="4"/>
      <c r="J3282" s="4"/>
      <c r="K3282" s="4"/>
      <c r="L3282" s="4" t="str">
        <f>IFERROR(__xludf.DUMMYFUNCTION("""COMPUTED_VALUE"""),"Shooting")</f>
        <v>Shooting</v>
      </c>
      <c r="M3282" s="4"/>
      <c r="N3282" s="4"/>
      <c r="O3282" s="4" t="str">
        <f>IFERROR(__xludf.DUMMYFUNCTION("""COMPUTED_VALUE"""),"Per Game")</f>
        <v>Per Game</v>
      </c>
      <c r="P3282" s="4"/>
      <c r="Q3282" s="4"/>
      <c r="R3282" s="4"/>
      <c r="S3282" s="4" t="str">
        <f>IFERROR(__xludf.DUMMYFUNCTION("""COMPUTED_VALUE"""),"Advanced")</f>
        <v>Advanced</v>
      </c>
      <c r="T3282" s="4"/>
      <c r="U3282" s="4"/>
      <c r="V3282" s="4"/>
    </row>
    <row r="3283">
      <c r="A3283" s="4" t="str">
        <f>IFERROR(__xludf.DUMMYFUNCTION("""COMPUTED_VALUE"""),"Rk")</f>
        <v>Rk</v>
      </c>
      <c r="B3283" s="4" t="str">
        <f>IFERROR(__xludf.DUMMYFUNCTION("""COMPUTED_VALUE"""),"Pk")</f>
        <v>Pk</v>
      </c>
      <c r="C3283" s="4" t="str">
        <f>IFERROR(__xludf.DUMMYFUNCTION("""COMPUTED_VALUE"""),"Tm")</f>
        <v>Tm</v>
      </c>
      <c r="D3283" s="4" t="str">
        <f>IFERROR(__xludf.DUMMYFUNCTION("""COMPUTED_VALUE"""),"Player")</f>
        <v>Player</v>
      </c>
      <c r="E3283" s="4" t="str">
        <f>IFERROR(__xludf.DUMMYFUNCTION("""COMPUTED_VALUE"""),"College")</f>
        <v>College</v>
      </c>
      <c r="F3283" s="4" t="str">
        <f>IFERROR(__xludf.DUMMYFUNCTION("""COMPUTED_VALUE"""),"Yrs")</f>
        <v>Yrs</v>
      </c>
      <c r="G3283" s="4" t="str">
        <f>IFERROR(__xludf.DUMMYFUNCTION("""COMPUTED_VALUE"""),"G")</f>
        <v>G</v>
      </c>
      <c r="H3283" s="4" t="str">
        <f>IFERROR(__xludf.DUMMYFUNCTION("""COMPUTED_VALUE"""),"MP")</f>
        <v>MP</v>
      </c>
      <c r="I3283" s="4" t="str">
        <f>IFERROR(__xludf.DUMMYFUNCTION("""COMPUTED_VALUE"""),"PTS")</f>
        <v>PTS</v>
      </c>
      <c r="J3283" s="4" t="str">
        <f>IFERROR(__xludf.DUMMYFUNCTION("""COMPUTED_VALUE"""),"TRB")</f>
        <v>TRB</v>
      </c>
      <c r="K3283" s="4" t="str">
        <f>IFERROR(__xludf.DUMMYFUNCTION("""COMPUTED_VALUE"""),"AST")</f>
        <v>AST</v>
      </c>
      <c r="L3283" s="4" t="str">
        <f>IFERROR(__xludf.DUMMYFUNCTION("""COMPUTED_VALUE"""),"FG%")</f>
        <v>FG%</v>
      </c>
      <c r="M3283" s="4" t="str">
        <f>IFERROR(__xludf.DUMMYFUNCTION("""COMPUTED_VALUE"""),"3P%")</f>
        <v>3P%</v>
      </c>
      <c r="N3283" s="4" t="str">
        <f>IFERROR(__xludf.DUMMYFUNCTION("""COMPUTED_VALUE"""),"FT%")</f>
        <v>FT%</v>
      </c>
      <c r="O3283" s="4" t="str">
        <f>IFERROR(__xludf.DUMMYFUNCTION("""COMPUTED_VALUE"""),"MP")</f>
        <v>MP</v>
      </c>
      <c r="P3283" s="4" t="str">
        <f>IFERROR(__xludf.DUMMYFUNCTION("""COMPUTED_VALUE"""),"PTS")</f>
        <v>PTS</v>
      </c>
      <c r="Q3283" s="4" t="str">
        <f>IFERROR(__xludf.DUMMYFUNCTION("""COMPUTED_VALUE"""),"TRB")</f>
        <v>TRB</v>
      </c>
      <c r="R3283" s="4" t="str">
        <f>IFERROR(__xludf.DUMMYFUNCTION("""COMPUTED_VALUE"""),"AST")</f>
        <v>AST</v>
      </c>
      <c r="S3283" s="4" t="str">
        <f>IFERROR(__xludf.DUMMYFUNCTION("""COMPUTED_VALUE"""),"WS")</f>
        <v>WS</v>
      </c>
      <c r="T3283" s="4" t="str">
        <f>IFERROR(__xludf.DUMMYFUNCTION("""COMPUTED_VALUE"""),"WS/48")</f>
        <v>WS/48</v>
      </c>
      <c r="U3283" s="4" t="str">
        <f>IFERROR(__xludf.DUMMYFUNCTION("""COMPUTED_VALUE"""),"BPM")</f>
        <v>BPM</v>
      </c>
      <c r="V3283" s="4" t="str">
        <f>IFERROR(__xludf.DUMMYFUNCTION("""COMPUTED_VALUE"""),"VORP")</f>
        <v>VORP</v>
      </c>
    </row>
    <row r="3284">
      <c r="A3284" s="4">
        <f>IFERROR(__xludf.DUMMYFUNCTION("""COMPUTED_VALUE"""),25.0)</f>
        <v>25</v>
      </c>
      <c r="B3284" s="4">
        <f>IFERROR(__xludf.DUMMYFUNCTION("""COMPUTED_VALUE"""),25.0)</f>
        <v>25</v>
      </c>
      <c r="C3284" s="4" t="str">
        <f>IFERROR(__xludf.DUMMYFUNCTION("""COMPUTED_VALUE"""),"CHI")</f>
        <v>CHI</v>
      </c>
      <c r="D3284" s="4" t="str">
        <f>IFERROR(__xludf.DUMMYFUNCTION("""COMPUTED_VALUE"""),"Sidney Lowe")</f>
        <v>Sidney Lowe</v>
      </c>
      <c r="E3284" s="4" t="str">
        <f>IFERROR(__xludf.DUMMYFUNCTION("""COMPUTED_VALUE"""),"NC State")</f>
        <v>NC State</v>
      </c>
      <c r="F3284" s="4">
        <f>IFERROR(__xludf.DUMMYFUNCTION("""COMPUTED_VALUE"""),4.0)</f>
        <v>4</v>
      </c>
      <c r="G3284" s="4">
        <f>IFERROR(__xludf.DUMMYFUNCTION("""COMPUTED_VALUE"""),193.0)</f>
        <v>193</v>
      </c>
      <c r="H3284" s="4">
        <f>IFERROR(__xludf.DUMMYFUNCTION("""COMPUTED_VALUE"""),3422.0)</f>
        <v>3422</v>
      </c>
      <c r="I3284" s="4">
        <f>IFERROR(__xludf.DUMMYFUNCTION("""COMPUTED_VALUE"""),562.0)</f>
        <v>562</v>
      </c>
      <c r="J3284" s="4">
        <f>IFERROR(__xludf.DUMMYFUNCTION("""COMPUTED_VALUE"""),335.0)</f>
        <v>335</v>
      </c>
      <c r="K3284" s="4">
        <f>IFERROR(__xludf.DUMMYFUNCTION("""COMPUTED_VALUE"""),749.0)</f>
        <v>749</v>
      </c>
      <c r="L3284" s="4">
        <f>IFERROR(__xludf.DUMMYFUNCTION("""COMPUTED_VALUE"""),0.367)</f>
        <v>0.367</v>
      </c>
      <c r="M3284" s="4">
        <f>IFERROR(__xludf.DUMMYFUNCTION("""COMPUTED_VALUE"""),0.133)</f>
        <v>0.133</v>
      </c>
      <c r="N3284" s="4">
        <f>IFERROR(__xludf.DUMMYFUNCTION("""COMPUTED_VALUE"""),0.764)</f>
        <v>0.764</v>
      </c>
      <c r="O3284" s="4">
        <f>IFERROR(__xludf.DUMMYFUNCTION("""COMPUTED_VALUE"""),17.7)</f>
        <v>17.7</v>
      </c>
      <c r="P3284" s="4">
        <f>IFERROR(__xludf.DUMMYFUNCTION("""COMPUTED_VALUE"""),2.9)</f>
        <v>2.9</v>
      </c>
      <c r="Q3284" s="4">
        <f>IFERROR(__xludf.DUMMYFUNCTION("""COMPUTED_VALUE"""),1.7)</f>
        <v>1.7</v>
      </c>
      <c r="R3284" s="4">
        <f>IFERROR(__xludf.DUMMYFUNCTION("""COMPUTED_VALUE"""),3.9)</f>
        <v>3.9</v>
      </c>
      <c r="S3284" s="4">
        <f>IFERROR(__xludf.DUMMYFUNCTION("""COMPUTED_VALUE"""),3.9)</f>
        <v>3.9</v>
      </c>
      <c r="T3284" s="4">
        <f>IFERROR(__xludf.DUMMYFUNCTION("""COMPUTED_VALUE"""),0.055)</f>
        <v>0.055</v>
      </c>
      <c r="U3284" s="4">
        <f>IFERROR(__xludf.DUMMYFUNCTION("""COMPUTED_VALUE"""),-1.6)</f>
        <v>-1.6</v>
      </c>
      <c r="V3284" s="4">
        <f>IFERROR(__xludf.DUMMYFUNCTION("""COMPUTED_VALUE"""),0.3)</f>
        <v>0.3</v>
      </c>
    </row>
    <row r="3285">
      <c r="A3285" s="4">
        <f>IFERROR(__xludf.DUMMYFUNCTION("""COMPUTED_VALUE"""),26.0)</f>
        <v>26</v>
      </c>
      <c r="B3285" s="4">
        <f>IFERROR(__xludf.DUMMYFUNCTION("""COMPUTED_VALUE"""),26.0)</f>
        <v>26</v>
      </c>
      <c r="C3285" s="4" t="str">
        <f>IFERROR(__xludf.DUMMYFUNCTION("""COMPUTED_VALUE"""),"IND")</f>
        <v>IND</v>
      </c>
      <c r="D3285" s="4" t="str">
        <f>IFERROR(__xludf.DUMMYFUNCTION("""COMPUTED_VALUE"""),"Leroy Combs")</f>
        <v>Leroy Combs</v>
      </c>
      <c r="E3285" s="4" t="str">
        <f>IFERROR(__xludf.DUMMYFUNCTION("""COMPUTED_VALUE"""),"Oklahoma State")</f>
        <v>Oklahoma State</v>
      </c>
      <c r="F3285" s="4">
        <f>IFERROR(__xludf.DUMMYFUNCTION("""COMPUTED_VALUE"""),1.0)</f>
        <v>1</v>
      </c>
      <c r="G3285" s="4">
        <f>IFERROR(__xludf.DUMMYFUNCTION("""COMPUTED_VALUE"""),48.0)</f>
        <v>48</v>
      </c>
      <c r="H3285" s="4">
        <f>IFERROR(__xludf.DUMMYFUNCTION("""COMPUTED_VALUE"""),446.0)</f>
        <v>446</v>
      </c>
      <c r="I3285" s="4">
        <f>IFERROR(__xludf.DUMMYFUNCTION("""COMPUTED_VALUE"""),218.0)</f>
        <v>218</v>
      </c>
      <c r="J3285" s="4">
        <f>IFERROR(__xludf.DUMMYFUNCTION("""COMPUTED_VALUE"""),56.0)</f>
        <v>56</v>
      </c>
      <c r="K3285" s="4">
        <f>IFERROR(__xludf.DUMMYFUNCTION("""COMPUTED_VALUE"""),38.0)</f>
        <v>38</v>
      </c>
      <c r="L3285" s="4">
        <f>IFERROR(__xludf.DUMMYFUNCTION("""COMPUTED_VALUE"""),0.497)</f>
        <v>0.497</v>
      </c>
      <c r="M3285" s="4">
        <f>IFERROR(__xludf.DUMMYFUNCTION("""COMPUTED_VALUE"""),0.0)</f>
        <v>0</v>
      </c>
      <c r="N3285" s="4">
        <f>IFERROR(__xludf.DUMMYFUNCTION("""COMPUTED_VALUE"""),0.615)</f>
        <v>0.615</v>
      </c>
      <c r="O3285" s="4">
        <f>IFERROR(__xludf.DUMMYFUNCTION("""COMPUTED_VALUE"""),9.3)</f>
        <v>9.3</v>
      </c>
      <c r="P3285" s="4">
        <f>IFERROR(__xludf.DUMMYFUNCTION("""COMPUTED_VALUE"""),4.5)</f>
        <v>4.5</v>
      </c>
      <c r="Q3285" s="4">
        <f>IFERROR(__xludf.DUMMYFUNCTION("""COMPUTED_VALUE"""),1.2)</f>
        <v>1.2</v>
      </c>
      <c r="R3285" s="4">
        <f>IFERROR(__xludf.DUMMYFUNCTION("""COMPUTED_VALUE"""),0.8)</f>
        <v>0.8</v>
      </c>
      <c r="S3285" s="4">
        <f>IFERROR(__xludf.DUMMYFUNCTION("""COMPUTED_VALUE"""),0.4)</f>
        <v>0.4</v>
      </c>
      <c r="T3285" s="4">
        <f>IFERROR(__xludf.DUMMYFUNCTION("""COMPUTED_VALUE"""),0.041)</f>
        <v>0.041</v>
      </c>
      <c r="U3285" s="4">
        <f>IFERROR(__xludf.DUMMYFUNCTION("""COMPUTED_VALUE"""),-0.8)</f>
        <v>-0.8</v>
      </c>
      <c r="V3285" s="4">
        <f>IFERROR(__xludf.DUMMYFUNCTION("""COMPUTED_VALUE"""),0.1)</f>
        <v>0.1</v>
      </c>
    </row>
    <row r="3286">
      <c r="A3286" s="4">
        <f>IFERROR(__xludf.DUMMYFUNCTION("""COMPUTED_VALUE"""),27.0)</f>
        <v>27</v>
      </c>
      <c r="B3286" s="4">
        <f>IFERROR(__xludf.DUMMYFUNCTION("""COMPUTED_VALUE"""),27.0)</f>
        <v>27</v>
      </c>
      <c r="C3286" s="4" t="str">
        <f>IFERROR(__xludf.DUMMYFUNCTION("""COMPUTED_VALUE"""),"CLE")</f>
        <v>CLE</v>
      </c>
      <c r="D3286" s="4" t="str">
        <f>IFERROR(__xludf.DUMMYFUNCTION("""COMPUTED_VALUE"""),"John Garris")</f>
        <v>John Garris</v>
      </c>
      <c r="E3286" s="4" t="str">
        <f>IFERROR(__xludf.DUMMYFUNCTION("""COMPUTED_VALUE"""),"Boston College")</f>
        <v>Boston College</v>
      </c>
      <c r="F3286" s="4">
        <f>IFERROR(__xludf.DUMMYFUNCTION("""COMPUTED_VALUE"""),1.0)</f>
        <v>1</v>
      </c>
      <c r="G3286" s="4">
        <f>IFERROR(__xludf.DUMMYFUNCTION("""COMPUTED_VALUE"""),33.0)</f>
        <v>33</v>
      </c>
      <c r="H3286" s="4">
        <f>IFERROR(__xludf.DUMMYFUNCTION("""COMPUTED_VALUE"""),267.0)</f>
        <v>267</v>
      </c>
      <c r="I3286" s="4">
        <f>IFERROR(__xludf.DUMMYFUNCTION("""COMPUTED_VALUE"""),131.0)</f>
        <v>131</v>
      </c>
      <c r="J3286" s="4">
        <f>IFERROR(__xludf.DUMMYFUNCTION("""COMPUTED_VALUE"""),77.0)</f>
        <v>77</v>
      </c>
      <c r="K3286" s="4">
        <f>IFERROR(__xludf.DUMMYFUNCTION("""COMPUTED_VALUE"""),10.0)</f>
        <v>10</v>
      </c>
      <c r="L3286" s="4">
        <f>IFERROR(__xludf.DUMMYFUNCTION("""COMPUTED_VALUE"""),0.51)</f>
        <v>0.51</v>
      </c>
      <c r="M3286" s="4"/>
      <c r="N3286" s="4">
        <f>IFERROR(__xludf.DUMMYFUNCTION("""COMPUTED_VALUE"""),0.794)</f>
        <v>0.794</v>
      </c>
      <c r="O3286" s="4">
        <f>IFERROR(__xludf.DUMMYFUNCTION("""COMPUTED_VALUE"""),8.1)</f>
        <v>8.1</v>
      </c>
      <c r="P3286" s="4">
        <f>IFERROR(__xludf.DUMMYFUNCTION("""COMPUTED_VALUE"""),4.0)</f>
        <v>4</v>
      </c>
      <c r="Q3286" s="4">
        <f>IFERROR(__xludf.DUMMYFUNCTION("""COMPUTED_VALUE"""),2.3)</f>
        <v>2.3</v>
      </c>
      <c r="R3286" s="4">
        <f>IFERROR(__xludf.DUMMYFUNCTION("""COMPUTED_VALUE"""),0.3)</f>
        <v>0.3</v>
      </c>
      <c r="S3286" s="4">
        <f>IFERROR(__xludf.DUMMYFUNCTION("""COMPUTED_VALUE"""),0.9)</f>
        <v>0.9</v>
      </c>
      <c r="T3286" s="4">
        <f>IFERROR(__xludf.DUMMYFUNCTION("""COMPUTED_VALUE"""),0.166)</f>
        <v>0.166</v>
      </c>
      <c r="U3286" s="4">
        <f>IFERROR(__xludf.DUMMYFUNCTION("""COMPUTED_VALUE"""),-0.1)</f>
        <v>-0.1</v>
      </c>
      <c r="V3286" s="4">
        <f>IFERROR(__xludf.DUMMYFUNCTION("""COMPUTED_VALUE"""),0.2)</f>
        <v>0.2</v>
      </c>
    </row>
    <row r="3287">
      <c r="A3287" s="4">
        <f>IFERROR(__xludf.DUMMYFUNCTION("""COMPUTED_VALUE"""),28.0)</f>
        <v>28</v>
      </c>
      <c r="B3287" s="4">
        <f>IFERROR(__xludf.DUMMYFUNCTION("""COMPUTED_VALUE"""),28.0)</f>
        <v>28</v>
      </c>
      <c r="C3287" s="4" t="str">
        <f>IFERROR(__xludf.DUMMYFUNCTION("""COMPUTED_VALUE"""),"PHO")</f>
        <v>PHO</v>
      </c>
      <c r="D3287" s="4" t="str">
        <f>IFERROR(__xludf.DUMMYFUNCTION("""COMPUTED_VALUE"""),"Rod Foster")</f>
        <v>Rod Foster</v>
      </c>
      <c r="E3287" s="4" t="str">
        <f>IFERROR(__xludf.DUMMYFUNCTION("""COMPUTED_VALUE"""),"UCLA")</f>
        <v>UCLA</v>
      </c>
      <c r="F3287" s="4">
        <f>IFERROR(__xludf.DUMMYFUNCTION("""COMPUTED_VALUE"""),3.0)</f>
        <v>3</v>
      </c>
      <c r="G3287" s="4">
        <f>IFERROR(__xludf.DUMMYFUNCTION("""COMPUTED_VALUE"""),207.0)</f>
        <v>207</v>
      </c>
      <c r="H3287" s="4">
        <f>IFERROR(__xludf.DUMMYFUNCTION("""COMPUTED_VALUE"""),3446.0)</f>
        <v>3446</v>
      </c>
      <c r="I3287" s="4">
        <f>IFERROR(__xludf.DUMMYFUNCTION("""COMPUTED_VALUE"""),1562.0)</f>
        <v>1562</v>
      </c>
      <c r="J3287" s="4">
        <f>IFERROR(__xludf.DUMMYFUNCTION("""COMPUTED_VALUE"""),258.0)</f>
        <v>258</v>
      </c>
      <c r="K3287" s="4">
        <f>IFERROR(__xludf.DUMMYFUNCTION("""COMPUTED_VALUE"""),479.0)</f>
        <v>479</v>
      </c>
      <c r="L3287" s="4">
        <f>IFERROR(__xludf.DUMMYFUNCTION("""COMPUTED_VALUE"""),0.44)</f>
        <v>0.44</v>
      </c>
      <c r="M3287" s="4">
        <f>IFERROR(__xludf.DUMMYFUNCTION("""COMPUTED_VALUE"""),0.298)</f>
        <v>0.298</v>
      </c>
      <c r="N3287" s="4">
        <f>IFERROR(__xludf.DUMMYFUNCTION("""COMPUTED_VALUE"""),0.768)</f>
        <v>0.768</v>
      </c>
      <c r="O3287" s="4">
        <f>IFERROR(__xludf.DUMMYFUNCTION("""COMPUTED_VALUE"""),16.6)</f>
        <v>16.6</v>
      </c>
      <c r="P3287" s="4">
        <f>IFERROR(__xludf.DUMMYFUNCTION("""COMPUTED_VALUE"""),7.5)</f>
        <v>7.5</v>
      </c>
      <c r="Q3287" s="4">
        <f>IFERROR(__xludf.DUMMYFUNCTION("""COMPUTED_VALUE"""),1.2)</f>
        <v>1.2</v>
      </c>
      <c r="R3287" s="4">
        <f>IFERROR(__xludf.DUMMYFUNCTION("""COMPUTED_VALUE"""),2.3)</f>
        <v>2.3</v>
      </c>
      <c r="S3287" s="4">
        <f>IFERROR(__xludf.DUMMYFUNCTION("""COMPUTED_VALUE"""),2.2)</f>
        <v>2.2</v>
      </c>
      <c r="T3287" s="4">
        <f>IFERROR(__xludf.DUMMYFUNCTION("""COMPUTED_VALUE"""),0.031)</f>
        <v>0.031</v>
      </c>
      <c r="U3287" s="4">
        <f>IFERROR(__xludf.DUMMYFUNCTION("""COMPUTED_VALUE"""),-3.3)</f>
        <v>-3.3</v>
      </c>
      <c r="V3287" s="4">
        <f>IFERROR(__xludf.DUMMYFUNCTION("""COMPUTED_VALUE"""),-1.1)</f>
        <v>-1.1</v>
      </c>
    </row>
    <row r="3288">
      <c r="A3288" s="4">
        <f>IFERROR(__xludf.DUMMYFUNCTION("""COMPUTED_VALUE"""),29.0)</f>
        <v>29</v>
      </c>
      <c r="B3288" s="4">
        <f>IFERROR(__xludf.DUMMYFUNCTION("""COMPUTED_VALUE"""),29.0)</f>
        <v>29</v>
      </c>
      <c r="C3288" s="4" t="str">
        <f>IFERROR(__xludf.DUMMYFUNCTION("""COMPUTED_VALUE"""),"CHI")</f>
        <v>CHI</v>
      </c>
      <c r="D3288" s="4" t="str">
        <f>IFERROR(__xludf.DUMMYFUNCTION("""COMPUTED_VALUE"""),"Larry Micheaux")</f>
        <v>Larry Micheaux</v>
      </c>
      <c r="E3288" s="4" t="str">
        <f>IFERROR(__xludf.DUMMYFUNCTION("""COMPUTED_VALUE"""),"Houston")</f>
        <v>Houston</v>
      </c>
      <c r="F3288" s="4">
        <f>IFERROR(__xludf.DUMMYFUNCTION("""COMPUTED_VALUE"""),2.0)</f>
        <v>2</v>
      </c>
      <c r="G3288" s="4">
        <f>IFERROR(__xludf.DUMMYFUNCTION("""COMPUTED_VALUE"""),96.0)</f>
        <v>96</v>
      </c>
      <c r="H3288" s="4">
        <f>IFERROR(__xludf.DUMMYFUNCTION("""COMPUTED_VALUE"""),897.0)</f>
        <v>897</v>
      </c>
      <c r="I3288" s="4">
        <f>IFERROR(__xludf.DUMMYFUNCTION("""COMPUTED_VALUE"""),330.0)</f>
        <v>330</v>
      </c>
      <c r="J3288" s="4">
        <f>IFERROR(__xludf.DUMMYFUNCTION("""COMPUTED_VALUE"""),256.0)</f>
        <v>256</v>
      </c>
      <c r="K3288" s="4">
        <f>IFERROR(__xludf.DUMMYFUNCTION("""COMPUTED_VALUE"""),49.0)</f>
        <v>49</v>
      </c>
      <c r="L3288" s="4">
        <f>IFERROR(__xludf.DUMMYFUNCTION("""COMPUTED_VALUE"""),0.567)</f>
        <v>0.567</v>
      </c>
      <c r="M3288" s="4">
        <f>IFERROR(__xludf.DUMMYFUNCTION("""COMPUTED_VALUE"""),0.0)</f>
        <v>0</v>
      </c>
      <c r="N3288" s="4">
        <f>IFERROR(__xludf.DUMMYFUNCTION("""COMPUTED_VALUE"""),0.61)</f>
        <v>0.61</v>
      </c>
      <c r="O3288" s="4">
        <f>IFERROR(__xludf.DUMMYFUNCTION("""COMPUTED_VALUE"""),9.3)</f>
        <v>9.3</v>
      </c>
      <c r="P3288" s="4">
        <f>IFERROR(__xludf.DUMMYFUNCTION("""COMPUTED_VALUE"""),3.4)</f>
        <v>3.4</v>
      </c>
      <c r="Q3288" s="4">
        <f>IFERROR(__xludf.DUMMYFUNCTION("""COMPUTED_VALUE"""),2.7)</f>
        <v>2.7</v>
      </c>
      <c r="R3288" s="4">
        <f>IFERROR(__xludf.DUMMYFUNCTION("""COMPUTED_VALUE"""),0.5)</f>
        <v>0.5</v>
      </c>
      <c r="S3288" s="4">
        <f>IFERROR(__xludf.DUMMYFUNCTION("""COMPUTED_VALUE"""),2.5)</f>
        <v>2.5</v>
      </c>
      <c r="T3288" s="4">
        <f>IFERROR(__xludf.DUMMYFUNCTION("""COMPUTED_VALUE"""),0.134)</f>
        <v>0.134</v>
      </c>
      <c r="U3288" s="4">
        <f>IFERROR(__xludf.DUMMYFUNCTION("""COMPUTED_VALUE"""),0.4)</f>
        <v>0.4</v>
      </c>
      <c r="V3288" s="4">
        <f>IFERROR(__xludf.DUMMYFUNCTION("""COMPUTED_VALUE"""),0.6)</f>
        <v>0.6</v>
      </c>
    </row>
    <row r="3289">
      <c r="A3289" s="4">
        <f>IFERROR(__xludf.DUMMYFUNCTION("""COMPUTED_VALUE"""),30.0)</f>
        <v>30</v>
      </c>
      <c r="B3289" s="4">
        <f>IFERROR(__xludf.DUMMYFUNCTION("""COMPUTED_VALUE"""),30.0)</f>
        <v>30</v>
      </c>
      <c r="C3289" s="4" t="str">
        <f>IFERROR(__xludf.DUMMYFUNCTION("""COMPUTED_VALUE"""),"DAL")</f>
        <v>DAL</v>
      </c>
      <c r="D3289" s="4" t="str">
        <f>IFERROR(__xludf.DUMMYFUNCTION("""COMPUTED_VALUE"""),"Mark West")</f>
        <v>Mark West</v>
      </c>
      <c r="E3289" s="4" t="str">
        <f>IFERROR(__xludf.DUMMYFUNCTION("""COMPUTED_VALUE"""),"Old Dominion")</f>
        <v>Old Dominion</v>
      </c>
      <c r="F3289" s="4">
        <f>IFERROR(__xludf.DUMMYFUNCTION("""COMPUTED_VALUE"""),17.0)</f>
        <v>17</v>
      </c>
      <c r="G3289" s="4">
        <f>IFERROR(__xludf.DUMMYFUNCTION("""COMPUTED_VALUE"""),1090.0)</f>
        <v>1090</v>
      </c>
      <c r="H3289" s="4">
        <f>IFERROR(__xludf.DUMMYFUNCTION("""COMPUTED_VALUE"""),20213.0)</f>
        <v>20213</v>
      </c>
      <c r="I3289" s="4">
        <f>IFERROR(__xludf.DUMMYFUNCTION("""COMPUTED_VALUE"""),6259.0)</f>
        <v>6259</v>
      </c>
      <c r="J3289" s="4">
        <f>IFERROR(__xludf.DUMMYFUNCTION("""COMPUTED_VALUE"""),5347.0)</f>
        <v>5347</v>
      </c>
      <c r="K3289" s="4">
        <f>IFERROR(__xludf.DUMMYFUNCTION("""COMPUTED_VALUE"""),428.0)</f>
        <v>428</v>
      </c>
      <c r="L3289" s="4">
        <f>IFERROR(__xludf.DUMMYFUNCTION("""COMPUTED_VALUE"""),0.58)</f>
        <v>0.58</v>
      </c>
      <c r="M3289" s="4">
        <f>IFERROR(__xludf.DUMMYFUNCTION("""COMPUTED_VALUE"""),0.0)</f>
        <v>0</v>
      </c>
      <c r="N3289" s="4">
        <f>IFERROR(__xludf.DUMMYFUNCTION("""COMPUTED_VALUE"""),0.568)</f>
        <v>0.568</v>
      </c>
      <c r="O3289" s="4">
        <f>IFERROR(__xludf.DUMMYFUNCTION("""COMPUTED_VALUE"""),18.5)</f>
        <v>18.5</v>
      </c>
      <c r="P3289" s="4">
        <f>IFERROR(__xludf.DUMMYFUNCTION("""COMPUTED_VALUE"""),5.7)</f>
        <v>5.7</v>
      </c>
      <c r="Q3289" s="4">
        <f>IFERROR(__xludf.DUMMYFUNCTION("""COMPUTED_VALUE"""),4.9)</f>
        <v>4.9</v>
      </c>
      <c r="R3289" s="4">
        <f>IFERROR(__xludf.DUMMYFUNCTION("""COMPUTED_VALUE"""),0.4)</f>
        <v>0.4</v>
      </c>
      <c r="S3289" s="4">
        <f>IFERROR(__xludf.DUMMYFUNCTION("""COMPUTED_VALUE"""),41.9)</f>
        <v>41.9</v>
      </c>
      <c r="T3289" s="4">
        <f>IFERROR(__xludf.DUMMYFUNCTION("""COMPUTED_VALUE"""),0.1)</f>
        <v>0.1</v>
      </c>
      <c r="U3289" s="4">
        <f>IFERROR(__xludf.DUMMYFUNCTION("""COMPUTED_VALUE"""),-1.8)</f>
        <v>-1.8</v>
      </c>
      <c r="V3289" s="4">
        <f>IFERROR(__xludf.DUMMYFUNCTION("""COMPUTED_VALUE"""),1.1)</f>
        <v>1.1</v>
      </c>
    </row>
    <row r="3290">
      <c r="A3290" s="4">
        <f>IFERROR(__xludf.DUMMYFUNCTION("""COMPUTED_VALUE"""),31.0)</f>
        <v>31</v>
      </c>
      <c r="B3290" s="4">
        <f>IFERROR(__xludf.DUMMYFUNCTION("""COMPUTED_VALUE"""),31.0)</f>
        <v>31</v>
      </c>
      <c r="C3290" s="4" t="str">
        <f>IFERROR(__xludf.DUMMYFUNCTION("""COMPUTED_VALUE"""),"ATL")</f>
        <v>ATL</v>
      </c>
      <c r="D3290" s="4" t="str">
        <f>IFERROR(__xludf.DUMMYFUNCTION("""COMPUTED_VALUE"""),"Doc Rivers")</f>
        <v>Doc Rivers</v>
      </c>
      <c r="E3290" s="4" t="str">
        <f>IFERROR(__xludf.DUMMYFUNCTION("""COMPUTED_VALUE"""),"Marquette")</f>
        <v>Marquette</v>
      </c>
      <c r="F3290" s="4">
        <f>IFERROR(__xludf.DUMMYFUNCTION("""COMPUTED_VALUE"""),13.0)</f>
        <v>13</v>
      </c>
      <c r="G3290" s="4">
        <f>IFERROR(__xludf.DUMMYFUNCTION("""COMPUTED_VALUE"""),864.0)</f>
        <v>864</v>
      </c>
      <c r="H3290" s="4">
        <f>IFERROR(__xludf.DUMMYFUNCTION("""COMPUTED_VALUE"""),23567.0)</f>
        <v>23567</v>
      </c>
      <c r="I3290" s="4">
        <f>IFERROR(__xludf.DUMMYFUNCTION("""COMPUTED_VALUE"""),9377.0)</f>
        <v>9377</v>
      </c>
      <c r="J3290" s="4">
        <f>IFERROR(__xludf.DUMMYFUNCTION("""COMPUTED_VALUE"""),2625.0)</f>
        <v>2625</v>
      </c>
      <c r="K3290" s="4">
        <f>IFERROR(__xludf.DUMMYFUNCTION("""COMPUTED_VALUE"""),4889.0)</f>
        <v>4889</v>
      </c>
      <c r="L3290" s="4">
        <f>IFERROR(__xludf.DUMMYFUNCTION("""COMPUTED_VALUE"""),0.444)</f>
        <v>0.444</v>
      </c>
      <c r="M3290" s="4">
        <f>IFERROR(__xludf.DUMMYFUNCTION("""COMPUTED_VALUE"""),0.328)</f>
        <v>0.328</v>
      </c>
      <c r="N3290" s="4">
        <f>IFERROR(__xludf.DUMMYFUNCTION("""COMPUTED_VALUE"""),0.784)</f>
        <v>0.784</v>
      </c>
      <c r="O3290" s="4">
        <f>IFERROR(__xludf.DUMMYFUNCTION("""COMPUTED_VALUE"""),27.3)</f>
        <v>27.3</v>
      </c>
      <c r="P3290" s="4">
        <f>IFERROR(__xludf.DUMMYFUNCTION("""COMPUTED_VALUE"""),10.9)</f>
        <v>10.9</v>
      </c>
      <c r="Q3290" s="4">
        <f>IFERROR(__xludf.DUMMYFUNCTION("""COMPUTED_VALUE"""),3.0)</f>
        <v>3</v>
      </c>
      <c r="R3290" s="4">
        <f>IFERROR(__xludf.DUMMYFUNCTION("""COMPUTED_VALUE"""),5.7)</f>
        <v>5.7</v>
      </c>
      <c r="S3290" s="4">
        <f>IFERROR(__xludf.DUMMYFUNCTION("""COMPUTED_VALUE"""),68.2)</f>
        <v>68.2</v>
      </c>
      <c r="T3290" s="4">
        <f>IFERROR(__xludf.DUMMYFUNCTION("""COMPUTED_VALUE"""),0.139)</f>
        <v>0.139</v>
      </c>
      <c r="U3290" s="4">
        <f>IFERROR(__xludf.DUMMYFUNCTION("""COMPUTED_VALUE"""),3.1)</f>
        <v>3.1</v>
      </c>
      <c r="V3290" s="4">
        <f>IFERROR(__xludf.DUMMYFUNCTION("""COMPUTED_VALUE"""),30.5)</f>
        <v>30.5</v>
      </c>
    </row>
    <row r="3291">
      <c r="A3291" s="4">
        <f>IFERROR(__xludf.DUMMYFUNCTION("""COMPUTED_VALUE"""),32.0)</f>
        <v>32</v>
      </c>
      <c r="B3291" s="4">
        <f>IFERROR(__xludf.DUMMYFUNCTION("""COMPUTED_VALUE"""),32.0)</f>
        <v>32</v>
      </c>
      <c r="C3291" s="4" t="str">
        <f>IFERROR(__xludf.DUMMYFUNCTION("""COMPUTED_VALUE"""),"WSB")</f>
        <v>WSB</v>
      </c>
      <c r="D3291" s="4" t="str">
        <f>IFERROR(__xludf.DUMMYFUNCTION("""COMPUTED_VALUE"""),"Michael Britt")</f>
        <v>Michael Britt</v>
      </c>
      <c r="E3291" s="4" t="str">
        <f>IFERROR(__xludf.DUMMYFUNCTION("""COMPUTED_VALUE"""),"University of the District of Columbia")</f>
        <v>University of the District of Columbia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</row>
    <row r="3292">
      <c r="A3292" s="4">
        <f>IFERROR(__xludf.DUMMYFUNCTION("""COMPUTED_VALUE"""),33.0)</f>
        <v>33</v>
      </c>
      <c r="B3292" s="4">
        <f>IFERROR(__xludf.DUMMYFUNCTION("""COMPUTED_VALUE"""),33.0)</f>
        <v>33</v>
      </c>
      <c r="C3292" s="4" t="str">
        <f>IFERROR(__xludf.DUMMYFUNCTION("""COMPUTED_VALUE"""),"DAL")</f>
        <v>DAL</v>
      </c>
      <c r="D3292" s="4" t="str">
        <f>IFERROR(__xludf.DUMMYFUNCTION("""COMPUTED_VALUE"""),"Dirk Minniefield")</f>
        <v>Dirk Minniefield</v>
      </c>
      <c r="E3292" s="4" t="str">
        <f>IFERROR(__xludf.DUMMYFUNCTION("""COMPUTED_VALUE"""),"Kentucky")</f>
        <v>Kentucky</v>
      </c>
      <c r="F3292" s="4">
        <f>IFERROR(__xludf.DUMMYFUNCTION("""COMPUTED_VALUE"""),3.0)</f>
        <v>3</v>
      </c>
      <c r="G3292" s="4">
        <f>IFERROR(__xludf.DUMMYFUNCTION("""COMPUTED_VALUE"""),222.0)</f>
        <v>222</v>
      </c>
      <c r="H3292" s="4">
        <f>IFERROR(__xludf.DUMMYFUNCTION("""COMPUTED_VALUE"""),3801.0)</f>
        <v>3801</v>
      </c>
      <c r="I3292" s="4">
        <f>IFERROR(__xludf.DUMMYFUNCTION("""COMPUTED_VALUE"""),1187.0)</f>
        <v>1187</v>
      </c>
      <c r="J3292" s="4">
        <f>IFERROR(__xludf.DUMMYFUNCTION("""COMPUTED_VALUE"""),367.0)</f>
        <v>367</v>
      </c>
      <c r="K3292" s="4">
        <f>IFERROR(__xludf.DUMMYFUNCTION("""COMPUTED_VALUE"""),845.0)</f>
        <v>845</v>
      </c>
      <c r="L3292" s="4">
        <f>IFERROR(__xludf.DUMMYFUNCTION("""COMPUTED_VALUE"""),0.47)</f>
        <v>0.47</v>
      </c>
      <c r="M3292" s="4">
        <f>IFERROR(__xludf.DUMMYFUNCTION("""COMPUTED_VALUE"""),0.272)</f>
        <v>0.272</v>
      </c>
      <c r="N3292" s="4">
        <f>IFERROR(__xludf.DUMMYFUNCTION("""COMPUTED_VALUE"""),0.739)</f>
        <v>0.739</v>
      </c>
      <c r="O3292" s="4">
        <f>IFERROR(__xludf.DUMMYFUNCTION("""COMPUTED_VALUE"""),17.1)</f>
        <v>17.1</v>
      </c>
      <c r="P3292" s="4">
        <f>IFERROR(__xludf.DUMMYFUNCTION("""COMPUTED_VALUE"""),5.3)</f>
        <v>5.3</v>
      </c>
      <c r="Q3292" s="4">
        <f>IFERROR(__xludf.DUMMYFUNCTION("""COMPUTED_VALUE"""),1.7)</f>
        <v>1.7</v>
      </c>
      <c r="R3292" s="4">
        <f>IFERROR(__xludf.DUMMYFUNCTION("""COMPUTED_VALUE"""),3.8)</f>
        <v>3.8</v>
      </c>
      <c r="S3292" s="4">
        <f>IFERROR(__xludf.DUMMYFUNCTION("""COMPUTED_VALUE"""),4.1)</f>
        <v>4.1</v>
      </c>
      <c r="T3292" s="4">
        <f>IFERROR(__xludf.DUMMYFUNCTION("""COMPUTED_VALUE"""),0.052)</f>
        <v>0.052</v>
      </c>
      <c r="U3292" s="4">
        <f>IFERROR(__xludf.DUMMYFUNCTION("""COMPUTED_VALUE"""),-1.6)</f>
        <v>-1.6</v>
      </c>
      <c r="V3292" s="4">
        <f>IFERROR(__xludf.DUMMYFUNCTION("""COMPUTED_VALUE"""),0.4)</f>
        <v>0.4</v>
      </c>
    </row>
    <row r="3293">
      <c r="A3293" s="4">
        <f>IFERROR(__xludf.DUMMYFUNCTION("""COMPUTED_VALUE"""),34.0)</f>
        <v>34</v>
      </c>
      <c r="B3293" s="4">
        <f>IFERROR(__xludf.DUMMYFUNCTION("""COMPUTED_VALUE"""),34.0)</f>
        <v>34</v>
      </c>
      <c r="C3293" s="4" t="str">
        <f>IFERROR(__xludf.DUMMYFUNCTION("""COMPUTED_VALUE"""),"WSB")</f>
        <v>WSB</v>
      </c>
      <c r="D3293" s="4" t="str">
        <f>IFERROR(__xludf.DUMMYFUNCTION("""COMPUTED_VALUE"""),"Guy Williams")</f>
        <v>Guy Williams</v>
      </c>
      <c r="E3293" s="4" t="str">
        <f>IFERROR(__xludf.DUMMYFUNCTION("""COMPUTED_VALUE"""),"Washington State")</f>
        <v>Washington State</v>
      </c>
      <c r="F3293" s="4">
        <f>IFERROR(__xludf.DUMMYFUNCTION("""COMPUTED_VALUE"""),2.0)</f>
        <v>2</v>
      </c>
      <c r="G3293" s="4">
        <f>IFERROR(__xludf.DUMMYFUNCTION("""COMPUTED_VALUE"""),26.0)</f>
        <v>26</v>
      </c>
      <c r="H3293" s="4">
        <f>IFERROR(__xludf.DUMMYFUNCTION("""COMPUTED_VALUE"""),144.0)</f>
        <v>144</v>
      </c>
      <c r="I3293" s="4">
        <f>IFERROR(__xludf.DUMMYFUNCTION("""COMPUTED_VALUE"""),68.0)</f>
        <v>68</v>
      </c>
      <c r="J3293" s="4">
        <f>IFERROR(__xludf.DUMMYFUNCTION("""COMPUTED_VALUE"""),33.0)</f>
        <v>33</v>
      </c>
      <c r="K3293" s="4">
        <f>IFERROR(__xludf.DUMMYFUNCTION("""COMPUTED_VALUE"""),9.0)</f>
        <v>9</v>
      </c>
      <c r="L3293" s="4">
        <f>IFERROR(__xludf.DUMMYFUNCTION("""COMPUTED_VALUE"""),0.456)</f>
        <v>0.456</v>
      </c>
      <c r="M3293" s="4">
        <f>IFERROR(__xludf.DUMMYFUNCTION("""COMPUTED_VALUE"""),0.25)</f>
        <v>0.25</v>
      </c>
      <c r="N3293" s="4">
        <f>IFERROR(__xludf.DUMMYFUNCTION("""COMPUTED_VALUE"""),0.455)</f>
        <v>0.455</v>
      </c>
      <c r="O3293" s="4">
        <f>IFERROR(__xludf.DUMMYFUNCTION("""COMPUTED_VALUE"""),5.5)</f>
        <v>5.5</v>
      </c>
      <c r="P3293" s="4">
        <f>IFERROR(__xludf.DUMMYFUNCTION("""COMPUTED_VALUE"""),2.6)</f>
        <v>2.6</v>
      </c>
      <c r="Q3293" s="4">
        <f>IFERROR(__xludf.DUMMYFUNCTION("""COMPUTED_VALUE"""),1.3)</f>
        <v>1.3</v>
      </c>
      <c r="R3293" s="4">
        <f>IFERROR(__xludf.DUMMYFUNCTION("""COMPUTED_VALUE"""),0.3)</f>
        <v>0.3</v>
      </c>
      <c r="S3293" s="4">
        <f>IFERROR(__xludf.DUMMYFUNCTION("""COMPUTED_VALUE"""),0.2)</f>
        <v>0.2</v>
      </c>
      <c r="T3293" s="4">
        <f>IFERROR(__xludf.DUMMYFUNCTION("""COMPUTED_VALUE"""),0.055)</f>
        <v>0.055</v>
      </c>
      <c r="U3293" s="4">
        <f>IFERROR(__xludf.DUMMYFUNCTION("""COMPUTED_VALUE"""),-1.4)</f>
        <v>-1.4</v>
      </c>
      <c r="V3293" s="4">
        <f>IFERROR(__xludf.DUMMYFUNCTION("""COMPUTED_VALUE"""),0.0)</f>
        <v>0</v>
      </c>
    </row>
    <row r="3294">
      <c r="A3294" s="4">
        <f>IFERROR(__xludf.DUMMYFUNCTION("""COMPUTED_VALUE"""),35.0)</f>
        <v>35</v>
      </c>
      <c r="B3294" s="4">
        <f>IFERROR(__xludf.DUMMYFUNCTION("""COMPUTED_VALUE"""),35.0)</f>
        <v>35</v>
      </c>
      <c r="C3294" s="4" t="str">
        <f>IFERROR(__xludf.DUMMYFUNCTION("""COMPUTED_VALUE"""),"SAS")</f>
        <v>SAS</v>
      </c>
      <c r="D3294" s="4" t="str">
        <f>IFERROR(__xludf.DUMMYFUNCTION("""COMPUTED_VALUE"""),"Darrell Lockhart")</f>
        <v>Darrell Lockhart</v>
      </c>
      <c r="E3294" s="4" t="str">
        <f>IFERROR(__xludf.DUMMYFUNCTION("""COMPUTED_VALUE"""),"Auburn")</f>
        <v>Auburn</v>
      </c>
      <c r="F3294" s="4">
        <f>IFERROR(__xludf.DUMMYFUNCTION("""COMPUTED_VALUE"""),1.0)</f>
        <v>1</v>
      </c>
      <c r="G3294" s="4">
        <f>IFERROR(__xludf.DUMMYFUNCTION("""COMPUTED_VALUE"""),2.0)</f>
        <v>2</v>
      </c>
      <c r="H3294" s="4">
        <f>IFERROR(__xludf.DUMMYFUNCTION("""COMPUTED_VALUE"""),14.0)</f>
        <v>14</v>
      </c>
      <c r="I3294" s="4">
        <f>IFERROR(__xludf.DUMMYFUNCTION("""COMPUTED_VALUE"""),4.0)</f>
        <v>4</v>
      </c>
      <c r="J3294" s="4">
        <f>IFERROR(__xludf.DUMMYFUNCTION("""COMPUTED_VALUE"""),3.0)</f>
        <v>3</v>
      </c>
      <c r="K3294" s="4">
        <f>IFERROR(__xludf.DUMMYFUNCTION("""COMPUTED_VALUE"""),0.0)</f>
        <v>0</v>
      </c>
      <c r="L3294" s="4">
        <f>IFERROR(__xludf.DUMMYFUNCTION("""COMPUTED_VALUE"""),1.0)</f>
        <v>1</v>
      </c>
      <c r="M3294" s="4"/>
      <c r="N3294" s="4"/>
      <c r="O3294" s="4">
        <f>IFERROR(__xludf.DUMMYFUNCTION("""COMPUTED_VALUE"""),7.0)</f>
        <v>7</v>
      </c>
      <c r="P3294" s="4">
        <f>IFERROR(__xludf.DUMMYFUNCTION("""COMPUTED_VALUE"""),2.0)</f>
        <v>2</v>
      </c>
      <c r="Q3294" s="4">
        <f>IFERROR(__xludf.DUMMYFUNCTION("""COMPUTED_VALUE"""),1.5)</f>
        <v>1.5</v>
      </c>
      <c r="R3294" s="4">
        <f>IFERROR(__xludf.DUMMYFUNCTION("""COMPUTED_VALUE"""),0.0)</f>
        <v>0</v>
      </c>
      <c r="S3294" s="4">
        <f>IFERROR(__xludf.DUMMYFUNCTION("""COMPUTED_VALUE"""),0.0)</f>
        <v>0</v>
      </c>
      <c r="T3294" s="4">
        <f>IFERROR(__xludf.DUMMYFUNCTION("""COMPUTED_VALUE"""),-0.048)</f>
        <v>-0.048</v>
      </c>
      <c r="U3294" s="4">
        <f>IFERROR(__xludf.DUMMYFUNCTION("""COMPUTED_VALUE"""),-4.9)</f>
        <v>-4.9</v>
      </c>
      <c r="V3294" s="4">
        <f>IFERROR(__xludf.DUMMYFUNCTION("""COMPUTED_VALUE"""),0.0)</f>
        <v>0</v>
      </c>
    </row>
    <row r="3295">
      <c r="A3295" s="4">
        <f>IFERROR(__xludf.DUMMYFUNCTION("""COMPUTED_VALUE"""),36.0)</f>
        <v>36</v>
      </c>
      <c r="B3295" s="4">
        <f>IFERROR(__xludf.DUMMYFUNCTION("""COMPUTED_VALUE"""),36.0)</f>
        <v>36</v>
      </c>
      <c r="C3295" s="4" t="str">
        <f>IFERROR(__xludf.DUMMYFUNCTION("""COMPUTED_VALUE"""),"SEA")</f>
        <v>SEA</v>
      </c>
      <c r="D3295" s="4" t="str">
        <f>IFERROR(__xludf.DUMMYFUNCTION("""COMPUTED_VALUE"""),"Scooter McCray")</f>
        <v>Scooter McCray</v>
      </c>
      <c r="E3295" s="4" t="str">
        <f>IFERROR(__xludf.DUMMYFUNCTION("""COMPUTED_VALUE"""),"Louisville")</f>
        <v>Louisville</v>
      </c>
      <c r="F3295" s="4">
        <f>IFERROR(__xludf.DUMMYFUNCTION("""COMPUTED_VALUE"""),3.0)</f>
        <v>3</v>
      </c>
      <c r="G3295" s="4">
        <f>IFERROR(__xludf.DUMMYFUNCTION("""COMPUTED_VALUE"""),77.0)</f>
        <v>77</v>
      </c>
      <c r="H3295" s="4">
        <f>IFERROR(__xludf.DUMMYFUNCTION("""COMPUTED_VALUE"""),892.0)</f>
        <v>892</v>
      </c>
      <c r="I3295" s="4">
        <f>IFERROR(__xludf.DUMMYFUNCTION("""COMPUTED_VALUE"""),224.0)</f>
        <v>224</v>
      </c>
      <c r="J3295" s="4">
        <f>IFERROR(__xludf.DUMMYFUNCTION("""COMPUTED_VALUE"""),190.0)</f>
        <v>190</v>
      </c>
      <c r="K3295" s="4">
        <f>IFERROR(__xludf.DUMMYFUNCTION("""COMPUTED_VALUE"""),74.0)</f>
        <v>74</v>
      </c>
      <c r="L3295" s="4">
        <f>IFERROR(__xludf.DUMMYFUNCTION("""COMPUTED_VALUE"""),0.423)</f>
        <v>0.423</v>
      </c>
      <c r="M3295" s="4"/>
      <c r="N3295" s="4">
        <f>IFERROR(__xludf.DUMMYFUNCTION("""COMPUTED_VALUE"""),0.611)</f>
        <v>0.611</v>
      </c>
      <c r="O3295" s="4">
        <f>IFERROR(__xludf.DUMMYFUNCTION("""COMPUTED_VALUE"""),11.6)</f>
        <v>11.6</v>
      </c>
      <c r="P3295" s="4">
        <f>IFERROR(__xludf.DUMMYFUNCTION("""COMPUTED_VALUE"""),2.9)</f>
        <v>2.9</v>
      </c>
      <c r="Q3295" s="4">
        <f>IFERROR(__xludf.DUMMYFUNCTION("""COMPUTED_VALUE"""),2.5)</f>
        <v>2.5</v>
      </c>
      <c r="R3295" s="4">
        <f>IFERROR(__xludf.DUMMYFUNCTION("""COMPUTED_VALUE"""),1.0)</f>
        <v>1</v>
      </c>
      <c r="S3295" s="4">
        <f>IFERROR(__xludf.DUMMYFUNCTION("""COMPUTED_VALUE"""),0.4)</f>
        <v>0.4</v>
      </c>
      <c r="T3295" s="4">
        <f>IFERROR(__xludf.DUMMYFUNCTION("""COMPUTED_VALUE"""),0.023)</f>
        <v>0.023</v>
      </c>
      <c r="U3295" s="4">
        <f>IFERROR(__xludf.DUMMYFUNCTION("""COMPUTED_VALUE"""),-2.9)</f>
        <v>-2.9</v>
      </c>
      <c r="V3295" s="4">
        <f>IFERROR(__xludf.DUMMYFUNCTION("""COMPUTED_VALUE"""),-0.2)</f>
        <v>-0.2</v>
      </c>
    </row>
    <row r="3296">
      <c r="A3296" s="4">
        <f>IFERROR(__xludf.DUMMYFUNCTION("""COMPUTED_VALUE"""),37.0)</f>
        <v>37</v>
      </c>
      <c r="B3296" s="4">
        <f>IFERROR(__xludf.DUMMYFUNCTION("""COMPUTED_VALUE"""),37.0)</f>
        <v>37</v>
      </c>
      <c r="C3296" s="4" t="str">
        <f>IFERROR(__xludf.DUMMYFUNCTION("""COMPUTED_VALUE"""),"DEN")</f>
        <v>DEN</v>
      </c>
      <c r="D3296" s="4" t="str">
        <f>IFERROR(__xludf.DUMMYFUNCTION("""COMPUTED_VALUE"""),"David Russell")</f>
        <v>David Russell</v>
      </c>
      <c r="E3296" s="4" t="str">
        <f>IFERROR(__xludf.DUMMYFUNCTION("""COMPUTED_VALUE"""),"St. John's")</f>
        <v>St. John's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</row>
    <row r="3297">
      <c r="A3297" s="4">
        <f>IFERROR(__xludf.DUMMYFUNCTION("""COMPUTED_VALUE"""),38.0)</f>
        <v>38</v>
      </c>
      <c r="B3297" s="4">
        <f>IFERROR(__xludf.DUMMYFUNCTION("""COMPUTED_VALUE"""),38.0)</f>
        <v>38</v>
      </c>
      <c r="C3297" s="4" t="str">
        <f>IFERROR(__xludf.DUMMYFUNCTION("""COMPUTED_VALUE"""),"KCK")</f>
        <v>KCK</v>
      </c>
      <c r="D3297" s="4" t="str">
        <f>IFERROR(__xludf.DUMMYFUNCTION("""COMPUTED_VALUE"""),"Chris McNealy")</f>
        <v>Chris McNealy</v>
      </c>
      <c r="E3297" s="4" t="str">
        <f>IFERROR(__xludf.DUMMYFUNCTION("""COMPUTED_VALUE"""),"San Jose State")</f>
        <v>San Jose State</v>
      </c>
      <c r="F3297" s="4">
        <f>IFERROR(__xludf.DUMMYFUNCTION("""COMPUTED_VALUE"""),3.0)</f>
        <v>3</v>
      </c>
      <c r="G3297" s="4">
        <f>IFERROR(__xludf.DUMMYFUNCTION("""COMPUTED_VALUE"""),108.0)</f>
        <v>108</v>
      </c>
      <c r="H3297" s="4">
        <f>IFERROR(__xludf.DUMMYFUNCTION("""COMPUTED_VALUE"""),1864.0)</f>
        <v>1864</v>
      </c>
      <c r="I3297" s="4">
        <f>IFERROR(__xludf.DUMMYFUNCTION("""COMPUTED_VALUE"""),466.0)</f>
        <v>466</v>
      </c>
      <c r="J3297" s="4">
        <f>IFERROR(__xludf.DUMMYFUNCTION("""COMPUTED_VALUE"""),494.0)</f>
        <v>494</v>
      </c>
      <c r="K3297" s="4">
        <f>IFERROR(__xludf.DUMMYFUNCTION("""COMPUTED_VALUE"""),110.0)</f>
        <v>110</v>
      </c>
      <c r="L3297" s="4">
        <f>IFERROR(__xludf.DUMMYFUNCTION("""COMPUTED_VALUE"""),0.456)</f>
        <v>0.456</v>
      </c>
      <c r="M3297" s="4"/>
      <c r="N3297" s="4">
        <f>IFERROR(__xludf.DUMMYFUNCTION("""COMPUTED_VALUE"""),0.658)</f>
        <v>0.658</v>
      </c>
      <c r="O3297" s="4">
        <f>IFERROR(__xludf.DUMMYFUNCTION("""COMPUTED_VALUE"""),17.3)</f>
        <v>17.3</v>
      </c>
      <c r="P3297" s="4">
        <f>IFERROR(__xludf.DUMMYFUNCTION("""COMPUTED_VALUE"""),4.3)</f>
        <v>4.3</v>
      </c>
      <c r="Q3297" s="4">
        <f>IFERROR(__xludf.DUMMYFUNCTION("""COMPUTED_VALUE"""),4.6)</f>
        <v>4.6</v>
      </c>
      <c r="R3297" s="4">
        <f>IFERROR(__xludf.DUMMYFUNCTION("""COMPUTED_VALUE"""),1.0)</f>
        <v>1</v>
      </c>
      <c r="S3297" s="4">
        <f>IFERROR(__xludf.DUMMYFUNCTION("""COMPUTED_VALUE"""),2.6)</f>
        <v>2.6</v>
      </c>
      <c r="T3297" s="4">
        <f>IFERROR(__xludf.DUMMYFUNCTION("""COMPUTED_VALUE"""),0.066)</f>
        <v>0.066</v>
      </c>
      <c r="U3297" s="4">
        <f>IFERROR(__xludf.DUMMYFUNCTION("""COMPUTED_VALUE"""),-1.9)</f>
        <v>-1.9</v>
      </c>
      <c r="V3297" s="4">
        <f>IFERROR(__xludf.DUMMYFUNCTION("""COMPUTED_VALUE"""),0.0)</f>
        <v>0</v>
      </c>
    </row>
    <row r="3298">
      <c r="A3298" s="4">
        <f>IFERROR(__xludf.DUMMYFUNCTION("""COMPUTED_VALUE"""),39.0)</f>
        <v>39</v>
      </c>
      <c r="B3298" s="4">
        <f>IFERROR(__xludf.DUMMYFUNCTION("""COMPUTED_VALUE"""),39.0)</f>
        <v>39</v>
      </c>
      <c r="C3298" s="4" t="str">
        <f>IFERROR(__xludf.DUMMYFUNCTION("""COMPUTED_VALUE"""),"POR")</f>
        <v>POR</v>
      </c>
      <c r="D3298" s="4" t="str">
        <f>IFERROR(__xludf.DUMMYFUNCTION("""COMPUTED_VALUE"""),"Granville Waiters")</f>
        <v>Granville Waiters</v>
      </c>
      <c r="E3298" s="4" t="str">
        <f>IFERROR(__xludf.DUMMYFUNCTION("""COMPUTED_VALUE"""),"Ohio State")</f>
        <v>Ohio State</v>
      </c>
      <c r="F3298" s="4">
        <f>IFERROR(__xludf.DUMMYFUNCTION("""COMPUTED_VALUE"""),5.0)</f>
        <v>5</v>
      </c>
      <c r="G3298" s="4">
        <f>IFERROR(__xludf.DUMMYFUNCTION("""COMPUTED_VALUE"""),249.0)</f>
        <v>249</v>
      </c>
      <c r="H3298" s="4">
        <f>IFERROR(__xludf.DUMMYFUNCTION("""COMPUTED_VALUE"""),2547.0)</f>
        <v>2547</v>
      </c>
      <c r="I3298" s="4">
        <f>IFERROR(__xludf.DUMMYFUNCTION("""COMPUTED_VALUE"""),606.0)</f>
        <v>606</v>
      </c>
      <c r="J3298" s="4">
        <f>IFERROR(__xludf.DUMMYFUNCTION("""COMPUTED_VALUE"""),540.0)</f>
        <v>540</v>
      </c>
      <c r="K3298" s="4">
        <f>IFERROR(__xludf.DUMMYFUNCTION("""COMPUTED_VALUE"""),121.0)</f>
        <v>121</v>
      </c>
      <c r="L3298" s="4">
        <f>IFERROR(__xludf.DUMMYFUNCTION("""COMPUTED_VALUE"""),0.458)</f>
        <v>0.458</v>
      </c>
      <c r="M3298" s="4">
        <f>IFERROR(__xludf.DUMMYFUNCTION("""COMPUTED_VALUE"""),0.0)</f>
        <v>0</v>
      </c>
      <c r="N3298" s="4">
        <f>IFERROR(__xludf.DUMMYFUNCTION("""COMPUTED_VALUE"""),0.559)</f>
        <v>0.559</v>
      </c>
      <c r="O3298" s="4">
        <f>IFERROR(__xludf.DUMMYFUNCTION("""COMPUTED_VALUE"""),10.2)</f>
        <v>10.2</v>
      </c>
      <c r="P3298" s="4">
        <f>IFERROR(__xludf.DUMMYFUNCTION("""COMPUTED_VALUE"""),2.4)</f>
        <v>2.4</v>
      </c>
      <c r="Q3298" s="4">
        <f>IFERROR(__xludf.DUMMYFUNCTION("""COMPUTED_VALUE"""),2.2)</f>
        <v>2.2</v>
      </c>
      <c r="R3298" s="4">
        <f>IFERROR(__xludf.DUMMYFUNCTION("""COMPUTED_VALUE"""),0.5)</f>
        <v>0.5</v>
      </c>
      <c r="S3298" s="4">
        <f>IFERROR(__xludf.DUMMYFUNCTION("""COMPUTED_VALUE"""),1.9)</f>
        <v>1.9</v>
      </c>
      <c r="T3298" s="4">
        <f>IFERROR(__xludf.DUMMYFUNCTION("""COMPUTED_VALUE"""),0.036)</f>
        <v>0.036</v>
      </c>
      <c r="U3298" s="4">
        <f>IFERROR(__xludf.DUMMYFUNCTION("""COMPUTED_VALUE"""),-3.3)</f>
        <v>-3.3</v>
      </c>
      <c r="V3298" s="4">
        <f>IFERROR(__xludf.DUMMYFUNCTION("""COMPUTED_VALUE"""),-0.8)</f>
        <v>-0.8</v>
      </c>
    </row>
    <row r="3299">
      <c r="A3299" s="4">
        <f>IFERROR(__xludf.DUMMYFUNCTION("""COMPUTED_VALUE"""),40.0)</f>
        <v>40</v>
      </c>
      <c r="B3299" s="4">
        <f>IFERROR(__xludf.DUMMYFUNCTION("""COMPUTED_VALUE"""),40.0)</f>
        <v>40</v>
      </c>
      <c r="C3299" s="4" t="str">
        <f>IFERROR(__xludf.DUMMYFUNCTION("""COMPUTED_VALUE"""),"IND")</f>
        <v>IND</v>
      </c>
      <c r="D3299" s="4" t="str">
        <f>IFERROR(__xludf.DUMMYFUNCTION("""COMPUTED_VALUE"""),"Jim Thomas")</f>
        <v>Jim Thomas</v>
      </c>
      <c r="E3299" s="4" t="str">
        <f>IFERROR(__xludf.DUMMYFUNCTION("""COMPUTED_VALUE"""),"Indiana")</f>
        <v>Indiana</v>
      </c>
      <c r="F3299" s="4">
        <f>IFERROR(__xludf.DUMMYFUNCTION("""COMPUTED_VALUE"""),4.0)</f>
        <v>4</v>
      </c>
      <c r="G3299" s="4">
        <f>IFERROR(__xludf.DUMMYFUNCTION("""COMPUTED_VALUE"""),161.0)</f>
        <v>161</v>
      </c>
      <c r="H3299" s="4">
        <f>IFERROR(__xludf.DUMMYFUNCTION("""COMPUTED_VALUE"""),3361.0)</f>
        <v>3361</v>
      </c>
      <c r="I3299" s="4">
        <f>IFERROR(__xludf.DUMMYFUNCTION("""COMPUTED_VALUE"""),1355.0)</f>
        <v>1355</v>
      </c>
      <c r="J3299" s="4">
        <f>IFERROR(__xludf.DUMMYFUNCTION("""COMPUTED_VALUE"""),418.0)</f>
        <v>418</v>
      </c>
      <c r="K3299" s="4">
        <f>IFERROR(__xludf.DUMMYFUNCTION("""COMPUTED_VALUE"""),377.0)</f>
        <v>377</v>
      </c>
      <c r="L3299" s="4">
        <f>IFERROR(__xludf.DUMMYFUNCTION("""COMPUTED_VALUE"""),0.471)</f>
        <v>0.471</v>
      </c>
      <c r="M3299" s="4">
        <f>IFERROR(__xludf.DUMMYFUNCTION("""COMPUTED_VALUE"""),0.17)</f>
        <v>0.17</v>
      </c>
      <c r="N3299" s="4">
        <f>IFERROR(__xludf.DUMMYFUNCTION("""COMPUTED_VALUE"""),0.763)</f>
        <v>0.763</v>
      </c>
      <c r="O3299" s="4">
        <f>IFERROR(__xludf.DUMMYFUNCTION("""COMPUTED_VALUE"""),20.9)</f>
        <v>20.9</v>
      </c>
      <c r="P3299" s="4">
        <f>IFERROR(__xludf.DUMMYFUNCTION("""COMPUTED_VALUE"""),8.4)</f>
        <v>8.4</v>
      </c>
      <c r="Q3299" s="4">
        <f>IFERROR(__xludf.DUMMYFUNCTION("""COMPUTED_VALUE"""),2.6)</f>
        <v>2.6</v>
      </c>
      <c r="R3299" s="4">
        <f>IFERROR(__xludf.DUMMYFUNCTION("""COMPUTED_VALUE"""),2.3)</f>
        <v>2.3</v>
      </c>
      <c r="S3299" s="4">
        <f>IFERROR(__xludf.DUMMYFUNCTION("""COMPUTED_VALUE"""),4.9)</f>
        <v>4.9</v>
      </c>
      <c r="T3299" s="4">
        <f>IFERROR(__xludf.DUMMYFUNCTION("""COMPUTED_VALUE"""),0.071)</f>
        <v>0.071</v>
      </c>
      <c r="U3299" s="4">
        <f>IFERROR(__xludf.DUMMYFUNCTION("""COMPUTED_VALUE"""),-1.4)</f>
        <v>-1.4</v>
      </c>
      <c r="V3299" s="4">
        <f>IFERROR(__xludf.DUMMYFUNCTION("""COMPUTED_VALUE"""),0.5)</f>
        <v>0.5</v>
      </c>
    </row>
    <row r="3300">
      <c r="A3300" s="4">
        <f>IFERROR(__xludf.DUMMYFUNCTION("""COMPUTED_VALUE"""),41.0)</f>
        <v>41</v>
      </c>
      <c r="B3300" s="4">
        <f>IFERROR(__xludf.DUMMYFUNCTION("""COMPUTED_VALUE"""),41.0)</f>
        <v>41</v>
      </c>
      <c r="C3300" s="4" t="str">
        <f>IFERROR(__xludf.DUMMYFUNCTION("""COMPUTED_VALUE"""),"MIL")</f>
        <v>MIL</v>
      </c>
      <c r="D3300" s="4" t="str">
        <f>IFERROR(__xludf.DUMMYFUNCTION("""COMPUTED_VALUE"""),"Ted Kitchel")</f>
        <v>Ted Kitchel</v>
      </c>
      <c r="E3300" s="4" t="str">
        <f>IFERROR(__xludf.DUMMYFUNCTION("""COMPUTED_VALUE"""),"Indiana")</f>
        <v>Indiana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</row>
    <row r="3301">
      <c r="A3301" s="4">
        <f>IFERROR(__xludf.DUMMYFUNCTION("""COMPUTED_VALUE"""),42.0)</f>
        <v>42</v>
      </c>
      <c r="B3301" s="4">
        <f>IFERROR(__xludf.DUMMYFUNCTION("""COMPUTED_VALUE"""),42.0)</f>
        <v>42</v>
      </c>
      <c r="C3301" s="4" t="str">
        <f>IFERROR(__xludf.DUMMYFUNCTION("""COMPUTED_VALUE"""),"MIL")</f>
        <v>MIL</v>
      </c>
      <c r="D3301" s="4" t="str">
        <f>IFERROR(__xludf.DUMMYFUNCTION("""COMPUTED_VALUE"""),"Mike Davis")</f>
        <v>Mike Davis</v>
      </c>
      <c r="E3301" s="4" t="str">
        <f>IFERROR(__xludf.DUMMYFUNCTION("""COMPUTED_VALUE"""),"Alabama")</f>
        <v>Alabama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</row>
    <row r="3302">
      <c r="A3302" s="4">
        <f>IFERROR(__xludf.DUMMYFUNCTION("""COMPUTED_VALUE"""),43.0)</f>
        <v>43</v>
      </c>
      <c r="B3302" s="4">
        <f>IFERROR(__xludf.DUMMYFUNCTION("""COMPUTED_VALUE"""),43.0)</f>
        <v>43</v>
      </c>
      <c r="C3302" s="4" t="str">
        <f>IFERROR(__xludf.DUMMYFUNCTION("""COMPUTED_VALUE"""),"GSW")</f>
        <v>GSW</v>
      </c>
      <c r="D3302" s="4" t="str">
        <f>IFERROR(__xludf.DUMMYFUNCTION("""COMPUTED_VALUE"""),"Pace Mannion")</f>
        <v>Pace Mannion</v>
      </c>
      <c r="E3302" s="4" t="str">
        <f>IFERROR(__xludf.DUMMYFUNCTION("""COMPUTED_VALUE"""),"Utah")</f>
        <v>Utah</v>
      </c>
      <c r="F3302" s="4">
        <f>IFERROR(__xludf.DUMMYFUNCTION("""COMPUTED_VALUE"""),6.0)</f>
        <v>6</v>
      </c>
      <c r="G3302" s="4">
        <f>IFERROR(__xludf.DUMMYFUNCTION("""COMPUTED_VALUE"""),216.0)</f>
        <v>216</v>
      </c>
      <c r="H3302" s="4">
        <f>IFERROR(__xludf.DUMMYFUNCTION("""COMPUTED_VALUE"""),2125.0)</f>
        <v>2125</v>
      </c>
      <c r="I3302" s="4">
        <f>IFERROR(__xludf.DUMMYFUNCTION("""COMPUTED_VALUE"""),660.0)</f>
        <v>660</v>
      </c>
      <c r="J3302" s="4">
        <f>IFERROR(__xludf.DUMMYFUNCTION("""COMPUTED_VALUE"""),259.0)</f>
        <v>259</v>
      </c>
      <c r="K3302" s="4">
        <f>IFERROR(__xludf.DUMMYFUNCTION("""COMPUTED_VALUE"""),231.0)</f>
        <v>231</v>
      </c>
      <c r="L3302" s="4">
        <f>IFERROR(__xludf.DUMMYFUNCTION("""COMPUTED_VALUE"""),0.413)</f>
        <v>0.413</v>
      </c>
      <c r="M3302" s="4">
        <f>IFERROR(__xludf.DUMMYFUNCTION("""COMPUTED_VALUE"""),0.203)</f>
        <v>0.203</v>
      </c>
      <c r="N3302" s="4">
        <f>IFERROR(__xludf.DUMMYFUNCTION("""COMPUTED_VALUE"""),0.663)</f>
        <v>0.663</v>
      </c>
      <c r="O3302" s="4">
        <f>IFERROR(__xludf.DUMMYFUNCTION("""COMPUTED_VALUE"""),9.8)</f>
        <v>9.8</v>
      </c>
      <c r="P3302" s="4">
        <f>IFERROR(__xludf.DUMMYFUNCTION("""COMPUTED_VALUE"""),3.1)</f>
        <v>3.1</v>
      </c>
      <c r="Q3302" s="4">
        <f>IFERROR(__xludf.DUMMYFUNCTION("""COMPUTED_VALUE"""),1.2)</f>
        <v>1.2</v>
      </c>
      <c r="R3302" s="4">
        <f>IFERROR(__xludf.DUMMYFUNCTION("""COMPUTED_VALUE"""),1.1)</f>
        <v>1.1</v>
      </c>
      <c r="S3302" s="4">
        <f>IFERROR(__xludf.DUMMYFUNCTION("""COMPUTED_VALUE"""),1.7)</f>
        <v>1.7</v>
      </c>
      <c r="T3302" s="4">
        <f>IFERROR(__xludf.DUMMYFUNCTION("""COMPUTED_VALUE"""),0.038)</f>
        <v>0.038</v>
      </c>
      <c r="U3302" s="4">
        <f>IFERROR(__xludf.DUMMYFUNCTION("""COMPUTED_VALUE"""),-2.0)</f>
        <v>-2</v>
      </c>
      <c r="V3302" s="4">
        <f>IFERROR(__xludf.DUMMYFUNCTION("""COMPUTED_VALUE"""),0.0)</f>
        <v>0</v>
      </c>
    </row>
    <row r="3303">
      <c r="A3303" s="4">
        <f>IFERROR(__xludf.DUMMYFUNCTION("""COMPUTED_VALUE"""),44.0)</f>
        <v>44</v>
      </c>
      <c r="B3303" s="4">
        <f>IFERROR(__xludf.DUMMYFUNCTION("""COMPUTED_VALUE"""),44.0)</f>
        <v>44</v>
      </c>
      <c r="C3303" s="4" t="str">
        <f>IFERROR(__xludf.DUMMYFUNCTION("""COMPUTED_VALUE"""),"NJN")</f>
        <v>NJN</v>
      </c>
      <c r="D3303" s="4" t="str">
        <f>IFERROR(__xludf.DUMMYFUNCTION("""COMPUTED_VALUE"""),"Horace Owens")</f>
        <v>Horace Owens</v>
      </c>
      <c r="E3303" s="4" t="str">
        <f>IFERROR(__xludf.DUMMYFUNCTION("""COMPUTED_VALUE"""),"Rhode Island")</f>
        <v>Rhode Island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</row>
    <row r="3304">
      <c r="A3304" s="4">
        <f>IFERROR(__xludf.DUMMYFUNCTION("""COMPUTED_VALUE"""),45.0)</f>
        <v>45</v>
      </c>
      <c r="B3304" s="4">
        <f>IFERROR(__xludf.DUMMYFUNCTION("""COMPUTED_VALUE"""),45.0)</f>
        <v>45</v>
      </c>
      <c r="C3304" s="4" t="str">
        <f>IFERROR(__xludf.DUMMYFUNCTION("""COMPUTED_VALUE"""),"PHO")</f>
        <v>PHO</v>
      </c>
      <c r="D3304" s="4" t="str">
        <f>IFERROR(__xludf.DUMMYFUNCTION("""COMPUTED_VALUE"""),"Paul Williams")</f>
        <v>Paul Williams</v>
      </c>
      <c r="E3304" s="4" t="str">
        <f>IFERROR(__xludf.DUMMYFUNCTION("""COMPUTED_VALUE"""),"Arizona State")</f>
        <v>Arizona State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</row>
    <row r="3305">
      <c r="A3305" s="4">
        <f>IFERROR(__xludf.DUMMYFUNCTION("""COMPUTED_VALUE"""),46.0)</f>
        <v>46</v>
      </c>
      <c r="B3305" s="4">
        <f>IFERROR(__xludf.DUMMYFUNCTION("""COMPUTED_VALUE"""),46.0)</f>
        <v>46</v>
      </c>
      <c r="C3305" s="4" t="str">
        <f>IFERROR(__xludf.DUMMYFUNCTION("""COMPUTED_VALUE"""),"SAS")</f>
        <v>SAS</v>
      </c>
      <c r="D3305" s="4" t="str">
        <f>IFERROR(__xludf.DUMMYFUNCTION("""COMPUTED_VALUE"""),"Kevin Williams")</f>
        <v>Kevin Williams</v>
      </c>
      <c r="E3305" s="4" t="str">
        <f>IFERROR(__xludf.DUMMYFUNCTION("""COMPUTED_VALUE"""),"St. John's")</f>
        <v>St. John's</v>
      </c>
      <c r="F3305" s="4">
        <f>IFERROR(__xludf.DUMMYFUNCTION("""COMPUTED_VALUE"""),5.0)</f>
        <v>5</v>
      </c>
      <c r="G3305" s="4">
        <f>IFERROR(__xludf.DUMMYFUNCTION("""COMPUTED_VALUE"""),260.0)</f>
        <v>260</v>
      </c>
      <c r="H3305" s="4">
        <f>IFERROR(__xludf.DUMMYFUNCTION("""COMPUTED_VALUE"""),2947.0)</f>
        <v>2947</v>
      </c>
      <c r="I3305" s="4">
        <f>IFERROR(__xludf.DUMMYFUNCTION("""COMPUTED_VALUE"""),1268.0)</f>
        <v>1268</v>
      </c>
      <c r="J3305" s="4">
        <f>IFERROR(__xludf.DUMMYFUNCTION("""COMPUTED_VALUE"""),356.0)</f>
        <v>356</v>
      </c>
      <c r="K3305" s="4">
        <f>IFERROR(__xludf.DUMMYFUNCTION("""COMPUTED_VALUE"""),319.0)</f>
        <v>319</v>
      </c>
      <c r="L3305" s="4">
        <f>IFERROR(__xludf.DUMMYFUNCTION("""COMPUTED_VALUE"""),0.435)</f>
        <v>0.435</v>
      </c>
      <c r="M3305" s="4">
        <f>IFERROR(__xludf.DUMMYFUNCTION("""COMPUTED_VALUE"""),0.077)</f>
        <v>0.077</v>
      </c>
      <c r="N3305" s="4">
        <f>IFERROR(__xludf.DUMMYFUNCTION("""COMPUTED_VALUE"""),0.805)</f>
        <v>0.805</v>
      </c>
      <c r="O3305" s="4">
        <f>IFERROR(__xludf.DUMMYFUNCTION("""COMPUTED_VALUE"""),11.3)</f>
        <v>11.3</v>
      </c>
      <c r="P3305" s="4">
        <f>IFERROR(__xludf.DUMMYFUNCTION("""COMPUTED_VALUE"""),4.9)</f>
        <v>4.9</v>
      </c>
      <c r="Q3305" s="4">
        <f>IFERROR(__xludf.DUMMYFUNCTION("""COMPUTED_VALUE"""),1.4)</f>
        <v>1.4</v>
      </c>
      <c r="R3305" s="4">
        <f>IFERROR(__xludf.DUMMYFUNCTION("""COMPUTED_VALUE"""),1.2)</f>
        <v>1.2</v>
      </c>
      <c r="S3305" s="4">
        <f>IFERROR(__xludf.DUMMYFUNCTION("""COMPUTED_VALUE"""),2.6)</f>
        <v>2.6</v>
      </c>
      <c r="T3305" s="4">
        <f>IFERROR(__xludf.DUMMYFUNCTION("""COMPUTED_VALUE"""),0.042)</f>
        <v>0.042</v>
      </c>
      <c r="U3305" s="4">
        <f>IFERROR(__xludf.DUMMYFUNCTION("""COMPUTED_VALUE"""),-3.5)</f>
        <v>-3.5</v>
      </c>
      <c r="V3305" s="4">
        <f>IFERROR(__xludf.DUMMYFUNCTION("""COMPUTED_VALUE"""),-1.1)</f>
        <v>-1.1</v>
      </c>
    </row>
    <row r="3306">
      <c r="A3306" s="4">
        <f>IFERROR(__xludf.DUMMYFUNCTION("""COMPUTED_VALUE"""),47.0)</f>
        <v>47</v>
      </c>
      <c r="B3306" s="4">
        <f>IFERROR(__xludf.DUMMYFUNCTION("""COMPUTED_VALUE"""),47.0)</f>
        <v>47</v>
      </c>
      <c r="C3306" s="4" t="str">
        <f>IFERROR(__xludf.DUMMYFUNCTION("""COMPUTED_VALUE"""),"PHI")</f>
        <v>PHI</v>
      </c>
      <c r="D3306" s="4" t="str">
        <f>IFERROR(__xludf.DUMMYFUNCTION("""COMPUTED_VALUE"""),"Ken Lyons")</f>
        <v>Ken Lyons</v>
      </c>
      <c r="E3306" s="4" t="str">
        <f>IFERROR(__xludf.DUMMYFUNCTION("""COMPUTED_VALUE"""),"University of North Texas")</f>
        <v>University of North Texas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</row>
    <row r="3307">
      <c r="A3307" s="4"/>
      <c r="B3307" s="4"/>
      <c r="C3307" s="4"/>
      <c r="D3307" s="4" t="str">
        <f>IFERROR(__xludf.DUMMYFUNCTION("""COMPUTED_VALUE"""),"Round 3")</f>
        <v>Round 3</v>
      </c>
      <c r="E3307" s="4"/>
      <c r="F3307" s="4"/>
      <c r="G3307" s="4" t="str">
        <f>IFERROR(__xludf.DUMMYFUNCTION("""COMPUTED_VALUE"""),"Totals")</f>
        <v>Totals</v>
      </c>
      <c r="H3307" s="4"/>
      <c r="I3307" s="4"/>
      <c r="J3307" s="4"/>
      <c r="K3307" s="4"/>
      <c r="L3307" s="4" t="str">
        <f>IFERROR(__xludf.DUMMYFUNCTION("""COMPUTED_VALUE"""),"Shooting")</f>
        <v>Shooting</v>
      </c>
      <c r="M3307" s="4"/>
      <c r="N3307" s="4"/>
      <c r="O3307" s="4" t="str">
        <f>IFERROR(__xludf.DUMMYFUNCTION("""COMPUTED_VALUE"""),"Per Game")</f>
        <v>Per Game</v>
      </c>
      <c r="P3307" s="4"/>
      <c r="Q3307" s="4"/>
      <c r="R3307" s="4"/>
      <c r="S3307" s="4" t="str">
        <f>IFERROR(__xludf.DUMMYFUNCTION("""COMPUTED_VALUE"""),"Advanced")</f>
        <v>Advanced</v>
      </c>
      <c r="T3307" s="4"/>
      <c r="U3307" s="4"/>
      <c r="V3307" s="4"/>
    </row>
    <row r="3308">
      <c r="A3308" s="4" t="str">
        <f>IFERROR(__xludf.DUMMYFUNCTION("""COMPUTED_VALUE"""),"Rk")</f>
        <v>Rk</v>
      </c>
      <c r="B3308" s="4" t="str">
        <f>IFERROR(__xludf.DUMMYFUNCTION("""COMPUTED_VALUE"""),"Pk")</f>
        <v>Pk</v>
      </c>
      <c r="C3308" s="4" t="str">
        <f>IFERROR(__xludf.DUMMYFUNCTION("""COMPUTED_VALUE"""),"Tm")</f>
        <v>Tm</v>
      </c>
      <c r="D3308" s="4" t="str">
        <f>IFERROR(__xludf.DUMMYFUNCTION("""COMPUTED_VALUE"""),"Player")</f>
        <v>Player</v>
      </c>
      <c r="E3308" s="4" t="str">
        <f>IFERROR(__xludf.DUMMYFUNCTION("""COMPUTED_VALUE"""),"College")</f>
        <v>College</v>
      </c>
      <c r="F3308" s="4" t="str">
        <f>IFERROR(__xludf.DUMMYFUNCTION("""COMPUTED_VALUE"""),"Yrs")</f>
        <v>Yrs</v>
      </c>
      <c r="G3308" s="4" t="str">
        <f>IFERROR(__xludf.DUMMYFUNCTION("""COMPUTED_VALUE"""),"G")</f>
        <v>G</v>
      </c>
      <c r="H3308" s="4" t="str">
        <f>IFERROR(__xludf.DUMMYFUNCTION("""COMPUTED_VALUE"""),"MP")</f>
        <v>MP</v>
      </c>
      <c r="I3308" s="4" t="str">
        <f>IFERROR(__xludf.DUMMYFUNCTION("""COMPUTED_VALUE"""),"PTS")</f>
        <v>PTS</v>
      </c>
      <c r="J3308" s="4" t="str">
        <f>IFERROR(__xludf.DUMMYFUNCTION("""COMPUTED_VALUE"""),"TRB")</f>
        <v>TRB</v>
      </c>
      <c r="K3308" s="4" t="str">
        <f>IFERROR(__xludf.DUMMYFUNCTION("""COMPUTED_VALUE"""),"AST")</f>
        <v>AST</v>
      </c>
      <c r="L3308" s="4" t="str">
        <f>IFERROR(__xludf.DUMMYFUNCTION("""COMPUTED_VALUE"""),"FG%")</f>
        <v>FG%</v>
      </c>
      <c r="M3308" s="4" t="str">
        <f>IFERROR(__xludf.DUMMYFUNCTION("""COMPUTED_VALUE"""),"3P%")</f>
        <v>3P%</v>
      </c>
      <c r="N3308" s="4" t="str">
        <f>IFERROR(__xludf.DUMMYFUNCTION("""COMPUTED_VALUE"""),"FT%")</f>
        <v>FT%</v>
      </c>
      <c r="O3308" s="4" t="str">
        <f>IFERROR(__xludf.DUMMYFUNCTION("""COMPUTED_VALUE"""),"MP")</f>
        <v>MP</v>
      </c>
      <c r="P3308" s="4" t="str">
        <f>IFERROR(__xludf.DUMMYFUNCTION("""COMPUTED_VALUE"""),"PTS")</f>
        <v>PTS</v>
      </c>
      <c r="Q3308" s="4" t="str">
        <f>IFERROR(__xludf.DUMMYFUNCTION("""COMPUTED_VALUE"""),"TRB")</f>
        <v>TRB</v>
      </c>
      <c r="R3308" s="4" t="str">
        <f>IFERROR(__xludf.DUMMYFUNCTION("""COMPUTED_VALUE"""),"AST")</f>
        <v>AST</v>
      </c>
      <c r="S3308" s="4" t="str">
        <f>IFERROR(__xludf.DUMMYFUNCTION("""COMPUTED_VALUE"""),"WS")</f>
        <v>WS</v>
      </c>
      <c r="T3308" s="4" t="str">
        <f>IFERROR(__xludf.DUMMYFUNCTION("""COMPUTED_VALUE"""),"WS/48")</f>
        <v>WS/48</v>
      </c>
      <c r="U3308" s="4" t="str">
        <f>IFERROR(__xludf.DUMMYFUNCTION("""COMPUTED_VALUE"""),"BPM")</f>
        <v>BPM</v>
      </c>
      <c r="V3308" s="4" t="str">
        <f>IFERROR(__xludf.DUMMYFUNCTION("""COMPUTED_VALUE"""),"VORP")</f>
        <v>VORP</v>
      </c>
    </row>
    <row r="3309">
      <c r="A3309" s="4">
        <f>IFERROR(__xludf.DUMMYFUNCTION("""COMPUTED_VALUE"""),48.0)</f>
        <v>48</v>
      </c>
      <c r="B3309" s="4">
        <f>IFERROR(__xludf.DUMMYFUNCTION("""COMPUTED_VALUE"""),48.0)</f>
        <v>48</v>
      </c>
      <c r="C3309" s="4" t="str">
        <f>IFERROR(__xludf.DUMMYFUNCTION("""COMPUTED_VALUE"""),"HOU")</f>
        <v>HOU</v>
      </c>
      <c r="D3309" s="4" t="str">
        <f>IFERROR(__xludf.DUMMYFUNCTION("""COMPUTED_VALUE"""),"Craig Ehlo")</f>
        <v>Craig Ehlo</v>
      </c>
      <c r="E3309" s="4" t="str">
        <f>IFERROR(__xludf.DUMMYFUNCTION("""COMPUTED_VALUE"""),"Washington State")</f>
        <v>Washington State</v>
      </c>
      <c r="F3309" s="4">
        <f>IFERROR(__xludf.DUMMYFUNCTION("""COMPUTED_VALUE"""),14.0)</f>
        <v>14</v>
      </c>
      <c r="G3309" s="4">
        <f>IFERROR(__xludf.DUMMYFUNCTION("""COMPUTED_VALUE"""),873.0)</f>
        <v>873</v>
      </c>
      <c r="H3309" s="4">
        <f>IFERROR(__xludf.DUMMYFUNCTION("""COMPUTED_VALUE"""),21071.0)</f>
        <v>21071</v>
      </c>
      <c r="I3309" s="4">
        <f>IFERROR(__xludf.DUMMYFUNCTION("""COMPUTED_VALUE"""),7492.0)</f>
        <v>7492</v>
      </c>
      <c r="J3309" s="4">
        <f>IFERROR(__xludf.DUMMYFUNCTION("""COMPUTED_VALUE"""),3139.0)</f>
        <v>3139</v>
      </c>
      <c r="K3309" s="4">
        <f>IFERROR(__xludf.DUMMYFUNCTION("""COMPUTED_VALUE"""),2456.0)</f>
        <v>2456</v>
      </c>
      <c r="L3309" s="4">
        <f>IFERROR(__xludf.DUMMYFUNCTION("""COMPUTED_VALUE"""),0.453)</f>
        <v>0.453</v>
      </c>
      <c r="M3309" s="4">
        <f>IFERROR(__xludf.DUMMYFUNCTION("""COMPUTED_VALUE"""),0.369)</f>
        <v>0.369</v>
      </c>
      <c r="N3309" s="4">
        <f>IFERROR(__xludf.DUMMYFUNCTION("""COMPUTED_VALUE"""),0.689)</f>
        <v>0.689</v>
      </c>
      <c r="O3309" s="4">
        <f>IFERROR(__xludf.DUMMYFUNCTION("""COMPUTED_VALUE"""),24.1)</f>
        <v>24.1</v>
      </c>
      <c r="P3309" s="4">
        <f>IFERROR(__xludf.DUMMYFUNCTION("""COMPUTED_VALUE"""),8.6)</f>
        <v>8.6</v>
      </c>
      <c r="Q3309" s="4">
        <f>IFERROR(__xludf.DUMMYFUNCTION("""COMPUTED_VALUE"""),3.6)</f>
        <v>3.6</v>
      </c>
      <c r="R3309" s="4">
        <f>IFERROR(__xludf.DUMMYFUNCTION("""COMPUTED_VALUE"""),2.8)</f>
        <v>2.8</v>
      </c>
      <c r="S3309" s="4">
        <f>IFERROR(__xludf.DUMMYFUNCTION("""COMPUTED_VALUE"""),41.2)</f>
        <v>41.2</v>
      </c>
      <c r="T3309" s="4">
        <f>IFERROR(__xludf.DUMMYFUNCTION("""COMPUTED_VALUE"""),0.094)</f>
        <v>0.094</v>
      </c>
      <c r="U3309" s="4">
        <f>IFERROR(__xludf.DUMMYFUNCTION("""COMPUTED_VALUE"""),0.6)</f>
        <v>0.6</v>
      </c>
      <c r="V3309" s="4">
        <f>IFERROR(__xludf.DUMMYFUNCTION("""COMPUTED_VALUE"""),14.1)</f>
        <v>14.1</v>
      </c>
    </row>
    <row r="3310">
      <c r="A3310" s="4">
        <f>IFERROR(__xludf.DUMMYFUNCTION("""COMPUTED_VALUE"""),49.0)</f>
        <v>49</v>
      </c>
      <c r="B3310" s="4">
        <f>IFERROR(__xludf.DUMMYFUNCTION("""COMPUTED_VALUE"""),49.0)</f>
        <v>49</v>
      </c>
      <c r="C3310" s="4" t="str">
        <f>IFERROR(__xludf.DUMMYFUNCTION("""COMPUTED_VALUE"""),"IND")</f>
        <v>IND</v>
      </c>
      <c r="D3310" s="4" t="str">
        <f>IFERROR(__xludf.DUMMYFUNCTION("""COMPUTED_VALUE"""),"Greg Jones")</f>
        <v>Greg Jones</v>
      </c>
      <c r="E3310" s="4" t="str">
        <f>IFERROR(__xludf.DUMMYFUNCTION("""COMPUTED_VALUE"""),"West Virginia")</f>
        <v>West Virginia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</row>
    <row r="3311">
      <c r="A3311" s="4">
        <f>IFERROR(__xludf.DUMMYFUNCTION("""COMPUTED_VALUE"""),50.0)</f>
        <v>50</v>
      </c>
      <c r="B3311" s="4">
        <f>IFERROR(__xludf.DUMMYFUNCTION("""COMPUTED_VALUE"""),50.0)</f>
        <v>50</v>
      </c>
      <c r="C3311" s="4" t="str">
        <f>IFERROR(__xludf.DUMMYFUNCTION("""COMPUTED_VALUE"""),"CLE")</f>
        <v>CLE</v>
      </c>
      <c r="D3311" s="4" t="str">
        <f>IFERROR(__xludf.DUMMYFUNCTION("""COMPUTED_VALUE"""),"Paul Thompson")</f>
        <v>Paul Thompson</v>
      </c>
      <c r="E3311" s="4" t="str">
        <f>IFERROR(__xludf.DUMMYFUNCTION("""COMPUTED_VALUE"""),"Tulane")</f>
        <v>Tulane</v>
      </c>
      <c r="F3311" s="4">
        <f>IFERROR(__xludf.DUMMYFUNCTION("""COMPUTED_VALUE"""),3.0)</f>
        <v>3</v>
      </c>
      <c r="G3311" s="4">
        <f>IFERROR(__xludf.DUMMYFUNCTION("""COMPUTED_VALUE"""),154.0)</f>
        <v>154</v>
      </c>
      <c r="H3311" s="4">
        <f>IFERROR(__xludf.DUMMYFUNCTION("""COMPUTED_VALUE"""),3105.0)</f>
        <v>3105</v>
      </c>
      <c r="I3311" s="4">
        <f>IFERROR(__xludf.DUMMYFUNCTION("""COMPUTED_VALUE"""),1374.0)</f>
        <v>1374</v>
      </c>
      <c r="J3311" s="4">
        <f>IFERROR(__xludf.DUMMYFUNCTION("""COMPUTED_VALUE"""),533.0)</f>
        <v>533</v>
      </c>
      <c r="K3311" s="4">
        <f>IFERROR(__xludf.DUMMYFUNCTION("""COMPUTED_VALUE"""),224.0)</f>
        <v>224</v>
      </c>
      <c r="L3311" s="4">
        <f>IFERROR(__xludf.DUMMYFUNCTION("""COMPUTED_VALUE"""),0.432)</f>
        <v>0.432</v>
      </c>
      <c r="M3311" s="4">
        <f>IFERROR(__xludf.DUMMYFUNCTION("""COMPUTED_VALUE"""),0.21)</f>
        <v>0.21</v>
      </c>
      <c r="N3311" s="4">
        <f>IFERROR(__xludf.DUMMYFUNCTION("""COMPUTED_VALUE"""),0.792)</f>
        <v>0.792</v>
      </c>
      <c r="O3311" s="4">
        <f>IFERROR(__xludf.DUMMYFUNCTION("""COMPUTED_VALUE"""),20.2)</f>
        <v>20.2</v>
      </c>
      <c r="P3311" s="4">
        <f>IFERROR(__xludf.DUMMYFUNCTION("""COMPUTED_VALUE"""),8.9)</f>
        <v>8.9</v>
      </c>
      <c r="Q3311" s="4">
        <f>IFERROR(__xludf.DUMMYFUNCTION("""COMPUTED_VALUE"""),3.5)</f>
        <v>3.5</v>
      </c>
      <c r="R3311" s="4">
        <f>IFERROR(__xludf.DUMMYFUNCTION("""COMPUTED_VALUE"""),1.5)</f>
        <v>1.5</v>
      </c>
      <c r="S3311" s="4">
        <f>IFERROR(__xludf.DUMMYFUNCTION("""COMPUTED_VALUE"""),4.9)</f>
        <v>4.9</v>
      </c>
      <c r="T3311" s="4">
        <f>IFERROR(__xludf.DUMMYFUNCTION("""COMPUTED_VALUE"""),0.076)</f>
        <v>0.076</v>
      </c>
      <c r="U3311" s="4">
        <f>IFERROR(__xludf.DUMMYFUNCTION("""COMPUTED_VALUE"""),-0.1)</f>
        <v>-0.1</v>
      </c>
      <c r="V3311" s="4">
        <f>IFERROR(__xludf.DUMMYFUNCTION("""COMPUTED_VALUE"""),1.5)</f>
        <v>1.5</v>
      </c>
    </row>
    <row r="3312">
      <c r="A3312" s="4">
        <f>IFERROR(__xludf.DUMMYFUNCTION("""COMPUTED_VALUE"""),51.0)</f>
        <v>51</v>
      </c>
      <c r="B3312" s="4">
        <f>IFERROR(__xludf.DUMMYFUNCTION("""COMPUTED_VALUE"""),51.0)</f>
        <v>51</v>
      </c>
      <c r="C3312" s="4" t="str">
        <f>IFERROR(__xludf.DUMMYFUNCTION("""COMPUTED_VALUE"""),"PHO")</f>
        <v>PHO</v>
      </c>
      <c r="D3312" s="4" t="str">
        <f>IFERROR(__xludf.DUMMYFUNCTION("""COMPUTED_VALUE"""),"Dereck Whittenburg")</f>
        <v>Dereck Whittenburg</v>
      </c>
      <c r="E3312" s="4" t="str">
        <f>IFERROR(__xludf.DUMMYFUNCTION("""COMPUTED_VALUE"""),"NC State")</f>
        <v>NC State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</row>
    <row r="3313">
      <c r="A3313" s="4">
        <f>IFERROR(__xludf.DUMMYFUNCTION("""COMPUTED_VALUE"""),52.0)</f>
        <v>52</v>
      </c>
      <c r="B3313" s="4">
        <f>IFERROR(__xludf.DUMMYFUNCTION("""COMPUTED_VALUE"""),52.0)</f>
        <v>52</v>
      </c>
      <c r="C3313" s="4" t="str">
        <f>IFERROR(__xludf.DUMMYFUNCTION("""COMPUTED_VALUE"""),"BOS")</f>
        <v>BOS</v>
      </c>
      <c r="D3313" s="4" t="str">
        <f>IFERROR(__xludf.DUMMYFUNCTION("""COMPUTED_VALUE"""),"Winfred King")</f>
        <v>Winfred King</v>
      </c>
      <c r="E3313" s="4" t="str">
        <f>IFERROR(__xludf.DUMMYFUNCTION("""COMPUTED_VALUE"""),"East Tennessee State University")</f>
        <v>East Tennessee State University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</row>
    <row r="3314">
      <c r="A3314" s="4">
        <f>IFERROR(__xludf.DUMMYFUNCTION("""COMPUTED_VALUE"""),53.0)</f>
        <v>53</v>
      </c>
      <c r="B3314" s="4">
        <f>IFERROR(__xludf.DUMMYFUNCTION("""COMPUTED_VALUE"""),53.0)</f>
        <v>53</v>
      </c>
      <c r="C3314" s="4" t="str">
        <f>IFERROR(__xludf.DUMMYFUNCTION("""COMPUTED_VALUE"""),"GSW")</f>
        <v>GSW</v>
      </c>
      <c r="D3314" s="4" t="str">
        <f>IFERROR(__xludf.DUMMYFUNCTION("""COMPUTED_VALUE"""),"Michael Holton")</f>
        <v>Michael Holton</v>
      </c>
      <c r="E3314" s="4" t="str">
        <f>IFERROR(__xludf.DUMMYFUNCTION("""COMPUTED_VALUE"""),"UCLA")</f>
        <v>UCLA</v>
      </c>
      <c r="F3314" s="4">
        <f>IFERROR(__xludf.DUMMYFUNCTION("""COMPUTED_VALUE"""),6.0)</f>
        <v>6</v>
      </c>
      <c r="G3314" s="4">
        <f>IFERROR(__xludf.DUMMYFUNCTION("""COMPUTED_VALUE"""),325.0)</f>
        <v>325</v>
      </c>
      <c r="H3314" s="4">
        <f>IFERROR(__xludf.DUMMYFUNCTION("""COMPUTED_VALUE"""),5836.0)</f>
        <v>5836</v>
      </c>
      <c r="I3314" s="4">
        <f>IFERROR(__xludf.DUMMYFUNCTION("""COMPUTED_VALUE"""),2016.0)</f>
        <v>2016</v>
      </c>
      <c r="J3314" s="4">
        <f>IFERROR(__xludf.DUMMYFUNCTION("""COMPUTED_VALUE"""),459.0)</f>
        <v>459</v>
      </c>
      <c r="K3314" s="4">
        <f>IFERROR(__xludf.DUMMYFUNCTION("""COMPUTED_VALUE"""),977.0)</f>
        <v>977</v>
      </c>
      <c r="L3314" s="4">
        <f>IFERROR(__xludf.DUMMYFUNCTION("""COMPUTED_VALUE"""),0.441)</f>
        <v>0.441</v>
      </c>
      <c r="M3314" s="4">
        <f>IFERROR(__xludf.DUMMYFUNCTION("""COMPUTED_VALUE"""),0.257)</f>
        <v>0.257</v>
      </c>
      <c r="N3314" s="4">
        <f>IFERROR(__xludf.DUMMYFUNCTION("""COMPUTED_VALUE"""),0.807)</f>
        <v>0.807</v>
      </c>
      <c r="O3314" s="4">
        <f>IFERROR(__xludf.DUMMYFUNCTION("""COMPUTED_VALUE"""),18.0)</f>
        <v>18</v>
      </c>
      <c r="P3314" s="4">
        <f>IFERROR(__xludf.DUMMYFUNCTION("""COMPUTED_VALUE"""),6.2)</f>
        <v>6.2</v>
      </c>
      <c r="Q3314" s="4">
        <f>IFERROR(__xludf.DUMMYFUNCTION("""COMPUTED_VALUE"""),1.4)</f>
        <v>1.4</v>
      </c>
      <c r="R3314" s="4">
        <f>IFERROR(__xludf.DUMMYFUNCTION("""COMPUTED_VALUE"""),3.0)</f>
        <v>3</v>
      </c>
      <c r="S3314" s="4">
        <f>IFERROR(__xludf.DUMMYFUNCTION("""COMPUTED_VALUE"""),4.8)</f>
        <v>4.8</v>
      </c>
      <c r="T3314" s="4">
        <f>IFERROR(__xludf.DUMMYFUNCTION("""COMPUTED_VALUE"""),0.039)</f>
        <v>0.039</v>
      </c>
      <c r="U3314" s="4">
        <f>IFERROR(__xludf.DUMMYFUNCTION("""COMPUTED_VALUE"""),-2.8)</f>
        <v>-2.8</v>
      </c>
      <c r="V3314" s="4">
        <f>IFERROR(__xludf.DUMMYFUNCTION("""COMPUTED_VALUE"""),-1.2)</f>
        <v>-1.2</v>
      </c>
    </row>
    <row r="3315">
      <c r="A3315" s="4">
        <f>IFERROR(__xludf.DUMMYFUNCTION("""COMPUTED_VALUE"""),54.0)</f>
        <v>54</v>
      </c>
      <c r="B3315" s="4">
        <f>IFERROR(__xludf.DUMMYFUNCTION("""COMPUTED_VALUE"""),54.0)</f>
        <v>54</v>
      </c>
      <c r="C3315" s="4" t="str">
        <f>IFERROR(__xludf.DUMMYFUNCTION("""COMPUTED_VALUE"""),"UTA")</f>
        <v>UTA</v>
      </c>
      <c r="D3315" s="4" t="str">
        <f>IFERROR(__xludf.DUMMYFUNCTION("""COMPUTED_VALUE"""),"Bob Hansen")</f>
        <v>Bob Hansen</v>
      </c>
      <c r="E3315" s="4" t="str">
        <f>IFERROR(__xludf.DUMMYFUNCTION("""COMPUTED_VALUE"""),"Iowa")</f>
        <v>Iowa</v>
      </c>
      <c r="F3315" s="4">
        <f>IFERROR(__xludf.DUMMYFUNCTION("""COMPUTED_VALUE"""),9.0)</f>
        <v>9</v>
      </c>
      <c r="G3315" s="4">
        <f>IFERROR(__xludf.DUMMYFUNCTION("""COMPUTED_VALUE"""),575.0)</f>
        <v>575</v>
      </c>
      <c r="H3315" s="4">
        <f>IFERROR(__xludf.DUMMYFUNCTION("""COMPUTED_VALUE"""),11104.0)</f>
        <v>11104</v>
      </c>
      <c r="I3315" s="4">
        <f>IFERROR(__xludf.DUMMYFUNCTION("""COMPUTED_VALUE"""),3952.0)</f>
        <v>3952</v>
      </c>
      <c r="J3315" s="4">
        <f>IFERROR(__xludf.DUMMYFUNCTION("""COMPUTED_VALUE"""),1282.0)</f>
        <v>1282</v>
      </c>
      <c r="K3315" s="4">
        <f>IFERROR(__xludf.DUMMYFUNCTION("""COMPUTED_VALUE"""),947.0)</f>
        <v>947</v>
      </c>
      <c r="L3315" s="4">
        <f>IFERROR(__xludf.DUMMYFUNCTION("""COMPUTED_VALUE"""),0.468)</f>
        <v>0.468</v>
      </c>
      <c r="M3315" s="4">
        <f>IFERROR(__xludf.DUMMYFUNCTION("""COMPUTED_VALUE"""),0.323)</f>
        <v>0.323</v>
      </c>
      <c r="N3315" s="4">
        <f>IFERROR(__xludf.DUMMYFUNCTION("""COMPUTED_VALUE"""),0.662)</f>
        <v>0.662</v>
      </c>
      <c r="O3315" s="4">
        <f>IFERROR(__xludf.DUMMYFUNCTION("""COMPUTED_VALUE"""),19.3)</f>
        <v>19.3</v>
      </c>
      <c r="P3315" s="4">
        <f>IFERROR(__xludf.DUMMYFUNCTION("""COMPUTED_VALUE"""),6.9)</f>
        <v>6.9</v>
      </c>
      <c r="Q3315" s="4">
        <f>IFERROR(__xludf.DUMMYFUNCTION("""COMPUTED_VALUE"""),2.2)</f>
        <v>2.2</v>
      </c>
      <c r="R3315" s="4">
        <f>IFERROR(__xludf.DUMMYFUNCTION("""COMPUTED_VALUE"""),1.6)</f>
        <v>1.6</v>
      </c>
      <c r="S3315" s="4">
        <f>IFERROR(__xludf.DUMMYFUNCTION("""COMPUTED_VALUE"""),15.4)</f>
        <v>15.4</v>
      </c>
      <c r="T3315" s="4">
        <f>IFERROR(__xludf.DUMMYFUNCTION("""COMPUTED_VALUE"""),0.066)</f>
        <v>0.066</v>
      </c>
      <c r="U3315" s="4">
        <f>IFERROR(__xludf.DUMMYFUNCTION("""COMPUTED_VALUE"""),-2.4)</f>
        <v>-2.4</v>
      </c>
      <c r="V3315" s="4">
        <f>IFERROR(__xludf.DUMMYFUNCTION("""COMPUTED_VALUE"""),-1.2)</f>
        <v>-1.2</v>
      </c>
    </row>
    <row r="3316">
      <c r="A3316" s="4">
        <f>IFERROR(__xludf.DUMMYFUNCTION("""COMPUTED_VALUE"""),55.0)</f>
        <v>55</v>
      </c>
      <c r="B3316" s="4">
        <f>IFERROR(__xludf.DUMMYFUNCTION("""COMPUTED_VALUE"""),55.0)</f>
        <v>55</v>
      </c>
      <c r="C3316" s="4" t="str">
        <f>IFERROR(__xludf.DUMMYFUNCTION("""COMPUTED_VALUE"""),"DET")</f>
        <v>DET</v>
      </c>
      <c r="D3316" s="4" t="str">
        <f>IFERROR(__xludf.DUMMYFUNCTION("""COMPUTED_VALUE"""),"Erich Santifer")</f>
        <v>Erich Santifer</v>
      </c>
      <c r="E3316" s="4" t="str">
        <f>IFERROR(__xludf.DUMMYFUNCTION("""COMPUTED_VALUE"""),"Syracuse")</f>
        <v>Syracuse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</row>
    <row r="3317">
      <c r="A3317" s="4">
        <f>IFERROR(__xludf.DUMMYFUNCTION("""COMPUTED_VALUE"""),56.0)</f>
        <v>56</v>
      </c>
      <c r="B3317" s="4">
        <f>IFERROR(__xludf.DUMMYFUNCTION("""COMPUTED_VALUE"""),56.0)</f>
        <v>56</v>
      </c>
      <c r="C3317" s="4" t="str">
        <f>IFERROR(__xludf.DUMMYFUNCTION("""COMPUTED_VALUE"""),"CLE")</f>
        <v>CLE</v>
      </c>
      <c r="D3317" s="4" t="str">
        <f>IFERROR(__xludf.DUMMYFUNCTION("""COMPUTED_VALUE"""),"Larry Anderson")</f>
        <v>Larry Anderson</v>
      </c>
      <c r="E3317" s="4" t="str">
        <f>IFERROR(__xludf.DUMMYFUNCTION("""COMPUTED_VALUE"""),"UNLV")</f>
        <v>UNLV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</row>
    <row r="3318">
      <c r="A3318" s="4">
        <f>IFERROR(__xludf.DUMMYFUNCTION("""COMPUTED_VALUE"""),57.0)</f>
        <v>57</v>
      </c>
      <c r="B3318" s="4">
        <f>IFERROR(__xludf.DUMMYFUNCTION("""COMPUTED_VALUE"""),57.0)</f>
        <v>57</v>
      </c>
      <c r="C3318" s="4" t="str">
        <f>IFERROR(__xludf.DUMMYFUNCTION("""COMPUTED_VALUE"""),"WSB")</f>
        <v>WSB</v>
      </c>
      <c r="D3318" s="4" t="str">
        <f>IFERROR(__xludf.DUMMYFUNCTION("""COMPUTED_VALUE"""),"Darren Daye")</f>
        <v>Darren Daye</v>
      </c>
      <c r="E3318" s="4" t="str">
        <f>IFERROR(__xludf.DUMMYFUNCTION("""COMPUTED_VALUE"""),"UCLA")</f>
        <v>UCLA</v>
      </c>
      <c r="F3318" s="4">
        <f>IFERROR(__xludf.DUMMYFUNCTION("""COMPUTED_VALUE"""),5.0)</f>
        <v>5</v>
      </c>
      <c r="G3318" s="4">
        <f>IFERROR(__xludf.DUMMYFUNCTION("""COMPUTED_VALUE"""),328.0)</f>
        <v>328</v>
      </c>
      <c r="H3318" s="4">
        <f>IFERROR(__xludf.DUMMYFUNCTION("""COMPUTED_VALUE"""),5208.0)</f>
        <v>5208</v>
      </c>
      <c r="I3318" s="4">
        <f>IFERROR(__xludf.DUMMYFUNCTION("""COMPUTED_VALUE"""),2225.0)</f>
        <v>2225</v>
      </c>
      <c r="J3318" s="4">
        <f>IFERROR(__xludf.DUMMYFUNCTION("""COMPUTED_VALUE"""),844.0)</f>
        <v>844</v>
      </c>
      <c r="K3318" s="4">
        <f>IFERROR(__xludf.DUMMYFUNCTION("""COMPUTED_VALUE"""),672.0)</f>
        <v>672</v>
      </c>
      <c r="L3318" s="4">
        <f>IFERROR(__xludf.DUMMYFUNCTION("""COMPUTED_VALUE"""),0.491)</f>
        <v>0.491</v>
      </c>
      <c r="M3318" s="4">
        <f>IFERROR(__xludf.DUMMYFUNCTION("""COMPUTED_VALUE"""),0.118)</f>
        <v>0.118</v>
      </c>
      <c r="N3318" s="4">
        <f>IFERROR(__xludf.DUMMYFUNCTION("""COMPUTED_VALUE"""),0.681)</f>
        <v>0.681</v>
      </c>
      <c r="O3318" s="4">
        <f>IFERROR(__xludf.DUMMYFUNCTION("""COMPUTED_VALUE"""),15.9)</f>
        <v>15.9</v>
      </c>
      <c r="P3318" s="4">
        <f>IFERROR(__xludf.DUMMYFUNCTION("""COMPUTED_VALUE"""),6.8)</f>
        <v>6.8</v>
      </c>
      <c r="Q3318" s="4">
        <f>IFERROR(__xludf.DUMMYFUNCTION("""COMPUTED_VALUE"""),2.6)</f>
        <v>2.6</v>
      </c>
      <c r="R3318" s="4">
        <f>IFERROR(__xludf.DUMMYFUNCTION("""COMPUTED_VALUE"""),2.0)</f>
        <v>2</v>
      </c>
      <c r="S3318" s="4">
        <f>IFERROR(__xludf.DUMMYFUNCTION("""COMPUTED_VALUE"""),9.3)</f>
        <v>9.3</v>
      </c>
      <c r="T3318" s="4">
        <f>IFERROR(__xludf.DUMMYFUNCTION("""COMPUTED_VALUE"""),0.086)</f>
        <v>0.086</v>
      </c>
      <c r="U3318" s="4">
        <f>IFERROR(__xludf.DUMMYFUNCTION("""COMPUTED_VALUE"""),-0.3)</f>
        <v>-0.3</v>
      </c>
      <c r="V3318" s="4">
        <f>IFERROR(__xludf.DUMMYFUNCTION("""COMPUTED_VALUE"""),2.2)</f>
        <v>2.2</v>
      </c>
    </row>
    <row r="3319">
      <c r="A3319" s="4">
        <f>IFERROR(__xludf.DUMMYFUNCTION("""COMPUTED_VALUE"""),58.0)</f>
        <v>58</v>
      </c>
      <c r="B3319" s="4">
        <f>IFERROR(__xludf.DUMMYFUNCTION("""COMPUTED_VALUE"""),58.0)</f>
        <v>58</v>
      </c>
      <c r="C3319" s="4" t="str">
        <f>IFERROR(__xludf.DUMMYFUNCTION("""COMPUTED_VALUE"""),"ATL")</f>
        <v>ATL</v>
      </c>
      <c r="D3319" s="4" t="str">
        <f>IFERROR(__xludf.DUMMYFUNCTION("""COMPUTED_VALUE"""),"John Pinone")</f>
        <v>John Pinone</v>
      </c>
      <c r="E3319" s="4" t="str">
        <f>IFERROR(__xludf.DUMMYFUNCTION("""COMPUTED_VALUE"""),"Villanova")</f>
        <v>Villanova</v>
      </c>
      <c r="F3319" s="4">
        <f>IFERROR(__xludf.DUMMYFUNCTION("""COMPUTED_VALUE"""),1.0)</f>
        <v>1</v>
      </c>
      <c r="G3319" s="4">
        <f>IFERROR(__xludf.DUMMYFUNCTION("""COMPUTED_VALUE"""),7.0)</f>
        <v>7</v>
      </c>
      <c r="H3319" s="4">
        <f>IFERROR(__xludf.DUMMYFUNCTION("""COMPUTED_VALUE"""),65.0)</f>
        <v>65</v>
      </c>
      <c r="I3319" s="4">
        <f>IFERROR(__xludf.DUMMYFUNCTION("""COMPUTED_VALUE"""),20.0)</f>
        <v>20</v>
      </c>
      <c r="J3319" s="4">
        <f>IFERROR(__xludf.DUMMYFUNCTION("""COMPUTED_VALUE"""),10.0)</f>
        <v>10</v>
      </c>
      <c r="K3319" s="4">
        <f>IFERROR(__xludf.DUMMYFUNCTION("""COMPUTED_VALUE"""),3.0)</f>
        <v>3</v>
      </c>
      <c r="L3319" s="4">
        <f>IFERROR(__xludf.DUMMYFUNCTION("""COMPUTED_VALUE"""),0.538)</f>
        <v>0.538</v>
      </c>
      <c r="M3319" s="4"/>
      <c r="N3319" s="4">
        <f>IFERROR(__xludf.DUMMYFUNCTION("""COMPUTED_VALUE"""),0.6)</f>
        <v>0.6</v>
      </c>
      <c r="O3319" s="4">
        <f>IFERROR(__xludf.DUMMYFUNCTION("""COMPUTED_VALUE"""),9.3)</f>
        <v>9.3</v>
      </c>
      <c r="P3319" s="4">
        <f>IFERROR(__xludf.DUMMYFUNCTION("""COMPUTED_VALUE"""),2.9)</f>
        <v>2.9</v>
      </c>
      <c r="Q3319" s="4">
        <f>IFERROR(__xludf.DUMMYFUNCTION("""COMPUTED_VALUE"""),1.4)</f>
        <v>1.4</v>
      </c>
      <c r="R3319" s="4">
        <f>IFERROR(__xludf.DUMMYFUNCTION("""COMPUTED_VALUE"""),0.4)</f>
        <v>0.4</v>
      </c>
      <c r="S3319" s="4">
        <f>IFERROR(__xludf.DUMMYFUNCTION("""COMPUTED_VALUE"""),0.1)</f>
        <v>0.1</v>
      </c>
      <c r="T3319" s="4">
        <f>IFERROR(__xludf.DUMMYFUNCTION("""COMPUTED_VALUE"""),0.04)</f>
        <v>0.04</v>
      </c>
      <c r="U3319" s="4">
        <f>IFERROR(__xludf.DUMMYFUNCTION("""COMPUTED_VALUE"""),-3.8)</f>
        <v>-3.8</v>
      </c>
      <c r="V3319" s="4">
        <f>IFERROR(__xludf.DUMMYFUNCTION("""COMPUTED_VALUE"""),0.0)</f>
        <v>0</v>
      </c>
    </row>
    <row r="3320">
      <c r="A3320" s="4">
        <f>IFERROR(__xludf.DUMMYFUNCTION("""COMPUTED_VALUE"""),59.0)</f>
        <v>59</v>
      </c>
      <c r="B3320" s="4">
        <f>IFERROR(__xludf.DUMMYFUNCTION("""COMPUTED_VALUE"""),59.0)</f>
        <v>59</v>
      </c>
      <c r="C3320" s="4" t="str">
        <f>IFERROR(__xludf.DUMMYFUNCTION("""COMPUTED_VALUE"""),"NJN")</f>
        <v>NJN</v>
      </c>
      <c r="D3320" s="4" t="str">
        <f>IFERROR(__xludf.DUMMYFUNCTION("""COMPUTED_VALUE"""),"Bruce Kuczenski")</f>
        <v>Bruce Kuczenski</v>
      </c>
      <c r="E3320" s="4" t="str">
        <f>IFERROR(__xludf.DUMMYFUNCTION("""COMPUTED_VALUE"""),"UConn")</f>
        <v>UConn</v>
      </c>
      <c r="F3320" s="4">
        <f>IFERROR(__xludf.DUMMYFUNCTION("""COMPUTED_VALUE"""),1.0)</f>
        <v>1</v>
      </c>
      <c r="G3320" s="4">
        <f>IFERROR(__xludf.DUMMYFUNCTION("""COMPUTED_VALUE"""),15.0)</f>
        <v>15</v>
      </c>
      <c r="H3320" s="4">
        <f>IFERROR(__xludf.DUMMYFUNCTION("""COMPUTED_VALUE"""),119.0)</f>
        <v>119</v>
      </c>
      <c r="I3320" s="4">
        <f>IFERROR(__xludf.DUMMYFUNCTION("""COMPUTED_VALUE"""),28.0)</f>
        <v>28</v>
      </c>
      <c r="J3320" s="4">
        <f>IFERROR(__xludf.DUMMYFUNCTION("""COMPUTED_VALUE"""),23.0)</f>
        <v>23</v>
      </c>
      <c r="K3320" s="4">
        <f>IFERROR(__xludf.DUMMYFUNCTION("""COMPUTED_VALUE"""),8.0)</f>
        <v>8</v>
      </c>
      <c r="L3320" s="4">
        <f>IFERROR(__xludf.DUMMYFUNCTION("""COMPUTED_VALUE"""),0.27)</f>
        <v>0.27</v>
      </c>
      <c r="M3320" s="4"/>
      <c r="N3320" s="4">
        <f>IFERROR(__xludf.DUMMYFUNCTION("""COMPUTED_VALUE"""),0.667)</f>
        <v>0.667</v>
      </c>
      <c r="O3320" s="4">
        <f>IFERROR(__xludf.DUMMYFUNCTION("""COMPUTED_VALUE"""),7.9)</f>
        <v>7.9</v>
      </c>
      <c r="P3320" s="4">
        <f>IFERROR(__xludf.DUMMYFUNCTION("""COMPUTED_VALUE"""),1.9)</f>
        <v>1.9</v>
      </c>
      <c r="Q3320" s="4">
        <f>IFERROR(__xludf.DUMMYFUNCTION("""COMPUTED_VALUE"""),1.5)</f>
        <v>1.5</v>
      </c>
      <c r="R3320" s="4">
        <f>IFERROR(__xludf.DUMMYFUNCTION("""COMPUTED_VALUE"""),0.5)</f>
        <v>0.5</v>
      </c>
      <c r="S3320" s="4">
        <f>IFERROR(__xludf.DUMMYFUNCTION("""COMPUTED_VALUE"""),-0.4)</f>
        <v>-0.4</v>
      </c>
      <c r="T3320" s="4">
        <f>IFERROR(__xludf.DUMMYFUNCTION("""COMPUTED_VALUE"""),-0.152)</f>
        <v>-0.152</v>
      </c>
      <c r="U3320" s="4">
        <f>IFERROR(__xludf.DUMMYFUNCTION("""COMPUTED_VALUE"""),-6.0)</f>
        <v>-6</v>
      </c>
      <c r="V3320" s="4">
        <f>IFERROR(__xludf.DUMMYFUNCTION("""COMPUTED_VALUE"""),-0.3)</f>
        <v>-0.3</v>
      </c>
    </row>
    <row r="3321">
      <c r="A3321" s="4">
        <f>IFERROR(__xludf.DUMMYFUNCTION("""COMPUTED_VALUE"""),60.0)</f>
        <v>60</v>
      </c>
      <c r="B3321" s="4">
        <f>IFERROR(__xludf.DUMMYFUNCTION("""COMPUTED_VALUE"""),60.0)</f>
        <v>60</v>
      </c>
      <c r="C3321" s="4" t="str">
        <f>IFERROR(__xludf.DUMMYFUNCTION("""COMPUTED_VALUE"""),"KCK")</f>
        <v>KCK</v>
      </c>
      <c r="D3321" s="4" t="str">
        <f>IFERROR(__xludf.DUMMYFUNCTION("""COMPUTED_VALUE"""),"Steve Harriel")</f>
        <v>Steve Harriel</v>
      </c>
      <c r="E3321" s="4" t="str">
        <f>IFERROR(__xludf.DUMMYFUNCTION("""COMPUTED_VALUE"""),"Washington State")</f>
        <v>Washington State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</row>
    <row r="3322">
      <c r="A3322" s="4">
        <f>IFERROR(__xludf.DUMMYFUNCTION("""COMPUTED_VALUE"""),61.0)</f>
        <v>61</v>
      </c>
      <c r="B3322" s="4">
        <f>IFERROR(__xludf.DUMMYFUNCTION("""COMPUTED_VALUE"""),61.0)</f>
        <v>61</v>
      </c>
      <c r="C3322" s="4" t="str">
        <f>IFERROR(__xludf.DUMMYFUNCTION("""COMPUTED_VALUE"""),"DEN")</f>
        <v>DEN</v>
      </c>
      <c r="D3322" s="4" t="str">
        <f>IFERROR(__xludf.DUMMYFUNCTION("""COMPUTED_VALUE"""),"David Little")</f>
        <v>David Little</v>
      </c>
      <c r="E3322" s="4" t="str">
        <f>IFERROR(__xludf.DUMMYFUNCTION("""COMPUTED_VALUE"""),"Oklahoma")</f>
        <v>Oklahoma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</row>
    <row r="3323">
      <c r="A3323" s="4">
        <f>IFERROR(__xludf.DUMMYFUNCTION("""COMPUTED_VALUE"""),62.0)</f>
        <v>62</v>
      </c>
      <c r="B3323" s="4">
        <f>IFERROR(__xludf.DUMMYFUNCTION("""COMPUTED_VALUE"""),62.0)</f>
        <v>62</v>
      </c>
      <c r="C3323" s="4" t="str">
        <f>IFERROR(__xludf.DUMMYFUNCTION("""COMPUTED_VALUE"""),"POR")</f>
        <v>POR</v>
      </c>
      <c r="D3323" s="4" t="str">
        <f>IFERROR(__xludf.DUMMYFUNCTION("""COMPUTED_VALUE"""),"Tom Piotrowski")</f>
        <v>Tom Piotrowski</v>
      </c>
      <c r="E3323" s="4" t="str">
        <f>IFERROR(__xludf.DUMMYFUNCTION("""COMPUTED_VALUE"""),"La Salle")</f>
        <v>La Salle</v>
      </c>
      <c r="F3323" s="4">
        <f>IFERROR(__xludf.DUMMYFUNCTION("""COMPUTED_VALUE"""),1.0)</f>
        <v>1</v>
      </c>
      <c r="G3323" s="4">
        <f>IFERROR(__xludf.DUMMYFUNCTION("""COMPUTED_VALUE"""),18.0)</f>
        <v>18</v>
      </c>
      <c r="H3323" s="4">
        <f>IFERROR(__xludf.DUMMYFUNCTION("""COMPUTED_VALUE"""),78.0)</f>
        <v>78</v>
      </c>
      <c r="I3323" s="4">
        <f>IFERROR(__xludf.DUMMYFUNCTION("""COMPUTED_VALUE"""),30.0)</f>
        <v>30</v>
      </c>
      <c r="J3323" s="4">
        <f>IFERROR(__xludf.DUMMYFUNCTION("""COMPUTED_VALUE"""),16.0)</f>
        <v>16</v>
      </c>
      <c r="K3323" s="4">
        <f>IFERROR(__xludf.DUMMYFUNCTION("""COMPUTED_VALUE"""),5.0)</f>
        <v>5</v>
      </c>
      <c r="L3323" s="4">
        <f>IFERROR(__xludf.DUMMYFUNCTION("""COMPUTED_VALUE"""),0.462)</f>
        <v>0.462</v>
      </c>
      <c r="M3323" s="4"/>
      <c r="N3323" s="4">
        <f>IFERROR(__xludf.DUMMYFUNCTION("""COMPUTED_VALUE"""),1.0)</f>
        <v>1</v>
      </c>
      <c r="O3323" s="4">
        <f>IFERROR(__xludf.DUMMYFUNCTION("""COMPUTED_VALUE"""),4.3)</f>
        <v>4.3</v>
      </c>
      <c r="P3323" s="4">
        <f>IFERROR(__xludf.DUMMYFUNCTION("""COMPUTED_VALUE"""),1.7)</f>
        <v>1.7</v>
      </c>
      <c r="Q3323" s="4">
        <f>IFERROR(__xludf.DUMMYFUNCTION("""COMPUTED_VALUE"""),0.9)</f>
        <v>0.9</v>
      </c>
      <c r="R3323" s="4">
        <f>IFERROR(__xludf.DUMMYFUNCTION("""COMPUTED_VALUE"""),0.3)</f>
        <v>0.3</v>
      </c>
      <c r="S3323" s="4">
        <f>IFERROR(__xludf.DUMMYFUNCTION("""COMPUTED_VALUE"""),0.1)</f>
        <v>0.1</v>
      </c>
      <c r="T3323" s="4">
        <f>IFERROR(__xludf.DUMMYFUNCTION("""COMPUTED_VALUE"""),0.07)</f>
        <v>0.07</v>
      </c>
      <c r="U3323" s="4">
        <f>IFERROR(__xludf.DUMMYFUNCTION("""COMPUTED_VALUE"""),-4.6)</f>
        <v>-4.6</v>
      </c>
      <c r="V3323" s="4">
        <f>IFERROR(__xludf.DUMMYFUNCTION("""COMPUTED_VALUE"""),-0.1)</f>
        <v>-0.1</v>
      </c>
    </row>
    <row r="3324">
      <c r="A3324" s="4">
        <f>IFERROR(__xludf.DUMMYFUNCTION("""COMPUTED_VALUE"""),63.0)</f>
        <v>63</v>
      </c>
      <c r="B3324" s="4">
        <f>IFERROR(__xludf.DUMMYFUNCTION("""COMPUTED_VALUE"""),63.0)</f>
        <v>63</v>
      </c>
      <c r="C3324" s="4" t="str">
        <f>IFERROR(__xludf.DUMMYFUNCTION("""COMPUTED_VALUE"""),"SEA")</f>
        <v>SEA</v>
      </c>
      <c r="D3324" s="4" t="str">
        <f>IFERROR(__xludf.DUMMYFUNCTION("""COMPUTED_VALUE"""),"Frank Burnell")</f>
        <v>Frank Burnell</v>
      </c>
      <c r="E3324" s="4" t="str">
        <f>IFERROR(__xludf.DUMMYFUNCTION("""COMPUTED_VALUE"""),"Stetson University")</f>
        <v>Stetson University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</row>
    <row r="3325">
      <c r="A3325" s="4">
        <f>IFERROR(__xludf.DUMMYFUNCTION("""COMPUTED_VALUE"""),64.0)</f>
        <v>64</v>
      </c>
      <c r="B3325" s="4">
        <f>IFERROR(__xludf.DUMMYFUNCTION("""COMPUTED_VALUE"""),64.0)</f>
        <v>64</v>
      </c>
      <c r="C3325" s="4" t="str">
        <f>IFERROR(__xludf.DUMMYFUNCTION("""COMPUTED_VALUE"""),"PHI")</f>
        <v>PHI</v>
      </c>
      <c r="D3325" s="4" t="str">
        <f>IFERROR(__xludf.DUMMYFUNCTION("""COMPUTED_VALUE"""),"Claude Riley")</f>
        <v>Claude Riley</v>
      </c>
      <c r="E3325" s="4" t="str">
        <f>IFERROR(__xludf.DUMMYFUNCTION("""COMPUTED_VALUE"""),"Texas A&amp;M")</f>
        <v>Texas A&amp;M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</row>
    <row r="3326">
      <c r="A3326" s="4">
        <f>IFERROR(__xludf.DUMMYFUNCTION("""COMPUTED_VALUE"""),65.0)</f>
        <v>65</v>
      </c>
      <c r="B3326" s="4">
        <f>IFERROR(__xludf.DUMMYFUNCTION("""COMPUTED_VALUE"""),65.0)</f>
        <v>65</v>
      </c>
      <c r="C3326" s="4" t="str">
        <f>IFERROR(__xludf.DUMMYFUNCTION("""COMPUTED_VALUE"""),"MIL")</f>
        <v>MIL</v>
      </c>
      <c r="D3326" s="4" t="str">
        <f>IFERROR(__xludf.DUMMYFUNCTION("""COMPUTED_VALUE"""),"Billy Goodwin")</f>
        <v>Billy Goodwin</v>
      </c>
      <c r="E3326" s="4" t="str">
        <f>IFERROR(__xludf.DUMMYFUNCTION("""COMPUTED_VALUE"""),"St. John's")</f>
        <v>St. John's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</row>
    <row r="3327">
      <c r="A3327" s="4">
        <f>IFERROR(__xludf.DUMMYFUNCTION("""COMPUTED_VALUE"""),66.0)</f>
        <v>66</v>
      </c>
      <c r="B3327" s="4">
        <f>IFERROR(__xludf.DUMMYFUNCTION("""COMPUTED_VALUE"""),66.0)</f>
        <v>66</v>
      </c>
      <c r="C3327" s="4" t="str">
        <f>IFERROR(__xludf.DUMMYFUNCTION("""COMPUTED_VALUE"""),"CLE")</f>
        <v>CLE</v>
      </c>
      <c r="D3327" s="4" t="str">
        <f>IFERROR(__xludf.DUMMYFUNCTION("""COMPUTED_VALUE"""),"Les Craft")</f>
        <v>Les Craft</v>
      </c>
      <c r="E3327" s="4" t="str">
        <f>IFERROR(__xludf.DUMMYFUNCTION("""COMPUTED_VALUE"""),"Kansas State")</f>
        <v>Kansas State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</row>
    <row r="3328">
      <c r="A3328" s="4">
        <f>IFERROR(__xludf.DUMMYFUNCTION("""COMPUTED_VALUE"""),67.0)</f>
        <v>67</v>
      </c>
      <c r="B3328" s="4">
        <f>IFERROR(__xludf.DUMMYFUNCTION("""COMPUTED_VALUE"""),67.0)</f>
        <v>67</v>
      </c>
      <c r="C3328" s="4" t="str">
        <f>IFERROR(__xludf.DUMMYFUNCTION("""COMPUTED_VALUE"""),"CLE")</f>
        <v>CLE</v>
      </c>
      <c r="D3328" s="4" t="str">
        <f>IFERROR(__xludf.DUMMYFUNCTION("""COMPUTED_VALUE"""),"Derrick Hord")</f>
        <v>Derrick Hord</v>
      </c>
      <c r="E3328" s="4" t="str">
        <f>IFERROR(__xludf.DUMMYFUNCTION("""COMPUTED_VALUE"""),"Kentucky")</f>
        <v>Kentucky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</row>
    <row r="3329">
      <c r="A3329" s="4">
        <f>IFERROR(__xludf.DUMMYFUNCTION("""COMPUTED_VALUE"""),68.0)</f>
        <v>68</v>
      </c>
      <c r="B3329" s="4">
        <f>IFERROR(__xludf.DUMMYFUNCTION("""COMPUTED_VALUE"""),68.0)</f>
        <v>68</v>
      </c>
      <c r="C3329" s="4" t="str">
        <f>IFERROR(__xludf.DUMMYFUNCTION("""COMPUTED_VALUE"""),"BOS")</f>
        <v>BOS</v>
      </c>
      <c r="D3329" s="4" t="str">
        <f>IFERROR(__xludf.DUMMYFUNCTION("""COMPUTED_VALUE"""),"Craig Robinson")</f>
        <v>Craig Robinson</v>
      </c>
      <c r="E3329" s="4" t="str">
        <f>IFERROR(__xludf.DUMMYFUNCTION("""COMPUTED_VALUE"""),"Virginia")</f>
        <v>Virginia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</row>
    <row r="3330">
      <c r="A3330" s="4">
        <f>IFERROR(__xludf.DUMMYFUNCTION("""COMPUTED_VALUE"""),69.0)</f>
        <v>69</v>
      </c>
      <c r="B3330" s="4">
        <f>IFERROR(__xludf.DUMMYFUNCTION("""COMPUTED_VALUE"""),69.0)</f>
        <v>69</v>
      </c>
      <c r="C3330" s="4" t="str">
        <f>IFERROR(__xludf.DUMMYFUNCTION("""COMPUTED_VALUE"""),"LAL")</f>
        <v>LAL</v>
      </c>
      <c r="D3330" s="4" t="str">
        <f>IFERROR(__xludf.DUMMYFUNCTION("""COMPUTED_VALUE"""),"Orlando Phillips")</f>
        <v>Orlando Phillips</v>
      </c>
      <c r="E3330" s="4" t="str">
        <f>IFERROR(__xludf.DUMMYFUNCTION("""COMPUTED_VALUE"""),"Pepperdine")</f>
        <v>Pepperdine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</row>
    <row r="3331">
      <c r="A3331" s="4">
        <f>IFERROR(__xludf.DUMMYFUNCTION("""COMPUTED_VALUE"""),70.0)</f>
        <v>70</v>
      </c>
      <c r="B3331" s="4">
        <f>IFERROR(__xludf.DUMMYFUNCTION("""COMPUTED_VALUE"""),70.0)</f>
        <v>70</v>
      </c>
      <c r="C3331" s="4" t="str">
        <f>IFERROR(__xludf.DUMMYFUNCTION("""COMPUTED_VALUE"""),"PHI")</f>
        <v>PHI</v>
      </c>
      <c r="D3331" s="4" t="str">
        <f>IFERROR(__xludf.DUMMYFUNCTION("""COMPUTED_VALUE"""),"Dan Ruland")</f>
        <v>Dan Ruland</v>
      </c>
      <c r="E3331" s="4" t="str">
        <f>IFERROR(__xludf.DUMMYFUNCTION("""COMPUTED_VALUE"""),"James Madison University")</f>
        <v>James Madison University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</row>
    <row r="3332">
      <c r="A3332" s="4"/>
      <c r="B3332" s="4"/>
      <c r="C3332" s="4"/>
      <c r="D3332" s="4" t="str">
        <f>IFERROR(__xludf.DUMMYFUNCTION("""COMPUTED_VALUE"""),"Round 4")</f>
        <v>Round 4</v>
      </c>
      <c r="E3332" s="4"/>
      <c r="F3332" s="4"/>
      <c r="G3332" s="4" t="str">
        <f>IFERROR(__xludf.DUMMYFUNCTION("""COMPUTED_VALUE"""),"Totals")</f>
        <v>Totals</v>
      </c>
      <c r="H3332" s="4"/>
      <c r="I3332" s="4"/>
      <c r="J3332" s="4"/>
      <c r="K3332" s="4"/>
      <c r="L3332" s="4" t="str">
        <f>IFERROR(__xludf.DUMMYFUNCTION("""COMPUTED_VALUE"""),"Shooting")</f>
        <v>Shooting</v>
      </c>
      <c r="M3332" s="4"/>
      <c r="N3332" s="4"/>
      <c r="O3332" s="4" t="str">
        <f>IFERROR(__xludf.DUMMYFUNCTION("""COMPUTED_VALUE"""),"Per Game")</f>
        <v>Per Game</v>
      </c>
      <c r="P3332" s="4"/>
      <c r="Q3332" s="4"/>
      <c r="R3332" s="4"/>
      <c r="S3332" s="4" t="str">
        <f>IFERROR(__xludf.DUMMYFUNCTION("""COMPUTED_VALUE"""),"Advanced")</f>
        <v>Advanced</v>
      </c>
      <c r="T3332" s="4"/>
      <c r="U3332" s="4"/>
      <c r="V3332" s="4"/>
    </row>
    <row r="3333">
      <c r="A3333" s="4" t="str">
        <f>IFERROR(__xludf.DUMMYFUNCTION("""COMPUTED_VALUE"""),"Rk")</f>
        <v>Rk</v>
      </c>
      <c r="B3333" s="4" t="str">
        <f>IFERROR(__xludf.DUMMYFUNCTION("""COMPUTED_VALUE"""),"Pk")</f>
        <v>Pk</v>
      </c>
      <c r="C3333" s="4" t="str">
        <f>IFERROR(__xludf.DUMMYFUNCTION("""COMPUTED_VALUE"""),"Tm")</f>
        <v>Tm</v>
      </c>
      <c r="D3333" s="4" t="str">
        <f>IFERROR(__xludf.DUMMYFUNCTION("""COMPUTED_VALUE"""),"Player")</f>
        <v>Player</v>
      </c>
      <c r="E3333" s="4" t="str">
        <f>IFERROR(__xludf.DUMMYFUNCTION("""COMPUTED_VALUE"""),"College")</f>
        <v>College</v>
      </c>
      <c r="F3333" s="4" t="str">
        <f>IFERROR(__xludf.DUMMYFUNCTION("""COMPUTED_VALUE"""),"Yrs")</f>
        <v>Yrs</v>
      </c>
      <c r="G3333" s="4" t="str">
        <f>IFERROR(__xludf.DUMMYFUNCTION("""COMPUTED_VALUE"""),"G")</f>
        <v>G</v>
      </c>
      <c r="H3333" s="4" t="str">
        <f>IFERROR(__xludf.DUMMYFUNCTION("""COMPUTED_VALUE"""),"MP")</f>
        <v>MP</v>
      </c>
      <c r="I3333" s="4" t="str">
        <f>IFERROR(__xludf.DUMMYFUNCTION("""COMPUTED_VALUE"""),"PTS")</f>
        <v>PTS</v>
      </c>
      <c r="J3333" s="4" t="str">
        <f>IFERROR(__xludf.DUMMYFUNCTION("""COMPUTED_VALUE"""),"TRB")</f>
        <v>TRB</v>
      </c>
      <c r="K3333" s="4" t="str">
        <f>IFERROR(__xludf.DUMMYFUNCTION("""COMPUTED_VALUE"""),"AST")</f>
        <v>AST</v>
      </c>
      <c r="L3333" s="4" t="str">
        <f>IFERROR(__xludf.DUMMYFUNCTION("""COMPUTED_VALUE"""),"FG%")</f>
        <v>FG%</v>
      </c>
      <c r="M3333" s="4" t="str">
        <f>IFERROR(__xludf.DUMMYFUNCTION("""COMPUTED_VALUE"""),"3P%")</f>
        <v>3P%</v>
      </c>
      <c r="N3333" s="4" t="str">
        <f>IFERROR(__xludf.DUMMYFUNCTION("""COMPUTED_VALUE"""),"FT%")</f>
        <v>FT%</v>
      </c>
      <c r="O3333" s="4" t="str">
        <f>IFERROR(__xludf.DUMMYFUNCTION("""COMPUTED_VALUE"""),"MP")</f>
        <v>MP</v>
      </c>
      <c r="P3333" s="4" t="str">
        <f>IFERROR(__xludf.DUMMYFUNCTION("""COMPUTED_VALUE"""),"PTS")</f>
        <v>PTS</v>
      </c>
      <c r="Q3333" s="4" t="str">
        <f>IFERROR(__xludf.DUMMYFUNCTION("""COMPUTED_VALUE"""),"TRB")</f>
        <v>TRB</v>
      </c>
      <c r="R3333" s="4" t="str">
        <f>IFERROR(__xludf.DUMMYFUNCTION("""COMPUTED_VALUE"""),"AST")</f>
        <v>AST</v>
      </c>
      <c r="S3333" s="4" t="str">
        <f>IFERROR(__xludf.DUMMYFUNCTION("""COMPUTED_VALUE"""),"WS")</f>
        <v>WS</v>
      </c>
      <c r="T3333" s="4" t="str">
        <f>IFERROR(__xludf.DUMMYFUNCTION("""COMPUTED_VALUE"""),"WS/48")</f>
        <v>WS/48</v>
      </c>
      <c r="U3333" s="4" t="str">
        <f>IFERROR(__xludf.DUMMYFUNCTION("""COMPUTED_VALUE"""),"BPM")</f>
        <v>BPM</v>
      </c>
      <c r="V3333" s="4" t="str">
        <f>IFERROR(__xludf.DUMMYFUNCTION("""COMPUTED_VALUE"""),"VORP")</f>
        <v>VORP</v>
      </c>
    </row>
    <row r="3334">
      <c r="A3334" s="4">
        <f>IFERROR(__xludf.DUMMYFUNCTION("""COMPUTED_VALUE"""),71.0)</f>
        <v>71</v>
      </c>
      <c r="B3334" s="4">
        <f>IFERROR(__xludf.DUMMYFUNCTION("""COMPUTED_VALUE"""),71.0)</f>
        <v>71</v>
      </c>
      <c r="C3334" s="4" t="str">
        <f>IFERROR(__xludf.DUMMYFUNCTION("""COMPUTED_VALUE"""),"HOU")</f>
        <v>HOU</v>
      </c>
      <c r="D3334" s="4" t="str">
        <f>IFERROR(__xludf.DUMMYFUNCTION("""COMPUTED_VALUE"""),"Darrell Browder")</f>
        <v>Darrell Browder</v>
      </c>
      <c r="E3334" s="4" t="str">
        <f>IFERROR(__xludf.DUMMYFUNCTION("""COMPUTED_VALUE"""),"TCU")</f>
        <v>TCU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</row>
    <row r="3335">
      <c r="A3335" s="4">
        <f>IFERROR(__xludf.DUMMYFUNCTION("""COMPUTED_VALUE"""),72.0)</f>
        <v>72</v>
      </c>
      <c r="B3335" s="4">
        <f>IFERROR(__xludf.DUMMYFUNCTION("""COMPUTED_VALUE"""),72.0)</f>
        <v>72</v>
      </c>
      <c r="C3335" s="4" t="str">
        <f>IFERROR(__xludf.DUMMYFUNCTION("""COMPUTED_VALUE"""),"IND")</f>
        <v>IND</v>
      </c>
      <c r="D3335" s="4" t="str">
        <f>IFERROR(__xludf.DUMMYFUNCTION("""COMPUTED_VALUE"""),"Terry Fair")</f>
        <v>Terry Fair</v>
      </c>
      <c r="E3335" s="4" t="str">
        <f>IFERROR(__xludf.DUMMYFUNCTION("""COMPUTED_VALUE"""),"Georgia")</f>
        <v>Georgia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</row>
    <row r="3336">
      <c r="A3336" s="4">
        <f>IFERROR(__xludf.DUMMYFUNCTION("""COMPUTED_VALUE"""),73.0)</f>
        <v>73</v>
      </c>
      <c r="B3336" s="4">
        <f>IFERROR(__xludf.DUMMYFUNCTION("""COMPUTED_VALUE"""),73.0)</f>
        <v>73</v>
      </c>
      <c r="C3336" s="4" t="str">
        <f>IFERROR(__xludf.DUMMYFUNCTION("""COMPUTED_VALUE"""),"CLE")</f>
        <v>CLE</v>
      </c>
      <c r="D3336" s="4" t="str">
        <f>IFERROR(__xludf.DUMMYFUNCTION("""COMPUTED_VALUE"""),"Dwight Jones")</f>
        <v>Dwight Jones</v>
      </c>
      <c r="E3336" s="4" t="str">
        <f>IFERROR(__xludf.DUMMYFUNCTION("""COMPUTED_VALUE"""),"Cincinnati")</f>
        <v>Cincinnati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</row>
    <row r="3337">
      <c r="A3337" s="4">
        <f>IFERROR(__xludf.DUMMYFUNCTION("""COMPUTED_VALUE"""),74.0)</f>
        <v>74</v>
      </c>
      <c r="B3337" s="4">
        <f>IFERROR(__xludf.DUMMYFUNCTION("""COMPUTED_VALUE"""),74.0)</f>
        <v>74</v>
      </c>
      <c r="C3337" s="4" t="str">
        <f>IFERROR(__xludf.DUMMYFUNCTION("""COMPUTED_VALUE"""),"PHI")</f>
        <v>PHI</v>
      </c>
      <c r="D3337" s="4" t="str">
        <f>IFERROR(__xludf.DUMMYFUNCTION("""COMPUTED_VALUE"""),"Kalpatrick Wells")</f>
        <v>Kalpatrick Wells</v>
      </c>
      <c r="E3337" s="4" t="str">
        <f>IFERROR(__xludf.DUMMYFUNCTION("""COMPUTED_VALUE"""),"Mississippi State")</f>
        <v>Mississippi State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</row>
    <row r="3338">
      <c r="A3338" s="4">
        <f>IFERROR(__xludf.DUMMYFUNCTION("""COMPUTED_VALUE"""),75.0)</f>
        <v>75</v>
      </c>
      <c r="B3338" s="4">
        <f>IFERROR(__xludf.DUMMYFUNCTION("""COMPUTED_VALUE"""),75.0)</f>
        <v>75</v>
      </c>
      <c r="C3338" s="4" t="str">
        <f>IFERROR(__xludf.DUMMYFUNCTION("""COMPUTED_VALUE"""),"CHI")</f>
        <v>CHI</v>
      </c>
      <c r="D3338" s="4" t="str">
        <f>IFERROR(__xludf.DUMMYFUNCTION("""COMPUTED_VALUE"""),"Ron Crevier")</f>
        <v>Ron Crevier</v>
      </c>
      <c r="E3338" s="4" t="str">
        <f>IFERROR(__xludf.DUMMYFUNCTION("""COMPUTED_VALUE"""),"Boston College")</f>
        <v>Boston College</v>
      </c>
      <c r="F3338" s="4">
        <f>IFERROR(__xludf.DUMMYFUNCTION("""COMPUTED_VALUE"""),1.0)</f>
        <v>1</v>
      </c>
      <c r="G3338" s="4">
        <f>IFERROR(__xludf.DUMMYFUNCTION("""COMPUTED_VALUE"""),3.0)</f>
        <v>3</v>
      </c>
      <c r="H3338" s="4">
        <f>IFERROR(__xludf.DUMMYFUNCTION("""COMPUTED_VALUE"""),4.0)</f>
        <v>4</v>
      </c>
      <c r="I3338" s="4">
        <f>IFERROR(__xludf.DUMMYFUNCTION("""COMPUTED_VALUE"""),0.0)</f>
        <v>0</v>
      </c>
      <c r="J3338" s="4">
        <f>IFERROR(__xludf.DUMMYFUNCTION("""COMPUTED_VALUE"""),1.0)</f>
        <v>1</v>
      </c>
      <c r="K3338" s="4">
        <f>IFERROR(__xludf.DUMMYFUNCTION("""COMPUTED_VALUE"""),0.0)</f>
        <v>0</v>
      </c>
      <c r="L3338" s="4">
        <f>IFERROR(__xludf.DUMMYFUNCTION("""COMPUTED_VALUE"""),0.0)</f>
        <v>0</v>
      </c>
      <c r="M3338" s="4"/>
      <c r="N3338" s="4">
        <f>IFERROR(__xludf.DUMMYFUNCTION("""COMPUTED_VALUE"""),0.0)</f>
        <v>0</v>
      </c>
      <c r="O3338" s="4">
        <f>IFERROR(__xludf.DUMMYFUNCTION("""COMPUTED_VALUE"""),1.3)</f>
        <v>1.3</v>
      </c>
      <c r="P3338" s="4">
        <f>IFERROR(__xludf.DUMMYFUNCTION("""COMPUTED_VALUE"""),0.0)</f>
        <v>0</v>
      </c>
      <c r="Q3338" s="4">
        <f>IFERROR(__xludf.DUMMYFUNCTION("""COMPUTED_VALUE"""),0.3)</f>
        <v>0.3</v>
      </c>
      <c r="R3338" s="4">
        <f>IFERROR(__xludf.DUMMYFUNCTION("""COMPUTED_VALUE"""),0.0)</f>
        <v>0</v>
      </c>
      <c r="S3338" s="4">
        <f>IFERROR(__xludf.DUMMYFUNCTION("""COMPUTED_VALUE"""),-0.1)</f>
        <v>-0.1</v>
      </c>
      <c r="T3338" s="4">
        <f>IFERROR(__xludf.DUMMYFUNCTION("""COMPUTED_VALUE"""),-0.795)</f>
        <v>-0.795</v>
      </c>
      <c r="U3338" s="4">
        <f>IFERROR(__xludf.DUMMYFUNCTION("""COMPUTED_VALUE"""),-42.2)</f>
        <v>-42.2</v>
      </c>
      <c r="V3338" s="4">
        <f>IFERROR(__xludf.DUMMYFUNCTION("""COMPUTED_VALUE"""),0.0)</f>
        <v>0</v>
      </c>
    </row>
    <row r="3339">
      <c r="A3339" s="4">
        <f>IFERROR(__xludf.DUMMYFUNCTION("""COMPUTED_VALUE"""),76.0)</f>
        <v>76</v>
      </c>
      <c r="B3339" s="4">
        <f>IFERROR(__xludf.DUMMYFUNCTION("""COMPUTED_VALUE"""),76.0)</f>
        <v>76</v>
      </c>
      <c r="C3339" s="4" t="str">
        <f>IFERROR(__xludf.DUMMYFUNCTION("""COMPUTED_VALUE"""),"UTA")</f>
        <v>UTA</v>
      </c>
      <c r="D3339" s="4" t="str">
        <f>IFERROR(__xludf.DUMMYFUNCTION("""COMPUTED_VALUE"""),"Doug Arnold")</f>
        <v>Doug Arnold</v>
      </c>
      <c r="E3339" s="4" t="str">
        <f>IFERROR(__xludf.DUMMYFUNCTION("""COMPUTED_VALUE"""),"TCU")</f>
        <v>TCU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</row>
    <row r="3340">
      <c r="A3340" s="4">
        <f>IFERROR(__xludf.DUMMYFUNCTION("""COMPUTED_VALUE"""),77.0)</f>
        <v>77</v>
      </c>
      <c r="B3340" s="4">
        <f>IFERROR(__xludf.DUMMYFUNCTION("""COMPUTED_VALUE"""),77.0)</f>
        <v>77</v>
      </c>
      <c r="C3340" s="4" t="str">
        <f>IFERROR(__xludf.DUMMYFUNCTION("""COMPUTED_VALUE"""),"GSW")</f>
        <v>GSW</v>
      </c>
      <c r="D3340" s="4" t="str">
        <f>IFERROR(__xludf.DUMMYFUNCTION("""COMPUTED_VALUE"""),"Peter Thibeaux")</f>
        <v>Peter Thibeaux</v>
      </c>
      <c r="E3340" s="4" t="str">
        <f>IFERROR(__xludf.DUMMYFUNCTION("""COMPUTED_VALUE"""),"Saint Mary's")</f>
        <v>Saint Mary's</v>
      </c>
      <c r="F3340" s="4">
        <f>IFERROR(__xludf.DUMMYFUNCTION("""COMPUTED_VALUE"""),2.0)</f>
        <v>2</v>
      </c>
      <c r="G3340" s="4">
        <f>IFERROR(__xludf.DUMMYFUNCTION("""COMPUTED_VALUE"""),93.0)</f>
        <v>93</v>
      </c>
      <c r="H3340" s="4">
        <f>IFERROR(__xludf.DUMMYFUNCTION("""COMPUTED_VALUE"""),992.0)</f>
        <v>992</v>
      </c>
      <c r="I3340" s="4">
        <f>IFERROR(__xludf.DUMMYFUNCTION("""COMPUTED_VALUE"""),462.0)</f>
        <v>462</v>
      </c>
      <c r="J3340" s="4">
        <f>IFERROR(__xludf.DUMMYFUNCTION("""COMPUTED_VALUE"""),144.0)</f>
        <v>144</v>
      </c>
      <c r="K3340" s="4">
        <f>IFERROR(__xludf.DUMMYFUNCTION("""COMPUTED_VALUE"""),45.0)</f>
        <v>45</v>
      </c>
      <c r="L3340" s="4">
        <f>IFERROR(__xludf.DUMMYFUNCTION("""COMPUTED_VALUE"""),0.453)</f>
        <v>0.453</v>
      </c>
      <c r="M3340" s="4">
        <f>IFERROR(__xludf.DUMMYFUNCTION("""COMPUTED_VALUE"""),0.286)</f>
        <v>0.286</v>
      </c>
      <c r="N3340" s="4">
        <f>IFERROR(__xludf.DUMMYFUNCTION("""COMPUTED_VALUE"""),0.626)</f>
        <v>0.626</v>
      </c>
      <c r="O3340" s="4">
        <f>IFERROR(__xludf.DUMMYFUNCTION("""COMPUTED_VALUE"""),10.7)</f>
        <v>10.7</v>
      </c>
      <c r="P3340" s="4">
        <f>IFERROR(__xludf.DUMMYFUNCTION("""COMPUTED_VALUE"""),5.0)</f>
        <v>5</v>
      </c>
      <c r="Q3340" s="4">
        <f>IFERROR(__xludf.DUMMYFUNCTION("""COMPUTED_VALUE"""),1.5)</f>
        <v>1.5</v>
      </c>
      <c r="R3340" s="4">
        <f>IFERROR(__xludf.DUMMYFUNCTION("""COMPUTED_VALUE"""),0.5)</f>
        <v>0.5</v>
      </c>
      <c r="S3340" s="4">
        <f>IFERROR(__xludf.DUMMYFUNCTION("""COMPUTED_VALUE"""),0.1)</f>
        <v>0.1</v>
      </c>
      <c r="T3340" s="4">
        <f>IFERROR(__xludf.DUMMYFUNCTION("""COMPUTED_VALUE"""),0.005)</f>
        <v>0.005</v>
      </c>
      <c r="U3340" s="4">
        <f>IFERROR(__xludf.DUMMYFUNCTION("""COMPUTED_VALUE"""),-5.2)</f>
        <v>-5.2</v>
      </c>
      <c r="V3340" s="4">
        <f>IFERROR(__xludf.DUMMYFUNCTION("""COMPUTED_VALUE"""),-0.8)</f>
        <v>-0.8</v>
      </c>
    </row>
    <row r="3341">
      <c r="A3341" s="4">
        <f>IFERROR(__xludf.DUMMYFUNCTION("""COMPUTED_VALUE"""),78.0)</f>
        <v>78</v>
      </c>
      <c r="B3341" s="4">
        <f>IFERROR(__xludf.DUMMYFUNCTION("""COMPUTED_VALUE"""),78.0)</f>
        <v>78</v>
      </c>
      <c r="C3341" s="4" t="str">
        <f>IFERROR(__xludf.DUMMYFUNCTION("""COMPUTED_VALUE"""),"DET")</f>
        <v>DET</v>
      </c>
      <c r="D3341" s="4" t="str">
        <f>IFERROR(__xludf.DUMMYFUNCTION("""COMPUTED_VALUE"""),"Steve Bouchie")</f>
        <v>Steve Bouchie</v>
      </c>
      <c r="E3341" s="4" t="str">
        <f>IFERROR(__xludf.DUMMYFUNCTION("""COMPUTED_VALUE"""),"Indiana")</f>
        <v>Indiana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</row>
    <row r="3342">
      <c r="A3342" s="4">
        <f>IFERROR(__xludf.DUMMYFUNCTION("""COMPUTED_VALUE"""),79.0)</f>
        <v>79</v>
      </c>
      <c r="B3342" s="4">
        <f>IFERROR(__xludf.DUMMYFUNCTION("""COMPUTED_VALUE"""),79.0)</f>
        <v>79</v>
      </c>
      <c r="C3342" s="4" t="str">
        <f>IFERROR(__xludf.DUMMYFUNCTION("""COMPUTED_VALUE"""),"DAL")</f>
        <v>DAL</v>
      </c>
      <c r="D3342" s="4" t="str">
        <f>IFERROR(__xludf.DUMMYFUNCTION("""COMPUTED_VALUE"""),"Johnny Martin")</f>
        <v>Johnny Martin</v>
      </c>
      <c r="E3342" s="4" t="str">
        <f>IFERROR(__xludf.DUMMYFUNCTION("""COMPUTED_VALUE"""),"Northwestern State University")</f>
        <v>Northwestern State University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</row>
    <row r="3343">
      <c r="A3343" s="4">
        <f>IFERROR(__xludf.DUMMYFUNCTION("""COMPUTED_VALUE"""),80.0)</f>
        <v>80</v>
      </c>
      <c r="B3343" s="4">
        <f>IFERROR(__xludf.DUMMYFUNCTION("""COMPUTED_VALUE"""),80.0)</f>
        <v>80</v>
      </c>
      <c r="C3343" s="4" t="str">
        <f>IFERROR(__xludf.DUMMYFUNCTION("""COMPUTED_VALUE"""),"WSB")</f>
        <v>WSB</v>
      </c>
      <c r="D3343" s="4" t="str">
        <f>IFERROR(__xludf.DUMMYFUNCTION("""COMPUTED_VALUE"""),"Dan Gay")</f>
        <v>Dan Gay</v>
      </c>
      <c r="E3343" s="4" t="str">
        <f>IFERROR(__xludf.DUMMYFUNCTION("""COMPUTED_VALUE"""),"Louisiana")</f>
        <v>Louisiana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</row>
    <row r="3344">
      <c r="A3344" s="4">
        <f>IFERROR(__xludf.DUMMYFUNCTION("""COMPUTED_VALUE"""),81.0)</f>
        <v>81</v>
      </c>
      <c r="B3344" s="4">
        <f>IFERROR(__xludf.DUMMYFUNCTION("""COMPUTED_VALUE"""),81.0)</f>
        <v>81</v>
      </c>
      <c r="C3344" s="4" t="str">
        <f>IFERROR(__xludf.DUMMYFUNCTION("""COMPUTED_VALUE"""),"ATL")</f>
        <v>ATL</v>
      </c>
      <c r="D3344" s="4" t="str">
        <f>IFERROR(__xludf.DUMMYFUNCTION("""COMPUTED_VALUE"""),"Harry Kelly")</f>
        <v>Harry Kelly</v>
      </c>
      <c r="E3344" s="4" t="str">
        <f>IFERROR(__xludf.DUMMYFUNCTION("""COMPUTED_VALUE"""),"Texas Southern")</f>
        <v>Texas Southern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</row>
    <row r="3345">
      <c r="A3345" s="4">
        <f>IFERROR(__xludf.DUMMYFUNCTION("""COMPUTED_VALUE"""),82.0)</f>
        <v>82</v>
      </c>
      <c r="B3345" s="4">
        <f>IFERROR(__xludf.DUMMYFUNCTION("""COMPUTED_VALUE"""),82.0)</f>
        <v>82</v>
      </c>
      <c r="C3345" s="4" t="str">
        <f>IFERROR(__xludf.DUMMYFUNCTION("""COMPUTED_VALUE"""),"NYK")</f>
        <v>NYK</v>
      </c>
      <c r="D3345" s="4" t="str">
        <f>IFERROR(__xludf.DUMMYFUNCTION("""COMPUTED_VALUE"""),"Mark Jones")</f>
        <v>Mark Jones</v>
      </c>
      <c r="E3345" s="4" t="str">
        <f>IFERROR(__xludf.DUMMYFUNCTION("""COMPUTED_VALUE"""),"St. Bonaventure")</f>
        <v>St. Bonaventure</v>
      </c>
      <c r="F3345" s="4">
        <f>IFERROR(__xludf.DUMMYFUNCTION("""COMPUTED_VALUE"""),1.0)</f>
        <v>1</v>
      </c>
      <c r="G3345" s="4">
        <f>IFERROR(__xludf.DUMMYFUNCTION("""COMPUTED_VALUE"""),6.0)</f>
        <v>6</v>
      </c>
      <c r="H3345" s="4">
        <f>IFERROR(__xludf.DUMMYFUNCTION("""COMPUTED_VALUE"""),16.0)</f>
        <v>16</v>
      </c>
      <c r="I3345" s="4">
        <f>IFERROR(__xludf.DUMMYFUNCTION("""COMPUTED_VALUE"""),7.0)</f>
        <v>7</v>
      </c>
      <c r="J3345" s="4">
        <f>IFERROR(__xludf.DUMMYFUNCTION("""COMPUTED_VALUE"""),2.0)</f>
        <v>2</v>
      </c>
      <c r="K3345" s="4">
        <f>IFERROR(__xludf.DUMMYFUNCTION("""COMPUTED_VALUE"""),5.0)</f>
        <v>5</v>
      </c>
      <c r="L3345" s="4">
        <f>IFERROR(__xludf.DUMMYFUNCTION("""COMPUTED_VALUE"""),0.5)</f>
        <v>0.5</v>
      </c>
      <c r="M3345" s="4">
        <f>IFERROR(__xludf.DUMMYFUNCTION("""COMPUTED_VALUE"""),0.0)</f>
        <v>0</v>
      </c>
      <c r="N3345" s="4">
        <f>IFERROR(__xludf.DUMMYFUNCTION("""COMPUTED_VALUE"""),0.5)</f>
        <v>0.5</v>
      </c>
      <c r="O3345" s="4">
        <f>IFERROR(__xludf.DUMMYFUNCTION("""COMPUTED_VALUE"""),2.7)</f>
        <v>2.7</v>
      </c>
      <c r="P3345" s="4">
        <f>IFERROR(__xludf.DUMMYFUNCTION("""COMPUTED_VALUE"""),1.2)</f>
        <v>1.2</v>
      </c>
      <c r="Q3345" s="4">
        <f>IFERROR(__xludf.DUMMYFUNCTION("""COMPUTED_VALUE"""),0.3)</f>
        <v>0.3</v>
      </c>
      <c r="R3345" s="4">
        <f>IFERROR(__xludf.DUMMYFUNCTION("""COMPUTED_VALUE"""),0.8)</f>
        <v>0.8</v>
      </c>
      <c r="S3345" s="4">
        <f>IFERROR(__xludf.DUMMYFUNCTION("""COMPUTED_VALUE"""),0.0)</f>
        <v>0</v>
      </c>
      <c r="T3345" s="4">
        <f>IFERROR(__xludf.DUMMYFUNCTION("""COMPUTED_VALUE"""),0.07)</f>
        <v>0.07</v>
      </c>
      <c r="U3345" s="4">
        <f>IFERROR(__xludf.DUMMYFUNCTION("""COMPUTED_VALUE"""),-4.0)</f>
        <v>-4</v>
      </c>
      <c r="V3345" s="4">
        <f>IFERROR(__xludf.DUMMYFUNCTION("""COMPUTED_VALUE"""),0.0)</f>
        <v>0</v>
      </c>
    </row>
    <row r="3346">
      <c r="A3346" s="4">
        <f>IFERROR(__xludf.DUMMYFUNCTION("""COMPUTED_VALUE"""),83.0)</f>
        <v>83</v>
      </c>
      <c r="B3346" s="4">
        <f>IFERROR(__xludf.DUMMYFUNCTION("""COMPUTED_VALUE"""),83.0)</f>
        <v>83</v>
      </c>
      <c r="C3346" s="4" t="str">
        <f>IFERROR(__xludf.DUMMYFUNCTION("""COMPUTED_VALUE"""),"DEN")</f>
        <v>DEN</v>
      </c>
      <c r="D3346" s="4" t="str">
        <f>IFERROR(__xludf.DUMMYFUNCTION("""COMPUTED_VALUE"""),"York Gross")</f>
        <v>York Gross</v>
      </c>
      <c r="E3346" s="4" t="str">
        <f>IFERROR(__xludf.DUMMYFUNCTION("""COMPUTED_VALUE"""),"UC Santa Barbara")</f>
        <v>UC Santa Barbara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</row>
    <row r="3347">
      <c r="A3347" s="4">
        <f>IFERROR(__xludf.DUMMYFUNCTION("""COMPUTED_VALUE"""),84.0)</f>
        <v>84</v>
      </c>
      <c r="B3347" s="4">
        <f>IFERROR(__xludf.DUMMYFUNCTION("""COMPUTED_VALUE"""),84.0)</f>
        <v>84</v>
      </c>
      <c r="C3347" s="4" t="str">
        <f>IFERROR(__xludf.DUMMYFUNCTION("""COMPUTED_VALUE"""),"KCK")</f>
        <v>KCK</v>
      </c>
      <c r="D3347" s="4" t="str">
        <f>IFERROR(__xludf.DUMMYFUNCTION("""COMPUTED_VALUE"""),"Mike Jackson")</f>
        <v>Mike Jackson</v>
      </c>
      <c r="E3347" s="4" t="str">
        <f>IFERROR(__xludf.DUMMYFUNCTION("""COMPUTED_VALUE"""),"Wyoming")</f>
        <v>Wyoming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</row>
    <row r="3348">
      <c r="A3348" s="4">
        <f>IFERROR(__xludf.DUMMYFUNCTION("""COMPUTED_VALUE"""),85.0)</f>
        <v>85</v>
      </c>
      <c r="B3348" s="4">
        <f>IFERROR(__xludf.DUMMYFUNCTION("""COMPUTED_VALUE"""),85.0)</f>
        <v>85</v>
      </c>
      <c r="C3348" s="4" t="str">
        <f>IFERROR(__xludf.DUMMYFUNCTION("""COMPUTED_VALUE"""),"POR")</f>
        <v>POR</v>
      </c>
      <c r="D3348" s="4" t="str">
        <f>IFERROR(__xludf.DUMMYFUNCTION("""COMPUTED_VALUE"""),"Tim Dunham")</f>
        <v>Tim Dunham</v>
      </c>
      <c r="E3348" s="4" t="str">
        <f>IFERROR(__xludf.DUMMYFUNCTION("""COMPUTED_VALUE"""),"Chaminade University of Honolulu")</f>
        <v>Chaminade University of Honolulu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</row>
    <row r="3349">
      <c r="A3349" s="4">
        <f>IFERROR(__xludf.DUMMYFUNCTION("""COMPUTED_VALUE"""),86.0)</f>
        <v>86</v>
      </c>
      <c r="B3349" s="4">
        <f>IFERROR(__xludf.DUMMYFUNCTION("""COMPUTED_VALUE"""),86.0)</f>
        <v>86</v>
      </c>
      <c r="C3349" s="4" t="str">
        <f>IFERROR(__xludf.DUMMYFUNCTION("""COMPUTED_VALUE"""),"SEA")</f>
        <v>SEA</v>
      </c>
      <c r="D3349" s="4" t="str">
        <f>IFERROR(__xludf.DUMMYFUNCTION("""COMPUTED_VALUE"""),"Pete DeBisschop")</f>
        <v>Pete DeBisschop</v>
      </c>
      <c r="E3349" s="4" t="str">
        <f>IFERROR(__xludf.DUMMYFUNCTION("""COMPUTED_VALUE"""),"Fairfield")</f>
        <v>Fairfield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</row>
    <row r="3350">
      <c r="A3350" s="4">
        <f>IFERROR(__xludf.DUMMYFUNCTION("""COMPUTED_VALUE"""),87.0)</f>
        <v>87</v>
      </c>
      <c r="B3350" s="4">
        <f>IFERROR(__xludf.DUMMYFUNCTION("""COMPUTED_VALUE"""),87.0)</f>
        <v>87</v>
      </c>
      <c r="C3350" s="4" t="str">
        <f>IFERROR(__xludf.DUMMYFUNCTION("""COMPUTED_VALUE"""),"NJN")</f>
        <v>NJN</v>
      </c>
      <c r="D3350" s="4" t="str">
        <f>IFERROR(__xludf.DUMMYFUNCTION("""COMPUTED_VALUE"""),"Barney Mines")</f>
        <v>Barney Mines</v>
      </c>
      <c r="E3350" s="4" t="str">
        <f>IFERROR(__xludf.DUMMYFUNCTION("""COMPUTED_VALUE"""),"Bradley")</f>
        <v>Bradley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</row>
    <row r="3351">
      <c r="A3351" s="4">
        <f>IFERROR(__xludf.DUMMYFUNCTION("""COMPUTED_VALUE"""),88.0)</f>
        <v>88</v>
      </c>
      <c r="B3351" s="4">
        <f>IFERROR(__xludf.DUMMYFUNCTION("""COMPUTED_VALUE"""),88.0)</f>
        <v>88</v>
      </c>
      <c r="C3351" s="4" t="str">
        <f>IFERROR(__xludf.DUMMYFUNCTION("""COMPUTED_VALUE"""),"MIL")</f>
        <v>MIL</v>
      </c>
      <c r="D3351" s="4" t="str">
        <f>IFERROR(__xludf.DUMMYFUNCTION("""COMPUTED_VALUE"""),"Mark Nickens")</f>
        <v>Mark Nickens</v>
      </c>
      <c r="E3351" s="4" t="str">
        <f>IFERROR(__xludf.DUMMYFUNCTION("""COMPUTED_VALUE"""),"American University")</f>
        <v>American University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</row>
    <row r="3352">
      <c r="A3352" s="4">
        <f>IFERROR(__xludf.DUMMYFUNCTION("""COMPUTED_VALUE"""),89.0)</f>
        <v>89</v>
      </c>
      <c r="B3352" s="4">
        <f>IFERROR(__xludf.DUMMYFUNCTION("""COMPUTED_VALUE"""),89.0)</f>
        <v>89</v>
      </c>
      <c r="C3352" s="4" t="str">
        <f>IFERROR(__xludf.DUMMYFUNCTION("""COMPUTED_VALUE"""),"PHO")</f>
        <v>PHO</v>
      </c>
      <c r="D3352" s="4" t="str">
        <f>IFERROR(__xludf.DUMMYFUNCTION("""COMPUTED_VALUE"""),"Sam Mosley")</f>
        <v>Sam Mosley</v>
      </c>
      <c r="E3352" s="4" t="str">
        <f>IFERROR(__xludf.DUMMYFUNCTION("""COMPUTED_VALUE"""),"Nevada")</f>
        <v>Nevada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</row>
    <row r="3353">
      <c r="A3353" s="4">
        <f>IFERROR(__xludf.DUMMYFUNCTION("""COMPUTED_VALUE"""),90.0)</f>
        <v>90</v>
      </c>
      <c r="B3353" s="4">
        <f>IFERROR(__xludf.DUMMYFUNCTION("""COMPUTED_VALUE"""),90.0)</f>
        <v>90</v>
      </c>
      <c r="C3353" s="4" t="str">
        <f>IFERROR(__xludf.DUMMYFUNCTION("""COMPUTED_VALUE"""),"SAS")</f>
        <v>SAS</v>
      </c>
      <c r="D3353" s="4" t="str">
        <f>IFERROR(__xludf.DUMMYFUNCTION("""COMPUTED_VALUE"""),"Brant Weidner")</f>
        <v>Brant Weidner</v>
      </c>
      <c r="E3353" s="4" t="str">
        <f>IFERROR(__xludf.DUMMYFUNCTION("""COMPUTED_VALUE"""),"William &amp; Mary")</f>
        <v>William &amp; Mary</v>
      </c>
      <c r="F3353" s="4">
        <f>IFERROR(__xludf.DUMMYFUNCTION("""COMPUTED_VALUE"""),1.0)</f>
        <v>1</v>
      </c>
      <c r="G3353" s="4">
        <f>IFERROR(__xludf.DUMMYFUNCTION("""COMPUTED_VALUE"""),8.0)</f>
        <v>8</v>
      </c>
      <c r="H3353" s="4">
        <f>IFERROR(__xludf.DUMMYFUNCTION("""COMPUTED_VALUE"""),38.0)</f>
        <v>38</v>
      </c>
      <c r="I3353" s="4">
        <f>IFERROR(__xludf.DUMMYFUNCTION("""COMPUTED_VALUE"""),8.0)</f>
        <v>8</v>
      </c>
      <c r="J3353" s="4">
        <f>IFERROR(__xludf.DUMMYFUNCTION("""COMPUTED_VALUE"""),11.0)</f>
        <v>11</v>
      </c>
      <c r="K3353" s="4">
        <f>IFERROR(__xludf.DUMMYFUNCTION("""COMPUTED_VALUE"""),0.0)</f>
        <v>0</v>
      </c>
      <c r="L3353" s="4">
        <f>IFERROR(__xludf.DUMMYFUNCTION("""COMPUTED_VALUE"""),0.222)</f>
        <v>0.222</v>
      </c>
      <c r="M3353" s="4"/>
      <c r="N3353" s="4">
        <f>IFERROR(__xludf.DUMMYFUNCTION("""COMPUTED_VALUE"""),1.0)</f>
        <v>1</v>
      </c>
      <c r="O3353" s="4">
        <f>IFERROR(__xludf.DUMMYFUNCTION("""COMPUTED_VALUE"""),4.8)</f>
        <v>4.8</v>
      </c>
      <c r="P3353" s="4">
        <f>IFERROR(__xludf.DUMMYFUNCTION("""COMPUTED_VALUE"""),1.0)</f>
        <v>1</v>
      </c>
      <c r="Q3353" s="4">
        <f>IFERROR(__xludf.DUMMYFUNCTION("""COMPUTED_VALUE"""),1.4)</f>
        <v>1.4</v>
      </c>
      <c r="R3353" s="4">
        <f>IFERROR(__xludf.DUMMYFUNCTION("""COMPUTED_VALUE"""),0.0)</f>
        <v>0</v>
      </c>
      <c r="S3353" s="4">
        <f>IFERROR(__xludf.DUMMYFUNCTION("""COMPUTED_VALUE"""),0.0)</f>
        <v>0</v>
      </c>
      <c r="T3353" s="4">
        <f>IFERROR(__xludf.DUMMYFUNCTION("""COMPUTED_VALUE"""),-0.014)</f>
        <v>-0.014</v>
      </c>
      <c r="U3353" s="4">
        <f>IFERROR(__xludf.DUMMYFUNCTION("""COMPUTED_VALUE"""),-4.9)</f>
        <v>-4.9</v>
      </c>
      <c r="V3353" s="4">
        <f>IFERROR(__xludf.DUMMYFUNCTION("""COMPUTED_VALUE"""),-0.1)</f>
        <v>-0.1</v>
      </c>
    </row>
    <row r="3354">
      <c r="A3354" s="4">
        <f>IFERROR(__xludf.DUMMYFUNCTION("""COMPUTED_VALUE"""),91.0)</f>
        <v>91</v>
      </c>
      <c r="B3354" s="4">
        <f>IFERROR(__xludf.DUMMYFUNCTION("""COMPUTED_VALUE"""),91.0)</f>
        <v>91</v>
      </c>
      <c r="C3354" s="4" t="str">
        <f>IFERROR(__xludf.DUMMYFUNCTION("""COMPUTED_VALUE"""),"BOS")</f>
        <v>BOS</v>
      </c>
      <c r="D3354" s="4" t="str">
        <f>IFERROR(__xludf.DUMMYFUNCTION("""COMPUTED_VALUE"""),"Carlos Clark")</f>
        <v>Carlos Clark</v>
      </c>
      <c r="E3354" s="4" t="str">
        <f>IFERROR(__xludf.DUMMYFUNCTION("""COMPUTED_VALUE"""),"Ole Miss")</f>
        <v>Ole Miss</v>
      </c>
      <c r="F3354" s="4">
        <f>IFERROR(__xludf.DUMMYFUNCTION("""COMPUTED_VALUE"""),2.0)</f>
        <v>2</v>
      </c>
      <c r="G3354" s="4">
        <f>IFERROR(__xludf.DUMMYFUNCTION("""COMPUTED_VALUE"""),93.0)</f>
        <v>93</v>
      </c>
      <c r="H3354" s="4">
        <f>IFERROR(__xludf.DUMMYFUNCTION("""COMPUTED_VALUE"""),689.0)</f>
        <v>689</v>
      </c>
      <c r="I3354" s="4">
        <f>IFERROR(__xludf.DUMMYFUNCTION("""COMPUTED_VALUE"""),223.0)</f>
        <v>223</v>
      </c>
      <c r="J3354" s="4">
        <f>IFERROR(__xludf.DUMMYFUNCTION("""COMPUTED_VALUE"""),86.0)</f>
        <v>86</v>
      </c>
      <c r="K3354" s="4">
        <f>IFERROR(__xludf.DUMMYFUNCTION("""COMPUTED_VALUE"""),65.0)</f>
        <v>65</v>
      </c>
      <c r="L3354" s="4">
        <f>IFERROR(__xludf.DUMMYFUNCTION("""COMPUTED_VALUE"""),0.407)</f>
        <v>0.407</v>
      </c>
      <c r="M3354" s="4">
        <f>IFERROR(__xludf.DUMMYFUNCTION("""COMPUTED_VALUE"""),0.0)</f>
        <v>0</v>
      </c>
      <c r="N3354" s="4">
        <f>IFERROR(__xludf.DUMMYFUNCTION("""COMPUTED_VALUE"""),0.803)</f>
        <v>0.803</v>
      </c>
      <c r="O3354" s="4">
        <f>IFERROR(__xludf.DUMMYFUNCTION("""COMPUTED_VALUE"""),7.4)</f>
        <v>7.4</v>
      </c>
      <c r="P3354" s="4">
        <f>IFERROR(__xludf.DUMMYFUNCTION("""COMPUTED_VALUE"""),2.4)</f>
        <v>2.4</v>
      </c>
      <c r="Q3354" s="4">
        <f>IFERROR(__xludf.DUMMYFUNCTION("""COMPUTED_VALUE"""),0.9)</f>
        <v>0.9</v>
      </c>
      <c r="R3354" s="4">
        <f>IFERROR(__xludf.DUMMYFUNCTION("""COMPUTED_VALUE"""),0.7)</f>
        <v>0.7</v>
      </c>
      <c r="S3354" s="4">
        <f>IFERROR(__xludf.DUMMYFUNCTION("""COMPUTED_VALUE"""),0.6)</f>
        <v>0.6</v>
      </c>
      <c r="T3354" s="4">
        <f>IFERROR(__xludf.DUMMYFUNCTION("""COMPUTED_VALUE"""),0.044)</f>
        <v>0.044</v>
      </c>
      <c r="U3354" s="4">
        <f>IFERROR(__xludf.DUMMYFUNCTION("""COMPUTED_VALUE"""),-2.3)</f>
        <v>-2.3</v>
      </c>
      <c r="V3354" s="4">
        <f>IFERROR(__xludf.DUMMYFUNCTION("""COMPUTED_VALUE"""),0.0)</f>
        <v>0</v>
      </c>
    </row>
    <row r="3355">
      <c r="A3355" s="4">
        <f>IFERROR(__xludf.DUMMYFUNCTION("""COMPUTED_VALUE"""),92.0)</f>
        <v>92</v>
      </c>
      <c r="B3355" s="4">
        <f>IFERROR(__xludf.DUMMYFUNCTION("""COMPUTED_VALUE"""),92.0)</f>
        <v>92</v>
      </c>
      <c r="C3355" s="4" t="str">
        <f>IFERROR(__xludf.DUMMYFUNCTION("""COMPUTED_VALUE"""),"LAL")</f>
        <v>LAL</v>
      </c>
      <c r="D3355" s="4" t="str">
        <f>IFERROR(__xludf.DUMMYFUNCTION("""COMPUTED_VALUE"""),"Terry Lewis")</f>
        <v>Terry Lewis</v>
      </c>
      <c r="E3355" s="4" t="str">
        <f>IFERROR(__xludf.DUMMYFUNCTION("""COMPUTED_VALUE"""),"Mississippi State")</f>
        <v>Mississippi State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</row>
    <row r="3356">
      <c r="A3356" s="4">
        <f>IFERROR(__xludf.DUMMYFUNCTION("""COMPUTED_VALUE"""),93.0)</f>
        <v>93</v>
      </c>
      <c r="B3356" s="4">
        <f>IFERROR(__xludf.DUMMYFUNCTION("""COMPUTED_VALUE"""),93.0)</f>
        <v>93</v>
      </c>
      <c r="C3356" s="4" t="str">
        <f>IFERROR(__xludf.DUMMYFUNCTION("""COMPUTED_VALUE"""),"PHI")</f>
        <v>PHI</v>
      </c>
      <c r="D3356" s="4" t="str">
        <f>IFERROR(__xludf.DUMMYFUNCTION("""COMPUTED_VALUE"""),"Craig Robinson")</f>
        <v>Craig Robinson</v>
      </c>
      <c r="E3356" s="4" t="str">
        <f>IFERROR(__xludf.DUMMYFUNCTION("""COMPUTED_VALUE"""),"Princeton")</f>
        <v>Princeton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</row>
    <row r="3357">
      <c r="A3357" s="4"/>
      <c r="B3357" s="4"/>
      <c r="C3357" s="4"/>
      <c r="D3357" s="4" t="str">
        <f>IFERROR(__xludf.DUMMYFUNCTION("""COMPUTED_VALUE"""),"Round 5")</f>
        <v>Round 5</v>
      </c>
      <c r="E3357" s="4"/>
      <c r="F3357" s="4"/>
      <c r="G3357" s="4" t="str">
        <f>IFERROR(__xludf.DUMMYFUNCTION("""COMPUTED_VALUE"""),"Totals")</f>
        <v>Totals</v>
      </c>
      <c r="H3357" s="4"/>
      <c r="I3357" s="4"/>
      <c r="J3357" s="4"/>
      <c r="K3357" s="4"/>
      <c r="L3357" s="4" t="str">
        <f>IFERROR(__xludf.DUMMYFUNCTION("""COMPUTED_VALUE"""),"Shooting")</f>
        <v>Shooting</v>
      </c>
      <c r="M3357" s="4"/>
      <c r="N3357" s="4"/>
      <c r="O3357" s="4" t="str">
        <f>IFERROR(__xludf.DUMMYFUNCTION("""COMPUTED_VALUE"""),"Per Game")</f>
        <v>Per Game</v>
      </c>
      <c r="P3357" s="4"/>
      <c r="Q3357" s="4"/>
      <c r="R3357" s="4"/>
      <c r="S3357" s="4" t="str">
        <f>IFERROR(__xludf.DUMMYFUNCTION("""COMPUTED_VALUE"""),"Advanced")</f>
        <v>Advanced</v>
      </c>
      <c r="T3357" s="4"/>
      <c r="U3357" s="4"/>
      <c r="V3357" s="4"/>
    </row>
    <row r="3358">
      <c r="A3358" s="4" t="str">
        <f>IFERROR(__xludf.DUMMYFUNCTION("""COMPUTED_VALUE"""),"Rk")</f>
        <v>Rk</v>
      </c>
      <c r="B3358" s="4" t="str">
        <f>IFERROR(__xludf.DUMMYFUNCTION("""COMPUTED_VALUE"""),"Pk")</f>
        <v>Pk</v>
      </c>
      <c r="C3358" s="4" t="str">
        <f>IFERROR(__xludf.DUMMYFUNCTION("""COMPUTED_VALUE"""),"Tm")</f>
        <v>Tm</v>
      </c>
      <c r="D3358" s="4" t="str">
        <f>IFERROR(__xludf.DUMMYFUNCTION("""COMPUTED_VALUE"""),"Player")</f>
        <v>Player</v>
      </c>
      <c r="E3358" s="4" t="str">
        <f>IFERROR(__xludf.DUMMYFUNCTION("""COMPUTED_VALUE"""),"College")</f>
        <v>College</v>
      </c>
      <c r="F3358" s="4" t="str">
        <f>IFERROR(__xludf.DUMMYFUNCTION("""COMPUTED_VALUE"""),"Yrs")</f>
        <v>Yrs</v>
      </c>
      <c r="G3358" s="4" t="str">
        <f>IFERROR(__xludf.DUMMYFUNCTION("""COMPUTED_VALUE"""),"G")</f>
        <v>G</v>
      </c>
      <c r="H3358" s="4" t="str">
        <f>IFERROR(__xludf.DUMMYFUNCTION("""COMPUTED_VALUE"""),"MP")</f>
        <v>MP</v>
      </c>
      <c r="I3358" s="4" t="str">
        <f>IFERROR(__xludf.DUMMYFUNCTION("""COMPUTED_VALUE"""),"PTS")</f>
        <v>PTS</v>
      </c>
      <c r="J3358" s="4" t="str">
        <f>IFERROR(__xludf.DUMMYFUNCTION("""COMPUTED_VALUE"""),"TRB")</f>
        <v>TRB</v>
      </c>
      <c r="K3358" s="4" t="str">
        <f>IFERROR(__xludf.DUMMYFUNCTION("""COMPUTED_VALUE"""),"AST")</f>
        <v>AST</v>
      </c>
      <c r="L3358" s="4" t="str">
        <f>IFERROR(__xludf.DUMMYFUNCTION("""COMPUTED_VALUE"""),"FG%")</f>
        <v>FG%</v>
      </c>
      <c r="M3358" s="4" t="str">
        <f>IFERROR(__xludf.DUMMYFUNCTION("""COMPUTED_VALUE"""),"3P%")</f>
        <v>3P%</v>
      </c>
      <c r="N3358" s="4" t="str">
        <f>IFERROR(__xludf.DUMMYFUNCTION("""COMPUTED_VALUE"""),"FT%")</f>
        <v>FT%</v>
      </c>
      <c r="O3358" s="4" t="str">
        <f>IFERROR(__xludf.DUMMYFUNCTION("""COMPUTED_VALUE"""),"MP")</f>
        <v>MP</v>
      </c>
      <c r="P3358" s="4" t="str">
        <f>IFERROR(__xludf.DUMMYFUNCTION("""COMPUTED_VALUE"""),"PTS")</f>
        <v>PTS</v>
      </c>
      <c r="Q3358" s="4" t="str">
        <f>IFERROR(__xludf.DUMMYFUNCTION("""COMPUTED_VALUE"""),"TRB")</f>
        <v>TRB</v>
      </c>
      <c r="R3358" s="4" t="str">
        <f>IFERROR(__xludf.DUMMYFUNCTION("""COMPUTED_VALUE"""),"AST")</f>
        <v>AST</v>
      </c>
      <c r="S3358" s="4" t="str">
        <f>IFERROR(__xludf.DUMMYFUNCTION("""COMPUTED_VALUE"""),"WS")</f>
        <v>WS</v>
      </c>
      <c r="T3358" s="4" t="str">
        <f>IFERROR(__xludf.DUMMYFUNCTION("""COMPUTED_VALUE"""),"WS/48")</f>
        <v>WS/48</v>
      </c>
      <c r="U3358" s="4" t="str">
        <f>IFERROR(__xludf.DUMMYFUNCTION("""COMPUTED_VALUE"""),"BPM")</f>
        <v>BPM</v>
      </c>
      <c r="V3358" s="4" t="str">
        <f>IFERROR(__xludf.DUMMYFUNCTION("""COMPUTED_VALUE"""),"VORP")</f>
        <v>VORP</v>
      </c>
    </row>
    <row r="3359">
      <c r="A3359" s="4">
        <f>IFERROR(__xludf.DUMMYFUNCTION("""COMPUTED_VALUE"""),94.0)</f>
        <v>94</v>
      </c>
      <c r="B3359" s="4">
        <f>IFERROR(__xludf.DUMMYFUNCTION("""COMPUTED_VALUE"""),94.0)</f>
        <v>94</v>
      </c>
      <c r="C3359" s="4" t="str">
        <f>IFERROR(__xludf.DUMMYFUNCTION("""COMPUTED_VALUE"""),"HOU")</f>
        <v>HOU</v>
      </c>
      <c r="D3359" s="4" t="str">
        <f>IFERROR(__xludf.DUMMYFUNCTION("""COMPUTED_VALUE"""),"Chuck Barnett")</f>
        <v>Chuck Barnett</v>
      </c>
      <c r="E3359" s="4" t="str">
        <f>IFERROR(__xludf.DUMMYFUNCTION("""COMPUTED_VALUE"""),"Oklahoma")</f>
        <v>Oklahoma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</row>
    <row r="3360">
      <c r="A3360" s="4">
        <f>IFERROR(__xludf.DUMMYFUNCTION("""COMPUTED_VALUE"""),95.0)</f>
        <v>95</v>
      </c>
      <c r="B3360" s="4">
        <f>IFERROR(__xludf.DUMMYFUNCTION("""COMPUTED_VALUE"""),95.0)</f>
        <v>95</v>
      </c>
      <c r="C3360" s="4" t="str">
        <f>IFERROR(__xludf.DUMMYFUNCTION("""COMPUTED_VALUE"""),"IND")</f>
        <v>IND</v>
      </c>
      <c r="D3360" s="4" t="str">
        <f>IFERROR(__xludf.DUMMYFUNCTION("""COMPUTED_VALUE"""),"Roger Stieg")</f>
        <v>Roger Stieg</v>
      </c>
      <c r="E3360" s="4" t="str">
        <f>IFERROR(__xludf.DUMMYFUNCTION("""COMPUTED_VALUE"""),"Ole Miss")</f>
        <v>Ole Miss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</row>
    <row r="3361">
      <c r="A3361" s="4">
        <f>IFERROR(__xludf.DUMMYFUNCTION("""COMPUTED_VALUE"""),96.0)</f>
        <v>96</v>
      </c>
      <c r="B3361" s="4">
        <f>IFERROR(__xludf.DUMMYFUNCTION("""COMPUTED_VALUE"""),96.0)</f>
        <v>96</v>
      </c>
      <c r="C3361" s="4" t="str">
        <f>IFERROR(__xludf.DUMMYFUNCTION("""COMPUTED_VALUE"""),"CLE")</f>
        <v>CLE</v>
      </c>
      <c r="D3361" s="4" t="str">
        <f>IFERROR(__xludf.DUMMYFUNCTION("""COMPUTED_VALUE"""),"Chris Logan")</f>
        <v>Chris Logan</v>
      </c>
      <c r="E3361" s="4" t="str">
        <f>IFERROR(__xludf.DUMMYFUNCTION("""COMPUTED_VALUE"""),"Holy Cross")</f>
        <v>Holy Cross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</row>
    <row r="3362">
      <c r="A3362" s="4">
        <f>IFERROR(__xludf.DUMMYFUNCTION("""COMPUTED_VALUE"""),97.0)</f>
        <v>97</v>
      </c>
      <c r="B3362" s="4">
        <f>IFERROR(__xludf.DUMMYFUNCTION("""COMPUTED_VALUE"""),97.0)</f>
        <v>97</v>
      </c>
      <c r="C3362" s="4" t="str">
        <f>IFERROR(__xludf.DUMMYFUNCTION("""COMPUTED_VALUE"""),"SDC")</f>
        <v>SDC</v>
      </c>
      <c r="D3362" s="4" t="str">
        <f>IFERROR(__xludf.DUMMYFUNCTION("""COMPUTED_VALUE"""),"Manute Bol")</f>
        <v>Manute Bol</v>
      </c>
      <c r="E3362" s="4"/>
      <c r="F3362" s="4">
        <f>IFERROR(__xludf.DUMMYFUNCTION("""COMPUTED_VALUE"""),10.0)</f>
        <v>10</v>
      </c>
      <c r="G3362" s="4">
        <f>IFERROR(__xludf.DUMMYFUNCTION("""COMPUTED_VALUE"""),624.0)</f>
        <v>624</v>
      </c>
      <c r="H3362" s="4">
        <f>IFERROR(__xludf.DUMMYFUNCTION("""COMPUTED_VALUE"""),11698.0)</f>
        <v>11698</v>
      </c>
      <c r="I3362" s="4">
        <f>IFERROR(__xludf.DUMMYFUNCTION("""COMPUTED_VALUE"""),1599.0)</f>
        <v>1599</v>
      </c>
      <c r="J3362" s="4">
        <f>IFERROR(__xludf.DUMMYFUNCTION("""COMPUTED_VALUE"""),2647.0)</f>
        <v>2647</v>
      </c>
      <c r="K3362" s="4">
        <f>IFERROR(__xludf.DUMMYFUNCTION("""COMPUTED_VALUE"""),171.0)</f>
        <v>171</v>
      </c>
      <c r="L3362" s="4">
        <f>IFERROR(__xludf.DUMMYFUNCTION("""COMPUTED_VALUE"""),0.407)</f>
        <v>0.407</v>
      </c>
      <c r="M3362" s="4">
        <f>IFERROR(__xludf.DUMMYFUNCTION("""COMPUTED_VALUE"""),0.21)</f>
        <v>0.21</v>
      </c>
      <c r="N3362" s="4">
        <f>IFERROR(__xludf.DUMMYFUNCTION("""COMPUTED_VALUE"""),0.561)</f>
        <v>0.561</v>
      </c>
      <c r="O3362" s="4">
        <f>IFERROR(__xludf.DUMMYFUNCTION("""COMPUTED_VALUE"""),18.7)</f>
        <v>18.7</v>
      </c>
      <c r="P3362" s="4">
        <f>IFERROR(__xludf.DUMMYFUNCTION("""COMPUTED_VALUE"""),2.6)</f>
        <v>2.6</v>
      </c>
      <c r="Q3362" s="4">
        <f>IFERROR(__xludf.DUMMYFUNCTION("""COMPUTED_VALUE"""),4.2)</f>
        <v>4.2</v>
      </c>
      <c r="R3362" s="4">
        <f>IFERROR(__xludf.DUMMYFUNCTION("""COMPUTED_VALUE"""),0.3)</f>
        <v>0.3</v>
      </c>
      <c r="S3362" s="4">
        <f>IFERROR(__xludf.DUMMYFUNCTION("""COMPUTED_VALUE"""),12.3)</f>
        <v>12.3</v>
      </c>
      <c r="T3362" s="4">
        <f>IFERROR(__xludf.DUMMYFUNCTION("""COMPUTED_VALUE"""),0.051)</f>
        <v>0.051</v>
      </c>
      <c r="U3362" s="4">
        <f>IFERROR(__xludf.DUMMYFUNCTION("""COMPUTED_VALUE"""),-0.5)</f>
        <v>-0.5</v>
      </c>
      <c r="V3362" s="4">
        <f>IFERROR(__xludf.DUMMYFUNCTION("""COMPUTED_VALUE"""),4.5)</f>
        <v>4.5</v>
      </c>
    </row>
    <row r="3363">
      <c r="A3363" s="4">
        <f>IFERROR(__xludf.DUMMYFUNCTION("""COMPUTED_VALUE"""),98.0)</f>
        <v>98</v>
      </c>
      <c r="B3363" s="4">
        <f>IFERROR(__xludf.DUMMYFUNCTION("""COMPUTED_VALUE"""),98.0)</f>
        <v>98</v>
      </c>
      <c r="C3363" s="4" t="str">
        <f>IFERROR(__xludf.DUMMYFUNCTION("""COMPUTED_VALUE"""),"CHI")</f>
        <v>CHI</v>
      </c>
      <c r="D3363" s="4" t="str">
        <f>IFERROR(__xludf.DUMMYFUNCTION("""COMPUTED_VALUE"""),"Tim Andree")</f>
        <v>Tim Andree</v>
      </c>
      <c r="E3363" s="4" t="str">
        <f>IFERROR(__xludf.DUMMYFUNCTION("""COMPUTED_VALUE"""),"Notre Dame")</f>
        <v>Notre Dame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</row>
    <row r="3364">
      <c r="A3364" s="4">
        <f>IFERROR(__xludf.DUMMYFUNCTION("""COMPUTED_VALUE"""),99.0)</f>
        <v>99</v>
      </c>
      <c r="B3364" s="4">
        <f>IFERROR(__xludf.DUMMYFUNCTION("""COMPUTED_VALUE"""),99.0)</f>
        <v>99</v>
      </c>
      <c r="C3364" s="4" t="str">
        <f>IFERROR(__xludf.DUMMYFUNCTION("""COMPUTED_VALUE"""),"GSW")</f>
        <v>GSW</v>
      </c>
      <c r="D3364" s="4" t="str">
        <f>IFERROR(__xludf.DUMMYFUNCTION("""COMPUTED_VALUE"""),"Greg Hines")</f>
        <v>Greg Hines</v>
      </c>
      <c r="E3364" s="4" t="str">
        <f>IFERROR(__xludf.DUMMYFUNCTION("""COMPUTED_VALUE"""),"Hampton")</f>
        <v>Hampton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</row>
    <row r="3365">
      <c r="A3365" s="4">
        <f>IFERROR(__xludf.DUMMYFUNCTION("""COMPUTED_VALUE"""),100.0)</f>
        <v>100</v>
      </c>
      <c r="B3365" s="4">
        <f>IFERROR(__xludf.DUMMYFUNCTION("""COMPUTED_VALUE"""),100.0)</f>
        <v>100</v>
      </c>
      <c r="C3365" s="4" t="str">
        <f>IFERROR(__xludf.DUMMYFUNCTION("""COMPUTED_VALUE"""),"UTA")</f>
        <v>UTA</v>
      </c>
      <c r="D3365" s="4" t="str">
        <f>IFERROR(__xludf.DUMMYFUNCTION("""COMPUTED_VALUE"""),"Matt Clark")</f>
        <v>Matt Clark</v>
      </c>
      <c r="E3365" s="4" t="str">
        <f>IFERROR(__xludf.DUMMYFUNCTION("""COMPUTED_VALUE"""),"Oklahoma State")</f>
        <v>Oklahoma State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</row>
    <row r="3366">
      <c r="A3366" s="4">
        <f>IFERROR(__xludf.DUMMYFUNCTION("""COMPUTED_VALUE"""),101.0)</f>
        <v>101</v>
      </c>
      <c r="B3366" s="4">
        <f>IFERROR(__xludf.DUMMYFUNCTION("""COMPUTED_VALUE"""),101.0)</f>
        <v>101</v>
      </c>
      <c r="C3366" s="4" t="str">
        <f>IFERROR(__xludf.DUMMYFUNCTION("""COMPUTED_VALUE"""),"DET")</f>
        <v>DET</v>
      </c>
      <c r="D3366" s="4" t="str">
        <f>IFERROR(__xludf.DUMMYFUNCTION("""COMPUTED_VALUE"""),"Ken Austin")</f>
        <v>Ken Austin</v>
      </c>
      <c r="E3366" s="4" t="str">
        <f>IFERROR(__xludf.DUMMYFUNCTION("""COMPUTED_VALUE"""),"Rice University")</f>
        <v>Rice University</v>
      </c>
      <c r="F3366" s="4">
        <f>IFERROR(__xludf.DUMMYFUNCTION("""COMPUTED_VALUE"""),1.0)</f>
        <v>1</v>
      </c>
      <c r="G3366" s="4">
        <f>IFERROR(__xludf.DUMMYFUNCTION("""COMPUTED_VALUE"""),7.0)</f>
        <v>7</v>
      </c>
      <c r="H3366" s="4">
        <f>IFERROR(__xludf.DUMMYFUNCTION("""COMPUTED_VALUE"""),28.0)</f>
        <v>28</v>
      </c>
      <c r="I3366" s="4">
        <f>IFERROR(__xludf.DUMMYFUNCTION("""COMPUTED_VALUE"""),12.0)</f>
        <v>12</v>
      </c>
      <c r="J3366" s="4">
        <f>IFERROR(__xludf.DUMMYFUNCTION("""COMPUTED_VALUE"""),3.0)</f>
        <v>3</v>
      </c>
      <c r="K3366" s="4">
        <f>IFERROR(__xludf.DUMMYFUNCTION("""COMPUTED_VALUE"""),1.0)</f>
        <v>1</v>
      </c>
      <c r="L3366" s="4">
        <f>IFERROR(__xludf.DUMMYFUNCTION("""COMPUTED_VALUE"""),0.462)</f>
        <v>0.462</v>
      </c>
      <c r="M3366" s="4"/>
      <c r="N3366" s="4"/>
      <c r="O3366" s="4">
        <f>IFERROR(__xludf.DUMMYFUNCTION("""COMPUTED_VALUE"""),4.0)</f>
        <v>4</v>
      </c>
      <c r="P3366" s="4">
        <f>IFERROR(__xludf.DUMMYFUNCTION("""COMPUTED_VALUE"""),1.7)</f>
        <v>1.7</v>
      </c>
      <c r="Q3366" s="4">
        <f>IFERROR(__xludf.DUMMYFUNCTION("""COMPUTED_VALUE"""),0.4)</f>
        <v>0.4</v>
      </c>
      <c r="R3366" s="4">
        <f>IFERROR(__xludf.DUMMYFUNCTION("""COMPUTED_VALUE"""),0.1)</f>
        <v>0.1</v>
      </c>
      <c r="S3366" s="4">
        <f>IFERROR(__xludf.DUMMYFUNCTION("""COMPUTED_VALUE"""),0.0)</f>
        <v>0</v>
      </c>
      <c r="T3366" s="4">
        <f>IFERROR(__xludf.DUMMYFUNCTION("""COMPUTED_VALUE"""),-0.046)</f>
        <v>-0.046</v>
      </c>
      <c r="U3366" s="4">
        <f>IFERROR(__xludf.DUMMYFUNCTION("""COMPUTED_VALUE"""),-4.9)</f>
        <v>-4.9</v>
      </c>
      <c r="V3366" s="4">
        <f>IFERROR(__xludf.DUMMYFUNCTION("""COMPUTED_VALUE"""),0.0)</f>
        <v>0</v>
      </c>
    </row>
    <row r="3367">
      <c r="A3367" s="4">
        <f>IFERROR(__xludf.DUMMYFUNCTION("""COMPUTED_VALUE"""),102.0)</f>
        <v>102</v>
      </c>
      <c r="B3367" s="4">
        <f>IFERROR(__xludf.DUMMYFUNCTION("""COMPUTED_VALUE"""),102.0)</f>
        <v>102</v>
      </c>
      <c r="C3367" s="4" t="str">
        <f>IFERROR(__xludf.DUMMYFUNCTION("""COMPUTED_VALUE"""),"DAL")</f>
        <v>DAL</v>
      </c>
      <c r="D3367" s="4" t="str">
        <f>IFERROR(__xludf.DUMMYFUNCTION("""COMPUTED_VALUE"""),"Jim Lampley")</f>
        <v>Jim Lampley</v>
      </c>
      <c r="E3367" s="4" t="str">
        <f>IFERROR(__xludf.DUMMYFUNCTION("""COMPUTED_VALUE"""),"Little Rock")</f>
        <v>Little Rock</v>
      </c>
      <c r="F3367" s="4">
        <f>IFERROR(__xludf.DUMMYFUNCTION("""COMPUTED_VALUE"""),1.0)</f>
        <v>1</v>
      </c>
      <c r="G3367" s="4">
        <f>IFERROR(__xludf.DUMMYFUNCTION("""COMPUTED_VALUE"""),1.0)</f>
        <v>1</v>
      </c>
      <c r="H3367" s="4">
        <f>IFERROR(__xludf.DUMMYFUNCTION("""COMPUTED_VALUE"""),16.0)</f>
        <v>16</v>
      </c>
      <c r="I3367" s="4">
        <f>IFERROR(__xludf.DUMMYFUNCTION("""COMPUTED_VALUE"""),3.0)</f>
        <v>3</v>
      </c>
      <c r="J3367" s="4">
        <f>IFERROR(__xludf.DUMMYFUNCTION("""COMPUTED_VALUE"""),5.0)</f>
        <v>5</v>
      </c>
      <c r="K3367" s="4">
        <f>IFERROR(__xludf.DUMMYFUNCTION("""COMPUTED_VALUE"""),0.0)</f>
        <v>0</v>
      </c>
      <c r="L3367" s="4">
        <f>IFERROR(__xludf.DUMMYFUNCTION("""COMPUTED_VALUE"""),0.333)</f>
        <v>0.333</v>
      </c>
      <c r="M3367" s="4"/>
      <c r="N3367" s="4">
        <f>IFERROR(__xludf.DUMMYFUNCTION("""COMPUTED_VALUE"""),0.5)</f>
        <v>0.5</v>
      </c>
      <c r="O3367" s="4">
        <f>IFERROR(__xludf.DUMMYFUNCTION("""COMPUTED_VALUE"""),16.0)</f>
        <v>16</v>
      </c>
      <c r="P3367" s="4">
        <f>IFERROR(__xludf.DUMMYFUNCTION("""COMPUTED_VALUE"""),3.0)</f>
        <v>3</v>
      </c>
      <c r="Q3367" s="4">
        <f>IFERROR(__xludf.DUMMYFUNCTION("""COMPUTED_VALUE"""),5.0)</f>
        <v>5</v>
      </c>
      <c r="R3367" s="4">
        <f>IFERROR(__xludf.DUMMYFUNCTION("""COMPUTED_VALUE"""),0.0)</f>
        <v>0</v>
      </c>
      <c r="S3367" s="4">
        <f>IFERROR(__xludf.DUMMYFUNCTION("""COMPUTED_VALUE"""),0.0)</f>
        <v>0</v>
      </c>
      <c r="T3367" s="4">
        <f>IFERROR(__xludf.DUMMYFUNCTION("""COMPUTED_VALUE"""),-0.003)</f>
        <v>-0.003</v>
      </c>
      <c r="U3367" s="4">
        <f>IFERROR(__xludf.DUMMYFUNCTION("""COMPUTED_VALUE"""),-5.6)</f>
        <v>-5.6</v>
      </c>
      <c r="V3367" s="4">
        <f>IFERROR(__xludf.DUMMYFUNCTION("""COMPUTED_VALUE"""),0.0)</f>
        <v>0</v>
      </c>
    </row>
    <row r="3368">
      <c r="A3368" s="4">
        <f>IFERROR(__xludf.DUMMYFUNCTION("""COMPUTED_VALUE"""),103.0)</f>
        <v>103</v>
      </c>
      <c r="B3368" s="4">
        <f>IFERROR(__xludf.DUMMYFUNCTION("""COMPUTED_VALUE"""),103.0)</f>
        <v>103</v>
      </c>
      <c r="C3368" s="4" t="str">
        <f>IFERROR(__xludf.DUMMYFUNCTION("""COMPUTED_VALUE"""),"WSB")</f>
        <v>WSB</v>
      </c>
      <c r="D3368" s="4" t="str">
        <f>IFERROR(__xludf.DUMMYFUNCTION("""COMPUTED_VALUE"""),"Robin Dixon")</f>
        <v>Robin Dixon</v>
      </c>
      <c r="E3368" s="4" t="str">
        <f>IFERROR(__xludf.DUMMYFUNCTION("""COMPUTED_VALUE"""),"University of New Hampshire")</f>
        <v>University of New Hampshire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</row>
    <row r="3369">
      <c r="A3369" s="4">
        <f>IFERROR(__xludf.DUMMYFUNCTION("""COMPUTED_VALUE"""),104.0)</f>
        <v>104</v>
      </c>
      <c r="B3369" s="4">
        <f>IFERROR(__xludf.DUMMYFUNCTION("""COMPUTED_VALUE"""),104.0)</f>
        <v>104</v>
      </c>
      <c r="C3369" s="4" t="str">
        <f>IFERROR(__xludf.DUMMYFUNCTION("""COMPUTED_VALUE"""),"ATL")</f>
        <v>ATL</v>
      </c>
      <c r="D3369" s="4" t="str">
        <f>IFERROR(__xludf.DUMMYFUNCTION("""COMPUTED_VALUE"""),"Charles Jones")</f>
        <v>Charles Jones</v>
      </c>
      <c r="E3369" s="4" t="str">
        <f>IFERROR(__xludf.DUMMYFUNCTION("""COMPUTED_VALUE"""),"Oklahoma")</f>
        <v>Oklahoma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</row>
    <row r="3370">
      <c r="A3370" s="4">
        <f>IFERROR(__xludf.DUMMYFUNCTION("""COMPUTED_VALUE"""),105.0)</f>
        <v>105</v>
      </c>
      <c r="B3370" s="4">
        <f>IFERROR(__xludf.DUMMYFUNCTION("""COMPUTED_VALUE"""),105.0)</f>
        <v>105</v>
      </c>
      <c r="C3370" s="4" t="str">
        <f>IFERROR(__xludf.DUMMYFUNCTION("""COMPUTED_VALUE"""),"NYK")</f>
        <v>NYK</v>
      </c>
      <c r="D3370" s="4" t="str">
        <f>IFERROR(__xludf.DUMMYFUNCTION("""COMPUTED_VALUE"""),"Troy Lee Mikell")</f>
        <v>Troy Lee Mikell</v>
      </c>
      <c r="E3370" s="4" t="str">
        <f>IFERROR(__xludf.DUMMYFUNCTION("""COMPUTED_VALUE"""),"East Tennessee State University")</f>
        <v>East Tennessee State University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</row>
    <row r="3371">
      <c r="A3371" s="4">
        <f>IFERROR(__xludf.DUMMYFUNCTION("""COMPUTED_VALUE"""),106.0)</f>
        <v>106</v>
      </c>
      <c r="B3371" s="4">
        <f>IFERROR(__xludf.DUMMYFUNCTION("""COMPUTED_VALUE"""),106.0)</f>
        <v>106</v>
      </c>
      <c r="C3371" s="4" t="str">
        <f>IFERROR(__xludf.DUMMYFUNCTION("""COMPUTED_VALUE"""),"KCK")</f>
        <v>KCK</v>
      </c>
      <c r="D3371" s="4" t="str">
        <f>IFERROR(__xludf.DUMMYFUNCTION("""COMPUTED_VALUE"""),"Lorenza Andrews")</f>
        <v>Lorenza Andrews</v>
      </c>
      <c r="E3371" s="4" t="str">
        <f>IFERROR(__xludf.DUMMYFUNCTION("""COMPUTED_VALUE"""),"Oklahoma State")</f>
        <v>Oklahoma State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</row>
    <row r="3372">
      <c r="A3372" s="4">
        <f>IFERROR(__xludf.DUMMYFUNCTION("""COMPUTED_VALUE"""),107.0)</f>
        <v>107</v>
      </c>
      <c r="B3372" s="4">
        <f>IFERROR(__xludf.DUMMYFUNCTION("""COMPUTED_VALUE"""),107.0)</f>
        <v>107</v>
      </c>
      <c r="C3372" s="4" t="str">
        <f>IFERROR(__xludf.DUMMYFUNCTION("""COMPUTED_VALUE"""),"DEN")</f>
        <v>DEN</v>
      </c>
      <c r="D3372" s="4" t="str">
        <f>IFERROR(__xludf.DUMMYFUNCTION("""COMPUTED_VALUE"""),"James Braddock")</f>
        <v>James Braddock</v>
      </c>
      <c r="E3372" s="4" t="str">
        <f>IFERROR(__xludf.DUMMYFUNCTION("""COMPUTED_VALUE"""),"UNC")</f>
        <v>UNC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</row>
    <row r="3373">
      <c r="A3373" s="4">
        <f>IFERROR(__xludf.DUMMYFUNCTION("""COMPUTED_VALUE"""),108.0)</f>
        <v>108</v>
      </c>
      <c r="B3373" s="4">
        <f>IFERROR(__xludf.DUMMYFUNCTION("""COMPUTED_VALUE"""),108.0)</f>
        <v>108</v>
      </c>
      <c r="C3373" s="4" t="str">
        <f>IFERROR(__xludf.DUMMYFUNCTION("""COMPUTED_VALUE"""),"POR")</f>
        <v>POR</v>
      </c>
      <c r="D3373" s="4" t="str">
        <f>IFERROR(__xludf.DUMMYFUNCTION("""COMPUTED_VALUE"""),"Gary Monroe")</f>
        <v>Gary Monroe</v>
      </c>
      <c r="E3373" s="4" t="str">
        <f>IFERROR(__xludf.DUMMYFUNCTION("""COMPUTED_VALUE"""),"Wright State University")</f>
        <v>Wright State University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</row>
    <row r="3374">
      <c r="A3374" s="4">
        <f>IFERROR(__xludf.DUMMYFUNCTION("""COMPUTED_VALUE"""),109.0)</f>
        <v>109</v>
      </c>
      <c r="B3374" s="4">
        <f>IFERROR(__xludf.DUMMYFUNCTION("""COMPUTED_VALUE"""),109.0)</f>
        <v>109</v>
      </c>
      <c r="C3374" s="4" t="str">
        <f>IFERROR(__xludf.DUMMYFUNCTION("""COMPUTED_VALUE"""),"SEA")</f>
        <v>SEA</v>
      </c>
      <c r="D3374" s="4" t="str">
        <f>IFERROR(__xludf.DUMMYFUNCTION("""COMPUTED_VALUE"""),"Brad Watson")</f>
        <v>Brad Watson</v>
      </c>
      <c r="E3374" s="4" t="str">
        <f>IFERROR(__xludf.DUMMYFUNCTION("""COMPUTED_VALUE"""),"Washington")</f>
        <v>Washington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</row>
    <row r="3375">
      <c r="A3375" s="4">
        <f>IFERROR(__xludf.DUMMYFUNCTION("""COMPUTED_VALUE"""),110.0)</f>
        <v>110</v>
      </c>
      <c r="B3375" s="4">
        <f>IFERROR(__xludf.DUMMYFUNCTION("""COMPUTED_VALUE"""),110.0)</f>
        <v>110</v>
      </c>
      <c r="C3375" s="4" t="str">
        <f>IFERROR(__xludf.DUMMYFUNCTION("""COMPUTED_VALUE"""),"NJN")</f>
        <v>NJN</v>
      </c>
      <c r="D3375" s="4" t="str">
        <f>IFERROR(__xludf.DUMMYFUNCTION("""COMPUTED_VALUE"""),"Tyren Naulls")</f>
        <v>Tyren Naulls</v>
      </c>
      <c r="E3375" s="4" t="str">
        <f>IFERROR(__xludf.DUMMYFUNCTION("""COMPUTED_VALUE"""),"Texas A&amp;M")</f>
        <v>Texas A&amp;M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</row>
    <row r="3376">
      <c r="A3376" s="4">
        <f>IFERROR(__xludf.DUMMYFUNCTION("""COMPUTED_VALUE"""),111.0)</f>
        <v>111</v>
      </c>
      <c r="B3376" s="4">
        <f>IFERROR(__xludf.DUMMYFUNCTION("""COMPUTED_VALUE"""),111.0)</f>
        <v>111</v>
      </c>
      <c r="C3376" s="4" t="str">
        <f>IFERROR(__xludf.DUMMYFUNCTION("""COMPUTED_VALUE"""),"MIL")</f>
        <v>MIL</v>
      </c>
      <c r="D3376" s="4" t="str">
        <f>IFERROR(__xludf.DUMMYFUNCTION("""COMPUTED_VALUE"""),"Mark Petteway")</f>
        <v>Mark Petteway</v>
      </c>
      <c r="E3376" s="4" t="str">
        <f>IFERROR(__xludf.DUMMYFUNCTION("""COMPUTED_VALUE"""),"New Orleans")</f>
        <v>New Orleans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</row>
    <row r="3377">
      <c r="A3377" s="4">
        <f>IFERROR(__xludf.DUMMYFUNCTION("""COMPUTED_VALUE"""),112.0)</f>
        <v>112</v>
      </c>
      <c r="B3377" s="4">
        <f>IFERROR(__xludf.DUMMYFUNCTION("""COMPUTED_VALUE"""),112.0)</f>
        <v>112</v>
      </c>
      <c r="C3377" s="4" t="str">
        <f>IFERROR(__xludf.DUMMYFUNCTION("""COMPUTED_VALUE"""),"SAS")</f>
        <v>SAS</v>
      </c>
      <c r="D3377" s="4" t="str">
        <f>IFERROR(__xludf.DUMMYFUNCTION("""COMPUTED_VALUE"""),"Jeff Pehl")</f>
        <v>Jeff Pehl</v>
      </c>
      <c r="E3377" s="4" t="str">
        <f>IFERROR(__xludf.DUMMYFUNCTION("""COMPUTED_VALUE"""),"Richmond")</f>
        <v>Richmond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</row>
    <row r="3378">
      <c r="A3378" s="4">
        <f>IFERROR(__xludf.DUMMYFUNCTION("""COMPUTED_VALUE"""),113.0)</f>
        <v>113</v>
      </c>
      <c r="B3378" s="4">
        <f>IFERROR(__xludf.DUMMYFUNCTION("""COMPUTED_VALUE"""),113.0)</f>
        <v>113</v>
      </c>
      <c r="C3378" s="4" t="str">
        <f>IFERROR(__xludf.DUMMYFUNCTION("""COMPUTED_VALUE"""),"PHO")</f>
        <v>PHO</v>
      </c>
      <c r="D3378" s="4" t="str">
        <f>IFERROR(__xludf.DUMMYFUNCTION("""COMPUTED_VALUE"""),"Rick Lamb")</f>
        <v>Rick Lamb</v>
      </c>
      <c r="E3378" s="4" t="str">
        <f>IFERROR(__xludf.DUMMYFUNCTION("""COMPUTED_VALUE"""),"Illinois State")</f>
        <v>Illinois State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</row>
    <row r="3379">
      <c r="A3379" s="4">
        <f>IFERROR(__xludf.DUMMYFUNCTION("""COMPUTED_VALUE"""),114.0)</f>
        <v>114</v>
      </c>
      <c r="B3379" s="4">
        <f>IFERROR(__xludf.DUMMYFUNCTION("""COMPUTED_VALUE"""),114.0)</f>
        <v>114</v>
      </c>
      <c r="C3379" s="4" t="str">
        <f>IFERROR(__xludf.DUMMYFUNCTION("""COMPUTED_VALUE"""),"BOS")</f>
        <v>BOS</v>
      </c>
      <c r="D3379" s="4" t="str">
        <f>IFERROR(__xludf.DUMMYFUNCTION("""COMPUTED_VALUE"""),"Bob Reitz")</f>
        <v>Bob Reitz</v>
      </c>
      <c r="E3379" s="4" t="str">
        <f>IFERROR(__xludf.DUMMYFUNCTION("""COMPUTED_VALUE"""),"Stonehill College")</f>
        <v>Stonehill College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</row>
    <row r="3380">
      <c r="A3380" s="4">
        <f>IFERROR(__xludf.DUMMYFUNCTION("""COMPUTED_VALUE"""),115.0)</f>
        <v>115</v>
      </c>
      <c r="B3380" s="4">
        <f>IFERROR(__xludf.DUMMYFUNCTION("""COMPUTED_VALUE"""),115.0)</f>
        <v>115</v>
      </c>
      <c r="C3380" s="4" t="str">
        <f>IFERROR(__xludf.DUMMYFUNCTION("""COMPUTED_VALUE"""),"LAL")</f>
        <v>LAL</v>
      </c>
      <c r="D3380" s="4" t="str">
        <f>IFERROR(__xludf.DUMMYFUNCTION("""COMPUTED_VALUE"""),"Danny Dixon")</f>
        <v>Danny Dixon</v>
      </c>
      <c r="E3380" s="4" t="str">
        <f>IFERROR(__xludf.DUMMYFUNCTION("""COMPUTED_VALUE"""),"Alabama A&amp;M University")</f>
        <v>Alabama A&amp;M University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</row>
    <row r="3381">
      <c r="A3381" s="4">
        <f>IFERROR(__xludf.DUMMYFUNCTION("""COMPUTED_VALUE"""),116.0)</f>
        <v>116</v>
      </c>
      <c r="B3381" s="4">
        <f>IFERROR(__xludf.DUMMYFUNCTION("""COMPUTED_VALUE"""),116.0)</f>
        <v>116</v>
      </c>
      <c r="C3381" s="4" t="str">
        <f>IFERROR(__xludf.DUMMYFUNCTION("""COMPUTED_VALUE"""),"PHI")</f>
        <v>PHI</v>
      </c>
      <c r="D3381" s="4" t="str">
        <f>IFERROR(__xludf.DUMMYFUNCTION("""COMPUTED_VALUE"""),"Mike Milligan")</f>
        <v>Mike Milligan</v>
      </c>
      <c r="E3381" s="4" t="str">
        <f>IFERROR(__xludf.DUMMYFUNCTION("""COMPUTED_VALUE"""),"Tennessee State")</f>
        <v>Tennessee State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</row>
    <row r="3382">
      <c r="A3382" s="4"/>
      <c r="B3382" s="4"/>
      <c r="C3382" s="4"/>
      <c r="D3382" s="4" t="str">
        <f>IFERROR(__xludf.DUMMYFUNCTION("""COMPUTED_VALUE"""),"Round 6")</f>
        <v>Round 6</v>
      </c>
      <c r="E3382" s="4"/>
      <c r="F3382" s="4"/>
      <c r="G3382" s="4" t="str">
        <f>IFERROR(__xludf.DUMMYFUNCTION("""COMPUTED_VALUE"""),"Totals")</f>
        <v>Totals</v>
      </c>
      <c r="H3382" s="4"/>
      <c r="I3382" s="4"/>
      <c r="J3382" s="4"/>
      <c r="K3382" s="4"/>
      <c r="L3382" s="4" t="str">
        <f>IFERROR(__xludf.DUMMYFUNCTION("""COMPUTED_VALUE"""),"Shooting")</f>
        <v>Shooting</v>
      </c>
      <c r="M3382" s="4"/>
      <c r="N3382" s="4"/>
      <c r="O3382" s="4" t="str">
        <f>IFERROR(__xludf.DUMMYFUNCTION("""COMPUTED_VALUE"""),"Per Game")</f>
        <v>Per Game</v>
      </c>
      <c r="P3382" s="4"/>
      <c r="Q3382" s="4"/>
      <c r="R3382" s="4"/>
      <c r="S3382" s="4" t="str">
        <f>IFERROR(__xludf.DUMMYFUNCTION("""COMPUTED_VALUE"""),"Advanced")</f>
        <v>Advanced</v>
      </c>
      <c r="T3382" s="4"/>
      <c r="U3382" s="4"/>
      <c r="V3382" s="4"/>
    </row>
    <row r="3383">
      <c r="A3383" s="4" t="str">
        <f>IFERROR(__xludf.DUMMYFUNCTION("""COMPUTED_VALUE"""),"Rk")</f>
        <v>Rk</v>
      </c>
      <c r="B3383" s="4" t="str">
        <f>IFERROR(__xludf.DUMMYFUNCTION("""COMPUTED_VALUE"""),"Pk")</f>
        <v>Pk</v>
      </c>
      <c r="C3383" s="4" t="str">
        <f>IFERROR(__xludf.DUMMYFUNCTION("""COMPUTED_VALUE"""),"Tm")</f>
        <v>Tm</v>
      </c>
      <c r="D3383" s="4" t="str">
        <f>IFERROR(__xludf.DUMMYFUNCTION("""COMPUTED_VALUE"""),"Player")</f>
        <v>Player</v>
      </c>
      <c r="E3383" s="4" t="str">
        <f>IFERROR(__xludf.DUMMYFUNCTION("""COMPUTED_VALUE"""),"College")</f>
        <v>College</v>
      </c>
      <c r="F3383" s="4" t="str">
        <f>IFERROR(__xludf.DUMMYFUNCTION("""COMPUTED_VALUE"""),"Yrs")</f>
        <v>Yrs</v>
      </c>
      <c r="G3383" s="4" t="str">
        <f>IFERROR(__xludf.DUMMYFUNCTION("""COMPUTED_VALUE"""),"G")</f>
        <v>G</v>
      </c>
      <c r="H3383" s="4" t="str">
        <f>IFERROR(__xludf.DUMMYFUNCTION("""COMPUTED_VALUE"""),"MP")</f>
        <v>MP</v>
      </c>
      <c r="I3383" s="4" t="str">
        <f>IFERROR(__xludf.DUMMYFUNCTION("""COMPUTED_VALUE"""),"PTS")</f>
        <v>PTS</v>
      </c>
      <c r="J3383" s="4" t="str">
        <f>IFERROR(__xludf.DUMMYFUNCTION("""COMPUTED_VALUE"""),"TRB")</f>
        <v>TRB</v>
      </c>
      <c r="K3383" s="4" t="str">
        <f>IFERROR(__xludf.DUMMYFUNCTION("""COMPUTED_VALUE"""),"AST")</f>
        <v>AST</v>
      </c>
      <c r="L3383" s="4" t="str">
        <f>IFERROR(__xludf.DUMMYFUNCTION("""COMPUTED_VALUE"""),"FG%")</f>
        <v>FG%</v>
      </c>
      <c r="M3383" s="4" t="str">
        <f>IFERROR(__xludf.DUMMYFUNCTION("""COMPUTED_VALUE"""),"3P%")</f>
        <v>3P%</v>
      </c>
      <c r="N3383" s="4" t="str">
        <f>IFERROR(__xludf.DUMMYFUNCTION("""COMPUTED_VALUE"""),"FT%")</f>
        <v>FT%</v>
      </c>
      <c r="O3383" s="4" t="str">
        <f>IFERROR(__xludf.DUMMYFUNCTION("""COMPUTED_VALUE"""),"MP")</f>
        <v>MP</v>
      </c>
      <c r="P3383" s="4" t="str">
        <f>IFERROR(__xludf.DUMMYFUNCTION("""COMPUTED_VALUE"""),"PTS")</f>
        <v>PTS</v>
      </c>
      <c r="Q3383" s="4" t="str">
        <f>IFERROR(__xludf.DUMMYFUNCTION("""COMPUTED_VALUE"""),"TRB")</f>
        <v>TRB</v>
      </c>
      <c r="R3383" s="4" t="str">
        <f>IFERROR(__xludf.DUMMYFUNCTION("""COMPUTED_VALUE"""),"AST")</f>
        <v>AST</v>
      </c>
      <c r="S3383" s="4" t="str">
        <f>IFERROR(__xludf.DUMMYFUNCTION("""COMPUTED_VALUE"""),"WS")</f>
        <v>WS</v>
      </c>
      <c r="T3383" s="4" t="str">
        <f>IFERROR(__xludf.DUMMYFUNCTION("""COMPUTED_VALUE"""),"WS/48")</f>
        <v>WS/48</v>
      </c>
      <c r="U3383" s="4" t="str">
        <f>IFERROR(__xludf.DUMMYFUNCTION("""COMPUTED_VALUE"""),"BPM")</f>
        <v>BPM</v>
      </c>
      <c r="V3383" s="4" t="str">
        <f>IFERROR(__xludf.DUMMYFUNCTION("""COMPUTED_VALUE"""),"VORP")</f>
        <v>VORP</v>
      </c>
    </row>
    <row r="3384">
      <c r="A3384" s="4">
        <f>IFERROR(__xludf.DUMMYFUNCTION("""COMPUTED_VALUE"""),117.0)</f>
        <v>117</v>
      </c>
      <c r="B3384" s="4">
        <f>IFERROR(__xludf.DUMMYFUNCTION("""COMPUTED_VALUE"""),117.0)</f>
        <v>117</v>
      </c>
      <c r="C3384" s="4" t="str">
        <f>IFERROR(__xludf.DUMMYFUNCTION("""COMPUTED_VALUE"""),"HOU")</f>
        <v>HOU</v>
      </c>
      <c r="D3384" s="4" t="str">
        <f>IFERROR(__xludf.DUMMYFUNCTION("""COMPUTED_VALUE"""),"Jim Stack")</f>
        <v>Jim Stack</v>
      </c>
      <c r="E3384" s="4" t="str">
        <f>IFERROR(__xludf.DUMMYFUNCTION("""COMPUTED_VALUE"""),"Northwestern")</f>
        <v>Northwestern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</row>
    <row r="3385">
      <c r="A3385" s="4">
        <f>IFERROR(__xludf.DUMMYFUNCTION("""COMPUTED_VALUE"""),118.0)</f>
        <v>118</v>
      </c>
      <c r="B3385" s="4">
        <f>IFERROR(__xludf.DUMMYFUNCTION("""COMPUTED_VALUE"""),118.0)</f>
        <v>118</v>
      </c>
      <c r="C3385" s="4" t="str">
        <f>IFERROR(__xludf.DUMMYFUNCTION("""COMPUTED_VALUE"""),"IND")</f>
        <v>IND</v>
      </c>
      <c r="D3385" s="4" t="str">
        <f>IFERROR(__xludf.DUMMYFUNCTION("""COMPUTED_VALUE"""),"Cliff Pruitt")</f>
        <v>Cliff Pruitt</v>
      </c>
      <c r="E3385" s="4" t="str">
        <f>IFERROR(__xludf.DUMMYFUNCTION("""COMPUTED_VALUE"""),"UAB")</f>
        <v>UAB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</row>
    <row r="3386">
      <c r="A3386" s="4">
        <f>IFERROR(__xludf.DUMMYFUNCTION("""COMPUTED_VALUE"""),119.0)</f>
        <v>119</v>
      </c>
      <c r="B3386" s="4">
        <f>IFERROR(__xludf.DUMMYFUNCTION("""COMPUTED_VALUE"""),119.0)</f>
        <v>119</v>
      </c>
      <c r="C3386" s="4" t="str">
        <f>IFERROR(__xludf.DUMMYFUNCTION("""COMPUTED_VALUE"""),"CLE")</f>
        <v>CLE</v>
      </c>
      <c r="D3386" s="4" t="str">
        <f>IFERROR(__xludf.DUMMYFUNCTION("""COMPUTED_VALUE"""),"Mel McLaughlin")</f>
        <v>Mel McLaughlin</v>
      </c>
      <c r="E3386" s="4" t="str">
        <f>IFERROR(__xludf.DUMMYFUNCTION("""COMPUTED_VALUE"""),"Central Michigan University")</f>
        <v>Central Michigan University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</row>
    <row r="3387">
      <c r="A3387" s="4">
        <f>IFERROR(__xludf.DUMMYFUNCTION("""COMPUTED_VALUE"""),120.0)</f>
        <v>120</v>
      </c>
      <c r="B3387" s="4">
        <f>IFERROR(__xludf.DUMMYFUNCTION("""COMPUTED_VALUE"""),120.0)</f>
        <v>120</v>
      </c>
      <c r="C3387" s="4" t="str">
        <f>IFERROR(__xludf.DUMMYFUNCTION("""COMPUTED_VALUE"""),"MIL")</f>
        <v>MIL</v>
      </c>
      <c r="D3387" s="4" t="str">
        <f>IFERROR(__xludf.DUMMYFUNCTION("""COMPUTED_VALUE"""),"Russell Todd")</f>
        <v>Russell Todd</v>
      </c>
      <c r="E3387" s="4" t="str">
        <f>IFERROR(__xludf.DUMMYFUNCTION("""COMPUTED_VALUE"""),"West Virginia")</f>
        <v>West Virginia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</row>
    <row r="3388">
      <c r="A3388" s="4">
        <f>IFERROR(__xludf.DUMMYFUNCTION("""COMPUTED_VALUE"""),121.0)</f>
        <v>121</v>
      </c>
      <c r="B3388" s="4">
        <f>IFERROR(__xludf.DUMMYFUNCTION("""COMPUTED_VALUE"""),121.0)</f>
        <v>121</v>
      </c>
      <c r="C3388" s="4" t="str">
        <f>IFERROR(__xludf.DUMMYFUNCTION("""COMPUTED_VALUE"""),"CHI")</f>
        <v>CHI</v>
      </c>
      <c r="D3388" s="4" t="str">
        <f>IFERROR(__xludf.DUMMYFUNCTION("""COMPUTED_VALUE"""),"Ernest Patterson")</f>
        <v>Ernest Patterson</v>
      </c>
      <c r="E3388" s="4" t="str">
        <f>IFERROR(__xludf.DUMMYFUNCTION("""COMPUTED_VALUE"""),"New Mexico State")</f>
        <v>New Mexico State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</row>
    <row r="3389">
      <c r="A3389" s="4">
        <f>IFERROR(__xludf.DUMMYFUNCTION("""COMPUTED_VALUE"""),122.0)</f>
        <v>122</v>
      </c>
      <c r="B3389" s="4">
        <f>IFERROR(__xludf.DUMMYFUNCTION("""COMPUTED_VALUE"""),122.0)</f>
        <v>122</v>
      </c>
      <c r="C3389" s="4" t="str">
        <f>IFERROR(__xludf.DUMMYFUNCTION("""COMPUTED_VALUE"""),"UTA")</f>
        <v>UTA</v>
      </c>
      <c r="D3389" s="4" t="str">
        <f>IFERROR(__xludf.DUMMYFUNCTION("""COMPUTED_VALUE"""),"Fred Gilliam")</f>
        <v>Fred Gilliam</v>
      </c>
      <c r="E3389" s="4" t="str">
        <f>IFERROR(__xludf.DUMMYFUNCTION("""COMPUTED_VALUE"""),"Clemson")</f>
        <v>Clemson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</row>
    <row r="3390">
      <c r="A3390" s="4">
        <f>IFERROR(__xludf.DUMMYFUNCTION("""COMPUTED_VALUE"""),123.0)</f>
        <v>123</v>
      </c>
      <c r="B3390" s="4">
        <f>IFERROR(__xludf.DUMMYFUNCTION("""COMPUTED_VALUE"""),123.0)</f>
        <v>123</v>
      </c>
      <c r="C3390" s="4" t="str">
        <f>IFERROR(__xludf.DUMMYFUNCTION("""COMPUTED_VALUE"""),"GSW")</f>
        <v>GSW</v>
      </c>
      <c r="D3390" s="4" t="str">
        <f>IFERROR(__xludf.DUMMYFUNCTION("""COMPUTED_VALUE"""),"Tom Heywood")</f>
        <v>Tom Heywood</v>
      </c>
      <c r="E3390" s="4" t="str">
        <f>IFERROR(__xludf.DUMMYFUNCTION("""COMPUTED_VALUE"""),"Weber State")</f>
        <v>Weber State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</row>
    <row r="3391">
      <c r="A3391" s="4">
        <f>IFERROR(__xludf.DUMMYFUNCTION("""COMPUTED_VALUE"""),124.0)</f>
        <v>124</v>
      </c>
      <c r="B3391" s="4">
        <f>IFERROR(__xludf.DUMMYFUNCTION("""COMPUTED_VALUE"""),124.0)</f>
        <v>124</v>
      </c>
      <c r="C3391" s="4" t="str">
        <f>IFERROR(__xludf.DUMMYFUNCTION("""COMPUTED_VALUE"""),"DET")</f>
        <v>DET</v>
      </c>
      <c r="D3391" s="4" t="str">
        <f>IFERROR(__xludf.DUMMYFUNCTION("""COMPUTED_VALUE"""),"Derek Perry")</f>
        <v>Derek Perry</v>
      </c>
      <c r="E3391" s="4" t="str">
        <f>IFERROR(__xludf.DUMMYFUNCTION("""COMPUTED_VALUE"""),"Michigan State")</f>
        <v>Michigan State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</row>
    <row r="3392">
      <c r="A3392" s="4">
        <f>IFERROR(__xludf.DUMMYFUNCTION("""COMPUTED_VALUE"""),125.0)</f>
        <v>125</v>
      </c>
      <c r="B3392" s="4">
        <f>IFERROR(__xludf.DUMMYFUNCTION("""COMPUTED_VALUE"""),125.0)</f>
        <v>125</v>
      </c>
      <c r="C3392" s="4" t="str">
        <f>IFERROR(__xludf.DUMMYFUNCTION("""COMPUTED_VALUE"""),"DAL")</f>
        <v>DAL</v>
      </c>
      <c r="D3392" s="4" t="str">
        <f>IFERROR(__xludf.DUMMYFUNCTION("""COMPUTED_VALUE"""),"Billy Allen")</f>
        <v>Billy Allen</v>
      </c>
      <c r="E3392" s="4" t="str">
        <f>IFERROR(__xludf.DUMMYFUNCTION("""COMPUTED_VALUE"""),"Nevada")</f>
        <v>Nevada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</row>
    <row r="3393">
      <c r="A3393" s="4">
        <f>IFERROR(__xludf.DUMMYFUNCTION("""COMPUTED_VALUE"""),126.0)</f>
        <v>126</v>
      </c>
      <c r="B3393" s="4">
        <f>IFERROR(__xludf.DUMMYFUNCTION("""COMPUTED_VALUE"""),126.0)</f>
        <v>126</v>
      </c>
      <c r="C3393" s="4" t="str">
        <f>IFERROR(__xludf.DUMMYFUNCTION("""COMPUTED_VALUE"""),"WSB")</f>
        <v>WSB</v>
      </c>
      <c r="D3393" s="4" t="str">
        <f>IFERROR(__xludf.DUMMYFUNCTION("""COMPUTED_VALUE"""),"Donald Carroll")</f>
        <v>Donald Carroll</v>
      </c>
      <c r="E3393" s="4" t="str">
        <f>IFERROR(__xludf.DUMMYFUNCTION("""COMPUTED_VALUE"""),"Saint Augustine's College")</f>
        <v>Saint Augustine's College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</row>
    <row r="3394">
      <c r="A3394" s="4">
        <f>IFERROR(__xludf.DUMMYFUNCTION("""COMPUTED_VALUE"""),127.0)</f>
        <v>127</v>
      </c>
      <c r="B3394" s="4">
        <f>IFERROR(__xludf.DUMMYFUNCTION("""COMPUTED_VALUE"""),127.0)</f>
        <v>127</v>
      </c>
      <c r="C3394" s="4" t="str">
        <f>IFERROR(__xludf.DUMMYFUNCTION("""COMPUTED_VALUE"""),"ATL")</f>
        <v>ATL</v>
      </c>
      <c r="D3394" s="4" t="str">
        <f>IFERROR(__xludf.DUMMYFUNCTION("""COMPUTED_VALUE"""),"Tom Bethea")</f>
        <v>Tom Bethea</v>
      </c>
      <c r="E3394" s="4" t="str">
        <f>IFERROR(__xludf.DUMMYFUNCTION("""COMPUTED_VALUE"""),"Richmond")</f>
        <v>Richmond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</row>
    <row r="3395">
      <c r="A3395" s="4">
        <f>IFERROR(__xludf.DUMMYFUNCTION("""COMPUTED_VALUE"""),128.0)</f>
        <v>128</v>
      </c>
      <c r="B3395" s="4">
        <f>IFERROR(__xludf.DUMMYFUNCTION("""COMPUTED_VALUE"""),128.0)</f>
        <v>128</v>
      </c>
      <c r="C3395" s="4" t="str">
        <f>IFERROR(__xludf.DUMMYFUNCTION("""COMPUTED_VALUE"""),"NYK")</f>
        <v>NYK</v>
      </c>
      <c r="D3395" s="4" t="str">
        <f>IFERROR(__xludf.DUMMYFUNCTION("""COMPUTED_VALUE"""),"Tony Simms")</f>
        <v>Tony Simms</v>
      </c>
      <c r="E3395" s="4" t="str">
        <f>IFERROR(__xludf.DUMMYFUNCTION("""COMPUTED_VALUE"""),"Boston University")</f>
        <v>Boston University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</row>
    <row r="3396">
      <c r="A3396" s="4">
        <f>IFERROR(__xludf.DUMMYFUNCTION("""COMPUTED_VALUE"""),129.0)</f>
        <v>129</v>
      </c>
      <c r="B3396" s="4">
        <f>IFERROR(__xludf.DUMMYFUNCTION("""COMPUTED_VALUE"""),129.0)</f>
        <v>129</v>
      </c>
      <c r="C3396" s="4" t="str">
        <f>IFERROR(__xludf.DUMMYFUNCTION("""COMPUTED_VALUE"""),"DEN")</f>
        <v>DEN</v>
      </c>
      <c r="D3396" s="4" t="str">
        <f>IFERROR(__xludf.DUMMYFUNCTION("""COMPUTED_VALUE"""),"Glenn Green")</f>
        <v>Glenn Green</v>
      </c>
      <c r="E3396" s="4" t="str">
        <f>IFERROR(__xludf.DUMMYFUNCTION("""COMPUTED_VALUE"""),"Murray State")</f>
        <v>Murray State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</row>
    <row r="3397">
      <c r="A3397" s="4">
        <f>IFERROR(__xludf.DUMMYFUNCTION("""COMPUTED_VALUE"""),130.0)</f>
        <v>130</v>
      </c>
      <c r="B3397" s="4">
        <f>IFERROR(__xludf.DUMMYFUNCTION("""COMPUTED_VALUE"""),130.0)</f>
        <v>130</v>
      </c>
      <c r="C3397" s="4" t="str">
        <f>IFERROR(__xludf.DUMMYFUNCTION("""COMPUTED_VALUE"""),"KCK")</f>
        <v>KCK</v>
      </c>
      <c r="D3397" s="4" t="str">
        <f>IFERROR(__xludf.DUMMYFUNCTION("""COMPUTED_VALUE"""),"Alvis Rogers")</f>
        <v>Alvis Rogers</v>
      </c>
      <c r="E3397" s="4" t="str">
        <f>IFERROR(__xludf.DUMMYFUNCTION("""COMPUTED_VALUE"""),"Wake Forest")</f>
        <v>Wake Forest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</row>
    <row r="3398">
      <c r="A3398" s="4">
        <f>IFERROR(__xludf.DUMMYFUNCTION("""COMPUTED_VALUE"""),131.0)</f>
        <v>131</v>
      </c>
      <c r="B3398" s="4">
        <f>IFERROR(__xludf.DUMMYFUNCTION("""COMPUTED_VALUE"""),131.0)</f>
        <v>131</v>
      </c>
      <c r="C3398" s="4" t="str">
        <f>IFERROR(__xludf.DUMMYFUNCTION("""COMPUTED_VALUE"""),"POR")</f>
        <v>POR</v>
      </c>
      <c r="D3398" s="4" t="str">
        <f>IFERROR(__xludf.DUMMYFUNCTION("""COMPUTED_VALUE"""),"Derrick Pope")</f>
        <v>Derrick Pope</v>
      </c>
      <c r="E3398" s="4" t="str">
        <f>IFERROR(__xludf.DUMMYFUNCTION("""COMPUTED_VALUE"""),"Montana")</f>
        <v>Montana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</row>
    <row r="3399">
      <c r="A3399" s="4">
        <f>IFERROR(__xludf.DUMMYFUNCTION("""COMPUTED_VALUE"""),132.0)</f>
        <v>132</v>
      </c>
      <c r="B3399" s="4">
        <f>IFERROR(__xludf.DUMMYFUNCTION("""COMPUTED_VALUE"""),132.0)</f>
        <v>132</v>
      </c>
      <c r="C3399" s="4" t="str">
        <f>IFERROR(__xludf.DUMMYFUNCTION("""COMPUTED_VALUE"""),"SEA")</f>
        <v>SEA</v>
      </c>
      <c r="D3399" s="4" t="str">
        <f>IFERROR(__xludf.DUMMYFUNCTION("""COMPUTED_VALUE"""),"Tony Wilson")</f>
        <v>Tony Wilson</v>
      </c>
      <c r="E3399" s="4" t="str">
        <f>IFERROR(__xludf.DUMMYFUNCTION("""COMPUTED_VALUE"""),"Western Kentucky")</f>
        <v>Western Kentucky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</row>
    <row r="3400">
      <c r="A3400" s="4">
        <f>IFERROR(__xludf.DUMMYFUNCTION("""COMPUTED_VALUE"""),133.0)</f>
        <v>133</v>
      </c>
      <c r="B3400" s="4">
        <f>IFERROR(__xludf.DUMMYFUNCTION("""COMPUTED_VALUE"""),133.0)</f>
        <v>133</v>
      </c>
      <c r="C3400" s="4" t="str">
        <f>IFERROR(__xludf.DUMMYFUNCTION("""COMPUTED_VALUE"""),"NJN")</f>
        <v>NJN</v>
      </c>
      <c r="D3400" s="4" t="str">
        <f>IFERROR(__xludf.DUMMYFUNCTION("""COMPUTED_VALUE"""),"Oscar Taylor")</f>
        <v>Oscar Taylor</v>
      </c>
      <c r="E3400" s="4" t="str">
        <f>IFERROR(__xludf.DUMMYFUNCTION("""COMPUTED_VALUE"""),"New Orleans")</f>
        <v>New Orleans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</row>
    <row r="3401">
      <c r="A3401" s="4">
        <f>IFERROR(__xludf.DUMMYFUNCTION("""COMPUTED_VALUE"""),134.0)</f>
        <v>134</v>
      </c>
      <c r="B3401" s="4">
        <f>IFERROR(__xludf.DUMMYFUNCTION("""COMPUTED_VALUE"""),134.0)</f>
        <v>134</v>
      </c>
      <c r="C3401" s="4" t="str">
        <f>IFERROR(__xludf.DUMMYFUNCTION("""COMPUTED_VALUE"""),"MIL")</f>
        <v>MIL</v>
      </c>
      <c r="D3401" s="4" t="str">
        <f>IFERROR(__xludf.DUMMYFUNCTION("""COMPUTED_VALUE"""),"Charles Hurt")</f>
        <v>Charles Hurt</v>
      </c>
      <c r="E3401" s="4" t="str">
        <f>IFERROR(__xludf.DUMMYFUNCTION("""COMPUTED_VALUE"""),"Kentucky")</f>
        <v>Kentucky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</row>
    <row r="3402">
      <c r="A3402" s="4">
        <f>IFERROR(__xludf.DUMMYFUNCTION("""COMPUTED_VALUE"""),135.0)</f>
        <v>135</v>
      </c>
      <c r="B3402" s="4">
        <f>IFERROR(__xludf.DUMMYFUNCTION("""COMPUTED_VALUE"""),135.0)</f>
        <v>135</v>
      </c>
      <c r="C3402" s="4" t="str">
        <f>IFERROR(__xludf.DUMMYFUNCTION("""COMPUTED_VALUE"""),"PHO")</f>
        <v>PHO</v>
      </c>
      <c r="D3402" s="4" t="str">
        <f>IFERROR(__xludf.DUMMYFUNCTION("""COMPUTED_VALUE"""),"Edward Bona")</f>
        <v>Edward Bona</v>
      </c>
      <c r="E3402" s="4" t="str">
        <f>IFERROR(__xludf.DUMMYFUNCTION("""COMPUTED_VALUE"""),"Fordham")</f>
        <v>Fordham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</row>
    <row r="3403">
      <c r="A3403" s="4">
        <f>IFERROR(__xludf.DUMMYFUNCTION("""COMPUTED_VALUE"""),136.0)</f>
        <v>136</v>
      </c>
      <c r="B3403" s="4">
        <f>IFERROR(__xludf.DUMMYFUNCTION("""COMPUTED_VALUE"""),136.0)</f>
        <v>136</v>
      </c>
      <c r="C3403" s="4" t="str">
        <f>IFERROR(__xludf.DUMMYFUNCTION("""COMPUTED_VALUE"""),"SAS")</f>
        <v>SAS</v>
      </c>
      <c r="D3403" s="4" t="str">
        <f>IFERROR(__xludf.DUMMYFUNCTION("""COMPUTED_VALUE"""),"Ricky Hooker")</f>
        <v>Ricky Hooker</v>
      </c>
      <c r="E3403" s="4" t="str">
        <f>IFERROR(__xludf.DUMMYFUNCTION("""COMPUTED_VALUE"""),"St. Mary's University")</f>
        <v>St. Mary's University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</row>
    <row r="3404">
      <c r="A3404" s="4">
        <f>IFERROR(__xludf.DUMMYFUNCTION("""COMPUTED_VALUE"""),137.0)</f>
        <v>137</v>
      </c>
      <c r="B3404" s="4">
        <f>IFERROR(__xludf.DUMMYFUNCTION("""COMPUTED_VALUE"""),137.0)</f>
        <v>137</v>
      </c>
      <c r="C3404" s="4" t="str">
        <f>IFERROR(__xludf.DUMMYFUNCTION("""COMPUTED_VALUE"""),"BOS")</f>
        <v>BOS</v>
      </c>
      <c r="D3404" s="4" t="str">
        <f>IFERROR(__xludf.DUMMYFUNCTION("""COMPUTED_VALUE"""),"Paul Atkins")</f>
        <v>Paul Atkins</v>
      </c>
      <c r="E3404" s="4" t="str">
        <f>IFERROR(__xludf.DUMMYFUNCTION("""COMPUTED_VALUE"""),"Dallas Baptist University")</f>
        <v>Dallas Baptist University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</row>
    <row r="3405">
      <c r="A3405" s="4">
        <f>IFERROR(__xludf.DUMMYFUNCTION("""COMPUTED_VALUE"""),138.0)</f>
        <v>138</v>
      </c>
      <c r="B3405" s="4">
        <f>IFERROR(__xludf.DUMMYFUNCTION("""COMPUTED_VALUE"""),138.0)</f>
        <v>138</v>
      </c>
      <c r="C3405" s="4" t="str">
        <f>IFERROR(__xludf.DUMMYFUNCTION("""COMPUTED_VALUE"""),"LAL")</f>
        <v>LAL</v>
      </c>
      <c r="D3405" s="4" t="str">
        <f>IFERROR(__xludf.DUMMYFUNCTION("""COMPUTED_VALUE"""),"Mark Steele")</f>
        <v>Mark Steele</v>
      </c>
      <c r="E3405" s="4" t="str">
        <f>IFERROR(__xludf.DUMMYFUNCTION("""COMPUTED_VALUE"""),"Colorado State")</f>
        <v>Colorado State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</row>
    <row r="3406">
      <c r="A3406" s="4">
        <f>IFERROR(__xludf.DUMMYFUNCTION("""COMPUTED_VALUE"""),139.0)</f>
        <v>139</v>
      </c>
      <c r="B3406" s="4">
        <f>IFERROR(__xludf.DUMMYFUNCTION("""COMPUTED_VALUE"""),139.0)</f>
        <v>139</v>
      </c>
      <c r="C3406" s="4" t="str">
        <f>IFERROR(__xludf.DUMMYFUNCTION("""COMPUTED_VALUE"""),"PHI")</f>
        <v>PHI</v>
      </c>
      <c r="D3406" s="4" t="str">
        <f>IFERROR(__xludf.DUMMYFUNCTION("""COMPUTED_VALUE"""),"Sedale Threatt")</f>
        <v>Sedale Threatt</v>
      </c>
      <c r="E3406" s="4" t="str">
        <f>IFERROR(__xludf.DUMMYFUNCTION("""COMPUTED_VALUE"""),"West Virginia Tech")</f>
        <v>West Virginia Tech</v>
      </c>
      <c r="F3406" s="4">
        <f>IFERROR(__xludf.DUMMYFUNCTION("""COMPUTED_VALUE"""),14.0)</f>
        <v>14</v>
      </c>
      <c r="G3406" s="4">
        <f>IFERROR(__xludf.DUMMYFUNCTION("""COMPUTED_VALUE"""),951.0)</f>
        <v>951</v>
      </c>
      <c r="H3406" s="4">
        <f>IFERROR(__xludf.DUMMYFUNCTION("""COMPUTED_VALUE"""),22436.0)</f>
        <v>22436</v>
      </c>
      <c r="I3406" s="4">
        <f>IFERROR(__xludf.DUMMYFUNCTION("""COMPUTED_VALUE"""),9327.0)</f>
        <v>9327</v>
      </c>
      <c r="J3406" s="4">
        <f>IFERROR(__xludf.DUMMYFUNCTION("""COMPUTED_VALUE"""),1709.0)</f>
        <v>1709</v>
      </c>
      <c r="K3406" s="4">
        <f>IFERROR(__xludf.DUMMYFUNCTION("""COMPUTED_VALUE"""),3613.0)</f>
        <v>3613</v>
      </c>
      <c r="L3406" s="4">
        <f>IFERROR(__xludf.DUMMYFUNCTION("""COMPUTED_VALUE"""),0.485)</f>
        <v>0.485</v>
      </c>
      <c r="M3406" s="4">
        <f>IFERROR(__xludf.DUMMYFUNCTION("""COMPUTED_VALUE"""),0.293)</f>
        <v>0.293</v>
      </c>
      <c r="N3406" s="4">
        <f>IFERROR(__xludf.DUMMYFUNCTION("""COMPUTED_VALUE"""),0.815)</f>
        <v>0.815</v>
      </c>
      <c r="O3406" s="4">
        <f>IFERROR(__xludf.DUMMYFUNCTION("""COMPUTED_VALUE"""),23.6)</f>
        <v>23.6</v>
      </c>
      <c r="P3406" s="4">
        <f>IFERROR(__xludf.DUMMYFUNCTION("""COMPUTED_VALUE"""),9.8)</f>
        <v>9.8</v>
      </c>
      <c r="Q3406" s="4">
        <f>IFERROR(__xludf.DUMMYFUNCTION("""COMPUTED_VALUE"""),1.8)</f>
        <v>1.8</v>
      </c>
      <c r="R3406" s="4">
        <f>IFERROR(__xludf.DUMMYFUNCTION("""COMPUTED_VALUE"""),3.8)</f>
        <v>3.8</v>
      </c>
      <c r="S3406" s="4">
        <f>IFERROR(__xludf.DUMMYFUNCTION("""COMPUTED_VALUE"""),48.0)</f>
        <v>48</v>
      </c>
      <c r="T3406" s="4">
        <f>IFERROR(__xludf.DUMMYFUNCTION("""COMPUTED_VALUE"""),0.103)</f>
        <v>0.103</v>
      </c>
      <c r="U3406" s="4">
        <f>IFERROR(__xludf.DUMMYFUNCTION("""COMPUTED_VALUE"""),-0.1)</f>
        <v>-0.1</v>
      </c>
      <c r="V3406" s="4">
        <f>IFERROR(__xludf.DUMMYFUNCTION("""COMPUTED_VALUE"""),10.7)</f>
        <v>10.7</v>
      </c>
    </row>
    <row r="3407">
      <c r="A3407" s="4"/>
      <c r="B3407" s="4"/>
      <c r="C3407" s="4"/>
      <c r="D3407" s="4" t="str">
        <f>IFERROR(__xludf.DUMMYFUNCTION("""COMPUTED_VALUE"""),"Round 7")</f>
        <v>Round 7</v>
      </c>
      <c r="E3407" s="4"/>
      <c r="F3407" s="4"/>
      <c r="G3407" s="4" t="str">
        <f>IFERROR(__xludf.DUMMYFUNCTION("""COMPUTED_VALUE"""),"Totals")</f>
        <v>Totals</v>
      </c>
      <c r="H3407" s="4"/>
      <c r="I3407" s="4"/>
      <c r="J3407" s="4"/>
      <c r="K3407" s="4"/>
      <c r="L3407" s="4" t="str">
        <f>IFERROR(__xludf.DUMMYFUNCTION("""COMPUTED_VALUE"""),"Shooting")</f>
        <v>Shooting</v>
      </c>
      <c r="M3407" s="4"/>
      <c r="N3407" s="4"/>
      <c r="O3407" s="4" t="str">
        <f>IFERROR(__xludf.DUMMYFUNCTION("""COMPUTED_VALUE"""),"Per Game")</f>
        <v>Per Game</v>
      </c>
      <c r="P3407" s="4"/>
      <c r="Q3407" s="4"/>
      <c r="R3407" s="4"/>
      <c r="S3407" s="4" t="str">
        <f>IFERROR(__xludf.DUMMYFUNCTION("""COMPUTED_VALUE"""),"Advanced")</f>
        <v>Advanced</v>
      </c>
      <c r="T3407" s="4"/>
      <c r="U3407" s="4"/>
      <c r="V3407" s="4"/>
    </row>
    <row r="3408">
      <c r="A3408" s="4" t="str">
        <f>IFERROR(__xludf.DUMMYFUNCTION("""COMPUTED_VALUE"""),"Rk")</f>
        <v>Rk</v>
      </c>
      <c r="B3408" s="4" t="str">
        <f>IFERROR(__xludf.DUMMYFUNCTION("""COMPUTED_VALUE"""),"Pk")</f>
        <v>Pk</v>
      </c>
      <c r="C3408" s="4" t="str">
        <f>IFERROR(__xludf.DUMMYFUNCTION("""COMPUTED_VALUE"""),"Tm")</f>
        <v>Tm</v>
      </c>
      <c r="D3408" s="4" t="str">
        <f>IFERROR(__xludf.DUMMYFUNCTION("""COMPUTED_VALUE"""),"Player")</f>
        <v>Player</v>
      </c>
      <c r="E3408" s="4" t="str">
        <f>IFERROR(__xludf.DUMMYFUNCTION("""COMPUTED_VALUE"""),"College")</f>
        <v>College</v>
      </c>
      <c r="F3408" s="4" t="str">
        <f>IFERROR(__xludf.DUMMYFUNCTION("""COMPUTED_VALUE"""),"Yrs")</f>
        <v>Yrs</v>
      </c>
      <c r="G3408" s="4" t="str">
        <f>IFERROR(__xludf.DUMMYFUNCTION("""COMPUTED_VALUE"""),"G")</f>
        <v>G</v>
      </c>
      <c r="H3408" s="4" t="str">
        <f>IFERROR(__xludf.DUMMYFUNCTION("""COMPUTED_VALUE"""),"MP")</f>
        <v>MP</v>
      </c>
      <c r="I3408" s="4" t="str">
        <f>IFERROR(__xludf.DUMMYFUNCTION("""COMPUTED_VALUE"""),"PTS")</f>
        <v>PTS</v>
      </c>
      <c r="J3408" s="4" t="str">
        <f>IFERROR(__xludf.DUMMYFUNCTION("""COMPUTED_VALUE"""),"TRB")</f>
        <v>TRB</v>
      </c>
      <c r="K3408" s="4" t="str">
        <f>IFERROR(__xludf.DUMMYFUNCTION("""COMPUTED_VALUE"""),"AST")</f>
        <v>AST</v>
      </c>
      <c r="L3408" s="4" t="str">
        <f>IFERROR(__xludf.DUMMYFUNCTION("""COMPUTED_VALUE"""),"FG%")</f>
        <v>FG%</v>
      </c>
      <c r="M3408" s="4" t="str">
        <f>IFERROR(__xludf.DUMMYFUNCTION("""COMPUTED_VALUE"""),"3P%")</f>
        <v>3P%</v>
      </c>
      <c r="N3408" s="4" t="str">
        <f>IFERROR(__xludf.DUMMYFUNCTION("""COMPUTED_VALUE"""),"FT%")</f>
        <v>FT%</v>
      </c>
      <c r="O3408" s="4" t="str">
        <f>IFERROR(__xludf.DUMMYFUNCTION("""COMPUTED_VALUE"""),"MP")</f>
        <v>MP</v>
      </c>
      <c r="P3408" s="4" t="str">
        <f>IFERROR(__xludf.DUMMYFUNCTION("""COMPUTED_VALUE"""),"PTS")</f>
        <v>PTS</v>
      </c>
      <c r="Q3408" s="4" t="str">
        <f>IFERROR(__xludf.DUMMYFUNCTION("""COMPUTED_VALUE"""),"TRB")</f>
        <v>TRB</v>
      </c>
      <c r="R3408" s="4" t="str">
        <f>IFERROR(__xludf.DUMMYFUNCTION("""COMPUTED_VALUE"""),"AST")</f>
        <v>AST</v>
      </c>
      <c r="S3408" s="4" t="str">
        <f>IFERROR(__xludf.DUMMYFUNCTION("""COMPUTED_VALUE"""),"WS")</f>
        <v>WS</v>
      </c>
      <c r="T3408" s="4" t="str">
        <f>IFERROR(__xludf.DUMMYFUNCTION("""COMPUTED_VALUE"""),"WS/48")</f>
        <v>WS/48</v>
      </c>
      <c r="U3408" s="4" t="str">
        <f>IFERROR(__xludf.DUMMYFUNCTION("""COMPUTED_VALUE"""),"BPM")</f>
        <v>BPM</v>
      </c>
      <c r="V3408" s="4" t="str">
        <f>IFERROR(__xludf.DUMMYFUNCTION("""COMPUTED_VALUE"""),"VORP")</f>
        <v>VORP</v>
      </c>
    </row>
    <row r="3409">
      <c r="A3409" s="4">
        <f>IFERROR(__xludf.DUMMYFUNCTION("""COMPUTED_VALUE"""),140.0)</f>
        <v>140</v>
      </c>
      <c r="B3409" s="4">
        <f>IFERROR(__xludf.DUMMYFUNCTION("""COMPUTED_VALUE"""),140.0)</f>
        <v>140</v>
      </c>
      <c r="C3409" s="4" t="str">
        <f>IFERROR(__xludf.DUMMYFUNCTION("""COMPUTED_VALUE"""),"HOU")</f>
        <v>HOU</v>
      </c>
      <c r="D3409" s="4" t="str">
        <f>IFERROR(__xludf.DUMMYFUNCTION("""COMPUTED_VALUE"""),"Brian Kellerman")</f>
        <v>Brian Kellerman</v>
      </c>
      <c r="E3409" s="4" t="str">
        <f>IFERROR(__xludf.DUMMYFUNCTION("""COMPUTED_VALUE"""),"Idaho")</f>
        <v>Idaho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</row>
    <row r="3410">
      <c r="A3410" s="4">
        <f>IFERROR(__xludf.DUMMYFUNCTION("""COMPUTED_VALUE"""),141.0)</f>
        <v>141</v>
      </c>
      <c r="B3410" s="4">
        <f>IFERROR(__xludf.DUMMYFUNCTION("""COMPUTED_VALUE"""),141.0)</f>
        <v>141</v>
      </c>
      <c r="C3410" s="4" t="str">
        <f>IFERROR(__xludf.DUMMYFUNCTION("""COMPUTED_VALUE"""),"IND")</f>
        <v>IND</v>
      </c>
      <c r="D3410" s="4" t="str">
        <f>IFERROR(__xludf.DUMMYFUNCTION("""COMPUTED_VALUE"""),"Tony Brown")</f>
        <v>Tony Brown</v>
      </c>
      <c r="E3410" s="4" t="str">
        <f>IFERROR(__xludf.DUMMYFUNCTION("""COMPUTED_VALUE"""),"Indiana")</f>
        <v>Indiana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</row>
    <row r="3411">
      <c r="A3411" s="4">
        <f>IFERROR(__xludf.DUMMYFUNCTION("""COMPUTED_VALUE"""),142.0)</f>
        <v>142</v>
      </c>
      <c r="B3411" s="4">
        <f>IFERROR(__xludf.DUMMYFUNCTION("""COMPUTED_VALUE"""),142.0)</f>
        <v>142</v>
      </c>
      <c r="C3411" s="4" t="str">
        <f>IFERROR(__xludf.DUMMYFUNCTION("""COMPUTED_VALUE"""),"CLE")</f>
        <v>CLE</v>
      </c>
      <c r="D3411" s="4" t="str">
        <f>IFERROR(__xludf.DUMMYFUNCTION("""COMPUTED_VALUE"""),"John Colombo")</f>
        <v>John Colombo</v>
      </c>
      <c r="E3411" s="4" t="str">
        <f>IFERROR(__xludf.DUMMYFUNCTION("""COMPUTED_VALUE"""),"John Carroll University")</f>
        <v>John Carroll University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</row>
    <row r="3412">
      <c r="A3412" s="4">
        <f>IFERROR(__xludf.DUMMYFUNCTION("""COMPUTED_VALUE"""),143.0)</f>
        <v>143</v>
      </c>
      <c r="B3412" s="4">
        <f>IFERROR(__xludf.DUMMYFUNCTION("""COMPUTED_VALUE"""),143.0)</f>
        <v>143</v>
      </c>
      <c r="C3412" s="4" t="str">
        <f>IFERROR(__xludf.DUMMYFUNCTION("""COMPUTED_VALUE"""),"SDC")</f>
        <v>SDC</v>
      </c>
      <c r="D3412" s="4" t="str">
        <f>IFERROR(__xludf.DUMMYFUNCTION("""COMPUTED_VALUE"""),"Dan Evans")</f>
        <v>Dan Evans</v>
      </c>
      <c r="E3412" s="4" t="str">
        <f>IFERROR(__xludf.DUMMYFUNCTION("""COMPUTED_VALUE"""),"Oregon State")</f>
        <v>Oregon State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</row>
    <row r="3413">
      <c r="A3413" s="4">
        <f>IFERROR(__xludf.DUMMYFUNCTION("""COMPUTED_VALUE"""),144.0)</f>
        <v>144</v>
      </c>
      <c r="B3413" s="4">
        <f>IFERROR(__xludf.DUMMYFUNCTION("""COMPUTED_VALUE"""),144.0)</f>
        <v>144</v>
      </c>
      <c r="C3413" s="4" t="str">
        <f>IFERROR(__xludf.DUMMYFUNCTION("""COMPUTED_VALUE"""),"CHI")</f>
        <v>CHI</v>
      </c>
      <c r="D3413" s="4" t="str">
        <f>IFERROR(__xludf.DUMMYFUNCTION("""COMPUTED_VALUE"""),"Jacque Hill")</f>
        <v>Jacque Hill</v>
      </c>
      <c r="E3413" s="4" t="str">
        <f>IFERROR(__xludf.DUMMYFUNCTION("""COMPUTED_VALUE"""),"USC")</f>
        <v>USC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</row>
    <row r="3414">
      <c r="A3414" s="4">
        <f>IFERROR(__xludf.DUMMYFUNCTION("""COMPUTED_VALUE"""),145.0)</f>
        <v>145</v>
      </c>
      <c r="B3414" s="4">
        <f>IFERROR(__xludf.DUMMYFUNCTION("""COMPUTED_VALUE"""),145.0)</f>
        <v>145</v>
      </c>
      <c r="C3414" s="4" t="str">
        <f>IFERROR(__xludf.DUMMYFUNCTION("""COMPUTED_VALUE"""),"GSW")</f>
        <v>GSW</v>
      </c>
      <c r="D3414" s="4" t="str">
        <f>IFERROR(__xludf.DUMMYFUNCTION("""COMPUTED_VALUE"""),"Peter Williams")</f>
        <v>Peter Williams</v>
      </c>
      <c r="E3414" s="4" t="str">
        <f>IFERROR(__xludf.DUMMYFUNCTION("""COMPUTED_VALUE"""),"Utah")</f>
        <v>Utah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</row>
    <row r="3415">
      <c r="A3415" s="4">
        <f>IFERROR(__xludf.DUMMYFUNCTION("""COMPUTED_VALUE"""),146.0)</f>
        <v>146</v>
      </c>
      <c r="B3415" s="4">
        <f>IFERROR(__xludf.DUMMYFUNCTION("""COMPUTED_VALUE"""),146.0)</f>
        <v>146</v>
      </c>
      <c r="C3415" s="4" t="str">
        <f>IFERROR(__xludf.DUMMYFUNCTION("""COMPUTED_VALUE"""),"UTA")</f>
        <v>UTA</v>
      </c>
      <c r="D3415" s="4" t="str">
        <f>IFERROR(__xludf.DUMMYFUNCTION("""COMPUTED_VALUE"""),"Gerald Kazanowski")</f>
        <v>Gerald Kazanowski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</row>
    <row r="3416">
      <c r="A3416" s="4">
        <f>IFERROR(__xludf.DUMMYFUNCTION("""COMPUTED_VALUE"""),147.0)</f>
        <v>147</v>
      </c>
      <c r="B3416" s="4">
        <f>IFERROR(__xludf.DUMMYFUNCTION("""COMPUTED_VALUE"""),147.0)</f>
        <v>147</v>
      </c>
      <c r="C3416" s="4" t="str">
        <f>IFERROR(__xludf.DUMMYFUNCTION("""COMPUTED_VALUE"""),"DET")</f>
        <v>DET</v>
      </c>
      <c r="D3416" s="4" t="str">
        <f>IFERROR(__xludf.DUMMYFUNCTION("""COMPUTED_VALUE"""),"Rob Gonzalez")</f>
        <v>Rob Gonzalez</v>
      </c>
      <c r="E3416" s="4" t="str">
        <f>IFERROR(__xludf.DUMMYFUNCTION("""COMPUTED_VALUE"""),"Colorado")</f>
        <v>Colorado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</row>
    <row r="3417">
      <c r="A3417" s="4">
        <f>IFERROR(__xludf.DUMMYFUNCTION("""COMPUTED_VALUE"""),148.0)</f>
        <v>148</v>
      </c>
      <c r="B3417" s="4">
        <f>IFERROR(__xludf.DUMMYFUNCTION("""COMPUTED_VALUE"""),148.0)</f>
        <v>148</v>
      </c>
      <c r="C3417" s="4" t="str">
        <f>IFERROR(__xludf.DUMMYFUNCTION("""COMPUTED_VALUE"""),"DAL")</f>
        <v>DAL</v>
      </c>
      <c r="D3417" s="4" t="str">
        <f>IFERROR(__xludf.DUMMYFUNCTION("""COMPUTED_VALUE"""),"Terrell Schlundt")</f>
        <v>Terrell Schlundt</v>
      </c>
      <c r="E3417" s="4" t="str">
        <f>IFERROR(__xludf.DUMMYFUNCTION("""COMPUTED_VALUE"""),"Marquette")</f>
        <v>Marquette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</row>
    <row r="3418">
      <c r="A3418" s="4">
        <f>IFERROR(__xludf.DUMMYFUNCTION("""COMPUTED_VALUE"""),149.0)</f>
        <v>149</v>
      </c>
      <c r="B3418" s="4">
        <f>IFERROR(__xludf.DUMMYFUNCTION("""COMPUTED_VALUE"""),149.0)</f>
        <v>149</v>
      </c>
      <c r="C3418" s="4" t="str">
        <f>IFERROR(__xludf.DUMMYFUNCTION("""COMPUTED_VALUE"""),"WSB")</f>
        <v>WSB</v>
      </c>
      <c r="D3418" s="4" t="str">
        <f>IFERROR(__xludf.DUMMYFUNCTION("""COMPUTED_VALUE"""),"Danny Womack")</f>
        <v>Danny Womack</v>
      </c>
      <c r="E3418" s="4" t="str">
        <f>IFERROR(__xludf.DUMMYFUNCTION("""COMPUTED_VALUE"""),"Winston-Salem State")</f>
        <v>Winston-Salem State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</row>
    <row r="3419">
      <c r="A3419" s="4">
        <f>IFERROR(__xludf.DUMMYFUNCTION("""COMPUTED_VALUE"""),150.0)</f>
        <v>150</v>
      </c>
      <c r="B3419" s="4">
        <f>IFERROR(__xludf.DUMMYFUNCTION("""COMPUTED_VALUE"""),150.0)</f>
        <v>150</v>
      </c>
      <c r="C3419" s="4" t="str">
        <f>IFERROR(__xludf.DUMMYFUNCTION("""COMPUTED_VALUE"""),"ATL")</f>
        <v>ATL</v>
      </c>
      <c r="D3419" s="4" t="str">
        <f>IFERROR(__xludf.DUMMYFUNCTION("""COMPUTED_VALUE"""),"Lex Drum")</f>
        <v>Lex Drum</v>
      </c>
      <c r="E3419" s="4" t="str">
        <f>IFERROR(__xludf.DUMMYFUNCTION("""COMPUTED_VALUE"""),"UAB")</f>
        <v>UAB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</row>
    <row r="3420">
      <c r="A3420" s="4">
        <f>IFERROR(__xludf.DUMMYFUNCTION("""COMPUTED_VALUE"""),151.0)</f>
        <v>151</v>
      </c>
      <c r="B3420" s="4">
        <f>IFERROR(__xludf.DUMMYFUNCTION("""COMPUTED_VALUE"""),151.0)</f>
        <v>151</v>
      </c>
      <c r="C3420" s="4" t="str">
        <f>IFERROR(__xludf.DUMMYFUNCTION("""COMPUTED_VALUE"""),"NYK")</f>
        <v>NYK</v>
      </c>
      <c r="D3420" s="4" t="str">
        <f>IFERROR(__xludf.DUMMYFUNCTION("""COMPUTED_VALUE"""),"Desi Barmore")</f>
        <v>Desi Barmore</v>
      </c>
      <c r="E3420" s="4" t="str">
        <f>IFERROR(__xludf.DUMMYFUNCTION("""COMPUTED_VALUE"""),"Fresno State")</f>
        <v>Fresno State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</row>
    <row r="3421">
      <c r="A3421" s="4">
        <f>IFERROR(__xludf.DUMMYFUNCTION("""COMPUTED_VALUE"""),152.0)</f>
        <v>152</v>
      </c>
      <c r="B3421" s="4">
        <f>IFERROR(__xludf.DUMMYFUNCTION("""COMPUTED_VALUE"""),152.0)</f>
        <v>152</v>
      </c>
      <c r="C3421" s="4" t="str">
        <f>IFERROR(__xludf.DUMMYFUNCTION("""COMPUTED_VALUE"""),"KCK")</f>
        <v>KCK</v>
      </c>
      <c r="D3421" s="4" t="str">
        <f>IFERROR(__xludf.DUMMYFUNCTION("""COMPUTED_VALUE"""),"Dane Suttle")</f>
        <v>Dane Suttle</v>
      </c>
      <c r="E3421" s="4" t="str">
        <f>IFERROR(__xludf.DUMMYFUNCTION("""COMPUTED_VALUE"""),"Pepperdine")</f>
        <v>Pepperdine</v>
      </c>
      <c r="F3421" s="4">
        <f>IFERROR(__xludf.DUMMYFUNCTION("""COMPUTED_VALUE"""),2.0)</f>
        <v>2</v>
      </c>
      <c r="G3421" s="4">
        <f>IFERROR(__xludf.DUMMYFUNCTION("""COMPUTED_VALUE"""),46.0)</f>
        <v>46</v>
      </c>
      <c r="H3421" s="4">
        <f>IFERROR(__xludf.DUMMYFUNCTION("""COMPUTED_VALUE"""),493.0)</f>
        <v>493</v>
      </c>
      <c r="I3421" s="4">
        <f>IFERROR(__xludf.DUMMYFUNCTION("""COMPUTED_VALUE"""),272.0)</f>
        <v>272</v>
      </c>
      <c r="J3421" s="4">
        <f>IFERROR(__xludf.DUMMYFUNCTION("""COMPUTED_VALUE"""),49.0)</f>
        <v>49</v>
      </c>
      <c r="K3421" s="4">
        <f>IFERROR(__xludf.DUMMYFUNCTION("""COMPUTED_VALUE"""),48.0)</f>
        <v>48</v>
      </c>
      <c r="L3421" s="4">
        <f>IFERROR(__xludf.DUMMYFUNCTION("""COMPUTED_VALUE"""),0.507)</f>
        <v>0.507</v>
      </c>
      <c r="M3421" s="4">
        <f>IFERROR(__xludf.DUMMYFUNCTION("""COMPUTED_VALUE"""),0.0)</f>
        <v>0</v>
      </c>
      <c r="N3421" s="4">
        <f>IFERROR(__xludf.DUMMYFUNCTION("""COMPUTED_VALUE"""),0.857)</f>
        <v>0.857</v>
      </c>
      <c r="O3421" s="4">
        <f>IFERROR(__xludf.DUMMYFUNCTION("""COMPUTED_VALUE"""),10.7)</f>
        <v>10.7</v>
      </c>
      <c r="P3421" s="4">
        <f>IFERROR(__xludf.DUMMYFUNCTION("""COMPUTED_VALUE"""),5.9)</f>
        <v>5.9</v>
      </c>
      <c r="Q3421" s="4">
        <f>IFERROR(__xludf.DUMMYFUNCTION("""COMPUTED_VALUE"""),1.1)</f>
        <v>1.1</v>
      </c>
      <c r="R3421" s="4">
        <f>IFERROR(__xludf.DUMMYFUNCTION("""COMPUTED_VALUE"""),1.0)</f>
        <v>1</v>
      </c>
      <c r="S3421" s="4">
        <f>IFERROR(__xludf.DUMMYFUNCTION("""COMPUTED_VALUE"""),1.0)</f>
        <v>1</v>
      </c>
      <c r="T3421" s="4">
        <f>IFERROR(__xludf.DUMMYFUNCTION("""COMPUTED_VALUE"""),0.093)</f>
        <v>0.093</v>
      </c>
      <c r="U3421" s="4">
        <f>IFERROR(__xludf.DUMMYFUNCTION("""COMPUTED_VALUE"""),-0.5)</f>
        <v>-0.5</v>
      </c>
      <c r="V3421" s="4">
        <f>IFERROR(__xludf.DUMMYFUNCTION("""COMPUTED_VALUE"""),0.2)</f>
        <v>0.2</v>
      </c>
    </row>
    <row r="3422">
      <c r="A3422" s="4">
        <f>IFERROR(__xludf.DUMMYFUNCTION("""COMPUTED_VALUE"""),153.0)</f>
        <v>153</v>
      </c>
      <c r="B3422" s="4">
        <f>IFERROR(__xludf.DUMMYFUNCTION("""COMPUTED_VALUE"""),153.0)</f>
        <v>153</v>
      </c>
      <c r="C3422" s="4" t="str">
        <f>IFERROR(__xludf.DUMMYFUNCTION("""COMPUTED_VALUE"""),"DEN")</f>
        <v>DEN</v>
      </c>
      <c r="D3422" s="4" t="str">
        <f>IFERROR(__xludf.DUMMYFUNCTION("""COMPUTED_VALUE"""),"Maurice McDaniel")</f>
        <v>Maurice McDaniel</v>
      </c>
      <c r="E3422" s="4" t="str">
        <f>IFERROR(__xludf.DUMMYFUNCTION("""COMPUTED_VALUE"""),"Catawba College")</f>
        <v>Catawba College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</row>
    <row r="3423">
      <c r="A3423" s="4">
        <f>IFERROR(__xludf.DUMMYFUNCTION("""COMPUTED_VALUE"""),154.0)</f>
        <v>154</v>
      </c>
      <c r="B3423" s="4">
        <f>IFERROR(__xludf.DUMMYFUNCTION("""COMPUTED_VALUE"""),154.0)</f>
        <v>154</v>
      </c>
      <c r="C3423" s="4" t="str">
        <f>IFERROR(__xludf.DUMMYFUNCTION("""COMPUTED_VALUE"""),"POR")</f>
        <v>POR</v>
      </c>
      <c r="D3423" s="4" t="str">
        <f>IFERROR(__xludf.DUMMYFUNCTION("""COMPUTED_VALUE"""),"Paul Little")</f>
        <v>Paul Little</v>
      </c>
      <c r="E3423" s="4" t="str">
        <f>IFERROR(__xludf.DUMMYFUNCTION("""COMPUTED_VALUE"""),"Penn")</f>
        <v>Penn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</row>
    <row r="3424">
      <c r="A3424" s="4">
        <f>IFERROR(__xludf.DUMMYFUNCTION("""COMPUTED_VALUE"""),155.0)</f>
        <v>155</v>
      </c>
      <c r="B3424" s="4">
        <f>IFERROR(__xludf.DUMMYFUNCTION("""COMPUTED_VALUE"""),155.0)</f>
        <v>155</v>
      </c>
      <c r="C3424" s="4" t="str">
        <f>IFERROR(__xludf.DUMMYFUNCTION("""COMPUTED_VALUE"""),"SEA")</f>
        <v>SEA</v>
      </c>
      <c r="D3424" s="4" t="str">
        <f>IFERROR(__xludf.DUMMYFUNCTION("""COMPUTED_VALUE"""),"Tony Gattis")</f>
        <v>Tony Gattis</v>
      </c>
      <c r="E3424" s="4" t="str">
        <f>IFERROR(__xludf.DUMMYFUNCTION("""COMPUTED_VALUE"""),"Mercer University")</f>
        <v>Mercer University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</row>
    <row r="3425">
      <c r="A3425" s="4">
        <f>IFERROR(__xludf.DUMMYFUNCTION("""COMPUTED_VALUE"""),156.0)</f>
        <v>156</v>
      </c>
      <c r="B3425" s="4">
        <f>IFERROR(__xludf.DUMMYFUNCTION("""COMPUTED_VALUE"""),156.0)</f>
        <v>156</v>
      </c>
      <c r="C3425" s="4" t="str">
        <f>IFERROR(__xludf.DUMMYFUNCTION("""COMPUTED_VALUE"""),"NJN")</f>
        <v>NJN</v>
      </c>
      <c r="D3425" s="4" t="str">
        <f>IFERROR(__xludf.DUMMYFUNCTION("""COMPUTED_VALUE"""),"Keith Bennett")</f>
        <v>Keith Bennett</v>
      </c>
      <c r="E3425" s="4" t="str">
        <f>IFERROR(__xludf.DUMMYFUNCTION("""COMPUTED_VALUE"""),"Sacred Heart University")</f>
        <v>Sacred Heart University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</row>
    <row r="3426">
      <c r="A3426" s="4">
        <f>IFERROR(__xludf.DUMMYFUNCTION("""COMPUTED_VALUE"""),157.0)</f>
        <v>157</v>
      </c>
      <c r="B3426" s="4">
        <f>IFERROR(__xludf.DUMMYFUNCTION("""COMPUTED_VALUE"""),157.0)</f>
        <v>157</v>
      </c>
      <c r="C3426" s="4" t="str">
        <f>IFERROR(__xludf.DUMMYFUNCTION("""COMPUTED_VALUE"""),"MIL")</f>
        <v>MIL</v>
      </c>
      <c r="D3426" s="4" t="str">
        <f>IFERROR(__xludf.DUMMYFUNCTION("""COMPUTED_VALUE"""),"Anthony Hicks")</f>
        <v>Anthony Hicks</v>
      </c>
      <c r="E3426" s="4" t="str">
        <f>IFERROR(__xludf.DUMMYFUNCTION("""COMPUTED_VALUE"""),"Xavier")</f>
        <v>Xavier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</row>
    <row r="3427">
      <c r="A3427" s="4">
        <f>IFERROR(__xludf.DUMMYFUNCTION("""COMPUTED_VALUE"""),158.0)</f>
        <v>158</v>
      </c>
      <c r="B3427" s="4">
        <f>IFERROR(__xludf.DUMMYFUNCTION("""COMPUTED_VALUE"""),158.0)</f>
        <v>158</v>
      </c>
      <c r="C3427" s="4" t="str">
        <f>IFERROR(__xludf.DUMMYFUNCTION("""COMPUTED_VALUE"""),"SAS")</f>
        <v>SAS</v>
      </c>
      <c r="D3427" s="4" t="str">
        <f>IFERROR(__xludf.DUMMYFUNCTION("""COMPUTED_VALUE"""),"Keith Williams")</f>
        <v>Keith Williams</v>
      </c>
      <c r="E3427" s="4" t="str">
        <f>IFERROR(__xludf.DUMMYFUNCTION("""COMPUTED_VALUE"""),"Oklahoma Panhandle State University")</f>
        <v>Oklahoma Panhandle State University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</row>
    <row r="3428">
      <c r="A3428" s="4">
        <f>IFERROR(__xludf.DUMMYFUNCTION("""COMPUTED_VALUE"""),159.0)</f>
        <v>159</v>
      </c>
      <c r="B3428" s="4">
        <f>IFERROR(__xludf.DUMMYFUNCTION("""COMPUTED_VALUE"""),159.0)</f>
        <v>159</v>
      </c>
      <c r="C3428" s="4" t="str">
        <f>IFERROR(__xludf.DUMMYFUNCTION("""COMPUTED_VALUE"""),"PHO")</f>
        <v>PHO</v>
      </c>
      <c r="D3428" s="4" t="str">
        <f>IFERROR(__xludf.DUMMYFUNCTION("""COMPUTED_VALUE"""),"Fred Brown")</f>
        <v>Fred Brown</v>
      </c>
      <c r="E3428" s="4" t="str">
        <f>IFERROR(__xludf.DUMMYFUNCTION("""COMPUTED_VALUE"""),"VCU")</f>
        <v>VCU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</row>
    <row r="3429">
      <c r="A3429" s="4">
        <f>IFERROR(__xludf.DUMMYFUNCTION("""COMPUTED_VALUE"""),160.0)</f>
        <v>160</v>
      </c>
      <c r="B3429" s="4">
        <f>IFERROR(__xludf.DUMMYFUNCTION("""COMPUTED_VALUE"""),160.0)</f>
        <v>160</v>
      </c>
      <c r="C3429" s="4" t="str">
        <f>IFERROR(__xludf.DUMMYFUNCTION("""COMPUTED_VALUE"""),"BOS")</f>
        <v>BOS</v>
      </c>
      <c r="D3429" s="4" t="str">
        <f>IFERROR(__xludf.DUMMYFUNCTION("""COMPUTED_VALUE"""),"Ron Jackson")</f>
        <v>Ron Jackson</v>
      </c>
      <c r="E3429" s="4" t="str">
        <f>IFERROR(__xludf.DUMMYFUNCTION("""COMPUTED_VALUE"""),"Providence")</f>
        <v>Providence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</row>
    <row r="3430">
      <c r="A3430" s="4">
        <f>IFERROR(__xludf.DUMMYFUNCTION("""COMPUTED_VALUE"""),161.0)</f>
        <v>161</v>
      </c>
      <c r="B3430" s="4">
        <f>IFERROR(__xludf.DUMMYFUNCTION("""COMPUTED_VALUE"""),161.0)</f>
        <v>161</v>
      </c>
      <c r="C3430" s="4" t="str">
        <f>IFERROR(__xludf.DUMMYFUNCTION("""COMPUTED_VALUE"""),"LAL")</f>
        <v>LAL</v>
      </c>
      <c r="D3430" s="4" t="str">
        <f>IFERROR(__xludf.DUMMYFUNCTION("""COMPUTED_VALUE"""),"Ricky Mixon")</f>
        <v>Ricky Mixon</v>
      </c>
      <c r="E3430" s="4" t="str">
        <f>IFERROR(__xludf.DUMMYFUNCTION("""COMPUTED_VALUE"""),"Cal State Fullerton")</f>
        <v>Cal State Fullerton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</row>
    <row r="3431">
      <c r="A3431" s="4">
        <f>IFERROR(__xludf.DUMMYFUNCTION("""COMPUTED_VALUE"""),162.0)</f>
        <v>162</v>
      </c>
      <c r="B3431" s="4">
        <f>IFERROR(__xludf.DUMMYFUNCTION("""COMPUTED_VALUE"""),162.0)</f>
        <v>162</v>
      </c>
      <c r="C3431" s="4" t="str">
        <f>IFERROR(__xludf.DUMMYFUNCTION("""COMPUTED_VALUE"""),"PHI")</f>
        <v>PHI</v>
      </c>
      <c r="D3431" s="4" t="str">
        <f>IFERROR(__xludf.DUMMYFUNCTION("""COMPUTED_VALUE"""),"Tony Bruin")</f>
        <v>Tony Bruin</v>
      </c>
      <c r="E3431" s="4" t="str">
        <f>IFERROR(__xludf.DUMMYFUNCTION("""COMPUTED_VALUE"""),"Syracuse")</f>
        <v>Syracuse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</row>
    <row r="3432">
      <c r="A3432" s="4"/>
      <c r="B3432" s="4"/>
      <c r="C3432" s="4"/>
      <c r="D3432" s="4" t="str">
        <f>IFERROR(__xludf.DUMMYFUNCTION("""COMPUTED_VALUE"""),"Round 8")</f>
        <v>Round 8</v>
      </c>
      <c r="E3432" s="4"/>
      <c r="F3432" s="4"/>
      <c r="G3432" s="4" t="str">
        <f>IFERROR(__xludf.DUMMYFUNCTION("""COMPUTED_VALUE"""),"Totals")</f>
        <v>Totals</v>
      </c>
      <c r="H3432" s="4"/>
      <c r="I3432" s="4"/>
      <c r="J3432" s="4"/>
      <c r="K3432" s="4"/>
      <c r="L3432" s="4" t="str">
        <f>IFERROR(__xludf.DUMMYFUNCTION("""COMPUTED_VALUE"""),"Shooting")</f>
        <v>Shooting</v>
      </c>
      <c r="M3432" s="4"/>
      <c r="N3432" s="4"/>
      <c r="O3432" s="4" t="str">
        <f>IFERROR(__xludf.DUMMYFUNCTION("""COMPUTED_VALUE"""),"Per Game")</f>
        <v>Per Game</v>
      </c>
      <c r="P3432" s="4"/>
      <c r="Q3432" s="4"/>
      <c r="R3432" s="4"/>
      <c r="S3432" s="4" t="str">
        <f>IFERROR(__xludf.DUMMYFUNCTION("""COMPUTED_VALUE"""),"Advanced")</f>
        <v>Advanced</v>
      </c>
      <c r="T3432" s="4"/>
      <c r="U3432" s="4"/>
      <c r="V3432" s="4"/>
    </row>
    <row r="3433">
      <c r="A3433" s="4" t="str">
        <f>IFERROR(__xludf.DUMMYFUNCTION("""COMPUTED_VALUE"""),"Rk")</f>
        <v>Rk</v>
      </c>
      <c r="B3433" s="4" t="str">
        <f>IFERROR(__xludf.DUMMYFUNCTION("""COMPUTED_VALUE"""),"Pk")</f>
        <v>Pk</v>
      </c>
      <c r="C3433" s="4" t="str">
        <f>IFERROR(__xludf.DUMMYFUNCTION("""COMPUTED_VALUE"""),"Tm")</f>
        <v>Tm</v>
      </c>
      <c r="D3433" s="4" t="str">
        <f>IFERROR(__xludf.DUMMYFUNCTION("""COMPUTED_VALUE"""),"Player")</f>
        <v>Player</v>
      </c>
      <c r="E3433" s="4" t="str">
        <f>IFERROR(__xludf.DUMMYFUNCTION("""COMPUTED_VALUE"""),"College")</f>
        <v>College</v>
      </c>
      <c r="F3433" s="4" t="str">
        <f>IFERROR(__xludf.DUMMYFUNCTION("""COMPUTED_VALUE"""),"Yrs")</f>
        <v>Yrs</v>
      </c>
      <c r="G3433" s="4" t="str">
        <f>IFERROR(__xludf.DUMMYFUNCTION("""COMPUTED_VALUE"""),"G")</f>
        <v>G</v>
      </c>
      <c r="H3433" s="4" t="str">
        <f>IFERROR(__xludf.DUMMYFUNCTION("""COMPUTED_VALUE"""),"MP")</f>
        <v>MP</v>
      </c>
      <c r="I3433" s="4" t="str">
        <f>IFERROR(__xludf.DUMMYFUNCTION("""COMPUTED_VALUE"""),"PTS")</f>
        <v>PTS</v>
      </c>
      <c r="J3433" s="4" t="str">
        <f>IFERROR(__xludf.DUMMYFUNCTION("""COMPUTED_VALUE"""),"TRB")</f>
        <v>TRB</v>
      </c>
      <c r="K3433" s="4" t="str">
        <f>IFERROR(__xludf.DUMMYFUNCTION("""COMPUTED_VALUE"""),"AST")</f>
        <v>AST</v>
      </c>
      <c r="L3433" s="4" t="str">
        <f>IFERROR(__xludf.DUMMYFUNCTION("""COMPUTED_VALUE"""),"FG%")</f>
        <v>FG%</v>
      </c>
      <c r="M3433" s="4" t="str">
        <f>IFERROR(__xludf.DUMMYFUNCTION("""COMPUTED_VALUE"""),"3P%")</f>
        <v>3P%</v>
      </c>
      <c r="N3433" s="4" t="str">
        <f>IFERROR(__xludf.DUMMYFUNCTION("""COMPUTED_VALUE"""),"FT%")</f>
        <v>FT%</v>
      </c>
      <c r="O3433" s="4" t="str">
        <f>IFERROR(__xludf.DUMMYFUNCTION("""COMPUTED_VALUE"""),"MP")</f>
        <v>MP</v>
      </c>
      <c r="P3433" s="4" t="str">
        <f>IFERROR(__xludf.DUMMYFUNCTION("""COMPUTED_VALUE"""),"PTS")</f>
        <v>PTS</v>
      </c>
      <c r="Q3433" s="4" t="str">
        <f>IFERROR(__xludf.DUMMYFUNCTION("""COMPUTED_VALUE"""),"TRB")</f>
        <v>TRB</v>
      </c>
      <c r="R3433" s="4" t="str">
        <f>IFERROR(__xludf.DUMMYFUNCTION("""COMPUTED_VALUE"""),"AST")</f>
        <v>AST</v>
      </c>
      <c r="S3433" s="4" t="str">
        <f>IFERROR(__xludf.DUMMYFUNCTION("""COMPUTED_VALUE"""),"WS")</f>
        <v>WS</v>
      </c>
      <c r="T3433" s="4" t="str">
        <f>IFERROR(__xludf.DUMMYFUNCTION("""COMPUTED_VALUE"""),"WS/48")</f>
        <v>WS/48</v>
      </c>
      <c r="U3433" s="4" t="str">
        <f>IFERROR(__xludf.DUMMYFUNCTION("""COMPUTED_VALUE"""),"BPM")</f>
        <v>BPM</v>
      </c>
      <c r="V3433" s="4" t="str">
        <f>IFERROR(__xludf.DUMMYFUNCTION("""COMPUTED_VALUE"""),"VORP")</f>
        <v>VORP</v>
      </c>
    </row>
    <row r="3434">
      <c r="A3434" s="4">
        <f>IFERROR(__xludf.DUMMYFUNCTION("""COMPUTED_VALUE"""),163.0)</f>
        <v>163</v>
      </c>
      <c r="B3434" s="4">
        <f>IFERROR(__xludf.DUMMYFUNCTION("""COMPUTED_VALUE"""),163.0)</f>
        <v>163</v>
      </c>
      <c r="C3434" s="4" t="str">
        <f>IFERROR(__xludf.DUMMYFUNCTION("""COMPUTED_VALUE"""),"HOU")</f>
        <v>HOU</v>
      </c>
      <c r="D3434" s="4" t="str">
        <f>IFERROR(__xludf.DUMMYFUNCTION("""COMPUTED_VALUE"""),"Jeff Bolding")</f>
        <v>Jeff Bolding</v>
      </c>
      <c r="E3434" s="4" t="str">
        <f>IFERROR(__xludf.DUMMYFUNCTION("""COMPUTED_VALUE"""),"Arkansas State University")</f>
        <v>Arkansas State University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</row>
    <row r="3435">
      <c r="A3435" s="4">
        <f>IFERROR(__xludf.DUMMYFUNCTION("""COMPUTED_VALUE"""),164.0)</f>
        <v>164</v>
      </c>
      <c r="B3435" s="4">
        <f>IFERROR(__xludf.DUMMYFUNCTION("""COMPUTED_VALUE"""),164.0)</f>
        <v>164</v>
      </c>
      <c r="C3435" s="4" t="str">
        <f>IFERROR(__xludf.DUMMYFUNCTION("""COMPUTED_VALUE"""),"IND")</f>
        <v>IND</v>
      </c>
      <c r="D3435" s="4" t="str">
        <f>IFERROR(__xludf.DUMMYFUNCTION("""COMPUTED_VALUE"""),"Ray McCallum")</f>
        <v>Ray McCallum</v>
      </c>
      <c r="E3435" s="4" t="str">
        <f>IFERROR(__xludf.DUMMYFUNCTION("""COMPUTED_VALUE"""),"Ball State University")</f>
        <v>Ball State University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</row>
    <row r="3436">
      <c r="A3436" s="4">
        <f>IFERROR(__xludf.DUMMYFUNCTION("""COMPUTED_VALUE"""),165.0)</f>
        <v>165</v>
      </c>
      <c r="B3436" s="4">
        <f>IFERROR(__xludf.DUMMYFUNCTION("""COMPUTED_VALUE"""),165.0)</f>
        <v>165</v>
      </c>
      <c r="C3436" s="4" t="str">
        <f>IFERROR(__xludf.DUMMYFUNCTION("""COMPUTED_VALUE"""),"CLE")</f>
        <v>CLE</v>
      </c>
      <c r="D3436" s="4" t="str">
        <f>IFERROR(__xludf.DUMMYFUNCTION("""COMPUTED_VALUE"""),"Larry Tucker")</f>
        <v>Larry Tucker</v>
      </c>
      <c r="E3436" s="4" t="str">
        <f>IFERROR(__xludf.DUMMYFUNCTION("""COMPUTED_VALUE"""),"Lewis (IL)")</f>
        <v>Lewis (IL)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</row>
    <row r="3437">
      <c r="A3437" s="4">
        <f>IFERROR(__xludf.DUMMYFUNCTION("""COMPUTED_VALUE"""),166.0)</f>
        <v>166</v>
      </c>
      <c r="B3437" s="4">
        <f>IFERROR(__xludf.DUMMYFUNCTION("""COMPUTED_VALUE"""),166.0)</f>
        <v>166</v>
      </c>
      <c r="C3437" s="4" t="str">
        <f>IFERROR(__xludf.DUMMYFUNCTION("""COMPUTED_VALUE"""),"SDC")</f>
        <v>SDC</v>
      </c>
      <c r="D3437" s="4" t="str">
        <f>IFERROR(__xludf.DUMMYFUNCTION("""COMPUTED_VALUE"""),"Mark Gannon")</f>
        <v>Mark Gannon</v>
      </c>
      <c r="E3437" s="4" t="str">
        <f>IFERROR(__xludf.DUMMYFUNCTION("""COMPUTED_VALUE"""),"Iowa")</f>
        <v>Iowa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</row>
    <row r="3438">
      <c r="A3438" s="4">
        <f>IFERROR(__xludf.DUMMYFUNCTION("""COMPUTED_VALUE"""),167.0)</f>
        <v>167</v>
      </c>
      <c r="B3438" s="4">
        <f>IFERROR(__xludf.DUMMYFUNCTION("""COMPUTED_VALUE"""),167.0)</f>
        <v>167</v>
      </c>
      <c r="C3438" s="4" t="str">
        <f>IFERROR(__xludf.DUMMYFUNCTION("""COMPUTED_VALUE"""),"CHI")</f>
        <v>CHI</v>
      </c>
      <c r="D3438" s="4" t="str">
        <f>IFERROR(__xludf.DUMMYFUNCTION("""COMPUTED_VALUE"""),"Terry Bradley")</f>
        <v>Terry Bradley</v>
      </c>
      <c r="E3438" s="4" t="str">
        <f>IFERROR(__xludf.DUMMYFUNCTION("""COMPUTED_VALUE"""),"Chicago State")</f>
        <v>Chicago State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</row>
    <row r="3439">
      <c r="A3439" s="4">
        <f>IFERROR(__xludf.DUMMYFUNCTION("""COMPUTED_VALUE"""),168.0)</f>
        <v>168</v>
      </c>
      <c r="B3439" s="4">
        <f>IFERROR(__xludf.DUMMYFUNCTION("""COMPUTED_VALUE"""),168.0)</f>
        <v>168</v>
      </c>
      <c r="C3439" s="4" t="str">
        <f>IFERROR(__xludf.DUMMYFUNCTION("""COMPUTED_VALUE"""),"UTA")</f>
        <v>UTA</v>
      </c>
      <c r="D3439" s="4" t="str">
        <f>IFERROR(__xludf.DUMMYFUNCTION("""COMPUTED_VALUE"""),"Michael McCombs")</f>
        <v>Michael McCombs</v>
      </c>
      <c r="E3439" s="4" t="str">
        <f>IFERROR(__xludf.DUMMYFUNCTION("""COMPUTED_VALUE"""),"College of Santa Fe")</f>
        <v>College of Santa Fe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</row>
    <row r="3440">
      <c r="A3440" s="4">
        <f>IFERROR(__xludf.DUMMYFUNCTION("""COMPUTED_VALUE"""),169.0)</f>
        <v>169</v>
      </c>
      <c r="B3440" s="4">
        <f>IFERROR(__xludf.DUMMYFUNCTION("""COMPUTED_VALUE"""),169.0)</f>
        <v>169</v>
      </c>
      <c r="C3440" s="4" t="str">
        <f>IFERROR(__xludf.DUMMYFUNCTION("""COMPUTED_VALUE"""),"GSW")</f>
        <v>GSW</v>
      </c>
      <c r="D3440" s="4" t="str">
        <f>IFERROR(__xludf.DUMMYFUNCTION("""COMPUTED_VALUE"""),"Doug Harris")</f>
        <v>Doug Harris</v>
      </c>
      <c r="E3440" s="4" t="str">
        <f>IFERROR(__xludf.DUMMYFUNCTION("""COMPUTED_VALUE"""),"Central Washington University")</f>
        <v>Central Washington University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</row>
    <row r="3441">
      <c r="A3441" s="4">
        <f>IFERROR(__xludf.DUMMYFUNCTION("""COMPUTED_VALUE"""),170.0)</f>
        <v>170</v>
      </c>
      <c r="B3441" s="4">
        <f>IFERROR(__xludf.DUMMYFUNCTION("""COMPUTED_VALUE"""),170.0)</f>
        <v>170</v>
      </c>
      <c r="C3441" s="4" t="str">
        <f>IFERROR(__xludf.DUMMYFUNCTION("""COMPUTED_VALUE"""),"DET")</f>
        <v>DET</v>
      </c>
      <c r="D3441" s="4" t="str">
        <f>IFERROR(__xludf.DUMMYFUNCTION("""COMPUTED_VALUE"""),"George Wenzel")</f>
        <v>George Wenzel</v>
      </c>
      <c r="E3441" s="4" t="str">
        <f>IFERROR(__xludf.DUMMYFUNCTION("""COMPUTED_VALUE"""),"Augustana College (IL)")</f>
        <v>Augustana College (IL)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</row>
    <row r="3442">
      <c r="A3442" s="4">
        <f>IFERROR(__xludf.DUMMYFUNCTION("""COMPUTED_VALUE"""),171.0)</f>
        <v>171</v>
      </c>
      <c r="B3442" s="4">
        <f>IFERROR(__xludf.DUMMYFUNCTION("""COMPUTED_VALUE"""),171.0)</f>
        <v>171</v>
      </c>
      <c r="C3442" s="4" t="str">
        <f>IFERROR(__xludf.DUMMYFUNCTION("""COMPUTED_VALUE"""),"DAL")</f>
        <v>DAL</v>
      </c>
      <c r="D3442" s="4" t="str">
        <f>IFERROR(__xludf.DUMMYFUNCTION("""COMPUTED_VALUE"""),"Bill Sadler")</f>
        <v>Bill Sadler</v>
      </c>
      <c r="E3442" s="4" t="str">
        <f>IFERROR(__xludf.DUMMYFUNCTION("""COMPUTED_VALUE"""),"Pepperdine")</f>
        <v>Pepperdine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</row>
    <row r="3443">
      <c r="A3443" s="4">
        <f>IFERROR(__xludf.DUMMYFUNCTION("""COMPUTED_VALUE"""),172.0)</f>
        <v>172</v>
      </c>
      <c r="B3443" s="4">
        <f>IFERROR(__xludf.DUMMYFUNCTION("""COMPUTED_VALUE"""),172.0)</f>
        <v>172</v>
      </c>
      <c r="C3443" s="4" t="str">
        <f>IFERROR(__xludf.DUMMYFUNCTION("""COMPUTED_VALUE"""),"WSB")</f>
        <v>WSB</v>
      </c>
      <c r="D3443" s="4" t="str">
        <f>IFERROR(__xludf.DUMMYFUNCTION("""COMPUTED_VALUE"""),"Bernard Perry")</f>
        <v>Bernard Perry</v>
      </c>
      <c r="E3443" s="4" t="str">
        <f>IFERROR(__xludf.DUMMYFUNCTION("""COMPUTED_VALUE"""),"Howard University")</f>
        <v>Howard University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</row>
    <row r="3444">
      <c r="A3444" s="4">
        <f>IFERROR(__xludf.DUMMYFUNCTION("""COMPUTED_VALUE"""),173.0)</f>
        <v>173</v>
      </c>
      <c r="B3444" s="4">
        <f>IFERROR(__xludf.DUMMYFUNCTION("""COMPUTED_VALUE"""),173.0)</f>
        <v>173</v>
      </c>
      <c r="C3444" s="4" t="str">
        <f>IFERROR(__xludf.DUMMYFUNCTION("""COMPUTED_VALUE"""),"ATL")</f>
        <v>ATL</v>
      </c>
      <c r="D3444" s="4" t="str">
        <f>IFERROR(__xludf.DUMMYFUNCTION("""COMPUTED_VALUE"""),"George Thomas")</f>
        <v>George Thomas</v>
      </c>
      <c r="E3444" s="4" t="str">
        <f>IFERROR(__xludf.DUMMYFUNCTION("""COMPUTED_VALUE"""),"Georgia Tech")</f>
        <v>Georgia Tech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</row>
    <row r="3445">
      <c r="A3445" s="4">
        <f>IFERROR(__xludf.DUMMYFUNCTION("""COMPUTED_VALUE"""),174.0)</f>
        <v>174</v>
      </c>
      <c r="B3445" s="4">
        <f>IFERROR(__xludf.DUMMYFUNCTION("""COMPUTED_VALUE"""),174.0)</f>
        <v>174</v>
      </c>
      <c r="C3445" s="4" t="str">
        <f>IFERROR(__xludf.DUMMYFUNCTION("""COMPUTED_VALUE"""),"NYK")</f>
        <v>NYK</v>
      </c>
      <c r="D3445" s="4" t="str">
        <f>IFERROR(__xludf.DUMMYFUNCTION("""COMPUTED_VALUE"""),"Mike Lang")</f>
        <v>Mike Lang</v>
      </c>
      <c r="E3445" s="4" t="str">
        <f>IFERROR(__xludf.DUMMYFUNCTION("""COMPUTED_VALUE"""),"Penn State")</f>
        <v>Penn State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</row>
    <row r="3446">
      <c r="A3446" s="4">
        <f>IFERROR(__xludf.DUMMYFUNCTION("""COMPUTED_VALUE"""),175.0)</f>
        <v>175</v>
      </c>
      <c r="B3446" s="4">
        <f>IFERROR(__xludf.DUMMYFUNCTION("""COMPUTED_VALUE"""),175.0)</f>
        <v>175</v>
      </c>
      <c r="C3446" s="4" t="str">
        <f>IFERROR(__xludf.DUMMYFUNCTION("""COMPUTED_VALUE"""),"DEN")</f>
        <v>DEN</v>
      </c>
      <c r="D3446" s="4" t="str">
        <f>IFERROR(__xludf.DUMMYFUNCTION("""COMPUTED_VALUE"""),"Cliff Tribus")</f>
        <v>Cliff Tribus</v>
      </c>
      <c r="E3446" s="4" t="str">
        <f>IFERROR(__xludf.DUMMYFUNCTION("""COMPUTED_VALUE"""),"Davidson")</f>
        <v>Davidson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</row>
    <row r="3447">
      <c r="A3447" s="4">
        <f>IFERROR(__xludf.DUMMYFUNCTION("""COMPUTED_VALUE"""),176.0)</f>
        <v>176</v>
      </c>
      <c r="B3447" s="4">
        <f>IFERROR(__xludf.DUMMYFUNCTION("""COMPUTED_VALUE"""),176.0)</f>
        <v>176</v>
      </c>
      <c r="C3447" s="4" t="str">
        <f>IFERROR(__xludf.DUMMYFUNCTION("""COMPUTED_VALUE"""),"KCK")</f>
        <v>KCK</v>
      </c>
      <c r="D3447" s="4" t="str">
        <f>IFERROR(__xludf.DUMMYFUNCTION("""COMPUTED_VALUE"""),"Preston Neumayr")</f>
        <v>Preston Neumayr</v>
      </c>
      <c r="E3447" s="4" t="str">
        <f>IFERROR(__xludf.DUMMYFUNCTION("""COMPUTED_VALUE"""),"UC-Davis")</f>
        <v>UC-Davis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</row>
    <row r="3448">
      <c r="A3448" s="4">
        <f>IFERROR(__xludf.DUMMYFUNCTION("""COMPUTED_VALUE"""),177.0)</f>
        <v>177</v>
      </c>
      <c r="B3448" s="4">
        <f>IFERROR(__xludf.DUMMYFUNCTION("""COMPUTED_VALUE"""),177.0)</f>
        <v>177</v>
      </c>
      <c r="C3448" s="4" t="str">
        <f>IFERROR(__xludf.DUMMYFUNCTION("""COMPUTED_VALUE"""),"POR")</f>
        <v>POR</v>
      </c>
      <c r="D3448" s="4" t="str">
        <f>IFERROR(__xludf.DUMMYFUNCTION("""COMPUTED_VALUE"""),"Frank Smith")</f>
        <v>Frank Smith</v>
      </c>
      <c r="E3448" s="4" t="str">
        <f>IFERROR(__xludf.DUMMYFUNCTION("""COMPUTED_VALUE"""),"Arizona")</f>
        <v>Arizona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</row>
    <row r="3449">
      <c r="A3449" s="4">
        <f>IFERROR(__xludf.DUMMYFUNCTION("""COMPUTED_VALUE"""),178.0)</f>
        <v>178</v>
      </c>
      <c r="B3449" s="4">
        <f>IFERROR(__xludf.DUMMYFUNCTION("""COMPUTED_VALUE"""),178.0)</f>
        <v>178</v>
      </c>
      <c r="C3449" s="4" t="str">
        <f>IFERROR(__xludf.DUMMYFUNCTION("""COMPUTED_VALUE"""),"SEA")</f>
        <v>SEA</v>
      </c>
      <c r="D3449" s="4" t="str">
        <f>IFERROR(__xludf.DUMMYFUNCTION("""COMPUTED_VALUE"""),"Ray Smith")</f>
        <v>Ray Smith</v>
      </c>
      <c r="E3449" s="4" t="str">
        <f>IFERROR(__xludf.DUMMYFUNCTION("""COMPUTED_VALUE"""),"Armstrong Atlantic State University")</f>
        <v>Armstrong Atlantic State University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</row>
    <row r="3450">
      <c r="A3450" s="4">
        <f>IFERROR(__xludf.DUMMYFUNCTION("""COMPUTED_VALUE"""),179.0)</f>
        <v>179</v>
      </c>
      <c r="B3450" s="4">
        <f>IFERROR(__xludf.DUMMYFUNCTION("""COMPUTED_VALUE"""),179.0)</f>
        <v>179</v>
      </c>
      <c r="C3450" s="4" t="str">
        <f>IFERROR(__xludf.DUMMYFUNCTION("""COMPUTED_VALUE"""),"NJN")</f>
        <v>NJN</v>
      </c>
      <c r="D3450" s="4" t="str">
        <f>IFERROR(__xludf.DUMMYFUNCTION("""COMPUTED_VALUE"""),"Joey Myers")</f>
        <v>Joey Myers</v>
      </c>
      <c r="E3450" s="4" t="str">
        <f>IFERROR(__xludf.DUMMYFUNCTION("""COMPUTED_VALUE"""),"Duquesne")</f>
        <v>Duquesne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</row>
    <row r="3451">
      <c r="A3451" s="4">
        <f>IFERROR(__xludf.DUMMYFUNCTION("""COMPUTED_VALUE"""),180.0)</f>
        <v>180</v>
      </c>
      <c r="B3451" s="4">
        <f>IFERROR(__xludf.DUMMYFUNCTION("""COMPUTED_VALUE"""),180.0)</f>
        <v>180</v>
      </c>
      <c r="C3451" s="4" t="str">
        <f>IFERROR(__xludf.DUMMYFUNCTION("""COMPUTED_VALUE"""),"MIL")</f>
        <v>MIL</v>
      </c>
      <c r="D3451" s="4" t="str">
        <f>IFERROR(__xludf.DUMMYFUNCTION("""COMPUTED_VALUE"""),"Brett Burkholder")</f>
        <v>Brett Burkholder</v>
      </c>
      <c r="E3451" s="4" t="str">
        <f>IFERROR(__xludf.DUMMYFUNCTION("""COMPUTED_VALUE"""),"DePaul")</f>
        <v>DePaul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</row>
    <row r="3452">
      <c r="A3452" s="4">
        <f>IFERROR(__xludf.DUMMYFUNCTION("""COMPUTED_VALUE"""),181.0)</f>
        <v>181</v>
      </c>
      <c r="B3452" s="4">
        <f>IFERROR(__xludf.DUMMYFUNCTION("""COMPUTED_VALUE"""),181.0)</f>
        <v>181</v>
      </c>
      <c r="C3452" s="4" t="str">
        <f>IFERROR(__xludf.DUMMYFUNCTION("""COMPUTED_VALUE"""),"PHO")</f>
        <v>PHO</v>
      </c>
      <c r="D3452" s="4" t="str">
        <f>IFERROR(__xludf.DUMMYFUNCTION("""COMPUTED_VALUE"""),"Mike Mulquin")</f>
        <v>Mike Mulquin</v>
      </c>
      <c r="E3452" s="4" t="str">
        <f>IFERROR(__xludf.DUMMYFUNCTION("""COMPUTED_VALUE"""),"Villanova")</f>
        <v>Villanova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</row>
    <row r="3453">
      <c r="A3453" s="4">
        <f>IFERROR(__xludf.DUMMYFUNCTION("""COMPUTED_VALUE"""),182.0)</f>
        <v>182</v>
      </c>
      <c r="B3453" s="4">
        <f>IFERROR(__xludf.DUMMYFUNCTION("""COMPUTED_VALUE"""),182.0)</f>
        <v>182</v>
      </c>
      <c r="C3453" s="4" t="str">
        <f>IFERROR(__xludf.DUMMYFUNCTION("""COMPUTED_VALUE"""),"SAS")</f>
        <v>SAS</v>
      </c>
      <c r="D3453" s="4" t="str">
        <f>IFERROR(__xludf.DUMMYFUNCTION("""COMPUTED_VALUE"""),"Norvell Brown")</f>
        <v>Norvell Brown</v>
      </c>
      <c r="E3453" s="4" t="str">
        <f>IFERROR(__xludf.DUMMYFUNCTION("""COMPUTED_VALUE"""),"Oklahoma Christian University")</f>
        <v>Oklahoma Christian University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</row>
    <row r="3454">
      <c r="A3454" s="4">
        <f>IFERROR(__xludf.DUMMYFUNCTION("""COMPUTED_VALUE"""),183.0)</f>
        <v>183</v>
      </c>
      <c r="B3454" s="4">
        <f>IFERROR(__xludf.DUMMYFUNCTION("""COMPUTED_VALUE"""),183.0)</f>
        <v>183</v>
      </c>
      <c r="C3454" s="4" t="str">
        <f>IFERROR(__xludf.DUMMYFUNCTION("""COMPUTED_VALUE"""),"BOS")</f>
        <v>BOS</v>
      </c>
      <c r="D3454" s="4" t="str">
        <f>IFERROR(__xludf.DUMMYFUNCTION("""COMPUTED_VALUE"""),"Trent Johnson")</f>
        <v>Trent Johnson</v>
      </c>
      <c r="E3454" s="4" t="str">
        <f>IFERROR(__xludf.DUMMYFUNCTION("""COMPUTED_VALUE"""),"Pitt")</f>
        <v>Pitt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</row>
    <row r="3455">
      <c r="A3455" s="4">
        <f>IFERROR(__xludf.DUMMYFUNCTION("""COMPUTED_VALUE"""),184.0)</f>
        <v>184</v>
      </c>
      <c r="B3455" s="4">
        <f>IFERROR(__xludf.DUMMYFUNCTION("""COMPUTED_VALUE"""),184.0)</f>
        <v>184</v>
      </c>
      <c r="C3455" s="4" t="str">
        <f>IFERROR(__xludf.DUMMYFUNCTION("""COMPUTED_VALUE"""),"PHI")</f>
        <v>PHI</v>
      </c>
      <c r="D3455" s="4" t="str">
        <f>IFERROR(__xludf.DUMMYFUNCTION("""COMPUTED_VALUE"""),"Gordon Austin")</f>
        <v>Gordon Austin</v>
      </c>
      <c r="E3455" s="4" t="str">
        <f>IFERROR(__xludf.DUMMYFUNCTION("""COMPUTED_VALUE"""),"American University")</f>
        <v>American University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</row>
    <row r="3456">
      <c r="A3456" s="4"/>
      <c r="B3456" s="4"/>
      <c r="C3456" s="4"/>
      <c r="D3456" s="4" t="str">
        <f>IFERROR(__xludf.DUMMYFUNCTION("""COMPUTED_VALUE"""),"Round 9")</f>
        <v>Round 9</v>
      </c>
      <c r="E3456" s="4"/>
      <c r="F3456" s="4"/>
      <c r="G3456" s="4" t="str">
        <f>IFERROR(__xludf.DUMMYFUNCTION("""COMPUTED_VALUE"""),"Totals")</f>
        <v>Totals</v>
      </c>
      <c r="H3456" s="4"/>
      <c r="I3456" s="4"/>
      <c r="J3456" s="4"/>
      <c r="K3456" s="4"/>
      <c r="L3456" s="4" t="str">
        <f>IFERROR(__xludf.DUMMYFUNCTION("""COMPUTED_VALUE"""),"Shooting")</f>
        <v>Shooting</v>
      </c>
      <c r="M3456" s="4"/>
      <c r="N3456" s="4"/>
      <c r="O3456" s="4" t="str">
        <f>IFERROR(__xludf.DUMMYFUNCTION("""COMPUTED_VALUE"""),"Per Game")</f>
        <v>Per Game</v>
      </c>
      <c r="P3456" s="4"/>
      <c r="Q3456" s="4"/>
      <c r="R3456" s="4"/>
      <c r="S3456" s="4" t="str">
        <f>IFERROR(__xludf.DUMMYFUNCTION("""COMPUTED_VALUE"""),"Advanced")</f>
        <v>Advanced</v>
      </c>
      <c r="T3456" s="4"/>
      <c r="U3456" s="4"/>
      <c r="V3456" s="4"/>
    </row>
    <row r="3457">
      <c r="A3457" s="4" t="str">
        <f>IFERROR(__xludf.DUMMYFUNCTION("""COMPUTED_VALUE"""),"Rk")</f>
        <v>Rk</v>
      </c>
      <c r="B3457" s="4" t="str">
        <f>IFERROR(__xludf.DUMMYFUNCTION("""COMPUTED_VALUE"""),"Pk")</f>
        <v>Pk</v>
      </c>
      <c r="C3457" s="4" t="str">
        <f>IFERROR(__xludf.DUMMYFUNCTION("""COMPUTED_VALUE"""),"Tm")</f>
        <v>Tm</v>
      </c>
      <c r="D3457" s="4" t="str">
        <f>IFERROR(__xludf.DUMMYFUNCTION("""COMPUTED_VALUE"""),"Player")</f>
        <v>Player</v>
      </c>
      <c r="E3457" s="4" t="str">
        <f>IFERROR(__xludf.DUMMYFUNCTION("""COMPUTED_VALUE"""),"College")</f>
        <v>College</v>
      </c>
      <c r="F3457" s="4" t="str">
        <f>IFERROR(__xludf.DUMMYFUNCTION("""COMPUTED_VALUE"""),"Yrs")</f>
        <v>Yrs</v>
      </c>
      <c r="G3457" s="4" t="str">
        <f>IFERROR(__xludf.DUMMYFUNCTION("""COMPUTED_VALUE"""),"G")</f>
        <v>G</v>
      </c>
      <c r="H3457" s="4" t="str">
        <f>IFERROR(__xludf.DUMMYFUNCTION("""COMPUTED_VALUE"""),"MP")</f>
        <v>MP</v>
      </c>
      <c r="I3457" s="4" t="str">
        <f>IFERROR(__xludf.DUMMYFUNCTION("""COMPUTED_VALUE"""),"PTS")</f>
        <v>PTS</v>
      </c>
      <c r="J3457" s="4" t="str">
        <f>IFERROR(__xludf.DUMMYFUNCTION("""COMPUTED_VALUE"""),"TRB")</f>
        <v>TRB</v>
      </c>
      <c r="K3457" s="4" t="str">
        <f>IFERROR(__xludf.DUMMYFUNCTION("""COMPUTED_VALUE"""),"AST")</f>
        <v>AST</v>
      </c>
      <c r="L3457" s="4" t="str">
        <f>IFERROR(__xludf.DUMMYFUNCTION("""COMPUTED_VALUE"""),"FG%")</f>
        <v>FG%</v>
      </c>
      <c r="M3457" s="4" t="str">
        <f>IFERROR(__xludf.DUMMYFUNCTION("""COMPUTED_VALUE"""),"3P%")</f>
        <v>3P%</v>
      </c>
      <c r="N3457" s="4" t="str">
        <f>IFERROR(__xludf.DUMMYFUNCTION("""COMPUTED_VALUE"""),"FT%")</f>
        <v>FT%</v>
      </c>
      <c r="O3457" s="4" t="str">
        <f>IFERROR(__xludf.DUMMYFUNCTION("""COMPUTED_VALUE"""),"MP")</f>
        <v>MP</v>
      </c>
      <c r="P3457" s="4" t="str">
        <f>IFERROR(__xludf.DUMMYFUNCTION("""COMPUTED_VALUE"""),"PTS")</f>
        <v>PTS</v>
      </c>
      <c r="Q3457" s="4" t="str">
        <f>IFERROR(__xludf.DUMMYFUNCTION("""COMPUTED_VALUE"""),"TRB")</f>
        <v>TRB</v>
      </c>
      <c r="R3457" s="4" t="str">
        <f>IFERROR(__xludf.DUMMYFUNCTION("""COMPUTED_VALUE"""),"AST")</f>
        <v>AST</v>
      </c>
      <c r="S3457" s="4" t="str">
        <f>IFERROR(__xludf.DUMMYFUNCTION("""COMPUTED_VALUE"""),"WS")</f>
        <v>WS</v>
      </c>
      <c r="T3457" s="4" t="str">
        <f>IFERROR(__xludf.DUMMYFUNCTION("""COMPUTED_VALUE"""),"WS/48")</f>
        <v>WS/48</v>
      </c>
      <c r="U3457" s="4" t="str">
        <f>IFERROR(__xludf.DUMMYFUNCTION("""COMPUTED_VALUE"""),"BPM")</f>
        <v>BPM</v>
      </c>
      <c r="V3457" s="4" t="str">
        <f>IFERROR(__xludf.DUMMYFUNCTION("""COMPUTED_VALUE"""),"VORP")</f>
        <v>VORP</v>
      </c>
    </row>
    <row r="3458">
      <c r="A3458" s="4">
        <f>IFERROR(__xludf.DUMMYFUNCTION("""COMPUTED_VALUE"""),185.0)</f>
        <v>185</v>
      </c>
      <c r="B3458" s="4">
        <f>IFERROR(__xludf.DUMMYFUNCTION("""COMPUTED_VALUE"""),185.0)</f>
        <v>185</v>
      </c>
      <c r="C3458" s="4" t="str">
        <f>IFERROR(__xludf.DUMMYFUNCTION("""COMPUTED_VALUE"""),"HOU")</f>
        <v>HOU</v>
      </c>
      <c r="D3458" s="4" t="str">
        <f>IFERROR(__xludf.DUMMYFUNCTION("""COMPUTED_VALUE"""),"James Campbell")</f>
        <v>James Campbell</v>
      </c>
      <c r="E3458" s="4" t="str">
        <f>IFERROR(__xludf.DUMMYFUNCTION("""COMPUTED_VALUE"""),"Oklahoma City University")</f>
        <v>Oklahoma City University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</row>
    <row r="3459">
      <c r="A3459" s="4">
        <f>IFERROR(__xludf.DUMMYFUNCTION("""COMPUTED_VALUE"""),186.0)</f>
        <v>186</v>
      </c>
      <c r="B3459" s="4">
        <f>IFERROR(__xludf.DUMMYFUNCTION("""COMPUTED_VALUE"""),186.0)</f>
        <v>186</v>
      </c>
      <c r="C3459" s="4" t="str">
        <f>IFERROR(__xludf.DUMMYFUNCTION("""COMPUTED_VALUE"""),"IND")</f>
        <v>IND</v>
      </c>
      <c r="D3459" s="4" t="str">
        <f>IFERROR(__xludf.DUMMYFUNCTION("""COMPUTED_VALUE"""),"Lynn Mitchem")</f>
        <v>Lynn Mitchem</v>
      </c>
      <c r="E3459" s="4" t="str">
        <f>IFERROR(__xludf.DUMMYFUNCTION("""COMPUTED_VALUE"""),"Butler")</f>
        <v>Butler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</row>
    <row r="3460">
      <c r="A3460" s="4">
        <f>IFERROR(__xludf.DUMMYFUNCTION("""COMPUTED_VALUE"""),187.0)</f>
        <v>187</v>
      </c>
      <c r="B3460" s="4">
        <f>IFERROR(__xludf.DUMMYFUNCTION("""COMPUTED_VALUE"""),187.0)</f>
        <v>187</v>
      </c>
      <c r="C3460" s="4" t="str">
        <f>IFERROR(__xludf.DUMMYFUNCTION("""COMPUTED_VALUE"""),"CLE")</f>
        <v>CLE</v>
      </c>
      <c r="D3460" s="4" t="str">
        <f>IFERROR(__xludf.DUMMYFUNCTION("""COMPUTED_VALUE"""),"Joe Brown")</f>
        <v>Joe Brown</v>
      </c>
      <c r="E3460" s="4" t="str">
        <f>IFERROR(__xludf.DUMMYFUNCTION("""COMPUTED_VALUE"""),"Georgia State University")</f>
        <v>Georgia State University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</row>
    <row r="3461">
      <c r="A3461" s="4">
        <f>IFERROR(__xludf.DUMMYFUNCTION("""COMPUTED_VALUE"""),188.0)</f>
        <v>188</v>
      </c>
      <c r="B3461" s="4">
        <f>IFERROR(__xludf.DUMMYFUNCTION("""COMPUTED_VALUE"""),188.0)</f>
        <v>188</v>
      </c>
      <c r="C3461" s="4" t="str">
        <f>IFERROR(__xludf.DUMMYFUNCTION("""COMPUTED_VALUE"""),"SDC")</f>
        <v>SDC</v>
      </c>
      <c r="D3461" s="4" t="str">
        <f>IFERROR(__xludf.DUMMYFUNCTION("""COMPUTED_VALUE"""),"David Maxwell")</f>
        <v>David Maxwell</v>
      </c>
      <c r="E3461" s="4" t="str">
        <f>IFERROR(__xludf.DUMMYFUNCTION("""COMPUTED_VALUE"""),"Fordham")</f>
        <v>Fordham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</row>
    <row r="3462">
      <c r="A3462" s="4">
        <f>IFERROR(__xludf.DUMMYFUNCTION("""COMPUTED_VALUE"""),189.0)</f>
        <v>189</v>
      </c>
      <c r="B3462" s="4">
        <f>IFERROR(__xludf.DUMMYFUNCTION("""COMPUTED_VALUE"""),189.0)</f>
        <v>189</v>
      </c>
      <c r="C3462" s="4" t="str">
        <f>IFERROR(__xludf.DUMMYFUNCTION("""COMPUTED_VALUE"""),"CHI")</f>
        <v>CHI</v>
      </c>
      <c r="D3462" s="4" t="str">
        <f>IFERROR(__xludf.DUMMYFUNCTION("""COMPUTED_VALUE"""),"Kenneth Orange")</f>
        <v>Kenneth Orange</v>
      </c>
      <c r="E3462" s="4" t="str">
        <f>IFERROR(__xludf.DUMMYFUNCTION("""COMPUTED_VALUE"""),"Oklahoma Christian University")</f>
        <v>Oklahoma Christian University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</row>
    <row r="3463">
      <c r="A3463" s="4">
        <f>IFERROR(__xludf.DUMMYFUNCTION("""COMPUTED_VALUE"""),190.0)</f>
        <v>190</v>
      </c>
      <c r="B3463" s="4">
        <f>IFERROR(__xludf.DUMMYFUNCTION("""COMPUTED_VALUE"""),190.0)</f>
        <v>190</v>
      </c>
      <c r="C3463" s="4" t="str">
        <f>IFERROR(__xludf.DUMMYFUNCTION("""COMPUTED_VALUE"""),"GSW")</f>
        <v>GSW</v>
      </c>
      <c r="D3463" s="4" t="str">
        <f>IFERROR(__xludf.DUMMYFUNCTION("""COMPUTED_VALUE"""),"Greg Goorjian")</f>
        <v>Greg Goorjian</v>
      </c>
      <c r="E3463" s="4" t="str">
        <f>IFERROR(__xludf.DUMMYFUNCTION("""COMPUTED_VALUE"""),"Loyola Marymount")</f>
        <v>Loyola Marymount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</row>
    <row r="3464">
      <c r="A3464" s="4">
        <f>IFERROR(__xludf.DUMMYFUNCTION("""COMPUTED_VALUE"""),191.0)</f>
        <v>191</v>
      </c>
      <c r="B3464" s="4">
        <f>IFERROR(__xludf.DUMMYFUNCTION("""COMPUTED_VALUE"""),191.0)</f>
        <v>191</v>
      </c>
      <c r="C3464" s="4" t="str">
        <f>IFERROR(__xludf.DUMMYFUNCTION("""COMPUTED_VALUE"""),"UTA")</f>
        <v>UTA</v>
      </c>
      <c r="D3464" s="4" t="str">
        <f>IFERROR(__xludf.DUMMYFUNCTION("""COMPUTED_VALUE"""),"Ron Webb")</f>
        <v>Ron Webb</v>
      </c>
      <c r="E3464" s="4" t="str">
        <f>IFERROR(__xludf.DUMMYFUNCTION("""COMPUTED_VALUE"""),"Oklahoma Christian University")</f>
        <v>Oklahoma Christian University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</row>
    <row r="3465">
      <c r="A3465" s="4">
        <f>IFERROR(__xludf.DUMMYFUNCTION("""COMPUTED_VALUE"""),192.0)</f>
        <v>192</v>
      </c>
      <c r="B3465" s="4">
        <f>IFERROR(__xludf.DUMMYFUNCTION("""COMPUTED_VALUE"""),192.0)</f>
        <v>192</v>
      </c>
      <c r="C3465" s="4" t="str">
        <f>IFERROR(__xludf.DUMMYFUNCTION("""COMPUTED_VALUE"""),"DET")</f>
        <v>DET</v>
      </c>
      <c r="D3465" s="4" t="str">
        <f>IFERROR(__xludf.DUMMYFUNCTION("""COMPUTED_VALUE"""),"Marlow McLain")</f>
        <v>Marlow McLain</v>
      </c>
      <c r="E3465" s="4" t="str">
        <f>IFERROR(__xludf.DUMMYFUNCTION("""COMPUTED_VALUE"""),"Eastern Michigan")</f>
        <v>Eastern Michigan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</row>
    <row r="3466">
      <c r="A3466" s="4">
        <f>IFERROR(__xludf.DUMMYFUNCTION("""COMPUTED_VALUE"""),193.0)</f>
        <v>193</v>
      </c>
      <c r="B3466" s="4">
        <f>IFERROR(__xludf.DUMMYFUNCTION("""COMPUTED_VALUE"""),193.0)</f>
        <v>193</v>
      </c>
      <c r="C3466" s="4" t="str">
        <f>IFERROR(__xludf.DUMMYFUNCTION("""COMPUTED_VALUE"""),"DAL")</f>
        <v>DAL</v>
      </c>
      <c r="D3466" s="4" t="str">
        <f>IFERROR(__xludf.DUMMYFUNCTION("""COMPUTED_VALUE"""),"Sherrod Arnold")</f>
        <v>Sherrod Arnold</v>
      </c>
      <c r="E3466" s="4" t="str">
        <f>IFERROR(__xludf.DUMMYFUNCTION("""COMPUTED_VALUE"""),"Chicago State")</f>
        <v>Chicago State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</row>
    <row r="3467">
      <c r="A3467" s="4">
        <f>IFERROR(__xludf.DUMMYFUNCTION("""COMPUTED_VALUE"""),194.0)</f>
        <v>194</v>
      </c>
      <c r="B3467" s="4">
        <f>IFERROR(__xludf.DUMMYFUNCTION("""COMPUTED_VALUE"""),194.0)</f>
        <v>194</v>
      </c>
      <c r="C3467" s="4" t="str">
        <f>IFERROR(__xludf.DUMMYFUNCTION("""COMPUTED_VALUE"""),"WSB")</f>
        <v>WSB</v>
      </c>
      <c r="D3467" s="4" t="str">
        <f>IFERROR(__xludf.DUMMYFUNCTION("""COMPUTED_VALUE"""),"Ricky Moreland")</f>
        <v>Ricky Moreland</v>
      </c>
      <c r="E3467" s="4" t="str">
        <f>IFERROR(__xludf.DUMMYFUNCTION("""COMPUTED_VALUE"""),"UMBC")</f>
        <v>UMBC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</row>
    <row r="3468">
      <c r="A3468" s="4">
        <f>IFERROR(__xludf.DUMMYFUNCTION("""COMPUTED_VALUE"""),195.0)</f>
        <v>195</v>
      </c>
      <c r="B3468" s="4">
        <f>IFERROR(__xludf.DUMMYFUNCTION("""COMPUTED_VALUE"""),195.0)</f>
        <v>195</v>
      </c>
      <c r="C3468" s="4" t="str">
        <f>IFERROR(__xludf.DUMMYFUNCTION("""COMPUTED_VALUE"""),"ATL")</f>
        <v>ATL</v>
      </c>
      <c r="D3468" s="4" t="str">
        <f>IFERROR(__xludf.DUMMYFUNCTION("""COMPUTED_VALUE"""),"Will Cotchery")</f>
        <v>Will Cotchery</v>
      </c>
      <c r="E3468" s="4" t="str">
        <f>IFERROR(__xludf.DUMMYFUNCTION("""COMPUTED_VALUE"""),"University of West Alabama")</f>
        <v>University of West Alabama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</row>
    <row r="3469">
      <c r="A3469" s="4">
        <f>IFERROR(__xludf.DUMMYFUNCTION("""COMPUTED_VALUE"""),196.0)</f>
        <v>196</v>
      </c>
      <c r="B3469" s="4">
        <f>IFERROR(__xludf.DUMMYFUNCTION("""COMPUTED_VALUE"""),196.0)</f>
        <v>196</v>
      </c>
      <c r="C3469" s="4" t="str">
        <f>IFERROR(__xludf.DUMMYFUNCTION("""COMPUTED_VALUE"""),"NYK")</f>
        <v>NYK</v>
      </c>
      <c r="D3469" s="4" t="str">
        <f>IFERROR(__xludf.DUMMYFUNCTION("""COMPUTED_VALUE"""),"Charles Jones")</f>
        <v>Charles Jones</v>
      </c>
      <c r="E3469" s="4" t="str">
        <f>IFERROR(__xludf.DUMMYFUNCTION("""COMPUTED_VALUE"""),"Marshall")</f>
        <v>Marshall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</row>
    <row r="3470">
      <c r="A3470" s="4">
        <f>IFERROR(__xludf.DUMMYFUNCTION("""COMPUTED_VALUE"""),197.0)</f>
        <v>197</v>
      </c>
      <c r="B3470" s="4">
        <f>IFERROR(__xludf.DUMMYFUNCTION("""COMPUTED_VALUE"""),197.0)</f>
        <v>197</v>
      </c>
      <c r="C3470" s="4" t="str">
        <f>IFERROR(__xludf.DUMMYFUNCTION("""COMPUTED_VALUE"""),"KCK")</f>
        <v>KCK</v>
      </c>
      <c r="D3470" s="4" t="str">
        <f>IFERROR(__xludf.DUMMYFUNCTION("""COMPUTED_VALUE"""),"Bernard Hill")</f>
        <v>Bernard Hill</v>
      </c>
      <c r="E3470" s="4" t="str">
        <f>IFERROR(__xludf.DUMMYFUNCTION("""COMPUTED_VALUE"""),"Oklahoma Panhandle State University")</f>
        <v>Oklahoma Panhandle State University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</row>
    <row r="3471">
      <c r="A3471" s="4">
        <f>IFERROR(__xludf.DUMMYFUNCTION("""COMPUTED_VALUE"""),198.0)</f>
        <v>198</v>
      </c>
      <c r="B3471" s="4">
        <f>IFERROR(__xludf.DUMMYFUNCTION("""COMPUTED_VALUE"""),198.0)</f>
        <v>198</v>
      </c>
      <c r="C3471" s="4" t="str">
        <f>IFERROR(__xludf.DUMMYFUNCTION("""COMPUTED_VALUE"""),"DEN")</f>
        <v>DEN</v>
      </c>
      <c r="D3471" s="4" t="str">
        <f>IFERROR(__xludf.DUMMYFUNCTION("""COMPUTED_VALUE"""),"Bobby Van Noy")</f>
        <v>Bobby Van Noy</v>
      </c>
      <c r="E3471" s="4" t="str">
        <f>IFERROR(__xludf.DUMMYFUNCTION("""COMPUTED_VALUE"""),"Catawba College")</f>
        <v>Catawba College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</row>
    <row r="3472">
      <c r="A3472" s="4">
        <f>IFERROR(__xludf.DUMMYFUNCTION("""COMPUTED_VALUE"""),199.0)</f>
        <v>199</v>
      </c>
      <c r="B3472" s="4">
        <f>IFERROR(__xludf.DUMMYFUNCTION("""COMPUTED_VALUE"""),199.0)</f>
        <v>199</v>
      </c>
      <c r="C3472" s="4" t="str">
        <f>IFERROR(__xludf.DUMMYFUNCTION("""COMPUTED_VALUE"""),"POR")</f>
        <v>POR</v>
      </c>
      <c r="D3472" s="4" t="str">
        <f>IFERROR(__xludf.DUMMYFUNCTION("""COMPUTED_VALUE"""),"Phil Hopson")</f>
        <v>Phil Hopson</v>
      </c>
      <c r="E3472" s="4" t="str">
        <f>IFERROR(__xludf.DUMMYFUNCTION("""COMPUTED_VALUE"""),"Idaho")</f>
        <v>Idaho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</row>
    <row r="3473">
      <c r="A3473" s="4">
        <f>IFERROR(__xludf.DUMMYFUNCTION("""COMPUTED_VALUE"""),200.0)</f>
        <v>200</v>
      </c>
      <c r="B3473" s="4">
        <f>IFERROR(__xludf.DUMMYFUNCTION("""COMPUTED_VALUE"""),200.0)</f>
        <v>200</v>
      </c>
      <c r="C3473" s="4" t="str">
        <f>IFERROR(__xludf.DUMMYFUNCTION("""COMPUTED_VALUE"""),"SEA")</f>
        <v>SEA</v>
      </c>
      <c r="D3473" s="4" t="str">
        <f>IFERROR(__xludf.DUMMYFUNCTION("""COMPUTED_VALUE"""),"Tony Washington")</f>
        <v>Tony Washington</v>
      </c>
      <c r="E3473" s="4" t="str">
        <f>IFERROR(__xludf.DUMMYFUNCTION("""COMPUTED_VALUE"""),"Hampton")</f>
        <v>Hampton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</row>
    <row r="3474">
      <c r="A3474" s="4">
        <f>IFERROR(__xludf.DUMMYFUNCTION("""COMPUTED_VALUE"""),201.0)</f>
        <v>201</v>
      </c>
      <c r="B3474" s="4">
        <f>IFERROR(__xludf.DUMMYFUNCTION("""COMPUTED_VALUE"""),201.0)</f>
        <v>201</v>
      </c>
      <c r="C3474" s="4" t="str">
        <f>IFERROR(__xludf.DUMMYFUNCTION("""COMPUTED_VALUE"""),"NJN")</f>
        <v>NJN</v>
      </c>
      <c r="D3474" s="4" t="str">
        <f>IFERROR(__xludf.DUMMYFUNCTION("""COMPUTED_VALUE"""),"Kevin Black")</f>
        <v>Kevin Black</v>
      </c>
      <c r="E3474" s="4" t="str">
        <f>IFERROR(__xludf.DUMMYFUNCTION("""COMPUTED_VALUE"""),"Rutgers University")</f>
        <v>Rutgers University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</row>
    <row r="3475">
      <c r="A3475" s="4">
        <f>IFERROR(__xludf.DUMMYFUNCTION("""COMPUTED_VALUE"""),202.0)</f>
        <v>202</v>
      </c>
      <c r="B3475" s="4">
        <f>IFERROR(__xludf.DUMMYFUNCTION("""COMPUTED_VALUE"""),202.0)</f>
        <v>202</v>
      </c>
      <c r="C3475" s="4" t="str">
        <f>IFERROR(__xludf.DUMMYFUNCTION("""COMPUTED_VALUE"""),"MIL")</f>
        <v>MIL</v>
      </c>
      <c r="D3475" s="4" t="str">
        <f>IFERROR(__xludf.DUMMYFUNCTION("""COMPUTED_VALUE"""),"Bill Varner")</f>
        <v>Bill Varner</v>
      </c>
      <c r="E3475" s="4" t="str">
        <f>IFERROR(__xludf.DUMMYFUNCTION("""COMPUTED_VALUE"""),"Notre Dame")</f>
        <v>Notre Dame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</row>
    <row r="3476">
      <c r="A3476" s="4">
        <f>IFERROR(__xludf.DUMMYFUNCTION("""COMPUTED_VALUE"""),203.0)</f>
        <v>203</v>
      </c>
      <c r="B3476" s="4">
        <f>IFERROR(__xludf.DUMMYFUNCTION("""COMPUTED_VALUE"""),203.0)</f>
        <v>203</v>
      </c>
      <c r="C3476" s="4" t="str">
        <f>IFERROR(__xludf.DUMMYFUNCTION("""COMPUTED_VALUE"""),"SAS")</f>
        <v>SAS</v>
      </c>
      <c r="D3476" s="4" t="str">
        <f>IFERROR(__xludf.DUMMYFUNCTION("""COMPUTED_VALUE"""),"Gary Gaspard")</f>
        <v>Gary Gaspard</v>
      </c>
      <c r="E3476" s="4" t="str">
        <f>IFERROR(__xludf.DUMMYFUNCTION("""COMPUTED_VALUE"""),"St. Mary's University")</f>
        <v>St. Mary's University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</row>
    <row r="3477">
      <c r="A3477" s="4">
        <f>IFERROR(__xludf.DUMMYFUNCTION("""COMPUTED_VALUE"""),204.0)</f>
        <v>204</v>
      </c>
      <c r="B3477" s="4">
        <f>IFERROR(__xludf.DUMMYFUNCTION("""COMPUTED_VALUE"""),204.0)</f>
        <v>204</v>
      </c>
      <c r="C3477" s="4" t="str">
        <f>IFERROR(__xludf.DUMMYFUNCTION("""COMPUTED_VALUE"""),"PHO")</f>
        <v>PHO</v>
      </c>
      <c r="D3477" s="4" t="str">
        <f>IFERROR(__xludf.DUMMYFUNCTION("""COMPUTED_VALUE"""),"Joe Dykstra")</f>
        <v>Joe Dykstra</v>
      </c>
      <c r="E3477" s="4" t="str">
        <f>IFERROR(__xludf.DUMMYFUNCTION("""COMPUTED_VALUE"""),"Western Illinois University")</f>
        <v>Western Illinois University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</row>
    <row r="3478">
      <c r="A3478" s="4">
        <f>IFERROR(__xludf.DUMMYFUNCTION("""COMPUTED_VALUE"""),205.0)</f>
        <v>205</v>
      </c>
      <c r="B3478" s="4">
        <f>IFERROR(__xludf.DUMMYFUNCTION("""COMPUTED_VALUE"""),205.0)</f>
        <v>205</v>
      </c>
      <c r="C3478" s="4" t="str">
        <f>IFERROR(__xludf.DUMMYFUNCTION("""COMPUTED_VALUE"""),"BOS")</f>
        <v>BOS</v>
      </c>
      <c r="D3478" s="4" t="str">
        <f>IFERROR(__xludf.DUMMYFUNCTION("""COMPUTED_VALUE"""),"John Rice")</f>
        <v>John Rice</v>
      </c>
      <c r="E3478" s="4" t="str">
        <f>IFERROR(__xludf.DUMMYFUNCTION("""COMPUTED_VALUE"""),"University of Massachusetts Boston")</f>
        <v>University of Massachusetts Boston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</row>
    <row r="3479">
      <c r="A3479" s="4">
        <f>IFERROR(__xludf.DUMMYFUNCTION("""COMPUTED_VALUE"""),206.0)</f>
        <v>206</v>
      </c>
      <c r="B3479" s="4">
        <f>IFERROR(__xludf.DUMMYFUNCTION("""COMPUTED_VALUE"""),206.0)</f>
        <v>206</v>
      </c>
      <c r="C3479" s="4" t="str">
        <f>IFERROR(__xludf.DUMMYFUNCTION("""COMPUTED_VALUE"""),"PHI")</f>
        <v>PHI</v>
      </c>
      <c r="D3479" s="4" t="str">
        <f>IFERROR(__xludf.DUMMYFUNCTION("""COMPUTED_VALUE"""),"Charles Fisher")</f>
        <v>Charles Fisher</v>
      </c>
      <c r="E3479" s="4" t="str">
        <f>IFERROR(__xludf.DUMMYFUNCTION("""COMPUTED_VALUE"""),"James Madison University")</f>
        <v>James Madison University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</row>
    <row r="3480">
      <c r="A3480" s="4"/>
      <c r="B3480" s="4"/>
      <c r="C3480" s="4"/>
      <c r="D3480" s="4" t="str">
        <f>IFERROR(__xludf.DUMMYFUNCTION("""COMPUTED_VALUE"""),"Round 10")</f>
        <v>Round 10</v>
      </c>
      <c r="E3480" s="4"/>
      <c r="F3480" s="4"/>
      <c r="G3480" s="4" t="str">
        <f>IFERROR(__xludf.DUMMYFUNCTION("""COMPUTED_VALUE"""),"Totals")</f>
        <v>Totals</v>
      </c>
      <c r="H3480" s="4"/>
      <c r="I3480" s="4"/>
      <c r="J3480" s="4"/>
      <c r="K3480" s="4"/>
      <c r="L3480" s="4" t="str">
        <f>IFERROR(__xludf.DUMMYFUNCTION("""COMPUTED_VALUE"""),"Shooting")</f>
        <v>Shooting</v>
      </c>
      <c r="M3480" s="4"/>
      <c r="N3480" s="4"/>
      <c r="O3480" s="4" t="str">
        <f>IFERROR(__xludf.DUMMYFUNCTION("""COMPUTED_VALUE"""),"Per Game")</f>
        <v>Per Game</v>
      </c>
      <c r="P3480" s="4"/>
      <c r="Q3480" s="4"/>
      <c r="R3480" s="4"/>
      <c r="S3480" s="4" t="str">
        <f>IFERROR(__xludf.DUMMYFUNCTION("""COMPUTED_VALUE"""),"Advanced")</f>
        <v>Advanced</v>
      </c>
      <c r="T3480" s="4"/>
      <c r="U3480" s="4"/>
      <c r="V3480" s="4"/>
    </row>
    <row r="3481">
      <c r="A3481" s="4" t="str">
        <f>IFERROR(__xludf.DUMMYFUNCTION("""COMPUTED_VALUE"""),"Rk")</f>
        <v>Rk</v>
      </c>
      <c r="B3481" s="4" t="str">
        <f>IFERROR(__xludf.DUMMYFUNCTION("""COMPUTED_VALUE"""),"Pk")</f>
        <v>Pk</v>
      </c>
      <c r="C3481" s="4" t="str">
        <f>IFERROR(__xludf.DUMMYFUNCTION("""COMPUTED_VALUE"""),"Tm")</f>
        <v>Tm</v>
      </c>
      <c r="D3481" s="4" t="str">
        <f>IFERROR(__xludf.DUMMYFUNCTION("""COMPUTED_VALUE"""),"Player")</f>
        <v>Player</v>
      </c>
      <c r="E3481" s="4" t="str">
        <f>IFERROR(__xludf.DUMMYFUNCTION("""COMPUTED_VALUE"""),"College")</f>
        <v>College</v>
      </c>
      <c r="F3481" s="4" t="str">
        <f>IFERROR(__xludf.DUMMYFUNCTION("""COMPUTED_VALUE"""),"Yrs")</f>
        <v>Yrs</v>
      </c>
      <c r="G3481" s="4" t="str">
        <f>IFERROR(__xludf.DUMMYFUNCTION("""COMPUTED_VALUE"""),"G")</f>
        <v>G</v>
      </c>
      <c r="H3481" s="4" t="str">
        <f>IFERROR(__xludf.DUMMYFUNCTION("""COMPUTED_VALUE"""),"MP")</f>
        <v>MP</v>
      </c>
      <c r="I3481" s="4" t="str">
        <f>IFERROR(__xludf.DUMMYFUNCTION("""COMPUTED_VALUE"""),"PTS")</f>
        <v>PTS</v>
      </c>
      <c r="J3481" s="4" t="str">
        <f>IFERROR(__xludf.DUMMYFUNCTION("""COMPUTED_VALUE"""),"TRB")</f>
        <v>TRB</v>
      </c>
      <c r="K3481" s="4" t="str">
        <f>IFERROR(__xludf.DUMMYFUNCTION("""COMPUTED_VALUE"""),"AST")</f>
        <v>AST</v>
      </c>
      <c r="L3481" s="4" t="str">
        <f>IFERROR(__xludf.DUMMYFUNCTION("""COMPUTED_VALUE"""),"FG%")</f>
        <v>FG%</v>
      </c>
      <c r="M3481" s="4" t="str">
        <f>IFERROR(__xludf.DUMMYFUNCTION("""COMPUTED_VALUE"""),"3P%")</f>
        <v>3P%</v>
      </c>
      <c r="N3481" s="4" t="str">
        <f>IFERROR(__xludf.DUMMYFUNCTION("""COMPUTED_VALUE"""),"FT%")</f>
        <v>FT%</v>
      </c>
      <c r="O3481" s="4" t="str">
        <f>IFERROR(__xludf.DUMMYFUNCTION("""COMPUTED_VALUE"""),"MP")</f>
        <v>MP</v>
      </c>
      <c r="P3481" s="4" t="str">
        <f>IFERROR(__xludf.DUMMYFUNCTION("""COMPUTED_VALUE"""),"PTS")</f>
        <v>PTS</v>
      </c>
      <c r="Q3481" s="4" t="str">
        <f>IFERROR(__xludf.DUMMYFUNCTION("""COMPUTED_VALUE"""),"TRB")</f>
        <v>TRB</v>
      </c>
      <c r="R3481" s="4" t="str">
        <f>IFERROR(__xludf.DUMMYFUNCTION("""COMPUTED_VALUE"""),"AST")</f>
        <v>AST</v>
      </c>
      <c r="S3481" s="4" t="str">
        <f>IFERROR(__xludf.DUMMYFUNCTION("""COMPUTED_VALUE"""),"WS")</f>
        <v>WS</v>
      </c>
      <c r="T3481" s="4" t="str">
        <f>IFERROR(__xludf.DUMMYFUNCTION("""COMPUTED_VALUE"""),"WS/48")</f>
        <v>WS/48</v>
      </c>
      <c r="U3481" s="4" t="str">
        <f>IFERROR(__xludf.DUMMYFUNCTION("""COMPUTED_VALUE"""),"BPM")</f>
        <v>BPM</v>
      </c>
      <c r="V3481" s="4" t="str">
        <f>IFERROR(__xludf.DUMMYFUNCTION("""COMPUTED_VALUE"""),"VORP")</f>
        <v>VORP</v>
      </c>
    </row>
    <row r="3482">
      <c r="A3482" s="4">
        <f>IFERROR(__xludf.DUMMYFUNCTION("""COMPUTED_VALUE"""),207.0)</f>
        <v>207</v>
      </c>
      <c r="B3482" s="4">
        <f>IFERROR(__xludf.DUMMYFUNCTION("""COMPUTED_VALUE"""),207.0)</f>
        <v>207</v>
      </c>
      <c r="C3482" s="4" t="str">
        <f>IFERROR(__xludf.DUMMYFUNCTION("""COMPUTED_VALUE"""),"IND")</f>
        <v>IND</v>
      </c>
      <c r="D3482" s="4" t="str">
        <f>IFERROR(__xludf.DUMMYFUNCTION("""COMPUTED_VALUE"""),"Mark Smed")</f>
        <v>Mark Smed</v>
      </c>
      <c r="E3482" s="4" t="str">
        <f>IFERROR(__xludf.DUMMYFUNCTION("""COMPUTED_VALUE"""),"Augustana College (SD)")</f>
        <v>Augustana College (SD)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</row>
    <row r="3483">
      <c r="A3483" s="4">
        <f>IFERROR(__xludf.DUMMYFUNCTION("""COMPUTED_VALUE"""),208.0)</f>
        <v>208</v>
      </c>
      <c r="B3483" s="4">
        <f>IFERROR(__xludf.DUMMYFUNCTION("""COMPUTED_VALUE"""),208.0)</f>
        <v>208</v>
      </c>
      <c r="C3483" s="4" t="str">
        <f>IFERROR(__xludf.DUMMYFUNCTION("""COMPUTED_VALUE"""),"CLE")</f>
        <v>CLE</v>
      </c>
      <c r="D3483" s="4" t="str">
        <f>IFERROR(__xludf.DUMMYFUNCTION("""COMPUTED_VALUE"""),"Jon Hanley")</f>
        <v>Jon Hanley</v>
      </c>
      <c r="E3483" s="4" t="str">
        <f>IFERROR(__xludf.DUMMYFUNCTION("""COMPUTED_VALUE"""),"Xavier")</f>
        <v>Xavier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</row>
    <row r="3484">
      <c r="A3484" s="4">
        <f>IFERROR(__xludf.DUMMYFUNCTION("""COMPUTED_VALUE"""),209.0)</f>
        <v>209</v>
      </c>
      <c r="B3484" s="4">
        <f>IFERROR(__xludf.DUMMYFUNCTION("""COMPUTED_VALUE"""),209.0)</f>
        <v>209</v>
      </c>
      <c r="C3484" s="4" t="str">
        <f>IFERROR(__xludf.DUMMYFUNCTION("""COMPUTED_VALUE"""),"SDC")</f>
        <v>SDC</v>
      </c>
      <c r="D3484" s="4" t="str">
        <f>IFERROR(__xludf.DUMMYFUNCTION("""COMPUTED_VALUE"""),"Keith Smith")</f>
        <v>Keith Smith</v>
      </c>
      <c r="E3484" s="4" t="str">
        <f>IFERROR(__xludf.DUMMYFUNCTION("""COMPUTED_VALUE"""),"San Diego State")</f>
        <v>San Diego State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</row>
    <row r="3485">
      <c r="A3485" s="4">
        <f>IFERROR(__xludf.DUMMYFUNCTION("""COMPUTED_VALUE"""),210.0)</f>
        <v>210</v>
      </c>
      <c r="B3485" s="4">
        <f>IFERROR(__xludf.DUMMYFUNCTION("""COMPUTED_VALUE"""),210.0)</f>
        <v>210</v>
      </c>
      <c r="C3485" s="4" t="str">
        <f>IFERROR(__xludf.DUMMYFUNCTION("""COMPUTED_VALUE"""),"CHI")</f>
        <v>CHI</v>
      </c>
      <c r="D3485" s="4" t="str">
        <f>IFERROR(__xludf.DUMMYFUNCTION("""COMPUTED_VALUE"""),"Tom Emma")</f>
        <v>Tom Emma</v>
      </c>
      <c r="E3485" s="4" t="str">
        <f>IFERROR(__xludf.DUMMYFUNCTION("""COMPUTED_VALUE"""),"Duke")</f>
        <v>Duke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</row>
    <row r="3486">
      <c r="A3486" s="4">
        <f>IFERROR(__xludf.DUMMYFUNCTION("""COMPUTED_VALUE"""),211.0)</f>
        <v>211</v>
      </c>
      <c r="B3486" s="4">
        <f>IFERROR(__xludf.DUMMYFUNCTION("""COMPUTED_VALUE"""),211.0)</f>
        <v>211</v>
      </c>
      <c r="C3486" s="4" t="str">
        <f>IFERROR(__xludf.DUMMYFUNCTION("""COMPUTED_VALUE"""),"UTA")</f>
        <v>UTA</v>
      </c>
      <c r="D3486" s="4" t="str">
        <f>IFERROR(__xludf.DUMMYFUNCTION("""COMPUTED_VALUE"""),"Odell Mosteller")</f>
        <v>Odell Mosteller</v>
      </c>
      <c r="E3486" s="4" t="str">
        <f>IFERROR(__xludf.DUMMYFUNCTION("""COMPUTED_VALUE"""),"Auburn")</f>
        <v>Auburn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</row>
    <row r="3487">
      <c r="A3487" s="4">
        <f>IFERROR(__xludf.DUMMYFUNCTION("""COMPUTED_VALUE"""),212.0)</f>
        <v>212</v>
      </c>
      <c r="B3487" s="4">
        <f>IFERROR(__xludf.DUMMYFUNCTION("""COMPUTED_VALUE"""),212.0)</f>
        <v>212</v>
      </c>
      <c r="C3487" s="4" t="str">
        <f>IFERROR(__xludf.DUMMYFUNCTION("""COMPUTED_VALUE"""),"GSW")</f>
        <v>GSW</v>
      </c>
      <c r="D3487" s="4" t="str">
        <f>IFERROR(__xludf.DUMMYFUNCTION("""COMPUTED_VALUE"""),"Michael Zeno")</f>
        <v>Michael Zeno</v>
      </c>
      <c r="E3487" s="4" t="str">
        <f>IFERROR(__xludf.DUMMYFUNCTION("""COMPUTED_VALUE"""),"Cal State Long Beach")</f>
        <v>Cal State Long Beach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</row>
    <row r="3488">
      <c r="A3488" s="4">
        <f>IFERROR(__xludf.DUMMYFUNCTION("""COMPUTED_VALUE"""),213.0)</f>
        <v>213</v>
      </c>
      <c r="B3488" s="4">
        <f>IFERROR(__xludf.DUMMYFUNCTION("""COMPUTED_VALUE"""),213.0)</f>
        <v>213</v>
      </c>
      <c r="C3488" s="4" t="str">
        <f>IFERROR(__xludf.DUMMYFUNCTION("""COMPUTED_VALUE"""),"DET")</f>
        <v>DET</v>
      </c>
      <c r="D3488" s="4" t="str">
        <f>IFERROR(__xludf.DUMMYFUNCTION("""COMPUTED_VALUE"""),"Ike Person")</f>
        <v>Ike Person</v>
      </c>
      <c r="E3488" s="4" t="str">
        <f>IFERROR(__xludf.DUMMYFUNCTION("""COMPUTED_VALUE"""),"Michigan")</f>
        <v>Michigan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</row>
    <row r="3489">
      <c r="A3489" s="4">
        <f>IFERROR(__xludf.DUMMYFUNCTION("""COMPUTED_VALUE"""),214.0)</f>
        <v>214</v>
      </c>
      <c r="B3489" s="4">
        <f>IFERROR(__xludf.DUMMYFUNCTION("""COMPUTED_VALUE"""),214.0)</f>
        <v>214</v>
      </c>
      <c r="C3489" s="4" t="str">
        <f>IFERROR(__xludf.DUMMYFUNCTION("""COMPUTED_VALUE"""),"DAL")</f>
        <v>DAL</v>
      </c>
      <c r="D3489" s="4" t="str">
        <f>IFERROR(__xludf.DUMMYFUNCTION("""COMPUTED_VALUE"""),"Clyde Corley")</f>
        <v>Clyde Corley</v>
      </c>
      <c r="E3489" s="4" t="str">
        <f>IFERROR(__xludf.DUMMYFUNCTION("""COMPUTED_VALUE"""),"Florida International University")</f>
        <v>Florida International University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</row>
    <row r="3490">
      <c r="A3490" s="4">
        <f>IFERROR(__xludf.DUMMYFUNCTION("""COMPUTED_VALUE"""),215.0)</f>
        <v>215</v>
      </c>
      <c r="B3490" s="4">
        <f>IFERROR(__xludf.DUMMYFUNCTION("""COMPUTED_VALUE"""),215.0)</f>
        <v>215</v>
      </c>
      <c r="C3490" s="4" t="str">
        <f>IFERROR(__xludf.DUMMYFUNCTION("""COMPUTED_VALUE"""),"WSB")</f>
        <v>WSB</v>
      </c>
      <c r="D3490" s="4" t="str">
        <f>IFERROR(__xludf.DUMMYFUNCTION("""COMPUTED_VALUE"""),"Isaiah Singletary")</f>
        <v>Isaiah Singletary</v>
      </c>
      <c r="E3490" s="4" t="str">
        <f>IFERROR(__xludf.DUMMYFUNCTION("""COMPUTED_VALUE"""),"Saint Louis")</f>
        <v>Saint Louis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</row>
    <row r="3491">
      <c r="A3491" s="4">
        <f>IFERROR(__xludf.DUMMYFUNCTION("""COMPUTED_VALUE"""),216.0)</f>
        <v>216</v>
      </c>
      <c r="B3491" s="4">
        <f>IFERROR(__xludf.DUMMYFUNCTION("""COMPUTED_VALUE"""),216.0)</f>
        <v>216</v>
      </c>
      <c r="C3491" s="4" t="str">
        <f>IFERROR(__xludf.DUMMYFUNCTION("""COMPUTED_VALUE"""),"ATL")</f>
        <v>ATL</v>
      </c>
      <c r="D3491" s="4" t="str">
        <f>IFERROR(__xludf.DUMMYFUNCTION("""COMPUTED_VALUE"""),"Ronnie Carr")</f>
        <v>Ronnie Carr</v>
      </c>
      <c r="E3491" s="4" t="str">
        <f>IFERROR(__xludf.DUMMYFUNCTION("""COMPUTED_VALUE"""),"Western Carolina University")</f>
        <v>Western Carolina University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</row>
    <row r="3492">
      <c r="A3492" s="4">
        <f>IFERROR(__xludf.DUMMYFUNCTION("""COMPUTED_VALUE"""),217.0)</f>
        <v>217</v>
      </c>
      <c r="B3492" s="4">
        <f>IFERROR(__xludf.DUMMYFUNCTION("""COMPUTED_VALUE"""),217.0)</f>
        <v>217</v>
      </c>
      <c r="C3492" s="4" t="str">
        <f>IFERROR(__xludf.DUMMYFUNCTION("""COMPUTED_VALUE"""),"NYK")</f>
        <v>NYK</v>
      </c>
      <c r="D3492" s="4" t="str">
        <f>IFERROR(__xludf.DUMMYFUNCTION("""COMPUTED_VALUE"""),"Bernard Randolph")</f>
        <v>Bernard Randolph</v>
      </c>
      <c r="E3492" s="4" t="str">
        <f>IFERROR(__xludf.DUMMYFUNCTION("""COMPUTED_VALUE"""),"DePaul")</f>
        <v>DePaul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</row>
    <row r="3493">
      <c r="A3493" s="4">
        <f>IFERROR(__xludf.DUMMYFUNCTION("""COMPUTED_VALUE"""),218.0)</f>
        <v>218</v>
      </c>
      <c r="B3493" s="4">
        <f>IFERROR(__xludf.DUMMYFUNCTION("""COMPUTED_VALUE"""),218.0)</f>
        <v>218</v>
      </c>
      <c r="C3493" s="4" t="str">
        <f>IFERROR(__xludf.DUMMYFUNCTION("""COMPUTED_VALUE"""),"DEN")</f>
        <v>DEN</v>
      </c>
      <c r="D3493" s="4" t="str">
        <f>IFERROR(__xludf.DUMMYFUNCTION("""COMPUTED_VALUE"""),"Cleveland McCrae")</f>
        <v>Cleveland McCrae</v>
      </c>
      <c r="E3493" s="4" t="str">
        <f>IFERROR(__xludf.DUMMYFUNCTION("""COMPUTED_VALUE"""),"Catawba College")</f>
        <v>Catawba College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</row>
    <row r="3494">
      <c r="A3494" s="4">
        <f>IFERROR(__xludf.DUMMYFUNCTION("""COMPUTED_VALUE"""),219.0)</f>
        <v>219</v>
      </c>
      <c r="B3494" s="4">
        <f>IFERROR(__xludf.DUMMYFUNCTION("""COMPUTED_VALUE"""),219.0)</f>
        <v>219</v>
      </c>
      <c r="C3494" s="4" t="str">
        <f>IFERROR(__xludf.DUMMYFUNCTION("""COMPUTED_VALUE"""),"KCK")</f>
        <v>KCK</v>
      </c>
      <c r="D3494" s="4" t="str">
        <f>IFERROR(__xludf.DUMMYFUNCTION("""COMPUTED_VALUE"""),"Aaron Haskins")</f>
        <v>Aaron Haskins</v>
      </c>
      <c r="E3494" s="4" t="str">
        <f>IFERROR(__xludf.DUMMYFUNCTION("""COMPUTED_VALUE"""),"Washington State")</f>
        <v>Washington State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</row>
    <row r="3495">
      <c r="A3495" s="4">
        <f>IFERROR(__xludf.DUMMYFUNCTION("""COMPUTED_VALUE"""),220.0)</f>
        <v>220</v>
      </c>
      <c r="B3495" s="4">
        <f>IFERROR(__xludf.DUMMYFUNCTION("""COMPUTED_VALUE"""),220.0)</f>
        <v>220</v>
      </c>
      <c r="C3495" s="4" t="str">
        <f>IFERROR(__xludf.DUMMYFUNCTION("""COMPUTED_VALUE"""),"POR")</f>
        <v>POR</v>
      </c>
      <c r="D3495" s="4" t="str">
        <f>IFERROR(__xludf.DUMMYFUNCTION("""COMPUTED_VALUE"""),"Russ Christianson")</f>
        <v>Russ Christianson</v>
      </c>
      <c r="E3495" s="4" t="str">
        <f>IFERROR(__xludf.DUMMYFUNCTION("""COMPUTED_VALUE"""),"East Oregon University")</f>
        <v>East Oregon University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</row>
    <row r="3496">
      <c r="A3496" s="4">
        <f>IFERROR(__xludf.DUMMYFUNCTION("""COMPUTED_VALUE"""),221.0)</f>
        <v>221</v>
      </c>
      <c r="B3496" s="4">
        <f>IFERROR(__xludf.DUMMYFUNCTION("""COMPUTED_VALUE"""),221.0)</f>
        <v>221</v>
      </c>
      <c r="C3496" s="4" t="str">
        <f>IFERROR(__xludf.DUMMYFUNCTION("""COMPUTED_VALUE"""),"SEA")</f>
        <v>SEA</v>
      </c>
      <c r="D3496" s="4" t="str">
        <f>IFERROR(__xludf.DUMMYFUNCTION("""COMPUTED_VALUE"""),"David Binion")</f>
        <v>David Binion</v>
      </c>
      <c r="E3496" s="4" t="str">
        <f>IFERROR(__xludf.DUMMYFUNCTION("""COMPUTED_VALUE"""),"NC Central")</f>
        <v>NC Central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</row>
    <row r="3497">
      <c r="A3497" s="4">
        <f>IFERROR(__xludf.DUMMYFUNCTION("""COMPUTED_VALUE"""),222.0)</f>
        <v>222</v>
      </c>
      <c r="B3497" s="4">
        <f>IFERROR(__xludf.DUMMYFUNCTION("""COMPUTED_VALUE"""),222.0)</f>
        <v>222</v>
      </c>
      <c r="C3497" s="4" t="str">
        <f>IFERROR(__xludf.DUMMYFUNCTION("""COMPUTED_VALUE"""),"NJN")</f>
        <v>NJN</v>
      </c>
      <c r="D3497" s="4" t="str">
        <f>IFERROR(__xludf.DUMMYFUNCTION("""COMPUTED_VALUE"""),"Rich Simkus")</f>
        <v>Rich Simkus</v>
      </c>
      <c r="E3497" s="4" t="str">
        <f>IFERROR(__xludf.DUMMYFUNCTION("""COMPUTED_VALUE"""),"Princeton")</f>
        <v>Princeton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</row>
    <row r="3498">
      <c r="A3498" s="4">
        <f>IFERROR(__xludf.DUMMYFUNCTION("""COMPUTED_VALUE"""),223.0)</f>
        <v>223</v>
      </c>
      <c r="B3498" s="4">
        <f>IFERROR(__xludf.DUMMYFUNCTION("""COMPUTED_VALUE"""),223.0)</f>
        <v>223</v>
      </c>
      <c r="C3498" s="4" t="str">
        <f>IFERROR(__xludf.DUMMYFUNCTION("""COMPUTED_VALUE"""),"MIL")</f>
        <v>MIL</v>
      </c>
      <c r="D3498" s="4" t="str">
        <f>IFERROR(__xludf.DUMMYFUNCTION("""COMPUTED_VALUE"""),"Bob Kelly")</f>
        <v>Bob Kelly</v>
      </c>
      <c r="E3498" s="4" t="str">
        <f>IFERROR(__xludf.DUMMYFUNCTION("""COMPUTED_VALUE"""),"St. John's")</f>
        <v>St. John's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</row>
    <row r="3499">
      <c r="A3499" s="4">
        <f>IFERROR(__xludf.DUMMYFUNCTION("""COMPUTED_VALUE"""),224.0)</f>
        <v>224</v>
      </c>
      <c r="B3499" s="4">
        <f>IFERROR(__xludf.DUMMYFUNCTION("""COMPUTED_VALUE"""),224.0)</f>
        <v>224</v>
      </c>
      <c r="C3499" s="4" t="str">
        <f>IFERROR(__xludf.DUMMYFUNCTION("""COMPUTED_VALUE"""),"PHO")</f>
        <v>PHO</v>
      </c>
      <c r="D3499" s="4" t="str">
        <f>IFERROR(__xludf.DUMMYFUNCTION("""COMPUTED_VALUE"""),"Bo Overton")</f>
        <v>Bo Overton</v>
      </c>
      <c r="E3499" s="4" t="str">
        <f>IFERROR(__xludf.DUMMYFUNCTION("""COMPUTED_VALUE"""),"Oklahoma")</f>
        <v>Oklahoma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</row>
    <row r="3500">
      <c r="A3500" s="4">
        <f>IFERROR(__xludf.DUMMYFUNCTION("""COMPUTED_VALUE"""),225.0)</f>
        <v>225</v>
      </c>
      <c r="B3500" s="4">
        <f>IFERROR(__xludf.DUMMYFUNCTION("""COMPUTED_VALUE"""),225.0)</f>
        <v>225</v>
      </c>
      <c r="C3500" s="4" t="str">
        <f>IFERROR(__xludf.DUMMYFUNCTION("""COMPUTED_VALUE"""),"SAS")</f>
        <v>SAS</v>
      </c>
      <c r="D3500" s="4" t="str">
        <f>IFERROR(__xludf.DUMMYFUNCTION("""COMPUTED_VALUE"""),"Lamar Heard")</f>
        <v>Lamar Heard</v>
      </c>
      <c r="E3500" s="4" t="str">
        <f>IFERROR(__xludf.DUMMYFUNCTION("""COMPUTED_VALUE"""),"Georgia")</f>
        <v>Georgia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</row>
    <row r="3501">
      <c r="A3501" s="4">
        <f>IFERROR(__xludf.DUMMYFUNCTION("""COMPUTED_VALUE"""),226.0)</f>
        <v>226</v>
      </c>
      <c r="B3501" s="4">
        <f>IFERROR(__xludf.DUMMYFUNCTION("""COMPUTED_VALUE"""),226.0)</f>
        <v>226</v>
      </c>
      <c r="C3501" s="4" t="str">
        <f>IFERROR(__xludf.DUMMYFUNCTION("""COMPUTED_VALUE"""),"BOS")</f>
        <v>BOS</v>
      </c>
      <c r="D3501" s="4" t="str">
        <f>IFERROR(__xludf.DUMMYFUNCTION("""COMPUTED_VALUE"""),"Andy Kupec")</f>
        <v>Andy Kupec</v>
      </c>
      <c r="E3501" s="4" t="str">
        <f>IFERROR(__xludf.DUMMYFUNCTION("""COMPUTED_VALUE"""),"Bentley College")</f>
        <v>Bentley College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</row>
    <row r="3503">
      <c r="A3503" s="2">
        <v>1982.0</v>
      </c>
    </row>
    <row r="3504">
      <c r="A3504" s="4" t="str">
        <f>IFERROR(__xludf.DUMMYFUNCTION("IMPORTHTML(""https://www.basketball-reference.com/draft/NBA_1982.html"", ""table"", 1)"),"")</f>
        <v/>
      </c>
      <c r="B3504" s="4"/>
      <c r="C3504" s="4"/>
      <c r="D3504" s="4" t="str">
        <f>IFERROR(__xludf.DUMMYFUNCTION("""COMPUTED_VALUE"""),"Round 1")</f>
        <v>Round 1</v>
      </c>
      <c r="E3504" s="4"/>
      <c r="F3504" s="4"/>
      <c r="G3504" s="4" t="str">
        <f>IFERROR(__xludf.DUMMYFUNCTION("""COMPUTED_VALUE"""),"Totals")</f>
        <v>Totals</v>
      </c>
      <c r="H3504" s="4"/>
      <c r="I3504" s="4"/>
      <c r="J3504" s="4"/>
      <c r="K3504" s="4"/>
      <c r="L3504" s="4" t="str">
        <f>IFERROR(__xludf.DUMMYFUNCTION("""COMPUTED_VALUE"""),"Shooting")</f>
        <v>Shooting</v>
      </c>
      <c r="M3504" s="4"/>
      <c r="N3504" s="4"/>
      <c r="O3504" s="4" t="str">
        <f>IFERROR(__xludf.DUMMYFUNCTION("""COMPUTED_VALUE"""),"Per Game")</f>
        <v>Per Game</v>
      </c>
      <c r="P3504" s="4"/>
      <c r="Q3504" s="4"/>
      <c r="R3504" s="4"/>
      <c r="S3504" s="4" t="str">
        <f>IFERROR(__xludf.DUMMYFUNCTION("""COMPUTED_VALUE"""),"Advanced")</f>
        <v>Advanced</v>
      </c>
      <c r="T3504" s="4"/>
      <c r="U3504" s="4"/>
      <c r="V3504" s="4"/>
    </row>
    <row r="3505">
      <c r="A3505" s="4" t="str">
        <f>IFERROR(__xludf.DUMMYFUNCTION("""COMPUTED_VALUE"""),"Rk")</f>
        <v>Rk</v>
      </c>
      <c r="B3505" s="4" t="str">
        <f>IFERROR(__xludf.DUMMYFUNCTION("""COMPUTED_VALUE"""),"Pk")</f>
        <v>Pk</v>
      </c>
      <c r="C3505" s="4" t="str">
        <f>IFERROR(__xludf.DUMMYFUNCTION("""COMPUTED_VALUE"""),"Tm")</f>
        <v>Tm</v>
      </c>
      <c r="D3505" s="4" t="str">
        <f>IFERROR(__xludf.DUMMYFUNCTION("""COMPUTED_VALUE"""),"Player")</f>
        <v>Player</v>
      </c>
      <c r="E3505" s="4" t="str">
        <f>IFERROR(__xludf.DUMMYFUNCTION("""COMPUTED_VALUE"""),"College")</f>
        <v>College</v>
      </c>
      <c r="F3505" s="4" t="str">
        <f>IFERROR(__xludf.DUMMYFUNCTION("""COMPUTED_VALUE"""),"Yrs")</f>
        <v>Yrs</v>
      </c>
      <c r="G3505" s="4" t="str">
        <f>IFERROR(__xludf.DUMMYFUNCTION("""COMPUTED_VALUE"""),"G")</f>
        <v>G</v>
      </c>
      <c r="H3505" s="4" t="str">
        <f>IFERROR(__xludf.DUMMYFUNCTION("""COMPUTED_VALUE"""),"MP")</f>
        <v>MP</v>
      </c>
      <c r="I3505" s="4" t="str">
        <f>IFERROR(__xludf.DUMMYFUNCTION("""COMPUTED_VALUE"""),"PTS")</f>
        <v>PTS</v>
      </c>
      <c r="J3505" s="4" t="str">
        <f>IFERROR(__xludf.DUMMYFUNCTION("""COMPUTED_VALUE"""),"TRB")</f>
        <v>TRB</v>
      </c>
      <c r="K3505" s="4" t="str">
        <f>IFERROR(__xludf.DUMMYFUNCTION("""COMPUTED_VALUE"""),"AST")</f>
        <v>AST</v>
      </c>
      <c r="L3505" s="4" t="str">
        <f>IFERROR(__xludf.DUMMYFUNCTION("""COMPUTED_VALUE"""),"FG%")</f>
        <v>FG%</v>
      </c>
      <c r="M3505" s="4" t="str">
        <f>IFERROR(__xludf.DUMMYFUNCTION("""COMPUTED_VALUE"""),"3P%")</f>
        <v>3P%</v>
      </c>
      <c r="N3505" s="4" t="str">
        <f>IFERROR(__xludf.DUMMYFUNCTION("""COMPUTED_VALUE"""),"FT%")</f>
        <v>FT%</v>
      </c>
      <c r="O3505" s="4" t="str">
        <f>IFERROR(__xludf.DUMMYFUNCTION("""COMPUTED_VALUE"""),"MP")</f>
        <v>MP</v>
      </c>
      <c r="P3505" s="4" t="str">
        <f>IFERROR(__xludf.DUMMYFUNCTION("""COMPUTED_VALUE"""),"PTS")</f>
        <v>PTS</v>
      </c>
      <c r="Q3505" s="4" t="str">
        <f>IFERROR(__xludf.DUMMYFUNCTION("""COMPUTED_VALUE"""),"TRB")</f>
        <v>TRB</v>
      </c>
      <c r="R3505" s="4" t="str">
        <f>IFERROR(__xludf.DUMMYFUNCTION("""COMPUTED_VALUE"""),"AST")</f>
        <v>AST</v>
      </c>
      <c r="S3505" s="4" t="str">
        <f>IFERROR(__xludf.DUMMYFUNCTION("""COMPUTED_VALUE"""),"WS")</f>
        <v>WS</v>
      </c>
      <c r="T3505" s="4" t="str">
        <f>IFERROR(__xludf.DUMMYFUNCTION("""COMPUTED_VALUE"""),"WS/48")</f>
        <v>WS/48</v>
      </c>
      <c r="U3505" s="4" t="str">
        <f>IFERROR(__xludf.DUMMYFUNCTION("""COMPUTED_VALUE"""),"BPM")</f>
        <v>BPM</v>
      </c>
      <c r="V3505" s="4" t="str">
        <f>IFERROR(__xludf.DUMMYFUNCTION("""COMPUTED_VALUE"""),"VORP")</f>
        <v>VORP</v>
      </c>
    </row>
    <row r="3506">
      <c r="A3506" s="4">
        <f>IFERROR(__xludf.DUMMYFUNCTION("""COMPUTED_VALUE"""),1.0)</f>
        <v>1</v>
      </c>
      <c r="B3506" s="4">
        <f>IFERROR(__xludf.DUMMYFUNCTION("""COMPUTED_VALUE"""),1.0)</f>
        <v>1</v>
      </c>
      <c r="C3506" s="4" t="str">
        <f>IFERROR(__xludf.DUMMYFUNCTION("""COMPUTED_VALUE"""),"LAL")</f>
        <v>LAL</v>
      </c>
      <c r="D3506" s="4" t="str">
        <f>IFERROR(__xludf.DUMMYFUNCTION("""COMPUTED_VALUE"""),"James Worthy")</f>
        <v>James Worthy</v>
      </c>
      <c r="E3506" s="4" t="str">
        <f>IFERROR(__xludf.DUMMYFUNCTION("""COMPUTED_VALUE"""),"UNC")</f>
        <v>UNC</v>
      </c>
      <c r="F3506" s="4">
        <f>IFERROR(__xludf.DUMMYFUNCTION("""COMPUTED_VALUE"""),12.0)</f>
        <v>12</v>
      </c>
      <c r="G3506" s="4">
        <f>IFERROR(__xludf.DUMMYFUNCTION("""COMPUTED_VALUE"""),926.0)</f>
        <v>926</v>
      </c>
      <c r="H3506" s="4">
        <f>IFERROR(__xludf.DUMMYFUNCTION("""COMPUTED_VALUE"""),30001.0)</f>
        <v>30001</v>
      </c>
      <c r="I3506" s="4">
        <f>IFERROR(__xludf.DUMMYFUNCTION("""COMPUTED_VALUE"""),16320.0)</f>
        <v>16320</v>
      </c>
      <c r="J3506" s="4">
        <f>IFERROR(__xludf.DUMMYFUNCTION("""COMPUTED_VALUE"""),4708.0)</f>
        <v>4708</v>
      </c>
      <c r="K3506" s="4">
        <f>IFERROR(__xludf.DUMMYFUNCTION("""COMPUTED_VALUE"""),2791.0)</f>
        <v>2791</v>
      </c>
      <c r="L3506" s="4">
        <f>IFERROR(__xludf.DUMMYFUNCTION("""COMPUTED_VALUE"""),0.521)</f>
        <v>0.521</v>
      </c>
      <c r="M3506" s="4">
        <f>IFERROR(__xludf.DUMMYFUNCTION("""COMPUTED_VALUE"""),0.241)</f>
        <v>0.241</v>
      </c>
      <c r="N3506" s="4">
        <f>IFERROR(__xludf.DUMMYFUNCTION("""COMPUTED_VALUE"""),0.769)</f>
        <v>0.769</v>
      </c>
      <c r="O3506" s="4">
        <f>IFERROR(__xludf.DUMMYFUNCTION("""COMPUTED_VALUE"""),32.4)</f>
        <v>32.4</v>
      </c>
      <c r="P3506" s="4">
        <f>IFERROR(__xludf.DUMMYFUNCTION("""COMPUTED_VALUE"""),17.6)</f>
        <v>17.6</v>
      </c>
      <c r="Q3506" s="4">
        <f>IFERROR(__xludf.DUMMYFUNCTION("""COMPUTED_VALUE"""),5.1)</f>
        <v>5.1</v>
      </c>
      <c r="R3506" s="4">
        <f>IFERROR(__xludf.DUMMYFUNCTION("""COMPUTED_VALUE"""),3.0)</f>
        <v>3</v>
      </c>
      <c r="S3506" s="4">
        <f>IFERROR(__xludf.DUMMYFUNCTION("""COMPUTED_VALUE"""),81.2)</f>
        <v>81.2</v>
      </c>
      <c r="T3506" s="4">
        <f>IFERROR(__xludf.DUMMYFUNCTION("""COMPUTED_VALUE"""),0.13)</f>
        <v>0.13</v>
      </c>
      <c r="U3506" s="4">
        <f>IFERROR(__xludf.DUMMYFUNCTION("""COMPUTED_VALUE"""),1.9)</f>
        <v>1.9</v>
      </c>
      <c r="V3506" s="4">
        <f>IFERROR(__xludf.DUMMYFUNCTION("""COMPUTED_VALUE"""),29.2)</f>
        <v>29.2</v>
      </c>
    </row>
    <row r="3507">
      <c r="A3507" s="4">
        <f>IFERROR(__xludf.DUMMYFUNCTION("""COMPUTED_VALUE"""),2.0)</f>
        <v>2</v>
      </c>
      <c r="B3507" s="4">
        <f>IFERROR(__xludf.DUMMYFUNCTION("""COMPUTED_VALUE"""),2.0)</f>
        <v>2</v>
      </c>
      <c r="C3507" s="4" t="str">
        <f>IFERROR(__xludf.DUMMYFUNCTION("""COMPUTED_VALUE"""),"SDC")</f>
        <v>SDC</v>
      </c>
      <c r="D3507" s="4" t="str">
        <f>IFERROR(__xludf.DUMMYFUNCTION("""COMPUTED_VALUE"""),"Terry Cummings")</f>
        <v>Terry Cummings</v>
      </c>
      <c r="E3507" s="4" t="str">
        <f>IFERROR(__xludf.DUMMYFUNCTION("""COMPUTED_VALUE"""),"DePaul")</f>
        <v>DePaul</v>
      </c>
      <c r="F3507" s="4">
        <f>IFERROR(__xludf.DUMMYFUNCTION("""COMPUTED_VALUE"""),18.0)</f>
        <v>18</v>
      </c>
      <c r="G3507" s="4">
        <f>IFERROR(__xludf.DUMMYFUNCTION("""COMPUTED_VALUE"""),1183.0)</f>
        <v>1183</v>
      </c>
      <c r="H3507" s="4">
        <f>IFERROR(__xludf.DUMMYFUNCTION("""COMPUTED_VALUE"""),33898.0)</f>
        <v>33898</v>
      </c>
      <c r="I3507" s="4">
        <f>IFERROR(__xludf.DUMMYFUNCTION("""COMPUTED_VALUE"""),19460.0)</f>
        <v>19460</v>
      </c>
      <c r="J3507" s="4">
        <f>IFERROR(__xludf.DUMMYFUNCTION("""COMPUTED_VALUE"""),8630.0)</f>
        <v>8630</v>
      </c>
      <c r="K3507" s="4">
        <f>IFERROR(__xludf.DUMMYFUNCTION("""COMPUTED_VALUE"""),2190.0)</f>
        <v>2190</v>
      </c>
      <c r="L3507" s="4">
        <f>IFERROR(__xludf.DUMMYFUNCTION("""COMPUTED_VALUE"""),0.484)</f>
        <v>0.484</v>
      </c>
      <c r="M3507" s="4">
        <f>IFERROR(__xludf.DUMMYFUNCTION("""COMPUTED_VALUE"""),0.295)</f>
        <v>0.295</v>
      </c>
      <c r="N3507" s="4">
        <f>IFERROR(__xludf.DUMMYFUNCTION("""COMPUTED_VALUE"""),0.706)</f>
        <v>0.706</v>
      </c>
      <c r="O3507" s="4">
        <f>IFERROR(__xludf.DUMMYFUNCTION("""COMPUTED_VALUE"""),28.7)</f>
        <v>28.7</v>
      </c>
      <c r="P3507" s="4">
        <f>IFERROR(__xludf.DUMMYFUNCTION("""COMPUTED_VALUE"""),16.4)</f>
        <v>16.4</v>
      </c>
      <c r="Q3507" s="4">
        <f>IFERROR(__xludf.DUMMYFUNCTION("""COMPUTED_VALUE"""),7.3)</f>
        <v>7.3</v>
      </c>
      <c r="R3507" s="4">
        <f>IFERROR(__xludf.DUMMYFUNCTION("""COMPUTED_VALUE"""),1.9)</f>
        <v>1.9</v>
      </c>
      <c r="S3507" s="4">
        <f>IFERROR(__xludf.DUMMYFUNCTION("""COMPUTED_VALUE"""),91.1)</f>
        <v>91.1</v>
      </c>
      <c r="T3507" s="4">
        <f>IFERROR(__xludf.DUMMYFUNCTION("""COMPUTED_VALUE"""),0.129)</f>
        <v>0.129</v>
      </c>
      <c r="U3507" s="4">
        <f>IFERROR(__xludf.DUMMYFUNCTION("""COMPUTED_VALUE"""),0.6)</f>
        <v>0.6</v>
      </c>
      <c r="V3507" s="4">
        <f>IFERROR(__xludf.DUMMYFUNCTION("""COMPUTED_VALUE"""),22.5)</f>
        <v>22.5</v>
      </c>
    </row>
    <row r="3508">
      <c r="A3508" s="4">
        <f>IFERROR(__xludf.DUMMYFUNCTION("""COMPUTED_VALUE"""),3.0)</f>
        <v>3</v>
      </c>
      <c r="B3508" s="4">
        <f>IFERROR(__xludf.DUMMYFUNCTION("""COMPUTED_VALUE"""),3.0)</f>
        <v>3</v>
      </c>
      <c r="C3508" s="4" t="str">
        <f>IFERROR(__xludf.DUMMYFUNCTION("""COMPUTED_VALUE"""),"UTA")</f>
        <v>UTA</v>
      </c>
      <c r="D3508" s="4" t="str">
        <f>IFERROR(__xludf.DUMMYFUNCTION("""COMPUTED_VALUE"""),"Dominique Wilkins")</f>
        <v>Dominique Wilkins</v>
      </c>
      <c r="E3508" s="4" t="str">
        <f>IFERROR(__xludf.DUMMYFUNCTION("""COMPUTED_VALUE"""),"Georgia")</f>
        <v>Georgia</v>
      </c>
      <c r="F3508" s="4">
        <f>IFERROR(__xludf.DUMMYFUNCTION("""COMPUTED_VALUE"""),15.0)</f>
        <v>15</v>
      </c>
      <c r="G3508" s="4">
        <f>IFERROR(__xludf.DUMMYFUNCTION("""COMPUTED_VALUE"""),1074.0)</f>
        <v>1074</v>
      </c>
      <c r="H3508" s="4">
        <f>IFERROR(__xludf.DUMMYFUNCTION("""COMPUTED_VALUE"""),38113.0)</f>
        <v>38113</v>
      </c>
      <c r="I3508" s="4">
        <f>IFERROR(__xludf.DUMMYFUNCTION("""COMPUTED_VALUE"""),26668.0)</f>
        <v>26668</v>
      </c>
      <c r="J3508" s="4">
        <f>IFERROR(__xludf.DUMMYFUNCTION("""COMPUTED_VALUE"""),7169.0)</f>
        <v>7169</v>
      </c>
      <c r="K3508" s="4">
        <f>IFERROR(__xludf.DUMMYFUNCTION("""COMPUTED_VALUE"""),2677.0)</f>
        <v>2677</v>
      </c>
      <c r="L3508" s="4">
        <f>IFERROR(__xludf.DUMMYFUNCTION("""COMPUTED_VALUE"""),0.461)</f>
        <v>0.461</v>
      </c>
      <c r="M3508" s="4">
        <f>IFERROR(__xludf.DUMMYFUNCTION("""COMPUTED_VALUE"""),0.319)</f>
        <v>0.319</v>
      </c>
      <c r="N3508" s="4">
        <f>IFERROR(__xludf.DUMMYFUNCTION("""COMPUTED_VALUE"""),0.811)</f>
        <v>0.811</v>
      </c>
      <c r="O3508" s="4">
        <f>IFERROR(__xludf.DUMMYFUNCTION("""COMPUTED_VALUE"""),35.5)</f>
        <v>35.5</v>
      </c>
      <c r="P3508" s="4">
        <f>IFERROR(__xludf.DUMMYFUNCTION("""COMPUTED_VALUE"""),24.8)</f>
        <v>24.8</v>
      </c>
      <c r="Q3508" s="4">
        <f>IFERROR(__xludf.DUMMYFUNCTION("""COMPUTED_VALUE"""),6.7)</f>
        <v>6.7</v>
      </c>
      <c r="R3508" s="4">
        <f>IFERROR(__xludf.DUMMYFUNCTION("""COMPUTED_VALUE"""),2.5)</f>
        <v>2.5</v>
      </c>
      <c r="S3508" s="4">
        <f>IFERROR(__xludf.DUMMYFUNCTION("""COMPUTED_VALUE"""),117.5)</f>
        <v>117.5</v>
      </c>
      <c r="T3508" s="4">
        <f>IFERROR(__xludf.DUMMYFUNCTION("""COMPUTED_VALUE"""),0.148)</f>
        <v>0.148</v>
      </c>
      <c r="U3508" s="4">
        <f>IFERROR(__xludf.DUMMYFUNCTION("""COMPUTED_VALUE"""),3.3)</f>
        <v>3.3</v>
      </c>
      <c r="V3508" s="4">
        <f>IFERROR(__xludf.DUMMYFUNCTION("""COMPUTED_VALUE"""),50.6)</f>
        <v>50.6</v>
      </c>
    </row>
    <row r="3509">
      <c r="A3509" s="4">
        <f>IFERROR(__xludf.DUMMYFUNCTION("""COMPUTED_VALUE"""),4.0)</f>
        <v>4</v>
      </c>
      <c r="B3509" s="4">
        <f>IFERROR(__xludf.DUMMYFUNCTION("""COMPUTED_VALUE"""),4.0)</f>
        <v>4</v>
      </c>
      <c r="C3509" s="4" t="str">
        <f>IFERROR(__xludf.DUMMYFUNCTION("""COMPUTED_VALUE"""),"DAL")</f>
        <v>DAL</v>
      </c>
      <c r="D3509" s="4" t="str">
        <f>IFERROR(__xludf.DUMMYFUNCTION("""COMPUTED_VALUE"""),"Bill Garnett")</f>
        <v>Bill Garnett</v>
      </c>
      <c r="E3509" s="4" t="str">
        <f>IFERROR(__xludf.DUMMYFUNCTION("""COMPUTED_VALUE"""),"Wyoming")</f>
        <v>Wyoming</v>
      </c>
      <c r="F3509" s="4">
        <f>IFERROR(__xludf.DUMMYFUNCTION("""COMPUTED_VALUE"""),4.0)</f>
        <v>4</v>
      </c>
      <c r="G3509" s="4">
        <f>IFERROR(__xludf.DUMMYFUNCTION("""COMPUTED_VALUE"""),300.0)</f>
        <v>300</v>
      </c>
      <c r="H3509" s="4">
        <f>IFERROR(__xludf.DUMMYFUNCTION("""COMPUTED_VALUE"""),5260.0)</f>
        <v>5260</v>
      </c>
      <c r="I3509" s="4">
        <f>IFERROR(__xludf.DUMMYFUNCTION("""COMPUTED_VALUE"""),1638.0)</f>
        <v>1638</v>
      </c>
      <c r="J3509" s="4">
        <f>IFERROR(__xludf.DUMMYFUNCTION("""COMPUTED_VALUE"""),1298.0)</f>
        <v>1298</v>
      </c>
      <c r="K3509" s="4">
        <f>IFERROR(__xludf.DUMMYFUNCTION("""COMPUTED_VALUE"""),393.0)</f>
        <v>393</v>
      </c>
      <c r="L3509" s="4">
        <f>IFERROR(__xludf.DUMMYFUNCTION("""COMPUTED_VALUE"""),0.49)</f>
        <v>0.49</v>
      </c>
      <c r="M3509" s="4">
        <f>IFERROR(__xludf.DUMMYFUNCTION("""COMPUTED_VALUE"""),0.0)</f>
        <v>0</v>
      </c>
      <c r="N3509" s="4">
        <f>IFERROR(__xludf.DUMMYFUNCTION("""COMPUTED_VALUE"""),0.72)</f>
        <v>0.72</v>
      </c>
      <c r="O3509" s="4">
        <f>IFERROR(__xludf.DUMMYFUNCTION("""COMPUTED_VALUE"""),17.5)</f>
        <v>17.5</v>
      </c>
      <c r="P3509" s="4">
        <f>IFERROR(__xludf.DUMMYFUNCTION("""COMPUTED_VALUE"""),5.5)</f>
        <v>5.5</v>
      </c>
      <c r="Q3509" s="4">
        <f>IFERROR(__xludf.DUMMYFUNCTION("""COMPUTED_VALUE"""),4.3)</f>
        <v>4.3</v>
      </c>
      <c r="R3509" s="4">
        <f>IFERROR(__xludf.DUMMYFUNCTION("""COMPUTED_VALUE"""),1.3)</f>
        <v>1.3</v>
      </c>
      <c r="S3509" s="4">
        <f>IFERROR(__xludf.DUMMYFUNCTION("""COMPUTED_VALUE"""),10.8)</f>
        <v>10.8</v>
      </c>
      <c r="T3509" s="4">
        <f>IFERROR(__xludf.DUMMYFUNCTION("""COMPUTED_VALUE"""),0.099)</f>
        <v>0.099</v>
      </c>
      <c r="U3509" s="4">
        <f>IFERROR(__xludf.DUMMYFUNCTION("""COMPUTED_VALUE"""),-0.8)</f>
        <v>-0.8</v>
      </c>
      <c r="V3509" s="4">
        <f>IFERROR(__xludf.DUMMYFUNCTION("""COMPUTED_VALUE"""),1.6)</f>
        <v>1.6</v>
      </c>
    </row>
    <row r="3510">
      <c r="A3510" s="4">
        <f>IFERROR(__xludf.DUMMYFUNCTION("""COMPUTED_VALUE"""),5.0)</f>
        <v>5</v>
      </c>
      <c r="B3510" s="4">
        <f>IFERROR(__xludf.DUMMYFUNCTION("""COMPUTED_VALUE"""),5.0)</f>
        <v>5</v>
      </c>
      <c r="C3510" s="4" t="str">
        <f>IFERROR(__xludf.DUMMYFUNCTION("""COMPUTED_VALUE"""),"KCK")</f>
        <v>KCK</v>
      </c>
      <c r="D3510" s="4" t="str">
        <f>IFERROR(__xludf.DUMMYFUNCTION("""COMPUTED_VALUE"""),"LaSalle Thompson")</f>
        <v>LaSalle Thompson</v>
      </c>
      <c r="E3510" s="4" t="str">
        <f>IFERROR(__xludf.DUMMYFUNCTION("""COMPUTED_VALUE"""),"Texas")</f>
        <v>Texas</v>
      </c>
      <c r="F3510" s="4">
        <f>IFERROR(__xludf.DUMMYFUNCTION("""COMPUTED_VALUE"""),15.0)</f>
        <v>15</v>
      </c>
      <c r="G3510" s="4">
        <f>IFERROR(__xludf.DUMMYFUNCTION("""COMPUTED_VALUE"""),985.0)</f>
        <v>985</v>
      </c>
      <c r="H3510" s="4">
        <f>IFERROR(__xludf.DUMMYFUNCTION("""COMPUTED_VALUE"""),21238.0)</f>
        <v>21238</v>
      </c>
      <c r="I3510" s="4">
        <f>IFERROR(__xludf.DUMMYFUNCTION("""COMPUTED_VALUE"""),7806.0)</f>
        <v>7806</v>
      </c>
      <c r="J3510" s="4">
        <f>IFERROR(__xludf.DUMMYFUNCTION("""COMPUTED_VALUE"""),6689.0)</f>
        <v>6689</v>
      </c>
      <c r="K3510" s="4">
        <f>IFERROR(__xludf.DUMMYFUNCTION("""COMPUTED_VALUE"""),1139.0)</f>
        <v>1139</v>
      </c>
      <c r="L3510" s="4">
        <f>IFERROR(__xludf.DUMMYFUNCTION("""COMPUTED_VALUE"""),0.492)</f>
        <v>0.492</v>
      </c>
      <c r="M3510" s="4">
        <f>IFERROR(__xludf.DUMMYFUNCTION("""COMPUTED_VALUE"""),0.154)</f>
        <v>0.154</v>
      </c>
      <c r="N3510" s="4">
        <f>IFERROR(__xludf.DUMMYFUNCTION("""COMPUTED_VALUE"""),0.737)</f>
        <v>0.737</v>
      </c>
      <c r="O3510" s="4">
        <f>IFERROR(__xludf.DUMMYFUNCTION("""COMPUTED_VALUE"""),21.6)</f>
        <v>21.6</v>
      </c>
      <c r="P3510" s="4">
        <f>IFERROR(__xludf.DUMMYFUNCTION("""COMPUTED_VALUE"""),7.9)</f>
        <v>7.9</v>
      </c>
      <c r="Q3510" s="4">
        <f>IFERROR(__xludf.DUMMYFUNCTION("""COMPUTED_VALUE"""),6.8)</f>
        <v>6.8</v>
      </c>
      <c r="R3510" s="4">
        <f>IFERROR(__xludf.DUMMYFUNCTION("""COMPUTED_VALUE"""),1.2)</f>
        <v>1.2</v>
      </c>
      <c r="S3510" s="4">
        <f>IFERROR(__xludf.DUMMYFUNCTION("""COMPUTED_VALUE"""),35.0)</f>
        <v>35</v>
      </c>
      <c r="T3510" s="4">
        <f>IFERROR(__xludf.DUMMYFUNCTION("""COMPUTED_VALUE"""),0.079)</f>
        <v>0.079</v>
      </c>
      <c r="U3510" s="4">
        <f>IFERROR(__xludf.DUMMYFUNCTION("""COMPUTED_VALUE"""),-1.5)</f>
        <v>-1.5</v>
      </c>
      <c r="V3510" s="4">
        <f>IFERROR(__xludf.DUMMYFUNCTION("""COMPUTED_VALUE"""),2.7)</f>
        <v>2.7</v>
      </c>
    </row>
    <row r="3511">
      <c r="A3511" s="4">
        <f>IFERROR(__xludf.DUMMYFUNCTION("""COMPUTED_VALUE"""),6.0)</f>
        <v>6</v>
      </c>
      <c r="B3511" s="4">
        <f>IFERROR(__xludf.DUMMYFUNCTION("""COMPUTED_VALUE"""),6.0)</f>
        <v>6</v>
      </c>
      <c r="C3511" s="4" t="str">
        <f>IFERROR(__xludf.DUMMYFUNCTION("""COMPUTED_VALUE"""),"NYK")</f>
        <v>NYK</v>
      </c>
      <c r="D3511" s="4" t="str">
        <f>IFERROR(__xludf.DUMMYFUNCTION("""COMPUTED_VALUE"""),"Trent Tucker")</f>
        <v>Trent Tucker</v>
      </c>
      <c r="E3511" s="4" t="str">
        <f>IFERROR(__xludf.DUMMYFUNCTION("""COMPUTED_VALUE"""),"Minnesota")</f>
        <v>Minnesota</v>
      </c>
      <c r="F3511" s="4">
        <f>IFERROR(__xludf.DUMMYFUNCTION("""COMPUTED_VALUE"""),11.0)</f>
        <v>11</v>
      </c>
      <c r="G3511" s="4">
        <f>IFERROR(__xludf.DUMMYFUNCTION("""COMPUTED_VALUE"""),756.0)</f>
        <v>756</v>
      </c>
      <c r="H3511" s="4">
        <f>IFERROR(__xludf.DUMMYFUNCTION("""COMPUTED_VALUE"""),15671.0)</f>
        <v>15671</v>
      </c>
      <c r="I3511" s="4">
        <f>IFERROR(__xludf.DUMMYFUNCTION("""COMPUTED_VALUE"""),6236.0)</f>
        <v>6236</v>
      </c>
      <c r="J3511" s="4">
        <f>IFERROR(__xludf.DUMMYFUNCTION("""COMPUTED_VALUE"""),1520.0)</f>
        <v>1520</v>
      </c>
      <c r="K3511" s="4">
        <f>IFERROR(__xludf.DUMMYFUNCTION("""COMPUTED_VALUE"""),1532.0)</f>
        <v>1532</v>
      </c>
      <c r="L3511" s="4">
        <f>IFERROR(__xludf.DUMMYFUNCTION("""COMPUTED_VALUE"""),0.461)</f>
        <v>0.461</v>
      </c>
      <c r="M3511" s="4">
        <f>IFERROR(__xludf.DUMMYFUNCTION("""COMPUTED_VALUE"""),0.408)</f>
        <v>0.408</v>
      </c>
      <c r="N3511" s="4">
        <f>IFERROR(__xludf.DUMMYFUNCTION("""COMPUTED_VALUE"""),0.754)</f>
        <v>0.754</v>
      </c>
      <c r="O3511" s="4">
        <f>IFERROR(__xludf.DUMMYFUNCTION("""COMPUTED_VALUE"""),20.7)</f>
        <v>20.7</v>
      </c>
      <c r="P3511" s="4">
        <f>IFERROR(__xludf.DUMMYFUNCTION("""COMPUTED_VALUE"""),8.2)</f>
        <v>8.2</v>
      </c>
      <c r="Q3511" s="4">
        <f>IFERROR(__xludf.DUMMYFUNCTION("""COMPUTED_VALUE"""),2.0)</f>
        <v>2</v>
      </c>
      <c r="R3511" s="4">
        <f>IFERROR(__xludf.DUMMYFUNCTION("""COMPUTED_VALUE"""),2.0)</f>
        <v>2</v>
      </c>
      <c r="S3511" s="4">
        <f>IFERROR(__xludf.DUMMYFUNCTION("""COMPUTED_VALUE"""),34.3)</f>
        <v>34.3</v>
      </c>
      <c r="T3511" s="4">
        <f>IFERROR(__xludf.DUMMYFUNCTION("""COMPUTED_VALUE"""),0.105)</f>
        <v>0.105</v>
      </c>
      <c r="U3511" s="4">
        <f>IFERROR(__xludf.DUMMYFUNCTION("""COMPUTED_VALUE"""),0.6)</f>
        <v>0.6</v>
      </c>
      <c r="V3511" s="4">
        <f>IFERROR(__xludf.DUMMYFUNCTION("""COMPUTED_VALUE"""),10.2)</f>
        <v>10.2</v>
      </c>
    </row>
    <row r="3512">
      <c r="A3512" s="4">
        <f>IFERROR(__xludf.DUMMYFUNCTION("""COMPUTED_VALUE"""),7.0)</f>
        <v>7</v>
      </c>
      <c r="B3512" s="4">
        <f>IFERROR(__xludf.DUMMYFUNCTION("""COMPUTED_VALUE"""),7.0)</f>
        <v>7</v>
      </c>
      <c r="C3512" s="4" t="str">
        <f>IFERROR(__xludf.DUMMYFUNCTION("""COMPUTED_VALUE"""),"CHI")</f>
        <v>CHI</v>
      </c>
      <c r="D3512" s="4" t="str">
        <f>IFERROR(__xludf.DUMMYFUNCTION("""COMPUTED_VALUE"""),"Quintin Dailey")</f>
        <v>Quintin Dailey</v>
      </c>
      <c r="E3512" s="4" t="str">
        <f>IFERROR(__xludf.DUMMYFUNCTION("""COMPUTED_VALUE"""),"San Francisco")</f>
        <v>San Francisco</v>
      </c>
      <c r="F3512" s="4">
        <f>IFERROR(__xludf.DUMMYFUNCTION("""COMPUTED_VALUE"""),10.0)</f>
        <v>10</v>
      </c>
      <c r="G3512" s="4">
        <f>IFERROR(__xludf.DUMMYFUNCTION("""COMPUTED_VALUE"""),528.0)</f>
        <v>528</v>
      </c>
      <c r="H3512" s="4">
        <f>IFERROR(__xludf.DUMMYFUNCTION("""COMPUTED_VALUE"""),12170.0)</f>
        <v>12170</v>
      </c>
      <c r="I3512" s="4">
        <f>IFERROR(__xludf.DUMMYFUNCTION("""COMPUTED_VALUE"""),7470.0)</f>
        <v>7470</v>
      </c>
      <c r="J3512" s="4">
        <f>IFERROR(__xludf.DUMMYFUNCTION("""COMPUTED_VALUE"""),1307.0)</f>
        <v>1307</v>
      </c>
      <c r="K3512" s="4">
        <f>IFERROR(__xludf.DUMMYFUNCTION("""COMPUTED_VALUE"""),1188.0)</f>
        <v>1188</v>
      </c>
      <c r="L3512" s="4">
        <f>IFERROR(__xludf.DUMMYFUNCTION("""COMPUTED_VALUE"""),0.454)</f>
        <v>0.454</v>
      </c>
      <c r="M3512" s="4">
        <f>IFERROR(__xludf.DUMMYFUNCTION("""COMPUTED_VALUE"""),0.158)</f>
        <v>0.158</v>
      </c>
      <c r="N3512" s="4">
        <f>IFERROR(__xludf.DUMMYFUNCTION("""COMPUTED_VALUE"""),0.779)</f>
        <v>0.779</v>
      </c>
      <c r="O3512" s="4">
        <f>IFERROR(__xludf.DUMMYFUNCTION("""COMPUTED_VALUE"""),23.0)</f>
        <v>23</v>
      </c>
      <c r="P3512" s="4">
        <f>IFERROR(__xludf.DUMMYFUNCTION("""COMPUTED_VALUE"""),14.1)</f>
        <v>14.1</v>
      </c>
      <c r="Q3512" s="4">
        <f>IFERROR(__xludf.DUMMYFUNCTION("""COMPUTED_VALUE"""),2.5)</f>
        <v>2.5</v>
      </c>
      <c r="R3512" s="4">
        <f>IFERROR(__xludf.DUMMYFUNCTION("""COMPUTED_VALUE"""),2.3)</f>
        <v>2.3</v>
      </c>
      <c r="S3512" s="4">
        <f>IFERROR(__xludf.DUMMYFUNCTION("""COMPUTED_VALUE"""),12.7)</f>
        <v>12.7</v>
      </c>
      <c r="T3512" s="4">
        <f>IFERROR(__xludf.DUMMYFUNCTION("""COMPUTED_VALUE"""),0.05)</f>
        <v>0.05</v>
      </c>
      <c r="U3512" s="4">
        <f>IFERROR(__xludf.DUMMYFUNCTION("""COMPUTED_VALUE"""),-1.9)</f>
        <v>-1.9</v>
      </c>
      <c r="V3512" s="4">
        <f>IFERROR(__xludf.DUMMYFUNCTION("""COMPUTED_VALUE"""),0.3)</f>
        <v>0.3</v>
      </c>
    </row>
    <row r="3513">
      <c r="A3513" s="4">
        <f>IFERROR(__xludf.DUMMYFUNCTION("""COMPUTED_VALUE"""),8.0)</f>
        <v>8</v>
      </c>
      <c r="B3513" s="4">
        <f>IFERROR(__xludf.DUMMYFUNCTION("""COMPUTED_VALUE"""),8.0)</f>
        <v>8</v>
      </c>
      <c r="C3513" s="4" t="str">
        <f>IFERROR(__xludf.DUMMYFUNCTION("""COMPUTED_VALUE"""),"IND")</f>
        <v>IND</v>
      </c>
      <c r="D3513" s="4" t="str">
        <f>IFERROR(__xludf.DUMMYFUNCTION("""COMPUTED_VALUE"""),"Clark Kellogg")</f>
        <v>Clark Kellogg</v>
      </c>
      <c r="E3513" s="4" t="str">
        <f>IFERROR(__xludf.DUMMYFUNCTION("""COMPUTED_VALUE"""),"Ohio State")</f>
        <v>Ohio State</v>
      </c>
      <c r="F3513" s="4">
        <f>IFERROR(__xludf.DUMMYFUNCTION("""COMPUTED_VALUE"""),5.0)</f>
        <v>5</v>
      </c>
      <c r="G3513" s="4">
        <f>IFERROR(__xludf.DUMMYFUNCTION("""COMPUTED_VALUE"""),260.0)</f>
        <v>260</v>
      </c>
      <c r="H3513" s="4">
        <f>IFERROR(__xludf.DUMMYFUNCTION("""COMPUTED_VALUE"""),8514.0)</f>
        <v>8514</v>
      </c>
      <c r="I3513" s="4">
        <f>IFERROR(__xludf.DUMMYFUNCTION("""COMPUTED_VALUE"""),4918.0)</f>
        <v>4918</v>
      </c>
      <c r="J3513" s="4">
        <f>IFERROR(__xludf.DUMMYFUNCTION("""COMPUTED_VALUE"""),2482.0)</f>
        <v>2482</v>
      </c>
      <c r="K3513" s="4">
        <f>IFERROR(__xludf.DUMMYFUNCTION("""COMPUTED_VALUE"""),764.0)</f>
        <v>764</v>
      </c>
      <c r="L3513" s="4">
        <f>IFERROR(__xludf.DUMMYFUNCTION("""COMPUTED_VALUE"""),0.497)</f>
        <v>0.497</v>
      </c>
      <c r="M3513" s="4">
        <f>IFERROR(__xludf.DUMMYFUNCTION("""COMPUTED_VALUE"""),0.338)</f>
        <v>0.338</v>
      </c>
      <c r="N3513" s="4">
        <f>IFERROR(__xludf.DUMMYFUNCTION("""COMPUTED_VALUE"""),0.757)</f>
        <v>0.757</v>
      </c>
      <c r="O3513" s="4">
        <f>IFERROR(__xludf.DUMMYFUNCTION("""COMPUTED_VALUE"""),32.7)</f>
        <v>32.7</v>
      </c>
      <c r="P3513" s="4">
        <f>IFERROR(__xludf.DUMMYFUNCTION("""COMPUTED_VALUE"""),18.9)</f>
        <v>18.9</v>
      </c>
      <c r="Q3513" s="4">
        <f>IFERROR(__xludf.DUMMYFUNCTION("""COMPUTED_VALUE"""),9.5)</f>
        <v>9.5</v>
      </c>
      <c r="R3513" s="4">
        <f>IFERROR(__xludf.DUMMYFUNCTION("""COMPUTED_VALUE"""),2.9)</f>
        <v>2.9</v>
      </c>
      <c r="S3513" s="4">
        <f>IFERROR(__xludf.DUMMYFUNCTION("""COMPUTED_VALUE"""),20.9)</f>
        <v>20.9</v>
      </c>
      <c r="T3513" s="4">
        <f>IFERROR(__xludf.DUMMYFUNCTION("""COMPUTED_VALUE"""),0.118)</f>
        <v>0.118</v>
      </c>
      <c r="U3513" s="4">
        <f>IFERROR(__xludf.DUMMYFUNCTION("""COMPUTED_VALUE"""),1.4)</f>
        <v>1.4</v>
      </c>
      <c r="V3513" s="4">
        <f>IFERROR(__xludf.DUMMYFUNCTION("""COMPUTED_VALUE"""),7.3)</f>
        <v>7.3</v>
      </c>
    </row>
    <row r="3514">
      <c r="A3514" s="4">
        <f>IFERROR(__xludf.DUMMYFUNCTION("""COMPUTED_VALUE"""),9.0)</f>
        <v>9</v>
      </c>
      <c r="B3514" s="4">
        <f>IFERROR(__xludf.DUMMYFUNCTION("""COMPUTED_VALUE"""),9.0)</f>
        <v>9</v>
      </c>
      <c r="C3514" s="4" t="str">
        <f>IFERROR(__xludf.DUMMYFUNCTION("""COMPUTED_VALUE"""),"DET")</f>
        <v>DET</v>
      </c>
      <c r="D3514" s="4" t="str">
        <f>IFERROR(__xludf.DUMMYFUNCTION("""COMPUTED_VALUE"""),"Cliff Levingston")</f>
        <v>Cliff Levingston</v>
      </c>
      <c r="E3514" s="4" t="str">
        <f>IFERROR(__xludf.DUMMYFUNCTION("""COMPUTED_VALUE"""),"Wichita State")</f>
        <v>Wichita State</v>
      </c>
      <c r="F3514" s="4">
        <f>IFERROR(__xludf.DUMMYFUNCTION("""COMPUTED_VALUE"""),11.0)</f>
        <v>11</v>
      </c>
      <c r="G3514" s="4">
        <f>IFERROR(__xludf.DUMMYFUNCTION("""COMPUTED_VALUE"""),830.0)</f>
        <v>830</v>
      </c>
      <c r="H3514" s="4">
        <f>IFERROR(__xludf.DUMMYFUNCTION("""COMPUTED_VALUE"""),16962.0)</f>
        <v>16962</v>
      </c>
      <c r="I3514" s="4">
        <f>IFERROR(__xludf.DUMMYFUNCTION("""COMPUTED_VALUE"""),5888.0)</f>
        <v>5888</v>
      </c>
      <c r="J3514" s="4">
        <f>IFERROR(__xludf.DUMMYFUNCTION("""COMPUTED_VALUE"""),4307.0)</f>
        <v>4307</v>
      </c>
      <c r="K3514" s="4">
        <f>IFERROR(__xludf.DUMMYFUNCTION("""COMPUTED_VALUE"""),752.0)</f>
        <v>752</v>
      </c>
      <c r="L3514" s="4">
        <f>IFERROR(__xludf.DUMMYFUNCTION("""COMPUTED_VALUE"""),0.516)</f>
        <v>0.516</v>
      </c>
      <c r="M3514" s="4">
        <f>IFERROR(__xludf.DUMMYFUNCTION("""COMPUTED_VALUE"""),0.152)</f>
        <v>0.152</v>
      </c>
      <c r="N3514" s="4">
        <f>IFERROR(__xludf.DUMMYFUNCTION("""COMPUTED_VALUE"""),0.676)</f>
        <v>0.676</v>
      </c>
      <c r="O3514" s="4">
        <f>IFERROR(__xludf.DUMMYFUNCTION("""COMPUTED_VALUE"""),20.4)</f>
        <v>20.4</v>
      </c>
      <c r="P3514" s="4">
        <f>IFERROR(__xludf.DUMMYFUNCTION("""COMPUTED_VALUE"""),7.1)</f>
        <v>7.1</v>
      </c>
      <c r="Q3514" s="4">
        <f>IFERROR(__xludf.DUMMYFUNCTION("""COMPUTED_VALUE"""),5.2)</f>
        <v>5.2</v>
      </c>
      <c r="R3514" s="4">
        <f>IFERROR(__xludf.DUMMYFUNCTION("""COMPUTED_VALUE"""),0.9)</f>
        <v>0.9</v>
      </c>
      <c r="S3514" s="4">
        <f>IFERROR(__xludf.DUMMYFUNCTION("""COMPUTED_VALUE"""),44.2)</f>
        <v>44.2</v>
      </c>
      <c r="T3514" s="4">
        <f>IFERROR(__xludf.DUMMYFUNCTION("""COMPUTED_VALUE"""),0.125)</f>
        <v>0.125</v>
      </c>
      <c r="U3514" s="4">
        <f>IFERROR(__xludf.DUMMYFUNCTION("""COMPUTED_VALUE"""),-0.2)</f>
        <v>-0.2</v>
      </c>
      <c r="V3514" s="4">
        <f>IFERROR(__xludf.DUMMYFUNCTION("""COMPUTED_VALUE"""),7.6)</f>
        <v>7.6</v>
      </c>
    </row>
    <row r="3515">
      <c r="A3515" s="4">
        <f>IFERROR(__xludf.DUMMYFUNCTION("""COMPUTED_VALUE"""),10.0)</f>
        <v>10</v>
      </c>
      <c r="B3515" s="4">
        <f>IFERROR(__xludf.DUMMYFUNCTION("""COMPUTED_VALUE"""),10.0)</f>
        <v>10</v>
      </c>
      <c r="C3515" s="4" t="str">
        <f>IFERROR(__xludf.DUMMYFUNCTION("""COMPUTED_VALUE"""),"ATL")</f>
        <v>ATL</v>
      </c>
      <c r="D3515" s="4" t="str">
        <f>IFERROR(__xludf.DUMMYFUNCTION("""COMPUTED_VALUE"""),"Keith Edmonson")</f>
        <v>Keith Edmonson</v>
      </c>
      <c r="E3515" s="4" t="str">
        <f>IFERROR(__xludf.DUMMYFUNCTION("""COMPUTED_VALUE"""),"Purdue")</f>
        <v>Purdue</v>
      </c>
      <c r="F3515" s="4">
        <f>IFERROR(__xludf.DUMMYFUNCTION("""COMPUTED_VALUE"""),2.0)</f>
        <v>2</v>
      </c>
      <c r="G3515" s="4">
        <f>IFERROR(__xludf.DUMMYFUNCTION("""COMPUTED_VALUE"""),87.0)</f>
        <v>87</v>
      </c>
      <c r="H3515" s="4">
        <f>IFERROR(__xludf.DUMMYFUNCTION("""COMPUTED_VALUE"""),931.0)</f>
        <v>931</v>
      </c>
      <c r="I3515" s="4">
        <f>IFERROR(__xludf.DUMMYFUNCTION("""COMPUTED_VALUE"""),522.0)</f>
        <v>522</v>
      </c>
      <c r="J3515" s="4">
        <f>IFERROR(__xludf.DUMMYFUNCTION("""COMPUTED_VALUE"""),127.0)</f>
        <v>127</v>
      </c>
      <c r="K3515" s="4">
        <f>IFERROR(__xludf.DUMMYFUNCTION("""COMPUTED_VALUE"""),56.0)</f>
        <v>56</v>
      </c>
      <c r="L3515" s="4">
        <f>IFERROR(__xludf.DUMMYFUNCTION("""COMPUTED_VALUE"""),0.448)</f>
        <v>0.448</v>
      </c>
      <c r="M3515" s="4">
        <f>IFERROR(__xludf.DUMMYFUNCTION("""COMPUTED_VALUE"""),0.0)</f>
        <v>0</v>
      </c>
      <c r="N3515" s="4">
        <f>IFERROR(__xludf.DUMMYFUNCTION("""COMPUTED_VALUE"""),0.719)</f>
        <v>0.719</v>
      </c>
      <c r="O3515" s="4">
        <f>IFERROR(__xludf.DUMMYFUNCTION("""COMPUTED_VALUE"""),10.7)</f>
        <v>10.7</v>
      </c>
      <c r="P3515" s="4">
        <f>IFERROR(__xludf.DUMMYFUNCTION("""COMPUTED_VALUE"""),6.0)</f>
        <v>6</v>
      </c>
      <c r="Q3515" s="4">
        <f>IFERROR(__xludf.DUMMYFUNCTION("""COMPUTED_VALUE"""),1.5)</f>
        <v>1.5</v>
      </c>
      <c r="R3515" s="4">
        <f>IFERROR(__xludf.DUMMYFUNCTION("""COMPUTED_VALUE"""),0.6)</f>
        <v>0.6</v>
      </c>
      <c r="S3515" s="4">
        <f>IFERROR(__xludf.DUMMYFUNCTION("""COMPUTED_VALUE"""),0.4)</f>
        <v>0.4</v>
      </c>
      <c r="T3515" s="4">
        <f>IFERROR(__xludf.DUMMYFUNCTION("""COMPUTED_VALUE"""),0.022)</f>
        <v>0.022</v>
      </c>
      <c r="U3515" s="4">
        <f>IFERROR(__xludf.DUMMYFUNCTION("""COMPUTED_VALUE"""),-3.6)</f>
        <v>-3.6</v>
      </c>
      <c r="V3515" s="4">
        <f>IFERROR(__xludf.DUMMYFUNCTION("""COMPUTED_VALUE"""),-0.4)</f>
        <v>-0.4</v>
      </c>
    </row>
    <row r="3516">
      <c r="A3516" s="4">
        <f>IFERROR(__xludf.DUMMYFUNCTION("""COMPUTED_VALUE"""),11.0)</f>
        <v>11</v>
      </c>
      <c r="B3516" s="4">
        <f>IFERROR(__xludf.DUMMYFUNCTION("""COMPUTED_VALUE"""),11.0)</f>
        <v>11</v>
      </c>
      <c r="C3516" s="4" t="str">
        <f>IFERROR(__xludf.DUMMYFUNCTION("""COMPUTED_VALUE"""),"POR")</f>
        <v>POR</v>
      </c>
      <c r="D3516" s="4" t="str">
        <f>IFERROR(__xludf.DUMMYFUNCTION("""COMPUTED_VALUE"""),"Fat Lever")</f>
        <v>Fat Lever</v>
      </c>
      <c r="E3516" s="4" t="str">
        <f>IFERROR(__xludf.DUMMYFUNCTION("""COMPUTED_VALUE"""),"Arizona State")</f>
        <v>Arizona State</v>
      </c>
      <c r="F3516" s="4">
        <f>IFERROR(__xludf.DUMMYFUNCTION("""COMPUTED_VALUE"""),11.0)</f>
        <v>11</v>
      </c>
      <c r="G3516" s="4">
        <f>IFERROR(__xludf.DUMMYFUNCTION("""COMPUTED_VALUE"""),752.0)</f>
        <v>752</v>
      </c>
      <c r="H3516" s="4">
        <f>IFERROR(__xludf.DUMMYFUNCTION("""COMPUTED_VALUE"""),23814.0)</f>
        <v>23814</v>
      </c>
      <c r="I3516" s="4">
        <f>IFERROR(__xludf.DUMMYFUNCTION("""COMPUTED_VALUE"""),10433.0)</f>
        <v>10433</v>
      </c>
      <c r="J3516" s="4">
        <f>IFERROR(__xludf.DUMMYFUNCTION("""COMPUTED_VALUE"""),4523.0)</f>
        <v>4523</v>
      </c>
      <c r="K3516" s="4">
        <f>IFERROR(__xludf.DUMMYFUNCTION("""COMPUTED_VALUE"""),4696.0)</f>
        <v>4696</v>
      </c>
      <c r="L3516" s="4">
        <f>IFERROR(__xludf.DUMMYFUNCTION("""COMPUTED_VALUE"""),0.447)</f>
        <v>0.447</v>
      </c>
      <c r="M3516" s="4">
        <f>IFERROR(__xludf.DUMMYFUNCTION("""COMPUTED_VALUE"""),0.31)</f>
        <v>0.31</v>
      </c>
      <c r="N3516" s="4">
        <f>IFERROR(__xludf.DUMMYFUNCTION("""COMPUTED_VALUE"""),0.771)</f>
        <v>0.771</v>
      </c>
      <c r="O3516" s="4">
        <f>IFERROR(__xludf.DUMMYFUNCTION("""COMPUTED_VALUE"""),31.7)</f>
        <v>31.7</v>
      </c>
      <c r="P3516" s="4">
        <f>IFERROR(__xludf.DUMMYFUNCTION("""COMPUTED_VALUE"""),13.9)</f>
        <v>13.9</v>
      </c>
      <c r="Q3516" s="4">
        <f>IFERROR(__xludf.DUMMYFUNCTION("""COMPUTED_VALUE"""),6.0)</f>
        <v>6</v>
      </c>
      <c r="R3516" s="4">
        <f>IFERROR(__xludf.DUMMYFUNCTION("""COMPUTED_VALUE"""),6.2)</f>
        <v>6.2</v>
      </c>
      <c r="S3516" s="4">
        <f>IFERROR(__xludf.DUMMYFUNCTION("""COMPUTED_VALUE"""),61.2)</f>
        <v>61.2</v>
      </c>
      <c r="T3516" s="4">
        <f>IFERROR(__xludf.DUMMYFUNCTION("""COMPUTED_VALUE"""),0.123)</f>
        <v>0.123</v>
      </c>
      <c r="U3516" s="4">
        <f>IFERROR(__xludf.DUMMYFUNCTION("""COMPUTED_VALUE"""),3.3)</f>
        <v>3.3</v>
      </c>
      <c r="V3516" s="4">
        <f>IFERROR(__xludf.DUMMYFUNCTION("""COMPUTED_VALUE"""),32.1)</f>
        <v>32.1</v>
      </c>
    </row>
    <row r="3517">
      <c r="A3517" s="4">
        <f>IFERROR(__xludf.DUMMYFUNCTION("""COMPUTED_VALUE"""),12.0)</f>
        <v>12</v>
      </c>
      <c r="B3517" s="4">
        <f>IFERROR(__xludf.DUMMYFUNCTION("""COMPUTED_VALUE"""),12.0)</f>
        <v>12</v>
      </c>
      <c r="C3517" s="4" t="str">
        <f>IFERROR(__xludf.DUMMYFUNCTION("""COMPUTED_VALUE"""),"CLE")</f>
        <v>CLE</v>
      </c>
      <c r="D3517" s="4" t="str">
        <f>IFERROR(__xludf.DUMMYFUNCTION("""COMPUTED_VALUE"""),"John Bagley")</f>
        <v>John Bagley</v>
      </c>
      <c r="E3517" s="4" t="str">
        <f>IFERROR(__xludf.DUMMYFUNCTION("""COMPUTED_VALUE"""),"Boston College")</f>
        <v>Boston College</v>
      </c>
      <c r="F3517" s="4">
        <f>IFERROR(__xludf.DUMMYFUNCTION("""COMPUTED_VALUE"""),11.0)</f>
        <v>11</v>
      </c>
      <c r="G3517" s="4">
        <f>IFERROR(__xludf.DUMMYFUNCTION("""COMPUTED_VALUE"""),665.0)</f>
        <v>665</v>
      </c>
      <c r="H3517" s="4">
        <f>IFERROR(__xludf.DUMMYFUNCTION("""COMPUTED_VALUE"""),17120.0)</f>
        <v>17120</v>
      </c>
      <c r="I3517" s="4">
        <f>IFERROR(__xludf.DUMMYFUNCTION("""COMPUTED_VALUE"""),5802.0)</f>
        <v>5802</v>
      </c>
      <c r="J3517" s="4">
        <f>IFERROR(__xludf.DUMMYFUNCTION("""COMPUTED_VALUE"""),1729.0)</f>
        <v>1729</v>
      </c>
      <c r="K3517" s="4">
        <f>IFERROR(__xludf.DUMMYFUNCTION("""COMPUTED_VALUE"""),3980.0)</f>
        <v>3980</v>
      </c>
      <c r="L3517" s="4">
        <f>IFERROR(__xludf.DUMMYFUNCTION("""COMPUTED_VALUE"""),0.437)</f>
        <v>0.437</v>
      </c>
      <c r="M3517" s="4">
        <f>IFERROR(__xludf.DUMMYFUNCTION("""COMPUTED_VALUE"""),0.241)</f>
        <v>0.241</v>
      </c>
      <c r="N3517" s="4">
        <f>IFERROR(__xludf.DUMMYFUNCTION("""COMPUTED_VALUE"""),0.779)</f>
        <v>0.779</v>
      </c>
      <c r="O3517" s="4">
        <f>IFERROR(__xludf.DUMMYFUNCTION("""COMPUTED_VALUE"""),25.7)</f>
        <v>25.7</v>
      </c>
      <c r="P3517" s="4">
        <f>IFERROR(__xludf.DUMMYFUNCTION("""COMPUTED_VALUE"""),8.7)</f>
        <v>8.7</v>
      </c>
      <c r="Q3517" s="4">
        <f>IFERROR(__xludf.DUMMYFUNCTION("""COMPUTED_VALUE"""),2.6)</f>
        <v>2.6</v>
      </c>
      <c r="R3517" s="4">
        <f>IFERROR(__xludf.DUMMYFUNCTION("""COMPUTED_VALUE"""),6.0)</f>
        <v>6</v>
      </c>
      <c r="S3517" s="4">
        <f>IFERROR(__xludf.DUMMYFUNCTION("""COMPUTED_VALUE"""),16.6)</f>
        <v>16.6</v>
      </c>
      <c r="T3517" s="4">
        <f>IFERROR(__xludf.DUMMYFUNCTION("""COMPUTED_VALUE"""),0.047)</f>
        <v>0.047</v>
      </c>
      <c r="U3517" s="4">
        <f>IFERROR(__xludf.DUMMYFUNCTION("""COMPUTED_VALUE"""),-0.9)</f>
        <v>-0.9</v>
      </c>
      <c r="V3517" s="4">
        <f>IFERROR(__xludf.DUMMYFUNCTION("""COMPUTED_VALUE"""),4.5)</f>
        <v>4.5</v>
      </c>
    </row>
    <row r="3518">
      <c r="A3518" s="4">
        <f>IFERROR(__xludf.DUMMYFUNCTION("""COMPUTED_VALUE"""),13.0)</f>
        <v>13</v>
      </c>
      <c r="B3518" s="4">
        <f>IFERROR(__xludf.DUMMYFUNCTION("""COMPUTED_VALUE"""),13.0)</f>
        <v>13</v>
      </c>
      <c r="C3518" s="4" t="str">
        <f>IFERROR(__xludf.DUMMYFUNCTION("""COMPUTED_VALUE"""),"NJN")</f>
        <v>NJN</v>
      </c>
      <c r="D3518" s="4" t="str">
        <f>IFERROR(__xludf.DUMMYFUNCTION("""COMPUTED_VALUE"""),"Sleepy Floyd")</f>
        <v>Sleepy Floyd</v>
      </c>
      <c r="E3518" s="4" t="str">
        <f>IFERROR(__xludf.DUMMYFUNCTION("""COMPUTED_VALUE"""),"Georgetown")</f>
        <v>Georgetown</v>
      </c>
      <c r="F3518" s="4">
        <f>IFERROR(__xludf.DUMMYFUNCTION("""COMPUTED_VALUE"""),13.0)</f>
        <v>13</v>
      </c>
      <c r="G3518" s="4">
        <f>IFERROR(__xludf.DUMMYFUNCTION("""COMPUTED_VALUE"""),957.0)</f>
        <v>957</v>
      </c>
      <c r="H3518" s="4">
        <f>IFERROR(__xludf.DUMMYFUNCTION("""COMPUTED_VALUE"""),26383.0)</f>
        <v>26383</v>
      </c>
      <c r="I3518" s="4">
        <f>IFERROR(__xludf.DUMMYFUNCTION("""COMPUTED_VALUE"""),12260.0)</f>
        <v>12260</v>
      </c>
      <c r="J3518" s="4">
        <f>IFERROR(__xludf.DUMMYFUNCTION("""COMPUTED_VALUE"""),2494.0)</f>
        <v>2494</v>
      </c>
      <c r="K3518" s="4">
        <f>IFERROR(__xludf.DUMMYFUNCTION("""COMPUTED_VALUE"""),5175.0)</f>
        <v>5175</v>
      </c>
      <c r="L3518" s="4">
        <f>IFERROR(__xludf.DUMMYFUNCTION("""COMPUTED_VALUE"""),0.444)</f>
        <v>0.444</v>
      </c>
      <c r="M3518" s="4">
        <f>IFERROR(__xludf.DUMMYFUNCTION("""COMPUTED_VALUE"""),0.324)</f>
        <v>0.324</v>
      </c>
      <c r="N3518" s="4">
        <f>IFERROR(__xludf.DUMMYFUNCTION("""COMPUTED_VALUE"""),0.815)</f>
        <v>0.815</v>
      </c>
      <c r="O3518" s="4">
        <f>IFERROR(__xludf.DUMMYFUNCTION("""COMPUTED_VALUE"""),27.6)</f>
        <v>27.6</v>
      </c>
      <c r="P3518" s="4">
        <f>IFERROR(__xludf.DUMMYFUNCTION("""COMPUTED_VALUE"""),12.8)</f>
        <v>12.8</v>
      </c>
      <c r="Q3518" s="4">
        <f>IFERROR(__xludf.DUMMYFUNCTION("""COMPUTED_VALUE"""),2.6)</f>
        <v>2.6</v>
      </c>
      <c r="R3518" s="4">
        <f>IFERROR(__xludf.DUMMYFUNCTION("""COMPUTED_VALUE"""),5.4)</f>
        <v>5.4</v>
      </c>
      <c r="S3518" s="4">
        <f>IFERROR(__xludf.DUMMYFUNCTION("""COMPUTED_VALUE"""),50.6)</f>
        <v>50.6</v>
      </c>
      <c r="T3518" s="4">
        <f>IFERROR(__xludf.DUMMYFUNCTION("""COMPUTED_VALUE"""),0.092)</f>
        <v>0.092</v>
      </c>
      <c r="U3518" s="4">
        <f>IFERROR(__xludf.DUMMYFUNCTION("""COMPUTED_VALUE"""),0.5)</f>
        <v>0.5</v>
      </c>
      <c r="V3518" s="4">
        <f>IFERROR(__xludf.DUMMYFUNCTION("""COMPUTED_VALUE"""),16.6)</f>
        <v>16.6</v>
      </c>
    </row>
    <row r="3519">
      <c r="A3519" s="4">
        <f>IFERROR(__xludf.DUMMYFUNCTION("""COMPUTED_VALUE"""),14.0)</f>
        <v>14</v>
      </c>
      <c r="B3519" s="4">
        <f>IFERROR(__xludf.DUMMYFUNCTION("""COMPUTED_VALUE"""),14.0)</f>
        <v>14</v>
      </c>
      <c r="C3519" s="4" t="str">
        <f>IFERROR(__xludf.DUMMYFUNCTION("""COMPUTED_VALUE"""),"GSW")</f>
        <v>GSW</v>
      </c>
      <c r="D3519" s="4" t="str">
        <f>IFERROR(__xludf.DUMMYFUNCTION("""COMPUTED_VALUE"""),"Lester Conner")</f>
        <v>Lester Conner</v>
      </c>
      <c r="E3519" s="4" t="str">
        <f>IFERROR(__xludf.DUMMYFUNCTION("""COMPUTED_VALUE"""),"Oregon State")</f>
        <v>Oregon State</v>
      </c>
      <c r="F3519" s="4">
        <f>IFERROR(__xludf.DUMMYFUNCTION("""COMPUTED_VALUE"""),12.0)</f>
        <v>12</v>
      </c>
      <c r="G3519" s="4">
        <f>IFERROR(__xludf.DUMMYFUNCTION("""COMPUTED_VALUE"""),687.0)</f>
        <v>687</v>
      </c>
      <c r="H3519" s="4">
        <f>IFERROR(__xludf.DUMMYFUNCTION("""COMPUTED_VALUE"""),14970.0)</f>
        <v>14970</v>
      </c>
      <c r="I3519" s="4">
        <f>IFERROR(__xludf.DUMMYFUNCTION("""COMPUTED_VALUE"""),4337.0)</f>
        <v>4337</v>
      </c>
      <c r="J3519" s="4">
        <f>IFERROR(__xludf.DUMMYFUNCTION("""COMPUTED_VALUE"""),1861.0)</f>
        <v>1861</v>
      </c>
      <c r="K3519" s="4">
        <f>IFERROR(__xludf.DUMMYFUNCTION("""COMPUTED_VALUE"""),2669.0)</f>
        <v>2669</v>
      </c>
      <c r="L3519" s="4">
        <f>IFERROR(__xludf.DUMMYFUNCTION("""COMPUTED_VALUE"""),0.453)</f>
        <v>0.453</v>
      </c>
      <c r="M3519" s="4">
        <f>IFERROR(__xludf.DUMMYFUNCTION("""COMPUTED_VALUE"""),0.202)</f>
        <v>0.202</v>
      </c>
      <c r="N3519" s="4">
        <f>IFERROR(__xludf.DUMMYFUNCTION("""COMPUTED_VALUE"""),0.753)</f>
        <v>0.753</v>
      </c>
      <c r="O3519" s="4">
        <f>IFERROR(__xludf.DUMMYFUNCTION("""COMPUTED_VALUE"""),21.8)</f>
        <v>21.8</v>
      </c>
      <c r="P3519" s="4">
        <f>IFERROR(__xludf.DUMMYFUNCTION("""COMPUTED_VALUE"""),6.3)</f>
        <v>6.3</v>
      </c>
      <c r="Q3519" s="4">
        <f>IFERROR(__xludf.DUMMYFUNCTION("""COMPUTED_VALUE"""),2.7)</f>
        <v>2.7</v>
      </c>
      <c r="R3519" s="4">
        <f>IFERROR(__xludf.DUMMYFUNCTION("""COMPUTED_VALUE"""),3.9)</f>
        <v>3.9</v>
      </c>
      <c r="S3519" s="4">
        <f>IFERROR(__xludf.DUMMYFUNCTION("""COMPUTED_VALUE"""),28.6)</f>
        <v>28.6</v>
      </c>
      <c r="T3519" s="4">
        <f>IFERROR(__xludf.DUMMYFUNCTION("""COMPUTED_VALUE"""),0.092)</f>
        <v>0.092</v>
      </c>
      <c r="U3519" s="4">
        <f>IFERROR(__xludf.DUMMYFUNCTION("""COMPUTED_VALUE"""),1.0)</f>
        <v>1</v>
      </c>
      <c r="V3519" s="4">
        <f>IFERROR(__xludf.DUMMYFUNCTION("""COMPUTED_VALUE"""),11.3)</f>
        <v>11.3</v>
      </c>
    </row>
    <row r="3520">
      <c r="A3520" s="4">
        <f>IFERROR(__xludf.DUMMYFUNCTION("""COMPUTED_VALUE"""),15.0)</f>
        <v>15</v>
      </c>
      <c r="B3520" s="4">
        <f>IFERROR(__xludf.DUMMYFUNCTION("""COMPUTED_VALUE"""),15.0)</f>
        <v>15</v>
      </c>
      <c r="C3520" s="4" t="str">
        <f>IFERROR(__xludf.DUMMYFUNCTION("""COMPUTED_VALUE"""),"PHO")</f>
        <v>PHO</v>
      </c>
      <c r="D3520" s="4" t="str">
        <f>IFERROR(__xludf.DUMMYFUNCTION("""COMPUTED_VALUE"""),"David Thirdkill")</f>
        <v>David Thirdkill</v>
      </c>
      <c r="E3520" s="4" t="str">
        <f>IFERROR(__xludf.DUMMYFUNCTION("""COMPUTED_VALUE"""),"Bradley")</f>
        <v>Bradley</v>
      </c>
      <c r="F3520" s="4">
        <f>IFERROR(__xludf.DUMMYFUNCTION("""COMPUTED_VALUE"""),5.0)</f>
        <v>5</v>
      </c>
      <c r="G3520" s="4">
        <f>IFERROR(__xludf.DUMMYFUNCTION("""COMPUTED_VALUE"""),179.0)</f>
        <v>179</v>
      </c>
      <c r="H3520" s="4">
        <f>IFERROR(__xludf.DUMMYFUNCTION("""COMPUTED_VALUE"""),1469.0)</f>
        <v>1469</v>
      </c>
      <c r="I3520" s="4">
        <f>IFERROR(__xludf.DUMMYFUNCTION("""COMPUTED_VALUE"""),510.0)</f>
        <v>510</v>
      </c>
      <c r="J3520" s="4">
        <f>IFERROR(__xludf.DUMMYFUNCTION("""COMPUTED_VALUE"""),209.0)</f>
        <v>209</v>
      </c>
      <c r="K3520" s="4">
        <f>IFERROR(__xludf.DUMMYFUNCTION("""COMPUTED_VALUE"""),84.0)</f>
        <v>84</v>
      </c>
      <c r="L3520" s="4">
        <f>IFERROR(__xludf.DUMMYFUNCTION("""COMPUTED_VALUE"""),0.457)</f>
        <v>0.457</v>
      </c>
      <c r="M3520" s="4">
        <f>IFERROR(__xludf.DUMMYFUNCTION("""COMPUTED_VALUE"""),0.091)</f>
        <v>0.091</v>
      </c>
      <c r="N3520" s="4">
        <f>IFERROR(__xludf.DUMMYFUNCTION("""COMPUTED_VALUE"""),0.565)</f>
        <v>0.565</v>
      </c>
      <c r="O3520" s="4">
        <f>IFERROR(__xludf.DUMMYFUNCTION("""COMPUTED_VALUE"""),8.2)</f>
        <v>8.2</v>
      </c>
      <c r="P3520" s="4">
        <f>IFERROR(__xludf.DUMMYFUNCTION("""COMPUTED_VALUE"""),2.8)</f>
        <v>2.8</v>
      </c>
      <c r="Q3520" s="4">
        <f>IFERROR(__xludf.DUMMYFUNCTION("""COMPUTED_VALUE"""),1.2)</f>
        <v>1.2</v>
      </c>
      <c r="R3520" s="4">
        <f>IFERROR(__xludf.DUMMYFUNCTION("""COMPUTED_VALUE"""),0.5)</f>
        <v>0.5</v>
      </c>
      <c r="S3520" s="4">
        <f>IFERROR(__xludf.DUMMYFUNCTION("""COMPUTED_VALUE"""),1.3)</f>
        <v>1.3</v>
      </c>
      <c r="T3520" s="4">
        <f>IFERROR(__xludf.DUMMYFUNCTION("""COMPUTED_VALUE"""),0.042)</f>
        <v>0.042</v>
      </c>
      <c r="U3520" s="4">
        <f>IFERROR(__xludf.DUMMYFUNCTION("""COMPUTED_VALUE"""),-4.9)</f>
        <v>-4.9</v>
      </c>
      <c r="V3520" s="4">
        <f>IFERROR(__xludf.DUMMYFUNCTION("""COMPUTED_VALUE"""),-1.1)</f>
        <v>-1.1</v>
      </c>
    </row>
    <row r="3521">
      <c r="A3521" s="4">
        <f>IFERROR(__xludf.DUMMYFUNCTION("""COMPUTED_VALUE"""),16.0)</f>
        <v>16</v>
      </c>
      <c r="B3521" s="4">
        <f>IFERROR(__xludf.DUMMYFUNCTION("""COMPUTED_VALUE"""),16.0)</f>
        <v>16</v>
      </c>
      <c r="C3521" s="4" t="str">
        <f>IFERROR(__xludf.DUMMYFUNCTION("""COMPUTED_VALUE"""),"HOU")</f>
        <v>HOU</v>
      </c>
      <c r="D3521" s="4" t="str">
        <f>IFERROR(__xludf.DUMMYFUNCTION("""COMPUTED_VALUE"""),"Terry Teagle")</f>
        <v>Terry Teagle</v>
      </c>
      <c r="E3521" s="4" t="str">
        <f>IFERROR(__xludf.DUMMYFUNCTION("""COMPUTED_VALUE"""),"Baylor")</f>
        <v>Baylor</v>
      </c>
      <c r="F3521" s="4">
        <f>IFERROR(__xludf.DUMMYFUNCTION("""COMPUTED_VALUE"""),11.0)</f>
        <v>11</v>
      </c>
      <c r="G3521" s="4">
        <f>IFERROR(__xludf.DUMMYFUNCTION("""COMPUTED_VALUE"""),687.0)</f>
        <v>687</v>
      </c>
      <c r="H3521" s="4">
        <f>IFERROR(__xludf.DUMMYFUNCTION("""COMPUTED_VALUE"""),14509.0)</f>
        <v>14509</v>
      </c>
      <c r="I3521" s="4">
        <f>IFERROR(__xludf.DUMMYFUNCTION("""COMPUTED_VALUE"""),7982.0)</f>
        <v>7982</v>
      </c>
      <c r="J3521" s="4">
        <f>IFERROR(__xludf.DUMMYFUNCTION("""COMPUTED_VALUE"""),1803.0)</f>
        <v>1803</v>
      </c>
      <c r="K3521" s="4">
        <f>IFERROR(__xludf.DUMMYFUNCTION("""COMPUTED_VALUE"""),956.0)</f>
        <v>956</v>
      </c>
      <c r="L3521" s="4">
        <f>IFERROR(__xludf.DUMMYFUNCTION("""COMPUTED_VALUE"""),0.465)</f>
        <v>0.465</v>
      </c>
      <c r="M3521" s="4">
        <f>IFERROR(__xludf.DUMMYFUNCTION("""COMPUTED_VALUE"""),0.21)</f>
        <v>0.21</v>
      </c>
      <c r="N3521" s="4">
        <f>IFERROR(__xludf.DUMMYFUNCTION("""COMPUTED_VALUE"""),0.792)</f>
        <v>0.792</v>
      </c>
      <c r="O3521" s="4">
        <f>IFERROR(__xludf.DUMMYFUNCTION("""COMPUTED_VALUE"""),21.1)</f>
        <v>21.1</v>
      </c>
      <c r="P3521" s="4">
        <f>IFERROR(__xludf.DUMMYFUNCTION("""COMPUTED_VALUE"""),11.6)</f>
        <v>11.6</v>
      </c>
      <c r="Q3521" s="4">
        <f>IFERROR(__xludf.DUMMYFUNCTION("""COMPUTED_VALUE"""),2.6)</f>
        <v>2.6</v>
      </c>
      <c r="R3521" s="4">
        <f>IFERROR(__xludf.DUMMYFUNCTION("""COMPUTED_VALUE"""),1.4)</f>
        <v>1.4</v>
      </c>
      <c r="S3521" s="4">
        <f>IFERROR(__xludf.DUMMYFUNCTION("""COMPUTED_VALUE"""),13.4)</f>
        <v>13.4</v>
      </c>
      <c r="T3521" s="4">
        <f>IFERROR(__xludf.DUMMYFUNCTION("""COMPUTED_VALUE"""),0.044)</f>
        <v>0.044</v>
      </c>
      <c r="U3521" s="4">
        <f>IFERROR(__xludf.DUMMYFUNCTION("""COMPUTED_VALUE"""),-2.9)</f>
        <v>-2.9</v>
      </c>
      <c r="V3521" s="4">
        <f>IFERROR(__xludf.DUMMYFUNCTION("""COMPUTED_VALUE"""),-3.2)</f>
        <v>-3.2</v>
      </c>
    </row>
    <row r="3522">
      <c r="A3522" s="4">
        <f>IFERROR(__xludf.DUMMYFUNCTION("""COMPUTED_VALUE"""),17.0)</f>
        <v>17</v>
      </c>
      <c r="B3522" s="4">
        <f>IFERROR(__xludf.DUMMYFUNCTION("""COMPUTED_VALUE"""),17.0)</f>
        <v>17</v>
      </c>
      <c r="C3522" s="4" t="str">
        <f>IFERROR(__xludf.DUMMYFUNCTION("""COMPUTED_VALUE"""),"KCK")</f>
        <v>KCK</v>
      </c>
      <c r="D3522" s="4" t="str">
        <f>IFERROR(__xludf.DUMMYFUNCTION("""COMPUTED_VALUE"""),"Brook Steppe")</f>
        <v>Brook Steppe</v>
      </c>
      <c r="E3522" s="4" t="str">
        <f>IFERROR(__xludf.DUMMYFUNCTION("""COMPUTED_VALUE"""),"Georgia Tech")</f>
        <v>Georgia Tech</v>
      </c>
      <c r="F3522" s="4">
        <f>IFERROR(__xludf.DUMMYFUNCTION("""COMPUTED_VALUE"""),5.0)</f>
        <v>5</v>
      </c>
      <c r="G3522" s="4">
        <f>IFERROR(__xludf.DUMMYFUNCTION("""COMPUTED_VALUE"""),238.0)</f>
        <v>238</v>
      </c>
      <c r="H3522" s="4">
        <f>IFERROR(__xludf.DUMMYFUNCTION("""COMPUTED_VALUE"""),2858.0)</f>
        <v>2858</v>
      </c>
      <c r="I3522" s="4">
        <f>IFERROR(__xludf.DUMMYFUNCTION("""COMPUTED_VALUE"""),1297.0)</f>
        <v>1297</v>
      </c>
      <c r="J3522" s="4">
        <f>IFERROR(__xludf.DUMMYFUNCTION("""COMPUTED_VALUE"""),345.0)</f>
        <v>345</v>
      </c>
      <c r="K3522" s="4">
        <f>IFERROR(__xludf.DUMMYFUNCTION("""COMPUTED_VALUE"""),280.0)</f>
        <v>280</v>
      </c>
      <c r="L3522" s="4">
        <f>IFERROR(__xludf.DUMMYFUNCTION("""COMPUTED_VALUE"""),0.469)</f>
        <v>0.469</v>
      </c>
      <c r="M3522" s="4">
        <f>IFERROR(__xludf.DUMMYFUNCTION("""COMPUTED_VALUE"""),0.31)</f>
        <v>0.31</v>
      </c>
      <c r="N3522" s="4">
        <f>IFERROR(__xludf.DUMMYFUNCTION("""COMPUTED_VALUE"""),0.82)</f>
        <v>0.82</v>
      </c>
      <c r="O3522" s="4">
        <f>IFERROR(__xludf.DUMMYFUNCTION("""COMPUTED_VALUE"""),12.0)</f>
        <v>12</v>
      </c>
      <c r="P3522" s="4">
        <f>IFERROR(__xludf.DUMMYFUNCTION("""COMPUTED_VALUE"""),5.4)</f>
        <v>5.4</v>
      </c>
      <c r="Q3522" s="4">
        <f>IFERROR(__xludf.DUMMYFUNCTION("""COMPUTED_VALUE"""),1.4)</f>
        <v>1.4</v>
      </c>
      <c r="R3522" s="4">
        <f>IFERROR(__xludf.DUMMYFUNCTION("""COMPUTED_VALUE"""),1.2)</f>
        <v>1.2</v>
      </c>
      <c r="S3522" s="4">
        <f>IFERROR(__xludf.DUMMYFUNCTION("""COMPUTED_VALUE"""),4.6)</f>
        <v>4.6</v>
      </c>
      <c r="T3522" s="4">
        <f>IFERROR(__xludf.DUMMYFUNCTION("""COMPUTED_VALUE"""),0.078)</f>
        <v>0.078</v>
      </c>
      <c r="U3522" s="4">
        <f>IFERROR(__xludf.DUMMYFUNCTION("""COMPUTED_VALUE"""),-1.8)</f>
        <v>-1.8</v>
      </c>
      <c r="V3522" s="4">
        <f>IFERROR(__xludf.DUMMYFUNCTION("""COMPUTED_VALUE"""),0.2)</f>
        <v>0.2</v>
      </c>
    </row>
    <row r="3523">
      <c r="A3523" s="4">
        <f>IFERROR(__xludf.DUMMYFUNCTION("""COMPUTED_VALUE"""),18.0)</f>
        <v>18</v>
      </c>
      <c r="B3523" s="4">
        <f>IFERROR(__xludf.DUMMYFUNCTION("""COMPUTED_VALUE"""),18.0)</f>
        <v>18</v>
      </c>
      <c r="C3523" s="4" t="str">
        <f>IFERROR(__xludf.DUMMYFUNCTION("""COMPUTED_VALUE"""),"DET")</f>
        <v>DET</v>
      </c>
      <c r="D3523" s="4" t="str">
        <f>IFERROR(__xludf.DUMMYFUNCTION("""COMPUTED_VALUE"""),"Ricky Pierce")</f>
        <v>Ricky Pierce</v>
      </c>
      <c r="E3523" s="4" t="str">
        <f>IFERROR(__xludf.DUMMYFUNCTION("""COMPUTED_VALUE"""),"Rice University")</f>
        <v>Rice University</v>
      </c>
      <c r="F3523" s="4">
        <f>IFERROR(__xludf.DUMMYFUNCTION("""COMPUTED_VALUE"""),16.0)</f>
        <v>16</v>
      </c>
      <c r="G3523" s="4">
        <f>IFERROR(__xludf.DUMMYFUNCTION("""COMPUTED_VALUE"""),969.0)</f>
        <v>969</v>
      </c>
      <c r="H3523" s="4">
        <f>IFERROR(__xludf.DUMMYFUNCTION("""COMPUTED_VALUE"""),23665.0)</f>
        <v>23665</v>
      </c>
      <c r="I3523" s="4">
        <f>IFERROR(__xludf.DUMMYFUNCTION("""COMPUTED_VALUE"""),14467.0)</f>
        <v>14467</v>
      </c>
      <c r="J3523" s="4">
        <f>IFERROR(__xludf.DUMMYFUNCTION("""COMPUTED_VALUE"""),2296.0)</f>
        <v>2296</v>
      </c>
      <c r="K3523" s="4">
        <f>IFERROR(__xludf.DUMMYFUNCTION("""COMPUTED_VALUE"""),1826.0)</f>
        <v>1826</v>
      </c>
      <c r="L3523" s="4">
        <f>IFERROR(__xludf.DUMMYFUNCTION("""COMPUTED_VALUE"""),0.493)</f>
        <v>0.493</v>
      </c>
      <c r="M3523" s="4">
        <f>IFERROR(__xludf.DUMMYFUNCTION("""COMPUTED_VALUE"""),0.322)</f>
        <v>0.322</v>
      </c>
      <c r="N3523" s="4">
        <f>IFERROR(__xludf.DUMMYFUNCTION("""COMPUTED_VALUE"""),0.875)</f>
        <v>0.875</v>
      </c>
      <c r="O3523" s="4">
        <f>IFERROR(__xludf.DUMMYFUNCTION("""COMPUTED_VALUE"""),24.4)</f>
        <v>24.4</v>
      </c>
      <c r="P3523" s="4">
        <f>IFERROR(__xludf.DUMMYFUNCTION("""COMPUTED_VALUE"""),14.9)</f>
        <v>14.9</v>
      </c>
      <c r="Q3523" s="4">
        <f>IFERROR(__xludf.DUMMYFUNCTION("""COMPUTED_VALUE"""),2.4)</f>
        <v>2.4</v>
      </c>
      <c r="R3523" s="4">
        <f>IFERROR(__xludf.DUMMYFUNCTION("""COMPUTED_VALUE"""),1.9)</f>
        <v>1.9</v>
      </c>
      <c r="S3523" s="4">
        <f>IFERROR(__xludf.DUMMYFUNCTION("""COMPUTED_VALUE"""),72.2)</f>
        <v>72.2</v>
      </c>
      <c r="T3523" s="4">
        <f>IFERROR(__xludf.DUMMYFUNCTION("""COMPUTED_VALUE"""),0.146)</f>
        <v>0.146</v>
      </c>
      <c r="U3523" s="4">
        <f>IFERROR(__xludf.DUMMYFUNCTION("""COMPUTED_VALUE"""),1.1)</f>
        <v>1.1</v>
      </c>
      <c r="V3523" s="4">
        <f>IFERROR(__xludf.DUMMYFUNCTION("""COMPUTED_VALUE"""),18.6)</f>
        <v>18.6</v>
      </c>
    </row>
    <row r="3524">
      <c r="A3524" s="4">
        <f>IFERROR(__xludf.DUMMYFUNCTION("""COMPUTED_VALUE"""),19.0)</f>
        <v>19</v>
      </c>
      <c r="B3524" s="4">
        <f>IFERROR(__xludf.DUMMYFUNCTION("""COMPUTED_VALUE"""),19.0)</f>
        <v>19</v>
      </c>
      <c r="C3524" s="4" t="str">
        <f>IFERROR(__xludf.DUMMYFUNCTION("""COMPUTED_VALUE"""),"DEN")</f>
        <v>DEN</v>
      </c>
      <c r="D3524" s="4" t="str">
        <f>IFERROR(__xludf.DUMMYFUNCTION("""COMPUTED_VALUE"""),"Rob Williams")</f>
        <v>Rob Williams</v>
      </c>
      <c r="E3524" s="4" t="str">
        <f>IFERROR(__xludf.DUMMYFUNCTION("""COMPUTED_VALUE"""),"Houston")</f>
        <v>Houston</v>
      </c>
      <c r="F3524" s="4">
        <f>IFERROR(__xludf.DUMMYFUNCTION("""COMPUTED_VALUE"""),2.0)</f>
        <v>2</v>
      </c>
      <c r="G3524" s="4">
        <f>IFERROR(__xludf.DUMMYFUNCTION("""COMPUTED_VALUE"""),153.0)</f>
        <v>153</v>
      </c>
      <c r="H3524" s="4">
        <f>IFERROR(__xludf.DUMMYFUNCTION("""COMPUTED_VALUE"""),3367.0)</f>
        <v>3367</v>
      </c>
      <c r="I3524" s="4">
        <f>IFERROR(__xludf.DUMMYFUNCTION("""COMPUTED_VALUE"""),1319.0)</f>
        <v>1319</v>
      </c>
      <c r="J3524" s="4">
        <f>IFERROR(__xludf.DUMMYFUNCTION("""COMPUTED_VALUE"""),330.0)</f>
        <v>330</v>
      </c>
      <c r="K3524" s="4">
        <f>IFERROR(__xludf.DUMMYFUNCTION("""COMPUTED_VALUE"""),825.0)</f>
        <v>825</v>
      </c>
      <c r="L3524" s="4">
        <f>IFERROR(__xludf.DUMMYFUNCTION("""COMPUTED_VALUE"""),0.439)</f>
        <v>0.439</v>
      </c>
      <c r="M3524" s="4">
        <f>IFERROR(__xludf.DUMMYFUNCTION("""COMPUTED_VALUE"""),0.274)</f>
        <v>0.274</v>
      </c>
      <c r="N3524" s="4">
        <f>IFERROR(__xludf.DUMMYFUNCTION("""COMPUTED_VALUE"""),0.789)</f>
        <v>0.789</v>
      </c>
      <c r="O3524" s="4">
        <f>IFERROR(__xludf.DUMMYFUNCTION("""COMPUTED_VALUE"""),22.0)</f>
        <v>22</v>
      </c>
      <c r="P3524" s="4">
        <f>IFERROR(__xludf.DUMMYFUNCTION("""COMPUTED_VALUE"""),8.6)</f>
        <v>8.6</v>
      </c>
      <c r="Q3524" s="4">
        <f>IFERROR(__xludf.DUMMYFUNCTION("""COMPUTED_VALUE"""),2.2)</f>
        <v>2.2</v>
      </c>
      <c r="R3524" s="4">
        <f>IFERROR(__xludf.DUMMYFUNCTION("""COMPUTED_VALUE"""),5.4)</f>
        <v>5.4</v>
      </c>
      <c r="S3524" s="4">
        <f>IFERROR(__xludf.DUMMYFUNCTION("""COMPUTED_VALUE"""),2.1)</f>
        <v>2.1</v>
      </c>
      <c r="T3524" s="4">
        <f>IFERROR(__xludf.DUMMYFUNCTION("""COMPUTED_VALUE"""),0.03)</f>
        <v>0.03</v>
      </c>
      <c r="U3524" s="4">
        <f>IFERROR(__xludf.DUMMYFUNCTION("""COMPUTED_VALUE"""),-3.1)</f>
        <v>-3.1</v>
      </c>
      <c r="V3524" s="4">
        <f>IFERROR(__xludf.DUMMYFUNCTION("""COMPUTED_VALUE"""),-0.9)</f>
        <v>-0.9</v>
      </c>
    </row>
    <row r="3525">
      <c r="A3525" s="4">
        <f>IFERROR(__xludf.DUMMYFUNCTION("""COMPUTED_VALUE"""),20.0)</f>
        <v>20</v>
      </c>
      <c r="B3525" s="4">
        <f>IFERROR(__xludf.DUMMYFUNCTION("""COMPUTED_VALUE"""),20.0)</f>
        <v>20</v>
      </c>
      <c r="C3525" s="4" t="str">
        <f>IFERROR(__xludf.DUMMYFUNCTION("""COMPUTED_VALUE"""),"MIL")</f>
        <v>MIL</v>
      </c>
      <c r="D3525" s="4" t="str">
        <f>IFERROR(__xludf.DUMMYFUNCTION("""COMPUTED_VALUE"""),"Paul Pressey")</f>
        <v>Paul Pressey</v>
      </c>
      <c r="E3525" s="4" t="str">
        <f>IFERROR(__xludf.DUMMYFUNCTION("""COMPUTED_VALUE"""),"Tulsa")</f>
        <v>Tulsa</v>
      </c>
      <c r="F3525" s="4">
        <f>IFERROR(__xludf.DUMMYFUNCTION("""COMPUTED_VALUE"""),11.0)</f>
        <v>11</v>
      </c>
      <c r="G3525" s="4">
        <f>IFERROR(__xludf.DUMMYFUNCTION("""COMPUTED_VALUE"""),724.0)</f>
        <v>724</v>
      </c>
      <c r="H3525" s="4">
        <f>IFERROR(__xludf.DUMMYFUNCTION("""COMPUTED_VALUE"""),19659.0)</f>
        <v>19659</v>
      </c>
      <c r="I3525" s="4">
        <f>IFERROR(__xludf.DUMMYFUNCTION("""COMPUTED_VALUE"""),7664.0)</f>
        <v>7664</v>
      </c>
      <c r="J3525" s="4">
        <f>IFERROR(__xludf.DUMMYFUNCTION("""COMPUTED_VALUE"""),2798.0)</f>
        <v>2798</v>
      </c>
      <c r="K3525" s="4">
        <f>IFERROR(__xludf.DUMMYFUNCTION("""COMPUTED_VALUE"""),3715.0)</f>
        <v>3715</v>
      </c>
      <c r="L3525" s="4">
        <f>IFERROR(__xludf.DUMMYFUNCTION("""COMPUTED_VALUE"""),0.485)</f>
        <v>0.485</v>
      </c>
      <c r="M3525" s="4">
        <f>IFERROR(__xludf.DUMMYFUNCTION("""COMPUTED_VALUE"""),0.222)</f>
        <v>0.222</v>
      </c>
      <c r="N3525" s="4">
        <f>IFERROR(__xludf.DUMMYFUNCTION("""COMPUTED_VALUE"""),0.749)</f>
        <v>0.749</v>
      </c>
      <c r="O3525" s="4">
        <f>IFERROR(__xludf.DUMMYFUNCTION("""COMPUTED_VALUE"""),27.2)</f>
        <v>27.2</v>
      </c>
      <c r="P3525" s="4">
        <f>IFERROR(__xludf.DUMMYFUNCTION("""COMPUTED_VALUE"""),10.6)</f>
        <v>10.6</v>
      </c>
      <c r="Q3525" s="4">
        <f>IFERROR(__xludf.DUMMYFUNCTION("""COMPUTED_VALUE"""),3.9)</f>
        <v>3.9</v>
      </c>
      <c r="R3525" s="4">
        <f>IFERROR(__xludf.DUMMYFUNCTION("""COMPUTED_VALUE"""),5.1)</f>
        <v>5.1</v>
      </c>
      <c r="S3525" s="4">
        <f>IFERROR(__xludf.DUMMYFUNCTION("""COMPUTED_VALUE"""),49.0)</f>
        <v>49</v>
      </c>
      <c r="T3525" s="4">
        <f>IFERROR(__xludf.DUMMYFUNCTION("""COMPUTED_VALUE"""),0.12)</f>
        <v>0.12</v>
      </c>
      <c r="U3525" s="4">
        <f>IFERROR(__xludf.DUMMYFUNCTION("""COMPUTED_VALUE"""),2.6)</f>
        <v>2.6</v>
      </c>
      <c r="V3525" s="4">
        <f>IFERROR(__xludf.DUMMYFUNCTION("""COMPUTED_VALUE"""),22.8)</f>
        <v>22.8</v>
      </c>
    </row>
    <row r="3526">
      <c r="A3526" s="4">
        <f>IFERROR(__xludf.DUMMYFUNCTION("""COMPUTED_VALUE"""),21.0)</f>
        <v>21</v>
      </c>
      <c r="B3526" s="4">
        <f>IFERROR(__xludf.DUMMYFUNCTION("""COMPUTED_VALUE"""),21.0)</f>
        <v>21</v>
      </c>
      <c r="C3526" s="4" t="str">
        <f>IFERROR(__xludf.DUMMYFUNCTION("""COMPUTED_VALUE"""),"NJN")</f>
        <v>NJN</v>
      </c>
      <c r="D3526" s="4" t="str">
        <f>IFERROR(__xludf.DUMMYFUNCTION("""COMPUTED_VALUE"""),"Eddie Phillips")</f>
        <v>Eddie Phillips</v>
      </c>
      <c r="E3526" s="4" t="str">
        <f>IFERROR(__xludf.DUMMYFUNCTION("""COMPUTED_VALUE"""),"Alabama")</f>
        <v>Alabama</v>
      </c>
      <c r="F3526" s="4">
        <f>IFERROR(__xludf.DUMMYFUNCTION("""COMPUTED_VALUE"""),1.0)</f>
        <v>1</v>
      </c>
      <c r="G3526" s="4">
        <f>IFERROR(__xludf.DUMMYFUNCTION("""COMPUTED_VALUE"""),48.0)</f>
        <v>48</v>
      </c>
      <c r="H3526" s="4">
        <f>IFERROR(__xludf.DUMMYFUNCTION("""COMPUTED_VALUE"""),416.0)</f>
        <v>416</v>
      </c>
      <c r="I3526" s="4">
        <f>IFERROR(__xludf.DUMMYFUNCTION("""COMPUTED_VALUE"""),152.0)</f>
        <v>152</v>
      </c>
      <c r="J3526" s="4">
        <f>IFERROR(__xludf.DUMMYFUNCTION("""COMPUTED_VALUE"""),77.0)</f>
        <v>77</v>
      </c>
      <c r="K3526" s="4">
        <f>IFERROR(__xludf.DUMMYFUNCTION("""COMPUTED_VALUE"""),29.0)</f>
        <v>29</v>
      </c>
      <c r="L3526" s="4">
        <f>IFERROR(__xludf.DUMMYFUNCTION("""COMPUTED_VALUE"""),0.406)</f>
        <v>0.406</v>
      </c>
      <c r="M3526" s="4">
        <f>IFERROR(__xludf.DUMMYFUNCTION("""COMPUTED_VALUE"""),0.0)</f>
        <v>0</v>
      </c>
      <c r="N3526" s="4">
        <f>IFERROR(__xludf.DUMMYFUNCTION("""COMPUTED_VALUE"""),0.678)</f>
        <v>0.678</v>
      </c>
      <c r="O3526" s="4">
        <f>IFERROR(__xludf.DUMMYFUNCTION("""COMPUTED_VALUE"""),8.7)</f>
        <v>8.7</v>
      </c>
      <c r="P3526" s="4">
        <f>IFERROR(__xludf.DUMMYFUNCTION("""COMPUTED_VALUE"""),3.2)</f>
        <v>3.2</v>
      </c>
      <c r="Q3526" s="4">
        <f>IFERROR(__xludf.DUMMYFUNCTION("""COMPUTED_VALUE"""),1.6)</f>
        <v>1.6</v>
      </c>
      <c r="R3526" s="4">
        <f>IFERROR(__xludf.DUMMYFUNCTION("""COMPUTED_VALUE"""),0.6)</f>
        <v>0.6</v>
      </c>
      <c r="S3526" s="4">
        <f>IFERROR(__xludf.DUMMYFUNCTION("""COMPUTED_VALUE"""),0.1)</f>
        <v>0.1</v>
      </c>
      <c r="T3526" s="4">
        <f>IFERROR(__xludf.DUMMYFUNCTION("""COMPUTED_VALUE"""),0.011)</f>
        <v>0.011</v>
      </c>
      <c r="U3526" s="4">
        <f>IFERROR(__xludf.DUMMYFUNCTION("""COMPUTED_VALUE"""),-4.7)</f>
        <v>-4.7</v>
      </c>
      <c r="V3526" s="4">
        <f>IFERROR(__xludf.DUMMYFUNCTION("""COMPUTED_VALUE"""),-0.3)</f>
        <v>-0.3</v>
      </c>
    </row>
    <row r="3527">
      <c r="A3527" s="4">
        <f>IFERROR(__xludf.DUMMYFUNCTION("""COMPUTED_VALUE"""),22.0)</f>
        <v>22</v>
      </c>
      <c r="B3527" s="4">
        <f>IFERROR(__xludf.DUMMYFUNCTION("""COMPUTED_VALUE"""),22.0)</f>
        <v>22</v>
      </c>
      <c r="C3527" s="4" t="str">
        <f>IFERROR(__xludf.DUMMYFUNCTION("""COMPUTED_VALUE"""),"PHI")</f>
        <v>PHI</v>
      </c>
      <c r="D3527" s="4" t="str">
        <f>IFERROR(__xludf.DUMMYFUNCTION("""COMPUTED_VALUE"""),"Mark McNamara")</f>
        <v>Mark McNamara</v>
      </c>
      <c r="E3527" s="4" t="str">
        <f>IFERROR(__xludf.DUMMYFUNCTION("""COMPUTED_VALUE"""),"California")</f>
        <v>California</v>
      </c>
      <c r="F3527" s="4">
        <f>IFERROR(__xludf.DUMMYFUNCTION("""COMPUTED_VALUE"""),8.0)</f>
        <v>8</v>
      </c>
      <c r="G3527" s="4">
        <f>IFERROR(__xludf.DUMMYFUNCTION("""COMPUTED_VALUE"""),278.0)</f>
        <v>278</v>
      </c>
      <c r="H3527" s="4">
        <f>IFERROR(__xludf.DUMMYFUNCTION("""COMPUTED_VALUE"""),2707.0)</f>
        <v>2707</v>
      </c>
      <c r="I3527" s="4">
        <f>IFERROR(__xludf.DUMMYFUNCTION("""COMPUTED_VALUE"""),980.0)</f>
        <v>980</v>
      </c>
      <c r="J3527" s="4">
        <f>IFERROR(__xludf.DUMMYFUNCTION("""COMPUTED_VALUE"""),827.0)</f>
        <v>827</v>
      </c>
      <c r="K3527" s="4">
        <f>IFERROR(__xludf.DUMMYFUNCTION("""COMPUTED_VALUE"""),77.0)</f>
        <v>77</v>
      </c>
      <c r="L3527" s="4">
        <f>IFERROR(__xludf.DUMMYFUNCTION("""COMPUTED_VALUE"""),0.512)</f>
        <v>0.512</v>
      </c>
      <c r="M3527" s="4"/>
      <c r="N3527" s="4">
        <f>IFERROR(__xludf.DUMMYFUNCTION("""COMPUTED_VALUE"""),0.548)</f>
        <v>0.548</v>
      </c>
      <c r="O3527" s="4">
        <f>IFERROR(__xludf.DUMMYFUNCTION("""COMPUTED_VALUE"""),9.7)</f>
        <v>9.7</v>
      </c>
      <c r="P3527" s="4">
        <f>IFERROR(__xludf.DUMMYFUNCTION("""COMPUTED_VALUE"""),3.5)</f>
        <v>3.5</v>
      </c>
      <c r="Q3527" s="4">
        <f>IFERROR(__xludf.DUMMYFUNCTION("""COMPUTED_VALUE"""),3.0)</f>
        <v>3</v>
      </c>
      <c r="R3527" s="4">
        <f>IFERROR(__xludf.DUMMYFUNCTION("""COMPUTED_VALUE"""),0.3)</f>
        <v>0.3</v>
      </c>
      <c r="S3527" s="4">
        <f>IFERROR(__xludf.DUMMYFUNCTION("""COMPUTED_VALUE"""),2.8)</f>
        <v>2.8</v>
      </c>
      <c r="T3527" s="4">
        <f>IFERROR(__xludf.DUMMYFUNCTION("""COMPUTED_VALUE"""),0.049)</f>
        <v>0.049</v>
      </c>
      <c r="U3527" s="4">
        <f>IFERROR(__xludf.DUMMYFUNCTION("""COMPUTED_VALUE"""),-4.7)</f>
        <v>-4.7</v>
      </c>
      <c r="V3527" s="4">
        <f>IFERROR(__xludf.DUMMYFUNCTION("""COMPUTED_VALUE"""),-2.0)</f>
        <v>-2</v>
      </c>
    </row>
    <row r="3528">
      <c r="A3528" s="4">
        <f>IFERROR(__xludf.DUMMYFUNCTION("""COMPUTED_VALUE"""),23.0)</f>
        <v>23</v>
      </c>
      <c r="B3528" s="4">
        <f>IFERROR(__xludf.DUMMYFUNCTION("""COMPUTED_VALUE"""),23.0)</f>
        <v>23</v>
      </c>
      <c r="C3528" s="4" t="str">
        <f>IFERROR(__xludf.DUMMYFUNCTION("""COMPUTED_VALUE"""),"BOS")</f>
        <v>BOS</v>
      </c>
      <c r="D3528" s="4" t="str">
        <f>IFERROR(__xludf.DUMMYFUNCTION("""COMPUTED_VALUE"""),"Darren Tillis")</f>
        <v>Darren Tillis</v>
      </c>
      <c r="E3528" s="4" t="str">
        <f>IFERROR(__xludf.DUMMYFUNCTION("""COMPUTED_VALUE"""),"Cleveland State University")</f>
        <v>Cleveland State University</v>
      </c>
      <c r="F3528" s="4">
        <f>IFERROR(__xludf.DUMMYFUNCTION("""COMPUTED_VALUE"""),2.0)</f>
        <v>2</v>
      </c>
      <c r="G3528" s="4">
        <f>IFERROR(__xludf.DUMMYFUNCTION("""COMPUTED_VALUE"""),124.0)</f>
        <v>124</v>
      </c>
      <c r="H3528" s="4">
        <f>IFERROR(__xludf.DUMMYFUNCTION("""COMPUTED_VALUE"""),1256.0)</f>
        <v>1256</v>
      </c>
      <c r="I3528" s="4">
        <f>IFERROR(__xludf.DUMMYFUNCTION("""COMPUTED_VALUE"""),425.0)</f>
        <v>425</v>
      </c>
      <c r="J3528" s="4">
        <f>IFERROR(__xludf.DUMMYFUNCTION("""COMPUTED_VALUE"""),314.0)</f>
        <v>314</v>
      </c>
      <c r="K3528" s="4">
        <f>IFERROR(__xludf.DUMMYFUNCTION("""COMPUTED_VALUE"""),42.0)</f>
        <v>42</v>
      </c>
      <c r="L3528" s="4">
        <f>IFERROR(__xludf.DUMMYFUNCTION("""COMPUTED_VALUE"""),0.423)</f>
        <v>0.423</v>
      </c>
      <c r="M3528" s="4">
        <f>IFERROR(__xludf.DUMMYFUNCTION("""COMPUTED_VALUE"""),0.0)</f>
        <v>0</v>
      </c>
      <c r="N3528" s="4">
        <f>IFERROR(__xludf.DUMMYFUNCTION("""COMPUTED_VALUE"""),0.626)</f>
        <v>0.626</v>
      </c>
      <c r="O3528" s="4">
        <f>IFERROR(__xludf.DUMMYFUNCTION("""COMPUTED_VALUE"""),10.1)</f>
        <v>10.1</v>
      </c>
      <c r="P3528" s="4">
        <f>IFERROR(__xludf.DUMMYFUNCTION("""COMPUTED_VALUE"""),3.4)</f>
        <v>3.4</v>
      </c>
      <c r="Q3528" s="4">
        <f>IFERROR(__xludf.DUMMYFUNCTION("""COMPUTED_VALUE"""),2.5)</f>
        <v>2.5</v>
      </c>
      <c r="R3528" s="4">
        <f>IFERROR(__xludf.DUMMYFUNCTION("""COMPUTED_VALUE"""),0.3)</f>
        <v>0.3</v>
      </c>
      <c r="S3528" s="4">
        <f>IFERROR(__xludf.DUMMYFUNCTION("""COMPUTED_VALUE"""),0.9)</f>
        <v>0.9</v>
      </c>
      <c r="T3528" s="4">
        <f>IFERROR(__xludf.DUMMYFUNCTION("""COMPUTED_VALUE"""),0.036)</f>
        <v>0.036</v>
      </c>
      <c r="U3528" s="4">
        <f>IFERROR(__xludf.DUMMYFUNCTION("""COMPUTED_VALUE"""),-4.4)</f>
        <v>-4.4</v>
      </c>
      <c r="V3528" s="4">
        <f>IFERROR(__xludf.DUMMYFUNCTION("""COMPUTED_VALUE"""),-0.8)</f>
        <v>-0.8</v>
      </c>
    </row>
    <row r="3529">
      <c r="A3529" s="4"/>
      <c r="B3529" s="4"/>
      <c r="C3529" s="4"/>
      <c r="D3529" s="4" t="str">
        <f>IFERROR(__xludf.DUMMYFUNCTION("""COMPUTED_VALUE"""),"Round 2")</f>
        <v>Round 2</v>
      </c>
      <c r="E3529" s="4"/>
      <c r="F3529" s="4"/>
      <c r="G3529" s="4" t="str">
        <f>IFERROR(__xludf.DUMMYFUNCTION("""COMPUTED_VALUE"""),"Totals")</f>
        <v>Totals</v>
      </c>
      <c r="H3529" s="4"/>
      <c r="I3529" s="4"/>
      <c r="J3529" s="4"/>
      <c r="K3529" s="4"/>
      <c r="L3529" s="4" t="str">
        <f>IFERROR(__xludf.DUMMYFUNCTION("""COMPUTED_VALUE"""),"Shooting")</f>
        <v>Shooting</v>
      </c>
      <c r="M3529" s="4"/>
      <c r="N3529" s="4"/>
      <c r="O3529" s="4" t="str">
        <f>IFERROR(__xludf.DUMMYFUNCTION("""COMPUTED_VALUE"""),"Per Game")</f>
        <v>Per Game</v>
      </c>
      <c r="P3529" s="4"/>
      <c r="Q3529" s="4"/>
      <c r="R3529" s="4"/>
      <c r="S3529" s="4" t="str">
        <f>IFERROR(__xludf.DUMMYFUNCTION("""COMPUTED_VALUE"""),"Advanced")</f>
        <v>Advanced</v>
      </c>
      <c r="T3529" s="4"/>
      <c r="U3529" s="4"/>
      <c r="V3529" s="4"/>
    </row>
    <row r="3530">
      <c r="A3530" s="4" t="str">
        <f>IFERROR(__xludf.DUMMYFUNCTION("""COMPUTED_VALUE"""),"Rk")</f>
        <v>Rk</v>
      </c>
      <c r="B3530" s="4" t="str">
        <f>IFERROR(__xludf.DUMMYFUNCTION("""COMPUTED_VALUE"""),"Pk")</f>
        <v>Pk</v>
      </c>
      <c r="C3530" s="4" t="str">
        <f>IFERROR(__xludf.DUMMYFUNCTION("""COMPUTED_VALUE"""),"Tm")</f>
        <v>Tm</v>
      </c>
      <c r="D3530" s="4" t="str">
        <f>IFERROR(__xludf.DUMMYFUNCTION("""COMPUTED_VALUE"""),"Player")</f>
        <v>Player</v>
      </c>
      <c r="E3530" s="4" t="str">
        <f>IFERROR(__xludf.DUMMYFUNCTION("""COMPUTED_VALUE"""),"College")</f>
        <v>College</v>
      </c>
      <c r="F3530" s="4" t="str">
        <f>IFERROR(__xludf.DUMMYFUNCTION("""COMPUTED_VALUE"""),"Yrs")</f>
        <v>Yrs</v>
      </c>
      <c r="G3530" s="4" t="str">
        <f>IFERROR(__xludf.DUMMYFUNCTION("""COMPUTED_VALUE"""),"G")</f>
        <v>G</v>
      </c>
      <c r="H3530" s="4" t="str">
        <f>IFERROR(__xludf.DUMMYFUNCTION("""COMPUTED_VALUE"""),"MP")</f>
        <v>MP</v>
      </c>
      <c r="I3530" s="4" t="str">
        <f>IFERROR(__xludf.DUMMYFUNCTION("""COMPUTED_VALUE"""),"PTS")</f>
        <v>PTS</v>
      </c>
      <c r="J3530" s="4" t="str">
        <f>IFERROR(__xludf.DUMMYFUNCTION("""COMPUTED_VALUE"""),"TRB")</f>
        <v>TRB</v>
      </c>
      <c r="K3530" s="4" t="str">
        <f>IFERROR(__xludf.DUMMYFUNCTION("""COMPUTED_VALUE"""),"AST")</f>
        <v>AST</v>
      </c>
      <c r="L3530" s="4" t="str">
        <f>IFERROR(__xludf.DUMMYFUNCTION("""COMPUTED_VALUE"""),"FG%")</f>
        <v>FG%</v>
      </c>
      <c r="M3530" s="4" t="str">
        <f>IFERROR(__xludf.DUMMYFUNCTION("""COMPUTED_VALUE"""),"3P%")</f>
        <v>3P%</v>
      </c>
      <c r="N3530" s="4" t="str">
        <f>IFERROR(__xludf.DUMMYFUNCTION("""COMPUTED_VALUE"""),"FT%")</f>
        <v>FT%</v>
      </c>
      <c r="O3530" s="4" t="str">
        <f>IFERROR(__xludf.DUMMYFUNCTION("""COMPUTED_VALUE"""),"MP")</f>
        <v>MP</v>
      </c>
      <c r="P3530" s="4" t="str">
        <f>IFERROR(__xludf.DUMMYFUNCTION("""COMPUTED_VALUE"""),"PTS")</f>
        <v>PTS</v>
      </c>
      <c r="Q3530" s="4" t="str">
        <f>IFERROR(__xludf.DUMMYFUNCTION("""COMPUTED_VALUE"""),"TRB")</f>
        <v>TRB</v>
      </c>
      <c r="R3530" s="4" t="str">
        <f>IFERROR(__xludf.DUMMYFUNCTION("""COMPUTED_VALUE"""),"AST")</f>
        <v>AST</v>
      </c>
      <c r="S3530" s="4" t="str">
        <f>IFERROR(__xludf.DUMMYFUNCTION("""COMPUTED_VALUE"""),"WS")</f>
        <v>WS</v>
      </c>
      <c r="T3530" s="4" t="str">
        <f>IFERROR(__xludf.DUMMYFUNCTION("""COMPUTED_VALUE"""),"WS/48")</f>
        <v>WS/48</v>
      </c>
      <c r="U3530" s="4" t="str">
        <f>IFERROR(__xludf.DUMMYFUNCTION("""COMPUTED_VALUE"""),"BPM")</f>
        <v>BPM</v>
      </c>
      <c r="V3530" s="4" t="str">
        <f>IFERROR(__xludf.DUMMYFUNCTION("""COMPUTED_VALUE"""),"VORP")</f>
        <v>VORP</v>
      </c>
    </row>
    <row r="3531">
      <c r="A3531" s="4">
        <f>IFERROR(__xludf.DUMMYFUNCTION("""COMPUTED_VALUE"""),24.0)</f>
        <v>24</v>
      </c>
      <c r="B3531" s="4">
        <f>IFERROR(__xludf.DUMMYFUNCTION("""COMPUTED_VALUE"""),24.0)</f>
        <v>24</v>
      </c>
      <c r="C3531" s="4" t="str">
        <f>IFERROR(__xludf.DUMMYFUNCTION("""COMPUTED_VALUE"""),"SAS")</f>
        <v>SAS</v>
      </c>
      <c r="D3531" s="4" t="str">
        <f>IFERROR(__xludf.DUMMYFUNCTION("""COMPUTED_VALUE"""),"Oliver Robinson")</f>
        <v>Oliver Robinson</v>
      </c>
      <c r="E3531" s="4" t="str">
        <f>IFERROR(__xludf.DUMMYFUNCTION("""COMPUTED_VALUE"""),"UAB")</f>
        <v>UAB</v>
      </c>
      <c r="F3531" s="4">
        <f>IFERROR(__xludf.DUMMYFUNCTION("""COMPUTED_VALUE"""),1.0)</f>
        <v>1</v>
      </c>
      <c r="G3531" s="4">
        <f>IFERROR(__xludf.DUMMYFUNCTION("""COMPUTED_VALUE"""),35.0)</f>
        <v>35</v>
      </c>
      <c r="H3531" s="4">
        <f>IFERROR(__xludf.DUMMYFUNCTION("""COMPUTED_VALUE"""),147.0)</f>
        <v>147</v>
      </c>
      <c r="I3531" s="4">
        <f>IFERROR(__xludf.DUMMYFUNCTION("""COMPUTED_VALUE"""),101.0)</f>
        <v>101</v>
      </c>
      <c r="J3531" s="4">
        <f>IFERROR(__xludf.DUMMYFUNCTION("""COMPUTED_VALUE"""),17.0)</f>
        <v>17</v>
      </c>
      <c r="K3531" s="4">
        <f>IFERROR(__xludf.DUMMYFUNCTION("""COMPUTED_VALUE"""),21.0)</f>
        <v>21</v>
      </c>
      <c r="L3531" s="4">
        <f>IFERROR(__xludf.DUMMYFUNCTION("""COMPUTED_VALUE"""),0.361)</f>
        <v>0.361</v>
      </c>
      <c r="M3531" s="4">
        <f>IFERROR(__xludf.DUMMYFUNCTION("""COMPUTED_VALUE"""),0.091)</f>
        <v>0.091</v>
      </c>
      <c r="N3531" s="4">
        <f>IFERROR(__xludf.DUMMYFUNCTION("""COMPUTED_VALUE"""),0.667)</f>
        <v>0.667</v>
      </c>
      <c r="O3531" s="4">
        <f>IFERROR(__xludf.DUMMYFUNCTION("""COMPUTED_VALUE"""),4.2)</f>
        <v>4.2</v>
      </c>
      <c r="P3531" s="4">
        <f>IFERROR(__xludf.DUMMYFUNCTION("""COMPUTED_VALUE"""),2.9)</f>
        <v>2.9</v>
      </c>
      <c r="Q3531" s="4">
        <f>IFERROR(__xludf.DUMMYFUNCTION("""COMPUTED_VALUE"""),0.5)</f>
        <v>0.5</v>
      </c>
      <c r="R3531" s="4">
        <f>IFERROR(__xludf.DUMMYFUNCTION("""COMPUTED_VALUE"""),0.6)</f>
        <v>0.6</v>
      </c>
      <c r="S3531" s="4">
        <f>IFERROR(__xludf.DUMMYFUNCTION("""COMPUTED_VALUE"""),0.1)</f>
        <v>0.1</v>
      </c>
      <c r="T3531" s="4">
        <f>IFERROR(__xludf.DUMMYFUNCTION("""COMPUTED_VALUE"""),0.018)</f>
        <v>0.018</v>
      </c>
      <c r="U3531" s="4">
        <f>IFERROR(__xludf.DUMMYFUNCTION("""COMPUTED_VALUE"""),-5.0)</f>
        <v>-5</v>
      </c>
      <c r="V3531" s="4">
        <f>IFERROR(__xludf.DUMMYFUNCTION("""COMPUTED_VALUE"""),-0.1)</f>
        <v>-0.1</v>
      </c>
    </row>
    <row r="3532">
      <c r="A3532" s="4">
        <f>IFERROR(__xludf.DUMMYFUNCTION("""COMPUTED_VALUE"""),25.0)</f>
        <v>25</v>
      </c>
      <c r="B3532" s="4">
        <f>IFERROR(__xludf.DUMMYFUNCTION("""COMPUTED_VALUE"""),25.0)</f>
        <v>25</v>
      </c>
      <c r="C3532" s="4" t="str">
        <f>IFERROR(__xludf.DUMMYFUNCTION("""COMPUTED_VALUE"""),"WSB")</f>
        <v>WSB</v>
      </c>
      <c r="D3532" s="4" t="str">
        <f>IFERROR(__xludf.DUMMYFUNCTION("""COMPUTED_VALUE"""),"Bryan Warrick")</f>
        <v>Bryan Warrick</v>
      </c>
      <c r="E3532" s="4" t="str">
        <f>IFERROR(__xludf.DUMMYFUNCTION("""COMPUTED_VALUE"""),"Saint Joseph's")</f>
        <v>Saint Joseph's</v>
      </c>
      <c r="F3532" s="4">
        <f>IFERROR(__xludf.DUMMYFUNCTION("""COMPUTED_VALUE"""),4.0)</f>
        <v>4</v>
      </c>
      <c r="G3532" s="4">
        <f>IFERROR(__xludf.DUMMYFUNCTION("""COMPUTED_VALUE"""),169.0)</f>
        <v>169</v>
      </c>
      <c r="H3532" s="4">
        <f>IFERROR(__xludf.DUMMYFUNCTION("""COMPUTED_VALUE"""),2379.0)</f>
        <v>2379</v>
      </c>
      <c r="I3532" s="4">
        <f>IFERROR(__xludf.DUMMYFUNCTION("""COMPUTED_VALUE"""),677.0)</f>
        <v>677</v>
      </c>
      <c r="J3532" s="4">
        <f>IFERROR(__xludf.DUMMYFUNCTION("""COMPUTED_VALUE"""),218.0)</f>
        <v>218</v>
      </c>
      <c r="K3532" s="4">
        <f>IFERROR(__xludf.DUMMYFUNCTION("""COMPUTED_VALUE"""),437.0)</f>
        <v>437</v>
      </c>
      <c r="L3532" s="4">
        <f>IFERROR(__xludf.DUMMYFUNCTION("""COMPUTED_VALUE"""),0.443)</f>
        <v>0.443</v>
      </c>
      <c r="M3532" s="4">
        <f>IFERROR(__xludf.DUMMYFUNCTION("""COMPUTED_VALUE"""),0.208)</f>
        <v>0.208</v>
      </c>
      <c r="N3532" s="4">
        <f>IFERROR(__xludf.DUMMYFUNCTION("""COMPUTED_VALUE"""),0.747)</f>
        <v>0.747</v>
      </c>
      <c r="O3532" s="4">
        <f>IFERROR(__xludf.DUMMYFUNCTION("""COMPUTED_VALUE"""),14.1)</f>
        <v>14.1</v>
      </c>
      <c r="P3532" s="4">
        <f>IFERROR(__xludf.DUMMYFUNCTION("""COMPUTED_VALUE"""),4.0)</f>
        <v>4</v>
      </c>
      <c r="Q3532" s="4">
        <f>IFERROR(__xludf.DUMMYFUNCTION("""COMPUTED_VALUE"""),1.3)</f>
        <v>1.3</v>
      </c>
      <c r="R3532" s="4">
        <f>IFERROR(__xludf.DUMMYFUNCTION("""COMPUTED_VALUE"""),2.6)</f>
        <v>2.6</v>
      </c>
      <c r="S3532" s="4">
        <f>IFERROR(__xludf.DUMMYFUNCTION("""COMPUTED_VALUE"""),1.6)</f>
        <v>1.6</v>
      </c>
      <c r="T3532" s="4">
        <f>IFERROR(__xludf.DUMMYFUNCTION("""COMPUTED_VALUE"""),0.033)</f>
        <v>0.033</v>
      </c>
      <c r="U3532" s="4">
        <f>IFERROR(__xludf.DUMMYFUNCTION("""COMPUTED_VALUE"""),-3.3)</f>
        <v>-3.3</v>
      </c>
      <c r="V3532" s="4">
        <f>IFERROR(__xludf.DUMMYFUNCTION("""COMPUTED_VALUE"""),-0.8)</f>
        <v>-0.8</v>
      </c>
    </row>
    <row r="3533">
      <c r="A3533" s="4">
        <f>IFERROR(__xludf.DUMMYFUNCTION("""COMPUTED_VALUE"""),26.0)</f>
        <v>26</v>
      </c>
      <c r="B3533" s="4">
        <f>IFERROR(__xludf.DUMMYFUNCTION("""COMPUTED_VALUE"""),26.0)</f>
        <v>26</v>
      </c>
      <c r="C3533" s="4" t="str">
        <f>IFERROR(__xludf.DUMMYFUNCTION("""COMPUTED_VALUE"""),"CHI")</f>
        <v>CHI</v>
      </c>
      <c r="D3533" s="4" t="str">
        <f>IFERROR(__xludf.DUMMYFUNCTION("""COMPUTED_VALUE"""),"Ricky Frazier")</f>
        <v>Ricky Frazier</v>
      </c>
      <c r="E3533" s="4" t="str">
        <f>IFERROR(__xludf.DUMMYFUNCTION("""COMPUTED_VALUE"""),"Missouri")</f>
        <v>Missouri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</row>
    <row r="3534">
      <c r="A3534" s="4">
        <f>IFERROR(__xludf.DUMMYFUNCTION("""COMPUTED_VALUE"""),27.0)</f>
        <v>27</v>
      </c>
      <c r="B3534" s="4">
        <f>IFERROR(__xludf.DUMMYFUNCTION("""COMPUTED_VALUE"""),27.0)</f>
        <v>27</v>
      </c>
      <c r="C3534" s="4" t="str">
        <f>IFERROR(__xludf.DUMMYFUNCTION("""COMPUTED_VALUE"""),"MIL")</f>
        <v>MIL</v>
      </c>
      <c r="D3534" s="4" t="str">
        <f>IFERROR(__xludf.DUMMYFUNCTION("""COMPUTED_VALUE"""),"Fred Roberts")</f>
        <v>Fred Roberts</v>
      </c>
      <c r="E3534" s="4" t="str">
        <f>IFERROR(__xludf.DUMMYFUNCTION("""COMPUTED_VALUE"""),"BYU")</f>
        <v>BYU</v>
      </c>
      <c r="F3534" s="4">
        <f>IFERROR(__xludf.DUMMYFUNCTION("""COMPUTED_VALUE"""),13.0)</f>
        <v>13</v>
      </c>
      <c r="G3534" s="4">
        <f>IFERROR(__xludf.DUMMYFUNCTION("""COMPUTED_VALUE"""),818.0)</f>
        <v>818</v>
      </c>
      <c r="H3534" s="4">
        <f>IFERROR(__xludf.DUMMYFUNCTION("""COMPUTED_VALUE"""),14703.0)</f>
        <v>14703</v>
      </c>
      <c r="I3534" s="4">
        <f>IFERROR(__xludf.DUMMYFUNCTION("""COMPUTED_VALUE"""),5962.0)</f>
        <v>5962</v>
      </c>
      <c r="J3534" s="4">
        <f>IFERROR(__xludf.DUMMYFUNCTION("""COMPUTED_VALUE"""),2308.0)</f>
        <v>2308</v>
      </c>
      <c r="K3534" s="4">
        <f>IFERROR(__xludf.DUMMYFUNCTION("""COMPUTED_VALUE"""),977.0)</f>
        <v>977</v>
      </c>
      <c r="L3534" s="4">
        <f>IFERROR(__xludf.DUMMYFUNCTION("""COMPUTED_VALUE"""),0.502)</f>
        <v>0.502</v>
      </c>
      <c r="M3534" s="4">
        <f>IFERROR(__xludf.DUMMYFUNCTION("""COMPUTED_VALUE"""),0.325)</f>
        <v>0.325</v>
      </c>
      <c r="N3534" s="4">
        <f>IFERROR(__xludf.DUMMYFUNCTION("""COMPUTED_VALUE"""),0.796)</f>
        <v>0.796</v>
      </c>
      <c r="O3534" s="4">
        <f>IFERROR(__xludf.DUMMYFUNCTION("""COMPUTED_VALUE"""),18.0)</f>
        <v>18</v>
      </c>
      <c r="P3534" s="4">
        <f>IFERROR(__xludf.DUMMYFUNCTION("""COMPUTED_VALUE"""),7.3)</f>
        <v>7.3</v>
      </c>
      <c r="Q3534" s="4">
        <f>IFERROR(__xludf.DUMMYFUNCTION("""COMPUTED_VALUE"""),2.8)</f>
        <v>2.8</v>
      </c>
      <c r="R3534" s="4">
        <f>IFERROR(__xludf.DUMMYFUNCTION("""COMPUTED_VALUE"""),1.2)</f>
        <v>1.2</v>
      </c>
      <c r="S3534" s="4">
        <f>IFERROR(__xludf.DUMMYFUNCTION("""COMPUTED_VALUE"""),26.2)</f>
        <v>26.2</v>
      </c>
      <c r="T3534" s="4">
        <f>IFERROR(__xludf.DUMMYFUNCTION("""COMPUTED_VALUE"""),0.086)</f>
        <v>0.086</v>
      </c>
      <c r="U3534" s="4">
        <f>IFERROR(__xludf.DUMMYFUNCTION("""COMPUTED_VALUE"""),-1.6)</f>
        <v>-1.6</v>
      </c>
      <c r="V3534" s="4">
        <f>IFERROR(__xludf.DUMMYFUNCTION("""COMPUTED_VALUE"""),1.5)</f>
        <v>1.5</v>
      </c>
    </row>
    <row r="3535">
      <c r="A3535" s="4">
        <f>IFERROR(__xludf.DUMMYFUNCTION("""COMPUTED_VALUE"""),28.0)</f>
        <v>28</v>
      </c>
      <c r="B3535" s="4">
        <f>IFERROR(__xludf.DUMMYFUNCTION("""COMPUTED_VALUE"""),28.0)</f>
        <v>28</v>
      </c>
      <c r="C3535" s="4" t="str">
        <f>IFERROR(__xludf.DUMMYFUNCTION("""COMPUTED_VALUE"""),"CLE")</f>
        <v>CLE</v>
      </c>
      <c r="D3535" s="4" t="str">
        <f>IFERROR(__xludf.DUMMYFUNCTION("""COMPUTED_VALUE"""),"Dave Magley")</f>
        <v>Dave Magley</v>
      </c>
      <c r="E3535" s="4" t="str">
        <f>IFERROR(__xludf.DUMMYFUNCTION("""COMPUTED_VALUE"""),"Kansas")</f>
        <v>Kansas</v>
      </c>
      <c r="F3535" s="4">
        <f>IFERROR(__xludf.DUMMYFUNCTION("""COMPUTED_VALUE"""),1.0)</f>
        <v>1</v>
      </c>
      <c r="G3535" s="4">
        <f>IFERROR(__xludf.DUMMYFUNCTION("""COMPUTED_VALUE"""),14.0)</f>
        <v>14</v>
      </c>
      <c r="H3535" s="4">
        <f>IFERROR(__xludf.DUMMYFUNCTION("""COMPUTED_VALUE"""),56.0)</f>
        <v>56</v>
      </c>
      <c r="I3535" s="4">
        <f>IFERROR(__xludf.DUMMYFUNCTION("""COMPUTED_VALUE"""),12.0)</f>
        <v>12</v>
      </c>
      <c r="J3535" s="4">
        <f>IFERROR(__xludf.DUMMYFUNCTION("""COMPUTED_VALUE"""),10.0)</f>
        <v>10</v>
      </c>
      <c r="K3535" s="4">
        <f>IFERROR(__xludf.DUMMYFUNCTION("""COMPUTED_VALUE"""),2.0)</f>
        <v>2</v>
      </c>
      <c r="L3535" s="4">
        <f>IFERROR(__xludf.DUMMYFUNCTION("""COMPUTED_VALUE"""),0.25)</f>
        <v>0.25</v>
      </c>
      <c r="M3535" s="4">
        <f>IFERROR(__xludf.DUMMYFUNCTION("""COMPUTED_VALUE"""),0.0)</f>
        <v>0</v>
      </c>
      <c r="N3535" s="4">
        <f>IFERROR(__xludf.DUMMYFUNCTION("""COMPUTED_VALUE"""),0.5)</f>
        <v>0.5</v>
      </c>
      <c r="O3535" s="4">
        <f>IFERROR(__xludf.DUMMYFUNCTION("""COMPUTED_VALUE"""),4.0)</f>
        <v>4</v>
      </c>
      <c r="P3535" s="4">
        <f>IFERROR(__xludf.DUMMYFUNCTION("""COMPUTED_VALUE"""),0.9)</f>
        <v>0.9</v>
      </c>
      <c r="Q3535" s="4">
        <f>IFERROR(__xludf.DUMMYFUNCTION("""COMPUTED_VALUE"""),0.7)</f>
        <v>0.7</v>
      </c>
      <c r="R3535" s="4">
        <f>IFERROR(__xludf.DUMMYFUNCTION("""COMPUTED_VALUE"""),0.1)</f>
        <v>0.1</v>
      </c>
      <c r="S3535" s="4">
        <f>IFERROR(__xludf.DUMMYFUNCTION("""COMPUTED_VALUE"""),-0.1)</f>
        <v>-0.1</v>
      </c>
      <c r="T3535" s="4">
        <f>IFERROR(__xludf.DUMMYFUNCTION("""COMPUTED_VALUE"""),-0.066)</f>
        <v>-0.066</v>
      </c>
      <c r="U3535" s="4">
        <f>IFERROR(__xludf.DUMMYFUNCTION("""COMPUTED_VALUE"""),-5.0)</f>
        <v>-5</v>
      </c>
      <c r="V3535" s="4">
        <f>IFERROR(__xludf.DUMMYFUNCTION("""COMPUTED_VALUE"""),-0.1)</f>
        <v>-0.1</v>
      </c>
    </row>
    <row r="3536">
      <c r="A3536" s="4">
        <f>IFERROR(__xludf.DUMMYFUNCTION("""COMPUTED_VALUE"""),29.0)</f>
        <v>29</v>
      </c>
      <c r="B3536" s="4">
        <f>IFERROR(__xludf.DUMMYFUNCTION("""COMPUTED_VALUE"""),29.0)</f>
        <v>29</v>
      </c>
      <c r="C3536" s="4" t="str">
        <f>IFERROR(__xludf.DUMMYFUNCTION("""COMPUTED_VALUE"""),"NYK")</f>
        <v>NYK</v>
      </c>
      <c r="D3536" s="4" t="str">
        <f>IFERROR(__xludf.DUMMYFUNCTION("""COMPUTED_VALUE"""),"Scott Hastings")</f>
        <v>Scott Hastings</v>
      </c>
      <c r="E3536" s="4" t="str">
        <f>IFERROR(__xludf.DUMMYFUNCTION("""COMPUTED_VALUE"""),"Arkansas")</f>
        <v>Arkansas</v>
      </c>
      <c r="F3536" s="4">
        <f>IFERROR(__xludf.DUMMYFUNCTION("""COMPUTED_VALUE"""),11.0)</f>
        <v>11</v>
      </c>
      <c r="G3536" s="4">
        <f>IFERROR(__xludf.DUMMYFUNCTION("""COMPUTED_VALUE"""),578.0)</f>
        <v>578</v>
      </c>
      <c r="H3536" s="4">
        <f>IFERROR(__xludf.DUMMYFUNCTION("""COMPUTED_VALUE"""),5985.0)</f>
        <v>5985</v>
      </c>
      <c r="I3536" s="4">
        <f>IFERROR(__xludf.DUMMYFUNCTION("""COMPUTED_VALUE"""),1647.0)</f>
        <v>1647</v>
      </c>
      <c r="J3536" s="4">
        <f>IFERROR(__xludf.DUMMYFUNCTION("""COMPUTED_VALUE"""),1287.0)</f>
        <v>1287</v>
      </c>
      <c r="K3536" s="4">
        <f>IFERROR(__xludf.DUMMYFUNCTION("""COMPUTED_VALUE"""),284.0)</f>
        <v>284</v>
      </c>
      <c r="L3536" s="4">
        <f>IFERROR(__xludf.DUMMYFUNCTION("""COMPUTED_VALUE"""),0.441)</f>
        <v>0.441</v>
      </c>
      <c r="M3536" s="4">
        <f>IFERROR(__xludf.DUMMYFUNCTION("""COMPUTED_VALUE"""),0.292)</f>
        <v>0.292</v>
      </c>
      <c r="N3536" s="4">
        <f>IFERROR(__xludf.DUMMYFUNCTION("""COMPUTED_VALUE"""),0.811)</f>
        <v>0.811</v>
      </c>
      <c r="O3536" s="4">
        <f>IFERROR(__xludf.DUMMYFUNCTION("""COMPUTED_VALUE"""),10.4)</f>
        <v>10.4</v>
      </c>
      <c r="P3536" s="4">
        <f>IFERROR(__xludf.DUMMYFUNCTION("""COMPUTED_VALUE"""),2.8)</f>
        <v>2.8</v>
      </c>
      <c r="Q3536" s="4">
        <f>IFERROR(__xludf.DUMMYFUNCTION("""COMPUTED_VALUE"""),2.2)</f>
        <v>2.2</v>
      </c>
      <c r="R3536" s="4">
        <f>IFERROR(__xludf.DUMMYFUNCTION("""COMPUTED_VALUE"""),0.5)</f>
        <v>0.5</v>
      </c>
      <c r="S3536" s="4">
        <f>IFERROR(__xludf.DUMMYFUNCTION("""COMPUTED_VALUE"""),9.8)</f>
        <v>9.8</v>
      </c>
      <c r="T3536" s="4">
        <f>IFERROR(__xludf.DUMMYFUNCTION("""COMPUTED_VALUE"""),0.079)</f>
        <v>0.079</v>
      </c>
      <c r="U3536" s="4">
        <f>IFERROR(__xludf.DUMMYFUNCTION("""COMPUTED_VALUE"""),-2.8)</f>
        <v>-2.8</v>
      </c>
      <c r="V3536" s="4">
        <f>IFERROR(__xludf.DUMMYFUNCTION("""COMPUTED_VALUE"""),-1.2)</f>
        <v>-1.2</v>
      </c>
    </row>
    <row r="3537">
      <c r="A3537" s="4">
        <f>IFERROR(__xludf.DUMMYFUNCTION("""COMPUTED_VALUE"""),30.0)</f>
        <v>30</v>
      </c>
      <c r="B3537" s="4">
        <f>IFERROR(__xludf.DUMMYFUNCTION("""COMPUTED_VALUE"""),30.0)</f>
        <v>30</v>
      </c>
      <c r="C3537" s="4" t="str">
        <f>IFERROR(__xludf.DUMMYFUNCTION("""COMPUTED_VALUE"""),"CHI")</f>
        <v>CHI</v>
      </c>
      <c r="D3537" s="4" t="str">
        <f>IFERROR(__xludf.DUMMYFUNCTION("""COMPUTED_VALUE"""),"Wallace Bryant")</f>
        <v>Wallace Bryant</v>
      </c>
      <c r="E3537" s="4" t="str">
        <f>IFERROR(__xludf.DUMMYFUNCTION("""COMPUTED_VALUE"""),"San Francisco")</f>
        <v>San Francisco</v>
      </c>
      <c r="F3537" s="4">
        <f>IFERROR(__xludf.DUMMYFUNCTION("""COMPUTED_VALUE"""),3.0)</f>
        <v>3</v>
      </c>
      <c r="G3537" s="4">
        <f>IFERROR(__xludf.DUMMYFUNCTION("""COMPUTED_VALUE"""),102.0)</f>
        <v>102</v>
      </c>
      <c r="H3537" s="4">
        <f>IFERROR(__xludf.DUMMYFUNCTION("""COMPUTED_VALUE"""),1395.0)</f>
        <v>1395</v>
      </c>
      <c r="I3537" s="4">
        <f>IFERROR(__xludf.DUMMYFUNCTION("""COMPUTED_VALUE"""),323.0)</f>
        <v>323</v>
      </c>
      <c r="J3537" s="4">
        <f>IFERROR(__xludf.DUMMYFUNCTION("""COMPUTED_VALUE"""),374.0)</f>
        <v>374</v>
      </c>
      <c r="K3537" s="4">
        <f>IFERROR(__xludf.DUMMYFUNCTION("""COMPUTED_VALUE"""),112.0)</f>
        <v>112</v>
      </c>
      <c r="L3537" s="4">
        <f>IFERROR(__xludf.DUMMYFUNCTION("""COMPUTED_VALUE"""),0.407)</f>
        <v>0.407</v>
      </c>
      <c r="M3537" s="4"/>
      <c r="N3537" s="4">
        <f>IFERROR(__xludf.DUMMYFUNCTION("""COMPUTED_VALUE"""),0.573)</f>
        <v>0.573</v>
      </c>
      <c r="O3537" s="4">
        <f>IFERROR(__xludf.DUMMYFUNCTION("""COMPUTED_VALUE"""),13.7)</f>
        <v>13.7</v>
      </c>
      <c r="P3537" s="4">
        <f>IFERROR(__xludf.DUMMYFUNCTION("""COMPUTED_VALUE"""),3.2)</f>
        <v>3.2</v>
      </c>
      <c r="Q3537" s="4">
        <f>IFERROR(__xludf.DUMMYFUNCTION("""COMPUTED_VALUE"""),3.7)</f>
        <v>3.7</v>
      </c>
      <c r="R3537" s="4">
        <f>IFERROR(__xludf.DUMMYFUNCTION("""COMPUTED_VALUE"""),1.1)</f>
        <v>1.1</v>
      </c>
      <c r="S3537" s="4">
        <f>IFERROR(__xludf.DUMMYFUNCTION("""COMPUTED_VALUE"""),1.3)</f>
        <v>1.3</v>
      </c>
      <c r="T3537" s="4">
        <f>IFERROR(__xludf.DUMMYFUNCTION("""COMPUTED_VALUE"""),0.044)</f>
        <v>0.044</v>
      </c>
      <c r="U3537" s="4">
        <f>IFERROR(__xludf.DUMMYFUNCTION("""COMPUTED_VALUE"""),-2.5)</f>
        <v>-2.5</v>
      </c>
      <c r="V3537" s="4">
        <f>IFERROR(__xludf.DUMMYFUNCTION("""COMPUTED_VALUE"""),-0.2)</f>
        <v>-0.2</v>
      </c>
    </row>
    <row r="3538">
      <c r="A3538" s="4">
        <f>IFERROR(__xludf.DUMMYFUNCTION("""COMPUTED_VALUE"""),31.0)</f>
        <v>31</v>
      </c>
      <c r="B3538" s="4">
        <f>IFERROR(__xludf.DUMMYFUNCTION("""COMPUTED_VALUE"""),31.0)</f>
        <v>31</v>
      </c>
      <c r="C3538" s="4" t="str">
        <f>IFERROR(__xludf.DUMMYFUNCTION("""COMPUTED_VALUE"""),"CHI")</f>
        <v>CHI</v>
      </c>
      <c r="D3538" s="4" t="str">
        <f>IFERROR(__xludf.DUMMYFUNCTION("""COMPUTED_VALUE"""),"Rod Higgins")</f>
        <v>Rod Higgins</v>
      </c>
      <c r="E3538" s="4" t="str">
        <f>IFERROR(__xludf.DUMMYFUNCTION("""COMPUTED_VALUE"""),"Fresno State")</f>
        <v>Fresno State</v>
      </c>
      <c r="F3538" s="4">
        <f>IFERROR(__xludf.DUMMYFUNCTION("""COMPUTED_VALUE"""),13.0)</f>
        <v>13</v>
      </c>
      <c r="G3538" s="4">
        <f>IFERROR(__xludf.DUMMYFUNCTION("""COMPUTED_VALUE"""),779.0)</f>
        <v>779</v>
      </c>
      <c r="H3538" s="4">
        <f>IFERROR(__xludf.DUMMYFUNCTION("""COMPUTED_VALUE"""),17189.0)</f>
        <v>17189</v>
      </c>
      <c r="I3538" s="4">
        <f>IFERROR(__xludf.DUMMYFUNCTION("""COMPUTED_VALUE"""),7011.0)</f>
        <v>7011</v>
      </c>
      <c r="J3538" s="4">
        <f>IFERROR(__xludf.DUMMYFUNCTION("""COMPUTED_VALUE"""),2819.0)</f>
        <v>2819</v>
      </c>
      <c r="K3538" s="4">
        <f>IFERROR(__xludf.DUMMYFUNCTION("""COMPUTED_VALUE"""),1254.0)</f>
        <v>1254</v>
      </c>
      <c r="L3538" s="4">
        <f>IFERROR(__xludf.DUMMYFUNCTION("""COMPUTED_VALUE"""),0.465)</f>
        <v>0.465</v>
      </c>
      <c r="M3538" s="4">
        <f>IFERROR(__xludf.DUMMYFUNCTION("""COMPUTED_VALUE"""),0.342)</f>
        <v>0.342</v>
      </c>
      <c r="N3538" s="4">
        <f>IFERROR(__xludf.DUMMYFUNCTION("""COMPUTED_VALUE"""),0.808)</f>
        <v>0.808</v>
      </c>
      <c r="O3538" s="4">
        <f>IFERROR(__xludf.DUMMYFUNCTION("""COMPUTED_VALUE"""),22.1)</f>
        <v>22.1</v>
      </c>
      <c r="P3538" s="4">
        <f>IFERROR(__xludf.DUMMYFUNCTION("""COMPUTED_VALUE"""),9.0)</f>
        <v>9</v>
      </c>
      <c r="Q3538" s="4">
        <f>IFERROR(__xludf.DUMMYFUNCTION("""COMPUTED_VALUE"""),3.6)</f>
        <v>3.6</v>
      </c>
      <c r="R3538" s="4">
        <f>IFERROR(__xludf.DUMMYFUNCTION("""COMPUTED_VALUE"""),1.6)</f>
        <v>1.6</v>
      </c>
      <c r="S3538" s="4">
        <f>IFERROR(__xludf.DUMMYFUNCTION("""COMPUTED_VALUE"""),37.8)</f>
        <v>37.8</v>
      </c>
      <c r="T3538" s="4">
        <f>IFERROR(__xludf.DUMMYFUNCTION("""COMPUTED_VALUE"""),0.106)</f>
        <v>0.106</v>
      </c>
      <c r="U3538" s="4">
        <f>IFERROR(__xludf.DUMMYFUNCTION("""COMPUTED_VALUE"""),0.0)</f>
        <v>0</v>
      </c>
      <c r="V3538" s="4">
        <f>IFERROR(__xludf.DUMMYFUNCTION("""COMPUTED_VALUE"""),8.8)</f>
        <v>8.8</v>
      </c>
    </row>
    <row r="3539">
      <c r="A3539" s="4">
        <f>IFERROR(__xludf.DUMMYFUNCTION("""COMPUTED_VALUE"""),32.0)</f>
        <v>32</v>
      </c>
      <c r="B3539" s="4">
        <f>IFERROR(__xludf.DUMMYFUNCTION("""COMPUTED_VALUE"""),32.0)</f>
        <v>32</v>
      </c>
      <c r="C3539" s="4" t="str">
        <f>IFERROR(__xludf.DUMMYFUNCTION("""COMPUTED_VALUE"""),"SDC")</f>
        <v>SDC</v>
      </c>
      <c r="D3539" s="4" t="str">
        <f>IFERROR(__xludf.DUMMYFUNCTION("""COMPUTED_VALUE"""),"Richard Anderson")</f>
        <v>Richard Anderson</v>
      </c>
      <c r="E3539" s="4" t="str">
        <f>IFERROR(__xludf.DUMMYFUNCTION("""COMPUTED_VALUE"""),"UC Santa Barbara")</f>
        <v>UC Santa Barbara</v>
      </c>
      <c r="F3539" s="4">
        <f>IFERROR(__xludf.DUMMYFUNCTION("""COMPUTED_VALUE"""),6.0)</f>
        <v>6</v>
      </c>
      <c r="G3539" s="4">
        <f>IFERROR(__xludf.DUMMYFUNCTION("""COMPUTED_VALUE"""),407.0)</f>
        <v>407</v>
      </c>
      <c r="H3539" s="4">
        <f>IFERROR(__xludf.DUMMYFUNCTION("""COMPUTED_VALUE"""),6002.0)</f>
        <v>6002</v>
      </c>
      <c r="I3539" s="4">
        <f>IFERROR(__xludf.DUMMYFUNCTION("""COMPUTED_VALUE"""),2260.0)</f>
        <v>2260</v>
      </c>
      <c r="J3539" s="4">
        <f>IFERROR(__xludf.DUMMYFUNCTION("""COMPUTED_VALUE"""),1418.0)</f>
        <v>1418</v>
      </c>
      <c r="K3539" s="4">
        <f>IFERROR(__xludf.DUMMYFUNCTION("""COMPUTED_VALUE"""),611.0)</f>
        <v>611</v>
      </c>
      <c r="L3539" s="4">
        <f>IFERROR(__xludf.DUMMYFUNCTION("""COMPUTED_VALUE"""),0.412)</f>
        <v>0.412</v>
      </c>
      <c r="M3539" s="4">
        <f>IFERROR(__xludf.DUMMYFUNCTION("""COMPUTED_VALUE"""),0.333)</f>
        <v>0.333</v>
      </c>
      <c r="N3539" s="4">
        <f>IFERROR(__xludf.DUMMYFUNCTION("""COMPUTED_VALUE"""),0.762)</f>
        <v>0.762</v>
      </c>
      <c r="O3539" s="4">
        <f>IFERROR(__xludf.DUMMYFUNCTION("""COMPUTED_VALUE"""),14.7)</f>
        <v>14.7</v>
      </c>
      <c r="P3539" s="4">
        <f>IFERROR(__xludf.DUMMYFUNCTION("""COMPUTED_VALUE"""),5.6)</f>
        <v>5.6</v>
      </c>
      <c r="Q3539" s="4">
        <f>IFERROR(__xludf.DUMMYFUNCTION("""COMPUTED_VALUE"""),3.5)</f>
        <v>3.5</v>
      </c>
      <c r="R3539" s="4">
        <f>IFERROR(__xludf.DUMMYFUNCTION("""COMPUTED_VALUE"""),1.5)</f>
        <v>1.5</v>
      </c>
      <c r="S3539" s="4">
        <f>IFERROR(__xludf.DUMMYFUNCTION("""COMPUTED_VALUE"""),7.6)</f>
        <v>7.6</v>
      </c>
      <c r="T3539" s="4">
        <f>IFERROR(__xludf.DUMMYFUNCTION("""COMPUTED_VALUE"""),0.061)</f>
        <v>0.061</v>
      </c>
      <c r="U3539" s="4">
        <f>IFERROR(__xludf.DUMMYFUNCTION("""COMPUTED_VALUE"""),-1.1)</f>
        <v>-1.1</v>
      </c>
      <c r="V3539" s="4">
        <f>IFERROR(__xludf.DUMMYFUNCTION("""COMPUTED_VALUE"""),1.4)</f>
        <v>1.4</v>
      </c>
    </row>
    <row r="3540">
      <c r="A3540" s="4">
        <f>IFERROR(__xludf.DUMMYFUNCTION("""COMPUTED_VALUE"""),33.0)</f>
        <v>33</v>
      </c>
      <c r="B3540" s="4">
        <f>IFERROR(__xludf.DUMMYFUNCTION("""COMPUTED_VALUE"""),33.0)</f>
        <v>33</v>
      </c>
      <c r="C3540" s="4" t="str">
        <f>IFERROR(__xludf.DUMMYFUNCTION("""COMPUTED_VALUE"""),"POR")</f>
        <v>POR</v>
      </c>
      <c r="D3540" s="4" t="str">
        <f>IFERROR(__xludf.DUMMYFUNCTION("""COMPUTED_VALUE"""),"Linton Townes")</f>
        <v>Linton Townes</v>
      </c>
      <c r="E3540" s="4" t="str">
        <f>IFERROR(__xludf.DUMMYFUNCTION("""COMPUTED_VALUE"""),"James Madison University")</f>
        <v>James Madison University</v>
      </c>
      <c r="F3540" s="4">
        <f>IFERROR(__xludf.DUMMYFUNCTION("""COMPUTED_VALUE"""),3.0)</f>
        <v>3</v>
      </c>
      <c r="G3540" s="4">
        <f>IFERROR(__xludf.DUMMYFUNCTION("""COMPUTED_VALUE"""),60.0)</f>
        <v>60</v>
      </c>
      <c r="H3540" s="4">
        <f>IFERROR(__xludf.DUMMYFUNCTION("""COMPUTED_VALUE"""),543.0)</f>
        <v>543</v>
      </c>
      <c r="I3540" s="4">
        <f>IFERROR(__xludf.DUMMYFUNCTION("""COMPUTED_VALUE"""),257.0)</f>
        <v>257</v>
      </c>
      <c r="J3540" s="4">
        <f>IFERROR(__xludf.DUMMYFUNCTION("""COMPUTED_VALUE"""),67.0)</f>
        <v>67</v>
      </c>
      <c r="K3540" s="4">
        <f>IFERROR(__xludf.DUMMYFUNCTION("""COMPUTED_VALUE"""),32.0)</f>
        <v>32</v>
      </c>
      <c r="L3540" s="4">
        <f>IFERROR(__xludf.DUMMYFUNCTION("""COMPUTED_VALUE"""),0.44)</f>
        <v>0.44</v>
      </c>
      <c r="M3540" s="4">
        <f>IFERROR(__xludf.DUMMYFUNCTION("""COMPUTED_VALUE"""),0.36)</f>
        <v>0.36</v>
      </c>
      <c r="N3540" s="4">
        <f>IFERROR(__xludf.DUMMYFUNCTION("""COMPUTED_VALUE"""),0.75)</f>
        <v>0.75</v>
      </c>
      <c r="O3540" s="4">
        <f>IFERROR(__xludf.DUMMYFUNCTION("""COMPUTED_VALUE"""),9.1)</f>
        <v>9.1</v>
      </c>
      <c r="P3540" s="4">
        <f>IFERROR(__xludf.DUMMYFUNCTION("""COMPUTED_VALUE"""),4.3)</f>
        <v>4.3</v>
      </c>
      <c r="Q3540" s="4">
        <f>IFERROR(__xludf.DUMMYFUNCTION("""COMPUTED_VALUE"""),1.1)</f>
        <v>1.1</v>
      </c>
      <c r="R3540" s="4">
        <f>IFERROR(__xludf.DUMMYFUNCTION("""COMPUTED_VALUE"""),0.5)</f>
        <v>0.5</v>
      </c>
      <c r="S3540" s="4">
        <f>IFERROR(__xludf.DUMMYFUNCTION("""COMPUTED_VALUE"""),0.6)</f>
        <v>0.6</v>
      </c>
      <c r="T3540" s="4">
        <f>IFERROR(__xludf.DUMMYFUNCTION("""COMPUTED_VALUE"""),0.057)</f>
        <v>0.057</v>
      </c>
      <c r="U3540" s="4">
        <f>IFERROR(__xludf.DUMMYFUNCTION("""COMPUTED_VALUE"""),-3.2)</f>
        <v>-3.2</v>
      </c>
      <c r="V3540" s="4">
        <f>IFERROR(__xludf.DUMMYFUNCTION("""COMPUTED_VALUE"""),-0.2)</f>
        <v>-0.2</v>
      </c>
    </row>
    <row r="3541">
      <c r="A3541" s="4">
        <f>IFERROR(__xludf.DUMMYFUNCTION("""COMPUTED_VALUE"""),34.0)</f>
        <v>34</v>
      </c>
      <c r="B3541" s="4">
        <f>IFERROR(__xludf.DUMMYFUNCTION("""COMPUTED_VALUE"""),34.0)</f>
        <v>34</v>
      </c>
      <c r="C3541" s="4" t="str">
        <f>IFERROR(__xludf.DUMMYFUNCTION("""COMPUTED_VALUE"""),"NYK")</f>
        <v>NYK</v>
      </c>
      <c r="D3541" s="4" t="str">
        <f>IFERROR(__xludf.DUMMYFUNCTION("""COMPUTED_VALUE"""),"Vince Taylor")</f>
        <v>Vince Taylor</v>
      </c>
      <c r="E3541" s="4" t="str">
        <f>IFERROR(__xludf.DUMMYFUNCTION("""COMPUTED_VALUE"""),"Duke")</f>
        <v>Duke</v>
      </c>
      <c r="F3541" s="4">
        <f>IFERROR(__xludf.DUMMYFUNCTION("""COMPUTED_VALUE"""),1.0)</f>
        <v>1</v>
      </c>
      <c r="G3541" s="4">
        <f>IFERROR(__xludf.DUMMYFUNCTION("""COMPUTED_VALUE"""),31.0)</f>
        <v>31</v>
      </c>
      <c r="H3541" s="4">
        <f>IFERROR(__xludf.DUMMYFUNCTION("""COMPUTED_VALUE"""),321.0)</f>
        <v>321</v>
      </c>
      <c r="I3541" s="4">
        <f>IFERROR(__xludf.DUMMYFUNCTION("""COMPUTED_VALUE"""),95.0)</f>
        <v>95</v>
      </c>
      <c r="J3541" s="4">
        <f>IFERROR(__xludf.DUMMYFUNCTION("""COMPUTED_VALUE"""),36.0)</f>
        <v>36</v>
      </c>
      <c r="K3541" s="4">
        <f>IFERROR(__xludf.DUMMYFUNCTION("""COMPUTED_VALUE"""),41.0)</f>
        <v>41</v>
      </c>
      <c r="L3541" s="4">
        <f>IFERROR(__xludf.DUMMYFUNCTION("""COMPUTED_VALUE"""),0.363)</f>
        <v>0.363</v>
      </c>
      <c r="M3541" s="4"/>
      <c r="N3541" s="4">
        <f>IFERROR(__xludf.DUMMYFUNCTION("""COMPUTED_VALUE"""),0.656)</f>
        <v>0.656</v>
      </c>
      <c r="O3541" s="4">
        <f>IFERROR(__xludf.DUMMYFUNCTION("""COMPUTED_VALUE"""),10.4)</f>
        <v>10.4</v>
      </c>
      <c r="P3541" s="4">
        <f>IFERROR(__xludf.DUMMYFUNCTION("""COMPUTED_VALUE"""),3.1)</f>
        <v>3.1</v>
      </c>
      <c r="Q3541" s="4">
        <f>IFERROR(__xludf.DUMMYFUNCTION("""COMPUTED_VALUE"""),1.2)</f>
        <v>1.2</v>
      </c>
      <c r="R3541" s="4">
        <f>IFERROR(__xludf.DUMMYFUNCTION("""COMPUTED_VALUE"""),1.3)</f>
        <v>1.3</v>
      </c>
      <c r="S3541" s="4">
        <f>IFERROR(__xludf.DUMMYFUNCTION("""COMPUTED_VALUE"""),0.1)</f>
        <v>0.1</v>
      </c>
      <c r="T3541" s="4">
        <f>IFERROR(__xludf.DUMMYFUNCTION("""COMPUTED_VALUE"""),0.009)</f>
        <v>0.009</v>
      </c>
      <c r="U3541" s="4">
        <f>IFERROR(__xludf.DUMMYFUNCTION("""COMPUTED_VALUE"""),-3.2)</f>
        <v>-3.2</v>
      </c>
      <c r="V3541" s="4">
        <f>IFERROR(__xludf.DUMMYFUNCTION("""COMPUTED_VALUE"""),-0.1)</f>
        <v>-0.1</v>
      </c>
    </row>
    <row r="3542">
      <c r="A3542" s="4">
        <f>IFERROR(__xludf.DUMMYFUNCTION("""COMPUTED_VALUE"""),35.0)</f>
        <v>35</v>
      </c>
      <c r="B3542" s="4">
        <f>IFERROR(__xludf.DUMMYFUNCTION("""COMPUTED_VALUE"""),35.0)</f>
        <v>35</v>
      </c>
      <c r="C3542" s="4" t="str">
        <f>IFERROR(__xludf.DUMMYFUNCTION("""COMPUTED_VALUE"""),"GSW")</f>
        <v>GSW</v>
      </c>
      <c r="D3542" s="4" t="str">
        <f>IFERROR(__xludf.DUMMYFUNCTION("""COMPUTED_VALUE"""),"Derek Smith")</f>
        <v>Derek Smith</v>
      </c>
      <c r="E3542" s="4" t="str">
        <f>IFERROR(__xludf.DUMMYFUNCTION("""COMPUTED_VALUE"""),"Louisville")</f>
        <v>Louisville</v>
      </c>
      <c r="F3542" s="4">
        <f>IFERROR(__xludf.DUMMYFUNCTION("""COMPUTED_VALUE"""),9.0)</f>
        <v>9</v>
      </c>
      <c r="G3542" s="4">
        <f>IFERROR(__xludf.DUMMYFUNCTION("""COMPUTED_VALUE"""),408.0)</f>
        <v>408</v>
      </c>
      <c r="H3542" s="4">
        <f>IFERROR(__xludf.DUMMYFUNCTION("""COMPUTED_VALUE"""),9825.0)</f>
        <v>9825</v>
      </c>
      <c r="I3542" s="4">
        <f>IFERROR(__xludf.DUMMYFUNCTION("""COMPUTED_VALUE"""),5232.0)</f>
        <v>5232</v>
      </c>
      <c r="J3542" s="4">
        <f>IFERROR(__xludf.DUMMYFUNCTION("""COMPUTED_VALUE"""),1300.0)</f>
        <v>1300</v>
      </c>
      <c r="K3542" s="4">
        <f>IFERROR(__xludf.DUMMYFUNCTION("""COMPUTED_VALUE"""),866.0)</f>
        <v>866</v>
      </c>
      <c r="L3542" s="4">
        <f>IFERROR(__xludf.DUMMYFUNCTION("""COMPUTED_VALUE"""),0.499)</f>
        <v>0.499</v>
      </c>
      <c r="M3542" s="4">
        <f>IFERROR(__xludf.DUMMYFUNCTION("""COMPUTED_VALUE"""),0.294)</f>
        <v>0.294</v>
      </c>
      <c r="N3542" s="4">
        <f>IFERROR(__xludf.DUMMYFUNCTION("""COMPUTED_VALUE"""),0.753)</f>
        <v>0.753</v>
      </c>
      <c r="O3542" s="4">
        <f>IFERROR(__xludf.DUMMYFUNCTION("""COMPUTED_VALUE"""),24.1)</f>
        <v>24.1</v>
      </c>
      <c r="P3542" s="4">
        <f>IFERROR(__xludf.DUMMYFUNCTION("""COMPUTED_VALUE"""),12.8)</f>
        <v>12.8</v>
      </c>
      <c r="Q3542" s="4">
        <f>IFERROR(__xludf.DUMMYFUNCTION("""COMPUTED_VALUE"""),3.2)</f>
        <v>3.2</v>
      </c>
      <c r="R3542" s="4">
        <f>IFERROR(__xludf.DUMMYFUNCTION("""COMPUTED_VALUE"""),2.1)</f>
        <v>2.1</v>
      </c>
      <c r="S3542" s="4">
        <f>IFERROR(__xludf.DUMMYFUNCTION("""COMPUTED_VALUE"""),18.3)</f>
        <v>18.3</v>
      </c>
      <c r="T3542" s="4">
        <f>IFERROR(__xludf.DUMMYFUNCTION("""COMPUTED_VALUE"""),0.089)</f>
        <v>0.089</v>
      </c>
      <c r="U3542" s="4">
        <f>IFERROR(__xludf.DUMMYFUNCTION("""COMPUTED_VALUE"""),-0.7)</f>
        <v>-0.7</v>
      </c>
      <c r="V3542" s="4">
        <f>IFERROR(__xludf.DUMMYFUNCTION("""COMPUTED_VALUE"""),3.2)</f>
        <v>3.2</v>
      </c>
    </row>
    <row r="3543">
      <c r="A3543" s="4">
        <f>IFERROR(__xludf.DUMMYFUNCTION("""COMPUTED_VALUE"""),36.0)</f>
        <v>36</v>
      </c>
      <c r="B3543" s="4">
        <f>IFERROR(__xludf.DUMMYFUNCTION("""COMPUTED_VALUE"""),36.0)</f>
        <v>36</v>
      </c>
      <c r="C3543" s="4" t="str">
        <f>IFERROR(__xludf.DUMMYFUNCTION("""COMPUTED_VALUE"""),"PHI")</f>
        <v>PHI</v>
      </c>
      <c r="D3543" s="4" t="str">
        <f>IFERROR(__xludf.DUMMYFUNCTION("""COMPUTED_VALUE"""),"J.J. Anderson")</f>
        <v>J.J. Anderson</v>
      </c>
      <c r="E3543" s="4" t="str">
        <f>IFERROR(__xludf.DUMMYFUNCTION("""COMPUTED_VALUE"""),"Bradley")</f>
        <v>Bradley</v>
      </c>
      <c r="F3543" s="4">
        <f>IFERROR(__xludf.DUMMYFUNCTION("""COMPUTED_VALUE"""),3.0)</f>
        <v>3</v>
      </c>
      <c r="G3543" s="4">
        <f>IFERROR(__xludf.DUMMYFUNCTION("""COMPUTED_VALUE"""),157.0)</f>
        <v>157</v>
      </c>
      <c r="H3543" s="4">
        <f>IFERROR(__xludf.DUMMYFUNCTION("""COMPUTED_VALUE"""),1970.0)</f>
        <v>1970</v>
      </c>
      <c r="I3543" s="4">
        <f>IFERROR(__xludf.DUMMYFUNCTION("""COMPUTED_VALUE"""),751.0)</f>
        <v>751</v>
      </c>
      <c r="J3543" s="4">
        <f>IFERROR(__xludf.DUMMYFUNCTION("""COMPUTED_VALUE"""),439.0)</f>
        <v>439</v>
      </c>
      <c r="K3543" s="4">
        <f>IFERROR(__xludf.DUMMYFUNCTION("""COMPUTED_VALUE"""),110.0)</f>
        <v>110</v>
      </c>
      <c r="L3543" s="4">
        <f>IFERROR(__xludf.DUMMYFUNCTION("""COMPUTED_VALUE"""),0.465)</f>
        <v>0.465</v>
      </c>
      <c r="M3543" s="4">
        <f>IFERROR(__xludf.DUMMYFUNCTION("""COMPUTED_VALUE"""),0.0)</f>
        <v>0</v>
      </c>
      <c r="N3543" s="4">
        <f>IFERROR(__xludf.DUMMYFUNCTION("""COMPUTED_VALUE"""),0.558)</f>
        <v>0.558</v>
      </c>
      <c r="O3543" s="4">
        <f>IFERROR(__xludf.DUMMYFUNCTION("""COMPUTED_VALUE"""),12.5)</f>
        <v>12.5</v>
      </c>
      <c r="P3543" s="4">
        <f>IFERROR(__xludf.DUMMYFUNCTION("""COMPUTED_VALUE"""),4.8)</f>
        <v>4.8</v>
      </c>
      <c r="Q3543" s="4">
        <f>IFERROR(__xludf.DUMMYFUNCTION("""COMPUTED_VALUE"""),2.8)</f>
        <v>2.8</v>
      </c>
      <c r="R3543" s="4">
        <f>IFERROR(__xludf.DUMMYFUNCTION("""COMPUTED_VALUE"""),0.7)</f>
        <v>0.7</v>
      </c>
      <c r="S3543" s="4">
        <f>IFERROR(__xludf.DUMMYFUNCTION("""COMPUTED_VALUE"""),2.7)</f>
        <v>2.7</v>
      </c>
      <c r="T3543" s="4">
        <f>IFERROR(__xludf.DUMMYFUNCTION("""COMPUTED_VALUE"""),0.065)</f>
        <v>0.065</v>
      </c>
      <c r="U3543" s="4">
        <f>IFERROR(__xludf.DUMMYFUNCTION("""COMPUTED_VALUE"""),-1.9)</f>
        <v>-1.9</v>
      </c>
      <c r="V3543" s="4">
        <f>IFERROR(__xludf.DUMMYFUNCTION("""COMPUTED_VALUE"""),0.0)</f>
        <v>0</v>
      </c>
    </row>
    <row r="3544">
      <c r="A3544" s="4">
        <f>IFERROR(__xludf.DUMMYFUNCTION("""COMPUTED_VALUE"""),37.0)</f>
        <v>37</v>
      </c>
      <c r="B3544" s="4">
        <f>IFERROR(__xludf.DUMMYFUNCTION("""COMPUTED_VALUE"""),37.0)</f>
        <v>37</v>
      </c>
      <c r="C3544" s="4" t="str">
        <f>IFERROR(__xludf.DUMMYFUNCTION("""COMPUTED_VALUE"""),"POR")</f>
        <v>POR</v>
      </c>
      <c r="D3544" s="4" t="str">
        <f>IFERROR(__xludf.DUMMYFUNCTION("""COMPUTED_VALUE"""),"Audie Norris")</f>
        <v>Audie Norris</v>
      </c>
      <c r="E3544" s="4" t="str">
        <f>IFERROR(__xludf.DUMMYFUNCTION("""COMPUTED_VALUE"""),"Jackson State University")</f>
        <v>Jackson State University</v>
      </c>
      <c r="F3544" s="4">
        <f>IFERROR(__xludf.DUMMYFUNCTION("""COMPUTED_VALUE"""),3.0)</f>
        <v>3</v>
      </c>
      <c r="G3544" s="4">
        <f>IFERROR(__xludf.DUMMYFUNCTION("""COMPUTED_VALUE"""),187.0)</f>
        <v>187</v>
      </c>
      <c r="H3544" s="4">
        <f>IFERROR(__xludf.DUMMYFUNCTION("""COMPUTED_VALUE"""),2585.0)</f>
        <v>2585</v>
      </c>
      <c r="I3544" s="4">
        <f>IFERROR(__xludf.DUMMYFUNCTION("""COMPUTED_VALUE"""),819.0)</f>
        <v>819</v>
      </c>
      <c r="J3544" s="4">
        <f>IFERROR(__xludf.DUMMYFUNCTION("""COMPUTED_VALUE"""),576.0)</f>
        <v>576</v>
      </c>
      <c r="K3544" s="4">
        <f>IFERROR(__xludf.DUMMYFUNCTION("""COMPUTED_VALUE"""),147.0)</f>
        <v>147</v>
      </c>
      <c r="L3544" s="4">
        <f>IFERROR(__xludf.DUMMYFUNCTION("""COMPUTED_VALUE"""),0.511)</f>
        <v>0.511</v>
      </c>
      <c r="M3544" s="4">
        <f>IFERROR(__xludf.DUMMYFUNCTION("""COMPUTED_VALUE"""),0.0)</f>
        <v>0</v>
      </c>
      <c r="N3544" s="4">
        <f>IFERROR(__xludf.DUMMYFUNCTION("""COMPUTED_VALUE"""),0.662)</f>
        <v>0.662</v>
      </c>
      <c r="O3544" s="4">
        <f>IFERROR(__xludf.DUMMYFUNCTION("""COMPUTED_VALUE"""),13.8)</f>
        <v>13.8</v>
      </c>
      <c r="P3544" s="4">
        <f>IFERROR(__xludf.DUMMYFUNCTION("""COMPUTED_VALUE"""),4.4)</f>
        <v>4.4</v>
      </c>
      <c r="Q3544" s="4">
        <f>IFERROR(__xludf.DUMMYFUNCTION("""COMPUTED_VALUE"""),3.1)</f>
        <v>3.1</v>
      </c>
      <c r="R3544" s="4">
        <f>IFERROR(__xludf.DUMMYFUNCTION("""COMPUTED_VALUE"""),0.8)</f>
        <v>0.8</v>
      </c>
      <c r="S3544" s="4">
        <f>IFERROR(__xludf.DUMMYFUNCTION("""COMPUTED_VALUE"""),2.9)</f>
        <v>2.9</v>
      </c>
      <c r="T3544" s="4">
        <f>IFERROR(__xludf.DUMMYFUNCTION("""COMPUTED_VALUE"""),0.054)</f>
        <v>0.054</v>
      </c>
      <c r="U3544" s="4">
        <f>IFERROR(__xludf.DUMMYFUNCTION("""COMPUTED_VALUE"""),-3.6)</f>
        <v>-3.6</v>
      </c>
      <c r="V3544" s="4">
        <f>IFERROR(__xludf.DUMMYFUNCTION("""COMPUTED_VALUE"""),-1.1)</f>
        <v>-1.1</v>
      </c>
    </row>
    <row r="3545">
      <c r="A3545" s="4">
        <f>IFERROR(__xludf.DUMMYFUNCTION("""COMPUTED_VALUE"""),38.0)</f>
        <v>38</v>
      </c>
      <c r="B3545" s="4">
        <f>IFERROR(__xludf.DUMMYFUNCTION("""COMPUTED_VALUE"""),38.0)</f>
        <v>38</v>
      </c>
      <c r="C3545" s="4" t="str">
        <f>IFERROR(__xludf.DUMMYFUNCTION("""COMPUTED_VALUE"""),"GSW")</f>
        <v>GSW</v>
      </c>
      <c r="D3545" s="4" t="str">
        <f>IFERROR(__xludf.DUMMYFUNCTION("""COMPUTED_VALUE"""),"Wayne Sappleton")</f>
        <v>Wayne Sappleton</v>
      </c>
      <c r="E3545" s="4" t="str">
        <f>IFERROR(__xludf.DUMMYFUNCTION("""COMPUTED_VALUE"""),"Loyola Chicago")</f>
        <v>Loyola Chicago</v>
      </c>
      <c r="F3545" s="4">
        <f>IFERROR(__xludf.DUMMYFUNCTION("""COMPUTED_VALUE"""),1.0)</f>
        <v>1</v>
      </c>
      <c r="G3545" s="4">
        <f>IFERROR(__xludf.DUMMYFUNCTION("""COMPUTED_VALUE"""),33.0)</f>
        <v>33</v>
      </c>
      <c r="H3545" s="4">
        <f>IFERROR(__xludf.DUMMYFUNCTION("""COMPUTED_VALUE"""),298.0)</f>
        <v>298</v>
      </c>
      <c r="I3545" s="4">
        <f>IFERROR(__xludf.DUMMYFUNCTION("""COMPUTED_VALUE"""),96.0)</f>
        <v>96</v>
      </c>
      <c r="J3545" s="4">
        <f>IFERROR(__xludf.DUMMYFUNCTION("""COMPUTED_VALUE"""),75.0)</f>
        <v>75</v>
      </c>
      <c r="K3545" s="4">
        <f>IFERROR(__xludf.DUMMYFUNCTION("""COMPUTED_VALUE"""),7.0)</f>
        <v>7</v>
      </c>
      <c r="L3545" s="4">
        <f>IFERROR(__xludf.DUMMYFUNCTION("""COMPUTED_VALUE"""),0.471)</f>
        <v>0.471</v>
      </c>
      <c r="M3545" s="4"/>
      <c r="N3545" s="4">
        <f>IFERROR(__xludf.DUMMYFUNCTION("""COMPUTED_VALUE"""),0.412)</f>
        <v>0.412</v>
      </c>
      <c r="O3545" s="4">
        <f>IFERROR(__xludf.DUMMYFUNCTION("""COMPUTED_VALUE"""),9.0)</f>
        <v>9</v>
      </c>
      <c r="P3545" s="4">
        <f>IFERROR(__xludf.DUMMYFUNCTION("""COMPUTED_VALUE"""),2.9)</f>
        <v>2.9</v>
      </c>
      <c r="Q3545" s="4">
        <f>IFERROR(__xludf.DUMMYFUNCTION("""COMPUTED_VALUE"""),2.3)</f>
        <v>2.3</v>
      </c>
      <c r="R3545" s="4">
        <f>IFERROR(__xludf.DUMMYFUNCTION("""COMPUTED_VALUE"""),0.2)</f>
        <v>0.2</v>
      </c>
      <c r="S3545" s="4">
        <f>IFERROR(__xludf.DUMMYFUNCTION("""COMPUTED_VALUE"""),0.1)</f>
        <v>0.1</v>
      </c>
      <c r="T3545" s="4">
        <f>IFERROR(__xludf.DUMMYFUNCTION("""COMPUTED_VALUE"""),0.012)</f>
        <v>0.012</v>
      </c>
      <c r="U3545" s="4">
        <f>IFERROR(__xludf.DUMMYFUNCTION("""COMPUTED_VALUE"""),-6.3)</f>
        <v>-6.3</v>
      </c>
      <c r="V3545" s="4">
        <f>IFERROR(__xludf.DUMMYFUNCTION("""COMPUTED_VALUE"""),-0.3)</f>
        <v>-0.3</v>
      </c>
    </row>
    <row r="3546">
      <c r="A3546" s="4">
        <f>IFERROR(__xludf.DUMMYFUNCTION("""COMPUTED_VALUE"""),39.0)</f>
        <v>39</v>
      </c>
      <c r="B3546" s="4">
        <f>IFERROR(__xludf.DUMMYFUNCTION("""COMPUTED_VALUE"""),39.0)</f>
        <v>39</v>
      </c>
      <c r="C3546" s="4" t="str">
        <f>IFERROR(__xludf.DUMMYFUNCTION("""COMPUTED_VALUE"""),"PHO")</f>
        <v>PHO</v>
      </c>
      <c r="D3546" s="4" t="str">
        <f>IFERROR(__xludf.DUMMYFUNCTION("""COMPUTED_VALUE"""),"Kevin Magee")</f>
        <v>Kevin Magee</v>
      </c>
      <c r="E3546" s="4" t="str">
        <f>IFERROR(__xludf.DUMMYFUNCTION("""COMPUTED_VALUE"""),"University of California, Irvine")</f>
        <v>University of California, Irvine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</row>
    <row r="3547">
      <c r="A3547" s="4">
        <f>IFERROR(__xludf.DUMMYFUNCTION("""COMPUTED_VALUE"""),40.0)</f>
        <v>40</v>
      </c>
      <c r="B3547" s="4">
        <f>IFERROR(__xludf.DUMMYFUNCTION("""COMPUTED_VALUE"""),40.0)</f>
        <v>40</v>
      </c>
      <c r="C3547" s="4" t="str">
        <f>IFERROR(__xludf.DUMMYFUNCTION("""COMPUTED_VALUE"""),"IND")</f>
        <v>IND</v>
      </c>
      <c r="D3547" s="4" t="str">
        <f>IFERROR(__xludf.DUMMYFUNCTION("""COMPUTED_VALUE"""),"Guy Morgan")</f>
        <v>Guy Morgan</v>
      </c>
      <c r="E3547" s="4" t="str">
        <f>IFERROR(__xludf.DUMMYFUNCTION("""COMPUTED_VALUE"""),"Wake Forest")</f>
        <v>Wake Forest</v>
      </c>
      <c r="F3547" s="4">
        <f>IFERROR(__xludf.DUMMYFUNCTION("""COMPUTED_VALUE"""),1.0)</f>
        <v>1</v>
      </c>
      <c r="G3547" s="4">
        <f>IFERROR(__xludf.DUMMYFUNCTION("""COMPUTED_VALUE"""),8.0)</f>
        <v>8</v>
      </c>
      <c r="H3547" s="4">
        <f>IFERROR(__xludf.DUMMYFUNCTION("""COMPUTED_VALUE"""),46.0)</f>
        <v>46</v>
      </c>
      <c r="I3547" s="4">
        <f>IFERROR(__xludf.DUMMYFUNCTION("""COMPUTED_VALUE"""),15.0)</f>
        <v>15</v>
      </c>
      <c r="J3547" s="4">
        <f>IFERROR(__xludf.DUMMYFUNCTION("""COMPUTED_VALUE"""),17.0)</f>
        <v>17</v>
      </c>
      <c r="K3547" s="4">
        <f>IFERROR(__xludf.DUMMYFUNCTION("""COMPUTED_VALUE"""),7.0)</f>
        <v>7</v>
      </c>
      <c r="L3547" s="4">
        <f>IFERROR(__xludf.DUMMYFUNCTION("""COMPUTED_VALUE"""),0.292)</f>
        <v>0.292</v>
      </c>
      <c r="M3547" s="4"/>
      <c r="N3547" s="4">
        <f>IFERROR(__xludf.DUMMYFUNCTION("""COMPUTED_VALUE"""),0.25)</f>
        <v>0.25</v>
      </c>
      <c r="O3547" s="4">
        <f>IFERROR(__xludf.DUMMYFUNCTION("""COMPUTED_VALUE"""),5.8)</f>
        <v>5.8</v>
      </c>
      <c r="P3547" s="4">
        <f>IFERROR(__xludf.DUMMYFUNCTION("""COMPUTED_VALUE"""),1.9)</f>
        <v>1.9</v>
      </c>
      <c r="Q3547" s="4">
        <f>IFERROR(__xludf.DUMMYFUNCTION("""COMPUTED_VALUE"""),2.1)</f>
        <v>2.1</v>
      </c>
      <c r="R3547" s="4">
        <f>IFERROR(__xludf.DUMMYFUNCTION("""COMPUTED_VALUE"""),0.9)</f>
        <v>0.9</v>
      </c>
      <c r="S3547" s="4">
        <f>IFERROR(__xludf.DUMMYFUNCTION("""COMPUTED_VALUE"""),-0.1)</f>
        <v>-0.1</v>
      </c>
      <c r="T3547" s="4">
        <f>IFERROR(__xludf.DUMMYFUNCTION("""COMPUTED_VALUE"""),-0.059)</f>
        <v>-0.059</v>
      </c>
      <c r="U3547" s="4">
        <f>IFERROR(__xludf.DUMMYFUNCTION("""COMPUTED_VALUE"""),-4.6)</f>
        <v>-4.6</v>
      </c>
      <c r="V3547" s="4">
        <f>IFERROR(__xludf.DUMMYFUNCTION("""COMPUTED_VALUE"""),0.0)</f>
        <v>0</v>
      </c>
    </row>
    <row r="3548">
      <c r="A3548" s="4">
        <f>IFERROR(__xludf.DUMMYFUNCTION("""COMPUTED_VALUE"""),41.0)</f>
        <v>41</v>
      </c>
      <c r="B3548" s="4">
        <f>IFERROR(__xludf.DUMMYFUNCTION("""COMPUTED_VALUE"""),41.0)</f>
        <v>41</v>
      </c>
      <c r="C3548" s="4" t="str">
        <f>IFERROR(__xludf.DUMMYFUNCTION("""COMPUTED_VALUE"""),"WSB")</f>
        <v>WSB</v>
      </c>
      <c r="D3548" s="4" t="str">
        <f>IFERROR(__xludf.DUMMYFUNCTION("""COMPUTED_VALUE"""),"Dwight Anderson")</f>
        <v>Dwight Anderson</v>
      </c>
      <c r="E3548" s="4" t="str">
        <f>IFERROR(__xludf.DUMMYFUNCTION("""COMPUTED_VALUE"""),"USC")</f>
        <v>USC</v>
      </c>
      <c r="F3548" s="4">
        <f>IFERROR(__xludf.DUMMYFUNCTION("""COMPUTED_VALUE"""),1.0)</f>
        <v>1</v>
      </c>
      <c r="G3548" s="4">
        <f>IFERROR(__xludf.DUMMYFUNCTION("""COMPUTED_VALUE"""),5.0)</f>
        <v>5</v>
      </c>
      <c r="H3548" s="4">
        <f>IFERROR(__xludf.DUMMYFUNCTION("""COMPUTED_VALUE"""),33.0)</f>
        <v>33</v>
      </c>
      <c r="I3548" s="4">
        <f>IFERROR(__xludf.DUMMYFUNCTION("""COMPUTED_VALUE"""),21.0)</f>
        <v>21</v>
      </c>
      <c r="J3548" s="4">
        <f>IFERROR(__xludf.DUMMYFUNCTION("""COMPUTED_VALUE"""),2.0)</f>
        <v>2</v>
      </c>
      <c r="K3548" s="4">
        <f>IFERROR(__xludf.DUMMYFUNCTION("""COMPUTED_VALUE"""),3.0)</f>
        <v>3</v>
      </c>
      <c r="L3548" s="4">
        <f>IFERROR(__xludf.DUMMYFUNCTION("""COMPUTED_VALUE"""),0.5)</f>
        <v>0.5</v>
      </c>
      <c r="M3548" s="4"/>
      <c r="N3548" s="4">
        <f>IFERROR(__xludf.DUMMYFUNCTION("""COMPUTED_VALUE"""),0.7)</f>
        <v>0.7</v>
      </c>
      <c r="O3548" s="4">
        <f>IFERROR(__xludf.DUMMYFUNCTION("""COMPUTED_VALUE"""),6.6)</f>
        <v>6.6</v>
      </c>
      <c r="P3548" s="4">
        <f>IFERROR(__xludf.DUMMYFUNCTION("""COMPUTED_VALUE"""),4.2)</f>
        <v>4.2</v>
      </c>
      <c r="Q3548" s="4">
        <f>IFERROR(__xludf.DUMMYFUNCTION("""COMPUTED_VALUE"""),0.4)</f>
        <v>0.4</v>
      </c>
      <c r="R3548" s="4">
        <f>IFERROR(__xludf.DUMMYFUNCTION("""COMPUTED_VALUE"""),0.6)</f>
        <v>0.6</v>
      </c>
      <c r="S3548" s="4">
        <f>IFERROR(__xludf.DUMMYFUNCTION("""COMPUTED_VALUE"""),0.0)</f>
        <v>0</v>
      </c>
      <c r="T3548" s="4">
        <f>IFERROR(__xludf.DUMMYFUNCTION("""COMPUTED_VALUE"""),0.001)</f>
        <v>0.001</v>
      </c>
      <c r="U3548" s="4">
        <f>IFERROR(__xludf.DUMMYFUNCTION("""COMPUTED_VALUE"""),-4.8)</f>
        <v>-4.8</v>
      </c>
      <c r="V3548" s="4">
        <f>IFERROR(__xludf.DUMMYFUNCTION("""COMPUTED_VALUE"""),0.0)</f>
        <v>0</v>
      </c>
    </row>
    <row r="3549">
      <c r="A3549" s="4">
        <f>IFERROR(__xludf.DUMMYFUNCTION("""COMPUTED_VALUE"""),42.0)</f>
        <v>42</v>
      </c>
      <c r="B3549" s="4">
        <f>IFERROR(__xludf.DUMMYFUNCTION("""COMPUTED_VALUE"""),42.0)</f>
        <v>42</v>
      </c>
      <c r="C3549" s="4" t="str">
        <f>IFERROR(__xludf.DUMMYFUNCTION("""COMPUTED_VALUE"""),"HOU")</f>
        <v>HOU</v>
      </c>
      <c r="D3549" s="4" t="str">
        <f>IFERROR(__xludf.DUMMYFUNCTION("""COMPUTED_VALUE"""),"Jeff Taylor")</f>
        <v>Jeff Taylor</v>
      </c>
      <c r="E3549" s="4" t="str">
        <f>IFERROR(__xludf.DUMMYFUNCTION("""COMPUTED_VALUE"""),"Texas Tech")</f>
        <v>Texas Tech</v>
      </c>
      <c r="F3549" s="4">
        <f>IFERROR(__xludf.DUMMYFUNCTION("""COMPUTED_VALUE"""),2.0)</f>
        <v>2</v>
      </c>
      <c r="G3549" s="4">
        <f>IFERROR(__xludf.DUMMYFUNCTION("""COMPUTED_VALUE"""),56.0)</f>
        <v>56</v>
      </c>
      <c r="H3549" s="4">
        <f>IFERROR(__xludf.DUMMYFUNCTION("""COMPUTED_VALUE"""),818.0)</f>
        <v>818</v>
      </c>
      <c r="I3549" s="4">
        <f>IFERROR(__xludf.DUMMYFUNCTION("""COMPUTED_VALUE"""),179.0)</f>
        <v>179</v>
      </c>
      <c r="J3549" s="4">
        <f>IFERROR(__xludf.DUMMYFUNCTION("""COMPUTED_VALUE"""),82.0)</f>
        <v>82</v>
      </c>
      <c r="K3549" s="4">
        <f>IFERROR(__xludf.DUMMYFUNCTION("""COMPUTED_VALUE"""),113.0)</f>
        <v>113</v>
      </c>
      <c r="L3549" s="4">
        <f>IFERROR(__xludf.DUMMYFUNCTION("""COMPUTED_VALUE"""),0.412)</f>
        <v>0.412</v>
      </c>
      <c r="M3549" s="4">
        <f>IFERROR(__xludf.DUMMYFUNCTION("""COMPUTED_VALUE"""),0.0)</f>
        <v>0</v>
      </c>
      <c r="N3549" s="4">
        <f>IFERROR(__xludf.DUMMYFUNCTION("""COMPUTED_VALUE"""),0.696)</f>
        <v>0.696</v>
      </c>
      <c r="O3549" s="4">
        <f>IFERROR(__xludf.DUMMYFUNCTION("""COMPUTED_VALUE"""),14.6)</f>
        <v>14.6</v>
      </c>
      <c r="P3549" s="4">
        <f>IFERROR(__xludf.DUMMYFUNCTION("""COMPUTED_VALUE"""),3.2)</f>
        <v>3.2</v>
      </c>
      <c r="Q3549" s="4">
        <f>IFERROR(__xludf.DUMMYFUNCTION("""COMPUTED_VALUE"""),1.5)</f>
        <v>1.5</v>
      </c>
      <c r="R3549" s="4">
        <f>IFERROR(__xludf.DUMMYFUNCTION("""COMPUTED_VALUE"""),2.0)</f>
        <v>2</v>
      </c>
      <c r="S3549" s="4">
        <f>IFERROR(__xludf.DUMMYFUNCTION("""COMPUTED_VALUE"""),-0.1)</f>
        <v>-0.1</v>
      </c>
      <c r="T3549" s="4">
        <f>IFERROR(__xludf.DUMMYFUNCTION("""COMPUTED_VALUE"""),-0.008)</f>
        <v>-0.008</v>
      </c>
      <c r="U3549" s="4">
        <f>IFERROR(__xludf.DUMMYFUNCTION("""COMPUTED_VALUE"""),-3.0)</f>
        <v>-3</v>
      </c>
      <c r="V3549" s="4">
        <f>IFERROR(__xludf.DUMMYFUNCTION("""COMPUTED_VALUE"""),-0.2)</f>
        <v>-0.2</v>
      </c>
    </row>
    <row r="3550">
      <c r="A3550" s="4">
        <f>IFERROR(__xludf.DUMMYFUNCTION("""COMPUTED_VALUE"""),43.0)</f>
        <v>43</v>
      </c>
      <c r="B3550" s="4">
        <f>IFERROR(__xludf.DUMMYFUNCTION("""COMPUTED_VALUE"""),43.0)</f>
        <v>43</v>
      </c>
      <c r="C3550" s="4" t="str">
        <f>IFERROR(__xludf.DUMMYFUNCTION("""COMPUTED_VALUE"""),"IND")</f>
        <v>IND</v>
      </c>
      <c r="D3550" s="4" t="str">
        <f>IFERROR(__xludf.DUMMYFUNCTION("""COMPUTED_VALUE"""),"Jose Slaughter")</f>
        <v>Jose Slaughter</v>
      </c>
      <c r="E3550" s="4" t="str">
        <f>IFERROR(__xludf.DUMMYFUNCTION("""COMPUTED_VALUE"""),"University of Portland")</f>
        <v>University of Portland</v>
      </c>
      <c r="F3550" s="4">
        <f>IFERROR(__xludf.DUMMYFUNCTION("""COMPUTED_VALUE"""),1.0)</f>
        <v>1</v>
      </c>
      <c r="G3550" s="4">
        <f>IFERROR(__xludf.DUMMYFUNCTION("""COMPUTED_VALUE"""),63.0)</f>
        <v>63</v>
      </c>
      <c r="H3550" s="4">
        <f>IFERROR(__xludf.DUMMYFUNCTION("""COMPUTED_VALUE"""),515.0)</f>
        <v>515</v>
      </c>
      <c r="I3550" s="4">
        <f>IFERROR(__xludf.DUMMYFUNCTION("""COMPUTED_VALUE"""),225.0)</f>
        <v>225</v>
      </c>
      <c r="J3550" s="4">
        <f>IFERROR(__xludf.DUMMYFUNCTION("""COMPUTED_VALUE"""),68.0)</f>
        <v>68</v>
      </c>
      <c r="K3550" s="4">
        <f>IFERROR(__xludf.DUMMYFUNCTION("""COMPUTED_VALUE"""),52.0)</f>
        <v>52</v>
      </c>
      <c r="L3550" s="4">
        <f>IFERROR(__xludf.DUMMYFUNCTION("""COMPUTED_VALUE"""),0.374)</f>
        <v>0.374</v>
      </c>
      <c r="M3550" s="4">
        <f>IFERROR(__xludf.DUMMYFUNCTION("""COMPUTED_VALUE"""),0.22)</f>
        <v>0.22</v>
      </c>
      <c r="N3550" s="4">
        <f>IFERROR(__xludf.DUMMYFUNCTION("""COMPUTED_VALUE"""),0.644)</f>
        <v>0.644</v>
      </c>
      <c r="O3550" s="4">
        <f>IFERROR(__xludf.DUMMYFUNCTION("""COMPUTED_VALUE"""),8.2)</f>
        <v>8.2</v>
      </c>
      <c r="P3550" s="4">
        <f>IFERROR(__xludf.DUMMYFUNCTION("""COMPUTED_VALUE"""),3.6)</f>
        <v>3.6</v>
      </c>
      <c r="Q3550" s="4">
        <f>IFERROR(__xludf.DUMMYFUNCTION("""COMPUTED_VALUE"""),1.1)</f>
        <v>1.1</v>
      </c>
      <c r="R3550" s="4">
        <f>IFERROR(__xludf.DUMMYFUNCTION("""COMPUTED_VALUE"""),0.8)</f>
        <v>0.8</v>
      </c>
      <c r="S3550" s="4">
        <f>IFERROR(__xludf.DUMMYFUNCTION("""COMPUTED_VALUE"""),-0.1)</f>
        <v>-0.1</v>
      </c>
      <c r="T3550" s="4">
        <f>IFERROR(__xludf.DUMMYFUNCTION("""COMPUTED_VALUE"""),-0.007)</f>
        <v>-0.007</v>
      </c>
      <c r="U3550" s="4">
        <f>IFERROR(__xludf.DUMMYFUNCTION("""COMPUTED_VALUE"""),-4.2)</f>
        <v>-4.2</v>
      </c>
      <c r="V3550" s="4">
        <f>IFERROR(__xludf.DUMMYFUNCTION("""COMPUTED_VALUE"""),-0.3)</f>
        <v>-0.3</v>
      </c>
    </row>
    <row r="3551">
      <c r="A3551" s="4">
        <f>IFERROR(__xludf.DUMMYFUNCTION("""COMPUTED_VALUE"""),44.0)</f>
        <v>44</v>
      </c>
      <c r="B3551" s="4">
        <f>IFERROR(__xludf.DUMMYFUNCTION("""COMPUTED_VALUE"""),44.0)</f>
        <v>44</v>
      </c>
      <c r="C3551" s="4" t="str">
        <f>IFERROR(__xludf.DUMMYFUNCTION("""COMPUTED_VALUE"""),"WSB")</f>
        <v>WSB</v>
      </c>
      <c r="D3551" s="4" t="str">
        <f>IFERROR(__xludf.DUMMYFUNCTION("""COMPUTED_VALUE"""),"Mike Gibson")</f>
        <v>Mike Gibson</v>
      </c>
      <c r="E3551" s="4" t="str">
        <f>IFERROR(__xludf.DUMMYFUNCTION("""COMPUTED_VALUE"""),"USC Upstate")</f>
        <v>USC Upstate</v>
      </c>
      <c r="F3551" s="4">
        <f>IFERROR(__xludf.DUMMYFUNCTION("""COMPUTED_VALUE"""),2.0)</f>
        <v>2</v>
      </c>
      <c r="G3551" s="4">
        <f>IFERROR(__xludf.DUMMYFUNCTION("""COMPUTED_VALUE"""),64.0)</f>
        <v>64</v>
      </c>
      <c r="H3551" s="4">
        <f>IFERROR(__xludf.DUMMYFUNCTION("""COMPUTED_VALUE"""),390.0)</f>
        <v>390</v>
      </c>
      <c r="I3551" s="4">
        <f>IFERROR(__xludf.DUMMYFUNCTION("""COMPUTED_VALUE"""),101.0)</f>
        <v>101</v>
      </c>
      <c r="J3551" s="4">
        <f>IFERROR(__xludf.DUMMYFUNCTION("""COMPUTED_VALUE"""),106.0)</f>
        <v>106</v>
      </c>
      <c r="K3551" s="4">
        <f>IFERROR(__xludf.DUMMYFUNCTION("""COMPUTED_VALUE"""),14.0)</f>
        <v>14</v>
      </c>
      <c r="L3551" s="4">
        <f>IFERROR(__xludf.DUMMYFUNCTION("""COMPUTED_VALUE"""),0.387)</f>
        <v>0.387</v>
      </c>
      <c r="M3551" s="4"/>
      <c r="N3551" s="4">
        <f>IFERROR(__xludf.DUMMYFUNCTION("""COMPUTED_VALUE"""),0.679)</f>
        <v>0.679</v>
      </c>
      <c r="O3551" s="4">
        <f>IFERROR(__xludf.DUMMYFUNCTION("""COMPUTED_VALUE"""),6.1)</f>
        <v>6.1</v>
      </c>
      <c r="P3551" s="4">
        <f>IFERROR(__xludf.DUMMYFUNCTION("""COMPUTED_VALUE"""),1.6)</f>
        <v>1.6</v>
      </c>
      <c r="Q3551" s="4">
        <f>IFERROR(__xludf.DUMMYFUNCTION("""COMPUTED_VALUE"""),1.7)</f>
        <v>1.7</v>
      </c>
      <c r="R3551" s="4">
        <f>IFERROR(__xludf.DUMMYFUNCTION("""COMPUTED_VALUE"""),0.2)</f>
        <v>0.2</v>
      </c>
      <c r="S3551" s="4">
        <f>IFERROR(__xludf.DUMMYFUNCTION("""COMPUTED_VALUE"""),0.3)</f>
        <v>0.3</v>
      </c>
      <c r="T3551" s="4">
        <f>IFERROR(__xludf.DUMMYFUNCTION("""COMPUTED_VALUE"""),0.042)</f>
        <v>0.042</v>
      </c>
      <c r="U3551" s="4">
        <f>IFERROR(__xludf.DUMMYFUNCTION("""COMPUTED_VALUE"""),-4.1)</f>
        <v>-4.1</v>
      </c>
      <c r="V3551" s="4">
        <f>IFERROR(__xludf.DUMMYFUNCTION("""COMPUTED_VALUE"""),-0.2)</f>
        <v>-0.2</v>
      </c>
    </row>
    <row r="3552">
      <c r="A3552" s="4">
        <f>IFERROR(__xludf.DUMMYFUNCTION("""COMPUTED_VALUE"""),45.0)</f>
        <v>45</v>
      </c>
      <c r="B3552" s="4">
        <f>IFERROR(__xludf.DUMMYFUNCTION("""COMPUTED_VALUE"""),45.0)</f>
        <v>45</v>
      </c>
      <c r="C3552" s="4" t="str">
        <f>IFERROR(__xludf.DUMMYFUNCTION("""COMPUTED_VALUE"""),"PHI")</f>
        <v>PHI</v>
      </c>
      <c r="D3552" s="4" t="str">
        <f>IFERROR(__xludf.DUMMYFUNCTION("""COMPUTED_VALUE"""),"Russ Schoene")</f>
        <v>Russ Schoene</v>
      </c>
      <c r="E3552" s="4" t="str">
        <f>IFERROR(__xludf.DUMMYFUNCTION("""COMPUTED_VALUE"""),"Chattanooga")</f>
        <v>Chattanooga</v>
      </c>
      <c r="F3552" s="4">
        <f>IFERROR(__xludf.DUMMYFUNCTION("""COMPUTED_VALUE"""),4.0)</f>
        <v>4</v>
      </c>
      <c r="G3552" s="4">
        <f>IFERROR(__xludf.DUMMYFUNCTION("""COMPUTED_VALUE"""),290.0)</f>
        <v>290</v>
      </c>
      <c r="H3552" s="4">
        <f>IFERROR(__xludf.DUMMYFUNCTION("""COMPUTED_VALUE"""),3548.0)</f>
        <v>3548</v>
      </c>
      <c r="I3552" s="4">
        <f>IFERROR(__xludf.DUMMYFUNCTION("""COMPUTED_VALUE"""),1491.0)</f>
        <v>1491</v>
      </c>
      <c r="J3552" s="4">
        <f>IFERROR(__xludf.DUMMYFUNCTION("""COMPUTED_VALUE"""),735.0)</f>
        <v>735</v>
      </c>
      <c r="K3552" s="4">
        <f>IFERROR(__xludf.DUMMYFUNCTION("""COMPUTED_VALUE"""),175.0)</f>
        <v>175</v>
      </c>
      <c r="L3552" s="4">
        <f>IFERROR(__xludf.DUMMYFUNCTION("""COMPUTED_VALUE"""),0.435)</f>
        <v>0.435</v>
      </c>
      <c r="M3552" s="4">
        <f>IFERROR(__xludf.DUMMYFUNCTION("""COMPUTED_VALUE"""),0.335)</f>
        <v>0.335</v>
      </c>
      <c r="N3552" s="4">
        <f>IFERROR(__xludf.DUMMYFUNCTION("""COMPUTED_VALUE"""),0.751)</f>
        <v>0.751</v>
      </c>
      <c r="O3552" s="4">
        <f>IFERROR(__xludf.DUMMYFUNCTION("""COMPUTED_VALUE"""),12.2)</f>
        <v>12.2</v>
      </c>
      <c r="P3552" s="4">
        <f>IFERROR(__xludf.DUMMYFUNCTION("""COMPUTED_VALUE"""),5.1)</f>
        <v>5.1</v>
      </c>
      <c r="Q3552" s="4">
        <f>IFERROR(__xludf.DUMMYFUNCTION("""COMPUTED_VALUE"""),2.5)</f>
        <v>2.5</v>
      </c>
      <c r="R3552" s="4">
        <f>IFERROR(__xludf.DUMMYFUNCTION("""COMPUTED_VALUE"""),0.6)</f>
        <v>0.6</v>
      </c>
      <c r="S3552" s="4">
        <f>IFERROR(__xludf.DUMMYFUNCTION("""COMPUTED_VALUE"""),4.5)</f>
        <v>4.5</v>
      </c>
      <c r="T3552" s="4">
        <f>IFERROR(__xludf.DUMMYFUNCTION("""COMPUTED_VALUE"""),0.061)</f>
        <v>0.061</v>
      </c>
      <c r="U3552" s="4">
        <f>IFERROR(__xludf.DUMMYFUNCTION("""COMPUTED_VALUE"""),-3.4)</f>
        <v>-3.4</v>
      </c>
      <c r="V3552" s="4">
        <f>IFERROR(__xludf.DUMMYFUNCTION("""COMPUTED_VALUE"""),-1.3)</f>
        <v>-1.3</v>
      </c>
    </row>
    <row r="3553">
      <c r="A3553" s="4">
        <f>IFERROR(__xludf.DUMMYFUNCTION("""COMPUTED_VALUE"""),46.0)</f>
        <v>46</v>
      </c>
      <c r="B3553" s="4">
        <f>IFERROR(__xludf.DUMMYFUNCTION("""COMPUTED_VALUE"""),46.0)</f>
        <v>46</v>
      </c>
      <c r="C3553" s="4" t="str">
        <f>IFERROR(__xludf.DUMMYFUNCTION("""COMPUTED_VALUE"""),"BOS")</f>
        <v>BOS</v>
      </c>
      <c r="D3553" s="4" t="str">
        <f>IFERROR(__xludf.DUMMYFUNCTION("""COMPUTED_VALUE"""),"Tony Guy")</f>
        <v>Tony Guy</v>
      </c>
      <c r="E3553" s="4" t="str">
        <f>IFERROR(__xludf.DUMMYFUNCTION("""COMPUTED_VALUE"""),"Kansas")</f>
        <v>Kansas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</row>
    <row r="3554">
      <c r="A3554" s="4"/>
      <c r="B3554" s="4"/>
      <c r="C3554" s="4"/>
      <c r="D3554" s="4" t="str">
        <f>IFERROR(__xludf.DUMMYFUNCTION("""COMPUTED_VALUE"""),"Round 3")</f>
        <v>Round 3</v>
      </c>
      <c r="E3554" s="4"/>
      <c r="F3554" s="4"/>
      <c r="G3554" s="4" t="str">
        <f>IFERROR(__xludf.DUMMYFUNCTION("""COMPUTED_VALUE"""),"Totals")</f>
        <v>Totals</v>
      </c>
      <c r="H3554" s="4"/>
      <c r="I3554" s="4"/>
      <c r="J3554" s="4"/>
      <c r="K3554" s="4"/>
      <c r="L3554" s="4" t="str">
        <f>IFERROR(__xludf.DUMMYFUNCTION("""COMPUTED_VALUE"""),"Shooting")</f>
        <v>Shooting</v>
      </c>
      <c r="M3554" s="4"/>
      <c r="N3554" s="4"/>
      <c r="O3554" s="4" t="str">
        <f>IFERROR(__xludf.DUMMYFUNCTION("""COMPUTED_VALUE"""),"Per Game")</f>
        <v>Per Game</v>
      </c>
      <c r="P3554" s="4"/>
      <c r="Q3554" s="4"/>
      <c r="R3554" s="4"/>
      <c r="S3554" s="4" t="str">
        <f>IFERROR(__xludf.DUMMYFUNCTION("""COMPUTED_VALUE"""),"Advanced")</f>
        <v>Advanced</v>
      </c>
      <c r="T3554" s="4"/>
      <c r="U3554" s="4"/>
      <c r="V3554" s="4"/>
    </row>
    <row r="3555">
      <c r="A3555" s="4" t="str">
        <f>IFERROR(__xludf.DUMMYFUNCTION("""COMPUTED_VALUE"""),"Rk")</f>
        <v>Rk</v>
      </c>
      <c r="B3555" s="4" t="str">
        <f>IFERROR(__xludf.DUMMYFUNCTION("""COMPUTED_VALUE"""),"Pk")</f>
        <v>Pk</v>
      </c>
      <c r="C3555" s="4" t="str">
        <f>IFERROR(__xludf.DUMMYFUNCTION("""COMPUTED_VALUE"""),"Tm")</f>
        <v>Tm</v>
      </c>
      <c r="D3555" s="4" t="str">
        <f>IFERROR(__xludf.DUMMYFUNCTION("""COMPUTED_VALUE"""),"Player")</f>
        <v>Player</v>
      </c>
      <c r="E3555" s="4" t="str">
        <f>IFERROR(__xludf.DUMMYFUNCTION("""COMPUTED_VALUE"""),"College")</f>
        <v>College</v>
      </c>
      <c r="F3555" s="4" t="str">
        <f>IFERROR(__xludf.DUMMYFUNCTION("""COMPUTED_VALUE"""),"Yrs")</f>
        <v>Yrs</v>
      </c>
      <c r="G3555" s="4" t="str">
        <f>IFERROR(__xludf.DUMMYFUNCTION("""COMPUTED_VALUE"""),"G")</f>
        <v>G</v>
      </c>
      <c r="H3555" s="4" t="str">
        <f>IFERROR(__xludf.DUMMYFUNCTION("""COMPUTED_VALUE"""),"MP")</f>
        <v>MP</v>
      </c>
      <c r="I3555" s="4" t="str">
        <f>IFERROR(__xludf.DUMMYFUNCTION("""COMPUTED_VALUE"""),"PTS")</f>
        <v>PTS</v>
      </c>
      <c r="J3555" s="4" t="str">
        <f>IFERROR(__xludf.DUMMYFUNCTION("""COMPUTED_VALUE"""),"TRB")</f>
        <v>TRB</v>
      </c>
      <c r="K3555" s="4" t="str">
        <f>IFERROR(__xludf.DUMMYFUNCTION("""COMPUTED_VALUE"""),"AST")</f>
        <v>AST</v>
      </c>
      <c r="L3555" s="4" t="str">
        <f>IFERROR(__xludf.DUMMYFUNCTION("""COMPUTED_VALUE"""),"FG%")</f>
        <v>FG%</v>
      </c>
      <c r="M3555" s="4" t="str">
        <f>IFERROR(__xludf.DUMMYFUNCTION("""COMPUTED_VALUE"""),"3P%")</f>
        <v>3P%</v>
      </c>
      <c r="N3555" s="4" t="str">
        <f>IFERROR(__xludf.DUMMYFUNCTION("""COMPUTED_VALUE"""),"FT%")</f>
        <v>FT%</v>
      </c>
      <c r="O3555" s="4" t="str">
        <f>IFERROR(__xludf.DUMMYFUNCTION("""COMPUTED_VALUE"""),"MP")</f>
        <v>MP</v>
      </c>
      <c r="P3555" s="4" t="str">
        <f>IFERROR(__xludf.DUMMYFUNCTION("""COMPUTED_VALUE"""),"PTS")</f>
        <v>PTS</v>
      </c>
      <c r="Q3555" s="4" t="str">
        <f>IFERROR(__xludf.DUMMYFUNCTION("""COMPUTED_VALUE"""),"TRB")</f>
        <v>TRB</v>
      </c>
      <c r="R3555" s="4" t="str">
        <f>IFERROR(__xludf.DUMMYFUNCTION("""COMPUTED_VALUE"""),"AST")</f>
        <v>AST</v>
      </c>
      <c r="S3555" s="4" t="str">
        <f>IFERROR(__xludf.DUMMYFUNCTION("""COMPUTED_VALUE"""),"WS")</f>
        <v>WS</v>
      </c>
      <c r="T3555" s="4" t="str">
        <f>IFERROR(__xludf.DUMMYFUNCTION("""COMPUTED_VALUE"""),"WS/48")</f>
        <v>WS/48</v>
      </c>
      <c r="U3555" s="4" t="str">
        <f>IFERROR(__xludf.DUMMYFUNCTION("""COMPUTED_VALUE"""),"BPM")</f>
        <v>BPM</v>
      </c>
      <c r="V3555" s="4" t="str">
        <f>IFERROR(__xludf.DUMMYFUNCTION("""COMPUTED_VALUE"""),"VORP")</f>
        <v>VORP</v>
      </c>
    </row>
    <row r="3556">
      <c r="A3556" s="4">
        <f>IFERROR(__xludf.DUMMYFUNCTION("""COMPUTED_VALUE"""),47.0)</f>
        <v>47</v>
      </c>
      <c r="B3556" s="4">
        <f>IFERROR(__xludf.DUMMYFUNCTION("""COMPUTED_VALUE"""),47.0)</f>
        <v>47</v>
      </c>
      <c r="C3556" s="4" t="str">
        <f>IFERROR(__xludf.DUMMYFUNCTION("""COMPUTED_VALUE"""),"CLE")</f>
        <v>CLE</v>
      </c>
      <c r="D3556" s="4" t="str">
        <f>IFERROR(__xludf.DUMMYFUNCTION("""COMPUTED_VALUE"""),"Michael Wilson")</f>
        <v>Michael Wilson</v>
      </c>
      <c r="E3556" s="4" t="str">
        <f>IFERROR(__xludf.DUMMYFUNCTION("""COMPUTED_VALUE"""),"Marquette")</f>
        <v>Marquette</v>
      </c>
      <c r="F3556" s="4">
        <f>IFERROR(__xludf.DUMMYFUNCTION("""COMPUTED_VALUE"""),3.0)</f>
        <v>3</v>
      </c>
      <c r="G3556" s="4">
        <f>IFERROR(__xludf.DUMMYFUNCTION("""COMPUTED_VALUE"""),32.0)</f>
        <v>32</v>
      </c>
      <c r="H3556" s="4">
        <f>IFERROR(__xludf.DUMMYFUNCTION("""COMPUTED_VALUE"""),338.0)</f>
        <v>338</v>
      </c>
      <c r="I3556" s="4">
        <f>IFERROR(__xludf.DUMMYFUNCTION("""COMPUTED_VALUE"""),108.0)</f>
        <v>108</v>
      </c>
      <c r="J3556" s="4">
        <f>IFERROR(__xludf.DUMMYFUNCTION("""COMPUTED_VALUE"""),36.0)</f>
        <v>36</v>
      </c>
      <c r="K3556" s="4">
        <f>IFERROR(__xludf.DUMMYFUNCTION("""COMPUTED_VALUE"""),45.0)</f>
        <v>45</v>
      </c>
      <c r="L3556" s="4">
        <f>IFERROR(__xludf.DUMMYFUNCTION("""COMPUTED_VALUE"""),0.438)</f>
        <v>0.438</v>
      </c>
      <c r="M3556" s="4">
        <f>IFERROR(__xludf.DUMMYFUNCTION("""COMPUTED_VALUE"""),0.0)</f>
        <v>0</v>
      </c>
      <c r="N3556" s="4">
        <f>IFERROR(__xludf.DUMMYFUNCTION("""COMPUTED_VALUE"""),0.75)</f>
        <v>0.75</v>
      </c>
      <c r="O3556" s="4">
        <f>IFERROR(__xludf.DUMMYFUNCTION("""COMPUTED_VALUE"""),10.6)</f>
        <v>10.6</v>
      </c>
      <c r="P3556" s="4">
        <f>IFERROR(__xludf.DUMMYFUNCTION("""COMPUTED_VALUE"""),3.4)</f>
        <v>3.4</v>
      </c>
      <c r="Q3556" s="4">
        <f>IFERROR(__xludf.DUMMYFUNCTION("""COMPUTED_VALUE"""),1.1)</f>
        <v>1.1</v>
      </c>
      <c r="R3556" s="4">
        <f>IFERROR(__xludf.DUMMYFUNCTION("""COMPUTED_VALUE"""),1.4)</f>
        <v>1.4</v>
      </c>
      <c r="S3556" s="4">
        <f>IFERROR(__xludf.DUMMYFUNCTION("""COMPUTED_VALUE"""),0.3)</f>
        <v>0.3</v>
      </c>
      <c r="T3556" s="4">
        <f>IFERROR(__xludf.DUMMYFUNCTION("""COMPUTED_VALUE"""),0.038)</f>
        <v>0.038</v>
      </c>
      <c r="U3556" s="4">
        <f>IFERROR(__xludf.DUMMYFUNCTION("""COMPUTED_VALUE"""),-0.8)</f>
        <v>-0.8</v>
      </c>
      <c r="V3556" s="4">
        <f>IFERROR(__xludf.DUMMYFUNCTION("""COMPUTED_VALUE"""),0.1)</f>
        <v>0.1</v>
      </c>
    </row>
    <row r="3557">
      <c r="A3557" s="4">
        <f>IFERROR(__xludf.DUMMYFUNCTION("""COMPUTED_VALUE"""),48.0)</f>
        <v>48</v>
      </c>
      <c r="B3557" s="4">
        <f>IFERROR(__xludf.DUMMYFUNCTION("""COMPUTED_VALUE"""),48.0)</f>
        <v>48</v>
      </c>
      <c r="C3557" s="4" t="str">
        <f>IFERROR(__xludf.DUMMYFUNCTION("""COMPUTED_VALUE"""),"SDC")</f>
        <v>SDC</v>
      </c>
      <c r="D3557" s="4" t="str">
        <f>IFERROR(__xludf.DUMMYFUNCTION("""COMPUTED_VALUE"""),"Craig Hodges")</f>
        <v>Craig Hodges</v>
      </c>
      <c r="E3557" s="4" t="str">
        <f>IFERROR(__xludf.DUMMYFUNCTION("""COMPUTED_VALUE"""),"Cal State Long Beach")</f>
        <v>Cal State Long Beach</v>
      </c>
      <c r="F3557" s="4">
        <f>IFERROR(__xludf.DUMMYFUNCTION("""COMPUTED_VALUE"""),10.0)</f>
        <v>10</v>
      </c>
      <c r="G3557" s="4">
        <f>IFERROR(__xludf.DUMMYFUNCTION("""COMPUTED_VALUE"""),695.0)</f>
        <v>695</v>
      </c>
      <c r="H3557" s="4">
        <f>IFERROR(__xludf.DUMMYFUNCTION("""COMPUTED_VALUE"""),15077.0)</f>
        <v>15077</v>
      </c>
      <c r="I3557" s="4">
        <f>IFERROR(__xludf.DUMMYFUNCTION("""COMPUTED_VALUE"""),5940.0)</f>
        <v>5940</v>
      </c>
      <c r="J3557" s="4">
        <f>IFERROR(__xludf.DUMMYFUNCTION("""COMPUTED_VALUE"""),937.0)</f>
        <v>937</v>
      </c>
      <c r="K3557" s="4">
        <f>IFERROR(__xludf.DUMMYFUNCTION("""COMPUTED_VALUE"""),1769.0)</f>
        <v>1769</v>
      </c>
      <c r="L3557" s="4">
        <f>IFERROR(__xludf.DUMMYFUNCTION("""COMPUTED_VALUE"""),0.461)</f>
        <v>0.461</v>
      </c>
      <c r="M3557" s="4">
        <f>IFERROR(__xludf.DUMMYFUNCTION("""COMPUTED_VALUE"""),0.4)</f>
        <v>0.4</v>
      </c>
      <c r="N3557" s="4">
        <f>IFERROR(__xludf.DUMMYFUNCTION("""COMPUTED_VALUE"""),0.828)</f>
        <v>0.828</v>
      </c>
      <c r="O3557" s="4">
        <f>IFERROR(__xludf.DUMMYFUNCTION("""COMPUTED_VALUE"""),21.7)</f>
        <v>21.7</v>
      </c>
      <c r="P3557" s="4">
        <f>IFERROR(__xludf.DUMMYFUNCTION("""COMPUTED_VALUE"""),8.5)</f>
        <v>8.5</v>
      </c>
      <c r="Q3557" s="4">
        <f>IFERROR(__xludf.DUMMYFUNCTION("""COMPUTED_VALUE"""),1.3)</f>
        <v>1.3</v>
      </c>
      <c r="R3557" s="4">
        <f>IFERROR(__xludf.DUMMYFUNCTION("""COMPUTED_VALUE"""),2.5)</f>
        <v>2.5</v>
      </c>
      <c r="S3557" s="4">
        <f>IFERROR(__xludf.DUMMYFUNCTION("""COMPUTED_VALUE"""),27.2)</f>
        <v>27.2</v>
      </c>
      <c r="T3557" s="4">
        <f>IFERROR(__xludf.DUMMYFUNCTION("""COMPUTED_VALUE"""),0.087)</f>
        <v>0.087</v>
      </c>
      <c r="U3557" s="4">
        <f>IFERROR(__xludf.DUMMYFUNCTION("""COMPUTED_VALUE"""),-0.9)</f>
        <v>-0.9</v>
      </c>
      <c r="V3557" s="4">
        <f>IFERROR(__xludf.DUMMYFUNCTION("""COMPUTED_VALUE"""),4.0)</f>
        <v>4</v>
      </c>
    </row>
    <row r="3558">
      <c r="A3558" s="4">
        <f>IFERROR(__xludf.DUMMYFUNCTION("""COMPUTED_VALUE"""),49.0)</f>
        <v>49</v>
      </c>
      <c r="B3558" s="4">
        <f>IFERROR(__xludf.DUMMYFUNCTION("""COMPUTED_VALUE"""),49.0)</f>
        <v>49</v>
      </c>
      <c r="C3558" s="4" t="str">
        <f>IFERROR(__xludf.DUMMYFUNCTION("""COMPUTED_VALUE"""),"UTA")</f>
        <v>UTA</v>
      </c>
      <c r="D3558" s="4" t="str">
        <f>IFERROR(__xludf.DUMMYFUNCTION("""COMPUTED_VALUE"""),"Steve Trumbo")</f>
        <v>Steve Trumbo</v>
      </c>
      <c r="E3558" s="4" t="str">
        <f>IFERROR(__xludf.DUMMYFUNCTION("""COMPUTED_VALUE"""),"BYU")</f>
        <v>BYU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</row>
    <row r="3559">
      <c r="A3559" s="4">
        <f>IFERROR(__xludf.DUMMYFUNCTION("""COMPUTED_VALUE"""),50.0)</f>
        <v>50</v>
      </c>
      <c r="B3559" s="4">
        <f>IFERROR(__xludf.DUMMYFUNCTION("""COMPUTED_VALUE"""),50.0)</f>
        <v>50</v>
      </c>
      <c r="C3559" s="4" t="str">
        <f>IFERROR(__xludf.DUMMYFUNCTION("""COMPUTED_VALUE"""),"DAL")</f>
        <v>DAL</v>
      </c>
      <c r="D3559" s="4" t="str">
        <f>IFERROR(__xludf.DUMMYFUNCTION("""COMPUTED_VALUE"""),"Corny Thompson")</f>
        <v>Corny Thompson</v>
      </c>
      <c r="E3559" s="4" t="str">
        <f>IFERROR(__xludf.DUMMYFUNCTION("""COMPUTED_VALUE"""),"UConn")</f>
        <v>UConn</v>
      </c>
      <c r="F3559" s="4">
        <f>IFERROR(__xludf.DUMMYFUNCTION("""COMPUTED_VALUE"""),1.0)</f>
        <v>1</v>
      </c>
      <c r="G3559" s="4">
        <f>IFERROR(__xludf.DUMMYFUNCTION("""COMPUTED_VALUE"""),44.0)</f>
        <v>44</v>
      </c>
      <c r="H3559" s="4">
        <f>IFERROR(__xludf.DUMMYFUNCTION("""COMPUTED_VALUE"""),520.0)</f>
        <v>520</v>
      </c>
      <c r="I3559" s="4">
        <f>IFERROR(__xludf.DUMMYFUNCTION("""COMPUTED_VALUE"""),122.0)</f>
        <v>122</v>
      </c>
      <c r="J3559" s="4">
        <f>IFERROR(__xludf.DUMMYFUNCTION("""COMPUTED_VALUE"""),120.0)</f>
        <v>120</v>
      </c>
      <c r="K3559" s="4">
        <f>IFERROR(__xludf.DUMMYFUNCTION("""COMPUTED_VALUE"""),34.0)</f>
        <v>34</v>
      </c>
      <c r="L3559" s="4">
        <f>IFERROR(__xludf.DUMMYFUNCTION("""COMPUTED_VALUE"""),0.314)</f>
        <v>0.314</v>
      </c>
      <c r="M3559" s="4"/>
      <c r="N3559" s="4">
        <f>IFERROR(__xludf.DUMMYFUNCTION("""COMPUTED_VALUE"""),0.783)</f>
        <v>0.783</v>
      </c>
      <c r="O3559" s="4">
        <f>IFERROR(__xludf.DUMMYFUNCTION("""COMPUTED_VALUE"""),11.8)</f>
        <v>11.8</v>
      </c>
      <c r="P3559" s="4">
        <f>IFERROR(__xludf.DUMMYFUNCTION("""COMPUTED_VALUE"""),2.8)</f>
        <v>2.8</v>
      </c>
      <c r="Q3559" s="4">
        <f>IFERROR(__xludf.DUMMYFUNCTION("""COMPUTED_VALUE"""),2.7)</f>
        <v>2.7</v>
      </c>
      <c r="R3559" s="4">
        <f>IFERROR(__xludf.DUMMYFUNCTION("""COMPUTED_VALUE"""),0.8)</f>
        <v>0.8</v>
      </c>
      <c r="S3559" s="4">
        <f>IFERROR(__xludf.DUMMYFUNCTION("""COMPUTED_VALUE"""),-0.1)</f>
        <v>-0.1</v>
      </c>
      <c r="T3559" s="4">
        <f>IFERROR(__xludf.DUMMYFUNCTION("""COMPUTED_VALUE"""),-0.01)</f>
        <v>-0.01</v>
      </c>
      <c r="U3559" s="4">
        <f>IFERROR(__xludf.DUMMYFUNCTION("""COMPUTED_VALUE"""),-5.9)</f>
        <v>-5.9</v>
      </c>
      <c r="V3559" s="4">
        <f>IFERROR(__xludf.DUMMYFUNCTION("""COMPUTED_VALUE"""),-0.5)</f>
        <v>-0.5</v>
      </c>
    </row>
    <row r="3560">
      <c r="A3560" s="4">
        <f>IFERROR(__xludf.DUMMYFUNCTION("""COMPUTED_VALUE"""),51.0)</f>
        <v>51</v>
      </c>
      <c r="B3560" s="4">
        <f>IFERROR(__xludf.DUMMYFUNCTION("""COMPUTED_VALUE"""),51.0)</f>
        <v>51</v>
      </c>
      <c r="C3560" s="4" t="str">
        <f>IFERROR(__xludf.DUMMYFUNCTION("""COMPUTED_VALUE"""),"KCK")</f>
        <v>KCK</v>
      </c>
      <c r="D3560" s="4" t="str">
        <f>IFERROR(__xludf.DUMMYFUNCTION("""COMPUTED_VALUE"""),"Jim Johnstone")</f>
        <v>Jim Johnstone</v>
      </c>
      <c r="E3560" s="4" t="str">
        <f>IFERROR(__xludf.DUMMYFUNCTION("""COMPUTED_VALUE"""),"Wake Forest")</f>
        <v>Wake Forest</v>
      </c>
      <c r="F3560" s="4">
        <f>IFERROR(__xludf.DUMMYFUNCTION("""COMPUTED_VALUE"""),1.0)</f>
        <v>1</v>
      </c>
      <c r="G3560" s="4">
        <f>IFERROR(__xludf.DUMMYFUNCTION("""COMPUTED_VALUE"""),23.0)</f>
        <v>23</v>
      </c>
      <c r="H3560" s="4">
        <f>IFERROR(__xludf.DUMMYFUNCTION("""COMPUTED_VALUE"""),191.0)</f>
        <v>191</v>
      </c>
      <c r="I3560" s="4">
        <f>IFERROR(__xludf.DUMMYFUNCTION("""COMPUTED_VALUE"""),31.0)</f>
        <v>31</v>
      </c>
      <c r="J3560" s="4">
        <f>IFERROR(__xludf.DUMMYFUNCTION("""COMPUTED_VALUE"""),46.0)</f>
        <v>46</v>
      </c>
      <c r="K3560" s="4">
        <f>IFERROR(__xludf.DUMMYFUNCTION("""COMPUTED_VALUE"""),11.0)</f>
        <v>11</v>
      </c>
      <c r="L3560" s="4">
        <f>IFERROR(__xludf.DUMMYFUNCTION("""COMPUTED_VALUE"""),0.367)</f>
        <v>0.367</v>
      </c>
      <c r="M3560" s="4"/>
      <c r="N3560" s="4">
        <f>IFERROR(__xludf.DUMMYFUNCTION("""COMPUTED_VALUE"""),0.45)</f>
        <v>0.45</v>
      </c>
      <c r="O3560" s="4">
        <f>IFERROR(__xludf.DUMMYFUNCTION("""COMPUTED_VALUE"""),8.3)</f>
        <v>8.3</v>
      </c>
      <c r="P3560" s="4">
        <f>IFERROR(__xludf.DUMMYFUNCTION("""COMPUTED_VALUE"""),1.3)</f>
        <v>1.3</v>
      </c>
      <c r="Q3560" s="4">
        <f>IFERROR(__xludf.DUMMYFUNCTION("""COMPUTED_VALUE"""),2.0)</f>
        <v>2</v>
      </c>
      <c r="R3560" s="4">
        <f>IFERROR(__xludf.DUMMYFUNCTION("""COMPUTED_VALUE"""),0.5)</f>
        <v>0.5</v>
      </c>
      <c r="S3560" s="4">
        <f>IFERROR(__xludf.DUMMYFUNCTION("""COMPUTED_VALUE"""),-0.1)</f>
        <v>-0.1</v>
      </c>
      <c r="T3560" s="4">
        <f>IFERROR(__xludf.DUMMYFUNCTION("""COMPUTED_VALUE"""),-0.02)</f>
        <v>-0.02</v>
      </c>
      <c r="U3560" s="4">
        <f>IFERROR(__xludf.DUMMYFUNCTION("""COMPUTED_VALUE"""),-4.4)</f>
        <v>-4.4</v>
      </c>
      <c r="V3560" s="4">
        <f>IFERROR(__xludf.DUMMYFUNCTION("""COMPUTED_VALUE"""),-0.2)</f>
        <v>-0.2</v>
      </c>
    </row>
    <row r="3561">
      <c r="A3561" s="4">
        <f>IFERROR(__xludf.DUMMYFUNCTION("""COMPUTED_VALUE"""),52.0)</f>
        <v>52</v>
      </c>
      <c r="B3561" s="4">
        <f>IFERROR(__xludf.DUMMYFUNCTION("""COMPUTED_VALUE"""),52.0)</f>
        <v>52</v>
      </c>
      <c r="C3561" s="4" t="str">
        <f>IFERROR(__xludf.DUMMYFUNCTION("""COMPUTED_VALUE"""),"NYK")</f>
        <v>NYK</v>
      </c>
      <c r="D3561" s="4" t="str">
        <f>IFERROR(__xludf.DUMMYFUNCTION("""COMPUTED_VALUE"""),"Dan Caldwell")</f>
        <v>Dan Caldwell</v>
      </c>
      <c r="E3561" s="4" t="str">
        <f>IFERROR(__xludf.DUMMYFUNCTION("""COMPUTED_VALUE"""),"Washington")</f>
        <v>Washington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</row>
    <row r="3562">
      <c r="A3562" s="4">
        <f>IFERROR(__xludf.DUMMYFUNCTION("""COMPUTED_VALUE"""),53.0)</f>
        <v>53</v>
      </c>
      <c r="B3562" s="4">
        <f>IFERROR(__xludf.DUMMYFUNCTION("""COMPUTED_VALUE"""),53.0)</f>
        <v>53</v>
      </c>
      <c r="C3562" s="4" t="str">
        <f>IFERROR(__xludf.DUMMYFUNCTION("""COMPUTED_VALUE"""),"CHI")</f>
        <v>CHI</v>
      </c>
      <c r="D3562" s="4" t="str">
        <f>IFERROR(__xludf.DUMMYFUNCTION("""COMPUTED_VALUE"""),"Tyrone Adams")</f>
        <v>Tyrone Adams</v>
      </c>
      <c r="E3562" s="4" t="str">
        <f>IFERROR(__xludf.DUMMYFUNCTION("""COMPUTED_VALUE"""),"Kansas State")</f>
        <v>Kansas State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</row>
    <row r="3563">
      <c r="A3563" s="4">
        <f>IFERROR(__xludf.DUMMYFUNCTION("""COMPUTED_VALUE"""),54.0)</f>
        <v>54</v>
      </c>
      <c r="B3563" s="4">
        <f>IFERROR(__xludf.DUMMYFUNCTION("""COMPUTED_VALUE"""),54.0)</f>
        <v>54</v>
      </c>
      <c r="C3563" s="4" t="str">
        <f>IFERROR(__xludf.DUMMYFUNCTION("""COMPUTED_VALUE"""),"LAL")</f>
        <v>LAL</v>
      </c>
      <c r="D3563" s="4" t="str">
        <f>IFERROR(__xludf.DUMMYFUNCTION("""COMPUTED_VALUE"""),"Hutch Jones")</f>
        <v>Hutch Jones</v>
      </c>
      <c r="E3563" s="4" t="str">
        <f>IFERROR(__xludf.DUMMYFUNCTION("""COMPUTED_VALUE"""),"Vanderbilt")</f>
        <v>Vanderbilt</v>
      </c>
      <c r="F3563" s="4">
        <f>IFERROR(__xludf.DUMMYFUNCTION("""COMPUTED_VALUE"""),2.0)</f>
        <v>2</v>
      </c>
      <c r="G3563" s="4">
        <f>IFERROR(__xludf.DUMMYFUNCTION("""COMPUTED_VALUE"""),13.0)</f>
        <v>13</v>
      </c>
      <c r="H3563" s="4">
        <f>IFERROR(__xludf.DUMMYFUNCTION("""COMPUTED_VALUE"""),103.0)</f>
        <v>103</v>
      </c>
      <c r="I3563" s="4">
        <f>IFERROR(__xludf.DUMMYFUNCTION("""COMPUTED_VALUE"""),41.0)</f>
        <v>41</v>
      </c>
      <c r="J3563" s="4">
        <f>IFERROR(__xludf.DUMMYFUNCTION("""COMPUTED_VALUE"""),17.0)</f>
        <v>17</v>
      </c>
      <c r="K3563" s="4">
        <f>IFERROR(__xludf.DUMMYFUNCTION("""COMPUTED_VALUE"""),4.0)</f>
        <v>4</v>
      </c>
      <c r="L3563" s="4">
        <f>IFERROR(__xludf.DUMMYFUNCTION("""COMPUTED_VALUE"""),0.425)</f>
        <v>0.425</v>
      </c>
      <c r="M3563" s="4"/>
      <c r="N3563" s="4">
        <f>IFERROR(__xludf.DUMMYFUNCTION("""COMPUTED_VALUE"""),0.7)</f>
        <v>0.7</v>
      </c>
      <c r="O3563" s="4">
        <f>IFERROR(__xludf.DUMMYFUNCTION("""COMPUTED_VALUE"""),7.9)</f>
        <v>7.9</v>
      </c>
      <c r="P3563" s="4">
        <f>IFERROR(__xludf.DUMMYFUNCTION("""COMPUTED_VALUE"""),3.2)</f>
        <v>3.2</v>
      </c>
      <c r="Q3563" s="4">
        <f>IFERROR(__xludf.DUMMYFUNCTION("""COMPUTED_VALUE"""),1.3)</f>
        <v>1.3</v>
      </c>
      <c r="R3563" s="4">
        <f>IFERROR(__xludf.DUMMYFUNCTION("""COMPUTED_VALUE"""),0.3)</f>
        <v>0.3</v>
      </c>
      <c r="S3563" s="4">
        <f>IFERROR(__xludf.DUMMYFUNCTION("""COMPUTED_VALUE"""),0.0)</f>
        <v>0</v>
      </c>
      <c r="T3563" s="4">
        <f>IFERROR(__xludf.DUMMYFUNCTION("""COMPUTED_VALUE"""),-0.003)</f>
        <v>-0.003</v>
      </c>
      <c r="U3563" s="4">
        <f>IFERROR(__xludf.DUMMYFUNCTION("""COMPUTED_VALUE"""),-4.0)</f>
        <v>-4</v>
      </c>
      <c r="V3563" s="4">
        <f>IFERROR(__xludf.DUMMYFUNCTION("""COMPUTED_VALUE"""),-0.1)</f>
        <v>-0.1</v>
      </c>
    </row>
    <row r="3564">
      <c r="A3564" s="4">
        <f>IFERROR(__xludf.DUMMYFUNCTION("""COMPUTED_VALUE"""),55.0)</f>
        <v>55</v>
      </c>
      <c r="B3564" s="4">
        <f>IFERROR(__xludf.DUMMYFUNCTION("""COMPUTED_VALUE"""),55.0)</f>
        <v>55</v>
      </c>
      <c r="C3564" s="4" t="str">
        <f>IFERROR(__xludf.DUMMYFUNCTION("""COMPUTED_VALUE"""),"UTA")</f>
        <v>UTA</v>
      </c>
      <c r="D3564" s="4" t="str">
        <f>IFERROR(__xludf.DUMMYFUNCTION("""COMPUTED_VALUE"""),"Jerry Eaves")</f>
        <v>Jerry Eaves</v>
      </c>
      <c r="E3564" s="4" t="str">
        <f>IFERROR(__xludf.DUMMYFUNCTION("""COMPUTED_VALUE"""),"Louisville")</f>
        <v>Louisville</v>
      </c>
      <c r="F3564" s="4">
        <f>IFERROR(__xludf.DUMMYFUNCTION("""COMPUTED_VALUE"""),4.0)</f>
        <v>4</v>
      </c>
      <c r="G3564" s="4">
        <f>IFERROR(__xludf.DUMMYFUNCTION("""COMPUTED_VALUE"""),168.0)</f>
        <v>168</v>
      </c>
      <c r="H3564" s="4">
        <f>IFERROR(__xludf.DUMMYFUNCTION("""COMPUTED_VALUE"""),2685.0)</f>
        <v>2685</v>
      </c>
      <c r="I3564" s="4">
        <f>IFERROR(__xludf.DUMMYFUNCTION("""COMPUTED_VALUE"""),1132.0)</f>
        <v>1132</v>
      </c>
      <c r="J3564" s="4">
        <f>IFERROR(__xludf.DUMMYFUNCTION("""COMPUTED_VALUE"""),208.0)</f>
        <v>208</v>
      </c>
      <c r="K3564" s="4">
        <f>IFERROR(__xludf.DUMMYFUNCTION("""COMPUTED_VALUE"""),414.0)</f>
        <v>414</v>
      </c>
      <c r="L3564" s="4">
        <f>IFERROR(__xludf.DUMMYFUNCTION("""COMPUTED_VALUE"""),0.472)</f>
        <v>0.472</v>
      </c>
      <c r="M3564" s="4">
        <f>IFERROR(__xludf.DUMMYFUNCTION("""COMPUTED_VALUE"""),0.071)</f>
        <v>0.071</v>
      </c>
      <c r="N3564" s="4">
        <f>IFERROR(__xludf.DUMMYFUNCTION("""COMPUTED_VALUE"""),0.773)</f>
        <v>0.773</v>
      </c>
      <c r="O3564" s="4">
        <f>IFERROR(__xludf.DUMMYFUNCTION("""COMPUTED_VALUE"""),16.0)</f>
        <v>16</v>
      </c>
      <c r="P3564" s="4">
        <f>IFERROR(__xludf.DUMMYFUNCTION("""COMPUTED_VALUE"""),6.7)</f>
        <v>6.7</v>
      </c>
      <c r="Q3564" s="4">
        <f>IFERROR(__xludf.DUMMYFUNCTION("""COMPUTED_VALUE"""),1.2)</f>
        <v>1.2</v>
      </c>
      <c r="R3564" s="4">
        <f>IFERROR(__xludf.DUMMYFUNCTION("""COMPUTED_VALUE"""),2.5)</f>
        <v>2.5</v>
      </c>
      <c r="S3564" s="4">
        <f>IFERROR(__xludf.DUMMYFUNCTION("""COMPUTED_VALUE"""),2.6)</f>
        <v>2.6</v>
      </c>
      <c r="T3564" s="4">
        <f>IFERROR(__xludf.DUMMYFUNCTION("""COMPUTED_VALUE"""),0.046)</f>
        <v>0.046</v>
      </c>
      <c r="U3564" s="4">
        <f>IFERROR(__xludf.DUMMYFUNCTION("""COMPUTED_VALUE"""),-3.2)</f>
        <v>-3.2</v>
      </c>
      <c r="V3564" s="4">
        <f>IFERROR(__xludf.DUMMYFUNCTION("""COMPUTED_VALUE"""),-0.8)</f>
        <v>-0.8</v>
      </c>
    </row>
    <row r="3565">
      <c r="A3565" s="4">
        <f>IFERROR(__xludf.DUMMYFUNCTION("""COMPUTED_VALUE"""),56.0)</f>
        <v>56</v>
      </c>
      <c r="B3565" s="4">
        <f>IFERROR(__xludf.DUMMYFUNCTION("""COMPUTED_VALUE"""),56.0)</f>
        <v>56</v>
      </c>
      <c r="C3565" s="4" t="str">
        <f>IFERROR(__xludf.DUMMYFUNCTION("""COMPUTED_VALUE"""),"ATL")</f>
        <v>ATL</v>
      </c>
      <c r="D3565" s="4" t="str">
        <f>IFERROR(__xludf.DUMMYFUNCTION("""COMPUTED_VALUE"""),"Joe Kopicki")</f>
        <v>Joe Kopicki</v>
      </c>
      <c r="E3565" s="4" t="str">
        <f>IFERROR(__xludf.DUMMYFUNCTION("""COMPUTED_VALUE"""),"Detroit Mercy")</f>
        <v>Detroit Mercy</v>
      </c>
      <c r="F3565" s="4">
        <f>IFERROR(__xludf.DUMMYFUNCTION("""COMPUTED_VALUE"""),3.0)</f>
        <v>3</v>
      </c>
      <c r="G3565" s="4">
        <f>IFERROR(__xludf.DUMMYFUNCTION("""COMPUTED_VALUE"""),118.0)</f>
        <v>118</v>
      </c>
      <c r="H3565" s="4">
        <f>IFERROR(__xludf.DUMMYFUNCTION("""COMPUTED_VALUE"""),1187.0)</f>
        <v>1187</v>
      </c>
      <c r="I3565" s="4">
        <f>IFERROR(__xludf.DUMMYFUNCTION("""COMPUTED_VALUE"""),432.0)</f>
        <v>432</v>
      </c>
      <c r="J3565" s="4">
        <f>IFERROR(__xludf.DUMMYFUNCTION("""COMPUTED_VALUE"""),314.0)</f>
        <v>314</v>
      </c>
      <c r="K3565" s="4">
        <f>IFERROR(__xludf.DUMMYFUNCTION("""COMPUTED_VALUE"""),84.0)</f>
        <v>84</v>
      </c>
      <c r="L3565" s="4">
        <f>IFERROR(__xludf.DUMMYFUNCTION("""COMPUTED_VALUE"""),0.493)</f>
        <v>0.493</v>
      </c>
      <c r="M3565" s="4">
        <f>IFERROR(__xludf.DUMMYFUNCTION("""COMPUTED_VALUE"""),0.273)</f>
        <v>0.273</v>
      </c>
      <c r="N3565" s="4">
        <f>IFERROR(__xludf.DUMMYFUNCTION("""COMPUTED_VALUE"""),0.812)</f>
        <v>0.812</v>
      </c>
      <c r="O3565" s="4">
        <f>IFERROR(__xludf.DUMMYFUNCTION("""COMPUTED_VALUE"""),10.1)</f>
        <v>10.1</v>
      </c>
      <c r="P3565" s="4">
        <f>IFERROR(__xludf.DUMMYFUNCTION("""COMPUTED_VALUE"""),3.7)</f>
        <v>3.7</v>
      </c>
      <c r="Q3565" s="4">
        <f>IFERROR(__xludf.DUMMYFUNCTION("""COMPUTED_VALUE"""),2.7)</f>
        <v>2.7</v>
      </c>
      <c r="R3565" s="4">
        <f>IFERROR(__xludf.DUMMYFUNCTION("""COMPUTED_VALUE"""),0.7)</f>
        <v>0.7</v>
      </c>
      <c r="S3565" s="4">
        <f>IFERROR(__xludf.DUMMYFUNCTION("""COMPUTED_VALUE"""),3.5)</f>
        <v>3.5</v>
      </c>
      <c r="T3565" s="4">
        <f>IFERROR(__xludf.DUMMYFUNCTION("""COMPUTED_VALUE"""),0.142)</f>
        <v>0.142</v>
      </c>
      <c r="U3565" s="4">
        <f>IFERROR(__xludf.DUMMYFUNCTION("""COMPUTED_VALUE"""),-0.4)</f>
        <v>-0.4</v>
      </c>
      <c r="V3565" s="4">
        <f>IFERROR(__xludf.DUMMYFUNCTION("""COMPUTED_VALUE"""),0.5)</f>
        <v>0.5</v>
      </c>
    </row>
    <row r="3566">
      <c r="A3566" s="4">
        <f>IFERROR(__xludf.DUMMYFUNCTION("""COMPUTED_VALUE"""),57.0)</f>
        <v>57</v>
      </c>
      <c r="B3566" s="4">
        <f>IFERROR(__xludf.DUMMYFUNCTION("""COMPUTED_VALUE"""),57.0)</f>
        <v>57</v>
      </c>
      <c r="C3566" s="4" t="str">
        <f>IFERROR(__xludf.DUMMYFUNCTION("""COMPUTED_VALUE"""),"NYK")</f>
        <v>NYK</v>
      </c>
      <c r="D3566" s="4" t="str">
        <f>IFERROR(__xludf.DUMMYFUNCTION("""COMPUTED_VALUE"""),"Craig Tucker")</f>
        <v>Craig Tucker</v>
      </c>
      <c r="E3566" s="4" t="str">
        <f>IFERROR(__xludf.DUMMYFUNCTION("""COMPUTED_VALUE"""),"Illinois")</f>
        <v>Illinois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</row>
    <row r="3567">
      <c r="A3567" s="4">
        <f>IFERROR(__xludf.DUMMYFUNCTION("""COMPUTED_VALUE"""),58.0)</f>
        <v>58</v>
      </c>
      <c r="B3567" s="4">
        <f>IFERROR(__xludf.DUMMYFUNCTION("""COMPUTED_VALUE"""),58.0)</f>
        <v>58</v>
      </c>
      <c r="C3567" s="4" t="str">
        <f>IFERROR(__xludf.DUMMYFUNCTION("""COMPUTED_VALUE"""),"WSB")</f>
        <v>WSB</v>
      </c>
      <c r="D3567" s="4" t="str">
        <f>IFERROR(__xludf.DUMMYFUNCTION("""COMPUTED_VALUE"""),"Mike Largey")</f>
        <v>Mike Largey</v>
      </c>
      <c r="E3567" s="4" t="str">
        <f>IFERROR(__xludf.DUMMYFUNCTION("""COMPUTED_VALUE"""),"Upsala College")</f>
        <v>Upsala College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</row>
    <row r="3568">
      <c r="A3568" s="4">
        <f>IFERROR(__xludf.DUMMYFUNCTION("""COMPUTED_VALUE"""),59.0)</f>
        <v>59</v>
      </c>
      <c r="B3568" s="4">
        <f>IFERROR(__xludf.DUMMYFUNCTION("""COMPUTED_VALUE"""),59.0)</f>
        <v>59</v>
      </c>
      <c r="C3568" s="4" t="str">
        <f>IFERROR(__xludf.DUMMYFUNCTION("""COMPUTED_VALUE"""),"NJN")</f>
        <v>NJN</v>
      </c>
      <c r="D3568" s="4" t="str">
        <f>IFERROR(__xludf.DUMMYFUNCTION("""COMPUTED_VALUE"""),"Jimmy Black")</f>
        <v>Jimmy Black</v>
      </c>
      <c r="E3568" s="4" t="str">
        <f>IFERROR(__xludf.DUMMYFUNCTION("""COMPUTED_VALUE"""),"UNC")</f>
        <v>UNC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</row>
    <row r="3569">
      <c r="A3569" s="4">
        <f>IFERROR(__xludf.DUMMYFUNCTION("""COMPUTED_VALUE"""),60.0)</f>
        <v>60</v>
      </c>
      <c r="B3569" s="4">
        <f>IFERROR(__xludf.DUMMYFUNCTION("""COMPUTED_VALUE"""),60.0)</f>
        <v>60</v>
      </c>
      <c r="C3569" s="4" t="str">
        <f>IFERROR(__xludf.DUMMYFUNCTION("""COMPUTED_VALUE"""),"GSW")</f>
        <v>GSW</v>
      </c>
      <c r="D3569" s="4" t="str">
        <f>IFERROR(__xludf.DUMMYFUNCTION("""COMPUTED_VALUE"""),"Chris Engler")</f>
        <v>Chris Engler</v>
      </c>
      <c r="E3569" s="4" t="str">
        <f>IFERROR(__xludf.DUMMYFUNCTION("""COMPUTED_VALUE"""),"Wyoming")</f>
        <v>Wyoming</v>
      </c>
      <c r="F3569" s="4">
        <f>IFERROR(__xludf.DUMMYFUNCTION("""COMPUTED_VALUE"""),5.0)</f>
        <v>5</v>
      </c>
      <c r="G3569" s="4">
        <f>IFERROR(__xludf.DUMMYFUNCTION("""COMPUTED_VALUE"""),195.0)</f>
        <v>195</v>
      </c>
      <c r="H3569" s="4">
        <f>IFERROR(__xludf.DUMMYFUNCTION("""COMPUTED_VALUE"""),1405.0)</f>
        <v>1405</v>
      </c>
      <c r="I3569" s="4">
        <f>IFERROR(__xludf.DUMMYFUNCTION("""COMPUTED_VALUE"""),343.0)</f>
        <v>343</v>
      </c>
      <c r="J3569" s="4">
        <f>IFERROR(__xludf.DUMMYFUNCTION("""COMPUTED_VALUE"""),386.0)</f>
        <v>386</v>
      </c>
      <c r="K3569" s="4">
        <f>IFERROR(__xludf.DUMMYFUNCTION("""COMPUTED_VALUE"""),45.0)</f>
        <v>45</v>
      </c>
      <c r="L3569" s="4">
        <f>IFERROR(__xludf.DUMMYFUNCTION("""COMPUTED_VALUE"""),0.411)</f>
        <v>0.411</v>
      </c>
      <c r="M3569" s="4"/>
      <c r="N3569" s="4">
        <f>IFERROR(__xludf.DUMMYFUNCTION("""COMPUTED_VALUE"""),0.677)</f>
        <v>0.677</v>
      </c>
      <c r="O3569" s="4">
        <f>IFERROR(__xludf.DUMMYFUNCTION("""COMPUTED_VALUE"""),7.2)</f>
        <v>7.2</v>
      </c>
      <c r="P3569" s="4">
        <f>IFERROR(__xludf.DUMMYFUNCTION("""COMPUTED_VALUE"""),1.8)</f>
        <v>1.8</v>
      </c>
      <c r="Q3569" s="4">
        <f>IFERROR(__xludf.DUMMYFUNCTION("""COMPUTED_VALUE"""),2.0)</f>
        <v>2</v>
      </c>
      <c r="R3569" s="4">
        <f>IFERROR(__xludf.DUMMYFUNCTION("""COMPUTED_VALUE"""),0.2)</f>
        <v>0.2</v>
      </c>
      <c r="S3569" s="4">
        <f>IFERROR(__xludf.DUMMYFUNCTION("""COMPUTED_VALUE"""),0.6)</f>
        <v>0.6</v>
      </c>
      <c r="T3569" s="4">
        <f>IFERROR(__xludf.DUMMYFUNCTION("""COMPUTED_VALUE"""),0.02)</f>
        <v>0.02</v>
      </c>
      <c r="U3569" s="4">
        <f>IFERROR(__xludf.DUMMYFUNCTION("""COMPUTED_VALUE"""),-5.7)</f>
        <v>-5.7</v>
      </c>
      <c r="V3569" s="4">
        <f>IFERROR(__xludf.DUMMYFUNCTION("""COMPUTED_VALUE"""),-1.4)</f>
        <v>-1.4</v>
      </c>
    </row>
    <row r="3570">
      <c r="A3570" s="4">
        <f>IFERROR(__xludf.DUMMYFUNCTION("""COMPUTED_VALUE"""),61.0)</f>
        <v>61</v>
      </c>
      <c r="B3570" s="4">
        <f>IFERROR(__xludf.DUMMYFUNCTION("""COMPUTED_VALUE"""),61.0)</f>
        <v>61</v>
      </c>
      <c r="C3570" s="4" t="str">
        <f>IFERROR(__xludf.DUMMYFUNCTION("""COMPUTED_VALUE"""),"PHO")</f>
        <v>PHO</v>
      </c>
      <c r="D3570" s="4" t="str">
        <f>IFERROR(__xludf.DUMMYFUNCTION("""COMPUTED_VALUE"""),"Charles Pittman")</f>
        <v>Charles Pittman</v>
      </c>
      <c r="E3570" s="4" t="str">
        <f>IFERROR(__xludf.DUMMYFUNCTION("""COMPUTED_VALUE"""),"Maryland")</f>
        <v>Maryland</v>
      </c>
      <c r="F3570" s="4">
        <f>IFERROR(__xludf.DUMMYFUNCTION("""COMPUTED_VALUE"""),4.0)</f>
        <v>4</v>
      </c>
      <c r="G3570" s="4">
        <f>IFERROR(__xludf.DUMMYFUNCTION("""COMPUTED_VALUE"""),234.0)</f>
        <v>234</v>
      </c>
      <c r="H3570" s="4">
        <f>IFERROR(__xludf.DUMMYFUNCTION("""COMPUTED_VALUE"""),3292.0)</f>
        <v>3292</v>
      </c>
      <c r="I3570" s="4">
        <f>IFERROR(__xludf.DUMMYFUNCTION("""COMPUTED_VALUE"""),1060.0)</f>
        <v>1060</v>
      </c>
      <c r="J3570" s="4">
        <f>IFERROR(__xludf.DUMMYFUNCTION("""COMPUTED_VALUE"""),718.0)</f>
        <v>718</v>
      </c>
      <c r="K3570" s="4">
        <f>IFERROR(__xludf.DUMMYFUNCTION("""COMPUTED_VALUE"""),204.0)</f>
        <v>204</v>
      </c>
      <c r="L3570" s="4">
        <f>IFERROR(__xludf.DUMMYFUNCTION("""COMPUTED_VALUE"""),0.546)</f>
        <v>0.546</v>
      </c>
      <c r="M3570" s="4">
        <f>IFERROR(__xludf.DUMMYFUNCTION("""COMPUTED_VALUE"""),0.0)</f>
        <v>0</v>
      </c>
      <c r="N3570" s="4">
        <f>IFERROR(__xludf.DUMMYFUNCTION("""COMPUTED_VALUE"""),0.711)</f>
        <v>0.711</v>
      </c>
      <c r="O3570" s="4">
        <f>IFERROR(__xludf.DUMMYFUNCTION("""COMPUTED_VALUE"""),14.1)</f>
        <v>14.1</v>
      </c>
      <c r="P3570" s="4">
        <f>IFERROR(__xludf.DUMMYFUNCTION("""COMPUTED_VALUE"""),4.5)</f>
        <v>4.5</v>
      </c>
      <c r="Q3570" s="4">
        <f>IFERROR(__xludf.DUMMYFUNCTION("""COMPUTED_VALUE"""),3.1)</f>
        <v>3.1</v>
      </c>
      <c r="R3570" s="4">
        <f>IFERROR(__xludf.DUMMYFUNCTION("""COMPUTED_VALUE"""),0.9)</f>
        <v>0.9</v>
      </c>
      <c r="S3570" s="4">
        <f>IFERROR(__xludf.DUMMYFUNCTION("""COMPUTED_VALUE"""),4.2)</f>
        <v>4.2</v>
      </c>
      <c r="T3570" s="4">
        <f>IFERROR(__xludf.DUMMYFUNCTION("""COMPUTED_VALUE"""),0.062)</f>
        <v>0.062</v>
      </c>
      <c r="U3570" s="4">
        <f>IFERROR(__xludf.DUMMYFUNCTION("""COMPUTED_VALUE"""),-2.8)</f>
        <v>-2.8</v>
      </c>
      <c r="V3570" s="4">
        <f>IFERROR(__xludf.DUMMYFUNCTION("""COMPUTED_VALUE"""),-0.7)</f>
        <v>-0.7</v>
      </c>
    </row>
    <row r="3571">
      <c r="A3571" s="4">
        <f>IFERROR(__xludf.DUMMYFUNCTION("""COMPUTED_VALUE"""),62.0)</f>
        <v>62</v>
      </c>
      <c r="B3571" s="4">
        <f>IFERROR(__xludf.DUMMYFUNCTION("""COMPUTED_VALUE"""),62.0)</f>
        <v>62</v>
      </c>
      <c r="C3571" s="4" t="str">
        <f>IFERROR(__xludf.DUMMYFUNCTION("""COMPUTED_VALUE"""),"DEN")</f>
        <v>DEN</v>
      </c>
      <c r="D3571" s="4" t="str">
        <f>IFERROR(__xludf.DUMMYFUNCTION("""COMPUTED_VALUE"""),"Roylin Bond")</f>
        <v>Roylin Bond</v>
      </c>
      <c r="E3571" s="4" t="str">
        <f>IFERROR(__xludf.DUMMYFUNCTION("""COMPUTED_VALUE"""),"Pepperdine")</f>
        <v>Pepperdine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</row>
    <row r="3572">
      <c r="A3572" s="4">
        <f>IFERROR(__xludf.DUMMYFUNCTION("""COMPUTED_VALUE"""),63.0)</f>
        <v>63</v>
      </c>
      <c r="B3572" s="4">
        <f>IFERROR(__xludf.DUMMYFUNCTION("""COMPUTED_VALUE"""),63.0)</f>
        <v>63</v>
      </c>
      <c r="C3572" s="4" t="str">
        <f>IFERROR(__xludf.DUMMYFUNCTION("""COMPUTED_VALUE"""),"HOU")</f>
        <v>HOU</v>
      </c>
      <c r="D3572" s="4" t="str">
        <f>IFERROR(__xludf.DUMMYFUNCTION("""COMPUTED_VALUE"""),"Chuck Nevitt")</f>
        <v>Chuck Nevitt</v>
      </c>
      <c r="E3572" s="4" t="str">
        <f>IFERROR(__xludf.DUMMYFUNCTION("""COMPUTED_VALUE"""),"NC State")</f>
        <v>NC State</v>
      </c>
      <c r="F3572" s="4">
        <f>IFERROR(__xludf.DUMMYFUNCTION("""COMPUTED_VALUE"""),9.0)</f>
        <v>9</v>
      </c>
      <c r="G3572" s="4">
        <f>IFERROR(__xludf.DUMMYFUNCTION("""COMPUTED_VALUE"""),155.0)</f>
        <v>155</v>
      </c>
      <c r="H3572" s="4">
        <f>IFERROR(__xludf.DUMMYFUNCTION("""COMPUTED_VALUE"""),826.0)</f>
        <v>826</v>
      </c>
      <c r="I3572" s="4">
        <f>IFERROR(__xludf.DUMMYFUNCTION("""COMPUTED_VALUE"""),251.0)</f>
        <v>251</v>
      </c>
      <c r="J3572" s="4">
        <f>IFERROR(__xludf.DUMMYFUNCTION("""COMPUTED_VALUE"""),239.0)</f>
        <v>239</v>
      </c>
      <c r="K3572" s="4">
        <f>IFERROR(__xludf.DUMMYFUNCTION("""COMPUTED_VALUE"""),19.0)</f>
        <v>19</v>
      </c>
      <c r="L3572" s="4">
        <f>IFERROR(__xludf.DUMMYFUNCTION("""COMPUTED_VALUE"""),0.438)</f>
        <v>0.438</v>
      </c>
      <c r="M3572" s="4"/>
      <c r="N3572" s="4">
        <f>IFERROR(__xludf.DUMMYFUNCTION("""COMPUTED_VALUE"""),0.589)</f>
        <v>0.589</v>
      </c>
      <c r="O3572" s="4">
        <f>IFERROR(__xludf.DUMMYFUNCTION("""COMPUTED_VALUE"""),5.3)</f>
        <v>5.3</v>
      </c>
      <c r="P3572" s="4">
        <f>IFERROR(__xludf.DUMMYFUNCTION("""COMPUTED_VALUE"""),1.6)</f>
        <v>1.6</v>
      </c>
      <c r="Q3572" s="4">
        <f>IFERROR(__xludf.DUMMYFUNCTION("""COMPUTED_VALUE"""),1.5)</f>
        <v>1.5</v>
      </c>
      <c r="R3572" s="4">
        <f>IFERROR(__xludf.DUMMYFUNCTION("""COMPUTED_VALUE"""),0.1)</f>
        <v>0.1</v>
      </c>
      <c r="S3572" s="4">
        <f>IFERROR(__xludf.DUMMYFUNCTION("""COMPUTED_VALUE"""),0.5)</f>
        <v>0.5</v>
      </c>
      <c r="T3572" s="4">
        <f>IFERROR(__xludf.DUMMYFUNCTION("""COMPUTED_VALUE"""),0.031)</f>
        <v>0.031</v>
      </c>
      <c r="U3572" s="4">
        <f>IFERROR(__xludf.DUMMYFUNCTION("""COMPUTED_VALUE"""),-4.8)</f>
        <v>-4.8</v>
      </c>
      <c r="V3572" s="4">
        <f>IFERROR(__xludf.DUMMYFUNCTION("""COMPUTED_VALUE"""),-0.6)</f>
        <v>-0.6</v>
      </c>
    </row>
    <row r="3573">
      <c r="A3573" s="4">
        <f>IFERROR(__xludf.DUMMYFUNCTION("""COMPUTED_VALUE"""),64.0)</f>
        <v>64</v>
      </c>
      <c r="B3573" s="4">
        <f>IFERROR(__xludf.DUMMYFUNCTION("""COMPUTED_VALUE"""),64.0)</f>
        <v>64</v>
      </c>
      <c r="C3573" s="4" t="str">
        <f>IFERROR(__xludf.DUMMYFUNCTION("""COMPUTED_VALUE"""),"SAS")</f>
        <v>SAS</v>
      </c>
      <c r="D3573" s="4" t="str">
        <f>IFERROR(__xludf.DUMMYFUNCTION("""COMPUTED_VALUE"""),"Willie Redden")</f>
        <v>Willie Redden</v>
      </c>
      <c r="E3573" s="4" t="str">
        <f>IFERROR(__xludf.DUMMYFUNCTION("""COMPUTED_VALUE"""),"South Florida")</f>
        <v>South Florida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</row>
    <row r="3574">
      <c r="A3574" s="4">
        <f>IFERROR(__xludf.DUMMYFUNCTION("""COMPUTED_VALUE"""),65.0)</f>
        <v>65</v>
      </c>
      <c r="B3574" s="4">
        <f>IFERROR(__xludf.DUMMYFUNCTION("""COMPUTED_VALUE"""),65.0)</f>
        <v>65</v>
      </c>
      <c r="C3574" s="4" t="str">
        <f>IFERROR(__xludf.DUMMYFUNCTION("""COMPUTED_VALUE"""),"SEA")</f>
        <v>SEA</v>
      </c>
      <c r="D3574" s="4" t="str">
        <f>IFERROR(__xludf.DUMMYFUNCTION("""COMPUTED_VALUE"""),"John Greig")</f>
        <v>John Greig</v>
      </c>
      <c r="E3574" s="4" t="str">
        <f>IFERROR(__xludf.DUMMYFUNCTION("""COMPUTED_VALUE"""),"Oregon")</f>
        <v>Oregon</v>
      </c>
      <c r="F3574" s="4">
        <f>IFERROR(__xludf.DUMMYFUNCTION("""COMPUTED_VALUE"""),1.0)</f>
        <v>1</v>
      </c>
      <c r="G3574" s="4">
        <f>IFERROR(__xludf.DUMMYFUNCTION("""COMPUTED_VALUE"""),9.0)</f>
        <v>9</v>
      </c>
      <c r="H3574" s="4">
        <f>IFERROR(__xludf.DUMMYFUNCTION("""COMPUTED_VALUE"""),26.0)</f>
        <v>26</v>
      </c>
      <c r="I3574" s="4">
        <f>IFERROR(__xludf.DUMMYFUNCTION("""COMPUTED_VALUE"""),19.0)</f>
        <v>19</v>
      </c>
      <c r="J3574" s="4">
        <f>IFERROR(__xludf.DUMMYFUNCTION("""COMPUTED_VALUE"""),6.0)</f>
        <v>6</v>
      </c>
      <c r="K3574" s="4">
        <f>IFERROR(__xludf.DUMMYFUNCTION("""COMPUTED_VALUE"""),0.0)</f>
        <v>0</v>
      </c>
      <c r="L3574" s="4">
        <f>IFERROR(__xludf.DUMMYFUNCTION("""COMPUTED_VALUE"""),0.538)</f>
        <v>0.538</v>
      </c>
      <c r="M3574" s="4"/>
      <c r="N3574" s="4">
        <f>IFERROR(__xludf.DUMMYFUNCTION("""COMPUTED_VALUE"""),0.833)</f>
        <v>0.833</v>
      </c>
      <c r="O3574" s="4">
        <f>IFERROR(__xludf.DUMMYFUNCTION("""COMPUTED_VALUE"""),2.9)</f>
        <v>2.9</v>
      </c>
      <c r="P3574" s="4">
        <f>IFERROR(__xludf.DUMMYFUNCTION("""COMPUTED_VALUE"""),2.1)</f>
        <v>2.1</v>
      </c>
      <c r="Q3574" s="4">
        <f>IFERROR(__xludf.DUMMYFUNCTION("""COMPUTED_VALUE"""),0.7)</f>
        <v>0.7</v>
      </c>
      <c r="R3574" s="4">
        <f>IFERROR(__xludf.DUMMYFUNCTION("""COMPUTED_VALUE"""),0.0)</f>
        <v>0</v>
      </c>
      <c r="S3574" s="4">
        <f>IFERROR(__xludf.DUMMYFUNCTION("""COMPUTED_VALUE"""),0.1)</f>
        <v>0.1</v>
      </c>
      <c r="T3574" s="4">
        <f>IFERROR(__xludf.DUMMYFUNCTION("""COMPUTED_VALUE"""),0.182)</f>
        <v>0.182</v>
      </c>
      <c r="U3574" s="4">
        <f>IFERROR(__xludf.DUMMYFUNCTION("""COMPUTED_VALUE"""),-3.8)</f>
        <v>-3.8</v>
      </c>
      <c r="V3574" s="4">
        <f>IFERROR(__xludf.DUMMYFUNCTION("""COMPUTED_VALUE"""),0.0)</f>
        <v>0</v>
      </c>
    </row>
    <row r="3575">
      <c r="A3575" s="4">
        <f>IFERROR(__xludf.DUMMYFUNCTION("""COMPUTED_VALUE"""),66.0)</f>
        <v>66</v>
      </c>
      <c r="B3575" s="4">
        <f>IFERROR(__xludf.DUMMYFUNCTION("""COMPUTED_VALUE"""),66.0)</f>
        <v>66</v>
      </c>
      <c r="C3575" s="4" t="str">
        <f>IFERROR(__xludf.DUMMYFUNCTION("""COMPUTED_VALUE"""),"POR")</f>
        <v>POR</v>
      </c>
      <c r="D3575" s="4" t="str">
        <f>IFERROR(__xludf.DUMMYFUNCTION("""COMPUTED_VALUE"""),"Phillip Lockett")</f>
        <v>Phillip Lockett</v>
      </c>
      <c r="E3575" s="4" t="str">
        <f>IFERROR(__xludf.DUMMYFUNCTION("""COMPUTED_VALUE"""),"Alabama")</f>
        <v>Alabama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</row>
    <row r="3576">
      <c r="A3576" s="4">
        <f>IFERROR(__xludf.DUMMYFUNCTION("""COMPUTED_VALUE"""),67.0)</f>
        <v>67</v>
      </c>
      <c r="B3576" s="4">
        <f>IFERROR(__xludf.DUMMYFUNCTION("""COMPUTED_VALUE"""),67.0)</f>
        <v>67</v>
      </c>
      <c r="C3576" s="4" t="str">
        <f>IFERROR(__xludf.DUMMYFUNCTION("""COMPUTED_VALUE"""),"LAL")</f>
        <v>LAL</v>
      </c>
      <c r="D3576" s="4" t="str">
        <f>IFERROR(__xludf.DUMMYFUNCTION("""COMPUTED_VALUE"""),"Mike Hackett")</f>
        <v>Mike Hackett</v>
      </c>
      <c r="E3576" s="4" t="str">
        <f>IFERROR(__xludf.DUMMYFUNCTION("""COMPUTED_VALUE"""),"Jacksonville University")</f>
        <v>Jacksonville University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</row>
    <row r="3577">
      <c r="A3577" s="4">
        <f>IFERROR(__xludf.DUMMYFUNCTION("""COMPUTED_VALUE"""),68.0)</f>
        <v>68</v>
      </c>
      <c r="B3577" s="4">
        <f>IFERROR(__xludf.DUMMYFUNCTION("""COMPUTED_VALUE"""),68.0)</f>
        <v>68</v>
      </c>
      <c r="C3577" s="4" t="str">
        <f>IFERROR(__xludf.DUMMYFUNCTION("""COMPUTED_VALUE"""),"PHI")</f>
        <v>PHI</v>
      </c>
      <c r="D3577" s="4" t="str">
        <f>IFERROR(__xludf.DUMMYFUNCTION("""COMPUTED_VALUE"""),"Dale Solomon")</f>
        <v>Dale Solomon</v>
      </c>
      <c r="E3577" s="4" t="str">
        <f>IFERROR(__xludf.DUMMYFUNCTION("""COMPUTED_VALUE"""),"Virginia Tech")</f>
        <v>Virginia Tech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</row>
    <row r="3578">
      <c r="A3578" s="4">
        <f>IFERROR(__xludf.DUMMYFUNCTION("""COMPUTED_VALUE"""),69.0)</f>
        <v>69</v>
      </c>
      <c r="B3578" s="4">
        <f>IFERROR(__xludf.DUMMYFUNCTION("""COMPUTED_VALUE"""),69.0)</f>
        <v>69</v>
      </c>
      <c r="C3578" s="4" t="str">
        <f>IFERROR(__xludf.DUMMYFUNCTION("""COMPUTED_VALUE"""),"BOS")</f>
        <v>BOS</v>
      </c>
      <c r="D3578" s="4" t="str">
        <f>IFERROR(__xludf.DUMMYFUNCTION("""COMPUTED_VALUE"""),"Perry Moss")</f>
        <v>Perry Moss</v>
      </c>
      <c r="E3578" s="4" t="str">
        <f>IFERROR(__xludf.DUMMYFUNCTION("""COMPUTED_VALUE"""),"Northeastern University")</f>
        <v>Northeastern University</v>
      </c>
      <c r="F3578" s="4">
        <f>IFERROR(__xludf.DUMMYFUNCTION("""COMPUTED_VALUE"""),2.0)</f>
        <v>2</v>
      </c>
      <c r="G3578" s="4">
        <f>IFERROR(__xludf.DUMMYFUNCTION("""COMPUTED_VALUE"""),136.0)</f>
        <v>136</v>
      </c>
      <c r="H3578" s="4">
        <f>IFERROR(__xludf.DUMMYFUNCTION("""COMPUTED_VALUE"""),1710.0)</f>
        <v>1710</v>
      </c>
      <c r="I3578" s="4">
        <f>IFERROR(__xludf.DUMMYFUNCTION("""COMPUTED_VALUE"""),536.0)</f>
        <v>536</v>
      </c>
      <c r="J3578" s="4">
        <f>IFERROR(__xludf.DUMMYFUNCTION("""COMPUTED_VALUE"""),210.0)</f>
        <v>210</v>
      </c>
      <c r="K3578" s="4">
        <f>IFERROR(__xludf.DUMMYFUNCTION("""COMPUTED_VALUE"""),198.0)</f>
        <v>198</v>
      </c>
      <c r="L3578" s="4">
        <f>IFERROR(__xludf.DUMMYFUNCTION("""COMPUTED_VALUE"""),0.415)</f>
        <v>0.415</v>
      </c>
      <c r="M3578" s="4">
        <f>IFERROR(__xludf.DUMMYFUNCTION("""COMPUTED_VALUE"""),0.174)</f>
        <v>0.174</v>
      </c>
      <c r="N3578" s="4">
        <f>IFERROR(__xludf.DUMMYFUNCTION("""COMPUTED_VALUE"""),0.722)</f>
        <v>0.722</v>
      </c>
      <c r="O3578" s="4">
        <f>IFERROR(__xludf.DUMMYFUNCTION("""COMPUTED_VALUE"""),12.6)</f>
        <v>12.6</v>
      </c>
      <c r="P3578" s="4">
        <f>IFERROR(__xludf.DUMMYFUNCTION("""COMPUTED_VALUE"""),3.9)</f>
        <v>3.9</v>
      </c>
      <c r="Q3578" s="4">
        <f>IFERROR(__xludf.DUMMYFUNCTION("""COMPUTED_VALUE"""),1.5)</f>
        <v>1.5</v>
      </c>
      <c r="R3578" s="4">
        <f>IFERROR(__xludf.DUMMYFUNCTION("""COMPUTED_VALUE"""),1.5)</f>
        <v>1.5</v>
      </c>
      <c r="S3578" s="4">
        <f>IFERROR(__xludf.DUMMYFUNCTION("""COMPUTED_VALUE"""),0.9)</f>
        <v>0.9</v>
      </c>
      <c r="T3578" s="4">
        <f>IFERROR(__xludf.DUMMYFUNCTION("""COMPUTED_VALUE"""),0.025)</f>
        <v>0.025</v>
      </c>
      <c r="U3578" s="4">
        <f>IFERROR(__xludf.DUMMYFUNCTION("""COMPUTED_VALUE"""),-2.6)</f>
        <v>-2.6</v>
      </c>
      <c r="V3578" s="4">
        <f>IFERROR(__xludf.DUMMYFUNCTION("""COMPUTED_VALUE"""),-0.3)</f>
        <v>-0.3</v>
      </c>
    </row>
    <row r="3579">
      <c r="A3579" s="4"/>
      <c r="B3579" s="4"/>
      <c r="C3579" s="4"/>
      <c r="D3579" s="4" t="str">
        <f>IFERROR(__xludf.DUMMYFUNCTION("""COMPUTED_VALUE"""),"Round 4")</f>
        <v>Round 4</v>
      </c>
      <c r="E3579" s="4"/>
      <c r="F3579" s="4"/>
      <c r="G3579" s="4" t="str">
        <f>IFERROR(__xludf.DUMMYFUNCTION("""COMPUTED_VALUE"""),"Totals")</f>
        <v>Totals</v>
      </c>
      <c r="H3579" s="4"/>
      <c r="I3579" s="4"/>
      <c r="J3579" s="4"/>
      <c r="K3579" s="4"/>
      <c r="L3579" s="4" t="str">
        <f>IFERROR(__xludf.DUMMYFUNCTION("""COMPUTED_VALUE"""),"Shooting")</f>
        <v>Shooting</v>
      </c>
      <c r="M3579" s="4"/>
      <c r="N3579" s="4"/>
      <c r="O3579" s="4" t="str">
        <f>IFERROR(__xludf.DUMMYFUNCTION("""COMPUTED_VALUE"""),"Per Game")</f>
        <v>Per Game</v>
      </c>
      <c r="P3579" s="4"/>
      <c r="Q3579" s="4"/>
      <c r="R3579" s="4"/>
      <c r="S3579" s="4" t="str">
        <f>IFERROR(__xludf.DUMMYFUNCTION("""COMPUTED_VALUE"""),"Advanced")</f>
        <v>Advanced</v>
      </c>
      <c r="T3579" s="4"/>
      <c r="U3579" s="4"/>
      <c r="V3579" s="4"/>
    </row>
    <row r="3580">
      <c r="A3580" s="4" t="str">
        <f>IFERROR(__xludf.DUMMYFUNCTION("""COMPUTED_VALUE"""),"Rk")</f>
        <v>Rk</v>
      </c>
      <c r="B3580" s="4" t="str">
        <f>IFERROR(__xludf.DUMMYFUNCTION("""COMPUTED_VALUE"""),"Pk")</f>
        <v>Pk</v>
      </c>
      <c r="C3580" s="4" t="str">
        <f>IFERROR(__xludf.DUMMYFUNCTION("""COMPUTED_VALUE"""),"Tm")</f>
        <v>Tm</v>
      </c>
      <c r="D3580" s="4" t="str">
        <f>IFERROR(__xludf.DUMMYFUNCTION("""COMPUTED_VALUE"""),"Player")</f>
        <v>Player</v>
      </c>
      <c r="E3580" s="4" t="str">
        <f>IFERROR(__xludf.DUMMYFUNCTION("""COMPUTED_VALUE"""),"College")</f>
        <v>College</v>
      </c>
      <c r="F3580" s="4" t="str">
        <f>IFERROR(__xludf.DUMMYFUNCTION("""COMPUTED_VALUE"""),"Yrs")</f>
        <v>Yrs</v>
      </c>
      <c r="G3580" s="4" t="str">
        <f>IFERROR(__xludf.DUMMYFUNCTION("""COMPUTED_VALUE"""),"G")</f>
        <v>G</v>
      </c>
      <c r="H3580" s="4" t="str">
        <f>IFERROR(__xludf.DUMMYFUNCTION("""COMPUTED_VALUE"""),"MP")</f>
        <v>MP</v>
      </c>
      <c r="I3580" s="4" t="str">
        <f>IFERROR(__xludf.DUMMYFUNCTION("""COMPUTED_VALUE"""),"PTS")</f>
        <v>PTS</v>
      </c>
      <c r="J3580" s="4" t="str">
        <f>IFERROR(__xludf.DUMMYFUNCTION("""COMPUTED_VALUE"""),"TRB")</f>
        <v>TRB</v>
      </c>
      <c r="K3580" s="4" t="str">
        <f>IFERROR(__xludf.DUMMYFUNCTION("""COMPUTED_VALUE"""),"AST")</f>
        <v>AST</v>
      </c>
      <c r="L3580" s="4" t="str">
        <f>IFERROR(__xludf.DUMMYFUNCTION("""COMPUTED_VALUE"""),"FG%")</f>
        <v>FG%</v>
      </c>
      <c r="M3580" s="4" t="str">
        <f>IFERROR(__xludf.DUMMYFUNCTION("""COMPUTED_VALUE"""),"3P%")</f>
        <v>3P%</v>
      </c>
      <c r="N3580" s="4" t="str">
        <f>IFERROR(__xludf.DUMMYFUNCTION("""COMPUTED_VALUE"""),"FT%")</f>
        <v>FT%</v>
      </c>
      <c r="O3580" s="4" t="str">
        <f>IFERROR(__xludf.DUMMYFUNCTION("""COMPUTED_VALUE"""),"MP")</f>
        <v>MP</v>
      </c>
      <c r="P3580" s="4" t="str">
        <f>IFERROR(__xludf.DUMMYFUNCTION("""COMPUTED_VALUE"""),"PTS")</f>
        <v>PTS</v>
      </c>
      <c r="Q3580" s="4" t="str">
        <f>IFERROR(__xludf.DUMMYFUNCTION("""COMPUTED_VALUE"""),"TRB")</f>
        <v>TRB</v>
      </c>
      <c r="R3580" s="4" t="str">
        <f>IFERROR(__xludf.DUMMYFUNCTION("""COMPUTED_VALUE"""),"AST")</f>
        <v>AST</v>
      </c>
      <c r="S3580" s="4" t="str">
        <f>IFERROR(__xludf.DUMMYFUNCTION("""COMPUTED_VALUE"""),"WS")</f>
        <v>WS</v>
      </c>
      <c r="T3580" s="4" t="str">
        <f>IFERROR(__xludf.DUMMYFUNCTION("""COMPUTED_VALUE"""),"WS/48")</f>
        <v>WS/48</v>
      </c>
      <c r="U3580" s="4" t="str">
        <f>IFERROR(__xludf.DUMMYFUNCTION("""COMPUTED_VALUE"""),"BPM")</f>
        <v>BPM</v>
      </c>
      <c r="V3580" s="4" t="str">
        <f>IFERROR(__xludf.DUMMYFUNCTION("""COMPUTED_VALUE"""),"VORP")</f>
        <v>VORP</v>
      </c>
    </row>
    <row r="3581">
      <c r="A3581" s="4">
        <f>IFERROR(__xludf.DUMMYFUNCTION("""COMPUTED_VALUE"""),70.0)</f>
        <v>70</v>
      </c>
      <c r="B3581" s="4">
        <f>IFERROR(__xludf.DUMMYFUNCTION("""COMPUTED_VALUE"""),70.0)</f>
        <v>70</v>
      </c>
      <c r="C3581" s="4" t="str">
        <f>IFERROR(__xludf.DUMMYFUNCTION("""COMPUTED_VALUE"""),"CLE")</f>
        <v>CLE</v>
      </c>
      <c r="D3581" s="4" t="str">
        <f>IFERROR(__xludf.DUMMYFUNCTION("""COMPUTED_VALUE"""),"Reggie Hannah")</f>
        <v>Reggie Hannah</v>
      </c>
      <c r="E3581" s="4" t="str">
        <f>IFERROR(__xludf.DUMMYFUNCTION("""COMPUTED_VALUE"""),"University of South Alabama")</f>
        <v>University of South Alabama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</row>
    <row r="3582">
      <c r="A3582" s="4">
        <f>IFERROR(__xludf.DUMMYFUNCTION("""COMPUTED_VALUE"""),71.0)</f>
        <v>71</v>
      </c>
      <c r="B3582" s="4">
        <f>IFERROR(__xludf.DUMMYFUNCTION("""COMPUTED_VALUE"""),71.0)</f>
        <v>71</v>
      </c>
      <c r="C3582" s="4" t="str">
        <f>IFERROR(__xludf.DUMMYFUNCTION("""COMPUTED_VALUE"""),"SDC")</f>
        <v>SDC</v>
      </c>
      <c r="D3582" s="4" t="str">
        <f>IFERROR(__xludf.DUMMYFUNCTION("""COMPUTED_VALUE"""),"Darius Clemons")</f>
        <v>Darius Clemons</v>
      </c>
      <c r="E3582" s="4" t="str">
        <f>IFERROR(__xludf.DUMMYFUNCTION("""COMPUTED_VALUE"""),"Loyola Chicago")</f>
        <v>Loyola Chicago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</row>
    <row r="3583">
      <c r="A3583" s="4">
        <f>IFERROR(__xludf.DUMMYFUNCTION("""COMPUTED_VALUE"""),72.0)</f>
        <v>72</v>
      </c>
      <c r="B3583" s="4">
        <f>IFERROR(__xludf.DUMMYFUNCTION("""COMPUTED_VALUE"""),72.0)</f>
        <v>72</v>
      </c>
      <c r="C3583" s="4" t="str">
        <f>IFERROR(__xludf.DUMMYFUNCTION("""COMPUTED_VALUE"""),"UTA")</f>
        <v>UTA</v>
      </c>
      <c r="D3583" s="4" t="str">
        <f>IFERROR(__xludf.DUMMYFUNCTION("""COMPUTED_VALUE"""),"Mark Eaton")</f>
        <v>Mark Eaton</v>
      </c>
      <c r="E3583" s="4" t="str">
        <f>IFERROR(__xludf.DUMMYFUNCTION("""COMPUTED_VALUE"""),"UCLA")</f>
        <v>UCLA</v>
      </c>
      <c r="F3583" s="4">
        <f>IFERROR(__xludf.DUMMYFUNCTION("""COMPUTED_VALUE"""),11.0)</f>
        <v>11</v>
      </c>
      <c r="G3583" s="4">
        <f>IFERROR(__xludf.DUMMYFUNCTION("""COMPUTED_VALUE"""),875.0)</f>
        <v>875</v>
      </c>
      <c r="H3583" s="4">
        <f>IFERROR(__xludf.DUMMYFUNCTION("""COMPUTED_VALUE"""),25169.0)</f>
        <v>25169</v>
      </c>
      <c r="I3583" s="4">
        <f>IFERROR(__xludf.DUMMYFUNCTION("""COMPUTED_VALUE"""),5216.0)</f>
        <v>5216</v>
      </c>
      <c r="J3583" s="4">
        <f>IFERROR(__xludf.DUMMYFUNCTION("""COMPUTED_VALUE"""),6939.0)</f>
        <v>6939</v>
      </c>
      <c r="K3583" s="4">
        <f>IFERROR(__xludf.DUMMYFUNCTION("""COMPUTED_VALUE"""),840.0)</f>
        <v>840</v>
      </c>
      <c r="L3583" s="4">
        <f>IFERROR(__xludf.DUMMYFUNCTION("""COMPUTED_VALUE"""),0.458)</f>
        <v>0.458</v>
      </c>
      <c r="M3583" s="4">
        <f>IFERROR(__xludf.DUMMYFUNCTION("""COMPUTED_VALUE"""),0.0)</f>
        <v>0</v>
      </c>
      <c r="N3583" s="4">
        <f>IFERROR(__xludf.DUMMYFUNCTION("""COMPUTED_VALUE"""),0.649)</f>
        <v>0.649</v>
      </c>
      <c r="O3583" s="4">
        <f>IFERROR(__xludf.DUMMYFUNCTION("""COMPUTED_VALUE"""),28.8)</f>
        <v>28.8</v>
      </c>
      <c r="P3583" s="4">
        <f>IFERROR(__xludf.DUMMYFUNCTION("""COMPUTED_VALUE"""),6.0)</f>
        <v>6</v>
      </c>
      <c r="Q3583" s="4">
        <f>IFERROR(__xludf.DUMMYFUNCTION("""COMPUTED_VALUE"""),7.9)</f>
        <v>7.9</v>
      </c>
      <c r="R3583" s="4">
        <f>IFERROR(__xludf.DUMMYFUNCTION("""COMPUTED_VALUE"""),1.0)</f>
        <v>1</v>
      </c>
      <c r="S3583" s="4">
        <f>IFERROR(__xludf.DUMMYFUNCTION("""COMPUTED_VALUE"""),44.8)</f>
        <v>44.8</v>
      </c>
      <c r="T3583" s="4">
        <f>IFERROR(__xludf.DUMMYFUNCTION("""COMPUTED_VALUE"""),0.085)</f>
        <v>0.085</v>
      </c>
      <c r="U3583" s="4">
        <f>IFERROR(__xludf.DUMMYFUNCTION("""COMPUTED_VALUE"""),-0.1)</f>
        <v>-0.1</v>
      </c>
      <c r="V3583" s="4">
        <f>IFERROR(__xludf.DUMMYFUNCTION("""COMPUTED_VALUE"""),11.8)</f>
        <v>11.8</v>
      </c>
    </row>
    <row r="3584">
      <c r="A3584" s="4">
        <f>IFERROR(__xludf.DUMMYFUNCTION("""COMPUTED_VALUE"""),73.0)</f>
        <v>73</v>
      </c>
      <c r="B3584" s="4">
        <f>IFERROR(__xludf.DUMMYFUNCTION("""COMPUTED_VALUE"""),73.0)</f>
        <v>73</v>
      </c>
      <c r="C3584" s="4" t="str">
        <f>IFERROR(__xludf.DUMMYFUNCTION("""COMPUTED_VALUE"""),"DAL")</f>
        <v>DAL</v>
      </c>
      <c r="D3584" s="4" t="str">
        <f>IFERROR(__xludf.DUMMYFUNCTION("""COMPUTED_VALUE"""),"Rudy Woods")</f>
        <v>Rudy Woods</v>
      </c>
      <c r="E3584" s="4" t="str">
        <f>IFERROR(__xludf.DUMMYFUNCTION("""COMPUTED_VALUE"""),"Texas A&amp;M")</f>
        <v>Texas A&amp;M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</row>
    <row r="3585">
      <c r="A3585" s="4">
        <f>IFERROR(__xludf.DUMMYFUNCTION("""COMPUTED_VALUE"""),74.0)</f>
        <v>74</v>
      </c>
      <c r="B3585" s="4">
        <f>IFERROR(__xludf.DUMMYFUNCTION("""COMPUTED_VALUE"""),74.0)</f>
        <v>74</v>
      </c>
      <c r="C3585" s="4" t="str">
        <f>IFERROR(__xludf.DUMMYFUNCTION("""COMPUTED_VALUE"""),"KCK")</f>
        <v>KCK</v>
      </c>
      <c r="D3585" s="4" t="str">
        <f>IFERROR(__xludf.DUMMYFUNCTION("""COMPUTED_VALUE"""),"Mike Sanders")</f>
        <v>Mike Sanders</v>
      </c>
      <c r="E3585" s="4" t="str">
        <f>IFERROR(__xludf.DUMMYFUNCTION("""COMPUTED_VALUE"""),"UCLA")</f>
        <v>UCLA</v>
      </c>
      <c r="F3585" s="4">
        <f>IFERROR(__xludf.DUMMYFUNCTION("""COMPUTED_VALUE"""),11.0)</f>
        <v>11</v>
      </c>
      <c r="G3585" s="4">
        <f>IFERROR(__xludf.DUMMYFUNCTION("""COMPUTED_VALUE"""),648.0)</f>
        <v>648</v>
      </c>
      <c r="H3585" s="4">
        <f>IFERROR(__xludf.DUMMYFUNCTION("""COMPUTED_VALUE"""),12391.0)</f>
        <v>12391</v>
      </c>
      <c r="I3585" s="4">
        <f>IFERROR(__xludf.DUMMYFUNCTION("""COMPUTED_VALUE"""),5162.0)</f>
        <v>5162</v>
      </c>
      <c r="J3585" s="4">
        <f>IFERROR(__xludf.DUMMYFUNCTION("""COMPUTED_VALUE"""),1927.0)</f>
        <v>1927</v>
      </c>
      <c r="K3585" s="4">
        <f>IFERROR(__xludf.DUMMYFUNCTION("""COMPUTED_VALUE"""),880.0)</f>
        <v>880</v>
      </c>
      <c r="L3585" s="4">
        <f>IFERROR(__xludf.DUMMYFUNCTION("""COMPUTED_VALUE"""),0.482)</f>
        <v>0.482</v>
      </c>
      <c r="M3585" s="4">
        <f>IFERROR(__xludf.DUMMYFUNCTION("""COMPUTED_VALUE"""),0.221)</f>
        <v>0.221</v>
      </c>
      <c r="N3585" s="4">
        <f>IFERROR(__xludf.DUMMYFUNCTION("""COMPUTED_VALUE"""),0.769)</f>
        <v>0.769</v>
      </c>
      <c r="O3585" s="4">
        <f>IFERROR(__xludf.DUMMYFUNCTION("""COMPUTED_VALUE"""),19.1)</f>
        <v>19.1</v>
      </c>
      <c r="P3585" s="4">
        <f>IFERROR(__xludf.DUMMYFUNCTION("""COMPUTED_VALUE"""),8.0)</f>
        <v>8</v>
      </c>
      <c r="Q3585" s="4">
        <f>IFERROR(__xludf.DUMMYFUNCTION("""COMPUTED_VALUE"""),3.0)</f>
        <v>3</v>
      </c>
      <c r="R3585" s="4">
        <f>IFERROR(__xludf.DUMMYFUNCTION("""COMPUTED_VALUE"""),1.4)</f>
        <v>1.4</v>
      </c>
      <c r="S3585" s="4">
        <f>IFERROR(__xludf.DUMMYFUNCTION("""COMPUTED_VALUE"""),17.9)</f>
        <v>17.9</v>
      </c>
      <c r="T3585" s="4">
        <f>IFERROR(__xludf.DUMMYFUNCTION("""COMPUTED_VALUE"""),0.069)</f>
        <v>0.069</v>
      </c>
      <c r="U3585" s="4">
        <f>IFERROR(__xludf.DUMMYFUNCTION("""COMPUTED_VALUE"""),-2.3)</f>
        <v>-2.3</v>
      </c>
      <c r="V3585" s="4">
        <f>IFERROR(__xludf.DUMMYFUNCTION("""COMPUTED_VALUE"""),-0.9)</f>
        <v>-0.9</v>
      </c>
    </row>
    <row r="3586">
      <c r="A3586" s="4">
        <f>IFERROR(__xludf.DUMMYFUNCTION("""COMPUTED_VALUE"""),75.0)</f>
        <v>75</v>
      </c>
      <c r="B3586" s="4">
        <f>IFERROR(__xludf.DUMMYFUNCTION("""COMPUTED_VALUE"""),75.0)</f>
        <v>75</v>
      </c>
      <c r="C3586" s="4" t="str">
        <f>IFERROR(__xludf.DUMMYFUNCTION("""COMPUTED_VALUE"""),"NYK")</f>
        <v>NYK</v>
      </c>
      <c r="D3586" s="4" t="str">
        <f>IFERROR(__xludf.DUMMYFUNCTION("""COMPUTED_VALUE"""),"Norm Anchrum")</f>
        <v>Norm Anchrum</v>
      </c>
      <c r="E3586" s="4" t="str">
        <f>IFERROR(__xludf.DUMMYFUNCTION("""COMPUTED_VALUE"""),"UAB")</f>
        <v>UAB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</row>
    <row r="3587">
      <c r="A3587" s="4">
        <f>IFERROR(__xludf.DUMMYFUNCTION("""COMPUTED_VALUE"""),76.0)</f>
        <v>76</v>
      </c>
      <c r="B3587" s="4">
        <f>IFERROR(__xludf.DUMMYFUNCTION("""COMPUTED_VALUE"""),76.0)</f>
        <v>76</v>
      </c>
      <c r="C3587" s="4" t="str">
        <f>IFERROR(__xludf.DUMMYFUNCTION("""COMPUTED_VALUE"""),"CHI")</f>
        <v>CHI</v>
      </c>
      <c r="D3587" s="4" t="str">
        <f>IFERROR(__xludf.DUMMYFUNCTION("""COMPUTED_VALUE"""),"Chuck Aleksinas")</f>
        <v>Chuck Aleksinas</v>
      </c>
      <c r="E3587" s="4" t="str">
        <f>IFERROR(__xludf.DUMMYFUNCTION("""COMPUTED_VALUE"""),"UConn")</f>
        <v>UConn</v>
      </c>
      <c r="F3587" s="4">
        <f>IFERROR(__xludf.DUMMYFUNCTION("""COMPUTED_VALUE"""),1.0)</f>
        <v>1</v>
      </c>
      <c r="G3587" s="4">
        <f>IFERROR(__xludf.DUMMYFUNCTION("""COMPUTED_VALUE"""),74.0)</f>
        <v>74</v>
      </c>
      <c r="H3587" s="4">
        <f>IFERROR(__xludf.DUMMYFUNCTION("""COMPUTED_VALUE"""),1114.0)</f>
        <v>1114</v>
      </c>
      <c r="I3587" s="4">
        <f>IFERROR(__xludf.DUMMYFUNCTION("""COMPUTED_VALUE"""),377.0)</f>
        <v>377</v>
      </c>
      <c r="J3587" s="4">
        <f>IFERROR(__xludf.DUMMYFUNCTION("""COMPUTED_VALUE"""),270.0)</f>
        <v>270</v>
      </c>
      <c r="K3587" s="4">
        <f>IFERROR(__xludf.DUMMYFUNCTION("""COMPUTED_VALUE"""),36.0)</f>
        <v>36</v>
      </c>
      <c r="L3587" s="4">
        <f>IFERROR(__xludf.DUMMYFUNCTION("""COMPUTED_VALUE"""),0.478)</f>
        <v>0.478</v>
      </c>
      <c r="M3587" s="4">
        <f>IFERROR(__xludf.DUMMYFUNCTION("""COMPUTED_VALUE"""),0.0)</f>
        <v>0</v>
      </c>
      <c r="N3587" s="4">
        <f>IFERROR(__xludf.DUMMYFUNCTION("""COMPUTED_VALUE"""),0.733)</f>
        <v>0.733</v>
      </c>
      <c r="O3587" s="4">
        <f>IFERROR(__xludf.DUMMYFUNCTION("""COMPUTED_VALUE"""),15.1)</f>
        <v>15.1</v>
      </c>
      <c r="P3587" s="4">
        <f>IFERROR(__xludf.DUMMYFUNCTION("""COMPUTED_VALUE"""),5.1)</f>
        <v>5.1</v>
      </c>
      <c r="Q3587" s="4">
        <f>IFERROR(__xludf.DUMMYFUNCTION("""COMPUTED_VALUE"""),3.6)</f>
        <v>3.6</v>
      </c>
      <c r="R3587" s="4">
        <f>IFERROR(__xludf.DUMMYFUNCTION("""COMPUTED_VALUE"""),0.5)</f>
        <v>0.5</v>
      </c>
      <c r="S3587" s="4">
        <f>IFERROR(__xludf.DUMMYFUNCTION("""COMPUTED_VALUE"""),0.4)</f>
        <v>0.4</v>
      </c>
      <c r="T3587" s="4">
        <f>IFERROR(__xludf.DUMMYFUNCTION("""COMPUTED_VALUE"""),0.019)</f>
        <v>0.019</v>
      </c>
      <c r="U3587" s="4">
        <f>IFERROR(__xludf.DUMMYFUNCTION("""COMPUTED_VALUE"""),-5.6)</f>
        <v>-5.6</v>
      </c>
      <c r="V3587" s="4">
        <f>IFERROR(__xludf.DUMMYFUNCTION("""COMPUTED_VALUE"""),-1.0)</f>
        <v>-1</v>
      </c>
    </row>
    <row r="3588">
      <c r="A3588" s="4">
        <f>IFERROR(__xludf.DUMMYFUNCTION("""COMPUTED_VALUE"""),77.0)</f>
        <v>77</v>
      </c>
      <c r="B3588" s="4">
        <f>IFERROR(__xludf.DUMMYFUNCTION("""COMPUTED_VALUE"""),77.0)</f>
        <v>77</v>
      </c>
      <c r="C3588" s="4" t="str">
        <f>IFERROR(__xludf.DUMMYFUNCTION("""COMPUTED_VALUE"""),"IND")</f>
        <v>IND</v>
      </c>
      <c r="D3588" s="4" t="str">
        <f>IFERROR(__xludf.DUMMYFUNCTION("""COMPUTED_VALUE"""),"Jeff Jones")</f>
        <v>Jeff Jones</v>
      </c>
      <c r="E3588" s="4" t="str">
        <f>IFERROR(__xludf.DUMMYFUNCTION("""COMPUTED_VALUE"""),"Virginia")</f>
        <v>Virginia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</row>
    <row r="3589">
      <c r="A3589" s="4">
        <f>IFERROR(__xludf.DUMMYFUNCTION("""COMPUTED_VALUE"""),78.0)</f>
        <v>78</v>
      </c>
      <c r="B3589" s="4">
        <f>IFERROR(__xludf.DUMMYFUNCTION("""COMPUTED_VALUE"""),78.0)</f>
        <v>78</v>
      </c>
      <c r="C3589" s="4" t="str">
        <f>IFERROR(__xludf.DUMMYFUNCTION("""COMPUTED_VALUE"""),"DET")</f>
        <v>DET</v>
      </c>
      <c r="D3589" s="4" t="str">
        <f>IFERROR(__xludf.DUMMYFUNCTION("""COMPUTED_VALUE"""),"Walker Russell")</f>
        <v>Walker Russell</v>
      </c>
      <c r="E3589" s="4" t="str">
        <f>IFERROR(__xludf.DUMMYFUNCTION("""COMPUTED_VALUE"""),"Western Michigan")</f>
        <v>Western Michigan</v>
      </c>
      <c r="F3589" s="4">
        <f>IFERROR(__xludf.DUMMYFUNCTION("""COMPUTED_VALUE"""),6.0)</f>
        <v>6</v>
      </c>
      <c r="G3589" s="4">
        <f>IFERROR(__xludf.DUMMYFUNCTION("""COMPUTED_VALUE"""),155.0)</f>
        <v>155</v>
      </c>
      <c r="H3589" s="4">
        <f>IFERROR(__xludf.DUMMYFUNCTION("""COMPUTED_VALUE"""),1767.0)</f>
        <v>1767</v>
      </c>
      <c r="I3589" s="4">
        <f>IFERROR(__xludf.DUMMYFUNCTION("""COMPUTED_VALUE"""),464.0)</f>
        <v>464</v>
      </c>
      <c r="J3589" s="4">
        <f>IFERROR(__xludf.DUMMYFUNCTION("""COMPUTED_VALUE"""),187.0)</f>
        <v>187</v>
      </c>
      <c r="K3589" s="4">
        <f>IFERROR(__xludf.DUMMYFUNCTION("""COMPUTED_VALUE"""),350.0)</f>
        <v>350</v>
      </c>
      <c r="L3589" s="4">
        <f>IFERROR(__xludf.DUMMYFUNCTION("""COMPUTED_VALUE"""),0.393)</f>
        <v>0.393</v>
      </c>
      <c r="M3589" s="4">
        <f>IFERROR(__xludf.DUMMYFUNCTION("""COMPUTED_VALUE"""),0.158)</f>
        <v>0.158</v>
      </c>
      <c r="N3589" s="4">
        <f>IFERROR(__xludf.DUMMYFUNCTION("""COMPUTED_VALUE"""),0.8)</f>
        <v>0.8</v>
      </c>
      <c r="O3589" s="4">
        <f>IFERROR(__xludf.DUMMYFUNCTION("""COMPUTED_VALUE"""),11.4)</f>
        <v>11.4</v>
      </c>
      <c r="P3589" s="4">
        <f>IFERROR(__xludf.DUMMYFUNCTION("""COMPUTED_VALUE"""),3.0)</f>
        <v>3</v>
      </c>
      <c r="Q3589" s="4">
        <f>IFERROR(__xludf.DUMMYFUNCTION("""COMPUTED_VALUE"""),1.2)</f>
        <v>1.2</v>
      </c>
      <c r="R3589" s="4">
        <f>IFERROR(__xludf.DUMMYFUNCTION("""COMPUTED_VALUE"""),2.3)</f>
        <v>2.3</v>
      </c>
      <c r="S3589" s="4">
        <f>IFERROR(__xludf.DUMMYFUNCTION("""COMPUTED_VALUE"""),-0.7)</f>
        <v>-0.7</v>
      </c>
      <c r="T3589" s="4">
        <f>IFERROR(__xludf.DUMMYFUNCTION("""COMPUTED_VALUE"""),-0.02)</f>
        <v>-0.02</v>
      </c>
      <c r="U3589" s="4">
        <f>IFERROR(__xludf.DUMMYFUNCTION("""COMPUTED_VALUE"""),-4.3)</f>
        <v>-4.3</v>
      </c>
      <c r="V3589" s="4">
        <f>IFERROR(__xludf.DUMMYFUNCTION("""COMPUTED_VALUE"""),-1.1)</f>
        <v>-1.1</v>
      </c>
    </row>
    <row r="3590">
      <c r="A3590" s="4">
        <f>IFERROR(__xludf.DUMMYFUNCTION("""COMPUTED_VALUE"""),79.0)</f>
        <v>79</v>
      </c>
      <c r="B3590" s="4">
        <f>IFERROR(__xludf.DUMMYFUNCTION("""COMPUTED_VALUE"""),79.0)</f>
        <v>79</v>
      </c>
      <c r="C3590" s="4" t="str">
        <f>IFERROR(__xludf.DUMMYFUNCTION("""COMPUTED_VALUE"""),"POR")</f>
        <v>POR</v>
      </c>
      <c r="D3590" s="4" t="str">
        <f>IFERROR(__xludf.DUMMYFUNCTION("""COMPUTED_VALUE"""),"Eric Smith")</f>
        <v>Eric Smith</v>
      </c>
      <c r="E3590" s="4" t="str">
        <f>IFERROR(__xludf.DUMMYFUNCTION("""COMPUTED_VALUE"""),"Georgetown")</f>
        <v>Georgetown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</row>
    <row r="3591">
      <c r="A3591" s="4">
        <f>IFERROR(__xludf.DUMMYFUNCTION("""COMPUTED_VALUE"""),80.0)</f>
        <v>80</v>
      </c>
      <c r="B3591" s="4">
        <f>IFERROR(__xludf.DUMMYFUNCTION("""COMPUTED_VALUE"""),80.0)</f>
        <v>80</v>
      </c>
      <c r="C3591" s="4" t="str">
        <f>IFERROR(__xludf.DUMMYFUNCTION("""COMPUTED_VALUE"""),"NJN")</f>
        <v>NJN</v>
      </c>
      <c r="D3591" s="4" t="str">
        <f>IFERROR(__xludf.DUMMYFUNCTION("""COMPUTED_VALUE"""),"James Griffin")</f>
        <v>James Griffin</v>
      </c>
      <c r="E3591" s="4" t="str">
        <f>IFERROR(__xludf.DUMMYFUNCTION("""COMPUTED_VALUE"""),"Illinois")</f>
        <v>Illinois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</row>
    <row r="3592">
      <c r="A3592" s="4">
        <f>IFERROR(__xludf.DUMMYFUNCTION("""COMPUTED_VALUE"""),81.0)</f>
        <v>81</v>
      </c>
      <c r="B3592" s="4">
        <f>IFERROR(__xludf.DUMMYFUNCTION("""COMPUTED_VALUE"""),81.0)</f>
        <v>81</v>
      </c>
      <c r="C3592" s="4" t="str">
        <f>IFERROR(__xludf.DUMMYFUNCTION("""COMPUTED_VALUE"""),"WSB")</f>
        <v>WSB</v>
      </c>
      <c r="D3592" s="4" t="str">
        <f>IFERROR(__xludf.DUMMYFUNCTION("""COMPUTED_VALUE"""),"Dino Gregory")</f>
        <v>Dino Gregory</v>
      </c>
      <c r="E3592" s="4" t="str">
        <f>IFERROR(__xludf.DUMMYFUNCTION("""COMPUTED_VALUE"""),"Cal State Long Beach")</f>
        <v>Cal State Long Beach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</row>
    <row r="3593">
      <c r="A3593" s="4">
        <f>IFERROR(__xludf.DUMMYFUNCTION("""COMPUTED_VALUE"""),82.0)</f>
        <v>82</v>
      </c>
      <c r="B3593" s="4">
        <f>IFERROR(__xludf.DUMMYFUNCTION("""COMPUTED_VALUE"""),82.0)</f>
        <v>82</v>
      </c>
      <c r="C3593" s="4" t="str">
        <f>IFERROR(__xludf.DUMMYFUNCTION("""COMPUTED_VALUE"""),"NJN")</f>
        <v>NJN</v>
      </c>
      <c r="D3593" s="4" t="str">
        <f>IFERROR(__xludf.DUMMYFUNCTION("""COMPUTED_VALUE"""),"Tony Brown")</f>
        <v>Tony Brown</v>
      </c>
      <c r="E3593" s="4" t="str">
        <f>IFERROR(__xludf.DUMMYFUNCTION("""COMPUTED_VALUE"""),"Arkansas")</f>
        <v>Arkansas</v>
      </c>
      <c r="F3593" s="4">
        <f>IFERROR(__xludf.DUMMYFUNCTION("""COMPUTED_VALUE"""),7.0)</f>
        <v>7</v>
      </c>
      <c r="G3593" s="4">
        <f>IFERROR(__xludf.DUMMYFUNCTION("""COMPUTED_VALUE"""),360.0)</f>
        <v>360</v>
      </c>
      <c r="H3593" s="4">
        <f>IFERROR(__xludf.DUMMYFUNCTION("""COMPUTED_VALUE"""),6006.0)</f>
        <v>6006</v>
      </c>
      <c r="I3593" s="4">
        <f>IFERROR(__xludf.DUMMYFUNCTION("""COMPUTED_VALUE"""),2163.0)</f>
        <v>2163</v>
      </c>
      <c r="J3593" s="4">
        <f>IFERROR(__xludf.DUMMYFUNCTION("""COMPUTED_VALUE"""),766.0)</f>
        <v>766</v>
      </c>
      <c r="K3593" s="4">
        <f>IFERROR(__xludf.DUMMYFUNCTION("""COMPUTED_VALUE"""),563.0)</f>
        <v>563</v>
      </c>
      <c r="L3593" s="4">
        <f>IFERROR(__xludf.DUMMYFUNCTION("""COMPUTED_VALUE"""),0.437)</f>
        <v>0.437</v>
      </c>
      <c r="M3593" s="4">
        <f>IFERROR(__xludf.DUMMYFUNCTION("""COMPUTED_VALUE"""),0.259)</f>
        <v>0.259</v>
      </c>
      <c r="N3593" s="4">
        <f>IFERROR(__xludf.DUMMYFUNCTION("""COMPUTED_VALUE"""),0.719)</f>
        <v>0.719</v>
      </c>
      <c r="O3593" s="4">
        <f>IFERROR(__xludf.DUMMYFUNCTION("""COMPUTED_VALUE"""),16.7)</f>
        <v>16.7</v>
      </c>
      <c r="P3593" s="4">
        <f>IFERROR(__xludf.DUMMYFUNCTION("""COMPUTED_VALUE"""),6.0)</f>
        <v>6</v>
      </c>
      <c r="Q3593" s="4">
        <f>IFERROR(__xludf.DUMMYFUNCTION("""COMPUTED_VALUE"""),2.1)</f>
        <v>2.1</v>
      </c>
      <c r="R3593" s="4">
        <f>IFERROR(__xludf.DUMMYFUNCTION("""COMPUTED_VALUE"""),1.6)</f>
        <v>1.6</v>
      </c>
      <c r="S3593" s="4">
        <f>IFERROR(__xludf.DUMMYFUNCTION("""COMPUTED_VALUE"""),4.9)</f>
        <v>4.9</v>
      </c>
      <c r="T3593" s="4">
        <f>IFERROR(__xludf.DUMMYFUNCTION("""COMPUTED_VALUE"""),0.039)</f>
        <v>0.039</v>
      </c>
      <c r="U3593" s="4">
        <f>IFERROR(__xludf.DUMMYFUNCTION("""COMPUTED_VALUE"""),-2.8)</f>
        <v>-2.8</v>
      </c>
      <c r="V3593" s="4">
        <f>IFERROR(__xludf.DUMMYFUNCTION("""COMPUTED_VALUE"""),-1.2)</f>
        <v>-1.2</v>
      </c>
    </row>
    <row r="3594">
      <c r="A3594" s="4">
        <f>IFERROR(__xludf.DUMMYFUNCTION("""COMPUTED_VALUE"""),83.0)</f>
        <v>83</v>
      </c>
      <c r="B3594" s="4">
        <f>IFERROR(__xludf.DUMMYFUNCTION("""COMPUTED_VALUE"""),83.0)</f>
        <v>83</v>
      </c>
      <c r="C3594" s="4" t="str">
        <f>IFERROR(__xludf.DUMMYFUNCTION("""COMPUTED_VALUE"""),"GSW")</f>
        <v>GSW</v>
      </c>
      <c r="D3594" s="4" t="str">
        <f>IFERROR(__xludf.DUMMYFUNCTION("""COMPUTED_VALUE"""),"Ken Stancell")</f>
        <v>Ken Stancell</v>
      </c>
      <c r="E3594" s="4" t="str">
        <f>IFERROR(__xludf.DUMMYFUNCTION("""COMPUTED_VALUE"""),"VCU")</f>
        <v>VCU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</row>
    <row r="3595">
      <c r="A3595" s="4">
        <f>IFERROR(__xludf.DUMMYFUNCTION("""COMPUTED_VALUE"""),84.0)</f>
        <v>84</v>
      </c>
      <c r="B3595" s="4">
        <f>IFERROR(__xludf.DUMMYFUNCTION("""COMPUTED_VALUE"""),84.0)</f>
        <v>84</v>
      </c>
      <c r="C3595" s="4" t="str">
        <f>IFERROR(__xludf.DUMMYFUNCTION("""COMPUTED_VALUE"""),"DEN")</f>
        <v>DEN</v>
      </c>
      <c r="D3595" s="4" t="str">
        <f>IFERROR(__xludf.DUMMYFUNCTION("""COMPUTED_VALUE"""),"Alford Turner")</f>
        <v>Alford Turner</v>
      </c>
      <c r="E3595" s="4" t="str">
        <f>IFERROR(__xludf.DUMMYFUNCTION("""COMPUTED_VALUE"""),"Louisiana")</f>
        <v>Louisiana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</row>
    <row r="3596">
      <c r="A3596" s="4">
        <f>IFERROR(__xludf.DUMMYFUNCTION("""COMPUTED_VALUE"""),85.0)</f>
        <v>85</v>
      </c>
      <c r="B3596" s="4">
        <f>IFERROR(__xludf.DUMMYFUNCTION("""COMPUTED_VALUE"""),85.0)</f>
        <v>85</v>
      </c>
      <c r="C3596" s="4" t="str">
        <f>IFERROR(__xludf.DUMMYFUNCTION("""COMPUTED_VALUE"""),"HOU")</f>
        <v>HOU</v>
      </c>
      <c r="D3596" s="4" t="str">
        <f>IFERROR(__xludf.DUMMYFUNCTION("""COMPUTED_VALUE"""),"Andre Gaddy")</f>
        <v>Andre Gaddy</v>
      </c>
      <c r="E3596" s="4" t="str">
        <f>IFERROR(__xludf.DUMMYFUNCTION("""COMPUTED_VALUE"""),"George Mason")</f>
        <v>George Mason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</row>
    <row r="3597">
      <c r="A3597" s="4">
        <f>IFERROR(__xludf.DUMMYFUNCTION("""COMPUTED_VALUE"""),86.0)</f>
        <v>86</v>
      </c>
      <c r="B3597" s="4">
        <f>IFERROR(__xludf.DUMMYFUNCTION("""COMPUTED_VALUE"""),86.0)</f>
        <v>86</v>
      </c>
      <c r="C3597" s="4" t="str">
        <f>IFERROR(__xludf.DUMMYFUNCTION("""COMPUTED_VALUE"""),"PHO")</f>
        <v>PHO</v>
      </c>
      <c r="D3597" s="4" t="str">
        <f>IFERROR(__xludf.DUMMYFUNCTION("""COMPUTED_VALUE"""),"Rory White")</f>
        <v>Rory White</v>
      </c>
      <c r="E3597" s="4" t="str">
        <f>IFERROR(__xludf.DUMMYFUNCTION("""COMPUTED_VALUE"""),"University of South Alabama")</f>
        <v>University of South Alabama</v>
      </c>
      <c r="F3597" s="4">
        <f>IFERROR(__xludf.DUMMYFUNCTION("""COMPUTED_VALUE"""),5.0)</f>
        <v>5</v>
      </c>
      <c r="G3597" s="4">
        <f>IFERROR(__xludf.DUMMYFUNCTION("""COMPUTED_VALUE"""),324.0)</f>
        <v>324</v>
      </c>
      <c r="H3597" s="4">
        <f>IFERROR(__xludf.DUMMYFUNCTION("""COMPUTED_VALUE"""),5410.0)</f>
        <v>5410</v>
      </c>
      <c r="I3597" s="4">
        <f>IFERROR(__xludf.DUMMYFUNCTION("""COMPUTED_VALUE"""),2387.0)</f>
        <v>2387</v>
      </c>
      <c r="J3597" s="4">
        <f>IFERROR(__xludf.DUMMYFUNCTION("""COMPUTED_VALUE"""),749.0)</f>
        <v>749</v>
      </c>
      <c r="K3597" s="4">
        <f>IFERROR(__xludf.DUMMYFUNCTION("""COMPUTED_VALUE"""),232.0)</f>
        <v>232</v>
      </c>
      <c r="L3597" s="4">
        <f>IFERROR(__xludf.DUMMYFUNCTION("""COMPUTED_VALUE"""),0.506)</f>
        <v>0.506</v>
      </c>
      <c r="M3597" s="4">
        <f>IFERROR(__xludf.DUMMYFUNCTION("""COMPUTED_VALUE"""),0.077)</f>
        <v>0.077</v>
      </c>
      <c r="N3597" s="4">
        <f>IFERROR(__xludf.DUMMYFUNCTION("""COMPUTED_VALUE"""),0.681)</f>
        <v>0.681</v>
      </c>
      <c r="O3597" s="4">
        <f>IFERROR(__xludf.DUMMYFUNCTION("""COMPUTED_VALUE"""),16.7)</f>
        <v>16.7</v>
      </c>
      <c r="P3597" s="4">
        <f>IFERROR(__xludf.DUMMYFUNCTION("""COMPUTED_VALUE"""),7.4)</f>
        <v>7.4</v>
      </c>
      <c r="Q3597" s="4">
        <f>IFERROR(__xludf.DUMMYFUNCTION("""COMPUTED_VALUE"""),2.3)</f>
        <v>2.3</v>
      </c>
      <c r="R3597" s="4">
        <f>IFERROR(__xludf.DUMMYFUNCTION("""COMPUTED_VALUE"""),0.7)</f>
        <v>0.7</v>
      </c>
      <c r="S3597" s="4">
        <f>IFERROR(__xludf.DUMMYFUNCTION("""COMPUTED_VALUE"""),6.5)</f>
        <v>6.5</v>
      </c>
      <c r="T3597" s="4">
        <f>IFERROR(__xludf.DUMMYFUNCTION("""COMPUTED_VALUE"""),0.058)</f>
        <v>0.058</v>
      </c>
      <c r="U3597" s="4">
        <f>IFERROR(__xludf.DUMMYFUNCTION("""COMPUTED_VALUE"""),-2.6)</f>
        <v>-2.6</v>
      </c>
      <c r="V3597" s="4">
        <f>IFERROR(__xludf.DUMMYFUNCTION("""COMPUTED_VALUE"""),-0.9)</f>
        <v>-0.9</v>
      </c>
    </row>
    <row r="3598">
      <c r="A3598" s="4">
        <f>IFERROR(__xludf.DUMMYFUNCTION("""COMPUTED_VALUE"""),87.0)</f>
        <v>87</v>
      </c>
      <c r="B3598" s="4">
        <f>IFERROR(__xludf.DUMMYFUNCTION("""COMPUTED_VALUE"""),87.0)</f>
        <v>87</v>
      </c>
      <c r="C3598" s="4" t="str">
        <f>IFERROR(__xludf.DUMMYFUNCTION("""COMPUTED_VALUE"""),"SAS")</f>
        <v>SAS</v>
      </c>
      <c r="D3598" s="4" t="str">
        <f>IFERROR(__xludf.DUMMYFUNCTION("""COMPUTED_VALUE"""),"Tony Grier")</f>
        <v>Tony Grier</v>
      </c>
      <c r="E3598" s="4" t="str">
        <f>IFERROR(__xludf.DUMMYFUNCTION("""COMPUTED_VALUE"""),"South Florida")</f>
        <v>South Florida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</row>
    <row r="3599">
      <c r="A3599" s="4">
        <f>IFERROR(__xludf.DUMMYFUNCTION("""COMPUTED_VALUE"""),88.0)</f>
        <v>88</v>
      </c>
      <c r="B3599" s="4">
        <f>IFERROR(__xludf.DUMMYFUNCTION("""COMPUTED_VALUE"""),88.0)</f>
        <v>88</v>
      </c>
      <c r="C3599" s="4" t="str">
        <f>IFERROR(__xludf.DUMMYFUNCTION("""COMPUTED_VALUE"""),"SEA")</f>
        <v>SEA</v>
      </c>
      <c r="D3599" s="4" t="str">
        <f>IFERROR(__xludf.DUMMYFUNCTION("""COMPUTED_VALUE"""),"Ken Owens")</f>
        <v>Ken Owens</v>
      </c>
      <c r="E3599" s="4" t="str">
        <f>IFERROR(__xludf.DUMMYFUNCTION("""COMPUTED_VALUE"""),"Idaho")</f>
        <v>Idaho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</row>
    <row r="3600">
      <c r="A3600" s="4">
        <f>IFERROR(__xludf.DUMMYFUNCTION("""COMPUTED_VALUE"""),89.0)</f>
        <v>89</v>
      </c>
      <c r="B3600" s="4">
        <f>IFERROR(__xludf.DUMMYFUNCTION("""COMPUTED_VALUE"""),89.0)</f>
        <v>89</v>
      </c>
      <c r="C3600" s="4" t="str">
        <f>IFERROR(__xludf.DUMMYFUNCTION("""COMPUTED_VALUE"""),"MIL")</f>
        <v>MIL</v>
      </c>
      <c r="D3600" s="4" t="str">
        <f>IFERROR(__xludf.DUMMYFUNCTION("""COMPUTED_VALUE"""),"Jerry Beck")</f>
        <v>Jerry Beck</v>
      </c>
      <c r="E3600" s="4" t="str">
        <f>IFERROR(__xludf.DUMMYFUNCTION("""COMPUTED_VALUE"""),"Middle Tennessee")</f>
        <v>Middle Tennessee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</row>
    <row r="3601">
      <c r="A3601" s="4">
        <f>IFERROR(__xludf.DUMMYFUNCTION("""COMPUTED_VALUE"""),90.0)</f>
        <v>90</v>
      </c>
      <c r="B3601" s="4">
        <f>IFERROR(__xludf.DUMMYFUNCTION("""COMPUTED_VALUE"""),90.0)</f>
        <v>90</v>
      </c>
      <c r="C3601" s="4" t="str">
        <f>IFERROR(__xludf.DUMMYFUNCTION("""COMPUTED_VALUE"""),"LAL")</f>
        <v>LAL</v>
      </c>
      <c r="D3601" s="4" t="str">
        <f>IFERROR(__xludf.DUMMYFUNCTION("""COMPUTED_VALUE"""),"Craig McCormick")</f>
        <v>Craig McCormick</v>
      </c>
      <c r="E3601" s="4" t="str">
        <f>IFERROR(__xludf.DUMMYFUNCTION("""COMPUTED_VALUE"""),"Western Kentucky")</f>
        <v>Western Kentucky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</row>
    <row r="3602">
      <c r="A3602" s="4">
        <f>IFERROR(__xludf.DUMMYFUNCTION("""COMPUTED_VALUE"""),91.0)</f>
        <v>91</v>
      </c>
      <c r="B3602" s="4">
        <f>IFERROR(__xludf.DUMMYFUNCTION("""COMPUTED_VALUE"""),91.0)</f>
        <v>91</v>
      </c>
      <c r="C3602" s="4" t="str">
        <f>IFERROR(__xludf.DUMMYFUNCTION("""COMPUTED_VALUE"""),"PHI")</f>
        <v>PHI</v>
      </c>
      <c r="D3602" s="4" t="str">
        <f>IFERROR(__xludf.DUMMYFUNCTION("""COMPUTED_VALUE"""),"Bruce Atkins")</f>
        <v>Bruce Atkins</v>
      </c>
      <c r="E3602" s="4" t="str">
        <f>IFERROR(__xludf.DUMMYFUNCTION("""COMPUTED_VALUE"""),"Duquesne")</f>
        <v>Duquesne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</row>
    <row r="3603">
      <c r="A3603" s="4">
        <f>IFERROR(__xludf.DUMMYFUNCTION("""COMPUTED_VALUE"""),92.0)</f>
        <v>92</v>
      </c>
      <c r="B3603" s="4">
        <f>IFERROR(__xludf.DUMMYFUNCTION("""COMPUTED_VALUE"""),92.0)</f>
        <v>92</v>
      </c>
      <c r="C3603" s="4" t="str">
        <f>IFERROR(__xludf.DUMMYFUNCTION("""COMPUTED_VALUE"""),"BOS")</f>
        <v>BOS</v>
      </c>
      <c r="D3603" s="4" t="str">
        <f>IFERROR(__xludf.DUMMYFUNCTION("""COMPUTED_VALUE"""),"Greg Stewart")</f>
        <v>Greg Stewart</v>
      </c>
      <c r="E3603" s="4" t="str">
        <f>IFERROR(__xludf.DUMMYFUNCTION("""COMPUTED_VALUE"""),"Tulsa")</f>
        <v>Tulsa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</row>
    <row r="3604">
      <c r="A3604" s="4"/>
      <c r="B3604" s="4"/>
      <c r="C3604" s="4"/>
      <c r="D3604" s="4" t="str">
        <f>IFERROR(__xludf.DUMMYFUNCTION("""COMPUTED_VALUE"""),"Round 5")</f>
        <v>Round 5</v>
      </c>
      <c r="E3604" s="4"/>
      <c r="F3604" s="4"/>
      <c r="G3604" s="4" t="str">
        <f>IFERROR(__xludf.DUMMYFUNCTION("""COMPUTED_VALUE"""),"Totals")</f>
        <v>Totals</v>
      </c>
      <c r="H3604" s="4"/>
      <c r="I3604" s="4"/>
      <c r="J3604" s="4"/>
      <c r="K3604" s="4"/>
      <c r="L3604" s="4" t="str">
        <f>IFERROR(__xludf.DUMMYFUNCTION("""COMPUTED_VALUE"""),"Shooting")</f>
        <v>Shooting</v>
      </c>
      <c r="M3604" s="4"/>
      <c r="N3604" s="4"/>
      <c r="O3604" s="4" t="str">
        <f>IFERROR(__xludf.DUMMYFUNCTION("""COMPUTED_VALUE"""),"Per Game")</f>
        <v>Per Game</v>
      </c>
      <c r="P3604" s="4"/>
      <c r="Q3604" s="4"/>
      <c r="R3604" s="4"/>
      <c r="S3604" s="4" t="str">
        <f>IFERROR(__xludf.DUMMYFUNCTION("""COMPUTED_VALUE"""),"Advanced")</f>
        <v>Advanced</v>
      </c>
      <c r="T3604" s="4"/>
      <c r="U3604" s="4"/>
      <c r="V3604" s="4"/>
    </row>
    <row r="3605">
      <c r="A3605" s="4" t="str">
        <f>IFERROR(__xludf.DUMMYFUNCTION("""COMPUTED_VALUE"""),"Rk")</f>
        <v>Rk</v>
      </c>
      <c r="B3605" s="4" t="str">
        <f>IFERROR(__xludf.DUMMYFUNCTION("""COMPUTED_VALUE"""),"Pk")</f>
        <v>Pk</v>
      </c>
      <c r="C3605" s="4" t="str">
        <f>IFERROR(__xludf.DUMMYFUNCTION("""COMPUTED_VALUE"""),"Tm")</f>
        <v>Tm</v>
      </c>
      <c r="D3605" s="4" t="str">
        <f>IFERROR(__xludf.DUMMYFUNCTION("""COMPUTED_VALUE"""),"Player")</f>
        <v>Player</v>
      </c>
      <c r="E3605" s="4" t="str">
        <f>IFERROR(__xludf.DUMMYFUNCTION("""COMPUTED_VALUE"""),"College")</f>
        <v>College</v>
      </c>
      <c r="F3605" s="4" t="str">
        <f>IFERROR(__xludf.DUMMYFUNCTION("""COMPUTED_VALUE"""),"Yrs")</f>
        <v>Yrs</v>
      </c>
      <c r="G3605" s="4" t="str">
        <f>IFERROR(__xludf.DUMMYFUNCTION("""COMPUTED_VALUE"""),"G")</f>
        <v>G</v>
      </c>
      <c r="H3605" s="4" t="str">
        <f>IFERROR(__xludf.DUMMYFUNCTION("""COMPUTED_VALUE"""),"MP")</f>
        <v>MP</v>
      </c>
      <c r="I3605" s="4" t="str">
        <f>IFERROR(__xludf.DUMMYFUNCTION("""COMPUTED_VALUE"""),"PTS")</f>
        <v>PTS</v>
      </c>
      <c r="J3605" s="4" t="str">
        <f>IFERROR(__xludf.DUMMYFUNCTION("""COMPUTED_VALUE"""),"TRB")</f>
        <v>TRB</v>
      </c>
      <c r="K3605" s="4" t="str">
        <f>IFERROR(__xludf.DUMMYFUNCTION("""COMPUTED_VALUE"""),"AST")</f>
        <v>AST</v>
      </c>
      <c r="L3605" s="4" t="str">
        <f>IFERROR(__xludf.DUMMYFUNCTION("""COMPUTED_VALUE"""),"FG%")</f>
        <v>FG%</v>
      </c>
      <c r="M3605" s="4" t="str">
        <f>IFERROR(__xludf.DUMMYFUNCTION("""COMPUTED_VALUE"""),"3P%")</f>
        <v>3P%</v>
      </c>
      <c r="N3605" s="4" t="str">
        <f>IFERROR(__xludf.DUMMYFUNCTION("""COMPUTED_VALUE"""),"FT%")</f>
        <v>FT%</v>
      </c>
      <c r="O3605" s="4" t="str">
        <f>IFERROR(__xludf.DUMMYFUNCTION("""COMPUTED_VALUE"""),"MP")</f>
        <v>MP</v>
      </c>
      <c r="P3605" s="4" t="str">
        <f>IFERROR(__xludf.DUMMYFUNCTION("""COMPUTED_VALUE"""),"PTS")</f>
        <v>PTS</v>
      </c>
      <c r="Q3605" s="4" t="str">
        <f>IFERROR(__xludf.DUMMYFUNCTION("""COMPUTED_VALUE"""),"TRB")</f>
        <v>TRB</v>
      </c>
      <c r="R3605" s="4" t="str">
        <f>IFERROR(__xludf.DUMMYFUNCTION("""COMPUTED_VALUE"""),"AST")</f>
        <v>AST</v>
      </c>
      <c r="S3605" s="4" t="str">
        <f>IFERROR(__xludf.DUMMYFUNCTION("""COMPUTED_VALUE"""),"WS")</f>
        <v>WS</v>
      </c>
      <c r="T3605" s="4" t="str">
        <f>IFERROR(__xludf.DUMMYFUNCTION("""COMPUTED_VALUE"""),"WS/48")</f>
        <v>WS/48</v>
      </c>
      <c r="U3605" s="4" t="str">
        <f>IFERROR(__xludf.DUMMYFUNCTION("""COMPUTED_VALUE"""),"BPM")</f>
        <v>BPM</v>
      </c>
      <c r="V3605" s="4" t="str">
        <f>IFERROR(__xludf.DUMMYFUNCTION("""COMPUTED_VALUE"""),"VORP")</f>
        <v>VORP</v>
      </c>
    </row>
    <row r="3606">
      <c r="A3606" s="4">
        <f>IFERROR(__xludf.DUMMYFUNCTION("""COMPUTED_VALUE"""),93.0)</f>
        <v>93</v>
      </c>
      <c r="B3606" s="4">
        <f>IFERROR(__xludf.DUMMYFUNCTION("""COMPUTED_VALUE"""),93.0)</f>
        <v>93</v>
      </c>
      <c r="C3606" s="4" t="str">
        <f>IFERROR(__xludf.DUMMYFUNCTION("""COMPUTED_VALUE"""),"CLE")</f>
        <v>CLE</v>
      </c>
      <c r="D3606" s="4" t="str">
        <f>IFERROR(__xludf.DUMMYFUNCTION("""COMPUTED_VALUE"""),"Terry White")</f>
        <v>Terry White</v>
      </c>
      <c r="E3606" s="4" t="str">
        <f>IFERROR(__xludf.DUMMYFUNCTION("""COMPUTED_VALUE"""),"Texas-El Paso")</f>
        <v>Texas-El Paso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</row>
    <row r="3607">
      <c r="A3607" s="4">
        <f>IFERROR(__xludf.DUMMYFUNCTION("""COMPUTED_VALUE"""),94.0)</f>
        <v>94</v>
      </c>
      <c r="B3607" s="4">
        <f>IFERROR(__xludf.DUMMYFUNCTION("""COMPUTED_VALUE"""),94.0)</f>
        <v>94</v>
      </c>
      <c r="C3607" s="4" t="str">
        <f>IFERROR(__xludf.DUMMYFUNCTION("""COMPUTED_VALUE"""),"SDC")</f>
        <v>SDC</v>
      </c>
      <c r="D3607" s="4" t="str">
        <f>IFERROR(__xludf.DUMMYFUNCTION("""COMPUTED_VALUE"""),"Gary Carter")</f>
        <v>Gary Carter</v>
      </c>
      <c r="E3607" s="4" t="str">
        <f>IFERROR(__xludf.DUMMYFUNCTION("""COMPUTED_VALUE"""),"Tennessee")</f>
        <v>Tennessee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</row>
    <row r="3608">
      <c r="A3608" s="4">
        <f>IFERROR(__xludf.DUMMYFUNCTION("""COMPUTED_VALUE"""),95.0)</f>
        <v>95</v>
      </c>
      <c r="B3608" s="4">
        <f>IFERROR(__xludf.DUMMYFUNCTION("""COMPUTED_VALUE"""),95.0)</f>
        <v>95</v>
      </c>
      <c r="C3608" s="4" t="str">
        <f>IFERROR(__xludf.DUMMYFUNCTION("""COMPUTED_VALUE"""),"UTA")</f>
        <v>UTA</v>
      </c>
      <c r="D3608" s="4" t="str">
        <f>IFERROR(__xludf.DUMMYFUNCTION("""COMPUTED_VALUE"""),"Mike McKay")</f>
        <v>Mike McKay</v>
      </c>
      <c r="E3608" s="4" t="str">
        <f>IFERROR(__xludf.DUMMYFUNCTION("""COMPUTED_VALUE"""),"UConn")</f>
        <v>UConn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</row>
    <row r="3609">
      <c r="A3609" s="4">
        <f>IFERROR(__xludf.DUMMYFUNCTION("""COMPUTED_VALUE"""),96.0)</f>
        <v>96</v>
      </c>
      <c r="B3609" s="4">
        <f>IFERROR(__xludf.DUMMYFUNCTION("""COMPUTED_VALUE"""),96.0)</f>
        <v>96</v>
      </c>
      <c r="C3609" s="4" t="str">
        <f>IFERROR(__xludf.DUMMYFUNCTION("""COMPUTED_VALUE"""),"DAL")</f>
        <v>DAL</v>
      </c>
      <c r="D3609" s="4" t="str">
        <f>IFERROR(__xludf.DUMMYFUNCTION("""COMPUTED_VALUE"""),"Kenny Arnold")</f>
        <v>Kenny Arnold</v>
      </c>
      <c r="E3609" s="4" t="str">
        <f>IFERROR(__xludf.DUMMYFUNCTION("""COMPUTED_VALUE"""),"Iowa")</f>
        <v>Iowa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</row>
    <row r="3610">
      <c r="A3610" s="4">
        <f>IFERROR(__xludf.DUMMYFUNCTION("""COMPUTED_VALUE"""),97.0)</f>
        <v>97</v>
      </c>
      <c r="B3610" s="4">
        <f>IFERROR(__xludf.DUMMYFUNCTION("""COMPUTED_VALUE"""),97.0)</f>
        <v>97</v>
      </c>
      <c r="C3610" s="4" t="str">
        <f>IFERROR(__xludf.DUMMYFUNCTION("""COMPUTED_VALUE"""),"KCK")</f>
        <v>KCK</v>
      </c>
      <c r="D3610" s="4" t="str">
        <f>IFERROR(__xludf.DUMMYFUNCTION("""COMPUTED_VALUE"""),"Kenny Simpson")</f>
        <v>Kenny Simpson</v>
      </c>
      <c r="E3610" s="4" t="str">
        <f>IFERROR(__xludf.DUMMYFUNCTION("""COMPUTED_VALUE"""),"Grambling State University")</f>
        <v>Grambling State University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</row>
    <row r="3611">
      <c r="A3611" s="4">
        <f>IFERROR(__xludf.DUMMYFUNCTION("""COMPUTED_VALUE"""),98.0)</f>
        <v>98</v>
      </c>
      <c r="B3611" s="4">
        <f>IFERROR(__xludf.DUMMYFUNCTION("""COMPUTED_VALUE"""),98.0)</f>
        <v>98</v>
      </c>
      <c r="C3611" s="4" t="str">
        <f>IFERROR(__xludf.DUMMYFUNCTION("""COMPUTED_VALUE"""),"NYK")</f>
        <v>NYK</v>
      </c>
      <c r="D3611" s="4" t="str">
        <f>IFERROR(__xludf.DUMMYFUNCTION("""COMPUTED_VALUE"""),"Aaron Howard")</f>
        <v>Aaron Howard</v>
      </c>
      <c r="E3611" s="4" t="str">
        <f>IFERROR(__xludf.DUMMYFUNCTION("""COMPUTED_VALUE"""),"Villanova")</f>
        <v>Villanova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</row>
    <row r="3612">
      <c r="A3612" s="4">
        <f>IFERROR(__xludf.DUMMYFUNCTION("""COMPUTED_VALUE"""),99.0)</f>
        <v>99</v>
      </c>
      <c r="B3612" s="4">
        <f>IFERROR(__xludf.DUMMYFUNCTION("""COMPUTED_VALUE"""),99.0)</f>
        <v>99</v>
      </c>
      <c r="C3612" s="4" t="str">
        <f>IFERROR(__xludf.DUMMYFUNCTION("""COMPUTED_VALUE"""),"CHI")</f>
        <v>CHI</v>
      </c>
      <c r="D3612" s="4" t="str">
        <f>IFERROR(__xludf.DUMMYFUNCTION("""COMPUTED_VALUE"""),"Rubin Jackson")</f>
        <v>Rubin Jackson</v>
      </c>
      <c r="E3612" s="4" t="str">
        <f>IFERROR(__xludf.DUMMYFUNCTION("""COMPUTED_VALUE"""),"Oklahoma City University")</f>
        <v>Oklahoma City University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</row>
    <row r="3613">
      <c r="A3613" s="4">
        <f>IFERROR(__xludf.DUMMYFUNCTION("""COMPUTED_VALUE"""),100.0)</f>
        <v>100</v>
      </c>
      <c r="B3613" s="4">
        <f>IFERROR(__xludf.DUMMYFUNCTION("""COMPUTED_VALUE"""),100.0)</f>
        <v>100</v>
      </c>
      <c r="C3613" s="4" t="str">
        <f>IFERROR(__xludf.DUMMYFUNCTION("""COMPUTED_VALUE"""),"IND")</f>
        <v>IND</v>
      </c>
      <c r="D3613" s="4" t="str">
        <f>IFERROR(__xludf.DUMMYFUNCTION("""COMPUTED_VALUE"""),"Rich DiBenedetto")</f>
        <v>Rich DiBenedetto</v>
      </c>
      <c r="E3613" s="4" t="str">
        <f>IFERROR(__xludf.DUMMYFUNCTION("""COMPUTED_VALUE"""),"University of Wisconsin-Eau Claire")</f>
        <v>University of Wisconsin-Eau Claire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</row>
    <row r="3614">
      <c r="A3614" s="4">
        <f>IFERROR(__xludf.DUMMYFUNCTION("""COMPUTED_VALUE"""),101.0)</f>
        <v>101</v>
      </c>
      <c r="B3614" s="4">
        <f>IFERROR(__xludf.DUMMYFUNCTION("""COMPUTED_VALUE"""),101.0)</f>
        <v>101</v>
      </c>
      <c r="C3614" s="4" t="str">
        <f>IFERROR(__xludf.DUMMYFUNCTION("""COMPUTED_VALUE"""),"DET")</f>
        <v>DET</v>
      </c>
      <c r="D3614" s="4" t="str">
        <f>IFERROR(__xludf.DUMMYFUNCTION("""COMPUTED_VALUE"""),"John Ebeling")</f>
        <v>John Ebeling</v>
      </c>
      <c r="E3614" s="4" t="str">
        <f>IFERROR(__xludf.DUMMYFUNCTION("""COMPUTED_VALUE"""),"Florida Southern College")</f>
        <v>Florida Southern College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</row>
    <row r="3615">
      <c r="A3615" s="4">
        <f>IFERROR(__xludf.DUMMYFUNCTION("""COMPUTED_VALUE"""),102.0)</f>
        <v>102</v>
      </c>
      <c r="B3615" s="4">
        <f>IFERROR(__xludf.DUMMYFUNCTION("""COMPUTED_VALUE"""),102.0)</f>
        <v>102</v>
      </c>
      <c r="C3615" s="4" t="str">
        <f>IFERROR(__xludf.DUMMYFUNCTION("""COMPUTED_VALUE"""),"ATL")</f>
        <v>ATL</v>
      </c>
      <c r="D3615" s="4" t="str">
        <f>IFERROR(__xludf.DUMMYFUNCTION("""COMPUTED_VALUE"""),"Mark Hall")</f>
        <v>Mark Hall</v>
      </c>
      <c r="E3615" s="4" t="str">
        <f>IFERROR(__xludf.DUMMYFUNCTION("""COMPUTED_VALUE"""),"Minnesota")</f>
        <v>Minnesota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</row>
    <row r="3616">
      <c r="A3616" s="4">
        <f>IFERROR(__xludf.DUMMYFUNCTION("""COMPUTED_VALUE"""),103.0)</f>
        <v>103</v>
      </c>
      <c r="B3616" s="4">
        <f>IFERROR(__xludf.DUMMYFUNCTION("""COMPUTED_VALUE"""),103.0)</f>
        <v>103</v>
      </c>
      <c r="C3616" s="4" t="str">
        <f>IFERROR(__xludf.DUMMYFUNCTION("""COMPUTED_VALUE"""),"POR")</f>
        <v>POR</v>
      </c>
      <c r="D3616" s="4" t="str">
        <f>IFERROR(__xludf.DUMMYFUNCTION("""COMPUTED_VALUE"""),"Cherokee Rhone")</f>
        <v>Cherokee Rhone</v>
      </c>
      <c r="E3616" s="4" t="str">
        <f>IFERROR(__xludf.DUMMYFUNCTION("""COMPUTED_VALUE"""),"Centenary (LA)")</f>
        <v>Centenary (LA)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</row>
    <row r="3617">
      <c r="A3617" s="4">
        <f>IFERROR(__xludf.DUMMYFUNCTION("""COMPUTED_VALUE"""),104.0)</f>
        <v>104</v>
      </c>
      <c r="B3617" s="4">
        <f>IFERROR(__xludf.DUMMYFUNCTION("""COMPUTED_VALUE"""),104.0)</f>
        <v>104</v>
      </c>
      <c r="C3617" s="4" t="str">
        <f>IFERROR(__xludf.DUMMYFUNCTION("""COMPUTED_VALUE"""),"WSB")</f>
        <v>WSB</v>
      </c>
      <c r="D3617" s="4" t="str">
        <f>IFERROR(__xludf.DUMMYFUNCTION("""COMPUTED_VALUE"""),"Clarence Dickerson")</f>
        <v>Clarence Dickerson</v>
      </c>
      <c r="E3617" s="4" t="str">
        <f>IFERROR(__xludf.DUMMYFUNCTION("""COMPUTED_VALUE"""),"Hawaii")</f>
        <v>Hawaii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</row>
    <row r="3618">
      <c r="A3618" s="4">
        <f>IFERROR(__xludf.DUMMYFUNCTION("""COMPUTED_VALUE"""),105.0)</f>
        <v>105</v>
      </c>
      <c r="B3618" s="4">
        <f>IFERROR(__xludf.DUMMYFUNCTION("""COMPUTED_VALUE"""),105.0)</f>
        <v>105</v>
      </c>
      <c r="C3618" s="4" t="str">
        <f>IFERROR(__xludf.DUMMYFUNCTION("""COMPUTED_VALUE"""),"NJN")</f>
        <v>NJN</v>
      </c>
      <c r="D3618" s="4" t="str">
        <f>IFERROR(__xludf.DUMMYFUNCTION("""COMPUTED_VALUE"""),"Chris Giles")</f>
        <v>Chris Giles</v>
      </c>
      <c r="E3618" s="4" t="str">
        <f>IFERROR(__xludf.DUMMYFUNCTION("""COMPUTED_VALUE"""),"UAB")</f>
        <v>UAB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</row>
    <row r="3619">
      <c r="A3619" s="4">
        <f>IFERROR(__xludf.DUMMYFUNCTION("""COMPUTED_VALUE"""),106.0)</f>
        <v>106</v>
      </c>
      <c r="B3619" s="4">
        <f>IFERROR(__xludf.DUMMYFUNCTION("""COMPUTED_VALUE"""),106.0)</f>
        <v>106</v>
      </c>
      <c r="C3619" s="4" t="str">
        <f>IFERROR(__xludf.DUMMYFUNCTION("""COMPUTED_VALUE"""),"GSW")</f>
        <v>GSW</v>
      </c>
      <c r="D3619" s="4" t="str">
        <f>IFERROR(__xludf.DUMMYFUNCTION("""COMPUTED_VALUE"""),"Albert Irving")</f>
        <v>Albert Irving</v>
      </c>
      <c r="E3619" s="4" t="str">
        <f>IFERROR(__xludf.DUMMYFUNCTION("""COMPUTED_VALUE"""),"Alcorn State")</f>
        <v>Alcorn State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</row>
    <row r="3620">
      <c r="A3620" s="4">
        <f>IFERROR(__xludf.DUMMYFUNCTION("""COMPUTED_VALUE"""),107.0)</f>
        <v>107</v>
      </c>
      <c r="B3620" s="4">
        <f>IFERROR(__xludf.DUMMYFUNCTION("""COMPUTED_VALUE"""),107.0)</f>
        <v>107</v>
      </c>
      <c r="C3620" s="4" t="str">
        <f>IFERROR(__xludf.DUMMYFUNCTION("""COMPUTED_VALUE"""),"HOU")</f>
        <v>HOU</v>
      </c>
      <c r="D3620" s="4" t="str">
        <f>IFERROR(__xludf.DUMMYFUNCTION("""COMPUTED_VALUE"""),"Jeff Schneider")</f>
        <v>Jeff Schneider</v>
      </c>
      <c r="E3620" s="4" t="str">
        <f>IFERROR(__xludf.DUMMYFUNCTION("""COMPUTED_VALUE"""),"Virginia Tech")</f>
        <v>Virginia Tech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</row>
    <row r="3621">
      <c r="A3621" s="4">
        <f>IFERROR(__xludf.DUMMYFUNCTION("""COMPUTED_VALUE"""),108.0)</f>
        <v>108</v>
      </c>
      <c r="B3621" s="4">
        <f>IFERROR(__xludf.DUMMYFUNCTION("""COMPUTED_VALUE"""),108.0)</f>
        <v>108</v>
      </c>
      <c r="C3621" s="4" t="str">
        <f>IFERROR(__xludf.DUMMYFUNCTION("""COMPUTED_VALUE"""),"PHO")</f>
        <v>PHO</v>
      </c>
      <c r="D3621" s="4" t="str">
        <f>IFERROR(__xludf.DUMMYFUNCTION("""COMPUTED_VALUE"""),"Marvin McCrary")</f>
        <v>Marvin McCrary</v>
      </c>
      <c r="E3621" s="4" t="str">
        <f>IFERROR(__xludf.DUMMYFUNCTION("""COMPUTED_VALUE"""),"Missouri")</f>
        <v>Missouri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</row>
    <row r="3622">
      <c r="A3622" s="4">
        <f>IFERROR(__xludf.DUMMYFUNCTION("""COMPUTED_VALUE"""),109.0)</f>
        <v>109</v>
      </c>
      <c r="B3622" s="4">
        <f>IFERROR(__xludf.DUMMYFUNCTION("""COMPUTED_VALUE"""),109.0)</f>
        <v>109</v>
      </c>
      <c r="C3622" s="4" t="str">
        <f>IFERROR(__xludf.DUMMYFUNCTION("""COMPUTED_VALUE"""),"DEN")</f>
        <v>DEN</v>
      </c>
      <c r="D3622" s="4" t="str">
        <f>IFERROR(__xludf.DUMMYFUNCTION("""COMPUTED_VALUE"""),"Bill Duffy")</f>
        <v>Bill Duffy</v>
      </c>
      <c r="E3622" s="4" t="str">
        <f>IFERROR(__xludf.DUMMYFUNCTION("""COMPUTED_VALUE"""),"Santa Clara")</f>
        <v>Santa Clara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</row>
    <row r="3623">
      <c r="A3623" s="4">
        <f>IFERROR(__xludf.DUMMYFUNCTION("""COMPUTED_VALUE"""),110.0)</f>
        <v>110</v>
      </c>
      <c r="B3623" s="4">
        <f>IFERROR(__xludf.DUMMYFUNCTION("""COMPUTED_VALUE"""),110.0)</f>
        <v>110</v>
      </c>
      <c r="C3623" s="4" t="str">
        <f>IFERROR(__xludf.DUMMYFUNCTION("""COMPUTED_VALUE"""),"SAS")</f>
        <v>SAS</v>
      </c>
      <c r="D3623" s="4" t="str">
        <f>IFERROR(__xludf.DUMMYFUNCTION("""COMPUTED_VALUE"""),"Clarence Swannegan")</f>
        <v>Clarence Swannegan</v>
      </c>
      <c r="E3623" s="4" t="str">
        <f>IFERROR(__xludf.DUMMYFUNCTION("""COMPUTED_VALUE"""),"Texas Tech")</f>
        <v>Texas Tech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</row>
    <row r="3624">
      <c r="A3624" s="4">
        <f>IFERROR(__xludf.DUMMYFUNCTION("""COMPUTED_VALUE"""),111.0)</f>
        <v>111</v>
      </c>
      <c r="B3624" s="4">
        <f>IFERROR(__xludf.DUMMYFUNCTION("""COMPUTED_VALUE"""),111.0)</f>
        <v>111</v>
      </c>
      <c r="C3624" s="4" t="str">
        <f>IFERROR(__xludf.DUMMYFUNCTION("""COMPUTED_VALUE"""),"SEA")</f>
        <v>SEA</v>
      </c>
      <c r="D3624" s="4" t="str">
        <f>IFERROR(__xludf.DUMMYFUNCTION("""COMPUTED_VALUE"""),"Rod Camp")</f>
        <v>Rod Camp</v>
      </c>
      <c r="E3624" s="4" t="str">
        <f>IFERROR(__xludf.DUMMYFUNCTION("""COMPUTED_VALUE"""),"Southern Illinois")</f>
        <v>Southern Illinois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</row>
    <row r="3625">
      <c r="A3625" s="4">
        <f>IFERROR(__xludf.DUMMYFUNCTION("""COMPUTED_VALUE"""),112.0)</f>
        <v>112</v>
      </c>
      <c r="B3625" s="4">
        <f>IFERROR(__xludf.DUMMYFUNCTION("""COMPUTED_VALUE"""),112.0)</f>
        <v>112</v>
      </c>
      <c r="C3625" s="4" t="str">
        <f>IFERROR(__xludf.DUMMYFUNCTION("""COMPUTED_VALUE"""),"WSB")</f>
        <v>WSB</v>
      </c>
      <c r="D3625" s="4" t="str">
        <f>IFERROR(__xludf.DUMMYFUNCTION("""COMPUTED_VALUE"""),"Jerry Davis")</f>
        <v>Jerry Davis</v>
      </c>
      <c r="E3625" s="4" t="str">
        <f>IFERROR(__xludf.DUMMYFUNCTION("""COMPUTED_VALUE"""),"Detroit Mercy")</f>
        <v>Detroit Mercy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</row>
    <row r="3626">
      <c r="A3626" s="4">
        <f>IFERROR(__xludf.DUMMYFUNCTION("""COMPUTED_VALUE"""),113.0)</f>
        <v>113</v>
      </c>
      <c r="B3626" s="4">
        <f>IFERROR(__xludf.DUMMYFUNCTION("""COMPUTED_VALUE"""),113.0)</f>
        <v>113</v>
      </c>
      <c r="C3626" s="4" t="str">
        <f>IFERROR(__xludf.DUMMYFUNCTION("""COMPUTED_VALUE"""),"LAL")</f>
        <v>LAL</v>
      </c>
      <c r="D3626" s="4" t="str">
        <f>IFERROR(__xludf.DUMMYFUNCTION("""COMPUTED_VALUE"""),"Howard McNeill")</f>
        <v>Howard McNeill</v>
      </c>
      <c r="E3626" s="4" t="str">
        <f>IFERROR(__xludf.DUMMYFUNCTION("""COMPUTED_VALUE"""),"Seton Hall")</f>
        <v>Seton Hall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</row>
    <row r="3627">
      <c r="A3627" s="4">
        <f>IFERROR(__xludf.DUMMYFUNCTION("""COMPUTED_VALUE"""),114.0)</f>
        <v>114</v>
      </c>
      <c r="B3627" s="4">
        <f>IFERROR(__xludf.DUMMYFUNCTION("""COMPUTED_VALUE"""),114.0)</f>
        <v>114</v>
      </c>
      <c r="C3627" s="4" t="str">
        <f>IFERROR(__xludf.DUMMYFUNCTION("""COMPUTED_VALUE"""),"PHI")</f>
        <v>PHI</v>
      </c>
      <c r="D3627" s="4" t="str">
        <f>IFERROR(__xludf.DUMMYFUNCTION("""COMPUTED_VALUE"""),"Donald Mason")</f>
        <v>Donald Mason</v>
      </c>
      <c r="E3627" s="4" t="str">
        <f>IFERROR(__xludf.DUMMYFUNCTION("""COMPUTED_VALUE"""),"Fresno State")</f>
        <v>Fresno State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</row>
    <row r="3628">
      <c r="A3628" s="4">
        <f>IFERROR(__xludf.DUMMYFUNCTION("""COMPUTED_VALUE"""),115.0)</f>
        <v>115</v>
      </c>
      <c r="B3628" s="4">
        <f>IFERROR(__xludf.DUMMYFUNCTION("""COMPUTED_VALUE"""),115.0)</f>
        <v>115</v>
      </c>
      <c r="C3628" s="4" t="str">
        <f>IFERROR(__xludf.DUMMYFUNCTION("""COMPUTED_VALUE"""),"BOS")</f>
        <v>BOS</v>
      </c>
      <c r="D3628" s="4" t="str">
        <f>IFERROR(__xludf.DUMMYFUNCTION("""COMPUTED_VALUE"""),"William Brown")</f>
        <v>William Brown</v>
      </c>
      <c r="E3628" s="4" t="str">
        <f>IFERROR(__xludf.DUMMYFUNCTION("""COMPUTED_VALUE"""),"Saint Peter's College")</f>
        <v>Saint Peter's College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</row>
    <row r="3629">
      <c r="A3629" s="4"/>
      <c r="B3629" s="4"/>
      <c r="C3629" s="4"/>
      <c r="D3629" s="4" t="str">
        <f>IFERROR(__xludf.DUMMYFUNCTION("""COMPUTED_VALUE"""),"Round 6")</f>
        <v>Round 6</v>
      </c>
      <c r="E3629" s="4"/>
      <c r="F3629" s="4"/>
      <c r="G3629" s="4" t="str">
        <f>IFERROR(__xludf.DUMMYFUNCTION("""COMPUTED_VALUE"""),"Totals")</f>
        <v>Totals</v>
      </c>
      <c r="H3629" s="4"/>
      <c r="I3629" s="4"/>
      <c r="J3629" s="4"/>
      <c r="K3629" s="4"/>
      <c r="L3629" s="4" t="str">
        <f>IFERROR(__xludf.DUMMYFUNCTION("""COMPUTED_VALUE"""),"Shooting")</f>
        <v>Shooting</v>
      </c>
      <c r="M3629" s="4"/>
      <c r="N3629" s="4"/>
      <c r="O3629" s="4" t="str">
        <f>IFERROR(__xludf.DUMMYFUNCTION("""COMPUTED_VALUE"""),"Per Game")</f>
        <v>Per Game</v>
      </c>
      <c r="P3629" s="4"/>
      <c r="Q3629" s="4"/>
      <c r="R3629" s="4"/>
      <c r="S3629" s="4" t="str">
        <f>IFERROR(__xludf.DUMMYFUNCTION("""COMPUTED_VALUE"""),"Advanced")</f>
        <v>Advanced</v>
      </c>
      <c r="T3629" s="4"/>
      <c r="U3629" s="4"/>
      <c r="V3629" s="4"/>
    </row>
    <row r="3630">
      <c r="A3630" s="4" t="str">
        <f>IFERROR(__xludf.DUMMYFUNCTION("""COMPUTED_VALUE"""),"Rk")</f>
        <v>Rk</v>
      </c>
      <c r="B3630" s="4" t="str">
        <f>IFERROR(__xludf.DUMMYFUNCTION("""COMPUTED_VALUE"""),"Pk")</f>
        <v>Pk</v>
      </c>
      <c r="C3630" s="4" t="str">
        <f>IFERROR(__xludf.DUMMYFUNCTION("""COMPUTED_VALUE"""),"Tm")</f>
        <v>Tm</v>
      </c>
      <c r="D3630" s="4" t="str">
        <f>IFERROR(__xludf.DUMMYFUNCTION("""COMPUTED_VALUE"""),"Player")</f>
        <v>Player</v>
      </c>
      <c r="E3630" s="4" t="str">
        <f>IFERROR(__xludf.DUMMYFUNCTION("""COMPUTED_VALUE"""),"College")</f>
        <v>College</v>
      </c>
      <c r="F3630" s="4" t="str">
        <f>IFERROR(__xludf.DUMMYFUNCTION("""COMPUTED_VALUE"""),"Yrs")</f>
        <v>Yrs</v>
      </c>
      <c r="G3630" s="4" t="str">
        <f>IFERROR(__xludf.DUMMYFUNCTION("""COMPUTED_VALUE"""),"G")</f>
        <v>G</v>
      </c>
      <c r="H3630" s="4" t="str">
        <f>IFERROR(__xludf.DUMMYFUNCTION("""COMPUTED_VALUE"""),"MP")</f>
        <v>MP</v>
      </c>
      <c r="I3630" s="4" t="str">
        <f>IFERROR(__xludf.DUMMYFUNCTION("""COMPUTED_VALUE"""),"PTS")</f>
        <v>PTS</v>
      </c>
      <c r="J3630" s="4" t="str">
        <f>IFERROR(__xludf.DUMMYFUNCTION("""COMPUTED_VALUE"""),"TRB")</f>
        <v>TRB</v>
      </c>
      <c r="K3630" s="4" t="str">
        <f>IFERROR(__xludf.DUMMYFUNCTION("""COMPUTED_VALUE"""),"AST")</f>
        <v>AST</v>
      </c>
      <c r="L3630" s="4" t="str">
        <f>IFERROR(__xludf.DUMMYFUNCTION("""COMPUTED_VALUE"""),"FG%")</f>
        <v>FG%</v>
      </c>
      <c r="M3630" s="4" t="str">
        <f>IFERROR(__xludf.DUMMYFUNCTION("""COMPUTED_VALUE"""),"3P%")</f>
        <v>3P%</v>
      </c>
      <c r="N3630" s="4" t="str">
        <f>IFERROR(__xludf.DUMMYFUNCTION("""COMPUTED_VALUE"""),"FT%")</f>
        <v>FT%</v>
      </c>
      <c r="O3630" s="4" t="str">
        <f>IFERROR(__xludf.DUMMYFUNCTION("""COMPUTED_VALUE"""),"MP")</f>
        <v>MP</v>
      </c>
      <c r="P3630" s="4" t="str">
        <f>IFERROR(__xludf.DUMMYFUNCTION("""COMPUTED_VALUE"""),"PTS")</f>
        <v>PTS</v>
      </c>
      <c r="Q3630" s="4" t="str">
        <f>IFERROR(__xludf.DUMMYFUNCTION("""COMPUTED_VALUE"""),"TRB")</f>
        <v>TRB</v>
      </c>
      <c r="R3630" s="4" t="str">
        <f>IFERROR(__xludf.DUMMYFUNCTION("""COMPUTED_VALUE"""),"AST")</f>
        <v>AST</v>
      </c>
      <c r="S3630" s="4" t="str">
        <f>IFERROR(__xludf.DUMMYFUNCTION("""COMPUTED_VALUE"""),"WS")</f>
        <v>WS</v>
      </c>
      <c r="T3630" s="4" t="str">
        <f>IFERROR(__xludf.DUMMYFUNCTION("""COMPUTED_VALUE"""),"WS/48")</f>
        <v>WS/48</v>
      </c>
      <c r="U3630" s="4" t="str">
        <f>IFERROR(__xludf.DUMMYFUNCTION("""COMPUTED_VALUE"""),"BPM")</f>
        <v>BPM</v>
      </c>
      <c r="V3630" s="4" t="str">
        <f>IFERROR(__xludf.DUMMYFUNCTION("""COMPUTED_VALUE"""),"VORP")</f>
        <v>VORP</v>
      </c>
    </row>
    <row r="3631">
      <c r="A3631" s="4">
        <f>IFERROR(__xludf.DUMMYFUNCTION("""COMPUTED_VALUE"""),116.0)</f>
        <v>116</v>
      </c>
      <c r="B3631" s="4">
        <f>IFERROR(__xludf.DUMMYFUNCTION("""COMPUTED_VALUE"""),116.0)</f>
        <v>116</v>
      </c>
      <c r="C3631" s="4" t="str">
        <f>IFERROR(__xludf.DUMMYFUNCTION("""COMPUTED_VALUE"""),"CLE")</f>
        <v>CLE</v>
      </c>
      <c r="D3631" s="4" t="str">
        <f>IFERROR(__xludf.DUMMYFUNCTION("""COMPUTED_VALUE"""),"Vince Reynolds")</f>
        <v>Vince Reynolds</v>
      </c>
      <c r="E3631" s="4" t="str">
        <f>IFERROR(__xludf.DUMMYFUNCTION("""COMPUTED_VALUE"""),"South Florida")</f>
        <v>South Florida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</row>
    <row r="3632">
      <c r="A3632" s="4">
        <f>IFERROR(__xludf.DUMMYFUNCTION("""COMPUTED_VALUE"""),117.0)</f>
        <v>117</v>
      </c>
      <c r="B3632" s="4">
        <f>IFERROR(__xludf.DUMMYFUNCTION("""COMPUTED_VALUE"""),117.0)</f>
        <v>117</v>
      </c>
      <c r="C3632" s="4" t="str">
        <f>IFERROR(__xludf.DUMMYFUNCTION("""COMPUTED_VALUE"""),"SDC")</f>
        <v>SDC</v>
      </c>
      <c r="D3632" s="4" t="str">
        <f>IFERROR(__xludf.DUMMYFUNCTION("""COMPUTED_VALUE"""),"Eric Marbury")</f>
        <v>Eric Marbury</v>
      </c>
      <c r="E3632" s="4" t="str">
        <f>IFERROR(__xludf.DUMMYFUNCTION("""COMPUTED_VALUE"""),"Georgia")</f>
        <v>Georgia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</row>
    <row r="3633">
      <c r="A3633" s="4">
        <f>IFERROR(__xludf.DUMMYFUNCTION("""COMPUTED_VALUE"""),118.0)</f>
        <v>118</v>
      </c>
      <c r="B3633" s="4">
        <f>IFERROR(__xludf.DUMMYFUNCTION("""COMPUTED_VALUE"""),118.0)</f>
        <v>118</v>
      </c>
      <c r="C3633" s="4" t="str">
        <f>IFERROR(__xludf.DUMMYFUNCTION("""COMPUTED_VALUE"""),"UTA")</f>
        <v>UTA</v>
      </c>
      <c r="D3633" s="4" t="str">
        <f>IFERROR(__xludf.DUMMYFUNCTION("""COMPUTED_VALUE"""),"Alvin Jackson")</f>
        <v>Alvin Jackson</v>
      </c>
      <c r="E3633" s="4" t="str">
        <f>IFERROR(__xludf.DUMMYFUNCTION("""COMPUTED_VALUE"""),"Southern University and A&amp;M College")</f>
        <v>Southern University and A&amp;M College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</row>
    <row r="3634">
      <c r="A3634" s="4">
        <f>IFERROR(__xludf.DUMMYFUNCTION("""COMPUTED_VALUE"""),119.0)</f>
        <v>119</v>
      </c>
      <c r="B3634" s="4">
        <f>IFERROR(__xludf.DUMMYFUNCTION("""COMPUTED_VALUE"""),119.0)</f>
        <v>119</v>
      </c>
      <c r="C3634" s="4" t="str">
        <f>IFERROR(__xludf.DUMMYFUNCTION("""COMPUTED_VALUE"""),"DAL")</f>
        <v>DAL</v>
      </c>
      <c r="D3634" s="4" t="str">
        <f>IFERROR(__xludf.DUMMYFUNCTION("""COMPUTED_VALUE"""),"Wayne Waggoner")</f>
        <v>Wayne Waggoner</v>
      </c>
      <c r="E3634" s="4" t="str">
        <f>IFERROR(__xludf.DUMMYFUNCTION("""COMPUTED_VALUE"""),"Northwestern State University")</f>
        <v>Northwestern State University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</row>
    <row r="3635">
      <c r="A3635" s="4">
        <f>IFERROR(__xludf.DUMMYFUNCTION("""COMPUTED_VALUE"""),120.0)</f>
        <v>120</v>
      </c>
      <c r="B3635" s="4">
        <f>IFERROR(__xludf.DUMMYFUNCTION("""COMPUTED_VALUE"""),120.0)</f>
        <v>120</v>
      </c>
      <c r="C3635" s="4" t="str">
        <f>IFERROR(__xludf.DUMMYFUNCTION("""COMPUTED_VALUE"""),"KCK")</f>
        <v>KCK</v>
      </c>
      <c r="D3635" s="4" t="str">
        <f>IFERROR(__xludf.DUMMYFUNCTION("""COMPUTED_VALUE"""),"Poncho Wright")</f>
        <v>Poncho Wright</v>
      </c>
      <c r="E3635" s="4" t="str">
        <f>IFERROR(__xludf.DUMMYFUNCTION("""COMPUTED_VALUE"""),"Louisville")</f>
        <v>Louisville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</row>
    <row r="3636">
      <c r="A3636" s="4">
        <f>IFERROR(__xludf.DUMMYFUNCTION("""COMPUTED_VALUE"""),121.0)</f>
        <v>121</v>
      </c>
      <c r="B3636" s="4">
        <f>IFERROR(__xludf.DUMMYFUNCTION("""COMPUTED_VALUE"""),121.0)</f>
        <v>121</v>
      </c>
      <c r="C3636" s="4" t="str">
        <f>IFERROR(__xludf.DUMMYFUNCTION("""COMPUTED_VALUE"""),"NYK")</f>
        <v>NYK</v>
      </c>
      <c r="D3636" s="4" t="str">
        <f>IFERROR(__xludf.DUMMYFUNCTION("""COMPUTED_VALUE"""),"Mike Kanieski")</f>
        <v>Mike Kanieski</v>
      </c>
      <c r="E3636" s="4" t="str">
        <f>IFERROR(__xludf.DUMMYFUNCTION("""COMPUTED_VALUE"""),"Dayton")</f>
        <v>Dayton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</row>
    <row r="3637">
      <c r="A3637" s="4">
        <f>IFERROR(__xludf.DUMMYFUNCTION("""COMPUTED_VALUE"""),122.0)</f>
        <v>122</v>
      </c>
      <c r="B3637" s="4">
        <f>IFERROR(__xludf.DUMMYFUNCTION("""COMPUTED_VALUE"""),122.0)</f>
        <v>122</v>
      </c>
      <c r="C3637" s="4" t="str">
        <f>IFERROR(__xludf.DUMMYFUNCTION("""COMPUTED_VALUE"""),"CHI")</f>
        <v>CHI</v>
      </c>
      <c r="D3637" s="4" t="str">
        <f>IFERROR(__xludf.DUMMYFUNCTION("""COMPUTED_VALUE"""),"B. B. Fontenet")</f>
        <v>B. B. Fontenet</v>
      </c>
      <c r="E3637" s="4" t="str">
        <f>IFERROR(__xludf.DUMMYFUNCTION("""COMPUTED_VALUE"""),"Nevada")</f>
        <v>Nevada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</row>
    <row r="3638">
      <c r="A3638" s="4">
        <f>IFERROR(__xludf.DUMMYFUNCTION("""COMPUTED_VALUE"""),123.0)</f>
        <v>123</v>
      </c>
      <c r="B3638" s="4">
        <f>IFERROR(__xludf.DUMMYFUNCTION("""COMPUTED_VALUE"""),123.0)</f>
        <v>123</v>
      </c>
      <c r="C3638" s="4" t="str">
        <f>IFERROR(__xludf.DUMMYFUNCTION("""COMPUTED_VALUE"""),"IND")</f>
        <v>IND</v>
      </c>
      <c r="D3638" s="4" t="str">
        <f>IFERROR(__xludf.DUMMYFUNCTION("""COMPUTED_VALUE"""),"Jeff Clark")</f>
        <v>Jeff Clark</v>
      </c>
      <c r="E3638" s="4" t="str">
        <f>IFERROR(__xludf.DUMMYFUNCTION("""COMPUTED_VALUE"""),"Saint Joseph's")</f>
        <v>Saint Joseph's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</row>
    <row r="3639">
      <c r="A3639" s="4">
        <f>IFERROR(__xludf.DUMMYFUNCTION("""COMPUTED_VALUE"""),124.0)</f>
        <v>124</v>
      </c>
      <c r="B3639" s="4">
        <f>IFERROR(__xludf.DUMMYFUNCTION("""COMPUTED_VALUE"""),124.0)</f>
        <v>124</v>
      </c>
      <c r="C3639" s="4" t="str">
        <f>IFERROR(__xludf.DUMMYFUNCTION("""COMPUTED_VALUE"""),"DET")</f>
        <v>DET</v>
      </c>
      <c r="D3639" s="4" t="str">
        <f>IFERROR(__xludf.DUMMYFUNCTION("""COMPUTED_VALUE"""),"Gary Holmes")</f>
        <v>Gary Holmes</v>
      </c>
      <c r="E3639" s="4" t="str">
        <f>IFERROR(__xludf.DUMMYFUNCTION("""COMPUTED_VALUE"""),"Minnesota")</f>
        <v>Minnesota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</row>
    <row r="3640">
      <c r="A3640" s="4">
        <f>IFERROR(__xludf.DUMMYFUNCTION("""COMPUTED_VALUE"""),125.0)</f>
        <v>125</v>
      </c>
      <c r="B3640" s="4">
        <f>IFERROR(__xludf.DUMMYFUNCTION("""COMPUTED_VALUE"""),125.0)</f>
        <v>125</v>
      </c>
      <c r="C3640" s="4" t="str">
        <f>IFERROR(__xludf.DUMMYFUNCTION("""COMPUTED_VALUE"""),"POR")</f>
        <v>POR</v>
      </c>
      <c r="D3640" s="4" t="str">
        <f>IFERROR(__xludf.DUMMYFUNCTION("""COMPUTED_VALUE"""),"Leo Cunningham")</f>
        <v>Leo Cunningham</v>
      </c>
      <c r="E3640" s="4" t="str">
        <f>IFERROR(__xludf.DUMMYFUNCTION("""COMPUTED_VALUE"""),"Utah State University")</f>
        <v>Utah State University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</row>
    <row r="3641">
      <c r="A3641" s="4">
        <f>IFERROR(__xludf.DUMMYFUNCTION("""COMPUTED_VALUE"""),126.0)</f>
        <v>126</v>
      </c>
      <c r="B3641" s="4">
        <f>IFERROR(__xludf.DUMMYFUNCTION("""COMPUTED_VALUE"""),126.0)</f>
        <v>126</v>
      </c>
      <c r="C3641" s="4" t="str">
        <f>IFERROR(__xludf.DUMMYFUNCTION("""COMPUTED_VALUE"""),"ATL")</f>
        <v>ATL</v>
      </c>
      <c r="D3641" s="4" t="str">
        <f>IFERROR(__xludf.DUMMYFUNCTION("""COMPUTED_VALUE"""),"Jay Bruchak")</f>
        <v>Jay Bruchak</v>
      </c>
      <c r="E3641" s="4" t="str">
        <f>IFERROR(__xludf.DUMMYFUNCTION("""COMPUTED_VALUE"""),"Mount St. Mary's University")</f>
        <v>Mount St. Mary's University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</row>
    <row r="3642">
      <c r="A3642" s="4">
        <f>IFERROR(__xludf.DUMMYFUNCTION("""COMPUTED_VALUE"""),127.0)</f>
        <v>127</v>
      </c>
      <c r="B3642" s="4">
        <f>IFERROR(__xludf.DUMMYFUNCTION("""COMPUTED_VALUE"""),127.0)</f>
        <v>127</v>
      </c>
      <c r="C3642" s="4" t="str">
        <f>IFERROR(__xludf.DUMMYFUNCTION("""COMPUTED_VALUE"""),"WSB")</f>
        <v>WSB</v>
      </c>
      <c r="D3642" s="4" t="str">
        <f>IFERROR(__xludf.DUMMYFUNCTION("""COMPUTED_VALUE"""),"Byron Williams")</f>
        <v>Byron Williams</v>
      </c>
      <c r="E3642" s="4" t="str">
        <f>IFERROR(__xludf.DUMMYFUNCTION("""COMPUTED_VALUE"""),"Idaho State University")</f>
        <v>Idaho State University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</row>
    <row r="3643">
      <c r="A3643" s="4">
        <f>IFERROR(__xludf.DUMMYFUNCTION("""COMPUTED_VALUE"""),128.0)</f>
        <v>128</v>
      </c>
      <c r="B3643" s="4">
        <f>IFERROR(__xludf.DUMMYFUNCTION("""COMPUTED_VALUE"""),128.0)</f>
        <v>128</v>
      </c>
      <c r="C3643" s="4" t="str">
        <f>IFERROR(__xludf.DUMMYFUNCTION("""COMPUTED_VALUE"""),"NJN")</f>
        <v>NJN</v>
      </c>
      <c r="D3643" s="4" t="str">
        <f>IFERROR(__xludf.DUMMYFUNCTION("""COMPUTED_VALUE"""),"Mel Daniel")</f>
        <v>Mel Daniel</v>
      </c>
      <c r="E3643" s="4" t="str">
        <f>IFERROR(__xludf.DUMMYFUNCTION("""COMPUTED_VALUE"""),"Furman University")</f>
        <v>Furman University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</row>
    <row r="3644">
      <c r="A3644" s="4">
        <f>IFERROR(__xludf.DUMMYFUNCTION("""COMPUTED_VALUE"""),129.0)</f>
        <v>129</v>
      </c>
      <c r="B3644" s="4">
        <f>IFERROR(__xludf.DUMMYFUNCTION("""COMPUTED_VALUE"""),129.0)</f>
        <v>129</v>
      </c>
      <c r="C3644" s="4" t="str">
        <f>IFERROR(__xludf.DUMMYFUNCTION("""COMPUTED_VALUE"""),"GSW")</f>
        <v>GSW</v>
      </c>
      <c r="D3644" s="4" t="str">
        <f>IFERROR(__xludf.DUMMYFUNCTION("""COMPUTED_VALUE"""),"David Vann")</f>
        <v>David Vann</v>
      </c>
      <c r="E3644" s="4" t="str">
        <f>IFERROR(__xludf.DUMMYFUNCTION("""COMPUTED_VALUE"""),"Saint Mary's")</f>
        <v>Saint Mary's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</row>
    <row r="3645">
      <c r="A3645" s="4">
        <f>IFERROR(__xludf.DUMMYFUNCTION("""COMPUTED_VALUE"""),130.0)</f>
        <v>130</v>
      </c>
      <c r="B3645" s="4">
        <f>IFERROR(__xludf.DUMMYFUNCTION("""COMPUTED_VALUE"""),130.0)</f>
        <v>130</v>
      </c>
      <c r="C3645" s="4" t="str">
        <f>IFERROR(__xludf.DUMMYFUNCTION("""COMPUTED_VALUE"""),"PHO")</f>
        <v>PHO</v>
      </c>
      <c r="D3645" s="4" t="str">
        <f>IFERROR(__xludf.DUMMYFUNCTION("""COMPUTED_VALUE"""),"Jake Bethany")</f>
        <v>Jake Bethany</v>
      </c>
      <c r="E3645" s="4" t="str">
        <f>IFERROR(__xludf.DUMMYFUNCTION("""COMPUTED_VALUE"""),"Hardin-Simmons University")</f>
        <v>Hardin-Simmons University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</row>
    <row r="3646">
      <c r="A3646" s="4">
        <f>IFERROR(__xludf.DUMMYFUNCTION("""COMPUTED_VALUE"""),131.0)</f>
        <v>131</v>
      </c>
      <c r="B3646" s="4">
        <f>IFERROR(__xludf.DUMMYFUNCTION("""COMPUTED_VALUE"""),131.0)</f>
        <v>131</v>
      </c>
      <c r="C3646" s="4" t="str">
        <f>IFERROR(__xludf.DUMMYFUNCTION("""COMPUTED_VALUE"""),"DEN")</f>
        <v>DEN</v>
      </c>
      <c r="D3646" s="4" t="str">
        <f>IFERROR(__xludf.DUMMYFUNCTION("""COMPUTED_VALUE"""),"Chris Brust")</f>
        <v>Chris Brust</v>
      </c>
      <c r="E3646" s="4" t="str">
        <f>IFERROR(__xludf.DUMMYFUNCTION("""COMPUTED_VALUE"""),"UNC")</f>
        <v>UNC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</row>
    <row r="3647">
      <c r="A3647" s="4">
        <f>IFERROR(__xludf.DUMMYFUNCTION("""COMPUTED_VALUE"""),132.0)</f>
        <v>132</v>
      </c>
      <c r="B3647" s="4">
        <f>IFERROR(__xludf.DUMMYFUNCTION("""COMPUTED_VALUE"""),132.0)</f>
        <v>132</v>
      </c>
      <c r="C3647" s="4" t="str">
        <f>IFERROR(__xludf.DUMMYFUNCTION("""COMPUTED_VALUE"""),"HOU")</f>
        <v>HOU</v>
      </c>
      <c r="D3647" s="4" t="str">
        <f>IFERROR(__xludf.DUMMYFUNCTION("""COMPUTED_VALUE"""),"Don Wilson")</f>
        <v>Don Wilson</v>
      </c>
      <c r="E3647" s="4" t="str">
        <f>IFERROR(__xludf.DUMMYFUNCTION("""COMPUTED_VALUE"""),"Louisiana-Monroe")</f>
        <v>Louisiana-Monroe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</row>
    <row r="3648">
      <c r="A3648" s="4">
        <f>IFERROR(__xludf.DUMMYFUNCTION("""COMPUTED_VALUE"""),133.0)</f>
        <v>133</v>
      </c>
      <c r="B3648" s="4">
        <f>IFERROR(__xludf.DUMMYFUNCTION("""COMPUTED_VALUE"""),133.0)</f>
        <v>133</v>
      </c>
      <c r="C3648" s="4" t="str">
        <f>IFERROR(__xludf.DUMMYFUNCTION("""COMPUTED_VALUE"""),"SAS")</f>
        <v>SAS</v>
      </c>
      <c r="D3648" s="4" t="str">
        <f>IFERROR(__xludf.DUMMYFUNCTION("""COMPUTED_VALUE"""),"Jaime Pena")</f>
        <v>Jaime Pena</v>
      </c>
      <c r="E3648" s="4" t="str">
        <f>IFERROR(__xludf.DUMMYFUNCTION("""COMPUTED_VALUE"""),"New Mexico State")</f>
        <v>New Mexico State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</row>
    <row r="3649">
      <c r="A3649" s="4">
        <f>IFERROR(__xludf.DUMMYFUNCTION("""COMPUTED_VALUE"""),134.0)</f>
        <v>134</v>
      </c>
      <c r="B3649" s="4">
        <f>IFERROR(__xludf.DUMMYFUNCTION("""COMPUTED_VALUE"""),134.0)</f>
        <v>134</v>
      </c>
      <c r="C3649" s="4" t="str">
        <f>IFERROR(__xludf.DUMMYFUNCTION("""COMPUTED_VALUE"""),"SEA")</f>
        <v>SEA</v>
      </c>
      <c r="D3649" s="4" t="str">
        <f>IFERROR(__xludf.DUMMYFUNCTION("""COMPUTED_VALUE"""),"Bobby Potts")</f>
        <v>Bobby Potts</v>
      </c>
      <c r="E3649" s="4" t="str">
        <f>IFERROR(__xludf.DUMMYFUNCTION("""COMPUTED_VALUE"""),"UNC Charlotte")</f>
        <v>UNC Charlotte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</row>
    <row r="3650">
      <c r="A3650" s="4">
        <f>IFERROR(__xludf.DUMMYFUNCTION("""COMPUTED_VALUE"""),135.0)</f>
        <v>135</v>
      </c>
      <c r="B3650" s="4">
        <f>IFERROR(__xludf.DUMMYFUNCTION("""COMPUTED_VALUE"""),135.0)</f>
        <v>135</v>
      </c>
      <c r="C3650" s="4" t="str">
        <f>IFERROR(__xludf.DUMMYFUNCTION("""COMPUTED_VALUE"""),"MIL")</f>
        <v>MIL</v>
      </c>
      <c r="D3650" s="4" t="str">
        <f>IFERROR(__xludf.DUMMYFUNCTION("""COMPUTED_VALUE"""),"Tony Carr")</f>
        <v>Tony Carr</v>
      </c>
      <c r="E3650" s="4" t="str">
        <f>IFERROR(__xludf.DUMMYFUNCTION("""COMPUTED_VALUE"""),"University of Wisconsin-Eau Claire")</f>
        <v>University of Wisconsin-Eau Claire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</row>
    <row r="3651">
      <c r="A3651" s="4">
        <f>IFERROR(__xludf.DUMMYFUNCTION("""COMPUTED_VALUE"""),136.0)</f>
        <v>136</v>
      </c>
      <c r="B3651" s="4">
        <f>IFERROR(__xludf.DUMMYFUNCTION("""COMPUTED_VALUE"""),136.0)</f>
        <v>136</v>
      </c>
      <c r="C3651" s="4" t="str">
        <f>IFERROR(__xludf.DUMMYFUNCTION("""COMPUTED_VALUE"""),"LAL")</f>
        <v>LAL</v>
      </c>
      <c r="D3651" s="4" t="str">
        <f>IFERROR(__xludf.DUMMYFUNCTION("""COMPUTED_VALUE"""),"Lynden Rose")</f>
        <v>Lynden Rose</v>
      </c>
      <c r="E3651" s="4" t="str">
        <f>IFERROR(__xludf.DUMMYFUNCTION("""COMPUTED_VALUE"""),"Houston")</f>
        <v>Houston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</row>
    <row r="3652">
      <c r="A3652" s="4">
        <f>IFERROR(__xludf.DUMMYFUNCTION("""COMPUTED_VALUE"""),137.0)</f>
        <v>137</v>
      </c>
      <c r="B3652" s="4">
        <f>IFERROR(__xludf.DUMMYFUNCTION("""COMPUTED_VALUE"""),137.0)</f>
        <v>137</v>
      </c>
      <c r="C3652" s="4" t="str">
        <f>IFERROR(__xludf.DUMMYFUNCTION("""COMPUTED_VALUE"""),"PHI")</f>
        <v>PHI</v>
      </c>
      <c r="D3652" s="4" t="str">
        <f>IFERROR(__xludf.DUMMYFUNCTION("""COMPUTED_VALUE"""),"Kevin Boyle")</f>
        <v>Kevin Boyle</v>
      </c>
      <c r="E3652" s="4" t="str">
        <f>IFERROR(__xludf.DUMMYFUNCTION("""COMPUTED_VALUE"""),"Iowa")</f>
        <v>Iowa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</row>
    <row r="3653">
      <c r="A3653" s="4">
        <f>IFERROR(__xludf.DUMMYFUNCTION("""COMPUTED_VALUE"""),138.0)</f>
        <v>138</v>
      </c>
      <c r="B3653" s="4">
        <f>IFERROR(__xludf.DUMMYFUNCTION("""COMPUTED_VALUE"""),138.0)</f>
        <v>138</v>
      </c>
      <c r="C3653" s="4" t="str">
        <f>IFERROR(__xludf.DUMMYFUNCTION("""COMPUTED_VALUE"""),"BOS")</f>
        <v>BOS</v>
      </c>
      <c r="D3653" s="4" t="str">
        <f>IFERROR(__xludf.DUMMYFUNCTION("""COMPUTED_VALUE"""),"John Schweitz")</f>
        <v>John Schweitz</v>
      </c>
      <c r="E3653" s="4" t="str">
        <f>IFERROR(__xludf.DUMMYFUNCTION("""COMPUTED_VALUE"""),"Richmond")</f>
        <v>Richmond</v>
      </c>
      <c r="F3653" s="4">
        <f>IFERROR(__xludf.DUMMYFUNCTION("""COMPUTED_VALUE"""),2.0)</f>
        <v>2</v>
      </c>
      <c r="G3653" s="4">
        <f>IFERROR(__xludf.DUMMYFUNCTION("""COMPUTED_VALUE"""),22.0)</f>
        <v>22</v>
      </c>
      <c r="H3653" s="4">
        <f>IFERROR(__xludf.DUMMYFUNCTION("""COMPUTED_VALUE"""),117.0)</f>
        <v>117</v>
      </c>
      <c r="I3653" s="4">
        <f>IFERROR(__xludf.DUMMYFUNCTION("""COMPUTED_VALUE"""),57.0)</f>
        <v>57</v>
      </c>
      <c r="J3653" s="4">
        <f>IFERROR(__xludf.DUMMYFUNCTION("""COMPUTED_VALUE"""),22.0)</f>
        <v>22</v>
      </c>
      <c r="K3653" s="4">
        <f>IFERROR(__xludf.DUMMYFUNCTION("""COMPUTED_VALUE"""),18.0)</f>
        <v>18</v>
      </c>
      <c r="L3653" s="4">
        <f>IFERROR(__xludf.DUMMYFUNCTION("""COMPUTED_VALUE"""),0.333)</f>
        <v>0.333</v>
      </c>
      <c r="M3653" s="4">
        <f>IFERROR(__xludf.DUMMYFUNCTION("""COMPUTED_VALUE"""),0.0)</f>
        <v>0</v>
      </c>
      <c r="N3653" s="4">
        <f>IFERROR(__xludf.DUMMYFUNCTION("""COMPUTED_VALUE"""),0.7)</f>
        <v>0.7</v>
      </c>
      <c r="O3653" s="4">
        <f>IFERROR(__xludf.DUMMYFUNCTION("""COMPUTED_VALUE"""),5.3)</f>
        <v>5.3</v>
      </c>
      <c r="P3653" s="4">
        <f>IFERROR(__xludf.DUMMYFUNCTION("""COMPUTED_VALUE"""),2.6)</f>
        <v>2.6</v>
      </c>
      <c r="Q3653" s="4">
        <f>IFERROR(__xludf.DUMMYFUNCTION("""COMPUTED_VALUE"""),1.0)</f>
        <v>1</v>
      </c>
      <c r="R3653" s="4">
        <f>IFERROR(__xludf.DUMMYFUNCTION("""COMPUTED_VALUE"""),0.8)</f>
        <v>0.8</v>
      </c>
      <c r="S3653" s="4">
        <f>IFERROR(__xludf.DUMMYFUNCTION("""COMPUTED_VALUE"""),-0.5)</f>
        <v>-0.5</v>
      </c>
      <c r="T3653" s="4">
        <f>IFERROR(__xludf.DUMMYFUNCTION("""COMPUTED_VALUE"""),-0.207)</f>
        <v>-0.207</v>
      </c>
      <c r="U3653" s="4">
        <f>IFERROR(__xludf.DUMMYFUNCTION("""COMPUTED_VALUE"""),-11.6)</f>
        <v>-11.6</v>
      </c>
      <c r="V3653" s="4">
        <f>IFERROR(__xludf.DUMMYFUNCTION("""COMPUTED_VALUE"""),-0.3)</f>
        <v>-0.3</v>
      </c>
    </row>
    <row r="3654">
      <c r="A3654" s="4"/>
      <c r="B3654" s="4"/>
      <c r="C3654" s="4"/>
      <c r="D3654" s="4" t="str">
        <f>IFERROR(__xludf.DUMMYFUNCTION("""COMPUTED_VALUE"""),"Round 7")</f>
        <v>Round 7</v>
      </c>
      <c r="E3654" s="4"/>
      <c r="F3654" s="4"/>
      <c r="G3654" s="4" t="str">
        <f>IFERROR(__xludf.DUMMYFUNCTION("""COMPUTED_VALUE"""),"Totals")</f>
        <v>Totals</v>
      </c>
      <c r="H3654" s="4"/>
      <c r="I3654" s="4"/>
      <c r="J3654" s="4"/>
      <c r="K3654" s="4"/>
      <c r="L3654" s="4" t="str">
        <f>IFERROR(__xludf.DUMMYFUNCTION("""COMPUTED_VALUE"""),"Shooting")</f>
        <v>Shooting</v>
      </c>
      <c r="M3654" s="4"/>
      <c r="N3654" s="4"/>
      <c r="O3654" s="4" t="str">
        <f>IFERROR(__xludf.DUMMYFUNCTION("""COMPUTED_VALUE"""),"Per Game")</f>
        <v>Per Game</v>
      </c>
      <c r="P3654" s="4"/>
      <c r="Q3654" s="4"/>
      <c r="R3654" s="4"/>
      <c r="S3654" s="4" t="str">
        <f>IFERROR(__xludf.DUMMYFUNCTION("""COMPUTED_VALUE"""),"Advanced")</f>
        <v>Advanced</v>
      </c>
      <c r="T3654" s="4"/>
      <c r="U3654" s="4"/>
      <c r="V3654" s="4"/>
    </row>
    <row r="3655">
      <c r="A3655" s="4" t="str">
        <f>IFERROR(__xludf.DUMMYFUNCTION("""COMPUTED_VALUE"""),"Rk")</f>
        <v>Rk</v>
      </c>
      <c r="B3655" s="4" t="str">
        <f>IFERROR(__xludf.DUMMYFUNCTION("""COMPUTED_VALUE"""),"Pk")</f>
        <v>Pk</v>
      </c>
      <c r="C3655" s="4" t="str">
        <f>IFERROR(__xludf.DUMMYFUNCTION("""COMPUTED_VALUE"""),"Tm")</f>
        <v>Tm</v>
      </c>
      <c r="D3655" s="4" t="str">
        <f>IFERROR(__xludf.DUMMYFUNCTION("""COMPUTED_VALUE"""),"Player")</f>
        <v>Player</v>
      </c>
      <c r="E3655" s="4" t="str">
        <f>IFERROR(__xludf.DUMMYFUNCTION("""COMPUTED_VALUE"""),"College")</f>
        <v>College</v>
      </c>
      <c r="F3655" s="4" t="str">
        <f>IFERROR(__xludf.DUMMYFUNCTION("""COMPUTED_VALUE"""),"Yrs")</f>
        <v>Yrs</v>
      </c>
      <c r="G3655" s="4" t="str">
        <f>IFERROR(__xludf.DUMMYFUNCTION("""COMPUTED_VALUE"""),"G")</f>
        <v>G</v>
      </c>
      <c r="H3655" s="4" t="str">
        <f>IFERROR(__xludf.DUMMYFUNCTION("""COMPUTED_VALUE"""),"MP")</f>
        <v>MP</v>
      </c>
      <c r="I3655" s="4" t="str">
        <f>IFERROR(__xludf.DUMMYFUNCTION("""COMPUTED_VALUE"""),"PTS")</f>
        <v>PTS</v>
      </c>
      <c r="J3655" s="4" t="str">
        <f>IFERROR(__xludf.DUMMYFUNCTION("""COMPUTED_VALUE"""),"TRB")</f>
        <v>TRB</v>
      </c>
      <c r="K3655" s="4" t="str">
        <f>IFERROR(__xludf.DUMMYFUNCTION("""COMPUTED_VALUE"""),"AST")</f>
        <v>AST</v>
      </c>
      <c r="L3655" s="4" t="str">
        <f>IFERROR(__xludf.DUMMYFUNCTION("""COMPUTED_VALUE"""),"FG%")</f>
        <v>FG%</v>
      </c>
      <c r="M3655" s="4" t="str">
        <f>IFERROR(__xludf.DUMMYFUNCTION("""COMPUTED_VALUE"""),"3P%")</f>
        <v>3P%</v>
      </c>
      <c r="N3655" s="4" t="str">
        <f>IFERROR(__xludf.DUMMYFUNCTION("""COMPUTED_VALUE"""),"FT%")</f>
        <v>FT%</v>
      </c>
      <c r="O3655" s="4" t="str">
        <f>IFERROR(__xludf.DUMMYFUNCTION("""COMPUTED_VALUE"""),"MP")</f>
        <v>MP</v>
      </c>
      <c r="P3655" s="4" t="str">
        <f>IFERROR(__xludf.DUMMYFUNCTION("""COMPUTED_VALUE"""),"PTS")</f>
        <v>PTS</v>
      </c>
      <c r="Q3655" s="4" t="str">
        <f>IFERROR(__xludf.DUMMYFUNCTION("""COMPUTED_VALUE"""),"TRB")</f>
        <v>TRB</v>
      </c>
      <c r="R3655" s="4" t="str">
        <f>IFERROR(__xludf.DUMMYFUNCTION("""COMPUTED_VALUE"""),"AST")</f>
        <v>AST</v>
      </c>
      <c r="S3655" s="4" t="str">
        <f>IFERROR(__xludf.DUMMYFUNCTION("""COMPUTED_VALUE"""),"WS")</f>
        <v>WS</v>
      </c>
      <c r="T3655" s="4" t="str">
        <f>IFERROR(__xludf.DUMMYFUNCTION("""COMPUTED_VALUE"""),"WS/48")</f>
        <v>WS/48</v>
      </c>
      <c r="U3655" s="4" t="str">
        <f>IFERROR(__xludf.DUMMYFUNCTION("""COMPUTED_VALUE"""),"BPM")</f>
        <v>BPM</v>
      </c>
      <c r="V3655" s="4" t="str">
        <f>IFERROR(__xludf.DUMMYFUNCTION("""COMPUTED_VALUE"""),"VORP")</f>
        <v>VORP</v>
      </c>
    </row>
    <row r="3656">
      <c r="A3656" s="4">
        <f>IFERROR(__xludf.DUMMYFUNCTION("""COMPUTED_VALUE"""),139.0)</f>
        <v>139</v>
      </c>
      <c r="B3656" s="4">
        <f>IFERROR(__xludf.DUMMYFUNCTION("""COMPUTED_VALUE"""),139.0)</f>
        <v>139</v>
      </c>
      <c r="C3656" s="4" t="str">
        <f>IFERROR(__xludf.DUMMYFUNCTION("""COMPUTED_VALUE"""),"CLE")</f>
        <v>CLE</v>
      </c>
      <c r="D3656" s="4" t="str">
        <f>IFERROR(__xludf.DUMMYFUNCTION("""COMPUTED_VALUE"""),"Randy Reed")</f>
        <v>Randy Reed</v>
      </c>
      <c r="E3656" s="4" t="str">
        <f>IFERROR(__xludf.DUMMYFUNCTION("""COMPUTED_VALUE"""),"Kansas State")</f>
        <v>Kansas State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</row>
    <row r="3657">
      <c r="A3657" s="4">
        <f>IFERROR(__xludf.DUMMYFUNCTION("""COMPUTED_VALUE"""),140.0)</f>
        <v>140</v>
      </c>
      <c r="B3657" s="4">
        <f>IFERROR(__xludf.DUMMYFUNCTION("""COMPUTED_VALUE"""),140.0)</f>
        <v>140</v>
      </c>
      <c r="C3657" s="4" t="str">
        <f>IFERROR(__xludf.DUMMYFUNCTION("""COMPUTED_VALUE"""),"SDC")</f>
        <v>SDC</v>
      </c>
      <c r="D3657" s="4" t="str">
        <f>IFERROR(__xludf.DUMMYFUNCTION("""COMPUTED_VALUE"""),"Eddie Hughes")</f>
        <v>Eddie Hughes</v>
      </c>
      <c r="E3657" s="4" t="str">
        <f>IFERROR(__xludf.DUMMYFUNCTION("""COMPUTED_VALUE"""),"Colorado State")</f>
        <v>Colorado State</v>
      </c>
      <c r="F3657" s="4">
        <f>IFERROR(__xludf.DUMMYFUNCTION("""COMPUTED_VALUE"""),3.0)</f>
        <v>3</v>
      </c>
      <c r="G3657" s="4">
        <f>IFERROR(__xludf.DUMMYFUNCTION("""COMPUTED_VALUE"""),97.0)</f>
        <v>97</v>
      </c>
      <c r="H3657" s="4">
        <f>IFERROR(__xludf.DUMMYFUNCTION("""COMPUTED_VALUE"""),1158.0)</f>
        <v>1158</v>
      </c>
      <c r="I3657" s="4">
        <f>IFERROR(__xludf.DUMMYFUNCTION("""COMPUTED_VALUE"""),296.0)</f>
        <v>296</v>
      </c>
      <c r="J3657" s="4">
        <f>IFERROR(__xludf.DUMMYFUNCTION("""COMPUTED_VALUE"""),93.0)</f>
        <v>93</v>
      </c>
      <c r="K3657" s="4">
        <f>IFERROR(__xludf.DUMMYFUNCTION("""COMPUTED_VALUE"""),159.0)</f>
        <v>159</v>
      </c>
      <c r="L3657" s="4">
        <f>IFERROR(__xludf.DUMMYFUNCTION("""COMPUTED_VALUE"""),0.416)</f>
        <v>0.416</v>
      </c>
      <c r="M3657" s="4">
        <f>IFERROR(__xludf.DUMMYFUNCTION("""COMPUTED_VALUE"""),0.364)</f>
        <v>0.364</v>
      </c>
      <c r="N3657" s="4">
        <f>IFERROR(__xludf.DUMMYFUNCTION("""COMPUTED_VALUE"""),0.692)</f>
        <v>0.692</v>
      </c>
      <c r="O3657" s="4">
        <f>IFERROR(__xludf.DUMMYFUNCTION("""COMPUTED_VALUE"""),11.9)</f>
        <v>11.9</v>
      </c>
      <c r="P3657" s="4">
        <f>IFERROR(__xludf.DUMMYFUNCTION("""COMPUTED_VALUE"""),3.1)</f>
        <v>3.1</v>
      </c>
      <c r="Q3657" s="4">
        <f>IFERROR(__xludf.DUMMYFUNCTION("""COMPUTED_VALUE"""),1.0)</f>
        <v>1</v>
      </c>
      <c r="R3657" s="4">
        <f>IFERROR(__xludf.DUMMYFUNCTION("""COMPUTED_VALUE"""),1.6)</f>
        <v>1.6</v>
      </c>
      <c r="S3657" s="4">
        <f>IFERROR(__xludf.DUMMYFUNCTION("""COMPUTED_VALUE"""),1.5)</f>
        <v>1.5</v>
      </c>
      <c r="T3657" s="4">
        <f>IFERROR(__xludf.DUMMYFUNCTION("""COMPUTED_VALUE"""),0.06)</f>
        <v>0.06</v>
      </c>
      <c r="U3657" s="4">
        <f>IFERROR(__xludf.DUMMYFUNCTION("""COMPUTED_VALUE"""),-2.3)</f>
        <v>-2.3</v>
      </c>
      <c r="V3657" s="4">
        <f>IFERROR(__xludf.DUMMYFUNCTION("""COMPUTED_VALUE"""),-0.1)</f>
        <v>-0.1</v>
      </c>
    </row>
    <row r="3658">
      <c r="A3658" s="4">
        <f>IFERROR(__xludf.DUMMYFUNCTION("""COMPUTED_VALUE"""),141.0)</f>
        <v>141</v>
      </c>
      <c r="B3658" s="4">
        <f>IFERROR(__xludf.DUMMYFUNCTION("""COMPUTED_VALUE"""),141.0)</f>
        <v>141</v>
      </c>
      <c r="C3658" s="4" t="str">
        <f>IFERROR(__xludf.DUMMYFUNCTION("""COMPUTED_VALUE"""),"UTA")</f>
        <v>UTA</v>
      </c>
      <c r="D3658" s="4" t="str">
        <f>IFERROR(__xludf.DUMMYFUNCTION("""COMPUTED_VALUE"""),"Thad Garner")</f>
        <v>Thad Garner</v>
      </c>
      <c r="E3658" s="4" t="str">
        <f>IFERROR(__xludf.DUMMYFUNCTION("""COMPUTED_VALUE"""),"Michigan")</f>
        <v>Michigan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</row>
    <row r="3659">
      <c r="A3659" s="4">
        <f>IFERROR(__xludf.DUMMYFUNCTION("""COMPUTED_VALUE"""),142.0)</f>
        <v>142</v>
      </c>
      <c r="B3659" s="4">
        <f>IFERROR(__xludf.DUMMYFUNCTION("""COMPUTED_VALUE"""),142.0)</f>
        <v>142</v>
      </c>
      <c r="C3659" s="4" t="str">
        <f>IFERROR(__xludf.DUMMYFUNCTION("""COMPUTED_VALUE"""),"DAL")</f>
        <v>DAL</v>
      </c>
      <c r="D3659" s="4" t="str">
        <f>IFERROR(__xludf.DUMMYFUNCTION("""COMPUTED_VALUE"""),"Bob Grady")</f>
        <v>Bob Grady</v>
      </c>
      <c r="E3659" s="4" t="str">
        <f>IFERROR(__xludf.DUMMYFUNCTION("""COMPUTED_VALUE"""),"Northwestern")</f>
        <v>Northwestern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</row>
    <row r="3660">
      <c r="A3660" s="4">
        <f>IFERROR(__xludf.DUMMYFUNCTION("""COMPUTED_VALUE"""),143.0)</f>
        <v>143</v>
      </c>
      <c r="B3660" s="4">
        <f>IFERROR(__xludf.DUMMYFUNCTION("""COMPUTED_VALUE"""),143.0)</f>
        <v>143</v>
      </c>
      <c r="C3660" s="4" t="str">
        <f>IFERROR(__xludf.DUMMYFUNCTION("""COMPUTED_VALUE"""),"KCK")</f>
        <v>KCK</v>
      </c>
      <c r="D3660" s="4" t="str">
        <f>IFERROR(__xludf.DUMMYFUNCTION("""COMPUTED_VALUE"""),"Perry Range")</f>
        <v>Perry Range</v>
      </c>
      <c r="E3660" s="4" t="str">
        <f>IFERROR(__xludf.DUMMYFUNCTION("""COMPUTED_VALUE"""),"Illinois")</f>
        <v>Illinois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</row>
    <row r="3661">
      <c r="A3661" s="4">
        <f>IFERROR(__xludf.DUMMYFUNCTION("""COMPUTED_VALUE"""),144.0)</f>
        <v>144</v>
      </c>
      <c r="B3661" s="4">
        <f>IFERROR(__xludf.DUMMYFUNCTION("""COMPUTED_VALUE"""),144.0)</f>
        <v>144</v>
      </c>
      <c r="C3661" s="4" t="str">
        <f>IFERROR(__xludf.DUMMYFUNCTION("""COMPUTED_VALUE"""),"NYK")</f>
        <v>NYK</v>
      </c>
      <c r="D3661" s="4" t="str">
        <f>IFERROR(__xludf.DUMMYFUNCTION("""COMPUTED_VALUE"""),"Phil Seymore")</f>
        <v>Phil Seymore</v>
      </c>
      <c r="E3661" s="4" t="str">
        <f>IFERROR(__xludf.DUMMYFUNCTION("""COMPUTED_VALUE"""),"Canisius")</f>
        <v>Canisius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</row>
    <row r="3662">
      <c r="A3662" s="4">
        <f>IFERROR(__xludf.DUMMYFUNCTION("""COMPUTED_VALUE"""),145.0)</f>
        <v>145</v>
      </c>
      <c r="B3662" s="4">
        <f>IFERROR(__xludf.DUMMYFUNCTION("""COMPUTED_VALUE"""),145.0)</f>
        <v>145</v>
      </c>
      <c r="C3662" s="4" t="str">
        <f>IFERROR(__xludf.DUMMYFUNCTION("""COMPUTED_VALUE"""),"CHI")</f>
        <v>CHI</v>
      </c>
      <c r="D3662" s="4" t="str">
        <f>IFERROR(__xludf.DUMMYFUNCTION("""COMPUTED_VALUE"""),"Chuck Verderber")</f>
        <v>Chuck Verderber</v>
      </c>
      <c r="E3662" s="4" t="str">
        <f>IFERROR(__xludf.DUMMYFUNCTION("""COMPUTED_VALUE"""),"Kentucky")</f>
        <v>Kentucky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</row>
    <row r="3663">
      <c r="A3663" s="4">
        <f>IFERROR(__xludf.DUMMYFUNCTION("""COMPUTED_VALUE"""),146.0)</f>
        <v>146</v>
      </c>
      <c r="B3663" s="4">
        <f>IFERROR(__xludf.DUMMYFUNCTION("""COMPUTED_VALUE"""),146.0)</f>
        <v>146</v>
      </c>
      <c r="C3663" s="4" t="str">
        <f>IFERROR(__xludf.DUMMYFUNCTION("""COMPUTED_VALUE"""),"IND")</f>
        <v>IND</v>
      </c>
      <c r="D3663" s="4" t="str">
        <f>IFERROR(__xludf.DUMMYFUNCTION("""COMPUTED_VALUE"""),"Brad Leaf")</f>
        <v>Brad Leaf</v>
      </c>
      <c r="E3663" s="4" t="str">
        <f>IFERROR(__xludf.DUMMYFUNCTION("""COMPUTED_VALUE"""),"University of Evansville")</f>
        <v>University of Evansville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</row>
    <row r="3664">
      <c r="A3664" s="4">
        <f>IFERROR(__xludf.DUMMYFUNCTION("""COMPUTED_VALUE"""),147.0)</f>
        <v>147</v>
      </c>
      <c r="B3664" s="4">
        <f>IFERROR(__xludf.DUMMYFUNCTION("""COMPUTED_VALUE"""),147.0)</f>
        <v>147</v>
      </c>
      <c r="C3664" s="4" t="str">
        <f>IFERROR(__xludf.DUMMYFUNCTION("""COMPUTED_VALUE"""),"DET")</f>
        <v>DET</v>
      </c>
      <c r="D3664" s="4" t="str">
        <f>IFERROR(__xludf.DUMMYFUNCTION("""COMPUTED_VALUE"""),"Dean Marquardt")</f>
        <v>Dean Marquardt</v>
      </c>
      <c r="E3664" s="4" t="str">
        <f>IFERROR(__xludf.DUMMYFUNCTION("""COMPUTED_VALUE"""),"Marquette")</f>
        <v>Marquette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</row>
    <row r="3665">
      <c r="A3665" s="4">
        <f>IFERROR(__xludf.DUMMYFUNCTION("""COMPUTED_VALUE"""),148.0)</f>
        <v>148</v>
      </c>
      <c r="B3665" s="4">
        <f>IFERROR(__xludf.DUMMYFUNCTION("""COMPUTED_VALUE"""),148.0)</f>
        <v>148</v>
      </c>
      <c r="C3665" s="4" t="str">
        <f>IFERROR(__xludf.DUMMYFUNCTION("""COMPUTED_VALUE"""),"ATL")</f>
        <v>ATL</v>
      </c>
      <c r="D3665" s="4" t="str">
        <f>IFERROR(__xludf.DUMMYFUNCTION("""COMPUTED_VALUE"""),"Horace Wyatt")</f>
        <v>Horace Wyatt</v>
      </c>
      <c r="E3665" s="4" t="str">
        <f>IFERROR(__xludf.DUMMYFUNCTION("""COMPUTED_VALUE"""),"Clemson")</f>
        <v>Clemson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</row>
    <row r="3666">
      <c r="A3666" s="4">
        <f>IFERROR(__xludf.DUMMYFUNCTION("""COMPUTED_VALUE"""),149.0)</f>
        <v>149</v>
      </c>
      <c r="B3666" s="4">
        <f>IFERROR(__xludf.DUMMYFUNCTION("""COMPUTED_VALUE"""),149.0)</f>
        <v>149</v>
      </c>
      <c r="C3666" s="4" t="str">
        <f>IFERROR(__xludf.DUMMYFUNCTION("""COMPUTED_VALUE"""),"POR")</f>
        <v>POR</v>
      </c>
      <c r="D3666" s="4" t="str">
        <f>IFERROR(__xludf.DUMMYFUNCTION("""COMPUTED_VALUE"""),"Terry Long")</f>
        <v>Terry Long</v>
      </c>
      <c r="E3666" s="4" t="str">
        <f>IFERROR(__xludf.DUMMYFUNCTION("""COMPUTED_VALUE"""),"Lamar")</f>
        <v>Lamar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</row>
    <row r="3667">
      <c r="A3667" s="4">
        <f>IFERROR(__xludf.DUMMYFUNCTION("""COMPUTED_VALUE"""),150.0)</f>
        <v>150</v>
      </c>
      <c r="B3667" s="4">
        <f>IFERROR(__xludf.DUMMYFUNCTION("""COMPUTED_VALUE"""),150.0)</f>
        <v>150</v>
      </c>
      <c r="C3667" s="4" t="str">
        <f>IFERROR(__xludf.DUMMYFUNCTION("""COMPUTED_VALUE"""),"WSB")</f>
        <v>WSB</v>
      </c>
      <c r="D3667" s="4" t="str">
        <f>IFERROR(__xludf.DUMMYFUNCTION("""COMPUTED_VALUE"""),"Wendell Gibson")</f>
        <v>Wendell Gibson</v>
      </c>
      <c r="E3667" s="4" t="str">
        <f>IFERROR(__xludf.DUMMYFUNCTION("""COMPUTED_VALUE"""),"South Carolina")</f>
        <v>South Carolina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</row>
    <row r="3668">
      <c r="A3668" s="4">
        <f>IFERROR(__xludf.DUMMYFUNCTION("""COMPUTED_VALUE"""),151.0)</f>
        <v>151</v>
      </c>
      <c r="B3668" s="4">
        <f>IFERROR(__xludf.DUMMYFUNCTION("""COMPUTED_VALUE"""),151.0)</f>
        <v>151</v>
      </c>
      <c r="C3668" s="4" t="str">
        <f>IFERROR(__xludf.DUMMYFUNCTION("""COMPUTED_VALUE"""),"NJN")</f>
        <v>NJN</v>
      </c>
      <c r="D3668" s="4" t="str">
        <f>IFERROR(__xludf.DUMMYFUNCTION("""COMPUTED_VALUE"""),"Tony Anderson")</f>
        <v>Tony Anderson</v>
      </c>
      <c r="E3668" s="4" t="str">
        <f>IFERROR(__xludf.DUMMYFUNCTION("""COMPUTED_VALUE"""),"UCLA")</f>
        <v>UCLA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</row>
    <row r="3669">
      <c r="A3669" s="4">
        <f>IFERROR(__xludf.DUMMYFUNCTION("""COMPUTED_VALUE"""),152.0)</f>
        <v>152</v>
      </c>
      <c r="B3669" s="4">
        <f>IFERROR(__xludf.DUMMYFUNCTION("""COMPUTED_VALUE"""),152.0)</f>
        <v>152</v>
      </c>
      <c r="C3669" s="4" t="str">
        <f>IFERROR(__xludf.DUMMYFUNCTION("""COMPUTED_VALUE"""),"GSW")</f>
        <v>GSW</v>
      </c>
      <c r="D3669" s="4" t="str">
        <f>IFERROR(__xludf.DUMMYFUNCTION("""COMPUTED_VALUE"""),"Matt Waldron")</f>
        <v>Matt Waldron</v>
      </c>
      <c r="E3669" s="4" t="str">
        <f>IFERROR(__xludf.DUMMYFUNCTION("""COMPUTED_VALUE"""),"University of the Pacific")</f>
        <v>University of the Pacific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</row>
    <row r="3670">
      <c r="A3670" s="4">
        <f>IFERROR(__xludf.DUMMYFUNCTION("""COMPUTED_VALUE"""),153.0)</f>
        <v>153</v>
      </c>
      <c r="B3670" s="4">
        <f>IFERROR(__xludf.DUMMYFUNCTION("""COMPUTED_VALUE"""),153.0)</f>
        <v>153</v>
      </c>
      <c r="C3670" s="4" t="str">
        <f>IFERROR(__xludf.DUMMYFUNCTION("""COMPUTED_VALUE"""),"DEN")</f>
        <v>DEN</v>
      </c>
      <c r="D3670" s="4" t="str">
        <f>IFERROR(__xludf.DUMMYFUNCTION("""COMPUTED_VALUE"""),"Jeb Barlow")</f>
        <v>Jeb Barlow</v>
      </c>
      <c r="E3670" s="4" t="str">
        <f>IFERROR(__xludf.DUMMYFUNCTION("""COMPUTED_VALUE"""),"UNC")</f>
        <v>UNC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</row>
    <row r="3671">
      <c r="A3671" s="4">
        <f>IFERROR(__xludf.DUMMYFUNCTION("""COMPUTED_VALUE"""),154.0)</f>
        <v>154</v>
      </c>
      <c r="B3671" s="4">
        <f>IFERROR(__xludf.DUMMYFUNCTION("""COMPUTED_VALUE"""),154.0)</f>
        <v>154</v>
      </c>
      <c r="C3671" s="4" t="str">
        <f>IFERROR(__xludf.DUMMYFUNCTION("""COMPUTED_VALUE"""),"HOU")</f>
        <v>HOU</v>
      </c>
      <c r="D3671" s="4" t="str">
        <f>IFERROR(__xludf.DUMMYFUNCTION("""COMPUTED_VALUE"""),"Mike Helms")</f>
        <v>Mike Helms</v>
      </c>
      <c r="E3671" s="4" t="str">
        <f>IFERROR(__xludf.DUMMYFUNCTION("""COMPUTED_VALUE"""),"Wake Forest")</f>
        <v>Wake Forest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</row>
    <row r="3672">
      <c r="A3672" s="4">
        <f>IFERROR(__xludf.DUMMYFUNCTION("""COMPUTED_VALUE"""),155.0)</f>
        <v>155</v>
      </c>
      <c r="B3672" s="4">
        <f>IFERROR(__xludf.DUMMYFUNCTION("""COMPUTED_VALUE"""),155.0)</f>
        <v>155</v>
      </c>
      <c r="C3672" s="4" t="str">
        <f>IFERROR(__xludf.DUMMYFUNCTION("""COMPUTED_VALUE"""),"PHO")</f>
        <v>PHO</v>
      </c>
      <c r="D3672" s="4" t="str">
        <f>IFERROR(__xludf.DUMMYFUNCTION("""COMPUTED_VALUE"""),"Phil Ward")</f>
        <v>Phil Ward</v>
      </c>
      <c r="E3672" s="4" t="str">
        <f>IFERROR(__xludf.DUMMYFUNCTION("""COMPUTED_VALUE"""),"UNC Charlotte")</f>
        <v>UNC Charlotte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</row>
    <row r="3673">
      <c r="A3673" s="4">
        <f>IFERROR(__xludf.DUMMYFUNCTION("""COMPUTED_VALUE"""),156.0)</f>
        <v>156</v>
      </c>
      <c r="B3673" s="4">
        <f>IFERROR(__xludf.DUMMYFUNCTION("""COMPUTED_VALUE"""),156.0)</f>
        <v>156</v>
      </c>
      <c r="C3673" s="4" t="str">
        <f>IFERROR(__xludf.DUMMYFUNCTION("""COMPUTED_VALUE"""),"SAS")</f>
        <v>SAS</v>
      </c>
      <c r="D3673" s="4" t="str">
        <f>IFERROR(__xludf.DUMMYFUNCTION("""COMPUTED_VALUE"""),"Delonte Taylor")</f>
        <v>Delonte Taylor</v>
      </c>
      <c r="E3673" s="4" t="str">
        <f>IFERROR(__xludf.DUMMYFUNCTION("""COMPUTED_VALUE"""),"University of North Texas")</f>
        <v>University of North Texas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</row>
    <row r="3674">
      <c r="A3674" s="4">
        <f>IFERROR(__xludf.DUMMYFUNCTION("""COMPUTED_VALUE"""),157.0)</f>
        <v>157</v>
      </c>
      <c r="B3674" s="4">
        <f>IFERROR(__xludf.DUMMYFUNCTION("""COMPUTED_VALUE"""),157.0)</f>
        <v>157</v>
      </c>
      <c r="C3674" s="4" t="str">
        <f>IFERROR(__xludf.DUMMYFUNCTION("""COMPUTED_VALUE"""),"SEA")</f>
        <v>SEA</v>
      </c>
      <c r="D3674" s="4" t="str">
        <f>IFERROR(__xludf.DUMMYFUNCTION("""COMPUTED_VALUE"""),"Allen Rayhorn")</f>
        <v>Allen Rayhorn</v>
      </c>
      <c r="E3674" s="4" t="str">
        <f>IFERROR(__xludf.DUMMYFUNCTION("""COMPUTED_VALUE"""),"Northern Illinois")</f>
        <v>Northern Illinois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</row>
    <row r="3675">
      <c r="A3675" s="4">
        <f>IFERROR(__xludf.DUMMYFUNCTION("""COMPUTED_VALUE"""),158.0)</f>
        <v>158</v>
      </c>
      <c r="B3675" s="4">
        <f>IFERROR(__xludf.DUMMYFUNCTION("""COMPUTED_VALUE"""),158.0)</f>
        <v>158</v>
      </c>
      <c r="C3675" s="4" t="str">
        <f>IFERROR(__xludf.DUMMYFUNCTION("""COMPUTED_VALUE"""),"MIL")</f>
        <v>MIL</v>
      </c>
      <c r="D3675" s="4" t="str">
        <f>IFERROR(__xludf.DUMMYFUNCTION("""COMPUTED_VALUE"""),"Bobby Austin")</f>
        <v>Bobby Austin</v>
      </c>
      <c r="E3675" s="4" t="str">
        <f>IFERROR(__xludf.DUMMYFUNCTION("""COMPUTED_VALUE"""),"Cincinnati")</f>
        <v>Cincinnati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</row>
    <row r="3676">
      <c r="A3676" s="4">
        <f>IFERROR(__xludf.DUMMYFUNCTION("""COMPUTED_VALUE"""),159.0)</f>
        <v>159</v>
      </c>
      <c r="B3676" s="4">
        <f>IFERROR(__xludf.DUMMYFUNCTION("""COMPUTED_VALUE"""),159.0)</f>
        <v>159</v>
      </c>
      <c r="C3676" s="4" t="str">
        <f>IFERROR(__xludf.DUMMYFUNCTION("""COMPUTED_VALUE"""),"LAL")</f>
        <v>LAL</v>
      </c>
      <c r="D3676" s="4" t="str">
        <f>IFERROR(__xludf.DUMMYFUNCTION("""COMPUTED_VALUE"""),"Maurice Williams")</f>
        <v>Maurice Williams</v>
      </c>
      <c r="E3676" s="4" t="str">
        <f>IFERROR(__xludf.DUMMYFUNCTION("""COMPUTED_VALUE"""),"USC")</f>
        <v>USC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</row>
    <row r="3677">
      <c r="A3677" s="4">
        <f>IFERROR(__xludf.DUMMYFUNCTION("""COMPUTED_VALUE"""),160.0)</f>
        <v>160</v>
      </c>
      <c r="B3677" s="4">
        <f>IFERROR(__xludf.DUMMYFUNCTION("""COMPUTED_VALUE"""),160.0)</f>
        <v>160</v>
      </c>
      <c r="C3677" s="4" t="str">
        <f>IFERROR(__xludf.DUMMYFUNCTION("""COMPUTED_VALUE"""),"PHI")</f>
        <v>PHI</v>
      </c>
      <c r="D3677" s="4" t="str">
        <f>IFERROR(__xludf.DUMMYFUNCTION("""COMPUTED_VALUE"""),"Keith Hilliard")</f>
        <v>Keith Hilliard</v>
      </c>
      <c r="E3677" s="4" t="str">
        <f>IFERROR(__xludf.DUMMYFUNCTION("""COMPUTED_VALUE"""),"Missouri State")</f>
        <v>Missouri State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</row>
    <row r="3678">
      <c r="A3678" s="4">
        <f>IFERROR(__xludf.DUMMYFUNCTION("""COMPUTED_VALUE"""),161.0)</f>
        <v>161</v>
      </c>
      <c r="B3678" s="4">
        <f>IFERROR(__xludf.DUMMYFUNCTION("""COMPUTED_VALUE"""),161.0)</f>
        <v>161</v>
      </c>
      <c r="C3678" s="4" t="str">
        <f>IFERROR(__xludf.DUMMYFUNCTION("""COMPUTED_VALUE"""),"BOS")</f>
        <v>BOS</v>
      </c>
      <c r="D3678" s="4" t="str">
        <f>IFERROR(__xludf.DUMMYFUNCTION("""COMPUTED_VALUE"""),"Phil Collins")</f>
        <v>Phil Collins</v>
      </c>
      <c r="E3678" s="4" t="str">
        <f>IFERROR(__xludf.DUMMYFUNCTION("""COMPUTED_VALUE"""),"West Virginia")</f>
        <v>West Virginia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</row>
    <row r="3679">
      <c r="A3679" s="4"/>
      <c r="B3679" s="4"/>
      <c r="C3679" s="4"/>
      <c r="D3679" s="4" t="str">
        <f>IFERROR(__xludf.DUMMYFUNCTION("""COMPUTED_VALUE"""),"Round 8")</f>
        <v>Round 8</v>
      </c>
      <c r="E3679" s="4"/>
      <c r="F3679" s="4"/>
      <c r="G3679" s="4" t="str">
        <f>IFERROR(__xludf.DUMMYFUNCTION("""COMPUTED_VALUE"""),"Totals")</f>
        <v>Totals</v>
      </c>
      <c r="H3679" s="4"/>
      <c r="I3679" s="4"/>
      <c r="J3679" s="4"/>
      <c r="K3679" s="4"/>
      <c r="L3679" s="4" t="str">
        <f>IFERROR(__xludf.DUMMYFUNCTION("""COMPUTED_VALUE"""),"Shooting")</f>
        <v>Shooting</v>
      </c>
      <c r="M3679" s="4"/>
      <c r="N3679" s="4"/>
      <c r="O3679" s="4" t="str">
        <f>IFERROR(__xludf.DUMMYFUNCTION("""COMPUTED_VALUE"""),"Per Game")</f>
        <v>Per Game</v>
      </c>
      <c r="P3679" s="4"/>
      <c r="Q3679" s="4"/>
      <c r="R3679" s="4"/>
      <c r="S3679" s="4" t="str">
        <f>IFERROR(__xludf.DUMMYFUNCTION("""COMPUTED_VALUE"""),"Advanced")</f>
        <v>Advanced</v>
      </c>
      <c r="T3679" s="4"/>
      <c r="U3679" s="4"/>
      <c r="V3679" s="4"/>
    </row>
    <row r="3680">
      <c r="A3680" s="4" t="str">
        <f>IFERROR(__xludf.DUMMYFUNCTION("""COMPUTED_VALUE"""),"Rk")</f>
        <v>Rk</v>
      </c>
      <c r="B3680" s="4" t="str">
        <f>IFERROR(__xludf.DUMMYFUNCTION("""COMPUTED_VALUE"""),"Pk")</f>
        <v>Pk</v>
      </c>
      <c r="C3680" s="4" t="str">
        <f>IFERROR(__xludf.DUMMYFUNCTION("""COMPUTED_VALUE"""),"Tm")</f>
        <v>Tm</v>
      </c>
      <c r="D3680" s="4" t="str">
        <f>IFERROR(__xludf.DUMMYFUNCTION("""COMPUTED_VALUE"""),"Player")</f>
        <v>Player</v>
      </c>
      <c r="E3680" s="4" t="str">
        <f>IFERROR(__xludf.DUMMYFUNCTION("""COMPUTED_VALUE"""),"College")</f>
        <v>College</v>
      </c>
      <c r="F3680" s="4" t="str">
        <f>IFERROR(__xludf.DUMMYFUNCTION("""COMPUTED_VALUE"""),"Yrs")</f>
        <v>Yrs</v>
      </c>
      <c r="G3680" s="4" t="str">
        <f>IFERROR(__xludf.DUMMYFUNCTION("""COMPUTED_VALUE"""),"G")</f>
        <v>G</v>
      </c>
      <c r="H3680" s="4" t="str">
        <f>IFERROR(__xludf.DUMMYFUNCTION("""COMPUTED_VALUE"""),"MP")</f>
        <v>MP</v>
      </c>
      <c r="I3680" s="4" t="str">
        <f>IFERROR(__xludf.DUMMYFUNCTION("""COMPUTED_VALUE"""),"PTS")</f>
        <v>PTS</v>
      </c>
      <c r="J3680" s="4" t="str">
        <f>IFERROR(__xludf.DUMMYFUNCTION("""COMPUTED_VALUE"""),"TRB")</f>
        <v>TRB</v>
      </c>
      <c r="K3680" s="4" t="str">
        <f>IFERROR(__xludf.DUMMYFUNCTION("""COMPUTED_VALUE"""),"AST")</f>
        <v>AST</v>
      </c>
      <c r="L3680" s="4" t="str">
        <f>IFERROR(__xludf.DUMMYFUNCTION("""COMPUTED_VALUE"""),"FG%")</f>
        <v>FG%</v>
      </c>
      <c r="M3680" s="4" t="str">
        <f>IFERROR(__xludf.DUMMYFUNCTION("""COMPUTED_VALUE"""),"3P%")</f>
        <v>3P%</v>
      </c>
      <c r="N3680" s="4" t="str">
        <f>IFERROR(__xludf.DUMMYFUNCTION("""COMPUTED_VALUE"""),"FT%")</f>
        <v>FT%</v>
      </c>
      <c r="O3680" s="4" t="str">
        <f>IFERROR(__xludf.DUMMYFUNCTION("""COMPUTED_VALUE"""),"MP")</f>
        <v>MP</v>
      </c>
      <c r="P3680" s="4" t="str">
        <f>IFERROR(__xludf.DUMMYFUNCTION("""COMPUTED_VALUE"""),"PTS")</f>
        <v>PTS</v>
      </c>
      <c r="Q3680" s="4" t="str">
        <f>IFERROR(__xludf.DUMMYFUNCTION("""COMPUTED_VALUE"""),"TRB")</f>
        <v>TRB</v>
      </c>
      <c r="R3680" s="4" t="str">
        <f>IFERROR(__xludf.DUMMYFUNCTION("""COMPUTED_VALUE"""),"AST")</f>
        <v>AST</v>
      </c>
      <c r="S3680" s="4" t="str">
        <f>IFERROR(__xludf.DUMMYFUNCTION("""COMPUTED_VALUE"""),"WS")</f>
        <v>WS</v>
      </c>
      <c r="T3680" s="4" t="str">
        <f>IFERROR(__xludf.DUMMYFUNCTION("""COMPUTED_VALUE"""),"WS/48")</f>
        <v>WS/48</v>
      </c>
      <c r="U3680" s="4" t="str">
        <f>IFERROR(__xludf.DUMMYFUNCTION("""COMPUTED_VALUE"""),"BPM")</f>
        <v>BPM</v>
      </c>
      <c r="V3680" s="4" t="str">
        <f>IFERROR(__xludf.DUMMYFUNCTION("""COMPUTED_VALUE"""),"VORP")</f>
        <v>VORP</v>
      </c>
    </row>
    <row r="3681">
      <c r="A3681" s="4">
        <f>IFERROR(__xludf.DUMMYFUNCTION("""COMPUTED_VALUE"""),162.0)</f>
        <v>162</v>
      </c>
      <c r="B3681" s="4">
        <f>IFERROR(__xludf.DUMMYFUNCTION("""COMPUTED_VALUE"""),162.0)</f>
        <v>162</v>
      </c>
      <c r="C3681" s="4" t="str">
        <f>IFERROR(__xludf.DUMMYFUNCTION("""COMPUTED_VALUE"""),"CLE")</f>
        <v>CLE</v>
      </c>
      <c r="D3681" s="4" t="str">
        <f>IFERROR(__xludf.DUMMYFUNCTION("""COMPUTED_VALUE"""),"Monty Knight")</f>
        <v>Monty Knight</v>
      </c>
      <c r="E3681" s="4" t="str">
        <f>IFERROR(__xludf.DUMMYFUNCTION("""COMPUTED_VALUE"""),"VCU")</f>
        <v>VCU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</row>
    <row r="3682">
      <c r="A3682" s="4">
        <f>IFERROR(__xludf.DUMMYFUNCTION("""COMPUTED_VALUE"""),163.0)</f>
        <v>163</v>
      </c>
      <c r="B3682" s="4">
        <f>IFERROR(__xludf.DUMMYFUNCTION("""COMPUTED_VALUE"""),163.0)</f>
        <v>163</v>
      </c>
      <c r="C3682" s="4" t="str">
        <f>IFERROR(__xludf.DUMMYFUNCTION("""COMPUTED_VALUE"""),"SDC")</f>
        <v>SDC</v>
      </c>
      <c r="D3682" s="4" t="str">
        <f>IFERROR(__xludf.DUMMYFUNCTION("""COMPUTED_VALUE"""),"Jacques Tuz")</f>
        <v>Jacques Tuz</v>
      </c>
      <c r="E3682" s="4" t="str">
        <f>IFERROR(__xludf.DUMMYFUNCTION("""COMPUTED_VALUE"""),"Colorado")</f>
        <v>Colorado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</row>
    <row r="3683">
      <c r="A3683" s="4">
        <f>IFERROR(__xludf.DUMMYFUNCTION("""COMPUTED_VALUE"""),164.0)</f>
        <v>164</v>
      </c>
      <c r="B3683" s="4">
        <f>IFERROR(__xludf.DUMMYFUNCTION("""COMPUTED_VALUE"""),164.0)</f>
        <v>164</v>
      </c>
      <c r="C3683" s="4" t="str">
        <f>IFERROR(__xludf.DUMMYFUNCTION("""COMPUTED_VALUE"""),"UTA")</f>
        <v>UTA</v>
      </c>
      <c r="D3683" s="4" t="str">
        <f>IFERROR(__xludf.DUMMYFUNCTION("""COMPUTED_VALUE"""),"Rick Campbell")</f>
        <v>Rick Campbell</v>
      </c>
      <c r="E3683" s="4" t="str">
        <f>IFERROR(__xludf.DUMMYFUNCTION("""COMPUTED_VALUE"""),"Middle Tennessee")</f>
        <v>Middle Tennessee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</row>
    <row r="3684">
      <c r="A3684" s="4">
        <f>IFERROR(__xludf.DUMMYFUNCTION("""COMPUTED_VALUE"""),165.0)</f>
        <v>165</v>
      </c>
      <c r="B3684" s="4">
        <f>IFERROR(__xludf.DUMMYFUNCTION("""COMPUTED_VALUE"""),165.0)</f>
        <v>165</v>
      </c>
      <c r="C3684" s="4" t="str">
        <f>IFERROR(__xludf.DUMMYFUNCTION("""COMPUTED_VALUE"""),"DAL")</f>
        <v>DAL</v>
      </c>
      <c r="D3684" s="4" t="str">
        <f>IFERROR(__xludf.DUMMYFUNCTION("""COMPUTED_VALUE"""),"Keith Peterson")</f>
        <v>Keith Peterson</v>
      </c>
      <c r="E3684" s="4" t="str">
        <f>IFERROR(__xludf.DUMMYFUNCTION("""COMPUTED_VALUE"""),"Arkansas")</f>
        <v>Arkansas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</row>
    <row r="3685">
      <c r="A3685" s="4">
        <f>IFERROR(__xludf.DUMMYFUNCTION("""COMPUTED_VALUE"""),166.0)</f>
        <v>166</v>
      </c>
      <c r="B3685" s="4">
        <f>IFERROR(__xludf.DUMMYFUNCTION("""COMPUTED_VALUE"""),166.0)</f>
        <v>166</v>
      </c>
      <c r="C3685" s="4" t="str">
        <f>IFERROR(__xludf.DUMMYFUNCTION("""COMPUTED_VALUE"""),"KCK")</f>
        <v>KCK</v>
      </c>
      <c r="D3685" s="4" t="str">
        <f>IFERROR(__xludf.DUMMYFUNCTION("""COMPUTED_VALUE"""),"Ed Nealy")</f>
        <v>Ed Nealy</v>
      </c>
      <c r="E3685" s="4" t="str">
        <f>IFERROR(__xludf.DUMMYFUNCTION("""COMPUTED_VALUE"""),"Kansas State")</f>
        <v>Kansas State</v>
      </c>
      <c r="F3685" s="4">
        <f>IFERROR(__xludf.DUMMYFUNCTION("""COMPUTED_VALUE"""),10.0)</f>
        <v>10</v>
      </c>
      <c r="G3685" s="4">
        <f>IFERROR(__xludf.DUMMYFUNCTION("""COMPUTED_VALUE"""),540.0)</f>
        <v>540</v>
      </c>
      <c r="H3685" s="4">
        <f>IFERROR(__xludf.DUMMYFUNCTION("""COMPUTED_VALUE"""),6792.0)</f>
        <v>6792</v>
      </c>
      <c r="I3685" s="4">
        <f>IFERROR(__xludf.DUMMYFUNCTION("""COMPUTED_VALUE"""),1451.0)</f>
        <v>1451</v>
      </c>
      <c r="J3685" s="4">
        <f>IFERROR(__xludf.DUMMYFUNCTION("""COMPUTED_VALUE"""),1799.0)</f>
        <v>1799</v>
      </c>
      <c r="K3685" s="4">
        <f>IFERROR(__xludf.DUMMYFUNCTION("""COMPUTED_VALUE"""),392.0)</f>
        <v>392</v>
      </c>
      <c r="L3685" s="4">
        <f>IFERROR(__xludf.DUMMYFUNCTION("""COMPUTED_VALUE"""),0.498)</f>
        <v>0.498</v>
      </c>
      <c r="M3685" s="4">
        <f>IFERROR(__xludf.DUMMYFUNCTION("""COMPUTED_VALUE"""),0.292)</f>
        <v>0.292</v>
      </c>
      <c r="N3685" s="4">
        <f>IFERROR(__xludf.DUMMYFUNCTION("""COMPUTED_VALUE"""),0.684)</f>
        <v>0.684</v>
      </c>
      <c r="O3685" s="4">
        <f>IFERROR(__xludf.DUMMYFUNCTION("""COMPUTED_VALUE"""),12.6)</f>
        <v>12.6</v>
      </c>
      <c r="P3685" s="4">
        <f>IFERROR(__xludf.DUMMYFUNCTION("""COMPUTED_VALUE"""),2.7)</f>
        <v>2.7</v>
      </c>
      <c r="Q3685" s="4">
        <f>IFERROR(__xludf.DUMMYFUNCTION("""COMPUTED_VALUE"""),3.3)</f>
        <v>3.3</v>
      </c>
      <c r="R3685" s="4">
        <f>IFERROR(__xludf.DUMMYFUNCTION("""COMPUTED_VALUE"""),0.7)</f>
        <v>0.7</v>
      </c>
      <c r="S3685" s="4">
        <f>IFERROR(__xludf.DUMMYFUNCTION("""COMPUTED_VALUE"""),15.2)</f>
        <v>15.2</v>
      </c>
      <c r="T3685" s="4">
        <f>IFERROR(__xludf.DUMMYFUNCTION("""COMPUTED_VALUE"""),0.107)</f>
        <v>0.107</v>
      </c>
      <c r="U3685" s="4">
        <f>IFERROR(__xludf.DUMMYFUNCTION("""COMPUTED_VALUE"""),-0.7)</f>
        <v>-0.7</v>
      </c>
      <c r="V3685" s="4">
        <f>IFERROR(__xludf.DUMMYFUNCTION("""COMPUTED_VALUE"""),2.2)</f>
        <v>2.2</v>
      </c>
    </row>
    <row r="3686">
      <c r="A3686" s="4">
        <f>IFERROR(__xludf.DUMMYFUNCTION("""COMPUTED_VALUE"""),167.0)</f>
        <v>167</v>
      </c>
      <c r="B3686" s="4">
        <f>IFERROR(__xludf.DUMMYFUNCTION("""COMPUTED_VALUE"""),167.0)</f>
        <v>167</v>
      </c>
      <c r="C3686" s="4" t="str">
        <f>IFERROR(__xludf.DUMMYFUNCTION("""COMPUTED_VALUE"""),"NYK")</f>
        <v>NYK</v>
      </c>
      <c r="D3686" s="4" t="str">
        <f>IFERROR(__xludf.DUMMYFUNCTION("""COMPUTED_VALUE"""),"Dan Terwilliger")</f>
        <v>Dan Terwilliger</v>
      </c>
      <c r="E3686" s="4" t="str">
        <f>IFERROR(__xludf.DUMMYFUNCTION("""COMPUTED_VALUE"""),"Siena College")</f>
        <v>Siena College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</row>
    <row r="3687">
      <c r="A3687" s="4">
        <f>IFERROR(__xludf.DUMMYFUNCTION("""COMPUTED_VALUE"""),168.0)</f>
        <v>168</v>
      </c>
      <c r="B3687" s="4">
        <f>IFERROR(__xludf.DUMMYFUNCTION("""COMPUTED_VALUE"""),168.0)</f>
        <v>168</v>
      </c>
      <c r="C3687" s="4" t="str">
        <f>IFERROR(__xludf.DUMMYFUNCTION("""COMPUTED_VALUE"""),"CHI")</f>
        <v>CHI</v>
      </c>
      <c r="D3687" s="4" t="str">
        <f>IFERROR(__xludf.DUMMYFUNCTION("""COMPUTED_VALUE"""),"Mike Burns")</f>
        <v>Mike Burns</v>
      </c>
      <c r="E3687" s="4" t="str">
        <f>IFERROR(__xludf.DUMMYFUNCTION("""COMPUTED_VALUE"""),"UNLV")</f>
        <v>UNLV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</row>
    <row r="3688">
      <c r="A3688" s="4">
        <f>IFERROR(__xludf.DUMMYFUNCTION("""COMPUTED_VALUE"""),169.0)</f>
        <v>169</v>
      </c>
      <c r="B3688" s="4">
        <f>IFERROR(__xludf.DUMMYFUNCTION("""COMPUTED_VALUE"""),169.0)</f>
        <v>169</v>
      </c>
      <c r="C3688" s="4" t="str">
        <f>IFERROR(__xludf.DUMMYFUNCTION("""COMPUTED_VALUE"""),"IND")</f>
        <v>IND</v>
      </c>
      <c r="D3688" s="4" t="str">
        <f>IFERROR(__xludf.DUMMYFUNCTION("""COMPUTED_VALUE"""),"Donald Reese")</f>
        <v>Donald Reese</v>
      </c>
      <c r="E3688" s="4" t="str">
        <f>IFERROR(__xludf.DUMMYFUNCTION("""COMPUTED_VALUE"""),"Bradley")</f>
        <v>Bradley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</row>
    <row r="3689">
      <c r="A3689" s="4">
        <f>IFERROR(__xludf.DUMMYFUNCTION("""COMPUTED_VALUE"""),170.0)</f>
        <v>170</v>
      </c>
      <c r="B3689" s="4">
        <f>IFERROR(__xludf.DUMMYFUNCTION("""COMPUTED_VALUE"""),170.0)</f>
        <v>170</v>
      </c>
      <c r="C3689" s="4" t="str">
        <f>IFERROR(__xludf.DUMMYFUNCTION("""COMPUTED_VALUE"""),"DET")</f>
        <v>DET</v>
      </c>
      <c r="D3689" s="4" t="str">
        <f>IFERROR(__xludf.DUMMYFUNCTION("""COMPUTED_VALUE"""),"Brian Nyenhuis")</f>
        <v>Brian Nyenhuis</v>
      </c>
      <c r="E3689" s="4" t="str">
        <f>IFERROR(__xludf.DUMMYFUNCTION("""COMPUTED_VALUE"""),"Marquette")</f>
        <v>Marquette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</row>
    <row r="3690">
      <c r="A3690" s="4">
        <f>IFERROR(__xludf.DUMMYFUNCTION("""COMPUTED_VALUE"""),171.0)</f>
        <v>171</v>
      </c>
      <c r="B3690" s="4">
        <f>IFERROR(__xludf.DUMMYFUNCTION("""COMPUTED_VALUE"""),171.0)</f>
        <v>171</v>
      </c>
      <c r="C3690" s="4" t="str">
        <f>IFERROR(__xludf.DUMMYFUNCTION("""COMPUTED_VALUE"""),"POR")</f>
        <v>POR</v>
      </c>
      <c r="D3690" s="4" t="str">
        <f>IFERROR(__xludf.DUMMYFUNCTION("""COMPUTED_VALUE"""),"Dave Porter")</f>
        <v>Dave Porter</v>
      </c>
      <c r="E3690" s="4" t="str">
        <f>IFERROR(__xludf.DUMMYFUNCTION("""COMPUTED_VALUE"""),"Western Oregon University")</f>
        <v>Western Oregon University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</row>
    <row r="3691">
      <c r="A3691" s="4">
        <f>IFERROR(__xludf.DUMMYFUNCTION("""COMPUTED_VALUE"""),172.0)</f>
        <v>172</v>
      </c>
      <c r="B3691" s="4">
        <f>IFERROR(__xludf.DUMMYFUNCTION("""COMPUTED_VALUE"""),172.0)</f>
        <v>172</v>
      </c>
      <c r="C3691" s="4" t="str">
        <f>IFERROR(__xludf.DUMMYFUNCTION("""COMPUTED_VALUE"""),"ATL")</f>
        <v>ATL</v>
      </c>
      <c r="D3691" s="4" t="str">
        <f>IFERROR(__xludf.DUMMYFUNCTION("""COMPUTED_VALUE"""),"James Ratiff")</f>
        <v>James Ratiff</v>
      </c>
      <c r="E3691" s="4" t="str">
        <f>IFERROR(__xludf.DUMMYFUNCTION("""COMPUTED_VALUE"""),"Howard University")</f>
        <v>Howard University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</row>
    <row r="3692">
      <c r="A3692" s="4">
        <f>IFERROR(__xludf.DUMMYFUNCTION("""COMPUTED_VALUE"""),173.0)</f>
        <v>173</v>
      </c>
      <c r="B3692" s="4">
        <f>IFERROR(__xludf.DUMMYFUNCTION("""COMPUTED_VALUE"""),173.0)</f>
        <v>173</v>
      </c>
      <c r="C3692" s="4" t="str">
        <f>IFERROR(__xludf.DUMMYFUNCTION("""COMPUTED_VALUE"""),"WSB")</f>
        <v>WSB</v>
      </c>
      <c r="D3692" s="4" t="str">
        <f>IFERROR(__xludf.DUMMYFUNCTION("""COMPUTED_VALUE"""),"Ken Luck")</f>
        <v>Ken Luck</v>
      </c>
      <c r="E3692" s="4" t="str">
        <f>IFERROR(__xludf.DUMMYFUNCTION("""COMPUTED_VALUE"""),"University of Delaware")</f>
        <v>University of Delaware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</row>
    <row r="3693">
      <c r="A3693" s="4">
        <f>IFERROR(__xludf.DUMMYFUNCTION("""COMPUTED_VALUE"""),174.0)</f>
        <v>174</v>
      </c>
      <c r="B3693" s="4">
        <f>IFERROR(__xludf.DUMMYFUNCTION("""COMPUTED_VALUE"""),174.0)</f>
        <v>174</v>
      </c>
      <c r="C3693" s="4" t="str">
        <f>IFERROR(__xludf.DUMMYFUNCTION("""COMPUTED_VALUE"""),"NJN")</f>
        <v>NJN</v>
      </c>
      <c r="D3693" s="4" t="str">
        <f>IFERROR(__xludf.DUMMYFUNCTION("""COMPUTED_VALUE"""),"Otis Jackson")</f>
        <v>Otis Jackson</v>
      </c>
      <c r="E3693" s="4" t="str">
        <f>IFERROR(__xludf.DUMMYFUNCTION("""COMPUTED_VALUE"""),"Memphis")</f>
        <v>Memphis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</row>
    <row r="3694">
      <c r="A3694" s="4">
        <f>IFERROR(__xludf.DUMMYFUNCTION("""COMPUTED_VALUE"""),175.0)</f>
        <v>175</v>
      </c>
      <c r="B3694" s="4">
        <f>IFERROR(__xludf.DUMMYFUNCTION("""COMPUTED_VALUE"""),175.0)</f>
        <v>175</v>
      </c>
      <c r="C3694" s="4" t="str">
        <f>IFERROR(__xludf.DUMMYFUNCTION("""COMPUTED_VALUE"""),"GSW")</f>
        <v>GSW</v>
      </c>
      <c r="D3694" s="4" t="str">
        <f>IFERROR(__xludf.DUMMYFUNCTION("""COMPUTED_VALUE"""),"Mark King")</f>
        <v>Mark King</v>
      </c>
      <c r="E3694" s="4" t="str">
        <f>IFERROR(__xludf.DUMMYFUNCTION("""COMPUTED_VALUE"""),"Florida Southern College")</f>
        <v>Florida Southern College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</row>
    <row r="3695">
      <c r="A3695" s="4">
        <f>IFERROR(__xludf.DUMMYFUNCTION("""COMPUTED_VALUE"""),176.0)</f>
        <v>176</v>
      </c>
      <c r="B3695" s="4">
        <f>IFERROR(__xludf.DUMMYFUNCTION("""COMPUTED_VALUE"""),176.0)</f>
        <v>176</v>
      </c>
      <c r="C3695" s="4" t="str">
        <f>IFERROR(__xludf.DUMMYFUNCTION("""COMPUTED_VALUE"""),"HOU")</f>
        <v>HOU</v>
      </c>
      <c r="D3695" s="4" t="str">
        <f>IFERROR(__xludf.DUMMYFUNCTION("""COMPUTED_VALUE"""),"Dan Callandrillo")</f>
        <v>Dan Callandrillo</v>
      </c>
      <c r="E3695" s="4" t="str">
        <f>IFERROR(__xludf.DUMMYFUNCTION("""COMPUTED_VALUE"""),"Seton Hall")</f>
        <v>Seton Hall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</row>
    <row r="3696">
      <c r="A3696" s="4">
        <f>IFERROR(__xludf.DUMMYFUNCTION("""COMPUTED_VALUE"""),177.0)</f>
        <v>177</v>
      </c>
      <c r="B3696" s="4">
        <f>IFERROR(__xludf.DUMMYFUNCTION("""COMPUTED_VALUE"""),177.0)</f>
        <v>177</v>
      </c>
      <c r="C3696" s="4" t="str">
        <f>IFERROR(__xludf.DUMMYFUNCTION("""COMPUTED_VALUE"""),"PHO")</f>
        <v>PHO</v>
      </c>
      <c r="D3696" s="4" t="str">
        <f>IFERROR(__xludf.DUMMYFUNCTION("""COMPUTED_VALUE"""),"Rick Elrod")</f>
        <v>Rick Elrod</v>
      </c>
      <c r="E3696" s="4" t="str">
        <f>IFERROR(__xludf.DUMMYFUNCTION("""COMPUTED_VALUE"""),"Georgetown College")</f>
        <v>Georgetown College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</row>
    <row r="3697">
      <c r="A3697" s="4">
        <f>IFERROR(__xludf.DUMMYFUNCTION("""COMPUTED_VALUE"""),178.0)</f>
        <v>178</v>
      </c>
      <c r="B3697" s="4">
        <f>IFERROR(__xludf.DUMMYFUNCTION("""COMPUTED_VALUE"""),178.0)</f>
        <v>178</v>
      </c>
      <c r="C3697" s="4" t="str">
        <f>IFERROR(__xludf.DUMMYFUNCTION("""COMPUTED_VALUE"""),"DEN")</f>
        <v>DEN</v>
      </c>
      <c r="D3697" s="4" t="str">
        <f>IFERROR(__xludf.DUMMYFUNCTION("""COMPUTED_VALUE"""),"Donnie Speer")</f>
        <v>Donnie Speer</v>
      </c>
      <c r="E3697" s="4" t="str">
        <f>IFERROR(__xludf.DUMMYFUNCTION("""COMPUTED_VALUE"""),"UAB")</f>
        <v>UAB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</row>
    <row r="3698">
      <c r="A3698" s="4">
        <f>IFERROR(__xludf.DUMMYFUNCTION("""COMPUTED_VALUE"""),179.0)</f>
        <v>179</v>
      </c>
      <c r="B3698" s="4">
        <f>IFERROR(__xludf.DUMMYFUNCTION("""COMPUTED_VALUE"""),179.0)</f>
        <v>179</v>
      </c>
      <c r="C3698" s="4" t="str">
        <f>IFERROR(__xludf.DUMMYFUNCTION("""COMPUTED_VALUE"""),"SAS")</f>
        <v>SAS</v>
      </c>
      <c r="D3698" s="4" t="str">
        <f>IFERROR(__xludf.DUMMYFUNCTION("""COMPUTED_VALUE"""),"Chris Faggi")</f>
        <v>Chris Faggi</v>
      </c>
      <c r="E3698" s="4" t="str">
        <f>IFERROR(__xludf.DUMMYFUNCTION("""COMPUTED_VALUE"""),"Memphis")</f>
        <v>Memphis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</row>
    <row r="3699">
      <c r="A3699" s="4">
        <f>IFERROR(__xludf.DUMMYFUNCTION("""COMPUTED_VALUE"""),180.0)</f>
        <v>180</v>
      </c>
      <c r="B3699" s="4">
        <f>IFERROR(__xludf.DUMMYFUNCTION("""COMPUTED_VALUE"""),180.0)</f>
        <v>180</v>
      </c>
      <c r="C3699" s="4" t="str">
        <f>IFERROR(__xludf.DUMMYFUNCTION("""COMPUTED_VALUE"""),"SEA")</f>
        <v>SEA</v>
      </c>
      <c r="D3699" s="4" t="str">
        <f>IFERROR(__xludf.DUMMYFUNCTION("""COMPUTED_VALUE"""),"Steve Burks")</f>
        <v>Steve Burks</v>
      </c>
      <c r="E3699" s="4" t="str">
        <f>IFERROR(__xludf.DUMMYFUNCTION("""COMPUTED_VALUE"""),"Washington")</f>
        <v>Washington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</row>
    <row r="3700">
      <c r="A3700" s="4">
        <f>IFERROR(__xludf.DUMMYFUNCTION("""COMPUTED_VALUE"""),181.0)</f>
        <v>181</v>
      </c>
      <c r="B3700" s="4">
        <f>IFERROR(__xludf.DUMMYFUNCTION("""COMPUTED_VALUE"""),181.0)</f>
        <v>181</v>
      </c>
      <c r="C3700" s="4" t="str">
        <f>IFERROR(__xludf.DUMMYFUNCTION("""COMPUTED_VALUE"""),"MIL")</f>
        <v>MIL</v>
      </c>
      <c r="D3700" s="4" t="str">
        <f>IFERROR(__xludf.DUMMYFUNCTION("""COMPUTED_VALUE"""),"Bryan Leonard")</f>
        <v>Bryan Leonard</v>
      </c>
      <c r="E3700" s="4" t="str">
        <f>IFERROR(__xludf.DUMMYFUNCTION("""COMPUTED_VALUE"""),"Illinois")</f>
        <v>Illinois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</row>
    <row r="3701">
      <c r="A3701" s="4">
        <f>IFERROR(__xludf.DUMMYFUNCTION("""COMPUTED_VALUE"""),182.0)</f>
        <v>182</v>
      </c>
      <c r="B3701" s="4">
        <f>IFERROR(__xludf.DUMMYFUNCTION("""COMPUTED_VALUE"""),182.0)</f>
        <v>182</v>
      </c>
      <c r="C3701" s="4" t="str">
        <f>IFERROR(__xludf.DUMMYFUNCTION("""COMPUTED_VALUE"""),"LAL")</f>
        <v>LAL</v>
      </c>
      <c r="D3701" s="4" t="str">
        <f>IFERROR(__xludf.DUMMYFUNCTION("""COMPUTED_VALUE"""),"Micah Blunt")</f>
        <v>Micah Blunt</v>
      </c>
      <c r="E3701" s="4" t="str">
        <f>IFERROR(__xludf.DUMMYFUNCTION("""COMPUTED_VALUE"""),"Tulane")</f>
        <v>Tulane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</row>
    <row r="3702">
      <c r="A3702" s="4">
        <f>IFERROR(__xludf.DUMMYFUNCTION("""COMPUTED_VALUE"""),183.0)</f>
        <v>183</v>
      </c>
      <c r="B3702" s="4">
        <f>IFERROR(__xludf.DUMMYFUNCTION("""COMPUTED_VALUE"""),183.0)</f>
        <v>183</v>
      </c>
      <c r="C3702" s="4" t="str">
        <f>IFERROR(__xludf.DUMMYFUNCTION("""COMPUTED_VALUE"""),"PHI")</f>
        <v>PHI</v>
      </c>
      <c r="D3702" s="4" t="str">
        <f>IFERROR(__xludf.DUMMYFUNCTION("""COMPUTED_VALUE"""),"Donald Seals")</f>
        <v>Donald Seals</v>
      </c>
      <c r="E3702" s="4" t="str">
        <f>IFERROR(__xludf.DUMMYFUNCTION("""COMPUTED_VALUE"""),"Jackson State University")</f>
        <v>Jackson State University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</row>
    <row r="3703">
      <c r="A3703" s="4">
        <f>IFERROR(__xludf.DUMMYFUNCTION("""COMPUTED_VALUE"""),184.0)</f>
        <v>184</v>
      </c>
      <c r="B3703" s="4">
        <f>IFERROR(__xludf.DUMMYFUNCTION("""COMPUTED_VALUE"""),184.0)</f>
        <v>184</v>
      </c>
      <c r="C3703" s="4" t="str">
        <f>IFERROR(__xludf.DUMMYFUNCTION("""COMPUTED_VALUE"""),"BOS")</f>
        <v>BOS</v>
      </c>
      <c r="D3703" s="4" t="str">
        <f>IFERROR(__xludf.DUMMYFUNCTION("""COMPUTED_VALUE"""),"Ed Spriggs")</f>
        <v>Ed Spriggs</v>
      </c>
      <c r="E3703" s="4" t="str">
        <f>IFERROR(__xludf.DUMMYFUNCTION("""COMPUTED_VALUE"""),"Georgetown")</f>
        <v>Georgetown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</row>
    <row r="3704">
      <c r="A3704" s="4"/>
      <c r="B3704" s="4"/>
      <c r="C3704" s="4"/>
      <c r="D3704" s="4" t="str">
        <f>IFERROR(__xludf.DUMMYFUNCTION("""COMPUTED_VALUE"""),"Round 9")</f>
        <v>Round 9</v>
      </c>
      <c r="E3704" s="4"/>
      <c r="F3704" s="4"/>
      <c r="G3704" s="4" t="str">
        <f>IFERROR(__xludf.DUMMYFUNCTION("""COMPUTED_VALUE"""),"Totals")</f>
        <v>Totals</v>
      </c>
      <c r="H3704" s="4"/>
      <c r="I3704" s="4"/>
      <c r="J3704" s="4"/>
      <c r="K3704" s="4"/>
      <c r="L3704" s="4" t="str">
        <f>IFERROR(__xludf.DUMMYFUNCTION("""COMPUTED_VALUE"""),"Shooting")</f>
        <v>Shooting</v>
      </c>
      <c r="M3704" s="4"/>
      <c r="N3704" s="4"/>
      <c r="O3704" s="4" t="str">
        <f>IFERROR(__xludf.DUMMYFUNCTION("""COMPUTED_VALUE"""),"Per Game")</f>
        <v>Per Game</v>
      </c>
      <c r="P3704" s="4"/>
      <c r="Q3704" s="4"/>
      <c r="R3704" s="4"/>
      <c r="S3704" s="4" t="str">
        <f>IFERROR(__xludf.DUMMYFUNCTION("""COMPUTED_VALUE"""),"Advanced")</f>
        <v>Advanced</v>
      </c>
      <c r="T3704" s="4"/>
      <c r="U3704" s="4"/>
      <c r="V3704" s="4"/>
    </row>
    <row r="3705">
      <c r="A3705" s="4" t="str">
        <f>IFERROR(__xludf.DUMMYFUNCTION("""COMPUTED_VALUE"""),"Rk")</f>
        <v>Rk</v>
      </c>
      <c r="B3705" s="4" t="str">
        <f>IFERROR(__xludf.DUMMYFUNCTION("""COMPUTED_VALUE"""),"Pk")</f>
        <v>Pk</v>
      </c>
      <c r="C3705" s="4" t="str">
        <f>IFERROR(__xludf.DUMMYFUNCTION("""COMPUTED_VALUE"""),"Tm")</f>
        <v>Tm</v>
      </c>
      <c r="D3705" s="4" t="str">
        <f>IFERROR(__xludf.DUMMYFUNCTION("""COMPUTED_VALUE"""),"Player")</f>
        <v>Player</v>
      </c>
      <c r="E3705" s="4" t="str">
        <f>IFERROR(__xludf.DUMMYFUNCTION("""COMPUTED_VALUE"""),"College")</f>
        <v>College</v>
      </c>
      <c r="F3705" s="4" t="str">
        <f>IFERROR(__xludf.DUMMYFUNCTION("""COMPUTED_VALUE"""),"Yrs")</f>
        <v>Yrs</v>
      </c>
      <c r="G3705" s="4" t="str">
        <f>IFERROR(__xludf.DUMMYFUNCTION("""COMPUTED_VALUE"""),"G")</f>
        <v>G</v>
      </c>
      <c r="H3705" s="4" t="str">
        <f>IFERROR(__xludf.DUMMYFUNCTION("""COMPUTED_VALUE"""),"MP")</f>
        <v>MP</v>
      </c>
      <c r="I3705" s="4" t="str">
        <f>IFERROR(__xludf.DUMMYFUNCTION("""COMPUTED_VALUE"""),"PTS")</f>
        <v>PTS</v>
      </c>
      <c r="J3705" s="4" t="str">
        <f>IFERROR(__xludf.DUMMYFUNCTION("""COMPUTED_VALUE"""),"TRB")</f>
        <v>TRB</v>
      </c>
      <c r="K3705" s="4" t="str">
        <f>IFERROR(__xludf.DUMMYFUNCTION("""COMPUTED_VALUE"""),"AST")</f>
        <v>AST</v>
      </c>
      <c r="L3705" s="4" t="str">
        <f>IFERROR(__xludf.DUMMYFUNCTION("""COMPUTED_VALUE"""),"FG%")</f>
        <v>FG%</v>
      </c>
      <c r="M3705" s="4" t="str">
        <f>IFERROR(__xludf.DUMMYFUNCTION("""COMPUTED_VALUE"""),"3P%")</f>
        <v>3P%</v>
      </c>
      <c r="N3705" s="4" t="str">
        <f>IFERROR(__xludf.DUMMYFUNCTION("""COMPUTED_VALUE"""),"FT%")</f>
        <v>FT%</v>
      </c>
      <c r="O3705" s="4" t="str">
        <f>IFERROR(__xludf.DUMMYFUNCTION("""COMPUTED_VALUE"""),"MP")</f>
        <v>MP</v>
      </c>
      <c r="P3705" s="4" t="str">
        <f>IFERROR(__xludf.DUMMYFUNCTION("""COMPUTED_VALUE"""),"PTS")</f>
        <v>PTS</v>
      </c>
      <c r="Q3705" s="4" t="str">
        <f>IFERROR(__xludf.DUMMYFUNCTION("""COMPUTED_VALUE"""),"TRB")</f>
        <v>TRB</v>
      </c>
      <c r="R3705" s="4" t="str">
        <f>IFERROR(__xludf.DUMMYFUNCTION("""COMPUTED_VALUE"""),"AST")</f>
        <v>AST</v>
      </c>
      <c r="S3705" s="4" t="str">
        <f>IFERROR(__xludf.DUMMYFUNCTION("""COMPUTED_VALUE"""),"WS")</f>
        <v>WS</v>
      </c>
      <c r="T3705" s="4" t="str">
        <f>IFERROR(__xludf.DUMMYFUNCTION("""COMPUTED_VALUE"""),"WS/48")</f>
        <v>WS/48</v>
      </c>
      <c r="U3705" s="4" t="str">
        <f>IFERROR(__xludf.DUMMYFUNCTION("""COMPUTED_VALUE"""),"BPM")</f>
        <v>BPM</v>
      </c>
      <c r="V3705" s="4" t="str">
        <f>IFERROR(__xludf.DUMMYFUNCTION("""COMPUTED_VALUE"""),"VORP")</f>
        <v>VORP</v>
      </c>
    </row>
    <row r="3706">
      <c r="A3706" s="4">
        <f>IFERROR(__xludf.DUMMYFUNCTION("""COMPUTED_VALUE"""),185.0)</f>
        <v>185</v>
      </c>
      <c r="B3706" s="4">
        <f>IFERROR(__xludf.DUMMYFUNCTION("""COMPUTED_VALUE"""),185.0)</f>
        <v>185</v>
      </c>
      <c r="C3706" s="4" t="str">
        <f>IFERROR(__xludf.DUMMYFUNCTION("""COMPUTED_VALUE"""),"CLE")</f>
        <v>CLE</v>
      </c>
      <c r="D3706" s="4" t="str">
        <f>IFERROR(__xludf.DUMMYFUNCTION("""COMPUTED_VALUE"""),"Tony Hafley")</f>
        <v>Tony Hafley</v>
      </c>
      <c r="E3706" s="4" t="str">
        <f>IFERROR(__xludf.DUMMYFUNCTION("""COMPUTED_VALUE"""),"University of South Alabama")</f>
        <v>University of South Alabama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</row>
    <row r="3707">
      <c r="A3707" s="4">
        <f>IFERROR(__xludf.DUMMYFUNCTION("""COMPUTED_VALUE"""),186.0)</f>
        <v>186</v>
      </c>
      <c r="B3707" s="4">
        <f>IFERROR(__xludf.DUMMYFUNCTION("""COMPUTED_VALUE"""),186.0)</f>
        <v>186</v>
      </c>
      <c r="C3707" s="4" t="str">
        <f>IFERROR(__xludf.DUMMYFUNCTION("""COMPUTED_VALUE"""),"SDC")</f>
        <v>SDC</v>
      </c>
      <c r="D3707" s="4" t="str">
        <f>IFERROR(__xludf.DUMMYFUNCTION("""COMPUTED_VALUE"""),"John Hegwood")</f>
        <v>John Hegwood</v>
      </c>
      <c r="E3707" s="4" t="str">
        <f>IFERROR(__xludf.DUMMYFUNCTION("""COMPUTED_VALUE"""),"San Francisco")</f>
        <v>San Francisco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</row>
    <row r="3708">
      <c r="A3708" s="4">
        <f>IFERROR(__xludf.DUMMYFUNCTION("""COMPUTED_VALUE"""),187.0)</f>
        <v>187</v>
      </c>
      <c r="B3708" s="4">
        <f>IFERROR(__xludf.DUMMYFUNCTION("""COMPUTED_VALUE"""),187.0)</f>
        <v>187</v>
      </c>
      <c r="C3708" s="4" t="str">
        <f>IFERROR(__xludf.DUMMYFUNCTION("""COMPUTED_VALUE"""),"UTA")</f>
        <v>UTA</v>
      </c>
      <c r="D3708" s="4" t="str">
        <f>IFERROR(__xludf.DUMMYFUNCTION("""COMPUTED_VALUE"""),"Riley Clarida")</f>
        <v>Riley Clarida</v>
      </c>
      <c r="E3708" s="4" t="str">
        <f>IFERROR(__xludf.DUMMYFUNCTION("""COMPUTED_VALUE"""),"Long Island University")</f>
        <v>Long Island University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</row>
    <row r="3709">
      <c r="A3709" s="4">
        <f>IFERROR(__xludf.DUMMYFUNCTION("""COMPUTED_VALUE"""),188.0)</f>
        <v>188</v>
      </c>
      <c r="B3709" s="4">
        <f>IFERROR(__xludf.DUMMYFUNCTION("""COMPUTED_VALUE"""),188.0)</f>
        <v>188</v>
      </c>
      <c r="C3709" s="4" t="str">
        <f>IFERROR(__xludf.DUMMYFUNCTION("""COMPUTED_VALUE"""),"DAL")</f>
        <v>DAL</v>
      </c>
      <c r="D3709" s="4" t="str">
        <f>IFERROR(__xludf.DUMMYFUNCTION("""COMPUTED_VALUE"""),"Ralph McPherson")</f>
        <v>Ralph McPherson</v>
      </c>
      <c r="E3709" s="4" t="str">
        <f>IFERROR(__xludf.DUMMYFUNCTION("""COMPUTED_VALUE"""),"UT Arlington")</f>
        <v>UT Arlington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</row>
    <row r="3710">
      <c r="A3710" s="4">
        <f>IFERROR(__xludf.DUMMYFUNCTION("""COMPUTED_VALUE"""),189.0)</f>
        <v>189</v>
      </c>
      <c r="B3710" s="4">
        <f>IFERROR(__xludf.DUMMYFUNCTION("""COMPUTED_VALUE"""),189.0)</f>
        <v>189</v>
      </c>
      <c r="C3710" s="4" t="str">
        <f>IFERROR(__xludf.DUMMYFUNCTION("""COMPUTED_VALUE"""),"KCK")</f>
        <v>KCK</v>
      </c>
      <c r="D3710" s="4" t="str">
        <f>IFERROR(__xludf.DUMMYFUNCTION("""COMPUTED_VALUE"""),"Jack Moore")</f>
        <v>Jack Moore</v>
      </c>
      <c r="E3710" s="4" t="str">
        <f>IFERROR(__xludf.DUMMYFUNCTION("""COMPUTED_VALUE"""),"Nebraska")</f>
        <v>Nebraska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</row>
    <row r="3711">
      <c r="A3711" s="4">
        <f>IFERROR(__xludf.DUMMYFUNCTION("""COMPUTED_VALUE"""),190.0)</f>
        <v>190</v>
      </c>
      <c r="B3711" s="4">
        <f>IFERROR(__xludf.DUMMYFUNCTION("""COMPUTED_VALUE"""),190.0)</f>
        <v>190</v>
      </c>
      <c r="C3711" s="4" t="str">
        <f>IFERROR(__xludf.DUMMYFUNCTION("""COMPUTED_VALUE"""),"NYK")</f>
        <v>NYK</v>
      </c>
      <c r="D3711" s="4" t="str">
        <f>IFERROR(__xludf.DUMMYFUNCTION("""COMPUTED_VALUE"""),"Merle Scott")</f>
        <v>Merle Scott</v>
      </c>
      <c r="E3711" s="4" t="str">
        <f>IFERROR(__xludf.DUMMYFUNCTION("""COMPUTED_VALUE"""),"South Carolina State")</f>
        <v>South Carolina State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</row>
    <row r="3712">
      <c r="A3712" s="4">
        <f>IFERROR(__xludf.DUMMYFUNCTION("""COMPUTED_VALUE"""),191.0)</f>
        <v>191</v>
      </c>
      <c r="B3712" s="4">
        <f>IFERROR(__xludf.DUMMYFUNCTION("""COMPUTED_VALUE"""),191.0)</f>
        <v>191</v>
      </c>
      <c r="C3712" s="4" t="str">
        <f>IFERROR(__xludf.DUMMYFUNCTION("""COMPUTED_VALUE"""),"CHI")</f>
        <v>CHI</v>
      </c>
      <c r="D3712" s="4" t="str">
        <f>IFERROR(__xludf.DUMMYFUNCTION("""COMPUTED_VALUE"""),"Skip Dillard")</f>
        <v>Skip Dillard</v>
      </c>
      <c r="E3712" s="4" t="str">
        <f>IFERROR(__xludf.DUMMYFUNCTION("""COMPUTED_VALUE"""),"DePaul")</f>
        <v>DePaul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</row>
    <row r="3713">
      <c r="A3713" s="4">
        <f>IFERROR(__xludf.DUMMYFUNCTION("""COMPUTED_VALUE"""),192.0)</f>
        <v>192</v>
      </c>
      <c r="B3713" s="4">
        <f>IFERROR(__xludf.DUMMYFUNCTION("""COMPUTED_VALUE"""),192.0)</f>
        <v>192</v>
      </c>
      <c r="C3713" s="4" t="str">
        <f>IFERROR(__xludf.DUMMYFUNCTION("""COMPUTED_VALUE"""),"IND")</f>
        <v>IND</v>
      </c>
      <c r="D3713" s="4" t="str">
        <f>IFERROR(__xludf.DUMMYFUNCTION("""COMPUTED_VALUE"""),"Mike Scearce")</f>
        <v>Mike Scearce</v>
      </c>
      <c r="E3713" s="4" t="str">
        <f>IFERROR(__xludf.DUMMYFUNCTION("""COMPUTED_VALUE"""),"Purdue")</f>
        <v>Purdue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</row>
    <row r="3714">
      <c r="A3714" s="4">
        <f>IFERROR(__xludf.DUMMYFUNCTION("""COMPUTED_VALUE"""),193.0)</f>
        <v>193</v>
      </c>
      <c r="B3714" s="4">
        <f>IFERROR(__xludf.DUMMYFUNCTION("""COMPUTED_VALUE"""),193.0)</f>
        <v>193</v>
      </c>
      <c r="C3714" s="4" t="str">
        <f>IFERROR(__xludf.DUMMYFUNCTION("""COMPUTED_VALUE"""),"DET")</f>
        <v>DET</v>
      </c>
      <c r="D3714" s="4" t="str">
        <f>IFERROR(__xludf.DUMMYFUNCTION("""COMPUTED_VALUE"""),"Kevin Smith")</f>
        <v>Kevin Smith</v>
      </c>
      <c r="E3714" s="4" t="str">
        <f>IFERROR(__xludf.DUMMYFUNCTION("""COMPUTED_VALUE"""),"Michigan State")</f>
        <v>Michigan State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</row>
    <row r="3715">
      <c r="A3715" s="4">
        <f>IFERROR(__xludf.DUMMYFUNCTION("""COMPUTED_VALUE"""),194.0)</f>
        <v>194</v>
      </c>
      <c r="B3715" s="4">
        <f>IFERROR(__xludf.DUMMYFUNCTION("""COMPUTED_VALUE"""),194.0)</f>
        <v>194</v>
      </c>
      <c r="C3715" s="4" t="str">
        <f>IFERROR(__xludf.DUMMYFUNCTION("""COMPUTED_VALUE"""),"ATL")</f>
        <v>ATL</v>
      </c>
      <c r="D3715" s="4" t="str">
        <f>IFERROR(__xludf.DUMMYFUNCTION("""COMPUTED_VALUE"""),"Pierre Bland")</f>
        <v>Pierre Bland</v>
      </c>
      <c r="E3715" s="4" t="str">
        <f>IFERROR(__xludf.DUMMYFUNCTION("""COMPUTED_VALUE"""),"Elizabeth City State University")</f>
        <v>Elizabeth City State University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</row>
    <row r="3716">
      <c r="A3716" s="4">
        <f>IFERROR(__xludf.DUMMYFUNCTION("""COMPUTED_VALUE"""),195.0)</f>
        <v>195</v>
      </c>
      <c r="B3716" s="4">
        <f>IFERROR(__xludf.DUMMYFUNCTION("""COMPUTED_VALUE"""),195.0)</f>
        <v>195</v>
      </c>
      <c r="C3716" s="4" t="str">
        <f>IFERROR(__xludf.DUMMYFUNCTION("""COMPUTED_VALUE"""),"POR")</f>
        <v>POR</v>
      </c>
      <c r="D3716" s="4" t="str">
        <f>IFERROR(__xludf.DUMMYFUNCTION("""COMPUTED_VALUE"""),"Mark Dearborn")</f>
        <v>Mark Dearborn</v>
      </c>
      <c r="E3716" s="4" t="str">
        <f>IFERROR(__xludf.DUMMYFUNCTION("""COMPUTED_VALUE"""),"Saint Joseph's")</f>
        <v>Saint Joseph's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</row>
    <row r="3717">
      <c r="A3717" s="4">
        <f>IFERROR(__xludf.DUMMYFUNCTION("""COMPUTED_VALUE"""),196.0)</f>
        <v>196</v>
      </c>
      <c r="B3717" s="4">
        <f>IFERROR(__xludf.DUMMYFUNCTION("""COMPUTED_VALUE"""),196.0)</f>
        <v>196</v>
      </c>
      <c r="C3717" s="4" t="str">
        <f>IFERROR(__xludf.DUMMYFUNCTION("""COMPUTED_VALUE"""),"WSB")</f>
        <v>WSB</v>
      </c>
      <c r="D3717" s="4" t="str">
        <f>IFERROR(__xludf.DUMMYFUNCTION("""COMPUTED_VALUE"""),"James Terry")</f>
        <v>James Terry</v>
      </c>
      <c r="E3717" s="4" t="str">
        <f>IFERROR(__xludf.DUMMYFUNCTION("""COMPUTED_VALUE"""),"Howard University")</f>
        <v>Howard University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</row>
    <row r="3718">
      <c r="A3718" s="4">
        <f>IFERROR(__xludf.DUMMYFUNCTION("""COMPUTED_VALUE"""),197.0)</f>
        <v>197</v>
      </c>
      <c r="B3718" s="4">
        <f>IFERROR(__xludf.DUMMYFUNCTION("""COMPUTED_VALUE"""),197.0)</f>
        <v>197</v>
      </c>
      <c r="C3718" s="4" t="str">
        <f>IFERROR(__xludf.DUMMYFUNCTION("""COMPUTED_VALUE"""),"NJN")</f>
        <v>NJN</v>
      </c>
      <c r="D3718" s="4" t="str">
        <f>IFERROR(__xludf.DUMMYFUNCTION("""COMPUTED_VALUE"""),"Gary Johnson")</f>
        <v>Gary Johnson</v>
      </c>
      <c r="E3718" s="4" t="str">
        <f>IFERROR(__xludf.DUMMYFUNCTION("""COMPUTED_VALUE"""),"Oral Roberts")</f>
        <v>Oral Roberts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</row>
    <row r="3719">
      <c r="A3719" s="4">
        <f>IFERROR(__xludf.DUMMYFUNCTION("""COMPUTED_VALUE"""),198.0)</f>
        <v>198</v>
      </c>
      <c r="B3719" s="4">
        <f>IFERROR(__xludf.DUMMYFUNCTION("""COMPUTED_VALUE"""),198.0)</f>
        <v>198</v>
      </c>
      <c r="C3719" s="4" t="str">
        <f>IFERROR(__xludf.DUMMYFUNCTION("""COMPUTED_VALUE"""),"GSW")</f>
        <v>GSW</v>
      </c>
      <c r="D3719" s="4" t="str">
        <f>IFERROR(__xludf.DUMMYFUNCTION("""COMPUTED_VALUE"""),"Nick Morken")</f>
        <v>Nick Morken</v>
      </c>
      <c r="E3719" s="4" t="str">
        <f>IFERROR(__xludf.DUMMYFUNCTION("""COMPUTED_VALUE"""),"Tennessee")</f>
        <v>Tennessee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</row>
    <row r="3720">
      <c r="A3720" s="4">
        <f>IFERROR(__xludf.DUMMYFUNCTION("""COMPUTED_VALUE"""),199.0)</f>
        <v>199</v>
      </c>
      <c r="B3720" s="4">
        <f>IFERROR(__xludf.DUMMYFUNCTION("""COMPUTED_VALUE"""),199.0)</f>
        <v>199</v>
      </c>
      <c r="C3720" s="4" t="str">
        <f>IFERROR(__xludf.DUMMYFUNCTION("""COMPUTED_VALUE"""),"PHO")</f>
        <v>PHO</v>
      </c>
      <c r="D3720" s="4" t="str">
        <f>IFERROR(__xludf.DUMMYFUNCTION("""COMPUTED_VALUE"""),"Ken Lyles")</f>
        <v>Ken Lyles</v>
      </c>
      <c r="E3720" s="4" t="str">
        <f>IFERROR(__xludf.DUMMYFUNCTION("""COMPUTED_VALUE"""),"Washington")</f>
        <v>Washington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</row>
    <row r="3721">
      <c r="A3721" s="4">
        <f>IFERROR(__xludf.DUMMYFUNCTION("""COMPUTED_VALUE"""),200.0)</f>
        <v>200</v>
      </c>
      <c r="B3721" s="4">
        <f>IFERROR(__xludf.DUMMYFUNCTION("""COMPUTED_VALUE"""),200.0)</f>
        <v>200</v>
      </c>
      <c r="C3721" s="4" t="str">
        <f>IFERROR(__xludf.DUMMYFUNCTION("""COMPUTED_VALUE"""),"DEN")</f>
        <v>DEN</v>
      </c>
      <c r="D3721" s="4" t="str">
        <f>IFERROR(__xludf.DUMMYFUNCTION("""COMPUTED_VALUE"""),"Dean Sears")</f>
        <v>Dean Sears</v>
      </c>
      <c r="E3721" s="4" t="str">
        <f>IFERROR(__xludf.DUMMYFUNCTION("""COMPUTED_VALUE"""),"UCLA")</f>
        <v>UCLA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</row>
    <row r="3722">
      <c r="A3722" s="4">
        <f>IFERROR(__xludf.DUMMYFUNCTION("""COMPUTED_VALUE"""),201.0)</f>
        <v>201</v>
      </c>
      <c r="B3722" s="4">
        <f>IFERROR(__xludf.DUMMYFUNCTION("""COMPUTED_VALUE"""),201.0)</f>
        <v>201</v>
      </c>
      <c r="C3722" s="4" t="str">
        <f>IFERROR(__xludf.DUMMYFUNCTION("""COMPUTED_VALUE"""),"SAS")</f>
        <v>SAS</v>
      </c>
      <c r="D3722" s="4" t="str">
        <f>IFERROR(__xludf.DUMMYFUNCTION("""COMPUTED_VALUE"""),"Harry O'Brien")</f>
        <v>Harry O'Brien</v>
      </c>
      <c r="E3722" s="4" t="str">
        <f>IFERROR(__xludf.DUMMYFUNCTION("""COMPUTED_VALUE"""),"St. Mary's University")</f>
        <v>St. Mary's University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</row>
    <row r="3723">
      <c r="A3723" s="4">
        <f>IFERROR(__xludf.DUMMYFUNCTION("""COMPUTED_VALUE"""),202.0)</f>
        <v>202</v>
      </c>
      <c r="B3723" s="4">
        <f>IFERROR(__xludf.DUMMYFUNCTION("""COMPUTED_VALUE"""),202.0)</f>
        <v>202</v>
      </c>
      <c r="C3723" s="4" t="str">
        <f>IFERROR(__xludf.DUMMYFUNCTION("""COMPUTED_VALUE"""),"MIL")</f>
        <v>MIL</v>
      </c>
      <c r="D3723" s="4" t="str">
        <f>IFERROR(__xludf.DUMMYFUNCTION("""COMPUTED_VALUE"""),"Robert Tate")</f>
        <v>Robert Tate</v>
      </c>
      <c r="E3723" s="4" t="str">
        <f>IFERROR(__xludf.DUMMYFUNCTION("""COMPUTED_VALUE"""),"Idaho State University")</f>
        <v>Idaho State University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</row>
    <row r="3724">
      <c r="A3724" s="4">
        <f>IFERROR(__xludf.DUMMYFUNCTION("""COMPUTED_VALUE"""),203.0)</f>
        <v>203</v>
      </c>
      <c r="B3724" s="4">
        <f>IFERROR(__xludf.DUMMYFUNCTION("""COMPUTED_VALUE"""),203.0)</f>
        <v>203</v>
      </c>
      <c r="C3724" s="4" t="str">
        <f>IFERROR(__xludf.DUMMYFUNCTION("""COMPUTED_VALUE"""),"LAL")</f>
        <v>LAL</v>
      </c>
      <c r="D3724" s="4" t="str">
        <f>IFERROR(__xludf.DUMMYFUNCTION("""COMPUTED_VALUE"""),"Tim Byrne")</f>
        <v>Tim Byrne</v>
      </c>
      <c r="E3724" s="4" t="str">
        <f>IFERROR(__xludf.DUMMYFUNCTION("""COMPUTED_VALUE"""),"Rutgers University")</f>
        <v>Rutgers University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</row>
    <row r="3725">
      <c r="A3725" s="4">
        <f>IFERROR(__xludf.DUMMYFUNCTION("""COMPUTED_VALUE"""),204.0)</f>
        <v>204</v>
      </c>
      <c r="B3725" s="4">
        <f>IFERROR(__xludf.DUMMYFUNCTION("""COMPUTED_VALUE"""),204.0)</f>
        <v>204</v>
      </c>
      <c r="C3725" s="4" t="str">
        <f>IFERROR(__xludf.DUMMYFUNCTION("""COMPUTED_VALUE"""),"PHI")</f>
        <v>PHI</v>
      </c>
      <c r="D3725" s="4" t="str">
        <f>IFERROR(__xludf.DUMMYFUNCTION("""COMPUTED_VALUE"""),"George Melton")</f>
        <v>George Melton</v>
      </c>
      <c r="E3725" s="4" t="str">
        <f>IFERROR(__xludf.DUMMYFUNCTION("""COMPUTED_VALUE"""),"Cheyney (PA)")</f>
        <v>Cheyney (PA)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</row>
    <row r="3726">
      <c r="A3726" s="4">
        <f>IFERROR(__xludf.DUMMYFUNCTION("""COMPUTED_VALUE"""),205.0)</f>
        <v>205</v>
      </c>
      <c r="B3726" s="4">
        <f>IFERROR(__xludf.DUMMYFUNCTION("""COMPUTED_VALUE"""),205.0)</f>
        <v>205</v>
      </c>
      <c r="C3726" s="4" t="str">
        <f>IFERROR(__xludf.DUMMYFUNCTION("""COMPUTED_VALUE"""),"BOS")</f>
        <v>BOS</v>
      </c>
      <c r="D3726" s="4" t="str">
        <f>IFERROR(__xludf.DUMMYFUNCTION("""COMPUTED_VALUE"""),"Panagiotis Giannakis")</f>
        <v>Panagiotis Giannakis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</row>
    <row r="3727">
      <c r="A3727" s="4"/>
      <c r="B3727" s="4"/>
      <c r="C3727" s="4"/>
      <c r="D3727" s="4" t="str">
        <f>IFERROR(__xludf.DUMMYFUNCTION("""COMPUTED_VALUE"""),"Round 10")</f>
        <v>Round 10</v>
      </c>
      <c r="E3727" s="4"/>
      <c r="F3727" s="4"/>
      <c r="G3727" s="4" t="str">
        <f>IFERROR(__xludf.DUMMYFUNCTION("""COMPUTED_VALUE"""),"Totals")</f>
        <v>Totals</v>
      </c>
      <c r="H3727" s="4"/>
      <c r="I3727" s="4"/>
      <c r="J3727" s="4"/>
      <c r="K3727" s="4"/>
      <c r="L3727" s="4" t="str">
        <f>IFERROR(__xludf.DUMMYFUNCTION("""COMPUTED_VALUE"""),"Shooting")</f>
        <v>Shooting</v>
      </c>
      <c r="M3727" s="4"/>
      <c r="N3727" s="4"/>
      <c r="O3727" s="4" t="str">
        <f>IFERROR(__xludf.DUMMYFUNCTION("""COMPUTED_VALUE"""),"Per Game")</f>
        <v>Per Game</v>
      </c>
      <c r="P3727" s="4"/>
      <c r="Q3727" s="4"/>
      <c r="R3727" s="4"/>
      <c r="S3727" s="4" t="str">
        <f>IFERROR(__xludf.DUMMYFUNCTION("""COMPUTED_VALUE"""),"Advanced")</f>
        <v>Advanced</v>
      </c>
      <c r="T3727" s="4"/>
      <c r="U3727" s="4"/>
      <c r="V3727" s="4"/>
    </row>
    <row r="3728">
      <c r="A3728" s="4" t="str">
        <f>IFERROR(__xludf.DUMMYFUNCTION("""COMPUTED_VALUE"""),"Rk")</f>
        <v>Rk</v>
      </c>
      <c r="B3728" s="4" t="str">
        <f>IFERROR(__xludf.DUMMYFUNCTION("""COMPUTED_VALUE"""),"Pk")</f>
        <v>Pk</v>
      </c>
      <c r="C3728" s="4" t="str">
        <f>IFERROR(__xludf.DUMMYFUNCTION("""COMPUTED_VALUE"""),"Tm")</f>
        <v>Tm</v>
      </c>
      <c r="D3728" s="4" t="str">
        <f>IFERROR(__xludf.DUMMYFUNCTION("""COMPUTED_VALUE"""),"Player")</f>
        <v>Player</v>
      </c>
      <c r="E3728" s="4" t="str">
        <f>IFERROR(__xludf.DUMMYFUNCTION("""COMPUTED_VALUE"""),"College")</f>
        <v>College</v>
      </c>
      <c r="F3728" s="4" t="str">
        <f>IFERROR(__xludf.DUMMYFUNCTION("""COMPUTED_VALUE"""),"Yrs")</f>
        <v>Yrs</v>
      </c>
      <c r="G3728" s="4" t="str">
        <f>IFERROR(__xludf.DUMMYFUNCTION("""COMPUTED_VALUE"""),"G")</f>
        <v>G</v>
      </c>
      <c r="H3728" s="4" t="str">
        <f>IFERROR(__xludf.DUMMYFUNCTION("""COMPUTED_VALUE"""),"MP")</f>
        <v>MP</v>
      </c>
      <c r="I3728" s="4" t="str">
        <f>IFERROR(__xludf.DUMMYFUNCTION("""COMPUTED_VALUE"""),"PTS")</f>
        <v>PTS</v>
      </c>
      <c r="J3728" s="4" t="str">
        <f>IFERROR(__xludf.DUMMYFUNCTION("""COMPUTED_VALUE"""),"TRB")</f>
        <v>TRB</v>
      </c>
      <c r="K3728" s="4" t="str">
        <f>IFERROR(__xludf.DUMMYFUNCTION("""COMPUTED_VALUE"""),"AST")</f>
        <v>AST</v>
      </c>
      <c r="L3728" s="4" t="str">
        <f>IFERROR(__xludf.DUMMYFUNCTION("""COMPUTED_VALUE"""),"FG%")</f>
        <v>FG%</v>
      </c>
      <c r="M3728" s="4" t="str">
        <f>IFERROR(__xludf.DUMMYFUNCTION("""COMPUTED_VALUE"""),"3P%")</f>
        <v>3P%</v>
      </c>
      <c r="N3728" s="4" t="str">
        <f>IFERROR(__xludf.DUMMYFUNCTION("""COMPUTED_VALUE"""),"FT%")</f>
        <v>FT%</v>
      </c>
      <c r="O3728" s="4" t="str">
        <f>IFERROR(__xludf.DUMMYFUNCTION("""COMPUTED_VALUE"""),"MP")</f>
        <v>MP</v>
      </c>
      <c r="P3728" s="4" t="str">
        <f>IFERROR(__xludf.DUMMYFUNCTION("""COMPUTED_VALUE"""),"PTS")</f>
        <v>PTS</v>
      </c>
      <c r="Q3728" s="4" t="str">
        <f>IFERROR(__xludf.DUMMYFUNCTION("""COMPUTED_VALUE"""),"TRB")</f>
        <v>TRB</v>
      </c>
      <c r="R3728" s="4" t="str">
        <f>IFERROR(__xludf.DUMMYFUNCTION("""COMPUTED_VALUE"""),"AST")</f>
        <v>AST</v>
      </c>
      <c r="S3728" s="4" t="str">
        <f>IFERROR(__xludf.DUMMYFUNCTION("""COMPUTED_VALUE"""),"WS")</f>
        <v>WS</v>
      </c>
      <c r="T3728" s="4" t="str">
        <f>IFERROR(__xludf.DUMMYFUNCTION("""COMPUTED_VALUE"""),"WS/48")</f>
        <v>WS/48</v>
      </c>
      <c r="U3728" s="4" t="str">
        <f>IFERROR(__xludf.DUMMYFUNCTION("""COMPUTED_VALUE"""),"BPM")</f>
        <v>BPM</v>
      </c>
      <c r="V3728" s="4" t="str">
        <f>IFERROR(__xludf.DUMMYFUNCTION("""COMPUTED_VALUE"""),"VORP")</f>
        <v>VORP</v>
      </c>
    </row>
    <row r="3729">
      <c r="A3729" s="4">
        <f>IFERROR(__xludf.DUMMYFUNCTION("""COMPUTED_VALUE"""),206.0)</f>
        <v>206</v>
      </c>
      <c r="B3729" s="4">
        <f>IFERROR(__xludf.DUMMYFUNCTION("""COMPUTED_VALUE"""),206.0)</f>
        <v>206</v>
      </c>
      <c r="C3729" s="4" t="str">
        <f>IFERROR(__xludf.DUMMYFUNCTION("""COMPUTED_VALUE"""),"CLE")</f>
        <v>CLE</v>
      </c>
      <c r="D3729" s="4" t="str">
        <f>IFERROR(__xludf.DUMMYFUNCTION("""COMPUTED_VALUE"""),"Durand Walker")</f>
        <v>Durand Walker</v>
      </c>
      <c r="E3729" s="4" t="str">
        <f>IFERROR(__xludf.DUMMYFUNCTION("""COMPUTED_VALUE"""),"Indiana Wesleyan University")</f>
        <v>Indiana Wesleyan University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</row>
    <row r="3730">
      <c r="A3730" s="4">
        <f>IFERROR(__xludf.DUMMYFUNCTION("""COMPUTED_VALUE"""),207.0)</f>
        <v>207</v>
      </c>
      <c r="B3730" s="4">
        <f>IFERROR(__xludf.DUMMYFUNCTION("""COMPUTED_VALUE"""),207.0)</f>
        <v>207</v>
      </c>
      <c r="C3730" s="4" t="str">
        <f>IFERROR(__xludf.DUMMYFUNCTION("""COMPUTED_VALUE"""),"SDC")</f>
        <v>SDC</v>
      </c>
      <c r="D3730" s="4" t="str">
        <f>IFERROR(__xludf.DUMMYFUNCTION("""COMPUTED_VALUE"""),"Daryl Stovall")</f>
        <v>Daryl Stovall</v>
      </c>
      <c r="E3730" s="4" t="str">
        <f>IFERROR(__xludf.DUMMYFUNCTION("""COMPUTED_VALUE"""),"Creighton")</f>
        <v>Creighton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</row>
    <row r="3731">
      <c r="A3731" s="4">
        <f>IFERROR(__xludf.DUMMYFUNCTION("""COMPUTED_VALUE"""),208.0)</f>
        <v>208</v>
      </c>
      <c r="B3731" s="4">
        <f>IFERROR(__xludf.DUMMYFUNCTION("""COMPUTED_VALUE"""),208.0)</f>
        <v>208</v>
      </c>
      <c r="C3731" s="4" t="str">
        <f>IFERROR(__xludf.DUMMYFUNCTION("""COMPUTED_VALUE"""),"UTA")</f>
        <v>UTA</v>
      </c>
      <c r="D3731" s="4" t="str">
        <f>IFERROR(__xludf.DUMMYFUNCTION("""COMPUTED_VALUE"""),"Michael Edwards")</f>
        <v>Michael Edwards</v>
      </c>
      <c r="E3731" s="4" t="str">
        <f>IFERROR(__xludf.DUMMYFUNCTION("""COMPUTED_VALUE"""),"New Orleans")</f>
        <v>New Orleans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</row>
    <row r="3732">
      <c r="A3732" s="4">
        <f>IFERROR(__xludf.DUMMYFUNCTION("""COMPUTED_VALUE"""),209.0)</f>
        <v>209</v>
      </c>
      <c r="B3732" s="4">
        <f>IFERROR(__xludf.DUMMYFUNCTION("""COMPUTED_VALUE"""),209.0)</f>
        <v>209</v>
      </c>
      <c r="C3732" s="4" t="str">
        <f>IFERROR(__xludf.DUMMYFUNCTION("""COMPUTED_VALUE"""),"DAL")</f>
        <v>DAL</v>
      </c>
      <c r="D3732" s="4" t="str">
        <f>IFERROR(__xludf.DUMMYFUNCTION("""COMPUTED_VALUE"""),"Albert Culton")</f>
        <v>Albert Culton</v>
      </c>
      <c r="E3732" s="4" t="str">
        <f>IFERROR(__xludf.DUMMYFUNCTION("""COMPUTED_VALUE"""),"UT Arlington")</f>
        <v>UT Arlington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</row>
    <row r="3733">
      <c r="A3733" s="4">
        <f>IFERROR(__xludf.DUMMYFUNCTION("""COMPUTED_VALUE"""),210.0)</f>
        <v>210</v>
      </c>
      <c r="B3733" s="4">
        <f>IFERROR(__xludf.DUMMYFUNCTION("""COMPUTED_VALUE"""),210.0)</f>
        <v>210</v>
      </c>
      <c r="C3733" s="4" t="str">
        <f>IFERROR(__xludf.DUMMYFUNCTION("""COMPUTED_VALUE"""),"KCK")</f>
        <v>KCK</v>
      </c>
      <c r="D3733" s="4" t="str">
        <f>IFERROR(__xludf.DUMMYFUNCTION("""COMPUTED_VALUE"""),"Robert Estes")</f>
        <v>Robert Estes</v>
      </c>
      <c r="E3733" s="4" t="str">
        <f>IFERROR(__xludf.DUMMYFUNCTION("""COMPUTED_VALUE"""),"Iowa State")</f>
        <v>Iowa State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</row>
    <row r="3734">
      <c r="A3734" s="4">
        <f>IFERROR(__xludf.DUMMYFUNCTION("""COMPUTED_VALUE"""),211.0)</f>
        <v>211</v>
      </c>
      <c r="B3734" s="4">
        <f>IFERROR(__xludf.DUMMYFUNCTION("""COMPUTED_VALUE"""),211.0)</f>
        <v>211</v>
      </c>
      <c r="C3734" s="4" t="str">
        <f>IFERROR(__xludf.DUMMYFUNCTION("""COMPUTED_VALUE"""),"NYK")</f>
        <v>NYK</v>
      </c>
      <c r="D3734" s="4" t="str">
        <f>IFERROR(__xludf.DUMMYFUNCTION("""COMPUTED_VALUE"""),"John Leonard")</f>
        <v>John Leonard</v>
      </c>
      <c r="E3734" s="4" t="str">
        <f>IFERROR(__xludf.DUMMYFUNCTION("""COMPUTED_VALUE"""),"Manhattan University")</f>
        <v>Manhattan University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</row>
    <row r="3735">
      <c r="A3735" s="4">
        <f>IFERROR(__xludf.DUMMYFUNCTION("""COMPUTED_VALUE"""),212.0)</f>
        <v>212</v>
      </c>
      <c r="B3735" s="4">
        <f>IFERROR(__xludf.DUMMYFUNCTION("""COMPUTED_VALUE"""),212.0)</f>
        <v>212</v>
      </c>
      <c r="C3735" s="4" t="str">
        <f>IFERROR(__xludf.DUMMYFUNCTION("""COMPUTED_VALUE"""),"CHI")</f>
        <v>CHI</v>
      </c>
      <c r="D3735" s="4" t="str">
        <f>IFERROR(__xludf.DUMMYFUNCTION("""COMPUTED_VALUE"""),"Tony Britto")</f>
        <v>Tony Britto</v>
      </c>
      <c r="E3735" s="4" t="str">
        <f>IFERROR(__xludf.DUMMYFUNCTION("""COMPUTED_VALUE"""),"Campbell")</f>
        <v>Campbell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</row>
    <row r="3736">
      <c r="A3736" s="4">
        <f>IFERROR(__xludf.DUMMYFUNCTION("""COMPUTED_VALUE"""),213.0)</f>
        <v>213</v>
      </c>
      <c r="B3736" s="4">
        <f>IFERROR(__xludf.DUMMYFUNCTION("""COMPUTED_VALUE"""),213.0)</f>
        <v>213</v>
      </c>
      <c r="C3736" s="4" t="str">
        <f>IFERROR(__xludf.DUMMYFUNCTION("""COMPUTED_VALUE"""),"IND")</f>
        <v>IND</v>
      </c>
      <c r="D3736" s="4" t="str">
        <f>IFERROR(__xludf.DUMMYFUNCTION("""COMPUTED_VALUE"""),"Craig Summers")</f>
        <v>Craig Summers</v>
      </c>
      <c r="E3736" s="4" t="str">
        <f>IFERROR(__xludf.DUMMYFUNCTION("""COMPUTED_VALUE"""),"University of Wisconsin-Stout")</f>
        <v>University of Wisconsin-Stout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</row>
    <row r="3737">
      <c r="A3737" s="4">
        <f>IFERROR(__xludf.DUMMYFUNCTION("""COMPUTED_VALUE"""),214.0)</f>
        <v>214</v>
      </c>
      <c r="B3737" s="4">
        <f>IFERROR(__xludf.DUMMYFUNCTION("""COMPUTED_VALUE"""),214.0)</f>
        <v>214</v>
      </c>
      <c r="C3737" s="4" t="str">
        <f>IFERROR(__xludf.DUMMYFUNCTION("""COMPUTED_VALUE"""),"DET")</f>
        <v>DET</v>
      </c>
      <c r="D3737" s="4" t="str">
        <f>IFERROR(__xludf.DUMMYFUNCTION("""COMPUTED_VALUE"""),"David Coulthard")</f>
        <v>David Coulthard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</row>
    <row r="3738">
      <c r="A3738" s="4">
        <f>IFERROR(__xludf.DUMMYFUNCTION("""COMPUTED_VALUE"""),215.0)</f>
        <v>215</v>
      </c>
      <c r="B3738" s="4">
        <f>IFERROR(__xludf.DUMMYFUNCTION("""COMPUTED_VALUE"""),215.0)</f>
        <v>215</v>
      </c>
      <c r="C3738" s="4" t="str">
        <f>IFERROR(__xludf.DUMMYFUNCTION("""COMPUTED_VALUE"""),"POR")</f>
        <v>POR</v>
      </c>
      <c r="D3738" s="4" t="str">
        <f>IFERROR(__xludf.DUMMYFUNCTION("""COMPUTED_VALUE"""),"Grant Taylor")</f>
        <v>Grant Taylor</v>
      </c>
      <c r="E3738" s="4" t="str">
        <f>IFERROR(__xludf.DUMMYFUNCTION("""COMPUTED_VALUE"""),"University of California, Irvine")</f>
        <v>University of California, Irvine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</row>
    <row r="3739">
      <c r="A3739" s="4">
        <f>IFERROR(__xludf.DUMMYFUNCTION("""COMPUTED_VALUE"""),216.0)</f>
        <v>216</v>
      </c>
      <c r="B3739" s="4">
        <f>IFERROR(__xludf.DUMMYFUNCTION("""COMPUTED_VALUE"""),216.0)</f>
        <v>216</v>
      </c>
      <c r="C3739" s="4" t="str">
        <f>IFERROR(__xludf.DUMMYFUNCTION("""COMPUTED_VALUE"""),"ATL")</f>
        <v>ATL</v>
      </c>
      <c r="D3739" s="4" t="str">
        <f>IFERROR(__xludf.DUMMYFUNCTION("""COMPUTED_VALUE"""),"Ronnie McAdoo")</f>
        <v>Ronnie McAdoo</v>
      </c>
      <c r="E3739" s="4" t="str">
        <f>IFERROR(__xludf.DUMMYFUNCTION("""COMPUTED_VALUE"""),"Old Dominion")</f>
        <v>Old Dominion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</row>
    <row r="3740">
      <c r="A3740" s="4">
        <f>IFERROR(__xludf.DUMMYFUNCTION("""COMPUTED_VALUE"""),217.0)</f>
        <v>217</v>
      </c>
      <c r="B3740" s="4">
        <f>IFERROR(__xludf.DUMMYFUNCTION("""COMPUTED_VALUE"""),217.0)</f>
        <v>217</v>
      </c>
      <c r="C3740" s="4" t="str">
        <f>IFERROR(__xludf.DUMMYFUNCTION("""COMPUTED_VALUE"""),"WSB")</f>
        <v>WSB</v>
      </c>
      <c r="D3740" s="4" t="str">
        <f>IFERROR(__xludf.DUMMYFUNCTION("""COMPUTED_VALUE"""),"Donald Sinclair")</f>
        <v>Donald Sinclair</v>
      </c>
      <c r="E3740" s="4" t="str">
        <f>IFERROR(__xludf.DUMMYFUNCTION("""COMPUTED_VALUE"""),"NC Central")</f>
        <v>NC Central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</row>
    <row r="3741">
      <c r="A3741" s="4">
        <f>IFERROR(__xludf.DUMMYFUNCTION("""COMPUTED_VALUE"""),218.0)</f>
        <v>218</v>
      </c>
      <c r="B3741" s="4">
        <f>IFERROR(__xludf.DUMMYFUNCTION("""COMPUTED_VALUE"""),218.0)</f>
        <v>218</v>
      </c>
      <c r="C3741" s="4" t="str">
        <f>IFERROR(__xludf.DUMMYFUNCTION("""COMPUTED_VALUE"""),"NJN")</f>
        <v>NJN</v>
      </c>
      <c r="D3741" s="4" t="str">
        <f>IFERROR(__xludf.DUMMYFUNCTION("""COMPUTED_VALUE"""),"Sean Tuohy")</f>
        <v>Sean Tuohy</v>
      </c>
      <c r="E3741" s="4" t="str">
        <f>IFERROR(__xludf.DUMMYFUNCTION("""COMPUTED_VALUE"""),"Ole Miss")</f>
        <v>Ole Miss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</row>
    <row r="3742">
      <c r="A3742" s="4">
        <f>IFERROR(__xludf.DUMMYFUNCTION("""COMPUTED_VALUE"""),219.0)</f>
        <v>219</v>
      </c>
      <c r="B3742" s="4">
        <f>IFERROR(__xludf.DUMMYFUNCTION("""COMPUTED_VALUE"""),219.0)</f>
        <v>219</v>
      </c>
      <c r="C3742" s="4" t="str">
        <f>IFERROR(__xludf.DUMMYFUNCTION("""COMPUTED_VALUE"""),"GSW")</f>
        <v>GSW</v>
      </c>
      <c r="D3742" s="4" t="str">
        <f>IFERROR(__xludf.DUMMYFUNCTION("""COMPUTED_VALUE"""),"Randy Whieldon")</f>
        <v>Randy Whieldon</v>
      </c>
      <c r="E3742" s="4" t="str">
        <f>IFERROR(__xludf.DUMMYFUNCTION("""COMPUTED_VALUE"""),"University of California, Irvine")</f>
        <v>University of California, Irvine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</row>
    <row r="3743">
      <c r="A3743" s="4">
        <f>IFERROR(__xludf.DUMMYFUNCTION("""COMPUTED_VALUE"""),220.0)</f>
        <v>220</v>
      </c>
      <c r="B3743" s="4">
        <f>IFERROR(__xludf.DUMMYFUNCTION("""COMPUTED_VALUE"""),220.0)</f>
        <v>220</v>
      </c>
      <c r="C3743" s="4" t="str">
        <f>IFERROR(__xludf.DUMMYFUNCTION("""COMPUTED_VALUE"""),"DEN")</f>
        <v>DEN</v>
      </c>
      <c r="D3743" s="4" t="str">
        <f>IFERROR(__xludf.DUMMYFUNCTION("""COMPUTED_VALUE"""),"Mike Phillips")</f>
        <v>Mike Phillips</v>
      </c>
      <c r="E3743" s="4" t="str">
        <f>IFERROR(__xludf.DUMMYFUNCTION("""COMPUTED_VALUE"""),"Niagara University")</f>
        <v>Niagara University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</row>
    <row r="3744">
      <c r="A3744" s="4">
        <f>IFERROR(__xludf.DUMMYFUNCTION("""COMPUTED_VALUE"""),221.0)</f>
        <v>221</v>
      </c>
      <c r="B3744" s="4">
        <f>IFERROR(__xludf.DUMMYFUNCTION("""COMPUTED_VALUE"""),221.0)</f>
        <v>221</v>
      </c>
      <c r="C3744" s="4" t="str">
        <f>IFERROR(__xludf.DUMMYFUNCTION("""COMPUTED_VALUE"""),"PHO")</f>
        <v>PHO</v>
      </c>
      <c r="D3744" s="4" t="str">
        <f>IFERROR(__xludf.DUMMYFUNCTION("""COMPUTED_VALUE"""),"Dale Wilkinson")</f>
        <v>Dale Wilkinson</v>
      </c>
      <c r="E3744" s="4" t="str">
        <f>IFERROR(__xludf.DUMMYFUNCTION("""COMPUTED_VALUE"""),"Idaho State University")</f>
        <v>Idaho State University</v>
      </c>
      <c r="F3744" s="4">
        <f>IFERROR(__xludf.DUMMYFUNCTION("""COMPUTED_VALUE"""),1.0)</f>
        <v>1</v>
      </c>
      <c r="G3744" s="4">
        <f>IFERROR(__xludf.DUMMYFUNCTION("""COMPUTED_VALUE"""),12.0)</f>
        <v>12</v>
      </c>
      <c r="H3744" s="4">
        <f>IFERROR(__xludf.DUMMYFUNCTION("""COMPUTED_VALUE"""),45.0)</f>
        <v>45</v>
      </c>
      <c r="I3744" s="4">
        <f>IFERROR(__xludf.DUMMYFUNCTION("""COMPUTED_VALUE"""),14.0)</f>
        <v>14</v>
      </c>
      <c r="J3744" s="4">
        <f>IFERROR(__xludf.DUMMYFUNCTION("""COMPUTED_VALUE"""),4.0)</f>
        <v>4</v>
      </c>
      <c r="K3744" s="4">
        <f>IFERROR(__xludf.DUMMYFUNCTION("""COMPUTED_VALUE"""),2.0)</f>
        <v>2</v>
      </c>
      <c r="L3744" s="4">
        <f>IFERROR(__xludf.DUMMYFUNCTION("""COMPUTED_VALUE"""),0.25)</f>
        <v>0.25</v>
      </c>
      <c r="M3744" s="4">
        <f>IFERROR(__xludf.DUMMYFUNCTION("""COMPUTED_VALUE"""),0.0)</f>
        <v>0</v>
      </c>
      <c r="N3744" s="4">
        <f>IFERROR(__xludf.DUMMYFUNCTION("""COMPUTED_VALUE"""),0.857)</f>
        <v>0.857</v>
      </c>
      <c r="O3744" s="4">
        <f>IFERROR(__xludf.DUMMYFUNCTION("""COMPUTED_VALUE"""),3.8)</f>
        <v>3.8</v>
      </c>
      <c r="P3744" s="4">
        <f>IFERROR(__xludf.DUMMYFUNCTION("""COMPUTED_VALUE"""),1.2)</f>
        <v>1.2</v>
      </c>
      <c r="Q3744" s="4">
        <f>IFERROR(__xludf.DUMMYFUNCTION("""COMPUTED_VALUE"""),0.3)</f>
        <v>0.3</v>
      </c>
      <c r="R3744" s="4">
        <f>IFERROR(__xludf.DUMMYFUNCTION("""COMPUTED_VALUE"""),0.2)</f>
        <v>0.2</v>
      </c>
      <c r="S3744" s="4">
        <f>IFERROR(__xludf.DUMMYFUNCTION("""COMPUTED_VALUE"""),-0.1)</f>
        <v>-0.1</v>
      </c>
      <c r="T3744" s="4">
        <f>IFERROR(__xludf.DUMMYFUNCTION("""COMPUTED_VALUE"""),-0.124)</f>
        <v>-0.124</v>
      </c>
      <c r="U3744" s="4">
        <f>IFERROR(__xludf.DUMMYFUNCTION("""COMPUTED_VALUE"""),-14.0)</f>
        <v>-14</v>
      </c>
      <c r="V3744" s="4">
        <f>IFERROR(__xludf.DUMMYFUNCTION("""COMPUTED_VALUE"""),-0.1)</f>
        <v>-0.1</v>
      </c>
    </row>
    <row r="3745">
      <c r="A3745" s="4">
        <f>IFERROR(__xludf.DUMMYFUNCTION("""COMPUTED_VALUE"""),222.0)</f>
        <v>222</v>
      </c>
      <c r="B3745" s="4">
        <f>IFERROR(__xludf.DUMMYFUNCTION("""COMPUTED_VALUE"""),222.0)</f>
        <v>222</v>
      </c>
      <c r="C3745" s="4" t="str">
        <f>IFERROR(__xludf.DUMMYFUNCTION("""COMPUTED_VALUE"""),"SAS")</f>
        <v>SAS</v>
      </c>
      <c r="D3745" s="4" t="str">
        <f>IFERROR(__xludf.DUMMYFUNCTION("""COMPUTED_VALUE"""),"Keith White")</f>
        <v>Keith White</v>
      </c>
      <c r="E3745" s="4" t="str">
        <f>IFERROR(__xludf.DUMMYFUNCTION("""COMPUTED_VALUE"""),"McMurry University")</f>
        <v>McMurry University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</row>
    <row r="3746">
      <c r="A3746" s="4">
        <f>IFERROR(__xludf.DUMMYFUNCTION("""COMPUTED_VALUE"""),223.0)</f>
        <v>223</v>
      </c>
      <c r="B3746" s="4">
        <f>IFERROR(__xludf.DUMMYFUNCTION("""COMPUTED_VALUE"""),223.0)</f>
        <v>223</v>
      </c>
      <c r="C3746" s="4" t="str">
        <f>IFERROR(__xludf.DUMMYFUNCTION("""COMPUTED_VALUE"""),"MIL")</f>
        <v>MIL</v>
      </c>
      <c r="D3746" s="4" t="str">
        <f>IFERROR(__xludf.DUMMYFUNCTION("""COMPUTED_VALUE"""),"Bob Coenen")</f>
        <v>Bob Coenen</v>
      </c>
      <c r="E3746" s="4" t="str">
        <f>IFERROR(__xludf.DUMMYFUNCTION("""COMPUTED_VALUE"""),"University of Wisconsin-Eau Claire")</f>
        <v>University of Wisconsin-Eau Claire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</row>
    <row r="3747">
      <c r="A3747" s="4">
        <f>IFERROR(__xludf.DUMMYFUNCTION("""COMPUTED_VALUE"""),224.0)</f>
        <v>224</v>
      </c>
      <c r="B3747" s="4">
        <f>IFERROR(__xludf.DUMMYFUNCTION("""COMPUTED_VALUE"""),224.0)</f>
        <v>224</v>
      </c>
      <c r="C3747" s="4" t="str">
        <f>IFERROR(__xludf.DUMMYFUNCTION("""COMPUTED_VALUE"""),"PHI")</f>
        <v>PHI</v>
      </c>
      <c r="D3747" s="4" t="str">
        <f>IFERROR(__xludf.DUMMYFUNCTION("""COMPUTED_VALUE"""),"Randy Burkert")</f>
        <v>Randy Burkert</v>
      </c>
      <c r="E3747" s="4" t="str">
        <f>IFERROR(__xludf.DUMMYFUNCTION("""COMPUTED_VALUE"""),"Drexel")</f>
        <v>Drexel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</row>
    <row r="3748">
      <c r="A3748" s="4">
        <f>IFERROR(__xludf.DUMMYFUNCTION("""COMPUTED_VALUE"""),225.0)</f>
        <v>225</v>
      </c>
      <c r="B3748" s="4">
        <f>IFERROR(__xludf.DUMMYFUNCTION("""COMPUTED_VALUE"""),225.0)</f>
        <v>225</v>
      </c>
      <c r="C3748" s="4" t="str">
        <f>IFERROR(__xludf.DUMMYFUNCTION("""COMPUTED_VALUE"""),"BOS")</f>
        <v>BOS</v>
      </c>
      <c r="D3748" s="4" t="str">
        <f>IFERROR(__xludf.DUMMYFUNCTION("""COMPUTED_VALUE"""),"Landon Turner")</f>
        <v>Landon Turner</v>
      </c>
      <c r="E3748" s="4" t="str">
        <f>IFERROR(__xludf.DUMMYFUNCTION("""COMPUTED_VALUE"""),"Indiana")</f>
        <v>Indiana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</row>
    <row r="3750">
      <c r="A3750" s="2">
        <v>1981.0</v>
      </c>
    </row>
    <row r="3751">
      <c r="A3751" s="4" t="str">
        <f>IFERROR(__xludf.DUMMYFUNCTION("IMPORTHTML(""https://www.basketball-reference.com/draft/NBA_1981.html"", ""table"", 1)"),"")</f>
        <v/>
      </c>
      <c r="B3751" s="4"/>
      <c r="C3751" s="4"/>
      <c r="D3751" s="4" t="str">
        <f>IFERROR(__xludf.DUMMYFUNCTION("""COMPUTED_VALUE"""),"Round 1")</f>
        <v>Round 1</v>
      </c>
      <c r="E3751" s="4"/>
      <c r="F3751" s="4"/>
      <c r="G3751" s="4" t="str">
        <f>IFERROR(__xludf.DUMMYFUNCTION("""COMPUTED_VALUE"""),"Totals")</f>
        <v>Totals</v>
      </c>
      <c r="H3751" s="4"/>
      <c r="I3751" s="4"/>
      <c r="J3751" s="4"/>
      <c r="K3751" s="4"/>
      <c r="L3751" s="4" t="str">
        <f>IFERROR(__xludf.DUMMYFUNCTION("""COMPUTED_VALUE"""),"Shooting")</f>
        <v>Shooting</v>
      </c>
      <c r="M3751" s="4"/>
      <c r="N3751" s="4"/>
      <c r="O3751" s="4" t="str">
        <f>IFERROR(__xludf.DUMMYFUNCTION("""COMPUTED_VALUE"""),"Per Game")</f>
        <v>Per Game</v>
      </c>
      <c r="P3751" s="4"/>
      <c r="Q3751" s="4"/>
      <c r="R3751" s="4"/>
      <c r="S3751" s="4" t="str">
        <f>IFERROR(__xludf.DUMMYFUNCTION("""COMPUTED_VALUE"""),"Advanced")</f>
        <v>Advanced</v>
      </c>
      <c r="T3751" s="4"/>
      <c r="U3751" s="4"/>
      <c r="V3751" s="4"/>
    </row>
    <row r="3752">
      <c r="A3752" s="4" t="str">
        <f>IFERROR(__xludf.DUMMYFUNCTION("""COMPUTED_VALUE"""),"Rk")</f>
        <v>Rk</v>
      </c>
      <c r="B3752" s="4" t="str">
        <f>IFERROR(__xludf.DUMMYFUNCTION("""COMPUTED_VALUE"""),"Pk")</f>
        <v>Pk</v>
      </c>
      <c r="C3752" s="4" t="str">
        <f>IFERROR(__xludf.DUMMYFUNCTION("""COMPUTED_VALUE"""),"Tm")</f>
        <v>Tm</v>
      </c>
      <c r="D3752" s="4" t="str">
        <f>IFERROR(__xludf.DUMMYFUNCTION("""COMPUTED_VALUE"""),"Player")</f>
        <v>Player</v>
      </c>
      <c r="E3752" s="4" t="str">
        <f>IFERROR(__xludf.DUMMYFUNCTION("""COMPUTED_VALUE"""),"College")</f>
        <v>College</v>
      </c>
      <c r="F3752" s="4" t="str">
        <f>IFERROR(__xludf.DUMMYFUNCTION("""COMPUTED_VALUE"""),"Yrs")</f>
        <v>Yrs</v>
      </c>
      <c r="G3752" s="4" t="str">
        <f>IFERROR(__xludf.DUMMYFUNCTION("""COMPUTED_VALUE"""),"G")</f>
        <v>G</v>
      </c>
      <c r="H3752" s="4" t="str">
        <f>IFERROR(__xludf.DUMMYFUNCTION("""COMPUTED_VALUE"""),"MP")</f>
        <v>MP</v>
      </c>
      <c r="I3752" s="4" t="str">
        <f>IFERROR(__xludf.DUMMYFUNCTION("""COMPUTED_VALUE"""),"PTS")</f>
        <v>PTS</v>
      </c>
      <c r="J3752" s="4" t="str">
        <f>IFERROR(__xludf.DUMMYFUNCTION("""COMPUTED_VALUE"""),"TRB")</f>
        <v>TRB</v>
      </c>
      <c r="K3752" s="4" t="str">
        <f>IFERROR(__xludf.DUMMYFUNCTION("""COMPUTED_VALUE"""),"AST")</f>
        <v>AST</v>
      </c>
      <c r="L3752" s="4" t="str">
        <f>IFERROR(__xludf.DUMMYFUNCTION("""COMPUTED_VALUE"""),"FG%")</f>
        <v>FG%</v>
      </c>
      <c r="M3752" s="4" t="str">
        <f>IFERROR(__xludf.DUMMYFUNCTION("""COMPUTED_VALUE"""),"3P%")</f>
        <v>3P%</v>
      </c>
      <c r="N3752" s="4" t="str">
        <f>IFERROR(__xludf.DUMMYFUNCTION("""COMPUTED_VALUE"""),"FT%")</f>
        <v>FT%</v>
      </c>
      <c r="O3752" s="4" t="str">
        <f>IFERROR(__xludf.DUMMYFUNCTION("""COMPUTED_VALUE"""),"MP")</f>
        <v>MP</v>
      </c>
      <c r="P3752" s="4" t="str">
        <f>IFERROR(__xludf.DUMMYFUNCTION("""COMPUTED_VALUE"""),"PTS")</f>
        <v>PTS</v>
      </c>
      <c r="Q3752" s="4" t="str">
        <f>IFERROR(__xludf.DUMMYFUNCTION("""COMPUTED_VALUE"""),"TRB")</f>
        <v>TRB</v>
      </c>
      <c r="R3752" s="4" t="str">
        <f>IFERROR(__xludf.DUMMYFUNCTION("""COMPUTED_VALUE"""),"AST")</f>
        <v>AST</v>
      </c>
      <c r="S3752" s="4" t="str">
        <f>IFERROR(__xludf.DUMMYFUNCTION("""COMPUTED_VALUE"""),"WS")</f>
        <v>WS</v>
      </c>
      <c r="T3752" s="4" t="str">
        <f>IFERROR(__xludf.DUMMYFUNCTION("""COMPUTED_VALUE"""),"WS/48")</f>
        <v>WS/48</v>
      </c>
      <c r="U3752" s="4" t="str">
        <f>IFERROR(__xludf.DUMMYFUNCTION("""COMPUTED_VALUE"""),"BPM")</f>
        <v>BPM</v>
      </c>
      <c r="V3752" s="4" t="str">
        <f>IFERROR(__xludf.DUMMYFUNCTION("""COMPUTED_VALUE"""),"VORP")</f>
        <v>VORP</v>
      </c>
    </row>
    <row r="3753">
      <c r="A3753" s="4">
        <f>IFERROR(__xludf.DUMMYFUNCTION("""COMPUTED_VALUE"""),1.0)</f>
        <v>1</v>
      </c>
      <c r="B3753" s="4">
        <f>IFERROR(__xludf.DUMMYFUNCTION("""COMPUTED_VALUE"""),1.0)</f>
        <v>1</v>
      </c>
      <c r="C3753" s="4" t="str">
        <f>IFERROR(__xludf.DUMMYFUNCTION("""COMPUTED_VALUE"""),"DAL")</f>
        <v>DAL</v>
      </c>
      <c r="D3753" s="4" t="str">
        <f>IFERROR(__xludf.DUMMYFUNCTION("""COMPUTED_VALUE"""),"Mark Aguirre")</f>
        <v>Mark Aguirre</v>
      </c>
      <c r="E3753" s="4" t="str">
        <f>IFERROR(__xludf.DUMMYFUNCTION("""COMPUTED_VALUE"""),"DePaul")</f>
        <v>DePaul</v>
      </c>
      <c r="F3753" s="4">
        <f>IFERROR(__xludf.DUMMYFUNCTION("""COMPUTED_VALUE"""),13.0)</f>
        <v>13</v>
      </c>
      <c r="G3753" s="4">
        <f>IFERROR(__xludf.DUMMYFUNCTION("""COMPUTED_VALUE"""),923.0)</f>
        <v>923</v>
      </c>
      <c r="H3753" s="4">
        <f>IFERROR(__xludf.DUMMYFUNCTION("""COMPUTED_VALUE"""),27730.0)</f>
        <v>27730</v>
      </c>
      <c r="I3753" s="4">
        <f>IFERROR(__xludf.DUMMYFUNCTION("""COMPUTED_VALUE"""),18458.0)</f>
        <v>18458</v>
      </c>
      <c r="J3753" s="4">
        <f>IFERROR(__xludf.DUMMYFUNCTION("""COMPUTED_VALUE"""),4578.0)</f>
        <v>4578</v>
      </c>
      <c r="K3753" s="4">
        <f>IFERROR(__xludf.DUMMYFUNCTION("""COMPUTED_VALUE"""),2871.0)</f>
        <v>2871</v>
      </c>
      <c r="L3753" s="4">
        <f>IFERROR(__xludf.DUMMYFUNCTION("""COMPUTED_VALUE"""),0.484)</f>
        <v>0.484</v>
      </c>
      <c r="M3753" s="4">
        <f>IFERROR(__xludf.DUMMYFUNCTION("""COMPUTED_VALUE"""),0.312)</f>
        <v>0.312</v>
      </c>
      <c r="N3753" s="4">
        <f>IFERROR(__xludf.DUMMYFUNCTION("""COMPUTED_VALUE"""),0.741)</f>
        <v>0.741</v>
      </c>
      <c r="O3753" s="4">
        <f>IFERROR(__xludf.DUMMYFUNCTION("""COMPUTED_VALUE"""),30.0)</f>
        <v>30</v>
      </c>
      <c r="P3753" s="4">
        <f>IFERROR(__xludf.DUMMYFUNCTION("""COMPUTED_VALUE"""),20.0)</f>
        <v>20</v>
      </c>
      <c r="Q3753" s="4">
        <f>IFERROR(__xludf.DUMMYFUNCTION("""COMPUTED_VALUE"""),5.0)</f>
        <v>5</v>
      </c>
      <c r="R3753" s="4">
        <f>IFERROR(__xludf.DUMMYFUNCTION("""COMPUTED_VALUE"""),3.1)</f>
        <v>3.1</v>
      </c>
      <c r="S3753" s="4">
        <f>IFERROR(__xludf.DUMMYFUNCTION("""COMPUTED_VALUE"""),67.8)</f>
        <v>67.8</v>
      </c>
      <c r="T3753" s="4">
        <f>IFERROR(__xludf.DUMMYFUNCTION("""COMPUTED_VALUE"""),0.117)</f>
        <v>0.117</v>
      </c>
      <c r="U3753" s="4">
        <f>IFERROR(__xludf.DUMMYFUNCTION("""COMPUTED_VALUE"""),1.5)</f>
        <v>1.5</v>
      </c>
      <c r="V3753" s="4">
        <f>IFERROR(__xludf.DUMMYFUNCTION("""COMPUTED_VALUE"""),24.4)</f>
        <v>24.4</v>
      </c>
    </row>
    <row r="3754">
      <c r="A3754" s="4">
        <f>IFERROR(__xludf.DUMMYFUNCTION("""COMPUTED_VALUE"""),2.0)</f>
        <v>2</v>
      </c>
      <c r="B3754" s="4">
        <f>IFERROR(__xludf.DUMMYFUNCTION("""COMPUTED_VALUE"""),2.0)</f>
        <v>2</v>
      </c>
      <c r="C3754" s="4" t="str">
        <f>IFERROR(__xludf.DUMMYFUNCTION("""COMPUTED_VALUE"""),"DET")</f>
        <v>DET</v>
      </c>
      <c r="D3754" s="4" t="str">
        <f>IFERROR(__xludf.DUMMYFUNCTION("""COMPUTED_VALUE"""),"Isiah Thomas")</f>
        <v>Isiah Thomas</v>
      </c>
      <c r="E3754" s="4" t="str">
        <f>IFERROR(__xludf.DUMMYFUNCTION("""COMPUTED_VALUE"""),"Indiana")</f>
        <v>Indiana</v>
      </c>
      <c r="F3754" s="4">
        <f>IFERROR(__xludf.DUMMYFUNCTION("""COMPUTED_VALUE"""),13.0)</f>
        <v>13</v>
      </c>
      <c r="G3754" s="4">
        <f>IFERROR(__xludf.DUMMYFUNCTION("""COMPUTED_VALUE"""),979.0)</f>
        <v>979</v>
      </c>
      <c r="H3754" s="4">
        <f>IFERROR(__xludf.DUMMYFUNCTION("""COMPUTED_VALUE"""),35516.0)</f>
        <v>35516</v>
      </c>
      <c r="I3754" s="4">
        <f>IFERROR(__xludf.DUMMYFUNCTION("""COMPUTED_VALUE"""),18822.0)</f>
        <v>18822</v>
      </c>
      <c r="J3754" s="4">
        <f>IFERROR(__xludf.DUMMYFUNCTION("""COMPUTED_VALUE"""),3478.0)</f>
        <v>3478</v>
      </c>
      <c r="K3754" s="4">
        <f>IFERROR(__xludf.DUMMYFUNCTION("""COMPUTED_VALUE"""),9061.0)</f>
        <v>9061</v>
      </c>
      <c r="L3754" s="4">
        <f>IFERROR(__xludf.DUMMYFUNCTION("""COMPUTED_VALUE"""),0.452)</f>
        <v>0.452</v>
      </c>
      <c r="M3754" s="4">
        <f>IFERROR(__xludf.DUMMYFUNCTION("""COMPUTED_VALUE"""),0.29)</f>
        <v>0.29</v>
      </c>
      <c r="N3754" s="4">
        <f>IFERROR(__xludf.DUMMYFUNCTION("""COMPUTED_VALUE"""),0.759)</f>
        <v>0.759</v>
      </c>
      <c r="O3754" s="4">
        <f>IFERROR(__xludf.DUMMYFUNCTION("""COMPUTED_VALUE"""),36.3)</f>
        <v>36.3</v>
      </c>
      <c r="P3754" s="4">
        <f>IFERROR(__xludf.DUMMYFUNCTION("""COMPUTED_VALUE"""),19.2)</f>
        <v>19.2</v>
      </c>
      <c r="Q3754" s="4">
        <f>IFERROR(__xludf.DUMMYFUNCTION("""COMPUTED_VALUE"""),3.6)</f>
        <v>3.6</v>
      </c>
      <c r="R3754" s="4">
        <f>IFERROR(__xludf.DUMMYFUNCTION("""COMPUTED_VALUE"""),9.3)</f>
        <v>9.3</v>
      </c>
      <c r="S3754" s="4">
        <f>IFERROR(__xludf.DUMMYFUNCTION("""COMPUTED_VALUE"""),80.7)</f>
        <v>80.7</v>
      </c>
      <c r="T3754" s="4">
        <f>IFERROR(__xludf.DUMMYFUNCTION("""COMPUTED_VALUE"""),0.109)</f>
        <v>0.109</v>
      </c>
      <c r="U3754" s="4">
        <f>IFERROR(__xludf.DUMMYFUNCTION("""COMPUTED_VALUE"""),2.6)</f>
        <v>2.6</v>
      </c>
      <c r="V3754" s="4">
        <f>IFERROR(__xludf.DUMMYFUNCTION("""COMPUTED_VALUE"""),41.6)</f>
        <v>41.6</v>
      </c>
    </row>
    <row r="3755">
      <c r="A3755" s="4">
        <f>IFERROR(__xludf.DUMMYFUNCTION("""COMPUTED_VALUE"""),3.0)</f>
        <v>3</v>
      </c>
      <c r="B3755" s="4">
        <f>IFERROR(__xludf.DUMMYFUNCTION("""COMPUTED_VALUE"""),3.0)</f>
        <v>3</v>
      </c>
      <c r="C3755" s="4" t="str">
        <f>IFERROR(__xludf.DUMMYFUNCTION("""COMPUTED_VALUE"""),"NJN")</f>
        <v>NJN</v>
      </c>
      <c r="D3755" s="4" t="str">
        <f>IFERROR(__xludf.DUMMYFUNCTION("""COMPUTED_VALUE"""),"Buck Williams")</f>
        <v>Buck Williams</v>
      </c>
      <c r="E3755" s="4" t="str">
        <f>IFERROR(__xludf.DUMMYFUNCTION("""COMPUTED_VALUE"""),"Maryland")</f>
        <v>Maryland</v>
      </c>
      <c r="F3755" s="4">
        <f>IFERROR(__xludf.DUMMYFUNCTION("""COMPUTED_VALUE"""),17.0)</f>
        <v>17</v>
      </c>
      <c r="G3755" s="4">
        <f>IFERROR(__xludf.DUMMYFUNCTION("""COMPUTED_VALUE"""),1307.0)</f>
        <v>1307</v>
      </c>
      <c r="H3755" s="4">
        <f>IFERROR(__xludf.DUMMYFUNCTION("""COMPUTED_VALUE"""),42464.0)</f>
        <v>42464</v>
      </c>
      <c r="I3755" s="4">
        <f>IFERROR(__xludf.DUMMYFUNCTION("""COMPUTED_VALUE"""),16784.0)</f>
        <v>16784</v>
      </c>
      <c r="J3755" s="4">
        <f>IFERROR(__xludf.DUMMYFUNCTION("""COMPUTED_VALUE"""),13017.0)</f>
        <v>13017</v>
      </c>
      <c r="K3755" s="4">
        <f>IFERROR(__xludf.DUMMYFUNCTION("""COMPUTED_VALUE"""),1646.0)</f>
        <v>1646</v>
      </c>
      <c r="L3755" s="4">
        <f>IFERROR(__xludf.DUMMYFUNCTION("""COMPUTED_VALUE"""),0.549)</f>
        <v>0.549</v>
      </c>
      <c r="M3755" s="4">
        <f>IFERROR(__xludf.DUMMYFUNCTION("""COMPUTED_VALUE"""),0.167)</f>
        <v>0.167</v>
      </c>
      <c r="N3755" s="4">
        <f>IFERROR(__xludf.DUMMYFUNCTION("""COMPUTED_VALUE"""),0.664)</f>
        <v>0.664</v>
      </c>
      <c r="O3755" s="4">
        <f>IFERROR(__xludf.DUMMYFUNCTION("""COMPUTED_VALUE"""),32.5)</f>
        <v>32.5</v>
      </c>
      <c r="P3755" s="4">
        <f>IFERROR(__xludf.DUMMYFUNCTION("""COMPUTED_VALUE"""),12.8)</f>
        <v>12.8</v>
      </c>
      <c r="Q3755" s="4">
        <f>IFERROR(__xludf.DUMMYFUNCTION("""COMPUTED_VALUE"""),10.0)</f>
        <v>10</v>
      </c>
      <c r="R3755" s="4">
        <f>IFERROR(__xludf.DUMMYFUNCTION("""COMPUTED_VALUE"""),1.3)</f>
        <v>1.3</v>
      </c>
      <c r="S3755" s="4">
        <f>IFERROR(__xludf.DUMMYFUNCTION("""COMPUTED_VALUE"""),120.1)</f>
        <v>120.1</v>
      </c>
      <c r="T3755" s="4">
        <f>IFERROR(__xludf.DUMMYFUNCTION("""COMPUTED_VALUE"""),0.136)</f>
        <v>0.136</v>
      </c>
      <c r="U3755" s="4">
        <f>IFERROR(__xludf.DUMMYFUNCTION("""COMPUTED_VALUE"""),0.0)</f>
        <v>0</v>
      </c>
      <c r="V3755" s="4">
        <f>IFERROR(__xludf.DUMMYFUNCTION("""COMPUTED_VALUE"""),21.7)</f>
        <v>21.7</v>
      </c>
    </row>
    <row r="3756">
      <c r="A3756" s="4">
        <f>IFERROR(__xludf.DUMMYFUNCTION("""COMPUTED_VALUE"""),4.0)</f>
        <v>4</v>
      </c>
      <c r="B3756" s="4">
        <f>IFERROR(__xludf.DUMMYFUNCTION("""COMPUTED_VALUE"""),4.0)</f>
        <v>4</v>
      </c>
      <c r="C3756" s="4" t="str">
        <f>IFERROR(__xludf.DUMMYFUNCTION("""COMPUTED_VALUE"""),"ATL")</f>
        <v>ATL</v>
      </c>
      <c r="D3756" s="4" t="str">
        <f>IFERROR(__xludf.DUMMYFUNCTION("""COMPUTED_VALUE"""),"Al Wood")</f>
        <v>Al Wood</v>
      </c>
      <c r="E3756" s="4" t="str">
        <f>IFERROR(__xludf.DUMMYFUNCTION("""COMPUTED_VALUE"""),"UNC")</f>
        <v>UNC</v>
      </c>
      <c r="F3756" s="4">
        <f>IFERROR(__xludf.DUMMYFUNCTION("""COMPUTED_VALUE"""),6.0)</f>
        <v>6</v>
      </c>
      <c r="G3756" s="4">
        <f>IFERROR(__xludf.DUMMYFUNCTION("""COMPUTED_VALUE"""),417.0)</f>
        <v>417</v>
      </c>
      <c r="H3756" s="4">
        <f>IFERROR(__xludf.DUMMYFUNCTION("""COMPUTED_VALUE"""),9939.0)</f>
        <v>9939</v>
      </c>
      <c r="I3756" s="4">
        <f>IFERROR(__xludf.DUMMYFUNCTION("""COMPUTED_VALUE"""),4902.0)</f>
        <v>4902</v>
      </c>
      <c r="J3756" s="4">
        <f>IFERROR(__xludf.DUMMYFUNCTION("""COMPUTED_VALUE"""),1262.0)</f>
        <v>1262</v>
      </c>
      <c r="K3756" s="4">
        <f>IFERROR(__xludf.DUMMYFUNCTION("""COMPUTED_VALUE"""),742.0)</f>
        <v>742</v>
      </c>
      <c r="L3756" s="4">
        <f>IFERROR(__xludf.DUMMYFUNCTION("""COMPUTED_VALUE"""),0.465)</f>
        <v>0.465</v>
      </c>
      <c r="M3756" s="4">
        <f>IFERROR(__xludf.DUMMYFUNCTION("""COMPUTED_VALUE"""),0.211)</f>
        <v>0.211</v>
      </c>
      <c r="N3756" s="4">
        <f>IFERROR(__xludf.DUMMYFUNCTION("""COMPUTED_VALUE"""),0.789)</f>
        <v>0.789</v>
      </c>
      <c r="O3756" s="4">
        <f>IFERROR(__xludf.DUMMYFUNCTION("""COMPUTED_VALUE"""),23.8)</f>
        <v>23.8</v>
      </c>
      <c r="P3756" s="4">
        <f>IFERROR(__xludf.DUMMYFUNCTION("""COMPUTED_VALUE"""),11.8)</f>
        <v>11.8</v>
      </c>
      <c r="Q3756" s="4">
        <f>IFERROR(__xludf.DUMMYFUNCTION("""COMPUTED_VALUE"""),3.0)</f>
        <v>3</v>
      </c>
      <c r="R3756" s="4">
        <f>IFERROR(__xludf.DUMMYFUNCTION("""COMPUTED_VALUE"""),1.8)</f>
        <v>1.8</v>
      </c>
      <c r="S3756" s="4">
        <f>IFERROR(__xludf.DUMMYFUNCTION("""COMPUTED_VALUE"""),15.4)</f>
        <v>15.4</v>
      </c>
      <c r="T3756" s="4">
        <f>IFERROR(__xludf.DUMMYFUNCTION("""COMPUTED_VALUE"""),0.074)</f>
        <v>0.074</v>
      </c>
      <c r="U3756" s="4">
        <f>IFERROR(__xludf.DUMMYFUNCTION("""COMPUTED_VALUE"""),-1.3)</f>
        <v>-1.3</v>
      </c>
      <c r="V3756" s="4">
        <f>IFERROR(__xludf.DUMMYFUNCTION("""COMPUTED_VALUE"""),1.8)</f>
        <v>1.8</v>
      </c>
    </row>
    <row r="3757">
      <c r="A3757" s="4">
        <f>IFERROR(__xludf.DUMMYFUNCTION("""COMPUTED_VALUE"""),5.0)</f>
        <v>5</v>
      </c>
      <c r="B3757" s="4">
        <f>IFERROR(__xludf.DUMMYFUNCTION("""COMPUTED_VALUE"""),5.0)</f>
        <v>5</v>
      </c>
      <c r="C3757" s="4" t="str">
        <f>IFERROR(__xludf.DUMMYFUNCTION("""COMPUTED_VALUE"""),"SEA")</f>
        <v>SEA</v>
      </c>
      <c r="D3757" s="4" t="str">
        <f>IFERROR(__xludf.DUMMYFUNCTION("""COMPUTED_VALUE"""),"Danny Vranes")</f>
        <v>Danny Vranes</v>
      </c>
      <c r="E3757" s="4" t="str">
        <f>IFERROR(__xludf.DUMMYFUNCTION("""COMPUTED_VALUE"""),"Utah")</f>
        <v>Utah</v>
      </c>
      <c r="F3757" s="4">
        <f>IFERROR(__xludf.DUMMYFUNCTION("""COMPUTED_VALUE"""),7.0)</f>
        <v>7</v>
      </c>
      <c r="G3757" s="4">
        <f>IFERROR(__xludf.DUMMYFUNCTION("""COMPUTED_VALUE"""),510.0)</f>
        <v>510</v>
      </c>
      <c r="H3757" s="4">
        <f>IFERROR(__xludf.DUMMYFUNCTION("""COMPUTED_VALUE"""),10624.0)</f>
        <v>10624</v>
      </c>
      <c r="I3757" s="4">
        <f>IFERROR(__xludf.DUMMYFUNCTION("""COMPUTED_VALUE"""),2613.0)</f>
        <v>2613</v>
      </c>
      <c r="J3757" s="4">
        <f>IFERROR(__xludf.DUMMYFUNCTION("""COMPUTED_VALUE"""),1998.0)</f>
        <v>1998</v>
      </c>
      <c r="K3757" s="4">
        <f>IFERROR(__xludf.DUMMYFUNCTION("""COMPUTED_VALUE"""),594.0)</f>
        <v>594</v>
      </c>
      <c r="L3757" s="4">
        <f>IFERROR(__xludf.DUMMYFUNCTION("""COMPUTED_VALUE"""),0.496)</f>
        <v>0.496</v>
      </c>
      <c r="M3757" s="4">
        <f>IFERROR(__xludf.DUMMYFUNCTION("""COMPUTED_VALUE"""),0.105)</f>
        <v>0.105</v>
      </c>
      <c r="N3757" s="4">
        <f>IFERROR(__xludf.DUMMYFUNCTION("""COMPUTED_VALUE"""),0.57)</f>
        <v>0.57</v>
      </c>
      <c r="O3757" s="4">
        <f>IFERROR(__xludf.DUMMYFUNCTION("""COMPUTED_VALUE"""),20.8)</f>
        <v>20.8</v>
      </c>
      <c r="P3757" s="4">
        <f>IFERROR(__xludf.DUMMYFUNCTION("""COMPUTED_VALUE"""),5.1)</f>
        <v>5.1</v>
      </c>
      <c r="Q3757" s="4">
        <f>IFERROR(__xludf.DUMMYFUNCTION("""COMPUTED_VALUE"""),3.9)</f>
        <v>3.9</v>
      </c>
      <c r="R3757" s="4">
        <f>IFERROR(__xludf.DUMMYFUNCTION("""COMPUTED_VALUE"""),1.2)</f>
        <v>1.2</v>
      </c>
      <c r="S3757" s="4">
        <f>IFERROR(__xludf.DUMMYFUNCTION("""COMPUTED_VALUE"""),15.3)</f>
        <v>15.3</v>
      </c>
      <c r="T3757" s="4">
        <f>IFERROR(__xludf.DUMMYFUNCTION("""COMPUTED_VALUE"""),0.069)</f>
        <v>0.069</v>
      </c>
      <c r="U3757" s="4">
        <f>IFERROR(__xludf.DUMMYFUNCTION("""COMPUTED_VALUE"""),-1.7)</f>
        <v>-1.7</v>
      </c>
      <c r="V3757" s="4">
        <f>IFERROR(__xludf.DUMMYFUNCTION("""COMPUTED_VALUE"""),0.8)</f>
        <v>0.8</v>
      </c>
    </row>
    <row r="3758">
      <c r="A3758" s="4">
        <f>IFERROR(__xludf.DUMMYFUNCTION("""COMPUTED_VALUE"""),6.0)</f>
        <v>6</v>
      </c>
      <c r="B3758" s="4">
        <f>IFERROR(__xludf.DUMMYFUNCTION("""COMPUTED_VALUE"""),6.0)</f>
        <v>6</v>
      </c>
      <c r="C3758" s="4" t="str">
        <f>IFERROR(__xludf.DUMMYFUNCTION("""COMPUTED_VALUE"""),"CHI")</f>
        <v>CHI</v>
      </c>
      <c r="D3758" s="4" t="str">
        <f>IFERROR(__xludf.DUMMYFUNCTION("""COMPUTED_VALUE"""),"Orlando Woolridge")</f>
        <v>Orlando Woolridge</v>
      </c>
      <c r="E3758" s="4" t="str">
        <f>IFERROR(__xludf.DUMMYFUNCTION("""COMPUTED_VALUE"""),"Notre Dame")</f>
        <v>Notre Dame</v>
      </c>
      <c r="F3758" s="4">
        <f>IFERROR(__xludf.DUMMYFUNCTION("""COMPUTED_VALUE"""),13.0)</f>
        <v>13</v>
      </c>
      <c r="G3758" s="4">
        <f>IFERROR(__xludf.DUMMYFUNCTION("""COMPUTED_VALUE"""),851.0)</f>
        <v>851</v>
      </c>
      <c r="H3758" s="4">
        <f>IFERROR(__xludf.DUMMYFUNCTION("""COMPUTED_VALUE"""),24041.0)</f>
        <v>24041</v>
      </c>
      <c r="I3758" s="4">
        <f>IFERROR(__xludf.DUMMYFUNCTION("""COMPUTED_VALUE"""),13623.0)</f>
        <v>13623</v>
      </c>
      <c r="J3758" s="4">
        <f>IFERROR(__xludf.DUMMYFUNCTION("""COMPUTED_VALUE"""),3696.0)</f>
        <v>3696</v>
      </c>
      <c r="K3758" s="4">
        <f>IFERROR(__xludf.DUMMYFUNCTION("""COMPUTED_VALUE"""),1609.0)</f>
        <v>1609</v>
      </c>
      <c r="L3758" s="4">
        <f>IFERROR(__xludf.DUMMYFUNCTION("""COMPUTED_VALUE"""),0.513)</f>
        <v>0.513</v>
      </c>
      <c r="M3758" s="4">
        <f>IFERROR(__xludf.DUMMYFUNCTION("""COMPUTED_VALUE"""),0.091)</f>
        <v>0.091</v>
      </c>
      <c r="N3758" s="4">
        <f>IFERROR(__xludf.DUMMYFUNCTION("""COMPUTED_VALUE"""),0.737)</f>
        <v>0.737</v>
      </c>
      <c r="O3758" s="4">
        <f>IFERROR(__xludf.DUMMYFUNCTION("""COMPUTED_VALUE"""),28.3)</f>
        <v>28.3</v>
      </c>
      <c r="P3758" s="4">
        <f>IFERROR(__xludf.DUMMYFUNCTION("""COMPUTED_VALUE"""),16.0)</f>
        <v>16</v>
      </c>
      <c r="Q3758" s="4">
        <f>IFERROR(__xludf.DUMMYFUNCTION("""COMPUTED_VALUE"""),4.3)</f>
        <v>4.3</v>
      </c>
      <c r="R3758" s="4">
        <f>IFERROR(__xludf.DUMMYFUNCTION("""COMPUTED_VALUE"""),1.9)</f>
        <v>1.9</v>
      </c>
      <c r="S3758" s="4">
        <f>IFERROR(__xludf.DUMMYFUNCTION("""COMPUTED_VALUE"""),53.0)</f>
        <v>53</v>
      </c>
      <c r="T3758" s="4">
        <f>IFERROR(__xludf.DUMMYFUNCTION("""COMPUTED_VALUE"""),0.106)</f>
        <v>0.106</v>
      </c>
      <c r="U3758" s="4">
        <f>IFERROR(__xludf.DUMMYFUNCTION("""COMPUTED_VALUE"""),0.1)</f>
        <v>0.1</v>
      </c>
      <c r="V3758" s="4">
        <f>IFERROR(__xludf.DUMMYFUNCTION("""COMPUTED_VALUE"""),12.8)</f>
        <v>12.8</v>
      </c>
    </row>
    <row r="3759">
      <c r="A3759" s="4">
        <f>IFERROR(__xludf.DUMMYFUNCTION("""COMPUTED_VALUE"""),7.0)</f>
        <v>7</v>
      </c>
      <c r="B3759" s="4">
        <f>IFERROR(__xludf.DUMMYFUNCTION("""COMPUTED_VALUE"""),7.0)</f>
        <v>7</v>
      </c>
      <c r="C3759" s="4" t="str">
        <f>IFERROR(__xludf.DUMMYFUNCTION("""COMPUTED_VALUE"""),"KCK")</f>
        <v>KCK</v>
      </c>
      <c r="D3759" s="4" t="str">
        <f>IFERROR(__xludf.DUMMYFUNCTION("""COMPUTED_VALUE"""),"Steve Johnson")</f>
        <v>Steve Johnson</v>
      </c>
      <c r="E3759" s="4" t="str">
        <f>IFERROR(__xludf.DUMMYFUNCTION("""COMPUTED_VALUE"""),"Oregon State")</f>
        <v>Oregon State</v>
      </c>
      <c r="F3759" s="4">
        <f>IFERROR(__xludf.DUMMYFUNCTION("""COMPUTED_VALUE"""),10.0)</f>
        <v>10</v>
      </c>
      <c r="G3759" s="4">
        <f>IFERROR(__xludf.DUMMYFUNCTION("""COMPUTED_VALUE"""),626.0)</f>
        <v>626</v>
      </c>
      <c r="H3759" s="4">
        <f>IFERROR(__xludf.DUMMYFUNCTION("""COMPUTED_VALUE"""),13618.0)</f>
        <v>13618</v>
      </c>
      <c r="I3759" s="4">
        <f>IFERROR(__xludf.DUMMYFUNCTION("""COMPUTED_VALUE"""),7345.0)</f>
        <v>7345</v>
      </c>
      <c r="J3759" s="4">
        <f>IFERROR(__xludf.DUMMYFUNCTION("""COMPUTED_VALUE"""),3450.0)</f>
        <v>3450</v>
      </c>
      <c r="K3759" s="4">
        <f>IFERROR(__xludf.DUMMYFUNCTION("""COMPUTED_VALUE"""),777.0)</f>
        <v>777</v>
      </c>
      <c r="L3759" s="4">
        <f>IFERROR(__xludf.DUMMYFUNCTION("""COMPUTED_VALUE"""),0.572)</f>
        <v>0.572</v>
      </c>
      <c r="M3759" s="4">
        <f>IFERROR(__xludf.DUMMYFUNCTION("""COMPUTED_VALUE"""),0.0)</f>
        <v>0</v>
      </c>
      <c r="N3759" s="4">
        <f>IFERROR(__xludf.DUMMYFUNCTION("""COMPUTED_VALUE"""),0.634)</f>
        <v>0.634</v>
      </c>
      <c r="O3759" s="4">
        <f>IFERROR(__xludf.DUMMYFUNCTION("""COMPUTED_VALUE"""),21.8)</f>
        <v>21.8</v>
      </c>
      <c r="P3759" s="4">
        <f>IFERROR(__xludf.DUMMYFUNCTION("""COMPUTED_VALUE"""),11.7)</f>
        <v>11.7</v>
      </c>
      <c r="Q3759" s="4">
        <f>IFERROR(__xludf.DUMMYFUNCTION("""COMPUTED_VALUE"""),5.5)</f>
        <v>5.5</v>
      </c>
      <c r="R3759" s="4">
        <f>IFERROR(__xludf.DUMMYFUNCTION("""COMPUTED_VALUE"""),1.2)</f>
        <v>1.2</v>
      </c>
      <c r="S3759" s="4">
        <f>IFERROR(__xludf.DUMMYFUNCTION("""COMPUTED_VALUE"""),26.9)</f>
        <v>26.9</v>
      </c>
      <c r="T3759" s="4">
        <f>IFERROR(__xludf.DUMMYFUNCTION("""COMPUTED_VALUE"""),0.095)</f>
        <v>0.095</v>
      </c>
      <c r="U3759" s="4">
        <f>IFERROR(__xludf.DUMMYFUNCTION("""COMPUTED_VALUE"""),-1.7)</f>
        <v>-1.7</v>
      </c>
      <c r="V3759" s="4">
        <f>IFERROR(__xludf.DUMMYFUNCTION("""COMPUTED_VALUE"""),1.1)</f>
        <v>1.1</v>
      </c>
    </row>
    <row r="3760">
      <c r="A3760" s="4">
        <f>IFERROR(__xludf.DUMMYFUNCTION("""COMPUTED_VALUE"""),8.0)</f>
        <v>8</v>
      </c>
      <c r="B3760" s="4">
        <f>IFERROR(__xludf.DUMMYFUNCTION("""COMPUTED_VALUE"""),8.0)</f>
        <v>8</v>
      </c>
      <c r="C3760" s="4" t="str">
        <f>IFERROR(__xludf.DUMMYFUNCTION("""COMPUTED_VALUE"""),"SDC")</f>
        <v>SDC</v>
      </c>
      <c r="D3760" s="4" t="str">
        <f>IFERROR(__xludf.DUMMYFUNCTION("""COMPUTED_VALUE"""),"Tom Chambers")</f>
        <v>Tom Chambers</v>
      </c>
      <c r="E3760" s="4" t="str">
        <f>IFERROR(__xludf.DUMMYFUNCTION("""COMPUTED_VALUE"""),"Utah")</f>
        <v>Utah</v>
      </c>
      <c r="F3760" s="4">
        <f>IFERROR(__xludf.DUMMYFUNCTION("""COMPUTED_VALUE"""),16.0)</f>
        <v>16</v>
      </c>
      <c r="G3760" s="4">
        <f>IFERROR(__xludf.DUMMYFUNCTION("""COMPUTED_VALUE"""),1107.0)</f>
        <v>1107</v>
      </c>
      <c r="H3760" s="4">
        <f>IFERROR(__xludf.DUMMYFUNCTION("""COMPUTED_VALUE"""),33922.0)</f>
        <v>33922</v>
      </c>
      <c r="I3760" s="4">
        <f>IFERROR(__xludf.DUMMYFUNCTION("""COMPUTED_VALUE"""),20049.0)</f>
        <v>20049</v>
      </c>
      <c r="J3760" s="4">
        <f>IFERROR(__xludf.DUMMYFUNCTION("""COMPUTED_VALUE"""),6703.0)</f>
        <v>6703</v>
      </c>
      <c r="K3760" s="4">
        <f>IFERROR(__xludf.DUMMYFUNCTION("""COMPUTED_VALUE"""),2283.0)</f>
        <v>2283</v>
      </c>
      <c r="L3760" s="4">
        <f>IFERROR(__xludf.DUMMYFUNCTION("""COMPUTED_VALUE"""),0.468)</f>
        <v>0.468</v>
      </c>
      <c r="M3760" s="4">
        <f>IFERROR(__xludf.DUMMYFUNCTION("""COMPUTED_VALUE"""),0.307)</f>
        <v>0.307</v>
      </c>
      <c r="N3760" s="4">
        <f>IFERROR(__xludf.DUMMYFUNCTION("""COMPUTED_VALUE"""),0.807)</f>
        <v>0.807</v>
      </c>
      <c r="O3760" s="4">
        <f>IFERROR(__xludf.DUMMYFUNCTION("""COMPUTED_VALUE"""),30.6)</f>
        <v>30.6</v>
      </c>
      <c r="P3760" s="4">
        <f>IFERROR(__xludf.DUMMYFUNCTION("""COMPUTED_VALUE"""),18.1)</f>
        <v>18.1</v>
      </c>
      <c r="Q3760" s="4">
        <f>IFERROR(__xludf.DUMMYFUNCTION("""COMPUTED_VALUE"""),6.1)</f>
        <v>6.1</v>
      </c>
      <c r="R3760" s="4">
        <f>IFERROR(__xludf.DUMMYFUNCTION("""COMPUTED_VALUE"""),2.1)</f>
        <v>2.1</v>
      </c>
      <c r="S3760" s="4">
        <f>IFERROR(__xludf.DUMMYFUNCTION("""COMPUTED_VALUE"""),79.0)</f>
        <v>79</v>
      </c>
      <c r="T3760" s="4">
        <f>IFERROR(__xludf.DUMMYFUNCTION("""COMPUTED_VALUE"""),0.112)</f>
        <v>0.112</v>
      </c>
      <c r="U3760" s="4">
        <f>IFERROR(__xludf.DUMMYFUNCTION("""COMPUTED_VALUE"""),-0.6)</f>
        <v>-0.6</v>
      </c>
      <c r="V3760" s="4">
        <f>IFERROR(__xludf.DUMMYFUNCTION("""COMPUTED_VALUE"""),12.0)</f>
        <v>12</v>
      </c>
    </row>
    <row r="3761">
      <c r="A3761" s="4">
        <f>IFERROR(__xludf.DUMMYFUNCTION("""COMPUTED_VALUE"""),9.0)</f>
        <v>9</v>
      </c>
      <c r="B3761" s="4">
        <f>IFERROR(__xludf.DUMMYFUNCTION("""COMPUTED_VALUE"""),9.0)</f>
        <v>9</v>
      </c>
      <c r="C3761" s="4" t="str">
        <f>IFERROR(__xludf.DUMMYFUNCTION("""COMPUTED_VALUE"""),"DAL")</f>
        <v>DAL</v>
      </c>
      <c r="D3761" s="4" t="str">
        <f>IFERROR(__xludf.DUMMYFUNCTION("""COMPUTED_VALUE"""),"Rolando Blackman")</f>
        <v>Rolando Blackman</v>
      </c>
      <c r="E3761" s="4" t="str">
        <f>IFERROR(__xludf.DUMMYFUNCTION("""COMPUTED_VALUE"""),"Kansas State")</f>
        <v>Kansas State</v>
      </c>
      <c r="F3761" s="4">
        <f>IFERROR(__xludf.DUMMYFUNCTION("""COMPUTED_VALUE"""),13.0)</f>
        <v>13</v>
      </c>
      <c r="G3761" s="4">
        <f>IFERROR(__xludf.DUMMYFUNCTION("""COMPUTED_VALUE"""),980.0)</f>
        <v>980</v>
      </c>
      <c r="H3761" s="4">
        <f>IFERROR(__xludf.DUMMYFUNCTION("""COMPUTED_VALUE"""),32087.0)</f>
        <v>32087</v>
      </c>
      <c r="I3761" s="4">
        <f>IFERROR(__xludf.DUMMYFUNCTION("""COMPUTED_VALUE"""),17623.0)</f>
        <v>17623</v>
      </c>
      <c r="J3761" s="4">
        <f>IFERROR(__xludf.DUMMYFUNCTION("""COMPUTED_VALUE"""),3278.0)</f>
        <v>3278</v>
      </c>
      <c r="K3761" s="4">
        <f>IFERROR(__xludf.DUMMYFUNCTION("""COMPUTED_VALUE"""),2981.0)</f>
        <v>2981</v>
      </c>
      <c r="L3761" s="4">
        <f>IFERROR(__xludf.DUMMYFUNCTION("""COMPUTED_VALUE"""),0.493)</f>
        <v>0.493</v>
      </c>
      <c r="M3761" s="4">
        <f>IFERROR(__xludf.DUMMYFUNCTION("""COMPUTED_VALUE"""),0.343)</f>
        <v>0.343</v>
      </c>
      <c r="N3761" s="4">
        <f>IFERROR(__xludf.DUMMYFUNCTION("""COMPUTED_VALUE"""),0.84)</f>
        <v>0.84</v>
      </c>
      <c r="O3761" s="4">
        <f>IFERROR(__xludf.DUMMYFUNCTION("""COMPUTED_VALUE"""),32.7)</f>
        <v>32.7</v>
      </c>
      <c r="P3761" s="4">
        <f>IFERROR(__xludf.DUMMYFUNCTION("""COMPUTED_VALUE"""),18.0)</f>
        <v>18</v>
      </c>
      <c r="Q3761" s="4">
        <f>IFERROR(__xludf.DUMMYFUNCTION("""COMPUTED_VALUE"""),3.3)</f>
        <v>3.3</v>
      </c>
      <c r="R3761" s="4">
        <f>IFERROR(__xludf.DUMMYFUNCTION("""COMPUTED_VALUE"""),3.0)</f>
        <v>3</v>
      </c>
      <c r="S3761" s="4">
        <f>IFERROR(__xludf.DUMMYFUNCTION("""COMPUTED_VALUE"""),75.6)</f>
        <v>75.6</v>
      </c>
      <c r="T3761" s="4">
        <f>IFERROR(__xludf.DUMMYFUNCTION("""COMPUTED_VALUE"""),0.113)</f>
        <v>0.113</v>
      </c>
      <c r="U3761" s="4">
        <f>IFERROR(__xludf.DUMMYFUNCTION("""COMPUTED_VALUE"""),0.4)</f>
        <v>0.4</v>
      </c>
      <c r="V3761" s="4">
        <f>IFERROR(__xludf.DUMMYFUNCTION("""COMPUTED_VALUE"""),19.8)</f>
        <v>19.8</v>
      </c>
    </row>
    <row r="3762">
      <c r="A3762" s="4">
        <f>IFERROR(__xludf.DUMMYFUNCTION("""COMPUTED_VALUE"""),10.0)</f>
        <v>10</v>
      </c>
      <c r="B3762" s="4">
        <f>IFERROR(__xludf.DUMMYFUNCTION("""COMPUTED_VALUE"""),10.0)</f>
        <v>10</v>
      </c>
      <c r="C3762" s="4" t="str">
        <f>IFERROR(__xludf.DUMMYFUNCTION("""COMPUTED_VALUE"""),"NJN")</f>
        <v>NJN</v>
      </c>
      <c r="D3762" s="4" t="str">
        <f>IFERROR(__xludf.DUMMYFUNCTION("""COMPUTED_VALUE"""),"Albert King")</f>
        <v>Albert King</v>
      </c>
      <c r="E3762" s="4" t="str">
        <f>IFERROR(__xludf.DUMMYFUNCTION("""COMPUTED_VALUE"""),"Maryland")</f>
        <v>Maryland</v>
      </c>
      <c r="F3762" s="4">
        <f>IFERROR(__xludf.DUMMYFUNCTION("""COMPUTED_VALUE"""),9.0)</f>
        <v>9</v>
      </c>
      <c r="G3762" s="4">
        <f>IFERROR(__xludf.DUMMYFUNCTION("""COMPUTED_VALUE"""),534.0)</f>
        <v>534</v>
      </c>
      <c r="H3762" s="4">
        <f>IFERROR(__xludf.DUMMYFUNCTION("""COMPUTED_VALUE"""),12836.0)</f>
        <v>12836</v>
      </c>
      <c r="I3762" s="4">
        <f>IFERROR(__xludf.DUMMYFUNCTION("""COMPUTED_VALUE"""),6470.0)</f>
        <v>6470</v>
      </c>
      <c r="J3762" s="4">
        <f>IFERROR(__xludf.DUMMYFUNCTION("""COMPUTED_VALUE"""),2262.0)</f>
        <v>2262</v>
      </c>
      <c r="K3762" s="4">
        <f>IFERROR(__xludf.DUMMYFUNCTION("""COMPUTED_VALUE"""),1171.0)</f>
        <v>1171</v>
      </c>
      <c r="L3762" s="4">
        <f>IFERROR(__xludf.DUMMYFUNCTION("""COMPUTED_VALUE"""),0.461)</f>
        <v>0.461</v>
      </c>
      <c r="M3762" s="4">
        <f>IFERROR(__xludf.DUMMYFUNCTION("""COMPUTED_VALUE"""),0.268)</f>
        <v>0.268</v>
      </c>
      <c r="N3762" s="4">
        <f>IFERROR(__xludf.DUMMYFUNCTION("""COMPUTED_VALUE"""),0.791)</f>
        <v>0.791</v>
      </c>
      <c r="O3762" s="4">
        <f>IFERROR(__xludf.DUMMYFUNCTION("""COMPUTED_VALUE"""),24.0)</f>
        <v>24</v>
      </c>
      <c r="P3762" s="4">
        <f>IFERROR(__xludf.DUMMYFUNCTION("""COMPUTED_VALUE"""),12.1)</f>
        <v>12.1</v>
      </c>
      <c r="Q3762" s="4">
        <f>IFERROR(__xludf.DUMMYFUNCTION("""COMPUTED_VALUE"""),4.2)</f>
        <v>4.2</v>
      </c>
      <c r="R3762" s="4">
        <f>IFERROR(__xludf.DUMMYFUNCTION("""COMPUTED_VALUE"""),2.2)</f>
        <v>2.2</v>
      </c>
      <c r="S3762" s="4">
        <f>IFERROR(__xludf.DUMMYFUNCTION("""COMPUTED_VALUE"""),16.3)</f>
        <v>16.3</v>
      </c>
      <c r="T3762" s="4">
        <f>IFERROR(__xludf.DUMMYFUNCTION("""COMPUTED_VALUE"""),0.061)</f>
        <v>0.061</v>
      </c>
      <c r="U3762" s="4">
        <f>IFERROR(__xludf.DUMMYFUNCTION("""COMPUTED_VALUE"""),-1.7)</f>
        <v>-1.7</v>
      </c>
      <c r="V3762" s="4">
        <f>IFERROR(__xludf.DUMMYFUNCTION("""COMPUTED_VALUE"""),1.1)</f>
        <v>1.1</v>
      </c>
    </row>
    <row r="3763">
      <c r="A3763" s="4">
        <f>IFERROR(__xludf.DUMMYFUNCTION("""COMPUTED_VALUE"""),11.0)</f>
        <v>11</v>
      </c>
      <c r="B3763" s="4">
        <f>IFERROR(__xludf.DUMMYFUNCTION("""COMPUTED_VALUE"""),11.0)</f>
        <v>11</v>
      </c>
      <c r="C3763" s="4" t="str">
        <f>IFERROR(__xludf.DUMMYFUNCTION("""COMPUTED_VALUE"""),"WSB")</f>
        <v>WSB</v>
      </c>
      <c r="D3763" s="4" t="str">
        <f>IFERROR(__xludf.DUMMYFUNCTION("""COMPUTED_VALUE"""),"Frank Johnson")</f>
        <v>Frank Johnson</v>
      </c>
      <c r="E3763" s="4" t="str">
        <f>IFERROR(__xludf.DUMMYFUNCTION("""COMPUTED_VALUE"""),"Wake Forest")</f>
        <v>Wake Forest</v>
      </c>
      <c r="F3763" s="4">
        <f>IFERROR(__xludf.DUMMYFUNCTION("""COMPUTED_VALUE"""),10.0)</f>
        <v>10</v>
      </c>
      <c r="G3763" s="4">
        <f>IFERROR(__xludf.DUMMYFUNCTION("""COMPUTED_VALUE"""),596.0)</f>
        <v>596</v>
      </c>
      <c r="H3763" s="4">
        <f>IFERROR(__xludf.DUMMYFUNCTION("""COMPUTED_VALUE"""),12897.0)</f>
        <v>12897</v>
      </c>
      <c r="I3763" s="4">
        <f>IFERROR(__xludf.DUMMYFUNCTION("""COMPUTED_VALUE"""),4937.0)</f>
        <v>4937</v>
      </c>
      <c r="J3763" s="4">
        <f>IFERROR(__xludf.DUMMYFUNCTION("""COMPUTED_VALUE"""),1025.0)</f>
        <v>1025</v>
      </c>
      <c r="K3763" s="4">
        <f>IFERROR(__xludf.DUMMYFUNCTION("""COMPUTED_VALUE"""),2476.0)</f>
        <v>2476</v>
      </c>
      <c r="L3763" s="4">
        <f>IFERROR(__xludf.DUMMYFUNCTION("""COMPUTED_VALUE"""),0.439)</f>
        <v>0.439</v>
      </c>
      <c r="M3763" s="4">
        <f>IFERROR(__xludf.DUMMYFUNCTION("""COMPUTED_VALUE"""),0.218)</f>
        <v>0.218</v>
      </c>
      <c r="N3763" s="4">
        <f>IFERROR(__xludf.DUMMYFUNCTION("""COMPUTED_VALUE"""),0.76)</f>
        <v>0.76</v>
      </c>
      <c r="O3763" s="4">
        <f>IFERROR(__xludf.DUMMYFUNCTION("""COMPUTED_VALUE"""),21.6)</f>
        <v>21.6</v>
      </c>
      <c r="P3763" s="4">
        <f>IFERROR(__xludf.DUMMYFUNCTION("""COMPUTED_VALUE"""),8.3)</f>
        <v>8.3</v>
      </c>
      <c r="Q3763" s="4">
        <f>IFERROR(__xludf.DUMMYFUNCTION("""COMPUTED_VALUE"""),1.7)</f>
        <v>1.7</v>
      </c>
      <c r="R3763" s="4">
        <f>IFERROR(__xludf.DUMMYFUNCTION("""COMPUTED_VALUE"""),4.2)</f>
        <v>4.2</v>
      </c>
      <c r="S3763" s="4">
        <f>IFERROR(__xludf.DUMMYFUNCTION("""COMPUTED_VALUE"""),17.2)</f>
        <v>17.2</v>
      </c>
      <c r="T3763" s="4">
        <f>IFERROR(__xludf.DUMMYFUNCTION("""COMPUTED_VALUE"""),0.064)</f>
        <v>0.064</v>
      </c>
      <c r="U3763" s="4">
        <f>IFERROR(__xludf.DUMMYFUNCTION("""COMPUTED_VALUE"""),-1.3)</f>
        <v>-1.3</v>
      </c>
      <c r="V3763" s="4">
        <f>IFERROR(__xludf.DUMMYFUNCTION("""COMPUTED_VALUE"""),2.4)</f>
        <v>2.4</v>
      </c>
    </row>
    <row r="3764">
      <c r="A3764" s="4">
        <f>IFERROR(__xludf.DUMMYFUNCTION("""COMPUTED_VALUE"""),12.0)</f>
        <v>12</v>
      </c>
      <c r="B3764" s="4">
        <f>IFERROR(__xludf.DUMMYFUNCTION("""COMPUTED_VALUE"""),12.0)</f>
        <v>12</v>
      </c>
      <c r="C3764" s="4" t="str">
        <f>IFERROR(__xludf.DUMMYFUNCTION("""COMPUTED_VALUE"""),"DET")</f>
        <v>DET</v>
      </c>
      <c r="D3764" s="4" t="str">
        <f>IFERROR(__xludf.DUMMYFUNCTION("""COMPUTED_VALUE"""),"Kelly Tripucka")</f>
        <v>Kelly Tripucka</v>
      </c>
      <c r="E3764" s="4" t="str">
        <f>IFERROR(__xludf.DUMMYFUNCTION("""COMPUTED_VALUE"""),"Notre Dame")</f>
        <v>Notre Dame</v>
      </c>
      <c r="F3764" s="4">
        <f>IFERROR(__xludf.DUMMYFUNCTION("""COMPUTED_VALUE"""),10.0)</f>
        <v>10</v>
      </c>
      <c r="G3764" s="4">
        <f>IFERROR(__xludf.DUMMYFUNCTION("""COMPUTED_VALUE"""),707.0)</f>
        <v>707</v>
      </c>
      <c r="H3764" s="4">
        <f>IFERROR(__xludf.DUMMYFUNCTION("""COMPUTED_VALUE"""),20959.0)</f>
        <v>20959</v>
      </c>
      <c r="I3764" s="4">
        <f>IFERROR(__xludf.DUMMYFUNCTION("""COMPUTED_VALUE"""),12142.0)</f>
        <v>12142</v>
      </c>
      <c r="J3764" s="4">
        <f>IFERROR(__xludf.DUMMYFUNCTION("""COMPUTED_VALUE"""),2703.0)</f>
        <v>2703</v>
      </c>
      <c r="K3764" s="4">
        <f>IFERROR(__xludf.DUMMYFUNCTION("""COMPUTED_VALUE"""),2090.0)</f>
        <v>2090</v>
      </c>
      <c r="L3764" s="4">
        <f>IFERROR(__xludf.DUMMYFUNCTION("""COMPUTED_VALUE"""),0.473)</f>
        <v>0.473</v>
      </c>
      <c r="M3764" s="4">
        <f>IFERROR(__xludf.DUMMYFUNCTION("""COMPUTED_VALUE"""),0.361)</f>
        <v>0.361</v>
      </c>
      <c r="N3764" s="4">
        <f>IFERROR(__xludf.DUMMYFUNCTION("""COMPUTED_VALUE"""),0.849)</f>
        <v>0.849</v>
      </c>
      <c r="O3764" s="4">
        <f>IFERROR(__xludf.DUMMYFUNCTION("""COMPUTED_VALUE"""),29.6)</f>
        <v>29.6</v>
      </c>
      <c r="P3764" s="4">
        <f>IFERROR(__xludf.DUMMYFUNCTION("""COMPUTED_VALUE"""),17.2)</f>
        <v>17.2</v>
      </c>
      <c r="Q3764" s="4">
        <f>IFERROR(__xludf.DUMMYFUNCTION("""COMPUTED_VALUE"""),3.8)</f>
        <v>3.8</v>
      </c>
      <c r="R3764" s="4">
        <f>IFERROR(__xludf.DUMMYFUNCTION("""COMPUTED_VALUE"""),3.0)</f>
        <v>3</v>
      </c>
      <c r="S3764" s="4">
        <f>IFERROR(__xludf.DUMMYFUNCTION("""COMPUTED_VALUE"""),44.4)</f>
        <v>44.4</v>
      </c>
      <c r="T3764" s="4">
        <f>IFERROR(__xludf.DUMMYFUNCTION("""COMPUTED_VALUE"""),0.102)</f>
        <v>0.102</v>
      </c>
      <c r="U3764" s="4">
        <f>IFERROR(__xludf.DUMMYFUNCTION("""COMPUTED_VALUE"""),0.1)</f>
        <v>0.1</v>
      </c>
      <c r="V3764" s="4">
        <f>IFERROR(__xludf.DUMMYFUNCTION("""COMPUTED_VALUE"""),11.2)</f>
        <v>11.2</v>
      </c>
    </row>
    <row r="3765">
      <c r="A3765" s="4">
        <f>IFERROR(__xludf.DUMMYFUNCTION("""COMPUTED_VALUE"""),13.0)</f>
        <v>13</v>
      </c>
      <c r="B3765" s="4">
        <f>IFERROR(__xludf.DUMMYFUNCTION("""COMPUTED_VALUE"""),13.0)</f>
        <v>13</v>
      </c>
      <c r="C3765" s="4" t="str">
        <f>IFERROR(__xludf.DUMMYFUNCTION("""COMPUTED_VALUE"""),"UTA")</f>
        <v>UTA</v>
      </c>
      <c r="D3765" s="4" t="str">
        <f>IFERROR(__xludf.DUMMYFUNCTION("""COMPUTED_VALUE"""),"Danny Schayes")</f>
        <v>Danny Schayes</v>
      </c>
      <c r="E3765" s="4" t="str">
        <f>IFERROR(__xludf.DUMMYFUNCTION("""COMPUTED_VALUE"""),"Syracuse")</f>
        <v>Syracuse</v>
      </c>
      <c r="F3765" s="4">
        <f>IFERROR(__xludf.DUMMYFUNCTION("""COMPUTED_VALUE"""),18.0)</f>
        <v>18</v>
      </c>
      <c r="G3765" s="4">
        <f>IFERROR(__xludf.DUMMYFUNCTION("""COMPUTED_VALUE"""),1138.0)</f>
        <v>1138</v>
      </c>
      <c r="H3765" s="4">
        <f>IFERROR(__xludf.DUMMYFUNCTION("""COMPUTED_VALUE"""),21975.0)</f>
        <v>21975</v>
      </c>
      <c r="I3765" s="4">
        <f>IFERROR(__xludf.DUMMYFUNCTION("""COMPUTED_VALUE"""),8780.0)</f>
        <v>8780</v>
      </c>
      <c r="J3765" s="4">
        <f>IFERROR(__xludf.DUMMYFUNCTION("""COMPUTED_VALUE"""),5671.0)</f>
        <v>5671</v>
      </c>
      <c r="K3765" s="4">
        <f>IFERROR(__xludf.DUMMYFUNCTION("""COMPUTED_VALUE"""),1299.0)</f>
        <v>1299</v>
      </c>
      <c r="L3765" s="4">
        <f>IFERROR(__xludf.DUMMYFUNCTION("""COMPUTED_VALUE"""),0.481)</f>
        <v>0.481</v>
      </c>
      <c r="M3765" s="4">
        <f>IFERROR(__xludf.DUMMYFUNCTION("""COMPUTED_VALUE"""),0.133)</f>
        <v>0.133</v>
      </c>
      <c r="N3765" s="4">
        <f>IFERROR(__xludf.DUMMYFUNCTION("""COMPUTED_VALUE"""),0.806)</f>
        <v>0.806</v>
      </c>
      <c r="O3765" s="4">
        <f>IFERROR(__xludf.DUMMYFUNCTION("""COMPUTED_VALUE"""),19.3)</f>
        <v>19.3</v>
      </c>
      <c r="P3765" s="4">
        <f>IFERROR(__xludf.DUMMYFUNCTION("""COMPUTED_VALUE"""),7.7)</f>
        <v>7.7</v>
      </c>
      <c r="Q3765" s="4">
        <f>IFERROR(__xludf.DUMMYFUNCTION("""COMPUTED_VALUE"""),5.0)</f>
        <v>5</v>
      </c>
      <c r="R3765" s="4">
        <f>IFERROR(__xludf.DUMMYFUNCTION("""COMPUTED_VALUE"""),1.1)</f>
        <v>1.1</v>
      </c>
      <c r="S3765" s="4">
        <f>IFERROR(__xludf.DUMMYFUNCTION("""COMPUTED_VALUE"""),48.8)</f>
        <v>48.8</v>
      </c>
      <c r="T3765" s="4">
        <f>IFERROR(__xludf.DUMMYFUNCTION("""COMPUTED_VALUE"""),0.107)</f>
        <v>0.107</v>
      </c>
      <c r="U3765" s="4">
        <f>IFERROR(__xludf.DUMMYFUNCTION("""COMPUTED_VALUE"""),-2.0)</f>
        <v>-2</v>
      </c>
      <c r="V3765" s="4">
        <f>IFERROR(__xludf.DUMMYFUNCTION("""COMPUTED_VALUE"""),-0.1)</f>
        <v>-0.1</v>
      </c>
    </row>
    <row r="3766">
      <c r="A3766" s="4">
        <f>IFERROR(__xludf.DUMMYFUNCTION("""COMPUTED_VALUE"""),14.0)</f>
        <v>14</v>
      </c>
      <c r="B3766" s="4">
        <f>IFERROR(__xludf.DUMMYFUNCTION("""COMPUTED_VALUE"""),14.0)</f>
        <v>14</v>
      </c>
      <c r="C3766" s="4" t="str">
        <f>IFERROR(__xludf.DUMMYFUNCTION("""COMPUTED_VALUE"""),"IND")</f>
        <v>IND</v>
      </c>
      <c r="D3766" s="4" t="str">
        <f>IFERROR(__xludf.DUMMYFUNCTION("""COMPUTED_VALUE"""),"Herb Williams")</f>
        <v>Herb Williams</v>
      </c>
      <c r="E3766" s="4" t="str">
        <f>IFERROR(__xludf.DUMMYFUNCTION("""COMPUTED_VALUE"""),"Ohio State")</f>
        <v>Ohio State</v>
      </c>
      <c r="F3766" s="4">
        <f>IFERROR(__xludf.DUMMYFUNCTION("""COMPUTED_VALUE"""),18.0)</f>
        <v>18</v>
      </c>
      <c r="G3766" s="4">
        <f>IFERROR(__xludf.DUMMYFUNCTION("""COMPUTED_VALUE"""),1102.0)</f>
        <v>1102</v>
      </c>
      <c r="H3766" s="4">
        <f>IFERROR(__xludf.DUMMYFUNCTION("""COMPUTED_VALUE"""),28484.0)</f>
        <v>28484</v>
      </c>
      <c r="I3766" s="4">
        <f>IFERROR(__xludf.DUMMYFUNCTION("""COMPUTED_VALUE"""),11944.0)</f>
        <v>11944</v>
      </c>
      <c r="J3766" s="4">
        <f>IFERROR(__xludf.DUMMYFUNCTION("""COMPUTED_VALUE"""),6509.0)</f>
        <v>6509</v>
      </c>
      <c r="K3766" s="4">
        <f>IFERROR(__xludf.DUMMYFUNCTION("""COMPUTED_VALUE"""),1856.0)</f>
        <v>1856</v>
      </c>
      <c r="L3766" s="4">
        <f>IFERROR(__xludf.DUMMYFUNCTION("""COMPUTED_VALUE"""),0.467)</f>
        <v>0.467</v>
      </c>
      <c r="M3766" s="4">
        <f>IFERROR(__xludf.DUMMYFUNCTION("""COMPUTED_VALUE"""),0.095)</f>
        <v>0.095</v>
      </c>
      <c r="N3766" s="4">
        <f>IFERROR(__xludf.DUMMYFUNCTION("""COMPUTED_VALUE"""),0.696)</f>
        <v>0.696</v>
      </c>
      <c r="O3766" s="4">
        <f>IFERROR(__xludf.DUMMYFUNCTION("""COMPUTED_VALUE"""),25.8)</f>
        <v>25.8</v>
      </c>
      <c r="P3766" s="4">
        <f>IFERROR(__xludf.DUMMYFUNCTION("""COMPUTED_VALUE"""),10.8)</f>
        <v>10.8</v>
      </c>
      <c r="Q3766" s="4">
        <f>IFERROR(__xludf.DUMMYFUNCTION("""COMPUTED_VALUE"""),5.9)</f>
        <v>5.9</v>
      </c>
      <c r="R3766" s="4">
        <f>IFERROR(__xludf.DUMMYFUNCTION("""COMPUTED_VALUE"""),1.7)</f>
        <v>1.7</v>
      </c>
      <c r="S3766" s="4">
        <f>IFERROR(__xludf.DUMMYFUNCTION("""COMPUTED_VALUE"""),36.1)</f>
        <v>36.1</v>
      </c>
      <c r="T3766" s="4">
        <f>IFERROR(__xludf.DUMMYFUNCTION("""COMPUTED_VALUE"""),0.061)</f>
        <v>0.061</v>
      </c>
      <c r="U3766" s="4">
        <f>IFERROR(__xludf.DUMMYFUNCTION("""COMPUTED_VALUE"""),-0.9)</f>
        <v>-0.9</v>
      </c>
      <c r="V3766" s="4">
        <f>IFERROR(__xludf.DUMMYFUNCTION("""COMPUTED_VALUE"""),7.8)</f>
        <v>7.8</v>
      </c>
    </row>
    <row r="3767">
      <c r="A3767" s="4">
        <f>IFERROR(__xludf.DUMMYFUNCTION("""COMPUTED_VALUE"""),15.0)</f>
        <v>15</v>
      </c>
      <c r="B3767" s="4">
        <f>IFERROR(__xludf.DUMMYFUNCTION("""COMPUTED_VALUE"""),15.0)</f>
        <v>15</v>
      </c>
      <c r="C3767" s="4" t="str">
        <f>IFERROR(__xludf.DUMMYFUNCTION("""COMPUTED_VALUE"""),"POR")</f>
        <v>POR</v>
      </c>
      <c r="D3767" s="4" t="str">
        <f>IFERROR(__xludf.DUMMYFUNCTION("""COMPUTED_VALUE"""),"Jeff Lamp")</f>
        <v>Jeff Lamp</v>
      </c>
      <c r="E3767" s="4" t="str">
        <f>IFERROR(__xludf.DUMMYFUNCTION("""COMPUTED_VALUE"""),"Virginia")</f>
        <v>Virginia</v>
      </c>
      <c r="F3767" s="4">
        <f>IFERROR(__xludf.DUMMYFUNCTION("""COMPUTED_VALUE"""),6.0)</f>
        <v>6</v>
      </c>
      <c r="G3767" s="4">
        <f>IFERROR(__xludf.DUMMYFUNCTION("""COMPUTED_VALUE"""),291.0)</f>
        <v>291</v>
      </c>
      <c r="H3767" s="4">
        <f>IFERROR(__xludf.DUMMYFUNCTION("""COMPUTED_VALUE"""),3471.0)</f>
        <v>3471</v>
      </c>
      <c r="I3767" s="4">
        <f>IFERROR(__xludf.DUMMYFUNCTION("""COMPUTED_VALUE"""),1495.0)</f>
        <v>1495</v>
      </c>
      <c r="J3767" s="4">
        <f>IFERROR(__xludf.DUMMYFUNCTION("""COMPUTED_VALUE"""),437.0)</f>
        <v>437</v>
      </c>
      <c r="K3767" s="4">
        <f>IFERROR(__xludf.DUMMYFUNCTION("""COMPUTED_VALUE"""),269.0)</f>
        <v>269</v>
      </c>
      <c r="L3767" s="4">
        <f>IFERROR(__xludf.DUMMYFUNCTION("""COMPUTED_VALUE"""),0.47)</f>
        <v>0.47</v>
      </c>
      <c r="M3767" s="4">
        <f>IFERROR(__xludf.DUMMYFUNCTION("""COMPUTED_VALUE"""),0.222)</f>
        <v>0.222</v>
      </c>
      <c r="N3767" s="4">
        <f>IFERROR(__xludf.DUMMYFUNCTION("""COMPUTED_VALUE"""),0.841)</f>
        <v>0.841</v>
      </c>
      <c r="O3767" s="4">
        <f>IFERROR(__xludf.DUMMYFUNCTION("""COMPUTED_VALUE"""),11.9)</f>
        <v>11.9</v>
      </c>
      <c r="P3767" s="4">
        <f>IFERROR(__xludf.DUMMYFUNCTION("""COMPUTED_VALUE"""),5.1)</f>
        <v>5.1</v>
      </c>
      <c r="Q3767" s="4">
        <f>IFERROR(__xludf.DUMMYFUNCTION("""COMPUTED_VALUE"""),1.5)</f>
        <v>1.5</v>
      </c>
      <c r="R3767" s="4">
        <f>IFERROR(__xludf.DUMMYFUNCTION("""COMPUTED_VALUE"""),0.9)</f>
        <v>0.9</v>
      </c>
      <c r="S3767" s="4">
        <f>IFERROR(__xludf.DUMMYFUNCTION("""COMPUTED_VALUE"""),5.2)</f>
        <v>5.2</v>
      </c>
      <c r="T3767" s="4">
        <f>IFERROR(__xludf.DUMMYFUNCTION("""COMPUTED_VALUE"""),0.072)</f>
        <v>0.072</v>
      </c>
      <c r="U3767" s="4">
        <f>IFERROR(__xludf.DUMMYFUNCTION("""COMPUTED_VALUE"""),-2.6)</f>
        <v>-2.6</v>
      </c>
      <c r="V3767" s="4">
        <f>IFERROR(__xludf.DUMMYFUNCTION("""COMPUTED_VALUE"""),-0.5)</f>
        <v>-0.5</v>
      </c>
    </row>
    <row r="3768">
      <c r="A3768" s="4">
        <f>IFERROR(__xludf.DUMMYFUNCTION("""COMPUTED_VALUE"""),16.0)</f>
        <v>16</v>
      </c>
      <c r="B3768" s="4">
        <f>IFERROR(__xludf.DUMMYFUNCTION("""COMPUTED_VALUE"""),16.0)</f>
        <v>16</v>
      </c>
      <c r="C3768" s="4" t="str">
        <f>IFERROR(__xludf.DUMMYFUNCTION("""COMPUTED_VALUE"""),"POR")</f>
        <v>POR</v>
      </c>
      <c r="D3768" s="4" t="str">
        <f>IFERROR(__xludf.DUMMYFUNCTION("""COMPUTED_VALUE"""),"Darnell Valentine")</f>
        <v>Darnell Valentine</v>
      </c>
      <c r="E3768" s="4" t="str">
        <f>IFERROR(__xludf.DUMMYFUNCTION("""COMPUTED_VALUE"""),"Kansas")</f>
        <v>Kansas</v>
      </c>
      <c r="F3768" s="4">
        <f>IFERROR(__xludf.DUMMYFUNCTION("""COMPUTED_VALUE"""),9.0)</f>
        <v>9</v>
      </c>
      <c r="G3768" s="4">
        <f>IFERROR(__xludf.DUMMYFUNCTION("""COMPUTED_VALUE"""),620.0)</f>
        <v>620</v>
      </c>
      <c r="H3768" s="4">
        <f>IFERROR(__xludf.DUMMYFUNCTION("""COMPUTED_VALUE"""),14395.0)</f>
        <v>14395</v>
      </c>
      <c r="I3768" s="4">
        <f>IFERROR(__xludf.DUMMYFUNCTION("""COMPUTED_VALUE"""),5400.0)</f>
        <v>5400</v>
      </c>
      <c r="J3768" s="4">
        <f>IFERROR(__xludf.DUMMYFUNCTION("""COMPUTED_VALUE"""),1318.0)</f>
        <v>1318</v>
      </c>
      <c r="K3768" s="4">
        <f>IFERROR(__xludf.DUMMYFUNCTION("""COMPUTED_VALUE"""),3080.0)</f>
        <v>3080</v>
      </c>
      <c r="L3768" s="4">
        <f>IFERROR(__xludf.DUMMYFUNCTION("""COMPUTED_VALUE"""),0.437)</f>
        <v>0.437</v>
      </c>
      <c r="M3768" s="4">
        <f>IFERROR(__xludf.DUMMYFUNCTION("""COMPUTED_VALUE"""),0.261)</f>
        <v>0.261</v>
      </c>
      <c r="N3768" s="4">
        <f>IFERROR(__xludf.DUMMYFUNCTION("""COMPUTED_VALUE"""),0.787)</f>
        <v>0.787</v>
      </c>
      <c r="O3768" s="4">
        <f>IFERROR(__xludf.DUMMYFUNCTION("""COMPUTED_VALUE"""),23.2)</f>
        <v>23.2</v>
      </c>
      <c r="P3768" s="4">
        <f>IFERROR(__xludf.DUMMYFUNCTION("""COMPUTED_VALUE"""),8.7)</f>
        <v>8.7</v>
      </c>
      <c r="Q3768" s="4">
        <f>IFERROR(__xludf.DUMMYFUNCTION("""COMPUTED_VALUE"""),2.1)</f>
        <v>2.1</v>
      </c>
      <c r="R3768" s="4">
        <f>IFERROR(__xludf.DUMMYFUNCTION("""COMPUTED_VALUE"""),5.0)</f>
        <v>5</v>
      </c>
      <c r="S3768" s="4">
        <f>IFERROR(__xludf.DUMMYFUNCTION("""COMPUTED_VALUE"""),22.1)</f>
        <v>22.1</v>
      </c>
      <c r="T3768" s="4">
        <f>IFERROR(__xludf.DUMMYFUNCTION("""COMPUTED_VALUE"""),0.074)</f>
        <v>0.074</v>
      </c>
      <c r="U3768" s="4">
        <f>IFERROR(__xludf.DUMMYFUNCTION("""COMPUTED_VALUE"""),-0.5)</f>
        <v>-0.5</v>
      </c>
      <c r="V3768" s="4">
        <f>IFERROR(__xludf.DUMMYFUNCTION("""COMPUTED_VALUE"""),5.5)</f>
        <v>5.5</v>
      </c>
    </row>
    <row r="3769">
      <c r="A3769" s="4">
        <f>IFERROR(__xludf.DUMMYFUNCTION("""COMPUTED_VALUE"""),17.0)</f>
        <v>17</v>
      </c>
      <c r="B3769" s="4">
        <f>IFERROR(__xludf.DUMMYFUNCTION("""COMPUTED_VALUE"""),17.0)</f>
        <v>17</v>
      </c>
      <c r="C3769" s="4" t="str">
        <f>IFERROR(__xludf.DUMMYFUNCTION("""COMPUTED_VALUE"""),"KCK")</f>
        <v>KCK</v>
      </c>
      <c r="D3769" s="4" t="str">
        <f>IFERROR(__xludf.DUMMYFUNCTION("""COMPUTED_VALUE"""),"Kevin Loder")</f>
        <v>Kevin Loder</v>
      </c>
      <c r="E3769" s="4" t="str">
        <f>IFERROR(__xludf.DUMMYFUNCTION("""COMPUTED_VALUE"""),"Alabama State University")</f>
        <v>Alabama State University</v>
      </c>
      <c r="F3769" s="4">
        <f>IFERROR(__xludf.DUMMYFUNCTION("""COMPUTED_VALUE"""),3.0)</f>
        <v>3</v>
      </c>
      <c r="G3769" s="4">
        <f>IFERROR(__xludf.DUMMYFUNCTION("""COMPUTED_VALUE"""),148.0)</f>
        <v>148</v>
      </c>
      <c r="H3769" s="4">
        <f>IFERROR(__xludf.DUMMYFUNCTION("""COMPUTED_VALUE"""),2094.0)</f>
        <v>2094</v>
      </c>
      <c r="I3769" s="4">
        <f>IFERROR(__xludf.DUMMYFUNCTION("""COMPUTED_VALUE"""),875.0)</f>
        <v>875</v>
      </c>
      <c r="J3769" s="4">
        <f>IFERROR(__xludf.DUMMYFUNCTION("""COMPUTED_VALUE"""),338.0)</f>
        <v>338</v>
      </c>
      <c r="K3769" s="4">
        <f>IFERROR(__xludf.DUMMYFUNCTION("""COMPUTED_VALUE"""),174.0)</f>
        <v>174</v>
      </c>
      <c r="L3769" s="4">
        <f>IFERROR(__xludf.DUMMYFUNCTION("""COMPUTED_VALUE"""),0.461)</f>
        <v>0.461</v>
      </c>
      <c r="M3769" s="4">
        <f>IFERROR(__xludf.DUMMYFUNCTION("""COMPUTED_VALUE"""),0.261)</f>
        <v>0.261</v>
      </c>
      <c r="N3769" s="4">
        <f>IFERROR(__xludf.DUMMYFUNCTION("""COMPUTED_VALUE"""),0.695)</f>
        <v>0.695</v>
      </c>
      <c r="O3769" s="4">
        <f>IFERROR(__xludf.DUMMYFUNCTION("""COMPUTED_VALUE"""),14.1)</f>
        <v>14.1</v>
      </c>
      <c r="P3769" s="4">
        <f>IFERROR(__xludf.DUMMYFUNCTION("""COMPUTED_VALUE"""),5.9)</f>
        <v>5.9</v>
      </c>
      <c r="Q3769" s="4">
        <f>IFERROR(__xludf.DUMMYFUNCTION("""COMPUTED_VALUE"""),2.3)</f>
        <v>2.3</v>
      </c>
      <c r="R3769" s="4">
        <f>IFERROR(__xludf.DUMMYFUNCTION("""COMPUTED_VALUE"""),1.2)</f>
        <v>1.2</v>
      </c>
      <c r="S3769" s="4">
        <f>IFERROR(__xludf.DUMMYFUNCTION("""COMPUTED_VALUE"""),2.4)</f>
        <v>2.4</v>
      </c>
      <c r="T3769" s="4">
        <f>IFERROR(__xludf.DUMMYFUNCTION("""COMPUTED_VALUE"""),0.055)</f>
        <v>0.055</v>
      </c>
      <c r="U3769" s="4">
        <f>IFERROR(__xludf.DUMMYFUNCTION("""COMPUTED_VALUE"""),-1.7)</f>
        <v>-1.7</v>
      </c>
      <c r="V3769" s="4">
        <f>IFERROR(__xludf.DUMMYFUNCTION("""COMPUTED_VALUE"""),0.2)</f>
        <v>0.2</v>
      </c>
    </row>
    <row r="3770">
      <c r="A3770" s="4">
        <f>IFERROR(__xludf.DUMMYFUNCTION("""COMPUTED_VALUE"""),18.0)</f>
        <v>18</v>
      </c>
      <c r="B3770" s="4">
        <f>IFERROR(__xludf.DUMMYFUNCTION("""COMPUTED_VALUE"""),18.0)</f>
        <v>18</v>
      </c>
      <c r="C3770" s="4" t="str">
        <f>IFERROR(__xludf.DUMMYFUNCTION("""COMPUTED_VALUE"""),"NJN")</f>
        <v>NJN</v>
      </c>
      <c r="D3770" s="4" t="str">
        <f>IFERROR(__xludf.DUMMYFUNCTION("""COMPUTED_VALUE"""),"Ray Tolbert")</f>
        <v>Ray Tolbert</v>
      </c>
      <c r="E3770" s="4" t="str">
        <f>IFERROR(__xludf.DUMMYFUNCTION("""COMPUTED_VALUE"""),"Indiana")</f>
        <v>Indiana</v>
      </c>
      <c r="F3770" s="4">
        <f>IFERROR(__xludf.DUMMYFUNCTION("""COMPUTED_VALUE"""),5.0)</f>
        <v>5</v>
      </c>
      <c r="G3770" s="4">
        <f>IFERROR(__xludf.DUMMYFUNCTION("""COMPUTED_VALUE"""),261.0)</f>
        <v>261</v>
      </c>
      <c r="H3770" s="4">
        <f>IFERROR(__xludf.DUMMYFUNCTION("""COMPUTED_VALUE"""),2789.0)</f>
        <v>2789</v>
      </c>
      <c r="I3770" s="4">
        <f>IFERROR(__xludf.DUMMYFUNCTION("""COMPUTED_VALUE"""),928.0)</f>
        <v>928</v>
      </c>
      <c r="J3770" s="4">
        <f>IFERROR(__xludf.DUMMYFUNCTION("""COMPUTED_VALUE"""),609.0)</f>
        <v>609</v>
      </c>
      <c r="K3770" s="4">
        <f>IFERROR(__xludf.DUMMYFUNCTION("""COMPUTED_VALUE"""),135.0)</f>
        <v>135</v>
      </c>
      <c r="L3770" s="4">
        <f>IFERROR(__xludf.DUMMYFUNCTION("""COMPUTED_VALUE"""),0.495)</f>
        <v>0.495</v>
      </c>
      <c r="M3770" s="4">
        <f>IFERROR(__xludf.DUMMYFUNCTION("""COMPUTED_VALUE"""),0.0)</f>
        <v>0</v>
      </c>
      <c r="N3770" s="4">
        <f>IFERROR(__xludf.DUMMYFUNCTION("""COMPUTED_VALUE"""),0.544)</f>
        <v>0.544</v>
      </c>
      <c r="O3770" s="4">
        <f>IFERROR(__xludf.DUMMYFUNCTION("""COMPUTED_VALUE"""),10.7)</f>
        <v>10.7</v>
      </c>
      <c r="P3770" s="4">
        <f>IFERROR(__xludf.DUMMYFUNCTION("""COMPUTED_VALUE"""),3.6)</f>
        <v>3.6</v>
      </c>
      <c r="Q3770" s="4">
        <f>IFERROR(__xludf.DUMMYFUNCTION("""COMPUTED_VALUE"""),2.3)</f>
        <v>2.3</v>
      </c>
      <c r="R3770" s="4">
        <f>IFERROR(__xludf.DUMMYFUNCTION("""COMPUTED_VALUE"""),0.5)</f>
        <v>0.5</v>
      </c>
      <c r="S3770" s="4">
        <f>IFERROR(__xludf.DUMMYFUNCTION("""COMPUTED_VALUE"""),2.9)</f>
        <v>2.9</v>
      </c>
      <c r="T3770" s="4">
        <f>IFERROR(__xludf.DUMMYFUNCTION("""COMPUTED_VALUE"""),0.051)</f>
        <v>0.051</v>
      </c>
      <c r="U3770" s="4">
        <f>IFERROR(__xludf.DUMMYFUNCTION("""COMPUTED_VALUE"""),-3.0)</f>
        <v>-3</v>
      </c>
      <c r="V3770" s="4">
        <f>IFERROR(__xludf.DUMMYFUNCTION("""COMPUTED_VALUE"""),-0.7)</f>
        <v>-0.7</v>
      </c>
    </row>
    <row r="3771">
      <c r="A3771" s="4">
        <f>IFERROR(__xludf.DUMMYFUNCTION("""COMPUTED_VALUE"""),19.0)</f>
        <v>19</v>
      </c>
      <c r="B3771" s="4">
        <f>IFERROR(__xludf.DUMMYFUNCTION("""COMPUTED_VALUE"""),19.0)</f>
        <v>19</v>
      </c>
      <c r="C3771" s="4" t="str">
        <f>IFERROR(__xludf.DUMMYFUNCTION("""COMPUTED_VALUE"""),"LAL")</f>
        <v>LAL</v>
      </c>
      <c r="D3771" s="4" t="str">
        <f>IFERROR(__xludf.DUMMYFUNCTION("""COMPUTED_VALUE"""),"Mike McGee")</f>
        <v>Mike McGee</v>
      </c>
      <c r="E3771" s="4" t="str">
        <f>IFERROR(__xludf.DUMMYFUNCTION("""COMPUTED_VALUE"""),"Michigan")</f>
        <v>Michigan</v>
      </c>
      <c r="F3771" s="4">
        <f>IFERROR(__xludf.DUMMYFUNCTION("""COMPUTED_VALUE"""),9.0)</f>
        <v>9</v>
      </c>
      <c r="G3771" s="4">
        <f>IFERROR(__xludf.DUMMYFUNCTION("""COMPUTED_VALUE"""),520.0)</f>
        <v>520</v>
      </c>
      <c r="H3771" s="4">
        <f>IFERROR(__xludf.DUMMYFUNCTION("""COMPUTED_VALUE"""),9271.0)</f>
        <v>9271</v>
      </c>
      <c r="I3771" s="4">
        <f>IFERROR(__xludf.DUMMYFUNCTION("""COMPUTED_VALUE"""),4968.0)</f>
        <v>4968</v>
      </c>
      <c r="J3771" s="4">
        <f>IFERROR(__xludf.DUMMYFUNCTION("""COMPUTED_VALUE"""),1112.0)</f>
        <v>1112</v>
      </c>
      <c r="K3771" s="4">
        <f>IFERROR(__xludf.DUMMYFUNCTION("""COMPUTED_VALUE"""),629.0)</f>
        <v>629</v>
      </c>
      <c r="L3771" s="4">
        <f>IFERROR(__xludf.DUMMYFUNCTION("""COMPUTED_VALUE"""),0.487)</f>
        <v>0.487</v>
      </c>
      <c r="M3771" s="4">
        <f>IFERROR(__xludf.DUMMYFUNCTION("""COMPUTED_VALUE"""),0.354)</f>
        <v>0.354</v>
      </c>
      <c r="N3771" s="4">
        <f>IFERROR(__xludf.DUMMYFUNCTION("""COMPUTED_VALUE"""),0.597)</f>
        <v>0.597</v>
      </c>
      <c r="O3771" s="4">
        <f>IFERROR(__xludf.DUMMYFUNCTION("""COMPUTED_VALUE"""),17.8)</f>
        <v>17.8</v>
      </c>
      <c r="P3771" s="4">
        <f>IFERROR(__xludf.DUMMYFUNCTION("""COMPUTED_VALUE"""),9.6)</f>
        <v>9.6</v>
      </c>
      <c r="Q3771" s="4">
        <f>IFERROR(__xludf.DUMMYFUNCTION("""COMPUTED_VALUE"""),2.1)</f>
        <v>2.1</v>
      </c>
      <c r="R3771" s="4">
        <f>IFERROR(__xludf.DUMMYFUNCTION("""COMPUTED_VALUE"""),1.2)</f>
        <v>1.2</v>
      </c>
      <c r="S3771" s="4">
        <f>IFERROR(__xludf.DUMMYFUNCTION("""COMPUTED_VALUE"""),15.1)</f>
        <v>15.1</v>
      </c>
      <c r="T3771" s="4">
        <f>IFERROR(__xludf.DUMMYFUNCTION("""COMPUTED_VALUE"""),0.078)</f>
        <v>0.078</v>
      </c>
      <c r="U3771" s="4">
        <f>IFERROR(__xludf.DUMMYFUNCTION("""COMPUTED_VALUE"""),-1.3)</f>
        <v>-1.3</v>
      </c>
      <c r="V3771" s="4">
        <f>IFERROR(__xludf.DUMMYFUNCTION("""COMPUTED_VALUE"""),1.7)</f>
        <v>1.7</v>
      </c>
    </row>
    <row r="3772">
      <c r="A3772" s="4">
        <f>IFERROR(__xludf.DUMMYFUNCTION("""COMPUTED_VALUE"""),20.0)</f>
        <v>20</v>
      </c>
      <c r="B3772" s="4">
        <f>IFERROR(__xludf.DUMMYFUNCTION("""COMPUTED_VALUE"""),20.0)</f>
        <v>20</v>
      </c>
      <c r="C3772" s="4" t="str">
        <f>IFERROR(__xludf.DUMMYFUNCTION("""COMPUTED_VALUE"""),"PHO")</f>
        <v>PHO</v>
      </c>
      <c r="D3772" s="4" t="str">
        <f>IFERROR(__xludf.DUMMYFUNCTION("""COMPUTED_VALUE"""),"Larry Nance")</f>
        <v>Larry Nance</v>
      </c>
      <c r="E3772" s="4" t="str">
        <f>IFERROR(__xludf.DUMMYFUNCTION("""COMPUTED_VALUE"""),"Clemson")</f>
        <v>Clemson</v>
      </c>
      <c r="F3772" s="4">
        <f>IFERROR(__xludf.DUMMYFUNCTION("""COMPUTED_VALUE"""),13.0)</f>
        <v>13</v>
      </c>
      <c r="G3772" s="4">
        <f>IFERROR(__xludf.DUMMYFUNCTION("""COMPUTED_VALUE"""),920.0)</f>
        <v>920</v>
      </c>
      <c r="H3772" s="4">
        <f>IFERROR(__xludf.DUMMYFUNCTION("""COMPUTED_VALUE"""),30697.0)</f>
        <v>30697</v>
      </c>
      <c r="I3772" s="4">
        <f>IFERROR(__xludf.DUMMYFUNCTION("""COMPUTED_VALUE"""),15687.0)</f>
        <v>15687</v>
      </c>
      <c r="J3772" s="4">
        <f>IFERROR(__xludf.DUMMYFUNCTION("""COMPUTED_VALUE"""),7352.0)</f>
        <v>7352</v>
      </c>
      <c r="K3772" s="4">
        <f>IFERROR(__xludf.DUMMYFUNCTION("""COMPUTED_VALUE"""),2393.0)</f>
        <v>2393</v>
      </c>
      <c r="L3772" s="4">
        <f>IFERROR(__xludf.DUMMYFUNCTION("""COMPUTED_VALUE"""),0.546)</f>
        <v>0.546</v>
      </c>
      <c r="M3772" s="4">
        <f>IFERROR(__xludf.DUMMYFUNCTION("""COMPUTED_VALUE"""),0.145)</f>
        <v>0.145</v>
      </c>
      <c r="N3772" s="4">
        <f>IFERROR(__xludf.DUMMYFUNCTION("""COMPUTED_VALUE"""),0.755)</f>
        <v>0.755</v>
      </c>
      <c r="O3772" s="4">
        <f>IFERROR(__xludf.DUMMYFUNCTION("""COMPUTED_VALUE"""),33.4)</f>
        <v>33.4</v>
      </c>
      <c r="P3772" s="4">
        <f>IFERROR(__xludf.DUMMYFUNCTION("""COMPUTED_VALUE"""),17.1)</f>
        <v>17.1</v>
      </c>
      <c r="Q3772" s="4">
        <f>IFERROR(__xludf.DUMMYFUNCTION("""COMPUTED_VALUE"""),8.0)</f>
        <v>8</v>
      </c>
      <c r="R3772" s="4">
        <f>IFERROR(__xludf.DUMMYFUNCTION("""COMPUTED_VALUE"""),2.6)</f>
        <v>2.6</v>
      </c>
      <c r="S3772" s="4">
        <f>IFERROR(__xludf.DUMMYFUNCTION("""COMPUTED_VALUE"""),109.6)</f>
        <v>109.6</v>
      </c>
      <c r="T3772" s="4">
        <f>IFERROR(__xludf.DUMMYFUNCTION("""COMPUTED_VALUE"""),0.171)</f>
        <v>0.171</v>
      </c>
      <c r="U3772" s="4">
        <f>IFERROR(__xludf.DUMMYFUNCTION("""COMPUTED_VALUE"""),3.6)</f>
        <v>3.6</v>
      </c>
      <c r="V3772" s="4">
        <f>IFERROR(__xludf.DUMMYFUNCTION("""COMPUTED_VALUE"""),43.5)</f>
        <v>43.5</v>
      </c>
    </row>
    <row r="3773">
      <c r="A3773" s="4">
        <f>IFERROR(__xludf.DUMMYFUNCTION("""COMPUTED_VALUE"""),21.0)</f>
        <v>21</v>
      </c>
      <c r="B3773" s="4">
        <f>IFERROR(__xludf.DUMMYFUNCTION("""COMPUTED_VALUE"""),21.0)</f>
        <v>21</v>
      </c>
      <c r="C3773" s="4" t="str">
        <f>IFERROR(__xludf.DUMMYFUNCTION("""COMPUTED_VALUE"""),"MIL")</f>
        <v>MIL</v>
      </c>
      <c r="D3773" s="4" t="str">
        <f>IFERROR(__xludf.DUMMYFUNCTION("""COMPUTED_VALUE"""),"Alton Lister")</f>
        <v>Alton Lister</v>
      </c>
      <c r="E3773" s="4" t="str">
        <f>IFERROR(__xludf.DUMMYFUNCTION("""COMPUTED_VALUE"""),"Arizona State")</f>
        <v>Arizona State</v>
      </c>
      <c r="F3773" s="4">
        <f>IFERROR(__xludf.DUMMYFUNCTION("""COMPUTED_VALUE"""),16.0)</f>
        <v>16</v>
      </c>
      <c r="G3773" s="4">
        <f>IFERROR(__xludf.DUMMYFUNCTION("""COMPUTED_VALUE"""),953.0)</f>
        <v>953</v>
      </c>
      <c r="H3773" s="4">
        <f>IFERROR(__xludf.DUMMYFUNCTION("""COMPUTED_VALUE"""),18965.0)</f>
        <v>18965</v>
      </c>
      <c r="I3773" s="4">
        <f>IFERROR(__xludf.DUMMYFUNCTION("""COMPUTED_VALUE"""),6298.0)</f>
        <v>6298</v>
      </c>
      <c r="J3773" s="4">
        <f>IFERROR(__xludf.DUMMYFUNCTION("""COMPUTED_VALUE"""),5996.0)</f>
        <v>5996</v>
      </c>
      <c r="K3773" s="4">
        <f>IFERROR(__xludf.DUMMYFUNCTION("""COMPUTED_VALUE"""),914.0)</f>
        <v>914</v>
      </c>
      <c r="L3773" s="4">
        <f>IFERROR(__xludf.DUMMYFUNCTION("""COMPUTED_VALUE"""),0.512)</f>
        <v>0.512</v>
      </c>
      <c r="M3773" s="4">
        <f>IFERROR(__xludf.DUMMYFUNCTION("""COMPUTED_VALUE"""),0.111)</f>
        <v>0.111</v>
      </c>
      <c r="N3773" s="4">
        <f>IFERROR(__xludf.DUMMYFUNCTION("""COMPUTED_VALUE"""),0.597)</f>
        <v>0.597</v>
      </c>
      <c r="O3773" s="4">
        <f>IFERROR(__xludf.DUMMYFUNCTION("""COMPUTED_VALUE"""),19.9)</f>
        <v>19.9</v>
      </c>
      <c r="P3773" s="4">
        <f>IFERROR(__xludf.DUMMYFUNCTION("""COMPUTED_VALUE"""),6.6)</f>
        <v>6.6</v>
      </c>
      <c r="Q3773" s="4">
        <f>IFERROR(__xludf.DUMMYFUNCTION("""COMPUTED_VALUE"""),6.3)</f>
        <v>6.3</v>
      </c>
      <c r="R3773" s="4">
        <f>IFERROR(__xludf.DUMMYFUNCTION("""COMPUTED_VALUE"""),1.0)</f>
        <v>1</v>
      </c>
      <c r="S3773" s="4">
        <f>IFERROR(__xludf.DUMMYFUNCTION("""COMPUTED_VALUE"""),36.6)</f>
        <v>36.6</v>
      </c>
      <c r="T3773" s="4">
        <f>IFERROR(__xludf.DUMMYFUNCTION("""COMPUTED_VALUE"""),0.093)</f>
        <v>0.093</v>
      </c>
      <c r="U3773" s="4">
        <f>IFERROR(__xludf.DUMMYFUNCTION("""COMPUTED_VALUE"""),-1.4)</f>
        <v>-1.4</v>
      </c>
      <c r="V3773" s="4">
        <f>IFERROR(__xludf.DUMMYFUNCTION("""COMPUTED_VALUE"""),3.1)</f>
        <v>3.1</v>
      </c>
    </row>
    <row r="3774">
      <c r="A3774" s="4">
        <f>IFERROR(__xludf.DUMMYFUNCTION("""COMPUTED_VALUE"""),22.0)</f>
        <v>22</v>
      </c>
      <c r="B3774" s="4">
        <f>IFERROR(__xludf.DUMMYFUNCTION("""COMPUTED_VALUE"""),22.0)</f>
        <v>22</v>
      </c>
      <c r="C3774" s="4" t="str">
        <f>IFERROR(__xludf.DUMMYFUNCTION("""COMPUTED_VALUE"""),"PHI")</f>
        <v>PHI</v>
      </c>
      <c r="D3774" s="4" t="str">
        <f>IFERROR(__xludf.DUMMYFUNCTION("""COMPUTED_VALUE"""),"Franklin Edwards")</f>
        <v>Franklin Edwards</v>
      </c>
      <c r="E3774" s="4" t="str">
        <f>IFERROR(__xludf.DUMMYFUNCTION("""COMPUTED_VALUE"""),"Cleveland State University")</f>
        <v>Cleveland State University</v>
      </c>
      <c r="F3774" s="4">
        <f>IFERROR(__xludf.DUMMYFUNCTION("""COMPUTED_VALUE"""),7.0)</f>
        <v>7</v>
      </c>
      <c r="G3774" s="4">
        <f>IFERROR(__xludf.DUMMYFUNCTION("""COMPUTED_VALUE"""),296.0)</f>
        <v>296</v>
      </c>
      <c r="H3774" s="4">
        <f>IFERROR(__xludf.DUMMYFUNCTION("""COMPUTED_VALUE"""),4436.0)</f>
        <v>4436</v>
      </c>
      <c r="I3774" s="4">
        <f>IFERROR(__xludf.DUMMYFUNCTION("""COMPUTED_VALUE"""),1802.0)</f>
        <v>1802</v>
      </c>
      <c r="J3774" s="4">
        <f>IFERROR(__xludf.DUMMYFUNCTION("""COMPUTED_VALUE"""),300.0)</f>
        <v>300</v>
      </c>
      <c r="K3774" s="4">
        <f>IFERROR(__xludf.DUMMYFUNCTION("""COMPUTED_VALUE"""),774.0)</f>
        <v>774</v>
      </c>
      <c r="L3774" s="4">
        <f>IFERROR(__xludf.DUMMYFUNCTION("""COMPUTED_VALUE"""),0.449)</f>
        <v>0.449</v>
      </c>
      <c r="M3774" s="4">
        <f>IFERROR(__xludf.DUMMYFUNCTION("""COMPUTED_VALUE"""),0.03)</f>
        <v>0.03</v>
      </c>
      <c r="N3774" s="4">
        <f>IFERROR(__xludf.DUMMYFUNCTION("""COMPUTED_VALUE"""),0.795)</f>
        <v>0.795</v>
      </c>
      <c r="O3774" s="4">
        <f>IFERROR(__xludf.DUMMYFUNCTION("""COMPUTED_VALUE"""),15.0)</f>
        <v>15</v>
      </c>
      <c r="P3774" s="4">
        <f>IFERROR(__xludf.DUMMYFUNCTION("""COMPUTED_VALUE"""),6.1)</f>
        <v>6.1</v>
      </c>
      <c r="Q3774" s="4">
        <f>IFERROR(__xludf.DUMMYFUNCTION("""COMPUTED_VALUE"""),1.0)</f>
        <v>1</v>
      </c>
      <c r="R3774" s="4">
        <f>IFERROR(__xludf.DUMMYFUNCTION("""COMPUTED_VALUE"""),2.6)</f>
        <v>2.6</v>
      </c>
      <c r="S3774" s="4">
        <f>IFERROR(__xludf.DUMMYFUNCTION("""COMPUTED_VALUE"""),3.9)</f>
        <v>3.9</v>
      </c>
      <c r="T3774" s="4">
        <f>IFERROR(__xludf.DUMMYFUNCTION("""COMPUTED_VALUE"""),0.043)</f>
        <v>0.043</v>
      </c>
      <c r="U3774" s="4">
        <f>IFERROR(__xludf.DUMMYFUNCTION("""COMPUTED_VALUE"""),-1.9)</f>
        <v>-1.9</v>
      </c>
      <c r="V3774" s="4">
        <f>IFERROR(__xludf.DUMMYFUNCTION("""COMPUTED_VALUE"""),0.1)</f>
        <v>0.1</v>
      </c>
    </row>
    <row r="3775">
      <c r="A3775" s="4">
        <f>IFERROR(__xludf.DUMMYFUNCTION("""COMPUTED_VALUE"""),23.0)</f>
        <v>23</v>
      </c>
      <c r="B3775" s="4">
        <f>IFERROR(__xludf.DUMMYFUNCTION("""COMPUTED_VALUE"""),23.0)</f>
        <v>23</v>
      </c>
      <c r="C3775" s="4" t="str">
        <f>IFERROR(__xludf.DUMMYFUNCTION("""COMPUTED_VALUE"""),"BOS")</f>
        <v>BOS</v>
      </c>
      <c r="D3775" s="4" t="str">
        <f>IFERROR(__xludf.DUMMYFUNCTION("""COMPUTED_VALUE"""),"Charles Bradley")</f>
        <v>Charles Bradley</v>
      </c>
      <c r="E3775" s="4" t="str">
        <f>IFERROR(__xludf.DUMMYFUNCTION("""COMPUTED_VALUE"""),"Wyoming")</f>
        <v>Wyoming</v>
      </c>
      <c r="F3775" s="4">
        <f>IFERROR(__xludf.DUMMYFUNCTION("""COMPUTED_VALUE"""),3.0)</f>
        <v>3</v>
      </c>
      <c r="G3775" s="4">
        <f>IFERROR(__xludf.DUMMYFUNCTION("""COMPUTED_VALUE"""),110.0)</f>
        <v>110</v>
      </c>
      <c r="H3775" s="4">
        <f>IFERROR(__xludf.DUMMYFUNCTION("""COMPUTED_VALUE"""),910.0)</f>
        <v>910</v>
      </c>
      <c r="I3775" s="4">
        <f>IFERROR(__xludf.DUMMYFUNCTION("""COMPUTED_VALUE"""),347.0)</f>
        <v>347</v>
      </c>
      <c r="J3775" s="4">
        <f>IFERROR(__xludf.DUMMYFUNCTION("""COMPUTED_VALUE"""),119.0)</f>
        <v>119</v>
      </c>
      <c r="K3775" s="4">
        <f>IFERROR(__xludf.DUMMYFUNCTION("""COMPUTED_VALUE"""),55.0)</f>
        <v>55</v>
      </c>
      <c r="L3775" s="4">
        <f>IFERROR(__xludf.DUMMYFUNCTION("""COMPUTED_VALUE"""),0.416)</f>
        <v>0.416</v>
      </c>
      <c r="M3775" s="4">
        <f>IFERROR(__xludf.DUMMYFUNCTION("""COMPUTED_VALUE"""),0.0)</f>
        <v>0</v>
      </c>
      <c r="N3775" s="4">
        <f>IFERROR(__xludf.DUMMYFUNCTION("""COMPUTED_VALUE"""),0.585)</f>
        <v>0.585</v>
      </c>
      <c r="O3775" s="4">
        <f>IFERROR(__xludf.DUMMYFUNCTION("""COMPUTED_VALUE"""),8.3)</f>
        <v>8.3</v>
      </c>
      <c r="P3775" s="4">
        <f>IFERROR(__xludf.DUMMYFUNCTION("""COMPUTED_VALUE"""),3.2)</f>
        <v>3.2</v>
      </c>
      <c r="Q3775" s="4">
        <f>IFERROR(__xludf.DUMMYFUNCTION("""COMPUTED_VALUE"""),1.1)</f>
        <v>1.1</v>
      </c>
      <c r="R3775" s="4">
        <f>IFERROR(__xludf.DUMMYFUNCTION("""COMPUTED_VALUE"""),0.5)</f>
        <v>0.5</v>
      </c>
      <c r="S3775" s="4">
        <f>IFERROR(__xludf.DUMMYFUNCTION("""COMPUTED_VALUE"""),0.3)</f>
        <v>0.3</v>
      </c>
      <c r="T3775" s="4">
        <f>IFERROR(__xludf.DUMMYFUNCTION("""COMPUTED_VALUE"""),0.016)</f>
        <v>0.016</v>
      </c>
      <c r="U3775" s="4">
        <f>IFERROR(__xludf.DUMMYFUNCTION("""COMPUTED_VALUE"""),-3.4)</f>
        <v>-3.4</v>
      </c>
      <c r="V3775" s="4">
        <f>IFERROR(__xludf.DUMMYFUNCTION("""COMPUTED_VALUE"""),-0.4)</f>
        <v>-0.4</v>
      </c>
    </row>
    <row r="3776">
      <c r="A3776" s="4"/>
      <c r="B3776" s="4"/>
      <c r="C3776" s="4"/>
      <c r="D3776" s="4" t="str">
        <f>IFERROR(__xludf.DUMMYFUNCTION("""COMPUTED_VALUE"""),"Round 2")</f>
        <v>Round 2</v>
      </c>
      <c r="E3776" s="4"/>
      <c r="F3776" s="4"/>
      <c r="G3776" s="4" t="str">
        <f>IFERROR(__xludf.DUMMYFUNCTION("""COMPUTED_VALUE"""),"Totals")</f>
        <v>Totals</v>
      </c>
      <c r="H3776" s="4"/>
      <c r="I3776" s="4"/>
      <c r="J3776" s="4"/>
      <c r="K3776" s="4"/>
      <c r="L3776" s="4" t="str">
        <f>IFERROR(__xludf.DUMMYFUNCTION("""COMPUTED_VALUE"""),"Shooting")</f>
        <v>Shooting</v>
      </c>
      <c r="M3776" s="4"/>
      <c r="N3776" s="4"/>
      <c r="O3776" s="4" t="str">
        <f>IFERROR(__xludf.DUMMYFUNCTION("""COMPUTED_VALUE"""),"Per Game")</f>
        <v>Per Game</v>
      </c>
      <c r="P3776" s="4"/>
      <c r="Q3776" s="4"/>
      <c r="R3776" s="4"/>
      <c r="S3776" s="4" t="str">
        <f>IFERROR(__xludf.DUMMYFUNCTION("""COMPUTED_VALUE"""),"Advanced")</f>
        <v>Advanced</v>
      </c>
      <c r="T3776" s="4"/>
      <c r="U3776" s="4"/>
      <c r="V3776" s="4"/>
    </row>
    <row r="3777">
      <c r="A3777" s="4" t="str">
        <f>IFERROR(__xludf.DUMMYFUNCTION("""COMPUTED_VALUE"""),"Rk")</f>
        <v>Rk</v>
      </c>
      <c r="B3777" s="4" t="str">
        <f>IFERROR(__xludf.DUMMYFUNCTION("""COMPUTED_VALUE"""),"Pk")</f>
        <v>Pk</v>
      </c>
      <c r="C3777" s="4" t="str">
        <f>IFERROR(__xludf.DUMMYFUNCTION("""COMPUTED_VALUE"""),"Tm")</f>
        <v>Tm</v>
      </c>
      <c r="D3777" s="4" t="str">
        <f>IFERROR(__xludf.DUMMYFUNCTION("""COMPUTED_VALUE"""),"Player")</f>
        <v>Player</v>
      </c>
      <c r="E3777" s="4" t="str">
        <f>IFERROR(__xludf.DUMMYFUNCTION("""COMPUTED_VALUE"""),"College")</f>
        <v>College</v>
      </c>
      <c r="F3777" s="4" t="str">
        <f>IFERROR(__xludf.DUMMYFUNCTION("""COMPUTED_VALUE"""),"Yrs")</f>
        <v>Yrs</v>
      </c>
      <c r="G3777" s="4" t="str">
        <f>IFERROR(__xludf.DUMMYFUNCTION("""COMPUTED_VALUE"""),"G")</f>
        <v>G</v>
      </c>
      <c r="H3777" s="4" t="str">
        <f>IFERROR(__xludf.DUMMYFUNCTION("""COMPUTED_VALUE"""),"MP")</f>
        <v>MP</v>
      </c>
      <c r="I3777" s="4" t="str">
        <f>IFERROR(__xludf.DUMMYFUNCTION("""COMPUTED_VALUE"""),"PTS")</f>
        <v>PTS</v>
      </c>
      <c r="J3777" s="4" t="str">
        <f>IFERROR(__xludf.DUMMYFUNCTION("""COMPUTED_VALUE"""),"TRB")</f>
        <v>TRB</v>
      </c>
      <c r="K3777" s="4" t="str">
        <f>IFERROR(__xludf.DUMMYFUNCTION("""COMPUTED_VALUE"""),"AST")</f>
        <v>AST</v>
      </c>
      <c r="L3777" s="4" t="str">
        <f>IFERROR(__xludf.DUMMYFUNCTION("""COMPUTED_VALUE"""),"FG%")</f>
        <v>FG%</v>
      </c>
      <c r="M3777" s="4" t="str">
        <f>IFERROR(__xludf.DUMMYFUNCTION("""COMPUTED_VALUE"""),"3P%")</f>
        <v>3P%</v>
      </c>
      <c r="N3777" s="4" t="str">
        <f>IFERROR(__xludf.DUMMYFUNCTION("""COMPUTED_VALUE"""),"FT%")</f>
        <v>FT%</v>
      </c>
      <c r="O3777" s="4" t="str">
        <f>IFERROR(__xludf.DUMMYFUNCTION("""COMPUTED_VALUE"""),"MP")</f>
        <v>MP</v>
      </c>
      <c r="P3777" s="4" t="str">
        <f>IFERROR(__xludf.DUMMYFUNCTION("""COMPUTED_VALUE"""),"PTS")</f>
        <v>PTS</v>
      </c>
      <c r="Q3777" s="4" t="str">
        <f>IFERROR(__xludf.DUMMYFUNCTION("""COMPUTED_VALUE"""),"TRB")</f>
        <v>TRB</v>
      </c>
      <c r="R3777" s="4" t="str">
        <f>IFERROR(__xludf.DUMMYFUNCTION("""COMPUTED_VALUE"""),"AST")</f>
        <v>AST</v>
      </c>
      <c r="S3777" s="4" t="str">
        <f>IFERROR(__xludf.DUMMYFUNCTION("""COMPUTED_VALUE"""),"WS")</f>
        <v>WS</v>
      </c>
      <c r="T3777" s="4" t="str">
        <f>IFERROR(__xludf.DUMMYFUNCTION("""COMPUTED_VALUE"""),"WS/48")</f>
        <v>WS/48</v>
      </c>
      <c r="U3777" s="4" t="str">
        <f>IFERROR(__xludf.DUMMYFUNCTION("""COMPUTED_VALUE"""),"BPM")</f>
        <v>BPM</v>
      </c>
      <c r="V3777" s="4" t="str">
        <f>IFERROR(__xludf.DUMMYFUNCTION("""COMPUTED_VALUE"""),"VORP")</f>
        <v>VORP</v>
      </c>
    </row>
    <row r="3778">
      <c r="A3778" s="4">
        <f>IFERROR(__xludf.DUMMYFUNCTION("""COMPUTED_VALUE"""),24.0)</f>
        <v>24</v>
      </c>
      <c r="B3778" s="4">
        <f>IFERROR(__xludf.DUMMYFUNCTION("""COMPUTED_VALUE"""),24.0)</f>
        <v>24</v>
      </c>
      <c r="C3778" s="4" t="str">
        <f>IFERROR(__xludf.DUMMYFUNCTION("""COMPUTED_VALUE"""),"DAL")</f>
        <v>DAL</v>
      </c>
      <c r="D3778" s="4" t="str">
        <f>IFERROR(__xludf.DUMMYFUNCTION("""COMPUTED_VALUE"""),"Jay Vincent")</f>
        <v>Jay Vincent</v>
      </c>
      <c r="E3778" s="4" t="str">
        <f>IFERROR(__xludf.DUMMYFUNCTION("""COMPUTED_VALUE"""),"Michigan State")</f>
        <v>Michigan State</v>
      </c>
      <c r="F3778" s="4">
        <f>IFERROR(__xludf.DUMMYFUNCTION("""COMPUTED_VALUE"""),9.0)</f>
        <v>9</v>
      </c>
      <c r="G3778" s="4">
        <f>IFERROR(__xludf.DUMMYFUNCTION("""COMPUTED_VALUE"""),576.0)</f>
        <v>576</v>
      </c>
      <c r="H3778" s="4">
        <f>IFERROR(__xludf.DUMMYFUNCTION("""COMPUTED_VALUE"""),15556.0)</f>
        <v>15556</v>
      </c>
      <c r="I3778" s="4">
        <f>IFERROR(__xludf.DUMMYFUNCTION("""COMPUTED_VALUE"""),8729.0)</f>
        <v>8729</v>
      </c>
      <c r="J3778" s="4">
        <f>IFERROR(__xludf.DUMMYFUNCTION("""COMPUTED_VALUE"""),3167.0)</f>
        <v>3167</v>
      </c>
      <c r="K3778" s="4">
        <f>IFERROR(__xludf.DUMMYFUNCTION("""COMPUTED_VALUE"""),1124.0)</f>
        <v>1124</v>
      </c>
      <c r="L3778" s="4">
        <f>IFERROR(__xludf.DUMMYFUNCTION("""COMPUTED_VALUE"""),0.474)</f>
        <v>0.474</v>
      </c>
      <c r="M3778" s="4">
        <f>IFERROR(__xludf.DUMMYFUNCTION("""COMPUTED_VALUE"""),0.148)</f>
        <v>0.148</v>
      </c>
      <c r="N3778" s="4">
        <f>IFERROR(__xludf.DUMMYFUNCTION("""COMPUTED_VALUE"""),0.784)</f>
        <v>0.784</v>
      </c>
      <c r="O3778" s="4">
        <f>IFERROR(__xludf.DUMMYFUNCTION("""COMPUTED_VALUE"""),27.0)</f>
        <v>27</v>
      </c>
      <c r="P3778" s="4">
        <f>IFERROR(__xludf.DUMMYFUNCTION("""COMPUTED_VALUE"""),15.2)</f>
        <v>15.2</v>
      </c>
      <c r="Q3778" s="4">
        <f>IFERROR(__xludf.DUMMYFUNCTION("""COMPUTED_VALUE"""),5.5)</f>
        <v>5.5</v>
      </c>
      <c r="R3778" s="4">
        <f>IFERROR(__xludf.DUMMYFUNCTION("""COMPUTED_VALUE"""),2.0)</f>
        <v>2</v>
      </c>
      <c r="S3778" s="4">
        <f>IFERROR(__xludf.DUMMYFUNCTION("""COMPUTED_VALUE"""),27.5)</f>
        <v>27.5</v>
      </c>
      <c r="T3778" s="4">
        <f>IFERROR(__xludf.DUMMYFUNCTION("""COMPUTED_VALUE"""),0.085)</f>
        <v>0.085</v>
      </c>
      <c r="U3778" s="4">
        <f>IFERROR(__xludf.DUMMYFUNCTION("""COMPUTED_VALUE"""),-1.3)</f>
        <v>-1.3</v>
      </c>
      <c r="V3778" s="4">
        <f>IFERROR(__xludf.DUMMYFUNCTION("""COMPUTED_VALUE"""),2.6)</f>
        <v>2.6</v>
      </c>
    </row>
    <row r="3779">
      <c r="A3779" s="4">
        <f>IFERROR(__xludf.DUMMYFUNCTION("""COMPUTED_VALUE"""),25.0)</f>
        <v>25</v>
      </c>
      <c r="B3779" s="4">
        <f>IFERROR(__xludf.DUMMYFUNCTION("""COMPUTED_VALUE"""),25.0)</f>
        <v>25</v>
      </c>
      <c r="C3779" s="4" t="str">
        <f>IFERROR(__xludf.DUMMYFUNCTION("""COMPUTED_VALUE"""),"BOS")</f>
        <v>BOS</v>
      </c>
      <c r="D3779" s="4" t="str">
        <f>IFERROR(__xludf.DUMMYFUNCTION("""COMPUTED_VALUE"""),"Tracy Jackson")</f>
        <v>Tracy Jackson</v>
      </c>
      <c r="E3779" s="4" t="str">
        <f>IFERROR(__xludf.DUMMYFUNCTION("""COMPUTED_VALUE"""),"Notre Dame")</f>
        <v>Notre Dame</v>
      </c>
      <c r="F3779" s="4">
        <f>IFERROR(__xludf.DUMMYFUNCTION("""COMPUTED_VALUE"""),3.0)</f>
        <v>3</v>
      </c>
      <c r="G3779" s="4">
        <f>IFERROR(__xludf.DUMMYFUNCTION("""COMPUTED_VALUE"""),129.0)</f>
        <v>129</v>
      </c>
      <c r="H3779" s="4">
        <f>IFERROR(__xludf.DUMMYFUNCTION("""COMPUTED_VALUE"""),1797.0)</f>
        <v>1797</v>
      </c>
      <c r="I3779" s="4">
        <f>IFERROR(__xludf.DUMMYFUNCTION("""COMPUTED_VALUE"""),694.0)</f>
        <v>694</v>
      </c>
      <c r="J3779" s="4">
        <f>IFERROR(__xludf.DUMMYFUNCTION("""COMPUTED_VALUE"""),243.0)</f>
        <v>243</v>
      </c>
      <c r="K3779" s="4">
        <f>IFERROR(__xludf.DUMMYFUNCTION("""COMPUTED_VALUE"""),132.0)</f>
        <v>132</v>
      </c>
      <c r="L3779" s="4">
        <f>IFERROR(__xludf.DUMMYFUNCTION("""COMPUTED_VALUE"""),0.463)</f>
        <v>0.463</v>
      </c>
      <c r="M3779" s="4">
        <f>IFERROR(__xludf.DUMMYFUNCTION("""COMPUTED_VALUE"""),0.154)</f>
        <v>0.154</v>
      </c>
      <c r="N3779" s="4">
        <f>IFERROR(__xludf.DUMMYFUNCTION("""COMPUTED_VALUE"""),0.749)</f>
        <v>0.749</v>
      </c>
      <c r="O3779" s="4">
        <f>IFERROR(__xludf.DUMMYFUNCTION("""COMPUTED_VALUE"""),13.9)</f>
        <v>13.9</v>
      </c>
      <c r="P3779" s="4">
        <f>IFERROR(__xludf.DUMMYFUNCTION("""COMPUTED_VALUE"""),5.4)</f>
        <v>5.4</v>
      </c>
      <c r="Q3779" s="4">
        <f>IFERROR(__xludf.DUMMYFUNCTION("""COMPUTED_VALUE"""),1.9)</f>
        <v>1.9</v>
      </c>
      <c r="R3779" s="4">
        <f>IFERROR(__xludf.DUMMYFUNCTION("""COMPUTED_VALUE"""),1.0)</f>
        <v>1</v>
      </c>
      <c r="S3779" s="4">
        <f>IFERROR(__xludf.DUMMYFUNCTION("""COMPUTED_VALUE"""),2.4)</f>
        <v>2.4</v>
      </c>
      <c r="T3779" s="4">
        <f>IFERROR(__xludf.DUMMYFUNCTION("""COMPUTED_VALUE"""),0.064)</f>
        <v>0.064</v>
      </c>
      <c r="U3779" s="4">
        <f>IFERROR(__xludf.DUMMYFUNCTION("""COMPUTED_VALUE"""),-1.5)</f>
        <v>-1.5</v>
      </c>
      <c r="V3779" s="4">
        <f>IFERROR(__xludf.DUMMYFUNCTION("""COMPUTED_VALUE"""),0.2)</f>
        <v>0.2</v>
      </c>
    </row>
    <row r="3780">
      <c r="A3780" s="4">
        <f>IFERROR(__xludf.DUMMYFUNCTION("""COMPUTED_VALUE"""),26.0)</f>
        <v>26</v>
      </c>
      <c r="B3780" s="4">
        <f>IFERROR(__xludf.DUMMYFUNCTION("""COMPUTED_VALUE"""),26.0)</f>
        <v>26</v>
      </c>
      <c r="C3780" s="4" t="str">
        <f>IFERROR(__xludf.DUMMYFUNCTION("""COMPUTED_VALUE"""),"POR")</f>
        <v>POR</v>
      </c>
      <c r="D3780" s="4" t="str">
        <f>IFERROR(__xludf.DUMMYFUNCTION("""COMPUTED_VALUE"""),"Brian Jackson")</f>
        <v>Brian Jackson</v>
      </c>
      <c r="E3780" s="4" t="str">
        <f>IFERROR(__xludf.DUMMYFUNCTION("""COMPUTED_VALUE"""),"Utah State University")</f>
        <v>Utah State University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</row>
    <row r="3781">
      <c r="A3781" s="4">
        <f>IFERROR(__xludf.DUMMYFUNCTION("""COMPUTED_VALUE"""),27.0)</f>
        <v>27</v>
      </c>
      <c r="B3781" s="4">
        <f>IFERROR(__xludf.DUMMYFUNCTION("""COMPUTED_VALUE"""),27.0)</f>
        <v>27</v>
      </c>
      <c r="C3781" s="4" t="str">
        <f>IFERROR(__xludf.DUMMYFUNCTION("""COMPUTED_VALUE"""),"UTA")</f>
        <v>UTA</v>
      </c>
      <c r="D3781" s="4" t="str">
        <f>IFERROR(__xludf.DUMMYFUNCTION("""COMPUTED_VALUE"""),"Howard Wood")</f>
        <v>Howard Wood</v>
      </c>
      <c r="E3781" s="4" t="str">
        <f>IFERROR(__xludf.DUMMYFUNCTION("""COMPUTED_VALUE"""),"Tennessee")</f>
        <v>Tennessee</v>
      </c>
      <c r="F3781" s="4">
        <f>IFERROR(__xludf.DUMMYFUNCTION("""COMPUTED_VALUE"""),1.0)</f>
        <v>1</v>
      </c>
      <c r="G3781" s="4">
        <f>IFERROR(__xludf.DUMMYFUNCTION("""COMPUTED_VALUE"""),42.0)</f>
        <v>42</v>
      </c>
      <c r="H3781" s="4">
        <f>IFERROR(__xludf.DUMMYFUNCTION("""COMPUTED_VALUE"""),342.0)</f>
        <v>342</v>
      </c>
      <c r="I3781" s="4">
        <f>IFERROR(__xludf.DUMMYFUNCTION("""COMPUTED_VALUE"""),144.0)</f>
        <v>144</v>
      </c>
      <c r="J3781" s="4">
        <f>IFERROR(__xludf.DUMMYFUNCTION("""COMPUTED_VALUE"""),65.0)</f>
        <v>65</v>
      </c>
      <c r="K3781" s="4">
        <f>IFERROR(__xludf.DUMMYFUNCTION("""COMPUTED_VALUE"""),9.0)</f>
        <v>9</v>
      </c>
      <c r="L3781" s="4">
        <f>IFERROR(__xludf.DUMMYFUNCTION("""COMPUTED_VALUE"""),0.458)</f>
        <v>0.458</v>
      </c>
      <c r="M3781" s="4">
        <f>IFERROR(__xludf.DUMMYFUNCTION("""COMPUTED_VALUE"""),0.0)</f>
        <v>0</v>
      </c>
      <c r="N3781" s="4">
        <f>IFERROR(__xludf.DUMMYFUNCTION("""COMPUTED_VALUE"""),0.654)</f>
        <v>0.654</v>
      </c>
      <c r="O3781" s="4">
        <f>IFERROR(__xludf.DUMMYFUNCTION("""COMPUTED_VALUE"""),8.1)</f>
        <v>8.1</v>
      </c>
      <c r="P3781" s="4">
        <f>IFERROR(__xludf.DUMMYFUNCTION("""COMPUTED_VALUE"""),3.4)</f>
        <v>3.4</v>
      </c>
      <c r="Q3781" s="4">
        <f>IFERROR(__xludf.DUMMYFUNCTION("""COMPUTED_VALUE"""),1.5)</f>
        <v>1.5</v>
      </c>
      <c r="R3781" s="4">
        <f>IFERROR(__xludf.DUMMYFUNCTION("""COMPUTED_VALUE"""),0.2)</f>
        <v>0.2</v>
      </c>
      <c r="S3781" s="4">
        <f>IFERROR(__xludf.DUMMYFUNCTION("""COMPUTED_VALUE"""),0.3)</f>
        <v>0.3</v>
      </c>
      <c r="T3781" s="4">
        <f>IFERROR(__xludf.DUMMYFUNCTION("""COMPUTED_VALUE"""),0.049)</f>
        <v>0.049</v>
      </c>
      <c r="U3781" s="4">
        <f>IFERROR(__xludf.DUMMYFUNCTION("""COMPUTED_VALUE"""),-3.6)</f>
        <v>-3.6</v>
      </c>
      <c r="V3781" s="4">
        <f>IFERROR(__xludf.DUMMYFUNCTION("""COMPUTED_VALUE"""),-0.1)</f>
        <v>-0.1</v>
      </c>
    </row>
    <row r="3782">
      <c r="A3782" s="4">
        <f>IFERROR(__xludf.DUMMYFUNCTION("""COMPUTED_VALUE"""),28.0)</f>
        <v>28</v>
      </c>
      <c r="B3782" s="4">
        <f>IFERROR(__xludf.DUMMYFUNCTION("""COMPUTED_VALUE"""),28.0)</f>
        <v>28</v>
      </c>
      <c r="C3782" s="4" t="str">
        <f>IFERROR(__xludf.DUMMYFUNCTION("""COMPUTED_VALUE"""),"SAS")</f>
        <v>SAS</v>
      </c>
      <c r="D3782" s="4" t="str">
        <f>IFERROR(__xludf.DUMMYFUNCTION("""COMPUTED_VALUE"""),"Gene Banks")</f>
        <v>Gene Banks</v>
      </c>
      <c r="E3782" s="4" t="str">
        <f>IFERROR(__xludf.DUMMYFUNCTION("""COMPUTED_VALUE"""),"Duke")</f>
        <v>Duke</v>
      </c>
      <c r="F3782" s="4">
        <f>IFERROR(__xludf.DUMMYFUNCTION("""COMPUTED_VALUE"""),6.0)</f>
        <v>6</v>
      </c>
      <c r="G3782" s="4">
        <f>IFERROR(__xludf.DUMMYFUNCTION("""COMPUTED_VALUE"""),468.0)</f>
        <v>468</v>
      </c>
      <c r="H3782" s="4">
        <f>IFERROR(__xludf.DUMMYFUNCTION("""COMPUTED_VALUE"""),13074.0)</f>
        <v>13074</v>
      </c>
      <c r="I3782" s="4">
        <f>IFERROR(__xludf.DUMMYFUNCTION("""COMPUTED_VALUE"""),5305.0)</f>
        <v>5305</v>
      </c>
      <c r="J3782" s="4">
        <f>IFERROR(__xludf.DUMMYFUNCTION("""COMPUTED_VALUE"""),2718.0)</f>
        <v>2718</v>
      </c>
      <c r="K3782" s="4">
        <f>IFERROR(__xludf.DUMMYFUNCTION("""COMPUTED_VALUE"""),1335.0)</f>
        <v>1335</v>
      </c>
      <c r="L3782" s="4">
        <f>IFERROR(__xludf.DUMMYFUNCTION("""COMPUTED_VALUE"""),0.539)</f>
        <v>0.539</v>
      </c>
      <c r="M3782" s="4">
        <f>IFERROR(__xludf.DUMMYFUNCTION("""COMPUTED_VALUE"""),0.043)</f>
        <v>0.043</v>
      </c>
      <c r="N3782" s="4">
        <f>IFERROR(__xludf.DUMMYFUNCTION("""COMPUTED_VALUE"""),0.73)</f>
        <v>0.73</v>
      </c>
      <c r="O3782" s="4">
        <f>IFERROR(__xludf.DUMMYFUNCTION("""COMPUTED_VALUE"""),27.9)</f>
        <v>27.9</v>
      </c>
      <c r="P3782" s="4">
        <f>IFERROR(__xludf.DUMMYFUNCTION("""COMPUTED_VALUE"""),11.3)</f>
        <v>11.3</v>
      </c>
      <c r="Q3782" s="4">
        <f>IFERROR(__xludf.DUMMYFUNCTION("""COMPUTED_VALUE"""),5.8)</f>
        <v>5.8</v>
      </c>
      <c r="R3782" s="4">
        <f>IFERROR(__xludf.DUMMYFUNCTION("""COMPUTED_VALUE"""),2.9)</f>
        <v>2.9</v>
      </c>
      <c r="S3782" s="4">
        <f>IFERROR(__xludf.DUMMYFUNCTION("""COMPUTED_VALUE"""),31.2)</f>
        <v>31.2</v>
      </c>
      <c r="T3782" s="4">
        <f>IFERROR(__xludf.DUMMYFUNCTION("""COMPUTED_VALUE"""),0.115)</f>
        <v>0.115</v>
      </c>
      <c r="U3782" s="4">
        <f>IFERROR(__xludf.DUMMYFUNCTION("""COMPUTED_VALUE"""),0.7)</f>
        <v>0.7</v>
      </c>
      <c r="V3782" s="4">
        <f>IFERROR(__xludf.DUMMYFUNCTION("""COMPUTED_VALUE"""),8.7)</f>
        <v>8.7</v>
      </c>
    </row>
    <row r="3783">
      <c r="A3783" s="4">
        <f>IFERROR(__xludf.DUMMYFUNCTION("""COMPUTED_VALUE"""),29.0)</f>
        <v>29</v>
      </c>
      <c r="B3783" s="4">
        <f>IFERROR(__xludf.DUMMYFUNCTION("""COMPUTED_VALUE"""),29.0)</f>
        <v>29</v>
      </c>
      <c r="C3783" s="4" t="str">
        <f>IFERROR(__xludf.DUMMYFUNCTION("""COMPUTED_VALUE"""),"KCK")</f>
        <v>KCK</v>
      </c>
      <c r="D3783" s="4" t="str">
        <f>IFERROR(__xludf.DUMMYFUNCTION("""COMPUTED_VALUE"""),"Eddie Johnson")</f>
        <v>Eddie Johnson</v>
      </c>
      <c r="E3783" s="4" t="str">
        <f>IFERROR(__xludf.DUMMYFUNCTION("""COMPUTED_VALUE"""),"Illinois")</f>
        <v>Illinois</v>
      </c>
      <c r="F3783" s="4">
        <f>IFERROR(__xludf.DUMMYFUNCTION("""COMPUTED_VALUE"""),17.0)</f>
        <v>17</v>
      </c>
      <c r="G3783" s="4">
        <f>IFERROR(__xludf.DUMMYFUNCTION("""COMPUTED_VALUE"""),1199.0)</f>
        <v>1199</v>
      </c>
      <c r="H3783" s="4">
        <f>IFERROR(__xludf.DUMMYFUNCTION("""COMPUTED_VALUE"""),32604.0)</f>
        <v>32604</v>
      </c>
      <c r="I3783" s="4">
        <f>IFERROR(__xludf.DUMMYFUNCTION("""COMPUTED_VALUE"""),19202.0)</f>
        <v>19202</v>
      </c>
      <c r="J3783" s="4">
        <f>IFERROR(__xludf.DUMMYFUNCTION("""COMPUTED_VALUE"""),4832.0)</f>
        <v>4832</v>
      </c>
      <c r="K3783" s="4">
        <f>IFERROR(__xludf.DUMMYFUNCTION("""COMPUTED_VALUE"""),2550.0)</f>
        <v>2550</v>
      </c>
      <c r="L3783" s="4">
        <f>IFERROR(__xludf.DUMMYFUNCTION("""COMPUTED_VALUE"""),0.472)</f>
        <v>0.472</v>
      </c>
      <c r="M3783" s="4">
        <f>IFERROR(__xludf.DUMMYFUNCTION("""COMPUTED_VALUE"""),0.335)</f>
        <v>0.335</v>
      </c>
      <c r="N3783" s="4">
        <f>IFERROR(__xludf.DUMMYFUNCTION("""COMPUTED_VALUE"""),0.84)</f>
        <v>0.84</v>
      </c>
      <c r="O3783" s="4">
        <f>IFERROR(__xludf.DUMMYFUNCTION("""COMPUTED_VALUE"""),27.2)</f>
        <v>27.2</v>
      </c>
      <c r="P3783" s="4">
        <f>IFERROR(__xludf.DUMMYFUNCTION("""COMPUTED_VALUE"""),16.0)</f>
        <v>16</v>
      </c>
      <c r="Q3783" s="4">
        <f>IFERROR(__xludf.DUMMYFUNCTION("""COMPUTED_VALUE"""),4.0)</f>
        <v>4</v>
      </c>
      <c r="R3783" s="4">
        <f>IFERROR(__xludf.DUMMYFUNCTION("""COMPUTED_VALUE"""),2.1)</f>
        <v>2.1</v>
      </c>
      <c r="S3783" s="4">
        <f>IFERROR(__xludf.DUMMYFUNCTION("""COMPUTED_VALUE"""),65.6)</f>
        <v>65.6</v>
      </c>
      <c r="T3783" s="4">
        <f>IFERROR(__xludf.DUMMYFUNCTION("""COMPUTED_VALUE"""),0.097)</f>
        <v>0.097</v>
      </c>
      <c r="U3783" s="4">
        <f>IFERROR(__xludf.DUMMYFUNCTION("""COMPUTED_VALUE"""),-0.7)</f>
        <v>-0.7</v>
      </c>
      <c r="V3783" s="4">
        <f>IFERROR(__xludf.DUMMYFUNCTION("""COMPUTED_VALUE"""),11.0)</f>
        <v>11</v>
      </c>
    </row>
    <row r="3784">
      <c r="A3784" s="4">
        <f>IFERROR(__xludf.DUMMYFUNCTION("""COMPUTED_VALUE"""),30.0)</f>
        <v>30</v>
      </c>
      <c r="B3784" s="4">
        <f>IFERROR(__xludf.DUMMYFUNCTION("""COMPUTED_VALUE"""),30.0)</f>
        <v>30</v>
      </c>
      <c r="C3784" s="4" t="str">
        <f>IFERROR(__xludf.DUMMYFUNCTION("""COMPUTED_VALUE"""),"SAS")</f>
        <v>SAS</v>
      </c>
      <c r="D3784" s="4" t="str">
        <f>IFERROR(__xludf.DUMMYFUNCTION("""COMPUTED_VALUE"""),"Ed Rains")</f>
        <v>Ed Rains</v>
      </c>
      <c r="E3784" s="4" t="str">
        <f>IFERROR(__xludf.DUMMYFUNCTION("""COMPUTED_VALUE"""),"University of South Alabama")</f>
        <v>University of South Alabama</v>
      </c>
      <c r="F3784" s="4">
        <f>IFERROR(__xludf.DUMMYFUNCTION("""COMPUTED_VALUE"""),2.0)</f>
        <v>2</v>
      </c>
      <c r="G3784" s="4">
        <f>IFERROR(__xludf.DUMMYFUNCTION("""COMPUTED_VALUE"""),83.0)</f>
        <v>83</v>
      </c>
      <c r="H3784" s="4">
        <f>IFERROR(__xludf.DUMMYFUNCTION("""COMPUTED_VALUE"""),929.0)</f>
        <v>929</v>
      </c>
      <c r="I3784" s="4">
        <f>IFERROR(__xludf.DUMMYFUNCTION("""COMPUTED_VALUE"""),287.0)</f>
        <v>287</v>
      </c>
      <c r="J3784" s="4">
        <f>IFERROR(__xludf.DUMMYFUNCTION("""COMPUTED_VALUE"""),124.0)</f>
        <v>124</v>
      </c>
      <c r="K3784" s="4">
        <f>IFERROR(__xludf.DUMMYFUNCTION("""COMPUTED_VALUE"""),62.0)</f>
        <v>62</v>
      </c>
      <c r="L3784" s="4">
        <f>IFERROR(__xludf.DUMMYFUNCTION("""COMPUTED_VALUE"""),0.423)</f>
        <v>0.423</v>
      </c>
      <c r="M3784" s="4">
        <f>IFERROR(__xludf.DUMMYFUNCTION("""COMPUTED_VALUE"""),0.0)</f>
        <v>0</v>
      </c>
      <c r="N3784" s="4">
        <f>IFERROR(__xludf.DUMMYFUNCTION("""COMPUTED_VALUE"""),0.626)</f>
        <v>0.626</v>
      </c>
      <c r="O3784" s="4">
        <f>IFERROR(__xludf.DUMMYFUNCTION("""COMPUTED_VALUE"""),11.2)</f>
        <v>11.2</v>
      </c>
      <c r="P3784" s="4">
        <f>IFERROR(__xludf.DUMMYFUNCTION("""COMPUTED_VALUE"""),3.5)</f>
        <v>3.5</v>
      </c>
      <c r="Q3784" s="4">
        <f>IFERROR(__xludf.DUMMYFUNCTION("""COMPUTED_VALUE"""),1.5)</f>
        <v>1.5</v>
      </c>
      <c r="R3784" s="4">
        <f>IFERROR(__xludf.DUMMYFUNCTION("""COMPUTED_VALUE"""),0.7)</f>
        <v>0.7</v>
      </c>
      <c r="S3784" s="4">
        <f>IFERROR(__xludf.DUMMYFUNCTION("""COMPUTED_VALUE"""),0.7)</f>
        <v>0.7</v>
      </c>
      <c r="T3784" s="4">
        <f>IFERROR(__xludf.DUMMYFUNCTION("""COMPUTED_VALUE"""),0.034)</f>
        <v>0.034</v>
      </c>
      <c r="U3784" s="4">
        <f>IFERROR(__xludf.DUMMYFUNCTION("""COMPUTED_VALUE"""),-3.9)</f>
        <v>-3.9</v>
      </c>
      <c r="V3784" s="4">
        <f>IFERROR(__xludf.DUMMYFUNCTION("""COMPUTED_VALUE"""),-0.5)</f>
        <v>-0.5</v>
      </c>
    </row>
    <row r="3785">
      <c r="A3785" s="4">
        <f>IFERROR(__xludf.DUMMYFUNCTION("""COMPUTED_VALUE"""),31.0)</f>
        <v>31</v>
      </c>
      <c r="B3785" s="4">
        <f>IFERROR(__xludf.DUMMYFUNCTION("""COMPUTED_VALUE"""),31.0)</f>
        <v>31</v>
      </c>
      <c r="C3785" s="4" t="str">
        <f>IFERROR(__xludf.DUMMYFUNCTION("""COMPUTED_VALUE"""),"BOS")</f>
        <v>BOS</v>
      </c>
      <c r="D3785" s="4" t="str">
        <f>IFERROR(__xludf.DUMMYFUNCTION("""COMPUTED_VALUE"""),"Danny Ainge")</f>
        <v>Danny Ainge</v>
      </c>
      <c r="E3785" s="4" t="str">
        <f>IFERROR(__xludf.DUMMYFUNCTION("""COMPUTED_VALUE"""),"BYU")</f>
        <v>BYU</v>
      </c>
      <c r="F3785" s="4">
        <f>IFERROR(__xludf.DUMMYFUNCTION("""COMPUTED_VALUE"""),14.0)</f>
        <v>14</v>
      </c>
      <c r="G3785" s="4">
        <f>IFERROR(__xludf.DUMMYFUNCTION("""COMPUTED_VALUE"""),1042.0)</f>
        <v>1042</v>
      </c>
      <c r="H3785" s="4">
        <f>IFERROR(__xludf.DUMMYFUNCTION("""COMPUTED_VALUE"""),27755.0)</f>
        <v>27755</v>
      </c>
      <c r="I3785" s="4">
        <f>IFERROR(__xludf.DUMMYFUNCTION("""COMPUTED_VALUE"""),11964.0)</f>
        <v>11964</v>
      </c>
      <c r="J3785" s="4">
        <f>IFERROR(__xludf.DUMMYFUNCTION("""COMPUTED_VALUE"""),2768.0)</f>
        <v>2768</v>
      </c>
      <c r="K3785" s="4">
        <f>IFERROR(__xludf.DUMMYFUNCTION("""COMPUTED_VALUE"""),4199.0)</f>
        <v>4199</v>
      </c>
      <c r="L3785" s="4">
        <f>IFERROR(__xludf.DUMMYFUNCTION("""COMPUTED_VALUE"""),0.469)</f>
        <v>0.469</v>
      </c>
      <c r="M3785" s="4">
        <f>IFERROR(__xludf.DUMMYFUNCTION("""COMPUTED_VALUE"""),0.378)</f>
        <v>0.378</v>
      </c>
      <c r="N3785" s="4">
        <f>IFERROR(__xludf.DUMMYFUNCTION("""COMPUTED_VALUE"""),0.846)</f>
        <v>0.846</v>
      </c>
      <c r="O3785" s="4">
        <f>IFERROR(__xludf.DUMMYFUNCTION("""COMPUTED_VALUE"""),26.6)</f>
        <v>26.6</v>
      </c>
      <c r="P3785" s="4">
        <f>IFERROR(__xludf.DUMMYFUNCTION("""COMPUTED_VALUE"""),11.5)</f>
        <v>11.5</v>
      </c>
      <c r="Q3785" s="4">
        <f>IFERROR(__xludf.DUMMYFUNCTION("""COMPUTED_VALUE"""),2.7)</f>
        <v>2.7</v>
      </c>
      <c r="R3785" s="4">
        <f>IFERROR(__xludf.DUMMYFUNCTION("""COMPUTED_VALUE"""),4.0)</f>
        <v>4</v>
      </c>
      <c r="S3785" s="4">
        <f>IFERROR(__xludf.DUMMYFUNCTION("""COMPUTED_VALUE"""),71.5)</f>
        <v>71.5</v>
      </c>
      <c r="T3785" s="4">
        <f>IFERROR(__xludf.DUMMYFUNCTION("""COMPUTED_VALUE"""),0.124)</f>
        <v>0.124</v>
      </c>
      <c r="U3785" s="4">
        <f>IFERROR(__xludf.DUMMYFUNCTION("""COMPUTED_VALUE"""),1.1)</f>
        <v>1.1</v>
      </c>
      <c r="V3785" s="4">
        <f>IFERROR(__xludf.DUMMYFUNCTION("""COMPUTED_VALUE"""),21.9)</f>
        <v>21.9</v>
      </c>
    </row>
    <row r="3786">
      <c r="A3786" s="4">
        <f>IFERROR(__xludf.DUMMYFUNCTION("""COMPUTED_VALUE"""),32.0)</f>
        <v>32</v>
      </c>
      <c r="B3786" s="4">
        <f>IFERROR(__xludf.DUMMYFUNCTION("""COMPUTED_VALUE"""),32.0)</f>
        <v>32</v>
      </c>
      <c r="C3786" s="4" t="str">
        <f>IFERROR(__xludf.DUMMYFUNCTION("""COMPUTED_VALUE"""),"CHI")</f>
        <v>CHI</v>
      </c>
      <c r="D3786" s="4" t="str">
        <f>IFERROR(__xludf.DUMMYFUNCTION("""COMPUTED_VALUE"""),"Mike Olliver")</f>
        <v>Mike Olliver</v>
      </c>
      <c r="E3786" s="4" t="str">
        <f>IFERROR(__xludf.DUMMYFUNCTION("""COMPUTED_VALUE"""),"Lamar")</f>
        <v>Lamar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</row>
    <row r="3787">
      <c r="A3787" s="4">
        <f>IFERROR(__xludf.DUMMYFUNCTION("""COMPUTED_VALUE"""),33.0)</f>
        <v>33</v>
      </c>
      <c r="B3787" s="4">
        <f>IFERROR(__xludf.DUMMYFUNCTION("""COMPUTED_VALUE"""),33.0)</f>
        <v>33</v>
      </c>
      <c r="C3787" s="4" t="str">
        <f>IFERROR(__xludf.DUMMYFUNCTION("""COMPUTED_VALUE"""),"GSW")</f>
        <v>GSW</v>
      </c>
      <c r="D3787" s="4" t="str">
        <f>IFERROR(__xludf.DUMMYFUNCTION("""COMPUTED_VALUE"""),"Sam Williams")</f>
        <v>Sam Williams</v>
      </c>
      <c r="E3787" s="4" t="str">
        <f>IFERROR(__xludf.DUMMYFUNCTION("""COMPUTED_VALUE"""),"Arizona State")</f>
        <v>Arizona State</v>
      </c>
      <c r="F3787" s="4">
        <f>IFERROR(__xludf.DUMMYFUNCTION("""COMPUTED_VALUE"""),4.0)</f>
        <v>4</v>
      </c>
      <c r="G3787" s="4">
        <f>IFERROR(__xludf.DUMMYFUNCTION("""COMPUTED_VALUE"""),257.0)</f>
        <v>257</v>
      </c>
      <c r="H3787" s="4">
        <f>IFERROR(__xludf.DUMMYFUNCTION("""COMPUTED_VALUE"""),4528.0)</f>
        <v>4528</v>
      </c>
      <c r="I3787" s="4">
        <f>IFERROR(__xludf.DUMMYFUNCTION("""COMPUTED_VALUE"""),1628.0)</f>
        <v>1628</v>
      </c>
      <c r="J3787" s="4">
        <f>IFERROR(__xludf.DUMMYFUNCTION("""COMPUTED_VALUE"""),1146.0)</f>
        <v>1146</v>
      </c>
      <c r="K3787" s="4">
        <f>IFERROR(__xludf.DUMMYFUNCTION("""COMPUTED_VALUE"""),156.0)</f>
        <v>156</v>
      </c>
      <c r="L3787" s="4">
        <f>IFERROR(__xludf.DUMMYFUNCTION("""COMPUTED_VALUE"""),0.5)</f>
        <v>0.5</v>
      </c>
      <c r="M3787" s="4">
        <f>IFERROR(__xludf.DUMMYFUNCTION("""COMPUTED_VALUE"""),0.0)</f>
        <v>0</v>
      </c>
      <c r="N3787" s="4">
        <f>IFERROR(__xludf.DUMMYFUNCTION("""COMPUTED_VALUE"""),0.653)</f>
        <v>0.653</v>
      </c>
      <c r="O3787" s="4">
        <f>IFERROR(__xludf.DUMMYFUNCTION("""COMPUTED_VALUE"""),17.6)</f>
        <v>17.6</v>
      </c>
      <c r="P3787" s="4">
        <f>IFERROR(__xludf.DUMMYFUNCTION("""COMPUTED_VALUE"""),6.3)</f>
        <v>6.3</v>
      </c>
      <c r="Q3787" s="4">
        <f>IFERROR(__xludf.DUMMYFUNCTION("""COMPUTED_VALUE"""),4.5)</f>
        <v>4.5</v>
      </c>
      <c r="R3787" s="4">
        <f>IFERROR(__xludf.DUMMYFUNCTION("""COMPUTED_VALUE"""),0.6)</f>
        <v>0.6</v>
      </c>
      <c r="S3787" s="4">
        <f>IFERROR(__xludf.DUMMYFUNCTION("""COMPUTED_VALUE"""),9.0)</f>
        <v>9</v>
      </c>
      <c r="T3787" s="4">
        <f>IFERROR(__xludf.DUMMYFUNCTION("""COMPUTED_VALUE"""),0.095)</f>
        <v>0.095</v>
      </c>
      <c r="U3787" s="4">
        <f>IFERROR(__xludf.DUMMYFUNCTION("""COMPUTED_VALUE"""),-0.8)</f>
        <v>-0.8</v>
      </c>
      <c r="V3787" s="4">
        <f>IFERROR(__xludf.DUMMYFUNCTION("""COMPUTED_VALUE"""),1.4)</f>
        <v>1.4</v>
      </c>
    </row>
    <row r="3788">
      <c r="A3788" s="4">
        <f>IFERROR(__xludf.DUMMYFUNCTION("""COMPUTED_VALUE"""),34.0)</f>
        <v>34</v>
      </c>
      <c r="B3788" s="4">
        <f>IFERROR(__xludf.DUMMYFUNCTION("""COMPUTED_VALUE"""),34.0)</f>
        <v>34</v>
      </c>
      <c r="C3788" s="4" t="str">
        <f>IFERROR(__xludf.DUMMYFUNCTION("""COMPUTED_VALUE"""),"DEN")</f>
        <v>DEN</v>
      </c>
      <c r="D3788" s="4" t="str">
        <f>IFERROR(__xludf.DUMMYFUNCTION("""COMPUTED_VALUE"""),"Ken Green")</f>
        <v>Ken Green</v>
      </c>
      <c r="E3788" s="4" t="str">
        <f>IFERROR(__xludf.DUMMYFUNCTION("""COMPUTED_VALUE"""),"University of Texas Rio Grande Valley")</f>
        <v>University of Texas Rio Grande Valley</v>
      </c>
      <c r="F3788" s="4">
        <f>IFERROR(__xludf.DUMMYFUNCTION("""COMPUTED_VALUE"""),1.0)</f>
        <v>1</v>
      </c>
      <c r="G3788" s="4">
        <f>IFERROR(__xludf.DUMMYFUNCTION("""COMPUTED_VALUE"""),7.0)</f>
        <v>7</v>
      </c>
      <c r="H3788" s="4">
        <f>IFERROR(__xludf.DUMMYFUNCTION("""COMPUTED_VALUE"""),72.0)</f>
        <v>72</v>
      </c>
      <c r="I3788" s="4">
        <f>IFERROR(__xludf.DUMMYFUNCTION("""COMPUTED_VALUE"""),31.0)</f>
        <v>31</v>
      </c>
      <c r="J3788" s="4">
        <f>IFERROR(__xludf.DUMMYFUNCTION("""COMPUTED_VALUE"""),27.0)</f>
        <v>27</v>
      </c>
      <c r="K3788" s="4">
        <f>IFERROR(__xludf.DUMMYFUNCTION("""COMPUTED_VALUE"""),2.0)</f>
        <v>2</v>
      </c>
      <c r="L3788" s="4">
        <f>IFERROR(__xludf.DUMMYFUNCTION("""COMPUTED_VALUE"""),0.481)</f>
        <v>0.481</v>
      </c>
      <c r="M3788" s="4"/>
      <c r="N3788" s="4">
        <f>IFERROR(__xludf.DUMMYFUNCTION("""COMPUTED_VALUE"""),0.556)</f>
        <v>0.556</v>
      </c>
      <c r="O3788" s="4">
        <f>IFERROR(__xludf.DUMMYFUNCTION("""COMPUTED_VALUE"""),10.3)</f>
        <v>10.3</v>
      </c>
      <c r="P3788" s="4">
        <f>IFERROR(__xludf.DUMMYFUNCTION("""COMPUTED_VALUE"""),4.4)</f>
        <v>4.4</v>
      </c>
      <c r="Q3788" s="4">
        <f>IFERROR(__xludf.DUMMYFUNCTION("""COMPUTED_VALUE"""),3.9)</f>
        <v>3.9</v>
      </c>
      <c r="R3788" s="4">
        <f>IFERROR(__xludf.DUMMYFUNCTION("""COMPUTED_VALUE"""),0.3)</f>
        <v>0.3</v>
      </c>
      <c r="S3788" s="4">
        <f>IFERROR(__xludf.DUMMYFUNCTION("""COMPUTED_VALUE"""),0.3)</f>
        <v>0.3</v>
      </c>
      <c r="T3788" s="4">
        <f>IFERROR(__xludf.DUMMYFUNCTION("""COMPUTED_VALUE"""),0.184)</f>
        <v>0.184</v>
      </c>
      <c r="U3788" s="4">
        <f>IFERROR(__xludf.DUMMYFUNCTION("""COMPUTED_VALUE"""),0.0)</f>
        <v>0</v>
      </c>
      <c r="V3788" s="4">
        <f>IFERROR(__xludf.DUMMYFUNCTION("""COMPUTED_VALUE"""),0.0)</f>
        <v>0</v>
      </c>
    </row>
    <row r="3789">
      <c r="A3789" s="4">
        <f>IFERROR(__xludf.DUMMYFUNCTION("""COMPUTED_VALUE"""),35.0)</f>
        <v>35</v>
      </c>
      <c r="B3789" s="4">
        <f>IFERROR(__xludf.DUMMYFUNCTION("""COMPUTED_VALUE"""),35.0)</f>
        <v>35</v>
      </c>
      <c r="C3789" s="4" t="str">
        <f>IFERROR(__xludf.DUMMYFUNCTION("""COMPUTED_VALUE"""),"WSB")</f>
        <v>WSB</v>
      </c>
      <c r="D3789" s="4" t="str">
        <f>IFERROR(__xludf.DUMMYFUNCTION("""COMPUTED_VALUE"""),"Charles Davis")</f>
        <v>Charles Davis</v>
      </c>
      <c r="E3789" s="4" t="str">
        <f>IFERROR(__xludf.DUMMYFUNCTION("""COMPUTED_VALUE"""),"Vanderbilt")</f>
        <v>Vanderbilt</v>
      </c>
      <c r="F3789" s="4">
        <f>IFERROR(__xludf.DUMMYFUNCTION("""COMPUTED_VALUE"""),8.0)</f>
        <v>8</v>
      </c>
      <c r="G3789" s="4">
        <f>IFERROR(__xludf.DUMMYFUNCTION("""COMPUTED_VALUE"""),415.0)</f>
        <v>415</v>
      </c>
      <c r="H3789" s="4">
        <f>IFERROR(__xludf.DUMMYFUNCTION("""COMPUTED_VALUE"""),5050.0)</f>
        <v>5050</v>
      </c>
      <c r="I3789" s="4">
        <f>IFERROR(__xludf.DUMMYFUNCTION("""COMPUTED_VALUE"""),2214.0)</f>
        <v>2214</v>
      </c>
      <c r="J3789" s="4">
        <f>IFERROR(__xludf.DUMMYFUNCTION("""COMPUTED_VALUE"""),1008.0)</f>
        <v>1008</v>
      </c>
      <c r="K3789" s="4">
        <f>IFERROR(__xludf.DUMMYFUNCTION("""COMPUTED_VALUE"""),309.0)</f>
        <v>309</v>
      </c>
      <c r="L3789" s="4">
        <f>IFERROR(__xludf.DUMMYFUNCTION("""COMPUTED_VALUE"""),0.451)</f>
        <v>0.451</v>
      </c>
      <c r="M3789" s="4">
        <f>IFERROR(__xludf.DUMMYFUNCTION("""COMPUTED_VALUE"""),0.17)</f>
        <v>0.17</v>
      </c>
      <c r="N3789" s="4">
        <f>IFERROR(__xludf.DUMMYFUNCTION("""COMPUTED_VALUE"""),0.737)</f>
        <v>0.737</v>
      </c>
      <c r="O3789" s="4">
        <f>IFERROR(__xludf.DUMMYFUNCTION("""COMPUTED_VALUE"""),12.2)</f>
        <v>12.2</v>
      </c>
      <c r="P3789" s="4">
        <f>IFERROR(__xludf.DUMMYFUNCTION("""COMPUTED_VALUE"""),5.3)</f>
        <v>5.3</v>
      </c>
      <c r="Q3789" s="4">
        <f>IFERROR(__xludf.DUMMYFUNCTION("""COMPUTED_VALUE"""),2.4)</f>
        <v>2.4</v>
      </c>
      <c r="R3789" s="4">
        <f>IFERROR(__xludf.DUMMYFUNCTION("""COMPUTED_VALUE"""),0.7)</f>
        <v>0.7</v>
      </c>
      <c r="S3789" s="4">
        <f>IFERROR(__xludf.DUMMYFUNCTION("""COMPUTED_VALUE"""),5.8)</f>
        <v>5.8</v>
      </c>
      <c r="T3789" s="4">
        <f>IFERROR(__xludf.DUMMYFUNCTION("""COMPUTED_VALUE"""),0.056)</f>
        <v>0.056</v>
      </c>
      <c r="U3789" s="4">
        <f>IFERROR(__xludf.DUMMYFUNCTION("""COMPUTED_VALUE"""),-3.1)</f>
        <v>-3.1</v>
      </c>
      <c r="V3789" s="4">
        <f>IFERROR(__xludf.DUMMYFUNCTION("""COMPUTED_VALUE"""),-1.4)</f>
        <v>-1.4</v>
      </c>
    </row>
    <row r="3790">
      <c r="A3790" s="4">
        <f>IFERROR(__xludf.DUMMYFUNCTION("""COMPUTED_VALUE"""),36.0)</f>
        <v>36</v>
      </c>
      <c r="B3790" s="4">
        <f>IFERROR(__xludf.DUMMYFUNCTION("""COMPUTED_VALUE"""),36.0)</f>
        <v>36</v>
      </c>
      <c r="C3790" s="4" t="str">
        <f>IFERROR(__xludf.DUMMYFUNCTION("""COMPUTED_VALUE"""),"IND")</f>
        <v>IND</v>
      </c>
      <c r="D3790" s="4" t="str">
        <f>IFERROR(__xludf.DUMMYFUNCTION("""COMPUTED_VALUE"""),"Ray Blume")</f>
        <v>Ray Blume</v>
      </c>
      <c r="E3790" s="4" t="str">
        <f>IFERROR(__xludf.DUMMYFUNCTION("""COMPUTED_VALUE"""),"Oregon State")</f>
        <v>Oregon State</v>
      </c>
      <c r="F3790" s="4">
        <f>IFERROR(__xludf.DUMMYFUNCTION("""COMPUTED_VALUE"""),1.0)</f>
        <v>1</v>
      </c>
      <c r="G3790" s="4">
        <f>IFERROR(__xludf.DUMMYFUNCTION("""COMPUTED_VALUE"""),49.0)</f>
        <v>49</v>
      </c>
      <c r="H3790" s="4">
        <f>IFERROR(__xludf.DUMMYFUNCTION("""COMPUTED_VALUE"""),546.0)</f>
        <v>546</v>
      </c>
      <c r="I3790" s="4">
        <f>IFERROR(__xludf.DUMMYFUNCTION("""COMPUTED_VALUE"""),226.0)</f>
        <v>226</v>
      </c>
      <c r="J3790" s="4">
        <f>IFERROR(__xludf.DUMMYFUNCTION("""COMPUTED_VALUE"""),41.0)</f>
        <v>41</v>
      </c>
      <c r="K3790" s="4">
        <f>IFERROR(__xludf.DUMMYFUNCTION("""COMPUTED_VALUE"""),68.0)</f>
        <v>68</v>
      </c>
      <c r="L3790" s="4">
        <f>IFERROR(__xludf.DUMMYFUNCTION("""COMPUTED_VALUE"""),0.459)</f>
        <v>0.459</v>
      </c>
      <c r="M3790" s="4">
        <f>IFERROR(__xludf.DUMMYFUNCTION("""COMPUTED_VALUE"""),0.222)</f>
        <v>0.222</v>
      </c>
      <c r="N3790" s="4">
        <f>IFERROR(__xludf.DUMMYFUNCTION("""COMPUTED_VALUE"""),0.643)</f>
        <v>0.643</v>
      </c>
      <c r="O3790" s="4">
        <f>IFERROR(__xludf.DUMMYFUNCTION("""COMPUTED_VALUE"""),11.1)</f>
        <v>11.1</v>
      </c>
      <c r="P3790" s="4">
        <f>IFERROR(__xludf.DUMMYFUNCTION("""COMPUTED_VALUE"""),4.6)</f>
        <v>4.6</v>
      </c>
      <c r="Q3790" s="4">
        <f>IFERROR(__xludf.DUMMYFUNCTION("""COMPUTED_VALUE"""),0.8)</f>
        <v>0.8</v>
      </c>
      <c r="R3790" s="4">
        <f>IFERROR(__xludf.DUMMYFUNCTION("""COMPUTED_VALUE"""),1.4)</f>
        <v>1.4</v>
      </c>
      <c r="S3790" s="4">
        <f>IFERROR(__xludf.DUMMYFUNCTION("""COMPUTED_VALUE"""),-0.1)</f>
        <v>-0.1</v>
      </c>
      <c r="T3790" s="4">
        <f>IFERROR(__xludf.DUMMYFUNCTION("""COMPUTED_VALUE"""),-0.013)</f>
        <v>-0.013</v>
      </c>
      <c r="U3790" s="4">
        <f>IFERROR(__xludf.DUMMYFUNCTION("""COMPUTED_VALUE"""),-4.5)</f>
        <v>-4.5</v>
      </c>
      <c r="V3790" s="4">
        <f>IFERROR(__xludf.DUMMYFUNCTION("""COMPUTED_VALUE"""),-0.3)</f>
        <v>-0.3</v>
      </c>
    </row>
    <row r="3791">
      <c r="A3791" s="4">
        <f>IFERROR(__xludf.DUMMYFUNCTION("""COMPUTED_VALUE"""),37.0)</f>
        <v>37</v>
      </c>
      <c r="B3791" s="4">
        <f>IFERROR(__xludf.DUMMYFUNCTION("""COMPUTED_VALUE"""),37.0)</f>
        <v>37</v>
      </c>
      <c r="C3791" s="4" t="str">
        <f>IFERROR(__xludf.DUMMYFUNCTION("""COMPUTED_VALUE"""),"IND")</f>
        <v>IND</v>
      </c>
      <c r="D3791" s="4" t="str">
        <f>IFERROR(__xludf.DUMMYFUNCTION("""COMPUTED_VALUE"""),"Al Leslie")</f>
        <v>Al Leslie</v>
      </c>
      <c r="E3791" s="4" t="str">
        <f>IFERROR(__xludf.DUMMYFUNCTION("""COMPUTED_VALUE"""),"Bucknell")</f>
        <v>Bucknell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</row>
    <row r="3792">
      <c r="A3792" s="4">
        <f>IFERROR(__xludf.DUMMYFUNCTION("""COMPUTED_VALUE"""),38.0)</f>
        <v>38</v>
      </c>
      <c r="B3792" s="4">
        <f>IFERROR(__xludf.DUMMYFUNCTION("""COMPUTED_VALUE"""),38.0)</f>
        <v>38</v>
      </c>
      <c r="C3792" s="4" t="str">
        <f>IFERROR(__xludf.DUMMYFUNCTION("""COMPUTED_VALUE"""),"ATL")</f>
        <v>ATL</v>
      </c>
      <c r="D3792" s="4" t="str">
        <f>IFERROR(__xludf.DUMMYFUNCTION("""COMPUTED_VALUE"""),"Clyde Bradshaw")</f>
        <v>Clyde Bradshaw</v>
      </c>
      <c r="E3792" s="4" t="str">
        <f>IFERROR(__xludf.DUMMYFUNCTION("""COMPUTED_VALUE"""),"DePaul")</f>
        <v>DePaul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</row>
    <row r="3793">
      <c r="A3793" s="4">
        <f>IFERROR(__xludf.DUMMYFUNCTION("""COMPUTED_VALUE"""),39.0)</f>
        <v>39</v>
      </c>
      <c r="B3793" s="4">
        <f>IFERROR(__xludf.DUMMYFUNCTION("""COMPUTED_VALUE"""),39.0)</f>
        <v>39</v>
      </c>
      <c r="C3793" s="4" t="str">
        <f>IFERROR(__xludf.DUMMYFUNCTION("""COMPUTED_VALUE"""),"LAL")</f>
        <v>LAL</v>
      </c>
      <c r="D3793" s="4" t="str">
        <f>IFERROR(__xludf.DUMMYFUNCTION("""COMPUTED_VALUE"""),"Harvey Knuckles")</f>
        <v>Harvey Knuckles</v>
      </c>
      <c r="E3793" s="4" t="str">
        <f>IFERROR(__xludf.DUMMYFUNCTION("""COMPUTED_VALUE"""),"Toledo")</f>
        <v>Toledo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</row>
    <row r="3794">
      <c r="A3794" s="4">
        <f>IFERROR(__xludf.DUMMYFUNCTION("""COMPUTED_VALUE"""),40.0)</f>
        <v>40</v>
      </c>
      <c r="B3794" s="4">
        <f>IFERROR(__xludf.DUMMYFUNCTION("""COMPUTED_VALUE"""),40.0)</f>
        <v>40</v>
      </c>
      <c r="C3794" s="4" t="str">
        <f>IFERROR(__xludf.DUMMYFUNCTION("""COMPUTED_VALUE"""),"NYK")</f>
        <v>NYK</v>
      </c>
      <c r="D3794" s="4" t="str">
        <f>IFERROR(__xludf.DUMMYFUNCTION("""COMPUTED_VALUE"""),"Greg Cook")</f>
        <v>Greg Cook</v>
      </c>
      <c r="E3794" s="4" t="str">
        <f>IFERROR(__xludf.DUMMYFUNCTION("""COMPUTED_VALUE"""),"LSU")</f>
        <v>LSU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</row>
    <row r="3795">
      <c r="A3795" s="4">
        <f>IFERROR(__xludf.DUMMYFUNCTION("""COMPUTED_VALUE"""),41.0)</f>
        <v>41</v>
      </c>
      <c r="B3795" s="4">
        <f>IFERROR(__xludf.DUMMYFUNCTION("""COMPUTED_VALUE"""),41.0)</f>
        <v>41</v>
      </c>
      <c r="C3795" s="4" t="str">
        <f>IFERROR(__xludf.DUMMYFUNCTION("""COMPUTED_VALUE"""),"WSB")</f>
        <v>WSB</v>
      </c>
      <c r="D3795" s="4" t="str">
        <f>IFERROR(__xludf.DUMMYFUNCTION("""COMPUTED_VALUE"""),"Claude Gregory")</f>
        <v>Claude Gregory</v>
      </c>
      <c r="E3795" s="4" t="str">
        <f>IFERROR(__xludf.DUMMYFUNCTION("""COMPUTED_VALUE"""),"Wisconsin")</f>
        <v>Wisconsin</v>
      </c>
      <c r="F3795" s="4">
        <f>IFERROR(__xludf.DUMMYFUNCTION("""COMPUTED_VALUE"""),2.0)</f>
        <v>2</v>
      </c>
      <c r="G3795" s="4">
        <f>IFERROR(__xludf.DUMMYFUNCTION("""COMPUTED_VALUE"""),25.0)</f>
        <v>25</v>
      </c>
      <c r="H3795" s="4">
        <f>IFERROR(__xludf.DUMMYFUNCTION("""COMPUTED_VALUE"""),315.0)</f>
        <v>315</v>
      </c>
      <c r="I3795" s="4">
        <f>IFERROR(__xludf.DUMMYFUNCTION("""COMPUTED_VALUE"""),136.0)</f>
        <v>136</v>
      </c>
      <c r="J3795" s="4">
        <f>IFERROR(__xludf.DUMMYFUNCTION("""COMPUTED_VALUE"""),97.0)</f>
        <v>97</v>
      </c>
      <c r="K3795" s="4">
        <f>IFERROR(__xludf.DUMMYFUNCTION("""COMPUTED_VALUE"""),16.0)</f>
        <v>16</v>
      </c>
      <c r="L3795" s="4">
        <f>IFERROR(__xludf.DUMMYFUNCTION("""COMPUTED_VALUE"""),0.456)</f>
        <v>0.456</v>
      </c>
      <c r="M3795" s="4">
        <f>IFERROR(__xludf.DUMMYFUNCTION("""COMPUTED_VALUE"""),0.0)</f>
        <v>0</v>
      </c>
      <c r="N3795" s="4">
        <f>IFERROR(__xludf.DUMMYFUNCTION("""COMPUTED_VALUE"""),0.333)</f>
        <v>0.333</v>
      </c>
      <c r="O3795" s="4">
        <f>IFERROR(__xludf.DUMMYFUNCTION("""COMPUTED_VALUE"""),12.6)</f>
        <v>12.6</v>
      </c>
      <c r="P3795" s="4">
        <f>IFERROR(__xludf.DUMMYFUNCTION("""COMPUTED_VALUE"""),5.4)</f>
        <v>5.4</v>
      </c>
      <c r="Q3795" s="4">
        <f>IFERROR(__xludf.DUMMYFUNCTION("""COMPUTED_VALUE"""),3.9)</f>
        <v>3.9</v>
      </c>
      <c r="R3795" s="4">
        <f>IFERROR(__xludf.DUMMYFUNCTION("""COMPUTED_VALUE"""),0.6)</f>
        <v>0.6</v>
      </c>
      <c r="S3795" s="4">
        <f>IFERROR(__xludf.DUMMYFUNCTION("""COMPUTED_VALUE"""),0.0)</f>
        <v>0</v>
      </c>
      <c r="T3795" s="4">
        <f>IFERROR(__xludf.DUMMYFUNCTION("""COMPUTED_VALUE"""),0.007)</f>
        <v>0.007</v>
      </c>
      <c r="U3795" s="4">
        <f>IFERROR(__xludf.DUMMYFUNCTION("""COMPUTED_VALUE"""),-4.0)</f>
        <v>-4</v>
      </c>
      <c r="V3795" s="4">
        <f>IFERROR(__xludf.DUMMYFUNCTION("""COMPUTED_VALUE"""),-0.2)</f>
        <v>-0.2</v>
      </c>
    </row>
    <row r="3796">
      <c r="A3796" s="4">
        <f>IFERROR(__xludf.DUMMYFUNCTION("""COMPUTED_VALUE"""),42.0)</f>
        <v>42</v>
      </c>
      <c r="B3796" s="4">
        <f>IFERROR(__xludf.DUMMYFUNCTION("""COMPUTED_VALUE"""),42.0)</f>
        <v>42</v>
      </c>
      <c r="C3796" s="4" t="str">
        <f>IFERROR(__xludf.DUMMYFUNCTION("""COMPUTED_VALUE"""),"LAL")</f>
        <v>LAL</v>
      </c>
      <c r="D3796" s="4" t="str">
        <f>IFERROR(__xludf.DUMMYFUNCTION("""COMPUTED_VALUE"""),"Elvis Rolle")</f>
        <v>Elvis Rolle</v>
      </c>
      <c r="E3796" s="4" t="str">
        <f>IFERROR(__xludf.DUMMYFUNCTION("""COMPUTED_VALUE"""),"Florida State")</f>
        <v>Florida State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</row>
    <row r="3797">
      <c r="A3797" s="4">
        <f>IFERROR(__xludf.DUMMYFUNCTION("""COMPUTED_VALUE"""),43.0)</f>
        <v>43</v>
      </c>
      <c r="B3797" s="4">
        <f>IFERROR(__xludf.DUMMYFUNCTION("""COMPUTED_VALUE"""),43.0)</f>
        <v>43</v>
      </c>
      <c r="C3797" s="4" t="str">
        <f>IFERROR(__xludf.DUMMYFUNCTION("""COMPUTED_VALUE"""),"DAL")</f>
        <v>DAL</v>
      </c>
      <c r="D3797" s="4" t="str">
        <f>IFERROR(__xludf.DUMMYFUNCTION("""COMPUTED_VALUE"""),"Elston Turner")</f>
        <v>Elston Turner</v>
      </c>
      <c r="E3797" s="4" t="str">
        <f>IFERROR(__xludf.DUMMYFUNCTION("""COMPUTED_VALUE"""),"Ole Miss")</f>
        <v>Ole Miss</v>
      </c>
      <c r="F3797" s="4">
        <f>IFERROR(__xludf.DUMMYFUNCTION("""COMPUTED_VALUE"""),8.0)</f>
        <v>8</v>
      </c>
      <c r="G3797" s="4">
        <f>IFERROR(__xludf.DUMMYFUNCTION("""COMPUTED_VALUE"""),505.0)</f>
        <v>505</v>
      </c>
      <c r="H3797" s="4">
        <f>IFERROR(__xludf.DUMMYFUNCTION("""COMPUTED_VALUE"""),9006.0)</f>
        <v>9006</v>
      </c>
      <c r="I3797" s="4">
        <f>IFERROR(__xludf.DUMMYFUNCTION("""COMPUTED_VALUE"""),2397.0)</f>
        <v>2397</v>
      </c>
      <c r="J3797" s="4">
        <f>IFERROR(__xludf.DUMMYFUNCTION("""COMPUTED_VALUE"""),1375.0)</f>
        <v>1375</v>
      </c>
      <c r="K3797" s="4">
        <f>IFERROR(__xludf.DUMMYFUNCTION("""COMPUTED_VALUE"""),914.0)</f>
        <v>914</v>
      </c>
      <c r="L3797" s="4">
        <f>IFERROR(__xludf.DUMMYFUNCTION("""COMPUTED_VALUE"""),0.432)</f>
        <v>0.432</v>
      </c>
      <c r="M3797" s="4">
        <f>IFERROR(__xludf.DUMMYFUNCTION("""COMPUTED_VALUE"""),0.152)</f>
        <v>0.152</v>
      </c>
      <c r="N3797" s="4">
        <f>IFERROR(__xludf.DUMMYFUNCTION("""COMPUTED_VALUE"""),0.714)</f>
        <v>0.714</v>
      </c>
      <c r="O3797" s="4">
        <f>IFERROR(__xludf.DUMMYFUNCTION("""COMPUTED_VALUE"""),17.8)</f>
        <v>17.8</v>
      </c>
      <c r="P3797" s="4">
        <f>IFERROR(__xludf.DUMMYFUNCTION("""COMPUTED_VALUE"""),4.7)</f>
        <v>4.7</v>
      </c>
      <c r="Q3797" s="4">
        <f>IFERROR(__xludf.DUMMYFUNCTION("""COMPUTED_VALUE"""),2.7)</f>
        <v>2.7</v>
      </c>
      <c r="R3797" s="4">
        <f>IFERROR(__xludf.DUMMYFUNCTION("""COMPUTED_VALUE"""),1.8)</f>
        <v>1.8</v>
      </c>
      <c r="S3797" s="4">
        <f>IFERROR(__xludf.DUMMYFUNCTION("""COMPUTED_VALUE"""),8.5)</f>
        <v>8.5</v>
      </c>
      <c r="T3797" s="4">
        <f>IFERROR(__xludf.DUMMYFUNCTION("""COMPUTED_VALUE"""),0.045)</f>
        <v>0.045</v>
      </c>
      <c r="U3797" s="4">
        <f>IFERROR(__xludf.DUMMYFUNCTION("""COMPUTED_VALUE"""),-2.0)</f>
        <v>-2</v>
      </c>
      <c r="V3797" s="4">
        <f>IFERROR(__xludf.DUMMYFUNCTION("""COMPUTED_VALUE"""),0.0)</f>
        <v>0</v>
      </c>
    </row>
    <row r="3798">
      <c r="A3798" s="4">
        <f>IFERROR(__xludf.DUMMYFUNCTION("""COMPUTED_VALUE"""),44.0)</f>
        <v>44</v>
      </c>
      <c r="B3798" s="4">
        <f>IFERROR(__xludf.DUMMYFUNCTION("""COMPUTED_VALUE"""),44.0)</f>
        <v>44</v>
      </c>
      <c r="C3798" s="4" t="str">
        <f>IFERROR(__xludf.DUMMYFUNCTION("""COMPUTED_VALUE"""),"WSB")</f>
        <v>WSB</v>
      </c>
      <c r="D3798" s="4" t="str">
        <f>IFERROR(__xludf.DUMMYFUNCTION("""COMPUTED_VALUE"""),"Steve Lingenfelter")</f>
        <v>Steve Lingenfelter</v>
      </c>
      <c r="E3798" s="4" t="str">
        <f>IFERROR(__xludf.DUMMYFUNCTION("""COMPUTED_VALUE"""),"South Dakota State")</f>
        <v>South Dakota State</v>
      </c>
      <c r="F3798" s="4">
        <f>IFERROR(__xludf.DUMMYFUNCTION("""COMPUTED_VALUE"""),2.0)</f>
        <v>2</v>
      </c>
      <c r="G3798" s="4">
        <f>IFERROR(__xludf.DUMMYFUNCTION("""COMPUTED_VALUE"""),10.0)</f>
        <v>10</v>
      </c>
      <c r="H3798" s="4">
        <f>IFERROR(__xludf.DUMMYFUNCTION("""COMPUTED_VALUE"""),67.0)</f>
        <v>67</v>
      </c>
      <c r="I3798" s="4">
        <f>IFERROR(__xludf.DUMMYFUNCTION("""COMPUTED_VALUE"""),10.0)</f>
        <v>10</v>
      </c>
      <c r="J3798" s="4">
        <f>IFERROR(__xludf.DUMMYFUNCTION("""COMPUTED_VALUE"""),16.0)</f>
        <v>16</v>
      </c>
      <c r="K3798" s="4">
        <f>IFERROR(__xludf.DUMMYFUNCTION("""COMPUTED_VALUE"""),5.0)</f>
        <v>5</v>
      </c>
      <c r="L3798" s="4">
        <f>IFERROR(__xludf.DUMMYFUNCTION("""COMPUTED_VALUE"""),0.714)</f>
        <v>0.714</v>
      </c>
      <c r="M3798" s="4"/>
      <c r="N3798" s="4">
        <f>IFERROR(__xludf.DUMMYFUNCTION("""COMPUTED_VALUE"""),0.0)</f>
        <v>0</v>
      </c>
      <c r="O3798" s="4">
        <f>IFERROR(__xludf.DUMMYFUNCTION("""COMPUTED_VALUE"""),6.7)</f>
        <v>6.7</v>
      </c>
      <c r="P3798" s="4">
        <f>IFERROR(__xludf.DUMMYFUNCTION("""COMPUTED_VALUE"""),1.0)</f>
        <v>1</v>
      </c>
      <c r="Q3798" s="4">
        <f>IFERROR(__xludf.DUMMYFUNCTION("""COMPUTED_VALUE"""),1.6)</f>
        <v>1.6</v>
      </c>
      <c r="R3798" s="4">
        <f>IFERROR(__xludf.DUMMYFUNCTION("""COMPUTED_VALUE"""),0.5)</f>
        <v>0.5</v>
      </c>
      <c r="S3798" s="4">
        <f>IFERROR(__xludf.DUMMYFUNCTION("""COMPUTED_VALUE"""),0.0)</f>
        <v>0</v>
      </c>
      <c r="T3798" s="4">
        <f>IFERROR(__xludf.DUMMYFUNCTION("""COMPUTED_VALUE"""),0.009)</f>
        <v>0.009</v>
      </c>
      <c r="U3798" s="4">
        <f>IFERROR(__xludf.DUMMYFUNCTION("""COMPUTED_VALUE"""),-4.4)</f>
        <v>-4.4</v>
      </c>
      <c r="V3798" s="4">
        <f>IFERROR(__xludf.DUMMYFUNCTION("""COMPUTED_VALUE"""),-0.1)</f>
        <v>-0.1</v>
      </c>
    </row>
    <row r="3799">
      <c r="A3799" s="4">
        <f>IFERROR(__xludf.DUMMYFUNCTION("""COMPUTED_VALUE"""),45.0)</f>
        <v>45</v>
      </c>
      <c r="B3799" s="4">
        <f>IFERROR(__xludf.DUMMYFUNCTION("""COMPUTED_VALUE"""),45.0)</f>
        <v>45</v>
      </c>
      <c r="C3799" s="4" t="str">
        <f>IFERROR(__xludf.DUMMYFUNCTION("""COMPUTED_VALUE"""),"HOU")</f>
        <v>HOU</v>
      </c>
      <c r="D3799" s="4" t="str">
        <f>IFERROR(__xludf.DUMMYFUNCTION("""COMPUTED_VALUE"""),"Ed Turner")</f>
        <v>Ed Turner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</row>
    <row r="3800">
      <c r="A3800" s="4">
        <f>IFERROR(__xludf.DUMMYFUNCTION("""COMPUTED_VALUE"""),46.0)</f>
        <v>46</v>
      </c>
      <c r="B3800" s="4">
        <f>IFERROR(__xludf.DUMMYFUNCTION("""COMPUTED_VALUE"""),46.0)</f>
        <v>46</v>
      </c>
      <c r="C3800" s="4" t="str">
        <f>IFERROR(__xludf.DUMMYFUNCTION("""COMPUTED_VALUE"""),"PHI")</f>
        <v>PHI</v>
      </c>
      <c r="D3800" s="4" t="str">
        <f>IFERROR(__xludf.DUMMYFUNCTION("""COMPUTED_VALUE"""),"Vernon Smith")</f>
        <v>Vernon Smith</v>
      </c>
      <c r="E3800" s="4" t="str">
        <f>IFERROR(__xludf.DUMMYFUNCTION("""COMPUTED_VALUE"""),"Texas A&amp;M")</f>
        <v>Texas A&amp;M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</row>
    <row r="3801">
      <c r="A3801" s="4"/>
      <c r="B3801" s="4"/>
      <c r="C3801" s="4"/>
      <c r="D3801" s="4" t="str">
        <f>IFERROR(__xludf.DUMMYFUNCTION("""COMPUTED_VALUE"""),"Round 3")</f>
        <v>Round 3</v>
      </c>
      <c r="E3801" s="4"/>
      <c r="F3801" s="4"/>
      <c r="G3801" s="4" t="str">
        <f>IFERROR(__xludf.DUMMYFUNCTION("""COMPUTED_VALUE"""),"Totals")</f>
        <v>Totals</v>
      </c>
      <c r="H3801" s="4"/>
      <c r="I3801" s="4"/>
      <c r="J3801" s="4"/>
      <c r="K3801" s="4"/>
      <c r="L3801" s="4" t="str">
        <f>IFERROR(__xludf.DUMMYFUNCTION("""COMPUTED_VALUE"""),"Shooting")</f>
        <v>Shooting</v>
      </c>
      <c r="M3801" s="4"/>
      <c r="N3801" s="4"/>
      <c r="O3801" s="4" t="str">
        <f>IFERROR(__xludf.DUMMYFUNCTION("""COMPUTED_VALUE"""),"Per Game")</f>
        <v>Per Game</v>
      </c>
      <c r="P3801" s="4"/>
      <c r="Q3801" s="4"/>
      <c r="R3801" s="4"/>
      <c r="S3801" s="4" t="str">
        <f>IFERROR(__xludf.DUMMYFUNCTION("""COMPUTED_VALUE"""),"Advanced")</f>
        <v>Advanced</v>
      </c>
      <c r="T3801" s="4"/>
      <c r="U3801" s="4"/>
      <c r="V3801" s="4"/>
    </row>
    <row r="3802">
      <c r="A3802" s="4" t="str">
        <f>IFERROR(__xludf.DUMMYFUNCTION("""COMPUTED_VALUE"""),"Rk")</f>
        <v>Rk</v>
      </c>
      <c r="B3802" s="4" t="str">
        <f>IFERROR(__xludf.DUMMYFUNCTION("""COMPUTED_VALUE"""),"Pk")</f>
        <v>Pk</v>
      </c>
      <c r="C3802" s="4" t="str">
        <f>IFERROR(__xludf.DUMMYFUNCTION("""COMPUTED_VALUE"""),"Tm")</f>
        <v>Tm</v>
      </c>
      <c r="D3802" s="4" t="str">
        <f>IFERROR(__xludf.DUMMYFUNCTION("""COMPUTED_VALUE"""),"Player")</f>
        <v>Player</v>
      </c>
      <c r="E3802" s="4" t="str">
        <f>IFERROR(__xludf.DUMMYFUNCTION("""COMPUTED_VALUE"""),"College")</f>
        <v>College</v>
      </c>
      <c r="F3802" s="4" t="str">
        <f>IFERROR(__xludf.DUMMYFUNCTION("""COMPUTED_VALUE"""),"Yrs")</f>
        <v>Yrs</v>
      </c>
      <c r="G3802" s="4" t="str">
        <f>IFERROR(__xludf.DUMMYFUNCTION("""COMPUTED_VALUE"""),"G")</f>
        <v>G</v>
      </c>
      <c r="H3802" s="4" t="str">
        <f>IFERROR(__xludf.DUMMYFUNCTION("""COMPUTED_VALUE"""),"MP")</f>
        <v>MP</v>
      </c>
      <c r="I3802" s="4" t="str">
        <f>IFERROR(__xludf.DUMMYFUNCTION("""COMPUTED_VALUE"""),"PTS")</f>
        <v>PTS</v>
      </c>
      <c r="J3802" s="4" t="str">
        <f>IFERROR(__xludf.DUMMYFUNCTION("""COMPUTED_VALUE"""),"TRB")</f>
        <v>TRB</v>
      </c>
      <c r="K3802" s="4" t="str">
        <f>IFERROR(__xludf.DUMMYFUNCTION("""COMPUTED_VALUE"""),"AST")</f>
        <v>AST</v>
      </c>
      <c r="L3802" s="4" t="str">
        <f>IFERROR(__xludf.DUMMYFUNCTION("""COMPUTED_VALUE"""),"FG%")</f>
        <v>FG%</v>
      </c>
      <c r="M3802" s="4" t="str">
        <f>IFERROR(__xludf.DUMMYFUNCTION("""COMPUTED_VALUE"""),"3P%")</f>
        <v>3P%</v>
      </c>
      <c r="N3802" s="4" t="str">
        <f>IFERROR(__xludf.DUMMYFUNCTION("""COMPUTED_VALUE"""),"FT%")</f>
        <v>FT%</v>
      </c>
      <c r="O3802" s="4" t="str">
        <f>IFERROR(__xludf.DUMMYFUNCTION("""COMPUTED_VALUE"""),"MP")</f>
        <v>MP</v>
      </c>
      <c r="P3802" s="4" t="str">
        <f>IFERROR(__xludf.DUMMYFUNCTION("""COMPUTED_VALUE"""),"PTS")</f>
        <v>PTS</v>
      </c>
      <c r="Q3802" s="4" t="str">
        <f>IFERROR(__xludf.DUMMYFUNCTION("""COMPUTED_VALUE"""),"TRB")</f>
        <v>TRB</v>
      </c>
      <c r="R3802" s="4" t="str">
        <f>IFERROR(__xludf.DUMMYFUNCTION("""COMPUTED_VALUE"""),"AST")</f>
        <v>AST</v>
      </c>
      <c r="S3802" s="4" t="str">
        <f>IFERROR(__xludf.DUMMYFUNCTION("""COMPUTED_VALUE"""),"WS")</f>
        <v>WS</v>
      </c>
      <c r="T3802" s="4" t="str">
        <f>IFERROR(__xludf.DUMMYFUNCTION("""COMPUTED_VALUE"""),"WS/48")</f>
        <v>WS/48</v>
      </c>
      <c r="U3802" s="4" t="str">
        <f>IFERROR(__xludf.DUMMYFUNCTION("""COMPUTED_VALUE"""),"BPM")</f>
        <v>BPM</v>
      </c>
      <c r="V3802" s="4" t="str">
        <f>IFERROR(__xludf.DUMMYFUNCTION("""COMPUTED_VALUE"""),"VORP")</f>
        <v>VORP</v>
      </c>
    </row>
    <row r="3803">
      <c r="A3803" s="4">
        <f>IFERROR(__xludf.DUMMYFUNCTION("""COMPUTED_VALUE"""),47.0)</f>
        <v>47</v>
      </c>
      <c r="B3803" s="4">
        <f>IFERROR(__xludf.DUMMYFUNCTION("""COMPUTED_VALUE"""),47.0)</f>
        <v>47</v>
      </c>
      <c r="C3803" s="4" t="str">
        <f>IFERROR(__xludf.DUMMYFUNCTION("""COMPUTED_VALUE"""),"DAL")</f>
        <v>DAL</v>
      </c>
      <c r="D3803" s="4" t="str">
        <f>IFERROR(__xludf.DUMMYFUNCTION("""COMPUTED_VALUE"""),"Art Housey")</f>
        <v>Art Housey</v>
      </c>
      <c r="E3803" s="4" t="str">
        <f>IFERROR(__xludf.DUMMYFUNCTION("""COMPUTED_VALUE"""),"Kansas")</f>
        <v>Kansas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</row>
    <row r="3804">
      <c r="A3804" s="4">
        <f>IFERROR(__xludf.DUMMYFUNCTION("""COMPUTED_VALUE"""),48.0)</f>
        <v>48</v>
      </c>
      <c r="B3804" s="4">
        <f>IFERROR(__xludf.DUMMYFUNCTION("""COMPUTED_VALUE"""),48.0)</f>
        <v>48</v>
      </c>
      <c r="C3804" s="4" t="str">
        <f>IFERROR(__xludf.DUMMYFUNCTION("""COMPUTED_VALUE"""),"WSB")</f>
        <v>WSB</v>
      </c>
      <c r="D3804" s="4" t="str">
        <f>IFERROR(__xludf.DUMMYFUNCTION("""COMPUTED_VALUE"""),"Mike Ferrara")</f>
        <v>Mike Ferrara</v>
      </c>
      <c r="E3804" s="4" t="str">
        <f>IFERROR(__xludf.DUMMYFUNCTION("""COMPUTED_VALUE"""),"Colgate")</f>
        <v>Colgate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</row>
    <row r="3805">
      <c r="A3805" s="4">
        <f>IFERROR(__xludf.DUMMYFUNCTION("""COMPUTED_VALUE"""),49.0)</f>
        <v>49</v>
      </c>
      <c r="B3805" s="4">
        <f>IFERROR(__xludf.DUMMYFUNCTION("""COMPUTED_VALUE"""),49.0)</f>
        <v>49</v>
      </c>
      <c r="C3805" s="4" t="str">
        <f>IFERROR(__xludf.DUMMYFUNCTION("""COMPUTED_VALUE"""),"NJN")</f>
        <v>NJN</v>
      </c>
      <c r="D3805" s="4" t="str">
        <f>IFERROR(__xludf.DUMMYFUNCTION("""COMPUTED_VALUE"""),"David Burns")</f>
        <v>David Burns</v>
      </c>
      <c r="E3805" s="4" t="str">
        <f>IFERROR(__xludf.DUMMYFUNCTION("""COMPUTED_VALUE"""),"Saint Louis")</f>
        <v>Saint Louis</v>
      </c>
      <c r="F3805" s="4">
        <f>IFERROR(__xludf.DUMMYFUNCTION("""COMPUTED_VALUE"""),1.0)</f>
        <v>1</v>
      </c>
      <c r="G3805" s="4">
        <f>IFERROR(__xludf.DUMMYFUNCTION("""COMPUTED_VALUE"""),9.0)</f>
        <v>9</v>
      </c>
      <c r="H3805" s="4">
        <f>IFERROR(__xludf.DUMMYFUNCTION("""COMPUTED_VALUE"""),87.0)</f>
        <v>87</v>
      </c>
      <c r="I3805" s="4">
        <f>IFERROR(__xludf.DUMMYFUNCTION("""COMPUTED_VALUE"""),23.0)</f>
        <v>23</v>
      </c>
      <c r="J3805" s="4">
        <f>IFERROR(__xludf.DUMMYFUNCTION("""COMPUTED_VALUE"""),5.0)</f>
        <v>5</v>
      </c>
      <c r="K3805" s="4">
        <f>IFERROR(__xludf.DUMMYFUNCTION("""COMPUTED_VALUE"""),15.0)</f>
        <v>15</v>
      </c>
      <c r="L3805" s="4">
        <f>IFERROR(__xludf.DUMMYFUNCTION("""COMPUTED_VALUE"""),0.438)</f>
        <v>0.438</v>
      </c>
      <c r="M3805" s="4"/>
      <c r="N3805" s="4">
        <f>IFERROR(__xludf.DUMMYFUNCTION("""COMPUTED_VALUE"""),0.6)</f>
        <v>0.6</v>
      </c>
      <c r="O3805" s="4">
        <f>IFERROR(__xludf.DUMMYFUNCTION("""COMPUTED_VALUE"""),9.7)</f>
        <v>9.7</v>
      </c>
      <c r="P3805" s="4">
        <f>IFERROR(__xludf.DUMMYFUNCTION("""COMPUTED_VALUE"""),2.6)</f>
        <v>2.6</v>
      </c>
      <c r="Q3805" s="4">
        <f>IFERROR(__xludf.DUMMYFUNCTION("""COMPUTED_VALUE"""),0.6)</f>
        <v>0.6</v>
      </c>
      <c r="R3805" s="4">
        <f>IFERROR(__xludf.DUMMYFUNCTION("""COMPUTED_VALUE"""),1.7)</f>
        <v>1.7</v>
      </c>
      <c r="S3805" s="4">
        <f>IFERROR(__xludf.DUMMYFUNCTION("""COMPUTED_VALUE"""),-0.1)</f>
        <v>-0.1</v>
      </c>
      <c r="T3805" s="4">
        <f>IFERROR(__xludf.DUMMYFUNCTION("""COMPUTED_VALUE"""),-0.071)</f>
        <v>-0.071</v>
      </c>
      <c r="U3805" s="4">
        <f>IFERROR(__xludf.DUMMYFUNCTION("""COMPUTED_VALUE"""),-5.0)</f>
        <v>-5</v>
      </c>
      <c r="V3805" s="4">
        <f>IFERROR(__xludf.DUMMYFUNCTION("""COMPUTED_VALUE"""),-0.1)</f>
        <v>-0.1</v>
      </c>
    </row>
    <row r="3806">
      <c r="A3806" s="4">
        <f>IFERROR(__xludf.DUMMYFUNCTION("""COMPUTED_VALUE"""),50.0)</f>
        <v>50</v>
      </c>
      <c r="B3806" s="4">
        <f>IFERROR(__xludf.DUMMYFUNCTION("""COMPUTED_VALUE"""),50.0)</f>
        <v>50</v>
      </c>
      <c r="C3806" s="4" t="str">
        <f>IFERROR(__xludf.DUMMYFUNCTION("""COMPUTED_VALUE"""),"POR")</f>
        <v>POR</v>
      </c>
      <c r="D3806" s="4" t="str">
        <f>IFERROR(__xludf.DUMMYFUNCTION("""COMPUTED_VALUE"""),"Derek Holcomb")</f>
        <v>Derek Holcomb</v>
      </c>
      <c r="E3806" s="4" t="str">
        <f>IFERROR(__xludf.DUMMYFUNCTION("""COMPUTED_VALUE"""),"Illinois")</f>
        <v>Illinois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</row>
    <row r="3807">
      <c r="A3807" s="4">
        <f>IFERROR(__xludf.DUMMYFUNCTION("""COMPUTED_VALUE"""),51.0)</f>
        <v>51</v>
      </c>
      <c r="B3807" s="4">
        <f>IFERROR(__xludf.DUMMYFUNCTION("""COMPUTED_VALUE"""),51.0)</f>
        <v>51</v>
      </c>
      <c r="C3807" s="4" t="str">
        <f>IFERROR(__xludf.DUMMYFUNCTION("""COMPUTED_VALUE"""),"LAL")</f>
        <v>LAL</v>
      </c>
      <c r="D3807" s="4" t="str">
        <f>IFERROR(__xludf.DUMMYFUNCTION("""COMPUTED_VALUE"""),"Zam Fredrick")</f>
        <v>Zam Fredrick</v>
      </c>
      <c r="E3807" s="4" t="str">
        <f>IFERROR(__xludf.DUMMYFUNCTION("""COMPUTED_VALUE"""),"South Carolina")</f>
        <v>South Carolina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</row>
    <row r="3808">
      <c r="A3808" s="4">
        <f>IFERROR(__xludf.DUMMYFUNCTION("""COMPUTED_VALUE"""),52.0)</f>
        <v>52</v>
      </c>
      <c r="B3808" s="4">
        <f>IFERROR(__xludf.DUMMYFUNCTION("""COMPUTED_VALUE"""),52.0)</f>
        <v>52</v>
      </c>
      <c r="C3808" s="4" t="str">
        <f>IFERROR(__xludf.DUMMYFUNCTION("""COMPUTED_VALUE"""),"ATL")</f>
        <v>ATL</v>
      </c>
      <c r="D3808" s="4" t="str">
        <f>IFERROR(__xludf.DUMMYFUNCTION("""COMPUTED_VALUE"""),"Rudy Macklin")</f>
        <v>Rudy Macklin</v>
      </c>
      <c r="E3808" s="4" t="str">
        <f>IFERROR(__xludf.DUMMYFUNCTION("""COMPUTED_VALUE"""),"LSU")</f>
        <v>LSU</v>
      </c>
      <c r="F3808" s="4">
        <f>IFERROR(__xludf.DUMMYFUNCTION("""COMPUTED_VALUE"""),3.0)</f>
        <v>3</v>
      </c>
      <c r="G3808" s="4">
        <f>IFERROR(__xludf.DUMMYFUNCTION("""COMPUTED_VALUE"""),160.0)</f>
        <v>160</v>
      </c>
      <c r="H3808" s="4">
        <f>IFERROR(__xludf.DUMMYFUNCTION("""COMPUTED_VALUE"""),2752.0)</f>
        <v>2752</v>
      </c>
      <c r="I3808" s="4">
        <f>IFERROR(__xludf.DUMMYFUNCTION("""COMPUTED_VALUE"""),1030.0)</f>
        <v>1030</v>
      </c>
      <c r="J3808" s="4">
        <f>IFERROR(__xludf.DUMMYFUNCTION("""COMPUTED_VALUE"""),464.0)</f>
        <v>464</v>
      </c>
      <c r="K3808" s="4">
        <f>IFERROR(__xludf.DUMMYFUNCTION("""COMPUTED_VALUE"""),121.0)</f>
        <v>121</v>
      </c>
      <c r="L3808" s="4">
        <f>IFERROR(__xludf.DUMMYFUNCTION("""COMPUTED_VALUE"""),0.449)</f>
        <v>0.449</v>
      </c>
      <c r="M3808" s="4">
        <f>IFERROR(__xludf.DUMMYFUNCTION("""COMPUTED_VALUE"""),0.0)</f>
        <v>0</v>
      </c>
      <c r="N3808" s="4">
        <f>IFERROR(__xludf.DUMMYFUNCTION("""COMPUTED_VALUE"""),0.776)</f>
        <v>0.776</v>
      </c>
      <c r="O3808" s="4">
        <f>IFERROR(__xludf.DUMMYFUNCTION("""COMPUTED_VALUE"""),17.2)</f>
        <v>17.2</v>
      </c>
      <c r="P3808" s="4">
        <f>IFERROR(__xludf.DUMMYFUNCTION("""COMPUTED_VALUE"""),6.4)</f>
        <v>6.4</v>
      </c>
      <c r="Q3808" s="4">
        <f>IFERROR(__xludf.DUMMYFUNCTION("""COMPUTED_VALUE"""),2.9)</f>
        <v>2.9</v>
      </c>
      <c r="R3808" s="4">
        <f>IFERROR(__xludf.DUMMYFUNCTION("""COMPUTED_VALUE"""),0.8)</f>
        <v>0.8</v>
      </c>
      <c r="S3808" s="4">
        <f>IFERROR(__xludf.DUMMYFUNCTION("""COMPUTED_VALUE"""),3.2)</f>
        <v>3.2</v>
      </c>
      <c r="T3808" s="4">
        <f>IFERROR(__xludf.DUMMYFUNCTION("""COMPUTED_VALUE"""),0.056)</f>
        <v>0.056</v>
      </c>
      <c r="U3808" s="4">
        <f>IFERROR(__xludf.DUMMYFUNCTION("""COMPUTED_VALUE"""),-3.5)</f>
        <v>-3.5</v>
      </c>
      <c r="V3808" s="4">
        <f>IFERROR(__xludf.DUMMYFUNCTION("""COMPUTED_VALUE"""),-1.1)</f>
        <v>-1.1</v>
      </c>
    </row>
    <row r="3809">
      <c r="A3809" s="4">
        <f>IFERROR(__xludf.DUMMYFUNCTION("""COMPUTED_VALUE"""),53.0)</f>
        <v>53</v>
      </c>
      <c r="B3809" s="4">
        <f>IFERROR(__xludf.DUMMYFUNCTION("""COMPUTED_VALUE"""),53.0)</f>
        <v>53</v>
      </c>
      <c r="C3809" s="4" t="str">
        <f>IFERROR(__xludf.DUMMYFUNCTION("""COMPUTED_VALUE"""),"SEA")</f>
        <v>SEA</v>
      </c>
      <c r="D3809" s="4" t="str">
        <f>IFERROR(__xludf.DUMMYFUNCTION("""COMPUTED_VALUE"""),"Mark Radford")</f>
        <v>Mark Radford</v>
      </c>
      <c r="E3809" s="4" t="str">
        <f>IFERROR(__xludf.DUMMYFUNCTION("""COMPUTED_VALUE"""),"Oregon State")</f>
        <v>Oregon State</v>
      </c>
      <c r="F3809" s="4">
        <f>IFERROR(__xludf.DUMMYFUNCTION("""COMPUTED_VALUE"""),2.0)</f>
        <v>2</v>
      </c>
      <c r="G3809" s="4">
        <f>IFERROR(__xludf.DUMMYFUNCTION("""COMPUTED_VALUE"""),97.0)</f>
        <v>97</v>
      </c>
      <c r="H3809" s="4">
        <f>IFERROR(__xludf.DUMMYFUNCTION("""COMPUTED_VALUE"""),808.0)</f>
        <v>808</v>
      </c>
      <c r="I3809" s="4">
        <f>IFERROR(__xludf.DUMMYFUNCTION("""COMPUTED_VALUE"""),347.0)</f>
        <v>347</v>
      </c>
      <c r="J3809" s="4">
        <f>IFERROR(__xludf.DUMMYFUNCTION("""COMPUTED_VALUE"""),76.0)</f>
        <v>76</v>
      </c>
      <c r="K3809" s="4">
        <f>IFERROR(__xludf.DUMMYFUNCTION("""COMPUTED_VALUE"""),161.0)</f>
        <v>161</v>
      </c>
      <c r="L3809" s="4">
        <f>IFERROR(__xludf.DUMMYFUNCTION("""COMPUTED_VALUE"""),0.507)</f>
        <v>0.507</v>
      </c>
      <c r="M3809" s="4">
        <f>IFERROR(__xludf.DUMMYFUNCTION("""COMPUTED_VALUE"""),0.286)</f>
        <v>0.286</v>
      </c>
      <c r="N3809" s="4">
        <f>IFERROR(__xludf.DUMMYFUNCTION("""COMPUTED_VALUE"""),0.458)</f>
        <v>0.458</v>
      </c>
      <c r="O3809" s="4">
        <f>IFERROR(__xludf.DUMMYFUNCTION("""COMPUTED_VALUE"""),8.3)</f>
        <v>8.3</v>
      </c>
      <c r="P3809" s="4">
        <f>IFERROR(__xludf.DUMMYFUNCTION("""COMPUTED_VALUE"""),3.6)</f>
        <v>3.6</v>
      </c>
      <c r="Q3809" s="4">
        <f>IFERROR(__xludf.DUMMYFUNCTION("""COMPUTED_VALUE"""),0.8)</f>
        <v>0.8</v>
      </c>
      <c r="R3809" s="4">
        <f>IFERROR(__xludf.DUMMYFUNCTION("""COMPUTED_VALUE"""),1.7)</f>
        <v>1.7</v>
      </c>
      <c r="S3809" s="4">
        <f>IFERROR(__xludf.DUMMYFUNCTION("""COMPUTED_VALUE"""),0.4)</f>
        <v>0.4</v>
      </c>
      <c r="T3809" s="4">
        <f>IFERROR(__xludf.DUMMYFUNCTION("""COMPUTED_VALUE"""),0.023)</f>
        <v>0.023</v>
      </c>
      <c r="U3809" s="4">
        <f>IFERROR(__xludf.DUMMYFUNCTION("""COMPUTED_VALUE"""),-2.7)</f>
        <v>-2.7</v>
      </c>
      <c r="V3809" s="4">
        <f>IFERROR(__xludf.DUMMYFUNCTION("""COMPUTED_VALUE"""),-0.1)</f>
        <v>-0.1</v>
      </c>
    </row>
    <row r="3810">
      <c r="A3810" s="4">
        <f>IFERROR(__xludf.DUMMYFUNCTION("""COMPUTED_VALUE"""),54.0)</f>
        <v>54</v>
      </c>
      <c r="B3810" s="4">
        <f>IFERROR(__xludf.DUMMYFUNCTION("""COMPUTED_VALUE"""),54.0)</f>
        <v>54</v>
      </c>
      <c r="C3810" s="4" t="str">
        <f>IFERROR(__xludf.DUMMYFUNCTION("""COMPUTED_VALUE"""),"SDC")</f>
        <v>SDC</v>
      </c>
      <c r="D3810" s="4" t="str">
        <f>IFERROR(__xludf.DUMMYFUNCTION("""COMPUTED_VALUE"""),"Jim Smith")</f>
        <v>Jim Smith</v>
      </c>
      <c r="E3810" s="4" t="str">
        <f>IFERROR(__xludf.DUMMYFUNCTION("""COMPUTED_VALUE"""),"Ohio State")</f>
        <v>Ohio State</v>
      </c>
      <c r="F3810" s="4">
        <f>IFERROR(__xludf.DUMMYFUNCTION("""COMPUTED_VALUE"""),2.0)</f>
        <v>2</v>
      </c>
      <c r="G3810" s="4">
        <f>IFERROR(__xludf.DUMMYFUNCTION("""COMPUTED_VALUE"""),76.0)</f>
        <v>76</v>
      </c>
      <c r="H3810" s="4">
        <f>IFERROR(__xludf.DUMMYFUNCTION("""COMPUTED_VALUE"""),876.0)</f>
        <v>876</v>
      </c>
      <c r="I3810" s="4">
        <f>IFERROR(__xludf.DUMMYFUNCTION("""COMPUTED_VALUE"""),219.0)</f>
        <v>219</v>
      </c>
      <c r="J3810" s="4">
        <f>IFERROR(__xludf.DUMMYFUNCTION("""COMPUTED_VALUE"""),187.0)</f>
        <v>187</v>
      </c>
      <c r="K3810" s="4">
        <f>IFERROR(__xludf.DUMMYFUNCTION("""COMPUTED_VALUE"""),46.0)</f>
        <v>46</v>
      </c>
      <c r="L3810" s="4">
        <f>IFERROR(__xludf.DUMMYFUNCTION("""COMPUTED_VALUE"""),0.514)</f>
        <v>0.514</v>
      </c>
      <c r="M3810" s="4"/>
      <c r="N3810" s="4">
        <f>IFERROR(__xludf.DUMMYFUNCTION("""COMPUTED_VALUE"""),0.461)</f>
        <v>0.461</v>
      </c>
      <c r="O3810" s="4">
        <f>IFERROR(__xludf.DUMMYFUNCTION("""COMPUTED_VALUE"""),11.5)</f>
        <v>11.5</v>
      </c>
      <c r="P3810" s="4">
        <f>IFERROR(__xludf.DUMMYFUNCTION("""COMPUTED_VALUE"""),2.9)</f>
        <v>2.9</v>
      </c>
      <c r="Q3810" s="4">
        <f>IFERROR(__xludf.DUMMYFUNCTION("""COMPUTED_VALUE"""),2.5)</f>
        <v>2.5</v>
      </c>
      <c r="R3810" s="4">
        <f>IFERROR(__xludf.DUMMYFUNCTION("""COMPUTED_VALUE"""),0.6)</f>
        <v>0.6</v>
      </c>
      <c r="S3810" s="4">
        <f>IFERROR(__xludf.DUMMYFUNCTION("""COMPUTED_VALUE"""),0.7)</f>
        <v>0.7</v>
      </c>
      <c r="T3810" s="4">
        <f>IFERROR(__xludf.DUMMYFUNCTION("""COMPUTED_VALUE"""),0.037)</f>
        <v>0.037</v>
      </c>
      <c r="U3810" s="4">
        <f>IFERROR(__xludf.DUMMYFUNCTION("""COMPUTED_VALUE"""),-3.1)</f>
        <v>-3.1</v>
      </c>
      <c r="V3810" s="4">
        <f>IFERROR(__xludf.DUMMYFUNCTION("""COMPUTED_VALUE"""),-0.2)</f>
        <v>-0.2</v>
      </c>
    </row>
    <row r="3811">
      <c r="A3811" s="4">
        <f>IFERROR(__xludf.DUMMYFUNCTION("""COMPUTED_VALUE"""),55.0)</f>
        <v>55</v>
      </c>
      <c r="B3811" s="4">
        <f>IFERROR(__xludf.DUMMYFUNCTION("""COMPUTED_VALUE"""),55.0)</f>
        <v>55</v>
      </c>
      <c r="C3811" s="4" t="str">
        <f>IFERROR(__xludf.DUMMYFUNCTION("""COMPUTED_VALUE"""),"CLE")</f>
        <v>CLE</v>
      </c>
      <c r="D3811" s="4" t="str">
        <f>IFERROR(__xludf.DUMMYFUNCTION("""COMPUTED_VALUE"""),"Mickey Dillard")</f>
        <v>Mickey Dillard</v>
      </c>
      <c r="E3811" s="4" t="str">
        <f>IFERROR(__xludf.DUMMYFUNCTION("""COMPUTED_VALUE"""),"Florida State")</f>
        <v>Florida State</v>
      </c>
      <c r="F3811" s="4">
        <f>IFERROR(__xludf.DUMMYFUNCTION("""COMPUTED_VALUE"""),1.0)</f>
        <v>1</v>
      </c>
      <c r="G3811" s="4">
        <f>IFERROR(__xludf.DUMMYFUNCTION("""COMPUTED_VALUE"""),33.0)</f>
        <v>33</v>
      </c>
      <c r="H3811" s="4">
        <f>IFERROR(__xludf.DUMMYFUNCTION("""COMPUTED_VALUE"""),221.0)</f>
        <v>221</v>
      </c>
      <c r="I3811" s="4">
        <f>IFERROR(__xludf.DUMMYFUNCTION("""COMPUTED_VALUE"""),73.0)</f>
        <v>73</v>
      </c>
      <c r="J3811" s="4">
        <f>IFERROR(__xludf.DUMMYFUNCTION("""COMPUTED_VALUE"""),15.0)</f>
        <v>15</v>
      </c>
      <c r="K3811" s="4">
        <f>IFERROR(__xludf.DUMMYFUNCTION("""COMPUTED_VALUE"""),34.0)</f>
        <v>34</v>
      </c>
      <c r="L3811" s="4">
        <f>IFERROR(__xludf.DUMMYFUNCTION("""COMPUTED_VALUE"""),0.367)</f>
        <v>0.367</v>
      </c>
      <c r="M3811" s="4">
        <f>IFERROR(__xludf.DUMMYFUNCTION("""COMPUTED_VALUE"""),0.0)</f>
        <v>0</v>
      </c>
      <c r="N3811" s="4">
        <f>IFERROR(__xludf.DUMMYFUNCTION("""COMPUTED_VALUE"""),0.652)</f>
        <v>0.652</v>
      </c>
      <c r="O3811" s="4">
        <f>IFERROR(__xludf.DUMMYFUNCTION("""COMPUTED_VALUE"""),6.7)</f>
        <v>6.7</v>
      </c>
      <c r="P3811" s="4">
        <f>IFERROR(__xludf.DUMMYFUNCTION("""COMPUTED_VALUE"""),2.2)</f>
        <v>2.2</v>
      </c>
      <c r="Q3811" s="4">
        <f>IFERROR(__xludf.DUMMYFUNCTION("""COMPUTED_VALUE"""),0.5)</f>
        <v>0.5</v>
      </c>
      <c r="R3811" s="4">
        <f>IFERROR(__xludf.DUMMYFUNCTION("""COMPUTED_VALUE"""),1.0)</f>
        <v>1</v>
      </c>
      <c r="S3811" s="4">
        <f>IFERROR(__xludf.DUMMYFUNCTION("""COMPUTED_VALUE"""),-0.2)</f>
        <v>-0.2</v>
      </c>
      <c r="T3811" s="4">
        <f>IFERROR(__xludf.DUMMYFUNCTION("""COMPUTED_VALUE"""),-0.051)</f>
        <v>-0.051</v>
      </c>
      <c r="U3811" s="4">
        <f>IFERROR(__xludf.DUMMYFUNCTION("""COMPUTED_VALUE"""),-5.8)</f>
        <v>-5.8</v>
      </c>
      <c r="V3811" s="4">
        <f>IFERROR(__xludf.DUMMYFUNCTION("""COMPUTED_VALUE"""),-0.3)</f>
        <v>-0.3</v>
      </c>
    </row>
    <row r="3812">
      <c r="A3812" s="4">
        <f>IFERROR(__xludf.DUMMYFUNCTION("""COMPUTED_VALUE"""),56.0)</f>
        <v>56</v>
      </c>
      <c r="B3812" s="4">
        <f>IFERROR(__xludf.DUMMYFUNCTION("""COMPUTED_VALUE"""),56.0)</f>
        <v>56</v>
      </c>
      <c r="C3812" s="4" t="str">
        <f>IFERROR(__xludf.DUMMYFUNCTION("""COMPUTED_VALUE"""),"GSW")</f>
        <v>GSW</v>
      </c>
      <c r="D3812" s="4" t="str">
        <f>IFERROR(__xludf.DUMMYFUNCTION("""COMPUTED_VALUE"""),"Carlton Neverson")</f>
        <v>Carlton Neverson</v>
      </c>
      <c r="E3812" s="4" t="str">
        <f>IFERROR(__xludf.DUMMYFUNCTION("""COMPUTED_VALUE"""),"Pitt")</f>
        <v>Pitt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</row>
    <row r="3813">
      <c r="A3813" s="4">
        <f>IFERROR(__xludf.DUMMYFUNCTION("""COMPUTED_VALUE"""),57.0)</f>
        <v>57</v>
      </c>
      <c r="B3813" s="4">
        <f>IFERROR(__xludf.DUMMYFUNCTION("""COMPUTED_VALUE"""),57.0)</f>
        <v>57</v>
      </c>
      <c r="C3813" s="4" t="str">
        <f>IFERROR(__xludf.DUMMYFUNCTION("""COMPUTED_VALUE"""),"NYK")</f>
        <v>NYK</v>
      </c>
      <c r="D3813" s="4" t="str">
        <f>IFERROR(__xludf.DUMMYFUNCTION("""COMPUTED_VALUE"""),"Frank Brickowski")</f>
        <v>Frank Brickowski</v>
      </c>
      <c r="E3813" s="4" t="str">
        <f>IFERROR(__xludf.DUMMYFUNCTION("""COMPUTED_VALUE"""),"Penn State")</f>
        <v>Penn State</v>
      </c>
      <c r="F3813" s="4">
        <f>IFERROR(__xludf.DUMMYFUNCTION("""COMPUTED_VALUE"""),12.0)</f>
        <v>12</v>
      </c>
      <c r="G3813" s="4">
        <f>IFERROR(__xludf.DUMMYFUNCTION("""COMPUTED_VALUE"""),731.0)</f>
        <v>731</v>
      </c>
      <c r="H3813" s="4">
        <f>IFERROR(__xludf.DUMMYFUNCTION("""COMPUTED_VALUE"""),16278.0)</f>
        <v>16278</v>
      </c>
      <c r="I3813" s="4">
        <f>IFERROR(__xludf.DUMMYFUNCTION("""COMPUTED_VALUE"""),7302.0)</f>
        <v>7302</v>
      </c>
      <c r="J3813" s="4">
        <f>IFERROR(__xludf.DUMMYFUNCTION("""COMPUTED_VALUE"""),3410.0)</f>
        <v>3410</v>
      </c>
      <c r="K3813" s="4">
        <f>IFERROR(__xludf.DUMMYFUNCTION("""COMPUTED_VALUE"""),1384.0)</f>
        <v>1384</v>
      </c>
      <c r="L3813" s="4">
        <f>IFERROR(__xludf.DUMMYFUNCTION("""COMPUTED_VALUE"""),0.519)</f>
        <v>0.519</v>
      </c>
      <c r="M3813" s="4">
        <f>IFERROR(__xludf.DUMMYFUNCTION("""COMPUTED_VALUE"""),0.324)</f>
        <v>0.324</v>
      </c>
      <c r="N3813" s="4">
        <f>IFERROR(__xludf.DUMMYFUNCTION("""COMPUTED_VALUE"""),0.74)</f>
        <v>0.74</v>
      </c>
      <c r="O3813" s="4">
        <f>IFERROR(__xludf.DUMMYFUNCTION("""COMPUTED_VALUE"""),22.3)</f>
        <v>22.3</v>
      </c>
      <c r="P3813" s="4">
        <f>IFERROR(__xludf.DUMMYFUNCTION("""COMPUTED_VALUE"""),10.0)</f>
        <v>10</v>
      </c>
      <c r="Q3813" s="4">
        <f>IFERROR(__xludf.DUMMYFUNCTION("""COMPUTED_VALUE"""),4.7)</f>
        <v>4.7</v>
      </c>
      <c r="R3813" s="4">
        <f>IFERROR(__xludf.DUMMYFUNCTION("""COMPUTED_VALUE"""),1.9)</f>
        <v>1.9</v>
      </c>
      <c r="S3813" s="4">
        <f>IFERROR(__xludf.DUMMYFUNCTION("""COMPUTED_VALUE"""),29.8)</f>
        <v>29.8</v>
      </c>
      <c r="T3813" s="4">
        <f>IFERROR(__xludf.DUMMYFUNCTION("""COMPUTED_VALUE"""),0.088)</f>
        <v>0.088</v>
      </c>
      <c r="U3813" s="4">
        <f>IFERROR(__xludf.DUMMYFUNCTION("""COMPUTED_VALUE"""),-1.1)</f>
        <v>-1.1</v>
      </c>
      <c r="V3813" s="4">
        <f>IFERROR(__xludf.DUMMYFUNCTION("""COMPUTED_VALUE"""),3.7)</f>
        <v>3.7</v>
      </c>
    </row>
    <row r="3814">
      <c r="A3814" s="4">
        <f>IFERROR(__xludf.DUMMYFUNCTION("""COMPUTED_VALUE"""),58.0)</f>
        <v>58</v>
      </c>
      <c r="B3814" s="4">
        <f>IFERROR(__xludf.DUMMYFUNCTION("""COMPUTED_VALUE"""),58.0)</f>
        <v>58</v>
      </c>
      <c r="C3814" s="4" t="str">
        <f>IFERROR(__xludf.DUMMYFUNCTION("""COMPUTED_VALUE"""),"KCK")</f>
        <v>KCK</v>
      </c>
      <c r="D3814" s="4" t="str">
        <f>IFERROR(__xludf.DUMMYFUNCTION("""COMPUTED_VALUE"""),"Curtis Berry")</f>
        <v>Curtis Berry</v>
      </c>
      <c r="E3814" s="4" t="str">
        <f>IFERROR(__xludf.DUMMYFUNCTION("""COMPUTED_VALUE"""),"Missouri")</f>
        <v>Missouri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</row>
    <row r="3815">
      <c r="A3815" s="4">
        <f>IFERROR(__xludf.DUMMYFUNCTION("""COMPUTED_VALUE"""),59.0)</f>
        <v>59</v>
      </c>
      <c r="B3815" s="4">
        <f>IFERROR(__xludf.DUMMYFUNCTION("""COMPUTED_VALUE"""),59.0)</f>
        <v>59</v>
      </c>
      <c r="C3815" s="4" t="str">
        <f>IFERROR(__xludf.DUMMYFUNCTION("""COMPUTED_VALUE"""),"CLE")</f>
        <v>CLE</v>
      </c>
      <c r="D3815" s="4" t="str">
        <f>IFERROR(__xludf.DUMMYFUNCTION("""COMPUTED_VALUE"""),"Russell Bowers")</f>
        <v>Russell Bowers</v>
      </c>
      <c r="E3815" s="4" t="str">
        <f>IFERROR(__xludf.DUMMYFUNCTION("""COMPUTED_VALUE"""),"American University")</f>
        <v>American University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</row>
    <row r="3816">
      <c r="A3816" s="4">
        <f>IFERROR(__xludf.DUMMYFUNCTION("""COMPUTED_VALUE"""),60.0)</f>
        <v>60</v>
      </c>
      <c r="B3816" s="4">
        <f>IFERROR(__xludf.DUMMYFUNCTION("""COMPUTED_VALUE"""),60.0)</f>
        <v>60</v>
      </c>
      <c r="C3816" s="4" t="str">
        <f>IFERROR(__xludf.DUMMYFUNCTION("""COMPUTED_VALUE"""),"IND")</f>
        <v>IND</v>
      </c>
      <c r="D3816" s="4" t="str">
        <f>IFERROR(__xludf.DUMMYFUNCTION("""COMPUTED_VALUE"""),"Purvis Miller")</f>
        <v>Purvis Miller</v>
      </c>
      <c r="E3816" s="4" t="str">
        <f>IFERROR(__xludf.DUMMYFUNCTION("""COMPUTED_VALUE"""),"USC")</f>
        <v>USC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</row>
    <row r="3817">
      <c r="A3817" s="4">
        <f>IFERROR(__xludf.DUMMYFUNCTION("""COMPUTED_VALUE"""),61.0)</f>
        <v>61</v>
      </c>
      <c r="B3817" s="4">
        <f>IFERROR(__xludf.DUMMYFUNCTION("""COMPUTED_VALUE"""),61.0)</f>
        <v>61</v>
      </c>
      <c r="C3817" s="4" t="str">
        <f>IFERROR(__xludf.DUMMYFUNCTION("""COMPUTED_VALUE"""),"POR")</f>
        <v>POR</v>
      </c>
      <c r="D3817" s="4" t="str">
        <f>IFERROR(__xludf.DUMMYFUNCTION("""COMPUTED_VALUE"""),"Pétur Guðmundsson")</f>
        <v>Pétur Guðmundsson</v>
      </c>
      <c r="E3817" s="4" t="str">
        <f>IFERROR(__xludf.DUMMYFUNCTION("""COMPUTED_VALUE"""),"Washington")</f>
        <v>Washington</v>
      </c>
      <c r="F3817" s="4">
        <f>IFERROR(__xludf.DUMMYFUNCTION("""COMPUTED_VALUE"""),4.0)</f>
        <v>4</v>
      </c>
      <c r="G3817" s="4">
        <f>IFERROR(__xludf.DUMMYFUNCTION("""COMPUTED_VALUE"""),150.0)</f>
        <v>150</v>
      </c>
      <c r="H3817" s="4">
        <f>IFERROR(__xludf.DUMMYFUNCTION("""COMPUTED_VALUE"""),2060.0)</f>
        <v>2060</v>
      </c>
      <c r="I3817" s="4">
        <f>IFERROR(__xludf.DUMMYFUNCTION("""COMPUTED_VALUE"""),693.0)</f>
        <v>693</v>
      </c>
      <c r="J3817" s="4">
        <f>IFERROR(__xludf.DUMMYFUNCTION("""COMPUTED_VALUE"""),563.0)</f>
        <v>563</v>
      </c>
      <c r="K3817" s="4">
        <f>IFERROR(__xludf.DUMMYFUNCTION("""COMPUTED_VALUE"""),153.0)</f>
        <v>153</v>
      </c>
      <c r="L3817" s="4">
        <f>IFERROR(__xludf.DUMMYFUNCTION("""COMPUTED_VALUE"""),0.494)</f>
        <v>0.494</v>
      </c>
      <c r="M3817" s="4">
        <f>IFERROR(__xludf.DUMMYFUNCTION("""COMPUTED_VALUE"""),0.5)</f>
        <v>0.5</v>
      </c>
      <c r="N3817" s="4">
        <f>IFERROR(__xludf.DUMMYFUNCTION("""COMPUTED_VALUE"""),0.754)</f>
        <v>0.754</v>
      </c>
      <c r="O3817" s="4">
        <f>IFERROR(__xludf.DUMMYFUNCTION("""COMPUTED_VALUE"""),13.7)</f>
        <v>13.7</v>
      </c>
      <c r="P3817" s="4">
        <f>IFERROR(__xludf.DUMMYFUNCTION("""COMPUTED_VALUE"""),4.6)</f>
        <v>4.6</v>
      </c>
      <c r="Q3817" s="4">
        <f>IFERROR(__xludf.DUMMYFUNCTION("""COMPUTED_VALUE"""),3.8)</f>
        <v>3.8</v>
      </c>
      <c r="R3817" s="4">
        <f>IFERROR(__xludf.DUMMYFUNCTION("""COMPUTED_VALUE"""),1.0)</f>
        <v>1</v>
      </c>
      <c r="S3817" s="4">
        <f>IFERROR(__xludf.DUMMYFUNCTION("""COMPUTED_VALUE"""),2.1)</f>
        <v>2.1</v>
      </c>
      <c r="T3817" s="4">
        <f>IFERROR(__xludf.DUMMYFUNCTION("""COMPUTED_VALUE"""),0.05)</f>
        <v>0.05</v>
      </c>
      <c r="U3817" s="4">
        <f>IFERROR(__xludf.DUMMYFUNCTION("""COMPUTED_VALUE"""),-3.5)</f>
        <v>-3.5</v>
      </c>
      <c r="V3817" s="4">
        <f>IFERROR(__xludf.DUMMYFUNCTION("""COMPUTED_VALUE"""),-0.8)</f>
        <v>-0.8</v>
      </c>
    </row>
    <row r="3818">
      <c r="A3818" s="4">
        <f>IFERROR(__xludf.DUMMYFUNCTION("""COMPUTED_VALUE"""),62.0)</f>
        <v>62</v>
      </c>
      <c r="B3818" s="4">
        <f>IFERROR(__xludf.DUMMYFUNCTION("""COMPUTED_VALUE"""),62.0)</f>
        <v>62</v>
      </c>
      <c r="C3818" s="4" t="str">
        <f>IFERROR(__xludf.DUMMYFUNCTION("""COMPUTED_VALUE"""),"PHO")</f>
        <v>PHO</v>
      </c>
      <c r="D3818" s="4" t="str">
        <f>IFERROR(__xludf.DUMMYFUNCTION("""COMPUTED_VALUE"""),"Sam Clancy")</f>
        <v>Sam Clancy</v>
      </c>
      <c r="E3818" s="4" t="str">
        <f>IFERROR(__xludf.DUMMYFUNCTION("""COMPUTED_VALUE"""),"Pitt")</f>
        <v>Pitt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</row>
    <row r="3819">
      <c r="A3819" s="4">
        <f>IFERROR(__xludf.DUMMYFUNCTION("""COMPUTED_VALUE"""),63.0)</f>
        <v>63</v>
      </c>
      <c r="B3819" s="4">
        <f>IFERROR(__xludf.DUMMYFUNCTION("""COMPUTED_VALUE"""),63.0)</f>
        <v>63</v>
      </c>
      <c r="C3819" s="4" t="str">
        <f>IFERROR(__xludf.DUMMYFUNCTION("""COMPUTED_VALUE"""),"NYK")</f>
        <v>NYK</v>
      </c>
      <c r="D3819" s="4" t="str">
        <f>IFERROR(__xludf.DUMMYFUNCTION("""COMPUTED_VALUE"""),"Wayne McKoy")</f>
        <v>Wayne McKoy</v>
      </c>
      <c r="E3819" s="4" t="str">
        <f>IFERROR(__xludf.DUMMYFUNCTION("""COMPUTED_VALUE"""),"St. John's")</f>
        <v>St. John's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</row>
    <row r="3820">
      <c r="A3820" s="4">
        <f>IFERROR(__xludf.DUMMYFUNCTION("""COMPUTED_VALUE"""),64.0)</f>
        <v>64</v>
      </c>
      <c r="B3820" s="4">
        <f>IFERROR(__xludf.DUMMYFUNCTION("""COMPUTED_VALUE"""),64.0)</f>
        <v>64</v>
      </c>
      <c r="C3820" s="4" t="str">
        <f>IFERROR(__xludf.DUMMYFUNCTION("""COMPUTED_VALUE"""),"SAS")</f>
        <v>SAS</v>
      </c>
      <c r="D3820" s="4" t="str">
        <f>IFERROR(__xludf.DUMMYFUNCTION("""COMPUTED_VALUE"""),"Tom Baker")</f>
        <v>Tom Baker</v>
      </c>
      <c r="E3820" s="4" t="str">
        <f>IFERROR(__xludf.DUMMYFUNCTION("""COMPUTED_VALUE"""),"Eastern Kentucky University")</f>
        <v>Eastern Kentucky University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</row>
    <row r="3821">
      <c r="A3821" s="4">
        <f>IFERROR(__xludf.DUMMYFUNCTION("""COMPUTED_VALUE"""),65.0)</f>
        <v>65</v>
      </c>
      <c r="B3821" s="4">
        <f>IFERROR(__xludf.DUMMYFUNCTION("""COMPUTED_VALUE"""),65.0)</f>
        <v>65</v>
      </c>
      <c r="C3821" s="4" t="str">
        <f>IFERROR(__xludf.DUMMYFUNCTION("""COMPUTED_VALUE"""),"LAL")</f>
        <v>LAL</v>
      </c>
      <c r="D3821" s="4" t="str">
        <f>IFERROR(__xludf.DUMMYFUNCTION("""COMPUTED_VALUE"""),"Ron Cornelius")</f>
        <v>Ron Cornelius</v>
      </c>
      <c r="E3821" s="4" t="str">
        <f>IFERROR(__xludf.DUMMYFUNCTION("""COMPUTED_VALUE"""),"University of the Pacific")</f>
        <v>University of the Pacific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</row>
    <row r="3822">
      <c r="A3822" s="4">
        <f>IFERROR(__xludf.DUMMYFUNCTION("""COMPUTED_VALUE"""),66.0)</f>
        <v>66</v>
      </c>
      <c r="B3822" s="4">
        <f>IFERROR(__xludf.DUMMYFUNCTION("""COMPUTED_VALUE"""),66.0)</f>
        <v>66</v>
      </c>
      <c r="C3822" s="4" t="str">
        <f>IFERROR(__xludf.DUMMYFUNCTION("""COMPUTED_VALUE"""),"PHO")</f>
        <v>PHO</v>
      </c>
      <c r="D3822" s="4" t="str">
        <f>IFERROR(__xludf.DUMMYFUNCTION("""COMPUTED_VALUE"""),"Craig Dykema")</f>
        <v>Craig Dykema</v>
      </c>
      <c r="E3822" s="4" t="str">
        <f>IFERROR(__xludf.DUMMYFUNCTION("""COMPUTED_VALUE"""),"Cal State Long Beach")</f>
        <v>Cal State Long Beach</v>
      </c>
      <c r="F3822" s="4">
        <f>IFERROR(__xludf.DUMMYFUNCTION("""COMPUTED_VALUE"""),1.0)</f>
        <v>1</v>
      </c>
      <c r="G3822" s="4">
        <f>IFERROR(__xludf.DUMMYFUNCTION("""COMPUTED_VALUE"""),32.0)</f>
        <v>32</v>
      </c>
      <c r="H3822" s="4">
        <f>IFERROR(__xludf.DUMMYFUNCTION("""COMPUTED_VALUE"""),103.0)</f>
        <v>103</v>
      </c>
      <c r="I3822" s="4">
        <f>IFERROR(__xludf.DUMMYFUNCTION("""COMPUTED_VALUE"""),43.0)</f>
        <v>43</v>
      </c>
      <c r="J3822" s="4">
        <f>IFERROR(__xludf.DUMMYFUNCTION("""COMPUTED_VALUE"""),12.0)</f>
        <v>12</v>
      </c>
      <c r="K3822" s="4">
        <f>IFERROR(__xludf.DUMMYFUNCTION("""COMPUTED_VALUE"""),15.0)</f>
        <v>15</v>
      </c>
      <c r="L3822" s="4">
        <f>IFERROR(__xludf.DUMMYFUNCTION("""COMPUTED_VALUE"""),0.459)</f>
        <v>0.459</v>
      </c>
      <c r="M3822" s="4">
        <f>IFERROR(__xludf.DUMMYFUNCTION("""COMPUTED_VALUE"""),0.5)</f>
        <v>0.5</v>
      </c>
      <c r="N3822" s="4">
        <f>IFERROR(__xludf.DUMMYFUNCTION("""COMPUTED_VALUE"""),0.778)</f>
        <v>0.778</v>
      </c>
      <c r="O3822" s="4">
        <f>IFERROR(__xludf.DUMMYFUNCTION("""COMPUTED_VALUE"""),3.2)</f>
        <v>3.2</v>
      </c>
      <c r="P3822" s="4">
        <f>IFERROR(__xludf.DUMMYFUNCTION("""COMPUTED_VALUE"""),1.3)</f>
        <v>1.3</v>
      </c>
      <c r="Q3822" s="4">
        <f>IFERROR(__xludf.DUMMYFUNCTION("""COMPUTED_VALUE"""),0.4)</f>
        <v>0.4</v>
      </c>
      <c r="R3822" s="4">
        <f>IFERROR(__xludf.DUMMYFUNCTION("""COMPUTED_VALUE"""),0.5)</f>
        <v>0.5</v>
      </c>
      <c r="S3822" s="4">
        <f>IFERROR(__xludf.DUMMYFUNCTION("""COMPUTED_VALUE"""),0.2)</f>
        <v>0.2</v>
      </c>
      <c r="T3822" s="4">
        <f>IFERROR(__xludf.DUMMYFUNCTION("""COMPUTED_VALUE"""),0.095)</f>
        <v>0.095</v>
      </c>
      <c r="U3822" s="4">
        <f>IFERROR(__xludf.DUMMYFUNCTION("""COMPUTED_VALUE"""),-3.4)</f>
        <v>-3.4</v>
      </c>
      <c r="V3822" s="4">
        <f>IFERROR(__xludf.DUMMYFUNCTION("""COMPUTED_VALUE"""),0.0)</f>
        <v>0</v>
      </c>
    </row>
    <row r="3823">
      <c r="A3823" s="4">
        <f>IFERROR(__xludf.DUMMYFUNCTION("""COMPUTED_VALUE"""),67.0)</f>
        <v>67</v>
      </c>
      <c r="B3823" s="4">
        <f>IFERROR(__xludf.DUMMYFUNCTION("""COMPUTED_VALUE"""),67.0)</f>
        <v>67</v>
      </c>
      <c r="C3823" s="4" t="str">
        <f>IFERROR(__xludf.DUMMYFUNCTION("""COMPUTED_VALUE"""),"MIL")</f>
        <v>MIL</v>
      </c>
      <c r="D3823" s="4" t="str">
        <f>IFERROR(__xludf.DUMMYFUNCTION("""COMPUTED_VALUE"""),"Mark Smith")</f>
        <v>Mark Smith</v>
      </c>
      <c r="E3823" s="4" t="str">
        <f>IFERROR(__xludf.DUMMYFUNCTION("""COMPUTED_VALUE"""),"Illinois")</f>
        <v>Illinois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</row>
    <row r="3824">
      <c r="A3824" s="4">
        <f>IFERROR(__xludf.DUMMYFUNCTION("""COMPUTED_VALUE"""),68.0)</f>
        <v>68</v>
      </c>
      <c r="B3824" s="4">
        <f>IFERROR(__xludf.DUMMYFUNCTION("""COMPUTED_VALUE"""),68.0)</f>
        <v>68</v>
      </c>
      <c r="C3824" s="4" t="str">
        <f>IFERROR(__xludf.DUMMYFUNCTION("""COMPUTED_VALUE"""),"PHI")</f>
        <v>PHI</v>
      </c>
      <c r="D3824" s="4" t="str">
        <f>IFERROR(__xludf.DUMMYFUNCTION("""COMPUTED_VALUE"""),"Ernest Graham")</f>
        <v>Ernest Graham</v>
      </c>
      <c r="E3824" s="4" t="str">
        <f>IFERROR(__xludf.DUMMYFUNCTION("""COMPUTED_VALUE"""),"Maryland")</f>
        <v>Maryland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</row>
    <row r="3825">
      <c r="A3825" s="4">
        <f>IFERROR(__xludf.DUMMYFUNCTION("""COMPUTED_VALUE"""),69.0)</f>
        <v>69</v>
      </c>
      <c r="B3825" s="4">
        <f>IFERROR(__xludf.DUMMYFUNCTION("""COMPUTED_VALUE"""),69.0)</f>
        <v>69</v>
      </c>
      <c r="C3825" s="4" t="str">
        <f>IFERROR(__xludf.DUMMYFUNCTION("""COMPUTED_VALUE"""),"BOS")</f>
        <v>BOS</v>
      </c>
      <c r="D3825" s="4" t="str">
        <f>IFERROR(__xludf.DUMMYFUNCTION("""COMPUTED_VALUE"""),"John Johnson")</f>
        <v>John Johnson</v>
      </c>
      <c r="E3825" s="4" t="str">
        <f>IFERROR(__xludf.DUMMYFUNCTION("""COMPUTED_VALUE"""),"Michigan")</f>
        <v>Michigan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</row>
    <row r="3826">
      <c r="A3826" s="4"/>
      <c r="B3826" s="4"/>
      <c r="C3826" s="4"/>
      <c r="D3826" s="4" t="str">
        <f>IFERROR(__xludf.DUMMYFUNCTION("""COMPUTED_VALUE"""),"Round 4")</f>
        <v>Round 4</v>
      </c>
      <c r="E3826" s="4"/>
      <c r="F3826" s="4"/>
      <c r="G3826" s="4" t="str">
        <f>IFERROR(__xludf.DUMMYFUNCTION("""COMPUTED_VALUE"""),"Totals")</f>
        <v>Totals</v>
      </c>
      <c r="H3826" s="4"/>
      <c r="I3826" s="4"/>
      <c r="J3826" s="4"/>
      <c r="K3826" s="4"/>
      <c r="L3826" s="4" t="str">
        <f>IFERROR(__xludf.DUMMYFUNCTION("""COMPUTED_VALUE"""),"Shooting")</f>
        <v>Shooting</v>
      </c>
      <c r="M3826" s="4"/>
      <c r="N3826" s="4"/>
      <c r="O3826" s="4" t="str">
        <f>IFERROR(__xludf.DUMMYFUNCTION("""COMPUTED_VALUE"""),"Per Game")</f>
        <v>Per Game</v>
      </c>
      <c r="P3826" s="4"/>
      <c r="Q3826" s="4"/>
      <c r="R3826" s="4"/>
      <c r="S3826" s="4" t="str">
        <f>IFERROR(__xludf.DUMMYFUNCTION("""COMPUTED_VALUE"""),"Advanced")</f>
        <v>Advanced</v>
      </c>
      <c r="T3826" s="4"/>
      <c r="U3826" s="4"/>
      <c r="V3826" s="4"/>
    </row>
    <row r="3827">
      <c r="A3827" s="4" t="str">
        <f>IFERROR(__xludf.DUMMYFUNCTION("""COMPUTED_VALUE"""),"Rk")</f>
        <v>Rk</v>
      </c>
      <c r="B3827" s="4" t="str">
        <f>IFERROR(__xludf.DUMMYFUNCTION("""COMPUTED_VALUE"""),"Pk")</f>
        <v>Pk</v>
      </c>
      <c r="C3827" s="4" t="str">
        <f>IFERROR(__xludf.DUMMYFUNCTION("""COMPUTED_VALUE"""),"Tm")</f>
        <v>Tm</v>
      </c>
      <c r="D3827" s="4" t="str">
        <f>IFERROR(__xludf.DUMMYFUNCTION("""COMPUTED_VALUE"""),"Player")</f>
        <v>Player</v>
      </c>
      <c r="E3827" s="4" t="str">
        <f>IFERROR(__xludf.DUMMYFUNCTION("""COMPUTED_VALUE"""),"College")</f>
        <v>College</v>
      </c>
      <c r="F3827" s="4" t="str">
        <f>IFERROR(__xludf.DUMMYFUNCTION("""COMPUTED_VALUE"""),"Yrs")</f>
        <v>Yrs</v>
      </c>
      <c r="G3827" s="4" t="str">
        <f>IFERROR(__xludf.DUMMYFUNCTION("""COMPUTED_VALUE"""),"G")</f>
        <v>G</v>
      </c>
      <c r="H3827" s="4" t="str">
        <f>IFERROR(__xludf.DUMMYFUNCTION("""COMPUTED_VALUE"""),"MP")</f>
        <v>MP</v>
      </c>
      <c r="I3827" s="4" t="str">
        <f>IFERROR(__xludf.DUMMYFUNCTION("""COMPUTED_VALUE"""),"PTS")</f>
        <v>PTS</v>
      </c>
      <c r="J3827" s="4" t="str">
        <f>IFERROR(__xludf.DUMMYFUNCTION("""COMPUTED_VALUE"""),"TRB")</f>
        <v>TRB</v>
      </c>
      <c r="K3827" s="4" t="str">
        <f>IFERROR(__xludf.DUMMYFUNCTION("""COMPUTED_VALUE"""),"AST")</f>
        <v>AST</v>
      </c>
      <c r="L3827" s="4" t="str">
        <f>IFERROR(__xludf.DUMMYFUNCTION("""COMPUTED_VALUE"""),"FG%")</f>
        <v>FG%</v>
      </c>
      <c r="M3827" s="4" t="str">
        <f>IFERROR(__xludf.DUMMYFUNCTION("""COMPUTED_VALUE"""),"3P%")</f>
        <v>3P%</v>
      </c>
      <c r="N3827" s="4" t="str">
        <f>IFERROR(__xludf.DUMMYFUNCTION("""COMPUTED_VALUE"""),"FT%")</f>
        <v>FT%</v>
      </c>
      <c r="O3827" s="4" t="str">
        <f>IFERROR(__xludf.DUMMYFUNCTION("""COMPUTED_VALUE"""),"MP")</f>
        <v>MP</v>
      </c>
      <c r="P3827" s="4" t="str">
        <f>IFERROR(__xludf.DUMMYFUNCTION("""COMPUTED_VALUE"""),"PTS")</f>
        <v>PTS</v>
      </c>
      <c r="Q3827" s="4" t="str">
        <f>IFERROR(__xludf.DUMMYFUNCTION("""COMPUTED_VALUE"""),"TRB")</f>
        <v>TRB</v>
      </c>
      <c r="R3827" s="4" t="str">
        <f>IFERROR(__xludf.DUMMYFUNCTION("""COMPUTED_VALUE"""),"AST")</f>
        <v>AST</v>
      </c>
      <c r="S3827" s="4" t="str">
        <f>IFERROR(__xludf.DUMMYFUNCTION("""COMPUTED_VALUE"""),"WS")</f>
        <v>WS</v>
      </c>
      <c r="T3827" s="4" t="str">
        <f>IFERROR(__xludf.DUMMYFUNCTION("""COMPUTED_VALUE"""),"WS/48")</f>
        <v>WS/48</v>
      </c>
      <c r="U3827" s="4" t="str">
        <f>IFERROR(__xludf.DUMMYFUNCTION("""COMPUTED_VALUE"""),"BPM")</f>
        <v>BPM</v>
      </c>
      <c r="V3827" s="4" t="str">
        <f>IFERROR(__xludf.DUMMYFUNCTION("""COMPUTED_VALUE"""),"VORP")</f>
        <v>VORP</v>
      </c>
    </row>
    <row r="3828">
      <c r="A3828" s="4">
        <f>IFERROR(__xludf.DUMMYFUNCTION("""COMPUTED_VALUE"""),70.0)</f>
        <v>70</v>
      </c>
      <c r="B3828" s="4">
        <f>IFERROR(__xludf.DUMMYFUNCTION("""COMPUTED_VALUE"""),70.0)</f>
        <v>70</v>
      </c>
      <c r="C3828" s="4" t="str">
        <f>IFERROR(__xludf.DUMMYFUNCTION("""COMPUTED_VALUE"""),"DAL")</f>
        <v>DAL</v>
      </c>
      <c r="D3828" s="4" t="str">
        <f>IFERROR(__xludf.DUMMYFUNCTION("""COMPUTED_VALUE"""),"Eddie Moss")</f>
        <v>Eddie Moss</v>
      </c>
      <c r="E3828" s="4" t="str">
        <f>IFERROR(__xludf.DUMMYFUNCTION("""COMPUTED_VALUE"""),"Syracuse")</f>
        <v>Syracuse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</row>
    <row r="3829">
      <c r="A3829" s="4">
        <f>IFERROR(__xludf.DUMMYFUNCTION("""COMPUTED_VALUE"""),71.0)</f>
        <v>71</v>
      </c>
      <c r="B3829" s="4">
        <f>IFERROR(__xludf.DUMMYFUNCTION("""COMPUTED_VALUE"""),71.0)</f>
        <v>71</v>
      </c>
      <c r="C3829" s="4" t="str">
        <f>IFERROR(__xludf.DUMMYFUNCTION("""COMPUTED_VALUE"""),"DET")</f>
        <v>DET</v>
      </c>
      <c r="D3829" s="4" t="str">
        <f>IFERROR(__xludf.DUMMYFUNCTION("""COMPUTED_VALUE"""),"John May")</f>
        <v>John May</v>
      </c>
      <c r="E3829" s="4" t="str">
        <f>IFERROR(__xludf.DUMMYFUNCTION("""COMPUTED_VALUE"""),"University of South Alabama")</f>
        <v>University of South Alabama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</row>
    <row r="3830">
      <c r="A3830" s="4">
        <f>IFERROR(__xludf.DUMMYFUNCTION("""COMPUTED_VALUE"""),72.0)</f>
        <v>72</v>
      </c>
      <c r="B3830" s="4">
        <f>IFERROR(__xludf.DUMMYFUNCTION("""COMPUTED_VALUE"""),72.0)</f>
        <v>72</v>
      </c>
      <c r="C3830" s="4" t="str">
        <f>IFERROR(__xludf.DUMMYFUNCTION("""COMPUTED_VALUE"""),"NJN")</f>
        <v>NJN</v>
      </c>
      <c r="D3830" s="4" t="str">
        <f>IFERROR(__xludf.DUMMYFUNCTION("""COMPUTED_VALUE"""),"Ed Sherod")</f>
        <v>Ed Sherod</v>
      </c>
      <c r="E3830" s="4" t="str">
        <f>IFERROR(__xludf.DUMMYFUNCTION("""COMPUTED_VALUE"""),"VCU")</f>
        <v>VCU</v>
      </c>
      <c r="F3830" s="4">
        <f>IFERROR(__xludf.DUMMYFUNCTION("""COMPUTED_VALUE"""),1.0)</f>
        <v>1</v>
      </c>
      <c r="G3830" s="4">
        <f>IFERROR(__xludf.DUMMYFUNCTION("""COMPUTED_VALUE"""),64.0)</f>
        <v>64</v>
      </c>
      <c r="H3830" s="4">
        <f>IFERROR(__xludf.DUMMYFUNCTION("""COMPUTED_VALUE"""),1624.0)</f>
        <v>1624</v>
      </c>
      <c r="I3830" s="4">
        <f>IFERROR(__xludf.DUMMYFUNCTION("""COMPUTED_VALUE"""),395.0)</f>
        <v>395</v>
      </c>
      <c r="J3830" s="4">
        <f>IFERROR(__xludf.DUMMYFUNCTION("""COMPUTED_VALUE"""),149.0)</f>
        <v>149</v>
      </c>
      <c r="K3830" s="4">
        <f>IFERROR(__xludf.DUMMYFUNCTION("""COMPUTED_VALUE"""),311.0)</f>
        <v>311</v>
      </c>
      <c r="L3830" s="4">
        <f>IFERROR(__xludf.DUMMYFUNCTION("""COMPUTED_VALUE"""),0.406)</f>
        <v>0.406</v>
      </c>
      <c r="M3830" s="4">
        <f>IFERROR(__xludf.DUMMYFUNCTION("""COMPUTED_VALUE"""),0.077)</f>
        <v>0.077</v>
      </c>
      <c r="N3830" s="4">
        <f>IFERROR(__xludf.DUMMYFUNCTION("""COMPUTED_VALUE"""),0.65)</f>
        <v>0.65</v>
      </c>
      <c r="O3830" s="4">
        <f>IFERROR(__xludf.DUMMYFUNCTION("""COMPUTED_VALUE"""),25.4)</f>
        <v>25.4</v>
      </c>
      <c r="P3830" s="4">
        <f>IFERROR(__xludf.DUMMYFUNCTION("""COMPUTED_VALUE"""),6.2)</f>
        <v>6.2</v>
      </c>
      <c r="Q3830" s="4">
        <f>IFERROR(__xludf.DUMMYFUNCTION("""COMPUTED_VALUE"""),2.3)</f>
        <v>2.3</v>
      </c>
      <c r="R3830" s="4">
        <f>IFERROR(__xludf.DUMMYFUNCTION("""COMPUTED_VALUE"""),4.9)</f>
        <v>4.9</v>
      </c>
      <c r="S3830" s="4">
        <f>IFERROR(__xludf.DUMMYFUNCTION("""COMPUTED_VALUE"""),2.5)</f>
        <v>2.5</v>
      </c>
      <c r="T3830" s="4">
        <f>IFERROR(__xludf.DUMMYFUNCTION("""COMPUTED_VALUE"""),0.073)</f>
        <v>0.073</v>
      </c>
      <c r="U3830" s="4">
        <f>IFERROR(__xludf.DUMMYFUNCTION("""COMPUTED_VALUE"""),0.8)</f>
        <v>0.8</v>
      </c>
      <c r="V3830" s="4">
        <f>IFERROR(__xludf.DUMMYFUNCTION("""COMPUTED_VALUE"""),1.1)</f>
        <v>1.1</v>
      </c>
    </row>
    <row r="3831">
      <c r="A3831" s="4">
        <f>IFERROR(__xludf.DUMMYFUNCTION("""COMPUTED_VALUE"""),73.0)</f>
        <v>73</v>
      </c>
      <c r="B3831" s="4">
        <f>IFERROR(__xludf.DUMMYFUNCTION("""COMPUTED_VALUE"""),73.0)</f>
        <v>73</v>
      </c>
      <c r="C3831" s="4" t="str">
        <f>IFERROR(__xludf.DUMMYFUNCTION("""COMPUTED_VALUE"""),"UTA")</f>
        <v>UTA</v>
      </c>
      <c r="D3831" s="4" t="str">
        <f>IFERROR(__xludf.DUMMYFUNCTION("""COMPUTED_VALUE"""),"Georgie Torres")</f>
        <v>Georgie Torres</v>
      </c>
      <c r="E3831" s="4" t="str">
        <f>IFERROR(__xludf.DUMMYFUNCTION("""COMPUTED_VALUE"""),"Southern Nazarene University")</f>
        <v>Southern Nazarene University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</row>
    <row r="3832">
      <c r="A3832" s="4">
        <f>IFERROR(__xludf.DUMMYFUNCTION("""COMPUTED_VALUE"""),74.0)</f>
        <v>74</v>
      </c>
      <c r="B3832" s="4">
        <f>IFERROR(__xludf.DUMMYFUNCTION("""COMPUTED_VALUE"""),74.0)</f>
        <v>74</v>
      </c>
      <c r="C3832" s="4" t="str">
        <f>IFERROR(__xludf.DUMMYFUNCTION("""COMPUTED_VALUE"""),"CLE")</f>
        <v>CLE</v>
      </c>
      <c r="D3832" s="4" t="str">
        <f>IFERROR(__xludf.DUMMYFUNCTION("""COMPUTED_VALUE"""),"Ethan Martin")</f>
        <v>Ethan Martin</v>
      </c>
      <c r="E3832" s="4" t="str">
        <f>IFERROR(__xludf.DUMMYFUNCTION("""COMPUTED_VALUE"""),"LSU")</f>
        <v>LSU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</row>
    <row r="3833">
      <c r="A3833" s="4">
        <f>IFERROR(__xludf.DUMMYFUNCTION("""COMPUTED_VALUE"""),75.0)</f>
        <v>75</v>
      </c>
      <c r="B3833" s="4">
        <f>IFERROR(__xludf.DUMMYFUNCTION("""COMPUTED_VALUE"""),75.0)</f>
        <v>75</v>
      </c>
      <c r="C3833" s="4" t="str">
        <f>IFERROR(__xludf.DUMMYFUNCTION("""COMPUTED_VALUE"""),"ATL")</f>
        <v>ATL</v>
      </c>
      <c r="D3833" s="4" t="str">
        <f>IFERROR(__xludf.DUMMYFUNCTION("""COMPUTED_VALUE"""),"Kevin Figaro")</f>
        <v>Kevin Figaro</v>
      </c>
      <c r="E3833" s="4" t="str">
        <f>IFERROR(__xludf.DUMMYFUNCTION("""COMPUTED_VALUE"""),"Louisiana")</f>
        <v>Louisiana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</row>
    <row r="3834">
      <c r="A3834" s="4">
        <f>IFERROR(__xludf.DUMMYFUNCTION("""COMPUTED_VALUE"""),76.0)</f>
        <v>76</v>
      </c>
      <c r="B3834" s="4">
        <f>IFERROR(__xludf.DUMMYFUNCTION("""COMPUTED_VALUE"""),76.0)</f>
        <v>76</v>
      </c>
      <c r="C3834" s="4" t="str">
        <f>IFERROR(__xludf.DUMMYFUNCTION("""COMPUTED_VALUE"""),"GSW")</f>
        <v>GSW</v>
      </c>
      <c r="D3834" s="4" t="str">
        <f>IFERROR(__xludf.DUMMYFUNCTION("""COMPUTED_VALUE"""),"Lewis Lloyd")</f>
        <v>Lewis Lloyd</v>
      </c>
      <c r="E3834" s="4" t="str">
        <f>IFERROR(__xludf.DUMMYFUNCTION("""COMPUTED_VALUE"""),"Drake University")</f>
        <v>Drake University</v>
      </c>
      <c r="F3834" s="4">
        <f>IFERROR(__xludf.DUMMYFUNCTION("""COMPUTED_VALUE"""),7.0)</f>
        <v>7</v>
      </c>
      <c r="G3834" s="4">
        <f>IFERROR(__xludf.DUMMYFUNCTION("""COMPUTED_VALUE"""),388.0)</f>
        <v>388</v>
      </c>
      <c r="H3834" s="4">
        <f>IFERROR(__xludf.DUMMYFUNCTION("""COMPUTED_VALUE"""),9406.0)</f>
        <v>9406</v>
      </c>
      <c r="I3834" s="4">
        <f>IFERROR(__xludf.DUMMYFUNCTION("""COMPUTED_VALUE"""),5130.0)</f>
        <v>5130</v>
      </c>
      <c r="J3834" s="4">
        <f>IFERROR(__xludf.DUMMYFUNCTION("""COMPUTED_VALUE"""),1192.0)</f>
        <v>1192</v>
      </c>
      <c r="K3834" s="4">
        <f>IFERROR(__xludf.DUMMYFUNCTION("""COMPUTED_VALUE"""),1138.0)</f>
        <v>1138</v>
      </c>
      <c r="L3834" s="4">
        <f>IFERROR(__xludf.DUMMYFUNCTION("""COMPUTED_VALUE"""),0.524)</f>
        <v>0.524</v>
      </c>
      <c r="M3834" s="4">
        <f>IFERROR(__xludf.DUMMYFUNCTION("""COMPUTED_VALUE"""),0.213)</f>
        <v>0.213</v>
      </c>
      <c r="N3834" s="4">
        <f>IFERROR(__xludf.DUMMYFUNCTION("""COMPUTED_VALUE"""),0.771)</f>
        <v>0.771</v>
      </c>
      <c r="O3834" s="4">
        <f>IFERROR(__xludf.DUMMYFUNCTION("""COMPUTED_VALUE"""),24.2)</f>
        <v>24.2</v>
      </c>
      <c r="P3834" s="4">
        <f>IFERROR(__xludf.DUMMYFUNCTION("""COMPUTED_VALUE"""),13.2)</f>
        <v>13.2</v>
      </c>
      <c r="Q3834" s="4">
        <f>IFERROR(__xludf.DUMMYFUNCTION("""COMPUTED_VALUE"""),3.1)</f>
        <v>3.1</v>
      </c>
      <c r="R3834" s="4">
        <f>IFERROR(__xludf.DUMMYFUNCTION("""COMPUTED_VALUE"""),2.9)</f>
        <v>2.9</v>
      </c>
      <c r="S3834" s="4">
        <f>IFERROR(__xludf.DUMMYFUNCTION("""COMPUTED_VALUE"""),19.8)</f>
        <v>19.8</v>
      </c>
      <c r="T3834" s="4">
        <f>IFERROR(__xludf.DUMMYFUNCTION("""COMPUTED_VALUE"""),0.101)</f>
        <v>0.101</v>
      </c>
      <c r="U3834" s="4">
        <f>IFERROR(__xludf.DUMMYFUNCTION("""COMPUTED_VALUE"""),0.8)</f>
        <v>0.8</v>
      </c>
      <c r="V3834" s="4">
        <f>IFERROR(__xludf.DUMMYFUNCTION("""COMPUTED_VALUE"""),6.6)</f>
        <v>6.6</v>
      </c>
    </row>
    <row r="3835">
      <c r="A3835" s="4">
        <f>IFERROR(__xludf.DUMMYFUNCTION("""COMPUTED_VALUE"""),77.0)</f>
        <v>77</v>
      </c>
      <c r="B3835" s="4">
        <f>IFERROR(__xludf.DUMMYFUNCTION("""COMPUTED_VALUE"""),77.0)</f>
        <v>77</v>
      </c>
      <c r="C3835" s="4" t="str">
        <f>IFERROR(__xludf.DUMMYFUNCTION("""COMPUTED_VALUE"""),"SDC")</f>
        <v>SDC</v>
      </c>
      <c r="D3835" s="4" t="str">
        <f>IFERROR(__xludf.DUMMYFUNCTION("""COMPUTED_VALUE"""),"Lee Raker")</f>
        <v>Lee Raker</v>
      </c>
      <c r="E3835" s="4" t="str">
        <f>IFERROR(__xludf.DUMMYFUNCTION("""COMPUTED_VALUE"""),"Virginia")</f>
        <v>Virginia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</row>
    <row r="3836">
      <c r="A3836" s="4">
        <f>IFERROR(__xludf.DUMMYFUNCTION("""COMPUTED_VALUE"""),78.0)</f>
        <v>78</v>
      </c>
      <c r="B3836" s="4">
        <f>IFERROR(__xludf.DUMMYFUNCTION("""COMPUTED_VALUE"""),78.0)</f>
        <v>78</v>
      </c>
      <c r="C3836" s="4" t="str">
        <f>IFERROR(__xludf.DUMMYFUNCTION("""COMPUTED_VALUE"""),"KCK")</f>
        <v>KCK</v>
      </c>
      <c r="D3836" s="4" t="str">
        <f>IFERROR(__xludf.DUMMYFUNCTION("""COMPUTED_VALUE"""),"Kenny Dennard")</f>
        <v>Kenny Dennard</v>
      </c>
      <c r="E3836" s="4" t="str">
        <f>IFERROR(__xludf.DUMMYFUNCTION("""COMPUTED_VALUE"""),"Duke")</f>
        <v>Duke</v>
      </c>
      <c r="F3836" s="4">
        <f>IFERROR(__xludf.DUMMYFUNCTION("""COMPUTED_VALUE"""),3.0)</f>
        <v>3</v>
      </c>
      <c r="G3836" s="4">
        <f>IFERROR(__xludf.DUMMYFUNCTION("""COMPUTED_VALUE"""),95.0)</f>
        <v>95</v>
      </c>
      <c r="H3836" s="4">
        <f>IFERROR(__xludf.DUMMYFUNCTION("""COMPUTED_VALUE"""),1244.0)</f>
        <v>1244</v>
      </c>
      <c r="I3836" s="4">
        <f>IFERROR(__xludf.DUMMYFUNCTION("""COMPUTED_VALUE"""),268.0)</f>
        <v>268</v>
      </c>
      <c r="J3836" s="4">
        <f>IFERROR(__xludf.DUMMYFUNCTION("""COMPUTED_VALUE"""),286.0)</f>
        <v>286</v>
      </c>
      <c r="K3836" s="4">
        <f>IFERROR(__xludf.DUMMYFUNCTION("""COMPUTED_VALUE"""),93.0)</f>
        <v>93</v>
      </c>
      <c r="L3836" s="4">
        <f>IFERROR(__xludf.DUMMYFUNCTION("""COMPUTED_VALUE"""),0.429)</f>
        <v>0.429</v>
      </c>
      <c r="M3836" s="4">
        <f>IFERROR(__xludf.DUMMYFUNCTION("""COMPUTED_VALUE"""),0.3)</f>
        <v>0.3</v>
      </c>
      <c r="N3836" s="4">
        <f>IFERROR(__xludf.DUMMYFUNCTION("""COMPUTED_VALUE"""),0.644)</f>
        <v>0.644</v>
      </c>
      <c r="O3836" s="4">
        <f>IFERROR(__xludf.DUMMYFUNCTION("""COMPUTED_VALUE"""),13.1)</f>
        <v>13.1</v>
      </c>
      <c r="P3836" s="4">
        <f>IFERROR(__xludf.DUMMYFUNCTION("""COMPUTED_VALUE"""),2.8)</f>
        <v>2.8</v>
      </c>
      <c r="Q3836" s="4">
        <f>IFERROR(__xludf.DUMMYFUNCTION("""COMPUTED_VALUE"""),3.0)</f>
        <v>3</v>
      </c>
      <c r="R3836" s="4">
        <f>IFERROR(__xludf.DUMMYFUNCTION("""COMPUTED_VALUE"""),1.0)</f>
        <v>1</v>
      </c>
      <c r="S3836" s="4">
        <f>IFERROR(__xludf.DUMMYFUNCTION("""COMPUTED_VALUE"""),1.4)</f>
        <v>1.4</v>
      </c>
      <c r="T3836" s="4">
        <f>IFERROR(__xludf.DUMMYFUNCTION("""COMPUTED_VALUE"""),0.056)</f>
        <v>0.056</v>
      </c>
      <c r="U3836" s="4">
        <f>IFERROR(__xludf.DUMMYFUNCTION("""COMPUTED_VALUE"""),-1.5)</f>
        <v>-1.5</v>
      </c>
      <c r="V3836" s="4">
        <f>IFERROR(__xludf.DUMMYFUNCTION("""COMPUTED_VALUE"""),0.2)</f>
        <v>0.2</v>
      </c>
    </row>
    <row r="3837">
      <c r="A3837" s="4">
        <f>IFERROR(__xludf.DUMMYFUNCTION("""COMPUTED_VALUE"""),79.0)</f>
        <v>79</v>
      </c>
      <c r="B3837" s="4">
        <f>IFERROR(__xludf.DUMMYFUNCTION("""COMPUTED_VALUE"""),79.0)</f>
        <v>79</v>
      </c>
      <c r="C3837" s="4" t="str">
        <f>IFERROR(__xludf.DUMMYFUNCTION("""COMPUTED_VALUE"""),"WSB")</f>
        <v>WSB</v>
      </c>
      <c r="D3837" s="4" t="str">
        <f>IFERROR(__xludf.DUMMYFUNCTION("""COMPUTED_VALUE"""),"Ron Davis")</f>
        <v>Ron Davis</v>
      </c>
      <c r="E3837" s="4" t="str">
        <f>IFERROR(__xludf.DUMMYFUNCTION("""COMPUTED_VALUE"""),"Arizona")</f>
        <v>Arizona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</row>
    <row r="3838">
      <c r="A3838" s="4">
        <f>IFERROR(__xludf.DUMMYFUNCTION("""COMPUTED_VALUE"""),80.0)</f>
        <v>80</v>
      </c>
      <c r="B3838" s="4">
        <f>IFERROR(__xludf.DUMMYFUNCTION("""COMPUTED_VALUE"""),80.0)</f>
        <v>80</v>
      </c>
      <c r="C3838" s="4" t="str">
        <f>IFERROR(__xludf.DUMMYFUNCTION("""COMPUTED_VALUE"""),"GSW")</f>
        <v>GSW</v>
      </c>
      <c r="D3838" s="4" t="str">
        <f>IFERROR(__xludf.DUMMYFUNCTION("""COMPUTED_VALUE"""),"Terry Adolph")</f>
        <v>Terry Adolph</v>
      </c>
      <c r="E3838" s="4" t="str">
        <f>IFERROR(__xludf.DUMMYFUNCTION("""COMPUTED_VALUE"""),"West Texas A&amp;M University")</f>
        <v>West Texas A&amp;M University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</row>
    <row r="3839">
      <c r="A3839" s="4">
        <f>IFERROR(__xludf.DUMMYFUNCTION("""COMPUTED_VALUE"""),81.0)</f>
        <v>81</v>
      </c>
      <c r="B3839" s="4">
        <f>IFERROR(__xludf.DUMMYFUNCTION("""COMPUTED_VALUE"""),81.0)</f>
        <v>81</v>
      </c>
      <c r="C3839" s="4" t="str">
        <f>IFERROR(__xludf.DUMMYFUNCTION("""COMPUTED_VALUE"""),"HOU")</f>
        <v>HOU</v>
      </c>
      <c r="D3839" s="4" t="str">
        <f>IFERROR(__xludf.DUMMYFUNCTION("""COMPUTED_VALUE"""),"Larry Spriggs")</f>
        <v>Larry Spriggs</v>
      </c>
      <c r="E3839" s="4" t="str">
        <f>IFERROR(__xludf.DUMMYFUNCTION("""COMPUTED_VALUE"""),"Howard University")</f>
        <v>Howard University</v>
      </c>
      <c r="F3839" s="4">
        <f>IFERROR(__xludf.DUMMYFUNCTION("""COMPUTED_VALUE"""),5.0)</f>
        <v>5</v>
      </c>
      <c r="G3839" s="4">
        <f>IFERROR(__xludf.DUMMYFUNCTION("""COMPUTED_VALUE"""),169.0)</f>
        <v>169</v>
      </c>
      <c r="H3839" s="4">
        <f>IFERROR(__xludf.DUMMYFUNCTION("""COMPUTED_VALUE"""),2202.0)</f>
        <v>2202</v>
      </c>
      <c r="I3839" s="4">
        <f>IFERROR(__xludf.DUMMYFUNCTION("""COMPUTED_VALUE"""),873.0)</f>
        <v>873</v>
      </c>
      <c r="J3839" s="4">
        <f>IFERROR(__xludf.DUMMYFUNCTION("""COMPUTED_VALUE"""),384.0)</f>
        <v>384</v>
      </c>
      <c r="K3839" s="4">
        <f>IFERROR(__xludf.DUMMYFUNCTION("""COMPUTED_VALUE"""),218.0)</f>
        <v>218</v>
      </c>
      <c r="L3839" s="4">
        <f>IFERROR(__xludf.DUMMYFUNCTION("""COMPUTED_VALUE"""),0.517)</f>
        <v>0.517</v>
      </c>
      <c r="M3839" s="4">
        <f>IFERROR(__xludf.DUMMYFUNCTION("""COMPUTED_VALUE"""),0.0)</f>
        <v>0</v>
      </c>
      <c r="N3839" s="4">
        <f>IFERROR(__xludf.DUMMYFUNCTION("""COMPUTED_VALUE"""),0.752)</f>
        <v>0.752</v>
      </c>
      <c r="O3839" s="4">
        <f>IFERROR(__xludf.DUMMYFUNCTION("""COMPUTED_VALUE"""),13.0)</f>
        <v>13</v>
      </c>
      <c r="P3839" s="4">
        <f>IFERROR(__xludf.DUMMYFUNCTION("""COMPUTED_VALUE"""),5.2)</f>
        <v>5.2</v>
      </c>
      <c r="Q3839" s="4">
        <f>IFERROR(__xludf.DUMMYFUNCTION("""COMPUTED_VALUE"""),2.3)</f>
        <v>2.3</v>
      </c>
      <c r="R3839" s="4">
        <f>IFERROR(__xludf.DUMMYFUNCTION("""COMPUTED_VALUE"""),1.3)</f>
        <v>1.3</v>
      </c>
      <c r="S3839" s="4">
        <f>IFERROR(__xludf.DUMMYFUNCTION("""COMPUTED_VALUE"""),3.4)</f>
        <v>3.4</v>
      </c>
      <c r="T3839" s="4">
        <f>IFERROR(__xludf.DUMMYFUNCTION("""COMPUTED_VALUE"""),0.074)</f>
        <v>0.074</v>
      </c>
      <c r="U3839" s="4">
        <f>IFERROR(__xludf.DUMMYFUNCTION("""COMPUTED_VALUE"""),-2.5)</f>
        <v>-2.5</v>
      </c>
      <c r="V3839" s="4">
        <f>IFERROR(__xludf.DUMMYFUNCTION("""COMPUTED_VALUE"""),-0.2)</f>
        <v>-0.2</v>
      </c>
    </row>
    <row r="3840">
      <c r="A3840" s="4">
        <f>IFERROR(__xludf.DUMMYFUNCTION("""COMPUTED_VALUE"""),82.0)</f>
        <v>82</v>
      </c>
      <c r="B3840" s="4">
        <f>IFERROR(__xludf.DUMMYFUNCTION("""COMPUTED_VALUE"""),82.0)</f>
        <v>82</v>
      </c>
      <c r="C3840" s="4" t="str">
        <f>IFERROR(__xludf.DUMMYFUNCTION("""COMPUTED_VALUE"""),"KCK")</f>
        <v>KCK</v>
      </c>
      <c r="D3840" s="4" t="str">
        <f>IFERROR(__xludf.DUMMYFUNCTION("""COMPUTED_VALUE"""),"B.B. Davis")</f>
        <v>B.B. Davis</v>
      </c>
      <c r="E3840" s="4" t="str">
        <f>IFERROR(__xludf.DUMMYFUNCTION("""COMPUTED_VALUE"""),"Lamar")</f>
        <v>Lamar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</row>
    <row r="3841">
      <c r="A3841" s="4">
        <f>IFERROR(__xludf.DUMMYFUNCTION("""COMPUTED_VALUE"""),83.0)</f>
        <v>83</v>
      </c>
      <c r="B3841" s="4">
        <f>IFERROR(__xludf.DUMMYFUNCTION("""COMPUTED_VALUE"""),83.0)</f>
        <v>83</v>
      </c>
      <c r="C3841" s="4" t="str">
        <f>IFERROR(__xludf.DUMMYFUNCTION("""COMPUTED_VALUE"""),"IND")</f>
        <v>IND</v>
      </c>
      <c r="D3841" s="4" t="str">
        <f>IFERROR(__xludf.DUMMYFUNCTION("""COMPUTED_VALUE"""),"Rolando Frazer")</f>
        <v>Rolando Frazer</v>
      </c>
      <c r="E3841" s="4" t="str">
        <f>IFERROR(__xludf.DUMMYFUNCTION("""COMPUTED_VALUE"""),"Briar Cliff University")</f>
        <v>Briar Cliff University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</row>
    <row r="3842">
      <c r="A3842" s="4">
        <f>IFERROR(__xludf.DUMMYFUNCTION("""COMPUTED_VALUE"""),84.0)</f>
        <v>84</v>
      </c>
      <c r="B3842" s="4">
        <f>IFERROR(__xludf.DUMMYFUNCTION("""COMPUTED_VALUE"""),84.0)</f>
        <v>84</v>
      </c>
      <c r="C3842" s="4" t="str">
        <f>IFERROR(__xludf.DUMMYFUNCTION("""COMPUTED_VALUE"""),"CHI")</f>
        <v>CHI</v>
      </c>
      <c r="D3842" s="4" t="str">
        <f>IFERROR(__xludf.DUMMYFUNCTION("""COMPUTED_VALUE"""),"Oliver Lee")</f>
        <v>Oliver Lee</v>
      </c>
      <c r="E3842" s="4" t="str">
        <f>IFERROR(__xludf.DUMMYFUNCTION("""COMPUTED_VALUE"""),"Marquette")</f>
        <v>Marquette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</row>
    <row r="3843">
      <c r="A3843" s="4">
        <f>IFERROR(__xludf.DUMMYFUNCTION("""COMPUTED_VALUE"""),85.0)</f>
        <v>85</v>
      </c>
      <c r="B3843" s="4">
        <f>IFERROR(__xludf.DUMMYFUNCTION("""COMPUTED_VALUE"""),85.0)</f>
        <v>85</v>
      </c>
      <c r="C3843" s="4" t="str">
        <f>IFERROR(__xludf.DUMMYFUNCTION("""COMPUTED_VALUE"""),"POR")</f>
        <v>POR</v>
      </c>
      <c r="D3843" s="4" t="str">
        <f>IFERROR(__xludf.DUMMYFUNCTION("""COMPUTED_VALUE"""),"Pete Verhoeven")</f>
        <v>Pete Verhoeven</v>
      </c>
      <c r="E3843" s="4" t="str">
        <f>IFERROR(__xludf.DUMMYFUNCTION("""COMPUTED_VALUE"""),"Fresno State")</f>
        <v>Fresno State</v>
      </c>
      <c r="F3843" s="4">
        <f>IFERROR(__xludf.DUMMYFUNCTION("""COMPUTED_VALUE"""),6.0)</f>
        <v>6</v>
      </c>
      <c r="G3843" s="4">
        <f>IFERROR(__xludf.DUMMYFUNCTION("""COMPUTED_VALUE"""),282.0)</f>
        <v>282</v>
      </c>
      <c r="H3843" s="4">
        <f>IFERROR(__xludf.DUMMYFUNCTION("""COMPUTED_VALUE"""),3220.0)</f>
        <v>3220</v>
      </c>
      <c r="I3843" s="4">
        <f>IFERROR(__xludf.DUMMYFUNCTION("""COMPUTED_VALUE"""),1000.0)</f>
        <v>1000</v>
      </c>
      <c r="J3843" s="4">
        <f>IFERROR(__xludf.DUMMYFUNCTION("""COMPUTED_VALUE"""),641.0)</f>
        <v>641</v>
      </c>
      <c r="K3843" s="4">
        <f>IFERROR(__xludf.DUMMYFUNCTION("""COMPUTED_VALUE"""),152.0)</f>
        <v>152</v>
      </c>
      <c r="L3843" s="4">
        <f>IFERROR(__xludf.DUMMYFUNCTION("""COMPUTED_VALUE"""),0.505)</f>
        <v>0.505</v>
      </c>
      <c r="M3843" s="4">
        <f>IFERROR(__xludf.DUMMYFUNCTION("""COMPUTED_VALUE"""),0.25)</f>
        <v>0.25</v>
      </c>
      <c r="N3843" s="4">
        <f>IFERROR(__xludf.DUMMYFUNCTION("""COMPUTED_VALUE"""),0.689)</f>
        <v>0.689</v>
      </c>
      <c r="O3843" s="4">
        <f>IFERROR(__xludf.DUMMYFUNCTION("""COMPUTED_VALUE"""),11.4)</f>
        <v>11.4</v>
      </c>
      <c r="P3843" s="4">
        <f>IFERROR(__xludf.DUMMYFUNCTION("""COMPUTED_VALUE"""),3.5)</f>
        <v>3.5</v>
      </c>
      <c r="Q3843" s="4">
        <f>IFERROR(__xludf.DUMMYFUNCTION("""COMPUTED_VALUE"""),2.3)</f>
        <v>2.3</v>
      </c>
      <c r="R3843" s="4">
        <f>IFERROR(__xludf.DUMMYFUNCTION("""COMPUTED_VALUE"""),0.5)</f>
        <v>0.5</v>
      </c>
      <c r="S3843" s="4">
        <f>IFERROR(__xludf.DUMMYFUNCTION("""COMPUTED_VALUE"""),5.2)</f>
        <v>5.2</v>
      </c>
      <c r="T3843" s="4">
        <f>IFERROR(__xludf.DUMMYFUNCTION("""COMPUTED_VALUE"""),0.078)</f>
        <v>0.078</v>
      </c>
      <c r="U3843" s="4">
        <f>IFERROR(__xludf.DUMMYFUNCTION("""COMPUTED_VALUE"""),-2.7)</f>
        <v>-2.7</v>
      </c>
      <c r="V3843" s="4">
        <f>IFERROR(__xludf.DUMMYFUNCTION("""COMPUTED_VALUE"""),-0.5)</f>
        <v>-0.5</v>
      </c>
    </row>
    <row r="3844">
      <c r="A3844" s="4">
        <f>IFERROR(__xludf.DUMMYFUNCTION("""COMPUTED_VALUE"""),86.0)</f>
        <v>86</v>
      </c>
      <c r="B3844" s="4">
        <f>IFERROR(__xludf.DUMMYFUNCTION("""COMPUTED_VALUE"""),86.0)</f>
        <v>86</v>
      </c>
      <c r="C3844" s="4" t="str">
        <f>IFERROR(__xludf.DUMMYFUNCTION("""COMPUTED_VALUE"""),"NYK")</f>
        <v>NYK</v>
      </c>
      <c r="D3844" s="4" t="str">
        <f>IFERROR(__xludf.DUMMYFUNCTION("""COMPUTED_VALUE"""),"Alex Bradley")</f>
        <v>Alex Bradley</v>
      </c>
      <c r="E3844" s="4" t="str">
        <f>IFERROR(__xludf.DUMMYFUNCTION("""COMPUTED_VALUE"""),"Villanova")</f>
        <v>Villanova</v>
      </c>
      <c r="F3844" s="4">
        <f>IFERROR(__xludf.DUMMYFUNCTION("""COMPUTED_VALUE"""),1.0)</f>
        <v>1</v>
      </c>
      <c r="G3844" s="4">
        <f>IFERROR(__xludf.DUMMYFUNCTION("""COMPUTED_VALUE"""),39.0)</f>
        <v>39</v>
      </c>
      <c r="H3844" s="4">
        <f>IFERROR(__xludf.DUMMYFUNCTION("""COMPUTED_VALUE"""),331.0)</f>
        <v>331</v>
      </c>
      <c r="I3844" s="4">
        <f>IFERROR(__xludf.DUMMYFUNCTION("""COMPUTED_VALUE"""),137.0)</f>
        <v>137</v>
      </c>
      <c r="J3844" s="4">
        <f>IFERROR(__xludf.DUMMYFUNCTION("""COMPUTED_VALUE"""),65.0)</f>
        <v>65</v>
      </c>
      <c r="K3844" s="4">
        <f>IFERROR(__xludf.DUMMYFUNCTION("""COMPUTED_VALUE"""),11.0)</f>
        <v>11</v>
      </c>
      <c r="L3844" s="4">
        <f>IFERROR(__xludf.DUMMYFUNCTION("""COMPUTED_VALUE"""),0.524)</f>
        <v>0.524</v>
      </c>
      <c r="M3844" s="4">
        <f>IFERROR(__xludf.DUMMYFUNCTION("""COMPUTED_VALUE"""),0.0)</f>
        <v>0</v>
      </c>
      <c r="N3844" s="4">
        <f>IFERROR(__xludf.DUMMYFUNCTION("""COMPUTED_VALUE"""),0.604)</f>
        <v>0.604</v>
      </c>
      <c r="O3844" s="4">
        <f>IFERROR(__xludf.DUMMYFUNCTION("""COMPUTED_VALUE"""),8.5)</f>
        <v>8.5</v>
      </c>
      <c r="P3844" s="4">
        <f>IFERROR(__xludf.DUMMYFUNCTION("""COMPUTED_VALUE"""),3.5)</f>
        <v>3.5</v>
      </c>
      <c r="Q3844" s="4">
        <f>IFERROR(__xludf.DUMMYFUNCTION("""COMPUTED_VALUE"""),1.7)</f>
        <v>1.7</v>
      </c>
      <c r="R3844" s="4">
        <f>IFERROR(__xludf.DUMMYFUNCTION("""COMPUTED_VALUE"""),0.3)</f>
        <v>0.3</v>
      </c>
      <c r="S3844" s="4">
        <f>IFERROR(__xludf.DUMMYFUNCTION("""COMPUTED_VALUE"""),0.4)</f>
        <v>0.4</v>
      </c>
      <c r="T3844" s="4">
        <f>IFERROR(__xludf.DUMMYFUNCTION("""COMPUTED_VALUE"""),0.053)</f>
        <v>0.053</v>
      </c>
      <c r="U3844" s="4">
        <f>IFERROR(__xludf.DUMMYFUNCTION("""COMPUTED_VALUE"""),-2.6)</f>
        <v>-2.6</v>
      </c>
      <c r="V3844" s="4">
        <f>IFERROR(__xludf.DUMMYFUNCTION("""COMPUTED_VALUE"""),0.0)</f>
        <v>0</v>
      </c>
    </row>
    <row r="3845">
      <c r="A3845" s="4">
        <f>IFERROR(__xludf.DUMMYFUNCTION("""COMPUTED_VALUE"""),87.0)</f>
        <v>87</v>
      </c>
      <c r="B3845" s="4">
        <f>IFERROR(__xludf.DUMMYFUNCTION("""COMPUTED_VALUE"""),87.0)</f>
        <v>87</v>
      </c>
      <c r="C3845" s="4" t="str">
        <f>IFERROR(__xludf.DUMMYFUNCTION("""COMPUTED_VALUE"""),"SAS")</f>
        <v>SAS</v>
      </c>
      <c r="D3845" s="4" t="str">
        <f>IFERROR(__xludf.DUMMYFUNCTION("""COMPUTED_VALUE"""),"Earl Belcher")</f>
        <v>Earl Belcher</v>
      </c>
      <c r="E3845" s="4" t="str">
        <f>IFERROR(__xludf.DUMMYFUNCTION("""COMPUTED_VALUE"""),"St. Bonaventure")</f>
        <v>St. Bonaventure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</row>
    <row r="3846">
      <c r="A3846" s="4">
        <f>IFERROR(__xludf.DUMMYFUNCTION("""COMPUTED_VALUE"""),88.0)</f>
        <v>88</v>
      </c>
      <c r="B3846" s="4">
        <f>IFERROR(__xludf.DUMMYFUNCTION("""COMPUTED_VALUE"""),88.0)</f>
        <v>88</v>
      </c>
      <c r="C3846" s="4" t="str">
        <f>IFERROR(__xludf.DUMMYFUNCTION("""COMPUTED_VALUE"""),"LAL")</f>
        <v>LAL</v>
      </c>
      <c r="D3846" s="4" t="str">
        <f>IFERROR(__xludf.DUMMYFUNCTION("""COMPUTED_VALUE"""),"Kevin McKenna")</f>
        <v>Kevin McKenna</v>
      </c>
      <c r="E3846" s="4" t="str">
        <f>IFERROR(__xludf.DUMMYFUNCTION("""COMPUTED_VALUE"""),"Creighton")</f>
        <v>Creighton</v>
      </c>
      <c r="F3846" s="4">
        <f>IFERROR(__xludf.DUMMYFUNCTION("""COMPUTED_VALUE"""),6.0)</f>
        <v>6</v>
      </c>
      <c r="G3846" s="4">
        <f>IFERROR(__xludf.DUMMYFUNCTION("""COMPUTED_VALUE"""),243.0)</f>
        <v>243</v>
      </c>
      <c r="H3846" s="4">
        <f>IFERROR(__xludf.DUMMYFUNCTION("""COMPUTED_VALUE"""),3460.0)</f>
        <v>3460</v>
      </c>
      <c r="I3846" s="4">
        <f>IFERROR(__xludf.DUMMYFUNCTION("""COMPUTED_VALUE"""),1320.0)</f>
        <v>1320</v>
      </c>
      <c r="J3846" s="4">
        <f>IFERROR(__xludf.DUMMYFUNCTION("""COMPUTED_VALUE"""),317.0)</f>
        <v>317</v>
      </c>
      <c r="K3846" s="4">
        <f>IFERROR(__xludf.DUMMYFUNCTION("""COMPUTED_VALUE"""),342.0)</f>
        <v>342</v>
      </c>
      <c r="L3846" s="4">
        <f>IFERROR(__xludf.DUMMYFUNCTION("""COMPUTED_VALUE"""),0.414)</f>
        <v>0.414</v>
      </c>
      <c r="M3846" s="4">
        <f>IFERROR(__xludf.DUMMYFUNCTION("""COMPUTED_VALUE"""),0.367)</f>
        <v>0.367</v>
      </c>
      <c r="N3846" s="4">
        <f>IFERROR(__xludf.DUMMYFUNCTION("""COMPUTED_VALUE"""),0.819)</f>
        <v>0.819</v>
      </c>
      <c r="O3846" s="4">
        <f>IFERROR(__xludf.DUMMYFUNCTION("""COMPUTED_VALUE"""),14.2)</f>
        <v>14.2</v>
      </c>
      <c r="P3846" s="4">
        <f>IFERROR(__xludf.DUMMYFUNCTION("""COMPUTED_VALUE"""),5.4)</f>
        <v>5.4</v>
      </c>
      <c r="Q3846" s="4">
        <f>IFERROR(__xludf.DUMMYFUNCTION("""COMPUTED_VALUE"""),1.3)</f>
        <v>1.3</v>
      </c>
      <c r="R3846" s="4">
        <f>IFERROR(__xludf.DUMMYFUNCTION("""COMPUTED_VALUE"""),1.4)</f>
        <v>1.4</v>
      </c>
      <c r="S3846" s="4">
        <f>IFERROR(__xludf.DUMMYFUNCTION("""COMPUTED_VALUE"""),4.0)</f>
        <v>4</v>
      </c>
      <c r="T3846" s="4">
        <f>IFERROR(__xludf.DUMMYFUNCTION("""COMPUTED_VALUE"""),0.056)</f>
        <v>0.056</v>
      </c>
      <c r="U3846" s="4">
        <f>IFERROR(__xludf.DUMMYFUNCTION("""COMPUTED_VALUE"""),-2.2)</f>
        <v>-2.2</v>
      </c>
      <c r="V3846" s="4">
        <f>IFERROR(__xludf.DUMMYFUNCTION("""COMPUTED_VALUE"""),-0.2)</f>
        <v>-0.2</v>
      </c>
    </row>
    <row r="3847">
      <c r="A3847" s="4">
        <f>IFERROR(__xludf.DUMMYFUNCTION("""COMPUTED_VALUE"""),89.0)</f>
        <v>89</v>
      </c>
      <c r="B3847" s="4">
        <f>IFERROR(__xludf.DUMMYFUNCTION("""COMPUTED_VALUE"""),89.0)</f>
        <v>89</v>
      </c>
      <c r="C3847" s="4" t="str">
        <f>IFERROR(__xludf.DUMMYFUNCTION("""COMPUTED_VALUE"""),"DET")</f>
        <v>DET</v>
      </c>
      <c r="D3847" s="4" t="str">
        <f>IFERROR(__xludf.DUMMYFUNCTION("""COMPUTED_VALUE"""),"Don Koonce")</f>
        <v>Don Koonce</v>
      </c>
      <c r="E3847" s="4" t="str">
        <f>IFERROR(__xludf.DUMMYFUNCTION("""COMPUTED_VALUE"""),"UNC Charlotte")</f>
        <v>UNC Charlotte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</row>
    <row r="3848">
      <c r="A3848" s="4">
        <f>IFERROR(__xludf.DUMMYFUNCTION("""COMPUTED_VALUE"""),90.0)</f>
        <v>90</v>
      </c>
      <c r="B3848" s="4">
        <f>IFERROR(__xludf.DUMMYFUNCTION("""COMPUTED_VALUE"""),90.0)</f>
        <v>90</v>
      </c>
      <c r="C3848" s="4" t="str">
        <f>IFERROR(__xludf.DUMMYFUNCTION("""COMPUTED_VALUE"""),"MIL")</f>
        <v>MIL</v>
      </c>
      <c r="D3848" s="4" t="str">
        <f>IFERROR(__xludf.DUMMYFUNCTION("""COMPUTED_VALUE"""),"Kris Anderson")</f>
        <v>Kris Anderson</v>
      </c>
      <c r="E3848" s="4" t="str">
        <f>IFERROR(__xludf.DUMMYFUNCTION("""COMPUTED_VALUE"""),"Florida State")</f>
        <v>Florida State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</row>
    <row r="3849">
      <c r="A3849" s="4">
        <f>IFERROR(__xludf.DUMMYFUNCTION("""COMPUTED_VALUE"""),91.0)</f>
        <v>91</v>
      </c>
      <c r="B3849" s="4">
        <f>IFERROR(__xludf.DUMMYFUNCTION("""COMPUTED_VALUE"""),91.0)</f>
        <v>91</v>
      </c>
      <c r="C3849" s="4" t="str">
        <f>IFERROR(__xludf.DUMMYFUNCTION("""COMPUTED_VALUE"""),"BOS")</f>
        <v>BOS</v>
      </c>
      <c r="D3849" s="4" t="str">
        <f>IFERROR(__xludf.DUMMYFUNCTION("""COMPUTED_VALUE"""),"Stanley Williams")</f>
        <v>Stanley Williams</v>
      </c>
      <c r="E3849" s="4" t="str">
        <f>IFERROR(__xludf.DUMMYFUNCTION("""COMPUTED_VALUE"""),"La Salle")</f>
        <v>La Salle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</row>
    <row r="3850">
      <c r="A3850" s="4">
        <f>IFERROR(__xludf.DUMMYFUNCTION("""COMPUTED_VALUE"""),92.0)</f>
        <v>92</v>
      </c>
      <c r="B3850" s="4">
        <f>IFERROR(__xludf.DUMMYFUNCTION("""COMPUTED_VALUE"""),92.0)</f>
        <v>92</v>
      </c>
      <c r="C3850" s="4" t="str">
        <f>IFERROR(__xludf.DUMMYFUNCTION("""COMPUTED_VALUE"""),"PHI")</f>
        <v>PHI</v>
      </c>
      <c r="D3850" s="4" t="str">
        <f>IFERROR(__xludf.DUMMYFUNCTION("""COMPUTED_VALUE"""),"Rynn Wright")</f>
        <v>Rynn Wright</v>
      </c>
      <c r="E3850" s="4" t="str">
        <f>IFERROR(__xludf.DUMMYFUNCTION("""COMPUTED_VALUE"""),"Texas A&amp;M")</f>
        <v>Texas A&amp;M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</row>
    <row r="3851">
      <c r="A3851" s="4"/>
      <c r="B3851" s="4"/>
      <c r="C3851" s="4"/>
      <c r="D3851" s="4" t="str">
        <f>IFERROR(__xludf.DUMMYFUNCTION("""COMPUTED_VALUE"""),"Round 5")</f>
        <v>Round 5</v>
      </c>
      <c r="E3851" s="4"/>
      <c r="F3851" s="4"/>
      <c r="G3851" s="4" t="str">
        <f>IFERROR(__xludf.DUMMYFUNCTION("""COMPUTED_VALUE"""),"Totals")</f>
        <v>Totals</v>
      </c>
      <c r="H3851" s="4"/>
      <c r="I3851" s="4"/>
      <c r="J3851" s="4"/>
      <c r="K3851" s="4"/>
      <c r="L3851" s="4" t="str">
        <f>IFERROR(__xludf.DUMMYFUNCTION("""COMPUTED_VALUE"""),"Shooting")</f>
        <v>Shooting</v>
      </c>
      <c r="M3851" s="4"/>
      <c r="N3851" s="4"/>
      <c r="O3851" s="4" t="str">
        <f>IFERROR(__xludf.DUMMYFUNCTION("""COMPUTED_VALUE"""),"Per Game")</f>
        <v>Per Game</v>
      </c>
      <c r="P3851" s="4"/>
      <c r="Q3851" s="4"/>
      <c r="R3851" s="4"/>
      <c r="S3851" s="4" t="str">
        <f>IFERROR(__xludf.DUMMYFUNCTION("""COMPUTED_VALUE"""),"Advanced")</f>
        <v>Advanced</v>
      </c>
      <c r="T3851" s="4"/>
      <c r="U3851" s="4"/>
      <c r="V3851" s="4"/>
    </row>
    <row r="3852">
      <c r="A3852" s="4" t="str">
        <f>IFERROR(__xludf.DUMMYFUNCTION("""COMPUTED_VALUE"""),"Rk")</f>
        <v>Rk</v>
      </c>
      <c r="B3852" s="4" t="str">
        <f>IFERROR(__xludf.DUMMYFUNCTION("""COMPUTED_VALUE"""),"Pk")</f>
        <v>Pk</v>
      </c>
      <c r="C3852" s="4" t="str">
        <f>IFERROR(__xludf.DUMMYFUNCTION("""COMPUTED_VALUE"""),"Tm")</f>
        <v>Tm</v>
      </c>
      <c r="D3852" s="4" t="str">
        <f>IFERROR(__xludf.DUMMYFUNCTION("""COMPUTED_VALUE"""),"Player")</f>
        <v>Player</v>
      </c>
      <c r="E3852" s="4" t="str">
        <f>IFERROR(__xludf.DUMMYFUNCTION("""COMPUTED_VALUE"""),"College")</f>
        <v>College</v>
      </c>
      <c r="F3852" s="4" t="str">
        <f>IFERROR(__xludf.DUMMYFUNCTION("""COMPUTED_VALUE"""),"Yrs")</f>
        <v>Yrs</v>
      </c>
      <c r="G3852" s="4" t="str">
        <f>IFERROR(__xludf.DUMMYFUNCTION("""COMPUTED_VALUE"""),"G")</f>
        <v>G</v>
      </c>
      <c r="H3852" s="4" t="str">
        <f>IFERROR(__xludf.DUMMYFUNCTION("""COMPUTED_VALUE"""),"MP")</f>
        <v>MP</v>
      </c>
      <c r="I3852" s="4" t="str">
        <f>IFERROR(__xludf.DUMMYFUNCTION("""COMPUTED_VALUE"""),"PTS")</f>
        <v>PTS</v>
      </c>
      <c r="J3852" s="4" t="str">
        <f>IFERROR(__xludf.DUMMYFUNCTION("""COMPUTED_VALUE"""),"TRB")</f>
        <v>TRB</v>
      </c>
      <c r="K3852" s="4" t="str">
        <f>IFERROR(__xludf.DUMMYFUNCTION("""COMPUTED_VALUE"""),"AST")</f>
        <v>AST</v>
      </c>
      <c r="L3852" s="4" t="str">
        <f>IFERROR(__xludf.DUMMYFUNCTION("""COMPUTED_VALUE"""),"FG%")</f>
        <v>FG%</v>
      </c>
      <c r="M3852" s="4" t="str">
        <f>IFERROR(__xludf.DUMMYFUNCTION("""COMPUTED_VALUE"""),"3P%")</f>
        <v>3P%</v>
      </c>
      <c r="N3852" s="4" t="str">
        <f>IFERROR(__xludf.DUMMYFUNCTION("""COMPUTED_VALUE"""),"FT%")</f>
        <v>FT%</v>
      </c>
      <c r="O3852" s="4" t="str">
        <f>IFERROR(__xludf.DUMMYFUNCTION("""COMPUTED_VALUE"""),"MP")</f>
        <v>MP</v>
      </c>
      <c r="P3852" s="4" t="str">
        <f>IFERROR(__xludf.DUMMYFUNCTION("""COMPUTED_VALUE"""),"PTS")</f>
        <v>PTS</v>
      </c>
      <c r="Q3852" s="4" t="str">
        <f>IFERROR(__xludf.DUMMYFUNCTION("""COMPUTED_VALUE"""),"TRB")</f>
        <v>TRB</v>
      </c>
      <c r="R3852" s="4" t="str">
        <f>IFERROR(__xludf.DUMMYFUNCTION("""COMPUTED_VALUE"""),"AST")</f>
        <v>AST</v>
      </c>
      <c r="S3852" s="4" t="str">
        <f>IFERROR(__xludf.DUMMYFUNCTION("""COMPUTED_VALUE"""),"WS")</f>
        <v>WS</v>
      </c>
      <c r="T3852" s="4" t="str">
        <f>IFERROR(__xludf.DUMMYFUNCTION("""COMPUTED_VALUE"""),"WS/48")</f>
        <v>WS/48</v>
      </c>
      <c r="U3852" s="4" t="str">
        <f>IFERROR(__xludf.DUMMYFUNCTION("""COMPUTED_VALUE"""),"BPM")</f>
        <v>BPM</v>
      </c>
      <c r="V3852" s="4" t="str">
        <f>IFERROR(__xludf.DUMMYFUNCTION("""COMPUTED_VALUE"""),"VORP")</f>
        <v>VORP</v>
      </c>
    </row>
    <row r="3853">
      <c r="A3853" s="4">
        <f>IFERROR(__xludf.DUMMYFUNCTION("""COMPUTED_VALUE"""),93.0)</f>
        <v>93</v>
      </c>
      <c r="B3853" s="4">
        <f>IFERROR(__xludf.DUMMYFUNCTION("""COMPUTED_VALUE"""),93.0)</f>
        <v>93</v>
      </c>
      <c r="C3853" s="4" t="str">
        <f>IFERROR(__xludf.DUMMYFUNCTION("""COMPUTED_VALUE"""),"DAL")</f>
        <v>DAL</v>
      </c>
      <c r="D3853" s="4" t="str">
        <f>IFERROR(__xludf.DUMMYFUNCTION("""COMPUTED_VALUE"""),"Pete Budko")</f>
        <v>Pete Budko</v>
      </c>
      <c r="E3853" s="4" t="str">
        <f>IFERROR(__xludf.DUMMYFUNCTION("""COMPUTED_VALUE"""),"UNC")</f>
        <v>UNC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</row>
    <row r="3854">
      <c r="A3854" s="4">
        <f>IFERROR(__xludf.DUMMYFUNCTION("""COMPUTED_VALUE"""),94.0)</f>
        <v>94</v>
      </c>
      <c r="B3854" s="4">
        <f>IFERROR(__xludf.DUMMYFUNCTION("""COMPUTED_VALUE"""),94.0)</f>
        <v>94</v>
      </c>
      <c r="C3854" s="4" t="str">
        <f>IFERROR(__xludf.DUMMYFUNCTION("""COMPUTED_VALUE"""),"DET")</f>
        <v>DET</v>
      </c>
      <c r="D3854" s="4" t="str">
        <f>IFERROR(__xludf.DUMMYFUNCTION("""COMPUTED_VALUE"""),"George DeVone")</f>
        <v>George DeVone</v>
      </c>
      <c r="E3854" s="4" t="str">
        <f>IFERROR(__xludf.DUMMYFUNCTION("""COMPUTED_VALUE"""),"UNC Charlotte")</f>
        <v>UNC Charlotte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</row>
    <row r="3855">
      <c r="A3855" s="4">
        <f>IFERROR(__xludf.DUMMYFUNCTION("""COMPUTED_VALUE"""),95.0)</f>
        <v>95</v>
      </c>
      <c r="B3855" s="4">
        <f>IFERROR(__xludf.DUMMYFUNCTION("""COMPUTED_VALUE"""),95.0)</f>
        <v>95</v>
      </c>
      <c r="C3855" s="4" t="str">
        <f>IFERROR(__xludf.DUMMYFUNCTION("""COMPUTED_VALUE"""),"NJN")</f>
        <v>NJN</v>
      </c>
      <c r="D3855" s="4" t="str">
        <f>IFERROR(__xludf.DUMMYFUNCTION("""COMPUTED_VALUE"""),"Joe Cooper")</f>
        <v>Joe Cooper</v>
      </c>
      <c r="E3855" s="4" t="str">
        <f>IFERROR(__xludf.DUMMYFUNCTION("""COMPUTED_VALUE"""),"Colorado")</f>
        <v>Colorado</v>
      </c>
      <c r="F3855" s="4">
        <f>IFERROR(__xludf.DUMMYFUNCTION("""COMPUTED_VALUE"""),3.0)</f>
        <v>3</v>
      </c>
      <c r="G3855" s="4">
        <f>IFERROR(__xludf.DUMMYFUNCTION("""COMPUTED_VALUE"""),24.0)</f>
        <v>24</v>
      </c>
      <c r="H3855" s="4">
        <f>IFERROR(__xludf.DUMMYFUNCTION("""COMPUTED_VALUE"""),389.0)</f>
        <v>389</v>
      </c>
      <c r="I3855" s="4">
        <f>IFERROR(__xludf.DUMMYFUNCTION("""COMPUTED_VALUE"""),109.0)</f>
        <v>109</v>
      </c>
      <c r="J3855" s="4">
        <f>IFERROR(__xludf.DUMMYFUNCTION("""COMPUTED_VALUE"""),97.0)</f>
        <v>97</v>
      </c>
      <c r="K3855" s="4">
        <f>IFERROR(__xludf.DUMMYFUNCTION("""COMPUTED_VALUE"""),19.0)</f>
        <v>19</v>
      </c>
      <c r="L3855" s="4">
        <f>IFERROR(__xludf.DUMMYFUNCTION("""COMPUTED_VALUE"""),0.506)</f>
        <v>0.506</v>
      </c>
      <c r="M3855" s="4"/>
      <c r="N3855" s="4">
        <f>IFERROR(__xludf.DUMMYFUNCTION("""COMPUTED_VALUE"""),0.543)</f>
        <v>0.543</v>
      </c>
      <c r="O3855" s="4">
        <f>IFERROR(__xludf.DUMMYFUNCTION("""COMPUTED_VALUE"""),16.2)</f>
        <v>16.2</v>
      </c>
      <c r="P3855" s="4">
        <f>IFERROR(__xludf.DUMMYFUNCTION("""COMPUTED_VALUE"""),4.5)</f>
        <v>4.5</v>
      </c>
      <c r="Q3855" s="4">
        <f>IFERROR(__xludf.DUMMYFUNCTION("""COMPUTED_VALUE"""),4.0)</f>
        <v>4</v>
      </c>
      <c r="R3855" s="4">
        <f>IFERROR(__xludf.DUMMYFUNCTION("""COMPUTED_VALUE"""),0.8)</f>
        <v>0.8</v>
      </c>
      <c r="S3855" s="4">
        <f>IFERROR(__xludf.DUMMYFUNCTION("""COMPUTED_VALUE"""),0.3)</f>
        <v>0.3</v>
      </c>
      <c r="T3855" s="4">
        <f>IFERROR(__xludf.DUMMYFUNCTION("""COMPUTED_VALUE"""),0.037)</f>
        <v>0.037</v>
      </c>
      <c r="U3855" s="4">
        <f>IFERROR(__xludf.DUMMYFUNCTION("""COMPUTED_VALUE"""),-2.8)</f>
        <v>-2.8</v>
      </c>
      <c r="V3855" s="4">
        <f>IFERROR(__xludf.DUMMYFUNCTION("""COMPUTED_VALUE"""),-0.2)</f>
        <v>-0.2</v>
      </c>
    </row>
    <row r="3856">
      <c r="A3856" s="4">
        <f>IFERROR(__xludf.DUMMYFUNCTION("""COMPUTED_VALUE"""),96.0)</f>
        <v>96</v>
      </c>
      <c r="B3856" s="4">
        <f>IFERROR(__xludf.DUMMYFUNCTION("""COMPUTED_VALUE"""),96.0)</f>
        <v>96</v>
      </c>
      <c r="C3856" s="4" t="str">
        <f>IFERROR(__xludf.DUMMYFUNCTION("""COMPUTED_VALUE"""),"CLE")</f>
        <v>CLE</v>
      </c>
      <c r="D3856" s="4" t="str">
        <f>IFERROR(__xludf.DUMMYFUNCTION("""COMPUTED_VALUE"""),"Kenny Page")</f>
        <v>Kenny Page</v>
      </c>
      <c r="E3856" s="4" t="str">
        <f>IFERROR(__xludf.DUMMYFUNCTION("""COMPUTED_VALUE"""),"New Mexico")</f>
        <v>New Mexico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</row>
    <row r="3857">
      <c r="A3857" s="4">
        <f>IFERROR(__xludf.DUMMYFUNCTION("""COMPUTED_VALUE"""),97.0)</f>
        <v>97</v>
      </c>
      <c r="B3857" s="4">
        <f>IFERROR(__xludf.DUMMYFUNCTION("""COMPUTED_VALUE"""),97.0)</f>
        <v>97</v>
      </c>
      <c r="C3857" s="4" t="str">
        <f>IFERROR(__xludf.DUMMYFUNCTION("""COMPUTED_VALUE"""),"UTA")</f>
        <v>UTA</v>
      </c>
      <c r="D3857" s="4" t="str">
        <f>IFERROR(__xludf.DUMMYFUNCTION("""COMPUTED_VALUE"""),"Mike Clark")</f>
        <v>Mike Clark</v>
      </c>
      <c r="E3857" s="4" t="str">
        <f>IFERROR(__xludf.DUMMYFUNCTION("""COMPUTED_VALUE"""),"Oregon")</f>
        <v>Oregon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</row>
    <row r="3858">
      <c r="A3858" s="4">
        <f>IFERROR(__xludf.DUMMYFUNCTION("""COMPUTED_VALUE"""),98.0)</f>
        <v>98</v>
      </c>
      <c r="B3858" s="4">
        <f>IFERROR(__xludf.DUMMYFUNCTION("""COMPUTED_VALUE"""),98.0)</f>
        <v>98</v>
      </c>
      <c r="C3858" s="4" t="str">
        <f>IFERROR(__xludf.DUMMYFUNCTION("""COMPUTED_VALUE"""),"ATL")</f>
        <v>ATL</v>
      </c>
      <c r="D3858" s="4" t="str">
        <f>IFERROR(__xludf.DUMMYFUNCTION("""COMPUTED_VALUE"""),"Steve Krafcisin")</f>
        <v>Steve Krafcisin</v>
      </c>
      <c r="E3858" s="4" t="str">
        <f>IFERROR(__xludf.DUMMYFUNCTION("""COMPUTED_VALUE"""),"Iowa")</f>
        <v>Iowa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</row>
    <row r="3859">
      <c r="A3859" s="4">
        <f>IFERROR(__xludf.DUMMYFUNCTION("""COMPUTED_VALUE"""),99.0)</f>
        <v>99</v>
      </c>
      <c r="B3859" s="4">
        <f>IFERROR(__xludf.DUMMYFUNCTION("""COMPUTED_VALUE"""),99.0)</f>
        <v>99</v>
      </c>
      <c r="C3859" s="4" t="str">
        <f>IFERROR(__xludf.DUMMYFUNCTION("""COMPUTED_VALUE"""),"SEA")</f>
        <v>SEA</v>
      </c>
      <c r="D3859" s="4" t="str">
        <f>IFERROR(__xludf.DUMMYFUNCTION("""COMPUTED_VALUE"""),"Andra Griffin")</f>
        <v>Andra Griffin</v>
      </c>
      <c r="E3859" s="4" t="str">
        <f>IFERROR(__xludf.DUMMYFUNCTION("""COMPUTED_VALUE"""),"Washington")</f>
        <v>Washington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</row>
    <row r="3860">
      <c r="A3860" s="4">
        <f>IFERROR(__xludf.DUMMYFUNCTION("""COMPUTED_VALUE"""),100.0)</f>
        <v>100</v>
      </c>
      <c r="B3860" s="4">
        <f>IFERROR(__xludf.DUMMYFUNCTION("""COMPUTED_VALUE"""),100.0)</f>
        <v>100</v>
      </c>
      <c r="C3860" s="4" t="str">
        <f>IFERROR(__xludf.DUMMYFUNCTION("""COMPUTED_VALUE"""),"SDC")</f>
        <v>SDC</v>
      </c>
      <c r="D3860" s="4" t="str">
        <f>IFERROR(__xludf.DUMMYFUNCTION("""COMPUTED_VALUE"""),"Dennis Isbell")</f>
        <v>Dennis Isbell</v>
      </c>
      <c r="E3860" s="4" t="str">
        <f>IFERROR(__xludf.DUMMYFUNCTION("""COMPUTED_VALUE"""),"Memphis")</f>
        <v>Memphis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</row>
    <row r="3861">
      <c r="A3861" s="4">
        <f>IFERROR(__xludf.DUMMYFUNCTION("""COMPUTED_VALUE"""),101.0)</f>
        <v>101</v>
      </c>
      <c r="B3861" s="4">
        <f>IFERROR(__xludf.DUMMYFUNCTION("""COMPUTED_VALUE"""),101.0)</f>
        <v>101</v>
      </c>
      <c r="C3861" s="4" t="str">
        <f>IFERROR(__xludf.DUMMYFUNCTION("""COMPUTED_VALUE"""),"DEN")</f>
        <v>DEN</v>
      </c>
      <c r="D3861" s="4" t="str">
        <f>IFERROR(__xludf.DUMMYFUNCTION("""COMPUTED_VALUE"""),"Willie Sims")</f>
        <v>Willie Sims</v>
      </c>
      <c r="E3861" s="4" t="str">
        <f>IFERROR(__xludf.DUMMYFUNCTION("""COMPUTED_VALUE"""),"LSU")</f>
        <v>LSU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</row>
    <row r="3862">
      <c r="A3862" s="4">
        <f>IFERROR(__xludf.DUMMYFUNCTION("""COMPUTED_VALUE"""),102.0)</f>
        <v>102</v>
      </c>
      <c r="B3862" s="4">
        <f>IFERROR(__xludf.DUMMYFUNCTION("""COMPUTED_VALUE"""),102.0)</f>
        <v>102</v>
      </c>
      <c r="C3862" s="4" t="str">
        <f>IFERROR(__xludf.DUMMYFUNCTION("""COMPUTED_VALUE"""),"GSW")</f>
        <v>GSW</v>
      </c>
      <c r="D3862" s="4" t="str">
        <f>IFERROR(__xludf.DUMMYFUNCTION("""COMPUTED_VALUE"""),"Hank McDowell")</f>
        <v>Hank McDowell</v>
      </c>
      <c r="E3862" s="4" t="str">
        <f>IFERROR(__xludf.DUMMYFUNCTION("""COMPUTED_VALUE"""),"Memphis")</f>
        <v>Memphis</v>
      </c>
      <c r="F3862" s="4">
        <f>IFERROR(__xludf.DUMMYFUNCTION("""COMPUTED_VALUE"""),6.0)</f>
        <v>6</v>
      </c>
      <c r="G3862" s="4">
        <f>IFERROR(__xludf.DUMMYFUNCTION("""COMPUTED_VALUE"""),206.0)</f>
        <v>206</v>
      </c>
      <c r="H3862" s="4">
        <f>IFERROR(__xludf.DUMMYFUNCTION("""COMPUTED_VALUE"""),1857.0)</f>
        <v>1857</v>
      </c>
      <c r="I3862" s="4">
        <f>IFERROR(__xludf.DUMMYFUNCTION("""COMPUTED_VALUE"""),600.0)</f>
        <v>600</v>
      </c>
      <c r="J3862" s="4">
        <f>IFERROR(__xludf.DUMMYFUNCTION("""COMPUTED_VALUE"""),464.0)</f>
        <v>464</v>
      </c>
      <c r="K3862" s="4">
        <f>IFERROR(__xludf.DUMMYFUNCTION("""COMPUTED_VALUE"""),98.0)</f>
        <v>98</v>
      </c>
      <c r="L3862" s="4">
        <f>IFERROR(__xludf.DUMMYFUNCTION("""COMPUTED_VALUE"""),0.451)</f>
        <v>0.451</v>
      </c>
      <c r="M3862" s="4">
        <f>IFERROR(__xludf.DUMMYFUNCTION("""COMPUTED_VALUE"""),0.0)</f>
        <v>0</v>
      </c>
      <c r="N3862" s="4">
        <f>IFERROR(__xludf.DUMMYFUNCTION("""COMPUTED_VALUE"""),0.71)</f>
        <v>0.71</v>
      </c>
      <c r="O3862" s="4">
        <f>IFERROR(__xludf.DUMMYFUNCTION("""COMPUTED_VALUE"""),9.0)</f>
        <v>9</v>
      </c>
      <c r="P3862" s="4">
        <f>IFERROR(__xludf.DUMMYFUNCTION("""COMPUTED_VALUE"""),2.9)</f>
        <v>2.9</v>
      </c>
      <c r="Q3862" s="4">
        <f>IFERROR(__xludf.DUMMYFUNCTION("""COMPUTED_VALUE"""),2.3)</f>
        <v>2.3</v>
      </c>
      <c r="R3862" s="4">
        <f>IFERROR(__xludf.DUMMYFUNCTION("""COMPUTED_VALUE"""),0.5)</f>
        <v>0.5</v>
      </c>
      <c r="S3862" s="4">
        <f>IFERROR(__xludf.DUMMYFUNCTION("""COMPUTED_VALUE"""),2.0)</f>
        <v>2</v>
      </c>
      <c r="T3862" s="4">
        <f>IFERROR(__xludf.DUMMYFUNCTION("""COMPUTED_VALUE"""),0.052)</f>
        <v>0.052</v>
      </c>
      <c r="U3862" s="4">
        <f>IFERROR(__xludf.DUMMYFUNCTION("""COMPUTED_VALUE"""),-3.6)</f>
        <v>-3.6</v>
      </c>
      <c r="V3862" s="4">
        <f>IFERROR(__xludf.DUMMYFUNCTION("""COMPUTED_VALUE"""),-0.8)</f>
        <v>-0.8</v>
      </c>
    </row>
    <row r="3863">
      <c r="A3863" s="4">
        <f>IFERROR(__xludf.DUMMYFUNCTION("""COMPUTED_VALUE"""),103.0)</f>
        <v>103</v>
      </c>
      <c r="B3863" s="4">
        <f>IFERROR(__xludf.DUMMYFUNCTION("""COMPUTED_VALUE"""),103.0)</f>
        <v>103</v>
      </c>
      <c r="C3863" s="4" t="str">
        <f>IFERROR(__xludf.DUMMYFUNCTION("""COMPUTED_VALUE"""),"WSB")</f>
        <v>WSB</v>
      </c>
      <c r="D3863" s="4" t="str">
        <f>IFERROR(__xludf.DUMMYFUNCTION("""COMPUTED_VALUE"""),"Garry Witts")</f>
        <v>Garry Witts</v>
      </c>
      <c r="E3863" s="4" t="str">
        <f>IFERROR(__xludf.DUMMYFUNCTION("""COMPUTED_VALUE"""),"Holy Cross")</f>
        <v>Holy Cross</v>
      </c>
      <c r="F3863" s="4">
        <f>IFERROR(__xludf.DUMMYFUNCTION("""COMPUTED_VALUE"""),1.0)</f>
        <v>1</v>
      </c>
      <c r="G3863" s="4">
        <f>IFERROR(__xludf.DUMMYFUNCTION("""COMPUTED_VALUE"""),46.0)</f>
        <v>46</v>
      </c>
      <c r="H3863" s="4">
        <f>IFERROR(__xludf.DUMMYFUNCTION("""COMPUTED_VALUE"""),493.0)</f>
        <v>493</v>
      </c>
      <c r="I3863" s="4">
        <f>IFERROR(__xludf.DUMMYFUNCTION("""COMPUTED_VALUE"""),132.0)</f>
        <v>132</v>
      </c>
      <c r="J3863" s="4">
        <f>IFERROR(__xludf.DUMMYFUNCTION("""COMPUTED_VALUE"""),62.0)</f>
        <v>62</v>
      </c>
      <c r="K3863" s="4">
        <f>IFERROR(__xludf.DUMMYFUNCTION("""COMPUTED_VALUE"""),38.0)</f>
        <v>38</v>
      </c>
      <c r="L3863" s="4">
        <f>IFERROR(__xludf.DUMMYFUNCTION("""COMPUTED_VALUE"""),0.583)</f>
        <v>0.583</v>
      </c>
      <c r="M3863" s="4">
        <f>IFERROR(__xludf.DUMMYFUNCTION("""COMPUTED_VALUE"""),0.5)</f>
        <v>0.5</v>
      </c>
      <c r="N3863" s="4">
        <f>IFERROR(__xludf.DUMMYFUNCTION("""COMPUTED_VALUE"""),0.825)</f>
        <v>0.825</v>
      </c>
      <c r="O3863" s="4">
        <f>IFERROR(__xludf.DUMMYFUNCTION("""COMPUTED_VALUE"""),10.7)</f>
        <v>10.7</v>
      </c>
      <c r="P3863" s="4">
        <f>IFERROR(__xludf.DUMMYFUNCTION("""COMPUTED_VALUE"""),2.9)</f>
        <v>2.9</v>
      </c>
      <c r="Q3863" s="4">
        <f>IFERROR(__xludf.DUMMYFUNCTION("""COMPUTED_VALUE"""),1.3)</f>
        <v>1.3</v>
      </c>
      <c r="R3863" s="4">
        <f>IFERROR(__xludf.DUMMYFUNCTION("""COMPUTED_VALUE"""),0.8)</f>
        <v>0.8</v>
      </c>
      <c r="S3863" s="4">
        <f>IFERROR(__xludf.DUMMYFUNCTION("""COMPUTED_VALUE"""),1.1)</f>
        <v>1.1</v>
      </c>
      <c r="T3863" s="4">
        <f>IFERROR(__xludf.DUMMYFUNCTION("""COMPUTED_VALUE"""),0.104)</f>
        <v>0.104</v>
      </c>
      <c r="U3863" s="4">
        <f>IFERROR(__xludf.DUMMYFUNCTION("""COMPUTED_VALUE"""),-1.0)</f>
        <v>-1</v>
      </c>
      <c r="V3863" s="4">
        <f>IFERROR(__xludf.DUMMYFUNCTION("""COMPUTED_VALUE"""),0.1)</f>
        <v>0.1</v>
      </c>
    </row>
    <row r="3864">
      <c r="A3864" s="4">
        <f>IFERROR(__xludf.DUMMYFUNCTION("""COMPUTED_VALUE"""),104.0)</f>
        <v>104</v>
      </c>
      <c r="B3864" s="4">
        <f>IFERROR(__xludf.DUMMYFUNCTION("""COMPUTED_VALUE"""),104.0)</f>
        <v>104</v>
      </c>
      <c r="C3864" s="4" t="str">
        <f>IFERROR(__xludf.DUMMYFUNCTION("""COMPUTED_VALUE"""),"KCK")</f>
        <v>KCK</v>
      </c>
      <c r="D3864" s="4" t="str">
        <f>IFERROR(__xludf.DUMMYFUNCTION("""COMPUTED_VALUE"""),"U.S. Reed")</f>
        <v>U.S. Reed</v>
      </c>
      <c r="E3864" s="4" t="str">
        <f>IFERROR(__xludf.DUMMYFUNCTION("""COMPUTED_VALUE"""),"Arkansas")</f>
        <v>Arkansas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</row>
    <row r="3865">
      <c r="A3865" s="4">
        <f>IFERROR(__xludf.DUMMYFUNCTION("""COMPUTED_VALUE"""),105.0)</f>
        <v>105</v>
      </c>
      <c r="B3865" s="4">
        <f>IFERROR(__xludf.DUMMYFUNCTION("""COMPUTED_VALUE"""),105.0)</f>
        <v>105</v>
      </c>
      <c r="C3865" s="4" t="str">
        <f>IFERROR(__xludf.DUMMYFUNCTION("""COMPUTED_VALUE"""),"HOU")</f>
        <v>HOU</v>
      </c>
      <c r="D3865" s="4" t="str">
        <f>IFERROR(__xludf.DUMMYFUNCTION("""COMPUTED_VALUE"""),"Hasan Houston")</f>
        <v>Hasan Houston</v>
      </c>
      <c r="E3865" s="4" t="str">
        <f>IFERROR(__xludf.DUMMYFUNCTION("""COMPUTED_VALUE"""),"Bradley")</f>
        <v>Bradley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</row>
    <row r="3866">
      <c r="A3866" s="4">
        <f>IFERROR(__xludf.DUMMYFUNCTION("""COMPUTED_VALUE"""),106.0)</f>
        <v>106</v>
      </c>
      <c r="B3866" s="4">
        <f>IFERROR(__xludf.DUMMYFUNCTION("""COMPUTED_VALUE"""),106.0)</f>
        <v>106</v>
      </c>
      <c r="C3866" s="4" t="str">
        <f>IFERROR(__xludf.DUMMYFUNCTION("""COMPUTED_VALUE"""),"IND")</f>
        <v>IND</v>
      </c>
      <c r="D3866" s="4" t="str">
        <f>IFERROR(__xludf.DUMMYFUNCTION("""COMPUTED_VALUE"""),"George Peterson")</f>
        <v>George Peterson</v>
      </c>
      <c r="E3866" s="4" t="str">
        <f>IFERROR(__xludf.DUMMYFUNCTION("""COMPUTED_VALUE"""),"New Jersey City University")</f>
        <v>New Jersey City University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</row>
    <row r="3867">
      <c r="A3867" s="4">
        <f>IFERROR(__xludf.DUMMYFUNCTION("""COMPUTED_VALUE"""),107.0)</f>
        <v>107</v>
      </c>
      <c r="B3867" s="4">
        <f>IFERROR(__xludf.DUMMYFUNCTION("""COMPUTED_VALUE"""),107.0)</f>
        <v>107</v>
      </c>
      <c r="C3867" s="4" t="str">
        <f>IFERROR(__xludf.DUMMYFUNCTION("""COMPUTED_VALUE"""),"POR")</f>
        <v>POR</v>
      </c>
      <c r="D3867" s="4" t="str">
        <f>IFERROR(__xludf.DUMMYFUNCTION("""COMPUTED_VALUE"""),"Herb Andrew")</f>
        <v>Herb Andrew</v>
      </c>
      <c r="E3867" s="4" t="str">
        <f>IFERROR(__xludf.DUMMYFUNCTION("""COMPUTED_VALUE"""),"University of South Alabama")</f>
        <v>University of South Alabama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</row>
    <row r="3868">
      <c r="A3868" s="4">
        <f>IFERROR(__xludf.DUMMYFUNCTION("""COMPUTED_VALUE"""),108.0)</f>
        <v>108</v>
      </c>
      <c r="B3868" s="4">
        <f>IFERROR(__xludf.DUMMYFUNCTION("""COMPUTED_VALUE"""),108.0)</f>
        <v>108</v>
      </c>
      <c r="C3868" s="4" t="str">
        <f>IFERROR(__xludf.DUMMYFUNCTION("""COMPUTED_VALUE"""),"CHI")</f>
        <v>CHI</v>
      </c>
      <c r="D3868" s="4" t="str">
        <f>IFERROR(__xludf.DUMMYFUNCTION("""COMPUTED_VALUE"""),"Johnny Nash")</f>
        <v>Johnny Nash</v>
      </c>
      <c r="E3868" s="4" t="str">
        <f>IFERROR(__xludf.DUMMYFUNCTION("""COMPUTED_VALUE"""),"Arizona State")</f>
        <v>Arizona State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</row>
    <row r="3869">
      <c r="A3869" s="4">
        <f>IFERROR(__xludf.DUMMYFUNCTION("""COMPUTED_VALUE"""),109.0)</f>
        <v>109</v>
      </c>
      <c r="B3869" s="4">
        <f>IFERROR(__xludf.DUMMYFUNCTION("""COMPUTED_VALUE"""),109.0)</f>
        <v>109</v>
      </c>
      <c r="C3869" s="4" t="str">
        <f>IFERROR(__xludf.DUMMYFUNCTION("""COMPUTED_VALUE"""),"NYK")</f>
        <v>NYK</v>
      </c>
      <c r="D3869" s="4" t="str">
        <f>IFERROR(__xludf.DUMMYFUNCTION("""COMPUTED_VALUE"""),"Jim Wright")</f>
        <v>Jim Wright</v>
      </c>
      <c r="E3869" s="4" t="str">
        <f>IFERROR(__xludf.DUMMYFUNCTION("""COMPUTED_VALUE"""),"Rhode Island")</f>
        <v>Rhode Island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</row>
    <row r="3870">
      <c r="A3870" s="4">
        <f>IFERROR(__xludf.DUMMYFUNCTION("""COMPUTED_VALUE"""),110.0)</f>
        <v>110</v>
      </c>
      <c r="B3870" s="4">
        <f>IFERROR(__xludf.DUMMYFUNCTION("""COMPUTED_VALUE"""),110.0)</f>
        <v>110</v>
      </c>
      <c r="C3870" s="4" t="str">
        <f>IFERROR(__xludf.DUMMYFUNCTION("""COMPUTED_VALUE"""),"SAS")</f>
        <v>SAS</v>
      </c>
      <c r="D3870" s="4" t="str">
        <f>IFERROR(__xludf.DUMMYFUNCTION("""COMPUTED_VALUE"""),"Mike Rhodes")</f>
        <v>Mike Rhodes</v>
      </c>
      <c r="E3870" s="4" t="str">
        <f>IFERROR(__xludf.DUMMYFUNCTION("""COMPUTED_VALUE"""),"Vanderbilt")</f>
        <v>Vanderbilt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</row>
    <row r="3871">
      <c r="A3871" s="4">
        <f>IFERROR(__xludf.DUMMYFUNCTION("""COMPUTED_VALUE"""),111.0)</f>
        <v>111</v>
      </c>
      <c r="B3871" s="4">
        <f>IFERROR(__xludf.DUMMYFUNCTION("""COMPUTED_VALUE"""),111.0)</f>
        <v>111</v>
      </c>
      <c r="C3871" s="4" t="str">
        <f>IFERROR(__xludf.DUMMYFUNCTION("""COMPUTED_VALUE"""),"LAL")</f>
        <v>LAL</v>
      </c>
      <c r="D3871" s="4" t="str">
        <f>IFERROR(__xludf.DUMMYFUNCTION("""COMPUTED_VALUE"""),"Craig Watts")</f>
        <v>Craig Watts</v>
      </c>
      <c r="E3871" s="4" t="str">
        <f>IFERROR(__xludf.DUMMYFUNCTION("""COMPUTED_VALUE"""),"NC State")</f>
        <v>NC State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</row>
    <row r="3872">
      <c r="A3872" s="4">
        <f>IFERROR(__xludf.DUMMYFUNCTION("""COMPUTED_VALUE"""),112.0)</f>
        <v>112</v>
      </c>
      <c r="B3872" s="4">
        <f>IFERROR(__xludf.DUMMYFUNCTION("""COMPUTED_VALUE"""),112.0)</f>
        <v>112</v>
      </c>
      <c r="C3872" s="4" t="str">
        <f>IFERROR(__xludf.DUMMYFUNCTION("""COMPUTED_VALUE"""),"PHO")</f>
        <v>PHO</v>
      </c>
      <c r="D3872" s="4" t="str">
        <f>IFERROR(__xludf.DUMMYFUNCTION("""COMPUTED_VALUE"""),"Paul Heuerman")</f>
        <v>Paul Heuerman</v>
      </c>
      <c r="E3872" s="4" t="str">
        <f>IFERROR(__xludf.DUMMYFUNCTION("""COMPUTED_VALUE"""),"Michigan")</f>
        <v>Michigan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</row>
    <row r="3873">
      <c r="A3873" s="4">
        <f>IFERROR(__xludf.DUMMYFUNCTION("""COMPUTED_VALUE"""),113.0)</f>
        <v>113</v>
      </c>
      <c r="B3873" s="4">
        <f>IFERROR(__xludf.DUMMYFUNCTION("""COMPUTED_VALUE"""),113.0)</f>
        <v>113</v>
      </c>
      <c r="C3873" s="4" t="str">
        <f>IFERROR(__xludf.DUMMYFUNCTION("""COMPUTED_VALUE"""),"MIL")</f>
        <v>MIL</v>
      </c>
      <c r="D3873" s="4" t="str">
        <f>IFERROR(__xludf.DUMMYFUNCTION("""COMPUTED_VALUE"""),"Kelvin Troy")</f>
        <v>Kelvin Troy</v>
      </c>
      <c r="E3873" s="4" t="str">
        <f>IFERROR(__xludf.DUMMYFUNCTION("""COMPUTED_VALUE"""),"Rutgers University")</f>
        <v>Rutgers University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</row>
    <row r="3874">
      <c r="A3874" s="4">
        <f>IFERROR(__xludf.DUMMYFUNCTION("""COMPUTED_VALUE"""),114.0)</f>
        <v>114</v>
      </c>
      <c r="B3874" s="4">
        <f>IFERROR(__xludf.DUMMYFUNCTION("""COMPUTED_VALUE"""),114.0)</f>
        <v>114</v>
      </c>
      <c r="C3874" s="4" t="str">
        <f>IFERROR(__xludf.DUMMYFUNCTION("""COMPUTED_VALUE"""),"PHI")</f>
        <v>PHI</v>
      </c>
      <c r="D3874" s="4" t="str">
        <f>IFERROR(__xludf.DUMMYFUNCTION("""COMPUTED_VALUE"""),"Steve Craig")</f>
        <v>Steve Craig</v>
      </c>
      <c r="E3874" s="4" t="str">
        <f>IFERROR(__xludf.DUMMYFUNCTION("""COMPUTED_VALUE"""),"BYU")</f>
        <v>BYU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</row>
    <row r="3875">
      <c r="A3875" s="4">
        <f>IFERROR(__xludf.DUMMYFUNCTION("""COMPUTED_VALUE"""),115.0)</f>
        <v>115</v>
      </c>
      <c r="B3875" s="4">
        <f>IFERROR(__xludf.DUMMYFUNCTION("""COMPUTED_VALUE"""),115.0)</f>
        <v>115</v>
      </c>
      <c r="C3875" s="4" t="str">
        <f>IFERROR(__xludf.DUMMYFUNCTION("""COMPUTED_VALUE"""),"BOS")</f>
        <v>BOS</v>
      </c>
      <c r="D3875" s="4" t="str">
        <f>IFERROR(__xludf.DUMMYFUNCTION("""COMPUTED_VALUE"""),"Glen Grunwald")</f>
        <v>Glen Grunwald</v>
      </c>
      <c r="E3875" s="4" t="str">
        <f>IFERROR(__xludf.DUMMYFUNCTION("""COMPUTED_VALUE"""),"Indiana")</f>
        <v>Indiana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</row>
    <row r="3876">
      <c r="A3876" s="4"/>
      <c r="B3876" s="4"/>
      <c r="C3876" s="4"/>
      <c r="D3876" s="4" t="str">
        <f>IFERROR(__xludf.DUMMYFUNCTION("""COMPUTED_VALUE"""),"Round 6")</f>
        <v>Round 6</v>
      </c>
      <c r="E3876" s="4"/>
      <c r="F3876" s="4"/>
      <c r="G3876" s="4" t="str">
        <f>IFERROR(__xludf.DUMMYFUNCTION("""COMPUTED_VALUE"""),"Totals")</f>
        <v>Totals</v>
      </c>
      <c r="H3876" s="4"/>
      <c r="I3876" s="4"/>
      <c r="J3876" s="4"/>
      <c r="K3876" s="4"/>
      <c r="L3876" s="4" t="str">
        <f>IFERROR(__xludf.DUMMYFUNCTION("""COMPUTED_VALUE"""),"Shooting")</f>
        <v>Shooting</v>
      </c>
      <c r="M3876" s="4"/>
      <c r="N3876" s="4"/>
      <c r="O3876" s="4" t="str">
        <f>IFERROR(__xludf.DUMMYFUNCTION("""COMPUTED_VALUE"""),"Per Game")</f>
        <v>Per Game</v>
      </c>
      <c r="P3876" s="4"/>
      <c r="Q3876" s="4"/>
      <c r="R3876" s="4"/>
      <c r="S3876" s="4" t="str">
        <f>IFERROR(__xludf.DUMMYFUNCTION("""COMPUTED_VALUE"""),"Advanced")</f>
        <v>Advanced</v>
      </c>
      <c r="T3876" s="4"/>
      <c r="U3876" s="4"/>
      <c r="V3876" s="4"/>
    </row>
    <row r="3877">
      <c r="A3877" s="4" t="str">
        <f>IFERROR(__xludf.DUMMYFUNCTION("""COMPUTED_VALUE"""),"Rk")</f>
        <v>Rk</v>
      </c>
      <c r="B3877" s="4" t="str">
        <f>IFERROR(__xludf.DUMMYFUNCTION("""COMPUTED_VALUE"""),"Pk")</f>
        <v>Pk</v>
      </c>
      <c r="C3877" s="4" t="str">
        <f>IFERROR(__xludf.DUMMYFUNCTION("""COMPUTED_VALUE"""),"Tm")</f>
        <v>Tm</v>
      </c>
      <c r="D3877" s="4" t="str">
        <f>IFERROR(__xludf.DUMMYFUNCTION("""COMPUTED_VALUE"""),"Player")</f>
        <v>Player</v>
      </c>
      <c r="E3877" s="4" t="str">
        <f>IFERROR(__xludf.DUMMYFUNCTION("""COMPUTED_VALUE"""),"College")</f>
        <v>College</v>
      </c>
      <c r="F3877" s="4" t="str">
        <f>IFERROR(__xludf.DUMMYFUNCTION("""COMPUTED_VALUE"""),"Yrs")</f>
        <v>Yrs</v>
      </c>
      <c r="G3877" s="4" t="str">
        <f>IFERROR(__xludf.DUMMYFUNCTION("""COMPUTED_VALUE"""),"G")</f>
        <v>G</v>
      </c>
      <c r="H3877" s="4" t="str">
        <f>IFERROR(__xludf.DUMMYFUNCTION("""COMPUTED_VALUE"""),"MP")</f>
        <v>MP</v>
      </c>
      <c r="I3877" s="4" t="str">
        <f>IFERROR(__xludf.DUMMYFUNCTION("""COMPUTED_VALUE"""),"PTS")</f>
        <v>PTS</v>
      </c>
      <c r="J3877" s="4" t="str">
        <f>IFERROR(__xludf.DUMMYFUNCTION("""COMPUTED_VALUE"""),"TRB")</f>
        <v>TRB</v>
      </c>
      <c r="K3877" s="4" t="str">
        <f>IFERROR(__xludf.DUMMYFUNCTION("""COMPUTED_VALUE"""),"AST")</f>
        <v>AST</v>
      </c>
      <c r="L3877" s="4" t="str">
        <f>IFERROR(__xludf.DUMMYFUNCTION("""COMPUTED_VALUE"""),"FG%")</f>
        <v>FG%</v>
      </c>
      <c r="M3877" s="4" t="str">
        <f>IFERROR(__xludf.DUMMYFUNCTION("""COMPUTED_VALUE"""),"3P%")</f>
        <v>3P%</v>
      </c>
      <c r="N3877" s="4" t="str">
        <f>IFERROR(__xludf.DUMMYFUNCTION("""COMPUTED_VALUE"""),"FT%")</f>
        <v>FT%</v>
      </c>
      <c r="O3877" s="4" t="str">
        <f>IFERROR(__xludf.DUMMYFUNCTION("""COMPUTED_VALUE"""),"MP")</f>
        <v>MP</v>
      </c>
      <c r="P3877" s="4" t="str">
        <f>IFERROR(__xludf.DUMMYFUNCTION("""COMPUTED_VALUE"""),"PTS")</f>
        <v>PTS</v>
      </c>
      <c r="Q3877" s="4" t="str">
        <f>IFERROR(__xludf.DUMMYFUNCTION("""COMPUTED_VALUE"""),"TRB")</f>
        <v>TRB</v>
      </c>
      <c r="R3877" s="4" t="str">
        <f>IFERROR(__xludf.DUMMYFUNCTION("""COMPUTED_VALUE"""),"AST")</f>
        <v>AST</v>
      </c>
      <c r="S3877" s="4" t="str">
        <f>IFERROR(__xludf.DUMMYFUNCTION("""COMPUTED_VALUE"""),"WS")</f>
        <v>WS</v>
      </c>
      <c r="T3877" s="4" t="str">
        <f>IFERROR(__xludf.DUMMYFUNCTION("""COMPUTED_VALUE"""),"WS/48")</f>
        <v>WS/48</v>
      </c>
      <c r="U3877" s="4" t="str">
        <f>IFERROR(__xludf.DUMMYFUNCTION("""COMPUTED_VALUE"""),"BPM")</f>
        <v>BPM</v>
      </c>
      <c r="V3877" s="4" t="str">
        <f>IFERROR(__xludf.DUMMYFUNCTION("""COMPUTED_VALUE"""),"VORP")</f>
        <v>VORP</v>
      </c>
    </row>
    <row r="3878">
      <c r="A3878" s="4">
        <f>IFERROR(__xludf.DUMMYFUNCTION("""COMPUTED_VALUE"""),116.0)</f>
        <v>116</v>
      </c>
      <c r="B3878" s="4">
        <f>IFERROR(__xludf.DUMMYFUNCTION("""COMPUTED_VALUE"""),116.0)</f>
        <v>116</v>
      </c>
      <c r="C3878" s="4" t="str">
        <f>IFERROR(__xludf.DUMMYFUNCTION("""COMPUTED_VALUE"""),"DAL")</f>
        <v>DAL</v>
      </c>
      <c r="D3878" s="4" t="str">
        <f>IFERROR(__xludf.DUMMYFUNCTION("""COMPUTED_VALUE"""),"Karl Bankowski")</f>
        <v>Karl Bankowski</v>
      </c>
      <c r="E3878" s="4" t="str">
        <f>IFERROR(__xludf.DUMMYFUNCTION("""COMPUTED_VALUE"""),"Utah")</f>
        <v>Utah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</row>
    <row r="3879">
      <c r="A3879" s="4">
        <f>IFERROR(__xludf.DUMMYFUNCTION("""COMPUTED_VALUE"""),117.0)</f>
        <v>117</v>
      </c>
      <c r="B3879" s="4">
        <f>IFERROR(__xludf.DUMMYFUNCTION("""COMPUTED_VALUE"""),117.0)</f>
        <v>117</v>
      </c>
      <c r="C3879" s="4" t="str">
        <f>IFERROR(__xludf.DUMMYFUNCTION("""COMPUTED_VALUE"""),"DET")</f>
        <v>DET</v>
      </c>
      <c r="D3879" s="4" t="str">
        <f>IFERROR(__xludf.DUMMYFUNCTION("""COMPUTED_VALUE"""),"Vince Brookins")</f>
        <v>Vince Brookins</v>
      </c>
      <c r="E3879" s="4" t="str">
        <f>IFERROR(__xludf.DUMMYFUNCTION("""COMPUTED_VALUE"""),"Iowa")</f>
        <v>Iowa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</row>
    <row r="3880">
      <c r="A3880" s="4">
        <f>IFERROR(__xludf.DUMMYFUNCTION("""COMPUTED_VALUE"""),118.0)</f>
        <v>118</v>
      </c>
      <c r="B3880" s="4">
        <f>IFERROR(__xludf.DUMMYFUNCTION("""COMPUTED_VALUE"""),118.0)</f>
        <v>118</v>
      </c>
      <c r="C3880" s="4" t="str">
        <f>IFERROR(__xludf.DUMMYFUNCTION("""COMPUTED_VALUE"""),"NJN")</f>
        <v>NJN</v>
      </c>
      <c r="D3880" s="4" t="str">
        <f>IFERROR(__xludf.DUMMYFUNCTION("""COMPUTED_VALUE"""),"Kevin Lynam")</f>
        <v>Kevin Lynam</v>
      </c>
      <c r="E3880" s="4" t="str">
        <f>IFERROR(__xludf.DUMMYFUNCTION("""COMPUTED_VALUE"""),"La Salle")</f>
        <v>La Salle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</row>
    <row r="3881">
      <c r="A3881" s="4">
        <f>IFERROR(__xludf.DUMMYFUNCTION("""COMPUTED_VALUE"""),119.0)</f>
        <v>119</v>
      </c>
      <c r="B3881" s="4">
        <f>IFERROR(__xludf.DUMMYFUNCTION("""COMPUTED_VALUE"""),119.0)</f>
        <v>119</v>
      </c>
      <c r="C3881" s="4" t="str">
        <f>IFERROR(__xludf.DUMMYFUNCTION("""COMPUTED_VALUE"""),"UTA")</f>
        <v>UTA</v>
      </c>
      <c r="D3881" s="4" t="str">
        <f>IFERROR(__xludf.DUMMYFUNCTION("""COMPUTED_VALUE"""),"Kevin Sprewer")</f>
        <v>Kevin Sprewer</v>
      </c>
      <c r="E3881" s="4" t="str">
        <f>IFERROR(__xludf.DUMMYFUNCTION("""COMPUTED_VALUE"""),"Loyola Chicago")</f>
        <v>Loyola Chicago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</row>
    <row r="3882">
      <c r="A3882" s="4">
        <f>IFERROR(__xludf.DUMMYFUNCTION("""COMPUTED_VALUE"""),120.0)</f>
        <v>120</v>
      </c>
      <c r="B3882" s="4">
        <f>IFERROR(__xludf.DUMMYFUNCTION("""COMPUTED_VALUE"""),120.0)</f>
        <v>120</v>
      </c>
      <c r="C3882" s="4" t="str">
        <f>IFERROR(__xludf.DUMMYFUNCTION("""COMPUTED_VALUE"""),"CLE")</f>
        <v>CLE</v>
      </c>
      <c r="D3882" s="4" t="str">
        <f>IFERROR(__xludf.DUMMYFUNCTION("""COMPUTED_VALUE"""),"Aaron Strayhorn")</f>
        <v>Aaron Strayhorn</v>
      </c>
      <c r="E3882" s="4" t="str">
        <f>IFERROR(__xludf.DUMMYFUNCTION("""COMPUTED_VALUE"""),"Hawaii")</f>
        <v>Hawaii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</row>
    <row r="3883">
      <c r="A3883" s="4">
        <f>IFERROR(__xludf.DUMMYFUNCTION("""COMPUTED_VALUE"""),121.0)</f>
        <v>121</v>
      </c>
      <c r="B3883" s="4">
        <f>IFERROR(__xludf.DUMMYFUNCTION("""COMPUTED_VALUE"""),121.0)</f>
        <v>121</v>
      </c>
      <c r="C3883" s="4" t="str">
        <f>IFERROR(__xludf.DUMMYFUNCTION("""COMPUTED_VALUE"""),"ATL")</f>
        <v>ATL</v>
      </c>
      <c r="D3883" s="4" t="str">
        <f>IFERROR(__xludf.DUMMYFUNCTION("""COMPUTED_VALUE"""),"Darryl Warwick")</f>
        <v>Darryl Warwick</v>
      </c>
      <c r="E3883" s="4" t="str">
        <f>IFERROR(__xludf.DUMMYFUNCTION("""COMPUTED_VALUE"""),"Hampton")</f>
        <v>Hampton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</row>
    <row r="3884">
      <c r="A3884" s="4">
        <f>IFERROR(__xludf.DUMMYFUNCTION("""COMPUTED_VALUE"""),122.0)</f>
        <v>122</v>
      </c>
      <c r="B3884" s="4">
        <f>IFERROR(__xludf.DUMMYFUNCTION("""COMPUTED_VALUE"""),122.0)</f>
        <v>122</v>
      </c>
      <c r="C3884" s="4" t="str">
        <f>IFERROR(__xludf.DUMMYFUNCTION("""COMPUTED_VALUE"""),"SEA")</f>
        <v>SEA</v>
      </c>
      <c r="D3884" s="4" t="str">
        <f>IFERROR(__xludf.DUMMYFUNCTION("""COMPUTED_VALUE"""),"Earl Banks")</f>
        <v>Earl Banks</v>
      </c>
      <c r="E3884" s="4" t="str">
        <f>IFERROR(__xludf.DUMMYFUNCTION("""COMPUTED_VALUE"""),"Auburn")</f>
        <v>Auburn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</row>
    <row r="3885">
      <c r="A3885" s="4">
        <f>IFERROR(__xludf.DUMMYFUNCTION("""COMPUTED_VALUE"""),123.0)</f>
        <v>123</v>
      </c>
      <c r="B3885" s="4">
        <f>IFERROR(__xludf.DUMMYFUNCTION("""COMPUTED_VALUE"""),123.0)</f>
        <v>123</v>
      </c>
      <c r="C3885" s="4" t="str">
        <f>IFERROR(__xludf.DUMMYFUNCTION("""COMPUTED_VALUE"""),"SDC")</f>
        <v>SDC</v>
      </c>
      <c r="D3885" s="4" t="str">
        <f>IFERROR(__xludf.DUMMYFUNCTION("""COMPUTED_VALUE"""),"Mike Pepper")</f>
        <v>Mike Pepper</v>
      </c>
      <c r="E3885" s="4" t="str">
        <f>IFERROR(__xludf.DUMMYFUNCTION("""COMPUTED_VALUE"""),"UNC")</f>
        <v>UNC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</row>
    <row r="3886">
      <c r="A3886" s="4">
        <f>IFERROR(__xludf.DUMMYFUNCTION("""COMPUTED_VALUE"""),124.0)</f>
        <v>124</v>
      </c>
      <c r="B3886" s="4">
        <f>IFERROR(__xludf.DUMMYFUNCTION("""COMPUTED_VALUE"""),124.0)</f>
        <v>124</v>
      </c>
      <c r="C3886" s="4" t="str">
        <f>IFERROR(__xludf.DUMMYFUNCTION("""COMPUTED_VALUE"""),"DEN")</f>
        <v>DEN</v>
      </c>
      <c r="D3886" s="4" t="str">
        <f>IFERROR(__xludf.DUMMYFUNCTION("""COMPUTED_VALUE"""),"Alonzo Weatherly")</f>
        <v>Alonzo Weatherly</v>
      </c>
      <c r="E3886" s="4" t="str">
        <f>IFERROR(__xludf.DUMMYFUNCTION("""COMPUTED_VALUE"""),"Denver")</f>
        <v>Denver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</row>
    <row r="3887">
      <c r="A3887" s="4">
        <f>IFERROR(__xludf.DUMMYFUNCTION("""COMPUTED_VALUE"""),125.0)</f>
        <v>125</v>
      </c>
      <c r="B3887" s="4">
        <f>IFERROR(__xludf.DUMMYFUNCTION("""COMPUTED_VALUE"""),125.0)</f>
        <v>125</v>
      </c>
      <c r="C3887" s="4" t="str">
        <f>IFERROR(__xludf.DUMMYFUNCTION("""COMPUTED_VALUE"""),"WSB")</f>
        <v>WSB</v>
      </c>
      <c r="D3887" s="4" t="str">
        <f>IFERROR(__xludf.DUMMYFUNCTION("""COMPUTED_VALUE"""),"Robert Williams")</f>
        <v>Robert Williams</v>
      </c>
      <c r="E3887" s="4" t="str">
        <f>IFERROR(__xludf.DUMMYFUNCTION("""COMPUTED_VALUE"""),"Grambling State University")</f>
        <v>Grambling State University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</row>
    <row r="3888">
      <c r="A3888" s="4">
        <f>IFERROR(__xludf.DUMMYFUNCTION("""COMPUTED_VALUE"""),126.0)</f>
        <v>126</v>
      </c>
      <c r="B3888" s="4">
        <f>IFERROR(__xludf.DUMMYFUNCTION("""COMPUTED_VALUE"""),126.0)</f>
        <v>126</v>
      </c>
      <c r="C3888" s="4" t="str">
        <f>IFERROR(__xludf.DUMMYFUNCTION("""COMPUTED_VALUE"""),"GSW")</f>
        <v>GSW</v>
      </c>
      <c r="D3888" s="4" t="str">
        <f>IFERROR(__xludf.DUMMYFUNCTION("""COMPUTED_VALUE"""),"Carter Scott")</f>
        <v>Carter Scott</v>
      </c>
      <c r="E3888" s="4" t="str">
        <f>IFERROR(__xludf.DUMMYFUNCTION("""COMPUTED_VALUE"""),"Ohio State")</f>
        <v>Ohio State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</row>
    <row r="3889">
      <c r="A3889" s="4">
        <f>IFERROR(__xludf.DUMMYFUNCTION("""COMPUTED_VALUE"""),127.0)</f>
        <v>127</v>
      </c>
      <c r="B3889" s="4">
        <f>IFERROR(__xludf.DUMMYFUNCTION("""COMPUTED_VALUE"""),127.0)</f>
        <v>127</v>
      </c>
      <c r="C3889" s="4" t="str">
        <f>IFERROR(__xludf.DUMMYFUNCTION("""COMPUTED_VALUE"""),"HOU")</f>
        <v>HOU</v>
      </c>
      <c r="D3889" s="4" t="str">
        <f>IFERROR(__xludf.DUMMYFUNCTION("""COMPUTED_VALUE"""),"Fred Cowan")</f>
        <v>Fred Cowan</v>
      </c>
      <c r="E3889" s="4" t="str">
        <f>IFERROR(__xludf.DUMMYFUNCTION("""COMPUTED_VALUE"""),"Kentucky")</f>
        <v>Kentucky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</row>
    <row r="3890">
      <c r="A3890" s="4">
        <f>IFERROR(__xludf.DUMMYFUNCTION("""COMPUTED_VALUE"""),128.0)</f>
        <v>128</v>
      </c>
      <c r="B3890" s="4">
        <f>IFERROR(__xludf.DUMMYFUNCTION("""COMPUTED_VALUE"""),128.0)</f>
        <v>128</v>
      </c>
      <c r="C3890" s="4" t="str">
        <f>IFERROR(__xludf.DUMMYFUNCTION("""COMPUTED_VALUE"""),"KCK")</f>
        <v>KCK</v>
      </c>
      <c r="D3890" s="4" t="str">
        <f>IFERROR(__xludf.DUMMYFUNCTION("""COMPUTED_VALUE"""),"Brian Walker")</f>
        <v>Brian Walker</v>
      </c>
      <c r="E3890" s="4" t="str">
        <f>IFERROR(__xludf.DUMMYFUNCTION("""COMPUTED_VALUE"""),"Purdue")</f>
        <v>Purdue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</row>
    <row r="3891">
      <c r="A3891" s="4">
        <f>IFERROR(__xludf.DUMMYFUNCTION("""COMPUTED_VALUE"""),129.0)</f>
        <v>129</v>
      </c>
      <c r="B3891" s="4">
        <f>IFERROR(__xludf.DUMMYFUNCTION("""COMPUTED_VALUE"""),129.0)</f>
        <v>129</v>
      </c>
      <c r="C3891" s="4" t="str">
        <f>IFERROR(__xludf.DUMMYFUNCTION("""COMPUTED_VALUE"""),"IND")</f>
        <v>IND</v>
      </c>
      <c r="D3891" s="4" t="str">
        <f>IFERROR(__xludf.DUMMYFUNCTION("""COMPUTED_VALUE"""),"Robert Fronk")</f>
        <v>Robert Fronk</v>
      </c>
      <c r="E3891" s="4" t="str">
        <f>IFERROR(__xludf.DUMMYFUNCTION("""COMPUTED_VALUE"""),"Washington")</f>
        <v>Washington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</row>
    <row r="3892">
      <c r="A3892" s="4">
        <f>IFERROR(__xludf.DUMMYFUNCTION("""COMPUTED_VALUE"""),130.0)</f>
        <v>130</v>
      </c>
      <c r="B3892" s="4">
        <f>IFERROR(__xludf.DUMMYFUNCTION("""COMPUTED_VALUE"""),130.0)</f>
        <v>130</v>
      </c>
      <c r="C3892" s="4" t="str">
        <f>IFERROR(__xludf.DUMMYFUNCTION("""COMPUTED_VALUE"""),"CHI")</f>
        <v>CHI</v>
      </c>
      <c r="D3892" s="4" t="str">
        <f>IFERROR(__xludf.DUMMYFUNCTION("""COMPUTED_VALUE"""),"Roger Burkman")</f>
        <v>Roger Burkman</v>
      </c>
      <c r="E3892" s="4" t="str">
        <f>IFERROR(__xludf.DUMMYFUNCTION("""COMPUTED_VALUE"""),"Louisville")</f>
        <v>Louisville</v>
      </c>
      <c r="F3892" s="4">
        <f>IFERROR(__xludf.DUMMYFUNCTION("""COMPUTED_VALUE"""),1.0)</f>
        <v>1</v>
      </c>
      <c r="G3892" s="4">
        <f>IFERROR(__xludf.DUMMYFUNCTION("""COMPUTED_VALUE"""),6.0)</f>
        <v>6</v>
      </c>
      <c r="H3892" s="4">
        <f>IFERROR(__xludf.DUMMYFUNCTION("""COMPUTED_VALUE"""),30.0)</f>
        <v>30</v>
      </c>
      <c r="I3892" s="4">
        <f>IFERROR(__xludf.DUMMYFUNCTION("""COMPUTED_VALUE"""),5.0)</f>
        <v>5</v>
      </c>
      <c r="J3892" s="4">
        <f>IFERROR(__xludf.DUMMYFUNCTION("""COMPUTED_VALUE"""),6.0)</f>
        <v>6</v>
      </c>
      <c r="K3892" s="4">
        <f>IFERROR(__xludf.DUMMYFUNCTION("""COMPUTED_VALUE"""),5.0)</f>
        <v>5</v>
      </c>
      <c r="L3892" s="4">
        <f>IFERROR(__xludf.DUMMYFUNCTION("""COMPUTED_VALUE"""),0.0)</f>
        <v>0</v>
      </c>
      <c r="M3892" s="4">
        <f>IFERROR(__xludf.DUMMYFUNCTION("""COMPUTED_VALUE"""),0.0)</f>
        <v>0</v>
      </c>
      <c r="N3892" s="4">
        <f>IFERROR(__xludf.DUMMYFUNCTION("""COMPUTED_VALUE"""),0.833)</f>
        <v>0.833</v>
      </c>
      <c r="O3892" s="4">
        <f>IFERROR(__xludf.DUMMYFUNCTION("""COMPUTED_VALUE"""),5.0)</f>
        <v>5</v>
      </c>
      <c r="P3892" s="4">
        <f>IFERROR(__xludf.DUMMYFUNCTION("""COMPUTED_VALUE"""),0.8)</f>
        <v>0.8</v>
      </c>
      <c r="Q3892" s="4">
        <f>IFERROR(__xludf.DUMMYFUNCTION("""COMPUTED_VALUE"""),1.0)</f>
        <v>1</v>
      </c>
      <c r="R3892" s="4">
        <f>IFERROR(__xludf.DUMMYFUNCTION("""COMPUTED_VALUE"""),0.8)</f>
        <v>0.8</v>
      </c>
      <c r="S3892" s="4">
        <f>IFERROR(__xludf.DUMMYFUNCTION("""COMPUTED_VALUE"""),0.1)</f>
        <v>0.1</v>
      </c>
      <c r="T3892" s="4">
        <f>IFERROR(__xludf.DUMMYFUNCTION("""COMPUTED_VALUE"""),0.093)</f>
        <v>0.093</v>
      </c>
      <c r="U3892" s="4">
        <f>IFERROR(__xludf.DUMMYFUNCTION("""COMPUTED_VALUE"""),-2.0)</f>
        <v>-2</v>
      </c>
      <c r="V3892" s="4">
        <f>IFERROR(__xludf.DUMMYFUNCTION("""COMPUTED_VALUE"""),0.1)</f>
        <v>0.1</v>
      </c>
    </row>
    <row r="3893">
      <c r="A3893" s="4">
        <f>IFERROR(__xludf.DUMMYFUNCTION("""COMPUTED_VALUE"""),131.0)</f>
        <v>131</v>
      </c>
      <c r="B3893" s="4">
        <f>IFERROR(__xludf.DUMMYFUNCTION("""COMPUTED_VALUE"""),131.0)</f>
        <v>131</v>
      </c>
      <c r="C3893" s="4" t="str">
        <f>IFERROR(__xludf.DUMMYFUNCTION("""COMPUTED_VALUE"""),"POR")</f>
        <v>POR</v>
      </c>
      <c r="D3893" s="4" t="str">
        <f>IFERROR(__xludf.DUMMYFUNCTION("""COMPUTED_VALUE"""),"Roshern Amie")</f>
        <v>Roshern Amie</v>
      </c>
      <c r="E3893" s="4" t="str">
        <f>IFERROR(__xludf.DUMMYFUNCTION("""COMPUTED_VALUE"""),"Texas-El Paso")</f>
        <v>Texas-El Paso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</row>
    <row r="3894">
      <c r="A3894" s="4">
        <f>IFERROR(__xludf.DUMMYFUNCTION("""COMPUTED_VALUE"""),132.0)</f>
        <v>132</v>
      </c>
      <c r="B3894" s="4">
        <f>IFERROR(__xludf.DUMMYFUNCTION("""COMPUTED_VALUE"""),132.0)</f>
        <v>132</v>
      </c>
      <c r="C3894" s="4" t="str">
        <f>IFERROR(__xludf.DUMMYFUNCTION("""COMPUTED_VALUE"""),"NYK")</f>
        <v>NYK</v>
      </c>
      <c r="D3894" s="4" t="str">
        <f>IFERROR(__xludf.DUMMYFUNCTION("""COMPUTED_VALUE"""),"John Blair")</f>
        <v>John Blair</v>
      </c>
      <c r="E3894" s="4" t="str">
        <f>IFERROR(__xludf.DUMMYFUNCTION("""COMPUTED_VALUE"""),"Monmouth University")</f>
        <v>Monmouth University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</row>
    <row r="3895">
      <c r="A3895" s="4">
        <f>IFERROR(__xludf.DUMMYFUNCTION("""COMPUTED_VALUE"""),133.0)</f>
        <v>133</v>
      </c>
      <c r="B3895" s="4">
        <f>IFERROR(__xludf.DUMMYFUNCTION("""COMPUTED_VALUE"""),133.0)</f>
        <v>133</v>
      </c>
      <c r="C3895" s="4" t="str">
        <f>IFERROR(__xludf.DUMMYFUNCTION("""COMPUTED_VALUE"""),"SAS")</f>
        <v>SAS</v>
      </c>
      <c r="D3895" s="4" t="str">
        <f>IFERROR(__xludf.DUMMYFUNCTION("""COMPUTED_VALUE"""),"Northern Shavers")</f>
        <v>Northern Shavers</v>
      </c>
      <c r="E3895" s="4" t="str">
        <f>IFERROR(__xludf.DUMMYFUNCTION("""COMPUTED_VALUE"""),"Jackson State University")</f>
        <v>Jackson State University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</row>
    <row r="3896">
      <c r="A3896" s="4">
        <f>IFERROR(__xludf.DUMMYFUNCTION("""COMPUTED_VALUE"""),134.0)</f>
        <v>134</v>
      </c>
      <c r="B3896" s="4">
        <f>IFERROR(__xludf.DUMMYFUNCTION("""COMPUTED_VALUE"""),134.0)</f>
        <v>134</v>
      </c>
      <c r="C3896" s="4" t="str">
        <f>IFERROR(__xludf.DUMMYFUNCTION("""COMPUTED_VALUE"""),"LAL")</f>
        <v>LAL</v>
      </c>
      <c r="D3896" s="4" t="str">
        <f>IFERROR(__xludf.DUMMYFUNCTION("""COMPUTED_VALUE"""),"Kevin Singleton")</f>
        <v>Kevin Singleton</v>
      </c>
      <c r="E3896" s="4" t="str">
        <f>IFERROR(__xludf.DUMMYFUNCTION("""COMPUTED_VALUE"""),"California")</f>
        <v>California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</row>
    <row r="3897">
      <c r="A3897" s="4">
        <f>IFERROR(__xludf.DUMMYFUNCTION("""COMPUTED_VALUE"""),135.0)</f>
        <v>135</v>
      </c>
      <c r="B3897" s="4">
        <f>IFERROR(__xludf.DUMMYFUNCTION("""COMPUTED_VALUE"""),135.0)</f>
        <v>135</v>
      </c>
      <c r="C3897" s="4" t="str">
        <f>IFERROR(__xludf.DUMMYFUNCTION("""COMPUTED_VALUE"""),"PHO")</f>
        <v>PHO</v>
      </c>
      <c r="D3897" s="4" t="str">
        <f>IFERROR(__xludf.DUMMYFUNCTION("""COMPUTED_VALUE"""),"Pete Harris")</f>
        <v>Pete Harris</v>
      </c>
      <c r="E3897" s="4" t="str">
        <f>IFERROR(__xludf.DUMMYFUNCTION("""COMPUTED_VALUE"""),"Northeastern University")</f>
        <v>Northeastern University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</row>
    <row r="3898">
      <c r="A3898" s="4">
        <f>IFERROR(__xludf.DUMMYFUNCTION("""COMPUTED_VALUE"""),136.0)</f>
        <v>136</v>
      </c>
      <c r="B3898" s="4">
        <f>IFERROR(__xludf.DUMMYFUNCTION("""COMPUTED_VALUE"""),136.0)</f>
        <v>136</v>
      </c>
      <c r="C3898" s="4" t="str">
        <f>IFERROR(__xludf.DUMMYFUNCTION("""COMPUTED_VALUE"""),"MIL")</f>
        <v>MIL</v>
      </c>
      <c r="D3898" s="4" t="str">
        <f>IFERROR(__xludf.DUMMYFUNCTION("""COMPUTED_VALUE"""),"Jo Jo Hunter")</f>
        <v>Jo Jo Hunter</v>
      </c>
      <c r="E3898" s="4" t="str">
        <f>IFERROR(__xludf.DUMMYFUNCTION("""COMPUTED_VALUE"""),"Colorado")</f>
        <v>Colorado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</row>
    <row r="3899">
      <c r="A3899" s="4">
        <f>IFERROR(__xludf.DUMMYFUNCTION("""COMPUTED_VALUE"""),137.0)</f>
        <v>137</v>
      </c>
      <c r="B3899" s="4">
        <f>IFERROR(__xludf.DUMMYFUNCTION("""COMPUTED_VALUE"""),137.0)</f>
        <v>137</v>
      </c>
      <c r="C3899" s="4" t="str">
        <f>IFERROR(__xludf.DUMMYFUNCTION("""COMPUTED_VALUE"""),"BOS")</f>
        <v>BOS</v>
      </c>
      <c r="D3899" s="4" t="str">
        <f>IFERROR(__xludf.DUMMYFUNCTION("""COMPUTED_VALUE"""),"Steve Waite")</f>
        <v>Steve Waite</v>
      </c>
      <c r="E3899" s="4" t="str">
        <f>IFERROR(__xludf.DUMMYFUNCTION("""COMPUTED_VALUE"""),"Iowa")</f>
        <v>Iowa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</row>
    <row r="3900">
      <c r="A3900" s="4">
        <f>IFERROR(__xludf.DUMMYFUNCTION("""COMPUTED_VALUE"""),138.0)</f>
        <v>138</v>
      </c>
      <c r="B3900" s="4">
        <f>IFERROR(__xludf.DUMMYFUNCTION("""COMPUTED_VALUE"""),138.0)</f>
        <v>138</v>
      </c>
      <c r="C3900" s="4" t="str">
        <f>IFERROR(__xludf.DUMMYFUNCTION("""COMPUTED_VALUE"""),"PHI")</f>
        <v>PHI</v>
      </c>
      <c r="D3900" s="4" t="str">
        <f>IFERROR(__xludf.DUMMYFUNCTION("""COMPUTED_VALUE"""),"Michael Thomas")</f>
        <v>Michael Thomas</v>
      </c>
      <c r="E3900" s="4" t="str">
        <f>IFERROR(__xludf.DUMMYFUNCTION("""COMPUTED_VALUE"""),"North Park University")</f>
        <v>North Park University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</row>
    <row r="3901">
      <c r="A3901" s="4"/>
      <c r="B3901" s="4"/>
      <c r="C3901" s="4"/>
      <c r="D3901" s="4" t="str">
        <f>IFERROR(__xludf.DUMMYFUNCTION("""COMPUTED_VALUE"""),"Round 7")</f>
        <v>Round 7</v>
      </c>
      <c r="E3901" s="4"/>
      <c r="F3901" s="4"/>
      <c r="G3901" s="4" t="str">
        <f>IFERROR(__xludf.DUMMYFUNCTION("""COMPUTED_VALUE"""),"Totals")</f>
        <v>Totals</v>
      </c>
      <c r="H3901" s="4"/>
      <c r="I3901" s="4"/>
      <c r="J3901" s="4"/>
      <c r="K3901" s="4"/>
      <c r="L3901" s="4" t="str">
        <f>IFERROR(__xludf.DUMMYFUNCTION("""COMPUTED_VALUE"""),"Shooting")</f>
        <v>Shooting</v>
      </c>
      <c r="M3901" s="4"/>
      <c r="N3901" s="4"/>
      <c r="O3901" s="4" t="str">
        <f>IFERROR(__xludf.DUMMYFUNCTION("""COMPUTED_VALUE"""),"Per Game")</f>
        <v>Per Game</v>
      </c>
      <c r="P3901" s="4"/>
      <c r="Q3901" s="4"/>
      <c r="R3901" s="4"/>
      <c r="S3901" s="4" t="str">
        <f>IFERROR(__xludf.DUMMYFUNCTION("""COMPUTED_VALUE"""),"Advanced")</f>
        <v>Advanced</v>
      </c>
      <c r="T3901" s="4"/>
      <c r="U3901" s="4"/>
      <c r="V3901" s="4"/>
    </row>
    <row r="3902">
      <c r="A3902" s="4" t="str">
        <f>IFERROR(__xludf.DUMMYFUNCTION("""COMPUTED_VALUE"""),"Rk")</f>
        <v>Rk</v>
      </c>
      <c r="B3902" s="4" t="str">
        <f>IFERROR(__xludf.DUMMYFUNCTION("""COMPUTED_VALUE"""),"Pk")</f>
        <v>Pk</v>
      </c>
      <c r="C3902" s="4" t="str">
        <f>IFERROR(__xludf.DUMMYFUNCTION("""COMPUTED_VALUE"""),"Tm")</f>
        <v>Tm</v>
      </c>
      <c r="D3902" s="4" t="str">
        <f>IFERROR(__xludf.DUMMYFUNCTION("""COMPUTED_VALUE"""),"Player")</f>
        <v>Player</v>
      </c>
      <c r="E3902" s="4" t="str">
        <f>IFERROR(__xludf.DUMMYFUNCTION("""COMPUTED_VALUE"""),"College")</f>
        <v>College</v>
      </c>
      <c r="F3902" s="4" t="str">
        <f>IFERROR(__xludf.DUMMYFUNCTION("""COMPUTED_VALUE"""),"Yrs")</f>
        <v>Yrs</v>
      </c>
      <c r="G3902" s="4" t="str">
        <f>IFERROR(__xludf.DUMMYFUNCTION("""COMPUTED_VALUE"""),"G")</f>
        <v>G</v>
      </c>
      <c r="H3902" s="4" t="str">
        <f>IFERROR(__xludf.DUMMYFUNCTION("""COMPUTED_VALUE"""),"MP")</f>
        <v>MP</v>
      </c>
      <c r="I3902" s="4" t="str">
        <f>IFERROR(__xludf.DUMMYFUNCTION("""COMPUTED_VALUE"""),"PTS")</f>
        <v>PTS</v>
      </c>
      <c r="J3902" s="4" t="str">
        <f>IFERROR(__xludf.DUMMYFUNCTION("""COMPUTED_VALUE"""),"TRB")</f>
        <v>TRB</v>
      </c>
      <c r="K3902" s="4" t="str">
        <f>IFERROR(__xludf.DUMMYFUNCTION("""COMPUTED_VALUE"""),"AST")</f>
        <v>AST</v>
      </c>
      <c r="L3902" s="4" t="str">
        <f>IFERROR(__xludf.DUMMYFUNCTION("""COMPUTED_VALUE"""),"FG%")</f>
        <v>FG%</v>
      </c>
      <c r="M3902" s="4" t="str">
        <f>IFERROR(__xludf.DUMMYFUNCTION("""COMPUTED_VALUE"""),"3P%")</f>
        <v>3P%</v>
      </c>
      <c r="N3902" s="4" t="str">
        <f>IFERROR(__xludf.DUMMYFUNCTION("""COMPUTED_VALUE"""),"FT%")</f>
        <v>FT%</v>
      </c>
      <c r="O3902" s="4" t="str">
        <f>IFERROR(__xludf.DUMMYFUNCTION("""COMPUTED_VALUE"""),"MP")</f>
        <v>MP</v>
      </c>
      <c r="P3902" s="4" t="str">
        <f>IFERROR(__xludf.DUMMYFUNCTION("""COMPUTED_VALUE"""),"PTS")</f>
        <v>PTS</v>
      </c>
      <c r="Q3902" s="4" t="str">
        <f>IFERROR(__xludf.DUMMYFUNCTION("""COMPUTED_VALUE"""),"TRB")</f>
        <v>TRB</v>
      </c>
      <c r="R3902" s="4" t="str">
        <f>IFERROR(__xludf.DUMMYFUNCTION("""COMPUTED_VALUE"""),"AST")</f>
        <v>AST</v>
      </c>
      <c r="S3902" s="4" t="str">
        <f>IFERROR(__xludf.DUMMYFUNCTION("""COMPUTED_VALUE"""),"WS")</f>
        <v>WS</v>
      </c>
      <c r="T3902" s="4" t="str">
        <f>IFERROR(__xludf.DUMMYFUNCTION("""COMPUTED_VALUE"""),"WS/48")</f>
        <v>WS/48</v>
      </c>
      <c r="U3902" s="4" t="str">
        <f>IFERROR(__xludf.DUMMYFUNCTION("""COMPUTED_VALUE"""),"BPM")</f>
        <v>BPM</v>
      </c>
      <c r="V3902" s="4" t="str">
        <f>IFERROR(__xludf.DUMMYFUNCTION("""COMPUTED_VALUE"""),"VORP")</f>
        <v>VORP</v>
      </c>
    </row>
    <row r="3903">
      <c r="A3903" s="4">
        <f>IFERROR(__xludf.DUMMYFUNCTION("""COMPUTED_VALUE"""),139.0)</f>
        <v>139</v>
      </c>
      <c r="B3903" s="4">
        <f>IFERROR(__xludf.DUMMYFUNCTION("""COMPUTED_VALUE"""),139.0)</f>
        <v>139</v>
      </c>
      <c r="C3903" s="4" t="str">
        <f>IFERROR(__xludf.DUMMYFUNCTION("""COMPUTED_VALUE"""),"DAL")</f>
        <v>DAL</v>
      </c>
      <c r="D3903" s="4" t="str">
        <f>IFERROR(__xludf.DUMMYFUNCTION("""COMPUTED_VALUE"""),"Danny Davis")</f>
        <v>Danny Davis</v>
      </c>
      <c r="E3903" s="4" t="str">
        <f>IFERROR(__xludf.DUMMYFUNCTION("""COMPUTED_VALUE"""),"UNC Wilmington")</f>
        <v>UNC Wilmington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</row>
    <row r="3904">
      <c r="A3904" s="4">
        <f>IFERROR(__xludf.DUMMYFUNCTION("""COMPUTED_VALUE"""),140.0)</f>
        <v>140</v>
      </c>
      <c r="B3904" s="4">
        <f>IFERROR(__xludf.DUMMYFUNCTION("""COMPUTED_VALUE"""),140.0)</f>
        <v>140</v>
      </c>
      <c r="C3904" s="4" t="str">
        <f>IFERROR(__xludf.DUMMYFUNCTION("""COMPUTED_VALUE"""),"DET")</f>
        <v>DET</v>
      </c>
      <c r="D3904" s="4" t="str">
        <f>IFERROR(__xludf.DUMMYFUNCTION("""COMPUTED_VALUE"""),"Greg Nance")</f>
        <v>Greg Nance</v>
      </c>
      <c r="E3904" s="4" t="str">
        <f>IFERROR(__xludf.DUMMYFUNCTION("""COMPUTED_VALUE"""),"West Virginia")</f>
        <v>West Virginia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</row>
    <row r="3905">
      <c r="A3905" s="4">
        <f>IFERROR(__xludf.DUMMYFUNCTION("""COMPUTED_VALUE"""),141.0)</f>
        <v>141</v>
      </c>
      <c r="B3905" s="4">
        <f>IFERROR(__xludf.DUMMYFUNCTION("""COMPUTED_VALUE"""),141.0)</f>
        <v>141</v>
      </c>
      <c r="C3905" s="4" t="str">
        <f>IFERROR(__xludf.DUMMYFUNCTION("""COMPUTED_VALUE"""),"NJN")</f>
        <v>NJN</v>
      </c>
      <c r="D3905" s="4" t="str">
        <f>IFERROR(__xludf.DUMMYFUNCTION("""COMPUTED_VALUE"""),"Rod Roberson")</f>
        <v>Rod Roberson</v>
      </c>
      <c r="E3905" s="4" t="str">
        <f>IFERROR(__xludf.DUMMYFUNCTION("""COMPUTED_VALUE"""),"Northwestern")</f>
        <v>Northwestern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</row>
    <row r="3906">
      <c r="A3906" s="4">
        <f>IFERROR(__xludf.DUMMYFUNCTION("""COMPUTED_VALUE"""),142.0)</f>
        <v>142</v>
      </c>
      <c r="B3906" s="4">
        <f>IFERROR(__xludf.DUMMYFUNCTION("""COMPUTED_VALUE"""),142.0)</f>
        <v>142</v>
      </c>
      <c r="C3906" s="4" t="str">
        <f>IFERROR(__xludf.DUMMYFUNCTION("""COMPUTED_VALUE"""),"CLE")</f>
        <v>CLE</v>
      </c>
      <c r="D3906" s="4" t="str">
        <f>IFERROR(__xludf.DUMMYFUNCTION("""COMPUTED_VALUE"""),"Andre Smith")</f>
        <v>Andre Smith</v>
      </c>
      <c r="E3906" s="4" t="str">
        <f>IFERROR(__xludf.DUMMYFUNCTION("""COMPUTED_VALUE"""),"Nebraska")</f>
        <v>Nebraska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</row>
    <row r="3907">
      <c r="A3907" s="4">
        <f>IFERROR(__xludf.DUMMYFUNCTION("""COMPUTED_VALUE"""),143.0)</f>
        <v>143</v>
      </c>
      <c r="B3907" s="4">
        <f>IFERROR(__xludf.DUMMYFUNCTION("""COMPUTED_VALUE"""),143.0)</f>
        <v>143</v>
      </c>
      <c r="C3907" s="4" t="str">
        <f>IFERROR(__xludf.DUMMYFUNCTION("""COMPUTED_VALUE"""),"UTA")</f>
        <v>UTA</v>
      </c>
      <c r="D3907" s="4" t="str">
        <f>IFERROR(__xludf.DUMMYFUNCTION("""COMPUTED_VALUE"""),"Mike Robinson")</f>
        <v>Mike Robinson</v>
      </c>
      <c r="E3907" s="4" t="str">
        <f>IFERROR(__xludf.DUMMYFUNCTION("""COMPUTED_VALUE"""),"Central Michigan University")</f>
        <v>Central Michigan University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</row>
    <row r="3908">
      <c r="A3908" s="4">
        <f>IFERROR(__xludf.DUMMYFUNCTION("""COMPUTED_VALUE"""),144.0)</f>
        <v>144</v>
      </c>
      <c r="B3908" s="4">
        <f>IFERROR(__xludf.DUMMYFUNCTION("""COMPUTED_VALUE"""),144.0)</f>
        <v>144</v>
      </c>
      <c r="C3908" s="4" t="str">
        <f>IFERROR(__xludf.DUMMYFUNCTION("""COMPUTED_VALUE"""),"ATL")</f>
        <v>ATL</v>
      </c>
      <c r="D3908" s="4" t="str">
        <f>IFERROR(__xludf.DUMMYFUNCTION("""COMPUTED_VALUE"""),"Kevin Vesey")</f>
        <v>Kevin Vesey</v>
      </c>
      <c r="E3908" s="4" t="str">
        <f>IFERROR(__xludf.DUMMYFUNCTION("""COMPUTED_VALUE"""),"Iona College")</f>
        <v>Iona College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</row>
    <row r="3909">
      <c r="A3909" s="4">
        <f>IFERROR(__xludf.DUMMYFUNCTION("""COMPUTED_VALUE"""),145.0)</f>
        <v>145</v>
      </c>
      <c r="B3909" s="4">
        <f>IFERROR(__xludf.DUMMYFUNCTION("""COMPUTED_VALUE"""),145.0)</f>
        <v>145</v>
      </c>
      <c r="C3909" s="4" t="str">
        <f>IFERROR(__xludf.DUMMYFUNCTION("""COMPUTED_VALUE"""),"SEA")</f>
        <v>SEA</v>
      </c>
      <c r="D3909" s="4" t="str">
        <f>IFERROR(__xludf.DUMMYFUNCTION("""COMPUTED_VALUE"""),"Tom Sienkiewicz")</f>
        <v>Tom Sienkiewicz</v>
      </c>
      <c r="E3909" s="4" t="str">
        <f>IFERROR(__xludf.DUMMYFUNCTION("""COMPUTED_VALUE"""),"Villanova")</f>
        <v>Villanova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</row>
    <row r="3910">
      <c r="A3910" s="4">
        <f>IFERROR(__xludf.DUMMYFUNCTION("""COMPUTED_VALUE"""),146.0)</f>
        <v>146</v>
      </c>
      <c r="B3910" s="4">
        <f>IFERROR(__xludf.DUMMYFUNCTION("""COMPUTED_VALUE"""),146.0)</f>
        <v>146</v>
      </c>
      <c r="C3910" s="4" t="str">
        <f>IFERROR(__xludf.DUMMYFUNCTION("""COMPUTED_VALUE"""),"SDC")</f>
        <v>SDC</v>
      </c>
      <c r="D3910" s="4" t="str">
        <f>IFERROR(__xludf.DUMMYFUNCTION("""COMPUTED_VALUE"""),"Randy Johnson")</f>
        <v>Randy Johnson</v>
      </c>
      <c r="E3910" s="4" t="str">
        <f>IFERROR(__xludf.DUMMYFUNCTION("""COMPUTED_VALUE"""),"University of Southern Colorado")</f>
        <v>University of Southern Colorado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</row>
    <row r="3911">
      <c r="A3911" s="4">
        <f>IFERROR(__xludf.DUMMYFUNCTION("""COMPUTED_VALUE"""),147.0)</f>
        <v>147</v>
      </c>
      <c r="B3911" s="4">
        <f>IFERROR(__xludf.DUMMYFUNCTION("""COMPUTED_VALUE"""),147.0)</f>
        <v>147</v>
      </c>
      <c r="C3911" s="4" t="str">
        <f>IFERROR(__xludf.DUMMYFUNCTION("""COMPUTED_VALUE"""),"DEN")</f>
        <v>DEN</v>
      </c>
      <c r="D3911" s="4" t="str">
        <f>IFERROR(__xludf.DUMMYFUNCTION("""COMPUTED_VALUE"""),"Greg Manning")</f>
        <v>Greg Manning</v>
      </c>
      <c r="E3911" s="4" t="str">
        <f>IFERROR(__xludf.DUMMYFUNCTION("""COMPUTED_VALUE"""),"Maryland")</f>
        <v>Maryland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</row>
    <row r="3912">
      <c r="A3912" s="4">
        <f>IFERROR(__xludf.DUMMYFUNCTION("""COMPUTED_VALUE"""),148.0)</f>
        <v>148</v>
      </c>
      <c r="B3912" s="4">
        <f>IFERROR(__xludf.DUMMYFUNCTION("""COMPUTED_VALUE"""),148.0)</f>
        <v>148</v>
      </c>
      <c r="C3912" s="4" t="str">
        <f>IFERROR(__xludf.DUMMYFUNCTION("""COMPUTED_VALUE"""),"GSW")</f>
        <v>GSW</v>
      </c>
      <c r="D3912" s="4" t="str">
        <f>IFERROR(__xludf.DUMMYFUNCTION("""COMPUTED_VALUE"""),"Robbie Dosty")</f>
        <v>Robbie Dosty</v>
      </c>
      <c r="E3912" s="4" t="str">
        <f>IFERROR(__xludf.DUMMYFUNCTION("""COMPUTED_VALUE"""),"Arizona")</f>
        <v>Arizona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</row>
    <row r="3913">
      <c r="A3913" s="4">
        <f>IFERROR(__xludf.DUMMYFUNCTION("""COMPUTED_VALUE"""),149.0)</f>
        <v>149</v>
      </c>
      <c r="B3913" s="4">
        <f>IFERROR(__xludf.DUMMYFUNCTION("""COMPUTED_VALUE"""),149.0)</f>
        <v>149</v>
      </c>
      <c r="C3913" s="4" t="str">
        <f>IFERROR(__xludf.DUMMYFUNCTION("""COMPUTED_VALUE"""),"WSB")</f>
        <v>WSB</v>
      </c>
      <c r="D3913" s="4" t="str">
        <f>IFERROR(__xludf.DUMMYFUNCTION("""COMPUTED_VALUE"""),"Randy Martel")</f>
        <v>Randy Martel</v>
      </c>
      <c r="E3913" s="4" t="str">
        <f>IFERROR(__xludf.DUMMYFUNCTION("""COMPUTED_VALUE"""),"Houston Baptist University")</f>
        <v>Houston Baptist University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</row>
    <row r="3914">
      <c r="A3914" s="4">
        <f>IFERROR(__xludf.DUMMYFUNCTION("""COMPUTED_VALUE"""),150.0)</f>
        <v>150</v>
      </c>
      <c r="B3914" s="4">
        <f>IFERROR(__xludf.DUMMYFUNCTION("""COMPUTED_VALUE"""),150.0)</f>
        <v>150</v>
      </c>
      <c r="C3914" s="4" t="str">
        <f>IFERROR(__xludf.DUMMYFUNCTION("""COMPUTED_VALUE"""),"KCK")</f>
        <v>KCK</v>
      </c>
      <c r="D3914" s="4" t="str">
        <f>IFERROR(__xludf.DUMMYFUNCTION("""COMPUTED_VALUE"""),"Clinton Wheeler")</f>
        <v>Clinton Wheeler</v>
      </c>
      <c r="E3914" s="4" t="str">
        <f>IFERROR(__xludf.DUMMYFUNCTION("""COMPUTED_VALUE"""),"William Paterson University")</f>
        <v>William Paterson University</v>
      </c>
      <c r="F3914" s="4">
        <f>IFERROR(__xludf.DUMMYFUNCTION("""COMPUTED_VALUE"""),2.0)</f>
        <v>2</v>
      </c>
      <c r="G3914" s="4">
        <f>IFERROR(__xludf.DUMMYFUNCTION("""COMPUTED_VALUE"""),87.0)</f>
        <v>87</v>
      </c>
      <c r="H3914" s="4">
        <f>IFERROR(__xludf.DUMMYFUNCTION("""COMPUTED_VALUE"""),867.0)</f>
        <v>867</v>
      </c>
      <c r="I3914" s="4">
        <f>IFERROR(__xludf.DUMMYFUNCTION("""COMPUTED_VALUE"""),254.0)</f>
        <v>254</v>
      </c>
      <c r="J3914" s="4">
        <f>IFERROR(__xludf.DUMMYFUNCTION("""COMPUTED_VALUE"""),71.0)</f>
        <v>71</v>
      </c>
      <c r="K3914" s="4">
        <f>IFERROR(__xludf.DUMMYFUNCTION("""COMPUTED_VALUE"""),157.0)</f>
        <v>157</v>
      </c>
      <c r="L3914" s="4">
        <f>IFERROR(__xludf.DUMMYFUNCTION("""COMPUTED_VALUE"""),0.489)</f>
        <v>0.489</v>
      </c>
      <c r="M3914" s="4">
        <f>IFERROR(__xludf.DUMMYFUNCTION("""COMPUTED_VALUE"""),0.0)</f>
        <v>0</v>
      </c>
      <c r="N3914" s="4">
        <f>IFERROR(__xludf.DUMMYFUNCTION("""COMPUTED_VALUE"""),0.741)</f>
        <v>0.741</v>
      </c>
      <c r="O3914" s="4">
        <f>IFERROR(__xludf.DUMMYFUNCTION("""COMPUTED_VALUE"""),10.0)</f>
        <v>10</v>
      </c>
      <c r="P3914" s="4">
        <f>IFERROR(__xludf.DUMMYFUNCTION("""COMPUTED_VALUE"""),2.9)</f>
        <v>2.9</v>
      </c>
      <c r="Q3914" s="4">
        <f>IFERROR(__xludf.DUMMYFUNCTION("""COMPUTED_VALUE"""),0.8)</f>
        <v>0.8</v>
      </c>
      <c r="R3914" s="4">
        <f>IFERROR(__xludf.DUMMYFUNCTION("""COMPUTED_VALUE"""),1.8)</f>
        <v>1.8</v>
      </c>
      <c r="S3914" s="4">
        <f>IFERROR(__xludf.DUMMYFUNCTION("""COMPUTED_VALUE"""),1.1)</f>
        <v>1.1</v>
      </c>
      <c r="T3914" s="4">
        <f>IFERROR(__xludf.DUMMYFUNCTION("""COMPUTED_VALUE"""),0.058)</f>
        <v>0.058</v>
      </c>
      <c r="U3914" s="4">
        <f>IFERROR(__xludf.DUMMYFUNCTION("""COMPUTED_VALUE"""),0.0)</f>
        <v>0</v>
      </c>
      <c r="V3914" s="4">
        <f>IFERROR(__xludf.DUMMYFUNCTION("""COMPUTED_VALUE"""),0.4)</f>
        <v>0.4</v>
      </c>
    </row>
    <row r="3915">
      <c r="A3915" s="4">
        <f>IFERROR(__xludf.DUMMYFUNCTION("""COMPUTED_VALUE"""),151.0)</f>
        <v>151</v>
      </c>
      <c r="B3915" s="4">
        <f>IFERROR(__xludf.DUMMYFUNCTION("""COMPUTED_VALUE"""),151.0)</f>
        <v>151</v>
      </c>
      <c r="C3915" s="4" t="str">
        <f>IFERROR(__xludf.DUMMYFUNCTION("""COMPUTED_VALUE"""),"HOU")</f>
        <v>HOU</v>
      </c>
      <c r="D3915" s="4" t="str">
        <f>IFERROR(__xludf.DUMMYFUNCTION("""COMPUTED_VALUE"""),"Joe Faine")</f>
        <v>Joe Faine</v>
      </c>
      <c r="E3915" s="4" t="str">
        <f>IFERROR(__xludf.DUMMYFUNCTION("""COMPUTED_VALUE"""),"Bowling Green")</f>
        <v>Bowling Green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</row>
    <row r="3916">
      <c r="A3916" s="4">
        <f>IFERROR(__xludf.DUMMYFUNCTION("""COMPUTED_VALUE"""),152.0)</f>
        <v>152</v>
      </c>
      <c r="B3916" s="4">
        <f>IFERROR(__xludf.DUMMYFUNCTION("""COMPUTED_VALUE"""),152.0)</f>
        <v>152</v>
      </c>
      <c r="C3916" s="4" t="str">
        <f>IFERROR(__xludf.DUMMYFUNCTION("""COMPUTED_VALUE"""),"IND")</f>
        <v>IND</v>
      </c>
      <c r="D3916" s="4" t="str">
        <f>IFERROR(__xludf.DUMMYFUNCTION("""COMPUTED_VALUE"""),"Larry McKinney")</f>
        <v>Larry McKinney</v>
      </c>
      <c r="E3916" s="4" t="str">
        <f>IFERROR(__xludf.DUMMYFUNCTION("""COMPUTED_VALUE"""),"Boise State")</f>
        <v>Boise State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</row>
    <row r="3917">
      <c r="A3917" s="4">
        <f>IFERROR(__xludf.DUMMYFUNCTION("""COMPUTED_VALUE"""),153.0)</f>
        <v>153</v>
      </c>
      <c r="B3917" s="4">
        <f>IFERROR(__xludf.DUMMYFUNCTION("""COMPUTED_VALUE"""),153.0)</f>
        <v>153</v>
      </c>
      <c r="C3917" s="4" t="str">
        <f>IFERROR(__xludf.DUMMYFUNCTION("""COMPUTED_VALUE"""),"POR")</f>
        <v>POR</v>
      </c>
      <c r="D3917" s="4" t="str">
        <f>IFERROR(__xludf.DUMMYFUNCTION("""COMPUTED_VALUE"""),"Julius Wayne")</f>
        <v>Julius Wayne</v>
      </c>
      <c r="E3917" s="4" t="str">
        <f>IFERROR(__xludf.DUMMYFUNCTION("""COMPUTED_VALUE"""),"Texas-El Paso")</f>
        <v>Texas-El Paso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</row>
    <row r="3918">
      <c r="A3918" s="4">
        <f>IFERROR(__xludf.DUMMYFUNCTION("""COMPUTED_VALUE"""),154.0)</f>
        <v>154</v>
      </c>
      <c r="B3918" s="4">
        <f>IFERROR(__xludf.DUMMYFUNCTION("""COMPUTED_VALUE"""),154.0)</f>
        <v>154</v>
      </c>
      <c r="C3918" s="4" t="str">
        <f>IFERROR(__xludf.DUMMYFUNCTION("""COMPUTED_VALUE"""),"CHI")</f>
        <v>CHI</v>
      </c>
      <c r="D3918" s="4" t="str">
        <f>IFERROR(__xludf.DUMMYFUNCTION("""COMPUTED_VALUE"""),"Scott Williams")</f>
        <v>Scott Williams</v>
      </c>
      <c r="E3918" s="4" t="str">
        <f>IFERROR(__xludf.DUMMYFUNCTION("""COMPUTED_VALUE"""),"University of South Alabama")</f>
        <v>University of South Alabama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</row>
    <row r="3919">
      <c r="A3919" s="4">
        <f>IFERROR(__xludf.DUMMYFUNCTION("""COMPUTED_VALUE"""),155.0)</f>
        <v>155</v>
      </c>
      <c r="B3919" s="4">
        <f>IFERROR(__xludf.DUMMYFUNCTION("""COMPUTED_VALUE"""),155.0)</f>
        <v>155</v>
      </c>
      <c r="C3919" s="4" t="str">
        <f>IFERROR(__xludf.DUMMYFUNCTION("""COMPUTED_VALUE"""),"NYK")</f>
        <v>NYK</v>
      </c>
      <c r="D3919" s="4" t="str">
        <f>IFERROR(__xludf.DUMMYFUNCTION("""COMPUTED_VALUE"""),"Terry Cramer")</f>
        <v>Terry Cramer</v>
      </c>
      <c r="E3919" s="4" t="str">
        <f>IFERROR(__xludf.DUMMYFUNCTION("""COMPUTED_VALUE"""),"Ripon College")</f>
        <v>Ripon College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</row>
    <row r="3920">
      <c r="A3920" s="4">
        <f>IFERROR(__xludf.DUMMYFUNCTION("""COMPUTED_VALUE"""),156.0)</f>
        <v>156</v>
      </c>
      <c r="B3920" s="4">
        <f>IFERROR(__xludf.DUMMYFUNCTION("""COMPUTED_VALUE"""),156.0)</f>
        <v>156</v>
      </c>
      <c r="C3920" s="4" t="str">
        <f>IFERROR(__xludf.DUMMYFUNCTION("""COMPUTED_VALUE"""),"SAS")</f>
        <v>SAS</v>
      </c>
      <c r="D3920" s="4" t="str">
        <f>IFERROR(__xludf.DUMMYFUNCTION("""COMPUTED_VALUE"""),"Mark Minderman")</f>
        <v>Mark Minderman</v>
      </c>
      <c r="E3920" s="4" t="str">
        <f>IFERROR(__xludf.DUMMYFUNCTION("""COMPUTED_VALUE"""),"Northern Michigan University")</f>
        <v>Northern Michigan University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</row>
    <row r="3921">
      <c r="A3921" s="4">
        <f>IFERROR(__xludf.DUMMYFUNCTION("""COMPUTED_VALUE"""),157.0)</f>
        <v>157</v>
      </c>
      <c r="B3921" s="4">
        <f>IFERROR(__xludf.DUMMYFUNCTION("""COMPUTED_VALUE"""),157.0)</f>
        <v>157</v>
      </c>
      <c r="C3921" s="4" t="str">
        <f>IFERROR(__xludf.DUMMYFUNCTION("""COMPUTED_VALUE"""),"LAL")</f>
        <v>LAL</v>
      </c>
      <c r="D3921" s="4" t="str">
        <f>IFERROR(__xludf.DUMMYFUNCTION("""COMPUTED_VALUE"""),"Larry Petty")</f>
        <v>Larry Petty</v>
      </c>
      <c r="E3921" s="4" t="str">
        <f>IFERROR(__xludf.DUMMYFUNCTION("""COMPUTED_VALUE"""),"Wisconsin")</f>
        <v>Wisconsin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</row>
    <row r="3922">
      <c r="A3922" s="4">
        <f>IFERROR(__xludf.DUMMYFUNCTION("""COMPUTED_VALUE"""),158.0)</f>
        <v>158</v>
      </c>
      <c r="B3922" s="4">
        <f>IFERROR(__xludf.DUMMYFUNCTION("""COMPUTED_VALUE"""),158.0)</f>
        <v>158</v>
      </c>
      <c r="C3922" s="4" t="str">
        <f>IFERROR(__xludf.DUMMYFUNCTION("""COMPUTED_VALUE"""),"PHO")</f>
        <v>PHO</v>
      </c>
      <c r="D3922" s="4" t="str">
        <f>IFERROR(__xludf.DUMMYFUNCTION("""COMPUTED_VALUE"""),"David Williams")</f>
        <v>David Williams</v>
      </c>
      <c r="E3922" s="4" t="str">
        <f>IFERROR(__xludf.DUMMYFUNCTION("""COMPUTED_VALUE"""),"Southern University and A&amp;M College")</f>
        <v>Southern University and A&amp;M College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</row>
    <row r="3923">
      <c r="A3923" s="4">
        <f>IFERROR(__xludf.DUMMYFUNCTION("""COMPUTED_VALUE"""),159.0)</f>
        <v>159</v>
      </c>
      <c r="B3923" s="4">
        <f>IFERROR(__xludf.DUMMYFUNCTION("""COMPUTED_VALUE"""),159.0)</f>
        <v>159</v>
      </c>
      <c r="C3923" s="4" t="str">
        <f>IFERROR(__xludf.DUMMYFUNCTION("""COMPUTED_VALUE"""),"MIL")</f>
        <v>MIL</v>
      </c>
      <c r="D3923" s="4" t="str">
        <f>IFERROR(__xludf.DUMMYFUNCTION("""COMPUTED_VALUE"""),"Lewis Latimore")</f>
        <v>Lewis Latimore</v>
      </c>
      <c r="E3923" s="4" t="str">
        <f>IFERROR(__xludf.DUMMYFUNCTION("""COMPUTED_VALUE"""),"Virginia")</f>
        <v>Virginia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</row>
    <row r="3924">
      <c r="A3924" s="4">
        <f>IFERROR(__xludf.DUMMYFUNCTION("""COMPUTED_VALUE"""),160.0)</f>
        <v>160</v>
      </c>
      <c r="B3924" s="4">
        <f>IFERROR(__xludf.DUMMYFUNCTION("""COMPUTED_VALUE"""),160.0)</f>
        <v>160</v>
      </c>
      <c r="C3924" s="4" t="str">
        <f>IFERROR(__xludf.DUMMYFUNCTION("""COMPUTED_VALUE"""),"PHI")</f>
        <v>PHI</v>
      </c>
      <c r="D3924" s="4" t="str">
        <f>IFERROR(__xludf.DUMMYFUNCTION("""COMPUTED_VALUE"""),"John Crawford")</f>
        <v>John Crawford</v>
      </c>
      <c r="E3924" s="4" t="str">
        <f>IFERROR(__xludf.DUMMYFUNCTION("""COMPUTED_VALUE"""),"Kansas")</f>
        <v>Kansas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</row>
    <row r="3925">
      <c r="A3925" s="4">
        <f>IFERROR(__xludf.DUMMYFUNCTION("""COMPUTED_VALUE"""),161.0)</f>
        <v>161</v>
      </c>
      <c r="B3925" s="4">
        <f>IFERROR(__xludf.DUMMYFUNCTION("""COMPUTED_VALUE"""),161.0)</f>
        <v>161</v>
      </c>
      <c r="C3925" s="4" t="str">
        <f>IFERROR(__xludf.DUMMYFUNCTION("""COMPUTED_VALUE"""),"BOS")</f>
        <v>BOS</v>
      </c>
      <c r="D3925" s="4" t="str">
        <f>IFERROR(__xludf.DUMMYFUNCTION("""COMPUTED_VALUE"""),"Tom Seaman")</f>
        <v>Tom Seaman</v>
      </c>
      <c r="E3925" s="4" t="str">
        <f>IFERROR(__xludf.DUMMYFUNCTION("""COMPUTED_VALUE"""),"Holy Cross")</f>
        <v>Holy Cross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</row>
    <row r="3926">
      <c r="A3926" s="4"/>
      <c r="B3926" s="4"/>
      <c r="C3926" s="4"/>
      <c r="D3926" s="4" t="str">
        <f>IFERROR(__xludf.DUMMYFUNCTION("""COMPUTED_VALUE"""),"Round 8")</f>
        <v>Round 8</v>
      </c>
      <c r="E3926" s="4"/>
      <c r="F3926" s="4"/>
      <c r="G3926" s="4" t="str">
        <f>IFERROR(__xludf.DUMMYFUNCTION("""COMPUTED_VALUE"""),"Totals")</f>
        <v>Totals</v>
      </c>
      <c r="H3926" s="4"/>
      <c r="I3926" s="4"/>
      <c r="J3926" s="4"/>
      <c r="K3926" s="4"/>
      <c r="L3926" s="4" t="str">
        <f>IFERROR(__xludf.DUMMYFUNCTION("""COMPUTED_VALUE"""),"Shooting")</f>
        <v>Shooting</v>
      </c>
      <c r="M3926" s="4"/>
      <c r="N3926" s="4"/>
      <c r="O3926" s="4" t="str">
        <f>IFERROR(__xludf.DUMMYFUNCTION("""COMPUTED_VALUE"""),"Per Game")</f>
        <v>Per Game</v>
      </c>
      <c r="P3926" s="4"/>
      <c r="Q3926" s="4"/>
      <c r="R3926" s="4"/>
      <c r="S3926" s="4" t="str">
        <f>IFERROR(__xludf.DUMMYFUNCTION("""COMPUTED_VALUE"""),"Advanced")</f>
        <v>Advanced</v>
      </c>
      <c r="T3926" s="4"/>
      <c r="U3926" s="4"/>
      <c r="V3926" s="4"/>
    </row>
    <row r="3927">
      <c r="A3927" s="4" t="str">
        <f>IFERROR(__xludf.DUMMYFUNCTION("""COMPUTED_VALUE"""),"Rk")</f>
        <v>Rk</v>
      </c>
      <c r="B3927" s="4" t="str">
        <f>IFERROR(__xludf.DUMMYFUNCTION("""COMPUTED_VALUE"""),"Pk")</f>
        <v>Pk</v>
      </c>
      <c r="C3927" s="4" t="str">
        <f>IFERROR(__xludf.DUMMYFUNCTION("""COMPUTED_VALUE"""),"Tm")</f>
        <v>Tm</v>
      </c>
      <c r="D3927" s="4" t="str">
        <f>IFERROR(__xludf.DUMMYFUNCTION("""COMPUTED_VALUE"""),"Player")</f>
        <v>Player</v>
      </c>
      <c r="E3927" s="4" t="str">
        <f>IFERROR(__xludf.DUMMYFUNCTION("""COMPUTED_VALUE"""),"College")</f>
        <v>College</v>
      </c>
      <c r="F3927" s="4" t="str">
        <f>IFERROR(__xludf.DUMMYFUNCTION("""COMPUTED_VALUE"""),"Yrs")</f>
        <v>Yrs</v>
      </c>
      <c r="G3927" s="4" t="str">
        <f>IFERROR(__xludf.DUMMYFUNCTION("""COMPUTED_VALUE"""),"G")</f>
        <v>G</v>
      </c>
      <c r="H3927" s="4" t="str">
        <f>IFERROR(__xludf.DUMMYFUNCTION("""COMPUTED_VALUE"""),"MP")</f>
        <v>MP</v>
      </c>
      <c r="I3927" s="4" t="str">
        <f>IFERROR(__xludf.DUMMYFUNCTION("""COMPUTED_VALUE"""),"PTS")</f>
        <v>PTS</v>
      </c>
      <c r="J3927" s="4" t="str">
        <f>IFERROR(__xludf.DUMMYFUNCTION("""COMPUTED_VALUE"""),"TRB")</f>
        <v>TRB</v>
      </c>
      <c r="K3927" s="4" t="str">
        <f>IFERROR(__xludf.DUMMYFUNCTION("""COMPUTED_VALUE"""),"AST")</f>
        <v>AST</v>
      </c>
      <c r="L3927" s="4" t="str">
        <f>IFERROR(__xludf.DUMMYFUNCTION("""COMPUTED_VALUE"""),"FG%")</f>
        <v>FG%</v>
      </c>
      <c r="M3927" s="4" t="str">
        <f>IFERROR(__xludf.DUMMYFUNCTION("""COMPUTED_VALUE"""),"3P%")</f>
        <v>3P%</v>
      </c>
      <c r="N3927" s="4" t="str">
        <f>IFERROR(__xludf.DUMMYFUNCTION("""COMPUTED_VALUE"""),"FT%")</f>
        <v>FT%</v>
      </c>
      <c r="O3927" s="4" t="str">
        <f>IFERROR(__xludf.DUMMYFUNCTION("""COMPUTED_VALUE"""),"MP")</f>
        <v>MP</v>
      </c>
      <c r="P3927" s="4" t="str">
        <f>IFERROR(__xludf.DUMMYFUNCTION("""COMPUTED_VALUE"""),"PTS")</f>
        <v>PTS</v>
      </c>
      <c r="Q3927" s="4" t="str">
        <f>IFERROR(__xludf.DUMMYFUNCTION("""COMPUTED_VALUE"""),"TRB")</f>
        <v>TRB</v>
      </c>
      <c r="R3927" s="4" t="str">
        <f>IFERROR(__xludf.DUMMYFUNCTION("""COMPUTED_VALUE"""),"AST")</f>
        <v>AST</v>
      </c>
      <c r="S3927" s="4" t="str">
        <f>IFERROR(__xludf.DUMMYFUNCTION("""COMPUTED_VALUE"""),"WS")</f>
        <v>WS</v>
      </c>
      <c r="T3927" s="4" t="str">
        <f>IFERROR(__xludf.DUMMYFUNCTION("""COMPUTED_VALUE"""),"WS/48")</f>
        <v>WS/48</v>
      </c>
      <c r="U3927" s="4" t="str">
        <f>IFERROR(__xludf.DUMMYFUNCTION("""COMPUTED_VALUE"""),"BPM")</f>
        <v>BPM</v>
      </c>
      <c r="V3927" s="4" t="str">
        <f>IFERROR(__xludf.DUMMYFUNCTION("""COMPUTED_VALUE"""),"VORP")</f>
        <v>VORP</v>
      </c>
    </row>
    <row r="3928">
      <c r="A3928" s="4">
        <f>IFERROR(__xludf.DUMMYFUNCTION("""COMPUTED_VALUE"""),162.0)</f>
        <v>162</v>
      </c>
      <c r="B3928" s="4">
        <f>IFERROR(__xludf.DUMMYFUNCTION("""COMPUTED_VALUE"""),162.0)</f>
        <v>162</v>
      </c>
      <c r="C3928" s="4" t="str">
        <f>IFERROR(__xludf.DUMMYFUNCTION("""COMPUTED_VALUE"""),"DAL")</f>
        <v>DAL</v>
      </c>
      <c r="D3928" s="4" t="str">
        <f>IFERROR(__xludf.DUMMYFUNCTION("""COMPUTED_VALUE"""),"David Kennedy")</f>
        <v>David Kennedy</v>
      </c>
      <c r="E3928" s="4" t="str">
        <f>IFERROR(__xludf.DUMMYFUNCTION("""COMPUTED_VALUE"""),"Cincinnati")</f>
        <v>Cincinnati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</row>
    <row r="3929">
      <c r="A3929" s="4">
        <f>IFERROR(__xludf.DUMMYFUNCTION("""COMPUTED_VALUE"""),163.0)</f>
        <v>163</v>
      </c>
      <c r="B3929" s="4">
        <f>IFERROR(__xludf.DUMMYFUNCTION("""COMPUTED_VALUE"""),163.0)</f>
        <v>163</v>
      </c>
      <c r="C3929" s="4" t="str">
        <f>IFERROR(__xludf.DUMMYFUNCTION("""COMPUTED_VALUE"""),"DET")</f>
        <v>DET</v>
      </c>
      <c r="D3929" s="4" t="str">
        <f>IFERROR(__xludf.DUMMYFUNCTION("""COMPUTED_VALUE"""),"Joe Schoen")</f>
        <v>Joe Schoen</v>
      </c>
      <c r="E3929" s="4" t="str">
        <f>IFERROR(__xludf.DUMMYFUNCTION("""COMPUTED_VALUE"""),"Saint Francis University")</f>
        <v>Saint Francis University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</row>
    <row r="3930">
      <c r="A3930" s="4">
        <f>IFERROR(__xludf.DUMMYFUNCTION("""COMPUTED_VALUE"""),164.0)</f>
        <v>164</v>
      </c>
      <c r="B3930" s="4">
        <f>IFERROR(__xludf.DUMMYFUNCTION("""COMPUTED_VALUE"""),164.0)</f>
        <v>164</v>
      </c>
      <c r="C3930" s="4" t="str">
        <f>IFERROR(__xludf.DUMMYFUNCTION("""COMPUTED_VALUE"""),"NJN")</f>
        <v>NJN</v>
      </c>
      <c r="D3930" s="4" t="str">
        <f>IFERROR(__xludf.DUMMYFUNCTION("""COMPUTED_VALUE"""),"Ken Webb")</f>
        <v>Ken Webb</v>
      </c>
      <c r="E3930" s="4" t="str">
        <f>IFERROR(__xludf.DUMMYFUNCTION("""COMPUTED_VALUE"""),"Fairleigh Dickinson University")</f>
        <v>Fairleigh Dickinson University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</row>
    <row r="3931">
      <c r="A3931" s="4">
        <f>IFERROR(__xludf.DUMMYFUNCTION("""COMPUTED_VALUE"""),165.0)</f>
        <v>165</v>
      </c>
      <c r="B3931" s="4">
        <f>IFERROR(__xludf.DUMMYFUNCTION("""COMPUTED_VALUE"""),165.0)</f>
        <v>165</v>
      </c>
      <c r="C3931" s="4" t="str">
        <f>IFERROR(__xludf.DUMMYFUNCTION("""COMPUTED_VALUE"""),"UTA")</f>
        <v>UTA</v>
      </c>
      <c r="D3931" s="4" t="str">
        <f>IFERROR(__xludf.DUMMYFUNCTION("""COMPUTED_VALUE"""),"Bobby Cattage")</f>
        <v>Bobby Cattage</v>
      </c>
      <c r="E3931" s="4" t="str">
        <f>IFERROR(__xludf.DUMMYFUNCTION("""COMPUTED_VALUE"""),"Auburn")</f>
        <v>Auburn</v>
      </c>
      <c r="F3931" s="4">
        <f>IFERROR(__xludf.DUMMYFUNCTION("""COMPUTED_VALUE"""),2.0)</f>
        <v>2</v>
      </c>
      <c r="G3931" s="4">
        <f>IFERROR(__xludf.DUMMYFUNCTION("""COMPUTED_VALUE"""),78.0)</f>
        <v>78</v>
      </c>
      <c r="H3931" s="4">
        <f>IFERROR(__xludf.DUMMYFUNCTION("""COMPUTED_VALUE"""),522.0)</f>
        <v>522</v>
      </c>
      <c r="I3931" s="4">
        <f>IFERROR(__xludf.DUMMYFUNCTION("""COMPUTED_VALUE"""),242.0)</f>
        <v>242</v>
      </c>
      <c r="J3931" s="4">
        <f>IFERROR(__xludf.DUMMYFUNCTION("""COMPUTED_VALUE"""),107.0)</f>
        <v>107</v>
      </c>
      <c r="K3931" s="4">
        <f>IFERROR(__xludf.DUMMYFUNCTION("""COMPUTED_VALUE"""),11.0)</f>
        <v>11</v>
      </c>
      <c r="L3931" s="4">
        <f>IFERROR(__xludf.DUMMYFUNCTION("""COMPUTED_VALUE"""),0.404)</f>
        <v>0.404</v>
      </c>
      <c r="M3931" s="4">
        <f>IFERROR(__xludf.DUMMYFUNCTION("""COMPUTED_VALUE"""),0.143)</f>
        <v>0.143</v>
      </c>
      <c r="N3931" s="4">
        <f>IFERROR(__xludf.DUMMYFUNCTION("""COMPUTED_VALUE"""),0.765)</f>
        <v>0.765</v>
      </c>
      <c r="O3931" s="4">
        <f>IFERROR(__xludf.DUMMYFUNCTION("""COMPUTED_VALUE"""),6.7)</f>
        <v>6.7</v>
      </c>
      <c r="P3931" s="4">
        <f>IFERROR(__xludf.DUMMYFUNCTION("""COMPUTED_VALUE"""),3.1)</f>
        <v>3.1</v>
      </c>
      <c r="Q3931" s="4">
        <f>IFERROR(__xludf.DUMMYFUNCTION("""COMPUTED_VALUE"""),1.4)</f>
        <v>1.4</v>
      </c>
      <c r="R3931" s="4">
        <f>IFERROR(__xludf.DUMMYFUNCTION("""COMPUTED_VALUE"""),0.1)</f>
        <v>0.1</v>
      </c>
      <c r="S3931" s="4">
        <f>IFERROR(__xludf.DUMMYFUNCTION("""COMPUTED_VALUE"""),0.3)</f>
        <v>0.3</v>
      </c>
      <c r="T3931" s="4">
        <f>IFERROR(__xludf.DUMMYFUNCTION("""COMPUTED_VALUE"""),0.027)</f>
        <v>0.027</v>
      </c>
      <c r="U3931" s="4">
        <f>IFERROR(__xludf.DUMMYFUNCTION("""COMPUTED_VALUE"""),-6.3)</f>
        <v>-6.3</v>
      </c>
      <c r="V3931" s="4">
        <f>IFERROR(__xludf.DUMMYFUNCTION("""COMPUTED_VALUE"""),-0.6)</f>
        <v>-0.6</v>
      </c>
    </row>
    <row r="3932">
      <c r="A3932" s="4">
        <f>IFERROR(__xludf.DUMMYFUNCTION("""COMPUTED_VALUE"""),166.0)</f>
        <v>166</v>
      </c>
      <c r="B3932" s="4">
        <f>IFERROR(__xludf.DUMMYFUNCTION("""COMPUTED_VALUE"""),166.0)</f>
        <v>166</v>
      </c>
      <c r="C3932" s="4" t="str">
        <f>IFERROR(__xludf.DUMMYFUNCTION("""COMPUTED_VALUE"""),"CLE")</f>
        <v>CLE</v>
      </c>
      <c r="D3932" s="4" t="str">
        <f>IFERROR(__xludf.DUMMYFUNCTION("""COMPUTED_VALUE"""),"Glenn Marcus")</f>
        <v>Glenn Marcus</v>
      </c>
      <c r="E3932" s="4" t="str">
        <f>IFERROR(__xludf.DUMMYFUNCTION("""COMPUTED_VALUE"""),"UAB")</f>
        <v>UAB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</row>
    <row r="3933">
      <c r="A3933" s="4">
        <f>IFERROR(__xludf.DUMMYFUNCTION("""COMPUTED_VALUE"""),167.0)</f>
        <v>167</v>
      </c>
      <c r="B3933" s="4">
        <f>IFERROR(__xludf.DUMMYFUNCTION("""COMPUTED_VALUE"""),167.0)</f>
        <v>167</v>
      </c>
      <c r="C3933" s="4" t="str">
        <f>IFERROR(__xludf.DUMMYFUNCTION("""COMPUTED_VALUE"""),"ATL")</f>
        <v>ATL</v>
      </c>
      <c r="D3933" s="4" t="str">
        <f>IFERROR(__xludf.DUMMYFUNCTION("""COMPUTED_VALUE"""),"Gilbert Salinas")</f>
        <v>Gilbert Salinas</v>
      </c>
      <c r="E3933" s="4" t="str">
        <f>IFERROR(__xludf.DUMMYFUNCTION("""COMPUTED_VALUE"""),"Notre Dame")</f>
        <v>Notre Dame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</row>
    <row r="3934">
      <c r="A3934" s="4">
        <f>IFERROR(__xludf.DUMMYFUNCTION("""COMPUTED_VALUE"""),168.0)</f>
        <v>168</v>
      </c>
      <c r="B3934" s="4">
        <f>IFERROR(__xludf.DUMMYFUNCTION("""COMPUTED_VALUE"""),168.0)</f>
        <v>168</v>
      </c>
      <c r="C3934" s="4" t="str">
        <f>IFERROR(__xludf.DUMMYFUNCTION("""COMPUTED_VALUE"""),"SDC")</f>
        <v>SDC</v>
      </c>
      <c r="D3934" s="4" t="str">
        <f>IFERROR(__xludf.DUMMYFUNCTION("""COMPUTED_VALUE"""),"Todd Haynes")</f>
        <v>Todd Haynes</v>
      </c>
      <c r="E3934" s="4" t="str">
        <f>IFERROR(__xludf.DUMMYFUNCTION("""COMPUTED_VALUE"""),"Davidson")</f>
        <v>Davidson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</row>
    <row r="3935">
      <c r="A3935" s="4">
        <f>IFERROR(__xludf.DUMMYFUNCTION("""COMPUTED_VALUE"""),169.0)</f>
        <v>169</v>
      </c>
      <c r="B3935" s="4">
        <f>IFERROR(__xludf.DUMMYFUNCTION("""COMPUTED_VALUE"""),169.0)</f>
        <v>169</v>
      </c>
      <c r="C3935" s="4" t="str">
        <f>IFERROR(__xludf.DUMMYFUNCTION("""COMPUTED_VALUE"""),"DEN")</f>
        <v>DEN</v>
      </c>
      <c r="D3935" s="4" t="str">
        <f>IFERROR(__xludf.DUMMYFUNCTION("""COMPUTED_VALUE"""),"Curtis Redding")</f>
        <v>Curtis Redding</v>
      </c>
      <c r="E3935" s="4" t="str">
        <f>IFERROR(__xludf.DUMMYFUNCTION("""COMPUTED_VALUE"""),"St. John's")</f>
        <v>St. John's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</row>
    <row r="3936">
      <c r="A3936" s="4">
        <f>IFERROR(__xludf.DUMMYFUNCTION("""COMPUTED_VALUE"""),170.0)</f>
        <v>170</v>
      </c>
      <c r="B3936" s="4">
        <f>IFERROR(__xludf.DUMMYFUNCTION("""COMPUTED_VALUE"""),170.0)</f>
        <v>170</v>
      </c>
      <c r="C3936" s="4" t="str">
        <f>IFERROR(__xludf.DUMMYFUNCTION("""COMPUTED_VALUE"""),"WSB")</f>
        <v>WSB</v>
      </c>
      <c r="D3936" s="4" t="str">
        <f>IFERROR(__xludf.DUMMYFUNCTION("""COMPUTED_VALUE"""),"Mike Howard")</f>
        <v>Mike Howard</v>
      </c>
      <c r="E3936" s="4" t="str">
        <f>IFERROR(__xludf.DUMMYFUNCTION("""COMPUTED_VALUE"""),"Wofford College")</f>
        <v>Wofford College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</row>
    <row r="3937">
      <c r="A3937" s="4">
        <f>IFERROR(__xludf.DUMMYFUNCTION("""COMPUTED_VALUE"""),171.0)</f>
        <v>171</v>
      </c>
      <c r="B3937" s="4">
        <f>IFERROR(__xludf.DUMMYFUNCTION("""COMPUTED_VALUE"""),171.0)</f>
        <v>171</v>
      </c>
      <c r="C3937" s="4" t="str">
        <f>IFERROR(__xludf.DUMMYFUNCTION("""COMPUTED_VALUE"""),"GSW")</f>
        <v>GSW</v>
      </c>
      <c r="D3937" s="4" t="str">
        <f>IFERROR(__xludf.DUMMYFUNCTION("""COMPUTED_VALUE"""),"Yasutaka Okayama")</f>
        <v>Yasutaka Okayama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</row>
    <row r="3938">
      <c r="A3938" s="4">
        <f>IFERROR(__xludf.DUMMYFUNCTION("""COMPUTED_VALUE"""),172.0)</f>
        <v>172</v>
      </c>
      <c r="B3938" s="4">
        <f>IFERROR(__xludf.DUMMYFUNCTION("""COMPUTED_VALUE"""),172.0)</f>
        <v>172</v>
      </c>
      <c r="C3938" s="4" t="str">
        <f>IFERROR(__xludf.DUMMYFUNCTION("""COMPUTED_VALUE"""),"HOU")</f>
        <v>HOU</v>
      </c>
      <c r="D3938" s="4" t="str">
        <f>IFERROR(__xludf.DUMMYFUNCTION("""COMPUTED_VALUE"""),"Stanley Brewer")</f>
        <v>Stanley Brewer</v>
      </c>
      <c r="E3938" s="4" t="str">
        <f>IFERROR(__xludf.DUMMYFUNCTION("""COMPUTED_VALUE"""),"West Georgia")</f>
        <v>West Georgia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</row>
    <row r="3939">
      <c r="A3939" s="4">
        <f>IFERROR(__xludf.DUMMYFUNCTION("""COMPUTED_VALUE"""),173.0)</f>
        <v>173</v>
      </c>
      <c r="B3939" s="4">
        <f>IFERROR(__xludf.DUMMYFUNCTION("""COMPUTED_VALUE"""),173.0)</f>
        <v>173</v>
      </c>
      <c r="C3939" s="4" t="str">
        <f>IFERROR(__xludf.DUMMYFUNCTION("""COMPUTED_VALUE"""),"KCK")</f>
        <v>KCK</v>
      </c>
      <c r="D3939" s="4" t="str">
        <f>IFERROR(__xludf.DUMMYFUNCTION("""COMPUTED_VALUE"""),"Randy Smithson")</f>
        <v>Randy Smithson</v>
      </c>
      <c r="E3939" s="4" t="str">
        <f>IFERROR(__xludf.DUMMYFUNCTION("""COMPUTED_VALUE"""),"Wichita State")</f>
        <v>Wichita State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</row>
    <row r="3940">
      <c r="A3940" s="4">
        <f>IFERROR(__xludf.DUMMYFUNCTION("""COMPUTED_VALUE"""),174.0)</f>
        <v>174</v>
      </c>
      <c r="B3940" s="4">
        <f>IFERROR(__xludf.DUMMYFUNCTION("""COMPUTED_VALUE"""),174.0)</f>
        <v>174</v>
      </c>
      <c r="C3940" s="4" t="str">
        <f>IFERROR(__xludf.DUMMYFUNCTION("""COMPUTED_VALUE"""),"IND")</f>
        <v>IND</v>
      </c>
      <c r="D3940" s="4" t="str">
        <f>IFERROR(__xludf.DUMMYFUNCTION("""COMPUTED_VALUE"""),"Len Hatzenbeller")</f>
        <v>Len Hatzenbeller</v>
      </c>
      <c r="E3940" s="4" t="str">
        <f>IFERROR(__xludf.DUMMYFUNCTION("""COMPUTED_VALUE"""),"Drexel")</f>
        <v>Drexel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</row>
    <row r="3941">
      <c r="A3941" s="4">
        <f>IFERROR(__xludf.DUMMYFUNCTION("""COMPUTED_VALUE"""),175.0)</f>
        <v>175</v>
      </c>
      <c r="B3941" s="4">
        <f>IFERROR(__xludf.DUMMYFUNCTION("""COMPUTED_VALUE"""),175.0)</f>
        <v>175</v>
      </c>
      <c r="C3941" s="4" t="str">
        <f>IFERROR(__xludf.DUMMYFUNCTION("""COMPUTED_VALUE"""),"CHI")</f>
        <v>CHI</v>
      </c>
      <c r="D3941" s="4" t="str">
        <f>IFERROR(__xludf.DUMMYFUNCTION("""COMPUTED_VALUE"""),"Ben Mitchell")</f>
        <v>Ben Mitchell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</row>
    <row r="3942">
      <c r="A3942" s="4">
        <f>IFERROR(__xludf.DUMMYFUNCTION("""COMPUTED_VALUE"""),176.0)</f>
        <v>176</v>
      </c>
      <c r="B3942" s="4">
        <f>IFERROR(__xludf.DUMMYFUNCTION("""COMPUTED_VALUE"""),176.0)</f>
        <v>176</v>
      </c>
      <c r="C3942" s="4" t="str">
        <f>IFERROR(__xludf.DUMMYFUNCTION("""COMPUTED_VALUE"""),"POR")</f>
        <v>POR</v>
      </c>
      <c r="D3942" s="4" t="str">
        <f>IFERROR(__xludf.DUMMYFUNCTION("""COMPUTED_VALUE"""),"John Smith")</f>
        <v>John Smith</v>
      </c>
      <c r="E3942" s="4" t="str">
        <f>IFERROR(__xludf.DUMMYFUNCTION("""COMPUTED_VALUE"""),"Saint Joseph's")</f>
        <v>Saint Joseph's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</row>
    <row r="3943">
      <c r="A3943" s="4">
        <f>IFERROR(__xludf.DUMMYFUNCTION("""COMPUTED_VALUE"""),177.0)</f>
        <v>177</v>
      </c>
      <c r="B3943" s="4">
        <f>IFERROR(__xludf.DUMMYFUNCTION("""COMPUTED_VALUE"""),177.0)</f>
        <v>177</v>
      </c>
      <c r="C3943" s="4" t="str">
        <f>IFERROR(__xludf.DUMMYFUNCTION("""COMPUTED_VALUE"""),"NYK")</f>
        <v>NYK</v>
      </c>
      <c r="D3943" s="4" t="str">
        <f>IFERROR(__xludf.DUMMYFUNCTION("""COMPUTED_VALUE"""),"Brian O'Connor")</f>
        <v>Brian O'Connor</v>
      </c>
      <c r="E3943" s="4" t="str">
        <f>IFERROR(__xludf.DUMMYFUNCTION("""COMPUTED_VALUE"""),"Thomas More College")</f>
        <v>Thomas More College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</row>
    <row r="3944">
      <c r="A3944" s="4">
        <f>IFERROR(__xludf.DUMMYFUNCTION("""COMPUTED_VALUE"""),178.0)</f>
        <v>178</v>
      </c>
      <c r="B3944" s="4">
        <f>IFERROR(__xludf.DUMMYFUNCTION("""COMPUTED_VALUE"""),178.0)</f>
        <v>178</v>
      </c>
      <c r="C3944" s="4" t="str">
        <f>IFERROR(__xludf.DUMMYFUNCTION("""COMPUTED_VALUE"""),"SAS")</f>
        <v>SAS</v>
      </c>
      <c r="D3944" s="4" t="str">
        <f>IFERROR(__xludf.DUMMYFUNCTION("""COMPUTED_VALUE"""),"Bob Bartholomew")</f>
        <v>Bob Bartholomew</v>
      </c>
      <c r="E3944" s="4" t="str">
        <f>IFERROR(__xludf.DUMMYFUNCTION("""COMPUTED_VALUE"""),"University of San Diego")</f>
        <v>University of San Diego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</row>
    <row r="3945">
      <c r="A3945" s="4">
        <f>IFERROR(__xludf.DUMMYFUNCTION("""COMPUTED_VALUE"""),179.0)</f>
        <v>179</v>
      </c>
      <c r="B3945" s="4">
        <f>IFERROR(__xludf.DUMMYFUNCTION("""COMPUTED_VALUE"""),179.0)</f>
        <v>179</v>
      </c>
      <c r="C3945" s="4" t="str">
        <f>IFERROR(__xludf.DUMMYFUNCTION("""COMPUTED_VALUE"""),"LAL")</f>
        <v>LAL</v>
      </c>
      <c r="D3945" s="4" t="str">
        <f>IFERROR(__xludf.DUMMYFUNCTION("""COMPUTED_VALUE"""),"Jay Triano")</f>
        <v>Jay Triano</v>
      </c>
      <c r="E3945" s="4" t="str">
        <f>IFERROR(__xludf.DUMMYFUNCTION("""COMPUTED_VALUE"""),"Simon Fraser University")</f>
        <v>Simon Fraser University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</row>
    <row r="3946">
      <c r="A3946" s="4">
        <f>IFERROR(__xludf.DUMMYFUNCTION("""COMPUTED_VALUE"""),180.0)</f>
        <v>180</v>
      </c>
      <c r="B3946" s="4">
        <f>IFERROR(__xludf.DUMMYFUNCTION("""COMPUTED_VALUE"""),180.0)</f>
        <v>180</v>
      </c>
      <c r="C3946" s="4" t="str">
        <f>IFERROR(__xludf.DUMMYFUNCTION("""COMPUTED_VALUE"""),"PHO")</f>
        <v>PHO</v>
      </c>
      <c r="D3946" s="4" t="str">
        <f>IFERROR(__xludf.DUMMYFUNCTION("""COMPUTED_VALUE"""),"Steve Risley")</f>
        <v>Steve Risley</v>
      </c>
      <c r="E3946" s="4" t="str">
        <f>IFERROR(__xludf.DUMMYFUNCTION("""COMPUTED_VALUE"""),"Indiana")</f>
        <v>Indiana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</row>
    <row r="3947">
      <c r="A3947" s="4">
        <f>IFERROR(__xludf.DUMMYFUNCTION("""COMPUTED_VALUE"""),181.0)</f>
        <v>181</v>
      </c>
      <c r="B3947" s="4">
        <f>IFERROR(__xludf.DUMMYFUNCTION("""COMPUTED_VALUE"""),181.0)</f>
        <v>181</v>
      </c>
      <c r="C3947" s="4" t="str">
        <f>IFERROR(__xludf.DUMMYFUNCTION("""COMPUTED_VALUE"""),"MIL")</f>
        <v>MIL</v>
      </c>
      <c r="D3947" s="4" t="str">
        <f>IFERROR(__xludf.DUMMYFUNCTION("""COMPUTED_VALUE"""),"Mike Brkovich")</f>
        <v>Mike Brkovich</v>
      </c>
      <c r="E3947" s="4" t="str">
        <f>IFERROR(__xludf.DUMMYFUNCTION("""COMPUTED_VALUE"""),"Michigan State")</f>
        <v>Michigan State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</row>
    <row r="3948">
      <c r="A3948" s="4">
        <f>IFERROR(__xludf.DUMMYFUNCTION("""COMPUTED_VALUE"""),182.0)</f>
        <v>182</v>
      </c>
      <c r="B3948" s="4">
        <f>IFERROR(__xludf.DUMMYFUNCTION("""COMPUTED_VALUE"""),182.0)</f>
        <v>182</v>
      </c>
      <c r="C3948" s="4" t="str">
        <f>IFERROR(__xludf.DUMMYFUNCTION("""COMPUTED_VALUE"""),"BOS")</f>
        <v>BOS</v>
      </c>
      <c r="D3948" s="4" t="str">
        <f>IFERROR(__xludf.DUMMYFUNCTION("""COMPUTED_VALUE"""),"George Morrow")</f>
        <v>George Morrow</v>
      </c>
      <c r="E3948" s="4" t="str">
        <f>IFERROR(__xludf.DUMMYFUNCTION("""COMPUTED_VALUE"""),"Creighton")</f>
        <v>Creighton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</row>
    <row r="3949">
      <c r="A3949" s="4">
        <f>IFERROR(__xludf.DUMMYFUNCTION("""COMPUTED_VALUE"""),183.0)</f>
        <v>183</v>
      </c>
      <c r="B3949" s="4">
        <f>IFERROR(__xludf.DUMMYFUNCTION("""COMPUTED_VALUE"""),183.0)</f>
        <v>183</v>
      </c>
      <c r="C3949" s="4" t="str">
        <f>IFERROR(__xludf.DUMMYFUNCTION("""COMPUTED_VALUE"""),"PHI")</f>
        <v>PHI</v>
      </c>
      <c r="D3949" s="4" t="str">
        <f>IFERROR(__xludf.DUMMYFUNCTION("""COMPUTED_VALUE"""),"Frank Gilroy")</f>
        <v>Frank Gilroy</v>
      </c>
      <c r="E3949" s="4" t="str">
        <f>IFERROR(__xludf.DUMMYFUNCTION("""COMPUTED_VALUE"""),"St. John's")</f>
        <v>St. John's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</row>
    <row r="3950">
      <c r="A3950" s="4"/>
      <c r="B3950" s="4"/>
      <c r="C3950" s="4"/>
      <c r="D3950" s="4" t="str">
        <f>IFERROR(__xludf.DUMMYFUNCTION("""COMPUTED_VALUE"""),"Round 9")</f>
        <v>Round 9</v>
      </c>
      <c r="E3950" s="4"/>
      <c r="F3950" s="4"/>
      <c r="G3950" s="4" t="str">
        <f>IFERROR(__xludf.DUMMYFUNCTION("""COMPUTED_VALUE"""),"Totals")</f>
        <v>Totals</v>
      </c>
      <c r="H3950" s="4"/>
      <c r="I3950" s="4"/>
      <c r="J3950" s="4"/>
      <c r="K3950" s="4"/>
      <c r="L3950" s="4" t="str">
        <f>IFERROR(__xludf.DUMMYFUNCTION("""COMPUTED_VALUE"""),"Shooting")</f>
        <v>Shooting</v>
      </c>
      <c r="M3950" s="4"/>
      <c r="N3950" s="4"/>
      <c r="O3950" s="4" t="str">
        <f>IFERROR(__xludf.DUMMYFUNCTION("""COMPUTED_VALUE"""),"Per Game")</f>
        <v>Per Game</v>
      </c>
      <c r="P3950" s="4"/>
      <c r="Q3950" s="4"/>
      <c r="R3950" s="4"/>
      <c r="S3950" s="4" t="str">
        <f>IFERROR(__xludf.DUMMYFUNCTION("""COMPUTED_VALUE"""),"Advanced")</f>
        <v>Advanced</v>
      </c>
      <c r="T3950" s="4"/>
      <c r="U3950" s="4"/>
      <c r="V3950" s="4"/>
    </row>
    <row r="3951">
      <c r="A3951" s="4" t="str">
        <f>IFERROR(__xludf.DUMMYFUNCTION("""COMPUTED_VALUE"""),"Rk")</f>
        <v>Rk</v>
      </c>
      <c r="B3951" s="4" t="str">
        <f>IFERROR(__xludf.DUMMYFUNCTION("""COMPUTED_VALUE"""),"Pk")</f>
        <v>Pk</v>
      </c>
      <c r="C3951" s="4" t="str">
        <f>IFERROR(__xludf.DUMMYFUNCTION("""COMPUTED_VALUE"""),"Tm")</f>
        <v>Tm</v>
      </c>
      <c r="D3951" s="4" t="str">
        <f>IFERROR(__xludf.DUMMYFUNCTION("""COMPUTED_VALUE"""),"Player")</f>
        <v>Player</v>
      </c>
      <c r="E3951" s="4" t="str">
        <f>IFERROR(__xludf.DUMMYFUNCTION("""COMPUTED_VALUE"""),"College")</f>
        <v>College</v>
      </c>
      <c r="F3951" s="4" t="str">
        <f>IFERROR(__xludf.DUMMYFUNCTION("""COMPUTED_VALUE"""),"Yrs")</f>
        <v>Yrs</v>
      </c>
      <c r="G3951" s="4" t="str">
        <f>IFERROR(__xludf.DUMMYFUNCTION("""COMPUTED_VALUE"""),"G")</f>
        <v>G</v>
      </c>
      <c r="H3951" s="4" t="str">
        <f>IFERROR(__xludf.DUMMYFUNCTION("""COMPUTED_VALUE"""),"MP")</f>
        <v>MP</v>
      </c>
      <c r="I3951" s="4" t="str">
        <f>IFERROR(__xludf.DUMMYFUNCTION("""COMPUTED_VALUE"""),"PTS")</f>
        <v>PTS</v>
      </c>
      <c r="J3951" s="4" t="str">
        <f>IFERROR(__xludf.DUMMYFUNCTION("""COMPUTED_VALUE"""),"TRB")</f>
        <v>TRB</v>
      </c>
      <c r="K3951" s="4" t="str">
        <f>IFERROR(__xludf.DUMMYFUNCTION("""COMPUTED_VALUE"""),"AST")</f>
        <v>AST</v>
      </c>
      <c r="L3951" s="4" t="str">
        <f>IFERROR(__xludf.DUMMYFUNCTION("""COMPUTED_VALUE"""),"FG%")</f>
        <v>FG%</v>
      </c>
      <c r="M3951" s="4" t="str">
        <f>IFERROR(__xludf.DUMMYFUNCTION("""COMPUTED_VALUE"""),"3P%")</f>
        <v>3P%</v>
      </c>
      <c r="N3951" s="4" t="str">
        <f>IFERROR(__xludf.DUMMYFUNCTION("""COMPUTED_VALUE"""),"FT%")</f>
        <v>FT%</v>
      </c>
      <c r="O3951" s="4" t="str">
        <f>IFERROR(__xludf.DUMMYFUNCTION("""COMPUTED_VALUE"""),"MP")</f>
        <v>MP</v>
      </c>
      <c r="P3951" s="4" t="str">
        <f>IFERROR(__xludf.DUMMYFUNCTION("""COMPUTED_VALUE"""),"PTS")</f>
        <v>PTS</v>
      </c>
      <c r="Q3951" s="4" t="str">
        <f>IFERROR(__xludf.DUMMYFUNCTION("""COMPUTED_VALUE"""),"TRB")</f>
        <v>TRB</v>
      </c>
      <c r="R3951" s="4" t="str">
        <f>IFERROR(__xludf.DUMMYFUNCTION("""COMPUTED_VALUE"""),"AST")</f>
        <v>AST</v>
      </c>
      <c r="S3951" s="4" t="str">
        <f>IFERROR(__xludf.DUMMYFUNCTION("""COMPUTED_VALUE"""),"WS")</f>
        <v>WS</v>
      </c>
      <c r="T3951" s="4" t="str">
        <f>IFERROR(__xludf.DUMMYFUNCTION("""COMPUTED_VALUE"""),"WS/48")</f>
        <v>WS/48</v>
      </c>
      <c r="U3951" s="4" t="str">
        <f>IFERROR(__xludf.DUMMYFUNCTION("""COMPUTED_VALUE"""),"BPM")</f>
        <v>BPM</v>
      </c>
      <c r="V3951" s="4" t="str">
        <f>IFERROR(__xludf.DUMMYFUNCTION("""COMPUTED_VALUE"""),"VORP")</f>
        <v>VORP</v>
      </c>
    </row>
    <row r="3952">
      <c r="A3952" s="4">
        <f>IFERROR(__xludf.DUMMYFUNCTION("""COMPUTED_VALUE"""),184.0)</f>
        <v>184</v>
      </c>
      <c r="B3952" s="4">
        <f>IFERROR(__xludf.DUMMYFUNCTION("""COMPUTED_VALUE"""),184.0)</f>
        <v>184</v>
      </c>
      <c r="C3952" s="4" t="str">
        <f>IFERROR(__xludf.DUMMYFUNCTION("""COMPUTED_VALUE"""),"DAL")</f>
        <v>DAL</v>
      </c>
      <c r="D3952" s="4" t="str">
        <f>IFERROR(__xludf.DUMMYFUNCTION("""COMPUTED_VALUE"""),"John Hollinden")</f>
        <v>John Hollinden</v>
      </c>
      <c r="E3952" s="4" t="str">
        <f>IFERROR(__xludf.DUMMYFUNCTION("""COMPUTED_VALUE"""),"Southern Indiana")</f>
        <v>Southern Indiana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</row>
    <row r="3953">
      <c r="A3953" s="4">
        <f>IFERROR(__xludf.DUMMYFUNCTION("""COMPUTED_VALUE"""),185.0)</f>
        <v>185</v>
      </c>
      <c r="B3953" s="4">
        <f>IFERROR(__xludf.DUMMYFUNCTION("""COMPUTED_VALUE"""),185.0)</f>
        <v>185</v>
      </c>
      <c r="C3953" s="4" t="str">
        <f>IFERROR(__xludf.DUMMYFUNCTION("""COMPUTED_VALUE"""),"DET")</f>
        <v>DET</v>
      </c>
      <c r="D3953" s="4" t="str">
        <f>IFERROR(__xludf.DUMMYFUNCTION("""COMPUTED_VALUE"""),"Eddie Baker")</f>
        <v>Eddie Baker</v>
      </c>
      <c r="E3953" s="4" t="str">
        <f>IFERROR(__xludf.DUMMYFUNCTION("""COMPUTED_VALUE"""),"Alcorn State")</f>
        <v>Alcorn State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</row>
    <row r="3954">
      <c r="A3954" s="4">
        <f>IFERROR(__xludf.DUMMYFUNCTION("""COMPUTED_VALUE"""),186.0)</f>
        <v>186</v>
      </c>
      <c r="B3954" s="4">
        <f>IFERROR(__xludf.DUMMYFUNCTION("""COMPUTED_VALUE"""),186.0)</f>
        <v>186</v>
      </c>
      <c r="C3954" s="4" t="str">
        <f>IFERROR(__xludf.DUMMYFUNCTION("""COMPUTED_VALUE"""),"NJN")</f>
        <v>NJN</v>
      </c>
      <c r="D3954" s="4" t="str">
        <f>IFERROR(__xludf.DUMMYFUNCTION("""COMPUTED_VALUE"""),"Rudy Williams")</f>
        <v>Rudy Williams</v>
      </c>
      <c r="E3954" s="4" t="str">
        <f>IFERROR(__xludf.DUMMYFUNCTION("""COMPUTED_VALUE"""),"Providence")</f>
        <v>Providence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</row>
    <row r="3955">
      <c r="A3955" s="4">
        <f>IFERROR(__xludf.DUMMYFUNCTION("""COMPUTED_VALUE"""),187.0)</f>
        <v>187</v>
      </c>
      <c r="B3955" s="4">
        <f>IFERROR(__xludf.DUMMYFUNCTION("""COMPUTED_VALUE"""),187.0)</f>
        <v>187</v>
      </c>
      <c r="C3955" s="4" t="str">
        <f>IFERROR(__xludf.DUMMYFUNCTION("""COMPUTED_VALUE"""),"CLE")</f>
        <v>CLE</v>
      </c>
      <c r="D3955" s="4" t="str">
        <f>IFERROR(__xludf.DUMMYFUNCTION("""COMPUTED_VALUE"""),"Paul Roba")</f>
        <v>Paul Roba</v>
      </c>
      <c r="E3955" s="4" t="str">
        <f>IFERROR(__xludf.DUMMYFUNCTION("""COMPUTED_VALUE"""),"Cleveland State University")</f>
        <v>Cleveland State University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</row>
    <row r="3956">
      <c r="A3956" s="4">
        <f>IFERROR(__xludf.DUMMYFUNCTION("""COMPUTED_VALUE"""),188.0)</f>
        <v>188</v>
      </c>
      <c r="B3956" s="4">
        <f>IFERROR(__xludf.DUMMYFUNCTION("""COMPUTED_VALUE"""),188.0)</f>
        <v>188</v>
      </c>
      <c r="C3956" s="4" t="str">
        <f>IFERROR(__xludf.DUMMYFUNCTION("""COMPUTED_VALUE"""),"UTA")</f>
        <v>UTA</v>
      </c>
      <c r="D3956" s="4" t="str">
        <f>IFERROR(__xludf.DUMMYFUNCTION("""COMPUTED_VALUE"""),"Ken Ollie")</f>
        <v>Ken Ollie</v>
      </c>
      <c r="E3956" s="4" t="str">
        <f>IFERROR(__xludf.DUMMYFUNCTION("""COMPUTED_VALUE"""),"Wyoming")</f>
        <v>Wyoming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</row>
    <row r="3957">
      <c r="A3957" s="4">
        <f>IFERROR(__xludf.DUMMYFUNCTION("""COMPUTED_VALUE"""),189.0)</f>
        <v>189</v>
      </c>
      <c r="B3957" s="4">
        <f>IFERROR(__xludf.DUMMYFUNCTION("""COMPUTED_VALUE"""),189.0)</f>
        <v>189</v>
      </c>
      <c r="C3957" s="4" t="str">
        <f>IFERROR(__xludf.DUMMYFUNCTION("""COMPUTED_VALUE"""),"ATL")</f>
        <v>ATL</v>
      </c>
      <c r="D3957" s="4" t="str">
        <f>IFERROR(__xludf.DUMMYFUNCTION("""COMPUTED_VALUE"""),"Howard Thompkins")</f>
        <v>Howard Thompkins</v>
      </c>
      <c r="E3957" s="4" t="str">
        <f>IFERROR(__xludf.DUMMYFUNCTION("""COMPUTED_VALUE"""),"Wagner College")</f>
        <v>Wagner College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</row>
    <row r="3958">
      <c r="A3958" s="4">
        <f>IFERROR(__xludf.DUMMYFUNCTION("""COMPUTED_VALUE"""),190.0)</f>
        <v>190</v>
      </c>
      <c r="B3958" s="4">
        <f>IFERROR(__xludf.DUMMYFUNCTION("""COMPUTED_VALUE"""),190.0)</f>
        <v>190</v>
      </c>
      <c r="C3958" s="4" t="str">
        <f>IFERROR(__xludf.DUMMYFUNCTION("""COMPUTED_VALUE"""),"SDC")</f>
        <v>SDC</v>
      </c>
      <c r="D3958" s="4" t="str">
        <f>IFERROR(__xludf.DUMMYFUNCTION("""COMPUTED_VALUE"""),"Art Jones")</f>
        <v>Art Jones</v>
      </c>
      <c r="E3958" s="4" t="str">
        <f>IFERROR(__xludf.DUMMYFUNCTION("""COMPUTED_VALUE"""),"NC State")</f>
        <v>NC State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</row>
    <row r="3959">
      <c r="A3959" s="4">
        <f>IFERROR(__xludf.DUMMYFUNCTION("""COMPUTED_VALUE"""),191.0)</f>
        <v>191</v>
      </c>
      <c r="B3959" s="4">
        <f>IFERROR(__xludf.DUMMYFUNCTION("""COMPUTED_VALUE"""),191.0)</f>
        <v>191</v>
      </c>
      <c r="C3959" s="4" t="str">
        <f>IFERROR(__xludf.DUMMYFUNCTION("""COMPUTED_VALUE"""),"DEN")</f>
        <v>DEN</v>
      </c>
      <c r="D3959" s="4" t="str">
        <f>IFERROR(__xludf.DUMMYFUNCTION("""COMPUTED_VALUE"""),"Andrew Burton")</f>
        <v>Andrew Burton</v>
      </c>
      <c r="E3959" s="4" t="str">
        <f>IFERROR(__xludf.DUMMYFUNCTION("""COMPUTED_VALUE"""),"Austin Peay State University")</f>
        <v>Austin Peay State University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</row>
    <row r="3960">
      <c r="A3960" s="4">
        <f>IFERROR(__xludf.DUMMYFUNCTION("""COMPUTED_VALUE"""),192.0)</f>
        <v>192</v>
      </c>
      <c r="B3960" s="4">
        <f>IFERROR(__xludf.DUMMYFUNCTION("""COMPUTED_VALUE"""),192.0)</f>
        <v>192</v>
      </c>
      <c r="C3960" s="4" t="str">
        <f>IFERROR(__xludf.DUMMYFUNCTION("""COMPUTED_VALUE"""),"GSW")</f>
        <v>GSW</v>
      </c>
      <c r="D3960" s="4" t="str">
        <f>IFERROR(__xludf.DUMMYFUNCTION("""COMPUTED_VALUE"""),"Doug Murrey")</f>
        <v>Doug Murrey</v>
      </c>
      <c r="E3960" s="4" t="str">
        <f>IFERROR(__xludf.DUMMYFUNCTION("""COMPUTED_VALUE"""),"San Jose State")</f>
        <v>San Jose State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</row>
    <row r="3961">
      <c r="A3961" s="4">
        <f>IFERROR(__xludf.DUMMYFUNCTION("""COMPUTED_VALUE"""),193.0)</f>
        <v>193</v>
      </c>
      <c r="B3961" s="4">
        <f>IFERROR(__xludf.DUMMYFUNCTION("""COMPUTED_VALUE"""),193.0)</f>
        <v>193</v>
      </c>
      <c r="C3961" s="4" t="str">
        <f>IFERROR(__xludf.DUMMYFUNCTION("""COMPUTED_VALUE"""),"WSB")</f>
        <v>WSB</v>
      </c>
      <c r="D3961" s="4" t="str">
        <f>IFERROR(__xludf.DUMMYFUNCTION("""COMPUTED_VALUE"""),"Eddie Brown")</f>
        <v>Eddie Brown</v>
      </c>
      <c r="E3961" s="4" t="str">
        <f>IFERROR(__xludf.DUMMYFUNCTION("""COMPUTED_VALUE"""),"Valdosta State University")</f>
        <v>Valdosta State University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</row>
    <row r="3962">
      <c r="A3962" s="4">
        <f>IFERROR(__xludf.DUMMYFUNCTION("""COMPUTED_VALUE"""),194.0)</f>
        <v>194</v>
      </c>
      <c r="B3962" s="4">
        <f>IFERROR(__xludf.DUMMYFUNCTION("""COMPUTED_VALUE"""),194.0)</f>
        <v>194</v>
      </c>
      <c r="C3962" s="4" t="str">
        <f>IFERROR(__xludf.DUMMYFUNCTION("""COMPUTED_VALUE"""),"KCK")</f>
        <v>KCK</v>
      </c>
      <c r="D3962" s="4" t="str">
        <f>IFERROR(__xludf.DUMMYFUNCTION("""COMPUTED_VALUE"""),"Mike Perry")</f>
        <v>Mike Perry</v>
      </c>
      <c r="E3962" s="4" t="str">
        <f>IFERROR(__xludf.DUMMYFUNCTION("""COMPUTED_VALUE"""),"Richmond")</f>
        <v>Richmond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</row>
    <row r="3963">
      <c r="A3963" s="4">
        <f>IFERROR(__xludf.DUMMYFUNCTION("""COMPUTED_VALUE"""),195.0)</f>
        <v>195</v>
      </c>
      <c r="B3963" s="4">
        <f>IFERROR(__xludf.DUMMYFUNCTION("""COMPUTED_VALUE"""),195.0)</f>
        <v>195</v>
      </c>
      <c r="C3963" s="4" t="str">
        <f>IFERROR(__xludf.DUMMYFUNCTION("""COMPUTED_VALUE"""),"IND")</f>
        <v>IND</v>
      </c>
      <c r="D3963" s="4" t="str">
        <f>IFERROR(__xludf.DUMMYFUNCTION("""COMPUTED_VALUE"""),"Scott Whitley")</f>
        <v>Scott Whitley</v>
      </c>
      <c r="E3963" s="4" t="str">
        <f>IFERROR(__xludf.DUMMYFUNCTION("""COMPUTED_VALUE"""),"William &amp; Mary")</f>
        <v>William &amp; Mary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</row>
    <row r="3964">
      <c r="A3964" s="4">
        <f>IFERROR(__xludf.DUMMYFUNCTION("""COMPUTED_VALUE"""),196.0)</f>
        <v>196</v>
      </c>
      <c r="B3964" s="4">
        <f>IFERROR(__xludf.DUMMYFUNCTION("""COMPUTED_VALUE"""),196.0)</f>
        <v>196</v>
      </c>
      <c r="C3964" s="4" t="str">
        <f>IFERROR(__xludf.DUMMYFUNCTION("""COMPUTED_VALUE"""),"POR")</f>
        <v>POR</v>
      </c>
      <c r="D3964" s="4" t="str">
        <f>IFERROR(__xludf.DUMMYFUNCTION("""COMPUTED_VALUE"""),"Sid Williams")</f>
        <v>Sid Williams</v>
      </c>
      <c r="E3964" s="4" t="str">
        <f>IFERROR(__xludf.DUMMYFUNCTION("""COMPUTED_VALUE"""),"San Jose State")</f>
        <v>San Jose State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</row>
    <row r="3965">
      <c r="A3965" s="4">
        <f>IFERROR(__xludf.DUMMYFUNCTION("""COMPUTED_VALUE"""),197.0)</f>
        <v>197</v>
      </c>
      <c r="B3965" s="4">
        <f>IFERROR(__xludf.DUMMYFUNCTION("""COMPUTED_VALUE"""),197.0)</f>
        <v>197</v>
      </c>
      <c r="C3965" s="4" t="str">
        <f>IFERROR(__xludf.DUMMYFUNCTION("""COMPUTED_VALUE"""),"CHI")</f>
        <v>CHI</v>
      </c>
      <c r="D3965" s="4" t="str">
        <f>IFERROR(__xludf.DUMMYFUNCTION("""COMPUTED_VALUE"""),"Terry Martin")</f>
        <v>Terry Martin</v>
      </c>
      <c r="E3965" s="4" t="str">
        <f>IFERROR(__xludf.DUMMYFUNCTION("""COMPUTED_VALUE"""),"Lambuth University")</f>
        <v>Lambuth University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</row>
    <row r="3966">
      <c r="A3966" s="4">
        <f>IFERROR(__xludf.DUMMYFUNCTION("""COMPUTED_VALUE"""),198.0)</f>
        <v>198</v>
      </c>
      <c r="B3966" s="4">
        <f>IFERROR(__xludf.DUMMYFUNCTION("""COMPUTED_VALUE"""),198.0)</f>
        <v>198</v>
      </c>
      <c r="C3966" s="4" t="str">
        <f>IFERROR(__xludf.DUMMYFUNCTION("""COMPUTED_VALUE"""),"NYK")</f>
        <v>NYK</v>
      </c>
      <c r="D3966" s="4" t="str">
        <f>IFERROR(__xludf.DUMMYFUNCTION("""COMPUTED_VALUE"""),"Marty Headd")</f>
        <v>Marty Headd</v>
      </c>
      <c r="E3966" s="4" t="str">
        <f>IFERROR(__xludf.DUMMYFUNCTION("""COMPUTED_VALUE"""),"Syracuse")</f>
        <v>Syracuse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</row>
    <row r="3967">
      <c r="A3967" s="4">
        <f>IFERROR(__xludf.DUMMYFUNCTION("""COMPUTED_VALUE"""),199.0)</f>
        <v>199</v>
      </c>
      <c r="B3967" s="4">
        <f>IFERROR(__xludf.DUMMYFUNCTION("""COMPUTED_VALUE"""),199.0)</f>
        <v>199</v>
      </c>
      <c r="C3967" s="4" t="str">
        <f>IFERROR(__xludf.DUMMYFUNCTION("""COMPUTED_VALUE"""),"SAS")</f>
        <v>SAS</v>
      </c>
      <c r="D3967" s="4" t="str">
        <f>IFERROR(__xludf.DUMMYFUNCTION("""COMPUTED_VALUE"""),"Leonel Marquetti")</f>
        <v>Leonel Marquetti</v>
      </c>
      <c r="E3967" s="4" t="str">
        <f>IFERROR(__xludf.DUMMYFUNCTION("""COMPUTED_VALUE"""),"Hampton")</f>
        <v>Hampton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</row>
    <row r="3968">
      <c r="A3968" s="4">
        <f>IFERROR(__xludf.DUMMYFUNCTION("""COMPUTED_VALUE"""),200.0)</f>
        <v>200</v>
      </c>
      <c r="B3968" s="4">
        <f>IFERROR(__xludf.DUMMYFUNCTION("""COMPUTED_VALUE"""),200.0)</f>
        <v>200</v>
      </c>
      <c r="C3968" s="4" t="str">
        <f>IFERROR(__xludf.DUMMYFUNCTION("""COMPUTED_VALUE"""),"PHO")</f>
        <v>PHO</v>
      </c>
      <c r="D3968" s="4" t="str">
        <f>IFERROR(__xludf.DUMMYFUNCTION("""COMPUTED_VALUE"""),"Brian Johnson")</f>
        <v>Brian Johnson</v>
      </c>
      <c r="E3968" s="4" t="str">
        <f>IFERROR(__xludf.DUMMYFUNCTION("""COMPUTED_VALUE"""),"Colorado")</f>
        <v>Colorado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</row>
    <row r="3969">
      <c r="A3969" s="4">
        <f>IFERROR(__xludf.DUMMYFUNCTION("""COMPUTED_VALUE"""),201.0)</f>
        <v>201</v>
      </c>
      <c r="B3969" s="4">
        <f>IFERROR(__xludf.DUMMYFUNCTION("""COMPUTED_VALUE"""),201.0)</f>
        <v>201</v>
      </c>
      <c r="C3969" s="4" t="str">
        <f>IFERROR(__xludf.DUMMYFUNCTION("""COMPUTED_VALUE"""),"MIL")</f>
        <v>MIL</v>
      </c>
      <c r="D3969" s="4" t="str">
        <f>IFERROR(__xludf.DUMMYFUNCTION("""COMPUTED_VALUE"""),"Chip Rucker")</f>
        <v>Chip Rucker</v>
      </c>
      <c r="E3969" s="4" t="str">
        <f>IFERROR(__xludf.DUMMYFUNCTION("""COMPUTED_VALUE"""),"Northeastern University")</f>
        <v>Northeastern University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</row>
    <row r="3970">
      <c r="A3970" s="4">
        <f>IFERROR(__xludf.DUMMYFUNCTION("""COMPUTED_VALUE"""),202.0)</f>
        <v>202</v>
      </c>
      <c r="B3970" s="4">
        <f>IFERROR(__xludf.DUMMYFUNCTION("""COMPUTED_VALUE"""),202.0)</f>
        <v>202</v>
      </c>
      <c r="C3970" s="4" t="str">
        <f>IFERROR(__xludf.DUMMYFUNCTION("""COMPUTED_VALUE"""),"PHI")</f>
        <v>PHI</v>
      </c>
      <c r="D3970" s="4" t="str">
        <f>IFERROR(__xludf.DUMMYFUNCTION("""COMPUTED_VALUE"""),"Ron Wister")</f>
        <v>Ron Wister</v>
      </c>
      <c r="E3970" s="4" t="str">
        <f>IFERROR(__xludf.DUMMYFUNCTION("""COMPUTED_VALUE"""),"Temple")</f>
        <v>Temple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</row>
    <row r="3971">
      <c r="A3971" s="4">
        <f>IFERROR(__xludf.DUMMYFUNCTION("""COMPUTED_VALUE"""),203.0)</f>
        <v>203</v>
      </c>
      <c r="B3971" s="4">
        <f>IFERROR(__xludf.DUMMYFUNCTION("""COMPUTED_VALUE"""),203.0)</f>
        <v>203</v>
      </c>
      <c r="C3971" s="4" t="str">
        <f>IFERROR(__xludf.DUMMYFUNCTION("""COMPUTED_VALUE"""),"BOS")</f>
        <v>BOS</v>
      </c>
      <c r="D3971" s="4" t="str">
        <f>IFERROR(__xludf.DUMMYFUNCTION("""COMPUTED_VALUE"""),"Greg McCray")</f>
        <v>Greg McCray</v>
      </c>
      <c r="E3971" s="4" t="str">
        <f>IFERROR(__xludf.DUMMYFUNCTION("""COMPUTED_VALUE"""),"VCU")</f>
        <v>VCU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</row>
    <row r="3972">
      <c r="A3972" s="4"/>
      <c r="B3972" s="4"/>
      <c r="C3972" s="4"/>
      <c r="D3972" s="4" t="str">
        <f>IFERROR(__xludf.DUMMYFUNCTION("""COMPUTED_VALUE"""),"Round 10")</f>
        <v>Round 10</v>
      </c>
      <c r="E3972" s="4"/>
      <c r="F3972" s="4"/>
      <c r="G3972" s="4" t="str">
        <f>IFERROR(__xludf.DUMMYFUNCTION("""COMPUTED_VALUE"""),"Totals")</f>
        <v>Totals</v>
      </c>
      <c r="H3972" s="4"/>
      <c r="I3972" s="4"/>
      <c r="J3972" s="4"/>
      <c r="K3972" s="4"/>
      <c r="L3972" s="4" t="str">
        <f>IFERROR(__xludf.DUMMYFUNCTION("""COMPUTED_VALUE"""),"Shooting")</f>
        <v>Shooting</v>
      </c>
      <c r="M3972" s="4"/>
      <c r="N3972" s="4"/>
      <c r="O3972" s="4" t="str">
        <f>IFERROR(__xludf.DUMMYFUNCTION("""COMPUTED_VALUE"""),"Per Game")</f>
        <v>Per Game</v>
      </c>
      <c r="P3972" s="4"/>
      <c r="Q3972" s="4"/>
      <c r="R3972" s="4"/>
      <c r="S3972" s="4" t="str">
        <f>IFERROR(__xludf.DUMMYFUNCTION("""COMPUTED_VALUE"""),"Advanced")</f>
        <v>Advanced</v>
      </c>
      <c r="T3972" s="4"/>
      <c r="U3972" s="4"/>
      <c r="V3972" s="4"/>
    </row>
    <row r="3973">
      <c r="A3973" s="4" t="str">
        <f>IFERROR(__xludf.DUMMYFUNCTION("""COMPUTED_VALUE"""),"Rk")</f>
        <v>Rk</v>
      </c>
      <c r="B3973" s="4" t="str">
        <f>IFERROR(__xludf.DUMMYFUNCTION("""COMPUTED_VALUE"""),"Pk")</f>
        <v>Pk</v>
      </c>
      <c r="C3973" s="4" t="str">
        <f>IFERROR(__xludf.DUMMYFUNCTION("""COMPUTED_VALUE"""),"Tm")</f>
        <v>Tm</v>
      </c>
      <c r="D3973" s="4" t="str">
        <f>IFERROR(__xludf.DUMMYFUNCTION("""COMPUTED_VALUE"""),"Player")</f>
        <v>Player</v>
      </c>
      <c r="E3973" s="4" t="str">
        <f>IFERROR(__xludf.DUMMYFUNCTION("""COMPUTED_VALUE"""),"College")</f>
        <v>College</v>
      </c>
      <c r="F3973" s="4" t="str">
        <f>IFERROR(__xludf.DUMMYFUNCTION("""COMPUTED_VALUE"""),"Yrs")</f>
        <v>Yrs</v>
      </c>
      <c r="G3973" s="4" t="str">
        <f>IFERROR(__xludf.DUMMYFUNCTION("""COMPUTED_VALUE"""),"G")</f>
        <v>G</v>
      </c>
      <c r="H3973" s="4" t="str">
        <f>IFERROR(__xludf.DUMMYFUNCTION("""COMPUTED_VALUE"""),"MP")</f>
        <v>MP</v>
      </c>
      <c r="I3973" s="4" t="str">
        <f>IFERROR(__xludf.DUMMYFUNCTION("""COMPUTED_VALUE"""),"PTS")</f>
        <v>PTS</v>
      </c>
      <c r="J3973" s="4" t="str">
        <f>IFERROR(__xludf.DUMMYFUNCTION("""COMPUTED_VALUE"""),"TRB")</f>
        <v>TRB</v>
      </c>
      <c r="K3973" s="4" t="str">
        <f>IFERROR(__xludf.DUMMYFUNCTION("""COMPUTED_VALUE"""),"AST")</f>
        <v>AST</v>
      </c>
      <c r="L3973" s="4" t="str">
        <f>IFERROR(__xludf.DUMMYFUNCTION("""COMPUTED_VALUE"""),"FG%")</f>
        <v>FG%</v>
      </c>
      <c r="M3973" s="4" t="str">
        <f>IFERROR(__xludf.DUMMYFUNCTION("""COMPUTED_VALUE"""),"3P%")</f>
        <v>3P%</v>
      </c>
      <c r="N3973" s="4" t="str">
        <f>IFERROR(__xludf.DUMMYFUNCTION("""COMPUTED_VALUE"""),"FT%")</f>
        <v>FT%</v>
      </c>
      <c r="O3973" s="4" t="str">
        <f>IFERROR(__xludf.DUMMYFUNCTION("""COMPUTED_VALUE"""),"MP")</f>
        <v>MP</v>
      </c>
      <c r="P3973" s="4" t="str">
        <f>IFERROR(__xludf.DUMMYFUNCTION("""COMPUTED_VALUE"""),"PTS")</f>
        <v>PTS</v>
      </c>
      <c r="Q3973" s="4" t="str">
        <f>IFERROR(__xludf.DUMMYFUNCTION("""COMPUTED_VALUE"""),"TRB")</f>
        <v>TRB</v>
      </c>
      <c r="R3973" s="4" t="str">
        <f>IFERROR(__xludf.DUMMYFUNCTION("""COMPUTED_VALUE"""),"AST")</f>
        <v>AST</v>
      </c>
      <c r="S3973" s="4" t="str">
        <f>IFERROR(__xludf.DUMMYFUNCTION("""COMPUTED_VALUE"""),"WS")</f>
        <v>WS</v>
      </c>
      <c r="T3973" s="4" t="str">
        <f>IFERROR(__xludf.DUMMYFUNCTION("""COMPUTED_VALUE"""),"WS/48")</f>
        <v>WS/48</v>
      </c>
      <c r="U3973" s="4" t="str">
        <f>IFERROR(__xludf.DUMMYFUNCTION("""COMPUTED_VALUE"""),"BPM")</f>
        <v>BPM</v>
      </c>
      <c r="V3973" s="4" t="str">
        <f>IFERROR(__xludf.DUMMYFUNCTION("""COMPUTED_VALUE"""),"VORP")</f>
        <v>VORP</v>
      </c>
    </row>
    <row r="3974">
      <c r="A3974" s="4">
        <f>IFERROR(__xludf.DUMMYFUNCTION("""COMPUTED_VALUE"""),204.0)</f>
        <v>204</v>
      </c>
      <c r="B3974" s="4">
        <f>IFERROR(__xludf.DUMMYFUNCTION("""COMPUTED_VALUE"""),204.0)</f>
        <v>204</v>
      </c>
      <c r="C3974" s="4" t="str">
        <f>IFERROR(__xludf.DUMMYFUNCTION("""COMPUTED_VALUE"""),"DAL")</f>
        <v>DAL</v>
      </c>
      <c r="D3974" s="4" t="str">
        <f>IFERROR(__xludf.DUMMYFUNCTION("""COMPUTED_VALUE"""),"Scott Bolanko")</f>
        <v>Scott Bolanko</v>
      </c>
      <c r="E3974" s="4" t="str">
        <f>IFERROR(__xludf.DUMMYFUNCTION("""COMPUTED_VALUE"""),"Northern State University")</f>
        <v>Northern State University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</row>
    <row r="3975">
      <c r="A3975" s="4">
        <f>IFERROR(__xludf.DUMMYFUNCTION("""COMPUTED_VALUE"""),205.0)</f>
        <v>205</v>
      </c>
      <c r="B3975" s="4">
        <f>IFERROR(__xludf.DUMMYFUNCTION("""COMPUTED_VALUE"""),205.0)</f>
        <v>205</v>
      </c>
      <c r="C3975" s="4" t="str">
        <f>IFERROR(__xludf.DUMMYFUNCTION("""COMPUTED_VALUE"""),"DET")</f>
        <v>DET</v>
      </c>
      <c r="D3975" s="4" t="str">
        <f>IFERROR(__xludf.DUMMYFUNCTION("""COMPUTED_VALUE"""),"Melvin Maxwell")</f>
        <v>Melvin Maxwell</v>
      </c>
      <c r="E3975" s="4" t="str">
        <f>IFERROR(__xludf.DUMMYFUNCTION("""COMPUTED_VALUE"""),"Western Michigan")</f>
        <v>Western Michigan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</row>
    <row r="3976">
      <c r="A3976" s="4">
        <f>IFERROR(__xludf.DUMMYFUNCTION("""COMPUTED_VALUE"""),206.0)</f>
        <v>206</v>
      </c>
      <c r="B3976" s="4">
        <f>IFERROR(__xludf.DUMMYFUNCTION("""COMPUTED_VALUE"""),206.0)</f>
        <v>206</v>
      </c>
      <c r="C3976" s="4" t="str">
        <f>IFERROR(__xludf.DUMMYFUNCTION("""COMPUTED_VALUE"""),"NJN")</f>
        <v>NJN</v>
      </c>
      <c r="D3976" s="4" t="str">
        <f>IFERROR(__xludf.DUMMYFUNCTION("""COMPUTED_VALUE"""),"Vic Sison")</f>
        <v>Vic Sison</v>
      </c>
      <c r="E3976" s="4" t="str">
        <f>IFERROR(__xludf.DUMMYFUNCTION("""COMPUTED_VALUE"""),"UCLA")</f>
        <v>UCLA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</row>
    <row r="3977">
      <c r="A3977" s="4">
        <f>IFERROR(__xludf.DUMMYFUNCTION("""COMPUTED_VALUE"""),207.0)</f>
        <v>207</v>
      </c>
      <c r="B3977" s="4">
        <f>IFERROR(__xludf.DUMMYFUNCTION("""COMPUTED_VALUE"""),207.0)</f>
        <v>207</v>
      </c>
      <c r="C3977" s="4" t="str">
        <f>IFERROR(__xludf.DUMMYFUNCTION("""COMPUTED_VALUE"""),"UTA")</f>
        <v>UTA</v>
      </c>
      <c r="D3977" s="4" t="str">
        <f>IFERROR(__xludf.DUMMYFUNCTION("""COMPUTED_VALUE"""),"Joe Merten")</f>
        <v>Joe Merten</v>
      </c>
      <c r="E3977" s="4" t="str">
        <f>IFERROR(__xludf.DUMMYFUNCTION("""COMPUTED_VALUE"""),"University of Wisconsin-Eau Claire")</f>
        <v>University of Wisconsin-Eau Claire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</row>
    <row r="3978">
      <c r="A3978" s="4">
        <f>IFERROR(__xludf.DUMMYFUNCTION("""COMPUTED_VALUE"""),208.0)</f>
        <v>208</v>
      </c>
      <c r="B3978" s="4">
        <f>IFERROR(__xludf.DUMMYFUNCTION("""COMPUTED_VALUE"""),208.0)</f>
        <v>208</v>
      </c>
      <c r="C3978" s="4" t="str">
        <f>IFERROR(__xludf.DUMMYFUNCTION("""COMPUTED_VALUE"""),"CLE")</f>
        <v>CLE</v>
      </c>
      <c r="D3978" s="4" t="str">
        <f>IFERROR(__xludf.DUMMYFUNCTION("""COMPUTED_VALUE"""),"Greg Boone")</f>
        <v>Greg Boone</v>
      </c>
      <c r="E3978" s="4" t="str">
        <f>IFERROR(__xludf.DUMMYFUNCTION("""COMPUTED_VALUE"""),"Augsburg College")</f>
        <v>Augsburg College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</row>
    <row r="3979">
      <c r="A3979" s="4">
        <f>IFERROR(__xludf.DUMMYFUNCTION("""COMPUTED_VALUE"""),209.0)</f>
        <v>209</v>
      </c>
      <c r="B3979" s="4">
        <f>IFERROR(__xludf.DUMMYFUNCTION("""COMPUTED_VALUE"""),209.0)</f>
        <v>209</v>
      </c>
      <c r="C3979" s="4" t="str">
        <f>IFERROR(__xludf.DUMMYFUNCTION("""COMPUTED_VALUE"""),"ATL")</f>
        <v>ATL</v>
      </c>
      <c r="D3979" s="4" t="str">
        <f>IFERROR(__xludf.DUMMYFUNCTION("""COMPUTED_VALUE"""),"Mike Frazier")</f>
        <v>Mike Frazier</v>
      </c>
      <c r="E3979" s="4" t="str">
        <f>IFERROR(__xludf.DUMMYFUNCTION("""COMPUTED_VALUE"""),"Georgetown")</f>
        <v>Georgetown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</row>
    <row r="3980">
      <c r="A3980" s="4">
        <f>IFERROR(__xludf.DUMMYFUNCTION("""COMPUTED_VALUE"""),210.0)</f>
        <v>210</v>
      </c>
      <c r="B3980" s="4">
        <f>IFERROR(__xludf.DUMMYFUNCTION("""COMPUTED_VALUE"""),210.0)</f>
        <v>210</v>
      </c>
      <c r="C3980" s="4" t="str">
        <f>IFERROR(__xludf.DUMMYFUNCTION("""COMPUTED_VALUE"""),"SDC")</f>
        <v>SDC</v>
      </c>
      <c r="D3980" s="4" t="str">
        <f>IFERROR(__xludf.DUMMYFUNCTION("""COMPUTED_VALUE"""),"Tony Gwynn")</f>
        <v>Tony Gwynn</v>
      </c>
      <c r="E3980" s="4" t="str">
        <f>IFERROR(__xludf.DUMMYFUNCTION("""COMPUTED_VALUE"""),"San Diego State")</f>
        <v>San Diego State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</row>
    <row r="3981">
      <c r="A3981" s="4">
        <f>IFERROR(__xludf.DUMMYFUNCTION("""COMPUTED_VALUE"""),211.0)</f>
        <v>211</v>
      </c>
      <c r="B3981" s="4">
        <f>IFERROR(__xludf.DUMMYFUNCTION("""COMPUTED_VALUE"""),211.0)</f>
        <v>211</v>
      </c>
      <c r="C3981" s="4" t="str">
        <f>IFERROR(__xludf.DUMMYFUNCTION("""COMPUTED_VALUE"""),"DEN")</f>
        <v>DEN</v>
      </c>
      <c r="D3981" s="4" t="str">
        <f>IFERROR(__xludf.DUMMYFUNCTION("""COMPUTED_VALUE"""),"Derrick Rowland")</f>
        <v>Derrick Rowland</v>
      </c>
      <c r="E3981" s="4" t="str">
        <f>IFERROR(__xludf.DUMMYFUNCTION("""COMPUTED_VALUE"""),"State University of New York at Potsdam")</f>
        <v>State University of New York at Potsdam</v>
      </c>
      <c r="F3981" s="4">
        <f>IFERROR(__xludf.DUMMYFUNCTION("""COMPUTED_VALUE"""),1.0)</f>
        <v>1</v>
      </c>
      <c r="G3981" s="4">
        <f>IFERROR(__xludf.DUMMYFUNCTION("""COMPUTED_VALUE"""),2.0)</f>
        <v>2</v>
      </c>
      <c r="H3981" s="4">
        <f>IFERROR(__xludf.DUMMYFUNCTION("""COMPUTED_VALUE"""),9.0)</f>
        <v>9</v>
      </c>
      <c r="I3981" s="4">
        <f>IFERROR(__xludf.DUMMYFUNCTION("""COMPUTED_VALUE"""),3.0)</f>
        <v>3</v>
      </c>
      <c r="J3981" s="4">
        <f>IFERROR(__xludf.DUMMYFUNCTION("""COMPUTED_VALUE"""),1.0)</f>
        <v>1</v>
      </c>
      <c r="K3981" s="4">
        <f>IFERROR(__xludf.DUMMYFUNCTION("""COMPUTED_VALUE"""),1.0)</f>
        <v>1</v>
      </c>
      <c r="L3981" s="4">
        <f>IFERROR(__xludf.DUMMYFUNCTION("""COMPUTED_VALUE"""),0.333)</f>
        <v>0.333</v>
      </c>
      <c r="M3981" s="4"/>
      <c r="N3981" s="4">
        <f>IFERROR(__xludf.DUMMYFUNCTION("""COMPUTED_VALUE"""),0.5)</f>
        <v>0.5</v>
      </c>
      <c r="O3981" s="4">
        <f>IFERROR(__xludf.DUMMYFUNCTION("""COMPUTED_VALUE"""),4.5)</f>
        <v>4.5</v>
      </c>
      <c r="P3981" s="4">
        <f>IFERROR(__xludf.DUMMYFUNCTION("""COMPUTED_VALUE"""),1.5)</f>
        <v>1.5</v>
      </c>
      <c r="Q3981" s="4">
        <f>IFERROR(__xludf.DUMMYFUNCTION("""COMPUTED_VALUE"""),0.5)</f>
        <v>0.5</v>
      </c>
      <c r="R3981" s="4">
        <f>IFERROR(__xludf.DUMMYFUNCTION("""COMPUTED_VALUE"""),0.5)</f>
        <v>0.5</v>
      </c>
      <c r="S3981" s="4">
        <f>IFERROR(__xludf.DUMMYFUNCTION("""COMPUTED_VALUE"""),0.0)</f>
        <v>0</v>
      </c>
      <c r="T3981" s="4">
        <f>IFERROR(__xludf.DUMMYFUNCTION("""COMPUTED_VALUE"""),0.048)</f>
        <v>0.048</v>
      </c>
      <c r="U3981" s="4">
        <f>IFERROR(__xludf.DUMMYFUNCTION("""COMPUTED_VALUE"""),-8.9)</f>
        <v>-8.9</v>
      </c>
      <c r="V3981" s="4">
        <f>IFERROR(__xludf.DUMMYFUNCTION("""COMPUTED_VALUE"""),0.0)</f>
        <v>0</v>
      </c>
    </row>
    <row r="3982">
      <c r="A3982" s="4">
        <f>IFERROR(__xludf.DUMMYFUNCTION("""COMPUTED_VALUE"""),212.0)</f>
        <v>212</v>
      </c>
      <c r="B3982" s="4">
        <f>IFERROR(__xludf.DUMMYFUNCTION("""COMPUTED_VALUE"""),212.0)</f>
        <v>212</v>
      </c>
      <c r="C3982" s="4" t="str">
        <f>IFERROR(__xludf.DUMMYFUNCTION("""COMPUTED_VALUE"""),"WSB")</f>
        <v>WSB</v>
      </c>
      <c r="D3982" s="4" t="str">
        <f>IFERROR(__xludf.DUMMYFUNCTION("""COMPUTED_VALUE"""),"Ralton Way")</f>
        <v>Ralton Way</v>
      </c>
      <c r="E3982" s="4" t="str">
        <f>IFERROR(__xludf.DUMMYFUNCTION("""COMPUTED_VALUE"""),"Houston Baptist University")</f>
        <v>Houston Baptist University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</row>
    <row r="3983">
      <c r="A3983" s="4">
        <f>IFERROR(__xludf.DUMMYFUNCTION("""COMPUTED_VALUE"""),213.0)</f>
        <v>213</v>
      </c>
      <c r="B3983" s="4">
        <f>IFERROR(__xludf.DUMMYFUNCTION("""COMPUTED_VALUE"""),213.0)</f>
        <v>213</v>
      </c>
      <c r="C3983" s="4" t="str">
        <f>IFERROR(__xludf.DUMMYFUNCTION("""COMPUTED_VALUE"""),"GSW")</f>
        <v>GSW</v>
      </c>
      <c r="D3983" s="4" t="str">
        <f>IFERROR(__xludf.DUMMYFUNCTION("""COMPUTED_VALUE"""),"Barry Brooks")</f>
        <v>Barry Brooks</v>
      </c>
      <c r="E3983" s="4" t="str">
        <f>IFERROR(__xludf.DUMMYFUNCTION("""COMPUTED_VALUE"""),"USC")</f>
        <v>USC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</row>
    <row r="3984">
      <c r="A3984" s="4">
        <f>IFERROR(__xludf.DUMMYFUNCTION("""COMPUTED_VALUE"""),214.0)</f>
        <v>214</v>
      </c>
      <c r="B3984" s="4">
        <f>IFERROR(__xludf.DUMMYFUNCTION("""COMPUTED_VALUE"""),214.0)</f>
        <v>214</v>
      </c>
      <c r="C3984" s="4" t="str">
        <f>IFERROR(__xludf.DUMMYFUNCTION("""COMPUTED_VALUE"""),"KCK")</f>
        <v>KCK</v>
      </c>
      <c r="D3984" s="4" t="str">
        <f>IFERROR(__xludf.DUMMYFUNCTION("""COMPUTED_VALUE"""),"Mark Wilson")</f>
        <v>Mark Wilson</v>
      </c>
      <c r="E3984" s="4" t="str">
        <f>IFERROR(__xludf.DUMMYFUNCTION("""COMPUTED_VALUE"""),"Fort Hays State University")</f>
        <v>Fort Hays State University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</row>
    <row r="3985">
      <c r="A3985" s="4">
        <f>IFERROR(__xludf.DUMMYFUNCTION("""COMPUTED_VALUE"""),215.0)</f>
        <v>215</v>
      </c>
      <c r="B3985" s="4">
        <f>IFERROR(__xludf.DUMMYFUNCTION("""COMPUTED_VALUE"""),215.0)</f>
        <v>215</v>
      </c>
      <c r="C3985" s="4" t="str">
        <f>IFERROR(__xludf.DUMMYFUNCTION("""COMPUTED_VALUE"""),"IND")</f>
        <v>IND</v>
      </c>
      <c r="D3985" s="4" t="str">
        <f>IFERROR(__xludf.DUMMYFUNCTION("""COMPUTED_VALUE"""),"Rodney Benson")</f>
        <v>Rodney Benson</v>
      </c>
      <c r="E3985" s="4" t="str">
        <f>IFERROR(__xludf.DUMMYFUNCTION("""COMPUTED_VALUE"""),"Wright State University")</f>
        <v>Wright State University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</row>
    <row r="3986">
      <c r="A3986" s="4">
        <f>IFERROR(__xludf.DUMMYFUNCTION("""COMPUTED_VALUE"""),216.0)</f>
        <v>216</v>
      </c>
      <c r="B3986" s="4">
        <f>IFERROR(__xludf.DUMMYFUNCTION("""COMPUTED_VALUE"""),216.0)</f>
        <v>216</v>
      </c>
      <c r="C3986" s="4" t="str">
        <f>IFERROR(__xludf.DUMMYFUNCTION("""COMPUTED_VALUE"""),"CHI")</f>
        <v>CHI</v>
      </c>
      <c r="D3986" s="4" t="str">
        <f>IFERROR(__xludf.DUMMYFUNCTION("""COMPUTED_VALUE"""),"Kenny Easley")</f>
        <v>Kenny Easley</v>
      </c>
      <c r="E3986" s="4" t="str">
        <f>IFERROR(__xludf.DUMMYFUNCTION("""COMPUTED_VALUE"""),"UCLA")</f>
        <v>UCLA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</row>
    <row r="3987">
      <c r="A3987" s="4">
        <f>IFERROR(__xludf.DUMMYFUNCTION("""COMPUTED_VALUE"""),217.0)</f>
        <v>217</v>
      </c>
      <c r="B3987" s="4">
        <f>IFERROR(__xludf.DUMMYFUNCTION("""COMPUTED_VALUE"""),217.0)</f>
        <v>217</v>
      </c>
      <c r="C3987" s="4" t="str">
        <f>IFERROR(__xludf.DUMMYFUNCTION("""COMPUTED_VALUE"""),"POR")</f>
        <v>POR</v>
      </c>
      <c r="D3987" s="4" t="str">
        <f>IFERROR(__xludf.DUMMYFUNCTION("""COMPUTED_VALUE"""),"Steve Cochran")</f>
        <v>Steve Cochran</v>
      </c>
      <c r="E3987" s="4" t="str">
        <f>IFERROR(__xludf.DUMMYFUNCTION("""COMPUTED_VALUE"""),"Lewis and Clark College")</f>
        <v>Lewis and Clark College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</row>
    <row r="3988">
      <c r="A3988" s="4">
        <f>IFERROR(__xludf.DUMMYFUNCTION("""COMPUTED_VALUE"""),218.0)</f>
        <v>218</v>
      </c>
      <c r="B3988" s="4">
        <f>IFERROR(__xludf.DUMMYFUNCTION("""COMPUTED_VALUE"""),218.0)</f>
        <v>218</v>
      </c>
      <c r="C3988" s="4" t="str">
        <f>IFERROR(__xludf.DUMMYFUNCTION("""COMPUTED_VALUE"""),"NYK")</f>
        <v>NYK</v>
      </c>
      <c r="D3988" s="4" t="str">
        <f>IFERROR(__xludf.DUMMYFUNCTION("""COMPUTED_VALUE"""),"Kevin Rogers")</f>
        <v>Kevin Rogers</v>
      </c>
      <c r="E3988" s="4" t="str">
        <f>IFERROR(__xludf.DUMMYFUNCTION("""COMPUTED_VALUE"""),"Saint Peter's College")</f>
        <v>Saint Peter's College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</row>
    <row r="3989">
      <c r="A3989" s="4">
        <f>IFERROR(__xludf.DUMMYFUNCTION("""COMPUTED_VALUE"""),219.0)</f>
        <v>219</v>
      </c>
      <c r="B3989" s="4">
        <f>IFERROR(__xludf.DUMMYFUNCTION("""COMPUTED_VALUE"""),219.0)</f>
        <v>219</v>
      </c>
      <c r="C3989" s="4" t="str">
        <f>IFERROR(__xludf.DUMMYFUNCTION("""COMPUTED_VALUE"""),"SAS")</f>
        <v>SAS</v>
      </c>
      <c r="D3989" s="4" t="str">
        <f>IFERROR(__xludf.DUMMYFUNCTION("""COMPUTED_VALUE"""),"Alvin Brooks")</f>
        <v>Alvin Brooks</v>
      </c>
      <c r="E3989" s="4" t="str">
        <f>IFERROR(__xludf.DUMMYFUNCTION("""COMPUTED_VALUE"""),"Lamar")</f>
        <v>Lamar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</row>
    <row r="3990">
      <c r="A3990" s="4">
        <f>IFERROR(__xludf.DUMMYFUNCTION("""COMPUTED_VALUE"""),220.0)</f>
        <v>220</v>
      </c>
      <c r="B3990" s="4">
        <f>IFERROR(__xludf.DUMMYFUNCTION("""COMPUTED_VALUE"""),220.0)</f>
        <v>220</v>
      </c>
      <c r="C3990" s="4" t="str">
        <f>IFERROR(__xludf.DUMMYFUNCTION("""COMPUTED_VALUE"""),"PHO")</f>
        <v>PHO</v>
      </c>
      <c r="D3990" s="4" t="str">
        <f>IFERROR(__xludf.DUMMYFUNCTION("""COMPUTED_VALUE"""),"Felton Sealey")</f>
        <v>Felton Sealey</v>
      </c>
      <c r="E3990" s="4" t="str">
        <f>IFERROR(__xludf.DUMMYFUNCTION("""COMPUTED_VALUE"""),"Oregon")</f>
        <v>Oregon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</row>
    <row r="3991">
      <c r="A3991" s="4">
        <f>IFERROR(__xludf.DUMMYFUNCTION("""COMPUTED_VALUE"""),221.0)</f>
        <v>221</v>
      </c>
      <c r="B3991" s="4">
        <f>IFERROR(__xludf.DUMMYFUNCTION("""COMPUTED_VALUE"""),221.0)</f>
        <v>221</v>
      </c>
      <c r="C3991" s="4" t="str">
        <f>IFERROR(__xludf.DUMMYFUNCTION("""COMPUTED_VALUE"""),"MIL")</f>
        <v>MIL</v>
      </c>
      <c r="D3991" s="4" t="str">
        <f>IFERROR(__xludf.DUMMYFUNCTION("""COMPUTED_VALUE"""),"Artie Green")</f>
        <v>Artie Green</v>
      </c>
      <c r="E3991" s="4" t="str">
        <f>IFERROR(__xludf.DUMMYFUNCTION("""COMPUTED_VALUE"""),"Marquette")</f>
        <v>Marquette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</row>
    <row r="3992">
      <c r="A3992" s="4">
        <f>IFERROR(__xludf.DUMMYFUNCTION("""COMPUTED_VALUE"""),222.0)</f>
        <v>222</v>
      </c>
      <c r="B3992" s="4">
        <f>IFERROR(__xludf.DUMMYFUNCTION("""COMPUTED_VALUE"""),222.0)</f>
        <v>222</v>
      </c>
      <c r="C3992" s="4" t="str">
        <f>IFERROR(__xludf.DUMMYFUNCTION("""COMPUTED_VALUE"""),"BOS")</f>
        <v>BOS</v>
      </c>
      <c r="D3992" s="4" t="str">
        <f>IFERROR(__xludf.DUMMYFUNCTION("""COMPUTED_VALUE"""),"Kenny Matthews")</f>
        <v>Kenny Matthews</v>
      </c>
      <c r="E3992" s="4" t="str">
        <f>IFERROR(__xludf.DUMMYFUNCTION("""COMPUTED_VALUE"""),"NC State")</f>
        <v>NC State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</row>
    <row r="3993">
      <c r="A3993" s="4">
        <f>IFERROR(__xludf.DUMMYFUNCTION("""COMPUTED_VALUE"""),223.0)</f>
        <v>223</v>
      </c>
      <c r="B3993" s="4">
        <f>IFERROR(__xludf.DUMMYFUNCTION("""COMPUTED_VALUE"""),223.0)</f>
        <v>223</v>
      </c>
      <c r="C3993" s="4" t="str">
        <f>IFERROR(__xludf.DUMMYFUNCTION("""COMPUTED_VALUE"""),"PHI")</f>
        <v>PHI</v>
      </c>
      <c r="D3993" s="4" t="str">
        <f>IFERROR(__xludf.DUMMYFUNCTION("""COMPUTED_VALUE"""),"Pete Mullenberg")</f>
        <v>Pete Mullenberg</v>
      </c>
      <c r="E3993" s="4" t="str">
        <f>IFERROR(__xludf.DUMMYFUNCTION("""COMPUTED_VALUE"""),"University of Delaware")</f>
        <v>University of Delaware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</row>
    <row r="3995">
      <c r="A3995" s="2">
        <v>1980.0</v>
      </c>
    </row>
    <row r="3996">
      <c r="A3996" s="4" t="str">
        <f>IFERROR(__xludf.DUMMYFUNCTION("IMPORTHTML(""https://www.basketball-reference.com/draft/NBA_1980.html"", ""table"", 1)"),"")</f>
        <v/>
      </c>
      <c r="B3996" s="4"/>
      <c r="C3996" s="4"/>
      <c r="D3996" s="4" t="str">
        <f>IFERROR(__xludf.DUMMYFUNCTION("""COMPUTED_VALUE"""),"Round 1")</f>
        <v>Round 1</v>
      </c>
      <c r="E3996" s="4"/>
      <c r="F3996" s="4"/>
      <c r="G3996" s="4" t="str">
        <f>IFERROR(__xludf.DUMMYFUNCTION("""COMPUTED_VALUE"""),"Totals")</f>
        <v>Totals</v>
      </c>
      <c r="H3996" s="4"/>
      <c r="I3996" s="4"/>
      <c r="J3996" s="4"/>
      <c r="K3996" s="4"/>
      <c r="L3996" s="4" t="str">
        <f>IFERROR(__xludf.DUMMYFUNCTION("""COMPUTED_VALUE"""),"Shooting")</f>
        <v>Shooting</v>
      </c>
      <c r="M3996" s="4"/>
      <c r="N3996" s="4"/>
      <c r="O3996" s="4" t="str">
        <f>IFERROR(__xludf.DUMMYFUNCTION("""COMPUTED_VALUE"""),"Per Game")</f>
        <v>Per Game</v>
      </c>
      <c r="P3996" s="4"/>
      <c r="Q3996" s="4"/>
      <c r="R3996" s="4"/>
      <c r="S3996" s="4" t="str">
        <f>IFERROR(__xludf.DUMMYFUNCTION("""COMPUTED_VALUE"""),"Advanced")</f>
        <v>Advanced</v>
      </c>
      <c r="T3996" s="4"/>
      <c r="U3996" s="4"/>
      <c r="V3996" s="4"/>
    </row>
    <row r="3997">
      <c r="A3997" s="4" t="str">
        <f>IFERROR(__xludf.DUMMYFUNCTION("""COMPUTED_VALUE"""),"Rk")</f>
        <v>Rk</v>
      </c>
      <c r="B3997" s="4" t="str">
        <f>IFERROR(__xludf.DUMMYFUNCTION("""COMPUTED_VALUE"""),"Pk")</f>
        <v>Pk</v>
      </c>
      <c r="C3997" s="4" t="str">
        <f>IFERROR(__xludf.DUMMYFUNCTION("""COMPUTED_VALUE"""),"Tm")</f>
        <v>Tm</v>
      </c>
      <c r="D3997" s="4" t="str">
        <f>IFERROR(__xludf.DUMMYFUNCTION("""COMPUTED_VALUE"""),"Player")</f>
        <v>Player</v>
      </c>
      <c r="E3997" s="4" t="str">
        <f>IFERROR(__xludf.DUMMYFUNCTION("""COMPUTED_VALUE"""),"College")</f>
        <v>College</v>
      </c>
      <c r="F3997" s="4" t="str">
        <f>IFERROR(__xludf.DUMMYFUNCTION("""COMPUTED_VALUE"""),"Yrs")</f>
        <v>Yrs</v>
      </c>
      <c r="G3997" s="4" t="str">
        <f>IFERROR(__xludf.DUMMYFUNCTION("""COMPUTED_VALUE"""),"G")</f>
        <v>G</v>
      </c>
      <c r="H3997" s="4" t="str">
        <f>IFERROR(__xludf.DUMMYFUNCTION("""COMPUTED_VALUE"""),"MP")</f>
        <v>MP</v>
      </c>
      <c r="I3997" s="4" t="str">
        <f>IFERROR(__xludf.DUMMYFUNCTION("""COMPUTED_VALUE"""),"PTS")</f>
        <v>PTS</v>
      </c>
      <c r="J3997" s="4" t="str">
        <f>IFERROR(__xludf.DUMMYFUNCTION("""COMPUTED_VALUE"""),"TRB")</f>
        <v>TRB</v>
      </c>
      <c r="K3997" s="4" t="str">
        <f>IFERROR(__xludf.DUMMYFUNCTION("""COMPUTED_VALUE"""),"AST")</f>
        <v>AST</v>
      </c>
      <c r="L3997" s="4" t="str">
        <f>IFERROR(__xludf.DUMMYFUNCTION("""COMPUTED_VALUE"""),"FG%")</f>
        <v>FG%</v>
      </c>
      <c r="M3997" s="4" t="str">
        <f>IFERROR(__xludf.DUMMYFUNCTION("""COMPUTED_VALUE"""),"3P%")</f>
        <v>3P%</v>
      </c>
      <c r="N3997" s="4" t="str">
        <f>IFERROR(__xludf.DUMMYFUNCTION("""COMPUTED_VALUE"""),"FT%")</f>
        <v>FT%</v>
      </c>
      <c r="O3997" s="4" t="str">
        <f>IFERROR(__xludf.DUMMYFUNCTION("""COMPUTED_VALUE"""),"MP")</f>
        <v>MP</v>
      </c>
      <c r="P3997" s="4" t="str">
        <f>IFERROR(__xludf.DUMMYFUNCTION("""COMPUTED_VALUE"""),"PTS")</f>
        <v>PTS</v>
      </c>
      <c r="Q3997" s="4" t="str">
        <f>IFERROR(__xludf.DUMMYFUNCTION("""COMPUTED_VALUE"""),"TRB")</f>
        <v>TRB</v>
      </c>
      <c r="R3997" s="4" t="str">
        <f>IFERROR(__xludf.DUMMYFUNCTION("""COMPUTED_VALUE"""),"AST")</f>
        <v>AST</v>
      </c>
      <c r="S3997" s="4" t="str">
        <f>IFERROR(__xludf.DUMMYFUNCTION("""COMPUTED_VALUE"""),"WS")</f>
        <v>WS</v>
      </c>
      <c r="T3997" s="4" t="str">
        <f>IFERROR(__xludf.DUMMYFUNCTION("""COMPUTED_VALUE"""),"WS/48")</f>
        <v>WS/48</v>
      </c>
      <c r="U3997" s="4" t="str">
        <f>IFERROR(__xludf.DUMMYFUNCTION("""COMPUTED_VALUE"""),"BPM")</f>
        <v>BPM</v>
      </c>
      <c r="V3997" s="4" t="str">
        <f>IFERROR(__xludf.DUMMYFUNCTION("""COMPUTED_VALUE"""),"VORP")</f>
        <v>VORP</v>
      </c>
    </row>
    <row r="3998">
      <c r="A3998" s="4">
        <f>IFERROR(__xludf.DUMMYFUNCTION("""COMPUTED_VALUE"""),1.0)</f>
        <v>1</v>
      </c>
      <c r="B3998" s="4">
        <f>IFERROR(__xludf.DUMMYFUNCTION("""COMPUTED_VALUE"""),1.0)</f>
        <v>1</v>
      </c>
      <c r="C3998" s="4" t="str">
        <f>IFERROR(__xludf.DUMMYFUNCTION("""COMPUTED_VALUE"""),"GSW")</f>
        <v>GSW</v>
      </c>
      <c r="D3998" s="4" t="str">
        <f>IFERROR(__xludf.DUMMYFUNCTION("""COMPUTED_VALUE"""),"Joe Barry Carroll")</f>
        <v>Joe Barry Carroll</v>
      </c>
      <c r="E3998" s="4" t="str">
        <f>IFERROR(__xludf.DUMMYFUNCTION("""COMPUTED_VALUE"""),"Purdue")</f>
        <v>Purdue</v>
      </c>
      <c r="F3998" s="4">
        <f>IFERROR(__xludf.DUMMYFUNCTION("""COMPUTED_VALUE"""),10.0)</f>
        <v>10</v>
      </c>
      <c r="G3998" s="4">
        <f>IFERROR(__xludf.DUMMYFUNCTION("""COMPUTED_VALUE"""),705.0)</f>
        <v>705</v>
      </c>
      <c r="H3998" s="4">
        <f>IFERROR(__xludf.DUMMYFUNCTION("""COMPUTED_VALUE"""),22838.0)</f>
        <v>22838</v>
      </c>
      <c r="I3998" s="4">
        <f>IFERROR(__xludf.DUMMYFUNCTION("""COMPUTED_VALUE"""),12455.0)</f>
        <v>12455</v>
      </c>
      <c r="J3998" s="4">
        <f>IFERROR(__xludf.DUMMYFUNCTION("""COMPUTED_VALUE"""),5404.0)</f>
        <v>5404</v>
      </c>
      <c r="K3998" s="4">
        <f>IFERROR(__xludf.DUMMYFUNCTION("""COMPUTED_VALUE"""),1264.0)</f>
        <v>1264</v>
      </c>
      <c r="L3998" s="4">
        <f>IFERROR(__xludf.DUMMYFUNCTION("""COMPUTED_VALUE"""),0.474)</f>
        <v>0.474</v>
      </c>
      <c r="M3998" s="4">
        <f>IFERROR(__xludf.DUMMYFUNCTION("""COMPUTED_VALUE"""),0.0)</f>
        <v>0</v>
      </c>
      <c r="N3998" s="4">
        <f>IFERROR(__xludf.DUMMYFUNCTION("""COMPUTED_VALUE"""),0.747)</f>
        <v>0.747</v>
      </c>
      <c r="O3998" s="4">
        <f>IFERROR(__xludf.DUMMYFUNCTION("""COMPUTED_VALUE"""),32.4)</f>
        <v>32.4</v>
      </c>
      <c r="P3998" s="4">
        <f>IFERROR(__xludf.DUMMYFUNCTION("""COMPUTED_VALUE"""),17.7)</f>
        <v>17.7</v>
      </c>
      <c r="Q3998" s="4">
        <f>IFERROR(__xludf.DUMMYFUNCTION("""COMPUTED_VALUE"""),7.7)</f>
        <v>7.7</v>
      </c>
      <c r="R3998" s="4">
        <f>IFERROR(__xludf.DUMMYFUNCTION("""COMPUTED_VALUE"""),1.8)</f>
        <v>1.8</v>
      </c>
      <c r="S3998" s="4">
        <f>IFERROR(__xludf.DUMMYFUNCTION("""COMPUTED_VALUE"""),35.6)</f>
        <v>35.6</v>
      </c>
      <c r="T3998" s="4">
        <f>IFERROR(__xludf.DUMMYFUNCTION("""COMPUTED_VALUE"""),0.075)</f>
        <v>0.075</v>
      </c>
      <c r="U3998" s="4">
        <f>IFERROR(__xludf.DUMMYFUNCTION("""COMPUTED_VALUE"""),-0.6)</f>
        <v>-0.6</v>
      </c>
      <c r="V3998" s="4">
        <f>IFERROR(__xludf.DUMMYFUNCTION("""COMPUTED_VALUE"""),8.2)</f>
        <v>8.2</v>
      </c>
    </row>
    <row r="3999">
      <c r="A3999" s="4">
        <f>IFERROR(__xludf.DUMMYFUNCTION("""COMPUTED_VALUE"""),2.0)</f>
        <v>2</v>
      </c>
      <c r="B3999" s="4">
        <f>IFERROR(__xludf.DUMMYFUNCTION("""COMPUTED_VALUE"""),2.0)</f>
        <v>2</v>
      </c>
      <c r="C3999" s="4" t="str">
        <f>IFERROR(__xludf.DUMMYFUNCTION("""COMPUTED_VALUE"""),"UTA")</f>
        <v>UTA</v>
      </c>
      <c r="D3999" s="4" t="str">
        <f>IFERROR(__xludf.DUMMYFUNCTION("""COMPUTED_VALUE"""),"Darrell Griffith")</f>
        <v>Darrell Griffith</v>
      </c>
      <c r="E3999" s="4" t="str">
        <f>IFERROR(__xludf.DUMMYFUNCTION("""COMPUTED_VALUE"""),"Louisville")</f>
        <v>Louisville</v>
      </c>
      <c r="F3999" s="4">
        <f>IFERROR(__xludf.DUMMYFUNCTION("""COMPUTED_VALUE"""),10.0)</f>
        <v>10</v>
      </c>
      <c r="G3999" s="4">
        <f>IFERROR(__xludf.DUMMYFUNCTION("""COMPUTED_VALUE"""),765.0)</f>
        <v>765</v>
      </c>
      <c r="H3999" s="4">
        <f>IFERROR(__xludf.DUMMYFUNCTION("""COMPUTED_VALUE"""),21403.0)</f>
        <v>21403</v>
      </c>
      <c r="I3999" s="4">
        <f>IFERROR(__xludf.DUMMYFUNCTION("""COMPUTED_VALUE"""),12391.0)</f>
        <v>12391</v>
      </c>
      <c r="J3999" s="4">
        <f>IFERROR(__xludf.DUMMYFUNCTION("""COMPUTED_VALUE"""),2519.0)</f>
        <v>2519</v>
      </c>
      <c r="K3999" s="4">
        <f>IFERROR(__xludf.DUMMYFUNCTION("""COMPUTED_VALUE"""),1627.0)</f>
        <v>1627</v>
      </c>
      <c r="L3999" s="4">
        <f>IFERROR(__xludf.DUMMYFUNCTION("""COMPUTED_VALUE"""),0.463)</f>
        <v>0.463</v>
      </c>
      <c r="M3999" s="4">
        <f>IFERROR(__xludf.DUMMYFUNCTION("""COMPUTED_VALUE"""),0.332)</f>
        <v>0.332</v>
      </c>
      <c r="N3999" s="4">
        <f>IFERROR(__xludf.DUMMYFUNCTION("""COMPUTED_VALUE"""),0.707)</f>
        <v>0.707</v>
      </c>
      <c r="O3999" s="4">
        <f>IFERROR(__xludf.DUMMYFUNCTION("""COMPUTED_VALUE"""),28.0)</f>
        <v>28</v>
      </c>
      <c r="P3999" s="4">
        <f>IFERROR(__xludf.DUMMYFUNCTION("""COMPUTED_VALUE"""),16.2)</f>
        <v>16.2</v>
      </c>
      <c r="Q3999" s="4">
        <f>IFERROR(__xludf.DUMMYFUNCTION("""COMPUTED_VALUE"""),3.3)</f>
        <v>3.3</v>
      </c>
      <c r="R3999" s="4">
        <f>IFERROR(__xludf.DUMMYFUNCTION("""COMPUTED_VALUE"""),2.1)</f>
        <v>2.1</v>
      </c>
      <c r="S3999" s="4">
        <f>IFERROR(__xludf.DUMMYFUNCTION("""COMPUTED_VALUE"""),22.0)</f>
        <v>22</v>
      </c>
      <c r="T3999" s="4">
        <f>IFERROR(__xludf.DUMMYFUNCTION("""COMPUTED_VALUE"""),0.049)</f>
        <v>0.049</v>
      </c>
      <c r="U3999" s="4">
        <f>IFERROR(__xludf.DUMMYFUNCTION("""COMPUTED_VALUE"""),-1.4)</f>
        <v>-1.4</v>
      </c>
      <c r="V3999" s="4">
        <f>IFERROR(__xludf.DUMMYFUNCTION("""COMPUTED_VALUE"""),3.4)</f>
        <v>3.4</v>
      </c>
    </row>
    <row r="4000">
      <c r="A4000" s="4">
        <f>IFERROR(__xludf.DUMMYFUNCTION("""COMPUTED_VALUE"""),3.0)</f>
        <v>3</v>
      </c>
      <c r="B4000" s="4">
        <f>IFERROR(__xludf.DUMMYFUNCTION("""COMPUTED_VALUE"""),3.0)</f>
        <v>3</v>
      </c>
      <c r="C4000" s="4" t="str">
        <f>IFERROR(__xludf.DUMMYFUNCTION("""COMPUTED_VALUE"""),"BOS")</f>
        <v>BOS</v>
      </c>
      <c r="D4000" s="4" t="str">
        <f>IFERROR(__xludf.DUMMYFUNCTION("""COMPUTED_VALUE"""),"Kevin McHale")</f>
        <v>Kevin McHale</v>
      </c>
      <c r="E4000" s="4" t="str">
        <f>IFERROR(__xludf.DUMMYFUNCTION("""COMPUTED_VALUE"""),"Minnesota")</f>
        <v>Minnesota</v>
      </c>
      <c r="F4000" s="4">
        <f>IFERROR(__xludf.DUMMYFUNCTION("""COMPUTED_VALUE"""),13.0)</f>
        <v>13</v>
      </c>
      <c r="G4000" s="4">
        <f>IFERROR(__xludf.DUMMYFUNCTION("""COMPUTED_VALUE"""),971.0)</f>
        <v>971</v>
      </c>
      <c r="H4000" s="4">
        <f>IFERROR(__xludf.DUMMYFUNCTION("""COMPUTED_VALUE"""),30118.0)</f>
        <v>30118</v>
      </c>
      <c r="I4000" s="4">
        <f>IFERROR(__xludf.DUMMYFUNCTION("""COMPUTED_VALUE"""),17335.0)</f>
        <v>17335</v>
      </c>
      <c r="J4000" s="4">
        <f>IFERROR(__xludf.DUMMYFUNCTION("""COMPUTED_VALUE"""),7122.0)</f>
        <v>7122</v>
      </c>
      <c r="K4000" s="4">
        <f>IFERROR(__xludf.DUMMYFUNCTION("""COMPUTED_VALUE"""),1670.0)</f>
        <v>1670</v>
      </c>
      <c r="L4000" s="4">
        <f>IFERROR(__xludf.DUMMYFUNCTION("""COMPUTED_VALUE"""),0.554)</f>
        <v>0.554</v>
      </c>
      <c r="M4000" s="4">
        <f>IFERROR(__xludf.DUMMYFUNCTION("""COMPUTED_VALUE"""),0.261)</f>
        <v>0.261</v>
      </c>
      <c r="N4000" s="4">
        <f>IFERROR(__xludf.DUMMYFUNCTION("""COMPUTED_VALUE"""),0.798)</f>
        <v>0.798</v>
      </c>
      <c r="O4000" s="4">
        <f>IFERROR(__xludf.DUMMYFUNCTION("""COMPUTED_VALUE"""),31.0)</f>
        <v>31</v>
      </c>
      <c r="P4000" s="4">
        <f>IFERROR(__xludf.DUMMYFUNCTION("""COMPUTED_VALUE"""),17.9)</f>
        <v>17.9</v>
      </c>
      <c r="Q4000" s="4">
        <f>IFERROR(__xludf.DUMMYFUNCTION("""COMPUTED_VALUE"""),7.3)</f>
        <v>7.3</v>
      </c>
      <c r="R4000" s="4">
        <f>IFERROR(__xludf.DUMMYFUNCTION("""COMPUTED_VALUE"""),1.7)</f>
        <v>1.7</v>
      </c>
      <c r="S4000" s="4">
        <f>IFERROR(__xludf.DUMMYFUNCTION("""COMPUTED_VALUE"""),113.0)</f>
        <v>113</v>
      </c>
      <c r="T4000" s="4">
        <f>IFERROR(__xludf.DUMMYFUNCTION("""COMPUTED_VALUE"""),0.18)</f>
        <v>0.18</v>
      </c>
      <c r="U4000" s="4">
        <f>IFERROR(__xludf.DUMMYFUNCTION("""COMPUTED_VALUE"""),2.5)</f>
        <v>2.5</v>
      </c>
      <c r="V4000" s="4">
        <f>IFERROR(__xludf.DUMMYFUNCTION("""COMPUTED_VALUE"""),34.3)</f>
        <v>34.3</v>
      </c>
    </row>
    <row r="4001">
      <c r="A4001" s="4">
        <f>IFERROR(__xludf.DUMMYFUNCTION("""COMPUTED_VALUE"""),4.0)</f>
        <v>4</v>
      </c>
      <c r="B4001" s="4">
        <f>IFERROR(__xludf.DUMMYFUNCTION("""COMPUTED_VALUE"""),4.0)</f>
        <v>4</v>
      </c>
      <c r="C4001" s="4" t="str">
        <f>IFERROR(__xludf.DUMMYFUNCTION("""COMPUTED_VALUE"""),"CHI")</f>
        <v>CHI</v>
      </c>
      <c r="D4001" s="4" t="str">
        <f>IFERROR(__xludf.DUMMYFUNCTION("""COMPUTED_VALUE"""),"Kelvin Ransey")</f>
        <v>Kelvin Ransey</v>
      </c>
      <c r="E4001" s="4" t="str">
        <f>IFERROR(__xludf.DUMMYFUNCTION("""COMPUTED_VALUE"""),"Ohio State")</f>
        <v>Ohio State</v>
      </c>
      <c r="F4001" s="4">
        <f>IFERROR(__xludf.DUMMYFUNCTION("""COMPUTED_VALUE"""),6.0)</f>
        <v>6</v>
      </c>
      <c r="G4001" s="4">
        <f>IFERROR(__xludf.DUMMYFUNCTION("""COMPUTED_VALUE"""),474.0)</f>
        <v>474</v>
      </c>
      <c r="H4001" s="4">
        <f>IFERROR(__xludf.DUMMYFUNCTION("""COMPUTED_VALUE"""),11586.0)</f>
        <v>11586</v>
      </c>
      <c r="I4001" s="4">
        <f>IFERROR(__xludf.DUMMYFUNCTION("""COMPUTED_VALUE"""),5380.0)</f>
        <v>5380</v>
      </c>
      <c r="J4001" s="4">
        <f>IFERROR(__xludf.DUMMYFUNCTION("""COMPUTED_VALUE"""),901.0)</f>
        <v>901</v>
      </c>
      <c r="K4001" s="4">
        <f>IFERROR(__xludf.DUMMYFUNCTION("""COMPUTED_VALUE"""),2480.0)</f>
        <v>2480</v>
      </c>
      <c r="L4001" s="4">
        <f>IFERROR(__xludf.DUMMYFUNCTION("""COMPUTED_VALUE"""),0.454)</f>
        <v>0.454</v>
      </c>
      <c r="M4001" s="4">
        <f>IFERROR(__xludf.DUMMYFUNCTION("""COMPUTED_VALUE"""),0.132)</f>
        <v>0.132</v>
      </c>
      <c r="N4001" s="4">
        <f>IFERROR(__xludf.DUMMYFUNCTION("""COMPUTED_VALUE"""),0.782)</f>
        <v>0.782</v>
      </c>
      <c r="O4001" s="4">
        <f>IFERROR(__xludf.DUMMYFUNCTION("""COMPUTED_VALUE"""),24.4)</f>
        <v>24.4</v>
      </c>
      <c r="P4001" s="4">
        <f>IFERROR(__xludf.DUMMYFUNCTION("""COMPUTED_VALUE"""),11.4)</f>
        <v>11.4</v>
      </c>
      <c r="Q4001" s="4">
        <f>IFERROR(__xludf.DUMMYFUNCTION("""COMPUTED_VALUE"""),1.9)</f>
        <v>1.9</v>
      </c>
      <c r="R4001" s="4">
        <f>IFERROR(__xludf.DUMMYFUNCTION("""COMPUTED_VALUE"""),5.2)</f>
        <v>5.2</v>
      </c>
      <c r="S4001" s="4">
        <f>IFERROR(__xludf.DUMMYFUNCTION("""COMPUTED_VALUE"""),17.9)</f>
        <v>17.9</v>
      </c>
      <c r="T4001" s="4">
        <f>IFERROR(__xludf.DUMMYFUNCTION("""COMPUTED_VALUE"""),0.074)</f>
        <v>0.074</v>
      </c>
      <c r="U4001" s="4">
        <f>IFERROR(__xludf.DUMMYFUNCTION("""COMPUTED_VALUE"""),-0.9)</f>
        <v>-0.9</v>
      </c>
      <c r="V4001" s="4">
        <f>IFERROR(__xludf.DUMMYFUNCTION("""COMPUTED_VALUE"""),3.3)</f>
        <v>3.3</v>
      </c>
    </row>
    <row r="4002">
      <c r="A4002" s="4">
        <f>IFERROR(__xludf.DUMMYFUNCTION("""COMPUTED_VALUE"""),5.0)</f>
        <v>5</v>
      </c>
      <c r="B4002" s="4">
        <f>IFERROR(__xludf.DUMMYFUNCTION("""COMPUTED_VALUE"""),5.0)</f>
        <v>5</v>
      </c>
      <c r="C4002" s="4" t="str">
        <f>IFERROR(__xludf.DUMMYFUNCTION("""COMPUTED_VALUE"""),"DEN")</f>
        <v>DEN</v>
      </c>
      <c r="D4002" s="4" t="str">
        <f>IFERROR(__xludf.DUMMYFUNCTION("""COMPUTED_VALUE"""),"James Ray")</f>
        <v>James Ray</v>
      </c>
      <c r="E4002" s="4" t="str">
        <f>IFERROR(__xludf.DUMMYFUNCTION("""COMPUTED_VALUE"""),"Jacksonville University")</f>
        <v>Jacksonville University</v>
      </c>
      <c r="F4002" s="4">
        <f>IFERROR(__xludf.DUMMYFUNCTION("""COMPUTED_VALUE"""),3.0)</f>
        <v>3</v>
      </c>
      <c r="G4002" s="4">
        <f>IFERROR(__xludf.DUMMYFUNCTION("""COMPUTED_VALUE"""),103.0)</f>
        <v>103</v>
      </c>
      <c r="H4002" s="4">
        <f>IFERROR(__xludf.DUMMYFUNCTION("""COMPUTED_VALUE"""),843.0)</f>
        <v>843</v>
      </c>
      <c r="I4002" s="4">
        <f>IFERROR(__xludf.DUMMYFUNCTION("""COMPUTED_VALUE"""),334.0)</f>
        <v>334</v>
      </c>
      <c r="J4002" s="4">
        <f>IFERROR(__xludf.DUMMYFUNCTION("""COMPUTED_VALUE"""),228.0)</f>
        <v>228</v>
      </c>
      <c r="K4002" s="4">
        <f>IFERROR(__xludf.DUMMYFUNCTION("""COMPUTED_VALUE"""),76.0)</f>
        <v>76</v>
      </c>
      <c r="L4002" s="4">
        <f>IFERROR(__xludf.DUMMYFUNCTION("""COMPUTED_VALUE"""),0.428)</f>
        <v>0.428</v>
      </c>
      <c r="M4002" s="4">
        <f>IFERROR(__xludf.DUMMYFUNCTION("""COMPUTED_VALUE"""),0.333)</f>
        <v>0.333</v>
      </c>
      <c r="N4002" s="4">
        <f>IFERROR(__xludf.DUMMYFUNCTION("""COMPUTED_VALUE"""),0.629)</f>
        <v>0.629</v>
      </c>
      <c r="O4002" s="4">
        <f>IFERROR(__xludf.DUMMYFUNCTION("""COMPUTED_VALUE"""),8.2)</f>
        <v>8.2</v>
      </c>
      <c r="P4002" s="4">
        <f>IFERROR(__xludf.DUMMYFUNCTION("""COMPUTED_VALUE"""),3.2)</f>
        <v>3.2</v>
      </c>
      <c r="Q4002" s="4">
        <f>IFERROR(__xludf.DUMMYFUNCTION("""COMPUTED_VALUE"""),2.2)</f>
        <v>2.2</v>
      </c>
      <c r="R4002" s="4">
        <f>IFERROR(__xludf.DUMMYFUNCTION("""COMPUTED_VALUE"""),0.7)</f>
        <v>0.7</v>
      </c>
      <c r="S4002" s="4">
        <f>IFERROR(__xludf.DUMMYFUNCTION("""COMPUTED_VALUE"""),-0.3)</f>
        <v>-0.3</v>
      </c>
      <c r="T4002" s="4">
        <f>IFERROR(__xludf.DUMMYFUNCTION("""COMPUTED_VALUE"""),-0.017)</f>
        <v>-0.017</v>
      </c>
      <c r="U4002" s="4">
        <f>IFERROR(__xludf.DUMMYFUNCTION("""COMPUTED_VALUE"""),-4.5)</f>
        <v>-4.5</v>
      </c>
      <c r="V4002" s="4">
        <f>IFERROR(__xludf.DUMMYFUNCTION("""COMPUTED_VALUE"""),-0.6)</f>
        <v>-0.6</v>
      </c>
    </row>
    <row r="4003">
      <c r="A4003" s="4">
        <f>IFERROR(__xludf.DUMMYFUNCTION("""COMPUTED_VALUE"""),6.0)</f>
        <v>6</v>
      </c>
      <c r="B4003" s="4">
        <f>IFERROR(__xludf.DUMMYFUNCTION("""COMPUTED_VALUE"""),6.0)</f>
        <v>6</v>
      </c>
      <c r="C4003" s="4" t="str">
        <f>IFERROR(__xludf.DUMMYFUNCTION("""COMPUTED_VALUE"""),"NJN")</f>
        <v>NJN</v>
      </c>
      <c r="D4003" s="4" t="str">
        <f>IFERROR(__xludf.DUMMYFUNCTION("""COMPUTED_VALUE"""),"Mike O'Koren")</f>
        <v>Mike O'Koren</v>
      </c>
      <c r="E4003" s="4" t="str">
        <f>IFERROR(__xludf.DUMMYFUNCTION("""COMPUTED_VALUE"""),"UNC")</f>
        <v>UNC</v>
      </c>
      <c r="F4003" s="4">
        <f>IFERROR(__xludf.DUMMYFUNCTION("""COMPUTED_VALUE"""),8.0)</f>
        <v>8</v>
      </c>
      <c r="G4003" s="4">
        <f>IFERROR(__xludf.DUMMYFUNCTION("""COMPUTED_VALUE"""),407.0)</f>
        <v>407</v>
      </c>
      <c r="H4003" s="4">
        <f>IFERROR(__xludf.DUMMYFUNCTION("""COMPUTED_VALUE"""),8810.0)</f>
        <v>8810</v>
      </c>
      <c r="I4003" s="4">
        <f>IFERROR(__xludf.DUMMYFUNCTION("""COMPUTED_VALUE"""),3355.0)</f>
        <v>3355</v>
      </c>
      <c r="J4003" s="4">
        <f>IFERROR(__xludf.DUMMYFUNCTION("""COMPUTED_VALUE"""),1391.0)</f>
        <v>1391</v>
      </c>
      <c r="K4003" s="4">
        <f>IFERROR(__xludf.DUMMYFUNCTION("""COMPUTED_VALUE"""),856.0)</f>
        <v>856</v>
      </c>
      <c r="L4003" s="4">
        <f>IFERROR(__xludf.DUMMYFUNCTION("""COMPUTED_VALUE"""),0.49)</f>
        <v>0.49</v>
      </c>
      <c r="M4003" s="4">
        <f>IFERROR(__xludf.DUMMYFUNCTION("""COMPUTED_VALUE"""),0.271)</f>
        <v>0.271</v>
      </c>
      <c r="N4003" s="4">
        <f>IFERROR(__xludf.DUMMYFUNCTION("""COMPUTED_VALUE"""),0.651)</f>
        <v>0.651</v>
      </c>
      <c r="O4003" s="4">
        <f>IFERROR(__xludf.DUMMYFUNCTION("""COMPUTED_VALUE"""),21.6)</f>
        <v>21.6</v>
      </c>
      <c r="P4003" s="4">
        <f>IFERROR(__xludf.DUMMYFUNCTION("""COMPUTED_VALUE"""),8.2)</f>
        <v>8.2</v>
      </c>
      <c r="Q4003" s="4">
        <f>IFERROR(__xludf.DUMMYFUNCTION("""COMPUTED_VALUE"""),3.4)</f>
        <v>3.4</v>
      </c>
      <c r="R4003" s="4">
        <f>IFERROR(__xludf.DUMMYFUNCTION("""COMPUTED_VALUE"""),2.1)</f>
        <v>2.1</v>
      </c>
      <c r="S4003" s="4">
        <f>IFERROR(__xludf.DUMMYFUNCTION("""COMPUTED_VALUE"""),14.6)</f>
        <v>14.6</v>
      </c>
      <c r="T4003" s="4">
        <f>IFERROR(__xludf.DUMMYFUNCTION("""COMPUTED_VALUE"""),0.08)</f>
        <v>0.08</v>
      </c>
      <c r="U4003" s="4">
        <f>IFERROR(__xludf.DUMMYFUNCTION("""COMPUTED_VALUE"""),-0.6)</f>
        <v>-0.6</v>
      </c>
      <c r="V4003" s="4">
        <f>IFERROR(__xludf.DUMMYFUNCTION("""COMPUTED_VALUE"""),3.1)</f>
        <v>3.1</v>
      </c>
    </row>
    <row r="4004">
      <c r="A4004" s="4">
        <f>IFERROR(__xludf.DUMMYFUNCTION("""COMPUTED_VALUE"""),7.0)</f>
        <v>7</v>
      </c>
      <c r="B4004" s="4">
        <f>IFERROR(__xludf.DUMMYFUNCTION("""COMPUTED_VALUE"""),7.0)</f>
        <v>7</v>
      </c>
      <c r="C4004" s="4" t="str">
        <f>IFERROR(__xludf.DUMMYFUNCTION("""COMPUTED_VALUE"""),"NJN")</f>
        <v>NJN</v>
      </c>
      <c r="D4004" s="4" t="str">
        <f>IFERROR(__xludf.DUMMYFUNCTION("""COMPUTED_VALUE"""),"Mike Gminski")</f>
        <v>Mike Gminski</v>
      </c>
      <c r="E4004" s="4" t="str">
        <f>IFERROR(__xludf.DUMMYFUNCTION("""COMPUTED_VALUE"""),"Duke")</f>
        <v>Duke</v>
      </c>
      <c r="F4004" s="4">
        <f>IFERROR(__xludf.DUMMYFUNCTION("""COMPUTED_VALUE"""),14.0)</f>
        <v>14</v>
      </c>
      <c r="G4004" s="4">
        <f>IFERROR(__xludf.DUMMYFUNCTION("""COMPUTED_VALUE"""),938.0)</f>
        <v>938</v>
      </c>
      <c r="H4004" s="4">
        <f>IFERROR(__xludf.DUMMYFUNCTION("""COMPUTED_VALUE"""),24058.0)</f>
        <v>24058</v>
      </c>
      <c r="I4004" s="4">
        <f>IFERROR(__xludf.DUMMYFUNCTION("""COMPUTED_VALUE"""),10953.0)</f>
        <v>10953</v>
      </c>
      <c r="J4004" s="4">
        <f>IFERROR(__xludf.DUMMYFUNCTION("""COMPUTED_VALUE"""),6480.0)</f>
        <v>6480</v>
      </c>
      <c r="K4004" s="4">
        <f>IFERROR(__xludf.DUMMYFUNCTION("""COMPUTED_VALUE"""),1203.0)</f>
        <v>1203</v>
      </c>
      <c r="L4004" s="4">
        <f>IFERROR(__xludf.DUMMYFUNCTION("""COMPUTED_VALUE"""),0.465)</f>
        <v>0.465</v>
      </c>
      <c r="M4004" s="4">
        <f>IFERROR(__xludf.DUMMYFUNCTION("""COMPUTED_VALUE"""),0.122)</f>
        <v>0.122</v>
      </c>
      <c r="N4004" s="4">
        <f>IFERROR(__xludf.DUMMYFUNCTION("""COMPUTED_VALUE"""),0.843)</f>
        <v>0.843</v>
      </c>
      <c r="O4004" s="4">
        <f>IFERROR(__xludf.DUMMYFUNCTION("""COMPUTED_VALUE"""),25.6)</f>
        <v>25.6</v>
      </c>
      <c r="P4004" s="4">
        <f>IFERROR(__xludf.DUMMYFUNCTION("""COMPUTED_VALUE"""),11.7)</f>
        <v>11.7</v>
      </c>
      <c r="Q4004" s="4">
        <f>IFERROR(__xludf.DUMMYFUNCTION("""COMPUTED_VALUE"""),6.9)</f>
        <v>6.9</v>
      </c>
      <c r="R4004" s="4">
        <f>IFERROR(__xludf.DUMMYFUNCTION("""COMPUTED_VALUE"""),1.3)</f>
        <v>1.3</v>
      </c>
      <c r="S4004" s="4">
        <f>IFERROR(__xludf.DUMMYFUNCTION("""COMPUTED_VALUE"""),55.9)</f>
        <v>55.9</v>
      </c>
      <c r="T4004" s="4">
        <f>IFERROR(__xludf.DUMMYFUNCTION("""COMPUTED_VALUE"""),0.111)</f>
        <v>0.111</v>
      </c>
      <c r="U4004" s="4">
        <f>IFERROR(__xludf.DUMMYFUNCTION("""COMPUTED_VALUE"""),0.1)</f>
        <v>0.1</v>
      </c>
      <c r="V4004" s="4">
        <f>IFERROR(__xludf.DUMMYFUNCTION("""COMPUTED_VALUE"""),12.9)</f>
        <v>12.9</v>
      </c>
    </row>
    <row r="4005">
      <c r="A4005" s="4">
        <f>IFERROR(__xludf.DUMMYFUNCTION("""COMPUTED_VALUE"""),8.0)</f>
        <v>8</v>
      </c>
      <c r="B4005" s="4">
        <f>IFERROR(__xludf.DUMMYFUNCTION("""COMPUTED_VALUE"""),8.0)</f>
        <v>8</v>
      </c>
      <c r="C4005" s="4" t="str">
        <f>IFERROR(__xludf.DUMMYFUNCTION("""COMPUTED_VALUE"""),"PHI")</f>
        <v>PHI</v>
      </c>
      <c r="D4005" s="4" t="str">
        <f>IFERROR(__xludf.DUMMYFUNCTION("""COMPUTED_VALUE"""),"Andrew Toney")</f>
        <v>Andrew Toney</v>
      </c>
      <c r="E4005" s="4" t="str">
        <f>IFERROR(__xludf.DUMMYFUNCTION("""COMPUTED_VALUE"""),"Louisiana")</f>
        <v>Louisiana</v>
      </c>
      <c r="F4005" s="4">
        <f>IFERROR(__xludf.DUMMYFUNCTION("""COMPUTED_VALUE"""),8.0)</f>
        <v>8</v>
      </c>
      <c r="G4005" s="4">
        <f>IFERROR(__xludf.DUMMYFUNCTION("""COMPUTED_VALUE"""),468.0)</f>
        <v>468</v>
      </c>
      <c r="H4005" s="4">
        <f>IFERROR(__xludf.DUMMYFUNCTION("""COMPUTED_VALUE"""),12608.0)</f>
        <v>12608</v>
      </c>
      <c r="I4005" s="4">
        <f>IFERROR(__xludf.DUMMYFUNCTION("""COMPUTED_VALUE"""),7458.0)</f>
        <v>7458</v>
      </c>
      <c r="J4005" s="4">
        <f>IFERROR(__xludf.DUMMYFUNCTION("""COMPUTED_VALUE"""),1009.0)</f>
        <v>1009</v>
      </c>
      <c r="K4005" s="4">
        <f>IFERROR(__xludf.DUMMYFUNCTION("""COMPUTED_VALUE"""),1965.0)</f>
        <v>1965</v>
      </c>
      <c r="L4005" s="4">
        <f>IFERROR(__xludf.DUMMYFUNCTION("""COMPUTED_VALUE"""),0.5)</f>
        <v>0.5</v>
      </c>
      <c r="M4005" s="4">
        <f>IFERROR(__xludf.DUMMYFUNCTION("""COMPUTED_VALUE"""),0.342)</f>
        <v>0.342</v>
      </c>
      <c r="N4005" s="4">
        <f>IFERROR(__xludf.DUMMYFUNCTION("""COMPUTED_VALUE"""),0.797)</f>
        <v>0.797</v>
      </c>
      <c r="O4005" s="4">
        <f>IFERROR(__xludf.DUMMYFUNCTION("""COMPUTED_VALUE"""),26.9)</f>
        <v>26.9</v>
      </c>
      <c r="P4005" s="4">
        <f>IFERROR(__xludf.DUMMYFUNCTION("""COMPUTED_VALUE"""),15.9)</f>
        <v>15.9</v>
      </c>
      <c r="Q4005" s="4">
        <f>IFERROR(__xludf.DUMMYFUNCTION("""COMPUTED_VALUE"""),2.2)</f>
        <v>2.2</v>
      </c>
      <c r="R4005" s="4">
        <f>IFERROR(__xludf.DUMMYFUNCTION("""COMPUTED_VALUE"""),4.2)</f>
        <v>4.2</v>
      </c>
      <c r="S4005" s="4">
        <f>IFERROR(__xludf.DUMMYFUNCTION("""COMPUTED_VALUE"""),26.9)</f>
        <v>26.9</v>
      </c>
      <c r="T4005" s="4">
        <f>IFERROR(__xludf.DUMMYFUNCTION("""COMPUTED_VALUE"""),0.103)</f>
        <v>0.103</v>
      </c>
      <c r="U4005" s="4">
        <f>IFERROR(__xludf.DUMMYFUNCTION("""COMPUTED_VALUE"""),-0.6)</f>
        <v>-0.6</v>
      </c>
      <c r="V4005" s="4">
        <f>IFERROR(__xludf.DUMMYFUNCTION("""COMPUTED_VALUE"""),4.4)</f>
        <v>4.4</v>
      </c>
    </row>
    <row r="4006">
      <c r="A4006" s="4">
        <f>IFERROR(__xludf.DUMMYFUNCTION("""COMPUTED_VALUE"""),9.0)</f>
        <v>9</v>
      </c>
      <c r="B4006" s="4">
        <f>IFERROR(__xludf.DUMMYFUNCTION("""COMPUTED_VALUE"""),9.0)</f>
        <v>9</v>
      </c>
      <c r="C4006" s="4" t="str">
        <f>IFERROR(__xludf.DUMMYFUNCTION("""COMPUTED_VALUE"""),"SDC")</f>
        <v>SDC</v>
      </c>
      <c r="D4006" s="4" t="str">
        <f>IFERROR(__xludf.DUMMYFUNCTION("""COMPUTED_VALUE"""),"Michael Brooks")</f>
        <v>Michael Brooks</v>
      </c>
      <c r="E4006" s="4" t="str">
        <f>IFERROR(__xludf.DUMMYFUNCTION("""COMPUTED_VALUE"""),"La Salle")</f>
        <v>La Salle</v>
      </c>
      <c r="F4006" s="4">
        <f>IFERROR(__xludf.DUMMYFUNCTION("""COMPUTED_VALUE"""),6.0)</f>
        <v>6</v>
      </c>
      <c r="G4006" s="4">
        <f>IFERROR(__xludf.DUMMYFUNCTION("""COMPUTED_VALUE"""),319.0)</f>
        <v>319</v>
      </c>
      <c r="H4006" s="4">
        <f>IFERROR(__xludf.DUMMYFUNCTION("""COMPUTED_VALUE"""),9372.0)</f>
        <v>9372</v>
      </c>
      <c r="I4006" s="4">
        <f>IFERROR(__xludf.DUMMYFUNCTION("""COMPUTED_VALUE"""),4086.0)</f>
        <v>4086</v>
      </c>
      <c r="J4006" s="4">
        <f>IFERROR(__xludf.DUMMYFUNCTION("""COMPUTED_VALUE"""),2001.0)</f>
        <v>2001</v>
      </c>
      <c r="K4006" s="4">
        <f>IFERROR(__xludf.DUMMYFUNCTION("""COMPUTED_VALUE"""),818.0)</f>
        <v>818</v>
      </c>
      <c r="L4006" s="4">
        <f>IFERROR(__xludf.DUMMYFUNCTION("""COMPUTED_VALUE"""),0.486)</f>
        <v>0.486</v>
      </c>
      <c r="M4006" s="4">
        <f>IFERROR(__xludf.DUMMYFUNCTION("""COMPUTED_VALUE"""),0.152)</f>
        <v>0.152</v>
      </c>
      <c r="N4006" s="4">
        <f>IFERROR(__xludf.DUMMYFUNCTION("""COMPUTED_VALUE"""),0.714)</f>
        <v>0.714</v>
      </c>
      <c r="O4006" s="4">
        <f>IFERROR(__xludf.DUMMYFUNCTION("""COMPUTED_VALUE"""),29.4)</f>
        <v>29.4</v>
      </c>
      <c r="P4006" s="4">
        <f>IFERROR(__xludf.DUMMYFUNCTION("""COMPUTED_VALUE"""),12.8)</f>
        <v>12.8</v>
      </c>
      <c r="Q4006" s="4">
        <f>IFERROR(__xludf.DUMMYFUNCTION("""COMPUTED_VALUE"""),6.3)</f>
        <v>6.3</v>
      </c>
      <c r="R4006" s="4">
        <f>IFERROR(__xludf.DUMMYFUNCTION("""COMPUTED_VALUE"""),2.6)</f>
        <v>2.6</v>
      </c>
      <c r="S4006" s="4">
        <f>IFERROR(__xludf.DUMMYFUNCTION("""COMPUTED_VALUE"""),16.5)</f>
        <v>16.5</v>
      </c>
      <c r="T4006" s="4">
        <f>IFERROR(__xludf.DUMMYFUNCTION("""COMPUTED_VALUE"""),0.085)</f>
        <v>0.085</v>
      </c>
      <c r="U4006" s="4">
        <f>IFERROR(__xludf.DUMMYFUNCTION("""COMPUTED_VALUE"""),-0.1)</f>
        <v>-0.1</v>
      </c>
      <c r="V4006" s="4">
        <f>IFERROR(__xludf.DUMMYFUNCTION("""COMPUTED_VALUE"""),4.6)</f>
        <v>4.6</v>
      </c>
    </row>
    <row r="4007">
      <c r="A4007" s="4">
        <f>IFERROR(__xludf.DUMMYFUNCTION("""COMPUTED_VALUE"""),10.0)</f>
        <v>10</v>
      </c>
      <c r="B4007" s="4">
        <f>IFERROR(__xludf.DUMMYFUNCTION("""COMPUTED_VALUE"""),10.0)</f>
        <v>10</v>
      </c>
      <c r="C4007" s="4" t="str">
        <f>IFERROR(__xludf.DUMMYFUNCTION("""COMPUTED_VALUE"""),"POR")</f>
        <v>POR</v>
      </c>
      <c r="D4007" s="4" t="str">
        <f>IFERROR(__xludf.DUMMYFUNCTION("""COMPUTED_VALUE"""),"Ronnie Lester")</f>
        <v>Ronnie Lester</v>
      </c>
      <c r="E4007" s="4" t="str">
        <f>IFERROR(__xludf.DUMMYFUNCTION("""COMPUTED_VALUE"""),"Iowa")</f>
        <v>Iowa</v>
      </c>
      <c r="F4007" s="4">
        <f>IFERROR(__xludf.DUMMYFUNCTION("""COMPUTED_VALUE"""),6.0)</f>
        <v>6</v>
      </c>
      <c r="G4007" s="4">
        <f>IFERROR(__xludf.DUMMYFUNCTION("""COMPUTED_VALUE"""),250.0)</f>
        <v>250</v>
      </c>
      <c r="H4007" s="4">
        <f>IFERROR(__xludf.DUMMYFUNCTION("""COMPUTED_VALUE"""),4959.0)</f>
        <v>4959</v>
      </c>
      <c r="I4007" s="4">
        <f>IFERROR(__xludf.DUMMYFUNCTION("""COMPUTED_VALUE"""),1816.0)</f>
        <v>1816</v>
      </c>
      <c r="J4007" s="4">
        <f>IFERROR(__xludf.DUMMYFUNCTION("""COMPUTED_VALUE"""),473.0)</f>
        <v>473</v>
      </c>
      <c r="K4007" s="4">
        <f>IFERROR(__xludf.DUMMYFUNCTION("""COMPUTED_VALUE"""),1003.0)</f>
        <v>1003</v>
      </c>
      <c r="L4007" s="4">
        <f>IFERROR(__xludf.DUMMYFUNCTION("""COMPUTED_VALUE"""),0.469)</f>
        <v>0.469</v>
      </c>
      <c r="M4007" s="4">
        <f>IFERROR(__xludf.DUMMYFUNCTION("""COMPUTED_VALUE"""),0.227)</f>
        <v>0.227</v>
      </c>
      <c r="N4007" s="4">
        <f>IFERROR(__xludf.DUMMYFUNCTION("""COMPUTED_VALUE"""),0.788)</f>
        <v>0.788</v>
      </c>
      <c r="O4007" s="4">
        <f>IFERROR(__xludf.DUMMYFUNCTION("""COMPUTED_VALUE"""),19.8)</f>
        <v>19.8</v>
      </c>
      <c r="P4007" s="4">
        <f>IFERROR(__xludf.DUMMYFUNCTION("""COMPUTED_VALUE"""),7.3)</f>
        <v>7.3</v>
      </c>
      <c r="Q4007" s="4">
        <f>IFERROR(__xludf.DUMMYFUNCTION("""COMPUTED_VALUE"""),1.9)</f>
        <v>1.9</v>
      </c>
      <c r="R4007" s="4">
        <f>IFERROR(__xludf.DUMMYFUNCTION("""COMPUTED_VALUE"""),4.0)</f>
        <v>4</v>
      </c>
      <c r="S4007" s="4">
        <f>IFERROR(__xludf.DUMMYFUNCTION("""COMPUTED_VALUE"""),6.3)</f>
        <v>6.3</v>
      </c>
      <c r="T4007" s="4">
        <f>IFERROR(__xludf.DUMMYFUNCTION("""COMPUTED_VALUE"""),0.061)</f>
        <v>0.061</v>
      </c>
      <c r="U4007" s="4">
        <f>IFERROR(__xludf.DUMMYFUNCTION("""COMPUTED_VALUE"""),-1.3)</f>
        <v>-1.3</v>
      </c>
      <c r="V4007" s="4">
        <f>IFERROR(__xludf.DUMMYFUNCTION("""COMPUTED_VALUE"""),0.9)</f>
        <v>0.9</v>
      </c>
    </row>
    <row r="4008">
      <c r="A4008" s="4">
        <f>IFERROR(__xludf.DUMMYFUNCTION("""COMPUTED_VALUE"""),11.0)</f>
        <v>11</v>
      </c>
      <c r="B4008" s="4">
        <f>IFERROR(__xludf.DUMMYFUNCTION("""COMPUTED_VALUE"""),11.0)</f>
        <v>11</v>
      </c>
      <c r="C4008" s="4" t="str">
        <f>IFERROR(__xludf.DUMMYFUNCTION("""COMPUTED_VALUE"""),"DAL")</f>
        <v>DAL</v>
      </c>
      <c r="D4008" s="4" t="str">
        <f>IFERROR(__xludf.DUMMYFUNCTION("""COMPUTED_VALUE"""),"Kiki Vandeweghe")</f>
        <v>Kiki Vandeweghe</v>
      </c>
      <c r="E4008" s="4" t="str">
        <f>IFERROR(__xludf.DUMMYFUNCTION("""COMPUTED_VALUE"""),"UCLA")</f>
        <v>UCLA</v>
      </c>
      <c r="F4008" s="4">
        <f>IFERROR(__xludf.DUMMYFUNCTION("""COMPUTED_VALUE"""),13.0)</f>
        <v>13</v>
      </c>
      <c r="G4008" s="4">
        <f>IFERROR(__xludf.DUMMYFUNCTION("""COMPUTED_VALUE"""),810.0)</f>
        <v>810</v>
      </c>
      <c r="H4008" s="4">
        <f>IFERROR(__xludf.DUMMYFUNCTION("""COMPUTED_VALUE"""),24521.0)</f>
        <v>24521</v>
      </c>
      <c r="I4008" s="4">
        <f>IFERROR(__xludf.DUMMYFUNCTION("""COMPUTED_VALUE"""),15980.0)</f>
        <v>15980</v>
      </c>
      <c r="J4008" s="4">
        <f>IFERROR(__xludf.DUMMYFUNCTION("""COMPUTED_VALUE"""),2785.0)</f>
        <v>2785</v>
      </c>
      <c r="K4008" s="4">
        <f>IFERROR(__xludf.DUMMYFUNCTION("""COMPUTED_VALUE"""),1668.0)</f>
        <v>1668</v>
      </c>
      <c r="L4008" s="4">
        <f>IFERROR(__xludf.DUMMYFUNCTION("""COMPUTED_VALUE"""),0.525)</f>
        <v>0.525</v>
      </c>
      <c r="M4008" s="4">
        <f>IFERROR(__xludf.DUMMYFUNCTION("""COMPUTED_VALUE"""),0.368)</f>
        <v>0.368</v>
      </c>
      <c r="N4008" s="4">
        <f>IFERROR(__xludf.DUMMYFUNCTION("""COMPUTED_VALUE"""),0.872)</f>
        <v>0.872</v>
      </c>
      <c r="O4008" s="4">
        <f>IFERROR(__xludf.DUMMYFUNCTION("""COMPUTED_VALUE"""),30.3)</f>
        <v>30.3</v>
      </c>
      <c r="P4008" s="4">
        <f>IFERROR(__xludf.DUMMYFUNCTION("""COMPUTED_VALUE"""),19.7)</f>
        <v>19.7</v>
      </c>
      <c r="Q4008" s="4">
        <f>IFERROR(__xludf.DUMMYFUNCTION("""COMPUTED_VALUE"""),3.4)</f>
        <v>3.4</v>
      </c>
      <c r="R4008" s="4">
        <f>IFERROR(__xludf.DUMMYFUNCTION("""COMPUTED_VALUE"""),2.1)</f>
        <v>2.1</v>
      </c>
      <c r="S4008" s="4">
        <f>IFERROR(__xludf.DUMMYFUNCTION("""COMPUTED_VALUE"""),75.6)</f>
        <v>75.6</v>
      </c>
      <c r="T4008" s="4">
        <f>IFERROR(__xludf.DUMMYFUNCTION("""COMPUTED_VALUE"""),0.148)</f>
        <v>0.148</v>
      </c>
      <c r="U4008" s="4">
        <f>IFERROR(__xludf.DUMMYFUNCTION("""COMPUTED_VALUE"""),0.9)</f>
        <v>0.9</v>
      </c>
      <c r="V4008" s="4">
        <f>IFERROR(__xludf.DUMMYFUNCTION("""COMPUTED_VALUE"""),17.7)</f>
        <v>17.7</v>
      </c>
    </row>
    <row r="4009">
      <c r="A4009" s="4">
        <f>IFERROR(__xludf.DUMMYFUNCTION("""COMPUTED_VALUE"""),12.0)</f>
        <v>12</v>
      </c>
      <c r="B4009" s="4">
        <f>IFERROR(__xludf.DUMMYFUNCTION("""COMPUTED_VALUE"""),12.0)</f>
        <v>12</v>
      </c>
      <c r="C4009" s="4" t="str">
        <f>IFERROR(__xludf.DUMMYFUNCTION("""COMPUTED_VALUE"""),"NYK")</f>
        <v>NYK</v>
      </c>
      <c r="D4009" s="4" t="str">
        <f>IFERROR(__xludf.DUMMYFUNCTION("""COMPUTED_VALUE"""),"Mike Woodson")</f>
        <v>Mike Woodson</v>
      </c>
      <c r="E4009" s="4" t="str">
        <f>IFERROR(__xludf.DUMMYFUNCTION("""COMPUTED_VALUE"""),"Indiana")</f>
        <v>Indiana</v>
      </c>
      <c r="F4009" s="4">
        <f>IFERROR(__xludf.DUMMYFUNCTION("""COMPUTED_VALUE"""),11.0)</f>
        <v>11</v>
      </c>
      <c r="G4009" s="4">
        <f>IFERROR(__xludf.DUMMYFUNCTION("""COMPUTED_VALUE"""),786.0)</f>
        <v>786</v>
      </c>
      <c r="H4009" s="4">
        <f>IFERROR(__xludf.DUMMYFUNCTION("""COMPUTED_VALUE"""),20021.0)</f>
        <v>20021</v>
      </c>
      <c r="I4009" s="4">
        <f>IFERROR(__xludf.DUMMYFUNCTION("""COMPUTED_VALUE"""),10981.0)</f>
        <v>10981</v>
      </c>
      <c r="J4009" s="4">
        <f>IFERROR(__xludf.DUMMYFUNCTION("""COMPUTED_VALUE"""),1838.0)</f>
        <v>1838</v>
      </c>
      <c r="K4009" s="4">
        <f>IFERROR(__xludf.DUMMYFUNCTION("""COMPUTED_VALUE"""),1822.0)</f>
        <v>1822</v>
      </c>
      <c r="L4009" s="4">
        <f>IFERROR(__xludf.DUMMYFUNCTION("""COMPUTED_VALUE"""),0.466)</f>
        <v>0.466</v>
      </c>
      <c r="M4009" s="4">
        <f>IFERROR(__xludf.DUMMYFUNCTION("""COMPUTED_VALUE"""),0.271)</f>
        <v>0.271</v>
      </c>
      <c r="N4009" s="4">
        <f>IFERROR(__xludf.DUMMYFUNCTION("""COMPUTED_VALUE"""),0.813)</f>
        <v>0.813</v>
      </c>
      <c r="O4009" s="4">
        <f>IFERROR(__xludf.DUMMYFUNCTION("""COMPUTED_VALUE"""),25.5)</f>
        <v>25.5</v>
      </c>
      <c r="P4009" s="4">
        <f>IFERROR(__xludf.DUMMYFUNCTION("""COMPUTED_VALUE"""),14.0)</f>
        <v>14</v>
      </c>
      <c r="Q4009" s="4">
        <f>IFERROR(__xludf.DUMMYFUNCTION("""COMPUTED_VALUE"""),2.3)</f>
        <v>2.3</v>
      </c>
      <c r="R4009" s="4">
        <f>IFERROR(__xludf.DUMMYFUNCTION("""COMPUTED_VALUE"""),2.3)</f>
        <v>2.3</v>
      </c>
      <c r="S4009" s="4">
        <f>IFERROR(__xludf.DUMMYFUNCTION("""COMPUTED_VALUE"""),34.6)</f>
        <v>34.6</v>
      </c>
      <c r="T4009" s="4">
        <f>IFERROR(__xludf.DUMMYFUNCTION("""COMPUTED_VALUE"""),0.083)</f>
        <v>0.083</v>
      </c>
      <c r="U4009" s="4">
        <f>IFERROR(__xludf.DUMMYFUNCTION("""COMPUTED_VALUE"""),-0.3)</f>
        <v>-0.3</v>
      </c>
      <c r="V4009" s="4">
        <f>IFERROR(__xludf.DUMMYFUNCTION("""COMPUTED_VALUE"""),8.5)</f>
        <v>8.5</v>
      </c>
    </row>
    <row r="4010">
      <c r="A4010" s="4">
        <f>IFERROR(__xludf.DUMMYFUNCTION("""COMPUTED_VALUE"""),13.0)</f>
        <v>13</v>
      </c>
      <c r="B4010" s="4">
        <f>IFERROR(__xludf.DUMMYFUNCTION("""COMPUTED_VALUE"""),13.0)</f>
        <v>13</v>
      </c>
      <c r="C4010" s="4" t="str">
        <f>IFERROR(__xludf.DUMMYFUNCTION("""COMPUTED_VALUE"""),"GSW")</f>
        <v>GSW</v>
      </c>
      <c r="D4010" s="4" t="str">
        <f>IFERROR(__xludf.DUMMYFUNCTION("""COMPUTED_VALUE"""),"Rickey Brown")</f>
        <v>Rickey Brown</v>
      </c>
      <c r="E4010" s="4" t="str">
        <f>IFERROR(__xludf.DUMMYFUNCTION("""COMPUTED_VALUE"""),"Mississippi State")</f>
        <v>Mississippi State</v>
      </c>
      <c r="F4010" s="4">
        <f>IFERROR(__xludf.DUMMYFUNCTION("""COMPUTED_VALUE"""),5.0)</f>
        <v>5</v>
      </c>
      <c r="G4010" s="4">
        <f>IFERROR(__xludf.DUMMYFUNCTION("""COMPUTED_VALUE"""),340.0)</f>
        <v>340</v>
      </c>
      <c r="H4010" s="4">
        <f>IFERROR(__xludf.DUMMYFUNCTION("""COMPUTED_VALUE"""),4487.0)</f>
        <v>4487</v>
      </c>
      <c r="I4010" s="4">
        <f>IFERROR(__xludf.DUMMYFUNCTION("""COMPUTED_VALUE"""),1482.0)</f>
        <v>1482</v>
      </c>
      <c r="J4010" s="4">
        <f>IFERROR(__xludf.DUMMYFUNCTION("""COMPUTED_VALUE"""),1200.0)</f>
        <v>1200</v>
      </c>
      <c r="K4010" s="4">
        <f>IFERROR(__xludf.DUMMYFUNCTION("""COMPUTED_VALUE"""),119.0)</f>
        <v>119</v>
      </c>
      <c r="L4010" s="4">
        <f>IFERROR(__xludf.DUMMYFUNCTION("""COMPUTED_VALUE"""),0.464)</f>
        <v>0.464</v>
      </c>
      <c r="M4010" s="4">
        <f>IFERROR(__xludf.DUMMYFUNCTION("""COMPUTED_VALUE"""),0.0)</f>
        <v>0</v>
      </c>
      <c r="N4010" s="4">
        <f>IFERROR(__xludf.DUMMYFUNCTION("""COMPUTED_VALUE"""),0.667)</f>
        <v>0.667</v>
      </c>
      <c r="O4010" s="4">
        <f>IFERROR(__xludf.DUMMYFUNCTION("""COMPUTED_VALUE"""),13.2)</f>
        <v>13.2</v>
      </c>
      <c r="P4010" s="4">
        <f>IFERROR(__xludf.DUMMYFUNCTION("""COMPUTED_VALUE"""),4.4)</f>
        <v>4.4</v>
      </c>
      <c r="Q4010" s="4">
        <f>IFERROR(__xludf.DUMMYFUNCTION("""COMPUTED_VALUE"""),3.5)</f>
        <v>3.5</v>
      </c>
      <c r="R4010" s="4">
        <f>IFERROR(__xludf.DUMMYFUNCTION("""COMPUTED_VALUE"""),0.4)</f>
        <v>0.4</v>
      </c>
      <c r="S4010" s="4">
        <f>IFERROR(__xludf.DUMMYFUNCTION("""COMPUTED_VALUE"""),4.7)</f>
        <v>4.7</v>
      </c>
      <c r="T4010" s="4">
        <f>IFERROR(__xludf.DUMMYFUNCTION("""COMPUTED_VALUE"""),0.051)</f>
        <v>0.051</v>
      </c>
      <c r="U4010" s="4">
        <f>IFERROR(__xludf.DUMMYFUNCTION("""COMPUTED_VALUE"""),-4.4)</f>
        <v>-4.4</v>
      </c>
      <c r="V4010" s="4">
        <f>IFERROR(__xludf.DUMMYFUNCTION("""COMPUTED_VALUE"""),-2.8)</f>
        <v>-2.8</v>
      </c>
    </row>
    <row r="4011">
      <c r="A4011" s="4">
        <f>IFERROR(__xludf.DUMMYFUNCTION("""COMPUTED_VALUE"""),14.0)</f>
        <v>14</v>
      </c>
      <c r="B4011" s="4">
        <f>IFERROR(__xludf.DUMMYFUNCTION("""COMPUTED_VALUE"""),14.0)</f>
        <v>14</v>
      </c>
      <c r="C4011" s="4" t="str">
        <f>IFERROR(__xludf.DUMMYFUNCTION("""COMPUTED_VALUE"""),"WSB")</f>
        <v>WSB</v>
      </c>
      <c r="D4011" s="4" t="str">
        <f>IFERROR(__xludf.DUMMYFUNCTION("""COMPUTED_VALUE"""),"Wes Matthews")</f>
        <v>Wes Matthews</v>
      </c>
      <c r="E4011" s="4" t="str">
        <f>IFERROR(__xludf.DUMMYFUNCTION("""COMPUTED_VALUE"""),"Wisconsin")</f>
        <v>Wisconsin</v>
      </c>
      <c r="F4011" s="4">
        <f>IFERROR(__xludf.DUMMYFUNCTION("""COMPUTED_VALUE"""),9.0)</f>
        <v>9</v>
      </c>
      <c r="G4011" s="4">
        <f>IFERROR(__xludf.DUMMYFUNCTION("""COMPUTED_VALUE"""),465.0)</f>
        <v>465</v>
      </c>
      <c r="H4011" s="4">
        <f>IFERROR(__xludf.DUMMYFUNCTION("""COMPUTED_VALUE"""),9305.0)</f>
        <v>9305</v>
      </c>
      <c r="I4011" s="4">
        <f>IFERROR(__xludf.DUMMYFUNCTION("""COMPUTED_VALUE"""),3654.0)</f>
        <v>3654</v>
      </c>
      <c r="J4011" s="4">
        <f>IFERROR(__xludf.DUMMYFUNCTION("""COMPUTED_VALUE"""),626.0)</f>
        <v>626</v>
      </c>
      <c r="K4011" s="4">
        <f>IFERROR(__xludf.DUMMYFUNCTION("""COMPUTED_VALUE"""),1955.0)</f>
        <v>1955</v>
      </c>
      <c r="L4011" s="4">
        <f>IFERROR(__xludf.DUMMYFUNCTION("""COMPUTED_VALUE"""),0.478)</f>
        <v>0.478</v>
      </c>
      <c r="M4011" s="4">
        <f>IFERROR(__xludf.DUMMYFUNCTION("""COMPUTED_VALUE"""),0.225)</f>
        <v>0.225</v>
      </c>
      <c r="N4011" s="4">
        <f>IFERROR(__xludf.DUMMYFUNCTION("""COMPUTED_VALUE"""),0.788)</f>
        <v>0.788</v>
      </c>
      <c r="O4011" s="4">
        <f>IFERROR(__xludf.DUMMYFUNCTION("""COMPUTED_VALUE"""),20.0)</f>
        <v>20</v>
      </c>
      <c r="P4011" s="4">
        <f>IFERROR(__xludf.DUMMYFUNCTION("""COMPUTED_VALUE"""),7.9)</f>
        <v>7.9</v>
      </c>
      <c r="Q4011" s="4">
        <f>IFERROR(__xludf.DUMMYFUNCTION("""COMPUTED_VALUE"""),1.3)</f>
        <v>1.3</v>
      </c>
      <c r="R4011" s="4">
        <f>IFERROR(__xludf.DUMMYFUNCTION("""COMPUTED_VALUE"""),4.2)</f>
        <v>4.2</v>
      </c>
      <c r="S4011" s="4">
        <f>IFERROR(__xludf.DUMMYFUNCTION("""COMPUTED_VALUE"""),11.0)</f>
        <v>11</v>
      </c>
      <c r="T4011" s="4">
        <f>IFERROR(__xludf.DUMMYFUNCTION("""COMPUTED_VALUE"""),0.057)</f>
        <v>0.057</v>
      </c>
      <c r="U4011" s="4">
        <f>IFERROR(__xludf.DUMMYFUNCTION("""COMPUTED_VALUE"""),-1.3)</f>
        <v>-1.3</v>
      </c>
      <c r="V4011" s="4">
        <f>IFERROR(__xludf.DUMMYFUNCTION("""COMPUTED_VALUE"""),1.8)</f>
        <v>1.8</v>
      </c>
    </row>
    <row r="4012">
      <c r="A4012" s="4">
        <f>IFERROR(__xludf.DUMMYFUNCTION("""COMPUTED_VALUE"""),15.0)</f>
        <v>15</v>
      </c>
      <c r="B4012" s="4">
        <f>IFERROR(__xludf.DUMMYFUNCTION("""COMPUTED_VALUE"""),15.0)</f>
        <v>15</v>
      </c>
      <c r="C4012" s="4" t="str">
        <f>IFERROR(__xludf.DUMMYFUNCTION("""COMPUTED_VALUE"""),"SAS")</f>
        <v>SAS</v>
      </c>
      <c r="D4012" s="4" t="str">
        <f>IFERROR(__xludf.DUMMYFUNCTION("""COMPUTED_VALUE"""),"Reggie Johnson")</f>
        <v>Reggie Johnson</v>
      </c>
      <c r="E4012" s="4" t="str">
        <f>IFERROR(__xludf.DUMMYFUNCTION("""COMPUTED_VALUE"""),"Tennessee")</f>
        <v>Tennessee</v>
      </c>
      <c r="F4012" s="4">
        <f>IFERROR(__xludf.DUMMYFUNCTION("""COMPUTED_VALUE"""),4.0)</f>
        <v>4</v>
      </c>
      <c r="G4012" s="4">
        <f>IFERROR(__xludf.DUMMYFUNCTION("""COMPUTED_VALUE"""),305.0)</f>
        <v>305</v>
      </c>
      <c r="H4012" s="4">
        <f>IFERROR(__xludf.DUMMYFUNCTION("""COMPUTED_VALUE"""),5979.0)</f>
        <v>5979</v>
      </c>
      <c r="I4012" s="4">
        <f>IFERROR(__xludf.DUMMYFUNCTION("""COMPUTED_VALUE"""),2564.0)</f>
        <v>2564</v>
      </c>
      <c r="J4012" s="4">
        <f>IFERROR(__xludf.DUMMYFUNCTION("""COMPUTED_VALUE"""),1238.0)</f>
        <v>1238</v>
      </c>
      <c r="K4012" s="4">
        <f>IFERROR(__xludf.DUMMYFUNCTION("""COMPUTED_VALUE"""),262.0)</f>
        <v>262</v>
      </c>
      <c r="L4012" s="4">
        <f>IFERROR(__xludf.DUMMYFUNCTION("""COMPUTED_VALUE"""),0.505)</f>
        <v>0.505</v>
      </c>
      <c r="M4012" s="4">
        <f>IFERROR(__xludf.DUMMYFUNCTION("""COMPUTED_VALUE"""),0.143)</f>
        <v>0.143</v>
      </c>
      <c r="N4012" s="4">
        <f>IFERROR(__xludf.DUMMYFUNCTION("""COMPUTED_VALUE"""),0.716)</f>
        <v>0.716</v>
      </c>
      <c r="O4012" s="4">
        <f>IFERROR(__xludf.DUMMYFUNCTION("""COMPUTED_VALUE"""),19.6)</f>
        <v>19.6</v>
      </c>
      <c r="P4012" s="4">
        <f>IFERROR(__xludf.DUMMYFUNCTION("""COMPUTED_VALUE"""),8.4)</f>
        <v>8.4</v>
      </c>
      <c r="Q4012" s="4">
        <f>IFERROR(__xludf.DUMMYFUNCTION("""COMPUTED_VALUE"""),4.1)</f>
        <v>4.1</v>
      </c>
      <c r="R4012" s="4">
        <f>IFERROR(__xludf.DUMMYFUNCTION("""COMPUTED_VALUE"""),0.9)</f>
        <v>0.9</v>
      </c>
      <c r="S4012" s="4">
        <f>IFERROR(__xludf.DUMMYFUNCTION("""COMPUTED_VALUE"""),11.0)</f>
        <v>11</v>
      </c>
      <c r="T4012" s="4">
        <f>IFERROR(__xludf.DUMMYFUNCTION("""COMPUTED_VALUE"""),0.088)</f>
        <v>0.088</v>
      </c>
      <c r="U4012" s="4">
        <f>IFERROR(__xludf.DUMMYFUNCTION("""COMPUTED_VALUE"""),-2.4)</f>
        <v>-2.4</v>
      </c>
      <c r="V4012" s="4">
        <f>IFERROR(__xludf.DUMMYFUNCTION("""COMPUTED_VALUE"""),-0.5)</f>
        <v>-0.5</v>
      </c>
    </row>
    <row r="4013">
      <c r="A4013" s="4">
        <f>IFERROR(__xludf.DUMMYFUNCTION("""COMPUTED_VALUE"""),16.0)</f>
        <v>16</v>
      </c>
      <c r="B4013" s="4">
        <f>IFERROR(__xludf.DUMMYFUNCTION("""COMPUTED_VALUE"""),16.0)</f>
        <v>16</v>
      </c>
      <c r="C4013" s="4" t="str">
        <f>IFERROR(__xludf.DUMMYFUNCTION("""COMPUTED_VALUE"""),"KCK")</f>
        <v>KCK</v>
      </c>
      <c r="D4013" s="4" t="str">
        <f>IFERROR(__xludf.DUMMYFUNCTION("""COMPUTED_VALUE"""),"Hawkeye Whitney")</f>
        <v>Hawkeye Whitney</v>
      </c>
      <c r="E4013" s="4" t="str">
        <f>IFERROR(__xludf.DUMMYFUNCTION("""COMPUTED_VALUE"""),"NC State")</f>
        <v>NC State</v>
      </c>
      <c r="F4013" s="4">
        <f>IFERROR(__xludf.DUMMYFUNCTION("""COMPUTED_VALUE"""),2.0)</f>
        <v>2</v>
      </c>
      <c r="G4013" s="4">
        <f>IFERROR(__xludf.DUMMYFUNCTION("""COMPUTED_VALUE"""),70.0)</f>
        <v>70</v>
      </c>
      <c r="H4013" s="4">
        <f>IFERROR(__xludf.DUMMYFUNCTION("""COMPUTED_VALUE"""),1048.0)</f>
        <v>1048</v>
      </c>
      <c r="I4013" s="4">
        <f>IFERROR(__xludf.DUMMYFUNCTION("""COMPUTED_VALUE"""),404.0)</f>
        <v>404</v>
      </c>
      <c r="J4013" s="4">
        <f>IFERROR(__xludf.DUMMYFUNCTION("""COMPUTED_VALUE"""),146.0)</f>
        <v>146</v>
      </c>
      <c r="K4013" s="4">
        <f>IFERROR(__xludf.DUMMYFUNCTION("""COMPUTED_VALUE"""),87.0)</f>
        <v>87</v>
      </c>
      <c r="L4013" s="4">
        <f>IFERROR(__xludf.DUMMYFUNCTION("""COMPUTED_VALUE"""),0.462)</f>
        <v>0.462</v>
      </c>
      <c r="M4013" s="4">
        <f>IFERROR(__xludf.DUMMYFUNCTION("""COMPUTED_VALUE"""),0.286)</f>
        <v>0.286</v>
      </c>
      <c r="N4013" s="4">
        <f>IFERROR(__xludf.DUMMYFUNCTION("""COMPUTED_VALUE"""),0.75)</f>
        <v>0.75</v>
      </c>
      <c r="O4013" s="4">
        <f>IFERROR(__xludf.DUMMYFUNCTION("""COMPUTED_VALUE"""),15.0)</f>
        <v>15</v>
      </c>
      <c r="P4013" s="4">
        <f>IFERROR(__xludf.DUMMYFUNCTION("""COMPUTED_VALUE"""),5.8)</f>
        <v>5.8</v>
      </c>
      <c r="Q4013" s="4">
        <f>IFERROR(__xludf.DUMMYFUNCTION("""COMPUTED_VALUE"""),2.1)</f>
        <v>2.1</v>
      </c>
      <c r="R4013" s="4">
        <f>IFERROR(__xludf.DUMMYFUNCTION("""COMPUTED_VALUE"""),1.2)</f>
        <v>1.2</v>
      </c>
      <c r="S4013" s="4">
        <f>IFERROR(__xludf.DUMMYFUNCTION("""COMPUTED_VALUE"""),1.3)</f>
        <v>1.3</v>
      </c>
      <c r="T4013" s="4">
        <f>IFERROR(__xludf.DUMMYFUNCTION("""COMPUTED_VALUE"""),0.062)</f>
        <v>0.062</v>
      </c>
      <c r="U4013" s="4">
        <f>IFERROR(__xludf.DUMMYFUNCTION("""COMPUTED_VALUE"""),-1.6)</f>
        <v>-1.6</v>
      </c>
      <c r="V4013" s="4">
        <f>IFERROR(__xludf.DUMMYFUNCTION("""COMPUTED_VALUE"""),0.1)</f>
        <v>0.1</v>
      </c>
    </row>
    <row r="4014">
      <c r="A4014" s="4">
        <f>IFERROR(__xludf.DUMMYFUNCTION("""COMPUTED_VALUE"""),17.0)</f>
        <v>17</v>
      </c>
      <c r="B4014" s="4">
        <f>IFERROR(__xludf.DUMMYFUNCTION("""COMPUTED_VALUE"""),17.0)</f>
        <v>17</v>
      </c>
      <c r="C4014" s="4" t="str">
        <f>IFERROR(__xludf.DUMMYFUNCTION("""COMPUTED_VALUE"""),"DET")</f>
        <v>DET</v>
      </c>
      <c r="D4014" s="4" t="str">
        <f>IFERROR(__xludf.DUMMYFUNCTION("""COMPUTED_VALUE"""),"Larry Drew")</f>
        <v>Larry Drew</v>
      </c>
      <c r="E4014" s="4" t="str">
        <f>IFERROR(__xludf.DUMMYFUNCTION("""COMPUTED_VALUE"""),"Missouri")</f>
        <v>Missouri</v>
      </c>
      <c r="F4014" s="4">
        <f>IFERROR(__xludf.DUMMYFUNCTION("""COMPUTED_VALUE"""),10.0)</f>
        <v>10</v>
      </c>
      <c r="G4014" s="4">
        <f>IFERROR(__xludf.DUMMYFUNCTION("""COMPUTED_VALUE"""),714.0)</f>
        <v>714</v>
      </c>
      <c r="H4014" s="4">
        <f>IFERROR(__xludf.DUMMYFUNCTION("""COMPUTED_VALUE"""),18370.0)</f>
        <v>18370</v>
      </c>
      <c r="I4014" s="4">
        <f>IFERROR(__xludf.DUMMYFUNCTION("""COMPUTED_VALUE"""),8110.0)</f>
        <v>8110</v>
      </c>
      <c r="J4014" s="4">
        <f>IFERROR(__xludf.DUMMYFUNCTION("""COMPUTED_VALUE"""),1265.0)</f>
        <v>1265</v>
      </c>
      <c r="K4014" s="4">
        <f>IFERROR(__xludf.DUMMYFUNCTION("""COMPUTED_VALUE"""),3702.0)</f>
        <v>3702</v>
      </c>
      <c r="L4014" s="4">
        <f>IFERROR(__xludf.DUMMYFUNCTION("""COMPUTED_VALUE"""),0.467)</f>
        <v>0.467</v>
      </c>
      <c r="M4014" s="4">
        <f>IFERROR(__xludf.DUMMYFUNCTION("""COMPUTED_VALUE"""),0.291)</f>
        <v>0.291</v>
      </c>
      <c r="N4014" s="4">
        <f>IFERROR(__xludf.DUMMYFUNCTION("""COMPUTED_VALUE"""),0.798)</f>
        <v>0.798</v>
      </c>
      <c r="O4014" s="4">
        <f>IFERROR(__xludf.DUMMYFUNCTION("""COMPUTED_VALUE"""),25.7)</f>
        <v>25.7</v>
      </c>
      <c r="P4014" s="4">
        <f>IFERROR(__xludf.DUMMYFUNCTION("""COMPUTED_VALUE"""),11.4)</f>
        <v>11.4</v>
      </c>
      <c r="Q4014" s="4">
        <f>IFERROR(__xludf.DUMMYFUNCTION("""COMPUTED_VALUE"""),1.8)</f>
        <v>1.8</v>
      </c>
      <c r="R4014" s="4">
        <f>IFERROR(__xludf.DUMMYFUNCTION("""COMPUTED_VALUE"""),5.2)</f>
        <v>5.2</v>
      </c>
      <c r="S4014" s="4">
        <f>IFERROR(__xludf.DUMMYFUNCTION("""COMPUTED_VALUE"""),24.4)</f>
        <v>24.4</v>
      </c>
      <c r="T4014" s="4">
        <f>IFERROR(__xludf.DUMMYFUNCTION("""COMPUTED_VALUE"""),0.064)</f>
        <v>0.064</v>
      </c>
      <c r="U4014" s="4">
        <f>IFERROR(__xludf.DUMMYFUNCTION("""COMPUTED_VALUE"""),-0.9)</f>
        <v>-0.9</v>
      </c>
      <c r="V4014" s="4">
        <f>IFERROR(__xludf.DUMMYFUNCTION("""COMPUTED_VALUE"""),5.0)</f>
        <v>5</v>
      </c>
    </row>
    <row r="4015">
      <c r="A4015" s="4">
        <f>IFERROR(__xludf.DUMMYFUNCTION("""COMPUTED_VALUE"""),18.0)</f>
        <v>18</v>
      </c>
      <c r="B4015" s="4">
        <f>IFERROR(__xludf.DUMMYFUNCTION("""COMPUTED_VALUE"""),18.0)</f>
        <v>18</v>
      </c>
      <c r="C4015" s="4" t="str">
        <f>IFERROR(__xludf.DUMMYFUNCTION("""COMPUTED_VALUE"""),"ATL")</f>
        <v>ATL</v>
      </c>
      <c r="D4015" s="4" t="str">
        <f>IFERROR(__xludf.DUMMYFUNCTION("""COMPUTED_VALUE"""),"Don Collins")</f>
        <v>Don Collins</v>
      </c>
      <c r="E4015" s="4" t="str">
        <f>IFERROR(__xludf.DUMMYFUNCTION("""COMPUTED_VALUE"""),"Washington State")</f>
        <v>Washington State</v>
      </c>
      <c r="F4015" s="4">
        <f>IFERROR(__xludf.DUMMYFUNCTION("""COMPUTED_VALUE"""),6.0)</f>
        <v>6</v>
      </c>
      <c r="G4015" s="4">
        <f>IFERROR(__xludf.DUMMYFUNCTION("""COMPUTED_VALUE"""),303.0)</f>
        <v>303</v>
      </c>
      <c r="H4015" s="4">
        <f>IFERROR(__xludf.DUMMYFUNCTION("""COMPUTED_VALUE"""),6134.0)</f>
        <v>6134</v>
      </c>
      <c r="I4015" s="4">
        <f>IFERROR(__xludf.DUMMYFUNCTION("""COMPUTED_VALUE"""),2983.0)</f>
        <v>2983</v>
      </c>
      <c r="J4015" s="4">
        <f>IFERROR(__xludf.DUMMYFUNCTION("""COMPUTED_VALUE"""),837.0)</f>
        <v>837</v>
      </c>
      <c r="K4015" s="4">
        <f>IFERROR(__xludf.DUMMYFUNCTION("""COMPUTED_VALUE"""),546.0)</f>
        <v>546</v>
      </c>
      <c r="L4015" s="4">
        <f>IFERROR(__xludf.DUMMYFUNCTION("""COMPUTED_VALUE"""),0.485)</f>
        <v>0.485</v>
      </c>
      <c r="M4015" s="4">
        <f>IFERROR(__xludf.DUMMYFUNCTION("""COMPUTED_VALUE"""),0.069)</f>
        <v>0.069</v>
      </c>
      <c r="N4015" s="4">
        <f>IFERROR(__xludf.DUMMYFUNCTION("""COMPUTED_VALUE"""),0.749)</f>
        <v>0.749</v>
      </c>
      <c r="O4015" s="4">
        <f>IFERROR(__xludf.DUMMYFUNCTION("""COMPUTED_VALUE"""),20.2)</f>
        <v>20.2</v>
      </c>
      <c r="P4015" s="4">
        <f>IFERROR(__xludf.DUMMYFUNCTION("""COMPUTED_VALUE"""),9.8)</f>
        <v>9.8</v>
      </c>
      <c r="Q4015" s="4">
        <f>IFERROR(__xludf.DUMMYFUNCTION("""COMPUTED_VALUE"""),2.8)</f>
        <v>2.8</v>
      </c>
      <c r="R4015" s="4">
        <f>IFERROR(__xludf.DUMMYFUNCTION("""COMPUTED_VALUE"""),1.8)</f>
        <v>1.8</v>
      </c>
      <c r="S4015" s="4">
        <f>IFERROR(__xludf.DUMMYFUNCTION("""COMPUTED_VALUE"""),10.5)</f>
        <v>10.5</v>
      </c>
      <c r="T4015" s="4">
        <f>IFERROR(__xludf.DUMMYFUNCTION("""COMPUTED_VALUE"""),0.082)</f>
        <v>0.082</v>
      </c>
      <c r="U4015" s="4">
        <f>IFERROR(__xludf.DUMMYFUNCTION("""COMPUTED_VALUE"""),0.2)</f>
        <v>0.2</v>
      </c>
      <c r="V4015" s="4">
        <f>IFERROR(__xludf.DUMMYFUNCTION("""COMPUTED_VALUE"""),3.5)</f>
        <v>3.5</v>
      </c>
    </row>
    <row r="4016">
      <c r="A4016" s="4">
        <f>IFERROR(__xludf.DUMMYFUNCTION("""COMPUTED_VALUE"""),19.0)</f>
        <v>19</v>
      </c>
      <c r="B4016" s="4">
        <f>IFERROR(__xludf.DUMMYFUNCTION("""COMPUTED_VALUE"""),19.0)</f>
        <v>19</v>
      </c>
      <c r="C4016" s="4" t="str">
        <f>IFERROR(__xludf.DUMMYFUNCTION("""COMPUTED_VALUE"""),"UTA")</f>
        <v>UTA</v>
      </c>
      <c r="D4016" s="4" t="str">
        <f>IFERROR(__xludf.DUMMYFUNCTION("""COMPUTED_VALUE"""),"John Duren")</f>
        <v>John Duren</v>
      </c>
      <c r="E4016" s="4" t="str">
        <f>IFERROR(__xludf.DUMMYFUNCTION("""COMPUTED_VALUE"""),"Georgetown")</f>
        <v>Georgetown</v>
      </c>
      <c r="F4016" s="4">
        <f>IFERROR(__xludf.DUMMYFUNCTION("""COMPUTED_VALUE"""),3.0)</f>
        <v>3</v>
      </c>
      <c r="G4016" s="4">
        <f>IFERROR(__xludf.DUMMYFUNCTION("""COMPUTED_VALUE"""),201.0)</f>
        <v>201</v>
      </c>
      <c r="H4016" s="4">
        <f>IFERROR(__xludf.DUMMYFUNCTION("""COMPUTED_VALUE"""),2947.0)</f>
        <v>2947</v>
      </c>
      <c r="I4016" s="4">
        <f>IFERROR(__xludf.DUMMYFUNCTION("""COMPUTED_VALUE"""),712.0)</f>
        <v>712</v>
      </c>
      <c r="J4016" s="4">
        <f>IFERROR(__xludf.DUMMYFUNCTION("""COMPUTED_VALUE"""),226.0)</f>
        <v>226</v>
      </c>
      <c r="K4016" s="4">
        <f>IFERROR(__xludf.DUMMYFUNCTION("""COMPUTED_VALUE"""),411.0)</f>
        <v>411</v>
      </c>
      <c r="L4016" s="4">
        <f>IFERROR(__xludf.DUMMYFUNCTION("""COMPUTED_VALUE"""),0.435)</f>
        <v>0.435</v>
      </c>
      <c r="M4016" s="4">
        <f>IFERROR(__xludf.DUMMYFUNCTION("""COMPUTED_VALUE"""),0.12)</f>
        <v>0.12</v>
      </c>
      <c r="N4016" s="4">
        <f>IFERROR(__xludf.DUMMYFUNCTION("""COMPUTED_VALUE"""),0.75)</f>
        <v>0.75</v>
      </c>
      <c r="O4016" s="4">
        <f>IFERROR(__xludf.DUMMYFUNCTION("""COMPUTED_VALUE"""),14.7)</f>
        <v>14.7</v>
      </c>
      <c r="P4016" s="4">
        <f>IFERROR(__xludf.DUMMYFUNCTION("""COMPUTED_VALUE"""),3.5)</f>
        <v>3.5</v>
      </c>
      <c r="Q4016" s="4">
        <f>IFERROR(__xludf.DUMMYFUNCTION("""COMPUTED_VALUE"""),1.1)</f>
        <v>1.1</v>
      </c>
      <c r="R4016" s="4">
        <f>IFERROR(__xludf.DUMMYFUNCTION("""COMPUTED_VALUE"""),2.0)</f>
        <v>2</v>
      </c>
      <c r="S4016" s="4">
        <f>IFERROR(__xludf.DUMMYFUNCTION("""COMPUTED_VALUE"""),-0.8)</f>
        <v>-0.8</v>
      </c>
      <c r="T4016" s="4">
        <f>IFERROR(__xludf.DUMMYFUNCTION("""COMPUTED_VALUE"""),-0.014)</f>
        <v>-0.014</v>
      </c>
      <c r="U4016" s="4">
        <f>IFERROR(__xludf.DUMMYFUNCTION("""COMPUTED_VALUE"""),-5.4)</f>
        <v>-5.4</v>
      </c>
      <c r="V4016" s="4">
        <f>IFERROR(__xludf.DUMMYFUNCTION("""COMPUTED_VALUE"""),-2.5)</f>
        <v>-2.5</v>
      </c>
    </row>
    <row r="4017">
      <c r="A4017" s="4">
        <f>IFERROR(__xludf.DUMMYFUNCTION("""COMPUTED_VALUE"""),20.0)</f>
        <v>20</v>
      </c>
      <c r="B4017" s="4">
        <f>IFERROR(__xludf.DUMMYFUNCTION("""COMPUTED_VALUE"""),20.0)</f>
        <v>20</v>
      </c>
      <c r="C4017" s="4" t="str">
        <f>IFERROR(__xludf.DUMMYFUNCTION("""COMPUTED_VALUE"""),"SEA")</f>
        <v>SEA</v>
      </c>
      <c r="D4017" s="4" t="str">
        <f>IFERROR(__xludf.DUMMYFUNCTION("""COMPUTED_VALUE"""),"Bill Hanzlik")</f>
        <v>Bill Hanzlik</v>
      </c>
      <c r="E4017" s="4" t="str">
        <f>IFERROR(__xludf.DUMMYFUNCTION("""COMPUTED_VALUE"""),"Notre Dame")</f>
        <v>Notre Dame</v>
      </c>
      <c r="F4017" s="4">
        <f>IFERROR(__xludf.DUMMYFUNCTION("""COMPUTED_VALUE"""),10.0)</f>
        <v>10</v>
      </c>
      <c r="G4017" s="4">
        <f>IFERROR(__xludf.DUMMYFUNCTION("""COMPUTED_VALUE"""),748.0)</f>
        <v>748</v>
      </c>
      <c r="H4017" s="4">
        <f>IFERROR(__xludf.DUMMYFUNCTION("""COMPUTED_VALUE"""),15534.0)</f>
        <v>15534</v>
      </c>
      <c r="I4017" s="4">
        <f>IFERROR(__xludf.DUMMYFUNCTION("""COMPUTED_VALUE"""),5414.0)</f>
        <v>5414</v>
      </c>
      <c r="J4017" s="4">
        <f>IFERROR(__xludf.DUMMYFUNCTION("""COMPUTED_VALUE"""),2058.0)</f>
        <v>2058</v>
      </c>
      <c r="K4017" s="4">
        <f>IFERROR(__xludf.DUMMYFUNCTION("""COMPUTED_VALUE"""),2058.0)</f>
        <v>2058</v>
      </c>
      <c r="L4017" s="4">
        <f>IFERROR(__xludf.DUMMYFUNCTION("""COMPUTED_VALUE"""),0.434)</f>
        <v>0.434</v>
      </c>
      <c r="M4017" s="4">
        <f>IFERROR(__xludf.DUMMYFUNCTION("""COMPUTED_VALUE"""),0.213)</f>
        <v>0.213</v>
      </c>
      <c r="N4017" s="4">
        <f>IFERROR(__xludf.DUMMYFUNCTION("""COMPUTED_VALUE"""),0.781)</f>
        <v>0.781</v>
      </c>
      <c r="O4017" s="4">
        <f>IFERROR(__xludf.DUMMYFUNCTION("""COMPUTED_VALUE"""),20.8)</f>
        <v>20.8</v>
      </c>
      <c r="P4017" s="4">
        <f>IFERROR(__xludf.DUMMYFUNCTION("""COMPUTED_VALUE"""),7.2)</f>
        <v>7.2</v>
      </c>
      <c r="Q4017" s="4">
        <f>IFERROR(__xludf.DUMMYFUNCTION("""COMPUTED_VALUE"""),2.8)</f>
        <v>2.8</v>
      </c>
      <c r="R4017" s="4">
        <f>IFERROR(__xludf.DUMMYFUNCTION("""COMPUTED_VALUE"""),2.8)</f>
        <v>2.8</v>
      </c>
      <c r="S4017" s="4">
        <f>IFERROR(__xludf.DUMMYFUNCTION("""COMPUTED_VALUE"""),24.7)</f>
        <v>24.7</v>
      </c>
      <c r="T4017" s="4">
        <f>IFERROR(__xludf.DUMMYFUNCTION("""COMPUTED_VALUE"""),0.076)</f>
        <v>0.076</v>
      </c>
      <c r="U4017" s="4">
        <f>IFERROR(__xludf.DUMMYFUNCTION("""COMPUTED_VALUE"""),-1.4)</f>
        <v>-1.4</v>
      </c>
      <c r="V4017" s="4">
        <f>IFERROR(__xludf.DUMMYFUNCTION("""COMPUTED_VALUE"""),2.2)</f>
        <v>2.2</v>
      </c>
    </row>
    <row r="4018">
      <c r="A4018" s="4">
        <f>IFERROR(__xludf.DUMMYFUNCTION("""COMPUTED_VALUE"""),21.0)</f>
        <v>21</v>
      </c>
      <c r="B4018" s="4">
        <f>IFERROR(__xludf.DUMMYFUNCTION("""COMPUTED_VALUE"""),21.0)</f>
        <v>21</v>
      </c>
      <c r="C4018" s="4" t="str">
        <f>IFERROR(__xludf.DUMMYFUNCTION("""COMPUTED_VALUE"""),"PHI")</f>
        <v>PHI</v>
      </c>
      <c r="D4018" s="4" t="str">
        <f>IFERROR(__xludf.DUMMYFUNCTION("""COMPUTED_VALUE"""),"Monti Davis")</f>
        <v>Monti Davis</v>
      </c>
      <c r="E4018" s="4" t="str">
        <f>IFERROR(__xludf.DUMMYFUNCTION("""COMPUTED_VALUE"""),"Tennessee State")</f>
        <v>Tennessee State</v>
      </c>
      <c r="F4018" s="4">
        <f>IFERROR(__xludf.DUMMYFUNCTION("""COMPUTED_VALUE"""),1.0)</f>
        <v>1</v>
      </c>
      <c r="G4018" s="4">
        <f>IFERROR(__xludf.DUMMYFUNCTION("""COMPUTED_VALUE"""),2.0)</f>
        <v>2</v>
      </c>
      <c r="H4018" s="4">
        <f>IFERROR(__xludf.DUMMYFUNCTION("""COMPUTED_VALUE"""),10.0)</f>
        <v>10</v>
      </c>
      <c r="I4018" s="4">
        <f>IFERROR(__xludf.DUMMYFUNCTION("""COMPUTED_VALUE"""),3.0)</f>
        <v>3</v>
      </c>
      <c r="J4018" s="4">
        <f>IFERROR(__xludf.DUMMYFUNCTION("""COMPUTED_VALUE"""),4.0)</f>
        <v>4</v>
      </c>
      <c r="K4018" s="4">
        <f>IFERROR(__xludf.DUMMYFUNCTION("""COMPUTED_VALUE"""),0.0)</f>
        <v>0</v>
      </c>
      <c r="L4018" s="4">
        <f>IFERROR(__xludf.DUMMYFUNCTION("""COMPUTED_VALUE"""),0.2)</f>
        <v>0.2</v>
      </c>
      <c r="M4018" s="4"/>
      <c r="N4018" s="4">
        <f>IFERROR(__xludf.DUMMYFUNCTION("""COMPUTED_VALUE"""),0.2)</f>
        <v>0.2</v>
      </c>
      <c r="O4018" s="4">
        <f>IFERROR(__xludf.DUMMYFUNCTION("""COMPUTED_VALUE"""),5.0)</f>
        <v>5</v>
      </c>
      <c r="P4018" s="4">
        <f>IFERROR(__xludf.DUMMYFUNCTION("""COMPUTED_VALUE"""),1.5)</f>
        <v>1.5</v>
      </c>
      <c r="Q4018" s="4">
        <f>IFERROR(__xludf.DUMMYFUNCTION("""COMPUTED_VALUE"""),2.0)</f>
        <v>2</v>
      </c>
      <c r="R4018" s="4">
        <f>IFERROR(__xludf.DUMMYFUNCTION("""COMPUTED_VALUE"""),0.0)</f>
        <v>0</v>
      </c>
      <c r="S4018" s="4">
        <f>IFERROR(__xludf.DUMMYFUNCTION("""COMPUTED_VALUE"""),-0.1)</f>
        <v>-0.1</v>
      </c>
      <c r="T4018" s="4">
        <f>IFERROR(__xludf.DUMMYFUNCTION("""COMPUTED_VALUE"""),-0.311)</f>
        <v>-0.311</v>
      </c>
      <c r="U4018" s="4">
        <f>IFERROR(__xludf.DUMMYFUNCTION("""COMPUTED_VALUE"""),-5.1)</f>
        <v>-5.1</v>
      </c>
      <c r="V4018" s="4">
        <f>IFERROR(__xludf.DUMMYFUNCTION("""COMPUTED_VALUE"""),0.0)</f>
        <v>0</v>
      </c>
    </row>
    <row r="4019">
      <c r="A4019" s="4">
        <f>IFERROR(__xludf.DUMMYFUNCTION("""COMPUTED_VALUE"""),22.0)</f>
        <v>22</v>
      </c>
      <c r="B4019" s="4">
        <f>IFERROR(__xludf.DUMMYFUNCTION("""COMPUTED_VALUE"""),22.0)</f>
        <v>22</v>
      </c>
      <c r="C4019" s="4" t="str">
        <f>IFERROR(__xludf.DUMMYFUNCTION("""COMPUTED_VALUE"""),"CLE")</f>
        <v>CLE</v>
      </c>
      <c r="D4019" s="4" t="str">
        <f>IFERROR(__xludf.DUMMYFUNCTION("""COMPUTED_VALUE"""),"Chad Kinch")</f>
        <v>Chad Kinch</v>
      </c>
      <c r="E4019" s="4" t="str">
        <f>IFERROR(__xludf.DUMMYFUNCTION("""COMPUTED_VALUE"""),"UNC Charlotte")</f>
        <v>UNC Charlotte</v>
      </c>
      <c r="F4019" s="4">
        <f>IFERROR(__xludf.DUMMYFUNCTION("""COMPUTED_VALUE"""),1.0)</f>
        <v>1</v>
      </c>
      <c r="G4019" s="4">
        <f>IFERROR(__xludf.DUMMYFUNCTION("""COMPUTED_VALUE"""),41.0)</f>
        <v>41</v>
      </c>
      <c r="H4019" s="4">
        <f>IFERROR(__xludf.DUMMYFUNCTION("""COMPUTED_VALUE"""),353.0)</f>
        <v>353</v>
      </c>
      <c r="I4019" s="4">
        <f>IFERROR(__xludf.DUMMYFUNCTION("""COMPUTED_VALUE"""),118.0)</f>
        <v>118</v>
      </c>
      <c r="J4019" s="4">
        <f>IFERROR(__xludf.DUMMYFUNCTION("""COMPUTED_VALUE"""),33.0)</f>
        <v>33</v>
      </c>
      <c r="K4019" s="4">
        <f>IFERROR(__xludf.DUMMYFUNCTION("""COMPUTED_VALUE"""),45.0)</f>
        <v>45</v>
      </c>
      <c r="L4019" s="4">
        <f>IFERROR(__xludf.DUMMYFUNCTION("""COMPUTED_VALUE"""),0.369)</f>
        <v>0.369</v>
      </c>
      <c r="M4019" s="4"/>
      <c r="N4019" s="4">
        <f>IFERROR(__xludf.DUMMYFUNCTION("""COMPUTED_VALUE"""),0.778)</f>
        <v>0.778</v>
      </c>
      <c r="O4019" s="4">
        <f>IFERROR(__xludf.DUMMYFUNCTION("""COMPUTED_VALUE"""),8.6)</f>
        <v>8.6</v>
      </c>
      <c r="P4019" s="4">
        <f>IFERROR(__xludf.DUMMYFUNCTION("""COMPUTED_VALUE"""),2.9)</f>
        <v>2.9</v>
      </c>
      <c r="Q4019" s="4">
        <f>IFERROR(__xludf.DUMMYFUNCTION("""COMPUTED_VALUE"""),0.8)</f>
        <v>0.8</v>
      </c>
      <c r="R4019" s="4">
        <f>IFERROR(__xludf.DUMMYFUNCTION("""COMPUTED_VALUE"""),1.1)</f>
        <v>1.1</v>
      </c>
      <c r="S4019" s="4">
        <f>IFERROR(__xludf.DUMMYFUNCTION("""COMPUTED_VALUE"""),-0.5)</f>
        <v>-0.5</v>
      </c>
      <c r="T4019" s="4">
        <f>IFERROR(__xludf.DUMMYFUNCTION("""COMPUTED_VALUE"""),-0.071)</f>
        <v>-0.071</v>
      </c>
      <c r="U4019" s="4">
        <f>IFERROR(__xludf.DUMMYFUNCTION("""COMPUTED_VALUE"""),-4.8)</f>
        <v>-4.8</v>
      </c>
      <c r="V4019" s="4">
        <f>IFERROR(__xludf.DUMMYFUNCTION("""COMPUTED_VALUE"""),-0.3)</f>
        <v>-0.3</v>
      </c>
    </row>
    <row r="4020">
      <c r="A4020" s="4">
        <f>IFERROR(__xludf.DUMMYFUNCTION("""COMPUTED_VALUE"""),23.0)</f>
        <v>23</v>
      </c>
      <c r="B4020" s="4">
        <f>IFERROR(__xludf.DUMMYFUNCTION("""COMPUTED_VALUE"""),23.0)</f>
        <v>23</v>
      </c>
      <c r="C4020" s="4" t="str">
        <f>IFERROR(__xludf.DUMMYFUNCTION("""COMPUTED_VALUE"""),"DEN")</f>
        <v>DEN</v>
      </c>
      <c r="D4020" s="4" t="str">
        <f>IFERROR(__xludf.DUMMYFUNCTION("""COMPUTED_VALUE"""),"Carl Nicks")</f>
        <v>Carl Nicks</v>
      </c>
      <c r="E4020" s="4" t="str">
        <f>IFERROR(__xludf.DUMMYFUNCTION("""COMPUTED_VALUE"""),"Indiana State University")</f>
        <v>Indiana State University</v>
      </c>
      <c r="F4020" s="4">
        <f>IFERROR(__xludf.DUMMYFUNCTION("""COMPUTED_VALUE"""),3.0)</f>
        <v>3</v>
      </c>
      <c r="G4020" s="4">
        <f>IFERROR(__xludf.DUMMYFUNCTION("""COMPUTED_VALUE"""),156.0)</f>
        <v>156</v>
      </c>
      <c r="H4020" s="4">
        <f>IFERROR(__xludf.DUMMYFUNCTION("""COMPUTED_VALUE"""),2579.0)</f>
        <v>2579</v>
      </c>
      <c r="I4020" s="4">
        <f>IFERROR(__xludf.DUMMYFUNCTION("""COMPUTED_VALUE"""),1067.0)</f>
        <v>1067</v>
      </c>
      <c r="J4020" s="4">
        <f>IFERROR(__xludf.DUMMYFUNCTION("""COMPUTED_VALUE"""),297.0)</f>
        <v>297</v>
      </c>
      <c r="K4020" s="4">
        <f>IFERROR(__xludf.DUMMYFUNCTION("""COMPUTED_VALUE"""),249.0)</f>
        <v>249</v>
      </c>
      <c r="L4020" s="4">
        <f>IFERROR(__xludf.DUMMYFUNCTION("""COMPUTED_VALUE"""),0.462)</f>
        <v>0.462</v>
      </c>
      <c r="M4020" s="4">
        <f>IFERROR(__xludf.DUMMYFUNCTION("""COMPUTED_VALUE"""),0.0)</f>
        <v>0</v>
      </c>
      <c r="N4020" s="4">
        <f>IFERROR(__xludf.DUMMYFUNCTION("""COMPUTED_VALUE"""),0.57)</f>
        <v>0.57</v>
      </c>
      <c r="O4020" s="4">
        <f>IFERROR(__xludf.DUMMYFUNCTION("""COMPUTED_VALUE"""),16.5)</f>
        <v>16.5</v>
      </c>
      <c r="P4020" s="4">
        <f>IFERROR(__xludf.DUMMYFUNCTION("""COMPUTED_VALUE"""),6.8)</f>
        <v>6.8</v>
      </c>
      <c r="Q4020" s="4">
        <f>IFERROR(__xludf.DUMMYFUNCTION("""COMPUTED_VALUE"""),1.9)</f>
        <v>1.9</v>
      </c>
      <c r="R4020" s="4">
        <f>IFERROR(__xludf.DUMMYFUNCTION("""COMPUTED_VALUE"""),1.6)</f>
        <v>1.6</v>
      </c>
      <c r="S4020" s="4">
        <f>IFERROR(__xludf.DUMMYFUNCTION("""COMPUTED_VALUE"""),-0.4)</f>
        <v>-0.4</v>
      </c>
      <c r="T4020" s="4">
        <f>IFERROR(__xludf.DUMMYFUNCTION("""COMPUTED_VALUE"""),-0.007)</f>
        <v>-0.007</v>
      </c>
      <c r="U4020" s="4">
        <f>IFERROR(__xludf.DUMMYFUNCTION("""COMPUTED_VALUE"""),-4.5)</f>
        <v>-4.5</v>
      </c>
      <c r="V4020" s="4">
        <f>IFERROR(__xludf.DUMMYFUNCTION("""COMPUTED_VALUE"""),-1.6)</f>
        <v>-1.6</v>
      </c>
    </row>
    <row r="4021">
      <c r="A4021" s="4"/>
      <c r="B4021" s="4"/>
      <c r="C4021" s="4"/>
      <c r="D4021" s="4" t="str">
        <f>IFERROR(__xludf.DUMMYFUNCTION("""COMPUTED_VALUE"""),"Round 2")</f>
        <v>Round 2</v>
      </c>
      <c r="E4021" s="4"/>
      <c r="F4021" s="4"/>
      <c r="G4021" s="4" t="str">
        <f>IFERROR(__xludf.DUMMYFUNCTION("""COMPUTED_VALUE"""),"Totals")</f>
        <v>Totals</v>
      </c>
      <c r="H4021" s="4"/>
      <c r="I4021" s="4"/>
      <c r="J4021" s="4"/>
      <c r="K4021" s="4"/>
      <c r="L4021" s="4" t="str">
        <f>IFERROR(__xludf.DUMMYFUNCTION("""COMPUTED_VALUE"""),"Shooting")</f>
        <v>Shooting</v>
      </c>
      <c r="M4021" s="4"/>
      <c r="N4021" s="4"/>
      <c r="O4021" s="4" t="str">
        <f>IFERROR(__xludf.DUMMYFUNCTION("""COMPUTED_VALUE"""),"Per Game")</f>
        <v>Per Game</v>
      </c>
      <c r="P4021" s="4"/>
      <c r="Q4021" s="4"/>
      <c r="R4021" s="4"/>
      <c r="S4021" s="4" t="str">
        <f>IFERROR(__xludf.DUMMYFUNCTION("""COMPUTED_VALUE"""),"Advanced")</f>
        <v>Advanced</v>
      </c>
      <c r="T4021" s="4"/>
      <c r="U4021" s="4"/>
      <c r="V4021" s="4"/>
    </row>
    <row r="4022">
      <c r="A4022" s="4" t="str">
        <f>IFERROR(__xludf.DUMMYFUNCTION("""COMPUTED_VALUE"""),"Rk")</f>
        <v>Rk</v>
      </c>
      <c r="B4022" s="4" t="str">
        <f>IFERROR(__xludf.DUMMYFUNCTION("""COMPUTED_VALUE"""),"Pk")</f>
        <v>Pk</v>
      </c>
      <c r="C4022" s="4" t="str">
        <f>IFERROR(__xludf.DUMMYFUNCTION("""COMPUTED_VALUE"""),"Tm")</f>
        <v>Tm</v>
      </c>
      <c r="D4022" s="4" t="str">
        <f>IFERROR(__xludf.DUMMYFUNCTION("""COMPUTED_VALUE"""),"Player")</f>
        <v>Player</v>
      </c>
      <c r="E4022" s="4" t="str">
        <f>IFERROR(__xludf.DUMMYFUNCTION("""COMPUTED_VALUE"""),"College")</f>
        <v>College</v>
      </c>
      <c r="F4022" s="4" t="str">
        <f>IFERROR(__xludf.DUMMYFUNCTION("""COMPUTED_VALUE"""),"Yrs")</f>
        <v>Yrs</v>
      </c>
      <c r="G4022" s="4" t="str">
        <f>IFERROR(__xludf.DUMMYFUNCTION("""COMPUTED_VALUE"""),"G")</f>
        <v>G</v>
      </c>
      <c r="H4022" s="4" t="str">
        <f>IFERROR(__xludf.DUMMYFUNCTION("""COMPUTED_VALUE"""),"MP")</f>
        <v>MP</v>
      </c>
      <c r="I4022" s="4" t="str">
        <f>IFERROR(__xludf.DUMMYFUNCTION("""COMPUTED_VALUE"""),"PTS")</f>
        <v>PTS</v>
      </c>
      <c r="J4022" s="4" t="str">
        <f>IFERROR(__xludf.DUMMYFUNCTION("""COMPUTED_VALUE"""),"TRB")</f>
        <v>TRB</v>
      </c>
      <c r="K4022" s="4" t="str">
        <f>IFERROR(__xludf.DUMMYFUNCTION("""COMPUTED_VALUE"""),"AST")</f>
        <v>AST</v>
      </c>
      <c r="L4022" s="4" t="str">
        <f>IFERROR(__xludf.DUMMYFUNCTION("""COMPUTED_VALUE"""),"FG%")</f>
        <v>FG%</v>
      </c>
      <c r="M4022" s="4" t="str">
        <f>IFERROR(__xludf.DUMMYFUNCTION("""COMPUTED_VALUE"""),"3P%")</f>
        <v>3P%</v>
      </c>
      <c r="N4022" s="4" t="str">
        <f>IFERROR(__xludf.DUMMYFUNCTION("""COMPUTED_VALUE"""),"FT%")</f>
        <v>FT%</v>
      </c>
      <c r="O4022" s="4" t="str">
        <f>IFERROR(__xludf.DUMMYFUNCTION("""COMPUTED_VALUE"""),"MP")</f>
        <v>MP</v>
      </c>
      <c r="P4022" s="4" t="str">
        <f>IFERROR(__xludf.DUMMYFUNCTION("""COMPUTED_VALUE"""),"PTS")</f>
        <v>PTS</v>
      </c>
      <c r="Q4022" s="4" t="str">
        <f>IFERROR(__xludf.DUMMYFUNCTION("""COMPUTED_VALUE"""),"TRB")</f>
        <v>TRB</v>
      </c>
      <c r="R4022" s="4" t="str">
        <f>IFERROR(__xludf.DUMMYFUNCTION("""COMPUTED_VALUE"""),"AST")</f>
        <v>AST</v>
      </c>
      <c r="S4022" s="4" t="str">
        <f>IFERROR(__xludf.DUMMYFUNCTION("""COMPUTED_VALUE"""),"WS")</f>
        <v>WS</v>
      </c>
      <c r="T4022" s="4" t="str">
        <f>IFERROR(__xludf.DUMMYFUNCTION("""COMPUTED_VALUE"""),"WS/48")</f>
        <v>WS/48</v>
      </c>
      <c r="U4022" s="4" t="str">
        <f>IFERROR(__xludf.DUMMYFUNCTION("""COMPUTED_VALUE"""),"BPM")</f>
        <v>BPM</v>
      </c>
      <c r="V4022" s="4" t="str">
        <f>IFERROR(__xludf.DUMMYFUNCTION("""COMPUTED_VALUE"""),"VORP")</f>
        <v>VORP</v>
      </c>
    </row>
    <row r="4023">
      <c r="A4023" s="4">
        <f>IFERROR(__xludf.DUMMYFUNCTION("""COMPUTED_VALUE"""),24.0)</f>
        <v>24</v>
      </c>
      <c r="B4023" s="4">
        <f>IFERROR(__xludf.DUMMYFUNCTION("""COMPUTED_VALUE"""),24.0)</f>
        <v>24</v>
      </c>
      <c r="C4023" s="4" t="str">
        <f>IFERROR(__xludf.DUMMYFUNCTION("""COMPUTED_VALUE"""),"GSW")</f>
        <v>GSW</v>
      </c>
      <c r="D4023" s="4" t="str">
        <f>IFERROR(__xludf.DUMMYFUNCTION("""COMPUTED_VALUE"""),"Larry Smith")</f>
        <v>Larry Smith</v>
      </c>
      <c r="E4023" s="4" t="str">
        <f>IFERROR(__xludf.DUMMYFUNCTION("""COMPUTED_VALUE"""),"Alcorn State")</f>
        <v>Alcorn State</v>
      </c>
      <c r="F4023" s="4">
        <f>IFERROR(__xludf.DUMMYFUNCTION("""COMPUTED_VALUE"""),13.0)</f>
        <v>13</v>
      </c>
      <c r="G4023" s="4">
        <f>IFERROR(__xludf.DUMMYFUNCTION("""COMPUTED_VALUE"""),883.0)</f>
        <v>883</v>
      </c>
      <c r="H4023" s="4">
        <f>IFERROR(__xludf.DUMMYFUNCTION("""COMPUTED_VALUE"""),22879.0)</f>
        <v>22879</v>
      </c>
      <c r="I4023" s="4">
        <f>IFERROR(__xludf.DUMMYFUNCTION("""COMPUTED_VALUE"""),5904.0)</f>
        <v>5904</v>
      </c>
      <c r="J4023" s="4">
        <f>IFERROR(__xludf.DUMMYFUNCTION("""COMPUTED_VALUE"""),8125.0)</f>
        <v>8125</v>
      </c>
      <c r="K4023" s="4">
        <f>IFERROR(__xludf.DUMMYFUNCTION("""COMPUTED_VALUE"""),941.0)</f>
        <v>941</v>
      </c>
      <c r="L4023" s="4">
        <f>IFERROR(__xludf.DUMMYFUNCTION("""COMPUTED_VALUE"""),0.531)</f>
        <v>0.531</v>
      </c>
      <c r="M4023" s="4">
        <f>IFERROR(__xludf.DUMMYFUNCTION("""COMPUTED_VALUE"""),0.0)</f>
        <v>0</v>
      </c>
      <c r="N4023" s="4">
        <f>IFERROR(__xludf.DUMMYFUNCTION("""COMPUTED_VALUE"""),0.531)</f>
        <v>0.531</v>
      </c>
      <c r="O4023" s="4">
        <f>IFERROR(__xludf.DUMMYFUNCTION("""COMPUTED_VALUE"""),25.9)</f>
        <v>25.9</v>
      </c>
      <c r="P4023" s="4">
        <f>IFERROR(__xludf.DUMMYFUNCTION("""COMPUTED_VALUE"""),6.7)</f>
        <v>6.7</v>
      </c>
      <c r="Q4023" s="4">
        <f>IFERROR(__xludf.DUMMYFUNCTION("""COMPUTED_VALUE"""),9.2)</f>
        <v>9.2</v>
      </c>
      <c r="R4023" s="4">
        <f>IFERROR(__xludf.DUMMYFUNCTION("""COMPUTED_VALUE"""),1.1)</f>
        <v>1.1</v>
      </c>
      <c r="S4023" s="4">
        <f>IFERROR(__xludf.DUMMYFUNCTION("""COMPUTED_VALUE"""),46.0)</f>
        <v>46</v>
      </c>
      <c r="T4023" s="4">
        <f>IFERROR(__xludf.DUMMYFUNCTION("""COMPUTED_VALUE"""),0.096)</f>
        <v>0.096</v>
      </c>
      <c r="U4023" s="4">
        <f>IFERROR(__xludf.DUMMYFUNCTION("""COMPUTED_VALUE"""),-1.6)</f>
        <v>-1.6</v>
      </c>
      <c r="V4023" s="4">
        <f>IFERROR(__xludf.DUMMYFUNCTION("""COMPUTED_VALUE"""),2.4)</f>
        <v>2.4</v>
      </c>
    </row>
    <row r="4024">
      <c r="A4024" s="4">
        <f>IFERROR(__xludf.DUMMYFUNCTION("""COMPUTED_VALUE"""),25.0)</f>
        <v>25</v>
      </c>
      <c r="B4024" s="4">
        <f>IFERROR(__xludf.DUMMYFUNCTION("""COMPUTED_VALUE"""),25.0)</f>
        <v>25</v>
      </c>
      <c r="C4024" s="4" t="str">
        <f>IFERROR(__xludf.DUMMYFUNCTION("""COMPUTED_VALUE"""),"GSW")</f>
        <v>GSW</v>
      </c>
      <c r="D4024" s="4" t="str">
        <f>IFERROR(__xludf.DUMMYFUNCTION("""COMPUTED_VALUE"""),"Jeff Ruland")</f>
        <v>Jeff Ruland</v>
      </c>
      <c r="E4024" s="4" t="str">
        <f>IFERROR(__xludf.DUMMYFUNCTION("""COMPUTED_VALUE"""),"Iona College")</f>
        <v>Iona College</v>
      </c>
      <c r="F4024" s="4">
        <f>IFERROR(__xludf.DUMMYFUNCTION("""COMPUTED_VALUE"""),8.0)</f>
        <v>8</v>
      </c>
      <c r="G4024" s="4">
        <f>IFERROR(__xludf.DUMMYFUNCTION("""COMPUTED_VALUE"""),332.0)</f>
        <v>332</v>
      </c>
      <c r="H4024" s="4">
        <f>IFERROR(__xludf.DUMMYFUNCTION("""COMPUTED_VALUE"""),11088.0)</f>
        <v>11088</v>
      </c>
      <c r="I4024" s="4">
        <f>IFERROR(__xludf.DUMMYFUNCTION("""COMPUTED_VALUE"""),5763.0)</f>
        <v>5763</v>
      </c>
      <c r="J4024" s="4">
        <f>IFERROR(__xludf.DUMMYFUNCTION("""COMPUTED_VALUE"""),3378.0)</f>
        <v>3378</v>
      </c>
      <c r="K4024" s="4">
        <f>IFERROR(__xludf.DUMMYFUNCTION("""COMPUTED_VALUE"""),1002.0)</f>
        <v>1002</v>
      </c>
      <c r="L4024" s="4">
        <f>IFERROR(__xludf.DUMMYFUNCTION("""COMPUTED_VALUE"""),0.564)</f>
        <v>0.564</v>
      </c>
      <c r="M4024" s="4">
        <f>IFERROR(__xludf.DUMMYFUNCTION("""COMPUTED_VALUE"""),0.158)</f>
        <v>0.158</v>
      </c>
      <c r="N4024" s="4">
        <f>IFERROR(__xludf.DUMMYFUNCTION("""COMPUTED_VALUE"""),0.718)</f>
        <v>0.718</v>
      </c>
      <c r="O4024" s="4">
        <f>IFERROR(__xludf.DUMMYFUNCTION("""COMPUTED_VALUE"""),33.4)</f>
        <v>33.4</v>
      </c>
      <c r="P4024" s="4">
        <f>IFERROR(__xludf.DUMMYFUNCTION("""COMPUTED_VALUE"""),17.4)</f>
        <v>17.4</v>
      </c>
      <c r="Q4024" s="4">
        <f>IFERROR(__xludf.DUMMYFUNCTION("""COMPUTED_VALUE"""),10.2)</f>
        <v>10.2</v>
      </c>
      <c r="R4024" s="4">
        <f>IFERROR(__xludf.DUMMYFUNCTION("""COMPUTED_VALUE"""),3.0)</f>
        <v>3</v>
      </c>
      <c r="S4024" s="4">
        <f>IFERROR(__xludf.DUMMYFUNCTION("""COMPUTED_VALUE"""),34.3)</f>
        <v>34.3</v>
      </c>
      <c r="T4024" s="4">
        <f>IFERROR(__xludf.DUMMYFUNCTION("""COMPUTED_VALUE"""),0.149)</f>
        <v>0.149</v>
      </c>
      <c r="U4024" s="4">
        <f>IFERROR(__xludf.DUMMYFUNCTION("""COMPUTED_VALUE"""),2.1)</f>
        <v>2.1</v>
      </c>
      <c r="V4024" s="4">
        <f>IFERROR(__xludf.DUMMYFUNCTION("""COMPUTED_VALUE"""),11.5)</f>
        <v>11.5</v>
      </c>
    </row>
    <row r="4025">
      <c r="A4025" s="4">
        <f>IFERROR(__xludf.DUMMYFUNCTION("""COMPUTED_VALUE"""),26.0)</f>
        <v>26</v>
      </c>
      <c r="B4025" s="4">
        <f>IFERROR(__xludf.DUMMYFUNCTION("""COMPUTED_VALUE"""),26.0)</f>
        <v>26</v>
      </c>
      <c r="C4025" s="4" t="str">
        <f>IFERROR(__xludf.DUMMYFUNCTION("""COMPUTED_VALUE"""),"CHI")</f>
        <v>CHI</v>
      </c>
      <c r="D4025" s="4" t="str">
        <f>IFERROR(__xludf.DUMMYFUNCTION("""COMPUTED_VALUE"""),"Sam Worthen")</f>
        <v>Sam Worthen</v>
      </c>
      <c r="E4025" s="4" t="str">
        <f>IFERROR(__xludf.DUMMYFUNCTION("""COMPUTED_VALUE"""),"Marquette")</f>
        <v>Marquette</v>
      </c>
      <c r="F4025" s="4">
        <f>IFERROR(__xludf.DUMMYFUNCTION("""COMPUTED_VALUE"""),2.0)</f>
        <v>2</v>
      </c>
      <c r="G4025" s="4">
        <f>IFERROR(__xludf.DUMMYFUNCTION("""COMPUTED_VALUE"""),69.0)</f>
        <v>69</v>
      </c>
      <c r="H4025" s="4">
        <f>IFERROR(__xludf.DUMMYFUNCTION("""COMPUTED_VALUE"""),967.0)</f>
        <v>967</v>
      </c>
      <c r="I4025" s="4">
        <f>IFERROR(__xludf.DUMMYFUNCTION("""COMPUTED_VALUE"""),239.0)</f>
        <v>239</v>
      </c>
      <c r="J4025" s="4">
        <f>IFERROR(__xludf.DUMMYFUNCTION("""COMPUTED_VALUE"""),116.0)</f>
        <v>116</v>
      </c>
      <c r="K4025" s="4">
        <f>IFERROR(__xludf.DUMMYFUNCTION("""COMPUTED_VALUE"""),118.0)</f>
        <v>118</v>
      </c>
      <c r="L4025" s="4">
        <f>IFERROR(__xludf.DUMMYFUNCTION("""COMPUTED_VALUE"""),0.492)</f>
        <v>0.492</v>
      </c>
      <c r="M4025" s="4">
        <f>IFERROR(__xludf.DUMMYFUNCTION("""COMPUTED_VALUE"""),0.0)</f>
        <v>0</v>
      </c>
      <c r="N4025" s="4">
        <f>IFERROR(__xludf.DUMMYFUNCTION("""COMPUTED_VALUE"""),0.75)</f>
        <v>0.75</v>
      </c>
      <c r="O4025" s="4">
        <f>IFERROR(__xludf.DUMMYFUNCTION("""COMPUTED_VALUE"""),14.0)</f>
        <v>14</v>
      </c>
      <c r="P4025" s="4">
        <f>IFERROR(__xludf.DUMMYFUNCTION("""COMPUTED_VALUE"""),3.5)</f>
        <v>3.5</v>
      </c>
      <c r="Q4025" s="4">
        <f>IFERROR(__xludf.DUMMYFUNCTION("""COMPUTED_VALUE"""),1.7)</f>
        <v>1.7</v>
      </c>
      <c r="R4025" s="4">
        <f>IFERROR(__xludf.DUMMYFUNCTION("""COMPUTED_VALUE"""),1.7)</f>
        <v>1.7</v>
      </c>
      <c r="S4025" s="4">
        <f>IFERROR(__xludf.DUMMYFUNCTION("""COMPUTED_VALUE"""),0.7)</f>
        <v>0.7</v>
      </c>
      <c r="T4025" s="4">
        <f>IFERROR(__xludf.DUMMYFUNCTION("""COMPUTED_VALUE"""),0.032)</f>
        <v>0.032</v>
      </c>
      <c r="U4025" s="4">
        <f>IFERROR(__xludf.DUMMYFUNCTION("""COMPUTED_VALUE"""),-2.0)</f>
        <v>-2</v>
      </c>
      <c r="V4025" s="4">
        <f>IFERROR(__xludf.DUMMYFUNCTION("""COMPUTED_VALUE"""),0.0)</f>
        <v>0</v>
      </c>
    </row>
    <row r="4026">
      <c r="A4026" s="4">
        <f>IFERROR(__xludf.DUMMYFUNCTION("""COMPUTED_VALUE"""),27.0)</f>
        <v>27</v>
      </c>
      <c r="B4026" s="4">
        <f>IFERROR(__xludf.DUMMYFUNCTION("""COMPUTED_VALUE"""),27.0)</f>
        <v>27</v>
      </c>
      <c r="C4026" s="4" t="str">
        <f>IFERROR(__xludf.DUMMYFUNCTION("""COMPUTED_VALUE"""),"HOU")</f>
        <v>HOU</v>
      </c>
      <c r="D4026" s="4" t="str">
        <f>IFERROR(__xludf.DUMMYFUNCTION("""COMPUTED_VALUE"""),"John Stroud")</f>
        <v>John Stroud</v>
      </c>
      <c r="E4026" s="4" t="str">
        <f>IFERROR(__xludf.DUMMYFUNCTION("""COMPUTED_VALUE"""),"Ole Miss")</f>
        <v>Ole Miss</v>
      </c>
      <c r="F4026" s="4">
        <f>IFERROR(__xludf.DUMMYFUNCTION("""COMPUTED_VALUE"""),1.0)</f>
        <v>1</v>
      </c>
      <c r="G4026" s="4">
        <f>IFERROR(__xludf.DUMMYFUNCTION("""COMPUTED_VALUE"""),9.0)</f>
        <v>9</v>
      </c>
      <c r="H4026" s="4">
        <f>IFERROR(__xludf.DUMMYFUNCTION("""COMPUTED_VALUE"""),88.0)</f>
        <v>88</v>
      </c>
      <c r="I4026" s="4">
        <f>IFERROR(__xludf.DUMMYFUNCTION("""COMPUTED_VALUE"""),25.0)</f>
        <v>25</v>
      </c>
      <c r="J4026" s="4">
        <f>IFERROR(__xludf.DUMMYFUNCTION("""COMPUTED_VALUE"""),13.0)</f>
        <v>13</v>
      </c>
      <c r="K4026" s="4">
        <f>IFERROR(__xludf.DUMMYFUNCTION("""COMPUTED_VALUE"""),9.0)</f>
        <v>9</v>
      </c>
      <c r="L4026" s="4">
        <f>IFERROR(__xludf.DUMMYFUNCTION("""COMPUTED_VALUE"""),0.324)</f>
        <v>0.324</v>
      </c>
      <c r="M4026" s="4"/>
      <c r="N4026" s="4">
        <f>IFERROR(__xludf.DUMMYFUNCTION("""COMPUTED_VALUE"""),0.75)</f>
        <v>0.75</v>
      </c>
      <c r="O4026" s="4">
        <f>IFERROR(__xludf.DUMMYFUNCTION("""COMPUTED_VALUE"""),9.8)</f>
        <v>9.8</v>
      </c>
      <c r="P4026" s="4">
        <f>IFERROR(__xludf.DUMMYFUNCTION("""COMPUTED_VALUE"""),2.8)</f>
        <v>2.8</v>
      </c>
      <c r="Q4026" s="4">
        <f>IFERROR(__xludf.DUMMYFUNCTION("""COMPUTED_VALUE"""),1.4)</f>
        <v>1.4</v>
      </c>
      <c r="R4026" s="4">
        <f>IFERROR(__xludf.DUMMYFUNCTION("""COMPUTED_VALUE"""),1.0)</f>
        <v>1</v>
      </c>
      <c r="S4026" s="4">
        <f>IFERROR(__xludf.DUMMYFUNCTION("""COMPUTED_VALUE"""),-0.1)</f>
        <v>-0.1</v>
      </c>
      <c r="T4026" s="4">
        <f>IFERROR(__xludf.DUMMYFUNCTION("""COMPUTED_VALUE"""),-0.036)</f>
        <v>-0.036</v>
      </c>
      <c r="U4026" s="4">
        <f>IFERROR(__xludf.DUMMYFUNCTION("""COMPUTED_VALUE"""),-4.6)</f>
        <v>-4.6</v>
      </c>
      <c r="V4026" s="4">
        <f>IFERROR(__xludf.DUMMYFUNCTION("""COMPUTED_VALUE"""),-0.1)</f>
        <v>-0.1</v>
      </c>
    </row>
    <row r="4027">
      <c r="A4027" s="4">
        <f>IFERROR(__xludf.DUMMYFUNCTION("""COMPUTED_VALUE"""),28.0)</f>
        <v>28</v>
      </c>
      <c r="B4027" s="4">
        <f>IFERROR(__xludf.DUMMYFUNCTION("""COMPUTED_VALUE"""),28.0)</f>
        <v>28</v>
      </c>
      <c r="C4027" s="4" t="str">
        <f>IFERROR(__xludf.DUMMYFUNCTION("""COMPUTED_VALUE"""),"ATL")</f>
        <v>ATL</v>
      </c>
      <c r="D4027" s="4" t="str">
        <f>IFERROR(__xludf.DUMMYFUNCTION("""COMPUTED_VALUE"""),"Craig Shelton")</f>
        <v>Craig Shelton</v>
      </c>
      <c r="E4027" s="4" t="str">
        <f>IFERROR(__xludf.DUMMYFUNCTION("""COMPUTED_VALUE"""),"Georgetown")</f>
        <v>Georgetown</v>
      </c>
      <c r="F4027" s="4">
        <f>IFERROR(__xludf.DUMMYFUNCTION("""COMPUTED_VALUE"""),2.0)</f>
        <v>2</v>
      </c>
      <c r="G4027" s="4">
        <f>IFERROR(__xludf.DUMMYFUNCTION("""COMPUTED_VALUE"""),59.0)</f>
        <v>59</v>
      </c>
      <c r="H4027" s="4">
        <f>IFERROR(__xludf.DUMMYFUNCTION("""COMPUTED_VALUE"""),607.0)</f>
        <v>607</v>
      </c>
      <c r="I4027" s="4">
        <f>IFERROR(__xludf.DUMMYFUNCTION("""COMPUTED_VALUE"""),240.0)</f>
        <v>240</v>
      </c>
      <c r="J4027" s="4">
        <f>IFERROR(__xludf.DUMMYFUNCTION("""COMPUTED_VALUE"""),141.0)</f>
        <v>141</v>
      </c>
      <c r="K4027" s="4">
        <f>IFERROR(__xludf.DUMMYFUNCTION("""COMPUTED_VALUE"""),27.0)</f>
        <v>27</v>
      </c>
      <c r="L4027" s="4">
        <f>IFERROR(__xludf.DUMMYFUNCTION("""COMPUTED_VALUE"""),0.453)</f>
        <v>0.453</v>
      </c>
      <c r="M4027" s="4">
        <f>IFERROR(__xludf.DUMMYFUNCTION("""COMPUTED_VALUE"""),0.0)</f>
        <v>0</v>
      </c>
      <c r="N4027" s="4">
        <f>IFERROR(__xludf.DUMMYFUNCTION("""COMPUTED_VALUE"""),0.6)</f>
        <v>0.6</v>
      </c>
      <c r="O4027" s="4">
        <f>IFERROR(__xludf.DUMMYFUNCTION("""COMPUTED_VALUE"""),10.3)</f>
        <v>10.3</v>
      </c>
      <c r="P4027" s="4">
        <f>IFERROR(__xludf.DUMMYFUNCTION("""COMPUTED_VALUE"""),4.1)</f>
        <v>4.1</v>
      </c>
      <c r="Q4027" s="4">
        <f>IFERROR(__xludf.DUMMYFUNCTION("""COMPUTED_VALUE"""),2.4)</f>
        <v>2.4</v>
      </c>
      <c r="R4027" s="4">
        <f>IFERROR(__xludf.DUMMYFUNCTION("""COMPUTED_VALUE"""),0.5)</f>
        <v>0.5</v>
      </c>
      <c r="S4027" s="4">
        <f>IFERROR(__xludf.DUMMYFUNCTION("""COMPUTED_VALUE"""),0.0)</f>
        <v>0</v>
      </c>
      <c r="T4027" s="4">
        <f>IFERROR(__xludf.DUMMYFUNCTION("""COMPUTED_VALUE"""),-0.001)</f>
        <v>-0.001</v>
      </c>
      <c r="U4027" s="4">
        <f>IFERROR(__xludf.DUMMYFUNCTION("""COMPUTED_VALUE"""),-6.4)</f>
        <v>-6.4</v>
      </c>
      <c r="V4027" s="4">
        <f>IFERROR(__xludf.DUMMYFUNCTION("""COMPUTED_VALUE"""),-0.7)</f>
        <v>-0.7</v>
      </c>
    </row>
    <row r="4028">
      <c r="A4028" s="4">
        <f>IFERROR(__xludf.DUMMYFUNCTION("""COMPUTED_VALUE"""),29.0)</f>
        <v>29</v>
      </c>
      <c r="B4028" s="4">
        <f>IFERROR(__xludf.DUMMYFUNCTION("""COMPUTED_VALUE"""),29.0)</f>
        <v>29</v>
      </c>
      <c r="C4028" s="4" t="str">
        <f>IFERROR(__xludf.DUMMYFUNCTION("""COMPUTED_VALUE"""),"IND")</f>
        <v>IND</v>
      </c>
      <c r="D4028" s="4" t="str">
        <f>IFERROR(__xludf.DUMMYFUNCTION("""COMPUTED_VALUE"""),"Louis Orr")</f>
        <v>Louis Orr</v>
      </c>
      <c r="E4028" s="4" t="str">
        <f>IFERROR(__xludf.DUMMYFUNCTION("""COMPUTED_VALUE"""),"Syracuse")</f>
        <v>Syracuse</v>
      </c>
      <c r="F4028" s="4">
        <f>IFERROR(__xludf.DUMMYFUNCTION("""COMPUTED_VALUE"""),8.0)</f>
        <v>8</v>
      </c>
      <c r="G4028" s="4">
        <f>IFERROR(__xludf.DUMMYFUNCTION("""COMPUTED_VALUE"""),569.0)</f>
        <v>569</v>
      </c>
      <c r="H4028" s="4">
        <f>IFERROR(__xludf.DUMMYFUNCTION("""COMPUTED_VALUE"""),13353.0)</f>
        <v>13353</v>
      </c>
      <c r="I4028" s="4">
        <f>IFERROR(__xludf.DUMMYFUNCTION("""COMPUTED_VALUE"""),5545.0)</f>
        <v>5545</v>
      </c>
      <c r="J4028" s="4">
        <f>IFERROR(__xludf.DUMMYFUNCTION("""COMPUTED_VALUE"""),2117.0)</f>
        <v>2117</v>
      </c>
      <c r="K4028" s="4">
        <f>IFERROR(__xludf.DUMMYFUNCTION("""COMPUTED_VALUE"""),853.0)</f>
        <v>853</v>
      </c>
      <c r="L4028" s="4">
        <f>IFERROR(__xludf.DUMMYFUNCTION("""COMPUTED_VALUE"""),0.468)</f>
        <v>0.468</v>
      </c>
      <c r="M4028" s="4">
        <f>IFERROR(__xludf.DUMMYFUNCTION("""COMPUTED_VALUE"""),0.083)</f>
        <v>0.083</v>
      </c>
      <c r="N4028" s="4">
        <f>IFERROR(__xludf.DUMMYFUNCTION("""COMPUTED_VALUE"""),0.787)</f>
        <v>0.787</v>
      </c>
      <c r="O4028" s="4">
        <f>IFERROR(__xludf.DUMMYFUNCTION("""COMPUTED_VALUE"""),23.5)</f>
        <v>23.5</v>
      </c>
      <c r="P4028" s="4">
        <f>IFERROR(__xludf.DUMMYFUNCTION("""COMPUTED_VALUE"""),9.7)</f>
        <v>9.7</v>
      </c>
      <c r="Q4028" s="4">
        <f>IFERROR(__xludf.DUMMYFUNCTION("""COMPUTED_VALUE"""),3.7)</f>
        <v>3.7</v>
      </c>
      <c r="R4028" s="4">
        <f>IFERROR(__xludf.DUMMYFUNCTION("""COMPUTED_VALUE"""),1.5)</f>
        <v>1.5</v>
      </c>
      <c r="S4028" s="4">
        <f>IFERROR(__xludf.DUMMYFUNCTION("""COMPUTED_VALUE"""),25.7)</f>
        <v>25.7</v>
      </c>
      <c r="T4028" s="4">
        <f>IFERROR(__xludf.DUMMYFUNCTION("""COMPUTED_VALUE"""),0.093)</f>
        <v>0.093</v>
      </c>
      <c r="U4028" s="4">
        <f>IFERROR(__xludf.DUMMYFUNCTION("""COMPUTED_VALUE"""),-0.4)</f>
        <v>-0.4</v>
      </c>
      <c r="V4028" s="4">
        <f>IFERROR(__xludf.DUMMYFUNCTION("""COMPUTED_VALUE"""),5.5)</f>
        <v>5.5</v>
      </c>
    </row>
    <row r="4029">
      <c r="A4029" s="4">
        <f>IFERROR(__xludf.DUMMYFUNCTION("""COMPUTED_VALUE"""),30.0)</f>
        <v>30</v>
      </c>
      <c r="B4029" s="4">
        <f>IFERROR(__xludf.DUMMYFUNCTION("""COMPUTED_VALUE"""),30.0)</f>
        <v>30</v>
      </c>
      <c r="C4029" s="4" t="str">
        <f>IFERROR(__xludf.DUMMYFUNCTION("""COMPUTED_VALUE"""),"IND")</f>
        <v>IND</v>
      </c>
      <c r="D4029" s="4" t="str">
        <f>IFERROR(__xludf.DUMMYFUNCTION("""COMPUTED_VALUE"""),"Kenny Natt")</f>
        <v>Kenny Natt</v>
      </c>
      <c r="E4029" s="4" t="str">
        <f>IFERROR(__xludf.DUMMYFUNCTION("""COMPUTED_VALUE"""),"Louisiana-Monroe")</f>
        <v>Louisiana-Monroe</v>
      </c>
      <c r="F4029" s="4">
        <f>IFERROR(__xludf.DUMMYFUNCTION("""COMPUTED_VALUE"""),3.0)</f>
        <v>3</v>
      </c>
      <c r="G4029" s="4">
        <f>IFERROR(__xludf.DUMMYFUNCTION("""COMPUTED_VALUE"""),49.0)</f>
        <v>49</v>
      </c>
      <c r="H4029" s="4">
        <f>IFERROR(__xludf.DUMMYFUNCTION("""COMPUTED_VALUE"""),388.0)</f>
        <v>388</v>
      </c>
      <c r="I4029" s="4">
        <f>IFERROR(__xludf.DUMMYFUNCTION("""COMPUTED_VALUE"""),150.0)</f>
        <v>150</v>
      </c>
      <c r="J4029" s="4">
        <f>IFERROR(__xludf.DUMMYFUNCTION("""COMPUTED_VALUE"""),40.0)</f>
        <v>40</v>
      </c>
      <c r="K4029" s="4">
        <f>IFERROR(__xludf.DUMMYFUNCTION("""COMPUTED_VALUE"""),41.0)</f>
        <v>41</v>
      </c>
      <c r="L4029" s="4">
        <f>IFERROR(__xludf.DUMMYFUNCTION("""COMPUTED_VALUE"""),0.417)</f>
        <v>0.417</v>
      </c>
      <c r="M4029" s="4">
        <f>IFERROR(__xludf.DUMMYFUNCTION("""COMPUTED_VALUE"""),0.2)</f>
        <v>0.2</v>
      </c>
      <c r="N4029" s="4">
        <f>IFERROR(__xludf.DUMMYFUNCTION("""COMPUTED_VALUE"""),0.621)</f>
        <v>0.621</v>
      </c>
      <c r="O4029" s="4">
        <f>IFERROR(__xludf.DUMMYFUNCTION("""COMPUTED_VALUE"""),7.9)</f>
        <v>7.9</v>
      </c>
      <c r="P4029" s="4">
        <f>IFERROR(__xludf.DUMMYFUNCTION("""COMPUTED_VALUE"""),3.1)</f>
        <v>3.1</v>
      </c>
      <c r="Q4029" s="4">
        <f>IFERROR(__xludf.DUMMYFUNCTION("""COMPUTED_VALUE"""),0.8)</f>
        <v>0.8</v>
      </c>
      <c r="R4029" s="4">
        <f>IFERROR(__xludf.DUMMYFUNCTION("""COMPUTED_VALUE"""),0.8)</f>
        <v>0.8</v>
      </c>
      <c r="S4029" s="4">
        <f>IFERROR(__xludf.DUMMYFUNCTION("""COMPUTED_VALUE"""),-0.2)</f>
        <v>-0.2</v>
      </c>
      <c r="T4029" s="4">
        <f>IFERROR(__xludf.DUMMYFUNCTION("""COMPUTED_VALUE"""),-0.026)</f>
        <v>-0.026</v>
      </c>
      <c r="U4029" s="4">
        <f>IFERROR(__xludf.DUMMYFUNCTION("""COMPUTED_VALUE"""),-5.6)</f>
        <v>-5.6</v>
      </c>
      <c r="V4029" s="4">
        <f>IFERROR(__xludf.DUMMYFUNCTION("""COMPUTED_VALUE"""),-0.5)</f>
        <v>-0.5</v>
      </c>
    </row>
    <row r="4030">
      <c r="A4030" s="4">
        <f>IFERROR(__xludf.DUMMYFUNCTION("""COMPUTED_VALUE"""),31.0)</f>
        <v>31</v>
      </c>
      <c r="B4030" s="4">
        <f>IFERROR(__xludf.DUMMYFUNCTION("""COMPUTED_VALUE"""),31.0)</f>
        <v>31</v>
      </c>
      <c r="C4030" s="4" t="str">
        <f>IFERROR(__xludf.DUMMYFUNCTION("""COMPUTED_VALUE"""),"LAL")</f>
        <v>LAL</v>
      </c>
      <c r="D4030" s="4" t="str">
        <f>IFERROR(__xludf.DUMMYFUNCTION("""COMPUTED_VALUE"""),"Wayne Robinson")</f>
        <v>Wayne Robinson</v>
      </c>
      <c r="E4030" s="4" t="str">
        <f>IFERROR(__xludf.DUMMYFUNCTION("""COMPUTED_VALUE"""),"Virginia Tech")</f>
        <v>Virginia Tech</v>
      </c>
      <c r="F4030" s="4">
        <f>IFERROR(__xludf.DUMMYFUNCTION("""COMPUTED_VALUE"""),1.0)</f>
        <v>1</v>
      </c>
      <c r="G4030" s="4">
        <f>IFERROR(__xludf.DUMMYFUNCTION("""COMPUTED_VALUE"""),81.0)</f>
        <v>81</v>
      </c>
      <c r="H4030" s="4">
        <f>IFERROR(__xludf.DUMMYFUNCTION("""COMPUTED_VALUE"""),1592.0)</f>
        <v>1592</v>
      </c>
      <c r="I4030" s="4">
        <f>IFERROR(__xludf.DUMMYFUNCTION("""COMPUTED_VALUE"""),643.0)</f>
        <v>643</v>
      </c>
      <c r="J4030" s="4">
        <f>IFERROR(__xludf.DUMMYFUNCTION("""COMPUTED_VALUE"""),294.0)</f>
        <v>294</v>
      </c>
      <c r="K4030" s="4">
        <f>IFERROR(__xludf.DUMMYFUNCTION("""COMPUTED_VALUE"""),112.0)</f>
        <v>112</v>
      </c>
      <c r="L4030" s="4">
        <f>IFERROR(__xludf.DUMMYFUNCTION("""COMPUTED_VALUE"""),0.46)</f>
        <v>0.46</v>
      </c>
      <c r="M4030" s="4">
        <f>IFERROR(__xludf.DUMMYFUNCTION("""COMPUTED_VALUE"""),0.0)</f>
        <v>0</v>
      </c>
      <c r="N4030" s="4">
        <f>IFERROR(__xludf.DUMMYFUNCTION("""COMPUTED_VALUE"""),0.729)</f>
        <v>0.729</v>
      </c>
      <c r="O4030" s="4">
        <f>IFERROR(__xludf.DUMMYFUNCTION("""COMPUTED_VALUE"""),19.7)</f>
        <v>19.7</v>
      </c>
      <c r="P4030" s="4">
        <f>IFERROR(__xludf.DUMMYFUNCTION("""COMPUTED_VALUE"""),7.9)</f>
        <v>7.9</v>
      </c>
      <c r="Q4030" s="4">
        <f>IFERROR(__xludf.DUMMYFUNCTION("""COMPUTED_VALUE"""),3.6)</f>
        <v>3.6</v>
      </c>
      <c r="R4030" s="4">
        <f>IFERROR(__xludf.DUMMYFUNCTION("""COMPUTED_VALUE"""),1.4)</f>
        <v>1.4</v>
      </c>
      <c r="S4030" s="4">
        <f>IFERROR(__xludf.DUMMYFUNCTION("""COMPUTED_VALUE"""),1.7)</f>
        <v>1.7</v>
      </c>
      <c r="T4030" s="4">
        <f>IFERROR(__xludf.DUMMYFUNCTION("""COMPUTED_VALUE"""),0.052)</f>
        <v>0.052</v>
      </c>
      <c r="U4030" s="4">
        <f>IFERROR(__xludf.DUMMYFUNCTION("""COMPUTED_VALUE"""),-2.7)</f>
        <v>-2.7</v>
      </c>
      <c r="V4030" s="4">
        <f>IFERROR(__xludf.DUMMYFUNCTION("""COMPUTED_VALUE"""),-0.3)</f>
        <v>-0.3</v>
      </c>
    </row>
    <row r="4031">
      <c r="A4031" s="4">
        <f>IFERROR(__xludf.DUMMYFUNCTION("""COMPUTED_VALUE"""),32.0)</f>
        <v>32</v>
      </c>
      <c r="B4031" s="4">
        <f>IFERROR(__xludf.DUMMYFUNCTION("""COMPUTED_VALUE"""),32.0)</f>
        <v>32</v>
      </c>
      <c r="C4031" s="4" t="str">
        <f>IFERROR(__xludf.DUMMYFUNCTION("""COMPUTED_VALUE"""),"POR")</f>
        <v>POR</v>
      </c>
      <c r="D4031" s="4" t="str">
        <f>IFERROR(__xludf.DUMMYFUNCTION("""COMPUTED_VALUE"""),"David Lawrence")</f>
        <v>David Lawrence</v>
      </c>
      <c r="E4031" s="4" t="str">
        <f>IFERROR(__xludf.DUMMYFUNCTION("""COMPUTED_VALUE"""),"McNeese State University")</f>
        <v>McNeese State University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</row>
    <row r="4032">
      <c r="A4032" s="4">
        <f>IFERROR(__xludf.DUMMYFUNCTION("""COMPUTED_VALUE"""),33.0)</f>
        <v>33</v>
      </c>
      <c r="B4032" s="4">
        <f>IFERROR(__xludf.DUMMYFUNCTION("""COMPUTED_VALUE"""),33.0)</f>
        <v>33</v>
      </c>
      <c r="C4032" s="4" t="str">
        <f>IFERROR(__xludf.DUMMYFUNCTION("""COMPUTED_VALUE"""),"POR")</f>
        <v>POR</v>
      </c>
      <c r="D4032" s="4" t="str">
        <f>IFERROR(__xludf.DUMMYFUNCTION("""COMPUTED_VALUE"""),"Bruce Collins")</f>
        <v>Bruce Collins</v>
      </c>
      <c r="E4032" s="4" t="str">
        <f>IFERROR(__xludf.DUMMYFUNCTION("""COMPUTED_VALUE"""),"Weber State")</f>
        <v>Weber State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</row>
    <row r="4033">
      <c r="A4033" s="4">
        <f>IFERROR(__xludf.DUMMYFUNCTION("""COMPUTED_VALUE"""),34.0)</f>
        <v>34</v>
      </c>
      <c r="B4033" s="4">
        <f>IFERROR(__xludf.DUMMYFUNCTION("""COMPUTED_VALUE"""),34.0)</f>
        <v>34</v>
      </c>
      <c r="C4033" s="4" t="str">
        <f>IFERROR(__xludf.DUMMYFUNCTION("""COMPUTED_VALUE"""),"DAL")</f>
        <v>DAL</v>
      </c>
      <c r="D4033" s="4" t="str">
        <f>IFERROR(__xludf.DUMMYFUNCTION("""COMPUTED_VALUE"""),"Roosevelt Bouie")</f>
        <v>Roosevelt Bouie</v>
      </c>
      <c r="E4033" s="4" t="str">
        <f>IFERROR(__xludf.DUMMYFUNCTION("""COMPUTED_VALUE"""),"Syracuse")</f>
        <v>Syracuse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</row>
    <row r="4034">
      <c r="A4034" s="4">
        <f>IFERROR(__xludf.DUMMYFUNCTION("""COMPUTED_VALUE"""),35.0)</f>
        <v>35</v>
      </c>
      <c r="B4034" s="4">
        <f>IFERROR(__xludf.DUMMYFUNCTION("""COMPUTED_VALUE"""),35.0)</f>
        <v>35</v>
      </c>
      <c r="C4034" s="4" t="str">
        <f>IFERROR(__xludf.DUMMYFUNCTION("""COMPUTED_VALUE"""),"WSB")</f>
        <v>WSB</v>
      </c>
      <c r="D4034" s="4" t="str">
        <f>IFERROR(__xludf.DUMMYFUNCTION("""COMPUTED_VALUE"""),"Rick Mahorn")</f>
        <v>Rick Mahorn</v>
      </c>
      <c r="E4034" s="4" t="str">
        <f>IFERROR(__xludf.DUMMYFUNCTION("""COMPUTED_VALUE"""),"Hampton")</f>
        <v>Hampton</v>
      </c>
      <c r="F4034" s="4">
        <f>IFERROR(__xludf.DUMMYFUNCTION("""COMPUTED_VALUE"""),18.0)</f>
        <v>18</v>
      </c>
      <c r="G4034" s="4">
        <f>IFERROR(__xludf.DUMMYFUNCTION("""COMPUTED_VALUE"""),1117.0)</f>
        <v>1117</v>
      </c>
      <c r="H4034" s="4">
        <f>IFERROR(__xludf.DUMMYFUNCTION("""COMPUTED_VALUE"""),25779.0)</f>
        <v>25779</v>
      </c>
      <c r="I4034" s="4">
        <f>IFERROR(__xludf.DUMMYFUNCTION("""COMPUTED_VALUE"""),7763.0)</f>
        <v>7763</v>
      </c>
      <c r="J4034" s="4">
        <f>IFERROR(__xludf.DUMMYFUNCTION("""COMPUTED_VALUE"""),6957.0)</f>
        <v>6957</v>
      </c>
      <c r="K4034" s="4">
        <f>IFERROR(__xludf.DUMMYFUNCTION("""COMPUTED_VALUE"""),1082.0)</f>
        <v>1082</v>
      </c>
      <c r="L4034" s="4">
        <f>IFERROR(__xludf.DUMMYFUNCTION("""COMPUTED_VALUE"""),0.493)</f>
        <v>0.493</v>
      </c>
      <c r="M4034" s="4">
        <f>IFERROR(__xludf.DUMMYFUNCTION("""COMPUTED_VALUE"""),0.132)</f>
        <v>0.132</v>
      </c>
      <c r="N4034" s="4">
        <f>IFERROR(__xludf.DUMMYFUNCTION("""COMPUTED_VALUE"""),0.704)</f>
        <v>0.704</v>
      </c>
      <c r="O4034" s="4">
        <f>IFERROR(__xludf.DUMMYFUNCTION("""COMPUTED_VALUE"""),23.1)</f>
        <v>23.1</v>
      </c>
      <c r="P4034" s="4">
        <f>IFERROR(__xludf.DUMMYFUNCTION("""COMPUTED_VALUE"""),6.9)</f>
        <v>6.9</v>
      </c>
      <c r="Q4034" s="4">
        <f>IFERROR(__xludf.DUMMYFUNCTION("""COMPUTED_VALUE"""),6.2)</f>
        <v>6.2</v>
      </c>
      <c r="R4034" s="4">
        <f>IFERROR(__xludf.DUMMYFUNCTION("""COMPUTED_VALUE"""),1.0)</f>
        <v>1</v>
      </c>
      <c r="S4034" s="4">
        <f>IFERROR(__xludf.DUMMYFUNCTION("""COMPUTED_VALUE"""),51.7)</f>
        <v>51.7</v>
      </c>
      <c r="T4034" s="4">
        <f>IFERROR(__xludf.DUMMYFUNCTION("""COMPUTED_VALUE"""),0.096)</f>
        <v>0.096</v>
      </c>
      <c r="U4034" s="4">
        <f>IFERROR(__xludf.DUMMYFUNCTION("""COMPUTED_VALUE"""),-1.3)</f>
        <v>-1.3</v>
      </c>
      <c r="V4034" s="4">
        <f>IFERROR(__xludf.DUMMYFUNCTION("""COMPUTED_VALUE"""),4.5)</f>
        <v>4.5</v>
      </c>
    </row>
    <row r="4035">
      <c r="A4035" s="4">
        <f>IFERROR(__xludf.DUMMYFUNCTION("""COMPUTED_VALUE"""),36.0)</f>
        <v>36</v>
      </c>
      <c r="B4035" s="4">
        <f>IFERROR(__xludf.DUMMYFUNCTION("""COMPUTED_VALUE"""),36.0)</f>
        <v>36</v>
      </c>
      <c r="C4035" s="4" t="str">
        <f>IFERROR(__xludf.DUMMYFUNCTION("""COMPUTED_VALUE"""),"NYK")</f>
        <v>NYK</v>
      </c>
      <c r="D4035" s="4" t="str">
        <f>IFERROR(__xludf.DUMMYFUNCTION("""COMPUTED_VALUE"""),"DeWayne Scales")</f>
        <v>DeWayne Scales</v>
      </c>
      <c r="E4035" s="4" t="str">
        <f>IFERROR(__xludf.DUMMYFUNCTION("""COMPUTED_VALUE"""),"LSU")</f>
        <v>LSU</v>
      </c>
      <c r="F4035" s="4">
        <f>IFERROR(__xludf.DUMMYFUNCTION("""COMPUTED_VALUE"""),3.0)</f>
        <v>3</v>
      </c>
      <c r="G4035" s="4">
        <f>IFERROR(__xludf.DUMMYFUNCTION("""COMPUTED_VALUE"""),49.0)</f>
        <v>49</v>
      </c>
      <c r="H4035" s="4">
        <f>IFERROR(__xludf.DUMMYFUNCTION("""COMPUTED_VALUE"""),521.0)</f>
        <v>521</v>
      </c>
      <c r="I4035" s="4">
        <f>IFERROR(__xludf.DUMMYFUNCTION("""COMPUTED_VALUE"""),224.0)</f>
        <v>224</v>
      </c>
      <c r="J4035" s="4">
        <f>IFERROR(__xludf.DUMMYFUNCTION("""COMPUTED_VALUE"""),140.0)</f>
        <v>140</v>
      </c>
      <c r="K4035" s="4">
        <f>IFERROR(__xludf.DUMMYFUNCTION("""COMPUTED_VALUE"""),10.0)</f>
        <v>10</v>
      </c>
      <c r="L4035" s="4">
        <f>IFERROR(__xludf.DUMMYFUNCTION("""COMPUTED_VALUE"""),0.417)</f>
        <v>0.417</v>
      </c>
      <c r="M4035" s="4">
        <f>IFERROR(__xludf.DUMMYFUNCTION("""COMPUTED_VALUE"""),0.167)</f>
        <v>0.167</v>
      </c>
      <c r="N4035" s="4">
        <f>IFERROR(__xludf.DUMMYFUNCTION("""COMPUTED_VALUE"""),0.628)</f>
        <v>0.628</v>
      </c>
      <c r="O4035" s="4">
        <f>IFERROR(__xludf.DUMMYFUNCTION("""COMPUTED_VALUE"""),10.6)</f>
        <v>10.6</v>
      </c>
      <c r="P4035" s="4">
        <f>IFERROR(__xludf.DUMMYFUNCTION("""COMPUTED_VALUE"""),4.6)</f>
        <v>4.6</v>
      </c>
      <c r="Q4035" s="4">
        <f>IFERROR(__xludf.DUMMYFUNCTION("""COMPUTED_VALUE"""),2.9)</f>
        <v>2.9</v>
      </c>
      <c r="R4035" s="4">
        <f>IFERROR(__xludf.DUMMYFUNCTION("""COMPUTED_VALUE"""),0.2)</f>
        <v>0.2</v>
      </c>
      <c r="S4035" s="4">
        <f>IFERROR(__xludf.DUMMYFUNCTION("""COMPUTED_VALUE"""),0.2)</f>
        <v>0.2</v>
      </c>
      <c r="T4035" s="4">
        <f>IFERROR(__xludf.DUMMYFUNCTION("""COMPUTED_VALUE"""),0.017)</f>
        <v>0.017</v>
      </c>
      <c r="U4035" s="4">
        <f>IFERROR(__xludf.DUMMYFUNCTION("""COMPUTED_VALUE"""),-5.5)</f>
        <v>-5.5</v>
      </c>
      <c r="V4035" s="4">
        <f>IFERROR(__xludf.DUMMYFUNCTION("""COMPUTED_VALUE"""),-0.5)</f>
        <v>-0.5</v>
      </c>
    </row>
    <row r="4036">
      <c r="A4036" s="4">
        <f>IFERROR(__xludf.DUMMYFUNCTION("""COMPUTED_VALUE"""),37.0)</f>
        <v>37</v>
      </c>
      <c r="B4036" s="4">
        <f>IFERROR(__xludf.DUMMYFUNCTION("""COMPUTED_VALUE"""),37.0)</f>
        <v>37</v>
      </c>
      <c r="C4036" s="4" t="str">
        <f>IFERROR(__xludf.DUMMYFUNCTION("""COMPUTED_VALUE"""),"LAL")</f>
        <v>LAL</v>
      </c>
      <c r="D4036" s="4" t="str">
        <f>IFERROR(__xludf.DUMMYFUNCTION("""COMPUTED_VALUE"""),"Butch Carter")</f>
        <v>Butch Carter</v>
      </c>
      <c r="E4036" s="4" t="str">
        <f>IFERROR(__xludf.DUMMYFUNCTION("""COMPUTED_VALUE"""),"Indiana")</f>
        <v>Indiana</v>
      </c>
      <c r="F4036" s="4">
        <f>IFERROR(__xludf.DUMMYFUNCTION("""COMPUTED_VALUE"""),6.0)</f>
        <v>6</v>
      </c>
      <c r="G4036" s="4">
        <f>IFERROR(__xludf.DUMMYFUNCTION("""COMPUTED_VALUE"""),361.0)</f>
        <v>361</v>
      </c>
      <c r="H4036" s="4">
        <f>IFERROR(__xludf.DUMMYFUNCTION("""COMPUTED_VALUE"""),6814.0)</f>
        <v>6814</v>
      </c>
      <c r="I4036" s="4">
        <f>IFERROR(__xludf.DUMMYFUNCTION("""COMPUTED_VALUE"""),3137.0)</f>
        <v>3137</v>
      </c>
      <c r="J4036" s="4">
        <f>IFERROR(__xludf.DUMMYFUNCTION("""COMPUTED_VALUE"""),546.0)</f>
        <v>546</v>
      </c>
      <c r="K4036" s="4">
        <f>IFERROR(__xludf.DUMMYFUNCTION("""COMPUTED_VALUE"""),683.0)</f>
        <v>683</v>
      </c>
      <c r="L4036" s="4">
        <f>IFERROR(__xludf.DUMMYFUNCTION("""COMPUTED_VALUE"""),0.475)</f>
        <v>0.475</v>
      </c>
      <c r="M4036" s="4">
        <f>IFERROR(__xludf.DUMMYFUNCTION("""COMPUTED_VALUE"""),0.307)</f>
        <v>0.307</v>
      </c>
      <c r="N4036" s="4">
        <f>IFERROR(__xludf.DUMMYFUNCTION("""COMPUTED_VALUE"""),0.788)</f>
        <v>0.788</v>
      </c>
      <c r="O4036" s="4">
        <f>IFERROR(__xludf.DUMMYFUNCTION("""COMPUTED_VALUE"""),18.9)</f>
        <v>18.9</v>
      </c>
      <c r="P4036" s="4">
        <f>IFERROR(__xludf.DUMMYFUNCTION("""COMPUTED_VALUE"""),8.7)</f>
        <v>8.7</v>
      </c>
      <c r="Q4036" s="4">
        <f>IFERROR(__xludf.DUMMYFUNCTION("""COMPUTED_VALUE"""),1.5)</f>
        <v>1.5</v>
      </c>
      <c r="R4036" s="4">
        <f>IFERROR(__xludf.DUMMYFUNCTION("""COMPUTED_VALUE"""),1.9)</f>
        <v>1.9</v>
      </c>
      <c r="S4036" s="4">
        <f>IFERROR(__xludf.DUMMYFUNCTION("""COMPUTED_VALUE"""),8.5)</f>
        <v>8.5</v>
      </c>
      <c r="T4036" s="4">
        <f>IFERROR(__xludf.DUMMYFUNCTION("""COMPUTED_VALUE"""),0.06)</f>
        <v>0.06</v>
      </c>
      <c r="U4036" s="4">
        <f>IFERROR(__xludf.DUMMYFUNCTION("""COMPUTED_VALUE"""),-2.0)</f>
        <v>-2</v>
      </c>
      <c r="V4036" s="4">
        <f>IFERROR(__xludf.DUMMYFUNCTION("""COMPUTED_VALUE"""),0.1)</f>
        <v>0.1</v>
      </c>
    </row>
    <row r="4037">
      <c r="A4037" s="4">
        <f>IFERROR(__xludf.DUMMYFUNCTION("""COMPUTED_VALUE"""),38.0)</f>
        <v>38</v>
      </c>
      <c r="B4037" s="4">
        <f>IFERROR(__xludf.DUMMYFUNCTION("""COMPUTED_VALUE"""),38.0)</f>
        <v>38</v>
      </c>
      <c r="C4037" s="4" t="str">
        <f>IFERROR(__xludf.DUMMYFUNCTION("""COMPUTED_VALUE"""),"HOU")</f>
        <v>HOU</v>
      </c>
      <c r="D4037" s="4" t="str">
        <f>IFERROR(__xludf.DUMMYFUNCTION("""COMPUTED_VALUE"""),"Terry Stotts")</f>
        <v>Terry Stotts</v>
      </c>
      <c r="E4037" s="4" t="str">
        <f>IFERROR(__xludf.DUMMYFUNCTION("""COMPUTED_VALUE"""),"Oklahoma")</f>
        <v>Oklahoma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</row>
    <row r="4038">
      <c r="A4038" s="4">
        <f>IFERROR(__xludf.DUMMYFUNCTION("""COMPUTED_VALUE"""),39.0)</f>
        <v>39</v>
      </c>
      <c r="B4038" s="4">
        <f>IFERROR(__xludf.DUMMYFUNCTION("""COMPUTED_VALUE"""),39.0)</f>
        <v>39</v>
      </c>
      <c r="C4038" s="4" t="str">
        <f>IFERROR(__xludf.DUMMYFUNCTION("""COMPUTED_VALUE"""),"SAS")</f>
        <v>SAS</v>
      </c>
      <c r="D4038" s="4" t="str">
        <f>IFERROR(__xludf.DUMMYFUNCTION("""COMPUTED_VALUE"""),"Michael Wiley")</f>
        <v>Michael Wiley</v>
      </c>
      <c r="E4038" s="4" t="str">
        <f>IFERROR(__xludf.DUMMYFUNCTION("""COMPUTED_VALUE"""),"Cal State Long Beach")</f>
        <v>Cal State Long Beach</v>
      </c>
      <c r="F4038" s="4">
        <f>IFERROR(__xludf.DUMMYFUNCTION("""COMPUTED_VALUE"""),2.0)</f>
        <v>2</v>
      </c>
      <c r="G4038" s="4">
        <f>IFERROR(__xludf.DUMMYFUNCTION("""COMPUTED_VALUE"""),94.0)</f>
        <v>94</v>
      </c>
      <c r="H4038" s="4">
        <f>IFERROR(__xludf.DUMMYFUNCTION("""COMPUTED_VALUE"""),1284.0)</f>
        <v>1284</v>
      </c>
      <c r="I4038" s="4">
        <f>IFERROR(__xludf.DUMMYFUNCTION("""COMPUTED_VALUE"""),692.0)</f>
        <v>692</v>
      </c>
      <c r="J4038" s="4">
        <f>IFERROR(__xludf.DUMMYFUNCTION("""COMPUTED_VALUE"""),246.0)</f>
        <v>246</v>
      </c>
      <c r="K4038" s="4">
        <f>IFERROR(__xludf.DUMMYFUNCTION("""COMPUTED_VALUE"""),63.0)</f>
        <v>63</v>
      </c>
      <c r="L4038" s="4">
        <f>IFERROR(__xludf.DUMMYFUNCTION("""COMPUTED_VALUE"""),0.561)</f>
        <v>0.561</v>
      </c>
      <c r="M4038" s="4">
        <f>IFERROR(__xludf.DUMMYFUNCTION("""COMPUTED_VALUE"""),0.0)</f>
        <v>0</v>
      </c>
      <c r="N4038" s="4">
        <f>IFERROR(__xludf.DUMMYFUNCTION("""COMPUTED_VALUE"""),0.709)</f>
        <v>0.709</v>
      </c>
      <c r="O4038" s="4">
        <f>IFERROR(__xludf.DUMMYFUNCTION("""COMPUTED_VALUE"""),13.7)</f>
        <v>13.7</v>
      </c>
      <c r="P4038" s="4">
        <f>IFERROR(__xludf.DUMMYFUNCTION("""COMPUTED_VALUE"""),7.4)</f>
        <v>7.4</v>
      </c>
      <c r="Q4038" s="4">
        <f>IFERROR(__xludf.DUMMYFUNCTION("""COMPUTED_VALUE"""),2.6)</f>
        <v>2.6</v>
      </c>
      <c r="R4038" s="4">
        <f>IFERROR(__xludf.DUMMYFUNCTION("""COMPUTED_VALUE"""),0.7)</f>
        <v>0.7</v>
      </c>
      <c r="S4038" s="4">
        <f>IFERROR(__xludf.DUMMYFUNCTION("""COMPUTED_VALUE"""),2.9)</f>
        <v>2.9</v>
      </c>
      <c r="T4038" s="4">
        <f>IFERROR(__xludf.DUMMYFUNCTION("""COMPUTED_VALUE"""),0.107)</f>
        <v>0.107</v>
      </c>
      <c r="U4038" s="4">
        <f>IFERROR(__xludf.DUMMYFUNCTION("""COMPUTED_VALUE"""),-0.2)</f>
        <v>-0.2</v>
      </c>
      <c r="V4038" s="4">
        <f>IFERROR(__xludf.DUMMYFUNCTION("""COMPUTED_VALUE"""),0.6)</f>
        <v>0.6</v>
      </c>
    </row>
    <row r="4039">
      <c r="A4039" s="4">
        <f>IFERROR(__xludf.DUMMYFUNCTION("""COMPUTED_VALUE"""),40.0)</f>
        <v>40</v>
      </c>
      <c r="B4039" s="4">
        <f>IFERROR(__xludf.DUMMYFUNCTION("""COMPUTED_VALUE"""),40.0)</f>
        <v>40</v>
      </c>
      <c r="C4039" s="4" t="str">
        <f>IFERROR(__xludf.DUMMYFUNCTION("""COMPUTED_VALUE"""),"IND")</f>
        <v>IND</v>
      </c>
      <c r="D4039" s="4" t="str">
        <f>IFERROR(__xludf.DUMMYFUNCTION("""COMPUTED_VALUE"""),"Dick Miller")</f>
        <v>Dick Miller</v>
      </c>
      <c r="E4039" s="4" t="str">
        <f>IFERROR(__xludf.DUMMYFUNCTION("""COMPUTED_VALUE"""),"Toledo")</f>
        <v>Toledo</v>
      </c>
      <c r="F4039" s="4">
        <f>IFERROR(__xludf.DUMMYFUNCTION("""COMPUTED_VALUE"""),1.0)</f>
        <v>1</v>
      </c>
      <c r="G4039" s="4">
        <f>IFERROR(__xludf.DUMMYFUNCTION("""COMPUTED_VALUE"""),8.0)</f>
        <v>8</v>
      </c>
      <c r="H4039" s="4">
        <f>IFERROR(__xludf.DUMMYFUNCTION("""COMPUTED_VALUE"""),53.0)</f>
        <v>53</v>
      </c>
      <c r="I4039" s="4">
        <f>IFERROR(__xludf.DUMMYFUNCTION("""COMPUTED_VALUE"""),8.0)</f>
        <v>8</v>
      </c>
      <c r="J4039" s="4">
        <f>IFERROR(__xludf.DUMMYFUNCTION("""COMPUTED_VALUE"""),7.0)</f>
        <v>7</v>
      </c>
      <c r="K4039" s="4">
        <f>IFERROR(__xludf.DUMMYFUNCTION("""COMPUTED_VALUE"""),5.0)</f>
        <v>5</v>
      </c>
      <c r="L4039" s="4">
        <f>IFERROR(__xludf.DUMMYFUNCTION("""COMPUTED_VALUE"""),0.444)</f>
        <v>0.444</v>
      </c>
      <c r="M4039" s="4">
        <f>IFERROR(__xludf.DUMMYFUNCTION("""COMPUTED_VALUE"""),0.0)</f>
        <v>0</v>
      </c>
      <c r="N4039" s="4"/>
      <c r="O4039" s="4">
        <f>IFERROR(__xludf.DUMMYFUNCTION("""COMPUTED_VALUE"""),6.6)</f>
        <v>6.6</v>
      </c>
      <c r="P4039" s="4">
        <f>IFERROR(__xludf.DUMMYFUNCTION("""COMPUTED_VALUE"""),1.0)</f>
        <v>1</v>
      </c>
      <c r="Q4039" s="4">
        <f>IFERROR(__xludf.DUMMYFUNCTION("""COMPUTED_VALUE"""),0.9)</f>
        <v>0.9</v>
      </c>
      <c r="R4039" s="4">
        <f>IFERROR(__xludf.DUMMYFUNCTION("""COMPUTED_VALUE"""),0.6)</f>
        <v>0.6</v>
      </c>
      <c r="S4039" s="4">
        <f>IFERROR(__xludf.DUMMYFUNCTION("""COMPUTED_VALUE"""),-0.1)</f>
        <v>-0.1</v>
      </c>
      <c r="T4039" s="4">
        <f>IFERROR(__xludf.DUMMYFUNCTION("""COMPUTED_VALUE"""),-0.102)</f>
        <v>-0.102</v>
      </c>
      <c r="U4039" s="4">
        <f>IFERROR(__xludf.DUMMYFUNCTION("""COMPUTED_VALUE"""),-4.3)</f>
        <v>-4.3</v>
      </c>
      <c r="V4039" s="4">
        <f>IFERROR(__xludf.DUMMYFUNCTION("""COMPUTED_VALUE"""),-0.1)</f>
        <v>-0.1</v>
      </c>
    </row>
    <row r="4040">
      <c r="A4040" s="4">
        <f>IFERROR(__xludf.DUMMYFUNCTION("""COMPUTED_VALUE"""),41.0)</f>
        <v>41</v>
      </c>
      <c r="B4040" s="4">
        <f>IFERROR(__xludf.DUMMYFUNCTION("""COMPUTED_VALUE"""),41.0)</f>
        <v>41</v>
      </c>
      <c r="C4040" s="4" t="str">
        <f>IFERROR(__xludf.DUMMYFUNCTION("""COMPUTED_VALUE"""),"DEN")</f>
        <v>DEN</v>
      </c>
      <c r="D4040" s="4" t="str">
        <f>IFERROR(__xludf.DUMMYFUNCTION("""COMPUTED_VALUE"""),"Jawann Oldham")</f>
        <v>Jawann Oldham</v>
      </c>
      <c r="E4040" s="4" t="str">
        <f>IFERROR(__xludf.DUMMYFUNCTION("""COMPUTED_VALUE"""),"Seattle University")</f>
        <v>Seattle University</v>
      </c>
      <c r="F4040" s="4">
        <f>IFERROR(__xludf.DUMMYFUNCTION("""COMPUTED_VALUE"""),10.0)</f>
        <v>10</v>
      </c>
      <c r="G4040" s="4">
        <f>IFERROR(__xludf.DUMMYFUNCTION("""COMPUTED_VALUE"""),329.0)</f>
        <v>329</v>
      </c>
      <c r="H4040" s="4">
        <f>IFERROR(__xludf.DUMMYFUNCTION("""COMPUTED_VALUE"""),5241.0)</f>
        <v>5241</v>
      </c>
      <c r="I4040" s="4">
        <f>IFERROR(__xludf.DUMMYFUNCTION("""COMPUTED_VALUE"""),1455.0)</f>
        <v>1455</v>
      </c>
      <c r="J4040" s="4">
        <f>IFERROR(__xludf.DUMMYFUNCTION("""COMPUTED_VALUE"""),1353.0)</f>
        <v>1353</v>
      </c>
      <c r="K4040" s="4">
        <f>IFERROR(__xludf.DUMMYFUNCTION("""COMPUTED_VALUE"""),162.0)</f>
        <v>162</v>
      </c>
      <c r="L4040" s="4">
        <f>IFERROR(__xludf.DUMMYFUNCTION("""COMPUTED_VALUE"""),0.479)</f>
        <v>0.479</v>
      </c>
      <c r="M4040" s="4">
        <f>IFERROR(__xludf.DUMMYFUNCTION("""COMPUTED_VALUE"""),0.0)</f>
        <v>0</v>
      </c>
      <c r="N4040" s="4">
        <f>IFERROR(__xludf.DUMMYFUNCTION("""COMPUTED_VALUE"""),0.607)</f>
        <v>0.607</v>
      </c>
      <c r="O4040" s="4">
        <f>IFERROR(__xludf.DUMMYFUNCTION("""COMPUTED_VALUE"""),15.9)</f>
        <v>15.9</v>
      </c>
      <c r="P4040" s="4">
        <f>IFERROR(__xludf.DUMMYFUNCTION("""COMPUTED_VALUE"""),4.4)</f>
        <v>4.4</v>
      </c>
      <c r="Q4040" s="4">
        <f>IFERROR(__xludf.DUMMYFUNCTION("""COMPUTED_VALUE"""),4.1)</f>
        <v>4.1</v>
      </c>
      <c r="R4040" s="4">
        <f>IFERROR(__xludf.DUMMYFUNCTION("""COMPUTED_VALUE"""),0.5)</f>
        <v>0.5</v>
      </c>
      <c r="S4040" s="4">
        <f>IFERROR(__xludf.DUMMYFUNCTION("""COMPUTED_VALUE"""),4.3)</f>
        <v>4.3</v>
      </c>
      <c r="T4040" s="4">
        <f>IFERROR(__xludf.DUMMYFUNCTION("""COMPUTED_VALUE"""),0.039)</f>
        <v>0.039</v>
      </c>
      <c r="U4040" s="4">
        <f>IFERROR(__xludf.DUMMYFUNCTION("""COMPUTED_VALUE"""),-2.4)</f>
        <v>-2.4</v>
      </c>
      <c r="V4040" s="4">
        <f>IFERROR(__xludf.DUMMYFUNCTION("""COMPUTED_VALUE"""),-0.6)</f>
        <v>-0.6</v>
      </c>
    </row>
    <row r="4041">
      <c r="A4041" s="4">
        <f>IFERROR(__xludf.DUMMYFUNCTION("""COMPUTED_VALUE"""),42.0)</f>
        <v>42</v>
      </c>
      <c r="B4041" s="4">
        <f>IFERROR(__xludf.DUMMYFUNCTION("""COMPUTED_VALUE"""),42.0)</f>
        <v>42</v>
      </c>
      <c r="C4041" s="4" t="str">
        <f>IFERROR(__xludf.DUMMYFUNCTION("""COMPUTED_VALUE"""),"PHO")</f>
        <v>PHO</v>
      </c>
      <c r="D4041" s="4" t="str">
        <f>IFERROR(__xludf.DUMMYFUNCTION("""COMPUTED_VALUE"""),"Kimberly Belton")</f>
        <v>Kimberly Belton</v>
      </c>
      <c r="E4041" s="4" t="str">
        <f>IFERROR(__xludf.DUMMYFUNCTION("""COMPUTED_VALUE"""),"Stanford")</f>
        <v>Stanford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</row>
    <row r="4042">
      <c r="A4042" s="4">
        <f>IFERROR(__xludf.DUMMYFUNCTION("""COMPUTED_VALUE"""),43.0)</f>
        <v>43</v>
      </c>
      <c r="B4042" s="4">
        <f>IFERROR(__xludf.DUMMYFUNCTION("""COMPUTED_VALUE"""),43.0)</f>
        <v>43</v>
      </c>
      <c r="C4042" s="4" t="str">
        <f>IFERROR(__xludf.DUMMYFUNCTION("""COMPUTED_VALUE"""),"HOU")</f>
        <v>HOU</v>
      </c>
      <c r="D4042" s="4" t="str">
        <f>IFERROR(__xludf.DUMMYFUNCTION("""COMPUTED_VALUE"""),"Billy Williams")</f>
        <v>Billy Williams</v>
      </c>
      <c r="E4042" s="4" t="str">
        <f>IFERROR(__xludf.DUMMYFUNCTION("""COMPUTED_VALUE"""),"Clemson")</f>
        <v>Clemson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</row>
    <row r="4043">
      <c r="A4043" s="4">
        <f>IFERROR(__xludf.DUMMYFUNCTION("""COMPUTED_VALUE"""),44.0)</f>
        <v>44</v>
      </c>
      <c r="B4043" s="4">
        <f>IFERROR(__xludf.DUMMYFUNCTION("""COMPUTED_VALUE"""),44.0)</f>
        <v>44</v>
      </c>
      <c r="C4043" s="4" t="str">
        <f>IFERROR(__xludf.DUMMYFUNCTION("""COMPUTED_VALUE"""),"PHI")</f>
        <v>PHI</v>
      </c>
      <c r="D4043" s="4" t="str">
        <f>IFERROR(__xludf.DUMMYFUNCTION("""COMPUTED_VALUE"""),"Clyde Austin")</f>
        <v>Clyde Austin</v>
      </c>
      <c r="E4043" s="4" t="str">
        <f>IFERROR(__xludf.DUMMYFUNCTION("""COMPUTED_VALUE"""),"NC State")</f>
        <v>NC State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</row>
    <row r="4044">
      <c r="A4044" s="4">
        <f>IFERROR(__xludf.DUMMYFUNCTION("""COMPUTED_VALUE"""),45.0)</f>
        <v>45</v>
      </c>
      <c r="B4044" s="4">
        <f>IFERROR(__xludf.DUMMYFUNCTION("""COMPUTED_VALUE"""),45.0)</f>
        <v>45</v>
      </c>
      <c r="C4044" s="4" t="str">
        <f>IFERROR(__xludf.DUMMYFUNCTION("""COMPUTED_VALUE"""),"DET")</f>
        <v>DET</v>
      </c>
      <c r="D4044" s="4" t="str">
        <f>IFERROR(__xludf.DUMMYFUNCTION("""COMPUTED_VALUE"""),"Brad Branson")</f>
        <v>Brad Branson</v>
      </c>
      <c r="E4044" s="4" t="str">
        <f>IFERROR(__xludf.DUMMYFUNCTION("""COMPUTED_VALUE"""),"SMU")</f>
        <v>SMU</v>
      </c>
      <c r="F4044" s="4">
        <f>IFERROR(__xludf.DUMMYFUNCTION("""COMPUTED_VALUE"""),2.0)</f>
        <v>2</v>
      </c>
      <c r="G4044" s="4">
        <f>IFERROR(__xludf.DUMMYFUNCTION("""COMPUTED_VALUE"""),72.0)</f>
        <v>72</v>
      </c>
      <c r="H4044" s="4">
        <f>IFERROR(__xludf.DUMMYFUNCTION("""COMPUTED_VALUE"""),856.0)</f>
        <v>856</v>
      </c>
      <c r="I4044" s="4">
        <f>IFERROR(__xludf.DUMMYFUNCTION("""COMPUTED_VALUE"""),391.0)</f>
        <v>391</v>
      </c>
      <c r="J4044" s="4">
        <f>IFERROR(__xludf.DUMMYFUNCTION("""COMPUTED_VALUE"""),206.0)</f>
        <v>206</v>
      </c>
      <c r="K4044" s="4">
        <f>IFERROR(__xludf.DUMMYFUNCTION("""COMPUTED_VALUE"""),52.0)</f>
        <v>52</v>
      </c>
      <c r="L4044" s="4">
        <f>IFERROR(__xludf.DUMMYFUNCTION("""COMPUTED_VALUE"""),0.422)</f>
        <v>0.422</v>
      </c>
      <c r="M4044" s="4">
        <f>IFERROR(__xludf.DUMMYFUNCTION("""COMPUTED_VALUE"""),0.0)</f>
        <v>0</v>
      </c>
      <c r="N4044" s="4">
        <f>IFERROR(__xludf.DUMMYFUNCTION("""COMPUTED_VALUE"""),0.725)</f>
        <v>0.725</v>
      </c>
      <c r="O4044" s="4">
        <f>IFERROR(__xludf.DUMMYFUNCTION("""COMPUTED_VALUE"""),11.9)</f>
        <v>11.9</v>
      </c>
      <c r="P4044" s="4">
        <f>IFERROR(__xludf.DUMMYFUNCTION("""COMPUTED_VALUE"""),5.4)</f>
        <v>5.4</v>
      </c>
      <c r="Q4044" s="4">
        <f>IFERROR(__xludf.DUMMYFUNCTION("""COMPUTED_VALUE"""),2.9)</f>
        <v>2.9</v>
      </c>
      <c r="R4044" s="4">
        <f>IFERROR(__xludf.DUMMYFUNCTION("""COMPUTED_VALUE"""),0.7)</f>
        <v>0.7</v>
      </c>
      <c r="S4044" s="4">
        <f>IFERROR(__xludf.DUMMYFUNCTION("""COMPUTED_VALUE"""),0.9)</f>
        <v>0.9</v>
      </c>
      <c r="T4044" s="4">
        <f>IFERROR(__xludf.DUMMYFUNCTION("""COMPUTED_VALUE"""),0.053)</f>
        <v>0.053</v>
      </c>
      <c r="U4044" s="4">
        <f>IFERROR(__xludf.DUMMYFUNCTION("""COMPUTED_VALUE"""),-2.1)</f>
        <v>-2.1</v>
      </c>
      <c r="V4044" s="4">
        <f>IFERROR(__xludf.DUMMYFUNCTION("""COMPUTED_VALUE"""),0.0)</f>
        <v>0</v>
      </c>
    </row>
    <row r="4045">
      <c r="A4045" s="4">
        <f>IFERROR(__xludf.DUMMYFUNCTION("""COMPUTED_VALUE"""),46.0)</f>
        <v>46</v>
      </c>
      <c r="B4045" s="4">
        <f>IFERROR(__xludf.DUMMYFUNCTION("""COMPUTED_VALUE"""),46.0)</f>
        <v>46</v>
      </c>
      <c r="C4045" s="4" t="str">
        <f>IFERROR(__xludf.DUMMYFUNCTION("""COMPUTED_VALUE"""),"BOS")</f>
        <v>BOS</v>
      </c>
      <c r="D4045" s="4" t="str">
        <f>IFERROR(__xludf.DUMMYFUNCTION("""COMPUTED_VALUE"""),"Arnette Hallman")</f>
        <v>Arnette Hallman</v>
      </c>
      <c r="E4045" s="4" t="str">
        <f>IFERROR(__xludf.DUMMYFUNCTION("""COMPUTED_VALUE"""),"Purdue")</f>
        <v>Purdue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</row>
    <row r="4046">
      <c r="A4046" s="4"/>
      <c r="B4046" s="4"/>
      <c r="C4046" s="4"/>
      <c r="D4046" s="4" t="str">
        <f>IFERROR(__xludf.DUMMYFUNCTION("""COMPUTED_VALUE"""),"Round 3")</f>
        <v>Round 3</v>
      </c>
      <c r="E4046" s="4"/>
      <c r="F4046" s="4"/>
      <c r="G4046" s="4" t="str">
        <f>IFERROR(__xludf.DUMMYFUNCTION("""COMPUTED_VALUE"""),"Totals")</f>
        <v>Totals</v>
      </c>
      <c r="H4046" s="4"/>
      <c r="I4046" s="4"/>
      <c r="J4046" s="4"/>
      <c r="K4046" s="4"/>
      <c r="L4046" s="4" t="str">
        <f>IFERROR(__xludf.DUMMYFUNCTION("""COMPUTED_VALUE"""),"Shooting")</f>
        <v>Shooting</v>
      </c>
      <c r="M4046" s="4"/>
      <c r="N4046" s="4"/>
      <c r="O4046" s="4" t="str">
        <f>IFERROR(__xludf.DUMMYFUNCTION("""COMPUTED_VALUE"""),"Per Game")</f>
        <v>Per Game</v>
      </c>
      <c r="P4046" s="4"/>
      <c r="Q4046" s="4"/>
      <c r="R4046" s="4"/>
      <c r="S4046" s="4" t="str">
        <f>IFERROR(__xludf.DUMMYFUNCTION("""COMPUTED_VALUE"""),"Advanced")</f>
        <v>Advanced</v>
      </c>
      <c r="T4046" s="4"/>
      <c r="U4046" s="4"/>
      <c r="V4046" s="4"/>
    </row>
    <row r="4047">
      <c r="A4047" s="4" t="str">
        <f>IFERROR(__xludf.DUMMYFUNCTION("""COMPUTED_VALUE"""),"Rk")</f>
        <v>Rk</v>
      </c>
      <c r="B4047" s="4" t="str">
        <f>IFERROR(__xludf.DUMMYFUNCTION("""COMPUTED_VALUE"""),"Pk")</f>
        <v>Pk</v>
      </c>
      <c r="C4047" s="4" t="str">
        <f>IFERROR(__xludf.DUMMYFUNCTION("""COMPUTED_VALUE"""),"Tm")</f>
        <v>Tm</v>
      </c>
      <c r="D4047" s="4" t="str">
        <f>IFERROR(__xludf.DUMMYFUNCTION("""COMPUTED_VALUE"""),"Player")</f>
        <v>Player</v>
      </c>
      <c r="E4047" s="4" t="str">
        <f>IFERROR(__xludf.DUMMYFUNCTION("""COMPUTED_VALUE"""),"College")</f>
        <v>College</v>
      </c>
      <c r="F4047" s="4" t="str">
        <f>IFERROR(__xludf.DUMMYFUNCTION("""COMPUTED_VALUE"""),"Yrs")</f>
        <v>Yrs</v>
      </c>
      <c r="G4047" s="4" t="str">
        <f>IFERROR(__xludf.DUMMYFUNCTION("""COMPUTED_VALUE"""),"G")</f>
        <v>G</v>
      </c>
      <c r="H4047" s="4" t="str">
        <f>IFERROR(__xludf.DUMMYFUNCTION("""COMPUTED_VALUE"""),"MP")</f>
        <v>MP</v>
      </c>
      <c r="I4047" s="4" t="str">
        <f>IFERROR(__xludf.DUMMYFUNCTION("""COMPUTED_VALUE"""),"PTS")</f>
        <v>PTS</v>
      </c>
      <c r="J4047" s="4" t="str">
        <f>IFERROR(__xludf.DUMMYFUNCTION("""COMPUTED_VALUE"""),"TRB")</f>
        <v>TRB</v>
      </c>
      <c r="K4047" s="4" t="str">
        <f>IFERROR(__xludf.DUMMYFUNCTION("""COMPUTED_VALUE"""),"AST")</f>
        <v>AST</v>
      </c>
      <c r="L4047" s="4" t="str">
        <f>IFERROR(__xludf.DUMMYFUNCTION("""COMPUTED_VALUE"""),"FG%")</f>
        <v>FG%</v>
      </c>
      <c r="M4047" s="4" t="str">
        <f>IFERROR(__xludf.DUMMYFUNCTION("""COMPUTED_VALUE"""),"3P%")</f>
        <v>3P%</v>
      </c>
      <c r="N4047" s="4" t="str">
        <f>IFERROR(__xludf.DUMMYFUNCTION("""COMPUTED_VALUE"""),"FT%")</f>
        <v>FT%</v>
      </c>
      <c r="O4047" s="4" t="str">
        <f>IFERROR(__xludf.DUMMYFUNCTION("""COMPUTED_VALUE"""),"MP")</f>
        <v>MP</v>
      </c>
      <c r="P4047" s="4" t="str">
        <f>IFERROR(__xludf.DUMMYFUNCTION("""COMPUTED_VALUE"""),"PTS")</f>
        <v>PTS</v>
      </c>
      <c r="Q4047" s="4" t="str">
        <f>IFERROR(__xludf.DUMMYFUNCTION("""COMPUTED_VALUE"""),"TRB")</f>
        <v>TRB</v>
      </c>
      <c r="R4047" s="4" t="str">
        <f>IFERROR(__xludf.DUMMYFUNCTION("""COMPUTED_VALUE"""),"AST")</f>
        <v>AST</v>
      </c>
      <c r="S4047" s="4" t="str">
        <f>IFERROR(__xludf.DUMMYFUNCTION("""COMPUTED_VALUE"""),"WS")</f>
        <v>WS</v>
      </c>
      <c r="T4047" s="4" t="str">
        <f>IFERROR(__xludf.DUMMYFUNCTION("""COMPUTED_VALUE"""),"WS/48")</f>
        <v>WS/48</v>
      </c>
      <c r="U4047" s="4" t="str">
        <f>IFERROR(__xludf.DUMMYFUNCTION("""COMPUTED_VALUE"""),"BPM")</f>
        <v>BPM</v>
      </c>
      <c r="V4047" s="4" t="str">
        <f>IFERROR(__xludf.DUMMYFUNCTION("""COMPUTED_VALUE"""),"VORP")</f>
        <v>VORP</v>
      </c>
    </row>
    <row r="4048">
      <c r="A4048" s="4">
        <f>IFERROR(__xludf.DUMMYFUNCTION("""COMPUTED_VALUE"""),47.0)</f>
        <v>47</v>
      </c>
      <c r="B4048" s="4">
        <f>IFERROR(__xludf.DUMMYFUNCTION("""COMPUTED_VALUE"""),47.0)</f>
        <v>47</v>
      </c>
      <c r="C4048" s="4" t="str">
        <f>IFERROR(__xludf.DUMMYFUNCTION("""COMPUTED_VALUE"""),"DEN")</f>
        <v>DEN</v>
      </c>
      <c r="D4048" s="4" t="str">
        <f>IFERROR(__xludf.DUMMYFUNCTION("""COMPUTED_VALUE"""),"Kurt Nimphius")</f>
        <v>Kurt Nimphius</v>
      </c>
      <c r="E4048" s="4" t="str">
        <f>IFERROR(__xludf.DUMMYFUNCTION("""COMPUTED_VALUE"""),"Arizona State")</f>
        <v>Arizona State</v>
      </c>
      <c r="F4048" s="4">
        <f>IFERROR(__xludf.DUMMYFUNCTION("""COMPUTED_VALUE"""),8.0)</f>
        <v>8</v>
      </c>
      <c r="G4048" s="4">
        <f>IFERROR(__xludf.DUMMYFUNCTION("""COMPUTED_VALUE"""),564.0)</f>
        <v>564</v>
      </c>
      <c r="H4048" s="4">
        <f>IFERROR(__xludf.DUMMYFUNCTION("""COMPUTED_VALUE"""),11441.0)</f>
        <v>11441</v>
      </c>
      <c r="I4048" s="4">
        <f>IFERROR(__xludf.DUMMYFUNCTION("""COMPUTED_VALUE"""),3602.0)</f>
        <v>3602</v>
      </c>
      <c r="J4048" s="4">
        <f>IFERROR(__xludf.DUMMYFUNCTION("""COMPUTED_VALUE"""),2474.0)</f>
        <v>2474</v>
      </c>
      <c r="K4048" s="4">
        <f>IFERROR(__xludf.DUMMYFUNCTION("""COMPUTED_VALUE"""),681.0)</f>
        <v>681</v>
      </c>
      <c r="L4048" s="4">
        <f>IFERROR(__xludf.DUMMYFUNCTION("""COMPUTED_VALUE"""),0.487)</f>
        <v>0.487</v>
      </c>
      <c r="M4048" s="4">
        <f>IFERROR(__xludf.DUMMYFUNCTION("""COMPUTED_VALUE"""),0.1)</f>
        <v>0.1</v>
      </c>
      <c r="N4048" s="4">
        <f>IFERROR(__xludf.DUMMYFUNCTION("""COMPUTED_VALUE"""),0.668)</f>
        <v>0.668</v>
      </c>
      <c r="O4048" s="4">
        <f>IFERROR(__xludf.DUMMYFUNCTION("""COMPUTED_VALUE"""),20.3)</f>
        <v>20.3</v>
      </c>
      <c r="P4048" s="4">
        <f>IFERROR(__xludf.DUMMYFUNCTION("""COMPUTED_VALUE"""),6.4)</f>
        <v>6.4</v>
      </c>
      <c r="Q4048" s="4">
        <f>IFERROR(__xludf.DUMMYFUNCTION("""COMPUTED_VALUE"""),4.4)</f>
        <v>4.4</v>
      </c>
      <c r="R4048" s="4">
        <f>IFERROR(__xludf.DUMMYFUNCTION("""COMPUTED_VALUE"""),1.2)</f>
        <v>1.2</v>
      </c>
      <c r="S4048" s="4">
        <f>IFERROR(__xludf.DUMMYFUNCTION("""COMPUTED_VALUE"""),17.5)</f>
        <v>17.5</v>
      </c>
      <c r="T4048" s="4">
        <f>IFERROR(__xludf.DUMMYFUNCTION("""COMPUTED_VALUE"""),0.074)</f>
        <v>0.074</v>
      </c>
      <c r="U4048" s="4">
        <f>IFERROR(__xludf.DUMMYFUNCTION("""COMPUTED_VALUE"""),-1.6)</f>
        <v>-1.6</v>
      </c>
      <c r="V4048" s="4">
        <f>IFERROR(__xludf.DUMMYFUNCTION("""COMPUTED_VALUE"""),1.3)</f>
        <v>1.3</v>
      </c>
    </row>
    <row r="4049">
      <c r="A4049" s="4">
        <f>IFERROR(__xludf.DUMMYFUNCTION("""COMPUTED_VALUE"""),48.0)</f>
        <v>48</v>
      </c>
      <c r="B4049" s="4">
        <f>IFERROR(__xludf.DUMMYFUNCTION("""COMPUTED_VALUE"""),48.0)</f>
        <v>48</v>
      </c>
      <c r="C4049" s="4" t="str">
        <f>IFERROR(__xludf.DUMMYFUNCTION("""COMPUTED_VALUE"""),"DEN")</f>
        <v>DEN</v>
      </c>
      <c r="D4049" s="4" t="str">
        <f>IFERROR(__xludf.DUMMYFUNCTION("""COMPUTED_VALUE"""),"Eddie Lee")</f>
        <v>Eddie Lee</v>
      </c>
      <c r="E4049" s="4" t="str">
        <f>IFERROR(__xludf.DUMMYFUNCTION("""COMPUTED_VALUE"""),"Cincinnati")</f>
        <v>Cincinnati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</row>
    <row r="4050">
      <c r="A4050" s="4">
        <f>IFERROR(__xludf.DUMMYFUNCTION("""COMPUTED_VALUE"""),49.0)</f>
        <v>49</v>
      </c>
      <c r="B4050" s="4">
        <f>IFERROR(__xludf.DUMMYFUNCTION("""COMPUTED_VALUE"""),49.0)</f>
        <v>49</v>
      </c>
      <c r="C4050" s="4" t="str">
        <f>IFERROR(__xludf.DUMMYFUNCTION("""COMPUTED_VALUE"""),"GSW")</f>
        <v>GSW</v>
      </c>
      <c r="D4050" s="4" t="str">
        <f>IFERROR(__xludf.DUMMYFUNCTION("""COMPUTED_VALUE"""),"John Virgil")</f>
        <v>John Virgil</v>
      </c>
      <c r="E4050" s="4" t="str">
        <f>IFERROR(__xludf.DUMMYFUNCTION("""COMPUTED_VALUE"""),"UNC")</f>
        <v>UNC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</row>
    <row r="4051">
      <c r="A4051" s="4">
        <f>IFERROR(__xludf.DUMMYFUNCTION("""COMPUTED_VALUE"""),50.0)</f>
        <v>50</v>
      </c>
      <c r="B4051" s="4">
        <f>IFERROR(__xludf.DUMMYFUNCTION("""COMPUTED_VALUE"""),50.0)</f>
        <v>50</v>
      </c>
      <c r="C4051" s="4" t="str">
        <f>IFERROR(__xludf.DUMMYFUNCTION("""COMPUTED_VALUE"""),"CHI")</f>
        <v>CHI</v>
      </c>
      <c r="D4051" s="4" t="str">
        <f>IFERROR(__xludf.DUMMYFUNCTION("""COMPUTED_VALUE"""),"James Wilkes")</f>
        <v>James Wilkes</v>
      </c>
      <c r="E4051" s="4" t="str">
        <f>IFERROR(__xludf.DUMMYFUNCTION("""COMPUTED_VALUE"""),"UCLA")</f>
        <v>UCLA</v>
      </c>
      <c r="F4051" s="4">
        <f>IFERROR(__xludf.DUMMYFUNCTION("""COMPUTED_VALUE"""),3.0)</f>
        <v>3</v>
      </c>
      <c r="G4051" s="4">
        <f>IFERROR(__xludf.DUMMYFUNCTION("""COMPUTED_VALUE"""),114.0)</f>
        <v>114</v>
      </c>
      <c r="H4051" s="4">
        <f>IFERROR(__xludf.DUMMYFUNCTION("""COMPUTED_VALUE"""),1531.0)</f>
        <v>1531</v>
      </c>
      <c r="I4051" s="4">
        <f>IFERROR(__xludf.DUMMYFUNCTION("""COMPUTED_VALUE"""),547.0)</f>
        <v>547</v>
      </c>
      <c r="J4051" s="4">
        <f>IFERROR(__xludf.DUMMYFUNCTION("""COMPUTED_VALUE"""),274.0)</f>
        <v>274</v>
      </c>
      <c r="K4051" s="4">
        <f>IFERROR(__xludf.DUMMYFUNCTION("""COMPUTED_VALUE"""),104.0)</f>
        <v>104</v>
      </c>
      <c r="L4051" s="4">
        <f>IFERROR(__xludf.DUMMYFUNCTION("""COMPUTED_VALUE"""),0.463)</f>
        <v>0.463</v>
      </c>
      <c r="M4051" s="4">
        <f>IFERROR(__xludf.DUMMYFUNCTION("""COMPUTED_VALUE"""),0.0)</f>
        <v>0</v>
      </c>
      <c r="N4051" s="4">
        <f>IFERROR(__xludf.DUMMYFUNCTION("""COMPUTED_VALUE"""),0.723)</f>
        <v>0.723</v>
      </c>
      <c r="O4051" s="4">
        <f>IFERROR(__xludf.DUMMYFUNCTION("""COMPUTED_VALUE"""),13.4)</f>
        <v>13.4</v>
      </c>
      <c r="P4051" s="4">
        <f>IFERROR(__xludf.DUMMYFUNCTION("""COMPUTED_VALUE"""),4.8)</f>
        <v>4.8</v>
      </c>
      <c r="Q4051" s="4">
        <f>IFERROR(__xludf.DUMMYFUNCTION("""COMPUTED_VALUE"""),2.4)</f>
        <v>2.4</v>
      </c>
      <c r="R4051" s="4">
        <f>IFERROR(__xludf.DUMMYFUNCTION("""COMPUTED_VALUE"""),0.9)</f>
        <v>0.9</v>
      </c>
      <c r="S4051" s="4">
        <f>IFERROR(__xludf.DUMMYFUNCTION("""COMPUTED_VALUE"""),2.0)</f>
        <v>2</v>
      </c>
      <c r="T4051" s="4">
        <f>IFERROR(__xludf.DUMMYFUNCTION("""COMPUTED_VALUE"""),0.063)</f>
        <v>0.063</v>
      </c>
      <c r="U4051" s="4">
        <f>IFERROR(__xludf.DUMMYFUNCTION("""COMPUTED_VALUE"""),-2.0)</f>
        <v>-2</v>
      </c>
      <c r="V4051" s="4">
        <f>IFERROR(__xludf.DUMMYFUNCTION("""COMPUTED_VALUE"""),0.0)</f>
        <v>0</v>
      </c>
    </row>
    <row r="4052">
      <c r="A4052" s="4">
        <f>IFERROR(__xludf.DUMMYFUNCTION("""COMPUTED_VALUE"""),51.0)</f>
        <v>51</v>
      </c>
      <c r="B4052" s="4">
        <f>IFERROR(__xludf.DUMMYFUNCTION("""COMPUTED_VALUE"""),51.0)</f>
        <v>51</v>
      </c>
      <c r="C4052" s="4" t="str">
        <f>IFERROR(__xludf.DUMMYFUNCTION("""COMPUTED_VALUE"""),"DEN")</f>
        <v>DEN</v>
      </c>
      <c r="D4052" s="4" t="str">
        <f>IFERROR(__xludf.DUMMYFUNCTION("""COMPUTED_VALUE"""),"Ronnie Valentine")</f>
        <v>Ronnie Valentine</v>
      </c>
      <c r="E4052" s="4" t="str">
        <f>IFERROR(__xludf.DUMMYFUNCTION("""COMPUTED_VALUE"""),"Old Dominion")</f>
        <v>Old Dominion</v>
      </c>
      <c r="F4052" s="4">
        <f>IFERROR(__xludf.DUMMYFUNCTION("""COMPUTED_VALUE"""),1.0)</f>
        <v>1</v>
      </c>
      <c r="G4052" s="4">
        <f>IFERROR(__xludf.DUMMYFUNCTION("""COMPUTED_VALUE"""),24.0)</f>
        <v>24</v>
      </c>
      <c r="H4052" s="4">
        <f>IFERROR(__xludf.DUMMYFUNCTION("""COMPUTED_VALUE"""),123.0)</f>
        <v>123</v>
      </c>
      <c r="I4052" s="4">
        <f>IFERROR(__xludf.DUMMYFUNCTION("""COMPUTED_VALUE"""),84.0)</f>
        <v>84</v>
      </c>
      <c r="J4052" s="4">
        <f>IFERROR(__xludf.DUMMYFUNCTION("""COMPUTED_VALUE"""),30.0)</f>
        <v>30</v>
      </c>
      <c r="K4052" s="4">
        <f>IFERROR(__xludf.DUMMYFUNCTION("""COMPUTED_VALUE"""),7.0)</f>
        <v>7</v>
      </c>
      <c r="L4052" s="4">
        <f>IFERROR(__xludf.DUMMYFUNCTION("""COMPUTED_VALUE"""),0.378)</f>
        <v>0.378</v>
      </c>
      <c r="M4052" s="4">
        <f>IFERROR(__xludf.DUMMYFUNCTION("""COMPUTED_VALUE"""),0.5)</f>
        <v>0.5</v>
      </c>
      <c r="N4052" s="4">
        <f>IFERROR(__xludf.DUMMYFUNCTION("""COMPUTED_VALUE"""),0.474)</f>
        <v>0.474</v>
      </c>
      <c r="O4052" s="4">
        <f>IFERROR(__xludf.DUMMYFUNCTION("""COMPUTED_VALUE"""),5.1)</f>
        <v>5.1</v>
      </c>
      <c r="P4052" s="4">
        <f>IFERROR(__xludf.DUMMYFUNCTION("""COMPUTED_VALUE"""),3.5)</f>
        <v>3.5</v>
      </c>
      <c r="Q4052" s="4">
        <f>IFERROR(__xludf.DUMMYFUNCTION("""COMPUTED_VALUE"""),1.3)</f>
        <v>1.3</v>
      </c>
      <c r="R4052" s="4">
        <f>IFERROR(__xludf.DUMMYFUNCTION("""COMPUTED_VALUE"""),0.3)</f>
        <v>0.3</v>
      </c>
      <c r="S4052" s="4">
        <f>IFERROR(__xludf.DUMMYFUNCTION("""COMPUTED_VALUE"""),-0.3)</f>
        <v>-0.3</v>
      </c>
      <c r="T4052" s="4">
        <f>IFERROR(__xludf.DUMMYFUNCTION("""COMPUTED_VALUE"""),-0.128)</f>
        <v>-0.128</v>
      </c>
      <c r="U4052" s="4">
        <f>IFERROR(__xludf.DUMMYFUNCTION("""COMPUTED_VALUE"""),-7.2)</f>
        <v>-7.2</v>
      </c>
      <c r="V4052" s="4">
        <f>IFERROR(__xludf.DUMMYFUNCTION("""COMPUTED_VALUE"""),-0.2)</f>
        <v>-0.2</v>
      </c>
    </row>
    <row r="4053">
      <c r="A4053" s="4">
        <f>IFERROR(__xludf.DUMMYFUNCTION("""COMPUTED_VALUE"""),52.0)</f>
        <v>52</v>
      </c>
      <c r="B4053" s="4">
        <f>IFERROR(__xludf.DUMMYFUNCTION("""COMPUTED_VALUE"""),52.0)</f>
        <v>52</v>
      </c>
      <c r="C4053" s="4" t="str">
        <f>IFERROR(__xludf.DUMMYFUNCTION("""COMPUTED_VALUE"""),"NJN")</f>
        <v>NJN</v>
      </c>
      <c r="D4053" s="4" t="str">
        <f>IFERROR(__xludf.DUMMYFUNCTION("""COMPUTED_VALUE"""),"Lowes Moore")</f>
        <v>Lowes Moore</v>
      </c>
      <c r="E4053" s="4" t="str">
        <f>IFERROR(__xludf.DUMMYFUNCTION("""COMPUTED_VALUE"""),"West Virginia")</f>
        <v>West Virginia</v>
      </c>
      <c r="F4053" s="4">
        <f>IFERROR(__xludf.DUMMYFUNCTION("""COMPUTED_VALUE"""),3.0)</f>
        <v>3</v>
      </c>
      <c r="G4053" s="4">
        <f>IFERROR(__xludf.DUMMYFUNCTION("""COMPUTED_VALUE"""),112.0)</f>
        <v>112</v>
      </c>
      <c r="H4053" s="4">
        <f>IFERROR(__xludf.DUMMYFUNCTION("""COMPUTED_VALUE"""),2118.0)</f>
        <v>2118</v>
      </c>
      <c r="I4053" s="4">
        <f>IFERROR(__xludf.DUMMYFUNCTION("""COMPUTED_VALUE"""),752.0)</f>
        <v>752</v>
      </c>
      <c r="J4053" s="4">
        <f>IFERROR(__xludf.DUMMYFUNCTION("""COMPUTED_VALUE"""),227.0)</f>
        <v>227</v>
      </c>
      <c r="K4053" s="4">
        <f>IFERROR(__xludf.DUMMYFUNCTION("""COMPUTED_VALUE"""),316.0)</f>
        <v>316</v>
      </c>
      <c r="L4053" s="4">
        <f>IFERROR(__xludf.DUMMYFUNCTION("""COMPUTED_VALUE"""),0.442)</f>
        <v>0.442</v>
      </c>
      <c r="M4053" s="4">
        <f>IFERROR(__xludf.DUMMYFUNCTION("""COMPUTED_VALUE"""),0.2)</f>
        <v>0.2</v>
      </c>
      <c r="N4053" s="4">
        <f>IFERROR(__xludf.DUMMYFUNCTION("""COMPUTED_VALUE"""),0.75)</f>
        <v>0.75</v>
      </c>
      <c r="O4053" s="4">
        <f>IFERROR(__xludf.DUMMYFUNCTION("""COMPUTED_VALUE"""),18.9)</f>
        <v>18.9</v>
      </c>
      <c r="P4053" s="4">
        <f>IFERROR(__xludf.DUMMYFUNCTION("""COMPUTED_VALUE"""),6.7)</f>
        <v>6.7</v>
      </c>
      <c r="Q4053" s="4">
        <f>IFERROR(__xludf.DUMMYFUNCTION("""COMPUTED_VALUE"""),2.0)</f>
        <v>2</v>
      </c>
      <c r="R4053" s="4">
        <f>IFERROR(__xludf.DUMMYFUNCTION("""COMPUTED_VALUE"""),2.8)</f>
        <v>2.8</v>
      </c>
      <c r="S4053" s="4">
        <f>IFERROR(__xludf.DUMMYFUNCTION("""COMPUTED_VALUE"""),1.5)</f>
        <v>1.5</v>
      </c>
      <c r="T4053" s="4">
        <f>IFERROR(__xludf.DUMMYFUNCTION("""COMPUTED_VALUE"""),0.035)</f>
        <v>0.035</v>
      </c>
      <c r="U4053" s="4">
        <f>IFERROR(__xludf.DUMMYFUNCTION("""COMPUTED_VALUE"""),-2.7)</f>
        <v>-2.7</v>
      </c>
      <c r="V4053" s="4">
        <f>IFERROR(__xludf.DUMMYFUNCTION("""COMPUTED_VALUE"""),-0.3)</f>
        <v>-0.3</v>
      </c>
    </row>
    <row r="4054">
      <c r="A4054" s="4">
        <f>IFERROR(__xludf.DUMMYFUNCTION("""COMPUTED_VALUE"""),53.0)</f>
        <v>53</v>
      </c>
      <c r="B4054" s="4">
        <f>IFERROR(__xludf.DUMMYFUNCTION("""COMPUTED_VALUE"""),53.0)</f>
        <v>53</v>
      </c>
      <c r="C4054" s="4" t="str">
        <f>IFERROR(__xludf.DUMMYFUNCTION("""COMPUTED_VALUE"""),"CLE")</f>
        <v>CLE</v>
      </c>
      <c r="D4054" s="4" t="str">
        <f>IFERROR(__xludf.DUMMYFUNCTION("""COMPUTED_VALUE"""),"Stuart House")</f>
        <v>Stuart House</v>
      </c>
      <c r="E4054" s="4" t="str">
        <f>IFERROR(__xludf.DUMMYFUNCTION("""COMPUTED_VALUE"""),"Washington State")</f>
        <v>Washington State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</row>
    <row r="4055">
      <c r="A4055" s="4">
        <f>IFERROR(__xludf.DUMMYFUNCTION("""COMPUTED_VALUE"""),54.0)</f>
        <v>54</v>
      </c>
      <c r="B4055" s="4">
        <f>IFERROR(__xludf.DUMMYFUNCTION("""COMPUTED_VALUE"""),54.0)</f>
        <v>54</v>
      </c>
      <c r="C4055" s="4" t="str">
        <f>IFERROR(__xludf.DUMMYFUNCTION("""COMPUTED_VALUE"""),"BOS")</f>
        <v>BOS</v>
      </c>
      <c r="D4055" s="4" t="str">
        <f>IFERROR(__xludf.DUMMYFUNCTION("""COMPUTED_VALUE"""),"Ron Perry")</f>
        <v>Ron Perry</v>
      </c>
      <c r="E4055" s="4" t="str">
        <f>IFERROR(__xludf.DUMMYFUNCTION("""COMPUTED_VALUE"""),"Holy Cross")</f>
        <v>Holy Cross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</row>
    <row r="4056">
      <c r="A4056" s="4">
        <f>IFERROR(__xludf.DUMMYFUNCTION("""COMPUTED_VALUE"""),55.0)</f>
        <v>55</v>
      </c>
      <c r="B4056" s="4">
        <f>IFERROR(__xludf.DUMMYFUNCTION("""COMPUTED_VALUE"""),55.0)</f>
        <v>55</v>
      </c>
      <c r="C4056" s="4" t="str">
        <f>IFERROR(__xludf.DUMMYFUNCTION("""COMPUTED_VALUE"""),"CLE")</f>
        <v>CLE</v>
      </c>
      <c r="D4056" s="4" t="str">
        <f>IFERROR(__xludf.DUMMYFUNCTION("""COMPUTED_VALUE"""),"Wayne Abrams")</f>
        <v>Wayne Abrams</v>
      </c>
      <c r="E4056" s="4" t="str">
        <f>IFERROR(__xludf.DUMMYFUNCTION("""COMPUTED_VALUE"""),"Southern Illinois")</f>
        <v>Southern Illinois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</row>
    <row r="4057">
      <c r="A4057" s="4">
        <f>IFERROR(__xludf.DUMMYFUNCTION("""COMPUTED_VALUE"""),56.0)</f>
        <v>56</v>
      </c>
      <c r="B4057" s="4">
        <f>IFERROR(__xludf.DUMMYFUNCTION("""COMPUTED_VALUE"""),56.0)</f>
        <v>56</v>
      </c>
      <c r="C4057" s="4" t="str">
        <f>IFERROR(__xludf.DUMMYFUNCTION("""COMPUTED_VALUE"""),"POR")</f>
        <v>POR</v>
      </c>
      <c r="D4057" s="4" t="str">
        <f>IFERROR(__xludf.DUMMYFUNCTION("""COMPUTED_VALUE"""),"Mike Harper")</f>
        <v>Mike Harper</v>
      </c>
      <c r="E4057" s="4" t="str">
        <f>IFERROR(__xludf.DUMMYFUNCTION("""COMPUTED_VALUE"""),"North Park University")</f>
        <v>North Park University</v>
      </c>
      <c r="F4057" s="4">
        <f>IFERROR(__xludf.DUMMYFUNCTION("""COMPUTED_VALUE"""),2.0)</f>
        <v>2</v>
      </c>
      <c r="G4057" s="4">
        <f>IFERROR(__xludf.DUMMYFUNCTION("""COMPUTED_VALUE"""),123.0)</f>
        <v>123</v>
      </c>
      <c r="H4057" s="4">
        <f>IFERROR(__xludf.DUMMYFUNCTION("""COMPUTED_VALUE"""),1894.0)</f>
        <v>1894</v>
      </c>
      <c r="I4057" s="4">
        <f>IFERROR(__xludf.DUMMYFUNCTION("""COMPUTED_VALUE"""),613.0)</f>
        <v>613</v>
      </c>
      <c r="J4057" s="4">
        <f>IFERROR(__xludf.DUMMYFUNCTION("""COMPUTED_VALUE"""),432.0)</f>
        <v>432</v>
      </c>
      <c r="K4057" s="4">
        <f>IFERROR(__xludf.DUMMYFUNCTION("""COMPUTED_VALUE"""),71.0)</f>
        <v>71</v>
      </c>
      <c r="L4057" s="4">
        <f>IFERROR(__xludf.DUMMYFUNCTION("""COMPUTED_VALUE"""),0.474)</f>
        <v>0.474</v>
      </c>
      <c r="M4057" s="4">
        <f>IFERROR(__xludf.DUMMYFUNCTION("""COMPUTED_VALUE"""),0.0)</f>
        <v>0</v>
      </c>
      <c r="N4057" s="4">
        <f>IFERROR(__xludf.DUMMYFUNCTION("""COMPUTED_VALUE"""),0.559)</f>
        <v>0.559</v>
      </c>
      <c r="O4057" s="4">
        <f>IFERROR(__xludf.DUMMYFUNCTION("""COMPUTED_VALUE"""),15.4)</f>
        <v>15.4</v>
      </c>
      <c r="P4057" s="4">
        <f>IFERROR(__xludf.DUMMYFUNCTION("""COMPUTED_VALUE"""),5.0)</f>
        <v>5</v>
      </c>
      <c r="Q4057" s="4">
        <f>IFERROR(__xludf.DUMMYFUNCTION("""COMPUTED_VALUE"""),3.5)</f>
        <v>3.5</v>
      </c>
      <c r="R4057" s="4">
        <f>IFERROR(__xludf.DUMMYFUNCTION("""COMPUTED_VALUE"""),0.6)</f>
        <v>0.6</v>
      </c>
      <c r="S4057" s="4">
        <f>IFERROR(__xludf.DUMMYFUNCTION("""COMPUTED_VALUE"""),2.4)</f>
        <v>2.4</v>
      </c>
      <c r="T4057" s="4">
        <f>IFERROR(__xludf.DUMMYFUNCTION("""COMPUTED_VALUE"""),0.062)</f>
        <v>0.062</v>
      </c>
      <c r="U4057" s="4">
        <f>IFERROR(__xludf.DUMMYFUNCTION("""COMPUTED_VALUE"""),-2.4)</f>
        <v>-2.4</v>
      </c>
      <c r="V4057" s="4">
        <f>IFERROR(__xludf.DUMMYFUNCTION("""COMPUTED_VALUE"""),-0.2)</f>
        <v>-0.2</v>
      </c>
    </row>
    <row r="4058">
      <c r="A4058" s="4">
        <f>IFERROR(__xludf.DUMMYFUNCTION("""COMPUTED_VALUE"""),57.0)</f>
        <v>57</v>
      </c>
      <c r="B4058" s="4">
        <f>IFERROR(__xludf.DUMMYFUNCTION("""COMPUTED_VALUE"""),57.0)</f>
        <v>57</v>
      </c>
      <c r="C4058" s="4" t="str">
        <f>IFERROR(__xludf.DUMMYFUNCTION("""COMPUTED_VALUE"""),"DAL")</f>
        <v>DAL</v>
      </c>
      <c r="D4058" s="4" t="str">
        <f>IFERROR(__xludf.DUMMYFUNCTION("""COMPUTED_VALUE"""),"Dave Britton")</f>
        <v>Dave Britton</v>
      </c>
      <c r="E4058" s="4" t="str">
        <f>IFERROR(__xludf.DUMMYFUNCTION("""COMPUTED_VALUE"""),"Texas A&amp;M")</f>
        <v>Texas A&amp;M</v>
      </c>
      <c r="F4058" s="4">
        <f>IFERROR(__xludf.DUMMYFUNCTION("""COMPUTED_VALUE"""),1.0)</f>
        <v>1</v>
      </c>
      <c r="G4058" s="4">
        <f>IFERROR(__xludf.DUMMYFUNCTION("""COMPUTED_VALUE"""),2.0)</f>
        <v>2</v>
      </c>
      <c r="H4058" s="4">
        <f>IFERROR(__xludf.DUMMYFUNCTION("""COMPUTED_VALUE"""),9.0)</f>
        <v>9</v>
      </c>
      <c r="I4058" s="4">
        <f>IFERROR(__xludf.DUMMYFUNCTION("""COMPUTED_VALUE"""),4.0)</f>
        <v>4</v>
      </c>
      <c r="J4058" s="4">
        <f>IFERROR(__xludf.DUMMYFUNCTION("""COMPUTED_VALUE"""),2.0)</f>
        <v>2</v>
      </c>
      <c r="K4058" s="4">
        <f>IFERROR(__xludf.DUMMYFUNCTION("""COMPUTED_VALUE"""),3.0)</f>
        <v>3</v>
      </c>
      <c r="L4058" s="4">
        <f>IFERROR(__xludf.DUMMYFUNCTION("""COMPUTED_VALUE"""),0.667)</f>
        <v>0.667</v>
      </c>
      <c r="M4058" s="4"/>
      <c r="N4058" s="4"/>
      <c r="O4058" s="4">
        <f>IFERROR(__xludf.DUMMYFUNCTION("""COMPUTED_VALUE"""),4.5)</f>
        <v>4.5</v>
      </c>
      <c r="P4058" s="4">
        <f>IFERROR(__xludf.DUMMYFUNCTION("""COMPUTED_VALUE"""),2.0)</f>
        <v>2</v>
      </c>
      <c r="Q4058" s="4">
        <f>IFERROR(__xludf.DUMMYFUNCTION("""COMPUTED_VALUE"""),1.0)</f>
        <v>1</v>
      </c>
      <c r="R4058" s="4">
        <f>IFERROR(__xludf.DUMMYFUNCTION("""COMPUTED_VALUE"""),1.5)</f>
        <v>1.5</v>
      </c>
      <c r="S4058" s="4">
        <f>IFERROR(__xludf.DUMMYFUNCTION("""COMPUTED_VALUE"""),0.0)</f>
        <v>0</v>
      </c>
      <c r="T4058" s="4">
        <f>IFERROR(__xludf.DUMMYFUNCTION("""COMPUTED_VALUE"""),0.093)</f>
        <v>0.093</v>
      </c>
      <c r="U4058" s="4">
        <f>IFERROR(__xludf.DUMMYFUNCTION("""COMPUTED_VALUE"""),-4.0)</f>
        <v>-4</v>
      </c>
      <c r="V4058" s="4">
        <f>IFERROR(__xludf.DUMMYFUNCTION("""COMPUTED_VALUE"""),0.0)</f>
        <v>0</v>
      </c>
    </row>
    <row r="4059">
      <c r="A4059" s="4">
        <f>IFERROR(__xludf.DUMMYFUNCTION("""COMPUTED_VALUE"""),58.0)</f>
        <v>58</v>
      </c>
      <c r="B4059" s="4">
        <f>IFERROR(__xludf.DUMMYFUNCTION("""COMPUTED_VALUE"""),58.0)</f>
        <v>58</v>
      </c>
      <c r="C4059" s="4" t="str">
        <f>IFERROR(__xludf.DUMMYFUNCTION("""COMPUTED_VALUE"""),"NYK")</f>
        <v>NYK</v>
      </c>
      <c r="D4059" s="4" t="str">
        <f>IFERROR(__xludf.DUMMYFUNCTION("""COMPUTED_VALUE"""),"Kurt Rambis")</f>
        <v>Kurt Rambis</v>
      </c>
      <c r="E4059" s="4" t="str">
        <f>IFERROR(__xludf.DUMMYFUNCTION("""COMPUTED_VALUE"""),"Santa Clara")</f>
        <v>Santa Clara</v>
      </c>
      <c r="F4059" s="4">
        <f>IFERROR(__xludf.DUMMYFUNCTION("""COMPUTED_VALUE"""),14.0)</f>
        <v>14</v>
      </c>
      <c r="G4059" s="4">
        <f>IFERROR(__xludf.DUMMYFUNCTION("""COMPUTED_VALUE"""),880.0)</f>
        <v>880</v>
      </c>
      <c r="H4059" s="4">
        <f>IFERROR(__xludf.DUMMYFUNCTION("""COMPUTED_VALUE"""),16299.0)</f>
        <v>16299</v>
      </c>
      <c r="I4059" s="4">
        <f>IFERROR(__xludf.DUMMYFUNCTION("""COMPUTED_VALUE"""),4603.0)</f>
        <v>4603</v>
      </c>
      <c r="J4059" s="4">
        <f>IFERROR(__xludf.DUMMYFUNCTION("""COMPUTED_VALUE"""),4961.0)</f>
        <v>4961</v>
      </c>
      <c r="K4059" s="4">
        <f>IFERROR(__xludf.DUMMYFUNCTION("""COMPUTED_VALUE"""),931.0)</f>
        <v>931</v>
      </c>
      <c r="L4059" s="4">
        <f>IFERROR(__xludf.DUMMYFUNCTION("""COMPUTED_VALUE"""),0.534)</f>
        <v>0.534</v>
      </c>
      <c r="M4059" s="4">
        <f>IFERROR(__xludf.DUMMYFUNCTION("""COMPUTED_VALUE"""),0.0)</f>
        <v>0</v>
      </c>
      <c r="N4059" s="4">
        <f>IFERROR(__xludf.DUMMYFUNCTION("""COMPUTED_VALUE"""),0.689)</f>
        <v>0.689</v>
      </c>
      <c r="O4059" s="4">
        <f>IFERROR(__xludf.DUMMYFUNCTION("""COMPUTED_VALUE"""),18.5)</f>
        <v>18.5</v>
      </c>
      <c r="P4059" s="4">
        <f>IFERROR(__xludf.DUMMYFUNCTION("""COMPUTED_VALUE"""),5.2)</f>
        <v>5.2</v>
      </c>
      <c r="Q4059" s="4">
        <f>IFERROR(__xludf.DUMMYFUNCTION("""COMPUTED_VALUE"""),5.6)</f>
        <v>5.6</v>
      </c>
      <c r="R4059" s="4">
        <f>IFERROR(__xludf.DUMMYFUNCTION("""COMPUTED_VALUE"""),1.1)</f>
        <v>1.1</v>
      </c>
      <c r="S4059" s="4">
        <f>IFERROR(__xludf.DUMMYFUNCTION("""COMPUTED_VALUE"""),38.3)</f>
        <v>38.3</v>
      </c>
      <c r="T4059" s="4">
        <f>IFERROR(__xludf.DUMMYFUNCTION("""COMPUTED_VALUE"""),0.113)</f>
        <v>0.113</v>
      </c>
      <c r="U4059" s="4">
        <f>IFERROR(__xludf.DUMMYFUNCTION("""COMPUTED_VALUE"""),0.0)</f>
        <v>0</v>
      </c>
      <c r="V4059" s="4">
        <f>IFERROR(__xludf.DUMMYFUNCTION("""COMPUTED_VALUE"""),8.1)</f>
        <v>8.1</v>
      </c>
    </row>
    <row r="4060">
      <c r="A4060" s="4">
        <f>IFERROR(__xludf.DUMMYFUNCTION("""COMPUTED_VALUE"""),59.0)</f>
        <v>59</v>
      </c>
      <c r="B4060" s="4">
        <f>IFERROR(__xludf.DUMMYFUNCTION("""COMPUTED_VALUE"""),59.0)</f>
        <v>59</v>
      </c>
      <c r="C4060" s="4" t="str">
        <f>IFERROR(__xludf.DUMMYFUNCTION("""COMPUTED_VALUE"""),"PHO")</f>
        <v>PHO</v>
      </c>
      <c r="D4060" s="4" t="str">
        <f>IFERROR(__xludf.DUMMYFUNCTION("""COMPUTED_VALUE"""),"John Campbell")</f>
        <v>John Campbell</v>
      </c>
      <c r="E4060" s="4" t="str">
        <f>IFERROR(__xludf.DUMMYFUNCTION("""COMPUTED_VALUE"""),"Clemson")</f>
        <v>Clemson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</row>
    <row r="4061">
      <c r="A4061" s="4">
        <f>IFERROR(__xludf.DUMMYFUNCTION("""COMPUTED_VALUE"""),60.0)</f>
        <v>60</v>
      </c>
      <c r="B4061" s="4">
        <f>IFERROR(__xludf.DUMMYFUNCTION("""COMPUTED_VALUE"""),60.0)</f>
        <v>60</v>
      </c>
      <c r="C4061" s="4" t="str">
        <f>IFERROR(__xludf.DUMMYFUNCTION("""COMPUTED_VALUE"""),"SAS")</f>
        <v>SAS</v>
      </c>
      <c r="D4061" s="4" t="str">
        <f>IFERROR(__xludf.DUMMYFUNCTION("""COMPUTED_VALUE"""),"LaVon Mercer")</f>
        <v>LaVon Mercer</v>
      </c>
      <c r="E4061" s="4" t="str">
        <f>IFERROR(__xludf.DUMMYFUNCTION("""COMPUTED_VALUE"""),"Georgia")</f>
        <v>Georgia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</row>
    <row r="4062">
      <c r="A4062" s="4">
        <f>IFERROR(__xludf.DUMMYFUNCTION("""COMPUTED_VALUE"""),61.0)</f>
        <v>61</v>
      </c>
      <c r="B4062" s="4">
        <f>IFERROR(__xludf.DUMMYFUNCTION("""COMPUTED_VALUE"""),61.0)</f>
        <v>61</v>
      </c>
      <c r="C4062" s="4" t="str">
        <f>IFERROR(__xludf.DUMMYFUNCTION("""COMPUTED_VALUE"""),"SAS")</f>
        <v>SAS</v>
      </c>
      <c r="D4062" s="4" t="str">
        <f>IFERROR(__xludf.DUMMYFUNCTION("""COMPUTED_VALUE"""),"Rich Yonakor")</f>
        <v>Rich Yonakor</v>
      </c>
      <c r="E4062" s="4" t="str">
        <f>IFERROR(__xludf.DUMMYFUNCTION("""COMPUTED_VALUE"""),"UNC")</f>
        <v>UNC</v>
      </c>
      <c r="F4062" s="4">
        <f>IFERROR(__xludf.DUMMYFUNCTION("""COMPUTED_VALUE"""),1.0)</f>
        <v>1</v>
      </c>
      <c r="G4062" s="4">
        <f>IFERROR(__xludf.DUMMYFUNCTION("""COMPUTED_VALUE"""),10.0)</f>
        <v>10</v>
      </c>
      <c r="H4062" s="4">
        <f>IFERROR(__xludf.DUMMYFUNCTION("""COMPUTED_VALUE"""),70.0)</f>
        <v>70</v>
      </c>
      <c r="I4062" s="4">
        <f>IFERROR(__xludf.DUMMYFUNCTION("""COMPUTED_VALUE"""),33.0)</f>
        <v>33</v>
      </c>
      <c r="J4062" s="4">
        <f>IFERROR(__xludf.DUMMYFUNCTION("""COMPUTED_VALUE"""),27.0)</f>
        <v>27</v>
      </c>
      <c r="K4062" s="4">
        <f>IFERROR(__xludf.DUMMYFUNCTION("""COMPUTED_VALUE"""),3.0)</f>
        <v>3</v>
      </c>
      <c r="L4062" s="4">
        <f>IFERROR(__xludf.DUMMYFUNCTION("""COMPUTED_VALUE"""),0.538)</f>
        <v>0.538</v>
      </c>
      <c r="M4062" s="4"/>
      <c r="N4062" s="4">
        <f>IFERROR(__xludf.DUMMYFUNCTION("""COMPUTED_VALUE"""),0.714)</f>
        <v>0.714</v>
      </c>
      <c r="O4062" s="4">
        <f>IFERROR(__xludf.DUMMYFUNCTION("""COMPUTED_VALUE"""),7.0)</f>
        <v>7</v>
      </c>
      <c r="P4062" s="4">
        <f>IFERROR(__xludf.DUMMYFUNCTION("""COMPUTED_VALUE"""),3.3)</f>
        <v>3.3</v>
      </c>
      <c r="Q4062" s="4">
        <f>IFERROR(__xludf.DUMMYFUNCTION("""COMPUTED_VALUE"""),2.7)</f>
        <v>2.7</v>
      </c>
      <c r="R4062" s="4">
        <f>IFERROR(__xludf.DUMMYFUNCTION("""COMPUTED_VALUE"""),0.3)</f>
        <v>0.3</v>
      </c>
      <c r="S4062" s="4">
        <f>IFERROR(__xludf.DUMMYFUNCTION("""COMPUTED_VALUE"""),0.3)</f>
        <v>0.3</v>
      </c>
      <c r="T4062" s="4">
        <f>IFERROR(__xludf.DUMMYFUNCTION("""COMPUTED_VALUE"""),0.201)</f>
        <v>0.201</v>
      </c>
      <c r="U4062" s="4">
        <f>IFERROR(__xludf.DUMMYFUNCTION("""COMPUTED_VALUE"""),-1.8)</f>
        <v>-1.8</v>
      </c>
      <c r="V4062" s="4">
        <f>IFERROR(__xludf.DUMMYFUNCTION("""COMPUTED_VALUE"""),0.1)</f>
        <v>0.1</v>
      </c>
    </row>
    <row r="4063">
      <c r="A4063" s="4">
        <f>IFERROR(__xludf.DUMMYFUNCTION("""COMPUTED_VALUE"""),62.0)</f>
        <v>62</v>
      </c>
      <c r="B4063" s="4">
        <f>IFERROR(__xludf.DUMMYFUNCTION("""COMPUTED_VALUE"""),62.0)</f>
        <v>62</v>
      </c>
      <c r="C4063" s="4" t="str">
        <f>IFERROR(__xludf.DUMMYFUNCTION("""COMPUTED_VALUE"""),"KCK")</f>
        <v>KCK</v>
      </c>
      <c r="D4063" s="4" t="str">
        <f>IFERROR(__xludf.DUMMYFUNCTION("""COMPUTED_VALUE"""),"Tony Murphy")</f>
        <v>Tony Murphy</v>
      </c>
      <c r="E4063" s="4" t="str">
        <f>IFERROR(__xludf.DUMMYFUNCTION("""COMPUTED_VALUE"""),"Southern University and A&amp;M College")</f>
        <v>Southern University and A&amp;M College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</row>
    <row r="4064">
      <c r="A4064" s="4">
        <f>IFERROR(__xludf.DUMMYFUNCTION("""COMPUTED_VALUE"""),63.0)</f>
        <v>63</v>
      </c>
      <c r="B4064" s="4">
        <f>IFERROR(__xludf.DUMMYFUNCTION("""COMPUTED_VALUE"""),63.0)</f>
        <v>63</v>
      </c>
      <c r="C4064" s="4" t="str">
        <f>IFERROR(__xludf.DUMMYFUNCTION("""COMPUTED_VALUE"""),"MIL")</f>
        <v>MIL</v>
      </c>
      <c r="D4064" s="4" t="str">
        <f>IFERROR(__xludf.DUMMYFUNCTION("""COMPUTED_VALUE"""),"Al Beal")</f>
        <v>Al Beal</v>
      </c>
      <c r="E4064" s="4" t="str">
        <f>IFERROR(__xludf.DUMMYFUNCTION("""COMPUTED_VALUE"""),"Oklahoma")</f>
        <v>Oklahoma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</row>
    <row r="4065">
      <c r="A4065" s="4">
        <f>IFERROR(__xludf.DUMMYFUNCTION("""COMPUTED_VALUE"""),64.0)</f>
        <v>64</v>
      </c>
      <c r="B4065" s="4">
        <f>IFERROR(__xludf.DUMMYFUNCTION("""COMPUTED_VALUE"""),64.0)</f>
        <v>64</v>
      </c>
      <c r="C4065" s="4" t="str">
        <f>IFERROR(__xludf.DUMMYFUNCTION("""COMPUTED_VALUE"""),"DET")</f>
        <v>DET</v>
      </c>
      <c r="D4065" s="4" t="str">
        <f>IFERROR(__xludf.DUMMYFUNCTION("""COMPUTED_VALUE"""),"Jonathan Moore")</f>
        <v>Jonathan Moore</v>
      </c>
      <c r="E4065" s="4" t="str">
        <f>IFERROR(__xludf.DUMMYFUNCTION("""COMPUTED_VALUE"""),"Furman University")</f>
        <v>Furman University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</row>
    <row r="4066">
      <c r="A4066" s="4">
        <f>IFERROR(__xludf.DUMMYFUNCTION("""COMPUTED_VALUE"""),65.0)</f>
        <v>65</v>
      </c>
      <c r="B4066" s="4">
        <f>IFERROR(__xludf.DUMMYFUNCTION("""COMPUTED_VALUE"""),65.0)</f>
        <v>65</v>
      </c>
      <c r="C4066" s="4" t="str">
        <f>IFERROR(__xludf.DUMMYFUNCTION("""COMPUTED_VALUE"""),"PHO")</f>
        <v>PHO</v>
      </c>
      <c r="D4066" s="4" t="str">
        <f>IFERROR(__xludf.DUMMYFUNCTION("""COMPUTED_VALUE"""),"Doug True")</f>
        <v>Doug True</v>
      </c>
      <c r="E4066" s="4" t="str">
        <f>IFERROR(__xludf.DUMMYFUNCTION("""COMPUTED_VALUE"""),"California")</f>
        <v>California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</row>
    <row r="4067">
      <c r="A4067" s="4">
        <f>IFERROR(__xludf.DUMMYFUNCTION("""COMPUTED_VALUE"""),66.0)</f>
        <v>66</v>
      </c>
      <c r="B4067" s="4">
        <f>IFERROR(__xludf.DUMMYFUNCTION("""COMPUTED_VALUE"""),66.0)</f>
        <v>66</v>
      </c>
      <c r="C4067" s="4" t="str">
        <f>IFERROR(__xludf.DUMMYFUNCTION("""COMPUTED_VALUE"""),"SEA")</f>
        <v>SEA</v>
      </c>
      <c r="D4067" s="4" t="str">
        <f>IFERROR(__xludf.DUMMYFUNCTION("""COMPUTED_VALUE"""),"Carl Bailey")</f>
        <v>Carl Bailey</v>
      </c>
      <c r="E4067" s="4" t="str">
        <f>IFERROR(__xludf.DUMMYFUNCTION("""COMPUTED_VALUE"""),"Tuskegee University")</f>
        <v>Tuskegee University</v>
      </c>
      <c r="F4067" s="4">
        <f>IFERROR(__xludf.DUMMYFUNCTION("""COMPUTED_VALUE"""),1.0)</f>
        <v>1</v>
      </c>
      <c r="G4067" s="4">
        <f>IFERROR(__xludf.DUMMYFUNCTION("""COMPUTED_VALUE"""),1.0)</f>
        <v>1</v>
      </c>
      <c r="H4067" s="4">
        <f>IFERROR(__xludf.DUMMYFUNCTION("""COMPUTED_VALUE"""),7.0)</f>
        <v>7</v>
      </c>
      <c r="I4067" s="4">
        <f>IFERROR(__xludf.DUMMYFUNCTION("""COMPUTED_VALUE"""),2.0)</f>
        <v>2</v>
      </c>
      <c r="J4067" s="4">
        <f>IFERROR(__xludf.DUMMYFUNCTION("""COMPUTED_VALUE"""),0.0)</f>
        <v>0</v>
      </c>
      <c r="K4067" s="4">
        <f>IFERROR(__xludf.DUMMYFUNCTION("""COMPUTED_VALUE"""),0.0)</f>
        <v>0</v>
      </c>
      <c r="L4067" s="4">
        <f>IFERROR(__xludf.DUMMYFUNCTION("""COMPUTED_VALUE"""),1.0)</f>
        <v>1</v>
      </c>
      <c r="M4067" s="4"/>
      <c r="N4067" s="4"/>
      <c r="O4067" s="4">
        <f>IFERROR(__xludf.DUMMYFUNCTION("""COMPUTED_VALUE"""),7.0)</f>
        <v>7</v>
      </c>
      <c r="P4067" s="4">
        <f>IFERROR(__xludf.DUMMYFUNCTION("""COMPUTED_VALUE"""),2.0)</f>
        <v>2</v>
      </c>
      <c r="Q4067" s="4">
        <f>IFERROR(__xludf.DUMMYFUNCTION("""COMPUTED_VALUE"""),0.0)</f>
        <v>0</v>
      </c>
      <c r="R4067" s="4">
        <f>IFERROR(__xludf.DUMMYFUNCTION("""COMPUTED_VALUE"""),0.0)</f>
        <v>0</v>
      </c>
      <c r="S4067" s="4">
        <f>IFERROR(__xludf.DUMMYFUNCTION("""COMPUTED_VALUE"""),0.0)</f>
        <v>0</v>
      </c>
      <c r="T4067" s="4">
        <f>IFERROR(__xludf.DUMMYFUNCTION("""COMPUTED_VALUE"""),-0.268)</f>
        <v>-0.268</v>
      </c>
      <c r="U4067" s="4">
        <f>IFERROR(__xludf.DUMMYFUNCTION("""COMPUTED_VALUE"""),-5.1)</f>
        <v>-5.1</v>
      </c>
      <c r="V4067" s="4">
        <f>IFERROR(__xludf.DUMMYFUNCTION("""COMPUTED_VALUE"""),0.0)</f>
        <v>0</v>
      </c>
    </row>
    <row r="4068">
      <c r="A4068" s="4">
        <f>IFERROR(__xludf.DUMMYFUNCTION("""COMPUTED_VALUE"""),67.0)</f>
        <v>67</v>
      </c>
      <c r="B4068" s="4">
        <f>IFERROR(__xludf.DUMMYFUNCTION("""COMPUTED_VALUE"""),67.0)</f>
        <v>67</v>
      </c>
      <c r="C4068" s="4" t="str">
        <f>IFERROR(__xludf.DUMMYFUNCTION("""COMPUTED_VALUE"""),"PHI")</f>
        <v>PHI</v>
      </c>
      <c r="D4068" s="4" t="str">
        <f>IFERROR(__xludf.DUMMYFUNCTION("""COMPUTED_VALUE"""),"Reggie Gaines")</f>
        <v>Reggie Gaines</v>
      </c>
      <c r="E4068" s="4" t="str">
        <f>IFERROR(__xludf.DUMMYFUNCTION("""COMPUTED_VALUE"""),"Winston-Salem State")</f>
        <v>Winston-Salem State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</row>
    <row r="4069">
      <c r="A4069" s="4">
        <f>IFERROR(__xludf.DUMMYFUNCTION("""COMPUTED_VALUE"""),68.0)</f>
        <v>68</v>
      </c>
      <c r="B4069" s="4">
        <f>IFERROR(__xludf.DUMMYFUNCTION("""COMPUTED_VALUE"""),68.0)</f>
        <v>68</v>
      </c>
      <c r="C4069" s="4" t="str">
        <f>IFERROR(__xludf.DUMMYFUNCTION("""COMPUTED_VALUE"""),"CLE")</f>
        <v>CLE</v>
      </c>
      <c r="D4069" s="4" t="str">
        <f>IFERROR(__xludf.DUMMYFUNCTION("""COMPUTED_VALUE"""),"Ron Jones")</f>
        <v>Ron Jones</v>
      </c>
      <c r="E4069" s="4" t="str">
        <f>IFERROR(__xludf.DUMMYFUNCTION("""COMPUTED_VALUE"""),"Illinois State")</f>
        <v>Illinois State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</row>
    <row r="4070">
      <c r="A4070" s="4">
        <f>IFERROR(__xludf.DUMMYFUNCTION("""COMPUTED_VALUE"""),69.0)</f>
        <v>69</v>
      </c>
      <c r="B4070" s="4">
        <f>IFERROR(__xludf.DUMMYFUNCTION("""COMPUTED_VALUE"""),69.0)</f>
        <v>69</v>
      </c>
      <c r="C4070" s="4" t="str">
        <f>IFERROR(__xludf.DUMMYFUNCTION("""COMPUTED_VALUE"""),"BOS")</f>
        <v>BOS</v>
      </c>
      <c r="D4070" s="4" t="str">
        <f>IFERROR(__xludf.DUMMYFUNCTION("""COMPUTED_VALUE"""),"Don Newman")</f>
        <v>Don Newman</v>
      </c>
      <c r="E4070" s="4" t="str">
        <f>IFERROR(__xludf.DUMMYFUNCTION("""COMPUTED_VALUE"""),"Idaho")</f>
        <v>Idaho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</row>
    <row r="4071">
      <c r="A4071" s="4"/>
      <c r="B4071" s="4"/>
      <c r="C4071" s="4"/>
      <c r="D4071" s="4" t="str">
        <f>IFERROR(__xludf.DUMMYFUNCTION("""COMPUTED_VALUE"""),"Round 4")</f>
        <v>Round 4</v>
      </c>
      <c r="E4071" s="4"/>
      <c r="F4071" s="4"/>
      <c r="G4071" s="4" t="str">
        <f>IFERROR(__xludf.DUMMYFUNCTION("""COMPUTED_VALUE"""),"Totals")</f>
        <v>Totals</v>
      </c>
      <c r="H4071" s="4"/>
      <c r="I4071" s="4"/>
      <c r="J4071" s="4"/>
      <c r="K4071" s="4"/>
      <c r="L4071" s="4" t="str">
        <f>IFERROR(__xludf.DUMMYFUNCTION("""COMPUTED_VALUE"""),"Shooting")</f>
        <v>Shooting</v>
      </c>
      <c r="M4071" s="4"/>
      <c r="N4071" s="4"/>
      <c r="O4071" s="4" t="str">
        <f>IFERROR(__xludf.DUMMYFUNCTION("""COMPUTED_VALUE"""),"Per Game")</f>
        <v>Per Game</v>
      </c>
      <c r="P4071" s="4"/>
      <c r="Q4071" s="4"/>
      <c r="R4071" s="4"/>
      <c r="S4071" s="4" t="str">
        <f>IFERROR(__xludf.DUMMYFUNCTION("""COMPUTED_VALUE"""),"Advanced")</f>
        <v>Advanced</v>
      </c>
      <c r="T4071" s="4"/>
      <c r="U4071" s="4"/>
      <c r="V4071" s="4"/>
    </row>
    <row r="4072">
      <c r="A4072" s="4" t="str">
        <f>IFERROR(__xludf.DUMMYFUNCTION("""COMPUTED_VALUE"""),"Rk")</f>
        <v>Rk</v>
      </c>
      <c r="B4072" s="4" t="str">
        <f>IFERROR(__xludf.DUMMYFUNCTION("""COMPUTED_VALUE"""),"Pk")</f>
        <v>Pk</v>
      </c>
      <c r="C4072" s="4" t="str">
        <f>IFERROR(__xludf.DUMMYFUNCTION("""COMPUTED_VALUE"""),"Tm")</f>
        <v>Tm</v>
      </c>
      <c r="D4072" s="4" t="str">
        <f>IFERROR(__xludf.DUMMYFUNCTION("""COMPUTED_VALUE"""),"Player")</f>
        <v>Player</v>
      </c>
      <c r="E4072" s="4" t="str">
        <f>IFERROR(__xludf.DUMMYFUNCTION("""COMPUTED_VALUE"""),"College")</f>
        <v>College</v>
      </c>
      <c r="F4072" s="4" t="str">
        <f>IFERROR(__xludf.DUMMYFUNCTION("""COMPUTED_VALUE"""),"Yrs")</f>
        <v>Yrs</v>
      </c>
      <c r="G4072" s="4" t="str">
        <f>IFERROR(__xludf.DUMMYFUNCTION("""COMPUTED_VALUE"""),"G")</f>
        <v>G</v>
      </c>
      <c r="H4072" s="4" t="str">
        <f>IFERROR(__xludf.DUMMYFUNCTION("""COMPUTED_VALUE"""),"MP")</f>
        <v>MP</v>
      </c>
      <c r="I4072" s="4" t="str">
        <f>IFERROR(__xludf.DUMMYFUNCTION("""COMPUTED_VALUE"""),"PTS")</f>
        <v>PTS</v>
      </c>
      <c r="J4072" s="4" t="str">
        <f>IFERROR(__xludf.DUMMYFUNCTION("""COMPUTED_VALUE"""),"TRB")</f>
        <v>TRB</v>
      </c>
      <c r="K4072" s="4" t="str">
        <f>IFERROR(__xludf.DUMMYFUNCTION("""COMPUTED_VALUE"""),"AST")</f>
        <v>AST</v>
      </c>
      <c r="L4072" s="4" t="str">
        <f>IFERROR(__xludf.DUMMYFUNCTION("""COMPUTED_VALUE"""),"FG%")</f>
        <v>FG%</v>
      </c>
      <c r="M4072" s="4" t="str">
        <f>IFERROR(__xludf.DUMMYFUNCTION("""COMPUTED_VALUE"""),"3P%")</f>
        <v>3P%</v>
      </c>
      <c r="N4072" s="4" t="str">
        <f>IFERROR(__xludf.DUMMYFUNCTION("""COMPUTED_VALUE"""),"FT%")</f>
        <v>FT%</v>
      </c>
      <c r="O4072" s="4" t="str">
        <f>IFERROR(__xludf.DUMMYFUNCTION("""COMPUTED_VALUE"""),"MP")</f>
        <v>MP</v>
      </c>
      <c r="P4072" s="4" t="str">
        <f>IFERROR(__xludf.DUMMYFUNCTION("""COMPUTED_VALUE"""),"PTS")</f>
        <v>PTS</v>
      </c>
      <c r="Q4072" s="4" t="str">
        <f>IFERROR(__xludf.DUMMYFUNCTION("""COMPUTED_VALUE"""),"TRB")</f>
        <v>TRB</v>
      </c>
      <c r="R4072" s="4" t="str">
        <f>IFERROR(__xludf.DUMMYFUNCTION("""COMPUTED_VALUE"""),"AST")</f>
        <v>AST</v>
      </c>
      <c r="S4072" s="4" t="str">
        <f>IFERROR(__xludf.DUMMYFUNCTION("""COMPUTED_VALUE"""),"WS")</f>
        <v>WS</v>
      </c>
      <c r="T4072" s="4" t="str">
        <f>IFERROR(__xludf.DUMMYFUNCTION("""COMPUTED_VALUE"""),"WS/48")</f>
        <v>WS/48</v>
      </c>
      <c r="U4072" s="4" t="str">
        <f>IFERROR(__xludf.DUMMYFUNCTION("""COMPUTED_VALUE"""),"BPM")</f>
        <v>BPM</v>
      </c>
      <c r="V4072" s="4" t="str">
        <f>IFERROR(__xludf.DUMMYFUNCTION("""COMPUTED_VALUE"""),"VORP")</f>
        <v>VORP</v>
      </c>
    </row>
    <row r="4073">
      <c r="A4073" s="4">
        <f>IFERROR(__xludf.DUMMYFUNCTION("""COMPUTED_VALUE"""),70.0)</f>
        <v>70</v>
      </c>
      <c r="B4073" s="4">
        <f>IFERROR(__xludf.DUMMYFUNCTION("""COMPUTED_VALUE"""),70.0)</f>
        <v>70</v>
      </c>
      <c r="C4073" s="4" t="str">
        <f>IFERROR(__xludf.DUMMYFUNCTION("""COMPUTED_VALUE"""),"DET")</f>
        <v>DET</v>
      </c>
      <c r="D4073" s="4" t="str">
        <f>IFERROR(__xludf.DUMMYFUNCTION("""COMPUTED_VALUE"""),"Darwin Cook")</f>
        <v>Darwin Cook</v>
      </c>
      <c r="E4073" s="4" t="str">
        <f>IFERROR(__xludf.DUMMYFUNCTION("""COMPUTED_VALUE"""),"University of Portland")</f>
        <v>University of Portland</v>
      </c>
      <c r="F4073" s="4">
        <f>IFERROR(__xludf.DUMMYFUNCTION("""COMPUTED_VALUE"""),8.0)</f>
        <v>8</v>
      </c>
      <c r="G4073" s="4">
        <f>IFERROR(__xludf.DUMMYFUNCTION("""COMPUTED_VALUE"""),612.0)</f>
        <v>612</v>
      </c>
      <c r="H4073" s="4">
        <f>IFERROR(__xludf.DUMMYFUNCTION("""COMPUTED_VALUE"""),14156.0)</f>
        <v>14156</v>
      </c>
      <c r="I4073" s="4">
        <f>IFERROR(__xludf.DUMMYFUNCTION("""COMPUTED_VALUE"""),5820.0)</f>
        <v>5820</v>
      </c>
      <c r="J4073" s="4">
        <f>IFERROR(__xludf.DUMMYFUNCTION("""COMPUTED_VALUE"""),1308.0)</f>
        <v>1308</v>
      </c>
      <c r="K4073" s="4">
        <f>IFERROR(__xludf.DUMMYFUNCTION("""COMPUTED_VALUE"""),2248.0)</f>
        <v>2248</v>
      </c>
      <c r="L4073" s="4">
        <f>IFERROR(__xludf.DUMMYFUNCTION("""COMPUTED_VALUE"""),0.453)</f>
        <v>0.453</v>
      </c>
      <c r="M4073" s="4">
        <f>IFERROR(__xludf.DUMMYFUNCTION("""COMPUTED_VALUE"""),0.196)</f>
        <v>0.196</v>
      </c>
      <c r="N4073" s="4">
        <f>IFERROR(__xludf.DUMMYFUNCTION("""COMPUTED_VALUE"""),0.764)</f>
        <v>0.764</v>
      </c>
      <c r="O4073" s="4">
        <f>IFERROR(__xludf.DUMMYFUNCTION("""COMPUTED_VALUE"""),23.1)</f>
        <v>23.1</v>
      </c>
      <c r="P4073" s="4">
        <f>IFERROR(__xludf.DUMMYFUNCTION("""COMPUTED_VALUE"""),9.5)</f>
        <v>9.5</v>
      </c>
      <c r="Q4073" s="4">
        <f>IFERROR(__xludf.DUMMYFUNCTION("""COMPUTED_VALUE"""),2.1)</f>
        <v>2.1</v>
      </c>
      <c r="R4073" s="4">
        <f>IFERROR(__xludf.DUMMYFUNCTION("""COMPUTED_VALUE"""),3.7)</f>
        <v>3.7</v>
      </c>
      <c r="S4073" s="4">
        <f>IFERROR(__xludf.DUMMYFUNCTION("""COMPUTED_VALUE"""),22.9)</f>
        <v>22.9</v>
      </c>
      <c r="T4073" s="4">
        <f>IFERROR(__xludf.DUMMYFUNCTION("""COMPUTED_VALUE"""),0.078)</f>
        <v>0.078</v>
      </c>
      <c r="U4073" s="4">
        <f>IFERROR(__xludf.DUMMYFUNCTION("""COMPUTED_VALUE"""),0.6)</f>
        <v>0.6</v>
      </c>
      <c r="V4073" s="4">
        <f>IFERROR(__xludf.DUMMYFUNCTION("""COMPUTED_VALUE"""),9.4)</f>
        <v>9.4</v>
      </c>
    </row>
    <row r="4074">
      <c r="A4074" s="4">
        <f>IFERROR(__xludf.DUMMYFUNCTION("""COMPUTED_VALUE"""),71.0)</f>
        <v>71</v>
      </c>
      <c r="B4074" s="4">
        <f>IFERROR(__xludf.DUMMYFUNCTION("""COMPUTED_VALUE"""),71.0)</f>
        <v>71</v>
      </c>
      <c r="C4074" s="4" t="str">
        <f>IFERROR(__xludf.DUMMYFUNCTION("""COMPUTED_VALUE"""),"GSW")</f>
        <v>GSW</v>
      </c>
      <c r="D4074" s="4" t="str">
        <f>IFERROR(__xludf.DUMMYFUNCTION("""COMPUTED_VALUE"""),"Robert Scott")</f>
        <v>Robert Scott</v>
      </c>
      <c r="E4074" s="4" t="str">
        <f>IFERROR(__xludf.DUMMYFUNCTION("""COMPUTED_VALUE"""),"Alabama")</f>
        <v>Alabama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</row>
    <row r="4075">
      <c r="A4075" s="4">
        <f>IFERROR(__xludf.DUMMYFUNCTION("""COMPUTED_VALUE"""),72.0)</f>
        <v>72</v>
      </c>
      <c r="B4075" s="4">
        <f>IFERROR(__xludf.DUMMYFUNCTION("""COMPUTED_VALUE"""),72.0)</f>
        <v>72</v>
      </c>
      <c r="C4075" s="4" t="str">
        <f>IFERROR(__xludf.DUMMYFUNCTION("""COMPUTED_VALUE"""),"UTA")</f>
        <v>UTA</v>
      </c>
      <c r="D4075" s="4" t="str">
        <f>IFERROR(__xludf.DUMMYFUNCTION("""COMPUTED_VALUE"""),"Alan Taylor")</f>
        <v>Alan Taylor</v>
      </c>
      <c r="E4075" s="4" t="str">
        <f>IFERROR(__xludf.DUMMYFUNCTION("""COMPUTED_VALUE"""),"BYU")</f>
        <v>BYU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</row>
    <row r="4076">
      <c r="A4076" s="4">
        <f>IFERROR(__xludf.DUMMYFUNCTION("""COMPUTED_VALUE"""),73.0)</f>
        <v>73</v>
      </c>
      <c r="B4076" s="4">
        <f>IFERROR(__xludf.DUMMYFUNCTION("""COMPUTED_VALUE"""),73.0)</f>
        <v>73</v>
      </c>
      <c r="C4076" s="4" t="str">
        <f>IFERROR(__xludf.DUMMYFUNCTION("""COMPUTED_VALUE"""),"DEN")</f>
        <v>DEN</v>
      </c>
      <c r="D4076" s="4" t="str">
        <f>IFERROR(__xludf.DUMMYFUNCTION("""COMPUTED_VALUE"""),"Sammie Ellis")</f>
        <v>Sammie Ellis</v>
      </c>
      <c r="E4076" s="4" t="str">
        <f>IFERROR(__xludf.DUMMYFUNCTION("""COMPUTED_VALUE"""),"Pitt")</f>
        <v>Pitt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</row>
    <row r="4077">
      <c r="A4077" s="4">
        <f>IFERROR(__xludf.DUMMYFUNCTION("""COMPUTED_VALUE"""),74.0)</f>
        <v>74</v>
      </c>
      <c r="B4077" s="4">
        <f>IFERROR(__xludf.DUMMYFUNCTION("""COMPUTED_VALUE"""),74.0)</f>
        <v>74</v>
      </c>
      <c r="C4077" s="4" t="str">
        <f>IFERROR(__xludf.DUMMYFUNCTION("""COMPUTED_VALUE"""),"CHI")</f>
        <v>CHI</v>
      </c>
      <c r="D4077" s="4" t="str">
        <f>IFERROR(__xludf.DUMMYFUNCTION("""COMPUTED_VALUE"""),"Ron Charles")</f>
        <v>Ron Charles</v>
      </c>
      <c r="E4077" s="4" t="str">
        <f>IFERROR(__xludf.DUMMYFUNCTION("""COMPUTED_VALUE"""),"Michigan State")</f>
        <v>Michigan State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</row>
    <row r="4078">
      <c r="A4078" s="4">
        <f>IFERROR(__xludf.DUMMYFUNCTION("""COMPUTED_VALUE"""),75.0)</f>
        <v>75</v>
      </c>
      <c r="B4078" s="4">
        <f>IFERROR(__xludf.DUMMYFUNCTION("""COMPUTED_VALUE"""),75.0)</f>
        <v>75</v>
      </c>
      <c r="C4078" s="4" t="str">
        <f>IFERROR(__xludf.DUMMYFUNCTION("""COMPUTED_VALUE"""),"NJN")</f>
        <v>NJN</v>
      </c>
      <c r="D4078" s="4" t="str">
        <f>IFERROR(__xludf.DUMMYFUNCTION("""COMPUTED_VALUE"""),"Rory Sparrow")</f>
        <v>Rory Sparrow</v>
      </c>
      <c r="E4078" s="4" t="str">
        <f>IFERROR(__xludf.DUMMYFUNCTION("""COMPUTED_VALUE"""),"Villanova")</f>
        <v>Villanova</v>
      </c>
      <c r="F4078" s="4">
        <f>IFERROR(__xludf.DUMMYFUNCTION("""COMPUTED_VALUE"""),12.0)</f>
        <v>12</v>
      </c>
      <c r="G4078" s="4">
        <f>IFERROR(__xludf.DUMMYFUNCTION("""COMPUTED_VALUE"""),836.0)</f>
        <v>836</v>
      </c>
      <c r="H4078" s="4">
        <f>IFERROR(__xludf.DUMMYFUNCTION("""COMPUTED_VALUE"""),22550.0)</f>
        <v>22550</v>
      </c>
      <c r="I4078" s="4">
        <f>IFERROR(__xludf.DUMMYFUNCTION("""COMPUTED_VALUE"""),7557.0)</f>
        <v>7557</v>
      </c>
      <c r="J4078" s="4">
        <f>IFERROR(__xludf.DUMMYFUNCTION("""COMPUTED_VALUE"""),1755.0)</f>
        <v>1755</v>
      </c>
      <c r="K4078" s="4">
        <f>IFERROR(__xludf.DUMMYFUNCTION("""COMPUTED_VALUE"""),4192.0)</f>
        <v>4192</v>
      </c>
      <c r="L4078" s="4">
        <f>IFERROR(__xludf.DUMMYFUNCTION("""COMPUTED_VALUE"""),0.466)</f>
        <v>0.466</v>
      </c>
      <c r="M4078" s="4">
        <f>IFERROR(__xludf.DUMMYFUNCTION("""COMPUTED_VALUE"""),0.26)</f>
        <v>0.26</v>
      </c>
      <c r="N4078" s="4">
        <f>IFERROR(__xludf.DUMMYFUNCTION("""COMPUTED_VALUE"""),0.797)</f>
        <v>0.797</v>
      </c>
      <c r="O4078" s="4">
        <f>IFERROR(__xludf.DUMMYFUNCTION("""COMPUTED_VALUE"""),27.0)</f>
        <v>27</v>
      </c>
      <c r="P4078" s="4">
        <f>IFERROR(__xludf.DUMMYFUNCTION("""COMPUTED_VALUE"""),9.0)</f>
        <v>9</v>
      </c>
      <c r="Q4078" s="4">
        <f>IFERROR(__xludf.DUMMYFUNCTION("""COMPUTED_VALUE"""),2.1)</f>
        <v>2.1</v>
      </c>
      <c r="R4078" s="4">
        <f>IFERROR(__xludf.DUMMYFUNCTION("""COMPUTED_VALUE"""),5.0)</f>
        <v>5</v>
      </c>
      <c r="S4078" s="4">
        <f>IFERROR(__xludf.DUMMYFUNCTION("""COMPUTED_VALUE"""),28.3)</f>
        <v>28.3</v>
      </c>
      <c r="T4078" s="4">
        <f>IFERROR(__xludf.DUMMYFUNCTION("""COMPUTED_VALUE"""),0.06)</f>
        <v>0.06</v>
      </c>
      <c r="U4078" s="4">
        <f>IFERROR(__xludf.DUMMYFUNCTION("""COMPUTED_VALUE"""),-1.5)</f>
        <v>-1.5</v>
      </c>
      <c r="V4078" s="4">
        <f>IFERROR(__xludf.DUMMYFUNCTION("""COMPUTED_VALUE"""),3.0)</f>
        <v>3</v>
      </c>
    </row>
    <row r="4079">
      <c r="A4079" s="4">
        <f>IFERROR(__xludf.DUMMYFUNCTION("""COMPUTED_VALUE"""),76.0)</f>
        <v>76</v>
      </c>
      <c r="B4079" s="4">
        <f>IFERROR(__xludf.DUMMYFUNCTION("""COMPUTED_VALUE"""),76.0)</f>
        <v>76</v>
      </c>
      <c r="C4079" s="4" t="str">
        <f>IFERROR(__xludf.DUMMYFUNCTION("""COMPUTED_VALUE"""),"SDC")</f>
        <v>SDC</v>
      </c>
      <c r="D4079" s="4" t="str">
        <f>IFERROR(__xludf.DUMMYFUNCTION("""COMPUTED_VALUE"""),"Ed Odom")</f>
        <v>Ed Odom</v>
      </c>
      <c r="E4079" s="4" t="str">
        <f>IFERROR(__xludf.DUMMYFUNCTION("""COMPUTED_VALUE"""),"Oklahoma State")</f>
        <v>Oklahoma State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</row>
    <row r="4080">
      <c r="A4080" s="4">
        <f>IFERROR(__xludf.DUMMYFUNCTION("""COMPUTED_VALUE"""),77.0)</f>
        <v>77</v>
      </c>
      <c r="B4080" s="4">
        <f>IFERROR(__xludf.DUMMYFUNCTION("""COMPUTED_VALUE"""),77.0)</f>
        <v>77</v>
      </c>
      <c r="C4080" s="4" t="str">
        <f>IFERROR(__xludf.DUMMYFUNCTION("""COMPUTED_VALUE"""),"CLE")</f>
        <v>CLE</v>
      </c>
      <c r="D4080" s="4" t="str">
        <f>IFERROR(__xludf.DUMMYFUNCTION("""COMPUTED_VALUE"""),"Murray Brown")</f>
        <v>Murray Brown</v>
      </c>
      <c r="E4080" s="4" t="str">
        <f>IFERROR(__xludf.DUMMYFUNCTION("""COMPUTED_VALUE"""),"Florida State")</f>
        <v>Florida State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</row>
    <row r="4081">
      <c r="A4081" s="4">
        <f>IFERROR(__xludf.DUMMYFUNCTION("""COMPUTED_VALUE"""),78.0)</f>
        <v>78</v>
      </c>
      <c r="B4081" s="4">
        <f>IFERROR(__xludf.DUMMYFUNCTION("""COMPUTED_VALUE"""),78.0)</f>
        <v>78</v>
      </c>
      <c r="C4081" s="4" t="str">
        <f>IFERROR(__xludf.DUMMYFUNCTION("""COMPUTED_VALUE"""),"IND")</f>
        <v>IND</v>
      </c>
      <c r="D4081" s="4" t="str">
        <f>IFERROR(__xludf.DUMMYFUNCTION("""COMPUTED_VALUE"""),"Rich Branning")</f>
        <v>Rich Branning</v>
      </c>
      <c r="E4081" s="4" t="str">
        <f>IFERROR(__xludf.DUMMYFUNCTION("""COMPUTED_VALUE"""),"Notre Dame")</f>
        <v>Notre Dame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</row>
    <row r="4082">
      <c r="A4082" s="4">
        <f>IFERROR(__xludf.DUMMYFUNCTION("""COMPUTED_VALUE"""),79.0)</f>
        <v>79</v>
      </c>
      <c r="B4082" s="4">
        <f>IFERROR(__xludf.DUMMYFUNCTION("""COMPUTED_VALUE"""),79.0)</f>
        <v>79</v>
      </c>
      <c r="C4082" s="4" t="str">
        <f>IFERROR(__xludf.DUMMYFUNCTION("""COMPUTED_VALUE"""),"POR")</f>
        <v>POR</v>
      </c>
      <c r="D4082" s="4" t="str">
        <f>IFERROR(__xludf.DUMMYFUNCTION("""COMPUTED_VALUE"""),"Kelvin Henderson")</f>
        <v>Kelvin Henderson</v>
      </c>
      <c r="E4082" s="4" t="str">
        <f>IFERROR(__xludf.DUMMYFUNCTION("""COMPUTED_VALUE"""),"Saint Louis")</f>
        <v>Saint Louis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</row>
    <row r="4083">
      <c r="A4083" s="4">
        <f>IFERROR(__xludf.DUMMYFUNCTION("""COMPUTED_VALUE"""),80.0)</f>
        <v>80</v>
      </c>
      <c r="B4083" s="4">
        <f>IFERROR(__xludf.DUMMYFUNCTION("""COMPUTED_VALUE"""),80.0)</f>
        <v>80</v>
      </c>
      <c r="C4083" s="4" t="str">
        <f>IFERROR(__xludf.DUMMYFUNCTION("""COMPUTED_VALUE"""),"DAL")</f>
        <v>DAL</v>
      </c>
      <c r="D4083" s="4" t="str">
        <f>IFERROR(__xludf.DUMMYFUNCTION("""COMPUTED_VALUE"""),"David Johnson")</f>
        <v>David Johnson</v>
      </c>
      <c r="E4083" s="4" t="str">
        <f>IFERROR(__xludf.DUMMYFUNCTION("""COMPUTED_VALUE"""),"Weber State")</f>
        <v>Weber State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</row>
    <row r="4084">
      <c r="A4084" s="4">
        <f>IFERROR(__xludf.DUMMYFUNCTION("""COMPUTED_VALUE"""),81.0)</f>
        <v>81</v>
      </c>
      <c r="B4084" s="4">
        <f>IFERROR(__xludf.DUMMYFUNCTION("""COMPUTED_VALUE"""),81.0)</f>
        <v>81</v>
      </c>
      <c r="C4084" s="4" t="str">
        <f>IFERROR(__xludf.DUMMYFUNCTION("""COMPUTED_VALUE"""),"WSB")</f>
        <v>WSB</v>
      </c>
      <c r="D4084" s="4" t="str">
        <f>IFERROR(__xludf.DUMMYFUNCTION("""COMPUTED_VALUE"""),"Francois Wise")</f>
        <v>Francois Wise</v>
      </c>
      <c r="E4084" s="4" t="str">
        <f>IFERROR(__xludf.DUMMYFUNCTION("""COMPUTED_VALUE"""),"Cal State Long Beach")</f>
        <v>Cal State Long Beach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</row>
    <row r="4085">
      <c r="A4085" s="4">
        <f>IFERROR(__xludf.DUMMYFUNCTION("""COMPUTED_VALUE"""),82.0)</f>
        <v>82</v>
      </c>
      <c r="B4085" s="4">
        <f>IFERROR(__xludf.DUMMYFUNCTION("""COMPUTED_VALUE"""),82.0)</f>
        <v>82</v>
      </c>
      <c r="C4085" s="4" t="str">
        <f>IFERROR(__xludf.DUMMYFUNCTION("""COMPUTED_VALUE"""),"NYK")</f>
        <v>NYK</v>
      </c>
      <c r="D4085" s="4" t="str">
        <f>IFERROR(__xludf.DUMMYFUNCTION("""COMPUTED_VALUE"""),"Joe Chrnelich")</f>
        <v>Joe Chrnelich</v>
      </c>
      <c r="E4085" s="4" t="str">
        <f>IFERROR(__xludf.DUMMYFUNCTION("""COMPUTED_VALUE"""),"Wisconsin")</f>
        <v>Wisconsin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</row>
    <row r="4086">
      <c r="A4086" s="4">
        <f>IFERROR(__xludf.DUMMYFUNCTION("""COMPUTED_VALUE"""),83.0)</f>
        <v>83</v>
      </c>
      <c r="B4086" s="4">
        <f>IFERROR(__xludf.DUMMYFUNCTION("""COMPUTED_VALUE"""),83.0)</f>
        <v>83</v>
      </c>
      <c r="C4086" s="4" t="str">
        <f>IFERROR(__xludf.DUMMYFUNCTION("""COMPUTED_VALUE"""),"SAS")</f>
        <v>SAS</v>
      </c>
      <c r="D4086" s="4" t="str">
        <f>IFERROR(__xludf.DUMMYFUNCTION("""COMPUTED_VALUE"""),"Calvin Roberts")</f>
        <v>Calvin Roberts</v>
      </c>
      <c r="E4086" s="4" t="str">
        <f>IFERROR(__xludf.DUMMYFUNCTION("""COMPUTED_VALUE"""),"Cal State Fullerton")</f>
        <v>Cal State Fullerton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</row>
    <row r="4087">
      <c r="A4087" s="4">
        <f>IFERROR(__xludf.DUMMYFUNCTION("""COMPUTED_VALUE"""),84.0)</f>
        <v>84</v>
      </c>
      <c r="B4087" s="4">
        <f>IFERROR(__xludf.DUMMYFUNCTION("""COMPUTED_VALUE"""),84.0)</f>
        <v>84</v>
      </c>
      <c r="C4087" s="4" t="str">
        <f>IFERROR(__xludf.DUMMYFUNCTION("""COMPUTED_VALUE"""),"HOU")</f>
        <v>HOU</v>
      </c>
      <c r="D4087" s="4" t="str">
        <f>IFERROR(__xludf.DUMMYFUNCTION("""COMPUTED_VALUE"""),"Dean Hunger")</f>
        <v>Dean Hunger</v>
      </c>
      <c r="E4087" s="4" t="str">
        <f>IFERROR(__xludf.DUMMYFUNCTION("""COMPUTED_VALUE"""),"Utah State University")</f>
        <v>Utah State University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</row>
    <row r="4088">
      <c r="A4088" s="4">
        <f>IFERROR(__xludf.DUMMYFUNCTION("""COMPUTED_VALUE"""),85.0)</f>
        <v>85</v>
      </c>
      <c r="B4088" s="4">
        <f>IFERROR(__xludf.DUMMYFUNCTION("""COMPUTED_VALUE"""),85.0)</f>
        <v>85</v>
      </c>
      <c r="C4088" s="4" t="str">
        <f>IFERROR(__xludf.DUMMYFUNCTION("""COMPUTED_VALUE"""),"PHI")</f>
        <v>PHI</v>
      </c>
      <c r="D4088" s="4" t="str">
        <f>IFERROR(__xludf.DUMMYFUNCTION("""COMPUTED_VALUE"""),"Billy Bryant")</f>
        <v>Billy Bryant</v>
      </c>
      <c r="E4088" s="4" t="str">
        <f>IFERROR(__xludf.DUMMYFUNCTION("""COMPUTED_VALUE"""),"Western Kentucky")</f>
        <v>Western Kentucky</v>
      </c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</row>
    <row r="4089">
      <c r="A4089" s="4">
        <f>IFERROR(__xludf.DUMMYFUNCTION("""COMPUTED_VALUE"""),86.0)</f>
        <v>86</v>
      </c>
      <c r="B4089" s="4">
        <f>IFERROR(__xludf.DUMMYFUNCTION("""COMPUTED_VALUE"""),86.0)</f>
        <v>86</v>
      </c>
      <c r="C4089" s="4" t="str">
        <f>IFERROR(__xludf.DUMMYFUNCTION("""COMPUTED_VALUE"""),"MIL")</f>
        <v>MIL</v>
      </c>
      <c r="D4089" s="4" t="str">
        <f>IFERROR(__xludf.DUMMYFUNCTION("""COMPUTED_VALUE"""),"Jeff Wolf")</f>
        <v>Jeff Wolf</v>
      </c>
      <c r="E4089" s="4" t="str">
        <f>IFERROR(__xludf.DUMMYFUNCTION("""COMPUTED_VALUE"""),"UNC")</f>
        <v>UNC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</row>
    <row r="4090">
      <c r="A4090" s="4">
        <f>IFERROR(__xludf.DUMMYFUNCTION("""COMPUTED_VALUE"""),87.0)</f>
        <v>87</v>
      </c>
      <c r="B4090" s="4">
        <f>IFERROR(__xludf.DUMMYFUNCTION("""COMPUTED_VALUE"""),87.0)</f>
        <v>87</v>
      </c>
      <c r="C4090" s="4" t="str">
        <f>IFERROR(__xludf.DUMMYFUNCTION("""COMPUTED_VALUE"""),"LAL")</f>
        <v>LAL</v>
      </c>
      <c r="D4090" s="4" t="str">
        <f>IFERROR(__xludf.DUMMYFUNCTION("""COMPUTED_VALUE"""),"Tony Jackson")</f>
        <v>Tony Jackson</v>
      </c>
      <c r="E4090" s="4" t="str">
        <f>IFERROR(__xludf.DUMMYFUNCTION("""COMPUTED_VALUE"""),"Florida State")</f>
        <v>Florida State</v>
      </c>
      <c r="F4090" s="4">
        <f>IFERROR(__xludf.DUMMYFUNCTION("""COMPUTED_VALUE"""),1.0)</f>
        <v>1</v>
      </c>
      <c r="G4090" s="4">
        <f>IFERROR(__xludf.DUMMYFUNCTION("""COMPUTED_VALUE"""),2.0)</f>
        <v>2</v>
      </c>
      <c r="H4090" s="4">
        <f>IFERROR(__xludf.DUMMYFUNCTION("""COMPUTED_VALUE"""),14.0)</f>
        <v>14</v>
      </c>
      <c r="I4090" s="4">
        <f>IFERROR(__xludf.DUMMYFUNCTION("""COMPUTED_VALUE"""),2.0)</f>
        <v>2</v>
      </c>
      <c r="J4090" s="4">
        <f>IFERROR(__xludf.DUMMYFUNCTION("""COMPUTED_VALUE"""),2.0)</f>
        <v>2</v>
      </c>
      <c r="K4090" s="4">
        <f>IFERROR(__xludf.DUMMYFUNCTION("""COMPUTED_VALUE"""),2.0)</f>
        <v>2</v>
      </c>
      <c r="L4090" s="4">
        <f>IFERROR(__xludf.DUMMYFUNCTION("""COMPUTED_VALUE"""),0.333)</f>
        <v>0.333</v>
      </c>
      <c r="M4090" s="4"/>
      <c r="N4090" s="4"/>
      <c r="O4090" s="4">
        <f>IFERROR(__xludf.DUMMYFUNCTION("""COMPUTED_VALUE"""),7.0)</f>
        <v>7</v>
      </c>
      <c r="P4090" s="4">
        <f>IFERROR(__xludf.DUMMYFUNCTION("""COMPUTED_VALUE"""),1.0)</f>
        <v>1</v>
      </c>
      <c r="Q4090" s="4">
        <f>IFERROR(__xludf.DUMMYFUNCTION("""COMPUTED_VALUE"""),1.0)</f>
        <v>1</v>
      </c>
      <c r="R4090" s="4">
        <f>IFERROR(__xludf.DUMMYFUNCTION("""COMPUTED_VALUE"""),1.0)</f>
        <v>1</v>
      </c>
      <c r="S4090" s="4">
        <f>IFERROR(__xludf.DUMMYFUNCTION("""COMPUTED_VALUE"""),0.0)</f>
        <v>0</v>
      </c>
      <c r="T4090" s="4">
        <f>IFERROR(__xludf.DUMMYFUNCTION("""COMPUTED_VALUE"""),0.124)</f>
        <v>0.124</v>
      </c>
      <c r="U4090" s="4">
        <f>IFERROR(__xludf.DUMMYFUNCTION("""COMPUTED_VALUE"""),-3.6)</f>
        <v>-3.6</v>
      </c>
      <c r="V4090" s="4">
        <f>IFERROR(__xludf.DUMMYFUNCTION("""COMPUTED_VALUE"""),0.0)</f>
        <v>0</v>
      </c>
    </row>
    <row r="4091">
      <c r="A4091" s="4">
        <f>IFERROR(__xludf.DUMMYFUNCTION("""COMPUTED_VALUE"""),88.0)</f>
        <v>88</v>
      </c>
      <c r="B4091" s="4">
        <f>IFERROR(__xludf.DUMMYFUNCTION("""COMPUTED_VALUE"""),88.0)</f>
        <v>88</v>
      </c>
      <c r="C4091" s="4" t="str">
        <f>IFERROR(__xludf.DUMMYFUNCTION("""COMPUTED_VALUE"""),"PHO")</f>
        <v>PHO</v>
      </c>
      <c r="D4091" s="4" t="str">
        <f>IFERROR(__xludf.DUMMYFUNCTION("""COMPUTED_VALUE"""),"Leroy Stampley")</f>
        <v>Leroy Stampley</v>
      </c>
      <c r="E4091" s="4" t="str">
        <f>IFERROR(__xludf.DUMMYFUNCTION("""COMPUTED_VALUE"""),"Loyola Chicago")</f>
        <v>Loyola Chicago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</row>
    <row r="4092">
      <c r="A4092" s="4">
        <f>IFERROR(__xludf.DUMMYFUNCTION("""COMPUTED_VALUE"""),89.0)</f>
        <v>89</v>
      </c>
      <c r="B4092" s="4">
        <f>IFERROR(__xludf.DUMMYFUNCTION("""COMPUTED_VALUE"""),89.0)</f>
        <v>89</v>
      </c>
      <c r="C4092" s="4" t="str">
        <f>IFERROR(__xludf.DUMMYFUNCTION("""COMPUTED_VALUE"""),"SEA")</f>
        <v>SEA</v>
      </c>
      <c r="D4092" s="4" t="str">
        <f>IFERROR(__xludf.DUMMYFUNCTION("""COMPUTED_VALUE"""),"Gary Ray Hooker")</f>
        <v>Gary Ray Hooker</v>
      </c>
      <c r="E4092" s="4" t="str">
        <f>IFERROR(__xludf.DUMMYFUNCTION("""COMPUTED_VALUE"""),"Murray State")</f>
        <v>Murray State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</row>
    <row r="4093">
      <c r="A4093" s="4">
        <f>IFERROR(__xludf.DUMMYFUNCTION("""COMPUTED_VALUE"""),90.0)</f>
        <v>90</v>
      </c>
      <c r="B4093" s="4">
        <f>IFERROR(__xludf.DUMMYFUNCTION("""COMPUTED_VALUE"""),90.0)</f>
        <v>90</v>
      </c>
      <c r="C4093" s="4" t="str">
        <f>IFERROR(__xludf.DUMMYFUNCTION("""COMPUTED_VALUE"""),"PHI")</f>
        <v>PHI</v>
      </c>
      <c r="D4093" s="4" t="str">
        <f>IFERROR(__xludf.DUMMYFUNCTION("""COMPUTED_VALUE"""),"Harold Hubbard")</f>
        <v>Harold Hubbard</v>
      </c>
      <c r="E4093" s="4" t="str">
        <f>IFERROR(__xludf.DUMMYFUNCTION("""COMPUTED_VALUE"""),"Savannah State University")</f>
        <v>Savannah State University</v>
      </c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</row>
    <row r="4094">
      <c r="A4094" s="4">
        <f>IFERROR(__xludf.DUMMYFUNCTION("""COMPUTED_VALUE"""),91.0)</f>
        <v>91</v>
      </c>
      <c r="B4094" s="4">
        <f>IFERROR(__xludf.DUMMYFUNCTION("""COMPUTED_VALUE"""),91.0)</f>
        <v>91</v>
      </c>
      <c r="C4094" s="4" t="str">
        <f>IFERROR(__xludf.DUMMYFUNCTION("""COMPUTED_VALUE"""),"LAL")</f>
        <v>LAL</v>
      </c>
      <c r="D4094" s="4" t="str">
        <f>IFERROR(__xludf.DUMMYFUNCTION("""COMPUTED_VALUE"""),"Ron Baxter")</f>
        <v>Ron Baxter</v>
      </c>
      <c r="E4094" s="4" t="str">
        <f>IFERROR(__xludf.DUMMYFUNCTION("""COMPUTED_VALUE"""),"Texas")</f>
        <v>Texas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</row>
    <row r="4095">
      <c r="A4095" s="4">
        <f>IFERROR(__xludf.DUMMYFUNCTION("""COMPUTED_VALUE"""),92.0)</f>
        <v>92</v>
      </c>
      <c r="B4095" s="4">
        <f>IFERROR(__xludf.DUMMYFUNCTION("""COMPUTED_VALUE"""),92.0)</f>
        <v>92</v>
      </c>
      <c r="C4095" s="4" t="str">
        <f>IFERROR(__xludf.DUMMYFUNCTION("""COMPUTED_VALUE"""),"BOS")</f>
        <v>BOS</v>
      </c>
      <c r="D4095" s="4" t="str">
        <f>IFERROR(__xludf.DUMMYFUNCTION("""COMPUTED_VALUE"""),"Kevin Hamilton")</f>
        <v>Kevin Hamilton</v>
      </c>
      <c r="E4095" s="4" t="str">
        <f>IFERROR(__xludf.DUMMYFUNCTION("""COMPUTED_VALUE"""),"Iona College")</f>
        <v>Iona College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</row>
    <row r="4096">
      <c r="A4096" s="4"/>
      <c r="B4096" s="4"/>
      <c r="C4096" s="4"/>
      <c r="D4096" s="4" t="str">
        <f>IFERROR(__xludf.DUMMYFUNCTION("""COMPUTED_VALUE"""),"Round 5")</f>
        <v>Round 5</v>
      </c>
      <c r="E4096" s="4"/>
      <c r="F4096" s="4"/>
      <c r="G4096" s="4" t="str">
        <f>IFERROR(__xludf.DUMMYFUNCTION("""COMPUTED_VALUE"""),"Totals")</f>
        <v>Totals</v>
      </c>
      <c r="H4096" s="4"/>
      <c r="I4096" s="4"/>
      <c r="J4096" s="4"/>
      <c r="K4096" s="4"/>
      <c r="L4096" s="4" t="str">
        <f>IFERROR(__xludf.DUMMYFUNCTION("""COMPUTED_VALUE"""),"Shooting")</f>
        <v>Shooting</v>
      </c>
      <c r="M4096" s="4"/>
      <c r="N4096" s="4"/>
      <c r="O4096" s="4" t="str">
        <f>IFERROR(__xludf.DUMMYFUNCTION("""COMPUTED_VALUE"""),"Per Game")</f>
        <v>Per Game</v>
      </c>
      <c r="P4096" s="4"/>
      <c r="Q4096" s="4"/>
      <c r="R4096" s="4"/>
      <c r="S4096" s="4" t="str">
        <f>IFERROR(__xludf.DUMMYFUNCTION("""COMPUTED_VALUE"""),"Advanced")</f>
        <v>Advanced</v>
      </c>
      <c r="T4096" s="4"/>
      <c r="U4096" s="4"/>
      <c r="V4096" s="4"/>
    </row>
    <row r="4097">
      <c r="A4097" s="4" t="str">
        <f>IFERROR(__xludf.DUMMYFUNCTION("""COMPUTED_VALUE"""),"Rk")</f>
        <v>Rk</v>
      </c>
      <c r="B4097" s="4" t="str">
        <f>IFERROR(__xludf.DUMMYFUNCTION("""COMPUTED_VALUE"""),"Pk")</f>
        <v>Pk</v>
      </c>
      <c r="C4097" s="4" t="str">
        <f>IFERROR(__xludf.DUMMYFUNCTION("""COMPUTED_VALUE"""),"Tm")</f>
        <v>Tm</v>
      </c>
      <c r="D4097" s="4" t="str">
        <f>IFERROR(__xludf.DUMMYFUNCTION("""COMPUTED_VALUE"""),"Player")</f>
        <v>Player</v>
      </c>
      <c r="E4097" s="4" t="str">
        <f>IFERROR(__xludf.DUMMYFUNCTION("""COMPUTED_VALUE"""),"College")</f>
        <v>College</v>
      </c>
      <c r="F4097" s="4" t="str">
        <f>IFERROR(__xludf.DUMMYFUNCTION("""COMPUTED_VALUE"""),"Yrs")</f>
        <v>Yrs</v>
      </c>
      <c r="G4097" s="4" t="str">
        <f>IFERROR(__xludf.DUMMYFUNCTION("""COMPUTED_VALUE"""),"G")</f>
        <v>G</v>
      </c>
      <c r="H4097" s="4" t="str">
        <f>IFERROR(__xludf.DUMMYFUNCTION("""COMPUTED_VALUE"""),"MP")</f>
        <v>MP</v>
      </c>
      <c r="I4097" s="4" t="str">
        <f>IFERROR(__xludf.DUMMYFUNCTION("""COMPUTED_VALUE"""),"PTS")</f>
        <v>PTS</v>
      </c>
      <c r="J4097" s="4" t="str">
        <f>IFERROR(__xludf.DUMMYFUNCTION("""COMPUTED_VALUE"""),"TRB")</f>
        <v>TRB</v>
      </c>
      <c r="K4097" s="4" t="str">
        <f>IFERROR(__xludf.DUMMYFUNCTION("""COMPUTED_VALUE"""),"AST")</f>
        <v>AST</v>
      </c>
      <c r="L4097" s="4" t="str">
        <f>IFERROR(__xludf.DUMMYFUNCTION("""COMPUTED_VALUE"""),"FG%")</f>
        <v>FG%</v>
      </c>
      <c r="M4097" s="4" t="str">
        <f>IFERROR(__xludf.DUMMYFUNCTION("""COMPUTED_VALUE"""),"3P%")</f>
        <v>3P%</v>
      </c>
      <c r="N4097" s="4" t="str">
        <f>IFERROR(__xludf.DUMMYFUNCTION("""COMPUTED_VALUE"""),"FT%")</f>
        <v>FT%</v>
      </c>
      <c r="O4097" s="4" t="str">
        <f>IFERROR(__xludf.DUMMYFUNCTION("""COMPUTED_VALUE"""),"MP")</f>
        <v>MP</v>
      </c>
      <c r="P4097" s="4" t="str">
        <f>IFERROR(__xludf.DUMMYFUNCTION("""COMPUTED_VALUE"""),"PTS")</f>
        <v>PTS</v>
      </c>
      <c r="Q4097" s="4" t="str">
        <f>IFERROR(__xludf.DUMMYFUNCTION("""COMPUTED_VALUE"""),"TRB")</f>
        <v>TRB</v>
      </c>
      <c r="R4097" s="4" t="str">
        <f>IFERROR(__xludf.DUMMYFUNCTION("""COMPUTED_VALUE"""),"AST")</f>
        <v>AST</v>
      </c>
      <c r="S4097" s="4" t="str">
        <f>IFERROR(__xludf.DUMMYFUNCTION("""COMPUTED_VALUE"""),"WS")</f>
        <v>WS</v>
      </c>
      <c r="T4097" s="4" t="str">
        <f>IFERROR(__xludf.DUMMYFUNCTION("""COMPUTED_VALUE"""),"WS/48")</f>
        <v>WS/48</v>
      </c>
      <c r="U4097" s="4" t="str">
        <f>IFERROR(__xludf.DUMMYFUNCTION("""COMPUTED_VALUE"""),"BPM")</f>
        <v>BPM</v>
      </c>
      <c r="V4097" s="4" t="str">
        <f>IFERROR(__xludf.DUMMYFUNCTION("""COMPUTED_VALUE"""),"VORP")</f>
        <v>VORP</v>
      </c>
    </row>
    <row r="4098">
      <c r="A4098" s="4">
        <f>IFERROR(__xludf.DUMMYFUNCTION("""COMPUTED_VALUE"""),93.0)</f>
        <v>93</v>
      </c>
      <c r="B4098" s="4">
        <f>IFERROR(__xludf.DUMMYFUNCTION("""COMPUTED_VALUE"""),93.0)</f>
        <v>93</v>
      </c>
      <c r="C4098" s="4" t="str">
        <f>IFERROR(__xludf.DUMMYFUNCTION("""COMPUTED_VALUE"""),"DET")</f>
        <v>DET</v>
      </c>
      <c r="D4098" s="4" t="str">
        <f>IFERROR(__xludf.DUMMYFUNCTION("""COMPUTED_VALUE"""),"Tony Fuller")</f>
        <v>Tony Fuller</v>
      </c>
      <c r="E4098" s="4" t="str">
        <f>IFERROR(__xludf.DUMMYFUNCTION("""COMPUTED_VALUE"""),"Pepperdine")</f>
        <v>Pepperdine</v>
      </c>
      <c r="F4098" s="4">
        <f>IFERROR(__xludf.DUMMYFUNCTION("""COMPUTED_VALUE"""),1.0)</f>
        <v>1</v>
      </c>
      <c r="G4098" s="4">
        <f>IFERROR(__xludf.DUMMYFUNCTION("""COMPUTED_VALUE"""),15.0)</f>
        <v>15</v>
      </c>
      <c r="H4098" s="4">
        <f>IFERROR(__xludf.DUMMYFUNCTION("""COMPUTED_VALUE"""),248.0)</f>
        <v>248</v>
      </c>
      <c r="I4098" s="4">
        <f>IFERROR(__xludf.DUMMYFUNCTION("""COMPUTED_VALUE"""),60.0)</f>
        <v>60</v>
      </c>
      <c r="J4098" s="4">
        <f>IFERROR(__xludf.DUMMYFUNCTION("""COMPUTED_VALUE"""),42.0)</f>
        <v>42</v>
      </c>
      <c r="K4098" s="4">
        <f>IFERROR(__xludf.DUMMYFUNCTION("""COMPUTED_VALUE"""),28.0)</f>
        <v>28</v>
      </c>
      <c r="L4098" s="4">
        <f>IFERROR(__xludf.DUMMYFUNCTION("""COMPUTED_VALUE"""),0.364)</f>
        <v>0.364</v>
      </c>
      <c r="M4098" s="4">
        <f>IFERROR(__xludf.DUMMYFUNCTION("""COMPUTED_VALUE"""),0.0)</f>
        <v>0</v>
      </c>
      <c r="N4098" s="4">
        <f>IFERROR(__xludf.DUMMYFUNCTION("""COMPUTED_VALUE"""),0.75)</f>
        <v>0.75</v>
      </c>
      <c r="O4098" s="4">
        <f>IFERROR(__xludf.DUMMYFUNCTION("""COMPUTED_VALUE"""),16.5)</f>
        <v>16.5</v>
      </c>
      <c r="P4098" s="4">
        <f>IFERROR(__xludf.DUMMYFUNCTION("""COMPUTED_VALUE"""),4.0)</f>
        <v>4</v>
      </c>
      <c r="Q4098" s="4">
        <f>IFERROR(__xludf.DUMMYFUNCTION("""COMPUTED_VALUE"""),2.8)</f>
        <v>2.8</v>
      </c>
      <c r="R4098" s="4">
        <f>IFERROR(__xludf.DUMMYFUNCTION("""COMPUTED_VALUE"""),1.9)</f>
        <v>1.9</v>
      </c>
      <c r="S4098" s="4">
        <f>IFERROR(__xludf.DUMMYFUNCTION("""COMPUTED_VALUE"""),-0.1)</f>
        <v>-0.1</v>
      </c>
      <c r="T4098" s="4">
        <f>IFERROR(__xludf.DUMMYFUNCTION("""COMPUTED_VALUE"""),-0.021)</f>
        <v>-0.021</v>
      </c>
      <c r="U4098" s="4">
        <f>IFERROR(__xludf.DUMMYFUNCTION("""COMPUTED_VALUE"""),-4.0)</f>
        <v>-4</v>
      </c>
      <c r="V4098" s="4">
        <f>IFERROR(__xludf.DUMMYFUNCTION("""COMPUTED_VALUE"""),-0.2)</f>
        <v>-0.2</v>
      </c>
    </row>
    <row r="4099">
      <c r="A4099" s="4">
        <f>IFERROR(__xludf.DUMMYFUNCTION("""COMPUTED_VALUE"""),94.0)</f>
        <v>94</v>
      </c>
      <c r="B4099" s="4">
        <f>IFERROR(__xludf.DUMMYFUNCTION("""COMPUTED_VALUE"""),94.0)</f>
        <v>94</v>
      </c>
      <c r="C4099" s="4" t="str">
        <f>IFERROR(__xludf.DUMMYFUNCTION("""COMPUTED_VALUE"""),"UTA")</f>
        <v>UTA</v>
      </c>
      <c r="D4099" s="4" t="str">
        <f>IFERROR(__xludf.DUMMYFUNCTION("""COMPUTED_VALUE"""),"Wally West")</f>
        <v>Wally West</v>
      </c>
      <c r="E4099" s="4" t="str">
        <f>IFERROR(__xludf.DUMMYFUNCTION("""COMPUTED_VALUE"""),"Boston University")</f>
        <v>Boston University</v>
      </c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</row>
    <row r="4100">
      <c r="A4100" s="4">
        <f>IFERROR(__xludf.DUMMYFUNCTION("""COMPUTED_VALUE"""),95.0)</f>
        <v>95</v>
      </c>
      <c r="B4100" s="4">
        <f>IFERROR(__xludf.DUMMYFUNCTION("""COMPUTED_VALUE"""),95.0)</f>
        <v>95</v>
      </c>
      <c r="C4100" s="4" t="str">
        <f>IFERROR(__xludf.DUMMYFUNCTION("""COMPUTED_VALUE"""),"GSW")</f>
        <v>GSW</v>
      </c>
      <c r="D4100" s="4" t="str">
        <f>IFERROR(__xludf.DUMMYFUNCTION("""COMPUTED_VALUE"""),"Don Carfino")</f>
        <v>Don Carfino</v>
      </c>
      <c r="E4100" s="4" t="str">
        <f>IFERROR(__xludf.DUMMYFUNCTION("""COMPUTED_VALUE"""),"USC")</f>
        <v>USC</v>
      </c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</row>
    <row r="4101">
      <c r="A4101" s="4">
        <f>IFERROR(__xludf.DUMMYFUNCTION("""COMPUTED_VALUE"""),96.0)</f>
        <v>96</v>
      </c>
      <c r="B4101" s="4">
        <f>IFERROR(__xludf.DUMMYFUNCTION("""COMPUTED_VALUE"""),96.0)</f>
        <v>96</v>
      </c>
      <c r="C4101" s="4" t="str">
        <f>IFERROR(__xludf.DUMMYFUNCTION("""COMPUTED_VALUE"""),"CHI")</f>
        <v>CHI</v>
      </c>
      <c r="D4101" s="4" t="str">
        <f>IFERROR(__xludf.DUMMYFUNCTION("""COMPUTED_VALUE"""),"Mike Campbell")</f>
        <v>Mike Campbell</v>
      </c>
      <c r="E4101" s="4" t="str">
        <f>IFERROR(__xludf.DUMMYFUNCTION("""COMPUTED_VALUE"""),"Northwestern")</f>
        <v>Northwestern</v>
      </c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</row>
    <row r="4102">
      <c r="A4102" s="4">
        <f>IFERROR(__xludf.DUMMYFUNCTION("""COMPUTED_VALUE"""),97.0)</f>
        <v>97</v>
      </c>
      <c r="B4102" s="4">
        <f>IFERROR(__xludf.DUMMYFUNCTION("""COMPUTED_VALUE"""),97.0)</f>
        <v>97</v>
      </c>
      <c r="C4102" s="4" t="str">
        <f>IFERROR(__xludf.DUMMYFUNCTION("""COMPUTED_VALUE"""),"DEN")</f>
        <v>DEN</v>
      </c>
      <c r="D4102" s="4" t="str">
        <f>IFERROR(__xludf.DUMMYFUNCTION("""COMPUTED_VALUE"""),"James Patrick")</f>
        <v>James Patrick</v>
      </c>
      <c r="E4102" s="4" t="str">
        <f>IFERROR(__xludf.DUMMYFUNCTION("""COMPUTED_VALUE"""),"Texas State University")</f>
        <v>Texas State University</v>
      </c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</row>
    <row r="4103">
      <c r="A4103" s="4">
        <f>IFERROR(__xludf.DUMMYFUNCTION("""COMPUTED_VALUE"""),98.0)</f>
        <v>98</v>
      </c>
      <c r="B4103" s="4">
        <f>IFERROR(__xludf.DUMMYFUNCTION("""COMPUTED_VALUE"""),98.0)</f>
        <v>98</v>
      </c>
      <c r="C4103" s="4" t="str">
        <f>IFERROR(__xludf.DUMMYFUNCTION("""COMPUTED_VALUE"""),"NJN")</f>
        <v>NJN</v>
      </c>
      <c r="D4103" s="4" t="str">
        <f>IFERROR(__xludf.DUMMYFUNCTION("""COMPUTED_VALUE"""),"Aaron Curry")</f>
        <v>Aaron Curry</v>
      </c>
      <c r="E4103" s="4" t="str">
        <f>IFERROR(__xludf.DUMMYFUNCTION("""COMPUTED_VALUE"""),"Oklahoma")</f>
        <v>Oklahoma</v>
      </c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</row>
    <row r="4104">
      <c r="A4104" s="4">
        <f>IFERROR(__xludf.DUMMYFUNCTION("""COMPUTED_VALUE"""),99.0)</f>
        <v>99</v>
      </c>
      <c r="B4104" s="4">
        <f>IFERROR(__xludf.DUMMYFUNCTION("""COMPUTED_VALUE"""),99.0)</f>
        <v>99</v>
      </c>
      <c r="C4104" s="4" t="str">
        <f>IFERROR(__xludf.DUMMYFUNCTION("""COMPUTED_VALUE"""),"SDC")</f>
        <v>SDC</v>
      </c>
      <c r="D4104" s="4" t="str">
        <f>IFERROR(__xludf.DUMMYFUNCTION("""COMPUTED_VALUE"""),"Wally Rank")</f>
        <v>Wally Rank</v>
      </c>
      <c r="E4104" s="4" t="str">
        <f>IFERROR(__xludf.DUMMYFUNCTION("""COMPUTED_VALUE"""),"San Jose State")</f>
        <v>San Jose State</v>
      </c>
      <c r="F4104" s="4">
        <f>IFERROR(__xludf.DUMMYFUNCTION("""COMPUTED_VALUE"""),1.0)</f>
        <v>1</v>
      </c>
      <c r="G4104" s="4">
        <f>IFERROR(__xludf.DUMMYFUNCTION("""COMPUTED_VALUE"""),25.0)</f>
        <v>25</v>
      </c>
      <c r="H4104" s="4">
        <f>IFERROR(__xludf.DUMMYFUNCTION("""COMPUTED_VALUE"""),153.0)</f>
        <v>153</v>
      </c>
      <c r="I4104" s="4">
        <f>IFERROR(__xludf.DUMMYFUNCTION("""COMPUTED_VALUE"""),55.0)</f>
        <v>55</v>
      </c>
      <c r="J4104" s="4">
        <f>IFERROR(__xludf.DUMMYFUNCTION("""COMPUTED_VALUE"""),30.0)</f>
        <v>30</v>
      </c>
      <c r="K4104" s="4">
        <f>IFERROR(__xludf.DUMMYFUNCTION("""COMPUTED_VALUE"""),17.0)</f>
        <v>17</v>
      </c>
      <c r="L4104" s="4">
        <f>IFERROR(__xludf.DUMMYFUNCTION("""COMPUTED_VALUE"""),0.368)</f>
        <v>0.368</v>
      </c>
      <c r="M4104" s="4"/>
      <c r="N4104" s="4">
        <f>IFERROR(__xludf.DUMMYFUNCTION("""COMPUTED_VALUE"""),0.464)</f>
        <v>0.464</v>
      </c>
      <c r="O4104" s="4">
        <f>IFERROR(__xludf.DUMMYFUNCTION("""COMPUTED_VALUE"""),6.1)</f>
        <v>6.1</v>
      </c>
      <c r="P4104" s="4">
        <f>IFERROR(__xludf.DUMMYFUNCTION("""COMPUTED_VALUE"""),2.2)</f>
        <v>2.2</v>
      </c>
      <c r="Q4104" s="4">
        <f>IFERROR(__xludf.DUMMYFUNCTION("""COMPUTED_VALUE"""),1.2)</f>
        <v>1.2</v>
      </c>
      <c r="R4104" s="4">
        <f>IFERROR(__xludf.DUMMYFUNCTION("""COMPUTED_VALUE"""),0.7)</f>
        <v>0.7</v>
      </c>
      <c r="S4104" s="4">
        <f>IFERROR(__xludf.DUMMYFUNCTION("""COMPUTED_VALUE"""),-0.4)</f>
        <v>-0.4</v>
      </c>
      <c r="T4104" s="4">
        <f>IFERROR(__xludf.DUMMYFUNCTION("""COMPUTED_VALUE"""),-0.14)</f>
        <v>-0.14</v>
      </c>
      <c r="U4104" s="4">
        <f>IFERROR(__xludf.DUMMYFUNCTION("""COMPUTED_VALUE"""),-7.5)</f>
        <v>-7.5</v>
      </c>
      <c r="V4104" s="4">
        <f>IFERROR(__xludf.DUMMYFUNCTION("""COMPUTED_VALUE"""),-0.3)</f>
        <v>-0.3</v>
      </c>
    </row>
    <row r="4105">
      <c r="A4105" s="4">
        <f>IFERROR(__xludf.DUMMYFUNCTION("""COMPUTED_VALUE"""),100.0)</f>
        <v>100</v>
      </c>
      <c r="B4105" s="4">
        <f>IFERROR(__xludf.DUMMYFUNCTION("""COMPUTED_VALUE"""),100.0)</f>
        <v>100</v>
      </c>
      <c r="C4105" s="4" t="str">
        <f>IFERROR(__xludf.DUMMYFUNCTION("""COMPUTED_VALUE"""),"IND")</f>
        <v>IND</v>
      </c>
      <c r="D4105" s="4" t="str">
        <f>IFERROR(__xludf.DUMMYFUNCTION("""COMPUTED_VALUE"""),"Joe Galvin")</f>
        <v>Joe Galvin</v>
      </c>
      <c r="E4105" s="4" t="str">
        <f>IFERROR(__xludf.DUMMYFUNCTION("""COMPUTED_VALUE"""),"Illinois State")</f>
        <v>Illinois State</v>
      </c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</row>
    <row r="4106">
      <c r="A4106" s="4">
        <f>IFERROR(__xludf.DUMMYFUNCTION("""COMPUTED_VALUE"""),101.0)</f>
        <v>101</v>
      </c>
      <c r="B4106" s="4">
        <f>IFERROR(__xludf.DUMMYFUNCTION("""COMPUTED_VALUE"""),101.0)</f>
        <v>101</v>
      </c>
      <c r="C4106" s="4" t="str">
        <f>IFERROR(__xludf.DUMMYFUNCTION("""COMPUTED_VALUE"""),"CLE")</f>
        <v>CLE</v>
      </c>
      <c r="D4106" s="4" t="str">
        <f>IFERROR(__xludf.DUMMYFUNCTION("""COMPUTED_VALUE"""),"LaVon Williams")</f>
        <v>LaVon Williams</v>
      </c>
      <c r="E4106" s="4" t="str">
        <f>IFERROR(__xludf.DUMMYFUNCTION("""COMPUTED_VALUE"""),"Kentucky")</f>
        <v>Kentucky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</row>
    <row r="4107">
      <c r="A4107" s="4">
        <f>IFERROR(__xludf.DUMMYFUNCTION("""COMPUTED_VALUE"""),102.0)</f>
        <v>102</v>
      </c>
      <c r="B4107" s="4">
        <f>IFERROR(__xludf.DUMMYFUNCTION("""COMPUTED_VALUE"""),102.0)</f>
        <v>102</v>
      </c>
      <c r="C4107" s="4" t="str">
        <f>IFERROR(__xludf.DUMMYFUNCTION("""COMPUTED_VALUE"""),"POR")</f>
        <v>POR</v>
      </c>
      <c r="D4107" s="4" t="str">
        <f>IFERROR(__xludf.DUMMYFUNCTION("""COMPUTED_VALUE"""),"Larry Belin")</f>
        <v>Larry Belin</v>
      </c>
      <c r="E4107" s="4" t="str">
        <f>IFERROR(__xludf.DUMMYFUNCTION("""COMPUTED_VALUE"""),"New Mexico")</f>
        <v>New Mexico</v>
      </c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</row>
    <row r="4108">
      <c r="A4108" s="4">
        <f>IFERROR(__xludf.DUMMYFUNCTION("""COMPUTED_VALUE"""),103.0)</f>
        <v>103</v>
      </c>
      <c r="B4108" s="4">
        <f>IFERROR(__xludf.DUMMYFUNCTION("""COMPUTED_VALUE"""),103.0)</f>
        <v>103</v>
      </c>
      <c r="C4108" s="4" t="str">
        <f>IFERROR(__xludf.DUMMYFUNCTION("""COMPUTED_VALUE"""),"DAL")</f>
        <v>DAL</v>
      </c>
      <c r="D4108" s="4" t="str">
        <f>IFERROR(__xludf.DUMMYFUNCTION("""COMPUTED_VALUE"""),"Darrell Allums")</f>
        <v>Darrell Allums</v>
      </c>
      <c r="E4108" s="4" t="str">
        <f>IFERROR(__xludf.DUMMYFUNCTION("""COMPUTED_VALUE"""),"UCLA")</f>
        <v>UCLA</v>
      </c>
      <c r="F4108" s="4">
        <f>IFERROR(__xludf.DUMMYFUNCTION("""COMPUTED_VALUE"""),1.0)</f>
        <v>1</v>
      </c>
      <c r="G4108" s="4">
        <f>IFERROR(__xludf.DUMMYFUNCTION("""COMPUTED_VALUE"""),22.0)</f>
        <v>22</v>
      </c>
      <c r="H4108" s="4">
        <f>IFERROR(__xludf.DUMMYFUNCTION("""COMPUTED_VALUE"""),276.0)</f>
        <v>276</v>
      </c>
      <c r="I4108" s="4">
        <f>IFERROR(__xludf.DUMMYFUNCTION("""COMPUTED_VALUE"""),59.0)</f>
        <v>59</v>
      </c>
      <c r="J4108" s="4">
        <f>IFERROR(__xludf.DUMMYFUNCTION("""COMPUTED_VALUE"""),65.0)</f>
        <v>65</v>
      </c>
      <c r="K4108" s="4">
        <f>IFERROR(__xludf.DUMMYFUNCTION("""COMPUTED_VALUE"""),25.0)</f>
        <v>25</v>
      </c>
      <c r="L4108" s="4">
        <f>IFERROR(__xludf.DUMMYFUNCTION("""COMPUTED_VALUE"""),0.343)</f>
        <v>0.343</v>
      </c>
      <c r="M4108" s="4">
        <f>IFERROR(__xludf.DUMMYFUNCTION("""COMPUTED_VALUE"""),0.0)</f>
        <v>0</v>
      </c>
      <c r="N4108" s="4">
        <f>IFERROR(__xludf.DUMMYFUNCTION("""COMPUTED_VALUE"""),0.591)</f>
        <v>0.591</v>
      </c>
      <c r="O4108" s="4">
        <f>IFERROR(__xludf.DUMMYFUNCTION("""COMPUTED_VALUE"""),12.5)</f>
        <v>12.5</v>
      </c>
      <c r="P4108" s="4">
        <f>IFERROR(__xludf.DUMMYFUNCTION("""COMPUTED_VALUE"""),2.7)</f>
        <v>2.7</v>
      </c>
      <c r="Q4108" s="4">
        <f>IFERROR(__xludf.DUMMYFUNCTION("""COMPUTED_VALUE"""),3.0)</f>
        <v>3</v>
      </c>
      <c r="R4108" s="4">
        <f>IFERROR(__xludf.DUMMYFUNCTION("""COMPUTED_VALUE"""),1.1)</f>
        <v>1.1</v>
      </c>
      <c r="S4108" s="4">
        <f>IFERROR(__xludf.DUMMYFUNCTION("""COMPUTED_VALUE"""),-0.3)</f>
        <v>-0.3</v>
      </c>
      <c r="T4108" s="4">
        <f>IFERROR(__xludf.DUMMYFUNCTION("""COMPUTED_VALUE"""),-0.054)</f>
        <v>-0.054</v>
      </c>
      <c r="U4108" s="4">
        <f>IFERROR(__xludf.DUMMYFUNCTION("""COMPUTED_VALUE"""),-5.6)</f>
        <v>-5.6</v>
      </c>
      <c r="V4108" s="4">
        <f>IFERROR(__xludf.DUMMYFUNCTION("""COMPUTED_VALUE"""),-0.3)</f>
        <v>-0.3</v>
      </c>
    </row>
    <row r="4109">
      <c r="A4109" s="4">
        <f>IFERROR(__xludf.DUMMYFUNCTION("""COMPUTED_VALUE"""),104.0)</f>
        <v>104</v>
      </c>
      <c r="B4109" s="4">
        <f>IFERROR(__xludf.DUMMYFUNCTION("""COMPUTED_VALUE"""),104.0)</f>
        <v>104</v>
      </c>
      <c r="C4109" s="4" t="str">
        <f>IFERROR(__xludf.DUMMYFUNCTION("""COMPUTED_VALUE"""),"NYK")</f>
        <v>NYK</v>
      </c>
      <c r="D4109" s="4" t="str">
        <f>IFERROR(__xludf.DUMMYFUNCTION("""COMPUTED_VALUE"""),"William Carey")</f>
        <v>William Carey</v>
      </c>
      <c r="E4109" s="4" t="str">
        <f>IFERROR(__xludf.DUMMYFUNCTION("""COMPUTED_VALUE"""),"Albright College")</f>
        <v>Albright College</v>
      </c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</row>
    <row r="4110">
      <c r="A4110" s="4">
        <f>IFERROR(__xludf.DUMMYFUNCTION("""COMPUTED_VALUE"""),105.0)</f>
        <v>105</v>
      </c>
      <c r="B4110" s="4">
        <f>IFERROR(__xludf.DUMMYFUNCTION("""COMPUTED_VALUE"""),105.0)</f>
        <v>105</v>
      </c>
      <c r="C4110" s="4" t="str">
        <f>IFERROR(__xludf.DUMMYFUNCTION("""COMPUTED_VALUE"""),"WSB")</f>
        <v>WSB</v>
      </c>
      <c r="D4110" s="4" t="str">
        <f>IFERROR(__xludf.DUMMYFUNCTION("""COMPUTED_VALUE"""),"Daryl Strickland")</f>
        <v>Daryl Strickland</v>
      </c>
      <c r="E4110" s="4" t="str">
        <f>IFERROR(__xludf.DUMMYFUNCTION("""COMPUTED_VALUE"""),"Rutgers University")</f>
        <v>Rutgers University</v>
      </c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</row>
    <row r="4111">
      <c r="A4111" s="4">
        <f>IFERROR(__xludf.DUMMYFUNCTION("""COMPUTED_VALUE"""),106.0)</f>
        <v>106</v>
      </c>
      <c r="B4111" s="4">
        <f>IFERROR(__xludf.DUMMYFUNCTION("""COMPUTED_VALUE"""),106.0)</f>
        <v>106</v>
      </c>
      <c r="C4111" s="4" t="str">
        <f>IFERROR(__xludf.DUMMYFUNCTION("""COMPUTED_VALUE"""),"HOU")</f>
        <v>HOU</v>
      </c>
      <c r="D4111" s="4" t="str">
        <f>IFERROR(__xludf.DUMMYFUNCTION("""COMPUTED_VALUE"""),"Albert Jones")</f>
        <v>Albert Jones</v>
      </c>
      <c r="E4111" s="4" t="str">
        <f>IFERROR(__xludf.DUMMYFUNCTION("""COMPUTED_VALUE"""),"New Mexico")</f>
        <v>New Mexico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</row>
    <row r="4112">
      <c r="A4112" s="4">
        <f>IFERROR(__xludf.DUMMYFUNCTION("""COMPUTED_VALUE"""),107.0)</f>
        <v>107</v>
      </c>
      <c r="B4112" s="4">
        <f>IFERROR(__xludf.DUMMYFUNCTION("""COMPUTED_VALUE"""),107.0)</f>
        <v>107</v>
      </c>
      <c r="C4112" s="4" t="str">
        <f>IFERROR(__xludf.DUMMYFUNCTION("""COMPUTED_VALUE"""),"SAS")</f>
        <v>SAS</v>
      </c>
      <c r="D4112" s="4" t="str">
        <f>IFERROR(__xludf.DUMMYFUNCTION("""COMPUTED_VALUE"""),"Gib Hinz")</f>
        <v>Gib Hinz</v>
      </c>
      <c r="E4112" s="4" t="str">
        <f>IFERROR(__xludf.DUMMYFUNCTION("""COMPUTED_VALUE"""),"University of Wisconsin-Eau Claire")</f>
        <v>University of Wisconsin-Eau Claire</v>
      </c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</row>
    <row r="4113">
      <c r="A4113" s="4">
        <f>IFERROR(__xludf.DUMMYFUNCTION("""COMPUTED_VALUE"""),108.0)</f>
        <v>108</v>
      </c>
      <c r="B4113" s="4">
        <f>IFERROR(__xludf.DUMMYFUNCTION("""COMPUTED_VALUE"""),108.0)</f>
        <v>108</v>
      </c>
      <c r="C4113" s="4" t="str">
        <f>IFERROR(__xludf.DUMMYFUNCTION("""COMPUTED_VALUE"""),"KCK")</f>
        <v>KCK</v>
      </c>
      <c r="D4113" s="4" t="str">
        <f>IFERROR(__xludf.DUMMYFUNCTION("""COMPUTED_VALUE"""),"Kelvin Blakely")</f>
        <v>Kelvin Blakely</v>
      </c>
      <c r="E4113" s="4" t="str">
        <f>IFERROR(__xludf.DUMMYFUNCTION("""COMPUTED_VALUE"""),"Eastern Michigan")</f>
        <v>Eastern Michigan</v>
      </c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</row>
    <row r="4114">
      <c r="A4114" s="4">
        <f>IFERROR(__xludf.DUMMYFUNCTION("""COMPUTED_VALUE"""),109.0)</f>
        <v>109</v>
      </c>
      <c r="B4114" s="4">
        <f>IFERROR(__xludf.DUMMYFUNCTION("""COMPUTED_VALUE"""),109.0)</f>
        <v>109</v>
      </c>
      <c r="C4114" s="4" t="str">
        <f>IFERROR(__xludf.DUMMYFUNCTION("""COMPUTED_VALUE"""),"MIL")</f>
        <v>MIL</v>
      </c>
      <c r="D4114" s="4" t="str">
        <f>IFERROR(__xludf.DUMMYFUNCTION("""COMPUTED_VALUE"""),"Ken Jones")</f>
        <v>Ken Jones</v>
      </c>
      <c r="E4114" s="4" t="str">
        <f>IFERROR(__xludf.DUMMYFUNCTION("""COMPUTED_VALUE"""),"VCU")</f>
        <v>VCU</v>
      </c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</row>
    <row r="4115">
      <c r="A4115" s="4">
        <f>IFERROR(__xludf.DUMMYFUNCTION("""COMPUTED_VALUE"""),110.0)</f>
        <v>110</v>
      </c>
      <c r="B4115" s="4">
        <f>IFERROR(__xludf.DUMMYFUNCTION("""COMPUTED_VALUE"""),110.0)</f>
        <v>110</v>
      </c>
      <c r="C4115" s="4" t="str">
        <f>IFERROR(__xludf.DUMMYFUNCTION("""COMPUTED_VALUE"""),"ATL")</f>
        <v>ATL</v>
      </c>
      <c r="D4115" s="4" t="str">
        <f>IFERROR(__xludf.DUMMYFUNCTION("""COMPUTED_VALUE"""),"Mike Doyle")</f>
        <v>Mike Doyle</v>
      </c>
      <c r="E4115" s="4" t="str">
        <f>IFERROR(__xludf.DUMMYFUNCTION("""COMPUTED_VALUE"""),"South Carolina")</f>
        <v>South Carolina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</row>
    <row r="4116">
      <c r="A4116" s="4">
        <f>IFERROR(__xludf.DUMMYFUNCTION("""COMPUTED_VALUE"""),111.0)</f>
        <v>111</v>
      </c>
      <c r="B4116" s="4">
        <f>IFERROR(__xludf.DUMMYFUNCTION("""COMPUTED_VALUE"""),111.0)</f>
        <v>111</v>
      </c>
      <c r="C4116" s="4" t="str">
        <f>IFERROR(__xludf.DUMMYFUNCTION("""COMPUTED_VALUE"""),"PHO")</f>
        <v>PHO</v>
      </c>
      <c r="D4116" s="4" t="str">
        <f>IFERROR(__xludf.DUMMYFUNCTION("""COMPUTED_VALUE"""),"Mark Stevens")</f>
        <v>Mark Stevens</v>
      </c>
      <c r="E4116" s="4" t="str">
        <f>IFERROR(__xludf.DUMMYFUNCTION("""COMPUTED_VALUE"""),"Northern Arizona University")</f>
        <v>Northern Arizona University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</row>
    <row r="4117">
      <c r="A4117" s="4">
        <f>IFERROR(__xludf.DUMMYFUNCTION("""COMPUTED_VALUE"""),112.0)</f>
        <v>112</v>
      </c>
      <c r="B4117" s="4">
        <f>IFERROR(__xludf.DUMMYFUNCTION("""COMPUTED_VALUE"""),112.0)</f>
        <v>112</v>
      </c>
      <c r="C4117" s="4" t="str">
        <f>IFERROR(__xludf.DUMMYFUNCTION("""COMPUTED_VALUE"""),"SEA")</f>
        <v>SEA</v>
      </c>
      <c r="D4117" s="4" t="str">
        <f>IFERROR(__xludf.DUMMYFUNCTION("""COMPUTED_VALUE"""),"Lenny Horton")</f>
        <v>Lenny Horton</v>
      </c>
      <c r="E4117" s="4" t="str">
        <f>IFERROR(__xludf.DUMMYFUNCTION("""COMPUTED_VALUE"""),"Georgia Tech")</f>
        <v>Georgia Tech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</row>
    <row r="4118">
      <c r="A4118" s="4">
        <f>IFERROR(__xludf.DUMMYFUNCTION("""COMPUTED_VALUE"""),113.0)</f>
        <v>113</v>
      </c>
      <c r="B4118" s="4">
        <f>IFERROR(__xludf.DUMMYFUNCTION("""COMPUTED_VALUE"""),113.0)</f>
        <v>113</v>
      </c>
      <c r="C4118" s="4" t="str">
        <f>IFERROR(__xludf.DUMMYFUNCTION("""COMPUTED_VALUE"""),"PHI")</f>
        <v>PHI</v>
      </c>
      <c r="D4118" s="4" t="str">
        <f>IFERROR(__xludf.DUMMYFUNCTION("""COMPUTED_VALUE"""),"Jim Swaney")</f>
        <v>Jim Swaney</v>
      </c>
      <c r="E4118" s="4" t="str">
        <f>IFERROR(__xludf.DUMMYFUNCTION("""COMPUTED_VALUE"""),"Toledo")</f>
        <v>Toledo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</row>
    <row r="4119">
      <c r="A4119" s="4">
        <f>IFERROR(__xludf.DUMMYFUNCTION("""COMPUTED_VALUE"""),114.0)</f>
        <v>114</v>
      </c>
      <c r="B4119" s="4">
        <f>IFERROR(__xludf.DUMMYFUNCTION("""COMPUTED_VALUE"""),114.0)</f>
        <v>114</v>
      </c>
      <c r="C4119" s="4" t="str">
        <f>IFERROR(__xludf.DUMMYFUNCTION("""COMPUTED_VALUE"""),"LAL")</f>
        <v>LAL</v>
      </c>
      <c r="D4119" s="4" t="str">
        <f>IFERROR(__xludf.DUMMYFUNCTION("""COMPUTED_VALUE"""),"Rick Raivio")</f>
        <v>Rick Raivio</v>
      </c>
      <c r="E4119" s="4" t="str">
        <f>IFERROR(__xludf.DUMMYFUNCTION("""COMPUTED_VALUE"""),"University of Portland")</f>
        <v>University of Portland</v>
      </c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</row>
    <row r="4120">
      <c r="A4120" s="4">
        <f>IFERROR(__xludf.DUMMYFUNCTION("""COMPUTED_VALUE"""),115.0)</f>
        <v>115</v>
      </c>
      <c r="B4120" s="4">
        <f>IFERROR(__xludf.DUMMYFUNCTION("""COMPUTED_VALUE"""),115.0)</f>
        <v>115</v>
      </c>
      <c r="C4120" s="4" t="str">
        <f>IFERROR(__xludf.DUMMYFUNCTION("""COMPUTED_VALUE"""),"BOS")</f>
        <v>BOS</v>
      </c>
      <c r="D4120" s="4" t="str">
        <f>IFERROR(__xludf.DUMMYFUNCTION("""COMPUTED_VALUE"""),"Rufus Harris")</f>
        <v>Rufus Harris</v>
      </c>
      <c r="E4120" s="4" t="str">
        <f>IFERROR(__xludf.DUMMYFUNCTION("""COMPUTED_VALUE"""),"University of Maine")</f>
        <v>University of Maine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</row>
    <row r="4121">
      <c r="A4121" s="4"/>
      <c r="B4121" s="4"/>
      <c r="C4121" s="4"/>
      <c r="D4121" s="4" t="str">
        <f>IFERROR(__xludf.DUMMYFUNCTION("""COMPUTED_VALUE"""),"Round 6")</f>
        <v>Round 6</v>
      </c>
      <c r="E4121" s="4"/>
      <c r="F4121" s="4"/>
      <c r="G4121" s="4" t="str">
        <f>IFERROR(__xludf.DUMMYFUNCTION("""COMPUTED_VALUE"""),"Totals")</f>
        <v>Totals</v>
      </c>
      <c r="H4121" s="4"/>
      <c r="I4121" s="4"/>
      <c r="J4121" s="4"/>
      <c r="K4121" s="4"/>
      <c r="L4121" s="4" t="str">
        <f>IFERROR(__xludf.DUMMYFUNCTION("""COMPUTED_VALUE"""),"Shooting")</f>
        <v>Shooting</v>
      </c>
      <c r="M4121" s="4"/>
      <c r="N4121" s="4"/>
      <c r="O4121" s="4" t="str">
        <f>IFERROR(__xludf.DUMMYFUNCTION("""COMPUTED_VALUE"""),"Per Game")</f>
        <v>Per Game</v>
      </c>
      <c r="P4121" s="4"/>
      <c r="Q4121" s="4"/>
      <c r="R4121" s="4"/>
      <c r="S4121" s="4" t="str">
        <f>IFERROR(__xludf.DUMMYFUNCTION("""COMPUTED_VALUE"""),"Advanced")</f>
        <v>Advanced</v>
      </c>
      <c r="T4121" s="4"/>
      <c r="U4121" s="4"/>
      <c r="V4121" s="4"/>
    </row>
    <row r="4122">
      <c r="A4122" s="4" t="str">
        <f>IFERROR(__xludf.DUMMYFUNCTION("""COMPUTED_VALUE"""),"Rk")</f>
        <v>Rk</v>
      </c>
      <c r="B4122" s="4" t="str">
        <f>IFERROR(__xludf.DUMMYFUNCTION("""COMPUTED_VALUE"""),"Pk")</f>
        <v>Pk</v>
      </c>
      <c r="C4122" s="4" t="str">
        <f>IFERROR(__xludf.DUMMYFUNCTION("""COMPUTED_VALUE"""),"Tm")</f>
        <v>Tm</v>
      </c>
      <c r="D4122" s="4" t="str">
        <f>IFERROR(__xludf.DUMMYFUNCTION("""COMPUTED_VALUE"""),"Player")</f>
        <v>Player</v>
      </c>
      <c r="E4122" s="4" t="str">
        <f>IFERROR(__xludf.DUMMYFUNCTION("""COMPUTED_VALUE"""),"College")</f>
        <v>College</v>
      </c>
      <c r="F4122" s="4" t="str">
        <f>IFERROR(__xludf.DUMMYFUNCTION("""COMPUTED_VALUE"""),"Yrs")</f>
        <v>Yrs</v>
      </c>
      <c r="G4122" s="4" t="str">
        <f>IFERROR(__xludf.DUMMYFUNCTION("""COMPUTED_VALUE"""),"G")</f>
        <v>G</v>
      </c>
      <c r="H4122" s="4" t="str">
        <f>IFERROR(__xludf.DUMMYFUNCTION("""COMPUTED_VALUE"""),"MP")</f>
        <v>MP</v>
      </c>
      <c r="I4122" s="4" t="str">
        <f>IFERROR(__xludf.DUMMYFUNCTION("""COMPUTED_VALUE"""),"PTS")</f>
        <v>PTS</v>
      </c>
      <c r="J4122" s="4" t="str">
        <f>IFERROR(__xludf.DUMMYFUNCTION("""COMPUTED_VALUE"""),"TRB")</f>
        <v>TRB</v>
      </c>
      <c r="K4122" s="4" t="str">
        <f>IFERROR(__xludf.DUMMYFUNCTION("""COMPUTED_VALUE"""),"AST")</f>
        <v>AST</v>
      </c>
      <c r="L4122" s="4" t="str">
        <f>IFERROR(__xludf.DUMMYFUNCTION("""COMPUTED_VALUE"""),"FG%")</f>
        <v>FG%</v>
      </c>
      <c r="M4122" s="4" t="str">
        <f>IFERROR(__xludf.DUMMYFUNCTION("""COMPUTED_VALUE"""),"3P%")</f>
        <v>3P%</v>
      </c>
      <c r="N4122" s="4" t="str">
        <f>IFERROR(__xludf.DUMMYFUNCTION("""COMPUTED_VALUE"""),"FT%")</f>
        <v>FT%</v>
      </c>
      <c r="O4122" s="4" t="str">
        <f>IFERROR(__xludf.DUMMYFUNCTION("""COMPUTED_VALUE"""),"MP")</f>
        <v>MP</v>
      </c>
      <c r="P4122" s="4" t="str">
        <f>IFERROR(__xludf.DUMMYFUNCTION("""COMPUTED_VALUE"""),"PTS")</f>
        <v>PTS</v>
      </c>
      <c r="Q4122" s="4" t="str">
        <f>IFERROR(__xludf.DUMMYFUNCTION("""COMPUTED_VALUE"""),"TRB")</f>
        <v>TRB</v>
      </c>
      <c r="R4122" s="4" t="str">
        <f>IFERROR(__xludf.DUMMYFUNCTION("""COMPUTED_VALUE"""),"AST")</f>
        <v>AST</v>
      </c>
      <c r="S4122" s="4" t="str">
        <f>IFERROR(__xludf.DUMMYFUNCTION("""COMPUTED_VALUE"""),"WS")</f>
        <v>WS</v>
      </c>
      <c r="T4122" s="4" t="str">
        <f>IFERROR(__xludf.DUMMYFUNCTION("""COMPUTED_VALUE"""),"WS/48")</f>
        <v>WS/48</v>
      </c>
      <c r="U4122" s="4" t="str">
        <f>IFERROR(__xludf.DUMMYFUNCTION("""COMPUTED_VALUE"""),"BPM")</f>
        <v>BPM</v>
      </c>
      <c r="V4122" s="4" t="str">
        <f>IFERROR(__xludf.DUMMYFUNCTION("""COMPUTED_VALUE"""),"VORP")</f>
        <v>VORP</v>
      </c>
    </row>
    <row r="4123">
      <c r="A4123" s="4">
        <f>IFERROR(__xludf.DUMMYFUNCTION("""COMPUTED_VALUE"""),116.0)</f>
        <v>116</v>
      </c>
      <c r="B4123" s="4">
        <f>IFERROR(__xludf.DUMMYFUNCTION("""COMPUTED_VALUE"""),116.0)</f>
        <v>116</v>
      </c>
      <c r="C4123" s="4" t="str">
        <f>IFERROR(__xludf.DUMMYFUNCTION("""COMPUTED_VALUE"""),"DET")</f>
        <v>DET</v>
      </c>
      <c r="D4123" s="4" t="str">
        <f>IFERROR(__xludf.DUMMYFUNCTION("""COMPUTED_VALUE"""),"Tony Turner")</f>
        <v>Tony Turner</v>
      </c>
      <c r="E4123" s="4" t="str">
        <f>IFERROR(__xludf.DUMMYFUNCTION("""COMPUTED_VALUE"""),"University of Alaska Anchorage")</f>
        <v>University of Alaska Anchorage</v>
      </c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</row>
    <row r="4124">
      <c r="A4124" s="4">
        <f>IFERROR(__xludf.DUMMYFUNCTION("""COMPUTED_VALUE"""),117.0)</f>
        <v>117</v>
      </c>
      <c r="B4124" s="4">
        <f>IFERROR(__xludf.DUMMYFUNCTION("""COMPUTED_VALUE"""),117.0)</f>
        <v>117</v>
      </c>
      <c r="C4124" s="4" t="str">
        <f>IFERROR(__xludf.DUMMYFUNCTION("""COMPUTED_VALUE"""),"GSW")</f>
        <v>GSW</v>
      </c>
      <c r="D4124" s="4" t="str">
        <f>IFERROR(__xludf.DUMMYFUNCTION("""COMPUTED_VALUE"""),"Neil Bresnahan")</f>
        <v>Neil Bresnahan</v>
      </c>
      <c r="E4124" s="4" t="str">
        <f>IFERROR(__xludf.DUMMYFUNCTION("""COMPUTED_VALUE"""),"Illinois")</f>
        <v>Illinois</v>
      </c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</row>
    <row r="4125">
      <c r="A4125" s="4">
        <f>IFERROR(__xludf.DUMMYFUNCTION("""COMPUTED_VALUE"""),118.0)</f>
        <v>118</v>
      </c>
      <c r="B4125" s="4">
        <f>IFERROR(__xludf.DUMMYFUNCTION("""COMPUTED_VALUE"""),118.0)</f>
        <v>118</v>
      </c>
      <c r="C4125" s="4" t="str">
        <f>IFERROR(__xludf.DUMMYFUNCTION("""COMPUTED_VALUE"""),"UTA")</f>
        <v>UTA</v>
      </c>
      <c r="D4125" s="4" t="str">
        <f>IFERROR(__xludf.DUMMYFUNCTION("""COMPUTED_VALUE"""),"Kenny Cunningham")</f>
        <v>Kenny Cunningham</v>
      </c>
      <c r="E4125" s="4" t="str">
        <f>IFERROR(__xludf.DUMMYFUNCTION("""COMPUTED_VALUE"""),"Western Michigan")</f>
        <v>Western Michigan</v>
      </c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</row>
    <row r="4126">
      <c r="A4126" s="4">
        <f>IFERROR(__xludf.DUMMYFUNCTION("""COMPUTED_VALUE"""),119.0)</f>
        <v>119</v>
      </c>
      <c r="B4126" s="4">
        <f>IFERROR(__xludf.DUMMYFUNCTION("""COMPUTED_VALUE"""),119.0)</f>
        <v>119</v>
      </c>
      <c r="C4126" s="4" t="str">
        <f>IFERROR(__xludf.DUMMYFUNCTION("""COMPUTED_VALUE"""),"DEN")</f>
        <v>DEN</v>
      </c>
      <c r="D4126" s="4" t="str">
        <f>IFERROR(__xludf.DUMMYFUNCTION("""COMPUTED_VALUE"""),"Ernie Hill")</f>
        <v>Ernie Hill</v>
      </c>
      <c r="E4126" s="4" t="str">
        <f>IFERROR(__xludf.DUMMYFUNCTION("""COMPUTED_VALUE"""),"Oklahoma City University")</f>
        <v>Oklahoma City University</v>
      </c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</row>
    <row r="4127">
      <c r="A4127" s="4">
        <f>IFERROR(__xludf.DUMMYFUNCTION("""COMPUTED_VALUE"""),120.0)</f>
        <v>120</v>
      </c>
      <c r="B4127" s="4">
        <f>IFERROR(__xludf.DUMMYFUNCTION("""COMPUTED_VALUE"""),120.0)</f>
        <v>120</v>
      </c>
      <c r="C4127" s="4" t="str">
        <f>IFERROR(__xludf.DUMMYFUNCTION("""COMPUTED_VALUE"""),"CHI")</f>
        <v>CHI</v>
      </c>
      <c r="D4127" s="4" t="str">
        <f>IFERROR(__xludf.DUMMYFUNCTION("""COMPUTED_VALUE"""),"Bernard Rencher")</f>
        <v>Bernard Rencher</v>
      </c>
      <c r="E4127" s="4" t="str">
        <f>IFERROR(__xludf.DUMMYFUNCTION("""COMPUTED_VALUE"""),"St. John's")</f>
        <v>St. John's</v>
      </c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</row>
    <row r="4128">
      <c r="A4128" s="4">
        <f>IFERROR(__xludf.DUMMYFUNCTION("""COMPUTED_VALUE"""),121.0)</f>
        <v>121</v>
      </c>
      <c r="B4128" s="4">
        <f>IFERROR(__xludf.DUMMYFUNCTION("""COMPUTED_VALUE"""),121.0)</f>
        <v>121</v>
      </c>
      <c r="C4128" s="4" t="str">
        <f>IFERROR(__xludf.DUMMYFUNCTION("""COMPUTED_VALUE"""),"NJN")</f>
        <v>NJN</v>
      </c>
      <c r="D4128" s="4" t="str">
        <f>IFERROR(__xludf.DUMMYFUNCTION("""COMPUTED_VALUE"""),"Rick Mattick")</f>
        <v>Rick Mattick</v>
      </c>
      <c r="E4128" s="4" t="str">
        <f>IFERROR(__xludf.DUMMYFUNCTION("""COMPUTED_VALUE"""),"LSU")</f>
        <v>LSU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</row>
    <row r="4129">
      <c r="A4129" s="4">
        <f>IFERROR(__xludf.DUMMYFUNCTION("""COMPUTED_VALUE"""),122.0)</f>
        <v>122</v>
      </c>
      <c r="B4129" s="4">
        <f>IFERROR(__xludf.DUMMYFUNCTION("""COMPUTED_VALUE"""),122.0)</f>
        <v>122</v>
      </c>
      <c r="C4129" s="4" t="str">
        <f>IFERROR(__xludf.DUMMYFUNCTION("""COMPUTED_VALUE"""),"SDC")</f>
        <v>SDC</v>
      </c>
      <c r="D4129" s="4" t="str">
        <f>IFERROR(__xludf.DUMMYFUNCTION("""COMPUTED_VALUE"""),"Londale Theus")</f>
        <v>Londale Theus</v>
      </c>
      <c r="E4129" s="4" t="str">
        <f>IFERROR(__xludf.DUMMYFUNCTION("""COMPUTED_VALUE"""),"Santa Clara")</f>
        <v>Santa Clara</v>
      </c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</row>
    <row r="4130">
      <c r="A4130" s="4">
        <f>IFERROR(__xludf.DUMMYFUNCTION("""COMPUTED_VALUE"""),123.0)</f>
        <v>123</v>
      </c>
      <c r="B4130" s="4">
        <f>IFERROR(__xludf.DUMMYFUNCTION("""COMPUTED_VALUE"""),123.0)</f>
        <v>123</v>
      </c>
      <c r="C4130" s="4" t="str">
        <f>IFERROR(__xludf.DUMMYFUNCTION("""COMPUTED_VALUE"""),"CLE")</f>
        <v>CLE</v>
      </c>
      <c r="D4130" s="4" t="str">
        <f>IFERROR(__xludf.DUMMYFUNCTION("""COMPUTED_VALUE"""),"Antonio Martin")</f>
        <v>Antonio Martin</v>
      </c>
      <c r="E4130" s="4" t="str">
        <f>IFERROR(__xludf.DUMMYFUNCTION("""COMPUTED_VALUE"""),"Oral Roberts")</f>
        <v>Oral Roberts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</row>
    <row r="4131">
      <c r="A4131" s="4">
        <f>IFERROR(__xludf.DUMMYFUNCTION("""COMPUTED_VALUE"""),124.0)</f>
        <v>124</v>
      </c>
      <c r="B4131" s="4">
        <f>IFERROR(__xludf.DUMMYFUNCTION("""COMPUTED_VALUE"""),124.0)</f>
        <v>124</v>
      </c>
      <c r="C4131" s="4" t="str">
        <f>IFERROR(__xludf.DUMMYFUNCTION("""COMPUTED_VALUE"""),"IND")</f>
        <v>IND</v>
      </c>
      <c r="D4131" s="4" t="str">
        <f>IFERROR(__xludf.DUMMYFUNCTION("""COMPUTED_VALUE"""),"Randy Owens")</f>
        <v>Randy Owens</v>
      </c>
      <c r="E4131" s="4" t="str">
        <f>IFERROR(__xludf.DUMMYFUNCTION("""COMPUTED_VALUE"""),"Philadelphia University")</f>
        <v>Philadelphia University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</row>
    <row r="4132">
      <c r="A4132" s="4">
        <f>IFERROR(__xludf.DUMMYFUNCTION("""COMPUTED_VALUE"""),125.0)</f>
        <v>125</v>
      </c>
      <c r="B4132" s="4">
        <f>IFERROR(__xludf.DUMMYFUNCTION("""COMPUTED_VALUE"""),125.0)</f>
        <v>125</v>
      </c>
      <c r="C4132" s="4" t="str">
        <f>IFERROR(__xludf.DUMMYFUNCTION("""COMPUTED_VALUE"""),"POR")</f>
        <v>POR</v>
      </c>
      <c r="D4132" s="4" t="str">
        <f>IFERROR(__xludf.DUMMYFUNCTION("""COMPUTED_VALUE"""),"Perry Mirkovich")</f>
        <v>Perry Mirkovich</v>
      </c>
      <c r="E4132" s="4" t="str">
        <f>IFERROR(__xludf.DUMMYFUNCTION("""COMPUTED_VALUE"""),"University of Lethbridge")</f>
        <v>University of Lethbridge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</row>
    <row r="4133">
      <c r="A4133" s="4">
        <f>IFERROR(__xludf.DUMMYFUNCTION("""COMPUTED_VALUE"""),126.0)</f>
        <v>126</v>
      </c>
      <c r="B4133" s="4">
        <f>IFERROR(__xludf.DUMMYFUNCTION("""COMPUTED_VALUE"""),126.0)</f>
        <v>126</v>
      </c>
      <c r="C4133" s="4" t="str">
        <f>IFERROR(__xludf.DUMMYFUNCTION("""COMPUTED_VALUE"""),"DAL")</f>
        <v>DAL</v>
      </c>
      <c r="D4133" s="4" t="str">
        <f>IFERROR(__xludf.DUMMYFUNCTION("""COMPUTED_VALUE"""),"Leroy Jackson")</f>
        <v>Leroy Jackson</v>
      </c>
      <c r="E4133" s="4" t="str">
        <f>IFERROR(__xludf.DUMMYFUNCTION("""COMPUTED_VALUE"""),"Cameron University")</f>
        <v>Cameron University</v>
      </c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</row>
    <row r="4134">
      <c r="A4134" s="4">
        <f>IFERROR(__xludf.DUMMYFUNCTION("""COMPUTED_VALUE"""),127.0)</f>
        <v>127</v>
      </c>
      <c r="B4134" s="4">
        <f>IFERROR(__xludf.DUMMYFUNCTION("""COMPUTED_VALUE"""),127.0)</f>
        <v>127</v>
      </c>
      <c r="C4134" s="4" t="str">
        <f>IFERROR(__xludf.DUMMYFUNCTION("""COMPUTED_VALUE"""),"WSB")</f>
        <v>WSB</v>
      </c>
      <c r="D4134" s="4" t="str">
        <f>IFERROR(__xludf.DUMMYFUNCTION("""COMPUTED_VALUE"""),"Ken Dancy")</f>
        <v>Ken Dancy</v>
      </c>
      <c r="E4134" s="4" t="str">
        <f>IFERROR(__xludf.DUMMYFUNCTION("""COMPUTED_VALUE"""),"Chicago State")</f>
        <v>Chicago State</v>
      </c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</row>
    <row r="4135">
      <c r="A4135" s="4">
        <f>IFERROR(__xludf.DUMMYFUNCTION("""COMPUTED_VALUE"""),128.0)</f>
        <v>128</v>
      </c>
      <c r="B4135" s="4">
        <f>IFERROR(__xludf.DUMMYFUNCTION("""COMPUTED_VALUE"""),128.0)</f>
        <v>128</v>
      </c>
      <c r="C4135" s="4" t="str">
        <f>IFERROR(__xludf.DUMMYFUNCTION("""COMPUTED_VALUE"""),"NYK")</f>
        <v>NYK</v>
      </c>
      <c r="D4135" s="4" t="str">
        <f>IFERROR(__xludf.DUMMYFUNCTION("""COMPUTED_VALUE"""),"Kelvin Hicks")</f>
        <v>Kelvin Hicks</v>
      </c>
      <c r="E4135" s="4" t="str">
        <f>IFERROR(__xludf.DUMMYFUNCTION("""COMPUTED_VALUE"""),"New York Institute of Technology")</f>
        <v>New York Institute of Technology</v>
      </c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</row>
    <row r="4136">
      <c r="A4136" s="4">
        <f>IFERROR(__xludf.DUMMYFUNCTION("""COMPUTED_VALUE"""),129.0)</f>
        <v>129</v>
      </c>
      <c r="B4136" s="4">
        <f>IFERROR(__xludf.DUMMYFUNCTION("""COMPUTED_VALUE"""),129.0)</f>
        <v>129</v>
      </c>
      <c r="C4136" s="4" t="str">
        <f>IFERROR(__xludf.DUMMYFUNCTION("""COMPUTED_VALUE"""),"SAS")</f>
        <v>SAS</v>
      </c>
      <c r="D4136" s="4" t="str">
        <f>IFERROR(__xludf.DUMMYFUNCTION("""COMPUTED_VALUE"""),"Dean Uthoff")</f>
        <v>Dean Uthoff</v>
      </c>
      <c r="E4136" s="4" t="str">
        <f>IFERROR(__xludf.DUMMYFUNCTION("""COMPUTED_VALUE"""),"Iowa State")</f>
        <v>Iowa State</v>
      </c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</row>
    <row r="4137">
      <c r="A4137" s="4">
        <f>IFERROR(__xludf.DUMMYFUNCTION("""COMPUTED_VALUE"""),130.0)</f>
        <v>130</v>
      </c>
      <c r="B4137" s="4">
        <f>IFERROR(__xludf.DUMMYFUNCTION("""COMPUTED_VALUE"""),130.0)</f>
        <v>130</v>
      </c>
      <c r="C4137" s="4" t="str">
        <f>IFERROR(__xludf.DUMMYFUNCTION("""COMPUTED_VALUE"""),"HOU")</f>
        <v>HOU</v>
      </c>
      <c r="D4137" s="4" t="str">
        <f>IFERROR(__xludf.DUMMYFUNCTION("""COMPUTED_VALUE"""),"Everette Jefferson")</f>
        <v>Everette Jefferson</v>
      </c>
      <c r="E4137" s="4" t="str">
        <f>IFERROR(__xludf.DUMMYFUNCTION("""COMPUTED_VALUE"""),"New Mexico")</f>
        <v>New Mexico</v>
      </c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</row>
    <row r="4138">
      <c r="A4138" s="4">
        <f>IFERROR(__xludf.DUMMYFUNCTION("""COMPUTED_VALUE"""),131.0)</f>
        <v>131</v>
      </c>
      <c r="B4138" s="4">
        <f>IFERROR(__xludf.DUMMYFUNCTION("""COMPUTED_VALUE"""),131.0)</f>
        <v>131</v>
      </c>
      <c r="C4138" s="4" t="str">
        <f>IFERROR(__xludf.DUMMYFUNCTION("""COMPUTED_VALUE"""),"KCK")</f>
        <v>KCK</v>
      </c>
      <c r="D4138" s="4" t="str">
        <f>IFERROR(__xludf.DUMMYFUNCTION("""COMPUTED_VALUE"""),"Trent Grooms")</f>
        <v>Trent Grooms</v>
      </c>
      <c r="E4138" s="4" t="str">
        <f>IFERROR(__xludf.DUMMYFUNCTION("""COMPUTED_VALUE"""),"Kent State University")</f>
        <v>Kent State University</v>
      </c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</row>
    <row r="4139">
      <c r="A4139" s="4">
        <f>IFERROR(__xludf.DUMMYFUNCTION("""COMPUTED_VALUE"""),132.0)</f>
        <v>132</v>
      </c>
      <c r="B4139" s="4">
        <f>IFERROR(__xludf.DUMMYFUNCTION("""COMPUTED_VALUE"""),132.0)</f>
        <v>132</v>
      </c>
      <c r="C4139" s="4" t="str">
        <f>IFERROR(__xludf.DUMMYFUNCTION("""COMPUTED_VALUE"""),"MIL")</f>
        <v>MIL</v>
      </c>
      <c r="D4139" s="4" t="str">
        <f>IFERROR(__xludf.DUMMYFUNCTION("""COMPUTED_VALUE"""),"Alex Gilbert")</f>
        <v>Alex Gilbert</v>
      </c>
      <c r="E4139" s="4" t="str">
        <f>IFERROR(__xludf.DUMMYFUNCTION("""COMPUTED_VALUE"""),"Indiana State University")</f>
        <v>Indiana State University</v>
      </c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</row>
    <row r="4140">
      <c r="A4140" s="4">
        <f>IFERROR(__xludf.DUMMYFUNCTION("""COMPUTED_VALUE"""),133.0)</f>
        <v>133</v>
      </c>
      <c r="B4140" s="4">
        <f>IFERROR(__xludf.DUMMYFUNCTION("""COMPUTED_VALUE"""),133.0)</f>
        <v>133</v>
      </c>
      <c r="C4140" s="4" t="str">
        <f>IFERROR(__xludf.DUMMYFUNCTION("""COMPUTED_VALUE"""),"ATL")</f>
        <v>ATL</v>
      </c>
      <c r="D4140" s="4" t="str">
        <f>IFERROR(__xludf.DUMMYFUNCTION("""COMPUTED_VALUE"""),"Mike Zagardo")</f>
        <v>Mike Zagardo</v>
      </c>
      <c r="E4140" s="4" t="str">
        <f>IFERROR(__xludf.DUMMYFUNCTION("""COMPUTED_VALUE"""),"George Washington")</f>
        <v>George Washington</v>
      </c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</row>
    <row r="4141">
      <c r="A4141" s="4">
        <f>IFERROR(__xludf.DUMMYFUNCTION("""COMPUTED_VALUE"""),134.0)</f>
        <v>134</v>
      </c>
      <c r="B4141" s="4">
        <f>IFERROR(__xludf.DUMMYFUNCTION("""COMPUTED_VALUE"""),134.0)</f>
        <v>134</v>
      </c>
      <c r="C4141" s="4" t="str">
        <f>IFERROR(__xludf.DUMMYFUNCTION("""COMPUTED_VALUE"""),"PHO")</f>
        <v>PHO</v>
      </c>
      <c r="D4141" s="4" t="str">
        <f>IFERROR(__xludf.DUMMYFUNCTION("""COMPUTED_VALUE"""),"Coby Leavitt")</f>
        <v>Coby Leavitt</v>
      </c>
      <c r="E4141" s="4" t="str">
        <f>IFERROR(__xludf.DUMMYFUNCTION("""COMPUTED_VALUE"""),"Utah")</f>
        <v>Utah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</row>
    <row r="4142">
      <c r="A4142" s="4">
        <f>IFERROR(__xludf.DUMMYFUNCTION("""COMPUTED_VALUE"""),135.0)</f>
        <v>135</v>
      </c>
      <c r="B4142" s="4">
        <f>IFERROR(__xludf.DUMMYFUNCTION("""COMPUTED_VALUE"""),135.0)</f>
        <v>135</v>
      </c>
      <c r="C4142" s="4" t="str">
        <f>IFERROR(__xludf.DUMMYFUNCTION("""COMPUTED_VALUE"""),"SEA")</f>
        <v>SEA</v>
      </c>
      <c r="D4142" s="4" t="str">
        <f>IFERROR(__xludf.DUMMYFUNCTION("""COMPUTED_VALUE"""),"Jim Strickland")</f>
        <v>Jim Strickland</v>
      </c>
      <c r="E4142" s="4" t="str">
        <f>IFERROR(__xludf.DUMMYFUNCTION("""COMPUTED_VALUE"""),"South Carolina")</f>
        <v>South Carolina</v>
      </c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</row>
    <row r="4143">
      <c r="A4143" s="4">
        <f>IFERROR(__xludf.DUMMYFUNCTION("""COMPUTED_VALUE"""),136.0)</f>
        <v>136</v>
      </c>
      <c r="B4143" s="4">
        <f>IFERROR(__xludf.DUMMYFUNCTION("""COMPUTED_VALUE"""),136.0)</f>
        <v>136</v>
      </c>
      <c r="C4143" s="4" t="str">
        <f>IFERROR(__xludf.DUMMYFUNCTION("""COMPUTED_VALUE"""),"PHI")</f>
        <v>PHI</v>
      </c>
      <c r="D4143" s="4" t="str">
        <f>IFERROR(__xludf.DUMMYFUNCTION("""COMPUTED_VALUE"""),"Donald Cooper")</f>
        <v>Donald Cooper</v>
      </c>
      <c r="E4143" s="4" t="str">
        <f>IFERROR(__xludf.DUMMYFUNCTION("""COMPUTED_VALUE"""),"Saint Augustine's College")</f>
        <v>Saint Augustine's College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</row>
    <row r="4144">
      <c r="A4144" s="4">
        <f>IFERROR(__xludf.DUMMYFUNCTION("""COMPUTED_VALUE"""),137.0)</f>
        <v>137</v>
      </c>
      <c r="B4144" s="4">
        <f>IFERROR(__xludf.DUMMYFUNCTION("""COMPUTED_VALUE"""),137.0)</f>
        <v>137</v>
      </c>
      <c r="C4144" s="4" t="str">
        <f>IFERROR(__xludf.DUMMYFUNCTION("""COMPUTED_VALUE"""),"LAL")</f>
        <v>LAL</v>
      </c>
      <c r="D4144" s="4" t="str">
        <f>IFERROR(__xludf.DUMMYFUNCTION("""COMPUTED_VALUE"""),"Otis Boddie")</f>
        <v>Otis Boddie</v>
      </c>
      <c r="E4144" s="4" t="str">
        <f>IFERROR(__xludf.DUMMYFUNCTION("""COMPUTED_VALUE"""),"University of North Alabama")</f>
        <v>University of North Alabama</v>
      </c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</row>
    <row r="4145">
      <c r="A4145" s="4">
        <f>IFERROR(__xludf.DUMMYFUNCTION("""COMPUTED_VALUE"""),138.0)</f>
        <v>138</v>
      </c>
      <c r="B4145" s="4">
        <f>IFERROR(__xludf.DUMMYFUNCTION("""COMPUTED_VALUE"""),138.0)</f>
        <v>138</v>
      </c>
      <c r="C4145" s="4" t="str">
        <f>IFERROR(__xludf.DUMMYFUNCTION("""COMPUTED_VALUE"""),"BOS")</f>
        <v>BOS</v>
      </c>
      <c r="D4145" s="4" t="str">
        <f>IFERROR(__xludf.DUMMYFUNCTION("""COMPUTED_VALUE"""),"Kenny Evans")</f>
        <v>Kenny Evans</v>
      </c>
      <c r="E4145" s="4" t="str">
        <f>IFERROR(__xludf.DUMMYFUNCTION("""COMPUTED_VALUE"""),"Norfolk State")</f>
        <v>Norfolk State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</row>
    <row r="4146">
      <c r="A4146" s="4"/>
      <c r="B4146" s="4"/>
      <c r="C4146" s="4"/>
      <c r="D4146" s="4" t="str">
        <f>IFERROR(__xludf.DUMMYFUNCTION("""COMPUTED_VALUE"""),"Round 7")</f>
        <v>Round 7</v>
      </c>
      <c r="E4146" s="4"/>
      <c r="F4146" s="4"/>
      <c r="G4146" s="4" t="str">
        <f>IFERROR(__xludf.DUMMYFUNCTION("""COMPUTED_VALUE"""),"Totals")</f>
        <v>Totals</v>
      </c>
      <c r="H4146" s="4"/>
      <c r="I4146" s="4"/>
      <c r="J4146" s="4"/>
      <c r="K4146" s="4"/>
      <c r="L4146" s="4" t="str">
        <f>IFERROR(__xludf.DUMMYFUNCTION("""COMPUTED_VALUE"""),"Shooting")</f>
        <v>Shooting</v>
      </c>
      <c r="M4146" s="4"/>
      <c r="N4146" s="4"/>
      <c r="O4146" s="4" t="str">
        <f>IFERROR(__xludf.DUMMYFUNCTION("""COMPUTED_VALUE"""),"Per Game")</f>
        <v>Per Game</v>
      </c>
      <c r="P4146" s="4"/>
      <c r="Q4146" s="4"/>
      <c r="R4146" s="4"/>
      <c r="S4146" s="4" t="str">
        <f>IFERROR(__xludf.DUMMYFUNCTION("""COMPUTED_VALUE"""),"Advanced")</f>
        <v>Advanced</v>
      </c>
      <c r="T4146" s="4"/>
      <c r="U4146" s="4"/>
      <c r="V4146" s="4"/>
    </row>
    <row r="4147">
      <c r="A4147" s="4" t="str">
        <f>IFERROR(__xludf.DUMMYFUNCTION("""COMPUTED_VALUE"""),"Rk")</f>
        <v>Rk</v>
      </c>
      <c r="B4147" s="4" t="str">
        <f>IFERROR(__xludf.DUMMYFUNCTION("""COMPUTED_VALUE"""),"Pk")</f>
        <v>Pk</v>
      </c>
      <c r="C4147" s="4" t="str">
        <f>IFERROR(__xludf.DUMMYFUNCTION("""COMPUTED_VALUE"""),"Tm")</f>
        <v>Tm</v>
      </c>
      <c r="D4147" s="4" t="str">
        <f>IFERROR(__xludf.DUMMYFUNCTION("""COMPUTED_VALUE"""),"Player")</f>
        <v>Player</v>
      </c>
      <c r="E4147" s="4" t="str">
        <f>IFERROR(__xludf.DUMMYFUNCTION("""COMPUTED_VALUE"""),"College")</f>
        <v>College</v>
      </c>
      <c r="F4147" s="4" t="str">
        <f>IFERROR(__xludf.DUMMYFUNCTION("""COMPUTED_VALUE"""),"Yrs")</f>
        <v>Yrs</v>
      </c>
      <c r="G4147" s="4" t="str">
        <f>IFERROR(__xludf.DUMMYFUNCTION("""COMPUTED_VALUE"""),"G")</f>
        <v>G</v>
      </c>
      <c r="H4147" s="4" t="str">
        <f>IFERROR(__xludf.DUMMYFUNCTION("""COMPUTED_VALUE"""),"MP")</f>
        <v>MP</v>
      </c>
      <c r="I4147" s="4" t="str">
        <f>IFERROR(__xludf.DUMMYFUNCTION("""COMPUTED_VALUE"""),"PTS")</f>
        <v>PTS</v>
      </c>
      <c r="J4147" s="4" t="str">
        <f>IFERROR(__xludf.DUMMYFUNCTION("""COMPUTED_VALUE"""),"TRB")</f>
        <v>TRB</v>
      </c>
      <c r="K4147" s="4" t="str">
        <f>IFERROR(__xludf.DUMMYFUNCTION("""COMPUTED_VALUE"""),"AST")</f>
        <v>AST</v>
      </c>
      <c r="L4147" s="4" t="str">
        <f>IFERROR(__xludf.DUMMYFUNCTION("""COMPUTED_VALUE"""),"FG%")</f>
        <v>FG%</v>
      </c>
      <c r="M4147" s="4" t="str">
        <f>IFERROR(__xludf.DUMMYFUNCTION("""COMPUTED_VALUE"""),"3P%")</f>
        <v>3P%</v>
      </c>
      <c r="N4147" s="4" t="str">
        <f>IFERROR(__xludf.DUMMYFUNCTION("""COMPUTED_VALUE"""),"FT%")</f>
        <v>FT%</v>
      </c>
      <c r="O4147" s="4" t="str">
        <f>IFERROR(__xludf.DUMMYFUNCTION("""COMPUTED_VALUE"""),"MP")</f>
        <v>MP</v>
      </c>
      <c r="P4147" s="4" t="str">
        <f>IFERROR(__xludf.DUMMYFUNCTION("""COMPUTED_VALUE"""),"PTS")</f>
        <v>PTS</v>
      </c>
      <c r="Q4147" s="4" t="str">
        <f>IFERROR(__xludf.DUMMYFUNCTION("""COMPUTED_VALUE"""),"TRB")</f>
        <v>TRB</v>
      </c>
      <c r="R4147" s="4" t="str">
        <f>IFERROR(__xludf.DUMMYFUNCTION("""COMPUTED_VALUE"""),"AST")</f>
        <v>AST</v>
      </c>
      <c r="S4147" s="4" t="str">
        <f>IFERROR(__xludf.DUMMYFUNCTION("""COMPUTED_VALUE"""),"WS")</f>
        <v>WS</v>
      </c>
      <c r="T4147" s="4" t="str">
        <f>IFERROR(__xludf.DUMMYFUNCTION("""COMPUTED_VALUE"""),"WS/48")</f>
        <v>WS/48</v>
      </c>
      <c r="U4147" s="4" t="str">
        <f>IFERROR(__xludf.DUMMYFUNCTION("""COMPUTED_VALUE"""),"BPM")</f>
        <v>BPM</v>
      </c>
      <c r="V4147" s="4" t="str">
        <f>IFERROR(__xludf.DUMMYFUNCTION("""COMPUTED_VALUE"""),"VORP")</f>
        <v>VORP</v>
      </c>
    </row>
    <row r="4148">
      <c r="A4148" s="4">
        <f>IFERROR(__xludf.DUMMYFUNCTION("""COMPUTED_VALUE"""),139.0)</f>
        <v>139</v>
      </c>
      <c r="B4148" s="4">
        <f>IFERROR(__xludf.DUMMYFUNCTION("""COMPUTED_VALUE"""),139.0)</f>
        <v>139</v>
      </c>
      <c r="C4148" s="4" t="str">
        <f>IFERROR(__xludf.DUMMYFUNCTION("""COMPUTED_VALUE"""),"DET")</f>
        <v>DET</v>
      </c>
      <c r="D4148" s="4" t="str">
        <f>IFERROR(__xludf.DUMMYFUNCTION("""COMPUTED_VALUE"""),"Carl Pierce")</f>
        <v>Carl Pierce</v>
      </c>
      <c r="E4148" s="4" t="str">
        <f>IFERROR(__xludf.DUMMYFUNCTION("""COMPUTED_VALUE"""),"Gonzaga")</f>
        <v>Gonzaga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</row>
    <row r="4149">
      <c r="A4149" s="4">
        <f>IFERROR(__xludf.DUMMYFUNCTION("""COMPUTED_VALUE"""),140.0)</f>
        <v>140</v>
      </c>
      <c r="B4149" s="4">
        <f>IFERROR(__xludf.DUMMYFUNCTION("""COMPUTED_VALUE"""),140.0)</f>
        <v>140</v>
      </c>
      <c r="C4149" s="4" t="str">
        <f>IFERROR(__xludf.DUMMYFUNCTION("""COMPUTED_VALUE"""),"UTA")</f>
        <v>UTA</v>
      </c>
      <c r="D4149" s="4" t="str">
        <f>IFERROR(__xludf.DUMMYFUNCTION("""COMPUTED_VALUE"""),"Dave Colescott")</f>
        <v>Dave Colescott</v>
      </c>
      <c r="E4149" s="4" t="str">
        <f>IFERROR(__xludf.DUMMYFUNCTION("""COMPUTED_VALUE"""),"UNC")</f>
        <v>UNC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</row>
    <row r="4150">
      <c r="A4150" s="4">
        <f>IFERROR(__xludf.DUMMYFUNCTION("""COMPUTED_VALUE"""),141.0)</f>
        <v>141</v>
      </c>
      <c r="B4150" s="4">
        <f>IFERROR(__xludf.DUMMYFUNCTION("""COMPUTED_VALUE"""),141.0)</f>
        <v>141</v>
      </c>
      <c r="C4150" s="4" t="str">
        <f>IFERROR(__xludf.DUMMYFUNCTION("""COMPUTED_VALUE"""),"GSW")</f>
        <v>GSW</v>
      </c>
      <c r="D4150" s="4" t="str">
        <f>IFERROR(__xludf.DUMMYFUNCTION("""COMPUTED_VALUE"""),"Lorenzo Romar")</f>
        <v>Lorenzo Romar</v>
      </c>
      <c r="E4150" s="4" t="str">
        <f>IFERROR(__xludf.DUMMYFUNCTION("""COMPUTED_VALUE"""),"Washington")</f>
        <v>Washington</v>
      </c>
      <c r="F4150" s="4">
        <f>IFERROR(__xludf.DUMMYFUNCTION("""COMPUTED_VALUE"""),5.0)</f>
        <v>5</v>
      </c>
      <c r="G4150" s="4">
        <f>IFERROR(__xludf.DUMMYFUNCTION("""COMPUTED_VALUE"""),291.0)</f>
        <v>291</v>
      </c>
      <c r="H4150" s="4">
        <f>IFERROR(__xludf.DUMMYFUNCTION("""COMPUTED_VALUE"""),5188.0)</f>
        <v>5188</v>
      </c>
      <c r="I4150" s="4">
        <f>IFERROR(__xludf.DUMMYFUNCTION("""COMPUTED_VALUE"""),1731.0)</f>
        <v>1731</v>
      </c>
      <c r="J4150" s="4">
        <f>IFERROR(__xludf.DUMMYFUNCTION("""COMPUTED_VALUE"""),385.0)</f>
        <v>385</v>
      </c>
      <c r="K4150" s="4">
        <f>IFERROR(__xludf.DUMMYFUNCTION("""COMPUTED_VALUE"""),1022.0)</f>
        <v>1022</v>
      </c>
      <c r="L4150" s="4">
        <f>IFERROR(__xludf.DUMMYFUNCTION("""COMPUTED_VALUE"""),0.464)</f>
        <v>0.464</v>
      </c>
      <c r="M4150" s="4">
        <f>IFERROR(__xludf.DUMMYFUNCTION("""COMPUTED_VALUE"""),0.211)</f>
        <v>0.211</v>
      </c>
      <c r="N4150" s="4">
        <f>IFERROR(__xludf.DUMMYFUNCTION("""COMPUTED_VALUE"""),0.749)</f>
        <v>0.749</v>
      </c>
      <c r="O4150" s="4">
        <f>IFERROR(__xludf.DUMMYFUNCTION("""COMPUTED_VALUE"""),17.8)</f>
        <v>17.8</v>
      </c>
      <c r="P4150" s="4">
        <f>IFERROR(__xludf.DUMMYFUNCTION("""COMPUTED_VALUE"""),5.9)</f>
        <v>5.9</v>
      </c>
      <c r="Q4150" s="4">
        <f>IFERROR(__xludf.DUMMYFUNCTION("""COMPUTED_VALUE"""),1.3)</f>
        <v>1.3</v>
      </c>
      <c r="R4150" s="4">
        <f>IFERROR(__xludf.DUMMYFUNCTION("""COMPUTED_VALUE"""),3.5)</f>
        <v>3.5</v>
      </c>
      <c r="S4150" s="4">
        <f>IFERROR(__xludf.DUMMYFUNCTION("""COMPUTED_VALUE"""),8.0)</f>
        <v>8</v>
      </c>
      <c r="T4150" s="4">
        <f>IFERROR(__xludf.DUMMYFUNCTION("""COMPUTED_VALUE"""),0.074)</f>
        <v>0.074</v>
      </c>
      <c r="U4150" s="4">
        <f>IFERROR(__xludf.DUMMYFUNCTION("""COMPUTED_VALUE"""),-0.6)</f>
        <v>-0.6</v>
      </c>
      <c r="V4150" s="4">
        <f>IFERROR(__xludf.DUMMYFUNCTION("""COMPUTED_VALUE"""),1.8)</f>
        <v>1.8</v>
      </c>
    </row>
    <row r="4151">
      <c r="A4151" s="4">
        <f>IFERROR(__xludf.DUMMYFUNCTION("""COMPUTED_VALUE"""),142.0)</f>
        <v>142</v>
      </c>
      <c r="B4151" s="4">
        <f>IFERROR(__xludf.DUMMYFUNCTION("""COMPUTED_VALUE"""),142.0)</f>
        <v>142</v>
      </c>
      <c r="C4151" s="4" t="str">
        <f>IFERROR(__xludf.DUMMYFUNCTION("""COMPUTED_VALUE"""),"CHI")</f>
        <v>CHI</v>
      </c>
      <c r="D4151" s="4" t="str">
        <f>IFERROR(__xludf.DUMMYFUNCTION("""COMPUTED_VALUE"""),"Robert Byrd")</f>
        <v>Robert Byrd</v>
      </c>
      <c r="E4151" s="4" t="str">
        <f>IFERROR(__xludf.DUMMYFUNCTION("""COMPUTED_VALUE"""),"Marquette")</f>
        <v>Marquette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</row>
    <row r="4152">
      <c r="A4152" s="4">
        <f>IFERROR(__xludf.DUMMYFUNCTION("""COMPUTED_VALUE"""),143.0)</f>
        <v>143</v>
      </c>
      <c r="B4152" s="4">
        <f>IFERROR(__xludf.DUMMYFUNCTION("""COMPUTED_VALUE"""),143.0)</f>
        <v>143</v>
      </c>
      <c r="C4152" s="4" t="str">
        <f>IFERROR(__xludf.DUMMYFUNCTION("""COMPUTED_VALUE"""),"DEN")</f>
        <v>DEN</v>
      </c>
      <c r="D4152" s="4" t="str">
        <f>IFERROR(__xludf.DUMMYFUNCTION("""COMPUTED_VALUE"""),"Tommy Springer")</f>
        <v>Tommy Springer</v>
      </c>
      <c r="E4152" s="4" t="str">
        <f>IFERROR(__xludf.DUMMYFUNCTION("""COMPUTED_VALUE"""),"Vanderbilt")</f>
        <v>Vanderbilt</v>
      </c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</row>
    <row r="4153">
      <c r="A4153" s="4">
        <f>IFERROR(__xludf.DUMMYFUNCTION("""COMPUTED_VALUE"""),144.0)</f>
        <v>144</v>
      </c>
      <c r="B4153" s="4">
        <f>IFERROR(__xludf.DUMMYFUNCTION("""COMPUTED_VALUE"""),144.0)</f>
        <v>144</v>
      </c>
      <c r="C4153" s="4" t="str">
        <f>IFERROR(__xludf.DUMMYFUNCTION("""COMPUTED_VALUE"""),"NJN")</f>
        <v>NJN</v>
      </c>
      <c r="D4153" s="4" t="str">
        <f>IFERROR(__xludf.DUMMYFUNCTION("""COMPUTED_VALUE"""),"Larry Spicer")</f>
        <v>Larry Spicer</v>
      </c>
      <c r="E4153" s="4" t="str">
        <f>IFERROR(__xludf.DUMMYFUNCTION("""COMPUTED_VALUE"""),"UAB")</f>
        <v>UAB</v>
      </c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</row>
    <row r="4154">
      <c r="A4154" s="4">
        <f>IFERROR(__xludf.DUMMYFUNCTION("""COMPUTED_VALUE"""),145.0)</f>
        <v>145</v>
      </c>
      <c r="B4154" s="4">
        <f>IFERROR(__xludf.DUMMYFUNCTION("""COMPUTED_VALUE"""),145.0)</f>
        <v>145</v>
      </c>
      <c r="C4154" s="4" t="str">
        <f>IFERROR(__xludf.DUMMYFUNCTION("""COMPUTED_VALUE"""),"SDC")</f>
        <v>SDC</v>
      </c>
      <c r="D4154" s="4" t="str">
        <f>IFERROR(__xludf.DUMMYFUNCTION("""COMPUTED_VALUE"""),"Paul Anderson")</f>
        <v>Paul Anderson</v>
      </c>
      <c r="E4154" s="4" t="str">
        <f>IFERROR(__xludf.DUMMYFUNCTION("""COMPUTED_VALUE"""),"Vanguard University of Southern California")</f>
        <v>Vanguard University of Southern California</v>
      </c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</row>
    <row r="4155">
      <c r="A4155" s="4">
        <f>IFERROR(__xludf.DUMMYFUNCTION("""COMPUTED_VALUE"""),146.0)</f>
        <v>146</v>
      </c>
      <c r="B4155" s="4">
        <f>IFERROR(__xludf.DUMMYFUNCTION("""COMPUTED_VALUE"""),146.0)</f>
        <v>146</v>
      </c>
      <c r="C4155" s="4" t="str">
        <f>IFERROR(__xludf.DUMMYFUNCTION("""COMPUTED_VALUE"""),"IND")</f>
        <v>IND</v>
      </c>
      <c r="D4155" s="4" t="str">
        <f>IFERROR(__xludf.DUMMYFUNCTION("""COMPUTED_VALUE"""),"Charles Naddaff")</f>
        <v>Charles Naddaff</v>
      </c>
      <c r="E4155" s="4" t="str">
        <f>IFERROR(__xludf.DUMMYFUNCTION("""COMPUTED_VALUE"""),"Lafayette College")</f>
        <v>Lafayette College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</row>
    <row r="4156">
      <c r="A4156" s="4">
        <f>IFERROR(__xludf.DUMMYFUNCTION("""COMPUTED_VALUE"""),147.0)</f>
        <v>147</v>
      </c>
      <c r="B4156" s="4">
        <f>IFERROR(__xludf.DUMMYFUNCTION("""COMPUTED_VALUE"""),147.0)</f>
        <v>147</v>
      </c>
      <c r="C4156" s="4" t="str">
        <f>IFERROR(__xludf.DUMMYFUNCTION("""COMPUTED_VALUE"""),"CLE")</f>
        <v>CLE</v>
      </c>
      <c r="D4156" s="4" t="str">
        <f>IFERROR(__xludf.DUMMYFUNCTION("""COMPUTED_VALUE"""),"Leroy Berry")</f>
        <v>Leroy Berry</v>
      </c>
      <c r="E4156" s="4" t="str">
        <f>IFERROR(__xludf.DUMMYFUNCTION("""COMPUTED_VALUE"""),"Wilmington College")</f>
        <v>Wilmington College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</row>
    <row r="4157">
      <c r="A4157" s="4">
        <f>IFERROR(__xludf.DUMMYFUNCTION("""COMPUTED_VALUE"""),148.0)</f>
        <v>148</v>
      </c>
      <c r="B4157" s="4">
        <f>IFERROR(__xludf.DUMMYFUNCTION("""COMPUTED_VALUE"""),148.0)</f>
        <v>148</v>
      </c>
      <c r="C4157" s="4" t="str">
        <f>IFERROR(__xludf.DUMMYFUNCTION("""COMPUTED_VALUE"""),"POR")</f>
        <v>POR</v>
      </c>
      <c r="D4157" s="4" t="str">
        <f>IFERROR(__xludf.DUMMYFUNCTION("""COMPUTED_VALUE"""),"Gig Sims")</f>
        <v>Gig Sims</v>
      </c>
      <c r="E4157" s="4" t="str">
        <f>IFERROR(__xludf.DUMMYFUNCTION("""COMPUTED_VALUE"""),"UCLA")</f>
        <v>UCLA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</row>
    <row r="4158">
      <c r="A4158" s="4">
        <f>IFERROR(__xludf.DUMMYFUNCTION("""COMPUTED_VALUE"""),149.0)</f>
        <v>149</v>
      </c>
      <c r="B4158" s="4">
        <f>IFERROR(__xludf.DUMMYFUNCTION("""COMPUTED_VALUE"""),149.0)</f>
        <v>149</v>
      </c>
      <c r="C4158" s="4" t="str">
        <f>IFERROR(__xludf.DUMMYFUNCTION("""COMPUTED_VALUE"""),"DAL")</f>
        <v>DAL</v>
      </c>
      <c r="D4158" s="4" t="str">
        <f>IFERROR(__xludf.DUMMYFUNCTION("""COMPUTED_VALUE"""),"Tony Forch")</f>
        <v>Tony Forch</v>
      </c>
      <c r="E4158" s="4" t="str">
        <f>IFERROR(__xludf.DUMMYFUNCTION("""COMPUTED_VALUE"""),"Midwestern State University")</f>
        <v>Midwestern State University</v>
      </c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</row>
    <row r="4159">
      <c r="A4159" s="4">
        <f>IFERROR(__xludf.DUMMYFUNCTION("""COMPUTED_VALUE"""),150.0)</f>
        <v>150</v>
      </c>
      <c r="B4159" s="4">
        <f>IFERROR(__xludf.DUMMYFUNCTION("""COMPUTED_VALUE"""),150.0)</f>
        <v>150</v>
      </c>
      <c r="C4159" s="4" t="str">
        <f>IFERROR(__xludf.DUMMYFUNCTION("""COMPUTED_VALUE"""),"NYK")</f>
        <v>NYK</v>
      </c>
      <c r="D4159" s="4" t="str">
        <f>IFERROR(__xludf.DUMMYFUNCTION("""COMPUTED_VALUE"""),"Bobby Turner")</f>
        <v>Bobby Turner</v>
      </c>
      <c r="E4159" s="4" t="str">
        <f>IFERROR(__xludf.DUMMYFUNCTION("""COMPUTED_VALUE"""),"Louisville")</f>
        <v>Louisville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</row>
    <row r="4160">
      <c r="A4160" s="4">
        <f>IFERROR(__xludf.DUMMYFUNCTION("""COMPUTED_VALUE"""),151.0)</f>
        <v>151</v>
      </c>
      <c r="B4160" s="4">
        <f>IFERROR(__xludf.DUMMYFUNCTION("""COMPUTED_VALUE"""),151.0)</f>
        <v>151</v>
      </c>
      <c r="C4160" s="4" t="str">
        <f>IFERROR(__xludf.DUMMYFUNCTION("""COMPUTED_VALUE"""),"WSB")</f>
        <v>WSB</v>
      </c>
      <c r="D4160" s="4" t="str">
        <f>IFERROR(__xludf.DUMMYFUNCTION("""COMPUTED_VALUE"""),"Karl Godine")</f>
        <v>Karl Godine</v>
      </c>
      <c r="E4160" s="4" t="str">
        <f>IFERROR(__xludf.DUMMYFUNCTION("""COMPUTED_VALUE"""),"Stephen F. Austin")</f>
        <v>Stephen F. Austin</v>
      </c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</row>
    <row r="4161">
      <c r="A4161" s="4">
        <f>IFERROR(__xludf.DUMMYFUNCTION("""COMPUTED_VALUE"""),152.0)</f>
        <v>152</v>
      </c>
      <c r="B4161" s="4">
        <f>IFERROR(__xludf.DUMMYFUNCTION("""COMPUTED_VALUE"""),152.0)</f>
        <v>152</v>
      </c>
      <c r="C4161" s="4" t="str">
        <f>IFERROR(__xludf.DUMMYFUNCTION("""COMPUTED_VALUE"""),"HOU")</f>
        <v>HOU</v>
      </c>
      <c r="D4161" s="4" t="str">
        <f>IFERROR(__xludf.DUMMYFUNCTION("""COMPUTED_VALUE"""),"Joe Nehls")</f>
        <v>Joe Nehls</v>
      </c>
      <c r="E4161" s="4" t="str">
        <f>IFERROR(__xludf.DUMMYFUNCTION("""COMPUTED_VALUE"""),"Arizona")</f>
        <v>Arizona</v>
      </c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</row>
    <row r="4162">
      <c r="A4162" s="4">
        <f>IFERROR(__xludf.DUMMYFUNCTION("""COMPUTED_VALUE"""),153.0)</f>
        <v>153</v>
      </c>
      <c r="B4162" s="4">
        <f>IFERROR(__xludf.DUMMYFUNCTION("""COMPUTED_VALUE"""),153.0)</f>
        <v>153</v>
      </c>
      <c r="C4162" s="4" t="str">
        <f>IFERROR(__xludf.DUMMYFUNCTION("""COMPUTED_VALUE"""),"SAS")</f>
        <v>SAS</v>
      </c>
      <c r="D4162" s="4" t="str">
        <f>IFERROR(__xludf.DUMMYFUNCTION("""COMPUTED_VALUE"""),"Alan Zahn")</f>
        <v>Alan Zahn</v>
      </c>
      <c r="E4162" s="4" t="str">
        <f>IFERROR(__xludf.DUMMYFUNCTION("""COMPUTED_VALUE"""),"Arkansas")</f>
        <v>Arkansas</v>
      </c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</row>
    <row r="4163">
      <c r="A4163" s="4">
        <f>IFERROR(__xludf.DUMMYFUNCTION("""COMPUTED_VALUE"""),154.0)</f>
        <v>154</v>
      </c>
      <c r="B4163" s="4">
        <f>IFERROR(__xludf.DUMMYFUNCTION("""COMPUTED_VALUE"""),154.0)</f>
        <v>154</v>
      </c>
      <c r="C4163" s="4" t="str">
        <f>IFERROR(__xludf.DUMMYFUNCTION("""COMPUTED_VALUE"""),"KCK")</f>
        <v>KCK</v>
      </c>
      <c r="D4163" s="4" t="str">
        <f>IFERROR(__xludf.DUMMYFUNCTION("""COMPUTED_VALUE"""),"Arnold McDowell")</f>
        <v>Arnold McDowell</v>
      </c>
      <c r="E4163" s="4" t="str">
        <f>IFERROR(__xludf.DUMMYFUNCTION("""COMPUTED_VALUE"""),"Montana State")</f>
        <v>Montana State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</row>
    <row r="4164">
      <c r="A4164" s="4">
        <f>IFERROR(__xludf.DUMMYFUNCTION("""COMPUTED_VALUE"""),155.0)</f>
        <v>155</v>
      </c>
      <c r="B4164" s="4">
        <f>IFERROR(__xludf.DUMMYFUNCTION("""COMPUTED_VALUE"""),155.0)</f>
        <v>155</v>
      </c>
      <c r="C4164" s="4" t="str">
        <f>IFERROR(__xludf.DUMMYFUNCTION("""COMPUTED_VALUE"""),"MIL")</f>
        <v>MIL</v>
      </c>
      <c r="D4164" s="4" t="str">
        <f>IFERROR(__xludf.DUMMYFUNCTION("""COMPUTED_VALUE"""),"Ron White")</f>
        <v>Ron White</v>
      </c>
      <c r="E4164" s="4" t="str">
        <f>IFERROR(__xludf.DUMMYFUNCTION("""COMPUTED_VALUE"""),"Furman University")</f>
        <v>Furman University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</row>
    <row r="4165">
      <c r="A4165" s="4">
        <f>IFERROR(__xludf.DUMMYFUNCTION("""COMPUTED_VALUE"""),156.0)</f>
        <v>156</v>
      </c>
      <c r="B4165" s="4">
        <f>IFERROR(__xludf.DUMMYFUNCTION("""COMPUTED_VALUE"""),156.0)</f>
        <v>156</v>
      </c>
      <c r="C4165" s="4" t="str">
        <f>IFERROR(__xludf.DUMMYFUNCTION("""COMPUTED_VALUE"""),"ATL")</f>
        <v>ATL</v>
      </c>
      <c r="D4165" s="4" t="str">
        <f>IFERROR(__xludf.DUMMYFUNCTION("""COMPUTED_VALUE"""),"Charles Hightower")</f>
        <v>Charles Hightower</v>
      </c>
      <c r="E4165" s="4" t="str">
        <f>IFERROR(__xludf.DUMMYFUNCTION("""COMPUTED_VALUE"""),"Dillard University")</f>
        <v>Dillard University</v>
      </c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</row>
    <row r="4166">
      <c r="A4166" s="4">
        <f>IFERROR(__xludf.DUMMYFUNCTION("""COMPUTED_VALUE"""),157.0)</f>
        <v>157</v>
      </c>
      <c r="B4166" s="4">
        <f>IFERROR(__xludf.DUMMYFUNCTION("""COMPUTED_VALUE"""),157.0)</f>
        <v>157</v>
      </c>
      <c r="C4166" s="4" t="str">
        <f>IFERROR(__xludf.DUMMYFUNCTION("""COMPUTED_VALUE"""),"PHO")</f>
        <v>PHO</v>
      </c>
      <c r="D4166" s="4" t="str">
        <f>IFERROR(__xludf.DUMMYFUNCTION("""COMPUTED_VALUE"""),"Ron Williams")</f>
        <v>Ron Williams</v>
      </c>
      <c r="E4166" s="4" t="str">
        <f>IFERROR(__xludf.DUMMYFUNCTION("""COMPUTED_VALUE"""),"Montana-Western")</f>
        <v>Montana-Western</v>
      </c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</row>
    <row r="4167">
      <c r="A4167" s="4">
        <f>IFERROR(__xludf.DUMMYFUNCTION("""COMPUTED_VALUE"""),158.0)</f>
        <v>158</v>
      </c>
      <c r="B4167" s="4">
        <f>IFERROR(__xludf.DUMMYFUNCTION("""COMPUTED_VALUE"""),158.0)</f>
        <v>158</v>
      </c>
      <c r="C4167" s="4" t="str">
        <f>IFERROR(__xludf.DUMMYFUNCTION("""COMPUTED_VALUE"""),"SEA")</f>
        <v>SEA</v>
      </c>
      <c r="D4167" s="4" t="str">
        <f>IFERROR(__xludf.DUMMYFUNCTION("""COMPUTED_VALUE"""),"Carl Ervin")</f>
        <v>Carl Ervin</v>
      </c>
      <c r="E4167" s="4" t="str">
        <f>IFERROR(__xludf.DUMMYFUNCTION("""COMPUTED_VALUE"""),"Seattle University")</f>
        <v>Seattle University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</row>
    <row r="4168">
      <c r="A4168" s="4">
        <f>IFERROR(__xludf.DUMMYFUNCTION("""COMPUTED_VALUE"""),159.0)</f>
        <v>159</v>
      </c>
      <c r="B4168" s="4">
        <f>IFERROR(__xludf.DUMMYFUNCTION("""COMPUTED_VALUE"""),159.0)</f>
        <v>159</v>
      </c>
      <c r="C4168" s="4" t="str">
        <f>IFERROR(__xludf.DUMMYFUNCTION("""COMPUTED_VALUE"""),"PHI")</f>
        <v>PHI</v>
      </c>
      <c r="D4168" s="4" t="str">
        <f>IFERROR(__xludf.DUMMYFUNCTION("""COMPUTED_VALUE"""),"Richard Smith")</f>
        <v>Richard Smith</v>
      </c>
      <c r="E4168" s="4" t="str">
        <f>IFERROR(__xludf.DUMMYFUNCTION("""COMPUTED_VALUE"""),"Weber State")</f>
        <v>Weber State</v>
      </c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</row>
    <row r="4169">
      <c r="A4169" s="4">
        <f>IFERROR(__xludf.DUMMYFUNCTION("""COMPUTED_VALUE"""),160.0)</f>
        <v>160</v>
      </c>
      <c r="B4169" s="4">
        <f>IFERROR(__xludf.DUMMYFUNCTION("""COMPUTED_VALUE"""),160.0)</f>
        <v>160</v>
      </c>
      <c r="C4169" s="4" t="str">
        <f>IFERROR(__xludf.DUMMYFUNCTION("""COMPUTED_VALUE"""),"BOS")</f>
        <v>BOS</v>
      </c>
      <c r="D4169" s="4" t="str">
        <f>IFERROR(__xludf.DUMMYFUNCTION("""COMPUTED_VALUE"""),"Les Henson")</f>
        <v>Les Henson</v>
      </c>
      <c r="E4169" s="4" t="str">
        <f>IFERROR(__xludf.DUMMYFUNCTION("""COMPUTED_VALUE"""),"Virginia Tech")</f>
        <v>Virginia Tech</v>
      </c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</row>
    <row r="4170">
      <c r="A4170" s="4"/>
      <c r="B4170" s="4"/>
      <c r="C4170" s="4"/>
      <c r="D4170" s="4" t="str">
        <f>IFERROR(__xludf.DUMMYFUNCTION("""COMPUTED_VALUE"""),"Round 8")</f>
        <v>Round 8</v>
      </c>
      <c r="E4170" s="4"/>
      <c r="F4170" s="4"/>
      <c r="G4170" s="4" t="str">
        <f>IFERROR(__xludf.DUMMYFUNCTION("""COMPUTED_VALUE"""),"Totals")</f>
        <v>Totals</v>
      </c>
      <c r="H4170" s="4"/>
      <c r="I4170" s="4"/>
      <c r="J4170" s="4"/>
      <c r="K4170" s="4"/>
      <c r="L4170" s="4" t="str">
        <f>IFERROR(__xludf.DUMMYFUNCTION("""COMPUTED_VALUE"""),"Shooting")</f>
        <v>Shooting</v>
      </c>
      <c r="M4170" s="4"/>
      <c r="N4170" s="4"/>
      <c r="O4170" s="4" t="str">
        <f>IFERROR(__xludf.DUMMYFUNCTION("""COMPUTED_VALUE"""),"Per Game")</f>
        <v>Per Game</v>
      </c>
      <c r="P4170" s="4"/>
      <c r="Q4170" s="4"/>
      <c r="R4170" s="4"/>
      <c r="S4170" s="4" t="str">
        <f>IFERROR(__xludf.DUMMYFUNCTION("""COMPUTED_VALUE"""),"Advanced")</f>
        <v>Advanced</v>
      </c>
      <c r="T4170" s="4"/>
      <c r="U4170" s="4"/>
      <c r="V4170" s="4"/>
    </row>
    <row r="4171">
      <c r="A4171" s="4" t="str">
        <f>IFERROR(__xludf.DUMMYFUNCTION("""COMPUTED_VALUE"""),"Rk")</f>
        <v>Rk</v>
      </c>
      <c r="B4171" s="4" t="str">
        <f>IFERROR(__xludf.DUMMYFUNCTION("""COMPUTED_VALUE"""),"Pk")</f>
        <v>Pk</v>
      </c>
      <c r="C4171" s="4" t="str">
        <f>IFERROR(__xludf.DUMMYFUNCTION("""COMPUTED_VALUE"""),"Tm")</f>
        <v>Tm</v>
      </c>
      <c r="D4171" s="4" t="str">
        <f>IFERROR(__xludf.DUMMYFUNCTION("""COMPUTED_VALUE"""),"Player")</f>
        <v>Player</v>
      </c>
      <c r="E4171" s="4" t="str">
        <f>IFERROR(__xludf.DUMMYFUNCTION("""COMPUTED_VALUE"""),"College")</f>
        <v>College</v>
      </c>
      <c r="F4171" s="4" t="str">
        <f>IFERROR(__xludf.DUMMYFUNCTION("""COMPUTED_VALUE"""),"Yrs")</f>
        <v>Yrs</v>
      </c>
      <c r="G4171" s="4" t="str">
        <f>IFERROR(__xludf.DUMMYFUNCTION("""COMPUTED_VALUE"""),"G")</f>
        <v>G</v>
      </c>
      <c r="H4171" s="4" t="str">
        <f>IFERROR(__xludf.DUMMYFUNCTION("""COMPUTED_VALUE"""),"MP")</f>
        <v>MP</v>
      </c>
      <c r="I4171" s="4" t="str">
        <f>IFERROR(__xludf.DUMMYFUNCTION("""COMPUTED_VALUE"""),"PTS")</f>
        <v>PTS</v>
      </c>
      <c r="J4171" s="4" t="str">
        <f>IFERROR(__xludf.DUMMYFUNCTION("""COMPUTED_VALUE"""),"TRB")</f>
        <v>TRB</v>
      </c>
      <c r="K4171" s="4" t="str">
        <f>IFERROR(__xludf.DUMMYFUNCTION("""COMPUTED_VALUE"""),"AST")</f>
        <v>AST</v>
      </c>
      <c r="L4171" s="4" t="str">
        <f>IFERROR(__xludf.DUMMYFUNCTION("""COMPUTED_VALUE"""),"FG%")</f>
        <v>FG%</v>
      </c>
      <c r="M4171" s="4" t="str">
        <f>IFERROR(__xludf.DUMMYFUNCTION("""COMPUTED_VALUE"""),"3P%")</f>
        <v>3P%</v>
      </c>
      <c r="N4171" s="4" t="str">
        <f>IFERROR(__xludf.DUMMYFUNCTION("""COMPUTED_VALUE"""),"FT%")</f>
        <v>FT%</v>
      </c>
      <c r="O4171" s="4" t="str">
        <f>IFERROR(__xludf.DUMMYFUNCTION("""COMPUTED_VALUE"""),"MP")</f>
        <v>MP</v>
      </c>
      <c r="P4171" s="4" t="str">
        <f>IFERROR(__xludf.DUMMYFUNCTION("""COMPUTED_VALUE"""),"PTS")</f>
        <v>PTS</v>
      </c>
      <c r="Q4171" s="4" t="str">
        <f>IFERROR(__xludf.DUMMYFUNCTION("""COMPUTED_VALUE"""),"TRB")</f>
        <v>TRB</v>
      </c>
      <c r="R4171" s="4" t="str">
        <f>IFERROR(__xludf.DUMMYFUNCTION("""COMPUTED_VALUE"""),"AST")</f>
        <v>AST</v>
      </c>
      <c r="S4171" s="4" t="str">
        <f>IFERROR(__xludf.DUMMYFUNCTION("""COMPUTED_VALUE"""),"WS")</f>
        <v>WS</v>
      </c>
      <c r="T4171" s="4" t="str">
        <f>IFERROR(__xludf.DUMMYFUNCTION("""COMPUTED_VALUE"""),"WS/48")</f>
        <v>WS/48</v>
      </c>
      <c r="U4171" s="4" t="str">
        <f>IFERROR(__xludf.DUMMYFUNCTION("""COMPUTED_VALUE"""),"BPM")</f>
        <v>BPM</v>
      </c>
      <c r="V4171" s="4" t="str">
        <f>IFERROR(__xludf.DUMMYFUNCTION("""COMPUTED_VALUE"""),"VORP")</f>
        <v>VORP</v>
      </c>
    </row>
    <row r="4172">
      <c r="A4172" s="4">
        <f>IFERROR(__xludf.DUMMYFUNCTION("""COMPUTED_VALUE"""),161.0)</f>
        <v>161</v>
      </c>
      <c r="B4172" s="4">
        <f>IFERROR(__xludf.DUMMYFUNCTION("""COMPUTED_VALUE"""),161.0)</f>
        <v>161</v>
      </c>
      <c r="C4172" s="4" t="str">
        <f>IFERROR(__xludf.DUMMYFUNCTION("""COMPUTED_VALUE"""),"DET")</f>
        <v>DET</v>
      </c>
      <c r="D4172" s="4" t="str">
        <f>IFERROR(__xludf.DUMMYFUNCTION("""COMPUTED_VALUE"""),"Leroy Loggins")</f>
        <v>Leroy Loggins</v>
      </c>
      <c r="E4172" s="4" t="str">
        <f>IFERROR(__xludf.DUMMYFUNCTION("""COMPUTED_VALUE"""),"Fairmont State University")</f>
        <v>Fairmont State University</v>
      </c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</row>
    <row r="4173">
      <c r="A4173" s="4">
        <f>IFERROR(__xludf.DUMMYFUNCTION("""COMPUTED_VALUE"""),162.0)</f>
        <v>162</v>
      </c>
      <c r="B4173" s="4">
        <f>IFERROR(__xludf.DUMMYFUNCTION("""COMPUTED_VALUE"""),162.0)</f>
        <v>162</v>
      </c>
      <c r="C4173" s="4" t="str">
        <f>IFERROR(__xludf.DUMMYFUNCTION("""COMPUTED_VALUE"""),"GSW")</f>
        <v>GSW</v>
      </c>
      <c r="D4173" s="4" t="str">
        <f>IFERROR(__xludf.DUMMYFUNCTION("""COMPUTED_VALUE"""),"Kurt Kanaskie")</f>
        <v>Kurt Kanaskie</v>
      </c>
      <c r="E4173" s="4" t="str">
        <f>IFERROR(__xludf.DUMMYFUNCTION("""COMPUTED_VALUE"""),"La Salle")</f>
        <v>La Salle</v>
      </c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</row>
    <row r="4174">
      <c r="A4174" s="4">
        <f>IFERROR(__xludf.DUMMYFUNCTION("""COMPUTED_VALUE"""),163.0)</f>
        <v>163</v>
      </c>
      <c r="B4174" s="4">
        <f>IFERROR(__xludf.DUMMYFUNCTION("""COMPUTED_VALUE"""),163.0)</f>
        <v>163</v>
      </c>
      <c r="C4174" s="4" t="str">
        <f>IFERROR(__xludf.DUMMYFUNCTION("""COMPUTED_VALUE"""),"UTA")</f>
        <v>UTA</v>
      </c>
      <c r="D4174" s="4" t="str">
        <f>IFERROR(__xludf.DUMMYFUNCTION("""COMPUTED_VALUE"""),"Jim Brandon")</f>
        <v>Jim Brandon</v>
      </c>
      <c r="E4174" s="4" t="str">
        <f>IFERROR(__xludf.DUMMYFUNCTION("""COMPUTED_VALUE"""),"Saint Peter's College")</f>
        <v>Saint Peter's College</v>
      </c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</row>
    <row r="4175">
      <c r="A4175" s="4">
        <f>IFERROR(__xludf.DUMMYFUNCTION("""COMPUTED_VALUE"""),164.0)</f>
        <v>164</v>
      </c>
      <c r="B4175" s="4">
        <f>IFERROR(__xludf.DUMMYFUNCTION("""COMPUTED_VALUE"""),164.0)</f>
        <v>164</v>
      </c>
      <c r="C4175" s="4" t="str">
        <f>IFERROR(__xludf.DUMMYFUNCTION("""COMPUTED_VALUE"""),"CHI")</f>
        <v>CHI</v>
      </c>
      <c r="D4175" s="4" t="str">
        <f>IFERROR(__xludf.DUMMYFUNCTION("""COMPUTED_VALUE"""),"Modzel Greer")</f>
        <v>Modzel Greer</v>
      </c>
      <c r="E4175" s="4" t="str">
        <f>IFERROR(__xludf.DUMMYFUNCTION("""COMPUTED_VALUE"""),"North Park University")</f>
        <v>North Park University</v>
      </c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</row>
    <row r="4176">
      <c r="A4176" s="4">
        <f>IFERROR(__xludf.DUMMYFUNCTION("""COMPUTED_VALUE"""),165.0)</f>
        <v>165</v>
      </c>
      <c r="B4176" s="4">
        <f>IFERROR(__xludf.DUMMYFUNCTION("""COMPUTED_VALUE"""),165.0)</f>
        <v>165</v>
      </c>
      <c r="C4176" s="4" t="str">
        <f>IFERROR(__xludf.DUMMYFUNCTION("""COMPUTED_VALUE"""),"NJN")</f>
        <v>NJN</v>
      </c>
      <c r="D4176" s="4" t="str">
        <f>IFERROR(__xludf.DUMMYFUNCTION("""COMPUTED_VALUE"""),"Lloyd Terry")</f>
        <v>Lloyd Terry</v>
      </c>
      <c r="E4176" s="4" t="str">
        <f>IFERROR(__xludf.DUMMYFUNCTION("""COMPUTED_VALUE"""),"New Orleans")</f>
        <v>New Orleans</v>
      </c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</row>
    <row r="4177">
      <c r="A4177" s="4">
        <f>IFERROR(__xludf.DUMMYFUNCTION("""COMPUTED_VALUE"""),166.0)</f>
        <v>166</v>
      </c>
      <c r="B4177" s="4">
        <f>IFERROR(__xludf.DUMMYFUNCTION("""COMPUTED_VALUE"""),166.0)</f>
        <v>166</v>
      </c>
      <c r="C4177" s="4" t="str">
        <f>IFERROR(__xludf.DUMMYFUNCTION("""COMPUTED_VALUE"""),"CLE")</f>
        <v>CLE</v>
      </c>
      <c r="D4177" s="4" t="str">
        <f>IFERROR(__xludf.DUMMYFUNCTION("""COMPUTED_VALUE"""),"Jim Ellinghausen")</f>
        <v>Jim Ellinghausen</v>
      </c>
      <c r="E4177" s="4" t="str">
        <f>IFERROR(__xludf.DUMMYFUNCTION("""COMPUTED_VALUE"""),"Ohio State")</f>
        <v>Ohio State</v>
      </c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</row>
    <row r="4178">
      <c r="A4178" s="4">
        <f>IFERROR(__xludf.DUMMYFUNCTION("""COMPUTED_VALUE"""),167.0)</f>
        <v>167</v>
      </c>
      <c r="B4178" s="4">
        <f>IFERROR(__xludf.DUMMYFUNCTION("""COMPUTED_VALUE"""),167.0)</f>
        <v>167</v>
      </c>
      <c r="C4178" s="4" t="str">
        <f>IFERROR(__xludf.DUMMYFUNCTION("""COMPUTED_VALUE"""),"IND")</f>
        <v>IND</v>
      </c>
      <c r="D4178" s="4" t="str">
        <f>IFERROR(__xludf.DUMMYFUNCTION("""COMPUTED_VALUE"""),"Steve Stielper")</f>
        <v>Steve Stielper</v>
      </c>
      <c r="E4178" s="4" t="str">
        <f>IFERROR(__xludf.DUMMYFUNCTION("""COMPUTED_VALUE"""),"James Madison University")</f>
        <v>James Madison University</v>
      </c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</row>
    <row r="4179">
      <c r="A4179" s="4">
        <f>IFERROR(__xludf.DUMMYFUNCTION("""COMPUTED_VALUE"""),168.0)</f>
        <v>168</v>
      </c>
      <c r="B4179" s="4">
        <f>IFERROR(__xludf.DUMMYFUNCTION("""COMPUTED_VALUE"""),168.0)</f>
        <v>168</v>
      </c>
      <c r="C4179" s="4" t="str">
        <f>IFERROR(__xludf.DUMMYFUNCTION("""COMPUTED_VALUE"""),"POR")</f>
        <v>POR</v>
      </c>
      <c r="D4179" s="4" t="str">
        <f>IFERROR(__xludf.DUMMYFUNCTION("""COMPUTED_VALUE"""),"John Stroeder")</f>
        <v>John Stroeder</v>
      </c>
      <c r="E4179" s="4" t="str">
        <f>IFERROR(__xludf.DUMMYFUNCTION("""COMPUTED_VALUE"""),"Montana")</f>
        <v>Montana</v>
      </c>
      <c r="F4179" s="4">
        <f>IFERROR(__xludf.DUMMYFUNCTION("""COMPUTED_VALUE"""),2.0)</f>
        <v>2</v>
      </c>
      <c r="G4179" s="4">
        <f>IFERROR(__xludf.DUMMYFUNCTION("""COMPUTED_VALUE"""),46.0)</f>
        <v>46</v>
      </c>
      <c r="H4179" s="4">
        <f>IFERROR(__xludf.DUMMYFUNCTION("""COMPUTED_VALUE"""),293.0)</f>
        <v>293</v>
      </c>
      <c r="I4179" s="4">
        <f>IFERROR(__xludf.DUMMYFUNCTION("""COMPUTED_VALUE"""),82.0)</f>
        <v>82</v>
      </c>
      <c r="J4179" s="4">
        <f>IFERROR(__xludf.DUMMYFUNCTION("""COMPUTED_VALUE"""),85.0)</f>
        <v>85</v>
      </c>
      <c r="K4179" s="4">
        <f>IFERROR(__xludf.DUMMYFUNCTION("""COMPUTED_VALUE"""),23.0)</f>
        <v>23</v>
      </c>
      <c r="L4179" s="4">
        <f>IFERROR(__xludf.DUMMYFUNCTION("""COMPUTED_VALUE"""),0.369)</f>
        <v>0.369</v>
      </c>
      <c r="M4179" s="4">
        <f>IFERROR(__xludf.DUMMYFUNCTION("""COMPUTED_VALUE"""),0.0)</f>
        <v>0</v>
      </c>
      <c r="N4179" s="4">
        <f>IFERROR(__xludf.DUMMYFUNCTION("""COMPUTED_VALUE"""),0.667)</f>
        <v>0.667</v>
      </c>
      <c r="O4179" s="4">
        <f>IFERROR(__xludf.DUMMYFUNCTION("""COMPUTED_VALUE"""),6.4)</f>
        <v>6.4</v>
      </c>
      <c r="P4179" s="4">
        <f>IFERROR(__xludf.DUMMYFUNCTION("""COMPUTED_VALUE"""),1.8)</f>
        <v>1.8</v>
      </c>
      <c r="Q4179" s="4">
        <f>IFERROR(__xludf.DUMMYFUNCTION("""COMPUTED_VALUE"""),1.8)</f>
        <v>1.8</v>
      </c>
      <c r="R4179" s="4">
        <f>IFERROR(__xludf.DUMMYFUNCTION("""COMPUTED_VALUE"""),0.5)</f>
        <v>0.5</v>
      </c>
      <c r="S4179" s="4">
        <f>IFERROR(__xludf.DUMMYFUNCTION("""COMPUTED_VALUE"""),-0.1)</f>
        <v>-0.1</v>
      </c>
      <c r="T4179" s="4">
        <f>IFERROR(__xludf.DUMMYFUNCTION("""COMPUTED_VALUE"""),-0.01)</f>
        <v>-0.01</v>
      </c>
      <c r="U4179" s="4">
        <f>IFERROR(__xludf.DUMMYFUNCTION("""COMPUTED_VALUE"""),-5.9)</f>
        <v>-5.9</v>
      </c>
      <c r="V4179" s="4">
        <f>IFERROR(__xludf.DUMMYFUNCTION("""COMPUTED_VALUE"""),-0.3)</f>
        <v>-0.3</v>
      </c>
    </row>
    <row r="4180">
      <c r="A4180" s="4">
        <f>IFERROR(__xludf.DUMMYFUNCTION("""COMPUTED_VALUE"""),169.0)</f>
        <v>169</v>
      </c>
      <c r="B4180" s="4">
        <f>IFERROR(__xludf.DUMMYFUNCTION("""COMPUTED_VALUE"""),169.0)</f>
        <v>169</v>
      </c>
      <c r="C4180" s="4" t="str">
        <f>IFERROR(__xludf.DUMMYFUNCTION("""COMPUTED_VALUE"""),"DAL")</f>
        <v>DAL</v>
      </c>
      <c r="D4180" s="4" t="str">
        <f>IFERROR(__xludf.DUMMYFUNCTION("""COMPUTED_VALUE"""),"Clarence Kea")</f>
        <v>Clarence Kea</v>
      </c>
      <c r="E4180" s="4" t="str">
        <f>IFERROR(__xludf.DUMMYFUNCTION("""COMPUTED_VALUE"""),"Lamar")</f>
        <v>Lamar</v>
      </c>
      <c r="F4180" s="4">
        <f>IFERROR(__xludf.DUMMYFUNCTION("""COMPUTED_VALUE"""),2.0)</f>
        <v>2</v>
      </c>
      <c r="G4180" s="4">
        <f>IFERROR(__xludf.DUMMYFUNCTION("""COMPUTED_VALUE"""),51.0)</f>
        <v>51</v>
      </c>
      <c r="H4180" s="4">
        <f>IFERROR(__xludf.DUMMYFUNCTION("""COMPUTED_VALUE"""),447.0)</f>
        <v>447</v>
      </c>
      <c r="I4180" s="4">
        <f>IFERROR(__xludf.DUMMYFUNCTION("""COMPUTED_VALUE"""),198.0)</f>
        <v>198</v>
      </c>
      <c r="J4180" s="4">
        <f>IFERROR(__xludf.DUMMYFUNCTION("""COMPUTED_VALUE"""),128.0)</f>
        <v>128</v>
      </c>
      <c r="K4180" s="4">
        <f>IFERROR(__xludf.DUMMYFUNCTION("""COMPUTED_VALUE"""),19.0)</f>
        <v>19</v>
      </c>
      <c r="L4180" s="4">
        <f>IFERROR(__xludf.DUMMYFUNCTION("""COMPUTED_VALUE"""),0.485)</f>
        <v>0.485</v>
      </c>
      <c r="M4180" s="4">
        <f>IFERROR(__xludf.DUMMYFUNCTION("""COMPUTED_VALUE"""),0.0)</f>
        <v>0</v>
      </c>
      <c r="N4180" s="4">
        <f>IFERROR(__xludf.DUMMYFUNCTION("""COMPUTED_VALUE"""),0.692)</f>
        <v>0.692</v>
      </c>
      <c r="O4180" s="4">
        <f>IFERROR(__xludf.DUMMYFUNCTION("""COMPUTED_VALUE"""),8.8)</f>
        <v>8.8</v>
      </c>
      <c r="P4180" s="4">
        <f>IFERROR(__xludf.DUMMYFUNCTION("""COMPUTED_VALUE"""),3.9)</f>
        <v>3.9</v>
      </c>
      <c r="Q4180" s="4">
        <f>IFERROR(__xludf.DUMMYFUNCTION("""COMPUTED_VALUE"""),2.5)</f>
        <v>2.5</v>
      </c>
      <c r="R4180" s="4">
        <f>IFERROR(__xludf.DUMMYFUNCTION("""COMPUTED_VALUE"""),0.4)</f>
        <v>0.4</v>
      </c>
      <c r="S4180" s="4">
        <f>IFERROR(__xludf.DUMMYFUNCTION("""COMPUTED_VALUE"""),1.0)</f>
        <v>1</v>
      </c>
      <c r="T4180" s="4">
        <f>IFERROR(__xludf.DUMMYFUNCTION("""COMPUTED_VALUE"""),0.107)</f>
        <v>0.107</v>
      </c>
      <c r="U4180" s="4">
        <f>IFERROR(__xludf.DUMMYFUNCTION("""COMPUTED_VALUE"""),-3.6)</f>
        <v>-3.6</v>
      </c>
      <c r="V4180" s="4">
        <f>IFERROR(__xludf.DUMMYFUNCTION("""COMPUTED_VALUE"""),-0.2)</f>
        <v>-0.2</v>
      </c>
    </row>
    <row r="4181">
      <c r="A4181" s="4">
        <f>IFERROR(__xludf.DUMMYFUNCTION("""COMPUTED_VALUE"""),170.0)</f>
        <v>170</v>
      </c>
      <c r="B4181" s="4">
        <f>IFERROR(__xludf.DUMMYFUNCTION("""COMPUTED_VALUE"""),170.0)</f>
        <v>170</v>
      </c>
      <c r="C4181" s="4" t="str">
        <f>IFERROR(__xludf.DUMMYFUNCTION("""COMPUTED_VALUE"""),"WSB")</f>
        <v>WSB</v>
      </c>
      <c r="D4181" s="4" t="str">
        <f>IFERROR(__xludf.DUMMYFUNCTION("""COMPUTED_VALUE"""),"Rich Valavicius")</f>
        <v>Rich Valavicius</v>
      </c>
      <c r="E4181" s="4" t="str">
        <f>IFERROR(__xludf.DUMMYFUNCTION("""COMPUTED_VALUE"""),"Auburn")</f>
        <v>Auburn</v>
      </c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</row>
    <row r="4182">
      <c r="A4182" s="4">
        <f>IFERROR(__xludf.DUMMYFUNCTION("""COMPUTED_VALUE"""),171.0)</f>
        <v>171</v>
      </c>
      <c r="B4182" s="4">
        <f>IFERROR(__xludf.DUMMYFUNCTION("""COMPUTED_VALUE"""),171.0)</f>
        <v>171</v>
      </c>
      <c r="C4182" s="4" t="str">
        <f>IFERROR(__xludf.DUMMYFUNCTION("""COMPUTED_VALUE"""),"NYK")</f>
        <v>NYK</v>
      </c>
      <c r="D4182" s="4" t="str">
        <f>IFERROR(__xludf.DUMMYFUNCTION("""COMPUTED_VALUE"""),"James Salters")</f>
        <v>James Salters</v>
      </c>
      <c r="E4182" s="4" t="str">
        <f>IFERROR(__xludf.DUMMYFUNCTION("""COMPUTED_VALUE"""),"Penn")</f>
        <v>Penn</v>
      </c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</row>
    <row r="4183">
      <c r="A4183" s="4">
        <f>IFERROR(__xludf.DUMMYFUNCTION("""COMPUTED_VALUE"""),172.0)</f>
        <v>172</v>
      </c>
      <c r="B4183" s="4">
        <f>IFERROR(__xludf.DUMMYFUNCTION("""COMPUTED_VALUE"""),172.0)</f>
        <v>172</v>
      </c>
      <c r="C4183" s="4" t="str">
        <f>IFERROR(__xludf.DUMMYFUNCTION("""COMPUTED_VALUE"""),"SAS")</f>
        <v>SAS</v>
      </c>
      <c r="D4183" s="4" t="str">
        <f>IFERROR(__xludf.DUMMYFUNCTION("""COMPUTED_VALUE"""),"Bill Bailey")</f>
        <v>Bill Bailey</v>
      </c>
      <c r="E4183" s="4" t="str">
        <f>IFERROR(__xludf.DUMMYFUNCTION("""COMPUTED_VALUE"""),"University of Texas Rio Grande Valley")</f>
        <v>University of Texas Rio Grande Valley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</row>
    <row r="4184">
      <c r="A4184" s="4">
        <f>IFERROR(__xludf.DUMMYFUNCTION("""COMPUTED_VALUE"""),173.0)</f>
        <v>173</v>
      </c>
      <c r="B4184" s="4">
        <f>IFERROR(__xludf.DUMMYFUNCTION("""COMPUTED_VALUE"""),173.0)</f>
        <v>173</v>
      </c>
      <c r="C4184" s="4" t="str">
        <f>IFERROR(__xludf.DUMMYFUNCTION("""COMPUTED_VALUE"""),"HOU")</f>
        <v>HOU</v>
      </c>
      <c r="D4184" s="4" t="str">
        <f>IFERROR(__xludf.DUMMYFUNCTION("""COMPUTED_VALUE"""),"Rosie Barnes")</f>
        <v>Rosie Barnes</v>
      </c>
      <c r="E4184" s="4" t="str">
        <f>IFERROR(__xludf.DUMMYFUNCTION("""COMPUTED_VALUE"""),"Bowling Green")</f>
        <v>Bowling Green</v>
      </c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</row>
    <row r="4185">
      <c r="A4185" s="4">
        <f>IFERROR(__xludf.DUMMYFUNCTION("""COMPUTED_VALUE"""),174.0)</f>
        <v>174</v>
      </c>
      <c r="B4185" s="4">
        <f>IFERROR(__xludf.DUMMYFUNCTION("""COMPUTED_VALUE"""),174.0)</f>
        <v>174</v>
      </c>
      <c r="C4185" s="4" t="str">
        <f>IFERROR(__xludf.DUMMYFUNCTION("""COMPUTED_VALUE"""),"MIL")</f>
        <v>MIL</v>
      </c>
      <c r="D4185" s="4" t="str">
        <f>IFERROR(__xludf.DUMMYFUNCTION("""COMPUTED_VALUE"""),"Keith Valentine")</f>
        <v>Keith Valentine</v>
      </c>
      <c r="E4185" s="4" t="str">
        <f>IFERROR(__xludf.DUMMYFUNCTION("""COMPUTED_VALUE"""),"Virginia Union University")</f>
        <v>Virginia Union University</v>
      </c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</row>
    <row r="4186">
      <c r="A4186" s="4">
        <f>IFERROR(__xludf.DUMMYFUNCTION("""COMPUTED_VALUE"""),175.0)</f>
        <v>175</v>
      </c>
      <c r="B4186" s="4">
        <f>IFERROR(__xludf.DUMMYFUNCTION("""COMPUTED_VALUE"""),175.0)</f>
        <v>175</v>
      </c>
      <c r="C4186" s="4" t="str">
        <f>IFERROR(__xludf.DUMMYFUNCTION("""COMPUTED_VALUE"""),"PHO")</f>
        <v>PHO</v>
      </c>
      <c r="D4186" s="4" t="str">
        <f>IFERROR(__xludf.DUMMYFUNCTION("""COMPUTED_VALUE"""),"Jim Connolly")</f>
        <v>Jim Connolly</v>
      </c>
      <c r="E4186" s="4" t="str">
        <f>IFERROR(__xludf.DUMMYFUNCTION("""COMPUTED_VALUE"""),"La Salle")</f>
        <v>La Salle</v>
      </c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</row>
    <row r="4187">
      <c r="A4187" s="4">
        <f>IFERROR(__xludf.DUMMYFUNCTION("""COMPUTED_VALUE"""),176.0)</f>
        <v>176</v>
      </c>
      <c r="B4187" s="4">
        <f>IFERROR(__xludf.DUMMYFUNCTION("""COMPUTED_VALUE"""),176.0)</f>
        <v>176</v>
      </c>
      <c r="C4187" s="4" t="str">
        <f>IFERROR(__xludf.DUMMYFUNCTION("""COMPUTED_VALUE"""),"SEA")</f>
        <v>SEA</v>
      </c>
      <c r="D4187" s="4" t="str">
        <f>IFERROR(__xludf.DUMMYFUNCTION("""COMPUTED_VALUE"""),"Al Dutch")</f>
        <v>Al Dutch</v>
      </c>
      <c r="E4187" s="4" t="str">
        <f>IFERROR(__xludf.DUMMYFUNCTION("""COMPUTED_VALUE"""),"Georgetown")</f>
        <v>Georgetown</v>
      </c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</row>
    <row r="4188">
      <c r="A4188" s="4">
        <f>IFERROR(__xludf.DUMMYFUNCTION("""COMPUTED_VALUE"""),177.0)</f>
        <v>177</v>
      </c>
      <c r="B4188" s="4">
        <f>IFERROR(__xludf.DUMMYFUNCTION("""COMPUTED_VALUE"""),177.0)</f>
        <v>177</v>
      </c>
      <c r="C4188" s="4" t="str">
        <f>IFERROR(__xludf.DUMMYFUNCTION("""COMPUTED_VALUE"""),"PHI")</f>
        <v>PHI</v>
      </c>
      <c r="D4188" s="4" t="str">
        <f>IFERROR(__xludf.DUMMYFUNCTION("""COMPUTED_VALUE"""),"Martin Lemelle")</f>
        <v>Martin Lemelle</v>
      </c>
      <c r="E4188" s="4" t="str">
        <f>IFERROR(__xludf.DUMMYFUNCTION("""COMPUTED_VALUE"""),"Grambling State University")</f>
        <v>Grambling State University</v>
      </c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</row>
    <row r="4189">
      <c r="A4189" s="4">
        <f>IFERROR(__xludf.DUMMYFUNCTION("""COMPUTED_VALUE"""),178.0)</f>
        <v>178</v>
      </c>
      <c r="B4189" s="4">
        <f>IFERROR(__xludf.DUMMYFUNCTION("""COMPUTED_VALUE"""),178.0)</f>
        <v>178</v>
      </c>
      <c r="C4189" s="4" t="str">
        <f>IFERROR(__xludf.DUMMYFUNCTION("""COMPUTED_VALUE"""),"LAL")</f>
        <v>LAL</v>
      </c>
      <c r="D4189" s="4" t="str">
        <f>IFERROR(__xludf.DUMMYFUNCTION("""COMPUTED_VALUE"""),"Melvin Hooker")</f>
        <v>Melvin Hooker</v>
      </c>
      <c r="E4189" s="4" t="str">
        <f>IFERROR(__xludf.DUMMYFUNCTION("""COMPUTED_VALUE"""),"Edinboro University of Pennsylvania")</f>
        <v>Edinboro University of Pennsylvania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</row>
    <row r="4190">
      <c r="A4190" s="4">
        <f>IFERROR(__xludf.DUMMYFUNCTION("""COMPUTED_VALUE"""),179.0)</f>
        <v>179</v>
      </c>
      <c r="B4190" s="4">
        <f>IFERROR(__xludf.DUMMYFUNCTION("""COMPUTED_VALUE"""),179.0)</f>
        <v>179</v>
      </c>
      <c r="C4190" s="4" t="str">
        <f>IFERROR(__xludf.DUMMYFUNCTION("""COMPUTED_VALUE"""),"BOS")</f>
        <v>BOS</v>
      </c>
      <c r="D4190" s="4" t="str">
        <f>IFERROR(__xludf.DUMMYFUNCTION("""COMPUTED_VALUE"""),"Steve Wright")</f>
        <v>Steve Wright</v>
      </c>
      <c r="E4190" s="4" t="str">
        <f>IFERROR(__xludf.DUMMYFUNCTION("""COMPUTED_VALUE"""),"Boston University")</f>
        <v>Boston University</v>
      </c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</row>
    <row r="4191">
      <c r="A4191" s="4"/>
      <c r="B4191" s="4"/>
      <c r="C4191" s="4"/>
      <c r="D4191" s="4" t="str">
        <f>IFERROR(__xludf.DUMMYFUNCTION("""COMPUTED_VALUE"""),"Round 9")</f>
        <v>Round 9</v>
      </c>
      <c r="E4191" s="4"/>
      <c r="F4191" s="4"/>
      <c r="G4191" s="4" t="str">
        <f>IFERROR(__xludf.DUMMYFUNCTION("""COMPUTED_VALUE"""),"Totals")</f>
        <v>Totals</v>
      </c>
      <c r="H4191" s="4"/>
      <c r="I4191" s="4"/>
      <c r="J4191" s="4"/>
      <c r="K4191" s="4"/>
      <c r="L4191" s="4" t="str">
        <f>IFERROR(__xludf.DUMMYFUNCTION("""COMPUTED_VALUE"""),"Shooting")</f>
        <v>Shooting</v>
      </c>
      <c r="M4191" s="4"/>
      <c r="N4191" s="4"/>
      <c r="O4191" s="4" t="str">
        <f>IFERROR(__xludf.DUMMYFUNCTION("""COMPUTED_VALUE"""),"Per Game")</f>
        <v>Per Game</v>
      </c>
      <c r="P4191" s="4"/>
      <c r="Q4191" s="4"/>
      <c r="R4191" s="4"/>
      <c r="S4191" s="4" t="str">
        <f>IFERROR(__xludf.DUMMYFUNCTION("""COMPUTED_VALUE"""),"Advanced")</f>
        <v>Advanced</v>
      </c>
      <c r="T4191" s="4"/>
      <c r="U4191" s="4"/>
      <c r="V4191" s="4"/>
    </row>
    <row r="4192">
      <c r="A4192" s="4" t="str">
        <f>IFERROR(__xludf.DUMMYFUNCTION("""COMPUTED_VALUE"""),"Rk")</f>
        <v>Rk</v>
      </c>
      <c r="B4192" s="4" t="str">
        <f>IFERROR(__xludf.DUMMYFUNCTION("""COMPUTED_VALUE"""),"Pk")</f>
        <v>Pk</v>
      </c>
      <c r="C4192" s="4" t="str">
        <f>IFERROR(__xludf.DUMMYFUNCTION("""COMPUTED_VALUE"""),"Tm")</f>
        <v>Tm</v>
      </c>
      <c r="D4192" s="4" t="str">
        <f>IFERROR(__xludf.DUMMYFUNCTION("""COMPUTED_VALUE"""),"Player")</f>
        <v>Player</v>
      </c>
      <c r="E4192" s="4" t="str">
        <f>IFERROR(__xludf.DUMMYFUNCTION("""COMPUTED_VALUE"""),"College")</f>
        <v>College</v>
      </c>
      <c r="F4192" s="4" t="str">
        <f>IFERROR(__xludf.DUMMYFUNCTION("""COMPUTED_VALUE"""),"Yrs")</f>
        <v>Yrs</v>
      </c>
      <c r="G4192" s="4" t="str">
        <f>IFERROR(__xludf.DUMMYFUNCTION("""COMPUTED_VALUE"""),"G")</f>
        <v>G</v>
      </c>
      <c r="H4192" s="4" t="str">
        <f>IFERROR(__xludf.DUMMYFUNCTION("""COMPUTED_VALUE"""),"MP")</f>
        <v>MP</v>
      </c>
      <c r="I4192" s="4" t="str">
        <f>IFERROR(__xludf.DUMMYFUNCTION("""COMPUTED_VALUE"""),"PTS")</f>
        <v>PTS</v>
      </c>
      <c r="J4192" s="4" t="str">
        <f>IFERROR(__xludf.DUMMYFUNCTION("""COMPUTED_VALUE"""),"TRB")</f>
        <v>TRB</v>
      </c>
      <c r="K4192" s="4" t="str">
        <f>IFERROR(__xludf.DUMMYFUNCTION("""COMPUTED_VALUE"""),"AST")</f>
        <v>AST</v>
      </c>
      <c r="L4192" s="4" t="str">
        <f>IFERROR(__xludf.DUMMYFUNCTION("""COMPUTED_VALUE"""),"FG%")</f>
        <v>FG%</v>
      </c>
      <c r="M4192" s="4" t="str">
        <f>IFERROR(__xludf.DUMMYFUNCTION("""COMPUTED_VALUE"""),"3P%")</f>
        <v>3P%</v>
      </c>
      <c r="N4192" s="4" t="str">
        <f>IFERROR(__xludf.DUMMYFUNCTION("""COMPUTED_VALUE"""),"FT%")</f>
        <v>FT%</v>
      </c>
      <c r="O4192" s="4" t="str">
        <f>IFERROR(__xludf.DUMMYFUNCTION("""COMPUTED_VALUE"""),"MP")</f>
        <v>MP</v>
      </c>
      <c r="P4192" s="4" t="str">
        <f>IFERROR(__xludf.DUMMYFUNCTION("""COMPUTED_VALUE"""),"PTS")</f>
        <v>PTS</v>
      </c>
      <c r="Q4192" s="4" t="str">
        <f>IFERROR(__xludf.DUMMYFUNCTION("""COMPUTED_VALUE"""),"TRB")</f>
        <v>TRB</v>
      </c>
      <c r="R4192" s="4" t="str">
        <f>IFERROR(__xludf.DUMMYFUNCTION("""COMPUTED_VALUE"""),"AST")</f>
        <v>AST</v>
      </c>
      <c r="S4192" s="4" t="str">
        <f>IFERROR(__xludf.DUMMYFUNCTION("""COMPUTED_VALUE"""),"WS")</f>
        <v>WS</v>
      </c>
      <c r="T4192" s="4" t="str">
        <f>IFERROR(__xludf.DUMMYFUNCTION("""COMPUTED_VALUE"""),"WS/48")</f>
        <v>WS/48</v>
      </c>
      <c r="U4192" s="4" t="str">
        <f>IFERROR(__xludf.DUMMYFUNCTION("""COMPUTED_VALUE"""),"BPM")</f>
        <v>BPM</v>
      </c>
      <c r="V4192" s="4" t="str">
        <f>IFERROR(__xludf.DUMMYFUNCTION("""COMPUTED_VALUE"""),"VORP")</f>
        <v>VORP</v>
      </c>
    </row>
    <row r="4193">
      <c r="A4193" s="4">
        <f>IFERROR(__xludf.DUMMYFUNCTION("""COMPUTED_VALUE"""),180.0)</f>
        <v>180</v>
      </c>
      <c r="B4193" s="4">
        <f>IFERROR(__xludf.DUMMYFUNCTION("""COMPUTED_VALUE"""),180.0)</f>
        <v>180</v>
      </c>
      <c r="C4193" s="4" t="str">
        <f>IFERROR(__xludf.DUMMYFUNCTION("""COMPUTED_VALUE"""),"DET")</f>
        <v>DET</v>
      </c>
      <c r="D4193" s="4" t="str">
        <f>IFERROR(__xludf.DUMMYFUNCTION("""COMPUTED_VALUE"""),"Terry DuPris")</f>
        <v>Terry DuPris</v>
      </c>
      <c r="E4193" s="4" t="str">
        <f>IFERROR(__xludf.DUMMYFUNCTION("""COMPUTED_VALUE"""),"Huron University")</f>
        <v>Huron University</v>
      </c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</row>
    <row r="4194">
      <c r="A4194" s="4">
        <f>IFERROR(__xludf.DUMMYFUNCTION("""COMPUTED_VALUE"""),181.0)</f>
        <v>181</v>
      </c>
      <c r="B4194" s="4">
        <f>IFERROR(__xludf.DUMMYFUNCTION("""COMPUTED_VALUE"""),181.0)</f>
        <v>181</v>
      </c>
      <c r="C4194" s="4" t="str">
        <f>IFERROR(__xludf.DUMMYFUNCTION("""COMPUTED_VALUE"""),"UTA")</f>
        <v>UTA</v>
      </c>
      <c r="D4194" s="4" t="str">
        <f>IFERROR(__xludf.DUMMYFUNCTION("""COMPUTED_VALUE"""),"Paul Renfro")</f>
        <v>Paul Renfro</v>
      </c>
      <c r="E4194" s="4" t="str">
        <f>IFERROR(__xludf.DUMMYFUNCTION("""COMPUTED_VALUE"""),"UT Arlington")</f>
        <v>UT Arlington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</row>
    <row r="4195">
      <c r="A4195" s="4">
        <f>IFERROR(__xludf.DUMMYFUNCTION("""COMPUTED_VALUE"""),182.0)</f>
        <v>182</v>
      </c>
      <c r="B4195" s="4">
        <f>IFERROR(__xludf.DUMMYFUNCTION("""COMPUTED_VALUE"""),182.0)</f>
        <v>182</v>
      </c>
      <c r="C4195" s="4" t="str">
        <f>IFERROR(__xludf.DUMMYFUNCTION("""COMPUTED_VALUE"""),"GSW")</f>
        <v>GSW</v>
      </c>
      <c r="D4195" s="4" t="str">
        <f>IFERROR(__xludf.DUMMYFUNCTION("""COMPUTED_VALUE"""),"Billy Reid")</f>
        <v>Billy Reid</v>
      </c>
      <c r="E4195" s="4" t="str">
        <f>IFERROR(__xludf.DUMMYFUNCTION("""COMPUTED_VALUE"""),"San Francisco")</f>
        <v>San Francisco</v>
      </c>
      <c r="F4195" s="4">
        <f>IFERROR(__xludf.DUMMYFUNCTION("""COMPUTED_VALUE"""),1.0)</f>
        <v>1</v>
      </c>
      <c r="G4195" s="4">
        <f>IFERROR(__xludf.DUMMYFUNCTION("""COMPUTED_VALUE"""),59.0)</f>
        <v>59</v>
      </c>
      <c r="H4195" s="4">
        <f>IFERROR(__xludf.DUMMYFUNCTION("""COMPUTED_VALUE"""),597.0)</f>
        <v>597</v>
      </c>
      <c r="I4195" s="4">
        <f>IFERROR(__xludf.DUMMYFUNCTION("""COMPUTED_VALUE"""),190.0)</f>
        <v>190</v>
      </c>
      <c r="J4195" s="4">
        <f>IFERROR(__xludf.DUMMYFUNCTION("""COMPUTED_VALUE"""),60.0)</f>
        <v>60</v>
      </c>
      <c r="K4195" s="4">
        <f>IFERROR(__xludf.DUMMYFUNCTION("""COMPUTED_VALUE"""),71.0)</f>
        <v>71</v>
      </c>
      <c r="L4195" s="4">
        <f>IFERROR(__xludf.DUMMYFUNCTION("""COMPUTED_VALUE"""),0.454)</f>
        <v>0.454</v>
      </c>
      <c r="M4195" s="4">
        <f>IFERROR(__xludf.DUMMYFUNCTION("""COMPUTED_VALUE"""),0.0)</f>
        <v>0</v>
      </c>
      <c r="N4195" s="4">
        <f>IFERROR(__xludf.DUMMYFUNCTION("""COMPUTED_VALUE"""),0.564)</f>
        <v>0.564</v>
      </c>
      <c r="O4195" s="4">
        <f>IFERROR(__xludf.DUMMYFUNCTION("""COMPUTED_VALUE"""),10.1)</f>
        <v>10.1</v>
      </c>
      <c r="P4195" s="4">
        <f>IFERROR(__xludf.DUMMYFUNCTION("""COMPUTED_VALUE"""),3.2)</f>
        <v>3.2</v>
      </c>
      <c r="Q4195" s="4">
        <f>IFERROR(__xludf.DUMMYFUNCTION("""COMPUTED_VALUE"""),1.0)</f>
        <v>1</v>
      </c>
      <c r="R4195" s="4">
        <f>IFERROR(__xludf.DUMMYFUNCTION("""COMPUTED_VALUE"""),1.2)</f>
        <v>1.2</v>
      </c>
      <c r="S4195" s="4">
        <f>IFERROR(__xludf.DUMMYFUNCTION("""COMPUTED_VALUE"""),-0.6)</f>
        <v>-0.6</v>
      </c>
      <c r="T4195" s="4">
        <f>IFERROR(__xludf.DUMMYFUNCTION("""COMPUTED_VALUE"""),-0.05)</f>
        <v>-0.05</v>
      </c>
      <c r="U4195" s="4">
        <f>IFERROR(__xludf.DUMMYFUNCTION("""COMPUTED_VALUE"""),-5.6)</f>
        <v>-5.6</v>
      </c>
      <c r="V4195" s="4">
        <f>IFERROR(__xludf.DUMMYFUNCTION("""COMPUTED_VALUE"""),-0.5)</f>
        <v>-0.5</v>
      </c>
    </row>
    <row r="4196">
      <c r="A4196" s="4">
        <f>IFERROR(__xludf.DUMMYFUNCTION("""COMPUTED_VALUE"""),183.0)</f>
        <v>183</v>
      </c>
      <c r="B4196" s="4">
        <f>IFERROR(__xludf.DUMMYFUNCTION("""COMPUTED_VALUE"""),183.0)</f>
        <v>183</v>
      </c>
      <c r="C4196" s="4" t="str">
        <f>IFERROR(__xludf.DUMMYFUNCTION("""COMPUTED_VALUE"""),"CHI")</f>
        <v>CHI</v>
      </c>
      <c r="D4196" s="4" t="str">
        <f>IFERROR(__xludf.DUMMYFUNCTION("""COMPUTED_VALUE"""),"Jay Shidler")</f>
        <v>Jay Shidler</v>
      </c>
      <c r="E4196" s="4" t="str">
        <f>IFERROR(__xludf.DUMMYFUNCTION("""COMPUTED_VALUE"""),"Kentucky")</f>
        <v>Kentucky</v>
      </c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</row>
    <row r="4197">
      <c r="A4197" s="4">
        <f>IFERROR(__xludf.DUMMYFUNCTION("""COMPUTED_VALUE"""),184.0)</f>
        <v>184</v>
      </c>
      <c r="B4197" s="4">
        <f>IFERROR(__xludf.DUMMYFUNCTION("""COMPUTED_VALUE"""),184.0)</f>
        <v>184</v>
      </c>
      <c r="C4197" s="4" t="str">
        <f>IFERROR(__xludf.DUMMYFUNCTION("""COMPUTED_VALUE"""),"DEN")</f>
        <v>DEN</v>
      </c>
      <c r="D4197" s="4" t="str">
        <f>IFERROR(__xludf.DUMMYFUNCTION("""COMPUTED_VALUE"""),"Jim Graziano")</f>
        <v>Jim Graziano</v>
      </c>
      <c r="E4197" s="4" t="str">
        <f>IFERROR(__xludf.DUMMYFUNCTION("""COMPUTED_VALUE"""),"South Carolina")</f>
        <v>South Carolina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</row>
    <row r="4198">
      <c r="A4198" s="4">
        <f>IFERROR(__xludf.DUMMYFUNCTION("""COMPUTED_VALUE"""),185.0)</f>
        <v>185</v>
      </c>
      <c r="B4198" s="4">
        <f>IFERROR(__xludf.DUMMYFUNCTION("""COMPUTED_VALUE"""),185.0)</f>
        <v>185</v>
      </c>
      <c r="C4198" s="4" t="str">
        <f>IFERROR(__xludf.DUMMYFUNCTION("""COMPUTED_VALUE"""),"NJN")</f>
        <v>NJN</v>
      </c>
      <c r="D4198" s="4" t="str">
        <f>IFERROR(__xludf.DUMMYFUNCTION("""COMPUTED_VALUE"""),"Barry Young")</f>
        <v>Barry Young</v>
      </c>
      <c r="E4198" s="4" t="str">
        <f>IFERROR(__xludf.DUMMYFUNCTION("""COMPUTED_VALUE"""),"Colorado State")</f>
        <v>Colorado State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</row>
    <row r="4199">
      <c r="A4199" s="4">
        <f>IFERROR(__xludf.DUMMYFUNCTION("""COMPUTED_VALUE"""),186.0)</f>
        <v>186</v>
      </c>
      <c r="B4199" s="4">
        <f>IFERROR(__xludf.DUMMYFUNCTION("""COMPUTED_VALUE"""),186.0)</f>
        <v>186</v>
      </c>
      <c r="C4199" s="4" t="str">
        <f>IFERROR(__xludf.DUMMYFUNCTION("""COMPUTED_VALUE"""),"IND")</f>
        <v>IND</v>
      </c>
      <c r="D4199" s="4" t="str">
        <f>IFERROR(__xludf.DUMMYFUNCTION("""COMPUTED_VALUE"""),"Scott Rogers")</f>
        <v>Scott Rogers</v>
      </c>
      <c r="E4199" s="4" t="str">
        <f>IFERROR(__xludf.DUMMYFUNCTION("""COMPUTED_VALUE"""),"Kenyon College")</f>
        <v>Kenyon College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</row>
    <row r="4200">
      <c r="A4200" s="4">
        <f>IFERROR(__xludf.DUMMYFUNCTION("""COMPUTED_VALUE"""),187.0)</f>
        <v>187</v>
      </c>
      <c r="B4200" s="4">
        <f>IFERROR(__xludf.DUMMYFUNCTION("""COMPUTED_VALUE"""),187.0)</f>
        <v>187</v>
      </c>
      <c r="C4200" s="4" t="str">
        <f>IFERROR(__xludf.DUMMYFUNCTION("""COMPUTED_VALUE"""),"CLE")</f>
        <v>CLE</v>
      </c>
      <c r="D4200" s="4" t="str">
        <f>IFERROR(__xludf.DUMMYFUNCTION("""COMPUTED_VALUE"""),"Melvin Crafter")</f>
        <v>Melvin Crafter</v>
      </c>
      <c r="E4200" s="4" t="str">
        <f>IFERROR(__xludf.DUMMYFUNCTION("""COMPUTED_VALUE"""),"Central State University")</f>
        <v>Central State University</v>
      </c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</row>
    <row r="4201">
      <c r="A4201" s="4">
        <f>IFERROR(__xludf.DUMMYFUNCTION("""COMPUTED_VALUE"""),188.0)</f>
        <v>188</v>
      </c>
      <c r="B4201" s="4">
        <f>IFERROR(__xludf.DUMMYFUNCTION("""COMPUTED_VALUE"""),188.0)</f>
        <v>188</v>
      </c>
      <c r="C4201" s="4" t="str">
        <f>IFERROR(__xludf.DUMMYFUNCTION("""COMPUTED_VALUE"""),"POR")</f>
        <v>POR</v>
      </c>
      <c r="D4201" s="4" t="str">
        <f>IFERROR(__xludf.DUMMYFUNCTION("""COMPUTED_VALUE"""),"Rick Boucher")</f>
        <v>Rick Boucher</v>
      </c>
      <c r="E4201" s="4" t="str">
        <f>IFERROR(__xludf.DUMMYFUNCTION("""COMPUTED_VALUE"""),"University of Maine")</f>
        <v>University of Maine</v>
      </c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</row>
    <row r="4202">
      <c r="A4202" s="4">
        <f>IFERROR(__xludf.DUMMYFUNCTION("""COMPUTED_VALUE"""),189.0)</f>
        <v>189</v>
      </c>
      <c r="B4202" s="4">
        <f>IFERROR(__xludf.DUMMYFUNCTION("""COMPUTED_VALUE"""),189.0)</f>
        <v>189</v>
      </c>
      <c r="C4202" s="4" t="str">
        <f>IFERROR(__xludf.DUMMYFUNCTION("""COMPUTED_VALUE"""),"DAL")</f>
        <v>DAL</v>
      </c>
      <c r="D4202" s="4" t="str">
        <f>IFERROR(__xludf.DUMMYFUNCTION("""COMPUTED_VALUE"""),"Ken Williams")</f>
        <v>Ken Williams</v>
      </c>
      <c r="E4202" s="4" t="str">
        <f>IFERROR(__xludf.DUMMYFUNCTION("""COMPUTED_VALUE"""),"Houston")</f>
        <v>Houston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</row>
    <row r="4203">
      <c r="A4203" s="4">
        <f>IFERROR(__xludf.DUMMYFUNCTION("""COMPUTED_VALUE"""),190.0)</f>
        <v>190</v>
      </c>
      <c r="B4203" s="4">
        <f>IFERROR(__xludf.DUMMYFUNCTION("""COMPUTED_VALUE"""),190.0)</f>
        <v>190</v>
      </c>
      <c r="C4203" s="4" t="str">
        <f>IFERROR(__xludf.DUMMYFUNCTION("""COMPUTED_VALUE"""),"NYK")</f>
        <v>NYK</v>
      </c>
      <c r="D4203" s="4" t="str">
        <f>IFERROR(__xludf.DUMMYFUNCTION("""COMPUTED_VALUE"""),"Don Wiley")</f>
        <v>Don Wiley</v>
      </c>
      <c r="E4203" s="4" t="str">
        <f>IFERROR(__xludf.DUMMYFUNCTION("""COMPUTED_VALUE"""),"Monmouth University")</f>
        <v>Monmouth University</v>
      </c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</row>
    <row r="4204">
      <c r="A4204" s="4">
        <f>IFERROR(__xludf.DUMMYFUNCTION("""COMPUTED_VALUE"""),191.0)</f>
        <v>191</v>
      </c>
      <c r="B4204" s="4">
        <f>IFERROR(__xludf.DUMMYFUNCTION("""COMPUTED_VALUE"""),191.0)</f>
        <v>191</v>
      </c>
      <c r="C4204" s="4" t="str">
        <f>IFERROR(__xludf.DUMMYFUNCTION("""COMPUTED_VALUE"""),"WSB")</f>
        <v>WSB</v>
      </c>
      <c r="D4204" s="4" t="str">
        <f>IFERROR(__xludf.DUMMYFUNCTION("""COMPUTED_VALUE"""),"Clinton Wyatt")</f>
        <v>Clinton Wyatt</v>
      </c>
      <c r="E4204" s="4" t="str">
        <f>IFERROR(__xludf.DUMMYFUNCTION("""COMPUTED_VALUE"""),"Alcorn State")</f>
        <v>Alcorn State</v>
      </c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</row>
    <row r="4205">
      <c r="A4205" s="4">
        <f>IFERROR(__xludf.DUMMYFUNCTION("""COMPUTED_VALUE"""),192.0)</f>
        <v>192</v>
      </c>
      <c r="B4205" s="4">
        <f>IFERROR(__xludf.DUMMYFUNCTION("""COMPUTED_VALUE"""),192.0)</f>
        <v>192</v>
      </c>
      <c r="C4205" s="4" t="str">
        <f>IFERROR(__xludf.DUMMYFUNCTION("""COMPUTED_VALUE"""),"SAS")</f>
        <v>SAS</v>
      </c>
      <c r="D4205" s="4" t="str">
        <f>IFERROR(__xludf.DUMMYFUNCTION("""COMPUTED_VALUE"""),"Al Williams")</f>
        <v>Al Williams</v>
      </c>
      <c r="E4205" s="4" t="str">
        <f>IFERROR(__xludf.DUMMYFUNCTION("""COMPUTED_VALUE"""),"University of North Texas")</f>
        <v>University of North Texas</v>
      </c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</row>
    <row r="4206">
      <c r="A4206" s="4">
        <f>IFERROR(__xludf.DUMMYFUNCTION("""COMPUTED_VALUE"""),193.0)</f>
        <v>193</v>
      </c>
      <c r="B4206" s="4">
        <f>IFERROR(__xludf.DUMMYFUNCTION("""COMPUTED_VALUE"""),193.0)</f>
        <v>193</v>
      </c>
      <c r="C4206" s="4" t="str">
        <f>IFERROR(__xludf.DUMMYFUNCTION("""COMPUTED_VALUE"""),"KCK")</f>
        <v>KCK</v>
      </c>
      <c r="D4206" s="4" t="str">
        <f>IFERROR(__xludf.DUMMYFUNCTION("""COMPUTED_VALUE"""),"Charley Cole")</f>
        <v>Charley Cole</v>
      </c>
      <c r="E4206" s="4" t="str">
        <f>IFERROR(__xludf.DUMMYFUNCTION("""COMPUTED_VALUE"""),"Delta State University")</f>
        <v>Delta State University</v>
      </c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</row>
    <row r="4207">
      <c r="A4207" s="4">
        <f>IFERROR(__xludf.DUMMYFUNCTION("""COMPUTED_VALUE"""),194.0)</f>
        <v>194</v>
      </c>
      <c r="B4207" s="4">
        <f>IFERROR(__xludf.DUMMYFUNCTION("""COMPUTED_VALUE"""),194.0)</f>
        <v>194</v>
      </c>
      <c r="C4207" s="4" t="str">
        <f>IFERROR(__xludf.DUMMYFUNCTION("""COMPUTED_VALUE"""),"MIL")</f>
        <v>MIL</v>
      </c>
      <c r="D4207" s="4" t="str">
        <f>IFERROR(__xludf.DUMMYFUNCTION("""COMPUTED_VALUE"""),"Del Yarbrough")</f>
        <v>Del Yarbrough</v>
      </c>
      <c r="E4207" s="4" t="str">
        <f>IFERROR(__xludf.DUMMYFUNCTION("""COMPUTED_VALUE"""),"Illinois State")</f>
        <v>Illinois State</v>
      </c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</row>
    <row r="4208">
      <c r="A4208" s="4">
        <f>IFERROR(__xludf.DUMMYFUNCTION("""COMPUTED_VALUE"""),195.0)</f>
        <v>195</v>
      </c>
      <c r="B4208" s="4">
        <f>IFERROR(__xludf.DUMMYFUNCTION("""COMPUTED_VALUE"""),195.0)</f>
        <v>195</v>
      </c>
      <c r="C4208" s="4" t="str">
        <f>IFERROR(__xludf.DUMMYFUNCTION("""COMPUTED_VALUE"""),"ATL")</f>
        <v>ATL</v>
      </c>
      <c r="D4208" s="4" t="str">
        <f>IFERROR(__xludf.DUMMYFUNCTION("""COMPUTED_VALUE"""),"Stanley Lamb")</f>
        <v>Stanley Lamb</v>
      </c>
      <c r="E4208" s="4" t="str">
        <f>IFERROR(__xludf.DUMMYFUNCTION("""COMPUTED_VALUE"""),"Franciscan University of Steubenville")</f>
        <v>Franciscan University of Steubenville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</row>
    <row r="4209">
      <c r="A4209" s="4">
        <f>IFERROR(__xludf.DUMMYFUNCTION("""COMPUTED_VALUE"""),196.0)</f>
        <v>196</v>
      </c>
      <c r="B4209" s="4">
        <f>IFERROR(__xludf.DUMMYFUNCTION("""COMPUTED_VALUE"""),196.0)</f>
        <v>196</v>
      </c>
      <c r="C4209" s="4" t="str">
        <f>IFERROR(__xludf.DUMMYFUNCTION("""COMPUTED_VALUE"""),"PHO")</f>
        <v>PHO</v>
      </c>
      <c r="D4209" s="4" t="str">
        <f>IFERROR(__xludf.DUMMYFUNCTION("""COMPUTED_VALUE"""),"Keith French")</f>
        <v>Keith French</v>
      </c>
      <c r="E4209" s="4" t="str">
        <f>IFERROR(__xludf.DUMMYFUNCTION("""COMPUTED_VALUE"""),"North Park University")</f>
        <v>North Park University</v>
      </c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</row>
    <row r="4210">
      <c r="A4210" s="4">
        <f>IFERROR(__xludf.DUMMYFUNCTION("""COMPUTED_VALUE"""),197.0)</f>
        <v>197</v>
      </c>
      <c r="B4210" s="4">
        <f>IFERROR(__xludf.DUMMYFUNCTION("""COMPUTED_VALUE"""),197.0)</f>
        <v>197</v>
      </c>
      <c r="C4210" s="4" t="str">
        <f>IFERROR(__xludf.DUMMYFUNCTION("""COMPUTED_VALUE"""),"SEA")</f>
        <v>SEA</v>
      </c>
      <c r="D4210" s="4" t="str">
        <f>IFERROR(__xludf.DUMMYFUNCTION("""COMPUTED_VALUE"""),"Jim Tillman")</f>
        <v>Jim Tillman</v>
      </c>
      <c r="E4210" s="4" t="str">
        <f>IFERROR(__xludf.DUMMYFUNCTION("""COMPUTED_VALUE"""),"Eastern Kentucky University")</f>
        <v>Eastern Kentucky University</v>
      </c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</row>
    <row r="4211">
      <c r="A4211" s="4">
        <f>IFERROR(__xludf.DUMMYFUNCTION("""COMPUTED_VALUE"""),198.0)</f>
        <v>198</v>
      </c>
      <c r="B4211" s="4">
        <f>IFERROR(__xludf.DUMMYFUNCTION("""COMPUTED_VALUE"""),198.0)</f>
        <v>198</v>
      </c>
      <c r="C4211" s="4" t="str">
        <f>IFERROR(__xludf.DUMMYFUNCTION("""COMPUTED_VALUE"""),"PHI")</f>
        <v>PHI</v>
      </c>
      <c r="D4211" s="4" t="str">
        <f>IFERROR(__xludf.DUMMYFUNCTION("""COMPUTED_VALUE"""),"Luke Griffin")</f>
        <v>Luke Griffin</v>
      </c>
      <c r="E4211" s="4" t="str">
        <f>IFERROR(__xludf.DUMMYFUNCTION("""COMPUTED_VALUE"""),"Saint Joseph's")</f>
        <v>Saint Joseph's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</row>
    <row r="4212">
      <c r="A4212" s="4">
        <f>IFERROR(__xludf.DUMMYFUNCTION("""COMPUTED_VALUE"""),199.0)</f>
        <v>199</v>
      </c>
      <c r="B4212" s="4">
        <f>IFERROR(__xludf.DUMMYFUNCTION("""COMPUTED_VALUE"""),199.0)</f>
        <v>199</v>
      </c>
      <c r="C4212" s="4" t="str">
        <f>IFERROR(__xludf.DUMMYFUNCTION("""COMPUTED_VALUE"""),"BOS")</f>
        <v>BOS</v>
      </c>
      <c r="D4212" s="4" t="str">
        <f>IFERROR(__xludf.DUMMYFUNCTION("""COMPUTED_VALUE"""),"Brian Jung")</f>
        <v>Brian Jung</v>
      </c>
      <c r="E4212" s="4" t="str">
        <f>IFERROR(__xludf.DUMMYFUNCTION("""COMPUTED_VALUE"""),"Northwestern")</f>
        <v>Northwestern</v>
      </c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</row>
    <row r="4213">
      <c r="A4213" s="4"/>
      <c r="B4213" s="4"/>
      <c r="C4213" s="4"/>
      <c r="D4213" s="4" t="str">
        <f>IFERROR(__xludf.DUMMYFUNCTION("""COMPUTED_VALUE"""),"Round 10")</f>
        <v>Round 10</v>
      </c>
      <c r="E4213" s="4"/>
      <c r="F4213" s="4"/>
      <c r="G4213" s="4" t="str">
        <f>IFERROR(__xludf.DUMMYFUNCTION("""COMPUTED_VALUE"""),"Totals")</f>
        <v>Totals</v>
      </c>
      <c r="H4213" s="4"/>
      <c r="I4213" s="4"/>
      <c r="J4213" s="4"/>
      <c r="K4213" s="4"/>
      <c r="L4213" s="4" t="str">
        <f>IFERROR(__xludf.DUMMYFUNCTION("""COMPUTED_VALUE"""),"Shooting")</f>
        <v>Shooting</v>
      </c>
      <c r="M4213" s="4"/>
      <c r="N4213" s="4"/>
      <c r="O4213" s="4" t="str">
        <f>IFERROR(__xludf.DUMMYFUNCTION("""COMPUTED_VALUE"""),"Per Game")</f>
        <v>Per Game</v>
      </c>
      <c r="P4213" s="4"/>
      <c r="Q4213" s="4"/>
      <c r="R4213" s="4"/>
      <c r="S4213" s="4" t="str">
        <f>IFERROR(__xludf.DUMMYFUNCTION("""COMPUTED_VALUE"""),"Advanced")</f>
        <v>Advanced</v>
      </c>
      <c r="T4213" s="4"/>
      <c r="U4213" s="4"/>
      <c r="V4213" s="4"/>
    </row>
    <row r="4214">
      <c r="A4214" s="4" t="str">
        <f>IFERROR(__xludf.DUMMYFUNCTION("""COMPUTED_VALUE"""),"Rk")</f>
        <v>Rk</v>
      </c>
      <c r="B4214" s="4" t="str">
        <f>IFERROR(__xludf.DUMMYFUNCTION("""COMPUTED_VALUE"""),"Pk")</f>
        <v>Pk</v>
      </c>
      <c r="C4214" s="4" t="str">
        <f>IFERROR(__xludf.DUMMYFUNCTION("""COMPUTED_VALUE"""),"Tm")</f>
        <v>Tm</v>
      </c>
      <c r="D4214" s="4" t="str">
        <f>IFERROR(__xludf.DUMMYFUNCTION("""COMPUTED_VALUE"""),"Player")</f>
        <v>Player</v>
      </c>
      <c r="E4214" s="4" t="str">
        <f>IFERROR(__xludf.DUMMYFUNCTION("""COMPUTED_VALUE"""),"College")</f>
        <v>College</v>
      </c>
      <c r="F4214" s="4" t="str">
        <f>IFERROR(__xludf.DUMMYFUNCTION("""COMPUTED_VALUE"""),"Yrs")</f>
        <v>Yrs</v>
      </c>
      <c r="G4214" s="4" t="str">
        <f>IFERROR(__xludf.DUMMYFUNCTION("""COMPUTED_VALUE"""),"G")</f>
        <v>G</v>
      </c>
      <c r="H4214" s="4" t="str">
        <f>IFERROR(__xludf.DUMMYFUNCTION("""COMPUTED_VALUE"""),"MP")</f>
        <v>MP</v>
      </c>
      <c r="I4214" s="4" t="str">
        <f>IFERROR(__xludf.DUMMYFUNCTION("""COMPUTED_VALUE"""),"PTS")</f>
        <v>PTS</v>
      </c>
      <c r="J4214" s="4" t="str">
        <f>IFERROR(__xludf.DUMMYFUNCTION("""COMPUTED_VALUE"""),"TRB")</f>
        <v>TRB</v>
      </c>
      <c r="K4214" s="4" t="str">
        <f>IFERROR(__xludf.DUMMYFUNCTION("""COMPUTED_VALUE"""),"AST")</f>
        <v>AST</v>
      </c>
      <c r="L4214" s="4" t="str">
        <f>IFERROR(__xludf.DUMMYFUNCTION("""COMPUTED_VALUE"""),"FG%")</f>
        <v>FG%</v>
      </c>
      <c r="M4214" s="4" t="str">
        <f>IFERROR(__xludf.DUMMYFUNCTION("""COMPUTED_VALUE"""),"3P%")</f>
        <v>3P%</v>
      </c>
      <c r="N4214" s="4" t="str">
        <f>IFERROR(__xludf.DUMMYFUNCTION("""COMPUTED_VALUE"""),"FT%")</f>
        <v>FT%</v>
      </c>
      <c r="O4214" s="4" t="str">
        <f>IFERROR(__xludf.DUMMYFUNCTION("""COMPUTED_VALUE"""),"MP")</f>
        <v>MP</v>
      </c>
      <c r="P4214" s="4" t="str">
        <f>IFERROR(__xludf.DUMMYFUNCTION("""COMPUTED_VALUE"""),"PTS")</f>
        <v>PTS</v>
      </c>
      <c r="Q4214" s="4" t="str">
        <f>IFERROR(__xludf.DUMMYFUNCTION("""COMPUTED_VALUE"""),"TRB")</f>
        <v>TRB</v>
      </c>
      <c r="R4214" s="4" t="str">
        <f>IFERROR(__xludf.DUMMYFUNCTION("""COMPUTED_VALUE"""),"AST")</f>
        <v>AST</v>
      </c>
      <c r="S4214" s="4" t="str">
        <f>IFERROR(__xludf.DUMMYFUNCTION("""COMPUTED_VALUE"""),"WS")</f>
        <v>WS</v>
      </c>
      <c r="T4214" s="4" t="str">
        <f>IFERROR(__xludf.DUMMYFUNCTION("""COMPUTED_VALUE"""),"WS/48")</f>
        <v>WS/48</v>
      </c>
      <c r="U4214" s="4" t="str">
        <f>IFERROR(__xludf.DUMMYFUNCTION("""COMPUTED_VALUE"""),"BPM")</f>
        <v>BPM</v>
      </c>
      <c r="V4214" s="4" t="str">
        <f>IFERROR(__xludf.DUMMYFUNCTION("""COMPUTED_VALUE"""),"VORP")</f>
        <v>VORP</v>
      </c>
    </row>
    <row r="4215">
      <c r="A4215" s="4">
        <f>IFERROR(__xludf.DUMMYFUNCTION("""COMPUTED_VALUE"""),200.0)</f>
        <v>200</v>
      </c>
      <c r="B4215" s="4">
        <f>IFERROR(__xludf.DUMMYFUNCTION("""COMPUTED_VALUE"""),200.0)</f>
        <v>200</v>
      </c>
      <c r="C4215" s="4" t="str">
        <f>IFERROR(__xludf.DUMMYFUNCTION("""COMPUTED_VALUE"""),"GSW")</f>
        <v>GSW</v>
      </c>
      <c r="D4215" s="4" t="str">
        <f>IFERROR(__xludf.DUMMYFUNCTION("""COMPUTED_VALUE"""),"Tim Higgins")</f>
        <v>Tim Higgins</v>
      </c>
      <c r="E4215" s="4" t="str">
        <f>IFERROR(__xludf.DUMMYFUNCTION("""COMPUTED_VALUE"""),"University of Nebraska at Kearney")</f>
        <v>University of Nebraska at Kearney</v>
      </c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</row>
    <row r="4216">
      <c r="A4216" s="4">
        <f>IFERROR(__xludf.DUMMYFUNCTION("""COMPUTED_VALUE"""),201.0)</f>
        <v>201</v>
      </c>
      <c r="B4216" s="4">
        <f>IFERROR(__xludf.DUMMYFUNCTION("""COMPUTED_VALUE"""),201.0)</f>
        <v>201</v>
      </c>
      <c r="C4216" s="4" t="str">
        <f>IFERROR(__xludf.DUMMYFUNCTION("""COMPUTED_VALUE"""),"UTA")</f>
        <v>UTA</v>
      </c>
      <c r="D4216" s="4" t="str">
        <f>IFERROR(__xludf.DUMMYFUNCTION("""COMPUTED_VALUE"""),"Leroy Coleman")</f>
        <v>Leroy Coleman</v>
      </c>
      <c r="E4216" s="4" t="str">
        <f>IFERROR(__xludf.DUMMYFUNCTION("""COMPUTED_VALUE"""),"Middle Tennessee")</f>
        <v>Middle Tennessee</v>
      </c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</row>
    <row r="4217">
      <c r="A4217" s="4">
        <f>IFERROR(__xludf.DUMMYFUNCTION("""COMPUTED_VALUE"""),202.0)</f>
        <v>202</v>
      </c>
      <c r="B4217" s="4">
        <f>IFERROR(__xludf.DUMMYFUNCTION("""COMPUTED_VALUE"""),202.0)</f>
        <v>202</v>
      </c>
      <c r="C4217" s="4" t="str">
        <f>IFERROR(__xludf.DUMMYFUNCTION("""COMPUTED_VALUE"""),"DEN")</f>
        <v>DEN</v>
      </c>
      <c r="D4217" s="4" t="str">
        <f>IFERROR(__xludf.DUMMYFUNCTION("""COMPUTED_VALUE"""),"Earl Sango")</f>
        <v>Earl Sango</v>
      </c>
      <c r="E4217" s="4" t="str">
        <f>IFERROR(__xludf.DUMMYFUNCTION("""COMPUTED_VALUE"""),"Regis University")</f>
        <v>Regis University</v>
      </c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</row>
    <row r="4218">
      <c r="A4218" s="4">
        <f>IFERROR(__xludf.DUMMYFUNCTION("""COMPUTED_VALUE"""),203.0)</f>
        <v>203</v>
      </c>
      <c r="B4218" s="4">
        <f>IFERROR(__xludf.DUMMYFUNCTION("""COMPUTED_VALUE"""),203.0)</f>
        <v>203</v>
      </c>
      <c r="C4218" s="4" t="str">
        <f>IFERROR(__xludf.DUMMYFUNCTION("""COMPUTED_VALUE"""),"CHI")</f>
        <v>CHI</v>
      </c>
      <c r="D4218" s="4" t="str">
        <f>IFERROR(__xludf.DUMMYFUNCTION("""COMPUTED_VALUE"""),"Billy Foster")</f>
        <v>Billy Foster</v>
      </c>
      <c r="E4218" s="4" t="str">
        <f>IFERROR(__xludf.DUMMYFUNCTION("""COMPUTED_VALUE"""),"Montana State University, Billings")</f>
        <v>Montana State University, Billings</v>
      </c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</row>
    <row r="4219">
      <c r="A4219" s="4">
        <f>IFERROR(__xludf.DUMMYFUNCTION("""COMPUTED_VALUE"""),204.0)</f>
        <v>204</v>
      </c>
      <c r="B4219" s="4">
        <f>IFERROR(__xludf.DUMMYFUNCTION("""COMPUTED_VALUE"""),204.0)</f>
        <v>204</v>
      </c>
      <c r="C4219" s="4" t="str">
        <f>IFERROR(__xludf.DUMMYFUNCTION("""COMPUTED_VALUE"""),"IND")</f>
        <v>IND</v>
      </c>
      <c r="D4219" s="4" t="str">
        <f>IFERROR(__xludf.DUMMYFUNCTION("""COMPUTED_VALUE"""),"John Bates")</f>
        <v>John Bates</v>
      </c>
      <c r="E4219" s="4" t="str">
        <f>IFERROR(__xludf.DUMMYFUNCTION("""COMPUTED_VALUE"""),"West Virginia Wesleyan College")</f>
        <v>West Virginia Wesleyan College</v>
      </c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</row>
    <row r="4220">
      <c r="A4220" s="4">
        <f>IFERROR(__xludf.DUMMYFUNCTION("""COMPUTED_VALUE"""),205.0)</f>
        <v>205</v>
      </c>
      <c r="B4220" s="4">
        <f>IFERROR(__xludf.DUMMYFUNCTION("""COMPUTED_VALUE"""),205.0)</f>
        <v>205</v>
      </c>
      <c r="C4220" s="4" t="str">
        <f>IFERROR(__xludf.DUMMYFUNCTION("""COMPUTED_VALUE"""),"POR")</f>
        <v>POR</v>
      </c>
      <c r="D4220" s="4" t="str">
        <f>IFERROR(__xludf.DUMMYFUNCTION("""COMPUTED_VALUE"""),"Dave Kufeld")</f>
        <v>Dave Kufeld</v>
      </c>
      <c r="E4220" s="4" t="str">
        <f>IFERROR(__xludf.DUMMYFUNCTION("""COMPUTED_VALUE"""),"Yeshiva University")</f>
        <v>Yeshiva University</v>
      </c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</row>
    <row r="4221">
      <c r="A4221" s="4">
        <f>IFERROR(__xludf.DUMMYFUNCTION("""COMPUTED_VALUE"""),206.0)</f>
        <v>206</v>
      </c>
      <c r="B4221" s="4">
        <f>IFERROR(__xludf.DUMMYFUNCTION("""COMPUTED_VALUE"""),206.0)</f>
        <v>206</v>
      </c>
      <c r="C4221" s="4" t="str">
        <f>IFERROR(__xludf.DUMMYFUNCTION("""COMPUTED_VALUE"""),"DAL")</f>
        <v>DAL</v>
      </c>
      <c r="D4221" s="4" t="str">
        <f>IFERROR(__xludf.DUMMYFUNCTION("""COMPUTED_VALUE"""),"Tom Morgan")</f>
        <v>Tom Morgan</v>
      </c>
      <c r="E4221" s="4" t="str">
        <f>IFERROR(__xludf.DUMMYFUNCTION("""COMPUTED_VALUE"""),"Cal State Fullerton")</f>
        <v>Cal State Fullerton</v>
      </c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</row>
    <row r="4222">
      <c r="A4222" s="4">
        <f>IFERROR(__xludf.DUMMYFUNCTION("""COMPUTED_VALUE"""),207.0)</f>
        <v>207</v>
      </c>
      <c r="B4222" s="4">
        <f>IFERROR(__xludf.DUMMYFUNCTION("""COMPUTED_VALUE"""),207.0)</f>
        <v>207</v>
      </c>
      <c r="C4222" s="4" t="str">
        <f>IFERROR(__xludf.DUMMYFUNCTION("""COMPUTED_VALUE"""),"WSB")</f>
        <v>WSB</v>
      </c>
      <c r="D4222" s="4" t="str">
        <f>IFERROR(__xludf.DUMMYFUNCTION("""COMPUTED_VALUE"""),"Don Youman")</f>
        <v>Don Youman</v>
      </c>
      <c r="E4222" s="4" t="str">
        <f>IFERROR(__xludf.DUMMYFUNCTION("""COMPUTED_VALUE"""),"Oklahoma State")</f>
        <v>Oklahoma State</v>
      </c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</row>
    <row r="4223">
      <c r="A4223" s="4">
        <f>IFERROR(__xludf.DUMMYFUNCTION("""COMPUTED_VALUE"""),208.0)</f>
        <v>208</v>
      </c>
      <c r="B4223" s="4">
        <f>IFERROR(__xludf.DUMMYFUNCTION("""COMPUTED_VALUE"""),208.0)</f>
        <v>208</v>
      </c>
      <c r="C4223" s="4" t="str">
        <f>IFERROR(__xludf.DUMMYFUNCTION("""COMPUTED_VALUE"""),"NYK")</f>
        <v>NYK</v>
      </c>
      <c r="D4223" s="4" t="str">
        <f>IFERROR(__xludf.DUMMYFUNCTION("""COMPUTED_VALUE"""),"Gerard Ross")</f>
        <v>Gerard Ross</v>
      </c>
      <c r="E4223" s="4" t="str">
        <f>IFERROR(__xludf.DUMMYFUNCTION("""COMPUTED_VALUE"""),"Grand Canyon University")</f>
        <v>Grand Canyon University</v>
      </c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</row>
    <row r="4224">
      <c r="A4224" s="4">
        <f>IFERROR(__xludf.DUMMYFUNCTION("""COMPUTED_VALUE"""),209.0)</f>
        <v>209</v>
      </c>
      <c r="B4224" s="4">
        <f>IFERROR(__xludf.DUMMYFUNCTION("""COMPUTED_VALUE"""),209.0)</f>
        <v>209</v>
      </c>
      <c r="C4224" s="4" t="str">
        <f>IFERROR(__xludf.DUMMYFUNCTION("""COMPUTED_VALUE"""),"SAS")</f>
        <v>SAS</v>
      </c>
      <c r="D4224" s="4" t="str">
        <f>IFERROR(__xludf.DUMMYFUNCTION("""COMPUTED_VALUE"""),"Steve Schall")</f>
        <v>Steve Schall</v>
      </c>
      <c r="E4224" s="4" t="str">
        <f>IFERROR(__xludf.DUMMYFUNCTION("""COMPUTED_VALUE"""),"Arkansas")</f>
        <v>Arkansas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</row>
    <row r="4225">
      <c r="A4225" s="4">
        <f>IFERROR(__xludf.DUMMYFUNCTION("""COMPUTED_VALUE"""),210.0)</f>
        <v>210</v>
      </c>
      <c r="B4225" s="4">
        <f>IFERROR(__xludf.DUMMYFUNCTION("""COMPUTED_VALUE"""),210.0)</f>
        <v>210</v>
      </c>
      <c r="C4225" s="4" t="str">
        <f>IFERROR(__xludf.DUMMYFUNCTION("""COMPUTED_VALUE"""),"MIL")</f>
        <v>MIL</v>
      </c>
      <c r="D4225" s="4" t="str">
        <f>IFERROR(__xludf.DUMMYFUNCTION("""COMPUTED_VALUE"""),"Melvin Crayton")</f>
        <v>Melvin Crayton</v>
      </c>
      <c r="E4225" s="4" t="str">
        <f>IFERROR(__xludf.DUMMYFUNCTION("""COMPUTED_VALUE"""),"Alabama State University")</f>
        <v>Alabama State University</v>
      </c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</row>
    <row r="4226">
      <c r="A4226" s="4">
        <f>IFERROR(__xludf.DUMMYFUNCTION("""COMPUTED_VALUE"""),211.0)</f>
        <v>211</v>
      </c>
      <c r="B4226" s="4">
        <f>IFERROR(__xludf.DUMMYFUNCTION("""COMPUTED_VALUE"""),211.0)</f>
        <v>211</v>
      </c>
      <c r="C4226" s="4" t="str">
        <f>IFERROR(__xludf.DUMMYFUNCTION("""COMPUTED_VALUE"""),"PHO")</f>
        <v>PHO</v>
      </c>
      <c r="D4226" s="4" t="str">
        <f>IFERROR(__xludf.DUMMYFUNCTION("""COMPUTED_VALUE"""),"Randy Carroll")</f>
        <v>Randy Carroll</v>
      </c>
      <c r="E4226" s="4" t="str">
        <f>IFERROR(__xludf.DUMMYFUNCTION("""COMPUTED_VALUE"""),"Kansas")</f>
        <v>Kansas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</row>
    <row r="4227">
      <c r="A4227" s="4">
        <f>IFERROR(__xludf.DUMMYFUNCTION("""COMPUTED_VALUE"""),212.0)</f>
        <v>212</v>
      </c>
      <c r="B4227" s="4">
        <f>IFERROR(__xludf.DUMMYFUNCTION("""COMPUTED_VALUE"""),212.0)</f>
        <v>212</v>
      </c>
      <c r="C4227" s="4" t="str">
        <f>IFERROR(__xludf.DUMMYFUNCTION("""COMPUTED_VALUE"""),"SEA")</f>
        <v>SEA</v>
      </c>
      <c r="D4227" s="4" t="str">
        <f>IFERROR(__xludf.DUMMYFUNCTION("""COMPUTED_VALUE"""),"Kent Williams")</f>
        <v>Kent Williams</v>
      </c>
      <c r="E4227" s="4" t="str">
        <f>IFERROR(__xludf.DUMMYFUNCTION("""COMPUTED_VALUE"""),"Texas Tech")</f>
        <v>Texas Tech</v>
      </c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</row>
    <row r="4228">
      <c r="A4228" s="4">
        <f>IFERROR(__xludf.DUMMYFUNCTION("""COMPUTED_VALUE"""),213.0)</f>
        <v>213</v>
      </c>
      <c r="B4228" s="4">
        <f>IFERROR(__xludf.DUMMYFUNCTION("""COMPUTED_VALUE"""),213.0)</f>
        <v>213</v>
      </c>
      <c r="C4228" s="4" t="str">
        <f>IFERROR(__xludf.DUMMYFUNCTION("""COMPUTED_VALUE"""),"PHI")</f>
        <v>PHI</v>
      </c>
      <c r="D4228" s="4" t="str">
        <f>IFERROR(__xludf.DUMMYFUNCTION("""COMPUTED_VALUE"""),"Joe Hand")</f>
        <v>Joe Hand</v>
      </c>
      <c r="E4228" s="4" t="str">
        <f>IFERROR(__xludf.DUMMYFUNCTION("""COMPUTED_VALUE"""),"King's College (Pennsylvania)")</f>
        <v>King's College (Pennsylvania)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</row>
    <row r="4229">
      <c r="A4229" s="4">
        <f>IFERROR(__xludf.DUMMYFUNCTION("""COMPUTED_VALUE"""),214.0)</f>
        <v>214</v>
      </c>
      <c r="B4229" s="4">
        <f>IFERROR(__xludf.DUMMYFUNCTION("""COMPUTED_VALUE"""),214.0)</f>
        <v>214</v>
      </c>
      <c r="C4229" s="4" t="str">
        <f>IFERROR(__xludf.DUMMYFUNCTION("""COMPUTED_VALUE"""),"BOS")</f>
        <v>BOS</v>
      </c>
      <c r="D4229" s="4" t="str">
        <f>IFERROR(__xludf.DUMMYFUNCTION("""COMPUTED_VALUE"""),"John Nolan")</f>
        <v>John Nolan</v>
      </c>
      <c r="E4229" s="4" t="str">
        <f>IFERROR(__xludf.DUMMYFUNCTION("""COMPUTED_VALUE"""),"Providence")</f>
        <v>Providence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</row>
    <row r="4231">
      <c r="A4231" s="2">
        <v>1979.0</v>
      </c>
    </row>
    <row r="4232">
      <c r="A4232" s="4" t="str">
        <f>IFERROR(__xludf.DUMMYFUNCTION("IMPORTHTML(""https://www.basketball-reference.com/draft/NBA_1979.html"", ""table"", 1)"),"")</f>
        <v/>
      </c>
      <c r="B4232" s="4"/>
      <c r="C4232" s="4"/>
      <c r="D4232" s="4" t="str">
        <f>IFERROR(__xludf.DUMMYFUNCTION("""COMPUTED_VALUE"""),"Round 1")</f>
        <v>Round 1</v>
      </c>
      <c r="E4232" s="4"/>
      <c r="F4232" s="4"/>
      <c r="G4232" s="4" t="str">
        <f>IFERROR(__xludf.DUMMYFUNCTION("""COMPUTED_VALUE"""),"Totals")</f>
        <v>Totals</v>
      </c>
      <c r="H4232" s="4"/>
      <c r="I4232" s="4"/>
      <c r="J4232" s="4"/>
      <c r="K4232" s="4"/>
      <c r="L4232" s="4" t="str">
        <f>IFERROR(__xludf.DUMMYFUNCTION("""COMPUTED_VALUE"""),"Shooting")</f>
        <v>Shooting</v>
      </c>
      <c r="M4232" s="4"/>
      <c r="N4232" s="4"/>
      <c r="O4232" s="4" t="str">
        <f>IFERROR(__xludf.DUMMYFUNCTION("""COMPUTED_VALUE"""),"Per Game")</f>
        <v>Per Game</v>
      </c>
      <c r="P4232" s="4"/>
      <c r="Q4232" s="4"/>
      <c r="R4232" s="4"/>
      <c r="S4232" s="4" t="str">
        <f>IFERROR(__xludf.DUMMYFUNCTION("""COMPUTED_VALUE"""),"Advanced")</f>
        <v>Advanced</v>
      </c>
      <c r="T4232" s="4"/>
      <c r="U4232" s="4"/>
      <c r="V4232" s="4"/>
    </row>
    <row r="4233">
      <c r="A4233" s="4" t="str">
        <f>IFERROR(__xludf.DUMMYFUNCTION("""COMPUTED_VALUE"""),"Rk")</f>
        <v>Rk</v>
      </c>
      <c r="B4233" s="4" t="str">
        <f>IFERROR(__xludf.DUMMYFUNCTION("""COMPUTED_VALUE"""),"Pk")</f>
        <v>Pk</v>
      </c>
      <c r="C4233" s="4" t="str">
        <f>IFERROR(__xludf.DUMMYFUNCTION("""COMPUTED_VALUE"""),"Tm")</f>
        <v>Tm</v>
      </c>
      <c r="D4233" s="4" t="str">
        <f>IFERROR(__xludf.DUMMYFUNCTION("""COMPUTED_VALUE"""),"Player")</f>
        <v>Player</v>
      </c>
      <c r="E4233" s="4" t="str">
        <f>IFERROR(__xludf.DUMMYFUNCTION("""COMPUTED_VALUE"""),"College")</f>
        <v>College</v>
      </c>
      <c r="F4233" s="4" t="str">
        <f>IFERROR(__xludf.DUMMYFUNCTION("""COMPUTED_VALUE"""),"Yrs")</f>
        <v>Yrs</v>
      </c>
      <c r="G4233" s="4" t="str">
        <f>IFERROR(__xludf.DUMMYFUNCTION("""COMPUTED_VALUE"""),"G")</f>
        <v>G</v>
      </c>
      <c r="H4233" s="4" t="str">
        <f>IFERROR(__xludf.DUMMYFUNCTION("""COMPUTED_VALUE"""),"MP")</f>
        <v>MP</v>
      </c>
      <c r="I4233" s="4" t="str">
        <f>IFERROR(__xludf.DUMMYFUNCTION("""COMPUTED_VALUE"""),"PTS")</f>
        <v>PTS</v>
      </c>
      <c r="J4233" s="4" t="str">
        <f>IFERROR(__xludf.DUMMYFUNCTION("""COMPUTED_VALUE"""),"TRB")</f>
        <v>TRB</v>
      </c>
      <c r="K4233" s="4" t="str">
        <f>IFERROR(__xludf.DUMMYFUNCTION("""COMPUTED_VALUE"""),"AST")</f>
        <v>AST</v>
      </c>
      <c r="L4233" s="4" t="str">
        <f>IFERROR(__xludf.DUMMYFUNCTION("""COMPUTED_VALUE"""),"FG%")</f>
        <v>FG%</v>
      </c>
      <c r="M4233" s="4" t="str">
        <f>IFERROR(__xludf.DUMMYFUNCTION("""COMPUTED_VALUE"""),"3P%")</f>
        <v>3P%</v>
      </c>
      <c r="N4233" s="4" t="str">
        <f>IFERROR(__xludf.DUMMYFUNCTION("""COMPUTED_VALUE"""),"FT%")</f>
        <v>FT%</v>
      </c>
      <c r="O4233" s="4" t="str">
        <f>IFERROR(__xludf.DUMMYFUNCTION("""COMPUTED_VALUE"""),"MP")</f>
        <v>MP</v>
      </c>
      <c r="P4233" s="4" t="str">
        <f>IFERROR(__xludf.DUMMYFUNCTION("""COMPUTED_VALUE"""),"PTS")</f>
        <v>PTS</v>
      </c>
      <c r="Q4233" s="4" t="str">
        <f>IFERROR(__xludf.DUMMYFUNCTION("""COMPUTED_VALUE"""),"TRB")</f>
        <v>TRB</v>
      </c>
      <c r="R4233" s="4" t="str">
        <f>IFERROR(__xludf.DUMMYFUNCTION("""COMPUTED_VALUE"""),"AST")</f>
        <v>AST</v>
      </c>
      <c r="S4233" s="4" t="str">
        <f>IFERROR(__xludf.DUMMYFUNCTION("""COMPUTED_VALUE"""),"WS")</f>
        <v>WS</v>
      </c>
      <c r="T4233" s="4" t="str">
        <f>IFERROR(__xludf.DUMMYFUNCTION("""COMPUTED_VALUE"""),"WS/48")</f>
        <v>WS/48</v>
      </c>
      <c r="U4233" s="4" t="str">
        <f>IFERROR(__xludf.DUMMYFUNCTION("""COMPUTED_VALUE"""),"BPM")</f>
        <v>BPM</v>
      </c>
      <c r="V4233" s="4" t="str">
        <f>IFERROR(__xludf.DUMMYFUNCTION("""COMPUTED_VALUE"""),"VORP")</f>
        <v>VORP</v>
      </c>
    </row>
    <row r="4234">
      <c r="A4234" s="4">
        <f>IFERROR(__xludf.DUMMYFUNCTION("""COMPUTED_VALUE"""),1.0)</f>
        <v>1</v>
      </c>
      <c r="B4234" s="4">
        <f>IFERROR(__xludf.DUMMYFUNCTION("""COMPUTED_VALUE"""),1.0)</f>
        <v>1</v>
      </c>
      <c r="C4234" s="4" t="str">
        <f>IFERROR(__xludf.DUMMYFUNCTION("""COMPUTED_VALUE"""),"LAL")</f>
        <v>LAL</v>
      </c>
      <c r="D4234" s="4" t="str">
        <f>IFERROR(__xludf.DUMMYFUNCTION("""COMPUTED_VALUE"""),"Magic Johnson")</f>
        <v>Magic Johnson</v>
      </c>
      <c r="E4234" s="4" t="str">
        <f>IFERROR(__xludf.DUMMYFUNCTION("""COMPUTED_VALUE"""),"Michigan State")</f>
        <v>Michigan State</v>
      </c>
      <c r="F4234" s="4">
        <f>IFERROR(__xludf.DUMMYFUNCTION("""COMPUTED_VALUE"""),13.0)</f>
        <v>13</v>
      </c>
      <c r="G4234" s="4">
        <f>IFERROR(__xludf.DUMMYFUNCTION("""COMPUTED_VALUE"""),906.0)</f>
        <v>906</v>
      </c>
      <c r="H4234" s="4">
        <f>IFERROR(__xludf.DUMMYFUNCTION("""COMPUTED_VALUE"""),33245.0)</f>
        <v>33245</v>
      </c>
      <c r="I4234" s="4">
        <f>IFERROR(__xludf.DUMMYFUNCTION("""COMPUTED_VALUE"""),17707.0)</f>
        <v>17707</v>
      </c>
      <c r="J4234" s="4">
        <f>IFERROR(__xludf.DUMMYFUNCTION("""COMPUTED_VALUE"""),6559.0)</f>
        <v>6559</v>
      </c>
      <c r="K4234" s="4">
        <f>IFERROR(__xludf.DUMMYFUNCTION("""COMPUTED_VALUE"""),10141.0)</f>
        <v>10141</v>
      </c>
      <c r="L4234" s="4">
        <f>IFERROR(__xludf.DUMMYFUNCTION("""COMPUTED_VALUE"""),0.52)</f>
        <v>0.52</v>
      </c>
      <c r="M4234" s="4">
        <f>IFERROR(__xludf.DUMMYFUNCTION("""COMPUTED_VALUE"""),0.303)</f>
        <v>0.303</v>
      </c>
      <c r="N4234" s="4">
        <f>IFERROR(__xludf.DUMMYFUNCTION("""COMPUTED_VALUE"""),0.848)</f>
        <v>0.848</v>
      </c>
      <c r="O4234" s="4">
        <f>IFERROR(__xludf.DUMMYFUNCTION("""COMPUTED_VALUE"""),36.7)</f>
        <v>36.7</v>
      </c>
      <c r="P4234" s="4">
        <f>IFERROR(__xludf.DUMMYFUNCTION("""COMPUTED_VALUE"""),19.5)</f>
        <v>19.5</v>
      </c>
      <c r="Q4234" s="4">
        <f>IFERROR(__xludf.DUMMYFUNCTION("""COMPUTED_VALUE"""),7.2)</f>
        <v>7.2</v>
      </c>
      <c r="R4234" s="4">
        <f>IFERROR(__xludf.DUMMYFUNCTION("""COMPUTED_VALUE"""),11.2)</f>
        <v>11.2</v>
      </c>
      <c r="S4234" s="4">
        <f>IFERROR(__xludf.DUMMYFUNCTION("""COMPUTED_VALUE"""),155.8)</f>
        <v>155.8</v>
      </c>
      <c r="T4234" s="4">
        <f>IFERROR(__xludf.DUMMYFUNCTION("""COMPUTED_VALUE"""),0.225)</f>
        <v>0.225</v>
      </c>
      <c r="U4234" s="4">
        <f>IFERROR(__xludf.DUMMYFUNCTION("""COMPUTED_VALUE"""),7.5)</f>
        <v>7.5</v>
      </c>
      <c r="V4234" s="4">
        <f>IFERROR(__xludf.DUMMYFUNCTION("""COMPUTED_VALUE"""),80.0)</f>
        <v>80</v>
      </c>
    </row>
    <row r="4235">
      <c r="A4235" s="4">
        <f>IFERROR(__xludf.DUMMYFUNCTION("""COMPUTED_VALUE"""),2.0)</f>
        <v>2</v>
      </c>
      <c r="B4235" s="4">
        <f>IFERROR(__xludf.DUMMYFUNCTION("""COMPUTED_VALUE"""),2.0)</f>
        <v>2</v>
      </c>
      <c r="C4235" s="4" t="str">
        <f>IFERROR(__xludf.DUMMYFUNCTION("""COMPUTED_VALUE"""),"CHI")</f>
        <v>CHI</v>
      </c>
      <c r="D4235" s="4" t="str">
        <f>IFERROR(__xludf.DUMMYFUNCTION("""COMPUTED_VALUE"""),"Dave Greenwood")</f>
        <v>Dave Greenwood</v>
      </c>
      <c r="E4235" s="4" t="str">
        <f>IFERROR(__xludf.DUMMYFUNCTION("""COMPUTED_VALUE"""),"UCLA")</f>
        <v>UCLA</v>
      </c>
      <c r="F4235" s="4">
        <f>IFERROR(__xludf.DUMMYFUNCTION("""COMPUTED_VALUE"""),12.0)</f>
        <v>12</v>
      </c>
      <c r="G4235" s="4">
        <f>IFERROR(__xludf.DUMMYFUNCTION("""COMPUTED_VALUE"""),823.0)</f>
        <v>823</v>
      </c>
      <c r="H4235" s="4">
        <f>IFERROR(__xludf.DUMMYFUNCTION("""COMPUTED_VALUE"""),23370.0)</f>
        <v>23370</v>
      </c>
      <c r="I4235" s="4">
        <f>IFERROR(__xludf.DUMMYFUNCTION("""COMPUTED_VALUE"""),8428.0)</f>
        <v>8428</v>
      </c>
      <c r="J4235" s="4">
        <f>IFERROR(__xludf.DUMMYFUNCTION("""COMPUTED_VALUE"""),6537.0)</f>
        <v>6537</v>
      </c>
      <c r="K4235" s="4">
        <f>IFERROR(__xludf.DUMMYFUNCTION("""COMPUTED_VALUE"""),1614.0)</f>
        <v>1614</v>
      </c>
      <c r="L4235" s="4">
        <f>IFERROR(__xludf.DUMMYFUNCTION("""COMPUTED_VALUE"""),0.477)</f>
        <v>0.477</v>
      </c>
      <c r="M4235" s="4">
        <f>IFERROR(__xludf.DUMMYFUNCTION("""COMPUTED_VALUE"""),0.138)</f>
        <v>0.138</v>
      </c>
      <c r="N4235" s="4">
        <f>IFERROR(__xludf.DUMMYFUNCTION("""COMPUTED_VALUE"""),0.765)</f>
        <v>0.765</v>
      </c>
      <c r="O4235" s="4">
        <f>IFERROR(__xludf.DUMMYFUNCTION("""COMPUTED_VALUE"""),28.4)</f>
        <v>28.4</v>
      </c>
      <c r="P4235" s="4">
        <f>IFERROR(__xludf.DUMMYFUNCTION("""COMPUTED_VALUE"""),10.2)</f>
        <v>10.2</v>
      </c>
      <c r="Q4235" s="4">
        <f>IFERROR(__xludf.DUMMYFUNCTION("""COMPUTED_VALUE"""),7.9)</f>
        <v>7.9</v>
      </c>
      <c r="R4235" s="4">
        <f>IFERROR(__xludf.DUMMYFUNCTION("""COMPUTED_VALUE"""),2.0)</f>
        <v>2</v>
      </c>
      <c r="S4235" s="4">
        <f>IFERROR(__xludf.DUMMYFUNCTION("""COMPUTED_VALUE"""),46.4)</f>
        <v>46.4</v>
      </c>
      <c r="T4235" s="4">
        <f>IFERROR(__xludf.DUMMYFUNCTION("""COMPUTED_VALUE"""),0.095)</f>
        <v>0.095</v>
      </c>
      <c r="U4235" s="4">
        <f>IFERROR(__xludf.DUMMYFUNCTION("""COMPUTED_VALUE"""),-0.7)</f>
        <v>-0.7</v>
      </c>
      <c r="V4235" s="4">
        <f>IFERROR(__xludf.DUMMYFUNCTION("""COMPUTED_VALUE"""),7.4)</f>
        <v>7.4</v>
      </c>
    </row>
    <row r="4236">
      <c r="A4236" s="4">
        <f>IFERROR(__xludf.DUMMYFUNCTION("""COMPUTED_VALUE"""),3.0)</f>
        <v>3</v>
      </c>
      <c r="B4236" s="4">
        <f>IFERROR(__xludf.DUMMYFUNCTION("""COMPUTED_VALUE"""),3.0)</f>
        <v>3</v>
      </c>
      <c r="C4236" s="4" t="str">
        <f>IFERROR(__xludf.DUMMYFUNCTION("""COMPUTED_VALUE"""),"NYK")</f>
        <v>NYK</v>
      </c>
      <c r="D4236" s="4" t="str">
        <f>IFERROR(__xludf.DUMMYFUNCTION("""COMPUTED_VALUE"""),"Bill Cartwright")</f>
        <v>Bill Cartwright</v>
      </c>
      <c r="E4236" s="4" t="str">
        <f>IFERROR(__xludf.DUMMYFUNCTION("""COMPUTED_VALUE"""),"San Francisco")</f>
        <v>San Francisco</v>
      </c>
      <c r="F4236" s="4">
        <f>IFERROR(__xludf.DUMMYFUNCTION("""COMPUTED_VALUE"""),15.0)</f>
        <v>15</v>
      </c>
      <c r="G4236" s="4">
        <f>IFERROR(__xludf.DUMMYFUNCTION("""COMPUTED_VALUE"""),963.0)</f>
        <v>963</v>
      </c>
      <c r="H4236" s="4">
        <f>IFERROR(__xludf.DUMMYFUNCTION("""COMPUTED_VALUE"""),27491.0)</f>
        <v>27491</v>
      </c>
      <c r="I4236" s="4">
        <f>IFERROR(__xludf.DUMMYFUNCTION("""COMPUTED_VALUE"""),12713.0)</f>
        <v>12713</v>
      </c>
      <c r="J4236" s="4">
        <f>IFERROR(__xludf.DUMMYFUNCTION("""COMPUTED_VALUE"""),6106.0)</f>
        <v>6106</v>
      </c>
      <c r="K4236" s="4">
        <f>IFERROR(__xludf.DUMMYFUNCTION("""COMPUTED_VALUE"""),1390.0)</f>
        <v>1390</v>
      </c>
      <c r="L4236" s="4">
        <f>IFERROR(__xludf.DUMMYFUNCTION("""COMPUTED_VALUE"""),0.525)</f>
        <v>0.525</v>
      </c>
      <c r="M4236" s="4">
        <f>IFERROR(__xludf.DUMMYFUNCTION("""COMPUTED_VALUE"""),0.0)</f>
        <v>0</v>
      </c>
      <c r="N4236" s="4">
        <f>IFERROR(__xludf.DUMMYFUNCTION("""COMPUTED_VALUE"""),0.771)</f>
        <v>0.771</v>
      </c>
      <c r="O4236" s="4">
        <f>IFERROR(__xludf.DUMMYFUNCTION("""COMPUTED_VALUE"""),28.5)</f>
        <v>28.5</v>
      </c>
      <c r="P4236" s="4">
        <f>IFERROR(__xludf.DUMMYFUNCTION("""COMPUTED_VALUE"""),13.2)</f>
        <v>13.2</v>
      </c>
      <c r="Q4236" s="4">
        <f>IFERROR(__xludf.DUMMYFUNCTION("""COMPUTED_VALUE"""),6.3)</f>
        <v>6.3</v>
      </c>
      <c r="R4236" s="4">
        <f>IFERROR(__xludf.DUMMYFUNCTION("""COMPUTED_VALUE"""),1.4)</f>
        <v>1.4</v>
      </c>
      <c r="S4236" s="4">
        <f>IFERROR(__xludf.DUMMYFUNCTION("""COMPUTED_VALUE"""),72.8)</f>
        <v>72.8</v>
      </c>
      <c r="T4236" s="4">
        <f>IFERROR(__xludf.DUMMYFUNCTION("""COMPUTED_VALUE"""),0.127)</f>
        <v>0.127</v>
      </c>
      <c r="U4236" s="4">
        <f>IFERROR(__xludf.DUMMYFUNCTION("""COMPUTED_VALUE"""),-0.6)</f>
        <v>-0.6</v>
      </c>
      <c r="V4236" s="4">
        <f>IFERROR(__xludf.DUMMYFUNCTION("""COMPUTED_VALUE"""),9.7)</f>
        <v>9.7</v>
      </c>
    </row>
    <row r="4237">
      <c r="A4237" s="4">
        <f>IFERROR(__xludf.DUMMYFUNCTION("""COMPUTED_VALUE"""),4.0)</f>
        <v>4</v>
      </c>
      <c r="B4237" s="4">
        <f>IFERROR(__xludf.DUMMYFUNCTION("""COMPUTED_VALUE"""),4.0)</f>
        <v>4</v>
      </c>
      <c r="C4237" s="4" t="str">
        <f>IFERROR(__xludf.DUMMYFUNCTION("""COMPUTED_VALUE"""),"DET")</f>
        <v>DET</v>
      </c>
      <c r="D4237" s="4" t="str">
        <f>IFERROR(__xludf.DUMMYFUNCTION("""COMPUTED_VALUE"""),"Greg Kelser")</f>
        <v>Greg Kelser</v>
      </c>
      <c r="E4237" s="4" t="str">
        <f>IFERROR(__xludf.DUMMYFUNCTION("""COMPUTED_VALUE"""),"Michigan State")</f>
        <v>Michigan State</v>
      </c>
      <c r="F4237" s="4">
        <f>IFERROR(__xludf.DUMMYFUNCTION("""COMPUTED_VALUE"""),6.0)</f>
        <v>6</v>
      </c>
      <c r="G4237" s="4">
        <f>IFERROR(__xludf.DUMMYFUNCTION("""COMPUTED_VALUE"""),305.0)</f>
        <v>305</v>
      </c>
      <c r="H4237" s="4">
        <f>IFERROR(__xludf.DUMMYFUNCTION("""COMPUTED_VALUE"""),6032.0)</f>
        <v>6032</v>
      </c>
      <c r="I4237" s="4">
        <f>IFERROR(__xludf.DUMMYFUNCTION("""COMPUTED_VALUE"""),2961.0)</f>
        <v>2961</v>
      </c>
      <c r="J4237" s="4">
        <f>IFERROR(__xludf.DUMMYFUNCTION("""COMPUTED_VALUE"""),1402.0)</f>
        <v>1402</v>
      </c>
      <c r="K4237" s="4">
        <f>IFERROR(__xludf.DUMMYFUNCTION("""COMPUTED_VALUE"""),411.0)</f>
        <v>411</v>
      </c>
      <c r="L4237" s="4">
        <f>IFERROR(__xludf.DUMMYFUNCTION("""COMPUTED_VALUE"""),0.486)</f>
        <v>0.486</v>
      </c>
      <c r="M4237" s="4">
        <f>IFERROR(__xludf.DUMMYFUNCTION("""COMPUTED_VALUE"""),0.167)</f>
        <v>0.167</v>
      </c>
      <c r="N4237" s="4">
        <f>IFERROR(__xludf.DUMMYFUNCTION("""COMPUTED_VALUE"""),0.686)</f>
        <v>0.686</v>
      </c>
      <c r="O4237" s="4">
        <f>IFERROR(__xludf.DUMMYFUNCTION("""COMPUTED_VALUE"""),19.8)</f>
        <v>19.8</v>
      </c>
      <c r="P4237" s="4">
        <f>IFERROR(__xludf.DUMMYFUNCTION("""COMPUTED_VALUE"""),9.7)</f>
        <v>9.7</v>
      </c>
      <c r="Q4237" s="4">
        <f>IFERROR(__xludf.DUMMYFUNCTION("""COMPUTED_VALUE"""),4.6)</f>
        <v>4.6</v>
      </c>
      <c r="R4237" s="4">
        <f>IFERROR(__xludf.DUMMYFUNCTION("""COMPUTED_VALUE"""),1.3)</f>
        <v>1.3</v>
      </c>
      <c r="S4237" s="4">
        <f>IFERROR(__xludf.DUMMYFUNCTION("""COMPUTED_VALUE"""),8.6)</f>
        <v>8.6</v>
      </c>
      <c r="T4237" s="4">
        <f>IFERROR(__xludf.DUMMYFUNCTION("""COMPUTED_VALUE"""),0.069)</f>
        <v>0.069</v>
      </c>
      <c r="U4237" s="4">
        <f>IFERROR(__xludf.DUMMYFUNCTION("""COMPUTED_VALUE"""),-1.7)</f>
        <v>-1.7</v>
      </c>
      <c r="V4237" s="4">
        <f>IFERROR(__xludf.DUMMYFUNCTION("""COMPUTED_VALUE"""),0.4)</f>
        <v>0.4</v>
      </c>
    </row>
    <row r="4238">
      <c r="A4238" s="4">
        <f>IFERROR(__xludf.DUMMYFUNCTION("""COMPUTED_VALUE"""),5.0)</f>
        <v>5</v>
      </c>
      <c r="B4238" s="4">
        <f>IFERROR(__xludf.DUMMYFUNCTION("""COMPUTED_VALUE"""),5.0)</f>
        <v>5</v>
      </c>
      <c r="C4238" s="4" t="str">
        <f>IFERROR(__xludf.DUMMYFUNCTION("""COMPUTED_VALUE"""),"MIL")</f>
        <v>MIL</v>
      </c>
      <c r="D4238" s="4" t="str">
        <f>IFERROR(__xludf.DUMMYFUNCTION("""COMPUTED_VALUE"""),"Sidney Moncrief")</f>
        <v>Sidney Moncrief</v>
      </c>
      <c r="E4238" s="4" t="str">
        <f>IFERROR(__xludf.DUMMYFUNCTION("""COMPUTED_VALUE"""),"Arkansas")</f>
        <v>Arkansas</v>
      </c>
      <c r="F4238" s="4">
        <f>IFERROR(__xludf.DUMMYFUNCTION("""COMPUTED_VALUE"""),11.0)</f>
        <v>11</v>
      </c>
      <c r="G4238" s="4">
        <f>IFERROR(__xludf.DUMMYFUNCTION("""COMPUTED_VALUE"""),767.0)</f>
        <v>767</v>
      </c>
      <c r="H4238" s="4">
        <f>IFERROR(__xludf.DUMMYFUNCTION("""COMPUTED_VALUE"""),23150.0)</f>
        <v>23150</v>
      </c>
      <c r="I4238" s="4">
        <f>IFERROR(__xludf.DUMMYFUNCTION("""COMPUTED_VALUE"""),11931.0)</f>
        <v>11931</v>
      </c>
      <c r="J4238" s="4">
        <f>IFERROR(__xludf.DUMMYFUNCTION("""COMPUTED_VALUE"""),3575.0)</f>
        <v>3575</v>
      </c>
      <c r="K4238" s="4">
        <f>IFERROR(__xludf.DUMMYFUNCTION("""COMPUTED_VALUE"""),2793.0)</f>
        <v>2793</v>
      </c>
      <c r="L4238" s="4">
        <f>IFERROR(__xludf.DUMMYFUNCTION("""COMPUTED_VALUE"""),0.502)</f>
        <v>0.502</v>
      </c>
      <c r="M4238" s="4">
        <f>IFERROR(__xludf.DUMMYFUNCTION("""COMPUTED_VALUE"""),0.284)</f>
        <v>0.284</v>
      </c>
      <c r="N4238" s="4">
        <f>IFERROR(__xludf.DUMMYFUNCTION("""COMPUTED_VALUE"""),0.831)</f>
        <v>0.831</v>
      </c>
      <c r="O4238" s="4">
        <f>IFERROR(__xludf.DUMMYFUNCTION("""COMPUTED_VALUE"""),30.2)</f>
        <v>30.2</v>
      </c>
      <c r="P4238" s="4">
        <f>IFERROR(__xludf.DUMMYFUNCTION("""COMPUTED_VALUE"""),15.6)</f>
        <v>15.6</v>
      </c>
      <c r="Q4238" s="4">
        <f>IFERROR(__xludf.DUMMYFUNCTION("""COMPUTED_VALUE"""),4.7)</f>
        <v>4.7</v>
      </c>
      <c r="R4238" s="4">
        <f>IFERROR(__xludf.DUMMYFUNCTION("""COMPUTED_VALUE"""),3.6)</f>
        <v>3.6</v>
      </c>
      <c r="S4238" s="4">
        <f>IFERROR(__xludf.DUMMYFUNCTION("""COMPUTED_VALUE"""),90.3)</f>
        <v>90.3</v>
      </c>
      <c r="T4238" s="4">
        <f>IFERROR(__xludf.DUMMYFUNCTION("""COMPUTED_VALUE"""),0.187)</f>
        <v>0.187</v>
      </c>
      <c r="U4238" s="4">
        <f>IFERROR(__xludf.DUMMYFUNCTION("""COMPUTED_VALUE"""),3.7)</f>
        <v>3.7</v>
      </c>
      <c r="V4238" s="4">
        <f>IFERROR(__xludf.DUMMYFUNCTION("""COMPUTED_VALUE"""),33.1)</f>
        <v>33.1</v>
      </c>
    </row>
    <row r="4239">
      <c r="A4239" s="4">
        <f>IFERROR(__xludf.DUMMYFUNCTION("""COMPUTED_VALUE"""),6.0)</f>
        <v>6</v>
      </c>
      <c r="B4239" s="4">
        <f>IFERROR(__xludf.DUMMYFUNCTION("""COMPUTED_VALUE"""),6.0)</f>
        <v>6</v>
      </c>
      <c r="C4239" s="4" t="str">
        <f>IFERROR(__xludf.DUMMYFUNCTION("""COMPUTED_VALUE"""),"SEA")</f>
        <v>SEA</v>
      </c>
      <c r="D4239" s="4" t="str">
        <f>IFERROR(__xludf.DUMMYFUNCTION("""COMPUTED_VALUE"""),"James Bailey")</f>
        <v>James Bailey</v>
      </c>
      <c r="E4239" s="4" t="str">
        <f>IFERROR(__xludf.DUMMYFUNCTION("""COMPUTED_VALUE"""),"Rutgers University")</f>
        <v>Rutgers University</v>
      </c>
      <c r="F4239" s="4">
        <f>IFERROR(__xludf.DUMMYFUNCTION("""COMPUTED_VALUE"""),9.0)</f>
        <v>9</v>
      </c>
      <c r="G4239" s="4">
        <f>IFERROR(__xludf.DUMMYFUNCTION("""COMPUTED_VALUE"""),595.0)</f>
        <v>595</v>
      </c>
      <c r="H4239" s="4">
        <f>IFERROR(__xludf.DUMMYFUNCTION("""COMPUTED_VALUE"""),11625.0)</f>
        <v>11625</v>
      </c>
      <c r="I4239" s="4">
        <f>IFERROR(__xludf.DUMMYFUNCTION("""COMPUTED_VALUE"""),5246.0)</f>
        <v>5246</v>
      </c>
      <c r="J4239" s="4">
        <f>IFERROR(__xludf.DUMMYFUNCTION("""COMPUTED_VALUE"""),2988.0)</f>
        <v>2988</v>
      </c>
      <c r="K4239" s="4">
        <f>IFERROR(__xludf.DUMMYFUNCTION("""COMPUTED_VALUE"""),488.0)</f>
        <v>488</v>
      </c>
      <c r="L4239" s="4">
        <f>IFERROR(__xludf.DUMMYFUNCTION("""COMPUTED_VALUE"""),0.484)</f>
        <v>0.484</v>
      </c>
      <c r="M4239" s="4">
        <f>IFERROR(__xludf.DUMMYFUNCTION("""COMPUTED_VALUE"""),0.077)</f>
        <v>0.077</v>
      </c>
      <c r="N4239" s="4">
        <f>IFERROR(__xludf.DUMMYFUNCTION("""COMPUTED_VALUE"""),0.703)</f>
        <v>0.703</v>
      </c>
      <c r="O4239" s="4">
        <f>IFERROR(__xludf.DUMMYFUNCTION("""COMPUTED_VALUE"""),19.5)</f>
        <v>19.5</v>
      </c>
      <c r="P4239" s="4">
        <f>IFERROR(__xludf.DUMMYFUNCTION("""COMPUTED_VALUE"""),8.8)</f>
        <v>8.8</v>
      </c>
      <c r="Q4239" s="4">
        <f>IFERROR(__xludf.DUMMYFUNCTION("""COMPUTED_VALUE"""),5.0)</f>
        <v>5</v>
      </c>
      <c r="R4239" s="4">
        <f>IFERROR(__xludf.DUMMYFUNCTION("""COMPUTED_VALUE"""),0.8)</f>
        <v>0.8</v>
      </c>
      <c r="S4239" s="4">
        <f>IFERROR(__xludf.DUMMYFUNCTION("""COMPUTED_VALUE"""),16.3)</f>
        <v>16.3</v>
      </c>
      <c r="T4239" s="4">
        <f>IFERROR(__xludf.DUMMYFUNCTION("""COMPUTED_VALUE"""),0.067)</f>
        <v>0.067</v>
      </c>
      <c r="U4239" s="4">
        <f>IFERROR(__xludf.DUMMYFUNCTION("""COMPUTED_VALUE"""),-2.9)</f>
        <v>-2.9</v>
      </c>
      <c r="V4239" s="4">
        <f>IFERROR(__xludf.DUMMYFUNCTION("""COMPUTED_VALUE"""),-2.6)</f>
        <v>-2.6</v>
      </c>
    </row>
    <row r="4240">
      <c r="A4240" s="4">
        <f>IFERROR(__xludf.DUMMYFUNCTION("""COMPUTED_VALUE"""),7.0)</f>
        <v>7</v>
      </c>
      <c r="B4240" s="4">
        <f>IFERROR(__xludf.DUMMYFUNCTION("""COMPUTED_VALUE"""),7.0)</f>
        <v>7</v>
      </c>
      <c r="C4240" s="4" t="str">
        <f>IFERROR(__xludf.DUMMYFUNCTION("""COMPUTED_VALUE"""),"SEA")</f>
        <v>SEA</v>
      </c>
      <c r="D4240" s="4" t="str">
        <f>IFERROR(__xludf.DUMMYFUNCTION("""COMPUTED_VALUE"""),"Vinnie Johnson")</f>
        <v>Vinnie Johnson</v>
      </c>
      <c r="E4240" s="4" t="str">
        <f>IFERROR(__xludf.DUMMYFUNCTION("""COMPUTED_VALUE"""),"Baylor")</f>
        <v>Baylor</v>
      </c>
      <c r="F4240" s="4">
        <f>IFERROR(__xludf.DUMMYFUNCTION("""COMPUTED_VALUE"""),13.0)</f>
        <v>13</v>
      </c>
      <c r="G4240" s="4">
        <f>IFERROR(__xludf.DUMMYFUNCTION("""COMPUTED_VALUE"""),984.0)</f>
        <v>984</v>
      </c>
      <c r="H4240" s="4">
        <f>IFERROR(__xludf.DUMMYFUNCTION("""COMPUTED_VALUE"""),24308.0)</f>
        <v>24308</v>
      </c>
      <c r="I4240" s="4">
        <f>IFERROR(__xludf.DUMMYFUNCTION("""COMPUTED_VALUE"""),11825.0)</f>
        <v>11825</v>
      </c>
      <c r="J4240" s="4">
        <f>IFERROR(__xludf.DUMMYFUNCTION("""COMPUTED_VALUE"""),3109.0)</f>
        <v>3109</v>
      </c>
      <c r="K4240" s="4">
        <f>IFERROR(__xludf.DUMMYFUNCTION("""COMPUTED_VALUE"""),3212.0)</f>
        <v>3212</v>
      </c>
      <c r="L4240" s="4">
        <f>IFERROR(__xludf.DUMMYFUNCTION("""COMPUTED_VALUE"""),0.464)</f>
        <v>0.464</v>
      </c>
      <c r="M4240" s="4">
        <f>IFERROR(__xludf.DUMMYFUNCTION("""COMPUTED_VALUE"""),0.254)</f>
        <v>0.254</v>
      </c>
      <c r="N4240" s="4">
        <f>IFERROR(__xludf.DUMMYFUNCTION("""COMPUTED_VALUE"""),0.74)</f>
        <v>0.74</v>
      </c>
      <c r="O4240" s="4">
        <f>IFERROR(__xludf.DUMMYFUNCTION("""COMPUTED_VALUE"""),24.7)</f>
        <v>24.7</v>
      </c>
      <c r="P4240" s="4">
        <f>IFERROR(__xludf.DUMMYFUNCTION("""COMPUTED_VALUE"""),12.0)</f>
        <v>12</v>
      </c>
      <c r="Q4240" s="4">
        <f>IFERROR(__xludf.DUMMYFUNCTION("""COMPUTED_VALUE"""),3.2)</f>
        <v>3.2</v>
      </c>
      <c r="R4240" s="4">
        <f>IFERROR(__xludf.DUMMYFUNCTION("""COMPUTED_VALUE"""),3.3)</f>
        <v>3.3</v>
      </c>
      <c r="S4240" s="4">
        <f>IFERROR(__xludf.DUMMYFUNCTION("""COMPUTED_VALUE"""),50.8)</f>
        <v>50.8</v>
      </c>
      <c r="T4240" s="4">
        <f>IFERROR(__xludf.DUMMYFUNCTION("""COMPUTED_VALUE"""),0.1)</f>
        <v>0.1</v>
      </c>
      <c r="U4240" s="4">
        <f>IFERROR(__xludf.DUMMYFUNCTION("""COMPUTED_VALUE"""),0.7)</f>
        <v>0.7</v>
      </c>
      <c r="V4240" s="4">
        <f>IFERROR(__xludf.DUMMYFUNCTION("""COMPUTED_VALUE"""),16.4)</f>
        <v>16.4</v>
      </c>
    </row>
    <row r="4241">
      <c r="A4241" s="4">
        <f>IFERROR(__xludf.DUMMYFUNCTION("""COMPUTED_VALUE"""),8.0)</f>
        <v>8</v>
      </c>
      <c r="B4241" s="4">
        <f>IFERROR(__xludf.DUMMYFUNCTION("""COMPUTED_VALUE"""),8.0)</f>
        <v>8</v>
      </c>
      <c r="C4241" s="4" t="str">
        <f>IFERROR(__xludf.DUMMYFUNCTION("""COMPUTED_VALUE"""),"NJN")</f>
        <v>NJN</v>
      </c>
      <c r="D4241" s="4" t="str">
        <f>IFERROR(__xludf.DUMMYFUNCTION("""COMPUTED_VALUE"""),"Calvin Natt")</f>
        <v>Calvin Natt</v>
      </c>
      <c r="E4241" s="4" t="str">
        <f>IFERROR(__xludf.DUMMYFUNCTION("""COMPUTED_VALUE"""),"Louisiana-Monroe")</f>
        <v>Louisiana-Monroe</v>
      </c>
      <c r="F4241" s="4">
        <f>IFERROR(__xludf.DUMMYFUNCTION("""COMPUTED_VALUE"""),11.0)</f>
        <v>11</v>
      </c>
      <c r="G4241" s="4">
        <f>IFERROR(__xludf.DUMMYFUNCTION("""COMPUTED_VALUE"""),599.0)</f>
        <v>599</v>
      </c>
      <c r="H4241" s="4">
        <f>IFERROR(__xludf.DUMMYFUNCTION("""COMPUTED_VALUE"""),18818.0)</f>
        <v>18818</v>
      </c>
      <c r="I4241" s="4">
        <f>IFERROR(__xludf.DUMMYFUNCTION("""COMPUTED_VALUE"""),10291.0)</f>
        <v>10291</v>
      </c>
      <c r="J4241" s="4">
        <f>IFERROR(__xludf.DUMMYFUNCTION("""COMPUTED_VALUE"""),4070.0)</f>
        <v>4070</v>
      </c>
      <c r="K4241" s="4">
        <f>IFERROR(__xludf.DUMMYFUNCTION("""COMPUTED_VALUE"""),1306.0)</f>
        <v>1306</v>
      </c>
      <c r="L4241" s="4">
        <f>IFERROR(__xludf.DUMMYFUNCTION("""COMPUTED_VALUE"""),0.528)</f>
        <v>0.528</v>
      </c>
      <c r="M4241" s="4">
        <f>IFERROR(__xludf.DUMMYFUNCTION("""COMPUTED_VALUE"""),0.219)</f>
        <v>0.219</v>
      </c>
      <c r="N4241" s="4">
        <f>IFERROR(__xludf.DUMMYFUNCTION("""COMPUTED_VALUE"""),0.768)</f>
        <v>0.768</v>
      </c>
      <c r="O4241" s="4">
        <f>IFERROR(__xludf.DUMMYFUNCTION("""COMPUTED_VALUE"""),31.4)</f>
        <v>31.4</v>
      </c>
      <c r="P4241" s="4">
        <f>IFERROR(__xludf.DUMMYFUNCTION("""COMPUTED_VALUE"""),17.2)</f>
        <v>17.2</v>
      </c>
      <c r="Q4241" s="4">
        <f>IFERROR(__xludf.DUMMYFUNCTION("""COMPUTED_VALUE"""),6.8)</f>
        <v>6.8</v>
      </c>
      <c r="R4241" s="4">
        <f>IFERROR(__xludf.DUMMYFUNCTION("""COMPUTED_VALUE"""),2.2)</f>
        <v>2.2</v>
      </c>
      <c r="S4241" s="4">
        <f>IFERROR(__xludf.DUMMYFUNCTION("""COMPUTED_VALUE"""),57.2)</f>
        <v>57.2</v>
      </c>
      <c r="T4241" s="4">
        <f>IFERROR(__xludf.DUMMYFUNCTION("""COMPUTED_VALUE"""),0.146)</f>
        <v>0.146</v>
      </c>
      <c r="U4241" s="4">
        <f>IFERROR(__xludf.DUMMYFUNCTION("""COMPUTED_VALUE"""),1.2)</f>
        <v>1.2</v>
      </c>
      <c r="V4241" s="4">
        <f>IFERROR(__xludf.DUMMYFUNCTION("""COMPUTED_VALUE"""),15.4)</f>
        <v>15.4</v>
      </c>
    </row>
    <row r="4242">
      <c r="A4242" s="4">
        <f>IFERROR(__xludf.DUMMYFUNCTION("""COMPUTED_VALUE"""),9.0)</f>
        <v>9</v>
      </c>
      <c r="B4242" s="4">
        <f>IFERROR(__xludf.DUMMYFUNCTION("""COMPUTED_VALUE"""),9.0)</f>
        <v>9</v>
      </c>
      <c r="C4242" s="4" t="str">
        <f>IFERROR(__xludf.DUMMYFUNCTION("""COMPUTED_VALUE"""),"NYK")</f>
        <v>NYK</v>
      </c>
      <c r="D4242" s="4" t="str">
        <f>IFERROR(__xludf.DUMMYFUNCTION("""COMPUTED_VALUE"""),"Larry Demic")</f>
        <v>Larry Demic</v>
      </c>
      <c r="E4242" s="4" t="str">
        <f>IFERROR(__xludf.DUMMYFUNCTION("""COMPUTED_VALUE"""),"Arizona")</f>
        <v>Arizona</v>
      </c>
      <c r="F4242" s="4">
        <f>IFERROR(__xludf.DUMMYFUNCTION("""COMPUTED_VALUE"""),3.0)</f>
        <v>3</v>
      </c>
      <c r="G4242" s="4">
        <f>IFERROR(__xludf.DUMMYFUNCTION("""COMPUTED_VALUE"""),206.0)</f>
        <v>206</v>
      </c>
      <c r="H4242" s="4">
        <f>IFERROR(__xludf.DUMMYFUNCTION("""COMPUTED_VALUE"""),3192.0)</f>
        <v>3192</v>
      </c>
      <c r="I4242" s="4">
        <f>IFERROR(__xludf.DUMMYFUNCTION("""COMPUTED_VALUE"""),976.0)</f>
        <v>976</v>
      </c>
      <c r="J4242" s="4">
        <f>IFERROR(__xludf.DUMMYFUNCTION("""COMPUTED_VALUE"""),805.0)</f>
        <v>805</v>
      </c>
      <c r="K4242" s="4">
        <f>IFERROR(__xludf.DUMMYFUNCTION("""COMPUTED_VALUE"""),106.0)</f>
        <v>106</v>
      </c>
      <c r="L4242" s="4">
        <f>IFERROR(__xludf.DUMMYFUNCTION("""COMPUTED_VALUE"""),0.459)</f>
        <v>0.459</v>
      </c>
      <c r="M4242" s="4">
        <f>IFERROR(__xludf.DUMMYFUNCTION("""COMPUTED_VALUE"""),0.0)</f>
        <v>0</v>
      </c>
      <c r="N4242" s="4">
        <f>IFERROR(__xludf.DUMMYFUNCTION("""COMPUTED_VALUE"""),0.58)</f>
        <v>0.58</v>
      </c>
      <c r="O4242" s="4">
        <f>IFERROR(__xludf.DUMMYFUNCTION("""COMPUTED_VALUE"""),15.5)</f>
        <v>15.5</v>
      </c>
      <c r="P4242" s="4">
        <f>IFERROR(__xludf.DUMMYFUNCTION("""COMPUTED_VALUE"""),4.7)</f>
        <v>4.7</v>
      </c>
      <c r="Q4242" s="4">
        <f>IFERROR(__xludf.DUMMYFUNCTION("""COMPUTED_VALUE"""),3.9)</f>
        <v>3.9</v>
      </c>
      <c r="R4242" s="4">
        <f>IFERROR(__xludf.DUMMYFUNCTION("""COMPUTED_VALUE"""),0.5)</f>
        <v>0.5</v>
      </c>
      <c r="S4242" s="4">
        <f>IFERROR(__xludf.DUMMYFUNCTION("""COMPUTED_VALUE"""),1.4)</f>
        <v>1.4</v>
      </c>
      <c r="T4242" s="4">
        <f>IFERROR(__xludf.DUMMYFUNCTION("""COMPUTED_VALUE"""),0.022)</f>
        <v>0.022</v>
      </c>
      <c r="U4242" s="4">
        <f>IFERROR(__xludf.DUMMYFUNCTION("""COMPUTED_VALUE"""),-5.6)</f>
        <v>-5.6</v>
      </c>
      <c r="V4242" s="4">
        <f>IFERROR(__xludf.DUMMYFUNCTION("""COMPUTED_VALUE"""),-2.9)</f>
        <v>-2.9</v>
      </c>
    </row>
    <row r="4243">
      <c r="A4243" s="4">
        <f>IFERROR(__xludf.DUMMYFUNCTION("""COMPUTED_VALUE"""),10.0)</f>
        <v>10</v>
      </c>
      <c r="B4243" s="4">
        <f>IFERROR(__xludf.DUMMYFUNCTION("""COMPUTED_VALUE"""),10.0)</f>
        <v>10</v>
      </c>
      <c r="C4243" s="4" t="str">
        <f>IFERROR(__xludf.DUMMYFUNCTION("""COMPUTED_VALUE"""),"DET")</f>
        <v>DET</v>
      </c>
      <c r="D4243" s="4" t="str">
        <f>IFERROR(__xludf.DUMMYFUNCTION("""COMPUTED_VALUE"""),"Roy Hamilton")</f>
        <v>Roy Hamilton</v>
      </c>
      <c r="E4243" s="4" t="str">
        <f>IFERROR(__xludf.DUMMYFUNCTION("""COMPUTED_VALUE"""),"UCLA")</f>
        <v>UCLA</v>
      </c>
      <c r="F4243" s="4">
        <f>IFERROR(__xludf.DUMMYFUNCTION("""COMPUTED_VALUE"""),2.0)</f>
        <v>2</v>
      </c>
      <c r="G4243" s="4">
        <f>IFERROR(__xludf.DUMMYFUNCTION("""COMPUTED_VALUE"""),73.0)</f>
        <v>73</v>
      </c>
      <c r="H4243" s="4">
        <f>IFERROR(__xludf.DUMMYFUNCTION("""COMPUTED_VALUE"""),1121.0)</f>
        <v>1121</v>
      </c>
      <c r="I4243" s="4">
        <f>IFERROR(__xludf.DUMMYFUNCTION("""COMPUTED_VALUE"""),336.0)</f>
        <v>336</v>
      </c>
      <c r="J4243" s="4">
        <f>IFERROR(__xludf.DUMMYFUNCTION("""COMPUTED_VALUE"""),110.0)</f>
        <v>110</v>
      </c>
      <c r="K4243" s="4">
        <f>IFERROR(__xludf.DUMMYFUNCTION("""COMPUTED_VALUE"""),192.0)</f>
        <v>192</v>
      </c>
      <c r="L4243" s="4">
        <f>IFERROR(__xludf.DUMMYFUNCTION("""COMPUTED_VALUE"""),0.4)</f>
        <v>0.4</v>
      </c>
      <c r="M4243" s="4">
        <f>IFERROR(__xludf.DUMMYFUNCTION("""COMPUTED_VALUE"""),0.0)</f>
        <v>0</v>
      </c>
      <c r="N4243" s="4">
        <f>IFERROR(__xludf.DUMMYFUNCTION("""COMPUTED_VALUE"""),0.684)</f>
        <v>0.684</v>
      </c>
      <c r="O4243" s="4">
        <f>IFERROR(__xludf.DUMMYFUNCTION("""COMPUTED_VALUE"""),15.4)</f>
        <v>15.4</v>
      </c>
      <c r="P4243" s="4">
        <f>IFERROR(__xludf.DUMMYFUNCTION("""COMPUTED_VALUE"""),4.6)</f>
        <v>4.6</v>
      </c>
      <c r="Q4243" s="4">
        <f>IFERROR(__xludf.DUMMYFUNCTION("""COMPUTED_VALUE"""),1.5)</f>
        <v>1.5</v>
      </c>
      <c r="R4243" s="4">
        <f>IFERROR(__xludf.DUMMYFUNCTION("""COMPUTED_VALUE"""),2.6)</f>
        <v>2.6</v>
      </c>
      <c r="S4243" s="4">
        <f>IFERROR(__xludf.DUMMYFUNCTION("""COMPUTED_VALUE"""),-0.4)</f>
        <v>-0.4</v>
      </c>
      <c r="T4243" s="4">
        <f>IFERROR(__xludf.DUMMYFUNCTION("""COMPUTED_VALUE"""),-0.017)</f>
        <v>-0.017</v>
      </c>
      <c r="U4243" s="4">
        <f>IFERROR(__xludf.DUMMYFUNCTION("""COMPUTED_VALUE"""),-4.3)</f>
        <v>-4.3</v>
      </c>
      <c r="V4243" s="4">
        <f>IFERROR(__xludf.DUMMYFUNCTION("""COMPUTED_VALUE"""),-0.7)</f>
        <v>-0.7</v>
      </c>
    </row>
    <row r="4244">
      <c r="A4244" s="4">
        <f>IFERROR(__xludf.DUMMYFUNCTION("""COMPUTED_VALUE"""),11.0)</f>
        <v>11</v>
      </c>
      <c r="B4244" s="4">
        <f>IFERROR(__xludf.DUMMYFUNCTION("""COMPUTED_VALUE"""),11.0)</f>
        <v>11</v>
      </c>
      <c r="C4244" s="4" t="str">
        <f>IFERROR(__xludf.DUMMYFUNCTION("""COMPUTED_VALUE"""),"NJN")</f>
        <v>NJN</v>
      </c>
      <c r="D4244" s="4" t="str">
        <f>IFERROR(__xludf.DUMMYFUNCTION("""COMPUTED_VALUE"""),"Cliff Robinson")</f>
        <v>Cliff Robinson</v>
      </c>
      <c r="E4244" s="4" t="str">
        <f>IFERROR(__xludf.DUMMYFUNCTION("""COMPUTED_VALUE"""),"USC")</f>
        <v>USC</v>
      </c>
      <c r="F4244" s="4">
        <f>IFERROR(__xludf.DUMMYFUNCTION("""COMPUTED_VALUE"""),11.0)</f>
        <v>11</v>
      </c>
      <c r="G4244" s="4">
        <f>IFERROR(__xludf.DUMMYFUNCTION("""COMPUTED_VALUE"""),629.0)</f>
        <v>629</v>
      </c>
      <c r="H4244" s="4">
        <f>IFERROR(__xludf.DUMMYFUNCTION("""COMPUTED_VALUE"""),19284.0)</f>
        <v>19284</v>
      </c>
      <c r="I4244" s="4">
        <f>IFERROR(__xludf.DUMMYFUNCTION("""COMPUTED_VALUE"""),10823.0)</f>
        <v>10823</v>
      </c>
      <c r="J4244" s="4">
        <f>IFERROR(__xludf.DUMMYFUNCTION("""COMPUTED_VALUE"""),5237.0)</f>
        <v>5237</v>
      </c>
      <c r="K4244" s="4">
        <f>IFERROR(__xludf.DUMMYFUNCTION("""COMPUTED_VALUE"""),1249.0)</f>
        <v>1249</v>
      </c>
      <c r="L4244" s="4">
        <f>IFERROR(__xludf.DUMMYFUNCTION("""COMPUTED_VALUE"""),0.468)</f>
        <v>0.468</v>
      </c>
      <c r="M4244" s="4">
        <f>IFERROR(__xludf.DUMMYFUNCTION("""COMPUTED_VALUE"""),0.184)</f>
        <v>0.184</v>
      </c>
      <c r="N4244" s="4">
        <f>IFERROR(__xludf.DUMMYFUNCTION("""COMPUTED_VALUE"""),0.722)</f>
        <v>0.722</v>
      </c>
      <c r="O4244" s="4">
        <f>IFERROR(__xludf.DUMMYFUNCTION("""COMPUTED_VALUE"""),30.7)</f>
        <v>30.7</v>
      </c>
      <c r="P4244" s="4">
        <f>IFERROR(__xludf.DUMMYFUNCTION("""COMPUTED_VALUE"""),17.2)</f>
        <v>17.2</v>
      </c>
      <c r="Q4244" s="4">
        <f>IFERROR(__xludf.DUMMYFUNCTION("""COMPUTED_VALUE"""),8.3)</f>
        <v>8.3</v>
      </c>
      <c r="R4244" s="4">
        <f>IFERROR(__xludf.DUMMYFUNCTION("""COMPUTED_VALUE"""),2.0)</f>
        <v>2</v>
      </c>
      <c r="S4244" s="4">
        <f>IFERROR(__xludf.DUMMYFUNCTION("""COMPUTED_VALUE"""),30.5)</f>
        <v>30.5</v>
      </c>
      <c r="T4244" s="4">
        <f>IFERROR(__xludf.DUMMYFUNCTION("""COMPUTED_VALUE"""),0.076)</f>
        <v>0.076</v>
      </c>
      <c r="U4244" s="4">
        <f>IFERROR(__xludf.DUMMYFUNCTION("""COMPUTED_VALUE"""),-0.6)</f>
        <v>-0.6</v>
      </c>
      <c r="V4244" s="4">
        <f>IFERROR(__xludf.DUMMYFUNCTION("""COMPUTED_VALUE"""),6.9)</f>
        <v>6.9</v>
      </c>
    </row>
    <row r="4245">
      <c r="A4245" s="4">
        <f>IFERROR(__xludf.DUMMYFUNCTION("""COMPUTED_VALUE"""),12.0)</f>
        <v>12</v>
      </c>
      <c r="B4245" s="4">
        <f>IFERROR(__xludf.DUMMYFUNCTION("""COMPUTED_VALUE"""),12.0)</f>
        <v>12</v>
      </c>
      <c r="C4245" s="4" t="str">
        <f>IFERROR(__xludf.DUMMYFUNCTION("""COMPUTED_VALUE"""),"POR")</f>
        <v>POR</v>
      </c>
      <c r="D4245" s="4" t="str">
        <f>IFERROR(__xludf.DUMMYFUNCTION("""COMPUTED_VALUE"""),"Jim Paxson")</f>
        <v>Jim Paxson</v>
      </c>
      <c r="E4245" s="4" t="str">
        <f>IFERROR(__xludf.DUMMYFUNCTION("""COMPUTED_VALUE"""),"Dayton")</f>
        <v>Dayton</v>
      </c>
      <c r="F4245" s="4">
        <f>IFERROR(__xludf.DUMMYFUNCTION("""COMPUTED_VALUE"""),11.0)</f>
        <v>11</v>
      </c>
      <c r="G4245" s="4">
        <f>IFERROR(__xludf.DUMMYFUNCTION("""COMPUTED_VALUE"""),784.0)</f>
        <v>784</v>
      </c>
      <c r="H4245" s="4">
        <f>IFERROR(__xludf.DUMMYFUNCTION("""COMPUTED_VALUE"""),21357.0)</f>
        <v>21357</v>
      </c>
      <c r="I4245" s="4">
        <f>IFERROR(__xludf.DUMMYFUNCTION("""COMPUTED_VALUE"""),11199.0)</f>
        <v>11199</v>
      </c>
      <c r="J4245" s="4">
        <f>IFERROR(__xludf.DUMMYFUNCTION("""COMPUTED_VALUE"""),1593.0)</f>
        <v>1593</v>
      </c>
      <c r="K4245" s="4">
        <f>IFERROR(__xludf.DUMMYFUNCTION("""COMPUTED_VALUE"""),2300.0)</f>
        <v>2300</v>
      </c>
      <c r="L4245" s="4">
        <f>IFERROR(__xludf.DUMMYFUNCTION("""COMPUTED_VALUE"""),0.498)</f>
        <v>0.498</v>
      </c>
      <c r="M4245" s="4">
        <f>IFERROR(__xludf.DUMMYFUNCTION("""COMPUTED_VALUE"""),0.225)</f>
        <v>0.225</v>
      </c>
      <c r="N4245" s="4">
        <f>IFERROR(__xludf.DUMMYFUNCTION("""COMPUTED_VALUE"""),0.807)</f>
        <v>0.807</v>
      </c>
      <c r="O4245" s="4">
        <f>IFERROR(__xludf.DUMMYFUNCTION("""COMPUTED_VALUE"""),27.2)</f>
        <v>27.2</v>
      </c>
      <c r="P4245" s="4">
        <f>IFERROR(__xludf.DUMMYFUNCTION("""COMPUTED_VALUE"""),14.3)</f>
        <v>14.3</v>
      </c>
      <c r="Q4245" s="4">
        <f>IFERROR(__xludf.DUMMYFUNCTION("""COMPUTED_VALUE"""),2.0)</f>
        <v>2</v>
      </c>
      <c r="R4245" s="4">
        <f>IFERROR(__xludf.DUMMYFUNCTION("""COMPUTED_VALUE"""),2.9)</f>
        <v>2.9</v>
      </c>
      <c r="S4245" s="4">
        <f>IFERROR(__xludf.DUMMYFUNCTION("""COMPUTED_VALUE"""),53.7)</f>
        <v>53.7</v>
      </c>
      <c r="T4245" s="4">
        <f>IFERROR(__xludf.DUMMYFUNCTION("""COMPUTED_VALUE"""),0.121)</f>
        <v>0.121</v>
      </c>
      <c r="U4245" s="4">
        <f>IFERROR(__xludf.DUMMYFUNCTION("""COMPUTED_VALUE"""),0.5)</f>
        <v>0.5</v>
      </c>
      <c r="V4245" s="4">
        <f>IFERROR(__xludf.DUMMYFUNCTION("""COMPUTED_VALUE"""),13.3)</f>
        <v>13.3</v>
      </c>
    </row>
    <row r="4246">
      <c r="A4246" s="4">
        <f>IFERROR(__xludf.DUMMYFUNCTION("""COMPUTED_VALUE"""),13.0)</f>
        <v>13</v>
      </c>
      <c r="B4246" s="4">
        <f>IFERROR(__xludf.DUMMYFUNCTION("""COMPUTED_VALUE"""),13.0)</f>
        <v>13</v>
      </c>
      <c r="C4246" s="4" t="str">
        <f>IFERROR(__xludf.DUMMYFUNCTION("""COMPUTED_VALUE"""),"IND")</f>
        <v>IND</v>
      </c>
      <c r="D4246" s="4" t="str">
        <f>IFERROR(__xludf.DUMMYFUNCTION("""COMPUTED_VALUE"""),"Dudley Bradley")</f>
        <v>Dudley Bradley</v>
      </c>
      <c r="E4246" s="4" t="str">
        <f>IFERROR(__xludf.DUMMYFUNCTION("""COMPUTED_VALUE"""),"UNC")</f>
        <v>UNC</v>
      </c>
      <c r="F4246" s="4">
        <f>IFERROR(__xludf.DUMMYFUNCTION("""COMPUTED_VALUE"""),9.0)</f>
        <v>9</v>
      </c>
      <c r="G4246" s="4">
        <f>IFERROR(__xludf.DUMMYFUNCTION("""COMPUTED_VALUE"""),600.0)</f>
        <v>600</v>
      </c>
      <c r="H4246" s="4">
        <f>IFERROR(__xludf.DUMMYFUNCTION("""COMPUTED_VALUE"""),10192.0)</f>
        <v>10192</v>
      </c>
      <c r="I4246" s="4">
        <f>IFERROR(__xludf.DUMMYFUNCTION("""COMPUTED_VALUE"""),3131.0)</f>
        <v>3131</v>
      </c>
      <c r="J4246" s="4">
        <f>IFERROR(__xludf.DUMMYFUNCTION("""COMPUTED_VALUE"""),1098.0)</f>
        <v>1098</v>
      </c>
      <c r="K4246" s="4">
        <f>IFERROR(__xludf.DUMMYFUNCTION("""COMPUTED_VALUE"""),1147.0)</f>
        <v>1147</v>
      </c>
      <c r="L4246" s="4">
        <f>IFERROR(__xludf.DUMMYFUNCTION("""COMPUTED_VALUE"""),0.44)</f>
        <v>0.44</v>
      </c>
      <c r="M4246" s="4">
        <f>IFERROR(__xludf.DUMMYFUNCTION("""COMPUTED_VALUE"""),0.293)</f>
        <v>0.293</v>
      </c>
      <c r="N4246" s="4">
        <f>IFERROR(__xludf.DUMMYFUNCTION("""COMPUTED_VALUE"""),0.73)</f>
        <v>0.73</v>
      </c>
      <c r="O4246" s="4">
        <f>IFERROR(__xludf.DUMMYFUNCTION("""COMPUTED_VALUE"""),17.0)</f>
        <v>17</v>
      </c>
      <c r="P4246" s="4">
        <f>IFERROR(__xludf.DUMMYFUNCTION("""COMPUTED_VALUE"""),5.2)</f>
        <v>5.2</v>
      </c>
      <c r="Q4246" s="4">
        <f>IFERROR(__xludf.DUMMYFUNCTION("""COMPUTED_VALUE"""),1.8)</f>
        <v>1.8</v>
      </c>
      <c r="R4246" s="4">
        <f>IFERROR(__xludf.DUMMYFUNCTION("""COMPUTED_VALUE"""),1.9)</f>
        <v>1.9</v>
      </c>
      <c r="S4246" s="4">
        <f>IFERROR(__xludf.DUMMYFUNCTION("""COMPUTED_VALUE"""),16.5)</f>
        <v>16.5</v>
      </c>
      <c r="T4246" s="4">
        <f>IFERROR(__xludf.DUMMYFUNCTION("""COMPUTED_VALUE"""),0.078)</f>
        <v>0.078</v>
      </c>
      <c r="U4246" s="4">
        <f>IFERROR(__xludf.DUMMYFUNCTION("""COMPUTED_VALUE"""),0.7)</f>
        <v>0.7</v>
      </c>
      <c r="V4246" s="4">
        <f>IFERROR(__xludf.DUMMYFUNCTION("""COMPUTED_VALUE"""),7.0)</f>
        <v>7</v>
      </c>
    </row>
    <row r="4247">
      <c r="A4247" s="4">
        <f>IFERROR(__xludf.DUMMYFUNCTION("""COMPUTED_VALUE"""),14.0)</f>
        <v>14</v>
      </c>
      <c r="B4247" s="4">
        <f>IFERROR(__xludf.DUMMYFUNCTION("""COMPUTED_VALUE"""),14.0)</f>
        <v>14</v>
      </c>
      <c r="C4247" s="4" t="str">
        <f>IFERROR(__xludf.DUMMYFUNCTION("""COMPUTED_VALUE"""),"LAL")</f>
        <v>LAL</v>
      </c>
      <c r="D4247" s="4" t="str">
        <f>IFERROR(__xludf.DUMMYFUNCTION("""COMPUTED_VALUE"""),"Brad Holland")</f>
        <v>Brad Holland</v>
      </c>
      <c r="E4247" s="4" t="str">
        <f>IFERROR(__xludf.DUMMYFUNCTION("""COMPUTED_VALUE"""),"UCLA")</f>
        <v>UCLA</v>
      </c>
      <c r="F4247" s="4">
        <f>IFERROR(__xludf.DUMMYFUNCTION("""COMPUTED_VALUE"""),3.0)</f>
        <v>3</v>
      </c>
      <c r="G4247" s="4">
        <f>IFERROR(__xludf.DUMMYFUNCTION("""COMPUTED_VALUE"""),93.0)</f>
        <v>93</v>
      </c>
      <c r="H4247" s="4">
        <f>IFERROR(__xludf.DUMMYFUNCTION("""COMPUTED_VALUE"""),686.0)</f>
        <v>686</v>
      </c>
      <c r="I4247" s="4">
        <f>IFERROR(__xludf.DUMMYFUNCTION("""COMPUTED_VALUE"""),293.0)</f>
        <v>293</v>
      </c>
      <c r="J4247" s="4">
        <f>IFERROR(__xludf.DUMMYFUNCTION("""COMPUTED_VALUE"""),59.0)</f>
        <v>59</v>
      </c>
      <c r="K4247" s="4">
        <f>IFERROR(__xludf.DUMMYFUNCTION("""COMPUTED_VALUE"""),63.0)</f>
        <v>63</v>
      </c>
      <c r="L4247" s="4">
        <f>IFERROR(__xludf.DUMMYFUNCTION("""COMPUTED_VALUE"""),0.403)</f>
        <v>0.403</v>
      </c>
      <c r="M4247" s="4">
        <f>IFERROR(__xludf.DUMMYFUNCTION("""COMPUTED_VALUE"""),0.19)</f>
        <v>0.19</v>
      </c>
      <c r="N4247" s="4">
        <f>IFERROR(__xludf.DUMMYFUNCTION("""COMPUTED_VALUE"""),0.746)</f>
        <v>0.746</v>
      </c>
      <c r="O4247" s="4">
        <f>IFERROR(__xludf.DUMMYFUNCTION("""COMPUTED_VALUE"""),7.4)</f>
        <v>7.4</v>
      </c>
      <c r="P4247" s="4">
        <f>IFERROR(__xludf.DUMMYFUNCTION("""COMPUTED_VALUE"""),3.2)</f>
        <v>3.2</v>
      </c>
      <c r="Q4247" s="4">
        <f>IFERROR(__xludf.DUMMYFUNCTION("""COMPUTED_VALUE"""),0.6)</f>
        <v>0.6</v>
      </c>
      <c r="R4247" s="4">
        <f>IFERROR(__xludf.DUMMYFUNCTION("""COMPUTED_VALUE"""),0.7)</f>
        <v>0.7</v>
      </c>
      <c r="S4247" s="4">
        <f>IFERROR(__xludf.DUMMYFUNCTION("""COMPUTED_VALUE"""),0.4)</f>
        <v>0.4</v>
      </c>
      <c r="T4247" s="4">
        <f>IFERROR(__xludf.DUMMYFUNCTION("""COMPUTED_VALUE"""),0.026)</f>
        <v>0.026</v>
      </c>
      <c r="U4247" s="4">
        <f>IFERROR(__xludf.DUMMYFUNCTION("""COMPUTED_VALUE"""),-3.5)</f>
        <v>-3.5</v>
      </c>
      <c r="V4247" s="4">
        <f>IFERROR(__xludf.DUMMYFUNCTION("""COMPUTED_VALUE"""),-0.3)</f>
        <v>-0.3</v>
      </c>
    </row>
    <row r="4248">
      <c r="A4248" s="4">
        <f>IFERROR(__xludf.DUMMYFUNCTION("""COMPUTED_VALUE"""),15.0)</f>
        <v>15</v>
      </c>
      <c r="B4248" s="4">
        <f>IFERROR(__xludf.DUMMYFUNCTION("""COMPUTED_VALUE"""),15.0)</f>
        <v>15</v>
      </c>
      <c r="C4248" s="4" t="str">
        <f>IFERROR(__xludf.DUMMYFUNCTION("""COMPUTED_VALUE"""),"DET")</f>
        <v>DET</v>
      </c>
      <c r="D4248" s="4" t="str">
        <f>IFERROR(__xludf.DUMMYFUNCTION("""COMPUTED_VALUE"""),"Phil Hubbard")</f>
        <v>Phil Hubbard</v>
      </c>
      <c r="E4248" s="4" t="str">
        <f>IFERROR(__xludf.DUMMYFUNCTION("""COMPUTED_VALUE"""),"Michigan")</f>
        <v>Michigan</v>
      </c>
      <c r="F4248" s="4">
        <f>IFERROR(__xludf.DUMMYFUNCTION("""COMPUTED_VALUE"""),10.0)</f>
        <v>10</v>
      </c>
      <c r="G4248" s="4">
        <f>IFERROR(__xludf.DUMMYFUNCTION("""COMPUTED_VALUE"""),665.0)</f>
        <v>665</v>
      </c>
      <c r="H4248" s="4">
        <f>IFERROR(__xludf.DUMMYFUNCTION("""COMPUTED_VALUE"""),15863.0)</f>
        <v>15863</v>
      </c>
      <c r="I4248" s="4">
        <f>IFERROR(__xludf.DUMMYFUNCTION("""COMPUTED_VALUE"""),7228.0)</f>
        <v>7228</v>
      </c>
      <c r="J4248" s="4">
        <f>IFERROR(__xludf.DUMMYFUNCTION("""COMPUTED_VALUE"""),3538.0)</f>
        <v>3538</v>
      </c>
      <c r="K4248" s="4">
        <f>IFERROR(__xludf.DUMMYFUNCTION("""COMPUTED_VALUE"""),857.0)</f>
        <v>857</v>
      </c>
      <c r="L4248" s="4">
        <f>IFERROR(__xludf.DUMMYFUNCTION("""COMPUTED_VALUE"""),0.495)</f>
        <v>0.495</v>
      </c>
      <c r="M4248" s="4">
        <f>IFERROR(__xludf.DUMMYFUNCTION("""COMPUTED_VALUE"""),0.038)</f>
        <v>0.038</v>
      </c>
      <c r="N4248" s="4">
        <f>IFERROR(__xludf.DUMMYFUNCTION("""COMPUTED_VALUE"""),0.706)</f>
        <v>0.706</v>
      </c>
      <c r="O4248" s="4">
        <f>IFERROR(__xludf.DUMMYFUNCTION("""COMPUTED_VALUE"""),23.9)</f>
        <v>23.9</v>
      </c>
      <c r="P4248" s="4">
        <f>IFERROR(__xludf.DUMMYFUNCTION("""COMPUTED_VALUE"""),10.9)</f>
        <v>10.9</v>
      </c>
      <c r="Q4248" s="4">
        <f>IFERROR(__xludf.DUMMYFUNCTION("""COMPUTED_VALUE"""),5.3)</f>
        <v>5.3</v>
      </c>
      <c r="R4248" s="4">
        <f>IFERROR(__xludf.DUMMYFUNCTION("""COMPUTED_VALUE"""),1.3)</f>
        <v>1.3</v>
      </c>
      <c r="S4248" s="4">
        <f>IFERROR(__xludf.DUMMYFUNCTION("""COMPUTED_VALUE"""),29.0)</f>
        <v>29</v>
      </c>
      <c r="T4248" s="4">
        <f>IFERROR(__xludf.DUMMYFUNCTION("""COMPUTED_VALUE"""),0.088)</f>
        <v>0.088</v>
      </c>
      <c r="U4248" s="4">
        <f>IFERROR(__xludf.DUMMYFUNCTION("""COMPUTED_VALUE"""),-1.7)</f>
        <v>-1.7</v>
      </c>
      <c r="V4248" s="4">
        <f>IFERROR(__xludf.DUMMYFUNCTION("""COMPUTED_VALUE"""),1.4)</f>
        <v>1.4</v>
      </c>
    </row>
    <row r="4249">
      <c r="A4249" s="4">
        <f>IFERROR(__xludf.DUMMYFUNCTION("""COMPUTED_VALUE"""),16.0)</f>
        <v>16</v>
      </c>
      <c r="B4249" s="4">
        <f>IFERROR(__xludf.DUMMYFUNCTION("""COMPUTED_VALUE"""),16.0)</f>
        <v>16</v>
      </c>
      <c r="C4249" s="4" t="str">
        <f>IFERROR(__xludf.DUMMYFUNCTION("""COMPUTED_VALUE"""),"PHI")</f>
        <v>PHI</v>
      </c>
      <c r="D4249" s="4" t="str">
        <f>IFERROR(__xludf.DUMMYFUNCTION("""COMPUTED_VALUE"""),"Jim Spanarkel")</f>
        <v>Jim Spanarkel</v>
      </c>
      <c r="E4249" s="4" t="str">
        <f>IFERROR(__xludf.DUMMYFUNCTION("""COMPUTED_VALUE"""),"Duke")</f>
        <v>Duke</v>
      </c>
      <c r="F4249" s="4">
        <f>IFERROR(__xludf.DUMMYFUNCTION("""COMPUTED_VALUE"""),5.0)</f>
        <v>5</v>
      </c>
      <c r="G4249" s="4">
        <f>IFERROR(__xludf.DUMMYFUNCTION("""COMPUTED_VALUE"""),259.0)</f>
        <v>259</v>
      </c>
      <c r="H4249" s="4">
        <f>IFERROR(__xludf.DUMMYFUNCTION("""COMPUTED_VALUE"""),5290.0)</f>
        <v>5290</v>
      </c>
      <c r="I4249" s="4">
        <f>IFERROR(__xludf.DUMMYFUNCTION("""COMPUTED_VALUE"""),2505.0)</f>
        <v>2505</v>
      </c>
      <c r="J4249" s="4">
        <f>IFERROR(__xludf.DUMMYFUNCTION("""COMPUTED_VALUE"""),652.0)</f>
        <v>652</v>
      </c>
      <c r="K4249" s="4">
        <f>IFERROR(__xludf.DUMMYFUNCTION("""COMPUTED_VALUE"""),572.0)</f>
        <v>572</v>
      </c>
      <c r="L4249" s="4">
        <f>IFERROR(__xludf.DUMMYFUNCTION("""COMPUTED_VALUE"""),0.47)</f>
        <v>0.47</v>
      </c>
      <c r="M4249" s="4">
        <f>IFERROR(__xludf.DUMMYFUNCTION("""COMPUTED_VALUE"""),0.25)</f>
        <v>0.25</v>
      </c>
      <c r="N4249" s="4">
        <f>IFERROR(__xludf.DUMMYFUNCTION("""COMPUTED_VALUE"""),0.855)</f>
        <v>0.855</v>
      </c>
      <c r="O4249" s="4">
        <f>IFERROR(__xludf.DUMMYFUNCTION("""COMPUTED_VALUE"""),20.4)</f>
        <v>20.4</v>
      </c>
      <c r="P4249" s="4">
        <f>IFERROR(__xludf.DUMMYFUNCTION("""COMPUTED_VALUE"""),9.7)</f>
        <v>9.7</v>
      </c>
      <c r="Q4249" s="4">
        <f>IFERROR(__xludf.DUMMYFUNCTION("""COMPUTED_VALUE"""),2.5)</f>
        <v>2.5</v>
      </c>
      <c r="R4249" s="4">
        <f>IFERROR(__xludf.DUMMYFUNCTION("""COMPUTED_VALUE"""),2.2)</f>
        <v>2.2</v>
      </c>
      <c r="S4249" s="4">
        <f>IFERROR(__xludf.DUMMYFUNCTION("""COMPUTED_VALUE"""),12.3)</f>
        <v>12.3</v>
      </c>
      <c r="T4249" s="4">
        <f>IFERROR(__xludf.DUMMYFUNCTION("""COMPUTED_VALUE"""),0.112)</f>
        <v>0.112</v>
      </c>
      <c r="U4249" s="4">
        <f>IFERROR(__xludf.DUMMYFUNCTION("""COMPUTED_VALUE"""),0.7)</f>
        <v>0.7</v>
      </c>
      <c r="V4249" s="4">
        <f>IFERROR(__xludf.DUMMYFUNCTION("""COMPUTED_VALUE"""),3.7)</f>
        <v>3.7</v>
      </c>
    </row>
    <row r="4250">
      <c r="A4250" s="4">
        <f>IFERROR(__xludf.DUMMYFUNCTION("""COMPUTED_VALUE"""),17.0)</f>
        <v>17</v>
      </c>
      <c r="B4250" s="4">
        <f>IFERROR(__xludf.DUMMYFUNCTION("""COMPUTED_VALUE"""),17.0)</f>
        <v>17</v>
      </c>
      <c r="C4250" s="4" t="str">
        <f>IFERROR(__xludf.DUMMYFUNCTION("""COMPUTED_VALUE"""),"HOU")</f>
        <v>HOU</v>
      </c>
      <c r="D4250" s="4" t="str">
        <f>IFERROR(__xludf.DUMMYFUNCTION("""COMPUTED_VALUE"""),"Lee Johnson")</f>
        <v>Lee Johnson</v>
      </c>
      <c r="E4250" s="4"/>
      <c r="F4250" s="4">
        <f>IFERROR(__xludf.DUMMYFUNCTION("""COMPUTED_VALUE"""),1.0)</f>
        <v>1</v>
      </c>
      <c r="G4250" s="4">
        <f>IFERROR(__xludf.DUMMYFUNCTION("""COMPUTED_VALUE"""),12.0)</f>
        <v>12</v>
      </c>
      <c r="H4250" s="4">
        <f>IFERROR(__xludf.DUMMYFUNCTION("""COMPUTED_VALUE"""),90.0)</f>
        <v>90</v>
      </c>
      <c r="I4250" s="4">
        <f>IFERROR(__xludf.DUMMYFUNCTION("""COMPUTED_VALUE"""),17.0)</f>
        <v>17</v>
      </c>
      <c r="J4250" s="4">
        <f>IFERROR(__xludf.DUMMYFUNCTION("""COMPUTED_VALUE"""),22.0)</f>
        <v>22</v>
      </c>
      <c r="K4250" s="4">
        <f>IFERROR(__xludf.DUMMYFUNCTION("""COMPUTED_VALUE"""),1.0)</f>
        <v>1</v>
      </c>
      <c r="L4250" s="4">
        <f>IFERROR(__xludf.DUMMYFUNCTION("""COMPUTED_VALUE"""),0.28)</f>
        <v>0.28</v>
      </c>
      <c r="M4250" s="4"/>
      <c r="N4250" s="4">
        <f>IFERROR(__xludf.DUMMYFUNCTION("""COMPUTED_VALUE"""),0.6)</f>
        <v>0.6</v>
      </c>
      <c r="O4250" s="4">
        <f>IFERROR(__xludf.DUMMYFUNCTION("""COMPUTED_VALUE"""),7.5)</f>
        <v>7.5</v>
      </c>
      <c r="P4250" s="4">
        <f>IFERROR(__xludf.DUMMYFUNCTION("""COMPUTED_VALUE"""),1.4)</f>
        <v>1.4</v>
      </c>
      <c r="Q4250" s="4">
        <f>IFERROR(__xludf.DUMMYFUNCTION("""COMPUTED_VALUE"""),1.8)</f>
        <v>1.8</v>
      </c>
      <c r="R4250" s="4">
        <f>IFERROR(__xludf.DUMMYFUNCTION("""COMPUTED_VALUE"""),0.1)</f>
        <v>0.1</v>
      </c>
      <c r="S4250" s="4">
        <f>IFERROR(__xludf.DUMMYFUNCTION("""COMPUTED_VALUE"""),-0.2)</f>
        <v>-0.2</v>
      </c>
      <c r="T4250" s="4">
        <f>IFERROR(__xludf.DUMMYFUNCTION("""COMPUTED_VALUE"""),-0.095)</f>
        <v>-0.095</v>
      </c>
      <c r="U4250" s="4">
        <f>IFERROR(__xludf.DUMMYFUNCTION("""COMPUTED_VALUE"""),-6.4)</f>
        <v>-6.4</v>
      </c>
      <c r="V4250" s="4">
        <f>IFERROR(__xludf.DUMMYFUNCTION("""COMPUTED_VALUE"""),-0.2)</f>
        <v>-0.2</v>
      </c>
    </row>
    <row r="4251">
      <c r="A4251" s="4">
        <f>IFERROR(__xludf.DUMMYFUNCTION("""COMPUTED_VALUE"""),18.0)</f>
        <v>18</v>
      </c>
      <c r="B4251" s="4">
        <f>IFERROR(__xludf.DUMMYFUNCTION("""COMPUTED_VALUE"""),18.0)</f>
        <v>18</v>
      </c>
      <c r="C4251" s="4" t="str">
        <f>IFERROR(__xludf.DUMMYFUNCTION("""COMPUTED_VALUE"""),"KCK")</f>
        <v>KCK</v>
      </c>
      <c r="D4251" s="4" t="str">
        <f>IFERROR(__xludf.DUMMYFUNCTION("""COMPUTED_VALUE"""),"Reggie King")</f>
        <v>Reggie King</v>
      </c>
      <c r="E4251" s="4" t="str">
        <f>IFERROR(__xludf.DUMMYFUNCTION("""COMPUTED_VALUE"""),"Alabama")</f>
        <v>Alabama</v>
      </c>
      <c r="F4251" s="4">
        <f>IFERROR(__xludf.DUMMYFUNCTION("""COMPUTED_VALUE"""),6.0)</f>
        <v>6</v>
      </c>
      <c r="G4251" s="4">
        <f>IFERROR(__xludf.DUMMYFUNCTION("""COMPUTED_VALUE"""),438.0)</f>
        <v>438</v>
      </c>
      <c r="H4251" s="4">
        <f>IFERROR(__xludf.DUMMYFUNCTION("""COMPUTED_VALUE"""),11345.0)</f>
        <v>11345</v>
      </c>
      <c r="I4251" s="4">
        <f>IFERROR(__xludf.DUMMYFUNCTION("""COMPUTED_VALUE"""),3898.0)</f>
        <v>3898</v>
      </c>
      <c r="J4251" s="4">
        <f>IFERROR(__xludf.DUMMYFUNCTION("""COMPUTED_VALUE"""),2707.0)</f>
        <v>2707</v>
      </c>
      <c r="K4251" s="4">
        <f>IFERROR(__xludf.DUMMYFUNCTION("""COMPUTED_VALUE"""),691.0)</f>
        <v>691</v>
      </c>
      <c r="L4251" s="4">
        <f>IFERROR(__xludf.DUMMYFUNCTION("""COMPUTED_VALUE"""),0.514)</f>
        <v>0.514</v>
      </c>
      <c r="M4251" s="4">
        <f>IFERROR(__xludf.DUMMYFUNCTION("""COMPUTED_VALUE"""),0.0)</f>
        <v>0</v>
      </c>
      <c r="N4251" s="4">
        <f>IFERROR(__xludf.DUMMYFUNCTION("""COMPUTED_VALUE"""),0.699)</f>
        <v>0.699</v>
      </c>
      <c r="O4251" s="4">
        <f>IFERROR(__xludf.DUMMYFUNCTION("""COMPUTED_VALUE"""),25.9)</f>
        <v>25.9</v>
      </c>
      <c r="P4251" s="4">
        <f>IFERROR(__xludf.DUMMYFUNCTION("""COMPUTED_VALUE"""),8.9)</f>
        <v>8.9</v>
      </c>
      <c r="Q4251" s="4">
        <f>IFERROR(__xludf.DUMMYFUNCTION("""COMPUTED_VALUE"""),6.2)</f>
        <v>6.2</v>
      </c>
      <c r="R4251" s="4">
        <f>IFERROR(__xludf.DUMMYFUNCTION("""COMPUTED_VALUE"""),1.6)</f>
        <v>1.6</v>
      </c>
      <c r="S4251" s="4">
        <f>IFERROR(__xludf.DUMMYFUNCTION("""COMPUTED_VALUE"""),24.8)</f>
        <v>24.8</v>
      </c>
      <c r="T4251" s="4">
        <f>IFERROR(__xludf.DUMMYFUNCTION("""COMPUTED_VALUE"""),0.105)</f>
        <v>0.105</v>
      </c>
      <c r="U4251" s="4">
        <f>IFERROR(__xludf.DUMMYFUNCTION("""COMPUTED_VALUE"""),-0.4)</f>
        <v>-0.4</v>
      </c>
      <c r="V4251" s="4">
        <f>IFERROR(__xludf.DUMMYFUNCTION("""COMPUTED_VALUE"""),4.6)</f>
        <v>4.6</v>
      </c>
    </row>
    <row r="4252">
      <c r="A4252" s="4">
        <f>IFERROR(__xludf.DUMMYFUNCTION("""COMPUTED_VALUE"""),19.0)</f>
        <v>19</v>
      </c>
      <c r="B4252" s="4">
        <f>IFERROR(__xludf.DUMMYFUNCTION("""COMPUTED_VALUE"""),19.0)</f>
        <v>19</v>
      </c>
      <c r="C4252" s="4" t="str">
        <f>IFERROR(__xludf.DUMMYFUNCTION("""COMPUTED_VALUE"""),"SAS")</f>
        <v>SAS</v>
      </c>
      <c r="D4252" s="4" t="str">
        <f>IFERROR(__xludf.DUMMYFUNCTION("""COMPUTED_VALUE"""),"Wiley Peck")</f>
        <v>Wiley Peck</v>
      </c>
      <c r="E4252" s="4" t="str">
        <f>IFERROR(__xludf.DUMMYFUNCTION("""COMPUTED_VALUE"""),"Mississippi State")</f>
        <v>Mississippi State</v>
      </c>
      <c r="F4252" s="4">
        <f>IFERROR(__xludf.DUMMYFUNCTION("""COMPUTED_VALUE"""),1.0)</f>
        <v>1</v>
      </c>
      <c r="G4252" s="4">
        <f>IFERROR(__xludf.DUMMYFUNCTION("""COMPUTED_VALUE"""),52.0)</f>
        <v>52</v>
      </c>
      <c r="H4252" s="4">
        <f>IFERROR(__xludf.DUMMYFUNCTION("""COMPUTED_VALUE"""),628.0)</f>
        <v>628</v>
      </c>
      <c r="I4252" s="4">
        <f>IFERROR(__xludf.DUMMYFUNCTION("""COMPUTED_VALUE"""),180.0)</f>
        <v>180</v>
      </c>
      <c r="J4252" s="4">
        <f>IFERROR(__xludf.DUMMYFUNCTION("""COMPUTED_VALUE"""),183.0)</f>
        <v>183</v>
      </c>
      <c r="K4252" s="4">
        <f>IFERROR(__xludf.DUMMYFUNCTION("""COMPUTED_VALUE"""),33.0)</f>
        <v>33</v>
      </c>
      <c r="L4252" s="4">
        <f>IFERROR(__xludf.DUMMYFUNCTION("""COMPUTED_VALUE"""),0.432)</f>
        <v>0.432</v>
      </c>
      <c r="M4252" s="4">
        <f>IFERROR(__xludf.DUMMYFUNCTION("""COMPUTED_VALUE"""),0.0)</f>
        <v>0</v>
      </c>
      <c r="N4252" s="4">
        <f>IFERROR(__xludf.DUMMYFUNCTION("""COMPUTED_VALUE"""),0.618)</f>
        <v>0.618</v>
      </c>
      <c r="O4252" s="4">
        <f>IFERROR(__xludf.DUMMYFUNCTION("""COMPUTED_VALUE"""),12.1)</f>
        <v>12.1</v>
      </c>
      <c r="P4252" s="4">
        <f>IFERROR(__xludf.DUMMYFUNCTION("""COMPUTED_VALUE"""),3.5)</f>
        <v>3.5</v>
      </c>
      <c r="Q4252" s="4">
        <f>IFERROR(__xludf.DUMMYFUNCTION("""COMPUTED_VALUE"""),3.5)</f>
        <v>3.5</v>
      </c>
      <c r="R4252" s="4">
        <f>IFERROR(__xludf.DUMMYFUNCTION("""COMPUTED_VALUE"""),0.6)</f>
        <v>0.6</v>
      </c>
      <c r="S4252" s="4">
        <f>IFERROR(__xludf.DUMMYFUNCTION("""COMPUTED_VALUE"""),0.3)</f>
        <v>0.3</v>
      </c>
      <c r="T4252" s="4">
        <f>IFERROR(__xludf.DUMMYFUNCTION("""COMPUTED_VALUE"""),0.023)</f>
        <v>0.023</v>
      </c>
      <c r="U4252" s="4">
        <f>IFERROR(__xludf.DUMMYFUNCTION("""COMPUTED_VALUE"""),-4.2)</f>
        <v>-4.2</v>
      </c>
      <c r="V4252" s="4">
        <f>IFERROR(__xludf.DUMMYFUNCTION("""COMPUTED_VALUE"""),-0.4)</f>
        <v>-0.4</v>
      </c>
    </row>
    <row r="4253">
      <c r="A4253" s="4">
        <f>IFERROR(__xludf.DUMMYFUNCTION("""COMPUTED_VALUE"""),20.0)</f>
        <v>20</v>
      </c>
      <c r="B4253" s="4">
        <f>IFERROR(__xludf.DUMMYFUNCTION("""COMPUTED_VALUE"""),20.0)</f>
        <v>20</v>
      </c>
      <c r="C4253" s="4" t="str">
        <f>IFERROR(__xludf.DUMMYFUNCTION("""COMPUTED_VALUE"""),"UTA")</f>
        <v>UTA</v>
      </c>
      <c r="D4253" s="4" t="str">
        <f>IFERROR(__xludf.DUMMYFUNCTION("""COMPUTED_VALUE"""),"Larry Knight")</f>
        <v>Larry Knight</v>
      </c>
      <c r="E4253" s="4" t="str">
        <f>IFERROR(__xludf.DUMMYFUNCTION("""COMPUTED_VALUE"""),"Loyola Chicago")</f>
        <v>Loyola Chicago</v>
      </c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</row>
    <row r="4254">
      <c r="A4254" s="4">
        <f>IFERROR(__xludf.DUMMYFUNCTION("""COMPUTED_VALUE"""),21.0)</f>
        <v>21</v>
      </c>
      <c r="B4254" s="4">
        <f>IFERROR(__xludf.DUMMYFUNCTION("""COMPUTED_VALUE"""),21.0)</f>
        <v>21</v>
      </c>
      <c r="C4254" s="4" t="str">
        <f>IFERROR(__xludf.DUMMYFUNCTION("""COMPUTED_VALUE"""),"NYK")</f>
        <v>NYK</v>
      </c>
      <c r="D4254" s="4" t="str">
        <f>IFERROR(__xludf.DUMMYFUNCTION("""COMPUTED_VALUE"""),"Sly Williams")</f>
        <v>Sly Williams</v>
      </c>
      <c r="E4254" s="4" t="str">
        <f>IFERROR(__xludf.DUMMYFUNCTION("""COMPUTED_VALUE"""),"Rhode Island")</f>
        <v>Rhode Island</v>
      </c>
      <c r="F4254" s="4">
        <f>IFERROR(__xludf.DUMMYFUNCTION("""COMPUTED_VALUE"""),7.0)</f>
        <v>7</v>
      </c>
      <c r="G4254" s="4">
        <f>IFERROR(__xludf.DUMMYFUNCTION("""COMPUTED_VALUE"""),305.0)</f>
        <v>305</v>
      </c>
      <c r="H4254" s="4">
        <f>IFERROR(__xludf.DUMMYFUNCTION("""COMPUTED_VALUE"""),6617.0)</f>
        <v>6617</v>
      </c>
      <c r="I4254" s="4">
        <f>IFERROR(__xludf.DUMMYFUNCTION("""COMPUTED_VALUE"""),3327.0)</f>
        <v>3327</v>
      </c>
      <c r="J4254" s="4">
        <f>IFERROR(__xludf.DUMMYFUNCTION("""COMPUTED_VALUE"""),1287.0)</f>
        <v>1287</v>
      </c>
      <c r="K4254" s="4">
        <f>IFERROR(__xludf.DUMMYFUNCTION("""COMPUTED_VALUE"""),603.0)</f>
        <v>603</v>
      </c>
      <c r="L4254" s="4">
        <f>IFERROR(__xludf.DUMMYFUNCTION("""COMPUTED_VALUE"""),0.478)</f>
        <v>0.478</v>
      </c>
      <c r="M4254" s="4">
        <f>IFERROR(__xludf.DUMMYFUNCTION("""COMPUTED_VALUE"""),0.162)</f>
        <v>0.162</v>
      </c>
      <c r="N4254" s="4">
        <f>IFERROR(__xludf.DUMMYFUNCTION("""COMPUTED_VALUE"""),0.692)</f>
        <v>0.692</v>
      </c>
      <c r="O4254" s="4">
        <f>IFERROR(__xludf.DUMMYFUNCTION("""COMPUTED_VALUE"""),21.7)</f>
        <v>21.7</v>
      </c>
      <c r="P4254" s="4">
        <f>IFERROR(__xludf.DUMMYFUNCTION("""COMPUTED_VALUE"""),10.9)</f>
        <v>10.9</v>
      </c>
      <c r="Q4254" s="4">
        <f>IFERROR(__xludf.DUMMYFUNCTION("""COMPUTED_VALUE"""),4.2)</f>
        <v>4.2</v>
      </c>
      <c r="R4254" s="4">
        <f>IFERROR(__xludf.DUMMYFUNCTION("""COMPUTED_VALUE"""),2.0)</f>
        <v>2</v>
      </c>
      <c r="S4254" s="4">
        <f>IFERROR(__xludf.DUMMYFUNCTION("""COMPUTED_VALUE"""),13.4)</f>
        <v>13.4</v>
      </c>
      <c r="T4254" s="4">
        <f>IFERROR(__xludf.DUMMYFUNCTION("""COMPUTED_VALUE"""),0.097)</f>
        <v>0.097</v>
      </c>
      <c r="U4254" s="4">
        <f>IFERROR(__xludf.DUMMYFUNCTION("""COMPUTED_VALUE"""),0.6)</f>
        <v>0.6</v>
      </c>
      <c r="V4254" s="4">
        <f>IFERROR(__xludf.DUMMYFUNCTION("""COMPUTED_VALUE"""),4.2)</f>
        <v>4.2</v>
      </c>
    </row>
    <row r="4255">
      <c r="A4255" s="4">
        <f>IFERROR(__xludf.DUMMYFUNCTION("""COMPUTED_VALUE"""),22.0)</f>
        <v>22</v>
      </c>
      <c r="B4255" s="4">
        <f>IFERROR(__xludf.DUMMYFUNCTION("""COMPUTED_VALUE"""),22.0)</f>
        <v>22</v>
      </c>
      <c r="C4255" s="4" t="str">
        <f>IFERROR(__xludf.DUMMYFUNCTION("""COMPUTED_VALUE"""),"PHO")</f>
        <v>PHO</v>
      </c>
      <c r="D4255" s="4" t="str">
        <f>IFERROR(__xludf.DUMMYFUNCTION("""COMPUTED_VALUE"""),"Kyle Macy")</f>
        <v>Kyle Macy</v>
      </c>
      <c r="E4255" s="4" t="str">
        <f>IFERROR(__xludf.DUMMYFUNCTION("""COMPUTED_VALUE"""),"Kentucky")</f>
        <v>Kentucky</v>
      </c>
      <c r="F4255" s="4">
        <f>IFERROR(__xludf.DUMMYFUNCTION("""COMPUTED_VALUE"""),7.0)</f>
        <v>7</v>
      </c>
      <c r="G4255" s="4">
        <f>IFERROR(__xludf.DUMMYFUNCTION("""COMPUTED_VALUE"""),551.0)</f>
        <v>551</v>
      </c>
      <c r="H4255" s="4">
        <f>IFERROR(__xludf.DUMMYFUNCTION("""COMPUTED_VALUE"""),14246.0)</f>
        <v>14246</v>
      </c>
      <c r="I4255" s="4">
        <f>IFERROR(__xludf.DUMMYFUNCTION("""COMPUTED_VALUE"""),5259.0)</f>
        <v>5259</v>
      </c>
      <c r="J4255" s="4">
        <f>IFERROR(__xludf.DUMMYFUNCTION("""COMPUTED_VALUE"""),1214.0)</f>
        <v>1214</v>
      </c>
      <c r="K4255" s="4">
        <f>IFERROR(__xludf.DUMMYFUNCTION("""COMPUTED_VALUE"""),2198.0)</f>
        <v>2198</v>
      </c>
      <c r="L4255" s="4">
        <f>IFERROR(__xludf.DUMMYFUNCTION("""COMPUTED_VALUE"""),0.501)</f>
        <v>0.501</v>
      </c>
      <c r="M4255" s="4">
        <f>IFERROR(__xludf.DUMMYFUNCTION("""COMPUTED_VALUE"""),0.337)</f>
        <v>0.337</v>
      </c>
      <c r="N4255" s="4">
        <f>IFERROR(__xludf.DUMMYFUNCTION("""COMPUTED_VALUE"""),0.873)</f>
        <v>0.873</v>
      </c>
      <c r="O4255" s="4">
        <f>IFERROR(__xludf.DUMMYFUNCTION("""COMPUTED_VALUE"""),25.9)</f>
        <v>25.9</v>
      </c>
      <c r="P4255" s="4">
        <f>IFERROR(__xludf.DUMMYFUNCTION("""COMPUTED_VALUE"""),9.5)</f>
        <v>9.5</v>
      </c>
      <c r="Q4255" s="4">
        <f>IFERROR(__xludf.DUMMYFUNCTION("""COMPUTED_VALUE"""),2.2)</f>
        <v>2.2</v>
      </c>
      <c r="R4255" s="4">
        <f>IFERROR(__xludf.DUMMYFUNCTION("""COMPUTED_VALUE"""),4.0)</f>
        <v>4</v>
      </c>
      <c r="S4255" s="4">
        <f>IFERROR(__xludf.DUMMYFUNCTION("""COMPUTED_VALUE"""),36.0)</f>
        <v>36</v>
      </c>
      <c r="T4255" s="4">
        <f>IFERROR(__xludf.DUMMYFUNCTION("""COMPUTED_VALUE"""),0.121)</f>
        <v>0.121</v>
      </c>
      <c r="U4255" s="4">
        <f>IFERROR(__xludf.DUMMYFUNCTION("""COMPUTED_VALUE"""),0.7)</f>
        <v>0.7</v>
      </c>
      <c r="V4255" s="4">
        <f>IFERROR(__xludf.DUMMYFUNCTION("""COMPUTED_VALUE"""),9.6)</f>
        <v>9.6</v>
      </c>
    </row>
    <row r="4256">
      <c r="A4256" s="4"/>
      <c r="B4256" s="4"/>
      <c r="C4256" s="4"/>
      <c r="D4256" s="4" t="str">
        <f>IFERROR(__xludf.DUMMYFUNCTION("""COMPUTED_VALUE"""),"Round 2")</f>
        <v>Round 2</v>
      </c>
      <c r="E4256" s="4"/>
      <c r="F4256" s="4"/>
      <c r="G4256" s="4" t="str">
        <f>IFERROR(__xludf.DUMMYFUNCTION("""COMPUTED_VALUE"""),"Totals")</f>
        <v>Totals</v>
      </c>
      <c r="H4256" s="4"/>
      <c r="I4256" s="4"/>
      <c r="J4256" s="4"/>
      <c r="K4256" s="4"/>
      <c r="L4256" s="4" t="str">
        <f>IFERROR(__xludf.DUMMYFUNCTION("""COMPUTED_VALUE"""),"Shooting")</f>
        <v>Shooting</v>
      </c>
      <c r="M4256" s="4"/>
      <c r="N4256" s="4"/>
      <c r="O4256" s="4" t="str">
        <f>IFERROR(__xludf.DUMMYFUNCTION("""COMPUTED_VALUE"""),"Per Game")</f>
        <v>Per Game</v>
      </c>
      <c r="P4256" s="4"/>
      <c r="Q4256" s="4"/>
      <c r="R4256" s="4"/>
      <c r="S4256" s="4" t="str">
        <f>IFERROR(__xludf.DUMMYFUNCTION("""COMPUTED_VALUE"""),"Advanced")</f>
        <v>Advanced</v>
      </c>
      <c r="T4256" s="4"/>
      <c r="U4256" s="4"/>
      <c r="V4256" s="4"/>
    </row>
    <row r="4257">
      <c r="A4257" s="4" t="str">
        <f>IFERROR(__xludf.DUMMYFUNCTION("""COMPUTED_VALUE"""),"Rk")</f>
        <v>Rk</v>
      </c>
      <c r="B4257" s="4" t="str">
        <f>IFERROR(__xludf.DUMMYFUNCTION("""COMPUTED_VALUE"""),"Pk")</f>
        <v>Pk</v>
      </c>
      <c r="C4257" s="4" t="str">
        <f>IFERROR(__xludf.DUMMYFUNCTION("""COMPUTED_VALUE"""),"Tm")</f>
        <v>Tm</v>
      </c>
      <c r="D4257" s="4" t="str">
        <f>IFERROR(__xludf.DUMMYFUNCTION("""COMPUTED_VALUE"""),"Player")</f>
        <v>Player</v>
      </c>
      <c r="E4257" s="4" t="str">
        <f>IFERROR(__xludf.DUMMYFUNCTION("""COMPUTED_VALUE"""),"College")</f>
        <v>College</v>
      </c>
      <c r="F4257" s="4" t="str">
        <f>IFERROR(__xludf.DUMMYFUNCTION("""COMPUTED_VALUE"""),"Yrs")</f>
        <v>Yrs</v>
      </c>
      <c r="G4257" s="4" t="str">
        <f>IFERROR(__xludf.DUMMYFUNCTION("""COMPUTED_VALUE"""),"G")</f>
        <v>G</v>
      </c>
      <c r="H4257" s="4" t="str">
        <f>IFERROR(__xludf.DUMMYFUNCTION("""COMPUTED_VALUE"""),"MP")</f>
        <v>MP</v>
      </c>
      <c r="I4257" s="4" t="str">
        <f>IFERROR(__xludf.DUMMYFUNCTION("""COMPUTED_VALUE"""),"PTS")</f>
        <v>PTS</v>
      </c>
      <c r="J4257" s="4" t="str">
        <f>IFERROR(__xludf.DUMMYFUNCTION("""COMPUTED_VALUE"""),"TRB")</f>
        <v>TRB</v>
      </c>
      <c r="K4257" s="4" t="str">
        <f>IFERROR(__xludf.DUMMYFUNCTION("""COMPUTED_VALUE"""),"AST")</f>
        <v>AST</v>
      </c>
      <c r="L4257" s="4" t="str">
        <f>IFERROR(__xludf.DUMMYFUNCTION("""COMPUTED_VALUE"""),"FG%")</f>
        <v>FG%</v>
      </c>
      <c r="M4257" s="4" t="str">
        <f>IFERROR(__xludf.DUMMYFUNCTION("""COMPUTED_VALUE"""),"3P%")</f>
        <v>3P%</v>
      </c>
      <c r="N4257" s="4" t="str">
        <f>IFERROR(__xludf.DUMMYFUNCTION("""COMPUTED_VALUE"""),"FT%")</f>
        <v>FT%</v>
      </c>
      <c r="O4257" s="4" t="str">
        <f>IFERROR(__xludf.DUMMYFUNCTION("""COMPUTED_VALUE"""),"MP")</f>
        <v>MP</v>
      </c>
      <c r="P4257" s="4" t="str">
        <f>IFERROR(__xludf.DUMMYFUNCTION("""COMPUTED_VALUE"""),"PTS")</f>
        <v>PTS</v>
      </c>
      <c r="Q4257" s="4" t="str">
        <f>IFERROR(__xludf.DUMMYFUNCTION("""COMPUTED_VALUE"""),"TRB")</f>
        <v>TRB</v>
      </c>
      <c r="R4257" s="4" t="str">
        <f>IFERROR(__xludf.DUMMYFUNCTION("""COMPUTED_VALUE"""),"AST")</f>
        <v>AST</v>
      </c>
      <c r="S4257" s="4" t="str">
        <f>IFERROR(__xludf.DUMMYFUNCTION("""COMPUTED_VALUE"""),"WS")</f>
        <v>WS</v>
      </c>
      <c r="T4257" s="4" t="str">
        <f>IFERROR(__xludf.DUMMYFUNCTION("""COMPUTED_VALUE"""),"WS/48")</f>
        <v>WS/48</v>
      </c>
      <c r="U4257" s="4" t="str">
        <f>IFERROR(__xludf.DUMMYFUNCTION("""COMPUTED_VALUE"""),"BPM")</f>
        <v>BPM</v>
      </c>
      <c r="V4257" s="4" t="str">
        <f>IFERROR(__xludf.DUMMYFUNCTION("""COMPUTED_VALUE"""),"VORP")</f>
        <v>VORP</v>
      </c>
    </row>
    <row r="4258">
      <c r="A4258" s="4">
        <f>IFERROR(__xludf.DUMMYFUNCTION("""COMPUTED_VALUE"""),23.0)</f>
        <v>23</v>
      </c>
      <c r="B4258" s="4">
        <f>IFERROR(__xludf.DUMMYFUNCTION("""COMPUTED_VALUE"""),23.0)</f>
        <v>23</v>
      </c>
      <c r="C4258" s="4" t="str">
        <f>IFERROR(__xludf.DUMMYFUNCTION("""COMPUTED_VALUE"""),"UTA")</f>
        <v>UTA</v>
      </c>
      <c r="D4258" s="4" t="str">
        <f>IFERROR(__xludf.DUMMYFUNCTION("""COMPUTED_VALUE"""),"Tico Brown")</f>
        <v>Tico Brown</v>
      </c>
      <c r="E4258" s="4" t="str">
        <f>IFERROR(__xludf.DUMMYFUNCTION("""COMPUTED_VALUE"""),"Georgia Tech")</f>
        <v>Georgia Tech</v>
      </c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</row>
    <row r="4259">
      <c r="A4259" s="4">
        <f>IFERROR(__xludf.DUMMYFUNCTION("""COMPUTED_VALUE"""),24.0)</f>
        <v>24</v>
      </c>
      <c r="B4259" s="4">
        <f>IFERROR(__xludf.DUMMYFUNCTION("""COMPUTED_VALUE"""),24.0)</f>
        <v>24</v>
      </c>
      <c r="C4259" s="4" t="str">
        <f>IFERROR(__xludf.DUMMYFUNCTION("""COMPUTED_VALUE"""),"PHO")</f>
        <v>PHO</v>
      </c>
      <c r="D4259" s="4" t="str">
        <f>IFERROR(__xludf.DUMMYFUNCTION("""COMPUTED_VALUE"""),"Johnny High")</f>
        <v>Johnny High</v>
      </c>
      <c r="E4259" s="4" t="str">
        <f>IFERROR(__xludf.DUMMYFUNCTION("""COMPUTED_VALUE"""),"Nevada")</f>
        <v>Nevada</v>
      </c>
      <c r="F4259" s="4">
        <f>IFERROR(__xludf.DUMMYFUNCTION("""COMPUTED_VALUE"""),4.0)</f>
        <v>4</v>
      </c>
      <c r="G4259" s="4">
        <f>IFERROR(__xludf.DUMMYFUNCTION("""COMPUTED_VALUE"""),274.0)</f>
        <v>274</v>
      </c>
      <c r="H4259" s="4">
        <f>IFERROR(__xludf.DUMMYFUNCTION("""COMPUTED_VALUE"""),4538.0)</f>
        <v>4538</v>
      </c>
      <c r="I4259" s="4">
        <f>IFERROR(__xludf.DUMMYFUNCTION("""COMPUTED_VALUE"""),1396.0)</f>
        <v>1396</v>
      </c>
      <c r="J4259" s="4">
        <f>IFERROR(__xludf.DUMMYFUNCTION("""COMPUTED_VALUE"""),617.0)</f>
        <v>617</v>
      </c>
      <c r="K4259" s="4">
        <f>IFERROR(__xludf.DUMMYFUNCTION("""COMPUTED_VALUE"""),525.0)</f>
        <v>525</v>
      </c>
      <c r="L4259" s="4">
        <f>IFERROR(__xludf.DUMMYFUNCTION("""COMPUTED_VALUE"""),0.435)</f>
        <v>0.435</v>
      </c>
      <c r="M4259" s="4">
        <f>IFERROR(__xludf.DUMMYFUNCTION("""COMPUTED_VALUE"""),0.105)</f>
        <v>0.105</v>
      </c>
      <c r="N4259" s="4">
        <f>IFERROR(__xludf.DUMMYFUNCTION("""COMPUTED_VALUE"""),0.619)</f>
        <v>0.619</v>
      </c>
      <c r="O4259" s="4">
        <f>IFERROR(__xludf.DUMMYFUNCTION("""COMPUTED_VALUE"""),16.6)</f>
        <v>16.6</v>
      </c>
      <c r="P4259" s="4">
        <f>IFERROR(__xludf.DUMMYFUNCTION("""COMPUTED_VALUE"""),5.1)</f>
        <v>5.1</v>
      </c>
      <c r="Q4259" s="4">
        <f>IFERROR(__xludf.DUMMYFUNCTION("""COMPUTED_VALUE"""),2.3)</f>
        <v>2.3</v>
      </c>
      <c r="R4259" s="4">
        <f>IFERROR(__xludf.DUMMYFUNCTION("""COMPUTED_VALUE"""),1.9)</f>
        <v>1.9</v>
      </c>
      <c r="S4259" s="4">
        <f>IFERROR(__xludf.DUMMYFUNCTION("""COMPUTED_VALUE"""),4.7)</f>
        <v>4.7</v>
      </c>
      <c r="T4259" s="4">
        <f>IFERROR(__xludf.DUMMYFUNCTION("""COMPUTED_VALUE"""),0.05)</f>
        <v>0.05</v>
      </c>
      <c r="U4259" s="4">
        <f>IFERROR(__xludf.DUMMYFUNCTION("""COMPUTED_VALUE"""),-1.6)</f>
        <v>-1.6</v>
      </c>
      <c r="V4259" s="4">
        <f>IFERROR(__xludf.DUMMYFUNCTION("""COMPUTED_VALUE"""),0.5)</f>
        <v>0.5</v>
      </c>
    </row>
    <row r="4260">
      <c r="A4260" s="4">
        <f>IFERROR(__xludf.DUMMYFUNCTION("""COMPUTED_VALUE"""),25.0)</f>
        <v>25</v>
      </c>
      <c r="B4260" s="4">
        <f>IFERROR(__xludf.DUMMYFUNCTION("""COMPUTED_VALUE"""),25.0)</f>
        <v>25</v>
      </c>
      <c r="C4260" s="4" t="str">
        <f>IFERROR(__xludf.DUMMYFUNCTION("""COMPUTED_VALUE"""),"LAL")</f>
        <v>LAL</v>
      </c>
      <c r="D4260" s="4" t="str">
        <f>IFERROR(__xludf.DUMMYFUNCTION("""COMPUTED_VALUE"""),"Ollie Mack")</f>
        <v>Ollie Mack</v>
      </c>
      <c r="E4260" s="4" t="str">
        <f>IFERROR(__xludf.DUMMYFUNCTION("""COMPUTED_VALUE"""),"East Carolina University")</f>
        <v>East Carolina University</v>
      </c>
      <c r="F4260" s="4">
        <f>IFERROR(__xludf.DUMMYFUNCTION("""COMPUTED_VALUE"""),3.0)</f>
        <v>3</v>
      </c>
      <c r="G4260" s="4">
        <f>IFERROR(__xludf.DUMMYFUNCTION("""COMPUTED_VALUE"""),128.0)</f>
        <v>128</v>
      </c>
      <c r="H4260" s="4">
        <f>IFERROR(__xludf.DUMMYFUNCTION("""COMPUTED_VALUE"""),2513.0)</f>
        <v>2513</v>
      </c>
      <c r="I4260" s="4">
        <f>IFERROR(__xludf.DUMMYFUNCTION("""COMPUTED_VALUE"""),916.0)</f>
        <v>916</v>
      </c>
      <c r="J4260" s="4">
        <f>IFERROR(__xludf.DUMMYFUNCTION("""COMPUTED_VALUE"""),319.0)</f>
        <v>319</v>
      </c>
      <c r="K4260" s="4">
        <f>IFERROR(__xludf.DUMMYFUNCTION("""COMPUTED_VALUE"""),230.0)</f>
        <v>230</v>
      </c>
      <c r="L4260" s="4">
        <f>IFERROR(__xludf.DUMMYFUNCTION("""COMPUTED_VALUE"""),0.458)</f>
        <v>0.458</v>
      </c>
      <c r="M4260" s="4">
        <f>IFERROR(__xludf.DUMMYFUNCTION("""COMPUTED_VALUE"""),0.0)</f>
        <v>0</v>
      </c>
      <c r="N4260" s="4">
        <f>IFERROR(__xludf.DUMMYFUNCTION("""COMPUTED_VALUE"""),0.674)</f>
        <v>0.674</v>
      </c>
      <c r="O4260" s="4">
        <f>IFERROR(__xludf.DUMMYFUNCTION("""COMPUTED_VALUE"""),19.6)</f>
        <v>19.6</v>
      </c>
      <c r="P4260" s="4">
        <f>IFERROR(__xludf.DUMMYFUNCTION("""COMPUTED_VALUE"""),7.2)</f>
        <v>7.2</v>
      </c>
      <c r="Q4260" s="4">
        <f>IFERROR(__xludf.DUMMYFUNCTION("""COMPUTED_VALUE"""),2.5)</f>
        <v>2.5</v>
      </c>
      <c r="R4260" s="4">
        <f>IFERROR(__xludf.DUMMYFUNCTION("""COMPUTED_VALUE"""),1.8)</f>
        <v>1.8</v>
      </c>
      <c r="S4260" s="4">
        <f>IFERROR(__xludf.DUMMYFUNCTION("""COMPUTED_VALUE"""),2.5)</f>
        <v>2.5</v>
      </c>
      <c r="T4260" s="4">
        <f>IFERROR(__xludf.DUMMYFUNCTION("""COMPUTED_VALUE"""),0.048)</f>
        <v>0.048</v>
      </c>
      <c r="U4260" s="4">
        <f>IFERROR(__xludf.DUMMYFUNCTION("""COMPUTED_VALUE"""),-1.5)</f>
        <v>-1.5</v>
      </c>
      <c r="V4260" s="4">
        <f>IFERROR(__xludf.DUMMYFUNCTION("""COMPUTED_VALUE"""),0.3)</f>
        <v>0.3</v>
      </c>
    </row>
    <row r="4261">
      <c r="A4261" s="4">
        <f>IFERROR(__xludf.DUMMYFUNCTION("""COMPUTED_VALUE"""),26.0)</f>
        <v>26</v>
      </c>
      <c r="B4261" s="4">
        <f>IFERROR(__xludf.DUMMYFUNCTION("""COMPUTED_VALUE"""),26.0)</f>
        <v>26</v>
      </c>
      <c r="C4261" s="4" t="str">
        <f>IFERROR(__xludf.DUMMYFUNCTION("""COMPUTED_VALUE"""),"CLE")</f>
        <v>CLE</v>
      </c>
      <c r="D4261" s="4" t="str">
        <f>IFERROR(__xludf.DUMMYFUNCTION("""COMPUTED_VALUE"""),"Bruce Flowers")</f>
        <v>Bruce Flowers</v>
      </c>
      <c r="E4261" s="4" t="str">
        <f>IFERROR(__xludf.DUMMYFUNCTION("""COMPUTED_VALUE"""),"Notre Dame")</f>
        <v>Notre Dame</v>
      </c>
      <c r="F4261" s="4">
        <f>IFERROR(__xludf.DUMMYFUNCTION("""COMPUTED_VALUE"""),1.0)</f>
        <v>1</v>
      </c>
      <c r="G4261" s="4">
        <f>IFERROR(__xludf.DUMMYFUNCTION("""COMPUTED_VALUE"""),53.0)</f>
        <v>53</v>
      </c>
      <c r="H4261" s="4">
        <f>IFERROR(__xludf.DUMMYFUNCTION("""COMPUTED_VALUE"""),699.0)</f>
        <v>699</v>
      </c>
      <c r="I4261" s="4">
        <f>IFERROR(__xludf.DUMMYFUNCTION("""COMPUTED_VALUE"""),261.0)</f>
        <v>261</v>
      </c>
      <c r="J4261" s="4">
        <f>IFERROR(__xludf.DUMMYFUNCTION("""COMPUTED_VALUE"""),180.0)</f>
        <v>180</v>
      </c>
      <c r="K4261" s="4">
        <f>IFERROR(__xludf.DUMMYFUNCTION("""COMPUTED_VALUE"""),47.0)</f>
        <v>47</v>
      </c>
      <c r="L4261" s="4">
        <f>IFERROR(__xludf.DUMMYFUNCTION("""COMPUTED_VALUE"""),0.534)</f>
        <v>0.534</v>
      </c>
      <c r="M4261" s="4">
        <f>IFERROR(__xludf.DUMMYFUNCTION("""COMPUTED_VALUE"""),0.0)</f>
        <v>0</v>
      </c>
      <c r="N4261" s="4">
        <f>IFERROR(__xludf.DUMMYFUNCTION("""COMPUTED_VALUE"""),0.774)</f>
        <v>0.774</v>
      </c>
      <c r="O4261" s="4">
        <f>IFERROR(__xludf.DUMMYFUNCTION("""COMPUTED_VALUE"""),13.2)</f>
        <v>13.2</v>
      </c>
      <c r="P4261" s="4">
        <f>IFERROR(__xludf.DUMMYFUNCTION("""COMPUTED_VALUE"""),4.9)</f>
        <v>4.9</v>
      </c>
      <c r="Q4261" s="4">
        <f>IFERROR(__xludf.DUMMYFUNCTION("""COMPUTED_VALUE"""),3.4)</f>
        <v>3.4</v>
      </c>
      <c r="R4261" s="4">
        <f>IFERROR(__xludf.DUMMYFUNCTION("""COMPUTED_VALUE"""),0.9)</f>
        <v>0.9</v>
      </c>
      <c r="S4261" s="4">
        <f>IFERROR(__xludf.DUMMYFUNCTION("""COMPUTED_VALUE"""),1.7)</f>
        <v>1.7</v>
      </c>
      <c r="T4261" s="4">
        <f>IFERROR(__xludf.DUMMYFUNCTION("""COMPUTED_VALUE"""),0.119)</f>
        <v>0.119</v>
      </c>
      <c r="U4261" s="4">
        <f>IFERROR(__xludf.DUMMYFUNCTION("""COMPUTED_VALUE"""),0.2)</f>
        <v>0.2</v>
      </c>
      <c r="V4261" s="4">
        <f>IFERROR(__xludf.DUMMYFUNCTION("""COMPUTED_VALUE"""),0.4)</f>
        <v>0.4</v>
      </c>
    </row>
    <row r="4262">
      <c r="A4262" s="4">
        <f>IFERROR(__xludf.DUMMYFUNCTION("""COMPUTED_VALUE"""),27.0)</f>
        <v>27</v>
      </c>
      <c r="B4262" s="4">
        <f>IFERROR(__xludf.DUMMYFUNCTION("""COMPUTED_VALUE"""),27.0)</f>
        <v>27</v>
      </c>
      <c r="C4262" s="4" t="str">
        <f>IFERROR(__xludf.DUMMYFUNCTION("""COMPUTED_VALUE"""),"NYK")</f>
        <v>NYK</v>
      </c>
      <c r="D4262" s="4" t="str">
        <f>IFERROR(__xludf.DUMMYFUNCTION("""COMPUTED_VALUE"""),"Reggie Carter")</f>
        <v>Reggie Carter</v>
      </c>
      <c r="E4262" s="4" t="str">
        <f>IFERROR(__xludf.DUMMYFUNCTION("""COMPUTED_VALUE"""),"St. John's")</f>
        <v>St. John's</v>
      </c>
      <c r="F4262" s="4">
        <f>IFERROR(__xludf.DUMMYFUNCTION("""COMPUTED_VALUE"""),2.0)</f>
        <v>2</v>
      </c>
      <c r="G4262" s="4">
        <f>IFERROR(__xludf.DUMMYFUNCTION("""COMPUTED_VALUE"""),135.0)</f>
        <v>135</v>
      </c>
      <c r="H4262" s="4">
        <f>IFERROR(__xludf.DUMMYFUNCTION("""COMPUTED_VALUE"""),1459.0)</f>
        <v>1459</v>
      </c>
      <c r="I4262" s="4">
        <f>IFERROR(__xludf.DUMMYFUNCTION("""COMPUTED_VALUE"""),471.0)</f>
        <v>471</v>
      </c>
      <c r="J4262" s="4">
        <f>IFERROR(__xludf.DUMMYFUNCTION("""COMPUTED_VALUE"""),164.0)</f>
        <v>164</v>
      </c>
      <c r="K4262" s="4">
        <f>IFERROR(__xludf.DUMMYFUNCTION("""COMPUTED_VALUE"""),206.0)</f>
        <v>206</v>
      </c>
      <c r="L4262" s="4">
        <f>IFERROR(__xludf.DUMMYFUNCTION("""COMPUTED_VALUE"""),0.388)</f>
        <v>0.388</v>
      </c>
      <c r="M4262" s="4">
        <f>IFERROR(__xludf.DUMMYFUNCTION("""COMPUTED_VALUE"""),0.0)</f>
        <v>0</v>
      </c>
      <c r="N4262" s="4">
        <f>IFERROR(__xludf.DUMMYFUNCTION("""COMPUTED_VALUE"""),0.772)</f>
        <v>0.772</v>
      </c>
      <c r="O4262" s="4">
        <f>IFERROR(__xludf.DUMMYFUNCTION("""COMPUTED_VALUE"""),10.8)</f>
        <v>10.8</v>
      </c>
      <c r="P4262" s="4">
        <f>IFERROR(__xludf.DUMMYFUNCTION("""COMPUTED_VALUE"""),3.5)</f>
        <v>3.5</v>
      </c>
      <c r="Q4262" s="4">
        <f>IFERROR(__xludf.DUMMYFUNCTION("""COMPUTED_VALUE"""),1.2)</f>
        <v>1.2</v>
      </c>
      <c r="R4262" s="4">
        <f>IFERROR(__xludf.DUMMYFUNCTION("""COMPUTED_VALUE"""),1.5)</f>
        <v>1.5</v>
      </c>
      <c r="S4262" s="4">
        <f>IFERROR(__xludf.DUMMYFUNCTION("""COMPUTED_VALUE"""),0.4)</f>
        <v>0.4</v>
      </c>
      <c r="T4262" s="4">
        <f>IFERROR(__xludf.DUMMYFUNCTION("""COMPUTED_VALUE"""),0.014)</f>
        <v>0.014</v>
      </c>
      <c r="U4262" s="4">
        <f>IFERROR(__xludf.DUMMYFUNCTION("""COMPUTED_VALUE"""),-3.5)</f>
        <v>-3.5</v>
      </c>
      <c r="V4262" s="4">
        <f>IFERROR(__xludf.DUMMYFUNCTION("""COMPUTED_VALUE"""),-0.6)</f>
        <v>-0.6</v>
      </c>
    </row>
    <row r="4263">
      <c r="A4263" s="4">
        <f>IFERROR(__xludf.DUMMYFUNCTION("""COMPUTED_VALUE"""),28.0)</f>
        <v>28</v>
      </c>
      <c r="B4263" s="4">
        <f>IFERROR(__xludf.DUMMYFUNCTION("""COMPUTED_VALUE"""),28.0)</f>
        <v>28</v>
      </c>
      <c r="C4263" s="4" t="str">
        <f>IFERROR(__xludf.DUMMYFUNCTION("""COMPUTED_VALUE"""),"GSW")</f>
        <v>GSW</v>
      </c>
      <c r="D4263" s="4" t="str">
        <f>IFERROR(__xludf.DUMMYFUNCTION("""COMPUTED_VALUE"""),"Danny Salisbury")</f>
        <v>Danny Salisbury</v>
      </c>
      <c r="E4263" s="4" t="str">
        <f>IFERROR(__xludf.DUMMYFUNCTION("""COMPUTED_VALUE"""),"University of Texas Rio Grande Valley")</f>
        <v>University of Texas Rio Grande Valley</v>
      </c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</row>
    <row r="4264">
      <c r="A4264" s="4">
        <f>IFERROR(__xludf.DUMMYFUNCTION("""COMPUTED_VALUE"""),29.0)</f>
        <v>29</v>
      </c>
      <c r="B4264" s="4">
        <f>IFERROR(__xludf.DUMMYFUNCTION("""COMPUTED_VALUE"""),29.0)</f>
        <v>29</v>
      </c>
      <c r="C4264" s="4" t="str">
        <f>IFERROR(__xludf.DUMMYFUNCTION("""COMPUTED_VALUE"""),"DET")</f>
        <v>DET</v>
      </c>
      <c r="D4264" s="4" t="str">
        <f>IFERROR(__xludf.DUMMYFUNCTION("""COMPUTED_VALUE"""),"Tony Price")</f>
        <v>Tony Price</v>
      </c>
      <c r="E4264" s="4" t="str">
        <f>IFERROR(__xludf.DUMMYFUNCTION("""COMPUTED_VALUE"""),"Penn")</f>
        <v>Penn</v>
      </c>
      <c r="F4264" s="4">
        <f>IFERROR(__xludf.DUMMYFUNCTION("""COMPUTED_VALUE"""),1.0)</f>
        <v>1</v>
      </c>
      <c r="G4264" s="4">
        <f>IFERROR(__xludf.DUMMYFUNCTION("""COMPUTED_VALUE"""),5.0)</f>
        <v>5</v>
      </c>
      <c r="H4264" s="4">
        <f>IFERROR(__xludf.DUMMYFUNCTION("""COMPUTED_VALUE"""),29.0)</f>
        <v>29</v>
      </c>
      <c r="I4264" s="4">
        <f>IFERROR(__xludf.DUMMYFUNCTION("""COMPUTED_VALUE"""),4.0)</f>
        <v>4</v>
      </c>
      <c r="J4264" s="4">
        <f>IFERROR(__xludf.DUMMYFUNCTION("""COMPUTED_VALUE"""),0.0)</f>
        <v>0</v>
      </c>
      <c r="K4264" s="4">
        <f>IFERROR(__xludf.DUMMYFUNCTION("""COMPUTED_VALUE"""),3.0)</f>
        <v>3</v>
      </c>
      <c r="L4264" s="4">
        <f>IFERROR(__xludf.DUMMYFUNCTION("""COMPUTED_VALUE"""),0.286)</f>
        <v>0.286</v>
      </c>
      <c r="M4264" s="4"/>
      <c r="N4264" s="4"/>
      <c r="O4264" s="4">
        <f>IFERROR(__xludf.DUMMYFUNCTION("""COMPUTED_VALUE"""),5.8)</f>
        <v>5.8</v>
      </c>
      <c r="P4264" s="4">
        <f>IFERROR(__xludf.DUMMYFUNCTION("""COMPUTED_VALUE"""),0.8)</f>
        <v>0.8</v>
      </c>
      <c r="Q4264" s="4">
        <f>IFERROR(__xludf.DUMMYFUNCTION("""COMPUTED_VALUE"""),0.0)</f>
        <v>0</v>
      </c>
      <c r="R4264" s="4">
        <f>IFERROR(__xludf.DUMMYFUNCTION("""COMPUTED_VALUE"""),0.6)</f>
        <v>0.6</v>
      </c>
      <c r="S4264" s="4">
        <f>IFERROR(__xludf.DUMMYFUNCTION("""COMPUTED_VALUE"""),-0.1)</f>
        <v>-0.1</v>
      </c>
      <c r="T4264" s="4">
        <f>IFERROR(__xludf.DUMMYFUNCTION("""COMPUTED_VALUE"""),-0.089)</f>
        <v>-0.089</v>
      </c>
      <c r="U4264" s="4">
        <f>IFERROR(__xludf.DUMMYFUNCTION("""COMPUTED_VALUE"""),-4.3)</f>
        <v>-4.3</v>
      </c>
      <c r="V4264" s="4">
        <f>IFERROR(__xludf.DUMMYFUNCTION("""COMPUTED_VALUE"""),0.0)</f>
        <v>0</v>
      </c>
    </row>
    <row r="4265">
      <c r="A4265" s="4">
        <f>IFERROR(__xludf.DUMMYFUNCTION("""COMPUTED_VALUE"""),30.0)</f>
        <v>30</v>
      </c>
      <c r="B4265" s="4">
        <f>IFERROR(__xludf.DUMMYFUNCTION("""COMPUTED_VALUE"""),30.0)</f>
        <v>30</v>
      </c>
      <c r="C4265" s="4" t="str">
        <f>IFERROR(__xludf.DUMMYFUNCTION("""COMPUTED_VALUE"""),"DEN")</f>
        <v>DEN</v>
      </c>
      <c r="D4265" s="4" t="str">
        <f>IFERROR(__xludf.DUMMYFUNCTION("""COMPUTED_VALUE"""),"Gary Garland")</f>
        <v>Gary Garland</v>
      </c>
      <c r="E4265" s="4" t="str">
        <f>IFERROR(__xludf.DUMMYFUNCTION("""COMPUTED_VALUE"""),"DePaul")</f>
        <v>DePaul</v>
      </c>
      <c r="F4265" s="4">
        <f>IFERROR(__xludf.DUMMYFUNCTION("""COMPUTED_VALUE"""),1.0)</f>
        <v>1</v>
      </c>
      <c r="G4265" s="4">
        <f>IFERROR(__xludf.DUMMYFUNCTION("""COMPUTED_VALUE"""),78.0)</f>
        <v>78</v>
      </c>
      <c r="H4265" s="4">
        <f>IFERROR(__xludf.DUMMYFUNCTION("""COMPUTED_VALUE"""),1106.0)</f>
        <v>1106</v>
      </c>
      <c r="I4265" s="4">
        <f>IFERROR(__xludf.DUMMYFUNCTION("""COMPUTED_VALUE"""),334.0)</f>
        <v>334</v>
      </c>
      <c r="J4265" s="4">
        <f>IFERROR(__xludf.DUMMYFUNCTION("""COMPUTED_VALUE"""),138.0)</f>
        <v>138</v>
      </c>
      <c r="K4265" s="4">
        <f>IFERROR(__xludf.DUMMYFUNCTION("""COMPUTED_VALUE"""),145.0)</f>
        <v>145</v>
      </c>
      <c r="L4265" s="4">
        <f>IFERROR(__xludf.DUMMYFUNCTION("""COMPUTED_VALUE"""),0.435)</f>
        <v>0.435</v>
      </c>
      <c r="M4265" s="4">
        <f>IFERROR(__xludf.DUMMYFUNCTION("""COMPUTED_VALUE"""),0.316)</f>
        <v>0.316</v>
      </c>
      <c r="N4265" s="4">
        <f>IFERROR(__xludf.DUMMYFUNCTION("""COMPUTED_VALUE"""),0.692)</f>
        <v>0.692</v>
      </c>
      <c r="O4265" s="4">
        <f>IFERROR(__xludf.DUMMYFUNCTION("""COMPUTED_VALUE"""),14.2)</f>
        <v>14.2</v>
      </c>
      <c r="P4265" s="4">
        <f>IFERROR(__xludf.DUMMYFUNCTION("""COMPUTED_VALUE"""),4.3)</f>
        <v>4.3</v>
      </c>
      <c r="Q4265" s="4">
        <f>IFERROR(__xludf.DUMMYFUNCTION("""COMPUTED_VALUE"""),1.8)</f>
        <v>1.8</v>
      </c>
      <c r="R4265" s="4">
        <f>IFERROR(__xludf.DUMMYFUNCTION("""COMPUTED_VALUE"""),1.9)</f>
        <v>1.9</v>
      </c>
      <c r="S4265" s="4">
        <f>IFERROR(__xludf.DUMMYFUNCTION("""COMPUTED_VALUE"""),0.5)</f>
        <v>0.5</v>
      </c>
      <c r="T4265" s="4">
        <f>IFERROR(__xludf.DUMMYFUNCTION("""COMPUTED_VALUE"""),0.02)</f>
        <v>0.02</v>
      </c>
      <c r="U4265" s="4">
        <f>IFERROR(__xludf.DUMMYFUNCTION("""COMPUTED_VALUE"""),-2.6)</f>
        <v>-2.6</v>
      </c>
      <c r="V4265" s="4">
        <f>IFERROR(__xludf.DUMMYFUNCTION("""COMPUTED_VALUE"""),-0.2)</f>
        <v>-0.2</v>
      </c>
    </row>
    <row r="4266">
      <c r="A4266" s="4">
        <f>IFERROR(__xludf.DUMMYFUNCTION("""COMPUTED_VALUE"""),31.0)</f>
        <v>31</v>
      </c>
      <c r="B4266" s="4">
        <f>IFERROR(__xludf.DUMMYFUNCTION("""COMPUTED_VALUE"""),31.0)</f>
        <v>31</v>
      </c>
      <c r="C4266" s="4" t="str">
        <f>IFERROR(__xludf.DUMMYFUNCTION("""COMPUTED_VALUE"""),"MIL")</f>
        <v>MIL</v>
      </c>
      <c r="D4266" s="4" t="str">
        <f>IFERROR(__xludf.DUMMYFUNCTION("""COMPUTED_VALUE"""),"Edgar Jones")</f>
        <v>Edgar Jones</v>
      </c>
      <c r="E4266" s="4" t="str">
        <f>IFERROR(__xludf.DUMMYFUNCTION("""COMPUTED_VALUE"""),"Nevada")</f>
        <v>Nevada</v>
      </c>
      <c r="F4266" s="4">
        <f>IFERROR(__xludf.DUMMYFUNCTION("""COMPUTED_VALUE"""),6.0)</f>
        <v>6</v>
      </c>
      <c r="G4266" s="4">
        <f>IFERROR(__xludf.DUMMYFUNCTION("""COMPUTED_VALUE"""),363.0)</f>
        <v>363</v>
      </c>
      <c r="H4266" s="4">
        <f>IFERROR(__xludf.DUMMYFUNCTION("""COMPUTED_VALUE"""),6960.0)</f>
        <v>6960</v>
      </c>
      <c r="I4266" s="4">
        <f>IFERROR(__xludf.DUMMYFUNCTION("""COMPUTED_VALUE"""),3257.0)</f>
        <v>3257</v>
      </c>
      <c r="J4266" s="4">
        <f>IFERROR(__xludf.DUMMYFUNCTION("""COMPUTED_VALUE"""),1745.0)</f>
        <v>1745</v>
      </c>
      <c r="K4266" s="4">
        <f>IFERROR(__xludf.DUMMYFUNCTION("""COMPUTED_VALUE"""),331.0)</f>
        <v>331</v>
      </c>
      <c r="L4266" s="4">
        <f>IFERROR(__xludf.DUMMYFUNCTION("""COMPUTED_VALUE"""),0.506)</f>
        <v>0.506</v>
      </c>
      <c r="M4266" s="4">
        <f>IFERROR(__xludf.DUMMYFUNCTION("""COMPUTED_VALUE"""),0.262)</f>
        <v>0.262</v>
      </c>
      <c r="N4266" s="4">
        <f>IFERROR(__xludf.DUMMYFUNCTION("""COMPUTED_VALUE"""),0.71)</f>
        <v>0.71</v>
      </c>
      <c r="O4266" s="4">
        <f>IFERROR(__xludf.DUMMYFUNCTION("""COMPUTED_VALUE"""),19.2)</f>
        <v>19.2</v>
      </c>
      <c r="P4266" s="4">
        <f>IFERROR(__xludf.DUMMYFUNCTION("""COMPUTED_VALUE"""),9.0)</f>
        <v>9</v>
      </c>
      <c r="Q4266" s="4">
        <f>IFERROR(__xludf.DUMMYFUNCTION("""COMPUTED_VALUE"""),4.8)</f>
        <v>4.8</v>
      </c>
      <c r="R4266" s="4">
        <f>IFERROR(__xludf.DUMMYFUNCTION("""COMPUTED_VALUE"""),0.9)</f>
        <v>0.9</v>
      </c>
      <c r="S4266" s="4">
        <f>IFERROR(__xludf.DUMMYFUNCTION("""COMPUTED_VALUE"""),15.0)</f>
        <v>15</v>
      </c>
      <c r="T4266" s="4">
        <f>IFERROR(__xludf.DUMMYFUNCTION("""COMPUTED_VALUE"""),0.103)</f>
        <v>0.103</v>
      </c>
      <c r="U4266" s="4">
        <f>IFERROR(__xludf.DUMMYFUNCTION("""COMPUTED_VALUE"""),-0.7)</f>
        <v>-0.7</v>
      </c>
      <c r="V4266" s="4">
        <f>IFERROR(__xludf.DUMMYFUNCTION("""COMPUTED_VALUE"""),2.2)</f>
        <v>2.2</v>
      </c>
    </row>
    <row r="4267">
      <c r="A4267" s="4">
        <f>IFERROR(__xludf.DUMMYFUNCTION("""COMPUTED_VALUE"""),32.0)</f>
        <v>32</v>
      </c>
      <c r="B4267" s="4">
        <f>IFERROR(__xludf.DUMMYFUNCTION("""COMPUTED_VALUE"""),32.0)</f>
        <v>32</v>
      </c>
      <c r="C4267" s="4" t="str">
        <f>IFERROR(__xludf.DUMMYFUNCTION("""COMPUTED_VALUE"""),"IND")</f>
        <v>IND</v>
      </c>
      <c r="D4267" s="4" t="str">
        <f>IFERROR(__xludf.DUMMYFUNCTION("""COMPUTED_VALUE"""),"Tony Zeno")</f>
        <v>Tony Zeno</v>
      </c>
      <c r="E4267" s="4" t="str">
        <f>IFERROR(__xludf.DUMMYFUNCTION("""COMPUTED_VALUE"""),"Arizona State")</f>
        <v>Arizona State</v>
      </c>
      <c r="F4267" s="4">
        <f>IFERROR(__xludf.DUMMYFUNCTION("""COMPUTED_VALUE"""),1.0)</f>
        <v>1</v>
      </c>
      <c r="G4267" s="4">
        <f>IFERROR(__xludf.DUMMYFUNCTION("""COMPUTED_VALUE"""),8.0)</f>
        <v>8</v>
      </c>
      <c r="H4267" s="4">
        <f>IFERROR(__xludf.DUMMYFUNCTION("""COMPUTED_VALUE"""),59.0)</f>
        <v>59</v>
      </c>
      <c r="I4267" s="4">
        <f>IFERROR(__xludf.DUMMYFUNCTION("""COMPUTED_VALUE"""),14.0)</f>
        <v>14</v>
      </c>
      <c r="J4267" s="4">
        <f>IFERROR(__xludf.DUMMYFUNCTION("""COMPUTED_VALUE"""),14.0)</f>
        <v>14</v>
      </c>
      <c r="K4267" s="4">
        <f>IFERROR(__xludf.DUMMYFUNCTION("""COMPUTED_VALUE"""),1.0)</f>
        <v>1</v>
      </c>
      <c r="L4267" s="4">
        <f>IFERROR(__xludf.DUMMYFUNCTION("""COMPUTED_VALUE"""),0.286)</f>
        <v>0.286</v>
      </c>
      <c r="M4267" s="4"/>
      <c r="N4267" s="4">
        <f>IFERROR(__xludf.DUMMYFUNCTION("""COMPUTED_VALUE"""),1.0)</f>
        <v>1</v>
      </c>
      <c r="O4267" s="4">
        <f>IFERROR(__xludf.DUMMYFUNCTION("""COMPUTED_VALUE"""),7.4)</f>
        <v>7.4</v>
      </c>
      <c r="P4267" s="4">
        <f>IFERROR(__xludf.DUMMYFUNCTION("""COMPUTED_VALUE"""),1.8)</f>
        <v>1.8</v>
      </c>
      <c r="Q4267" s="4">
        <f>IFERROR(__xludf.DUMMYFUNCTION("""COMPUTED_VALUE"""),1.8)</f>
        <v>1.8</v>
      </c>
      <c r="R4267" s="4">
        <f>IFERROR(__xludf.DUMMYFUNCTION("""COMPUTED_VALUE"""),0.1)</f>
        <v>0.1</v>
      </c>
      <c r="S4267" s="4">
        <f>IFERROR(__xludf.DUMMYFUNCTION("""COMPUTED_VALUE"""),-0.2)</f>
        <v>-0.2</v>
      </c>
      <c r="T4267" s="4">
        <f>IFERROR(__xludf.DUMMYFUNCTION("""COMPUTED_VALUE"""),-0.16)</f>
        <v>-0.16</v>
      </c>
      <c r="U4267" s="4">
        <f>IFERROR(__xludf.DUMMYFUNCTION("""COMPUTED_VALUE"""),-6.5)</f>
        <v>-6.5</v>
      </c>
      <c r="V4267" s="4">
        <f>IFERROR(__xludf.DUMMYFUNCTION("""COMPUTED_VALUE"""),-0.2)</f>
        <v>-0.2</v>
      </c>
    </row>
    <row r="4268">
      <c r="A4268" s="4">
        <f>IFERROR(__xludf.DUMMYFUNCTION("""COMPUTED_VALUE"""),33.0)</f>
        <v>33</v>
      </c>
      <c r="B4268" s="4">
        <f>IFERROR(__xludf.DUMMYFUNCTION("""COMPUTED_VALUE"""),33.0)</f>
        <v>33</v>
      </c>
      <c r="C4268" s="4" t="str">
        <f>IFERROR(__xludf.DUMMYFUNCTION("""COMPUTED_VALUE"""),"CHI")</f>
        <v>CHI</v>
      </c>
      <c r="D4268" s="4" t="str">
        <f>IFERROR(__xludf.DUMMYFUNCTION("""COMPUTED_VALUE"""),"Lawrence Butler")</f>
        <v>Lawrence Butler</v>
      </c>
      <c r="E4268" s="4" t="str">
        <f>IFERROR(__xludf.DUMMYFUNCTION("""COMPUTED_VALUE"""),"Idaho State University")</f>
        <v>Idaho State University</v>
      </c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</row>
    <row r="4269">
      <c r="A4269" s="4">
        <f>IFERROR(__xludf.DUMMYFUNCTION("""COMPUTED_VALUE"""),34.0)</f>
        <v>34</v>
      </c>
      <c r="B4269" s="4">
        <f>IFERROR(__xludf.DUMMYFUNCTION("""COMPUTED_VALUE"""),34.0)</f>
        <v>34</v>
      </c>
      <c r="C4269" s="4" t="str">
        <f>IFERROR(__xludf.DUMMYFUNCTION("""COMPUTED_VALUE"""),"NYK")</f>
        <v>NYK</v>
      </c>
      <c r="D4269" s="4" t="str">
        <f>IFERROR(__xludf.DUMMYFUNCTION("""COMPUTED_VALUE"""),"Kim Goetz")</f>
        <v>Kim Goetz</v>
      </c>
      <c r="E4269" s="4" t="str">
        <f>IFERROR(__xludf.DUMMYFUNCTION("""COMPUTED_VALUE"""),"San Diego State")</f>
        <v>San Diego State</v>
      </c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</row>
    <row r="4270">
      <c r="A4270" s="4">
        <f>IFERROR(__xludf.DUMMYFUNCTION("""COMPUTED_VALUE"""),35.0)</f>
        <v>35</v>
      </c>
      <c r="B4270" s="4">
        <f>IFERROR(__xludf.DUMMYFUNCTION("""COMPUTED_VALUE"""),35.0)</f>
        <v>35</v>
      </c>
      <c r="C4270" s="4" t="str">
        <f>IFERROR(__xludf.DUMMYFUNCTION("""COMPUTED_VALUE"""),"ATL")</f>
        <v>ATL</v>
      </c>
      <c r="D4270" s="4" t="str">
        <f>IFERROR(__xludf.DUMMYFUNCTION("""COMPUTED_VALUE"""),"James Bradley")</f>
        <v>James Bradley</v>
      </c>
      <c r="E4270" s="4" t="str">
        <f>IFERROR(__xludf.DUMMYFUNCTION("""COMPUTED_VALUE"""),"Memphis")</f>
        <v>Memphis</v>
      </c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</row>
    <row r="4271">
      <c r="A4271" s="4">
        <f>IFERROR(__xludf.DUMMYFUNCTION("""COMPUTED_VALUE"""),36.0)</f>
        <v>36</v>
      </c>
      <c r="B4271" s="4">
        <f>IFERROR(__xludf.DUMMYFUNCTION("""COMPUTED_VALUE"""),36.0)</f>
        <v>36</v>
      </c>
      <c r="C4271" s="4" t="str">
        <f>IFERROR(__xludf.DUMMYFUNCTION("""COMPUTED_VALUE"""),"PHI")</f>
        <v>PHI</v>
      </c>
      <c r="D4271" s="4" t="str">
        <f>IFERROR(__xludf.DUMMYFUNCTION("""COMPUTED_VALUE"""),"Clint Richardson")</f>
        <v>Clint Richardson</v>
      </c>
      <c r="E4271" s="4" t="str">
        <f>IFERROR(__xludf.DUMMYFUNCTION("""COMPUTED_VALUE"""),"Seattle University")</f>
        <v>Seattle University</v>
      </c>
      <c r="F4271" s="4">
        <f>IFERROR(__xludf.DUMMYFUNCTION("""COMPUTED_VALUE"""),8.0)</f>
        <v>8</v>
      </c>
      <c r="G4271" s="4">
        <f>IFERROR(__xludf.DUMMYFUNCTION("""COMPUTED_VALUE"""),586.0)</f>
        <v>586</v>
      </c>
      <c r="H4271" s="4">
        <f>IFERROR(__xludf.DUMMYFUNCTION("""COMPUTED_VALUE"""),11818.0)</f>
        <v>11818</v>
      </c>
      <c r="I4271" s="4">
        <f>IFERROR(__xludf.DUMMYFUNCTION("""COMPUTED_VALUE"""),4084.0)</f>
        <v>4084</v>
      </c>
      <c r="J4271" s="4">
        <f>IFERROR(__xludf.DUMMYFUNCTION("""COMPUTED_VALUE"""),1378.0)</f>
        <v>1378</v>
      </c>
      <c r="K4271" s="4">
        <f>IFERROR(__xludf.DUMMYFUNCTION("""COMPUTED_VALUE"""),1461.0)</f>
        <v>1461</v>
      </c>
      <c r="L4271" s="4">
        <f>IFERROR(__xludf.DUMMYFUNCTION("""COMPUTED_VALUE"""),0.463)</f>
        <v>0.463</v>
      </c>
      <c r="M4271" s="4">
        <f>IFERROR(__xludf.DUMMYFUNCTION("""COMPUTED_VALUE"""),0.244)</f>
        <v>0.244</v>
      </c>
      <c r="N4271" s="4">
        <f>IFERROR(__xludf.DUMMYFUNCTION("""COMPUTED_VALUE"""),0.77)</f>
        <v>0.77</v>
      </c>
      <c r="O4271" s="4">
        <f>IFERROR(__xludf.DUMMYFUNCTION("""COMPUTED_VALUE"""),20.2)</f>
        <v>20.2</v>
      </c>
      <c r="P4271" s="4">
        <f>IFERROR(__xludf.DUMMYFUNCTION("""COMPUTED_VALUE"""),7.0)</f>
        <v>7</v>
      </c>
      <c r="Q4271" s="4">
        <f>IFERROR(__xludf.DUMMYFUNCTION("""COMPUTED_VALUE"""),2.4)</f>
        <v>2.4</v>
      </c>
      <c r="R4271" s="4">
        <f>IFERROR(__xludf.DUMMYFUNCTION("""COMPUTED_VALUE"""),2.5)</f>
        <v>2.5</v>
      </c>
      <c r="S4271" s="4">
        <f>IFERROR(__xludf.DUMMYFUNCTION("""COMPUTED_VALUE"""),16.6)</f>
        <v>16.6</v>
      </c>
      <c r="T4271" s="4">
        <f>IFERROR(__xludf.DUMMYFUNCTION("""COMPUTED_VALUE"""),0.067)</f>
        <v>0.067</v>
      </c>
      <c r="U4271" s="4">
        <f>IFERROR(__xludf.DUMMYFUNCTION("""COMPUTED_VALUE"""),-1.5)</f>
        <v>-1.5</v>
      </c>
      <c r="V4271" s="4">
        <f>IFERROR(__xludf.DUMMYFUNCTION("""COMPUTED_VALUE"""),1.6)</f>
        <v>1.6</v>
      </c>
    </row>
    <row r="4272">
      <c r="A4272" s="4">
        <f>IFERROR(__xludf.DUMMYFUNCTION("""COMPUTED_VALUE"""),37.0)</f>
        <v>37</v>
      </c>
      <c r="B4272" s="4">
        <f>IFERROR(__xludf.DUMMYFUNCTION("""COMPUTED_VALUE"""),37.0)</f>
        <v>37</v>
      </c>
      <c r="C4272" s="4" t="str">
        <f>IFERROR(__xludf.DUMMYFUNCTION("""COMPUTED_VALUE"""),"PHI")</f>
        <v>PHI</v>
      </c>
      <c r="D4272" s="4" t="str">
        <f>IFERROR(__xludf.DUMMYFUNCTION("""COMPUTED_VALUE"""),"Bernard Toone")</f>
        <v>Bernard Toone</v>
      </c>
      <c r="E4272" s="4" t="str">
        <f>IFERROR(__xludf.DUMMYFUNCTION("""COMPUTED_VALUE"""),"Marquette")</f>
        <v>Marquette</v>
      </c>
      <c r="F4272" s="4">
        <f>IFERROR(__xludf.DUMMYFUNCTION("""COMPUTED_VALUE"""),1.0)</f>
        <v>1</v>
      </c>
      <c r="G4272" s="4">
        <f>IFERROR(__xludf.DUMMYFUNCTION("""COMPUTED_VALUE"""),23.0)</f>
        <v>23</v>
      </c>
      <c r="H4272" s="4">
        <f>IFERROR(__xludf.DUMMYFUNCTION("""COMPUTED_VALUE"""),124.0)</f>
        <v>124</v>
      </c>
      <c r="I4272" s="4">
        <f>IFERROR(__xludf.DUMMYFUNCTION("""COMPUTED_VALUE"""),55.0)</f>
        <v>55</v>
      </c>
      <c r="J4272" s="4">
        <f>IFERROR(__xludf.DUMMYFUNCTION("""COMPUTED_VALUE"""),34.0)</f>
        <v>34</v>
      </c>
      <c r="K4272" s="4">
        <f>IFERROR(__xludf.DUMMYFUNCTION("""COMPUTED_VALUE"""),12.0)</f>
        <v>12</v>
      </c>
      <c r="L4272" s="4">
        <f>IFERROR(__xludf.DUMMYFUNCTION("""COMPUTED_VALUE"""),0.359)</f>
        <v>0.359</v>
      </c>
      <c r="M4272" s="4">
        <f>IFERROR(__xludf.DUMMYFUNCTION("""COMPUTED_VALUE"""),0.143)</f>
        <v>0.143</v>
      </c>
      <c r="N4272" s="4">
        <f>IFERROR(__xludf.DUMMYFUNCTION("""COMPUTED_VALUE"""),0.8)</f>
        <v>0.8</v>
      </c>
      <c r="O4272" s="4">
        <f>IFERROR(__xludf.DUMMYFUNCTION("""COMPUTED_VALUE"""),5.4)</f>
        <v>5.4</v>
      </c>
      <c r="P4272" s="4">
        <f>IFERROR(__xludf.DUMMYFUNCTION("""COMPUTED_VALUE"""),2.4)</f>
        <v>2.4</v>
      </c>
      <c r="Q4272" s="4">
        <f>IFERROR(__xludf.DUMMYFUNCTION("""COMPUTED_VALUE"""),1.5)</f>
        <v>1.5</v>
      </c>
      <c r="R4272" s="4">
        <f>IFERROR(__xludf.DUMMYFUNCTION("""COMPUTED_VALUE"""),0.5)</f>
        <v>0.5</v>
      </c>
      <c r="S4272" s="4">
        <f>IFERROR(__xludf.DUMMYFUNCTION("""COMPUTED_VALUE"""),-0.1)</f>
        <v>-0.1</v>
      </c>
      <c r="T4272" s="4">
        <f>IFERROR(__xludf.DUMMYFUNCTION("""COMPUTED_VALUE"""),-0.036)</f>
        <v>-0.036</v>
      </c>
      <c r="U4272" s="4">
        <f>IFERROR(__xludf.DUMMYFUNCTION("""COMPUTED_VALUE"""),-5.4)</f>
        <v>-5.4</v>
      </c>
      <c r="V4272" s="4">
        <f>IFERROR(__xludf.DUMMYFUNCTION("""COMPUTED_VALUE"""),-0.1)</f>
        <v>-0.1</v>
      </c>
    </row>
    <row r="4273">
      <c r="A4273" s="4">
        <f>IFERROR(__xludf.DUMMYFUNCTION("""COMPUTED_VALUE"""),38.0)</f>
        <v>38</v>
      </c>
      <c r="B4273" s="4">
        <f>IFERROR(__xludf.DUMMYFUNCTION("""COMPUTED_VALUE"""),38.0)</f>
        <v>38</v>
      </c>
      <c r="C4273" s="4" t="str">
        <f>IFERROR(__xludf.DUMMYFUNCTION("""COMPUTED_VALUE"""),"ATL")</f>
        <v>ATL</v>
      </c>
      <c r="D4273" s="4" t="str">
        <f>IFERROR(__xludf.DUMMYFUNCTION("""COMPUTED_VALUE"""),"Larry Wilson")</f>
        <v>Larry Wilson</v>
      </c>
      <c r="E4273" s="4" t="str">
        <f>IFERROR(__xludf.DUMMYFUNCTION("""COMPUTED_VALUE"""),"Nicholls State")</f>
        <v>Nicholls State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</row>
    <row r="4274">
      <c r="A4274" s="4">
        <f>IFERROR(__xludf.DUMMYFUNCTION("""COMPUTED_VALUE"""),39.0)</f>
        <v>39</v>
      </c>
      <c r="B4274" s="4">
        <f>IFERROR(__xludf.DUMMYFUNCTION("""COMPUTED_VALUE"""),39.0)</f>
        <v>39</v>
      </c>
      <c r="C4274" s="4" t="str">
        <f>IFERROR(__xludf.DUMMYFUNCTION("""COMPUTED_VALUE"""),"LAL")</f>
        <v>LAL</v>
      </c>
      <c r="D4274" s="4" t="str">
        <f>IFERROR(__xludf.DUMMYFUNCTION("""COMPUTED_VALUE"""),"Victor King")</f>
        <v>Victor King</v>
      </c>
      <c r="E4274" s="4" t="str">
        <f>IFERROR(__xludf.DUMMYFUNCTION("""COMPUTED_VALUE"""),"Louisiana Tech")</f>
        <v>Louisiana Tech</v>
      </c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</row>
    <row r="4275">
      <c r="A4275" s="4">
        <f>IFERROR(__xludf.DUMMYFUNCTION("""COMPUTED_VALUE"""),40.0)</f>
        <v>40</v>
      </c>
      <c r="B4275" s="4">
        <f>IFERROR(__xludf.DUMMYFUNCTION("""COMPUTED_VALUE"""),40.0)</f>
        <v>40</v>
      </c>
      <c r="C4275" s="4" t="str">
        <f>IFERROR(__xludf.DUMMYFUNCTION("""COMPUTED_VALUE"""),"POR")</f>
        <v>POR</v>
      </c>
      <c r="D4275" s="4" t="str">
        <f>IFERROR(__xludf.DUMMYFUNCTION("""COMPUTED_VALUE"""),"Andrew Fields")</f>
        <v>Andrew Fields</v>
      </c>
      <c r="E4275" s="4" t="str">
        <f>IFERROR(__xludf.DUMMYFUNCTION("""COMPUTED_VALUE"""),"Cheyney (PA)")</f>
        <v>Cheyney (PA)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</row>
    <row r="4276">
      <c r="A4276" s="4">
        <f>IFERROR(__xludf.DUMMYFUNCTION("""COMPUTED_VALUE"""),41.0)</f>
        <v>41</v>
      </c>
      <c r="B4276" s="4">
        <f>IFERROR(__xludf.DUMMYFUNCTION("""COMPUTED_VALUE"""),41.0)</f>
        <v>41</v>
      </c>
      <c r="C4276" s="4" t="str">
        <f>IFERROR(__xludf.DUMMYFUNCTION("""COMPUTED_VALUE"""),"LAL")</f>
        <v>LAL</v>
      </c>
      <c r="D4276" s="4" t="str">
        <f>IFERROR(__xludf.DUMMYFUNCTION("""COMPUTED_VALUE"""),"Mark Young")</f>
        <v>Mark Young</v>
      </c>
      <c r="E4276" s="4" t="str">
        <f>IFERROR(__xludf.DUMMYFUNCTION("""COMPUTED_VALUE"""),"Fairfield")</f>
        <v>Fairfield</v>
      </c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</row>
    <row r="4277">
      <c r="A4277" s="4">
        <f>IFERROR(__xludf.DUMMYFUNCTION("""COMPUTED_VALUE"""),42.0)</f>
        <v>42</v>
      </c>
      <c r="B4277" s="4">
        <f>IFERROR(__xludf.DUMMYFUNCTION("""COMPUTED_VALUE"""),42.0)</f>
        <v>42</v>
      </c>
      <c r="C4277" s="4" t="str">
        <f>IFERROR(__xludf.DUMMYFUNCTION("""COMPUTED_VALUE"""),"HOU")</f>
        <v>HOU</v>
      </c>
      <c r="D4277" s="4" t="str">
        <f>IFERROR(__xludf.DUMMYFUNCTION("""COMPUTED_VALUE"""),"Paul Mokeski")</f>
        <v>Paul Mokeski</v>
      </c>
      <c r="E4277" s="4" t="str">
        <f>IFERROR(__xludf.DUMMYFUNCTION("""COMPUTED_VALUE"""),"Kansas")</f>
        <v>Kansas</v>
      </c>
      <c r="F4277" s="4">
        <f>IFERROR(__xludf.DUMMYFUNCTION("""COMPUTED_VALUE"""),12.0)</f>
        <v>12</v>
      </c>
      <c r="G4277" s="4">
        <f>IFERROR(__xludf.DUMMYFUNCTION("""COMPUTED_VALUE"""),694.0)</f>
        <v>694</v>
      </c>
      <c r="H4277" s="4">
        <f>IFERROR(__xludf.DUMMYFUNCTION("""COMPUTED_VALUE"""),9739.0)</f>
        <v>9739</v>
      </c>
      <c r="I4277" s="4">
        <f>IFERROR(__xludf.DUMMYFUNCTION("""COMPUTED_VALUE"""),2764.0)</f>
        <v>2764</v>
      </c>
      <c r="J4277" s="4">
        <f>IFERROR(__xludf.DUMMYFUNCTION("""COMPUTED_VALUE"""),2342.0)</f>
        <v>2342</v>
      </c>
      <c r="K4277" s="4">
        <f>IFERROR(__xludf.DUMMYFUNCTION("""COMPUTED_VALUE"""),500.0)</f>
        <v>500</v>
      </c>
      <c r="L4277" s="4">
        <f>IFERROR(__xludf.DUMMYFUNCTION("""COMPUTED_VALUE"""),0.451)</f>
        <v>0.451</v>
      </c>
      <c r="M4277" s="4">
        <f>IFERROR(__xludf.DUMMYFUNCTION("""COMPUTED_VALUE"""),0.216)</f>
        <v>0.216</v>
      </c>
      <c r="N4277" s="4">
        <f>IFERROR(__xludf.DUMMYFUNCTION("""COMPUTED_VALUE"""),0.694)</f>
        <v>0.694</v>
      </c>
      <c r="O4277" s="4">
        <f>IFERROR(__xludf.DUMMYFUNCTION("""COMPUTED_VALUE"""),14.0)</f>
        <v>14</v>
      </c>
      <c r="P4277" s="4">
        <f>IFERROR(__xludf.DUMMYFUNCTION("""COMPUTED_VALUE"""),4.0)</f>
        <v>4</v>
      </c>
      <c r="Q4277" s="4">
        <f>IFERROR(__xludf.DUMMYFUNCTION("""COMPUTED_VALUE"""),3.4)</f>
        <v>3.4</v>
      </c>
      <c r="R4277" s="4">
        <f>IFERROR(__xludf.DUMMYFUNCTION("""COMPUTED_VALUE"""),0.7)</f>
        <v>0.7</v>
      </c>
      <c r="S4277" s="4">
        <f>IFERROR(__xludf.DUMMYFUNCTION("""COMPUTED_VALUE"""),13.5)</f>
        <v>13.5</v>
      </c>
      <c r="T4277" s="4">
        <f>IFERROR(__xludf.DUMMYFUNCTION("""COMPUTED_VALUE"""),0.067)</f>
        <v>0.067</v>
      </c>
      <c r="U4277" s="4">
        <f>IFERROR(__xludf.DUMMYFUNCTION("""COMPUTED_VALUE"""),-3.3)</f>
        <v>-3.3</v>
      </c>
      <c r="V4277" s="4">
        <f>IFERROR(__xludf.DUMMYFUNCTION("""COMPUTED_VALUE"""),-3.3)</f>
        <v>-3.3</v>
      </c>
    </row>
    <row r="4278">
      <c r="A4278" s="4">
        <f>IFERROR(__xludf.DUMMYFUNCTION("""COMPUTED_VALUE"""),43.0)</f>
        <v>43</v>
      </c>
      <c r="B4278" s="4">
        <f>IFERROR(__xludf.DUMMYFUNCTION("""COMPUTED_VALUE"""),43.0)</f>
        <v>43</v>
      </c>
      <c r="C4278" s="4" t="str">
        <f>IFERROR(__xludf.DUMMYFUNCTION("""COMPUTED_VALUE"""),"SEA")</f>
        <v>SEA</v>
      </c>
      <c r="D4278" s="4" t="str">
        <f>IFERROR(__xludf.DUMMYFUNCTION("""COMPUTED_VALUE"""),"Johnny Moore")</f>
        <v>Johnny Moore</v>
      </c>
      <c r="E4278" s="4" t="str">
        <f>IFERROR(__xludf.DUMMYFUNCTION("""COMPUTED_VALUE"""),"Texas")</f>
        <v>Texas</v>
      </c>
      <c r="F4278" s="4">
        <f>IFERROR(__xludf.DUMMYFUNCTION("""COMPUTED_VALUE"""),9.0)</f>
        <v>9</v>
      </c>
      <c r="G4278" s="4">
        <f>IFERROR(__xludf.DUMMYFUNCTION("""COMPUTED_VALUE"""),520.0)</f>
        <v>520</v>
      </c>
      <c r="H4278" s="4">
        <f>IFERROR(__xludf.DUMMYFUNCTION("""COMPUTED_VALUE"""),13430.0)</f>
        <v>13430</v>
      </c>
      <c r="I4278" s="4">
        <f>IFERROR(__xludf.DUMMYFUNCTION("""COMPUTED_VALUE"""),4890.0)</f>
        <v>4890</v>
      </c>
      <c r="J4278" s="4">
        <f>IFERROR(__xludf.DUMMYFUNCTION("""COMPUTED_VALUE"""),1548.0)</f>
        <v>1548</v>
      </c>
      <c r="K4278" s="4">
        <f>IFERROR(__xludf.DUMMYFUNCTION("""COMPUTED_VALUE"""),3866.0)</f>
        <v>3866</v>
      </c>
      <c r="L4278" s="4">
        <f>IFERROR(__xludf.DUMMYFUNCTION("""COMPUTED_VALUE"""),0.46)</f>
        <v>0.46</v>
      </c>
      <c r="M4278" s="4">
        <f>IFERROR(__xludf.DUMMYFUNCTION("""COMPUTED_VALUE"""),0.251)</f>
        <v>0.251</v>
      </c>
      <c r="N4278" s="4">
        <f>IFERROR(__xludf.DUMMYFUNCTION("""COMPUTED_VALUE"""),0.712)</f>
        <v>0.712</v>
      </c>
      <c r="O4278" s="4">
        <f>IFERROR(__xludf.DUMMYFUNCTION("""COMPUTED_VALUE"""),25.8)</f>
        <v>25.8</v>
      </c>
      <c r="P4278" s="4">
        <f>IFERROR(__xludf.DUMMYFUNCTION("""COMPUTED_VALUE"""),9.4)</f>
        <v>9.4</v>
      </c>
      <c r="Q4278" s="4">
        <f>IFERROR(__xludf.DUMMYFUNCTION("""COMPUTED_VALUE"""),3.0)</f>
        <v>3</v>
      </c>
      <c r="R4278" s="4">
        <f>IFERROR(__xludf.DUMMYFUNCTION("""COMPUTED_VALUE"""),7.4)</f>
        <v>7.4</v>
      </c>
      <c r="S4278" s="4">
        <f>IFERROR(__xludf.DUMMYFUNCTION("""COMPUTED_VALUE"""),30.1)</f>
        <v>30.1</v>
      </c>
      <c r="T4278" s="4">
        <f>IFERROR(__xludf.DUMMYFUNCTION("""COMPUTED_VALUE"""),0.108)</f>
        <v>0.108</v>
      </c>
      <c r="U4278" s="4">
        <f>IFERROR(__xludf.DUMMYFUNCTION("""COMPUTED_VALUE"""),2.2)</f>
        <v>2.2</v>
      </c>
      <c r="V4278" s="4">
        <f>IFERROR(__xludf.DUMMYFUNCTION("""COMPUTED_VALUE"""),14.4)</f>
        <v>14.4</v>
      </c>
    </row>
    <row r="4279">
      <c r="A4279" s="4">
        <f>IFERROR(__xludf.DUMMYFUNCTION("""COMPUTED_VALUE"""),44.0)</f>
        <v>44</v>
      </c>
      <c r="B4279" s="4">
        <f>IFERROR(__xludf.DUMMYFUNCTION("""COMPUTED_VALUE"""),44.0)</f>
        <v>44</v>
      </c>
      <c r="C4279" s="4" t="str">
        <f>IFERROR(__xludf.DUMMYFUNCTION("""COMPUTED_VALUE"""),"WSB")</f>
        <v>WSB</v>
      </c>
      <c r="D4279" s="4" t="str">
        <f>IFERROR(__xludf.DUMMYFUNCTION("""COMPUTED_VALUE"""),"Joe DeSantis")</f>
        <v>Joe DeSantis</v>
      </c>
      <c r="E4279" s="4" t="str">
        <f>IFERROR(__xludf.DUMMYFUNCTION("""COMPUTED_VALUE"""),"Fairfield")</f>
        <v>Fairfield</v>
      </c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</row>
    <row r="4280">
      <c r="A4280" s="4"/>
      <c r="B4280" s="4"/>
      <c r="C4280" s="4"/>
      <c r="D4280" s="4" t="str">
        <f>IFERROR(__xludf.DUMMYFUNCTION("""COMPUTED_VALUE"""),"Round 3")</f>
        <v>Round 3</v>
      </c>
      <c r="E4280" s="4"/>
      <c r="F4280" s="4"/>
      <c r="G4280" s="4" t="str">
        <f>IFERROR(__xludf.DUMMYFUNCTION("""COMPUTED_VALUE"""),"Totals")</f>
        <v>Totals</v>
      </c>
      <c r="H4280" s="4"/>
      <c r="I4280" s="4"/>
      <c r="J4280" s="4"/>
      <c r="K4280" s="4"/>
      <c r="L4280" s="4" t="str">
        <f>IFERROR(__xludf.DUMMYFUNCTION("""COMPUTED_VALUE"""),"Shooting")</f>
        <v>Shooting</v>
      </c>
      <c r="M4280" s="4"/>
      <c r="N4280" s="4"/>
      <c r="O4280" s="4" t="str">
        <f>IFERROR(__xludf.DUMMYFUNCTION("""COMPUTED_VALUE"""),"Per Game")</f>
        <v>Per Game</v>
      </c>
      <c r="P4280" s="4"/>
      <c r="Q4280" s="4"/>
      <c r="R4280" s="4"/>
      <c r="S4280" s="4" t="str">
        <f>IFERROR(__xludf.DUMMYFUNCTION("""COMPUTED_VALUE"""),"Advanced")</f>
        <v>Advanced</v>
      </c>
      <c r="T4280" s="4"/>
      <c r="U4280" s="4"/>
      <c r="V4280" s="4"/>
    </row>
    <row r="4281">
      <c r="A4281" s="4" t="str">
        <f>IFERROR(__xludf.DUMMYFUNCTION("""COMPUTED_VALUE"""),"Rk")</f>
        <v>Rk</v>
      </c>
      <c r="B4281" s="4" t="str">
        <f>IFERROR(__xludf.DUMMYFUNCTION("""COMPUTED_VALUE"""),"Pk")</f>
        <v>Pk</v>
      </c>
      <c r="C4281" s="4" t="str">
        <f>IFERROR(__xludf.DUMMYFUNCTION("""COMPUTED_VALUE"""),"Tm")</f>
        <v>Tm</v>
      </c>
      <c r="D4281" s="4" t="str">
        <f>IFERROR(__xludf.DUMMYFUNCTION("""COMPUTED_VALUE"""),"Player")</f>
        <v>Player</v>
      </c>
      <c r="E4281" s="4" t="str">
        <f>IFERROR(__xludf.DUMMYFUNCTION("""COMPUTED_VALUE"""),"College")</f>
        <v>College</v>
      </c>
      <c r="F4281" s="4" t="str">
        <f>IFERROR(__xludf.DUMMYFUNCTION("""COMPUTED_VALUE"""),"Yrs")</f>
        <v>Yrs</v>
      </c>
      <c r="G4281" s="4" t="str">
        <f>IFERROR(__xludf.DUMMYFUNCTION("""COMPUTED_VALUE"""),"G")</f>
        <v>G</v>
      </c>
      <c r="H4281" s="4" t="str">
        <f>IFERROR(__xludf.DUMMYFUNCTION("""COMPUTED_VALUE"""),"MP")</f>
        <v>MP</v>
      </c>
      <c r="I4281" s="4" t="str">
        <f>IFERROR(__xludf.DUMMYFUNCTION("""COMPUTED_VALUE"""),"PTS")</f>
        <v>PTS</v>
      </c>
      <c r="J4281" s="4" t="str">
        <f>IFERROR(__xludf.DUMMYFUNCTION("""COMPUTED_VALUE"""),"TRB")</f>
        <v>TRB</v>
      </c>
      <c r="K4281" s="4" t="str">
        <f>IFERROR(__xludf.DUMMYFUNCTION("""COMPUTED_VALUE"""),"AST")</f>
        <v>AST</v>
      </c>
      <c r="L4281" s="4" t="str">
        <f>IFERROR(__xludf.DUMMYFUNCTION("""COMPUTED_VALUE"""),"FG%")</f>
        <v>FG%</v>
      </c>
      <c r="M4281" s="4" t="str">
        <f>IFERROR(__xludf.DUMMYFUNCTION("""COMPUTED_VALUE"""),"3P%")</f>
        <v>3P%</v>
      </c>
      <c r="N4281" s="4" t="str">
        <f>IFERROR(__xludf.DUMMYFUNCTION("""COMPUTED_VALUE"""),"FT%")</f>
        <v>FT%</v>
      </c>
      <c r="O4281" s="4" t="str">
        <f>IFERROR(__xludf.DUMMYFUNCTION("""COMPUTED_VALUE"""),"MP")</f>
        <v>MP</v>
      </c>
      <c r="P4281" s="4" t="str">
        <f>IFERROR(__xludf.DUMMYFUNCTION("""COMPUTED_VALUE"""),"PTS")</f>
        <v>PTS</v>
      </c>
      <c r="Q4281" s="4" t="str">
        <f>IFERROR(__xludf.DUMMYFUNCTION("""COMPUTED_VALUE"""),"TRB")</f>
        <v>TRB</v>
      </c>
      <c r="R4281" s="4" t="str">
        <f>IFERROR(__xludf.DUMMYFUNCTION("""COMPUTED_VALUE"""),"AST")</f>
        <v>AST</v>
      </c>
      <c r="S4281" s="4" t="str">
        <f>IFERROR(__xludf.DUMMYFUNCTION("""COMPUTED_VALUE"""),"WS")</f>
        <v>WS</v>
      </c>
      <c r="T4281" s="4" t="str">
        <f>IFERROR(__xludf.DUMMYFUNCTION("""COMPUTED_VALUE"""),"WS/48")</f>
        <v>WS/48</v>
      </c>
      <c r="U4281" s="4" t="str">
        <f>IFERROR(__xludf.DUMMYFUNCTION("""COMPUTED_VALUE"""),"BPM")</f>
        <v>BPM</v>
      </c>
      <c r="V4281" s="4" t="str">
        <f>IFERROR(__xludf.DUMMYFUNCTION("""COMPUTED_VALUE"""),"VORP")</f>
        <v>VORP</v>
      </c>
    </row>
    <row r="4282">
      <c r="A4282" s="4">
        <f>IFERROR(__xludf.DUMMYFUNCTION("""COMPUTED_VALUE"""),45.0)</f>
        <v>45</v>
      </c>
      <c r="B4282" s="4">
        <f>IFERROR(__xludf.DUMMYFUNCTION("""COMPUTED_VALUE"""),45.0)</f>
        <v>45</v>
      </c>
      <c r="C4282" s="4" t="str">
        <f>IFERROR(__xludf.DUMMYFUNCTION("""COMPUTED_VALUE"""),"UTA")</f>
        <v>UTA</v>
      </c>
      <c r="D4282" s="4" t="str">
        <f>IFERROR(__xludf.DUMMYFUNCTION("""COMPUTED_VALUE"""),"Arvid Kramer")</f>
        <v>Arvid Kramer</v>
      </c>
      <c r="E4282" s="4" t="str">
        <f>IFERROR(__xludf.DUMMYFUNCTION("""COMPUTED_VALUE"""),"Augustana College (SD)")</f>
        <v>Augustana College (SD)</v>
      </c>
      <c r="F4282" s="4">
        <f>IFERROR(__xludf.DUMMYFUNCTION("""COMPUTED_VALUE"""),1.0)</f>
        <v>1</v>
      </c>
      <c r="G4282" s="4">
        <f>IFERROR(__xludf.DUMMYFUNCTION("""COMPUTED_VALUE"""),8.0)</f>
        <v>8</v>
      </c>
      <c r="H4282" s="4">
        <f>IFERROR(__xludf.DUMMYFUNCTION("""COMPUTED_VALUE"""),45.0)</f>
        <v>45</v>
      </c>
      <c r="I4282" s="4">
        <f>IFERROR(__xludf.DUMMYFUNCTION("""COMPUTED_VALUE"""),16.0)</f>
        <v>16</v>
      </c>
      <c r="J4282" s="4">
        <f>IFERROR(__xludf.DUMMYFUNCTION("""COMPUTED_VALUE"""),12.0)</f>
        <v>12</v>
      </c>
      <c r="K4282" s="4">
        <f>IFERROR(__xludf.DUMMYFUNCTION("""COMPUTED_VALUE"""),3.0)</f>
        <v>3</v>
      </c>
      <c r="L4282" s="4">
        <f>IFERROR(__xludf.DUMMYFUNCTION("""COMPUTED_VALUE"""),0.318)</f>
        <v>0.318</v>
      </c>
      <c r="M4282" s="4"/>
      <c r="N4282" s="4">
        <f>IFERROR(__xludf.DUMMYFUNCTION("""COMPUTED_VALUE"""),1.0)</f>
        <v>1</v>
      </c>
      <c r="O4282" s="4">
        <f>IFERROR(__xludf.DUMMYFUNCTION("""COMPUTED_VALUE"""),5.6)</f>
        <v>5.6</v>
      </c>
      <c r="P4282" s="4">
        <f>IFERROR(__xludf.DUMMYFUNCTION("""COMPUTED_VALUE"""),2.0)</f>
        <v>2</v>
      </c>
      <c r="Q4282" s="4">
        <f>IFERROR(__xludf.DUMMYFUNCTION("""COMPUTED_VALUE"""),1.5)</f>
        <v>1.5</v>
      </c>
      <c r="R4282" s="4">
        <f>IFERROR(__xludf.DUMMYFUNCTION("""COMPUTED_VALUE"""),0.4)</f>
        <v>0.4</v>
      </c>
      <c r="S4282" s="4">
        <f>IFERROR(__xludf.DUMMYFUNCTION("""COMPUTED_VALUE"""),-0.1)</f>
        <v>-0.1</v>
      </c>
      <c r="T4282" s="4">
        <f>IFERROR(__xludf.DUMMYFUNCTION("""COMPUTED_VALUE"""),-0.102)</f>
        <v>-0.102</v>
      </c>
      <c r="U4282" s="4">
        <f>IFERROR(__xludf.DUMMYFUNCTION("""COMPUTED_VALUE"""),-5.4)</f>
        <v>-5.4</v>
      </c>
      <c r="V4282" s="4">
        <f>IFERROR(__xludf.DUMMYFUNCTION("""COMPUTED_VALUE"""),-0.1)</f>
        <v>-0.1</v>
      </c>
    </row>
    <row r="4283">
      <c r="A4283" s="4">
        <f>IFERROR(__xludf.DUMMYFUNCTION("""COMPUTED_VALUE"""),46.0)</f>
        <v>46</v>
      </c>
      <c r="B4283" s="4">
        <f>IFERROR(__xludf.DUMMYFUNCTION("""COMPUTED_VALUE"""),46.0)</f>
        <v>46</v>
      </c>
      <c r="C4283" s="4" t="str">
        <f>IFERROR(__xludf.DUMMYFUNCTION("""COMPUTED_VALUE"""),"WSB")</f>
        <v>WSB</v>
      </c>
      <c r="D4283" s="4" t="str">
        <f>IFERROR(__xludf.DUMMYFUNCTION("""COMPUTED_VALUE"""),"Andrew Parker")</f>
        <v>Andrew Parker</v>
      </c>
      <c r="E4283" s="4" t="str">
        <f>IFERROR(__xludf.DUMMYFUNCTION("""COMPUTED_VALUE"""),"Iowa State")</f>
        <v>Iowa State</v>
      </c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</row>
    <row r="4284">
      <c r="A4284" s="4">
        <f>IFERROR(__xludf.DUMMYFUNCTION("""COMPUTED_VALUE"""),47.0)</f>
        <v>47</v>
      </c>
      <c r="B4284" s="4">
        <f>IFERROR(__xludf.DUMMYFUNCTION("""COMPUTED_VALUE"""),47.0)</f>
        <v>47</v>
      </c>
      <c r="C4284" s="4" t="str">
        <f>IFERROR(__xludf.DUMMYFUNCTION("""COMPUTED_VALUE"""),"CHI")</f>
        <v>CHI</v>
      </c>
      <c r="D4284" s="4" t="str">
        <f>IFERROR(__xludf.DUMMYFUNCTION("""COMPUTED_VALUE"""),"Calvin Garrett")</f>
        <v>Calvin Garrett</v>
      </c>
      <c r="E4284" s="4" t="str">
        <f>IFERROR(__xludf.DUMMYFUNCTION("""COMPUTED_VALUE"""),"Oral Roberts")</f>
        <v>Oral Roberts</v>
      </c>
      <c r="F4284" s="4">
        <f>IFERROR(__xludf.DUMMYFUNCTION("""COMPUTED_VALUE"""),4.0)</f>
        <v>4</v>
      </c>
      <c r="G4284" s="4">
        <f>IFERROR(__xludf.DUMMYFUNCTION("""COMPUTED_VALUE"""),166.0)</f>
        <v>166</v>
      </c>
      <c r="H4284" s="4">
        <f>IFERROR(__xludf.DUMMYFUNCTION("""COMPUTED_VALUE"""),3008.0)</f>
        <v>3008</v>
      </c>
      <c r="I4284" s="4">
        <f>IFERROR(__xludf.DUMMYFUNCTION("""COMPUTED_VALUE"""),855.0)</f>
        <v>855</v>
      </c>
      <c r="J4284" s="4">
        <f>IFERROR(__xludf.DUMMYFUNCTION("""COMPUTED_VALUE"""),436.0)</f>
        <v>436</v>
      </c>
      <c r="K4284" s="4">
        <f>IFERROR(__xludf.DUMMYFUNCTION("""COMPUTED_VALUE"""),242.0)</f>
        <v>242</v>
      </c>
      <c r="L4284" s="4">
        <f>IFERROR(__xludf.DUMMYFUNCTION("""COMPUTED_VALUE"""),0.457)</f>
        <v>0.457</v>
      </c>
      <c r="M4284" s="4">
        <f>IFERROR(__xludf.DUMMYFUNCTION("""COMPUTED_VALUE"""),0.3)</f>
        <v>0.3</v>
      </c>
      <c r="N4284" s="4">
        <f>IFERROR(__xludf.DUMMYFUNCTION("""COMPUTED_VALUE"""),0.767)</f>
        <v>0.767</v>
      </c>
      <c r="O4284" s="4">
        <f>IFERROR(__xludf.DUMMYFUNCTION("""COMPUTED_VALUE"""),18.1)</f>
        <v>18.1</v>
      </c>
      <c r="P4284" s="4">
        <f>IFERROR(__xludf.DUMMYFUNCTION("""COMPUTED_VALUE"""),5.2)</f>
        <v>5.2</v>
      </c>
      <c r="Q4284" s="4">
        <f>IFERROR(__xludf.DUMMYFUNCTION("""COMPUTED_VALUE"""),2.6)</f>
        <v>2.6</v>
      </c>
      <c r="R4284" s="4">
        <f>IFERROR(__xludf.DUMMYFUNCTION("""COMPUTED_VALUE"""),1.5)</f>
        <v>1.5</v>
      </c>
      <c r="S4284" s="4">
        <f>IFERROR(__xludf.DUMMYFUNCTION("""COMPUTED_VALUE"""),2.6)</f>
        <v>2.6</v>
      </c>
      <c r="T4284" s="4">
        <f>IFERROR(__xludf.DUMMYFUNCTION("""COMPUTED_VALUE"""),0.042)</f>
        <v>0.042</v>
      </c>
      <c r="U4284" s="4">
        <f>IFERROR(__xludf.DUMMYFUNCTION("""COMPUTED_VALUE"""),-2.7)</f>
        <v>-2.7</v>
      </c>
      <c r="V4284" s="4">
        <f>IFERROR(__xludf.DUMMYFUNCTION("""COMPUTED_VALUE"""),-0.6)</f>
        <v>-0.6</v>
      </c>
    </row>
    <row r="4285">
      <c r="A4285" s="4">
        <f>IFERROR(__xludf.DUMMYFUNCTION("""COMPUTED_VALUE"""),48.0)</f>
        <v>48</v>
      </c>
      <c r="B4285" s="4">
        <f>IFERROR(__xludf.DUMMYFUNCTION("""COMPUTED_VALUE"""),48.0)</f>
        <v>48</v>
      </c>
      <c r="C4285" s="4" t="str">
        <f>IFERROR(__xludf.DUMMYFUNCTION("""COMPUTED_VALUE"""),"DET")</f>
        <v>DET</v>
      </c>
      <c r="D4285" s="4" t="str">
        <f>IFERROR(__xludf.DUMMYFUNCTION("""COMPUTED_VALUE"""),"Terry Duerod")</f>
        <v>Terry Duerod</v>
      </c>
      <c r="E4285" s="4" t="str">
        <f>IFERROR(__xludf.DUMMYFUNCTION("""COMPUTED_VALUE"""),"Detroit Mercy")</f>
        <v>Detroit Mercy</v>
      </c>
      <c r="F4285" s="4">
        <f>IFERROR(__xludf.DUMMYFUNCTION("""COMPUTED_VALUE"""),4.0)</f>
        <v>4</v>
      </c>
      <c r="G4285" s="4">
        <f>IFERROR(__xludf.DUMMYFUNCTION("""COMPUTED_VALUE"""),143.0)</f>
        <v>143</v>
      </c>
      <c r="H4285" s="4">
        <f>IFERROR(__xludf.DUMMYFUNCTION("""COMPUTED_VALUE"""),1977.0)</f>
        <v>1977</v>
      </c>
      <c r="I4285" s="4">
        <f>IFERROR(__xludf.DUMMYFUNCTION("""COMPUTED_VALUE"""),961.0)</f>
        <v>961</v>
      </c>
      <c r="J4285" s="4">
        <f>IFERROR(__xludf.DUMMYFUNCTION("""COMPUTED_VALUE"""),160.0)</f>
        <v>160</v>
      </c>
      <c r="K4285" s="4">
        <f>IFERROR(__xludf.DUMMYFUNCTION("""COMPUTED_VALUE"""),170.0)</f>
        <v>170</v>
      </c>
      <c r="L4285" s="4">
        <f>IFERROR(__xludf.DUMMYFUNCTION("""COMPUTED_VALUE"""),0.462)</f>
        <v>0.462</v>
      </c>
      <c r="M4285" s="4">
        <f>IFERROR(__xludf.DUMMYFUNCTION("""COMPUTED_VALUE"""),0.329)</f>
        <v>0.329</v>
      </c>
      <c r="N4285" s="4">
        <f>IFERROR(__xludf.DUMMYFUNCTION("""COMPUTED_VALUE"""),0.672)</f>
        <v>0.672</v>
      </c>
      <c r="O4285" s="4">
        <f>IFERROR(__xludf.DUMMYFUNCTION("""COMPUTED_VALUE"""),13.8)</f>
        <v>13.8</v>
      </c>
      <c r="P4285" s="4">
        <f>IFERROR(__xludf.DUMMYFUNCTION("""COMPUTED_VALUE"""),6.7)</f>
        <v>6.7</v>
      </c>
      <c r="Q4285" s="4">
        <f>IFERROR(__xludf.DUMMYFUNCTION("""COMPUTED_VALUE"""),1.1)</f>
        <v>1.1</v>
      </c>
      <c r="R4285" s="4">
        <f>IFERROR(__xludf.DUMMYFUNCTION("""COMPUTED_VALUE"""),1.2)</f>
        <v>1.2</v>
      </c>
      <c r="S4285" s="4">
        <f>IFERROR(__xludf.DUMMYFUNCTION("""COMPUTED_VALUE"""),1.0)</f>
        <v>1</v>
      </c>
      <c r="T4285" s="4">
        <f>IFERROR(__xludf.DUMMYFUNCTION("""COMPUTED_VALUE"""),0.023)</f>
        <v>0.023</v>
      </c>
      <c r="U4285" s="4">
        <f>IFERROR(__xludf.DUMMYFUNCTION("""COMPUTED_VALUE"""),-3.0)</f>
        <v>-3</v>
      </c>
      <c r="V4285" s="4">
        <f>IFERROR(__xludf.DUMMYFUNCTION("""COMPUTED_VALUE"""),-0.5)</f>
        <v>-0.5</v>
      </c>
    </row>
    <row r="4286">
      <c r="A4286" s="4">
        <f>IFERROR(__xludf.DUMMYFUNCTION("""COMPUTED_VALUE"""),49.0)</f>
        <v>49</v>
      </c>
      <c r="B4286" s="4">
        <f>IFERROR(__xludf.DUMMYFUNCTION("""COMPUTED_VALUE"""),49.0)</f>
        <v>49</v>
      </c>
      <c r="C4286" s="4" t="str">
        <f>IFERROR(__xludf.DUMMYFUNCTION("""COMPUTED_VALUE"""),"CHI")</f>
        <v>CHI</v>
      </c>
      <c r="D4286" s="4" t="str">
        <f>IFERROR(__xludf.DUMMYFUNCTION("""COMPUTED_VALUE"""),"Cedrick Hordges")</f>
        <v>Cedrick Hordges</v>
      </c>
      <c r="E4286" s="4" t="str">
        <f>IFERROR(__xludf.DUMMYFUNCTION("""COMPUTED_VALUE"""),"South Carolina")</f>
        <v>South Carolina</v>
      </c>
      <c r="F4286" s="4">
        <f>IFERROR(__xludf.DUMMYFUNCTION("""COMPUTED_VALUE"""),2.0)</f>
        <v>2</v>
      </c>
      <c r="G4286" s="4">
        <f>IFERROR(__xludf.DUMMYFUNCTION("""COMPUTED_VALUE"""),145.0)</f>
        <v>145</v>
      </c>
      <c r="H4286" s="4">
        <f>IFERROR(__xludf.DUMMYFUNCTION("""COMPUTED_VALUE"""),2971.0)</f>
        <v>2971</v>
      </c>
      <c r="I4286" s="4">
        <f>IFERROR(__xludf.DUMMYFUNCTION("""COMPUTED_VALUE"""),1099.0)</f>
        <v>1099</v>
      </c>
      <c r="J4286" s="4">
        <f>IFERROR(__xludf.DUMMYFUNCTION("""COMPUTED_VALUE"""),853.0)</f>
        <v>853</v>
      </c>
      <c r="K4286" s="4">
        <f>IFERROR(__xludf.DUMMYFUNCTION("""COMPUTED_VALUE"""),169.0)</f>
        <v>169</v>
      </c>
      <c r="L4286" s="4">
        <f>IFERROR(__xludf.DUMMYFUNCTION("""COMPUTED_VALUE"""),0.475)</f>
        <v>0.475</v>
      </c>
      <c r="M4286" s="4">
        <f>IFERROR(__xludf.DUMMYFUNCTION("""COMPUTED_VALUE"""),0.188)</f>
        <v>0.188</v>
      </c>
      <c r="N4286" s="4">
        <f>IFERROR(__xludf.DUMMYFUNCTION("""COMPUTED_VALUE"""),0.639)</f>
        <v>0.639</v>
      </c>
      <c r="O4286" s="4">
        <f>IFERROR(__xludf.DUMMYFUNCTION("""COMPUTED_VALUE"""),20.5)</f>
        <v>20.5</v>
      </c>
      <c r="P4286" s="4">
        <f>IFERROR(__xludf.DUMMYFUNCTION("""COMPUTED_VALUE"""),7.6)</f>
        <v>7.6</v>
      </c>
      <c r="Q4286" s="4">
        <f>IFERROR(__xludf.DUMMYFUNCTION("""COMPUTED_VALUE"""),5.9)</f>
        <v>5.9</v>
      </c>
      <c r="R4286" s="4">
        <f>IFERROR(__xludf.DUMMYFUNCTION("""COMPUTED_VALUE"""),1.2)</f>
        <v>1.2</v>
      </c>
      <c r="S4286" s="4">
        <f>IFERROR(__xludf.DUMMYFUNCTION("""COMPUTED_VALUE"""),2.2)</f>
        <v>2.2</v>
      </c>
      <c r="T4286" s="4">
        <f>IFERROR(__xludf.DUMMYFUNCTION("""COMPUTED_VALUE"""),0.036)</f>
        <v>0.036</v>
      </c>
      <c r="U4286" s="4">
        <f>IFERROR(__xludf.DUMMYFUNCTION("""COMPUTED_VALUE"""),-4.1)</f>
        <v>-4.1</v>
      </c>
      <c r="V4286" s="4">
        <f>IFERROR(__xludf.DUMMYFUNCTION("""COMPUTED_VALUE"""),-1.6)</f>
        <v>-1.6</v>
      </c>
    </row>
    <row r="4287">
      <c r="A4287" s="4">
        <f>IFERROR(__xludf.DUMMYFUNCTION("""COMPUTED_VALUE"""),50.0)</f>
        <v>50</v>
      </c>
      <c r="B4287" s="4">
        <f>IFERROR(__xludf.DUMMYFUNCTION("""COMPUTED_VALUE"""),50.0)</f>
        <v>50</v>
      </c>
      <c r="C4287" s="4" t="str">
        <f>IFERROR(__xludf.DUMMYFUNCTION("""COMPUTED_VALUE"""),"NYK")</f>
        <v>NYK</v>
      </c>
      <c r="D4287" s="4" t="str">
        <f>IFERROR(__xludf.DUMMYFUNCTION("""COMPUTED_VALUE"""),"Geoff Huston")</f>
        <v>Geoff Huston</v>
      </c>
      <c r="E4287" s="4" t="str">
        <f>IFERROR(__xludf.DUMMYFUNCTION("""COMPUTED_VALUE"""),"Texas Tech")</f>
        <v>Texas Tech</v>
      </c>
      <c r="F4287" s="4">
        <f>IFERROR(__xludf.DUMMYFUNCTION("""COMPUTED_VALUE"""),8.0)</f>
        <v>8</v>
      </c>
      <c r="G4287" s="4">
        <f>IFERROR(__xludf.DUMMYFUNCTION("""COMPUTED_VALUE"""),496.0)</f>
        <v>496</v>
      </c>
      <c r="H4287" s="4">
        <f>IFERROR(__xludf.DUMMYFUNCTION("""COMPUTED_VALUE"""),12252.0)</f>
        <v>12252</v>
      </c>
      <c r="I4287" s="4">
        <f>IFERROR(__xludf.DUMMYFUNCTION("""COMPUTED_VALUE"""),4380.0)</f>
        <v>4380</v>
      </c>
      <c r="J4287" s="4">
        <f>IFERROR(__xludf.DUMMYFUNCTION("""COMPUTED_VALUE"""),684.0)</f>
        <v>684</v>
      </c>
      <c r="K4287" s="4">
        <f>IFERROR(__xludf.DUMMYFUNCTION("""COMPUTED_VALUE"""),2509.0)</f>
        <v>2509</v>
      </c>
      <c r="L4287" s="4">
        <f>IFERROR(__xludf.DUMMYFUNCTION("""COMPUTED_VALUE"""),0.483)</f>
        <v>0.483</v>
      </c>
      <c r="M4287" s="4">
        <f>IFERROR(__xludf.DUMMYFUNCTION("""COMPUTED_VALUE"""),0.254)</f>
        <v>0.254</v>
      </c>
      <c r="N4287" s="4">
        <f>IFERROR(__xludf.DUMMYFUNCTION("""COMPUTED_VALUE"""),0.708)</f>
        <v>0.708</v>
      </c>
      <c r="O4287" s="4">
        <f>IFERROR(__xludf.DUMMYFUNCTION("""COMPUTED_VALUE"""),24.7)</f>
        <v>24.7</v>
      </c>
      <c r="P4287" s="4">
        <f>IFERROR(__xludf.DUMMYFUNCTION("""COMPUTED_VALUE"""),8.8)</f>
        <v>8.8</v>
      </c>
      <c r="Q4287" s="4">
        <f>IFERROR(__xludf.DUMMYFUNCTION("""COMPUTED_VALUE"""),1.4)</f>
        <v>1.4</v>
      </c>
      <c r="R4287" s="4">
        <f>IFERROR(__xludf.DUMMYFUNCTION("""COMPUTED_VALUE"""),5.1)</f>
        <v>5.1</v>
      </c>
      <c r="S4287" s="4">
        <f>IFERROR(__xludf.DUMMYFUNCTION("""COMPUTED_VALUE"""),11.9)</f>
        <v>11.9</v>
      </c>
      <c r="T4287" s="4">
        <f>IFERROR(__xludf.DUMMYFUNCTION("""COMPUTED_VALUE"""),0.047)</f>
        <v>0.047</v>
      </c>
      <c r="U4287" s="4">
        <f>IFERROR(__xludf.DUMMYFUNCTION("""COMPUTED_VALUE"""),-2.0)</f>
        <v>-2</v>
      </c>
      <c r="V4287" s="4">
        <f>IFERROR(__xludf.DUMMYFUNCTION("""COMPUTED_VALUE"""),0.0)</f>
        <v>0</v>
      </c>
    </row>
    <row r="4288">
      <c r="A4288" s="4">
        <f>IFERROR(__xludf.DUMMYFUNCTION("""COMPUTED_VALUE"""),51.0)</f>
        <v>51</v>
      </c>
      <c r="B4288" s="4">
        <f>IFERROR(__xludf.DUMMYFUNCTION("""COMPUTED_VALUE"""),51.0)</f>
        <v>51</v>
      </c>
      <c r="C4288" s="4" t="str">
        <f>IFERROR(__xludf.DUMMYFUNCTION("""COMPUTED_VALUE"""),"NJN")</f>
        <v>NJN</v>
      </c>
      <c r="D4288" s="4" t="str">
        <f>IFERROR(__xludf.DUMMYFUNCTION("""COMPUTED_VALUE"""),"John Gerdy")</f>
        <v>John Gerdy</v>
      </c>
      <c r="E4288" s="4" t="str">
        <f>IFERROR(__xludf.DUMMYFUNCTION("""COMPUTED_VALUE"""),"Davidson")</f>
        <v>Davidson</v>
      </c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</row>
    <row r="4289">
      <c r="A4289" s="4">
        <f>IFERROR(__xludf.DUMMYFUNCTION("""COMPUTED_VALUE"""),52.0)</f>
        <v>52</v>
      </c>
      <c r="B4289" s="4">
        <f>IFERROR(__xludf.DUMMYFUNCTION("""COMPUTED_VALUE"""),52.0)</f>
        <v>52</v>
      </c>
      <c r="C4289" s="4" t="str">
        <f>IFERROR(__xludf.DUMMYFUNCTION("""COMPUTED_VALUE"""),"MIL")</f>
        <v>MIL</v>
      </c>
      <c r="D4289" s="4" t="str">
        <f>IFERROR(__xludf.DUMMYFUNCTION("""COMPUTED_VALUE"""),"Larry Gibson")</f>
        <v>Larry Gibson</v>
      </c>
      <c r="E4289" s="4" t="str">
        <f>IFERROR(__xludf.DUMMYFUNCTION("""COMPUTED_VALUE"""),"Maryland")</f>
        <v>Maryland</v>
      </c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</row>
    <row r="4290">
      <c r="A4290" s="4">
        <f>IFERROR(__xludf.DUMMYFUNCTION("""COMPUTED_VALUE"""),53.0)</f>
        <v>53</v>
      </c>
      <c r="B4290" s="4">
        <f>IFERROR(__xludf.DUMMYFUNCTION("""COMPUTED_VALUE"""),53.0)</f>
        <v>53</v>
      </c>
      <c r="C4290" s="4" t="str">
        <f>IFERROR(__xludf.DUMMYFUNCTION("""COMPUTED_VALUE"""),"BOS")</f>
        <v>BOS</v>
      </c>
      <c r="D4290" s="4" t="str">
        <f>IFERROR(__xludf.DUMMYFUNCTION("""COMPUTED_VALUE"""),"Wayne Kreklow")</f>
        <v>Wayne Kreklow</v>
      </c>
      <c r="E4290" s="4" t="str">
        <f>IFERROR(__xludf.DUMMYFUNCTION("""COMPUTED_VALUE"""),"Drake University")</f>
        <v>Drake University</v>
      </c>
      <c r="F4290" s="4">
        <f>IFERROR(__xludf.DUMMYFUNCTION("""COMPUTED_VALUE"""),1.0)</f>
        <v>1</v>
      </c>
      <c r="G4290" s="4">
        <f>IFERROR(__xludf.DUMMYFUNCTION("""COMPUTED_VALUE"""),25.0)</f>
        <v>25</v>
      </c>
      <c r="H4290" s="4">
        <f>IFERROR(__xludf.DUMMYFUNCTION("""COMPUTED_VALUE"""),100.0)</f>
        <v>100</v>
      </c>
      <c r="I4290" s="4">
        <f>IFERROR(__xludf.DUMMYFUNCTION("""COMPUTED_VALUE"""),30.0)</f>
        <v>30</v>
      </c>
      <c r="J4290" s="4">
        <f>IFERROR(__xludf.DUMMYFUNCTION("""COMPUTED_VALUE"""),12.0)</f>
        <v>12</v>
      </c>
      <c r="K4290" s="4">
        <f>IFERROR(__xludf.DUMMYFUNCTION("""COMPUTED_VALUE"""),9.0)</f>
        <v>9</v>
      </c>
      <c r="L4290" s="4">
        <f>IFERROR(__xludf.DUMMYFUNCTION("""COMPUTED_VALUE"""),0.234)</f>
        <v>0.234</v>
      </c>
      <c r="M4290" s="4">
        <f>IFERROR(__xludf.DUMMYFUNCTION("""COMPUTED_VALUE"""),0.25)</f>
        <v>0.25</v>
      </c>
      <c r="N4290" s="4">
        <f>IFERROR(__xludf.DUMMYFUNCTION("""COMPUTED_VALUE"""),0.7)</f>
        <v>0.7</v>
      </c>
      <c r="O4290" s="4">
        <f>IFERROR(__xludf.DUMMYFUNCTION("""COMPUTED_VALUE"""),4.0)</f>
        <v>4</v>
      </c>
      <c r="P4290" s="4">
        <f>IFERROR(__xludf.DUMMYFUNCTION("""COMPUTED_VALUE"""),1.2)</f>
        <v>1.2</v>
      </c>
      <c r="Q4290" s="4">
        <f>IFERROR(__xludf.DUMMYFUNCTION("""COMPUTED_VALUE"""),0.5)</f>
        <v>0.5</v>
      </c>
      <c r="R4290" s="4">
        <f>IFERROR(__xludf.DUMMYFUNCTION("""COMPUTED_VALUE"""),0.4)</f>
        <v>0.4</v>
      </c>
      <c r="S4290" s="4">
        <f>IFERROR(__xludf.DUMMYFUNCTION("""COMPUTED_VALUE"""),-0.3)</f>
        <v>-0.3</v>
      </c>
      <c r="T4290" s="4">
        <f>IFERROR(__xludf.DUMMYFUNCTION("""COMPUTED_VALUE"""),-0.167)</f>
        <v>-0.167</v>
      </c>
      <c r="U4290" s="4">
        <f>IFERROR(__xludf.DUMMYFUNCTION("""COMPUTED_VALUE"""),-8.8)</f>
        <v>-8.8</v>
      </c>
      <c r="V4290" s="4">
        <f>IFERROR(__xludf.DUMMYFUNCTION("""COMPUTED_VALUE"""),-0.3)</f>
        <v>-0.3</v>
      </c>
    </row>
    <row r="4291">
      <c r="A4291" s="4">
        <f>IFERROR(__xludf.DUMMYFUNCTION("""COMPUTED_VALUE"""),54.0)</f>
        <v>54</v>
      </c>
      <c r="B4291" s="4">
        <f>IFERROR(__xludf.DUMMYFUNCTION("""COMPUTED_VALUE"""),54.0)</f>
        <v>54</v>
      </c>
      <c r="C4291" s="4" t="str">
        <f>IFERROR(__xludf.DUMMYFUNCTION("""COMPUTED_VALUE"""),"GSW")</f>
        <v>GSW</v>
      </c>
      <c r="D4291" s="4" t="str">
        <f>IFERROR(__xludf.DUMMYFUNCTION("""COMPUTED_VALUE"""),"Cheese Johnson")</f>
        <v>Cheese Johnson</v>
      </c>
      <c r="E4291" s="4" t="str">
        <f>IFERROR(__xludf.DUMMYFUNCTION("""COMPUTED_VALUE"""),"Wichita State")</f>
        <v>Wichita State</v>
      </c>
      <c r="F4291" s="4">
        <f>IFERROR(__xludf.DUMMYFUNCTION("""COMPUTED_VALUE"""),1.0)</f>
        <v>1</v>
      </c>
      <c r="G4291" s="4">
        <f>IFERROR(__xludf.DUMMYFUNCTION("""COMPUTED_VALUE"""),9.0)</f>
        <v>9</v>
      </c>
      <c r="H4291" s="4">
        <f>IFERROR(__xludf.DUMMYFUNCTION("""COMPUTED_VALUE"""),53.0)</f>
        <v>53</v>
      </c>
      <c r="I4291" s="4">
        <f>IFERROR(__xludf.DUMMYFUNCTION("""COMPUTED_VALUE"""),27.0)</f>
        <v>27</v>
      </c>
      <c r="J4291" s="4">
        <f>IFERROR(__xludf.DUMMYFUNCTION("""COMPUTED_VALUE"""),14.0)</f>
        <v>14</v>
      </c>
      <c r="K4291" s="4">
        <f>IFERROR(__xludf.DUMMYFUNCTION("""COMPUTED_VALUE"""),2.0)</f>
        <v>2</v>
      </c>
      <c r="L4291" s="4">
        <f>IFERROR(__xludf.DUMMYFUNCTION("""COMPUTED_VALUE"""),0.4)</f>
        <v>0.4</v>
      </c>
      <c r="M4291" s="4"/>
      <c r="N4291" s="4">
        <f>IFERROR(__xludf.DUMMYFUNCTION("""COMPUTED_VALUE"""),0.6)</f>
        <v>0.6</v>
      </c>
      <c r="O4291" s="4">
        <f>IFERROR(__xludf.DUMMYFUNCTION("""COMPUTED_VALUE"""),5.9)</f>
        <v>5.9</v>
      </c>
      <c r="P4291" s="4">
        <f>IFERROR(__xludf.DUMMYFUNCTION("""COMPUTED_VALUE"""),3.0)</f>
        <v>3</v>
      </c>
      <c r="Q4291" s="4">
        <f>IFERROR(__xludf.DUMMYFUNCTION("""COMPUTED_VALUE"""),1.6)</f>
        <v>1.6</v>
      </c>
      <c r="R4291" s="4">
        <f>IFERROR(__xludf.DUMMYFUNCTION("""COMPUTED_VALUE"""),0.2)</f>
        <v>0.2</v>
      </c>
      <c r="S4291" s="4">
        <f>IFERROR(__xludf.DUMMYFUNCTION("""COMPUTED_VALUE"""),0.0)</f>
        <v>0</v>
      </c>
      <c r="T4291" s="4">
        <f>IFERROR(__xludf.DUMMYFUNCTION("""COMPUTED_VALUE"""),-0.033)</f>
        <v>-0.033</v>
      </c>
      <c r="U4291" s="4">
        <f>IFERROR(__xludf.DUMMYFUNCTION("""COMPUTED_VALUE"""),-5.5)</f>
        <v>-5.5</v>
      </c>
      <c r="V4291" s="4">
        <f>IFERROR(__xludf.DUMMYFUNCTION("""COMPUTED_VALUE"""),-0.1)</f>
        <v>-0.1</v>
      </c>
    </row>
    <row r="4292">
      <c r="A4292" s="4">
        <f>IFERROR(__xludf.DUMMYFUNCTION("""COMPUTED_VALUE"""),55.0)</f>
        <v>55</v>
      </c>
      <c r="B4292" s="4">
        <f>IFERROR(__xludf.DUMMYFUNCTION("""COMPUTED_VALUE"""),55.0)</f>
        <v>55</v>
      </c>
      <c r="C4292" s="4" t="str">
        <f>IFERROR(__xludf.DUMMYFUNCTION("""COMPUTED_VALUE"""),"SDC")</f>
        <v>SDC</v>
      </c>
      <c r="D4292" s="4" t="str">
        <f>IFERROR(__xludf.DUMMYFUNCTION("""COMPUTED_VALUE"""),"Tom Channel")</f>
        <v>Tom Channel</v>
      </c>
      <c r="E4292" s="4" t="str">
        <f>IFERROR(__xludf.DUMMYFUNCTION("""COMPUTED_VALUE"""),"Boston University")</f>
        <v>Boston University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</row>
    <row r="4293">
      <c r="A4293" s="4">
        <f>IFERROR(__xludf.DUMMYFUNCTION("""COMPUTED_VALUE"""),56.0)</f>
        <v>56</v>
      </c>
      <c r="B4293" s="4">
        <f>IFERROR(__xludf.DUMMYFUNCTION("""COMPUTED_VALUE"""),56.0)</f>
        <v>56</v>
      </c>
      <c r="C4293" s="4" t="str">
        <f>IFERROR(__xludf.DUMMYFUNCTION("""COMPUTED_VALUE"""),"POR")</f>
        <v>POR</v>
      </c>
      <c r="D4293" s="4" t="str">
        <f>IFERROR(__xludf.DUMMYFUNCTION("""COMPUTED_VALUE"""),"Mickey Fox")</f>
        <v>Mickey Fox</v>
      </c>
      <c r="E4293" s="4" t="str">
        <f>IFERROR(__xludf.DUMMYFUNCTION("""COMPUTED_VALUE"""),"Saint Mary's University")</f>
        <v>Saint Mary's University</v>
      </c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</row>
    <row r="4294">
      <c r="A4294" s="4">
        <f>IFERROR(__xludf.DUMMYFUNCTION("""COMPUTED_VALUE"""),57.0)</f>
        <v>57</v>
      </c>
      <c r="B4294" s="4">
        <f>IFERROR(__xludf.DUMMYFUNCTION("""COMPUTED_VALUE"""),57.0)</f>
        <v>57</v>
      </c>
      <c r="C4294" s="4" t="str">
        <f>IFERROR(__xludf.DUMMYFUNCTION("""COMPUTED_VALUE"""),"ATL")</f>
        <v>ATL</v>
      </c>
      <c r="D4294" s="4" t="str">
        <f>IFERROR(__xludf.DUMMYFUNCTION("""COMPUTED_VALUE"""),"Don Marsh")</f>
        <v>Don Marsh</v>
      </c>
      <c r="E4294" s="4" t="str">
        <f>IFERROR(__xludf.DUMMYFUNCTION("""COMPUTED_VALUE"""),"Franklin &amp; Marshall College")</f>
        <v>Franklin &amp; Marshall College</v>
      </c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</row>
    <row r="4295">
      <c r="A4295" s="4">
        <f>IFERROR(__xludf.DUMMYFUNCTION("""COMPUTED_VALUE"""),58.0)</f>
        <v>58</v>
      </c>
      <c r="B4295" s="4">
        <f>IFERROR(__xludf.DUMMYFUNCTION("""COMPUTED_VALUE"""),58.0)</f>
        <v>58</v>
      </c>
      <c r="C4295" s="4" t="str">
        <f>IFERROR(__xludf.DUMMYFUNCTION("""COMPUTED_VALUE"""),"PHI")</f>
        <v>PHI</v>
      </c>
      <c r="D4295" s="4" t="str">
        <f>IFERROR(__xludf.DUMMYFUNCTION("""COMPUTED_VALUE"""),"Earl Cureton")</f>
        <v>Earl Cureton</v>
      </c>
      <c r="E4295" s="4" t="str">
        <f>IFERROR(__xludf.DUMMYFUNCTION("""COMPUTED_VALUE"""),"Detroit Mercy")</f>
        <v>Detroit Mercy</v>
      </c>
      <c r="F4295" s="4">
        <f>IFERROR(__xludf.DUMMYFUNCTION("""COMPUTED_VALUE"""),12.0)</f>
        <v>12</v>
      </c>
      <c r="G4295" s="4">
        <f>IFERROR(__xludf.DUMMYFUNCTION("""COMPUTED_VALUE"""),674.0)</f>
        <v>674</v>
      </c>
      <c r="H4295" s="4">
        <f>IFERROR(__xludf.DUMMYFUNCTION("""COMPUTED_VALUE"""),12420.0)</f>
        <v>12420</v>
      </c>
      <c r="I4295" s="4">
        <f>IFERROR(__xludf.DUMMYFUNCTION("""COMPUTED_VALUE"""),3620.0)</f>
        <v>3620</v>
      </c>
      <c r="J4295" s="4">
        <f>IFERROR(__xludf.DUMMYFUNCTION("""COMPUTED_VALUE"""),3172.0)</f>
        <v>3172</v>
      </c>
      <c r="K4295" s="4">
        <f>IFERROR(__xludf.DUMMYFUNCTION("""COMPUTED_VALUE"""),678.0)</f>
        <v>678</v>
      </c>
      <c r="L4295" s="4">
        <f>IFERROR(__xludf.DUMMYFUNCTION("""COMPUTED_VALUE"""),0.473)</f>
        <v>0.473</v>
      </c>
      <c r="M4295" s="4">
        <f>IFERROR(__xludf.DUMMYFUNCTION("""COMPUTED_VALUE"""),0.0)</f>
        <v>0</v>
      </c>
      <c r="N4295" s="4">
        <f>IFERROR(__xludf.DUMMYFUNCTION("""COMPUTED_VALUE"""),0.538)</f>
        <v>0.538</v>
      </c>
      <c r="O4295" s="4">
        <f>IFERROR(__xludf.DUMMYFUNCTION("""COMPUTED_VALUE"""),18.4)</f>
        <v>18.4</v>
      </c>
      <c r="P4295" s="4">
        <f>IFERROR(__xludf.DUMMYFUNCTION("""COMPUTED_VALUE"""),5.4)</f>
        <v>5.4</v>
      </c>
      <c r="Q4295" s="4">
        <f>IFERROR(__xludf.DUMMYFUNCTION("""COMPUTED_VALUE"""),4.7)</f>
        <v>4.7</v>
      </c>
      <c r="R4295" s="4">
        <f>IFERROR(__xludf.DUMMYFUNCTION("""COMPUTED_VALUE"""),1.0)</f>
        <v>1</v>
      </c>
      <c r="S4295" s="4">
        <f>IFERROR(__xludf.DUMMYFUNCTION("""COMPUTED_VALUE"""),14.4)</f>
        <v>14.4</v>
      </c>
      <c r="T4295" s="4">
        <f>IFERROR(__xludf.DUMMYFUNCTION("""COMPUTED_VALUE"""),0.056)</f>
        <v>0.056</v>
      </c>
      <c r="U4295" s="4">
        <f>IFERROR(__xludf.DUMMYFUNCTION("""COMPUTED_VALUE"""),-2.7)</f>
        <v>-2.7</v>
      </c>
      <c r="V4295" s="4">
        <f>IFERROR(__xludf.DUMMYFUNCTION("""COMPUTED_VALUE"""),-2.1)</f>
        <v>-2.1</v>
      </c>
    </row>
    <row r="4296">
      <c r="A4296" s="4">
        <f>IFERROR(__xludf.DUMMYFUNCTION("""COMPUTED_VALUE"""),59.0)</f>
        <v>59</v>
      </c>
      <c r="B4296" s="4">
        <f>IFERROR(__xludf.DUMMYFUNCTION("""COMPUTED_VALUE"""),59.0)</f>
        <v>59</v>
      </c>
      <c r="C4296" s="4" t="str">
        <f>IFERROR(__xludf.DUMMYFUNCTION("""COMPUTED_VALUE"""),"HOU")</f>
        <v>HOU</v>
      </c>
      <c r="D4296" s="4" t="str">
        <f>IFERROR(__xludf.DUMMYFUNCTION("""COMPUTED_VALUE"""),"Ricardo Brown")</f>
        <v>Ricardo Brown</v>
      </c>
      <c r="E4296" s="4" t="str">
        <f>IFERROR(__xludf.DUMMYFUNCTION("""COMPUTED_VALUE"""),"Pepperdine")</f>
        <v>Pepperdine</v>
      </c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</row>
    <row r="4297">
      <c r="A4297" s="4">
        <f>IFERROR(__xludf.DUMMYFUNCTION("""COMPUTED_VALUE"""),60.0)</f>
        <v>60</v>
      </c>
      <c r="B4297" s="4">
        <f>IFERROR(__xludf.DUMMYFUNCTION("""COMPUTED_VALUE"""),60.0)</f>
        <v>60</v>
      </c>
      <c r="C4297" s="4" t="str">
        <f>IFERROR(__xludf.DUMMYFUNCTION("""COMPUTED_VALUE"""),"LAL")</f>
        <v>LAL</v>
      </c>
      <c r="D4297" s="4" t="str">
        <f>IFERROR(__xludf.DUMMYFUNCTION("""COMPUTED_VALUE"""),"Walter Daniels")</f>
        <v>Walter Daniels</v>
      </c>
      <c r="E4297" s="4" t="str">
        <f>IFERROR(__xludf.DUMMYFUNCTION("""COMPUTED_VALUE"""),"Georgia")</f>
        <v>Georgia</v>
      </c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</row>
    <row r="4298">
      <c r="A4298" s="4">
        <f>IFERROR(__xludf.DUMMYFUNCTION("""COMPUTED_VALUE"""),61.0)</f>
        <v>61</v>
      </c>
      <c r="B4298" s="4">
        <f>IFERROR(__xludf.DUMMYFUNCTION("""COMPUTED_VALUE"""),61.0)</f>
        <v>61</v>
      </c>
      <c r="C4298" s="4" t="str">
        <f>IFERROR(__xludf.DUMMYFUNCTION("""COMPUTED_VALUE"""),"BOS")</f>
        <v>BOS</v>
      </c>
      <c r="D4298" s="4" t="str">
        <f>IFERROR(__xludf.DUMMYFUNCTION("""COMPUTED_VALUE"""),"Ernesto Malcolm")</f>
        <v>Ernesto Malcolm</v>
      </c>
      <c r="E4298" s="4" t="str">
        <f>IFERROR(__xludf.DUMMYFUNCTION("""COMPUTED_VALUE"""),"Briar Cliff University")</f>
        <v>Briar Cliff University</v>
      </c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</row>
    <row r="4299">
      <c r="A4299" s="4">
        <f>IFERROR(__xludf.DUMMYFUNCTION("""COMPUTED_VALUE"""),62.0)</f>
        <v>62</v>
      </c>
      <c r="B4299" s="4">
        <f>IFERROR(__xludf.DUMMYFUNCTION("""COMPUTED_VALUE"""),62.0)</f>
        <v>62</v>
      </c>
      <c r="C4299" s="4" t="str">
        <f>IFERROR(__xludf.DUMMYFUNCTION("""COMPUTED_VALUE"""),"KCK")</f>
        <v>KCK</v>
      </c>
      <c r="D4299" s="4" t="str">
        <f>IFERROR(__xludf.DUMMYFUNCTION("""COMPUTED_VALUE"""),"Terry Crosby")</f>
        <v>Terry Crosby</v>
      </c>
      <c r="E4299" s="4" t="str">
        <f>IFERROR(__xludf.DUMMYFUNCTION("""COMPUTED_VALUE"""),"Tennessee")</f>
        <v>Tennessee</v>
      </c>
      <c r="F4299" s="4">
        <f>IFERROR(__xludf.DUMMYFUNCTION("""COMPUTED_VALUE"""),1.0)</f>
        <v>1</v>
      </c>
      <c r="G4299" s="4">
        <f>IFERROR(__xludf.DUMMYFUNCTION("""COMPUTED_VALUE"""),4.0)</f>
        <v>4</v>
      </c>
      <c r="H4299" s="4">
        <f>IFERROR(__xludf.DUMMYFUNCTION("""COMPUTED_VALUE"""),28.0)</f>
        <v>28</v>
      </c>
      <c r="I4299" s="4">
        <f>IFERROR(__xludf.DUMMYFUNCTION("""COMPUTED_VALUE"""),6.0)</f>
        <v>6</v>
      </c>
      <c r="J4299" s="4">
        <f>IFERROR(__xludf.DUMMYFUNCTION("""COMPUTED_VALUE"""),1.0)</f>
        <v>1</v>
      </c>
      <c r="K4299" s="4">
        <f>IFERROR(__xludf.DUMMYFUNCTION("""COMPUTED_VALUE"""),7.0)</f>
        <v>7</v>
      </c>
      <c r="L4299" s="4">
        <f>IFERROR(__xludf.DUMMYFUNCTION("""COMPUTED_VALUE"""),0.5)</f>
        <v>0.5</v>
      </c>
      <c r="M4299" s="4"/>
      <c r="N4299" s="4">
        <f>IFERROR(__xludf.DUMMYFUNCTION("""COMPUTED_VALUE"""),1.0)</f>
        <v>1</v>
      </c>
      <c r="O4299" s="4">
        <f>IFERROR(__xludf.DUMMYFUNCTION("""COMPUTED_VALUE"""),7.0)</f>
        <v>7</v>
      </c>
      <c r="P4299" s="4">
        <f>IFERROR(__xludf.DUMMYFUNCTION("""COMPUTED_VALUE"""),1.5)</f>
        <v>1.5</v>
      </c>
      <c r="Q4299" s="4">
        <f>IFERROR(__xludf.DUMMYFUNCTION("""COMPUTED_VALUE"""),0.3)</f>
        <v>0.3</v>
      </c>
      <c r="R4299" s="4">
        <f>IFERROR(__xludf.DUMMYFUNCTION("""COMPUTED_VALUE"""),1.8)</f>
        <v>1.8</v>
      </c>
      <c r="S4299" s="4">
        <f>IFERROR(__xludf.DUMMYFUNCTION("""COMPUTED_VALUE"""),0.0)</f>
        <v>0</v>
      </c>
      <c r="T4299" s="4">
        <f>IFERROR(__xludf.DUMMYFUNCTION("""COMPUTED_VALUE"""),-0.051)</f>
        <v>-0.051</v>
      </c>
      <c r="U4299" s="4">
        <f>IFERROR(__xludf.DUMMYFUNCTION("""COMPUTED_VALUE"""),-4.8)</f>
        <v>-4.8</v>
      </c>
      <c r="V4299" s="4">
        <f>IFERROR(__xludf.DUMMYFUNCTION("""COMPUTED_VALUE"""),0.0)</f>
        <v>0</v>
      </c>
    </row>
    <row r="4300">
      <c r="A4300" s="4">
        <f>IFERROR(__xludf.DUMMYFUNCTION("""COMPUTED_VALUE"""),63.0)</f>
        <v>63</v>
      </c>
      <c r="B4300" s="4">
        <f>IFERROR(__xludf.DUMMYFUNCTION("""COMPUTED_VALUE"""),63.0)</f>
        <v>63</v>
      </c>
      <c r="C4300" s="4" t="str">
        <f>IFERROR(__xludf.DUMMYFUNCTION("""COMPUTED_VALUE"""),"SAS")</f>
        <v>SAS</v>
      </c>
      <c r="D4300" s="4" t="str">
        <f>IFERROR(__xludf.DUMMYFUNCTION("""COMPUTED_VALUE"""),"Sylvester Norris")</f>
        <v>Sylvester Norris</v>
      </c>
      <c r="E4300" s="4" t="str">
        <f>IFERROR(__xludf.DUMMYFUNCTION("""COMPUTED_VALUE"""),"Jackson State University")</f>
        <v>Jackson State University</v>
      </c>
      <c r="F4300" s="4">
        <f>IFERROR(__xludf.DUMMYFUNCTION("""COMPUTED_VALUE"""),1.0)</f>
        <v>1</v>
      </c>
      <c r="G4300" s="4">
        <f>IFERROR(__xludf.DUMMYFUNCTION("""COMPUTED_VALUE"""),17.0)</f>
        <v>17</v>
      </c>
      <c r="H4300" s="4">
        <f>IFERROR(__xludf.DUMMYFUNCTION("""COMPUTED_VALUE"""),189.0)</f>
        <v>189</v>
      </c>
      <c r="I4300" s="4">
        <f>IFERROR(__xludf.DUMMYFUNCTION("""COMPUTED_VALUE"""),40.0)</f>
        <v>40</v>
      </c>
      <c r="J4300" s="4">
        <f>IFERROR(__xludf.DUMMYFUNCTION("""COMPUTED_VALUE"""),43.0)</f>
        <v>43</v>
      </c>
      <c r="K4300" s="4">
        <f>IFERROR(__xludf.DUMMYFUNCTION("""COMPUTED_VALUE"""),6.0)</f>
        <v>6</v>
      </c>
      <c r="L4300" s="4">
        <f>IFERROR(__xludf.DUMMYFUNCTION("""COMPUTED_VALUE"""),0.419)</f>
        <v>0.419</v>
      </c>
      <c r="M4300" s="4"/>
      <c r="N4300" s="4">
        <f>IFERROR(__xludf.DUMMYFUNCTION("""COMPUTED_VALUE"""),0.667)</f>
        <v>0.667</v>
      </c>
      <c r="O4300" s="4">
        <f>IFERROR(__xludf.DUMMYFUNCTION("""COMPUTED_VALUE"""),11.1)</f>
        <v>11.1</v>
      </c>
      <c r="P4300" s="4">
        <f>IFERROR(__xludf.DUMMYFUNCTION("""COMPUTED_VALUE"""),2.4)</f>
        <v>2.4</v>
      </c>
      <c r="Q4300" s="4">
        <f>IFERROR(__xludf.DUMMYFUNCTION("""COMPUTED_VALUE"""),2.5)</f>
        <v>2.5</v>
      </c>
      <c r="R4300" s="4">
        <f>IFERROR(__xludf.DUMMYFUNCTION("""COMPUTED_VALUE"""),0.4)</f>
        <v>0.4</v>
      </c>
      <c r="S4300" s="4">
        <f>IFERROR(__xludf.DUMMYFUNCTION("""COMPUTED_VALUE"""),-0.2)</f>
        <v>-0.2</v>
      </c>
      <c r="T4300" s="4">
        <f>IFERROR(__xludf.DUMMYFUNCTION("""COMPUTED_VALUE"""),-0.055)</f>
        <v>-0.055</v>
      </c>
      <c r="U4300" s="4">
        <f>IFERROR(__xludf.DUMMYFUNCTION("""COMPUTED_VALUE"""),-6.2)</f>
        <v>-6.2</v>
      </c>
      <c r="V4300" s="4">
        <f>IFERROR(__xludf.DUMMYFUNCTION("""COMPUTED_VALUE"""),-0.3)</f>
        <v>-0.3</v>
      </c>
    </row>
    <row r="4301">
      <c r="A4301" s="4">
        <f>IFERROR(__xludf.DUMMYFUNCTION("""COMPUTED_VALUE"""),64.0)</f>
        <v>64</v>
      </c>
      <c r="B4301" s="4">
        <f>IFERROR(__xludf.DUMMYFUNCTION("""COMPUTED_VALUE"""),64.0)</f>
        <v>64</v>
      </c>
      <c r="C4301" s="4" t="str">
        <f>IFERROR(__xludf.DUMMYFUNCTION("""COMPUTED_VALUE"""),"PHO")</f>
        <v>PHO</v>
      </c>
      <c r="D4301" s="4" t="str">
        <f>IFERROR(__xludf.DUMMYFUNCTION("""COMPUTED_VALUE"""),"Al Green")</f>
        <v>Al Green</v>
      </c>
      <c r="E4301" s="4" t="str">
        <f>IFERROR(__xludf.DUMMYFUNCTION("""COMPUTED_VALUE"""),"LSU")</f>
        <v>LSU</v>
      </c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</row>
    <row r="4302">
      <c r="A4302" s="4">
        <f>IFERROR(__xludf.DUMMYFUNCTION("""COMPUTED_VALUE"""),65.0)</f>
        <v>65</v>
      </c>
      <c r="B4302" s="4">
        <f>IFERROR(__xludf.DUMMYFUNCTION("""COMPUTED_VALUE"""),65.0)</f>
        <v>65</v>
      </c>
      <c r="C4302" s="4" t="str">
        <f>IFERROR(__xludf.DUMMYFUNCTION("""COMPUTED_VALUE"""),"CLE")</f>
        <v>CLE</v>
      </c>
      <c r="D4302" s="4" t="str">
        <f>IFERROR(__xludf.DUMMYFUNCTION("""COMPUTED_VALUE"""),"Bill Laimbeer")</f>
        <v>Bill Laimbeer</v>
      </c>
      <c r="E4302" s="4" t="str">
        <f>IFERROR(__xludf.DUMMYFUNCTION("""COMPUTED_VALUE"""),"Notre Dame")</f>
        <v>Notre Dame</v>
      </c>
      <c r="F4302" s="4">
        <f>IFERROR(__xludf.DUMMYFUNCTION("""COMPUTED_VALUE"""),14.0)</f>
        <v>14</v>
      </c>
      <c r="G4302" s="4">
        <f>IFERROR(__xludf.DUMMYFUNCTION("""COMPUTED_VALUE"""),1068.0)</f>
        <v>1068</v>
      </c>
      <c r="H4302" s="4">
        <f>IFERROR(__xludf.DUMMYFUNCTION("""COMPUTED_VALUE"""),33956.0)</f>
        <v>33956</v>
      </c>
      <c r="I4302" s="4">
        <f>IFERROR(__xludf.DUMMYFUNCTION("""COMPUTED_VALUE"""),13790.0)</f>
        <v>13790</v>
      </c>
      <c r="J4302" s="4">
        <f>IFERROR(__xludf.DUMMYFUNCTION("""COMPUTED_VALUE"""),10400.0)</f>
        <v>10400</v>
      </c>
      <c r="K4302" s="4">
        <f>IFERROR(__xludf.DUMMYFUNCTION("""COMPUTED_VALUE"""),2184.0)</f>
        <v>2184</v>
      </c>
      <c r="L4302" s="4">
        <f>IFERROR(__xludf.DUMMYFUNCTION("""COMPUTED_VALUE"""),0.498)</f>
        <v>0.498</v>
      </c>
      <c r="M4302" s="4">
        <f>IFERROR(__xludf.DUMMYFUNCTION("""COMPUTED_VALUE"""),0.326)</f>
        <v>0.326</v>
      </c>
      <c r="N4302" s="4">
        <f>IFERROR(__xludf.DUMMYFUNCTION("""COMPUTED_VALUE"""),0.837)</f>
        <v>0.837</v>
      </c>
      <c r="O4302" s="4">
        <f>IFERROR(__xludf.DUMMYFUNCTION("""COMPUTED_VALUE"""),31.8)</f>
        <v>31.8</v>
      </c>
      <c r="P4302" s="4">
        <f>IFERROR(__xludf.DUMMYFUNCTION("""COMPUTED_VALUE"""),12.9)</f>
        <v>12.9</v>
      </c>
      <c r="Q4302" s="4">
        <f>IFERROR(__xludf.DUMMYFUNCTION("""COMPUTED_VALUE"""),9.7)</f>
        <v>9.7</v>
      </c>
      <c r="R4302" s="4">
        <f>IFERROR(__xludf.DUMMYFUNCTION("""COMPUTED_VALUE"""),2.0)</f>
        <v>2</v>
      </c>
      <c r="S4302" s="4">
        <f>IFERROR(__xludf.DUMMYFUNCTION("""COMPUTED_VALUE"""),105.6)</f>
        <v>105.6</v>
      </c>
      <c r="T4302" s="4">
        <f>IFERROR(__xludf.DUMMYFUNCTION("""COMPUTED_VALUE"""),0.149)</f>
        <v>0.149</v>
      </c>
      <c r="U4302" s="4">
        <f>IFERROR(__xludf.DUMMYFUNCTION("""COMPUTED_VALUE"""),1.4)</f>
        <v>1.4</v>
      </c>
      <c r="V4302" s="4">
        <f>IFERROR(__xludf.DUMMYFUNCTION("""COMPUTED_VALUE"""),29.3)</f>
        <v>29.3</v>
      </c>
    </row>
    <row r="4303">
      <c r="A4303" s="4">
        <f>IFERROR(__xludf.DUMMYFUNCTION("""COMPUTED_VALUE"""),66.0)</f>
        <v>66</v>
      </c>
      <c r="B4303" s="4">
        <f>IFERROR(__xludf.DUMMYFUNCTION("""COMPUTED_VALUE"""),66.0)</f>
        <v>66</v>
      </c>
      <c r="C4303" s="4" t="str">
        <f>IFERROR(__xludf.DUMMYFUNCTION("""COMPUTED_VALUE"""),"WSB")</f>
        <v>WSB</v>
      </c>
      <c r="D4303" s="4" t="str">
        <f>IFERROR(__xludf.DUMMYFUNCTION("""COMPUTED_VALUE"""),"Charles Floyd")</f>
        <v>Charles Floyd</v>
      </c>
      <c r="E4303" s="4" t="str">
        <f>IFERROR(__xludf.DUMMYFUNCTION("""COMPUTED_VALUE"""),"High Point University")</f>
        <v>High Point University</v>
      </c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</row>
    <row r="4304">
      <c r="A4304" s="4"/>
      <c r="B4304" s="4"/>
      <c r="C4304" s="4"/>
      <c r="D4304" s="4" t="str">
        <f>IFERROR(__xludf.DUMMYFUNCTION("""COMPUTED_VALUE"""),"Round 4")</f>
        <v>Round 4</v>
      </c>
      <c r="E4304" s="4"/>
      <c r="F4304" s="4"/>
      <c r="G4304" s="4" t="str">
        <f>IFERROR(__xludf.DUMMYFUNCTION("""COMPUTED_VALUE"""),"Totals")</f>
        <v>Totals</v>
      </c>
      <c r="H4304" s="4"/>
      <c r="I4304" s="4"/>
      <c r="J4304" s="4"/>
      <c r="K4304" s="4"/>
      <c r="L4304" s="4" t="str">
        <f>IFERROR(__xludf.DUMMYFUNCTION("""COMPUTED_VALUE"""),"Shooting")</f>
        <v>Shooting</v>
      </c>
      <c r="M4304" s="4"/>
      <c r="N4304" s="4"/>
      <c r="O4304" s="4" t="str">
        <f>IFERROR(__xludf.DUMMYFUNCTION("""COMPUTED_VALUE"""),"Per Game")</f>
        <v>Per Game</v>
      </c>
      <c r="P4304" s="4"/>
      <c r="Q4304" s="4"/>
      <c r="R4304" s="4"/>
      <c r="S4304" s="4" t="str">
        <f>IFERROR(__xludf.DUMMYFUNCTION("""COMPUTED_VALUE"""),"Advanced")</f>
        <v>Advanced</v>
      </c>
      <c r="T4304" s="4"/>
      <c r="U4304" s="4"/>
      <c r="V4304" s="4"/>
    </row>
    <row r="4305">
      <c r="A4305" s="4" t="str">
        <f>IFERROR(__xludf.DUMMYFUNCTION("""COMPUTED_VALUE"""),"Rk")</f>
        <v>Rk</v>
      </c>
      <c r="B4305" s="4" t="str">
        <f>IFERROR(__xludf.DUMMYFUNCTION("""COMPUTED_VALUE"""),"Pk")</f>
        <v>Pk</v>
      </c>
      <c r="C4305" s="4" t="str">
        <f>IFERROR(__xludf.DUMMYFUNCTION("""COMPUTED_VALUE"""),"Tm")</f>
        <v>Tm</v>
      </c>
      <c r="D4305" s="4" t="str">
        <f>IFERROR(__xludf.DUMMYFUNCTION("""COMPUTED_VALUE"""),"Player")</f>
        <v>Player</v>
      </c>
      <c r="E4305" s="4" t="str">
        <f>IFERROR(__xludf.DUMMYFUNCTION("""COMPUTED_VALUE"""),"College")</f>
        <v>College</v>
      </c>
      <c r="F4305" s="4" t="str">
        <f>IFERROR(__xludf.DUMMYFUNCTION("""COMPUTED_VALUE"""),"Yrs")</f>
        <v>Yrs</v>
      </c>
      <c r="G4305" s="4" t="str">
        <f>IFERROR(__xludf.DUMMYFUNCTION("""COMPUTED_VALUE"""),"G")</f>
        <v>G</v>
      </c>
      <c r="H4305" s="4" t="str">
        <f>IFERROR(__xludf.DUMMYFUNCTION("""COMPUTED_VALUE"""),"MP")</f>
        <v>MP</v>
      </c>
      <c r="I4305" s="4" t="str">
        <f>IFERROR(__xludf.DUMMYFUNCTION("""COMPUTED_VALUE"""),"PTS")</f>
        <v>PTS</v>
      </c>
      <c r="J4305" s="4" t="str">
        <f>IFERROR(__xludf.DUMMYFUNCTION("""COMPUTED_VALUE"""),"TRB")</f>
        <v>TRB</v>
      </c>
      <c r="K4305" s="4" t="str">
        <f>IFERROR(__xludf.DUMMYFUNCTION("""COMPUTED_VALUE"""),"AST")</f>
        <v>AST</v>
      </c>
      <c r="L4305" s="4" t="str">
        <f>IFERROR(__xludf.DUMMYFUNCTION("""COMPUTED_VALUE"""),"FG%")</f>
        <v>FG%</v>
      </c>
      <c r="M4305" s="4" t="str">
        <f>IFERROR(__xludf.DUMMYFUNCTION("""COMPUTED_VALUE"""),"3P%")</f>
        <v>3P%</v>
      </c>
      <c r="N4305" s="4" t="str">
        <f>IFERROR(__xludf.DUMMYFUNCTION("""COMPUTED_VALUE"""),"FT%")</f>
        <v>FT%</v>
      </c>
      <c r="O4305" s="4" t="str">
        <f>IFERROR(__xludf.DUMMYFUNCTION("""COMPUTED_VALUE"""),"MP")</f>
        <v>MP</v>
      </c>
      <c r="P4305" s="4" t="str">
        <f>IFERROR(__xludf.DUMMYFUNCTION("""COMPUTED_VALUE"""),"PTS")</f>
        <v>PTS</v>
      </c>
      <c r="Q4305" s="4" t="str">
        <f>IFERROR(__xludf.DUMMYFUNCTION("""COMPUTED_VALUE"""),"TRB")</f>
        <v>TRB</v>
      </c>
      <c r="R4305" s="4" t="str">
        <f>IFERROR(__xludf.DUMMYFUNCTION("""COMPUTED_VALUE"""),"AST")</f>
        <v>AST</v>
      </c>
      <c r="S4305" s="4" t="str">
        <f>IFERROR(__xludf.DUMMYFUNCTION("""COMPUTED_VALUE"""),"WS")</f>
        <v>WS</v>
      </c>
      <c r="T4305" s="4" t="str">
        <f>IFERROR(__xludf.DUMMYFUNCTION("""COMPUTED_VALUE"""),"WS/48")</f>
        <v>WS/48</v>
      </c>
      <c r="U4305" s="4" t="str">
        <f>IFERROR(__xludf.DUMMYFUNCTION("""COMPUTED_VALUE"""),"BPM")</f>
        <v>BPM</v>
      </c>
      <c r="V4305" s="4" t="str">
        <f>IFERROR(__xludf.DUMMYFUNCTION("""COMPUTED_VALUE"""),"VORP")</f>
        <v>VORP</v>
      </c>
    </row>
    <row r="4306">
      <c r="A4306" s="4">
        <f>IFERROR(__xludf.DUMMYFUNCTION("""COMPUTED_VALUE"""),67.0)</f>
        <v>67</v>
      </c>
      <c r="B4306" s="4">
        <f>IFERROR(__xludf.DUMMYFUNCTION("""COMPUTED_VALUE"""),67.0)</f>
        <v>67</v>
      </c>
      <c r="C4306" s="4" t="str">
        <f>IFERROR(__xludf.DUMMYFUNCTION("""COMPUTED_VALUE"""),"UTA")</f>
        <v>UTA</v>
      </c>
      <c r="D4306" s="4" t="str">
        <f>IFERROR(__xludf.DUMMYFUNCTION("""COMPUTED_VALUE"""),"Greg Deane")</f>
        <v>Greg Deane</v>
      </c>
      <c r="E4306" s="4" t="str">
        <f>IFERROR(__xludf.DUMMYFUNCTION("""COMPUTED_VALUE"""),"Utah")</f>
        <v>Utah</v>
      </c>
      <c r="F4306" s="4">
        <f>IFERROR(__xludf.DUMMYFUNCTION("""COMPUTED_VALUE"""),1.0)</f>
        <v>1</v>
      </c>
      <c r="G4306" s="4">
        <f>IFERROR(__xludf.DUMMYFUNCTION("""COMPUTED_VALUE"""),7.0)</f>
        <v>7</v>
      </c>
      <c r="H4306" s="4">
        <f>IFERROR(__xludf.DUMMYFUNCTION("""COMPUTED_VALUE"""),48.0)</f>
        <v>48</v>
      </c>
      <c r="I4306" s="4">
        <f>IFERROR(__xludf.DUMMYFUNCTION("""COMPUTED_VALUE"""),10.0)</f>
        <v>10</v>
      </c>
      <c r="J4306" s="4">
        <f>IFERROR(__xludf.DUMMYFUNCTION("""COMPUTED_VALUE"""),6.0)</f>
        <v>6</v>
      </c>
      <c r="K4306" s="4">
        <f>IFERROR(__xludf.DUMMYFUNCTION("""COMPUTED_VALUE"""),6.0)</f>
        <v>6</v>
      </c>
      <c r="L4306" s="4">
        <f>IFERROR(__xludf.DUMMYFUNCTION("""COMPUTED_VALUE"""),0.182)</f>
        <v>0.182</v>
      </c>
      <c r="M4306" s="4">
        <f>IFERROR(__xludf.DUMMYFUNCTION("""COMPUTED_VALUE"""),1.0)</f>
        <v>1</v>
      </c>
      <c r="N4306" s="4">
        <f>IFERROR(__xludf.DUMMYFUNCTION("""COMPUTED_VALUE"""),0.714)</f>
        <v>0.714</v>
      </c>
      <c r="O4306" s="4">
        <f>IFERROR(__xludf.DUMMYFUNCTION("""COMPUTED_VALUE"""),6.9)</f>
        <v>6.9</v>
      </c>
      <c r="P4306" s="4">
        <f>IFERROR(__xludf.DUMMYFUNCTION("""COMPUTED_VALUE"""),1.4)</f>
        <v>1.4</v>
      </c>
      <c r="Q4306" s="4">
        <f>IFERROR(__xludf.DUMMYFUNCTION("""COMPUTED_VALUE"""),0.9)</f>
        <v>0.9</v>
      </c>
      <c r="R4306" s="4">
        <f>IFERROR(__xludf.DUMMYFUNCTION("""COMPUTED_VALUE"""),0.9)</f>
        <v>0.9</v>
      </c>
      <c r="S4306" s="4">
        <f>IFERROR(__xludf.DUMMYFUNCTION("""COMPUTED_VALUE"""),-0.1)</f>
        <v>-0.1</v>
      </c>
      <c r="T4306" s="4">
        <f>IFERROR(__xludf.DUMMYFUNCTION("""COMPUTED_VALUE"""),-0.07)</f>
        <v>-0.07</v>
      </c>
      <c r="U4306" s="4">
        <f>IFERROR(__xludf.DUMMYFUNCTION("""COMPUTED_VALUE"""),-4.8)</f>
        <v>-4.8</v>
      </c>
      <c r="V4306" s="4">
        <f>IFERROR(__xludf.DUMMYFUNCTION("""COMPUTED_VALUE"""),-0.1)</f>
        <v>-0.1</v>
      </c>
    </row>
    <row r="4307">
      <c r="A4307" s="4">
        <f>IFERROR(__xludf.DUMMYFUNCTION("""COMPUTED_VALUE"""),68.0)</f>
        <v>68</v>
      </c>
      <c r="B4307" s="4">
        <f>IFERROR(__xludf.DUMMYFUNCTION("""COMPUTED_VALUE"""),68.0)</f>
        <v>68</v>
      </c>
      <c r="C4307" s="4" t="str">
        <f>IFERROR(__xludf.DUMMYFUNCTION("""COMPUTED_VALUE"""),"BOS")</f>
        <v>BOS</v>
      </c>
      <c r="D4307" s="4" t="str">
        <f>IFERROR(__xludf.DUMMYFUNCTION("""COMPUTED_VALUE"""),"Nick Galis")</f>
        <v>Nick Galis</v>
      </c>
      <c r="E4307" s="4" t="str">
        <f>IFERROR(__xludf.DUMMYFUNCTION("""COMPUTED_VALUE"""),"Seton Hall")</f>
        <v>Seton Hall</v>
      </c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</row>
    <row r="4308">
      <c r="A4308" s="4">
        <f>IFERROR(__xludf.DUMMYFUNCTION("""COMPUTED_VALUE"""),69.0)</f>
        <v>69</v>
      </c>
      <c r="B4308" s="4">
        <f>IFERROR(__xludf.DUMMYFUNCTION("""COMPUTED_VALUE"""),69.0)</f>
        <v>69</v>
      </c>
      <c r="C4308" s="4" t="str">
        <f>IFERROR(__xludf.DUMMYFUNCTION("""COMPUTED_VALUE"""),"MIL")</f>
        <v>MIL</v>
      </c>
      <c r="D4308" s="4" t="str">
        <f>IFERROR(__xludf.DUMMYFUNCTION("""COMPUTED_VALUE"""),"Eugene Robinson")</f>
        <v>Eugene Robinson</v>
      </c>
      <c r="E4308" s="4" t="str">
        <f>IFERROR(__xludf.DUMMYFUNCTION("""COMPUTED_VALUE"""),"Louisiana-Monroe")</f>
        <v>Louisiana-Monroe</v>
      </c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</row>
    <row r="4309">
      <c r="A4309" s="4">
        <f>IFERROR(__xludf.DUMMYFUNCTION("""COMPUTED_VALUE"""),70.0)</f>
        <v>70</v>
      </c>
      <c r="B4309" s="4">
        <f>IFERROR(__xludf.DUMMYFUNCTION("""COMPUTED_VALUE"""),70.0)</f>
        <v>70</v>
      </c>
      <c r="C4309" s="4" t="str">
        <f>IFERROR(__xludf.DUMMYFUNCTION("""COMPUTED_VALUE"""),"CLE")</f>
        <v>CLE</v>
      </c>
      <c r="D4309" s="4" t="str">
        <f>IFERROR(__xludf.DUMMYFUNCTION("""COMPUTED_VALUE"""),"Rick Swing")</f>
        <v>Rick Swing</v>
      </c>
      <c r="E4309" s="4" t="str">
        <f>IFERROR(__xludf.DUMMYFUNCTION("""COMPUTED_VALUE"""),"The Citadel")</f>
        <v>The Citadel</v>
      </c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</row>
    <row r="4310">
      <c r="A4310" s="4">
        <f>IFERROR(__xludf.DUMMYFUNCTION("""COMPUTED_VALUE"""),71.0)</f>
        <v>71</v>
      </c>
      <c r="B4310" s="4">
        <f>IFERROR(__xludf.DUMMYFUNCTION("""COMPUTED_VALUE"""),71.0)</f>
        <v>71</v>
      </c>
      <c r="C4310" s="4" t="str">
        <f>IFERROR(__xludf.DUMMYFUNCTION("""COMPUTED_VALUE"""),"NYK")</f>
        <v>NYK</v>
      </c>
      <c r="D4310" s="4" t="str">
        <f>IFERROR(__xludf.DUMMYFUNCTION("""COMPUTED_VALUE"""),"Larry Rogers")</f>
        <v>Larry Rogers</v>
      </c>
      <c r="E4310" s="4" t="str">
        <f>IFERROR(__xludf.DUMMYFUNCTION("""COMPUTED_VALUE"""),"SE Missouri State")</f>
        <v>SE Missouri State</v>
      </c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</row>
    <row r="4311">
      <c r="A4311" s="4">
        <f>IFERROR(__xludf.DUMMYFUNCTION("""COMPUTED_VALUE"""),72.0)</f>
        <v>72</v>
      </c>
      <c r="B4311" s="4">
        <f>IFERROR(__xludf.DUMMYFUNCTION("""COMPUTED_VALUE"""),72.0)</f>
        <v>72</v>
      </c>
      <c r="C4311" s="4" t="str">
        <f>IFERROR(__xludf.DUMMYFUNCTION("""COMPUTED_VALUE"""),"CHI")</f>
        <v>CHI</v>
      </c>
      <c r="D4311" s="4" t="str">
        <f>IFERROR(__xludf.DUMMYFUNCTION("""COMPUTED_VALUE"""),"George Maynor")</f>
        <v>George Maynor</v>
      </c>
      <c r="E4311" s="4" t="str">
        <f>IFERROR(__xludf.DUMMYFUNCTION("""COMPUTED_VALUE"""),"East Carolina University")</f>
        <v>East Carolina University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</row>
    <row r="4312">
      <c r="A4312" s="4">
        <f>IFERROR(__xludf.DUMMYFUNCTION("""COMPUTED_VALUE"""),73.0)</f>
        <v>73</v>
      </c>
      <c r="B4312" s="4">
        <f>IFERROR(__xludf.DUMMYFUNCTION("""COMPUTED_VALUE"""),73.0)</f>
        <v>73</v>
      </c>
      <c r="C4312" s="4" t="str">
        <f>IFERROR(__xludf.DUMMYFUNCTION("""COMPUTED_VALUE"""),"SEA")</f>
        <v>SEA</v>
      </c>
      <c r="D4312" s="4" t="str">
        <f>IFERROR(__xludf.DUMMYFUNCTION("""COMPUTED_VALUE"""),"James Donaldson")</f>
        <v>James Donaldson</v>
      </c>
      <c r="E4312" s="4" t="str">
        <f>IFERROR(__xludf.DUMMYFUNCTION("""COMPUTED_VALUE"""),"Washington State")</f>
        <v>Washington State</v>
      </c>
      <c r="F4312" s="4">
        <f>IFERROR(__xludf.DUMMYFUNCTION("""COMPUTED_VALUE"""),14.0)</f>
        <v>14</v>
      </c>
      <c r="G4312" s="4">
        <f>IFERROR(__xludf.DUMMYFUNCTION("""COMPUTED_VALUE"""),957.0)</f>
        <v>957</v>
      </c>
      <c r="H4312" s="4">
        <f>IFERROR(__xludf.DUMMYFUNCTION("""COMPUTED_VALUE"""),26222.0)</f>
        <v>26222</v>
      </c>
      <c r="I4312" s="4">
        <f>IFERROR(__xludf.DUMMYFUNCTION("""COMPUTED_VALUE"""),8203.0)</f>
        <v>8203</v>
      </c>
      <c r="J4312" s="4">
        <f>IFERROR(__xludf.DUMMYFUNCTION("""COMPUTED_VALUE"""),7492.0)</f>
        <v>7492</v>
      </c>
      <c r="K4312" s="4">
        <f>IFERROR(__xludf.DUMMYFUNCTION("""COMPUTED_VALUE"""),765.0)</f>
        <v>765</v>
      </c>
      <c r="L4312" s="4">
        <f>IFERROR(__xludf.DUMMYFUNCTION("""COMPUTED_VALUE"""),0.571)</f>
        <v>0.571</v>
      </c>
      <c r="M4312" s="4"/>
      <c r="N4312" s="4">
        <f>IFERROR(__xludf.DUMMYFUNCTION("""COMPUTED_VALUE"""),0.732)</f>
        <v>0.732</v>
      </c>
      <c r="O4312" s="4">
        <f>IFERROR(__xludf.DUMMYFUNCTION("""COMPUTED_VALUE"""),27.4)</f>
        <v>27.4</v>
      </c>
      <c r="P4312" s="4">
        <f>IFERROR(__xludf.DUMMYFUNCTION("""COMPUTED_VALUE"""),8.6)</f>
        <v>8.6</v>
      </c>
      <c r="Q4312" s="4">
        <f>IFERROR(__xludf.DUMMYFUNCTION("""COMPUTED_VALUE"""),7.8)</f>
        <v>7.8</v>
      </c>
      <c r="R4312" s="4">
        <f>IFERROR(__xludf.DUMMYFUNCTION("""COMPUTED_VALUE"""),0.8)</f>
        <v>0.8</v>
      </c>
      <c r="S4312" s="4">
        <f>IFERROR(__xludf.DUMMYFUNCTION("""COMPUTED_VALUE"""),62.3)</f>
        <v>62.3</v>
      </c>
      <c r="T4312" s="4">
        <f>IFERROR(__xludf.DUMMYFUNCTION("""COMPUTED_VALUE"""),0.114)</f>
        <v>0.114</v>
      </c>
      <c r="U4312" s="4">
        <f>IFERROR(__xludf.DUMMYFUNCTION("""COMPUTED_VALUE"""),-0.1)</f>
        <v>-0.1</v>
      </c>
      <c r="V4312" s="4">
        <f>IFERROR(__xludf.DUMMYFUNCTION("""COMPUTED_VALUE"""),12.4)</f>
        <v>12.4</v>
      </c>
    </row>
    <row r="4313">
      <c r="A4313" s="4">
        <f>IFERROR(__xludf.DUMMYFUNCTION("""COMPUTED_VALUE"""),74.0)</f>
        <v>74</v>
      </c>
      <c r="B4313" s="4">
        <f>IFERROR(__xludf.DUMMYFUNCTION("""COMPUTED_VALUE"""),74.0)</f>
        <v>74</v>
      </c>
      <c r="C4313" s="4" t="str">
        <f>IFERROR(__xludf.DUMMYFUNCTION("""COMPUTED_VALUE"""),"IND")</f>
        <v>IND</v>
      </c>
      <c r="D4313" s="4" t="str">
        <f>IFERROR(__xludf.DUMMYFUNCTION("""COMPUTED_VALUE"""),"Don Newman")</f>
        <v>Don Newman</v>
      </c>
      <c r="E4313" s="4" t="str">
        <f>IFERROR(__xludf.DUMMYFUNCTION("""COMPUTED_VALUE"""),"Idaho")</f>
        <v>Idaho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</row>
    <row r="4314">
      <c r="A4314" s="4">
        <f>IFERROR(__xludf.DUMMYFUNCTION("""COMPUTED_VALUE"""),75.0)</f>
        <v>75</v>
      </c>
      <c r="B4314" s="4">
        <f>IFERROR(__xludf.DUMMYFUNCTION("""COMPUTED_VALUE"""),75.0)</f>
        <v>75</v>
      </c>
      <c r="C4314" s="4" t="str">
        <f>IFERROR(__xludf.DUMMYFUNCTION("""COMPUTED_VALUE"""),"GSW")</f>
        <v>GSW</v>
      </c>
      <c r="D4314" s="4" t="str">
        <f>IFERROR(__xludf.DUMMYFUNCTION("""COMPUTED_VALUE"""),"Ron Ripley")</f>
        <v>Ron Ripley</v>
      </c>
      <c r="E4314" s="4" t="str">
        <f>IFERROR(__xludf.DUMMYFUNCTION("""COMPUTED_VALUE"""),"Green Bay")</f>
        <v>Green Bay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</row>
    <row r="4315">
      <c r="A4315" s="4">
        <f>IFERROR(__xludf.DUMMYFUNCTION("""COMPUTED_VALUE"""),76.0)</f>
        <v>76</v>
      </c>
      <c r="B4315" s="4">
        <f>IFERROR(__xludf.DUMMYFUNCTION("""COMPUTED_VALUE"""),76.0)</f>
        <v>76</v>
      </c>
      <c r="C4315" s="4" t="str">
        <f>IFERROR(__xludf.DUMMYFUNCTION("""COMPUTED_VALUE"""),"HOU")</f>
        <v>HOU</v>
      </c>
      <c r="D4315" s="4" t="str">
        <f>IFERROR(__xludf.DUMMYFUNCTION("""COMPUTED_VALUE"""),"Sammy Drummer")</f>
        <v>Sammy Drummer</v>
      </c>
      <c r="E4315" s="4" t="str">
        <f>IFERROR(__xludf.DUMMYFUNCTION("""COMPUTED_VALUE"""),"Georgia Tech")</f>
        <v>Georgia Tech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</row>
    <row r="4316">
      <c r="A4316" s="4">
        <f>IFERROR(__xludf.DUMMYFUNCTION("""COMPUTED_VALUE"""),77.0)</f>
        <v>77</v>
      </c>
      <c r="B4316" s="4">
        <f>IFERROR(__xludf.DUMMYFUNCTION("""COMPUTED_VALUE"""),77.0)</f>
        <v>77</v>
      </c>
      <c r="C4316" s="4" t="str">
        <f>IFERROR(__xludf.DUMMYFUNCTION("""COMPUTED_VALUE"""),"SDC")</f>
        <v>SDC</v>
      </c>
      <c r="D4316" s="4" t="str">
        <f>IFERROR(__xludf.DUMMYFUNCTION("""COMPUTED_VALUE"""),"Lionel Garrett")</f>
        <v>Lionel Garrett</v>
      </c>
      <c r="E4316" s="4" t="str">
        <f>IFERROR(__xludf.DUMMYFUNCTION("""COMPUTED_VALUE"""),"Southern University and A&amp;M College")</f>
        <v>Southern University and A&amp;M College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</row>
    <row r="4317">
      <c r="A4317" s="4">
        <f>IFERROR(__xludf.DUMMYFUNCTION("""COMPUTED_VALUE"""),78.0)</f>
        <v>78</v>
      </c>
      <c r="B4317" s="4">
        <f>IFERROR(__xludf.DUMMYFUNCTION("""COMPUTED_VALUE"""),78.0)</f>
        <v>78</v>
      </c>
      <c r="C4317" s="4" t="str">
        <f>IFERROR(__xludf.DUMMYFUNCTION("""COMPUTED_VALUE"""),"POR")</f>
        <v>POR</v>
      </c>
      <c r="D4317" s="4" t="str">
        <f>IFERROR(__xludf.DUMMYFUNCTION("""COMPUTED_VALUE"""),"Darryl Robinson")</f>
        <v>Darryl Robinson</v>
      </c>
      <c r="E4317" s="4" t="str">
        <f>IFERROR(__xludf.DUMMYFUNCTION("""COMPUTED_VALUE"""),"Appalachian State University")</f>
        <v>Appalachian State University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</row>
    <row r="4318">
      <c r="A4318" s="4">
        <f>IFERROR(__xludf.DUMMYFUNCTION("""COMPUTED_VALUE"""),79.0)</f>
        <v>79</v>
      </c>
      <c r="B4318" s="4">
        <f>IFERROR(__xludf.DUMMYFUNCTION("""COMPUTED_VALUE"""),79.0)</f>
        <v>79</v>
      </c>
      <c r="C4318" s="4" t="str">
        <f>IFERROR(__xludf.DUMMYFUNCTION("""COMPUTED_VALUE"""),"LAL")</f>
        <v>LAL</v>
      </c>
      <c r="D4318" s="4" t="str">
        <f>IFERROR(__xludf.DUMMYFUNCTION("""COMPUTED_VALUE"""),"Ray White")</f>
        <v>Ray White</v>
      </c>
      <c r="E4318" s="4" t="str">
        <f>IFERROR(__xludf.DUMMYFUNCTION("""COMPUTED_VALUE"""),"Mississippi State")</f>
        <v>Mississippi State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</row>
    <row r="4319">
      <c r="A4319" s="4">
        <f>IFERROR(__xludf.DUMMYFUNCTION("""COMPUTED_VALUE"""),80.0)</f>
        <v>80</v>
      </c>
      <c r="B4319" s="4">
        <f>IFERROR(__xludf.DUMMYFUNCTION("""COMPUTED_VALUE"""),80.0)</f>
        <v>80</v>
      </c>
      <c r="C4319" s="4" t="str">
        <f>IFERROR(__xludf.DUMMYFUNCTION("""COMPUTED_VALUE"""),"HOU")</f>
        <v>HOU</v>
      </c>
      <c r="D4319" s="4" t="str">
        <f>IFERROR(__xludf.DUMMYFUNCTION("""COMPUTED_VALUE"""),"Lionel Green")</f>
        <v>Lionel Green</v>
      </c>
      <c r="E4319" s="4" t="str">
        <f>IFERROR(__xludf.DUMMYFUNCTION("""COMPUTED_VALUE"""),"LSU")</f>
        <v>LSU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</row>
    <row r="4320">
      <c r="A4320" s="4">
        <f>IFERROR(__xludf.DUMMYFUNCTION("""COMPUTED_VALUE"""),81.0)</f>
        <v>81</v>
      </c>
      <c r="B4320" s="4">
        <f>IFERROR(__xludf.DUMMYFUNCTION("""COMPUTED_VALUE"""),81.0)</f>
        <v>81</v>
      </c>
      <c r="C4320" s="4" t="str">
        <f>IFERROR(__xludf.DUMMYFUNCTION("""COMPUTED_VALUE"""),"LAL")</f>
        <v>LAL</v>
      </c>
      <c r="D4320" s="4" t="str">
        <f>IFERROR(__xludf.DUMMYFUNCTION("""COMPUTED_VALUE"""),"Ricky Reed")</f>
        <v>Ricky Reed</v>
      </c>
      <c r="E4320" s="4" t="str">
        <f>IFERROR(__xludf.DUMMYFUNCTION("""COMPUTED_VALUE"""),"Temple")</f>
        <v>Temple</v>
      </c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</row>
    <row r="4321">
      <c r="A4321" s="4">
        <f>IFERROR(__xludf.DUMMYFUNCTION("""COMPUTED_VALUE"""),82.0)</f>
        <v>82</v>
      </c>
      <c r="B4321" s="4">
        <f>IFERROR(__xludf.DUMMYFUNCTION("""COMPUTED_VALUE"""),82.0)</f>
        <v>82</v>
      </c>
      <c r="C4321" s="4" t="str">
        <f>IFERROR(__xludf.DUMMYFUNCTION("""COMPUTED_VALUE"""),"GSW")</f>
        <v>GSW</v>
      </c>
      <c r="D4321" s="4" t="str">
        <f>IFERROR(__xludf.DUMMYFUNCTION("""COMPUTED_VALUE"""),"Jerry Sichting")</f>
        <v>Jerry Sichting</v>
      </c>
      <c r="E4321" s="4" t="str">
        <f>IFERROR(__xludf.DUMMYFUNCTION("""COMPUTED_VALUE"""),"Purdue")</f>
        <v>Purdue</v>
      </c>
      <c r="F4321" s="4">
        <f>IFERROR(__xludf.DUMMYFUNCTION("""COMPUTED_VALUE"""),10.0)</f>
        <v>10</v>
      </c>
      <c r="G4321" s="4">
        <f>IFERROR(__xludf.DUMMYFUNCTION("""COMPUTED_VALUE"""),598.0)</f>
        <v>598</v>
      </c>
      <c r="H4321" s="4">
        <f>IFERROR(__xludf.DUMMYFUNCTION("""COMPUTED_VALUE"""),12732.0)</f>
        <v>12732</v>
      </c>
      <c r="I4321" s="4">
        <f>IFERROR(__xludf.DUMMYFUNCTION("""COMPUTED_VALUE"""),4141.0)</f>
        <v>4141</v>
      </c>
      <c r="J4321" s="4">
        <f>IFERROR(__xludf.DUMMYFUNCTION("""COMPUTED_VALUE"""),817.0)</f>
        <v>817</v>
      </c>
      <c r="K4321" s="4">
        <f>IFERROR(__xludf.DUMMYFUNCTION("""COMPUTED_VALUE"""),1962.0)</f>
        <v>1962</v>
      </c>
      <c r="L4321" s="4">
        <f>IFERROR(__xludf.DUMMYFUNCTION("""COMPUTED_VALUE"""),0.507)</f>
        <v>0.507</v>
      </c>
      <c r="M4321" s="4">
        <f>IFERROR(__xludf.DUMMYFUNCTION("""COMPUTED_VALUE"""),0.271)</f>
        <v>0.271</v>
      </c>
      <c r="N4321" s="4">
        <f>IFERROR(__xludf.DUMMYFUNCTION("""COMPUTED_VALUE"""),0.857)</f>
        <v>0.857</v>
      </c>
      <c r="O4321" s="4">
        <f>IFERROR(__xludf.DUMMYFUNCTION("""COMPUTED_VALUE"""),21.3)</f>
        <v>21.3</v>
      </c>
      <c r="P4321" s="4">
        <f>IFERROR(__xludf.DUMMYFUNCTION("""COMPUTED_VALUE"""),6.9)</f>
        <v>6.9</v>
      </c>
      <c r="Q4321" s="4">
        <f>IFERROR(__xludf.DUMMYFUNCTION("""COMPUTED_VALUE"""),1.4)</f>
        <v>1.4</v>
      </c>
      <c r="R4321" s="4">
        <f>IFERROR(__xludf.DUMMYFUNCTION("""COMPUTED_VALUE"""),3.3)</f>
        <v>3.3</v>
      </c>
      <c r="S4321" s="4">
        <f>IFERROR(__xludf.DUMMYFUNCTION("""COMPUTED_VALUE"""),21.2)</f>
        <v>21.2</v>
      </c>
      <c r="T4321" s="4">
        <f>IFERROR(__xludf.DUMMYFUNCTION("""COMPUTED_VALUE"""),0.08)</f>
        <v>0.08</v>
      </c>
      <c r="U4321" s="4">
        <f>IFERROR(__xludf.DUMMYFUNCTION("""COMPUTED_VALUE"""),-1.6)</f>
        <v>-1.6</v>
      </c>
      <c r="V4321" s="4">
        <f>IFERROR(__xludf.DUMMYFUNCTION("""COMPUTED_VALUE"""),1.4)</f>
        <v>1.4</v>
      </c>
    </row>
    <row r="4322">
      <c r="A4322" s="4">
        <f>IFERROR(__xludf.DUMMYFUNCTION("""COMPUTED_VALUE"""),83.0)</f>
        <v>83</v>
      </c>
      <c r="B4322" s="4">
        <f>IFERROR(__xludf.DUMMYFUNCTION("""COMPUTED_VALUE"""),83.0)</f>
        <v>83</v>
      </c>
      <c r="C4322" s="4" t="str">
        <f>IFERROR(__xludf.DUMMYFUNCTION("""COMPUTED_VALUE"""),"PHI")</f>
        <v>PHI</v>
      </c>
      <c r="D4322" s="4" t="str">
        <f>IFERROR(__xludf.DUMMYFUNCTION("""COMPUTED_VALUE"""),"Mike Niles")</f>
        <v>Mike Niles</v>
      </c>
      <c r="E4322" s="4" t="str">
        <f>IFERROR(__xludf.DUMMYFUNCTION("""COMPUTED_VALUE"""),"Cal State Fullerton")</f>
        <v>Cal State Fullerton</v>
      </c>
      <c r="F4322" s="4">
        <f>IFERROR(__xludf.DUMMYFUNCTION("""COMPUTED_VALUE"""),1.0)</f>
        <v>1</v>
      </c>
      <c r="G4322" s="4">
        <f>IFERROR(__xludf.DUMMYFUNCTION("""COMPUTED_VALUE"""),44.0)</f>
        <v>44</v>
      </c>
      <c r="H4322" s="4">
        <f>IFERROR(__xludf.DUMMYFUNCTION("""COMPUTED_VALUE"""),231.0)</f>
        <v>231</v>
      </c>
      <c r="I4322" s="4">
        <f>IFERROR(__xludf.DUMMYFUNCTION("""COMPUTED_VALUE"""),115.0)</f>
        <v>115</v>
      </c>
      <c r="J4322" s="4">
        <f>IFERROR(__xludf.DUMMYFUNCTION("""COMPUTED_VALUE"""),58.0)</f>
        <v>58</v>
      </c>
      <c r="K4322" s="4">
        <f>IFERROR(__xludf.DUMMYFUNCTION("""COMPUTED_VALUE"""),15.0)</f>
        <v>15</v>
      </c>
      <c r="L4322" s="4">
        <f>IFERROR(__xludf.DUMMYFUNCTION("""COMPUTED_VALUE"""),0.348)</f>
        <v>0.348</v>
      </c>
      <c r="M4322" s="4">
        <f>IFERROR(__xludf.DUMMYFUNCTION("""COMPUTED_VALUE"""),0.5)</f>
        <v>0.5</v>
      </c>
      <c r="N4322" s="4">
        <f>IFERROR(__xludf.DUMMYFUNCTION("""COMPUTED_VALUE"""),0.459)</f>
        <v>0.459</v>
      </c>
      <c r="O4322" s="4">
        <f>IFERROR(__xludf.DUMMYFUNCTION("""COMPUTED_VALUE"""),5.3)</f>
        <v>5.3</v>
      </c>
      <c r="P4322" s="4">
        <f>IFERROR(__xludf.DUMMYFUNCTION("""COMPUTED_VALUE"""),2.6)</f>
        <v>2.6</v>
      </c>
      <c r="Q4322" s="4">
        <f>IFERROR(__xludf.DUMMYFUNCTION("""COMPUTED_VALUE"""),1.3)</f>
        <v>1.3</v>
      </c>
      <c r="R4322" s="4">
        <f>IFERROR(__xludf.DUMMYFUNCTION("""COMPUTED_VALUE"""),0.3)</f>
        <v>0.3</v>
      </c>
      <c r="S4322" s="4">
        <f>IFERROR(__xludf.DUMMYFUNCTION("""COMPUTED_VALUE"""),-0.3)</f>
        <v>-0.3</v>
      </c>
      <c r="T4322" s="4">
        <f>IFERROR(__xludf.DUMMYFUNCTION("""COMPUTED_VALUE"""),-0.062)</f>
        <v>-0.062</v>
      </c>
      <c r="U4322" s="4">
        <f>IFERROR(__xludf.DUMMYFUNCTION("""COMPUTED_VALUE"""),-8.8)</f>
        <v>-8.8</v>
      </c>
      <c r="V4322" s="4">
        <f>IFERROR(__xludf.DUMMYFUNCTION("""COMPUTED_VALUE"""),-0.5)</f>
        <v>-0.5</v>
      </c>
    </row>
    <row r="4323">
      <c r="A4323" s="4">
        <f>IFERROR(__xludf.DUMMYFUNCTION("""COMPUTED_VALUE"""),84.0)</f>
        <v>84</v>
      </c>
      <c r="B4323" s="4">
        <f>IFERROR(__xludf.DUMMYFUNCTION("""COMPUTED_VALUE"""),84.0)</f>
        <v>84</v>
      </c>
      <c r="C4323" s="4" t="str">
        <f>IFERROR(__xludf.DUMMYFUNCTION("""COMPUTED_VALUE"""),"SAS")</f>
        <v>SAS</v>
      </c>
      <c r="D4323" s="4" t="str">
        <f>IFERROR(__xludf.DUMMYFUNCTION("""COMPUTED_VALUE"""),"Al Daniel")</f>
        <v>Al Daniel</v>
      </c>
      <c r="E4323" s="4" t="str">
        <f>IFERROR(__xludf.DUMMYFUNCTION("""COMPUTED_VALUE"""),"Furman University")</f>
        <v>Furman University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</row>
    <row r="4324">
      <c r="A4324" s="4">
        <f>IFERROR(__xludf.DUMMYFUNCTION("""COMPUTED_VALUE"""),85.0)</f>
        <v>85</v>
      </c>
      <c r="B4324" s="4">
        <f>IFERROR(__xludf.DUMMYFUNCTION("""COMPUTED_VALUE"""),85.0)</f>
        <v>85</v>
      </c>
      <c r="C4324" s="4" t="str">
        <f>IFERROR(__xludf.DUMMYFUNCTION("""COMPUTED_VALUE"""),"KCK")</f>
        <v>KCK</v>
      </c>
      <c r="D4324" s="4" t="str">
        <f>IFERROR(__xludf.DUMMYFUNCTION("""COMPUTED_VALUE"""),"John McCullough")</f>
        <v>John McCullough</v>
      </c>
      <c r="E4324" s="4" t="str">
        <f>IFERROR(__xludf.DUMMYFUNCTION("""COMPUTED_VALUE"""),"Oklahoma")</f>
        <v>Oklahoma</v>
      </c>
      <c r="F4324" s="4">
        <f>IFERROR(__xludf.DUMMYFUNCTION("""COMPUTED_VALUE"""),1.0)</f>
        <v>1</v>
      </c>
      <c r="G4324" s="4">
        <f>IFERROR(__xludf.DUMMYFUNCTION("""COMPUTED_VALUE"""),8.0)</f>
        <v>8</v>
      </c>
      <c r="H4324" s="4">
        <f>IFERROR(__xludf.DUMMYFUNCTION("""COMPUTED_VALUE"""),23.0)</f>
        <v>23</v>
      </c>
      <c r="I4324" s="4">
        <f>IFERROR(__xludf.DUMMYFUNCTION("""COMPUTED_VALUE"""),21.0)</f>
        <v>21</v>
      </c>
      <c r="J4324" s="4">
        <f>IFERROR(__xludf.DUMMYFUNCTION("""COMPUTED_VALUE"""),4.0)</f>
        <v>4</v>
      </c>
      <c r="K4324" s="4">
        <f>IFERROR(__xludf.DUMMYFUNCTION("""COMPUTED_VALUE"""),3.0)</f>
        <v>3</v>
      </c>
      <c r="L4324" s="4">
        <f>IFERROR(__xludf.DUMMYFUNCTION("""COMPUTED_VALUE"""),0.692)</f>
        <v>0.692</v>
      </c>
      <c r="M4324" s="4"/>
      <c r="N4324" s="4">
        <f>IFERROR(__xludf.DUMMYFUNCTION("""COMPUTED_VALUE"""),0.6)</f>
        <v>0.6</v>
      </c>
      <c r="O4324" s="4">
        <f>IFERROR(__xludf.DUMMYFUNCTION("""COMPUTED_VALUE"""),2.9)</f>
        <v>2.9</v>
      </c>
      <c r="P4324" s="4">
        <f>IFERROR(__xludf.DUMMYFUNCTION("""COMPUTED_VALUE"""),2.6)</f>
        <v>2.6</v>
      </c>
      <c r="Q4324" s="4">
        <f>IFERROR(__xludf.DUMMYFUNCTION("""COMPUTED_VALUE"""),0.5)</f>
        <v>0.5</v>
      </c>
      <c r="R4324" s="4">
        <f>IFERROR(__xludf.DUMMYFUNCTION("""COMPUTED_VALUE"""),0.4)</f>
        <v>0.4</v>
      </c>
      <c r="S4324" s="4">
        <f>IFERROR(__xludf.DUMMYFUNCTION("""COMPUTED_VALUE"""),0.1)</f>
        <v>0.1</v>
      </c>
      <c r="T4324" s="4">
        <f>IFERROR(__xludf.DUMMYFUNCTION("""COMPUTED_VALUE"""),0.239)</f>
        <v>0.239</v>
      </c>
      <c r="U4324" s="4">
        <f>IFERROR(__xludf.DUMMYFUNCTION("""COMPUTED_VALUE"""),-2.4)</f>
        <v>-2.4</v>
      </c>
      <c r="V4324" s="4">
        <f>IFERROR(__xludf.DUMMYFUNCTION("""COMPUTED_VALUE"""),0.1)</f>
        <v>0.1</v>
      </c>
    </row>
    <row r="4325">
      <c r="A4325" s="4">
        <f>IFERROR(__xludf.DUMMYFUNCTION("""COMPUTED_VALUE"""),86.0)</f>
        <v>86</v>
      </c>
      <c r="B4325" s="4">
        <f>IFERROR(__xludf.DUMMYFUNCTION("""COMPUTED_VALUE"""),86.0)</f>
        <v>86</v>
      </c>
      <c r="C4325" s="4" t="str">
        <f>IFERROR(__xludf.DUMMYFUNCTION("""COMPUTED_VALUE"""),"PHO")</f>
        <v>PHO</v>
      </c>
      <c r="D4325" s="4" t="str">
        <f>IFERROR(__xludf.DUMMYFUNCTION("""COMPUTED_VALUE"""),"Malcolm Cesare")</f>
        <v>Malcolm Cesare</v>
      </c>
      <c r="E4325" s="4" t="str">
        <f>IFERROR(__xludf.DUMMYFUNCTION("""COMPUTED_VALUE"""),"Florida")</f>
        <v>Florida</v>
      </c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</row>
    <row r="4326">
      <c r="A4326" s="4">
        <f>IFERROR(__xludf.DUMMYFUNCTION("""COMPUTED_VALUE"""),87.0)</f>
        <v>87</v>
      </c>
      <c r="B4326" s="4">
        <f>IFERROR(__xludf.DUMMYFUNCTION("""COMPUTED_VALUE"""),87.0)</f>
        <v>87</v>
      </c>
      <c r="C4326" s="4" t="str">
        <f>IFERROR(__xludf.DUMMYFUNCTION("""COMPUTED_VALUE"""),"SEA")</f>
        <v>SEA</v>
      </c>
      <c r="D4326" s="4" t="str">
        <f>IFERROR(__xludf.DUMMYFUNCTION("""COMPUTED_VALUE"""),"Richie Allen")</f>
        <v>Richie Allen</v>
      </c>
      <c r="E4326" s="4" t="str">
        <f>IFERROR(__xludf.DUMMYFUNCTION("""COMPUTED_VALUE"""),"Cal State Dominguez Hills")</f>
        <v>Cal State Dominguez Hills</v>
      </c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</row>
    <row r="4327">
      <c r="A4327" s="4">
        <f>IFERROR(__xludf.DUMMYFUNCTION("""COMPUTED_VALUE"""),88.0)</f>
        <v>88</v>
      </c>
      <c r="B4327" s="4">
        <f>IFERROR(__xludf.DUMMYFUNCTION("""COMPUTED_VALUE"""),88.0)</f>
        <v>88</v>
      </c>
      <c r="C4327" s="4" t="str">
        <f>IFERROR(__xludf.DUMMYFUNCTION("""COMPUTED_VALUE"""),"WSB")</f>
        <v>WSB</v>
      </c>
      <c r="D4327" s="4" t="str">
        <f>IFERROR(__xludf.DUMMYFUNCTION("""COMPUTED_VALUE"""),"Lamont Reid")</f>
        <v>Lamont Reid</v>
      </c>
      <c r="E4327" s="4" t="str">
        <f>IFERROR(__xludf.DUMMYFUNCTION("""COMPUTED_VALUE"""),"Oral Roberts")</f>
        <v>Oral Roberts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</row>
    <row r="4328">
      <c r="A4328" s="4"/>
      <c r="B4328" s="4"/>
      <c r="C4328" s="4"/>
      <c r="D4328" s="4" t="str">
        <f>IFERROR(__xludf.DUMMYFUNCTION("""COMPUTED_VALUE"""),"Round 5")</f>
        <v>Round 5</v>
      </c>
      <c r="E4328" s="4"/>
      <c r="F4328" s="4"/>
      <c r="G4328" s="4" t="str">
        <f>IFERROR(__xludf.DUMMYFUNCTION("""COMPUTED_VALUE"""),"Totals")</f>
        <v>Totals</v>
      </c>
      <c r="H4328" s="4"/>
      <c r="I4328" s="4"/>
      <c r="J4328" s="4"/>
      <c r="K4328" s="4"/>
      <c r="L4328" s="4" t="str">
        <f>IFERROR(__xludf.DUMMYFUNCTION("""COMPUTED_VALUE"""),"Shooting")</f>
        <v>Shooting</v>
      </c>
      <c r="M4328" s="4"/>
      <c r="N4328" s="4"/>
      <c r="O4328" s="4" t="str">
        <f>IFERROR(__xludf.DUMMYFUNCTION("""COMPUTED_VALUE"""),"Per Game")</f>
        <v>Per Game</v>
      </c>
      <c r="P4328" s="4"/>
      <c r="Q4328" s="4"/>
      <c r="R4328" s="4"/>
      <c r="S4328" s="4" t="str">
        <f>IFERROR(__xludf.DUMMYFUNCTION("""COMPUTED_VALUE"""),"Advanced")</f>
        <v>Advanced</v>
      </c>
      <c r="T4328" s="4"/>
      <c r="U4328" s="4"/>
      <c r="V4328" s="4"/>
    </row>
    <row r="4329">
      <c r="A4329" s="4" t="str">
        <f>IFERROR(__xludf.DUMMYFUNCTION("""COMPUTED_VALUE"""),"Rk")</f>
        <v>Rk</v>
      </c>
      <c r="B4329" s="4" t="str">
        <f>IFERROR(__xludf.DUMMYFUNCTION("""COMPUTED_VALUE"""),"Pk")</f>
        <v>Pk</v>
      </c>
      <c r="C4329" s="4" t="str">
        <f>IFERROR(__xludf.DUMMYFUNCTION("""COMPUTED_VALUE"""),"Tm")</f>
        <v>Tm</v>
      </c>
      <c r="D4329" s="4" t="str">
        <f>IFERROR(__xludf.DUMMYFUNCTION("""COMPUTED_VALUE"""),"Player")</f>
        <v>Player</v>
      </c>
      <c r="E4329" s="4" t="str">
        <f>IFERROR(__xludf.DUMMYFUNCTION("""COMPUTED_VALUE"""),"College")</f>
        <v>College</v>
      </c>
      <c r="F4329" s="4" t="str">
        <f>IFERROR(__xludf.DUMMYFUNCTION("""COMPUTED_VALUE"""),"Yrs")</f>
        <v>Yrs</v>
      </c>
      <c r="G4329" s="4" t="str">
        <f>IFERROR(__xludf.DUMMYFUNCTION("""COMPUTED_VALUE"""),"G")</f>
        <v>G</v>
      </c>
      <c r="H4329" s="4" t="str">
        <f>IFERROR(__xludf.DUMMYFUNCTION("""COMPUTED_VALUE"""),"MP")</f>
        <v>MP</v>
      </c>
      <c r="I4329" s="4" t="str">
        <f>IFERROR(__xludf.DUMMYFUNCTION("""COMPUTED_VALUE"""),"PTS")</f>
        <v>PTS</v>
      </c>
      <c r="J4329" s="4" t="str">
        <f>IFERROR(__xludf.DUMMYFUNCTION("""COMPUTED_VALUE"""),"TRB")</f>
        <v>TRB</v>
      </c>
      <c r="K4329" s="4" t="str">
        <f>IFERROR(__xludf.DUMMYFUNCTION("""COMPUTED_VALUE"""),"AST")</f>
        <v>AST</v>
      </c>
      <c r="L4329" s="4" t="str">
        <f>IFERROR(__xludf.DUMMYFUNCTION("""COMPUTED_VALUE"""),"FG%")</f>
        <v>FG%</v>
      </c>
      <c r="M4329" s="4" t="str">
        <f>IFERROR(__xludf.DUMMYFUNCTION("""COMPUTED_VALUE"""),"3P%")</f>
        <v>3P%</v>
      </c>
      <c r="N4329" s="4" t="str">
        <f>IFERROR(__xludf.DUMMYFUNCTION("""COMPUTED_VALUE"""),"FT%")</f>
        <v>FT%</v>
      </c>
      <c r="O4329" s="4" t="str">
        <f>IFERROR(__xludf.DUMMYFUNCTION("""COMPUTED_VALUE"""),"MP")</f>
        <v>MP</v>
      </c>
      <c r="P4329" s="4" t="str">
        <f>IFERROR(__xludf.DUMMYFUNCTION("""COMPUTED_VALUE"""),"PTS")</f>
        <v>PTS</v>
      </c>
      <c r="Q4329" s="4" t="str">
        <f>IFERROR(__xludf.DUMMYFUNCTION("""COMPUTED_VALUE"""),"TRB")</f>
        <v>TRB</v>
      </c>
      <c r="R4329" s="4" t="str">
        <f>IFERROR(__xludf.DUMMYFUNCTION("""COMPUTED_VALUE"""),"AST")</f>
        <v>AST</v>
      </c>
      <c r="S4329" s="4" t="str">
        <f>IFERROR(__xludf.DUMMYFUNCTION("""COMPUTED_VALUE"""),"WS")</f>
        <v>WS</v>
      </c>
      <c r="T4329" s="4" t="str">
        <f>IFERROR(__xludf.DUMMYFUNCTION("""COMPUTED_VALUE"""),"WS/48")</f>
        <v>WS/48</v>
      </c>
      <c r="U4329" s="4" t="str">
        <f>IFERROR(__xludf.DUMMYFUNCTION("""COMPUTED_VALUE"""),"BPM")</f>
        <v>BPM</v>
      </c>
      <c r="V4329" s="4" t="str">
        <f>IFERROR(__xludf.DUMMYFUNCTION("""COMPUTED_VALUE"""),"VORP")</f>
        <v>VORP</v>
      </c>
    </row>
    <row r="4330">
      <c r="A4330" s="4">
        <f>IFERROR(__xludf.DUMMYFUNCTION("""COMPUTED_VALUE"""),89.0)</f>
        <v>89</v>
      </c>
      <c r="B4330" s="4">
        <f>IFERROR(__xludf.DUMMYFUNCTION("""COMPUTED_VALUE"""),89.0)</f>
        <v>89</v>
      </c>
      <c r="C4330" s="4" t="str">
        <f>IFERROR(__xludf.DUMMYFUNCTION("""COMPUTED_VALUE"""),"UTA")</f>
        <v>UTA</v>
      </c>
      <c r="D4330" s="4" t="str">
        <f>IFERROR(__xludf.DUMMYFUNCTION("""COMPUTED_VALUE"""),"Perry Wolfe")</f>
        <v>Perry Wolfe</v>
      </c>
      <c r="E4330" s="4" t="str">
        <f>IFERROR(__xludf.DUMMYFUNCTION("""COMPUTED_VALUE"""),"Stanford")</f>
        <v>Stanford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</row>
    <row r="4331">
      <c r="A4331" s="4">
        <f>IFERROR(__xludf.DUMMYFUNCTION("""COMPUTED_VALUE"""),90.0)</f>
        <v>90</v>
      </c>
      <c r="B4331" s="4">
        <f>IFERROR(__xludf.DUMMYFUNCTION("""COMPUTED_VALUE"""),90.0)</f>
        <v>90</v>
      </c>
      <c r="C4331" s="4" t="str">
        <f>IFERROR(__xludf.DUMMYFUNCTION("""COMPUTED_VALUE"""),"BOS")</f>
        <v>BOS</v>
      </c>
      <c r="D4331" s="4" t="str">
        <f>IFERROR(__xludf.DUMMYFUNCTION("""COMPUTED_VALUE"""),"Jimmy Allen")</f>
        <v>Jimmy Allen</v>
      </c>
      <c r="E4331" s="4" t="str">
        <f>IFERROR(__xludf.DUMMYFUNCTION("""COMPUTED_VALUE"""),"University of New Haven")</f>
        <v>University of New Haven</v>
      </c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</row>
    <row r="4332">
      <c r="A4332" s="4">
        <f>IFERROR(__xludf.DUMMYFUNCTION("""COMPUTED_VALUE"""),91.0)</f>
        <v>91</v>
      </c>
      <c r="B4332" s="4">
        <f>IFERROR(__xludf.DUMMYFUNCTION("""COMPUTED_VALUE"""),91.0)</f>
        <v>91</v>
      </c>
      <c r="C4332" s="4" t="str">
        <f>IFERROR(__xludf.DUMMYFUNCTION("""COMPUTED_VALUE"""),"CLE")</f>
        <v>CLE</v>
      </c>
      <c r="D4332" s="4" t="str">
        <f>IFERROR(__xludf.DUMMYFUNCTION("""COMPUTED_VALUE"""),"Matt Simpkins")</f>
        <v>Matt Simpkins</v>
      </c>
      <c r="E4332" s="4" t="str">
        <f>IFERROR(__xludf.DUMMYFUNCTION("""COMPUTED_VALUE"""),"Georgia Southern University")</f>
        <v>Georgia Southern University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</row>
    <row r="4333">
      <c r="A4333" s="4">
        <f>IFERROR(__xludf.DUMMYFUNCTION("""COMPUTED_VALUE"""),92.0)</f>
        <v>92</v>
      </c>
      <c r="B4333" s="4">
        <f>IFERROR(__xludf.DUMMYFUNCTION("""COMPUTED_VALUE"""),92.0)</f>
        <v>92</v>
      </c>
      <c r="C4333" s="4" t="str">
        <f>IFERROR(__xludf.DUMMYFUNCTION("""COMPUTED_VALUE"""),"DET")</f>
        <v>DET</v>
      </c>
      <c r="D4333" s="4" t="str">
        <f>IFERROR(__xludf.DUMMYFUNCTION("""COMPUTED_VALUE"""),"Flintie Ray Williams")</f>
        <v>Flintie Ray Williams</v>
      </c>
      <c r="E4333" s="4" t="str">
        <f>IFERROR(__xludf.DUMMYFUNCTION("""COMPUTED_VALUE"""),"UNLV")</f>
        <v>UNLV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</row>
    <row r="4334">
      <c r="A4334" s="4">
        <f>IFERROR(__xludf.DUMMYFUNCTION("""COMPUTED_VALUE"""),93.0)</f>
        <v>93</v>
      </c>
      <c r="B4334" s="4">
        <f>IFERROR(__xludf.DUMMYFUNCTION("""COMPUTED_VALUE"""),93.0)</f>
        <v>93</v>
      </c>
      <c r="C4334" s="4" t="str">
        <f>IFERROR(__xludf.DUMMYFUNCTION("""COMPUTED_VALUE"""),"CHI")</f>
        <v>CHI</v>
      </c>
      <c r="D4334" s="4" t="str">
        <f>IFERROR(__xludf.DUMMYFUNCTION("""COMPUTED_VALUE"""),"Larry Washington")</f>
        <v>Larry Washington</v>
      </c>
      <c r="E4334" s="4" t="str">
        <f>IFERROR(__xludf.DUMMYFUNCTION("""COMPUTED_VALUE"""),"Drury University")</f>
        <v>Drury University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</row>
    <row r="4335">
      <c r="A4335" s="4">
        <f>IFERROR(__xludf.DUMMYFUNCTION("""COMPUTED_VALUE"""),94.0)</f>
        <v>94</v>
      </c>
      <c r="B4335" s="4">
        <f>IFERROR(__xludf.DUMMYFUNCTION("""COMPUTED_VALUE"""),94.0)</f>
        <v>94</v>
      </c>
      <c r="C4335" s="4" t="str">
        <f>IFERROR(__xludf.DUMMYFUNCTION("""COMPUTED_VALUE"""),"NYK")</f>
        <v>NYK</v>
      </c>
      <c r="D4335" s="4" t="str">
        <f>IFERROR(__xludf.DUMMYFUNCTION("""COMPUTED_VALUE"""),"Johnny Green")</f>
        <v>Johnny Green</v>
      </c>
      <c r="E4335" s="4" t="str">
        <f>IFERROR(__xludf.DUMMYFUNCTION("""COMPUTED_VALUE"""),"University of California, Riverside")</f>
        <v>University of California, Riverside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</row>
    <row r="4336">
      <c r="A4336" s="4">
        <f>IFERROR(__xludf.DUMMYFUNCTION("""COMPUTED_VALUE"""),95.0)</f>
        <v>95</v>
      </c>
      <c r="B4336" s="4">
        <f>IFERROR(__xludf.DUMMYFUNCTION("""COMPUTED_VALUE"""),95.0)</f>
        <v>95</v>
      </c>
      <c r="C4336" s="4" t="str">
        <f>IFERROR(__xludf.DUMMYFUNCTION("""COMPUTED_VALUE"""),"NJN")</f>
        <v>NJN</v>
      </c>
      <c r="D4336" s="4" t="str">
        <f>IFERROR(__xludf.DUMMYFUNCTION("""COMPUTED_VALUE"""),"Jim Abromaitis")</f>
        <v>Jim Abromaitis</v>
      </c>
      <c r="E4336" s="4" t="str">
        <f>IFERROR(__xludf.DUMMYFUNCTION("""COMPUTED_VALUE"""),"UConn")</f>
        <v>UConn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</row>
    <row r="4337">
      <c r="A4337" s="4">
        <f>IFERROR(__xludf.DUMMYFUNCTION("""COMPUTED_VALUE"""),96.0)</f>
        <v>96</v>
      </c>
      <c r="B4337" s="4">
        <f>IFERROR(__xludf.DUMMYFUNCTION("""COMPUTED_VALUE"""),96.0)</f>
        <v>96</v>
      </c>
      <c r="C4337" s="4" t="str">
        <f>IFERROR(__xludf.DUMMYFUNCTION("""COMPUTED_VALUE"""),"GSW")</f>
        <v>GSW</v>
      </c>
      <c r="D4337" s="4" t="str">
        <f>IFERROR(__xludf.DUMMYFUNCTION("""COMPUTED_VALUE"""),"George Lett")</f>
        <v>George Lett</v>
      </c>
      <c r="E4337" s="4" t="str">
        <f>IFERROR(__xludf.DUMMYFUNCTION("""COMPUTED_VALUE"""),"Centenary (LA)")</f>
        <v>Centenary (LA)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</row>
    <row r="4338">
      <c r="A4338" s="4">
        <f>IFERROR(__xludf.DUMMYFUNCTION("""COMPUTED_VALUE"""),97.0)</f>
        <v>97</v>
      </c>
      <c r="B4338" s="4">
        <f>IFERROR(__xludf.DUMMYFUNCTION("""COMPUTED_VALUE"""),97.0)</f>
        <v>97</v>
      </c>
      <c r="C4338" s="4" t="str">
        <f>IFERROR(__xludf.DUMMYFUNCTION("""COMPUTED_VALUE"""),"MIL")</f>
        <v>MIL</v>
      </c>
      <c r="D4338" s="4" t="str">
        <f>IFERROR(__xludf.DUMMYFUNCTION("""COMPUTED_VALUE"""),"Jim Tillman")</f>
        <v>Jim Tillman</v>
      </c>
      <c r="E4338" s="4" t="str">
        <f>IFERROR(__xludf.DUMMYFUNCTION("""COMPUTED_VALUE"""),"Eastern Kentucky University")</f>
        <v>Eastern Kentucky University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</row>
    <row r="4339">
      <c r="A4339" s="4">
        <f>IFERROR(__xludf.DUMMYFUNCTION("""COMPUTED_VALUE"""),98.0)</f>
        <v>98</v>
      </c>
      <c r="B4339" s="4">
        <f>IFERROR(__xludf.DUMMYFUNCTION("""COMPUTED_VALUE"""),98.0)</f>
        <v>98</v>
      </c>
      <c r="C4339" s="4" t="str">
        <f>IFERROR(__xludf.DUMMYFUNCTION("""COMPUTED_VALUE"""),"IND")</f>
        <v>IND</v>
      </c>
      <c r="D4339" s="4" t="str">
        <f>IFERROR(__xludf.DUMMYFUNCTION("""COMPUTED_VALUE"""),"Billy Reid")</f>
        <v>Billy Reid</v>
      </c>
      <c r="E4339" s="4" t="str">
        <f>IFERROR(__xludf.DUMMYFUNCTION("""COMPUTED_VALUE"""),"San Francisco")</f>
        <v>San Francisco</v>
      </c>
      <c r="F4339" s="4">
        <f>IFERROR(__xludf.DUMMYFUNCTION("""COMPUTED_VALUE"""),1.0)</f>
        <v>1</v>
      </c>
      <c r="G4339" s="4">
        <f>IFERROR(__xludf.DUMMYFUNCTION("""COMPUTED_VALUE"""),59.0)</f>
        <v>59</v>
      </c>
      <c r="H4339" s="4">
        <f>IFERROR(__xludf.DUMMYFUNCTION("""COMPUTED_VALUE"""),597.0)</f>
        <v>597</v>
      </c>
      <c r="I4339" s="4">
        <f>IFERROR(__xludf.DUMMYFUNCTION("""COMPUTED_VALUE"""),190.0)</f>
        <v>190</v>
      </c>
      <c r="J4339" s="4">
        <f>IFERROR(__xludf.DUMMYFUNCTION("""COMPUTED_VALUE"""),60.0)</f>
        <v>60</v>
      </c>
      <c r="K4339" s="4">
        <f>IFERROR(__xludf.DUMMYFUNCTION("""COMPUTED_VALUE"""),71.0)</f>
        <v>71</v>
      </c>
      <c r="L4339" s="4">
        <f>IFERROR(__xludf.DUMMYFUNCTION("""COMPUTED_VALUE"""),0.454)</f>
        <v>0.454</v>
      </c>
      <c r="M4339" s="4">
        <f>IFERROR(__xludf.DUMMYFUNCTION("""COMPUTED_VALUE"""),0.0)</f>
        <v>0</v>
      </c>
      <c r="N4339" s="4">
        <f>IFERROR(__xludf.DUMMYFUNCTION("""COMPUTED_VALUE"""),0.564)</f>
        <v>0.564</v>
      </c>
      <c r="O4339" s="4">
        <f>IFERROR(__xludf.DUMMYFUNCTION("""COMPUTED_VALUE"""),10.1)</f>
        <v>10.1</v>
      </c>
      <c r="P4339" s="4">
        <f>IFERROR(__xludf.DUMMYFUNCTION("""COMPUTED_VALUE"""),3.2)</f>
        <v>3.2</v>
      </c>
      <c r="Q4339" s="4">
        <f>IFERROR(__xludf.DUMMYFUNCTION("""COMPUTED_VALUE"""),1.0)</f>
        <v>1</v>
      </c>
      <c r="R4339" s="4">
        <f>IFERROR(__xludf.DUMMYFUNCTION("""COMPUTED_VALUE"""),1.2)</f>
        <v>1.2</v>
      </c>
      <c r="S4339" s="4">
        <f>IFERROR(__xludf.DUMMYFUNCTION("""COMPUTED_VALUE"""),-0.6)</f>
        <v>-0.6</v>
      </c>
      <c r="T4339" s="4">
        <f>IFERROR(__xludf.DUMMYFUNCTION("""COMPUTED_VALUE"""),-0.05)</f>
        <v>-0.05</v>
      </c>
      <c r="U4339" s="4">
        <f>IFERROR(__xludf.DUMMYFUNCTION("""COMPUTED_VALUE"""),-5.6)</f>
        <v>-5.6</v>
      </c>
      <c r="V4339" s="4">
        <f>IFERROR(__xludf.DUMMYFUNCTION("""COMPUTED_VALUE"""),-0.5)</f>
        <v>-0.5</v>
      </c>
    </row>
    <row r="4340">
      <c r="A4340" s="4">
        <f>IFERROR(__xludf.DUMMYFUNCTION("""COMPUTED_VALUE"""),99.0)</f>
        <v>99</v>
      </c>
      <c r="B4340" s="4">
        <f>IFERROR(__xludf.DUMMYFUNCTION("""COMPUTED_VALUE"""),99.0)</f>
        <v>99</v>
      </c>
      <c r="C4340" s="4" t="str">
        <f>IFERROR(__xludf.DUMMYFUNCTION("""COMPUTED_VALUE"""),"SDC")</f>
        <v>SDC</v>
      </c>
      <c r="D4340" s="4" t="str">
        <f>IFERROR(__xludf.DUMMYFUNCTION("""COMPUTED_VALUE"""),"Greg Joyner")</f>
        <v>Greg Joyner</v>
      </c>
      <c r="E4340" s="4" t="str">
        <f>IFERROR(__xludf.DUMMYFUNCTION("""COMPUTED_VALUE"""),"Middle Tennessee")</f>
        <v>Middle Tennessee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</row>
    <row r="4341">
      <c r="A4341" s="4">
        <f>IFERROR(__xludf.DUMMYFUNCTION("""COMPUTED_VALUE"""),100.0)</f>
        <v>100</v>
      </c>
      <c r="B4341" s="4">
        <f>IFERROR(__xludf.DUMMYFUNCTION("""COMPUTED_VALUE"""),100.0)</f>
        <v>100</v>
      </c>
      <c r="C4341" s="4" t="str">
        <f>IFERROR(__xludf.DUMMYFUNCTION("""COMPUTED_VALUE"""),"POR")</f>
        <v>POR</v>
      </c>
      <c r="D4341" s="4" t="str">
        <f>IFERROR(__xludf.DUMMYFUNCTION("""COMPUTED_VALUE"""),"Matt White")</f>
        <v>Matt White</v>
      </c>
      <c r="E4341" s="4" t="str">
        <f>IFERROR(__xludf.DUMMYFUNCTION("""COMPUTED_VALUE"""),"Penn")</f>
        <v>Penn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</row>
    <row r="4342">
      <c r="A4342" s="4">
        <f>IFERROR(__xludf.DUMMYFUNCTION("""COMPUTED_VALUE"""),101.0)</f>
        <v>101</v>
      </c>
      <c r="B4342" s="4">
        <f>IFERROR(__xludf.DUMMYFUNCTION("""COMPUTED_VALUE"""),101.0)</f>
        <v>101</v>
      </c>
      <c r="C4342" s="4" t="str">
        <f>IFERROR(__xludf.DUMMYFUNCTION("""COMPUTED_VALUE"""),"ATL")</f>
        <v>ATL</v>
      </c>
      <c r="D4342" s="4" t="str">
        <f>IFERROR(__xludf.DUMMYFUNCTION("""COMPUTED_VALUE"""),"Tiny Pinder")</f>
        <v>Tiny Pinder</v>
      </c>
      <c r="E4342" s="4" t="str">
        <f>IFERROR(__xludf.DUMMYFUNCTION("""COMPUTED_VALUE"""),"NC State")</f>
        <v>NC State</v>
      </c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</row>
    <row r="4343">
      <c r="A4343" s="4">
        <f>IFERROR(__xludf.DUMMYFUNCTION("""COMPUTED_VALUE"""),102.0)</f>
        <v>102</v>
      </c>
      <c r="B4343" s="4">
        <f>IFERROR(__xludf.DUMMYFUNCTION("""COMPUTED_VALUE"""),102.0)</f>
        <v>102</v>
      </c>
      <c r="C4343" s="4" t="str">
        <f>IFERROR(__xludf.DUMMYFUNCTION("""COMPUTED_VALUE"""),"DEN")</f>
        <v>DEN</v>
      </c>
      <c r="D4343" s="4" t="str">
        <f>IFERROR(__xludf.DUMMYFUNCTION("""COMPUTED_VALUE"""),"Larry Williams")</f>
        <v>Larry Williams</v>
      </c>
      <c r="E4343" s="4" t="str">
        <f>IFERROR(__xludf.DUMMYFUNCTION("""COMPUTED_VALUE"""),"Louisville")</f>
        <v>Louisville</v>
      </c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</row>
    <row r="4344">
      <c r="A4344" s="4">
        <f>IFERROR(__xludf.DUMMYFUNCTION("""COMPUTED_VALUE"""),103.0)</f>
        <v>103</v>
      </c>
      <c r="B4344" s="4">
        <f>IFERROR(__xludf.DUMMYFUNCTION("""COMPUTED_VALUE"""),103.0)</f>
        <v>103</v>
      </c>
      <c r="C4344" s="4" t="str">
        <f>IFERROR(__xludf.DUMMYFUNCTION("""COMPUTED_VALUE"""),"PHI")</f>
        <v>PHI</v>
      </c>
      <c r="D4344" s="4" t="str">
        <f>IFERROR(__xludf.DUMMYFUNCTION("""COMPUTED_VALUE"""),"Carl McPipe")</f>
        <v>Carl McPipe</v>
      </c>
      <c r="E4344" s="4" t="str">
        <f>IFERROR(__xludf.DUMMYFUNCTION("""COMPUTED_VALUE"""),"Nebraska")</f>
        <v>Nebraska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</row>
    <row r="4345">
      <c r="A4345" s="4">
        <f>IFERROR(__xludf.DUMMYFUNCTION("""COMPUTED_VALUE"""),104.0)</f>
        <v>104</v>
      </c>
      <c r="B4345" s="4">
        <f>IFERROR(__xludf.DUMMYFUNCTION("""COMPUTED_VALUE"""),104.0)</f>
        <v>104</v>
      </c>
      <c r="C4345" s="4" t="str">
        <f>IFERROR(__xludf.DUMMYFUNCTION("""COMPUTED_VALUE"""),"HOU")</f>
        <v>HOU</v>
      </c>
      <c r="D4345" s="4" t="str">
        <f>IFERROR(__xludf.DUMMYFUNCTION("""COMPUTED_VALUE"""),"Allen Leavell")</f>
        <v>Allen Leavell</v>
      </c>
      <c r="E4345" s="4" t="str">
        <f>IFERROR(__xludf.DUMMYFUNCTION("""COMPUTED_VALUE"""),"Oklahoma City University")</f>
        <v>Oklahoma City University</v>
      </c>
      <c r="F4345" s="4">
        <f>IFERROR(__xludf.DUMMYFUNCTION("""COMPUTED_VALUE"""),10.0)</f>
        <v>10</v>
      </c>
      <c r="G4345" s="4">
        <f>IFERROR(__xludf.DUMMYFUNCTION("""COMPUTED_VALUE"""),700.0)</f>
        <v>700</v>
      </c>
      <c r="H4345" s="4">
        <f>IFERROR(__xludf.DUMMYFUNCTION("""COMPUTED_VALUE"""),16248.0)</f>
        <v>16248</v>
      </c>
      <c r="I4345" s="4">
        <f>IFERROR(__xludf.DUMMYFUNCTION("""COMPUTED_VALUE"""),6684.0)</f>
        <v>6684</v>
      </c>
      <c r="J4345" s="4">
        <f>IFERROR(__xludf.DUMMYFUNCTION("""COMPUTED_VALUE"""),1164.0)</f>
        <v>1164</v>
      </c>
      <c r="K4345" s="4">
        <f>IFERROR(__xludf.DUMMYFUNCTION("""COMPUTED_VALUE"""),3339.0)</f>
        <v>3339</v>
      </c>
      <c r="L4345" s="4">
        <f>IFERROR(__xludf.DUMMYFUNCTION("""COMPUTED_VALUE"""),0.45)</f>
        <v>0.45</v>
      </c>
      <c r="M4345" s="4">
        <f>IFERROR(__xludf.DUMMYFUNCTION("""COMPUTED_VALUE"""),0.234)</f>
        <v>0.234</v>
      </c>
      <c r="N4345" s="4">
        <f>IFERROR(__xludf.DUMMYFUNCTION("""COMPUTED_VALUE"""),0.834)</f>
        <v>0.834</v>
      </c>
      <c r="O4345" s="4">
        <f>IFERROR(__xludf.DUMMYFUNCTION("""COMPUTED_VALUE"""),23.2)</f>
        <v>23.2</v>
      </c>
      <c r="P4345" s="4">
        <f>IFERROR(__xludf.DUMMYFUNCTION("""COMPUTED_VALUE"""),9.5)</f>
        <v>9.5</v>
      </c>
      <c r="Q4345" s="4">
        <f>IFERROR(__xludf.DUMMYFUNCTION("""COMPUTED_VALUE"""),1.7)</f>
        <v>1.7</v>
      </c>
      <c r="R4345" s="4">
        <f>IFERROR(__xludf.DUMMYFUNCTION("""COMPUTED_VALUE"""),4.8)</f>
        <v>4.8</v>
      </c>
      <c r="S4345" s="4">
        <f>IFERROR(__xludf.DUMMYFUNCTION("""COMPUTED_VALUE"""),29.9)</f>
        <v>29.9</v>
      </c>
      <c r="T4345" s="4">
        <f>IFERROR(__xludf.DUMMYFUNCTION("""COMPUTED_VALUE"""),0.088)</f>
        <v>0.088</v>
      </c>
      <c r="U4345" s="4">
        <f>IFERROR(__xludf.DUMMYFUNCTION("""COMPUTED_VALUE"""),0.4)</f>
        <v>0.4</v>
      </c>
      <c r="V4345" s="4">
        <f>IFERROR(__xludf.DUMMYFUNCTION("""COMPUTED_VALUE"""),9.8)</f>
        <v>9.8</v>
      </c>
    </row>
    <row r="4346">
      <c r="A4346" s="4">
        <f>IFERROR(__xludf.DUMMYFUNCTION("""COMPUTED_VALUE"""),105.0)</f>
        <v>105</v>
      </c>
      <c r="B4346" s="4">
        <f>IFERROR(__xludf.DUMMYFUNCTION("""COMPUTED_VALUE"""),105.0)</f>
        <v>105</v>
      </c>
      <c r="C4346" s="4" t="str">
        <f>IFERROR(__xludf.DUMMYFUNCTION("""COMPUTED_VALUE"""),"KCK")</f>
        <v>KCK</v>
      </c>
      <c r="D4346" s="4" t="str">
        <f>IFERROR(__xludf.DUMMYFUNCTION("""COMPUTED_VALUE"""),"Curtis Watkins")</f>
        <v>Curtis Watkins</v>
      </c>
      <c r="E4346" s="4" t="str">
        <f>IFERROR(__xludf.DUMMYFUNCTION("""COMPUTED_VALUE"""),"DePaul")</f>
        <v>DePaul</v>
      </c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</row>
    <row r="4347">
      <c r="A4347" s="4">
        <f>IFERROR(__xludf.DUMMYFUNCTION("""COMPUTED_VALUE"""),106.0)</f>
        <v>106</v>
      </c>
      <c r="B4347" s="4">
        <f>IFERROR(__xludf.DUMMYFUNCTION("""COMPUTED_VALUE"""),106.0)</f>
        <v>106</v>
      </c>
      <c r="C4347" s="4" t="str">
        <f>IFERROR(__xludf.DUMMYFUNCTION("""COMPUTED_VALUE"""),"SAS")</f>
        <v>SAS</v>
      </c>
      <c r="D4347" s="4" t="str">
        <f>IFERROR(__xludf.DUMMYFUNCTION("""COMPUTED_VALUE"""),"Steve Schall")</f>
        <v>Steve Schall</v>
      </c>
      <c r="E4347" s="4" t="str">
        <f>IFERROR(__xludf.DUMMYFUNCTION("""COMPUTED_VALUE"""),"Arkansas")</f>
        <v>Arkansas</v>
      </c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</row>
    <row r="4348">
      <c r="A4348" s="4">
        <f>IFERROR(__xludf.DUMMYFUNCTION("""COMPUTED_VALUE"""),107.0)</f>
        <v>107</v>
      </c>
      <c r="B4348" s="4">
        <f>IFERROR(__xludf.DUMMYFUNCTION("""COMPUTED_VALUE"""),107.0)</f>
        <v>107</v>
      </c>
      <c r="C4348" s="4" t="str">
        <f>IFERROR(__xludf.DUMMYFUNCTION("""COMPUTED_VALUE"""),"PHO")</f>
        <v>PHO</v>
      </c>
      <c r="D4348" s="4" t="str">
        <f>IFERROR(__xludf.DUMMYFUNCTION("""COMPUTED_VALUE"""),"Mark Eaton")</f>
        <v>Mark Eaton</v>
      </c>
      <c r="E4348" s="4" t="str">
        <f>IFERROR(__xludf.DUMMYFUNCTION("""COMPUTED_VALUE"""),"UCLA")</f>
        <v>UCLA</v>
      </c>
      <c r="F4348" s="4">
        <f>IFERROR(__xludf.DUMMYFUNCTION("""COMPUTED_VALUE"""),11.0)</f>
        <v>11</v>
      </c>
      <c r="G4348" s="4">
        <f>IFERROR(__xludf.DUMMYFUNCTION("""COMPUTED_VALUE"""),875.0)</f>
        <v>875</v>
      </c>
      <c r="H4348" s="4">
        <f>IFERROR(__xludf.DUMMYFUNCTION("""COMPUTED_VALUE"""),25169.0)</f>
        <v>25169</v>
      </c>
      <c r="I4348" s="4">
        <f>IFERROR(__xludf.DUMMYFUNCTION("""COMPUTED_VALUE"""),5216.0)</f>
        <v>5216</v>
      </c>
      <c r="J4348" s="4">
        <f>IFERROR(__xludf.DUMMYFUNCTION("""COMPUTED_VALUE"""),6939.0)</f>
        <v>6939</v>
      </c>
      <c r="K4348" s="4">
        <f>IFERROR(__xludf.DUMMYFUNCTION("""COMPUTED_VALUE"""),840.0)</f>
        <v>840</v>
      </c>
      <c r="L4348" s="4">
        <f>IFERROR(__xludf.DUMMYFUNCTION("""COMPUTED_VALUE"""),0.458)</f>
        <v>0.458</v>
      </c>
      <c r="M4348" s="4">
        <f>IFERROR(__xludf.DUMMYFUNCTION("""COMPUTED_VALUE"""),0.0)</f>
        <v>0</v>
      </c>
      <c r="N4348" s="4">
        <f>IFERROR(__xludf.DUMMYFUNCTION("""COMPUTED_VALUE"""),0.649)</f>
        <v>0.649</v>
      </c>
      <c r="O4348" s="4">
        <f>IFERROR(__xludf.DUMMYFUNCTION("""COMPUTED_VALUE"""),28.8)</f>
        <v>28.8</v>
      </c>
      <c r="P4348" s="4">
        <f>IFERROR(__xludf.DUMMYFUNCTION("""COMPUTED_VALUE"""),6.0)</f>
        <v>6</v>
      </c>
      <c r="Q4348" s="4">
        <f>IFERROR(__xludf.DUMMYFUNCTION("""COMPUTED_VALUE"""),7.9)</f>
        <v>7.9</v>
      </c>
      <c r="R4348" s="4">
        <f>IFERROR(__xludf.DUMMYFUNCTION("""COMPUTED_VALUE"""),1.0)</f>
        <v>1</v>
      </c>
      <c r="S4348" s="4">
        <f>IFERROR(__xludf.DUMMYFUNCTION("""COMPUTED_VALUE"""),44.8)</f>
        <v>44.8</v>
      </c>
      <c r="T4348" s="4">
        <f>IFERROR(__xludf.DUMMYFUNCTION("""COMPUTED_VALUE"""),0.085)</f>
        <v>0.085</v>
      </c>
      <c r="U4348" s="4">
        <f>IFERROR(__xludf.DUMMYFUNCTION("""COMPUTED_VALUE"""),-0.1)</f>
        <v>-0.1</v>
      </c>
      <c r="V4348" s="4">
        <f>IFERROR(__xludf.DUMMYFUNCTION("""COMPUTED_VALUE"""),11.8)</f>
        <v>11.8</v>
      </c>
    </row>
    <row r="4349">
      <c r="A4349" s="4">
        <f>IFERROR(__xludf.DUMMYFUNCTION("""COMPUTED_VALUE"""),108.0)</f>
        <v>108</v>
      </c>
      <c r="B4349" s="4">
        <f>IFERROR(__xludf.DUMMYFUNCTION("""COMPUTED_VALUE"""),108.0)</f>
        <v>108</v>
      </c>
      <c r="C4349" s="4" t="str">
        <f>IFERROR(__xludf.DUMMYFUNCTION("""COMPUTED_VALUE"""),"WSB")</f>
        <v>WSB</v>
      </c>
      <c r="D4349" s="4" t="str">
        <f>IFERROR(__xludf.DUMMYFUNCTION("""COMPUTED_VALUE"""),"Marshall Ashford")</f>
        <v>Marshall Ashford</v>
      </c>
      <c r="E4349" s="4" t="str">
        <f>IFERROR(__xludf.DUMMYFUNCTION("""COMPUTED_VALUE"""),"Virginia Tech")</f>
        <v>Virginia Tech</v>
      </c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</row>
    <row r="4350">
      <c r="A4350" s="4"/>
      <c r="B4350" s="4"/>
      <c r="C4350" s="4"/>
      <c r="D4350" s="4" t="str">
        <f>IFERROR(__xludf.DUMMYFUNCTION("""COMPUTED_VALUE"""),"Round 6")</f>
        <v>Round 6</v>
      </c>
      <c r="E4350" s="4"/>
      <c r="F4350" s="4"/>
      <c r="G4350" s="4" t="str">
        <f>IFERROR(__xludf.DUMMYFUNCTION("""COMPUTED_VALUE"""),"Totals")</f>
        <v>Totals</v>
      </c>
      <c r="H4350" s="4"/>
      <c r="I4350" s="4"/>
      <c r="J4350" s="4"/>
      <c r="K4350" s="4"/>
      <c r="L4350" s="4" t="str">
        <f>IFERROR(__xludf.DUMMYFUNCTION("""COMPUTED_VALUE"""),"Shooting")</f>
        <v>Shooting</v>
      </c>
      <c r="M4350" s="4"/>
      <c r="N4350" s="4"/>
      <c r="O4350" s="4" t="str">
        <f>IFERROR(__xludf.DUMMYFUNCTION("""COMPUTED_VALUE"""),"Per Game")</f>
        <v>Per Game</v>
      </c>
      <c r="P4350" s="4"/>
      <c r="Q4350" s="4"/>
      <c r="R4350" s="4"/>
      <c r="S4350" s="4" t="str">
        <f>IFERROR(__xludf.DUMMYFUNCTION("""COMPUTED_VALUE"""),"Advanced")</f>
        <v>Advanced</v>
      </c>
      <c r="T4350" s="4"/>
      <c r="U4350" s="4"/>
      <c r="V4350" s="4"/>
    </row>
    <row r="4351">
      <c r="A4351" s="4" t="str">
        <f>IFERROR(__xludf.DUMMYFUNCTION("""COMPUTED_VALUE"""),"Rk")</f>
        <v>Rk</v>
      </c>
      <c r="B4351" s="4" t="str">
        <f>IFERROR(__xludf.DUMMYFUNCTION("""COMPUTED_VALUE"""),"Pk")</f>
        <v>Pk</v>
      </c>
      <c r="C4351" s="4" t="str">
        <f>IFERROR(__xludf.DUMMYFUNCTION("""COMPUTED_VALUE"""),"Tm")</f>
        <v>Tm</v>
      </c>
      <c r="D4351" s="4" t="str">
        <f>IFERROR(__xludf.DUMMYFUNCTION("""COMPUTED_VALUE"""),"Player")</f>
        <v>Player</v>
      </c>
      <c r="E4351" s="4" t="str">
        <f>IFERROR(__xludf.DUMMYFUNCTION("""COMPUTED_VALUE"""),"College")</f>
        <v>College</v>
      </c>
      <c r="F4351" s="4" t="str">
        <f>IFERROR(__xludf.DUMMYFUNCTION("""COMPUTED_VALUE"""),"Yrs")</f>
        <v>Yrs</v>
      </c>
      <c r="G4351" s="4" t="str">
        <f>IFERROR(__xludf.DUMMYFUNCTION("""COMPUTED_VALUE"""),"G")</f>
        <v>G</v>
      </c>
      <c r="H4351" s="4" t="str">
        <f>IFERROR(__xludf.DUMMYFUNCTION("""COMPUTED_VALUE"""),"MP")</f>
        <v>MP</v>
      </c>
      <c r="I4351" s="4" t="str">
        <f>IFERROR(__xludf.DUMMYFUNCTION("""COMPUTED_VALUE"""),"PTS")</f>
        <v>PTS</v>
      </c>
      <c r="J4351" s="4" t="str">
        <f>IFERROR(__xludf.DUMMYFUNCTION("""COMPUTED_VALUE"""),"TRB")</f>
        <v>TRB</v>
      </c>
      <c r="K4351" s="4" t="str">
        <f>IFERROR(__xludf.DUMMYFUNCTION("""COMPUTED_VALUE"""),"AST")</f>
        <v>AST</v>
      </c>
      <c r="L4351" s="4" t="str">
        <f>IFERROR(__xludf.DUMMYFUNCTION("""COMPUTED_VALUE"""),"FG%")</f>
        <v>FG%</v>
      </c>
      <c r="M4351" s="4" t="str">
        <f>IFERROR(__xludf.DUMMYFUNCTION("""COMPUTED_VALUE"""),"3P%")</f>
        <v>3P%</v>
      </c>
      <c r="N4351" s="4" t="str">
        <f>IFERROR(__xludf.DUMMYFUNCTION("""COMPUTED_VALUE"""),"FT%")</f>
        <v>FT%</v>
      </c>
      <c r="O4351" s="4" t="str">
        <f>IFERROR(__xludf.DUMMYFUNCTION("""COMPUTED_VALUE"""),"MP")</f>
        <v>MP</v>
      </c>
      <c r="P4351" s="4" t="str">
        <f>IFERROR(__xludf.DUMMYFUNCTION("""COMPUTED_VALUE"""),"PTS")</f>
        <v>PTS</v>
      </c>
      <c r="Q4351" s="4" t="str">
        <f>IFERROR(__xludf.DUMMYFUNCTION("""COMPUTED_VALUE"""),"TRB")</f>
        <v>TRB</v>
      </c>
      <c r="R4351" s="4" t="str">
        <f>IFERROR(__xludf.DUMMYFUNCTION("""COMPUTED_VALUE"""),"AST")</f>
        <v>AST</v>
      </c>
      <c r="S4351" s="4" t="str">
        <f>IFERROR(__xludf.DUMMYFUNCTION("""COMPUTED_VALUE"""),"WS")</f>
        <v>WS</v>
      </c>
      <c r="T4351" s="4" t="str">
        <f>IFERROR(__xludf.DUMMYFUNCTION("""COMPUTED_VALUE"""),"WS/48")</f>
        <v>WS/48</v>
      </c>
      <c r="U4351" s="4" t="str">
        <f>IFERROR(__xludf.DUMMYFUNCTION("""COMPUTED_VALUE"""),"BPM")</f>
        <v>BPM</v>
      </c>
      <c r="V4351" s="4" t="str">
        <f>IFERROR(__xludf.DUMMYFUNCTION("""COMPUTED_VALUE"""),"VORP")</f>
        <v>VORP</v>
      </c>
    </row>
    <row r="4352">
      <c r="A4352" s="4">
        <f>IFERROR(__xludf.DUMMYFUNCTION("""COMPUTED_VALUE"""),109.0)</f>
        <v>109</v>
      </c>
      <c r="B4352" s="4">
        <f>IFERROR(__xludf.DUMMYFUNCTION("""COMPUTED_VALUE"""),109.0)</f>
        <v>109</v>
      </c>
      <c r="C4352" s="4" t="str">
        <f>IFERROR(__xludf.DUMMYFUNCTION("""COMPUTED_VALUE"""),"UTA")</f>
        <v>UTA</v>
      </c>
      <c r="D4352" s="4" t="str">
        <f>IFERROR(__xludf.DUMMYFUNCTION("""COMPUTED_VALUE"""),"Ernie Cobb")</f>
        <v>Ernie Cobb</v>
      </c>
      <c r="E4352" s="4" t="str">
        <f>IFERROR(__xludf.DUMMYFUNCTION("""COMPUTED_VALUE"""),"Boston University")</f>
        <v>Boston University</v>
      </c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</row>
    <row r="4353">
      <c r="A4353" s="4">
        <f>IFERROR(__xludf.DUMMYFUNCTION("""COMPUTED_VALUE"""),110.0)</f>
        <v>110</v>
      </c>
      <c r="B4353" s="4">
        <f>IFERROR(__xludf.DUMMYFUNCTION("""COMPUTED_VALUE"""),110.0)</f>
        <v>110</v>
      </c>
      <c r="C4353" s="4" t="str">
        <f>IFERROR(__xludf.DUMMYFUNCTION("""COMPUTED_VALUE"""),"BOS")</f>
        <v>BOS</v>
      </c>
      <c r="D4353" s="4" t="str">
        <f>IFERROR(__xludf.DUMMYFUNCTION("""COMPUTED_VALUE"""),"Marvin Delph")</f>
        <v>Marvin Delph</v>
      </c>
      <c r="E4353" s="4" t="str">
        <f>IFERROR(__xludf.DUMMYFUNCTION("""COMPUTED_VALUE"""),"Arkansas")</f>
        <v>Arkansas</v>
      </c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</row>
    <row r="4354">
      <c r="A4354" s="4">
        <f>IFERROR(__xludf.DUMMYFUNCTION("""COMPUTED_VALUE"""),111.0)</f>
        <v>111</v>
      </c>
      <c r="B4354" s="4">
        <f>IFERROR(__xludf.DUMMYFUNCTION("""COMPUTED_VALUE"""),111.0)</f>
        <v>111</v>
      </c>
      <c r="C4354" s="4" t="str">
        <f>IFERROR(__xludf.DUMMYFUNCTION("""COMPUTED_VALUE"""),"DET")</f>
        <v>DET</v>
      </c>
      <c r="D4354" s="4" t="str">
        <f>IFERROR(__xludf.DUMMYFUNCTION("""COMPUTED_VALUE"""),"Truman Claytor")</f>
        <v>Truman Claytor</v>
      </c>
      <c r="E4354" s="4" t="str">
        <f>IFERROR(__xludf.DUMMYFUNCTION("""COMPUTED_VALUE"""),"Kentucky")</f>
        <v>Kentucky</v>
      </c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</row>
    <row r="4355">
      <c r="A4355" s="4">
        <f>IFERROR(__xludf.DUMMYFUNCTION("""COMPUTED_VALUE"""),112.0)</f>
        <v>112</v>
      </c>
      <c r="B4355" s="4">
        <f>IFERROR(__xludf.DUMMYFUNCTION("""COMPUTED_VALUE"""),112.0)</f>
        <v>112</v>
      </c>
      <c r="C4355" s="4" t="str">
        <f>IFERROR(__xludf.DUMMYFUNCTION("""COMPUTED_VALUE"""),"CLE")</f>
        <v>CLE</v>
      </c>
      <c r="D4355" s="4" t="str">
        <f>IFERROR(__xludf.DUMMYFUNCTION("""COMPUTED_VALUE"""),"Jon Manning")</f>
        <v>Jon Manning</v>
      </c>
      <c r="E4355" s="4" t="str">
        <f>IFERROR(__xludf.DUMMYFUNCTION("""COMPUTED_VALUE"""),"University of North Texas")</f>
        <v>University of North Texas</v>
      </c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</row>
    <row r="4356">
      <c r="A4356" s="4">
        <f>IFERROR(__xludf.DUMMYFUNCTION("""COMPUTED_VALUE"""),113.0)</f>
        <v>113</v>
      </c>
      <c r="B4356" s="4">
        <f>IFERROR(__xludf.DUMMYFUNCTION("""COMPUTED_VALUE"""),113.0)</f>
        <v>113</v>
      </c>
      <c r="C4356" s="4" t="str">
        <f>IFERROR(__xludf.DUMMYFUNCTION("""COMPUTED_VALUE"""),"NYK")</f>
        <v>NYK</v>
      </c>
      <c r="D4356" s="4" t="str">
        <f>IFERROR(__xludf.DUMMYFUNCTION("""COMPUTED_VALUE"""),"Phil Abney")</f>
        <v>Phil Abney</v>
      </c>
      <c r="E4356" s="4" t="str">
        <f>IFERROR(__xludf.DUMMYFUNCTION("""COMPUTED_VALUE"""),"New Mexico")</f>
        <v>New Mexico</v>
      </c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</row>
    <row r="4357">
      <c r="A4357" s="4">
        <f>IFERROR(__xludf.DUMMYFUNCTION("""COMPUTED_VALUE"""),114.0)</f>
        <v>114</v>
      </c>
      <c r="B4357" s="4">
        <f>IFERROR(__xludf.DUMMYFUNCTION("""COMPUTED_VALUE"""),114.0)</f>
        <v>114</v>
      </c>
      <c r="C4357" s="4" t="str">
        <f>IFERROR(__xludf.DUMMYFUNCTION("""COMPUTED_VALUE"""),"CHI")</f>
        <v>CHI</v>
      </c>
      <c r="D4357" s="4" t="str">
        <f>IFERROR(__xludf.DUMMYFUNCTION("""COMPUTED_VALUE"""),"Steve Smith")</f>
        <v>Steve Smith</v>
      </c>
      <c r="E4357" s="4" t="str">
        <f>IFERROR(__xludf.DUMMYFUNCTION("""COMPUTED_VALUE"""),"USC")</f>
        <v>USC</v>
      </c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</row>
    <row r="4358">
      <c r="A4358" s="4">
        <f>IFERROR(__xludf.DUMMYFUNCTION("""COMPUTED_VALUE"""),115.0)</f>
        <v>115</v>
      </c>
      <c r="B4358" s="4">
        <f>IFERROR(__xludf.DUMMYFUNCTION("""COMPUTED_VALUE"""),115.0)</f>
        <v>115</v>
      </c>
      <c r="C4358" s="4" t="str">
        <f>IFERROR(__xludf.DUMMYFUNCTION("""COMPUTED_VALUE"""),"NJN")</f>
        <v>NJN</v>
      </c>
      <c r="D4358" s="4" t="str">
        <f>IFERROR(__xludf.DUMMYFUNCTION("""COMPUTED_VALUE"""),"Tony Smith")</f>
        <v>Tony Smith</v>
      </c>
      <c r="E4358" s="4" t="str">
        <f>IFERROR(__xludf.DUMMYFUNCTION("""COMPUTED_VALUE"""),"UNLV")</f>
        <v>UNLV</v>
      </c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</row>
    <row r="4359">
      <c r="A4359" s="4">
        <f>IFERROR(__xludf.DUMMYFUNCTION("""COMPUTED_VALUE"""),116.0)</f>
        <v>116</v>
      </c>
      <c r="B4359" s="4">
        <f>IFERROR(__xludf.DUMMYFUNCTION("""COMPUTED_VALUE"""),116.0)</f>
        <v>116</v>
      </c>
      <c r="C4359" s="4" t="str">
        <f>IFERROR(__xludf.DUMMYFUNCTION("""COMPUTED_VALUE"""),"MIL")</f>
        <v>MIL</v>
      </c>
      <c r="D4359" s="4" t="str">
        <f>IFERROR(__xludf.DUMMYFUNCTION("""COMPUTED_VALUE"""),"Derrick Mayes")</f>
        <v>Derrick Mayes</v>
      </c>
      <c r="E4359" s="4" t="str">
        <f>IFERROR(__xludf.DUMMYFUNCTION("""COMPUTED_VALUE"""),"Illinois State")</f>
        <v>Illinois State</v>
      </c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</row>
    <row r="4360">
      <c r="A4360" s="4">
        <f>IFERROR(__xludf.DUMMYFUNCTION("""COMPUTED_VALUE"""),117.0)</f>
        <v>117</v>
      </c>
      <c r="B4360" s="4">
        <f>IFERROR(__xludf.DUMMYFUNCTION("""COMPUTED_VALUE"""),117.0)</f>
        <v>117</v>
      </c>
      <c r="C4360" s="4" t="str">
        <f>IFERROR(__xludf.DUMMYFUNCTION("""COMPUTED_VALUE"""),"IND")</f>
        <v>IND</v>
      </c>
      <c r="D4360" s="4" t="str">
        <f>IFERROR(__xludf.DUMMYFUNCTION("""COMPUTED_VALUE"""),"Greg Guye")</f>
        <v>Greg Guye</v>
      </c>
      <c r="E4360" s="4" t="str">
        <f>IFERROR(__xludf.DUMMYFUNCTION("""COMPUTED_VALUE"""),"Stetson University")</f>
        <v>Stetson University</v>
      </c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</row>
    <row r="4361">
      <c r="A4361" s="4">
        <f>IFERROR(__xludf.DUMMYFUNCTION("""COMPUTED_VALUE"""),118.0)</f>
        <v>118</v>
      </c>
      <c r="B4361" s="4">
        <f>IFERROR(__xludf.DUMMYFUNCTION("""COMPUTED_VALUE"""),118.0)</f>
        <v>118</v>
      </c>
      <c r="C4361" s="4" t="str">
        <f>IFERROR(__xludf.DUMMYFUNCTION("""COMPUTED_VALUE"""),"GSW")</f>
        <v>GSW</v>
      </c>
      <c r="D4361" s="4" t="str">
        <f>IFERROR(__xludf.DUMMYFUNCTION("""COMPUTED_VALUE"""),"Jim Mitchem")</f>
        <v>Jim Mitchem</v>
      </c>
      <c r="E4361" s="4" t="str">
        <f>IFERROR(__xludf.DUMMYFUNCTION("""COMPUTED_VALUE"""),"DePaul")</f>
        <v>DePaul</v>
      </c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</row>
    <row r="4362">
      <c r="A4362" s="4">
        <f>IFERROR(__xludf.DUMMYFUNCTION("""COMPUTED_VALUE"""),119.0)</f>
        <v>119</v>
      </c>
      <c r="B4362" s="4">
        <f>IFERROR(__xludf.DUMMYFUNCTION("""COMPUTED_VALUE"""),119.0)</f>
        <v>119</v>
      </c>
      <c r="C4362" s="4" t="str">
        <f>IFERROR(__xludf.DUMMYFUNCTION("""COMPUTED_VALUE"""),"SDC")</f>
        <v>SDC</v>
      </c>
      <c r="D4362" s="4" t="str">
        <f>IFERROR(__xludf.DUMMYFUNCTION("""COMPUTED_VALUE"""),"Bob Bender")</f>
        <v>Bob Bender</v>
      </c>
      <c r="E4362" s="4" t="str">
        <f>IFERROR(__xludf.DUMMYFUNCTION("""COMPUTED_VALUE"""),"Duke")</f>
        <v>Duke</v>
      </c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</row>
    <row r="4363">
      <c r="A4363" s="4">
        <f>IFERROR(__xludf.DUMMYFUNCTION("""COMPUTED_VALUE"""),120.0)</f>
        <v>120</v>
      </c>
      <c r="B4363" s="4">
        <f>IFERROR(__xludf.DUMMYFUNCTION("""COMPUTED_VALUE"""),120.0)</f>
        <v>120</v>
      </c>
      <c r="C4363" s="4" t="str">
        <f>IFERROR(__xludf.DUMMYFUNCTION("""COMPUTED_VALUE"""),"POR")</f>
        <v>POR</v>
      </c>
      <c r="D4363" s="4" t="str">
        <f>IFERROR(__xludf.DUMMYFUNCTION("""COMPUTED_VALUE"""),"Ray Ellis")</f>
        <v>Ray Ellis</v>
      </c>
      <c r="E4363" s="4" t="str">
        <f>IFERROR(__xludf.DUMMYFUNCTION("""COMPUTED_VALUE"""),"Pepperdine")</f>
        <v>Pepperdine</v>
      </c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</row>
    <row r="4364">
      <c r="A4364" s="4">
        <f>IFERROR(__xludf.DUMMYFUNCTION("""COMPUTED_VALUE"""),121.0)</f>
        <v>121</v>
      </c>
      <c r="B4364" s="4">
        <f>IFERROR(__xludf.DUMMYFUNCTION("""COMPUTED_VALUE"""),121.0)</f>
        <v>121</v>
      </c>
      <c r="C4364" s="4" t="str">
        <f>IFERROR(__xludf.DUMMYFUNCTION("""COMPUTED_VALUE"""),"ATL")</f>
        <v>ATL</v>
      </c>
      <c r="D4364" s="4" t="str">
        <f>IFERROR(__xludf.DUMMYFUNCTION("""COMPUTED_VALUE"""),"Dwight Williams")</f>
        <v>Dwight Williams</v>
      </c>
      <c r="E4364" s="4" t="str">
        <f>IFERROR(__xludf.DUMMYFUNCTION("""COMPUTED_VALUE"""),"Gardner-Webb University")</f>
        <v>Gardner-Webb University</v>
      </c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</row>
    <row r="4365">
      <c r="A4365" s="4">
        <f>IFERROR(__xludf.DUMMYFUNCTION("""COMPUTED_VALUE"""),122.0)</f>
        <v>122</v>
      </c>
      <c r="B4365" s="4">
        <f>IFERROR(__xludf.DUMMYFUNCTION("""COMPUTED_VALUE"""),122.0)</f>
        <v>122</v>
      </c>
      <c r="C4365" s="4" t="str">
        <f>IFERROR(__xludf.DUMMYFUNCTION("""COMPUTED_VALUE"""),"DEN")</f>
        <v>DEN</v>
      </c>
      <c r="D4365" s="4" t="str">
        <f>IFERROR(__xludf.DUMMYFUNCTION("""COMPUTED_VALUE"""),"Odell Ball")</f>
        <v>Odell Ball</v>
      </c>
      <c r="E4365" s="4" t="str">
        <f>IFERROR(__xludf.DUMMYFUNCTION("""COMPUTED_VALUE"""),"Marquette")</f>
        <v>Marquette</v>
      </c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</row>
    <row r="4366">
      <c r="A4366" s="4">
        <f>IFERROR(__xludf.DUMMYFUNCTION("""COMPUTED_VALUE"""),123.0)</f>
        <v>123</v>
      </c>
      <c r="B4366" s="4">
        <f>IFERROR(__xludf.DUMMYFUNCTION("""COMPUTED_VALUE"""),123.0)</f>
        <v>123</v>
      </c>
      <c r="C4366" s="4" t="str">
        <f>IFERROR(__xludf.DUMMYFUNCTION("""COMPUTED_VALUE"""),"PHI")</f>
        <v>PHI</v>
      </c>
      <c r="D4366" s="4" t="str">
        <f>IFERROR(__xludf.DUMMYFUNCTION("""COMPUTED_VALUE"""),"Dan Hartshorne")</f>
        <v>Dan Hartshorne</v>
      </c>
      <c r="E4366" s="4" t="str">
        <f>IFERROR(__xludf.DUMMYFUNCTION("""COMPUTED_VALUE"""),"Oregon")</f>
        <v>Oregon</v>
      </c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</row>
    <row r="4367">
      <c r="A4367" s="4">
        <f>IFERROR(__xludf.DUMMYFUNCTION("""COMPUTED_VALUE"""),124.0)</f>
        <v>124</v>
      </c>
      <c r="B4367" s="4">
        <f>IFERROR(__xludf.DUMMYFUNCTION("""COMPUTED_VALUE"""),124.0)</f>
        <v>124</v>
      </c>
      <c r="C4367" s="4" t="str">
        <f>IFERROR(__xludf.DUMMYFUNCTION("""COMPUTED_VALUE"""),"HOU")</f>
        <v>HOU</v>
      </c>
      <c r="D4367" s="4" t="str">
        <f>IFERROR(__xludf.DUMMYFUNCTION("""COMPUTED_VALUE"""),"Collie Davis")</f>
        <v>Collie Davis</v>
      </c>
      <c r="E4367" s="4" t="str">
        <f>IFERROR(__xludf.DUMMYFUNCTION("""COMPUTED_VALUE"""),"Southern University and A&amp;M College")</f>
        <v>Southern University and A&amp;M College</v>
      </c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</row>
    <row r="4368">
      <c r="A4368" s="4">
        <f>IFERROR(__xludf.DUMMYFUNCTION("""COMPUTED_VALUE"""),125.0)</f>
        <v>125</v>
      </c>
      <c r="B4368" s="4">
        <f>IFERROR(__xludf.DUMMYFUNCTION("""COMPUTED_VALUE"""),125.0)</f>
        <v>125</v>
      </c>
      <c r="C4368" s="4" t="str">
        <f>IFERROR(__xludf.DUMMYFUNCTION("""COMPUTED_VALUE"""),"SAS")</f>
        <v>SAS</v>
      </c>
      <c r="D4368" s="4" t="str">
        <f>IFERROR(__xludf.DUMMYFUNCTION("""COMPUTED_VALUE"""),"Terry Knight")</f>
        <v>Terry Knight</v>
      </c>
      <c r="E4368" s="4" t="str">
        <f>IFERROR(__xludf.DUMMYFUNCTION("""COMPUTED_VALUE"""),"Pitt")</f>
        <v>Pitt</v>
      </c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</row>
    <row r="4369">
      <c r="A4369" s="4">
        <f>IFERROR(__xludf.DUMMYFUNCTION("""COMPUTED_VALUE"""),126.0)</f>
        <v>126</v>
      </c>
      <c r="B4369" s="4">
        <f>IFERROR(__xludf.DUMMYFUNCTION("""COMPUTED_VALUE"""),126.0)</f>
        <v>126</v>
      </c>
      <c r="C4369" s="4" t="str">
        <f>IFERROR(__xludf.DUMMYFUNCTION("""COMPUTED_VALUE"""),"KCK")</f>
        <v>KCK</v>
      </c>
      <c r="D4369" s="4" t="str">
        <f>IFERROR(__xludf.DUMMYFUNCTION("""COMPUTED_VALUE"""),"Bob Roma")</f>
        <v>Bob Roma</v>
      </c>
      <c r="E4369" s="4" t="str">
        <f>IFERROR(__xludf.DUMMYFUNCTION("""COMPUTED_VALUE"""),"Princeton")</f>
        <v>Princeton</v>
      </c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</row>
    <row r="4370">
      <c r="A4370" s="4">
        <f>IFERROR(__xludf.DUMMYFUNCTION("""COMPUTED_VALUE"""),127.0)</f>
        <v>127</v>
      </c>
      <c r="B4370" s="4">
        <f>IFERROR(__xludf.DUMMYFUNCTION("""COMPUTED_VALUE"""),127.0)</f>
        <v>127</v>
      </c>
      <c r="C4370" s="4" t="str">
        <f>IFERROR(__xludf.DUMMYFUNCTION("""COMPUTED_VALUE"""),"PHO")</f>
        <v>PHO</v>
      </c>
      <c r="D4370" s="4" t="str">
        <f>IFERROR(__xludf.DUMMYFUNCTION("""COMPUTED_VALUE"""),"Dale Shackleford")</f>
        <v>Dale Shackleford</v>
      </c>
      <c r="E4370" s="4" t="str">
        <f>IFERROR(__xludf.DUMMYFUNCTION("""COMPUTED_VALUE"""),"Syracuse")</f>
        <v>Syracuse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</row>
    <row r="4371">
      <c r="A4371" s="4">
        <f>IFERROR(__xludf.DUMMYFUNCTION("""COMPUTED_VALUE"""),128.0)</f>
        <v>128</v>
      </c>
      <c r="B4371" s="4">
        <f>IFERROR(__xludf.DUMMYFUNCTION("""COMPUTED_VALUE"""),128.0)</f>
        <v>128</v>
      </c>
      <c r="C4371" s="4" t="str">
        <f>IFERROR(__xludf.DUMMYFUNCTION("""COMPUTED_VALUE"""),"WSB")</f>
        <v>WSB</v>
      </c>
      <c r="D4371" s="4" t="str">
        <f>IFERROR(__xludf.DUMMYFUNCTION("""COMPUTED_VALUE"""),"Garcia Hopkins")</f>
        <v>Garcia Hopkins</v>
      </c>
      <c r="E4371" s="4" t="str">
        <f>IFERROR(__xludf.DUMMYFUNCTION("""COMPUTED_VALUE"""),"Morgan State University")</f>
        <v>Morgan State University</v>
      </c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</row>
    <row r="4372">
      <c r="A4372" s="4"/>
      <c r="B4372" s="4"/>
      <c r="C4372" s="4"/>
      <c r="D4372" s="4" t="str">
        <f>IFERROR(__xludf.DUMMYFUNCTION("""COMPUTED_VALUE"""),"Round 7")</f>
        <v>Round 7</v>
      </c>
      <c r="E4372" s="4"/>
      <c r="F4372" s="4"/>
      <c r="G4372" s="4" t="str">
        <f>IFERROR(__xludf.DUMMYFUNCTION("""COMPUTED_VALUE"""),"Totals")</f>
        <v>Totals</v>
      </c>
      <c r="H4372" s="4"/>
      <c r="I4372" s="4"/>
      <c r="J4372" s="4"/>
      <c r="K4372" s="4"/>
      <c r="L4372" s="4" t="str">
        <f>IFERROR(__xludf.DUMMYFUNCTION("""COMPUTED_VALUE"""),"Shooting")</f>
        <v>Shooting</v>
      </c>
      <c r="M4372" s="4"/>
      <c r="N4372" s="4"/>
      <c r="O4372" s="4" t="str">
        <f>IFERROR(__xludf.DUMMYFUNCTION("""COMPUTED_VALUE"""),"Per Game")</f>
        <v>Per Game</v>
      </c>
      <c r="P4372" s="4"/>
      <c r="Q4372" s="4"/>
      <c r="R4372" s="4"/>
      <c r="S4372" s="4" t="str">
        <f>IFERROR(__xludf.DUMMYFUNCTION("""COMPUTED_VALUE"""),"Advanced")</f>
        <v>Advanced</v>
      </c>
      <c r="T4372" s="4"/>
      <c r="U4372" s="4"/>
      <c r="V4372" s="4"/>
    </row>
    <row r="4373">
      <c r="A4373" s="4" t="str">
        <f>IFERROR(__xludf.DUMMYFUNCTION("""COMPUTED_VALUE"""),"Rk")</f>
        <v>Rk</v>
      </c>
      <c r="B4373" s="4" t="str">
        <f>IFERROR(__xludf.DUMMYFUNCTION("""COMPUTED_VALUE"""),"Pk")</f>
        <v>Pk</v>
      </c>
      <c r="C4373" s="4" t="str">
        <f>IFERROR(__xludf.DUMMYFUNCTION("""COMPUTED_VALUE"""),"Tm")</f>
        <v>Tm</v>
      </c>
      <c r="D4373" s="4" t="str">
        <f>IFERROR(__xludf.DUMMYFUNCTION("""COMPUTED_VALUE"""),"Player")</f>
        <v>Player</v>
      </c>
      <c r="E4373" s="4" t="str">
        <f>IFERROR(__xludf.DUMMYFUNCTION("""COMPUTED_VALUE"""),"College")</f>
        <v>College</v>
      </c>
      <c r="F4373" s="4" t="str">
        <f>IFERROR(__xludf.DUMMYFUNCTION("""COMPUTED_VALUE"""),"Yrs")</f>
        <v>Yrs</v>
      </c>
      <c r="G4373" s="4" t="str">
        <f>IFERROR(__xludf.DUMMYFUNCTION("""COMPUTED_VALUE"""),"G")</f>
        <v>G</v>
      </c>
      <c r="H4373" s="4" t="str">
        <f>IFERROR(__xludf.DUMMYFUNCTION("""COMPUTED_VALUE"""),"MP")</f>
        <v>MP</v>
      </c>
      <c r="I4373" s="4" t="str">
        <f>IFERROR(__xludf.DUMMYFUNCTION("""COMPUTED_VALUE"""),"PTS")</f>
        <v>PTS</v>
      </c>
      <c r="J4373" s="4" t="str">
        <f>IFERROR(__xludf.DUMMYFUNCTION("""COMPUTED_VALUE"""),"TRB")</f>
        <v>TRB</v>
      </c>
      <c r="K4373" s="4" t="str">
        <f>IFERROR(__xludf.DUMMYFUNCTION("""COMPUTED_VALUE"""),"AST")</f>
        <v>AST</v>
      </c>
      <c r="L4373" s="4" t="str">
        <f>IFERROR(__xludf.DUMMYFUNCTION("""COMPUTED_VALUE"""),"FG%")</f>
        <v>FG%</v>
      </c>
      <c r="M4373" s="4" t="str">
        <f>IFERROR(__xludf.DUMMYFUNCTION("""COMPUTED_VALUE"""),"3P%")</f>
        <v>3P%</v>
      </c>
      <c r="N4373" s="4" t="str">
        <f>IFERROR(__xludf.DUMMYFUNCTION("""COMPUTED_VALUE"""),"FT%")</f>
        <v>FT%</v>
      </c>
      <c r="O4373" s="4" t="str">
        <f>IFERROR(__xludf.DUMMYFUNCTION("""COMPUTED_VALUE"""),"MP")</f>
        <v>MP</v>
      </c>
      <c r="P4373" s="4" t="str">
        <f>IFERROR(__xludf.DUMMYFUNCTION("""COMPUTED_VALUE"""),"PTS")</f>
        <v>PTS</v>
      </c>
      <c r="Q4373" s="4" t="str">
        <f>IFERROR(__xludf.DUMMYFUNCTION("""COMPUTED_VALUE"""),"TRB")</f>
        <v>TRB</v>
      </c>
      <c r="R4373" s="4" t="str">
        <f>IFERROR(__xludf.DUMMYFUNCTION("""COMPUTED_VALUE"""),"AST")</f>
        <v>AST</v>
      </c>
      <c r="S4373" s="4" t="str">
        <f>IFERROR(__xludf.DUMMYFUNCTION("""COMPUTED_VALUE"""),"WS")</f>
        <v>WS</v>
      </c>
      <c r="T4373" s="4" t="str">
        <f>IFERROR(__xludf.DUMMYFUNCTION("""COMPUTED_VALUE"""),"WS/48")</f>
        <v>WS/48</v>
      </c>
      <c r="U4373" s="4" t="str">
        <f>IFERROR(__xludf.DUMMYFUNCTION("""COMPUTED_VALUE"""),"BPM")</f>
        <v>BPM</v>
      </c>
      <c r="V4373" s="4" t="str">
        <f>IFERROR(__xludf.DUMMYFUNCTION("""COMPUTED_VALUE"""),"VORP")</f>
        <v>VORP</v>
      </c>
    </row>
    <row r="4374">
      <c r="A4374" s="4">
        <f>IFERROR(__xludf.DUMMYFUNCTION("""COMPUTED_VALUE"""),129.0)</f>
        <v>129</v>
      </c>
      <c r="B4374" s="4">
        <f>IFERROR(__xludf.DUMMYFUNCTION("""COMPUTED_VALUE"""),129.0)</f>
        <v>129</v>
      </c>
      <c r="C4374" s="4" t="str">
        <f>IFERROR(__xludf.DUMMYFUNCTION("""COMPUTED_VALUE"""),"UTA")</f>
        <v>UTA</v>
      </c>
      <c r="D4374" s="4" t="str">
        <f>IFERROR(__xludf.DUMMYFUNCTION("""COMPUTED_VALUE"""),"Paul Poe")</f>
        <v>Paul Poe</v>
      </c>
      <c r="E4374" s="4" t="str">
        <f>IFERROR(__xludf.DUMMYFUNCTION("""COMPUTED_VALUE"""),"Louisiana College")</f>
        <v>Louisiana College</v>
      </c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</row>
    <row r="4375">
      <c r="A4375" s="4">
        <f>IFERROR(__xludf.DUMMYFUNCTION("""COMPUTED_VALUE"""),130.0)</f>
        <v>130</v>
      </c>
      <c r="B4375" s="4">
        <f>IFERROR(__xludf.DUMMYFUNCTION("""COMPUTED_VALUE"""),130.0)</f>
        <v>130</v>
      </c>
      <c r="C4375" s="4" t="str">
        <f>IFERROR(__xludf.DUMMYFUNCTION("""COMPUTED_VALUE"""),"BOS")</f>
        <v>BOS</v>
      </c>
      <c r="D4375" s="4" t="str">
        <f>IFERROR(__xludf.DUMMYFUNCTION("""COMPUTED_VALUE"""),"Steve Castellan")</f>
        <v>Steve Castellan</v>
      </c>
      <c r="E4375" s="4" t="str">
        <f>IFERROR(__xludf.DUMMYFUNCTION("""COMPUTED_VALUE"""),"Virginia")</f>
        <v>Virginia</v>
      </c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</row>
    <row r="4376">
      <c r="A4376" s="4">
        <f>IFERROR(__xludf.DUMMYFUNCTION("""COMPUTED_VALUE"""),131.0)</f>
        <v>131</v>
      </c>
      <c r="B4376" s="4">
        <f>IFERROR(__xludf.DUMMYFUNCTION("""COMPUTED_VALUE"""),131.0)</f>
        <v>131</v>
      </c>
      <c r="C4376" s="4" t="str">
        <f>IFERROR(__xludf.DUMMYFUNCTION("""COMPUTED_VALUE"""),"CLE")</f>
        <v>CLE</v>
      </c>
      <c r="D4376" s="4" t="str">
        <f>IFERROR(__xludf.DUMMYFUNCTION("""COMPUTED_VALUE"""),"Steve Skaggs")</f>
        <v>Steve Skaggs</v>
      </c>
      <c r="E4376" s="4" t="str">
        <f>IFERROR(__xludf.DUMMYFUNCTION("""COMPUTED_VALUE"""),"Ohio University")</f>
        <v>Ohio University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</row>
    <row r="4377">
      <c r="A4377" s="4">
        <f>IFERROR(__xludf.DUMMYFUNCTION("""COMPUTED_VALUE"""),132.0)</f>
        <v>132</v>
      </c>
      <c r="B4377" s="4">
        <f>IFERROR(__xludf.DUMMYFUNCTION("""COMPUTED_VALUE"""),132.0)</f>
        <v>132</v>
      </c>
      <c r="C4377" s="4" t="str">
        <f>IFERROR(__xludf.DUMMYFUNCTION("""COMPUTED_VALUE"""),"DET")</f>
        <v>DET</v>
      </c>
      <c r="D4377" s="4" t="str">
        <f>IFERROR(__xludf.DUMMYFUNCTION("""COMPUTED_VALUE"""),"Ken Jones")</f>
        <v>Ken Jones</v>
      </c>
      <c r="E4377" s="4" t="str">
        <f>IFERROR(__xludf.DUMMYFUNCTION("""COMPUTED_VALUE"""),"Saint Mary's")</f>
        <v>Saint Mary's</v>
      </c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</row>
    <row r="4378">
      <c r="A4378" s="4">
        <f>IFERROR(__xludf.DUMMYFUNCTION("""COMPUTED_VALUE"""),133.0)</f>
        <v>133</v>
      </c>
      <c r="B4378" s="4">
        <f>IFERROR(__xludf.DUMMYFUNCTION("""COMPUTED_VALUE"""),133.0)</f>
        <v>133</v>
      </c>
      <c r="C4378" s="4" t="str">
        <f>IFERROR(__xludf.DUMMYFUNCTION("""COMPUTED_VALUE"""),"CHI")</f>
        <v>CHI</v>
      </c>
      <c r="D4378" s="4" t="str">
        <f>IFERROR(__xludf.DUMMYFUNCTION("""COMPUTED_VALUE"""),"Mike Eversley")</f>
        <v>Mike Eversley</v>
      </c>
      <c r="E4378" s="4" t="str">
        <f>IFERROR(__xludf.DUMMYFUNCTION("""COMPUTED_VALUE"""),"Chicago State")</f>
        <v>Chicago State</v>
      </c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</row>
    <row r="4379">
      <c r="A4379" s="4">
        <f>IFERROR(__xludf.DUMMYFUNCTION("""COMPUTED_VALUE"""),134.0)</f>
        <v>134</v>
      </c>
      <c r="B4379" s="4">
        <f>IFERROR(__xludf.DUMMYFUNCTION("""COMPUTED_VALUE"""),134.0)</f>
        <v>134</v>
      </c>
      <c r="C4379" s="4" t="str">
        <f>IFERROR(__xludf.DUMMYFUNCTION("""COMPUTED_VALUE"""),"NYK")</f>
        <v>NYK</v>
      </c>
      <c r="D4379" s="4" t="str">
        <f>IFERROR(__xludf.DUMMYFUNCTION("""COMPUTED_VALUE"""),"Marc Coleman")</f>
        <v>Marc Coleman</v>
      </c>
      <c r="E4379" s="4" t="str">
        <f>IFERROR(__xludf.DUMMYFUNCTION("""COMPUTED_VALUE"""),"Seton Hall")</f>
        <v>Seton Hall</v>
      </c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</row>
    <row r="4380">
      <c r="A4380" s="4">
        <f>IFERROR(__xludf.DUMMYFUNCTION("""COMPUTED_VALUE"""),135.0)</f>
        <v>135</v>
      </c>
      <c r="B4380" s="4">
        <f>IFERROR(__xludf.DUMMYFUNCTION("""COMPUTED_VALUE"""),135.0)</f>
        <v>135</v>
      </c>
      <c r="C4380" s="4" t="str">
        <f>IFERROR(__xludf.DUMMYFUNCTION("""COMPUTED_VALUE"""),"NJN")</f>
        <v>NJN</v>
      </c>
      <c r="D4380" s="4" t="str">
        <f>IFERROR(__xludf.DUMMYFUNCTION("""COMPUTED_VALUE"""),"Jim Strickland")</f>
        <v>Jim Strickland</v>
      </c>
      <c r="E4380" s="4" t="str">
        <f>IFERROR(__xludf.DUMMYFUNCTION("""COMPUTED_VALUE"""),"South Carolina")</f>
        <v>South Carolina</v>
      </c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</row>
    <row r="4381">
      <c r="A4381" s="4">
        <f>IFERROR(__xludf.DUMMYFUNCTION("""COMPUTED_VALUE"""),136.0)</f>
        <v>136</v>
      </c>
      <c r="B4381" s="4">
        <f>IFERROR(__xludf.DUMMYFUNCTION("""COMPUTED_VALUE"""),136.0)</f>
        <v>136</v>
      </c>
      <c r="C4381" s="4" t="str">
        <f>IFERROR(__xludf.DUMMYFUNCTION("""COMPUTED_VALUE"""),"IND")</f>
        <v>IND</v>
      </c>
      <c r="D4381" s="4" t="str">
        <f>IFERROR(__xludf.DUMMYFUNCTION("""COMPUTED_VALUE"""),"Dirk Ewing")</f>
        <v>Dirk Ewing</v>
      </c>
      <c r="E4381" s="4" t="str">
        <f>IFERROR(__xludf.DUMMYFUNCTION("""COMPUTED_VALUE"""),"Stetson University")</f>
        <v>Stetson University</v>
      </c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</row>
    <row r="4382">
      <c r="A4382" s="4">
        <f>IFERROR(__xludf.DUMMYFUNCTION("""COMPUTED_VALUE"""),137.0)</f>
        <v>137</v>
      </c>
      <c r="B4382" s="4">
        <f>IFERROR(__xludf.DUMMYFUNCTION("""COMPUTED_VALUE"""),137.0)</f>
        <v>137</v>
      </c>
      <c r="C4382" s="4" t="str">
        <f>IFERROR(__xludf.DUMMYFUNCTION("""COMPUTED_VALUE"""),"GSW")</f>
        <v>GSW</v>
      </c>
      <c r="D4382" s="4" t="str">
        <f>IFERROR(__xludf.DUMMYFUNCTION("""COMPUTED_VALUE"""),"Ren Watson")</f>
        <v>Ren Watson</v>
      </c>
      <c r="E4382" s="4" t="str">
        <f>IFERROR(__xludf.DUMMYFUNCTION("""COMPUTED_VALUE"""),"VCU")</f>
        <v>VCU</v>
      </c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</row>
    <row r="4383">
      <c r="A4383" s="4">
        <f>IFERROR(__xludf.DUMMYFUNCTION("""COMPUTED_VALUE"""),138.0)</f>
        <v>138</v>
      </c>
      <c r="B4383" s="4">
        <f>IFERROR(__xludf.DUMMYFUNCTION("""COMPUTED_VALUE"""),138.0)</f>
        <v>138</v>
      </c>
      <c r="C4383" s="4" t="str">
        <f>IFERROR(__xludf.DUMMYFUNCTION("""COMPUTED_VALUE"""),"MIL")</f>
        <v>MIL</v>
      </c>
      <c r="D4383" s="4" t="str">
        <f>IFERROR(__xludf.DUMMYFUNCTION("""COMPUTED_VALUE"""),"Stan Ray")</f>
        <v>Stan Ray</v>
      </c>
      <c r="E4383" s="4" t="str">
        <f>IFERROR(__xludf.DUMMYFUNCTION("""COMPUTED_VALUE"""),"Cal State Fullerton")</f>
        <v>Cal State Fullerton</v>
      </c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</row>
    <row r="4384">
      <c r="A4384" s="4">
        <f>IFERROR(__xludf.DUMMYFUNCTION("""COMPUTED_VALUE"""),139.0)</f>
        <v>139</v>
      </c>
      <c r="B4384" s="4">
        <f>IFERROR(__xludf.DUMMYFUNCTION("""COMPUTED_VALUE"""),139.0)</f>
        <v>139</v>
      </c>
      <c r="C4384" s="4" t="str">
        <f>IFERROR(__xludf.DUMMYFUNCTION("""COMPUTED_VALUE"""),"SDC")</f>
        <v>SDC</v>
      </c>
      <c r="D4384" s="4" t="str">
        <f>IFERROR(__xludf.DUMMYFUNCTION("""COMPUTED_VALUE"""),"Jene Grey")</f>
        <v>Jene Grey</v>
      </c>
      <c r="E4384" s="4" t="str">
        <f>IFERROR(__xludf.DUMMYFUNCTION("""COMPUTED_VALUE"""),"LeMoyne College")</f>
        <v>LeMoyne College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</row>
    <row r="4385">
      <c r="A4385" s="4">
        <f>IFERROR(__xludf.DUMMYFUNCTION("""COMPUTED_VALUE"""),140.0)</f>
        <v>140</v>
      </c>
      <c r="B4385" s="4">
        <f>IFERROR(__xludf.DUMMYFUNCTION("""COMPUTED_VALUE"""),140.0)</f>
        <v>140</v>
      </c>
      <c r="C4385" s="4" t="str">
        <f>IFERROR(__xludf.DUMMYFUNCTION("""COMPUTED_VALUE"""),"POR")</f>
        <v>POR</v>
      </c>
      <c r="D4385" s="4" t="str">
        <f>IFERROR(__xludf.DUMMYFUNCTION("""COMPUTED_VALUE"""),"Jeff Tropf")</f>
        <v>Jeff Tropf</v>
      </c>
      <c r="E4385" s="4" t="str">
        <f>IFERROR(__xludf.DUMMYFUNCTION("""COMPUTED_VALUE"""),"Central Michigan University")</f>
        <v>Central Michigan University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</row>
    <row r="4386">
      <c r="A4386" s="4">
        <f>IFERROR(__xludf.DUMMYFUNCTION("""COMPUTED_VALUE"""),141.0)</f>
        <v>141</v>
      </c>
      <c r="B4386" s="4">
        <f>IFERROR(__xludf.DUMMYFUNCTION("""COMPUTED_VALUE"""),141.0)</f>
        <v>141</v>
      </c>
      <c r="C4386" s="4" t="str">
        <f>IFERROR(__xludf.DUMMYFUNCTION("""COMPUTED_VALUE"""),"ATL")</f>
        <v>ATL</v>
      </c>
      <c r="D4386" s="4" t="str">
        <f>IFERROR(__xludf.DUMMYFUNCTION("""COMPUTED_VALUE"""),"Tim Waterman")</f>
        <v>Tim Waterman</v>
      </c>
      <c r="E4386" s="4" t="str">
        <f>IFERROR(__xludf.DUMMYFUNCTION("""COMPUTED_VALUE"""),"St. Bonaventure")</f>
        <v>St. Bonaventure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</row>
    <row r="4387">
      <c r="A4387" s="4">
        <f>IFERROR(__xludf.DUMMYFUNCTION("""COMPUTED_VALUE"""),142.0)</f>
        <v>142</v>
      </c>
      <c r="B4387" s="4">
        <f>IFERROR(__xludf.DUMMYFUNCTION("""COMPUTED_VALUE"""),142.0)</f>
        <v>142</v>
      </c>
      <c r="C4387" s="4" t="str">
        <f>IFERROR(__xludf.DUMMYFUNCTION("""COMPUTED_VALUE"""),"PHI")</f>
        <v>PHI</v>
      </c>
      <c r="D4387" s="4" t="str">
        <f>IFERROR(__xludf.DUMMYFUNCTION("""COMPUTED_VALUE"""),"Bobby Willis")</f>
        <v>Bobby Willis</v>
      </c>
      <c r="E4387" s="4" t="str">
        <f>IFERROR(__xludf.DUMMYFUNCTION("""COMPUTED_VALUE"""),"Penn")</f>
        <v>Penn</v>
      </c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</row>
    <row r="4388">
      <c r="A4388" s="4">
        <f>IFERROR(__xludf.DUMMYFUNCTION("""COMPUTED_VALUE"""),143.0)</f>
        <v>143</v>
      </c>
      <c r="B4388" s="4">
        <f>IFERROR(__xludf.DUMMYFUNCTION("""COMPUTED_VALUE"""),143.0)</f>
        <v>143</v>
      </c>
      <c r="C4388" s="4" t="str">
        <f>IFERROR(__xludf.DUMMYFUNCTION("""COMPUTED_VALUE"""),"HOU")</f>
        <v>HOU</v>
      </c>
      <c r="D4388" s="4" t="str">
        <f>IFERROR(__xludf.DUMMYFUNCTION("""COMPUTED_VALUE"""),"Rich Valavicius")</f>
        <v>Rich Valavicius</v>
      </c>
      <c r="E4388" s="4" t="str">
        <f>IFERROR(__xludf.DUMMYFUNCTION("""COMPUTED_VALUE"""),"Auburn")</f>
        <v>Auburn</v>
      </c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</row>
    <row r="4389">
      <c r="A4389" s="4">
        <f>IFERROR(__xludf.DUMMYFUNCTION("""COMPUTED_VALUE"""),144.0)</f>
        <v>144</v>
      </c>
      <c r="B4389" s="4">
        <f>IFERROR(__xludf.DUMMYFUNCTION("""COMPUTED_VALUE"""),144.0)</f>
        <v>144</v>
      </c>
      <c r="C4389" s="4" t="str">
        <f>IFERROR(__xludf.DUMMYFUNCTION("""COMPUTED_VALUE"""),"DEN")</f>
        <v>DEN</v>
      </c>
      <c r="D4389" s="4" t="str">
        <f>IFERROR(__xludf.DUMMYFUNCTION("""COMPUTED_VALUE"""),"John Johnson")</f>
        <v>John Johnson</v>
      </c>
      <c r="E4389" s="4" t="str">
        <f>IFERROR(__xludf.DUMMYFUNCTION("""COMPUTED_VALUE"""),"Creighton")</f>
        <v>Creighton</v>
      </c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</row>
    <row r="4390">
      <c r="A4390" s="4">
        <f>IFERROR(__xludf.DUMMYFUNCTION("""COMPUTED_VALUE"""),145.0)</f>
        <v>145</v>
      </c>
      <c r="B4390" s="4">
        <f>IFERROR(__xludf.DUMMYFUNCTION("""COMPUTED_VALUE"""),145.0)</f>
        <v>145</v>
      </c>
      <c r="C4390" s="4" t="str">
        <f>IFERROR(__xludf.DUMMYFUNCTION("""COMPUTED_VALUE"""),"KCK")</f>
        <v>KCK</v>
      </c>
      <c r="D4390" s="4" t="str">
        <f>IFERROR(__xludf.DUMMYFUNCTION("""COMPUTED_VALUE"""),"Nick Daniels")</f>
        <v>Nick Daniels</v>
      </c>
      <c r="E4390" s="4" t="str">
        <f>IFERROR(__xludf.DUMMYFUNCTION("""COMPUTED_VALUE"""),"Xavier")</f>
        <v>Xavier</v>
      </c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</row>
    <row r="4391">
      <c r="A4391" s="4">
        <f>IFERROR(__xludf.DUMMYFUNCTION("""COMPUTED_VALUE"""),146.0)</f>
        <v>146</v>
      </c>
      <c r="B4391" s="4">
        <f>IFERROR(__xludf.DUMMYFUNCTION("""COMPUTED_VALUE"""),146.0)</f>
        <v>146</v>
      </c>
      <c r="C4391" s="4" t="str">
        <f>IFERROR(__xludf.DUMMYFUNCTION("""COMPUTED_VALUE"""),"SAS")</f>
        <v>SAS</v>
      </c>
      <c r="D4391" s="4" t="str">
        <f>IFERROR(__xludf.DUMMYFUNCTION("""COMPUTED_VALUE"""),"Tyrone Branyan")</f>
        <v>Tyrone Branyan</v>
      </c>
      <c r="E4391" s="4" t="str">
        <f>IFERROR(__xludf.DUMMYFUNCTION("""COMPUTED_VALUE"""),"Texas")</f>
        <v>Texas</v>
      </c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</row>
    <row r="4392">
      <c r="A4392" s="4">
        <f>IFERROR(__xludf.DUMMYFUNCTION("""COMPUTED_VALUE"""),147.0)</f>
        <v>147</v>
      </c>
      <c r="B4392" s="4">
        <f>IFERROR(__xludf.DUMMYFUNCTION("""COMPUTED_VALUE"""),147.0)</f>
        <v>147</v>
      </c>
      <c r="C4392" s="4" t="str">
        <f>IFERROR(__xludf.DUMMYFUNCTION("""COMPUTED_VALUE"""),"PHO")</f>
        <v>PHO</v>
      </c>
      <c r="D4392" s="4" t="str">
        <f>IFERROR(__xludf.DUMMYFUNCTION("""COMPUTED_VALUE"""),"Ollie Matson Jr.")</f>
        <v>Ollie Matson Jr.</v>
      </c>
      <c r="E4392" s="4" t="str">
        <f>IFERROR(__xludf.DUMMYFUNCTION("""COMPUTED_VALUE"""),"Pepperdine")</f>
        <v>Pepperdine</v>
      </c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</row>
    <row r="4393">
      <c r="A4393" s="4"/>
      <c r="B4393" s="4"/>
      <c r="C4393" s="4"/>
      <c r="D4393" s="4" t="str">
        <f>IFERROR(__xludf.DUMMYFUNCTION("""COMPUTED_VALUE"""),"Round 8")</f>
        <v>Round 8</v>
      </c>
      <c r="E4393" s="4"/>
      <c r="F4393" s="4"/>
      <c r="G4393" s="4" t="str">
        <f>IFERROR(__xludf.DUMMYFUNCTION("""COMPUTED_VALUE"""),"Totals")</f>
        <v>Totals</v>
      </c>
      <c r="H4393" s="4"/>
      <c r="I4393" s="4"/>
      <c r="J4393" s="4"/>
      <c r="K4393" s="4"/>
      <c r="L4393" s="4" t="str">
        <f>IFERROR(__xludf.DUMMYFUNCTION("""COMPUTED_VALUE"""),"Shooting")</f>
        <v>Shooting</v>
      </c>
      <c r="M4393" s="4"/>
      <c r="N4393" s="4"/>
      <c r="O4393" s="4" t="str">
        <f>IFERROR(__xludf.DUMMYFUNCTION("""COMPUTED_VALUE"""),"Per Game")</f>
        <v>Per Game</v>
      </c>
      <c r="P4393" s="4"/>
      <c r="Q4393" s="4"/>
      <c r="R4393" s="4"/>
      <c r="S4393" s="4" t="str">
        <f>IFERROR(__xludf.DUMMYFUNCTION("""COMPUTED_VALUE"""),"Advanced")</f>
        <v>Advanced</v>
      </c>
      <c r="T4393" s="4"/>
      <c r="U4393" s="4"/>
      <c r="V4393" s="4"/>
    </row>
    <row r="4394">
      <c r="A4394" s="4" t="str">
        <f>IFERROR(__xludf.DUMMYFUNCTION("""COMPUTED_VALUE"""),"Rk")</f>
        <v>Rk</v>
      </c>
      <c r="B4394" s="4" t="str">
        <f>IFERROR(__xludf.DUMMYFUNCTION("""COMPUTED_VALUE"""),"Pk")</f>
        <v>Pk</v>
      </c>
      <c r="C4394" s="4" t="str">
        <f>IFERROR(__xludf.DUMMYFUNCTION("""COMPUTED_VALUE"""),"Tm")</f>
        <v>Tm</v>
      </c>
      <c r="D4394" s="4" t="str">
        <f>IFERROR(__xludf.DUMMYFUNCTION("""COMPUTED_VALUE"""),"Player")</f>
        <v>Player</v>
      </c>
      <c r="E4394" s="4" t="str">
        <f>IFERROR(__xludf.DUMMYFUNCTION("""COMPUTED_VALUE"""),"College")</f>
        <v>College</v>
      </c>
      <c r="F4394" s="4" t="str">
        <f>IFERROR(__xludf.DUMMYFUNCTION("""COMPUTED_VALUE"""),"Yrs")</f>
        <v>Yrs</v>
      </c>
      <c r="G4394" s="4" t="str">
        <f>IFERROR(__xludf.DUMMYFUNCTION("""COMPUTED_VALUE"""),"G")</f>
        <v>G</v>
      </c>
      <c r="H4394" s="4" t="str">
        <f>IFERROR(__xludf.DUMMYFUNCTION("""COMPUTED_VALUE"""),"MP")</f>
        <v>MP</v>
      </c>
      <c r="I4394" s="4" t="str">
        <f>IFERROR(__xludf.DUMMYFUNCTION("""COMPUTED_VALUE"""),"PTS")</f>
        <v>PTS</v>
      </c>
      <c r="J4394" s="4" t="str">
        <f>IFERROR(__xludf.DUMMYFUNCTION("""COMPUTED_VALUE"""),"TRB")</f>
        <v>TRB</v>
      </c>
      <c r="K4394" s="4" t="str">
        <f>IFERROR(__xludf.DUMMYFUNCTION("""COMPUTED_VALUE"""),"AST")</f>
        <v>AST</v>
      </c>
      <c r="L4394" s="4" t="str">
        <f>IFERROR(__xludf.DUMMYFUNCTION("""COMPUTED_VALUE"""),"FG%")</f>
        <v>FG%</v>
      </c>
      <c r="M4394" s="4" t="str">
        <f>IFERROR(__xludf.DUMMYFUNCTION("""COMPUTED_VALUE"""),"3P%")</f>
        <v>3P%</v>
      </c>
      <c r="N4394" s="4" t="str">
        <f>IFERROR(__xludf.DUMMYFUNCTION("""COMPUTED_VALUE"""),"FT%")</f>
        <v>FT%</v>
      </c>
      <c r="O4394" s="4" t="str">
        <f>IFERROR(__xludf.DUMMYFUNCTION("""COMPUTED_VALUE"""),"MP")</f>
        <v>MP</v>
      </c>
      <c r="P4394" s="4" t="str">
        <f>IFERROR(__xludf.DUMMYFUNCTION("""COMPUTED_VALUE"""),"PTS")</f>
        <v>PTS</v>
      </c>
      <c r="Q4394" s="4" t="str">
        <f>IFERROR(__xludf.DUMMYFUNCTION("""COMPUTED_VALUE"""),"TRB")</f>
        <v>TRB</v>
      </c>
      <c r="R4394" s="4" t="str">
        <f>IFERROR(__xludf.DUMMYFUNCTION("""COMPUTED_VALUE"""),"AST")</f>
        <v>AST</v>
      </c>
      <c r="S4394" s="4" t="str">
        <f>IFERROR(__xludf.DUMMYFUNCTION("""COMPUTED_VALUE"""),"WS")</f>
        <v>WS</v>
      </c>
      <c r="T4394" s="4" t="str">
        <f>IFERROR(__xludf.DUMMYFUNCTION("""COMPUTED_VALUE"""),"WS/48")</f>
        <v>WS/48</v>
      </c>
      <c r="U4394" s="4" t="str">
        <f>IFERROR(__xludf.DUMMYFUNCTION("""COMPUTED_VALUE"""),"BPM")</f>
        <v>BPM</v>
      </c>
      <c r="V4394" s="4" t="str">
        <f>IFERROR(__xludf.DUMMYFUNCTION("""COMPUTED_VALUE"""),"VORP")</f>
        <v>VORP</v>
      </c>
    </row>
    <row r="4395">
      <c r="A4395" s="4">
        <f>IFERROR(__xludf.DUMMYFUNCTION("""COMPUTED_VALUE"""),148.0)</f>
        <v>148</v>
      </c>
      <c r="B4395" s="4">
        <f>IFERROR(__xludf.DUMMYFUNCTION("""COMPUTED_VALUE"""),148.0)</f>
        <v>148</v>
      </c>
      <c r="C4395" s="4" t="str">
        <f>IFERROR(__xludf.DUMMYFUNCTION("""COMPUTED_VALUE"""),"UTA")</f>
        <v>UTA</v>
      </c>
      <c r="D4395" s="4" t="str">
        <f>IFERROR(__xludf.DUMMYFUNCTION("""COMPUTED_VALUE"""),"Keith McDonald")</f>
        <v>Keith McDonald</v>
      </c>
      <c r="E4395" s="4" t="str">
        <f>IFERROR(__xludf.DUMMYFUNCTION("""COMPUTED_VALUE"""),"Utah State University")</f>
        <v>Utah State University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</row>
    <row r="4396">
      <c r="A4396" s="4">
        <f>IFERROR(__xludf.DUMMYFUNCTION("""COMPUTED_VALUE"""),149.0)</f>
        <v>149</v>
      </c>
      <c r="B4396" s="4">
        <f>IFERROR(__xludf.DUMMYFUNCTION("""COMPUTED_VALUE"""),149.0)</f>
        <v>149</v>
      </c>
      <c r="C4396" s="4" t="str">
        <f>IFERROR(__xludf.DUMMYFUNCTION("""COMPUTED_VALUE"""),"BOS")</f>
        <v>BOS</v>
      </c>
      <c r="D4396" s="4" t="str">
        <f>IFERROR(__xludf.DUMMYFUNCTION("""COMPUTED_VALUE"""),"Glenn Sudhop")</f>
        <v>Glenn Sudhop</v>
      </c>
      <c r="E4396" s="4" t="str">
        <f>IFERROR(__xludf.DUMMYFUNCTION("""COMPUTED_VALUE"""),"NC State")</f>
        <v>NC State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</row>
    <row r="4397">
      <c r="A4397" s="4">
        <f>IFERROR(__xludf.DUMMYFUNCTION("""COMPUTED_VALUE"""),150.0)</f>
        <v>150</v>
      </c>
      <c r="B4397" s="4">
        <f>IFERROR(__xludf.DUMMYFUNCTION("""COMPUTED_VALUE"""),150.0)</f>
        <v>150</v>
      </c>
      <c r="C4397" s="4" t="str">
        <f>IFERROR(__xludf.DUMMYFUNCTION("""COMPUTED_VALUE"""),"DET")</f>
        <v>DET</v>
      </c>
      <c r="D4397" s="4" t="str">
        <f>IFERROR(__xludf.DUMMYFUNCTION("""COMPUTED_VALUE"""),"Rodney Lee")</f>
        <v>Rodney Lee</v>
      </c>
      <c r="E4397" s="4" t="str">
        <f>IFERROR(__xludf.DUMMYFUNCTION("""COMPUTED_VALUE"""),"Memphis")</f>
        <v>Memphis</v>
      </c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</row>
    <row r="4398">
      <c r="A4398" s="4">
        <f>IFERROR(__xludf.DUMMYFUNCTION("""COMPUTED_VALUE"""),151.0)</f>
        <v>151</v>
      </c>
      <c r="B4398" s="4">
        <f>IFERROR(__xludf.DUMMYFUNCTION("""COMPUTED_VALUE"""),151.0)</f>
        <v>151</v>
      </c>
      <c r="C4398" s="4" t="str">
        <f>IFERROR(__xludf.DUMMYFUNCTION("""COMPUTED_VALUE"""),"CLE")</f>
        <v>CLE</v>
      </c>
      <c r="D4398" s="4" t="str">
        <f>IFERROR(__xludf.DUMMYFUNCTION("""COMPUTED_VALUE"""),"Mark Haymore")</f>
        <v>Mark Haymore</v>
      </c>
      <c r="E4398" s="4" t="str">
        <f>IFERROR(__xludf.DUMMYFUNCTION("""COMPUTED_VALUE"""),"UMass")</f>
        <v>UMass</v>
      </c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</row>
    <row r="4399">
      <c r="A4399" s="4">
        <f>IFERROR(__xludf.DUMMYFUNCTION("""COMPUTED_VALUE"""),152.0)</f>
        <v>152</v>
      </c>
      <c r="B4399" s="4">
        <f>IFERROR(__xludf.DUMMYFUNCTION("""COMPUTED_VALUE"""),152.0)</f>
        <v>152</v>
      </c>
      <c r="C4399" s="4" t="str">
        <f>IFERROR(__xludf.DUMMYFUNCTION("""COMPUTED_VALUE"""),"NYK")</f>
        <v>NYK</v>
      </c>
      <c r="D4399" s="4" t="str">
        <f>IFERROR(__xludf.DUMMYFUNCTION("""COMPUTED_VALUE"""),"Billy Tucker")</f>
        <v>Billy Tucker</v>
      </c>
      <c r="E4399" s="4" t="str">
        <f>IFERROR(__xludf.DUMMYFUNCTION("""COMPUTED_VALUE"""),"Tennessee State")</f>
        <v>Tennessee State</v>
      </c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</row>
    <row r="4400">
      <c r="A4400" s="4">
        <f>IFERROR(__xludf.DUMMYFUNCTION("""COMPUTED_VALUE"""),153.0)</f>
        <v>153</v>
      </c>
      <c r="B4400" s="4">
        <f>IFERROR(__xludf.DUMMYFUNCTION("""COMPUTED_VALUE"""),153.0)</f>
        <v>153</v>
      </c>
      <c r="C4400" s="4" t="str">
        <f>IFERROR(__xludf.DUMMYFUNCTION("""COMPUTED_VALUE"""),"CHI")</f>
        <v>CHI</v>
      </c>
      <c r="D4400" s="4" t="str">
        <f>IFERROR(__xludf.DUMMYFUNCTION("""COMPUTED_VALUE"""),"Tony Warren")</f>
        <v>Tony Warren</v>
      </c>
      <c r="E4400" s="4" t="str">
        <f>IFERROR(__xludf.DUMMYFUNCTION("""COMPUTED_VALUE"""),"NC State")</f>
        <v>NC State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</row>
    <row r="4401">
      <c r="A4401" s="4">
        <f>IFERROR(__xludf.DUMMYFUNCTION("""COMPUTED_VALUE"""),154.0)</f>
        <v>154</v>
      </c>
      <c r="B4401" s="4">
        <f>IFERROR(__xludf.DUMMYFUNCTION("""COMPUTED_VALUE"""),154.0)</f>
        <v>154</v>
      </c>
      <c r="C4401" s="4" t="str">
        <f>IFERROR(__xludf.DUMMYFUNCTION("""COMPUTED_VALUE"""),"NJN")</f>
        <v>NJN</v>
      </c>
      <c r="D4401" s="4" t="str">
        <f>IFERROR(__xludf.DUMMYFUNCTION("""COMPUTED_VALUE"""),"Henry Hollingsworth")</f>
        <v>Henry Hollingsworth</v>
      </c>
      <c r="E4401" s="4" t="str">
        <f>IFERROR(__xludf.DUMMYFUNCTION("""COMPUTED_VALUE"""),"Hofstra")</f>
        <v>Hofstra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</row>
    <row r="4402">
      <c r="A4402" s="4">
        <f>IFERROR(__xludf.DUMMYFUNCTION("""COMPUTED_VALUE"""),155.0)</f>
        <v>155</v>
      </c>
      <c r="B4402" s="4">
        <f>IFERROR(__xludf.DUMMYFUNCTION("""COMPUTED_VALUE"""),155.0)</f>
        <v>155</v>
      </c>
      <c r="C4402" s="4" t="str">
        <f>IFERROR(__xludf.DUMMYFUNCTION("""COMPUTED_VALUE"""),"GSW")</f>
        <v>GSW</v>
      </c>
      <c r="D4402" s="4" t="str">
        <f>IFERROR(__xludf.DUMMYFUNCTION("""COMPUTED_VALUE"""),"Mario Butler")</f>
        <v>Mario Butler</v>
      </c>
      <c r="E4402" s="4" t="str">
        <f>IFERROR(__xludf.DUMMYFUNCTION("""COMPUTED_VALUE"""),"Briar Cliff University")</f>
        <v>Briar Cliff University</v>
      </c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</row>
    <row r="4403">
      <c r="A4403" s="4">
        <f>IFERROR(__xludf.DUMMYFUNCTION("""COMPUTED_VALUE"""),156.0)</f>
        <v>156</v>
      </c>
      <c r="B4403" s="4">
        <f>IFERROR(__xludf.DUMMYFUNCTION("""COMPUTED_VALUE"""),156.0)</f>
        <v>156</v>
      </c>
      <c r="C4403" s="4" t="str">
        <f>IFERROR(__xludf.DUMMYFUNCTION("""COMPUTED_VALUE"""),"MIL")</f>
        <v>MIL</v>
      </c>
      <c r="D4403" s="4" t="str">
        <f>IFERROR(__xludf.DUMMYFUNCTION("""COMPUTED_VALUE"""),"Larry Spicer")</f>
        <v>Larry Spicer</v>
      </c>
      <c r="E4403" s="4" t="str">
        <f>IFERROR(__xludf.DUMMYFUNCTION("""COMPUTED_VALUE"""),"UAB")</f>
        <v>UAB</v>
      </c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</row>
    <row r="4404">
      <c r="A4404" s="4">
        <f>IFERROR(__xludf.DUMMYFUNCTION("""COMPUTED_VALUE"""),157.0)</f>
        <v>157</v>
      </c>
      <c r="B4404" s="4">
        <f>IFERROR(__xludf.DUMMYFUNCTION("""COMPUTED_VALUE"""),157.0)</f>
        <v>157</v>
      </c>
      <c r="C4404" s="4" t="str">
        <f>IFERROR(__xludf.DUMMYFUNCTION("""COMPUTED_VALUE"""),"IND")</f>
        <v>IND</v>
      </c>
      <c r="D4404" s="4" t="str">
        <f>IFERROR(__xludf.DUMMYFUNCTION("""COMPUTED_VALUE"""),"Brian Magid")</f>
        <v>Brian Magid</v>
      </c>
      <c r="E4404" s="4" t="str">
        <f>IFERROR(__xludf.DUMMYFUNCTION("""COMPUTED_VALUE"""),"George Washington")</f>
        <v>George Washington</v>
      </c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</row>
    <row r="4405">
      <c r="A4405" s="4">
        <f>IFERROR(__xludf.DUMMYFUNCTION("""COMPUTED_VALUE"""),158.0)</f>
        <v>158</v>
      </c>
      <c r="B4405" s="4">
        <f>IFERROR(__xludf.DUMMYFUNCTION("""COMPUTED_VALUE"""),158.0)</f>
        <v>158</v>
      </c>
      <c r="C4405" s="4" t="str">
        <f>IFERROR(__xludf.DUMMYFUNCTION("""COMPUTED_VALUE"""),"SDC")</f>
        <v>SDC</v>
      </c>
      <c r="D4405" s="4" t="str">
        <f>IFERROR(__xludf.DUMMYFUNCTION("""COMPUTED_VALUE"""),"Renaldo Lawrence")</f>
        <v>Renaldo Lawrence</v>
      </c>
      <c r="E4405" s="4" t="str">
        <f>IFERROR(__xludf.DUMMYFUNCTION("""COMPUTED_VALUE"""),"Appalachian State University")</f>
        <v>Appalachian State University</v>
      </c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</row>
    <row r="4406">
      <c r="A4406" s="4">
        <f>IFERROR(__xludf.DUMMYFUNCTION("""COMPUTED_VALUE"""),159.0)</f>
        <v>159</v>
      </c>
      <c r="B4406" s="4">
        <f>IFERROR(__xludf.DUMMYFUNCTION("""COMPUTED_VALUE"""),159.0)</f>
        <v>159</v>
      </c>
      <c r="C4406" s="4" t="str">
        <f>IFERROR(__xludf.DUMMYFUNCTION("""COMPUTED_VALUE"""),"POR")</f>
        <v>POR</v>
      </c>
      <c r="D4406" s="4" t="str">
        <f>IFERROR(__xludf.DUMMYFUNCTION("""COMPUTED_VALUE"""),"Willie Pounds")</f>
        <v>Willie Pounds</v>
      </c>
      <c r="E4406" s="4" t="str">
        <f>IFERROR(__xludf.DUMMYFUNCTION("""COMPUTED_VALUE"""),"Chaminade University of Honolulu")</f>
        <v>Chaminade University of Honolulu</v>
      </c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</row>
    <row r="4407">
      <c r="A4407" s="4">
        <f>IFERROR(__xludf.DUMMYFUNCTION("""COMPUTED_VALUE"""),160.0)</f>
        <v>160</v>
      </c>
      <c r="B4407" s="4">
        <f>IFERROR(__xludf.DUMMYFUNCTION("""COMPUTED_VALUE"""),160.0)</f>
        <v>160</v>
      </c>
      <c r="C4407" s="4" t="str">
        <f>IFERROR(__xludf.DUMMYFUNCTION("""COMPUTED_VALUE"""),"ATL")</f>
        <v>ATL</v>
      </c>
      <c r="D4407" s="4" t="str">
        <f>IFERROR(__xludf.DUMMYFUNCTION("""COMPUTED_VALUE"""),"John Goedeke")</f>
        <v>John Goedeke</v>
      </c>
      <c r="E4407" s="4" t="str">
        <f>IFERROR(__xludf.DUMMYFUNCTION("""COMPUTED_VALUE"""),"UMBC")</f>
        <v>UMBC</v>
      </c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</row>
    <row r="4408">
      <c r="A4408" s="4">
        <f>IFERROR(__xludf.DUMMYFUNCTION("""COMPUTED_VALUE"""),161.0)</f>
        <v>161</v>
      </c>
      <c r="B4408" s="4">
        <f>IFERROR(__xludf.DUMMYFUNCTION("""COMPUTED_VALUE"""),161.0)</f>
        <v>161</v>
      </c>
      <c r="C4408" s="4" t="str">
        <f>IFERROR(__xludf.DUMMYFUNCTION("""COMPUTED_VALUE"""),"HOU")</f>
        <v>HOU</v>
      </c>
      <c r="D4408" s="4" t="str">
        <f>IFERROR(__xludf.DUMMYFUNCTION("""COMPUTED_VALUE"""),"Delbert Watson")</f>
        <v>Delbert Watson</v>
      </c>
      <c r="E4408" s="4" t="str">
        <f>IFERROR(__xludf.DUMMYFUNCTION("""COMPUTED_VALUE"""),"East Tennessee State University")</f>
        <v>East Tennessee State University</v>
      </c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</row>
    <row r="4409">
      <c r="A4409" s="4">
        <f>IFERROR(__xludf.DUMMYFUNCTION("""COMPUTED_VALUE"""),162.0)</f>
        <v>162</v>
      </c>
      <c r="B4409" s="4">
        <f>IFERROR(__xludf.DUMMYFUNCTION("""COMPUTED_VALUE"""),162.0)</f>
        <v>162</v>
      </c>
      <c r="C4409" s="4" t="str">
        <f>IFERROR(__xludf.DUMMYFUNCTION("""COMPUTED_VALUE"""),"DEN")</f>
        <v>DEN</v>
      </c>
      <c r="D4409" s="4" t="str">
        <f>IFERROR(__xludf.DUMMYFUNCTION("""COMPUTED_VALUE"""),"Matt Teahan")</f>
        <v>Matt Teahan</v>
      </c>
      <c r="E4409" s="4" t="str">
        <f>IFERROR(__xludf.DUMMYFUNCTION("""COMPUTED_VALUE"""),"Denver")</f>
        <v>Denver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</row>
    <row r="4410">
      <c r="A4410" s="4">
        <f>IFERROR(__xludf.DUMMYFUNCTION("""COMPUTED_VALUE"""),163.0)</f>
        <v>163</v>
      </c>
      <c r="B4410" s="4">
        <f>IFERROR(__xludf.DUMMYFUNCTION("""COMPUTED_VALUE"""),163.0)</f>
        <v>163</v>
      </c>
      <c r="C4410" s="4" t="str">
        <f>IFERROR(__xludf.DUMMYFUNCTION("""COMPUTED_VALUE"""),"PHI")</f>
        <v>PHI</v>
      </c>
      <c r="D4410" s="4" t="str">
        <f>IFERROR(__xludf.DUMMYFUNCTION("""COMPUTED_VALUE"""),"Rick Raivio")</f>
        <v>Rick Raivio</v>
      </c>
      <c r="E4410" s="4" t="str">
        <f>IFERROR(__xludf.DUMMYFUNCTION("""COMPUTED_VALUE"""),"University of Portland")</f>
        <v>University of Portland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</row>
    <row r="4411">
      <c r="A4411" s="4">
        <f>IFERROR(__xludf.DUMMYFUNCTION("""COMPUTED_VALUE"""),164.0)</f>
        <v>164</v>
      </c>
      <c r="B4411" s="4">
        <f>IFERROR(__xludf.DUMMYFUNCTION("""COMPUTED_VALUE"""),164.0)</f>
        <v>164</v>
      </c>
      <c r="C4411" s="4" t="str">
        <f>IFERROR(__xludf.DUMMYFUNCTION("""COMPUTED_VALUE"""),"KCK")</f>
        <v>KCK</v>
      </c>
      <c r="D4411" s="4" t="str">
        <f>IFERROR(__xludf.DUMMYFUNCTION("""COMPUTED_VALUE"""),"Tony Vann")</f>
        <v>Tony Vann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</row>
    <row r="4412">
      <c r="A4412" s="4">
        <f>IFERROR(__xludf.DUMMYFUNCTION("""COMPUTED_VALUE"""),165.0)</f>
        <v>165</v>
      </c>
      <c r="B4412" s="4">
        <f>IFERROR(__xludf.DUMMYFUNCTION("""COMPUTED_VALUE"""),165.0)</f>
        <v>165</v>
      </c>
      <c r="C4412" s="4" t="str">
        <f>IFERROR(__xludf.DUMMYFUNCTION("""COMPUTED_VALUE"""),"PHO")</f>
        <v>PHO</v>
      </c>
      <c r="D4412" s="4" t="str">
        <f>IFERROR(__xludf.DUMMYFUNCTION("""COMPUTED_VALUE"""),"Charles Jones")</f>
        <v>Charles Jones</v>
      </c>
      <c r="E4412" s="4" t="str">
        <f>IFERROR(__xludf.DUMMYFUNCTION("""COMPUTED_VALUE"""),"Albany State University")</f>
        <v>Albany State University</v>
      </c>
      <c r="F4412" s="4">
        <f>IFERROR(__xludf.DUMMYFUNCTION("""COMPUTED_VALUE"""),15.0)</f>
        <v>15</v>
      </c>
      <c r="G4412" s="4">
        <f>IFERROR(__xludf.DUMMYFUNCTION("""COMPUTED_VALUE"""),726.0)</f>
        <v>726</v>
      </c>
      <c r="H4412" s="4">
        <f>IFERROR(__xludf.DUMMYFUNCTION("""COMPUTED_VALUE"""),14095.0)</f>
        <v>14095</v>
      </c>
      <c r="I4412" s="4">
        <f>IFERROR(__xludf.DUMMYFUNCTION("""COMPUTED_VALUE"""),1826.0)</f>
        <v>1826</v>
      </c>
      <c r="J4412" s="4">
        <f>IFERROR(__xludf.DUMMYFUNCTION("""COMPUTED_VALUE"""),3253.0)</f>
        <v>3253</v>
      </c>
      <c r="K4412" s="4">
        <f>IFERROR(__xludf.DUMMYFUNCTION("""COMPUTED_VALUE"""),623.0)</f>
        <v>623</v>
      </c>
      <c r="L4412" s="4">
        <f>IFERROR(__xludf.DUMMYFUNCTION("""COMPUTED_VALUE"""),0.48)</f>
        <v>0.48</v>
      </c>
      <c r="M4412" s="4">
        <f>IFERROR(__xludf.DUMMYFUNCTION("""COMPUTED_VALUE"""),0.0)</f>
        <v>0</v>
      </c>
      <c r="N4412" s="4">
        <f>IFERROR(__xludf.DUMMYFUNCTION("""COMPUTED_VALUE"""),0.618)</f>
        <v>0.618</v>
      </c>
      <c r="O4412" s="4">
        <f>IFERROR(__xludf.DUMMYFUNCTION("""COMPUTED_VALUE"""),19.4)</f>
        <v>19.4</v>
      </c>
      <c r="P4412" s="4">
        <f>IFERROR(__xludf.DUMMYFUNCTION("""COMPUTED_VALUE"""),2.5)</f>
        <v>2.5</v>
      </c>
      <c r="Q4412" s="4">
        <f>IFERROR(__xludf.DUMMYFUNCTION("""COMPUTED_VALUE"""),4.5)</f>
        <v>4.5</v>
      </c>
      <c r="R4412" s="4">
        <f>IFERROR(__xludf.DUMMYFUNCTION("""COMPUTED_VALUE"""),0.9)</f>
        <v>0.9</v>
      </c>
      <c r="S4412" s="4">
        <f>IFERROR(__xludf.DUMMYFUNCTION("""COMPUTED_VALUE"""),24.6)</f>
        <v>24.6</v>
      </c>
      <c r="T4412" s="4">
        <f>IFERROR(__xludf.DUMMYFUNCTION("""COMPUTED_VALUE"""),0.084)</f>
        <v>0.084</v>
      </c>
      <c r="U4412" s="4">
        <f>IFERROR(__xludf.DUMMYFUNCTION("""COMPUTED_VALUE"""),-0.9)</f>
        <v>-0.9</v>
      </c>
      <c r="V4412" s="4">
        <f>IFERROR(__xludf.DUMMYFUNCTION("""COMPUTED_VALUE"""),4.0)</f>
        <v>4</v>
      </c>
    </row>
    <row r="4413">
      <c r="A4413" s="4">
        <f>IFERROR(__xludf.DUMMYFUNCTION("""COMPUTED_VALUE"""),166.0)</f>
        <v>166</v>
      </c>
      <c r="B4413" s="4">
        <f>IFERROR(__xludf.DUMMYFUNCTION("""COMPUTED_VALUE"""),166.0)</f>
        <v>166</v>
      </c>
      <c r="C4413" s="4" t="str">
        <f>IFERROR(__xludf.DUMMYFUNCTION("""COMPUTED_VALUE"""),"WSB")</f>
        <v>WSB</v>
      </c>
      <c r="D4413" s="4" t="str">
        <f>IFERROR(__xludf.DUMMYFUNCTION("""COMPUTED_VALUE"""),"Jo Jo Walters")</f>
        <v>Jo Jo Walters</v>
      </c>
      <c r="E4413" s="4" t="str">
        <f>IFERROR(__xludf.DUMMYFUNCTION("""COMPUTED_VALUE"""),"Manhattan University")</f>
        <v>Manhattan University</v>
      </c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</row>
    <row r="4414">
      <c r="A4414" s="4"/>
      <c r="B4414" s="4"/>
      <c r="C4414" s="4"/>
      <c r="D4414" s="4" t="str">
        <f>IFERROR(__xludf.DUMMYFUNCTION("""COMPUTED_VALUE"""),"Round 9")</f>
        <v>Round 9</v>
      </c>
      <c r="E4414" s="4"/>
      <c r="F4414" s="4"/>
      <c r="G4414" s="4" t="str">
        <f>IFERROR(__xludf.DUMMYFUNCTION("""COMPUTED_VALUE"""),"Totals")</f>
        <v>Totals</v>
      </c>
      <c r="H4414" s="4"/>
      <c r="I4414" s="4"/>
      <c r="J4414" s="4"/>
      <c r="K4414" s="4"/>
      <c r="L4414" s="4" t="str">
        <f>IFERROR(__xludf.DUMMYFUNCTION("""COMPUTED_VALUE"""),"Shooting")</f>
        <v>Shooting</v>
      </c>
      <c r="M4414" s="4"/>
      <c r="N4414" s="4"/>
      <c r="O4414" s="4" t="str">
        <f>IFERROR(__xludf.DUMMYFUNCTION("""COMPUTED_VALUE"""),"Per Game")</f>
        <v>Per Game</v>
      </c>
      <c r="P4414" s="4"/>
      <c r="Q4414" s="4"/>
      <c r="R4414" s="4"/>
      <c r="S4414" s="4" t="str">
        <f>IFERROR(__xludf.DUMMYFUNCTION("""COMPUTED_VALUE"""),"Advanced")</f>
        <v>Advanced</v>
      </c>
      <c r="T4414" s="4"/>
      <c r="U4414" s="4"/>
      <c r="V4414" s="4"/>
    </row>
    <row r="4415">
      <c r="A4415" s="4" t="str">
        <f>IFERROR(__xludf.DUMMYFUNCTION("""COMPUTED_VALUE"""),"Rk")</f>
        <v>Rk</v>
      </c>
      <c r="B4415" s="4" t="str">
        <f>IFERROR(__xludf.DUMMYFUNCTION("""COMPUTED_VALUE"""),"Pk")</f>
        <v>Pk</v>
      </c>
      <c r="C4415" s="4" t="str">
        <f>IFERROR(__xludf.DUMMYFUNCTION("""COMPUTED_VALUE"""),"Tm")</f>
        <v>Tm</v>
      </c>
      <c r="D4415" s="4" t="str">
        <f>IFERROR(__xludf.DUMMYFUNCTION("""COMPUTED_VALUE"""),"Player")</f>
        <v>Player</v>
      </c>
      <c r="E4415" s="4" t="str">
        <f>IFERROR(__xludf.DUMMYFUNCTION("""COMPUTED_VALUE"""),"College")</f>
        <v>College</v>
      </c>
      <c r="F4415" s="4" t="str">
        <f>IFERROR(__xludf.DUMMYFUNCTION("""COMPUTED_VALUE"""),"Yrs")</f>
        <v>Yrs</v>
      </c>
      <c r="G4415" s="4" t="str">
        <f>IFERROR(__xludf.DUMMYFUNCTION("""COMPUTED_VALUE"""),"G")</f>
        <v>G</v>
      </c>
      <c r="H4415" s="4" t="str">
        <f>IFERROR(__xludf.DUMMYFUNCTION("""COMPUTED_VALUE"""),"MP")</f>
        <v>MP</v>
      </c>
      <c r="I4415" s="4" t="str">
        <f>IFERROR(__xludf.DUMMYFUNCTION("""COMPUTED_VALUE"""),"PTS")</f>
        <v>PTS</v>
      </c>
      <c r="J4415" s="4" t="str">
        <f>IFERROR(__xludf.DUMMYFUNCTION("""COMPUTED_VALUE"""),"TRB")</f>
        <v>TRB</v>
      </c>
      <c r="K4415" s="4" t="str">
        <f>IFERROR(__xludf.DUMMYFUNCTION("""COMPUTED_VALUE"""),"AST")</f>
        <v>AST</v>
      </c>
      <c r="L4415" s="4" t="str">
        <f>IFERROR(__xludf.DUMMYFUNCTION("""COMPUTED_VALUE"""),"FG%")</f>
        <v>FG%</v>
      </c>
      <c r="M4415" s="4" t="str">
        <f>IFERROR(__xludf.DUMMYFUNCTION("""COMPUTED_VALUE"""),"3P%")</f>
        <v>3P%</v>
      </c>
      <c r="N4415" s="4" t="str">
        <f>IFERROR(__xludf.DUMMYFUNCTION("""COMPUTED_VALUE"""),"FT%")</f>
        <v>FT%</v>
      </c>
      <c r="O4415" s="4" t="str">
        <f>IFERROR(__xludf.DUMMYFUNCTION("""COMPUTED_VALUE"""),"MP")</f>
        <v>MP</v>
      </c>
      <c r="P4415" s="4" t="str">
        <f>IFERROR(__xludf.DUMMYFUNCTION("""COMPUTED_VALUE"""),"PTS")</f>
        <v>PTS</v>
      </c>
      <c r="Q4415" s="4" t="str">
        <f>IFERROR(__xludf.DUMMYFUNCTION("""COMPUTED_VALUE"""),"TRB")</f>
        <v>TRB</v>
      </c>
      <c r="R4415" s="4" t="str">
        <f>IFERROR(__xludf.DUMMYFUNCTION("""COMPUTED_VALUE"""),"AST")</f>
        <v>AST</v>
      </c>
      <c r="S4415" s="4" t="str">
        <f>IFERROR(__xludf.DUMMYFUNCTION("""COMPUTED_VALUE"""),"WS")</f>
        <v>WS</v>
      </c>
      <c r="T4415" s="4" t="str">
        <f>IFERROR(__xludf.DUMMYFUNCTION("""COMPUTED_VALUE"""),"WS/48")</f>
        <v>WS/48</v>
      </c>
      <c r="U4415" s="4" t="str">
        <f>IFERROR(__xludf.DUMMYFUNCTION("""COMPUTED_VALUE"""),"BPM")</f>
        <v>BPM</v>
      </c>
      <c r="V4415" s="4" t="str">
        <f>IFERROR(__xludf.DUMMYFUNCTION("""COMPUTED_VALUE"""),"VORP")</f>
        <v>VORP</v>
      </c>
    </row>
    <row r="4416">
      <c r="A4416" s="4">
        <f>IFERROR(__xludf.DUMMYFUNCTION("""COMPUTED_VALUE"""),167.0)</f>
        <v>167</v>
      </c>
      <c r="B4416" s="4">
        <f>IFERROR(__xludf.DUMMYFUNCTION("""COMPUTED_VALUE"""),167.0)</f>
        <v>167</v>
      </c>
      <c r="C4416" s="4" t="str">
        <f>IFERROR(__xludf.DUMMYFUNCTION("""COMPUTED_VALUE"""),"UTA")</f>
        <v>UTA</v>
      </c>
      <c r="D4416" s="4" t="str">
        <f>IFERROR(__xludf.DUMMYFUNCTION("""COMPUTED_VALUE"""),"Milt Huggins")</f>
        <v>Milt Huggins</v>
      </c>
      <c r="E4416" s="4" t="str">
        <f>IFERROR(__xludf.DUMMYFUNCTION("""COMPUTED_VALUE"""),"Southern Illinois")</f>
        <v>Southern Illinois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</row>
    <row r="4417">
      <c r="A4417" s="4">
        <f>IFERROR(__xludf.DUMMYFUNCTION("""COMPUTED_VALUE"""),168.0)</f>
        <v>168</v>
      </c>
      <c r="B4417" s="4">
        <f>IFERROR(__xludf.DUMMYFUNCTION("""COMPUTED_VALUE"""),168.0)</f>
        <v>168</v>
      </c>
      <c r="C4417" s="4" t="str">
        <f>IFERROR(__xludf.DUMMYFUNCTION("""COMPUTED_VALUE"""),"BOS")</f>
        <v>BOS</v>
      </c>
      <c r="D4417" s="4" t="str">
        <f>IFERROR(__xludf.DUMMYFUNCTION("""COMPUTED_VALUE"""),"Kevin Sinnett")</f>
        <v>Kevin Sinnett</v>
      </c>
      <c r="E4417" s="4" t="str">
        <f>IFERROR(__xludf.DUMMYFUNCTION("""COMPUTED_VALUE"""),"United States Naval Academy")</f>
        <v>United States Naval Academy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</row>
    <row r="4418">
      <c r="A4418" s="4">
        <f>IFERROR(__xludf.DUMMYFUNCTION("""COMPUTED_VALUE"""),169.0)</f>
        <v>169</v>
      </c>
      <c r="B4418" s="4">
        <f>IFERROR(__xludf.DUMMYFUNCTION("""COMPUTED_VALUE"""),169.0)</f>
        <v>169</v>
      </c>
      <c r="C4418" s="4" t="str">
        <f>IFERROR(__xludf.DUMMYFUNCTION("""COMPUTED_VALUE"""),"CLE")</f>
        <v>CLE</v>
      </c>
      <c r="D4418" s="4" t="str">
        <f>IFERROR(__xludf.DUMMYFUNCTION("""COMPUTED_VALUE"""),"Tim Joyce")</f>
        <v>Tim Joyce</v>
      </c>
      <c r="E4418" s="4" t="str">
        <f>IFERROR(__xludf.DUMMYFUNCTION("""COMPUTED_VALUE"""),"Ohio University")</f>
        <v>Ohio University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</row>
    <row r="4419">
      <c r="A4419" s="4">
        <f>IFERROR(__xludf.DUMMYFUNCTION("""COMPUTED_VALUE"""),170.0)</f>
        <v>170</v>
      </c>
      <c r="B4419" s="4">
        <f>IFERROR(__xludf.DUMMYFUNCTION("""COMPUTED_VALUE"""),170.0)</f>
        <v>170</v>
      </c>
      <c r="C4419" s="4" t="str">
        <f>IFERROR(__xludf.DUMMYFUNCTION("""COMPUTED_VALUE"""),"DET")</f>
        <v>DET</v>
      </c>
      <c r="D4419" s="4" t="str">
        <f>IFERROR(__xludf.DUMMYFUNCTION("""COMPUTED_VALUE"""),"Val Bracey")</f>
        <v>Val Bracey</v>
      </c>
      <c r="E4419" s="4" t="str">
        <f>IFERROR(__xludf.DUMMYFUNCTION("""COMPUTED_VALUE"""),"Central Michigan University")</f>
        <v>Central Michigan University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</row>
    <row r="4420">
      <c r="A4420" s="4">
        <f>IFERROR(__xludf.DUMMYFUNCTION("""COMPUTED_VALUE"""),171.0)</f>
        <v>171</v>
      </c>
      <c r="B4420" s="4">
        <f>IFERROR(__xludf.DUMMYFUNCTION("""COMPUTED_VALUE"""),171.0)</f>
        <v>171</v>
      </c>
      <c r="C4420" s="4" t="str">
        <f>IFERROR(__xludf.DUMMYFUNCTION("""COMPUTED_VALUE"""),"CHI")</f>
        <v>CHI</v>
      </c>
      <c r="D4420" s="4" t="str">
        <f>IFERROR(__xludf.DUMMYFUNCTION("""COMPUTED_VALUE"""),"James Jackson")</f>
        <v>James Jackson</v>
      </c>
      <c r="E4420" s="4" t="str">
        <f>IFERROR(__xludf.DUMMYFUNCTION("""COMPUTED_VALUE"""),"Minnesota")</f>
        <v>Minnesota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</row>
    <row r="4421">
      <c r="A4421" s="4">
        <f>IFERROR(__xludf.DUMMYFUNCTION("""COMPUTED_VALUE"""),172.0)</f>
        <v>172</v>
      </c>
      <c r="B4421" s="4">
        <f>IFERROR(__xludf.DUMMYFUNCTION("""COMPUTED_VALUE"""),172.0)</f>
        <v>172</v>
      </c>
      <c r="C4421" s="4" t="str">
        <f>IFERROR(__xludf.DUMMYFUNCTION("""COMPUTED_VALUE"""),"NYK")</f>
        <v>NYK</v>
      </c>
      <c r="D4421" s="4" t="str">
        <f>IFERROR(__xludf.DUMMYFUNCTION("""COMPUTED_VALUE"""),"Brett Wyatt")</f>
        <v>Brett Wyatt</v>
      </c>
      <c r="E4421" s="4" t="str">
        <f>IFERROR(__xludf.DUMMYFUNCTION("""COMPUTED_VALUE"""),"New Jersey City University")</f>
        <v>New Jersey City University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</row>
    <row r="4422">
      <c r="A4422" s="4">
        <f>IFERROR(__xludf.DUMMYFUNCTION("""COMPUTED_VALUE"""),173.0)</f>
        <v>173</v>
      </c>
      <c r="B4422" s="4">
        <f>IFERROR(__xludf.DUMMYFUNCTION("""COMPUTED_VALUE"""),173.0)</f>
        <v>173</v>
      </c>
      <c r="C4422" s="4" t="str">
        <f>IFERROR(__xludf.DUMMYFUNCTION("""COMPUTED_VALUE"""),"NJN")</f>
        <v>NJN</v>
      </c>
      <c r="D4422" s="4" t="str">
        <f>IFERROR(__xludf.DUMMYFUNCTION("""COMPUTED_VALUE"""),"Ricky Free")</f>
        <v>Ricky Free</v>
      </c>
      <c r="E4422" s="4" t="str">
        <f>IFERROR(__xludf.DUMMYFUNCTION("""COMPUTED_VALUE"""),"Columbia University")</f>
        <v>Columbia University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</row>
    <row r="4423">
      <c r="A4423" s="4">
        <f>IFERROR(__xludf.DUMMYFUNCTION("""COMPUTED_VALUE"""),174.0)</f>
        <v>174</v>
      </c>
      <c r="B4423" s="4">
        <f>IFERROR(__xludf.DUMMYFUNCTION("""COMPUTED_VALUE"""),174.0)</f>
        <v>174</v>
      </c>
      <c r="C4423" s="4" t="str">
        <f>IFERROR(__xludf.DUMMYFUNCTION("""COMPUTED_VALUE"""),"MIL")</f>
        <v>MIL</v>
      </c>
      <c r="D4423" s="4" t="str">
        <f>IFERROR(__xludf.DUMMYFUNCTION("""COMPUTED_VALUE"""),"Roger Lapham")</f>
        <v>Roger Lapham</v>
      </c>
      <c r="E4423" s="4" t="str">
        <f>IFERROR(__xludf.DUMMYFUNCTION("""COMPUTED_VALUE"""),"University of Maine")</f>
        <v>University of Maine</v>
      </c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</row>
    <row r="4424">
      <c r="A4424" s="4">
        <f>IFERROR(__xludf.DUMMYFUNCTION("""COMPUTED_VALUE"""),175.0)</f>
        <v>175</v>
      </c>
      <c r="B4424" s="4">
        <f>IFERROR(__xludf.DUMMYFUNCTION("""COMPUTED_VALUE"""),175.0)</f>
        <v>175</v>
      </c>
      <c r="C4424" s="4" t="str">
        <f>IFERROR(__xludf.DUMMYFUNCTION("""COMPUTED_VALUE"""),"GSW")</f>
        <v>GSW</v>
      </c>
      <c r="D4424" s="4" t="str">
        <f>IFERROR(__xludf.DUMMYFUNCTION("""COMPUTED_VALUE"""),"Gene Ransom")</f>
        <v>Gene Ransom</v>
      </c>
      <c r="E4424" s="4" t="str">
        <f>IFERROR(__xludf.DUMMYFUNCTION("""COMPUTED_VALUE"""),"California")</f>
        <v>California</v>
      </c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</row>
    <row r="4425">
      <c r="A4425" s="4">
        <f>IFERROR(__xludf.DUMMYFUNCTION("""COMPUTED_VALUE"""),176.0)</f>
        <v>176</v>
      </c>
      <c r="B4425" s="4">
        <f>IFERROR(__xludf.DUMMYFUNCTION("""COMPUTED_VALUE"""),176.0)</f>
        <v>176</v>
      </c>
      <c r="C4425" s="4" t="str">
        <f>IFERROR(__xludf.DUMMYFUNCTION("""COMPUTED_VALUE"""),"SDC")</f>
        <v>SDC</v>
      </c>
      <c r="D4425" s="4" t="str">
        <f>IFERROR(__xludf.DUMMYFUNCTION("""COMPUTED_VALUE"""),"Mike Dodd")</f>
        <v>Mike Dodd</v>
      </c>
      <c r="E4425" s="4" t="str">
        <f>IFERROR(__xludf.DUMMYFUNCTION("""COMPUTED_VALUE"""),"San Diego State")</f>
        <v>San Diego State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</row>
    <row r="4426">
      <c r="A4426" s="4">
        <f>IFERROR(__xludf.DUMMYFUNCTION("""COMPUTED_VALUE"""),177.0)</f>
        <v>177</v>
      </c>
      <c r="B4426" s="4">
        <f>IFERROR(__xludf.DUMMYFUNCTION("""COMPUTED_VALUE"""),177.0)</f>
        <v>177</v>
      </c>
      <c r="C4426" s="4" t="str">
        <f>IFERROR(__xludf.DUMMYFUNCTION("""COMPUTED_VALUE"""),"POR")</f>
        <v>POR</v>
      </c>
      <c r="D4426" s="4" t="str">
        <f>IFERROR(__xludf.DUMMYFUNCTION("""COMPUTED_VALUE"""),"Stan Eckwood")</f>
        <v>Stan Eckwood</v>
      </c>
      <c r="E4426" s="4" t="str">
        <f>IFERROR(__xludf.DUMMYFUNCTION("""COMPUTED_VALUE"""),"Harding University")</f>
        <v>Harding University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</row>
    <row r="4427">
      <c r="A4427" s="4">
        <f>IFERROR(__xludf.DUMMYFUNCTION("""COMPUTED_VALUE"""),178.0)</f>
        <v>178</v>
      </c>
      <c r="B4427" s="4">
        <f>IFERROR(__xludf.DUMMYFUNCTION("""COMPUTED_VALUE"""),178.0)</f>
        <v>178</v>
      </c>
      <c r="C4427" s="4" t="str">
        <f>IFERROR(__xludf.DUMMYFUNCTION("""COMPUTED_VALUE"""),"ATL")</f>
        <v>ATL</v>
      </c>
      <c r="D4427" s="4" t="str">
        <f>IFERROR(__xludf.DUMMYFUNCTION("""COMPUTED_VALUE"""),"Cedric Oliver")</f>
        <v>Cedric Oliver</v>
      </c>
      <c r="E4427" s="4" t="str">
        <f>IFERROR(__xludf.DUMMYFUNCTION("""COMPUTED_VALUE"""),"Hamilton College")</f>
        <v>Hamilton College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</row>
    <row r="4428">
      <c r="A4428" s="4">
        <f>IFERROR(__xludf.DUMMYFUNCTION("""COMPUTED_VALUE"""),179.0)</f>
        <v>179</v>
      </c>
      <c r="B4428" s="4">
        <f>IFERROR(__xludf.DUMMYFUNCTION("""COMPUTED_VALUE"""),179.0)</f>
        <v>179</v>
      </c>
      <c r="C4428" s="4" t="str">
        <f>IFERROR(__xludf.DUMMYFUNCTION("""COMPUTED_VALUE"""),"DEN")</f>
        <v>DEN</v>
      </c>
      <c r="D4428" s="4" t="str">
        <f>IFERROR(__xludf.DUMMYFUNCTION("""COMPUTED_VALUE"""),"Emmett Lewis")</f>
        <v>Emmett Lewis</v>
      </c>
      <c r="E4428" s="4" t="str">
        <f>IFERROR(__xludf.DUMMYFUNCTION("""COMPUTED_VALUE"""),"Colorado")</f>
        <v>Colorado</v>
      </c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</row>
    <row r="4429">
      <c r="A4429" s="4">
        <f>IFERROR(__xludf.DUMMYFUNCTION("""COMPUTED_VALUE"""),180.0)</f>
        <v>180</v>
      </c>
      <c r="B4429" s="4">
        <f>IFERROR(__xludf.DUMMYFUNCTION("""COMPUTED_VALUE"""),180.0)</f>
        <v>180</v>
      </c>
      <c r="C4429" s="4" t="str">
        <f>IFERROR(__xludf.DUMMYFUNCTION("""COMPUTED_VALUE"""),"PHI")</f>
        <v>PHI</v>
      </c>
      <c r="D4429" s="4" t="str">
        <f>IFERROR(__xludf.DUMMYFUNCTION("""COMPUTED_VALUE"""),"Coby Leavitt")</f>
        <v>Coby Leavitt</v>
      </c>
      <c r="E4429" s="4" t="str">
        <f>IFERROR(__xludf.DUMMYFUNCTION("""COMPUTED_VALUE"""),"Utah")</f>
        <v>Utah</v>
      </c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</row>
    <row r="4430">
      <c r="A4430" s="4">
        <f>IFERROR(__xludf.DUMMYFUNCTION("""COMPUTED_VALUE"""),181.0)</f>
        <v>181</v>
      </c>
      <c r="B4430" s="4">
        <f>IFERROR(__xludf.DUMMYFUNCTION("""COMPUTED_VALUE"""),181.0)</f>
        <v>181</v>
      </c>
      <c r="C4430" s="4" t="str">
        <f>IFERROR(__xludf.DUMMYFUNCTION("""COMPUTED_VALUE"""),"KCK")</f>
        <v>KCK</v>
      </c>
      <c r="D4430" s="4" t="str">
        <f>IFERROR(__xludf.DUMMYFUNCTION("""COMPUTED_VALUE"""),"Gary Wilson")</f>
        <v>Gary Wilson</v>
      </c>
      <c r="E4430" s="4" t="str">
        <f>IFERROR(__xludf.DUMMYFUNCTION("""COMPUTED_VALUE"""),"Southern Illinois")</f>
        <v>Southern Illinois</v>
      </c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</row>
    <row r="4431">
      <c r="A4431" s="4">
        <f>IFERROR(__xludf.DUMMYFUNCTION("""COMPUTED_VALUE"""),182.0)</f>
        <v>182</v>
      </c>
      <c r="B4431" s="4">
        <f>IFERROR(__xludf.DUMMYFUNCTION("""COMPUTED_VALUE"""),182.0)</f>
        <v>182</v>
      </c>
      <c r="C4431" s="4" t="str">
        <f>IFERROR(__xludf.DUMMYFUNCTION("""COMPUTED_VALUE"""),"SAS")</f>
        <v>SAS</v>
      </c>
      <c r="D4431" s="4" t="str">
        <f>IFERROR(__xludf.DUMMYFUNCTION("""COMPUTED_VALUE"""),"Eddie McLeod")</f>
        <v>Eddie McLeod</v>
      </c>
      <c r="E4431" s="4" t="str">
        <f>IFERROR(__xludf.DUMMYFUNCTION("""COMPUTED_VALUE"""),"UNLV")</f>
        <v>UNLV</v>
      </c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</row>
    <row r="4432">
      <c r="A4432" s="4">
        <f>IFERROR(__xludf.DUMMYFUNCTION("""COMPUTED_VALUE"""),183.0)</f>
        <v>183</v>
      </c>
      <c r="B4432" s="4">
        <f>IFERROR(__xludf.DUMMYFUNCTION("""COMPUTED_VALUE"""),183.0)</f>
        <v>183</v>
      </c>
      <c r="C4432" s="4" t="str">
        <f>IFERROR(__xludf.DUMMYFUNCTION("""COMPUTED_VALUE"""),"PHO")</f>
        <v>PHO</v>
      </c>
      <c r="D4432" s="4" t="str">
        <f>IFERROR(__xludf.DUMMYFUNCTION("""COMPUTED_VALUE"""),"Hosea Champine")</f>
        <v>Hosea Champine</v>
      </c>
      <c r="E4432" s="4" t="str">
        <f>IFERROR(__xludf.DUMMYFUNCTION("""COMPUTED_VALUE"""),"Robert Morris University (PA)")</f>
        <v>Robert Morris University (PA)</v>
      </c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</row>
    <row r="4433">
      <c r="A4433" s="4">
        <f>IFERROR(__xludf.DUMMYFUNCTION("""COMPUTED_VALUE"""),184.0)</f>
        <v>184</v>
      </c>
      <c r="B4433" s="4">
        <f>IFERROR(__xludf.DUMMYFUNCTION("""COMPUTED_VALUE"""),184.0)</f>
        <v>184</v>
      </c>
      <c r="C4433" s="4" t="str">
        <f>IFERROR(__xludf.DUMMYFUNCTION("""COMPUTED_VALUE"""),"WSB")</f>
        <v>WSB</v>
      </c>
      <c r="D4433" s="4" t="str">
        <f>IFERROR(__xludf.DUMMYFUNCTION("""COMPUTED_VALUE"""),"Gary Ray Hooker")</f>
        <v>Gary Ray Hooker</v>
      </c>
      <c r="E4433" s="4" t="str">
        <f>IFERROR(__xludf.DUMMYFUNCTION("""COMPUTED_VALUE"""),"Murray State")</f>
        <v>Murray State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</row>
    <row r="4434">
      <c r="A4434" s="4"/>
      <c r="B4434" s="4"/>
      <c r="C4434" s="4"/>
      <c r="D4434" s="4" t="str">
        <f>IFERROR(__xludf.DUMMYFUNCTION("""COMPUTED_VALUE"""),"Round 10")</f>
        <v>Round 10</v>
      </c>
      <c r="E4434" s="4"/>
      <c r="F4434" s="4"/>
      <c r="G4434" s="4" t="str">
        <f>IFERROR(__xludf.DUMMYFUNCTION("""COMPUTED_VALUE"""),"Totals")</f>
        <v>Totals</v>
      </c>
      <c r="H4434" s="4"/>
      <c r="I4434" s="4"/>
      <c r="J4434" s="4"/>
      <c r="K4434" s="4"/>
      <c r="L4434" s="4" t="str">
        <f>IFERROR(__xludf.DUMMYFUNCTION("""COMPUTED_VALUE"""),"Shooting")</f>
        <v>Shooting</v>
      </c>
      <c r="M4434" s="4"/>
      <c r="N4434" s="4"/>
      <c r="O4434" s="4" t="str">
        <f>IFERROR(__xludf.DUMMYFUNCTION("""COMPUTED_VALUE"""),"Per Game")</f>
        <v>Per Game</v>
      </c>
      <c r="P4434" s="4"/>
      <c r="Q4434" s="4"/>
      <c r="R4434" s="4"/>
      <c r="S4434" s="4" t="str">
        <f>IFERROR(__xludf.DUMMYFUNCTION("""COMPUTED_VALUE"""),"Advanced")</f>
        <v>Advanced</v>
      </c>
      <c r="T4434" s="4"/>
      <c r="U4434" s="4"/>
      <c r="V4434" s="4"/>
    </row>
    <row r="4435">
      <c r="A4435" s="4" t="str">
        <f>IFERROR(__xludf.DUMMYFUNCTION("""COMPUTED_VALUE"""),"Rk")</f>
        <v>Rk</v>
      </c>
      <c r="B4435" s="4" t="str">
        <f>IFERROR(__xludf.DUMMYFUNCTION("""COMPUTED_VALUE"""),"Pk")</f>
        <v>Pk</v>
      </c>
      <c r="C4435" s="4" t="str">
        <f>IFERROR(__xludf.DUMMYFUNCTION("""COMPUTED_VALUE"""),"Tm")</f>
        <v>Tm</v>
      </c>
      <c r="D4435" s="4" t="str">
        <f>IFERROR(__xludf.DUMMYFUNCTION("""COMPUTED_VALUE"""),"Player")</f>
        <v>Player</v>
      </c>
      <c r="E4435" s="4" t="str">
        <f>IFERROR(__xludf.DUMMYFUNCTION("""COMPUTED_VALUE"""),"College")</f>
        <v>College</v>
      </c>
      <c r="F4435" s="4" t="str">
        <f>IFERROR(__xludf.DUMMYFUNCTION("""COMPUTED_VALUE"""),"Yrs")</f>
        <v>Yrs</v>
      </c>
      <c r="G4435" s="4" t="str">
        <f>IFERROR(__xludf.DUMMYFUNCTION("""COMPUTED_VALUE"""),"G")</f>
        <v>G</v>
      </c>
      <c r="H4435" s="4" t="str">
        <f>IFERROR(__xludf.DUMMYFUNCTION("""COMPUTED_VALUE"""),"MP")</f>
        <v>MP</v>
      </c>
      <c r="I4435" s="4" t="str">
        <f>IFERROR(__xludf.DUMMYFUNCTION("""COMPUTED_VALUE"""),"PTS")</f>
        <v>PTS</v>
      </c>
      <c r="J4435" s="4" t="str">
        <f>IFERROR(__xludf.DUMMYFUNCTION("""COMPUTED_VALUE"""),"TRB")</f>
        <v>TRB</v>
      </c>
      <c r="K4435" s="4" t="str">
        <f>IFERROR(__xludf.DUMMYFUNCTION("""COMPUTED_VALUE"""),"AST")</f>
        <v>AST</v>
      </c>
      <c r="L4435" s="4" t="str">
        <f>IFERROR(__xludf.DUMMYFUNCTION("""COMPUTED_VALUE"""),"FG%")</f>
        <v>FG%</v>
      </c>
      <c r="M4435" s="4" t="str">
        <f>IFERROR(__xludf.DUMMYFUNCTION("""COMPUTED_VALUE"""),"3P%")</f>
        <v>3P%</v>
      </c>
      <c r="N4435" s="4" t="str">
        <f>IFERROR(__xludf.DUMMYFUNCTION("""COMPUTED_VALUE"""),"FT%")</f>
        <v>FT%</v>
      </c>
      <c r="O4435" s="4" t="str">
        <f>IFERROR(__xludf.DUMMYFUNCTION("""COMPUTED_VALUE"""),"MP")</f>
        <v>MP</v>
      </c>
      <c r="P4435" s="4" t="str">
        <f>IFERROR(__xludf.DUMMYFUNCTION("""COMPUTED_VALUE"""),"PTS")</f>
        <v>PTS</v>
      </c>
      <c r="Q4435" s="4" t="str">
        <f>IFERROR(__xludf.DUMMYFUNCTION("""COMPUTED_VALUE"""),"TRB")</f>
        <v>TRB</v>
      </c>
      <c r="R4435" s="4" t="str">
        <f>IFERROR(__xludf.DUMMYFUNCTION("""COMPUTED_VALUE"""),"AST")</f>
        <v>AST</v>
      </c>
      <c r="S4435" s="4" t="str">
        <f>IFERROR(__xludf.DUMMYFUNCTION("""COMPUTED_VALUE"""),"WS")</f>
        <v>WS</v>
      </c>
      <c r="T4435" s="4" t="str">
        <f>IFERROR(__xludf.DUMMYFUNCTION("""COMPUTED_VALUE"""),"WS/48")</f>
        <v>WS/48</v>
      </c>
      <c r="U4435" s="4" t="str">
        <f>IFERROR(__xludf.DUMMYFUNCTION("""COMPUTED_VALUE"""),"BPM")</f>
        <v>BPM</v>
      </c>
      <c r="V4435" s="4" t="str">
        <f>IFERROR(__xludf.DUMMYFUNCTION("""COMPUTED_VALUE"""),"VORP")</f>
        <v>VORP</v>
      </c>
    </row>
    <row r="4436">
      <c r="A4436" s="4">
        <f>IFERROR(__xludf.DUMMYFUNCTION("""COMPUTED_VALUE"""),185.0)</f>
        <v>185</v>
      </c>
      <c r="B4436" s="4">
        <f>IFERROR(__xludf.DUMMYFUNCTION("""COMPUTED_VALUE"""),185.0)</f>
        <v>185</v>
      </c>
      <c r="C4436" s="4" t="str">
        <f>IFERROR(__xludf.DUMMYFUNCTION("""COMPUTED_VALUE"""),"UTA")</f>
        <v>UTA</v>
      </c>
      <c r="D4436" s="4" t="str">
        <f>IFERROR(__xludf.DUMMYFUNCTION("""COMPUTED_VALUE"""),"Paul Dawkins")</f>
        <v>Paul Dawkins</v>
      </c>
      <c r="E4436" s="4" t="str">
        <f>IFERROR(__xludf.DUMMYFUNCTION("""COMPUTED_VALUE"""),"Northern Illinois")</f>
        <v>Northern Illinois</v>
      </c>
      <c r="F4436" s="4">
        <f>IFERROR(__xludf.DUMMYFUNCTION("""COMPUTED_VALUE"""),1.0)</f>
        <v>1</v>
      </c>
      <c r="G4436" s="4">
        <f>IFERROR(__xludf.DUMMYFUNCTION("""COMPUTED_VALUE"""),57.0)</f>
        <v>57</v>
      </c>
      <c r="H4436" s="4">
        <f>IFERROR(__xludf.DUMMYFUNCTION("""COMPUTED_VALUE"""),776.0)</f>
        <v>776</v>
      </c>
      <c r="I4436" s="4">
        <f>IFERROR(__xludf.DUMMYFUNCTION("""COMPUTED_VALUE"""),316.0)</f>
        <v>316</v>
      </c>
      <c r="J4436" s="4">
        <f>IFERROR(__xludf.DUMMYFUNCTION("""COMPUTED_VALUE"""),125.0)</f>
        <v>125</v>
      </c>
      <c r="K4436" s="4">
        <f>IFERROR(__xludf.DUMMYFUNCTION("""COMPUTED_VALUE"""),77.0)</f>
        <v>77</v>
      </c>
      <c r="L4436" s="4">
        <f>IFERROR(__xludf.DUMMYFUNCTION("""COMPUTED_VALUE"""),0.47)</f>
        <v>0.47</v>
      </c>
      <c r="M4436" s="4">
        <f>IFERROR(__xludf.DUMMYFUNCTION("""COMPUTED_VALUE"""),0.2)</f>
        <v>0.2</v>
      </c>
      <c r="N4436" s="4">
        <f>IFERROR(__xludf.DUMMYFUNCTION("""COMPUTED_VALUE"""),0.688)</f>
        <v>0.688</v>
      </c>
      <c r="O4436" s="4">
        <f>IFERROR(__xludf.DUMMYFUNCTION("""COMPUTED_VALUE"""),13.6)</f>
        <v>13.6</v>
      </c>
      <c r="P4436" s="4">
        <f>IFERROR(__xludf.DUMMYFUNCTION("""COMPUTED_VALUE"""),5.5)</f>
        <v>5.5</v>
      </c>
      <c r="Q4436" s="4">
        <f>IFERROR(__xludf.DUMMYFUNCTION("""COMPUTED_VALUE"""),2.2)</f>
        <v>2.2</v>
      </c>
      <c r="R4436" s="4">
        <f>IFERROR(__xludf.DUMMYFUNCTION("""COMPUTED_VALUE"""),1.4)</f>
        <v>1.4</v>
      </c>
      <c r="S4436" s="4">
        <f>IFERROR(__xludf.DUMMYFUNCTION("""COMPUTED_VALUE"""),-0.1)</f>
        <v>-0.1</v>
      </c>
      <c r="T4436" s="4">
        <f>IFERROR(__xludf.DUMMYFUNCTION("""COMPUTED_VALUE"""),-0.009)</f>
        <v>-0.009</v>
      </c>
      <c r="U4436" s="4">
        <f>IFERROR(__xludf.DUMMYFUNCTION("""COMPUTED_VALUE"""),-4.2)</f>
        <v>-4.2</v>
      </c>
      <c r="V4436" s="4">
        <f>IFERROR(__xludf.DUMMYFUNCTION("""COMPUTED_VALUE"""),-0.4)</f>
        <v>-0.4</v>
      </c>
    </row>
    <row r="4437">
      <c r="A4437" s="4">
        <f>IFERROR(__xludf.DUMMYFUNCTION("""COMPUTED_VALUE"""),186.0)</f>
        <v>186</v>
      </c>
      <c r="B4437" s="4">
        <f>IFERROR(__xludf.DUMMYFUNCTION("""COMPUTED_VALUE"""),186.0)</f>
        <v>186</v>
      </c>
      <c r="C4437" s="4" t="str">
        <f>IFERROR(__xludf.DUMMYFUNCTION("""COMPUTED_VALUE"""),"BOS")</f>
        <v>BOS</v>
      </c>
      <c r="D4437" s="4" t="str">
        <f>IFERROR(__xludf.DUMMYFUNCTION("""COMPUTED_VALUE"""),"Alton Byrd")</f>
        <v>Alton Byrd</v>
      </c>
      <c r="E4437" s="4" t="str">
        <f>IFERROR(__xludf.DUMMYFUNCTION("""COMPUTED_VALUE"""),"Columbia University")</f>
        <v>Columbia University</v>
      </c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</row>
    <row r="4438">
      <c r="A4438" s="4">
        <f>IFERROR(__xludf.DUMMYFUNCTION("""COMPUTED_VALUE"""),187.0)</f>
        <v>187</v>
      </c>
      <c r="B4438" s="4">
        <f>IFERROR(__xludf.DUMMYFUNCTION("""COMPUTED_VALUE"""),187.0)</f>
        <v>187</v>
      </c>
      <c r="C4438" s="4" t="str">
        <f>IFERROR(__xludf.DUMMYFUNCTION("""COMPUTED_VALUE"""),"DET")</f>
        <v>DET</v>
      </c>
      <c r="D4438" s="4" t="str">
        <f>IFERROR(__xludf.DUMMYFUNCTION("""COMPUTED_VALUE"""),"Willie Polk")</f>
        <v>Willie Polk</v>
      </c>
      <c r="E4438" s="4" t="str">
        <f>IFERROR(__xludf.DUMMYFUNCTION("""COMPUTED_VALUE"""),"Grand Canyon University")</f>
        <v>Grand Canyon University</v>
      </c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</row>
    <row r="4439">
      <c r="A4439" s="4">
        <f>IFERROR(__xludf.DUMMYFUNCTION("""COMPUTED_VALUE"""),188.0)</f>
        <v>188</v>
      </c>
      <c r="B4439" s="4">
        <f>IFERROR(__xludf.DUMMYFUNCTION("""COMPUTED_VALUE"""),188.0)</f>
        <v>188</v>
      </c>
      <c r="C4439" s="4" t="str">
        <f>IFERROR(__xludf.DUMMYFUNCTION("""COMPUTED_VALUE"""),"CLE")</f>
        <v>CLE</v>
      </c>
      <c r="D4439" s="4" t="str">
        <f>IFERROR(__xludf.DUMMYFUNCTION("""COMPUTED_VALUE"""),"Terry Peavy")</f>
        <v>Terry Peavy</v>
      </c>
      <c r="E4439" s="4" t="str">
        <f>IFERROR(__xludf.DUMMYFUNCTION("""COMPUTED_VALUE"""),"Point Park University")</f>
        <v>Point Park University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</row>
    <row r="4440">
      <c r="A4440" s="4">
        <f>IFERROR(__xludf.DUMMYFUNCTION("""COMPUTED_VALUE"""),189.0)</f>
        <v>189</v>
      </c>
      <c r="B4440" s="4">
        <f>IFERROR(__xludf.DUMMYFUNCTION("""COMPUTED_VALUE"""),189.0)</f>
        <v>189</v>
      </c>
      <c r="C4440" s="4" t="str">
        <f>IFERROR(__xludf.DUMMYFUNCTION("""COMPUTED_VALUE"""),"NYK")</f>
        <v>NYK</v>
      </c>
      <c r="D4440" s="4" t="str">
        <f>IFERROR(__xludf.DUMMYFUNCTION("""COMPUTED_VALUE"""),"Gordon Thomas")</f>
        <v>Gordon Thomas</v>
      </c>
      <c r="E4440" s="4" t="str">
        <f>IFERROR(__xludf.DUMMYFUNCTION("""COMPUTED_VALUE"""),"St. John's")</f>
        <v>St. John's</v>
      </c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</row>
    <row r="4441">
      <c r="A4441" s="4">
        <f>IFERROR(__xludf.DUMMYFUNCTION("""COMPUTED_VALUE"""),190.0)</f>
        <v>190</v>
      </c>
      <c r="B4441" s="4">
        <f>IFERROR(__xludf.DUMMYFUNCTION("""COMPUTED_VALUE"""),190.0)</f>
        <v>190</v>
      </c>
      <c r="C4441" s="4" t="str">
        <f>IFERROR(__xludf.DUMMYFUNCTION("""COMPUTED_VALUE"""),"CHI")</f>
        <v>CHI</v>
      </c>
      <c r="D4441" s="4" t="str">
        <f>IFERROR(__xludf.DUMMYFUNCTION("""COMPUTED_VALUE"""),"Marvin Thomas")</f>
        <v>Marvin Thomas</v>
      </c>
      <c r="E4441" s="4" t="str">
        <f>IFERROR(__xludf.DUMMYFUNCTION("""COMPUTED_VALUE"""),"UCLA")</f>
        <v>UCLA</v>
      </c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</row>
    <row r="4442">
      <c r="A4442" s="4">
        <f>IFERROR(__xludf.DUMMYFUNCTION("""COMPUTED_VALUE"""),191.0)</f>
        <v>191</v>
      </c>
      <c r="B4442" s="4">
        <f>IFERROR(__xludf.DUMMYFUNCTION("""COMPUTED_VALUE"""),191.0)</f>
        <v>191</v>
      </c>
      <c r="C4442" s="4" t="str">
        <f>IFERROR(__xludf.DUMMYFUNCTION("""COMPUTED_VALUE"""),"NJN")</f>
        <v>NJN</v>
      </c>
      <c r="D4442" s="4" t="str">
        <f>IFERROR(__xludf.DUMMYFUNCTION("""COMPUTED_VALUE"""),"Eric Fleisher")</f>
        <v>Eric Fleisher</v>
      </c>
      <c r="E4442" s="4" t="str">
        <f>IFERROR(__xludf.DUMMYFUNCTION("""COMPUTED_VALUE"""),"Tulane")</f>
        <v>Tulane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</row>
    <row r="4443">
      <c r="A4443" s="4">
        <f>IFERROR(__xludf.DUMMYFUNCTION("""COMPUTED_VALUE"""),192.0)</f>
        <v>192</v>
      </c>
      <c r="B4443" s="4">
        <f>IFERROR(__xludf.DUMMYFUNCTION("""COMPUTED_VALUE"""),192.0)</f>
        <v>192</v>
      </c>
      <c r="C4443" s="4" t="str">
        <f>IFERROR(__xludf.DUMMYFUNCTION("""COMPUTED_VALUE"""),"GSW")</f>
        <v>GSW</v>
      </c>
      <c r="D4443" s="4" t="str">
        <f>IFERROR(__xludf.DUMMYFUNCTION("""COMPUTED_VALUE"""),"Kevin Heenan")</f>
        <v>Kevin Heenan</v>
      </c>
      <c r="E4443" s="4" t="str">
        <f>IFERROR(__xludf.DUMMYFUNCTION("""COMPUTED_VALUE"""),"Cal State Fullerton")</f>
        <v>Cal State Fullerton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</row>
    <row r="4444">
      <c r="A4444" s="4">
        <f>IFERROR(__xludf.DUMMYFUNCTION("""COMPUTED_VALUE"""),193.0)</f>
        <v>193</v>
      </c>
      <c r="B4444" s="4">
        <f>IFERROR(__xludf.DUMMYFUNCTION("""COMPUTED_VALUE"""),193.0)</f>
        <v>193</v>
      </c>
      <c r="C4444" s="4" t="str">
        <f>IFERROR(__xludf.DUMMYFUNCTION("""COMPUTED_VALUE"""),"MIL")</f>
        <v>MIL</v>
      </c>
      <c r="D4444" s="4" t="str">
        <f>IFERROR(__xludf.DUMMYFUNCTION("""COMPUTED_VALUE"""),"Chris Fahrbach")</f>
        <v>Chris Fahrbach</v>
      </c>
      <c r="E4444" s="4" t="str">
        <f>IFERROR(__xludf.DUMMYFUNCTION("""COMPUTED_VALUE"""),"University of North Dakota")</f>
        <v>University of North Dakota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</row>
    <row r="4445">
      <c r="A4445" s="4">
        <f>IFERROR(__xludf.DUMMYFUNCTION("""COMPUTED_VALUE"""),194.0)</f>
        <v>194</v>
      </c>
      <c r="B4445" s="4">
        <f>IFERROR(__xludf.DUMMYFUNCTION("""COMPUTED_VALUE"""),194.0)</f>
        <v>194</v>
      </c>
      <c r="C4445" s="4" t="str">
        <f>IFERROR(__xludf.DUMMYFUNCTION("""COMPUTED_VALUE"""),"SDC")</f>
        <v>SDC</v>
      </c>
      <c r="D4445" s="4" t="str">
        <f>IFERROR(__xludf.DUMMYFUNCTION("""COMPUTED_VALUE"""),"Greg Hunter")</f>
        <v>Greg Hunter</v>
      </c>
      <c r="E4445" s="4" t="str">
        <f>IFERROR(__xludf.DUMMYFUNCTION("""COMPUTED_VALUE"""),"Loyola Marymount")</f>
        <v>Loyola Marymount</v>
      </c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</row>
    <row r="4446">
      <c r="A4446" s="4">
        <f>IFERROR(__xludf.DUMMYFUNCTION("""COMPUTED_VALUE"""),195.0)</f>
        <v>195</v>
      </c>
      <c r="B4446" s="4">
        <f>IFERROR(__xludf.DUMMYFUNCTION("""COMPUTED_VALUE"""),195.0)</f>
        <v>195</v>
      </c>
      <c r="C4446" s="4" t="str">
        <f>IFERROR(__xludf.DUMMYFUNCTION("""COMPUTED_VALUE"""),"POR")</f>
        <v>POR</v>
      </c>
      <c r="D4446" s="4" t="str">
        <f>IFERROR(__xludf.DUMMYFUNCTION("""COMPUTED_VALUE"""),"Kelvin Small")</f>
        <v>Kelvin Small</v>
      </c>
      <c r="E4446" s="4" t="str">
        <f>IFERROR(__xludf.DUMMYFUNCTION("""COMPUTED_VALUE"""),"Oregon")</f>
        <v>Oregon</v>
      </c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</row>
    <row r="4447">
      <c r="A4447" s="4">
        <f>IFERROR(__xludf.DUMMYFUNCTION("""COMPUTED_VALUE"""),196.0)</f>
        <v>196</v>
      </c>
      <c r="B4447" s="4">
        <f>IFERROR(__xludf.DUMMYFUNCTION("""COMPUTED_VALUE"""),196.0)</f>
        <v>196</v>
      </c>
      <c r="C4447" s="4" t="str">
        <f>IFERROR(__xludf.DUMMYFUNCTION("""COMPUTED_VALUE"""),"ATL")</f>
        <v>ATL</v>
      </c>
      <c r="D4447" s="4" t="str">
        <f>IFERROR(__xludf.DUMMYFUNCTION("""COMPUTED_VALUE"""),"Chad Nelson")</f>
        <v>Chad Nelson</v>
      </c>
      <c r="E4447" s="4" t="str">
        <f>IFERROR(__xludf.DUMMYFUNCTION("""COMPUTED_VALUE"""),"Drake University")</f>
        <v>Drake University</v>
      </c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</row>
    <row r="4448">
      <c r="A4448" s="4">
        <f>IFERROR(__xludf.DUMMYFUNCTION("""COMPUTED_VALUE"""),197.0)</f>
        <v>197</v>
      </c>
      <c r="B4448" s="4">
        <f>IFERROR(__xludf.DUMMYFUNCTION("""COMPUTED_VALUE"""),197.0)</f>
        <v>197</v>
      </c>
      <c r="C4448" s="4" t="str">
        <f>IFERROR(__xludf.DUMMYFUNCTION("""COMPUTED_VALUE"""),"CHI")</f>
        <v>CHI</v>
      </c>
      <c r="D4448" s="4" t="str">
        <f>IFERROR(__xludf.DUMMYFUNCTION("""COMPUTED_VALUE"""),"Cortez Collins")</f>
        <v>Cortez Collins</v>
      </c>
      <c r="E4448" s="4" t="str">
        <f>IFERROR(__xludf.DUMMYFUNCTION("""COMPUTED_VALUE"""),"Southern Indiana")</f>
        <v>Southern Indiana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</row>
    <row r="4449">
      <c r="A4449" s="4">
        <f>IFERROR(__xludf.DUMMYFUNCTION("""COMPUTED_VALUE"""),198.0)</f>
        <v>198</v>
      </c>
      <c r="B4449" s="4">
        <f>IFERROR(__xludf.DUMMYFUNCTION("""COMPUTED_VALUE"""),198.0)</f>
        <v>198</v>
      </c>
      <c r="C4449" s="4" t="str">
        <f>IFERROR(__xludf.DUMMYFUNCTION("""COMPUTED_VALUE"""),"PHI")</f>
        <v>PHI</v>
      </c>
      <c r="D4449" s="4" t="str">
        <f>IFERROR(__xludf.DUMMYFUNCTION("""COMPUTED_VALUE"""),"Keith McCord")</f>
        <v>Keith McCord</v>
      </c>
      <c r="E4449" s="4" t="str">
        <f>IFERROR(__xludf.DUMMYFUNCTION("""COMPUTED_VALUE"""),"UAB")</f>
        <v>UAB</v>
      </c>
      <c r="F4449" s="4">
        <f>IFERROR(__xludf.DUMMYFUNCTION("""COMPUTED_VALUE"""),1.0)</f>
        <v>1</v>
      </c>
      <c r="G4449" s="4">
        <f>IFERROR(__xludf.DUMMYFUNCTION("""COMPUTED_VALUE"""),2.0)</f>
        <v>2</v>
      </c>
      <c r="H4449" s="4">
        <f>IFERROR(__xludf.DUMMYFUNCTION("""COMPUTED_VALUE"""),9.0)</f>
        <v>9</v>
      </c>
      <c r="I4449" s="4">
        <f>IFERROR(__xludf.DUMMYFUNCTION("""COMPUTED_VALUE"""),4.0)</f>
        <v>4</v>
      </c>
      <c r="J4449" s="4">
        <f>IFERROR(__xludf.DUMMYFUNCTION("""COMPUTED_VALUE"""),2.0)</f>
        <v>2</v>
      </c>
      <c r="K4449" s="4">
        <f>IFERROR(__xludf.DUMMYFUNCTION("""COMPUTED_VALUE"""),1.0)</f>
        <v>1</v>
      </c>
      <c r="L4449" s="4">
        <f>IFERROR(__xludf.DUMMYFUNCTION("""COMPUTED_VALUE"""),0.5)</f>
        <v>0.5</v>
      </c>
      <c r="M4449" s="4"/>
      <c r="N4449" s="4"/>
      <c r="O4449" s="4">
        <f>IFERROR(__xludf.DUMMYFUNCTION("""COMPUTED_VALUE"""),4.5)</f>
        <v>4.5</v>
      </c>
      <c r="P4449" s="4">
        <f>IFERROR(__xludf.DUMMYFUNCTION("""COMPUTED_VALUE"""),2.0)</f>
        <v>2</v>
      </c>
      <c r="Q4449" s="4">
        <f>IFERROR(__xludf.DUMMYFUNCTION("""COMPUTED_VALUE"""),1.0)</f>
        <v>1</v>
      </c>
      <c r="R4449" s="4">
        <f>IFERROR(__xludf.DUMMYFUNCTION("""COMPUTED_VALUE"""),0.5)</f>
        <v>0.5</v>
      </c>
      <c r="S4449" s="4">
        <f>IFERROR(__xludf.DUMMYFUNCTION("""COMPUTED_VALUE"""),0.0)</f>
        <v>0</v>
      </c>
      <c r="T4449" s="4">
        <f>IFERROR(__xludf.DUMMYFUNCTION("""COMPUTED_VALUE"""),-0.136)</f>
        <v>-0.136</v>
      </c>
      <c r="U4449" s="4">
        <f>IFERROR(__xludf.DUMMYFUNCTION("""COMPUTED_VALUE"""),-4.6)</f>
        <v>-4.6</v>
      </c>
      <c r="V4449" s="4">
        <f>IFERROR(__xludf.DUMMYFUNCTION("""COMPUTED_VALUE"""),0.0)</f>
        <v>0</v>
      </c>
    </row>
    <row r="4450">
      <c r="A4450" s="4">
        <f>IFERROR(__xludf.DUMMYFUNCTION("""COMPUTED_VALUE"""),199.0)</f>
        <v>199</v>
      </c>
      <c r="B4450" s="4">
        <f>IFERROR(__xludf.DUMMYFUNCTION("""COMPUTED_VALUE"""),199.0)</f>
        <v>199</v>
      </c>
      <c r="C4450" s="4" t="str">
        <f>IFERROR(__xludf.DUMMYFUNCTION("""COMPUTED_VALUE"""),"SAS")</f>
        <v>SAS</v>
      </c>
      <c r="D4450" s="4" t="str">
        <f>IFERROR(__xludf.DUMMYFUNCTION("""COMPUTED_VALUE"""),"Glenn Fine")</f>
        <v>Glenn Fine</v>
      </c>
      <c r="E4450" s="4" t="str">
        <f>IFERROR(__xludf.DUMMYFUNCTION("""COMPUTED_VALUE"""),"Harvard University")</f>
        <v>Harvard University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</row>
    <row r="4451">
      <c r="A4451" s="4">
        <f>IFERROR(__xludf.DUMMYFUNCTION("""COMPUTED_VALUE"""),200.0)</f>
        <v>200</v>
      </c>
      <c r="B4451" s="4">
        <f>IFERROR(__xludf.DUMMYFUNCTION("""COMPUTED_VALUE"""),200.0)</f>
        <v>200</v>
      </c>
      <c r="C4451" s="4" t="str">
        <f>IFERROR(__xludf.DUMMYFUNCTION("""COMPUTED_VALUE"""),"KCK")</f>
        <v>KCK</v>
      </c>
      <c r="D4451" s="4" t="str">
        <f>IFERROR(__xludf.DUMMYFUNCTION("""COMPUTED_VALUE"""),"Russell Saunders")</f>
        <v>Russell Saunders</v>
      </c>
      <c r="E4451" s="4" t="str">
        <f>IFERROR(__xludf.DUMMYFUNCTION("""COMPUTED_VALUE"""),"New Mexico")</f>
        <v>New Mexico</v>
      </c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</row>
    <row r="4452">
      <c r="A4452" s="4">
        <f>IFERROR(__xludf.DUMMYFUNCTION("""COMPUTED_VALUE"""),201.0)</f>
        <v>201</v>
      </c>
      <c r="B4452" s="4">
        <f>IFERROR(__xludf.DUMMYFUNCTION("""COMPUTED_VALUE"""),201.0)</f>
        <v>201</v>
      </c>
      <c r="C4452" s="4" t="str">
        <f>IFERROR(__xludf.DUMMYFUNCTION("""COMPUTED_VALUE"""),"PHO")</f>
        <v>PHO</v>
      </c>
      <c r="D4452" s="4" t="str">
        <f>IFERROR(__xludf.DUMMYFUNCTION("""COMPUTED_VALUE"""),"Korky Nelson")</f>
        <v>Korky Nelson</v>
      </c>
      <c r="E4452" s="4" t="str">
        <f>IFERROR(__xludf.DUMMYFUNCTION("""COMPUTED_VALUE"""),"Santa Clara")</f>
        <v>Santa Clara</v>
      </c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</row>
    <row r="4453">
      <c r="A4453" s="4">
        <f>IFERROR(__xludf.DUMMYFUNCTION("""COMPUTED_VALUE"""),202.0)</f>
        <v>202</v>
      </c>
      <c r="B4453" s="4">
        <f>IFERROR(__xludf.DUMMYFUNCTION("""COMPUTED_VALUE"""),202.0)</f>
        <v>202</v>
      </c>
      <c r="C4453" s="4" t="str">
        <f>IFERROR(__xludf.DUMMYFUNCTION("""COMPUTED_VALUE"""),"WSB")</f>
        <v>WSB</v>
      </c>
      <c r="D4453" s="4" t="str">
        <f>IFERROR(__xludf.DUMMYFUNCTION("""COMPUTED_VALUE"""),"Steve Martin")</f>
        <v>Steve Martin</v>
      </c>
      <c r="E4453" s="4" t="str">
        <f>IFERROR(__xludf.DUMMYFUNCTION("""COMPUTED_VALUE"""),"Georgetown")</f>
        <v>Georgetown</v>
      </c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</row>
    <row r="4455">
      <c r="A4455" s="2">
        <v>1978.0</v>
      </c>
    </row>
    <row r="4456">
      <c r="A4456" s="4" t="str">
        <f>IFERROR(__xludf.DUMMYFUNCTION("IMPORTHTML(""https://www.basketball-reference.com/draft/NBA_1978.html"", ""table"", 1)"),"")</f>
        <v/>
      </c>
      <c r="B4456" s="4"/>
      <c r="C4456" s="4"/>
      <c r="D4456" s="4" t="str">
        <f>IFERROR(__xludf.DUMMYFUNCTION("""COMPUTED_VALUE"""),"Round 1")</f>
        <v>Round 1</v>
      </c>
      <c r="E4456" s="4"/>
      <c r="F4456" s="4"/>
      <c r="G4456" s="4" t="str">
        <f>IFERROR(__xludf.DUMMYFUNCTION("""COMPUTED_VALUE"""),"Totals")</f>
        <v>Totals</v>
      </c>
      <c r="H4456" s="4"/>
      <c r="I4456" s="4"/>
      <c r="J4456" s="4"/>
      <c r="K4456" s="4"/>
      <c r="L4456" s="4" t="str">
        <f>IFERROR(__xludf.DUMMYFUNCTION("""COMPUTED_VALUE"""),"Shooting")</f>
        <v>Shooting</v>
      </c>
      <c r="M4456" s="4"/>
      <c r="N4456" s="4"/>
      <c r="O4456" s="4" t="str">
        <f>IFERROR(__xludf.DUMMYFUNCTION("""COMPUTED_VALUE"""),"Per Game")</f>
        <v>Per Game</v>
      </c>
      <c r="P4456" s="4"/>
      <c r="Q4456" s="4"/>
      <c r="R4456" s="4"/>
      <c r="S4456" s="4" t="str">
        <f>IFERROR(__xludf.DUMMYFUNCTION("""COMPUTED_VALUE"""),"Advanced")</f>
        <v>Advanced</v>
      </c>
      <c r="T4456" s="4"/>
      <c r="U4456" s="4"/>
      <c r="V4456" s="4"/>
    </row>
    <row r="4457">
      <c r="A4457" s="4" t="str">
        <f>IFERROR(__xludf.DUMMYFUNCTION("""COMPUTED_VALUE"""),"Rk")</f>
        <v>Rk</v>
      </c>
      <c r="B4457" s="4" t="str">
        <f>IFERROR(__xludf.DUMMYFUNCTION("""COMPUTED_VALUE"""),"Pk")</f>
        <v>Pk</v>
      </c>
      <c r="C4457" s="4" t="str">
        <f>IFERROR(__xludf.DUMMYFUNCTION("""COMPUTED_VALUE"""),"Tm")</f>
        <v>Tm</v>
      </c>
      <c r="D4457" s="4" t="str">
        <f>IFERROR(__xludf.DUMMYFUNCTION("""COMPUTED_VALUE"""),"Player")</f>
        <v>Player</v>
      </c>
      <c r="E4457" s="4" t="str">
        <f>IFERROR(__xludf.DUMMYFUNCTION("""COMPUTED_VALUE"""),"College")</f>
        <v>College</v>
      </c>
      <c r="F4457" s="4" t="str">
        <f>IFERROR(__xludf.DUMMYFUNCTION("""COMPUTED_VALUE"""),"Yrs")</f>
        <v>Yrs</v>
      </c>
      <c r="G4457" s="4" t="str">
        <f>IFERROR(__xludf.DUMMYFUNCTION("""COMPUTED_VALUE"""),"G")</f>
        <v>G</v>
      </c>
      <c r="H4457" s="4" t="str">
        <f>IFERROR(__xludf.DUMMYFUNCTION("""COMPUTED_VALUE"""),"MP")</f>
        <v>MP</v>
      </c>
      <c r="I4457" s="4" t="str">
        <f>IFERROR(__xludf.DUMMYFUNCTION("""COMPUTED_VALUE"""),"PTS")</f>
        <v>PTS</v>
      </c>
      <c r="J4457" s="4" t="str">
        <f>IFERROR(__xludf.DUMMYFUNCTION("""COMPUTED_VALUE"""),"TRB")</f>
        <v>TRB</v>
      </c>
      <c r="K4457" s="4" t="str">
        <f>IFERROR(__xludf.DUMMYFUNCTION("""COMPUTED_VALUE"""),"AST")</f>
        <v>AST</v>
      </c>
      <c r="L4457" s="4" t="str">
        <f>IFERROR(__xludf.DUMMYFUNCTION("""COMPUTED_VALUE"""),"FG%")</f>
        <v>FG%</v>
      </c>
      <c r="M4457" s="4" t="str">
        <f>IFERROR(__xludf.DUMMYFUNCTION("""COMPUTED_VALUE"""),"3P%")</f>
        <v>3P%</v>
      </c>
      <c r="N4457" s="4" t="str">
        <f>IFERROR(__xludf.DUMMYFUNCTION("""COMPUTED_VALUE"""),"FT%")</f>
        <v>FT%</v>
      </c>
      <c r="O4457" s="4" t="str">
        <f>IFERROR(__xludf.DUMMYFUNCTION("""COMPUTED_VALUE"""),"MP")</f>
        <v>MP</v>
      </c>
      <c r="P4457" s="4" t="str">
        <f>IFERROR(__xludf.DUMMYFUNCTION("""COMPUTED_VALUE"""),"PTS")</f>
        <v>PTS</v>
      </c>
      <c r="Q4457" s="4" t="str">
        <f>IFERROR(__xludf.DUMMYFUNCTION("""COMPUTED_VALUE"""),"TRB")</f>
        <v>TRB</v>
      </c>
      <c r="R4457" s="4" t="str">
        <f>IFERROR(__xludf.DUMMYFUNCTION("""COMPUTED_VALUE"""),"AST")</f>
        <v>AST</v>
      </c>
      <c r="S4457" s="4" t="str">
        <f>IFERROR(__xludf.DUMMYFUNCTION("""COMPUTED_VALUE"""),"WS")</f>
        <v>WS</v>
      </c>
      <c r="T4457" s="4" t="str">
        <f>IFERROR(__xludf.DUMMYFUNCTION("""COMPUTED_VALUE"""),"WS/48")</f>
        <v>WS/48</v>
      </c>
      <c r="U4457" s="4" t="str">
        <f>IFERROR(__xludf.DUMMYFUNCTION("""COMPUTED_VALUE"""),"BPM")</f>
        <v>BPM</v>
      </c>
      <c r="V4457" s="4" t="str">
        <f>IFERROR(__xludf.DUMMYFUNCTION("""COMPUTED_VALUE"""),"VORP")</f>
        <v>VORP</v>
      </c>
    </row>
    <row r="4458">
      <c r="A4458" s="4">
        <f>IFERROR(__xludf.DUMMYFUNCTION("""COMPUTED_VALUE"""),1.0)</f>
        <v>1</v>
      </c>
      <c r="B4458" s="4">
        <f>IFERROR(__xludf.DUMMYFUNCTION("""COMPUTED_VALUE"""),1.0)</f>
        <v>1</v>
      </c>
      <c r="C4458" s="4" t="str">
        <f>IFERROR(__xludf.DUMMYFUNCTION("""COMPUTED_VALUE"""),"POR")</f>
        <v>POR</v>
      </c>
      <c r="D4458" s="4" t="str">
        <f>IFERROR(__xludf.DUMMYFUNCTION("""COMPUTED_VALUE"""),"Mychal Thompson")</f>
        <v>Mychal Thompson</v>
      </c>
      <c r="E4458" s="4" t="str">
        <f>IFERROR(__xludf.DUMMYFUNCTION("""COMPUTED_VALUE"""),"Minnesota")</f>
        <v>Minnesota</v>
      </c>
      <c r="F4458" s="4">
        <f>IFERROR(__xludf.DUMMYFUNCTION("""COMPUTED_VALUE"""),12.0)</f>
        <v>12</v>
      </c>
      <c r="G4458" s="4">
        <f>IFERROR(__xludf.DUMMYFUNCTION("""COMPUTED_VALUE"""),935.0)</f>
        <v>935</v>
      </c>
      <c r="H4458" s="4">
        <f>IFERROR(__xludf.DUMMYFUNCTION("""COMPUTED_VALUE"""),27764.0)</f>
        <v>27764</v>
      </c>
      <c r="I4458" s="4">
        <f>IFERROR(__xludf.DUMMYFUNCTION("""COMPUTED_VALUE"""),12810.0)</f>
        <v>12810</v>
      </c>
      <c r="J4458" s="4">
        <f>IFERROR(__xludf.DUMMYFUNCTION("""COMPUTED_VALUE"""),6951.0)</f>
        <v>6951</v>
      </c>
      <c r="K4458" s="4">
        <f>IFERROR(__xludf.DUMMYFUNCTION("""COMPUTED_VALUE"""),2141.0)</f>
        <v>2141</v>
      </c>
      <c r="L4458" s="4">
        <f>IFERROR(__xludf.DUMMYFUNCTION("""COMPUTED_VALUE"""),0.504)</f>
        <v>0.504</v>
      </c>
      <c r="M4458" s="4"/>
      <c r="N4458" s="4">
        <f>IFERROR(__xludf.DUMMYFUNCTION("""COMPUTED_VALUE"""),0.655)</f>
        <v>0.655</v>
      </c>
      <c r="O4458" s="4">
        <f>IFERROR(__xludf.DUMMYFUNCTION("""COMPUTED_VALUE"""),29.7)</f>
        <v>29.7</v>
      </c>
      <c r="P4458" s="4">
        <f>IFERROR(__xludf.DUMMYFUNCTION("""COMPUTED_VALUE"""),13.7)</f>
        <v>13.7</v>
      </c>
      <c r="Q4458" s="4">
        <f>IFERROR(__xludf.DUMMYFUNCTION("""COMPUTED_VALUE"""),7.4)</f>
        <v>7.4</v>
      </c>
      <c r="R4458" s="4">
        <f>IFERROR(__xludf.DUMMYFUNCTION("""COMPUTED_VALUE"""),2.3)</f>
        <v>2.3</v>
      </c>
      <c r="S4458" s="4">
        <f>IFERROR(__xludf.DUMMYFUNCTION("""COMPUTED_VALUE"""),59.1)</f>
        <v>59.1</v>
      </c>
      <c r="T4458" s="4">
        <f>IFERROR(__xludf.DUMMYFUNCTION("""COMPUTED_VALUE"""),0.102)</f>
        <v>0.102</v>
      </c>
      <c r="U4458" s="4">
        <f>IFERROR(__xludf.DUMMYFUNCTION("""COMPUTED_VALUE"""),0.1)</f>
        <v>0.1</v>
      </c>
      <c r="V4458" s="4">
        <f>IFERROR(__xludf.DUMMYFUNCTION("""COMPUTED_VALUE"""),14.5)</f>
        <v>14.5</v>
      </c>
    </row>
    <row r="4459">
      <c r="A4459" s="4">
        <f>IFERROR(__xludf.DUMMYFUNCTION("""COMPUTED_VALUE"""),2.0)</f>
        <v>2</v>
      </c>
      <c r="B4459" s="4">
        <f>IFERROR(__xludf.DUMMYFUNCTION("""COMPUTED_VALUE"""),2.0)</f>
        <v>2</v>
      </c>
      <c r="C4459" s="4" t="str">
        <f>IFERROR(__xludf.DUMMYFUNCTION("""COMPUTED_VALUE"""),"KCK")</f>
        <v>KCK</v>
      </c>
      <c r="D4459" s="4" t="str">
        <f>IFERROR(__xludf.DUMMYFUNCTION("""COMPUTED_VALUE"""),"Phil Ford")</f>
        <v>Phil Ford</v>
      </c>
      <c r="E4459" s="4" t="str">
        <f>IFERROR(__xludf.DUMMYFUNCTION("""COMPUTED_VALUE"""),"UNC")</f>
        <v>UNC</v>
      </c>
      <c r="F4459" s="4">
        <f>IFERROR(__xludf.DUMMYFUNCTION("""COMPUTED_VALUE"""),7.0)</f>
        <v>7</v>
      </c>
      <c r="G4459" s="4">
        <f>IFERROR(__xludf.DUMMYFUNCTION("""COMPUTED_VALUE"""),482.0)</f>
        <v>482</v>
      </c>
      <c r="H4459" s="4">
        <f>IFERROR(__xludf.DUMMYFUNCTION("""COMPUTED_VALUE"""),13503.0)</f>
        <v>13503</v>
      </c>
      <c r="I4459" s="4">
        <f>IFERROR(__xludf.DUMMYFUNCTION("""COMPUTED_VALUE"""),5594.0)</f>
        <v>5594</v>
      </c>
      <c r="J4459" s="4">
        <f>IFERROR(__xludf.DUMMYFUNCTION("""COMPUTED_VALUE"""),854.0)</f>
        <v>854</v>
      </c>
      <c r="K4459" s="4">
        <f>IFERROR(__xludf.DUMMYFUNCTION("""COMPUTED_VALUE"""),3083.0)</f>
        <v>3083</v>
      </c>
      <c r="L4459" s="4">
        <f>IFERROR(__xludf.DUMMYFUNCTION("""COMPUTED_VALUE"""),0.467)</f>
        <v>0.467</v>
      </c>
      <c r="M4459" s="4"/>
      <c r="N4459" s="4">
        <f>IFERROR(__xludf.DUMMYFUNCTION("""COMPUTED_VALUE"""),0.82)</f>
        <v>0.82</v>
      </c>
      <c r="O4459" s="4">
        <f>IFERROR(__xludf.DUMMYFUNCTION("""COMPUTED_VALUE"""),28.0)</f>
        <v>28</v>
      </c>
      <c r="P4459" s="4">
        <f>IFERROR(__xludf.DUMMYFUNCTION("""COMPUTED_VALUE"""),11.6)</f>
        <v>11.6</v>
      </c>
      <c r="Q4459" s="4">
        <f>IFERROR(__xludf.DUMMYFUNCTION("""COMPUTED_VALUE"""),1.8)</f>
        <v>1.8</v>
      </c>
      <c r="R4459" s="4">
        <f>IFERROR(__xludf.DUMMYFUNCTION("""COMPUTED_VALUE"""),6.4)</f>
        <v>6.4</v>
      </c>
      <c r="S4459" s="4">
        <f>IFERROR(__xludf.DUMMYFUNCTION("""COMPUTED_VALUE"""),23.3)</f>
        <v>23.3</v>
      </c>
      <c r="T4459" s="4">
        <f>IFERROR(__xludf.DUMMYFUNCTION("""COMPUTED_VALUE"""),0.083)</f>
        <v>0.083</v>
      </c>
      <c r="U4459" s="4">
        <f>IFERROR(__xludf.DUMMYFUNCTION("""COMPUTED_VALUE"""),-0.8)</f>
        <v>-0.8</v>
      </c>
      <c r="V4459" s="4">
        <f>IFERROR(__xludf.DUMMYFUNCTION("""COMPUTED_VALUE"""),4.1)</f>
        <v>4.1</v>
      </c>
    </row>
    <row r="4460">
      <c r="A4460" s="4">
        <f>IFERROR(__xludf.DUMMYFUNCTION("""COMPUTED_VALUE"""),3.0)</f>
        <v>3</v>
      </c>
      <c r="B4460" s="4">
        <f>IFERROR(__xludf.DUMMYFUNCTION("""COMPUTED_VALUE"""),3.0)</f>
        <v>3</v>
      </c>
      <c r="C4460" s="4" t="str">
        <f>IFERROR(__xludf.DUMMYFUNCTION("""COMPUTED_VALUE"""),"IND")</f>
        <v>IND</v>
      </c>
      <c r="D4460" s="4" t="str">
        <f>IFERROR(__xludf.DUMMYFUNCTION("""COMPUTED_VALUE"""),"Rick Robey")</f>
        <v>Rick Robey</v>
      </c>
      <c r="E4460" s="4" t="str">
        <f>IFERROR(__xludf.DUMMYFUNCTION("""COMPUTED_VALUE"""),"Kentucky")</f>
        <v>Kentucky</v>
      </c>
      <c r="F4460" s="4">
        <f>IFERROR(__xludf.DUMMYFUNCTION("""COMPUTED_VALUE"""),8.0)</f>
        <v>8</v>
      </c>
      <c r="G4460" s="4">
        <f>IFERROR(__xludf.DUMMYFUNCTION("""COMPUTED_VALUE"""),493.0)</f>
        <v>493</v>
      </c>
      <c r="H4460" s="4">
        <f>IFERROR(__xludf.DUMMYFUNCTION("""COMPUTED_VALUE"""),8824.0)</f>
        <v>8824</v>
      </c>
      <c r="I4460" s="4">
        <f>IFERROR(__xludf.DUMMYFUNCTION("""COMPUTED_VALUE"""),3723.0)</f>
        <v>3723</v>
      </c>
      <c r="J4460" s="4">
        <f>IFERROR(__xludf.DUMMYFUNCTION("""COMPUTED_VALUE"""),2301.0)</f>
        <v>2301</v>
      </c>
      <c r="K4460" s="4">
        <f>IFERROR(__xludf.DUMMYFUNCTION("""COMPUTED_VALUE"""),611.0)</f>
        <v>611</v>
      </c>
      <c r="L4460" s="4">
        <f>IFERROR(__xludf.DUMMYFUNCTION("""COMPUTED_VALUE"""),0.501)</f>
        <v>0.501</v>
      </c>
      <c r="M4460" s="4"/>
      <c r="N4460" s="4">
        <f>IFERROR(__xludf.DUMMYFUNCTION("""COMPUTED_VALUE"""),0.65)</f>
        <v>0.65</v>
      </c>
      <c r="O4460" s="4">
        <f>IFERROR(__xludf.DUMMYFUNCTION("""COMPUTED_VALUE"""),17.9)</f>
        <v>17.9</v>
      </c>
      <c r="P4460" s="4">
        <f>IFERROR(__xludf.DUMMYFUNCTION("""COMPUTED_VALUE"""),7.6)</f>
        <v>7.6</v>
      </c>
      <c r="Q4460" s="4">
        <f>IFERROR(__xludf.DUMMYFUNCTION("""COMPUTED_VALUE"""),4.7)</f>
        <v>4.7</v>
      </c>
      <c r="R4460" s="4">
        <f>IFERROR(__xludf.DUMMYFUNCTION("""COMPUTED_VALUE"""),1.2)</f>
        <v>1.2</v>
      </c>
      <c r="S4460" s="4">
        <f>IFERROR(__xludf.DUMMYFUNCTION("""COMPUTED_VALUE"""),15.8)</f>
        <v>15.8</v>
      </c>
      <c r="T4460" s="4">
        <f>IFERROR(__xludf.DUMMYFUNCTION("""COMPUTED_VALUE"""),0.086)</f>
        <v>0.086</v>
      </c>
      <c r="U4460" s="4">
        <f>IFERROR(__xludf.DUMMYFUNCTION("""COMPUTED_VALUE"""),-1.9)</f>
        <v>-1.9</v>
      </c>
      <c r="V4460" s="4">
        <f>IFERROR(__xludf.DUMMYFUNCTION("""COMPUTED_VALUE"""),0.1)</f>
        <v>0.1</v>
      </c>
    </row>
    <row r="4461">
      <c r="A4461" s="4">
        <f>IFERROR(__xludf.DUMMYFUNCTION("""COMPUTED_VALUE"""),4.0)</f>
        <v>4</v>
      </c>
      <c r="B4461" s="4">
        <f>IFERROR(__xludf.DUMMYFUNCTION("""COMPUTED_VALUE"""),4.0)</f>
        <v>4</v>
      </c>
      <c r="C4461" s="4" t="str">
        <f>IFERROR(__xludf.DUMMYFUNCTION("""COMPUTED_VALUE"""),"NYK")</f>
        <v>NYK</v>
      </c>
      <c r="D4461" s="4" t="str">
        <f>IFERROR(__xludf.DUMMYFUNCTION("""COMPUTED_VALUE"""),"Michael Ray Richardson")</f>
        <v>Michael Ray Richardson</v>
      </c>
      <c r="E4461" s="4" t="str">
        <f>IFERROR(__xludf.DUMMYFUNCTION("""COMPUTED_VALUE"""),"Montana")</f>
        <v>Montana</v>
      </c>
      <c r="F4461" s="4">
        <f>IFERROR(__xludf.DUMMYFUNCTION("""COMPUTED_VALUE"""),8.0)</f>
        <v>8</v>
      </c>
      <c r="G4461" s="4">
        <f>IFERROR(__xludf.DUMMYFUNCTION("""COMPUTED_VALUE"""),556.0)</f>
        <v>556</v>
      </c>
      <c r="H4461" s="4">
        <f>IFERROR(__xludf.DUMMYFUNCTION("""COMPUTED_VALUE"""),18589.0)</f>
        <v>18589</v>
      </c>
      <c r="I4461" s="4">
        <f>IFERROR(__xludf.DUMMYFUNCTION("""COMPUTED_VALUE"""),8253.0)</f>
        <v>8253</v>
      </c>
      <c r="J4461" s="4">
        <f>IFERROR(__xludf.DUMMYFUNCTION("""COMPUTED_VALUE"""),3056.0)</f>
        <v>3056</v>
      </c>
      <c r="K4461" s="4">
        <f>IFERROR(__xludf.DUMMYFUNCTION("""COMPUTED_VALUE"""),3899.0)</f>
        <v>3899</v>
      </c>
      <c r="L4461" s="4">
        <f>IFERROR(__xludf.DUMMYFUNCTION("""COMPUTED_VALUE"""),0.457)</f>
        <v>0.457</v>
      </c>
      <c r="M4461" s="4"/>
      <c r="N4461" s="4">
        <f>IFERROR(__xludf.DUMMYFUNCTION("""COMPUTED_VALUE"""),0.69)</f>
        <v>0.69</v>
      </c>
      <c r="O4461" s="4">
        <f>IFERROR(__xludf.DUMMYFUNCTION("""COMPUTED_VALUE"""),33.4)</f>
        <v>33.4</v>
      </c>
      <c r="P4461" s="4">
        <f>IFERROR(__xludf.DUMMYFUNCTION("""COMPUTED_VALUE"""),14.8)</f>
        <v>14.8</v>
      </c>
      <c r="Q4461" s="4">
        <f>IFERROR(__xludf.DUMMYFUNCTION("""COMPUTED_VALUE"""),5.5)</f>
        <v>5.5</v>
      </c>
      <c r="R4461" s="4">
        <f>IFERROR(__xludf.DUMMYFUNCTION("""COMPUTED_VALUE"""),7.0)</f>
        <v>7</v>
      </c>
      <c r="S4461" s="4">
        <f>IFERROR(__xludf.DUMMYFUNCTION("""COMPUTED_VALUE"""),35.2)</f>
        <v>35.2</v>
      </c>
      <c r="T4461" s="4">
        <f>IFERROR(__xludf.DUMMYFUNCTION("""COMPUTED_VALUE"""),0.091)</f>
        <v>0.091</v>
      </c>
      <c r="U4461" s="4">
        <f>IFERROR(__xludf.DUMMYFUNCTION("""COMPUTED_VALUE"""),2.5)</f>
        <v>2.5</v>
      </c>
      <c r="V4461" s="4">
        <f>IFERROR(__xludf.DUMMYFUNCTION("""COMPUTED_VALUE"""),21.2)</f>
        <v>21.2</v>
      </c>
    </row>
    <row r="4462">
      <c r="A4462" s="4">
        <f>IFERROR(__xludf.DUMMYFUNCTION("""COMPUTED_VALUE"""),5.0)</f>
        <v>5</v>
      </c>
      <c r="B4462" s="4">
        <f>IFERROR(__xludf.DUMMYFUNCTION("""COMPUTED_VALUE"""),5.0)</f>
        <v>5</v>
      </c>
      <c r="C4462" s="4" t="str">
        <f>IFERROR(__xludf.DUMMYFUNCTION("""COMPUTED_VALUE"""),"GSW")</f>
        <v>GSW</v>
      </c>
      <c r="D4462" s="4" t="str">
        <f>IFERROR(__xludf.DUMMYFUNCTION("""COMPUTED_VALUE"""),"Purvis Short")</f>
        <v>Purvis Short</v>
      </c>
      <c r="E4462" s="4" t="str">
        <f>IFERROR(__xludf.DUMMYFUNCTION("""COMPUTED_VALUE"""),"Jackson State University")</f>
        <v>Jackson State University</v>
      </c>
      <c r="F4462" s="4">
        <f>IFERROR(__xludf.DUMMYFUNCTION("""COMPUTED_VALUE"""),12.0)</f>
        <v>12</v>
      </c>
      <c r="G4462" s="4">
        <f>IFERROR(__xludf.DUMMYFUNCTION("""COMPUTED_VALUE"""),842.0)</f>
        <v>842</v>
      </c>
      <c r="H4462" s="4">
        <f>IFERROR(__xludf.DUMMYFUNCTION("""COMPUTED_VALUE"""),24549.0)</f>
        <v>24549</v>
      </c>
      <c r="I4462" s="4">
        <f>IFERROR(__xludf.DUMMYFUNCTION("""COMPUTED_VALUE"""),14607.0)</f>
        <v>14607</v>
      </c>
      <c r="J4462" s="4">
        <f>IFERROR(__xludf.DUMMYFUNCTION("""COMPUTED_VALUE"""),3625.0)</f>
        <v>3625</v>
      </c>
      <c r="K4462" s="4">
        <f>IFERROR(__xludf.DUMMYFUNCTION("""COMPUTED_VALUE"""),2123.0)</f>
        <v>2123</v>
      </c>
      <c r="L4462" s="4">
        <f>IFERROR(__xludf.DUMMYFUNCTION("""COMPUTED_VALUE"""),0.474)</f>
        <v>0.474</v>
      </c>
      <c r="M4462" s="4"/>
      <c r="N4462" s="4">
        <f>IFERROR(__xludf.DUMMYFUNCTION("""COMPUTED_VALUE"""),0.824)</f>
        <v>0.824</v>
      </c>
      <c r="O4462" s="4">
        <f>IFERROR(__xludf.DUMMYFUNCTION("""COMPUTED_VALUE"""),29.2)</f>
        <v>29.2</v>
      </c>
      <c r="P4462" s="4">
        <f>IFERROR(__xludf.DUMMYFUNCTION("""COMPUTED_VALUE"""),17.3)</f>
        <v>17.3</v>
      </c>
      <c r="Q4462" s="4">
        <f>IFERROR(__xludf.DUMMYFUNCTION("""COMPUTED_VALUE"""),4.3)</f>
        <v>4.3</v>
      </c>
      <c r="R4462" s="4">
        <f>IFERROR(__xludf.DUMMYFUNCTION("""COMPUTED_VALUE"""),2.5)</f>
        <v>2.5</v>
      </c>
      <c r="S4462" s="4">
        <f>IFERROR(__xludf.DUMMYFUNCTION("""COMPUTED_VALUE"""),51.1)</f>
        <v>51.1</v>
      </c>
      <c r="T4462" s="4">
        <f>IFERROR(__xludf.DUMMYFUNCTION("""COMPUTED_VALUE"""),0.1)</f>
        <v>0.1</v>
      </c>
      <c r="U4462" s="4">
        <f>IFERROR(__xludf.DUMMYFUNCTION("""COMPUTED_VALUE"""),0.0)</f>
        <v>0</v>
      </c>
      <c r="V4462" s="4">
        <f>IFERROR(__xludf.DUMMYFUNCTION("""COMPUTED_VALUE"""),12.1)</f>
        <v>12.1</v>
      </c>
    </row>
    <row r="4463">
      <c r="A4463" s="4">
        <f>IFERROR(__xludf.DUMMYFUNCTION("""COMPUTED_VALUE"""),6.0)</f>
        <v>6</v>
      </c>
      <c r="B4463" s="4">
        <f>IFERROR(__xludf.DUMMYFUNCTION("""COMPUTED_VALUE"""),6.0)</f>
        <v>6</v>
      </c>
      <c r="C4463" s="4" t="str">
        <f>IFERROR(__xludf.DUMMYFUNCTION("""COMPUTED_VALUE"""),"BOS")</f>
        <v>BOS</v>
      </c>
      <c r="D4463" s="4" t="str">
        <f>IFERROR(__xludf.DUMMYFUNCTION("""COMPUTED_VALUE"""),"Larry Bird")</f>
        <v>Larry Bird</v>
      </c>
      <c r="E4463" s="4" t="str">
        <f>IFERROR(__xludf.DUMMYFUNCTION("""COMPUTED_VALUE"""),"Indiana State University")</f>
        <v>Indiana State University</v>
      </c>
      <c r="F4463" s="4">
        <f>IFERROR(__xludf.DUMMYFUNCTION("""COMPUTED_VALUE"""),13.0)</f>
        <v>13</v>
      </c>
      <c r="G4463" s="4">
        <f>IFERROR(__xludf.DUMMYFUNCTION("""COMPUTED_VALUE"""),897.0)</f>
        <v>897</v>
      </c>
      <c r="H4463" s="4">
        <f>IFERROR(__xludf.DUMMYFUNCTION("""COMPUTED_VALUE"""),34443.0)</f>
        <v>34443</v>
      </c>
      <c r="I4463" s="4">
        <f>IFERROR(__xludf.DUMMYFUNCTION("""COMPUTED_VALUE"""),21791.0)</f>
        <v>21791</v>
      </c>
      <c r="J4463" s="4">
        <f>IFERROR(__xludf.DUMMYFUNCTION("""COMPUTED_VALUE"""),8974.0)</f>
        <v>8974</v>
      </c>
      <c r="K4463" s="4">
        <f>IFERROR(__xludf.DUMMYFUNCTION("""COMPUTED_VALUE"""),5695.0)</f>
        <v>5695</v>
      </c>
      <c r="L4463" s="4">
        <f>IFERROR(__xludf.DUMMYFUNCTION("""COMPUTED_VALUE"""),0.496)</f>
        <v>0.496</v>
      </c>
      <c r="M4463" s="4">
        <f>IFERROR(__xludf.DUMMYFUNCTION("""COMPUTED_VALUE"""),0.376)</f>
        <v>0.376</v>
      </c>
      <c r="N4463" s="4">
        <f>IFERROR(__xludf.DUMMYFUNCTION("""COMPUTED_VALUE"""),0.886)</f>
        <v>0.886</v>
      </c>
      <c r="O4463" s="4">
        <f>IFERROR(__xludf.DUMMYFUNCTION("""COMPUTED_VALUE"""),38.4)</f>
        <v>38.4</v>
      </c>
      <c r="P4463" s="4">
        <f>IFERROR(__xludf.DUMMYFUNCTION("""COMPUTED_VALUE"""),24.3)</f>
        <v>24.3</v>
      </c>
      <c r="Q4463" s="4">
        <f>IFERROR(__xludf.DUMMYFUNCTION("""COMPUTED_VALUE"""),10.0)</f>
        <v>10</v>
      </c>
      <c r="R4463" s="4">
        <f>IFERROR(__xludf.DUMMYFUNCTION("""COMPUTED_VALUE"""),6.3)</f>
        <v>6.3</v>
      </c>
      <c r="S4463" s="4">
        <f>IFERROR(__xludf.DUMMYFUNCTION("""COMPUTED_VALUE"""),145.8)</f>
        <v>145.8</v>
      </c>
      <c r="T4463" s="4">
        <f>IFERROR(__xludf.DUMMYFUNCTION("""COMPUTED_VALUE"""),0.203)</f>
        <v>0.203</v>
      </c>
      <c r="U4463" s="4">
        <f>IFERROR(__xludf.DUMMYFUNCTION("""COMPUTED_VALUE"""),6.9)</f>
        <v>6.9</v>
      </c>
      <c r="V4463" s="4">
        <f>IFERROR(__xludf.DUMMYFUNCTION("""COMPUTED_VALUE"""),77.2)</f>
        <v>77.2</v>
      </c>
    </row>
    <row r="4464">
      <c r="A4464" s="4">
        <f>IFERROR(__xludf.DUMMYFUNCTION("""COMPUTED_VALUE"""),7.0)</f>
        <v>7</v>
      </c>
      <c r="B4464" s="4">
        <f>IFERROR(__xludf.DUMMYFUNCTION("""COMPUTED_VALUE"""),7.0)</f>
        <v>7</v>
      </c>
      <c r="C4464" s="4" t="str">
        <f>IFERROR(__xludf.DUMMYFUNCTION("""COMPUTED_VALUE"""),"POR")</f>
        <v>POR</v>
      </c>
      <c r="D4464" s="4" t="str">
        <f>IFERROR(__xludf.DUMMYFUNCTION("""COMPUTED_VALUE"""),"Ron Brewer")</f>
        <v>Ron Brewer</v>
      </c>
      <c r="E4464" s="4" t="str">
        <f>IFERROR(__xludf.DUMMYFUNCTION("""COMPUTED_VALUE"""),"Arkansas")</f>
        <v>Arkansas</v>
      </c>
      <c r="F4464" s="4">
        <f>IFERROR(__xludf.DUMMYFUNCTION("""COMPUTED_VALUE"""),8.0)</f>
        <v>8</v>
      </c>
      <c r="G4464" s="4">
        <f>IFERROR(__xludf.DUMMYFUNCTION("""COMPUTED_VALUE"""),501.0)</f>
        <v>501</v>
      </c>
      <c r="H4464" s="4">
        <f>IFERROR(__xludf.DUMMYFUNCTION("""COMPUTED_VALUE"""),12892.0)</f>
        <v>12892</v>
      </c>
      <c r="I4464" s="4">
        <f>IFERROR(__xludf.DUMMYFUNCTION("""COMPUTED_VALUE"""),5971.0)</f>
        <v>5971</v>
      </c>
      <c r="J4464" s="4">
        <f>IFERROR(__xludf.DUMMYFUNCTION("""COMPUTED_VALUE"""),971.0)</f>
        <v>971</v>
      </c>
      <c r="K4464" s="4">
        <f>IFERROR(__xludf.DUMMYFUNCTION("""COMPUTED_VALUE"""),920.0)</f>
        <v>920</v>
      </c>
      <c r="L4464" s="4">
        <f>IFERROR(__xludf.DUMMYFUNCTION("""COMPUTED_VALUE"""),0.459)</f>
        <v>0.459</v>
      </c>
      <c r="M4464" s="4"/>
      <c r="N4464" s="4">
        <f>IFERROR(__xludf.DUMMYFUNCTION("""COMPUTED_VALUE"""),0.824)</f>
        <v>0.824</v>
      </c>
      <c r="O4464" s="4">
        <f>IFERROR(__xludf.DUMMYFUNCTION("""COMPUTED_VALUE"""),25.7)</f>
        <v>25.7</v>
      </c>
      <c r="P4464" s="4">
        <f>IFERROR(__xludf.DUMMYFUNCTION("""COMPUTED_VALUE"""),11.9)</f>
        <v>11.9</v>
      </c>
      <c r="Q4464" s="4">
        <f>IFERROR(__xludf.DUMMYFUNCTION("""COMPUTED_VALUE"""),1.9)</f>
        <v>1.9</v>
      </c>
      <c r="R4464" s="4">
        <f>IFERROR(__xludf.DUMMYFUNCTION("""COMPUTED_VALUE"""),1.8)</f>
        <v>1.8</v>
      </c>
      <c r="S4464" s="4">
        <f>IFERROR(__xludf.DUMMYFUNCTION("""COMPUTED_VALUE"""),17.3)</f>
        <v>17.3</v>
      </c>
      <c r="T4464" s="4">
        <f>IFERROR(__xludf.DUMMYFUNCTION("""COMPUTED_VALUE"""),0.065)</f>
        <v>0.065</v>
      </c>
      <c r="U4464" s="4">
        <f>IFERROR(__xludf.DUMMYFUNCTION("""COMPUTED_VALUE"""),-1.3)</f>
        <v>-1.3</v>
      </c>
      <c r="V4464" s="4">
        <f>IFERROR(__xludf.DUMMYFUNCTION("""COMPUTED_VALUE"""),2.4)</f>
        <v>2.4</v>
      </c>
    </row>
    <row r="4465">
      <c r="A4465" s="4">
        <f>IFERROR(__xludf.DUMMYFUNCTION("""COMPUTED_VALUE"""),8.0)</f>
        <v>8</v>
      </c>
      <c r="B4465" s="4">
        <f>IFERROR(__xludf.DUMMYFUNCTION("""COMPUTED_VALUE"""),8.0)</f>
        <v>8</v>
      </c>
      <c r="C4465" s="4" t="str">
        <f>IFERROR(__xludf.DUMMYFUNCTION("""COMPUTED_VALUE"""),"BOS")</f>
        <v>BOS</v>
      </c>
      <c r="D4465" s="4" t="str">
        <f>IFERROR(__xludf.DUMMYFUNCTION("""COMPUTED_VALUE"""),"Freeman Williams")</f>
        <v>Freeman Williams</v>
      </c>
      <c r="E4465" s="4" t="str">
        <f>IFERROR(__xludf.DUMMYFUNCTION("""COMPUTED_VALUE"""),"Portland State")</f>
        <v>Portland State</v>
      </c>
      <c r="F4465" s="4">
        <f>IFERROR(__xludf.DUMMYFUNCTION("""COMPUTED_VALUE"""),6.0)</f>
        <v>6</v>
      </c>
      <c r="G4465" s="4">
        <f>IFERROR(__xludf.DUMMYFUNCTION("""COMPUTED_VALUE"""),323.0)</f>
        <v>323</v>
      </c>
      <c r="H4465" s="4">
        <f>IFERROR(__xludf.DUMMYFUNCTION("""COMPUTED_VALUE"""),6606.0)</f>
        <v>6606</v>
      </c>
      <c r="I4465" s="4">
        <f>IFERROR(__xludf.DUMMYFUNCTION("""COMPUTED_VALUE"""),4738.0)</f>
        <v>4738</v>
      </c>
      <c r="J4465" s="4">
        <f>IFERROR(__xludf.DUMMYFUNCTION("""COMPUTED_VALUE"""),510.0)</f>
        <v>510</v>
      </c>
      <c r="K4465" s="4">
        <f>IFERROR(__xludf.DUMMYFUNCTION("""COMPUTED_VALUE"""),516.0)</f>
        <v>516</v>
      </c>
      <c r="L4465" s="4">
        <f>IFERROR(__xludf.DUMMYFUNCTION("""COMPUTED_VALUE"""),0.467)</f>
        <v>0.467</v>
      </c>
      <c r="M4465" s="4"/>
      <c r="N4465" s="4">
        <f>IFERROR(__xludf.DUMMYFUNCTION("""COMPUTED_VALUE"""),0.824)</f>
        <v>0.824</v>
      </c>
      <c r="O4465" s="4">
        <f>IFERROR(__xludf.DUMMYFUNCTION("""COMPUTED_VALUE"""),20.5)</f>
        <v>20.5</v>
      </c>
      <c r="P4465" s="4">
        <f>IFERROR(__xludf.DUMMYFUNCTION("""COMPUTED_VALUE"""),14.7)</f>
        <v>14.7</v>
      </c>
      <c r="Q4465" s="4">
        <f>IFERROR(__xludf.DUMMYFUNCTION("""COMPUTED_VALUE"""),1.6)</f>
        <v>1.6</v>
      </c>
      <c r="R4465" s="4">
        <f>IFERROR(__xludf.DUMMYFUNCTION("""COMPUTED_VALUE"""),1.6)</f>
        <v>1.6</v>
      </c>
      <c r="S4465" s="4">
        <f>IFERROR(__xludf.DUMMYFUNCTION("""COMPUTED_VALUE"""),10.0)</f>
        <v>10</v>
      </c>
      <c r="T4465" s="4">
        <f>IFERROR(__xludf.DUMMYFUNCTION("""COMPUTED_VALUE"""),0.072)</f>
        <v>0.072</v>
      </c>
      <c r="U4465" s="4">
        <f>IFERROR(__xludf.DUMMYFUNCTION("""COMPUTED_VALUE"""),-0.5)</f>
        <v>-0.5</v>
      </c>
      <c r="V4465" s="4">
        <f>IFERROR(__xludf.DUMMYFUNCTION("""COMPUTED_VALUE"""),2.4)</f>
        <v>2.4</v>
      </c>
    </row>
    <row r="4466">
      <c r="A4466" s="4">
        <f>IFERROR(__xludf.DUMMYFUNCTION("""COMPUTED_VALUE"""),9.0)</f>
        <v>9</v>
      </c>
      <c r="B4466" s="4">
        <f>IFERROR(__xludf.DUMMYFUNCTION("""COMPUTED_VALUE"""),9.0)</f>
        <v>9</v>
      </c>
      <c r="C4466" s="4" t="str">
        <f>IFERROR(__xludf.DUMMYFUNCTION("""COMPUTED_VALUE"""),"CHI")</f>
        <v>CHI</v>
      </c>
      <c r="D4466" s="4" t="str">
        <f>IFERROR(__xludf.DUMMYFUNCTION("""COMPUTED_VALUE"""),"Reggie Theus")</f>
        <v>Reggie Theus</v>
      </c>
      <c r="E4466" s="4" t="str">
        <f>IFERROR(__xludf.DUMMYFUNCTION("""COMPUTED_VALUE"""),"UNLV")</f>
        <v>UNLV</v>
      </c>
      <c r="F4466" s="4">
        <f>IFERROR(__xludf.DUMMYFUNCTION("""COMPUTED_VALUE"""),13.0)</f>
        <v>13</v>
      </c>
      <c r="G4466" s="4">
        <f>IFERROR(__xludf.DUMMYFUNCTION("""COMPUTED_VALUE"""),1026.0)</f>
        <v>1026</v>
      </c>
      <c r="H4466" s="4">
        <f>IFERROR(__xludf.DUMMYFUNCTION("""COMPUTED_VALUE"""),34603.0)</f>
        <v>34603</v>
      </c>
      <c r="I4466" s="4">
        <f>IFERROR(__xludf.DUMMYFUNCTION("""COMPUTED_VALUE"""),19015.0)</f>
        <v>19015</v>
      </c>
      <c r="J4466" s="4">
        <f>IFERROR(__xludf.DUMMYFUNCTION("""COMPUTED_VALUE"""),3349.0)</f>
        <v>3349</v>
      </c>
      <c r="K4466" s="4">
        <f>IFERROR(__xludf.DUMMYFUNCTION("""COMPUTED_VALUE"""),6453.0)</f>
        <v>6453</v>
      </c>
      <c r="L4466" s="4">
        <f>IFERROR(__xludf.DUMMYFUNCTION("""COMPUTED_VALUE"""),0.471)</f>
        <v>0.471</v>
      </c>
      <c r="M4466" s="4"/>
      <c r="N4466" s="4">
        <f>IFERROR(__xludf.DUMMYFUNCTION("""COMPUTED_VALUE"""),0.826)</f>
        <v>0.826</v>
      </c>
      <c r="O4466" s="4">
        <f>IFERROR(__xludf.DUMMYFUNCTION("""COMPUTED_VALUE"""),33.7)</f>
        <v>33.7</v>
      </c>
      <c r="P4466" s="4">
        <f>IFERROR(__xludf.DUMMYFUNCTION("""COMPUTED_VALUE"""),18.5)</f>
        <v>18.5</v>
      </c>
      <c r="Q4466" s="4">
        <f>IFERROR(__xludf.DUMMYFUNCTION("""COMPUTED_VALUE"""),3.3)</f>
        <v>3.3</v>
      </c>
      <c r="R4466" s="4">
        <f>IFERROR(__xludf.DUMMYFUNCTION("""COMPUTED_VALUE"""),6.3)</f>
        <v>6.3</v>
      </c>
      <c r="S4466" s="4">
        <f>IFERROR(__xludf.DUMMYFUNCTION("""COMPUTED_VALUE"""),66.9)</f>
        <v>66.9</v>
      </c>
      <c r="T4466" s="4">
        <f>IFERROR(__xludf.DUMMYFUNCTION("""COMPUTED_VALUE"""),0.093)</f>
        <v>0.093</v>
      </c>
      <c r="U4466" s="4">
        <f>IFERROR(__xludf.DUMMYFUNCTION("""COMPUTED_VALUE"""),0.1)</f>
        <v>0.1</v>
      </c>
      <c r="V4466" s="4">
        <f>IFERROR(__xludf.DUMMYFUNCTION("""COMPUTED_VALUE"""),18.5)</f>
        <v>18.5</v>
      </c>
    </row>
    <row r="4467">
      <c r="A4467" s="4">
        <f>IFERROR(__xludf.DUMMYFUNCTION("""COMPUTED_VALUE"""),10.0)</f>
        <v>10</v>
      </c>
      <c r="B4467" s="4">
        <f>IFERROR(__xludf.DUMMYFUNCTION("""COMPUTED_VALUE"""),10.0)</f>
        <v>10</v>
      </c>
      <c r="C4467" s="4" t="str">
        <f>IFERROR(__xludf.DUMMYFUNCTION("""COMPUTED_VALUE"""),"ATL")</f>
        <v>ATL</v>
      </c>
      <c r="D4467" s="4" t="str">
        <f>IFERROR(__xludf.DUMMYFUNCTION("""COMPUTED_VALUE"""),"Butch Lee")</f>
        <v>Butch Lee</v>
      </c>
      <c r="E4467" s="4" t="str">
        <f>IFERROR(__xludf.DUMMYFUNCTION("""COMPUTED_VALUE"""),"Marquette")</f>
        <v>Marquette</v>
      </c>
      <c r="F4467" s="4">
        <f>IFERROR(__xludf.DUMMYFUNCTION("""COMPUTED_VALUE"""),2.0)</f>
        <v>2</v>
      </c>
      <c r="G4467" s="4">
        <f>IFERROR(__xludf.DUMMYFUNCTION("""COMPUTED_VALUE"""),96.0)</f>
        <v>96</v>
      </c>
      <c r="H4467" s="4">
        <f>IFERROR(__xludf.DUMMYFUNCTION("""COMPUTED_VALUE"""),1834.0)</f>
        <v>1834</v>
      </c>
      <c r="I4467" s="4">
        <f>IFERROR(__xludf.DUMMYFUNCTION("""COMPUTED_VALUE"""),773.0)</f>
        <v>773</v>
      </c>
      <c r="J4467" s="4">
        <f>IFERROR(__xludf.DUMMYFUNCTION("""COMPUTED_VALUE"""),137.0)</f>
        <v>137</v>
      </c>
      <c r="K4467" s="4">
        <f>IFERROR(__xludf.DUMMYFUNCTION("""COMPUTED_VALUE"""),307.0)</f>
        <v>307</v>
      </c>
      <c r="L4467" s="4">
        <f>IFERROR(__xludf.DUMMYFUNCTION("""COMPUTED_VALUE"""),0.45)</f>
        <v>0.45</v>
      </c>
      <c r="M4467" s="4"/>
      <c r="N4467" s="4">
        <f>IFERROR(__xludf.DUMMYFUNCTION("""COMPUTED_VALUE"""),0.761)</f>
        <v>0.761</v>
      </c>
      <c r="O4467" s="4">
        <f>IFERROR(__xludf.DUMMYFUNCTION("""COMPUTED_VALUE"""),19.1)</f>
        <v>19.1</v>
      </c>
      <c r="P4467" s="4">
        <f>IFERROR(__xludf.DUMMYFUNCTION("""COMPUTED_VALUE"""),8.1)</f>
        <v>8.1</v>
      </c>
      <c r="Q4467" s="4">
        <f>IFERROR(__xludf.DUMMYFUNCTION("""COMPUTED_VALUE"""),1.4)</f>
        <v>1.4</v>
      </c>
      <c r="R4467" s="4">
        <f>IFERROR(__xludf.DUMMYFUNCTION("""COMPUTED_VALUE"""),3.2)</f>
        <v>3.2</v>
      </c>
      <c r="S4467" s="4">
        <f>IFERROR(__xludf.DUMMYFUNCTION("""COMPUTED_VALUE"""),2.4)</f>
        <v>2.4</v>
      </c>
      <c r="T4467" s="4">
        <f>IFERROR(__xludf.DUMMYFUNCTION("""COMPUTED_VALUE"""),0.062)</f>
        <v>0.062</v>
      </c>
      <c r="U4467" s="4">
        <f>IFERROR(__xludf.DUMMYFUNCTION("""COMPUTED_VALUE"""),-1.2)</f>
        <v>-1.2</v>
      </c>
      <c r="V4467" s="4">
        <f>IFERROR(__xludf.DUMMYFUNCTION("""COMPUTED_VALUE"""),0.3)</f>
        <v>0.3</v>
      </c>
    </row>
    <row r="4468">
      <c r="A4468" s="4">
        <f>IFERROR(__xludf.DUMMYFUNCTION("""COMPUTED_VALUE"""),11.0)</f>
        <v>11</v>
      </c>
      <c r="B4468" s="4">
        <f>IFERROR(__xludf.DUMMYFUNCTION("""COMPUTED_VALUE"""),11.0)</f>
        <v>11</v>
      </c>
      <c r="C4468" s="4" t="str">
        <f>IFERROR(__xludf.DUMMYFUNCTION("""COMPUTED_VALUE"""),"NOJ")</f>
        <v>NOJ</v>
      </c>
      <c r="D4468" s="4" t="str">
        <f>IFERROR(__xludf.DUMMYFUNCTION("""COMPUTED_VALUE"""),"James Hardy")</f>
        <v>James Hardy</v>
      </c>
      <c r="E4468" s="4" t="str">
        <f>IFERROR(__xludf.DUMMYFUNCTION("""COMPUTED_VALUE"""),"San Francisco")</f>
        <v>San Francisco</v>
      </c>
      <c r="F4468" s="4">
        <f>IFERROR(__xludf.DUMMYFUNCTION("""COMPUTED_VALUE"""),4.0)</f>
        <v>4</v>
      </c>
      <c r="G4468" s="4">
        <f>IFERROR(__xludf.DUMMYFUNCTION("""COMPUTED_VALUE"""),249.0)</f>
        <v>249</v>
      </c>
      <c r="H4468" s="4">
        <f>IFERROR(__xludf.DUMMYFUNCTION("""COMPUTED_VALUE"""),5379.0)</f>
        <v>5379</v>
      </c>
      <c r="I4468" s="4">
        <f>IFERROR(__xludf.DUMMYFUNCTION("""COMPUTED_VALUE"""),1410.0)</f>
        <v>1410</v>
      </c>
      <c r="J4468" s="4">
        <f>IFERROR(__xludf.DUMMYFUNCTION("""COMPUTED_VALUE"""),1312.0)</f>
        <v>1312</v>
      </c>
      <c r="K4468" s="4">
        <f>IFERROR(__xludf.DUMMYFUNCTION("""COMPUTED_VALUE"""),315.0)</f>
        <v>315</v>
      </c>
      <c r="L4468" s="4">
        <f>IFERROR(__xludf.DUMMYFUNCTION("""COMPUTED_VALUE"""),0.481)</f>
        <v>0.481</v>
      </c>
      <c r="M4468" s="4"/>
      <c r="N4468" s="4">
        <f>IFERROR(__xludf.DUMMYFUNCTION("""COMPUTED_VALUE"""),0.7)</f>
        <v>0.7</v>
      </c>
      <c r="O4468" s="4">
        <f>IFERROR(__xludf.DUMMYFUNCTION("""COMPUTED_VALUE"""),21.6)</f>
        <v>21.6</v>
      </c>
      <c r="P4468" s="4">
        <f>IFERROR(__xludf.DUMMYFUNCTION("""COMPUTED_VALUE"""),5.7)</f>
        <v>5.7</v>
      </c>
      <c r="Q4468" s="4">
        <f>IFERROR(__xludf.DUMMYFUNCTION("""COMPUTED_VALUE"""),5.3)</f>
        <v>5.3</v>
      </c>
      <c r="R4468" s="4">
        <f>IFERROR(__xludf.DUMMYFUNCTION("""COMPUTED_VALUE"""),1.3)</f>
        <v>1.3</v>
      </c>
      <c r="S4468" s="4">
        <f>IFERROR(__xludf.DUMMYFUNCTION("""COMPUTED_VALUE"""),6.3)</f>
        <v>6.3</v>
      </c>
      <c r="T4468" s="4">
        <f>IFERROR(__xludf.DUMMYFUNCTION("""COMPUTED_VALUE"""),0.056)</f>
        <v>0.056</v>
      </c>
      <c r="U4468" s="4">
        <f>IFERROR(__xludf.DUMMYFUNCTION("""COMPUTED_VALUE"""),-1.2)</f>
        <v>-1.2</v>
      </c>
      <c r="V4468" s="4">
        <f>IFERROR(__xludf.DUMMYFUNCTION("""COMPUTED_VALUE"""),1.0)</f>
        <v>1</v>
      </c>
    </row>
    <row r="4469">
      <c r="A4469" s="4">
        <f>IFERROR(__xludf.DUMMYFUNCTION("""COMPUTED_VALUE"""),12.0)</f>
        <v>12</v>
      </c>
      <c r="B4469" s="4">
        <f>IFERROR(__xludf.DUMMYFUNCTION("""COMPUTED_VALUE"""),12.0)</f>
        <v>12</v>
      </c>
      <c r="C4469" s="4" t="str">
        <f>IFERROR(__xludf.DUMMYFUNCTION("""COMPUTED_VALUE"""),"MIL")</f>
        <v>MIL</v>
      </c>
      <c r="D4469" s="4" t="str">
        <f>IFERROR(__xludf.DUMMYFUNCTION("""COMPUTED_VALUE"""),"George Johnson")</f>
        <v>George Johnson</v>
      </c>
      <c r="E4469" s="4" t="str">
        <f>IFERROR(__xludf.DUMMYFUNCTION("""COMPUTED_VALUE"""),"St. John's")</f>
        <v>St. John's</v>
      </c>
      <c r="F4469" s="4">
        <f>IFERROR(__xludf.DUMMYFUNCTION("""COMPUTED_VALUE"""),8.0)</f>
        <v>8</v>
      </c>
      <c r="G4469" s="4">
        <f>IFERROR(__xludf.DUMMYFUNCTION("""COMPUTED_VALUE"""),464.0)</f>
        <v>464</v>
      </c>
      <c r="H4469" s="4">
        <f>IFERROR(__xludf.DUMMYFUNCTION("""COMPUTED_VALUE"""),9878.0)</f>
        <v>9878</v>
      </c>
      <c r="I4469" s="4">
        <f>IFERROR(__xludf.DUMMYFUNCTION("""COMPUTED_VALUE"""),4214.0)</f>
        <v>4214</v>
      </c>
      <c r="J4469" s="4">
        <f>IFERROR(__xludf.DUMMYFUNCTION("""COMPUTED_VALUE"""),2610.0)</f>
        <v>2610</v>
      </c>
      <c r="K4469" s="4">
        <f>IFERROR(__xludf.DUMMYFUNCTION("""COMPUTED_VALUE"""),817.0)</f>
        <v>817</v>
      </c>
      <c r="L4469" s="4">
        <f>IFERROR(__xludf.DUMMYFUNCTION("""COMPUTED_VALUE"""),0.463)</f>
        <v>0.463</v>
      </c>
      <c r="M4469" s="4"/>
      <c r="N4469" s="4">
        <f>IFERROR(__xludf.DUMMYFUNCTION("""COMPUTED_VALUE"""),0.779)</f>
        <v>0.779</v>
      </c>
      <c r="O4469" s="4">
        <f>IFERROR(__xludf.DUMMYFUNCTION("""COMPUTED_VALUE"""),21.3)</f>
        <v>21.3</v>
      </c>
      <c r="P4469" s="4">
        <f>IFERROR(__xludf.DUMMYFUNCTION("""COMPUTED_VALUE"""),9.1)</f>
        <v>9.1</v>
      </c>
      <c r="Q4469" s="4">
        <f>IFERROR(__xludf.DUMMYFUNCTION("""COMPUTED_VALUE"""),5.6)</f>
        <v>5.6</v>
      </c>
      <c r="R4469" s="4">
        <f>IFERROR(__xludf.DUMMYFUNCTION("""COMPUTED_VALUE"""),1.8)</f>
        <v>1.8</v>
      </c>
      <c r="S4469" s="4">
        <f>IFERROR(__xludf.DUMMYFUNCTION("""COMPUTED_VALUE"""),14.1)</f>
        <v>14.1</v>
      </c>
      <c r="T4469" s="4">
        <f>IFERROR(__xludf.DUMMYFUNCTION("""COMPUTED_VALUE"""),0.068)</f>
        <v>0.068</v>
      </c>
      <c r="U4469" s="4">
        <f>IFERROR(__xludf.DUMMYFUNCTION("""COMPUTED_VALUE"""),-1.4)</f>
        <v>-1.4</v>
      </c>
      <c r="V4469" s="4">
        <f>IFERROR(__xludf.DUMMYFUNCTION("""COMPUTED_VALUE"""),1.4)</f>
        <v>1.4</v>
      </c>
    </row>
    <row r="4470">
      <c r="A4470" s="4">
        <f>IFERROR(__xludf.DUMMYFUNCTION("""COMPUTED_VALUE"""),13.0)</f>
        <v>13</v>
      </c>
      <c r="B4470" s="4">
        <f>IFERROR(__xludf.DUMMYFUNCTION("""COMPUTED_VALUE"""),13.0)</f>
        <v>13</v>
      </c>
      <c r="C4470" s="4" t="str">
        <f>IFERROR(__xludf.DUMMYFUNCTION("""COMPUTED_VALUE"""),"NJN")</f>
        <v>NJN</v>
      </c>
      <c r="D4470" s="4" t="str">
        <f>IFERROR(__xludf.DUMMYFUNCTION("""COMPUTED_VALUE"""),"Winford Boynes")</f>
        <v>Winford Boynes</v>
      </c>
      <c r="E4470" s="4" t="str">
        <f>IFERROR(__xludf.DUMMYFUNCTION("""COMPUTED_VALUE"""),"San Francisco")</f>
        <v>San Francisco</v>
      </c>
      <c r="F4470" s="4">
        <f>IFERROR(__xludf.DUMMYFUNCTION("""COMPUTED_VALUE"""),3.0)</f>
        <v>3</v>
      </c>
      <c r="G4470" s="4">
        <f>IFERROR(__xludf.DUMMYFUNCTION("""COMPUTED_VALUE"""),177.0)</f>
        <v>177</v>
      </c>
      <c r="H4470" s="4">
        <f>IFERROR(__xludf.DUMMYFUNCTION("""COMPUTED_VALUE"""),3035.0)</f>
        <v>3035</v>
      </c>
      <c r="I4470" s="4">
        <f>IFERROR(__xludf.DUMMYFUNCTION("""COMPUTED_VALUE"""),1478.0)</f>
        <v>1478</v>
      </c>
      <c r="J4470" s="4">
        <f>IFERROR(__xludf.DUMMYFUNCTION("""COMPUTED_VALUE"""),363.0)</f>
        <v>363</v>
      </c>
      <c r="K4470" s="4">
        <f>IFERROR(__xludf.DUMMYFUNCTION("""COMPUTED_VALUE"""),207.0)</f>
        <v>207</v>
      </c>
      <c r="L4470" s="4">
        <f>IFERROR(__xludf.DUMMYFUNCTION("""COMPUTED_VALUE"""),0.435)</f>
        <v>0.435</v>
      </c>
      <c r="M4470" s="4"/>
      <c r="N4470" s="4">
        <f>IFERROR(__xludf.DUMMYFUNCTION("""COMPUTED_VALUE"""),0.783)</f>
        <v>0.783</v>
      </c>
      <c r="O4470" s="4">
        <f>IFERROR(__xludf.DUMMYFUNCTION("""COMPUTED_VALUE"""),17.1)</f>
        <v>17.1</v>
      </c>
      <c r="P4470" s="4">
        <f>IFERROR(__xludf.DUMMYFUNCTION("""COMPUTED_VALUE"""),8.4)</f>
        <v>8.4</v>
      </c>
      <c r="Q4470" s="4">
        <f>IFERROR(__xludf.DUMMYFUNCTION("""COMPUTED_VALUE"""),2.1)</f>
        <v>2.1</v>
      </c>
      <c r="R4470" s="4">
        <f>IFERROR(__xludf.DUMMYFUNCTION("""COMPUTED_VALUE"""),1.2)</f>
        <v>1.2</v>
      </c>
      <c r="S4470" s="4">
        <f>IFERROR(__xludf.DUMMYFUNCTION("""COMPUTED_VALUE"""),0.9)</f>
        <v>0.9</v>
      </c>
      <c r="T4470" s="4">
        <f>IFERROR(__xludf.DUMMYFUNCTION("""COMPUTED_VALUE"""),0.014)</f>
        <v>0.014</v>
      </c>
      <c r="U4470" s="4">
        <f>IFERROR(__xludf.DUMMYFUNCTION("""COMPUTED_VALUE"""),-3.7)</f>
        <v>-3.7</v>
      </c>
      <c r="V4470" s="4">
        <f>IFERROR(__xludf.DUMMYFUNCTION("""COMPUTED_VALUE"""),-1.3)</f>
        <v>-1.3</v>
      </c>
    </row>
    <row r="4471">
      <c r="A4471" s="4">
        <f>IFERROR(__xludf.DUMMYFUNCTION("""COMPUTED_VALUE"""),14.0)</f>
        <v>14</v>
      </c>
      <c r="B4471" s="4">
        <f>IFERROR(__xludf.DUMMYFUNCTION("""COMPUTED_VALUE"""),14.0)</f>
        <v>14</v>
      </c>
      <c r="C4471" s="4" t="str">
        <f>IFERROR(__xludf.DUMMYFUNCTION("""COMPUTED_VALUE"""),"WSB")</f>
        <v>WSB</v>
      </c>
      <c r="D4471" s="4" t="str">
        <f>IFERROR(__xludf.DUMMYFUNCTION("""COMPUTED_VALUE"""),"Roger Phegley")</f>
        <v>Roger Phegley</v>
      </c>
      <c r="E4471" s="4" t="str">
        <f>IFERROR(__xludf.DUMMYFUNCTION("""COMPUTED_VALUE"""),"Bradley")</f>
        <v>Bradley</v>
      </c>
      <c r="F4471" s="4">
        <f>IFERROR(__xludf.DUMMYFUNCTION("""COMPUTED_VALUE"""),6.0)</f>
        <v>6</v>
      </c>
      <c r="G4471" s="4">
        <f>IFERROR(__xludf.DUMMYFUNCTION("""COMPUTED_VALUE"""),345.0)</f>
        <v>345</v>
      </c>
      <c r="H4471" s="4">
        <f>IFERROR(__xludf.DUMMYFUNCTION("""COMPUTED_VALUE"""),5803.0)</f>
        <v>5803</v>
      </c>
      <c r="I4471" s="4">
        <f>IFERROR(__xludf.DUMMYFUNCTION("""COMPUTED_VALUE"""),3011.0)</f>
        <v>3011</v>
      </c>
      <c r="J4471" s="4">
        <f>IFERROR(__xludf.DUMMYFUNCTION("""COMPUTED_VALUE"""),702.0)</f>
        <v>702</v>
      </c>
      <c r="K4471" s="4">
        <f>IFERROR(__xludf.DUMMYFUNCTION("""COMPUTED_VALUE"""),486.0)</f>
        <v>486</v>
      </c>
      <c r="L4471" s="4">
        <f>IFERROR(__xludf.DUMMYFUNCTION("""COMPUTED_VALUE"""),0.47)</f>
        <v>0.47</v>
      </c>
      <c r="M4471" s="4"/>
      <c r="N4471" s="4">
        <f>IFERROR(__xludf.DUMMYFUNCTION("""COMPUTED_VALUE"""),0.834)</f>
        <v>0.834</v>
      </c>
      <c r="O4471" s="4">
        <f>IFERROR(__xludf.DUMMYFUNCTION("""COMPUTED_VALUE"""),16.8)</f>
        <v>16.8</v>
      </c>
      <c r="P4471" s="4">
        <f>IFERROR(__xludf.DUMMYFUNCTION("""COMPUTED_VALUE"""),8.7)</f>
        <v>8.7</v>
      </c>
      <c r="Q4471" s="4">
        <f>IFERROR(__xludf.DUMMYFUNCTION("""COMPUTED_VALUE"""),2.0)</f>
        <v>2</v>
      </c>
      <c r="R4471" s="4">
        <f>IFERROR(__xludf.DUMMYFUNCTION("""COMPUTED_VALUE"""),1.4)</f>
        <v>1.4</v>
      </c>
      <c r="S4471" s="4">
        <f>IFERROR(__xludf.DUMMYFUNCTION("""COMPUTED_VALUE"""),8.5)</f>
        <v>8.5</v>
      </c>
      <c r="T4471" s="4">
        <f>IFERROR(__xludf.DUMMYFUNCTION("""COMPUTED_VALUE"""),0.071)</f>
        <v>0.071</v>
      </c>
      <c r="U4471" s="4">
        <f>IFERROR(__xludf.DUMMYFUNCTION("""COMPUTED_VALUE"""),-2.0)</f>
        <v>-2</v>
      </c>
      <c r="V4471" s="4">
        <f>IFERROR(__xludf.DUMMYFUNCTION("""COMPUTED_VALUE"""),0.0)</f>
        <v>0</v>
      </c>
    </row>
    <row r="4472">
      <c r="A4472" s="4">
        <f>IFERROR(__xludf.DUMMYFUNCTION("""COMPUTED_VALUE"""),15.0)</f>
        <v>15</v>
      </c>
      <c r="B4472" s="4">
        <f>IFERROR(__xludf.DUMMYFUNCTION("""COMPUTED_VALUE"""),15.0)</f>
        <v>15</v>
      </c>
      <c r="C4472" s="4" t="str">
        <f>IFERROR(__xludf.DUMMYFUNCTION("""COMPUTED_VALUE"""),"CLE")</f>
        <v>CLE</v>
      </c>
      <c r="D4472" s="4" t="str">
        <f>IFERROR(__xludf.DUMMYFUNCTION("""COMPUTED_VALUE"""),"Mike Mitchell")</f>
        <v>Mike Mitchell</v>
      </c>
      <c r="E4472" s="4" t="str">
        <f>IFERROR(__xludf.DUMMYFUNCTION("""COMPUTED_VALUE"""),"Auburn")</f>
        <v>Auburn</v>
      </c>
      <c r="F4472" s="4">
        <f>IFERROR(__xludf.DUMMYFUNCTION("""COMPUTED_VALUE"""),10.0)</f>
        <v>10</v>
      </c>
      <c r="G4472" s="4">
        <f>IFERROR(__xludf.DUMMYFUNCTION("""COMPUTED_VALUE"""),759.0)</f>
        <v>759</v>
      </c>
      <c r="H4472" s="4">
        <f>IFERROR(__xludf.DUMMYFUNCTION("""COMPUTED_VALUE"""),24537.0)</f>
        <v>24537</v>
      </c>
      <c r="I4472" s="4">
        <f>IFERROR(__xludf.DUMMYFUNCTION("""COMPUTED_VALUE"""),15016.0)</f>
        <v>15016</v>
      </c>
      <c r="J4472" s="4">
        <f>IFERROR(__xludf.DUMMYFUNCTION("""COMPUTED_VALUE"""),4246.0)</f>
        <v>4246</v>
      </c>
      <c r="K4472" s="4">
        <f>IFERROR(__xludf.DUMMYFUNCTION("""COMPUTED_VALUE"""),1010.0)</f>
        <v>1010</v>
      </c>
      <c r="L4472" s="4">
        <f>IFERROR(__xludf.DUMMYFUNCTION("""COMPUTED_VALUE"""),0.493)</f>
        <v>0.493</v>
      </c>
      <c r="M4472" s="4"/>
      <c r="N4472" s="4">
        <f>IFERROR(__xludf.DUMMYFUNCTION("""COMPUTED_VALUE"""),0.779)</f>
        <v>0.779</v>
      </c>
      <c r="O4472" s="4">
        <f>IFERROR(__xludf.DUMMYFUNCTION("""COMPUTED_VALUE"""),32.3)</f>
        <v>32.3</v>
      </c>
      <c r="P4472" s="4">
        <f>IFERROR(__xludf.DUMMYFUNCTION("""COMPUTED_VALUE"""),19.8)</f>
        <v>19.8</v>
      </c>
      <c r="Q4472" s="4">
        <f>IFERROR(__xludf.DUMMYFUNCTION("""COMPUTED_VALUE"""),5.6)</f>
        <v>5.6</v>
      </c>
      <c r="R4472" s="4">
        <f>IFERROR(__xludf.DUMMYFUNCTION("""COMPUTED_VALUE"""),1.3)</f>
        <v>1.3</v>
      </c>
      <c r="S4472" s="4">
        <f>IFERROR(__xludf.DUMMYFUNCTION("""COMPUTED_VALUE"""),50.2)</f>
        <v>50.2</v>
      </c>
      <c r="T4472" s="4">
        <f>IFERROR(__xludf.DUMMYFUNCTION("""COMPUTED_VALUE"""),0.098)</f>
        <v>0.098</v>
      </c>
      <c r="U4472" s="4">
        <f>IFERROR(__xludf.DUMMYFUNCTION("""COMPUTED_VALUE"""),-1.2)</f>
        <v>-1.2</v>
      </c>
      <c r="V4472" s="4">
        <f>IFERROR(__xludf.DUMMYFUNCTION("""COMPUTED_VALUE"""),5.2)</f>
        <v>5.2</v>
      </c>
    </row>
    <row r="4473">
      <c r="A4473" s="4">
        <f>IFERROR(__xludf.DUMMYFUNCTION("""COMPUTED_VALUE"""),16.0)</f>
        <v>16</v>
      </c>
      <c r="B4473" s="4">
        <f>IFERROR(__xludf.DUMMYFUNCTION("""COMPUTED_VALUE"""),16.0)</f>
        <v>16</v>
      </c>
      <c r="C4473" s="4" t="str">
        <f>IFERROR(__xludf.DUMMYFUNCTION("""COMPUTED_VALUE"""),"ATL")</f>
        <v>ATL</v>
      </c>
      <c r="D4473" s="4" t="str">
        <f>IFERROR(__xludf.DUMMYFUNCTION("""COMPUTED_VALUE"""),"Jack Givens")</f>
        <v>Jack Givens</v>
      </c>
      <c r="E4473" s="4" t="str">
        <f>IFERROR(__xludf.DUMMYFUNCTION("""COMPUTED_VALUE"""),"Kentucky")</f>
        <v>Kentucky</v>
      </c>
      <c r="F4473" s="4">
        <f>IFERROR(__xludf.DUMMYFUNCTION("""COMPUTED_VALUE"""),2.0)</f>
        <v>2</v>
      </c>
      <c r="G4473" s="4">
        <f>IFERROR(__xludf.DUMMYFUNCTION("""COMPUTED_VALUE"""),156.0)</f>
        <v>156</v>
      </c>
      <c r="H4473" s="4">
        <f>IFERROR(__xludf.DUMMYFUNCTION("""COMPUTED_VALUE"""),2601.0)</f>
        <v>2601</v>
      </c>
      <c r="I4473" s="4">
        <f>IFERROR(__xludf.DUMMYFUNCTION("""COMPUTED_VALUE"""),1040.0)</f>
        <v>1040</v>
      </c>
      <c r="J4473" s="4">
        <f>IFERROR(__xludf.DUMMYFUNCTION("""COMPUTED_VALUE"""),456.0)</f>
        <v>456</v>
      </c>
      <c r="K4473" s="4">
        <f>IFERROR(__xludf.DUMMYFUNCTION("""COMPUTED_VALUE"""),142.0)</f>
        <v>142</v>
      </c>
      <c r="L4473" s="4">
        <f>IFERROR(__xludf.DUMMYFUNCTION("""COMPUTED_VALUE"""),0.401)</f>
        <v>0.401</v>
      </c>
      <c r="M4473" s="4"/>
      <c r="N4473" s="4">
        <f>IFERROR(__xludf.DUMMYFUNCTION("""COMPUTED_VALUE"""),0.791)</f>
        <v>0.791</v>
      </c>
      <c r="O4473" s="4">
        <f>IFERROR(__xludf.DUMMYFUNCTION("""COMPUTED_VALUE"""),16.7)</f>
        <v>16.7</v>
      </c>
      <c r="P4473" s="4">
        <f>IFERROR(__xludf.DUMMYFUNCTION("""COMPUTED_VALUE"""),6.7)</f>
        <v>6.7</v>
      </c>
      <c r="Q4473" s="4">
        <f>IFERROR(__xludf.DUMMYFUNCTION("""COMPUTED_VALUE"""),2.9)</f>
        <v>2.9</v>
      </c>
      <c r="R4473" s="4">
        <f>IFERROR(__xludf.DUMMYFUNCTION("""COMPUTED_VALUE"""),0.9)</f>
        <v>0.9</v>
      </c>
      <c r="S4473" s="4">
        <f>IFERROR(__xludf.DUMMYFUNCTION("""COMPUTED_VALUE"""),4.3)</f>
        <v>4.3</v>
      </c>
      <c r="T4473" s="4">
        <f>IFERROR(__xludf.DUMMYFUNCTION("""COMPUTED_VALUE"""),0.079)</f>
        <v>0.079</v>
      </c>
      <c r="U4473" s="4">
        <f>IFERROR(__xludf.DUMMYFUNCTION("""COMPUTED_VALUE"""),-1.1)</f>
        <v>-1.1</v>
      </c>
      <c r="V4473" s="4">
        <f>IFERROR(__xludf.DUMMYFUNCTION("""COMPUTED_VALUE"""),0.6)</f>
        <v>0.6</v>
      </c>
    </row>
    <row r="4474">
      <c r="A4474" s="4">
        <f>IFERROR(__xludf.DUMMYFUNCTION("""COMPUTED_VALUE"""),17.0)</f>
        <v>17</v>
      </c>
      <c r="B4474" s="4">
        <f>IFERROR(__xludf.DUMMYFUNCTION("""COMPUTED_VALUE"""),17.0)</f>
        <v>17</v>
      </c>
      <c r="C4474" s="4" t="str">
        <f>IFERROR(__xludf.DUMMYFUNCTION("""COMPUTED_VALUE"""),"DEN")</f>
        <v>DEN</v>
      </c>
      <c r="D4474" s="4" t="str">
        <f>IFERROR(__xludf.DUMMYFUNCTION("""COMPUTED_VALUE"""),"Rod Griffin")</f>
        <v>Rod Griffin</v>
      </c>
      <c r="E4474" s="4" t="str">
        <f>IFERROR(__xludf.DUMMYFUNCTION("""COMPUTED_VALUE"""),"Wake Forest")</f>
        <v>Wake Forest</v>
      </c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</row>
    <row r="4475">
      <c r="A4475" s="4">
        <f>IFERROR(__xludf.DUMMYFUNCTION("""COMPUTED_VALUE"""),18.0)</f>
        <v>18</v>
      </c>
      <c r="B4475" s="4">
        <f>IFERROR(__xludf.DUMMYFUNCTION("""COMPUTED_VALUE"""),18.0)</f>
        <v>18</v>
      </c>
      <c r="C4475" s="4" t="str">
        <f>IFERROR(__xludf.DUMMYFUNCTION("""COMPUTED_VALUE"""),"WSB")</f>
        <v>WSB</v>
      </c>
      <c r="D4475" s="4" t="str">
        <f>IFERROR(__xludf.DUMMYFUNCTION("""COMPUTED_VALUE"""),"Dave Corzine")</f>
        <v>Dave Corzine</v>
      </c>
      <c r="E4475" s="4" t="str">
        <f>IFERROR(__xludf.DUMMYFUNCTION("""COMPUTED_VALUE"""),"DePaul")</f>
        <v>DePaul</v>
      </c>
      <c r="F4475" s="4">
        <f>IFERROR(__xludf.DUMMYFUNCTION("""COMPUTED_VALUE"""),13.0)</f>
        <v>13</v>
      </c>
      <c r="G4475" s="4">
        <f>IFERROR(__xludf.DUMMYFUNCTION("""COMPUTED_VALUE"""),891.0)</f>
        <v>891</v>
      </c>
      <c r="H4475" s="4">
        <f>IFERROR(__xludf.DUMMYFUNCTION("""COMPUTED_VALUE"""),20772.0)</f>
        <v>20772</v>
      </c>
      <c r="I4475" s="4">
        <f>IFERROR(__xludf.DUMMYFUNCTION("""COMPUTED_VALUE"""),7615.0)</f>
        <v>7615</v>
      </c>
      <c r="J4475" s="4">
        <f>IFERROR(__xludf.DUMMYFUNCTION("""COMPUTED_VALUE"""),5262.0)</f>
        <v>5262</v>
      </c>
      <c r="K4475" s="4">
        <f>IFERROR(__xludf.DUMMYFUNCTION("""COMPUTED_VALUE"""),1477.0)</f>
        <v>1477</v>
      </c>
      <c r="L4475" s="4">
        <f>IFERROR(__xludf.DUMMYFUNCTION("""COMPUTED_VALUE"""),0.484)</f>
        <v>0.484</v>
      </c>
      <c r="M4475" s="4"/>
      <c r="N4475" s="4">
        <f>IFERROR(__xludf.DUMMYFUNCTION("""COMPUTED_VALUE"""),0.747)</f>
        <v>0.747</v>
      </c>
      <c r="O4475" s="4">
        <f>IFERROR(__xludf.DUMMYFUNCTION("""COMPUTED_VALUE"""),23.3)</f>
        <v>23.3</v>
      </c>
      <c r="P4475" s="4">
        <f>IFERROR(__xludf.DUMMYFUNCTION("""COMPUTED_VALUE"""),8.5)</f>
        <v>8.5</v>
      </c>
      <c r="Q4475" s="4">
        <f>IFERROR(__xludf.DUMMYFUNCTION("""COMPUTED_VALUE"""),5.9)</f>
        <v>5.9</v>
      </c>
      <c r="R4475" s="4">
        <f>IFERROR(__xludf.DUMMYFUNCTION("""COMPUTED_VALUE"""),1.7)</f>
        <v>1.7</v>
      </c>
      <c r="S4475" s="4">
        <f>IFERROR(__xludf.DUMMYFUNCTION("""COMPUTED_VALUE"""),37.3)</f>
        <v>37.3</v>
      </c>
      <c r="T4475" s="4">
        <f>IFERROR(__xludf.DUMMYFUNCTION("""COMPUTED_VALUE"""),0.086)</f>
        <v>0.086</v>
      </c>
      <c r="U4475" s="4">
        <f>IFERROR(__xludf.DUMMYFUNCTION("""COMPUTED_VALUE"""),-0.7)</f>
        <v>-0.7</v>
      </c>
      <c r="V4475" s="4">
        <f>IFERROR(__xludf.DUMMYFUNCTION("""COMPUTED_VALUE"""),7.0)</f>
        <v>7</v>
      </c>
    </row>
    <row r="4476">
      <c r="A4476" s="4">
        <f>IFERROR(__xludf.DUMMYFUNCTION("""COMPUTED_VALUE"""),19.0)</f>
        <v>19</v>
      </c>
      <c r="B4476" s="4">
        <f>IFERROR(__xludf.DUMMYFUNCTION("""COMPUTED_VALUE"""),19.0)</f>
        <v>19</v>
      </c>
      <c r="C4476" s="4" t="str">
        <f>IFERROR(__xludf.DUMMYFUNCTION("""COMPUTED_VALUE"""),"PHO")</f>
        <v>PHO</v>
      </c>
      <c r="D4476" s="4" t="str">
        <f>IFERROR(__xludf.DUMMYFUNCTION("""COMPUTED_VALUE"""),"Marty Byrnes")</f>
        <v>Marty Byrnes</v>
      </c>
      <c r="E4476" s="4" t="str">
        <f>IFERROR(__xludf.DUMMYFUNCTION("""COMPUTED_VALUE"""),"Syracuse")</f>
        <v>Syracuse</v>
      </c>
      <c r="F4476" s="4">
        <f>IFERROR(__xludf.DUMMYFUNCTION("""COMPUTED_VALUE"""),4.0)</f>
        <v>4</v>
      </c>
      <c r="G4476" s="4">
        <f>IFERROR(__xludf.DUMMYFUNCTION("""COMPUTED_VALUE"""),263.0)</f>
        <v>263</v>
      </c>
      <c r="H4476" s="4">
        <f>IFERROR(__xludf.DUMMYFUNCTION("""COMPUTED_VALUE"""),4254.0)</f>
        <v>4254</v>
      </c>
      <c r="I4476" s="4">
        <f>IFERROR(__xludf.DUMMYFUNCTION("""COMPUTED_VALUE"""),1495.0)</f>
        <v>1495</v>
      </c>
      <c r="J4476" s="4">
        <f>IFERROR(__xludf.DUMMYFUNCTION("""COMPUTED_VALUE"""),586.0)</f>
        <v>586</v>
      </c>
      <c r="K4476" s="4">
        <f>IFERROR(__xludf.DUMMYFUNCTION("""COMPUTED_VALUE"""),409.0)</f>
        <v>409</v>
      </c>
      <c r="L4476" s="4">
        <f>IFERROR(__xludf.DUMMYFUNCTION("""COMPUTED_VALUE"""),0.463)</f>
        <v>0.463</v>
      </c>
      <c r="M4476" s="4"/>
      <c r="N4476" s="4">
        <f>IFERROR(__xludf.DUMMYFUNCTION("""COMPUTED_VALUE"""),0.736)</f>
        <v>0.736</v>
      </c>
      <c r="O4476" s="4">
        <f>IFERROR(__xludf.DUMMYFUNCTION("""COMPUTED_VALUE"""),16.2)</f>
        <v>16.2</v>
      </c>
      <c r="P4476" s="4">
        <f>IFERROR(__xludf.DUMMYFUNCTION("""COMPUTED_VALUE"""),5.7)</f>
        <v>5.7</v>
      </c>
      <c r="Q4476" s="4">
        <f>IFERROR(__xludf.DUMMYFUNCTION("""COMPUTED_VALUE"""),2.2)</f>
        <v>2.2</v>
      </c>
      <c r="R4476" s="4">
        <f>IFERROR(__xludf.DUMMYFUNCTION("""COMPUTED_VALUE"""),1.6)</f>
        <v>1.6</v>
      </c>
      <c r="S4476" s="4">
        <f>IFERROR(__xludf.DUMMYFUNCTION("""COMPUTED_VALUE"""),4.2)</f>
        <v>4.2</v>
      </c>
      <c r="T4476" s="4">
        <f>IFERROR(__xludf.DUMMYFUNCTION("""COMPUTED_VALUE"""),0.048)</f>
        <v>0.048</v>
      </c>
      <c r="U4476" s="4">
        <f>IFERROR(__xludf.DUMMYFUNCTION("""COMPUTED_VALUE"""),-2.4)</f>
        <v>-2.4</v>
      </c>
      <c r="V4476" s="4">
        <f>IFERROR(__xludf.DUMMYFUNCTION("""COMPUTED_VALUE"""),-0.5)</f>
        <v>-0.5</v>
      </c>
    </row>
    <row r="4477">
      <c r="A4477" s="4">
        <f>IFERROR(__xludf.DUMMYFUNCTION("""COMPUTED_VALUE"""),20.0)</f>
        <v>20</v>
      </c>
      <c r="B4477" s="4">
        <f>IFERROR(__xludf.DUMMYFUNCTION("""COMPUTED_VALUE"""),20.0)</f>
        <v>20</v>
      </c>
      <c r="C4477" s="4" t="str">
        <f>IFERROR(__xludf.DUMMYFUNCTION("""COMPUTED_VALUE"""),"SAS")</f>
        <v>SAS</v>
      </c>
      <c r="D4477" s="4" t="str">
        <f>IFERROR(__xludf.DUMMYFUNCTION("""COMPUTED_VALUE"""),"Frankie Sanders")</f>
        <v>Frankie Sanders</v>
      </c>
      <c r="E4477" s="4" t="str">
        <f>IFERROR(__xludf.DUMMYFUNCTION("""COMPUTED_VALUE"""),"Southern University and A&amp;M College")</f>
        <v>Southern University and A&amp;M College</v>
      </c>
      <c r="F4477" s="4">
        <f>IFERROR(__xludf.DUMMYFUNCTION("""COMPUTED_VALUE"""),2.0)</f>
        <v>2</v>
      </c>
      <c r="G4477" s="4">
        <f>IFERROR(__xludf.DUMMYFUNCTION("""COMPUTED_VALUE"""),69.0)</f>
        <v>69</v>
      </c>
      <c r="H4477" s="4">
        <f>IFERROR(__xludf.DUMMYFUNCTION("""COMPUTED_VALUE"""),665.0)</f>
        <v>665</v>
      </c>
      <c r="I4477" s="4">
        <f>IFERROR(__xludf.DUMMYFUNCTION("""COMPUTED_VALUE"""),352.0)</f>
        <v>352</v>
      </c>
      <c r="J4477" s="4">
        <f>IFERROR(__xludf.DUMMYFUNCTION("""COMPUTED_VALUE"""),131.0)</f>
        <v>131</v>
      </c>
      <c r="K4477" s="4">
        <f>IFERROR(__xludf.DUMMYFUNCTION("""COMPUTED_VALUE"""),69.0)</f>
        <v>69</v>
      </c>
      <c r="L4477" s="4">
        <f>IFERROR(__xludf.DUMMYFUNCTION("""COMPUTED_VALUE"""),0.43)</f>
        <v>0.43</v>
      </c>
      <c r="M4477" s="4"/>
      <c r="N4477" s="4">
        <f>IFERROR(__xludf.DUMMYFUNCTION("""COMPUTED_VALUE"""),0.822)</f>
        <v>0.822</v>
      </c>
      <c r="O4477" s="4">
        <f>IFERROR(__xludf.DUMMYFUNCTION("""COMPUTED_VALUE"""),9.6)</f>
        <v>9.6</v>
      </c>
      <c r="P4477" s="4">
        <f>IFERROR(__xludf.DUMMYFUNCTION("""COMPUTED_VALUE"""),5.1)</f>
        <v>5.1</v>
      </c>
      <c r="Q4477" s="4">
        <f>IFERROR(__xludf.DUMMYFUNCTION("""COMPUTED_VALUE"""),1.9)</f>
        <v>1.9</v>
      </c>
      <c r="R4477" s="4">
        <f>IFERROR(__xludf.DUMMYFUNCTION("""COMPUTED_VALUE"""),1.0)</f>
        <v>1</v>
      </c>
      <c r="S4477" s="4">
        <f>IFERROR(__xludf.DUMMYFUNCTION("""COMPUTED_VALUE"""),0.5)</f>
        <v>0.5</v>
      </c>
      <c r="T4477" s="4">
        <f>IFERROR(__xludf.DUMMYFUNCTION("""COMPUTED_VALUE"""),0.038)</f>
        <v>0.038</v>
      </c>
      <c r="U4477" s="4">
        <f>IFERROR(__xludf.DUMMYFUNCTION("""COMPUTED_VALUE"""),-2.8)</f>
        <v>-2.8</v>
      </c>
      <c r="V4477" s="4">
        <f>IFERROR(__xludf.DUMMYFUNCTION("""COMPUTED_VALUE"""),-0.1)</f>
        <v>-0.1</v>
      </c>
    </row>
    <row r="4478">
      <c r="A4478" s="4">
        <f>IFERROR(__xludf.DUMMYFUNCTION("""COMPUTED_VALUE"""),21.0)</f>
        <v>21</v>
      </c>
      <c r="B4478" s="4">
        <f>IFERROR(__xludf.DUMMYFUNCTION("""COMPUTED_VALUE"""),21.0)</f>
        <v>21</v>
      </c>
      <c r="C4478" s="4" t="str">
        <f>IFERROR(__xludf.DUMMYFUNCTION("""COMPUTED_VALUE"""),"DEN")</f>
        <v>DEN</v>
      </c>
      <c r="D4478" s="4" t="str">
        <f>IFERROR(__xludf.DUMMYFUNCTION("""COMPUTED_VALUE"""),"Mike Evans")</f>
        <v>Mike Evans</v>
      </c>
      <c r="E4478" s="4" t="str">
        <f>IFERROR(__xludf.DUMMYFUNCTION("""COMPUTED_VALUE"""),"Kansas State")</f>
        <v>Kansas State</v>
      </c>
      <c r="F4478" s="4">
        <f>IFERROR(__xludf.DUMMYFUNCTION("""COMPUTED_VALUE"""),9.0)</f>
        <v>9</v>
      </c>
      <c r="G4478" s="4">
        <f>IFERROR(__xludf.DUMMYFUNCTION("""COMPUTED_VALUE"""),591.0)</f>
        <v>591</v>
      </c>
      <c r="H4478" s="4">
        <f>IFERROR(__xludf.DUMMYFUNCTION("""COMPUTED_VALUE"""),9858.0)</f>
        <v>9858</v>
      </c>
      <c r="I4478" s="4">
        <f>IFERROR(__xludf.DUMMYFUNCTION("""COMPUTED_VALUE"""),4531.0)</f>
        <v>4531</v>
      </c>
      <c r="J4478" s="4">
        <f>IFERROR(__xludf.DUMMYFUNCTION("""COMPUTED_VALUE"""),808.0)</f>
        <v>808</v>
      </c>
      <c r="K4478" s="4">
        <f>IFERROR(__xludf.DUMMYFUNCTION("""COMPUTED_VALUE"""),1514.0)</f>
        <v>1514</v>
      </c>
      <c r="L4478" s="4">
        <f>IFERROR(__xludf.DUMMYFUNCTION("""COMPUTED_VALUE"""),0.452)</f>
        <v>0.452</v>
      </c>
      <c r="M4478" s="4">
        <f>IFERROR(__xludf.DUMMYFUNCTION("""COMPUTED_VALUE"""),0.307)</f>
        <v>0.307</v>
      </c>
      <c r="N4478" s="4">
        <f>IFERROR(__xludf.DUMMYFUNCTION("""COMPUTED_VALUE"""),0.807)</f>
        <v>0.807</v>
      </c>
      <c r="O4478" s="4">
        <f>IFERROR(__xludf.DUMMYFUNCTION("""COMPUTED_VALUE"""),16.7)</f>
        <v>16.7</v>
      </c>
      <c r="P4478" s="4">
        <f>IFERROR(__xludf.DUMMYFUNCTION("""COMPUTED_VALUE"""),7.7)</f>
        <v>7.7</v>
      </c>
      <c r="Q4478" s="4">
        <f>IFERROR(__xludf.DUMMYFUNCTION("""COMPUTED_VALUE"""),1.4)</f>
        <v>1.4</v>
      </c>
      <c r="R4478" s="4">
        <f>IFERROR(__xludf.DUMMYFUNCTION("""COMPUTED_VALUE"""),2.6)</f>
        <v>2.6</v>
      </c>
      <c r="S4478" s="4">
        <f>IFERROR(__xludf.DUMMYFUNCTION("""COMPUTED_VALUE"""),9.3)</f>
        <v>9.3</v>
      </c>
      <c r="T4478" s="4">
        <f>IFERROR(__xludf.DUMMYFUNCTION("""COMPUTED_VALUE"""),0.045)</f>
        <v>0.045</v>
      </c>
      <c r="U4478" s="4">
        <f>IFERROR(__xludf.DUMMYFUNCTION("""COMPUTED_VALUE"""),-2.4)</f>
        <v>-2.4</v>
      </c>
      <c r="V4478" s="4">
        <f>IFERROR(__xludf.DUMMYFUNCTION("""COMPUTED_VALUE"""),-1.1)</f>
        <v>-1.1</v>
      </c>
    </row>
    <row r="4479">
      <c r="A4479" s="4">
        <f>IFERROR(__xludf.DUMMYFUNCTION("""COMPUTED_VALUE"""),22.0)</f>
        <v>22</v>
      </c>
      <c r="B4479" s="4">
        <f>IFERROR(__xludf.DUMMYFUNCTION("""COMPUTED_VALUE"""),22.0)</f>
        <v>22</v>
      </c>
      <c r="C4479" s="4" t="str">
        <f>IFERROR(__xludf.DUMMYFUNCTION("""COMPUTED_VALUE"""),"GSW")</f>
        <v>GSW</v>
      </c>
      <c r="D4479" s="4" t="str">
        <f>IFERROR(__xludf.DUMMYFUNCTION("""COMPUTED_VALUE"""),"Raymond Townsend")</f>
        <v>Raymond Townsend</v>
      </c>
      <c r="E4479" s="4" t="str">
        <f>IFERROR(__xludf.DUMMYFUNCTION("""COMPUTED_VALUE"""),"UCLA")</f>
        <v>UCLA</v>
      </c>
      <c r="F4479" s="4">
        <f>IFERROR(__xludf.DUMMYFUNCTION("""COMPUTED_VALUE"""),3.0)</f>
        <v>3</v>
      </c>
      <c r="G4479" s="4">
        <f>IFERROR(__xludf.DUMMYFUNCTION("""COMPUTED_VALUE"""),154.0)</f>
        <v>154</v>
      </c>
      <c r="H4479" s="4">
        <f>IFERROR(__xludf.DUMMYFUNCTION("""COMPUTED_VALUE"""),2025.0)</f>
        <v>2025</v>
      </c>
      <c r="I4479" s="4">
        <f>IFERROR(__xludf.DUMMYFUNCTION("""COMPUTED_VALUE"""),745.0)</f>
        <v>745</v>
      </c>
      <c r="J4479" s="4">
        <f>IFERROR(__xludf.DUMMYFUNCTION("""COMPUTED_VALUE"""),157.0)</f>
        <v>157</v>
      </c>
      <c r="K4479" s="4">
        <f>IFERROR(__xludf.DUMMYFUNCTION("""COMPUTED_VALUE"""),217.0)</f>
        <v>217</v>
      </c>
      <c r="L4479" s="4">
        <f>IFERROR(__xludf.DUMMYFUNCTION("""COMPUTED_VALUE"""),0.411)</f>
        <v>0.411</v>
      </c>
      <c r="M4479" s="4"/>
      <c r="N4479" s="4">
        <f>IFERROR(__xludf.DUMMYFUNCTION("""COMPUTED_VALUE"""),0.703)</f>
        <v>0.703</v>
      </c>
      <c r="O4479" s="4">
        <f>IFERROR(__xludf.DUMMYFUNCTION("""COMPUTED_VALUE"""),13.1)</f>
        <v>13.1</v>
      </c>
      <c r="P4479" s="4">
        <f>IFERROR(__xludf.DUMMYFUNCTION("""COMPUTED_VALUE"""),4.8)</f>
        <v>4.8</v>
      </c>
      <c r="Q4479" s="4">
        <f>IFERROR(__xludf.DUMMYFUNCTION("""COMPUTED_VALUE"""),1.0)</f>
        <v>1</v>
      </c>
      <c r="R4479" s="4">
        <f>IFERROR(__xludf.DUMMYFUNCTION("""COMPUTED_VALUE"""),1.4)</f>
        <v>1.4</v>
      </c>
      <c r="S4479" s="4">
        <f>IFERROR(__xludf.DUMMYFUNCTION("""COMPUTED_VALUE"""),1.0)</f>
        <v>1</v>
      </c>
      <c r="T4479" s="4">
        <f>IFERROR(__xludf.DUMMYFUNCTION("""COMPUTED_VALUE"""),0.023)</f>
        <v>0.023</v>
      </c>
      <c r="U4479" s="4">
        <f>IFERROR(__xludf.DUMMYFUNCTION("""COMPUTED_VALUE"""),-3.1)</f>
        <v>-3.1</v>
      </c>
      <c r="V4479" s="4">
        <f>IFERROR(__xludf.DUMMYFUNCTION("""COMPUTED_VALUE"""),-0.6)</f>
        <v>-0.6</v>
      </c>
    </row>
    <row r="4480">
      <c r="A4480" s="4"/>
      <c r="B4480" s="4"/>
      <c r="C4480" s="4"/>
      <c r="D4480" s="4" t="str">
        <f>IFERROR(__xludf.DUMMYFUNCTION("""COMPUTED_VALUE"""),"Round 2")</f>
        <v>Round 2</v>
      </c>
      <c r="E4480" s="4"/>
      <c r="F4480" s="4"/>
      <c r="G4480" s="4" t="str">
        <f>IFERROR(__xludf.DUMMYFUNCTION("""COMPUTED_VALUE"""),"Totals")</f>
        <v>Totals</v>
      </c>
      <c r="H4480" s="4"/>
      <c r="I4480" s="4"/>
      <c r="J4480" s="4"/>
      <c r="K4480" s="4"/>
      <c r="L4480" s="4" t="str">
        <f>IFERROR(__xludf.DUMMYFUNCTION("""COMPUTED_VALUE"""),"Shooting")</f>
        <v>Shooting</v>
      </c>
      <c r="M4480" s="4"/>
      <c r="N4480" s="4"/>
      <c r="O4480" s="4" t="str">
        <f>IFERROR(__xludf.DUMMYFUNCTION("""COMPUTED_VALUE"""),"Per Game")</f>
        <v>Per Game</v>
      </c>
      <c r="P4480" s="4"/>
      <c r="Q4480" s="4"/>
      <c r="R4480" s="4"/>
      <c r="S4480" s="4" t="str">
        <f>IFERROR(__xludf.DUMMYFUNCTION("""COMPUTED_VALUE"""),"Advanced")</f>
        <v>Advanced</v>
      </c>
      <c r="T4480" s="4"/>
      <c r="U4480" s="4"/>
      <c r="V4480" s="4"/>
    </row>
    <row r="4481">
      <c r="A4481" s="4" t="str">
        <f>IFERROR(__xludf.DUMMYFUNCTION("""COMPUTED_VALUE"""),"Rk")</f>
        <v>Rk</v>
      </c>
      <c r="B4481" s="4" t="str">
        <f>IFERROR(__xludf.DUMMYFUNCTION("""COMPUTED_VALUE"""),"Pk")</f>
        <v>Pk</v>
      </c>
      <c r="C4481" s="4" t="str">
        <f>IFERROR(__xludf.DUMMYFUNCTION("""COMPUTED_VALUE"""),"Tm")</f>
        <v>Tm</v>
      </c>
      <c r="D4481" s="4" t="str">
        <f>IFERROR(__xludf.DUMMYFUNCTION("""COMPUTED_VALUE"""),"Player")</f>
        <v>Player</v>
      </c>
      <c r="E4481" s="4" t="str">
        <f>IFERROR(__xludf.DUMMYFUNCTION("""COMPUTED_VALUE"""),"College")</f>
        <v>College</v>
      </c>
      <c r="F4481" s="4" t="str">
        <f>IFERROR(__xludf.DUMMYFUNCTION("""COMPUTED_VALUE"""),"Yrs")</f>
        <v>Yrs</v>
      </c>
      <c r="G4481" s="4" t="str">
        <f>IFERROR(__xludf.DUMMYFUNCTION("""COMPUTED_VALUE"""),"G")</f>
        <v>G</v>
      </c>
      <c r="H4481" s="4" t="str">
        <f>IFERROR(__xludf.DUMMYFUNCTION("""COMPUTED_VALUE"""),"MP")</f>
        <v>MP</v>
      </c>
      <c r="I4481" s="4" t="str">
        <f>IFERROR(__xludf.DUMMYFUNCTION("""COMPUTED_VALUE"""),"PTS")</f>
        <v>PTS</v>
      </c>
      <c r="J4481" s="4" t="str">
        <f>IFERROR(__xludf.DUMMYFUNCTION("""COMPUTED_VALUE"""),"TRB")</f>
        <v>TRB</v>
      </c>
      <c r="K4481" s="4" t="str">
        <f>IFERROR(__xludf.DUMMYFUNCTION("""COMPUTED_VALUE"""),"AST")</f>
        <v>AST</v>
      </c>
      <c r="L4481" s="4" t="str">
        <f>IFERROR(__xludf.DUMMYFUNCTION("""COMPUTED_VALUE"""),"FG%")</f>
        <v>FG%</v>
      </c>
      <c r="M4481" s="4" t="str">
        <f>IFERROR(__xludf.DUMMYFUNCTION("""COMPUTED_VALUE"""),"3P%")</f>
        <v>3P%</v>
      </c>
      <c r="N4481" s="4" t="str">
        <f>IFERROR(__xludf.DUMMYFUNCTION("""COMPUTED_VALUE"""),"FT%")</f>
        <v>FT%</v>
      </c>
      <c r="O4481" s="4" t="str">
        <f>IFERROR(__xludf.DUMMYFUNCTION("""COMPUTED_VALUE"""),"MP")</f>
        <v>MP</v>
      </c>
      <c r="P4481" s="4" t="str">
        <f>IFERROR(__xludf.DUMMYFUNCTION("""COMPUTED_VALUE"""),"PTS")</f>
        <v>PTS</v>
      </c>
      <c r="Q4481" s="4" t="str">
        <f>IFERROR(__xludf.DUMMYFUNCTION("""COMPUTED_VALUE"""),"TRB")</f>
        <v>TRB</v>
      </c>
      <c r="R4481" s="4" t="str">
        <f>IFERROR(__xludf.DUMMYFUNCTION("""COMPUTED_VALUE"""),"AST")</f>
        <v>AST</v>
      </c>
      <c r="S4481" s="4" t="str">
        <f>IFERROR(__xludf.DUMMYFUNCTION("""COMPUTED_VALUE"""),"WS")</f>
        <v>WS</v>
      </c>
      <c r="T4481" s="4" t="str">
        <f>IFERROR(__xludf.DUMMYFUNCTION("""COMPUTED_VALUE"""),"WS/48")</f>
        <v>WS/48</v>
      </c>
      <c r="U4481" s="4" t="str">
        <f>IFERROR(__xludf.DUMMYFUNCTION("""COMPUTED_VALUE"""),"BPM")</f>
        <v>BPM</v>
      </c>
      <c r="V4481" s="4" t="str">
        <f>IFERROR(__xludf.DUMMYFUNCTION("""COMPUTED_VALUE"""),"VORP")</f>
        <v>VORP</v>
      </c>
    </row>
    <row r="4482">
      <c r="A4482" s="4">
        <f>IFERROR(__xludf.DUMMYFUNCTION("""COMPUTED_VALUE"""),23.0)</f>
        <v>23</v>
      </c>
      <c r="B4482" s="4">
        <f>IFERROR(__xludf.DUMMYFUNCTION("""COMPUTED_VALUE"""),23.0)</f>
        <v>23</v>
      </c>
      <c r="C4482" s="4" t="str">
        <f>IFERROR(__xludf.DUMMYFUNCTION("""COMPUTED_VALUE"""),"DET")</f>
        <v>DET</v>
      </c>
      <c r="D4482" s="4" t="str">
        <f>IFERROR(__xludf.DUMMYFUNCTION("""COMPUTED_VALUE"""),"Terry Tyler")</f>
        <v>Terry Tyler</v>
      </c>
      <c r="E4482" s="4" t="str">
        <f>IFERROR(__xludf.DUMMYFUNCTION("""COMPUTED_VALUE"""),"Detroit Mercy")</f>
        <v>Detroit Mercy</v>
      </c>
      <c r="F4482" s="4">
        <f>IFERROR(__xludf.DUMMYFUNCTION("""COMPUTED_VALUE"""),11.0)</f>
        <v>11</v>
      </c>
      <c r="G4482" s="4">
        <f>IFERROR(__xludf.DUMMYFUNCTION("""COMPUTED_VALUE"""),871.0)</f>
        <v>871</v>
      </c>
      <c r="H4482" s="4">
        <f>IFERROR(__xludf.DUMMYFUNCTION("""COMPUTED_VALUE"""),21740.0)</f>
        <v>21740</v>
      </c>
      <c r="I4482" s="4">
        <f>IFERROR(__xludf.DUMMYFUNCTION("""COMPUTED_VALUE"""),8868.0)</f>
        <v>8868</v>
      </c>
      <c r="J4482" s="4">
        <f>IFERROR(__xludf.DUMMYFUNCTION("""COMPUTED_VALUE"""),4675.0)</f>
        <v>4675</v>
      </c>
      <c r="K4482" s="4">
        <f>IFERROR(__xludf.DUMMYFUNCTION("""COMPUTED_VALUE"""),1039.0)</f>
        <v>1039</v>
      </c>
      <c r="L4482" s="4">
        <f>IFERROR(__xludf.DUMMYFUNCTION("""COMPUTED_VALUE"""),0.484)</f>
        <v>0.484</v>
      </c>
      <c r="M4482" s="4"/>
      <c r="N4482" s="4">
        <f>IFERROR(__xludf.DUMMYFUNCTION("""COMPUTED_VALUE"""),0.703)</f>
        <v>0.703</v>
      </c>
      <c r="O4482" s="4">
        <f>IFERROR(__xludf.DUMMYFUNCTION("""COMPUTED_VALUE"""),25.0)</f>
        <v>25</v>
      </c>
      <c r="P4482" s="4">
        <f>IFERROR(__xludf.DUMMYFUNCTION("""COMPUTED_VALUE"""),10.2)</f>
        <v>10.2</v>
      </c>
      <c r="Q4482" s="4">
        <f>IFERROR(__xludf.DUMMYFUNCTION("""COMPUTED_VALUE"""),5.4)</f>
        <v>5.4</v>
      </c>
      <c r="R4482" s="4">
        <f>IFERROR(__xludf.DUMMYFUNCTION("""COMPUTED_VALUE"""),1.2)</f>
        <v>1.2</v>
      </c>
      <c r="S4482" s="4">
        <f>IFERROR(__xludf.DUMMYFUNCTION("""COMPUTED_VALUE"""),40.8)</f>
        <v>40.8</v>
      </c>
      <c r="T4482" s="4">
        <f>IFERROR(__xludf.DUMMYFUNCTION("""COMPUTED_VALUE"""),0.09)</f>
        <v>0.09</v>
      </c>
      <c r="U4482" s="4">
        <f>IFERROR(__xludf.DUMMYFUNCTION("""COMPUTED_VALUE"""),0.4)</f>
        <v>0.4</v>
      </c>
      <c r="V4482" s="4">
        <f>IFERROR(__xludf.DUMMYFUNCTION("""COMPUTED_VALUE"""),13.2)</f>
        <v>13.2</v>
      </c>
    </row>
    <row r="4483">
      <c r="A4483" s="4">
        <f>IFERROR(__xludf.DUMMYFUNCTION("""COMPUTED_VALUE"""),24.0)</f>
        <v>24</v>
      </c>
      <c r="B4483" s="4">
        <f>IFERROR(__xludf.DUMMYFUNCTION("""COMPUTED_VALUE"""),24.0)</f>
        <v>24</v>
      </c>
      <c r="C4483" s="4" t="str">
        <f>IFERROR(__xludf.DUMMYFUNCTION("""COMPUTED_VALUE"""),"POR")</f>
        <v>POR</v>
      </c>
      <c r="D4483" s="4" t="str">
        <f>IFERROR(__xludf.DUMMYFUNCTION("""COMPUTED_VALUE"""),"Keith Herron")</f>
        <v>Keith Herron</v>
      </c>
      <c r="E4483" s="4" t="str">
        <f>IFERROR(__xludf.DUMMYFUNCTION("""COMPUTED_VALUE"""),"Villanova")</f>
        <v>Villanova</v>
      </c>
      <c r="F4483" s="4">
        <f>IFERROR(__xludf.DUMMYFUNCTION("""COMPUTED_VALUE"""),3.0)</f>
        <v>3</v>
      </c>
      <c r="G4483" s="4">
        <f>IFERROR(__xludf.DUMMYFUNCTION("""COMPUTED_VALUE"""),124.0)</f>
        <v>124</v>
      </c>
      <c r="H4483" s="4">
        <f>IFERROR(__xludf.DUMMYFUNCTION("""COMPUTED_VALUE"""),2620.0)</f>
        <v>2620</v>
      </c>
      <c r="I4483" s="4">
        <f>IFERROR(__xludf.DUMMYFUNCTION("""COMPUTED_VALUE"""),1219.0)</f>
        <v>1219</v>
      </c>
      <c r="J4483" s="4">
        <f>IFERROR(__xludf.DUMMYFUNCTION("""COMPUTED_VALUE"""),242.0)</f>
        <v>242</v>
      </c>
      <c r="K4483" s="4">
        <f>IFERROR(__xludf.DUMMYFUNCTION("""COMPUTED_VALUE"""),174.0)</f>
        <v>174</v>
      </c>
      <c r="L4483" s="4">
        <f>IFERROR(__xludf.DUMMYFUNCTION("""COMPUTED_VALUE"""),0.438)</f>
        <v>0.438</v>
      </c>
      <c r="M4483" s="4"/>
      <c r="N4483" s="4">
        <f>IFERROR(__xludf.DUMMYFUNCTION("""COMPUTED_VALUE"""),0.858)</f>
        <v>0.858</v>
      </c>
      <c r="O4483" s="4">
        <f>IFERROR(__xludf.DUMMYFUNCTION("""COMPUTED_VALUE"""),21.1)</f>
        <v>21.1</v>
      </c>
      <c r="P4483" s="4">
        <f>IFERROR(__xludf.DUMMYFUNCTION("""COMPUTED_VALUE"""),9.8)</f>
        <v>9.8</v>
      </c>
      <c r="Q4483" s="4">
        <f>IFERROR(__xludf.DUMMYFUNCTION("""COMPUTED_VALUE"""),2.0)</f>
        <v>2</v>
      </c>
      <c r="R4483" s="4">
        <f>IFERROR(__xludf.DUMMYFUNCTION("""COMPUTED_VALUE"""),1.4)</f>
        <v>1.4</v>
      </c>
      <c r="S4483" s="4">
        <f>IFERROR(__xludf.DUMMYFUNCTION("""COMPUTED_VALUE"""),3.2)</f>
        <v>3.2</v>
      </c>
      <c r="T4483" s="4">
        <f>IFERROR(__xludf.DUMMYFUNCTION("""COMPUTED_VALUE"""),0.058)</f>
        <v>0.058</v>
      </c>
      <c r="U4483" s="4">
        <f>IFERROR(__xludf.DUMMYFUNCTION("""COMPUTED_VALUE"""),-1.8)</f>
        <v>-1.8</v>
      </c>
      <c r="V4483" s="4">
        <f>IFERROR(__xludf.DUMMYFUNCTION("""COMPUTED_VALUE"""),0.1)</f>
        <v>0.1</v>
      </c>
    </row>
    <row r="4484">
      <c r="A4484" s="4">
        <f>IFERROR(__xludf.DUMMYFUNCTION("""COMPUTED_VALUE"""),25.0)</f>
        <v>25</v>
      </c>
      <c r="B4484" s="4">
        <f>IFERROR(__xludf.DUMMYFUNCTION("""COMPUTED_VALUE"""),25.0)</f>
        <v>25</v>
      </c>
      <c r="C4484" s="4" t="str">
        <f>IFERROR(__xludf.DUMMYFUNCTION("""COMPUTED_VALUE"""),"ATL")</f>
        <v>ATL</v>
      </c>
      <c r="D4484" s="4" t="str">
        <f>IFERROR(__xludf.DUMMYFUNCTION("""COMPUTED_VALUE"""),"Rick Wilson")</f>
        <v>Rick Wilson</v>
      </c>
      <c r="E4484" s="4" t="str">
        <f>IFERROR(__xludf.DUMMYFUNCTION("""COMPUTED_VALUE"""),"Louisville")</f>
        <v>Louisville</v>
      </c>
      <c r="F4484" s="4">
        <f>IFERROR(__xludf.DUMMYFUNCTION("""COMPUTED_VALUE"""),2.0)</f>
        <v>2</v>
      </c>
      <c r="G4484" s="4">
        <f>IFERROR(__xludf.DUMMYFUNCTION("""COMPUTED_VALUE"""),66.0)</f>
        <v>66</v>
      </c>
      <c r="H4484" s="4">
        <f>IFERROR(__xludf.DUMMYFUNCTION("""COMPUTED_VALUE"""),648.0)</f>
        <v>648</v>
      </c>
      <c r="I4484" s="4">
        <f>IFERROR(__xludf.DUMMYFUNCTION("""COMPUTED_VALUE"""),194.0)</f>
        <v>194</v>
      </c>
      <c r="J4484" s="4">
        <f>IFERROR(__xludf.DUMMYFUNCTION("""COMPUTED_VALUE"""),79.0)</f>
        <v>79</v>
      </c>
      <c r="K4484" s="4">
        <f>IFERROR(__xludf.DUMMYFUNCTION("""COMPUTED_VALUE"""),83.0)</f>
        <v>83</v>
      </c>
      <c r="L4484" s="4">
        <f>IFERROR(__xludf.DUMMYFUNCTION("""COMPUTED_VALUE"""),0.393)</f>
        <v>0.393</v>
      </c>
      <c r="M4484" s="4"/>
      <c r="N4484" s="4">
        <f>IFERROR(__xludf.DUMMYFUNCTION("""COMPUTED_VALUE"""),0.56)</f>
        <v>0.56</v>
      </c>
      <c r="O4484" s="4">
        <f>IFERROR(__xludf.DUMMYFUNCTION("""COMPUTED_VALUE"""),9.8)</f>
        <v>9.8</v>
      </c>
      <c r="P4484" s="4">
        <f>IFERROR(__xludf.DUMMYFUNCTION("""COMPUTED_VALUE"""),2.9)</f>
        <v>2.9</v>
      </c>
      <c r="Q4484" s="4">
        <f>IFERROR(__xludf.DUMMYFUNCTION("""COMPUTED_VALUE"""),1.2)</f>
        <v>1.2</v>
      </c>
      <c r="R4484" s="4">
        <f>IFERROR(__xludf.DUMMYFUNCTION("""COMPUTED_VALUE"""),1.3)</f>
        <v>1.3</v>
      </c>
      <c r="S4484" s="4">
        <f>IFERROR(__xludf.DUMMYFUNCTION("""COMPUTED_VALUE"""),0.2)</f>
        <v>0.2</v>
      </c>
      <c r="T4484" s="4">
        <f>IFERROR(__xludf.DUMMYFUNCTION("""COMPUTED_VALUE"""),0.013)</f>
        <v>0.013</v>
      </c>
      <c r="U4484" s="4">
        <f>IFERROR(__xludf.DUMMYFUNCTION("""COMPUTED_VALUE"""),-1.9)</f>
        <v>-1.9</v>
      </c>
      <c r="V4484" s="4">
        <f>IFERROR(__xludf.DUMMYFUNCTION("""COMPUTED_VALUE"""),0.0)</f>
        <v>0</v>
      </c>
    </row>
    <row r="4485">
      <c r="A4485" s="4">
        <f>IFERROR(__xludf.DUMMYFUNCTION("""COMPUTED_VALUE"""),26.0)</f>
        <v>26</v>
      </c>
      <c r="B4485" s="4">
        <f>IFERROR(__xludf.DUMMYFUNCTION("""COMPUTED_VALUE"""),26.0)</f>
        <v>26</v>
      </c>
      <c r="C4485" s="4" t="str">
        <f>IFERROR(__xludf.DUMMYFUNCTION("""COMPUTED_VALUE"""),"LAL")</f>
        <v>LAL</v>
      </c>
      <c r="D4485" s="4" t="str">
        <f>IFERROR(__xludf.DUMMYFUNCTION("""COMPUTED_VALUE"""),"Ron Carter")</f>
        <v>Ron Carter</v>
      </c>
      <c r="E4485" s="4" t="str">
        <f>IFERROR(__xludf.DUMMYFUNCTION("""COMPUTED_VALUE"""),"Virginia Military Institute")</f>
        <v>Virginia Military Institute</v>
      </c>
      <c r="F4485" s="4">
        <f>IFERROR(__xludf.DUMMYFUNCTION("""COMPUTED_VALUE"""),2.0)</f>
        <v>2</v>
      </c>
      <c r="G4485" s="4">
        <f>IFERROR(__xludf.DUMMYFUNCTION("""COMPUTED_VALUE"""),59.0)</f>
        <v>59</v>
      </c>
      <c r="H4485" s="4">
        <f>IFERROR(__xludf.DUMMYFUNCTION("""COMPUTED_VALUE"""),449.0)</f>
        <v>449</v>
      </c>
      <c r="I4485" s="4">
        <f>IFERROR(__xludf.DUMMYFUNCTION("""COMPUTED_VALUE"""),176.0)</f>
        <v>176</v>
      </c>
      <c r="J4485" s="4">
        <f>IFERROR(__xludf.DUMMYFUNCTION("""COMPUTED_VALUE"""),64.0)</f>
        <v>64</v>
      </c>
      <c r="K4485" s="4">
        <f>IFERROR(__xludf.DUMMYFUNCTION("""COMPUTED_VALUE"""),34.0)</f>
        <v>34</v>
      </c>
      <c r="L4485" s="4">
        <f>IFERROR(__xludf.DUMMYFUNCTION("""COMPUTED_VALUE"""),0.429)</f>
        <v>0.429</v>
      </c>
      <c r="M4485" s="4"/>
      <c r="N4485" s="4">
        <f>IFERROR(__xludf.DUMMYFUNCTION("""COMPUTED_VALUE"""),0.623)</f>
        <v>0.623</v>
      </c>
      <c r="O4485" s="4">
        <f>IFERROR(__xludf.DUMMYFUNCTION("""COMPUTED_VALUE"""),7.6)</f>
        <v>7.6</v>
      </c>
      <c r="P4485" s="4">
        <f>IFERROR(__xludf.DUMMYFUNCTION("""COMPUTED_VALUE"""),3.0)</f>
        <v>3</v>
      </c>
      <c r="Q4485" s="4">
        <f>IFERROR(__xludf.DUMMYFUNCTION("""COMPUTED_VALUE"""),1.1)</f>
        <v>1.1</v>
      </c>
      <c r="R4485" s="4">
        <f>IFERROR(__xludf.DUMMYFUNCTION("""COMPUTED_VALUE"""),0.6)</f>
        <v>0.6</v>
      </c>
      <c r="S4485" s="4">
        <f>IFERROR(__xludf.DUMMYFUNCTION("""COMPUTED_VALUE"""),-0.2)</f>
        <v>-0.2</v>
      </c>
      <c r="T4485" s="4">
        <f>IFERROR(__xludf.DUMMYFUNCTION("""COMPUTED_VALUE"""),-0.017)</f>
        <v>-0.017</v>
      </c>
      <c r="U4485" s="4">
        <f>IFERROR(__xludf.DUMMYFUNCTION("""COMPUTED_VALUE"""),-5.1)</f>
        <v>-5.1</v>
      </c>
      <c r="V4485" s="4">
        <f>IFERROR(__xludf.DUMMYFUNCTION("""COMPUTED_VALUE"""),-0.4)</f>
        <v>-0.4</v>
      </c>
    </row>
    <row r="4486">
      <c r="A4486" s="4">
        <f>IFERROR(__xludf.DUMMYFUNCTION("""COMPUTED_VALUE"""),27.0)</f>
        <v>27</v>
      </c>
      <c r="B4486" s="4">
        <f>IFERROR(__xludf.DUMMYFUNCTION("""COMPUTED_VALUE"""),27.0)</f>
        <v>27</v>
      </c>
      <c r="C4486" s="4" t="str">
        <f>IFERROR(__xludf.DUMMYFUNCTION("""COMPUTED_VALUE"""),"IND")</f>
        <v>IND</v>
      </c>
      <c r="D4486" s="4" t="str">
        <f>IFERROR(__xludf.DUMMYFUNCTION("""COMPUTED_VALUE"""),"Wayne Radford")</f>
        <v>Wayne Radford</v>
      </c>
      <c r="E4486" s="4" t="str">
        <f>IFERROR(__xludf.DUMMYFUNCTION("""COMPUTED_VALUE"""),"Indiana")</f>
        <v>Indiana</v>
      </c>
      <c r="F4486" s="4">
        <f>IFERROR(__xludf.DUMMYFUNCTION("""COMPUTED_VALUE"""),1.0)</f>
        <v>1</v>
      </c>
      <c r="G4486" s="4">
        <f>IFERROR(__xludf.DUMMYFUNCTION("""COMPUTED_VALUE"""),52.0)</f>
        <v>52</v>
      </c>
      <c r="H4486" s="4">
        <f>IFERROR(__xludf.DUMMYFUNCTION("""COMPUTED_VALUE"""),649.0)</f>
        <v>649</v>
      </c>
      <c r="I4486" s="4">
        <f>IFERROR(__xludf.DUMMYFUNCTION("""COMPUTED_VALUE"""),202.0)</f>
        <v>202</v>
      </c>
      <c r="J4486" s="4">
        <f>IFERROR(__xludf.DUMMYFUNCTION("""COMPUTED_VALUE"""),68.0)</f>
        <v>68</v>
      </c>
      <c r="K4486" s="4">
        <f>IFERROR(__xludf.DUMMYFUNCTION("""COMPUTED_VALUE"""),57.0)</f>
        <v>57</v>
      </c>
      <c r="L4486" s="4">
        <f>IFERROR(__xludf.DUMMYFUNCTION("""COMPUTED_VALUE"""),0.474)</f>
        <v>0.474</v>
      </c>
      <c r="M4486" s="4"/>
      <c r="N4486" s="4">
        <f>IFERROR(__xludf.DUMMYFUNCTION("""COMPUTED_VALUE"""),0.8)</f>
        <v>0.8</v>
      </c>
      <c r="O4486" s="4">
        <f>IFERROR(__xludf.DUMMYFUNCTION("""COMPUTED_VALUE"""),12.5)</f>
        <v>12.5</v>
      </c>
      <c r="P4486" s="4">
        <f>IFERROR(__xludf.DUMMYFUNCTION("""COMPUTED_VALUE"""),3.9)</f>
        <v>3.9</v>
      </c>
      <c r="Q4486" s="4">
        <f>IFERROR(__xludf.DUMMYFUNCTION("""COMPUTED_VALUE"""),1.3)</f>
        <v>1.3</v>
      </c>
      <c r="R4486" s="4">
        <f>IFERROR(__xludf.DUMMYFUNCTION("""COMPUTED_VALUE"""),1.1)</f>
        <v>1.1</v>
      </c>
      <c r="S4486" s="4">
        <f>IFERROR(__xludf.DUMMYFUNCTION("""COMPUTED_VALUE"""),0.7)</f>
        <v>0.7</v>
      </c>
      <c r="T4486" s="4">
        <f>IFERROR(__xludf.DUMMYFUNCTION("""COMPUTED_VALUE"""),0.049)</f>
        <v>0.049</v>
      </c>
      <c r="U4486" s="4">
        <f>IFERROR(__xludf.DUMMYFUNCTION("""COMPUTED_VALUE"""),-2.2)</f>
        <v>-2.2</v>
      </c>
      <c r="V4486" s="4">
        <f>IFERROR(__xludf.DUMMYFUNCTION("""COMPUTED_VALUE"""),0.0)</f>
        <v>0</v>
      </c>
    </row>
    <row r="4487">
      <c r="A4487" s="4">
        <f>IFERROR(__xludf.DUMMYFUNCTION("""COMPUTED_VALUE"""),28.0)</f>
        <v>28</v>
      </c>
      <c r="B4487" s="4">
        <f>IFERROR(__xludf.DUMMYFUNCTION("""COMPUTED_VALUE"""),28.0)</f>
        <v>28</v>
      </c>
      <c r="C4487" s="4" t="str">
        <f>IFERROR(__xludf.DUMMYFUNCTION("""COMPUTED_VALUE"""),"HOU")</f>
        <v>HOU</v>
      </c>
      <c r="D4487" s="4" t="str">
        <f>IFERROR(__xludf.DUMMYFUNCTION("""COMPUTED_VALUE"""),"Buster Matheney")</f>
        <v>Buster Matheney</v>
      </c>
      <c r="E4487" s="4" t="str">
        <f>IFERROR(__xludf.DUMMYFUNCTION("""COMPUTED_VALUE"""),"Utah")</f>
        <v>Utah</v>
      </c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</row>
    <row r="4488">
      <c r="A4488" s="4">
        <f>IFERROR(__xludf.DUMMYFUNCTION("""COMPUTED_VALUE"""),29.0)</f>
        <v>29</v>
      </c>
      <c r="B4488" s="4">
        <f>IFERROR(__xludf.DUMMYFUNCTION("""COMPUTED_VALUE"""),29.0)</f>
        <v>29</v>
      </c>
      <c r="C4488" s="4" t="str">
        <f>IFERROR(__xludf.DUMMYFUNCTION("""COMPUTED_VALUE"""),"DET")</f>
        <v>DET</v>
      </c>
      <c r="D4488" s="4" t="str">
        <f>IFERROR(__xludf.DUMMYFUNCTION("""COMPUTED_VALUE"""),"John Long")</f>
        <v>John Long</v>
      </c>
      <c r="E4488" s="4" t="str">
        <f>IFERROR(__xludf.DUMMYFUNCTION("""COMPUTED_VALUE"""),"Detroit Mercy")</f>
        <v>Detroit Mercy</v>
      </c>
      <c r="F4488" s="4">
        <f>IFERROR(__xludf.DUMMYFUNCTION("""COMPUTED_VALUE"""),14.0)</f>
        <v>14</v>
      </c>
      <c r="G4488" s="4">
        <f>IFERROR(__xludf.DUMMYFUNCTION("""COMPUTED_VALUE"""),893.0)</f>
        <v>893</v>
      </c>
      <c r="H4488" s="4">
        <f>IFERROR(__xludf.DUMMYFUNCTION("""COMPUTED_VALUE"""),22680.0)</f>
        <v>22680</v>
      </c>
      <c r="I4488" s="4">
        <f>IFERROR(__xludf.DUMMYFUNCTION("""COMPUTED_VALUE"""),12131.0)</f>
        <v>12131</v>
      </c>
      <c r="J4488" s="4">
        <f>IFERROR(__xludf.DUMMYFUNCTION("""COMPUTED_VALUE"""),2492.0)</f>
        <v>2492</v>
      </c>
      <c r="K4488" s="4">
        <f>IFERROR(__xludf.DUMMYFUNCTION("""COMPUTED_VALUE"""),1738.0)</f>
        <v>1738</v>
      </c>
      <c r="L4488" s="4">
        <f>IFERROR(__xludf.DUMMYFUNCTION("""COMPUTED_VALUE"""),0.467)</f>
        <v>0.467</v>
      </c>
      <c r="M4488" s="4"/>
      <c r="N4488" s="4">
        <f>IFERROR(__xludf.DUMMYFUNCTION("""COMPUTED_VALUE"""),0.862)</f>
        <v>0.862</v>
      </c>
      <c r="O4488" s="4">
        <f>IFERROR(__xludf.DUMMYFUNCTION("""COMPUTED_VALUE"""),25.4)</f>
        <v>25.4</v>
      </c>
      <c r="P4488" s="4">
        <f>IFERROR(__xludf.DUMMYFUNCTION("""COMPUTED_VALUE"""),13.6)</f>
        <v>13.6</v>
      </c>
      <c r="Q4488" s="4">
        <f>IFERROR(__xludf.DUMMYFUNCTION("""COMPUTED_VALUE"""),2.8)</f>
        <v>2.8</v>
      </c>
      <c r="R4488" s="4">
        <f>IFERROR(__xludf.DUMMYFUNCTION("""COMPUTED_VALUE"""),1.9)</f>
        <v>1.9</v>
      </c>
      <c r="S4488" s="4">
        <f>IFERROR(__xludf.DUMMYFUNCTION("""COMPUTED_VALUE"""),32.0)</f>
        <v>32</v>
      </c>
      <c r="T4488" s="4">
        <f>IFERROR(__xludf.DUMMYFUNCTION("""COMPUTED_VALUE"""),0.068)</f>
        <v>0.068</v>
      </c>
      <c r="U4488" s="4">
        <f>IFERROR(__xludf.DUMMYFUNCTION("""COMPUTED_VALUE"""),-1.3)</f>
        <v>-1.3</v>
      </c>
      <c r="V4488" s="4">
        <f>IFERROR(__xludf.DUMMYFUNCTION("""COMPUTED_VALUE"""),3.7)</f>
        <v>3.7</v>
      </c>
    </row>
    <row r="4489">
      <c r="A4489" s="4">
        <f>IFERROR(__xludf.DUMMYFUNCTION("""COMPUTED_VALUE"""),30.0)</f>
        <v>30</v>
      </c>
      <c r="B4489" s="4">
        <f>IFERROR(__xludf.DUMMYFUNCTION("""COMPUTED_VALUE"""),30.0)</f>
        <v>30</v>
      </c>
      <c r="C4489" s="4" t="str">
        <f>IFERROR(__xludf.DUMMYFUNCTION("""COMPUTED_VALUE"""),"BOS")</f>
        <v>BOS</v>
      </c>
      <c r="D4489" s="4" t="str">
        <f>IFERROR(__xludf.DUMMYFUNCTION("""COMPUTED_VALUE"""),"Jeff Judkins")</f>
        <v>Jeff Judkins</v>
      </c>
      <c r="E4489" s="4" t="str">
        <f>IFERROR(__xludf.DUMMYFUNCTION("""COMPUTED_VALUE"""),"Utah")</f>
        <v>Utah</v>
      </c>
      <c r="F4489" s="4">
        <f>IFERROR(__xludf.DUMMYFUNCTION("""COMPUTED_VALUE"""),5.0)</f>
        <v>5</v>
      </c>
      <c r="G4489" s="4">
        <f>IFERROR(__xludf.DUMMYFUNCTION("""COMPUTED_VALUE"""),272.0)</f>
        <v>272</v>
      </c>
      <c r="H4489" s="4">
        <f>IFERROR(__xludf.DUMMYFUNCTION("""COMPUTED_VALUE"""),3421.0)</f>
        <v>3421</v>
      </c>
      <c r="I4489" s="4">
        <f>IFERROR(__xludf.DUMMYFUNCTION("""COMPUTED_VALUE"""),1482.0)</f>
        <v>1482</v>
      </c>
      <c r="J4489" s="4">
        <f>IFERROR(__xludf.DUMMYFUNCTION("""COMPUTED_VALUE"""),427.0)</f>
        <v>427</v>
      </c>
      <c r="K4489" s="4">
        <f>IFERROR(__xludf.DUMMYFUNCTION("""COMPUTED_VALUE"""),282.0)</f>
        <v>282</v>
      </c>
      <c r="L4489" s="4">
        <f>IFERROR(__xludf.DUMMYFUNCTION("""COMPUTED_VALUE"""),0.478)</f>
        <v>0.478</v>
      </c>
      <c r="M4489" s="4"/>
      <c r="N4489" s="4">
        <f>IFERROR(__xludf.DUMMYFUNCTION("""COMPUTED_VALUE"""),0.812)</f>
        <v>0.812</v>
      </c>
      <c r="O4489" s="4">
        <f>IFERROR(__xludf.DUMMYFUNCTION("""COMPUTED_VALUE"""),12.6)</f>
        <v>12.6</v>
      </c>
      <c r="P4489" s="4">
        <f>IFERROR(__xludf.DUMMYFUNCTION("""COMPUTED_VALUE"""),5.4)</f>
        <v>5.4</v>
      </c>
      <c r="Q4489" s="4">
        <f>IFERROR(__xludf.DUMMYFUNCTION("""COMPUTED_VALUE"""),1.6)</f>
        <v>1.6</v>
      </c>
      <c r="R4489" s="4">
        <f>IFERROR(__xludf.DUMMYFUNCTION("""COMPUTED_VALUE"""),1.0)</f>
        <v>1</v>
      </c>
      <c r="S4489" s="4">
        <f>IFERROR(__xludf.DUMMYFUNCTION("""COMPUTED_VALUE"""),6.3)</f>
        <v>6.3</v>
      </c>
      <c r="T4489" s="4">
        <f>IFERROR(__xludf.DUMMYFUNCTION("""COMPUTED_VALUE"""),0.088)</f>
        <v>0.088</v>
      </c>
      <c r="U4489" s="4">
        <f>IFERROR(__xludf.DUMMYFUNCTION("""COMPUTED_VALUE"""),-1.1)</f>
        <v>-1.1</v>
      </c>
      <c r="V4489" s="4">
        <f>IFERROR(__xludf.DUMMYFUNCTION("""COMPUTED_VALUE"""),0.8)</f>
        <v>0.8</v>
      </c>
    </row>
    <row r="4490">
      <c r="A4490" s="4">
        <f>IFERROR(__xludf.DUMMYFUNCTION("""COMPUTED_VALUE"""),31.0)</f>
        <v>31</v>
      </c>
      <c r="B4490" s="4">
        <f>IFERROR(__xludf.DUMMYFUNCTION("""COMPUTED_VALUE"""),31.0)</f>
        <v>31</v>
      </c>
      <c r="C4490" s="4" t="str">
        <f>IFERROR(__xludf.DUMMYFUNCTION("""COMPUTED_VALUE"""),"CHI")</f>
        <v>CHI</v>
      </c>
      <c r="D4490" s="4" t="str">
        <f>IFERROR(__xludf.DUMMYFUNCTION("""COMPUTED_VALUE"""),"Marvin Johnson")</f>
        <v>Marvin Johnson</v>
      </c>
      <c r="E4490" s="4" t="str">
        <f>IFERROR(__xludf.DUMMYFUNCTION("""COMPUTED_VALUE"""),"New Mexico")</f>
        <v>New Mexico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</row>
    <row r="4491">
      <c r="A4491" s="4">
        <f>IFERROR(__xludf.DUMMYFUNCTION("""COMPUTED_VALUE"""),32.0)</f>
        <v>32</v>
      </c>
      <c r="B4491" s="4">
        <f>IFERROR(__xludf.DUMMYFUNCTION("""COMPUTED_VALUE"""),32.0)</f>
        <v>32</v>
      </c>
      <c r="C4491" s="4" t="str">
        <f>IFERROR(__xludf.DUMMYFUNCTION("""COMPUTED_VALUE"""),"NYK")</f>
        <v>NYK</v>
      </c>
      <c r="D4491" s="4" t="str">
        <f>IFERROR(__xludf.DUMMYFUNCTION("""COMPUTED_VALUE"""),"John Rudd")</f>
        <v>John Rudd</v>
      </c>
      <c r="E4491" s="4" t="str">
        <f>IFERROR(__xludf.DUMMYFUNCTION("""COMPUTED_VALUE"""),"McNeese State University")</f>
        <v>McNeese State University</v>
      </c>
      <c r="F4491" s="4">
        <f>IFERROR(__xludf.DUMMYFUNCTION("""COMPUTED_VALUE"""),1.0)</f>
        <v>1</v>
      </c>
      <c r="G4491" s="4">
        <f>IFERROR(__xludf.DUMMYFUNCTION("""COMPUTED_VALUE"""),58.0)</f>
        <v>58</v>
      </c>
      <c r="H4491" s="4">
        <f>IFERROR(__xludf.DUMMYFUNCTION("""COMPUTED_VALUE"""),723.0)</f>
        <v>723</v>
      </c>
      <c r="I4491" s="4">
        <f>IFERROR(__xludf.DUMMYFUNCTION("""COMPUTED_VALUE"""),184.0)</f>
        <v>184</v>
      </c>
      <c r="J4491" s="4">
        <f>IFERROR(__xludf.DUMMYFUNCTION("""COMPUTED_VALUE"""),167.0)</f>
        <v>167</v>
      </c>
      <c r="K4491" s="4">
        <f>IFERROR(__xludf.DUMMYFUNCTION("""COMPUTED_VALUE"""),35.0)</f>
        <v>35</v>
      </c>
      <c r="L4491" s="4">
        <f>IFERROR(__xludf.DUMMYFUNCTION("""COMPUTED_VALUE"""),0.444)</f>
        <v>0.444</v>
      </c>
      <c r="M4491" s="4"/>
      <c r="N4491" s="4">
        <f>IFERROR(__xludf.DUMMYFUNCTION("""COMPUTED_VALUE"""),0.71)</f>
        <v>0.71</v>
      </c>
      <c r="O4491" s="4">
        <f>IFERROR(__xludf.DUMMYFUNCTION("""COMPUTED_VALUE"""),12.5)</f>
        <v>12.5</v>
      </c>
      <c r="P4491" s="4">
        <f>IFERROR(__xludf.DUMMYFUNCTION("""COMPUTED_VALUE"""),3.2)</f>
        <v>3.2</v>
      </c>
      <c r="Q4491" s="4">
        <f>IFERROR(__xludf.DUMMYFUNCTION("""COMPUTED_VALUE"""),2.9)</f>
        <v>2.9</v>
      </c>
      <c r="R4491" s="4">
        <f>IFERROR(__xludf.DUMMYFUNCTION("""COMPUTED_VALUE"""),0.6)</f>
        <v>0.6</v>
      </c>
      <c r="S4491" s="4">
        <f>IFERROR(__xludf.DUMMYFUNCTION("""COMPUTED_VALUE"""),0.6)</f>
        <v>0.6</v>
      </c>
      <c r="T4491" s="4">
        <f>IFERROR(__xludf.DUMMYFUNCTION("""COMPUTED_VALUE"""),0.04)</f>
        <v>0.04</v>
      </c>
      <c r="U4491" s="4">
        <f>IFERROR(__xludf.DUMMYFUNCTION("""COMPUTED_VALUE"""),-3.8)</f>
        <v>-3.8</v>
      </c>
      <c r="V4491" s="4">
        <f>IFERROR(__xludf.DUMMYFUNCTION("""COMPUTED_VALUE"""),-0.3)</f>
        <v>-0.3</v>
      </c>
    </row>
    <row r="4492">
      <c r="A4492" s="4">
        <f>IFERROR(__xludf.DUMMYFUNCTION("""COMPUTED_VALUE"""),33.0)</f>
        <v>33</v>
      </c>
      <c r="B4492" s="4">
        <f>IFERROR(__xludf.DUMMYFUNCTION("""COMPUTED_VALUE"""),33.0)</f>
        <v>33</v>
      </c>
      <c r="C4492" s="4" t="str">
        <f>IFERROR(__xludf.DUMMYFUNCTION("""COMPUTED_VALUE"""),"CLE")</f>
        <v>CLE</v>
      </c>
      <c r="D4492" s="4" t="str">
        <f>IFERROR(__xludf.DUMMYFUNCTION("""COMPUTED_VALUE"""),"Harry Davis")</f>
        <v>Harry Davis</v>
      </c>
      <c r="E4492" s="4" t="str">
        <f>IFERROR(__xludf.DUMMYFUNCTION("""COMPUTED_VALUE"""),"Florida State")</f>
        <v>Florida State</v>
      </c>
      <c r="F4492" s="4">
        <f>IFERROR(__xludf.DUMMYFUNCTION("""COMPUTED_VALUE"""),2.0)</f>
        <v>2</v>
      </c>
      <c r="G4492" s="4">
        <f>IFERROR(__xludf.DUMMYFUNCTION("""COMPUTED_VALUE"""),44.0)</f>
        <v>44</v>
      </c>
      <c r="H4492" s="4">
        <f>IFERROR(__xludf.DUMMYFUNCTION("""COMPUTED_VALUE"""),424.0)</f>
        <v>424</v>
      </c>
      <c r="I4492" s="4">
        <f>IFERROR(__xludf.DUMMYFUNCTION("""COMPUTED_VALUE"""),175.0)</f>
        <v>175</v>
      </c>
      <c r="J4492" s="4">
        <f>IFERROR(__xludf.DUMMYFUNCTION("""COMPUTED_VALUE"""),72.0)</f>
        <v>72</v>
      </c>
      <c r="K4492" s="4">
        <f>IFERROR(__xludf.DUMMYFUNCTION("""COMPUTED_VALUE"""),16.0)</f>
        <v>16</v>
      </c>
      <c r="L4492" s="4">
        <f>IFERROR(__xludf.DUMMYFUNCTION("""COMPUTED_VALUE"""),0.436)</f>
        <v>0.436</v>
      </c>
      <c r="M4492" s="4"/>
      <c r="N4492" s="4">
        <f>IFERROR(__xludf.DUMMYFUNCTION("""COMPUTED_VALUE"""),0.689)</f>
        <v>0.689</v>
      </c>
      <c r="O4492" s="4">
        <f>IFERROR(__xludf.DUMMYFUNCTION("""COMPUTED_VALUE"""),9.6)</f>
        <v>9.6</v>
      </c>
      <c r="P4492" s="4">
        <f>IFERROR(__xludf.DUMMYFUNCTION("""COMPUTED_VALUE"""),4.0)</f>
        <v>4</v>
      </c>
      <c r="Q4492" s="4">
        <f>IFERROR(__xludf.DUMMYFUNCTION("""COMPUTED_VALUE"""),1.6)</f>
        <v>1.6</v>
      </c>
      <c r="R4492" s="4">
        <f>IFERROR(__xludf.DUMMYFUNCTION("""COMPUTED_VALUE"""),0.4)</f>
        <v>0.4</v>
      </c>
      <c r="S4492" s="4">
        <f>IFERROR(__xludf.DUMMYFUNCTION("""COMPUTED_VALUE"""),0.3)</f>
        <v>0.3</v>
      </c>
      <c r="T4492" s="4">
        <f>IFERROR(__xludf.DUMMYFUNCTION("""COMPUTED_VALUE"""),0.033)</f>
        <v>0.033</v>
      </c>
      <c r="U4492" s="4">
        <f>IFERROR(__xludf.DUMMYFUNCTION("""COMPUTED_VALUE"""),-4.0)</f>
        <v>-4</v>
      </c>
      <c r="V4492" s="4">
        <f>IFERROR(__xludf.DUMMYFUNCTION("""COMPUTED_VALUE"""),-0.3)</f>
        <v>-0.3</v>
      </c>
    </row>
    <row r="4493">
      <c r="A4493" s="4">
        <f>IFERROR(__xludf.DUMMYFUNCTION("""COMPUTED_VALUE"""),34.0)</f>
        <v>34</v>
      </c>
      <c r="B4493" s="4">
        <f>IFERROR(__xludf.DUMMYFUNCTION("""COMPUTED_VALUE"""),34.0)</f>
        <v>34</v>
      </c>
      <c r="C4493" s="4" t="str">
        <f>IFERROR(__xludf.DUMMYFUNCTION("""COMPUTED_VALUE"""),"NYK")</f>
        <v>NYK</v>
      </c>
      <c r="D4493" s="4" t="str">
        <f>IFERROR(__xludf.DUMMYFUNCTION("""COMPUTED_VALUE"""),"Greg Bunch")</f>
        <v>Greg Bunch</v>
      </c>
      <c r="E4493" s="4" t="str">
        <f>IFERROR(__xludf.DUMMYFUNCTION("""COMPUTED_VALUE"""),"Cal State Fullerton")</f>
        <v>Cal State Fullerton</v>
      </c>
      <c r="F4493" s="4">
        <f>IFERROR(__xludf.DUMMYFUNCTION("""COMPUTED_VALUE"""),1.0)</f>
        <v>1</v>
      </c>
      <c r="G4493" s="4">
        <f>IFERROR(__xludf.DUMMYFUNCTION("""COMPUTED_VALUE"""),12.0)</f>
        <v>12</v>
      </c>
      <c r="H4493" s="4">
        <f>IFERROR(__xludf.DUMMYFUNCTION("""COMPUTED_VALUE"""),97.0)</f>
        <v>97</v>
      </c>
      <c r="I4493" s="4">
        <f>IFERROR(__xludf.DUMMYFUNCTION("""COMPUTED_VALUE"""),28.0)</f>
        <v>28</v>
      </c>
      <c r="J4493" s="4">
        <f>IFERROR(__xludf.DUMMYFUNCTION("""COMPUTED_VALUE"""),17.0)</f>
        <v>17</v>
      </c>
      <c r="K4493" s="4">
        <f>IFERROR(__xludf.DUMMYFUNCTION("""COMPUTED_VALUE"""),4.0)</f>
        <v>4</v>
      </c>
      <c r="L4493" s="4">
        <f>IFERROR(__xludf.DUMMYFUNCTION("""COMPUTED_VALUE"""),0.346)</f>
        <v>0.346</v>
      </c>
      <c r="M4493" s="4"/>
      <c r="N4493" s="4">
        <f>IFERROR(__xludf.DUMMYFUNCTION("""COMPUTED_VALUE"""),0.833)</f>
        <v>0.833</v>
      </c>
      <c r="O4493" s="4">
        <f>IFERROR(__xludf.DUMMYFUNCTION("""COMPUTED_VALUE"""),8.1)</f>
        <v>8.1</v>
      </c>
      <c r="P4493" s="4">
        <f>IFERROR(__xludf.DUMMYFUNCTION("""COMPUTED_VALUE"""),2.3)</f>
        <v>2.3</v>
      </c>
      <c r="Q4493" s="4">
        <f>IFERROR(__xludf.DUMMYFUNCTION("""COMPUTED_VALUE"""),1.4)</f>
        <v>1.4</v>
      </c>
      <c r="R4493" s="4">
        <f>IFERROR(__xludf.DUMMYFUNCTION("""COMPUTED_VALUE"""),0.3)</f>
        <v>0.3</v>
      </c>
      <c r="S4493" s="4">
        <f>IFERROR(__xludf.DUMMYFUNCTION("""COMPUTED_VALUE"""),0.1)</f>
        <v>0.1</v>
      </c>
      <c r="T4493" s="4">
        <f>IFERROR(__xludf.DUMMYFUNCTION("""COMPUTED_VALUE"""),0.046)</f>
        <v>0.046</v>
      </c>
      <c r="U4493" s="4">
        <f>IFERROR(__xludf.DUMMYFUNCTION("""COMPUTED_VALUE"""),-3.3)</f>
        <v>-3.3</v>
      </c>
      <c r="V4493" s="4">
        <f>IFERROR(__xludf.DUMMYFUNCTION("""COMPUTED_VALUE"""),0.0)</f>
        <v>0</v>
      </c>
    </row>
    <row r="4494">
      <c r="A4494" s="4">
        <f>IFERROR(__xludf.DUMMYFUNCTION("""COMPUTED_VALUE"""),35.0)</f>
        <v>35</v>
      </c>
      <c r="B4494" s="4">
        <f>IFERROR(__xludf.DUMMYFUNCTION("""COMPUTED_VALUE"""),35.0)</f>
        <v>35</v>
      </c>
      <c r="C4494" s="4" t="str">
        <f>IFERROR(__xludf.DUMMYFUNCTION("""COMPUTED_VALUE"""),"NOJ")</f>
        <v>NOJ</v>
      </c>
      <c r="D4494" s="4" t="str">
        <f>IFERROR(__xludf.DUMMYFUNCTION("""COMPUTED_VALUE"""),"Tommie Green")</f>
        <v>Tommie Green</v>
      </c>
      <c r="E4494" s="4" t="str">
        <f>IFERROR(__xludf.DUMMYFUNCTION("""COMPUTED_VALUE"""),"Southern University and A&amp;M College")</f>
        <v>Southern University and A&amp;M College</v>
      </c>
      <c r="F4494" s="4">
        <f>IFERROR(__xludf.DUMMYFUNCTION("""COMPUTED_VALUE"""),1.0)</f>
        <v>1</v>
      </c>
      <c r="G4494" s="4">
        <f>IFERROR(__xludf.DUMMYFUNCTION("""COMPUTED_VALUE"""),59.0)</f>
        <v>59</v>
      </c>
      <c r="H4494" s="4">
        <f>IFERROR(__xludf.DUMMYFUNCTION("""COMPUTED_VALUE"""),809.0)</f>
        <v>809</v>
      </c>
      <c r="I4494" s="4">
        <f>IFERROR(__xludf.DUMMYFUNCTION("""COMPUTED_VALUE"""),232.0)</f>
        <v>232</v>
      </c>
      <c r="J4494" s="4">
        <f>IFERROR(__xludf.DUMMYFUNCTION("""COMPUTED_VALUE"""),68.0)</f>
        <v>68</v>
      </c>
      <c r="K4494" s="4">
        <f>IFERROR(__xludf.DUMMYFUNCTION("""COMPUTED_VALUE"""),140.0)</f>
        <v>140</v>
      </c>
      <c r="L4494" s="4">
        <f>IFERROR(__xludf.DUMMYFUNCTION("""COMPUTED_VALUE"""),0.388)</f>
        <v>0.388</v>
      </c>
      <c r="M4494" s="4"/>
      <c r="N4494" s="4">
        <f>IFERROR(__xludf.DUMMYFUNCTION("""COMPUTED_VALUE"""),0.762)</f>
        <v>0.762</v>
      </c>
      <c r="O4494" s="4">
        <f>IFERROR(__xludf.DUMMYFUNCTION("""COMPUTED_VALUE"""),13.7)</f>
        <v>13.7</v>
      </c>
      <c r="P4494" s="4">
        <f>IFERROR(__xludf.DUMMYFUNCTION("""COMPUTED_VALUE"""),3.9)</f>
        <v>3.9</v>
      </c>
      <c r="Q4494" s="4">
        <f>IFERROR(__xludf.DUMMYFUNCTION("""COMPUTED_VALUE"""),1.2)</f>
        <v>1.2</v>
      </c>
      <c r="R4494" s="4">
        <f>IFERROR(__xludf.DUMMYFUNCTION("""COMPUTED_VALUE"""),2.4)</f>
        <v>2.4</v>
      </c>
      <c r="S4494" s="4">
        <f>IFERROR(__xludf.DUMMYFUNCTION("""COMPUTED_VALUE"""),-0.3)</f>
        <v>-0.3</v>
      </c>
      <c r="T4494" s="4">
        <f>IFERROR(__xludf.DUMMYFUNCTION("""COMPUTED_VALUE"""),-0.017)</f>
        <v>-0.017</v>
      </c>
      <c r="U4494" s="4">
        <f>IFERROR(__xludf.DUMMYFUNCTION("""COMPUTED_VALUE"""),-4.2)</f>
        <v>-4.2</v>
      </c>
      <c r="V4494" s="4">
        <f>IFERROR(__xludf.DUMMYFUNCTION("""COMPUTED_VALUE"""),-0.5)</f>
        <v>-0.5</v>
      </c>
    </row>
    <row r="4495">
      <c r="A4495" s="4">
        <f>IFERROR(__xludf.DUMMYFUNCTION("""COMPUTED_VALUE"""),36.0)</f>
        <v>36</v>
      </c>
      <c r="B4495" s="4">
        <f>IFERROR(__xludf.DUMMYFUNCTION("""COMPUTED_VALUE"""),36.0)</f>
        <v>36</v>
      </c>
      <c r="C4495" s="4" t="str">
        <f>IFERROR(__xludf.DUMMYFUNCTION("""COMPUTED_VALUE"""),"PHI")</f>
        <v>PHI</v>
      </c>
      <c r="D4495" s="4" t="str">
        <f>IFERROR(__xludf.DUMMYFUNCTION("""COMPUTED_VALUE"""),"Maurice Cheeks")</f>
        <v>Maurice Cheeks</v>
      </c>
      <c r="E4495" s="4" t="str">
        <f>IFERROR(__xludf.DUMMYFUNCTION("""COMPUTED_VALUE"""),"West Texas A&amp;M University")</f>
        <v>West Texas A&amp;M University</v>
      </c>
      <c r="F4495" s="4">
        <f>IFERROR(__xludf.DUMMYFUNCTION("""COMPUTED_VALUE"""),15.0)</f>
        <v>15</v>
      </c>
      <c r="G4495" s="4">
        <f>IFERROR(__xludf.DUMMYFUNCTION("""COMPUTED_VALUE"""),1101.0)</f>
        <v>1101</v>
      </c>
      <c r="H4495" s="4">
        <f>IFERROR(__xludf.DUMMYFUNCTION("""COMPUTED_VALUE"""),34845.0)</f>
        <v>34845</v>
      </c>
      <c r="I4495" s="4">
        <f>IFERROR(__xludf.DUMMYFUNCTION("""COMPUTED_VALUE"""),12195.0)</f>
        <v>12195</v>
      </c>
      <c r="J4495" s="4">
        <f>IFERROR(__xludf.DUMMYFUNCTION("""COMPUTED_VALUE"""),3088.0)</f>
        <v>3088</v>
      </c>
      <c r="K4495" s="4">
        <f>IFERROR(__xludf.DUMMYFUNCTION("""COMPUTED_VALUE"""),7392.0)</f>
        <v>7392</v>
      </c>
      <c r="L4495" s="4">
        <f>IFERROR(__xludf.DUMMYFUNCTION("""COMPUTED_VALUE"""),0.523)</f>
        <v>0.523</v>
      </c>
      <c r="M4495" s="4"/>
      <c r="N4495" s="4">
        <f>IFERROR(__xludf.DUMMYFUNCTION("""COMPUTED_VALUE"""),0.793)</f>
        <v>0.793</v>
      </c>
      <c r="O4495" s="4">
        <f>IFERROR(__xludf.DUMMYFUNCTION("""COMPUTED_VALUE"""),31.6)</f>
        <v>31.6</v>
      </c>
      <c r="P4495" s="4">
        <f>IFERROR(__xludf.DUMMYFUNCTION("""COMPUTED_VALUE"""),11.1)</f>
        <v>11.1</v>
      </c>
      <c r="Q4495" s="4">
        <f>IFERROR(__xludf.DUMMYFUNCTION("""COMPUTED_VALUE"""),2.8)</f>
        <v>2.8</v>
      </c>
      <c r="R4495" s="4">
        <f>IFERROR(__xludf.DUMMYFUNCTION("""COMPUTED_VALUE"""),6.7)</f>
        <v>6.7</v>
      </c>
      <c r="S4495" s="4">
        <f>IFERROR(__xludf.DUMMYFUNCTION("""COMPUTED_VALUE"""),103.5)</f>
        <v>103.5</v>
      </c>
      <c r="T4495" s="4">
        <f>IFERROR(__xludf.DUMMYFUNCTION("""COMPUTED_VALUE"""),0.143)</f>
        <v>0.143</v>
      </c>
      <c r="U4495" s="4">
        <f>IFERROR(__xludf.DUMMYFUNCTION("""COMPUTED_VALUE"""),2.8)</f>
        <v>2.8</v>
      </c>
      <c r="V4495" s="4">
        <f>IFERROR(__xludf.DUMMYFUNCTION("""COMPUTED_VALUE"""),42.1)</f>
        <v>42.1</v>
      </c>
    </row>
    <row r="4496">
      <c r="A4496" s="4">
        <f>IFERROR(__xludf.DUMMYFUNCTION("""COMPUTED_VALUE"""),37.0)</f>
        <v>37</v>
      </c>
      <c r="B4496" s="4">
        <f>IFERROR(__xludf.DUMMYFUNCTION("""COMPUTED_VALUE"""),37.0)</f>
        <v>37</v>
      </c>
      <c r="C4496" s="4" t="str">
        <f>IFERROR(__xludf.DUMMYFUNCTION("""COMPUTED_VALUE"""),"WSB")</f>
        <v>WSB</v>
      </c>
      <c r="D4496" s="4" t="str">
        <f>IFERROR(__xludf.DUMMYFUNCTION("""COMPUTED_VALUE"""),"Terry Sykes")</f>
        <v>Terry Sykes</v>
      </c>
      <c r="E4496" s="4" t="str">
        <f>IFERROR(__xludf.DUMMYFUNCTION("""COMPUTED_VALUE"""),"Grambling State University")</f>
        <v>Grambling State University</v>
      </c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</row>
    <row r="4497">
      <c r="A4497" s="4">
        <f>IFERROR(__xludf.DUMMYFUNCTION("""COMPUTED_VALUE"""),38.0)</f>
        <v>38</v>
      </c>
      <c r="B4497" s="4">
        <f>IFERROR(__xludf.DUMMYFUNCTION("""COMPUTED_VALUE"""),38.0)</f>
        <v>38</v>
      </c>
      <c r="C4497" s="4" t="str">
        <f>IFERROR(__xludf.DUMMYFUNCTION("""COMPUTED_VALUE"""),"LAL")</f>
        <v>LAL</v>
      </c>
      <c r="D4497" s="4" t="str">
        <f>IFERROR(__xludf.DUMMYFUNCTION("""COMPUTED_VALUE"""),"Lew Massey")</f>
        <v>Lew Massey</v>
      </c>
      <c r="E4497" s="4" t="str">
        <f>IFERROR(__xludf.DUMMYFUNCTION("""COMPUTED_VALUE"""),"UNC Charlotte")</f>
        <v>UNC Charlotte</v>
      </c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</row>
    <row r="4498">
      <c r="A4498" s="4">
        <f>IFERROR(__xludf.DUMMYFUNCTION("""COMPUTED_VALUE"""),39.0)</f>
        <v>39</v>
      </c>
      <c r="B4498" s="4">
        <f>IFERROR(__xludf.DUMMYFUNCTION("""COMPUTED_VALUE"""),39.0)</f>
        <v>39</v>
      </c>
      <c r="C4498" s="4" t="str">
        <f>IFERROR(__xludf.DUMMYFUNCTION("""COMPUTED_VALUE"""),"SEA")</f>
        <v>SEA</v>
      </c>
      <c r="D4498" s="4" t="str">
        <f>IFERROR(__xludf.DUMMYFUNCTION("""COMPUTED_VALUE"""),"James Lee")</f>
        <v>James Lee</v>
      </c>
      <c r="E4498" s="4" t="str">
        <f>IFERROR(__xludf.DUMMYFUNCTION("""COMPUTED_VALUE"""),"Kentucky")</f>
        <v>Kentucky</v>
      </c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</row>
    <row r="4499">
      <c r="A4499" s="4">
        <f>IFERROR(__xludf.DUMMYFUNCTION("""COMPUTED_VALUE"""),40.0)</f>
        <v>40</v>
      </c>
      <c r="B4499" s="4">
        <f>IFERROR(__xludf.DUMMYFUNCTION("""COMPUTED_VALUE"""),40.0)</f>
        <v>40</v>
      </c>
      <c r="C4499" s="4" t="str">
        <f>IFERROR(__xludf.DUMMYFUNCTION("""COMPUTED_VALUE"""),"GSW")</f>
        <v>GSW</v>
      </c>
      <c r="D4499" s="4" t="str">
        <f>IFERROR(__xludf.DUMMYFUNCTION("""COMPUTED_VALUE"""),"Wayne Cooper")</f>
        <v>Wayne Cooper</v>
      </c>
      <c r="E4499" s="4" t="str">
        <f>IFERROR(__xludf.DUMMYFUNCTION("""COMPUTED_VALUE"""),"New Orleans")</f>
        <v>New Orleans</v>
      </c>
      <c r="F4499" s="4">
        <f>IFERROR(__xludf.DUMMYFUNCTION("""COMPUTED_VALUE"""),14.0)</f>
        <v>14</v>
      </c>
      <c r="G4499" s="4">
        <f>IFERROR(__xludf.DUMMYFUNCTION("""COMPUTED_VALUE"""),984.0)</f>
        <v>984</v>
      </c>
      <c r="H4499" s="4">
        <f>IFERROR(__xludf.DUMMYFUNCTION("""COMPUTED_VALUE"""),20274.0)</f>
        <v>20274</v>
      </c>
      <c r="I4499" s="4">
        <f>IFERROR(__xludf.DUMMYFUNCTION("""COMPUTED_VALUE"""),7777.0)</f>
        <v>7777</v>
      </c>
      <c r="J4499" s="4">
        <f>IFERROR(__xludf.DUMMYFUNCTION("""COMPUTED_VALUE"""),6095.0)</f>
        <v>6095</v>
      </c>
      <c r="K4499" s="4">
        <f>IFERROR(__xludf.DUMMYFUNCTION("""COMPUTED_VALUE"""),852.0)</f>
        <v>852</v>
      </c>
      <c r="L4499" s="4">
        <f>IFERROR(__xludf.DUMMYFUNCTION("""COMPUTED_VALUE"""),0.457)</f>
        <v>0.457</v>
      </c>
      <c r="M4499" s="4"/>
      <c r="N4499" s="4">
        <f>IFERROR(__xludf.DUMMYFUNCTION("""COMPUTED_VALUE"""),0.736)</f>
        <v>0.736</v>
      </c>
      <c r="O4499" s="4">
        <f>IFERROR(__xludf.DUMMYFUNCTION("""COMPUTED_VALUE"""),20.6)</f>
        <v>20.6</v>
      </c>
      <c r="P4499" s="4">
        <f>IFERROR(__xludf.DUMMYFUNCTION("""COMPUTED_VALUE"""),7.9)</f>
        <v>7.9</v>
      </c>
      <c r="Q4499" s="4">
        <f>IFERROR(__xludf.DUMMYFUNCTION("""COMPUTED_VALUE"""),6.2)</f>
        <v>6.2</v>
      </c>
      <c r="R4499" s="4">
        <f>IFERROR(__xludf.DUMMYFUNCTION("""COMPUTED_VALUE"""),0.9)</f>
        <v>0.9</v>
      </c>
      <c r="S4499" s="4">
        <f>IFERROR(__xludf.DUMMYFUNCTION("""COMPUTED_VALUE"""),36.9)</f>
        <v>36.9</v>
      </c>
      <c r="T4499" s="4">
        <f>IFERROR(__xludf.DUMMYFUNCTION("""COMPUTED_VALUE"""),0.087)</f>
        <v>0.087</v>
      </c>
      <c r="U4499" s="4">
        <f>IFERROR(__xludf.DUMMYFUNCTION("""COMPUTED_VALUE"""),-2.3)</f>
        <v>-2.3</v>
      </c>
      <c r="V4499" s="4">
        <f>IFERROR(__xludf.DUMMYFUNCTION("""COMPUTED_VALUE"""),-1.4)</f>
        <v>-1.4</v>
      </c>
    </row>
    <row r="4500">
      <c r="A4500" s="4">
        <f>IFERROR(__xludf.DUMMYFUNCTION("""COMPUTED_VALUE"""),41.0)</f>
        <v>41</v>
      </c>
      <c r="B4500" s="4">
        <f>IFERROR(__xludf.DUMMYFUNCTION("""COMPUTED_VALUE"""),41.0)</f>
        <v>41</v>
      </c>
      <c r="C4500" s="4" t="str">
        <f>IFERROR(__xludf.DUMMYFUNCTION("""COMPUTED_VALUE"""),"SDC")</f>
        <v>SDC</v>
      </c>
      <c r="D4500" s="4" t="str">
        <f>IFERROR(__xludf.DUMMYFUNCTION("""COMPUTED_VALUE"""),"Jerome Whitehead")</f>
        <v>Jerome Whitehead</v>
      </c>
      <c r="E4500" s="4" t="str">
        <f>IFERROR(__xludf.DUMMYFUNCTION("""COMPUTED_VALUE"""),"Marquette")</f>
        <v>Marquette</v>
      </c>
      <c r="F4500" s="4">
        <f>IFERROR(__xludf.DUMMYFUNCTION("""COMPUTED_VALUE"""),11.0)</f>
        <v>11</v>
      </c>
      <c r="G4500" s="4">
        <f>IFERROR(__xludf.DUMMYFUNCTION("""COMPUTED_VALUE"""),679.0)</f>
        <v>679</v>
      </c>
      <c r="H4500" s="4">
        <f>IFERROR(__xludf.DUMMYFUNCTION("""COMPUTED_VALUE"""),11828.0)</f>
        <v>11828</v>
      </c>
      <c r="I4500" s="4">
        <f>IFERROR(__xludf.DUMMYFUNCTION("""COMPUTED_VALUE"""),4423.0)</f>
        <v>4423</v>
      </c>
      <c r="J4500" s="4">
        <f>IFERROR(__xludf.DUMMYFUNCTION("""COMPUTED_VALUE"""),3268.0)</f>
        <v>3268</v>
      </c>
      <c r="K4500" s="4">
        <f>IFERROR(__xludf.DUMMYFUNCTION("""COMPUTED_VALUE"""),374.0)</f>
        <v>374</v>
      </c>
      <c r="L4500" s="4">
        <f>IFERROR(__xludf.DUMMYFUNCTION("""COMPUTED_VALUE"""),0.497)</f>
        <v>0.497</v>
      </c>
      <c r="M4500" s="4"/>
      <c r="N4500" s="4">
        <f>IFERROR(__xludf.DUMMYFUNCTION("""COMPUTED_VALUE"""),0.718)</f>
        <v>0.718</v>
      </c>
      <c r="O4500" s="4">
        <f>IFERROR(__xludf.DUMMYFUNCTION("""COMPUTED_VALUE"""),17.4)</f>
        <v>17.4</v>
      </c>
      <c r="P4500" s="4">
        <f>IFERROR(__xludf.DUMMYFUNCTION("""COMPUTED_VALUE"""),6.5)</f>
        <v>6.5</v>
      </c>
      <c r="Q4500" s="4">
        <f>IFERROR(__xludf.DUMMYFUNCTION("""COMPUTED_VALUE"""),4.8)</f>
        <v>4.8</v>
      </c>
      <c r="R4500" s="4">
        <f>IFERROR(__xludf.DUMMYFUNCTION("""COMPUTED_VALUE"""),0.6)</f>
        <v>0.6</v>
      </c>
      <c r="S4500" s="4">
        <f>IFERROR(__xludf.DUMMYFUNCTION("""COMPUTED_VALUE"""),16.4)</f>
        <v>16.4</v>
      </c>
      <c r="T4500" s="4">
        <f>IFERROR(__xludf.DUMMYFUNCTION("""COMPUTED_VALUE"""),0.067)</f>
        <v>0.067</v>
      </c>
      <c r="U4500" s="4">
        <f>IFERROR(__xludf.DUMMYFUNCTION("""COMPUTED_VALUE"""),-3.7)</f>
        <v>-3.7</v>
      </c>
      <c r="V4500" s="4">
        <f>IFERROR(__xludf.DUMMYFUNCTION("""COMPUTED_VALUE"""),-5.1)</f>
        <v>-5.1</v>
      </c>
    </row>
    <row r="4501">
      <c r="A4501" s="4">
        <f>IFERROR(__xludf.DUMMYFUNCTION("""COMPUTED_VALUE"""),42.0)</f>
        <v>42</v>
      </c>
      <c r="B4501" s="4">
        <f>IFERROR(__xludf.DUMMYFUNCTION("""COMPUTED_VALUE"""),42.0)</f>
        <v>42</v>
      </c>
      <c r="C4501" s="4" t="str">
        <f>IFERROR(__xludf.DUMMYFUNCTION("""COMPUTED_VALUE"""),"SEA")</f>
        <v>SEA</v>
      </c>
      <c r="D4501" s="4" t="str">
        <f>IFERROR(__xludf.DUMMYFUNCTION("""COMPUTED_VALUE"""),"Keven McDonald")</f>
        <v>Keven McDonald</v>
      </c>
      <c r="E4501" s="4" t="str">
        <f>IFERROR(__xludf.DUMMYFUNCTION("""COMPUTED_VALUE"""),"Penn")</f>
        <v>Penn</v>
      </c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</row>
    <row r="4502">
      <c r="A4502" s="4">
        <f>IFERROR(__xludf.DUMMYFUNCTION("""COMPUTED_VALUE"""),43.0)</f>
        <v>43</v>
      </c>
      <c r="B4502" s="4">
        <f>IFERROR(__xludf.DUMMYFUNCTION("""COMPUTED_VALUE"""),43.0)</f>
        <v>43</v>
      </c>
      <c r="C4502" s="4" t="str">
        <f>IFERROR(__xludf.DUMMYFUNCTION("""COMPUTED_VALUE"""),"PHI")</f>
        <v>PHI</v>
      </c>
      <c r="D4502" s="4" t="str">
        <f>IFERROR(__xludf.DUMMYFUNCTION("""COMPUTED_VALUE"""),"Glenn Hagan")</f>
        <v>Glenn Hagan</v>
      </c>
      <c r="E4502" s="4" t="str">
        <f>IFERROR(__xludf.DUMMYFUNCTION("""COMPUTED_VALUE"""),"St. Bonaventure")</f>
        <v>St. Bonaventure</v>
      </c>
      <c r="F4502" s="4">
        <f>IFERROR(__xludf.DUMMYFUNCTION("""COMPUTED_VALUE"""),1.0)</f>
        <v>1</v>
      </c>
      <c r="G4502" s="4">
        <f>IFERROR(__xludf.DUMMYFUNCTION("""COMPUTED_VALUE"""),4.0)</f>
        <v>4</v>
      </c>
      <c r="H4502" s="4">
        <f>IFERROR(__xludf.DUMMYFUNCTION("""COMPUTED_VALUE"""),25.0)</f>
        <v>25</v>
      </c>
      <c r="I4502" s="4">
        <f>IFERROR(__xludf.DUMMYFUNCTION("""COMPUTED_VALUE"""),7.0)</f>
        <v>7</v>
      </c>
      <c r="J4502" s="4">
        <f>IFERROR(__xludf.DUMMYFUNCTION("""COMPUTED_VALUE"""),4.0)</f>
        <v>4</v>
      </c>
      <c r="K4502" s="4">
        <f>IFERROR(__xludf.DUMMYFUNCTION("""COMPUTED_VALUE"""),8.0)</f>
        <v>8</v>
      </c>
      <c r="L4502" s="4">
        <f>IFERROR(__xludf.DUMMYFUNCTION("""COMPUTED_VALUE"""),0.429)</f>
        <v>0.429</v>
      </c>
      <c r="M4502" s="4"/>
      <c r="N4502" s="4">
        <f>IFERROR(__xludf.DUMMYFUNCTION("""COMPUTED_VALUE"""),1.0)</f>
        <v>1</v>
      </c>
      <c r="O4502" s="4">
        <f>IFERROR(__xludf.DUMMYFUNCTION("""COMPUTED_VALUE"""),6.3)</f>
        <v>6.3</v>
      </c>
      <c r="P4502" s="4">
        <f>IFERROR(__xludf.DUMMYFUNCTION("""COMPUTED_VALUE"""),1.8)</f>
        <v>1.8</v>
      </c>
      <c r="Q4502" s="4">
        <f>IFERROR(__xludf.DUMMYFUNCTION("""COMPUTED_VALUE"""),1.0)</f>
        <v>1</v>
      </c>
      <c r="R4502" s="4">
        <f>IFERROR(__xludf.DUMMYFUNCTION("""COMPUTED_VALUE"""),2.0)</f>
        <v>2</v>
      </c>
      <c r="S4502" s="4">
        <f>IFERROR(__xludf.DUMMYFUNCTION("""COMPUTED_VALUE"""),0.1)</f>
        <v>0.1</v>
      </c>
      <c r="T4502" s="4">
        <f>IFERROR(__xludf.DUMMYFUNCTION("""COMPUTED_VALUE"""),0.201)</f>
        <v>0.201</v>
      </c>
      <c r="U4502" s="4">
        <f>IFERROR(__xludf.DUMMYFUNCTION("""COMPUTED_VALUE"""),-2.7)</f>
        <v>-2.7</v>
      </c>
      <c r="V4502" s="4">
        <f>IFERROR(__xludf.DUMMYFUNCTION("""COMPUTED_VALUE"""),0.0)</f>
        <v>0</v>
      </c>
    </row>
    <row r="4503">
      <c r="A4503" s="4">
        <f>IFERROR(__xludf.DUMMYFUNCTION("""COMPUTED_VALUE"""),44.0)</f>
        <v>44</v>
      </c>
      <c r="B4503" s="4">
        <f>IFERROR(__xludf.DUMMYFUNCTION("""COMPUTED_VALUE"""),44.0)</f>
        <v>44</v>
      </c>
      <c r="C4503" s="4" t="str">
        <f>IFERROR(__xludf.DUMMYFUNCTION("""COMPUTED_VALUE"""),"POR")</f>
        <v>POR</v>
      </c>
      <c r="D4503" s="4" t="str">
        <f>IFERROR(__xludf.DUMMYFUNCTION("""COMPUTED_VALUE"""),"Clemon Johnson")</f>
        <v>Clemon Johnson</v>
      </c>
      <c r="E4503" s="4" t="str">
        <f>IFERROR(__xludf.DUMMYFUNCTION("""COMPUTED_VALUE"""),"Florida A&amp;M")</f>
        <v>Florida A&amp;M</v>
      </c>
      <c r="F4503" s="4">
        <f>IFERROR(__xludf.DUMMYFUNCTION("""COMPUTED_VALUE"""),10.0)</f>
        <v>10</v>
      </c>
      <c r="G4503" s="4">
        <f>IFERROR(__xludf.DUMMYFUNCTION("""COMPUTED_VALUE"""),761.0)</f>
        <v>761</v>
      </c>
      <c r="H4503" s="4">
        <f>IFERROR(__xludf.DUMMYFUNCTION("""COMPUTED_VALUE"""),13310.0)</f>
        <v>13310</v>
      </c>
      <c r="I4503" s="4">
        <f>IFERROR(__xludf.DUMMYFUNCTION("""COMPUTED_VALUE"""),4102.0)</f>
        <v>4102</v>
      </c>
      <c r="J4503" s="4">
        <f>IFERROR(__xludf.DUMMYFUNCTION("""COMPUTED_VALUE"""),3508.0)</f>
        <v>3508</v>
      </c>
      <c r="K4503" s="4">
        <f>IFERROR(__xludf.DUMMYFUNCTION("""COMPUTED_VALUE"""),744.0)</f>
        <v>744</v>
      </c>
      <c r="L4503" s="4">
        <f>IFERROR(__xludf.DUMMYFUNCTION("""COMPUTED_VALUE"""),0.492)</f>
        <v>0.492</v>
      </c>
      <c r="M4503" s="4"/>
      <c r="N4503" s="4">
        <f>IFERROR(__xludf.DUMMYFUNCTION("""COMPUTED_VALUE"""),0.621)</f>
        <v>0.621</v>
      </c>
      <c r="O4503" s="4">
        <f>IFERROR(__xludf.DUMMYFUNCTION("""COMPUTED_VALUE"""),17.5)</f>
        <v>17.5</v>
      </c>
      <c r="P4503" s="4">
        <f>IFERROR(__xludf.DUMMYFUNCTION("""COMPUTED_VALUE"""),5.4)</f>
        <v>5.4</v>
      </c>
      <c r="Q4503" s="4">
        <f>IFERROR(__xludf.DUMMYFUNCTION("""COMPUTED_VALUE"""),4.6)</f>
        <v>4.6</v>
      </c>
      <c r="R4503" s="4">
        <f>IFERROR(__xludf.DUMMYFUNCTION("""COMPUTED_VALUE"""),1.0)</f>
        <v>1</v>
      </c>
      <c r="S4503" s="4">
        <f>IFERROR(__xludf.DUMMYFUNCTION("""COMPUTED_VALUE"""),25.5)</f>
        <v>25.5</v>
      </c>
      <c r="T4503" s="4">
        <f>IFERROR(__xludf.DUMMYFUNCTION("""COMPUTED_VALUE"""),0.092)</f>
        <v>0.092</v>
      </c>
      <c r="U4503" s="4">
        <f>IFERROR(__xludf.DUMMYFUNCTION("""COMPUTED_VALUE"""),-0.8)</f>
        <v>-0.8</v>
      </c>
      <c r="V4503" s="4">
        <f>IFERROR(__xludf.DUMMYFUNCTION("""COMPUTED_VALUE"""),4.1)</f>
        <v>4.1</v>
      </c>
    </row>
    <row r="4504">
      <c r="A4504" s="4"/>
      <c r="B4504" s="4"/>
      <c r="C4504" s="4"/>
      <c r="D4504" s="4" t="str">
        <f>IFERROR(__xludf.DUMMYFUNCTION("""COMPUTED_VALUE"""),"Round 3")</f>
        <v>Round 3</v>
      </c>
      <c r="E4504" s="4"/>
      <c r="F4504" s="4"/>
      <c r="G4504" s="4" t="str">
        <f>IFERROR(__xludf.DUMMYFUNCTION("""COMPUTED_VALUE"""),"Totals")</f>
        <v>Totals</v>
      </c>
      <c r="H4504" s="4"/>
      <c r="I4504" s="4"/>
      <c r="J4504" s="4"/>
      <c r="K4504" s="4"/>
      <c r="L4504" s="4" t="str">
        <f>IFERROR(__xludf.DUMMYFUNCTION("""COMPUTED_VALUE"""),"Shooting")</f>
        <v>Shooting</v>
      </c>
      <c r="M4504" s="4"/>
      <c r="N4504" s="4"/>
      <c r="O4504" s="4" t="str">
        <f>IFERROR(__xludf.DUMMYFUNCTION("""COMPUTED_VALUE"""),"Per Game")</f>
        <v>Per Game</v>
      </c>
      <c r="P4504" s="4"/>
      <c r="Q4504" s="4"/>
      <c r="R4504" s="4"/>
      <c r="S4504" s="4" t="str">
        <f>IFERROR(__xludf.DUMMYFUNCTION("""COMPUTED_VALUE"""),"Advanced")</f>
        <v>Advanced</v>
      </c>
      <c r="T4504" s="4"/>
      <c r="U4504" s="4"/>
      <c r="V4504" s="4"/>
    </row>
    <row r="4505">
      <c r="A4505" s="4" t="str">
        <f>IFERROR(__xludf.DUMMYFUNCTION("""COMPUTED_VALUE"""),"Rk")</f>
        <v>Rk</v>
      </c>
      <c r="B4505" s="4" t="str">
        <f>IFERROR(__xludf.DUMMYFUNCTION("""COMPUTED_VALUE"""),"Pk")</f>
        <v>Pk</v>
      </c>
      <c r="C4505" s="4" t="str">
        <f>IFERROR(__xludf.DUMMYFUNCTION("""COMPUTED_VALUE"""),"Tm")</f>
        <v>Tm</v>
      </c>
      <c r="D4505" s="4" t="str">
        <f>IFERROR(__xludf.DUMMYFUNCTION("""COMPUTED_VALUE"""),"Player")</f>
        <v>Player</v>
      </c>
      <c r="E4505" s="4" t="str">
        <f>IFERROR(__xludf.DUMMYFUNCTION("""COMPUTED_VALUE"""),"College")</f>
        <v>College</v>
      </c>
      <c r="F4505" s="4" t="str">
        <f>IFERROR(__xludf.DUMMYFUNCTION("""COMPUTED_VALUE"""),"Yrs")</f>
        <v>Yrs</v>
      </c>
      <c r="G4505" s="4" t="str">
        <f>IFERROR(__xludf.DUMMYFUNCTION("""COMPUTED_VALUE"""),"G")</f>
        <v>G</v>
      </c>
      <c r="H4505" s="4" t="str">
        <f>IFERROR(__xludf.DUMMYFUNCTION("""COMPUTED_VALUE"""),"MP")</f>
        <v>MP</v>
      </c>
      <c r="I4505" s="4" t="str">
        <f>IFERROR(__xludf.DUMMYFUNCTION("""COMPUTED_VALUE"""),"PTS")</f>
        <v>PTS</v>
      </c>
      <c r="J4505" s="4" t="str">
        <f>IFERROR(__xludf.DUMMYFUNCTION("""COMPUTED_VALUE"""),"TRB")</f>
        <v>TRB</v>
      </c>
      <c r="K4505" s="4" t="str">
        <f>IFERROR(__xludf.DUMMYFUNCTION("""COMPUTED_VALUE"""),"AST")</f>
        <v>AST</v>
      </c>
      <c r="L4505" s="4" t="str">
        <f>IFERROR(__xludf.DUMMYFUNCTION("""COMPUTED_VALUE"""),"FG%")</f>
        <v>FG%</v>
      </c>
      <c r="M4505" s="4" t="str">
        <f>IFERROR(__xludf.DUMMYFUNCTION("""COMPUTED_VALUE"""),"3P%")</f>
        <v>3P%</v>
      </c>
      <c r="N4505" s="4" t="str">
        <f>IFERROR(__xludf.DUMMYFUNCTION("""COMPUTED_VALUE"""),"FT%")</f>
        <v>FT%</v>
      </c>
      <c r="O4505" s="4" t="str">
        <f>IFERROR(__xludf.DUMMYFUNCTION("""COMPUTED_VALUE"""),"MP")</f>
        <v>MP</v>
      </c>
      <c r="P4505" s="4" t="str">
        <f>IFERROR(__xludf.DUMMYFUNCTION("""COMPUTED_VALUE"""),"PTS")</f>
        <v>PTS</v>
      </c>
      <c r="Q4505" s="4" t="str">
        <f>IFERROR(__xludf.DUMMYFUNCTION("""COMPUTED_VALUE"""),"TRB")</f>
        <v>TRB</v>
      </c>
      <c r="R4505" s="4" t="str">
        <f>IFERROR(__xludf.DUMMYFUNCTION("""COMPUTED_VALUE"""),"AST")</f>
        <v>AST</v>
      </c>
      <c r="S4505" s="4" t="str">
        <f>IFERROR(__xludf.DUMMYFUNCTION("""COMPUTED_VALUE"""),"WS")</f>
        <v>WS</v>
      </c>
      <c r="T4505" s="4" t="str">
        <f>IFERROR(__xludf.DUMMYFUNCTION("""COMPUTED_VALUE"""),"WS/48")</f>
        <v>WS/48</v>
      </c>
      <c r="U4505" s="4" t="str">
        <f>IFERROR(__xludf.DUMMYFUNCTION("""COMPUTED_VALUE"""),"BPM")</f>
        <v>BPM</v>
      </c>
      <c r="V4505" s="4" t="str">
        <f>IFERROR(__xludf.DUMMYFUNCTION("""COMPUTED_VALUE"""),"VORP")</f>
        <v>VORP</v>
      </c>
    </row>
    <row r="4506">
      <c r="A4506" s="4">
        <f>IFERROR(__xludf.DUMMYFUNCTION("""COMPUTED_VALUE"""),45.0)</f>
        <v>45</v>
      </c>
      <c r="B4506" s="4">
        <f>IFERROR(__xludf.DUMMYFUNCTION("""COMPUTED_VALUE"""),45.0)</f>
        <v>45</v>
      </c>
      <c r="C4506" s="4" t="str">
        <f>IFERROR(__xludf.DUMMYFUNCTION("""COMPUTED_VALUE"""),"NJN")</f>
        <v>NJN</v>
      </c>
      <c r="D4506" s="4" t="str">
        <f>IFERROR(__xludf.DUMMYFUNCTION("""COMPUTED_VALUE"""),"Mike Phillips")</f>
        <v>Mike Phillips</v>
      </c>
      <c r="E4506" s="4" t="str">
        <f>IFERROR(__xludf.DUMMYFUNCTION("""COMPUTED_VALUE"""),"Kentucky")</f>
        <v>Kentucky</v>
      </c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</row>
    <row r="4507">
      <c r="A4507" s="4">
        <f>IFERROR(__xludf.DUMMYFUNCTION("""COMPUTED_VALUE"""),46.0)</f>
        <v>46</v>
      </c>
      <c r="B4507" s="4">
        <f>IFERROR(__xludf.DUMMYFUNCTION("""COMPUTED_VALUE"""),46.0)</f>
        <v>46</v>
      </c>
      <c r="C4507" s="4" t="str">
        <f>IFERROR(__xludf.DUMMYFUNCTION("""COMPUTED_VALUE"""),"DEN")</f>
        <v>DEN</v>
      </c>
      <c r="D4507" s="4" t="str">
        <f>IFERROR(__xludf.DUMMYFUNCTION("""COMPUTED_VALUE"""),"Hollis Copeland")</f>
        <v>Hollis Copeland</v>
      </c>
      <c r="E4507" s="4" t="str">
        <f>IFERROR(__xludf.DUMMYFUNCTION("""COMPUTED_VALUE"""),"Rutgers University")</f>
        <v>Rutgers University</v>
      </c>
      <c r="F4507" s="4">
        <f>IFERROR(__xludf.DUMMYFUNCTION("""COMPUTED_VALUE"""),2.0)</f>
        <v>2</v>
      </c>
      <c r="G4507" s="4">
        <f>IFERROR(__xludf.DUMMYFUNCTION("""COMPUTED_VALUE"""),93.0)</f>
        <v>93</v>
      </c>
      <c r="H4507" s="4">
        <f>IFERROR(__xludf.DUMMYFUNCTION("""COMPUTED_VALUE"""),1260.0)</f>
        <v>1260</v>
      </c>
      <c r="I4507" s="4">
        <f>IFERROR(__xludf.DUMMYFUNCTION("""COMPUTED_VALUE"""),464.0)</f>
        <v>464</v>
      </c>
      <c r="J4507" s="4">
        <f>IFERROR(__xludf.DUMMYFUNCTION("""COMPUTED_VALUE"""),161.0)</f>
        <v>161</v>
      </c>
      <c r="K4507" s="4">
        <f>IFERROR(__xludf.DUMMYFUNCTION("""COMPUTED_VALUE"""),89.0)</f>
        <v>89</v>
      </c>
      <c r="L4507" s="4">
        <f>IFERROR(__xludf.DUMMYFUNCTION("""COMPUTED_VALUE"""),0.488)</f>
        <v>0.488</v>
      </c>
      <c r="M4507" s="4">
        <f>IFERROR(__xludf.DUMMYFUNCTION("""COMPUTED_VALUE"""),0.0)</f>
        <v>0</v>
      </c>
      <c r="N4507" s="4">
        <f>IFERROR(__xludf.DUMMYFUNCTION("""COMPUTED_VALUE"""),0.739)</f>
        <v>0.739</v>
      </c>
      <c r="O4507" s="4">
        <f>IFERROR(__xludf.DUMMYFUNCTION("""COMPUTED_VALUE"""),13.5)</f>
        <v>13.5</v>
      </c>
      <c r="P4507" s="4">
        <f>IFERROR(__xludf.DUMMYFUNCTION("""COMPUTED_VALUE"""),5.0)</f>
        <v>5</v>
      </c>
      <c r="Q4507" s="4">
        <f>IFERROR(__xludf.DUMMYFUNCTION("""COMPUTED_VALUE"""),1.7)</f>
        <v>1.7</v>
      </c>
      <c r="R4507" s="4">
        <f>IFERROR(__xludf.DUMMYFUNCTION("""COMPUTED_VALUE"""),1.0)</f>
        <v>1</v>
      </c>
      <c r="S4507" s="4">
        <f>IFERROR(__xludf.DUMMYFUNCTION("""COMPUTED_VALUE"""),1.3)</f>
        <v>1.3</v>
      </c>
      <c r="T4507" s="4">
        <f>IFERROR(__xludf.DUMMYFUNCTION("""COMPUTED_VALUE"""),0.05)</f>
        <v>0.05</v>
      </c>
      <c r="U4507" s="4">
        <f>IFERROR(__xludf.DUMMYFUNCTION("""COMPUTED_VALUE"""),-2.0)</f>
        <v>-2</v>
      </c>
      <c r="V4507" s="4">
        <f>IFERROR(__xludf.DUMMYFUNCTION("""COMPUTED_VALUE"""),0.0)</f>
        <v>0</v>
      </c>
    </row>
    <row r="4508">
      <c r="A4508" s="4">
        <f>IFERROR(__xludf.DUMMYFUNCTION("""COMPUTED_VALUE"""),47.0)</f>
        <v>47</v>
      </c>
      <c r="B4508" s="4">
        <f>IFERROR(__xludf.DUMMYFUNCTION("""COMPUTED_VALUE"""),47.0)</f>
        <v>47</v>
      </c>
      <c r="C4508" s="4" t="str">
        <f>IFERROR(__xludf.DUMMYFUNCTION("""COMPUTED_VALUE"""),"HOU")</f>
        <v>HOU</v>
      </c>
      <c r="D4508" s="4" t="str">
        <f>IFERROR(__xludf.DUMMYFUNCTION("""COMPUTED_VALUE"""),"Billy Ray Bates")</f>
        <v>Billy Ray Bates</v>
      </c>
      <c r="E4508" s="4" t="str">
        <f>IFERROR(__xludf.DUMMYFUNCTION("""COMPUTED_VALUE"""),"Kentucky State University")</f>
        <v>Kentucky State University</v>
      </c>
      <c r="F4508" s="4">
        <f>IFERROR(__xludf.DUMMYFUNCTION("""COMPUTED_VALUE"""),4.0)</f>
        <v>4</v>
      </c>
      <c r="G4508" s="4">
        <f>IFERROR(__xludf.DUMMYFUNCTION("""COMPUTED_VALUE"""),187.0)</f>
        <v>187</v>
      </c>
      <c r="H4508" s="4">
        <f>IFERROR(__xludf.DUMMYFUNCTION("""COMPUTED_VALUE"""),3328.0)</f>
        <v>3328</v>
      </c>
      <c r="I4508" s="4">
        <f>IFERROR(__xludf.DUMMYFUNCTION("""COMPUTED_VALUE"""),2197.0)</f>
        <v>2197</v>
      </c>
      <c r="J4508" s="4">
        <f>IFERROR(__xludf.DUMMYFUNCTION("""COMPUTED_VALUE"""),313.0)</f>
        <v>313</v>
      </c>
      <c r="K4508" s="4">
        <f>IFERROR(__xludf.DUMMYFUNCTION("""COMPUTED_VALUE"""),352.0)</f>
        <v>352</v>
      </c>
      <c r="L4508" s="4">
        <f>IFERROR(__xludf.DUMMYFUNCTION("""COMPUTED_VALUE"""),0.474)</f>
        <v>0.474</v>
      </c>
      <c r="M4508" s="4">
        <f>IFERROR(__xludf.DUMMYFUNCTION("""COMPUTED_VALUE"""),0.303)</f>
        <v>0.303</v>
      </c>
      <c r="N4508" s="4">
        <f>IFERROR(__xludf.DUMMYFUNCTION("""COMPUTED_VALUE"""),0.796)</f>
        <v>0.796</v>
      </c>
      <c r="O4508" s="4">
        <f>IFERROR(__xludf.DUMMYFUNCTION("""COMPUTED_VALUE"""),17.8)</f>
        <v>17.8</v>
      </c>
      <c r="P4508" s="4">
        <f>IFERROR(__xludf.DUMMYFUNCTION("""COMPUTED_VALUE"""),11.7)</f>
        <v>11.7</v>
      </c>
      <c r="Q4508" s="4">
        <f>IFERROR(__xludf.DUMMYFUNCTION("""COMPUTED_VALUE"""),1.7)</f>
        <v>1.7</v>
      </c>
      <c r="R4508" s="4">
        <f>IFERROR(__xludf.DUMMYFUNCTION("""COMPUTED_VALUE"""),1.9)</f>
        <v>1.9</v>
      </c>
      <c r="S4508" s="4">
        <f>IFERROR(__xludf.DUMMYFUNCTION("""COMPUTED_VALUE"""),6.9)</f>
        <v>6.9</v>
      </c>
      <c r="T4508" s="4">
        <f>IFERROR(__xludf.DUMMYFUNCTION("""COMPUTED_VALUE"""),0.099)</f>
        <v>0.099</v>
      </c>
      <c r="U4508" s="4">
        <f>IFERROR(__xludf.DUMMYFUNCTION("""COMPUTED_VALUE"""),0.5)</f>
        <v>0.5</v>
      </c>
      <c r="V4508" s="4">
        <f>IFERROR(__xludf.DUMMYFUNCTION("""COMPUTED_VALUE"""),2.1)</f>
        <v>2.1</v>
      </c>
    </row>
    <row r="4509">
      <c r="A4509" s="4">
        <f>IFERROR(__xludf.DUMMYFUNCTION("""COMPUTED_VALUE"""),48.0)</f>
        <v>48</v>
      </c>
      <c r="B4509" s="4">
        <f>IFERROR(__xludf.DUMMYFUNCTION("""COMPUTED_VALUE"""),48.0)</f>
        <v>48</v>
      </c>
      <c r="C4509" s="4" t="str">
        <f>IFERROR(__xludf.DUMMYFUNCTION("""COMPUTED_VALUE"""),"SDC")</f>
        <v>SDC</v>
      </c>
      <c r="D4509" s="4" t="str">
        <f>IFERROR(__xludf.DUMMYFUNCTION("""COMPUTED_VALUE"""),"Mike Santos")</f>
        <v>Mike Santos</v>
      </c>
      <c r="E4509" s="4" t="str">
        <f>IFERROR(__xludf.DUMMYFUNCTION("""COMPUTED_VALUE"""),"Utah State University")</f>
        <v>Utah State University</v>
      </c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</row>
    <row r="4510">
      <c r="A4510" s="4">
        <f>IFERROR(__xludf.DUMMYFUNCTION("""COMPUTED_VALUE"""),49.0)</f>
        <v>49</v>
      </c>
      <c r="B4510" s="4">
        <f>IFERROR(__xludf.DUMMYFUNCTION("""COMPUTED_VALUE"""),49.0)</f>
        <v>49</v>
      </c>
      <c r="C4510" s="4" t="str">
        <f>IFERROR(__xludf.DUMMYFUNCTION("""COMPUTED_VALUE"""),"KCK")</f>
        <v>KCK</v>
      </c>
      <c r="D4510" s="4" t="str">
        <f>IFERROR(__xludf.DUMMYFUNCTION("""COMPUTED_VALUE"""),"Jeff Cook")</f>
        <v>Jeff Cook</v>
      </c>
      <c r="E4510" s="4" t="str">
        <f>IFERROR(__xludf.DUMMYFUNCTION("""COMPUTED_VALUE"""),"Idaho State University")</f>
        <v>Idaho State University</v>
      </c>
      <c r="F4510" s="4">
        <f>IFERROR(__xludf.DUMMYFUNCTION("""COMPUTED_VALUE"""),8.0)</f>
        <v>8</v>
      </c>
      <c r="G4510" s="4">
        <f>IFERROR(__xludf.DUMMYFUNCTION("""COMPUTED_VALUE"""),518.0)</f>
        <v>518</v>
      </c>
      <c r="H4510" s="4">
        <f>IFERROR(__xludf.DUMMYFUNCTION("""COMPUTED_VALUE"""),9697.0)</f>
        <v>9697</v>
      </c>
      <c r="I4510" s="4">
        <f>IFERROR(__xludf.DUMMYFUNCTION("""COMPUTED_VALUE"""),2734.0)</f>
        <v>2734</v>
      </c>
      <c r="J4510" s="4">
        <f>IFERROR(__xludf.DUMMYFUNCTION("""COMPUTED_VALUE"""),2334.0)</f>
        <v>2334</v>
      </c>
      <c r="K4510" s="4">
        <f>IFERROR(__xludf.DUMMYFUNCTION("""COMPUTED_VALUE"""),707.0)</f>
        <v>707</v>
      </c>
      <c r="L4510" s="4">
        <f>IFERROR(__xludf.DUMMYFUNCTION("""COMPUTED_VALUE"""),0.462)</f>
        <v>0.462</v>
      </c>
      <c r="M4510" s="4">
        <f>IFERROR(__xludf.DUMMYFUNCTION("""COMPUTED_VALUE"""),0.056)</f>
        <v>0.056</v>
      </c>
      <c r="N4510" s="4">
        <f>IFERROR(__xludf.DUMMYFUNCTION("""COMPUTED_VALUE"""),0.716)</f>
        <v>0.716</v>
      </c>
      <c r="O4510" s="4">
        <f>IFERROR(__xludf.DUMMYFUNCTION("""COMPUTED_VALUE"""),18.7)</f>
        <v>18.7</v>
      </c>
      <c r="P4510" s="4">
        <f>IFERROR(__xludf.DUMMYFUNCTION("""COMPUTED_VALUE"""),5.3)</f>
        <v>5.3</v>
      </c>
      <c r="Q4510" s="4">
        <f>IFERROR(__xludf.DUMMYFUNCTION("""COMPUTED_VALUE"""),4.5)</f>
        <v>4.5</v>
      </c>
      <c r="R4510" s="4">
        <f>IFERROR(__xludf.DUMMYFUNCTION("""COMPUTED_VALUE"""),1.4)</f>
        <v>1.4</v>
      </c>
      <c r="S4510" s="4">
        <f>IFERROR(__xludf.DUMMYFUNCTION("""COMPUTED_VALUE"""),17.7)</f>
        <v>17.7</v>
      </c>
      <c r="T4510" s="4">
        <f>IFERROR(__xludf.DUMMYFUNCTION("""COMPUTED_VALUE"""),0.088)</f>
        <v>0.088</v>
      </c>
      <c r="U4510" s="4">
        <f>IFERROR(__xludf.DUMMYFUNCTION("""COMPUTED_VALUE"""),-1.4)</f>
        <v>-1.4</v>
      </c>
      <c r="V4510" s="4">
        <f>IFERROR(__xludf.DUMMYFUNCTION("""COMPUTED_VALUE"""),1.6)</f>
        <v>1.6</v>
      </c>
    </row>
    <row r="4511">
      <c r="A4511" s="4">
        <f>IFERROR(__xludf.DUMMYFUNCTION("""COMPUTED_VALUE"""),50.0)</f>
        <v>50</v>
      </c>
      <c r="B4511" s="4">
        <f>IFERROR(__xludf.DUMMYFUNCTION("""COMPUTED_VALUE"""),50.0)</f>
        <v>50</v>
      </c>
      <c r="C4511" s="4" t="str">
        <f>IFERROR(__xludf.DUMMYFUNCTION("""COMPUTED_VALUE"""),"BOS")</f>
        <v>BOS</v>
      </c>
      <c r="D4511" s="4" t="str">
        <f>IFERROR(__xludf.DUMMYFUNCTION("""COMPUTED_VALUE"""),"Dana Skinner")</f>
        <v>Dana Skinner</v>
      </c>
      <c r="E4511" s="4" t="str">
        <f>IFERROR(__xludf.DUMMYFUNCTION("""COMPUTED_VALUE"""),"Merrimack College")</f>
        <v>Merrimack College</v>
      </c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</row>
    <row r="4512">
      <c r="A4512" s="4">
        <f>IFERROR(__xludf.DUMMYFUNCTION("""COMPUTED_VALUE"""),51.0)</f>
        <v>51</v>
      </c>
      <c r="B4512" s="4">
        <f>IFERROR(__xludf.DUMMYFUNCTION("""COMPUTED_VALUE"""),51.0)</f>
        <v>51</v>
      </c>
      <c r="C4512" s="4" t="str">
        <f>IFERROR(__xludf.DUMMYFUNCTION("""COMPUTED_VALUE"""),"SDC")</f>
        <v>SDC</v>
      </c>
      <c r="D4512" s="4" t="str">
        <f>IFERROR(__xludf.DUMMYFUNCTION("""COMPUTED_VALUE"""),"Ricky Gallon")</f>
        <v>Ricky Gallon</v>
      </c>
      <c r="E4512" s="4" t="str">
        <f>IFERROR(__xludf.DUMMYFUNCTION("""COMPUTED_VALUE"""),"Louisville")</f>
        <v>Louisville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</row>
    <row r="4513">
      <c r="A4513" s="4">
        <f>IFERROR(__xludf.DUMMYFUNCTION("""COMPUTED_VALUE"""),52.0)</f>
        <v>52</v>
      </c>
      <c r="B4513" s="4">
        <f>IFERROR(__xludf.DUMMYFUNCTION("""COMPUTED_VALUE"""),52.0)</f>
        <v>52</v>
      </c>
      <c r="C4513" s="4" t="str">
        <f>IFERROR(__xludf.DUMMYFUNCTION("""COMPUTED_VALUE"""),"KCK")</f>
        <v>KCK</v>
      </c>
      <c r="D4513" s="4" t="str">
        <f>IFERROR(__xludf.DUMMYFUNCTION("""COMPUTED_VALUE"""),"Mike Russell")</f>
        <v>Mike Russell</v>
      </c>
      <c r="E4513" s="4" t="str">
        <f>IFERROR(__xludf.DUMMYFUNCTION("""COMPUTED_VALUE"""),"Texas Tech")</f>
        <v>Texas Tech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</row>
    <row r="4514">
      <c r="A4514" s="4">
        <f>IFERROR(__xludf.DUMMYFUNCTION("""COMPUTED_VALUE"""),53.0)</f>
        <v>53</v>
      </c>
      <c r="B4514" s="4">
        <f>IFERROR(__xludf.DUMMYFUNCTION("""COMPUTED_VALUE"""),53.0)</f>
        <v>53</v>
      </c>
      <c r="C4514" s="4" t="str">
        <f>IFERROR(__xludf.DUMMYFUNCTION("""COMPUTED_VALUE"""),"CHI")</f>
        <v>CHI</v>
      </c>
      <c r="D4514" s="4" t="str">
        <f>IFERROR(__xludf.DUMMYFUNCTION("""COMPUTED_VALUE"""),"Randy Ayers")</f>
        <v>Randy Ayers</v>
      </c>
      <c r="E4514" s="4" t="str">
        <f>IFERROR(__xludf.DUMMYFUNCTION("""COMPUTED_VALUE"""),"Miami University")</f>
        <v>Miami University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</row>
    <row r="4515">
      <c r="A4515" s="4">
        <f>IFERROR(__xludf.DUMMYFUNCTION("""COMPUTED_VALUE"""),54.0)</f>
        <v>54</v>
      </c>
      <c r="B4515" s="4">
        <f>IFERROR(__xludf.DUMMYFUNCTION("""COMPUTED_VALUE"""),54.0)</f>
        <v>54</v>
      </c>
      <c r="C4515" s="4" t="str">
        <f>IFERROR(__xludf.DUMMYFUNCTION("""COMPUTED_VALUE"""),"ATL")</f>
        <v>ATL</v>
      </c>
      <c r="D4515" s="4" t="str">
        <f>IFERROR(__xludf.DUMMYFUNCTION("""COMPUTED_VALUE"""),"Steve Grant")</f>
        <v>Steve Grant</v>
      </c>
      <c r="E4515" s="4" t="str">
        <f>IFERROR(__xludf.DUMMYFUNCTION("""COMPUTED_VALUE"""),"Manhattan University")</f>
        <v>Manhattan University</v>
      </c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</row>
    <row r="4516">
      <c r="A4516" s="4">
        <f>IFERROR(__xludf.DUMMYFUNCTION("""COMPUTED_VALUE"""),55.0)</f>
        <v>55</v>
      </c>
      <c r="B4516" s="4">
        <f>IFERROR(__xludf.DUMMYFUNCTION("""COMPUTED_VALUE"""),55.0)</f>
        <v>55</v>
      </c>
      <c r="C4516" s="4" t="str">
        <f>IFERROR(__xludf.DUMMYFUNCTION("""COMPUTED_VALUE"""),"NYK")</f>
        <v>NYK</v>
      </c>
      <c r="D4516" s="4" t="str">
        <f>IFERROR(__xludf.DUMMYFUNCTION("""COMPUTED_VALUE"""),"Marc Iavaroni")</f>
        <v>Marc Iavaroni</v>
      </c>
      <c r="E4516" s="4" t="str">
        <f>IFERROR(__xludf.DUMMYFUNCTION("""COMPUTED_VALUE"""),"Virginia")</f>
        <v>Virginia</v>
      </c>
      <c r="F4516" s="4">
        <f>IFERROR(__xludf.DUMMYFUNCTION("""COMPUTED_VALUE"""),7.0)</f>
        <v>7</v>
      </c>
      <c r="G4516" s="4">
        <f>IFERROR(__xludf.DUMMYFUNCTION("""COMPUTED_VALUE"""),531.0)</f>
        <v>531</v>
      </c>
      <c r="H4516" s="4">
        <f>IFERROR(__xludf.DUMMYFUNCTION("""COMPUTED_VALUE"""),8371.0)</f>
        <v>8371</v>
      </c>
      <c r="I4516" s="4">
        <f>IFERROR(__xludf.DUMMYFUNCTION("""COMPUTED_VALUE"""),2328.0)</f>
        <v>2328</v>
      </c>
      <c r="J4516" s="4">
        <f>IFERROR(__xludf.DUMMYFUNCTION("""COMPUTED_VALUE"""),1725.0)</f>
        <v>1725</v>
      </c>
      <c r="K4516" s="4">
        <f>IFERROR(__xludf.DUMMYFUNCTION("""COMPUTED_VALUE"""),514.0)</f>
        <v>514</v>
      </c>
      <c r="L4516" s="4">
        <f>IFERROR(__xludf.DUMMYFUNCTION("""COMPUTED_VALUE"""),0.459)</f>
        <v>0.459</v>
      </c>
      <c r="M4516" s="4">
        <f>IFERROR(__xludf.DUMMYFUNCTION("""COMPUTED_VALUE"""),0.0)</f>
        <v>0</v>
      </c>
      <c r="N4516" s="4">
        <f>IFERROR(__xludf.DUMMYFUNCTION("""COMPUTED_VALUE"""),0.71)</f>
        <v>0.71</v>
      </c>
      <c r="O4516" s="4">
        <f>IFERROR(__xludf.DUMMYFUNCTION("""COMPUTED_VALUE"""),15.8)</f>
        <v>15.8</v>
      </c>
      <c r="P4516" s="4">
        <f>IFERROR(__xludf.DUMMYFUNCTION("""COMPUTED_VALUE"""),4.4)</f>
        <v>4.4</v>
      </c>
      <c r="Q4516" s="4">
        <f>IFERROR(__xludf.DUMMYFUNCTION("""COMPUTED_VALUE"""),3.2)</f>
        <v>3.2</v>
      </c>
      <c r="R4516" s="4">
        <f>IFERROR(__xludf.DUMMYFUNCTION("""COMPUTED_VALUE"""),1.0)</f>
        <v>1</v>
      </c>
      <c r="S4516" s="4">
        <f>IFERROR(__xludf.DUMMYFUNCTION("""COMPUTED_VALUE"""),8.0)</f>
        <v>8</v>
      </c>
      <c r="T4516" s="4">
        <f>IFERROR(__xludf.DUMMYFUNCTION("""COMPUTED_VALUE"""),0.046)</f>
        <v>0.046</v>
      </c>
      <c r="U4516" s="4">
        <f>IFERROR(__xludf.DUMMYFUNCTION("""COMPUTED_VALUE"""),-3.6)</f>
        <v>-3.6</v>
      </c>
      <c r="V4516" s="4">
        <f>IFERROR(__xludf.DUMMYFUNCTION("""COMPUTED_VALUE"""),-3.4)</f>
        <v>-3.4</v>
      </c>
    </row>
    <row r="4517">
      <c r="A4517" s="4">
        <f>IFERROR(__xludf.DUMMYFUNCTION("""COMPUTED_VALUE"""),56.0)</f>
        <v>56</v>
      </c>
      <c r="B4517" s="4">
        <f>IFERROR(__xludf.DUMMYFUNCTION("""COMPUTED_VALUE"""),56.0)</f>
        <v>56</v>
      </c>
      <c r="C4517" s="4" t="str">
        <f>IFERROR(__xludf.DUMMYFUNCTION("""COMPUTED_VALUE"""),"GSW")</f>
        <v>GSW</v>
      </c>
      <c r="D4517" s="4" t="str">
        <f>IFERROR(__xludf.DUMMYFUNCTION("""COMPUTED_VALUE"""),"Steve Neff")</f>
        <v>Steve Neff</v>
      </c>
      <c r="E4517" s="4" t="str">
        <f>IFERROR(__xludf.DUMMYFUNCTION("""COMPUTED_VALUE"""),"Southern Nazarene University")</f>
        <v>Southern Nazarene University</v>
      </c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</row>
    <row r="4518">
      <c r="A4518" s="4">
        <f>IFERROR(__xludf.DUMMYFUNCTION("""COMPUTED_VALUE"""),57.0)</f>
        <v>57</v>
      </c>
      <c r="B4518" s="4">
        <f>IFERROR(__xludf.DUMMYFUNCTION("""COMPUTED_VALUE"""),57.0)</f>
        <v>57</v>
      </c>
      <c r="C4518" s="4" t="str">
        <f>IFERROR(__xludf.DUMMYFUNCTION("""COMPUTED_VALUE"""),"CLE")</f>
        <v>CLE</v>
      </c>
      <c r="D4518" s="4" t="str">
        <f>IFERROR(__xludf.DUMMYFUNCTION("""COMPUTED_VALUE"""),"Kenny Higgs")</f>
        <v>Kenny Higgs</v>
      </c>
      <c r="E4518" s="4" t="str">
        <f>IFERROR(__xludf.DUMMYFUNCTION("""COMPUTED_VALUE"""),"LSU")</f>
        <v>LSU</v>
      </c>
      <c r="F4518" s="4">
        <f>IFERROR(__xludf.DUMMYFUNCTION("""COMPUTED_VALUE"""),3.0)</f>
        <v>3</v>
      </c>
      <c r="G4518" s="4">
        <f>IFERROR(__xludf.DUMMYFUNCTION("""COMPUTED_VALUE"""),216.0)</f>
        <v>216</v>
      </c>
      <c r="H4518" s="4">
        <f>IFERROR(__xludf.DUMMYFUNCTION("""COMPUTED_VALUE"""),4435.0)</f>
        <v>4435</v>
      </c>
      <c r="I4518" s="4">
        <f>IFERROR(__xludf.DUMMYFUNCTION("""COMPUTED_VALUE"""),1470.0)</f>
        <v>1470</v>
      </c>
      <c r="J4518" s="4">
        <f>IFERROR(__xludf.DUMMYFUNCTION("""COMPUTED_VALUE"""),391.0)</f>
        <v>391</v>
      </c>
      <c r="K4518" s="4">
        <f>IFERROR(__xludf.DUMMYFUNCTION("""COMPUTED_VALUE"""),944.0)</f>
        <v>944</v>
      </c>
      <c r="L4518" s="4">
        <f>IFERROR(__xludf.DUMMYFUNCTION("""COMPUTED_VALUE"""),0.441)</f>
        <v>0.441</v>
      </c>
      <c r="M4518" s="4"/>
      <c r="N4518" s="4">
        <f>IFERROR(__xludf.DUMMYFUNCTION("""COMPUTED_VALUE"""),0.804)</f>
        <v>0.804</v>
      </c>
      <c r="O4518" s="4">
        <f>IFERROR(__xludf.DUMMYFUNCTION("""COMPUTED_VALUE"""),20.5)</f>
        <v>20.5</v>
      </c>
      <c r="P4518" s="4">
        <f>IFERROR(__xludf.DUMMYFUNCTION("""COMPUTED_VALUE"""),6.8)</f>
        <v>6.8</v>
      </c>
      <c r="Q4518" s="4">
        <f>IFERROR(__xludf.DUMMYFUNCTION("""COMPUTED_VALUE"""),1.8)</f>
        <v>1.8</v>
      </c>
      <c r="R4518" s="4">
        <f>IFERROR(__xludf.DUMMYFUNCTION("""COMPUTED_VALUE"""),4.4)</f>
        <v>4.4</v>
      </c>
      <c r="S4518" s="4">
        <f>IFERROR(__xludf.DUMMYFUNCTION("""COMPUTED_VALUE"""),4.6)</f>
        <v>4.6</v>
      </c>
      <c r="T4518" s="4">
        <f>IFERROR(__xludf.DUMMYFUNCTION("""COMPUTED_VALUE"""),0.05)</f>
        <v>0.05</v>
      </c>
      <c r="U4518" s="4">
        <f>IFERROR(__xludf.DUMMYFUNCTION("""COMPUTED_VALUE"""),-2.5)</f>
        <v>-2.5</v>
      </c>
      <c r="V4518" s="4">
        <f>IFERROR(__xludf.DUMMYFUNCTION("""COMPUTED_VALUE"""),-0.6)</f>
        <v>-0.6</v>
      </c>
    </row>
    <row r="4519">
      <c r="A4519" s="4">
        <f>IFERROR(__xludf.DUMMYFUNCTION("""COMPUTED_VALUE"""),58.0)</f>
        <v>58</v>
      </c>
      <c r="B4519" s="4">
        <f>IFERROR(__xludf.DUMMYFUNCTION("""COMPUTED_VALUE"""),58.0)</f>
        <v>58</v>
      </c>
      <c r="C4519" s="4" t="str">
        <f>IFERROR(__xludf.DUMMYFUNCTION("""COMPUTED_VALUE"""),"WSB")</f>
        <v>WSB</v>
      </c>
      <c r="D4519" s="4" t="str">
        <f>IFERROR(__xludf.DUMMYFUNCTION("""COMPUTED_VALUE"""),"Rick Apke")</f>
        <v>Rick Apke</v>
      </c>
      <c r="E4519" s="4" t="str">
        <f>IFERROR(__xludf.DUMMYFUNCTION("""COMPUTED_VALUE"""),"Creighton")</f>
        <v>Creighton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</row>
    <row r="4520">
      <c r="A4520" s="4">
        <f>IFERROR(__xludf.DUMMYFUNCTION("""COMPUTED_VALUE"""),59.0)</f>
        <v>59</v>
      </c>
      <c r="B4520" s="4">
        <f>IFERROR(__xludf.DUMMYFUNCTION("""COMPUTED_VALUE"""),59.0)</f>
        <v>59</v>
      </c>
      <c r="C4520" s="4" t="str">
        <f>IFERROR(__xludf.DUMMYFUNCTION("""COMPUTED_VALUE"""),"MIL")</f>
        <v>MIL</v>
      </c>
      <c r="D4520" s="4" t="str">
        <f>IFERROR(__xludf.DUMMYFUNCTION("""COMPUTED_VALUE"""),"Pat Cummings")</f>
        <v>Pat Cummings</v>
      </c>
      <c r="E4520" s="4" t="str">
        <f>IFERROR(__xludf.DUMMYFUNCTION("""COMPUTED_VALUE"""),"Cincinnati")</f>
        <v>Cincinnati</v>
      </c>
      <c r="F4520" s="4">
        <f>IFERROR(__xludf.DUMMYFUNCTION("""COMPUTED_VALUE"""),12.0)</f>
        <v>12</v>
      </c>
      <c r="G4520" s="4">
        <f>IFERROR(__xludf.DUMMYFUNCTION("""COMPUTED_VALUE"""),683.0)</f>
        <v>683</v>
      </c>
      <c r="H4520" s="4">
        <f>IFERROR(__xludf.DUMMYFUNCTION("""COMPUTED_VALUE"""),14516.0)</f>
        <v>14516</v>
      </c>
      <c r="I4520" s="4">
        <f>IFERROR(__xludf.DUMMYFUNCTION("""COMPUTED_VALUE"""),6529.0)</f>
        <v>6529</v>
      </c>
      <c r="J4520" s="4">
        <f>IFERROR(__xludf.DUMMYFUNCTION("""COMPUTED_VALUE"""),3825.0)</f>
        <v>3825</v>
      </c>
      <c r="K4520" s="4">
        <f>IFERROR(__xludf.DUMMYFUNCTION("""COMPUTED_VALUE"""),807.0)</f>
        <v>807</v>
      </c>
      <c r="L4520" s="4">
        <f>IFERROR(__xludf.DUMMYFUNCTION("""COMPUTED_VALUE"""),0.497)</f>
        <v>0.497</v>
      </c>
      <c r="M4520" s="4">
        <f>IFERROR(__xludf.DUMMYFUNCTION("""COMPUTED_VALUE"""),0.0)</f>
        <v>0</v>
      </c>
      <c r="N4520" s="4">
        <f>IFERROR(__xludf.DUMMYFUNCTION("""COMPUTED_VALUE"""),0.737)</f>
        <v>0.737</v>
      </c>
      <c r="O4520" s="4">
        <f>IFERROR(__xludf.DUMMYFUNCTION("""COMPUTED_VALUE"""),21.3)</f>
        <v>21.3</v>
      </c>
      <c r="P4520" s="4">
        <f>IFERROR(__xludf.DUMMYFUNCTION("""COMPUTED_VALUE"""),9.6)</f>
        <v>9.6</v>
      </c>
      <c r="Q4520" s="4">
        <f>IFERROR(__xludf.DUMMYFUNCTION("""COMPUTED_VALUE"""),5.6)</f>
        <v>5.6</v>
      </c>
      <c r="R4520" s="4">
        <f>IFERROR(__xludf.DUMMYFUNCTION("""COMPUTED_VALUE"""),1.2)</f>
        <v>1.2</v>
      </c>
      <c r="S4520" s="4">
        <f>IFERROR(__xludf.DUMMYFUNCTION("""COMPUTED_VALUE"""),22.6)</f>
        <v>22.6</v>
      </c>
      <c r="T4520" s="4">
        <f>IFERROR(__xludf.DUMMYFUNCTION("""COMPUTED_VALUE"""),0.075)</f>
        <v>0.075</v>
      </c>
      <c r="U4520" s="4">
        <f>IFERROR(__xludf.DUMMYFUNCTION("""COMPUTED_VALUE"""),-2.5)</f>
        <v>-2.5</v>
      </c>
      <c r="V4520" s="4">
        <f>IFERROR(__xludf.DUMMYFUNCTION("""COMPUTED_VALUE"""),-1.9)</f>
        <v>-1.9</v>
      </c>
    </row>
    <row r="4521">
      <c r="A4521" s="4">
        <f>IFERROR(__xludf.DUMMYFUNCTION("""COMPUTED_VALUE"""),60.0)</f>
        <v>60</v>
      </c>
      <c r="B4521" s="4">
        <f>IFERROR(__xludf.DUMMYFUNCTION("""COMPUTED_VALUE"""),60.0)</f>
        <v>60</v>
      </c>
      <c r="C4521" s="4" t="str">
        <f>IFERROR(__xludf.DUMMYFUNCTION("""COMPUTED_VALUE"""),"LAL")</f>
        <v>LAL</v>
      </c>
      <c r="D4521" s="4" t="str">
        <f>IFERROR(__xludf.DUMMYFUNCTION("""COMPUTED_VALUE"""),"Michael Cooper")</f>
        <v>Michael Cooper</v>
      </c>
      <c r="E4521" s="4" t="str">
        <f>IFERROR(__xludf.DUMMYFUNCTION("""COMPUTED_VALUE"""),"New Mexico")</f>
        <v>New Mexico</v>
      </c>
      <c r="F4521" s="4">
        <f>IFERROR(__xludf.DUMMYFUNCTION("""COMPUTED_VALUE"""),12.0)</f>
        <v>12</v>
      </c>
      <c r="G4521" s="4">
        <f>IFERROR(__xludf.DUMMYFUNCTION("""COMPUTED_VALUE"""),873.0)</f>
        <v>873</v>
      </c>
      <c r="H4521" s="4">
        <f>IFERROR(__xludf.DUMMYFUNCTION("""COMPUTED_VALUE"""),23635.0)</f>
        <v>23635</v>
      </c>
      <c r="I4521" s="4">
        <f>IFERROR(__xludf.DUMMYFUNCTION("""COMPUTED_VALUE"""),7729.0)</f>
        <v>7729</v>
      </c>
      <c r="J4521" s="4">
        <f>IFERROR(__xludf.DUMMYFUNCTION("""COMPUTED_VALUE"""),2769.0)</f>
        <v>2769</v>
      </c>
      <c r="K4521" s="4">
        <f>IFERROR(__xludf.DUMMYFUNCTION("""COMPUTED_VALUE"""),3666.0)</f>
        <v>3666</v>
      </c>
      <c r="L4521" s="4">
        <f>IFERROR(__xludf.DUMMYFUNCTION("""COMPUTED_VALUE"""),0.469)</f>
        <v>0.469</v>
      </c>
      <c r="M4521" s="4"/>
      <c r="N4521" s="4">
        <f>IFERROR(__xludf.DUMMYFUNCTION("""COMPUTED_VALUE"""),0.833)</f>
        <v>0.833</v>
      </c>
      <c r="O4521" s="4">
        <f>IFERROR(__xludf.DUMMYFUNCTION("""COMPUTED_VALUE"""),27.1)</f>
        <v>27.1</v>
      </c>
      <c r="P4521" s="4">
        <f>IFERROR(__xludf.DUMMYFUNCTION("""COMPUTED_VALUE"""),8.9)</f>
        <v>8.9</v>
      </c>
      <c r="Q4521" s="4">
        <f>IFERROR(__xludf.DUMMYFUNCTION("""COMPUTED_VALUE"""),3.2)</f>
        <v>3.2</v>
      </c>
      <c r="R4521" s="4">
        <f>IFERROR(__xludf.DUMMYFUNCTION("""COMPUTED_VALUE"""),4.2)</f>
        <v>4.2</v>
      </c>
      <c r="S4521" s="4">
        <f>IFERROR(__xludf.DUMMYFUNCTION("""COMPUTED_VALUE"""),52.5)</f>
        <v>52.5</v>
      </c>
      <c r="T4521" s="4">
        <f>IFERROR(__xludf.DUMMYFUNCTION("""COMPUTED_VALUE"""),0.107)</f>
        <v>0.107</v>
      </c>
      <c r="U4521" s="4">
        <f>IFERROR(__xludf.DUMMYFUNCTION("""COMPUTED_VALUE"""),1.2)</f>
        <v>1.2</v>
      </c>
      <c r="V4521" s="4">
        <f>IFERROR(__xludf.DUMMYFUNCTION("""COMPUTED_VALUE"""),19.1)</f>
        <v>19.1</v>
      </c>
    </row>
    <row r="4522">
      <c r="A4522" s="4">
        <f>IFERROR(__xludf.DUMMYFUNCTION("""COMPUTED_VALUE"""),61.0)</f>
        <v>61</v>
      </c>
      <c r="B4522" s="4">
        <f>IFERROR(__xludf.DUMMYFUNCTION("""COMPUTED_VALUE"""),61.0)</f>
        <v>61</v>
      </c>
      <c r="C4522" s="4" t="str">
        <f>IFERROR(__xludf.DUMMYFUNCTION("""COMPUTED_VALUE"""),"SEA")</f>
        <v>SEA</v>
      </c>
      <c r="D4522" s="4" t="str">
        <f>IFERROR(__xludf.DUMMYFUNCTION("""COMPUTED_VALUE"""),"Dave Baxter")</f>
        <v>Dave Baxter</v>
      </c>
      <c r="E4522" s="4" t="str">
        <f>IFERROR(__xludf.DUMMYFUNCTION("""COMPUTED_VALUE"""),"Michigan")</f>
        <v>Michigan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</row>
    <row r="4523">
      <c r="A4523" s="4">
        <f>IFERROR(__xludf.DUMMYFUNCTION("""COMPUTED_VALUE"""),62.0)</f>
        <v>62</v>
      </c>
      <c r="B4523" s="4">
        <f>IFERROR(__xludf.DUMMYFUNCTION("""COMPUTED_VALUE"""),62.0)</f>
        <v>62</v>
      </c>
      <c r="C4523" s="4" t="str">
        <f>IFERROR(__xludf.DUMMYFUNCTION("""COMPUTED_VALUE"""),"NJN")</f>
        <v>NJN</v>
      </c>
      <c r="D4523" s="4" t="str">
        <f>IFERROR(__xludf.DUMMYFUNCTION("""COMPUTED_VALUE"""),"Dave Batton")</f>
        <v>Dave Batton</v>
      </c>
      <c r="E4523" s="4" t="str">
        <f>IFERROR(__xludf.DUMMYFUNCTION("""COMPUTED_VALUE"""),"Notre Dame")</f>
        <v>Notre Dame</v>
      </c>
      <c r="F4523" s="4">
        <f>IFERROR(__xludf.DUMMYFUNCTION("""COMPUTED_VALUE"""),2.0)</f>
        <v>2</v>
      </c>
      <c r="G4523" s="4">
        <f>IFERROR(__xludf.DUMMYFUNCTION("""COMPUTED_VALUE"""),58.0)</f>
        <v>58</v>
      </c>
      <c r="H4523" s="4">
        <f>IFERROR(__xludf.DUMMYFUNCTION("""COMPUTED_VALUE"""),589.0)</f>
        <v>589</v>
      </c>
      <c r="I4523" s="4">
        <f>IFERROR(__xludf.DUMMYFUNCTION("""COMPUTED_VALUE"""),188.0)</f>
        <v>188</v>
      </c>
      <c r="J4523" s="4">
        <f>IFERROR(__xludf.DUMMYFUNCTION("""COMPUTED_VALUE"""),123.0)</f>
        <v>123</v>
      </c>
      <c r="K4523" s="4">
        <f>IFERROR(__xludf.DUMMYFUNCTION("""COMPUTED_VALUE"""),32.0)</f>
        <v>32</v>
      </c>
      <c r="L4523" s="4">
        <f>IFERROR(__xludf.DUMMYFUNCTION("""COMPUTED_VALUE"""),0.448)</f>
        <v>0.448</v>
      </c>
      <c r="M4523" s="4">
        <f>IFERROR(__xludf.DUMMYFUNCTION("""COMPUTED_VALUE"""),0.0)</f>
        <v>0</v>
      </c>
      <c r="N4523" s="4">
        <f>IFERROR(__xludf.DUMMYFUNCTION("""COMPUTED_VALUE"""),0.471)</f>
        <v>0.471</v>
      </c>
      <c r="O4523" s="4">
        <f>IFERROR(__xludf.DUMMYFUNCTION("""COMPUTED_VALUE"""),10.2)</f>
        <v>10.2</v>
      </c>
      <c r="P4523" s="4">
        <f>IFERROR(__xludf.DUMMYFUNCTION("""COMPUTED_VALUE"""),3.2)</f>
        <v>3.2</v>
      </c>
      <c r="Q4523" s="4">
        <f>IFERROR(__xludf.DUMMYFUNCTION("""COMPUTED_VALUE"""),2.1)</f>
        <v>2.1</v>
      </c>
      <c r="R4523" s="4">
        <f>IFERROR(__xludf.DUMMYFUNCTION("""COMPUTED_VALUE"""),0.6)</f>
        <v>0.6</v>
      </c>
      <c r="S4523" s="4">
        <f>IFERROR(__xludf.DUMMYFUNCTION("""COMPUTED_VALUE"""),0.7)</f>
        <v>0.7</v>
      </c>
      <c r="T4523" s="4">
        <f>IFERROR(__xludf.DUMMYFUNCTION("""COMPUTED_VALUE"""),0.055)</f>
        <v>0.055</v>
      </c>
      <c r="U4523" s="4">
        <f>IFERROR(__xludf.DUMMYFUNCTION("""COMPUTED_VALUE"""),-1.9)</f>
        <v>-1.9</v>
      </c>
      <c r="V4523" s="4">
        <f>IFERROR(__xludf.DUMMYFUNCTION("""COMPUTED_VALUE"""),0.0)</f>
        <v>0</v>
      </c>
    </row>
    <row r="4524">
      <c r="A4524" s="4">
        <f>IFERROR(__xludf.DUMMYFUNCTION("""COMPUTED_VALUE"""),63.0)</f>
        <v>63</v>
      </c>
      <c r="B4524" s="4">
        <f>IFERROR(__xludf.DUMMYFUNCTION("""COMPUTED_VALUE"""),63.0)</f>
        <v>63</v>
      </c>
      <c r="C4524" s="4" t="str">
        <f>IFERROR(__xludf.DUMMYFUNCTION("""COMPUTED_VALUE"""),"PHO")</f>
        <v>PHO</v>
      </c>
      <c r="D4524" s="4" t="str">
        <f>IFERROR(__xludf.DUMMYFUNCTION("""COMPUTED_VALUE"""),"Joel Kramer")</f>
        <v>Joel Kramer</v>
      </c>
      <c r="E4524" s="4" t="str">
        <f>IFERROR(__xludf.DUMMYFUNCTION("""COMPUTED_VALUE"""),"San Diego State")</f>
        <v>San Diego State</v>
      </c>
      <c r="F4524" s="4">
        <f>IFERROR(__xludf.DUMMYFUNCTION("""COMPUTED_VALUE"""),5.0)</f>
        <v>5</v>
      </c>
      <c r="G4524" s="4">
        <f>IFERROR(__xludf.DUMMYFUNCTION("""COMPUTED_VALUE"""),328.0)</f>
        <v>328</v>
      </c>
      <c r="H4524" s="4">
        <f>IFERROR(__xludf.DUMMYFUNCTION("""COMPUTED_VALUE"""),4184.0)</f>
        <v>4184</v>
      </c>
      <c r="I4524" s="4">
        <f>IFERROR(__xludf.DUMMYFUNCTION("""COMPUTED_VALUE"""),1257.0)</f>
        <v>1257</v>
      </c>
      <c r="J4524" s="4">
        <f>IFERROR(__xludf.DUMMYFUNCTION("""COMPUTED_VALUE"""),916.0)</f>
        <v>916</v>
      </c>
      <c r="K4524" s="4">
        <f>IFERROR(__xludf.DUMMYFUNCTION("""COMPUTED_VALUE"""),343.0)</f>
        <v>343</v>
      </c>
      <c r="L4524" s="4">
        <f>IFERROR(__xludf.DUMMYFUNCTION("""COMPUTED_VALUE"""),0.479)</f>
        <v>0.479</v>
      </c>
      <c r="M4524" s="4"/>
      <c r="N4524" s="4">
        <f>IFERROR(__xludf.DUMMYFUNCTION("""COMPUTED_VALUE"""),0.737)</f>
        <v>0.737</v>
      </c>
      <c r="O4524" s="4">
        <f>IFERROR(__xludf.DUMMYFUNCTION("""COMPUTED_VALUE"""),12.8)</f>
        <v>12.8</v>
      </c>
      <c r="P4524" s="4">
        <f>IFERROR(__xludf.DUMMYFUNCTION("""COMPUTED_VALUE"""),3.8)</f>
        <v>3.8</v>
      </c>
      <c r="Q4524" s="4">
        <f>IFERROR(__xludf.DUMMYFUNCTION("""COMPUTED_VALUE"""),2.8)</f>
        <v>2.8</v>
      </c>
      <c r="R4524" s="4">
        <f>IFERROR(__xludf.DUMMYFUNCTION("""COMPUTED_VALUE"""),1.0)</f>
        <v>1</v>
      </c>
      <c r="S4524" s="4">
        <f>IFERROR(__xludf.DUMMYFUNCTION("""COMPUTED_VALUE"""),9.1)</f>
        <v>9.1</v>
      </c>
      <c r="T4524" s="4">
        <f>IFERROR(__xludf.DUMMYFUNCTION("""COMPUTED_VALUE"""),0.105)</f>
        <v>0.105</v>
      </c>
      <c r="U4524" s="4">
        <f>IFERROR(__xludf.DUMMYFUNCTION("""COMPUTED_VALUE"""),-1.3)</f>
        <v>-1.3</v>
      </c>
      <c r="V4524" s="4">
        <f>IFERROR(__xludf.DUMMYFUNCTION("""COMPUTED_VALUE"""),0.8)</f>
        <v>0.8</v>
      </c>
    </row>
    <row r="4525">
      <c r="A4525" s="4">
        <f>IFERROR(__xludf.DUMMYFUNCTION("""COMPUTED_VALUE"""),64.0)</f>
        <v>64</v>
      </c>
      <c r="B4525" s="4">
        <f>IFERROR(__xludf.DUMMYFUNCTION("""COMPUTED_VALUE"""),64.0)</f>
        <v>64</v>
      </c>
      <c r="C4525" s="4" t="str">
        <f>IFERROR(__xludf.DUMMYFUNCTION("""COMPUTED_VALUE"""),"SAS")</f>
        <v>SAS</v>
      </c>
      <c r="D4525" s="4" t="str">
        <f>IFERROR(__xludf.DUMMYFUNCTION("""COMPUTED_VALUE"""),"Gerald Henderson")</f>
        <v>Gerald Henderson</v>
      </c>
      <c r="E4525" s="4" t="str">
        <f>IFERROR(__xludf.DUMMYFUNCTION("""COMPUTED_VALUE"""),"VCU")</f>
        <v>VCU</v>
      </c>
      <c r="F4525" s="4">
        <f>IFERROR(__xludf.DUMMYFUNCTION("""COMPUTED_VALUE"""),13.0)</f>
        <v>13</v>
      </c>
      <c r="G4525" s="4">
        <f>IFERROR(__xludf.DUMMYFUNCTION("""COMPUTED_VALUE"""),871.0)</f>
        <v>871</v>
      </c>
      <c r="H4525" s="4">
        <f>IFERROR(__xludf.DUMMYFUNCTION("""COMPUTED_VALUE"""),18856.0)</f>
        <v>18856</v>
      </c>
      <c r="I4525" s="4">
        <f>IFERROR(__xludf.DUMMYFUNCTION("""COMPUTED_VALUE"""),7773.0)</f>
        <v>7773</v>
      </c>
      <c r="J4525" s="4">
        <f>IFERROR(__xludf.DUMMYFUNCTION("""COMPUTED_VALUE"""),1453.0)</f>
        <v>1453</v>
      </c>
      <c r="K4525" s="4">
        <f>IFERROR(__xludf.DUMMYFUNCTION("""COMPUTED_VALUE"""),3141.0)</f>
        <v>3141</v>
      </c>
      <c r="L4525" s="4">
        <f>IFERROR(__xludf.DUMMYFUNCTION("""COMPUTED_VALUE"""),0.472)</f>
        <v>0.472</v>
      </c>
      <c r="M4525" s="4">
        <f>IFERROR(__xludf.DUMMYFUNCTION("""COMPUTED_VALUE"""),0.332)</f>
        <v>0.332</v>
      </c>
      <c r="N4525" s="4">
        <f>IFERROR(__xludf.DUMMYFUNCTION("""COMPUTED_VALUE"""),0.776)</f>
        <v>0.776</v>
      </c>
      <c r="O4525" s="4">
        <f>IFERROR(__xludf.DUMMYFUNCTION("""COMPUTED_VALUE"""),21.6)</f>
        <v>21.6</v>
      </c>
      <c r="P4525" s="4">
        <f>IFERROR(__xludf.DUMMYFUNCTION("""COMPUTED_VALUE"""),8.9)</f>
        <v>8.9</v>
      </c>
      <c r="Q4525" s="4">
        <f>IFERROR(__xludf.DUMMYFUNCTION("""COMPUTED_VALUE"""),1.7)</f>
        <v>1.7</v>
      </c>
      <c r="R4525" s="4">
        <f>IFERROR(__xludf.DUMMYFUNCTION("""COMPUTED_VALUE"""),3.6)</f>
        <v>3.6</v>
      </c>
      <c r="S4525" s="4">
        <f>IFERROR(__xludf.DUMMYFUNCTION("""COMPUTED_VALUE"""),32.1)</f>
        <v>32.1</v>
      </c>
      <c r="T4525" s="4">
        <f>IFERROR(__xludf.DUMMYFUNCTION("""COMPUTED_VALUE"""),0.082)</f>
        <v>0.082</v>
      </c>
      <c r="U4525" s="4">
        <f>IFERROR(__xludf.DUMMYFUNCTION("""COMPUTED_VALUE"""),-0.5)</f>
        <v>-0.5</v>
      </c>
      <c r="V4525" s="4">
        <f>IFERROR(__xludf.DUMMYFUNCTION("""COMPUTED_VALUE"""),7.3)</f>
        <v>7.3</v>
      </c>
    </row>
    <row r="4526">
      <c r="A4526" s="4">
        <f>IFERROR(__xludf.DUMMYFUNCTION("""COMPUTED_VALUE"""),65.0)</f>
        <v>65</v>
      </c>
      <c r="B4526" s="4">
        <f>IFERROR(__xludf.DUMMYFUNCTION("""COMPUTED_VALUE"""),65.0)</f>
        <v>65</v>
      </c>
      <c r="C4526" s="4" t="str">
        <f>IFERROR(__xludf.DUMMYFUNCTION("""COMPUTED_VALUE"""),"SDC")</f>
        <v>SDC</v>
      </c>
      <c r="D4526" s="4" t="str">
        <f>IFERROR(__xludf.DUMMYFUNCTION("""COMPUTED_VALUE"""),"Marvin Delph")</f>
        <v>Marvin Delph</v>
      </c>
      <c r="E4526" s="4" t="str">
        <f>IFERROR(__xludf.DUMMYFUNCTION("""COMPUTED_VALUE"""),"Arkansas")</f>
        <v>Arkansas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</row>
    <row r="4527">
      <c r="A4527" s="4">
        <f>IFERROR(__xludf.DUMMYFUNCTION("""COMPUTED_VALUE"""),66.0)</f>
        <v>66</v>
      </c>
      <c r="B4527" s="4">
        <f>IFERROR(__xludf.DUMMYFUNCTION("""COMPUTED_VALUE"""),66.0)</f>
        <v>66</v>
      </c>
      <c r="C4527" s="4" t="str">
        <f>IFERROR(__xludf.DUMMYFUNCTION("""COMPUTED_VALUE"""),"POR")</f>
        <v>POR</v>
      </c>
      <c r="D4527" s="4" t="str">
        <f>IFERROR(__xludf.DUMMYFUNCTION("""COMPUTED_VALUE"""),"Sterling Edmonds")</f>
        <v>Sterling Edmonds</v>
      </c>
      <c r="E4527" s="4" t="str">
        <f>IFERROR(__xludf.DUMMYFUNCTION("""COMPUTED_VALUE"""),"Dartmouth College")</f>
        <v>Dartmouth College</v>
      </c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</row>
    <row r="4528">
      <c r="A4528" s="4"/>
      <c r="B4528" s="4"/>
      <c r="C4528" s="4"/>
      <c r="D4528" s="4" t="str">
        <f>IFERROR(__xludf.DUMMYFUNCTION("""COMPUTED_VALUE"""),"Round 4")</f>
        <v>Round 4</v>
      </c>
      <c r="E4528" s="4"/>
      <c r="F4528" s="4"/>
      <c r="G4528" s="4" t="str">
        <f>IFERROR(__xludf.DUMMYFUNCTION("""COMPUTED_VALUE"""),"Totals")</f>
        <v>Totals</v>
      </c>
      <c r="H4528" s="4"/>
      <c r="I4528" s="4"/>
      <c r="J4528" s="4"/>
      <c r="K4528" s="4"/>
      <c r="L4528" s="4" t="str">
        <f>IFERROR(__xludf.DUMMYFUNCTION("""COMPUTED_VALUE"""),"Shooting")</f>
        <v>Shooting</v>
      </c>
      <c r="M4528" s="4"/>
      <c r="N4528" s="4"/>
      <c r="O4528" s="4" t="str">
        <f>IFERROR(__xludf.DUMMYFUNCTION("""COMPUTED_VALUE"""),"Per Game")</f>
        <v>Per Game</v>
      </c>
      <c r="P4528" s="4"/>
      <c r="Q4528" s="4"/>
      <c r="R4528" s="4"/>
      <c r="S4528" s="4" t="str">
        <f>IFERROR(__xludf.DUMMYFUNCTION("""COMPUTED_VALUE"""),"Advanced")</f>
        <v>Advanced</v>
      </c>
      <c r="T4528" s="4"/>
      <c r="U4528" s="4"/>
      <c r="V4528" s="4"/>
    </row>
    <row r="4529">
      <c r="A4529" s="4" t="str">
        <f>IFERROR(__xludf.DUMMYFUNCTION("""COMPUTED_VALUE"""),"Rk")</f>
        <v>Rk</v>
      </c>
      <c r="B4529" s="4" t="str">
        <f>IFERROR(__xludf.DUMMYFUNCTION("""COMPUTED_VALUE"""),"Pk")</f>
        <v>Pk</v>
      </c>
      <c r="C4529" s="4" t="str">
        <f>IFERROR(__xludf.DUMMYFUNCTION("""COMPUTED_VALUE"""),"Tm")</f>
        <v>Tm</v>
      </c>
      <c r="D4529" s="4" t="str">
        <f>IFERROR(__xludf.DUMMYFUNCTION("""COMPUTED_VALUE"""),"Player")</f>
        <v>Player</v>
      </c>
      <c r="E4529" s="4" t="str">
        <f>IFERROR(__xludf.DUMMYFUNCTION("""COMPUTED_VALUE"""),"College")</f>
        <v>College</v>
      </c>
      <c r="F4529" s="4" t="str">
        <f>IFERROR(__xludf.DUMMYFUNCTION("""COMPUTED_VALUE"""),"Yrs")</f>
        <v>Yrs</v>
      </c>
      <c r="G4529" s="4" t="str">
        <f>IFERROR(__xludf.DUMMYFUNCTION("""COMPUTED_VALUE"""),"G")</f>
        <v>G</v>
      </c>
      <c r="H4529" s="4" t="str">
        <f>IFERROR(__xludf.DUMMYFUNCTION("""COMPUTED_VALUE"""),"MP")</f>
        <v>MP</v>
      </c>
      <c r="I4529" s="4" t="str">
        <f>IFERROR(__xludf.DUMMYFUNCTION("""COMPUTED_VALUE"""),"PTS")</f>
        <v>PTS</v>
      </c>
      <c r="J4529" s="4" t="str">
        <f>IFERROR(__xludf.DUMMYFUNCTION("""COMPUTED_VALUE"""),"TRB")</f>
        <v>TRB</v>
      </c>
      <c r="K4529" s="4" t="str">
        <f>IFERROR(__xludf.DUMMYFUNCTION("""COMPUTED_VALUE"""),"AST")</f>
        <v>AST</v>
      </c>
      <c r="L4529" s="4" t="str">
        <f>IFERROR(__xludf.DUMMYFUNCTION("""COMPUTED_VALUE"""),"FG%")</f>
        <v>FG%</v>
      </c>
      <c r="M4529" s="4" t="str">
        <f>IFERROR(__xludf.DUMMYFUNCTION("""COMPUTED_VALUE"""),"3P%")</f>
        <v>3P%</v>
      </c>
      <c r="N4529" s="4" t="str">
        <f>IFERROR(__xludf.DUMMYFUNCTION("""COMPUTED_VALUE"""),"FT%")</f>
        <v>FT%</v>
      </c>
      <c r="O4529" s="4" t="str">
        <f>IFERROR(__xludf.DUMMYFUNCTION("""COMPUTED_VALUE"""),"MP")</f>
        <v>MP</v>
      </c>
      <c r="P4529" s="4" t="str">
        <f>IFERROR(__xludf.DUMMYFUNCTION("""COMPUTED_VALUE"""),"PTS")</f>
        <v>PTS</v>
      </c>
      <c r="Q4529" s="4" t="str">
        <f>IFERROR(__xludf.DUMMYFUNCTION("""COMPUTED_VALUE"""),"TRB")</f>
        <v>TRB</v>
      </c>
      <c r="R4529" s="4" t="str">
        <f>IFERROR(__xludf.DUMMYFUNCTION("""COMPUTED_VALUE"""),"AST")</f>
        <v>AST</v>
      </c>
      <c r="S4529" s="4" t="str">
        <f>IFERROR(__xludf.DUMMYFUNCTION("""COMPUTED_VALUE"""),"WS")</f>
        <v>WS</v>
      </c>
      <c r="T4529" s="4" t="str">
        <f>IFERROR(__xludf.DUMMYFUNCTION("""COMPUTED_VALUE"""),"WS/48")</f>
        <v>WS/48</v>
      </c>
      <c r="U4529" s="4" t="str">
        <f>IFERROR(__xludf.DUMMYFUNCTION("""COMPUTED_VALUE"""),"BPM")</f>
        <v>BPM</v>
      </c>
      <c r="V4529" s="4" t="str">
        <f>IFERROR(__xludf.DUMMYFUNCTION("""COMPUTED_VALUE"""),"VORP")</f>
        <v>VORP</v>
      </c>
    </row>
    <row r="4530">
      <c r="A4530" s="4">
        <f>IFERROR(__xludf.DUMMYFUNCTION("""COMPUTED_VALUE"""),67.0)</f>
        <v>67</v>
      </c>
      <c r="B4530" s="4">
        <f>IFERROR(__xludf.DUMMYFUNCTION("""COMPUTED_VALUE"""),67.0)</f>
        <v>67</v>
      </c>
      <c r="C4530" s="4" t="str">
        <f>IFERROR(__xludf.DUMMYFUNCTION("""COMPUTED_VALUE"""),"HOU")</f>
        <v>HOU</v>
      </c>
      <c r="D4530" s="4" t="str">
        <f>IFERROR(__xludf.DUMMYFUNCTION("""COMPUTED_VALUE"""),"Jackie Robinson")</f>
        <v>Jackie Robinson</v>
      </c>
      <c r="E4530" s="4" t="str">
        <f>IFERROR(__xludf.DUMMYFUNCTION("""COMPUTED_VALUE"""),"UNLV")</f>
        <v>UNLV</v>
      </c>
      <c r="F4530" s="4">
        <f>IFERROR(__xludf.DUMMYFUNCTION("""COMPUTED_VALUE"""),3.0)</f>
        <v>3</v>
      </c>
      <c r="G4530" s="4">
        <f>IFERROR(__xludf.DUMMYFUNCTION("""COMPUTED_VALUE"""),22.0)</f>
        <v>22</v>
      </c>
      <c r="H4530" s="4">
        <f>IFERROR(__xludf.DUMMYFUNCTION("""COMPUTED_VALUE"""),185.0)</f>
        <v>185</v>
      </c>
      <c r="I4530" s="4">
        <f>IFERROR(__xludf.DUMMYFUNCTION("""COMPUTED_VALUE"""),83.0)</f>
        <v>83</v>
      </c>
      <c r="J4530" s="4">
        <f>IFERROR(__xludf.DUMMYFUNCTION("""COMPUTED_VALUE"""),27.0)</f>
        <v>27</v>
      </c>
      <c r="K4530" s="4">
        <f>IFERROR(__xludf.DUMMYFUNCTION("""COMPUTED_VALUE"""),13.0)</f>
        <v>13</v>
      </c>
      <c r="L4530" s="4">
        <f>IFERROR(__xludf.DUMMYFUNCTION("""COMPUTED_VALUE"""),0.463)</f>
        <v>0.463</v>
      </c>
      <c r="M4530" s="4"/>
      <c r="N4530" s="4">
        <f>IFERROR(__xludf.DUMMYFUNCTION("""COMPUTED_VALUE"""),0.7)</f>
        <v>0.7</v>
      </c>
      <c r="O4530" s="4">
        <f>IFERROR(__xludf.DUMMYFUNCTION("""COMPUTED_VALUE"""),8.4)</f>
        <v>8.4</v>
      </c>
      <c r="P4530" s="4">
        <f>IFERROR(__xludf.DUMMYFUNCTION("""COMPUTED_VALUE"""),3.8)</f>
        <v>3.8</v>
      </c>
      <c r="Q4530" s="4">
        <f>IFERROR(__xludf.DUMMYFUNCTION("""COMPUTED_VALUE"""),1.2)</f>
        <v>1.2</v>
      </c>
      <c r="R4530" s="4">
        <f>IFERROR(__xludf.DUMMYFUNCTION("""COMPUTED_VALUE"""),0.6)</f>
        <v>0.6</v>
      </c>
      <c r="S4530" s="4">
        <f>IFERROR(__xludf.DUMMYFUNCTION("""COMPUTED_VALUE"""),0.3)</f>
        <v>0.3</v>
      </c>
      <c r="T4530" s="4">
        <f>IFERROR(__xludf.DUMMYFUNCTION("""COMPUTED_VALUE"""),0.089)</f>
        <v>0.089</v>
      </c>
      <c r="U4530" s="4">
        <f>IFERROR(__xludf.DUMMYFUNCTION("""COMPUTED_VALUE"""),-2.4)</f>
        <v>-2.4</v>
      </c>
      <c r="V4530" s="4">
        <f>IFERROR(__xludf.DUMMYFUNCTION("""COMPUTED_VALUE"""),0.1)</f>
        <v>0.1</v>
      </c>
    </row>
    <row r="4531">
      <c r="A4531" s="4">
        <f>IFERROR(__xludf.DUMMYFUNCTION("""COMPUTED_VALUE"""),68.0)</f>
        <v>68</v>
      </c>
      <c r="B4531" s="4">
        <f>IFERROR(__xludf.DUMMYFUNCTION("""COMPUTED_VALUE"""),68.0)</f>
        <v>68</v>
      </c>
      <c r="C4531" s="4" t="str">
        <f>IFERROR(__xludf.DUMMYFUNCTION("""COMPUTED_VALUE"""),"SDC")</f>
        <v>SDC</v>
      </c>
      <c r="D4531" s="4" t="str">
        <f>IFERROR(__xludf.DUMMYFUNCTION("""COMPUTED_VALUE"""),"Jim Boylan")</f>
        <v>Jim Boylan</v>
      </c>
      <c r="E4531" s="4" t="str">
        <f>IFERROR(__xludf.DUMMYFUNCTION("""COMPUTED_VALUE"""),"Marquette")</f>
        <v>Marquette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</row>
    <row r="4532">
      <c r="A4532" s="4">
        <f>IFERROR(__xludf.DUMMYFUNCTION("""COMPUTED_VALUE"""),69.0)</f>
        <v>69</v>
      </c>
      <c r="B4532" s="4">
        <f>IFERROR(__xludf.DUMMYFUNCTION("""COMPUTED_VALUE"""),69.0)</f>
        <v>69</v>
      </c>
      <c r="C4532" s="4" t="str">
        <f>IFERROR(__xludf.DUMMYFUNCTION("""COMPUTED_VALUE"""),"HOU")</f>
        <v>HOU</v>
      </c>
      <c r="D4532" s="4" t="str">
        <f>IFERROR(__xludf.DUMMYFUNCTION("""COMPUTED_VALUE"""),"Joel Thompson")</f>
        <v>Joel Thompson</v>
      </c>
      <c r="E4532" s="4" t="str">
        <f>IFERROR(__xludf.DUMMYFUNCTION("""COMPUTED_VALUE"""),"Michigan")</f>
        <v>Michigan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</row>
    <row r="4533">
      <c r="A4533" s="4">
        <f>IFERROR(__xludf.DUMMYFUNCTION("""COMPUTED_VALUE"""),70.0)</f>
        <v>70</v>
      </c>
      <c r="B4533" s="4">
        <f>IFERROR(__xludf.DUMMYFUNCTION("""COMPUTED_VALUE"""),70.0)</f>
        <v>70</v>
      </c>
      <c r="C4533" s="4" t="str">
        <f>IFERROR(__xludf.DUMMYFUNCTION("""COMPUTED_VALUE"""),"KCK")</f>
        <v>KCK</v>
      </c>
      <c r="D4533" s="4" t="str">
        <f>IFERROR(__xludf.DUMMYFUNCTION("""COMPUTED_VALUE"""),"Geoff Crompton")</f>
        <v>Geoff Crompton</v>
      </c>
      <c r="E4533" s="4" t="str">
        <f>IFERROR(__xludf.DUMMYFUNCTION("""COMPUTED_VALUE"""),"UNC")</f>
        <v>UNC</v>
      </c>
      <c r="F4533" s="4">
        <f>IFERROR(__xludf.DUMMYFUNCTION("""COMPUTED_VALUE"""),5.0)</f>
        <v>5</v>
      </c>
      <c r="G4533" s="4">
        <f>IFERROR(__xludf.DUMMYFUNCTION("""COMPUTED_VALUE"""),82.0)</f>
        <v>82</v>
      </c>
      <c r="H4533" s="4">
        <f>IFERROR(__xludf.DUMMYFUNCTION("""COMPUTED_VALUE"""),495.0)</f>
        <v>495</v>
      </c>
      <c r="I4533" s="4">
        <f>IFERROR(__xludf.DUMMYFUNCTION("""COMPUTED_VALUE"""),99.0)</f>
        <v>99</v>
      </c>
      <c r="J4533" s="4">
        <f>IFERROR(__xludf.DUMMYFUNCTION("""COMPUTED_VALUE"""),139.0)</f>
        <v>139</v>
      </c>
      <c r="K4533" s="4">
        <f>IFERROR(__xludf.DUMMYFUNCTION("""COMPUTED_VALUE"""),28.0)</f>
        <v>28</v>
      </c>
      <c r="L4533" s="4">
        <f>IFERROR(__xludf.DUMMYFUNCTION("""COMPUTED_VALUE"""),0.37)</f>
        <v>0.37</v>
      </c>
      <c r="M4533" s="4"/>
      <c r="N4533" s="4">
        <f>IFERROR(__xludf.DUMMYFUNCTION("""COMPUTED_VALUE"""),0.442)</f>
        <v>0.442</v>
      </c>
      <c r="O4533" s="4">
        <f>IFERROR(__xludf.DUMMYFUNCTION("""COMPUTED_VALUE"""),6.0)</f>
        <v>6</v>
      </c>
      <c r="P4533" s="4">
        <f>IFERROR(__xludf.DUMMYFUNCTION("""COMPUTED_VALUE"""),1.2)</f>
        <v>1.2</v>
      </c>
      <c r="Q4533" s="4">
        <f>IFERROR(__xludf.DUMMYFUNCTION("""COMPUTED_VALUE"""),1.7)</f>
        <v>1.7</v>
      </c>
      <c r="R4533" s="4">
        <f>IFERROR(__xludf.DUMMYFUNCTION("""COMPUTED_VALUE"""),0.3)</f>
        <v>0.3</v>
      </c>
      <c r="S4533" s="4">
        <f>IFERROR(__xludf.DUMMYFUNCTION("""COMPUTED_VALUE"""),-0.1)</f>
        <v>-0.1</v>
      </c>
      <c r="T4533" s="4">
        <f>IFERROR(__xludf.DUMMYFUNCTION("""COMPUTED_VALUE"""),-0.009)</f>
        <v>-0.009</v>
      </c>
      <c r="U4533" s="4">
        <f>IFERROR(__xludf.DUMMYFUNCTION("""COMPUTED_VALUE"""),-4.3)</f>
        <v>-4.3</v>
      </c>
      <c r="V4533" s="4">
        <f>IFERROR(__xludf.DUMMYFUNCTION("""COMPUTED_VALUE"""),-0.4)</f>
        <v>-0.4</v>
      </c>
    </row>
    <row r="4534">
      <c r="A4534" s="4">
        <f>IFERROR(__xludf.DUMMYFUNCTION("""COMPUTED_VALUE"""),71.0)</f>
        <v>71</v>
      </c>
      <c r="B4534" s="4">
        <f>IFERROR(__xludf.DUMMYFUNCTION("""COMPUTED_VALUE"""),71.0)</f>
        <v>71</v>
      </c>
      <c r="C4534" s="4" t="str">
        <f>IFERROR(__xludf.DUMMYFUNCTION("""COMPUTED_VALUE"""),"IND")</f>
        <v>IND</v>
      </c>
      <c r="D4534" s="4" t="str">
        <f>IFERROR(__xludf.DUMMYFUNCTION("""COMPUTED_VALUE"""),"Rickey Lee")</f>
        <v>Rickey Lee</v>
      </c>
      <c r="E4534" s="4" t="str">
        <f>IFERROR(__xludf.DUMMYFUNCTION("""COMPUTED_VALUE"""),"Oregon State")</f>
        <v>Oregon State</v>
      </c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</row>
    <row r="4535">
      <c r="A4535" s="4">
        <f>IFERROR(__xludf.DUMMYFUNCTION("""COMPUTED_VALUE"""),72.0)</f>
        <v>72</v>
      </c>
      <c r="B4535" s="4">
        <f>IFERROR(__xludf.DUMMYFUNCTION("""COMPUTED_VALUE"""),72.0)</f>
        <v>72</v>
      </c>
      <c r="C4535" s="4" t="str">
        <f>IFERROR(__xludf.DUMMYFUNCTION("""COMPUTED_VALUE"""),"BOS")</f>
        <v>BOS</v>
      </c>
      <c r="D4535" s="4" t="str">
        <f>IFERROR(__xludf.DUMMYFUNCTION("""COMPUTED_VALUE"""),"Dave Nelson")</f>
        <v>Dave Nelson</v>
      </c>
      <c r="E4535" s="4" t="str">
        <f>IFERROR(__xludf.DUMMYFUNCTION("""COMPUTED_VALUE"""),"Bloomfield College")</f>
        <v>Bloomfield College</v>
      </c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</row>
    <row r="4536">
      <c r="A4536" s="4">
        <f>IFERROR(__xludf.DUMMYFUNCTION("""COMPUTED_VALUE"""),73.0)</f>
        <v>73</v>
      </c>
      <c r="B4536" s="4">
        <f>IFERROR(__xludf.DUMMYFUNCTION("""COMPUTED_VALUE"""),73.0)</f>
        <v>73</v>
      </c>
      <c r="C4536" s="4" t="str">
        <f>IFERROR(__xludf.DUMMYFUNCTION("""COMPUTED_VALUE"""),"SDC")</f>
        <v>SDC</v>
      </c>
      <c r="D4536" s="4" t="str">
        <f>IFERROR(__xludf.DUMMYFUNCTION("""COMPUTED_VALUE"""),"Larry Harris")</f>
        <v>Larry Harris</v>
      </c>
      <c r="E4536" s="4" t="str">
        <f>IFERROR(__xludf.DUMMYFUNCTION("""COMPUTED_VALUE"""),"Pitt")</f>
        <v>Pitt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</row>
    <row r="4537">
      <c r="A4537" s="4">
        <f>IFERROR(__xludf.DUMMYFUNCTION("""COMPUTED_VALUE"""),74.0)</f>
        <v>74</v>
      </c>
      <c r="B4537" s="4">
        <f>IFERROR(__xludf.DUMMYFUNCTION("""COMPUTED_VALUE"""),74.0)</f>
        <v>74</v>
      </c>
      <c r="C4537" s="4" t="str">
        <f>IFERROR(__xludf.DUMMYFUNCTION("""COMPUTED_VALUE"""),"NOJ")</f>
        <v>NOJ</v>
      </c>
      <c r="D4537" s="4" t="str">
        <f>IFERROR(__xludf.DUMMYFUNCTION("""COMPUTED_VALUE"""),"Mel Davis")</f>
        <v>Mel Davis</v>
      </c>
      <c r="E4537" s="4" t="str">
        <f>IFERROR(__xludf.DUMMYFUNCTION("""COMPUTED_VALUE"""),"University of North Texas")</f>
        <v>University of North Texas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</row>
    <row r="4538">
      <c r="A4538" s="4">
        <f>IFERROR(__xludf.DUMMYFUNCTION("""COMPUTED_VALUE"""),75.0)</f>
        <v>75</v>
      </c>
      <c r="B4538" s="4">
        <f>IFERROR(__xludf.DUMMYFUNCTION("""COMPUTED_VALUE"""),75.0)</f>
        <v>75</v>
      </c>
      <c r="C4538" s="4" t="str">
        <f>IFERROR(__xludf.DUMMYFUNCTION("""COMPUTED_VALUE"""),"NOJ")</f>
        <v>NOJ</v>
      </c>
      <c r="D4538" s="4" t="str">
        <f>IFERROR(__xludf.DUMMYFUNCTION("""COMPUTED_VALUE"""),"Jeff Covington")</f>
        <v>Jeff Covington</v>
      </c>
      <c r="E4538" s="4" t="str">
        <f>IFERROR(__xludf.DUMMYFUNCTION("""COMPUTED_VALUE"""),"Youngstown State University")</f>
        <v>Youngstown State University</v>
      </c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</row>
    <row r="4539">
      <c r="A4539" s="4">
        <f>IFERROR(__xludf.DUMMYFUNCTION("""COMPUTED_VALUE"""),76.0)</f>
        <v>76</v>
      </c>
      <c r="B4539" s="4">
        <f>IFERROR(__xludf.DUMMYFUNCTION("""COMPUTED_VALUE"""),76.0)</f>
        <v>76</v>
      </c>
      <c r="C4539" s="4" t="str">
        <f>IFERROR(__xludf.DUMMYFUNCTION("""COMPUTED_VALUE"""),"SDC")</f>
        <v>SDC</v>
      </c>
      <c r="D4539" s="4" t="str">
        <f>IFERROR(__xludf.DUMMYFUNCTION("""COMPUTED_VALUE"""),"Leroy McDonald")</f>
        <v>Leroy McDonald</v>
      </c>
      <c r="E4539" s="4" t="str">
        <f>IFERROR(__xludf.DUMMYFUNCTION("""COMPUTED_VALUE"""),"Wake Forest")</f>
        <v>Wake Forest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</row>
    <row r="4540">
      <c r="A4540" s="4">
        <f>IFERROR(__xludf.DUMMYFUNCTION("""COMPUTED_VALUE"""),77.0)</f>
        <v>77</v>
      </c>
      <c r="B4540" s="4">
        <f>IFERROR(__xludf.DUMMYFUNCTION("""COMPUTED_VALUE"""),77.0)</f>
        <v>77</v>
      </c>
      <c r="C4540" s="4" t="str">
        <f>IFERROR(__xludf.DUMMYFUNCTION("""COMPUTED_VALUE"""),"GSW")</f>
        <v>GSW</v>
      </c>
      <c r="D4540" s="4" t="str">
        <f>IFERROR(__xludf.DUMMYFUNCTION("""COMPUTED_VALUE"""),"Derrick Jackson")</f>
        <v>Derrick Jackson</v>
      </c>
      <c r="E4540" s="4" t="str">
        <f>IFERROR(__xludf.DUMMYFUNCTION("""COMPUTED_VALUE"""),"Georgetown")</f>
        <v>Georgetown</v>
      </c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</row>
    <row r="4541">
      <c r="A4541" s="4">
        <f>IFERROR(__xludf.DUMMYFUNCTION("""COMPUTED_VALUE"""),78.0)</f>
        <v>78</v>
      </c>
      <c r="B4541" s="4">
        <f>IFERROR(__xludf.DUMMYFUNCTION("""COMPUTED_VALUE"""),78.0)</f>
        <v>78</v>
      </c>
      <c r="C4541" s="4" t="str">
        <f>IFERROR(__xludf.DUMMYFUNCTION("""COMPUTED_VALUE"""),"CLE")</f>
        <v>CLE</v>
      </c>
      <c r="D4541" s="4" t="str">
        <f>IFERROR(__xludf.DUMMYFUNCTION("""COMPUTED_VALUE"""),"Stan Rome")</f>
        <v>Stan Rome</v>
      </c>
      <c r="E4541" s="4" t="str">
        <f>IFERROR(__xludf.DUMMYFUNCTION("""COMPUTED_VALUE"""),"Clemson")</f>
        <v>Clemson</v>
      </c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</row>
    <row r="4542">
      <c r="A4542" s="4">
        <f>IFERROR(__xludf.DUMMYFUNCTION("""COMPUTED_VALUE"""),79.0)</f>
        <v>79</v>
      </c>
      <c r="B4542" s="4">
        <f>IFERROR(__xludf.DUMMYFUNCTION("""COMPUTED_VALUE"""),79.0)</f>
        <v>79</v>
      </c>
      <c r="C4542" s="4" t="str">
        <f>IFERROR(__xludf.DUMMYFUNCTION("""COMPUTED_VALUE"""),"NYK")</f>
        <v>NYK</v>
      </c>
      <c r="D4542" s="4" t="str">
        <f>IFERROR(__xludf.DUMMYFUNCTION("""COMPUTED_VALUE"""),"Erving Giddings")</f>
        <v>Erving Giddings</v>
      </c>
      <c r="E4542" s="4" t="str">
        <f>IFERROR(__xludf.DUMMYFUNCTION("""COMPUTED_VALUE"""),"Dayton")</f>
        <v>Dayton</v>
      </c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</row>
    <row r="4543">
      <c r="A4543" s="4">
        <f>IFERROR(__xludf.DUMMYFUNCTION("""COMPUTED_VALUE"""),80.0)</f>
        <v>80</v>
      </c>
      <c r="B4543" s="4">
        <f>IFERROR(__xludf.DUMMYFUNCTION("""COMPUTED_VALUE"""),80.0)</f>
        <v>80</v>
      </c>
      <c r="C4543" s="4" t="str">
        <f>IFERROR(__xludf.DUMMYFUNCTION("""COMPUTED_VALUE"""),"MIL")</f>
        <v>MIL</v>
      </c>
      <c r="D4543" s="4" t="str">
        <f>IFERROR(__xludf.DUMMYFUNCTION("""COMPUTED_VALUE"""),"Otis Howard")</f>
        <v>Otis Howard</v>
      </c>
      <c r="E4543" s="4" t="str">
        <f>IFERROR(__xludf.DUMMYFUNCTION("""COMPUTED_VALUE"""),"Austin Peay State University")</f>
        <v>Austin Peay State University</v>
      </c>
      <c r="F4543" s="4">
        <f>IFERROR(__xludf.DUMMYFUNCTION("""COMPUTED_VALUE"""),1.0)</f>
        <v>1</v>
      </c>
      <c r="G4543" s="4">
        <f>IFERROR(__xludf.DUMMYFUNCTION("""COMPUTED_VALUE"""),14.0)</f>
        <v>14</v>
      </c>
      <c r="H4543" s="4">
        <f>IFERROR(__xludf.DUMMYFUNCTION("""COMPUTED_VALUE"""),113.0)</f>
        <v>113</v>
      </c>
      <c r="I4543" s="4">
        <f>IFERROR(__xludf.DUMMYFUNCTION("""COMPUTED_VALUE"""),59.0)</f>
        <v>59</v>
      </c>
      <c r="J4543" s="4">
        <f>IFERROR(__xludf.DUMMYFUNCTION("""COMPUTED_VALUE"""),41.0)</f>
        <v>41</v>
      </c>
      <c r="K4543" s="4">
        <f>IFERROR(__xludf.DUMMYFUNCTION("""COMPUTED_VALUE"""),5.0)</f>
        <v>5</v>
      </c>
      <c r="L4543" s="4">
        <f>IFERROR(__xludf.DUMMYFUNCTION("""COMPUTED_VALUE"""),0.429)</f>
        <v>0.429</v>
      </c>
      <c r="M4543" s="4"/>
      <c r="N4543" s="4">
        <f>IFERROR(__xludf.DUMMYFUNCTION("""COMPUTED_VALUE"""),0.478)</f>
        <v>0.478</v>
      </c>
      <c r="O4543" s="4">
        <f>IFERROR(__xludf.DUMMYFUNCTION("""COMPUTED_VALUE"""),8.1)</f>
        <v>8.1</v>
      </c>
      <c r="P4543" s="4">
        <f>IFERROR(__xludf.DUMMYFUNCTION("""COMPUTED_VALUE"""),4.2)</f>
        <v>4.2</v>
      </c>
      <c r="Q4543" s="4">
        <f>IFERROR(__xludf.DUMMYFUNCTION("""COMPUTED_VALUE"""),2.9)</f>
        <v>2.9</v>
      </c>
      <c r="R4543" s="4">
        <f>IFERROR(__xludf.DUMMYFUNCTION("""COMPUTED_VALUE"""),0.4)</f>
        <v>0.4</v>
      </c>
      <c r="S4543" s="4">
        <f>IFERROR(__xludf.DUMMYFUNCTION("""COMPUTED_VALUE"""),0.2)</f>
        <v>0.2</v>
      </c>
      <c r="T4543" s="4">
        <f>IFERROR(__xludf.DUMMYFUNCTION("""COMPUTED_VALUE"""),0.064)</f>
        <v>0.064</v>
      </c>
      <c r="U4543" s="4">
        <f>IFERROR(__xludf.DUMMYFUNCTION("""COMPUTED_VALUE"""),-4.0)</f>
        <v>-4</v>
      </c>
      <c r="V4543" s="4">
        <f>IFERROR(__xludf.DUMMYFUNCTION("""COMPUTED_VALUE"""),-0.1)</f>
        <v>-0.1</v>
      </c>
    </row>
    <row r="4544">
      <c r="A4544" s="4">
        <f>IFERROR(__xludf.DUMMYFUNCTION("""COMPUTED_VALUE"""),81.0)</f>
        <v>81</v>
      </c>
      <c r="B4544" s="4">
        <f>IFERROR(__xludf.DUMMYFUNCTION("""COMPUTED_VALUE"""),81.0)</f>
        <v>81</v>
      </c>
      <c r="C4544" s="4" t="str">
        <f>IFERROR(__xludf.DUMMYFUNCTION("""COMPUTED_VALUE"""),"WSB")</f>
        <v>WSB</v>
      </c>
      <c r="D4544" s="4" t="str">
        <f>IFERROR(__xludf.DUMMYFUNCTION("""COMPUTED_VALUE"""),"Lawrence Boston")</f>
        <v>Lawrence Boston</v>
      </c>
      <c r="E4544" s="4" t="str">
        <f>IFERROR(__xludf.DUMMYFUNCTION("""COMPUTED_VALUE"""),"Maryland")</f>
        <v>Maryland</v>
      </c>
      <c r="F4544" s="4">
        <f>IFERROR(__xludf.DUMMYFUNCTION("""COMPUTED_VALUE"""),1.0)</f>
        <v>1</v>
      </c>
      <c r="G4544" s="4">
        <f>IFERROR(__xludf.DUMMYFUNCTION("""COMPUTED_VALUE"""),13.0)</f>
        <v>13</v>
      </c>
      <c r="H4544" s="4">
        <f>IFERROR(__xludf.DUMMYFUNCTION("""COMPUTED_VALUE"""),125.0)</f>
        <v>125</v>
      </c>
      <c r="I4544" s="4">
        <f>IFERROR(__xludf.DUMMYFUNCTION("""COMPUTED_VALUE"""),56.0)</f>
        <v>56</v>
      </c>
      <c r="J4544" s="4">
        <f>IFERROR(__xludf.DUMMYFUNCTION("""COMPUTED_VALUE"""),39.0)</f>
        <v>39</v>
      </c>
      <c r="K4544" s="4">
        <f>IFERROR(__xludf.DUMMYFUNCTION("""COMPUTED_VALUE"""),2.0)</f>
        <v>2</v>
      </c>
      <c r="L4544" s="4">
        <f>IFERROR(__xludf.DUMMYFUNCTION("""COMPUTED_VALUE"""),0.462)</f>
        <v>0.462</v>
      </c>
      <c r="M4544" s="4"/>
      <c r="N4544" s="4">
        <f>IFERROR(__xludf.DUMMYFUNCTION("""COMPUTED_VALUE"""),0.615)</f>
        <v>0.615</v>
      </c>
      <c r="O4544" s="4">
        <f>IFERROR(__xludf.DUMMYFUNCTION("""COMPUTED_VALUE"""),9.6)</f>
        <v>9.6</v>
      </c>
      <c r="P4544" s="4">
        <f>IFERROR(__xludf.DUMMYFUNCTION("""COMPUTED_VALUE"""),4.3)</f>
        <v>4.3</v>
      </c>
      <c r="Q4544" s="4">
        <f>IFERROR(__xludf.DUMMYFUNCTION("""COMPUTED_VALUE"""),3.0)</f>
        <v>3</v>
      </c>
      <c r="R4544" s="4">
        <f>IFERROR(__xludf.DUMMYFUNCTION("""COMPUTED_VALUE"""),0.2)</f>
        <v>0.2</v>
      </c>
      <c r="S4544" s="4">
        <f>IFERROR(__xludf.DUMMYFUNCTION("""COMPUTED_VALUE"""),0.2)</f>
        <v>0.2</v>
      </c>
      <c r="T4544" s="4">
        <f>IFERROR(__xludf.DUMMYFUNCTION("""COMPUTED_VALUE"""),0.075)</f>
        <v>0.075</v>
      </c>
      <c r="U4544" s="4">
        <f>IFERROR(__xludf.DUMMYFUNCTION("""COMPUTED_VALUE"""),-4.0)</f>
        <v>-4</v>
      </c>
      <c r="V4544" s="4">
        <f>IFERROR(__xludf.DUMMYFUNCTION("""COMPUTED_VALUE"""),-0.1)</f>
        <v>-0.1</v>
      </c>
    </row>
    <row r="4545">
      <c r="A4545" s="4">
        <f>IFERROR(__xludf.DUMMYFUNCTION("""COMPUTED_VALUE"""),82.0)</f>
        <v>82</v>
      </c>
      <c r="B4545" s="4">
        <f>IFERROR(__xludf.DUMMYFUNCTION("""COMPUTED_VALUE"""),82.0)</f>
        <v>82</v>
      </c>
      <c r="C4545" s="4" t="str">
        <f>IFERROR(__xludf.DUMMYFUNCTION("""COMPUTED_VALUE"""),"LAL")</f>
        <v>LAL</v>
      </c>
      <c r="D4545" s="4" t="str">
        <f>IFERROR(__xludf.DUMMYFUNCTION("""COMPUTED_VALUE"""),"Harold Robertson")</f>
        <v>Harold Robertson</v>
      </c>
      <c r="E4545" s="4" t="str">
        <f>IFERROR(__xludf.DUMMYFUNCTION("""COMPUTED_VALUE"""),"Lincoln University of Missouri")</f>
        <v>Lincoln University of Missouri</v>
      </c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</row>
    <row r="4546">
      <c r="A4546" s="4">
        <f>IFERROR(__xludf.DUMMYFUNCTION("""COMPUTED_VALUE"""),83.0)</f>
        <v>83</v>
      </c>
      <c r="B4546" s="4">
        <f>IFERROR(__xludf.DUMMYFUNCTION("""COMPUTED_VALUE"""),83.0)</f>
        <v>83</v>
      </c>
      <c r="C4546" s="4" t="str">
        <f>IFERROR(__xludf.DUMMYFUNCTION("""COMPUTED_VALUE"""),"SEA")</f>
        <v>SEA</v>
      </c>
      <c r="D4546" s="4" t="str">
        <f>IFERROR(__xludf.DUMMYFUNCTION("""COMPUTED_VALUE"""),"Billy Lewis")</f>
        <v>Billy Lewis</v>
      </c>
      <c r="E4546" s="4" t="str">
        <f>IFERROR(__xludf.DUMMYFUNCTION("""COMPUTED_VALUE"""),"Illinois State")</f>
        <v>Illinois State</v>
      </c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</row>
    <row r="4547">
      <c r="A4547" s="4">
        <f>IFERROR(__xludf.DUMMYFUNCTION("""COMPUTED_VALUE"""),84.0)</f>
        <v>84</v>
      </c>
      <c r="B4547" s="4">
        <f>IFERROR(__xludf.DUMMYFUNCTION("""COMPUTED_VALUE"""),84.0)</f>
        <v>84</v>
      </c>
      <c r="C4547" s="4" t="str">
        <f>IFERROR(__xludf.DUMMYFUNCTION("""COMPUTED_VALUE"""),"NJN")</f>
        <v>NJN</v>
      </c>
      <c r="D4547" s="4" t="str">
        <f>IFERROR(__xludf.DUMMYFUNCTION("""COMPUTED_VALUE"""),"Walter Jordan")</f>
        <v>Walter Jordan</v>
      </c>
      <c r="E4547" s="4" t="str">
        <f>IFERROR(__xludf.DUMMYFUNCTION("""COMPUTED_VALUE"""),"Purdue")</f>
        <v>Purdue</v>
      </c>
      <c r="F4547" s="4">
        <f>IFERROR(__xludf.DUMMYFUNCTION("""COMPUTED_VALUE"""),1.0)</f>
        <v>1</v>
      </c>
      <c r="G4547" s="4">
        <f>IFERROR(__xludf.DUMMYFUNCTION("""COMPUTED_VALUE"""),30.0)</f>
        <v>30</v>
      </c>
      <c r="H4547" s="4">
        <f>IFERROR(__xludf.DUMMYFUNCTION("""COMPUTED_VALUE"""),207.0)</f>
        <v>207</v>
      </c>
      <c r="I4547" s="4">
        <f>IFERROR(__xludf.DUMMYFUNCTION("""COMPUTED_VALUE"""),68.0)</f>
        <v>68</v>
      </c>
      <c r="J4547" s="4">
        <f>IFERROR(__xludf.DUMMYFUNCTION("""COMPUTED_VALUE"""),42.0)</f>
        <v>42</v>
      </c>
      <c r="K4547" s="4">
        <f>IFERROR(__xludf.DUMMYFUNCTION("""COMPUTED_VALUE"""),11.0)</f>
        <v>11</v>
      </c>
      <c r="L4547" s="4">
        <f>IFERROR(__xludf.DUMMYFUNCTION("""COMPUTED_VALUE"""),0.387)</f>
        <v>0.387</v>
      </c>
      <c r="M4547" s="4"/>
      <c r="N4547" s="4">
        <f>IFERROR(__xludf.DUMMYFUNCTION("""COMPUTED_VALUE"""),0.588)</f>
        <v>0.588</v>
      </c>
      <c r="O4547" s="4">
        <f>IFERROR(__xludf.DUMMYFUNCTION("""COMPUTED_VALUE"""),6.9)</f>
        <v>6.9</v>
      </c>
      <c r="P4547" s="4">
        <f>IFERROR(__xludf.DUMMYFUNCTION("""COMPUTED_VALUE"""),2.3)</f>
        <v>2.3</v>
      </c>
      <c r="Q4547" s="4">
        <f>IFERROR(__xludf.DUMMYFUNCTION("""COMPUTED_VALUE"""),1.4)</f>
        <v>1.4</v>
      </c>
      <c r="R4547" s="4">
        <f>IFERROR(__xludf.DUMMYFUNCTION("""COMPUTED_VALUE"""),0.4)</f>
        <v>0.4</v>
      </c>
      <c r="S4547" s="4">
        <f>IFERROR(__xludf.DUMMYFUNCTION("""COMPUTED_VALUE"""),-0.1)</f>
        <v>-0.1</v>
      </c>
      <c r="T4547" s="4">
        <f>IFERROR(__xludf.DUMMYFUNCTION("""COMPUTED_VALUE"""),-0.021)</f>
        <v>-0.021</v>
      </c>
      <c r="U4547" s="4">
        <f>IFERROR(__xludf.DUMMYFUNCTION("""COMPUTED_VALUE"""),-4.6)</f>
        <v>-4.6</v>
      </c>
      <c r="V4547" s="4">
        <f>IFERROR(__xludf.DUMMYFUNCTION("""COMPUTED_VALUE"""),-0.2)</f>
        <v>-0.2</v>
      </c>
    </row>
    <row r="4548">
      <c r="A4548" s="4">
        <f>IFERROR(__xludf.DUMMYFUNCTION("""COMPUTED_VALUE"""),85.0)</f>
        <v>85</v>
      </c>
      <c r="B4548" s="4">
        <f>IFERROR(__xludf.DUMMYFUNCTION("""COMPUTED_VALUE"""),85.0)</f>
        <v>85</v>
      </c>
      <c r="C4548" s="4" t="str">
        <f>IFERROR(__xludf.DUMMYFUNCTION("""COMPUTED_VALUE"""),"PHO")</f>
        <v>PHO</v>
      </c>
      <c r="D4548" s="4" t="str">
        <f>IFERROR(__xludf.DUMMYFUNCTION("""COMPUTED_VALUE"""),"Bob Miller")</f>
        <v>Bob Miller</v>
      </c>
      <c r="E4548" s="4" t="str">
        <f>IFERROR(__xludf.DUMMYFUNCTION("""COMPUTED_VALUE"""),"Cincinnati")</f>
        <v>Cincinnati</v>
      </c>
      <c r="F4548" s="4">
        <f>IFERROR(__xludf.DUMMYFUNCTION("""COMPUTED_VALUE"""),1.0)</f>
        <v>1</v>
      </c>
      <c r="G4548" s="4">
        <f>IFERROR(__xludf.DUMMYFUNCTION("""COMPUTED_VALUE"""),2.0)</f>
        <v>2</v>
      </c>
      <c r="H4548" s="4">
        <f>IFERROR(__xludf.DUMMYFUNCTION("""COMPUTED_VALUE"""),8.0)</f>
        <v>8</v>
      </c>
      <c r="I4548" s="4">
        <f>IFERROR(__xludf.DUMMYFUNCTION("""COMPUTED_VALUE"""),4.0)</f>
        <v>4</v>
      </c>
      <c r="J4548" s="4">
        <f>IFERROR(__xludf.DUMMYFUNCTION("""COMPUTED_VALUE"""),5.0)</f>
        <v>5</v>
      </c>
      <c r="K4548" s="4">
        <f>IFERROR(__xludf.DUMMYFUNCTION("""COMPUTED_VALUE"""),1.0)</f>
        <v>1</v>
      </c>
      <c r="L4548" s="4">
        <f>IFERROR(__xludf.DUMMYFUNCTION("""COMPUTED_VALUE"""),0.667)</f>
        <v>0.667</v>
      </c>
      <c r="M4548" s="4"/>
      <c r="N4548" s="4"/>
      <c r="O4548" s="4">
        <f>IFERROR(__xludf.DUMMYFUNCTION("""COMPUTED_VALUE"""),4.0)</f>
        <v>4</v>
      </c>
      <c r="P4548" s="4">
        <f>IFERROR(__xludf.DUMMYFUNCTION("""COMPUTED_VALUE"""),2.0)</f>
        <v>2</v>
      </c>
      <c r="Q4548" s="4">
        <f>IFERROR(__xludf.DUMMYFUNCTION("""COMPUTED_VALUE"""),2.5)</f>
        <v>2.5</v>
      </c>
      <c r="R4548" s="4">
        <f>IFERROR(__xludf.DUMMYFUNCTION("""COMPUTED_VALUE"""),0.5)</f>
        <v>0.5</v>
      </c>
      <c r="S4548" s="4">
        <f>IFERROR(__xludf.DUMMYFUNCTION("""COMPUTED_VALUE"""),0.1)</f>
        <v>0.1</v>
      </c>
      <c r="T4548" s="4">
        <f>IFERROR(__xludf.DUMMYFUNCTION("""COMPUTED_VALUE"""),0.36)</f>
        <v>0.36</v>
      </c>
      <c r="U4548" s="4">
        <f>IFERROR(__xludf.DUMMYFUNCTION("""COMPUTED_VALUE"""),-4.0)</f>
        <v>-4</v>
      </c>
      <c r="V4548" s="4">
        <f>IFERROR(__xludf.DUMMYFUNCTION("""COMPUTED_VALUE"""),0.0)</f>
        <v>0</v>
      </c>
    </row>
    <row r="4549">
      <c r="A4549" s="4">
        <f>IFERROR(__xludf.DUMMYFUNCTION("""COMPUTED_VALUE"""),86.0)</f>
        <v>86</v>
      </c>
      <c r="B4549" s="4">
        <f>IFERROR(__xludf.DUMMYFUNCTION("""COMPUTED_VALUE"""),86.0)</f>
        <v>86</v>
      </c>
      <c r="C4549" s="4" t="str">
        <f>IFERROR(__xludf.DUMMYFUNCTION("""COMPUTED_VALUE"""),"SAS")</f>
        <v>SAS</v>
      </c>
      <c r="D4549" s="4" t="str">
        <f>IFERROR(__xludf.DUMMYFUNCTION("""COMPUTED_VALUE"""),"Rich Adams")</f>
        <v>Rich Adams</v>
      </c>
      <c r="E4549" s="4" t="str">
        <f>IFERROR(__xludf.DUMMYFUNCTION("""COMPUTED_VALUE"""),"Illinois")</f>
        <v>Illinois</v>
      </c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</row>
    <row r="4550">
      <c r="A4550" s="4">
        <f>IFERROR(__xludf.DUMMYFUNCTION("""COMPUTED_VALUE"""),87.0)</f>
        <v>87</v>
      </c>
      <c r="B4550" s="4">
        <f>IFERROR(__xludf.DUMMYFUNCTION("""COMPUTED_VALUE"""),87.0)</f>
        <v>87</v>
      </c>
      <c r="C4550" s="4" t="str">
        <f>IFERROR(__xludf.DUMMYFUNCTION("""COMPUTED_VALUE"""),"PHI")</f>
        <v>PHI</v>
      </c>
      <c r="D4550" s="4" t="str">
        <f>IFERROR(__xludf.DUMMYFUNCTION("""COMPUTED_VALUE"""),"Brett Vroman")</f>
        <v>Brett Vroman</v>
      </c>
      <c r="E4550" s="4" t="str">
        <f>IFERROR(__xludf.DUMMYFUNCTION("""COMPUTED_VALUE"""),"UNLV")</f>
        <v>UNLV</v>
      </c>
      <c r="F4550" s="4">
        <f>IFERROR(__xludf.DUMMYFUNCTION("""COMPUTED_VALUE"""),1.0)</f>
        <v>1</v>
      </c>
      <c r="G4550" s="4">
        <f>IFERROR(__xludf.DUMMYFUNCTION("""COMPUTED_VALUE"""),11.0)</f>
        <v>11</v>
      </c>
      <c r="H4550" s="4">
        <f>IFERROR(__xludf.DUMMYFUNCTION("""COMPUTED_VALUE"""),93.0)</f>
        <v>93</v>
      </c>
      <c r="I4550" s="4">
        <f>IFERROR(__xludf.DUMMYFUNCTION("""COMPUTED_VALUE"""),34.0)</f>
        <v>34</v>
      </c>
      <c r="J4550" s="4">
        <f>IFERROR(__xludf.DUMMYFUNCTION("""COMPUTED_VALUE"""),25.0)</f>
        <v>25</v>
      </c>
      <c r="K4550" s="4">
        <f>IFERROR(__xludf.DUMMYFUNCTION("""COMPUTED_VALUE"""),9.0)</f>
        <v>9</v>
      </c>
      <c r="L4550" s="4">
        <f>IFERROR(__xludf.DUMMYFUNCTION("""COMPUTED_VALUE"""),0.37)</f>
        <v>0.37</v>
      </c>
      <c r="M4550" s="4">
        <f>IFERROR(__xludf.DUMMYFUNCTION("""COMPUTED_VALUE"""),0.0)</f>
        <v>0</v>
      </c>
      <c r="N4550" s="4">
        <f>IFERROR(__xludf.DUMMYFUNCTION("""COMPUTED_VALUE"""),0.737)</f>
        <v>0.737</v>
      </c>
      <c r="O4550" s="4">
        <f>IFERROR(__xludf.DUMMYFUNCTION("""COMPUTED_VALUE"""),8.5)</f>
        <v>8.5</v>
      </c>
      <c r="P4550" s="4">
        <f>IFERROR(__xludf.DUMMYFUNCTION("""COMPUTED_VALUE"""),3.1)</f>
        <v>3.1</v>
      </c>
      <c r="Q4550" s="4">
        <f>IFERROR(__xludf.DUMMYFUNCTION("""COMPUTED_VALUE"""),2.3)</f>
        <v>2.3</v>
      </c>
      <c r="R4550" s="4">
        <f>IFERROR(__xludf.DUMMYFUNCTION("""COMPUTED_VALUE"""),0.8)</f>
        <v>0.8</v>
      </c>
      <c r="S4550" s="4">
        <f>IFERROR(__xludf.DUMMYFUNCTION("""COMPUTED_VALUE"""),0.1)</f>
        <v>0.1</v>
      </c>
      <c r="T4550" s="4">
        <f>IFERROR(__xludf.DUMMYFUNCTION("""COMPUTED_VALUE"""),0.048)</f>
        <v>0.048</v>
      </c>
      <c r="U4550" s="4">
        <f>IFERROR(__xludf.DUMMYFUNCTION("""COMPUTED_VALUE"""),-3.6)</f>
        <v>-3.6</v>
      </c>
      <c r="V4550" s="4">
        <f>IFERROR(__xludf.DUMMYFUNCTION("""COMPUTED_VALUE"""),0.0)</f>
        <v>0</v>
      </c>
    </row>
    <row r="4551">
      <c r="A4551" s="4">
        <f>IFERROR(__xludf.DUMMYFUNCTION("""COMPUTED_VALUE"""),88.0)</f>
        <v>88</v>
      </c>
      <c r="B4551" s="4">
        <f>IFERROR(__xludf.DUMMYFUNCTION("""COMPUTED_VALUE"""),88.0)</f>
        <v>88</v>
      </c>
      <c r="C4551" s="4" t="str">
        <f>IFERROR(__xludf.DUMMYFUNCTION("""COMPUTED_VALUE"""),"PHO")</f>
        <v>PHO</v>
      </c>
      <c r="D4551" s="4" t="str">
        <f>IFERROR(__xludf.DUMMYFUNCTION("""COMPUTED_VALUE"""),"Wayne Smith")</f>
        <v>Wayne Smith</v>
      </c>
      <c r="E4551" s="4" t="str">
        <f>IFERROR(__xludf.DUMMYFUNCTION("""COMPUTED_VALUE"""),"University of California, Irvine")</f>
        <v>University of California, Irvine</v>
      </c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</row>
    <row r="4552">
      <c r="A4552" s="4"/>
      <c r="B4552" s="4"/>
      <c r="C4552" s="4"/>
      <c r="D4552" s="4" t="str">
        <f>IFERROR(__xludf.DUMMYFUNCTION("""COMPUTED_VALUE"""),"Round 5")</f>
        <v>Round 5</v>
      </c>
      <c r="E4552" s="4"/>
      <c r="F4552" s="4"/>
      <c r="G4552" s="4" t="str">
        <f>IFERROR(__xludf.DUMMYFUNCTION("""COMPUTED_VALUE"""),"Totals")</f>
        <v>Totals</v>
      </c>
      <c r="H4552" s="4"/>
      <c r="I4552" s="4"/>
      <c r="J4552" s="4"/>
      <c r="K4552" s="4"/>
      <c r="L4552" s="4" t="str">
        <f>IFERROR(__xludf.DUMMYFUNCTION("""COMPUTED_VALUE"""),"Shooting")</f>
        <v>Shooting</v>
      </c>
      <c r="M4552" s="4"/>
      <c r="N4552" s="4"/>
      <c r="O4552" s="4" t="str">
        <f>IFERROR(__xludf.DUMMYFUNCTION("""COMPUTED_VALUE"""),"Per Game")</f>
        <v>Per Game</v>
      </c>
      <c r="P4552" s="4"/>
      <c r="Q4552" s="4"/>
      <c r="R4552" s="4"/>
      <c r="S4552" s="4" t="str">
        <f>IFERROR(__xludf.DUMMYFUNCTION("""COMPUTED_VALUE"""),"Advanced")</f>
        <v>Advanced</v>
      </c>
      <c r="T4552" s="4"/>
      <c r="U4552" s="4"/>
      <c r="V4552" s="4"/>
    </row>
    <row r="4553">
      <c r="A4553" s="4" t="str">
        <f>IFERROR(__xludf.DUMMYFUNCTION("""COMPUTED_VALUE"""),"Rk")</f>
        <v>Rk</v>
      </c>
      <c r="B4553" s="4" t="str">
        <f>IFERROR(__xludf.DUMMYFUNCTION("""COMPUTED_VALUE"""),"Pk")</f>
        <v>Pk</v>
      </c>
      <c r="C4553" s="4" t="str">
        <f>IFERROR(__xludf.DUMMYFUNCTION("""COMPUTED_VALUE"""),"Tm")</f>
        <v>Tm</v>
      </c>
      <c r="D4553" s="4" t="str">
        <f>IFERROR(__xludf.DUMMYFUNCTION("""COMPUTED_VALUE"""),"Player")</f>
        <v>Player</v>
      </c>
      <c r="E4553" s="4" t="str">
        <f>IFERROR(__xludf.DUMMYFUNCTION("""COMPUTED_VALUE"""),"College")</f>
        <v>College</v>
      </c>
      <c r="F4553" s="4" t="str">
        <f>IFERROR(__xludf.DUMMYFUNCTION("""COMPUTED_VALUE"""),"Yrs")</f>
        <v>Yrs</v>
      </c>
      <c r="G4553" s="4" t="str">
        <f>IFERROR(__xludf.DUMMYFUNCTION("""COMPUTED_VALUE"""),"G")</f>
        <v>G</v>
      </c>
      <c r="H4553" s="4" t="str">
        <f>IFERROR(__xludf.DUMMYFUNCTION("""COMPUTED_VALUE"""),"MP")</f>
        <v>MP</v>
      </c>
      <c r="I4553" s="4" t="str">
        <f>IFERROR(__xludf.DUMMYFUNCTION("""COMPUTED_VALUE"""),"PTS")</f>
        <v>PTS</v>
      </c>
      <c r="J4553" s="4" t="str">
        <f>IFERROR(__xludf.DUMMYFUNCTION("""COMPUTED_VALUE"""),"TRB")</f>
        <v>TRB</v>
      </c>
      <c r="K4553" s="4" t="str">
        <f>IFERROR(__xludf.DUMMYFUNCTION("""COMPUTED_VALUE"""),"AST")</f>
        <v>AST</v>
      </c>
      <c r="L4553" s="4" t="str">
        <f>IFERROR(__xludf.DUMMYFUNCTION("""COMPUTED_VALUE"""),"FG%")</f>
        <v>FG%</v>
      </c>
      <c r="M4553" s="4" t="str">
        <f>IFERROR(__xludf.DUMMYFUNCTION("""COMPUTED_VALUE"""),"3P%")</f>
        <v>3P%</v>
      </c>
      <c r="N4553" s="4" t="str">
        <f>IFERROR(__xludf.DUMMYFUNCTION("""COMPUTED_VALUE"""),"FT%")</f>
        <v>FT%</v>
      </c>
      <c r="O4553" s="4" t="str">
        <f>IFERROR(__xludf.DUMMYFUNCTION("""COMPUTED_VALUE"""),"MP")</f>
        <v>MP</v>
      </c>
      <c r="P4553" s="4" t="str">
        <f>IFERROR(__xludf.DUMMYFUNCTION("""COMPUTED_VALUE"""),"PTS")</f>
        <v>PTS</v>
      </c>
      <c r="Q4553" s="4" t="str">
        <f>IFERROR(__xludf.DUMMYFUNCTION("""COMPUTED_VALUE"""),"TRB")</f>
        <v>TRB</v>
      </c>
      <c r="R4553" s="4" t="str">
        <f>IFERROR(__xludf.DUMMYFUNCTION("""COMPUTED_VALUE"""),"AST")</f>
        <v>AST</v>
      </c>
      <c r="S4553" s="4" t="str">
        <f>IFERROR(__xludf.DUMMYFUNCTION("""COMPUTED_VALUE"""),"WS")</f>
        <v>WS</v>
      </c>
      <c r="T4553" s="4" t="str">
        <f>IFERROR(__xludf.DUMMYFUNCTION("""COMPUTED_VALUE"""),"WS/48")</f>
        <v>WS/48</v>
      </c>
      <c r="U4553" s="4" t="str">
        <f>IFERROR(__xludf.DUMMYFUNCTION("""COMPUTED_VALUE"""),"BPM")</f>
        <v>BPM</v>
      </c>
      <c r="V4553" s="4" t="str">
        <f>IFERROR(__xludf.DUMMYFUNCTION("""COMPUTED_VALUE"""),"VORP")</f>
        <v>VORP</v>
      </c>
    </row>
    <row r="4554">
      <c r="A4554" s="4">
        <f>IFERROR(__xludf.DUMMYFUNCTION("""COMPUTED_VALUE"""),89.0)</f>
        <v>89</v>
      </c>
      <c r="B4554" s="4">
        <f>IFERROR(__xludf.DUMMYFUNCTION("""COMPUTED_VALUE"""),89.0)</f>
        <v>89</v>
      </c>
      <c r="C4554" s="4" t="str">
        <f>IFERROR(__xludf.DUMMYFUNCTION("""COMPUTED_VALUE"""),"NJN")</f>
        <v>NJN</v>
      </c>
      <c r="D4554" s="4" t="str">
        <f>IFERROR(__xludf.DUMMYFUNCTION("""COMPUTED_VALUE"""),"Cecil Rose")</f>
        <v>Cecil Rose</v>
      </c>
      <c r="E4554" s="4" t="str">
        <f>IFERROR(__xludf.DUMMYFUNCTION("""COMPUTED_VALUE"""),"Houston")</f>
        <v>Houston</v>
      </c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</row>
    <row r="4555">
      <c r="A4555" s="4">
        <f>IFERROR(__xludf.DUMMYFUNCTION("""COMPUTED_VALUE"""),90.0)</f>
        <v>90</v>
      </c>
      <c r="B4555" s="4">
        <f>IFERROR(__xludf.DUMMYFUNCTION("""COMPUTED_VALUE"""),90.0)</f>
        <v>90</v>
      </c>
      <c r="C4555" s="4" t="str">
        <f>IFERROR(__xludf.DUMMYFUNCTION("""COMPUTED_VALUE"""),"SDC")</f>
        <v>SDC</v>
      </c>
      <c r="D4555" s="4" t="str">
        <f>IFERROR(__xludf.DUMMYFUNCTION("""COMPUTED_VALUE"""),"David Thompson")</f>
        <v>David Thompson</v>
      </c>
      <c r="E4555" s="4" t="str">
        <f>IFERROR(__xludf.DUMMYFUNCTION("""COMPUTED_VALUE"""),"Florida State")</f>
        <v>Florida State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</row>
    <row r="4556">
      <c r="A4556" s="4">
        <f>IFERROR(__xludf.DUMMYFUNCTION("""COMPUTED_VALUE"""),91.0)</f>
        <v>91</v>
      </c>
      <c r="B4556" s="4">
        <f>IFERROR(__xludf.DUMMYFUNCTION("""COMPUTED_VALUE"""),91.0)</f>
        <v>91</v>
      </c>
      <c r="C4556" s="4" t="str">
        <f>IFERROR(__xludf.DUMMYFUNCTION("""COMPUTED_VALUE"""),"HOU")</f>
        <v>HOU</v>
      </c>
      <c r="D4556" s="4" t="str">
        <f>IFERROR(__xludf.DUMMYFUNCTION("""COMPUTED_VALUE"""),"Gary Goodner")</f>
        <v>Gary Goodner</v>
      </c>
      <c r="E4556" s="4" t="str">
        <f>IFERROR(__xludf.DUMMYFUNCTION("""COMPUTED_VALUE"""),"Texas")</f>
        <v>Texas</v>
      </c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</row>
    <row r="4557">
      <c r="A4557" s="4">
        <f>IFERROR(__xludf.DUMMYFUNCTION("""COMPUTED_VALUE"""),92.0)</f>
        <v>92</v>
      </c>
      <c r="B4557" s="4">
        <f>IFERROR(__xludf.DUMMYFUNCTION("""COMPUTED_VALUE"""),92.0)</f>
        <v>92</v>
      </c>
      <c r="C4557" s="4" t="str">
        <f>IFERROR(__xludf.DUMMYFUNCTION("""COMPUTED_VALUE"""),"IND")</f>
        <v>IND</v>
      </c>
      <c r="D4557" s="4" t="str">
        <f>IFERROR(__xludf.DUMMYFUNCTION("""COMPUTED_VALUE"""),"James Sparrow")</f>
        <v>James Sparrow</v>
      </c>
      <c r="E4557" s="4" t="str">
        <f>IFERROR(__xludf.DUMMYFUNCTION("""COMPUTED_VALUE"""),"North Carolina A&amp;T")</f>
        <v>North Carolina A&amp;T</v>
      </c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</row>
    <row r="4558">
      <c r="A4558" s="4">
        <f>IFERROR(__xludf.DUMMYFUNCTION("""COMPUTED_VALUE"""),93.0)</f>
        <v>93</v>
      </c>
      <c r="B4558" s="4">
        <f>IFERROR(__xludf.DUMMYFUNCTION("""COMPUTED_VALUE"""),93.0)</f>
        <v>93</v>
      </c>
      <c r="C4558" s="4" t="str">
        <f>IFERROR(__xludf.DUMMYFUNCTION("""COMPUTED_VALUE"""),"KCK")</f>
        <v>KCK</v>
      </c>
      <c r="D4558" s="4" t="str">
        <f>IFERROR(__xludf.DUMMYFUNCTION("""COMPUTED_VALUE"""),"Derrick Clairborne")</f>
        <v>Derrick Clairborne</v>
      </c>
      <c r="E4558" s="4" t="str">
        <f>IFERROR(__xludf.DUMMYFUNCTION("""COMPUTED_VALUE"""),"UMass")</f>
        <v>UMass</v>
      </c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</row>
    <row r="4559">
      <c r="A4559" s="4">
        <f>IFERROR(__xludf.DUMMYFUNCTION("""COMPUTED_VALUE"""),94.0)</f>
        <v>94</v>
      </c>
      <c r="B4559" s="4">
        <f>IFERROR(__xludf.DUMMYFUNCTION("""COMPUTED_VALUE"""),94.0)</f>
        <v>94</v>
      </c>
      <c r="C4559" s="4" t="str">
        <f>IFERROR(__xludf.DUMMYFUNCTION("""COMPUTED_VALUE"""),"BOS")</f>
        <v>BOS</v>
      </c>
      <c r="D4559" s="4" t="str">
        <f>IFERROR(__xludf.DUMMYFUNCTION("""COMPUTED_VALUE"""),"Greg Tynes")</f>
        <v>Greg Tynes</v>
      </c>
      <c r="E4559" s="4" t="str">
        <f>IFERROR(__xludf.DUMMYFUNCTION("""COMPUTED_VALUE"""),"Seton Hall")</f>
        <v>Seton Hall</v>
      </c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</row>
    <row r="4560">
      <c r="A4560" s="4">
        <f>IFERROR(__xludf.DUMMYFUNCTION("""COMPUTED_VALUE"""),95.0)</f>
        <v>95</v>
      </c>
      <c r="B4560" s="4">
        <f>IFERROR(__xludf.DUMMYFUNCTION("""COMPUTED_VALUE"""),95.0)</f>
        <v>95</v>
      </c>
      <c r="C4560" s="4" t="str">
        <f>IFERROR(__xludf.DUMMYFUNCTION("""COMPUTED_VALUE"""),"DET")</f>
        <v>DET</v>
      </c>
      <c r="D4560" s="4" t="str">
        <f>IFERROR(__xludf.DUMMYFUNCTION("""COMPUTED_VALUE"""),"Dave Caligaris")</f>
        <v>Dave Caligaris</v>
      </c>
      <c r="E4560" s="4" t="str">
        <f>IFERROR(__xludf.DUMMYFUNCTION("""COMPUTED_VALUE"""),"Northeastern University")</f>
        <v>Northeastern University</v>
      </c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</row>
    <row r="4561">
      <c r="A4561" s="4">
        <f>IFERROR(__xludf.DUMMYFUNCTION("""COMPUTED_VALUE"""),96.0)</f>
        <v>96</v>
      </c>
      <c r="B4561" s="4">
        <f>IFERROR(__xludf.DUMMYFUNCTION("""COMPUTED_VALUE"""),96.0)</f>
        <v>96</v>
      </c>
      <c r="C4561" s="4" t="str">
        <f>IFERROR(__xludf.DUMMYFUNCTION("""COMPUTED_VALUE"""),"NOJ")</f>
        <v>NOJ</v>
      </c>
      <c r="D4561" s="4" t="str">
        <f>IFERROR(__xludf.DUMMYFUNCTION("""COMPUTED_VALUE"""),"Duck Williams")</f>
        <v>Duck Williams</v>
      </c>
      <c r="E4561" s="4" t="str">
        <f>IFERROR(__xludf.DUMMYFUNCTION("""COMPUTED_VALUE"""),"Notre Dame")</f>
        <v>Notre Dame</v>
      </c>
      <c r="F4561" s="4">
        <f>IFERROR(__xludf.DUMMYFUNCTION("""COMPUTED_VALUE"""),1.0)</f>
        <v>1</v>
      </c>
      <c r="G4561" s="4">
        <f>IFERROR(__xludf.DUMMYFUNCTION("""COMPUTED_VALUE"""),77.0)</f>
        <v>77</v>
      </c>
      <c r="H4561" s="4">
        <f>IFERROR(__xludf.DUMMYFUNCTION("""COMPUTED_VALUE"""),1794.0)</f>
        <v>1794</v>
      </c>
      <c r="I4561" s="4">
        <f>IFERROR(__xludf.DUMMYFUNCTION("""COMPUTED_VALUE"""),506.0)</f>
        <v>506</v>
      </c>
      <c r="J4561" s="4">
        <f>IFERROR(__xludf.DUMMYFUNCTION("""COMPUTED_VALUE"""),106.0)</f>
        <v>106</v>
      </c>
      <c r="K4561" s="4">
        <f>IFERROR(__xludf.DUMMYFUNCTION("""COMPUTED_VALUE"""),183.0)</f>
        <v>183</v>
      </c>
      <c r="L4561" s="4">
        <f>IFERROR(__xludf.DUMMYFUNCTION("""COMPUTED_VALUE"""),0.447)</f>
        <v>0.447</v>
      </c>
      <c r="M4561" s="4">
        <f>IFERROR(__xludf.DUMMYFUNCTION("""COMPUTED_VALUE"""),0.0)</f>
        <v>0</v>
      </c>
      <c r="N4561" s="4">
        <f>IFERROR(__xludf.DUMMYFUNCTION("""COMPUTED_VALUE"""),0.7)</f>
        <v>0.7</v>
      </c>
      <c r="O4561" s="4">
        <f>IFERROR(__xludf.DUMMYFUNCTION("""COMPUTED_VALUE"""),23.3)</f>
        <v>23.3</v>
      </c>
      <c r="P4561" s="4">
        <f>IFERROR(__xludf.DUMMYFUNCTION("""COMPUTED_VALUE"""),6.6)</f>
        <v>6.6</v>
      </c>
      <c r="Q4561" s="4">
        <f>IFERROR(__xludf.DUMMYFUNCTION("""COMPUTED_VALUE"""),1.4)</f>
        <v>1.4</v>
      </c>
      <c r="R4561" s="4">
        <f>IFERROR(__xludf.DUMMYFUNCTION("""COMPUTED_VALUE"""),2.4)</f>
        <v>2.4</v>
      </c>
      <c r="S4561" s="4">
        <f>IFERROR(__xludf.DUMMYFUNCTION("""COMPUTED_VALUE"""),-0.3)</f>
        <v>-0.3</v>
      </c>
      <c r="T4561" s="4">
        <f>IFERROR(__xludf.DUMMYFUNCTION("""COMPUTED_VALUE"""),-0.009)</f>
        <v>-0.009</v>
      </c>
      <c r="U4561" s="4">
        <f>IFERROR(__xludf.DUMMYFUNCTION("""COMPUTED_VALUE"""),-4.0)</f>
        <v>-4</v>
      </c>
      <c r="V4561" s="4">
        <f>IFERROR(__xludf.DUMMYFUNCTION("""COMPUTED_VALUE"""),-0.9)</f>
        <v>-0.9</v>
      </c>
    </row>
    <row r="4562">
      <c r="A4562" s="4">
        <f>IFERROR(__xludf.DUMMYFUNCTION("""COMPUTED_VALUE"""),97.0)</f>
        <v>97</v>
      </c>
      <c r="B4562" s="4">
        <f>IFERROR(__xludf.DUMMYFUNCTION("""COMPUTED_VALUE"""),97.0)</f>
        <v>97</v>
      </c>
      <c r="C4562" s="4" t="str">
        <f>IFERROR(__xludf.DUMMYFUNCTION("""COMPUTED_VALUE"""),"CHI")</f>
        <v>CHI</v>
      </c>
      <c r="D4562" s="4" t="str">
        <f>IFERROR(__xludf.DUMMYFUNCTION("""COMPUTED_VALUE"""),"Ron Anthony")</f>
        <v>Ron Anthony</v>
      </c>
      <c r="E4562" s="4" t="str">
        <f>IFERROR(__xludf.DUMMYFUNCTION("""COMPUTED_VALUE"""),"Jacksonville University")</f>
        <v>Jacksonville University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</row>
    <row r="4563">
      <c r="A4563" s="4">
        <f>IFERROR(__xludf.DUMMYFUNCTION("""COMPUTED_VALUE"""),98.0)</f>
        <v>98</v>
      </c>
      <c r="B4563" s="4">
        <f>IFERROR(__xludf.DUMMYFUNCTION("""COMPUTED_VALUE"""),98.0)</f>
        <v>98</v>
      </c>
      <c r="C4563" s="4" t="str">
        <f>IFERROR(__xludf.DUMMYFUNCTION("""COMPUTED_VALUE"""),"ATL")</f>
        <v>ATL</v>
      </c>
      <c r="D4563" s="4" t="str">
        <f>IFERROR(__xludf.DUMMYFUNCTION("""COMPUTED_VALUE"""),"Chris Potter")</f>
        <v>Chris Potter</v>
      </c>
      <c r="E4563" s="4" t="str">
        <f>IFERROR(__xludf.DUMMYFUNCTION("""COMPUTED_VALUE"""),"Holy Cross")</f>
        <v>Holy Cross</v>
      </c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</row>
    <row r="4564">
      <c r="A4564" s="4">
        <f>IFERROR(__xludf.DUMMYFUNCTION("""COMPUTED_VALUE"""),99.0)</f>
        <v>99</v>
      </c>
      <c r="B4564" s="4">
        <f>IFERROR(__xludf.DUMMYFUNCTION("""COMPUTED_VALUE"""),99.0)</f>
        <v>99</v>
      </c>
      <c r="C4564" s="4" t="str">
        <f>IFERROR(__xludf.DUMMYFUNCTION("""COMPUTED_VALUE"""),"CLE")</f>
        <v>CLE</v>
      </c>
      <c r="D4564" s="4" t="str">
        <f>IFERROR(__xludf.DUMMYFUNCTION("""COMPUTED_VALUE"""),"Ken Koenigs")</f>
        <v>Ken Koenigs</v>
      </c>
      <c r="E4564" s="4" t="str">
        <f>IFERROR(__xludf.DUMMYFUNCTION("""COMPUTED_VALUE"""),"Kansas")</f>
        <v>Kansas</v>
      </c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</row>
    <row r="4565">
      <c r="A4565" s="4">
        <f>IFERROR(__xludf.DUMMYFUNCTION("""COMPUTED_VALUE"""),100.0)</f>
        <v>100</v>
      </c>
      <c r="B4565" s="4">
        <f>IFERROR(__xludf.DUMMYFUNCTION("""COMPUTED_VALUE"""),100.0)</f>
        <v>100</v>
      </c>
      <c r="C4565" s="4" t="str">
        <f>IFERROR(__xludf.DUMMYFUNCTION("""COMPUTED_VALUE"""),"NYK")</f>
        <v>NYK</v>
      </c>
      <c r="D4565" s="4" t="str">
        <f>IFERROR(__xludf.DUMMYFUNCTION("""COMPUTED_VALUE"""),"Greg Green")</f>
        <v>Greg Green</v>
      </c>
      <c r="E4565" s="4" t="str">
        <f>IFERROR(__xludf.DUMMYFUNCTION("""COMPUTED_VALUE"""),"Southern University and A&amp;M College")</f>
        <v>Southern University and A&amp;M College</v>
      </c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</row>
    <row r="4566">
      <c r="A4566" s="4">
        <f>IFERROR(__xludf.DUMMYFUNCTION("""COMPUTED_VALUE"""),101.0)</f>
        <v>101</v>
      </c>
      <c r="B4566" s="4">
        <f>IFERROR(__xludf.DUMMYFUNCTION("""COMPUTED_VALUE"""),101.0)</f>
        <v>101</v>
      </c>
      <c r="C4566" s="4" t="str">
        <f>IFERROR(__xludf.DUMMYFUNCTION("""COMPUTED_VALUE"""),"GSW")</f>
        <v>GSW</v>
      </c>
      <c r="D4566" s="4" t="str">
        <f>IFERROR(__xludf.DUMMYFUNCTION("""COMPUTED_VALUE"""),"Bubba Wilson")</f>
        <v>Bubba Wilson</v>
      </c>
      <c r="E4566" s="4" t="str">
        <f>IFERROR(__xludf.DUMMYFUNCTION("""COMPUTED_VALUE"""),"Western Carolina University")</f>
        <v>Western Carolina University</v>
      </c>
      <c r="F4566" s="4">
        <f>IFERROR(__xludf.DUMMYFUNCTION("""COMPUTED_VALUE"""),1.0)</f>
        <v>1</v>
      </c>
      <c r="G4566" s="4">
        <f>IFERROR(__xludf.DUMMYFUNCTION("""COMPUTED_VALUE"""),16.0)</f>
        <v>16</v>
      </c>
      <c r="H4566" s="4">
        <f>IFERROR(__xludf.DUMMYFUNCTION("""COMPUTED_VALUE"""),143.0)</f>
        <v>143</v>
      </c>
      <c r="I4566" s="4">
        <f>IFERROR(__xludf.DUMMYFUNCTION("""COMPUTED_VALUE"""),17.0)</f>
        <v>17</v>
      </c>
      <c r="J4566" s="4">
        <f>IFERROR(__xludf.DUMMYFUNCTION("""COMPUTED_VALUE"""),16.0)</f>
        <v>16</v>
      </c>
      <c r="K4566" s="4">
        <f>IFERROR(__xludf.DUMMYFUNCTION("""COMPUTED_VALUE"""),12.0)</f>
        <v>12</v>
      </c>
      <c r="L4566" s="4">
        <f>IFERROR(__xludf.DUMMYFUNCTION("""COMPUTED_VALUE"""),0.28)</f>
        <v>0.28</v>
      </c>
      <c r="M4566" s="4"/>
      <c r="N4566" s="4">
        <f>IFERROR(__xludf.DUMMYFUNCTION("""COMPUTED_VALUE"""),0.5)</f>
        <v>0.5</v>
      </c>
      <c r="O4566" s="4">
        <f>IFERROR(__xludf.DUMMYFUNCTION("""COMPUTED_VALUE"""),8.9)</f>
        <v>8.9</v>
      </c>
      <c r="P4566" s="4">
        <f>IFERROR(__xludf.DUMMYFUNCTION("""COMPUTED_VALUE"""),1.1)</f>
        <v>1.1</v>
      </c>
      <c r="Q4566" s="4">
        <f>IFERROR(__xludf.DUMMYFUNCTION("""COMPUTED_VALUE"""),1.0)</f>
        <v>1</v>
      </c>
      <c r="R4566" s="4">
        <f>IFERROR(__xludf.DUMMYFUNCTION("""COMPUTED_VALUE"""),0.8)</f>
        <v>0.8</v>
      </c>
      <c r="S4566" s="4">
        <f>IFERROR(__xludf.DUMMYFUNCTION("""COMPUTED_VALUE"""),-0.2)</f>
        <v>-0.2</v>
      </c>
      <c r="T4566" s="4">
        <f>IFERROR(__xludf.DUMMYFUNCTION("""COMPUTED_VALUE"""),-0.064)</f>
        <v>-0.064</v>
      </c>
      <c r="U4566" s="4">
        <f>IFERROR(__xludf.DUMMYFUNCTION("""COMPUTED_VALUE"""),-5.3)</f>
        <v>-5.3</v>
      </c>
      <c r="V4566" s="4">
        <f>IFERROR(__xludf.DUMMYFUNCTION("""COMPUTED_VALUE"""),-0.2)</f>
        <v>-0.2</v>
      </c>
    </row>
    <row r="4567">
      <c r="A4567" s="4">
        <f>IFERROR(__xludf.DUMMYFUNCTION("""COMPUTED_VALUE"""),102.0)</f>
        <v>102</v>
      </c>
      <c r="B4567" s="4">
        <f>IFERROR(__xludf.DUMMYFUNCTION("""COMPUTED_VALUE"""),102.0)</f>
        <v>102</v>
      </c>
      <c r="C4567" s="4" t="str">
        <f>IFERROR(__xludf.DUMMYFUNCTION("""COMPUTED_VALUE"""),"WSB")</f>
        <v>WSB</v>
      </c>
      <c r="D4567" s="4" t="str">
        <f>IFERROR(__xludf.DUMMYFUNCTION("""COMPUTED_VALUE"""),"Roger Dickens")</f>
        <v>Roger Dickens</v>
      </c>
      <c r="E4567" s="4" t="str">
        <f>IFERROR(__xludf.DUMMYFUNCTION("""COMPUTED_VALUE"""),"Towson University")</f>
        <v>Towson University</v>
      </c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</row>
    <row r="4568">
      <c r="A4568" s="4">
        <f>IFERROR(__xludf.DUMMYFUNCTION("""COMPUTED_VALUE"""),103.0)</f>
        <v>103</v>
      </c>
      <c r="B4568" s="4">
        <f>IFERROR(__xludf.DUMMYFUNCTION("""COMPUTED_VALUE"""),103.0)</f>
        <v>103</v>
      </c>
      <c r="C4568" s="4" t="str">
        <f>IFERROR(__xludf.DUMMYFUNCTION("""COMPUTED_VALUE"""),"MIL")</f>
        <v>MIL</v>
      </c>
      <c r="D4568" s="4" t="str">
        <f>IFERROR(__xludf.DUMMYFUNCTION("""COMPUTED_VALUE"""),"Russ Coleman")</f>
        <v>Russ Coleman</v>
      </c>
      <c r="E4568" s="4" t="str">
        <f>IFERROR(__xludf.DUMMYFUNCTION("""COMPUTED_VALUE"""),"University of the Pacific")</f>
        <v>University of the Pacific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</row>
    <row r="4569">
      <c r="A4569" s="4">
        <f>IFERROR(__xludf.DUMMYFUNCTION("""COMPUTED_VALUE"""),104.0)</f>
        <v>104</v>
      </c>
      <c r="B4569" s="4">
        <f>IFERROR(__xludf.DUMMYFUNCTION("""COMPUTED_VALUE"""),104.0)</f>
        <v>104</v>
      </c>
      <c r="C4569" s="4" t="str">
        <f>IFERROR(__xludf.DUMMYFUNCTION("""COMPUTED_VALUE"""),"LAL")</f>
        <v>LAL</v>
      </c>
      <c r="D4569" s="4" t="str">
        <f>IFERROR(__xludf.DUMMYFUNCTION("""COMPUTED_VALUE"""),"Carlos Terry")</f>
        <v>Carlos Terry</v>
      </c>
      <c r="E4569" s="4" t="str">
        <f>IFERROR(__xludf.DUMMYFUNCTION("""COMPUTED_VALUE"""),"Winston-Salem State")</f>
        <v>Winston-Salem State</v>
      </c>
      <c r="F4569" s="4">
        <f>IFERROR(__xludf.DUMMYFUNCTION("""COMPUTED_VALUE"""),3.0)</f>
        <v>3</v>
      </c>
      <c r="G4569" s="4">
        <f>IFERROR(__xludf.DUMMYFUNCTION("""COMPUTED_VALUE"""),94.0)</f>
        <v>94</v>
      </c>
      <c r="H4569" s="4">
        <f>IFERROR(__xludf.DUMMYFUNCTION("""COMPUTED_VALUE"""),1078.0)</f>
        <v>1078</v>
      </c>
      <c r="I4569" s="4">
        <f>IFERROR(__xludf.DUMMYFUNCTION("""COMPUTED_VALUE"""),285.0)</f>
        <v>285</v>
      </c>
      <c r="J4569" s="4">
        <f>IFERROR(__xludf.DUMMYFUNCTION("""COMPUTED_VALUE"""),227.0)</f>
        <v>227</v>
      </c>
      <c r="K4569" s="4">
        <f>IFERROR(__xludf.DUMMYFUNCTION("""COMPUTED_VALUE"""),124.0)</f>
        <v>124</v>
      </c>
      <c r="L4569" s="4">
        <f>IFERROR(__xludf.DUMMYFUNCTION("""COMPUTED_VALUE"""),0.434)</f>
        <v>0.434</v>
      </c>
      <c r="M4569" s="4">
        <f>IFERROR(__xludf.DUMMYFUNCTION("""COMPUTED_VALUE"""),0.0)</f>
        <v>0</v>
      </c>
      <c r="N4569" s="4">
        <f>IFERROR(__xludf.DUMMYFUNCTION("""COMPUTED_VALUE"""),0.672)</f>
        <v>0.672</v>
      </c>
      <c r="O4569" s="4">
        <f>IFERROR(__xludf.DUMMYFUNCTION("""COMPUTED_VALUE"""),11.5)</f>
        <v>11.5</v>
      </c>
      <c r="P4569" s="4">
        <f>IFERROR(__xludf.DUMMYFUNCTION("""COMPUTED_VALUE"""),3.0)</f>
        <v>3</v>
      </c>
      <c r="Q4569" s="4">
        <f>IFERROR(__xludf.DUMMYFUNCTION("""COMPUTED_VALUE"""),2.4)</f>
        <v>2.4</v>
      </c>
      <c r="R4569" s="4">
        <f>IFERROR(__xludf.DUMMYFUNCTION("""COMPUTED_VALUE"""),1.3)</f>
        <v>1.3</v>
      </c>
      <c r="S4569" s="4">
        <f>IFERROR(__xludf.DUMMYFUNCTION("""COMPUTED_VALUE"""),1.5)</f>
        <v>1.5</v>
      </c>
      <c r="T4569" s="4">
        <f>IFERROR(__xludf.DUMMYFUNCTION("""COMPUTED_VALUE"""),0.066)</f>
        <v>0.066</v>
      </c>
      <c r="U4569" s="4">
        <f>IFERROR(__xludf.DUMMYFUNCTION("""COMPUTED_VALUE"""),0.1)</f>
        <v>0.1</v>
      </c>
      <c r="V4569" s="4">
        <f>IFERROR(__xludf.DUMMYFUNCTION("""COMPUTED_VALUE"""),0.5)</f>
        <v>0.5</v>
      </c>
    </row>
    <row r="4570">
      <c r="A4570" s="4">
        <f>IFERROR(__xludf.DUMMYFUNCTION("""COMPUTED_VALUE"""),105.0)</f>
        <v>105</v>
      </c>
      <c r="B4570" s="4">
        <f>IFERROR(__xludf.DUMMYFUNCTION("""COMPUTED_VALUE"""),105.0)</f>
        <v>105</v>
      </c>
      <c r="C4570" s="4" t="str">
        <f>IFERROR(__xludf.DUMMYFUNCTION("""COMPUTED_VALUE"""),"SEA")</f>
        <v>SEA</v>
      </c>
      <c r="D4570" s="4" t="str">
        <f>IFERROR(__xludf.DUMMYFUNCTION("""COMPUTED_VALUE"""),"Ralph Drollinger")</f>
        <v>Ralph Drollinger</v>
      </c>
      <c r="E4570" s="4" t="str">
        <f>IFERROR(__xludf.DUMMYFUNCTION("""COMPUTED_VALUE"""),"UCLA")</f>
        <v>UCLA</v>
      </c>
      <c r="F4570" s="4">
        <f>IFERROR(__xludf.DUMMYFUNCTION("""COMPUTED_VALUE"""),1.0)</f>
        <v>1</v>
      </c>
      <c r="G4570" s="4">
        <f>IFERROR(__xludf.DUMMYFUNCTION("""COMPUTED_VALUE"""),6.0)</f>
        <v>6</v>
      </c>
      <c r="H4570" s="4">
        <f>IFERROR(__xludf.DUMMYFUNCTION("""COMPUTED_VALUE"""),67.0)</f>
        <v>67</v>
      </c>
      <c r="I4570" s="4">
        <f>IFERROR(__xludf.DUMMYFUNCTION("""COMPUTED_VALUE"""),15.0)</f>
        <v>15</v>
      </c>
      <c r="J4570" s="4">
        <f>IFERROR(__xludf.DUMMYFUNCTION("""COMPUTED_VALUE"""),19.0)</f>
        <v>19</v>
      </c>
      <c r="K4570" s="4">
        <f>IFERROR(__xludf.DUMMYFUNCTION("""COMPUTED_VALUE"""),14.0)</f>
        <v>14</v>
      </c>
      <c r="L4570" s="4">
        <f>IFERROR(__xludf.DUMMYFUNCTION("""COMPUTED_VALUE"""),0.5)</f>
        <v>0.5</v>
      </c>
      <c r="M4570" s="4"/>
      <c r="N4570" s="4">
        <f>IFERROR(__xludf.DUMMYFUNCTION("""COMPUTED_VALUE"""),0.25)</f>
        <v>0.25</v>
      </c>
      <c r="O4570" s="4">
        <f>IFERROR(__xludf.DUMMYFUNCTION("""COMPUTED_VALUE"""),11.2)</f>
        <v>11.2</v>
      </c>
      <c r="P4570" s="4">
        <f>IFERROR(__xludf.DUMMYFUNCTION("""COMPUTED_VALUE"""),2.5)</f>
        <v>2.5</v>
      </c>
      <c r="Q4570" s="4">
        <f>IFERROR(__xludf.DUMMYFUNCTION("""COMPUTED_VALUE"""),3.2)</f>
        <v>3.2</v>
      </c>
      <c r="R4570" s="4">
        <f>IFERROR(__xludf.DUMMYFUNCTION("""COMPUTED_VALUE"""),2.3)</f>
        <v>2.3</v>
      </c>
      <c r="S4570" s="4">
        <f>IFERROR(__xludf.DUMMYFUNCTION("""COMPUTED_VALUE"""),-0.2)</f>
        <v>-0.2</v>
      </c>
      <c r="T4570" s="4">
        <f>IFERROR(__xludf.DUMMYFUNCTION("""COMPUTED_VALUE"""),-0.117)</f>
        <v>-0.117</v>
      </c>
      <c r="U4570" s="4">
        <f>IFERROR(__xludf.DUMMYFUNCTION("""COMPUTED_VALUE"""),-4.1)</f>
        <v>-4.1</v>
      </c>
      <c r="V4570" s="4">
        <f>IFERROR(__xludf.DUMMYFUNCTION("""COMPUTED_VALUE"""),-0.1)</f>
        <v>-0.1</v>
      </c>
    </row>
    <row r="4571">
      <c r="A4571" s="4">
        <f>IFERROR(__xludf.DUMMYFUNCTION("""COMPUTED_VALUE"""),106.0)</f>
        <v>106</v>
      </c>
      <c r="B4571" s="4">
        <f>IFERROR(__xludf.DUMMYFUNCTION("""COMPUTED_VALUE"""),106.0)</f>
        <v>106</v>
      </c>
      <c r="C4571" s="4" t="str">
        <f>IFERROR(__xludf.DUMMYFUNCTION("""COMPUTED_VALUE"""),"DEN")</f>
        <v>DEN</v>
      </c>
      <c r="D4571" s="4" t="str">
        <f>IFERROR(__xludf.DUMMYFUNCTION("""COMPUTED_VALUE"""),"Michael Edwards")</f>
        <v>Michael Edwards</v>
      </c>
      <c r="E4571" s="4" t="str">
        <f>IFERROR(__xludf.DUMMYFUNCTION("""COMPUTED_VALUE"""),"University of Texas Rio Grande Valley")</f>
        <v>University of Texas Rio Grande Valley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</row>
    <row r="4572">
      <c r="A4572" s="4">
        <f>IFERROR(__xludf.DUMMYFUNCTION("""COMPUTED_VALUE"""),107.0)</f>
        <v>107</v>
      </c>
      <c r="B4572" s="4">
        <f>IFERROR(__xludf.DUMMYFUNCTION("""COMPUTED_VALUE"""),107.0)</f>
        <v>107</v>
      </c>
      <c r="C4572" s="4" t="str">
        <f>IFERROR(__xludf.DUMMYFUNCTION("""COMPUTED_VALUE"""),"PHO")</f>
        <v>PHO</v>
      </c>
      <c r="D4572" s="4" t="str">
        <f>IFERROR(__xludf.DUMMYFUNCTION("""COMPUTED_VALUE"""),"Andre Wakefield")</f>
        <v>Andre Wakefield</v>
      </c>
      <c r="E4572" s="4" t="str">
        <f>IFERROR(__xludf.DUMMYFUNCTION("""COMPUTED_VALUE"""),"Loyola Chicago")</f>
        <v>Loyola Chicago</v>
      </c>
      <c r="F4572" s="4">
        <f>IFERROR(__xludf.DUMMYFUNCTION("""COMPUTED_VALUE"""),2.0)</f>
        <v>2</v>
      </c>
      <c r="G4572" s="4">
        <f>IFERROR(__xludf.DUMMYFUNCTION("""COMPUTED_VALUE"""),81.0)</f>
        <v>81</v>
      </c>
      <c r="H4572" s="4">
        <f>IFERROR(__xludf.DUMMYFUNCTION("""COMPUTED_VALUE"""),633.0)</f>
        <v>633</v>
      </c>
      <c r="I4572" s="4">
        <f>IFERROR(__xludf.DUMMYFUNCTION("""COMPUTED_VALUE"""),187.0)</f>
        <v>187</v>
      </c>
      <c r="J4572" s="4">
        <f>IFERROR(__xludf.DUMMYFUNCTION("""COMPUTED_VALUE"""),80.0)</f>
        <v>80</v>
      </c>
      <c r="K4572" s="4">
        <f>IFERROR(__xludf.DUMMYFUNCTION("""COMPUTED_VALUE"""),73.0)</f>
        <v>73</v>
      </c>
      <c r="L4572" s="4">
        <f>IFERROR(__xludf.DUMMYFUNCTION("""COMPUTED_VALUE"""),0.354)</f>
        <v>0.354</v>
      </c>
      <c r="M4572" s="4"/>
      <c r="N4572" s="4">
        <f>IFERROR(__xludf.DUMMYFUNCTION("""COMPUTED_VALUE"""),0.708)</f>
        <v>0.708</v>
      </c>
      <c r="O4572" s="4">
        <f>IFERROR(__xludf.DUMMYFUNCTION("""COMPUTED_VALUE"""),7.8)</f>
        <v>7.8</v>
      </c>
      <c r="P4572" s="4">
        <f>IFERROR(__xludf.DUMMYFUNCTION("""COMPUTED_VALUE"""),2.3)</f>
        <v>2.3</v>
      </c>
      <c r="Q4572" s="4">
        <f>IFERROR(__xludf.DUMMYFUNCTION("""COMPUTED_VALUE"""),1.0)</f>
        <v>1</v>
      </c>
      <c r="R4572" s="4">
        <f>IFERROR(__xludf.DUMMYFUNCTION("""COMPUTED_VALUE"""),0.9)</f>
        <v>0.9</v>
      </c>
      <c r="S4572" s="4">
        <f>IFERROR(__xludf.DUMMYFUNCTION("""COMPUTED_VALUE"""),-1.1)</f>
        <v>-1.1</v>
      </c>
      <c r="T4572" s="4">
        <f>IFERROR(__xludf.DUMMYFUNCTION("""COMPUTED_VALUE"""),-0.08)</f>
        <v>-0.08</v>
      </c>
      <c r="U4572" s="4">
        <f>IFERROR(__xludf.DUMMYFUNCTION("""COMPUTED_VALUE"""),-7.0)</f>
        <v>-7</v>
      </c>
      <c r="V4572" s="4">
        <f>IFERROR(__xludf.DUMMYFUNCTION("""COMPUTED_VALUE"""),-0.9)</f>
        <v>-0.9</v>
      </c>
    </row>
    <row r="4573">
      <c r="A4573" s="4">
        <f>IFERROR(__xludf.DUMMYFUNCTION("""COMPUTED_VALUE"""),108.0)</f>
        <v>108</v>
      </c>
      <c r="B4573" s="4">
        <f>IFERROR(__xludf.DUMMYFUNCTION("""COMPUTED_VALUE"""),108.0)</f>
        <v>108</v>
      </c>
      <c r="C4573" s="4" t="str">
        <f>IFERROR(__xludf.DUMMYFUNCTION("""COMPUTED_VALUE"""),"SAS")</f>
        <v>SAS</v>
      </c>
      <c r="D4573" s="4" t="str">
        <f>IFERROR(__xludf.DUMMYFUNCTION("""COMPUTED_VALUE"""),"Eugene Parker")</f>
        <v>Eugene Parker</v>
      </c>
      <c r="E4573" s="4" t="str">
        <f>IFERROR(__xludf.DUMMYFUNCTION("""COMPUTED_VALUE"""),"Purdue")</f>
        <v>Purdue</v>
      </c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</row>
    <row r="4574">
      <c r="A4574" s="4">
        <f>IFERROR(__xludf.DUMMYFUNCTION("""COMPUTED_VALUE"""),109.0)</f>
        <v>109</v>
      </c>
      <c r="B4574" s="4">
        <f>IFERROR(__xludf.DUMMYFUNCTION("""COMPUTED_VALUE"""),109.0)</f>
        <v>109</v>
      </c>
      <c r="C4574" s="4" t="str">
        <f>IFERROR(__xludf.DUMMYFUNCTION("""COMPUTED_VALUE"""),"PHI")</f>
        <v>PHI</v>
      </c>
      <c r="D4574" s="4" t="str">
        <f>IFERROR(__xludf.DUMMYFUNCTION("""COMPUTED_VALUE"""),"Mark Haymore")</f>
        <v>Mark Haymore</v>
      </c>
      <c r="E4574" s="4" t="str">
        <f>IFERROR(__xludf.DUMMYFUNCTION("""COMPUTED_VALUE"""),"UMass")</f>
        <v>UMass</v>
      </c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</row>
    <row r="4575">
      <c r="A4575" s="4">
        <f>IFERROR(__xludf.DUMMYFUNCTION("""COMPUTED_VALUE"""),110.0)</f>
        <v>110</v>
      </c>
      <c r="B4575" s="4">
        <f>IFERROR(__xludf.DUMMYFUNCTION("""COMPUTED_VALUE"""),110.0)</f>
        <v>110</v>
      </c>
      <c r="C4575" s="4" t="str">
        <f>IFERROR(__xludf.DUMMYFUNCTION("""COMPUTED_VALUE"""),"POR")</f>
        <v>POR</v>
      </c>
      <c r="D4575" s="4" t="str">
        <f>IFERROR(__xludf.DUMMYFUNCTION("""COMPUTED_VALUE"""),"Clay Johnson")</f>
        <v>Clay Johnson</v>
      </c>
      <c r="E4575" s="4" t="str">
        <f>IFERROR(__xludf.DUMMYFUNCTION("""COMPUTED_VALUE"""),"Missouri")</f>
        <v>Missouri</v>
      </c>
      <c r="F4575" s="4">
        <f>IFERROR(__xludf.DUMMYFUNCTION("""COMPUTED_VALUE"""),3.0)</f>
        <v>3</v>
      </c>
      <c r="G4575" s="4">
        <f>IFERROR(__xludf.DUMMYFUNCTION("""COMPUTED_VALUE"""),80.0)</f>
        <v>80</v>
      </c>
      <c r="H4575" s="4">
        <f>IFERROR(__xludf.DUMMYFUNCTION("""COMPUTED_VALUE"""),688.0)</f>
        <v>688</v>
      </c>
      <c r="I4575" s="4">
        <f>IFERROR(__xludf.DUMMYFUNCTION("""COMPUTED_VALUE"""),224.0)</f>
        <v>224</v>
      </c>
      <c r="J4575" s="4">
        <f>IFERROR(__xludf.DUMMYFUNCTION("""COMPUTED_VALUE"""),93.0)</f>
        <v>93</v>
      </c>
      <c r="K4575" s="4">
        <f>IFERROR(__xludf.DUMMYFUNCTION("""COMPUTED_VALUE"""),45.0)</f>
        <v>45</v>
      </c>
      <c r="L4575" s="4">
        <f>IFERROR(__xludf.DUMMYFUNCTION("""COMPUTED_VALUE"""),0.41)</f>
        <v>0.41</v>
      </c>
      <c r="M4575" s="4">
        <f>IFERROR(__xludf.DUMMYFUNCTION("""COMPUTED_VALUE"""),0.333)</f>
        <v>0.333</v>
      </c>
      <c r="N4575" s="4">
        <f>IFERROR(__xludf.DUMMYFUNCTION("""COMPUTED_VALUE"""),0.724)</f>
        <v>0.724</v>
      </c>
      <c r="O4575" s="4">
        <f>IFERROR(__xludf.DUMMYFUNCTION("""COMPUTED_VALUE"""),8.6)</f>
        <v>8.6</v>
      </c>
      <c r="P4575" s="4">
        <f>IFERROR(__xludf.DUMMYFUNCTION("""COMPUTED_VALUE"""),2.8)</f>
        <v>2.8</v>
      </c>
      <c r="Q4575" s="4">
        <f>IFERROR(__xludf.DUMMYFUNCTION("""COMPUTED_VALUE"""),1.2)</f>
        <v>1.2</v>
      </c>
      <c r="R4575" s="4">
        <f>IFERROR(__xludf.DUMMYFUNCTION("""COMPUTED_VALUE"""),0.6)</f>
        <v>0.6</v>
      </c>
      <c r="S4575" s="4">
        <f>IFERROR(__xludf.DUMMYFUNCTION("""COMPUTED_VALUE"""),0.7)</f>
        <v>0.7</v>
      </c>
      <c r="T4575" s="4">
        <f>IFERROR(__xludf.DUMMYFUNCTION("""COMPUTED_VALUE"""),0.046)</f>
        <v>0.046</v>
      </c>
      <c r="U4575" s="4">
        <f>IFERROR(__xludf.DUMMYFUNCTION("""COMPUTED_VALUE"""),-3.6)</f>
        <v>-3.6</v>
      </c>
      <c r="V4575" s="4">
        <f>IFERROR(__xludf.DUMMYFUNCTION("""COMPUTED_VALUE"""),-0.3)</f>
        <v>-0.3</v>
      </c>
    </row>
    <row r="4576">
      <c r="A4576" s="4"/>
      <c r="B4576" s="4"/>
      <c r="C4576" s="4"/>
      <c r="D4576" s="4" t="str">
        <f>IFERROR(__xludf.DUMMYFUNCTION("""COMPUTED_VALUE"""),"Round 6")</f>
        <v>Round 6</v>
      </c>
      <c r="E4576" s="4"/>
      <c r="F4576" s="4"/>
      <c r="G4576" s="4" t="str">
        <f>IFERROR(__xludf.DUMMYFUNCTION("""COMPUTED_VALUE"""),"Totals")</f>
        <v>Totals</v>
      </c>
      <c r="H4576" s="4"/>
      <c r="I4576" s="4"/>
      <c r="J4576" s="4"/>
      <c r="K4576" s="4"/>
      <c r="L4576" s="4" t="str">
        <f>IFERROR(__xludf.DUMMYFUNCTION("""COMPUTED_VALUE"""),"Shooting")</f>
        <v>Shooting</v>
      </c>
      <c r="M4576" s="4"/>
      <c r="N4576" s="4"/>
      <c r="O4576" s="4" t="str">
        <f>IFERROR(__xludf.DUMMYFUNCTION("""COMPUTED_VALUE"""),"Per Game")</f>
        <v>Per Game</v>
      </c>
      <c r="P4576" s="4"/>
      <c r="Q4576" s="4"/>
      <c r="R4576" s="4"/>
      <c r="S4576" s="4" t="str">
        <f>IFERROR(__xludf.DUMMYFUNCTION("""COMPUTED_VALUE"""),"Advanced")</f>
        <v>Advanced</v>
      </c>
      <c r="T4576" s="4"/>
      <c r="U4576" s="4"/>
      <c r="V4576" s="4"/>
    </row>
    <row r="4577">
      <c r="A4577" s="4" t="str">
        <f>IFERROR(__xludf.DUMMYFUNCTION("""COMPUTED_VALUE"""),"Rk")</f>
        <v>Rk</v>
      </c>
      <c r="B4577" s="4" t="str">
        <f>IFERROR(__xludf.DUMMYFUNCTION("""COMPUTED_VALUE"""),"Pk")</f>
        <v>Pk</v>
      </c>
      <c r="C4577" s="4" t="str">
        <f>IFERROR(__xludf.DUMMYFUNCTION("""COMPUTED_VALUE"""),"Tm")</f>
        <v>Tm</v>
      </c>
      <c r="D4577" s="4" t="str">
        <f>IFERROR(__xludf.DUMMYFUNCTION("""COMPUTED_VALUE"""),"Player")</f>
        <v>Player</v>
      </c>
      <c r="E4577" s="4" t="str">
        <f>IFERROR(__xludf.DUMMYFUNCTION("""COMPUTED_VALUE"""),"College")</f>
        <v>College</v>
      </c>
      <c r="F4577" s="4" t="str">
        <f>IFERROR(__xludf.DUMMYFUNCTION("""COMPUTED_VALUE"""),"Yrs")</f>
        <v>Yrs</v>
      </c>
      <c r="G4577" s="4" t="str">
        <f>IFERROR(__xludf.DUMMYFUNCTION("""COMPUTED_VALUE"""),"G")</f>
        <v>G</v>
      </c>
      <c r="H4577" s="4" t="str">
        <f>IFERROR(__xludf.DUMMYFUNCTION("""COMPUTED_VALUE"""),"MP")</f>
        <v>MP</v>
      </c>
      <c r="I4577" s="4" t="str">
        <f>IFERROR(__xludf.DUMMYFUNCTION("""COMPUTED_VALUE"""),"PTS")</f>
        <v>PTS</v>
      </c>
      <c r="J4577" s="4" t="str">
        <f>IFERROR(__xludf.DUMMYFUNCTION("""COMPUTED_VALUE"""),"TRB")</f>
        <v>TRB</v>
      </c>
      <c r="K4577" s="4" t="str">
        <f>IFERROR(__xludf.DUMMYFUNCTION("""COMPUTED_VALUE"""),"AST")</f>
        <v>AST</v>
      </c>
      <c r="L4577" s="4" t="str">
        <f>IFERROR(__xludf.DUMMYFUNCTION("""COMPUTED_VALUE"""),"FG%")</f>
        <v>FG%</v>
      </c>
      <c r="M4577" s="4" t="str">
        <f>IFERROR(__xludf.DUMMYFUNCTION("""COMPUTED_VALUE"""),"3P%")</f>
        <v>3P%</v>
      </c>
      <c r="N4577" s="4" t="str">
        <f>IFERROR(__xludf.DUMMYFUNCTION("""COMPUTED_VALUE"""),"FT%")</f>
        <v>FT%</v>
      </c>
      <c r="O4577" s="4" t="str">
        <f>IFERROR(__xludf.DUMMYFUNCTION("""COMPUTED_VALUE"""),"MP")</f>
        <v>MP</v>
      </c>
      <c r="P4577" s="4" t="str">
        <f>IFERROR(__xludf.DUMMYFUNCTION("""COMPUTED_VALUE"""),"PTS")</f>
        <v>PTS</v>
      </c>
      <c r="Q4577" s="4" t="str">
        <f>IFERROR(__xludf.DUMMYFUNCTION("""COMPUTED_VALUE"""),"TRB")</f>
        <v>TRB</v>
      </c>
      <c r="R4577" s="4" t="str">
        <f>IFERROR(__xludf.DUMMYFUNCTION("""COMPUTED_VALUE"""),"AST")</f>
        <v>AST</v>
      </c>
      <c r="S4577" s="4" t="str">
        <f>IFERROR(__xludf.DUMMYFUNCTION("""COMPUTED_VALUE"""),"WS")</f>
        <v>WS</v>
      </c>
      <c r="T4577" s="4" t="str">
        <f>IFERROR(__xludf.DUMMYFUNCTION("""COMPUTED_VALUE"""),"WS/48")</f>
        <v>WS/48</v>
      </c>
      <c r="U4577" s="4" t="str">
        <f>IFERROR(__xludf.DUMMYFUNCTION("""COMPUTED_VALUE"""),"BPM")</f>
        <v>BPM</v>
      </c>
      <c r="V4577" s="4" t="str">
        <f>IFERROR(__xludf.DUMMYFUNCTION("""COMPUTED_VALUE"""),"VORP")</f>
        <v>VORP</v>
      </c>
    </row>
    <row r="4578">
      <c r="A4578" s="4">
        <f>IFERROR(__xludf.DUMMYFUNCTION("""COMPUTED_VALUE"""),111.0)</f>
        <v>111</v>
      </c>
      <c r="B4578" s="4">
        <f>IFERROR(__xludf.DUMMYFUNCTION("""COMPUTED_VALUE"""),111.0)</f>
        <v>111</v>
      </c>
      <c r="C4578" s="4" t="str">
        <f>IFERROR(__xludf.DUMMYFUNCTION("""COMPUTED_VALUE"""),"NJN")</f>
        <v>NJN</v>
      </c>
      <c r="D4578" s="4" t="str">
        <f>IFERROR(__xludf.DUMMYFUNCTION("""COMPUTED_VALUE"""),"Golie Augustus")</f>
        <v>Golie Augustus</v>
      </c>
      <c r="E4578" s="4" t="str">
        <f>IFERROR(__xludf.DUMMYFUNCTION("""COMPUTED_VALUE"""),"South Carolina")</f>
        <v>South Carolina</v>
      </c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</row>
    <row r="4579">
      <c r="A4579" s="4">
        <f>IFERROR(__xludf.DUMMYFUNCTION("""COMPUTED_VALUE"""),112.0)</f>
        <v>112</v>
      </c>
      <c r="B4579" s="4">
        <f>IFERROR(__xludf.DUMMYFUNCTION("""COMPUTED_VALUE"""),112.0)</f>
        <v>112</v>
      </c>
      <c r="C4579" s="4" t="str">
        <f>IFERROR(__xludf.DUMMYFUNCTION("""COMPUTED_VALUE"""),"SDC")</f>
        <v>SDC</v>
      </c>
      <c r="D4579" s="4" t="str">
        <f>IFERROR(__xludf.DUMMYFUNCTION("""COMPUTED_VALUE"""),"Bob Misevicius")</f>
        <v>Bob Misevicius</v>
      </c>
      <c r="E4579" s="4" t="str">
        <f>IFERROR(__xludf.DUMMYFUNCTION("""COMPUTED_VALUE"""),"Providence")</f>
        <v>Providence</v>
      </c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</row>
    <row r="4580">
      <c r="A4580" s="4">
        <f>IFERROR(__xludf.DUMMYFUNCTION("""COMPUTED_VALUE"""),113.0)</f>
        <v>113</v>
      </c>
      <c r="B4580" s="4">
        <f>IFERROR(__xludf.DUMMYFUNCTION("""COMPUTED_VALUE"""),113.0)</f>
        <v>113</v>
      </c>
      <c r="C4580" s="4" t="str">
        <f>IFERROR(__xludf.DUMMYFUNCTION("""COMPUTED_VALUE"""),"HOU")</f>
        <v>HOU</v>
      </c>
      <c r="D4580" s="4" t="str">
        <f>IFERROR(__xludf.DUMMYFUNCTION("""COMPUTED_VALUE"""),"Eddie Joe Chavez")</f>
        <v>Eddie Joe Chavez</v>
      </c>
      <c r="E4580" s="4" t="str">
        <f>IFERROR(__xludf.DUMMYFUNCTION("""COMPUTED_VALUE"""),"Santa Clara")</f>
        <v>Santa Clara</v>
      </c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</row>
    <row r="4581">
      <c r="A4581" s="4">
        <f>IFERROR(__xludf.DUMMYFUNCTION("""COMPUTED_VALUE"""),114.0)</f>
        <v>114</v>
      </c>
      <c r="B4581" s="4">
        <f>IFERROR(__xludf.DUMMYFUNCTION("""COMPUTED_VALUE"""),114.0)</f>
        <v>114</v>
      </c>
      <c r="C4581" s="4" t="str">
        <f>IFERROR(__xludf.DUMMYFUNCTION("""COMPUTED_VALUE"""),"KCK")</f>
        <v>KCK</v>
      </c>
      <c r="D4581" s="4" t="str">
        <f>IFERROR(__xludf.DUMMYFUNCTION("""COMPUTED_VALUE"""),"Jim Krivacs")</f>
        <v>Jim Krivacs</v>
      </c>
      <c r="E4581" s="4" t="str">
        <f>IFERROR(__xludf.DUMMYFUNCTION("""COMPUTED_VALUE"""),"Texas")</f>
        <v>Texas</v>
      </c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</row>
    <row r="4582">
      <c r="A4582" s="4">
        <f>IFERROR(__xludf.DUMMYFUNCTION("""COMPUTED_VALUE"""),115.0)</f>
        <v>115</v>
      </c>
      <c r="B4582" s="4">
        <f>IFERROR(__xludf.DUMMYFUNCTION("""COMPUTED_VALUE"""),115.0)</f>
        <v>115</v>
      </c>
      <c r="C4582" s="4" t="str">
        <f>IFERROR(__xludf.DUMMYFUNCTION("""COMPUTED_VALUE"""),"IND")</f>
        <v>IND</v>
      </c>
      <c r="D4582" s="4" t="str">
        <f>IFERROR(__xludf.DUMMYFUNCTION("""COMPUTED_VALUE"""),"Sherman Dillard")</f>
        <v>Sherman Dillard</v>
      </c>
      <c r="E4582" s="4" t="str">
        <f>IFERROR(__xludf.DUMMYFUNCTION("""COMPUTED_VALUE"""),"James Madison University")</f>
        <v>James Madison University</v>
      </c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</row>
    <row r="4583">
      <c r="A4583" s="4">
        <f>IFERROR(__xludf.DUMMYFUNCTION("""COMPUTED_VALUE"""),116.0)</f>
        <v>116</v>
      </c>
      <c r="B4583" s="4">
        <f>IFERROR(__xludf.DUMMYFUNCTION("""COMPUTED_VALUE"""),116.0)</f>
        <v>116</v>
      </c>
      <c r="C4583" s="4" t="str">
        <f>IFERROR(__xludf.DUMMYFUNCTION("""COMPUTED_VALUE"""),"BOS")</f>
        <v>BOS</v>
      </c>
      <c r="D4583" s="4" t="str">
        <f>IFERROR(__xludf.DUMMYFUNCTION("""COMPUTED_VALUE"""),"Dave Winey")</f>
        <v>Dave Winey</v>
      </c>
      <c r="E4583" s="4" t="str">
        <f>IFERROR(__xludf.DUMMYFUNCTION("""COMPUTED_VALUE"""),"Minnesota")</f>
        <v>Minnesota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</row>
    <row r="4584">
      <c r="A4584" s="4">
        <f>IFERROR(__xludf.DUMMYFUNCTION("""COMPUTED_VALUE"""),117.0)</f>
        <v>117</v>
      </c>
      <c r="B4584" s="4">
        <f>IFERROR(__xludf.DUMMYFUNCTION("""COMPUTED_VALUE"""),117.0)</f>
        <v>117</v>
      </c>
      <c r="C4584" s="4" t="str">
        <f>IFERROR(__xludf.DUMMYFUNCTION("""COMPUTED_VALUE"""),"DET")</f>
        <v>DET</v>
      </c>
      <c r="D4584" s="4" t="str">
        <f>IFERROR(__xludf.DUMMYFUNCTION("""COMPUTED_VALUE"""),"Audie Matthews")</f>
        <v>Audie Matthews</v>
      </c>
      <c r="E4584" s="4" t="str">
        <f>IFERROR(__xludf.DUMMYFUNCTION("""COMPUTED_VALUE"""),"Illinois")</f>
        <v>Illinois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</row>
    <row r="4585">
      <c r="A4585" s="4">
        <f>IFERROR(__xludf.DUMMYFUNCTION("""COMPUTED_VALUE"""),118.0)</f>
        <v>118</v>
      </c>
      <c r="B4585" s="4">
        <f>IFERROR(__xludf.DUMMYFUNCTION("""COMPUTED_VALUE"""),118.0)</f>
        <v>118</v>
      </c>
      <c r="C4585" s="4" t="str">
        <f>IFERROR(__xludf.DUMMYFUNCTION("""COMPUTED_VALUE"""),"NOJ")</f>
        <v>NOJ</v>
      </c>
      <c r="D4585" s="4" t="str">
        <f>IFERROR(__xludf.DUMMYFUNCTION("""COMPUTED_VALUE"""),"John Douglas")</f>
        <v>John Douglas</v>
      </c>
      <c r="E4585" s="4" t="str">
        <f>IFERROR(__xludf.DUMMYFUNCTION("""COMPUTED_VALUE"""),"Kansas")</f>
        <v>Kansas</v>
      </c>
      <c r="F4585" s="4">
        <f>IFERROR(__xludf.DUMMYFUNCTION("""COMPUTED_VALUE"""),2.0)</f>
        <v>2</v>
      </c>
      <c r="G4585" s="4">
        <f>IFERROR(__xludf.DUMMYFUNCTION("""COMPUTED_VALUE"""),67.0)</f>
        <v>67</v>
      </c>
      <c r="H4585" s="4">
        <f>IFERROR(__xludf.DUMMYFUNCTION("""COMPUTED_VALUE"""),1043.0)</f>
        <v>1043</v>
      </c>
      <c r="I4585" s="4">
        <f>IFERROR(__xludf.DUMMYFUNCTION("""COMPUTED_VALUE"""),452.0)</f>
        <v>452</v>
      </c>
      <c r="J4585" s="4">
        <f>IFERROR(__xludf.DUMMYFUNCTION("""COMPUTED_VALUE"""),91.0)</f>
        <v>91</v>
      </c>
      <c r="K4585" s="4">
        <f>IFERROR(__xludf.DUMMYFUNCTION("""COMPUTED_VALUE"""),147.0)</f>
        <v>147</v>
      </c>
      <c r="L4585" s="4">
        <f>IFERROR(__xludf.DUMMYFUNCTION("""COMPUTED_VALUE"""),0.461)</f>
        <v>0.461</v>
      </c>
      <c r="M4585" s="4">
        <f>IFERROR(__xludf.DUMMYFUNCTION("""COMPUTED_VALUE"""),0.311)</f>
        <v>0.311</v>
      </c>
      <c r="N4585" s="4">
        <f>IFERROR(__xludf.DUMMYFUNCTION("""COMPUTED_VALUE"""),0.663)</f>
        <v>0.663</v>
      </c>
      <c r="O4585" s="4">
        <f>IFERROR(__xludf.DUMMYFUNCTION("""COMPUTED_VALUE"""),15.6)</f>
        <v>15.6</v>
      </c>
      <c r="P4585" s="4">
        <f>IFERROR(__xludf.DUMMYFUNCTION("""COMPUTED_VALUE"""),6.7)</f>
        <v>6.7</v>
      </c>
      <c r="Q4585" s="4">
        <f>IFERROR(__xludf.DUMMYFUNCTION("""COMPUTED_VALUE"""),1.4)</f>
        <v>1.4</v>
      </c>
      <c r="R4585" s="4">
        <f>IFERROR(__xludf.DUMMYFUNCTION("""COMPUTED_VALUE"""),2.2)</f>
        <v>2.2</v>
      </c>
      <c r="S4585" s="4">
        <f>IFERROR(__xludf.DUMMYFUNCTION("""COMPUTED_VALUE"""),0.5)</f>
        <v>0.5</v>
      </c>
      <c r="T4585" s="4">
        <f>IFERROR(__xludf.DUMMYFUNCTION("""COMPUTED_VALUE"""),0.022)</f>
        <v>0.022</v>
      </c>
      <c r="U4585" s="4">
        <f>IFERROR(__xludf.DUMMYFUNCTION("""COMPUTED_VALUE"""),-2.5)</f>
        <v>-2.5</v>
      </c>
      <c r="V4585" s="4">
        <f>IFERROR(__xludf.DUMMYFUNCTION("""COMPUTED_VALUE"""),-0.1)</f>
        <v>-0.1</v>
      </c>
    </row>
    <row r="4586">
      <c r="A4586" s="4">
        <f>IFERROR(__xludf.DUMMYFUNCTION("""COMPUTED_VALUE"""),119.0)</f>
        <v>119</v>
      </c>
      <c r="B4586" s="4">
        <f>IFERROR(__xludf.DUMMYFUNCTION("""COMPUTED_VALUE"""),119.0)</f>
        <v>119</v>
      </c>
      <c r="C4586" s="4" t="str">
        <f>IFERROR(__xludf.DUMMYFUNCTION("""COMPUTED_VALUE"""),"CHI")</f>
        <v>CHI</v>
      </c>
      <c r="D4586" s="4" t="str">
        <f>IFERROR(__xludf.DUMMYFUNCTION("""COMPUTED_VALUE"""),"John Shoemaker")</f>
        <v>John Shoemaker</v>
      </c>
      <c r="E4586" s="4" t="str">
        <f>IFERROR(__xludf.DUMMYFUNCTION("""COMPUTED_VALUE"""),"Miami University")</f>
        <v>Miami University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</row>
    <row r="4587">
      <c r="A4587" s="4">
        <f>IFERROR(__xludf.DUMMYFUNCTION("""COMPUTED_VALUE"""),120.0)</f>
        <v>120</v>
      </c>
      <c r="B4587" s="4">
        <f>IFERROR(__xludf.DUMMYFUNCTION("""COMPUTED_VALUE"""),120.0)</f>
        <v>120</v>
      </c>
      <c r="C4587" s="4" t="str">
        <f>IFERROR(__xludf.DUMMYFUNCTION("""COMPUTED_VALUE"""),"ATL")</f>
        <v>ATL</v>
      </c>
      <c r="D4587" s="4" t="str">
        <f>IFERROR(__xludf.DUMMYFUNCTION("""COMPUTED_VALUE"""),"Gerald Glover")</f>
        <v>Gerald Glover</v>
      </c>
      <c r="E4587" s="4" t="str">
        <f>IFERROR(__xludf.DUMMYFUNCTION("""COMPUTED_VALUE"""),"Howard University")</f>
        <v>Howard University</v>
      </c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</row>
    <row r="4588">
      <c r="A4588" s="4">
        <f>IFERROR(__xludf.DUMMYFUNCTION("""COMPUTED_VALUE"""),121.0)</f>
        <v>121</v>
      </c>
      <c r="B4588" s="4">
        <f>IFERROR(__xludf.DUMMYFUNCTION("""COMPUTED_VALUE"""),121.0)</f>
        <v>121</v>
      </c>
      <c r="C4588" s="4" t="str">
        <f>IFERROR(__xludf.DUMMYFUNCTION("""COMPUTED_VALUE"""),"NYK")</f>
        <v>NYK</v>
      </c>
      <c r="D4588" s="4" t="str">
        <f>IFERROR(__xludf.DUMMYFUNCTION("""COMPUTED_VALUE"""),"Eddie Warren")</f>
        <v>Eddie Warren</v>
      </c>
      <c r="E4588" s="4" t="str">
        <f>IFERROR(__xludf.DUMMYFUNCTION("""COMPUTED_VALUE"""),"Briar Cliff University")</f>
        <v>Briar Cliff University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</row>
    <row r="4589">
      <c r="A4589" s="4">
        <f>IFERROR(__xludf.DUMMYFUNCTION("""COMPUTED_VALUE"""),122.0)</f>
        <v>122</v>
      </c>
      <c r="B4589" s="4">
        <f>IFERROR(__xludf.DUMMYFUNCTION("""COMPUTED_VALUE"""),122.0)</f>
        <v>122</v>
      </c>
      <c r="C4589" s="4" t="str">
        <f>IFERROR(__xludf.DUMMYFUNCTION("""COMPUTED_VALUE"""),"GSW")</f>
        <v>GSW</v>
      </c>
      <c r="D4589" s="4" t="str">
        <f>IFERROR(__xludf.DUMMYFUNCTION("""COMPUTED_VALUE"""),"Buzz Harnett")</f>
        <v>Buzz Harnett</v>
      </c>
      <c r="E4589" s="4" t="str">
        <f>IFERROR(__xludf.DUMMYFUNCTION("""COMPUTED_VALUE"""),"University of San Diego")</f>
        <v>University of San Diego</v>
      </c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</row>
    <row r="4590">
      <c r="A4590" s="4">
        <f>IFERROR(__xludf.DUMMYFUNCTION("""COMPUTED_VALUE"""),123.0)</f>
        <v>123</v>
      </c>
      <c r="B4590" s="4">
        <f>IFERROR(__xludf.DUMMYFUNCTION("""COMPUTED_VALUE"""),123.0)</f>
        <v>123</v>
      </c>
      <c r="C4590" s="4" t="str">
        <f>IFERROR(__xludf.DUMMYFUNCTION("""COMPUTED_VALUE"""),"CLE")</f>
        <v>CLE</v>
      </c>
      <c r="D4590" s="4" t="str">
        <f>IFERROR(__xludf.DUMMYFUNCTION("""COMPUTED_VALUE"""),"Ron Bell")</f>
        <v>Ron Bell</v>
      </c>
      <c r="E4590" s="4" t="str">
        <f>IFERROR(__xludf.DUMMYFUNCTION("""COMPUTED_VALUE"""),"Virginia Tech")</f>
        <v>Virginia Tech</v>
      </c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</row>
    <row r="4591">
      <c r="A4591" s="4">
        <f>IFERROR(__xludf.DUMMYFUNCTION("""COMPUTED_VALUE"""),124.0)</f>
        <v>124</v>
      </c>
      <c r="B4591" s="4">
        <f>IFERROR(__xludf.DUMMYFUNCTION("""COMPUTED_VALUE"""),124.0)</f>
        <v>124</v>
      </c>
      <c r="C4591" s="4" t="str">
        <f>IFERROR(__xludf.DUMMYFUNCTION("""COMPUTED_VALUE"""),"MIL")</f>
        <v>MIL</v>
      </c>
      <c r="D4591" s="4" t="str">
        <f>IFERROR(__xludf.DUMMYFUNCTION("""COMPUTED_VALUE"""),"Dave Kyle")</f>
        <v>Dave Kyle</v>
      </c>
      <c r="E4591" s="4" t="str">
        <f>IFERROR(__xludf.DUMMYFUNCTION("""COMPUTED_VALUE"""),"Cleveland State University")</f>
        <v>Cleveland State University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</row>
    <row r="4592">
      <c r="A4592" s="4">
        <f>IFERROR(__xludf.DUMMYFUNCTION("""COMPUTED_VALUE"""),125.0)</f>
        <v>125</v>
      </c>
      <c r="B4592" s="4">
        <f>IFERROR(__xludf.DUMMYFUNCTION("""COMPUTED_VALUE"""),125.0)</f>
        <v>125</v>
      </c>
      <c r="C4592" s="4" t="str">
        <f>IFERROR(__xludf.DUMMYFUNCTION("""COMPUTED_VALUE"""),"WSB")</f>
        <v>WSB</v>
      </c>
      <c r="D4592" s="4" t="str">
        <f>IFERROR(__xludf.DUMMYFUNCTION("""COMPUTED_VALUE"""),"Archie Aldridge")</f>
        <v>Archie Aldridge</v>
      </c>
      <c r="E4592" s="4" t="str">
        <f>IFERROR(__xludf.DUMMYFUNCTION("""COMPUTED_VALUE"""),"Miami University")</f>
        <v>Miami University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</row>
    <row r="4593">
      <c r="A4593" s="4">
        <f>IFERROR(__xludf.DUMMYFUNCTION("""COMPUTED_VALUE"""),126.0)</f>
        <v>126</v>
      </c>
      <c r="B4593" s="4">
        <f>IFERROR(__xludf.DUMMYFUNCTION("""COMPUTED_VALUE"""),126.0)</f>
        <v>126</v>
      </c>
      <c r="C4593" s="4" t="str">
        <f>IFERROR(__xludf.DUMMYFUNCTION("""COMPUTED_VALUE"""),"LAL")</f>
        <v>LAL</v>
      </c>
      <c r="D4593" s="4" t="str">
        <f>IFERROR(__xludf.DUMMYFUNCTION("""COMPUTED_VALUE"""),"Kim Stewart")</f>
        <v>Kim Stewart</v>
      </c>
      <c r="E4593" s="4" t="str">
        <f>IFERROR(__xludf.DUMMYFUNCTION("""COMPUTED_VALUE"""),"Washington")</f>
        <v>Washington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</row>
    <row r="4594">
      <c r="A4594" s="4">
        <f>IFERROR(__xludf.DUMMYFUNCTION("""COMPUTED_VALUE"""),127.0)</f>
        <v>127</v>
      </c>
      <c r="B4594" s="4">
        <f>IFERROR(__xludf.DUMMYFUNCTION("""COMPUTED_VALUE"""),127.0)</f>
        <v>127</v>
      </c>
      <c r="C4594" s="4" t="str">
        <f>IFERROR(__xludf.DUMMYFUNCTION("""COMPUTED_VALUE"""),"DEN")</f>
        <v>DEN</v>
      </c>
      <c r="D4594" s="4" t="str">
        <f>IFERROR(__xludf.DUMMYFUNCTION("""COMPUTED_VALUE"""),"Robert Heard")</f>
        <v>Robert Heard</v>
      </c>
      <c r="E4594" s="4" t="str">
        <f>IFERROR(__xludf.DUMMYFUNCTION("""COMPUTED_VALUE"""),"Columbus State University")</f>
        <v>Columbus State University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</row>
    <row r="4595">
      <c r="A4595" s="4">
        <f>IFERROR(__xludf.DUMMYFUNCTION("""COMPUTED_VALUE"""),128.0)</f>
        <v>128</v>
      </c>
      <c r="B4595" s="4">
        <f>IFERROR(__xludf.DUMMYFUNCTION("""COMPUTED_VALUE"""),128.0)</f>
        <v>128</v>
      </c>
      <c r="C4595" s="4" t="str">
        <f>IFERROR(__xludf.DUMMYFUNCTION("""COMPUTED_VALUE"""),"PHO")</f>
        <v>PHO</v>
      </c>
      <c r="D4595" s="4" t="str">
        <f>IFERROR(__xludf.DUMMYFUNCTION("""COMPUTED_VALUE"""),"Charles Thompson")</f>
        <v>Charles Thompson</v>
      </c>
      <c r="E4595" s="4" t="str">
        <f>IFERROR(__xludf.DUMMYFUNCTION("""COMPUTED_VALUE"""),"Houston")</f>
        <v>Houston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</row>
    <row r="4596">
      <c r="A4596" s="4">
        <f>IFERROR(__xludf.DUMMYFUNCTION("""COMPUTED_VALUE"""),129.0)</f>
        <v>129</v>
      </c>
      <c r="B4596" s="4">
        <f>IFERROR(__xludf.DUMMYFUNCTION("""COMPUTED_VALUE"""),129.0)</f>
        <v>129</v>
      </c>
      <c r="C4596" s="4" t="str">
        <f>IFERROR(__xludf.DUMMYFUNCTION("""COMPUTED_VALUE"""),"SAS")</f>
        <v>SAS</v>
      </c>
      <c r="D4596" s="4" t="str">
        <f>IFERROR(__xludf.DUMMYFUNCTION("""COMPUTED_VALUE"""),"Harry Morgan")</f>
        <v>Harry Morgan</v>
      </c>
      <c r="E4596" s="4" t="str">
        <f>IFERROR(__xludf.DUMMYFUNCTION("""COMPUTED_VALUE"""),"Indiana State University")</f>
        <v>Indiana State University</v>
      </c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</row>
    <row r="4597">
      <c r="A4597" s="4">
        <f>IFERROR(__xludf.DUMMYFUNCTION("""COMPUTED_VALUE"""),130.0)</f>
        <v>130</v>
      </c>
      <c r="B4597" s="4">
        <f>IFERROR(__xludf.DUMMYFUNCTION("""COMPUTED_VALUE"""),130.0)</f>
        <v>130</v>
      </c>
      <c r="C4597" s="4" t="str">
        <f>IFERROR(__xludf.DUMMYFUNCTION("""COMPUTED_VALUE"""),"PHI")</f>
        <v>PHI</v>
      </c>
      <c r="D4597" s="4" t="str">
        <f>IFERROR(__xludf.DUMMYFUNCTION("""COMPUTED_VALUE"""),"Osborne Lockhart")</f>
        <v>Osborne Lockhart</v>
      </c>
      <c r="E4597" s="4" t="str">
        <f>IFERROR(__xludf.DUMMYFUNCTION("""COMPUTED_VALUE"""),"Minnesota")</f>
        <v>Minnesota</v>
      </c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</row>
    <row r="4598">
      <c r="A4598" s="4">
        <f>IFERROR(__xludf.DUMMYFUNCTION("""COMPUTED_VALUE"""),131.0)</f>
        <v>131</v>
      </c>
      <c r="B4598" s="4">
        <f>IFERROR(__xludf.DUMMYFUNCTION("""COMPUTED_VALUE"""),131.0)</f>
        <v>131</v>
      </c>
      <c r="C4598" s="4" t="str">
        <f>IFERROR(__xludf.DUMMYFUNCTION("""COMPUTED_VALUE"""),"POR")</f>
        <v>POR</v>
      </c>
      <c r="D4598" s="4" t="str">
        <f>IFERROR(__xludf.DUMMYFUNCTION("""COMPUTED_VALUE"""),"Tim Evans")</f>
        <v>Tim Evans</v>
      </c>
      <c r="E4598" s="4" t="str">
        <f>IFERROR(__xludf.DUMMYFUNCTION("""COMPUTED_VALUE"""),"University of Puget Sound")</f>
        <v>University of Puget Sound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</row>
    <row r="4599">
      <c r="A4599" s="4"/>
      <c r="B4599" s="4"/>
      <c r="C4599" s="4"/>
      <c r="D4599" s="4" t="str">
        <f>IFERROR(__xludf.DUMMYFUNCTION("""COMPUTED_VALUE"""),"Round 7")</f>
        <v>Round 7</v>
      </c>
      <c r="E4599" s="4"/>
      <c r="F4599" s="4"/>
      <c r="G4599" s="4" t="str">
        <f>IFERROR(__xludf.DUMMYFUNCTION("""COMPUTED_VALUE"""),"Totals")</f>
        <v>Totals</v>
      </c>
      <c r="H4599" s="4"/>
      <c r="I4599" s="4"/>
      <c r="J4599" s="4"/>
      <c r="K4599" s="4"/>
      <c r="L4599" s="4" t="str">
        <f>IFERROR(__xludf.DUMMYFUNCTION("""COMPUTED_VALUE"""),"Shooting")</f>
        <v>Shooting</v>
      </c>
      <c r="M4599" s="4"/>
      <c r="N4599" s="4"/>
      <c r="O4599" s="4" t="str">
        <f>IFERROR(__xludf.DUMMYFUNCTION("""COMPUTED_VALUE"""),"Per Game")</f>
        <v>Per Game</v>
      </c>
      <c r="P4599" s="4"/>
      <c r="Q4599" s="4"/>
      <c r="R4599" s="4"/>
      <c r="S4599" s="4" t="str">
        <f>IFERROR(__xludf.DUMMYFUNCTION("""COMPUTED_VALUE"""),"Advanced")</f>
        <v>Advanced</v>
      </c>
      <c r="T4599" s="4"/>
      <c r="U4599" s="4"/>
      <c r="V4599" s="4"/>
    </row>
    <row r="4600">
      <c r="A4600" s="4" t="str">
        <f>IFERROR(__xludf.DUMMYFUNCTION("""COMPUTED_VALUE"""),"Rk")</f>
        <v>Rk</v>
      </c>
      <c r="B4600" s="4" t="str">
        <f>IFERROR(__xludf.DUMMYFUNCTION("""COMPUTED_VALUE"""),"Pk")</f>
        <v>Pk</v>
      </c>
      <c r="C4600" s="4" t="str">
        <f>IFERROR(__xludf.DUMMYFUNCTION("""COMPUTED_VALUE"""),"Tm")</f>
        <v>Tm</v>
      </c>
      <c r="D4600" s="4" t="str">
        <f>IFERROR(__xludf.DUMMYFUNCTION("""COMPUTED_VALUE"""),"Player")</f>
        <v>Player</v>
      </c>
      <c r="E4600" s="4" t="str">
        <f>IFERROR(__xludf.DUMMYFUNCTION("""COMPUTED_VALUE"""),"College")</f>
        <v>College</v>
      </c>
      <c r="F4600" s="4" t="str">
        <f>IFERROR(__xludf.DUMMYFUNCTION("""COMPUTED_VALUE"""),"Yrs")</f>
        <v>Yrs</v>
      </c>
      <c r="G4600" s="4" t="str">
        <f>IFERROR(__xludf.DUMMYFUNCTION("""COMPUTED_VALUE"""),"G")</f>
        <v>G</v>
      </c>
      <c r="H4600" s="4" t="str">
        <f>IFERROR(__xludf.DUMMYFUNCTION("""COMPUTED_VALUE"""),"MP")</f>
        <v>MP</v>
      </c>
      <c r="I4600" s="4" t="str">
        <f>IFERROR(__xludf.DUMMYFUNCTION("""COMPUTED_VALUE"""),"PTS")</f>
        <v>PTS</v>
      </c>
      <c r="J4600" s="4" t="str">
        <f>IFERROR(__xludf.DUMMYFUNCTION("""COMPUTED_VALUE"""),"TRB")</f>
        <v>TRB</v>
      </c>
      <c r="K4600" s="4" t="str">
        <f>IFERROR(__xludf.DUMMYFUNCTION("""COMPUTED_VALUE"""),"AST")</f>
        <v>AST</v>
      </c>
      <c r="L4600" s="4" t="str">
        <f>IFERROR(__xludf.DUMMYFUNCTION("""COMPUTED_VALUE"""),"FG%")</f>
        <v>FG%</v>
      </c>
      <c r="M4600" s="4" t="str">
        <f>IFERROR(__xludf.DUMMYFUNCTION("""COMPUTED_VALUE"""),"3P%")</f>
        <v>3P%</v>
      </c>
      <c r="N4600" s="4" t="str">
        <f>IFERROR(__xludf.DUMMYFUNCTION("""COMPUTED_VALUE"""),"FT%")</f>
        <v>FT%</v>
      </c>
      <c r="O4600" s="4" t="str">
        <f>IFERROR(__xludf.DUMMYFUNCTION("""COMPUTED_VALUE"""),"MP")</f>
        <v>MP</v>
      </c>
      <c r="P4600" s="4" t="str">
        <f>IFERROR(__xludf.DUMMYFUNCTION("""COMPUTED_VALUE"""),"PTS")</f>
        <v>PTS</v>
      </c>
      <c r="Q4600" s="4" t="str">
        <f>IFERROR(__xludf.DUMMYFUNCTION("""COMPUTED_VALUE"""),"TRB")</f>
        <v>TRB</v>
      </c>
      <c r="R4600" s="4" t="str">
        <f>IFERROR(__xludf.DUMMYFUNCTION("""COMPUTED_VALUE"""),"AST")</f>
        <v>AST</v>
      </c>
      <c r="S4600" s="4" t="str">
        <f>IFERROR(__xludf.DUMMYFUNCTION("""COMPUTED_VALUE"""),"WS")</f>
        <v>WS</v>
      </c>
      <c r="T4600" s="4" t="str">
        <f>IFERROR(__xludf.DUMMYFUNCTION("""COMPUTED_VALUE"""),"WS/48")</f>
        <v>WS/48</v>
      </c>
      <c r="U4600" s="4" t="str">
        <f>IFERROR(__xludf.DUMMYFUNCTION("""COMPUTED_VALUE"""),"BPM")</f>
        <v>BPM</v>
      </c>
      <c r="V4600" s="4" t="str">
        <f>IFERROR(__xludf.DUMMYFUNCTION("""COMPUTED_VALUE"""),"VORP")</f>
        <v>VORP</v>
      </c>
    </row>
    <row r="4601">
      <c r="A4601" s="4">
        <f>IFERROR(__xludf.DUMMYFUNCTION("""COMPUTED_VALUE"""),132.0)</f>
        <v>132</v>
      </c>
      <c r="B4601" s="4">
        <f>IFERROR(__xludf.DUMMYFUNCTION("""COMPUTED_VALUE"""),132.0)</f>
        <v>132</v>
      </c>
      <c r="C4601" s="4" t="str">
        <f>IFERROR(__xludf.DUMMYFUNCTION("""COMPUTED_VALUE"""),"NJN")</f>
        <v>NJN</v>
      </c>
      <c r="D4601" s="4" t="str">
        <f>IFERROR(__xludf.DUMMYFUNCTION("""COMPUTED_VALUE"""),"Doug Jemison")</f>
        <v>Doug Jemison</v>
      </c>
      <c r="E4601" s="4" t="str">
        <f>IFERROR(__xludf.DUMMYFUNCTION("""COMPUTED_VALUE"""),"San Francisco")</f>
        <v>San Francisco</v>
      </c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</row>
    <row r="4602">
      <c r="A4602" s="4">
        <f>IFERROR(__xludf.DUMMYFUNCTION("""COMPUTED_VALUE"""),133.0)</f>
        <v>133</v>
      </c>
      <c r="B4602" s="4">
        <f>IFERROR(__xludf.DUMMYFUNCTION("""COMPUTED_VALUE"""),133.0)</f>
        <v>133</v>
      </c>
      <c r="C4602" s="4" t="str">
        <f>IFERROR(__xludf.DUMMYFUNCTION("""COMPUTED_VALUE"""),"SDC")</f>
        <v>SDC</v>
      </c>
      <c r="D4602" s="4" t="str">
        <f>IFERROR(__xludf.DUMMYFUNCTION("""COMPUTED_VALUE"""),"Stan Pietkiewicz")</f>
        <v>Stan Pietkiewicz</v>
      </c>
      <c r="E4602" s="4" t="str">
        <f>IFERROR(__xludf.DUMMYFUNCTION("""COMPUTED_VALUE"""),"Auburn")</f>
        <v>Auburn</v>
      </c>
      <c r="F4602" s="4">
        <f>IFERROR(__xludf.DUMMYFUNCTION("""COMPUTED_VALUE"""),3.0)</f>
        <v>3</v>
      </c>
      <c r="G4602" s="4">
        <f>IFERROR(__xludf.DUMMYFUNCTION("""COMPUTED_VALUE"""),96.0)</f>
        <v>96</v>
      </c>
      <c r="H4602" s="4">
        <f>IFERROR(__xludf.DUMMYFUNCTION("""COMPUTED_VALUE"""),1070.0)</f>
        <v>1070</v>
      </c>
      <c r="I4602" s="4">
        <f>IFERROR(__xludf.DUMMYFUNCTION("""COMPUTED_VALUE"""),376.0)</f>
        <v>376</v>
      </c>
      <c r="J4602" s="4">
        <f>IFERROR(__xludf.DUMMYFUNCTION("""COMPUTED_VALUE"""),93.0)</f>
        <v>93</v>
      </c>
      <c r="K4602" s="4">
        <f>IFERROR(__xludf.DUMMYFUNCTION("""COMPUTED_VALUE"""),174.0)</f>
        <v>174</v>
      </c>
      <c r="L4602" s="4">
        <f>IFERROR(__xludf.DUMMYFUNCTION("""COMPUTED_VALUE"""),0.458)</f>
        <v>0.458</v>
      </c>
      <c r="M4602" s="4"/>
      <c r="N4602" s="4">
        <f>IFERROR(__xludf.DUMMYFUNCTION("""COMPUTED_VALUE"""),0.806)</f>
        <v>0.806</v>
      </c>
      <c r="O4602" s="4">
        <f>IFERROR(__xludf.DUMMYFUNCTION("""COMPUTED_VALUE"""),11.1)</f>
        <v>11.1</v>
      </c>
      <c r="P4602" s="4">
        <f>IFERROR(__xludf.DUMMYFUNCTION("""COMPUTED_VALUE"""),3.9)</f>
        <v>3.9</v>
      </c>
      <c r="Q4602" s="4">
        <f>IFERROR(__xludf.DUMMYFUNCTION("""COMPUTED_VALUE"""),1.0)</f>
        <v>1</v>
      </c>
      <c r="R4602" s="4">
        <f>IFERROR(__xludf.DUMMYFUNCTION("""COMPUTED_VALUE"""),1.8)</f>
        <v>1.8</v>
      </c>
      <c r="S4602" s="4">
        <f>IFERROR(__xludf.DUMMYFUNCTION("""COMPUTED_VALUE"""),1.5)</f>
        <v>1.5</v>
      </c>
      <c r="T4602" s="4">
        <f>IFERROR(__xludf.DUMMYFUNCTION("""COMPUTED_VALUE"""),0.066)</f>
        <v>0.066</v>
      </c>
      <c r="U4602" s="4">
        <f>IFERROR(__xludf.DUMMYFUNCTION("""COMPUTED_VALUE"""),-0.3)</f>
        <v>-0.3</v>
      </c>
      <c r="V4602" s="4">
        <f>IFERROR(__xludf.DUMMYFUNCTION("""COMPUTED_VALUE"""),0.4)</f>
        <v>0.4</v>
      </c>
    </row>
    <row r="4603">
      <c r="A4603" s="4">
        <f>IFERROR(__xludf.DUMMYFUNCTION("""COMPUTED_VALUE"""),134.0)</f>
        <v>134</v>
      </c>
      <c r="B4603" s="4">
        <f>IFERROR(__xludf.DUMMYFUNCTION("""COMPUTED_VALUE"""),134.0)</f>
        <v>134</v>
      </c>
      <c r="C4603" s="4" t="str">
        <f>IFERROR(__xludf.DUMMYFUNCTION("""COMPUTED_VALUE"""),"HOU")</f>
        <v>HOU</v>
      </c>
      <c r="D4603" s="4" t="str">
        <f>IFERROR(__xludf.DUMMYFUNCTION("""COMPUTED_VALUE"""),"Stan Stewart")</f>
        <v>Stan Stewart</v>
      </c>
      <c r="E4603" s="4" t="str">
        <f>IFERROR(__xludf.DUMMYFUNCTION("""COMPUTED_VALUE"""),"Loyola Marymount")</f>
        <v>Loyola Marymount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</row>
    <row r="4604">
      <c r="A4604" s="4">
        <f>IFERROR(__xludf.DUMMYFUNCTION("""COMPUTED_VALUE"""),135.0)</f>
        <v>135</v>
      </c>
      <c r="B4604" s="4">
        <f>IFERROR(__xludf.DUMMYFUNCTION("""COMPUTED_VALUE"""),135.0)</f>
        <v>135</v>
      </c>
      <c r="C4604" s="4" t="str">
        <f>IFERROR(__xludf.DUMMYFUNCTION("""COMPUTED_VALUE"""),"IND")</f>
        <v>IND</v>
      </c>
      <c r="D4604" s="4" t="str">
        <f>IFERROR(__xludf.DUMMYFUNCTION("""COMPUTED_VALUE"""),"Ollie Matson Jr.")</f>
        <v>Ollie Matson Jr.</v>
      </c>
      <c r="E4604" s="4" t="str">
        <f>IFERROR(__xludf.DUMMYFUNCTION("""COMPUTED_VALUE"""),"Pepperdine")</f>
        <v>Pepperdine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</row>
    <row r="4605">
      <c r="A4605" s="4">
        <f>IFERROR(__xludf.DUMMYFUNCTION("""COMPUTED_VALUE"""),136.0)</f>
        <v>136</v>
      </c>
      <c r="B4605" s="4">
        <f>IFERROR(__xludf.DUMMYFUNCTION("""COMPUTED_VALUE"""),136.0)</f>
        <v>136</v>
      </c>
      <c r="C4605" s="4" t="str">
        <f>IFERROR(__xludf.DUMMYFUNCTION("""COMPUTED_VALUE"""),"KCK")</f>
        <v>KCK</v>
      </c>
      <c r="D4605" s="4" t="str">
        <f>IFERROR(__xludf.DUMMYFUNCTION("""COMPUTED_VALUE"""),"Charles McMillian")</f>
        <v>Charles McMillian</v>
      </c>
      <c r="E4605" s="4" t="str">
        <f>IFERROR(__xludf.DUMMYFUNCTION("""COMPUTED_VALUE"""),"University of North Texas")</f>
        <v>University of North Texas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</row>
    <row r="4606">
      <c r="A4606" s="4">
        <f>IFERROR(__xludf.DUMMYFUNCTION("""COMPUTED_VALUE"""),137.0)</f>
        <v>137</v>
      </c>
      <c r="B4606" s="4">
        <f>IFERROR(__xludf.DUMMYFUNCTION("""COMPUTED_VALUE"""),137.0)</f>
        <v>137</v>
      </c>
      <c r="C4606" s="4" t="str">
        <f>IFERROR(__xludf.DUMMYFUNCTION("""COMPUTED_VALUE"""),"BOS")</f>
        <v>BOS</v>
      </c>
      <c r="D4606" s="4" t="str">
        <f>IFERROR(__xludf.DUMMYFUNCTION("""COMPUTED_VALUE"""),"Steve Balkun")</f>
        <v>Steve Balkun</v>
      </c>
      <c r="E4606" s="4" t="str">
        <f>IFERROR(__xludf.DUMMYFUNCTION("""COMPUTED_VALUE"""),"Fairfield")</f>
        <v>Fairfield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</row>
    <row r="4607">
      <c r="A4607" s="4">
        <f>IFERROR(__xludf.DUMMYFUNCTION("""COMPUTED_VALUE"""),138.0)</f>
        <v>138</v>
      </c>
      <c r="B4607" s="4">
        <f>IFERROR(__xludf.DUMMYFUNCTION("""COMPUTED_VALUE"""),138.0)</f>
        <v>138</v>
      </c>
      <c r="C4607" s="4" t="str">
        <f>IFERROR(__xludf.DUMMYFUNCTION("""COMPUTED_VALUE"""),"DET")</f>
        <v>DET</v>
      </c>
      <c r="D4607" s="4" t="str">
        <f>IFERROR(__xludf.DUMMYFUNCTION("""COMPUTED_VALUE"""),"Herb Entzminger")</f>
        <v>Herb Entzminger</v>
      </c>
      <c r="E4607" s="4" t="str">
        <f>IFERROR(__xludf.DUMMYFUNCTION("""COMPUTED_VALUE"""),"Johnson C. Smith University")</f>
        <v>Johnson C. Smith University</v>
      </c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</row>
    <row r="4608">
      <c r="A4608" s="4">
        <f>IFERROR(__xludf.DUMMYFUNCTION("""COMPUTED_VALUE"""),139.0)</f>
        <v>139</v>
      </c>
      <c r="B4608" s="4">
        <f>IFERROR(__xludf.DUMMYFUNCTION("""COMPUTED_VALUE"""),139.0)</f>
        <v>139</v>
      </c>
      <c r="C4608" s="4" t="str">
        <f>IFERROR(__xludf.DUMMYFUNCTION("""COMPUTED_VALUE"""),"NOJ")</f>
        <v>NOJ</v>
      </c>
      <c r="D4608" s="4" t="str">
        <f>IFERROR(__xludf.DUMMYFUNCTION("""COMPUTED_VALUE"""),"Willie Howard")</f>
        <v>Willie Howard</v>
      </c>
      <c r="E4608" s="4" t="str">
        <f>IFERROR(__xludf.DUMMYFUNCTION("""COMPUTED_VALUE"""),"New Mexico")</f>
        <v>New Mexico</v>
      </c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</row>
    <row r="4609">
      <c r="A4609" s="4">
        <f>IFERROR(__xludf.DUMMYFUNCTION("""COMPUTED_VALUE"""),140.0)</f>
        <v>140</v>
      </c>
      <c r="B4609" s="4">
        <f>IFERROR(__xludf.DUMMYFUNCTION("""COMPUTED_VALUE"""),140.0)</f>
        <v>140</v>
      </c>
      <c r="C4609" s="4" t="str">
        <f>IFERROR(__xludf.DUMMYFUNCTION("""COMPUTED_VALUE"""),"CHI")</f>
        <v>CHI</v>
      </c>
      <c r="D4609" s="4" t="str">
        <f>IFERROR(__xludf.DUMMYFUNCTION("""COMPUTED_VALUE"""),"Jarvis Reynolds")</f>
        <v>Jarvis Reynolds</v>
      </c>
      <c r="E4609" s="4" t="str">
        <f>IFERROR(__xludf.DUMMYFUNCTION("""COMPUTED_VALUE"""),"West Georgia")</f>
        <v>West Georgia</v>
      </c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</row>
    <row r="4610">
      <c r="A4610" s="4">
        <f>IFERROR(__xludf.DUMMYFUNCTION("""COMPUTED_VALUE"""),141.0)</f>
        <v>141</v>
      </c>
      <c r="B4610" s="4">
        <f>IFERROR(__xludf.DUMMYFUNCTION("""COMPUTED_VALUE"""),141.0)</f>
        <v>141</v>
      </c>
      <c r="C4610" s="4" t="str">
        <f>IFERROR(__xludf.DUMMYFUNCTION("""COMPUTED_VALUE"""),"ATL")</f>
        <v>ATL</v>
      </c>
      <c r="D4610" s="4" t="str">
        <f>IFERROR(__xludf.DUMMYFUNCTION("""COMPUTED_VALUE"""),"Jim DeWeese")</f>
        <v>Jim DeWeese</v>
      </c>
      <c r="E4610" s="4" t="str">
        <f>IFERROR(__xludf.DUMMYFUNCTION("""COMPUTED_VALUE"""),"Gonzaga")</f>
        <v>Gonzaga</v>
      </c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</row>
    <row r="4611">
      <c r="A4611" s="4">
        <f>IFERROR(__xludf.DUMMYFUNCTION("""COMPUTED_VALUE"""),142.0)</f>
        <v>142</v>
      </c>
      <c r="B4611" s="4">
        <f>IFERROR(__xludf.DUMMYFUNCTION("""COMPUTED_VALUE"""),142.0)</f>
        <v>142</v>
      </c>
      <c r="C4611" s="4" t="str">
        <f>IFERROR(__xludf.DUMMYFUNCTION("""COMPUTED_VALUE"""),"GSW")</f>
        <v>GSW</v>
      </c>
      <c r="D4611" s="4" t="str">
        <f>IFERROR(__xludf.DUMMYFUNCTION("""COMPUTED_VALUE"""),"Rick Bernard")</f>
        <v>Rick Bernard</v>
      </c>
      <c r="E4611" s="4" t="str">
        <f>IFERROR(__xludf.DUMMYFUNCTION("""COMPUTED_VALUE"""),"Saint Mary's")</f>
        <v>Saint Mary's</v>
      </c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</row>
    <row r="4612">
      <c r="A4612" s="4">
        <f>IFERROR(__xludf.DUMMYFUNCTION("""COMPUTED_VALUE"""),143.0)</f>
        <v>143</v>
      </c>
      <c r="B4612" s="4">
        <f>IFERROR(__xludf.DUMMYFUNCTION("""COMPUTED_VALUE"""),143.0)</f>
        <v>143</v>
      </c>
      <c r="C4612" s="4" t="str">
        <f>IFERROR(__xludf.DUMMYFUNCTION("""COMPUTED_VALUE"""),"CLE")</f>
        <v>CLE</v>
      </c>
      <c r="D4612" s="4" t="str">
        <f>IFERROR(__xludf.DUMMYFUNCTION("""COMPUTED_VALUE"""),"Tony Smith")</f>
        <v>Tony Smith</v>
      </c>
      <c r="E4612" s="4" t="str">
        <f>IFERROR(__xludf.DUMMYFUNCTION("""COMPUTED_VALUE"""),"UNLV")</f>
        <v>UNLV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</row>
    <row r="4613">
      <c r="A4613" s="4">
        <f>IFERROR(__xludf.DUMMYFUNCTION("""COMPUTED_VALUE"""),144.0)</f>
        <v>144</v>
      </c>
      <c r="B4613" s="4">
        <f>IFERROR(__xludf.DUMMYFUNCTION("""COMPUTED_VALUE"""),144.0)</f>
        <v>144</v>
      </c>
      <c r="C4613" s="4" t="str">
        <f>IFERROR(__xludf.DUMMYFUNCTION("""COMPUTED_VALUE"""),"NYK")</f>
        <v>NYK</v>
      </c>
      <c r="D4613" s="4" t="str">
        <f>IFERROR(__xludf.DUMMYFUNCTION("""COMPUTED_VALUE"""),"Gary Pember")</f>
        <v>Gary Pember</v>
      </c>
      <c r="E4613" s="4" t="str">
        <f>IFERROR(__xludf.DUMMYFUNCTION("""COMPUTED_VALUE"""),"Nasson College")</f>
        <v>Nasson College</v>
      </c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</row>
    <row r="4614">
      <c r="A4614" s="4">
        <f>IFERROR(__xludf.DUMMYFUNCTION("""COMPUTED_VALUE"""),145.0)</f>
        <v>145</v>
      </c>
      <c r="B4614" s="4">
        <f>IFERROR(__xludf.DUMMYFUNCTION("""COMPUTED_VALUE"""),145.0)</f>
        <v>145</v>
      </c>
      <c r="C4614" s="4" t="str">
        <f>IFERROR(__xludf.DUMMYFUNCTION("""COMPUTED_VALUE"""),"WSB")</f>
        <v>WSB</v>
      </c>
      <c r="D4614" s="4" t="str">
        <f>IFERROR(__xludf.DUMMYFUNCTION("""COMPUTED_VALUE"""),"Ed Hopkins")</f>
        <v>Ed Hopkins</v>
      </c>
      <c r="E4614" s="4" t="str">
        <f>IFERROR(__xludf.DUMMYFUNCTION("""COMPUTED_VALUE"""),"Georgetown")</f>
        <v>Georgetown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</row>
    <row r="4615">
      <c r="A4615" s="4">
        <f>IFERROR(__xludf.DUMMYFUNCTION("""COMPUTED_VALUE"""),146.0)</f>
        <v>146</v>
      </c>
      <c r="B4615" s="4">
        <f>IFERROR(__xludf.DUMMYFUNCTION("""COMPUTED_VALUE"""),146.0)</f>
        <v>146</v>
      </c>
      <c r="C4615" s="4" t="str">
        <f>IFERROR(__xludf.DUMMYFUNCTION("""COMPUTED_VALUE"""),"MIL")</f>
        <v>MIL</v>
      </c>
      <c r="D4615" s="4" t="str">
        <f>IFERROR(__xludf.DUMMYFUNCTION("""COMPUTED_VALUE"""),"Kim Anderson")</f>
        <v>Kim Anderson</v>
      </c>
      <c r="E4615" s="4" t="str">
        <f>IFERROR(__xludf.DUMMYFUNCTION("""COMPUTED_VALUE"""),"Missouri")</f>
        <v>Missouri</v>
      </c>
      <c r="F4615" s="4">
        <f>IFERROR(__xludf.DUMMYFUNCTION("""COMPUTED_VALUE"""),1.0)</f>
        <v>1</v>
      </c>
      <c r="G4615" s="4">
        <f>IFERROR(__xludf.DUMMYFUNCTION("""COMPUTED_VALUE"""),21.0)</f>
        <v>21</v>
      </c>
      <c r="H4615" s="4">
        <f>IFERROR(__xludf.DUMMYFUNCTION("""COMPUTED_VALUE"""),224.0)</f>
        <v>224</v>
      </c>
      <c r="I4615" s="4">
        <f>IFERROR(__xludf.DUMMYFUNCTION("""COMPUTED_VALUE"""),63.0)</f>
        <v>63</v>
      </c>
      <c r="J4615" s="4">
        <f>IFERROR(__xludf.DUMMYFUNCTION("""COMPUTED_VALUE"""),45.0)</f>
        <v>45</v>
      </c>
      <c r="K4615" s="4">
        <f>IFERROR(__xludf.DUMMYFUNCTION("""COMPUTED_VALUE"""),15.0)</f>
        <v>15</v>
      </c>
      <c r="L4615" s="4">
        <f>IFERROR(__xludf.DUMMYFUNCTION("""COMPUTED_VALUE"""),0.312)</f>
        <v>0.312</v>
      </c>
      <c r="M4615" s="4"/>
      <c r="N4615" s="4">
        <f>IFERROR(__xludf.DUMMYFUNCTION("""COMPUTED_VALUE"""),0.536)</f>
        <v>0.536</v>
      </c>
      <c r="O4615" s="4">
        <f>IFERROR(__xludf.DUMMYFUNCTION("""COMPUTED_VALUE"""),10.7)</f>
        <v>10.7</v>
      </c>
      <c r="P4615" s="4">
        <f>IFERROR(__xludf.DUMMYFUNCTION("""COMPUTED_VALUE"""),3.0)</f>
        <v>3</v>
      </c>
      <c r="Q4615" s="4">
        <f>IFERROR(__xludf.DUMMYFUNCTION("""COMPUTED_VALUE"""),2.1)</f>
        <v>2.1</v>
      </c>
      <c r="R4615" s="4">
        <f>IFERROR(__xludf.DUMMYFUNCTION("""COMPUTED_VALUE"""),0.7)</f>
        <v>0.7</v>
      </c>
      <c r="S4615" s="4">
        <f>IFERROR(__xludf.DUMMYFUNCTION("""COMPUTED_VALUE"""),-0.4)</f>
        <v>-0.4</v>
      </c>
      <c r="T4615" s="4">
        <f>IFERROR(__xludf.DUMMYFUNCTION("""COMPUTED_VALUE"""),-0.078)</f>
        <v>-0.078</v>
      </c>
      <c r="U4615" s="4">
        <f>IFERROR(__xludf.DUMMYFUNCTION("""COMPUTED_VALUE"""),-7.5)</f>
        <v>-7.5</v>
      </c>
      <c r="V4615" s="4">
        <f>IFERROR(__xludf.DUMMYFUNCTION("""COMPUTED_VALUE"""),-0.4)</f>
        <v>-0.4</v>
      </c>
    </row>
    <row r="4616">
      <c r="A4616" s="4">
        <f>IFERROR(__xludf.DUMMYFUNCTION("""COMPUTED_VALUE"""),147.0)</f>
        <v>147</v>
      </c>
      <c r="B4616" s="4">
        <f>IFERROR(__xludf.DUMMYFUNCTION("""COMPUTED_VALUE"""),147.0)</f>
        <v>147</v>
      </c>
      <c r="C4616" s="4" t="str">
        <f>IFERROR(__xludf.DUMMYFUNCTION("""COMPUTED_VALUE"""),"LAL")</f>
        <v>LAL</v>
      </c>
      <c r="D4616" s="4" t="str">
        <f>IFERROR(__xludf.DUMMYFUNCTION("""COMPUTED_VALUE"""),"Larry Paige")</f>
        <v>Larry Paige</v>
      </c>
      <c r="E4616" s="4" t="str">
        <f>IFERROR(__xludf.DUMMYFUNCTION("""COMPUTED_VALUE"""),"Colorado State")</f>
        <v>Colorado State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</row>
    <row r="4617">
      <c r="A4617" s="4">
        <f>IFERROR(__xludf.DUMMYFUNCTION("""COMPUTED_VALUE"""),148.0)</f>
        <v>148</v>
      </c>
      <c r="B4617" s="4">
        <f>IFERROR(__xludf.DUMMYFUNCTION("""COMPUTED_VALUE"""),148.0)</f>
        <v>148</v>
      </c>
      <c r="C4617" s="4" t="str">
        <f>IFERROR(__xludf.DUMMYFUNCTION("""COMPUTED_VALUE"""),"DEN")</f>
        <v>DEN</v>
      </c>
      <c r="D4617" s="4" t="str">
        <f>IFERROR(__xludf.DUMMYFUNCTION("""COMPUTED_VALUE"""),"Jack Gilloon")</f>
        <v>Jack Gilloon</v>
      </c>
      <c r="E4617" s="4" t="str">
        <f>IFERROR(__xludf.DUMMYFUNCTION("""COMPUTED_VALUE"""),"South Carolina")</f>
        <v>South Carolina</v>
      </c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</row>
    <row r="4618">
      <c r="A4618" s="4">
        <f>IFERROR(__xludf.DUMMYFUNCTION("""COMPUTED_VALUE"""),149.0)</f>
        <v>149</v>
      </c>
      <c r="B4618" s="4">
        <f>IFERROR(__xludf.DUMMYFUNCTION("""COMPUTED_VALUE"""),149.0)</f>
        <v>149</v>
      </c>
      <c r="C4618" s="4" t="str">
        <f>IFERROR(__xludf.DUMMYFUNCTION("""COMPUTED_VALUE"""),"PHO")</f>
        <v>PHO</v>
      </c>
      <c r="D4618" s="4" t="str">
        <f>IFERROR(__xludf.DUMMYFUNCTION("""COMPUTED_VALUE"""),"Steve Malovic")</f>
        <v>Steve Malovic</v>
      </c>
      <c r="E4618" s="4" t="str">
        <f>IFERROR(__xludf.DUMMYFUNCTION("""COMPUTED_VALUE"""),"San Diego State")</f>
        <v>San Diego State</v>
      </c>
      <c r="F4618" s="4">
        <f>IFERROR(__xludf.DUMMYFUNCTION("""COMPUTED_VALUE"""),1.0)</f>
        <v>1</v>
      </c>
      <c r="G4618" s="4">
        <f>IFERROR(__xludf.DUMMYFUNCTION("""COMPUTED_VALUE"""),39.0)</f>
        <v>39</v>
      </c>
      <c r="H4618" s="4">
        <f>IFERROR(__xludf.DUMMYFUNCTION("""COMPUTED_VALUE"""),445.0)</f>
        <v>445</v>
      </c>
      <c r="I4618" s="4">
        <f>IFERROR(__xludf.DUMMYFUNCTION("""COMPUTED_VALUE"""),80.0)</f>
        <v>80</v>
      </c>
      <c r="J4618" s="4">
        <f>IFERROR(__xludf.DUMMYFUNCTION("""COMPUTED_VALUE"""),86.0)</f>
        <v>86</v>
      </c>
      <c r="K4618" s="4">
        <f>IFERROR(__xludf.DUMMYFUNCTION("""COMPUTED_VALUE"""),26.0)</f>
        <v>26</v>
      </c>
      <c r="L4618" s="4">
        <f>IFERROR(__xludf.DUMMYFUNCTION("""COMPUTED_VALUE"""),0.463)</f>
        <v>0.463</v>
      </c>
      <c r="M4618" s="4"/>
      <c r="N4618" s="4">
        <f>IFERROR(__xludf.DUMMYFUNCTION("""COMPUTED_VALUE"""),0.667)</f>
        <v>0.667</v>
      </c>
      <c r="O4618" s="4">
        <f>IFERROR(__xludf.DUMMYFUNCTION("""COMPUTED_VALUE"""),11.4)</f>
        <v>11.4</v>
      </c>
      <c r="P4618" s="4">
        <f>IFERROR(__xludf.DUMMYFUNCTION("""COMPUTED_VALUE"""),2.1)</f>
        <v>2.1</v>
      </c>
      <c r="Q4618" s="4">
        <f>IFERROR(__xludf.DUMMYFUNCTION("""COMPUTED_VALUE"""),2.2)</f>
        <v>2.2</v>
      </c>
      <c r="R4618" s="4">
        <f>IFERROR(__xludf.DUMMYFUNCTION("""COMPUTED_VALUE"""),0.7)</f>
        <v>0.7</v>
      </c>
      <c r="S4618" s="4">
        <f>IFERROR(__xludf.DUMMYFUNCTION("""COMPUTED_VALUE"""),0.3)</f>
        <v>0.3</v>
      </c>
      <c r="T4618" s="4">
        <f>IFERROR(__xludf.DUMMYFUNCTION("""COMPUTED_VALUE"""),0.027)</f>
        <v>0.027</v>
      </c>
      <c r="U4618" s="4">
        <f>IFERROR(__xludf.DUMMYFUNCTION("""COMPUTED_VALUE"""),-3.4)</f>
        <v>-3.4</v>
      </c>
      <c r="V4618" s="4">
        <f>IFERROR(__xludf.DUMMYFUNCTION("""COMPUTED_VALUE"""),-0.2)</f>
        <v>-0.2</v>
      </c>
    </row>
    <row r="4619">
      <c r="A4619" s="4">
        <f>IFERROR(__xludf.DUMMYFUNCTION("""COMPUTED_VALUE"""),150.0)</f>
        <v>150</v>
      </c>
      <c r="B4619" s="4">
        <f>IFERROR(__xludf.DUMMYFUNCTION("""COMPUTED_VALUE"""),150.0)</f>
        <v>150</v>
      </c>
      <c r="C4619" s="4" t="str">
        <f>IFERROR(__xludf.DUMMYFUNCTION("""COMPUTED_VALUE"""),"SAS")</f>
        <v>SAS</v>
      </c>
      <c r="D4619" s="4" t="str">
        <f>IFERROR(__xludf.DUMMYFUNCTION("""COMPUTED_VALUE"""),"Hector Olivencia")</f>
        <v>Hector Olivencia</v>
      </c>
      <c r="E4619" s="4" t="str">
        <f>IFERROR(__xludf.DUMMYFUNCTION("""COMPUTED_VALUE"""),"Sacred Heart University")</f>
        <v>Sacred Heart University</v>
      </c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</row>
    <row r="4620">
      <c r="A4620" s="4">
        <f>IFERROR(__xludf.DUMMYFUNCTION("""COMPUTED_VALUE"""),151.0)</f>
        <v>151</v>
      </c>
      <c r="B4620" s="4">
        <f>IFERROR(__xludf.DUMMYFUNCTION("""COMPUTED_VALUE"""),151.0)</f>
        <v>151</v>
      </c>
      <c r="C4620" s="4" t="str">
        <f>IFERROR(__xludf.DUMMYFUNCTION("""COMPUTED_VALUE"""),"PHI")</f>
        <v>PHI</v>
      </c>
      <c r="D4620" s="4" t="str">
        <f>IFERROR(__xludf.DUMMYFUNCTION("""COMPUTED_VALUE"""),"Anthony Murray")</f>
        <v>Anthony Murray</v>
      </c>
      <c r="E4620" s="4" t="str">
        <f>IFERROR(__xludf.DUMMYFUNCTION("""COMPUTED_VALUE"""),"Alabama")</f>
        <v>Alabama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</row>
    <row r="4621">
      <c r="A4621" s="4">
        <f>IFERROR(__xludf.DUMMYFUNCTION("""COMPUTED_VALUE"""),152.0)</f>
        <v>152</v>
      </c>
      <c r="B4621" s="4">
        <f>IFERROR(__xludf.DUMMYFUNCTION("""COMPUTED_VALUE"""),152.0)</f>
        <v>152</v>
      </c>
      <c r="C4621" s="4" t="str">
        <f>IFERROR(__xludf.DUMMYFUNCTION("""COMPUTED_VALUE"""),"POR")</f>
        <v>POR</v>
      </c>
      <c r="D4621" s="4" t="str">
        <f>IFERROR(__xludf.DUMMYFUNCTION("""COMPUTED_VALUE"""),"Walter Reason")</f>
        <v>Walter Reason</v>
      </c>
      <c r="E4621" s="4" t="str">
        <f>IFERROR(__xludf.DUMMYFUNCTION("""COMPUTED_VALUE"""),"Pacific University")</f>
        <v>Pacific University</v>
      </c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</row>
    <row r="4622">
      <c r="A4622" s="4"/>
      <c r="B4622" s="4"/>
      <c r="C4622" s="4"/>
      <c r="D4622" s="4" t="str">
        <f>IFERROR(__xludf.DUMMYFUNCTION("""COMPUTED_VALUE"""),"Round 8")</f>
        <v>Round 8</v>
      </c>
      <c r="E4622" s="4"/>
      <c r="F4622" s="4"/>
      <c r="G4622" s="4" t="str">
        <f>IFERROR(__xludf.DUMMYFUNCTION("""COMPUTED_VALUE"""),"Totals")</f>
        <v>Totals</v>
      </c>
      <c r="H4622" s="4"/>
      <c r="I4622" s="4"/>
      <c r="J4622" s="4"/>
      <c r="K4622" s="4"/>
      <c r="L4622" s="4" t="str">
        <f>IFERROR(__xludf.DUMMYFUNCTION("""COMPUTED_VALUE"""),"Shooting")</f>
        <v>Shooting</v>
      </c>
      <c r="M4622" s="4"/>
      <c r="N4622" s="4"/>
      <c r="O4622" s="4" t="str">
        <f>IFERROR(__xludf.DUMMYFUNCTION("""COMPUTED_VALUE"""),"Per Game")</f>
        <v>Per Game</v>
      </c>
      <c r="P4622" s="4"/>
      <c r="Q4622" s="4"/>
      <c r="R4622" s="4"/>
      <c r="S4622" s="4" t="str">
        <f>IFERROR(__xludf.DUMMYFUNCTION("""COMPUTED_VALUE"""),"Advanced")</f>
        <v>Advanced</v>
      </c>
      <c r="T4622" s="4"/>
      <c r="U4622" s="4"/>
      <c r="V4622" s="4"/>
    </row>
    <row r="4623">
      <c r="A4623" s="4" t="str">
        <f>IFERROR(__xludf.DUMMYFUNCTION("""COMPUTED_VALUE"""),"Rk")</f>
        <v>Rk</v>
      </c>
      <c r="B4623" s="4" t="str">
        <f>IFERROR(__xludf.DUMMYFUNCTION("""COMPUTED_VALUE"""),"Pk")</f>
        <v>Pk</v>
      </c>
      <c r="C4623" s="4" t="str">
        <f>IFERROR(__xludf.DUMMYFUNCTION("""COMPUTED_VALUE"""),"Tm")</f>
        <v>Tm</v>
      </c>
      <c r="D4623" s="4" t="str">
        <f>IFERROR(__xludf.DUMMYFUNCTION("""COMPUTED_VALUE"""),"Player")</f>
        <v>Player</v>
      </c>
      <c r="E4623" s="4" t="str">
        <f>IFERROR(__xludf.DUMMYFUNCTION("""COMPUTED_VALUE"""),"College")</f>
        <v>College</v>
      </c>
      <c r="F4623" s="4" t="str">
        <f>IFERROR(__xludf.DUMMYFUNCTION("""COMPUTED_VALUE"""),"Yrs")</f>
        <v>Yrs</v>
      </c>
      <c r="G4623" s="4" t="str">
        <f>IFERROR(__xludf.DUMMYFUNCTION("""COMPUTED_VALUE"""),"G")</f>
        <v>G</v>
      </c>
      <c r="H4623" s="4" t="str">
        <f>IFERROR(__xludf.DUMMYFUNCTION("""COMPUTED_VALUE"""),"MP")</f>
        <v>MP</v>
      </c>
      <c r="I4623" s="4" t="str">
        <f>IFERROR(__xludf.DUMMYFUNCTION("""COMPUTED_VALUE"""),"PTS")</f>
        <v>PTS</v>
      </c>
      <c r="J4623" s="4" t="str">
        <f>IFERROR(__xludf.DUMMYFUNCTION("""COMPUTED_VALUE"""),"TRB")</f>
        <v>TRB</v>
      </c>
      <c r="K4623" s="4" t="str">
        <f>IFERROR(__xludf.DUMMYFUNCTION("""COMPUTED_VALUE"""),"AST")</f>
        <v>AST</v>
      </c>
      <c r="L4623" s="4" t="str">
        <f>IFERROR(__xludf.DUMMYFUNCTION("""COMPUTED_VALUE"""),"FG%")</f>
        <v>FG%</v>
      </c>
      <c r="M4623" s="4" t="str">
        <f>IFERROR(__xludf.DUMMYFUNCTION("""COMPUTED_VALUE"""),"3P%")</f>
        <v>3P%</v>
      </c>
      <c r="N4623" s="4" t="str">
        <f>IFERROR(__xludf.DUMMYFUNCTION("""COMPUTED_VALUE"""),"FT%")</f>
        <v>FT%</v>
      </c>
      <c r="O4623" s="4" t="str">
        <f>IFERROR(__xludf.DUMMYFUNCTION("""COMPUTED_VALUE"""),"MP")</f>
        <v>MP</v>
      </c>
      <c r="P4623" s="4" t="str">
        <f>IFERROR(__xludf.DUMMYFUNCTION("""COMPUTED_VALUE"""),"PTS")</f>
        <v>PTS</v>
      </c>
      <c r="Q4623" s="4" t="str">
        <f>IFERROR(__xludf.DUMMYFUNCTION("""COMPUTED_VALUE"""),"TRB")</f>
        <v>TRB</v>
      </c>
      <c r="R4623" s="4" t="str">
        <f>IFERROR(__xludf.DUMMYFUNCTION("""COMPUTED_VALUE"""),"AST")</f>
        <v>AST</v>
      </c>
      <c r="S4623" s="4" t="str">
        <f>IFERROR(__xludf.DUMMYFUNCTION("""COMPUTED_VALUE"""),"WS")</f>
        <v>WS</v>
      </c>
      <c r="T4623" s="4" t="str">
        <f>IFERROR(__xludf.DUMMYFUNCTION("""COMPUTED_VALUE"""),"WS/48")</f>
        <v>WS/48</v>
      </c>
      <c r="U4623" s="4" t="str">
        <f>IFERROR(__xludf.DUMMYFUNCTION("""COMPUTED_VALUE"""),"BPM")</f>
        <v>BPM</v>
      </c>
      <c r="V4623" s="4" t="str">
        <f>IFERROR(__xludf.DUMMYFUNCTION("""COMPUTED_VALUE"""),"VORP")</f>
        <v>VORP</v>
      </c>
    </row>
    <row r="4624">
      <c r="A4624" s="4">
        <f>IFERROR(__xludf.DUMMYFUNCTION("""COMPUTED_VALUE"""),153.0)</f>
        <v>153</v>
      </c>
      <c r="B4624" s="4">
        <f>IFERROR(__xludf.DUMMYFUNCTION("""COMPUTED_VALUE"""),153.0)</f>
        <v>153</v>
      </c>
      <c r="C4624" s="4" t="str">
        <f>IFERROR(__xludf.DUMMYFUNCTION("""COMPUTED_VALUE"""),"NJN")</f>
        <v>NJN</v>
      </c>
      <c r="D4624" s="4" t="str">
        <f>IFERROR(__xludf.DUMMYFUNCTION("""COMPUTED_VALUE"""),"Bruce Campbell")</f>
        <v>Bruce Campbell</v>
      </c>
      <c r="E4624" s="4" t="str">
        <f>IFERROR(__xludf.DUMMYFUNCTION("""COMPUTED_VALUE"""),"Providence")</f>
        <v>Providence</v>
      </c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</row>
    <row r="4625">
      <c r="A4625" s="4">
        <f>IFERROR(__xludf.DUMMYFUNCTION("""COMPUTED_VALUE"""),154.0)</f>
        <v>154</v>
      </c>
      <c r="B4625" s="4">
        <f>IFERROR(__xludf.DUMMYFUNCTION("""COMPUTED_VALUE"""),154.0)</f>
        <v>154</v>
      </c>
      <c r="C4625" s="4" t="str">
        <f>IFERROR(__xludf.DUMMYFUNCTION("""COMPUTED_VALUE"""),"SDC")</f>
        <v>SDC</v>
      </c>
      <c r="D4625" s="4" t="str">
        <f>IFERROR(__xludf.DUMMYFUNCTION("""COMPUTED_VALUE"""),"Felton Young")</f>
        <v>Felton Young</v>
      </c>
      <c r="E4625" s="4" t="str">
        <f>IFERROR(__xludf.DUMMYFUNCTION("""COMPUTED_VALUE"""),"Jacksonville University")</f>
        <v>Jacksonville University</v>
      </c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</row>
    <row r="4626">
      <c r="A4626" s="4">
        <f>IFERROR(__xludf.DUMMYFUNCTION("""COMPUTED_VALUE"""),155.0)</f>
        <v>155</v>
      </c>
      <c r="B4626" s="4">
        <f>IFERROR(__xludf.DUMMYFUNCTION("""COMPUTED_VALUE"""),155.0)</f>
        <v>155</v>
      </c>
      <c r="C4626" s="4" t="str">
        <f>IFERROR(__xludf.DUMMYFUNCTION("""COMPUTED_VALUE"""),"KCK")</f>
        <v>KCK</v>
      </c>
      <c r="D4626" s="4" t="str">
        <f>IFERROR(__xludf.DUMMYFUNCTION("""COMPUTED_VALUE"""),"Ron Hammye")</f>
        <v>Ron Hammye</v>
      </c>
      <c r="E4626" s="4" t="str">
        <f>IFERROR(__xludf.DUMMYFUNCTION("""COMPUTED_VALUE"""),"Bowling Green")</f>
        <v>Bowling Green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</row>
    <row r="4627">
      <c r="A4627" s="4">
        <f>IFERROR(__xludf.DUMMYFUNCTION("""COMPUTED_VALUE"""),156.0)</f>
        <v>156</v>
      </c>
      <c r="B4627" s="4">
        <f>IFERROR(__xludf.DUMMYFUNCTION("""COMPUTED_VALUE"""),156.0)</f>
        <v>156</v>
      </c>
      <c r="C4627" s="4" t="str">
        <f>IFERROR(__xludf.DUMMYFUNCTION("""COMPUTED_VALUE"""),"BOS")</f>
        <v>BOS</v>
      </c>
      <c r="D4627" s="4" t="str">
        <f>IFERROR(__xludf.DUMMYFUNCTION("""COMPUTED_VALUE"""),"Kim Fisher")</f>
        <v>Kim Fisher</v>
      </c>
      <c r="E4627" s="4" t="str">
        <f>IFERROR(__xludf.DUMMYFUNCTION("""COMPUTED_VALUE"""),"Fairfield")</f>
        <v>Fairfield</v>
      </c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</row>
    <row r="4628">
      <c r="A4628" s="4">
        <f>IFERROR(__xludf.DUMMYFUNCTION("""COMPUTED_VALUE"""),157.0)</f>
        <v>157</v>
      </c>
      <c r="B4628" s="4">
        <f>IFERROR(__xludf.DUMMYFUNCTION("""COMPUTED_VALUE"""),157.0)</f>
        <v>157</v>
      </c>
      <c r="C4628" s="4" t="str">
        <f>IFERROR(__xludf.DUMMYFUNCTION("""COMPUTED_VALUE"""),"DET")</f>
        <v>DET</v>
      </c>
      <c r="D4628" s="4" t="str">
        <f>IFERROR(__xludf.DUMMYFUNCTION("""COMPUTED_VALUE"""),"Earl Evans")</f>
        <v>Earl Evans</v>
      </c>
      <c r="E4628" s="4" t="str">
        <f>IFERROR(__xludf.DUMMYFUNCTION("""COMPUTED_VALUE"""),"UNLV")</f>
        <v>UNLV</v>
      </c>
      <c r="F4628" s="4">
        <f>IFERROR(__xludf.DUMMYFUNCTION("""COMPUTED_VALUE"""),1.0)</f>
        <v>1</v>
      </c>
      <c r="G4628" s="4">
        <f>IFERROR(__xludf.DUMMYFUNCTION("""COMPUTED_VALUE"""),36.0)</f>
        <v>36</v>
      </c>
      <c r="H4628" s="4">
        <f>IFERROR(__xludf.DUMMYFUNCTION("""COMPUTED_VALUE"""),381.0)</f>
        <v>381</v>
      </c>
      <c r="I4628" s="4">
        <f>IFERROR(__xludf.DUMMYFUNCTION("""COMPUTED_VALUE"""),157.0)</f>
        <v>157</v>
      </c>
      <c r="J4628" s="4">
        <f>IFERROR(__xludf.DUMMYFUNCTION("""COMPUTED_VALUE"""),75.0)</f>
        <v>75</v>
      </c>
      <c r="K4628" s="4">
        <f>IFERROR(__xludf.DUMMYFUNCTION("""COMPUTED_VALUE"""),37.0)</f>
        <v>37</v>
      </c>
      <c r="L4628" s="4">
        <f>IFERROR(__xludf.DUMMYFUNCTION("""COMPUTED_VALUE"""),0.45)</f>
        <v>0.45</v>
      </c>
      <c r="M4628" s="4">
        <f>IFERROR(__xludf.DUMMYFUNCTION("""COMPUTED_VALUE"""),0.389)</f>
        <v>0.389</v>
      </c>
      <c r="N4628" s="4">
        <f>IFERROR(__xludf.DUMMYFUNCTION("""COMPUTED_VALUE"""),0.571)</f>
        <v>0.571</v>
      </c>
      <c r="O4628" s="4">
        <f>IFERROR(__xludf.DUMMYFUNCTION("""COMPUTED_VALUE"""),10.6)</f>
        <v>10.6</v>
      </c>
      <c r="P4628" s="4">
        <f>IFERROR(__xludf.DUMMYFUNCTION("""COMPUTED_VALUE"""),4.4)</f>
        <v>4.4</v>
      </c>
      <c r="Q4628" s="4">
        <f>IFERROR(__xludf.DUMMYFUNCTION("""COMPUTED_VALUE"""),2.1)</f>
        <v>2.1</v>
      </c>
      <c r="R4628" s="4">
        <f>IFERROR(__xludf.DUMMYFUNCTION("""COMPUTED_VALUE"""),1.0)</f>
        <v>1</v>
      </c>
      <c r="S4628" s="4">
        <f>IFERROR(__xludf.DUMMYFUNCTION("""COMPUTED_VALUE"""),0.1)</f>
        <v>0.1</v>
      </c>
      <c r="T4628" s="4">
        <f>IFERROR(__xludf.DUMMYFUNCTION("""COMPUTED_VALUE"""),0.015)</f>
        <v>0.015</v>
      </c>
      <c r="U4628" s="4">
        <f>IFERROR(__xludf.DUMMYFUNCTION("""COMPUTED_VALUE"""),-4.0)</f>
        <v>-4</v>
      </c>
      <c r="V4628" s="4">
        <f>IFERROR(__xludf.DUMMYFUNCTION("""COMPUTED_VALUE"""),-0.2)</f>
        <v>-0.2</v>
      </c>
    </row>
    <row r="4629">
      <c r="A4629" s="4">
        <f>IFERROR(__xludf.DUMMYFUNCTION("""COMPUTED_VALUE"""),158.0)</f>
        <v>158</v>
      </c>
      <c r="B4629" s="4">
        <f>IFERROR(__xludf.DUMMYFUNCTION("""COMPUTED_VALUE"""),158.0)</f>
        <v>158</v>
      </c>
      <c r="C4629" s="4" t="str">
        <f>IFERROR(__xludf.DUMMYFUNCTION("""COMPUTED_VALUE"""),"NOJ")</f>
        <v>NOJ</v>
      </c>
      <c r="D4629" s="4" t="str">
        <f>IFERROR(__xludf.DUMMYFUNCTION("""COMPUTED_VALUE"""),"Carl Kilpatrick")</f>
        <v>Carl Kilpatrick</v>
      </c>
      <c r="E4629" s="4" t="str">
        <f>IFERROR(__xludf.DUMMYFUNCTION("""COMPUTED_VALUE"""),"Louisiana-Monroe")</f>
        <v>Louisiana-Monroe</v>
      </c>
      <c r="F4629" s="4">
        <f>IFERROR(__xludf.DUMMYFUNCTION("""COMPUTED_VALUE"""),1.0)</f>
        <v>1</v>
      </c>
      <c r="G4629" s="4">
        <f>IFERROR(__xludf.DUMMYFUNCTION("""COMPUTED_VALUE"""),2.0)</f>
        <v>2</v>
      </c>
      <c r="H4629" s="4">
        <f>IFERROR(__xludf.DUMMYFUNCTION("""COMPUTED_VALUE"""),6.0)</f>
        <v>6</v>
      </c>
      <c r="I4629" s="4">
        <f>IFERROR(__xludf.DUMMYFUNCTION("""COMPUTED_VALUE"""),3.0)</f>
        <v>3</v>
      </c>
      <c r="J4629" s="4">
        <f>IFERROR(__xludf.DUMMYFUNCTION("""COMPUTED_VALUE"""),4.0)</f>
        <v>4</v>
      </c>
      <c r="K4629" s="4">
        <f>IFERROR(__xludf.DUMMYFUNCTION("""COMPUTED_VALUE"""),0.0)</f>
        <v>0</v>
      </c>
      <c r="L4629" s="4">
        <f>IFERROR(__xludf.DUMMYFUNCTION("""COMPUTED_VALUE"""),0.5)</f>
        <v>0.5</v>
      </c>
      <c r="M4629" s="4"/>
      <c r="N4629" s="4">
        <f>IFERROR(__xludf.DUMMYFUNCTION("""COMPUTED_VALUE"""),0.5)</f>
        <v>0.5</v>
      </c>
      <c r="O4629" s="4">
        <f>IFERROR(__xludf.DUMMYFUNCTION("""COMPUTED_VALUE"""),3.0)</f>
        <v>3</v>
      </c>
      <c r="P4629" s="4">
        <f>IFERROR(__xludf.DUMMYFUNCTION("""COMPUTED_VALUE"""),1.5)</f>
        <v>1.5</v>
      </c>
      <c r="Q4629" s="4">
        <f>IFERROR(__xludf.DUMMYFUNCTION("""COMPUTED_VALUE"""),2.0)</f>
        <v>2</v>
      </c>
      <c r="R4629" s="4">
        <f>IFERROR(__xludf.DUMMYFUNCTION("""COMPUTED_VALUE"""),0.0)</f>
        <v>0</v>
      </c>
      <c r="S4629" s="4">
        <f>IFERROR(__xludf.DUMMYFUNCTION("""COMPUTED_VALUE"""),0.0)</f>
        <v>0</v>
      </c>
      <c r="T4629" s="4">
        <f>IFERROR(__xludf.DUMMYFUNCTION("""COMPUTED_VALUE"""),0.225)</f>
        <v>0.225</v>
      </c>
      <c r="U4629" s="4">
        <f>IFERROR(__xludf.DUMMYFUNCTION("""COMPUTED_VALUE"""),-4.5)</f>
        <v>-4.5</v>
      </c>
      <c r="V4629" s="4">
        <f>IFERROR(__xludf.DUMMYFUNCTION("""COMPUTED_VALUE"""),0.0)</f>
        <v>0</v>
      </c>
    </row>
    <row r="4630">
      <c r="A4630" s="4">
        <f>IFERROR(__xludf.DUMMYFUNCTION("""COMPUTED_VALUE"""),159.0)</f>
        <v>159</v>
      </c>
      <c r="B4630" s="4">
        <f>IFERROR(__xludf.DUMMYFUNCTION("""COMPUTED_VALUE"""),159.0)</f>
        <v>159</v>
      </c>
      <c r="C4630" s="4" t="str">
        <f>IFERROR(__xludf.DUMMYFUNCTION("""COMPUTED_VALUE"""),"CHI")</f>
        <v>CHI</v>
      </c>
      <c r="D4630" s="4" t="str">
        <f>IFERROR(__xludf.DUMMYFUNCTION("""COMPUTED_VALUE"""),"Chubby Cox")</f>
        <v>Chubby Cox</v>
      </c>
      <c r="E4630" s="4" t="str">
        <f>IFERROR(__xludf.DUMMYFUNCTION("""COMPUTED_VALUE"""),"San Francisco")</f>
        <v>San Francisco</v>
      </c>
      <c r="F4630" s="4">
        <f>IFERROR(__xludf.DUMMYFUNCTION("""COMPUTED_VALUE"""),1.0)</f>
        <v>1</v>
      </c>
      <c r="G4630" s="4">
        <f>IFERROR(__xludf.DUMMYFUNCTION("""COMPUTED_VALUE"""),7.0)</f>
        <v>7</v>
      </c>
      <c r="H4630" s="4">
        <f>IFERROR(__xludf.DUMMYFUNCTION("""COMPUTED_VALUE"""),78.0)</f>
        <v>78</v>
      </c>
      <c r="I4630" s="4">
        <f>IFERROR(__xludf.DUMMYFUNCTION("""COMPUTED_VALUE"""),29.0)</f>
        <v>29</v>
      </c>
      <c r="J4630" s="4">
        <f>IFERROR(__xludf.DUMMYFUNCTION("""COMPUTED_VALUE"""),10.0)</f>
        <v>10</v>
      </c>
      <c r="K4630" s="4">
        <f>IFERROR(__xludf.DUMMYFUNCTION("""COMPUTED_VALUE"""),6.0)</f>
        <v>6</v>
      </c>
      <c r="L4630" s="4">
        <f>IFERROR(__xludf.DUMMYFUNCTION("""COMPUTED_VALUE"""),0.351)</f>
        <v>0.351</v>
      </c>
      <c r="M4630" s="4">
        <f>IFERROR(__xludf.DUMMYFUNCTION("""COMPUTED_VALUE"""),0.0)</f>
        <v>0</v>
      </c>
      <c r="N4630" s="4">
        <f>IFERROR(__xludf.DUMMYFUNCTION("""COMPUTED_VALUE"""),0.5)</f>
        <v>0.5</v>
      </c>
      <c r="O4630" s="4">
        <f>IFERROR(__xludf.DUMMYFUNCTION("""COMPUTED_VALUE"""),11.1)</f>
        <v>11.1</v>
      </c>
      <c r="P4630" s="4">
        <f>IFERROR(__xludf.DUMMYFUNCTION("""COMPUTED_VALUE"""),4.1)</f>
        <v>4.1</v>
      </c>
      <c r="Q4630" s="4">
        <f>IFERROR(__xludf.DUMMYFUNCTION("""COMPUTED_VALUE"""),1.4)</f>
        <v>1.4</v>
      </c>
      <c r="R4630" s="4">
        <f>IFERROR(__xludf.DUMMYFUNCTION("""COMPUTED_VALUE"""),0.9)</f>
        <v>0.9</v>
      </c>
      <c r="S4630" s="4">
        <f>IFERROR(__xludf.DUMMYFUNCTION("""COMPUTED_VALUE"""),-0.2)</f>
        <v>-0.2</v>
      </c>
      <c r="T4630" s="4">
        <f>IFERROR(__xludf.DUMMYFUNCTION("""COMPUTED_VALUE"""),-0.127)</f>
        <v>-0.127</v>
      </c>
      <c r="U4630" s="4">
        <f>IFERROR(__xludf.DUMMYFUNCTION("""COMPUTED_VALUE"""),-6.6)</f>
        <v>-6.6</v>
      </c>
      <c r="V4630" s="4">
        <f>IFERROR(__xludf.DUMMYFUNCTION("""COMPUTED_VALUE"""),-0.2)</f>
        <v>-0.2</v>
      </c>
    </row>
    <row r="4631">
      <c r="A4631" s="4">
        <f>IFERROR(__xludf.DUMMYFUNCTION("""COMPUTED_VALUE"""),160.0)</f>
        <v>160</v>
      </c>
      <c r="B4631" s="4">
        <f>IFERROR(__xludf.DUMMYFUNCTION("""COMPUTED_VALUE"""),160.0)</f>
        <v>160</v>
      </c>
      <c r="C4631" s="4" t="str">
        <f>IFERROR(__xludf.DUMMYFUNCTION("""COMPUTED_VALUE"""),"ATL")</f>
        <v>ATL</v>
      </c>
      <c r="D4631" s="4" t="str">
        <f>IFERROR(__xludf.DUMMYFUNCTION("""COMPUTED_VALUE"""),"Ed Murphy")</f>
        <v>Ed Murphy</v>
      </c>
      <c r="E4631" s="4" t="str">
        <f>IFERROR(__xludf.DUMMYFUNCTION("""COMPUTED_VALUE"""),"Merrimack College")</f>
        <v>Merrimack College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</row>
    <row r="4632">
      <c r="A4632" s="4">
        <f>IFERROR(__xludf.DUMMYFUNCTION("""COMPUTED_VALUE"""),161.0)</f>
        <v>161</v>
      </c>
      <c r="B4632" s="4">
        <f>IFERROR(__xludf.DUMMYFUNCTION("""COMPUTED_VALUE"""),161.0)</f>
        <v>161</v>
      </c>
      <c r="C4632" s="4" t="str">
        <f>IFERROR(__xludf.DUMMYFUNCTION("""COMPUTED_VALUE"""),"CLE")</f>
        <v>CLE</v>
      </c>
      <c r="D4632" s="4" t="str">
        <f>IFERROR(__xludf.DUMMYFUNCTION("""COMPUTED_VALUE"""),"Roland Martin")</f>
        <v>Roland Martin</v>
      </c>
      <c r="E4632" s="4" t="str">
        <f>IFERROR(__xludf.DUMMYFUNCTION("""COMPUTED_VALUE"""),"Missouri Southern State")</f>
        <v>Missouri Southern State</v>
      </c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</row>
    <row r="4633">
      <c r="A4633" s="4">
        <f>IFERROR(__xludf.DUMMYFUNCTION("""COMPUTED_VALUE"""),162.0)</f>
        <v>162</v>
      </c>
      <c r="B4633" s="4">
        <f>IFERROR(__xludf.DUMMYFUNCTION("""COMPUTED_VALUE"""),162.0)</f>
        <v>162</v>
      </c>
      <c r="C4633" s="4" t="str">
        <f>IFERROR(__xludf.DUMMYFUNCTION("""COMPUTED_VALUE"""),"NYK")</f>
        <v>NYK</v>
      </c>
      <c r="D4633" s="4" t="str">
        <f>IFERROR(__xludf.DUMMYFUNCTION("""COMPUTED_VALUE"""),"Greg Sanders")</f>
        <v>Greg Sanders</v>
      </c>
      <c r="E4633" s="4" t="str">
        <f>IFERROR(__xludf.DUMMYFUNCTION("""COMPUTED_VALUE"""),"St. Bonaventure")</f>
        <v>St. Bonaventure</v>
      </c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</row>
    <row r="4634">
      <c r="A4634" s="4">
        <f>IFERROR(__xludf.DUMMYFUNCTION("""COMPUTED_VALUE"""),163.0)</f>
        <v>163</v>
      </c>
      <c r="B4634" s="4">
        <f>IFERROR(__xludf.DUMMYFUNCTION("""COMPUTED_VALUE"""),163.0)</f>
        <v>163</v>
      </c>
      <c r="C4634" s="4" t="str">
        <f>IFERROR(__xludf.DUMMYFUNCTION("""COMPUTED_VALUE"""),"GSW")</f>
        <v>GSW</v>
      </c>
      <c r="D4634" s="4" t="str">
        <f>IFERROR(__xludf.DUMMYFUNCTION("""COMPUTED_VALUE"""),"Tony Searcy")</f>
        <v>Tony Searcy</v>
      </c>
      <c r="E4634" s="4" t="str">
        <f>IFERROR(__xludf.DUMMYFUNCTION("""COMPUTED_VALUE"""),"Appalachian State University")</f>
        <v>Appalachian State University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</row>
    <row r="4635">
      <c r="A4635" s="4">
        <f>IFERROR(__xludf.DUMMYFUNCTION("""COMPUTED_VALUE"""),164.0)</f>
        <v>164</v>
      </c>
      <c r="B4635" s="4">
        <f>IFERROR(__xludf.DUMMYFUNCTION("""COMPUTED_VALUE"""),164.0)</f>
        <v>164</v>
      </c>
      <c r="C4635" s="4" t="str">
        <f>IFERROR(__xludf.DUMMYFUNCTION("""COMPUTED_VALUE"""),"MIL")</f>
        <v>MIL</v>
      </c>
      <c r="D4635" s="4" t="str">
        <f>IFERROR(__xludf.DUMMYFUNCTION("""COMPUTED_VALUE"""),"Tom Zaliagiris")</f>
        <v>Tom Zaliagiris</v>
      </c>
      <c r="E4635" s="4" t="str">
        <f>IFERROR(__xludf.DUMMYFUNCTION("""COMPUTED_VALUE"""),"UNC")</f>
        <v>UNC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</row>
    <row r="4636">
      <c r="A4636" s="4">
        <f>IFERROR(__xludf.DUMMYFUNCTION("""COMPUTED_VALUE"""),165.0)</f>
        <v>165</v>
      </c>
      <c r="B4636" s="4">
        <f>IFERROR(__xludf.DUMMYFUNCTION("""COMPUTED_VALUE"""),165.0)</f>
        <v>165</v>
      </c>
      <c r="C4636" s="4" t="str">
        <f>IFERROR(__xludf.DUMMYFUNCTION("""COMPUTED_VALUE"""),"WSB")</f>
        <v>WSB</v>
      </c>
      <c r="D4636" s="4" t="str">
        <f>IFERROR(__xludf.DUMMYFUNCTION("""COMPUTED_VALUE"""),"Nestor Cora")</f>
        <v>Nestor Cora</v>
      </c>
      <c r="E4636" s="4" t="str">
        <f>IFERROR(__xludf.DUMMYFUNCTION("""COMPUTED_VALUE"""),"St. Francis College")</f>
        <v>St. Francis College</v>
      </c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</row>
    <row r="4637">
      <c r="A4637" s="4">
        <f>IFERROR(__xludf.DUMMYFUNCTION("""COMPUTED_VALUE"""),166.0)</f>
        <v>166</v>
      </c>
      <c r="B4637" s="4">
        <f>IFERROR(__xludf.DUMMYFUNCTION("""COMPUTED_VALUE"""),166.0)</f>
        <v>166</v>
      </c>
      <c r="C4637" s="4" t="str">
        <f>IFERROR(__xludf.DUMMYFUNCTION("""COMPUTED_VALUE"""),"DEN")</f>
        <v>DEN</v>
      </c>
      <c r="D4637" s="4" t="str">
        <f>IFERROR(__xludf.DUMMYFUNCTION("""COMPUTED_VALUE"""),"Larry Vaculik")</f>
        <v>Larry Vaculik</v>
      </c>
      <c r="E4637" s="4" t="str">
        <f>IFERROR(__xludf.DUMMYFUNCTION("""COMPUTED_VALUE"""),"Colorado")</f>
        <v>Colorado</v>
      </c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</row>
    <row r="4638">
      <c r="A4638" s="4">
        <f>IFERROR(__xludf.DUMMYFUNCTION("""COMPUTED_VALUE"""),167.0)</f>
        <v>167</v>
      </c>
      <c r="B4638" s="4">
        <f>IFERROR(__xludf.DUMMYFUNCTION("""COMPUTED_VALUE"""),167.0)</f>
        <v>167</v>
      </c>
      <c r="C4638" s="4" t="str">
        <f>IFERROR(__xludf.DUMMYFUNCTION("""COMPUTED_VALUE"""),"PHO")</f>
        <v>PHO</v>
      </c>
      <c r="D4638" s="4" t="str">
        <f>IFERROR(__xludf.DUMMYFUNCTION("""COMPUTED_VALUE"""),"George Fowler")</f>
        <v>George Fowler</v>
      </c>
      <c r="E4638" s="4" t="str">
        <f>IFERROR(__xludf.DUMMYFUNCTION("""COMPUTED_VALUE"""),"University of the Pacific")</f>
        <v>University of the Pacific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</row>
    <row r="4639">
      <c r="A4639" s="4">
        <f>IFERROR(__xludf.DUMMYFUNCTION("""COMPUTED_VALUE"""),168.0)</f>
        <v>168</v>
      </c>
      <c r="B4639" s="4">
        <f>IFERROR(__xludf.DUMMYFUNCTION("""COMPUTED_VALUE"""),168.0)</f>
        <v>168</v>
      </c>
      <c r="C4639" s="4" t="str">
        <f>IFERROR(__xludf.DUMMYFUNCTION("""COMPUTED_VALUE"""),"SAS")</f>
        <v>SAS</v>
      </c>
      <c r="D4639" s="4" t="str">
        <f>IFERROR(__xludf.DUMMYFUNCTION("""COMPUTED_VALUE"""),"Henry Taylor")</f>
        <v>Henry Taylor</v>
      </c>
      <c r="E4639" s="4" t="str">
        <f>IFERROR(__xludf.DUMMYFUNCTION("""COMPUTED_VALUE"""),"University of Texas Rio Grande Valley")</f>
        <v>University of Texas Rio Grande Valley</v>
      </c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</row>
    <row r="4640">
      <c r="A4640" s="4">
        <f>IFERROR(__xludf.DUMMYFUNCTION("""COMPUTED_VALUE"""),169.0)</f>
        <v>169</v>
      </c>
      <c r="B4640" s="4">
        <f>IFERROR(__xludf.DUMMYFUNCTION("""COMPUTED_VALUE"""),169.0)</f>
        <v>169</v>
      </c>
      <c r="C4640" s="4" t="str">
        <f>IFERROR(__xludf.DUMMYFUNCTION("""COMPUTED_VALUE"""),"PHI")</f>
        <v>PHI</v>
      </c>
      <c r="D4640" s="4" t="str">
        <f>IFERROR(__xludf.DUMMYFUNCTION("""COMPUTED_VALUE"""),"Alan Cunningham")</f>
        <v>Alan Cunningham</v>
      </c>
      <c r="E4640" s="4" t="str">
        <f>IFERROR(__xludf.DUMMYFUNCTION("""COMPUTED_VALUE"""),"Colorado State")</f>
        <v>Colorado State</v>
      </c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</row>
    <row r="4641">
      <c r="A4641" s="4">
        <f>IFERROR(__xludf.DUMMYFUNCTION("""COMPUTED_VALUE"""),170.0)</f>
        <v>170</v>
      </c>
      <c r="B4641" s="4">
        <f>IFERROR(__xludf.DUMMYFUNCTION("""COMPUTED_VALUE"""),170.0)</f>
        <v>170</v>
      </c>
      <c r="C4641" s="4" t="str">
        <f>IFERROR(__xludf.DUMMYFUNCTION("""COMPUTED_VALUE"""),"POR")</f>
        <v>POR</v>
      </c>
      <c r="D4641" s="4" t="str">
        <f>IFERROR(__xludf.DUMMYFUNCTION("""COMPUTED_VALUE"""),"Mark Wickman")</f>
        <v>Mark Wickman</v>
      </c>
      <c r="E4641" s="4" t="str">
        <f>IFERROR(__xludf.DUMMYFUNCTION("""COMPUTED_VALUE"""),"Linfield College")</f>
        <v>Linfield College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</row>
    <row r="4642">
      <c r="A4642" s="4"/>
      <c r="B4642" s="4"/>
      <c r="C4642" s="4"/>
      <c r="D4642" s="4" t="str">
        <f>IFERROR(__xludf.DUMMYFUNCTION("""COMPUTED_VALUE"""),"Round 9")</f>
        <v>Round 9</v>
      </c>
      <c r="E4642" s="4"/>
      <c r="F4642" s="4"/>
      <c r="G4642" s="4" t="str">
        <f>IFERROR(__xludf.DUMMYFUNCTION("""COMPUTED_VALUE"""),"Totals")</f>
        <v>Totals</v>
      </c>
      <c r="H4642" s="4"/>
      <c r="I4642" s="4"/>
      <c r="J4642" s="4"/>
      <c r="K4642" s="4"/>
      <c r="L4642" s="4" t="str">
        <f>IFERROR(__xludf.DUMMYFUNCTION("""COMPUTED_VALUE"""),"Shooting")</f>
        <v>Shooting</v>
      </c>
      <c r="M4642" s="4"/>
      <c r="N4642" s="4"/>
      <c r="O4642" s="4" t="str">
        <f>IFERROR(__xludf.DUMMYFUNCTION("""COMPUTED_VALUE"""),"Per Game")</f>
        <v>Per Game</v>
      </c>
      <c r="P4642" s="4"/>
      <c r="Q4642" s="4"/>
      <c r="R4642" s="4"/>
      <c r="S4642" s="4" t="str">
        <f>IFERROR(__xludf.DUMMYFUNCTION("""COMPUTED_VALUE"""),"Advanced")</f>
        <v>Advanced</v>
      </c>
      <c r="T4642" s="4"/>
      <c r="U4642" s="4"/>
      <c r="V4642" s="4"/>
    </row>
    <row r="4643">
      <c r="A4643" s="4" t="str">
        <f>IFERROR(__xludf.DUMMYFUNCTION("""COMPUTED_VALUE"""),"Rk")</f>
        <v>Rk</v>
      </c>
      <c r="B4643" s="4" t="str">
        <f>IFERROR(__xludf.DUMMYFUNCTION("""COMPUTED_VALUE"""),"Pk")</f>
        <v>Pk</v>
      </c>
      <c r="C4643" s="4" t="str">
        <f>IFERROR(__xludf.DUMMYFUNCTION("""COMPUTED_VALUE"""),"Tm")</f>
        <v>Tm</v>
      </c>
      <c r="D4643" s="4" t="str">
        <f>IFERROR(__xludf.DUMMYFUNCTION("""COMPUTED_VALUE"""),"Player")</f>
        <v>Player</v>
      </c>
      <c r="E4643" s="4" t="str">
        <f>IFERROR(__xludf.DUMMYFUNCTION("""COMPUTED_VALUE"""),"College")</f>
        <v>College</v>
      </c>
      <c r="F4643" s="4" t="str">
        <f>IFERROR(__xludf.DUMMYFUNCTION("""COMPUTED_VALUE"""),"Yrs")</f>
        <v>Yrs</v>
      </c>
      <c r="G4643" s="4" t="str">
        <f>IFERROR(__xludf.DUMMYFUNCTION("""COMPUTED_VALUE"""),"G")</f>
        <v>G</v>
      </c>
      <c r="H4643" s="4" t="str">
        <f>IFERROR(__xludf.DUMMYFUNCTION("""COMPUTED_VALUE"""),"MP")</f>
        <v>MP</v>
      </c>
      <c r="I4643" s="4" t="str">
        <f>IFERROR(__xludf.DUMMYFUNCTION("""COMPUTED_VALUE"""),"PTS")</f>
        <v>PTS</v>
      </c>
      <c r="J4643" s="4" t="str">
        <f>IFERROR(__xludf.DUMMYFUNCTION("""COMPUTED_VALUE"""),"TRB")</f>
        <v>TRB</v>
      </c>
      <c r="K4643" s="4" t="str">
        <f>IFERROR(__xludf.DUMMYFUNCTION("""COMPUTED_VALUE"""),"AST")</f>
        <v>AST</v>
      </c>
      <c r="L4643" s="4" t="str">
        <f>IFERROR(__xludf.DUMMYFUNCTION("""COMPUTED_VALUE"""),"FG%")</f>
        <v>FG%</v>
      </c>
      <c r="M4643" s="4" t="str">
        <f>IFERROR(__xludf.DUMMYFUNCTION("""COMPUTED_VALUE"""),"3P%")</f>
        <v>3P%</v>
      </c>
      <c r="N4643" s="4" t="str">
        <f>IFERROR(__xludf.DUMMYFUNCTION("""COMPUTED_VALUE"""),"FT%")</f>
        <v>FT%</v>
      </c>
      <c r="O4643" s="4" t="str">
        <f>IFERROR(__xludf.DUMMYFUNCTION("""COMPUTED_VALUE"""),"MP")</f>
        <v>MP</v>
      </c>
      <c r="P4643" s="4" t="str">
        <f>IFERROR(__xludf.DUMMYFUNCTION("""COMPUTED_VALUE"""),"PTS")</f>
        <v>PTS</v>
      </c>
      <c r="Q4643" s="4" t="str">
        <f>IFERROR(__xludf.DUMMYFUNCTION("""COMPUTED_VALUE"""),"TRB")</f>
        <v>TRB</v>
      </c>
      <c r="R4643" s="4" t="str">
        <f>IFERROR(__xludf.DUMMYFUNCTION("""COMPUTED_VALUE"""),"AST")</f>
        <v>AST</v>
      </c>
      <c r="S4643" s="4" t="str">
        <f>IFERROR(__xludf.DUMMYFUNCTION("""COMPUTED_VALUE"""),"WS")</f>
        <v>WS</v>
      </c>
      <c r="T4643" s="4" t="str">
        <f>IFERROR(__xludf.DUMMYFUNCTION("""COMPUTED_VALUE"""),"WS/48")</f>
        <v>WS/48</v>
      </c>
      <c r="U4643" s="4" t="str">
        <f>IFERROR(__xludf.DUMMYFUNCTION("""COMPUTED_VALUE"""),"BPM")</f>
        <v>BPM</v>
      </c>
      <c r="V4643" s="4" t="str">
        <f>IFERROR(__xludf.DUMMYFUNCTION("""COMPUTED_VALUE"""),"VORP")</f>
        <v>VORP</v>
      </c>
    </row>
    <row r="4644">
      <c r="A4644" s="4">
        <f>IFERROR(__xludf.DUMMYFUNCTION("""COMPUTED_VALUE"""),171.0)</f>
        <v>171</v>
      </c>
      <c r="B4644" s="4">
        <f>IFERROR(__xludf.DUMMYFUNCTION("""COMPUTED_VALUE"""),171.0)</f>
        <v>171</v>
      </c>
      <c r="C4644" s="4" t="str">
        <f>IFERROR(__xludf.DUMMYFUNCTION("""COMPUTED_VALUE"""),"NJN")</f>
        <v>NJN</v>
      </c>
      <c r="D4644" s="4" t="str">
        <f>IFERROR(__xludf.DUMMYFUNCTION("""COMPUTED_VALUE"""),"Frank Sowinski")</f>
        <v>Frank Sowinski</v>
      </c>
      <c r="E4644" s="4" t="str">
        <f>IFERROR(__xludf.DUMMYFUNCTION("""COMPUTED_VALUE"""),"Princeton")</f>
        <v>Princeton</v>
      </c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</row>
    <row r="4645">
      <c r="A4645" s="4">
        <f>IFERROR(__xludf.DUMMYFUNCTION("""COMPUTED_VALUE"""),172.0)</f>
        <v>172</v>
      </c>
      <c r="B4645" s="4">
        <f>IFERROR(__xludf.DUMMYFUNCTION("""COMPUTED_VALUE"""),172.0)</f>
        <v>172</v>
      </c>
      <c r="C4645" s="4" t="str">
        <f>IFERROR(__xludf.DUMMYFUNCTION("""COMPUTED_VALUE"""),"SDC")</f>
        <v>SDC</v>
      </c>
      <c r="D4645" s="4" t="str">
        <f>IFERROR(__xludf.DUMMYFUNCTION("""COMPUTED_VALUE"""),"Bobby White")</f>
        <v>Bobby White</v>
      </c>
      <c r="E4645" s="4" t="str">
        <f>IFERROR(__xludf.DUMMYFUNCTION("""COMPUTED_VALUE"""),"Centenary (LA)")</f>
        <v>Centenary (LA)</v>
      </c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</row>
    <row r="4646">
      <c r="A4646" s="4">
        <f>IFERROR(__xludf.DUMMYFUNCTION("""COMPUTED_VALUE"""),173.0)</f>
        <v>173</v>
      </c>
      <c r="B4646" s="4">
        <f>IFERROR(__xludf.DUMMYFUNCTION("""COMPUTED_VALUE"""),173.0)</f>
        <v>173</v>
      </c>
      <c r="C4646" s="4" t="str">
        <f>IFERROR(__xludf.DUMMYFUNCTION("""COMPUTED_VALUE"""),"BOS")</f>
        <v>BOS</v>
      </c>
      <c r="D4646" s="4" t="str">
        <f>IFERROR(__xludf.DUMMYFUNCTION("""COMPUTED_VALUE"""),"Les Anderson")</f>
        <v>Les Anderson</v>
      </c>
      <c r="E4646" s="4" t="str">
        <f>IFERROR(__xludf.DUMMYFUNCTION("""COMPUTED_VALUE"""),"George Washington")</f>
        <v>George Washington</v>
      </c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</row>
    <row r="4647">
      <c r="A4647" s="4">
        <f>IFERROR(__xludf.DUMMYFUNCTION("""COMPUTED_VALUE"""),174.0)</f>
        <v>174</v>
      </c>
      <c r="B4647" s="4">
        <f>IFERROR(__xludf.DUMMYFUNCTION("""COMPUTED_VALUE"""),174.0)</f>
        <v>174</v>
      </c>
      <c r="C4647" s="4" t="str">
        <f>IFERROR(__xludf.DUMMYFUNCTION("""COMPUTED_VALUE"""),"DET")</f>
        <v>DET</v>
      </c>
      <c r="D4647" s="4" t="str">
        <f>IFERROR(__xludf.DUMMYFUNCTION("""COMPUTED_VALUE"""),"Ulice Payne")</f>
        <v>Ulice Payne</v>
      </c>
      <c r="E4647" s="4" t="str">
        <f>IFERROR(__xludf.DUMMYFUNCTION("""COMPUTED_VALUE"""),"Marquette")</f>
        <v>Marquette</v>
      </c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</row>
    <row r="4648">
      <c r="A4648" s="4">
        <f>IFERROR(__xludf.DUMMYFUNCTION("""COMPUTED_VALUE"""),175.0)</f>
        <v>175</v>
      </c>
      <c r="B4648" s="4">
        <f>IFERROR(__xludf.DUMMYFUNCTION("""COMPUTED_VALUE"""),175.0)</f>
        <v>175</v>
      </c>
      <c r="C4648" s="4" t="str">
        <f>IFERROR(__xludf.DUMMYFUNCTION("""COMPUTED_VALUE"""),"NOJ")</f>
        <v>NOJ</v>
      </c>
      <c r="D4648" s="4" t="str">
        <f>IFERROR(__xludf.DUMMYFUNCTION("""COMPUTED_VALUE"""),"Chad Nelson")</f>
        <v>Chad Nelson</v>
      </c>
      <c r="E4648" s="4" t="str">
        <f>IFERROR(__xludf.DUMMYFUNCTION("""COMPUTED_VALUE"""),"Drake University")</f>
        <v>Drake University</v>
      </c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</row>
    <row r="4649">
      <c r="A4649" s="4">
        <f>IFERROR(__xludf.DUMMYFUNCTION("""COMPUTED_VALUE"""),176.0)</f>
        <v>176</v>
      </c>
      <c r="B4649" s="4">
        <f>IFERROR(__xludf.DUMMYFUNCTION("""COMPUTED_VALUE"""),176.0)</f>
        <v>176</v>
      </c>
      <c r="C4649" s="4" t="str">
        <f>IFERROR(__xludf.DUMMYFUNCTION("""COMPUTED_VALUE"""),"CHI")</f>
        <v>CHI</v>
      </c>
      <c r="D4649" s="4" t="str">
        <f>IFERROR(__xludf.DUMMYFUNCTION("""COMPUTED_VALUE"""),"Joe Ponsetto")</f>
        <v>Joe Ponsetto</v>
      </c>
      <c r="E4649" s="4" t="str">
        <f>IFERROR(__xludf.DUMMYFUNCTION("""COMPUTED_VALUE"""),"DePaul")</f>
        <v>DePaul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</row>
    <row r="4650">
      <c r="A4650" s="4">
        <f>IFERROR(__xludf.DUMMYFUNCTION("""COMPUTED_VALUE"""),177.0)</f>
        <v>177</v>
      </c>
      <c r="B4650" s="4">
        <f>IFERROR(__xludf.DUMMYFUNCTION("""COMPUTED_VALUE"""),177.0)</f>
        <v>177</v>
      </c>
      <c r="C4650" s="4" t="str">
        <f>IFERROR(__xludf.DUMMYFUNCTION("""COMPUTED_VALUE"""),"ATL")</f>
        <v>ATL</v>
      </c>
      <c r="D4650" s="4" t="str">
        <f>IFERROR(__xludf.DUMMYFUNCTION("""COMPUTED_VALUE"""),"Maurice Robinson")</f>
        <v>Maurice Robinson</v>
      </c>
      <c r="E4650" s="4" t="str">
        <f>IFERROR(__xludf.DUMMYFUNCTION("""COMPUTED_VALUE"""),"West Virginia")</f>
        <v>West Virginia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</row>
    <row r="4651">
      <c r="A4651" s="4">
        <f>IFERROR(__xludf.DUMMYFUNCTION("""COMPUTED_VALUE"""),178.0)</f>
        <v>178</v>
      </c>
      <c r="B4651" s="4">
        <f>IFERROR(__xludf.DUMMYFUNCTION("""COMPUTED_VALUE"""),178.0)</f>
        <v>178</v>
      </c>
      <c r="C4651" s="4" t="str">
        <f>IFERROR(__xludf.DUMMYFUNCTION("""COMPUTED_VALUE"""),"NYK")</f>
        <v>NYK</v>
      </c>
      <c r="D4651" s="4" t="str">
        <f>IFERROR(__xludf.DUMMYFUNCTION("""COMPUTED_VALUE"""),"Denny Fields")</f>
        <v>Denny Fields</v>
      </c>
      <c r="E4651" s="4" t="str">
        <f>IFERROR(__xludf.DUMMYFUNCTION("""COMPUTED_VALUE"""),"UNC Wilmington")</f>
        <v>UNC Wilmington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</row>
    <row r="4652">
      <c r="A4652" s="4">
        <f>IFERROR(__xludf.DUMMYFUNCTION("""COMPUTED_VALUE"""),179.0)</f>
        <v>179</v>
      </c>
      <c r="B4652" s="4">
        <f>IFERROR(__xludf.DUMMYFUNCTION("""COMPUTED_VALUE"""),179.0)</f>
        <v>179</v>
      </c>
      <c r="C4652" s="4" t="str">
        <f>IFERROR(__xludf.DUMMYFUNCTION("""COMPUTED_VALUE"""),"GSW")</f>
        <v>GSW</v>
      </c>
      <c r="D4652" s="4" t="str">
        <f>IFERROR(__xludf.DUMMYFUNCTION("""COMPUTED_VALUE"""),"Bobby Humbles")</f>
        <v>Bobby Humbles</v>
      </c>
      <c r="E4652" s="4" t="str">
        <f>IFERROR(__xludf.DUMMYFUNCTION("""COMPUTED_VALUE"""),"Bradley")</f>
        <v>Bradley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</row>
    <row r="4653">
      <c r="A4653" s="4">
        <f>IFERROR(__xludf.DUMMYFUNCTION("""COMPUTED_VALUE"""),180.0)</f>
        <v>180</v>
      </c>
      <c r="B4653" s="4">
        <f>IFERROR(__xludf.DUMMYFUNCTION("""COMPUTED_VALUE"""),180.0)</f>
        <v>180</v>
      </c>
      <c r="C4653" s="4" t="str">
        <f>IFERROR(__xludf.DUMMYFUNCTION("""COMPUTED_VALUE"""),"CLE")</f>
        <v>CLE</v>
      </c>
      <c r="D4653" s="4" t="str">
        <f>IFERROR(__xludf.DUMMYFUNCTION("""COMPUTED_VALUE"""),"Steve Bayless")</f>
        <v>Steve Bayless</v>
      </c>
      <c r="E4653" s="4" t="str">
        <f>IFERROR(__xludf.DUMMYFUNCTION("""COMPUTED_VALUE"""),"Central State University")</f>
        <v>Central State University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</row>
    <row r="4654">
      <c r="A4654" s="4">
        <f>IFERROR(__xludf.DUMMYFUNCTION("""COMPUTED_VALUE"""),181.0)</f>
        <v>181</v>
      </c>
      <c r="B4654" s="4">
        <f>IFERROR(__xludf.DUMMYFUNCTION("""COMPUTED_VALUE"""),181.0)</f>
        <v>181</v>
      </c>
      <c r="C4654" s="4" t="str">
        <f>IFERROR(__xludf.DUMMYFUNCTION("""COMPUTED_VALUE"""),"WSB")</f>
        <v>WSB</v>
      </c>
      <c r="D4654" s="4" t="str">
        <f>IFERROR(__xludf.DUMMYFUNCTION("""COMPUTED_VALUE"""),"Tim Claxton")</f>
        <v>Tim Claxton</v>
      </c>
      <c r="E4654" s="4" t="str">
        <f>IFERROR(__xludf.DUMMYFUNCTION("""COMPUTED_VALUE"""),"Temple")</f>
        <v>Temple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</row>
    <row r="4655">
      <c r="A4655" s="4">
        <f>IFERROR(__xludf.DUMMYFUNCTION("""COMPUTED_VALUE"""),182.0)</f>
        <v>182</v>
      </c>
      <c r="B4655" s="4">
        <f>IFERROR(__xludf.DUMMYFUNCTION("""COMPUTED_VALUE"""),182.0)</f>
        <v>182</v>
      </c>
      <c r="C4655" s="4" t="str">
        <f>IFERROR(__xludf.DUMMYFUNCTION("""COMPUTED_VALUE"""),"MIL")</f>
        <v>MIL</v>
      </c>
      <c r="D4655" s="4" t="str">
        <f>IFERROR(__xludf.DUMMYFUNCTION("""COMPUTED_VALUE"""),"Gary Rosenberger")</f>
        <v>Gary Rosenberger</v>
      </c>
      <c r="E4655" s="4" t="str">
        <f>IFERROR(__xludf.DUMMYFUNCTION("""COMPUTED_VALUE"""),"Marquette")</f>
        <v>Marquette</v>
      </c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</row>
    <row r="4656">
      <c r="A4656" s="4">
        <f>IFERROR(__xludf.DUMMYFUNCTION("""COMPUTED_VALUE"""),183.0)</f>
        <v>183</v>
      </c>
      <c r="B4656" s="4">
        <f>IFERROR(__xludf.DUMMYFUNCTION("""COMPUTED_VALUE"""),183.0)</f>
        <v>183</v>
      </c>
      <c r="C4656" s="4" t="str">
        <f>IFERROR(__xludf.DUMMYFUNCTION("""COMPUTED_VALUE"""),"DEN")</f>
        <v>DEN</v>
      </c>
      <c r="D4656" s="4" t="str">
        <f>IFERROR(__xludf.DUMMYFUNCTION("""COMPUTED_VALUE"""),"Tom Schneeberger")</f>
        <v>Tom Schneeberger</v>
      </c>
      <c r="E4656" s="4" t="str">
        <f>IFERROR(__xludf.DUMMYFUNCTION("""COMPUTED_VALUE"""),"Air Force")</f>
        <v>Air Force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</row>
    <row r="4657">
      <c r="A4657" s="4">
        <f>IFERROR(__xludf.DUMMYFUNCTION("""COMPUTED_VALUE"""),184.0)</f>
        <v>184</v>
      </c>
      <c r="B4657" s="4">
        <f>IFERROR(__xludf.DUMMYFUNCTION("""COMPUTED_VALUE"""),184.0)</f>
        <v>184</v>
      </c>
      <c r="C4657" s="4" t="str">
        <f>IFERROR(__xludf.DUMMYFUNCTION("""COMPUTED_VALUE"""),"PHO")</f>
        <v>PHO</v>
      </c>
      <c r="D4657" s="4" t="str">
        <f>IFERROR(__xludf.DUMMYFUNCTION("""COMPUTED_VALUE"""),"Nate Stokes")</f>
        <v>Nate Stokes</v>
      </c>
      <c r="E4657" s="4" t="str">
        <f>IFERROR(__xludf.DUMMYFUNCTION("""COMPUTED_VALUE"""),"Grand Canyon University")</f>
        <v>Grand Canyon University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</row>
    <row r="4658">
      <c r="A4658" s="4">
        <f>IFERROR(__xludf.DUMMYFUNCTION("""COMPUTED_VALUE"""),185.0)</f>
        <v>185</v>
      </c>
      <c r="B4658" s="4">
        <f>IFERROR(__xludf.DUMMYFUNCTION("""COMPUTED_VALUE"""),185.0)</f>
        <v>185</v>
      </c>
      <c r="C4658" s="4" t="str">
        <f>IFERROR(__xludf.DUMMYFUNCTION("""COMPUTED_VALUE"""),"SAS")</f>
        <v>SAS</v>
      </c>
      <c r="D4658" s="4" t="str">
        <f>IFERROR(__xludf.DUMMYFUNCTION("""COMPUTED_VALUE"""),"Rick Taylor")</f>
        <v>Rick Taylor</v>
      </c>
      <c r="E4658" s="4" t="str">
        <f>IFERROR(__xludf.DUMMYFUNCTION("""COMPUTED_VALUE"""),"Arizona State")</f>
        <v>Arizona State</v>
      </c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</row>
    <row r="4659">
      <c r="A4659" s="4">
        <f>IFERROR(__xludf.DUMMYFUNCTION("""COMPUTED_VALUE"""),186.0)</f>
        <v>186</v>
      </c>
      <c r="B4659" s="4">
        <f>IFERROR(__xludf.DUMMYFUNCTION("""COMPUTED_VALUE"""),186.0)</f>
        <v>186</v>
      </c>
      <c r="C4659" s="4" t="str">
        <f>IFERROR(__xludf.DUMMYFUNCTION("""COMPUTED_VALUE"""),"POR")</f>
        <v>POR</v>
      </c>
      <c r="D4659" s="4" t="str">
        <f>IFERROR(__xludf.DUMMYFUNCTION("""COMPUTED_VALUE"""),"Paul Cozens")</f>
        <v>Paul Cozens</v>
      </c>
      <c r="E4659" s="4" t="str">
        <f>IFERROR(__xludf.DUMMYFUNCTION("""COMPUTED_VALUE"""),"Holy Cross")</f>
        <v>Holy Cross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</row>
    <row r="4660">
      <c r="A4660" s="4"/>
      <c r="B4660" s="4"/>
      <c r="C4660" s="4"/>
      <c r="D4660" s="4" t="str">
        <f>IFERROR(__xludf.DUMMYFUNCTION("""COMPUTED_VALUE"""),"Round 10")</f>
        <v>Round 10</v>
      </c>
      <c r="E4660" s="4"/>
      <c r="F4660" s="4"/>
      <c r="G4660" s="4" t="str">
        <f>IFERROR(__xludf.DUMMYFUNCTION("""COMPUTED_VALUE"""),"Totals")</f>
        <v>Totals</v>
      </c>
      <c r="H4660" s="4"/>
      <c r="I4660" s="4"/>
      <c r="J4660" s="4"/>
      <c r="K4660" s="4"/>
      <c r="L4660" s="4" t="str">
        <f>IFERROR(__xludf.DUMMYFUNCTION("""COMPUTED_VALUE"""),"Shooting")</f>
        <v>Shooting</v>
      </c>
      <c r="M4660" s="4"/>
      <c r="N4660" s="4"/>
      <c r="O4660" s="4" t="str">
        <f>IFERROR(__xludf.DUMMYFUNCTION("""COMPUTED_VALUE"""),"Per Game")</f>
        <v>Per Game</v>
      </c>
      <c r="P4660" s="4"/>
      <c r="Q4660" s="4"/>
      <c r="R4660" s="4"/>
      <c r="S4660" s="4" t="str">
        <f>IFERROR(__xludf.DUMMYFUNCTION("""COMPUTED_VALUE"""),"Advanced")</f>
        <v>Advanced</v>
      </c>
      <c r="T4660" s="4"/>
      <c r="U4660" s="4"/>
      <c r="V4660" s="4"/>
    </row>
    <row r="4661">
      <c r="A4661" s="4" t="str">
        <f>IFERROR(__xludf.DUMMYFUNCTION("""COMPUTED_VALUE"""),"Rk")</f>
        <v>Rk</v>
      </c>
      <c r="B4661" s="4" t="str">
        <f>IFERROR(__xludf.DUMMYFUNCTION("""COMPUTED_VALUE"""),"Pk")</f>
        <v>Pk</v>
      </c>
      <c r="C4661" s="4" t="str">
        <f>IFERROR(__xludf.DUMMYFUNCTION("""COMPUTED_VALUE"""),"Tm")</f>
        <v>Tm</v>
      </c>
      <c r="D4661" s="4" t="str">
        <f>IFERROR(__xludf.DUMMYFUNCTION("""COMPUTED_VALUE"""),"Player")</f>
        <v>Player</v>
      </c>
      <c r="E4661" s="4" t="str">
        <f>IFERROR(__xludf.DUMMYFUNCTION("""COMPUTED_VALUE"""),"College")</f>
        <v>College</v>
      </c>
      <c r="F4661" s="4" t="str">
        <f>IFERROR(__xludf.DUMMYFUNCTION("""COMPUTED_VALUE"""),"Yrs")</f>
        <v>Yrs</v>
      </c>
      <c r="G4661" s="4" t="str">
        <f>IFERROR(__xludf.DUMMYFUNCTION("""COMPUTED_VALUE"""),"G")</f>
        <v>G</v>
      </c>
      <c r="H4661" s="4" t="str">
        <f>IFERROR(__xludf.DUMMYFUNCTION("""COMPUTED_VALUE"""),"MP")</f>
        <v>MP</v>
      </c>
      <c r="I4661" s="4" t="str">
        <f>IFERROR(__xludf.DUMMYFUNCTION("""COMPUTED_VALUE"""),"PTS")</f>
        <v>PTS</v>
      </c>
      <c r="J4661" s="4" t="str">
        <f>IFERROR(__xludf.DUMMYFUNCTION("""COMPUTED_VALUE"""),"TRB")</f>
        <v>TRB</v>
      </c>
      <c r="K4661" s="4" t="str">
        <f>IFERROR(__xludf.DUMMYFUNCTION("""COMPUTED_VALUE"""),"AST")</f>
        <v>AST</v>
      </c>
      <c r="L4661" s="4" t="str">
        <f>IFERROR(__xludf.DUMMYFUNCTION("""COMPUTED_VALUE"""),"FG%")</f>
        <v>FG%</v>
      </c>
      <c r="M4661" s="4" t="str">
        <f>IFERROR(__xludf.DUMMYFUNCTION("""COMPUTED_VALUE"""),"3P%")</f>
        <v>3P%</v>
      </c>
      <c r="N4661" s="4" t="str">
        <f>IFERROR(__xludf.DUMMYFUNCTION("""COMPUTED_VALUE"""),"FT%")</f>
        <v>FT%</v>
      </c>
      <c r="O4661" s="4" t="str">
        <f>IFERROR(__xludf.DUMMYFUNCTION("""COMPUTED_VALUE"""),"MP")</f>
        <v>MP</v>
      </c>
      <c r="P4661" s="4" t="str">
        <f>IFERROR(__xludf.DUMMYFUNCTION("""COMPUTED_VALUE"""),"PTS")</f>
        <v>PTS</v>
      </c>
      <c r="Q4661" s="4" t="str">
        <f>IFERROR(__xludf.DUMMYFUNCTION("""COMPUTED_VALUE"""),"TRB")</f>
        <v>TRB</v>
      </c>
      <c r="R4661" s="4" t="str">
        <f>IFERROR(__xludf.DUMMYFUNCTION("""COMPUTED_VALUE"""),"AST")</f>
        <v>AST</v>
      </c>
      <c r="S4661" s="4" t="str">
        <f>IFERROR(__xludf.DUMMYFUNCTION("""COMPUTED_VALUE"""),"WS")</f>
        <v>WS</v>
      </c>
      <c r="T4661" s="4" t="str">
        <f>IFERROR(__xludf.DUMMYFUNCTION("""COMPUTED_VALUE"""),"WS/48")</f>
        <v>WS/48</v>
      </c>
      <c r="U4661" s="4" t="str">
        <f>IFERROR(__xludf.DUMMYFUNCTION("""COMPUTED_VALUE"""),"BPM")</f>
        <v>BPM</v>
      </c>
      <c r="V4661" s="4" t="str">
        <f>IFERROR(__xludf.DUMMYFUNCTION("""COMPUTED_VALUE"""),"VORP")</f>
        <v>VORP</v>
      </c>
    </row>
    <row r="4662">
      <c r="A4662" s="4">
        <f>IFERROR(__xludf.DUMMYFUNCTION("""COMPUTED_VALUE"""),187.0)</f>
        <v>187</v>
      </c>
      <c r="B4662" s="4">
        <f>IFERROR(__xludf.DUMMYFUNCTION("""COMPUTED_VALUE"""),187.0)</f>
        <v>187</v>
      </c>
      <c r="C4662" s="4" t="str">
        <f>IFERROR(__xludf.DUMMYFUNCTION("""COMPUTED_VALUE"""),"NJN")</f>
        <v>NJN</v>
      </c>
      <c r="D4662" s="4" t="str">
        <f>IFERROR(__xludf.DUMMYFUNCTION("""COMPUTED_VALUE"""),"Michael Vicens")</f>
        <v>Michael Vicens</v>
      </c>
      <c r="E4662" s="4" t="str">
        <f>IFERROR(__xludf.DUMMYFUNCTION("""COMPUTED_VALUE"""),"Holy Cross")</f>
        <v>Holy Cross</v>
      </c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</row>
    <row r="4663">
      <c r="A4663" s="4">
        <f>IFERROR(__xludf.DUMMYFUNCTION("""COMPUTED_VALUE"""),188.0)</f>
        <v>188</v>
      </c>
      <c r="B4663" s="4">
        <f>IFERROR(__xludf.DUMMYFUNCTION("""COMPUTED_VALUE"""),188.0)</f>
        <v>188</v>
      </c>
      <c r="C4663" s="4" t="str">
        <f>IFERROR(__xludf.DUMMYFUNCTION("""COMPUTED_VALUE"""),"BOS")</f>
        <v>BOS</v>
      </c>
      <c r="D4663" s="4" t="str">
        <f>IFERROR(__xludf.DUMMYFUNCTION("""COMPUTED_VALUE"""),"Walter Harrigan")</f>
        <v>Walter Harrigan</v>
      </c>
      <c r="E4663" s="4" t="str">
        <f>IFERROR(__xludf.DUMMYFUNCTION("""COMPUTED_VALUE"""),"Brandeis University")</f>
        <v>Brandeis University</v>
      </c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</row>
    <row r="4664">
      <c r="A4664" s="4">
        <f>IFERROR(__xludf.DUMMYFUNCTION("""COMPUTED_VALUE"""),189.0)</f>
        <v>189</v>
      </c>
      <c r="B4664" s="4">
        <f>IFERROR(__xludf.DUMMYFUNCTION("""COMPUTED_VALUE"""),189.0)</f>
        <v>189</v>
      </c>
      <c r="C4664" s="4" t="str">
        <f>IFERROR(__xludf.DUMMYFUNCTION("""COMPUTED_VALUE"""),"DET")</f>
        <v>DET</v>
      </c>
      <c r="D4664" s="4" t="str">
        <f>IFERROR(__xludf.DUMMYFUNCTION("""COMPUTED_VALUE"""),"Dave Grauzer")</f>
        <v>Dave Grauzer</v>
      </c>
      <c r="E4664" s="4" t="str">
        <f>IFERROR(__xludf.DUMMYFUNCTION("""COMPUTED_VALUE"""),"Central Michigan University")</f>
        <v>Central Michigan University</v>
      </c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</row>
    <row r="4665">
      <c r="A4665" s="4">
        <f>IFERROR(__xludf.DUMMYFUNCTION("""COMPUTED_VALUE"""),190.0)</f>
        <v>190</v>
      </c>
      <c r="B4665" s="4">
        <f>IFERROR(__xludf.DUMMYFUNCTION("""COMPUTED_VALUE"""),190.0)</f>
        <v>190</v>
      </c>
      <c r="C4665" s="4" t="str">
        <f>IFERROR(__xludf.DUMMYFUNCTION("""COMPUTED_VALUE"""),"NOJ")</f>
        <v>NOJ</v>
      </c>
      <c r="D4665" s="4" t="str">
        <f>IFERROR(__xludf.DUMMYFUNCTION("""COMPUTED_VALUE"""),"Rickey Williams")</f>
        <v>Rickey Williams</v>
      </c>
      <c r="E4665" s="4" t="str">
        <f>IFERROR(__xludf.DUMMYFUNCTION("""COMPUTED_VALUE"""),"Cal State Long Beach")</f>
        <v>Cal State Long Beach</v>
      </c>
      <c r="F4665" s="4">
        <f>IFERROR(__xludf.DUMMYFUNCTION("""COMPUTED_VALUE"""),1.0)</f>
        <v>1</v>
      </c>
      <c r="G4665" s="4">
        <f>IFERROR(__xludf.DUMMYFUNCTION("""COMPUTED_VALUE"""),44.0)</f>
        <v>44</v>
      </c>
      <c r="H4665" s="4">
        <f>IFERROR(__xludf.DUMMYFUNCTION("""COMPUTED_VALUE"""),346.0)</f>
        <v>346</v>
      </c>
      <c r="I4665" s="4">
        <f>IFERROR(__xludf.DUMMYFUNCTION("""COMPUTED_VALUE"""),147.0)</f>
        <v>147</v>
      </c>
      <c r="J4665" s="4">
        <f>IFERROR(__xludf.DUMMYFUNCTION("""COMPUTED_VALUE"""),38.0)</f>
        <v>38</v>
      </c>
      <c r="K4665" s="4">
        <f>IFERROR(__xludf.DUMMYFUNCTION("""COMPUTED_VALUE"""),37.0)</f>
        <v>37</v>
      </c>
      <c r="L4665" s="4">
        <f>IFERROR(__xludf.DUMMYFUNCTION("""COMPUTED_VALUE"""),0.415)</f>
        <v>0.415</v>
      </c>
      <c r="M4665" s="4">
        <f>IFERROR(__xludf.DUMMYFUNCTION("""COMPUTED_VALUE"""),0.0)</f>
        <v>0</v>
      </c>
      <c r="N4665" s="4">
        <f>IFERROR(__xludf.DUMMYFUNCTION("""COMPUTED_VALUE"""),0.66)</f>
        <v>0.66</v>
      </c>
      <c r="O4665" s="4">
        <f>IFERROR(__xludf.DUMMYFUNCTION("""COMPUTED_VALUE"""),7.9)</f>
        <v>7.9</v>
      </c>
      <c r="P4665" s="4">
        <f>IFERROR(__xludf.DUMMYFUNCTION("""COMPUTED_VALUE"""),3.3)</f>
        <v>3.3</v>
      </c>
      <c r="Q4665" s="4">
        <f>IFERROR(__xludf.DUMMYFUNCTION("""COMPUTED_VALUE"""),0.9)</f>
        <v>0.9</v>
      </c>
      <c r="R4665" s="4">
        <f>IFERROR(__xludf.DUMMYFUNCTION("""COMPUTED_VALUE"""),0.8)</f>
        <v>0.8</v>
      </c>
      <c r="S4665" s="4">
        <f>IFERROR(__xludf.DUMMYFUNCTION("""COMPUTED_VALUE"""),-0.1)</f>
        <v>-0.1</v>
      </c>
      <c r="T4665" s="4">
        <f>IFERROR(__xludf.DUMMYFUNCTION("""COMPUTED_VALUE"""),-0.017)</f>
        <v>-0.017</v>
      </c>
      <c r="U4665" s="4">
        <f>IFERROR(__xludf.DUMMYFUNCTION("""COMPUTED_VALUE"""),-4.5)</f>
        <v>-4.5</v>
      </c>
      <c r="V4665" s="4">
        <f>IFERROR(__xludf.DUMMYFUNCTION("""COMPUTED_VALUE"""),-0.2)</f>
        <v>-0.2</v>
      </c>
    </row>
    <row r="4666">
      <c r="A4666" s="4">
        <f>IFERROR(__xludf.DUMMYFUNCTION("""COMPUTED_VALUE"""),191.0)</f>
        <v>191</v>
      </c>
      <c r="B4666" s="4">
        <f>IFERROR(__xludf.DUMMYFUNCTION("""COMPUTED_VALUE"""),191.0)</f>
        <v>191</v>
      </c>
      <c r="C4666" s="4" t="str">
        <f>IFERROR(__xludf.DUMMYFUNCTION("""COMPUTED_VALUE"""),"CHI")</f>
        <v>CHI</v>
      </c>
      <c r="D4666" s="4" t="str">
        <f>IFERROR(__xludf.DUMMYFUNCTION("""COMPUTED_VALUE"""),"Mark Tucker")</f>
        <v>Mark Tucker</v>
      </c>
      <c r="E4666" s="4" t="str">
        <f>IFERROR(__xludf.DUMMYFUNCTION("""COMPUTED_VALUE"""),"Oklahoma State")</f>
        <v>Oklahoma State</v>
      </c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</row>
    <row r="4667">
      <c r="A4667" s="4">
        <f>IFERROR(__xludf.DUMMYFUNCTION("""COMPUTED_VALUE"""),192.0)</f>
        <v>192</v>
      </c>
      <c r="B4667" s="4">
        <f>IFERROR(__xludf.DUMMYFUNCTION("""COMPUTED_VALUE"""),192.0)</f>
        <v>192</v>
      </c>
      <c r="C4667" s="4" t="str">
        <f>IFERROR(__xludf.DUMMYFUNCTION("""COMPUTED_VALUE"""),"ATL")</f>
        <v>ATL</v>
      </c>
      <c r="D4667" s="4" t="str">
        <f>IFERROR(__xludf.DUMMYFUNCTION("""COMPUTED_VALUE"""),"Marshall Lester")</f>
        <v>Marshall Lester</v>
      </c>
      <c r="E4667" s="4" t="str">
        <f>IFERROR(__xludf.DUMMYFUNCTION("""COMPUTED_VALUE"""),"Florida Southern College")</f>
        <v>Florida Southern College</v>
      </c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</row>
    <row r="4668">
      <c r="A4668" s="4">
        <f>IFERROR(__xludf.DUMMYFUNCTION("""COMPUTED_VALUE"""),193.0)</f>
        <v>193</v>
      </c>
      <c r="B4668" s="4">
        <f>IFERROR(__xludf.DUMMYFUNCTION("""COMPUTED_VALUE"""),193.0)</f>
        <v>193</v>
      </c>
      <c r="C4668" s="4" t="str">
        <f>IFERROR(__xludf.DUMMYFUNCTION("""COMPUTED_VALUE"""),"GSW")</f>
        <v>GSW</v>
      </c>
      <c r="D4668" s="4" t="str">
        <f>IFERROR(__xludf.DUMMYFUNCTION("""COMPUTED_VALUE"""),"Mike Muff")</f>
        <v>Mike Muff</v>
      </c>
      <c r="E4668" s="4" t="str">
        <f>IFERROR(__xludf.DUMMYFUNCTION("""COMPUTED_VALUE"""),"Murray State")</f>
        <v>Murray State</v>
      </c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</row>
    <row r="4669">
      <c r="A4669" s="4">
        <f>IFERROR(__xludf.DUMMYFUNCTION("""COMPUTED_VALUE"""),194.0)</f>
        <v>194</v>
      </c>
      <c r="B4669" s="4">
        <f>IFERROR(__xludf.DUMMYFUNCTION("""COMPUTED_VALUE"""),194.0)</f>
        <v>194</v>
      </c>
      <c r="C4669" s="4" t="str">
        <f>IFERROR(__xludf.DUMMYFUNCTION("""COMPUTED_VALUE"""),"CLE")</f>
        <v>CLE</v>
      </c>
      <c r="D4669" s="4" t="str">
        <f>IFERROR(__xludf.DUMMYFUNCTION("""COMPUTED_VALUE"""),"Gary Winton")</f>
        <v>Gary Winton</v>
      </c>
      <c r="E4669" s="4" t="str">
        <f>IFERROR(__xludf.DUMMYFUNCTION("""COMPUTED_VALUE"""),"United States Military Academy")</f>
        <v>United States Military Academy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</row>
    <row r="4670">
      <c r="A4670" s="4">
        <f>IFERROR(__xludf.DUMMYFUNCTION("""COMPUTED_VALUE"""),195.0)</f>
        <v>195</v>
      </c>
      <c r="B4670" s="4">
        <f>IFERROR(__xludf.DUMMYFUNCTION("""COMPUTED_VALUE"""),195.0)</f>
        <v>195</v>
      </c>
      <c r="C4670" s="4" t="str">
        <f>IFERROR(__xludf.DUMMYFUNCTION("""COMPUTED_VALUE"""),"NYK")</f>
        <v>NYK</v>
      </c>
      <c r="D4670" s="4" t="str">
        <f>IFERROR(__xludf.DUMMYFUNCTION("""COMPUTED_VALUE"""),"Ernest Simons")</f>
        <v>Ernest Simons</v>
      </c>
      <c r="E4670" s="4" t="str">
        <f>IFERROR(__xludf.DUMMYFUNCTION("""COMPUTED_VALUE"""),"Pace University")</f>
        <v>Pace University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</row>
    <row r="4671">
      <c r="A4671" s="4">
        <f>IFERROR(__xludf.DUMMYFUNCTION("""COMPUTED_VALUE"""),196.0)</f>
        <v>196</v>
      </c>
      <c r="B4671" s="4">
        <f>IFERROR(__xludf.DUMMYFUNCTION("""COMPUTED_VALUE"""),196.0)</f>
        <v>196</v>
      </c>
      <c r="C4671" s="4" t="str">
        <f>IFERROR(__xludf.DUMMYFUNCTION("""COMPUTED_VALUE"""),"MIL")</f>
        <v>MIL</v>
      </c>
      <c r="D4671" s="4" t="str">
        <f>IFERROR(__xludf.DUMMYFUNCTION("""COMPUTED_VALUE"""),"Tom Anderson")</f>
        <v>Tom Anderson</v>
      </c>
      <c r="E4671" s="4" t="str">
        <f>IFERROR(__xludf.DUMMYFUNCTION("""COMPUTED_VALUE"""),"Green Bay")</f>
        <v>Green Bay</v>
      </c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</row>
    <row r="4672">
      <c r="A4672" s="4">
        <f>IFERROR(__xludf.DUMMYFUNCTION("""COMPUTED_VALUE"""),197.0)</f>
        <v>197</v>
      </c>
      <c r="B4672" s="4">
        <f>IFERROR(__xludf.DUMMYFUNCTION("""COMPUTED_VALUE"""),197.0)</f>
        <v>197</v>
      </c>
      <c r="C4672" s="4" t="str">
        <f>IFERROR(__xludf.DUMMYFUNCTION("""COMPUTED_VALUE"""),"WSB")</f>
        <v>WSB</v>
      </c>
      <c r="D4672" s="4" t="str">
        <f>IFERROR(__xludf.DUMMYFUNCTION("""COMPUTED_VALUE"""),"Steve Connor")</f>
        <v>Steve Connor</v>
      </c>
      <c r="E4672" s="4" t="str">
        <f>IFERROR(__xludf.DUMMYFUNCTION("""COMPUTED_VALUE"""),"Boise State")</f>
        <v>Boise State</v>
      </c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</row>
    <row r="4673">
      <c r="A4673" s="4">
        <f>IFERROR(__xludf.DUMMYFUNCTION("""COMPUTED_VALUE"""),198.0)</f>
        <v>198</v>
      </c>
      <c r="B4673" s="4">
        <f>IFERROR(__xludf.DUMMYFUNCTION("""COMPUTED_VALUE"""),198.0)</f>
        <v>198</v>
      </c>
      <c r="C4673" s="4" t="str">
        <f>IFERROR(__xludf.DUMMYFUNCTION("""COMPUTED_VALUE"""),"DEN")</f>
        <v>DEN</v>
      </c>
      <c r="D4673" s="4" t="str">
        <f>IFERROR(__xludf.DUMMYFUNCTION("""COMPUTED_VALUE"""),"Phil Taylor")</f>
        <v>Phil Taylor</v>
      </c>
      <c r="E4673" s="4" t="str">
        <f>IFERROR(__xludf.DUMMYFUNCTION("""COMPUTED_VALUE"""),"Arizona")</f>
        <v>Arizona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</row>
    <row r="4674">
      <c r="A4674" s="4">
        <f>IFERROR(__xludf.DUMMYFUNCTION("""COMPUTED_VALUE"""),199.0)</f>
        <v>199</v>
      </c>
      <c r="B4674" s="4">
        <f>IFERROR(__xludf.DUMMYFUNCTION("""COMPUTED_VALUE"""),199.0)</f>
        <v>199</v>
      </c>
      <c r="C4674" s="4" t="str">
        <f>IFERROR(__xludf.DUMMYFUNCTION("""COMPUTED_VALUE"""),"PHO")</f>
        <v>PHO</v>
      </c>
      <c r="D4674" s="4" t="str">
        <f>IFERROR(__xludf.DUMMYFUNCTION("""COMPUTED_VALUE"""),"Lewis Cohen")</f>
        <v>Lewis Cohen</v>
      </c>
      <c r="E4674" s="4" t="str">
        <f>IFERROR(__xludf.DUMMYFUNCTION("""COMPUTED_VALUE"""),"Cal Poly")</f>
        <v>Cal Poly</v>
      </c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</row>
    <row r="4675">
      <c r="A4675" s="4">
        <f>IFERROR(__xludf.DUMMYFUNCTION("""COMPUTED_VALUE"""),200.0)</f>
        <v>200</v>
      </c>
      <c r="B4675" s="4">
        <f>IFERROR(__xludf.DUMMYFUNCTION("""COMPUTED_VALUE"""),200.0)</f>
        <v>200</v>
      </c>
      <c r="C4675" s="4" t="str">
        <f>IFERROR(__xludf.DUMMYFUNCTION("""COMPUTED_VALUE"""),"SAS")</f>
        <v>SAS</v>
      </c>
      <c r="D4675" s="4" t="str">
        <f>IFERROR(__xludf.DUMMYFUNCTION("""COMPUTED_VALUE"""),"Larry Brewster")</f>
        <v>Larry Brewster</v>
      </c>
      <c r="E4675" s="4" t="str">
        <f>IFERROR(__xludf.DUMMYFUNCTION("""COMPUTED_VALUE"""),"Florida")</f>
        <v>Florida</v>
      </c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</row>
    <row r="4676">
      <c r="A4676" s="4">
        <f>IFERROR(__xludf.DUMMYFUNCTION("""COMPUTED_VALUE"""),201.0)</f>
        <v>201</v>
      </c>
      <c r="B4676" s="4">
        <f>IFERROR(__xludf.DUMMYFUNCTION("""COMPUTED_VALUE"""),201.0)</f>
        <v>201</v>
      </c>
      <c r="C4676" s="4" t="str">
        <f>IFERROR(__xludf.DUMMYFUNCTION("""COMPUTED_VALUE"""),"PHI")</f>
        <v>PHI</v>
      </c>
      <c r="D4676" s="4" t="str">
        <f>IFERROR(__xludf.DUMMYFUNCTION("""COMPUTED_VALUE"""),"Dennis James")</f>
        <v>Dennis James</v>
      </c>
      <c r="E4676" s="4" t="str">
        <f>IFERROR(__xludf.DUMMYFUNCTION("""COMPUTED_VALUE"""),"Widener University")</f>
        <v>Widener University</v>
      </c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</row>
    <row r="4677">
      <c r="A4677" s="4">
        <f>IFERROR(__xludf.DUMMYFUNCTION("""COMPUTED_VALUE"""),202.0)</f>
        <v>202</v>
      </c>
      <c r="B4677" s="4">
        <f>IFERROR(__xludf.DUMMYFUNCTION("""COMPUTED_VALUE"""),202.0)</f>
        <v>202</v>
      </c>
      <c r="C4677" s="4" t="str">
        <f>IFERROR(__xludf.DUMMYFUNCTION("""COMPUTED_VALUE"""),"POR")</f>
        <v>POR</v>
      </c>
      <c r="D4677" s="4" t="str">
        <f>IFERROR(__xludf.DUMMYFUNCTION("""COMPUTED_VALUE"""),"Tim Warkentin")</f>
        <v>Tim Warkentin</v>
      </c>
      <c r="E4677" s="4" t="str">
        <f>IFERROR(__xludf.DUMMYFUNCTION("""COMPUTED_VALUE"""),"Biola University")</f>
        <v>Biola University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</row>
    <row r="4679">
      <c r="A4679" s="2">
        <v>1977.0</v>
      </c>
    </row>
    <row r="4680">
      <c r="A4680" s="4" t="str">
        <f>IFERROR(__xludf.DUMMYFUNCTION("IMPORTHTML(""https://www.basketball-reference.com/draft/NBA_1977.html"", ""table"", 1)"),"")</f>
        <v/>
      </c>
      <c r="B4680" s="4"/>
      <c r="C4680" s="4"/>
      <c r="D4680" s="4" t="str">
        <f>IFERROR(__xludf.DUMMYFUNCTION("""COMPUTED_VALUE"""),"Round 1")</f>
        <v>Round 1</v>
      </c>
      <c r="E4680" s="4"/>
      <c r="F4680" s="4"/>
      <c r="G4680" s="4" t="str">
        <f>IFERROR(__xludf.DUMMYFUNCTION("""COMPUTED_VALUE"""),"Totals")</f>
        <v>Totals</v>
      </c>
      <c r="H4680" s="4"/>
      <c r="I4680" s="4"/>
      <c r="J4680" s="4"/>
      <c r="K4680" s="4"/>
      <c r="L4680" s="4" t="str">
        <f>IFERROR(__xludf.DUMMYFUNCTION("""COMPUTED_VALUE"""),"Shooting")</f>
        <v>Shooting</v>
      </c>
      <c r="M4680" s="4"/>
      <c r="N4680" s="4"/>
      <c r="O4680" s="4" t="str">
        <f>IFERROR(__xludf.DUMMYFUNCTION("""COMPUTED_VALUE"""),"Per Game")</f>
        <v>Per Game</v>
      </c>
      <c r="P4680" s="4"/>
      <c r="Q4680" s="4"/>
      <c r="R4680" s="4"/>
      <c r="S4680" s="4" t="str">
        <f>IFERROR(__xludf.DUMMYFUNCTION("""COMPUTED_VALUE"""),"Advanced")</f>
        <v>Advanced</v>
      </c>
      <c r="T4680" s="4"/>
      <c r="U4680" s="4"/>
      <c r="V4680" s="4"/>
    </row>
    <row r="4681">
      <c r="A4681" s="4" t="str">
        <f>IFERROR(__xludf.DUMMYFUNCTION("""COMPUTED_VALUE"""),"Rk")</f>
        <v>Rk</v>
      </c>
      <c r="B4681" s="4" t="str">
        <f>IFERROR(__xludf.DUMMYFUNCTION("""COMPUTED_VALUE"""),"Pk")</f>
        <v>Pk</v>
      </c>
      <c r="C4681" s="4" t="str">
        <f>IFERROR(__xludf.DUMMYFUNCTION("""COMPUTED_VALUE"""),"Tm")</f>
        <v>Tm</v>
      </c>
      <c r="D4681" s="4" t="str">
        <f>IFERROR(__xludf.DUMMYFUNCTION("""COMPUTED_VALUE"""),"Player")</f>
        <v>Player</v>
      </c>
      <c r="E4681" s="4" t="str">
        <f>IFERROR(__xludf.DUMMYFUNCTION("""COMPUTED_VALUE"""),"College")</f>
        <v>College</v>
      </c>
      <c r="F4681" s="4" t="str">
        <f>IFERROR(__xludf.DUMMYFUNCTION("""COMPUTED_VALUE"""),"Yrs")</f>
        <v>Yrs</v>
      </c>
      <c r="G4681" s="4" t="str">
        <f>IFERROR(__xludf.DUMMYFUNCTION("""COMPUTED_VALUE"""),"G")</f>
        <v>G</v>
      </c>
      <c r="H4681" s="4" t="str">
        <f>IFERROR(__xludf.DUMMYFUNCTION("""COMPUTED_VALUE"""),"MP")</f>
        <v>MP</v>
      </c>
      <c r="I4681" s="4" t="str">
        <f>IFERROR(__xludf.DUMMYFUNCTION("""COMPUTED_VALUE"""),"PTS")</f>
        <v>PTS</v>
      </c>
      <c r="J4681" s="4" t="str">
        <f>IFERROR(__xludf.DUMMYFUNCTION("""COMPUTED_VALUE"""),"TRB")</f>
        <v>TRB</v>
      </c>
      <c r="K4681" s="4" t="str">
        <f>IFERROR(__xludf.DUMMYFUNCTION("""COMPUTED_VALUE"""),"AST")</f>
        <v>AST</v>
      </c>
      <c r="L4681" s="4" t="str">
        <f>IFERROR(__xludf.DUMMYFUNCTION("""COMPUTED_VALUE"""),"FG%")</f>
        <v>FG%</v>
      </c>
      <c r="M4681" s="4" t="str">
        <f>IFERROR(__xludf.DUMMYFUNCTION("""COMPUTED_VALUE"""),"3P%")</f>
        <v>3P%</v>
      </c>
      <c r="N4681" s="4" t="str">
        <f>IFERROR(__xludf.DUMMYFUNCTION("""COMPUTED_VALUE"""),"FT%")</f>
        <v>FT%</v>
      </c>
      <c r="O4681" s="4" t="str">
        <f>IFERROR(__xludf.DUMMYFUNCTION("""COMPUTED_VALUE"""),"MP")</f>
        <v>MP</v>
      </c>
      <c r="P4681" s="4" t="str">
        <f>IFERROR(__xludf.DUMMYFUNCTION("""COMPUTED_VALUE"""),"PTS")</f>
        <v>PTS</v>
      </c>
      <c r="Q4681" s="4" t="str">
        <f>IFERROR(__xludf.DUMMYFUNCTION("""COMPUTED_VALUE"""),"TRB")</f>
        <v>TRB</v>
      </c>
      <c r="R4681" s="4" t="str">
        <f>IFERROR(__xludf.DUMMYFUNCTION("""COMPUTED_VALUE"""),"AST")</f>
        <v>AST</v>
      </c>
      <c r="S4681" s="4" t="str">
        <f>IFERROR(__xludf.DUMMYFUNCTION("""COMPUTED_VALUE"""),"WS")</f>
        <v>WS</v>
      </c>
      <c r="T4681" s="4" t="str">
        <f>IFERROR(__xludf.DUMMYFUNCTION("""COMPUTED_VALUE"""),"WS/48")</f>
        <v>WS/48</v>
      </c>
      <c r="U4681" s="4" t="str">
        <f>IFERROR(__xludf.DUMMYFUNCTION("""COMPUTED_VALUE"""),"BPM")</f>
        <v>BPM</v>
      </c>
      <c r="V4681" s="4" t="str">
        <f>IFERROR(__xludf.DUMMYFUNCTION("""COMPUTED_VALUE"""),"VORP")</f>
        <v>VORP</v>
      </c>
    </row>
    <row r="4682">
      <c r="A4682" s="4">
        <f>IFERROR(__xludf.DUMMYFUNCTION("""COMPUTED_VALUE"""),1.0)</f>
        <v>1</v>
      </c>
      <c r="B4682" s="4">
        <f>IFERROR(__xludf.DUMMYFUNCTION("""COMPUTED_VALUE"""),1.0)</f>
        <v>1</v>
      </c>
      <c r="C4682" s="4" t="str">
        <f>IFERROR(__xludf.DUMMYFUNCTION("""COMPUTED_VALUE"""),"MIL")</f>
        <v>MIL</v>
      </c>
      <c r="D4682" s="4" t="str">
        <f>IFERROR(__xludf.DUMMYFUNCTION("""COMPUTED_VALUE"""),"Kent Benson")</f>
        <v>Kent Benson</v>
      </c>
      <c r="E4682" s="4" t="str">
        <f>IFERROR(__xludf.DUMMYFUNCTION("""COMPUTED_VALUE"""),"Indiana")</f>
        <v>Indiana</v>
      </c>
      <c r="F4682" s="4">
        <f>IFERROR(__xludf.DUMMYFUNCTION("""COMPUTED_VALUE"""),11.0)</f>
        <v>11</v>
      </c>
      <c r="G4682" s="4">
        <f>IFERROR(__xludf.DUMMYFUNCTION("""COMPUTED_VALUE"""),680.0)</f>
        <v>680</v>
      </c>
      <c r="H4682" s="4">
        <f>IFERROR(__xludf.DUMMYFUNCTION("""COMPUTED_VALUE"""),15719.0)</f>
        <v>15719</v>
      </c>
      <c r="I4682" s="4">
        <f>IFERROR(__xludf.DUMMYFUNCTION("""COMPUTED_VALUE"""),6168.0)</f>
        <v>6168</v>
      </c>
      <c r="J4682" s="4">
        <f>IFERROR(__xludf.DUMMYFUNCTION("""COMPUTED_VALUE"""),3881.0)</f>
        <v>3881</v>
      </c>
      <c r="K4682" s="4">
        <f>IFERROR(__xludf.DUMMYFUNCTION("""COMPUTED_VALUE"""),1203.0)</f>
        <v>1203</v>
      </c>
      <c r="L4682" s="4">
        <f>IFERROR(__xludf.DUMMYFUNCTION("""COMPUTED_VALUE"""),0.493)</f>
        <v>0.493</v>
      </c>
      <c r="M4682" s="4"/>
      <c r="N4682" s="4">
        <f>IFERROR(__xludf.DUMMYFUNCTION("""COMPUTED_VALUE"""),0.757)</f>
        <v>0.757</v>
      </c>
      <c r="O4682" s="4">
        <f>IFERROR(__xludf.DUMMYFUNCTION("""COMPUTED_VALUE"""),23.1)</f>
        <v>23.1</v>
      </c>
      <c r="P4682" s="4">
        <f>IFERROR(__xludf.DUMMYFUNCTION("""COMPUTED_VALUE"""),9.1)</f>
        <v>9.1</v>
      </c>
      <c r="Q4682" s="4">
        <f>IFERROR(__xludf.DUMMYFUNCTION("""COMPUTED_VALUE"""),5.7)</f>
        <v>5.7</v>
      </c>
      <c r="R4682" s="4">
        <f>IFERROR(__xludf.DUMMYFUNCTION("""COMPUTED_VALUE"""),1.8)</f>
        <v>1.8</v>
      </c>
      <c r="S4682" s="4">
        <f>IFERROR(__xludf.DUMMYFUNCTION("""COMPUTED_VALUE"""),33.6)</f>
        <v>33.6</v>
      </c>
      <c r="T4682" s="4">
        <f>IFERROR(__xludf.DUMMYFUNCTION("""COMPUTED_VALUE"""),0.103)</f>
        <v>0.103</v>
      </c>
      <c r="U4682" s="4">
        <f>IFERROR(__xludf.DUMMYFUNCTION("""COMPUTED_VALUE"""),0.2)</f>
        <v>0.2</v>
      </c>
      <c r="V4682" s="4">
        <f>IFERROR(__xludf.DUMMYFUNCTION("""COMPUTED_VALUE"""),8.8)</f>
        <v>8.8</v>
      </c>
    </row>
    <row r="4683">
      <c r="A4683" s="4">
        <f>IFERROR(__xludf.DUMMYFUNCTION("""COMPUTED_VALUE"""),2.0)</f>
        <v>2</v>
      </c>
      <c r="B4683" s="4">
        <f>IFERROR(__xludf.DUMMYFUNCTION("""COMPUTED_VALUE"""),2.0)</f>
        <v>2</v>
      </c>
      <c r="C4683" s="4" t="str">
        <f>IFERROR(__xludf.DUMMYFUNCTION("""COMPUTED_VALUE"""),"KCK")</f>
        <v>KCK</v>
      </c>
      <c r="D4683" s="4" t="str">
        <f>IFERROR(__xludf.DUMMYFUNCTION("""COMPUTED_VALUE"""),"Otis Birdsong")</f>
        <v>Otis Birdsong</v>
      </c>
      <c r="E4683" s="4" t="str">
        <f>IFERROR(__xludf.DUMMYFUNCTION("""COMPUTED_VALUE"""),"Houston")</f>
        <v>Houston</v>
      </c>
      <c r="F4683" s="4">
        <f>IFERROR(__xludf.DUMMYFUNCTION("""COMPUTED_VALUE"""),12.0)</f>
        <v>12</v>
      </c>
      <c r="G4683" s="4">
        <f>IFERROR(__xludf.DUMMYFUNCTION("""COMPUTED_VALUE"""),696.0)</f>
        <v>696</v>
      </c>
      <c r="H4683" s="4">
        <f>IFERROR(__xludf.DUMMYFUNCTION("""COMPUTED_VALUE"""),21627.0)</f>
        <v>21627</v>
      </c>
      <c r="I4683" s="4">
        <f>IFERROR(__xludf.DUMMYFUNCTION("""COMPUTED_VALUE"""),12544.0)</f>
        <v>12544</v>
      </c>
      <c r="J4683" s="4">
        <f>IFERROR(__xludf.DUMMYFUNCTION("""COMPUTED_VALUE"""),2072.0)</f>
        <v>2072</v>
      </c>
      <c r="K4683" s="4">
        <f>IFERROR(__xludf.DUMMYFUNCTION("""COMPUTED_VALUE"""),2260.0)</f>
        <v>2260</v>
      </c>
      <c r="L4683" s="4">
        <f>IFERROR(__xludf.DUMMYFUNCTION("""COMPUTED_VALUE"""),0.506)</f>
        <v>0.506</v>
      </c>
      <c r="M4683" s="4"/>
      <c r="N4683" s="4">
        <f>IFERROR(__xludf.DUMMYFUNCTION("""COMPUTED_VALUE"""),0.655)</f>
        <v>0.655</v>
      </c>
      <c r="O4683" s="4">
        <f>IFERROR(__xludf.DUMMYFUNCTION("""COMPUTED_VALUE"""),31.1)</f>
        <v>31.1</v>
      </c>
      <c r="P4683" s="4">
        <f>IFERROR(__xludf.DUMMYFUNCTION("""COMPUTED_VALUE"""),18.0)</f>
        <v>18</v>
      </c>
      <c r="Q4683" s="4">
        <f>IFERROR(__xludf.DUMMYFUNCTION("""COMPUTED_VALUE"""),3.0)</f>
        <v>3</v>
      </c>
      <c r="R4683" s="4">
        <f>IFERROR(__xludf.DUMMYFUNCTION("""COMPUTED_VALUE"""),3.2)</f>
        <v>3.2</v>
      </c>
      <c r="S4683" s="4">
        <f>IFERROR(__xludf.DUMMYFUNCTION("""COMPUTED_VALUE"""),48.2)</f>
        <v>48.2</v>
      </c>
      <c r="T4683" s="4">
        <f>IFERROR(__xludf.DUMMYFUNCTION("""COMPUTED_VALUE"""),0.107)</f>
        <v>0.107</v>
      </c>
      <c r="U4683" s="4">
        <f>IFERROR(__xludf.DUMMYFUNCTION("""COMPUTED_VALUE"""),0.6)</f>
        <v>0.6</v>
      </c>
      <c r="V4683" s="4">
        <f>IFERROR(__xludf.DUMMYFUNCTION("""COMPUTED_VALUE"""),14.3)</f>
        <v>14.3</v>
      </c>
    </row>
    <row r="4684">
      <c r="A4684" s="4">
        <f>IFERROR(__xludf.DUMMYFUNCTION("""COMPUTED_VALUE"""),3.0)</f>
        <v>3</v>
      </c>
      <c r="B4684" s="4">
        <f>IFERROR(__xludf.DUMMYFUNCTION("""COMPUTED_VALUE"""),3.0)</f>
        <v>3</v>
      </c>
      <c r="C4684" s="4" t="str">
        <f>IFERROR(__xludf.DUMMYFUNCTION("""COMPUTED_VALUE"""),"MIL")</f>
        <v>MIL</v>
      </c>
      <c r="D4684" s="4" t="str">
        <f>IFERROR(__xludf.DUMMYFUNCTION("""COMPUTED_VALUE"""),"Marques Johnson")</f>
        <v>Marques Johnson</v>
      </c>
      <c r="E4684" s="4" t="str">
        <f>IFERROR(__xludf.DUMMYFUNCTION("""COMPUTED_VALUE"""),"UCLA")</f>
        <v>UCLA</v>
      </c>
      <c r="F4684" s="4">
        <f>IFERROR(__xludf.DUMMYFUNCTION("""COMPUTED_VALUE"""),11.0)</f>
        <v>11</v>
      </c>
      <c r="G4684" s="4">
        <f>IFERROR(__xludf.DUMMYFUNCTION("""COMPUTED_VALUE"""),691.0)</f>
        <v>691</v>
      </c>
      <c r="H4684" s="4">
        <f>IFERROR(__xludf.DUMMYFUNCTION("""COMPUTED_VALUE"""),23694.0)</f>
        <v>23694</v>
      </c>
      <c r="I4684" s="4">
        <f>IFERROR(__xludf.DUMMYFUNCTION("""COMPUTED_VALUE"""),13892.0)</f>
        <v>13892</v>
      </c>
      <c r="J4684" s="4">
        <f>IFERROR(__xludf.DUMMYFUNCTION("""COMPUTED_VALUE"""),4817.0)</f>
        <v>4817</v>
      </c>
      <c r="K4684" s="4">
        <f>IFERROR(__xludf.DUMMYFUNCTION("""COMPUTED_VALUE"""),2502.0)</f>
        <v>2502</v>
      </c>
      <c r="L4684" s="4">
        <f>IFERROR(__xludf.DUMMYFUNCTION("""COMPUTED_VALUE"""),0.518)</f>
        <v>0.518</v>
      </c>
      <c r="M4684" s="4"/>
      <c r="N4684" s="4">
        <f>IFERROR(__xludf.DUMMYFUNCTION("""COMPUTED_VALUE"""),0.739)</f>
        <v>0.739</v>
      </c>
      <c r="O4684" s="4">
        <f>IFERROR(__xludf.DUMMYFUNCTION("""COMPUTED_VALUE"""),34.3)</f>
        <v>34.3</v>
      </c>
      <c r="P4684" s="4">
        <f>IFERROR(__xludf.DUMMYFUNCTION("""COMPUTED_VALUE"""),20.1)</f>
        <v>20.1</v>
      </c>
      <c r="Q4684" s="4">
        <f>IFERROR(__xludf.DUMMYFUNCTION("""COMPUTED_VALUE"""),7.0)</f>
        <v>7</v>
      </c>
      <c r="R4684" s="4">
        <f>IFERROR(__xludf.DUMMYFUNCTION("""COMPUTED_VALUE"""),3.6)</f>
        <v>3.6</v>
      </c>
      <c r="S4684" s="4">
        <f>IFERROR(__xludf.DUMMYFUNCTION("""COMPUTED_VALUE"""),79.8)</f>
        <v>79.8</v>
      </c>
      <c r="T4684" s="4">
        <f>IFERROR(__xludf.DUMMYFUNCTION("""COMPUTED_VALUE"""),0.162)</f>
        <v>0.162</v>
      </c>
      <c r="U4684" s="4">
        <f>IFERROR(__xludf.DUMMYFUNCTION("""COMPUTED_VALUE"""),3.3)</f>
        <v>3.3</v>
      </c>
      <c r="V4684" s="4">
        <f>IFERROR(__xludf.DUMMYFUNCTION("""COMPUTED_VALUE"""),31.7)</f>
        <v>31.7</v>
      </c>
    </row>
    <row r="4685">
      <c r="A4685" s="4">
        <f>IFERROR(__xludf.DUMMYFUNCTION("""COMPUTED_VALUE"""),4.0)</f>
        <v>4</v>
      </c>
      <c r="B4685" s="4">
        <f>IFERROR(__xludf.DUMMYFUNCTION("""COMPUTED_VALUE"""),4.0)</f>
        <v>4</v>
      </c>
      <c r="C4685" s="4" t="str">
        <f>IFERROR(__xludf.DUMMYFUNCTION("""COMPUTED_VALUE"""),"WSB")</f>
        <v>WSB</v>
      </c>
      <c r="D4685" s="4" t="str">
        <f>IFERROR(__xludf.DUMMYFUNCTION("""COMPUTED_VALUE"""),"Greg Ballard")</f>
        <v>Greg Ballard</v>
      </c>
      <c r="E4685" s="4" t="str">
        <f>IFERROR(__xludf.DUMMYFUNCTION("""COMPUTED_VALUE"""),"Oregon")</f>
        <v>Oregon</v>
      </c>
      <c r="F4685" s="4">
        <f>IFERROR(__xludf.DUMMYFUNCTION("""COMPUTED_VALUE"""),11.0)</f>
        <v>11</v>
      </c>
      <c r="G4685" s="4">
        <f>IFERROR(__xludf.DUMMYFUNCTION("""COMPUTED_VALUE"""),802.0)</f>
        <v>802</v>
      </c>
      <c r="H4685" s="4">
        <f>IFERROR(__xludf.DUMMYFUNCTION("""COMPUTED_VALUE"""),22073.0)</f>
        <v>22073</v>
      </c>
      <c r="I4685" s="4">
        <f>IFERROR(__xludf.DUMMYFUNCTION("""COMPUTED_VALUE"""),9953.0)</f>
        <v>9953</v>
      </c>
      <c r="J4685" s="4">
        <f>IFERROR(__xludf.DUMMYFUNCTION("""COMPUTED_VALUE"""),4858.0)</f>
        <v>4858</v>
      </c>
      <c r="K4685" s="4">
        <f>IFERROR(__xludf.DUMMYFUNCTION("""COMPUTED_VALUE"""),1733.0)</f>
        <v>1733</v>
      </c>
      <c r="L4685" s="4">
        <f>IFERROR(__xludf.DUMMYFUNCTION("""COMPUTED_VALUE"""),0.472)</f>
        <v>0.472</v>
      </c>
      <c r="M4685" s="4"/>
      <c r="N4685" s="4">
        <f>IFERROR(__xludf.DUMMYFUNCTION("""COMPUTED_VALUE"""),0.787)</f>
        <v>0.787</v>
      </c>
      <c r="O4685" s="4">
        <f>IFERROR(__xludf.DUMMYFUNCTION("""COMPUTED_VALUE"""),27.5)</f>
        <v>27.5</v>
      </c>
      <c r="P4685" s="4">
        <f>IFERROR(__xludf.DUMMYFUNCTION("""COMPUTED_VALUE"""),12.4)</f>
        <v>12.4</v>
      </c>
      <c r="Q4685" s="4">
        <f>IFERROR(__xludf.DUMMYFUNCTION("""COMPUTED_VALUE"""),6.1)</f>
        <v>6.1</v>
      </c>
      <c r="R4685" s="4">
        <f>IFERROR(__xludf.DUMMYFUNCTION("""COMPUTED_VALUE"""),2.2)</f>
        <v>2.2</v>
      </c>
      <c r="S4685" s="4">
        <f>IFERROR(__xludf.DUMMYFUNCTION("""COMPUTED_VALUE"""),54.0)</f>
        <v>54</v>
      </c>
      <c r="T4685" s="4">
        <f>IFERROR(__xludf.DUMMYFUNCTION("""COMPUTED_VALUE"""),0.117)</f>
        <v>0.117</v>
      </c>
      <c r="U4685" s="4">
        <f>IFERROR(__xludf.DUMMYFUNCTION("""COMPUTED_VALUE"""),1.2)</f>
        <v>1.2</v>
      </c>
      <c r="V4685" s="4">
        <f>IFERROR(__xludf.DUMMYFUNCTION("""COMPUTED_VALUE"""),18.1)</f>
        <v>18.1</v>
      </c>
    </row>
    <row r="4686">
      <c r="A4686" s="4">
        <f>IFERROR(__xludf.DUMMYFUNCTION("""COMPUTED_VALUE"""),5.0)</f>
        <v>5</v>
      </c>
      <c r="B4686" s="4">
        <f>IFERROR(__xludf.DUMMYFUNCTION("""COMPUTED_VALUE"""),5.0)</f>
        <v>5</v>
      </c>
      <c r="C4686" s="4" t="str">
        <f>IFERROR(__xludf.DUMMYFUNCTION("""COMPUTED_VALUE"""),"PHO")</f>
        <v>PHO</v>
      </c>
      <c r="D4686" s="4" t="str">
        <f>IFERROR(__xludf.DUMMYFUNCTION("""COMPUTED_VALUE"""),"Walter Davis")</f>
        <v>Walter Davis</v>
      </c>
      <c r="E4686" s="4" t="str">
        <f>IFERROR(__xludf.DUMMYFUNCTION("""COMPUTED_VALUE"""),"UNC")</f>
        <v>UNC</v>
      </c>
      <c r="F4686" s="4">
        <f>IFERROR(__xludf.DUMMYFUNCTION("""COMPUTED_VALUE"""),15.0)</f>
        <v>15</v>
      </c>
      <c r="G4686" s="4">
        <f>IFERROR(__xludf.DUMMYFUNCTION("""COMPUTED_VALUE"""),1033.0)</f>
        <v>1033</v>
      </c>
      <c r="H4686" s="4">
        <f>IFERROR(__xludf.DUMMYFUNCTION("""COMPUTED_VALUE"""),28859.0)</f>
        <v>28859</v>
      </c>
      <c r="I4686" s="4">
        <f>IFERROR(__xludf.DUMMYFUNCTION("""COMPUTED_VALUE"""),19521.0)</f>
        <v>19521</v>
      </c>
      <c r="J4686" s="4">
        <f>IFERROR(__xludf.DUMMYFUNCTION("""COMPUTED_VALUE"""),3053.0)</f>
        <v>3053</v>
      </c>
      <c r="K4686" s="4">
        <f>IFERROR(__xludf.DUMMYFUNCTION("""COMPUTED_VALUE"""),3878.0)</f>
        <v>3878</v>
      </c>
      <c r="L4686" s="4">
        <f>IFERROR(__xludf.DUMMYFUNCTION("""COMPUTED_VALUE"""),0.511)</f>
        <v>0.511</v>
      </c>
      <c r="M4686" s="4"/>
      <c r="N4686" s="4">
        <f>IFERROR(__xludf.DUMMYFUNCTION("""COMPUTED_VALUE"""),0.851)</f>
        <v>0.851</v>
      </c>
      <c r="O4686" s="4">
        <f>IFERROR(__xludf.DUMMYFUNCTION("""COMPUTED_VALUE"""),27.9)</f>
        <v>27.9</v>
      </c>
      <c r="P4686" s="4">
        <f>IFERROR(__xludf.DUMMYFUNCTION("""COMPUTED_VALUE"""),18.9)</f>
        <v>18.9</v>
      </c>
      <c r="Q4686" s="4">
        <f>IFERROR(__xludf.DUMMYFUNCTION("""COMPUTED_VALUE"""),3.0)</f>
        <v>3</v>
      </c>
      <c r="R4686" s="4">
        <f>IFERROR(__xludf.DUMMYFUNCTION("""COMPUTED_VALUE"""),3.8)</f>
        <v>3.8</v>
      </c>
      <c r="S4686" s="4">
        <f>IFERROR(__xludf.DUMMYFUNCTION("""COMPUTED_VALUE"""),76.9)</f>
        <v>76.9</v>
      </c>
      <c r="T4686" s="4">
        <f>IFERROR(__xludf.DUMMYFUNCTION("""COMPUTED_VALUE"""),0.128)</f>
        <v>0.128</v>
      </c>
      <c r="U4686" s="4">
        <f>IFERROR(__xludf.DUMMYFUNCTION("""COMPUTED_VALUE"""),1.5)</f>
        <v>1.5</v>
      </c>
      <c r="V4686" s="4">
        <f>IFERROR(__xludf.DUMMYFUNCTION("""COMPUTED_VALUE"""),25.3)</f>
        <v>25.3</v>
      </c>
    </row>
    <row r="4687">
      <c r="A4687" s="4">
        <f>IFERROR(__xludf.DUMMYFUNCTION("""COMPUTED_VALUE"""),6.0)</f>
        <v>6</v>
      </c>
      <c r="B4687" s="4">
        <f>IFERROR(__xludf.DUMMYFUNCTION("""COMPUTED_VALUE"""),6.0)</f>
        <v>6</v>
      </c>
      <c r="C4687" s="4" t="str">
        <f>IFERROR(__xludf.DUMMYFUNCTION("""COMPUTED_VALUE"""),"LAL")</f>
        <v>LAL</v>
      </c>
      <c r="D4687" s="4" t="str">
        <f>IFERROR(__xludf.DUMMYFUNCTION("""COMPUTED_VALUE"""),"Kenny Carr")</f>
        <v>Kenny Carr</v>
      </c>
      <c r="E4687" s="4" t="str">
        <f>IFERROR(__xludf.DUMMYFUNCTION("""COMPUTED_VALUE"""),"NC State")</f>
        <v>NC State</v>
      </c>
      <c r="F4687" s="4">
        <f>IFERROR(__xludf.DUMMYFUNCTION("""COMPUTED_VALUE"""),10.0)</f>
        <v>10</v>
      </c>
      <c r="G4687" s="4">
        <f>IFERROR(__xludf.DUMMYFUNCTION("""COMPUTED_VALUE"""),674.0)</f>
        <v>674</v>
      </c>
      <c r="H4687" s="4">
        <f>IFERROR(__xludf.DUMMYFUNCTION("""COMPUTED_VALUE"""),17167.0)</f>
        <v>17167</v>
      </c>
      <c r="I4687" s="4">
        <f>IFERROR(__xludf.DUMMYFUNCTION("""COMPUTED_VALUE"""),7813.0)</f>
        <v>7813</v>
      </c>
      <c r="J4687" s="4">
        <f>IFERROR(__xludf.DUMMYFUNCTION("""COMPUTED_VALUE"""),4999.0)</f>
        <v>4999</v>
      </c>
      <c r="K4687" s="4">
        <f>IFERROR(__xludf.DUMMYFUNCTION("""COMPUTED_VALUE"""),923.0)</f>
        <v>923</v>
      </c>
      <c r="L4687" s="4">
        <f>IFERROR(__xludf.DUMMYFUNCTION("""COMPUTED_VALUE"""),0.51)</f>
        <v>0.51</v>
      </c>
      <c r="M4687" s="4"/>
      <c r="N4687" s="4">
        <f>IFERROR(__xludf.DUMMYFUNCTION("""COMPUTED_VALUE"""),0.684)</f>
        <v>0.684</v>
      </c>
      <c r="O4687" s="4">
        <f>IFERROR(__xludf.DUMMYFUNCTION("""COMPUTED_VALUE"""),25.5)</f>
        <v>25.5</v>
      </c>
      <c r="P4687" s="4">
        <f>IFERROR(__xludf.DUMMYFUNCTION("""COMPUTED_VALUE"""),11.6)</f>
        <v>11.6</v>
      </c>
      <c r="Q4687" s="4">
        <f>IFERROR(__xludf.DUMMYFUNCTION("""COMPUTED_VALUE"""),7.4)</f>
        <v>7.4</v>
      </c>
      <c r="R4687" s="4">
        <f>IFERROR(__xludf.DUMMYFUNCTION("""COMPUTED_VALUE"""),1.4)</f>
        <v>1.4</v>
      </c>
      <c r="S4687" s="4">
        <f>IFERROR(__xludf.DUMMYFUNCTION("""COMPUTED_VALUE"""),33.6)</f>
        <v>33.6</v>
      </c>
      <c r="T4687" s="4">
        <f>IFERROR(__xludf.DUMMYFUNCTION("""COMPUTED_VALUE"""),0.094)</f>
        <v>0.094</v>
      </c>
      <c r="U4687" s="4">
        <f>IFERROR(__xludf.DUMMYFUNCTION("""COMPUTED_VALUE"""),-1.5)</f>
        <v>-1.5</v>
      </c>
      <c r="V4687" s="4">
        <f>IFERROR(__xludf.DUMMYFUNCTION("""COMPUTED_VALUE"""),2.3)</f>
        <v>2.3</v>
      </c>
    </row>
    <row r="4688">
      <c r="A4688" s="4">
        <f>IFERROR(__xludf.DUMMYFUNCTION("""COMPUTED_VALUE"""),7.0)</f>
        <v>7</v>
      </c>
      <c r="B4688" s="4">
        <f>IFERROR(__xludf.DUMMYFUNCTION("""COMPUTED_VALUE"""),7.0)</f>
        <v>7</v>
      </c>
      <c r="C4688" s="4" t="str">
        <f>IFERROR(__xludf.DUMMYFUNCTION("""COMPUTED_VALUE"""),"NJN")</f>
        <v>NJN</v>
      </c>
      <c r="D4688" s="4" t="str">
        <f>IFERROR(__xludf.DUMMYFUNCTION("""COMPUTED_VALUE"""),"Bernard King")</f>
        <v>Bernard King</v>
      </c>
      <c r="E4688" s="4" t="str">
        <f>IFERROR(__xludf.DUMMYFUNCTION("""COMPUTED_VALUE"""),"Tennessee")</f>
        <v>Tennessee</v>
      </c>
      <c r="F4688" s="4">
        <f>IFERROR(__xludf.DUMMYFUNCTION("""COMPUTED_VALUE"""),14.0)</f>
        <v>14</v>
      </c>
      <c r="G4688" s="4">
        <f>IFERROR(__xludf.DUMMYFUNCTION("""COMPUTED_VALUE"""),874.0)</f>
        <v>874</v>
      </c>
      <c r="H4688" s="4">
        <f>IFERROR(__xludf.DUMMYFUNCTION("""COMPUTED_VALUE"""),29417.0)</f>
        <v>29417</v>
      </c>
      <c r="I4688" s="4">
        <f>IFERROR(__xludf.DUMMYFUNCTION("""COMPUTED_VALUE"""),19655.0)</f>
        <v>19655</v>
      </c>
      <c r="J4688" s="4">
        <f>IFERROR(__xludf.DUMMYFUNCTION("""COMPUTED_VALUE"""),5060.0)</f>
        <v>5060</v>
      </c>
      <c r="K4688" s="4">
        <f>IFERROR(__xludf.DUMMYFUNCTION("""COMPUTED_VALUE"""),2863.0)</f>
        <v>2863</v>
      </c>
      <c r="L4688" s="4">
        <f>IFERROR(__xludf.DUMMYFUNCTION("""COMPUTED_VALUE"""),0.518)</f>
        <v>0.518</v>
      </c>
      <c r="M4688" s="4"/>
      <c r="N4688" s="4">
        <f>IFERROR(__xludf.DUMMYFUNCTION("""COMPUTED_VALUE"""),0.73)</f>
        <v>0.73</v>
      </c>
      <c r="O4688" s="4">
        <f>IFERROR(__xludf.DUMMYFUNCTION("""COMPUTED_VALUE"""),33.7)</f>
        <v>33.7</v>
      </c>
      <c r="P4688" s="4">
        <f>IFERROR(__xludf.DUMMYFUNCTION("""COMPUTED_VALUE"""),22.5)</f>
        <v>22.5</v>
      </c>
      <c r="Q4688" s="4">
        <f>IFERROR(__xludf.DUMMYFUNCTION("""COMPUTED_VALUE"""),5.8)</f>
        <v>5.8</v>
      </c>
      <c r="R4688" s="4">
        <f>IFERROR(__xludf.DUMMYFUNCTION("""COMPUTED_VALUE"""),3.3)</f>
        <v>3.3</v>
      </c>
      <c r="S4688" s="4">
        <f>IFERROR(__xludf.DUMMYFUNCTION("""COMPUTED_VALUE"""),75.4)</f>
        <v>75.4</v>
      </c>
      <c r="T4688" s="4">
        <f>IFERROR(__xludf.DUMMYFUNCTION("""COMPUTED_VALUE"""),0.123)</f>
        <v>0.123</v>
      </c>
      <c r="U4688" s="4">
        <f>IFERROR(__xludf.DUMMYFUNCTION("""COMPUTED_VALUE"""),1.7)</f>
        <v>1.7</v>
      </c>
      <c r="V4688" s="4">
        <f>IFERROR(__xludf.DUMMYFUNCTION("""COMPUTED_VALUE"""),27.0)</f>
        <v>27</v>
      </c>
    </row>
    <row r="4689">
      <c r="A4689" s="4">
        <f>IFERROR(__xludf.DUMMYFUNCTION("""COMPUTED_VALUE"""),8.0)</f>
        <v>8</v>
      </c>
      <c r="B4689" s="4">
        <f>IFERROR(__xludf.DUMMYFUNCTION("""COMPUTED_VALUE"""),8.0)</f>
        <v>8</v>
      </c>
      <c r="C4689" s="4" t="str">
        <f>IFERROR(__xludf.DUMMYFUNCTION("""COMPUTED_VALUE"""),"SEA")</f>
        <v>SEA</v>
      </c>
      <c r="D4689" s="4" t="str">
        <f>IFERROR(__xludf.DUMMYFUNCTION("""COMPUTED_VALUE"""),"Jack Sikma")</f>
        <v>Jack Sikma</v>
      </c>
      <c r="E4689" s="4" t="str">
        <f>IFERROR(__xludf.DUMMYFUNCTION("""COMPUTED_VALUE"""),"Illinois Wesleyan University")</f>
        <v>Illinois Wesleyan University</v>
      </c>
      <c r="F4689" s="4">
        <f>IFERROR(__xludf.DUMMYFUNCTION("""COMPUTED_VALUE"""),14.0)</f>
        <v>14</v>
      </c>
      <c r="G4689" s="4">
        <f>IFERROR(__xludf.DUMMYFUNCTION("""COMPUTED_VALUE"""),1107.0)</f>
        <v>1107</v>
      </c>
      <c r="H4689" s="4">
        <f>IFERROR(__xludf.DUMMYFUNCTION("""COMPUTED_VALUE"""),36943.0)</f>
        <v>36943</v>
      </c>
      <c r="I4689" s="4">
        <f>IFERROR(__xludf.DUMMYFUNCTION("""COMPUTED_VALUE"""),17287.0)</f>
        <v>17287</v>
      </c>
      <c r="J4689" s="4">
        <f>IFERROR(__xludf.DUMMYFUNCTION("""COMPUTED_VALUE"""),10816.0)</f>
        <v>10816</v>
      </c>
      <c r="K4689" s="4">
        <f>IFERROR(__xludf.DUMMYFUNCTION("""COMPUTED_VALUE"""),3488.0)</f>
        <v>3488</v>
      </c>
      <c r="L4689" s="4">
        <f>IFERROR(__xludf.DUMMYFUNCTION("""COMPUTED_VALUE"""),0.464)</f>
        <v>0.464</v>
      </c>
      <c r="M4689" s="4"/>
      <c r="N4689" s="4">
        <f>IFERROR(__xludf.DUMMYFUNCTION("""COMPUTED_VALUE"""),0.849)</f>
        <v>0.849</v>
      </c>
      <c r="O4689" s="4">
        <f>IFERROR(__xludf.DUMMYFUNCTION("""COMPUTED_VALUE"""),33.4)</f>
        <v>33.4</v>
      </c>
      <c r="P4689" s="4">
        <f>IFERROR(__xludf.DUMMYFUNCTION("""COMPUTED_VALUE"""),15.6)</f>
        <v>15.6</v>
      </c>
      <c r="Q4689" s="4">
        <f>IFERROR(__xludf.DUMMYFUNCTION("""COMPUTED_VALUE"""),9.8)</f>
        <v>9.8</v>
      </c>
      <c r="R4689" s="4">
        <f>IFERROR(__xludf.DUMMYFUNCTION("""COMPUTED_VALUE"""),3.2)</f>
        <v>3.2</v>
      </c>
      <c r="S4689" s="4">
        <f>IFERROR(__xludf.DUMMYFUNCTION("""COMPUTED_VALUE"""),112.5)</f>
        <v>112.5</v>
      </c>
      <c r="T4689" s="4">
        <f>IFERROR(__xludf.DUMMYFUNCTION("""COMPUTED_VALUE"""),0.146)</f>
        <v>0.146</v>
      </c>
      <c r="U4689" s="4">
        <f>IFERROR(__xludf.DUMMYFUNCTION("""COMPUTED_VALUE"""),2.0)</f>
        <v>2</v>
      </c>
      <c r="V4689" s="4">
        <f>IFERROR(__xludf.DUMMYFUNCTION("""COMPUTED_VALUE"""),37.0)</f>
        <v>37</v>
      </c>
    </row>
    <row r="4690">
      <c r="A4690" s="4">
        <f>IFERROR(__xludf.DUMMYFUNCTION("""COMPUTED_VALUE"""),9.0)</f>
        <v>9</v>
      </c>
      <c r="B4690" s="4">
        <f>IFERROR(__xludf.DUMMYFUNCTION("""COMPUTED_VALUE"""),9.0)</f>
        <v>9</v>
      </c>
      <c r="C4690" s="4" t="str">
        <f>IFERROR(__xludf.DUMMYFUNCTION("""COMPUTED_VALUE"""),"DEN")</f>
        <v>DEN</v>
      </c>
      <c r="D4690" s="4" t="str">
        <f>IFERROR(__xludf.DUMMYFUNCTION("""COMPUTED_VALUE"""),"Tom LaGarde")</f>
        <v>Tom LaGarde</v>
      </c>
      <c r="E4690" s="4" t="str">
        <f>IFERROR(__xludf.DUMMYFUNCTION("""COMPUTED_VALUE"""),"UNC")</f>
        <v>UNC</v>
      </c>
      <c r="F4690" s="4">
        <f>IFERROR(__xludf.DUMMYFUNCTION("""COMPUTED_VALUE"""),6.0)</f>
        <v>6</v>
      </c>
      <c r="G4690" s="4">
        <f>IFERROR(__xludf.DUMMYFUNCTION("""COMPUTED_VALUE"""),312.0)</f>
        <v>312</v>
      </c>
      <c r="H4690" s="4">
        <f>IFERROR(__xludf.DUMMYFUNCTION("""COMPUTED_VALUE"""),6194.0)</f>
        <v>6194</v>
      </c>
      <c r="I4690" s="4">
        <f>IFERROR(__xludf.DUMMYFUNCTION("""COMPUTED_VALUE"""),2376.0)</f>
        <v>2376</v>
      </c>
      <c r="J4690" s="4">
        <f>IFERROR(__xludf.DUMMYFUNCTION("""COMPUTED_VALUE"""),1593.0)</f>
        <v>1593</v>
      </c>
      <c r="K4690" s="4">
        <f>IFERROR(__xludf.DUMMYFUNCTION("""COMPUTED_VALUE"""),456.0)</f>
        <v>456</v>
      </c>
      <c r="L4690" s="4">
        <f>IFERROR(__xludf.DUMMYFUNCTION("""COMPUTED_VALUE"""),0.462)</f>
        <v>0.462</v>
      </c>
      <c r="M4690" s="4"/>
      <c r="N4690" s="4">
        <f>IFERROR(__xludf.DUMMYFUNCTION("""COMPUTED_VALUE"""),0.64)</f>
        <v>0.64</v>
      </c>
      <c r="O4690" s="4">
        <f>IFERROR(__xludf.DUMMYFUNCTION("""COMPUTED_VALUE"""),19.9)</f>
        <v>19.9</v>
      </c>
      <c r="P4690" s="4">
        <f>IFERROR(__xludf.DUMMYFUNCTION("""COMPUTED_VALUE"""),7.6)</f>
        <v>7.6</v>
      </c>
      <c r="Q4690" s="4">
        <f>IFERROR(__xludf.DUMMYFUNCTION("""COMPUTED_VALUE"""),5.1)</f>
        <v>5.1</v>
      </c>
      <c r="R4690" s="4">
        <f>IFERROR(__xludf.DUMMYFUNCTION("""COMPUTED_VALUE"""),1.5)</f>
        <v>1.5</v>
      </c>
      <c r="S4690" s="4">
        <f>IFERROR(__xludf.DUMMYFUNCTION("""COMPUTED_VALUE"""),6.5)</f>
        <v>6.5</v>
      </c>
      <c r="T4690" s="4">
        <f>IFERROR(__xludf.DUMMYFUNCTION("""COMPUTED_VALUE"""),0.05)</f>
        <v>0.05</v>
      </c>
      <c r="U4690" s="4">
        <f>IFERROR(__xludf.DUMMYFUNCTION("""COMPUTED_VALUE"""),-3.0)</f>
        <v>-3</v>
      </c>
      <c r="V4690" s="4">
        <f>IFERROR(__xludf.DUMMYFUNCTION("""COMPUTED_VALUE"""),-1.6)</f>
        <v>-1.6</v>
      </c>
    </row>
    <row r="4691">
      <c r="A4691" s="4">
        <f>IFERROR(__xludf.DUMMYFUNCTION("""COMPUTED_VALUE"""),10.0)</f>
        <v>10</v>
      </c>
      <c r="B4691" s="4">
        <f>IFERROR(__xludf.DUMMYFUNCTION("""COMPUTED_VALUE"""),10.0)</f>
        <v>10</v>
      </c>
      <c r="C4691" s="4" t="str">
        <f>IFERROR(__xludf.DUMMYFUNCTION("""COMPUTED_VALUE"""),"NYK")</f>
        <v>NYK</v>
      </c>
      <c r="D4691" s="4" t="str">
        <f>IFERROR(__xludf.DUMMYFUNCTION("""COMPUTED_VALUE"""),"Ray Williams")</f>
        <v>Ray Williams</v>
      </c>
      <c r="E4691" s="4" t="str">
        <f>IFERROR(__xludf.DUMMYFUNCTION("""COMPUTED_VALUE"""),"Minnesota")</f>
        <v>Minnesota</v>
      </c>
      <c r="F4691" s="4">
        <f>IFERROR(__xludf.DUMMYFUNCTION("""COMPUTED_VALUE"""),10.0)</f>
        <v>10</v>
      </c>
      <c r="G4691" s="4">
        <f>IFERROR(__xludf.DUMMYFUNCTION("""COMPUTED_VALUE"""),655.0)</f>
        <v>655</v>
      </c>
      <c r="H4691" s="4">
        <f>IFERROR(__xludf.DUMMYFUNCTION("""COMPUTED_VALUE"""),18462.0)</f>
        <v>18462</v>
      </c>
      <c r="I4691" s="4">
        <f>IFERROR(__xludf.DUMMYFUNCTION("""COMPUTED_VALUE"""),10158.0)</f>
        <v>10158</v>
      </c>
      <c r="J4691" s="4">
        <f>IFERROR(__xludf.DUMMYFUNCTION("""COMPUTED_VALUE"""),2370.0)</f>
        <v>2370</v>
      </c>
      <c r="K4691" s="4">
        <f>IFERROR(__xludf.DUMMYFUNCTION("""COMPUTED_VALUE"""),3779.0)</f>
        <v>3779</v>
      </c>
      <c r="L4691" s="4">
        <f>IFERROR(__xludf.DUMMYFUNCTION("""COMPUTED_VALUE"""),0.451)</f>
        <v>0.451</v>
      </c>
      <c r="M4691" s="4"/>
      <c r="N4691" s="4">
        <f>IFERROR(__xludf.DUMMYFUNCTION("""COMPUTED_VALUE"""),0.802)</f>
        <v>0.802</v>
      </c>
      <c r="O4691" s="4">
        <f>IFERROR(__xludf.DUMMYFUNCTION("""COMPUTED_VALUE"""),28.2)</f>
        <v>28.2</v>
      </c>
      <c r="P4691" s="4">
        <f>IFERROR(__xludf.DUMMYFUNCTION("""COMPUTED_VALUE"""),15.5)</f>
        <v>15.5</v>
      </c>
      <c r="Q4691" s="4">
        <f>IFERROR(__xludf.DUMMYFUNCTION("""COMPUTED_VALUE"""),3.6)</f>
        <v>3.6</v>
      </c>
      <c r="R4691" s="4">
        <f>IFERROR(__xludf.DUMMYFUNCTION("""COMPUTED_VALUE"""),5.8)</f>
        <v>5.8</v>
      </c>
      <c r="S4691" s="4">
        <f>IFERROR(__xludf.DUMMYFUNCTION("""COMPUTED_VALUE"""),37.1)</f>
        <v>37.1</v>
      </c>
      <c r="T4691" s="4">
        <f>IFERROR(__xludf.DUMMYFUNCTION("""COMPUTED_VALUE"""),0.096)</f>
        <v>0.096</v>
      </c>
      <c r="U4691" s="4">
        <f>IFERROR(__xludf.DUMMYFUNCTION("""COMPUTED_VALUE"""),1.6)</f>
        <v>1.6</v>
      </c>
      <c r="V4691" s="4">
        <f>IFERROR(__xludf.DUMMYFUNCTION("""COMPUTED_VALUE"""),16.8)</f>
        <v>16.8</v>
      </c>
    </row>
    <row r="4692">
      <c r="A4692" s="4">
        <f>IFERROR(__xludf.DUMMYFUNCTION("""COMPUTED_VALUE"""),11.0)</f>
        <v>11</v>
      </c>
      <c r="B4692" s="4">
        <f>IFERROR(__xludf.DUMMYFUNCTION("""COMPUTED_VALUE"""),11.0)</f>
        <v>11</v>
      </c>
      <c r="C4692" s="4" t="str">
        <f>IFERROR(__xludf.DUMMYFUNCTION("""COMPUTED_VALUE"""),"MIL")</f>
        <v>MIL</v>
      </c>
      <c r="D4692" s="4" t="str">
        <f>IFERROR(__xludf.DUMMYFUNCTION("""COMPUTED_VALUE"""),"Ernie Grunfeld")</f>
        <v>Ernie Grunfeld</v>
      </c>
      <c r="E4692" s="4" t="str">
        <f>IFERROR(__xludf.DUMMYFUNCTION("""COMPUTED_VALUE"""),"Tennessee")</f>
        <v>Tennessee</v>
      </c>
      <c r="F4692" s="4">
        <f>IFERROR(__xludf.DUMMYFUNCTION("""COMPUTED_VALUE"""),9.0)</f>
        <v>9</v>
      </c>
      <c r="G4692" s="4">
        <f>IFERROR(__xludf.DUMMYFUNCTION("""COMPUTED_VALUE"""),693.0)</f>
        <v>693</v>
      </c>
      <c r="H4692" s="4">
        <f>IFERROR(__xludf.DUMMYFUNCTION("""COMPUTED_VALUE"""),12916.0)</f>
        <v>12916</v>
      </c>
      <c r="I4692" s="4">
        <f>IFERROR(__xludf.DUMMYFUNCTION("""COMPUTED_VALUE"""),5124.0)</f>
        <v>5124</v>
      </c>
      <c r="J4692" s="4">
        <f>IFERROR(__xludf.DUMMYFUNCTION("""COMPUTED_VALUE"""),1815.0)</f>
        <v>1815</v>
      </c>
      <c r="K4692" s="4">
        <f>IFERROR(__xludf.DUMMYFUNCTION("""COMPUTED_VALUE"""),1419.0)</f>
        <v>1419</v>
      </c>
      <c r="L4692" s="4">
        <f>IFERROR(__xludf.DUMMYFUNCTION("""COMPUTED_VALUE"""),0.477)</f>
        <v>0.477</v>
      </c>
      <c r="M4692" s="4"/>
      <c r="N4692" s="4">
        <f>IFERROR(__xludf.DUMMYFUNCTION("""COMPUTED_VALUE"""),0.77)</f>
        <v>0.77</v>
      </c>
      <c r="O4692" s="4">
        <f>IFERROR(__xludf.DUMMYFUNCTION("""COMPUTED_VALUE"""),18.6)</f>
        <v>18.6</v>
      </c>
      <c r="P4692" s="4">
        <f>IFERROR(__xludf.DUMMYFUNCTION("""COMPUTED_VALUE"""),7.4)</f>
        <v>7.4</v>
      </c>
      <c r="Q4692" s="4">
        <f>IFERROR(__xludf.DUMMYFUNCTION("""COMPUTED_VALUE"""),2.6)</f>
        <v>2.6</v>
      </c>
      <c r="R4692" s="4">
        <f>IFERROR(__xludf.DUMMYFUNCTION("""COMPUTED_VALUE"""),2.0)</f>
        <v>2</v>
      </c>
      <c r="S4692" s="4">
        <f>IFERROR(__xludf.DUMMYFUNCTION("""COMPUTED_VALUE"""),25.0)</f>
        <v>25</v>
      </c>
      <c r="T4692" s="4">
        <f>IFERROR(__xludf.DUMMYFUNCTION("""COMPUTED_VALUE"""),0.093)</f>
        <v>0.093</v>
      </c>
      <c r="U4692" s="4">
        <f>IFERROR(__xludf.DUMMYFUNCTION("""COMPUTED_VALUE"""),-0.5)</f>
        <v>-0.5</v>
      </c>
      <c r="V4692" s="4">
        <f>IFERROR(__xludf.DUMMYFUNCTION("""COMPUTED_VALUE"""),4.9)</f>
        <v>4.9</v>
      </c>
    </row>
    <row r="4693">
      <c r="A4693" s="4">
        <f>IFERROR(__xludf.DUMMYFUNCTION("""COMPUTED_VALUE"""),12.0)</f>
        <v>12</v>
      </c>
      <c r="B4693" s="4">
        <f>IFERROR(__xludf.DUMMYFUNCTION("""COMPUTED_VALUE"""),12.0)</f>
        <v>12</v>
      </c>
      <c r="C4693" s="4" t="str">
        <f>IFERROR(__xludf.DUMMYFUNCTION("""COMPUTED_VALUE"""),"BOS")</f>
        <v>BOS</v>
      </c>
      <c r="D4693" s="4" t="str">
        <f>IFERROR(__xludf.DUMMYFUNCTION("""COMPUTED_VALUE"""),"Cedric Maxwell")</f>
        <v>Cedric Maxwell</v>
      </c>
      <c r="E4693" s="4" t="str">
        <f>IFERROR(__xludf.DUMMYFUNCTION("""COMPUTED_VALUE"""),"UNC Charlotte")</f>
        <v>UNC Charlotte</v>
      </c>
      <c r="F4693" s="4">
        <f>IFERROR(__xludf.DUMMYFUNCTION("""COMPUTED_VALUE"""),11.0)</f>
        <v>11</v>
      </c>
      <c r="G4693" s="4">
        <f>IFERROR(__xludf.DUMMYFUNCTION("""COMPUTED_VALUE"""),835.0)</f>
        <v>835</v>
      </c>
      <c r="H4693" s="4">
        <f>IFERROR(__xludf.DUMMYFUNCTION("""COMPUTED_VALUE"""),23769.0)</f>
        <v>23769</v>
      </c>
      <c r="I4693" s="4">
        <f>IFERROR(__xludf.DUMMYFUNCTION("""COMPUTED_VALUE"""),10465.0)</f>
        <v>10465</v>
      </c>
      <c r="J4693" s="4">
        <f>IFERROR(__xludf.DUMMYFUNCTION("""COMPUTED_VALUE"""),5261.0)</f>
        <v>5261</v>
      </c>
      <c r="K4693" s="4">
        <f>IFERROR(__xludf.DUMMYFUNCTION("""COMPUTED_VALUE"""),1862.0)</f>
        <v>1862</v>
      </c>
      <c r="L4693" s="4">
        <f>IFERROR(__xludf.DUMMYFUNCTION("""COMPUTED_VALUE"""),0.546)</f>
        <v>0.546</v>
      </c>
      <c r="M4693" s="4"/>
      <c r="N4693" s="4">
        <f>IFERROR(__xludf.DUMMYFUNCTION("""COMPUTED_VALUE"""),0.784)</f>
        <v>0.784</v>
      </c>
      <c r="O4693" s="4">
        <f>IFERROR(__xludf.DUMMYFUNCTION("""COMPUTED_VALUE"""),28.5)</f>
        <v>28.5</v>
      </c>
      <c r="P4693" s="4">
        <f>IFERROR(__xludf.DUMMYFUNCTION("""COMPUTED_VALUE"""),12.5)</f>
        <v>12.5</v>
      </c>
      <c r="Q4693" s="4">
        <f>IFERROR(__xludf.DUMMYFUNCTION("""COMPUTED_VALUE"""),6.3)</f>
        <v>6.3</v>
      </c>
      <c r="R4693" s="4">
        <f>IFERROR(__xludf.DUMMYFUNCTION("""COMPUTED_VALUE"""),2.2)</f>
        <v>2.2</v>
      </c>
      <c r="S4693" s="4">
        <f>IFERROR(__xludf.DUMMYFUNCTION("""COMPUTED_VALUE"""),78.5)</f>
        <v>78.5</v>
      </c>
      <c r="T4693" s="4">
        <f>IFERROR(__xludf.DUMMYFUNCTION("""COMPUTED_VALUE"""),0.159)</f>
        <v>0.159</v>
      </c>
      <c r="U4693" s="4">
        <f>IFERROR(__xludf.DUMMYFUNCTION("""COMPUTED_VALUE"""),1.7)</f>
        <v>1.7</v>
      </c>
      <c r="V4693" s="4">
        <f>IFERROR(__xludf.DUMMYFUNCTION("""COMPUTED_VALUE"""),22.1)</f>
        <v>22.1</v>
      </c>
    </row>
    <row r="4694">
      <c r="A4694" s="4">
        <f>IFERROR(__xludf.DUMMYFUNCTION("""COMPUTED_VALUE"""),13.0)</f>
        <v>13</v>
      </c>
      <c r="B4694" s="4">
        <f>IFERROR(__xludf.DUMMYFUNCTION("""COMPUTED_VALUE"""),13.0)</f>
        <v>13</v>
      </c>
      <c r="C4694" s="4" t="str">
        <f>IFERROR(__xludf.DUMMYFUNCTION("""COMPUTED_VALUE"""),"CHI")</f>
        <v>CHI</v>
      </c>
      <c r="D4694" s="4" t="str">
        <f>IFERROR(__xludf.DUMMYFUNCTION("""COMPUTED_VALUE"""),"Tate Armstrong")</f>
        <v>Tate Armstrong</v>
      </c>
      <c r="E4694" s="4" t="str">
        <f>IFERROR(__xludf.DUMMYFUNCTION("""COMPUTED_VALUE"""),"Duke")</f>
        <v>Duke</v>
      </c>
      <c r="F4694" s="4">
        <f>IFERROR(__xludf.DUMMYFUNCTION("""COMPUTED_VALUE"""),2.0)</f>
        <v>2</v>
      </c>
      <c r="G4694" s="4">
        <f>IFERROR(__xludf.DUMMYFUNCTION("""COMPUTED_VALUE"""),92.0)</f>
        <v>92</v>
      </c>
      <c r="H4694" s="4">
        <f>IFERROR(__xludf.DUMMYFUNCTION("""COMPUTED_VALUE"""),975.0)</f>
        <v>975</v>
      </c>
      <c r="I4694" s="4">
        <f>IFERROR(__xludf.DUMMYFUNCTION("""COMPUTED_VALUE"""),350.0)</f>
        <v>350</v>
      </c>
      <c r="J4694" s="4">
        <f>IFERROR(__xludf.DUMMYFUNCTION("""COMPUTED_VALUE"""),88.0)</f>
        <v>88</v>
      </c>
      <c r="K4694" s="4">
        <f>IFERROR(__xludf.DUMMYFUNCTION("""COMPUTED_VALUE"""),105.0)</f>
        <v>105</v>
      </c>
      <c r="L4694" s="4">
        <f>IFERROR(__xludf.DUMMYFUNCTION("""COMPUTED_VALUE"""),0.454)</f>
        <v>0.454</v>
      </c>
      <c r="M4694" s="4"/>
      <c r="N4694" s="4">
        <f>IFERROR(__xludf.DUMMYFUNCTION("""COMPUTED_VALUE"""),0.8)</f>
        <v>0.8</v>
      </c>
      <c r="O4694" s="4">
        <f>IFERROR(__xludf.DUMMYFUNCTION("""COMPUTED_VALUE"""),10.6)</f>
        <v>10.6</v>
      </c>
      <c r="P4694" s="4">
        <f>IFERROR(__xludf.DUMMYFUNCTION("""COMPUTED_VALUE"""),3.8)</f>
        <v>3.8</v>
      </c>
      <c r="Q4694" s="4">
        <f>IFERROR(__xludf.DUMMYFUNCTION("""COMPUTED_VALUE"""),1.0)</f>
        <v>1</v>
      </c>
      <c r="R4694" s="4">
        <f>IFERROR(__xludf.DUMMYFUNCTION("""COMPUTED_VALUE"""),1.1)</f>
        <v>1.1</v>
      </c>
      <c r="S4694" s="4">
        <f>IFERROR(__xludf.DUMMYFUNCTION("""COMPUTED_VALUE"""),0.3)</f>
        <v>0.3</v>
      </c>
      <c r="T4694" s="4">
        <f>IFERROR(__xludf.DUMMYFUNCTION("""COMPUTED_VALUE"""),0.017)</f>
        <v>0.017</v>
      </c>
      <c r="U4694" s="4">
        <f>IFERROR(__xludf.DUMMYFUNCTION("""COMPUTED_VALUE"""),-3.1)</f>
        <v>-3.1</v>
      </c>
      <c r="V4694" s="4">
        <f>IFERROR(__xludf.DUMMYFUNCTION("""COMPUTED_VALUE"""),-0.3)</f>
        <v>-0.3</v>
      </c>
    </row>
    <row r="4695">
      <c r="A4695" s="4">
        <f>IFERROR(__xludf.DUMMYFUNCTION("""COMPUTED_VALUE"""),14.0)</f>
        <v>14</v>
      </c>
      <c r="B4695" s="4">
        <f>IFERROR(__xludf.DUMMYFUNCTION("""COMPUTED_VALUE"""),14.0)</f>
        <v>14</v>
      </c>
      <c r="C4695" s="4" t="str">
        <f>IFERROR(__xludf.DUMMYFUNCTION("""COMPUTED_VALUE"""),"ATL")</f>
        <v>ATL</v>
      </c>
      <c r="D4695" s="4" t="str">
        <f>IFERROR(__xludf.DUMMYFUNCTION("""COMPUTED_VALUE"""),"Tree Rollins")</f>
        <v>Tree Rollins</v>
      </c>
      <c r="E4695" s="4" t="str">
        <f>IFERROR(__xludf.DUMMYFUNCTION("""COMPUTED_VALUE"""),"Clemson")</f>
        <v>Clemson</v>
      </c>
      <c r="F4695" s="4">
        <f>IFERROR(__xludf.DUMMYFUNCTION("""COMPUTED_VALUE"""),18.0)</f>
        <v>18</v>
      </c>
      <c r="G4695" s="4">
        <f>IFERROR(__xludf.DUMMYFUNCTION("""COMPUTED_VALUE"""),1156.0)</f>
        <v>1156</v>
      </c>
      <c r="H4695" s="4">
        <f>IFERROR(__xludf.DUMMYFUNCTION("""COMPUTED_VALUE"""),24028.0)</f>
        <v>24028</v>
      </c>
      <c r="I4695" s="4">
        <f>IFERROR(__xludf.DUMMYFUNCTION("""COMPUTED_VALUE"""),6249.0)</f>
        <v>6249</v>
      </c>
      <c r="J4695" s="4">
        <f>IFERROR(__xludf.DUMMYFUNCTION("""COMPUTED_VALUE"""),6750.0)</f>
        <v>6750</v>
      </c>
      <c r="K4695" s="4">
        <f>IFERROR(__xludf.DUMMYFUNCTION("""COMPUTED_VALUE"""),660.0)</f>
        <v>660</v>
      </c>
      <c r="L4695" s="4">
        <f>IFERROR(__xludf.DUMMYFUNCTION("""COMPUTED_VALUE"""),0.522)</f>
        <v>0.522</v>
      </c>
      <c r="M4695" s="4"/>
      <c r="N4695" s="4">
        <f>IFERROR(__xludf.DUMMYFUNCTION("""COMPUTED_VALUE"""),0.7)</f>
        <v>0.7</v>
      </c>
      <c r="O4695" s="4">
        <f>IFERROR(__xludf.DUMMYFUNCTION("""COMPUTED_VALUE"""),20.8)</f>
        <v>20.8</v>
      </c>
      <c r="P4695" s="4">
        <f>IFERROR(__xludf.DUMMYFUNCTION("""COMPUTED_VALUE"""),5.4)</f>
        <v>5.4</v>
      </c>
      <c r="Q4695" s="4">
        <f>IFERROR(__xludf.DUMMYFUNCTION("""COMPUTED_VALUE"""),5.8)</f>
        <v>5.8</v>
      </c>
      <c r="R4695" s="4">
        <f>IFERROR(__xludf.DUMMYFUNCTION("""COMPUTED_VALUE"""),0.6)</f>
        <v>0.6</v>
      </c>
      <c r="S4695" s="4">
        <f>IFERROR(__xludf.DUMMYFUNCTION("""COMPUTED_VALUE"""),63.9)</f>
        <v>63.9</v>
      </c>
      <c r="T4695" s="4">
        <f>IFERROR(__xludf.DUMMYFUNCTION("""COMPUTED_VALUE"""),0.128)</f>
        <v>0.128</v>
      </c>
      <c r="U4695" s="4">
        <f>IFERROR(__xludf.DUMMYFUNCTION("""COMPUTED_VALUE"""),1.1)</f>
        <v>1.1</v>
      </c>
      <c r="V4695" s="4">
        <f>IFERROR(__xludf.DUMMYFUNCTION("""COMPUTED_VALUE"""),18.8)</f>
        <v>18.8</v>
      </c>
    </row>
    <row r="4696">
      <c r="A4696" s="4">
        <f>IFERROR(__xludf.DUMMYFUNCTION("""COMPUTED_VALUE"""),15.0)</f>
        <v>15</v>
      </c>
      <c r="B4696" s="4">
        <f>IFERROR(__xludf.DUMMYFUNCTION("""COMPUTED_VALUE"""),15.0)</f>
        <v>15</v>
      </c>
      <c r="C4696" s="4" t="str">
        <f>IFERROR(__xludf.DUMMYFUNCTION("""COMPUTED_VALUE"""),"LAL")</f>
        <v>LAL</v>
      </c>
      <c r="D4696" s="4" t="str">
        <f>IFERROR(__xludf.DUMMYFUNCTION("""COMPUTED_VALUE"""),"Brad Davis")</f>
        <v>Brad Davis</v>
      </c>
      <c r="E4696" s="4" t="str">
        <f>IFERROR(__xludf.DUMMYFUNCTION("""COMPUTED_VALUE"""),"Maryland")</f>
        <v>Maryland</v>
      </c>
      <c r="F4696" s="4">
        <f>IFERROR(__xludf.DUMMYFUNCTION("""COMPUTED_VALUE"""),15.0)</f>
        <v>15</v>
      </c>
      <c r="G4696" s="4">
        <f>IFERROR(__xludf.DUMMYFUNCTION("""COMPUTED_VALUE"""),961.0)</f>
        <v>961</v>
      </c>
      <c r="H4696" s="4">
        <f>IFERROR(__xludf.DUMMYFUNCTION("""COMPUTED_VALUE"""),22302.0)</f>
        <v>22302</v>
      </c>
      <c r="I4696" s="4">
        <f>IFERROR(__xludf.DUMMYFUNCTION("""COMPUTED_VALUE"""),7866.0)</f>
        <v>7866</v>
      </c>
      <c r="J4696" s="4">
        <f>IFERROR(__xludf.DUMMYFUNCTION("""COMPUTED_VALUE"""),1738.0)</f>
        <v>1738</v>
      </c>
      <c r="K4696" s="4">
        <f>IFERROR(__xludf.DUMMYFUNCTION("""COMPUTED_VALUE"""),4709.0)</f>
        <v>4709</v>
      </c>
      <c r="L4696" s="4">
        <f>IFERROR(__xludf.DUMMYFUNCTION("""COMPUTED_VALUE"""),0.51)</f>
        <v>0.51</v>
      </c>
      <c r="M4696" s="4"/>
      <c r="N4696" s="4">
        <f>IFERROR(__xludf.DUMMYFUNCTION("""COMPUTED_VALUE"""),0.828)</f>
        <v>0.828</v>
      </c>
      <c r="O4696" s="4">
        <f>IFERROR(__xludf.DUMMYFUNCTION("""COMPUTED_VALUE"""),23.2)</f>
        <v>23.2</v>
      </c>
      <c r="P4696" s="4">
        <f>IFERROR(__xludf.DUMMYFUNCTION("""COMPUTED_VALUE"""),8.2)</f>
        <v>8.2</v>
      </c>
      <c r="Q4696" s="4">
        <f>IFERROR(__xludf.DUMMYFUNCTION("""COMPUTED_VALUE"""),1.8)</f>
        <v>1.8</v>
      </c>
      <c r="R4696" s="4">
        <f>IFERROR(__xludf.DUMMYFUNCTION("""COMPUTED_VALUE"""),4.9)</f>
        <v>4.9</v>
      </c>
      <c r="S4696" s="4">
        <f>IFERROR(__xludf.DUMMYFUNCTION("""COMPUTED_VALUE"""),53.6)</f>
        <v>53.6</v>
      </c>
      <c r="T4696" s="4">
        <f>IFERROR(__xludf.DUMMYFUNCTION("""COMPUTED_VALUE"""),0.115)</f>
        <v>0.115</v>
      </c>
      <c r="U4696" s="4">
        <f>IFERROR(__xludf.DUMMYFUNCTION("""COMPUTED_VALUE"""),0.1)</f>
        <v>0.1</v>
      </c>
      <c r="V4696" s="4">
        <f>IFERROR(__xludf.DUMMYFUNCTION("""COMPUTED_VALUE"""),12.1)</f>
        <v>12.1</v>
      </c>
    </row>
    <row r="4697">
      <c r="A4697" s="4">
        <f>IFERROR(__xludf.DUMMYFUNCTION("""COMPUTED_VALUE"""),16.0)</f>
        <v>16</v>
      </c>
      <c r="B4697" s="4">
        <f>IFERROR(__xludf.DUMMYFUNCTION("""COMPUTED_VALUE"""),16.0)</f>
        <v>16</v>
      </c>
      <c r="C4697" s="4" t="str">
        <f>IFERROR(__xludf.DUMMYFUNCTION("""COMPUTED_VALUE"""),"GSW")</f>
        <v>GSW</v>
      </c>
      <c r="D4697" s="4" t="str">
        <f>IFERROR(__xludf.DUMMYFUNCTION("""COMPUTED_VALUE"""),"Rickey Green")</f>
        <v>Rickey Green</v>
      </c>
      <c r="E4697" s="4" t="str">
        <f>IFERROR(__xludf.DUMMYFUNCTION("""COMPUTED_VALUE"""),"Michigan")</f>
        <v>Michigan</v>
      </c>
      <c r="F4697" s="4">
        <f>IFERROR(__xludf.DUMMYFUNCTION("""COMPUTED_VALUE"""),14.0)</f>
        <v>14</v>
      </c>
      <c r="G4697" s="4">
        <f>IFERROR(__xludf.DUMMYFUNCTION("""COMPUTED_VALUE"""),946.0)</f>
        <v>946</v>
      </c>
      <c r="H4697" s="4">
        <f>IFERROR(__xludf.DUMMYFUNCTION("""COMPUTED_VALUE"""),23271.0)</f>
        <v>23271</v>
      </c>
      <c r="I4697" s="4">
        <f>IFERROR(__xludf.DUMMYFUNCTION("""COMPUTED_VALUE"""),8870.0)</f>
        <v>8870</v>
      </c>
      <c r="J4697" s="4">
        <f>IFERROR(__xludf.DUMMYFUNCTION("""COMPUTED_VALUE"""),1819.0)</f>
        <v>1819</v>
      </c>
      <c r="K4697" s="4">
        <f>IFERROR(__xludf.DUMMYFUNCTION("""COMPUTED_VALUE"""),5221.0)</f>
        <v>5221</v>
      </c>
      <c r="L4697" s="4">
        <f>IFERROR(__xludf.DUMMYFUNCTION("""COMPUTED_VALUE"""),0.469)</f>
        <v>0.469</v>
      </c>
      <c r="M4697" s="4"/>
      <c r="N4697" s="4">
        <f>IFERROR(__xludf.DUMMYFUNCTION("""COMPUTED_VALUE"""),0.807)</f>
        <v>0.807</v>
      </c>
      <c r="O4697" s="4">
        <f>IFERROR(__xludf.DUMMYFUNCTION("""COMPUTED_VALUE"""),24.6)</f>
        <v>24.6</v>
      </c>
      <c r="P4697" s="4">
        <f>IFERROR(__xludf.DUMMYFUNCTION("""COMPUTED_VALUE"""),9.4)</f>
        <v>9.4</v>
      </c>
      <c r="Q4697" s="4">
        <f>IFERROR(__xludf.DUMMYFUNCTION("""COMPUTED_VALUE"""),1.9)</f>
        <v>1.9</v>
      </c>
      <c r="R4697" s="4">
        <f>IFERROR(__xludf.DUMMYFUNCTION("""COMPUTED_VALUE"""),5.5)</f>
        <v>5.5</v>
      </c>
      <c r="S4697" s="4">
        <f>IFERROR(__xludf.DUMMYFUNCTION("""COMPUTED_VALUE"""),47.2)</f>
        <v>47.2</v>
      </c>
      <c r="T4697" s="4">
        <f>IFERROR(__xludf.DUMMYFUNCTION("""COMPUTED_VALUE"""),0.097)</f>
        <v>0.097</v>
      </c>
      <c r="U4697" s="4">
        <f>IFERROR(__xludf.DUMMYFUNCTION("""COMPUTED_VALUE"""),0.5)</f>
        <v>0.5</v>
      </c>
      <c r="V4697" s="4">
        <f>IFERROR(__xludf.DUMMYFUNCTION("""COMPUTED_VALUE"""),15.0)</f>
        <v>15</v>
      </c>
    </row>
    <row r="4698">
      <c r="A4698" s="4">
        <f>IFERROR(__xludf.DUMMYFUNCTION("""COMPUTED_VALUE"""),17.0)</f>
        <v>17</v>
      </c>
      <c r="B4698" s="4">
        <f>IFERROR(__xludf.DUMMYFUNCTION("""COMPUTED_VALUE"""),17.0)</f>
        <v>17</v>
      </c>
      <c r="C4698" s="4" t="str">
        <f>IFERROR(__xludf.DUMMYFUNCTION("""COMPUTED_VALUE"""),"WSB")</f>
        <v>WSB</v>
      </c>
      <c r="D4698" s="4" t="str">
        <f>IFERROR(__xludf.DUMMYFUNCTION("""COMPUTED_VALUE"""),"Bo Ellis")</f>
        <v>Bo Ellis</v>
      </c>
      <c r="E4698" s="4" t="str">
        <f>IFERROR(__xludf.DUMMYFUNCTION("""COMPUTED_VALUE"""),"Marquette")</f>
        <v>Marquette</v>
      </c>
      <c r="F4698" s="4">
        <f>IFERROR(__xludf.DUMMYFUNCTION("""COMPUTED_VALUE"""),3.0)</f>
        <v>3</v>
      </c>
      <c r="G4698" s="4">
        <f>IFERROR(__xludf.DUMMYFUNCTION("""COMPUTED_VALUE"""),168.0)</f>
        <v>168</v>
      </c>
      <c r="H4698" s="4">
        <f>IFERROR(__xludf.DUMMYFUNCTION("""COMPUTED_VALUE"""),1984.0)</f>
        <v>1984</v>
      </c>
      <c r="I4698" s="4">
        <f>IFERROR(__xludf.DUMMYFUNCTION("""COMPUTED_VALUE"""),613.0)</f>
        <v>613</v>
      </c>
      <c r="J4698" s="4">
        <f>IFERROR(__xludf.DUMMYFUNCTION("""COMPUTED_VALUE"""),482.0)</f>
        <v>482</v>
      </c>
      <c r="K4698" s="4">
        <f>IFERROR(__xludf.DUMMYFUNCTION("""COMPUTED_VALUE"""),113.0)</f>
        <v>113</v>
      </c>
      <c r="L4698" s="4">
        <f>IFERROR(__xludf.DUMMYFUNCTION("""COMPUTED_VALUE"""),0.431)</f>
        <v>0.431</v>
      </c>
      <c r="M4698" s="4"/>
      <c r="N4698" s="4">
        <f>IFERROR(__xludf.DUMMYFUNCTION("""COMPUTED_VALUE"""),0.731)</f>
        <v>0.731</v>
      </c>
      <c r="O4698" s="4">
        <f>IFERROR(__xludf.DUMMYFUNCTION("""COMPUTED_VALUE"""),11.8)</f>
        <v>11.8</v>
      </c>
      <c r="P4698" s="4">
        <f>IFERROR(__xludf.DUMMYFUNCTION("""COMPUTED_VALUE"""),3.6)</f>
        <v>3.6</v>
      </c>
      <c r="Q4698" s="4">
        <f>IFERROR(__xludf.DUMMYFUNCTION("""COMPUTED_VALUE"""),2.9)</f>
        <v>2.9</v>
      </c>
      <c r="R4698" s="4">
        <f>IFERROR(__xludf.DUMMYFUNCTION("""COMPUTED_VALUE"""),0.7)</f>
        <v>0.7</v>
      </c>
      <c r="S4698" s="4">
        <f>IFERROR(__xludf.DUMMYFUNCTION("""COMPUTED_VALUE"""),2.5)</f>
        <v>2.5</v>
      </c>
      <c r="T4698" s="4">
        <f>IFERROR(__xludf.DUMMYFUNCTION("""COMPUTED_VALUE"""),0.06)</f>
        <v>0.06</v>
      </c>
      <c r="U4698" s="4">
        <f>IFERROR(__xludf.DUMMYFUNCTION("""COMPUTED_VALUE"""),-2.6)</f>
        <v>-2.6</v>
      </c>
      <c r="V4698" s="4">
        <f>IFERROR(__xludf.DUMMYFUNCTION("""COMPUTED_VALUE"""),-0.3)</f>
        <v>-0.3</v>
      </c>
    </row>
    <row r="4699">
      <c r="A4699" s="4">
        <f>IFERROR(__xludf.DUMMYFUNCTION("""COMPUTED_VALUE"""),18.0)</f>
        <v>18</v>
      </c>
      <c r="B4699" s="4">
        <f>IFERROR(__xludf.DUMMYFUNCTION("""COMPUTED_VALUE"""),18.0)</f>
        <v>18</v>
      </c>
      <c r="C4699" s="4" t="str">
        <f>IFERROR(__xludf.DUMMYFUNCTION("""COMPUTED_VALUE"""),"GSW")</f>
        <v>GSW</v>
      </c>
      <c r="D4699" s="4" t="str">
        <f>IFERROR(__xludf.DUMMYFUNCTION("""COMPUTED_VALUE"""),"Wesley Cox")</f>
        <v>Wesley Cox</v>
      </c>
      <c r="E4699" s="4" t="str">
        <f>IFERROR(__xludf.DUMMYFUNCTION("""COMPUTED_VALUE"""),"Louisville")</f>
        <v>Louisville</v>
      </c>
      <c r="F4699" s="4">
        <f>IFERROR(__xludf.DUMMYFUNCTION("""COMPUTED_VALUE"""),2.0)</f>
        <v>2</v>
      </c>
      <c r="G4699" s="4">
        <f>IFERROR(__xludf.DUMMYFUNCTION("""COMPUTED_VALUE"""),74.0)</f>
        <v>74</v>
      </c>
      <c r="H4699" s="4">
        <f>IFERROR(__xludf.DUMMYFUNCTION("""COMPUTED_VALUE"""),813.0)</f>
        <v>813</v>
      </c>
      <c r="I4699" s="4">
        <f>IFERROR(__xludf.DUMMYFUNCTION("""COMPUTED_VALUE"""),342.0)</f>
        <v>342</v>
      </c>
      <c r="J4699" s="4">
        <f>IFERROR(__xludf.DUMMYFUNCTION("""COMPUTED_VALUE"""),206.0)</f>
        <v>206</v>
      </c>
      <c r="K4699" s="4">
        <f>IFERROR(__xludf.DUMMYFUNCTION("""COMPUTED_VALUE"""),23.0)</f>
        <v>23</v>
      </c>
      <c r="L4699" s="4">
        <f>IFERROR(__xludf.DUMMYFUNCTION("""COMPUTED_VALUE"""),0.412)</f>
        <v>0.412</v>
      </c>
      <c r="M4699" s="4"/>
      <c r="N4699" s="4">
        <f>IFERROR(__xludf.DUMMYFUNCTION("""COMPUTED_VALUE"""),0.51)</f>
        <v>0.51</v>
      </c>
      <c r="O4699" s="4">
        <f>IFERROR(__xludf.DUMMYFUNCTION("""COMPUTED_VALUE"""),11.0)</f>
        <v>11</v>
      </c>
      <c r="P4699" s="4">
        <f>IFERROR(__xludf.DUMMYFUNCTION("""COMPUTED_VALUE"""),4.6)</f>
        <v>4.6</v>
      </c>
      <c r="Q4699" s="4">
        <f>IFERROR(__xludf.DUMMYFUNCTION("""COMPUTED_VALUE"""),2.8)</f>
        <v>2.8</v>
      </c>
      <c r="R4699" s="4">
        <f>IFERROR(__xludf.DUMMYFUNCTION("""COMPUTED_VALUE"""),0.3)</f>
        <v>0.3</v>
      </c>
      <c r="S4699" s="4">
        <f>IFERROR(__xludf.DUMMYFUNCTION("""COMPUTED_VALUE"""),0.1)</f>
        <v>0.1</v>
      </c>
      <c r="T4699" s="4">
        <f>IFERROR(__xludf.DUMMYFUNCTION("""COMPUTED_VALUE"""),0.007)</f>
        <v>0.007</v>
      </c>
      <c r="U4699" s="4">
        <f>IFERROR(__xludf.DUMMYFUNCTION("""COMPUTED_VALUE"""),-6.0)</f>
        <v>-6</v>
      </c>
      <c r="V4699" s="4">
        <f>IFERROR(__xludf.DUMMYFUNCTION("""COMPUTED_VALUE"""),-0.9)</f>
        <v>-0.9</v>
      </c>
    </row>
    <row r="4700">
      <c r="A4700" s="4">
        <f>IFERROR(__xludf.DUMMYFUNCTION("""COMPUTED_VALUE"""),19.0)</f>
        <v>19</v>
      </c>
      <c r="B4700" s="4">
        <f>IFERROR(__xludf.DUMMYFUNCTION("""COMPUTED_VALUE"""),19.0)</f>
        <v>19</v>
      </c>
      <c r="C4700" s="4" t="str">
        <f>IFERROR(__xludf.DUMMYFUNCTION("""COMPUTED_VALUE"""),"POR")</f>
        <v>POR</v>
      </c>
      <c r="D4700" s="4" t="str">
        <f>IFERROR(__xludf.DUMMYFUNCTION("""COMPUTED_VALUE"""),"Rich Laurel")</f>
        <v>Rich Laurel</v>
      </c>
      <c r="E4700" s="4" t="str">
        <f>IFERROR(__xludf.DUMMYFUNCTION("""COMPUTED_VALUE"""),"Hofstra")</f>
        <v>Hofstra</v>
      </c>
      <c r="F4700" s="4">
        <f>IFERROR(__xludf.DUMMYFUNCTION("""COMPUTED_VALUE"""),1.0)</f>
        <v>1</v>
      </c>
      <c r="G4700" s="4">
        <f>IFERROR(__xludf.DUMMYFUNCTION("""COMPUTED_VALUE"""),10.0)</f>
        <v>10</v>
      </c>
      <c r="H4700" s="4">
        <f>IFERROR(__xludf.DUMMYFUNCTION("""COMPUTED_VALUE"""),57.0)</f>
        <v>57</v>
      </c>
      <c r="I4700" s="4">
        <f>IFERROR(__xludf.DUMMYFUNCTION("""COMPUTED_VALUE"""),24.0)</f>
        <v>24</v>
      </c>
      <c r="J4700" s="4">
        <f>IFERROR(__xludf.DUMMYFUNCTION("""COMPUTED_VALUE"""),10.0)</f>
        <v>10</v>
      </c>
      <c r="K4700" s="4">
        <f>IFERROR(__xludf.DUMMYFUNCTION("""COMPUTED_VALUE"""),3.0)</f>
        <v>3</v>
      </c>
      <c r="L4700" s="4">
        <f>IFERROR(__xludf.DUMMYFUNCTION("""COMPUTED_VALUE"""),0.323)</f>
        <v>0.323</v>
      </c>
      <c r="M4700" s="4"/>
      <c r="N4700" s="4">
        <f>IFERROR(__xludf.DUMMYFUNCTION("""COMPUTED_VALUE"""),1.0)</f>
        <v>1</v>
      </c>
      <c r="O4700" s="4">
        <f>IFERROR(__xludf.DUMMYFUNCTION("""COMPUTED_VALUE"""),5.7)</f>
        <v>5.7</v>
      </c>
      <c r="P4700" s="4">
        <f>IFERROR(__xludf.DUMMYFUNCTION("""COMPUTED_VALUE"""),2.4)</f>
        <v>2.4</v>
      </c>
      <c r="Q4700" s="4">
        <f>IFERROR(__xludf.DUMMYFUNCTION("""COMPUTED_VALUE"""),1.0)</f>
        <v>1</v>
      </c>
      <c r="R4700" s="4">
        <f>IFERROR(__xludf.DUMMYFUNCTION("""COMPUTED_VALUE"""),0.3)</f>
        <v>0.3</v>
      </c>
      <c r="S4700" s="4">
        <f>IFERROR(__xludf.DUMMYFUNCTION("""COMPUTED_VALUE"""),0.0)</f>
        <v>0</v>
      </c>
      <c r="T4700" s="4">
        <f>IFERROR(__xludf.DUMMYFUNCTION("""COMPUTED_VALUE"""),-0.034)</f>
        <v>-0.034</v>
      </c>
      <c r="U4700" s="4">
        <f>IFERROR(__xludf.DUMMYFUNCTION("""COMPUTED_VALUE"""),-5.1)</f>
        <v>-5.1</v>
      </c>
      <c r="V4700" s="4">
        <f>IFERROR(__xludf.DUMMYFUNCTION("""COMPUTED_VALUE"""),-0.1)</f>
        <v>-0.1</v>
      </c>
    </row>
    <row r="4701">
      <c r="A4701" s="4">
        <f>IFERROR(__xludf.DUMMYFUNCTION("""COMPUTED_VALUE"""),20.0)</f>
        <v>20</v>
      </c>
      <c r="B4701" s="4">
        <f>IFERROR(__xludf.DUMMYFUNCTION("""COMPUTED_VALUE"""),20.0)</f>
        <v>20</v>
      </c>
      <c r="C4701" s="4" t="str">
        <f>IFERROR(__xludf.DUMMYFUNCTION("""COMPUTED_VALUE"""),"PHI")</f>
        <v>PHI</v>
      </c>
      <c r="D4701" s="4" t="str">
        <f>IFERROR(__xludf.DUMMYFUNCTION("""COMPUTED_VALUE"""),"Glenn Mosley")</f>
        <v>Glenn Mosley</v>
      </c>
      <c r="E4701" s="4" t="str">
        <f>IFERROR(__xludf.DUMMYFUNCTION("""COMPUTED_VALUE"""),"Seton Hall")</f>
        <v>Seton Hall</v>
      </c>
      <c r="F4701" s="4">
        <f>IFERROR(__xludf.DUMMYFUNCTION("""COMPUTED_VALUE"""),2.0)</f>
        <v>2</v>
      </c>
      <c r="G4701" s="4">
        <f>IFERROR(__xludf.DUMMYFUNCTION("""COMPUTED_VALUE"""),32.0)</f>
        <v>32</v>
      </c>
      <c r="H4701" s="4">
        <f>IFERROR(__xludf.DUMMYFUNCTION("""COMPUTED_VALUE"""),242.0)</f>
        <v>242</v>
      </c>
      <c r="I4701" s="4">
        <f>IFERROR(__xludf.DUMMYFUNCTION("""COMPUTED_VALUE"""),98.0)</f>
        <v>98</v>
      </c>
      <c r="J4701" s="4">
        <f>IFERROR(__xludf.DUMMYFUNCTION("""COMPUTED_VALUE"""),69.0)</f>
        <v>69</v>
      </c>
      <c r="K4701" s="4">
        <f>IFERROR(__xludf.DUMMYFUNCTION("""COMPUTED_VALUE"""),21.0)</f>
        <v>21</v>
      </c>
      <c r="L4701" s="4">
        <f>IFERROR(__xludf.DUMMYFUNCTION("""COMPUTED_VALUE"""),0.409)</f>
        <v>0.409</v>
      </c>
      <c r="M4701" s="4"/>
      <c r="N4701" s="4">
        <f>IFERROR(__xludf.DUMMYFUNCTION("""COMPUTED_VALUE"""),0.578)</f>
        <v>0.578</v>
      </c>
      <c r="O4701" s="4">
        <f>IFERROR(__xludf.DUMMYFUNCTION("""COMPUTED_VALUE"""),7.6)</f>
        <v>7.6</v>
      </c>
      <c r="P4701" s="4">
        <f>IFERROR(__xludf.DUMMYFUNCTION("""COMPUTED_VALUE"""),3.1)</f>
        <v>3.1</v>
      </c>
      <c r="Q4701" s="4">
        <f>IFERROR(__xludf.DUMMYFUNCTION("""COMPUTED_VALUE"""),2.2)</f>
        <v>2.2</v>
      </c>
      <c r="R4701" s="4">
        <f>IFERROR(__xludf.DUMMYFUNCTION("""COMPUTED_VALUE"""),0.7)</f>
        <v>0.7</v>
      </c>
      <c r="S4701" s="4">
        <f>IFERROR(__xludf.DUMMYFUNCTION("""COMPUTED_VALUE"""),0.2)</f>
        <v>0.2</v>
      </c>
      <c r="T4701" s="4">
        <f>IFERROR(__xludf.DUMMYFUNCTION("""COMPUTED_VALUE"""),0.042)</f>
        <v>0.042</v>
      </c>
      <c r="U4701" s="4">
        <f>IFERROR(__xludf.DUMMYFUNCTION("""COMPUTED_VALUE"""),-2.9)</f>
        <v>-2.9</v>
      </c>
      <c r="V4701" s="4">
        <f>IFERROR(__xludf.DUMMYFUNCTION("""COMPUTED_VALUE"""),-0.1)</f>
        <v>-0.1</v>
      </c>
    </row>
    <row r="4702">
      <c r="A4702" s="4">
        <f>IFERROR(__xludf.DUMMYFUNCTION("""COMPUTED_VALUE"""),21.0)</f>
        <v>21</v>
      </c>
      <c r="B4702" s="4">
        <f>IFERROR(__xludf.DUMMYFUNCTION("""COMPUTED_VALUE"""),21.0)</f>
        <v>21</v>
      </c>
      <c r="C4702" s="4" t="str">
        <f>IFERROR(__xludf.DUMMYFUNCTION("""COMPUTED_VALUE"""),"DEN")</f>
        <v>DEN</v>
      </c>
      <c r="D4702" s="4" t="str">
        <f>IFERROR(__xludf.DUMMYFUNCTION("""COMPUTED_VALUE"""),"Anthony Roberts")</f>
        <v>Anthony Roberts</v>
      </c>
      <c r="E4702" s="4" t="str">
        <f>IFERROR(__xludf.DUMMYFUNCTION("""COMPUTED_VALUE"""),"Oral Roberts")</f>
        <v>Oral Roberts</v>
      </c>
      <c r="F4702" s="4">
        <f>IFERROR(__xludf.DUMMYFUNCTION("""COMPUTED_VALUE"""),5.0)</f>
        <v>5</v>
      </c>
      <c r="G4702" s="4">
        <f>IFERROR(__xludf.DUMMYFUNCTION("""COMPUTED_VALUE"""),213.0)</f>
        <v>213</v>
      </c>
      <c r="H4702" s="4">
        <f>IFERROR(__xludf.DUMMYFUNCTION("""COMPUTED_VALUE"""),3867.0)</f>
        <v>3867</v>
      </c>
      <c r="I4702" s="4">
        <f>IFERROR(__xludf.DUMMYFUNCTION("""COMPUTED_VALUE"""),1658.0)</f>
        <v>1658</v>
      </c>
      <c r="J4702" s="4">
        <f>IFERROR(__xludf.DUMMYFUNCTION("""COMPUTED_VALUE"""),837.0)</f>
        <v>837</v>
      </c>
      <c r="K4702" s="4">
        <f>IFERROR(__xludf.DUMMYFUNCTION("""COMPUTED_VALUE"""),265.0)</f>
        <v>265</v>
      </c>
      <c r="L4702" s="4">
        <f>IFERROR(__xludf.DUMMYFUNCTION("""COMPUTED_VALUE"""),0.412)</f>
        <v>0.412</v>
      </c>
      <c r="M4702" s="4"/>
      <c r="N4702" s="4">
        <f>IFERROR(__xludf.DUMMYFUNCTION("""COMPUTED_VALUE"""),0.699)</f>
        <v>0.699</v>
      </c>
      <c r="O4702" s="4">
        <f>IFERROR(__xludf.DUMMYFUNCTION("""COMPUTED_VALUE"""),18.2)</f>
        <v>18.2</v>
      </c>
      <c r="P4702" s="4">
        <f>IFERROR(__xludf.DUMMYFUNCTION("""COMPUTED_VALUE"""),7.8)</f>
        <v>7.8</v>
      </c>
      <c r="Q4702" s="4">
        <f>IFERROR(__xludf.DUMMYFUNCTION("""COMPUTED_VALUE"""),3.9)</f>
        <v>3.9</v>
      </c>
      <c r="R4702" s="4">
        <f>IFERROR(__xludf.DUMMYFUNCTION("""COMPUTED_VALUE"""),1.2)</f>
        <v>1.2</v>
      </c>
      <c r="S4702" s="4">
        <f>IFERROR(__xludf.DUMMYFUNCTION("""COMPUTED_VALUE"""),3.3)</f>
        <v>3.3</v>
      </c>
      <c r="T4702" s="4">
        <f>IFERROR(__xludf.DUMMYFUNCTION("""COMPUTED_VALUE"""),0.041)</f>
        <v>0.041</v>
      </c>
      <c r="U4702" s="4">
        <f>IFERROR(__xludf.DUMMYFUNCTION("""COMPUTED_VALUE"""),-4.2)</f>
        <v>-4.2</v>
      </c>
      <c r="V4702" s="4">
        <f>IFERROR(__xludf.DUMMYFUNCTION("""COMPUTED_VALUE"""),-2.3)</f>
        <v>-2.3</v>
      </c>
    </row>
    <row r="4703">
      <c r="A4703" s="4">
        <f>IFERROR(__xludf.DUMMYFUNCTION("""COMPUTED_VALUE"""),22.0)</f>
        <v>22</v>
      </c>
      <c r="B4703" s="4">
        <f>IFERROR(__xludf.DUMMYFUNCTION("""COMPUTED_VALUE"""),22.0)</f>
        <v>22</v>
      </c>
      <c r="C4703" s="4" t="str">
        <f>IFERROR(__xludf.DUMMYFUNCTION("""COMPUTED_VALUE"""),"LAL")</f>
        <v>LAL</v>
      </c>
      <c r="D4703" s="4" t="str">
        <f>IFERROR(__xludf.DUMMYFUNCTION("""COMPUTED_VALUE"""),"Norm Nixon")</f>
        <v>Norm Nixon</v>
      </c>
      <c r="E4703" s="4" t="str">
        <f>IFERROR(__xludf.DUMMYFUNCTION("""COMPUTED_VALUE"""),"Duquesne")</f>
        <v>Duquesne</v>
      </c>
      <c r="F4703" s="4">
        <f>IFERROR(__xludf.DUMMYFUNCTION("""COMPUTED_VALUE"""),10.0)</f>
        <v>10</v>
      </c>
      <c r="G4703" s="4">
        <f>IFERROR(__xludf.DUMMYFUNCTION("""COMPUTED_VALUE"""),768.0)</f>
        <v>768</v>
      </c>
      <c r="H4703" s="4">
        <f>IFERROR(__xludf.DUMMYFUNCTION("""COMPUTED_VALUE"""),27250.0)</f>
        <v>27250</v>
      </c>
      <c r="I4703" s="4">
        <f>IFERROR(__xludf.DUMMYFUNCTION("""COMPUTED_VALUE"""),12065.0)</f>
        <v>12065</v>
      </c>
      <c r="J4703" s="4">
        <f>IFERROR(__xludf.DUMMYFUNCTION("""COMPUTED_VALUE"""),1991.0)</f>
        <v>1991</v>
      </c>
      <c r="K4703" s="4">
        <f>IFERROR(__xludf.DUMMYFUNCTION("""COMPUTED_VALUE"""),6386.0)</f>
        <v>6386</v>
      </c>
      <c r="L4703" s="4">
        <f>IFERROR(__xludf.DUMMYFUNCTION("""COMPUTED_VALUE"""),0.483)</f>
        <v>0.483</v>
      </c>
      <c r="M4703" s="4"/>
      <c r="N4703" s="4">
        <f>IFERROR(__xludf.DUMMYFUNCTION("""COMPUTED_VALUE"""),0.772)</f>
        <v>0.772</v>
      </c>
      <c r="O4703" s="4">
        <f>IFERROR(__xludf.DUMMYFUNCTION("""COMPUTED_VALUE"""),35.5)</f>
        <v>35.5</v>
      </c>
      <c r="P4703" s="4">
        <f>IFERROR(__xludf.DUMMYFUNCTION("""COMPUTED_VALUE"""),15.7)</f>
        <v>15.7</v>
      </c>
      <c r="Q4703" s="4">
        <f>IFERROR(__xludf.DUMMYFUNCTION("""COMPUTED_VALUE"""),2.6)</f>
        <v>2.6</v>
      </c>
      <c r="R4703" s="4">
        <f>IFERROR(__xludf.DUMMYFUNCTION("""COMPUTED_VALUE"""),8.3)</f>
        <v>8.3</v>
      </c>
      <c r="S4703" s="4">
        <f>IFERROR(__xludf.DUMMYFUNCTION("""COMPUTED_VALUE"""),47.6)</f>
        <v>47.6</v>
      </c>
      <c r="T4703" s="4">
        <f>IFERROR(__xludf.DUMMYFUNCTION("""COMPUTED_VALUE"""),0.084)</f>
        <v>0.084</v>
      </c>
      <c r="U4703" s="4">
        <f>IFERROR(__xludf.DUMMYFUNCTION("""COMPUTED_VALUE"""),-0.5)</f>
        <v>-0.5</v>
      </c>
      <c r="V4703" s="4">
        <f>IFERROR(__xludf.DUMMYFUNCTION("""COMPUTED_VALUE"""),10.2)</f>
        <v>10.2</v>
      </c>
    </row>
    <row r="4704">
      <c r="A4704" s="4"/>
      <c r="B4704" s="4"/>
      <c r="C4704" s="4"/>
      <c r="D4704" s="4" t="str">
        <f>IFERROR(__xludf.DUMMYFUNCTION("""COMPUTED_VALUE"""),"Round 2")</f>
        <v>Round 2</v>
      </c>
      <c r="E4704" s="4"/>
      <c r="F4704" s="4"/>
      <c r="G4704" s="4" t="str">
        <f>IFERROR(__xludf.DUMMYFUNCTION("""COMPUTED_VALUE"""),"Totals")</f>
        <v>Totals</v>
      </c>
      <c r="H4704" s="4"/>
      <c r="I4704" s="4"/>
      <c r="J4704" s="4"/>
      <c r="K4704" s="4"/>
      <c r="L4704" s="4" t="str">
        <f>IFERROR(__xludf.DUMMYFUNCTION("""COMPUTED_VALUE"""),"Shooting")</f>
        <v>Shooting</v>
      </c>
      <c r="M4704" s="4"/>
      <c r="N4704" s="4"/>
      <c r="O4704" s="4" t="str">
        <f>IFERROR(__xludf.DUMMYFUNCTION("""COMPUTED_VALUE"""),"Per Game")</f>
        <v>Per Game</v>
      </c>
      <c r="P4704" s="4"/>
      <c r="Q4704" s="4"/>
      <c r="R4704" s="4"/>
      <c r="S4704" s="4" t="str">
        <f>IFERROR(__xludf.DUMMYFUNCTION("""COMPUTED_VALUE"""),"Advanced")</f>
        <v>Advanced</v>
      </c>
      <c r="T4704" s="4"/>
      <c r="U4704" s="4"/>
      <c r="V4704" s="4"/>
    </row>
    <row r="4705">
      <c r="A4705" s="4" t="str">
        <f>IFERROR(__xludf.DUMMYFUNCTION("""COMPUTED_VALUE"""),"Rk")</f>
        <v>Rk</v>
      </c>
      <c r="B4705" s="4" t="str">
        <f>IFERROR(__xludf.DUMMYFUNCTION("""COMPUTED_VALUE"""),"Pk")</f>
        <v>Pk</v>
      </c>
      <c r="C4705" s="4" t="str">
        <f>IFERROR(__xludf.DUMMYFUNCTION("""COMPUTED_VALUE"""),"Tm")</f>
        <v>Tm</v>
      </c>
      <c r="D4705" s="4" t="str">
        <f>IFERROR(__xludf.DUMMYFUNCTION("""COMPUTED_VALUE"""),"Player")</f>
        <v>Player</v>
      </c>
      <c r="E4705" s="4" t="str">
        <f>IFERROR(__xludf.DUMMYFUNCTION("""COMPUTED_VALUE"""),"College")</f>
        <v>College</v>
      </c>
      <c r="F4705" s="4" t="str">
        <f>IFERROR(__xludf.DUMMYFUNCTION("""COMPUTED_VALUE"""),"Yrs")</f>
        <v>Yrs</v>
      </c>
      <c r="G4705" s="4" t="str">
        <f>IFERROR(__xludf.DUMMYFUNCTION("""COMPUTED_VALUE"""),"G")</f>
        <v>G</v>
      </c>
      <c r="H4705" s="4" t="str">
        <f>IFERROR(__xludf.DUMMYFUNCTION("""COMPUTED_VALUE"""),"MP")</f>
        <v>MP</v>
      </c>
      <c r="I4705" s="4" t="str">
        <f>IFERROR(__xludf.DUMMYFUNCTION("""COMPUTED_VALUE"""),"PTS")</f>
        <v>PTS</v>
      </c>
      <c r="J4705" s="4" t="str">
        <f>IFERROR(__xludf.DUMMYFUNCTION("""COMPUTED_VALUE"""),"TRB")</f>
        <v>TRB</v>
      </c>
      <c r="K4705" s="4" t="str">
        <f>IFERROR(__xludf.DUMMYFUNCTION("""COMPUTED_VALUE"""),"AST")</f>
        <v>AST</v>
      </c>
      <c r="L4705" s="4" t="str">
        <f>IFERROR(__xludf.DUMMYFUNCTION("""COMPUTED_VALUE"""),"FG%")</f>
        <v>FG%</v>
      </c>
      <c r="M4705" s="4" t="str">
        <f>IFERROR(__xludf.DUMMYFUNCTION("""COMPUTED_VALUE"""),"3P%")</f>
        <v>3P%</v>
      </c>
      <c r="N4705" s="4" t="str">
        <f>IFERROR(__xludf.DUMMYFUNCTION("""COMPUTED_VALUE"""),"FT%")</f>
        <v>FT%</v>
      </c>
      <c r="O4705" s="4" t="str">
        <f>IFERROR(__xludf.DUMMYFUNCTION("""COMPUTED_VALUE"""),"MP")</f>
        <v>MP</v>
      </c>
      <c r="P4705" s="4" t="str">
        <f>IFERROR(__xludf.DUMMYFUNCTION("""COMPUTED_VALUE"""),"PTS")</f>
        <v>PTS</v>
      </c>
      <c r="Q4705" s="4" t="str">
        <f>IFERROR(__xludf.DUMMYFUNCTION("""COMPUTED_VALUE"""),"TRB")</f>
        <v>TRB</v>
      </c>
      <c r="R4705" s="4" t="str">
        <f>IFERROR(__xludf.DUMMYFUNCTION("""COMPUTED_VALUE"""),"AST")</f>
        <v>AST</v>
      </c>
      <c r="S4705" s="4" t="str">
        <f>IFERROR(__xludf.DUMMYFUNCTION("""COMPUTED_VALUE"""),"WS")</f>
        <v>WS</v>
      </c>
      <c r="T4705" s="4" t="str">
        <f>IFERROR(__xludf.DUMMYFUNCTION("""COMPUTED_VALUE"""),"WS/48")</f>
        <v>WS/48</v>
      </c>
      <c r="U4705" s="4" t="str">
        <f>IFERROR(__xludf.DUMMYFUNCTION("""COMPUTED_VALUE"""),"BPM")</f>
        <v>BPM</v>
      </c>
      <c r="V4705" s="4" t="str">
        <f>IFERROR(__xludf.DUMMYFUNCTION("""COMPUTED_VALUE"""),"VORP")</f>
        <v>VORP</v>
      </c>
    </row>
    <row r="4706">
      <c r="A4706" s="4">
        <f>IFERROR(__xludf.DUMMYFUNCTION("""COMPUTED_VALUE"""),23.0)</f>
        <v>23</v>
      </c>
      <c r="B4706" s="4">
        <f>IFERROR(__xludf.DUMMYFUNCTION("""COMPUTED_VALUE"""),23.0)</f>
        <v>23</v>
      </c>
      <c r="C4706" s="4" t="str">
        <f>IFERROR(__xludf.DUMMYFUNCTION("""COMPUTED_VALUE"""),"CHI")</f>
        <v>CHI</v>
      </c>
      <c r="D4706" s="4" t="str">
        <f>IFERROR(__xludf.DUMMYFUNCTION("""COMPUTED_VALUE"""),"Mike Glenn")</f>
        <v>Mike Glenn</v>
      </c>
      <c r="E4706" s="4" t="str">
        <f>IFERROR(__xludf.DUMMYFUNCTION("""COMPUTED_VALUE"""),"Southern Illinois")</f>
        <v>Southern Illinois</v>
      </c>
      <c r="F4706" s="4">
        <f>IFERROR(__xludf.DUMMYFUNCTION("""COMPUTED_VALUE"""),10.0)</f>
        <v>10</v>
      </c>
      <c r="G4706" s="4">
        <f>IFERROR(__xludf.DUMMYFUNCTION("""COMPUTED_VALUE"""),593.0)</f>
        <v>593</v>
      </c>
      <c r="H4706" s="4">
        <f>IFERROR(__xludf.DUMMYFUNCTION("""COMPUTED_VALUE"""),9617.0)</f>
        <v>9617</v>
      </c>
      <c r="I4706" s="4">
        <f>IFERROR(__xludf.DUMMYFUNCTION("""COMPUTED_VALUE"""),4496.0)</f>
        <v>4496</v>
      </c>
      <c r="J4706" s="4">
        <f>IFERROR(__xludf.DUMMYFUNCTION("""COMPUTED_VALUE"""),710.0)</f>
        <v>710</v>
      </c>
      <c r="K4706" s="4">
        <f>IFERROR(__xludf.DUMMYFUNCTION("""COMPUTED_VALUE"""),952.0)</f>
        <v>952</v>
      </c>
      <c r="L4706" s="4">
        <f>IFERROR(__xludf.DUMMYFUNCTION("""COMPUTED_VALUE"""),0.542)</f>
        <v>0.542</v>
      </c>
      <c r="M4706" s="4"/>
      <c r="N4706" s="4">
        <f>IFERROR(__xludf.DUMMYFUNCTION("""COMPUTED_VALUE"""),0.855)</f>
        <v>0.855</v>
      </c>
      <c r="O4706" s="4">
        <f>IFERROR(__xludf.DUMMYFUNCTION("""COMPUTED_VALUE"""),16.2)</f>
        <v>16.2</v>
      </c>
      <c r="P4706" s="4">
        <f>IFERROR(__xludf.DUMMYFUNCTION("""COMPUTED_VALUE"""),7.6)</f>
        <v>7.6</v>
      </c>
      <c r="Q4706" s="4">
        <f>IFERROR(__xludf.DUMMYFUNCTION("""COMPUTED_VALUE"""),1.2)</f>
        <v>1.2</v>
      </c>
      <c r="R4706" s="4">
        <f>IFERROR(__xludf.DUMMYFUNCTION("""COMPUTED_VALUE"""),1.6)</f>
        <v>1.6</v>
      </c>
      <c r="S4706" s="4">
        <f>IFERROR(__xludf.DUMMYFUNCTION("""COMPUTED_VALUE"""),25.3)</f>
        <v>25.3</v>
      </c>
      <c r="T4706" s="4">
        <f>IFERROR(__xludf.DUMMYFUNCTION("""COMPUTED_VALUE"""),0.126)</f>
        <v>0.126</v>
      </c>
      <c r="U4706" s="4">
        <f>IFERROR(__xludf.DUMMYFUNCTION("""COMPUTED_VALUE"""),0.3)</f>
        <v>0.3</v>
      </c>
      <c r="V4706" s="4">
        <f>IFERROR(__xludf.DUMMYFUNCTION("""COMPUTED_VALUE"""),5.6)</f>
        <v>5.6</v>
      </c>
    </row>
    <row r="4707">
      <c r="A4707" s="4">
        <f>IFERROR(__xludf.DUMMYFUNCTION("""COMPUTED_VALUE"""),24.0)</f>
        <v>24</v>
      </c>
      <c r="B4707" s="4">
        <f>IFERROR(__xludf.DUMMYFUNCTION("""COMPUTED_VALUE"""),24.0)</f>
        <v>24</v>
      </c>
      <c r="C4707" s="4" t="str">
        <f>IFERROR(__xludf.DUMMYFUNCTION("""COMPUTED_VALUE"""),"BUF")</f>
        <v>BUF</v>
      </c>
      <c r="D4707" s="4" t="str">
        <f>IFERROR(__xludf.DUMMYFUNCTION("""COMPUTED_VALUE"""),"Larry Johnson")</f>
        <v>Larry Johnson</v>
      </c>
      <c r="E4707" s="4" t="str">
        <f>IFERROR(__xludf.DUMMYFUNCTION("""COMPUTED_VALUE"""),"Kentucky")</f>
        <v>Kentucky</v>
      </c>
      <c r="F4707" s="4">
        <f>IFERROR(__xludf.DUMMYFUNCTION("""COMPUTED_VALUE"""),1.0)</f>
        <v>1</v>
      </c>
      <c r="G4707" s="4">
        <f>IFERROR(__xludf.DUMMYFUNCTION("""COMPUTED_VALUE"""),4.0)</f>
        <v>4</v>
      </c>
      <c r="H4707" s="4">
        <f>IFERROR(__xludf.DUMMYFUNCTION("""COMPUTED_VALUE"""),38.0)</f>
        <v>38</v>
      </c>
      <c r="I4707" s="4">
        <f>IFERROR(__xludf.DUMMYFUNCTION("""COMPUTED_VALUE"""),6.0)</f>
        <v>6</v>
      </c>
      <c r="J4707" s="4">
        <f>IFERROR(__xludf.DUMMYFUNCTION("""COMPUTED_VALUE"""),5.0)</f>
        <v>5</v>
      </c>
      <c r="K4707" s="4">
        <f>IFERROR(__xludf.DUMMYFUNCTION("""COMPUTED_VALUE"""),7.0)</f>
        <v>7</v>
      </c>
      <c r="L4707" s="4">
        <f>IFERROR(__xludf.DUMMYFUNCTION("""COMPUTED_VALUE"""),0.231)</f>
        <v>0.231</v>
      </c>
      <c r="M4707" s="4"/>
      <c r="N4707" s="4">
        <f>IFERROR(__xludf.DUMMYFUNCTION("""COMPUTED_VALUE"""),0.0)</f>
        <v>0</v>
      </c>
      <c r="O4707" s="4">
        <f>IFERROR(__xludf.DUMMYFUNCTION("""COMPUTED_VALUE"""),9.5)</f>
        <v>9.5</v>
      </c>
      <c r="P4707" s="4">
        <f>IFERROR(__xludf.DUMMYFUNCTION("""COMPUTED_VALUE"""),1.5)</f>
        <v>1.5</v>
      </c>
      <c r="Q4707" s="4">
        <f>IFERROR(__xludf.DUMMYFUNCTION("""COMPUTED_VALUE"""),1.3)</f>
        <v>1.3</v>
      </c>
      <c r="R4707" s="4">
        <f>IFERROR(__xludf.DUMMYFUNCTION("""COMPUTED_VALUE"""),1.8)</f>
        <v>1.8</v>
      </c>
      <c r="S4707" s="4">
        <f>IFERROR(__xludf.DUMMYFUNCTION("""COMPUTED_VALUE"""),-0.1)</f>
        <v>-0.1</v>
      </c>
      <c r="T4707" s="4">
        <f>IFERROR(__xludf.DUMMYFUNCTION("""COMPUTED_VALUE"""),-0.099)</f>
        <v>-0.099</v>
      </c>
      <c r="U4707" s="4">
        <f>IFERROR(__xludf.DUMMYFUNCTION("""COMPUTED_VALUE"""),-2.9)</f>
        <v>-2.9</v>
      </c>
      <c r="V4707" s="4">
        <f>IFERROR(__xludf.DUMMYFUNCTION("""COMPUTED_VALUE"""),0.0)</f>
        <v>0</v>
      </c>
    </row>
    <row r="4708">
      <c r="A4708" s="4">
        <f>IFERROR(__xludf.DUMMYFUNCTION("""COMPUTED_VALUE"""),25.0)</f>
        <v>25</v>
      </c>
      <c r="B4708" s="4">
        <f>IFERROR(__xludf.DUMMYFUNCTION("""COMPUTED_VALUE"""),25.0)</f>
        <v>25</v>
      </c>
      <c r="C4708" s="4" t="str">
        <f>IFERROR(__xludf.DUMMYFUNCTION("""COMPUTED_VALUE"""),"PHI")</f>
        <v>PHI</v>
      </c>
      <c r="D4708" s="4" t="str">
        <f>IFERROR(__xludf.DUMMYFUNCTION("""COMPUTED_VALUE"""),"Wilson Washington")</f>
        <v>Wilson Washington</v>
      </c>
      <c r="E4708" s="4" t="str">
        <f>IFERROR(__xludf.DUMMYFUNCTION("""COMPUTED_VALUE"""),"Old Dominion")</f>
        <v>Old Dominion</v>
      </c>
      <c r="F4708" s="4">
        <f>IFERROR(__xludf.DUMMYFUNCTION("""COMPUTED_VALUE"""),2.0)</f>
        <v>2</v>
      </c>
      <c r="G4708" s="4">
        <f>IFERROR(__xludf.DUMMYFUNCTION("""COMPUTED_VALUE"""),100.0)</f>
        <v>100</v>
      </c>
      <c r="H4708" s="4">
        <f>IFERROR(__xludf.DUMMYFUNCTION("""COMPUTED_VALUE"""),1700.0)</f>
        <v>1700</v>
      </c>
      <c r="I4708" s="4">
        <f>IFERROR(__xludf.DUMMYFUNCTION("""COMPUTED_VALUE"""),731.0)</f>
        <v>731</v>
      </c>
      <c r="J4708" s="4">
        <f>IFERROR(__xludf.DUMMYFUNCTION("""COMPUTED_VALUE"""),450.0)</f>
        <v>450</v>
      </c>
      <c r="K4708" s="4">
        <f>IFERROR(__xludf.DUMMYFUNCTION("""COMPUTED_VALUE"""),57.0)</f>
        <v>57</v>
      </c>
      <c r="L4708" s="4">
        <f>IFERROR(__xludf.DUMMYFUNCTION("""COMPUTED_VALUE"""),0.497)</f>
        <v>0.497</v>
      </c>
      <c r="M4708" s="4"/>
      <c r="N4708" s="4">
        <f>IFERROR(__xludf.DUMMYFUNCTION("""COMPUTED_VALUE"""),0.605)</f>
        <v>0.605</v>
      </c>
      <c r="O4708" s="4">
        <f>IFERROR(__xludf.DUMMYFUNCTION("""COMPUTED_VALUE"""),17.0)</f>
        <v>17</v>
      </c>
      <c r="P4708" s="4">
        <f>IFERROR(__xludf.DUMMYFUNCTION("""COMPUTED_VALUE"""),7.3)</f>
        <v>7.3</v>
      </c>
      <c r="Q4708" s="4">
        <f>IFERROR(__xludf.DUMMYFUNCTION("""COMPUTED_VALUE"""),4.5)</f>
        <v>4.5</v>
      </c>
      <c r="R4708" s="4">
        <f>IFERROR(__xludf.DUMMYFUNCTION("""COMPUTED_VALUE"""),0.6)</f>
        <v>0.6</v>
      </c>
      <c r="S4708" s="4">
        <f>IFERROR(__xludf.DUMMYFUNCTION("""COMPUTED_VALUE"""),2.1)</f>
        <v>2.1</v>
      </c>
      <c r="T4708" s="4">
        <f>IFERROR(__xludf.DUMMYFUNCTION("""COMPUTED_VALUE"""),0.06)</f>
        <v>0.06</v>
      </c>
      <c r="U4708" s="4">
        <f>IFERROR(__xludf.DUMMYFUNCTION("""COMPUTED_VALUE"""),-2.4)</f>
        <v>-2.4</v>
      </c>
      <c r="V4708" s="4">
        <f>IFERROR(__xludf.DUMMYFUNCTION("""COMPUTED_VALUE"""),-0.2)</f>
        <v>-0.2</v>
      </c>
    </row>
    <row r="4709">
      <c r="A4709" s="4">
        <f>IFERROR(__xludf.DUMMYFUNCTION("""COMPUTED_VALUE"""),26.0)</f>
        <v>26</v>
      </c>
      <c r="B4709" s="4">
        <f>IFERROR(__xludf.DUMMYFUNCTION("""COMPUTED_VALUE"""),26.0)</f>
        <v>26</v>
      </c>
      <c r="C4709" s="4" t="str">
        <f>IFERROR(__xludf.DUMMYFUNCTION("""COMPUTED_VALUE"""),"NYK")</f>
        <v>NYK</v>
      </c>
      <c r="D4709" s="4" t="str">
        <f>IFERROR(__xludf.DUMMYFUNCTION("""COMPUTED_VALUE"""),"Glen Gondrezick")</f>
        <v>Glen Gondrezick</v>
      </c>
      <c r="E4709" s="4" t="str">
        <f>IFERROR(__xludf.DUMMYFUNCTION("""COMPUTED_VALUE"""),"UNLV")</f>
        <v>UNLV</v>
      </c>
      <c r="F4709" s="4">
        <f>IFERROR(__xludf.DUMMYFUNCTION("""COMPUTED_VALUE"""),6.0)</f>
        <v>6</v>
      </c>
      <c r="G4709" s="4">
        <f>IFERROR(__xludf.DUMMYFUNCTION("""COMPUTED_VALUE"""),435.0)</f>
        <v>435</v>
      </c>
      <c r="H4709" s="4">
        <f>IFERROR(__xludf.DUMMYFUNCTION("""COMPUTED_VALUE"""),7545.0)</f>
        <v>7545</v>
      </c>
      <c r="I4709" s="4">
        <f>IFERROR(__xludf.DUMMYFUNCTION("""COMPUTED_VALUE"""),2544.0)</f>
        <v>2544</v>
      </c>
      <c r="J4709" s="4">
        <f>IFERROR(__xludf.DUMMYFUNCTION("""COMPUTED_VALUE"""),1964.0)</f>
        <v>1964</v>
      </c>
      <c r="K4709" s="4">
        <f>IFERROR(__xludf.DUMMYFUNCTION("""COMPUTED_VALUE"""),605.0)</f>
        <v>605</v>
      </c>
      <c r="L4709" s="4">
        <f>IFERROR(__xludf.DUMMYFUNCTION("""COMPUTED_VALUE"""),0.473)</f>
        <v>0.473</v>
      </c>
      <c r="M4709" s="4"/>
      <c r="N4709" s="4">
        <f>IFERROR(__xludf.DUMMYFUNCTION("""COMPUTED_VALUE"""),0.724)</f>
        <v>0.724</v>
      </c>
      <c r="O4709" s="4">
        <f>IFERROR(__xludf.DUMMYFUNCTION("""COMPUTED_VALUE"""),17.3)</f>
        <v>17.3</v>
      </c>
      <c r="P4709" s="4">
        <f>IFERROR(__xludf.DUMMYFUNCTION("""COMPUTED_VALUE"""),5.8)</f>
        <v>5.8</v>
      </c>
      <c r="Q4709" s="4">
        <f>IFERROR(__xludf.DUMMYFUNCTION("""COMPUTED_VALUE"""),4.5)</f>
        <v>4.5</v>
      </c>
      <c r="R4709" s="4">
        <f>IFERROR(__xludf.DUMMYFUNCTION("""COMPUTED_VALUE"""),1.4)</f>
        <v>1.4</v>
      </c>
      <c r="S4709" s="4">
        <f>IFERROR(__xludf.DUMMYFUNCTION("""COMPUTED_VALUE"""),15.9)</f>
        <v>15.9</v>
      </c>
      <c r="T4709" s="4">
        <f>IFERROR(__xludf.DUMMYFUNCTION("""COMPUTED_VALUE"""),0.101)</f>
        <v>0.101</v>
      </c>
      <c r="U4709" s="4">
        <f>IFERROR(__xludf.DUMMYFUNCTION("""COMPUTED_VALUE"""),0.2)</f>
        <v>0.2</v>
      </c>
      <c r="V4709" s="4">
        <f>IFERROR(__xludf.DUMMYFUNCTION("""COMPUTED_VALUE"""),4.2)</f>
        <v>4.2</v>
      </c>
    </row>
    <row r="4710">
      <c r="A4710" s="4">
        <f>IFERROR(__xludf.DUMMYFUNCTION("""COMPUTED_VALUE"""),27.0)</f>
        <v>27</v>
      </c>
      <c r="B4710" s="4">
        <f>IFERROR(__xludf.DUMMYFUNCTION("""COMPUTED_VALUE"""),27.0)</f>
        <v>27</v>
      </c>
      <c r="C4710" s="4" t="str">
        <f>IFERROR(__xludf.DUMMYFUNCTION("""COMPUTED_VALUE"""),"MIL")</f>
        <v>MIL</v>
      </c>
      <c r="D4710" s="4" t="str">
        <f>IFERROR(__xludf.DUMMYFUNCTION("""COMPUTED_VALUE"""),"Glen Williams")</f>
        <v>Glen Williams</v>
      </c>
      <c r="E4710" s="4" t="str">
        <f>IFERROR(__xludf.DUMMYFUNCTION("""COMPUTED_VALUE"""),"St. John's")</f>
        <v>St. John's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</row>
    <row r="4711">
      <c r="A4711" s="4">
        <f>IFERROR(__xludf.DUMMYFUNCTION("""COMPUTED_VALUE"""),28.0)</f>
        <v>28</v>
      </c>
      <c r="B4711" s="4">
        <f>IFERROR(__xludf.DUMMYFUNCTION("""COMPUTED_VALUE"""),28.0)</f>
        <v>28</v>
      </c>
      <c r="C4711" s="4" t="str">
        <f>IFERROR(__xludf.DUMMYFUNCTION("""COMPUTED_VALUE"""),"POR")</f>
        <v>POR</v>
      </c>
      <c r="D4711" s="4" t="str">
        <f>IFERROR(__xludf.DUMMYFUNCTION("""COMPUTED_VALUE"""),"Kim Anderson")</f>
        <v>Kim Anderson</v>
      </c>
      <c r="E4711" s="4" t="str">
        <f>IFERROR(__xludf.DUMMYFUNCTION("""COMPUTED_VALUE"""),"Missouri")</f>
        <v>Missouri</v>
      </c>
      <c r="F4711" s="4">
        <f>IFERROR(__xludf.DUMMYFUNCTION("""COMPUTED_VALUE"""),1.0)</f>
        <v>1</v>
      </c>
      <c r="G4711" s="4">
        <f>IFERROR(__xludf.DUMMYFUNCTION("""COMPUTED_VALUE"""),21.0)</f>
        <v>21</v>
      </c>
      <c r="H4711" s="4">
        <f>IFERROR(__xludf.DUMMYFUNCTION("""COMPUTED_VALUE"""),224.0)</f>
        <v>224</v>
      </c>
      <c r="I4711" s="4">
        <f>IFERROR(__xludf.DUMMYFUNCTION("""COMPUTED_VALUE"""),63.0)</f>
        <v>63</v>
      </c>
      <c r="J4711" s="4">
        <f>IFERROR(__xludf.DUMMYFUNCTION("""COMPUTED_VALUE"""),45.0)</f>
        <v>45</v>
      </c>
      <c r="K4711" s="4">
        <f>IFERROR(__xludf.DUMMYFUNCTION("""COMPUTED_VALUE"""),15.0)</f>
        <v>15</v>
      </c>
      <c r="L4711" s="4">
        <f>IFERROR(__xludf.DUMMYFUNCTION("""COMPUTED_VALUE"""),0.312)</f>
        <v>0.312</v>
      </c>
      <c r="M4711" s="4"/>
      <c r="N4711" s="4">
        <f>IFERROR(__xludf.DUMMYFUNCTION("""COMPUTED_VALUE"""),0.536)</f>
        <v>0.536</v>
      </c>
      <c r="O4711" s="4">
        <f>IFERROR(__xludf.DUMMYFUNCTION("""COMPUTED_VALUE"""),10.7)</f>
        <v>10.7</v>
      </c>
      <c r="P4711" s="4">
        <f>IFERROR(__xludf.DUMMYFUNCTION("""COMPUTED_VALUE"""),3.0)</f>
        <v>3</v>
      </c>
      <c r="Q4711" s="4">
        <f>IFERROR(__xludf.DUMMYFUNCTION("""COMPUTED_VALUE"""),2.1)</f>
        <v>2.1</v>
      </c>
      <c r="R4711" s="4">
        <f>IFERROR(__xludf.DUMMYFUNCTION("""COMPUTED_VALUE"""),0.7)</f>
        <v>0.7</v>
      </c>
      <c r="S4711" s="4">
        <f>IFERROR(__xludf.DUMMYFUNCTION("""COMPUTED_VALUE"""),-0.4)</f>
        <v>-0.4</v>
      </c>
      <c r="T4711" s="4">
        <f>IFERROR(__xludf.DUMMYFUNCTION("""COMPUTED_VALUE"""),-0.078)</f>
        <v>-0.078</v>
      </c>
      <c r="U4711" s="4">
        <f>IFERROR(__xludf.DUMMYFUNCTION("""COMPUTED_VALUE"""),-7.5)</f>
        <v>-7.5</v>
      </c>
      <c r="V4711" s="4">
        <f>IFERROR(__xludf.DUMMYFUNCTION("""COMPUTED_VALUE"""),-0.4)</f>
        <v>-0.4</v>
      </c>
    </row>
    <row r="4712">
      <c r="A4712" s="4">
        <f>IFERROR(__xludf.DUMMYFUNCTION("""COMPUTED_VALUE"""),29.0)</f>
        <v>29</v>
      </c>
      <c r="B4712" s="4">
        <f>IFERROR(__xludf.DUMMYFUNCTION("""COMPUTED_VALUE"""),29.0)</f>
        <v>29</v>
      </c>
      <c r="C4712" s="4" t="str">
        <f>IFERROR(__xludf.DUMMYFUNCTION("""COMPUTED_VALUE"""),"IND")</f>
        <v>IND</v>
      </c>
      <c r="D4712" s="4" t="str">
        <f>IFERROR(__xludf.DUMMYFUNCTION("""COMPUTED_VALUE"""),"Alonzo Bradley")</f>
        <v>Alonzo Bradley</v>
      </c>
      <c r="E4712" s="4" t="str">
        <f>IFERROR(__xludf.DUMMYFUNCTION("""COMPUTED_VALUE"""),"Texas Southern")</f>
        <v>Texas Southern</v>
      </c>
      <c r="F4712" s="4">
        <f>IFERROR(__xludf.DUMMYFUNCTION("""COMPUTED_VALUE"""),3.0)</f>
        <v>3</v>
      </c>
      <c r="G4712" s="4">
        <f>IFERROR(__xludf.DUMMYFUNCTION("""COMPUTED_VALUE"""),99.0)</f>
        <v>99</v>
      </c>
      <c r="H4712" s="4">
        <f>IFERROR(__xludf.DUMMYFUNCTION("""COMPUTED_VALUE"""),1139.0)</f>
        <v>1139</v>
      </c>
      <c r="I4712" s="4">
        <f>IFERROR(__xludf.DUMMYFUNCTION("""COMPUTED_VALUE"""),440.0)</f>
        <v>440</v>
      </c>
      <c r="J4712" s="4">
        <f>IFERROR(__xludf.DUMMYFUNCTION("""COMPUTED_VALUE"""),151.0)</f>
        <v>151</v>
      </c>
      <c r="K4712" s="4">
        <f>IFERROR(__xludf.DUMMYFUNCTION("""COMPUTED_VALUE"""),74.0)</f>
        <v>74</v>
      </c>
      <c r="L4712" s="4">
        <f>IFERROR(__xludf.DUMMYFUNCTION("""COMPUTED_VALUE"""),0.418)</f>
        <v>0.418</v>
      </c>
      <c r="M4712" s="4"/>
      <c r="N4712" s="4">
        <f>IFERROR(__xludf.DUMMYFUNCTION("""COMPUTED_VALUE"""),0.703)</f>
        <v>0.703</v>
      </c>
      <c r="O4712" s="4">
        <f>IFERROR(__xludf.DUMMYFUNCTION("""COMPUTED_VALUE"""),11.5)</f>
        <v>11.5</v>
      </c>
      <c r="P4712" s="4">
        <f>IFERROR(__xludf.DUMMYFUNCTION("""COMPUTED_VALUE"""),4.4)</f>
        <v>4.4</v>
      </c>
      <c r="Q4712" s="4">
        <f>IFERROR(__xludf.DUMMYFUNCTION("""COMPUTED_VALUE"""),1.5)</f>
        <v>1.5</v>
      </c>
      <c r="R4712" s="4">
        <f>IFERROR(__xludf.DUMMYFUNCTION("""COMPUTED_VALUE"""),0.7)</f>
        <v>0.7</v>
      </c>
      <c r="S4712" s="4">
        <f>IFERROR(__xludf.DUMMYFUNCTION("""COMPUTED_VALUE"""),-0.2)</f>
        <v>-0.2</v>
      </c>
      <c r="T4712" s="4">
        <f>IFERROR(__xludf.DUMMYFUNCTION("""COMPUTED_VALUE"""),-0.007)</f>
        <v>-0.007</v>
      </c>
      <c r="U4712" s="4">
        <f>IFERROR(__xludf.DUMMYFUNCTION("""COMPUTED_VALUE"""),-4.6)</f>
        <v>-4.6</v>
      </c>
      <c r="V4712" s="4">
        <f>IFERROR(__xludf.DUMMYFUNCTION("""COMPUTED_VALUE"""),-0.8)</f>
        <v>-0.8</v>
      </c>
    </row>
    <row r="4713">
      <c r="A4713" s="4">
        <f>IFERROR(__xludf.DUMMYFUNCTION("""COMPUTED_VALUE"""),30.0)</f>
        <v>30</v>
      </c>
      <c r="B4713" s="4">
        <f>IFERROR(__xludf.DUMMYFUNCTION("""COMPUTED_VALUE"""),30.0)</f>
        <v>30</v>
      </c>
      <c r="C4713" s="4" t="str">
        <f>IFERROR(__xludf.DUMMYFUNCTION("""COMPUTED_VALUE"""),"CHI")</f>
        <v>CHI</v>
      </c>
      <c r="D4713" s="4" t="str">
        <f>IFERROR(__xludf.DUMMYFUNCTION("""COMPUTED_VALUE"""),"Steve Sheppard")</f>
        <v>Steve Sheppard</v>
      </c>
      <c r="E4713" s="4" t="str">
        <f>IFERROR(__xludf.DUMMYFUNCTION("""COMPUTED_VALUE"""),"Maryland")</f>
        <v>Maryland</v>
      </c>
      <c r="F4713" s="4">
        <f>IFERROR(__xludf.DUMMYFUNCTION("""COMPUTED_VALUE"""),2.0)</f>
        <v>2</v>
      </c>
      <c r="G4713" s="4">
        <f>IFERROR(__xludf.DUMMYFUNCTION("""COMPUTED_VALUE"""),106.0)</f>
        <v>106</v>
      </c>
      <c r="H4713" s="4">
        <f>IFERROR(__xludf.DUMMYFUNCTION("""COMPUTED_VALUE"""),977.0)</f>
        <v>977</v>
      </c>
      <c r="I4713" s="4">
        <f>IFERROR(__xludf.DUMMYFUNCTION("""COMPUTED_VALUE"""),367.0)</f>
        <v>367</v>
      </c>
      <c r="J4713" s="4">
        <f>IFERROR(__xludf.DUMMYFUNCTION("""COMPUTED_VALUE"""),178.0)</f>
        <v>178</v>
      </c>
      <c r="K4713" s="4">
        <f>IFERROR(__xludf.DUMMYFUNCTION("""COMPUTED_VALUE"""),62.0)</f>
        <v>62</v>
      </c>
      <c r="L4713" s="4">
        <f>IFERROR(__xludf.DUMMYFUNCTION("""COMPUTED_VALUE"""),0.459)</f>
        <v>0.459</v>
      </c>
      <c r="M4713" s="4"/>
      <c r="N4713" s="4">
        <f>IFERROR(__xludf.DUMMYFUNCTION("""COMPUTED_VALUE"""),0.633)</f>
        <v>0.633</v>
      </c>
      <c r="O4713" s="4">
        <f>IFERROR(__xludf.DUMMYFUNCTION("""COMPUTED_VALUE"""),9.2)</f>
        <v>9.2</v>
      </c>
      <c r="P4713" s="4">
        <f>IFERROR(__xludf.DUMMYFUNCTION("""COMPUTED_VALUE"""),3.5)</f>
        <v>3.5</v>
      </c>
      <c r="Q4713" s="4">
        <f>IFERROR(__xludf.DUMMYFUNCTION("""COMPUTED_VALUE"""),1.7)</f>
        <v>1.7</v>
      </c>
      <c r="R4713" s="4">
        <f>IFERROR(__xludf.DUMMYFUNCTION("""COMPUTED_VALUE"""),0.6)</f>
        <v>0.6</v>
      </c>
      <c r="S4713" s="4">
        <f>IFERROR(__xludf.DUMMYFUNCTION("""COMPUTED_VALUE"""),0.9)</f>
        <v>0.9</v>
      </c>
      <c r="T4713" s="4">
        <f>IFERROR(__xludf.DUMMYFUNCTION("""COMPUTED_VALUE"""),0.045)</f>
        <v>0.045</v>
      </c>
      <c r="U4713" s="4">
        <f>IFERROR(__xludf.DUMMYFUNCTION("""COMPUTED_VALUE"""),-3.0)</f>
        <v>-3</v>
      </c>
      <c r="V4713" s="4">
        <f>IFERROR(__xludf.DUMMYFUNCTION("""COMPUTED_VALUE"""),-0.2)</f>
        <v>-0.2</v>
      </c>
    </row>
    <row r="4714">
      <c r="A4714" s="4">
        <f>IFERROR(__xludf.DUMMYFUNCTION("""COMPUTED_VALUE"""),31.0)</f>
        <v>31</v>
      </c>
      <c r="B4714" s="4">
        <f>IFERROR(__xludf.DUMMYFUNCTION("""COMPUTED_VALUE"""),31.0)</f>
        <v>31</v>
      </c>
      <c r="C4714" s="4" t="str">
        <f>IFERROR(__xludf.DUMMYFUNCTION("""COMPUTED_VALUE"""),"KCK")</f>
        <v>KCK</v>
      </c>
      <c r="D4714" s="4" t="str">
        <f>IFERROR(__xludf.DUMMYFUNCTION("""COMPUTED_VALUE"""),"Eddie Owens")</f>
        <v>Eddie Owens</v>
      </c>
      <c r="E4714" s="4" t="str">
        <f>IFERROR(__xludf.DUMMYFUNCTION("""COMPUTED_VALUE"""),"UNLV")</f>
        <v>UNLV</v>
      </c>
      <c r="F4714" s="4">
        <f>IFERROR(__xludf.DUMMYFUNCTION("""COMPUTED_VALUE"""),1.0)</f>
        <v>1</v>
      </c>
      <c r="G4714" s="4">
        <f>IFERROR(__xludf.DUMMYFUNCTION("""COMPUTED_VALUE"""),8.0)</f>
        <v>8</v>
      </c>
      <c r="H4714" s="4">
        <f>IFERROR(__xludf.DUMMYFUNCTION("""COMPUTED_VALUE"""),63.0)</f>
        <v>63</v>
      </c>
      <c r="I4714" s="4">
        <f>IFERROR(__xludf.DUMMYFUNCTION("""COMPUTED_VALUE"""),21.0)</f>
        <v>21</v>
      </c>
      <c r="J4714" s="4">
        <f>IFERROR(__xludf.DUMMYFUNCTION("""COMPUTED_VALUE"""),10.0)</f>
        <v>10</v>
      </c>
      <c r="K4714" s="4">
        <f>IFERROR(__xludf.DUMMYFUNCTION("""COMPUTED_VALUE"""),5.0)</f>
        <v>5</v>
      </c>
      <c r="L4714" s="4">
        <f>IFERROR(__xludf.DUMMYFUNCTION("""COMPUTED_VALUE"""),0.429)</f>
        <v>0.429</v>
      </c>
      <c r="M4714" s="4"/>
      <c r="N4714" s="4">
        <f>IFERROR(__xludf.DUMMYFUNCTION("""COMPUTED_VALUE"""),0.5)</f>
        <v>0.5</v>
      </c>
      <c r="O4714" s="4">
        <f>IFERROR(__xludf.DUMMYFUNCTION("""COMPUTED_VALUE"""),7.9)</f>
        <v>7.9</v>
      </c>
      <c r="P4714" s="4">
        <f>IFERROR(__xludf.DUMMYFUNCTION("""COMPUTED_VALUE"""),2.6)</f>
        <v>2.6</v>
      </c>
      <c r="Q4714" s="4">
        <f>IFERROR(__xludf.DUMMYFUNCTION("""COMPUTED_VALUE"""),1.3)</f>
        <v>1.3</v>
      </c>
      <c r="R4714" s="4">
        <f>IFERROR(__xludf.DUMMYFUNCTION("""COMPUTED_VALUE"""),0.6)</f>
        <v>0.6</v>
      </c>
      <c r="S4714" s="4">
        <f>IFERROR(__xludf.DUMMYFUNCTION("""COMPUTED_VALUE"""),0.0)</f>
        <v>0</v>
      </c>
      <c r="T4714" s="4">
        <f>IFERROR(__xludf.DUMMYFUNCTION("""COMPUTED_VALUE"""),0.027)</f>
        <v>0.027</v>
      </c>
      <c r="U4714" s="4">
        <f>IFERROR(__xludf.DUMMYFUNCTION("""COMPUTED_VALUE"""),-3.9)</f>
        <v>-3.9</v>
      </c>
      <c r="V4714" s="4">
        <f>IFERROR(__xludf.DUMMYFUNCTION("""COMPUTED_VALUE"""),0.0)</f>
        <v>0</v>
      </c>
    </row>
    <row r="4715">
      <c r="A4715" s="4">
        <f>IFERROR(__xludf.DUMMYFUNCTION("""COMPUTED_VALUE"""),32.0)</f>
        <v>32</v>
      </c>
      <c r="B4715" s="4">
        <f>IFERROR(__xludf.DUMMYFUNCTION("""COMPUTED_VALUE"""),32.0)</f>
        <v>32</v>
      </c>
      <c r="C4715" s="4" t="str">
        <f>IFERROR(__xludf.DUMMYFUNCTION("""COMPUTED_VALUE"""),"NYK")</f>
        <v>NYK</v>
      </c>
      <c r="D4715" s="4" t="str">
        <f>IFERROR(__xludf.DUMMYFUNCTION("""COMPUTED_VALUE"""),"Toby Knight")</f>
        <v>Toby Knight</v>
      </c>
      <c r="E4715" s="4" t="str">
        <f>IFERROR(__xludf.DUMMYFUNCTION("""COMPUTED_VALUE"""),"Notre Dame")</f>
        <v>Notre Dame</v>
      </c>
      <c r="F4715" s="4">
        <f>IFERROR(__xludf.DUMMYFUNCTION("""COMPUTED_VALUE"""),4.0)</f>
        <v>4</v>
      </c>
      <c r="G4715" s="4">
        <f>IFERROR(__xludf.DUMMYFUNCTION("""COMPUTED_VALUE"""),283.0)</f>
        <v>283</v>
      </c>
      <c r="H4715" s="4">
        <f>IFERROR(__xludf.DUMMYFUNCTION("""COMPUTED_VALUE"""),7331.0)</f>
        <v>7331</v>
      </c>
      <c r="I4715" s="4">
        <f>IFERROR(__xludf.DUMMYFUNCTION("""COMPUTED_VALUE"""),3640.0)</f>
        <v>3640</v>
      </c>
      <c r="J4715" s="4">
        <f>IFERROR(__xludf.DUMMYFUNCTION("""COMPUTED_VALUE"""),1444.0)</f>
        <v>1444</v>
      </c>
      <c r="K4715" s="4">
        <f>IFERROR(__xludf.DUMMYFUNCTION("""COMPUTED_VALUE"""),335.0)</f>
        <v>335</v>
      </c>
      <c r="L4715" s="4">
        <f>IFERROR(__xludf.DUMMYFUNCTION("""COMPUTED_VALUE"""),0.519)</f>
        <v>0.519</v>
      </c>
      <c r="M4715" s="4"/>
      <c r="N4715" s="4">
        <f>IFERROR(__xludf.DUMMYFUNCTION("""COMPUTED_VALUE"""),0.74)</f>
        <v>0.74</v>
      </c>
      <c r="O4715" s="4">
        <f>IFERROR(__xludf.DUMMYFUNCTION("""COMPUTED_VALUE"""),25.9)</f>
        <v>25.9</v>
      </c>
      <c r="P4715" s="4">
        <f>IFERROR(__xludf.DUMMYFUNCTION("""COMPUTED_VALUE"""),12.9)</f>
        <v>12.9</v>
      </c>
      <c r="Q4715" s="4">
        <f>IFERROR(__xludf.DUMMYFUNCTION("""COMPUTED_VALUE"""),5.1)</f>
        <v>5.1</v>
      </c>
      <c r="R4715" s="4">
        <f>IFERROR(__xludf.DUMMYFUNCTION("""COMPUTED_VALUE"""),1.2)</f>
        <v>1.2</v>
      </c>
      <c r="S4715" s="4">
        <f>IFERROR(__xludf.DUMMYFUNCTION("""COMPUTED_VALUE"""),15.7)</f>
        <v>15.7</v>
      </c>
      <c r="T4715" s="4">
        <f>IFERROR(__xludf.DUMMYFUNCTION("""COMPUTED_VALUE"""),0.103)</f>
        <v>0.103</v>
      </c>
      <c r="U4715" s="4">
        <f>IFERROR(__xludf.DUMMYFUNCTION("""COMPUTED_VALUE"""),-0.9)</f>
        <v>-0.9</v>
      </c>
      <c r="V4715" s="4">
        <f>IFERROR(__xludf.DUMMYFUNCTION("""COMPUTED_VALUE"""),2.1)</f>
        <v>2.1</v>
      </c>
    </row>
    <row r="4716">
      <c r="A4716" s="4">
        <f>IFERROR(__xludf.DUMMYFUNCTION("""COMPUTED_VALUE"""),33.0)</f>
        <v>33</v>
      </c>
      <c r="B4716" s="4">
        <f>IFERROR(__xludf.DUMMYFUNCTION("""COMPUTED_VALUE"""),33.0)</f>
        <v>33</v>
      </c>
      <c r="C4716" s="4" t="str">
        <f>IFERROR(__xludf.DUMMYFUNCTION("""COMPUTED_VALUE"""),"CLE")</f>
        <v>CLE</v>
      </c>
      <c r="D4716" s="4" t="str">
        <f>IFERROR(__xludf.DUMMYFUNCTION("""COMPUTED_VALUE"""),"Eddie Jordan")</f>
        <v>Eddie Jordan</v>
      </c>
      <c r="E4716" s="4" t="str">
        <f>IFERROR(__xludf.DUMMYFUNCTION("""COMPUTED_VALUE"""),"Rutgers University")</f>
        <v>Rutgers University</v>
      </c>
      <c r="F4716" s="4">
        <f>IFERROR(__xludf.DUMMYFUNCTION("""COMPUTED_VALUE"""),7.0)</f>
        <v>7</v>
      </c>
      <c r="G4716" s="4">
        <f>IFERROR(__xludf.DUMMYFUNCTION("""COMPUTED_VALUE"""),420.0)</f>
        <v>420</v>
      </c>
      <c r="H4716" s="4">
        <f>IFERROR(__xludf.DUMMYFUNCTION("""COMPUTED_VALUE"""),8507.0)</f>
        <v>8507</v>
      </c>
      <c r="I4716" s="4">
        <f>IFERROR(__xludf.DUMMYFUNCTION("""COMPUTED_VALUE"""),3414.0)</f>
        <v>3414</v>
      </c>
      <c r="J4716" s="4">
        <f>IFERROR(__xludf.DUMMYFUNCTION("""COMPUTED_VALUE"""),788.0)</f>
        <v>788</v>
      </c>
      <c r="K4716" s="4">
        <f>IFERROR(__xludf.DUMMYFUNCTION("""COMPUTED_VALUE"""),1595.0)</f>
        <v>1595</v>
      </c>
      <c r="L4716" s="4">
        <f>IFERROR(__xludf.DUMMYFUNCTION("""COMPUTED_VALUE"""),0.414)</f>
        <v>0.414</v>
      </c>
      <c r="M4716" s="4"/>
      <c r="N4716" s="4">
        <f>IFERROR(__xludf.DUMMYFUNCTION("""COMPUTED_VALUE"""),0.763)</f>
        <v>0.763</v>
      </c>
      <c r="O4716" s="4">
        <f>IFERROR(__xludf.DUMMYFUNCTION("""COMPUTED_VALUE"""),20.3)</f>
        <v>20.3</v>
      </c>
      <c r="P4716" s="4">
        <f>IFERROR(__xludf.DUMMYFUNCTION("""COMPUTED_VALUE"""),8.1)</f>
        <v>8.1</v>
      </c>
      <c r="Q4716" s="4">
        <f>IFERROR(__xludf.DUMMYFUNCTION("""COMPUTED_VALUE"""),1.9)</f>
        <v>1.9</v>
      </c>
      <c r="R4716" s="4">
        <f>IFERROR(__xludf.DUMMYFUNCTION("""COMPUTED_VALUE"""),3.8)</f>
        <v>3.8</v>
      </c>
      <c r="S4716" s="4">
        <f>IFERROR(__xludf.DUMMYFUNCTION("""COMPUTED_VALUE"""),8.8)</f>
        <v>8.8</v>
      </c>
      <c r="T4716" s="4">
        <f>IFERROR(__xludf.DUMMYFUNCTION("""COMPUTED_VALUE"""),0.05)</f>
        <v>0.05</v>
      </c>
      <c r="U4716" s="4">
        <f>IFERROR(__xludf.DUMMYFUNCTION("""COMPUTED_VALUE"""),-0.3)</f>
        <v>-0.3</v>
      </c>
      <c r="V4716" s="4">
        <f>IFERROR(__xludf.DUMMYFUNCTION("""COMPUTED_VALUE"""),3.6)</f>
        <v>3.6</v>
      </c>
    </row>
    <row r="4717">
      <c r="A4717" s="4">
        <f>IFERROR(__xludf.DUMMYFUNCTION("""COMPUTED_VALUE"""),34.0)</f>
        <v>34</v>
      </c>
      <c r="B4717" s="4">
        <f>IFERROR(__xludf.DUMMYFUNCTION("""COMPUTED_VALUE"""),34.0)</f>
        <v>34</v>
      </c>
      <c r="C4717" s="4" t="str">
        <f>IFERROR(__xludf.DUMMYFUNCTION("""COMPUTED_VALUE"""),"HOU")</f>
        <v>HOU</v>
      </c>
      <c r="D4717" s="4" t="str">
        <f>IFERROR(__xludf.DUMMYFUNCTION("""COMPUTED_VALUE"""),"Larry Moffett")</f>
        <v>Larry Moffett</v>
      </c>
      <c r="E4717" s="4" t="str">
        <f>IFERROR(__xludf.DUMMYFUNCTION("""COMPUTED_VALUE"""),"UNLV")</f>
        <v>UNLV</v>
      </c>
      <c r="F4717" s="4">
        <f>IFERROR(__xludf.DUMMYFUNCTION("""COMPUTED_VALUE"""),1.0)</f>
        <v>1</v>
      </c>
      <c r="G4717" s="4">
        <f>IFERROR(__xludf.DUMMYFUNCTION("""COMPUTED_VALUE"""),20.0)</f>
        <v>20</v>
      </c>
      <c r="H4717" s="4">
        <f>IFERROR(__xludf.DUMMYFUNCTION("""COMPUTED_VALUE"""),110.0)</f>
        <v>110</v>
      </c>
      <c r="I4717" s="4">
        <f>IFERROR(__xludf.DUMMYFUNCTION("""COMPUTED_VALUE"""),16.0)</f>
        <v>16</v>
      </c>
      <c r="J4717" s="4">
        <f>IFERROR(__xludf.DUMMYFUNCTION("""COMPUTED_VALUE"""),21.0)</f>
        <v>21</v>
      </c>
      <c r="K4717" s="4">
        <f>IFERROR(__xludf.DUMMYFUNCTION("""COMPUTED_VALUE"""),7.0)</f>
        <v>7</v>
      </c>
      <c r="L4717" s="4">
        <f>IFERROR(__xludf.DUMMYFUNCTION("""COMPUTED_VALUE"""),0.294)</f>
        <v>0.294</v>
      </c>
      <c r="M4717" s="4"/>
      <c r="N4717" s="4">
        <f>IFERROR(__xludf.DUMMYFUNCTION("""COMPUTED_VALUE"""),0.6)</f>
        <v>0.6</v>
      </c>
      <c r="O4717" s="4">
        <f>IFERROR(__xludf.DUMMYFUNCTION("""COMPUTED_VALUE"""),5.5)</f>
        <v>5.5</v>
      </c>
      <c r="P4717" s="4">
        <f>IFERROR(__xludf.DUMMYFUNCTION("""COMPUTED_VALUE"""),0.8)</f>
        <v>0.8</v>
      </c>
      <c r="Q4717" s="4">
        <f>IFERROR(__xludf.DUMMYFUNCTION("""COMPUTED_VALUE"""),1.1)</f>
        <v>1.1</v>
      </c>
      <c r="R4717" s="4">
        <f>IFERROR(__xludf.DUMMYFUNCTION("""COMPUTED_VALUE"""),0.4)</f>
        <v>0.4</v>
      </c>
      <c r="S4717" s="4">
        <f>IFERROR(__xludf.DUMMYFUNCTION("""COMPUTED_VALUE"""),-0.1)</f>
        <v>-0.1</v>
      </c>
      <c r="T4717" s="4">
        <f>IFERROR(__xludf.DUMMYFUNCTION("""COMPUTED_VALUE"""),-0.042)</f>
        <v>-0.042</v>
      </c>
      <c r="U4717" s="4">
        <f>IFERROR(__xludf.DUMMYFUNCTION("""COMPUTED_VALUE"""),-4.6)</f>
        <v>-4.6</v>
      </c>
      <c r="V4717" s="4">
        <f>IFERROR(__xludf.DUMMYFUNCTION("""COMPUTED_VALUE"""),-0.1)</f>
        <v>-0.1</v>
      </c>
    </row>
    <row r="4718">
      <c r="A4718" s="4">
        <f>IFERROR(__xludf.DUMMYFUNCTION("""COMPUTED_VALUE"""),35.0)</f>
        <v>35</v>
      </c>
      <c r="B4718" s="4">
        <f>IFERROR(__xludf.DUMMYFUNCTION("""COMPUTED_VALUE"""),35.0)</f>
        <v>35</v>
      </c>
      <c r="C4718" s="4" t="str">
        <f>IFERROR(__xludf.DUMMYFUNCTION("""COMPUTED_VALUE"""),"CHI")</f>
        <v>CHI</v>
      </c>
      <c r="D4718" s="4" t="str">
        <f>IFERROR(__xludf.DUMMYFUNCTION("""COMPUTED_VALUE"""),"Mark Landsberger")</f>
        <v>Mark Landsberger</v>
      </c>
      <c r="E4718" s="4" t="str">
        <f>IFERROR(__xludf.DUMMYFUNCTION("""COMPUTED_VALUE"""),"Arizona State")</f>
        <v>Arizona State</v>
      </c>
      <c r="F4718" s="4">
        <f>IFERROR(__xludf.DUMMYFUNCTION("""COMPUTED_VALUE"""),7.0)</f>
        <v>7</v>
      </c>
      <c r="G4718" s="4">
        <f>IFERROR(__xludf.DUMMYFUNCTION("""COMPUTED_VALUE"""),437.0)</f>
        <v>437</v>
      </c>
      <c r="H4718" s="4">
        <f>IFERROR(__xludf.DUMMYFUNCTION("""COMPUTED_VALUE"""),7306.0)</f>
        <v>7306</v>
      </c>
      <c r="I4718" s="4">
        <f>IFERROR(__xludf.DUMMYFUNCTION("""COMPUTED_VALUE"""),2468.0)</f>
        <v>2468</v>
      </c>
      <c r="J4718" s="4">
        <f>IFERROR(__xludf.DUMMYFUNCTION("""COMPUTED_VALUE"""),2681.0)</f>
        <v>2681</v>
      </c>
      <c r="K4718" s="4">
        <f>IFERROR(__xludf.DUMMYFUNCTION("""COMPUTED_VALUE"""),236.0)</f>
        <v>236</v>
      </c>
      <c r="L4718" s="4">
        <f>IFERROR(__xludf.DUMMYFUNCTION("""COMPUTED_VALUE"""),0.481)</f>
        <v>0.481</v>
      </c>
      <c r="M4718" s="4"/>
      <c r="N4718" s="4">
        <f>IFERROR(__xludf.DUMMYFUNCTION("""COMPUTED_VALUE"""),0.522)</f>
        <v>0.522</v>
      </c>
      <c r="O4718" s="4">
        <f>IFERROR(__xludf.DUMMYFUNCTION("""COMPUTED_VALUE"""),16.7)</f>
        <v>16.7</v>
      </c>
      <c r="P4718" s="4">
        <f>IFERROR(__xludf.DUMMYFUNCTION("""COMPUTED_VALUE"""),5.6)</f>
        <v>5.6</v>
      </c>
      <c r="Q4718" s="4">
        <f>IFERROR(__xludf.DUMMYFUNCTION("""COMPUTED_VALUE"""),6.1)</f>
        <v>6.1</v>
      </c>
      <c r="R4718" s="4">
        <f>IFERROR(__xludf.DUMMYFUNCTION("""COMPUTED_VALUE"""),0.5)</f>
        <v>0.5</v>
      </c>
      <c r="S4718" s="4">
        <f>IFERROR(__xludf.DUMMYFUNCTION("""COMPUTED_VALUE"""),12.2)</f>
        <v>12.2</v>
      </c>
      <c r="T4718" s="4">
        <f>IFERROR(__xludf.DUMMYFUNCTION("""COMPUTED_VALUE"""),0.08)</f>
        <v>0.08</v>
      </c>
      <c r="U4718" s="4">
        <f>IFERROR(__xludf.DUMMYFUNCTION("""COMPUTED_VALUE"""),-3.0)</f>
        <v>-3</v>
      </c>
      <c r="V4718" s="4">
        <f>IFERROR(__xludf.DUMMYFUNCTION("""COMPUTED_VALUE"""),-1.9)</f>
        <v>-1.9</v>
      </c>
    </row>
    <row r="4719">
      <c r="A4719" s="4">
        <f>IFERROR(__xludf.DUMMYFUNCTION("""COMPUTED_VALUE"""),36.0)</f>
        <v>36</v>
      </c>
      <c r="B4719" s="4">
        <f>IFERROR(__xludf.DUMMYFUNCTION("""COMPUTED_VALUE"""),36.0)</f>
        <v>36</v>
      </c>
      <c r="C4719" s="4" t="str">
        <f>IFERROR(__xludf.DUMMYFUNCTION("""COMPUTED_VALUE"""),"DET")</f>
        <v>DET</v>
      </c>
      <c r="D4719" s="4" t="str">
        <f>IFERROR(__xludf.DUMMYFUNCTION("""COMPUTED_VALUE"""),"Ben Poquette")</f>
        <v>Ben Poquette</v>
      </c>
      <c r="E4719" s="4" t="str">
        <f>IFERROR(__xludf.DUMMYFUNCTION("""COMPUTED_VALUE"""),"Central Michigan University")</f>
        <v>Central Michigan University</v>
      </c>
      <c r="F4719" s="4">
        <f>IFERROR(__xludf.DUMMYFUNCTION("""COMPUTED_VALUE"""),10.0)</f>
        <v>10</v>
      </c>
      <c r="G4719" s="4">
        <f>IFERROR(__xludf.DUMMYFUNCTION("""COMPUTED_VALUE"""),718.0)</f>
        <v>718</v>
      </c>
      <c r="H4719" s="4">
        <f>IFERROR(__xludf.DUMMYFUNCTION("""COMPUTED_VALUE"""),15763.0)</f>
        <v>15763</v>
      </c>
      <c r="I4719" s="4">
        <f>IFERROR(__xludf.DUMMYFUNCTION("""COMPUTED_VALUE"""),4899.0)</f>
        <v>4899</v>
      </c>
      <c r="J4719" s="4">
        <f>IFERROR(__xludf.DUMMYFUNCTION("""COMPUTED_VALUE"""),3731.0)</f>
        <v>3731</v>
      </c>
      <c r="K4719" s="4">
        <f>IFERROR(__xludf.DUMMYFUNCTION("""COMPUTED_VALUE"""),872.0)</f>
        <v>872</v>
      </c>
      <c r="L4719" s="4">
        <f>IFERROR(__xludf.DUMMYFUNCTION("""COMPUTED_VALUE"""),0.483)</f>
        <v>0.483</v>
      </c>
      <c r="M4719" s="4"/>
      <c r="N4719" s="4">
        <f>IFERROR(__xludf.DUMMYFUNCTION("""COMPUTED_VALUE"""),0.779)</f>
        <v>0.779</v>
      </c>
      <c r="O4719" s="4">
        <f>IFERROR(__xludf.DUMMYFUNCTION("""COMPUTED_VALUE"""),22.0)</f>
        <v>22</v>
      </c>
      <c r="P4719" s="4">
        <f>IFERROR(__xludf.DUMMYFUNCTION("""COMPUTED_VALUE"""),6.8)</f>
        <v>6.8</v>
      </c>
      <c r="Q4719" s="4">
        <f>IFERROR(__xludf.DUMMYFUNCTION("""COMPUTED_VALUE"""),5.2)</f>
        <v>5.2</v>
      </c>
      <c r="R4719" s="4">
        <f>IFERROR(__xludf.DUMMYFUNCTION("""COMPUTED_VALUE"""),1.2)</f>
        <v>1.2</v>
      </c>
      <c r="S4719" s="4">
        <f>IFERROR(__xludf.DUMMYFUNCTION("""COMPUTED_VALUE"""),30.4)</f>
        <v>30.4</v>
      </c>
      <c r="T4719" s="4">
        <f>IFERROR(__xludf.DUMMYFUNCTION("""COMPUTED_VALUE"""),0.093)</f>
        <v>0.093</v>
      </c>
      <c r="U4719" s="4">
        <f>IFERROR(__xludf.DUMMYFUNCTION("""COMPUTED_VALUE"""),-0.7)</f>
        <v>-0.7</v>
      </c>
      <c r="V4719" s="4">
        <f>IFERROR(__xludf.DUMMYFUNCTION("""COMPUTED_VALUE"""),5.3)</f>
        <v>5.3</v>
      </c>
    </row>
    <row r="4720">
      <c r="A4720" s="4">
        <f>IFERROR(__xludf.DUMMYFUNCTION("""COMPUTED_VALUE"""),37.0)</f>
        <v>37</v>
      </c>
      <c r="B4720" s="4">
        <f>IFERROR(__xludf.DUMMYFUNCTION("""COMPUTED_VALUE"""),37.0)</f>
        <v>37</v>
      </c>
      <c r="C4720" s="4" t="str">
        <f>IFERROR(__xludf.DUMMYFUNCTION("""COMPUTED_VALUE"""),"SAS")</f>
        <v>SAS</v>
      </c>
      <c r="D4720" s="4" t="str">
        <f>IFERROR(__xludf.DUMMYFUNCTION("""COMPUTED_VALUE"""),"Jeff Wilkins")</f>
        <v>Jeff Wilkins</v>
      </c>
      <c r="E4720" s="4" t="str">
        <f>IFERROR(__xludf.DUMMYFUNCTION("""COMPUTED_VALUE"""),"Illinois State")</f>
        <v>Illinois State</v>
      </c>
      <c r="F4720" s="4">
        <f>IFERROR(__xludf.DUMMYFUNCTION("""COMPUTED_VALUE"""),6.0)</f>
        <v>6</v>
      </c>
      <c r="G4720" s="4">
        <f>IFERROR(__xludf.DUMMYFUNCTION("""COMPUTED_VALUE"""),454.0)</f>
        <v>454</v>
      </c>
      <c r="H4720" s="4">
        <f>IFERROR(__xludf.DUMMYFUNCTION("""COMPUTED_VALUE"""),10004.0)</f>
        <v>10004</v>
      </c>
      <c r="I4720" s="4">
        <f>IFERROR(__xludf.DUMMYFUNCTION("""COMPUTED_VALUE"""),3575.0)</f>
        <v>3575</v>
      </c>
      <c r="J4720" s="4">
        <f>IFERROR(__xludf.DUMMYFUNCTION("""COMPUTED_VALUE"""),2574.0)</f>
        <v>2574</v>
      </c>
      <c r="K4720" s="4">
        <f>IFERROR(__xludf.DUMMYFUNCTION("""COMPUTED_VALUE"""),462.0)</f>
        <v>462</v>
      </c>
      <c r="L4720" s="4">
        <f>IFERROR(__xludf.DUMMYFUNCTION("""COMPUTED_VALUE"""),0.459)</f>
        <v>0.459</v>
      </c>
      <c r="M4720" s="4">
        <f>IFERROR(__xludf.DUMMYFUNCTION("""COMPUTED_VALUE"""),0.0)</f>
        <v>0</v>
      </c>
      <c r="N4720" s="4">
        <f>IFERROR(__xludf.DUMMYFUNCTION("""COMPUTED_VALUE"""),0.743)</f>
        <v>0.743</v>
      </c>
      <c r="O4720" s="4">
        <f>IFERROR(__xludf.DUMMYFUNCTION("""COMPUTED_VALUE"""),22.0)</f>
        <v>22</v>
      </c>
      <c r="P4720" s="4">
        <f>IFERROR(__xludf.DUMMYFUNCTION("""COMPUTED_VALUE"""),7.9)</f>
        <v>7.9</v>
      </c>
      <c r="Q4720" s="4">
        <f>IFERROR(__xludf.DUMMYFUNCTION("""COMPUTED_VALUE"""),5.7)</f>
        <v>5.7</v>
      </c>
      <c r="R4720" s="4">
        <f>IFERROR(__xludf.DUMMYFUNCTION("""COMPUTED_VALUE"""),1.0)</f>
        <v>1</v>
      </c>
      <c r="S4720" s="4">
        <f>IFERROR(__xludf.DUMMYFUNCTION("""COMPUTED_VALUE"""),8.8)</f>
        <v>8.8</v>
      </c>
      <c r="T4720" s="4">
        <f>IFERROR(__xludf.DUMMYFUNCTION("""COMPUTED_VALUE"""),0.042)</f>
        <v>0.042</v>
      </c>
      <c r="U4720" s="4">
        <f>IFERROR(__xludf.DUMMYFUNCTION("""COMPUTED_VALUE"""),-3.9)</f>
        <v>-3.9</v>
      </c>
      <c r="V4720" s="4">
        <f>IFERROR(__xludf.DUMMYFUNCTION("""COMPUTED_VALUE"""),-4.8)</f>
        <v>-4.8</v>
      </c>
    </row>
    <row r="4721">
      <c r="A4721" s="4">
        <f>IFERROR(__xludf.DUMMYFUNCTION("""COMPUTED_VALUE"""),38.0)</f>
        <v>38</v>
      </c>
      <c r="B4721" s="4">
        <f>IFERROR(__xludf.DUMMYFUNCTION("""COMPUTED_VALUE"""),38.0)</f>
        <v>38</v>
      </c>
      <c r="C4721" s="4" t="str">
        <f>IFERROR(__xludf.DUMMYFUNCTION("""COMPUTED_VALUE"""),"GSW")</f>
        <v>GSW</v>
      </c>
      <c r="D4721" s="4" t="str">
        <f>IFERROR(__xludf.DUMMYFUNCTION("""COMPUTED_VALUE"""),"Ricky Love")</f>
        <v>Ricky Love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</row>
    <row r="4722">
      <c r="A4722" s="4">
        <f>IFERROR(__xludf.DUMMYFUNCTION("""COMPUTED_VALUE"""),39.0)</f>
        <v>39</v>
      </c>
      <c r="B4722" s="4">
        <f>IFERROR(__xludf.DUMMYFUNCTION("""COMPUTED_VALUE"""),39.0)</f>
        <v>39</v>
      </c>
      <c r="C4722" s="4" t="str">
        <f>IFERROR(__xludf.DUMMYFUNCTION("""COMPUTED_VALUE"""),"WSB")</f>
        <v>WSB</v>
      </c>
      <c r="D4722" s="4" t="str">
        <f>IFERROR(__xludf.DUMMYFUNCTION("""COMPUTED_VALUE"""),"Phil Walker")</f>
        <v>Phil Walker</v>
      </c>
      <c r="E4722" s="4" t="str">
        <f>IFERROR(__xludf.DUMMYFUNCTION("""COMPUTED_VALUE"""),"Millersville")</f>
        <v>Millersville</v>
      </c>
      <c r="F4722" s="4">
        <f>IFERROR(__xludf.DUMMYFUNCTION("""COMPUTED_VALUE"""),1.0)</f>
        <v>1</v>
      </c>
      <c r="G4722" s="4">
        <f>IFERROR(__xludf.DUMMYFUNCTION("""COMPUTED_VALUE"""),40.0)</f>
        <v>40</v>
      </c>
      <c r="H4722" s="4">
        <f>IFERROR(__xludf.DUMMYFUNCTION("""COMPUTED_VALUE"""),384.0)</f>
        <v>384</v>
      </c>
      <c r="I4722" s="4">
        <f>IFERROR(__xludf.DUMMYFUNCTION("""COMPUTED_VALUE"""),178.0)</f>
        <v>178</v>
      </c>
      <c r="J4722" s="4">
        <f>IFERROR(__xludf.DUMMYFUNCTION("""COMPUTED_VALUE"""),52.0)</f>
        <v>52</v>
      </c>
      <c r="K4722" s="4">
        <f>IFERROR(__xludf.DUMMYFUNCTION("""COMPUTED_VALUE"""),54.0)</f>
        <v>54</v>
      </c>
      <c r="L4722" s="4">
        <f>IFERROR(__xludf.DUMMYFUNCTION("""COMPUTED_VALUE"""),0.354)</f>
        <v>0.354</v>
      </c>
      <c r="M4722" s="4"/>
      <c r="N4722" s="4">
        <f>IFERROR(__xludf.DUMMYFUNCTION("""COMPUTED_VALUE"""),0.667)</f>
        <v>0.667</v>
      </c>
      <c r="O4722" s="4">
        <f>IFERROR(__xludf.DUMMYFUNCTION("""COMPUTED_VALUE"""),9.6)</f>
        <v>9.6</v>
      </c>
      <c r="P4722" s="4">
        <f>IFERROR(__xludf.DUMMYFUNCTION("""COMPUTED_VALUE"""),4.5)</f>
        <v>4.5</v>
      </c>
      <c r="Q4722" s="4">
        <f>IFERROR(__xludf.DUMMYFUNCTION("""COMPUTED_VALUE"""),1.3)</f>
        <v>1.3</v>
      </c>
      <c r="R4722" s="4">
        <f>IFERROR(__xludf.DUMMYFUNCTION("""COMPUTED_VALUE"""),1.4)</f>
        <v>1.4</v>
      </c>
      <c r="S4722" s="4">
        <f>IFERROR(__xludf.DUMMYFUNCTION("""COMPUTED_VALUE"""),-0.4)</f>
        <v>-0.4</v>
      </c>
      <c r="T4722" s="4">
        <f>IFERROR(__xludf.DUMMYFUNCTION("""COMPUTED_VALUE"""),-0.045)</f>
        <v>-0.045</v>
      </c>
      <c r="U4722" s="4">
        <f>IFERROR(__xludf.DUMMYFUNCTION("""COMPUTED_VALUE"""),-4.6)</f>
        <v>-4.6</v>
      </c>
      <c r="V4722" s="4">
        <f>IFERROR(__xludf.DUMMYFUNCTION("""COMPUTED_VALUE"""),-0.3)</f>
        <v>-0.3</v>
      </c>
    </row>
    <row r="4723">
      <c r="A4723" s="4">
        <f>IFERROR(__xludf.DUMMYFUNCTION("""COMPUTED_VALUE"""),40.0)</f>
        <v>40</v>
      </c>
      <c r="B4723" s="4">
        <f>IFERROR(__xludf.DUMMYFUNCTION("""COMPUTED_VALUE"""),40.0)</f>
        <v>40</v>
      </c>
      <c r="C4723" s="4" t="str">
        <f>IFERROR(__xludf.DUMMYFUNCTION("""COMPUTED_VALUE"""),"HOU")</f>
        <v>HOU</v>
      </c>
      <c r="D4723" s="4" t="str">
        <f>IFERROR(__xludf.DUMMYFUNCTION("""COMPUTED_VALUE"""),"Robert Reid")</f>
        <v>Robert Reid</v>
      </c>
      <c r="E4723" s="4" t="str">
        <f>IFERROR(__xludf.DUMMYFUNCTION("""COMPUTED_VALUE"""),"St. Mary's University")</f>
        <v>St. Mary's University</v>
      </c>
      <c r="F4723" s="4">
        <f>IFERROR(__xludf.DUMMYFUNCTION("""COMPUTED_VALUE"""),13.0)</f>
        <v>13</v>
      </c>
      <c r="G4723" s="4">
        <f>IFERROR(__xludf.DUMMYFUNCTION("""COMPUTED_VALUE"""),919.0)</f>
        <v>919</v>
      </c>
      <c r="H4723" s="4">
        <f>IFERROR(__xludf.DUMMYFUNCTION("""COMPUTED_VALUE"""),25109.0)</f>
        <v>25109</v>
      </c>
      <c r="I4723" s="4">
        <f>IFERROR(__xludf.DUMMYFUNCTION("""COMPUTED_VALUE"""),10448.0)</f>
        <v>10448</v>
      </c>
      <c r="J4723" s="4">
        <f>IFERROR(__xludf.DUMMYFUNCTION("""COMPUTED_VALUE"""),4168.0)</f>
        <v>4168</v>
      </c>
      <c r="K4723" s="4">
        <f>IFERROR(__xludf.DUMMYFUNCTION("""COMPUTED_VALUE"""),2500.0)</f>
        <v>2500</v>
      </c>
      <c r="L4723" s="4">
        <f>IFERROR(__xludf.DUMMYFUNCTION("""COMPUTED_VALUE"""),0.458)</f>
        <v>0.458</v>
      </c>
      <c r="M4723" s="4"/>
      <c r="N4723" s="4">
        <f>IFERROR(__xludf.DUMMYFUNCTION("""COMPUTED_VALUE"""),0.732)</f>
        <v>0.732</v>
      </c>
      <c r="O4723" s="4">
        <f>IFERROR(__xludf.DUMMYFUNCTION("""COMPUTED_VALUE"""),27.3)</f>
        <v>27.3</v>
      </c>
      <c r="P4723" s="4">
        <f>IFERROR(__xludf.DUMMYFUNCTION("""COMPUTED_VALUE"""),11.4)</f>
        <v>11.4</v>
      </c>
      <c r="Q4723" s="4">
        <f>IFERROR(__xludf.DUMMYFUNCTION("""COMPUTED_VALUE"""),4.5)</f>
        <v>4.5</v>
      </c>
      <c r="R4723" s="4">
        <f>IFERROR(__xludf.DUMMYFUNCTION("""COMPUTED_VALUE"""),2.7)</f>
        <v>2.7</v>
      </c>
      <c r="S4723" s="4">
        <f>IFERROR(__xludf.DUMMYFUNCTION("""COMPUTED_VALUE"""),40.3)</f>
        <v>40.3</v>
      </c>
      <c r="T4723" s="4">
        <f>IFERROR(__xludf.DUMMYFUNCTION("""COMPUTED_VALUE"""),0.077)</f>
        <v>0.077</v>
      </c>
      <c r="U4723" s="4">
        <f>IFERROR(__xludf.DUMMYFUNCTION("""COMPUTED_VALUE"""),-0.7)</f>
        <v>-0.7</v>
      </c>
      <c r="V4723" s="4">
        <f>IFERROR(__xludf.DUMMYFUNCTION("""COMPUTED_VALUE"""),8.2)</f>
        <v>8.2</v>
      </c>
    </row>
    <row r="4724">
      <c r="A4724" s="4">
        <f>IFERROR(__xludf.DUMMYFUNCTION("""COMPUTED_VALUE"""),41.0)</f>
        <v>41</v>
      </c>
      <c r="B4724" s="4">
        <f>IFERROR(__xludf.DUMMYFUNCTION("""COMPUTED_VALUE"""),41.0)</f>
        <v>41</v>
      </c>
      <c r="C4724" s="4" t="str">
        <f>IFERROR(__xludf.DUMMYFUNCTION("""COMPUTED_VALUE"""),"POR")</f>
        <v>POR</v>
      </c>
      <c r="D4724" s="4" t="str">
        <f>IFERROR(__xludf.DUMMYFUNCTION("""COMPUTED_VALUE"""),"T.R. Dunn")</f>
        <v>T.R. Dunn</v>
      </c>
      <c r="E4724" s="4" t="str">
        <f>IFERROR(__xludf.DUMMYFUNCTION("""COMPUTED_VALUE"""),"Alabama")</f>
        <v>Alabama</v>
      </c>
      <c r="F4724" s="4">
        <f>IFERROR(__xludf.DUMMYFUNCTION("""COMPUTED_VALUE"""),14.0)</f>
        <v>14</v>
      </c>
      <c r="G4724" s="4">
        <f>IFERROR(__xludf.DUMMYFUNCTION("""COMPUTED_VALUE"""),993.0)</f>
        <v>993</v>
      </c>
      <c r="H4724" s="4">
        <f>IFERROR(__xludf.DUMMYFUNCTION("""COMPUTED_VALUE"""),23080.0)</f>
        <v>23080</v>
      </c>
      <c r="I4724" s="4">
        <f>IFERROR(__xludf.DUMMYFUNCTION("""COMPUTED_VALUE"""),5033.0)</f>
        <v>5033</v>
      </c>
      <c r="J4724" s="4">
        <f>IFERROR(__xludf.DUMMYFUNCTION("""COMPUTED_VALUE"""),4371.0)</f>
        <v>4371</v>
      </c>
      <c r="K4724" s="4">
        <f>IFERROR(__xludf.DUMMYFUNCTION("""COMPUTED_VALUE"""),1631.0)</f>
        <v>1631</v>
      </c>
      <c r="L4724" s="4">
        <f>IFERROR(__xludf.DUMMYFUNCTION("""COMPUTED_VALUE"""),0.457)</f>
        <v>0.457</v>
      </c>
      <c r="M4724" s="4"/>
      <c r="N4724" s="4">
        <f>IFERROR(__xludf.DUMMYFUNCTION("""COMPUTED_VALUE"""),0.725)</f>
        <v>0.725</v>
      </c>
      <c r="O4724" s="4">
        <f>IFERROR(__xludf.DUMMYFUNCTION("""COMPUTED_VALUE"""),23.2)</f>
        <v>23.2</v>
      </c>
      <c r="P4724" s="4">
        <f>IFERROR(__xludf.DUMMYFUNCTION("""COMPUTED_VALUE"""),5.1)</f>
        <v>5.1</v>
      </c>
      <c r="Q4724" s="4">
        <f>IFERROR(__xludf.DUMMYFUNCTION("""COMPUTED_VALUE"""),4.4)</f>
        <v>4.4</v>
      </c>
      <c r="R4724" s="4">
        <f>IFERROR(__xludf.DUMMYFUNCTION("""COMPUTED_VALUE"""),1.6)</f>
        <v>1.6</v>
      </c>
      <c r="S4724" s="4">
        <f>IFERROR(__xludf.DUMMYFUNCTION("""COMPUTED_VALUE"""),39.8)</f>
        <v>39.8</v>
      </c>
      <c r="T4724" s="4">
        <f>IFERROR(__xludf.DUMMYFUNCTION("""COMPUTED_VALUE"""),0.083)</f>
        <v>0.083</v>
      </c>
      <c r="U4724" s="4">
        <f>IFERROR(__xludf.DUMMYFUNCTION("""COMPUTED_VALUE"""),0.0)</f>
        <v>0</v>
      </c>
      <c r="V4724" s="4">
        <f>IFERROR(__xludf.DUMMYFUNCTION("""COMPUTED_VALUE"""),11.5)</f>
        <v>11.5</v>
      </c>
    </row>
    <row r="4725">
      <c r="A4725" s="4">
        <f>IFERROR(__xludf.DUMMYFUNCTION("""COMPUTED_VALUE"""),42.0)</f>
        <v>42</v>
      </c>
      <c r="B4725" s="4">
        <f>IFERROR(__xludf.DUMMYFUNCTION("""COMPUTED_VALUE"""),42.0)</f>
        <v>42</v>
      </c>
      <c r="C4725" s="4" t="str">
        <f>IFERROR(__xludf.DUMMYFUNCTION("""COMPUTED_VALUE"""),"PHI")</f>
        <v>PHI</v>
      </c>
      <c r="D4725" s="4" t="str">
        <f>IFERROR(__xludf.DUMMYFUNCTION("""COMPUTED_VALUE"""),"Bob Elliott")</f>
        <v>Bob Elliott</v>
      </c>
      <c r="E4725" s="4" t="str">
        <f>IFERROR(__xludf.DUMMYFUNCTION("""COMPUTED_VALUE"""),"Arizona")</f>
        <v>Arizona</v>
      </c>
      <c r="F4725" s="4">
        <f>IFERROR(__xludf.DUMMYFUNCTION("""COMPUTED_VALUE"""),3.0)</f>
        <v>3</v>
      </c>
      <c r="G4725" s="4">
        <f>IFERROR(__xludf.DUMMYFUNCTION("""COMPUTED_VALUE"""),141.0)</f>
        <v>141</v>
      </c>
      <c r="H4725" s="4">
        <f>IFERROR(__xludf.DUMMYFUNCTION("""COMPUTED_VALUE"""),2324.0)</f>
        <v>2324</v>
      </c>
      <c r="I4725" s="4">
        <f>IFERROR(__xludf.DUMMYFUNCTION("""COMPUTED_VALUE"""),980.0)</f>
        <v>980</v>
      </c>
      <c r="J4725" s="4">
        <f>IFERROR(__xludf.DUMMYFUNCTION("""COMPUTED_VALUE"""),502.0)</f>
        <v>502</v>
      </c>
      <c r="K4725" s="4">
        <f>IFERROR(__xludf.DUMMYFUNCTION("""COMPUTED_VALUE"""),204.0)</f>
        <v>204</v>
      </c>
      <c r="L4725" s="4">
        <f>IFERROR(__xludf.DUMMYFUNCTION("""COMPUTED_VALUE"""),0.494)</f>
        <v>0.494</v>
      </c>
      <c r="M4725" s="4"/>
      <c r="N4725" s="4">
        <f>IFERROR(__xludf.DUMMYFUNCTION("""COMPUTED_VALUE"""),0.649)</f>
        <v>0.649</v>
      </c>
      <c r="O4725" s="4">
        <f>IFERROR(__xludf.DUMMYFUNCTION("""COMPUTED_VALUE"""),16.5)</f>
        <v>16.5</v>
      </c>
      <c r="P4725" s="4">
        <f>IFERROR(__xludf.DUMMYFUNCTION("""COMPUTED_VALUE"""),7.0)</f>
        <v>7</v>
      </c>
      <c r="Q4725" s="4">
        <f>IFERROR(__xludf.DUMMYFUNCTION("""COMPUTED_VALUE"""),3.6)</f>
        <v>3.6</v>
      </c>
      <c r="R4725" s="4">
        <f>IFERROR(__xludf.DUMMYFUNCTION("""COMPUTED_VALUE"""),1.4)</f>
        <v>1.4</v>
      </c>
      <c r="S4725" s="4">
        <f>IFERROR(__xludf.DUMMYFUNCTION("""COMPUTED_VALUE"""),3.0)</f>
        <v>3</v>
      </c>
      <c r="T4725" s="4">
        <f>IFERROR(__xludf.DUMMYFUNCTION("""COMPUTED_VALUE"""),0.063)</f>
        <v>0.063</v>
      </c>
      <c r="U4725" s="4">
        <f>IFERROR(__xludf.DUMMYFUNCTION("""COMPUTED_VALUE"""),-2.1)</f>
        <v>-2.1</v>
      </c>
      <c r="V4725" s="4">
        <f>IFERROR(__xludf.DUMMYFUNCTION("""COMPUTED_VALUE"""),0.0)</f>
        <v>0</v>
      </c>
    </row>
    <row r="4726">
      <c r="A4726" s="4">
        <f>IFERROR(__xludf.DUMMYFUNCTION("""COMPUTED_VALUE"""),43.0)</f>
        <v>43</v>
      </c>
      <c r="B4726" s="4">
        <f>IFERROR(__xludf.DUMMYFUNCTION("""COMPUTED_VALUE"""),43.0)</f>
        <v>43</v>
      </c>
      <c r="C4726" s="4" t="str">
        <f>IFERROR(__xludf.DUMMYFUNCTION("""COMPUTED_VALUE"""),"PHI")</f>
        <v>PHI</v>
      </c>
      <c r="D4726" s="4" t="str">
        <f>IFERROR(__xludf.DUMMYFUNCTION("""COMPUTED_VALUE"""),"Herm Harris")</f>
        <v>Herm Harris</v>
      </c>
      <c r="E4726" s="4" t="str">
        <f>IFERROR(__xludf.DUMMYFUNCTION("""COMPUTED_VALUE"""),"Arizona")</f>
        <v>Arizona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</row>
    <row r="4727">
      <c r="A4727" s="4">
        <f>IFERROR(__xludf.DUMMYFUNCTION("""COMPUTED_VALUE"""),44.0)</f>
        <v>44</v>
      </c>
      <c r="B4727" s="4">
        <f>IFERROR(__xludf.DUMMYFUNCTION("""COMPUTED_VALUE"""),44.0)</f>
        <v>44</v>
      </c>
      <c r="C4727" s="4" t="str">
        <f>IFERROR(__xludf.DUMMYFUNCTION("""COMPUTED_VALUE"""),"NOJ")</f>
        <v>NOJ</v>
      </c>
      <c r="D4727" s="4" t="str">
        <f>IFERROR(__xludf.DUMMYFUNCTION("""COMPUTED_VALUE"""),"Essie Hollis")</f>
        <v>Essie Hollis</v>
      </c>
      <c r="E4727" s="4" t="str">
        <f>IFERROR(__xludf.DUMMYFUNCTION("""COMPUTED_VALUE"""),"St. Bonaventure")</f>
        <v>St. Bonaventure</v>
      </c>
      <c r="F4727" s="4">
        <f>IFERROR(__xludf.DUMMYFUNCTION("""COMPUTED_VALUE"""),1.0)</f>
        <v>1</v>
      </c>
      <c r="G4727" s="4">
        <f>IFERROR(__xludf.DUMMYFUNCTION("""COMPUTED_VALUE"""),25.0)</f>
        <v>25</v>
      </c>
      <c r="H4727" s="4">
        <f>IFERROR(__xludf.DUMMYFUNCTION("""COMPUTED_VALUE"""),154.0)</f>
        <v>154</v>
      </c>
      <c r="I4727" s="4">
        <f>IFERROR(__xludf.DUMMYFUNCTION("""COMPUTED_VALUE"""),69.0)</f>
        <v>69</v>
      </c>
      <c r="J4727" s="4">
        <f>IFERROR(__xludf.DUMMYFUNCTION("""COMPUTED_VALUE"""),45.0)</f>
        <v>45</v>
      </c>
      <c r="K4727" s="4">
        <f>IFERROR(__xludf.DUMMYFUNCTION("""COMPUTED_VALUE"""),6.0)</f>
        <v>6</v>
      </c>
      <c r="L4727" s="4">
        <f>IFERROR(__xludf.DUMMYFUNCTION("""COMPUTED_VALUE"""),0.4)</f>
        <v>0.4</v>
      </c>
      <c r="M4727" s="4"/>
      <c r="N4727" s="4">
        <f>IFERROR(__xludf.DUMMYFUNCTION("""COMPUTED_VALUE"""),0.75)</f>
        <v>0.75</v>
      </c>
      <c r="O4727" s="4">
        <f>IFERROR(__xludf.DUMMYFUNCTION("""COMPUTED_VALUE"""),6.2)</f>
        <v>6.2</v>
      </c>
      <c r="P4727" s="4">
        <f>IFERROR(__xludf.DUMMYFUNCTION("""COMPUTED_VALUE"""),2.8)</f>
        <v>2.8</v>
      </c>
      <c r="Q4727" s="4">
        <f>IFERROR(__xludf.DUMMYFUNCTION("""COMPUTED_VALUE"""),1.8)</f>
        <v>1.8</v>
      </c>
      <c r="R4727" s="4">
        <f>IFERROR(__xludf.DUMMYFUNCTION("""COMPUTED_VALUE"""),0.2)</f>
        <v>0.2</v>
      </c>
      <c r="S4727" s="4">
        <f>IFERROR(__xludf.DUMMYFUNCTION("""COMPUTED_VALUE"""),0.1)</f>
        <v>0.1</v>
      </c>
      <c r="T4727" s="4">
        <f>IFERROR(__xludf.DUMMYFUNCTION("""COMPUTED_VALUE"""),0.022)</f>
        <v>0.022</v>
      </c>
      <c r="U4727" s="4">
        <f>IFERROR(__xludf.DUMMYFUNCTION("""COMPUTED_VALUE"""),-4.3)</f>
        <v>-4.3</v>
      </c>
      <c r="V4727" s="4">
        <f>IFERROR(__xludf.DUMMYFUNCTION("""COMPUTED_VALUE"""),-0.1)</f>
        <v>-0.1</v>
      </c>
    </row>
    <row r="4728">
      <c r="A4728" s="4"/>
      <c r="B4728" s="4"/>
      <c r="C4728" s="4"/>
      <c r="D4728" s="4" t="str">
        <f>IFERROR(__xludf.DUMMYFUNCTION("""COMPUTED_VALUE"""),"Round 3")</f>
        <v>Round 3</v>
      </c>
      <c r="E4728" s="4"/>
      <c r="F4728" s="4"/>
      <c r="G4728" s="4" t="str">
        <f>IFERROR(__xludf.DUMMYFUNCTION("""COMPUTED_VALUE"""),"Totals")</f>
        <v>Totals</v>
      </c>
      <c r="H4728" s="4"/>
      <c r="I4728" s="4"/>
      <c r="J4728" s="4"/>
      <c r="K4728" s="4"/>
      <c r="L4728" s="4" t="str">
        <f>IFERROR(__xludf.DUMMYFUNCTION("""COMPUTED_VALUE"""),"Shooting")</f>
        <v>Shooting</v>
      </c>
      <c r="M4728" s="4"/>
      <c r="N4728" s="4"/>
      <c r="O4728" s="4" t="str">
        <f>IFERROR(__xludf.DUMMYFUNCTION("""COMPUTED_VALUE"""),"Per Game")</f>
        <v>Per Game</v>
      </c>
      <c r="P4728" s="4"/>
      <c r="Q4728" s="4"/>
      <c r="R4728" s="4"/>
      <c r="S4728" s="4" t="str">
        <f>IFERROR(__xludf.DUMMYFUNCTION("""COMPUTED_VALUE"""),"Advanced")</f>
        <v>Advanced</v>
      </c>
      <c r="T4728" s="4"/>
      <c r="U4728" s="4"/>
      <c r="V4728" s="4"/>
    </row>
    <row r="4729">
      <c r="A4729" s="4" t="str">
        <f>IFERROR(__xludf.DUMMYFUNCTION("""COMPUTED_VALUE"""),"Rk")</f>
        <v>Rk</v>
      </c>
      <c r="B4729" s="4" t="str">
        <f>IFERROR(__xludf.DUMMYFUNCTION("""COMPUTED_VALUE"""),"Pk")</f>
        <v>Pk</v>
      </c>
      <c r="C4729" s="4" t="str">
        <f>IFERROR(__xludf.DUMMYFUNCTION("""COMPUTED_VALUE"""),"Tm")</f>
        <v>Tm</v>
      </c>
      <c r="D4729" s="4" t="str">
        <f>IFERROR(__xludf.DUMMYFUNCTION("""COMPUTED_VALUE"""),"Player")</f>
        <v>Player</v>
      </c>
      <c r="E4729" s="4" t="str">
        <f>IFERROR(__xludf.DUMMYFUNCTION("""COMPUTED_VALUE"""),"College")</f>
        <v>College</v>
      </c>
      <c r="F4729" s="4" t="str">
        <f>IFERROR(__xludf.DUMMYFUNCTION("""COMPUTED_VALUE"""),"Yrs")</f>
        <v>Yrs</v>
      </c>
      <c r="G4729" s="4" t="str">
        <f>IFERROR(__xludf.DUMMYFUNCTION("""COMPUTED_VALUE"""),"G")</f>
        <v>G</v>
      </c>
      <c r="H4729" s="4" t="str">
        <f>IFERROR(__xludf.DUMMYFUNCTION("""COMPUTED_VALUE"""),"MP")</f>
        <v>MP</v>
      </c>
      <c r="I4729" s="4" t="str">
        <f>IFERROR(__xludf.DUMMYFUNCTION("""COMPUTED_VALUE"""),"PTS")</f>
        <v>PTS</v>
      </c>
      <c r="J4729" s="4" t="str">
        <f>IFERROR(__xludf.DUMMYFUNCTION("""COMPUTED_VALUE"""),"TRB")</f>
        <v>TRB</v>
      </c>
      <c r="K4729" s="4" t="str">
        <f>IFERROR(__xludf.DUMMYFUNCTION("""COMPUTED_VALUE"""),"AST")</f>
        <v>AST</v>
      </c>
      <c r="L4729" s="4" t="str">
        <f>IFERROR(__xludf.DUMMYFUNCTION("""COMPUTED_VALUE"""),"FG%")</f>
        <v>FG%</v>
      </c>
      <c r="M4729" s="4" t="str">
        <f>IFERROR(__xludf.DUMMYFUNCTION("""COMPUTED_VALUE"""),"3P%")</f>
        <v>3P%</v>
      </c>
      <c r="N4729" s="4" t="str">
        <f>IFERROR(__xludf.DUMMYFUNCTION("""COMPUTED_VALUE"""),"FT%")</f>
        <v>FT%</v>
      </c>
      <c r="O4729" s="4" t="str">
        <f>IFERROR(__xludf.DUMMYFUNCTION("""COMPUTED_VALUE"""),"MP")</f>
        <v>MP</v>
      </c>
      <c r="P4729" s="4" t="str">
        <f>IFERROR(__xludf.DUMMYFUNCTION("""COMPUTED_VALUE"""),"PTS")</f>
        <v>PTS</v>
      </c>
      <c r="Q4729" s="4" t="str">
        <f>IFERROR(__xludf.DUMMYFUNCTION("""COMPUTED_VALUE"""),"TRB")</f>
        <v>TRB</v>
      </c>
      <c r="R4729" s="4" t="str">
        <f>IFERROR(__xludf.DUMMYFUNCTION("""COMPUTED_VALUE"""),"AST")</f>
        <v>AST</v>
      </c>
      <c r="S4729" s="4" t="str">
        <f>IFERROR(__xludf.DUMMYFUNCTION("""COMPUTED_VALUE"""),"WS")</f>
        <v>WS</v>
      </c>
      <c r="T4729" s="4" t="str">
        <f>IFERROR(__xludf.DUMMYFUNCTION("""COMPUTED_VALUE"""),"WS/48")</f>
        <v>WS/48</v>
      </c>
      <c r="U4729" s="4" t="str">
        <f>IFERROR(__xludf.DUMMYFUNCTION("""COMPUTED_VALUE"""),"BPM")</f>
        <v>BPM</v>
      </c>
      <c r="V4729" s="4" t="str">
        <f>IFERROR(__xludf.DUMMYFUNCTION("""COMPUTED_VALUE"""),"VORP")</f>
        <v>VORP</v>
      </c>
    </row>
    <row r="4730">
      <c r="A4730" s="4">
        <f>IFERROR(__xludf.DUMMYFUNCTION("""COMPUTED_VALUE"""),45.0)</f>
        <v>45</v>
      </c>
      <c r="B4730" s="4">
        <f>IFERROR(__xludf.DUMMYFUNCTION("""COMPUTED_VALUE"""),45.0)</f>
        <v>45</v>
      </c>
      <c r="C4730" s="4" t="str">
        <f>IFERROR(__xludf.DUMMYFUNCTION("""COMPUTED_VALUE"""),"KCK")</f>
        <v>KCK</v>
      </c>
      <c r="D4730" s="4" t="str">
        <f>IFERROR(__xludf.DUMMYFUNCTION("""COMPUTED_VALUE"""),"Bill Paterno")</f>
        <v>Bill Paterno</v>
      </c>
      <c r="E4730" s="4" t="str">
        <f>IFERROR(__xludf.DUMMYFUNCTION("""COMPUTED_VALUE"""),"Notre Dame")</f>
        <v>Notre Dame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</row>
    <row r="4731">
      <c r="A4731" s="4">
        <f>IFERROR(__xludf.DUMMYFUNCTION("""COMPUTED_VALUE"""),46.0)</f>
        <v>46</v>
      </c>
      <c r="B4731" s="4">
        <f>IFERROR(__xludf.DUMMYFUNCTION("""COMPUTED_VALUE"""),46.0)</f>
        <v>46</v>
      </c>
      <c r="C4731" s="4" t="str">
        <f>IFERROR(__xludf.DUMMYFUNCTION("""COMPUTED_VALUE"""),"LAL")</f>
        <v>LAL</v>
      </c>
      <c r="D4731" s="4" t="str">
        <f>IFERROR(__xludf.DUMMYFUNCTION("""COMPUTED_VALUE"""),"James Edwards")</f>
        <v>James Edwards</v>
      </c>
      <c r="E4731" s="4" t="str">
        <f>IFERROR(__xludf.DUMMYFUNCTION("""COMPUTED_VALUE"""),"Washington")</f>
        <v>Washington</v>
      </c>
      <c r="F4731" s="4">
        <f>IFERROR(__xludf.DUMMYFUNCTION("""COMPUTED_VALUE"""),19.0)</f>
        <v>19</v>
      </c>
      <c r="G4731" s="4">
        <f>IFERROR(__xludf.DUMMYFUNCTION("""COMPUTED_VALUE"""),1168.0)</f>
        <v>1168</v>
      </c>
      <c r="H4731" s="4">
        <f>IFERROR(__xludf.DUMMYFUNCTION("""COMPUTED_VALUE"""),28356.0)</f>
        <v>28356</v>
      </c>
      <c r="I4731" s="4">
        <f>IFERROR(__xludf.DUMMYFUNCTION("""COMPUTED_VALUE"""),14862.0)</f>
        <v>14862</v>
      </c>
      <c r="J4731" s="4">
        <f>IFERROR(__xludf.DUMMYFUNCTION("""COMPUTED_VALUE"""),6004.0)</f>
        <v>6004</v>
      </c>
      <c r="K4731" s="4">
        <f>IFERROR(__xludf.DUMMYFUNCTION("""COMPUTED_VALUE"""),1499.0)</f>
        <v>1499</v>
      </c>
      <c r="L4731" s="4">
        <f>IFERROR(__xludf.DUMMYFUNCTION("""COMPUTED_VALUE"""),0.495)</f>
        <v>0.495</v>
      </c>
      <c r="M4731" s="4"/>
      <c r="N4731" s="4">
        <f>IFERROR(__xludf.DUMMYFUNCTION("""COMPUTED_VALUE"""),0.698)</f>
        <v>0.698</v>
      </c>
      <c r="O4731" s="4">
        <f>IFERROR(__xludf.DUMMYFUNCTION("""COMPUTED_VALUE"""),24.3)</f>
        <v>24.3</v>
      </c>
      <c r="P4731" s="4">
        <f>IFERROR(__xludf.DUMMYFUNCTION("""COMPUTED_VALUE"""),12.7)</f>
        <v>12.7</v>
      </c>
      <c r="Q4731" s="4">
        <f>IFERROR(__xludf.DUMMYFUNCTION("""COMPUTED_VALUE"""),5.1)</f>
        <v>5.1</v>
      </c>
      <c r="R4731" s="4">
        <f>IFERROR(__xludf.DUMMYFUNCTION("""COMPUTED_VALUE"""),1.3)</f>
        <v>1.3</v>
      </c>
      <c r="S4731" s="4">
        <f>IFERROR(__xludf.DUMMYFUNCTION("""COMPUTED_VALUE"""),59.7)</f>
        <v>59.7</v>
      </c>
      <c r="T4731" s="4">
        <f>IFERROR(__xludf.DUMMYFUNCTION("""COMPUTED_VALUE"""),0.101)</f>
        <v>0.101</v>
      </c>
      <c r="U4731" s="4">
        <f>IFERROR(__xludf.DUMMYFUNCTION("""COMPUTED_VALUE"""),-1.7)</f>
        <v>-1.7</v>
      </c>
      <c r="V4731" s="4">
        <f>IFERROR(__xludf.DUMMYFUNCTION("""COMPUTED_VALUE"""),2.0)</f>
        <v>2</v>
      </c>
    </row>
    <row r="4732">
      <c r="A4732" s="4">
        <f>IFERROR(__xludf.DUMMYFUNCTION("""COMPUTED_VALUE"""),47.0)</f>
        <v>47</v>
      </c>
      <c r="B4732" s="4">
        <f>IFERROR(__xludf.DUMMYFUNCTION("""COMPUTED_VALUE"""),47.0)</f>
        <v>47</v>
      </c>
      <c r="C4732" s="4" t="str">
        <f>IFERROR(__xludf.DUMMYFUNCTION("""COMPUTED_VALUE"""),"MIL")</f>
        <v>MIL</v>
      </c>
      <c r="D4732" s="4" t="str">
        <f>IFERROR(__xludf.DUMMYFUNCTION("""COMPUTED_VALUE"""),"Gary Yoder")</f>
        <v>Gary Yoder</v>
      </c>
      <c r="E4732" s="4" t="str">
        <f>IFERROR(__xludf.DUMMYFUNCTION("""COMPUTED_VALUE"""),"Cincinnati")</f>
        <v>Cincinnati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</row>
    <row r="4733">
      <c r="A4733" s="4">
        <f>IFERROR(__xludf.DUMMYFUNCTION("""COMPUTED_VALUE"""),48.0)</f>
        <v>48</v>
      </c>
      <c r="B4733" s="4">
        <f>IFERROR(__xludf.DUMMYFUNCTION("""COMPUTED_VALUE"""),48.0)</f>
        <v>48</v>
      </c>
      <c r="C4733" s="4" t="str">
        <f>IFERROR(__xludf.DUMMYFUNCTION("""COMPUTED_VALUE"""),"ATL")</f>
        <v>ATL</v>
      </c>
      <c r="D4733" s="4" t="str">
        <f>IFERROR(__xludf.DUMMYFUNCTION("""COMPUTED_VALUE"""),"Sam Smith")</f>
        <v>Sam Smith</v>
      </c>
      <c r="E4733" s="4" t="str">
        <f>IFERROR(__xludf.DUMMYFUNCTION("""COMPUTED_VALUE"""),"UNLV")</f>
        <v>UNLV</v>
      </c>
      <c r="F4733" s="4">
        <f>IFERROR(__xludf.DUMMYFUNCTION("""COMPUTED_VALUE"""),2.0)</f>
        <v>2</v>
      </c>
      <c r="G4733" s="4">
        <f>IFERROR(__xludf.DUMMYFUNCTION("""COMPUTED_VALUE"""),46.0)</f>
        <v>46</v>
      </c>
      <c r="H4733" s="4">
        <f>IFERROR(__xludf.DUMMYFUNCTION("""COMPUTED_VALUE"""),621.0)</f>
        <v>621</v>
      </c>
      <c r="I4733" s="4">
        <f>IFERROR(__xludf.DUMMYFUNCTION("""COMPUTED_VALUE"""),315.0)</f>
        <v>315</v>
      </c>
      <c r="J4733" s="4">
        <f>IFERROR(__xludf.DUMMYFUNCTION("""COMPUTED_VALUE"""),63.0)</f>
        <v>63</v>
      </c>
      <c r="K4733" s="4">
        <f>IFERROR(__xludf.DUMMYFUNCTION("""COMPUTED_VALUE"""),58.0)</f>
        <v>58</v>
      </c>
      <c r="L4733" s="4">
        <f>IFERROR(__xludf.DUMMYFUNCTION("""COMPUTED_VALUE"""),0.419)</f>
        <v>0.419</v>
      </c>
      <c r="M4733" s="4"/>
      <c r="N4733" s="4">
        <f>IFERROR(__xludf.DUMMYFUNCTION("""COMPUTED_VALUE"""),0.862)</f>
        <v>0.862</v>
      </c>
      <c r="O4733" s="4">
        <f>IFERROR(__xludf.DUMMYFUNCTION("""COMPUTED_VALUE"""),13.5)</f>
        <v>13.5</v>
      </c>
      <c r="P4733" s="4">
        <f>IFERROR(__xludf.DUMMYFUNCTION("""COMPUTED_VALUE"""),6.8)</f>
        <v>6.8</v>
      </c>
      <c r="Q4733" s="4">
        <f>IFERROR(__xludf.DUMMYFUNCTION("""COMPUTED_VALUE"""),1.4)</f>
        <v>1.4</v>
      </c>
      <c r="R4733" s="4">
        <f>IFERROR(__xludf.DUMMYFUNCTION("""COMPUTED_VALUE"""),1.3)</f>
        <v>1.3</v>
      </c>
      <c r="S4733" s="4">
        <f>IFERROR(__xludf.DUMMYFUNCTION("""COMPUTED_VALUE"""),1.1)</f>
        <v>1.1</v>
      </c>
      <c r="T4733" s="4">
        <f>IFERROR(__xludf.DUMMYFUNCTION("""COMPUTED_VALUE"""),0.082)</f>
        <v>0.082</v>
      </c>
      <c r="U4733" s="4">
        <f>IFERROR(__xludf.DUMMYFUNCTION("""COMPUTED_VALUE"""),-1.0)</f>
        <v>-1</v>
      </c>
      <c r="V4733" s="4">
        <f>IFERROR(__xludf.DUMMYFUNCTION("""COMPUTED_VALUE"""),0.2)</f>
        <v>0.2</v>
      </c>
    </row>
    <row r="4734">
      <c r="A4734" s="4">
        <f>IFERROR(__xludf.DUMMYFUNCTION("""COMPUTED_VALUE"""),49.0)</f>
        <v>49</v>
      </c>
      <c r="B4734" s="4">
        <f>IFERROR(__xludf.DUMMYFUNCTION("""COMPUTED_VALUE"""),49.0)</f>
        <v>49</v>
      </c>
      <c r="C4734" s="4" t="str">
        <f>IFERROR(__xludf.DUMMYFUNCTION("""COMPUTED_VALUE"""),"ATL")</f>
        <v>ATL</v>
      </c>
      <c r="D4734" s="4" t="str">
        <f>IFERROR(__xludf.DUMMYFUNCTION("""COMPUTED_VALUE"""),"Eddie Johnson")</f>
        <v>Eddie Johnson</v>
      </c>
      <c r="E4734" s="4" t="str">
        <f>IFERROR(__xludf.DUMMYFUNCTION("""COMPUTED_VALUE"""),"Auburn")</f>
        <v>Auburn</v>
      </c>
      <c r="F4734" s="4">
        <f>IFERROR(__xludf.DUMMYFUNCTION("""COMPUTED_VALUE"""),10.0)</f>
        <v>10</v>
      </c>
      <c r="G4734" s="4">
        <f>IFERROR(__xludf.DUMMYFUNCTION("""COMPUTED_VALUE"""),675.0)</f>
        <v>675</v>
      </c>
      <c r="H4734" s="4">
        <f>IFERROR(__xludf.DUMMYFUNCTION("""COMPUTED_VALUE"""),19975.0)</f>
        <v>19975</v>
      </c>
      <c r="I4734" s="4">
        <f>IFERROR(__xludf.DUMMYFUNCTION("""COMPUTED_VALUE"""),10163.0)</f>
        <v>10163</v>
      </c>
      <c r="J4734" s="4">
        <f>IFERROR(__xludf.DUMMYFUNCTION("""COMPUTED_VALUE"""),1522.0)</f>
        <v>1522</v>
      </c>
      <c r="K4734" s="4">
        <f>IFERROR(__xludf.DUMMYFUNCTION("""COMPUTED_VALUE"""),3436.0)</f>
        <v>3436</v>
      </c>
      <c r="L4734" s="4">
        <f>IFERROR(__xludf.DUMMYFUNCTION("""COMPUTED_VALUE"""),0.476)</f>
        <v>0.476</v>
      </c>
      <c r="M4734" s="4"/>
      <c r="N4734" s="4">
        <f>IFERROR(__xludf.DUMMYFUNCTION("""COMPUTED_VALUE"""),0.791)</f>
        <v>0.791</v>
      </c>
      <c r="O4734" s="4">
        <f>IFERROR(__xludf.DUMMYFUNCTION("""COMPUTED_VALUE"""),29.6)</f>
        <v>29.6</v>
      </c>
      <c r="P4734" s="4">
        <f>IFERROR(__xludf.DUMMYFUNCTION("""COMPUTED_VALUE"""),15.1)</f>
        <v>15.1</v>
      </c>
      <c r="Q4734" s="4">
        <f>IFERROR(__xludf.DUMMYFUNCTION("""COMPUTED_VALUE"""),2.3)</f>
        <v>2.3</v>
      </c>
      <c r="R4734" s="4">
        <f>IFERROR(__xludf.DUMMYFUNCTION("""COMPUTED_VALUE"""),5.1)</f>
        <v>5.1</v>
      </c>
      <c r="S4734" s="4">
        <f>IFERROR(__xludf.DUMMYFUNCTION("""COMPUTED_VALUE"""),41.0)</f>
        <v>41</v>
      </c>
      <c r="T4734" s="4">
        <f>IFERROR(__xludf.DUMMYFUNCTION("""COMPUTED_VALUE"""),0.098)</f>
        <v>0.098</v>
      </c>
      <c r="U4734" s="4">
        <f>IFERROR(__xludf.DUMMYFUNCTION("""COMPUTED_VALUE"""),0.4)</f>
        <v>0.4</v>
      </c>
      <c r="V4734" s="4">
        <f>IFERROR(__xludf.DUMMYFUNCTION("""COMPUTED_VALUE"""),12.1)</f>
        <v>12.1</v>
      </c>
    </row>
    <row r="4735">
      <c r="A4735" s="4">
        <f>IFERROR(__xludf.DUMMYFUNCTION("""COMPUTED_VALUE"""),50.0)</f>
        <v>50</v>
      </c>
      <c r="B4735" s="4">
        <f>IFERROR(__xludf.DUMMYFUNCTION("""COMPUTED_VALUE"""),50.0)</f>
        <v>50</v>
      </c>
      <c r="C4735" s="4" t="str">
        <f>IFERROR(__xludf.DUMMYFUNCTION("""COMPUTED_VALUE"""),"NOJ")</f>
        <v>NOJ</v>
      </c>
      <c r="D4735" s="4" t="str">
        <f>IFERROR(__xludf.DUMMYFUNCTION("""COMPUTED_VALUE"""),"Tony Hanson")</f>
        <v>Tony Hanson</v>
      </c>
      <c r="E4735" s="4" t="str">
        <f>IFERROR(__xludf.DUMMYFUNCTION("""COMPUTED_VALUE"""),"UConn")</f>
        <v>UConn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</row>
    <row r="4736">
      <c r="A4736" s="4">
        <f>IFERROR(__xludf.DUMMYFUNCTION("""COMPUTED_VALUE"""),51.0)</f>
        <v>51</v>
      </c>
      <c r="B4736" s="4">
        <f>IFERROR(__xludf.DUMMYFUNCTION("""COMPUTED_VALUE"""),51.0)</f>
        <v>51</v>
      </c>
      <c r="C4736" s="4" t="str">
        <f>IFERROR(__xludf.DUMMYFUNCTION("""COMPUTED_VALUE"""),"IND")</f>
        <v>IND</v>
      </c>
      <c r="D4736" s="4" t="str">
        <f>IFERROR(__xludf.DUMMYFUNCTION("""COMPUTED_VALUE"""),"Stan Mayhew")</f>
        <v>Stan Mayhew</v>
      </c>
      <c r="E4736" s="4" t="str">
        <f>IFERROR(__xludf.DUMMYFUNCTION("""COMPUTED_VALUE"""),"Weber State")</f>
        <v>Weber State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</row>
    <row r="4737">
      <c r="A4737" s="4">
        <f>IFERROR(__xludf.DUMMYFUNCTION("""COMPUTED_VALUE"""),52.0)</f>
        <v>52</v>
      </c>
      <c r="B4737" s="4">
        <f>IFERROR(__xludf.DUMMYFUNCTION("""COMPUTED_VALUE"""),52.0)</f>
        <v>52</v>
      </c>
      <c r="C4737" s="4" t="str">
        <f>IFERROR(__xludf.DUMMYFUNCTION("""COMPUTED_VALUE"""),"SEA")</f>
        <v>SEA</v>
      </c>
      <c r="D4737" s="4" t="str">
        <f>IFERROR(__xludf.DUMMYFUNCTION("""COMPUTED_VALUE"""),"Joe Hassett")</f>
        <v>Joe Hassett</v>
      </c>
      <c r="E4737" s="4" t="str">
        <f>IFERROR(__xludf.DUMMYFUNCTION("""COMPUTED_VALUE"""),"Providence")</f>
        <v>Providence</v>
      </c>
      <c r="F4737" s="4">
        <f>IFERROR(__xludf.DUMMYFUNCTION("""COMPUTED_VALUE"""),6.0)</f>
        <v>6</v>
      </c>
      <c r="G4737" s="4">
        <f>IFERROR(__xludf.DUMMYFUNCTION("""COMPUTED_VALUE"""),292.0)</f>
        <v>292</v>
      </c>
      <c r="H4737" s="4">
        <f>IFERROR(__xludf.DUMMYFUNCTION("""COMPUTED_VALUE"""),3642.0)</f>
        <v>3642</v>
      </c>
      <c r="I4737" s="4">
        <f>IFERROR(__xludf.DUMMYFUNCTION("""COMPUTED_VALUE"""),1723.0)</f>
        <v>1723</v>
      </c>
      <c r="J4737" s="4">
        <f>IFERROR(__xludf.DUMMYFUNCTION("""COMPUTED_VALUE"""),307.0)</f>
        <v>307</v>
      </c>
      <c r="K4737" s="4">
        <f>IFERROR(__xludf.DUMMYFUNCTION("""COMPUTED_VALUE"""),386.0)</f>
        <v>386</v>
      </c>
      <c r="L4737" s="4">
        <f>IFERROR(__xludf.DUMMYFUNCTION("""COMPUTED_VALUE"""),0.421)</f>
        <v>0.421</v>
      </c>
      <c r="M4737" s="4"/>
      <c r="N4737" s="4">
        <f>IFERROR(__xludf.DUMMYFUNCTION("""COMPUTED_VALUE"""),0.861)</f>
        <v>0.861</v>
      </c>
      <c r="O4737" s="4">
        <f>IFERROR(__xludf.DUMMYFUNCTION("""COMPUTED_VALUE"""),12.5)</f>
        <v>12.5</v>
      </c>
      <c r="P4737" s="4">
        <f>IFERROR(__xludf.DUMMYFUNCTION("""COMPUTED_VALUE"""),5.9)</f>
        <v>5.9</v>
      </c>
      <c r="Q4737" s="4">
        <f>IFERROR(__xludf.DUMMYFUNCTION("""COMPUTED_VALUE"""),1.1)</f>
        <v>1.1</v>
      </c>
      <c r="R4737" s="4">
        <f>IFERROR(__xludf.DUMMYFUNCTION("""COMPUTED_VALUE"""),1.3)</f>
        <v>1.3</v>
      </c>
      <c r="S4737" s="4">
        <f>IFERROR(__xludf.DUMMYFUNCTION("""COMPUTED_VALUE"""),6.4)</f>
        <v>6.4</v>
      </c>
      <c r="T4737" s="4">
        <f>IFERROR(__xludf.DUMMYFUNCTION("""COMPUTED_VALUE"""),0.084)</f>
        <v>0.084</v>
      </c>
      <c r="U4737" s="4">
        <f>IFERROR(__xludf.DUMMYFUNCTION("""COMPUTED_VALUE"""),-0.8)</f>
        <v>-0.8</v>
      </c>
      <c r="V4737" s="4">
        <f>IFERROR(__xludf.DUMMYFUNCTION("""COMPUTED_VALUE"""),1.1)</f>
        <v>1.1</v>
      </c>
    </row>
    <row r="4738">
      <c r="A4738" s="4">
        <f>IFERROR(__xludf.DUMMYFUNCTION("""COMPUTED_VALUE"""),53.0)</f>
        <v>53</v>
      </c>
      <c r="B4738" s="4">
        <f>IFERROR(__xludf.DUMMYFUNCTION("""COMPUTED_VALUE"""),53.0)</f>
        <v>53</v>
      </c>
      <c r="C4738" s="4" t="str">
        <f>IFERROR(__xludf.DUMMYFUNCTION("""COMPUTED_VALUE"""),"KCK")</f>
        <v>KCK</v>
      </c>
      <c r="D4738" s="4" t="str">
        <f>IFERROR(__xludf.DUMMYFUNCTION("""COMPUTED_VALUE"""),"John Kuester")</f>
        <v>John Kuester</v>
      </c>
      <c r="E4738" s="4" t="str">
        <f>IFERROR(__xludf.DUMMYFUNCTION("""COMPUTED_VALUE"""),"UNC")</f>
        <v>UNC</v>
      </c>
      <c r="F4738" s="4">
        <f>IFERROR(__xludf.DUMMYFUNCTION("""COMPUTED_VALUE"""),3.0)</f>
        <v>3</v>
      </c>
      <c r="G4738" s="4">
        <f>IFERROR(__xludf.DUMMYFUNCTION("""COMPUTED_VALUE"""),135.0)</f>
        <v>135</v>
      </c>
      <c r="H4738" s="4">
        <f>IFERROR(__xludf.DUMMYFUNCTION("""COMPUTED_VALUE"""),1527.0)</f>
        <v>1527</v>
      </c>
      <c r="I4738" s="4">
        <f>IFERROR(__xludf.DUMMYFUNCTION("""COMPUTED_VALUE"""),451.0)</f>
        <v>451</v>
      </c>
      <c r="J4738" s="4">
        <f>IFERROR(__xludf.DUMMYFUNCTION("""COMPUTED_VALUE"""),141.0)</f>
        <v>141</v>
      </c>
      <c r="K4738" s="4">
        <f>IFERROR(__xludf.DUMMYFUNCTION("""COMPUTED_VALUE"""),305.0)</f>
        <v>305</v>
      </c>
      <c r="L4738" s="4">
        <f>IFERROR(__xludf.DUMMYFUNCTION("""COMPUTED_VALUE"""),0.427)</f>
        <v>0.427</v>
      </c>
      <c r="M4738" s="4"/>
      <c r="N4738" s="4">
        <f>IFERROR(__xludf.DUMMYFUNCTION("""COMPUTED_VALUE"""),0.833)</f>
        <v>0.833</v>
      </c>
      <c r="O4738" s="4">
        <f>IFERROR(__xludf.DUMMYFUNCTION("""COMPUTED_VALUE"""),11.3)</f>
        <v>11.3</v>
      </c>
      <c r="P4738" s="4">
        <f>IFERROR(__xludf.DUMMYFUNCTION("""COMPUTED_VALUE"""),3.3)</f>
        <v>3.3</v>
      </c>
      <c r="Q4738" s="4">
        <f>IFERROR(__xludf.DUMMYFUNCTION("""COMPUTED_VALUE"""),1.0)</f>
        <v>1</v>
      </c>
      <c r="R4738" s="4">
        <f>IFERROR(__xludf.DUMMYFUNCTION("""COMPUTED_VALUE"""),2.3)</f>
        <v>2.3</v>
      </c>
      <c r="S4738" s="4">
        <f>IFERROR(__xludf.DUMMYFUNCTION("""COMPUTED_VALUE"""),2.0)</f>
        <v>2</v>
      </c>
      <c r="T4738" s="4">
        <f>IFERROR(__xludf.DUMMYFUNCTION("""COMPUTED_VALUE"""),0.064)</f>
        <v>0.064</v>
      </c>
      <c r="U4738" s="4">
        <f>IFERROR(__xludf.DUMMYFUNCTION("""COMPUTED_VALUE"""),-1.9)</f>
        <v>-1.9</v>
      </c>
      <c r="V4738" s="4">
        <f>IFERROR(__xludf.DUMMYFUNCTION("""COMPUTED_VALUE"""),0.1)</f>
        <v>0.1</v>
      </c>
    </row>
    <row r="4739">
      <c r="A4739" s="4">
        <f>IFERROR(__xludf.DUMMYFUNCTION("""COMPUTED_VALUE"""),54.0)</f>
        <v>54</v>
      </c>
      <c r="B4739" s="4">
        <f>IFERROR(__xludf.DUMMYFUNCTION("""COMPUTED_VALUE"""),54.0)</f>
        <v>54</v>
      </c>
      <c r="C4739" s="4" t="str">
        <f>IFERROR(__xludf.DUMMYFUNCTION("""COMPUTED_VALUE"""),"NYK")</f>
        <v>NYK</v>
      </c>
      <c r="D4739" s="4" t="str">
        <f>IFERROR(__xludf.DUMMYFUNCTION("""COMPUTED_VALUE"""),"Lloyd McMillian")</f>
        <v>Lloyd McMillian</v>
      </c>
      <c r="E4739" s="4" t="str">
        <f>IFERROR(__xludf.DUMMYFUNCTION("""COMPUTED_VALUE"""),"Cal State Long Beach")</f>
        <v>Cal State Long Beach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</row>
    <row r="4740">
      <c r="A4740" s="4">
        <f>IFERROR(__xludf.DUMMYFUNCTION("""COMPUTED_VALUE"""),55.0)</f>
        <v>55</v>
      </c>
      <c r="B4740" s="4">
        <f>IFERROR(__xludf.DUMMYFUNCTION("""COMPUTED_VALUE"""),55.0)</f>
        <v>55</v>
      </c>
      <c r="C4740" s="4" t="str">
        <f>IFERROR(__xludf.DUMMYFUNCTION("""COMPUTED_VALUE"""),"CLE")</f>
        <v>CLE</v>
      </c>
      <c r="D4740" s="4" t="str">
        <f>IFERROR(__xludf.DUMMYFUNCTION("""COMPUTED_VALUE"""),"Steve Grote")</f>
        <v>Steve Grote</v>
      </c>
      <c r="E4740" s="4" t="str">
        <f>IFERROR(__xludf.DUMMYFUNCTION("""COMPUTED_VALUE"""),"Michigan")</f>
        <v>Michigan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</row>
    <row r="4741">
      <c r="A4741" s="4">
        <f>IFERROR(__xludf.DUMMYFUNCTION("""COMPUTED_VALUE"""),56.0)</f>
        <v>56</v>
      </c>
      <c r="B4741" s="4">
        <f>IFERROR(__xludf.DUMMYFUNCTION("""COMPUTED_VALUE"""),56.0)</f>
        <v>56</v>
      </c>
      <c r="C4741" s="4" t="str">
        <f>IFERROR(__xludf.DUMMYFUNCTION("""COMPUTED_VALUE"""),"BOS")</f>
        <v>BOS</v>
      </c>
      <c r="D4741" s="4" t="str">
        <f>IFERROR(__xludf.DUMMYFUNCTION("""COMPUTED_VALUE"""),"Skip Brown")</f>
        <v>Skip Brown</v>
      </c>
      <c r="E4741" s="4" t="str">
        <f>IFERROR(__xludf.DUMMYFUNCTION("""COMPUTED_VALUE"""),"Wake Forest")</f>
        <v>Wake Forest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</row>
    <row r="4742">
      <c r="A4742" s="4">
        <f>IFERROR(__xludf.DUMMYFUNCTION("""COMPUTED_VALUE"""),57.0)</f>
        <v>57</v>
      </c>
      <c r="B4742" s="4">
        <f>IFERROR(__xludf.DUMMYFUNCTION("""COMPUTED_VALUE"""),57.0)</f>
        <v>57</v>
      </c>
      <c r="C4742" s="4" t="str">
        <f>IFERROR(__xludf.DUMMYFUNCTION("""COMPUTED_VALUE"""),"WSB")</f>
        <v>WSB</v>
      </c>
      <c r="D4742" s="4" t="str">
        <f>IFERROR(__xludf.DUMMYFUNCTION("""COMPUTED_VALUE"""),"Steve Puidokas")</f>
        <v>Steve Puidokas</v>
      </c>
      <c r="E4742" s="4" t="str">
        <f>IFERROR(__xludf.DUMMYFUNCTION("""COMPUTED_VALUE"""),"Washington State")</f>
        <v>Washington State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</row>
    <row r="4743">
      <c r="A4743" s="4">
        <f>IFERROR(__xludf.DUMMYFUNCTION("""COMPUTED_VALUE"""),58.0)</f>
        <v>58</v>
      </c>
      <c r="B4743" s="4">
        <f>IFERROR(__xludf.DUMMYFUNCTION("""COMPUTED_VALUE"""),58.0)</f>
        <v>58</v>
      </c>
      <c r="C4743" s="4" t="str">
        <f>IFERROR(__xludf.DUMMYFUNCTION("""COMPUTED_VALUE"""),"DET")</f>
        <v>DET</v>
      </c>
      <c r="D4743" s="4" t="str">
        <f>IFERROR(__xludf.DUMMYFUNCTION("""COMPUTED_VALUE"""),"John Irving")</f>
        <v>John Irving</v>
      </c>
      <c r="E4743" s="4" t="str">
        <f>IFERROR(__xludf.DUMMYFUNCTION("""COMPUTED_VALUE"""),"Hofstra")</f>
        <v>Hofstra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</row>
    <row r="4744">
      <c r="A4744" s="4">
        <f>IFERROR(__xludf.DUMMYFUNCTION("""COMPUTED_VALUE"""),59.0)</f>
        <v>59</v>
      </c>
      <c r="B4744" s="4">
        <f>IFERROR(__xludf.DUMMYFUNCTION("""COMPUTED_VALUE"""),59.0)</f>
        <v>59</v>
      </c>
      <c r="C4744" s="4" t="str">
        <f>IFERROR(__xludf.DUMMYFUNCTION("""COMPUTED_VALUE"""),"SAS")</f>
        <v>SAS</v>
      </c>
      <c r="D4744" s="4" t="str">
        <f>IFERROR(__xludf.DUMMYFUNCTION("""COMPUTED_VALUE"""),"Dan Henderson")</f>
        <v>Dan Henderson</v>
      </c>
      <c r="E4744" s="4" t="str">
        <f>IFERROR(__xludf.DUMMYFUNCTION("""COMPUTED_VALUE"""),"Arkansas State University")</f>
        <v>Arkansas State University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</row>
    <row r="4745">
      <c r="A4745" s="4">
        <f>IFERROR(__xludf.DUMMYFUNCTION("""COMPUTED_VALUE"""),60.0)</f>
        <v>60</v>
      </c>
      <c r="B4745" s="4">
        <f>IFERROR(__xludf.DUMMYFUNCTION("""COMPUTED_VALUE"""),60.0)</f>
        <v>60</v>
      </c>
      <c r="C4745" s="4" t="str">
        <f>IFERROR(__xludf.DUMMYFUNCTION("""COMPUTED_VALUE"""),"GSW")</f>
        <v>GSW</v>
      </c>
      <c r="D4745" s="4" t="str">
        <f>IFERROR(__xludf.DUMMYFUNCTION("""COMPUTED_VALUE"""),"Marlon Redmond")</f>
        <v>Marlon Redmond</v>
      </c>
      <c r="E4745" s="4" t="str">
        <f>IFERROR(__xludf.DUMMYFUNCTION("""COMPUTED_VALUE"""),"San Francisco")</f>
        <v>San Francisco</v>
      </c>
      <c r="F4745" s="4">
        <f>IFERROR(__xludf.DUMMYFUNCTION("""COMPUTED_VALUE"""),2.0)</f>
        <v>2</v>
      </c>
      <c r="G4745" s="4">
        <f>IFERROR(__xludf.DUMMYFUNCTION("""COMPUTED_VALUE"""),77.0)</f>
        <v>77</v>
      </c>
      <c r="H4745" s="4">
        <f>IFERROR(__xludf.DUMMYFUNCTION("""COMPUTED_VALUE"""),1057.0)</f>
        <v>1057</v>
      </c>
      <c r="I4745" s="4">
        <f>IFERROR(__xludf.DUMMYFUNCTION("""COMPUTED_VALUE"""),499.0)</f>
        <v>499</v>
      </c>
      <c r="J4745" s="4">
        <f>IFERROR(__xludf.DUMMYFUNCTION("""COMPUTED_VALUE"""),161.0)</f>
        <v>161</v>
      </c>
      <c r="K4745" s="4">
        <f>IFERROR(__xludf.DUMMYFUNCTION("""COMPUTED_VALUE"""),77.0)</f>
        <v>77</v>
      </c>
      <c r="L4745" s="4">
        <f>IFERROR(__xludf.DUMMYFUNCTION("""COMPUTED_VALUE"""),0.423)</f>
        <v>0.423</v>
      </c>
      <c r="M4745" s="4"/>
      <c r="N4745" s="4">
        <f>IFERROR(__xludf.DUMMYFUNCTION("""COMPUTED_VALUE"""),0.655)</f>
        <v>0.655</v>
      </c>
      <c r="O4745" s="4">
        <f>IFERROR(__xludf.DUMMYFUNCTION("""COMPUTED_VALUE"""),13.7)</f>
        <v>13.7</v>
      </c>
      <c r="P4745" s="4">
        <f>IFERROR(__xludf.DUMMYFUNCTION("""COMPUTED_VALUE"""),6.5)</f>
        <v>6.5</v>
      </c>
      <c r="Q4745" s="4">
        <f>IFERROR(__xludf.DUMMYFUNCTION("""COMPUTED_VALUE"""),2.1)</f>
        <v>2.1</v>
      </c>
      <c r="R4745" s="4">
        <f>IFERROR(__xludf.DUMMYFUNCTION("""COMPUTED_VALUE"""),1.0)</f>
        <v>1</v>
      </c>
      <c r="S4745" s="4">
        <f>IFERROR(__xludf.DUMMYFUNCTION("""COMPUTED_VALUE"""),0.6)</f>
        <v>0.6</v>
      </c>
      <c r="T4745" s="4">
        <f>IFERROR(__xludf.DUMMYFUNCTION("""COMPUTED_VALUE"""),0.026)</f>
        <v>0.026</v>
      </c>
      <c r="U4745" s="4">
        <f>IFERROR(__xludf.DUMMYFUNCTION("""COMPUTED_VALUE"""),-2.8)</f>
        <v>-2.8</v>
      </c>
      <c r="V4745" s="4">
        <f>IFERROR(__xludf.DUMMYFUNCTION("""COMPUTED_VALUE"""),-0.3)</f>
        <v>-0.3</v>
      </c>
    </row>
    <row r="4746">
      <c r="A4746" s="4">
        <f>IFERROR(__xludf.DUMMYFUNCTION("""COMPUTED_VALUE"""),61.0)</f>
        <v>61</v>
      </c>
      <c r="B4746" s="4">
        <f>IFERROR(__xludf.DUMMYFUNCTION("""COMPUTED_VALUE"""),61.0)</f>
        <v>61</v>
      </c>
      <c r="C4746" s="4" t="str">
        <f>IFERROR(__xludf.DUMMYFUNCTION("""COMPUTED_VALUE"""),"WSB")</f>
        <v>WSB</v>
      </c>
      <c r="D4746" s="4" t="str">
        <f>IFERROR(__xludf.DUMMYFUNCTION("""COMPUTED_VALUE"""),"Jerry Schellenberg")</f>
        <v>Jerry Schellenberg</v>
      </c>
      <c r="E4746" s="4" t="str">
        <f>IFERROR(__xludf.DUMMYFUNCTION("""COMPUTED_VALUE"""),"Wake Forest")</f>
        <v>Wake Forest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</row>
    <row r="4747">
      <c r="A4747" s="4">
        <f>IFERROR(__xludf.DUMMYFUNCTION("""COMPUTED_VALUE"""),62.0)</f>
        <v>62</v>
      </c>
      <c r="B4747" s="4">
        <f>IFERROR(__xludf.DUMMYFUNCTION("""COMPUTED_VALUE"""),62.0)</f>
        <v>62</v>
      </c>
      <c r="C4747" s="4" t="str">
        <f>IFERROR(__xludf.DUMMYFUNCTION("""COMPUTED_VALUE"""),"HOU")</f>
        <v>HOU</v>
      </c>
      <c r="D4747" s="4" t="str">
        <f>IFERROR(__xludf.DUMMYFUNCTION("""COMPUTED_VALUE"""),"Phil Bond")</f>
        <v>Phil Bond</v>
      </c>
      <c r="E4747" s="4" t="str">
        <f>IFERROR(__xludf.DUMMYFUNCTION("""COMPUTED_VALUE"""),"Louisville")</f>
        <v>Louisville</v>
      </c>
      <c r="F4747" s="4">
        <f>IFERROR(__xludf.DUMMYFUNCTION("""COMPUTED_VALUE"""),1.0)</f>
        <v>1</v>
      </c>
      <c r="G4747" s="4">
        <f>IFERROR(__xludf.DUMMYFUNCTION("""COMPUTED_VALUE"""),7.0)</f>
        <v>7</v>
      </c>
      <c r="H4747" s="4">
        <f>IFERROR(__xludf.DUMMYFUNCTION("""COMPUTED_VALUE"""),21.0)</f>
        <v>21</v>
      </c>
      <c r="I4747" s="4">
        <f>IFERROR(__xludf.DUMMYFUNCTION("""COMPUTED_VALUE"""),4.0)</f>
        <v>4</v>
      </c>
      <c r="J4747" s="4">
        <f>IFERROR(__xludf.DUMMYFUNCTION("""COMPUTED_VALUE"""),4.0)</f>
        <v>4</v>
      </c>
      <c r="K4747" s="4">
        <f>IFERROR(__xludf.DUMMYFUNCTION("""COMPUTED_VALUE"""),2.0)</f>
        <v>2</v>
      </c>
      <c r="L4747" s="4">
        <f>IFERROR(__xludf.DUMMYFUNCTION("""COMPUTED_VALUE"""),0.333)</f>
        <v>0.333</v>
      </c>
      <c r="M4747" s="4"/>
      <c r="N4747" s="4"/>
      <c r="O4747" s="4">
        <f>IFERROR(__xludf.DUMMYFUNCTION("""COMPUTED_VALUE"""),3.0)</f>
        <v>3</v>
      </c>
      <c r="P4747" s="4">
        <f>IFERROR(__xludf.DUMMYFUNCTION("""COMPUTED_VALUE"""),0.6)</f>
        <v>0.6</v>
      </c>
      <c r="Q4747" s="4">
        <f>IFERROR(__xludf.DUMMYFUNCTION("""COMPUTED_VALUE"""),0.6)</f>
        <v>0.6</v>
      </c>
      <c r="R4747" s="4">
        <f>IFERROR(__xludf.DUMMYFUNCTION("""COMPUTED_VALUE"""),0.3)</f>
        <v>0.3</v>
      </c>
      <c r="S4747" s="4">
        <f>IFERROR(__xludf.DUMMYFUNCTION("""COMPUTED_VALUE"""),0.0)</f>
        <v>0</v>
      </c>
      <c r="T4747" s="4">
        <f>IFERROR(__xludf.DUMMYFUNCTION("""COMPUTED_VALUE"""),-0.092)</f>
        <v>-0.092</v>
      </c>
      <c r="U4747" s="4">
        <f>IFERROR(__xludf.DUMMYFUNCTION("""COMPUTED_VALUE"""),-4.5)</f>
        <v>-4.5</v>
      </c>
      <c r="V4747" s="4">
        <f>IFERROR(__xludf.DUMMYFUNCTION("""COMPUTED_VALUE"""),0.0)</f>
        <v>0</v>
      </c>
    </row>
    <row r="4748">
      <c r="A4748" s="4">
        <f>IFERROR(__xludf.DUMMYFUNCTION("""COMPUTED_VALUE"""),63.0)</f>
        <v>63</v>
      </c>
      <c r="B4748" s="4">
        <f>IFERROR(__xludf.DUMMYFUNCTION("""COMPUTED_VALUE"""),63.0)</f>
        <v>63</v>
      </c>
      <c r="C4748" s="4" t="str">
        <f>IFERROR(__xludf.DUMMYFUNCTION("""COMPUTED_VALUE"""),"POR")</f>
        <v>POR</v>
      </c>
      <c r="D4748" s="4" t="str">
        <f>IFERROR(__xludf.DUMMYFUNCTION("""COMPUTED_VALUE"""),"Ricky Brown")</f>
        <v>Ricky Brown</v>
      </c>
      <c r="E4748" s="4" t="str">
        <f>IFERROR(__xludf.DUMMYFUNCTION("""COMPUTED_VALUE"""),"Alabama")</f>
        <v>Alabama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</row>
    <row r="4749">
      <c r="A4749" s="4">
        <f>IFERROR(__xludf.DUMMYFUNCTION("""COMPUTED_VALUE"""),64.0)</f>
        <v>64</v>
      </c>
      <c r="B4749" s="4">
        <f>IFERROR(__xludf.DUMMYFUNCTION("""COMPUTED_VALUE"""),64.0)</f>
        <v>64</v>
      </c>
      <c r="C4749" s="4" t="str">
        <f>IFERROR(__xludf.DUMMYFUNCTION("""COMPUTED_VALUE"""),"PHI")</f>
        <v>PHI</v>
      </c>
      <c r="D4749" s="4" t="str">
        <f>IFERROR(__xludf.DUMMYFUNCTION("""COMPUTED_VALUE"""),"Arnold Dugger")</f>
        <v>Arnold Dugger</v>
      </c>
      <c r="E4749" s="4" t="str">
        <f>IFERROR(__xludf.DUMMYFUNCTION("""COMPUTED_VALUE"""),"Oral Roberts")</f>
        <v>Oral Roberts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</row>
    <row r="4750">
      <c r="A4750" s="4">
        <f>IFERROR(__xludf.DUMMYFUNCTION("""COMPUTED_VALUE"""),65.0)</f>
        <v>65</v>
      </c>
      <c r="B4750" s="4">
        <f>IFERROR(__xludf.DUMMYFUNCTION("""COMPUTED_VALUE"""),65.0)</f>
        <v>65</v>
      </c>
      <c r="C4750" s="4" t="str">
        <f>IFERROR(__xludf.DUMMYFUNCTION("""COMPUTED_VALUE"""),"DEN")</f>
        <v>DEN</v>
      </c>
      <c r="D4750" s="4" t="str">
        <f>IFERROR(__xludf.DUMMYFUNCTION("""COMPUTED_VALUE"""),"Robert Smith")</f>
        <v>Robert Smith</v>
      </c>
      <c r="E4750" s="4" t="str">
        <f>IFERROR(__xludf.DUMMYFUNCTION("""COMPUTED_VALUE"""),"UNLV")</f>
        <v>UNLV</v>
      </c>
      <c r="F4750" s="4">
        <f>IFERROR(__xludf.DUMMYFUNCTION("""COMPUTED_VALUE"""),7.0)</f>
        <v>7</v>
      </c>
      <c r="G4750" s="4">
        <f>IFERROR(__xludf.DUMMYFUNCTION("""COMPUTED_VALUE"""),229.0)</f>
        <v>229</v>
      </c>
      <c r="H4750" s="4">
        <f>IFERROR(__xludf.DUMMYFUNCTION("""COMPUTED_VALUE"""),3118.0)</f>
        <v>3118</v>
      </c>
      <c r="I4750" s="4">
        <f>IFERROR(__xludf.DUMMYFUNCTION("""COMPUTED_VALUE"""),1135.0)</f>
        <v>1135</v>
      </c>
      <c r="J4750" s="4">
        <f>IFERROR(__xludf.DUMMYFUNCTION("""COMPUTED_VALUE"""),288.0)</f>
        <v>288</v>
      </c>
      <c r="K4750" s="4">
        <f>IFERROR(__xludf.DUMMYFUNCTION("""COMPUTED_VALUE"""),401.0)</f>
        <v>401</v>
      </c>
      <c r="L4750" s="4">
        <f>IFERROR(__xludf.DUMMYFUNCTION("""COMPUTED_VALUE"""),0.435)</f>
        <v>0.435</v>
      </c>
      <c r="M4750" s="4"/>
      <c r="N4750" s="4">
        <f>IFERROR(__xludf.DUMMYFUNCTION("""COMPUTED_VALUE"""),0.877)</f>
        <v>0.877</v>
      </c>
      <c r="O4750" s="4">
        <f>IFERROR(__xludf.DUMMYFUNCTION("""COMPUTED_VALUE"""),13.6)</f>
        <v>13.6</v>
      </c>
      <c r="P4750" s="4">
        <f>IFERROR(__xludf.DUMMYFUNCTION("""COMPUTED_VALUE"""),5.0)</f>
        <v>5</v>
      </c>
      <c r="Q4750" s="4">
        <f>IFERROR(__xludf.DUMMYFUNCTION("""COMPUTED_VALUE"""),1.3)</f>
        <v>1.3</v>
      </c>
      <c r="R4750" s="4">
        <f>IFERROR(__xludf.DUMMYFUNCTION("""COMPUTED_VALUE"""),1.8)</f>
        <v>1.8</v>
      </c>
      <c r="S4750" s="4">
        <f>IFERROR(__xludf.DUMMYFUNCTION("""COMPUTED_VALUE"""),5.6)</f>
        <v>5.6</v>
      </c>
      <c r="T4750" s="4">
        <f>IFERROR(__xludf.DUMMYFUNCTION("""COMPUTED_VALUE"""),0.086)</f>
        <v>0.086</v>
      </c>
      <c r="U4750" s="4">
        <f>IFERROR(__xludf.DUMMYFUNCTION("""COMPUTED_VALUE"""),-1.9)</f>
        <v>-1.9</v>
      </c>
      <c r="V4750" s="4">
        <f>IFERROR(__xludf.DUMMYFUNCTION("""COMPUTED_VALUE"""),0.1)</f>
        <v>0.1</v>
      </c>
    </row>
    <row r="4751">
      <c r="A4751" s="4">
        <f>IFERROR(__xludf.DUMMYFUNCTION("""COMPUTED_VALUE"""),66.0)</f>
        <v>66</v>
      </c>
      <c r="B4751" s="4">
        <f>IFERROR(__xludf.DUMMYFUNCTION("""COMPUTED_VALUE"""),66.0)</f>
        <v>66</v>
      </c>
      <c r="C4751" s="4" t="str">
        <f>IFERROR(__xludf.DUMMYFUNCTION("""COMPUTED_VALUE"""),"PHO")</f>
        <v>PHO</v>
      </c>
      <c r="D4751" s="4" t="str">
        <f>IFERROR(__xludf.DUMMYFUNCTION("""COMPUTED_VALUE"""),"Mike Bratz")</f>
        <v>Mike Bratz</v>
      </c>
      <c r="E4751" s="4" t="str">
        <f>IFERROR(__xludf.DUMMYFUNCTION("""COMPUTED_VALUE"""),"Stanford")</f>
        <v>Stanford</v>
      </c>
      <c r="F4751" s="4">
        <f>IFERROR(__xludf.DUMMYFUNCTION("""COMPUTED_VALUE"""),9.0)</f>
        <v>9</v>
      </c>
      <c r="G4751" s="4">
        <f>IFERROR(__xludf.DUMMYFUNCTION("""COMPUTED_VALUE"""),586.0)</f>
        <v>586</v>
      </c>
      <c r="H4751" s="4">
        <f>IFERROR(__xludf.DUMMYFUNCTION("""COMPUTED_VALUE"""),10613.0)</f>
        <v>10613</v>
      </c>
      <c r="I4751" s="4">
        <f>IFERROR(__xludf.DUMMYFUNCTION("""COMPUTED_VALUE"""),4081.0)</f>
        <v>4081</v>
      </c>
      <c r="J4751" s="4">
        <f>IFERROR(__xludf.DUMMYFUNCTION("""COMPUTED_VALUE"""),1030.0)</f>
        <v>1030</v>
      </c>
      <c r="K4751" s="4">
        <f>IFERROR(__xludf.DUMMYFUNCTION("""COMPUTED_VALUE"""),1851.0)</f>
        <v>1851</v>
      </c>
      <c r="L4751" s="4">
        <f>IFERROR(__xludf.DUMMYFUNCTION("""COMPUTED_VALUE"""),0.407)</f>
        <v>0.407</v>
      </c>
      <c r="M4751" s="4"/>
      <c r="N4751" s="4">
        <f>IFERROR(__xludf.DUMMYFUNCTION("""COMPUTED_VALUE"""),0.83)</f>
        <v>0.83</v>
      </c>
      <c r="O4751" s="4">
        <f>IFERROR(__xludf.DUMMYFUNCTION("""COMPUTED_VALUE"""),18.1)</f>
        <v>18.1</v>
      </c>
      <c r="P4751" s="4">
        <f>IFERROR(__xludf.DUMMYFUNCTION("""COMPUTED_VALUE"""),7.0)</f>
        <v>7</v>
      </c>
      <c r="Q4751" s="4">
        <f>IFERROR(__xludf.DUMMYFUNCTION("""COMPUTED_VALUE"""),1.8)</f>
        <v>1.8</v>
      </c>
      <c r="R4751" s="4">
        <f>IFERROR(__xludf.DUMMYFUNCTION("""COMPUTED_VALUE"""),3.2)</f>
        <v>3.2</v>
      </c>
      <c r="S4751" s="4">
        <f>IFERROR(__xludf.DUMMYFUNCTION("""COMPUTED_VALUE"""),11.1)</f>
        <v>11.1</v>
      </c>
      <c r="T4751" s="4">
        <f>IFERROR(__xludf.DUMMYFUNCTION("""COMPUTED_VALUE"""),0.05)</f>
        <v>0.05</v>
      </c>
      <c r="U4751" s="4">
        <f>IFERROR(__xludf.DUMMYFUNCTION("""COMPUTED_VALUE"""),-1.8)</f>
        <v>-1.8</v>
      </c>
      <c r="V4751" s="4">
        <f>IFERROR(__xludf.DUMMYFUNCTION("""COMPUTED_VALUE"""),0.6)</f>
        <v>0.6</v>
      </c>
    </row>
    <row r="4752">
      <c r="A4752" s="4"/>
      <c r="B4752" s="4"/>
      <c r="C4752" s="4"/>
      <c r="D4752" s="4" t="str">
        <f>IFERROR(__xludf.DUMMYFUNCTION("""COMPUTED_VALUE"""),"Round 4")</f>
        <v>Round 4</v>
      </c>
      <c r="E4752" s="4"/>
      <c r="F4752" s="4"/>
      <c r="G4752" s="4" t="str">
        <f>IFERROR(__xludf.DUMMYFUNCTION("""COMPUTED_VALUE"""),"Totals")</f>
        <v>Totals</v>
      </c>
      <c r="H4752" s="4"/>
      <c r="I4752" s="4"/>
      <c r="J4752" s="4"/>
      <c r="K4752" s="4"/>
      <c r="L4752" s="4" t="str">
        <f>IFERROR(__xludf.DUMMYFUNCTION("""COMPUTED_VALUE"""),"Shooting")</f>
        <v>Shooting</v>
      </c>
      <c r="M4752" s="4"/>
      <c r="N4752" s="4"/>
      <c r="O4752" s="4" t="str">
        <f>IFERROR(__xludf.DUMMYFUNCTION("""COMPUTED_VALUE"""),"Per Game")</f>
        <v>Per Game</v>
      </c>
      <c r="P4752" s="4"/>
      <c r="Q4752" s="4"/>
      <c r="R4752" s="4"/>
      <c r="S4752" s="4" t="str">
        <f>IFERROR(__xludf.DUMMYFUNCTION("""COMPUTED_VALUE"""),"Advanced")</f>
        <v>Advanced</v>
      </c>
      <c r="T4752" s="4"/>
      <c r="U4752" s="4"/>
      <c r="V4752" s="4"/>
    </row>
    <row r="4753">
      <c r="A4753" s="4" t="str">
        <f>IFERROR(__xludf.DUMMYFUNCTION("""COMPUTED_VALUE"""),"Rk")</f>
        <v>Rk</v>
      </c>
      <c r="B4753" s="4" t="str">
        <f>IFERROR(__xludf.DUMMYFUNCTION("""COMPUTED_VALUE"""),"Pk")</f>
        <v>Pk</v>
      </c>
      <c r="C4753" s="4" t="str">
        <f>IFERROR(__xludf.DUMMYFUNCTION("""COMPUTED_VALUE"""),"Tm")</f>
        <v>Tm</v>
      </c>
      <c r="D4753" s="4" t="str">
        <f>IFERROR(__xludf.DUMMYFUNCTION("""COMPUTED_VALUE"""),"Player")</f>
        <v>Player</v>
      </c>
      <c r="E4753" s="4" t="str">
        <f>IFERROR(__xludf.DUMMYFUNCTION("""COMPUTED_VALUE"""),"College")</f>
        <v>College</v>
      </c>
      <c r="F4753" s="4" t="str">
        <f>IFERROR(__xludf.DUMMYFUNCTION("""COMPUTED_VALUE"""),"Yrs")</f>
        <v>Yrs</v>
      </c>
      <c r="G4753" s="4" t="str">
        <f>IFERROR(__xludf.DUMMYFUNCTION("""COMPUTED_VALUE"""),"G")</f>
        <v>G</v>
      </c>
      <c r="H4753" s="4" t="str">
        <f>IFERROR(__xludf.DUMMYFUNCTION("""COMPUTED_VALUE"""),"MP")</f>
        <v>MP</v>
      </c>
      <c r="I4753" s="4" t="str">
        <f>IFERROR(__xludf.DUMMYFUNCTION("""COMPUTED_VALUE"""),"PTS")</f>
        <v>PTS</v>
      </c>
      <c r="J4753" s="4" t="str">
        <f>IFERROR(__xludf.DUMMYFUNCTION("""COMPUTED_VALUE"""),"TRB")</f>
        <v>TRB</v>
      </c>
      <c r="K4753" s="4" t="str">
        <f>IFERROR(__xludf.DUMMYFUNCTION("""COMPUTED_VALUE"""),"AST")</f>
        <v>AST</v>
      </c>
      <c r="L4753" s="4" t="str">
        <f>IFERROR(__xludf.DUMMYFUNCTION("""COMPUTED_VALUE"""),"FG%")</f>
        <v>FG%</v>
      </c>
      <c r="M4753" s="4" t="str">
        <f>IFERROR(__xludf.DUMMYFUNCTION("""COMPUTED_VALUE"""),"3P%")</f>
        <v>3P%</v>
      </c>
      <c r="N4753" s="4" t="str">
        <f>IFERROR(__xludf.DUMMYFUNCTION("""COMPUTED_VALUE"""),"FT%")</f>
        <v>FT%</v>
      </c>
      <c r="O4753" s="4" t="str">
        <f>IFERROR(__xludf.DUMMYFUNCTION("""COMPUTED_VALUE"""),"MP")</f>
        <v>MP</v>
      </c>
      <c r="P4753" s="4" t="str">
        <f>IFERROR(__xludf.DUMMYFUNCTION("""COMPUTED_VALUE"""),"PTS")</f>
        <v>PTS</v>
      </c>
      <c r="Q4753" s="4" t="str">
        <f>IFERROR(__xludf.DUMMYFUNCTION("""COMPUTED_VALUE"""),"TRB")</f>
        <v>TRB</v>
      </c>
      <c r="R4753" s="4" t="str">
        <f>IFERROR(__xludf.DUMMYFUNCTION("""COMPUTED_VALUE"""),"AST")</f>
        <v>AST</v>
      </c>
      <c r="S4753" s="4" t="str">
        <f>IFERROR(__xludf.DUMMYFUNCTION("""COMPUTED_VALUE"""),"WS")</f>
        <v>WS</v>
      </c>
      <c r="T4753" s="4" t="str">
        <f>IFERROR(__xludf.DUMMYFUNCTION("""COMPUTED_VALUE"""),"WS/48")</f>
        <v>WS/48</v>
      </c>
      <c r="U4753" s="4" t="str">
        <f>IFERROR(__xludf.DUMMYFUNCTION("""COMPUTED_VALUE"""),"BPM")</f>
        <v>BPM</v>
      </c>
      <c r="V4753" s="4" t="str">
        <f>IFERROR(__xludf.DUMMYFUNCTION("""COMPUTED_VALUE"""),"VORP")</f>
        <v>VORP</v>
      </c>
    </row>
    <row r="4754">
      <c r="A4754" s="4">
        <f>IFERROR(__xludf.DUMMYFUNCTION("""COMPUTED_VALUE"""),67.0)</f>
        <v>67</v>
      </c>
      <c r="B4754" s="4">
        <f>IFERROR(__xludf.DUMMYFUNCTION("""COMPUTED_VALUE"""),67.0)</f>
        <v>67</v>
      </c>
      <c r="C4754" s="4" t="str">
        <f>IFERROR(__xludf.DUMMYFUNCTION("""COMPUTED_VALUE"""),"NJN")</f>
        <v>NJN</v>
      </c>
      <c r="D4754" s="4" t="str">
        <f>IFERROR(__xludf.DUMMYFUNCTION("""COMPUTED_VALUE"""),"Bob Elmore")</f>
        <v>Bob Elmore</v>
      </c>
      <c r="E4754" s="4" t="str">
        <f>IFERROR(__xludf.DUMMYFUNCTION("""COMPUTED_VALUE"""),"Wichita State")</f>
        <v>Wichita State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</row>
    <row r="4755">
      <c r="A4755" s="4">
        <f>IFERROR(__xludf.DUMMYFUNCTION("""COMPUTED_VALUE"""),68.0)</f>
        <v>68</v>
      </c>
      <c r="B4755" s="4">
        <f>IFERROR(__xludf.DUMMYFUNCTION("""COMPUTED_VALUE"""),68.0)</f>
        <v>68</v>
      </c>
      <c r="C4755" s="4" t="str">
        <f>IFERROR(__xludf.DUMMYFUNCTION("""COMPUTED_VALUE"""),"BUF")</f>
        <v>BUF</v>
      </c>
      <c r="D4755" s="4" t="str">
        <f>IFERROR(__xludf.DUMMYFUNCTION("""COMPUTED_VALUE"""),"Melvin Watkins")</f>
        <v>Melvin Watkins</v>
      </c>
      <c r="E4755" s="4" t="str">
        <f>IFERROR(__xludf.DUMMYFUNCTION("""COMPUTED_VALUE"""),"UNC Charlotte")</f>
        <v>UNC Charlotte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</row>
    <row r="4756">
      <c r="A4756" s="4">
        <f>IFERROR(__xludf.DUMMYFUNCTION("""COMPUTED_VALUE"""),69.0)</f>
        <v>69</v>
      </c>
      <c r="B4756" s="4">
        <f>IFERROR(__xludf.DUMMYFUNCTION("""COMPUTED_VALUE"""),69.0)</f>
        <v>69</v>
      </c>
      <c r="C4756" s="4" t="str">
        <f>IFERROR(__xludf.DUMMYFUNCTION("""COMPUTED_VALUE"""),"MIL")</f>
        <v>MIL</v>
      </c>
      <c r="D4756" s="4" t="str">
        <f>IFERROR(__xludf.DUMMYFUNCTION("""COMPUTED_VALUE"""),"Lewis Brown")</f>
        <v>Lewis Brown</v>
      </c>
      <c r="E4756" s="4" t="str">
        <f>IFERROR(__xludf.DUMMYFUNCTION("""COMPUTED_VALUE"""),"UNLV")</f>
        <v>UNLV</v>
      </c>
      <c r="F4756" s="4">
        <f>IFERROR(__xludf.DUMMYFUNCTION("""COMPUTED_VALUE"""),1.0)</f>
        <v>1</v>
      </c>
      <c r="G4756" s="4">
        <f>IFERROR(__xludf.DUMMYFUNCTION("""COMPUTED_VALUE"""),2.0)</f>
        <v>2</v>
      </c>
      <c r="H4756" s="4">
        <f>IFERROR(__xludf.DUMMYFUNCTION("""COMPUTED_VALUE"""),5.0)</f>
        <v>5</v>
      </c>
      <c r="I4756" s="4">
        <f>IFERROR(__xludf.DUMMYFUNCTION("""COMPUTED_VALUE"""),2.0)</f>
        <v>2</v>
      </c>
      <c r="J4756" s="4">
        <f>IFERROR(__xludf.DUMMYFUNCTION("""COMPUTED_VALUE"""),2.0)</f>
        <v>2</v>
      </c>
      <c r="K4756" s="4">
        <f>IFERROR(__xludf.DUMMYFUNCTION("""COMPUTED_VALUE"""),0.0)</f>
        <v>0</v>
      </c>
      <c r="L4756" s="4">
        <f>IFERROR(__xludf.DUMMYFUNCTION("""COMPUTED_VALUE"""),0.0)</f>
        <v>0</v>
      </c>
      <c r="M4756" s="4"/>
      <c r="N4756" s="4">
        <f>IFERROR(__xludf.DUMMYFUNCTION("""COMPUTED_VALUE"""),0.4)</f>
        <v>0.4</v>
      </c>
      <c r="O4756" s="4">
        <f>IFERROR(__xludf.DUMMYFUNCTION("""COMPUTED_VALUE"""),2.5)</f>
        <v>2.5</v>
      </c>
      <c r="P4756" s="4">
        <f>IFERROR(__xludf.DUMMYFUNCTION("""COMPUTED_VALUE"""),1.0)</f>
        <v>1</v>
      </c>
      <c r="Q4756" s="4">
        <f>IFERROR(__xludf.DUMMYFUNCTION("""COMPUTED_VALUE"""),1.0)</f>
        <v>1</v>
      </c>
      <c r="R4756" s="4">
        <f>IFERROR(__xludf.DUMMYFUNCTION("""COMPUTED_VALUE"""),0.0)</f>
        <v>0</v>
      </c>
      <c r="S4756" s="4">
        <f>IFERROR(__xludf.DUMMYFUNCTION("""COMPUTED_VALUE"""),-0.1)</f>
        <v>-0.1</v>
      </c>
      <c r="T4756" s="4">
        <f>IFERROR(__xludf.DUMMYFUNCTION("""COMPUTED_VALUE"""),-0.667)</f>
        <v>-0.667</v>
      </c>
      <c r="U4756" s="4">
        <f>IFERROR(__xludf.DUMMYFUNCTION("""COMPUTED_VALUE"""),-5.7)</f>
        <v>-5.7</v>
      </c>
      <c r="V4756" s="4">
        <f>IFERROR(__xludf.DUMMYFUNCTION("""COMPUTED_VALUE"""),0.0)</f>
        <v>0</v>
      </c>
    </row>
    <row r="4757">
      <c r="A4757" s="4">
        <f>IFERROR(__xludf.DUMMYFUNCTION("""COMPUTED_VALUE"""),70.0)</f>
        <v>70</v>
      </c>
      <c r="B4757" s="4">
        <f>IFERROR(__xludf.DUMMYFUNCTION("""COMPUTED_VALUE"""),70.0)</f>
        <v>70</v>
      </c>
      <c r="C4757" s="4" t="str">
        <f>IFERROR(__xludf.DUMMYFUNCTION("""COMPUTED_VALUE"""),"ATL")</f>
        <v>ATL</v>
      </c>
      <c r="D4757" s="4" t="str">
        <f>IFERROR(__xludf.DUMMYFUNCTION("""COMPUTED_VALUE"""),"Dave Bormann")</f>
        <v>Dave Bormann</v>
      </c>
      <c r="E4757" s="4" t="str">
        <f>IFERROR(__xludf.DUMMYFUNCTION("""COMPUTED_VALUE"""),"Gardner-Webb University")</f>
        <v>Gardner-Webb University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</row>
    <row r="4758">
      <c r="A4758" s="4">
        <f>IFERROR(__xludf.DUMMYFUNCTION("""COMPUTED_VALUE"""),71.0)</f>
        <v>71</v>
      </c>
      <c r="B4758" s="4">
        <f>IFERROR(__xludf.DUMMYFUNCTION("""COMPUTED_VALUE"""),71.0)</f>
        <v>71</v>
      </c>
      <c r="C4758" s="4" t="str">
        <f>IFERROR(__xludf.DUMMYFUNCTION("""COMPUTED_VALUE"""),"PHO")</f>
        <v>PHO</v>
      </c>
      <c r="D4758" s="4" t="str">
        <f>IFERROR(__xludf.DUMMYFUNCTION("""COMPUTED_VALUE"""),"Greg Griffin")</f>
        <v>Greg Griffin</v>
      </c>
      <c r="E4758" s="4" t="str">
        <f>IFERROR(__xludf.DUMMYFUNCTION("""COMPUTED_VALUE"""),"Idaho State University")</f>
        <v>Idaho State University</v>
      </c>
      <c r="F4758" s="4">
        <f>IFERROR(__xludf.DUMMYFUNCTION("""COMPUTED_VALUE"""),1.0)</f>
        <v>1</v>
      </c>
      <c r="G4758" s="4">
        <f>IFERROR(__xludf.DUMMYFUNCTION("""COMPUTED_VALUE"""),36.0)</f>
        <v>36</v>
      </c>
      <c r="H4758" s="4">
        <f>IFERROR(__xludf.DUMMYFUNCTION("""COMPUTED_VALUE"""),422.0)</f>
        <v>422</v>
      </c>
      <c r="I4758" s="4">
        <f>IFERROR(__xludf.DUMMYFUNCTION("""COMPUTED_VALUE"""),145.0)</f>
        <v>145</v>
      </c>
      <c r="J4758" s="4">
        <f>IFERROR(__xludf.DUMMYFUNCTION("""COMPUTED_VALUE"""),103.0)</f>
        <v>103</v>
      </c>
      <c r="K4758" s="4">
        <f>IFERROR(__xludf.DUMMYFUNCTION("""COMPUTED_VALUE"""),24.0)</f>
        <v>24</v>
      </c>
      <c r="L4758" s="4">
        <f>IFERROR(__xludf.DUMMYFUNCTION("""COMPUTED_VALUE"""),0.361)</f>
        <v>0.361</v>
      </c>
      <c r="M4758" s="4"/>
      <c r="N4758" s="4">
        <f>IFERROR(__xludf.DUMMYFUNCTION("""COMPUTED_VALUE"""),0.639)</f>
        <v>0.639</v>
      </c>
      <c r="O4758" s="4">
        <f>IFERROR(__xludf.DUMMYFUNCTION("""COMPUTED_VALUE"""),11.7)</f>
        <v>11.7</v>
      </c>
      <c r="P4758" s="4">
        <f>IFERROR(__xludf.DUMMYFUNCTION("""COMPUTED_VALUE"""),4.0)</f>
        <v>4</v>
      </c>
      <c r="Q4758" s="4">
        <f>IFERROR(__xludf.DUMMYFUNCTION("""COMPUTED_VALUE"""),2.9)</f>
        <v>2.9</v>
      </c>
      <c r="R4758" s="4">
        <f>IFERROR(__xludf.DUMMYFUNCTION("""COMPUTED_VALUE"""),0.7)</f>
        <v>0.7</v>
      </c>
      <c r="S4758" s="4">
        <f>IFERROR(__xludf.DUMMYFUNCTION("""COMPUTED_VALUE"""),-0.1)</f>
        <v>-0.1</v>
      </c>
      <c r="T4758" s="4">
        <f>IFERROR(__xludf.DUMMYFUNCTION("""COMPUTED_VALUE"""),-0.011)</f>
        <v>-0.011</v>
      </c>
      <c r="U4758" s="4">
        <f>IFERROR(__xludf.DUMMYFUNCTION("""COMPUTED_VALUE"""),-6.5)</f>
        <v>-6.5</v>
      </c>
      <c r="V4758" s="4">
        <f>IFERROR(__xludf.DUMMYFUNCTION("""COMPUTED_VALUE"""),-0.5)</f>
        <v>-0.5</v>
      </c>
    </row>
    <row r="4759">
      <c r="A4759" s="4">
        <f>IFERROR(__xludf.DUMMYFUNCTION("""COMPUTED_VALUE"""),72.0)</f>
        <v>72</v>
      </c>
      <c r="B4759" s="4">
        <f>IFERROR(__xludf.DUMMYFUNCTION("""COMPUTED_VALUE"""),72.0)</f>
        <v>72</v>
      </c>
      <c r="C4759" s="4" t="str">
        <f>IFERROR(__xludf.DUMMYFUNCTION("""COMPUTED_VALUE"""),"NOJ")</f>
        <v>NOJ</v>
      </c>
      <c r="D4759" s="4" t="str">
        <f>IFERROR(__xludf.DUMMYFUNCTION("""COMPUTED_VALUE"""),"Dennis Boyd")</f>
        <v>Dennis Boyd</v>
      </c>
      <c r="E4759" s="4" t="str">
        <f>IFERROR(__xludf.DUMMYFUNCTION("""COMPUTED_VALUE"""),"Detroit Mercy")</f>
        <v>Detroit Mercy</v>
      </c>
      <c r="F4759" s="4">
        <f>IFERROR(__xludf.DUMMYFUNCTION("""COMPUTED_VALUE"""),1.0)</f>
        <v>1</v>
      </c>
      <c r="G4759" s="4">
        <f>IFERROR(__xludf.DUMMYFUNCTION("""COMPUTED_VALUE"""),5.0)</f>
        <v>5</v>
      </c>
      <c r="H4759" s="4">
        <f>IFERROR(__xludf.DUMMYFUNCTION("""COMPUTED_VALUE"""),40.0)</f>
        <v>40</v>
      </c>
      <c r="I4759" s="4">
        <f>IFERROR(__xludf.DUMMYFUNCTION("""COMPUTED_VALUE"""),6.0)</f>
        <v>6</v>
      </c>
      <c r="J4759" s="4">
        <f>IFERROR(__xludf.DUMMYFUNCTION("""COMPUTED_VALUE"""),2.0)</f>
        <v>2</v>
      </c>
      <c r="K4759" s="4">
        <f>IFERROR(__xludf.DUMMYFUNCTION("""COMPUTED_VALUE"""),7.0)</f>
        <v>7</v>
      </c>
      <c r="L4759" s="4">
        <f>IFERROR(__xludf.DUMMYFUNCTION("""COMPUTED_VALUE"""),0.25)</f>
        <v>0.25</v>
      </c>
      <c r="M4759" s="4"/>
      <c r="N4759" s="4"/>
      <c r="O4759" s="4">
        <f>IFERROR(__xludf.DUMMYFUNCTION("""COMPUTED_VALUE"""),8.0)</f>
        <v>8</v>
      </c>
      <c r="P4759" s="4">
        <f>IFERROR(__xludf.DUMMYFUNCTION("""COMPUTED_VALUE"""),1.2)</f>
        <v>1.2</v>
      </c>
      <c r="Q4759" s="4">
        <f>IFERROR(__xludf.DUMMYFUNCTION("""COMPUTED_VALUE"""),0.4)</f>
        <v>0.4</v>
      </c>
      <c r="R4759" s="4">
        <f>IFERROR(__xludf.DUMMYFUNCTION("""COMPUTED_VALUE"""),1.4)</f>
        <v>1.4</v>
      </c>
      <c r="S4759" s="4">
        <f>IFERROR(__xludf.DUMMYFUNCTION("""COMPUTED_VALUE"""),-0.2)</f>
        <v>-0.2</v>
      </c>
      <c r="T4759" s="4">
        <f>IFERROR(__xludf.DUMMYFUNCTION("""COMPUTED_VALUE"""),-0.23)</f>
        <v>-0.23</v>
      </c>
      <c r="U4759" s="4">
        <f>IFERROR(__xludf.DUMMYFUNCTION("""COMPUTED_VALUE"""),-6.4)</f>
        <v>-6.4</v>
      </c>
      <c r="V4759" s="4">
        <f>IFERROR(__xludf.DUMMYFUNCTION("""COMPUTED_VALUE"""),-0.1)</f>
        <v>-0.1</v>
      </c>
    </row>
    <row r="4760">
      <c r="A4760" s="4">
        <f>IFERROR(__xludf.DUMMYFUNCTION("""COMPUTED_VALUE"""),73.0)</f>
        <v>73</v>
      </c>
      <c r="B4760" s="4">
        <f>IFERROR(__xludf.DUMMYFUNCTION("""COMPUTED_VALUE"""),73.0)</f>
        <v>73</v>
      </c>
      <c r="C4760" s="4" t="str">
        <f>IFERROR(__xludf.DUMMYFUNCTION("""COMPUTED_VALUE"""),"IND")</f>
        <v>IND</v>
      </c>
      <c r="D4760" s="4" t="str">
        <f>IFERROR(__xludf.DUMMYFUNCTION("""COMPUTED_VALUE"""),"George Pendleton")</f>
        <v>George Pendleton</v>
      </c>
      <c r="E4760" s="4" t="str">
        <f>IFERROR(__xludf.DUMMYFUNCTION("""COMPUTED_VALUE"""),"Georgia State University")</f>
        <v>Georgia State University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</row>
    <row r="4761">
      <c r="A4761" s="4">
        <f>IFERROR(__xludf.DUMMYFUNCTION("""COMPUTED_VALUE"""),74.0)</f>
        <v>74</v>
      </c>
      <c r="B4761" s="4">
        <f>IFERROR(__xludf.DUMMYFUNCTION("""COMPUTED_VALUE"""),74.0)</f>
        <v>74</v>
      </c>
      <c r="C4761" s="4" t="str">
        <f>IFERROR(__xludf.DUMMYFUNCTION("""COMPUTED_VALUE"""),"SEA")</f>
        <v>SEA</v>
      </c>
      <c r="D4761" s="4" t="str">
        <f>IFERROR(__xludf.DUMMYFUNCTION("""COMPUTED_VALUE"""),"Jim Cooper")</f>
        <v>Jim Cooper</v>
      </c>
      <c r="E4761" s="4" t="str">
        <f>IFERROR(__xludf.DUMMYFUNCTION("""COMPUTED_VALUE"""),"Alabama State University")</f>
        <v>Alabama State University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</row>
    <row r="4762">
      <c r="A4762" s="4">
        <f>IFERROR(__xludf.DUMMYFUNCTION("""COMPUTED_VALUE"""),75.0)</f>
        <v>75</v>
      </c>
      <c r="B4762" s="4">
        <f>IFERROR(__xludf.DUMMYFUNCTION("""COMPUTED_VALUE"""),75.0)</f>
        <v>75</v>
      </c>
      <c r="C4762" s="4" t="str">
        <f>IFERROR(__xludf.DUMMYFUNCTION("""COMPUTED_VALUE"""),"KCK")</f>
        <v>KCK</v>
      </c>
      <c r="D4762" s="4" t="str">
        <f>IFERROR(__xludf.DUMMYFUNCTION("""COMPUTED_VALUE"""),"Larry Williams")</f>
        <v>Larry Williams</v>
      </c>
      <c r="E4762" s="4" t="str">
        <f>IFERROR(__xludf.DUMMYFUNCTION("""COMPUTED_VALUE"""),"Texas Southern")</f>
        <v>Texas Southern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</row>
    <row r="4763">
      <c r="A4763" s="4">
        <f>IFERROR(__xludf.DUMMYFUNCTION("""COMPUTED_VALUE"""),76.0)</f>
        <v>76</v>
      </c>
      <c r="B4763" s="4">
        <f>IFERROR(__xludf.DUMMYFUNCTION("""COMPUTED_VALUE"""),76.0)</f>
        <v>76</v>
      </c>
      <c r="C4763" s="4" t="str">
        <f>IFERROR(__xludf.DUMMYFUNCTION("""COMPUTED_VALUE"""),"NYK")</f>
        <v>NYK</v>
      </c>
      <c r="D4763" s="4" t="str">
        <f>IFERROR(__xludf.DUMMYFUNCTION("""COMPUTED_VALUE"""),"Steve Hayes")</f>
        <v>Steve Hayes</v>
      </c>
      <c r="E4763" s="4" t="str">
        <f>IFERROR(__xludf.DUMMYFUNCTION("""COMPUTED_VALUE"""),"Idaho State University")</f>
        <v>Idaho State University</v>
      </c>
      <c r="F4763" s="4">
        <f>IFERROR(__xludf.DUMMYFUNCTION("""COMPUTED_VALUE"""),5.0)</f>
        <v>5</v>
      </c>
      <c r="G4763" s="4">
        <f>IFERROR(__xludf.DUMMYFUNCTION("""COMPUTED_VALUE"""),212.0)</f>
        <v>212</v>
      </c>
      <c r="H4763" s="4">
        <f>IFERROR(__xludf.DUMMYFUNCTION("""COMPUTED_VALUE"""),2296.0)</f>
        <v>2296</v>
      </c>
      <c r="I4763" s="4">
        <f>IFERROR(__xludf.DUMMYFUNCTION("""COMPUTED_VALUE"""),545.0)</f>
        <v>545</v>
      </c>
      <c r="J4763" s="4">
        <f>IFERROR(__xludf.DUMMYFUNCTION("""COMPUTED_VALUE"""),526.0)</f>
        <v>526</v>
      </c>
      <c r="K4763" s="4">
        <f>IFERROR(__xludf.DUMMYFUNCTION("""COMPUTED_VALUE"""),85.0)</f>
        <v>85</v>
      </c>
      <c r="L4763" s="4">
        <f>IFERROR(__xludf.DUMMYFUNCTION("""COMPUTED_VALUE"""),0.482)</f>
        <v>0.482</v>
      </c>
      <c r="M4763" s="4">
        <f>IFERROR(__xludf.DUMMYFUNCTION("""COMPUTED_VALUE"""),0.0)</f>
        <v>0</v>
      </c>
      <c r="N4763" s="4">
        <f>IFERROR(__xludf.DUMMYFUNCTION("""COMPUTED_VALUE"""),0.5)</f>
        <v>0.5</v>
      </c>
      <c r="O4763" s="4">
        <f>IFERROR(__xludf.DUMMYFUNCTION("""COMPUTED_VALUE"""),10.8)</f>
        <v>10.8</v>
      </c>
      <c r="P4763" s="4">
        <f>IFERROR(__xludf.DUMMYFUNCTION("""COMPUTED_VALUE"""),2.6)</f>
        <v>2.6</v>
      </c>
      <c r="Q4763" s="4">
        <f>IFERROR(__xludf.DUMMYFUNCTION("""COMPUTED_VALUE"""),2.5)</f>
        <v>2.5</v>
      </c>
      <c r="R4763" s="4">
        <f>IFERROR(__xludf.DUMMYFUNCTION("""COMPUTED_VALUE"""),0.4)</f>
        <v>0.4</v>
      </c>
      <c r="S4763" s="4">
        <f>IFERROR(__xludf.DUMMYFUNCTION("""COMPUTED_VALUE"""),2.9)</f>
        <v>2.9</v>
      </c>
      <c r="T4763" s="4">
        <f>IFERROR(__xludf.DUMMYFUNCTION("""COMPUTED_VALUE"""),0.061)</f>
        <v>0.061</v>
      </c>
      <c r="U4763" s="4">
        <f>IFERROR(__xludf.DUMMYFUNCTION("""COMPUTED_VALUE"""),-3.6)</f>
        <v>-3.6</v>
      </c>
      <c r="V4763" s="4">
        <f>IFERROR(__xludf.DUMMYFUNCTION("""COMPUTED_VALUE"""),-0.9)</f>
        <v>-0.9</v>
      </c>
    </row>
    <row r="4764">
      <c r="A4764" s="4">
        <f>IFERROR(__xludf.DUMMYFUNCTION("""COMPUTED_VALUE"""),77.0)</f>
        <v>77</v>
      </c>
      <c r="B4764" s="4">
        <f>IFERROR(__xludf.DUMMYFUNCTION("""COMPUTED_VALUE"""),77.0)</f>
        <v>77</v>
      </c>
      <c r="C4764" s="4" t="str">
        <f>IFERROR(__xludf.DUMMYFUNCTION("""COMPUTED_VALUE"""),"CLE")</f>
        <v>CLE</v>
      </c>
      <c r="D4764" s="4" t="str">
        <f>IFERROR(__xludf.DUMMYFUNCTION("""COMPUTED_VALUE"""),"Melvin Jones")</f>
        <v>Melvin Jones</v>
      </c>
      <c r="E4764" s="4" t="str">
        <f>IFERROR(__xludf.DUMMYFUNCTION("""COMPUTED_VALUE"""),"West Texas A&amp;M University")</f>
        <v>West Texas A&amp;M University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</row>
    <row r="4765">
      <c r="A4765" s="4">
        <f>IFERROR(__xludf.DUMMYFUNCTION("""COMPUTED_VALUE"""),78.0)</f>
        <v>78</v>
      </c>
      <c r="B4765" s="4">
        <f>IFERROR(__xludf.DUMMYFUNCTION("""COMPUTED_VALUE"""),78.0)</f>
        <v>78</v>
      </c>
      <c r="C4765" s="4" t="str">
        <f>IFERROR(__xludf.DUMMYFUNCTION("""COMPUTED_VALUE"""),"BOS")</f>
        <v>BOS</v>
      </c>
      <c r="D4765" s="4" t="str">
        <f>IFERROR(__xludf.DUMMYFUNCTION("""COMPUTED_VALUE"""),"Jeff Cummings")</f>
        <v>Jeff Cummings</v>
      </c>
      <c r="E4765" s="4" t="str">
        <f>IFERROR(__xludf.DUMMYFUNCTION("""COMPUTED_VALUE"""),"Tulane")</f>
        <v>Tulane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</row>
    <row r="4766">
      <c r="A4766" s="4">
        <f>IFERROR(__xludf.DUMMYFUNCTION("""COMPUTED_VALUE"""),79.0)</f>
        <v>79</v>
      </c>
      <c r="B4766" s="4">
        <f>IFERROR(__xludf.DUMMYFUNCTION("""COMPUTED_VALUE"""),79.0)</f>
        <v>79</v>
      </c>
      <c r="C4766" s="4" t="str">
        <f>IFERROR(__xludf.DUMMYFUNCTION("""COMPUTED_VALUE"""),"CHI")</f>
        <v>CHI</v>
      </c>
      <c r="D4766" s="4" t="str">
        <f>IFERROR(__xludf.DUMMYFUNCTION("""COMPUTED_VALUE"""),"Mike McConalthy")</f>
        <v>Mike McConalthy</v>
      </c>
      <c r="E4766" s="4" t="str">
        <f>IFERROR(__xludf.DUMMYFUNCTION("""COMPUTED_VALUE"""),"Louisiana Tech")</f>
        <v>Louisiana Tech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</row>
    <row r="4767">
      <c r="A4767" s="4">
        <f>IFERROR(__xludf.DUMMYFUNCTION("""COMPUTED_VALUE"""),80.0)</f>
        <v>80</v>
      </c>
      <c r="B4767" s="4">
        <f>IFERROR(__xludf.DUMMYFUNCTION("""COMPUTED_VALUE"""),80.0)</f>
        <v>80</v>
      </c>
      <c r="C4767" s="4" t="str">
        <f>IFERROR(__xludf.DUMMYFUNCTION("""COMPUTED_VALUE"""),"DET")</f>
        <v>DET</v>
      </c>
      <c r="D4767" s="4" t="str">
        <f>IFERROR(__xludf.DUMMYFUNCTION("""COMPUTED_VALUE"""),"Bruce King")</f>
        <v>Bruce King</v>
      </c>
      <c r="E4767" s="4" t="str">
        <f>IFERROR(__xludf.DUMMYFUNCTION("""COMPUTED_VALUE"""),"Iowa")</f>
        <v>Iowa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</row>
    <row r="4768">
      <c r="A4768" s="4">
        <f>IFERROR(__xludf.DUMMYFUNCTION("""COMPUTED_VALUE"""),81.0)</f>
        <v>81</v>
      </c>
      <c r="B4768" s="4">
        <f>IFERROR(__xludf.DUMMYFUNCTION("""COMPUTED_VALUE"""),81.0)</f>
        <v>81</v>
      </c>
      <c r="C4768" s="4" t="str">
        <f>IFERROR(__xludf.DUMMYFUNCTION("""COMPUTED_VALUE"""),"SAS")</f>
        <v>SAS</v>
      </c>
      <c r="D4768" s="4" t="str">
        <f>IFERROR(__xludf.DUMMYFUNCTION("""COMPUTED_VALUE"""),"Matt Hicks")</f>
        <v>Matt Hicks</v>
      </c>
      <c r="E4768" s="4" t="str">
        <f>IFERROR(__xludf.DUMMYFUNCTION("""COMPUTED_VALUE"""),"Northern Illinois")</f>
        <v>Northern Illinois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</row>
    <row r="4769">
      <c r="A4769" s="4">
        <f>IFERROR(__xludf.DUMMYFUNCTION("""COMPUTED_VALUE"""),82.0)</f>
        <v>82</v>
      </c>
      <c r="B4769" s="4">
        <f>IFERROR(__xludf.DUMMYFUNCTION("""COMPUTED_VALUE"""),82.0)</f>
        <v>82</v>
      </c>
      <c r="C4769" s="4" t="str">
        <f>IFERROR(__xludf.DUMMYFUNCTION("""COMPUTED_VALUE"""),"GSW")</f>
        <v>GSW</v>
      </c>
      <c r="D4769" s="4" t="str">
        <f>IFERROR(__xludf.DUMMYFUNCTION("""COMPUTED_VALUE"""),"Roy Smith")</f>
        <v>Roy Smith</v>
      </c>
      <c r="E4769" s="4" t="str">
        <f>IFERROR(__xludf.DUMMYFUNCTION("""COMPUTED_VALUE"""),"Kentucky State University")</f>
        <v>Kentucky State University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</row>
    <row r="4770">
      <c r="A4770" s="4">
        <f>IFERROR(__xludf.DUMMYFUNCTION("""COMPUTED_VALUE"""),83.0)</f>
        <v>83</v>
      </c>
      <c r="B4770" s="4">
        <f>IFERROR(__xludf.DUMMYFUNCTION("""COMPUTED_VALUE"""),83.0)</f>
        <v>83</v>
      </c>
      <c r="C4770" s="4" t="str">
        <f>IFERROR(__xludf.DUMMYFUNCTION("""COMPUTED_VALUE"""),"WSB")</f>
        <v>WSB</v>
      </c>
      <c r="D4770" s="4" t="str">
        <f>IFERROR(__xludf.DUMMYFUNCTION("""COMPUTED_VALUE"""),"David Reavis")</f>
        <v>David Reavis</v>
      </c>
      <c r="E4770" s="4" t="str">
        <f>IFERROR(__xludf.DUMMYFUNCTION("""COMPUTED_VALUE"""),"Georgia")</f>
        <v>Georgia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</row>
    <row r="4771">
      <c r="A4771" s="4">
        <f>IFERROR(__xludf.DUMMYFUNCTION("""COMPUTED_VALUE"""),84.0)</f>
        <v>84</v>
      </c>
      <c r="B4771" s="4">
        <f>IFERROR(__xludf.DUMMYFUNCTION("""COMPUTED_VALUE"""),84.0)</f>
        <v>84</v>
      </c>
      <c r="C4771" s="4" t="str">
        <f>IFERROR(__xludf.DUMMYFUNCTION("""COMPUTED_VALUE"""),"HOU")</f>
        <v>HOU</v>
      </c>
      <c r="D4771" s="4" t="str">
        <f>IFERROR(__xludf.DUMMYFUNCTION("""COMPUTED_VALUE"""),"Rocky Smith")</f>
        <v>Rocky Smith</v>
      </c>
      <c r="E4771" s="4" t="str">
        <f>IFERROR(__xludf.DUMMYFUNCTION("""COMPUTED_VALUE"""),"Oregon State")</f>
        <v>Oregon State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</row>
    <row r="4772">
      <c r="A4772" s="4">
        <f>IFERROR(__xludf.DUMMYFUNCTION("""COMPUTED_VALUE"""),85.0)</f>
        <v>85</v>
      </c>
      <c r="B4772" s="4">
        <f>IFERROR(__xludf.DUMMYFUNCTION("""COMPUTED_VALUE"""),85.0)</f>
        <v>85</v>
      </c>
      <c r="C4772" s="4" t="str">
        <f>IFERROR(__xludf.DUMMYFUNCTION("""COMPUTED_VALUE"""),"POR")</f>
        <v>POR</v>
      </c>
      <c r="D4772" s="4" t="str">
        <f>IFERROR(__xludf.DUMMYFUNCTION("""COMPUTED_VALUE"""),"Greg White")</f>
        <v>Greg White</v>
      </c>
      <c r="E4772" s="4" t="str">
        <f>IFERROR(__xludf.DUMMYFUNCTION("""COMPUTED_VALUE"""),"USC")</f>
        <v>USC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</row>
    <row r="4773">
      <c r="A4773" s="4">
        <f>IFERROR(__xludf.DUMMYFUNCTION("""COMPUTED_VALUE"""),86.0)</f>
        <v>86</v>
      </c>
      <c r="B4773" s="4">
        <f>IFERROR(__xludf.DUMMYFUNCTION("""COMPUTED_VALUE"""),86.0)</f>
        <v>86</v>
      </c>
      <c r="C4773" s="4" t="str">
        <f>IFERROR(__xludf.DUMMYFUNCTION("""COMPUTED_VALUE"""),"PHI")</f>
        <v>PHI</v>
      </c>
      <c r="D4773" s="4" t="str">
        <f>IFERROR(__xludf.DUMMYFUNCTION("""COMPUTED_VALUE"""),"Jeff Jonas")</f>
        <v>Jeff Jonas</v>
      </c>
      <c r="E4773" s="4" t="str">
        <f>IFERROR(__xludf.DUMMYFUNCTION("""COMPUTED_VALUE"""),"Utah")</f>
        <v>Utah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</row>
    <row r="4774">
      <c r="A4774" s="4">
        <f>IFERROR(__xludf.DUMMYFUNCTION("""COMPUTED_VALUE"""),87.0)</f>
        <v>87</v>
      </c>
      <c r="B4774" s="4">
        <f>IFERROR(__xludf.DUMMYFUNCTION("""COMPUTED_VALUE"""),87.0)</f>
        <v>87</v>
      </c>
      <c r="C4774" s="4" t="str">
        <f>IFERROR(__xludf.DUMMYFUNCTION("""COMPUTED_VALUE"""),"GSW")</f>
        <v>GSW</v>
      </c>
      <c r="D4774" s="4" t="str">
        <f>IFERROR(__xludf.DUMMYFUNCTION("""COMPUTED_VALUE"""),"Leartha Scott")</f>
        <v>Leartha Scott</v>
      </c>
      <c r="E4774" s="4" t="str">
        <f>IFERROR(__xludf.DUMMYFUNCTION("""COMPUTED_VALUE"""),"University of Wisconsin-Parkside")</f>
        <v>University of Wisconsin-Parkside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</row>
    <row r="4775">
      <c r="A4775" s="4">
        <f>IFERROR(__xludf.DUMMYFUNCTION("""COMPUTED_VALUE"""),88.0)</f>
        <v>88</v>
      </c>
      <c r="B4775" s="4">
        <f>IFERROR(__xludf.DUMMYFUNCTION("""COMPUTED_VALUE"""),88.0)</f>
        <v>88</v>
      </c>
      <c r="C4775" s="4" t="str">
        <f>IFERROR(__xludf.DUMMYFUNCTION("""COMPUTED_VALUE"""),"LAL")</f>
        <v>LAL</v>
      </c>
      <c r="D4775" s="4" t="str">
        <f>IFERROR(__xludf.DUMMYFUNCTION("""COMPUTED_VALUE"""),"Tony Robertson")</f>
        <v>Tony Robertson</v>
      </c>
      <c r="E4775" s="4" t="str">
        <f>IFERROR(__xludf.DUMMYFUNCTION("""COMPUTED_VALUE"""),"West Virginia")</f>
        <v>West Virginia</v>
      </c>
      <c r="F4775" s="4">
        <f>IFERROR(__xludf.DUMMYFUNCTION("""COMPUTED_VALUE"""),2.0)</f>
        <v>2</v>
      </c>
      <c r="G4775" s="4">
        <f>IFERROR(__xludf.DUMMYFUNCTION("""COMPUTED_VALUE"""),75.0)</f>
        <v>75</v>
      </c>
      <c r="H4775" s="4">
        <f>IFERROR(__xludf.DUMMYFUNCTION("""COMPUTED_VALUE"""),1003.0)</f>
        <v>1003</v>
      </c>
      <c r="I4775" s="4">
        <f>IFERROR(__xludf.DUMMYFUNCTION("""COMPUTED_VALUE"""),409.0)</f>
        <v>409</v>
      </c>
      <c r="J4775" s="4">
        <f>IFERROR(__xludf.DUMMYFUNCTION("""COMPUTED_VALUE"""),80.0)</f>
        <v>80</v>
      </c>
      <c r="K4775" s="4">
        <f>IFERROR(__xludf.DUMMYFUNCTION("""COMPUTED_VALUE"""),107.0)</f>
        <v>107</v>
      </c>
      <c r="L4775" s="4">
        <f>IFERROR(__xludf.DUMMYFUNCTION("""COMPUTED_VALUE"""),0.435)</f>
        <v>0.435</v>
      </c>
      <c r="M4775" s="4"/>
      <c r="N4775" s="4">
        <f>IFERROR(__xludf.DUMMYFUNCTION("""COMPUTED_VALUE"""),0.694)</f>
        <v>0.694</v>
      </c>
      <c r="O4775" s="4">
        <f>IFERROR(__xludf.DUMMYFUNCTION("""COMPUTED_VALUE"""),13.4)</f>
        <v>13.4</v>
      </c>
      <c r="P4775" s="4">
        <f>IFERROR(__xludf.DUMMYFUNCTION("""COMPUTED_VALUE"""),5.5)</f>
        <v>5.5</v>
      </c>
      <c r="Q4775" s="4">
        <f>IFERROR(__xludf.DUMMYFUNCTION("""COMPUTED_VALUE"""),1.1)</f>
        <v>1.1</v>
      </c>
      <c r="R4775" s="4">
        <f>IFERROR(__xludf.DUMMYFUNCTION("""COMPUTED_VALUE"""),1.4)</f>
        <v>1.4</v>
      </c>
      <c r="S4775" s="4">
        <f>IFERROR(__xludf.DUMMYFUNCTION("""COMPUTED_VALUE"""),0.4)</f>
        <v>0.4</v>
      </c>
      <c r="T4775" s="4">
        <f>IFERROR(__xludf.DUMMYFUNCTION("""COMPUTED_VALUE"""),0.02)</f>
        <v>0.02</v>
      </c>
      <c r="U4775" s="4">
        <f>IFERROR(__xludf.DUMMYFUNCTION("""COMPUTED_VALUE"""),-2.4)</f>
        <v>-2.4</v>
      </c>
      <c r="V4775" s="4">
        <f>IFERROR(__xludf.DUMMYFUNCTION("""COMPUTED_VALUE"""),-0.1)</f>
        <v>-0.1</v>
      </c>
    </row>
    <row r="4776">
      <c r="A4776" s="4"/>
      <c r="B4776" s="4"/>
      <c r="C4776" s="4"/>
      <c r="D4776" s="4" t="str">
        <f>IFERROR(__xludf.DUMMYFUNCTION("""COMPUTED_VALUE"""),"Round 5")</f>
        <v>Round 5</v>
      </c>
      <c r="E4776" s="4"/>
      <c r="F4776" s="4"/>
      <c r="G4776" s="4" t="str">
        <f>IFERROR(__xludf.DUMMYFUNCTION("""COMPUTED_VALUE"""),"Totals")</f>
        <v>Totals</v>
      </c>
      <c r="H4776" s="4"/>
      <c r="I4776" s="4"/>
      <c r="J4776" s="4"/>
      <c r="K4776" s="4"/>
      <c r="L4776" s="4" t="str">
        <f>IFERROR(__xludf.DUMMYFUNCTION("""COMPUTED_VALUE"""),"Shooting")</f>
        <v>Shooting</v>
      </c>
      <c r="M4776" s="4"/>
      <c r="N4776" s="4"/>
      <c r="O4776" s="4" t="str">
        <f>IFERROR(__xludf.DUMMYFUNCTION("""COMPUTED_VALUE"""),"Per Game")</f>
        <v>Per Game</v>
      </c>
      <c r="P4776" s="4"/>
      <c r="Q4776" s="4"/>
      <c r="R4776" s="4"/>
      <c r="S4776" s="4" t="str">
        <f>IFERROR(__xludf.DUMMYFUNCTION("""COMPUTED_VALUE"""),"Advanced")</f>
        <v>Advanced</v>
      </c>
      <c r="T4776" s="4"/>
      <c r="U4776" s="4"/>
      <c r="V4776" s="4"/>
    </row>
    <row r="4777">
      <c r="A4777" s="4" t="str">
        <f>IFERROR(__xludf.DUMMYFUNCTION("""COMPUTED_VALUE"""),"Rk")</f>
        <v>Rk</v>
      </c>
      <c r="B4777" s="4" t="str">
        <f>IFERROR(__xludf.DUMMYFUNCTION("""COMPUTED_VALUE"""),"Pk")</f>
        <v>Pk</v>
      </c>
      <c r="C4777" s="4" t="str">
        <f>IFERROR(__xludf.DUMMYFUNCTION("""COMPUTED_VALUE"""),"Tm")</f>
        <v>Tm</v>
      </c>
      <c r="D4777" s="4" t="str">
        <f>IFERROR(__xludf.DUMMYFUNCTION("""COMPUTED_VALUE"""),"Player")</f>
        <v>Player</v>
      </c>
      <c r="E4777" s="4" t="str">
        <f>IFERROR(__xludf.DUMMYFUNCTION("""COMPUTED_VALUE"""),"College")</f>
        <v>College</v>
      </c>
      <c r="F4777" s="4" t="str">
        <f>IFERROR(__xludf.DUMMYFUNCTION("""COMPUTED_VALUE"""),"Yrs")</f>
        <v>Yrs</v>
      </c>
      <c r="G4777" s="4" t="str">
        <f>IFERROR(__xludf.DUMMYFUNCTION("""COMPUTED_VALUE"""),"G")</f>
        <v>G</v>
      </c>
      <c r="H4777" s="4" t="str">
        <f>IFERROR(__xludf.DUMMYFUNCTION("""COMPUTED_VALUE"""),"MP")</f>
        <v>MP</v>
      </c>
      <c r="I4777" s="4" t="str">
        <f>IFERROR(__xludf.DUMMYFUNCTION("""COMPUTED_VALUE"""),"PTS")</f>
        <v>PTS</v>
      </c>
      <c r="J4777" s="4" t="str">
        <f>IFERROR(__xludf.DUMMYFUNCTION("""COMPUTED_VALUE"""),"TRB")</f>
        <v>TRB</v>
      </c>
      <c r="K4777" s="4" t="str">
        <f>IFERROR(__xludf.DUMMYFUNCTION("""COMPUTED_VALUE"""),"AST")</f>
        <v>AST</v>
      </c>
      <c r="L4777" s="4" t="str">
        <f>IFERROR(__xludf.DUMMYFUNCTION("""COMPUTED_VALUE"""),"FG%")</f>
        <v>FG%</v>
      </c>
      <c r="M4777" s="4" t="str">
        <f>IFERROR(__xludf.DUMMYFUNCTION("""COMPUTED_VALUE"""),"3P%")</f>
        <v>3P%</v>
      </c>
      <c r="N4777" s="4" t="str">
        <f>IFERROR(__xludf.DUMMYFUNCTION("""COMPUTED_VALUE"""),"FT%")</f>
        <v>FT%</v>
      </c>
      <c r="O4777" s="4" t="str">
        <f>IFERROR(__xludf.DUMMYFUNCTION("""COMPUTED_VALUE"""),"MP")</f>
        <v>MP</v>
      </c>
      <c r="P4777" s="4" t="str">
        <f>IFERROR(__xludf.DUMMYFUNCTION("""COMPUTED_VALUE"""),"PTS")</f>
        <v>PTS</v>
      </c>
      <c r="Q4777" s="4" t="str">
        <f>IFERROR(__xludf.DUMMYFUNCTION("""COMPUTED_VALUE"""),"TRB")</f>
        <v>TRB</v>
      </c>
      <c r="R4777" s="4" t="str">
        <f>IFERROR(__xludf.DUMMYFUNCTION("""COMPUTED_VALUE"""),"AST")</f>
        <v>AST</v>
      </c>
      <c r="S4777" s="4" t="str">
        <f>IFERROR(__xludf.DUMMYFUNCTION("""COMPUTED_VALUE"""),"WS")</f>
        <v>WS</v>
      </c>
      <c r="T4777" s="4" t="str">
        <f>IFERROR(__xludf.DUMMYFUNCTION("""COMPUTED_VALUE"""),"WS/48")</f>
        <v>WS/48</v>
      </c>
      <c r="U4777" s="4" t="str">
        <f>IFERROR(__xludf.DUMMYFUNCTION("""COMPUTED_VALUE"""),"BPM")</f>
        <v>BPM</v>
      </c>
      <c r="V4777" s="4" t="str">
        <f>IFERROR(__xludf.DUMMYFUNCTION("""COMPUTED_VALUE"""),"VORP")</f>
        <v>VORP</v>
      </c>
    </row>
    <row r="4778">
      <c r="A4778" s="4">
        <f>IFERROR(__xludf.DUMMYFUNCTION("""COMPUTED_VALUE"""),89.0)</f>
        <v>89</v>
      </c>
      <c r="B4778" s="4">
        <f>IFERROR(__xludf.DUMMYFUNCTION("""COMPUTED_VALUE"""),89.0)</f>
        <v>89</v>
      </c>
      <c r="C4778" s="4" t="str">
        <f>IFERROR(__xludf.DUMMYFUNCTION("""COMPUTED_VALUE"""),"NJN")</f>
        <v>NJN</v>
      </c>
      <c r="D4778" s="4" t="str">
        <f>IFERROR(__xludf.DUMMYFUNCTION("""COMPUTED_VALUE"""),"Gerald Cunningham")</f>
        <v>Gerald Cunningham</v>
      </c>
      <c r="E4778" s="4" t="str">
        <f>IFERROR(__xludf.DUMMYFUNCTION("""COMPUTED_VALUE"""),"Kentucky State University")</f>
        <v>Kentucky State University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</row>
    <row r="4779">
      <c r="A4779" s="4">
        <f>IFERROR(__xludf.DUMMYFUNCTION("""COMPUTED_VALUE"""),90.0)</f>
        <v>90</v>
      </c>
      <c r="B4779" s="4">
        <f>IFERROR(__xludf.DUMMYFUNCTION("""COMPUTED_VALUE"""),90.0)</f>
        <v>90</v>
      </c>
      <c r="C4779" s="4" t="str">
        <f>IFERROR(__xludf.DUMMYFUNCTION("""COMPUTED_VALUE"""),"BUF")</f>
        <v>BUF</v>
      </c>
      <c r="D4779" s="4" t="str">
        <f>IFERROR(__xludf.DUMMYFUNCTION("""COMPUTED_VALUE"""),"Mike Hanley")</f>
        <v>Mike Hanley</v>
      </c>
      <c r="E4779" s="4" t="str">
        <f>IFERROR(__xludf.DUMMYFUNCTION("""COMPUTED_VALUE"""),"Niagara University")</f>
        <v>Niagara University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</row>
    <row r="4780">
      <c r="A4780" s="4">
        <f>IFERROR(__xludf.DUMMYFUNCTION("""COMPUTED_VALUE"""),91.0)</f>
        <v>91</v>
      </c>
      <c r="B4780" s="4">
        <f>IFERROR(__xludf.DUMMYFUNCTION("""COMPUTED_VALUE"""),91.0)</f>
        <v>91</v>
      </c>
      <c r="C4780" s="4" t="str">
        <f>IFERROR(__xludf.DUMMYFUNCTION("""COMPUTED_VALUE"""),"MIL")</f>
        <v>MIL</v>
      </c>
      <c r="D4780" s="4" t="str">
        <f>IFERROR(__xludf.DUMMYFUNCTION("""COMPUTED_VALUE"""),"Ron Norwood")</f>
        <v>Ron Norwood</v>
      </c>
      <c r="E4780" s="4" t="str">
        <f>IFERROR(__xludf.DUMMYFUNCTION("""COMPUTED_VALUE"""),"DePaul")</f>
        <v>DePaul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</row>
    <row r="4781">
      <c r="A4781" s="4">
        <f>IFERROR(__xludf.DUMMYFUNCTION("""COMPUTED_VALUE"""),92.0)</f>
        <v>92</v>
      </c>
      <c r="B4781" s="4">
        <f>IFERROR(__xludf.DUMMYFUNCTION("""COMPUTED_VALUE"""),92.0)</f>
        <v>92</v>
      </c>
      <c r="C4781" s="4" t="str">
        <f>IFERROR(__xludf.DUMMYFUNCTION("""COMPUTED_VALUE"""),"ATL")</f>
        <v>ATL</v>
      </c>
      <c r="D4781" s="4" t="str">
        <f>IFERROR(__xludf.DUMMYFUNCTION("""COMPUTED_VALUE"""),"Bill Gordon")</f>
        <v>Bill Gordon</v>
      </c>
      <c r="E4781" s="4" t="str">
        <f>IFERROR(__xludf.DUMMYFUNCTION("""COMPUTED_VALUE"""),"Chattanooga")</f>
        <v>Chattanooga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</row>
    <row r="4782">
      <c r="A4782" s="4">
        <f>IFERROR(__xludf.DUMMYFUNCTION("""COMPUTED_VALUE"""),93.0)</f>
        <v>93</v>
      </c>
      <c r="B4782" s="4">
        <f>IFERROR(__xludf.DUMMYFUNCTION("""COMPUTED_VALUE"""),93.0)</f>
        <v>93</v>
      </c>
      <c r="C4782" s="4" t="str">
        <f>IFERROR(__xludf.DUMMYFUNCTION("""COMPUTED_VALUE"""),"PHO")</f>
        <v>PHO</v>
      </c>
      <c r="D4782" s="4" t="str">
        <f>IFERROR(__xludf.DUMMYFUNCTION("""COMPUTED_VALUE"""),"Cecil Rellford")</f>
        <v>Cecil Rellford</v>
      </c>
      <c r="E4782" s="4" t="str">
        <f>IFERROR(__xludf.DUMMYFUNCTION("""COMPUTED_VALUE"""),"St. John's")</f>
        <v>St. John's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</row>
    <row r="4783">
      <c r="A4783" s="4">
        <f>IFERROR(__xludf.DUMMYFUNCTION("""COMPUTED_VALUE"""),94.0)</f>
        <v>94</v>
      </c>
      <c r="B4783" s="4">
        <f>IFERROR(__xludf.DUMMYFUNCTION("""COMPUTED_VALUE"""),94.0)</f>
        <v>94</v>
      </c>
      <c r="C4783" s="4" t="str">
        <f>IFERROR(__xludf.DUMMYFUNCTION("""COMPUTED_VALUE"""),"NOJ")</f>
        <v>NOJ</v>
      </c>
      <c r="D4783" s="4" t="str">
        <f>IFERROR(__xludf.DUMMYFUNCTION("""COMPUTED_VALUE"""),"Jim Grady")</f>
        <v>Jim Grady</v>
      </c>
      <c r="E4783" s="4" t="str">
        <f>IFERROR(__xludf.DUMMYFUNCTION("""COMPUTED_VALUE"""),"Gonzaga")</f>
        <v>Gonzaga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</row>
    <row r="4784">
      <c r="A4784" s="4">
        <f>IFERROR(__xludf.DUMMYFUNCTION("""COMPUTED_VALUE"""),95.0)</f>
        <v>95</v>
      </c>
      <c r="B4784" s="4">
        <f>IFERROR(__xludf.DUMMYFUNCTION("""COMPUTED_VALUE"""),95.0)</f>
        <v>95</v>
      </c>
      <c r="C4784" s="4" t="str">
        <f>IFERROR(__xludf.DUMMYFUNCTION("""COMPUTED_VALUE"""),"IND")</f>
        <v>IND</v>
      </c>
      <c r="D4784" s="4" t="str">
        <f>IFERROR(__xludf.DUMMYFUNCTION("""COMPUTED_VALUE"""),"Marvin Jackson")</f>
        <v>Marvin Jackson</v>
      </c>
      <c r="E4784" s="4" t="str">
        <f>IFERROR(__xludf.DUMMYFUNCTION("""COMPUTED_VALUE"""),"Prairie View A&amp;M University")</f>
        <v>Prairie View A&amp;M University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</row>
    <row r="4785">
      <c r="A4785" s="4">
        <f>IFERROR(__xludf.DUMMYFUNCTION("""COMPUTED_VALUE"""),96.0)</f>
        <v>96</v>
      </c>
      <c r="B4785" s="4">
        <f>IFERROR(__xludf.DUMMYFUNCTION("""COMPUTED_VALUE"""),96.0)</f>
        <v>96</v>
      </c>
      <c r="C4785" s="4" t="str">
        <f>IFERROR(__xludf.DUMMYFUNCTION("""COMPUTED_VALUE"""),"SEA")</f>
        <v>SEA</v>
      </c>
      <c r="D4785" s="4" t="str">
        <f>IFERROR(__xludf.DUMMYFUNCTION("""COMPUTED_VALUE"""),"Dale Haverman")</f>
        <v>Dale Haverman</v>
      </c>
      <c r="E4785" s="4" t="str">
        <f>IFERROR(__xludf.DUMMYFUNCTION("""COMPUTED_VALUE"""),"McKendree College")</f>
        <v>McKendree College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</row>
    <row r="4786">
      <c r="A4786" s="4">
        <f>IFERROR(__xludf.DUMMYFUNCTION("""COMPUTED_VALUE"""),97.0)</f>
        <v>97</v>
      </c>
      <c r="B4786" s="4">
        <f>IFERROR(__xludf.DUMMYFUNCTION("""COMPUTED_VALUE"""),97.0)</f>
        <v>97</v>
      </c>
      <c r="C4786" s="4" t="str">
        <f>IFERROR(__xludf.DUMMYFUNCTION("""COMPUTED_VALUE"""),"KCK")</f>
        <v>KCK</v>
      </c>
      <c r="D4786" s="4" t="str">
        <f>IFERROR(__xludf.DUMMYFUNCTION("""COMPUTED_VALUE"""),"Bob Chapman")</f>
        <v>Bob Chapman</v>
      </c>
      <c r="E4786" s="4" t="str">
        <f>IFERROR(__xludf.DUMMYFUNCTION("""COMPUTED_VALUE"""),"Michigan State")</f>
        <v>Michigan State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</row>
    <row r="4787">
      <c r="A4787" s="4">
        <f>IFERROR(__xludf.DUMMYFUNCTION("""COMPUTED_VALUE"""),98.0)</f>
        <v>98</v>
      </c>
      <c r="B4787" s="4">
        <f>IFERROR(__xludf.DUMMYFUNCTION("""COMPUTED_VALUE"""),98.0)</f>
        <v>98</v>
      </c>
      <c r="C4787" s="4" t="str">
        <f>IFERROR(__xludf.DUMMYFUNCTION("""COMPUTED_VALUE"""),"NYK")</f>
        <v>NYK</v>
      </c>
      <c r="D4787" s="4" t="str">
        <f>IFERROR(__xludf.DUMMYFUNCTION("""COMPUTED_VALUE"""),"Bill Terry")</f>
        <v>Bill Terry</v>
      </c>
      <c r="E4787" s="4" t="str">
        <f>IFERROR(__xludf.DUMMYFUNCTION("""COMPUTED_VALUE"""),"Monmouth University")</f>
        <v>Monmouth University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</row>
    <row r="4788">
      <c r="A4788" s="4">
        <f>IFERROR(__xludf.DUMMYFUNCTION("""COMPUTED_VALUE"""),99.0)</f>
        <v>99</v>
      </c>
      <c r="B4788" s="4">
        <f>IFERROR(__xludf.DUMMYFUNCTION("""COMPUTED_VALUE"""),99.0)</f>
        <v>99</v>
      </c>
      <c r="C4788" s="4" t="str">
        <f>IFERROR(__xludf.DUMMYFUNCTION("""COMPUTED_VALUE"""),"CLE")</f>
        <v>CLE</v>
      </c>
      <c r="D4788" s="4" t="str">
        <f>IFERROR(__xludf.DUMMYFUNCTION("""COMPUTED_VALUE"""),"Al Smith")</f>
        <v>Al Smith</v>
      </c>
      <c r="E4788" s="4" t="str">
        <f>IFERROR(__xludf.DUMMYFUNCTION("""COMPUTED_VALUE"""),"Jackson State University")</f>
        <v>Jackson State University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</row>
    <row r="4789">
      <c r="A4789" s="4">
        <f>IFERROR(__xludf.DUMMYFUNCTION("""COMPUTED_VALUE"""),100.0)</f>
        <v>100</v>
      </c>
      <c r="B4789" s="4">
        <f>IFERROR(__xludf.DUMMYFUNCTION("""COMPUTED_VALUE"""),100.0)</f>
        <v>100</v>
      </c>
      <c r="C4789" s="4" t="str">
        <f>IFERROR(__xludf.DUMMYFUNCTION("""COMPUTED_VALUE"""),"BOS")</f>
        <v>BOS</v>
      </c>
      <c r="D4789" s="4" t="str">
        <f>IFERROR(__xludf.DUMMYFUNCTION("""COMPUTED_VALUE"""),"Bill Langloh")</f>
        <v>Bill Langloh</v>
      </c>
      <c r="E4789" s="4" t="str">
        <f>IFERROR(__xludf.DUMMYFUNCTION("""COMPUTED_VALUE"""),"Virginia")</f>
        <v>Virginia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</row>
    <row r="4790">
      <c r="A4790" s="4">
        <f>IFERROR(__xludf.DUMMYFUNCTION("""COMPUTED_VALUE"""),101.0)</f>
        <v>101</v>
      </c>
      <c r="B4790" s="4">
        <f>IFERROR(__xludf.DUMMYFUNCTION("""COMPUTED_VALUE"""),101.0)</f>
        <v>101</v>
      </c>
      <c r="C4790" s="4" t="str">
        <f>IFERROR(__xludf.DUMMYFUNCTION("""COMPUTED_VALUE"""),"CHI")</f>
        <v>CHI</v>
      </c>
      <c r="D4790" s="4" t="str">
        <f>IFERROR(__xludf.DUMMYFUNCTION("""COMPUTED_VALUE"""),"Nate Davis")</f>
        <v>Nate Davis</v>
      </c>
      <c r="E4790" s="4" t="str">
        <f>IFERROR(__xludf.DUMMYFUNCTION("""COMPUTED_VALUE"""),"South Carolina")</f>
        <v>South Carolina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</row>
    <row r="4791">
      <c r="A4791" s="4">
        <f>IFERROR(__xludf.DUMMYFUNCTION("""COMPUTED_VALUE"""),102.0)</f>
        <v>102</v>
      </c>
      <c r="B4791" s="4">
        <f>IFERROR(__xludf.DUMMYFUNCTION("""COMPUTED_VALUE"""),102.0)</f>
        <v>102</v>
      </c>
      <c r="C4791" s="4" t="str">
        <f>IFERROR(__xludf.DUMMYFUNCTION("""COMPUTED_VALUE"""),"DET")</f>
        <v>DET</v>
      </c>
      <c r="D4791" s="4" t="str">
        <f>IFERROR(__xludf.DUMMYFUNCTION("""COMPUTED_VALUE"""),"Jim Kennedy")</f>
        <v>Jim Kennedy</v>
      </c>
      <c r="E4791" s="4" t="str">
        <f>IFERROR(__xludf.DUMMYFUNCTION("""COMPUTED_VALUE"""),"Missouri")</f>
        <v>Missouri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</row>
    <row r="4792">
      <c r="A4792" s="4">
        <f>IFERROR(__xludf.DUMMYFUNCTION("""COMPUTED_VALUE"""),103.0)</f>
        <v>103</v>
      </c>
      <c r="B4792" s="4">
        <f>IFERROR(__xludf.DUMMYFUNCTION("""COMPUTED_VALUE"""),103.0)</f>
        <v>103</v>
      </c>
      <c r="C4792" s="4" t="str">
        <f>IFERROR(__xludf.DUMMYFUNCTION("""COMPUTED_VALUE"""),"SAS")</f>
        <v>SAS</v>
      </c>
      <c r="D4792" s="4" t="str">
        <f>IFERROR(__xludf.DUMMYFUNCTION("""COMPUTED_VALUE"""),"Scott Sims")</f>
        <v>Scott Sims</v>
      </c>
      <c r="E4792" s="4" t="str">
        <f>IFERROR(__xludf.DUMMYFUNCTION("""COMPUTED_VALUE"""),"Missouri")</f>
        <v>Missouri</v>
      </c>
      <c r="F4792" s="4">
        <f>IFERROR(__xludf.DUMMYFUNCTION("""COMPUTED_VALUE"""),1.0)</f>
        <v>1</v>
      </c>
      <c r="G4792" s="4">
        <f>IFERROR(__xludf.DUMMYFUNCTION("""COMPUTED_VALUE"""),12.0)</f>
        <v>12</v>
      </c>
      <c r="H4792" s="4">
        <f>IFERROR(__xludf.DUMMYFUNCTION("""COMPUTED_VALUE"""),95.0)</f>
        <v>95</v>
      </c>
      <c r="I4792" s="4">
        <f>IFERROR(__xludf.DUMMYFUNCTION("""COMPUTED_VALUE"""),30.0)</f>
        <v>30</v>
      </c>
      <c r="J4792" s="4">
        <f>IFERROR(__xludf.DUMMYFUNCTION("""COMPUTED_VALUE"""),13.0)</f>
        <v>13</v>
      </c>
      <c r="K4792" s="4">
        <f>IFERROR(__xludf.DUMMYFUNCTION("""COMPUTED_VALUE"""),20.0)</f>
        <v>20</v>
      </c>
      <c r="L4792" s="4">
        <f>IFERROR(__xludf.DUMMYFUNCTION("""COMPUTED_VALUE"""),0.385)</f>
        <v>0.385</v>
      </c>
      <c r="M4792" s="4"/>
      <c r="N4792" s="4">
        <f>IFERROR(__xludf.DUMMYFUNCTION("""COMPUTED_VALUE"""),0.667)</f>
        <v>0.667</v>
      </c>
      <c r="O4792" s="4">
        <f>IFERROR(__xludf.DUMMYFUNCTION("""COMPUTED_VALUE"""),7.9)</f>
        <v>7.9</v>
      </c>
      <c r="P4792" s="4">
        <f>IFERROR(__xludf.DUMMYFUNCTION("""COMPUTED_VALUE"""),2.5)</f>
        <v>2.5</v>
      </c>
      <c r="Q4792" s="4">
        <f>IFERROR(__xludf.DUMMYFUNCTION("""COMPUTED_VALUE"""),1.1)</f>
        <v>1.1</v>
      </c>
      <c r="R4792" s="4">
        <f>IFERROR(__xludf.DUMMYFUNCTION("""COMPUTED_VALUE"""),1.7)</f>
        <v>1.7</v>
      </c>
      <c r="S4792" s="4">
        <f>IFERROR(__xludf.DUMMYFUNCTION("""COMPUTED_VALUE"""),-0.2)</f>
        <v>-0.2</v>
      </c>
      <c r="T4792" s="4">
        <f>IFERROR(__xludf.DUMMYFUNCTION("""COMPUTED_VALUE"""),-0.088)</f>
        <v>-0.088</v>
      </c>
      <c r="U4792" s="4">
        <f>IFERROR(__xludf.DUMMYFUNCTION("""COMPUTED_VALUE"""),-5.7)</f>
        <v>-5.7</v>
      </c>
      <c r="V4792" s="4">
        <f>IFERROR(__xludf.DUMMYFUNCTION("""COMPUTED_VALUE"""),-0.1)</f>
        <v>-0.1</v>
      </c>
    </row>
    <row r="4793">
      <c r="A4793" s="4">
        <f>IFERROR(__xludf.DUMMYFUNCTION("""COMPUTED_VALUE"""),104.0)</f>
        <v>104</v>
      </c>
      <c r="B4793" s="4">
        <f>IFERROR(__xludf.DUMMYFUNCTION("""COMPUTED_VALUE"""),104.0)</f>
        <v>104</v>
      </c>
      <c r="C4793" s="4" t="str">
        <f>IFERROR(__xludf.DUMMYFUNCTION("""COMPUTED_VALUE"""),"GSW")</f>
        <v>GSW</v>
      </c>
      <c r="D4793" s="4" t="str">
        <f>IFERROR(__xludf.DUMMYFUNCTION("""COMPUTED_VALUE"""),"Ray Epps")</f>
        <v>Ray Epps</v>
      </c>
      <c r="E4793" s="4" t="str">
        <f>IFERROR(__xludf.DUMMYFUNCTION("""COMPUTED_VALUE"""),"Norfolk State")</f>
        <v>Norfolk State</v>
      </c>
      <c r="F4793" s="4">
        <f>IFERROR(__xludf.DUMMYFUNCTION("""COMPUTED_VALUE"""),1.0)</f>
        <v>1</v>
      </c>
      <c r="G4793" s="4">
        <f>IFERROR(__xludf.DUMMYFUNCTION("""COMPUTED_VALUE"""),13.0)</f>
        <v>13</v>
      </c>
      <c r="H4793" s="4">
        <f>IFERROR(__xludf.DUMMYFUNCTION("""COMPUTED_VALUE"""),72.0)</f>
        <v>72</v>
      </c>
      <c r="I4793" s="4">
        <f>IFERROR(__xludf.DUMMYFUNCTION("""COMPUTED_VALUE"""),26.0)</f>
        <v>26</v>
      </c>
      <c r="J4793" s="4">
        <f>IFERROR(__xludf.DUMMYFUNCTION("""COMPUTED_VALUE"""),5.0)</f>
        <v>5</v>
      </c>
      <c r="K4793" s="4">
        <f>IFERROR(__xludf.DUMMYFUNCTION("""COMPUTED_VALUE"""),2.0)</f>
        <v>2</v>
      </c>
      <c r="L4793" s="4">
        <f>IFERROR(__xludf.DUMMYFUNCTION("""COMPUTED_VALUE"""),0.435)</f>
        <v>0.435</v>
      </c>
      <c r="M4793" s="4"/>
      <c r="N4793" s="4">
        <f>IFERROR(__xludf.DUMMYFUNCTION("""COMPUTED_VALUE"""),0.75)</f>
        <v>0.75</v>
      </c>
      <c r="O4793" s="4">
        <f>IFERROR(__xludf.DUMMYFUNCTION("""COMPUTED_VALUE"""),5.5)</f>
        <v>5.5</v>
      </c>
      <c r="P4793" s="4">
        <f>IFERROR(__xludf.DUMMYFUNCTION("""COMPUTED_VALUE"""),2.0)</f>
        <v>2</v>
      </c>
      <c r="Q4793" s="4">
        <f>IFERROR(__xludf.DUMMYFUNCTION("""COMPUTED_VALUE"""),0.4)</f>
        <v>0.4</v>
      </c>
      <c r="R4793" s="4">
        <f>IFERROR(__xludf.DUMMYFUNCTION("""COMPUTED_VALUE"""),0.2)</f>
        <v>0.2</v>
      </c>
      <c r="S4793" s="4">
        <f>IFERROR(__xludf.DUMMYFUNCTION("""COMPUTED_VALUE"""),0.1)</f>
        <v>0.1</v>
      </c>
      <c r="T4793" s="4">
        <f>IFERROR(__xludf.DUMMYFUNCTION("""COMPUTED_VALUE"""),0.057)</f>
        <v>0.057</v>
      </c>
      <c r="U4793" s="4">
        <f>IFERROR(__xludf.DUMMYFUNCTION("""COMPUTED_VALUE"""),-4.2)</f>
        <v>-4.2</v>
      </c>
      <c r="V4793" s="4">
        <f>IFERROR(__xludf.DUMMYFUNCTION("""COMPUTED_VALUE"""),0.0)</f>
        <v>0</v>
      </c>
    </row>
    <row r="4794">
      <c r="A4794" s="4">
        <f>IFERROR(__xludf.DUMMYFUNCTION("""COMPUTED_VALUE"""),105.0)</f>
        <v>105</v>
      </c>
      <c r="B4794" s="4">
        <f>IFERROR(__xludf.DUMMYFUNCTION("""COMPUTED_VALUE"""),105.0)</f>
        <v>105</v>
      </c>
      <c r="C4794" s="4" t="str">
        <f>IFERROR(__xludf.DUMMYFUNCTION("""COMPUTED_VALUE"""),"WSB")</f>
        <v>WSB</v>
      </c>
      <c r="D4794" s="4" t="str">
        <f>IFERROR(__xludf.DUMMYFUNCTION("""COMPUTED_VALUE"""),"Bruce Parkinson")</f>
        <v>Bruce Parkinson</v>
      </c>
      <c r="E4794" s="4" t="str">
        <f>IFERROR(__xludf.DUMMYFUNCTION("""COMPUTED_VALUE"""),"Purdue")</f>
        <v>Purdue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</row>
    <row r="4795">
      <c r="A4795" s="4">
        <f>IFERROR(__xludf.DUMMYFUNCTION("""COMPUTED_VALUE"""),106.0)</f>
        <v>106</v>
      </c>
      <c r="B4795" s="4">
        <f>IFERROR(__xludf.DUMMYFUNCTION("""COMPUTED_VALUE"""),106.0)</f>
        <v>106</v>
      </c>
      <c r="C4795" s="4" t="str">
        <f>IFERROR(__xludf.DUMMYFUNCTION("""COMPUTED_VALUE"""),"HOU")</f>
        <v>HOU</v>
      </c>
      <c r="D4795" s="4" t="str">
        <f>IFERROR(__xludf.DUMMYFUNCTION("""COMPUTED_VALUE"""),"Ed Thompson")</f>
        <v>Ed Thompson</v>
      </c>
      <c r="E4795" s="4" t="str">
        <f>IFERROR(__xludf.DUMMYFUNCTION("""COMPUTED_VALUE"""),"Idaho State University")</f>
        <v>Idaho State University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</row>
    <row r="4796">
      <c r="A4796" s="4">
        <f>IFERROR(__xludf.DUMMYFUNCTION("""COMPUTED_VALUE"""),107.0)</f>
        <v>107</v>
      </c>
      <c r="B4796" s="4">
        <f>IFERROR(__xludf.DUMMYFUNCTION("""COMPUTED_VALUE"""),107.0)</f>
        <v>107</v>
      </c>
      <c r="C4796" s="4" t="str">
        <f>IFERROR(__xludf.DUMMYFUNCTION("""COMPUTED_VALUE"""),"POR")</f>
        <v>POR</v>
      </c>
      <c r="D4796" s="4" t="str">
        <f>IFERROR(__xludf.DUMMYFUNCTION("""COMPUTED_VALUE"""),"Donn Wilber")</f>
        <v>Donn Wilber</v>
      </c>
      <c r="E4796" s="4" t="str">
        <f>IFERROR(__xludf.DUMMYFUNCTION("""COMPUTED_VALUE"""),"La Salle")</f>
        <v>La Salle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</row>
    <row r="4797">
      <c r="A4797" s="4">
        <f>IFERROR(__xludf.DUMMYFUNCTION("""COMPUTED_VALUE"""),108.0)</f>
        <v>108</v>
      </c>
      <c r="B4797" s="4">
        <f>IFERROR(__xludf.DUMMYFUNCTION("""COMPUTED_VALUE"""),108.0)</f>
        <v>108</v>
      </c>
      <c r="C4797" s="4" t="str">
        <f>IFERROR(__xludf.DUMMYFUNCTION("""COMPUTED_VALUE"""),"PHI")</f>
        <v>PHI</v>
      </c>
      <c r="D4797" s="4" t="str">
        <f>IFERROR(__xludf.DUMMYFUNCTION("""COMPUTED_VALUE"""),"Teko Wynder")</f>
        <v>Teko Wynder</v>
      </c>
      <c r="E4797" s="4" t="str">
        <f>IFERROR(__xludf.DUMMYFUNCTION("""COMPUTED_VALUE"""),"Tulsa")</f>
        <v>Tulsa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</row>
    <row r="4798">
      <c r="A4798" s="4">
        <f>IFERROR(__xludf.DUMMYFUNCTION("""COMPUTED_VALUE"""),109.0)</f>
        <v>109</v>
      </c>
      <c r="B4798" s="4">
        <f>IFERROR(__xludf.DUMMYFUNCTION("""COMPUTED_VALUE"""),109.0)</f>
        <v>109</v>
      </c>
      <c r="C4798" s="4" t="str">
        <f>IFERROR(__xludf.DUMMYFUNCTION("""COMPUTED_VALUE"""),"DEN")</f>
        <v>DEN</v>
      </c>
      <c r="D4798" s="4" t="str">
        <f>IFERROR(__xludf.DUMMYFUNCTION("""COMPUTED_VALUE"""),"John Billips")</f>
        <v>John Billips</v>
      </c>
      <c r="E4798" s="4" t="str">
        <f>IFERROR(__xludf.DUMMYFUNCTION("""COMPUTED_VALUE"""),"Ole Miss")</f>
        <v>Ole Miss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</row>
    <row r="4799">
      <c r="A4799" s="4">
        <f>IFERROR(__xludf.DUMMYFUNCTION("""COMPUTED_VALUE"""),110.0)</f>
        <v>110</v>
      </c>
      <c r="B4799" s="4">
        <f>IFERROR(__xludf.DUMMYFUNCTION("""COMPUTED_VALUE"""),110.0)</f>
        <v>110</v>
      </c>
      <c r="C4799" s="4" t="str">
        <f>IFERROR(__xludf.DUMMYFUNCTION("""COMPUTED_VALUE"""),"LAL")</f>
        <v>LAL</v>
      </c>
      <c r="D4799" s="4" t="str">
        <f>IFERROR(__xludf.DUMMYFUNCTION("""COMPUTED_VALUE"""),"John Robinson")</f>
        <v>John Robinson</v>
      </c>
      <c r="E4799" s="4" t="str">
        <f>IFERROR(__xludf.DUMMYFUNCTION("""COMPUTED_VALUE"""),"Michigan")</f>
        <v>Michigan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</row>
    <row r="4800">
      <c r="A4800" s="4"/>
      <c r="B4800" s="4"/>
      <c r="C4800" s="4"/>
      <c r="D4800" s="4" t="str">
        <f>IFERROR(__xludf.DUMMYFUNCTION("""COMPUTED_VALUE"""),"Round 6")</f>
        <v>Round 6</v>
      </c>
      <c r="E4800" s="4"/>
      <c r="F4800" s="4"/>
      <c r="G4800" s="4" t="str">
        <f>IFERROR(__xludf.DUMMYFUNCTION("""COMPUTED_VALUE"""),"Totals")</f>
        <v>Totals</v>
      </c>
      <c r="H4800" s="4"/>
      <c r="I4800" s="4"/>
      <c r="J4800" s="4"/>
      <c r="K4800" s="4"/>
      <c r="L4800" s="4" t="str">
        <f>IFERROR(__xludf.DUMMYFUNCTION("""COMPUTED_VALUE"""),"Shooting")</f>
        <v>Shooting</v>
      </c>
      <c r="M4800" s="4"/>
      <c r="N4800" s="4"/>
      <c r="O4800" s="4" t="str">
        <f>IFERROR(__xludf.DUMMYFUNCTION("""COMPUTED_VALUE"""),"Per Game")</f>
        <v>Per Game</v>
      </c>
      <c r="P4800" s="4"/>
      <c r="Q4800" s="4"/>
      <c r="R4800" s="4"/>
      <c r="S4800" s="4" t="str">
        <f>IFERROR(__xludf.DUMMYFUNCTION("""COMPUTED_VALUE"""),"Advanced")</f>
        <v>Advanced</v>
      </c>
      <c r="T4800" s="4"/>
      <c r="U4800" s="4"/>
      <c r="V4800" s="4"/>
    </row>
    <row r="4801">
      <c r="A4801" s="4" t="str">
        <f>IFERROR(__xludf.DUMMYFUNCTION("""COMPUTED_VALUE"""),"Rk")</f>
        <v>Rk</v>
      </c>
      <c r="B4801" s="4" t="str">
        <f>IFERROR(__xludf.DUMMYFUNCTION("""COMPUTED_VALUE"""),"Pk")</f>
        <v>Pk</v>
      </c>
      <c r="C4801" s="4" t="str">
        <f>IFERROR(__xludf.DUMMYFUNCTION("""COMPUTED_VALUE"""),"Tm")</f>
        <v>Tm</v>
      </c>
      <c r="D4801" s="4" t="str">
        <f>IFERROR(__xludf.DUMMYFUNCTION("""COMPUTED_VALUE"""),"Player")</f>
        <v>Player</v>
      </c>
      <c r="E4801" s="4" t="str">
        <f>IFERROR(__xludf.DUMMYFUNCTION("""COMPUTED_VALUE"""),"College")</f>
        <v>College</v>
      </c>
      <c r="F4801" s="4" t="str">
        <f>IFERROR(__xludf.DUMMYFUNCTION("""COMPUTED_VALUE"""),"Yrs")</f>
        <v>Yrs</v>
      </c>
      <c r="G4801" s="4" t="str">
        <f>IFERROR(__xludf.DUMMYFUNCTION("""COMPUTED_VALUE"""),"G")</f>
        <v>G</v>
      </c>
      <c r="H4801" s="4" t="str">
        <f>IFERROR(__xludf.DUMMYFUNCTION("""COMPUTED_VALUE"""),"MP")</f>
        <v>MP</v>
      </c>
      <c r="I4801" s="4" t="str">
        <f>IFERROR(__xludf.DUMMYFUNCTION("""COMPUTED_VALUE"""),"PTS")</f>
        <v>PTS</v>
      </c>
      <c r="J4801" s="4" t="str">
        <f>IFERROR(__xludf.DUMMYFUNCTION("""COMPUTED_VALUE"""),"TRB")</f>
        <v>TRB</v>
      </c>
      <c r="K4801" s="4" t="str">
        <f>IFERROR(__xludf.DUMMYFUNCTION("""COMPUTED_VALUE"""),"AST")</f>
        <v>AST</v>
      </c>
      <c r="L4801" s="4" t="str">
        <f>IFERROR(__xludf.DUMMYFUNCTION("""COMPUTED_VALUE"""),"FG%")</f>
        <v>FG%</v>
      </c>
      <c r="M4801" s="4" t="str">
        <f>IFERROR(__xludf.DUMMYFUNCTION("""COMPUTED_VALUE"""),"3P%")</f>
        <v>3P%</v>
      </c>
      <c r="N4801" s="4" t="str">
        <f>IFERROR(__xludf.DUMMYFUNCTION("""COMPUTED_VALUE"""),"FT%")</f>
        <v>FT%</v>
      </c>
      <c r="O4801" s="4" t="str">
        <f>IFERROR(__xludf.DUMMYFUNCTION("""COMPUTED_VALUE"""),"MP")</f>
        <v>MP</v>
      </c>
      <c r="P4801" s="4" t="str">
        <f>IFERROR(__xludf.DUMMYFUNCTION("""COMPUTED_VALUE"""),"PTS")</f>
        <v>PTS</v>
      </c>
      <c r="Q4801" s="4" t="str">
        <f>IFERROR(__xludf.DUMMYFUNCTION("""COMPUTED_VALUE"""),"TRB")</f>
        <v>TRB</v>
      </c>
      <c r="R4801" s="4" t="str">
        <f>IFERROR(__xludf.DUMMYFUNCTION("""COMPUTED_VALUE"""),"AST")</f>
        <v>AST</v>
      </c>
      <c r="S4801" s="4" t="str">
        <f>IFERROR(__xludf.DUMMYFUNCTION("""COMPUTED_VALUE"""),"WS")</f>
        <v>WS</v>
      </c>
      <c r="T4801" s="4" t="str">
        <f>IFERROR(__xludf.DUMMYFUNCTION("""COMPUTED_VALUE"""),"WS/48")</f>
        <v>WS/48</v>
      </c>
      <c r="U4801" s="4" t="str">
        <f>IFERROR(__xludf.DUMMYFUNCTION("""COMPUTED_VALUE"""),"BPM")</f>
        <v>BPM</v>
      </c>
      <c r="V4801" s="4" t="str">
        <f>IFERROR(__xludf.DUMMYFUNCTION("""COMPUTED_VALUE"""),"VORP")</f>
        <v>VORP</v>
      </c>
    </row>
    <row r="4802">
      <c r="A4802" s="4">
        <f>IFERROR(__xludf.DUMMYFUNCTION("""COMPUTED_VALUE"""),111.0)</f>
        <v>111</v>
      </c>
      <c r="B4802" s="4">
        <f>IFERROR(__xludf.DUMMYFUNCTION("""COMPUTED_VALUE"""),111.0)</f>
        <v>111</v>
      </c>
      <c r="C4802" s="4" t="str">
        <f>IFERROR(__xludf.DUMMYFUNCTION("""COMPUTED_VALUE"""),"NJN")</f>
        <v>NJN</v>
      </c>
      <c r="D4802" s="4" t="str">
        <f>IFERROR(__xludf.DUMMYFUNCTION("""COMPUTED_VALUE"""),"Mark Crow")</f>
        <v>Mark Crow</v>
      </c>
      <c r="E4802" s="4" t="str">
        <f>IFERROR(__xludf.DUMMYFUNCTION("""COMPUTED_VALUE"""),"Duke")</f>
        <v>Duke</v>
      </c>
      <c r="F4802" s="4">
        <f>IFERROR(__xludf.DUMMYFUNCTION("""COMPUTED_VALUE"""),1.0)</f>
        <v>1</v>
      </c>
      <c r="G4802" s="4">
        <f>IFERROR(__xludf.DUMMYFUNCTION("""COMPUTED_VALUE"""),15.0)</f>
        <v>15</v>
      </c>
      <c r="H4802" s="4">
        <f>IFERROR(__xludf.DUMMYFUNCTION("""COMPUTED_VALUE"""),154.0)</f>
        <v>154</v>
      </c>
      <c r="I4802" s="4">
        <f>IFERROR(__xludf.DUMMYFUNCTION("""COMPUTED_VALUE"""),84.0)</f>
        <v>84</v>
      </c>
      <c r="J4802" s="4">
        <f>IFERROR(__xludf.DUMMYFUNCTION("""COMPUTED_VALUE"""),27.0)</f>
        <v>27</v>
      </c>
      <c r="K4802" s="4">
        <f>IFERROR(__xludf.DUMMYFUNCTION("""COMPUTED_VALUE"""),8.0)</f>
        <v>8</v>
      </c>
      <c r="L4802" s="4">
        <f>IFERROR(__xludf.DUMMYFUNCTION("""COMPUTED_VALUE"""),0.438)</f>
        <v>0.438</v>
      </c>
      <c r="M4802" s="4"/>
      <c r="N4802" s="4">
        <f>IFERROR(__xludf.DUMMYFUNCTION("""COMPUTED_VALUE"""),0.7)</f>
        <v>0.7</v>
      </c>
      <c r="O4802" s="4">
        <f>IFERROR(__xludf.DUMMYFUNCTION("""COMPUTED_VALUE"""),10.3)</f>
        <v>10.3</v>
      </c>
      <c r="P4802" s="4">
        <f>IFERROR(__xludf.DUMMYFUNCTION("""COMPUTED_VALUE"""),5.6)</f>
        <v>5.6</v>
      </c>
      <c r="Q4802" s="4">
        <f>IFERROR(__xludf.DUMMYFUNCTION("""COMPUTED_VALUE"""),1.8)</f>
        <v>1.8</v>
      </c>
      <c r="R4802" s="4">
        <f>IFERROR(__xludf.DUMMYFUNCTION("""COMPUTED_VALUE"""),0.5)</f>
        <v>0.5</v>
      </c>
      <c r="S4802" s="4">
        <f>IFERROR(__xludf.DUMMYFUNCTION("""COMPUTED_VALUE"""),0.2)</f>
        <v>0.2</v>
      </c>
      <c r="T4802" s="4">
        <f>IFERROR(__xludf.DUMMYFUNCTION("""COMPUTED_VALUE"""),0.051)</f>
        <v>0.051</v>
      </c>
      <c r="U4802" s="4">
        <f>IFERROR(__xludf.DUMMYFUNCTION("""COMPUTED_VALUE"""),-3.2)</f>
        <v>-3.2</v>
      </c>
      <c r="V4802" s="4">
        <f>IFERROR(__xludf.DUMMYFUNCTION("""COMPUTED_VALUE"""),0.0)</f>
        <v>0</v>
      </c>
    </row>
    <row r="4803">
      <c r="A4803" s="4">
        <f>IFERROR(__xludf.DUMMYFUNCTION("""COMPUTED_VALUE"""),112.0)</f>
        <v>112</v>
      </c>
      <c r="B4803" s="4">
        <f>IFERROR(__xludf.DUMMYFUNCTION("""COMPUTED_VALUE"""),112.0)</f>
        <v>112</v>
      </c>
      <c r="C4803" s="4" t="str">
        <f>IFERROR(__xludf.DUMMYFUNCTION("""COMPUTED_VALUE"""),"BUF")</f>
        <v>BUF</v>
      </c>
      <c r="D4803" s="4" t="str">
        <f>IFERROR(__xludf.DUMMYFUNCTION("""COMPUTED_VALUE"""),"Curvan Lewis")</f>
        <v>Curvan Lewis</v>
      </c>
      <c r="E4803" s="4" t="str">
        <f>IFERROR(__xludf.DUMMYFUNCTION("""COMPUTED_VALUE"""),"Virginia Union University")</f>
        <v>Virginia Union University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</row>
    <row r="4804">
      <c r="A4804" s="4">
        <f>IFERROR(__xludf.DUMMYFUNCTION("""COMPUTED_VALUE"""),113.0)</f>
        <v>113</v>
      </c>
      <c r="B4804" s="4">
        <f>IFERROR(__xludf.DUMMYFUNCTION("""COMPUTED_VALUE"""),113.0)</f>
        <v>113</v>
      </c>
      <c r="C4804" s="4" t="str">
        <f>IFERROR(__xludf.DUMMYFUNCTION("""COMPUTED_VALUE"""),"MIL")</f>
        <v>MIL</v>
      </c>
      <c r="D4804" s="4" t="str">
        <f>IFERROR(__xludf.DUMMYFUNCTION("""COMPUTED_VALUE"""),"Chuck Goodyear")</f>
        <v>Chuck Goodyear</v>
      </c>
      <c r="E4804" s="4" t="str">
        <f>IFERROR(__xludf.DUMMYFUNCTION("""COMPUTED_VALUE"""),"Miami University")</f>
        <v>Miami University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</row>
    <row r="4805">
      <c r="A4805" s="4">
        <f>IFERROR(__xludf.DUMMYFUNCTION("""COMPUTED_VALUE"""),114.0)</f>
        <v>114</v>
      </c>
      <c r="B4805" s="4">
        <f>IFERROR(__xludf.DUMMYFUNCTION("""COMPUTED_VALUE"""),114.0)</f>
        <v>114</v>
      </c>
      <c r="C4805" s="4" t="str">
        <f>IFERROR(__xludf.DUMMYFUNCTION("""COMPUTED_VALUE"""),"ATL")</f>
        <v>ATL</v>
      </c>
      <c r="D4805" s="4" t="str">
        <f>IFERROR(__xludf.DUMMYFUNCTION("""COMPUTED_VALUE"""),"Calvin Crews")</f>
        <v>Calvin Crews</v>
      </c>
      <c r="E4805" s="4" t="str">
        <f>IFERROR(__xludf.DUMMYFUNCTION("""COMPUTED_VALUE"""),"Louisiana")</f>
        <v>Louisiana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</row>
    <row r="4806">
      <c r="A4806" s="4">
        <f>IFERROR(__xludf.DUMMYFUNCTION("""COMPUTED_VALUE"""),115.0)</f>
        <v>115</v>
      </c>
      <c r="B4806" s="4">
        <f>IFERROR(__xludf.DUMMYFUNCTION("""COMPUTED_VALUE"""),115.0)</f>
        <v>115</v>
      </c>
      <c r="C4806" s="4" t="str">
        <f>IFERROR(__xludf.DUMMYFUNCTION("""COMPUTED_VALUE"""),"PHO")</f>
        <v>PHO</v>
      </c>
      <c r="D4806" s="4" t="str">
        <f>IFERROR(__xludf.DUMMYFUNCTION("""COMPUTED_VALUE"""),"Billy McKinney")</f>
        <v>Billy McKinney</v>
      </c>
      <c r="E4806" s="4" t="str">
        <f>IFERROR(__xludf.DUMMYFUNCTION("""COMPUTED_VALUE"""),"Northwestern")</f>
        <v>Northwestern</v>
      </c>
      <c r="F4806" s="4">
        <f>IFERROR(__xludf.DUMMYFUNCTION("""COMPUTED_VALUE"""),7.0)</f>
        <v>7</v>
      </c>
      <c r="G4806" s="4">
        <f>IFERROR(__xludf.DUMMYFUNCTION("""COMPUTED_VALUE"""),476.0)</f>
        <v>476</v>
      </c>
      <c r="H4806" s="4">
        <f>IFERROR(__xludf.DUMMYFUNCTION("""COMPUTED_VALUE"""),9189.0)</f>
        <v>9189</v>
      </c>
      <c r="I4806" s="4">
        <f>IFERROR(__xludf.DUMMYFUNCTION("""COMPUTED_VALUE"""),3823.0)</f>
        <v>3823</v>
      </c>
      <c r="J4806" s="4">
        <f>IFERROR(__xludf.DUMMYFUNCTION("""COMPUTED_VALUE"""),677.0)</f>
        <v>677</v>
      </c>
      <c r="K4806" s="4">
        <f>IFERROR(__xludf.DUMMYFUNCTION("""COMPUTED_VALUE"""),1661.0)</f>
        <v>1661</v>
      </c>
      <c r="L4806" s="4">
        <f>IFERROR(__xludf.DUMMYFUNCTION("""COMPUTED_VALUE"""),0.493)</f>
        <v>0.493</v>
      </c>
      <c r="M4806" s="4"/>
      <c r="N4806" s="4">
        <f>IFERROR(__xludf.DUMMYFUNCTION("""COMPUTED_VALUE"""),0.82)</f>
        <v>0.82</v>
      </c>
      <c r="O4806" s="4">
        <f>IFERROR(__xludf.DUMMYFUNCTION("""COMPUTED_VALUE"""),19.3)</f>
        <v>19.3</v>
      </c>
      <c r="P4806" s="4">
        <f>IFERROR(__xludf.DUMMYFUNCTION("""COMPUTED_VALUE"""),8.0)</f>
        <v>8</v>
      </c>
      <c r="Q4806" s="4">
        <f>IFERROR(__xludf.DUMMYFUNCTION("""COMPUTED_VALUE"""),1.4)</f>
        <v>1.4</v>
      </c>
      <c r="R4806" s="4">
        <f>IFERROR(__xludf.DUMMYFUNCTION("""COMPUTED_VALUE"""),3.5)</f>
        <v>3.5</v>
      </c>
      <c r="S4806" s="4">
        <f>IFERROR(__xludf.DUMMYFUNCTION("""COMPUTED_VALUE"""),15.6)</f>
        <v>15.6</v>
      </c>
      <c r="T4806" s="4">
        <f>IFERROR(__xludf.DUMMYFUNCTION("""COMPUTED_VALUE"""),0.082)</f>
        <v>0.082</v>
      </c>
      <c r="U4806" s="4">
        <f>IFERROR(__xludf.DUMMYFUNCTION("""COMPUTED_VALUE"""),-1.2)</f>
        <v>-1.2</v>
      </c>
      <c r="V4806" s="4">
        <f>IFERROR(__xludf.DUMMYFUNCTION("""COMPUTED_VALUE"""),1.7)</f>
        <v>1.7</v>
      </c>
    </row>
    <row r="4807">
      <c r="A4807" s="4">
        <f>IFERROR(__xludf.DUMMYFUNCTION("""COMPUTED_VALUE"""),116.0)</f>
        <v>116</v>
      </c>
      <c r="B4807" s="4">
        <f>IFERROR(__xludf.DUMMYFUNCTION("""COMPUTED_VALUE"""),116.0)</f>
        <v>116</v>
      </c>
      <c r="C4807" s="4" t="str">
        <f>IFERROR(__xludf.DUMMYFUNCTION("""COMPUTED_VALUE"""),"NOJ")</f>
        <v>NOJ</v>
      </c>
      <c r="D4807" s="4" t="str">
        <f>IFERROR(__xludf.DUMMYFUNCTION("""COMPUTED_VALUE"""),"Wayne Golden")</f>
        <v>Wayne Golden</v>
      </c>
      <c r="E4807" s="4" t="str">
        <f>IFERROR(__xludf.DUMMYFUNCTION("""COMPUTED_VALUE"""),"Chattanooga")</f>
        <v>Chattanooga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</row>
    <row r="4808">
      <c r="A4808" s="4">
        <f>IFERROR(__xludf.DUMMYFUNCTION("""COMPUTED_VALUE"""),117.0)</f>
        <v>117</v>
      </c>
      <c r="B4808" s="4">
        <f>IFERROR(__xludf.DUMMYFUNCTION("""COMPUTED_VALUE"""),117.0)</f>
        <v>117</v>
      </c>
      <c r="C4808" s="4" t="str">
        <f>IFERROR(__xludf.DUMMYFUNCTION("""COMPUTED_VALUE"""),"IND")</f>
        <v>IND</v>
      </c>
      <c r="D4808" s="4" t="str">
        <f>IFERROR(__xludf.DUMMYFUNCTION("""COMPUTED_VALUE"""),"Tom Scheffler")</f>
        <v>Tom Scheffler</v>
      </c>
      <c r="E4808" s="4" t="str">
        <f>IFERROR(__xludf.DUMMYFUNCTION("""COMPUTED_VALUE"""),"Purdue")</f>
        <v>Purdue</v>
      </c>
      <c r="F4808" s="4">
        <f>IFERROR(__xludf.DUMMYFUNCTION("""COMPUTED_VALUE"""),1.0)</f>
        <v>1</v>
      </c>
      <c r="G4808" s="4">
        <f>IFERROR(__xludf.DUMMYFUNCTION("""COMPUTED_VALUE"""),39.0)</f>
        <v>39</v>
      </c>
      <c r="H4808" s="4">
        <f>IFERROR(__xludf.DUMMYFUNCTION("""COMPUTED_VALUE"""),268.0)</f>
        <v>268</v>
      </c>
      <c r="I4808" s="4">
        <f>IFERROR(__xludf.DUMMYFUNCTION("""COMPUTED_VALUE"""),52.0)</f>
        <v>52</v>
      </c>
      <c r="J4808" s="4">
        <f>IFERROR(__xludf.DUMMYFUNCTION("""COMPUTED_VALUE"""),76.0)</f>
        <v>76</v>
      </c>
      <c r="K4808" s="4">
        <f>IFERROR(__xludf.DUMMYFUNCTION("""COMPUTED_VALUE"""),11.0)</f>
        <v>11</v>
      </c>
      <c r="L4808" s="4">
        <f>IFERROR(__xludf.DUMMYFUNCTION("""COMPUTED_VALUE"""),0.412)</f>
        <v>0.412</v>
      </c>
      <c r="M4808" s="4"/>
      <c r="N4808" s="4">
        <f>IFERROR(__xludf.DUMMYFUNCTION("""COMPUTED_VALUE"""),0.5)</f>
        <v>0.5</v>
      </c>
      <c r="O4808" s="4">
        <f>IFERROR(__xludf.DUMMYFUNCTION("""COMPUTED_VALUE"""),6.9)</f>
        <v>6.9</v>
      </c>
      <c r="P4808" s="4">
        <f>IFERROR(__xludf.DUMMYFUNCTION("""COMPUTED_VALUE"""),1.3)</f>
        <v>1.3</v>
      </c>
      <c r="Q4808" s="4">
        <f>IFERROR(__xludf.DUMMYFUNCTION("""COMPUTED_VALUE"""),1.9)</f>
        <v>1.9</v>
      </c>
      <c r="R4808" s="4">
        <f>IFERROR(__xludf.DUMMYFUNCTION("""COMPUTED_VALUE"""),0.3)</f>
        <v>0.3</v>
      </c>
      <c r="S4808" s="4">
        <f>IFERROR(__xludf.DUMMYFUNCTION("""COMPUTED_VALUE"""),0.2)</f>
        <v>0.2</v>
      </c>
      <c r="T4808" s="4">
        <f>IFERROR(__xludf.DUMMYFUNCTION("""COMPUTED_VALUE"""),0.037)</f>
        <v>0.037</v>
      </c>
      <c r="U4808" s="4">
        <f>IFERROR(__xludf.DUMMYFUNCTION("""COMPUTED_VALUE"""),-4.5)</f>
        <v>-4.5</v>
      </c>
      <c r="V4808" s="4">
        <f>IFERROR(__xludf.DUMMYFUNCTION("""COMPUTED_VALUE"""),-0.2)</f>
        <v>-0.2</v>
      </c>
    </row>
    <row r="4809">
      <c r="A4809" s="4">
        <f>IFERROR(__xludf.DUMMYFUNCTION("""COMPUTED_VALUE"""),118.0)</f>
        <v>118</v>
      </c>
      <c r="B4809" s="4">
        <f>IFERROR(__xludf.DUMMYFUNCTION("""COMPUTED_VALUE"""),118.0)</f>
        <v>118</v>
      </c>
      <c r="C4809" s="4" t="str">
        <f>IFERROR(__xludf.DUMMYFUNCTION("""COMPUTED_VALUE"""),"SEA")</f>
        <v>SEA</v>
      </c>
      <c r="D4809" s="4" t="str">
        <f>IFERROR(__xludf.DUMMYFUNCTION("""COMPUTED_VALUE"""),"Bucky O'Brien")</f>
        <v>Bucky O'Brien</v>
      </c>
      <c r="E4809" s="4" t="str">
        <f>IFERROR(__xludf.DUMMYFUNCTION("""COMPUTED_VALUE"""),"Seattle University")</f>
        <v>Seattle University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</row>
    <row r="4810">
      <c r="A4810" s="4">
        <f>IFERROR(__xludf.DUMMYFUNCTION("""COMPUTED_VALUE"""),119.0)</f>
        <v>119</v>
      </c>
      <c r="B4810" s="4">
        <f>IFERROR(__xludf.DUMMYFUNCTION("""COMPUTED_VALUE"""),119.0)</f>
        <v>119</v>
      </c>
      <c r="C4810" s="4" t="str">
        <f>IFERROR(__xludf.DUMMYFUNCTION("""COMPUTED_VALUE"""),"KCK")</f>
        <v>KCK</v>
      </c>
      <c r="D4810" s="4" t="str">
        <f>IFERROR(__xludf.DUMMYFUNCTION("""COMPUTED_VALUE"""),"Bob Cooper")</f>
        <v>Bob Cooper</v>
      </c>
      <c r="E4810" s="4" t="str">
        <f>IFERROR(__xludf.DUMMYFUNCTION("""COMPUTED_VALUE"""),"Providence")</f>
        <v>Providence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</row>
    <row r="4811">
      <c r="A4811" s="4">
        <f>IFERROR(__xludf.DUMMYFUNCTION("""COMPUTED_VALUE"""),120.0)</f>
        <v>120</v>
      </c>
      <c r="B4811" s="4">
        <f>IFERROR(__xludf.DUMMYFUNCTION("""COMPUTED_VALUE"""),120.0)</f>
        <v>120</v>
      </c>
      <c r="C4811" s="4" t="str">
        <f>IFERROR(__xludf.DUMMYFUNCTION("""COMPUTED_VALUE"""),"NYK")</f>
        <v>NYK</v>
      </c>
      <c r="D4811" s="4" t="str">
        <f>IFERROR(__xludf.DUMMYFUNCTION("""COMPUTED_VALUE"""),"Jerry Craycraft")</f>
        <v>Jerry Craycraft</v>
      </c>
      <c r="E4811" s="4" t="str">
        <f>IFERROR(__xludf.DUMMYFUNCTION("""COMPUTED_VALUE"""),"Milligan College")</f>
        <v>Milligan College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</row>
    <row r="4812">
      <c r="A4812" s="4">
        <f>IFERROR(__xludf.DUMMYFUNCTION("""COMPUTED_VALUE"""),121.0)</f>
        <v>121</v>
      </c>
      <c r="B4812" s="4">
        <f>IFERROR(__xludf.DUMMYFUNCTION("""COMPUTED_VALUE"""),121.0)</f>
        <v>121</v>
      </c>
      <c r="C4812" s="4" t="str">
        <f>IFERROR(__xludf.DUMMYFUNCTION("""COMPUTED_VALUE"""),"CLE")</f>
        <v>CLE</v>
      </c>
      <c r="D4812" s="4" t="str">
        <f>IFERROR(__xludf.DUMMYFUNCTION("""COMPUTED_VALUE"""),"Ron Cox")</f>
        <v>Ron Cox</v>
      </c>
      <c r="E4812" s="4" t="str">
        <f>IFERROR(__xludf.DUMMYFUNCTION("""COMPUTED_VALUE"""),"Eastern Washington")</f>
        <v>Eastern Washington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</row>
    <row r="4813">
      <c r="A4813" s="4">
        <f>IFERROR(__xludf.DUMMYFUNCTION("""COMPUTED_VALUE"""),122.0)</f>
        <v>122</v>
      </c>
      <c r="B4813" s="4">
        <f>IFERROR(__xludf.DUMMYFUNCTION("""COMPUTED_VALUE"""),122.0)</f>
        <v>122</v>
      </c>
      <c r="C4813" s="4" t="str">
        <f>IFERROR(__xludf.DUMMYFUNCTION("""COMPUTED_VALUE"""),"BOS")</f>
        <v>BOS</v>
      </c>
      <c r="D4813" s="4" t="str">
        <f>IFERROR(__xludf.DUMMYFUNCTION("""COMPUTED_VALUE"""),"Roy Pace")</f>
        <v>Roy Pace</v>
      </c>
      <c r="E4813" s="4" t="str">
        <f>IFERROR(__xludf.DUMMYFUNCTION("""COMPUTED_VALUE"""),"Rutgers University-Camden")</f>
        <v>Rutgers University-Camden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</row>
    <row r="4814">
      <c r="A4814" s="4">
        <f>IFERROR(__xludf.DUMMYFUNCTION("""COMPUTED_VALUE"""),123.0)</f>
        <v>123</v>
      </c>
      <c r="B4814" s="4">
        <f>IFERROR(__xludf.DUMMYFUNCTION("""COMPUTED_VALUE"""),123.0)</f>
        <v>123</v>
      </c>
      <c r="C4814" s="4" t="str">
        <f>IFERROR(__xludf.DUMMYFUNCTION("""COMPUTED_VALUE"""),"CHI")</f>
        <v>CHI</v>
      </c>
      <c r="D4814" s="4" t="str">
        <f>IFERROR(__xludf.DUMMYFUNCTION("""COMPUTED_VALUE"""),"Jay Cheesman")</f>
        <v>Jay Cheesman</v>
      </c>
      <c r="E4814" s="4" t="str">
        <f>IFERROR(__xludf.DUMMYFUNCTION("""COMPUTED_VALUE"""),"BYU")</f>
        <v>BYU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</row>
    <row r="4815">
      <c r="A4815" s="4">
        <f>IFERROR(__xludf.DUMMYFUNCTION("""COMPUTED_VALUE"""),124.0)</f>
        <v>124</v>
      </c>
      <c r="B4815" s="4">
        <f>IFERROR(__xludf.DUMMYFUNCTION("""COMPUTED_VALUE"""),124.0)</f>
        <v>124</v>
      </c>
      <c r="C4815" s="4" t="str">
        <f>IFERROR(__xludf.DUMMYFUNCTION("""COMPUTED_VALUE"""),"DET")</f>
        <v>DET</v>
      </c>
      <c r="D4815" s="4" t="str">
        <f>IFERROR(__xludf.DUMMYFUNCTION("""COMPUTED_VALUE"""),"Herb Nobles")</f>
        <v>Herb Nobles</v>
      </c>
      <c r="E4815" s="4" t="str">
        <f>IFERROR(__xludf.DUMMYFUNCTION("""COMPUTED_VALUE"""),"Kansas")</f>
        <v>Kansas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</row>
    <row r="4816">
      <c r="A4816" s="4">
        <f>IFERROR(__xludf.DUMMYFUNCTION("""COMPUTED_VALUE"""),125.0)</f>
        <v>125</v>
      </c>
      <c r="B4816" s="4">
        <f>IFERROR(__xludf.DUMMYFUNCTION("""COMPUTED_VALUE"""),125.0)</f>
        <v>125</v>
      </c>
      <c r="C4816" s="4" t="str">
        <f>IFERROR(__xludf.DUMMYFUNCTION("""COMPUTED_VALUE"""),"SAS")</f>
        <v>SAS</v>
      </c>
      <c r="D4816" s="4" t="str">
        <f>IFERROR(__xludf.DUMMYFUNCTION("""COMPUTED_VALUE"""),"Bruce Buckley")</f>
        <v>Bruce Buckley</v>
      </c>
      <c r="E4816" s="4" t="str">
        <f>IFERROR(__xludf.DUMMYFUNCTION("""COMPUTED_VALUE"""),"UNC")</f>
        <v>UNC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</row>
    <row r="4817">
      <c r="A4817" s="4">
        <f>IFERROR(__xludf.DUMMYFUNCTION("""COMPUTED_VALUE"""),126.0)</f>
        <v>126</v>
      </c>
      <c r="B4817" s="4">
        <f>IFERROR(__xludf.DUMMYFUNCTION("""COMPUTED_VALUE"""),126.0)</f>
        <v>126</v>
      </c>
      <c r="C4817" s="4" t="str">
        <f>IFERROR(__xludf.DUMMYFUNCTION("""COMPUTED_VALUE"""),"GSW")</f>
        <v>GSW</v>
      </c>
      <c r="D4817" s="4" t="str">
        <f>IFERROR(__xludf.DUMMYFUNCTION("""COMPUTED_VALUE"""),"Jack Phelan")</f>
        <v>Jack Phelan</v>
      </c>
      <c r="E4817" s="4" t="str">
        <f>IFERROR(__xludf.DUMMYFUNCTION("""COMPUTED_VALUE"""),"Saint Francis University")</f>
        <v>Saint Francis University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</row>
    <row r="4818">
      <c r="A4818" s="4">
        <f>IFERROR(__xludf.DUMMYFUNCTION("""COMPUTED_VALUE"""),127.0)</f>
        <v>127</v>
      </c>
      <c r="B4818" s="4">
        <f>IFERROR(__xludf.DUMMYFUNCTION("""COMPUTED_VALUE"""),127.0)</f>
        <v>127</v>
      </c>
      <c r="C4818" s="4" t="str">
        <f>IFERROR(__xludf.DUMMYFUNCTION("""COMPUTED_VALUE"""),"WSB")</f>
        <v>WSB</v>
      </c>
      <c r="D4818" s="4" t="str">
        <f>IFERROR(__xludf.DUMMYFUNCTION("""COMPUTED_VALUE"""),"Ernie Wansley")</f>
        <v>Ernie Wansley</v>
      </c>
      <c r="E4818" s="4" t="str">
        <f>IFERROR(__xludf.DUMMYFUNCTION("""COMPUTED_VALUE"""),"Virginia Tech")</f>
        <v>Virginia Tech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</row>
    <row r="4819">
      <c r="A4819" s="4">
        <f>IFERROR(__xludf.DUMMYFUNCTION("""COMPUTED_VALUE"""),128.0)</f>
        <v>128</v>
      </c>
      <c r="B4819" s="4">
        <f>IFERROR(__xludf.DUMMYFUNCTION("""COMPUTED_VALUE"""),128.0)</f>
        <v>128</v>
      </c>
      <c r="C4819" s="4" t="str">
        <f>IFERROR(__xludf.DUMMYFUNCTION("""COMPUTED_VALUE"""),"POR")</f>
        <v>POR</v>
      </c>
      <c r="D4819" s="4" t="str">
        <f>IFERROR(__xludf.DUMMYFUNCTION("""COMPUTED_VALUE"""),"Myron Jordan")</f>
        <v>Myron Jordan</v>
      </c>
      <c r="E4819" s="4" t="str">
        <f>IFERROR(__xludf.DUMMYFUNCTION("""COMPUTED_VALUE"""),"University of the Pacific")</f>
        <v>University of the Pacific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</row>
    <row r="4820">
      <c r="A4820" s="4">
        <f>IFERROR(__xludf.DUMMYFUNCTION("""COMPUTED_VALUE"""),129.0)</f>
        <v>129</v>
      </c>
      <c r="B4820" s="4">
        <f>IFERROR(__xludf.DUMMYFUNCTION("""COMPUTED_VALUE"""),129.0)</f>
        <v>129</v>
      </c>
      <c r="C4820" s="4" t="str">
        <f>IFERROR(__xludf.DUMMYFUNCTION("""COMPUTED_VALUE"""),"PHI")</f>
        <v>PHI</v>
      </c>
      <c r="D4820" s="4" t="str">
        <f>IFERROR(__xludf.DUMMYFUNCTION("""COMPUTED_VALUE"""),"George Gibson")</f>
        <v>George Gibson</v>
      </c>
      <c r="E4820" s="4" t="str">
        <f>IFERROR(__xludf.DUMMYFUNCTION("""COMPUTED_VALUE"""),"Winston-Salem State")</f>
        <v>Winston-Salem State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</row>
    <row r="4821">
      <c r="A4821" s="4">
        <f>IFERROR(__xludf.DUMMYFUNCTION("""COMPUTED_VALUE"""),130.0)</f>
        <v>130</v>
      </c>
      <c r="B4821" s="4">
        <f>IFERROR(__xludf.DUMMYFUNCTION("""COMPUTED_VALUE"""),130.0)</f>
        <v>130</v>
      </c>
      <c r="C4821" s="4" t="str">
        <f>IFERROR(__xludf.DUMMYFUNCTION("""COMPUTED_VALUE"""),"DEN")</f>
        <v>DEN</v>
      </c>
      <c r="D4821" s="4" t="str">
        <f>IFERROR(__xludf.DUMMYFUNCTION("""COMPUTED_VALUE"""),"Jim Town")</f>
        <v>Jim Town</v>
      </c>
      <c r="E4821" s="4" t="str">
        <f>IFERROR(__xludf.DUMMYFUNCTION("""COMPUTED_VALUE"""),"UMass")</f>
        <v>UMass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</row>
    <row r="4822">
      <c r="A4822" s="4">
        <f>IFERROR(__xludf.DUMMYFUNCTION("""COMPUTED_VALUE"""),131.0)</f>
        <v>131</v>
      </c>
      <c r="B4822" s="4">
        <f>IFERROR(__xludf.DUMMYFUNCTION("""COMPUTED_VALUE"""),131.0)</f>
        <v>131</v>
      </c>
      <c r="C4822" s="4" t="str">
        <f>IFERROR(__xludf.DUMMYFUNCTION("""COMPUTED_VALUE"""),"LAL")</f>
        <v>LAL</v>
      </c>
      <c r="D4822" s="4" t="str">
        <f>IFERROR(__xludf.DUMMYFUNCTION("""COMPUTED_VALUE"""),"Grover Woolard")</f>
        <v>Grover Woolard</v>
      </c>
      <c r="E4822" s="4" t="str">
        <f>IFERROR(__xludf.DUMMYFUNCTION("""COMPUTED_VALUE"""),"Murray State")</f>
        <v>Murray State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</row>
    <row r="4823">
      <c r="A4823" s="4"/>
      <c r="B4823" s="4"/>
      <c r="C4823" s="4"/>
      <c r="D4823" s="4" t="str">
        <f>IFERROR(__xludf.DUMMYFUNCTION("""COMPUTED_VALUE"""),"Round 7")</f>
        <v>Round 7</v>
      </c>
      <c r="E4823" s="4"/>
      <c r="F4823" s="4"/>
      <c r="G4823" s="4" t="str">
        <f>IFERROR(__xludf.DUMMYFUNCTION("""COMPUTED_VALUE"""),"Totals")</f>
        <v>Totals</v>
      </c>
      <c r="H4823" s="4"/>
      <c r="I4823" s="4"/>
      <c r="J4823" s="4"/>
      <c r="K4823" s="4"/>
      <c r="L4823" s="4" t="str">
        <f>IFERROR(__xludf.DUMMYFUNCTION("""COMPUTED_VALUE"""),"Shooting")</f>
        <v>Shooting</v>
      </c>
      <c r="M4823" s="4"/>
      <c r="N4823" s="4"/>
      <c r="O4823" s="4" t="str">
        <f>IFERROR(__xludf.DUMMYFUNCTION("""COMPUTED_VALUE"""),"Per Game")</f>
        <v>Per Game</v>
      </c>
      <c r="P4823" s="4"/>
      <c r="Q4823" s="4"/>
      <c r="R4823" s="4"/>
      <c r="S4823" s="4" t="str">
        <f>IFERROR(__xludf.DUMMYFUNCTION("""COMPUTED_VALUE"""),"Advanced")</f>
        <v>Advanced</v>
      </c>
      <c r="T4823" s="4"/>
      <c r="U4823" s="4"/>
      <c r="V4823" s="4"/>
    </row>
    <row r="4824">
      <c r="A4824" s="4" t="str">
        <f>IFERROR(__xludf.DUMMYFUNCTION("""COMPUTED_VALUE"""),"Rk")</f>
        <v>Rk</v>
      </c>
      <c r="B4824" s="4" t="str">
        <f>IFERROR(__xludf.DUMMYFUNCTION("""COMPUTED_VALUE"""),"Pk")</f>
        <v>Pk</v>
      </c>
      <c r="C4824" s="4" t="str">
        <f>IFERROR(__xludf.DUMMYFUNCTION("""COMPUTED_VALUE"""),"Tm")</f>
        <v>Tm</v>
      </c>
      <c r="D4824" s="4" t="str">
        <f>IFERROR(__xludf.DUMMYFUNCTION("""COMPUTED_VALUE"""),"Player")</f>
        <v>Player</v>
      </c>
      <c r="E4824" s="4" t="str">
        <f>IFERROR(__xludf.DUMMYFUNCTION("""COMPUTED_VALUE"""),"College")</f>
        <v>College</v>
      </c>
      <c r="F4824" s="4" t="str">
        <f>IFERROR(__xludf.DUMMYFUNCTION("""COMPUTED_VALUE"""),"Yrs")</f>
        <v>Yrs</v>
      </c>
      <c r="G4824" s="4" t="str">
        <f>IFERROR(__xludf.DUMMYFUNCTION("""COMPUTED_VALUE"""),"G")</f>
        <v>G</v>
      </c>
      <c r="H4824" s="4" t="str">
        <f>IFERROR(__xludf.DUMMYFUNCTION("""COMPUTED_VALUE"""),"MP")</f>
        <v>MP</v>
      </c>
      <c r="I4824" s="4" t="str">
        <f>IFERROR(__xludf.DUMMYFUNCTION("""COMPUTED_VALUE"""),"PTS")</f>
        <v>PTS</v>
      </c>
      <c r="J4824" s="4" t="str">
        <f>IFERROR(__xludf.DUMMYFUNCTION("""COMPUTED_VALUE"""),"TRB")</f>
        <v>TRB</v>
      </c>
      <c r="K4824" s="4" t="str">
        <f>IFERROR(__xludf.DUMMYFUNCTION("""COMPUTED_VALUE"""),"AST")</f>
        <v>AST</v>
      </c>
      <c r="L4824" s="4" t="str">
        <f>IFERROR(__xludf.DUMMYFUNCTION("""COMPUTED_VALUE"""),"FG%")</f>
        <v>FG%</v>
      </c>
      <c r="M4824" s="4" t="str">
        <f>IFERROR(__xludf.DUMMYFUNCTION("""COMPUTED_VALUE"""),"3P%")</f>
        <v>3P%</v>
      </c>
      <c r="N4824" s="4" t="str">
        <f>IFERROR(__xludf.DUMMYFUNCTION("""COMPUTED_VALUE"""),"FT%")</f>
        <v>FT%</v>
      </c>
      <c r="O4824" s="4" t="str">
        <f>IFERROR(__xludf.DUMMYFUNCTION("""COMPUTED_VALUE"""),"MP")</f>
        <v>MP</v>
      </c>
      <c r="P4824" s="4" t="str">
        <f>IFERROR(__xludf.DUMMYFUNCTION("""COMPUTED_VALUE"""),"PTS")</f>
        <v>PTS</v>
      </c>
      <c r="Q4824" s="4" t="str">
        <f>IFERROR(__xludf.DUMMYFUNCTION("""COMPUTED_VALUE"""),"TRB")</f>
        <v>TRB</v>
      </c>
      <c r="R4824" s="4" t="str">
        <f>IFERROR(__xludf.DUMMYFUNCTION("""COMPUTED_VALUE"""),"AST")</f>
        <v>AST</v>
      </c>
      <c r="S4824" s="4" t="str">
        <f>IFERROR(__xludf.DUMMYFUNCTION("""COMPUTED_VALUE"""),"WS")</f>
        <v>WS</v>
      </c>
      <c r="T4824" s="4" t="str">
        <f>IFERROR(__xludf.DUMMYFUNCTION("""COMPUTED_VALUE"""),"WS/48")</f>
        <v>WS/48</v>
      </c>
      <c r="U4824" s="4" t="str">
        <f>IFERROR(__xludf.DUMMYFUNCTION("""COMPUTED_VALUE"""),"BPM")</f>
        <v>BPM</v>
      </c>
      <c r="V4824" s="4" t="str">
        <f>IFERROR(__xludf.DUMMYFUNCTION("""COMPUTED_VALUE"""),"VORP")</f>
        <v>VORP</v>
      </c>
    </row>
    <row r="4825">
      <c r="A4825" s="4">
        <f>IFERROR(__xludf.DUMMYFUNCTION("""COMPUTED_VALUE"""),132.0)</f>
        <v>132</v>
      </c>
      <c r="B4825" s="4">
        <f>IFERROR(__xludf.DUMMYFUNCTION("""COMPUTED_VALUE"""),132.0)</f>
        <v>132</v>
      </c>
      <c r="C4825" s="4" t="str">
        <f>IFERROR(__xludf.DUMMYFUNCTION("""COMPUTED_VALUE"""),"NJN")</f>
        <v>NJN</v>
      </c>
      <c r="D4825" s="4" t="str">
        <f>IFERROR(__xludf.DUMMYFUNCTION("""COMPUTED_VALUE"""),"Scott Conant")</f>
        <v>Scott Conant</v>
      </c>
      <c r="E4825" s="4" t="str">
        <f>IFERROR(__xludf.DUMMYFUNCTION("""COMPUTED_VALUE"""),"Newberry College")</f>
        <v>Newberry College</v>
      </c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</row>
    <row r="4826">
      <c r="A4826" s="4">
        <f>IFERROR(__xludf.DUMMYFUNCTION("""COMPUTED_VALUE"""),133.0)</f>
        <v>133</v>
      </c>
      <c r="B4826" s="4">
        <f>IFERROR(__xludf.DUMMYFUNCTION("""COMPUTED_VALUE"""),133.0)</f>
        <v>133</v>
      </c>
      <c r="C4826" s="4" t="str">
        <f>IFERROR(__xludf.DUMMYFUNCTION("""COMPUTED_VALUE"""),"BUF")</f>
        <v>BUF</v>
      </c>
      <c r="D4826" s="4" t="str">
        <f>IFERROR(__xludf.DUMMYFUNCTION("""COMPUTED_VALUE"""),"Mike Jackson")</f>
        <v>Mike Jackson</v>
      </c>
      <c r="E4826" s="4" t="str">
        <f>IFERROR(__xludf.DUMMYFUNCTION("""COMPUTED_VALUE"""),"Tennessee")</f>
        <v>Tennessee</v>
      </c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</row>
    <row r="4827">
      <c r="A4827" s="4">
        <f>IFERROR(__xludf.DUMMYFUNCTION("""COMPUTED_VALUE"""),134.0)</f>
        <v>134</v>
      </c>
      <c r="B4827" s="4">
        <f>IFERROR(__xludf.DUMMYFUNCTION("""COMPUTED_VALUE"""),134.0)</f>
        <v>134</v>
      </c>
      <c r="C4827" s="4" t="str">
        <f>IFERROR(__xludf.DUMMYFUNCTION("""COMPUTED_VALUE"""),"MIL")</f>
        <v>MIL</v>
      </c>
      <c r="D4827" s="4" t="str">
        <f>IFERROR(__xludf.DUMMYFUNCTION("""COMPUTED_VALUE"""),"Ron Bostick")</f>
        <v>Ron Bostick</v>
      </c>
      <c r="E4827" s="4" t="str">
        <f>IFERROR(__xludf.DUMMYFUNCTION("""COMPUTED_VALUE"""),"Detroit Mercy")</f>
        <v>Detroit Mercy</v>
      </c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</row>
    <row r="4828">
      <c r="A4828" s="4">
        <f>IFERROR(__xludf.DUMMYFUNCTION("""COMPUTED_VALUE"""),135.0)</f>
        <v>135</v>
      </c>
      <c r="B4828" s="4">
        <f>IFERROR(__xludf.DUMMYFUNCTION("""COMPUTED_VALUE"""),135.0)</f>
        <v>135</v>
      </c>
      <c r="C4828" s="4" t="str">
        <f>IFERROR(__xludf.DUMMYFUNCTION("""COMPUTED_VALUE"""),"ATL")</f>
        <v>ATL</v>
      </c>
      <c r="D4828" s="4" t="str">
        <f>IFERROR(__xludf.DUMMYFUNCTION("""COMPUTED_VALUE"""),"James Holliman")</f>
        <v>James Holliman</v>
      </c>
      <c r="E4828" s="4" t="str">
        <f>IFERROR(__xludf.DUMMYFUNCTION("""COMPUTED_VALUE"""),"Arizona State")</f>
        <v>Arizona State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</row>
    <row r="4829">
      <c r="A4829" s="4">
        <f>IFERROR(__xludf.DUMMYFUNCTION("""COMPUTED_VALUE"""),136.0)</f>
        <v>136</v>
      </c>
      <c r="B4829" s="4">
        <f>IFERROR(__xludf.DUMMYFUNCTION("""COMPUTED_VALUE"""),136.0)</f>
        <v>136</v>
      </c>
      <c r="C4829" s="4" t="str">
        <f>IFERROR(__xludf.DUMMYFUNCTION("""COMPUTED_VALUE"""),"PHO")</f>
        <v>PHO</v>
      </c>
      <c r="D4829" s="4" t="str">
        <f>IFERROR(__xludf.DUMMYFUNCTION("""COMPUTED_VALUE"""),"Alvin Scott")</f>
        <v>Alvin Scott</v>
      </c>
      <c r="E4829" s="4" t="str">
        <f>IFERROR(__xludf.DUMMYFUNCTION("""COMPUTED_VALUE"""),"Oral Roberts")</f>
        <v>Oral Roberts</v>
      </c>
      <c r="F4829" s="4">
        <f>IFERROR(__xludf.DUMMYFUNCTION("""COMPUTED_VALUE"""),8.0)</f>
        <v>8</v>
      </c>
      <c r="G4829" s="4">
        <f>IFERROR(__xludf.DUMMYFUNCTION("""COMPUTED_VALUE"""),627.0)</f>
        <v>627</v>
      </c>
      <c r="H4829" s="4">
        <f>IFERROR(__xludf.DUMMYFUNCTION("""COMPUTED_VALUE"""),10853.0)</f>
        <v>10853</v>
      </c>
      <c r="I4829" s="4">
        <f>IFERROR(__xludf.DUMMYFUNCTION("""COMPUTED_VALUE"""),3088.0)</f>
        <v>3088</v>
      </c>
      <c r="J4829" s="4">
        <f>IFERROR(__xludf.DUMMYFUNCTION("""COMPUTED_VALUE"""),1992.0)</f>
        <v>1992</v>
      </c>
      <c r="K4829" s="4">
        <f>IFERROR(__xludf.DUMMYFUNCTION("""COMPUTED_VALUE"""),847.0)</f>
        <v>847</v>
      </c>
      <c r="L4829" s="4">
        <f>IFERROR(__xludf.DUMMYFUNCTION("""COMPUTED_VALUE"""),0.481)</f>
        <v>0.481</v>
      </c>
      <c r="M4829" s="4"/>
      <c r="N4829" s="4">
        <f>IFERROR(__xludf.DUMMYFUNCTION("""COMPUTED_VALUE"""),0.733)</f>
        <v>0.733</v>
      </c>
      <c r="O4829" s="4">
        <f>IFERROR(__xludf.DUMMYFUNCTION("""COMPUTED_VALUE"""),17.3)</f>
        <v>17.3</v>
      </c>
      <c r="P4829" s="4">
        <f>IFERROR(__xludf.DUMMYFUNCTION("""COMPUTED_VALUE"""),4.9)</f>
        <v>4.9</v>
      </c>
      <c r="Q4829" s="4">
        <f>IFERROR(__xludf.DUMMYFUNCTION("""COMPUTED_VALUE"""),3.2)</f>
        <v>3.2</v>
      </c>
      <c r="R4829" s="4">
        <f>IFERROR(__xludf.DUMMYFUNCTION("""COMPUTED_VALUE"""),1.4)</f>
        <v>1.4</v>
      </c>
      <c r="S4829" s="4">
        <f>IFERROR(__xludf.DUMMYFUNCTION("""COMPUTED_VALUE"""),23.0)</f>
        <v>23</v>
      </c>
      <c r="T4829" s="4">
        <f>IFERROR(__xludf.DUMMYFUNCTION("""COMPUTED_VALUE"""),0.102)</f>
        <v>0.102</v>
      </c>
      <c r="U4829" s="4">
        <f>IFERROR(__xludf.DUMMYFUNCTION("""COMPUTED_VALUE"""),0.2)</f>
        <v>0.2</v>
      </c>
      <c r="V4829" s="4">
        <f>IFERROR(__xludf.DUMMYFUNCTION("""COMPUTED_VALUE"""),5.9)</f>
        <v>5.9</v>
      </c>
    </row>
    <row r="4830">
      <c r="A4830" s="4">
        <f>IFERROR(__xludf.DUMMYFUNCTION("""COMPUTED_VALUE"""),137.0)</f>
        <v>137</v>
      </c>
      <c r="B4830" s="4">
        <f>IFERROR(__xludf.DUMMYFUNCTION("""COMPUTED_VALUE"""),137.0)</f>
        <v>137</v>
      </c>
      <c r="C4830" s="4" t="str">
        <f>IFERROR(__xludf.DUMMYFUNCTION("""COMPUTED_VALUE"""),"NOJ")</f>
        <v>NOJ</v>
      </c>
      <c r="D4830" s="4" t="str">
        <f>IFERROR(__xludf.DUMMYFUNCTION("""COMPUTED_VALUE"""),"Lusia Harris")</f>
        <v>Lusia Harris</v>
      </c>
      <c r="E4830" s="4" t="str">
        <f>IFERROR(__xludf.DUMMYFUNCTION("""COMPUTED_VALUE"""),"Delta State University")</f>
        <v>Delta State University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</row>
    <row r="4831">
      <c r="A4831" s="4">
        <f>IFERROR(__xludf.DUMMYFUNCTION("""COMPUTED_VALUE"""),138.0)</f>
        <v>138</v>
      </c>
      <c r="B4831" s="4">
        <f>IFERROR(__xludf.DUMMYFUNCTION("""COMPUTED_VALUE"""),138.0)</f>
        <v>138</v>
      </c>
      <c r="C4831" s="4" t="str">
        <f>IFERROR(__xludf.DUMMYFUNCTION("""COMPUTED_VALUE"""),"SEA")</f>
        <v>SEA</v>
      </c>
      <c r="D4831" s="4" t="str">
        <f>IFERROR(__xludf.DUMMYFUNCTION("""COMPUTED_VALUE"""),"Billy Reynolds")</f>
        <v>Billy Reynolds</v>
      </c>
      <c r="E4831" s="4" t="str">
        <f>IFERROR(__xludf.DUMMYFUNCTION("""COMPUTED_VALUE"""),"Northwestern State University")</f>
        <v>Northwestern State University</v>
      </c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</row>
    <row r="4832">
      <c r="A4832" s="4">
        <f>IFERROR(__xludf.DUMMYFUNCTION("""COMPUTED_VALUE"""),139.0)</f>
        <v>139</v>
      </c>
      <c r="B4832" s="4">
        <f>IFERROR(__xludf.DUMMYFUNCTION("""COMPUTED_VALUE"""),139.0)</f>
        <v>139</v>
      </c>
      <c r="C4832" s="4" t="str">
        <f>IFERROR(__xludf.DUMMYFUNCTION("""COMPUTED_VALUE"""),"KCK")</f>
        <v>KCK</v>
      </c>
      <c r="D4832" s="4" t="str">
        <f>IFERROR(__xludf.DUMMYFUNCTION("""COMPUTED_VALUE"""),"Caitlyn Jenner")</f>
        <v>Caitlyn Jenner</v>
      </c>
      <c r="E4832" s="4" t="str">
        <f>IFERROR(__xludf.DUMMYFUNCTION("""COMPUTED_VALUE"""),"Graceland University")</f>
        <v>Graceland University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</row>
    <row r="4833">
      <c r="A4833" s="4">
        <f>IFERROR(__xludf.DUMMYFUNCTION("""COMPUTED_VALUE"""),140.0)</f>
        <v>140</v>
      </c>
      <c r="B4833" s="4">
        <f>IFERROR(__xludf.DUMMYFUNCTION("""COMPUTED_VALUE"""),140.0)</f>
        <v>140</v>
      </c>
      <c r="C4833" s="4" t="str">
        <f>IFERROR(__xludf.DUMMYFUNCTION("""COMPUTED_VALUE"""),"NYK")</f>
        <v>NYK</v>
      </c>
      <c r="D4833" s="4" t="str">
        <f>IFERROR(__xludf.DUMMYFUNCTION("""COMPUTED_VALUE"""),"Tom Weadock")</f>
        <v>Tom Weadock</v>
      </c>
      <c r="E4833" s="4" t="str">
        <f>IFERROR(__xludf.DUMMYFUNCTION("""COMPUTED_VALUE"""),"St. John's")</f>
        <v>St. John's</v>
      </c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</row>
    <row r="4834">
      <c r="A4834" s="4">
        <f>IFERROR(__xludf.DUMMYFUNCTION("""COMPUTED_VALUE"""),141.0)</f>
        <v>141</v>
      </c>
      <c r="B4834" s="4">
        <f>IFERROR(__xludf.DUMMYFUNCTION("""COMPUTED_VALUE"""),141.0)</f>
        <v>141</v>
      </c>
      <c r="C4834" s="4" t="str">
        <f>IFERROR(__xludf.DUMMYFUNCTION("""COMPUTED_VALUE"""),"CLE")</f>
        <v>CLE</v>
      </c>
      <c r="D4834" s="4" t="str">
        <f>IFERROR(__xludf.DUMMYFUNCTION("""COMPUTED_VALUE"""),"Bob Riddle")</f>
        <v>Bob Riddle</v>
      </c>
      <c r="E4834" s="4" t="str">
        <f>IFERROR(__xludf.DUMMYFUNCTION("""COMPUTED_VALUE"""),"Eastern Michigan")</f>
        <v>Eastern Michigan</v>
      </c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</row>
    <row r="4835">
      <c r="A4835" s="4">
        <f>IFERROR(__xludf.DUMMYFUNCTION("""COMPUTED_VALUE"""),142.0)</f>
        <v>142</v>
      </c>
      <c r="B4835" s="4">
        <f>IFERROR(__xludf.DUMMYFUNCTION("""COMPUTED_VALUE"""),142.0)</f>
        <v>142</v>
      </c>
      <c r="C4835" s="4" t="str">
        <f>IFERROR(__xludf.DUMMYFUNCTION("""COMPUTED_VALUE"""),"BOS")</f>
        <v>BOS</v>
      </c>
      <c r="D4835" s="4" t="str">
        <f>IFERROR(__xludf.DUMMYFUNCTION("""COMPUTED_VALUE"""),"Dave Kyle")</f>
        <v>Dave Kyle</v>
      </c>
      <c r="E4835" s="4" t="str">
        <f>IFERROR(__xludf.DUMMYFUNCTION("""COMPUTED_VALUE"""),"Cleveland State University")</f>
        <v>Cleveland State University</v>
      </c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</row>
    <row r="4836">
      <c r="A4836" s="4">
        <f>IFERROR(__xludf.DUMMYFUNCTION("""COMPUTED_VALUE"""),143.0)</f>
        <v>143</v>
      </c>
      <c r="B4836" s="4">
        <f>IFERROR(__xludf.DUMMYFUNCTION("""COMPUTED_VALUE"""),143.0)</f>
        <v>143</v>
      </c>
      <c r="C4836" s="4" t="str">
        <f>IFERROR(__xludf.DUMMYFUNCTION("""COMPUTED_VALUE"""),"CHI")</f>
        <v>CHI</v>
      </c>
      <c r="D4836" s="4" t="str">
        <f>IFERROR(__xludf.DUMMYFUNCTION("""COMPUTED_VALUE"""),"Mike Smith")</f>
        <v>Mike Smith</v>
      </c>
      <c r="E4836" s="4" t="str">
        <f>IFERROR(__xludf.DUMMYFUNCTION("""COMPUTED_VALUE"""),"University of Evansville")</f>
        <v>University of Evansville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</row>
    <row r="4837">
      <c r="A4837" s="4">
        <f>IFERROR(__xludf.DUMMYFUNCTION("""COMPUTED_VALUE"""),144.0)</f>
        <v>144</v>
      </c>
      <c r="B4837" s="4">
        <f>IFERROR(__xludf.DUMMYFUNCTION("""COMPUTED_VALUE"""),144.0)</f>
        <v>144</v>
      </c>
      <c r="C4837" s="4" t="str">
        <f>IFERROR(__xludf.DUMMYFUNCTION("""COMPUTED_VALUE"""),"DET")</f>
        <v>DET</v>
      </c>
      <c r="D4837" s="4" t="str">
        <f>IFERROR(__xludf.DUMMYFUNCTION("""COMPUTED_VALUE"""),"Robert Lewis")</f>
        <v>Robert Lewis</v>
      </c>
      <c r="E4837" s="4" t="str">
        <f>IFERROR(__xludf.DUMMYFUNCTION("""COMPUTED_VALUE"""),"Johnson C. Smith University")</f>
        <v>Johnson C. Smith University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</row>
    <row r="4838">
      <c r="A4838" s="4">
        <f>IFERROR(__xludf.DUMMYFUNCTION("""COMPUTED_VALUE"""),145.0)</f>
        <v>145</v>
      </c>
      <c r="B4838" s="4">
        <f>IFERROR(__xludf.DUMMYFUNCTION("""COMPUTED_VALUE"""),145.0)</f>
        <v>145</v>
      </c>
      <c r="C4838" s="4" t="str">
        <f>IFERROR(__xludf.DUMMYFUNCTION("""COMPUTED_VALUE"""),"SAS")</f>
        <v>SAS</v>
      </c>
      <c r="D4838" s="4" t="str">
        <f>IFERROR(__xludf.DUMMYFUNCTION("""COMPUTED_VALUE"""),"Richard Robinson")</f>
        <v>Richard Robinson</v>
      </c>
      <c r="E4838" s="4" t="str">
        <f>IFERROR(__xludf.DUMMYFUNCTION("""COMPUTED_VALUE"""),"New Mexico")</f>
        <v>New Mexico</v>
      </c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</row>
    <row r="4839">
      <c r="A4839" s="4">
        <f>IFERROR(__xludf.DUMMYFUNCTION("""COMPUTED_VALUE"""),146.0)</f>
        <v>146</v>
      </c>
      <c r="B4839" s="4">
        <f>IFERROR(__xludf.DUMMYFUNCTION("""COMPUTED_VALUE"""),146.0)</f>
        <v>146</v>
      </c>
      <c r="C4839" s="4" t="str">
        <f>IFERROR(__xludf.DUMMYFUNCTION("""COMPUTED_VALUE"""),"GSW")</f>
        <v>GSW</v>
      </c>
      <c r="D4839" s="4" t="str">
        <f>IFERROR(__xludf.DUMMYFUNCTION("""COMPUTED_VALUE"""),"Jerry Thruston")</f>
        <v>Jerry Thruston</v>
      </c>
      <c r="E4839" s="4" t="str">
        <f>IFERROR(__xludf.DUMMYFUNCTION("""COMPUTED_VALUE"""),"Mercer University")</f>
        <v>Mercer University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</row>
    <row r="4840">
      <c r="A4840" s="4">
        <f>IFERROR(__xludf.DUMMYFUNCTION("""COMPUTED_VALUE"""),147.0)</f>
        <v>147</v>
      </c>
      <c r="B4840" s="4">
        <f>IFERROR(__xludf.DUMMYFUNCTION("""COMPUTED_VALUE"""),147.0)</f>
        <v>147</v>
      </c>
      <c r="C4840" s="4" t="str">
        <f>IFERROR(__xludf.DUMMYFUNCTION("""COMPUTED_VALUE"""),"WSB")</f>
        <v>WSB</v>
      </c>
      <c r="D4840" s="4" t="str">
        <f>IFERROR(__xludf.DUMMYFUNCTION("""COMPUTED_VALUE"""),"Calvin Brown")</f>
        <v>Calvin Brown</v>
      </c>
      <c r="E4840" s="4" t="str">
        <f>IFERROR(__xludf.DUMMYFUNCTION("""COMPUTED_VALUE"""),"American University")</f>
        <v>American University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</row>
    <row r="4841">
      <c r="A4841" s="4">
        <f>IFERROR(__xludf.DUMMYFUNCTION("""COMPUTED_VALUE"""),148.0)</f>
        <v>148</v>
      </c>
      <c r="B4841" s="4">
        <f>IFERROR(__xludf.DUMMYFUNCTION("""COMPUTED_VALUE"""),148.0)</f>
        <v>148</v>
      </c>
      <c r="C4841" s="4" t="str">
        <f>IFERROR(__xludf.DUMMYFUNCTION("""COMPUTED_VALUE"""),"POR")</f>
        <v>POR</v>
      </c>
      <c r="D4841" s="4" t="str">
        <f>IFERROR(__xludf.DUMMYFUNCTION("""COMPUTED_VALUE"""),"Don Smith")</f>
        <v>Don Smith</v>
      </c>
      <c r="E4841" s="4" t="str">
        <f>IFERROR(__xludf.DUMMYFUNCTION("""COMPUTED_VALUE"""),"Oregon State")</f>
        <v>Oregon State</v>
      </c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</row>
    <row r="4842">
      <c r="A4842" s="4">
        <f>IFERROR(__xludf.DUMMYFUNCTION("""COMPUTED_VALUE"""),149.0)</f>
        <v>149</v>
      </c>
      <c r="B4842" s="4">
        <f>IFERROR(__xludf.DUMMYFUNCTION("""COMPUTED_VALUE"""),149.0)</f>
        <v>149</v>
      </c>
      <c r="C4842" s="4" t="str">
        <f>IFERROR(__xludf.DUMMYFUNCTION("""COMPUTED_VALUE"""),"PHI")</f>
        <v>PHI</v>
      </c>
      <c r="D4842" s="4" t="str">
        <f>IFERROR(__xludf.DUMMYFUNCTION("""COMPUTED_VALUE"""),"Dennis Forrest")</f>
        <v>Dennis Forrest</v>
      </c>
      <c r="E4842" s="4" t="str">
        <f>IFERROR(__xludf.DUMMYFUNCTION("""COMPUTED_VALUE"""),"Nebraska-Omaha")</f>
        <v>Nebraska-Omaha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</row>
    <row r="4843">
      <c r="A4843" s="4">
        <f>IFERROR(__xludf.DUMMYFUNCTION("""COMPUTED_VALUE"""),150.0)</f>
        <v>150</v>
      </c>
      <c r="B4843" s="4">
        <f>IFERROR(__xludf.DUMMYFUNCTION("""COMPUTED_VALUE"""),150.0)</f>
        <v>150</v>
      </c>
      <c r="C4843" s="4" t="str">
        <f>IFERROR(__xludf.DUMMYFUNCTION("""COMPUTED_VALUE"""),"DEN")</f>
        <v>DEN</v>
      </c>
      <c r="D4843" s="4" t="str">
        <f>IFERROR(__xludf.DUMMYFUNCTION("""COMPUTED_VALUE"""),"Willie High")</f>
        <v>Willie High</v>
      </c>
      <c r="E4843" s="4" t="str">
        <f>IFERROR(__xludf.DUMMYFUNCTION("""COMPUTED_VALUE"""),"Alabama State University")</f>
        <v>Alabama State University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</row>
    <row r="4844">
      <c r="A4844" s="4">
        <f>IFERROR(__xludf.DUMMYFUNCTION("""COMPUTED_VALUE"""),151.0)</f>
        <v>151</v>
      </c>
      <c r="B4844" s="4">
        <f>IFERROR(__xludf.DUMMYFUNCTION("""COMPUTED_VALUE"""),151.0)</f>
        <v>151</v>
      </c>
      <c r="C4844" s="4" t="str">
        <f>IFERROR(__xludf.DUMMYFUNCTION("""COMPUTED_VALUE"""),"LAL")</f>
        <v>LAL</v>
      </c>
      <c r="D4844" s="4" t="str">
        <f>IFERROR(__xludf.DUMMYFUNCTION("""COMPUTED_VALUE"""),"Lars Hansen")</f>
        <v>Lars Hansen</v>
      </c>
      <c r="E4844" s="4" t="str">
        <f>IFERROR(__xludf.DUMMYFUNCTION("""COMPUTED_VALUE"""),"Washington")</f>
        <v>Washington</v>
      </c>
      <c r="F4844" s="4">
        <f>IFERROR(__xludf.DUMMYFUNCTION("""COMPUTED_VALUE"""),1.0)</f>
        <v>1</v>
      </c>
      <c r="G4844" s="4">
        <f>IFERROR(__xludf.DUMMYFUNCTION("""COMPUTED_VALUE"""),15.0)</f>
        <v>15</v>
      </c>
      <c r="H4844" s="4">
        <f>IFERROR(__xludf.DUMMYFUNCTION("""COMPUTED_VALUE"""),205.0)</f>
        <v>205</v>
      </c>
      <c r="I4844" s="4">
        <f>IFERROR(__xludf.DUMMYFUNCTION("""COMPUTED_VALUE"""),76.0)</f>
        <v>76</v>
      </c>
      <c r="J4844" s="4">
        <f>IFERROR(__xludf.DUMMYFUNCTION("""COMPUTED_VALUE"""),59.0)</f>
        <v>59</v>
      </c>
      <c r="K4844" s="4">
        <f>IFERROR(__xludf.DUMMYFUNCTION("""COMPUTED_VALUE"""),14.0)</f>
        <v>14</v>
      </c>
      <c r="L4844" s="4">
        <f>IFERROR(__xludf.DUMMYFUNCTION("""COMPUTED_VALUE"""),0.509)</f>
        <v>0.509</v>
      </c>
      <c r="M4844" s="4"/>
      <c r="N4844" s="4">
        <f>IFERROR(__xludf.DUMMYFUNCTION("""COMPUTED_VALUE"""),0.581)</f>
        <v>0.581</v>
      </c>
      <c r="O4844" s="4">
        <f>IFERROR(__xludf.DUMMYFUNCTION("""COMPUTED_VALUE"""),13.7)</f>
        <v>13.7</v>
      </c>
      <c r="P4844" s="4">
        <f>IFERROR(__xludf.DUMMYFUNCTION("""COMPUTED_VALUE"""),5.1)</f>
        <v>5.1</v>
      </c>
      <c r="Q4844" s="4">
        <f>IFERROR(__xludf.DUMMYFUNCTION("""COMPUTED_VALUE"""),3.9)</f>
        <v>3.9</v>
      </c>
      <c r="R4844" s="4">
        <f>IFERROR(__xludf.DUMMYFUNCTION("""COMPUTED_VALUE"""),0.9)</f>
        <v>0.9</v>
      </c>
      <c r="S4844" s="4">
        <f>IFERROR(__xludf.DUMMYFUNCTION("""COMPUTED_VALUE"""),0.6)</f>
        <v>0.6</v>
      </c>
      <c r="T4844" s="4">
        <f>IFERROR(__xludf.DUMMYFUNCTION("""COMPUTED_VALUE"""),0.149)</f>
        <v>0.149</v>
      </c>
      <c r="U4844" s="4">
        <f>IFERROR(__xludf.DUMMYFUNCTION("""COMPUTED_VALUE"""),-1.3)</f>
        <v>-1.3</v>
      </c>
      <c r="V4844" s="4">
        <f>IFERROR(__xludf.DUMMYFUNCTION("""COMPUTED_VALUE"""),0.1)</f>
        <v>0.1</v>
      </c>
    </row>
    <row r="4845">
      <c r="A4845" s="4"/>
      <c r="B4845" s="4"/>
      <c r="C4845" s="4"/>
      <c r="D4845" s="4" t="str">
        <f>IFERROR(__xludf.DUMMYFUNCTION("""COMPUTED_VALUE"""),"Round 8")</f>
        <v>Round 8</v>
      </c>
      <c r="E4845" s="4"/>
      <c r="F4845" s="4"/>
      <c r="G4845" s="4" t="str">
        <f>IFERROR(__xludf.DUMMYFUNCTION("""COMPUTED_VALUE"""),"Totals")</f>
        <v>Totals</v>
      </c>
      <c r="H4845" s="4"/>
      <c r="I4845" s="4"/>
      <c r="J4845" s="4"/>
      <c r="K4845" s="4"/>
      <c r="L4845" s="4" t="str">
        <f>IFERROR(__xludf.DUMMYFUNCTION("""COMPUTED_VALUE"""),"Shooting")</f>
        <v>Shooting</v>
      </c>
      <c r="M4845" s="4"/>
      <c r="N4845" s="4"/>
      <c r="O4845" s="4" t="str">
        <f>IFERROR(__xludf.DUMMYFUNCTION("""COMPUTED_VALUE"""),"Per Game")</f>
        <v>Per Game</v>
      </c>
      <c r="P4845" s="4"/>
      <c r="Q4845" s="4"/>
      <c r="R4845" s="4"/>
      <c r="S4845" s="4" t="str">
        <f>IFERROR(__xludf.DUMMYFUNCTION("""COMPUTED_VALUE"""),"Advanced")</f>
        <v>Advanced</v>
      </c>
      <c r="T4845" s="4"/>
      <c r="U4845" s="4"/>
      <c r="V4845" s="4"/>
    </row>
    <row r="4846">
      <c r="A4846" s="4" t="str">
        <f>IFERROR(__xludf.DUMMYFUNCTION("""COMPUTED_VALUE"""),"Rk")</f>
        <v>Rk</v>
      </c>
      <c r="B4846" s="4" t="str">
        <f>IFERROR(__xludf.DUMMYFUNCTION("""COMPUTED_VALUE"""),"Pk")</f>
        <v>Pk</v>
      </c>
      <c r="C4846" s="4" t="str">
        <f>IFERROR(__xludf.DUMMYFUNCTION("""COMPUTED_VALUE"""),"Tm")</f>
        <v>Tm</v>
      </c>
      <c r="D4846" s="4" t="str">
        <f>IFERROR(__xludf.DUMMYFUNCTION("""COMPUTED_VALUE"""),"Player")</f>
        <v>Player</v>
      </c>
      <c r="E4846" s="4" t="str">
        <f>IFERROR(__xludf.DUMMYFUNCTION("""COMPUTED_VALUE"""),"College")</f>
        <v>College</v>
      </c>
      <c r="F4846" s="4" t="str">
        <f>IFERROR(__xludf.DUMMYFUNCTION("""COMPUTED_VALUE"""),"Yrs")</f>
        <v>Yrs</v>
      </c>
      <c r="G4846" s="4" t="str">
        <f>IFERROR(__xludf.DUMMYFUNCTION("""COMPUTED_VALUE"""),"G")</f>
        <v>G</v>
      </c>
      <c r="H4846" s="4" t="str">
        <f>IFERROR(__xludf.DUMMYFUNCTION("""COMPUTED_VALUE"""),"MP")</f>
        <v>MP</v>
      </c>
      <c r="I4846" s="4" t="str">
        <f>IFERROR(__xludf.DUMMYFUNCTION("""COMPUTED_VALUE"""),"PTS")</f>
        <v>PTS</v>
      </c>
      <c r="J4846" s="4" t="str">
        <f>IFERROR(__xludf.DUMMYFUNCTION("""COMPUTED_VALUE"""),"TRB")</f>
        <v>TRB</v>
      </c>
      <c r="K4846" s="4" t="str">
        <f>IFERROR(__xludf.DUMMYFUNCTION("""COMPUTED_VALUE"""),"AST")</f>
        <v>AST</v>
      </c>
      <c r="L4846" s="4" t="str">
        <f>IFERROR(__xludf.DUMMYFUNCTION("""COMPUTED_VALUE"""),"FG%")</f>
        <v>FG%</v>
      </c>
      <c r="M4846" s="4" t="str">
        <f>IFERROR(__xludf.DUMMYFUNCTION("""COMPUTED_VALUE"""),"3P%")</f>
        <v>3P%</v>
      </c>
      <c r="N4846" s="4" t="str">
        <f>IFERROR(__xludf.DUMMYFUNCTION("""COMPUTED_VALUE"""),"FT%")</f>
        <v>FT%</v>
      </c>
      <c r="O4846" s="4" t="str">
        <f>IFERROR(__xludf.DUMMYFUNCTION("""COMPUTED_VALUE"""),"MP")</f>
        <v>MP</v>
      </c>
      <c r="P4846" s="4" t="str">
        <f>IFERROR(__xludf.DUMMYFUNCTION("""COMPUTED_VALUE"""),"PTS")</f>
        <v>PTS</v>
      </c>
      <c r="Q4846" s="4" t="str">
        <f>IFERROR(__xludf.DUMMYFUNCTION("""COMPUTED_VALUE"""),"TRB")</f>
        <v>TRB</v>
      </c>
      <c r="R4846" s="4" t="str">
        <f>IFERROR(__xludf.DUMMYFUNCTION("""COMPUTED_VALUE"""),"AST")</f>
        <v>AST</v>
      </c>
      <c r="S4846" s="4" t="str">
        <f>IFERROR(__xludf.DUMMYFUNCTION("""COMPUTED_VALUE"""),"WS")</f>
        <v>WS</v>
      </c>
      <c r="T4846" s="4" t="str">
        <f>IFERROR(__xludf.DUMMYFUNCTION("""COMPUTED_VALUE"""),"WS/48")</f>
        <v>WS/48</v>
      </c>
      <c r="U4846" s="4" t="str">
        <f>IFERROR(__xludf.DUMMYFUNCTION("""COMPUTED_VALUE"""),"BPM")</f>
        <v>BPM</v>
      </c>
      <c r="V4846" s="4" t="str">
        <f>IFERROR(__xludf.DUMMYFUNCTION("""COMPUTED_VALUE"""),"VORP")</f>
        <v>VORP</v>
      </c>
    </row>
    <row r="4847">
      <c r="A4847" s="4">
        <f>IFERROR(__xludf.DUMMYFUNCTION("""COMPUTED_VALUE"""),152.0)</f>
        <v>152</v>
      </c>
      <c r="B4847" s="4">
        <f>IFERROR(__xludf.DUMMYFUNCTION("""COMPUTED_VALUE"""),152.0)</f>
        <v>152</v>
      </c>
      <c r="C4847" s="4" t="str">
        <f>IFERROR(__xludf.DUMMYFUNCTION("""COMPUTED_VALUE"""),"NJN")</f>
        <v>NJN</v>
      </c>
      <c r="D4847" s="4" t="str">
        <f>IFERROR(__xludf.DUMMYFUNCTION("""COMPUTED_VALUE"""),"Ralph Drollinger")</f>
        <v>Ralph Drollinger</v>
      </c>
      <c r="E4847" s="4" t="str">
        <f>IFERROR(__xludf.DUMMYFUNCTION("""COMPUTED_VALUE"""),"UCLA")</f>
        <v>UCLA</v>
      </c>
      <c r="F4847" s="4">
        <f>IFERROR(__xludf.DUMMYFUNCTION("""COMPUTED_VALUE"""),1.0)</f>
        <v>1</v>
      </c>
      <c r="G4847" s="4">
        <f>IFERROR(__xludf.DUMMYFUNCTION("""COMPUTED_VALUE"""),6.0)</f>
        <v>6</v>
      </c>
      <c r="H4847" s="4">
        <f>IFERROR(__xludf.DUMMYFUNCTION("""COMPUTED_VALUE"""),67.0)</f>
        <v>67</v>
      </c>
      <c r="I4847" s="4">
        <f>IFERROR(__xludf.DUMMYFUNCTION("""COMPUTED_VALUE"""),15.0)</f>
        <v>15</v>
      </c>
      <c r="J4847" s="4">
        <f>IFERROR(__xludf.DUMMYFUNCTION("""COMPUTED_VALUE"""),19.0)</f>
        <v>19</v>
      </c>
      <c r="K4847" s="4">
        <f>IFERROR(__xludf.DUMMYFUNCTION("""COMPUTED_VALUE"""),14.0)</f>
        <v>14</v>
      </c>
      <c r="L4847" s="4">
        <f>IFERROR(__xludf.DUMMYFUNCTION("""COMPUTED_VALUE"""),0.5)</f>
        <v>0.5</v>
      </c>
      <c r="M4847" s="4"/>
      <c r="N4847" s="4">
        <f>IFERROR(__xludf.DUMMYFUNCTION("""COMPUTED_VALUE"""),0.25)</f>
        <v>0.25</v>
      </c>
      <c r="O4847" s="4">
        <f>IFERROR(__xludf.DUMMYFUNCTION("""COMPUTED_VALUE"""),11.2)</f>
        <v>11.2</v>
      </c>
      <c r="P4847" s="4">
        <f>IFERROR(__xludf.DUMMYFUNCTION("""COMPUTED_VALUE"""),2.5)</f>
        <v>2.5</v>
      </c>
      <c r="Q4847" s="4">
        <f>IFERROR(__xludf.DUMMYFUNCTION("""COMPUTED_VALUE"""),3.2)</f>
        <v>3.2</v>
      </c>
      <c r="R4847" s="4">
        <f>IFERROR(__xludf.DUMMYFUNCTION("""COMPUTED_VALUE"""),2.3)</f>
        <v>2.3</v>
      </c>
      <c r="S4847" s="4">
        <f>IFERROR(__xludf.DUMMYFUNCTION("""COMPUTED_VALUE"""),-0.2)</f>
        <v>-0.2</v>
      </c>
      <c r="T4847" s="4">
        <f>IFERROR(__xludf.DUMMYFUNCTION("""COMPUTED_VALUE"""),-0.117)</f>
        <v>-0.117</v>
      </c>
      <c r="U4847" s="4">
        <f>IFERROR(__xludf.DUMMYFUNCTION("""COMPUTED_VALUE"""),-4.1)</f>
        <v>-4.1</v>
      </c>
      <c r="V4847" s="4">
        <f>IFERROR(__xludf.DUMMYFUNCTION("""COMPUTED_VALUE"""),-0.1)</f>
        <v>-0.1</v>
      </c>
    </row>
    <row r="4848">
      <c r="A4848" s="4">
        <f>IFERROR(__xludf.DUMMYFUNCTION("""COMPUTED_VALUE"""),153.0)</f>
        <v>153</v>
      </c>
      <c r="B4848" s="4">
        <f>IFERROR(__xludf.DUMMYFUNCTION("""COMPUTED_VALUE"""),153.0)</f>
        <v>153</v>
      </c>
      <c r="C4848" s="4" t="str">
        <f>IFERROR(__xludf.DUMMYFUNCTION("""COMPUTED_VALUE"""),"BUF")</f>
        <v>BUF</v>
      </c>
      <c r="D4848" s="4" t="str">
        <f>IFERROR(__xludf.DUMMYFUNCTION("""COMPUTED_VALUE"""),"Emery Sammons")</f>
        <v>Emery Sammons</v>
      </c>
      <c r="E4848" s="4" t="str">
        <f>IFERROR(__xludf.DUMMYFUNCTION("""COMPUTED_VALUE"""),"Philadelphia University")</f>
        <v>Philadelphia University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</row>
    <row r="4849">
      <c r="A4849" s="4">
        <f>IFERROR(__xludf.DUMMYFUNCTION("""COMPUTED_VALUE"""),154.0)</f>
        <v>154</v>
      </c>
      <c r="B4849" s="4">
        <f>IFERROR(__xludf.DUMMYFUNCTION("""COMPUTED_VALUE"""),154.0)</f>
        <v>154</v>
      </c>
      <c r="C4849" s="4" t="str">
        <f>IFERROR(__xludf.DUMMYFUNCTION("""COMPUTED_VALUE"""),"MIL")</f>
        <v>MIL</v>
      </c>
      <c r="D4849" s="4" t="str">
        <f>IFERROR(__xludf.DUMMYFUNCTION("""COMPUTED_VALUE"""),"Larry Pikes")</f>
        <v>Larry Pikes</v>
      </c>
      <c r="E4849" s="4" t="str">
        <f>IFERROR(__xludf.DUMMYFUNCTION("""COMPUTED_VALUE"""),"UW-Milwaukee")</f>
        <v>UW-Milwaukee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</row>
    <row r="4850">
      <c r="A4850" s="4">
        <f>IFERROR(__xludf.DUMMYFUNCTION("""COMPUTED_VALUE"""),155.0)</f>
        <v>155</v>
      </c>
      <c r="B4850" s="4">
        <f>IFERROR(__xludf.DUMMYFUNCTION("""COMPUTED_VALUE"""),155.0)</f>
        <v>155</v>
      </c>
      <c r="C4850" s="4" t="str">
        <f>IFERROR(__xludf.DUMMYFUNCTION("""COMPUTED_VALUE"""),"ATL")</f>
        <v>ATL</v>
      </c>
      <c r="D4850" s="4" t="str">
        <f>IFERROR(__xludf.DUMMYFUNCTION("""COMPUTED_VALUE"""),"Verne Thompson")</f>
        <v>Verne Thompson</v>
      </c>
      <c r="E4850" s="4" t="str">
        <f>IFERROR(__xludf.DUMMYFUNCTION("""COMPUTED_VALUE"""),"BYU")</f>
        <v>BYU</v>
      </c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</row>
    <row r="4851">
      <c r="A4851" s="4">
        <f>IFERROR(__xludf.DUMMYFUNCTION("""COMPUTED_VALUE"""),156.0)</f>
        <v>156</v>
      </c>
      <c r="B4851" s="4">
        <f>IFERROR(__xludf.DUMMYFUNCTION("""COMPUTED_VALUE"""),156.0)</f>
        <v>156</v>
      </c>
      <c r="C4851" s="4" t="str">
        <f>IFERROR(__xludf.DUMMYFUNCTION("""COMPUTED_VALUE"""),"PHO")</f>
        <v>PHO</v>
      </c>
      <c r="D4851" s="4" t="str">
        <f>IFERROR(__xludf.DUMMYFUNCTION("""COMPUTED_VALUE"""),"Alvin Joseph")</f>
        <v>Alvin Joseph</v>
      </c>
      <c r="E4851" s="4" t="str">
        <f>IFERROR(__xludf.DUMMYFUNCTION("""COMPUTED_VALUE"""),"University of California, Riverside")</f>
        <v>University of California, Riverside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</row>
    <row r="4852">
      <c r="A4852" s="4">
        <f>IFERROR(__xludf.DUMMYFUNCTION("""COMPUTED_VALUE"""),157.0)</f>
        <v>157</v>
      </c>
      <c r="B4852" s="4">
        <f>IFERROR(__xludf.DUMMYFUNCTION("""COMPUTED_VALUE"""),157.0)</f>
        <v>157</v>
      </c>
      <c r="C4852" s="4" t="str">
        <f>IFERROR(__xludf.DUMMYFUNCTION("""COMPUTED_VALUE"""),"NOJ")</f>
        <v>NOJ</v>
      </c>
      <c r="D4852" s="4" t="str">
        <f>IFERROR(__xludf.DUMMYFUNCTION("""COMPUTED_VALUE"""),"Dave Speicher")</f>
        <v>Dave Speicher</v>
      </c>
      <c r="E4852" s="4" t="str">
        <f>IFERROR(__xludf.DUMMYFUNCTION("""COMPUTED_VALUE"""),"Toledo")</f>
        <v>Toledo</v>
      </c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</row>
    <row r="4853">
      <c r="A4853" s="4">
        <f>IFERROR(__xludf.DUMMYFUNCTION("""COMPUTED_VALUE"""),158.0)</f>
        <v>158</v>
      </c>
      <c r="B4853" s="4">
        <f>IFERROR(__xludf.DUMMYFUNCTION("""COMPUTED_VALUE"""),158.0)</f>
        <v>158</v>
      </c>
      <c r="C4853" s="4" t="str">
        <f>IFERROR(__xludf.DUMMYFUNCTION("""COMPUTED_VALUE"""),"SEA")</f>
        <v>SEA</v>
      </c>
      <c r="D4853" s="4" t="str">
        <f>IFERROR(__xludf.DUMMYFUNCTION("""COMPUTED_VALUE"""),"Jeff Frey")</f>
        <v>Jeff Frey</v>
      </c>
      <c r="E4853" s="4" t="str">
        <f>IFERROR(__xludf.DUMMYFUNCTION("""COMPUTED_VALUE"""),"University of Evansville")</f>
        <v>University of Evansville</v>
      </c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</row>
    <row r="4854">
      <c r="A4854" s="4">
        <f>IFERROR(__xludf.DUMMYFUNCTION("""COMPUTED_VALUE"""),159.0)</f>
        <v>159</v>
      </c>
      <c r="B4854" s="4">
        <f>IFERROR(__xludf.DUMMYFUNCTION("""COMPUTED_VALUE"""),159.0)</f>
        <v>159</v>
      </c>
      <c r="C4854" s="4" t="str">
        <f>IFERROR(__xludf.DUMMYFUNCTION("""COMPUTED_VALUE"""),"NYK")</f>
        <v>NYK</v>
      </c>
      <c r="D4854" s="4" t="str">
        <f>IFERROR(__xludf.DUMMYFUNCTION("""COMPUTED_VALUE"""),"Ken Slappy")</f>
        <v>Ken Slappy</v>
      </c>
      <c r="E4854" s="4" t="str">
        <f>IFERROR(__xludf.DUMMYFUNCTION("""COMPUTED_VALUE"""),"Saint Peter's College")</f>
        <v>Saint Peter's College</v>
      </c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</row>
    <row r="4855">
      <c r="A4855" s="4">
        <f>IFERROR(__xludf.DUMMYFUNCTION("""COMPUTED_VALUE"""),160.0)</f>
        <v>160</v>
      </c>
      <c r="B4855" s="4">
        <f>IFERROR(__xludf.DUMMYFUNCTION("""COMPUTED_VALUE"""),160.0)</f>
        <v>160</v>
      </c>
      <c r="C4855" s="4" t="str">
        <f>IFERROR(__xludf.DUMMYFUNCTION("""COMPUTED_VALUE"""),"CLE")</f>
        <v>CLE</v>
      </c>
      <c r="D4855" s="4" t="str">
        <f>IFERROR(__xludf.DUMMYFUNCTION("""COMPUTED_VALUE"""),"Tom Cutter")</f>
        <v>Tom Cutter</v>
      </c>
      <c r="E4855" s="4" t="str">
        <f>IFERROR(__xludf.DUMMYFUNCTION("""COMPUTED_VALUE"""),"Western Michigan")</f>
        <v>Western Michigan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</row>
    <row r="4856">
      <c r="A4856" s="4">
        <f>IFERROR(__xludf.DUMMYFUNCTION("""COMPUTED_VALUE"""),161.0)</f>
        <v>161</v>
      </c>
      <c r="B4856" s="4">
        <f>IFERROR(__xludf.DUMMYFUNCTION("""COMPUTED_VALUE"""),161.0)</f>
        <v>161</v>
      </c>
      <c r="C4856" s="4" t="str">
        <f>IFERROR(__xludf.DUMMYFUNCTION("""COMPUTED_VALUE"""),"BOS")</f>
        <v>BOS</v>
      </c>
      <c r="D4856" s="4" t="str">
        <f>IFERROR(__xludf.DUMMYFUNCTION("""COMPUTED_VALUE"""),"Tom Harris")</f>
        <v>Tom Harris</v>
      </c>
      <c r="E4856" s="4" t="str">
        <f>IFERROR(__xludf.DUMMYFUNCTION("""COMPUTED_VALUE"""),"Bowling Green")</f>
        <v>Bowling Green</v>
      </c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</row>
    <row r="4857">
      <c r="A4857" s="4">
        <f>IFERROR(__xludf.DUMMYFUNCTION("""COMPUTED_VALUE"""),162.0)</f>
        <v>162</v>
      </c>
      <c r="B4857" s="4">
        <f>IFERROR(__xludf.DUMMYFUNCTION("""COMPUTED_VALUE"""),162.0)</f>
        <v>162</v>
      </c>
      <c r="C4857" s="4" t="str">
        <f>IFERROR(__xludf.DUMMYFUNCTION("""COMPUTED_VALUE"""),"CHI")</f>
        <v>CHI</v>
      </c>
      <c r="D4857" s="4" t="str">
        <f>IFERROR(__xludf.DUMMYFUNCTION("""COMPUTED_VALUE"""),"Rich Rhodes")</f>
        <v>Rich Rhodes</v>
      </c>
      <c r="E4857" s="4" t="str">
        <f>IFERROR(__xludf.DUMMYFUNCTION("""COMPUTED_VALUE"""),"Eastern Illinois University")</f>
        <v>Eastern Illinois University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</row>
    <row r="4858">
      <c r="A4858" s="4">
        <f>IFERROR(__xludf.DUMMYFUNCTION("""COMPUTED_VALUE"""),163.0)</f>
        <v>163</v>
      </c>
      <c r="B4858" s="4">
        <f>IFERROR(__xludf.DUMMYFUNCTION("""COMPUTED_VALUE"""),163.0)</f>
        <v>163</v>
      </c>
      <c r="C4858" s="4" t="str">
        <f>IFERROR(__xludf.DUMMYFUNCTION("""COMPUTED_VALUE"""),"DET")</f>
        <v>DET</v>
      </c>
      <c r="D4858" s="4" t="str">
        <f>IFERROR(__xludf.DUMMYFUNCTION("""COMPUTED_VALUE"""),"Tim Appleton")</f>
        <v>Tim Appleton</v>
      </c>
      <c r="E4858" s="4" t="str">
        <f>IFERROR(__xludf.DUMMYFUNCTION("""COMPUTED_VALUE"""),"Kenyon College")</f>
        <v>Kenyon College</v>
      </c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</row>
    <row r="4859">
      <c r="A4859" s="4">
        <f>IFERROR(__xludf.DUMMYFUNCTION("""COMPUTED_VALUE"""),164.0)</f>
        <v>164</v>
      </c>
      <c r="B4859" s="4">
        <f>IFERROR(__xludf.DUMMYFUNCTION("""COMPUTED_VALUE"""),164.0)</f>
        <v>164</v>
      </c>
      <c r="C4859" s="4" t="str">
        <f>IFERROR(__xludf.DUMMYFUNCTION("""COMPUTED_VALUE"""),"SAS")</f>
        <v>SAS</v>
      </c>
      <c r="D4859" s="4" t="str">
        <f>IFERROR(__xludf.DUMMYFUNCTION("""COMPUTED_VALUE"""),"Jerome Gladney")</f>
        <v>Jerome Gladney</v>
      </c>
      <c r="E4859" s="4" t="str">
        <f>IFERROR(__xludf.DUMMYFUNCTION("""COMPUTED_VALUE"""),"Arizona")</f>
        <v>Arizona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</row>
    <row r="4860">
      <c r="A4860" s="4">
        <f>IFERROR(__xludf.DUMMYFUNCTION("""COMPUTED_VALUE"""),165.0)</f>
        <v>165</v>
      </c>
      <c r="B4860" s="4">
        <f>IFERROR(__xludf.DUMMYFUNCTION("""COMPUTED_VALUE"""),165.0)</f>
        <v>165</v>
      </c>
      <c r="C4860" s="4" t="str">
        <f>IFERROR(__xludf.DUMMYFUNCTION("""COMPUTED_VALUE"""),"GSW")</f>
        <v>GSW</v>
      </c>
      <c r="D4860" s="4" t="str">
        <f>IFERROR(__xludf.DUMMYFUNCTION("""COMPUTED_VALUE"""),"Ricky Marsh")</f>
        <v>Ricky Marsh</v>
      </c>
      <c r="E4860" s="4" t="str">
        <f>IFERROR(__xludf.DUMMYFUNCTION("""COMPUTED_VALUE"""),"Manhattan University")</f>
        <v>Manhattan University</v>
      </c>
      <c r="F4860" s="4">
        <f>IFERROR(__xludf.DUMMYFUNCTION("""COMPUTED_VALUE"""),1.0)</f>
        <v>1</v>
      </c>
      <c r="G4860" s="4">
        <f>IFERROR(__xludf.DUMMYFUNCTION("""COMPUTED_VALUE"""),60.0)</f>
        <v>60</v>
      </c>
      <c r="H4860" s="4">
        <f>IFERROR(__xludf.DUMMYFUNCTION("""COMPUTED_VALUE"""),851.0)</f>
        <v>851</v>
      </c>
      <c r="I4860" s="4">
        <f>IFERROR(__xludf.DUMMYFUNCTION("""COMPUTED_VALUE"""),269.0)</f>
        <v>269</v>
      </c>
      <c r="J4860" s="4">
        <f>IFERROR(__xludf.DUMMYFUNCTION("""COMPUTED_VALUE"""),75.0)</f>
        <v>75</v>
      </c>
      <c r="K4860" s="4">
        <f>IFERROR(__xludf.DUMMYFUNCTION("""COMPUTED_VALUE"""),90.0)</f>
        <v>90</v>
      </c>
      <c r="L4860" s="4">
        <f>IFERROR(__xludf.DUMMYFUNCTION("""COMPUTED_VALUE"""),0.426)</f>
        <v>0.426</v>
      </c>
      <c r="M4860" s="4"/>
      <c r="N4860" s="4">
        <f>IFERROR(__xludf.DUMMYFUNCTION("""COMPUTED_VALUE"""),0.697)</f>
        <v>0.697</v>
      </c>
      <c r="O4860" s="4">
        <f>IFERROR(__xludf.DUMMYFUNCTION("""COMPUTED_VALUE"""),14.2)</f>
        <v>14.2</v>
      </c>
      <c r="P4860" s="4">
        <f>IFERROR(__xludf.DUMMYFUNCTION("""COMPUTED_VALUE"""),4.5)</f>
        <v>4.5</v>
      </c>
      <c r="Q4860" s="4">
        <f>IFERROR(__xludf.DUMMYFUNCTION("""COMPUTED_VALUE"""),1.3)</f>
        <v>1.3</v>
      </c>
      <c r="R4860" s="4">
        <f>IFERROR(__xludf.DUMMYFUNCTION("""COMPUTED_VALUE"""),1.5)</f>
        <v>1.5</v>
      </c>
      <c r="S4860" s="4">
        <f>IFERROR(__xludf.DUMMYFUNCTION("""COMPUTED_VALUE"""),0.5)</f>
        <v>0.5</v>
      </c>
      <c r="T4860" s="4">
        <f>IFERROR(__xludf.DUMMYFUNCTION("""COMPUTED_VALUE"""),0.028)</f>
        <v>0.028</v>
      </c>
      <c r="U4860" s="4">
        <f>IFERROR(__xludf.DUMMYFUNCTION("""COMPUTED_VALUE"""),-3.1)</f>
        <v>-3.1</v>
      </c>
      <c r="V4860" s="4">
        <f>IFERROR(__xludf.DUMMYFUNCTION("""COMPUTED_VALUE"""),-0.2)</f>
        <v>-0.2</v>
      </c>
    </row>
    <row r="4861">
      <c r="A4861" s="4">
        <f>IFERROR(__xludf.DUMMYFUNCTION("""COMPUTED_VALUE"""),166.0)</f>
        <v>166</v>
      </c>
      <c r="B4861" s="4">
        <f>IFERROR(__xludf.DUMMYFUNCTION("""COMPUTED_VALUE"""),166.0)</f>
        <v>166</v>
      </c>
      <c r="C4861" s="4" t="str">
        <f>IFERROR(__xludf.DUMMYFUNCTION("""COMPUTED_VALUE"""),"WSB")</f>
        <v>WSB</v>
      </c>
      <c r="D4861" s="4" t="str">
        <f>IFERROR(__xludf.DUMMYFUNCTION("""COMPUTED_VALUE"""),"Pat McKinley")</f>
        <v>Pat McKinley</v>
      </c>
      <c r="E4861" s="4" t="str">
        <f>IFERROR(__xludf.DUMMYFUNCTION("""COMPUTED_VALUE"""),"Towson University")</f>
        <v>Towson University</v>
      </c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</row>
    <row r="4862">
      <c r="A4862" s="4">
        <f>IFERROR(__xludf.DUMMYFUNCTION("""COMPUTED_VALUE"""),167.0)</f>
        <v>167</v>
      </c>
      <c r="B4862" s="4">
        <f>IFERROR(__xludf.DUMMYFUNCTION("""COMPUTED_VALUE"""),167.0)</f>
        <v>167</v>
      </c>
      <c r="C4862" s="4" t="str">
        <f>IFERROR(__xludf.DUMMYFUNCTION("""COMPUTED_VALUE"""),"POR")</f>
        <v>POR</v>
      </c>
      <c r="D4862" s="4" t="str">
        <f>IFERROR(__xludf.DUMMYFUNCTION("""COMPUTED_VALUE"""),"Harold Rhodes")</f>
        <v>Harold Rhodes</v>
      </c>
      <c r="E4862" s="4" t="str">
        <f>IFERROR(__xludf.DUMMYFUNCTION("""COMPUTED_VALUE"""),"Washington")</f>
        <v>Washington</v>
      </c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</row>
    <row r="4863">
      <c r="A4863" s="4">
        <f>IFERROR(__xludf.DUMMYFUNCTION("""COMPUTED_VALUE"""),168.0)</f>
        <v>168</v>
      </c>
      <c r="B4863" s="4">
        <f>IFERROR(__xludf.DUMMYFUNCTION("""COMPUTED_VALUE"""),168.0)</f>
        <v>168</v>
      </c>
      <c r="C4863" s="4" t="str">
        <f>IFERROR(__xludf.DUMMYFUNCTION("""COMPUTED_VALUE"""),"PHI")</f>
        <v>PHI</v>
      </c>
      <c r="D4863" s="4" t="str">
        <f>IFERROR(__xludf.DUMMYFUNCTION("""COMPUTED_VALUE"""),"John Olive")</f>
        <v>John Olive</v>
      </c>
      <c r="E4863" s="4" t="str">
        <f>IFERROR(__xludf.DUMMYFUNCTION("""COMPUTED_VALUE"""),"Villanova")</f>
        <v>Villanova</v>
      </c>
      <c r="F4863" s="4">
        <f>IFERROR(__xludf.DUMMYFUNCTION("""COMPUTED_VALUE"""),2.0)</f>
        <v>2</v>
      </c>
      <c r="G4863" s="4">
        <f>IFERROR(__xludf.DUMMYFUNCTION("""COMPUTED_VALUE"""),35.0)</f>
        <v>35</v>
      </c>
      <c r="H4863" s="4">
        <f>IFERROR(__xludf.DUMMYFUNCTION("""COMPUTED_VALUE"""),204.0)</f>
        <v>204</v>
      </c>
      <c r="I4863" s="4">
        <f>IFERROR(__xludf.DUMMYFUNCTION("""COMPUTED_VALUE"""),44.0)</f>
        <v>44</v>
      </c>
      <c r="J4863" s="4">
        <f>IFERROR(__xludf.DUMMYFUNCTION("""COMPUTED_VALUE"""),20.0)</f>
        <v>20</v>
      </c>
      <c r="K4863" s="4">
        <f>IFERROR(__xludf.DUMMYFUNCTION("""COMPUTED_VALUE"""),3.0)</f>
        <v>3</v>
      </c>
      <c r="L4863" s="4">
        <f>IFERROR(__xludf.DUMMYFUNCTION("""COMPUTED_VALUE"""),0.31)</f>
        <v>0.31</v>
      </c>
      <c r="M4863" s="4"/>
      <c r="N4863" s="4">
        <f>IFERROR(__xludf.DUMMYFUNCTION("""COMPUTED_VALUE"""),0.783)</f>
        <v>0.783</v>
      </c>
      <c r="O4863" s="4">
        <f>IFERROR(__xludf.DUMMYFUNCTION("""COMPUTED_VALUE"""),5.8)</f>
        <v>5.8</v>
      </c>
      <c r="P4863" s="4">
        <f>IFERROR(__xludf.DUMMYFUNCTION("""COMPUTED_VALUE"""),1.3)</f>
        <v>1.3</v>
      </c>
      <c r="Q4863" s="4">
        <f>IFERROR(__xludf.DUMMYFUNCTION("""COMPUTED_VALUE"""),0.6)</f>
        <v>0.6</v>
      </c>
      <c r="R4863" s="4">
        <f>IFERROR(__xludf.DUMMYFUNCTION("""COMPUTED_VALUE"""),0.1)</f>
        <v>0.1</v>
      </c>
      <c r="S4863" s="4">
        <f>IFERROR(__xludf.DUMMYFUNCTION("""COMPUTED_VALUE"""),-0.2)</f>
        <v>-0.2</v>
      </c>
      <c r="T4863" s="4">
        <f>IFERROR(__xludf.DUMMYFUNCTION("""COMPUTED_VALUE"""),-0.058)</f>
        <v>-0.058</v>
      </c>
      <c r="U4863" s="4">
        <f>IFERROR(__xludf.DUMMYFUNCTION("""COMPUTED_VALUE"""),-6.4)</f>
        <v>-6.4</v>
      </c>
      <c r="V4863" s="4">
        <f>IFERROR(__xludf.DUMMYFUNCTION("""COMPUTED_VALUE"""),-0.3)</f>
        <v>-0.3</v>
      </c>
    </row>
    <row r="4864">
      <c r="A4864" s="4">
        <f>IFERROR(__xludf.DUMMYFUNCTION("""COMPUTED_VALUE"""),169.0)</f>
        <v>169</v>
      </c>
      <c r="B4864" s="4">
        <f>IFERROR(__xludf.DUMMYFUNCTION("""COMPUTED_VALUE"""),169.0)</f>
        <v>169</v>
      </c>
      <c r="C4864" s="4" t="str">
        <f>IFERROR(__xludf.DUMMYFUNCTION("""COMPUTED_VALUE"""),"DEN")</f>
        <v>DEN</v>
      </c>
      <c r="D4864" s="4" t="str">
        <f>IFERROR(__xludf.DUMMYFUNCTION("""COMPUTED_VALUE"""),"Len Sanders")</f>
        <v>Len Sanders</v>
      </c>
      <c r="E4864" s="4" t="str">
        <f>IFERROR(__xludf.DUMMYFUNCTION("""COMPUTED_VALUE"""),"Florida")</f>
        <v>Florida</v>
      </c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</row>
    <row r="4865">
      <c r="A4865" s="4">
        <f>IFERROR(__xludf.DUMMYFUNCTION("""COMPUTED_VALUE"""),170.0)</f>
        <v>170</v>
      </c>
      <c r="B4865" s="4">
        <f>IFERROR(__xludf.DUMMYFUNCTION("""COMPUTED_VALUE"""),170.0)</f>
        <v>170</v>
      </c>
      <c r="C4865" s="4" t="str">
        <f>IFERROR(__xludf.DUMMYFUNCTION("""COMPUTED_VALUE"""),"LAL")</f>
        <v>LAL</v>
      </c>
      <c r="D4865" s="4" t="str">
        <f>IFERROR(__xludf.DUMMYFUNCTION("""COMPUTED_VALUE"""),"Art Allen")</f>
        <v>Art Allen</v>
      </c>
      <c r="E4865" s="4" t="str">
        <f>IFERROR(__xludf.DUMMYFUNCTION("""COMPUTED_VALUE"""),"Pepperdine")</f>
        <v>Pepperdine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</row>
    <row r="4867">
      <c r="A4867" s="2">
        <v>1976.0</v>
      </c>
    </row>
    <row r="4868">
      <c r="A4868" s="4" t="str">
        <f>IFERROR(__xludf.DUMMYFUNCTION("IMPORTHTML(""https://www.basketball-reference.com/draft/NBA_1976.html"", ""table"", 1)"),"")</f>
        <v/>
      </c>
      <c r="B4868" s="4"/>
      <c r="C4868" s="4"/>
      <c r="D4868" s="4" t="str">
        <f>IFERROR(__xludf.DUMMYFUNCTION("""COMPUTED_VALUE"""),"Round 1")</f>
        <v>Round 1</v>
      </c>
      <c r="E4868" s="4"/>
      <c r="F4868" s="4"/>
      <c r="G4868" s="4" t="str">
        <f>IFERROR(__xludf.DUMMYFUNCTION("""COMPUTED_VALUE"""),"Totals")</f>
        <v>Totals</v>
      </c>
      <c r="H4868" s="4"/>
      <c r="I4868" s="4"/>
      <c r="J4868" s="4"/>
      <c r="K4868" s="4"/>
      <c r="L4868" s="4" t="str">
        <f>IFERROR(__xludf.DUMMYFUNCTION("""COMPUTED_VALUE"""),"Shooting")</f>
        <v>Shooting</v>
      </c>
      <c r="M4868" s="4"/>
      <c r="N4868" s="4"/>
      <c r="O4868" s="4" t="str">
        <f>IFERROR(__xludf.DUMMYFUNCTION("""COMPUTED_VALUE"""),"Per Game")</f>
        <v>Per Game</v>
      </c>
      <c r="P4868" s="4"/>
      <c r="Q4868" s="4"/>
      <c r="R4868" s="4"/>
      <c r="S4868" s="4" t="str">
        <f>IFERROR(__xludf.DUMMYFUNCTION("""COMPUTED_VALUE"""),"Advanced")</f>
        <v>Advanced</v>
      </c>
      <c r="T4868" s="4"/>
      <c r="U4868" s="4"/>
      <c r="V4868" s="4"/>
    </row>
    <row r="4869">
      <c r="A4869" s="4" t="str">
        <f>IFERROR(__xludf.DUMMYFUNCTION("""COMPUTED_VALUE"""),"Rk")</f>
        <v>Rk</v>
      </c>
      <c r="B4869" s="4" t="str">
        <f>IFERROR(__xludf.DUMMYFUNCTION("""COMPUTED_VALUE"""),"Pk")</f>
        <v>Pk</v>
      </c>
      <c r="C4869" s="4" t="str">
        <f>IFERROR(__xludf.DUMMYFUNCTION("""COMPUTED_VALUE"""),"Tm")</f>
        <v>Tm</v>
      </c>
      <c r="D4869" s="4" t="str">
        <f>IFERROR(__xludf.DUMMYFUNCTION("""COMPUTED_VALUE"""),"Player")</f>
        <v>Player</v>
      </c>
      <c r="E4869" s="4" t="str">
        <f>IFERROR(__xludf.DUMMYFUNCTION("""COMPUTED_VALUE"""),"College")</f>
        <v>College</v>
      </c>
      <c r="F4869" s="4" t="str">
        <f>IFERROR(__xludf.DUMMYFUNCTION("""COMPUTED_VALUE"""),"Yrs")</f>
        <v>Yrs</v>
      </c>
      <c r="G4869" s="4" t="str">
        <f>IFERROR(__xludf.DUMMYFUNCTION("""COMPUTED_VALUE"""),"G")</f>
        <v>G</v>
      </c>
      <c r="H4869" s="4" t="str">
        <f>IFERROR(__xludf.DUMMYFUNCTION("""COMPUTED_VALUE"""),"MP")</f>
        <v>MP</v>
      </c>
      <c r="I4869" s="4" t="str">
        <f>IFERROR(__xludf.DUMMYFUNCTION("""COMPUTED_VALUE"""),"PTS")</f>
        <v>PTS</v>
      </c>
      <c r="J4869" s="4" t="str">
        <f>IFERROR(__xludf.DUMMYFUNCTION("""COMPUTED_VALUE"""),"TRB")</f>
        <v>TRB</v>
      </c>
      <c r="K4869" s="4" t="str">
        <f>IFERROR(__xludf.DUMMYFUNCTION("""COMPUTED_VALUE"""),"AST")</f>
        <v>AST</v>
      </c>
      <c r="L4869" s="4" t="str">
        <f>IFERROR(__xludf.DUMMYFUNCTION("""COMPUTED_VALUE"""),"FG%")</f>
        <v>FG%</v>
      </c>
      <c r="M4869" s="4" t="str">
        <f>IFERROR(__xludf.DUMMYFUNCTION("""COMPUTED_VALUE"""),"3P%")</f>
        <v>3P%</v>
      </c>
      <c r="N4869" s="4" t="str">
        <f>IFERROR(__xludf.DUMMYFUNCTION("""COMPUTED_VALUE"""),"FT%")</f>
        <v>FT%</v>
      </c>
      <c r="O4869" s="4" t="str">
        <f>IFERROR(__xludf.DUMMYFUNCTION("""COMPUTED_VALUE"""),"MP")</f>
        <v>MP</v>
      </c>
      <c r="P4869" s="4" t="str">
        <f>IFERROR(__xludf.DUMMYFUNCTION("""COMPUTED_VALUE"""),"PTS")</f>
        <v>PTS</v>
      </c>
      <c r="Q4869" s="4" t="str">
        <f>IFERROR(__xludf.DUMMYFUNCTION("""COMPUTED_VALUE"""),"TRB")</f>
        <v>TRB</v>
      </c>
      <c r="R4869" s="4" t="str">
        <f>IFERROR(__xludf.DUMMYFUNCTION("""COMPUTED_VALUE"""),"AST")</f>
        <v>AST</v>
      </c>
      <c r="S4869" s="4" t="str">
        <f>IFERROR(__xludf.DUMMYFUNCTION("""COMPUTED_VALUE"""),"WS")</f>
        <v>WS</v>
      </c>
      <c r="T4869" s="4" t="str">
        <f>IFERROR(__xludf.DUMMYFUNCTION("""COMPUTED_VALUE"""),"WS/48")</f>
        <v>WS/48</v>
      </c>
      <c r="U4869" s="4" t="str">
        <f>IFERROR(__xludf.DUMMYFUNCTION("""COMPUTED_VALUE"""),"BPM")</f>
        <v>BPM</v>
      </c>
      <c r="V4869" s="4" t="str">
        <f>IFERROR(__xludf.DUMMYFUNCTION("""COMPUTED_VALUE"""),"VORP")</f>
        <v>VORP</v>
      </c>
    </row>
    <row r="4870">
      <c r="A4870" s="4">
        <f>IFERROR(__xludf.DUMMYFUNCTION("""COMPUTED_VALUE"""),1.0)</f>
        <v>1</v>
      </c>
      <c r="B4870" s="4">
        <f>IFERROR(__xludf.DUMMYFUNCTION("""COMPUTED_VALUE"""),1.0)</f>
        <v>1</v>
      </c>
      <c r="C4870" s="4" t="str">
        <f>IFERROR(__xludf.DUMMYFUNCTION("""COMPUTED_VALUE"""),"HOU")</f>
        <v>HOU</v>
      </c>
      <c r="D4870" s="4" t="str">
        <f>IFERROR(__xludf.DUMMYFUNCTION("""COMPUTED_VALUE"""),"John Lucas")</f>
        <v>John Lucas</v>
      </c>
      <c r="E4870" s="4" t="str">
        <f>IFERROR(__xludf.DUMMYFUNCTION("""COMPUTED_VALUE"""),"Maryland")</f>
        <v>Maryland</v>
      </c>
      <c r="F4870" s="4">
        <f>IFERROR(__xludf.DUMMYFUNCTION("""COMPUTED_VALUE"""),14.0)</f>
        <v>14</v>
      </c>
      <c r="G4870" s="4">
        <f>IFERROR(__xludf.DUMMYFUNCTION("""COMPUTED_VALUE"""),928.0)</f>
        <v>928</v>
      </c>
      <c r="H4870" s="4">
        <f>IFERROR(__xludf.DUMMYFUNCTION("""COMPUTED_VALUE"""),25556.0)</f>
        <v>25556</v>
      </c>
      <c r="I4870" s="4">
        <f>IFERROR(__xludf.DUMMYFUNCTION("""COMPUTED_VALUE"""),9951.0)</f>
        <v>9951</v>
      </c>
      <c r="J4870" s="4">
        <f>IFERROR(__xludf.DUMMYFUNCTION("""COMPUTED_VALUE"""),2151.0)</f>
        <v>2151</v>
      </c>
      <c r="K4870" s="4">
        <f>IFERROR(__xludf.DUMMYFUNCTION("""COMPUTED_VALUE"""),6454.0)</f>
        <v>6454</v>
      </c>
      <c r="L4870" s="4">
        <f>IFERROR(__xludf.DUMMYFUNCTION("""COMPUTED_VALUE"""),0.449)</f>
        <v>0.449</v>
      </c>
      <c r="M4870" s="4"/>
      <c r="N4870" s="4">
        <f>IFERROR(__xludf.DUMMYFUNCTION("""COMPUTED_VALUE"""),0.776)</f>
        <v>0.776</v>
      </c>
      <c r="O4870" s="4">
        <f>IFERROR(__xludf.DUMMYFUNCTION("""COMPUTED_VALUE"""),27.5)</f>
        <v>27.5</v>
      </c>
      <c r="P4870" s="4">
        <f>IFERROR(__xludf.DUMMYFUNCTION("""COMPUTED_VALUE"""),10.7)</f>
        <v>10.7</v>
      </c>
      <c r="Q4870" s="4">
        <f>IFERROR(__xludf.DUMMYFUNCTION("""COMPUTED_VALUE"""),2.3)</f>
        <v>2.3</v>
      </c>
      <c r="R4870" s="4">
        <f>IFERROR(__xludf.DUMMYFUNCTION("""COMPUTED_VALUE"""),7.0)</f>
        <v>7</v>
      </c>
      <c r="S4870" s="4">
        <f>IFERROR(__xludf.DUMMYFUNCTION("""COMPUTED_VALUE"""),53.7)</f>
        <v>53.7</v>
      </c>
      <c r="T4870" s="4">
        <f>IFERROR(__xludf.DUMMYFUNCTION("""COMPUTED_VALUE"""),0.101)</f>
        <v>0.101</v>
      </c>
      <c r="U4870" s="4">
        <f>IFERROR(__xludf.DUMMYFUNCTION("""COMPUTED_VALUE"""),1.3)</f>
        <v>1.3</v>
      </c>
      <c r="V4870" s="4">
        <f>IFERROR(__xludf.DUMMYFUNCTION("""COMPUTED_VALUE"""),21.1)</f>
        <v>21.1</v>
      </c>
    </row>
    <row r="4871">
      <c r="A4871" s="4">
        <f>IFERROR(__xludf.DUMMYFUNCTION("""COMPUTED_VALUE"""),2.0)</f>
        <v>2</v>
      </c>
      <c r="B4871" s="4">
        <f>IFERROR(__xludf.DUMMYFUNCTION("""COMPUTED_VALUE"""),2.0)</f>
        <v>2</v>
      </c>
      <c r="C4871" s="4" t="str">
        <f>IFERROR(__xludf.DUMMYFUNCTION("""COMPUTED_VALUE"""),"CHI")</f>
        <v>CHI</v>
      </c>
      <c r="D4871" s="4" t="str">
        <f>IFERROR(__xludf.DUMMYFUNCTION("""COMPUTED_VALUE"""),"Scott May")</f>
        <v>Scott May</v>
      </c>
      <c r="E4871" s="4" t="str">
        <f>IFERROR(__xludf.DUMMYFUNCTION("""COMPUTED_VALUE"""),"Indiana")</f>
        <v>Indiana</v>
      </c>
      <c r="F4871" s="4">
        <f>IFERROR(__xludf.DUMMYFUNCTION("""COMPUTED_VALUE"""),7.0)</f>
        <v>7</v>
      </c>
      <c r="G4871" s="4">
        <f>IFERROR(__xludf.DUMMYFUNCTION("""COMPUTED_VALUE"""),355.0)</f>
        <v>355</v>
      </c>
      <c r="H4871" s="4">
        <f>IFERROR(__xludf.DUMMYFUNCTION("""COMPUTED_VALUE"""),8029.0)</f>
        <v>8029</v>
      </c>
      <c r="I4871" s="4">
        <f>IFERROR(__xludf.DUMMYFUNCTION("""COMPUTED_VALUE"""),3690.0)</f>
        <v>3690</v>
      </c>
      <c r="J4871" s="4">
        <f>IFERROR(__xludf.DUMMYFUNCTION("""COMPUTED_VALUE"""),1450.0)</f>
        <v>1450</v>
      </c>
      <c r="K4871" s="4">
        <f>IFERROR(__xludf.DUMMYFUNCTION("""COMPUTED_VALUE"""),610.0)</f>
        <v>610</v>
      </c>
      <c r="L4871" s="4">
        <f>IFERROR(__xludf.DUMMYFUNCTION("""COMPUTED_VALUE"""),0.462)</f>
        <v>0.462</v>
      </c>
      <c r="M4871" s="4"/>
      <c r="N4871" s="4">
        <f>IFERROR(__xludf.DUMMYFUNCTION("""COMPUTED_VALUE"""),0.811)</f>
        <v>0.811</v>
      </c>
      <c r="O4871" s="4">
        <f>IFERROR(__xludf.DUMMYFUNCTION("""COMPUTED_VALUE"""),22.6)</f>
        <v>22.6</v>
      </c>
      <c r="P4871" s="4">
        <f>IFERROR(__xludf.DUMMYFUNCTION("""COMPUTED_VALUE"""),10.4)</f>
        <v>10.4</v>
      </c>
      <c r="Q4871" s="4">
        <f>IFERROR(__xludf.DUMMYFUNCTION("""COMPUTED_VALUE"""),4.1)</f>
        <v>4.1</v>
      </c>
      <c r="R4871" s="4">
        <f>IFERROR(__xludf.DUMMYFUNCTION("""COMPUTED_VALUE"""),1.7)</f>
        <v>1.7</v>
      </c>
      <c r="S4871" s="4">
        <f>IFERROR(__xludf.DUMMYFUNCTION("""COMPUTED_VALUE"""),17.4)</f>
        <v>17.4</v>
      </c>
      <c r="T4871" s="4">
        <f>IFERROR(__xludf.DUMMYFUNCTION("""COMPUTED_VALUE"""),0.104)</f>
        <v>0.104</v>
      </c>
      <c r="U4871" s="4">
        <f>IFERROR(__xludf.DUMMYFUNCTION("""COMPUTED_VALUE"""),-0.7)</f>
        <v>-0.7</v>
      </c>
      <c r="V4871" s="4">
        <f>IFERROR(__xludf.DUMMYFUNCTION("""COMPUTED_VALUE"""),2.7)</f>
        <v>2.7</v>
      </c>
    </row>
    <row r="4872">
      <c r="A4872" s="4">
        <f>IFERROR(__xludf.DUMMYFUNCTION("""COMPUTED_VALUE"""),3.0)</f>
        <v>3</v>
      </c>
      <c r="B4872" s="4">
        <f>IFERROR(__xludf.DUMMYFUNCTION("""COMPUTED_VALUE"""),3.0)</f>
        <v>3</v>
      </c>
      <c r="C4872" s="4" t="str">
        <f>IFERROR(__xludf.DUMMYFUNCTION("""COMPUTED_VALUE"""),"KCK")</f>
        <v>KCK</v>
      </c>
      <c r="D4872" s="4" t="str">
        <f>IFERROR(__xludf.DUMMYFUNCTION("""COMPUTED_VALUE"""),"Richard Washington")</f>
        <v>Richard Washington</v>
      </c>
      <c r="E4872" s="4" t="str">
        <f>IFERROR(__xludf.DUMMYFUNCTION("""COMPUTED_VALUE"""),"UCLA")</f>
        <v>UCLA</v>
      </c>
      <c r="F4872" s="4">
        <f>IFERROR(__xludf.DUMMYFUNCTION("""COMPUTED_VALUE"""),6.0)</f>
        <v>6</v>
      </c>
      <c r="G4872" s="4">
        <f>IFERROR(__xludf.DUMMYFUNCTION("""COMPUTED_VALUE"""),351.0)</f>
        <v>351</v>
      </c>
      <c r="H4872" s="4">
        <f>IFERROR(__xludf.DUMMYFUNCTION("""COMPUTED_VALUE"""),7874.0)</f>
        <v>7874</v>
      </c>
      <c r="I4872" s="4">
        <f>IFERROR(__xludf.DUMMYFUNCTION("""COMPUTED_VALUE"""),3456.0)</f>
        <v>3456</v>
      </c>
      <c r="J4872" s="4">
        <f>IFERROR(__xludf.DUMMYFUNCTION("""COMPUTED_VALUE"""),2204.0)</f>
        <v>2204</v>
      </c>
      <c r="K4872" s="4">
        <f>IFERROR(__xludf.DUMMYFUNCTION("""COMPUTED_VALUE"""),409.0)</f>
        <v>409</v>
      </c>
      <c r="L4872" s="4">
        <f>IFERROR(__xludf.DUMMYFUNCTION("""COMPUTED_VALUE"""),0.453)</f>
        <v>0.453</v>
      </c>
      <c r="M4872" s="4"/>
      <c r="N4872" s="4">
        <f>IFERROR(__xludf.DUMMYFUNCTION("""COMPUTED_VALUE"""),0.711)</f>
        <v>0.711</v>
      </c>
      <c r="O4872" s="4">
        <f>IFERROR(__xludf.DUMMYFUNCTION("""COMPUTED_VALUE"""),22.4)</f>
        <v>22.4</v>
      </c>
      <c r="P4872" s="4">
        <f>IFERROR(__xludf.DUMMYFUNCTION("""COMPUTED_VALUE"""),9.8)</f>
        <v>9.8</v>
      </c>
      <c r="Q4872" s="4">
        <f>IFERROR(__xludf.DUMMYFUNCTION("""COMPUTED_VALUE"""),6.3)</f>
        <v>6.3</v>
      </c>
      <c r="R4872" s="4">
        <f>IFERROR(__xludf.DUMMYFUNCTION("""COMPUTED_VALUE"""),1.2)</f>
        <v>1.2</v>
      </c>
      <c r="S4872" s="4">
        <f>IFERROR(__xludf.DUMMYFUNCTION("""COMPUTED_VALUE"""),10.8)</f>
        <v>10.8</v>
      </c>
      <c r="T4872" s="4">
        <f>IFERROR(__xludf.DUMMYFUNCTION("""COMPUTED_VALUE"""),0.066)</f>
        <v>0.066</v>
      </c>
      <c r="U4872" s="4">
        <f>IFERROR(__xludf.DUMMYFUNCTION("""COMPUTED_VALUE"""),-2.5)</f>
        <v>-2.5</v>
      </c>
      <c r="V4872" s="4">
        <f>IFERROR(__xludf.DUMMYFUNCTION("""COMPUTED_VALUE"""),-1.1)</f>
        <v>-1.1</v>
      </c>
    </row>
    <row r="4873">
      <c r="A4873" s="4">
        <f>IFERROR(__xludf.DUMMYFUNCTION("""COMPUTED_VALUE"""),4.0)</f>
        <v>4</v>
      </c>
      <c r="B4873" s="4">
        <f>IFERROR(__xludf.DUMMYFUNCTION("""COMPUTED_VALUE"""),4.0)</f>
        <v>4</v>
      </c>
      <c r="C4873" s="4" t="str">
        <f>IFERROR(__xludf.DUMMYFUNCTION("""COMPUTED_VALUE"""),"DET")</f>
        <v>DET</v>
      </c>
      <c r="D4873" s="4" t="str">
        <f>IFERROR(__xludf.DUMMYFUNCTION("""COMPUTED_VALUE"""),"Leon Douglas")</f>
        <v>Leon Douglas</v>
      </c>
      <c r="E4873" s="4" t="str">
        <f>IFERROR(__xludf.DUMMYFUNCTION("""COMPUTED_VALUE"""),"Alabama")</f>
        <v>Alabama</v>
      </c>
      <c r="F4873" s="4">
        <f>IFERROR(__xludf.DUMMYFUNCTION("""COMPUTED_VALUE"""),7.0)</f>
        <v>7</v>
      </c>
      <c r="G4873" s="4">
        <f>IFERROR(__xludf.DUMMYFUNCTION("""COMPUTED_VALUE"""),456.0)</f>
        <v>456</v>
      </c>
      <c r="H4873" s="4">
        <f>IFERROR(__xludf.DUMMYFUNCTION("""COMPUTED_VALUE"""),10111.0)</f>
        <v>10111</v>
      </c>
      <c r="I4873" s="4">
        <f>IFERROR(__xludf.DUMMYFUNCTION("""COMPUTED_VALUE"""),3587.0)</f>
        <v>3587</v>
      </c>
      <c r="J4873" s="4">
        <f>IFERROR(__xludf.DUMMYFUNCTION("""COMPUTED_VALUE"""),2954.0)</f>
        <v>2954</v>
      </c>
      <c r="K4873" s="4">
        <f>IFERROR(__xludf.DUMMYFUNCTION("""COMPUTED_VALUE"""),479.0)</f>
        <v>479</v>
      </c>
      <c r="L4873" s="4">
        <f>IFERROR(__xludf.DUMMYFUNCTION("""COMPUTED_VALUE"""),0.495)</f>
        <v>0.495</v>
      </c>
      <c r="M4873" s="4"/>
      <c r="N4873" s="4">
        <f>IFERROR(__xludf.DUMMYFUNCTION("""COMPUTED_VALUE"""),0.601)</f>
        <v>0.601</v>
      </c>
      <c r="O4873" s="4">
        <f>IFERROR(__xludf.DUMMYFUNCTION("""COMPUTED_VALUE"""),22.2)</f>
        <v>22.2</v>
      </c>
      <c r="P4873" s="4">
        <f>IFERROR(__xludf.DUMMYFUNCTION("""COMPUTED_VALUE"""),7.9)</f>
        <v>7.9</v>
      </c>
      <c r="Q4873" s="4">
        <f>IFERROR(__xludf.DUMMYFUNCTION("""COMPUTED_VALUE"""),6.5)</f>
        <v>6.5</v>
      </c>
      <c r="R4873" s="4">
        <f>IFERROR(__xludf.DUMMYFUNCTION("""COMPUTED_VALUE"""),1.1)</f>
        <v>1.1</v>
      </c>
      <c r="S4873" s="4">
        <f>IFERROR(__xludf.DUMMYFUNCTION("""COMPUTED_VALUE"""),15.2)</f>
        <v>15.2</v>
      </c>
      <c r="T4873" s="4">
        <f>IFERROR(__xludf.DUMMYFUNCTION("""COMPUTED_VALUE"""),0.072)</f>
        <v>0.072</v>
      </c>
      <c r="U4873" s="4">
        <f>IFERROR(__xludf.DUMMYFUNCTION("""COMPUTED_VALUE"""),-3.0)</f>
        <v>-3</v>
      </c>
      <c r="V4873" s="4">
        <f>IFERROR(__xludf.DUMMYFUNCTION("""COMPUTED_VALUE"""),-2.4)</f>
        <v>-2.4</v>
      </c>
    </row>
    <row r="4874">
      <c r="A4874" s="4">
        <f>IFERROR(__xludf.DUMMYFUNCTION("""COMPUTED_VALUE"""),5.0)</f>
        <v>5</v>
      </c>
      <c r="B4874" s="4">
        <f>IFERROR(__xludf.DUMMYFUNCTION("""COMPUTED_VALUE"""),5.0)</f>
        <v>5</v>
      </c>
      <c r="C4874" s="4" t="str">
        <f>IFERROR(__xludf.DUMMYFUNCTION("""COMPUTED_VALUE"""),"POR")</f>
        <v>POR</v>
      </c>
      <c r="D4874" s="4" t="str">
        <f>IFERROR(__xludf.DUMMYFUNCTION("""COMPUTED_VALUE"""),"Wally Walker")</f>
        <v>Wally Walker</v>
      </c>
      <c r="E4874" s="4" t="str">
        <f>IFERROR(__xludf.DUMMYFUNCTION("""COMPUTED_VALUE"""),"Virginia")</f>
        <v>Virginia</v>
      </c>
      <c r="F4874" s="4">
        <f>IFERROR(__xludf.DUMMYFUNCTION("""COMPUTED_VALUE"""),8.0)</f>
        <v>8</v>
      </c>
      <c r="G4874" s="4">
        <f>IFERROR(__xludf.DUMMYFUNCTION("""COMPUTED_VALUE"""),565.0)</f>
        <v>565</v>
      </c>
      <c r="H4874" s="4">
        <f>IFERROR(__xludf.DUMMYFUNCTION("""COMPUTED_VALUE"""),10168.0)</f>
        <v>10168</v>
      </c>
      <c r="I4874" s="4">
        <f>IFERROR(__xludf.DUMMYFUNCTION("""COMPUTED_VALUE"""),3968.0)</f>
        <v>3968</v>
      </c>
      <c r="J4874" s="4">
        <f>IFERROR(__xludf.DUMMYFUNCTION("""COMPUTED_VALUE"""),1759.0)</f>
        <v>1759</v>
      </c>
      <c r="K4874" s="4">
        <f>IFERROR(__xludf.DUMMYFUNCTION("""COMPUTED_VALUE"""),844.0)</f>
        <v>844</v>
      </c>
      <c r="L4874" s="4">
        <f>IFERROR(__xludf.DUMMYFUNCTION("""COMPUTED_VALUE"""),0.467)</f>
        <v>0.467</v>
      </c>
      <c r="M4874" s="4"/>
      <c r="N4874" s="4">
        <f>IFERROR(__xludf.DUMMYFUNCTION("""COMPUTED_VALUE"""),0.643)</f>
        <v>0.643</v>
      </c>
      <c r="O4874" s="4">
        <f>IFERROR(__xludf.DUMMYFUNCTION("""COMPUTED_VALUE"""),18.0)</f>
        <v>18</v>
      </c>
      <c r="P4874" s="4">
        <f>IFERROR(__xludf.DUMMYFUNCTION("""COMPUTED_VALUE"""),7.0)</f>
        <v>7</v>
      </c>
      <c r="Q4874" s="4">
        <f>IFERROR(__xludf.DUMMYFUNCTION("""COMPUTED_VALUE"""),3.1)</f>
        <v>3.1</v>
      </c>
      <c r="R4874" s="4">
        <f>IFERROR(__xludf.DUMMYFUNCTION("""COMPUTED_VALUE"""),1.5)</f>
        <v>1.5</v>
      </c>
      <c r="S4874" s="4">
        <f>IFERROR(__xludf.DUMMYFUNCTION("""COMPUTED_VALUE"""),12.9)</f>
        <v>12.9</v>
      </c>
      <c r="T4874" s="4">
        <f>IFERROR(__xludf.DUMMYFUNCTION("""COMPUTED_VALUE"""),0.061)</f>
        <v>0.061</v>
      </c>
      <c r="U4874" s="4">
        <f>IFERROR(__xludf.DUMMYFUNCTION("""COMPUTED_VALUE"""),-2.2)</f>
        <v>-2.2</v>
      </c>
      <c r="V4874" s="4">
        <f>IFERROR(__xludf.DUMMYFUNCTION("""COMPUTED_VALUE"""),-0.6)</f>
        <v>-0.6</v>
      </c>
    </row>
    <row r="4875">
      <c r="A4875" s="4">
        <f>IFERROR(__xludf.DUMMYFUNCTION("""COMPUTED_VALUE"""),6.0)</f>
        <v>6</v>
      </c>
      <c r="B4875" s="4">
        <f>IFERROR(__xludf.DUMMYFUNCTION("""COMPUTED_VALUE"""),6.0)</f>
        <v>6</v>
      </c>
      <c r="C4875" s="4" t="str">
        <f>IFERROR(__xludf.DUMMYFUNCTION("""COMPUTED_VALUE"""),"BUF")</f>
        <v>BUF</v>
      </c>
      <c r="D4875" s="4" t="str">
        <f>IFERROR(__xludf.DUMMYFUNCTION("""COMPUTED_VALUE"""),"Adrian Dantley")</f>
        <v>Adrian Dantley</v>
      </c>
      <c r="E4875" s="4" t="str">
        <f>IFERROR(__xludf.DUMMYFUNCTION("""COMPUTED_VALUE"""),"Notre Dame")</f>
        <v>Notre Dame</v>
      </c>
      <c r="F4875" s="4">
        <f>IFERROR(__xludf.DUMMYFUNCTION("""COMPUTED_VALUE"""),15.0)</f>
        <v>15</v>
      </c>
      <c r="G4875" s="4">
        <f>IFERROR(__xludf.DUMMYFUNCTION("""COMPUTED_VALUE"""),955.0)</f>
        <v>955</v>
      </c>
      <c r="H4875" s="4">
        <f>IFERROR(__xludf.DUMMYFUNCTION("""COMPUTED_VALUE"""),34151.0)</f>
        <v>34151</v>
      </c>
      <c r="I4875" s="4">
        <f>IFERROR(__xludf.DUMMYFUNCTION("""COMPUTED_VALUE"""),23177.0)</f>
        <v>23177</v>
      </c>
      <c r="J4875" s="4">
        <f>IFERROR(__xludf.DUMMYFUNCTION("""COMPUTED_VALUE"""),5455.0)</f>
        <v>5455</v>
      </c>
      <c r="K4875" s="4">
        <f>IFERROR(__xludf.DUMMYFUNCTION("""COMPUTED_VALUE"""),2830.0)</f>
        <v>2830</v>
      </c>
      <c r="L4875" s="4">
        <f>IFERROR(__xludf.DUMMYFUNCTION("""COMPUTED_VALUE"""),0.54)</f>
        <v>0.54</v>
      </c>
      <c r="M4875" s="4"/>
      <c r="N4875" s="4">
        <f>IFERROR(__xludf.DUMMYFUNCTION("""COMPUTED_VALUE"""),0.818)</f>
        <v>0.818</v>
      </c>
      <c r="O4875" s="4">
        <f>IFERROR(__xludf.DUMMYFUNCTION("""COMPUTED_VALUE"""),35.8)</f>
        <v>35.8</v>
      </c>
      <c r="P4875" s="4">
        <f>IFERROR(__xludf.DUMMYFUNCTION("""COMPUTED_VALUE"""),24.3)</f>
        <v>24.3</v>
      </c>
      <c r="Q4875" s="4">
        <f>IFERROR(__xludf.DUMMYFUNCTION("""COMPUTED_VALUE"""),5.7)</f>
        <v>5.7</v>
      </c>
      <c r="R4875" s="4">
        <f>IFERROR(__xludf.DUMMYFUNCTION("""COMPUTED_VALUE"""),3.0)</f>
        <v>3</v>
      </c>
      <c r="S4875" s="4">
        <f>IFERROR(__xludf.DUMMYFUNCTION("""COMPUTED_VALUE"""),134.2)</f>
        <v>134.2</v>
      </c>
      <c r="T4875" s="4">
        <f>IFERROR(__xludf.DUMMYFUNCTION("""COMPUTED_VALUE"""),0.189)</f>
        <v>0.189</v>
      </c>
      <c r="U4875" s="4">
        <f>IFERROR(__xludf.DUMMYFUNCTION("""COMPUTED_VALUE"""),3.1)</f>
        <v>3.1</v>
      </c>
      <c r="V4875" s="4">
        <f>IFERROR(__xludf.DUMMYFUNCTION("""COMPUTED_VALUE"""),43.8)</f>
        <v>43.8</v>
      </c>
    </row>
    <row r="4876">
      <c r="A4876" s="4">
        <f>IFERROR(__xludf.DUMMYFUNCTION("""COMPUTED_VALUE"""),7.0)</f>
        <v>7</v>
      </c>
      <c r="B4876" s="4">
        <f>IFERROR(__xludf.DUMMYFUNCTION("""COMPUTED_VALUE"""),7.0)</f>
        <v>7</v>
      </c>
      <c r="C4876" s="4" t="str">
        <f>IFERROR(__xludf.DUMMYFUNCTION("""COMPUTED_VALUE"""),"MIL")</f>
        <v>MIL</v>
      </c>
      <c r="D4876" s="4" t="str">
        <f>IFERROR(__xludf.DUMMYFUNCTION("""COMPUTED_VALUE"""),"Quinn Buckner")</f>
        <v>Quinn Buckner</v>
      </c>
      <c r="E4876" s="4" t="str">
        <f>IFERROR(__xludf.DUMMYFUNCTION("""COMPUTED_VALUE"""),"Indiana")</f>
        <v>Indiana</v>
      </c>
      <c r="F4876" s="4">
        <f>IFERROR(__xludf.DUMMYFUNCTION("""COMPUTED_VALUE"""),10.0)</f>
        <v>10</v>
      </c>
      <c r="G4876" s="4">
        <f>IFERROR(__xludf.DUMMYFUNCTION("""COMPUTED_VALUE"""),719.0)</f>
        <v>719</v>
      </c>
      <c r="H4876" s="4">
        <f>IFERROR(__xludf.DUMMYFUNCTION("""COMPUTED_VALUE"""),16245.0)</f>
        <v>16245</v>
      </c>
      <c r="I4876" s="4">
        <f>IFERROR(__xludf.DUMMYFUNCTION("""COMPUTED_VALUE"""),5929.0)</f>
        <v>5929</v>
      </c>
      <c r="J4876" s="4">
        <f>IFERROR(__xludf.DUMMYFUNCTION("""COMPUTED_VALUE"""),1969.0)</f>
        <v>1969</v>
      </c>
      <c r="K4876" s="4">
        <f>IFERROR(__xludf.DUMMYFUNCTION("""COMPUTED_VALUE"""),3114.0)</f>
        <v>3114</v>
      </c>
      <c r="L4876" s="4">
        <f>IFERROR(__xludf.DUMMYFUNCTION("""COMPUTED_VALUE"""),0.461)</f>
        <v>0.461</v>
      </c>
      <c r="M4876" s="4"/>
      <c r="N4876" s="4">
        <f>IFERROR(__xludf.DUMMYFUNCTION("""COMPUTED_VALUE"""),0.657)</f>
        <v>0.657</v>
      </c>
      <c r="O4876" s="4">
        <f>IFERROR(__xludf.DUMMYFUNCTION("""COMPUTED_VALUE"""),22.6)</f>
        <v>22.6</v>
      </c>
      <c r="P4876" s="4">
        <f>IFERROR(__xludf.DUMMYFUNCTION("""COMPUTED_VALUE"""),8.2)</f>
        <v>8.2</v>
      </c>
      <c r="Q4876" s="4">
        <f>IFERROR(__xludf.DUMMYFUNCTION("""COMPUTED_VALUE"""),2.7)</f>
        <v>2.7</v>
      </c>
      <c r="R4876" s="4">
        <f>IFERROR(__xludf.DUMMYFUNCTION("""COMPUTED_VALUE"""),4.3)</f>
        <v>4.3</v>
      </c>
      <c r="S4876" s="4">
        <f>IFERROR(__xludf.DUMMYFUNCTION("""COMPUTED_VALUE"""),24.7)</f>
        <v>24.7</v>
      </c>
      <c r="T4876" s="4">
        <f>IFERROR(__xludf.DUMMYFUNCTION("""COMPUTED_VALUE"""),0.073)</f>
        <v>0.073</v>
      </c>
      <c r="U4876" s="4">
        <f>IFERROR(__xludf.DUMMYFUNCTION("""COMPUTED_VALUE"""),-0.1)</f>
        <v>-0.1</v>
      </c>
      <c r="V4876" s="4">
        <f>IFERROR(__xludf.DUMMYFUNCTION("""COMPUTED_VALUE"""),7.7)</f>
        <v>7.7</v>
      </c>
    </row>
    <row r="4877">
      <c r="A4877" s="4">
        <f>IFERROR(__xludf.DUMMYFUNCTION("""COMPUTED_VALUE"""),8.0)</f>
        <v>8</v>
      </c>
      <c r="B4877" s="4">
        <f>IFERROR(__xludf.DUMMYFUNCTION("""COMPUTED_VALUE"""),8.0)</f>
        <v>8</v>
      </c>
      <c r="C4877" s="4" t="str">
        <f>IFERROR(__xludf.DUMMYFUNCTION("""COMPUTED_VALUE"""),"GSW")</f>
        <v>GSW</v>
      </c>
      <c r="D4877" s="4" t="str">
        <f>IFERROR(__xludf.DUMMYFUNCTION("""COMPUTED_VALUE"""),"Robert Parish")</f>
        <v>Robert Parish</v>
      </c>
      <c r="E4877" s="4" t="str">
        <f>IFERROR(__xludf.DUMMYFUNCTION("""COMPUTED_VALUE"""),"Centenary (LA)")</f>
        <v>Centenary (LA)</v>
      </c>
      <c r="F4877" s="4">
        <f>IFERROR(__xludf.DUMMYFUNCTION("""COMPUTED_VALUE"""),21.0)</f>
        <v>21</v>
      </c>
      <c r="G4877" s="4">
        <f>IFERROR(__xludf.DUMMYFUNCTION("""COMPUTED_VALUE"""),1611.0)</f>
        <v>1611</v>
      </c>
      <c r="H4877" s="4">
        <f>IFERROR(__xludf.DUMMYFUNCTION("""COMPUTED_VALUE"""),45704.0)</f>
        <v>45704</v>
      </c>
      <c r="I4877" s="4">
        <f>IFERROR(__xludf.DUMMYFUNCTION("""COMPUTED_VALUE"""),23334.0)</f>
        <v>23334</v>
      </c>
      <c r="J4877" s="4">
        <f>IFERROR(__xludf.DUMMYFUNCTION("""COMPUTED_VALUE"""),14715.0)</f>
        <v>14715</v>
      </c>
      <c r="K4877" s="4">
        <f>IFERROR(__xludf.DUMMYFUNCTION("""COMPUTED_VALUE"""),2180.0)</f>
        <v>2180</v>
      </c>
      <c r="L4877" s="4">
        <f>IFERROR(__xludf.DUMMYFUNCTION("""COMPUTED_VALUE"""),0.537)</f>
        <v>0.537</v>
      </c>
      <c r="M4877" s="4"/>
      <c r="N4877" s="4">
        <f>IFERROR(__xludf.DUMMYFUNCTION("""COMPUTED_VALUE"""),0.721)</f>
        <v>0.721</v>
      </c>
      <c r="O4877" s="4">
        <f>IFERROR(__xludf.DUMMYFUNCTION("""COMPUTED_VALUE"""),28.4)</f>
        <v>28.4</v>
      </c>
      <c r="P4877" s="4">
        <f>IFERROR(__xludf.DUMMYFUNCTION("""COMPUTED_VALUE"""),14.5)</f>
        <v>14.5</v>
      </c>
      <c r="Q4877" s="4">
        <f>IFERROR(__xludf.DUMMYFUNCTION("""COMPUTED_VALUE"""),9.1)</f>
        <v>9.1</v>
      </c>
      <c r="R4877" s="4">
        <f>IFERROR(__xludf.DUMMYFUNCTION("""COMPUTED_VALUE"""),1.4)</f>
        <v>1.4</v>
      </c>
      <c r="S4877" s="4">
        <f>IFERROR(__xludf.DUMMYFUNCTION("""COMPUTED_VALUE"""),147.0)</f>
        <v>147</v>
      </c>
      <c r="T4877" s="4">
        <f>IFERROR(__xludf.DUMMYFUNCTION("""COMPUTED_VALUE"""),0.154)</f>
        <v>0.154</v>
      </c>
      <c r="U4877" s="4">
        <f>IFERROR(__xludf.DUMMYFUNCTION("""COMPUTED_VALUE"""),1.5)</f>
        <v>1.5</v>
      </c>
      <c r="V4877" s="4">
        <f>IFERROR(__xludf.DUMMYFUNCTION("""COMPUTED_VALUE"""),40.7)</f>
        <v>40.7</v>
      </c>
    </row>
    <row r="4878">
      <c r="A4878" s="4">
        <f>IFERROR(__xludf.DUMMYFUNCTION("""COMPUTED_VALUE"""),9.0)</f>
        <v>9</v>
      </c>
      <c r="B4878" s="4">
        <f>IFERROR(__xludf.DUMMYFUNCTION("""COMPUTED_VALUE"""),9.0)</f>
        <v>9</v>
      </c>
      <c r="C4878" s="4" t="str">
        <f>IFERROR(__xludf.DUMMYFUNCTION("""COMPUTED_VALUE"""),"ATL")</f>
        <v>ATL</v>
      </c>
      <c r="D4878" s="4" t="str">
        <f>IFERROR(__xludf.DUMMYFUNCTION("""COMPUTED_VALUE"""),"Armond Hill")</f>
        <v>Armond Hill</v>
      </c>
      <c r="E4878" s="4" t="str">
        <f>IFERROR(__xludf.DUMMYFUNCTION("""COMPUTED_VALUE"""),"Princeton")</f>
        <v>Princeton</v>
      </c>
      <c r="F4878" s="4">
        <f>IFERROR(__xludf.DUMMYFUNCTION("""COMPUTED_VALUE"""),8.0)</f>
        <v>8</v>
      </c>
      <c r="G4878" s="4">
        <f>IFERROR(__xludf.DUMMYFUNCTION("""COMPUTED_VALUE"""),468.0)</f>
        <v>468</v>
      </c>
      <c r="H4878" s="4">
        <f>IFERROR(__xludf.DUMMYFUNCTION("""COMPUTED_VALUE"""),11785.0)</f>
        <v>11785</v>
      </c>
      <c r="I4878" s="4">
        <f>IFERROR(__xludf.DUMMYFUNCTION("""COMPUTED_VALUE"""),3214.0)</f>
        <v>3214</v>
      </c>
      <c r="J4878" s="4">
        <f>IFERROR(__xludf.DUMMYFUNCTION("""COMPUTED_VALUE"""),917.0)</f>
        <v>917</v>
      </c>
      <c r="K4878" s="4">
        <f>IFERROR(__xludf.DUMMYFUNCTION("""COMPUTED_VALUE"""),2194.0)</f>
        <v>2194</v>
      </c>
      <c r="L4878" s="4">
        <f>IFERROR(__xludf.DUMMYFUNCTION("""COMPUTED_VALUE"""),0.408)</f>
        <v>0.408</v>
      </c>
      <c r="M4878" s="4"/>
      <c r="N4878" s="4">
        <f>IFERROR(__xludf.DUMMYFUNCTION("""COMPUTED_VALUE"""),0.829)</f>
        <v>0.829</v>
      </c>
      <c r="O4878" s="4">
        <f>IFERROR(__xludf.DUMMYFUNCTION("""COMPUTED_VALUE"""),25.2)</f>
        <v>25.2</v>
      </c>
      <c r="P4878" s="4">
        <f>IFERROR(__xludf.DUMMYFUNCTION("""COMPUTED_VALUE"""),6.9)</f>
        <v>6.9</v>
      </c>
      <c r="Q4878" s="4">
        <f>IFERROR(__xludf.DUMMYFUNCTION("""COMPUTED_VALUE"""),2.0)</f>
        <v>2</v>
      </c>
      <c r="R4878" s="4">
        <f>IFERROR(__xludf.DUMMYFUNCTION("""COMPUTED_VALUE"""),4.7)</f>
        <v>4.7</v>
      </c>
      <c r="S4878" s="4">
        <f>IFERROR(__xludf.DUMMYFUNCTION("""COMPUTED_VALUE"""),11.3)</f>
        <v>11.3</v>
      </c>
      <c r="T4878" s="4">
        <f>IFERROR(__xludf.DUMMYFUNCTION("""COMPUTED_VALUE"""),0.046)</f>
        <v>0.046</v>
      </c>
      <c r="U4878" s="4">
        <f>IFERROR(__xludf.DUMMYFUNCTION("""COMPUTED_VALUE"""),-2.3)</f>
        <v>-2.3</v>
      </c>
      <c r="V4878" s="4">
        <f>IFERROR(__xludf.DUMMYFUNCTION("""COMPUTED_VALUE"""),-0.9)</f>
        <v>-0.9</v>
      </c>
    </row>
    <row r="4879">
      <c r="A4879" s="4">
        <f>IFERROR(__xludf.DUMMYFUNCTION("""COMPUTED_VALUE"""),10.0)</f>
        <v>10</v>
      </c>
      <c r="B4879" s="4">
        <f>IFERROR(__xludf.DUMMYFUNCTION("""COMPUTED_VALUE"""),10.0)</f>
        <v>10</v>
      </c>
      <c r="C4879" s="4" t="str">
        <f>IFERROR(__xludf.DUMMYFUNCTION("""COMPUTED_VALUE"""),"PHO")</f>
        <v>PHO</v>
      </c>
      <c r="D4879" s="4" t="str">
        <f>IFERROR(__xludf.DUMMYFUNCTION("""COMPUTED_VALUE"""),"Ron Lee")</f>
        <v>Ron Lee</v>
      </c>
      <c r="E4879" s="4" t="str">
        <f>IFERROR(__xludf.DUMMYFUNCTION("""COMPUTED_VALUE"""),"Oregon")</f>
        <v>Oregon</v>
      </c>
      <c r="F4879" s="4">
        <f>IFERROR(__xludf.DUMMYFUNCTION("""COMPUTED_VALUE"""),6.0)</f>
        <v>6</v>
      </c>
      <c r="G4879" s="4">
        <f>IFERROR(__xludf.DUMMYFUNCTION("""COMPUTED_VALUE"""),448.0)</f>
        <v>448</v>
      </c>
      <c r="H4879" s="4">
        <f>IFERROR(__xludf.DUMMYFUNCTION("""COMPUTED_VALUE"""),9586.0)</f>
        <v>9586</v>
      </c>
      <c r="I4879" s="4">
        <f>IFERROR(__xludf.DUMMYFUNCTION("""COMPUTED_VALUE"""),3285.0)</f>
        <v>3285</v>
      </c>
      <c r="J4879" s="4">
        <f>IFERROR(__xludf.DUMMYFUNCTION("""COMPUTED_VALUE"""),1219.0)</f>
        <v>1219</v>
      </c>
      <c r="K4879" s="4">
        <f>IFERROR(__xludf.DUMMYFUNCTION("""COMPUTED_VALUE"""),1688.0)</f>
        <v>1688</v>
      </c>
      <c r="L4879" s="4">
        <f>IFERROR(__xludf.DUMMYFUNCTION("""COMPUTED_VALUE"""),0.416)</f>
        <v>0.416</v>
      </c>
      <c r="M4879" s="4"/>
      <c r="N4879" s="4">
        <f>IFERROR(__xludf.DUMMYFUNCTION("""COMPUTED_VALUE"""),0.705)</f>
        <v>0.705</v>
      </c>
      <c r="O4879" s="4">
        <f>IFERROR(__xludf.DUMMYFUNCTION("""COMPUTED_VALUE"""),21.4)</f>
        <v>21.4</v>
      </c>
      <c r="P4879" s="4">
        <f>IFERROR(__xludf.DUMMYFUNCTION("""COMPUTED_VALUE"""),7.3)</f>
        <v>7.3</v>
      </c>
      <c r="Q4879" s="4">
        <f>IFERROR(__xludf.DUMMYFUNCTION("""COMPUTED_VALUE"""),2.7)</f>
        <v>2.7</v>
      </c>
      <c r="R4879" s="4">
        <f>IFERROR(__xludf.DUMMYFUNCTION("""COMPUTED_VALUE"""),3.8)</f>
        <v>3.8</v>
      </c>
      <c r="S4879" s="4">
        <f>IFERROR(__xludf.DUMMYFUNCTION("""COMPUTED_VALUE"""),10.7)</f>
        <v>10.7</v>
      </c>
      <c r="T4879" s="4">
        <f>IFERROR(__xludf.DUMMYFUNCTION("""COMPUTED_VALUE"""),0.054)</f>
        <v>0.054</v>
      </c>
      <c r="U4879" s="4">
        <f>IFERROR(__xludf.DUMMYFUNCTION("""COMPUTED_VALUE"""),-0.4)</f>
        <v>-0.4</v>
      </c>
      <c r="V4879" s="4">
        <f>IFERROR(__xludf.DUMMYFUNCTION("""COMPUTED_VALUE"""),3.9)</f>
        <v>3.9</v>
      </c>
    </row>
    <row r="4880">
      <c r="A4880" s="4">
        <f>IFERROR(__xludf.DUMMYFUNCTION("""COMPUTED_VALUE"""),11.0)</f>
        <v>11</v>
      </c>
      <c r="B4880" s="4">
        <f>IFERROR(__xludf.DUMMYFUNCTION("""COMPUTED_VALUE"""),11.0)</f>
        <v>11</v>
      </c>
      <c r="C4880" s="4" t="str">
        <f>IFERROR(__xludf.DUMMYFUNCTION("""COMPUTED_VALUE"""),"SEA")</f>
        <v>SEA</v>
      </c>
      <c r="D4880" s="4" t="str">
        <f>IFERROR(__xludf.DUMMYFUNCTION("""COMPUTED_VALUE"""),"Bob Wilkerson")</f>
        <v>Bob Wilkerson</v>
      </c>
      <c r="E4880" s="4" t="str">
        <f>IFERROR(__xludf.DUMMYFUNCTION("""COMPUTED_VALUE"""),"Indiana")</f>
        <v>Indiana</v>
      </c>
      <c r="F4880" s="4">
        <f>IFERROR(__xludf.DUMMYFUNCTION("""COMPUTED_VALUE"""),7.0)</f>
        <v>7</v>
      </c>
      <c r="G4880" s="4">
        <f>IFERROR(__xludf.DUMMYFUNCTION("""COMPUTED_VALUE"""),536.0)</f>
        <v>536</v>
      </c>
      <c r="H4880" s="4">
        <f>IFERROR(__xludf.DUMMYFUNCTION("""COMPUTED_VALUE"""),14883.0)</f>
        <v>14883</v>
      </c>
      <c r="I4880" s="4">
        <f>IFERROR(__xludf.DUMMYFUNCTION("""COMPUTED_VALUE"""),5424.0)</f>
        <v>5424</v>
      </c>
      <c r="J4880" s="4">
        <f>IFERROR(__xludf.DUMMYFUNCTION("""COMPUTED_VALUE"""),2236.0)</f>
        <v>2236</v>
      </c>
      <c r="K4880" s="4">
        <f>IFERROR(__xludf.DUMMYFUNCTION("""COMPUTED_VALUE"""),1835.0)</f>
        <v>1835</v>
      </c>
      <c r="L4880" s="4">
        <f>IFERROR(__xludf.DUMMYFUNCTION("""COMPUTED_VALUE"""),0.425)</f>
        <v>0.425</v>
      </c>
      <c r="M4880" s="4"/>
      <c r="N4880" s="4">
        <f>IFERROR(__xludf.DUMMYFUNCTION("""COMPUTED_VALUE"""),0.751)</f>
        <v>0.751</v>
      </c>
      <c r="O4880" s="4">
        <f>IFERROR(__xludf.DUMMYFUNCTION("""COMPUTED_VALUE"""),27.8)</f>
        <v>27.8</v>
      </c>
      <c r="P4880" s="4">
        <f>IFERROR(__xludf.DUMMYFUNCTION("""COMPUTED_VALUE"""),10.1)</f>
        <v>10.1</v>
      </c>
      <c r="Q4880" s="4">
        <f>IFERROR(__xludf.DUMMYFUNCTION("""COMPUTED_VALUE"""),4.2)</f>
        <v>4.2</v>
      </c>
      <c r="R4880" s="4">
        <f>IFERROR(__xludf.DUMMYFUNCTION("""COMPUTED_VALUE"""),3.4)</f>
        <v>3.4</v>
      </c>
      <c r="S4880" s="4">
        <f>IFERROR(__xludf.DUMMYFUNCTION("""COMPUTED_VALUE"""),8.2)</f>
        <v>8.2</v>
      </c>
      <c r="T4880" s="4">
        <f>IFERROR(__xludf.DUMMYFUNCTION("""COMPUTED_VALUE"""),0.027)</f>
        <v>0.027</v>
      </c>
      <c r="U4880" s="4">
        <f>IFERROR(__xludf.DUMMYFUNCTION("""COMPUTED_VALUE"""),-2.2)</f>
        <v>-2.2</v>
      </c>
      <c r="V4880" s="4">
        <f>IFERROR(__xludf.DUMMYFUNCTION("""COMPUTED_VALUE"""),-0.6)</f>
        <v>-0.6</v>
      </c>
    </row>
    <row r="4881">
      <c r="A4881" s="4">
        <f>IFERROR(__xludf.DUMMYFUNCTION("""COMPUTED_VALUE"""),12.0)</f>
        <v>12</v>
      </c>
      <c r="B4881" s="4">
        <f>IFERROR(__xludf.DUMMYFUNCTION("""COMPUTED_VALUE"""),12.0)</f>
        <v>12</v>
      </c>
      <c r="C4881" s="4" t="str">
        <f>IFERROR(__xludf.DUMMYFUNCTION("""COMPUTED_VALUE"""),"PHI")</f>
        <v>PHI</v>
      </c>
      <c r="D4881" s="4" t="str">
        <f>IFERROR(__xludf.DUMMYFUNCTION("""COMPUTED_VALUE"""),"Terry Furlow")</f>
        <v>Terry Furlow</v>
      </c>
      <c r="E4881" s="4" t="str">
        <f>IFERROR(__xludf.DUMMYFUNCTION("""COMPUTED_VALUE"""),"Michigan State")</f>
        <v>Michigan State</v>
      </c>
      <c r="F4881" s="4">
        <f>IFERROR(__xludf.DUMMYFUNCTION("""COMPUTED_VALUE"""),4.0)</f>
        <v>4</v>
      </c>
      <c r="G4881" s="4">
        <f>IFERROR(__xludf.DUMMYFUNCTION("""COMPUTED_VALUE"""),239.0)</f>
        <v>239</v>
      </c>
      <c r="H4881" s="4">
        <f>IFERROR(__xludf.DUMMYFUNCTION("""COMPUTED_VALUE"""),4809.0)</f>
        <v>4809</v>
      </c>
      <c r="I4881" s="4">
        <f>IFERROR(__xludf.DUMMYFUNCTION("""COMPUTED_VALUE"""),2550.0)</f>
        <v>2550</v>
      </c>
      <c r="J4881" s="4">
        <f>IFERROR(__xludf.DUMMYFUNCTION("""COMPUTED_VALUE"""),507.0)</f>
        <v>507</v>
      </c>
      <c r="K4881" s="4">
        <f>IFERROR(__xludf.DUMMYFUNCTION("""COMPUTED_VALUE"""),568.0)</f>
        <v>568</v>
      </c>
      <c r="L4881" s="4">
        <f>IFERROR(__xludf.DUMMYFUNCTION("""COMPUTED_VALUE"""),0.459)</f>
        <v>0.459</v>
      </c>
      <c r="M4881" s="4"/>
      <c r="N4881" s="4">
        <f>IFERROR(__xludf.DUMMYFUNCTION("""COMPUTED_VALUE"""),0.862)</f>
        <v>0.862</v>
      </c>
      <c r="O4881" s="4">
        <f>IFERROR(__xludf.DUMMYFUNCTION("""COMPUTED_VALUE"""),20.1)</f>
        <v>20.1</v>
      </c>
      <c r="P4881" s="4">
        <f>IFERROR(__xludf.DUMMYFUNCTION("""COMPUTED_VALUE"""),10.7)</f>
        <v>10.7</v>
      </c>
      <c r="Q4881" s="4">
        <f>IFERROR(__xludf.DUMMYFUNCTION("""COMPUTED_VALUE"""),2.1)</f>
        <v>2.1</v>
      </c>
      <c r="R4881" s="4">
        <f>IFERROR(__xludf.DUMMYFUNCTION("""COMPUTED_VALUE"""),2.4)</f>
        <v>2.4</v>
      </c>
      <c r="S4881" s="4">
        <f>IFERROR(__xludf.DUMMYFUNCTION("""COMPUTED_VALUE"""),7.3)</f>
        <v>7.3</v>
      </c>
      <c r="T4881" s="4">
        <f>IFERROR(__xludf.DUMMYFUNCTION("""COMPUTED_VALUE"""),0.073)</f>
        <v>0.073</v>
      </c>
      <c r="U4881" s="4">
        <f>IFERROR(__xludf.DUMMYFUNCTION("""COMPUTED_VALUE"""),0.0)</f>
        <v>0</v>
      </c>
      <c r="V4881" s="4">
        <f>IFERROR(__xludf.DUMMYFUNCTION("""COMPUTED_VALUE"""),2.4)</f>
        <v>2.4</v>
      </c>
    </row>
    <row r="4882">
      <c r="A4882" s="4">
        <f>IFERROR(__xludf.DUMMYFUNCTION("""COMPUTED_VALUE"""),13.0)</f>
        <v>13</v>
      </c>
      <c r="B4882" s="4">
        <f>IFERROR(__xludf.DUMMYFUNCTION("""COMPUTED_VALUE"""),13.0)</f>
        <v>13</v>
      </c>
      <c r="C4882" s="4" t="str">
        <f>IFERROR(__xludf.DUMMYFUNCTION("""COMPUTED_VALUE"""),"WSB")</f>
        <v>WSB</v>
      </c>
      <c r="D4882" s="4" t="str">
        <f>IFERROR(__xludf.DUMMYFUNCTION("""COMPUTED_VALUE"""),"Mitch Kupchak")</f>
        <v>Mitch Kupchak</v>
      </c>
      <c r="E4882" s="4" t="str">
        <f>IFERROR(__xludf.DUMMYFUNCTION("""COMPUTED_VALUE"""),"UNC")</f>
        <v>UNC</v>
      </c>
      <c r="F4882" s="4">
        <f>IFERROR(__xludf.DUMMYFUNCTION("""COMPUTED_VALUE"""),9.0)</f>
        <v>9</v>
      </c>
      <c r="G4882" s="4">
        <f>IFERROR(__xludf.DUMMYFUNCTION("""COMPUTED_VALUE"""),510.0)</f>
        <v>510</v>
      </c>
      <c r="H4882" s="4">
        <f>IFERROR(__xludf.DUMMYFUNCTION("""COMPUTED_VALUE"""),9905.0)</f>
        <v>9905</v>
      </c>
      <c r="I4882" s="4">
        <f>IFERROR(__xludf.DUMMYFUNCTION("""COMPUTED_VALUE"""),5202.0)</f>
        <v>5202</v>
      </c>
      <c r="J4882" s="4">
        <f>IFERROR(__xludf.DUMMYFUNCTION("""COMPUTED_VALUE"""),2730.0)</f>
        <v>2730</v>
      </c>
      <c r="K4882" s="4">
        <f>IFERROR(__xludf.DUMMYFUNCTION("""COMPUTED_VALUE"""),377.0)</f>
        <v>377</v>
      </c>
      <c r="L4882" s="4">
        <f>IFERROR(__xludf.DUMMYFUNCTION("""COMPUTED_VALUE"""),0.523)</f>
        <v>0.523</v>
      </c>
      <c r="M4882" s="4"/>
      <c r="N4882" s="4">
        <f>IFERROR(__xludf.DUMMYFUNCTION("""COMPUTED_VALUE"""),0.704)</f>
        <v>0.704</v>
      </c>
      <c r="O4882" s="4">
        <f>IFERROR(__xludf.DUMMYFUNCTION("""COMPUTED_VALUE"""),19.4)</f>
        <v>19.4</v>
      </c>
      <c r="P4882" s="4">
        <f>IFERROR(__xludf.DUMMYFUNCTION("""COMPUTED_VALUE"""),10.2)</f>
        <v>10.2</v>
      </c>
      <c r="Q4882" s="4">
        <f>IFERROR(__xludf.DUMMYFUNCTION("""COMPUTED_VALUE"""),5.4)</f>
        <v>5.4</v>
      </c>
      <c r="R4882" s="4">
        <f>IFERROR(__xludf.DUMMYFUNCTION("""COMPUTED_VALUE"""),0.7)</f>
        <v>0.7</v>
      </c>
      <c r="S4882" s="4">
        <f>IFERROR(__xludf.DUMMYFUNCTION("""COMPUTED_VALUE"""),27.1)</f>
        <v>27.1</v>
      </c>
      <c r="T4882" s="4">
        <f>IFERROR(__xludf.DUMMYFUNCTION("""COMPUTED_VALUE"""),0.131)</f>
        <v>0.131</v>
      </c>
      <c r="U4882" s="4">
        <f>IFERROR(__xludf.DUMMYFUNCTION("""COMPUTED_VALUE"""),-0.7)</f>
        <v>-0.7</v>
      </c>
      <c r="V4882" s="4">
        <f>IFERROR(__xludf.DUMMYFUNCTION("""COMPUTED_VALUE"""),3.2)</f>
        <v>3.2</v>
      </c>
    </row>
    <row r="4883">
      <c r="A4883" s="4">
        <f>IFERROR(__xludf.DUMMYFUNCTION("""COMPUTED_VALUE"""),14.0)</f>
        <v>14</v>
      </c>
      <c r="B4883" s="4">
        <f>IFERROR(__xludf.DUMMYFUNCTION("""COMPUTED_VALUE"""),14.0)</f>
        <v>14</v>
      </c>
      <c r="C4883" s="4" t="str">
        <f>IFERROR(__xludf.DUMMYFUNCTION("""COMPUTED_VALUE"""),"WSB")</f>
        <v>WSB</v>
      </c>
      <c r="D4883" s="4" t="str">
        <f>IFERROR(__xludf.DUMMYFUNCTION("""COMPUTED_VALUE"""),"Larry Wright")</f>
        <v>Larry Wright</v>
      </c>
      <c r="E4883" s="4" t="str">
        <f>IFERROR(__xludf.DUMMYFUNCTION("""COMPUTED_VALUE"""),"Grambling State University")</f>
        <v>Grambling State University</v>
      </c>
      <c r="F4883" s="4">
        <f>IFERROR(__xludf.DUMMYFUNCTION("""COMPUTED_VALUE"""),6.0)</f>
        <v>6</v>
      </c>
      <c r="G4883" s="4">
        <f>IFERROR(__xludf.DUMMYFUNCTION("""COMPUTED_VALUE"""),343.0)</f>
        <v>343</v>
      </c>
      <c r="H4883" s="4">
        <f>IFERROR(__xludf.DUMMYFUNCTION("""COMPUTED_VALUE"""),6834.0)</f>
        <v>6834</v>
      </c>
      <c r="I4883" s="4">
        <f>IFERROR(__xludf.DUMMYFUNCTION("""COMPUTED_VALUE"""),2824.0)</f>
        <v>2824</v>
      </c>
      <c r="J4883" s="4">
        <f>IFERROR(__xludf.DUMMYFUNCTION("""COMPUTED_VALUE"""),550.0)</f>
        <v>550</v>
      </c>
      <c r="K4883" s="4">
        <f>IFERROR(__xludf.DUMMYFUNCTION("""COMPUTED_VALUE"""),1165.0)</f>
        <v>1165</v>
      </c>
      <c r="L4883" s="4">
        <f>IFERROR(__xludf.DUMMYFUNCTION("""COMPUTED_VALUE"""),0.465)</f>
        <v>0.465</v>
      </c>
      <c r="M4883" s="4"/>
      <c r="N4883" s="4">
        <f>IFERROR(__xludf.DUMMYFUNCTION("""COMPUTED_VALUE"""),0.777)</f>
        <v>0.777</v>
      </c>
      <c r="O4883" s="4">
        <f>IFERROR(__xludf.DUMMYFUNCTION("""COMPUTED_VALUE"""),19.9)</f>
        <v>19.9</v>
      </c>
      <c r="P4883" s="4">
        <f>IFERROR(__xludf.DUMMYFUNCTION("""COMPUTED_VALUE"""),8.2)</f>
        <v>8.2</v>
      </c>
      <c r="Q4883" s="4">
        <f>IFERROR(__xludf.DUMMYFUNCTION("""COMPUTED_VALUE"""),1.6)</f>
        <v>1.6</v>
      </c>
      <c r="R4883" s="4">
        <f>IFERROR(__xludf.DUMMYFUNCTION("""COMPUTED_VALUE"""),3.4)</f>
        <v>3.4</v>
      </c>
      <c r="S4883" s="4">
        <f>IFERROR(__xludf.DUMMYFUNCTION("""COMPUTED_VALUE"""),10.6)</f>
        <v>10.6</v>
      </c>
      <c r="T4883" s="4">
        <f>IFERROR(__xludf.DUMMYFUNCTION("""COMPUTED_VALUE"""),0.074)</f>
        <v>0.074</v>
      </c>
      <c r="U4883" s="4">
        <f>IFERROR(__xludf.DUMMYFUNCTION("""COMPUTED_VALUE"""),-1.2)</f>
        <v>-1.2</v>
      </c>
      <c r="V4883" s="4">
        <f>IFERROR(__xludf.DUMMYFUNCTION("""COMPUTED_VALUE"""),1.4)</f>
        <v>1.4</v>
      </c>
    </row>
    <row r="4884">
      <c r="A4884" s="4">
        <f>IFERROR(__xludf.DUMMYFUNCTION("""COMPUTED_VALUE"""),15.0)</f>
        <v>15</v>
      </c>
      <c r="B4884" s="4">
        <f>IFERROR(__xludf.DUMMYFUNCTION("""COMPUTED_VALUE"""),15.0)</f>
        <v>15</v>
      </c>
      <c r="C4884" s="4" t="str">
        <f>IFERROR(__xludf.DUMMYFUNCTION("""COMPUTED_VALUE"""),"CLE")</f>
        <v>CLE</v>
      </c>
      <c r="D4884" s="4" t="str">
        <f>IFERROR(__xludf.DUMMYFUNCTION("""COMPUTED_VALUE"""),"Chuckie Williams")</f>
        <v>Chuckie Williams</v>
      </c>
      <c r="E4884" s="4" t="str">
        <f>IFERROR(__xludf.DUMMYFUNCTION("""COMPUTED_VALUE"""),"Kansas State")</f>
        <v>Kansas State</v>
      </c>
      <c r="F4884" s="4">
        <f>IFERROR(__xludf.DUMMYFUNCTION("""COMPUTED_VALUE"""),1.0)</f>
        <v>1</v>
      </c>
      <c r="G4884" s="4">
        <f>IFERROR(__xludf.DUMMYFUNCTION("""COMPUTED_VALUE"""),22.0)</f>
        <v>22</v>
      </c>
      <c r="H4884" s="4">
        <f>IFERROR(__xludf.DUMMYFUNCTION("""COMPUTED_VALUE"""),65.0)</f>
        <v>65</v>
      </c>
      <c r="I4884" s="4">
        <f>IFERROR(__xludf.DUMMYFUNCTION("""COMPUTED_VALUE"""),37.0)</f>
        <v>37</v>
      </c>
      <c r="J4884" s="4">
        <f>IFERROR(__xludf.DUMMYFUNCTION("""COMPUTED_VALUE"""),4.0)</f>
        <v>4</v>
      </c>
      <c r="K4884" s="4">
        <f>IFERROR(__xludf.DUMMYFUNCTION("""COMPUTED_VALUE"""),7.0)</f>
        <v>7</v>
      </c>
      <c r="L4884" s="4">
        <f>IFERROR(__xludf.DUMMYFUNCTION("""COMPUTED_VALUE"""),0.298)</f>
        <v>0.298</v>
      </c>
      <c r="M4884" s="4"/>
      <c r="N4884" s="4">
        <f>IFERROR(__xludf.DUMMYFUNCTION("""COMPUTED_VALUE"""),0.75)</f>
        <v>0.75</v>
      </c>
      <c r="O4884" s="4">
        <f>IFERROR(__xludf.DUMMYFUNCTION("""COMPUTED_VALUE"""),3.0)</f>
        <v>3</v>
      </c>
      <c r="P4884" s="4">
        <f>IFERROR(__xludf.DUMMYFUNCTION("""COMPUTED_VALUE"""),1.7)</f>
        <v>1.7</v>
      </c>
      <c r="Q4884" s="4">
        <f>IFERROR(__xludf.DUMMYFUNCTION("""COMPUTED_VALUE"""),0.2)</f>
        <v>0.2</v>
      </c>
      <c r="R4884" s="4">
        <f>IFERROR(__xludf.DUMMYFUNCTION("""COMPUTED_VALUE"""),0.3)</f>
        <v>0.3</v>
      </c>
      <c r="S4884" s="4">
        <f>IFERROR(__xludf.DUMMYFUNCTION("""COMPUTED_VALUE"""),-0.2)</f>
        <v>-0.2</v>
      </c>
      <c r="T4884" s="4">
        <f>IFERROR(__xludf.DUMMYFUNCTION("""COMPUTED_VALUE"""),-0.137)</f>
        <v>-0.137</v>
      </c>
      <c r="U4884" s="4">
        <f>IFERROR(__xludf.DUMMYFUNCTION("""COMPUTED_VALUE"""),-6.5)</f>
        <v>-6.5</v>
      </c>
      <c r="V4884" s="4">
        <f>IFERROR(__xludf.DUMMYFUNCTION("""COMPUTED_VALUE"""),-0.1)</f>
        <v>-0.1</v>
      </c>
    </row>
    <row r="4885">
      <c r="A4885" s="4">
        <f>IFERROR(__xludf.DUMMYFUNCTION("""COMPUTED_VALUE"""),16.0)</f>
        <v>16</v>
      </c>
      <c r="B4885" s="4">
        <f>IFERROR(__xludf.DUMMYFUNCTION("""COMPUTED_VALUE"""),16.0)</f>
        <v>16</v>
      </c>
      <c r="C4885" s="4" t="str">
        <f>IFERROR(__xludf.DUMMYFUNCTION("""COMPUTED_VALUE"""),"BOS")</f>
        <v>BOS</v>
      </c>
      <c r="D4885" s="4" t="str">
        <f>IFERROR(__xludf.DUMMYFUNCTION("""COMPUTED_VALUE"""),"Norm Cook")</f>
        <v>Norm Cook</v>
      </c>
      <c r="E4885" s="4" t="str">
        <f>IFERROR(__xludf.DUMMYFUNCTION("""COMPUTED_VALUE"""),"Kansas")</f>
        <v>Kansas</v>
      </c>
      <c r="F4885" s="4">
        <f>IFERROR(__xludf.DUMMYFUNCTION("""COMPUTED_VALUE"""),2.0)</f>
        <v>2</v>
      </c>
      <c r="G4885" s="4">
        <f>IFERROR(__xludf.DUMMYFUNCTION("""COMPUTED_VALUE"""),27.0)</f>
        <v>27</v>
      </c>
      <c r="H4885" s="4">
        <f>IFERROR(__xludf.DUMMYFUNCTION("""COMPUTED_VALUE"""),148.0)</f>
        <v>148</v>
      </c>
      <c r="I4885" s="4">
        <f>IFERROR(__xludf.DUMMYFUNCTION("""COMPUTED_VALUE"""),65.0)</f>
        <v>65</v>
      </c>
      <c r="J4885" s="4">
        <f>IFERROR(__xludf.DUMMYFUNCTION("""COMPUTED_VALUE"""),30.0)</f>
        <v>30</v>
      </c>
      <c r="K4885" s="4">
        <f>IFERROR(__xludf.DUMMYFUNCTION("""COMPUTED_VALUE"""),6.0)</f>
        <v>6</v>
      </c>
      <c r="L4885" s="4">
        <f>IFERROR(__xludf.DUMMYFUNCTION("""COMPUTED_VALUE"""),0.373)</f>
        <v>0.373</v>
      </c>
      <c r="M4885" s="4"/>
      <c r="N4885" s="4">
        <f>IFERROR(__xludf.DUMMYFUNCTION("""COMPUTED_VALUE"""),0.529)</f>
        <v>0.529</v>
      </c>
      <c r="O4885" s="4">
        <f>IFERROR(__xludf.DUMMYFUNCTION("""COMPUTED_VALUE"""),5.5)</f>
        <v>5.5</v>
      </c>
      <c r="P4885" s="4">
        <f>IFERROR(__xludf.DUMMYFUNCTION("""COMPUTED_VALUE"""),2.4)</f>
        <v>2.4</v>
      </c>
      <c r="Q4885" s="4">
        <f>IFERROR(__xludf.DUMMYFUNCTION("""COMPUTED_VALUE"""),1.1)</f>
        <v>1.1</v>
      </c>
      <c r="R4885" s="4">
        <f>IFERROR(__xludf.DUMMYFUNCTION("""COMPUTED_VALUE"""),0.2)</f>
        <v>0.2</v>
      </c>
      <c r="S4885" s="4">
        <f>IFERROR(__xludf.DUMMYFUNCTION("""COMPUTED_VALUE"""),-0.1)</f>
        <v>-0.1</v>
      </c>
      <c r="T4885" s="4">
        <f>IFERROR(__xludf.DUMMYFUNCTION("""COMPUTED_VALUE"""),-0.018)</f>
        <v>-0.018</v>
      </c>
      <c r="U4885" s="4">
        <f>IFERROR(__xludf.DUMMYFUNCTION("""COMPUTED_VALUE"""),-4.4)</f>
        <v>-4.4</v>
      </c>
      <c r="V4885" s="4">
        <f>IFERROR(__xludf.DUMMYFUNCTION("""COMPUTED_VALUE"""),-0.1)</f>
        <v>-0.1</v>
      </c>
    </row>
    <row r="4886">
      <c r="A4886" s="4">
        <f>IFERROR(__xludf.DUMMYFUNCTION("""COMPUTED_VALUE"""),17.0)</f>
        <v>17</v>
      </c>
      <c r="B4886" s="4">
        <f>IFERROR(__xludf.DUMMYFUNCTION("""COMPUTED_VALUE"""),17.0)</f>
        <v>17</v>
      </c>
      <c r="C4886" s="4" t="str">
        <f>IFERROR(__xludf.DUMMYFUNCTION("""COMPUTED_VALUE"""),"GSW")</f>
        <v>GSW</v>
      </c>
      <c r="D4886" s="4" t="str">
        <f>IFERROR(__xludf.DUMMYFUNCTION("""COMPUTED_VALUE"""),"Sonny Parker")</f>
        <v>Sonny Parker</v>
      </c>
      <c r="E4886" s="4" t="str">
        <f>IFERROR(__xludf.DUMMYFUNCTION("""COMPUTED_VALUE"""),"Texas A&amp;M")</f>
        <v>Texas A&amp;M</v>
      </c>
      <c r="F4886" s="4">
        <f>IFERROR(__xludf.DUMMYFUNCTION("""COMPUTED_VALUE"""),6.0)</f>
        <v>6</v>
      </c>
      <c r="G4886" s="4">
        <f>IFERROR(__xludf.DUMMYFUNCTION("""COMPUTED_VALUE"""),452.0)</f>
        <v>452</v>
      </c>
      <c r="H4886" s="4">
        <f>IFERROR(__xludf.DUMMYFUNCTION("""COMPUTED_VALUE"""),10916.0)</f>
        <v>10916</v>
      </c>
      <c r="I4886" s="4">
        <f>IFERROR(__xludf.DUMMYFUNCTION("""COMPUTED_VALUE"""),4471.0)</f>
        <v>4471</v>
      </c>
      <c r="J4886" s="4">
        <f>IFERROR(__xludf.DUMMYFUNCTION("""COMPUTED_VALUE"""),1841.0)</f>
        <v>1841</v>
      </c>
      <c r="K4886" s="4">
        <f>IFERROR(__xludf.DUMMYFUNCTION("""COMPUTED_VALUE"""),954.0)</f>
        <v>954</v>
      </c>
      <c r="L4886" s="4">
        <f>IFERROR(__xludf.DUMMYFUNCTION("""COMPUTED_VALUE"""),0.501)</f>
        <v>0.501</v>
      </c>
      <c r="M4886" s="4"/>
      <c r="N4886" s="4">
        <f>IFERROR(__xludf.DUMMYFUNCTION("""COMPUTED_VALUE"""),0.755)</f>
        <v>0.755</v>
      </c>
      <c r="O4886" s="4">
        <f>IFERROR(__xludf.DUMMYFUNCTION("""COMPUTED_VALUE"""),24.2)</f>
        <v>24.2</v>
      </c>
      <c r="P4886" s="4">
        <f>IFERROR(__xludf.DUMMYFUNCTION("""COMPUTED_VALUE"""),9.9)</f>
        <v>9.9</v>
      </c>
      <c r="Q4886" s="4">
        <f>IFERROR(__xludf.DUMMYFUNCTION("""COMPUTED_VALUE"""),4.1)</f>
        <v>4.1</v>
      </c>
      <c r="R4886" s="4">
        <f>IFERROR(__xludf.DUMMYFUNCTION("""COMPUTED_VALUE"""),2.1)</f>
        <v>2.1</v>
      </c>
      <c r="S4886" s="4">
        <f>IFERROR(__xludf.DUMMYFUNCTION("""COMPUTED_VALUE"""),26.9)</f>
        <v>26.9</v>
      </c>
      <c r="T4886" s="4">
        <f>IFERROR(__xludf.DUMMYFUNCTION("""COMPUTED_VALUE"""),0.118)</f>
        <v>0.118</v>
      </c>
      <c r="U4886" s="4">
        <f>IFERROR(__xludf.DUMMYFUNCTION("""COMPUTED_VALUE"""),1.8)</f>
        <v>1.8</v>
      </c>
      <c r="V4886" s="4">
        <f>IFERROR(__xludf.DUMMYFUNCTION("""COMPUTED_VALUE"""),10.5)</f>
        <v>10.5</v>
      </c>
    </row>
    <row r="4887">
      <c r="A4887" s="4"/>
      <c r="B4887" s="4"/>
      <c r="C4887" s="4"/>
      <c r="D4887" s="4" t="str">
        <f>IFERROR(__xludf.DUMMYFUNCTION("""COMPUTED_VALUE"""),"Round 2")</f>
        <v>Round 2</v>
      </c>
      <c r="E4887" s="4"/>
      <c r="F4887" s="4"/>
      <c r="G4887" s="4" t="str">
        <f>IFERROR(__xludf.DUMMYFUNCTION("""COMPUTED_VALUE"""),"Totals")</f>
        <v>Totals</v>
      </c>
      <c r="H4887" s="4"/>
      <c r="I4887" s="4"/>
      <c r="J4887" s="4"/>
      <c r="K4887" s="4"/>
      <c r="L4887" s="4" t="str">
        <f>IFERROR(__xludf.DUMMYFUNCTION("""COMPUTED_VALUE"""),"Shooting")</f>
        <v>Shooting</v>
      </c>
      <c r="M4887" s="4"/>
      <c r="N4887" s="4"/>
      <c r="O4887" s="4" t="str">
        <f>IFERROR(__xludf.DUMMYFUNCTION("""COMPUTED_VALUE"""),"Per Game")</f>
        <v>Per Game</v>
      </c>
      <c r="P4887" s="4"/>
      <c r="Q4887" s="4"/>
      <c r="R4887" s="4"/>
      <c r="S4887" s="4" t="str">
        <f>IFERROR(__xludf.DUMMYFUNCTION("""COMPUTED_VALUE"""),"Advanced")</f>
        <v>Advanced</v>
      </c>
      <c r="T4887" s="4"/>
      <c r="U4887" s="4"/>
      <c r="V4887" s="4"/>
    </row>
    <row r="4888">
      <c r="A4888" s="4" t="str">
        <f>IFERROR(__xludf.DUMMYFUNCTION("""COMPUTED_VALUE"""),"Rk")</f>
        <v>Rk</v>
      </c>
      <c r="B4888" s="4" t="str">
        <f>IFERROR(__xludf.DUMMYFUNCTION("""COMPUTED_VALUE"""),"Pk")</f>
        <v>Pk</v>
      </c>
      <c r="C4888" s="4" t="str">
        <f>IFERROR(__xludf.DUMMYFUNCTION("""COMPUTED_VALUE"""),"Tm")</f>
        <v>Tm</v>
      </c>
      <c r="D4888" s="4" t="str">
        <f>IFERROR(__xludf.DUMMYFUNCTION("""COMPUTED_VALUE"""),"Player")</f>
        <v>Player</v>
      </c>
      <c r="E4888" s="4" t="str">
        <f>IFERROR(__xludf.DUMMYFUNCTION("""COMPUTED_VALUE"""),"College")</f>
        <v>College</v>
      </c>
      <c r="F4888" s="4" t="str">
        <f>IFERROR(__xludf.DUMMYFUNCTION("""COMPUTED_VALUE"""),"Yrs")</f>
        <v>Yrs</v>
      </c>
      <c r="G4888" s="4" t="str">
        <f>IFERROR(__xludf.DUMMYFUNCTION("""COMPUTED_VALUE"""),"G")</f>
        <v>G</v>
      </c>
      <c r="H4888" s="4" t="str">
        <f>IFERROR(__xludf.DUMMYFUNCTION("""COMPUTED_VALUE"""),"MP")</f>
        <v>MP</v>
      </c>
      <c r="I4888" s="4" t="str">
        <f>IFERROR(__xludf.DUMMYFUNCTION("""COMPUTED_VALUE"""),"PTS")</f>
        <v>PTS</v>
      </c>
      <c r="J4888" s="4" t="str">
        <f>IFERROR(__xludf.DUMMYFUNCTION("""COMPUTED_VALUE"""),"TRB")</f>
        <v>TRB</v>
      </c>
      <c r="K4888" s="4" t="str">
        <f>IFERROR(__xludf.DUMMYFUNCTION("""COMPUTED_VALUE"""),"AST")</f>
        <v>AST</v>
      </c>
      <c r="L4888" s="4" t="str">
        <f>IFERROR(__xludf.DUMMYFUNCTION("""COMPUTED_VALUE"""),"FG%")</f>
        <v>FG%</v>
      </c>
      <c r="M4888" s="4" t="str">
        <f>IFERROR(__xludf.DUMMYFUNCTION("""COMPUTED_VALUE"""),"3P%")</f>
        <v>3P%</v>
      </c>
      <c r="N4888" s="4" t="str">
        <f>IFERROR(__xludf.DUMMYFUNCTION("""COMPUTED_VALUE"""),"FT%")</f>
        <v>FT%</v>
      </c>
      <c r="O4888" s="4" t="str">
        <f>IFERROR(__xludf.DUMMYFUNCTION("""COMPUTED_VALUE"""),"MP")</f>
        <v>MP</v>
      </c>
      <c r="P4888" s="4" t="str">
        <f>IFERROR(__xludf.DUMMYFUNCTION("""COMPUTED_VALUE"""),"PTS")</f>
        <v>PTS</v>
      </c>
      <c r="Q4888" s="4" t="str">
        <f>IFERROR(__xludf.DUMMYFUNCTION("""COMPUTED_VALUE"""),"TRB")</f>
        <v>TRB</v>
      </c>
      <c r="R4888" s="4" t="str">
        <f>IFERROR(__xludf.DUMMYFUNCTION("""COMPUTED_VALUE"""),"AST")</f>
        <v>AST</v>
      </c>
      <c r="S4888" s="4" t="str">
        <f>IFERROR(__xludf.DUMMYFUNCTION("""COMPUTED_VALUE"""),"WS")</f>
        <v>WS</v>
      </c>
      <c r="T4888" s="4" t="str">
        <f>IFERROR(__xludf.DUMMYFUNCTION("""COMPUTED_VALUE"""),"WS/48")</f>
        <v>WS/48</v>
      </c>
      <c r="U4888" s="4" t="str">
        <f>IFERROR(__xludf.DUMMYFUNCTION("""COMPUTED_VALUE"""),"BPM")</f>
        <v>BPM</v>
      </c>
      <c r="V4888" s="4" t="str">
        <f>IFERROR(__xludf.DUMMYFUNCTION("""COMPUTED_VALUE"""),"VORP")</f>
        <v>VORP</v>
      </c>
    </row>
    <row r="4889">
      <c r="A4889" s="4">
        <f>IFERROR(__xludf.DUMMYFUNCTION("""COMPUTED_VALUE"""),18.0)</f>
        <v>18</v>
      </c>
      <c r="B4889" s="4">
        <f>IFERROR(__xludf.DUMMYFUNCTION("""COMPUTED_VALUE"""),18.0)</f>
        <v>18</v>
      </c>
      <c r="C4889" s="4" t="str">
        <f>IFERROR(__xludf.DUMMYFUNCTION("""COMPUTED_VALUE"""),"CHI")</f>
        <v>CHI</v>
      </c>
      <c r="D4889" s="4" t="str">
        <f>IFERROR(__xludf.DUMMYFUNCTION("""COMPUTED_VALUE"""),"Willie Smith")</f>
        <v>Willie Smith</v>
      </c>
      <c r="E4889" s="4" t="str">
        <f>IFERROR(__xludf.DUMMYFUNCTION("""COMPUTED_VALUE"""),"Missouri")</f>
        <v>Missouri</v>
      </c>
      <c r="F4889" s="4">
        <f>IFERROR(__xludf.DUMMYFUNCTION("""COMPUTED_VALUE"""),4.0)</f>
        <v>4</v>
      </c>
      <c r="G4889" s="4">
        <f>IFERROR(__xludf.DUMMYFUNCTION("""COMPUTED_VALUE"""),78.0)</f>
        <v>78</v>
      </c>
      <c r="H4889" s="4">
        <f>IFERROR(__xludf.DUMMYFUNCTION("""COMPUTED_VALUE"""),1200.0)</f>
        <v>1200</v>
      </c>
      <c r="I4889" s="4">
        <f>IFERROR(__xludf.DUMMYFUNCTION("""COMPUTED_VALUE"""),357.0)</f>
        <v>357</v>
      </c>
      <c r="J4889" s="4">
        <f>IFERROR(__xludf.DUMMYFUNCTION("""COMPUTED_VALUE"""),134.0)</f>
        <v>134</v>
      </c>
      <c r="K4889" s="4">
        <f>IFERROR(__xludf.DUMMYFUNCTION("""COMPUTED_VALUE"""),277.0)</f>
        <v>277</v>
      </c>
      <c r="L4889" s="4">
        <f>IFERROR(__xludf.DUMMYFUNCTION("""COMPUTED_VALUE"""),0.4)</f>
        <v>0.4</v>
      </c>
      <c r="M4889" s="4"/>
      <c r="N4889" s="4">
        <f>IFERROR(__xludf.DUMMYFUNCTION("""COMPUTED_VALUE"""),0.754)</f>
        <v>0.754</v>
      </c>
      <c r="O4889" s="4">
        <f>IFERROR(__xludf.DUMMYFUNCTION("""COMPUTED_VALUE"""),15.4)</f>
        <v>15.4</v>
      </c>
      <c r="P4889" s="4">
        <f>IFERROR(__xludf.DUMMYFUNCTION("""COMPUTED_VALUE"""),4.6)</f>
        <v>4.6</v>
      </c>
      <c r="Q4889" s="4">
        <f>IFERROR(__xludf.DUMMYFUNCTION("""COMPUTED_VALUE"""),1.7)</f>
        <v>1.7</v>
      </c>
      <c r="R4889" s="4">
        <f>IFERROR(__xludf.DUMMYFUNCTION("""COMPUTED_VALUE"""),3.6)</f>
        <v>3.6</v>
      </c>
      <c r="S4889" s="4">
        <f>IFERROR(__xludf.DUMMYFUNCTION("""COMPUTED_VALUE"""),1.3)</f>
        <v>1.3</v>
      </c>
      <c r="T4889" s="4">
        <f>IFERROR(__xludf.DUMMYFUNCTION("""COMPUTED_VALUE"""),0.052)</f>
        <v>0.052</v>
      </c>
      <c r="U4889" s="4">
        <f>IFERROR(__xludf.DUMMYFUNCTION("""COMPUTED_VALUE"""),-0.2)</f>
        <v>-0.2</v>
      </c>
      <c r="V4889" s="4">
        <f>IFERROR(__xludf.DUMMYFUNCTION("""COMPUTED_VALUE"""),0.6)</f>
        <v>0.6</v>
      </c>
    </row>
    <row r="4890">
      <c r="A4890" s="4">
        <f>IFERROR(__xludf.DUMMYFUNCTION("""COMPUTED_VALUE"""),19.0)</f>
        <v>19</v>
      </c>
      <c r="B4890" s="4">
        <f>IFERROR(__xludf.DUMMYFUNCTION("""COMPUTED_VALUE"""),19.0)</f>
        <v>19</v>
      </c>
      <c r="C4890" s="4" t="str">
        <f>IFERROR(__xludf.DUMMYFUNCTION("""COMPUTED_VALUE"""),"SEA")</f>
        <v>SEA</v>
      </c>
      <c r="D4890" s="4" t="str">
        <f>IFERROR(__xludf.DUMMYFUNCTION("""COMPUTED_VALUE"""),"Bayard Forrest")</f>
        <v>Bayard Forrest</v>
      </c>
      <c r="E4890" s="4" t="str">
        <f>IFERROR(__xludf.DUMMYFUNCTION("""COMPUTED_VALUE"""),"Grand Canyon University")</f>
        <v>Grand Canyon University</v>
      </c>
      <c r="F4890" s="4">
        <f>IFERROR(__xludf.DUMMYFUNCTION("""COMPUTED_VALUE"""),2.0)</f>
        <v>2</v>
      </c>
      <c r="G4890" s="4">
        <f>IFERROR(__xludf.DUMMYFUNCTION("""COMPUTED_VALUE"""),139.0)</f>
        <v>139</v>
      </c>
      <c r="H4890" s="4">
        <f>IFERROR(__xludf.DUMMYFUNCTION("""COMPUTED_VALUE"""),2130.0)</f>
        <v>2130</v>
      </c>
      <c r="I4890" s="4">
        <f>IFERROR(__xludf.DUMMYFUNCTION("""COMPUTED_VALUE"""),569.0)</f>
        <v>569</v>
      </c>
      <c r="J4890" s="4">
        <f>IFERROR(__xludf.DUMMYFUNCTION("""COMPUTED_VALUE"""),565.0)</f>
        <v>565</v>
      </c>
      <c r="K4890" s="4">
        <f>IFERROR(__xludf.DUMMYFUNCTION("""COMPUTED_VALUE"""),296.0)</f>
        <v>296</v>
      </c>
      <c r="L4890" s="4">
        <f>IFERROR(__xludf.DUMMYFUNCTION("""COMPUTED_VALUE"""),0.449)</f>
        <v>0.449</v>
      </c>
      <c r="M4890" s="4"/>
      <c r="N4890" s="4">
        <f>IFERROR(__xludf.DUMMYFUNCTION("""COMPUTED_VALUE"""),0.509)</f>
        <v>0.509</v>
      </c>
      <c r="O4890" s="4">
        <f>IFERROR(__xludf.DUMMYFUNCTION("""COMPUTED_VALUE"""),15.3)</f>
        <v>15.3</v>
      </c>
      <c r="P4890" s="4">
        <f>IFERROR(__xludf.DUMMYFUNCTION("""COMPUTED_VALUE"""),4.1)</f>
        <v>4.1</v>
      </c>
      <c r="Q4890" s="4">
        <f>IFERROR(__xludf.DUMMYFUNCTION("""COMPUTED_VALUE"""),4.1)</f>
        <v>4.1</v>
      </c>
      <c r="R4890" s="4">
        <f>IFERROR(__xludf.DUMMYFUNCTION("""COMPUTED_VALUE"""),2.1)</f>
        <v>2.1</v>
      </c>
      <c r="S4890" s="4">
        <f>IFERROR(__xludf.DUMMYFUNCTION("""COMPUTED_VALUE"""),2.7)</f>
        <v>2.7</v>
      </c>
      <c r="T4890" s="4">
        <f>IFERROR(__xludf.DUMMYFUNCTION("""COMPUTED_VALUE"""),0.06)</f>
        <v>0.06</v>
      </c>
      <c r="U4890" s="4">
        <f>IFERROR(__xludf.DUMMYFUNCTION("""COMPUTED_VALUE"""),-0.7)</f>
        <v>-0.7</v>
      </c>
      <c r="V4890" s="4">
        <f>IFERROR(__xludf.DUMMYFUNCTION("""COMPUTED_VALUE"""),0.7)</f>
        <v>0.7</v>
      </c>
    </row>
    <row r="4891">
      <c r="A4891" s="4">
        <f>IFERROR(__xludf.DUMMYFUNCTION("""COMPUTED_VALUE"""),20.0)</f>
        <v>20</v>
      </c>
      <c r="B4891" s="4">
        <f>IFERROR(__xludf.DUMMYFUNCTION("""COMPUTED_VALUE"""),20.0)</f>
        <v>20</v>
      </c>
      <c r="C4891" s="4" t="str">
        <f>IFERROR(__xludf.DUMMYFUNCTION("""COMPUTED_VALUE"""),"POR")</f>
        <v>POR</v>
      </c>
      <c r="D4891" s="4" t="str">
        <f>IFERROR(__xludf.DUMMYFUNCTION("""COMPUTED_VALUE"""),"Major Jones")</f>
        <v>Major Jones</v>
      </c>
      <c r="E4891" s="4" t="str">
        <f>IFERROR(__xludf.DUMMYFUNCTION("""COMPUTED_VALUE"""),"Albany State University")</f>
        <v>Albany State University</v>
      </c>
      <c r="F4891" s="4">
        <f>IFERROR(__xludf.DUMMYFUNCTION("""COMPUTED_VALUE"""),6.0)</f>
        <v>6</v>
      </c>
      <c r="G4891" s="4">
        <f>IFERROR(__xludf.DUMMYFUNCTION("""COMPUTED_VALUE"""),374.0)</f>
        <v>374</v>
      </c>
      <c r="H4891" s="4">
        <f>IFERROR(__xludf.DUMMYFUNCTION("""COMPUTED_VALUE"""),5063.0)</f>
        <v>5063</v>
      </c>
      <c r="I4891" s="4">
        <f>IFERROR(__xludf.DUMMYFUNCTION("""COMPUTED_VALUE"""),1643.0)</f>
        <v>1643</v>
      </c>
      <c r="J4891" s="4">
        <f>IFERROR(__xludf.DUMMYFUNCTION("""COMPUTED_VALUE"""),1323.0)</f>
        <v>1323</v>
      </c>
      <c r="K4891" s="4">
        <f>IFERROR(__xludf.DUMMYFUNCTION("""COMPUTED_VALUE"""),215.0)</f>
        <v>215</v>
      </c>
      <c r="L4891" s="4">
        <f>IFERROR(__xludf.DUMMYFUNCTION("""COMPUTED_VALUE"""),0.49)</f>
        <v>0.49</v>
      </c>
      <c r="M4891" s="4">
        <f>IFERROR(__xludf.DUMMYFUNCTION("""COMPUTED_VALUE"""),0.111)</f>
        <v>0.111</v>
      </c>
      <c r="N4891" s="4">
        <f>IFERROR(__xludf.DUMMYFUNCTION("""COMPUTED_VALUE"""),0.586)</f>
        <v>0.586</v>
      </c>
      <c r="O4891" s="4">
        <f>IFERROR(__xludf.DUMMYFUNCTION("""COMPUTED_VALUE"""),13.5)</f>
        <v>13.5</v>
      </c>
      <c r="P4891" s="4">
        <f>IFERROR(__xludf.DUMMYFUNCTION("""COMPUTED_VALUE"""),4.4)</f>
        <v>4.4</v>
      </c>
      <c r="Q4891" s="4">
        <f>IFERROR(__xludf.DUMMYFUNCTION("""COMPUTED_VALUE"""),3.5)</f>
        <v>3.5</v>
      </c>
      <c r="R4891" s="4">
        <f>IFERROR(__xludf.DUMMYFUNCTION("""COMPUTED_VALUE"""),0.6)</f>
        <v>0.6</v>
      </c>
      <c r="S4891" s="4">
        <f>IFERROR(__xludf.DUMMYFUNCTION("""COMPUTED_VALUE"""),5.5)</f>
        <v>5.5</v>
      </c>
      <c r="T4891" s="4">
        <f>IFERROR(__xludf.DUMMYFUNCTION("""COMPUTED_VALUE"""),0.052)</f>
        <v>0.052</v>
      </c>
      <c r="U4891" s="4">
        <f>IFERROR(__xludf.DUMMYFUNCTION("""COMPUTED_VALUE"""),-2.6)</f>
        <v>-2.6</v>
      </c>
      <c r="V4891" s="4">
        <f>IFERROR(__xludf.DUMMYFUNCTION("""COMPUTED_VALUE"""),-0.8)</f>
        <v>-0.8</v>
      </c>
    </row>
    <row r="4892">
      <c r="A4892" s="4">
        <f>IFERROR(__xludf.DUMMYFUNCTION("""COMPUTED_VALUE"""),21.0)</f>
        <v>21</v>
      </c>
      <c r="B4892" s="4">
        <f>IFERROR(__xludf.DUMMYFUNCTION("""COMPUTED_VALUE"""),21.0)</f>
        <v>21</v>
      </c>
      <c r="C4892" s="4" t="str">
        <f>IFERROR(__xludf.DUMMYFUNCTION("""COMPUTED_VALUE"""),"LAL")</f>
        <v>LAL</v>
      </c>
      <c r="D4892" s="4" t="str">
        <f>IFERROR(__xludf.DUMMYFUNCTION("""COMPUTED_VALUE"""),"Earl Tatum")</f>
        <v>Earl Tatum</v>
      </c>
      <c r="E4892" s="4" t="str">
        <f>IFERROR(__xludf.DUMMYFUNCTION("""COMPUTED_VALUE"""),"Marquette")</f>
        <v>Marquette</v>
      </c>
      <c r="F4892" s="4">
        <f>IFERROR(__xludf.DUMMYFUNCTION("""COMPUTED_VALUE"""),4.0)</f>
        <v>4</v>
      </c>
      <c r="G4892" s="4">
        <f>IFERROR(__xludf.DUMMYFUNCTION("""COMPUTED_VALUE"""),262.0)</f>
        <v>262</v>
      </c>
      <c r="H4892" s="4">
        <f>IFERROR(__xludf.DUMMYFUNCTION("""COMPUTED_VALUE"""),5229.0)</f>
        <v>5229</v>
      </c>
      <c r="I4892" s="4">
        <f>IFERROR(__xludf.DUMMYFUNCTION("""COMPUTED_VALUE"""),2508.0)</f>
        <v>2508</v>
      </c>
      <c r="J4892" s="4">
        <f>IFERROR(__xludf.DUMMYFUNCTION("""COMPUTED_VALUE"""),682.0)</f>
        <v>682</v>
      </c>
      <c r="K4892" s="4">
        <f>IFERROR(__xludf.DUMMYFUNCTION("""COMPUTED_VALUE"""),507.0)</f>
        <v>507</v>
      </c>
      <c r="L4892" s="4">
        <f>IFERROR(__xludf.DUMMYFUNCTION("""COMPUTED_VALUE"""),0.459)</f>
        <v>0.459</v>
      </c>
      <c r="M4892" s="4"/>
      <c r="N4892" s="4">
        <f>IFERROR(__xludf.DUMMYFUNCTION("""COMPUTED_VALUE"""),0.746)</f>
        <v>0.746</v>
      </c>
      <c r="O4892" s="4">
        <f>IFERROR(__xludf.DUMMYFUNCTION("""COMPUTED_VALUE"""),20.0)</f>
        <v>20</v>
      </c>
      <c r="P4892" s="4">
        <f>IFERROR(__xludf.DUMMYFUNCTION("""COMPUTED_VALUE"""),9.6)</f>
        <v>9.6</v>
      </c>
      <c r="Q4892" s="4">
        <f>IFERROR(__xludf.DUMMYFUNCTION("""COMPUTED_VALUE"""),2.6)</f>
        <v>2.6</v>
      </c>
      <c r="R4892" s="4">
        <f>IFERROR(__xludf.DUMMYFUNCTION("""COMPUTED_VALUE"""),1.9)</f>
        <v>1.9</v>
      </c>
      <c r="S4892" s="4">
        <f>IFERROR(__xludf.DUMMYFUNCTION("""COMPUTED_VALUE"""),7.8)</f>
        <v>7.8</v>
      </c>
      <c r="T4892" s="4">
        <f>IFERROR(__xludf.DUMMYFUNCTION("""COMPUTED_VALUE"""),0.071)</f>
        <v>0.071</v>
      </c>
      <c r="U4892" s="4">
        <f>IFERROR(__xludf.DUMMYFUNCTION("""COMPUTED_VALUE"""),-0.4)</f>
        <v>-0.4</v>
      </c>
      <c r="V4892" s="4">
        <f>IFERROR(__xludf.DUMMYFUNCTION("""COMPUTED_VALUE"""),2.1)</f>
        <v>2.1</v>
      </c>
    </row>
    <row r="4893">
      <c r="A4893" s="4">
        <f>IFERROR(__xludf.DUMMYFUNCTION("""COMPUTED_VALUE"""),22.0)</f>
        <v>22</v>
      </c>
      <c r="B4893" s="4">
        <f>IFERROR(__xludf.DUMMYFUNCTION("""COMPUTED_VALUE"""),22.0)</f>
        <v>22</v>
      </c>
      <c r="C4893" s="4" t="str">
        <f>IFERROR(__xludf.DUMMYFUNCTION("""COMPUTED_VALUE"""),"POR")</f>
        <v>POR</v>
      </c>
      <c r="D4893" s="4" t="str">
        <f>IFERROR(__xludf.DUMMYFUNCTION("""COMPUTED_VALUE"""),"Johnny Davis")</f>
        <v>Johnny Davis</v>
      </c>
      <c r="E4893" s="4" t="str">
        <f>IFERROR(__xludf.DUMMYFUNCTION("""COMPUTED_VALUE"""),"Dayton")</f>
        <v>Dayton</v>
      </c>
      <c r="F4893" s="4">
        <f>IFERROR(__xludf.DUMMYFUNCTION("""COMPUTED_VALUE"""),10.0)</f>
        <v>10</v>
      </c>
      <c r="G4893" s="4">
        <f>IFERROR(__xludf.DUMMYFUNCTION("""COMPUTED_VALUE"""),750.0)</f>
        <v>750</v>
      </c>
      <c r="H4893" s="4">
        <f>IFERROR(__xludf.DUMMYFUNCTION("""COMPUTED_VALUE"""),21200.0)</f>
        <v>21200</v>
      </c>
      <c r="I4893" s="4">
        <f>IFERROR(__xludf.DUMMYFUNCTION("""COMPUTED_VALUE"""),9710.0)</f>
        <v>9710</v>
      </c>
      <c r="J4893" s="4">
        <f>IFERROR(__xludf.DUMMYFUNCTION("""COMPUTED_VALUE"""),1505.0)</f>
        <v>1505</v>
      </c>
      <c r="K4893" s="4">
        <f>IFERROR(__xludf.DUMMYFUNCTION("""COMPUTED_VALUE"""),3368.0)</f>
        <v>3368</v>
      </c>
      <c r="L4893" s="4">
        <f>IFERROR(__xludf.DUMMYFUNCTION("""COMPUTED_VALUE"""),0.448)</f>
        <v>0.448</v>
      </c>
      <c r="M4893" s="4"/>
      <c r="N4893" s="4">
        <f>IFERROR(__xludf.DUMMYFUNCTION("""COMPUTED_VALUE"""),0.821)</f>
        <v>0.821</v>
      </c>
      <c r="O4893" s="4">
        <f>IFERROR(__xludf.DUMMYFUNCTION("""COMPUTED_VALUE"""),28.3)</f>
        <v>28.3</v>
      </c>
      <c r="P4893" s="4">
        <f>IFERROR(__xludf.DUMMYFUNCTION("""COMPUTED_VALUE"""),12.9)</f>
        <v>12.9</v>
      </c>
      <c r="Q4893" s="4">
        <f>IFERROR(__xludf.DUMMYFUNCTION("""COMPUTED_VALUE"""),2.0)</f>
        <v>2</v>
      </c>
      <c r="R4893" s="4">
        <f>IFERROR(__xludf.DUMMYFUNCTION("""COMPUTED_VALUE"""),4.5)</f>
        <v>4.5</v>
      </c>
      <c r="S4893" s="4">
        <f>IFERROR(__xludf.DUMMYFUNCTION("""COMPUTED_VALUE"""),38.5)</f>
        <v>38.5</v>
      </c>
      <c r="T4893" s="4">
        <f>IFERROR(__xludf.DUMMYFUNCTION("""COMPUTED_VALUE"""),0.087)</f>
        <v>0.087</v>
      </c>
      <c r="U4893" s="4">
        <f>IFERROR(__xludf.DUMMYFUNCTION("""COMPUTED_VALUE"""),-0.8)</f>
        <v>-0.8</v>
      </c>
      <c r="V4893" s="4">
        <f>IFERROR(__xludf.DUMMYFUNCTION("""COMPUTED_VALUE"""),6.4)</f>
        <v>6.4</v>
      </c>
    </row>
    <row r="4894">
      <c r="A4894" s="4">
        <f>IFERROR(__xludf.DUMMYFUNCTION("""COMPUTED_VALUE"""),23.0)</f>
        <v>23</v>
      </c>
      <c r="B4894" s="4">
        <f>IFERROR(__xludf.DUMMYFUNCTION("""COMPUTED_VALUE"""),23.0)</f>
        <v>23</v>
      </c>
      <c r="C4894" s="4" t="str">
        <f>IFERROR(__xludf.DUMMYFUNCTION("""COMPUTED_VALUE"""),"MIL")</f>
        <v>MIL</v>
      </c>
      <c r="D4894" s="4" t="str">
        <f>IFERROR(__xludf.DUMMYFUNCTION("""COMPUTED_VALUE"""),"Alex English")</f>
        <v>Alex English</v>
      </c>
      <c r="E4894" s="4" t="str">
        <f>IFERROR(__xludf.DUMMYFUNCTION("""COMPUTED_VALUE"""),"South Carolina")</f>
        <v>South Carolina</v>
      </c>
      <c r="F4894" s="4">
        <f>IFERROR(__xludf.DUMMYFUNCTION("""COMPUTED_VALUE"""),15.0)</f>
        <v>15</v>
      </c>
      <c r="G4894" s="4">
        <f>IFERROR(__xludf.DUMMYFUNCTION("""COMPUTED_VALUE"""),1193.0)</f>
        <v>1193</v>
      </c>
      <c r="H4894" s="4">
        <f>IFERROR(__xludf.DUMMYFUNCTION("""COMPUTED_VALUE"""),38063.0)</f>
        <v>38063</v>
      </c>
      <c r="I4894" s="4">
        <f>IFERROR(__xludf.DUMMYFUNCTION("""COMPUTED_VALUE"""),25613.0)</f>
        <v>25613</v>
      </c>
      <c r="J4894" s="4">
        <f>IFERROR(__xludf.DUMMYFUNCTION("""COMPUTED_VALUE"""),6538.0)</f>
        <v>6538</v>
      </c>
      <c r="K4894" s="4">
        <f>IFERROR(__xludf.DUMMYFUNCTION("""COMPUTED_VALUE"""),4351.0)</f>
        <v>4351</v>
      </c>
      <c r="L4894" s="4">
        <f>IFERROR(__xludf.DUMMYFUNCTION("""COMPUTED_VALUE"""),0.507)</f>
        <v>0.507</v>
      </c>
      <c r="M4894" s="4"/>
      <c r="N4894" s="4">
        <f>IFERROR(__xludf.DUMMYFUNCTION("""COMPUTED_VALUE"""),0.832)</f>
        <v>0.832</v>
      </c>
      <c r="O4894" s="4">
        <f>IFERROR(__xludf.DUMMYFUNCTION("""COMPUTED_VALUE"""),31.9)</f>
        <v>31.9</v>
      </c>
      <c r="P4894" s="4">
        <f>IFERROR(__xludf.DUMMYFUNCTION("""COMPUTED_VALUE"""),21.5)</f>
        <v>21.5</v>
      </c>
      <c r="Q4894" s="4">
        <f>IFERROR(__xludf.DUMMYFUNCTION("""COMPUTED_VALUE"""),5.5)</f>
        <v>5.5</v>
      </c>
      <c r="R4894" s="4">
        <f>IFERROR(__xludf.DUMMYFUNCTION("""COMPUTED_VALUE"""),3.6)</f>
        <v>3.6</v>
      </c>
      <c r="S4894" s="4">
        <f>IFERROR(__xludf.DUMMYFUNCTION("""COMPUTED_VALUE"""),100.7)</f>
        <v>100.7</v>
      </c>
      <c r="T4894" s="4">
        <f>IFERROR(__xludf.DUMMYFUNCTION("""COMPUTED_VALUE"""),0.127)</f>
        <v>0.127</v>
      </c>
      <c r="U4894" s="4">
        <f>IFERROR(__xludf.DUMMYFUNCTION("""COMPUTED_VALUE"""),2.0)</f>
        <v>2</v>
      </c>
      <c r="V4894" s="4">
        <f>IFERROR(__xludf.DUMMYFUNCTION("""COMPUTED_VALUE"""),38.2)</f>
        <v>38.2</v>
      </c>
    </row>
    <row r="4895">
      <c r="A4895" s="4">
        <f>IFERROR(__xludf.DUMMYFUNCTION("""COMPUTED_VALUE"""),24.0)</f>
        <v>24</v>
      </c>
      <c r="B4895" s="4">
        <f>IFERROR(__xludf.DUMMYFUNCTION("""COMPUTED_VALUE"""),24.0)</f>
        <v>24</v>
      </c>
      <c r="C4895" s="4" t="str">
        <f>IFERROR(__xludf.DUMMYFUNCTION("""COMPUTED_VALUE"""),"MIL")</f>
        <v>MIL</v>
      </c>
      <c r="D4895" s="4" t="str">
        <f>IFERROR(__xludf.DUMMYFUNCTION("""COMPUTED_VALUE"""),"Scott Lloyd")</f>
        <v>Scott Lloyd</v>
      </c>
      <c r="E4895" s="4" t="str">
        <f>IFERROR(__xludf.DUMMYFUNCTION("""COMPUTED_VALUE"""),"Arizona State")</f>
        <v>Arizona State</v>
      </c>
      <c r="F4895" s="4">
        <f>IFERROR(__xludf.DUMMYFUNCTION("""COMPUTED_VALUE"""),6.0)</f>
        <v>6</v>
      </c>
      <c r="G4895" s="4">
        <f>IFERROR(__xludf.DUMMYFUNCTION("""COMPUTED_VALUE"""),372.0)</f>
        <v>372</v>
      </c>
      <c r="H4895" s="4">
        <f>IFERROR(__xludf.DUMMYFUNCTION("""COMPUTED_VALUE"""),5638.0)</f>
        <v>5638</v>
      </c>
      <c r="I4895" s="4">
        <f>IFERROR(__xludf.DUMMYFUNCTION("""COMPUTED_VALUE"""),1694.0)</f>
        <v>1694</v>
      </c>
      <c r="J4895" s="4">
        <f>IFERROR(__xludf.DUMMYFUNCTION("""COMPUTED_VALUE"""),1114.0)</f>
        <v>1114</v>
      </c>
      <c r="K4895" s="4">
        <f>IFERROR(__xludf.DUMMYFUNCTION("""COMPUTED_VALUE"""),356.0)</f>
        <v>356</v>
      </c>
      <c r="L4895" s="4">
        <f>IFERROR(__xludf.DUMMYFUNCTION("""COMPUTED_VALUE"""),0.425)</f>
        <v>0.425</v>
      </c>
      <c r="M4895" s="4"/>
      <c r="N4895" s="4">
        <f>IFERROR(__xludf.DUMMYFUNCTION("""COMPUTED_VALUE"""),0.718)</f>
        <v>0.718</v>
      </c>
      <c r="O4895" s="4">
        <f>IFERROR(__xludf.DUMMYFUNCTION("""COMPUTED_VALUE"""),15.2)</f>
        <v>15.2</v>
      </c>
      <c r="P4895" s="4">
        <f>IFERROR(__xludf.DUMMYFUNCTION("""COMPUTED_VALUE"""),4.6)</f>
        <v>4.6</v>
      </c>
      <c r="Q4895" s="4">
        <f>IFERROR(__xludf.DUMMYFUNCTION("""COMPUTED_VALUE"""),3.0)</f>
        <v>3</v>
      </c>
      <c r="R4895" s="4">
        <f>IFERROR(__xludf.DUMMYFUNCTION("""COMPUTED_VALUE"""),1.0)</f>
        <v>1</v>
      </c>
      <c r="S4895" s="4">
        <f>IFERROR(__xludf.DUMMYFUNCTION("""COMPUTED_VALUE"""),2.5)</f>
        <v>2.5</v>
      </c>
      <c r="T4895" s="4">
        <f>IFERROR(__xludf.DUMMYFUNCTION("""COMPUTED_VALUE"""),0.021)</f>
        <v>0.021</v>
      </c>
      <c r="U4895" s="4">
        <f>IFERROR(__xludf.DUMMYFUNCTION("""COMPUTED_VALUE"""),-4.3)</f>
        <v>-4.3</v>
      </c>
      <c r="V4895" s="4">
        <f>IFERROR(__xludf.DUMMYFUNCTION("""COMPUTED_VALUE"""),-3.4)</f>
        <v>-3.4</v>
      </c>
    </row>
    <row r="4896">
      <c r="A4896" s="4">
        <f>IFERROR(__xludf.DUMMYFUNCTION("""COMPUTED_VALUE"""),25.0)</f>
        <v>25</v>
      </c>
      <c r="B4896" s="4">
        <f>IFERROR(__xludf.DUMMYFUNCTION("""COMPUTED_VALUE"""),25.0)</f>
        <v>25</v>
      </c>
      <c r="C4896" s="4" t="str">
        <f>IFERROR(__xludf.DUMMYFUNCTION("""COMPUTED_VALUE"""),"NYK")</f>
        <v>NYK</v>
      </c>
      <c r="D4896" s="4" t="str">
        <f>IFERROR(__xludf.DUMMYFUNCTION("""COMPUTED_VALUE"""),"Lonnie Shelton")</f>
        <v>Lonnie Shelton</v>
      </c>
      <c r="E4896" s="4" t="str">
        <f>IFERROR(__xludf.DUMMYFUNCTION("""COMPUTED_VALUE"""),"Oregon State")</f>
        <v>Oregon State</v>
      </c>
      <c r="F4896" s="4">
        <f>IFERROR(__xludf.DUMMYFUNCTION("""COMPUTED_VALUE"""),10.0)</f>
        <v>10</v>
      </c>
      <c r="G4896" s="4">
        <f>IFERROR(__xludf.DUMMYFUNCTION("""COMPUTED_VALUE"""),673.0)</f>
        <v>673</v>
      </c>
      <c r="H4896" s="4">
        <f>IFERROR(__xludf.DUMMYFUNCTION("""COMPUTED_VALUE"""),18530.0)</f>
        <v>18530</v>
      </c>
      <c r="I4896" s="4">
        <f>IFERROR(__xludf.DUMMYFUNCTION("""COMPUTED_VALUE"""),8049.0)</f>
        <v>8049</v>
      </c>
      <c r="J4896" s="4">
        <f>IFERROR(__xludf.DUMMYFUNCTION("""COMPUTED_VALUE"""),4136.0)</f>
        <v>4136</v>
      </c>
      <c r="K4896" s="4">
        <f>IFERROR(__xludf.DUMMYFUNCTION("""COMPUTED_VALUE"""),1459.0)</f>
        <v>1459</v>
      </c>
      <c r="L4896" s="4">
        <f>IFERROR(__xludf.DUMMYFUNCTION("""COMPUTED_VALUE"""),0.492)</f>
        <v>0.492</v>
      </c>
      <c r="M4896" s="4"/>
      <c r="N4896" s="4">
        <f>IFERROR(__xludf.DUMMYFUNCTION("""COMPUTED_VALUE"""),0.738)</f>
        <v>0.738</v>
      </c>
      <c r="O4896" s="4">
        <f>IFERROR(__xludf.DUMMYFUNCTION("""COMPUTED_VALUE"""),27.5)</f>
        <v>27.5</v>
      </c>
      <c r="P4896" s="4">
        <f>IFERROR(__xludf.DUMMYFUNCTION("""COMPUTED_VALUE"""),12.0)</f>
        <v>12</v>
      </c>
      <c r="Q4896" s="4">
        <f>IFERROR(__xludf.DUMMYFUNCTION("""COMPUTED_VALUE"""),6.1)</f>
        <v>6.1</v>
      </c>
      <c r="R4896" s="4">
        <f>IFERROR(__xludf.DUMMYFUNCTION("""COMPUTED_VALUE"""),2.2)</f>
        <v>2.2</v>
      </c>
      <c r="S4896" s="4">
        <f>IFERROR(__xludf.DUMMYFUNCTION("""COMPUTED_VALUE"""),37.5)</f>
        <v>37.5</v>
      </c>
      <c r="T4896" s="4">
        <f>IFERROR(__xludf.DUMMYFUNCTION("""COMPUTED_VALUE"""),0.097)</f>
        <v>0.097</v>
      </c>
      <c r="U4896" s="4">
        <f>IFERROR(__xludf.DUMMYFUNCTION("""COMPUTED_VALUE"""),-0.3)</f>
        <v>-0.3</v>
      </c>
      <c r="V4896" s="4">
        <f>IFERROR(__xludf.DUMMYFUNCTION("""COMPUTED_VALUE"""),7.9)</f>
        <v>7.9</v>
      </c>
    </row>
    <row r="4897">
      <c r="A4897" s="4">
        <f>IFERROR(__xludf.DUMMYFUNCTION("""COMPUTED_VALUE"""),26.0)</f>
        <v>26</v>
      </c>
      <c r="B4897" s="4">
        <f>IFERROR(__xludf.DUMMYFUNCTION("""COMPUTED_VALUE"""),26.0)</f>
        <v>26</v>
      </c>
      <c r="C4897" s="4" t="str">
        <f>IFERROR(__xludf.DUMMYFUNCTION("""COMPUTED_VALUE"""),"NOJ")</f>
        <v>NOJ</v>
      </c>
      <c r="D4897" s="4" t="str">
        <f>IFERROR(__xludf.DUMMYFUNCTION("""COMPUTED_VALUE"""),"Jacky Dorsey")</f>
        <v>Jacky Dorsey</v>
      </c>
      <c r="E4897" s="4" t="str">
        <f>IFERROR(__xludf.DUMMYFUNCTION("""COMPUTED_VALUE"""),"Georgia")</f>
        <v>Georgia</v>
      </c>
      <c r="F4897" s="4">
        <f>IFERROR(__xludf.DUMMYFUNCTION("""COMPUTED_VALUE"""),3.0)</f>
        <v>3</v>
      </c>
      <c r="G4897" s="4">
        <f>IFERROR(__xludf.DUMMYFUNCTION("""COMPUTED_VALUE"""),60.0)</f>
        <v>60</v>
      </c>
      <c r="H4897" s="4">
        <f>IFERROR(__xludf.DUMMYFUNCTION("""COMPUTED_VALUE"""),449.0)</f>
        <v>449</v>
      </c>
      <c r="I4897" s="4">
        <f>IFERROR(__xludf.DUMMYFUNCTION("""COMPUTED_VALUE"""),143.0)</f>
        <v>143</v>
      </c>
      <c r="J4897" s="4">
        <f>IFERROR(__xludf.DUMMYFUNCTION("""COMPUTED_VALUE"""),141.0)</f>
        <v>141</v>
      </c>
      <c r="K4897" s="4">
        <f>IFERROR(__xludf.DUMMYFUNCTION("""COMPUTED_VALUE"""),16.0)</f>
        <v>16</v>
      </c>
      <c r="L4897" s="4">
        <f>IFERROR(__xludf.DUMMYFUNCTION("""COMPUTED_VALUE"""),0.389)</f>
        <v>0.389</v>
      </c>
      <c r="M4897" s="4"/>
      <c r="N4897" s="4">
        <f>IFERROR(__xludf.DUMMYFUNCTION("""COMPUTED_VALUE"""),0.544)</f>
        <v>0.544</v>
      </c>
      <c r="O4897" s="4">
        <f>IFERROR(__xludf.DUMMYFUNCTION("""COMPUTED_VALUE"""),7.5)</f>
        <v>7.5</v>
      </c>
      <c r="P4897" s="4">
        <f>IFERROR(__xludf.DUMMYFUNCTION("""COMPUTED_VALUE"""),2.4)</f>
        <v>2.4</v>
      </c>
      <c r="Q4897" s="4">
        <f>IFERROR(__xludf.DUMMYFUNCTION("""COMPUTED_VALUE"""),2.4)</f>
        <v>2.4</v>
      </c>
      <c r="R4897" s="4">
        <f>IFERROR(__xludf.DUMMYFUNCTION("""COMPUTED_VALUE"""),0.3)</f>
        <v>0.3</v>
      </c>
      <c r="S4897" s="4">
        <f>IFERROR(__xludf.DUMMYFUNCTION("""COMPUTED_VALUE"""),0.3)</f>
        <v>0.3</v>
      </c>
      <c r="T4897" s="4">
        <f>IFERROR(__xludf.DUMMYFUNCTION("""COMPUTED_VALUE"""),0.031)</f>
        <v>0.031</v>
      </c>
      <c r="U4897" s="4">
        <f>IFERROR(__xludf.DUMMYFUNCTION("""COMPUTED_VALUE"""),-5.4)</f>
        <v>-5.4</v>
      </c>
      <c r="V4897" s="4">
        <f>IFERROR(__xludf.DUMMYFUNCTION("""COMPUTED_VALUE"""),-0.4)</f>
        <v>-0.4</v>
      </c>
    </row>
    <row r="4898">
      <c r="A4898" s="4">
        <f>IFERROR(__xludf.DUMMYFUNCTION("""COMPUTED_VALUE"""),27.0)</f>
        <v>27</v>
      </c>
      <c r="B4898" s="4">
        <f>IFERROR(__xludf.DUMMYFUNCTION("""COMPUTED_VALUE"""),27.0)</f>
        <v>27</v>
      </c>
      <c r="C4898" s="4" t="str">
        <f>IFERROR(__xludf.DUMMYFUNCTION("""COMPUTED_VALUE"""),"HOU")</f>
        <v>HOU</v>
      </c>
      <c r="D4898" s="4" t="str">
        <f>IFERROR(__xludf.DUMMYFUNCTION("""COMPUTED_VALUE"""),"Phil Hicks")</f>
        <v>Phil Hicks</v>
      </c>
      <c r="E4898" s="4" t="str">
        <f>IFERROR(__xludf.DUMMYFUNCTION("""COMPUTED_VALUE"""),"Tulane")</f>
        <v>Tulane</v>
      </c>
      <c r="F4898" s="4">
        <f>IFERROR(__xludf.DUMMYFUNCTION("""COMPUTED_VALUE"""),2.0)</f>
        <v>2</v>
      </c>
      <c r="G4898" s="4">
        <f>IFERROR(__xludf.DUMMYFUNCTION("""COMPUTED_VALUE"""),57.0)</f>
        <v>57</v>
      </c>
      <c r="H4898" s="4">
        <f>IFERROR(__xludf.DUMMYFUNCTION("""COMPUTED_VALUE"""),390.0)</f>
        <v>390</v>
      </c>
      <c r="I4898" s="4">
        <f>IFERROR(__xludf.DUMMYFUNCTION("""COMPUTED_VALUE"""),132.0)</f>
        <v>132</v>
      </c>
      <c r="J4898" s="4">
        <f>IFERROR(__xludf.DUMMYFUNCTION("""COMPUTED_VALUE"""),94.0)</f>
        <v>94</v>
      </c>
      <c r="K4898" s="4">
        <f>IFERROR(__xludf.DUMMYFUNCTION("""COMPUTED_VALUE"""),32.0)</f>
        <v>32</v>
      </c>
      <c r="L4898" s="4">
        <f>IFERROR(__xludf.DUMMYFUNCTION("""COMPUTED_VALUE"""),0.447)</f>
        <v>0.447</v>
      </c>
      <c r="M4898" s="4"/>
      <c r="N4898" s="4">
        <f>IFERROR(__xludf.DUMMYFUNCTION("""COMPUTED_VALUE"""),0.778)</f>
        <v>0.778</v>
      </c>
      <c r="O4898" s="4">
        <f>IFERROR(__xludf.DUMMYFUNCTION("""COMPUTED_VALUE"""),6.8)</f>
        <v>6.8</v>
      </c>
      <c r="P4898" s="4">
        <f>IFERROR(__xludf.DUMMYFUNCTION("""COMPUTED_VALUE"""),2.3)</f>
        <v>2.3</v>
      </c>
      <c r="Q4898" s="4">
        <f>IFERROR(__xludf.DUMMYFUNCTION("""COMPUTED_VALUE"""),1.6)</f>
        <v>1.6</v>
      </c>
      <c r="R4898" s="4">
        <f>IFERROR(__xludf.DUMMYFUNCTION("""COMPUTED_VALUE"""),0.6)</f>
        <v>0.6</v>
      </c>
      <c r="S4898" s="4">
        <f>IFERROR(__xludf.DUMMYFUNCTION("""COMPUTED_VALUE"""),0.5)</f>
        <v>0.5</v>
      </c>
      <c r="T4898" s="4">
        <f>IFERROR(__xludf.DUMMYFUNCTION("""COMPUTED_VALUE"""),0.058)</f>
        <v>0.058</v>
      </c>
      <c r="U4898" s="4">
        <f>IFERROR(__xludf.DUMMYFUNCTION("""COMPUTED_VALUE"""),-2.7)</f>
        <v>-2.7</v>
      </c>
      <c r="V4898" s="4">
        <f>IFERROR(__xludf.DUMMYFUNCTION("""COMPUTED_VALUE"""),-0.1)</f>
        <v>-0.1</v>
      </c>
    </row>
    <row r="4899">
      <c r="A4899" s="4">
        <f>IFERROR(__xludf.DUMMYFUNCTION("""COMPUTED_VALUE"""),28.0)</f>
        <v>28</v>
      </c>
      <c r="B4899" s="4">
        <f>IFERROR(__xludf.DUMMYFUNCTION("""COMPUTED_VALUE"""),28.0)</f>
        <v>28</v>
      </c>
      <c r="C4899" s="4" t="str">
        <f>IFERROR(__xludf.DUMMYFUNCTION("""COMPUTED_VALUE"""),"ATL")</f>
        <v>ATL</v>
      </c>
      <c r="D4899" s="4" t="str">
        <f>IFERROR(__xludf.DUMMYFUNCTION("""COMPUTED_VALUE"""),"Bob Carrington")</f>
        <v>Bob Carrington</v>
      </c>
      <c r="E4899" s="4" t="str">
        <f>IFERROR(__xludf.DUMMYFUNCTION("""COMPUTED_VALUE"""),"Boston College")</f>
        <v>Boston College</v>
      </c>
      <c r="F4899" s="4">
        <f>IFERROR(__xludf.DUMMYFUNCTION("""COMPUTED_VALUE"""),2.0)</f>
        <v>2</v>
      </c>
      <c r="G4899" s="4">
        <f>IFERROR(__xludf.DUMMYFUNCTION("""COMPUTED_VALUE"""),82.0)</f>
        <v>82</v>
      </c>
      <c r="H4899" s="4">
        <f>IFERROR(__xludf.DUMMYFUNCTION("""COMPUTED_VALUE"""),1787.0)</f>
        <v>1787</v>
      </c>
      <c r="I4899" s="4">
        <f>IFERROR(__xludf.DUMMYFUNCTION("""COMPUTED_VALUE"""),672.0)</f>
        <v>672</v>
      </c>
      <c r="J4899" s="4">
        <f>IFERROR(__xludf.DUMMYFUNCTION("""COMPUTED_VALUE"""),187.0)</f>
        <v>187</v>
      </c>
      <c r="K4899" s="4">
        <f>IFERROR(__xludf.DUMMYFUNCTION("""COMPUTED_VALUE"""),120.0)</f>
        <v>120</v>
      </c>
      <c r="L4899" s="4">
        <f>IFERROR(__xludf.DUMMYFUNCTION("""COMPUTED_VALUE"""),0.428)</f>
        <v>0.428</v>
      </c>
      <c r="M4899" s="4"/>
      <c r="N4899" s="4">
        <f>IFERROR(__xludf.DUMMYFUNCTION("""COMPUTED_VALUE"""),0.76)</f>
        <v>0.76</v>
      </c>
      <c r="O4899" s="4">
        <f>IFERROR(__xludf.DUMMYFUNCTION("""COMPUTED_VALUE"""),21.8)</f>
        <v>21.8</v>
      </c>
      <c r="P4899" s="4">
        <f>IFERROR(__xludf.DUMMYFUNCTION("""COMPUTED_VALUE"""),8.2)</f>
        <v>8.2</v>
      </c>
      <c r="Q4899" s="4">
        <f>IFERROR(__xludf.DUMMYFUNCTION("""COMPUTED_VALUE"""),2.3)</f>
        <v>2.3</v>
      </c>
      <c r="R4899" s="4">
        <f>IFERROR(__xludf.DUMMYFUNCTION("""COMPUTED_VALUE"""),1.5)</f>
        <v>1.5</v>
      </c>
      <c r="S4899" s="4">
        <f>IFERROR(__xludf.DUMMYFUNCTION("""COMPUTED_VALUE"""),1.3)</f>
        <v>1.3</v>
      </c>
      <c r="T4899" s="4">
        <f>IFERROR(__xludf.DUMMYFUNCTION("""COMPUTED_VALUE"""),0.036)</f>
        <v>0.036</v>
      </c>
      <c r="U4899" s="4">
        <f>IFERROR(__xludf.DUMMYFUNCTION("""COMPUTED_VALUE"""),-3.2)</f>
        <v>-3.2</v>
      </c>
      <c r="V4899" s="4">
        <f>IFERROR(__xludf.DUMMYFUNCTION("""COMPUTED_VALUE"""),-0.6)</f>
        <v>-0.6</v>
      </c>
    </row>
    <row r="4900">
      <c r="A4900" s="4">
        <f>IFERROR(__xludf.DUMMYFUNCTION("""COMPUTED_VALUE"""),29.0)</f>
        <v>29</v>
      </c>
      <c r="B4900" s="4">
        <f>IFERROR(__xludf.DUMMYFUNCTION("""COMPUTED_VALUE"""),29.0)</f>
        <v>29</v>
      </c>
      <c r="C4900" s="4" t="str">
        <f>IFERROR(__xludf.DUMMYFUNCTION("""COMPUTED_VALUE"""),"SEA")</f>
        <v>SEA</v>
      </c>
      <c r="D4900" s="4" t="str">
        <f>IFERROR(__xludf.DUMMYFUNCTION("""COMPUTED_VALUE"""),"Dennis Johnson")</f>
        <v>Dennis Johnson</v>
      </c>
      <c r="E4900" s="4" t="str">
        <f>IFERROR(__xludf.DUMMYFUNCTION("""COMPUTED_VALUE"""),"Pepperdine")</f>
        <v>Pepperdine</v>
      </c>
      <c r="F4900" s="4">
        <f>IFERROR(__xludf.DUMMYFUNCTION("""COMPUTED_VALUE"""),14.0)</f>
        <v>14</v>
      </c>
      <c r="G4900" s="4">
        <f>IFERROR(__xludf.DUMMYFUNCTION("""COMPUTED_VALUE"""),1100.0)</f>
        <v>1100</v>
      </c>
      <c r="H4900" s="4">
        <f>IFERROR(__xludf.DUMMYFUNCTION("""COMPUTED_VALUE"""),35954.0)</f>
        <v>35954</v>
      </c>
      <c r="I4900" s="4">
        <f>IFERROR(__xludf.DUMMYFUNCTION("""COMPUTED_VALUE"""),15535.0)</f>
        <v>15535</v>
      </c>
      <c r="J4900" s="4">
        <f>IFERROR(__xludf.DUMMYFUNCTION("""COMPUTED_VALUE"""),4249.0)</f>
        <v>4249</v>
      </c>
      <c r="K4900" s="4">
        <f>IFERROR(__xludf.DUMMYFUNCTION("""COMPUTED_VALUE"""),5499.0)</f>
        <v>5499</v>
      </c>
      <c r="L4900" s="4">
        <f>IFERROR(__xludf.DUMMYFUNCTION("""COMPUTED_VALUE"""),0.445)</f>
        <v>0.445</v>
      </c>
      <c r="M4900" s="4"/>
      <c r="N4900" s="4">
        <f>IFERROR(__xludf.DUMMYFUNCTION("""COMPUTED_VALUE"""),0.797)</f>
        <v>0.797</v>
      </c>
      <c r="O4900" s="4">
        <f>IFERROR(__xludf.DUMMYFUNCTION("""COMPUTED_VALUE"""),32.7)</f>
        <v>32.7</v>
      </c>
      <c r="P4900" s="4">
        <f>IFERROR(__xludf.DUMMYFUNCTION("""COMPUTED_VALUE"""),14.1)</f>
        <v>14.1</v>
      </c>
      <c r="Q4900" s="4">
        <f>IFERROR(__xludf.DUMMYFUNCTION("""COMPUTED_VALUE"""),3.9)</f>
        <v>3.9</v>
      </c>
      <c r="R4900" s="4">
        <f>IFERROR(__xludf.DUMMYFUNCTION("""COMPUTED_VALUE"""),5.0)</f>
        <v>5</v>
      </c>
      <c r="S4900" s="4">
        <f>IFERROR(__xludf.DUMMYFUNCTION("""COMPUTED_VALUE"""),82.6)</f>
        <v>82.6</v>
      </c>
      <c r="T4900" s="4">
        <f>IFERROR(__xludf.DUMMYFUNCTION("""COMPUTED_VALUE"""),0.11)</f>
        <v>0.11</v>
      </c>
      <c r="U4900" s="4">
        <f>IFERROR(__xludf.DUMMYFUNCTION("""COMPUTED_VALUE"""),0.7)</f>
        <v>0.7</v>
      </c>
      <c r="V4900" s="4">
        <f>IFERROR(__xludf.DUMMYFUNCTION("""COMPUTED_VALUE"""),24.3)</f>
        <v>24.3</v>
      </c>
    </row>
    <row r="4901">
      <c r="A4901" s="4">
        <f>IFERROR(__xludf.DUMMYFUNCTION("""COMPUTED_VALUE"""),30.0)</f>
        <v>30</v>
      </c>
      <c r="B4901" s="4">
        <f>IFERROR(__xludf.DUMMYFUNCTION("""COMPUTED_VALUE"""),30.0)</f>
        <v>30</v>
      </c>
      <c r="C4901" s="4" t="str">
        <f>IFERROR(__xludf.DUMMYFUNCTION("""COMPUTED_VALUE"""),"PHO")</f>
        <v>PHO</v>
      </c>
      <c r="D4901" s="4" t="str">
        <f>IFERROR(__xludf.DUMMYFUNCTION("""COMPUTED_VALUE"""),"Al Fleming")</f>
        <v>Al Fleming</v>
      </c>
      <c r="E4901" s="4" t="str">
        <f>IFERROR(__xludf.DUMMYFUNCTION("""COMPUTED_VALUE"""),"Arizona")</f>
        <v>Arizona</v>
      </c>
      <c r="F4901" s="4">
        <f>IFERROR(__xludf.DUMMYFUNCTION("""COMPUTED_VALUE"""),1.0)</f>
        <v>1</v>
      </c>
      <c r="G4901" s="4">
        <f>IFERROR(__xludf.DUMMYFUNCTION("""COMPUTED_VALUE"""),20.0)</f>
        <v>20</v>
      </c>
      <c r="H4901" s="4">
        <f>IFERROR(__xludf.DUMMYFUNCTION("""COMPUTED_VALUE"""),97.0)</f>
        <v>97</v>
      </c>
      <c r="I4901" s="4">
        <f>IFERROR(__xludf.DUMMYFUNCTION("""COMPUTED_VALUE"""),40.0)</f>
        <v>40</v>
      </c>
      <c r="J4901" s="4">
        <f>IFERROR(__xludf.DUMMYFUNCTION("""COMPUTED_VALUE"""),30.0)</f>
        <v>30</v>
      </c>
      <c r="K4901" s="4">
        <f>IFERROR(__xludf.DUMMYFUNCTION("""COMPUTED_VALUE"""),7.0)</f>
        <v>7</v>
      </c>
      <c r="L4901" s="4">
        <f>IFERROR(__xludf.DUMMYFUNCTION("""COMPUTED_VALUE"""),0.484)</f>
        <v>0.484</v>
      </c>
      <c r="M4901" s="4"/>
      <c r="N4901" s="4">
        <f>IFERROR(__xludf.DUMMYFUNCTION("""COMPUTED_VALUE"""),0.588)</f>
        <v>0.588</v>
      </c>
      <c r="O4901" s="4">
        <f>IFERROR(__xludf.DUMMYFUNCTION("""COMPUTED_VALUE"""),4.9)</f>
        <v>4.9</v>
      </c>
      <c r="P4901" s="4">
        <f>IFERROR(__xludf.DUMMYFUNCTION("""COMPUTED_VALUE"""),2.0)</f>
        <v>2</v>
      </c>
      <c r="Q4901" s="4">
        <f>IFERROR(__xludf.DUMMYFUNCTION("""COMPUTED_VALUE"""),1.5)</f>
        <v>1.5</v>
      </c>
      <c r="R4901" s="4">
        <f>IFERROR(__xludf.DUMMYFUNCTION("""COMPUTED_VALUE"""),0.4)</f>
        <v>0.4</v>
      </c>
      <c r="S4901" s="4">
        <f>IFERROR(__xludf.DUMMYFUNCTION("""COMPUTED_VALUE"""),0.0)</f>
        <v>0</v>
      </c>
      <c r="T4901" s="4">
        <f>IFERROR(__xludf.DUMMYFUNCTION("""COMPUTED_VALUE"""),0.018)</f>
        <v>0.018</v>
      </c>
      <c r="U4901" s="4">
        <f>IFERROR(__xludf.DUMMYFUNCTION("""COMPUTED_VALUE"""),-4.1)</f>
        <v>-4.1</v>
      </c>
      <c r="V4901" s="4">
        <f>IFERROR(__xludf.DUMMYFUNCTION("""COMPUTED_VALUE"""),-0.1)</f>
        <v>-0.1</v>
      </c>
    </row>
    <row r="4902">
      <c r="A4902" s="4">
        <f>IFERROR(__xludf.DUMMYFUNCTION("""COMPUTED_VALUE"""),31.0)</f>
        <v>31</v>
      </c>
      <c r="B4902" s="4">
        <f>IFERROR(__xludf.DUMMYFUNCTION("""COMPUTED_VALUE"""),31.0)</f>
        <v>31</v>
      </c>
      <c r="C4902" s="4" t="str">
        <f>IFERROR(__xludf.DUMMYFUNCTION("""COMPUTED_VALUE"""),"WSB")</f>
        <v>WSB</v>
      </c>
      <c r="D4902" s="4" t="str">
        <f>IFERROR(__xludf.DUMMYFUNCTION("""COMPUTED_VALUE"""),"Joe Pace")</f>
        <v>Joe Pace</v>
      </c>
      <c r="E4902" s="4" t="str">
        <f>IFERROR(__xludf.DUMMYFUNCTION("""COMPUTED_VALUE"""),"Coppin State University")</f>
        <v>Coppin State University</v>
      </c>
      <c r="F4902" s="4">
        <f>IFERROR(__xludf.DUMMYFUNCTION("""COMPUTED_VALUE"""),2.0)</f>
        <v>2</v>
      </c>
      <c r="G4902" s="4">
        <f>IFERROR(__xludf.DUMMYFUNCTION("""COMPUTED_VALUE"""),79.0)</f>
        <v>79</v>
      </c>
      <c r="H4902" s="4">
        <f>IFERROR(__xludf.DUMMYFUNCTION("""COMPUTED_VALUE"""),557.0)</f>
        <v>557</v>
      </c>
      <c r="I4902" s="4">
        <f>IFERROR(__xludf.DUMMYFUNCTION("""COMPUTED_VALUE"""),255.0)</f>
        <v>255</v>
      </c>
      <c r="J4902" s="4">
        <f>IFERROR(__xludf.DUMMYFUNCTION("""COMPUTED_VALUE"""),168.0)</f>
        <v>168</v>
      </c>
      <c r="K4902" s="4">
        <f>IFERROR(__xludf.DUMMYFUNCTION("""COMPUTED_VALUE"""),27.0)</f>
        <v>27</v>
      </c>
      <c r="L4902" s="4">
        <f>IFERROR(__xludf.DUMMYFUNCTION("""COMPUTED_VALUE"""),0.467)</f>
        <v>0.467</v>
      </c>
      <c r="M4902" s="4"/>
      <c r="N4902" s="4">
        <f>IFERROR(__xludf.DUMMYFUNCTION("""COMPUTED_VALUE"""),0.598)</f>
        <v>0.598</v>
      </c>
      <c r="O4902" s="4">
        <f>IFERROR(__xludf.DUMMYFUNCTION("""COMPUTED_VALUE"""),7.1)</f>
        <v>7.1</v>
      </c>
      <c r="P4902" s="4">
        <f>IFERROR(__xludf.DUMMYFUNCTION("""COMPUTED_VALUE"""),3.2)</f>
        <v>3.2</v>
      </c>
      <c r="Q4902" s="4">
        <f>IFERROR(__xludf.DUMMYFUNCTION("""COMPUTED_VALUE"""),2.1)</f>
        <v>2.1</v>
      </c>
      <c r="R4902" s="4">
        <f>IFERROR(__xludf.DUMMYFUNCTION("""COMPUTED_VALUE"""),0.3)</f>
        <v>0.3</v>
      </c>
      <c r="S4902" s="4">
        <f>IFERROR(__xludf.DUMMYFUNCTION("""COMPUTED_VALUE"""),1.1)</f>
        <v>1.1</v>
      </c>
      <c r="T4902" s="4">
        <f>IFERROR(__xludf.DUMMYFUNCTION("""COMPUTED_VALUE"""),0.092)</f>
        <v>0.092</v>
      </c>
      <c r="U4902" s="4">
        <f>IFERROR(__xludf.DUMMYFUNCTION("""COMPUTED_VALUE"""),-2.1)</f>
        <v>-2.1</v>
      </c>
      <c r="V4902" s="4">
        <f>IFERROR(__xludf.DUMMYFUNCTION("""COMPUTED_VALUE"""),0.0)</f>
        <v>0</v>
      </c>
    </row>
    <row r="4903">
      <c r="A4903" s="4">
        <f>IFERROR(__xludf.DUMMYFUNCTION("""COMPUTED_VALUE"""),32.0)</f>
        <v>32</v>
      </c>
      <c r="B4903" s="4">
        <f>IFERROR(__xludf.DUMMYFUNCTION("""COMPUTED_VALUE"""),32.0)</f>
        <v>32</v>
      </c>
      <c r="C4903" s="4" t="str">
        <f>IFERROR(__xludf.DUMMYFUNCTION("""COMPUTED_VALUE"""),"CLE")</f>
        <v>CLE</v>
      </c>
      <c r="D4903" s="4" t="str">
        <f>IFERROR(__xludf.DUMMYFUNCTION("""COMPUTED_VALUE"""),"Mo Howard")</f>
        <v>Mo Howard</v>
      </c>
      <c r="E4903" s="4" t="str">
        <f>IFERROR(__xludf.DUMMYFUNCTION("""COMPUTED_VALUE"""),"Maryland")</f>
        <v>Maryland</v>
      </c>
      <c r="F4903" s="4">
        <f>IFERROR(__xludf.DUMMYFUNCTION("""COMPUTED_VALUE"""),1.0)</f>
        <v>1</v>
      </c>
      <c r="G4903" s="4">
        <f>IFERROR(__xludf.DUMMYFUNCTION("""COMPUTED_VALUE"""),32.0)</f>
        <v>32</v>
      </c>
      <c r="H4903" s="4">
        <f>IFERROR(__xludf.DUMMYFUNCTION("""COMPUTED_VALUE"""),345.0)</f>
        <v>345</v>
      </c>
      <c r="I4903" s="4">
        <f>IFERROR(__xludf.DUMMYFUNCTION("""COMPUTED_VALUE"""),152.0)</f>
        <v>152</v>
      </c>
      <c r="J4903" s="4">
        <f>IFERROR(__xludf.DUMMYFUNCTION("""COMPUTED_VALUE"""),39.0)</f>
        <v>39</v>
      </c>
      <c r="K4903" s="4">
        <f>IFERROR(__xludf.DUMMYFUNCTION("""COMPUTED_VALUE"""),42.0)</f>
        <v>42</v>
      </c>
      <c r="L4903" s="4">
        <f>IFERROR(__xludf.DUMMYFUNCTION("""COMPUTED_VALUE"""),0.485)</f>
        <v>0.485</v>
      </c>
      <c r="M4903" s="4"/>
      <c r="N4903" s="4">
        <f>IFERROR(__xludf.DUMMYFUNCTION("""COMPUTED_VALUE"""),0.686)</f>
        <v>0.686</v>
      </c>
      <c r="O4903" s="4">
        <f>IFERROR(__xludf.DUMMYFUNCTION("""COMPUTED_VALUE"""),10.8)</f>
        <v>10.8</v>
      </c>
      <c r="P4903" s="4">
        <f>IFERROR(__xludf.DUMMYFUNCTION("""COMPUTED_VALUE"""),4.8)</f>
        <v>4.8</v>
      </c>
      <c r="Q4903" s="4">
        <f>IFERROR(__xludf.DUMMYFUNCTION("""COMPUTED_VALUE"""),1.2)</f>
        <v>1.2</v>
      </c>
      <c r="R4903" s="4">
        <f>IFERROR(__xludf.DUMMYFUNCTION("""COMPUTED_VALUE"""),1.3)</f>
        <v>1.3</v>
      </c>
      <c r="S4903" s="4">
        <f>IFERROR(__xludf.DUMMYFUNCTION("""COMPUTED_VALUE"""),0.6)</f>
        <v>0.6</v>
      </c>
      <c r="T4903" s="4">
        <f>IFERROR(__xludf.DUMMYFUNCTION("""COMPUTED_VALUE"""),0.084)</f>
        <v>0.084</v>
      </c>
      <c r="U4903" s="4">
        <f>IFERROR(__xludf.DUMMYFUNCTION("""COMPUTED_VALUE"""),-1.0)</f>
        <v>-1</v>
      </c>
      <c r="V4903" s="4">
        <f>IFERROR(__xludf.DUMMYFUNCTION("""COMPUTED_VALUE"""),0.2)</f>
        <v>0.2</v>
      </c>
    </row>
    <row r="4904">
      <c r="A4904" s="4">
        <f>IFERROR(__xludf.DUMMYFUNCTION("""COMPUTED_VALUE"""),33.0)</f>
        <v>33</v>
      </c>
      <c r="B4904" s="4">
        <f>IFERROR(__xludf.DUMMYFUNCTION("""COMPUTED_VALUE"""),33.0)</f>
        <v>33</v>
      </c>
      <c r="C4904" s="4" t="str">
        <f>IFERROR(__xludf.DUMMYFUNCTION("""COMPUTED_VALUE"""),"PHO")</f>
        <v>PHO</v>
      </c>
      <c r="D4904" s="4" t="str">
        <f>IFERROR(__xludf.DUMMYFUNCTION("""COMPUTED_VALUE"""),"Butch Feher")</f>
        <v>Butch Feher</v>
      </c>
      <c r="E4904" s="4" t="str">
        <f>IFERROR(__xludf.DUMMYFUNCTION("""COMPUTED_VALUE"""),"Vanderbilt")</f>
        <v>Vanderbilt</v>
      </c>
      <c r="F4904" s="4">
        <f>IFERROR(__xludf.DUMMYFUNCTION("""COMPUTED_VALUE"""),1.0)</f>
        <v>1</v>
      </c>
      <c r="G4904" s="4">
        <f>IFERROR(__xludf.DUMMYFUNCTION("""COMPUTED_VALUE"""),48.0)</f>
        <v>48</v>
      </c>
      <c r="H4904" s="4">
        <f>IFERROR(__xludf.DUMMYFUNCTION("""COMPUTED_VALUE"""),487.0)</f>
        <v>487</v>
      </c>
      <c r="I4904" s="4">
        <f>IFERROR(__xludf.DUMMYFUNCTION("""COMPUTED_VALUE"""),248.0)</f>
        <v>248</v>
      </c>
      <c r="J4904" s="4">
        <f>IFERROR(__xludf.DUMMYFUNCTION("""COMPUTED_VALUE"""),74.0)</f>
        <v>74</v>
      </c>
      <c r="K4904" s="4">
        <f>IFERROR(__xludf.DUMMYFUNCTION("""COMPUTED_VALUE"""),36.0)</f>
        <v>36</v>
      </c>
      <c r="L4904" s="4">
        <f>IFERROR(__xludf.DUMMYFUNCTION("""COMPUTED_VALUE"""),0.531)</f>
        <v>0.531</v>
      </c>
      <c r="M4904" s="4"/>
      <c r="N4904" s="4">
        <f>IFERROR(__xludf.DUMMYFUNCTION("""COMPUTED_VALUE"""),0.768)</f>
        <v>0.768</v>
      </c>
      <c r="O4904" s="4">
        <f>IFERROR(__xludf.DUMMYFUNCTION("""COMPUTED_VALUE"""),10.1)</f>
        <v>10.1</v>
      </c>
      <c r="P4904" s="4">
        <f>IFERROR(__xludf.DUMMYFUNCTION("""COMPUTED_VALUE"""),5.2)</f>
        <v>5.2</v>
      </c>
      <c r="Q4904" s="4">
        <f>IFERROR(__xludf.DUMMYFUNCTION("""COMPUTED_VALUE"""),1.5)</f>
        <v>1.5</v>
      </c>
      <c r="R4904" s="4">
        <f>IFERROR(__xludf.DUMMYFUNCTION("""COMPUTED_VALUE"""),0.8)</f>
        <v>0.8</v>
      </c>
      <c r="S4904" s="4">
        <f>IFERROR(__xludf.DUMMYFUNCTION("""COMPUTED_VALUE"""),1.5)</f>
        <v>1.5</v>
      </c>
      <c r="T4904" s="4">
        <f>IFERROR(__xludf.DUMMYFUNCTION("""COMPUTED_VALUE"""),0.145)</f>
        <v>0.145</v>
      </c>
      <c r="U4904" s="4">
        <f>IFERROR(__xludf.DUMMYFUNCTION("""COMPUTED_VALUE"""),0.6)</f>
        <v>0.6</v>
      </c>
      <c r="V4904" s="4">
        <f>IFERROR(__xludf.DUMMYFUNCTION("""COMPUTED_VALUE"""),0.3)</f>
        <v>0.3</v>
      </c>
    </row>
    <row r="4905">
      <c r="A4905" s="4">
        <f>IFERROR(__xludf.DUMMYFUNCTION("""COMPUTED_VALUE"""),34.0)</f>
        <v>34</v>
      </c>
      <c r="B4905" s="4">
        <f>IFERROR(__xludf.DUMMYFUNCTION("""COMPUTED_VALUE"""),34.0)</f>
        <v>34</v>
      </c>
      <c r="C4905" s="4" t="str">
        <f>IFERROR(__xludf.DUMMYFUNCTION("""COMPUTED_VALUE"""),"GSW")</f>
        <v>GSW</v>
      </c>
      <c r="D4905" s="4" t="str">
        <f>IFERROR(__xludf.DUMMYFUNCTION("""COMPUTED_VALUE"""),"Marshall Rogers")</f>
        <v>Marshall Rogers</v>
      </c>
      <c r="E4905" s="4" t="str">
        <f>IFERROR(__xludf.DUMMYFUNCTION("""COMPUTED_VALUE"""),"University of Texas Rio Grande Valley")</f>
        <v>University of Texas Rio Grande Valley</v>
      </c>
      <c r="F4905" s="4">
        <f>IFERROR(__xludf.DUMMYFUNCTION("""COMPUTED_VALUE"""),1.0)</f>
        <v>1</v>
      </c>
      <c r="G4905" s="4">
        <f>IFERROR(__xludf.DUMMYFUNCTION("""COMPUTED_VALUE"""),26.0)</f>
        <v>26</v>
      </c>
      <c r="H4905" s="4">
        <f>IFERROR(__xludf.DUMMYFUNCTION("""COMPUTED_VALUE"""),176.0)</f>
        <v>176</v>
      </c>
      <c r="I4905" s="4">
        <f>IFERROR(__xludf.DUMMYFUNCTION("""COMPUTED_VALUE"""),100.0)</f>
        <v>100</v>
      </c>
      <c r="J4905" s="4">
        <f>IFERROR(__xludf.DUMMYFUNCTION("""COMPUTED_VALUE"""),11.0)</f>
        <v>11</v>
      </c>
      <c r="K4905" s="4">
        <f>IFERROR(__xludf.DUMMYFUNCTION("""COMPUTED_VALUE"""),10.0)</f>
        <v>10</v>
      </c>
      <c r="L4905" s="4">
        <f>IFERROR(__xludf.DUMMYFUNCTION("""COMPUTED_VALUE"""),0.371)</f>
        <v>0.371</v>
      </c>
      <c r="M4905" s="4"/>
      <c r="N4905" s="4">
        <f>IFERROR(__xludf.DUMMYFUNCTION("""COMPUTED_VALUE"""),0.933)</f>
        <v>0.933</v>
      </c>
      <c r="O4905" s="4">
        <f>IFERROR(__xludf.DUMMYFUNCTION("""COMPUTED_VALUE"""),6.8)</f>
        <v>6.8</v>
      </c>
      <c r="P4905" s="4">
        <f>IFERROR(__xludf.DUMMYFUNCTION("""COMPUTED_VALUE"""),3.8)</f>
        <v>3.8</v>
      </c>
      <c r="Q4905" s="4">
        <f>IFERROR(__xludf.DUMMYFUNCTION("""COMPUTED_VALUE"""),0.4)</f>
        <v>0.4</v>
      </c>
      <c r="R4905" s="4">
        <f>IFERROR(__xludf.DUMMYFUNCTION("""COMPUTED_VALUE"""),0.4)</f>
        <v>0.4</v>
      </c>
      <c r="S4905" s="4">
        <f>IFERROR(__xludf.DUMMYFUNCTION("""COMPUTED_VALUE"""),-0.2)</f>
        <v>-0.2</v>
      </c>
      <c r="T4905" s="4">
        <f>IFERROR(__xludf.DUMMYFUNCTION("""COMPUTED_VALUE"""),-0.043)</f>
        <v>-0.043</v>
      </c>
      <c r="U4905" s="4">
        <f>IFERROR(__xludf.DUMMYFUNCTION("""COMPUTED_VALUE"""),-6.9)</f>
        <v>-6.9</v>
      </c>
      <c r="V4905" s="4">
        <f>IFERROR(__xludf.DUMMYFUNCTION("""COMPUTED_VALUE"""),-0.3)</f>
        <v>-0.3</v>
      </c>
    </row>
    <row r="4906">
      <c r="A4906" s="4"/>
      <c r="B4906" s="4"/>
      <c r="C4906" s="4"/>
      <c r="D4906" s="4" t="str">
        <f>IFERROR(__xludf.DUMMYFUNCTION("""COMPUTED_VALUE"""),"Round 3")</f>
        <v>Round 3</v>
      </c>
      <c r="E4906" s="4"/>
      <c r="F4906" s="4"/>
      <c r="G4906" s="4" t="str">
        <f>IFERROR(__xludf.DUMMYFUNCTION("""COMPUTED_VALUE"""),"Totals")</f>
        <v>Totals</v>
      </c>
      <c r="H4906" s="4"/>
      <c r="I4906" s="4"/>
      <c r="J4906" s="4"/>
      <c r="K4906" s="4"/>
      <c r="L4906" s="4" t="str">
        <f>IFERROR(__xludf.DUMMYFUNCTION("""COMPUTED_VALUE"""),"Shooting")</f>
        <v>Shooting</v>
      </c>
      <c r="M4906" s="4"/>
      <c r="N4906" s="4"/>
      <c r="O4906" s="4" t="str">
        <f>IFERROR(__xludf.DUMMYFUNCTION("""COMPUTED_VALUE"""),"Per Game")</f>
        <v>Per Game</v>
      </c>
      <c r="P4906" s="4"/>
      <c r="Q4906" s="4"/>
      <c r="R4906" s="4"/>
      <c r="S4906" s="4" t="str">
        <f>IFERROR(__xludf.DUMMYFUNCTION("""COMPUTED_VALUE"""),"Advanced")</f>
        <v>Advanced</v>
      </c>
      <c r="T4906" s="4"/>
      <c r="U4906" s="4"/>
      <c r="V4906" s="4"/>
    </row>
    <row r="4907">
      <c r="A4907" s="4" t="str">
        <f>IFERROR(__xludf.DUMMYFUNCTION("""COMPUTED_VALUE"""),"Rk")</f>
        <v>Rk</v>
      </c>
      <c r="B4907" s="4" t="str">
        <f>IFERROR(__xludf.DUMMYFUNCTION("""COMPUTED_VALUE"""),"Pk")</f>
        <v>Pk</v>
      </c>
      <c r="C4907" s="4" t="str">
        <f>IFERROR(__xludf.DUMMYFUNCTION("""COMPUTED_VALUE"""),"Tm")</f>
        <v>Tm</v>
      </c>
      <c r="D4907" s="4" t="str">
        <f>IFERROR(__xludf.DUMMYFUNCTION("""COMPUTED_VALUE"""),"Player")</f>
        <v>Player</v>
      </c>
      <c r="E4907" s="4" t="str">
        <f>IFERROR(__xludf.DUMMYFUNCTION("""COMPUTED_VALUE"""),"College")</f>
        <v>College</v>
      </c>
      <c r="F4907" s="4" t="str">
        <f>IFERROR(__xludf.DUMMYFUNCTION("""COMPUTED_VALUE"""),"Yrs")</f>
        <v>Yrs</v>
      </c>
      <c r="G4907" s="4" t="str">
        <f>IFERROR(__xludf.DUMMYFUNCTION("""COMPUTED_VALUE"""),"G")</f>
        <v>G</v>
      </c>
      <c r="H4907" s="4" t="str">
        <f>IFERROR(__xludf.DUMMYFUNCTION("""COMPUTED_VALUE"""),"MP")</f>
        <v>MP</v>
      </c>
      <c r="I4907" s="4" t="str">
        <f>IFERROR(__xludf.DUMMYFUNCTION("""COMPUTED_VALUE"""),"PTS")</f>
        <v>PTS</v>
      </c>
      <c r="J4907" s="4" t="str">
        <f>IFERROR(__xludf.DUMMYFUNCTION("""COMPUTED_VALUE"""),"TRB")</f>
        <v>TRB</v>
      </c>
      <c r="K4907" s="4" t="str">
        <f>IFERROR(__xludf.DUMMYFUNCTION("""COMPUTED_VALUE"""),"AST")</f>
        <v>AST</v>
      </c>
      <c r="L4907" s="4" t="str">
        <f>IFERROR(__xludf.DUMMYFUNCTION("""COMPUTED_VALUE"""),"FG%")</f>
        <v>FG%</v>
      </c>
      <c r="M4907" s="4" t="str">
        <f>IFERROR(__xludf.DUMMYFUNCTION("""COMPUTED_VALUE"""),"3P%")</f>
        <v>3P%</v>
      </c>
      <c r="N4907" s="4" t="str">
        <f>IFERROR(__xludf.DUMMYFUNCTION("""COMPUTED_VALUE"""),"FT%")</f>
        <v>FT%</v>
      </c>
      <c r="O4907" s="4" t="str">
        <f>IFERROR(__xludf.DUMMYFUNCTION("""COMPUTED_VALUE"""),"MP")</f>
        <v>MP</v>
      </c>
      <c r="P4907" s="4" t="str">
        <f>IFERROR(__xludf.DUMMYFUNCTION("""COMPUTED_VALUE"""),"PTS")</f>
        <v>PTS</v>
      </c>
      <c r="Q4907" s="4" t="str">
        <f>IFERROR(__xludf.DUMMYFUNCTION("""COMPUTED_VALUE"""),"TRB")</f>
        <v>TRB</v>
      </c>
      <c r="R4907" s="4" t="str">
        <f>IFERROR(__xludf.DUMMYFUNCTION("""COMPUTED_VALUE"""),"AST")</f>
        <v>AST</v>
      </c>
      <c r="S4907" s="4" t="str">
        <f>IFERROR(__xludf.DUMMYFUNCTION("""COMPUTED_VALUE"""),"WS")</f>
        <v>WS</v>
      </c>
      <c r="T4907" s="4" t="str">
        <f>IFERROR(__xludf.DUMMYFUNCTION("""COMPUTED_VALUE"""),"WS/48")</f>
        <v>WS/48</v>
      </c>
      <c r="U4907" s="4" t="str">
        <f>IFERROR(__xludf.DUMMYFUNCTION("""COMPUTED_VALUE"""),"BPM")</f>
        <v>BPM</v>
      </c>
      <c r="V4907" s="4" t="str">
        <f>IFERROR(__xludf.DUMMYFUNCTION("""COMPUTED_VALUE"""),"VORP")</f>
        <v>VORP</v>
      </c>
    </row>
    <row r="4908">
      <c r="A4908" s="4">
        <f>IFERROR(__xludf.DUMMYFUNCTION("""COMPUTED_VALUE"""),35.0)</f>
        <v>35</v>
      </c>
      <c r="B4908" s="4">
        <f>IFERROR(__xludf.DUMMYFUNCTION("""COMPUTED_VALUE"""),35.0)</f>
        <v>35</v>
      </c>
      <c r="C4908" s="4" t="str">
        <f>IFERROR(__xludf.DUMMYFUNCTION("""COMPUTED_VALUE"""),"CHI")</f>
        <v>CHI</v>
      </c>
      <c r="D4908" s="4" t="str">
        <f>IFERROR(__xludf.DUMMYFUNCTION("""COMPUTED_VALUE"""),"Dallas Smith")</f>
        <v>Dallas Smith</v>
      </c>
      <c r="E4908" s="4" t="str">
        <f>IFERROR(__xludf.DUMMYFUNCTION("""COMPUTED_VALUE"""),"West Texas A&amp;M University")</f>
        <v>West Texas A&amp;M University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</row>
    <row r="4909">
      <c r="A4909" s="4">
        <f>IFERROR(__xludf.DUMMYFUNCTION("""COMPUTED_VALUE"""),36.0)</f>
        <v>36</v>
      </c>
      <c r="B4909" s="4">
        <f>IFERROR(__xludf.DUMMYFUNCTION("""COMPUTED_VALUE"""),36.0)</f>
        <v>36</v>
      </c>
      <c r="C4909" s="4" t="str">
        <f>IFERROR(__xludf.DUMMYFUNCTION("""COMPUTED_VALUE"""),"LAL")</f>
        <v>LAL</v>
      </c>
      <c r="D4909" s="4" t="str">
        <f>IFERROR(__xludf.DUMMYFUNCTION("""COMPUTED_VALUE"""),"Mike Dabney")</f>
        <v>Mike Dabney</v>
      </c>
      <c r="E4909" s="4" t="str">
        <f>IFERROR(__xludf.DUMMYFUNCTION("""COMPUTED_VALUE"""),"Rutgers University")</f>
        <v>Rutgers University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</row>
    <row r="4910">
      <c r="A4910" s="4">
        <f>IFERROR(__xludf.DUMMYFUNCTION("""COMPUTED_VALUE"""),37.0)</f>
        <v>37</v>
      </c>
      <c r="B4910" s="4">
        <f>IFERROR(__xludf.DUMMYFUNCTION("""COMPUTED_VALUE"""),37.0)</f>
        <v>37</v>
      </c>
      <c r="C4910" s="4" t="str">
        <f>IFERROR(__xludf.DUMMYFUNCTION("""COMPUTED_VALUE"""),"CHI")</f>
        <v>CHI</v>
      </c>
      <c r="D4910" s="4" t="str">
        <f>IFERROR(__xludf.DUMMYFUNCTION("""COMPUTED_VALUE"""),"Lars Hansen")</f>
        <v>Lars Hansen</v>
      </c>
      <c r="E4910" s="4" t="str">
        <f>IFERROR(__xludf.DUMMYFUNCTION("""COMPUTED_VALUE"""),"Washington")</f>
        <v>Washington</v>
      </c>
      <c r="F4910" s="4">
        <f>IFERROR(__xludf.DUMMYFUNCTION("""COMPUTED_VALUE"""),1.0)</f>
        <v>1</v>
      </c>
      <c r="G4910" s="4">
        <f>IFERROR(__xludf.DUMMYFUNCTION("""COMPUTED_VALUE"""),15.0)</f>
        <v>15</v>
      </c>
      <c r="H4910" s="4">
        <f>IFERROR(__xludf.DUMMYFUNCTION("""COMPUTED_VALUE"""),205.0)</f>
        <v>205</v>
      </c>
      <c r="I4910" s="4">
        <f>IFERROR(__xludf.DUMMYFUNCTION("""COMPUTED_VALUE"""),76.0)</f>
        <v>76</v>
      </c>
      <c r="J4910" s="4">
        <f>IFERROR(__xludf.DUMMYFUNCTION("""COMPUTED_VALUE"""),59.0)</f>
        <v>59</v>
      </c>
      <c r="K4910" s="4">
        <f>IFERROR(__xludf.DUMMYFUNCTION("""COMPUTED_VALUE"""),14.0)</f>
        <v>14</v>
      </c>
      <c r="L4910" s="4">
        <f>IFERROR(__xludf.DUMMYFUNCTION("""COMPUTED_VALUE"""),0.509)</f>
        <v>0.509</v>
      </c>
      <c r="M4910" s="4"/>
      <c r="N4910" s="4">
        <f>IFERROR(__xludf.DUMMYFUNCTION("""COMPUTED_VALUE"""),0.581)</f>
        <v>0.581</v>
      </c>
      <c r="O4910" s="4">
        <f>IFERROR(__xludf.DUMMYFUNCTION("""COMPUTED_VALUE"""),13.7)</f>
        <v>13.7</v>
      </c>
      <c r="P4910" s="4">
        <f>IFERROR(__xludf.DUMMYFUNCTION("""COMPUTED_VALUE"""),5.1)</f>
        <v>5.1</v>
      </c>
      <c r="Q4910" s="4">
        <f>IFERROR(__xludf.DUMMYFUNCTION("""COMPUTED_VALUE"""),3.9)</f>
        <v>3.9</v>
      </c>
      <c r="R4910" s="4">
        <f>IFERROR(__xludf.DUMMYFUNCTION("""COMPUTED_VALUE"""),0.9)</f>
        <v>0.9</v>
      </c>
      <c r="S4910" s="4">
        <f>IFERROR(__xludf.DUMMYFUNCTION("""COMPUTED_VALUE"""),0.6)</f>
        <v>0.6</v>
      </c>
      <c r="T4910" s="4">
        <f>IFERROR(__xludf.DUMMYFUNCTION("""COMPUTED_VALUE"""),0.149)</f>
        <v>0.149</v>
      </c>
      <c r="U4910" s="4">
        <f>IFERROR(__xludf.DUMMYFUNCTION("""COMPUTED_VALUE"""),-1.3)</f>
        <v>-1.3</v>
      </c>
      <c r="V4910" s="4">
        <f>IFERROR(__xludf.DUMMYFUNCTION("""COMPUTED_VALUE"""),0.1)</f>
        <v>0.1</v>
      </c>
    </row>
    <row r="4911">
      <c r="A4911" s="4">
        <f>IFERROR(__xludf.DUMMYFUNCTION("""COMPUTED_VALUE"""),38.0)</f>
        <v>38</v>
      </c>
      <c r="B4911" s="4">
        <f>IFERROR(__xludf.DUMMYFUNCTION("""COMPUTED_VALUE"""),38.0)</f>
        <v>38</v>
      </c>
      <c r="C4911" s="4" t="str">
        <f>IFERROR(__xludf.DUMMYFUNCTION("""COMPUTED_VALUE"""),"DET")</f>
        <v>DET</v>
      </c>
      <c r="D4911" s="4" t="str">
        <f>IFERROR(__xludf.DUMMYFUNCTION("""COMPUTED_VALUE"""),"Phil Sellers")</f>
        <v>Phil Sellers</v>
      </c>
      <c r="E4911" s="4" t="str">
        <f>IFERROR(__xludf.DUMMYFUNCTION("""COMPUTED_VALUE"""),"Rutgers University")</f>
        <v>Rutgers University</v>
      </c>
      <c r="F4911" s="4">
        <f>IFERROR(__xludf.DUMMYFUNCTION("""COMPUTED_VALUE"""),1.0)</f>
        <v>1</v>
      </c>
      <c r="G4911" s="4">
        <f>IFERROR(__xludf.DUMMYFUNCTION("""COMPUTED_VALUE"""),44.0)</f>
        <v>44</v>
      </c>
      <c r="H4911" s="4">
        <f>IFERROR(__xludf.DUMMYFUNCTION("""COMPUTED_VALUE"""),329.0)</f>
        <v>329</v>
      </c>
      <c r="I4911" s="4">
        <f>IFERROR(__xludf.DUMMYFUNCTION("""COMPUTED_VALUE"""),198.0)</f>
        <v>198</v>
      </c>
      <c r="J4911" s="4">
        <f>IFERROR(__xludf.DUMMYFUNCTION("""COMPUTED_VALUE"""),41.0)</f>
        <v>41</v>
      </c>
      <c r="K4911" s="4">
        <f>IFERROR(__xludf.DUMMYFUNCTION("""COMPUTED_VALUE"""),25.0)</f>
        <v>25</v>
      </c>
      <c r="L4911" s="4">
        <f>IFERROR(__xludf.DUMMYFUNCTION("""COMPUTED_VALUE"""),0.384)</f>
        <v>0.384</v>
      </c>
      <c r="M4911" s="4"/>
      <c r="N4911" s="4">
        <f>IFERROR(__xludf.DUMMYFUNCTION("""COMPUTED_VALUE"""),0.722)</f>
        <v>0.722</v>
      </c>
      <c r="O4911" s="4">
        <f>IFERROR(__xludf.DUMMYFUNCTION("""COMPUTED_VALUE"""),7.5)</f>
        <v>7.5</v>
      </c>
      <c r="P4911" s="4">
        <f>IFERROR(__xludf.DUMMYFUNCTION("""COMPUTED_VALUE"""),4.5)</f>
        <v>4.5</v>
      </c>
      <c r="Q4911" s="4">
        <f>IFERROR(__xludf.DUMMYFUNCTION("""COMPUTED_VALUE"""),0.9)</f>
        <v>0.9</v>
      </c>
      <c r="R4911" s="4">
        <f>IFERROR(__xludf.DUMMYFUNCTION("""COMPUTED_VALUE"""),0.6)</f>
        <v>0.6</v>
      </c>
      <c r="S4911" s="4">
        <f>IFERROR(__xludf.DUMMYFUNCTION("""COMPUTED_VALUE"""),0.0)</f>
        <v>0</v>
      </c>
      <c r="T4911" s="4">
        <f>IFERROR(__xludf.DUMMYFUNCTION("""COMPUTED_VALUE"""),-0.007)</f>
        <v>-0.007</v>
      </c>
      <c r="U4911" s="4">
        <f>IFERROR(__xludf.DUMMYFUNCTION("""COMPUTED_VALUE"""),-5.0)</f>
        <v>-5</v>
      </c>
      <c r="V4911" s="4">
        <f>IFERROR(__xludf.DUMMYFUNCTION("""COMPUTED_VALUE"""),-0.3)</f>
        <v>-0.3</v>
      </c>
    </row>
    <row r="4912">
      <c r="A4912" s="4">
        <f>IFERROR(__xludf.DUMMYFUNCTION("""COMPUTED_VALUE"""),39.0)</f>
        <v>39</v>
      </c>
      <c r="B4912" s="4">
        <f>IFERROR(__xludf.DUMMYFUNCTION("""COMPUTED_VALUE"""),39.0)</f>
        <v>39</v>
      </c>
      <c r="C4912" s="4" t="str">
        <f>IFERROR(__xludf.DUMMYFUNCTION("""COMPUTED_VALUE"""),"POR")</f>
        <v>POR</v>
      </c>
      <c r="D4912" s="4" t="str">
        <f>IFERROR(__xludf.DUMMYFUNCTION("""COMPUTED_VALUE"""),"Jeff Tyson")</f>
        <v>Jeff Tyson</v>
      </c>
      <c r="E4912" s="4" t="str">
        <f>IFERROR(__xludf.DUMMYFUNCTION("""COMPUTED_VALUE"""),"Western Michigan")</f>
        <v>Western Michigan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</row>
    <row r="4913">
      <c r="A4913" s="4">
        <f>IFERROR(__xludf.DUMMYFUNCTION("""COMPUTED_VALUE"""),40.0)</f>
        <v>40</v>
      </c>
      <c r="B4913" s="4">
        <f>IFERROR(__xludf.DUMMYFUNCTION("""COMPUTED_VALUE"""),40.0)</f>
        <v>40</v>
      </c>
      <c r="C4913" s="4" t="str">
        <f>IFERROR(__xludf.DUMMYFUNCTION("""COMPUTED_VALUE"""),"MIL")</f>
        <v>MIL</v>
      </c>
      <c r="D4913" s="4" t="str">
        <f>IFERROR(__xludf.DUMMYFUNCTION("""COMPUTED_VALUE"""),"Lloyd Walton")</f>
        <v>Lloyd Walton</v>
      </c>
      <c r="E4913" s="4" t="str">
        <f>IFERROR(__xludf.DUMMYFUNCTION("""COMPUTED_VALUE"""),"Marquette")</f>
        <v>Marquette</v>
      </c>
      <c r="F4913" s="4">
        <f>IFERROR(__xludf.DUMMYFUNCTION("""COMPUTED_VALUE"""),5.0)</f>
        <v>5</v>
      </c>
      <c r="G4913" s="4">
        <f>IFERROR(__xludf.DUMMYFUNCTION("""COMPUTED_VALUE"""),341.0)</f>
        <v>341</v>
      </c>
      <c r="H4913" s="4">
        <f>IFERROR(__xludf.DUMMYFUNCTION("""COMPUTED_VALUE"""),5387.0)</f>
        <v>5387</v>
      </c>
      <c r="I4913" s="4">
        <f>IFERROR(__xludf.DUMMYFUNCTION("""COMPUTED_VALUE"""),1442.0)</f>
        <v>1442</v>
      </c>
      <c r="J4913" s="4">
        <f>IFERROR(__xludf.DUMMYFUNCTION("""COMPUTED_VALUE"""),370.0)</f>
        <v>370</v>
      </c>
      <c r="K4913" s="4">
        <f>IFERROR(__xludf.DUMMYFUNCTION("""COMPUTED_VALUE"""),1243.0)</f>
        <v>1243</v>
      </c>
      <c r="L4913" s="4">
        <f>IFERROR(__xludf.DUMMYFUNCTION("""COMPUTED_VALUE"""),0.454)</f>
        <v>0.454</v>
      </c>
      <c r="M4913" s="4"/>
      <c r="N4913" s="4">
        <f>IFERROR(__xludf.DUMMYFUNCTION("""COMPUTED_VALUE"""),0.711)</f>
        <v>0.711</v>
      </c>
      <c r="O4913" s="4">
        <f>IFERROR(__xludf.DUMMYFUNCTION("""COMPUTED_VALUE"""),15.8)</f>
        <v>15.8</v>
      </c>
      <c r="P4913" s="4">
        <f>IFERROR(__xludf.DUMMYFUNCTION("""COMPUTED_VALUE"""),4.2)</f>
        <v>4.2</v>
      </c>
      <c r="Q4913" s="4">
        <f>IFERROR(__xludf.DUMMYFUNCTION("""COMPUTED_VALUE"""),1.1)</f>
        <v>1.1</v>
      </c>
      <c r="R4913" s="4">
        <f>IFERROR(__xludf.DUMMYFUNCTION("""COMPUTED_VALUE"""),3.6)</f>
        <v>3.6</v>
      </c>
      <c r="S4913" s="4">
        <f>IFERROR(__xludf.DUMMYFUNCTION("""COMPUTED_VALUE"""),5.2)</f>
        <v>5.2</v>
      </c>
      <c r="T4913" s="4">
        <f>IFERROR(__xludf.DUMMYFUNCTION("""COMPUTED_VALUE"""),0.047)</f>
        <v>0.047</v>
      </c>
      <c r="U4913" s="4">
        <f>IFERROR(__xludf.DUMMYFUNCTION("""COMPUTED_VALUE"""),-1.6)</f>
        <v>-1.6</v>
      </c>
      <c r="V4913" s="4">
        <f>IFERROR(__xludf.DUMMYFUNCTION("""COMPUTED_VALUE"""),0.6)</f>
        <v>0.6</v>
      </c>
    </row>
    <row r="4914">
      <c r="A4914" s="4">
        <f>IFERROR(__xludf.DUMMYFUNCTION("""COMPUTED_VALUE"""),41.0)</f>
        <v>41</v>
      </c>
      <c r="B4914" s="4">
        <f>IFERROR(__xludf.DUMMYFUNCTION("""COMPUTED_VALUE"""),41.0)</f>
        <v>41</v>
      </c>
      <c r="C4914" s="4" t="str">
        <f>IFERROR(__xludf.DUMMYFUNCTION("""COMPUTED_VALUE"""),"NYK")</f>
        <v>NYK</v>
      </c>
      <c r="D4914" s="4" t="str">
        <f>IFERROR(__xludf.DUMMYFUNCTION("""COMPUTED_VALUE"""),"John McGill")</f>
        <v>John McGill</v>
      </c>
      <c r="E4914" s="4" t="str">
        <f>IFERROR(__xludf.DUMMYFUNCTION("""COMPUTED_VALUE"""),"Alcorn State")</f>
        <v>Alcorn State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</row>
    <row r="4915">
      <c r="A4915" s="4">
        <f>IFERROR(__xludf.DUMMYFUNCTION("""COMPUTED_VALUE"""),42.0)</f>
        <v>42</v>
      </c>
      <c r="B4915" s="4">
        <f>IFERROR(__xludf.DUMMYFUNCTION("""COMPUTED_VALUE"""),42.0)</f>
        <v>42</v>
      </c>
      <c r="C4915" s="4" t="str">
        <f>IFERROR(__xludf.DUMMYFUNCTION("""COMPUTED_VALUE"""),"NOJ")</f>
        <v>NOJ</v>
      </c>
      <c r="D4915" s="4" t="str">
        <f>IFERROR(__xludf.DUMMYFUNCTION("""COMPUTED_VALUE"""),"Steve Copp")</f>
        <v>Steve Copp</v>
      </c>
      <c r="E4915" s="4" t="str">
        <f>IFERROR(__xludf.DUMMYFUNCTION("""COMPUTED_VALUE"""),"San Diego State")</f>
        <v>San Diego State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</row>
    <row r="4916">
      <c r="A4916" s="4">
        <f>IFERROR(__xludf.DUMMYFUNCTION("""COMPUTED_VALUE"""),43.0)</f>
        <v>43</v>
      </c>
      <c r="B4916" s="4">
        <f>IFERROR(__xludf.DUMMYFUNCTION("""COMPUTED_VALUE"""),43.0)</f>
        <v>43</v>
      </c>
      <c r="C4916" s="4" t="str">
        <f>IFERROR(__xludf.DUMMYFUNCTION("""COMPUTED_VALUE"""),"LAL")</f>
        <v>LAL</v>
      </c>
      <c r="D4916" s="4" t="str">
        <f>IFERROR(__xludf.DUMMYFUNCTION("""COMPUTED_VALUE"""),"Tom Abernethy")</f>
        <v>Tom Abernethy</v>
      </c>
      <c r="E4916" s="4" t="str">
        <f>IFERROR(__xludf.DUMMYFUNCTION("""COMPUTED_VALUE"""),"Indiana")</f>
        <v>Indiana</v>
      </c>
      <c r="F4916" s="4">
        <f>IFERROR(__xludf.DUMMYFUNCTION("""COMPUTED_VALUE"""),5.0)</f>
        <v>5</v>
      </c>
      <c r="G4916" s="4">
        <f>IFERROR(__xludf.DUMMYFUNCTION("""COMPUTED_VALUE"""),319.0)</f>
        <v>319</v>
      </c>
      <c r="H4916" s="4">
        <f>IFERROR(__xludf.DUMMYFUNCTION("""COMPUTED_VALUE"""),5434.0)</f>
        <v>5434</v>
      </c>
      <c r="I4916" s="4">
        <f>IFERROR(__xludf.DUMMYFUNCTION("""COMPUTED_VALUE"""),1779.0)</f>
        <v>1779</v>
      </c>
      <c r="J4916" s="4">
        <f>IFERROR(__xludf.DUMMYFUNCTION("""COMPUTED_VALUE"""),1011.0)</f>
        <v>1011</v>
      </c>
      <c r="K4916" s="4">
        <f>IFERROR(__xludf.DUMMYFUNCTION("""COMPUTED_VALUE"""),384.0)</f>
        <v>384</v>
      </c>
      <c r="L4916" s="4">
        <f>IFERROR(__xludf.DUMMYFUNCTION("""COMPUTED_VALUE"""),0.492)</f>
        <v>0.492</v>
      </c>
      <c r="M4916" s="4"/>
      <c r="N4916" s="4">
        <f>IFERROR(__xludf.DUMMYFUNCTION("""COMPUTED_VALUE"""),0.747)</f>
        <v>0.747</v>
      </c>
      <c r="O4916" s="4">
        <f>IFERROR(__xludf.DUMMYFUNCTION("""COMPUTED_VALUE"""),17.0)</f>
        <v>17</v>
      </c>
      <c r="P4916" s="4">
        <f>IFERROR(__xludf.DUMMYFUNCTION("""COMPUTED_VALUE"""),5.6)</f>
        <v>5.6</v>
      </c>
      <c r="Q4916" s="4">
        <f>IFERROR(__xludf.DUMMYFUNCTION("""COMPUTED_VALUE"""),3.2)</f>
        <v>3.2</v>
      </c>
      <c r="R4916" s="4">
        <f>IFERROR(__xludf.DUMMYFUNCTION("""COMPUTED_VALUE"""),1.2)</f>
        <v>1.2</v>
      </c>
      <c r="S4916" s="4">
        <f>IFERROR(__xludf.DUMMYFUNCTION("""COMPUTED_VALUE"""),13.4)</f>
        <v>13.4</v>
      </c>
      <c r="T4916" s="4">
        <f>IFERROR(__xludf.DUMMYFUNCTION("""COMPUTED_VALUE"""),0.118)</f>
        <v>0.118</v>
      </c>
      <c r="U4916" s="4">
        <f>IFERROR(__xludf.DUMMYFUNCTION("""COMPUTED_VALUE"""),0.2)</f>
        <v>0.2</v>
      </c>
      <c r="V4916" s="4">
        <f>IFERROR(__xludf.DUMMYFUNCTION("""COMPUTED_VALUE"""),3.0)</f>
        <v>3</v>
      </c>
    </row>
    <row r="4917">
      <c r="A4917" s="4">
        <f>IFERROR(__xludf.DUMMYFUNCTION("""COMPUTED_VALUE"""),44.0)</f>
        <v>44</v>
      </c>
      <c r="B4917" s="4">
        <f>IFERROR(__xludf.DUMMYFUNCTION("""COMPUTED_VALUE"""),44.0)</f>
        <v>44</v>
      </c>
      <c r="C4917" s="4" t="str">
        <f>IFERROR(__xludf.DUMMYFUNCTION("""COMPUTED_VALUE"""),"HOU")</f>
        <v>HOU</v>
      </c>
      <c r="D4917" s="4" t="str">
        <f>IFERROR(__xludf.DUMMYFUNCTION("""COMPUTED_VALUE"""),"Barnes Hauptfuhrer")</f>
        <v>Barnes Hauptfuhrer</v>
      </c>
      <c r="E4917" s="4" t="str">
        <f>IFERROR(__xludf.DUMMYFUNCTION("""COMPUTED_VALUE"""),"Princeton")</f>
        <v>Princeton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</row>
    <row r="4918">
      <c r="A4918" s="4">
        <f>IFERROR(__xludf.DUMMYFUNCTION("""COMPUTED_VALUE"""),45.0)</f>
        <v>45</v>
      </c>
      <c r="B4918" s="4">
        <f>IFERROR(__xludf.DUMMYFUNCTION("""COMPUTED_VALUE"""),45.0)</f>
        <v>45</v>
      </c>
      <c r="C4918" s="4" t="str">
        <f>IFERROR(__xludf.DUMMYFUNCTION("""COMPUTED_VALUE"""),"PHO")</f>
        <v>PHO</v>
      </c>
      <c r="D4918" s="4" t="str">
        <f>IFERROR(__xludf.DUMMYFUNCTION("""COMPUTED_VALUE"""),"Ira Terrell")</f>
        <v>Ira Terrell</v>
      </c>
      <c r="E4918" s="4" t="str">
        <f>IFERROR(__xludf.DUMMYFUNCTION("""COMPUTED_VALUE"""),"SMU")</f>
        <v>SMU</v>
      </c>
      <c r="F4918" s="4">
        <f>IFERROR(__xludf.DUMMYFUNCTION("""COMPUTED_VALUE"""),2.0)</f>
        <v>2</v>
      </c>
      <c r="G4918" s="4">
        <f>IFERROR(__xludf.DUMMYFUNCTION("""COMPUTED_VALUE"""),127.0)</f>
        <v>127</v>
      </c>
      <c r="H4918" s="4">
        <f>IFERROR(__xludf.DUMMYFUNCTION("""COMPUTED_VALUE"""),2483.0)</f>
        <v>2483</v>
      </c>
      <c r="I4918" s="4">
        <f>IFERROR(__xludf.DUMMYFUNCTION("""COMPUTED_VALUE"""),886.0)</f>
        <v>886</v>
      </c>
      <c r="J4918" s="4">
        <f>IFERROR(__xludf.DUMMYFUNCTION("""COMPUTED_VALUE"""),533.0)</f>
        <v>533</v>
      </c>
      <c r="K4918" s="4">
        <f>IFERROR(__xludf.DUMMYFUNCTION("""COMPUTED_VALUE"""),144.0)</f>
        <v>144</v>
      </c>
      <c r="L4918" s="4">
        <f>IFERROR(__xludf.DUMMYFUNCTION("""COMPUTED_VALUE"""),0.498)</f>
        <v>0.498</v>
      </c>
      <c r="M4918" s="4"/>
      <c r="N4918" s="4">
        <f>IFERROR(__xludf.DUMMYFUNCTION("""COMPUTED_VALUE"""),0.638)</f>
        <v>0.638</v>
      </c>
      <c r="O4918" s="4">
        <f>IFERROR(__xludf.DUMMYFUNCTION("""COMPUTED_VALUE"""),19.6)</f>
        <v>19.6</v>
      </c>
      <c r="P4918" s="4">
        <f>IFERROR(__xludf.DUMMYFUNCTION("""COMPUTED_VALUE"""),7.0)</f>
        <v>7</v>
      </c>
      <c r="Q4918" s="4">
        <f>IFERROR(__xludf.DUMMYFUNCTION("""COMPUTED_VALUE"""),4.2)</f>
        <v>4.2</v>
      </c>
      <c r="R4918" s="4">
        <f>IFERROR(__xludf.DUMMYFUNCTION("""COMPUTED_VALUE"""),1.1)</f>
        <v>1.1</v>
      </c>
      <c r="S4918" s="4">
        <f>IFERROR(__xludf.DUMMYFUNCTION("""COMPUTED_VALUE"""),4.1)</f>
        <v>4.1</v>
      </c>
      <c r="T4918" s="4">
        <f>IFERROR(__xludf.DUMMYFUNCTION("""COMPUTED_VALUE"""),0.08)</f>
        <v>0.08</v>
      </c>
      <c r="U4918" s="4">
        <f>IFERROR(__xludf.DUMMYFUNCTION("""COMPUTED_VALUE"""),-1.2)</f>
        <v>-1.2</v>
      </c>
      <c r="V4918" s="4">
        <f>IFERROR(__xludf.DUMMYFUNCTION("""COMPUTED_VALUE"""),0.5)</f>
        <v>0.5</v>
      </c>
    </row>
    <row r="4919">
      <c r="A4919" s="4">
        <f>IFERROR(__xludf.DUMMYFUNCTION("""COMPUTED_VALUE"""),46.0)</f>
        <v>46</v>
      </c>
      <c r="B4919" s="4">
        <f>IFERROR(__xludf.DUMMYFUNCTION("""COMPUTED_VALUE"""),46.0)</f>
        <v>46</v>
      </c>
      <c r="C4919" s="4" t="str">
        <f>IFERROR(__xludf.DUMMYFUNCTION("""COMPUTED_VALUE"""),"ATL")</f>
        <v>ATL</v>
      </c>
      <c r="D4919" s="4" t="str">
        <f>IFERROR(__xludf.DUMMYFUNCTION("""COMPUTED_VALUE"""),"Larry Cooke")</f>
        <v>Larry Cooke</v>
      </c>
      <c r="E4919" s="4" t="str">
        <f>IFERROR(__xludf.DUMMYFUNCTION("""COMPUTED_VALUE"""),"Virginia Tech")</f>
        <v>Virginia Tech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</row>
    <row r="4920">
      <c r="A4920" s="4">
        <f>IFERROR(__xludf.DUMMYFUNCTION("""COMPUTED_VALUE"""),47.0)</f>
        <v>47</v>
      </c>
      <c r="B4920" s="4">
        <f>IFERROR(__xludf.DUMMYFUNCTION("""COMPUTED_VALUE"""),47.0)</f>
        <v>47</v>
      </c>
      <c r="C4920" s="4" t="str">
        <f>IFERROR(__xludf.DUMMYFUNCTION("""COMPUTED_VALUE"""),"PHI")</f>
        <v>PHI</v>
      </c>
      <c r="D4920" s="4" t="str">
        <f>IFERROR(__xludf.DUMMYFUNCTION("""COMPUTED_VALUE"""),"Ron Norwood")</f>
        <v>Ron Norwood</v>
      </c>
      <c r="E4920" s="4" t="str">
        <f>IFERROR(__xludf.DUMMYFUNCTION("""COMPUTED_VALUE"""),"DePaul")</f>
        <v>DePaul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</row>
    <row r="4921">
      <c r="A4921" s="4">
        <f>IFERROR(__xludf.DUMMYFUNCTION("""COMPUTED_VALUE"""),48.0)</f>
        <v>48</v>
      </c>
      <c r="B4921" s="4">
        <f>IFERROR(__xludf.DUMMYFUNCTION("""COMPUTED_VALUE"""),48.0)</f>
        <v>48</v>
      </c>
      <c r="C4921" s="4" t="str">
        <f>IFERROR(__xludf.DUMMYFUNCTION("""COMPUTED_VALUE"""),"BUF")</f>
        <v>BUF</v>
      </c>
      <c r="D4921" s="4" t="str">
        <f>IFERROR(__xludf.DUMMYFUNCTION("""COMPUTED_VALUE"""),"Gary Brewster")</f>
        <v>Gary Brewster</v>
      </c>
      <c r="E4921" s="4" t="str">
        <f>IFERROR(__xludf.DUMMYFUNCTION("""COMPUTED_VALUE"""),"Texas-El Paso")</f>
        <v>Texas-El Paso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</row>
    <row r="4922">
      <c r="A4922" s="4">
        <f>IFERROR(__xludf.DUMMYFUNCTION("""COMPUTED_VALUE"""),49.0)</f>
        <v>49</v>
      </c>
      <c r="B4922" s="4">
        <f>IFERROR(__xludf.DUMMYFUNCTION("""COMPUTED_VALUE"""),49.0)</f>
        <v>49</v>
      </c>
      <c r="C4922" s="4" t="str">
        <f>IFERROR(__xludf.DUMMYFUNCTION("""COMPUTED_VALUE"""),"WSB")</f>
        <v>WSB</v>
      </c>
      <c r="D4922" s="4" t="str">
        <f>IFERROR(__xludf.DUMMYFUNCTION("""COMPUTED_VALUE"""),"Bill Cook")</f>
        <v>Bill Cook</v>
      </c>
      <c r="E4922" s="4" t="str">
        <f>IFERROR(__xludf.DUMMYFUNCTION("""COMPUTED_VALUE"""),"Memphis")</f>
        <v>Memphis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</row>
    <row r="4923">
      <c r="A4923" s="4">
        <f>IFERROR(__xludf.DUMMYFUNCTION("""COMPUTED_VALUE"""),50.0)</f>
        <v>50</v>
      </c>
      <c r="B4923" s="4">
        <f>IFERROR(__xludf.DUMMYFUNCTION("""COMPUTED_VALUE"""),50.0)</f>
        <v>50</v>
      </c>
      <c r="C4923" s="4" t="str">
        <f>IFERROR(__xludf.DUMMYFUNCTION("""COMPUTED_VALUE"""),"CLE")</f>
        <v>CLE</v>
      </c>
      <c r="D4923" s="4" t="str">
        <f>IFERROR(__xludf.DUMMYFUNCTION("""COMPUTED_VALUE"""),"Abdul Jeelani")</f>
        <v>Abdul Jeelani</v>
      </c>
      <c r="E4923" s="4" t="str">
        <f>IFERROR(__xludf.DUMMYFUNCTION("""COMPUTED_VALUE"""),"University of Wisconsin-Parkside")</f>
        <v>University of Wisconsin-Parkside</v>
      </c>
      <c r="F4923" s="4">
        <f>IFERROR(__xludf.DUMMYFUNCTION("""COMPUTED_VALUE"""),2.0)</f>
        <v>2</v>
      </c>
      <c r="G4923" s="4">
        <f>IFERROR(__xludf.DUMMYFUNCTION("""COMPUTED_VALUE"""),143.0)</f>
        <v>143</v>
      </c>
      <c r="H4923" s="4">
        <f>IFERROR(__xludf.DUMMYFUNCTION("""COMPUTED_VALUE"""),2394.0)</f>
        <v>2394</v>
      </c>
      <c r="I4923" s="4">
        <f>IFERROR(__xludf.DUMMYFUNCTION("""COMPUTED_VALUE"""),1290.0)</f>
        <v>1290</v>
      </c>
      <c r="J4923" s="4">
        <f>IFERROR(__xludf.DUMMYFUNCTION("""COMPUTED_VALUE"""),500.0)</f>
        <v>500</v>
      </c>
      <c r="K4923" s="4">
        <f>IFERROR(__xludf.DUMMYFUNCTION("""COMPUTED_VALUE"""),160.0)</f>
        <v>160</v>
      </c>
      <c r="L4923" s="4">
        <f>IFERROR(__xludf.DUMMYFUNCTION("""COMPUTED_VALUE"""),0.473)</f>
        <v>0.473</v>
      </c>
      <c r="M4923" s="4">
        <f>IFERROR(__xludf.DUMMYFUNCTION("""COMPUTED_VALUE"""),0.0)</f>
        <v>0</v>
      </c>
      <c r="N4923" s="4">
        <f>IFERROR(__xludf.DUMMYFUNCTION("""COMPUTED_VALUE"""),0.802)</f>
        <v>0.802</v>
      </c>
      <c r="O4923" s="4">
        <f>IFERROR(__xludf.DUMMYFUNCTION("""COMPUTED_VALUE"""),16.7)</f>
        <v>16.7</v>
      </c>
      <c r="P4923" s="4">
        <f>IFERROR(__xludf.DUMMYFUNCTION("""COMPUTED_VALUE"""),9.0)</f>
        <v>9</v>
      </c>
      <c r="Q4923" s="4">
        <f>IFERROR(__xludf.DUMMYFUNCTION("""COMPUTED_VALUE"""),3.5)</f>
        <v>3.5</v>
      </c>
      <c r="R4923" s="4">
        <f>IFERROR(__xludf.DUMMYFUNCTION("""COMPUTED_VALUE"""),1.1)</f>
        <v>1.1</v>
      </c>
      <c r="S4923" s="4">
        <f>IFERROR(__xludf.DUMMYFUNCTION("""COMPUTED_VALUE"""),5.4)</f>
        <v>5.4</v>
      </c>
      <c r="T4923" s="4">
        <f>IFERROR(__xludf.DUMMYFUNCTION("""COMPUTED_VALUE"""),0.108)</f>
        <v>0.108</v>
      </c>
      <c r="U4923" s="4">
        <f>IFERROR(__xludf.DUMMYFUNCTION("""COMPUTED_VALUE"""),0.3)</f>
        <v>0.3</v>
      </c>
      <c r="V4923" s="4">
        <f>IFERROR(__xludf.DUMMYFUNCTION("""COMPUTED_VALUE"""),1.4)</f>
        <v>1.4</v>
      </c>
    </row>
    <row r="4924">
      <c r="A4924" s="4">
        <f>IFERROR(__xludf.DUMMYFUNCTION("""COMPUTED_VALUE"""),51.0)</f>
        <v>51</v>
      </c>
      <c r="B4924" s="4">
        <f>IFERROR(__xludf.DUMMYFUNCTION("""COMPUTED_VALUE"""),51.0)</f>
        <v>51</v>
      </c>
      <c r="C4924" s="4" t="str">
        <f>IFERROR(__xludf.DUMMYFUNCTION("""COMPUTED_VALUE"""),"BOS")</f>
        <v>BOS</v>
      </c>
      <c r="D4924" s="4" t="str">
        <f>IFERROR(__xludf.DUMMYFUNCTION("""COMPUTED_VALUE"""),"Jerry Fort")</f>
        <v>Jerry Fort</v>
      </c>
      <c r="E4924" s="4" t="str">
        <f>IFERROR(__xludf.DUMMYFUNCTION("""COMPUTED_VALUE"""),"Nebraska")</f>
        <v>Nebraska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</row>
    <row r="4925">
      <c r="A4925" s="4"/>
      <c r="B4925" s="4"/>
      <c r="C4925" s="4"/>
      <c r="D4925" s="4" t="str">
        <f>IFERROR(__xludf.DUMMYFUNCTION("""COMPUTED_VALUE"""),"Round 4")</f>
        <v>Round 4</v>
      </c>
      <c r="E4925" s="4"/>
      <c r="F4925" s="4"/>
      <c r="G4925" s="4" t="str">
        <f>IFERROR(__xludf.DUMMYFUNCTION("""COMPUTED_VALUE"""),"Totals")</f>
        <v>Totals</v>
      </c>
      <c r="H4925" s="4"/>
      <c r="I4925" s="4"/>
      <c r="J4925" s="4"/>
      <c r="K4925" s="4"/>
      <c r="L4925" s="4" t="str">
        <f>IFERROR(__xludf.DUMMYFUNCTION("""COMPUTED_VALUE"""),"Shooting")</f>
        <v>Shooting</v>
      </c>
      <c r="M4925" s="4"/>
      <c r="N4925" s="4"/>
      <c r="O4925" s="4" t="str">
        <f>IFERROR(__xludf.DUMMYFUNCTION("""COMPUTED_VALUE"""),"Per Game")</f>
        <v>Per Game</v>
      </c>
      <c r="P4925" s="4"/>
      <c r="Q4925" s="4"/>
      <c r="R4925" s="4"/>
      <c r="S4925" s="4" t="str">
        <f>IFERROR(__xludf.DUMMYFUNCTION("""COMPUTED_VALUE"""),"Advanced")</f>
        <v>Advanced</v>
      </c>
      <c r="T4925" s="4"/>
      <c r="U4925" s="4"/>
      <c r="V4925" s="4"/>
    </row>
    <row r="4926">
      <c r="A4926" s="4" t="str">
        <f>IFERROR(__xludf.DUMMYFUNCTION("""COMPUTED_VALUE"""),"Rk")</f>
        <v>Rk</v>
      </c>
      <c r="B4926" s="4" t="str">
        <f>IFERROR(__xludf.DUMMYFUNCTION("""COMPUTED_VALUE"""),"Pk")</f>
        <v>Pk</v>
      </c>
      <c r="C4926" s="4" t="str">
        <f>IFERROR(__xludf.DUMMYFUNCTION("""COMPUTED_VALUE"""),"Tm")</f>
        <v>Tm</v>
      </c>
      <c r="D4926" s="4" t="str">
        <f>IFERROR(__xludf.DUMMYFUNCTION("""COMPUTED_VALUE"""),"Player")</f>
        <v>Player</v>
      </c>
      <c r="E4926" s="4" t="str">
        <f>IFERROR(__xludf.DUMMYFUNCTION("""COMPUTED_VALUE"""),"College")</f>
        <v>College</v>
      </c>
      <c r="F4926" s="4" t="str">
        <f>IFERROR(__xludf.DUMMYFUNCTION("""COMPUTED_VALUE"""),"Yrs")</f>
        <v>Yrs</v>
      </c>
      <c r="G4926" s="4" t="str">
        <f>IFERROR(__xludf.DUMMYFUNCTION("""COMPUTED_VALUE"""),"G")</f>
        <v>G</v>
      </c>
      <c r="H4926" s="4" t="str">
        <f>IFERROR(__xludf.DUMMYFUNCTION("""COMPUTED_VALUE"""),"MP")</f>
        <v>MP</v>
      </c>
      <c r="I4926" s="4" t="str">
        <f>IFERROR(__xludf.DUMMYFUNCTION("""COMPUTED_VALUE"""),"PTS")</f>
        <v>PTS</v>
      </c>
      <c r="J4926" s="4" t="str">
        <f>IFERROR(__xludf.DUMMYFUNCTION("""COMPUTED_VALUE"""),"TRB")</f>
        <v>TRB</v>
      </c>
      <c r="K4926" s="4" t="str">
        <f>IFERROR(__xludf.DUMMYFUNCTION("""COMPUTED_VALUE"""),"AST")</f>
        <v>AST</v>
      </c>
      <c r="L4926" s="4" t="str">
        <f>IFERROR(__xludf.DUMMYFUNCTION("""COMPUTED_VALUE"""),"FG%")</f>
        <v>FG%</v>
      </c>
      <c r="M4926" s="4" t="str">
        <f>IFERROR(__xludf.DUMMYFUNCTION("""COMPUTED_VALUE"""),"3P%")</f>
        <v>3P%</v>
      </c>
      <c r="N4926" s="4" t="str">
        <f>IFERROR(__xludf.DUMMYFUNCTION("""COMPUTED_VALUE"""),"FT%")</f>
        <v>FT%</v>
      </c>
      <c r="O4926" s="4" t="str">
        <f>IFERROR(__xludf.DUMMYFUNCTION("""COMPUTED_VALUE"""),"MP")</f>
        <v>MP</v>
      </c>
      <c r="P4926" s="4" t="str">
        <f>IFERROR(__xludf.DUMMYFUNCTION("""COMPUTED_VALUE"""),"PTS")</f>
        <v>PTS</v>
      </c>
      <c r="Q4926" s="4" t="str">
        <f>IFERROR(__xludf.DUMMYFUNCTION("""COMPUTED_VALUE"""),"TRB")</f>
        <v>TRB</v>
      </c>
      <c r="R4926" s="4" t="str">
        <f>IFERROR(__xludf.DUMMYFUNCTION("""COMPUTED_VALUE"""),"AST")</f>
        <v>AST</v>
      </c>
      <c r="S4926" s="4" t="str">
        <f>IFERROR(__xludf.DUMMYFUNCTION("""COMPUTED_VALUE"""),"WS")</f>
        <v>WS</v>
      </c>
      <c r="T4926" s="4" t="str">
        <f>IFERROR(__xludf.DUMMYFUNCTION("""COMPUTED_VALUE"""),"WS/48")</f>
        <v>WS/48</v>
      </c>
      <c r="U4926" s="4" t="str">
        <f>IFERROR(__xludf.DUMMYFUNCTION("""COMPUTED_VALUE"""),"BPM")</f>
        <v>BPM</v>
      </c>
      <c r="V4926" s="4" t="str">
        <f>IFERROR(__xludf.DUMMYFUNCTION("""COMPUTED_VALUE"""),"VORP")</f>
        <v>VORP</v>
      </c>
    </row>
    <row r="4927">
      <c r="A4927" s="4">
        <f>IFERROR(__xludf.DUMMYFUNCTION("""COMPUTED_VALUE"""),52.0)</f>
        <v>52</v>
      </c>
      <c r="B4927" s="4">
        <f>IFERROR(__xludf.DUMMYFUNCTION("""COMPUTED_VALUE"""),52.0)</f>
        <v>52</v>
      </c>
      <c r="C4927" s="4" t="str">
        <f>IFERROR(__xludf.DUMMYFUNCTION("""COMPUTED_VALUE"""),"CHI")</f>
        <v>CHI</v>
      </c>
      <c r="D4927" s="4" t="str">
        <f>IFERROR(__xludf.DUMMYFUNCTION("""COMPUTED_VALUE"""),"Keith Starr")</f>
        <v>Keith Starr</v>
      </c>
      <c r="E4927" s="4" t="str">
        <f>IFERROR(__xludf.DUMMYFUNCTION("""COMPUTED_VALUE"""),"Pitt")</f>
        <v>Pitt</v>
      </c>
      <c r="F4927" s="4">
        <f>IFERROR(__xludf.DUMMYFUNCTION("""COMPUTED_VALUE"""),1.0)</f>
        <v>1</v>
      </c>
      <c r="G4927" s="4">
        <f>IFERROR(__xludf.DUMMYFUNCTION("""COMPUTED_VALUE"""),17.0)</f>
        <v>17</v>
      </c>
      <c r="H4927" s="4">
        <f>IFERROR(__xludf.DUMMYFUNCTION("""COMPUTED_VALUE"""),65.0)</f>
        <v>65</v>
      </c>
      <c r="I4927" s="4">
        <f>IFERROR(__xludf.DUMMYFUNCTION("""COMPUTED_VALUE"""),14.0)</f>
        <v>14</v>
      </c>
      <c r="J4927" s="4">
        <f>IFERROR(__xludf.DUMMYFUNCTION("""COMPUTED_VALUE"""),10.0)</f>
        <v>10</v>
      </c>
      <c r="K4927" s="4">
        <f>IFERROR(__xludf.DUMMYFUNCTION("""COMPUTED_VALUE"""),6.0)</f>
        <v>6</v>
      </c>
      <c r="L4927" s="4">
        <f>IFERROR(__xludf.DUMMYFUNCTION("""COMPUTED_VALUE"""),0.25)</f>
        <v>0.25</v>
      </c>
      <c r="M4927" s="4"/>
      <c r="N4927" s="4">
        <f>IFERROR(__xludf.DUMMYFUNCTION("""COMPUTED_VALUE"""),1.0)</f>
        <v>1</v>
      </c>
      <c r="O4927" s="4">
        <f>IFERROR(__xludf.DUMMYFUNCTION("""COMPUTED_VALUE"""),3.8)</f>
        <v>3.8</v>
      </c>
      <c r="P4927" s="4">
        <f>IFERROR(__xludf.DUMMYFUNCTION("""COMPUTED_VALUE"""),0.8)</f>
        <v>0.8</v>
      </c>
      <c r="Q4927" s="4">
        <f>IFERROR(__xludf.DUMMYFUNCTION("""COMPUTED_VALUE"""),0.6)</f>
        <v>0.6</v>
      </c>
      <c r="R4927" s="4">
        <f>IFERROR(__xludf.DUMMYFUNCTION("""COMPUTED_VALUE"""),0.4)</f>
        <v>0.4</v>
      </c>
      <c r="S4927" s="4">
        <f>IFERROR(__xludf.DUMMYFUNCTION("""COMPUTED_VALUE"""),-0.2)</f>
        <v>-0.2</v>
      </c>
      <c r="T4927" s="4">
        <f>IFERROR(__xludf.DUMMYFUNCTION("""COMPUTED_VALUE"""),-0.111)</f>
        <v>-0.111</v>
      </c>
      <c r="U4927" s="4">
        <f>IFERROR(__xludf.DUMMYFUNCTION("""COMPUTED_VALUE"""),-6.1)</f>
        <v>-6.1</v>
      </c>
      <c r="V4927" s="4">
        <f>IFERROR(__xludf.DUMMYFUNCTION("""COMPUTED_VALUE"""),-0.1)</f>
        <v>-0.1</v>
      </c>
    </row>
    <row r="4928">
      <c r="A4928" s="4">
        <f>IFERROR(__xludf.DUMMYFUNCTION("""COMPUTED_VALUE"""),53.0)</f>
        <v>53</v>
      </c>
      <c r="B4928" s="4">
        <f>IFERROR(__xludf.DUMMYFUNCTION("""COMPUTED_VALUE"""),53.0)</f>
        <v>53</v>
      </c>
      <c r="C4928" s="4" t="str">
        <f>IFERROR(__xludf.DUMMYFUNCTION("""COMPUTED_VALUE"""),"ATL")</f>
        <v>ATL</v>
      </c>
      <c r="D4928" s="4" t="str">
        <f>IFERROR(__xludf.DUMMYFUNCTION("""COMPUTED_VALUE"""),"Tom Barker")</f>
        <v>Tom Barker</v>
      </c>
      <c r="E4928" s="4" t="str">
        <f>IFERROR(__xludf.DUMMYFUNCTION("""COMPUTED_VALUE"""),"Hawaii")</f>
        <v>Hawaii</v>
      </c>
      <c r="F4928" s="4">
        <f>IFERROR(__xludf.DUMMYFUNCTION("""COMPUTED_VALUE"""),2.0)</f>
        <v>2</v>
      </c>
      <c r="G4928" s="4">
        <f>IFERROR(__xludf.DUMMYFUNCTION("""COMPUTED_VALUE"""),98.0)</f>
        <v>98</v>
      </c>
      <c r="H4928" s="4">
        <f>IFERROR(__xludf.DUMMYFUNCTION("""COMPUTED_VALUE"""),1830.0)</f>
        <v>1830</v>
      </c>
      <c r="I4928" s="4">
        <f>IFERROR(__xludf.DUMMYFUNCTION("""COMPUTED_VALUE"""),639.0)</f>
        <v>639</v>
      </c>
      <c r="J4928" s="4">
        <f>IFERROR(__xludf.DUMMYFUNCTION("""COMPUTED_VALUE"""),520.0)</f>
        <v>520</v>
      </c>
      <c r="K4928" s="4">
        <f>IFERROR(__xludf.DUMMYFUNCTION("""COMPUTED_VALUE"""),75.0)</f>
        <v>75</v>
      </c>
      <c r="L4928" s="4">
        <f>IFERROR(__xludf.DUMMYFUNCTION("""COMPUTED_VALUE"""),0.422)</f>
        <v>0.422</v>
      </c>
      <c r="M4928" s="4"/>
      <c r="N4928" s="4">
        <f>IFERROR(__xludf.DUMMYFUNCTION("""COMPUTED_VALUE"""),0.692)</f>
        <v>0.692</v>
      </c>
      <c r="O4928" s="4">
        <f>IFERROR(__xludf.DUMMYFUNCTION("""COMPUTED_VALUE"""),18.7)</f>
        <v>18.7</v>
      </c>
      <c r="P4928" s="4">
        <f>IFERROR(__xludf.DUMMYFUNCTION("""COMPUTED_VALUE"""),6.5)</f>
        <v>6.5</v>
      </c>
      <c r="Q4928" s="4">
        <f>IFERROR(__xludf.DUMMYFUNCTION("""COMPUTED_VALUE"""),5.3)</f>
        <v>5.3</v>
      </c>
      <c r="R4928" s="4">
        <f>IFERROR(__xludf.DUMMYFUNCTION("""COMPUTED_VALUE"""),0.8)</f>
        <v>0.8</v>
      </c>
      <c r="S4928" s="4">
        <f>IFERROR(__xludf.DUMMYFUNCTION("""COMPUTED_VALUE"""),1.3)</f>
        <v>1.3</v>
      </c>
      <c r="T4928" s="4">
        <f>IFERROR(__xludf.DUMMYFUNCTION("""COMPUTED_VALUE"""),0.034)</f>
        <v>0.034</v>
      </c>
      <c r="U4928" s="4">
        <f>IFERROR(__xludf.DUMMYFUNCTION("""COMPUTED_VALUE"""),-3.8)</f>
        <v>-3.8</v>
      </c>
      <c r="V4928" s="4">
        <f>IFERROR(__xludf.DUMMYFUNCTION("""COMPUTED_VALUE"""),-0.9)</f>
        <v>-0.9</v>
      </c>
    </row>
    <row r="4929">
      <c r="A4929" s="4">
        <f>IFERROR(__xludf.DUMMYFUNCTION("""COMPUTED_VALUE"""),54.0)</f>
        <v>54</v>
      </c>
      <c r="B4929" s="4">
        <f>IFERROR(__xludf.DUMMYFUNCTION("""COMPUTED_VALUE"""),54.0)</f>
        <v>54</v>
      </c>
      <c r="C4929" s="4" t="str">
        <f>IFERROR(__xludf.DUMMYFUNCTION("""COMPUTED_VALUE"""),"KCK")</f>
        <v>KCK</v>
      </c>
      <c r="D4929" s="4" t="str">
        <f>IFERROR(__xludf.DUMMYFUNCTION("""COMPUTED_VALUE"""),"Clarence Ramsey")</f>
        <v>Clarence Ramsey</v>
      </c>
      <c r="E4929" s="4" t="str">
        <f>IFERROR(__xludf.DUMMYFUNCTION("""COMPUTED_VALUE"""),"Washington")</f>
        <v>Washington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</row>
    <row r="4930">
      <c r="A4930" s="4">
        <f>IFERROR(__xludf.DUMMYFUNCTION("""COMPUTED_VALUE"""),55.0)</f>
        <v>55</v>
      </c>
      <c r="B4930" s="4">
        <f>IFERROR(__xludf.DUMMYFUNCTION("""COMPUTED_VALUE"""),55.0)</f>
        <v>55</v>
      </c>
      <c r="C4930" s="4" t="str">
        <f>IFERROR(__xludf.DUMMYFUNCTION("""COMPUTED_VALUE"""),"DET")</f>
        <v>DET</v>
      </c>
      <c r="D4930" s="4" t="str">
        <f>IFERROR(__xludf.DUMMYFUNCTION("""COMPUTED_VALUE"""),"Scott Thompson")</f>
        <v>Scott Thompson</v>
      </c>
      <c r="E4930" s="4" t="str">
        <f>IFERROR(__xludf.DUMMYFUNCTION("""COMPUTED_VALUE"""),"Iowa")</f>
        <v>Iowa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</row>
    <row r="4931">
      <c r="A4931" s="4">
        <f>IFERROR(__xludf.DUMMYFUNCTION("""COMPUTED_VALUE"""),56.0)</f>
        <v>56</v>
      </c>
      <c r="B4931" s="4">
        <f>IFERROR(__xludf.DUMMYFUNCTION("""COMPUTED_VALUE"""),56.0)</f>
        <v>56</v>
      </c>
      <c r="C4931" s="4" t="str">
        <f>IFERROR(__xludf.DUMMYFUNCTION("""COMPUTED_VALUE"""),"POR")</f>
        <v>POR</v>
      </c>
      <c r="D4931" s="4" t="str">
        <f>IFERROR(__xludf.DUMMYFUNCTION("""COMPUTED_VALUE"""),"David Everett")</f>
        <v>David Everett</v>
      </c>
      <c r="E4931" s="4" t="str">
        <f>IFERROR(__xludf.DUMMYFUNCTION("""COMPUTED_VALUE"""),"Grand Canyon University")</f>
        <v>Grand Canyon University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</row>
    <row r="4932">
      <c r="A4932" s="4">
        <f>IFERROR(__xludf.DUMMYFUNCTION("""COMPUTED_VALUE"""),57.0)</f>
        <v>57</v>
      </c>
      <c r="B4932" s="4">
        <f>IFERROR(__xludf.DUMMYFUNCTION("""COMPUTED_VALUE"""),57.0)</f>
        <v>57</v>
      </c>
      <c r="C4932" s="4" t="str">
        <f>IFERROR(__xludf.DUMMYFUNCTION("""COMPUTED_VALUE"""),"NYK")</f>
        <v>NYK</v>
      </c>
      <c r="D4932" s="4" t="str">
        <f>IFERROR(__xludf.DUMMYFUNCTION("""COMPUTED_VALUE"""),"Rick Bullock")</f>
        <v>Rick Bullock</v>
      </c>
      <c r="E4932" s="4" t="str">
        <f>IFERROR(__xludf.DUMMYFUNCTION("""COMPUTED_VALUE"""),"Texas Tech")</f>
        <v>Texas Tech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</row>
    <row r="4933">
      <c r="A4933" s="4">
        <f>IFERROR(__xludf.DUMMYFUNCTION("""COMPUTED_VALUE"""),58.0)</f>
        <v>58</v>
      </c>
      <c r="B4933" s="4">
        <f>IFERROR(__xludf.DUMMYFUNCTION("""COMPUTED_VALUE"""),58.0)</f>
        <v>58</v>
      </c>
      <c r="C4933" s="4" t="str">
        <f>IFERROR(__xludf.DUMMYFUNCTION("""COMPUTED_VALUE"""),"NOJ")</f>
        <v>NOJ</v>
      </c>
      <c r="D4933" s="4" t="str">
        <f>IFERROR(__xludf.DUMMYFUNCTION("""COMPUTED_VALUE"""),"John Service")</f>
        <v>John Service</v>
      </c>
      <c r="E4933" s="4" t="str">
        <f>IFERROR(__xludf.DUMMYFUNCTION("""COMPUTED_VALUE"""),"UC Santa Barbara")</f>
        <v>UC Santa Barbara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</row>
    <row r="4934">
      <c r="A4934" s="4">
        <f>IFERROR(__xludf.DUMMYFUNCTION("""COMPUTED_VALUE"""),59.0)</f>
        <v>59</v>
      </c>
      <c r="B4934" s="4">
        <f>IFERROR(__xludf.DUMMYFUNCTION("""COMPUTED_VALUE"""),59.0)</f>
        <v>59</v>
      </c>
      <c r="C4934" s="4" t="str">
        <f>IFERROR(__xludf.DUMMYFUNCTION("""COMPUTED_VALUE"""),"MIL")</f>
        <v>MIL</v>
      </c>
      <c r="D4934" s="4" t="str">
        <f>IFERROR(__xludf.DUMMYFUNCTION("""COMPUTED_VALUE"""),"Dan Frost")</f>
        <v>Dan Frost</v>
      </c>
      <c r="E4934" s="4" t="str">
        <f>IFERROR(__xludf.DUMMYFUNCTION("""COMPUTED_VALUE"""),"Iowa")</f>
        <v>Iowa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</row>
    <row r="4935">
      <c r="A4935" s="4">
        <f>IFERROR(__xludf.DUMMYFUNCTION("""COMPUTED_VALUE"""),60.0)</f>
        <v>60</v>
      </c>
      <c r="B4935" s="4">
        <f>IFERROR(__xludf.DUMMYFUNCTION("""COMPUTED_VALUE"""),60.0)</f>
        <v>60</v>
      </c>
      <c r="C4935" s="4" t="str">
        <f>IFERROR(__xludf.DUMMYFUNCTION("""COMPUTED_VALUE"""),"LAL")</f>
        <v>LAL</v>
      </c>
      <c r="D4935" s="4" t="str">
        <f>IFERROR(__xludf.DUMMYFUNCTION("""COMPUTED_VALUE"""),"Wayman Britt")</f>
        <v>Wayman Britt</v>
      </c>
      <c r="E4935" s="4" t="str">
        <f>IFERROR(__xludf.DUMMYFUNCTION("""COMPUTED_VALUE"""),"Michigan")</f>
        <v>Michigan</v>
      </c>
      <c r="F4935" s="4">
        <f>IFERROR(__xludf.DUMMYFUNCTION("""COMPUTED_VALUE"""),1.0)</f>
        <v>1</v>
      </c>
      <c r="G4935" s="4">
        <f>IFERROR(__xludf.DUMMYFUNCTION("""COMPUTED_VALUE"""),7.0)</f>
        <v>7</v>
      </c>
      <c r="H4935" s="4">
        <f>IFERROR(__xludf.DUMMYFUNCTION("""COMPUTED_VALUE"""),16.0)</f>
        <v>16</v>
      </c>
      <c r="I4935" s="4">
        <f>IFERROR(__xludf.DUMMYFUNCTION("""COMPUTED_VALUE"""),9.0)</f>
        <v>9</v>
      </c>
      <c r="J4935" s="4">
        <f>IFERROR(__xludf.DUMMYFUNCTION("""COMPUTED_VALUE"""),4.0)</f>
        <v>4</v>
      </c>
      <c r="K4935" s="4">
        <f>IFERROR(__xludf.DUMMYFUNCTION("""COMPUTED_VALUE"""),2.0)</f>
        <v>2</v>
      </c>
      <c r="L4935" s="4">
        <f>IFERROR(__xludf.DUMMYFUNCTION("""COMPUTED_VALUE"""),0.3)</f>
        <v>0.3</v>
      </c>
      <c r="M4935" s="4"/>
      <c r="N4935" s="4">
        <f>IFERROR(__xludf.DUMMYFUNCTION("""COMPUTED_VALUE"""),0.75)</f>
        <v>0.75</v>
      </c>
      <c r="O4935" s="4">
        <f>IFERROR(__xludf.DUMMYFUNCTION("""COMPUTED_VALUE"""),2.3)</f>
        <v>2.3</v>
      </c>
      <c r="P4935" s="4">
        <f>IFERROR(__xludf.DUMMYFUNCTION("""COMPUTED_VALUE"""),1.3)</f>
        <v>1.3</v>
      </c>
      <c r="Q4935" s="4">
        <f>IFERROR(__xludf.DUMMYFUNCTION("""COMPUTED_VALUE"""),0.6)</f>
        <v>0.6</v>
      </c>
      <c r="R4935" s="4">
        <f>IFERROR(__xludf.DUMMYFUNCTION("""COMPUTED_VALUE"""),0.3)</f>
        <v>0.3</v>
      </c>
      <c r="S4935" s="4">
        <f>IFERROR(__xludf.DUMMYFUNCTION("""COMPUTED_VALUE"""),0.0)</f>
        <v>0</v>
      </c>
      <c r="T4935" s="4">
        <f>IFERROR(__xludf.DUMMYFUNCTION("""COMPUTED_VALUE"""),0.046)</f>
        <v>0.046</v>
      </c>
      <c r="U4935" s="4">
        <f>IFERROR(__xludf.DUMMYFUNCTION("""COMPUTED_VALUE"""),-4.5)</f>
        <v>-4.5</v>
      </c>
      <c r="V4935" s="4">
        <f>IFERROR(__xludf.DUMMYFUNCTION("""COMPUTED_VALUE"""),0.0)</f>
        <v>0</v>
      </c>
    </row>
    <row r="4936">
      <c r="A4936" s="4">
        <f>IFERROR(__xludf.DUMMYFUNCTION("""COMPUTED_VALUE"""),61.0)</f>
        <v>61</v>
      </c>
      <c r="B4936" s="4">
        <f>IFERROR(__xludf.DUMMYFUNCTION("""COMPUTED_VALUE"""),61.0)</f>
        <v>61</v>
      </c>
      <c r="C4936" s="4" t="str">
        <f>IFERROR(__xludf.DUMMYFUNCTION("""COMPUTED_VALUE"""),"HOU")</f>
        <v>HOU</v>
      </c>
      <c r="D4936" s="4" t="str">
        <f>IFERROR(__xludf.DUMMYFUNCTION("""COMPUTED_VALUE"""),"Hercle Ivy")</f>
        <v>Hercle Ivy</v>
      </c>
      <c r="E4936" s="4" t="str">
        <f>IFERROR(__xludf.DUMMYFUNCTION("""COMPUTED_VALUE"""),"Iowa State")</f>
        <v>Iowa State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</row>
    <row r="4937">
      <c r="A4937" s="4">
        <f>IFERROR(__xludf.DUMMYFUNCTION("""COMPUTED_VALUE"""),62.0)</f>
        <v>62</v>
      </c>
      <c r="B4937" s="4">
        <f>IFERROR(__xludf.DUMMYFUNCTION("""COMPUTED_VALUE"""),62.0)</f>
        <v>62</v>
      </c>
      <c r="C4937" s="4" t="str">
        <f>IFERROR(__xludf.DUMMYFUNCTION("""COMPUTED_VALUE"""),"PHO")</f>
        <v>PHO</v>
      </c>
      <c r="D4937" s="4" t="str">
        <f>IFERROR(__xludf.DUMMYFUNCTION("""COMPUTED_VALUE"""),"Paul Miller")</f>
        <v>Paul Miller</v>
      </c>
      <c r="E4937" s="4" t="str">
        <f>IFERROR(__xludf.DUMMYFUNCTION("""COMPUTED_VALUE"""),"Oregon State")</f>
        <v>Oregon State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</row>
    <row r="4938">
      <c r="A4938" s="4">
        <f>IFERROR(__xludf.DUMMYFUNCTION("""COMPUTED_VALUE"""),63.0)</f>
        <v>63</v>
      </c>
      <c r="B4938" s="4">
        <f>IFERROR(__xludf.DUMMYFUNCTION("""COMPUTED_VALUE"""),63.0)</f>
        <v>63</v>
      </c>
      <c r="C4938" s="4" t="str">
        <f>IFERROR(__xludf.DUMMYFUNCTION("""COMPUTED_VALUE"""),"SEA")</f>
        <v>SEA</v>
      </c>
      <c r="D4938" s="4" t="str">
        <f>IFERROR(__xludf.DUMMYFUNCTION("""COMPUTED_VALUE"""),"Willie Parr")</f>
        <v>Willie Parr</v>
      </c>
      <c r="E4938" s="4" t="str">
        <f>IFERROR(__xludf.DUMMYFUNCTION("""COMPUTED_VALUE"""),"LeMoyne-Owen College")</f>
        <v>LeMoyne-Owen College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</row>
    <row r="4939">
      <c r="A4939" s="4">
        <f>IFERROR(__xludf.DUMMYFUNCTION("""COMPUTED_VALUE"""),64.0)</f>
        <v>64</v>
      </c>
      <c r="B4939" s="4">
        <f>IFERROR(__xludf.DUMMYFUNCTION("""COMPUTED_VALUE"""),64.0)</f>
        <v>64</v>
      </c>
      <c r="C4939" s="4" t="str">
        <f>IFERROR(__xludf.DUMMYFUNCTION("""COMPUTED_VALUE"""),"PHI")</f>
        <v>PHI</v>
      </c>
      <c r="D4939" s="4" t="str">
        <f>IFERROR(__xludf.DUMMYFUNCTION("""COMPUTED_VALUE"""),"Freeman Blade")</f>
        <v>Freeman Blade</v>
      </c>
      <c r="E4939" s="4" t="str">
        <f>IFERROR(__xludf.DUMMYFUNCTION("""COMPUTED_VALUE"""),"Montana State University, Billings")</f>
        <v>Montana State University, Billings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</row>
    <row r="4940">
      <c r="A4940" s="4">
        <f>IFERROR(__xludf.DUMMYFUNCTION("""COMPUTED_VALUE"""),65.0)</f>
        <v>65</v>
      </c>
      <c r="B4940" s="4">
        <f>IFERROR(__xludf.DUMMYFUNCTION("""COMPUTED_VALUE"""),65.0)</f>
        <v>65</v>
      </c>
      <c r="C4940" s="4" t="str">
        <f>IFERROR(__xludf.DUMMYFUNCTION("""COMPUTED_VALUE"""),"WSB")</f>
        <v>WSB</v>
      </c>
      <c r="D4940" s="4" t="str">
        <f>IFERROR(__xludf.DUMMYFUNCTION("""COMPUTED_VALUE"""),"Marion Hillard")</f>
        <v>Marion Hillard</v>
      </c>
      <c r="E4940" s="4" t="str">
        <f>IFERROR(__xludf.DUMMYFUNCTION("""COMPUTED_VALUE"""),"Memphis")</f>
        <v>Memphis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</row>
    <row r="4941">
      <c r="A4941" s="4">
        <f>IFERROR(__xludf.DUMMYFUNCTION("""COMPUTED_VALUE"""),66.0)</f>
        <v>66</v>
      </c>
      <c r="B4941" s="4">
        <f>IFERROR(__xludf.DUMMYFUNCTION("""COMPUTED_VALUE"""),66.0)</f>
        <v>66</v>
      </c>
      <c r="C4941" s="4" t="str">
        <f>IFERROR(__xludf.DUMMYFUNCTION("""COMPUTED_VALUE"""),"CLE")</f>
        <v>CLE</v>
      </c>
      <c r="D4941" s="4" t="str">
        <f>IFERROR(__xludf.DUMMYFUNCTION("""COMPUTED_VALUE"""),"John Engles")</f>
        <v>John Engles</v>
      </c>
      <c r="E4941" s="4" t="str">
        <f>IFERROR(__xludf.DUMMYFUNCTION("""COMPUTED_VALUE"""),"Penn")</f>
        <v>Penn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</row>
    <row r="4942">
      <c r="A4942" s="4">
        <f>IFERROR(__xludf.DUMMYFUNCTION("""COMPUTED_VALUE"""),67.0)</f>
        <v>67</v>
      </c>
      <c r="B4942" s="4">
        <f>IFERROR(__xludf.DUMMYFUNCTION("""COMPUTED_VALUE"""),67.0)</f>
        <v>67</v>
      </c>
      <c r="C4942" s="4" t="str">
        <f>IFERROR(__xludf.DUMMYFUNCTION("""COMPUTED_VALUE"""),"BOS")</f>
        <v>BOS</v>
      </c>
      <c r="D4942" s="4" t="str">
        <f>IFERROR(__xludf.DUMMYFUNCTION("""COMPUTED_VALUE"""),"Lewis Linder")</f>
        <v>Lewis Linder</v>
      </c>
      <c r="E4942" s="4" t="str">
        <f>IFERROR(__xludf.DUMMYFUNCTION("""COMPUTED_VALUE"""),"Kentucky State University")</f>
        <v>Kentucky State University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</row>
    <row r="4943">
      <c r="A4943" s="4">
        <f>IFERROR(__xludf.DUMMYFUNCTION("""COMPUTED_VALUE"""),68.0)</f>
        <v>68</v>
      </c>
      <c r="B4943" s="4">
        <f>IFERROR(__xludf.DUMMYFUNCTION("""COMPUTED_VALUE"""),68.0)</f>
        <v>68</v>
      </c>
      <c r="C4943" s="4" t="str">
        <f>IFERROR(__xludf.DUMMYFUNCTION("""COMPUTED_VALUE"""),"GSW")</f>
        <v>GSW</v>
      </c>
      <c r="D4943" s="4" t="str">
        <f>IFERROR(__xludf.DUMMYFUNCTION("""COMPUTED_VALUE"""),"Jeff Fosnes")</f>
        <v>Jeff Fosnes</v>
      </c>
      <c r="E4943" s="4" t="str">
        <f>IFERROR(__xludf.DUMMYFUNCTION("""COMPUTED_VALUE"""),"Vanderbilt")</f>
        <v>Vanderbilt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</row>
    <row r="4944">
      <c r="A4944" s="4"/>
      <c r="B4944" s="4"/>
      <c r="C4944" s="4"/>
      <c r="D4944" s="4" t="str">
        <f>IFERROR(__xludf.DUMMYFUNCTION("""COMPUTED_VALUE"""),"Round 5")</f>
        <v>Round 5</v>
      </c>
      <c r="E4944" s="4"/>
      <c r="F4944" s="4"/>
      <c r="G4944" s="4" t="str">
        <f>IFERROR(__xludf.DUMMYFUNCTION("""COMPUTED_VALUE"""),"Totals")</f>
        <v>Totals</v>
      </c>
      <c r="H4944" s="4"/>
      <c r="I4944" s="4"/>
      <c r="J4944" s="4"/>
      <c r="K4944" s="4"/>
      <c r="L4944" s="4" t="str">
        <f>IFERROR(__xludf.DUMMYFUNCTION("""COMPUTED_VALUE"""),"Shooting")</f>
        <v>Shooting</v>
      </c>
      <c r="M4944" s="4"/>
      <c r="N4944" s="4"/>
      <c r="O4944" s="4" t="str">
        <f>IFERROR(__xludf.DUMMYFUNCTION("""COMPUTED_VALUE"""),"Per Game")</f>
        <v>Per Game</v>
      </c>
      <c r="P4944" s="4"/>
      <c r="Q4944" s="4"/>
      <c r="R4944" s="4"/>
      <c r="S4944" s="4" t="str">
        <f>IFERROR(__xludf.DUMMYFUNCTION("""COMPUTED_VALUE"""),"Advanced")</f>
        <v>Advanced</v>
      </c>
      <c r="T4944" s="4"/>
      <c r="U4944" s="4"/>
      <c r="V4944" s="4"/>
    </row>
    <row r="4945">
      <c r="A4945" s="4" t="str">
        <f>IFERROR(__xludf.DUMMYFUNCTION("""COMPUTED_VALUE"""),"Rk")</f>
        <v>Rk</v>
      </c>
      <c r="B4945" s="4" t="str">
        <f>IFERROR(__xludf.DUMMYFUNCTION("""COMPUTED_VALUE"""),"Pk")</f>
        <v>Pk</v>
      </c>
      <c r="C4945" s="4" t="str">
        <f>IFERROR(__xludf.DUMMYFUNCTION("""COMPUTED_VALUE"""),"Tm")</f>
        <v>Tm</v>
      </c>
      <c r="D4945" s="4" t="str">
        <f>IFERROR(__xludf.DUMMYFUNCTION("""COMPUTED_VALUE"""),"Player")</f>
        <v>Player</v>
      </c>
      <c r="E4945" s="4" t="str">
        <f>IFERROR(__xludf.DUMMYFUNCTION("""COMPUTED_VALUE"""),"College")</f>
        <v>College</v>
      </c>
      <c r="F4945" s="4" t="str">
        <f>IFERROR(__xludf.DUMMYFUNCTION("""COMPUTED_VALUE"""),"Yrs")</f>
        <v>Yrs</v>
      </c>
      <c r="G4945" s="4" t="str">
        <f>IFERROR(__xludf.DUMMYFUNCTION("""COMPUTED_VALUE"""),"G")</f>
        <v>G</v>
      </c>
      <c r="H4945" s="4" t="str">
        <f>IFERROR(__xludf.DUMMYFUNCTION("""COMPUTED_VALUE"""),"MP")</f>
        <v>MP</v>
      </c>
      <c r="I4945" s="4" t="str">
        <f>IFERROR(__xludf.DUMMYFUNCTION("""COMPUTED_VALUE"""),"PTS")</f>
        <v>PTS</v>
      </c>
      <c r="J4945" s="4" t="str">
        <f>IFERROR(__xludf.DUMMYFUNCTION("""COMPUTED_VALUE"""),"TRB")</f>
        <v>TRB</v>
      </c>
      <c r="K4945" s="4" t="str">
        <f>IFERROR(__xludf.DUMMYFUNCTION("""COMPUTED_VALUE"""),"AST")</f>
        <v>AST</v>
      </c>
      <c r="L4945" s="4" t="str">
        <f>IFERROR(__xludf.DUMMYFUNCTION("""COMPUTED_VALUE"""),"FG%")</f>
        <v>FG%</v>
      </c>
      <c r="M4945" s="4" t="str">
        <f>IFERROR(__xludf.DUMMYFUNCTION("""COMPUTED_VALUE"""),"3P%")</f>
        <v>3P%</v>
      </c>
      <c r="N4945" s="4" t="str">
        <f>IFERROR(__xludf.DUMMYFUNCTION("""COMPUTED_VALUE"""),"FT%")</f>
        <v>FT%</v>
      </c>
      <c r="O4945" s="4" t="str">
        <f>IFERROR(__xludf.DUMMYFUNCTION("""COMPUTED_VALUE"""),"MP")</f>
        <v>MP</v>
      </c>
      <c r="P4945" s="4" t="str">
        <f>IFERROR(__xludf.DUMMYFUNCTION("""COMPUTED_VALUE"""),"PTS")</f>
        <v>PTS</v>
      </c>
      <c r="Q4945" s="4" t="str">
        <f>IFERROR(__xludf.DUMMYFUNCTION("""COMPUTED_VALUE"""),"TRB")</f>
        <v>TRB</v>
      </c>
      <c r="R4945" s="4" t="str">
        <f>IFERROR(__xludf.DUMMYFUNCTION("""COMPUTED_VALUE"""),"AST")</f>
        <v>AST</v>
      </c>
      <c r="S4945" s="4" t="str">
        <f>IFERROR(__xludf.DUMMYFUNCTION("""COMPUTED_VALUE"""),"WS")</f>
        <v>WS</v>
      </c>
      <c r="T4945" s="4" t="str">
        <f>IFERROR(__xludf.DUMMYFUNCTION("""COMPUTED_VALUE"""),"WS/48")</f>
        <v>WS/48</v>
      </c>
      <c r="U4945" s="4" t="str">
        <f>IFERROR(__xludf.DUMMYFUNCTION("""COMPUTED_VALUE"""),"BPM")</f>
        <v>BPM</v>
      </c>
      <c r="V4945" s="4" t="str">
        <f>IFERROR(__xludf.DUMMYFUNCTION("""COMPUTED_VALUE"""),"VORP")</f>
        <v>VORP</v>
      </c>
    </row>
    <row r="4946">
      <c r="A4946" s="4">
        <f>IFERROR(__xludf.DUMMYFUNCTION("""COMPUTED_VALUE"""),69.0)</f>
        <v>69</v>
      </c>
      <c r="B4946" s="4">
        <f>IFERROR(__xludf.DUMMYFUNCTION("""COMPUTED_VALUE"""),69.0)</f>
        <v>69</v>
      </c>
      <c r="C4946" s="4" t="str">
        <f>IFERROR(__xludf.DUMMYFUNCTION("""COMPUTED_VALUE"""),"CHI")</f>
        <v>CHI</v>
      </c>
      <c r="D4946" s="4" t="str">
        <f>IFERROR(__xludf.DUMMYFUNCTION("""COMPUTED_VALUE"""),"Nate Williams")</f>
        <v>Nate Williams</v>
      </c>
      <c r="E4946" s="4" t="str">
        <f>IFERROR(__xludf.DUMMYFUNCTION("""COMPUTED_VALUE"""),"Illinois")</f>
        <v>Illinois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</row>
    <row r="4947">
      <c r="A4947" s="4">
        <f>IFERROR(__xludf.DUMMYFUNCTION("""COMPUTED_VALUE"""),70.0)</f>
        <v>70</v>
      </c>
      <c r="B4947" s="4">
        <f>IFERROR(__xludf.DUMMYFUNCTION("""COMPUTED_VALUE"""),70.0)</f>
        <v>70</v>
      </c>
      <c r="C4947" s="4" t="str">
        <f>IFERROR(__xludf.DUMMYFUNCTION("""COMPUTED_VALUE"""),"ATL")</f>
        <v>ATL</v>
      </c>
      <c r="D4947" s="4" t="str">
        <f>IFERROR(__xludf.DUMMYFUNCTION("""COMPUTED_VALUE"""),"Ron Davis")</f>
        <v>Ron Davis</v>
      </c>
      <c r="E4947" s="4" t="str">
        <f>IFERROR(__xludf.DUMMYFUNCTION("""COMPUTED_VALUE"""),"Washington State")</f>
        <v>Washington State</v>
      </c>
      <c r="F4947" s="4">
        <f>IFERROR(__xludf.DUMMYFUNCTION("""COMPUTED_VALUE"""),3.0)</f>
        <v>3</v>
      </c>
      <c r="G4947" s="4">
        <f>IFERROR(__xludf.DUMMYFUNCTION("""COMPUTED_VALUE"""),78.0)</f>
        <v>78</v>
      </c>
      <c r="H4947" s="4">
        <f>IFERROR(__xludf.DUMMYFUNCTION("""COMPUTED_VALUE"""),951.0)</f>
        <v>951</v>
      </c>
      <c r="I4947" s="4">
        <f>IFERROR(__xludf.DUMMYFUNCTION("""COMPUTED_VALUE"""),417.0)</f>
        <v>417</v>
      </c>
      <c r="J4947" s="4">
        <f>IFERROR(__xludf.DUMMYFUNCTION("""COMPUTED_VALUE"""),139.0)</f>
        <v>139</v>
      </c>
      <c r="K4947" s="4">
        <f>IFERROR(__xludf.DUMMYFUNCTION("""COMPUTED_VALUE"""),53.0)</f>
        <v>53</v>
      </c>
      <c r="L4947" s="4">
        <f>IFERROR(__xludf.DUMMYFUNCTION("""COMPUTED_VALUE"""),0.42)</f>
        <v>0.42</v>
      </c>
      <c r="M4947" s="4"/>
      <c r="N4947" s="4">
        <f>IFERROR(__xludf.DUMMYFUNCTION("""COMPUTED_VALUE"""),0.571)</f>
        <v>0.571</v>
      </c>
      <c r="O4947" s="4">
        <f>IFERROR(__xludf.DUMMYFUNCTION("""COMPUTED_VALUE"""),12.2)</f>
        <v>12.2</v>
      </c>
      <c r="P4947" s="4">
        <f>IFERROR(__xludf.DUMMYFUNCTION("""COMPUTED_VALUE"""),5.3)</f>
        <v>5.3</v>
      </c>
      <c r="Q4947" s="4">
        <f>IFERROR(__xludf.DUMMYFUNCTION("""COMPUTED_VALUE"""),1.8)</f>
        <v>1.8</v>
      </c>
      <c r="R4947" s="4">
        <f>IFERROR(__xludf.DUMMYFUNCTION("""COMPUTED_VALUE"""),0.7)</f>
        <v>0.7</v>
      </c>
      <c r="S4947" s="4">
        <f>IFERROR(__xludf.DUMMYFUNCTION("""COMPUTED_VALUE"""),0.1)</f>
        <v>0.1</v>
      </c>
      <c r="T4947" s="4">
        <f>IFERROR(__xludf.DUMMYFUNCTION("""COMPUTED_VALUE"""),0.007)</f>
        <v>0.007</v>
      </c>
      <c r="U4947" s="4">
        <f>IFERROR(__xludf.DUMMYFUNCTION("""COMPUTED_VALUE"""),-3.6)</f>
        <v>-3.6</v>
      </c>
      <c r="V4947" s="4">
        <f>IFERROR(__xludf.DUMMYFUNCTION("""COMPUTED_VALUE"""),-0.5)</f>
        <v>-0.5</v>
      </c>
    </row>
    <row r="4948">
      <c r="A4948" s="4">
        <f>IFERROR(__xludf.DUMMYFUNCTION("""COMPUTED_VALUE"""),71.0)</f>
        <v>71</v>
      </c>
      <c r="B4948" s="4">
        <f>IFERROR(__xludf.DUMMYFUNCTION("""COMPUTED_VALUE"""),71.0)</f>
        <v>71</v>
      </c>
      <c r="C4948" s="4" t="str">
        <f>IFERROR(__xludf.DUMMYFUNCTION("""COMPUTED_VALUE"""),"KCK")</f>
        <v>KCK</v>
      </c>
      <c r="D4948" s="4" t="str">
        <f>IFERROR(__xludf.DUMMYFUNCTION("""COMPUTED_VALUE"""),"Willie Hodge")</f>
        <v>Willie Hodge</v>
      </c>
      <c r="E4948" s="4" t="str">
        <f>IFERROR(__xludf.DUMMYFUNCTION("""COMPUTED_VALUE"""),"Duke")</f>
        <v>Duke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</row>
    <row r="4949">
      <c r="A4949" s="4">
        <f>IFERROR(__xludf.DUMMYFUNCTION("""COMPUTED_VALUE"""),72.0)</f>
        <v>72</v>
      </c>
      <c r="B4949" s="4">
        <f>IFERROR(__xludf.DUMMYFUNCTION("""COMPUTED_VALUE"""),72.0)</f>
        <v>72</v>
      </c>
      <c r="C4949" s="4" t="str">
        <f>IFERROR(__xludf.DUMMYFUNCTION("""COMPUTED_VALUE"""),"DET")</f>
        <v>DET</v>
      </c>
      <c r="D4949" s="4" t="str">
        <f>IFERROR(__xludf.DUMMYFUNCTION("""COMPUTED_VALUE"""),"Jim Hearns")</f>
        <v>Jim Hearns</v>
      </c>
      <c r="E4949" s="4" t="str">
        <f>IFERROR(__xludf.DUMMYFUNCTION("""COMPUTED_VALUE"""),"Marymount College")</f>
        <v>Marymount College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</row>
    <row r="4950">
      <c r="A4950" s="4">
        <f>IFERROR(__xludf.DUMMYFUNCTION("""COMPUTED_VALUE"""),73.0)</f>
        <v>73</v>
      </c>
      <c r="B4950" s="4">
        <f>IFERROR(__xludf.DUMMYFUNCTION("""COMPUTED_VALUE"""),73.0)</f>
        <v>73</v>
      </c>
      <c r="C4950" s="4" t="str">
        <f>IFERROR(__xludf.DUMMYFUNCTION("""COMPUTED_VALUE"""),"POR")</f>
        <v>POR</v>
      </c>
      <c r="D4950" s="4" t="str">
        <f>IFERROR(__xludf.DUMMYFUNCTION("""COMPUTED_VALUE"""),"Gary Redding")</f>
        <v>Gary Redding</v>
      </c>
      <c r="E4950" s="4" t="str">
        <f>IFERROR(__xludf.DUMMYFUNCTION("""COMPUTED_VALUE"""),"Auburn")</f>
        <v>Auburn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</row>
    <row r="4951">
      <c r="A4951" s="4">
        <f>IFERROR(__xludf.DUMMYFUNCTION("""COMPUTED_VALUE"""),74.0)</f>
        <v>74</v>
      </c>
      <c r="B4951" s="4">
        <f>IFERROR(__xludf.DUMMYFUNCTION("""COMPUTED_VALUE"""),74.0)</f>
        <v>74</v>
      </c>
      <c r="C4951" s="4" t="str">
        <f>IFERROR(__xludf.DUMMYFUNCTION("""COMPUTED_VALUE"""),"NOJ")</f>
        <v>NOJ</v>
      </c>
      <c r="D4951" s="4" t="str">
        <f>IFERROR(__xludf.DUMMYFUNCTION("""COMPUTED_VALUE"""),"Paul Griffin")</f>
        <v>Paul Griffin</v>
      </c>
      <c r="E4951" s="4" t="str">
        <f>IFERROR(__xludf.DUMMYFUNCTION("""COMPUTED_VALUE"""),"Western Michigan")</f>
        <v>Western Michigan</v>
      </c>
      <c r="F4951" s="4">
        <f>IFERROR(__xludf.DUMMYFUNCTION("""COMPUTED_VALUE"""),7.0)</f>
        <v>7</v>
      </c>
      <c r="G4951" s="4">
        <f>IFERROR(__xludf.DUMMYFUNCTION("""COMPUTED_VALUE"""),480.0)</f>
        <v>480</v>
      </c>
      <c r="H4951" s="4">
        <f>IFERROR(__xludf.DUMMYFUNCTION("""COMPUTED_VALUE"""),10053.0)</f>
        <v>10053</v>
      </c>
      <c r="I4951" s="4">
        <f>IFERROR(__xludf.DUMMYFUNCTION("""COMPUTED_VALUE"""),2443.0)</f>
        <v>2443</v>
      </c>
      <c r="J4951" s="4">
        <f>IFERROR(__xludf.DUMMYFUNCTION("""COMPUTED_VALUE"""),2650.0)</f>
        <v>2650</v>
      </c>
      <c r="K4951" s="4">
        <f>IFERROR(__xludf.DUMMYFUNCTION("""COMPUTED_VALUE"""),1116.0)</f>
        <v>1116</v>
      </c>
      <c r="L4951" s="4">
        <f>IFERROR(__xludf.DUMMYFUNCTION("""COMPUTED_VALUE"""),0.505)</f>
        <v>0.505</v>
      </c>
      <c r="M4951" s="4"/>
      <c r="N4951" s="4">
        <f>IFERROR(__xludf.DUMMYFUNCTION("""COMPUTED_VALUE"""),0.692)</f>
        <v>0.692</v>
      </c>
      <c r="O4951" s="4">
        <f>IFERROR(__xludf.DUMMYFUNCTION("""COMPUTED_VALUE"""),20.9)</f>
        <v>20.9</v>
      </c>
      <c r="P4951" s="4">
        <f>IFERROR(__xludf.DUMMYFUNCTION("""COMPUTED_VALUE"""),5.1)</f>
        <v>5.1</v>
      </c>
      <c r="Q4951" s="4">
        <f>IFERROR(__xludf.DUMMYFUNCTION("""COMPUTED_VALUE"""),5.5)</f>
        <v>5.5</v>
      </c>
      <c r="R4951" s="4">
        <f>IFERROR(__xludf.DUMMYFUNCTION("""COMPUTED_VALUE"""),2.3)</f>
        <v>2.3</v>
      </c>
      <c r="S4951" s="4">
        <f>IFERROR(__xludf.DUMMYFUNCTION("""COMPUTED_VALUE"""),19.6)</f>
        <v>19.6</v>
      </c>
      <c r="T4951" s="4">
        <f>IFERROR(__xludf.DUMMYFUNCTION("""COMPUTED_VALUE"""),0.094)</f>
        <v>0.094</v>
      </c>
      <c r="U4951" s="4">
        <f>IFERROR(__xludf.DUMMYFUNCTION("""COMPUTED_VALUE"""),0.3)</f>
        <v>0.3</v>
      </c>
      <c r="V4951" s="4">
        <f>IFERROR(__xludf.DUMMYFUNCTION("""COMPUTED_VALUE"""),5.9)</f>
        <v>5.9</v>
      </c>
    </row>
    <row r="4952">
      <c r="A4952" s="4">
        <f>IFERROR(__xludf.DUMMYFUNCTION("""COMPUTED_VALUE"""),75.0)</f>
        <v>75</v>
      </c>
      <c r="B4952" s="4">
        <f>IFERROR(__xludf.DUMMYFUNCTION("""COMPUTED_VALUE"""),75.0)</f>
        <v>75</v>
      </c>
      <c r="C4952" s="4" t="str">
        <f>IFERROR(__xludf.DUMMYFUNCTION("""COMPUTED_VALUE"""),"MIL")</f>
        <v>MIL</v>
      </c>
      <c r="D4952" s="4" t="str">
        <f>IFERROR(__xludf.DUMMYFUNCTION("""COMPUTED_VALUE"""),"Tom Lockhart")</f>
        <v>Tom Lockhart</v>
      </c>
      <c r="E4952" s="4" t="str">
        <f>IFERROR(__xludf.DUMMYFUNCTION("""COMPUTED_VALUE"""),"Manhattan University")</f>
        <v>Manhattan University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</row>
    <row r="4953">
      <c r="A4953" s="4">
        <f>IFERROR(__xludf.DUMMYFUNCTION("""COMPUTED_VALUE"""),76.0)</f>
        <v>76</v>
      </c>
      <c r="B4953" s="4">
        <f>IFERROR(__xludf.DUMMYFUNCTION("""COMPUTED_VALUE"""),76.0)</f>
        <v>76</v>
      </c>
      <c r="C4953" s="4" t="str">
        <f>IFERROR(__xludf.DUMMYFUNCTION("""COMPUTED_VALUE"""),"NYK")</f>
        <v>NYK</v>
      </c>
      <c r="D4953" s="4" t="str">
        <f>IFERROR(__xludf.DUMMYFUNCTION("""COMPUTED_VALUE"""),"Beaver Smith")</f>
        <v>Beaver Smith</v>
      </c>
      <c r="E4953" s="4" t="str">
        <f>IFERROR(__xludf.DUMMYFUNCTION("""COMPUTED_VALUE"""),"St. John's")</f>
        <v>St. John's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</row>
    <row r="4954">
      <c r="A4954" s="4">
        <f>IFERROR(__xludf.DUMMYFUNCTION("""COMPUTED_VALUE"""),77.0)</f>
        <v>77</v>
      </c>
      <c r="B4954" s="4">
        <f>IFERROR(__xludf.DUMMYFUNCTION("""COMPUTED_VALUE"""),77.0)</f>
        <v>77</v>
      </c>
      <c r="C4954" s="4" t="str">
        <f>IFERROR(__xludf.DUMMYFUNCTION("""COMPUTED_VALUE"""),"MIL")</f>
        <v>MIL</v>
      </c>
      <c r="D4954" s="4" t="str">
        <f>IFERROR(__xludf.DUMMYFUNCTION("""COMPUTED_VALUE"""),"James Rappis")</f>
        <v>James Rappis</v>
      </c>
      <c r="E4954" s="4" t="str">
        <f>IFERROR(__xludf.DUMMYFUNCTION("""COMPUTED_VALUE"""),"Arizona")</f>
        <v>Arizona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</row>
    <row r="4955">
      <c r="A4955" s="4">
        <f>IFERROR(__xludf.DUMMYFUNCTION("""COMPUTED_VALUE"""),78.0)</f>
        <v>78</v>
      </c>
      <c r="B4955" s="4">
        <f>IFERROR(__xludf.DUMMYFUNCTION("""COMPUTED_VALUE"""),78.0)</f>
        <v>78</v>
      </c>
      <c r="C4955" s="4" t="str">
        <f>IFERROR(__xludf.DUMMYFUNCTION("""COMPUTED_VALUE"""),"HOU")</f>
        <v>HOU</v>
      </c>
      <c r="D4955" s="4" t="str">
        <f>IFERROR(__xludf.DUMMYFUNCTION("""COMPUTED_VALUE"""),"Dave Marrs")</f>
        <v>Dave Marrs</v>
      </c>
      <c r="E4955" s="4" t="str">
        <f>IFERROR(__xludf.DUMMYFUNCTION("""COMPUTED_VALUE"""),"Houston")</f>
        <v>Houston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</row>
    <row r="4956">
      <c r="A4956" s="4">
        <f>IFERROR(__xludf.DUMMYFUNCTION("""COMPUTED_VALUE"""),79.0)</f>
        <v>79</v>
      </c>
      <c r="B4956" s="4">
        <f>IFERROR(__xludf.DUMMYFUNCTION("""COMPUTED_VALUE"""),79.0)</f>
        <v>79</v>
      </c>
      <c r="C4956" s="4" t="str">
        <f>IFERROR(__xludf.DUMMYFUNCTION("""COMPUTED_VALUE"""),"PHO")</f>
        <v>PHO</v>
      </c>
      <c r="D4956" s="4" t="str">
        <f>IFERROR(__xludf.DUMMYFUNCTION("""COMPUTED_VALUE"""),"Ralph Walker")</f>
        <v>Ralph Walker</v>
      </c>
      <c r="E4956" s="4" t="str">
        <f>IFERROR(__xludf.DUMMYFUNCTION("""COMPUTED_VALUE"""),"Saint Mary's")</f>
        <v>Saint Mary's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</row>
    <row r="4957">
      <c r="A4957" s="4">
        <f>IFERROR(__xludf.DUMMYFUNCTION("""COMPUTED_VALUE"""),80.0)</f>
        <v>80</v>
      </c>
      <c r="B4957" s="4">
        <f>IFERROR(__xludf.DUMMYFUNCTION("""COMPUTED_VALUE"""),80.0)</f>
        <v>80</v>
      </c>
      <c r="C4957" s="4" t="str">
        <f>IFERROR(__xludf.DUMMYFUNCTION("""COMPUTED_VALUE"""),"SEA")</f>
        <v>SEA</v>
      </c>
      <c r="D4957" s="4" t="str">
        <f>IFERROR(__xludf.DUMMYFUNCTION("""COMPUTED_VALUE"""),"Robert Gray")</f>
        <v>Robert Gray</v>
      </c>
      <c r="E4957" s="4" t="str">
        <f>IFERROR(__xludf.DUMMYFUNCTION("""COMPUTED_VALUE"""),"Wichita State")</f>
        <v>Wichita State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</row>
    <row r="4958">
      <c r="A4958" s="4">
        <f>IFERROR(__xludf.DUMMYFUNCTION("""COMPUTED_VALUE"""),81.0)</f>
        <v>81</v>
      </c>
      <c r="B4958" s="4">
        <f>IFERROR(__xludf.DUMMYFUNCTION("""COMPUTED_VALUE"""),81.0)</f>
        <v>81</v>
      </c>
      <c r="C4958" s="4" t="str">
        <f>IFERROR(__xludf.DUMMYFUNCTION("""COMPUTED_VALUE"""),"PHI")</f>
        <v>PHI</v>
      </c>
      <c r="D4958" s="4" t="str">
        <f>IFERROR(__xludf.DUMMYFUNCTION("""COMPUTED_VALUE"""),"Jeff Brown")</f>
        <v>Jeff Brown</v>
      </c>
      <c r="E4958" s="4" t="str">
        <f>IFERROR(__xludf.DUMMYFUNCTION("""COMPUTED_VALUE"""),"Missouri Western State College")</f>
        <v>Missouri Western State College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</row>
    <row r="4959">
      <c r="A4959" s="4">
        <f>IFERROR(__xludf.DUMMYFUNCTION("""COMPUTED_VALUE"""),82.0)</f>
        <v>82</v>
      </c>
      <c r="B4959" s="4">
        <f>IFERROR(__xludf.DUMMYFUNCTION("""COMPUTED_VALUE"""),82.0)</f>
        <v>82</v>
      </c>
      <c r="C4959" s="4" t="str">
        <f>IFERROR(__xludf.DUMMYFUNCTION("""COMPUTED_VALUE"""),"ATL")</f>
        <v>ATL</v>
      </c>
      <c r="D4959" s="4" t="str">
        <f>IFERROR(__xludf.DUMMYFUNCTION("""COMPUTED_VALUE"""),"Connie White")</f>
        <v>Connie White</v>
      </c>
      <c r="E4959" s="4" t="str">
        <f>IFERROR(__xludf.DUMMYFUNCTION("""COMPUTED_VALUE"""),"California")</f>
        <v>California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</row>
    <row r="4960">
      <c r="A4960" s="4">
        <f>IFERROR(__xludf.DUMMYFUNCTION("""COMPUTED_VALUE"""),83.0)</f>
        <v>83</v>
      </c>
      <c r="B4960" s="4">
        <f>IFERROR(__xludf.DUMMYFUNCTION("""COMPUTED_VALUE"""),83.0)</f>
        <v>83</v>
      </c>
      <c r="C4960" s="4" t="str">
        <f>IFERROR(__xludf.DUMMYFUNCTION("""COMPUTED_VALUE"""),"WSB")</f>
        <v>WSB</v>
      </c>
      <c r="D4960" s="4" t="str">
        <f>IFERROR(__xludf.DUMMYFUNCTION("""COMPUTED_VALUE"""),"L.C. Mason")</f>
        <v>L.C. Mason</v>
      </c>
      <c r="E4960" s="4" t="str">
        <f>IFERROR(__xludf.DUMMYFUNCTION("""COMPUTED_VALUE"""),"Alabama State University")</f>
        <v>Alabama State University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</row>
    <row r="4961">
      <c r="A4961" s="4">
        <f>IFERROR(__xludf.DUMMYFUNCTION("""COMPUTED_VALUE"""),84.0)</f>
        <v>84</v>
      </c>
      <c r="B4961" s="4">
        <f>IFERROR(__xludf.DUMMYFUNCTION("""COMPUTED_VALUE"""),84.0)</f>
        <v>84</v>
      </c>
      <c r="C4961" s="4" t="str">
        <f>IFERROR(__xludf.DUMMYFUNCTION("""COMPUTED_VALUE"""),"CLE")</f>
        <v>CLE</v>
      </c>
      <c r="D4961" s="4" t="str">
        <f>IFERROR(__xludf.DUMMYFUNCTION("""COMPUTED_VALUE"""),"Edmund Lawrence")</f>
        <v>Edmund Lawrence</v>
      </c>
      <c r="E4961" s="4" t="str">
        <f>IFERROR(__xludf.DUMMYFUNCTION("""COMPUTED_VALUE"""),"McNeese State University")</f>
        <v>McNeese State University</v>
      </c>
      <c r="F4961" s="4">
        <f>IFERROR(__xludf.DUMMYFUNCTION("""COMPUTED_VALUE"""),1.0)</f>
        <v>1</v>
      </c>
      <c r="G4961" s="4">
        <f>IFERROR(__xludf.DUMMYFUNCTION("""COMPUTED_VALUE"""),3.0)</f>
        <v>3</v>
      </c>
      <c r="H4961" s="4">
        <f>IFERROR(__xludf.DUMMYFUNCTION("""COMPUTED_VALUE"""),19.0)</f>
        <v>19</v>
      </c>
      <c r="I4961" s="4">
        <f>IFERROR(__xludf.DUMMYFUNCTION("""COMPUTED_VALUE"""),12.0)</f>
        <v>12</v>
      </c>
      <c r="J4961" s="4">
        <f>IFERROR(__xludf.DUMMYFUNCTION("""COMPUTED_VALUE"""),4.0)</f>
        <v>4</v>
      </c>
      <c r="K4961" s="4">
        <f>IFERROR(__xludf.DUMMYFUNCTION("""COMPUTED_VALUE"""),1.0)</f>
        <v>1</v>
      </c>
      <c r="L4961" s="4">
        <f>IFERROR(__xludf.DUMMYFUNCTION("""COMPUTED_VALUE"""),0.625)</f>
        <v>0.625</v>
      </c>
      <c r="M4961" s="4"/>
      <c r="N4961" s="4">
        <f>IFERROR(__xludf.DUMMYFUNCTION("""COMPUTED_VALUE"""),0.5)</f>
        <v>0.5</v>
      </c>
      <c r="O4961" s="4">
        <f>IFERROR(__xludf.DUMMYFUNCTION("""COMPUTED_VALUE"""),6.3)</f>
        <v>6.3</v>
      </c>
      <c r="P4961" s="4">
        <f>IFERROR(__xludf.DUMMYFUNCTION("""COMPUTED_VALUE"""),4.0)</f>
        <v>4</v>
      </c>
      <c r="Q4961" s="4">
        <f>IFERROR(__xludf.DUMMYFUNCTION("""COMPUTED_VALUE"""),1.3)</f>
        <v>1.3</v>
      </c>
      <c r="R4961" s="4">
        <f>IFERROR(__xludf.DUMMYFUNCTION("""COMPUTED_VALUE"""),0.3)</f>
        <v>0.3</v>
      </c>
      <c r="S4961" s="4">
        <f>IFERROR(__xludf.DUMMYFUNCTION("""COMPUTED_VALUE"""),0.1)</f>
        <v>0.1</v>
      </c>
      <c r="T4961" s="4">
        <f>IFERROR(__xludf.DUMMYFUNCTION("""COMPUTED_VALUE"""),0.201)</f>
        <v>0.201</v>
      </c>
      <c r="U4961" s="4">
        <f>IFERROR(__xludf.DUMMYFUNCTION("""COMPUTED_VALUE"""),-3.7)</f>
        <v>-3.7</v>
      </c>
      <c r="V4961" s="4">
        <f>IFERROR(__xludf.DUMMYFUNCTION("""COMPUTED_VALUE"""),0.0)</f>
        <v>0</v>
      </c>
    </row>
    <row r="4962">
      <c r="A4962" s="4">
        <f>IFERROR(__xludf.DUMMYFUNCTION("""COMPUTED_VALUE"""),85.0)</f>
        <v>85</v>
      </c>
      <c r="B4962" s="4">
        <f>IFERROR(__xludf.DUMMYFUNCTION("""COMPUTED_VALUE"""),85.0)</f>
        <v>85</v>
      </c>
      <c r="C4962" s="4" t="str">
        <f>IFERROR(__xludf.DUMMYFUNCTION("""COMPUTED_VALUE"""),"BOS")</f>
        <v>BOS</v>
      </c>
      <c r="D4962" s="4" t="str">
        <f>IFERROR(__xludf.DUMMYFUNCTION("""COMPUTED_VALUE"""),"Lewis McKinney")</f>
        <v>Lewis McKinney</v>
      </c>
      <c r="E4962" s="4" t="str">
        <f>IFERROR(__xludf.DUMMYFUNCTION("""COMPUTED_VALUE"""),"Saint Louis")</f>
        <v>Saint Louis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</row>
    <row r="4963">
      <c r="A4963" s="4">
        <f>IFERROR(__xludf.DUMMYFUNCTION("""COMPUTED_VALUE"""),86.0)</f>
        <v>86</v>
      </c>
      <c r="B4963" s="4">
        <f>IFERROR(__xludf.DUMMYFUNCTION("""COMPUTED_VALUE"""),86.0)</f>
        <v>86</v>
      </c>
      <c r="C4963" s="4" t="str">
        <f>IFERROR(__xludf.DUMMYFUNCTION("""COMPUTED_VALUE"""),"GSW")</f>
        <v>GSW</v>
      </c>
      <c r="D4963" s="4" t="str">
        <f>IFERROR(__xludf.DUMMYFUNCTION("""COMPUTED_VALUE"""),"Carl Bird")</f>
        <v>Carl Bird</v>
      </c>
      <c r="E4963" s="4" t="str">
        <f>IFERROR(__xludf.DUMMYFUNCTION("""COMPUTED_VALUE"""),"California")</f>
        <v>California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</row>
    <row r="4964">
      <c r="A4964" s="4"/>
      <c r="B4964" s="4"/>
      <c r="C4964" s="4"/>
      <c r="D4964" s="4" t="str">
        <f>IFERROR(__xludf.DUMMYFUNCTION("""COMPUTED_VALUE"""),"Round 6")</f>
        <v>Round 6</v>
      </c>
      <c r="E4964" s="4"/>
      <c r="F4964" s="4"/>
      <c r="G4964" s="4" t="str">
        <f>IFERROR(__xludf.DUMMYFUNCTION("""COMPUTED_VALUE"""),"Totals")</f>
        <v>Totals</v>
      </c>
      <c r="H4964" s="4"/>
      <c r="I4964" s="4"/>
      <c r="J4964" s="4"/>
      <c r="K4964" s="4"/>
      <c r="L4964" s="4" t="str">
        <f>IFERROR(__xludf.DUMMYFUNCTION("""COMPUTED_VALUE"""),"Shooting")</f>
        <v>Shooting</v>
      </c>
      <c r="M4964" s="4"/>
      <c r="N4964" s="4"/>
      <c r="O4964" s="4" t="str">
        <f>IFERROR(__xludf.DUMMYFUNCTION("""COMPUTED_VALUE"""),"Per Game")</f>
        <v>Per Game</v>
      </c>
      <c r="P4964" s="4"/>
      <c r="Q4964" s="4"/>
      <c r="R4964" s="4"/>
      <c r="S4964" s="4" t="str">
        <f>IFERROR(__xludf.DUMMYFUNCTION("""COMPUTED_VALUE"""),"Advanced")</f>
        <v>Advanced</v>
      </c>
      <c r="T4964" s="4"/>
      <c r="U4964" s="4"/>
      <c r="V4964" s="4"/>
    </row>
    <row r="4965">
      <c r="A4965" s="4" t="str">
        <f>IFERROR(__xludf.DUMMYFUNCTION("""COMPUTED_VALUE"""),"Rk")</f>
        <v>Rk</v>
      </c>
      <c r="B4965" s="4" t="str">
        <f>IFERROR(__xludf.DUMMYFUNCTION("""COMPUTED_VALUE"""),"Pk")</f>
        <v>Pk</v>
      </c>
      <c r="C4965" s="4" t="str">
        <f>IFERROR(__xludf.DUMMYFUNCTION("""COMPUTED_VALUE"""),"Tm")</f>
        <v>Tm</v>
      </c>
      <c r="D4965" s="4" t="str">
        <f>IFERROR(__xludf.DUMMYFUNCTION("""COMPUTED_VALUE"""),"Player")</f>
        <v>Player</v>
      </c>
      <c r="E4965" s="4" t="str">
        <f>IFERROR(__xludf.DUMMYFUNCTION("""COMPUTED_VALUE"""),"College")</f>
        <v>College</v>
      </c>
      <c r="F4965" s="4" t="str">
        <f>IFERROR(__xludf.DUMMYFUNCTION("""COMPUTED_VALUE"""),"Yrs")</f>
        <v>Yrs</v>
      </c>
      <c r="G4965" s="4" t="str">
        <f>IFERROR(__xludf.DUMMYFUNCTION("""COMPUTED_VALUE"""),"G")</f>
        <v>G</v>
      </c>
      <c r="H4965" s="4" t="str">
        <f>IFERROR(__xludf.DUMMYFUNCTION("""COMPUTED_VALUE"""),"MP")</f>
        <v>MP</v>
      </c>
      <c r="I4965" s="4" t="str">
        <f>IFERROR(__xludf.DUMMYFUNCTION("""COMPUTED_VALUE"""),"PTS")</f>
        <v>PTS</v>
      </c>
      <c r="J4965" s="4" t="str">
        <f>IFERROR(__xludf.DUMMYFUNCTION("""COMPUTED_VALUE"""),"TRB")</f>
        <v>TRB</v>
      </c>
      <c r="K4965" s="4" t="str">
        <f>IFERROR(__xludf.DUMMYFUNCTION("""COMPUTED_VALUE"""),"AST")</f>
        <v>AST</v>
      </c>
      <c r="L4965" s="4" t="str">
        <f>IFERROR(__xludf.DUMMYFUNCTION("""COMPUTED_VALUE"""),"FG%")</f>
        <v>FG%</v>
      </c>
      <c r="M4965" s="4" t="str">
        <f>IFERROR(__xludf.DUMMYFUNCTION("""COMPUTED_VALUE"""),"3P%")</f>
        <v>3P%</v>
      </c>
      <c r="N4965" s="4" t="str">
        <f>IFERROR(__xludf.DUMMYFUNCTION("""COMPUTED_VALUE"""),"FT%")</f>
        <v>FT%</v>
      </c>
      <c r="O4965" s="4" t="str">
        <f>IFERROR(__xludf.DUMMYFUNCTION("""COMPUTED_VALUE"""),"MP")</f>
        <v>MP</v>
      </c>
      <c r="P4965" s="4" t="str">
        <f>IFERROR(__xludf.DUMMYFUNCTION("""COMPUTED_VALUE"""),"PTS")</f>
        <v>PTS</v>
      </c>
      <c r="Q4965" s="4" t="str">
        <f>IFERROR(__xludf.DUMMYFUNCTION("""COMPUTED_VALUE"""),"TRB")</f>
        <v>TRB</v>
      </c>
      <c r="R4965" s="4" t="str">
        <f>IFERROR(__xludf.DUMMYFUNCTION("""COMPUTED_VALUE"""),"AST")</f>
        <v>AST</v>
      </c>
      <c r="S4965" s="4" t="str">
        <f>IFERROR(__xludf.DUMMYFUNCTION("""COMPUTED_VALUE"""),"WS")</f>
        <v>WS</v>
      </c>
      <c r="T4965" s="4" t="str">
        <f>IFERROR(__xludf.DUMMYFUNCTION("""COMPUTED_VALUE"""),"WS/48")</f>
        <v>WS/48</v>
      </c>
      <c r="U4965" s="4" t="str">
        <f>IFERROR(__xludf.DUMMYFUNCTION("""COMPUTED_VALUE"""),"BPM")</f>
        <v>BPM</v>
      </c>
      <c r="V4965" s="4" t="str">
        <f>IFERROR(__xludf.DUMMYFUNCTION("""COMPUTED_VALUE"""),"VORP")</f>
        <v>VORP</v>
      </c>
    </row>
    <row r="4966">
      <c r="A4966" s="4">
        <f>IFERROR(__xludf.DUMMYFUNCTION("""COMPUTED_VALUE"""),87.0)</f>
        <v>87</v>
      </c>
      <c r="B4966" s="4">
        <f>IFERROR(__xludf.DUMMYFUNCTION("""COMPUTED_VALUE"""),87.0)</f>
        <v>87</v>
      </c>
      <c r="C4966" s="4" t="str">
        <f>IFERROR(__xludf.DUMMYFUNCTION("""COMPUTED_VALUE"""),"CHI")</f>
        <v>CHI</v>
      </c>
      <c r="D4966" s="4" t="str">
        <f>IFERROR(__xludf.DUMMYFUNCTION("""COMPUTED_VALUE"""),"Tom Paulin")</f>
        <v>Tom Paulin</v>
      </c>
      <c r="E4966" s="4" t="str">
        <f>IFERROR(__xludf.DUMMYFUNCTION("""COMPUTED_VALUE"""),"Winston-Salem State")</f>
        <v>Winston-Salem State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</row>
    <row r="4967">
      <c r="A4967" s="4">
        <f>IFERROR(__xludf.DUMMYFUNCTION("""COMPUTED_VALUE"""),88.0)</f>
        <v>88</v>
      </c>
      <c r="B4967" s="4">
        <f>IFERROR(__xludf.DUMMYFUNCTION("""COMPUTED_VALUE"""),88.0)</f>
        <v>88</v>
      </c>
      <c r="C4967" s="4" t="str">
        <f>IFERROR(__xludf.DUMMYFUNCTION("""COMPUTED_VALUE"""),"ATL")</f>
        <v>ATL</v>
      </c>
      <c r="D4967" s="4" t="str">
        <f>IFERROR(__xludf.DUMMYFUNCTION("""COMPUTED_VALUE"""),"Pete Padgett")</f>
        <v>Pete Padgett</v>
      </c>
      <c r="E4967" s="4" t="str">
        <f>IFERROR(__xludf.DUMMYFUNCTION("""COMPUTED_VALUE"""),"Nevada")</f>
        <v>Nevada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</row>
    <row r="4968">
      <c r="A4968" s="4">
        <f>IFERROR(__xludf.DUMMYFUNCTION("""COMPUTED_VALUE"""),89.0)</f>
        <v>89</v>
      </c>
      <c r="B4968" s="4">
        <f>IFERROR(__xludf.DUMMYFUNCTION("""COMPUTED_VALUE"""),89.0)</f>
        <v>89</v>
      </c>
      <c r="C4968" s="4" t="str">
        <f>IFERROR(__xludf.DUMMYFUNCTION("""COMPUTED_VALUE"""),"KCK")</f>
        <v>KCK</v>
      </c>
      <c r="D4968" s="4" t="str">
        <f>IFERROR(__xludf.DUMMYFUNCTION("""COMPUTED_VALUE"""),"Andre McCarter")</f>
        <v>Andre McCarter</v>
      </c>
      <c r="E4968" s="4" t="str">
        <f>IFERROR(__xludf.DUMMYFUNCTION("""COMPUTED_VALUE"""),"UCLA")</f>
        <v>UCLA</v>
      </c>
      <c r="F4968" s="4">
        <f>IFERROR(__xludf.DUMMYFUNCTION("""COMPUTED_VALUE"""),3.0)</f>
        <v>3</v>
      </c>
      <c r="G4968" s="4">
        <f>IFERROR(__xludf.DUMMYFUNCTION("""COMPUTED_VALUE"""),103.0)</f>
        <v>103</v>
      </c>
      <c r="H4968" s="4">
        <f>IFERROR(__xludf.DUMMYFUNCTION("""COMPUTED_VALUE"""),1182.0)</f>
        <v>1182</v>
      </c>
      <c r="I4968" s="4">
        <f>IFERROR(__xludf.DUMMYFUNCTION("""COMPUTED_VALUE"""),392.0)</f>
        <v>392</v>
      </c>
      <c r="J4968" s="4">
        <f>IFERROR(__xludf.DUMMYFUNCTION("""COMPUTED_VALUE"""),95.0)</f>
        <v>95</v>
      </c>
      <c r="K4968" s="4">
        <f>IFERROR(__xludf.DUMMYFUNCTION("""COMPUTED_VALUE"""),172.0)</f>
        <v>172</v>
      </c>
      <c r="L4968" s="4">
        <f>IFERROR(__xludf.DUMMYFUNCTION("""COMPUTED_VALUE"""),0.431)</f>
        <v>0.431</v>
      </c>
      <c r="M4968" s="4"/>
      <c r="N4968" s="4">
        <f>IFERROR(__xludf.DUMMYFUNCTION("""COMPUTED_VALUE"""),0.725)</f>
        <v>0.725</v>
      </c>
      <c r="O4968" s="4">
        <f>IFERROR(__xludf.DUMMYFUNCTION("""COMPUTED_VALUE"""),11.5)</f>
        <v>11.5</v>
      </c>
      <c r="P4968" s="4">
        <f>IFERROR(__xludf.DUMMYFUNCTION("""COMPUTED_VALUE"""),3.8)</f>
        <v>3.8</v>
      </c>
      <c r="Q4968" s="4">
        <f>IFERROR(__xludf.DUMMYFUNCTION("""COMPUTED_VALUE"""),0.9)</f>
        <v>0.9</v>
      </c>
      <c r="R4968" s="4">
        <f>IFERROR(__xludf.DUMMYFUNCTION("""COMPUTED_VALUE"""),1.7)</f>
        <v>1.7</v>
      </c>
      <c r="S4968" s="4">
        <f>IFERROR(__xludf.DUMMYFUNCTION("""COMPUTED_VALUE"""),1.1)</f>
        <v>1.1</v>
      </c>
      <c r="T4968" s="4">
        <f>IFERROR(__xludf.DUMMYFUNCTION("""COMPUTED_VALUE"""),0.046)</f>
        <v>0.046</v>
      </c>
      <c r="U4968" s="4">
        <f>IFERROR(__xludf.DUMMYFUNCTION("""COMPUTED_VALUE"""),-2.5)</f>
        <v>-2.5</v>
      </c>
      <c r="V4968" s="4">
        <f>IFERROR(__xludf.DUMMYFUNCTION("""COMPUTED_VALUE"""),-0.2)</f>
        <v>-0.2</v>
      </c>
    </row>
    <row r="4969">
      <c r="A4969" s="4">
        <f>IFERROR(__xludf.DUMMYFUNCTION("""COMPUTED_VALUE"""),90.0)</f>
        <v>90</v>
      </c>
      <c r="B4969" s="4">
        <f>IFERROR(__xludf.DUMMYFUNCTION("""COMPUTED_VALUE"""),90.0)</f>
        <v>90</v>
      </c>
      <c r="C4969" s="4" t="str">
        <f>IFERROR(__xludf.DUMMYFUNCTION("""COMPUTED_VALUE"""),"DET")</f>
        <v>DET</v>
      </c>
      <c r="D4969" s="4" t="str">
        <f>IFERROR(__xludf.DUMMYFUNCTION("""COMPUTED_VALUE"""),"Russell Davis")</f>
        <v>Russell Davis</v>
      </c>
      <c r="E4969" s="4" t="str">
        <f>IFERROR(__xludf.DUMMYFUNCTION("""COMPUTED_VALUE"""),"Virginia Tech")</f>
        <v>Virginia Tech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</row>
    <row r="4970">
      <c r="A4970" s="4">
        <f>IFERROR(__xludf.DUMMYFUNCTION("""COMPUTED_VALUE"""),91.0)</f>
        <v>91</v>
      </c>
      <c r="B4970" s="4">
        <f>IFERROR(__xludf.DUMMYFUNCTION("""COMPUTED_VALUE"""),91.0)</f>
        <v>91</v>
      </c>
      <c r="C4970" s="4" t="str">
        <f>IFERROR(__xludf.DUMMYFUNCTION("""COMPUTED_VALUE"""),"GSW")</f>
        <v>GSW</v>
      </c>
      <c r="D4970" s="4" t="str">
        <f>IFERROR(__xludf.DUMMYFUNCTION("""COMPUTED_VALUE"""),"Dwayne Barnett")</f>
        <v>Dwayne Barnett</v>
      </c>
      <c r="E4970" s="4" t="str">
        <f>IFERROR(__xludf.DUMMYFUNCTION("""COMPUTED_VALUE"""),"Stanford")</f>
        <v>Stanford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</row>
    <row r="4971">
      <c r="A4971" s="4">
        <f>IFERROR(__xludf.DUMMYFUNCTION("""COMPUTED_VALUE"""),92.0)</f>
        <v>92</v>
      </c>
      <c r="B4971" s="4">
        <f>IFERROR(__xludf.DUMMYFUNCTION("""COMPUTED_VALUE"""),92.0)</f>
        <v>92</v>
      </c>
      <c r="C4971" s="4" t="str">
        <f>IFERROR(__xludf.DUMMYFUNCTION("""COMPUTED_VALUE"""),"MIL")</f>
        <v>MIL</v>
      </c>
      <c r="D4971" s="4" t="str">
        <f>IFERROR(__xludf.DUMMYFUNCTION("""COMPUTED_VALUE"""),"Phil Spence")</f>
        <v>Phil Spence</v>
      </c>
      <c r="E4971" s="4" t="str">
        <f>IFERROR(__xludf.DUMMYFUNCTION("""COMPUTED_VALUE"""),"NC State")</f>
        <v>NC State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</row>
    <row r="4972">
      <c r="A4972" s="4">
        <f>IFERROR(__xludf.DUMMYFUNCTION("""COMPUTED_VALUE"""),93.0)</f>
        <v>93</v>
      </c>
      <c r="B4972" s="4">
        <f>IFERROR(__xludf.DUMMYFUNCTION("""COMPUTED_VALUE"""),93.0)</f>
        <v>93</v>
      </c>
      <c r="C4972" s="4" t="str">
        <f>IFERROR(__xludf.DUMMYFUNCTION("""COMPUTED_VALUE"""),"NYK")</f>
        <v>NYK</v>
      </c>
      <c r="D4972" s="4" t="str">
        <f>IFERROR(__xludf.DUMMYFUNCTION("""COMPUTED_VALUE"""),"Joe Jones")</f>
        <v>Joe Jones</v>
      </c>
      <c r="E4972" s="4" t="str">
        <f>IFERROR(__xludf.DUMMYFUNCTION("""COMPUTED_VALUE"""),"Grambling State University")</f>
        <v>Grambling State University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</row>
    <row r="4973">
      <c r="A4973" s="4">
        <f>IFERROR(__xludf.DUMMYFUNCTION("""COMPUTED_VALUE"""),94.0)</f>
        <v>94</v>
      </c>
      <c r="B4973" s="4">
        <f>IFERROR(__xludf.DUMMYFUNCTION("""COMPUTED_VALUE"""),94.0)</f>
        <v>94</v>
      </c>
      <c r="C4973" s="4" t="str">
        <f>IFERROR(__xludf.DUMMYFUNCTION("""COMPUTED_VALUE"""),"NOJ")</f>
        <v>NOJ</v>
      </c>
      <c r="D4973" s="4" t="str">
        <f>IFERROR(__xludf.DUMMYFUNCTION("""COMPUTED_VALUE"""),"Bernard Tomlin")</f>
        <v>Bernard Tomlin</v>
      </c>
      <c r="E4973" s="4" t="str">
        <f>IFERROR(__xludf.DUMMYFUNCTION("""COMPUTED_VALUE"""),"Hofstra")</f>
        <v>Hofstra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</row>
    <row r="4974">
      <c r="A4974" s="4">
        <f>IFERROR(__xludf.DUMMYFUNCTION("""COMPUTED_VALUE"""),95.0)</f>
        <v>95</v>
      </c>
      <c r="B4974" s="4">
        <f>IFERROR(__xludf.DUMMYFUNCTION("""COMPUTED_VALUE"""),95.0)</f>
        <v>95</v>
      </c>
      <c r="C4974" s="4" t="str">
        <f>IFERROR(__xludf.DUMMYFUNCTION("""COMPUTED_VALUE"""),"LAL")</f>
        <v>LAL</v>
      </c>
      <c r="D4974" s="4" t="str">
        <f>IFERROR(__xludf.DUMMYFUNCTION("""COMPUTED_VALUE"""),"Ed Schweitzer")</f>
        <v>Ed Schweitzer</v>
      </c>
      <c r="E4974" s="4" t="str">
        <f>IFERROR(__xludf.DUMMYFUNCTION("""COMPUTED_VALUE"""),"Stanford")</f>
        <v>Stanford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</row>
    <row r="4975">
      <c r="A4975" s="4">
        <f>IFERROR(__xludf.DUMMYFUNCTION("""COMPUTED_VALUE"""),96.0)</f>
        <v>96</v>
      </c>
      <c r="B4975" s="4">
        <f>IFERROR(__xludf.DUMMYFUNCTION("""COMPUTED_VALUE"""),96.0)</f>
        <v>96</v>
      </c>
      <c r="C4975" s="4" t="str">
        <f>IFERROR(__xludf.DUMMYFUNCTION("""COMPUTED_VALUE"""),"HOU")</f>
        <v>HOU</v>
      </c>
      <c r="D4975" s="4" t="str">
        <f>IFERROR(__xludf.DUMMYFUNCTION("""COMPUTED_VALUE"""),"Robert Paige")</f>
        <v>Robert Paige</v>
      </c>
      <c r="E4975" s="4" t="str">
        <f>IFERROR(__xludf.DUMMYFUNCTION("""COMPUTED_VALUE"""),"Houston Baptist University")</f>
        <v>Houston Baptist University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</row>
    <row r="4976">
      <c r="A4976" s="4">
        <f>IFERROR(__xludf.DUMMYFUNCTION("""COMPUTED_VALUE"""),97.0)</f>
        <v>97</v>
      </c>
      <c r="B4976" s="4">
        <f>IFERROR(__xludf.DUMMYFUNCTION("""COMPUTED_VALUE"""),97.0)</f>
        <v>97</v>
      </c>
      <c r="C4976" s="4" t="str">
        <f>IFERROR(__xludf.DUMMYFUNCTION("""COMPUTED_VALUE"""),"PHO")</f>
        <v>PHO</v>
      </c>
      <c r="D4976" s="4" t="str">
        <f>IFERROR(__xludf.DUMMYFUNCTION("""COMPUTED_VALUE"""),"Carl Brown")</f>
        <v>Carl Brown</v>
      </c>
      <c r="E4976" s="4" t="str">
        <f>IFERROR(__xludf.DUMMYFUNCTION("""COMPUTED_VALUE"""),"Eastern Kentucky University")</f>
        <v>Eastern Kentucky University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</row>
    <row r="4977">
      <c r="A4977" s="4">
        <f>IFERROR(__xludf.DUMMYFUNCTION("""COMPUTED_VALUE"""),98.0)</f>
        <v>98</v>
      </c>
      <c r="B4977" s="4">
        <f>IFERROR(__xludf.DUMMYFUNCTION("""COMPUTED_VALUE"""),98.0)</f>
        <v>98</v>
      </c>
      <c r="C4977" s="4" t="str">
        <f>IFERROR(__xludf.DUMMYFUNCTION("""COMPUTED_VALUE"""),"SEA")</f>
        <v>SEA</v>
      </c>
      <c r="D4977" s="4" t="str">
        <f>IFERROR(__xludf.DUMMYFUNCTION("""COMPUTED_VALUE"""),"Daryl Peterson")</f>
        <v>Daryl Peterson</v>
      </c>
      <c r="E4977" s="4" t="str">
        <f>IFERROR(__xludf.DUMMYFUNCTION("""COMPUTED_VALUE"""),"Wake Forest")</f>
        <v>Wake Forest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</row>
    <row r="4978">
      <c r="A4978" s="4">
        <f>IFERROR(__xludf.DUMMYFUNCTION("""COMPUTED_VALUE"""),99.0)</f>
        <v>99</v>
      </c>
      <c r="B4978" s="4">
        <f>IFERROR(__xludf.DUMMYFUNCTION("""COMPUTED_VALUE"""),99.0)</f>
        <v>99</v>
      </c>
      <c r="C4978" s="4" t="str">
        <f>IFERROR(__xludf.DUMMYFUNCTION("""COMPUTED_VALUE"""),"PHI")</f>
        <v>PHI</v>
      </c>
      <c r="D4978" s="4" t="str">
        <f>IFERROR(__xludf.DUMMYFUNCTION("""COMPUTED_VALUE"""),"Mike Dunleavy")</f>
        <v>Mike Dunleavy</v>
      </c>
      <c r="E4978" s="4" t="str">
        <f>IFERROR(__xludf.DUMMYFUNCTION("""COMPUTED_VALUE"""),"South Carolina")</f>
        <v>South Carolina</v>
      </c>
      <c r="F4978" s="4">
        <f>IFERROR(__xludf.DUMMYFUNCTION("""COMPUTED_VALUE"""),11.0)</f>
        <v>11</v>
      </c>
      <c r="G4978" s="4">
        <f>IFERROR(__xludf.DUMMYFUNCTION("""COMPUTED_VALUE"""),438.0)</f>
        <v>438</v>
      </c>
      <c r="H4978" s="4">
        <f>IFERROR(__xludf.DUMMYFUNCTION("""COMPUTED_VALUE"""),8428.0)</f>
        <v>8428</v>
      </c>
      <c r="I4978" s="4">
        <f>IFERROR(__xludf.DUMMYFUNCTION("""COMPUTED_VALUE"""),3496.0)</f>
        <v>3496</v>
      </c>
      <c r="J4978" s="4">
        <f>IFERROR(__xludf.DUMMYFUNCTION("""COMPUTED_VALUE"""),689.0)</f>
        <v>689</v>
      </c>
      <c r="K4978" s="4">
        <f>IFERROR(__xludf.DUMMYFUNCTION("""COMPUTED_VALUE"""),1723.0)</f>
        <v>1723</v>
      </c>
      <c r="L4978" s="4">
        <f>IFERROR(__xludf.DUMMYFUNCTION("""COMPUTED_VALUE"""),0.467)</f>
        <v>0.467</v>
      </c>
      <c r="M4978" s="4"/>
      <c r="N4978" s="4">
        <f>IFERROR(__xludf.DUMMYFUNCTION("""COMPUTED_VALUE"""),0.81)</f>
        <v>0.81</v>
      </c>
      <c r="O4978" s="4">
        <f>IFERROR(__xludf.DUMMYFUNCTION("""COMPUTED_VALUE"""),19.2)</f>
        <v>19.2</v>
      </c>
      <c r="P4978" s="4">
        <f>IFERROR(__xludf.DUMMYFUNCTION("""COMPUTED_VALUE"""),8.0)</f>
        <v>8</v>
      </c>
      <c r="Q4978" s="4">
        <f>IFERROR(__xludf.DUMMYFUNCTION("""COMPUTED_VALUE"""),1.6)</f>
        <v>1.6</v>
      </c>
      <c r="R4978" s="4">
        <f>IFERROR(__xludf.DUMMYFUNCTION("""COMPUTED_VALUE"""),3.9)</f>
        <v>3.9</v>
      </c>
      <c r="S4978" s="4">
        <f>IFERROR(__xludf.DUMMYFUNCTION("""COMPUTED_VALUE"""),16.1)</f>
        <v>16.1</v>
      </c>
      <c r="T4978" s="4">
        <f>IFERROR(__xludf.DUMMYFUNCTION("""COMPUTED_VALUE"""),0.092)</f>
        <v>0.092</v>
      </c>
      <c r="U4978" s="4">
        <f>IFERROR(__xludf.DUMMYFUNCTION("""COMPUTED_VALUE"""),-0.7)</f>
        <v>-0.7</v>
      </c>
      <c r="V4978" s="4">
        <f>IFERROR(__xludf.DUMMYFUNCTION("""COMPUTED_VALUE"""),2.9)</f>
        <v>2.9</v>
      </c>
    </row>
    <row r="4979">
      <c r="A4979" s="4">
        <f>IFERROR(__xludf.DUMMYFUNCTION("""COMPUTED_VALUE"""),100.0)</f>
        <v>100</v>
      </c>
      <c r="B4979" s="4">
        <f>IFERROR(__xludf.DUMMYFUNCTION("""COMPUTED_VALUE"""),100.0)</f>
        <v>100</v>
      </c>
      <c r="C4979" s="4" t="str">
        <f>IFERROR(__xludf.DUMMYFUNCTION("""COMPUTED_VALUE"""),"BUF")</f>
        <v>BUF</v>
      </c>
      <c r="D4979" s="4" t="str">
        <f>IFERROR(__xludf.DUMMYFUNCTION("""COMPUTED_VALUE"""),"Danny Odums")</f>
        <v>Danny Odums</v>
      </c>
      <c r="E4979" s="4" t="str">
        <f>IFERROR(__xludf.DUMMYFUNCTION("""COMPUTED_VALUE"""),"Fairfield")</f>
        <v>Fairfield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</row>
    <row r="4980">
      <c r="A4980" s="4">
        <f>IFERROR(__xludf.DUMMYFUNCTION("""COMPUTED_VALUE"""),101.0)</f>
        <v>101</v>
      </c>
      <c r="B4980" s="4">
        <f>IFERROR(__xludf.DUMMYFUNCTION("""COMPUTED_VALUE"""),101.0)</f>
        <v>101</v>
      </c>
      <c r="C4980" s="4" t="str">
        <f>IFERROR(__xludf.DUMMYFUNCTION("""COMPUTED_VALUE"""),"WSB")</f>
        <v>WSB</v>
      </c>
      <c r="D4980" s="4" t="str">
        <f>IFERROR(__xludf.DUMMYFUNCTION("""COMPUTED_VALUE"""),"Pat Tallent")</f>
        <v>Pat Tallent</v>
      </c>
      <c r="E4980" s="4" t="str">
        <f>IFERROR(__xludf.DUMMYFUNCTION("""COMPUTED_VALUE"""),"George Washington")</f>
        <v>George Washington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</row>
    <row r="4981">
      <c r="A4981" s="4">
        <f>IFERROR(__xludf.DUMMYFUNCTION("""COMPUTED_VALUE"""),102.0)</f>
        <v>102</v>
      </c>
      <c r="B4981" s="4">
        <f>IFERROR(__xludf.DUMMYFUNCTION("""COMPUTED_VALUE"""),102.0)</f>
        <v>102</v>
      </c>
      <c r="C4981" s="4" t="str">
        <f>IFERROR(__xludf.DUMMYFUNCTION("""COMPUTED_VALUE"""),"CLE")</f>
        <v>CLE</v>
      </c>
      <c r="D4981" s="4" t="str">
        <f>IFERROR(__xludf.DUMMYFUNCTION("""COMPUTED_VALUE"""),"Harry Davis")</f>
        <v>Harry Davis</v>
      </c>
      <c r="E4981" s="4" t="str">
        <f>IFERROR(__xludf.DUMMYFUNCTION("""COMPUTED_VALUE"""),"Morris Brown College")</f>
        <v>Morris Brown College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</row>
    <row r="4982">
      <c r="A4982" s="4">
        <f>IFERROR(__xludf.DUMMYFUNCTION("""COMPUTED_VALUE"""),103.0)</f>
        <v>103</v>
      </c>
      <c r="B4982" s="4">
        <f>IFERROR(__xludf.DUMMYFUNCTION("""COMPUTED_VALUE"""),103.0)</f>
        <v>103</v>
      </c>
      <c r="C4982" s="4" t="str">
        <f>IFERROR(__xludf.DUMMYFUNCTION("""COMPUTED_VALUE"""),"BOS")</f>
        <v>BOS</v>
      </c>
      <c r="D4982" s="4" t="str">
        <f>IFERROR(__xludf.DUMMYFUNCTION("""COMPUTED_VALUE"""),"Art Collins")</f>
        <v>Art Collins</v>
      </c>
      <c r="E4982" s="4" t="str">
        <f>IFERROR(__xludf.DUMMYFUNCTION("""COMPUTED_VALUE"""),"St. Thomas University")</f>
        <v>St. Thomas University</v>
      </c>
      <c r="F4982" s="4">
        <f>IFERROR(__xludf.DUMMYFUNCTION("""COMPUTED_VALUE"""),1.0)</f>
        <v>1</v>
      </c>
      <c r="G4982" s="4">
        <f>IFERROR(__xludf.DUMMYFUNCTION("""COMPUTED_VALUE"""),29.0)</f>
        <v>29</v>
      </c>
      <c r="H4982" s="4">
        <f>IFERROR(__xludf.DUMMYFUNCTION("""COMPUTED_VALUE"""),395.0)</f>
        <v>395</v>
      </c>
      <c r="I4982" s="4">
        <f>IFERROR(__xludf.DUMMYFUNCTION("""COMPUTED_VALUE"""),94.0)</f>
        <v>94</v>
      </c>
      <c r="J4982" s="4">
        <f>IFERROR(__xludf.DUMMYFUNCTION("""COMPUTED_VALUE"""),41.0)</f>
        <v>41</v>
      </c>
      <c r="K4982" s="4">
        <f>IFERROR(__xludf.DUMMYFUNCTION("""COMPUTED_VALUE"""),25.0)</f>
        <v>25</v>
      </c>
      <c r="L4982" s="4">
        <f>IFERROR(__xludf.DUMMYFUNCTION("""COMPUTED_VALUE"""),0.354)</f>
        <v>0.354</v>
      </c>
      <c r="M4982" s="4">
        <f>IFERROR(__xludf.DUMMYFUNCTION("""COMPUTED_VALUE"""),0.0)</f>
        <v>0</v>
      </c>
      <c r="N4982" s="4">
        <f>IFERROR(__xludf.DUMMYFUNCTION("""COMPUTED_VALUE"""),0.667)</f>
        <v>0.667</v>
      </c>
      <c r="O4982" s="4">
        <f>IFERROR(__xludf.DUMMYFUNCTION("""COMPUTED_VALUE"""),13.6)</f>
        <v>13.6</v>
      </c>
      <c r="P4982" s="4">
        <f>IFERROR(__xludf.DUMMYFUNCTION("""COMPUTED_VALUE"""),3.2)</f>
        <v>3.2</v>
      </c>
      <c r="Q4982" s="4">
        <f>IFERROR(__xludf.DUMMYFUNCTION("""COMPUTED_VALUE"""),1.4)</f>
        <v>1.4</v>
      </c>
      <c r="R4982" s="4">
        <f>IFERROR(__xludf.DUMMYFUNCTION("""COMPUTED_VALUE"""),0.9)</f>
        <v>0.9</v>
      </c>
      <c r="S4982" s="4">
        <f>IFERROR(__xludf.DUMMYFUNCTION("""COMPUTED_VALUE"""),-0.4)</f>
        <v>-0.4</v>
      </c>
      <c r="T4982" s="4">
        <f>IFERROR(__xludf.DUMMYFUNCTION("""COMPUTED_VALUE"""),-0.054)</f>
        <v>-0.054</v>
      </c>
      <c r="U4982" s="4">
        <f>IFERROR(__xludf.DUMMYFUNCTION("""COMPUTED_VALUE"""),-5.8)</f>
        <v>-5.8</v>
      </c>
      <c r="V4982" s="4">
        <f>IFERROR(__xludf.DUMMYFUNCTION("""COMPUTED_VALUE"""),-0.4)</f>
        <v>-0.4</v>
      </c>
    </row>
    <row r="4983">
      <c r="A4983" s="4">
        <f>IFERROR(__xludf.DUMMYFUNCTION("""COMPUTED_VALUE"""),104.0)</f>
        <v>104</v>
      </c>
      <c r="B4983" s="4">
        <f>IFERROR(__xludf.DUMMYFUNCTION("""COMPUTED_VALUE"""),104.0)</f>
        <v>104</v>
      </c>
      <c r="C4983" s="4" t="str">
        <f>IFERROR(__xludf.DUMMYFUNCTION("""COMPUTED_VALUE"""),"GSW")</f>
        <v>GSW</v>
      </c>
      <c r="D4983" s="4" t="str">
        <f>IFERROR(__xludf.DUMMYFUNCTION("""COMPUTED_VALUE"""),"Gene Cunningham")</f>
        <v>Gene Cunningham</v>
      </c>
      <c r="E4983" s="4" t="str">
        <f>IFERROR(__xludf.DUMMYFUNCTION("""COMPUTED_VALUE"""),"Norfolk State")</f>
        <v>Norfolk State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</row>
    <row r="4984">
      <c r="A4984" s="4"/>
      <c r="B4984" s="4"/>
      <c r="C4984" s="4"/>
      <c r="D4984" s="4" t="str">
        <f>IFERROR(__xludf.DUMMYFUNCTION("""COMPUTED_VALUE"""),"Round 7")</f>
        <v>Round 7</v>
      </c>
      <c r="E4984" s="4"/>
      <c r="F4984" s="4"/>
      <c r="G4984" s="4" t="str">
        <f>IFERROR(__xludf.DUMMYFUNCTION("""COMPUTED_VALUE"""),"Totals")</f>
        <v>Totals</v>
      </c>
      <c r="H4984" s="4"/>
      <c r="I4984" s="4"/>
      <c r="J4984" s="4"/>
      <c r="K4984" s="4"/>
      <c r="L4984" s="4" t="str">
        <f>IFERROR(__xludf.DUMMYFUNCTION("""COMPUTED_VALUE"""),"Shooting")</f>
        <v>Shooting</v>
      </c>
      <c r="M4984" s="4"/>
      <c r="N4984" s="4"/>
      <c r="O4984" s="4" t="str">
        <f>IFERROR(__xludf.DUMMYFUNCTION("""COMPUTED_VALUE"""),"Per Game")</f>
        <v>Per Game</v>
      </c>
      <c r="P4984" s="4"/>
      <c r="Q4984" s="4"/>
      <c r="R4984" s="4"/>
      <c r="S4984" s="4" t="str">
        <f>IFERROR(__xludf.DUMMYFUNCTION("""COMPUTED_VALUE"""),"Advanced")</f>
        <v>Advanced</v>
      </c>
      <c r="T4984" s="4"/>
      <c r="U4984" s="4"/>
      <c r="V4984" s="4"/>
    </row>
    <row r="4985">
      <c r="A4985" s="4" t="str">
        <f>IFERROR(__xludf.DUMMYFUNCTION("""COMPUTED_VALUE"""),"Rk")</f>
        <v>Rk</v>
      </c>
      <c r="B4985" s="4" t="str">
        <f>IFERROR(__xludf.DUMMYFUNCTION("""COMPUTED_VALUE"""),"Pk")</f>
        <v>Pk</v>
      </c>
      <c r="C4985" s="4" t="str">
        <f>IFERROR(__xludf.DUMMYFUNCTION("""COMPUTED_VALUE"""),"Tm")</f>
        <v>Tm</v>
      </c>
      <c r="D4985" s="4" t="str">
        <f>IFERROR(__xludf.DUMMYFUNCTION("""COMPUTED_VALUE"""),"Player")</f>
        <v>Player</v>
      </c>
      <c r="E4985" s="4" t="str">
        <f>IFERROR(__xludf.DUMMYFUNCTION("""COMPUTED_VALUE"""),"College")</f>
        <v>College</v>
      </c>
      <c r="F4985" s="4" t="str">
        <f>IFERROR(__xludf.DUMMYFUNCTION("""COMPUTED_VALUE"""),"Yrs")</f>
        <v>Yrs</v>
      </c>
      <c r="G4985" s="4" t="str">
        <f>IFERROR(__xludf.DUMMYFUNCTION("""COMPUTED_VALUE"""),"G")</f>
        <v>G</v>
      </c>
      <c r="H4985" s="4" t="str">
        <f>IFERROR(__xludf.DUMMYFUNCTION("""COMPUTED_VALUE"""),"MP")</f>
        <v>MP</v>
      </c>
      <c r="I4985" s="4" t="str">
        <f>IFERROR(__xludf.DUMMYFUNCTION("""COMPUTED_VALUE"""),"PTS")</f>
        <v>PTS</v>
      </c>
      <c r="J4985" s="4" t="str">
        <f>IFERROR(__xludf.DUMMYFUNCTION("""COMPUTED_VALUE"""),"TRB")</f>
        <v>TRB</v>
      </c>
      <c r="K4985" s="4" t="str">
        <f>IFERROR(__xludf.DUMMYFUNCTION("""COMPUTED_VALUE"""),"AST")</f>
        <v>AST</v>
      </c>
      <c r="L4985" s="4" t="str">
        <f>IFERROR(__xludf.DUMMYFUNCTION("""COMPUTED_VALUE"""),"FG%")</f>
        <v>FG%</v>
      </c>
      <c r="M4985" s="4" t="str">
        <f>IFERROR(__xludf.DUMMYFUNCTION("""COMPUTED_VALUE"""),"3P%")</f>
        <v>3P%</v>
      </c>
      <c r="N4985" s="4" t="str">
        <f>IFERROR(__xludf.DUMMYFUNCTION("""COMPUTED_VALUE"""),"FT%")</f>
        <v>FT%</v>
      </c>
      <c r="O4985" s="4" t="str">
        <f>IFERROR(__xludf.DUMMYFUNCTION("""COMPUTED_VALUE"""),"MP")</f>
        <v>MP</v>
      </c>
      <c r="P4985" s="4" t="str">
        <f>IFERROR(__xludf.DUMMYFUNCTION("""COMPUTED_VALUE"""),"PTS")</f>
        <v>PTS</v>
      </c>
      <c r="Q4985" s="4" t="str">
        <f>IFERROR(__xludf.DUMMYFUNCTION("""COMPUTED_VALUE"""),"TRB")</f>
        <v>TRB</v>
      </c>
      <c r="R4985" s="4" t="str">
        <f>IFERROR(__xludf.DUMMYFUNCTION("""COMPUTED_VALUE"""),"AST")</f>
        <v>AST</v>
      </c>
      <c r="S4985" s="4" t="str">
        <f>IFERROR(__xludf.DUMMYFUNCTION("""COMPUTED_VALUE"""),"WS")</f>
        <v>WS</v>
      </c>
      <c r="T4985" s="4" t="str">
        <f>IFERROR(__xludf.DUMMYFUNCTION("""COMPUTED_VALUE"""),"WS/48")</f>
        <v>WS/48</v>
      </c>
      <c r="U4985" s="4" t="str">
        <f>IFERROR(__xludf.DUMMYFUNCTION("""COMPUTED_VALUE"""),"BPM")</f>
        <v>BPM</v>
      </c>
      <c r="V4985" s="4" t="str">
        <f>IFERROR(__xludf.DUMMYFUNCTION("""COMPUTED_VALUE"""),"VORP")</f>
        <v>VORP</v>
      </c>
    </row>
    <row r="4986">
      <c r="A4986" s="4">
        <f>IFERROR(__xludf.DUMMYFUNCTION("""COMPUTED_VALUE"""),105.0)</f>
        <v>105</v>
      </c>
      <c r="B4986" s="4">
        <f>IFERROR(__xludf.DUMMYFUNCTION("""COMPUTED_VALUE"""),105.0)</f>
        <v>105</v>
      </c>
      <c r="C4986" s="4" t="str">
        <f>IFERROR(__xludf.DUMMYFUNCTION("""COMPUTED_VALUE"""),"CHI")</f>
        <v>CHI</v>
      </c>
      <c r="D4986" s="4" t="str">
        <f>IFERROR(__xludf.DUMMYFUNCTION("""COMPUTED_VALUE"""),"Barry McLeod")</f>
        <v>Barry McLeod</v>
      </c>
      <c r="E4986" s="4" t="str">
        <f>IFERROR(__xludf.DUMMYFUNCTION("""COMPUTED_VALUE"""),"Centenary (LA)")</f>
        <v>Centenary (LA)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</row>
    <row r="4987">
      <c r="A4987" s="4">
        <f>IFERROR(__xludf.DUMMYFUNCTION("""COMPUTED_VALUE"""),106.0)</f>
        <v>106</v>
      </c>
      <c r="B4987" s="4">
        <f>IFERROR(__xludf.DUMMYFUNCTION("""COMPUTED_VALUE"""),106.0)</f>
        <v>106</v>
      </c>
      <c r="C4987" s="4" t="str">
        <f>IFERROR(__xludf.DUMMYFUNCTION("""COMPUTED_VALUE"""),"ATL")</f>
        <v>ATL</v>
      </c>
      <c r="D4987" s="4" t="str">
        <f>IFERROR(__xludf.DUMMYFUNCTION("""COMPUTED_VALUE"""),"Carl Gerlach")</f>
        <v>Carl Gerlach</v>
      </c>
      <c r="E4987" s="4" t="str">
        <f>IFERROR(__xludf.DUMMYFUNCTION("""COMPUTED_VALUE"""),"Kansas State")</f>
        <v>Kansas State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</row>
    <row r="4988">
      <c r="A4988" s="4">
        <f>IFERROR(__xludf.DUMMYFUNCTION("""COMPUTED_VALUE"""),107.0)</f>
        <v>107</v>
      </c>
      <c r="B4988" s="4">
        <f>IFERROR(__xludf.DUMMYFUNCTION("""COMPUTED_VALUE"""),107.0)</f>
        <v>107</v>
      </c>
      <c r="C4988" s="4" t="str">
        <f>IFERROR(__xludf.DUMMYFUNCTION("""COMPUTED_VALUE"""),"KCK")</f>
        <v>KCK</v>
      </c>
      <c r="D4988" s="4" t="str">
        <f>IFERROR(__xludf.DUMMYFUNCTION("""COMPUTED_VALUE"""),"Craig Prosser")</f>
        <v>Craig Prosser</v>
      </c>
      <c r="E4988" s="4" t="str">
        <f>IFERROR(__xludf.DUMMYFUNCTION("""COMPUTED_VALUE"""),"Canisius")</f>
        <v>Canisius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</row>
    <row r="4989">
      <c r="A4989" s="4">
        <f>IFERROR(__xludf.DUMMYFUNCTION("""COMPUTED_VALUE"""),108.0)</f>
        <v>108</v>
      </c>
      <c r="B4989" s="4">
        <f>IFERROR(__xludf.DUMMYFUNCTION("""COMPUTED_VALUE"""),108.0)</f>
        <v>108</v>
      </c>
      <c r="C4989" s="4" t="str">
        <f>IFERROR(__xludf.DUMMYFUNCTION("""COMPUTED_VALUE"""),"DET")</f>
        <v>DET</v>
      </c>
      <c r="D4989" s="4" t="str">
        <f>IFERROR(__xludf.DUMMYFUNCTION("""COMPUTED_VALUE"""),"Curt Peterson")</f>
        <v>Curt Peterson</v>
      </c>
      <c r="E4989" s="4" t="str">
        <f>IFERROR(__xludf.DUMMYFUNCTION("""COMPUTED_VALUE"""),"University of Puget Sound")</f>
        <v>University of Puget Sound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</row>
    <row r="4990">
      <c r="A4990" s="4">
        <f>IFERROR(__xludf.DUMMYFUNCTION("""COMPUTED_VALUE"""),109.0)</f>
        <v>109</v>
      </c>
      <c r="B4990" s="4">
        <f>IFERROR(__xludf.DUMMYFUNCTION("""COMPUTED_VALUE"""),109.0)</f>
        <v>109</v>
      </c>
      <c r="C4990" s="4" t="str">
        <f>IFERROR(__xludf.DUMMYFUNCTION("""COMPUTED_VALUE"""),"POR")</f>
        <v>POR</v>
      </c>
      <c r="D4990" s="4" t="str">
        <f>IFERROR(__xludf.DUMMYFUNCTION("""COMPUTED_VALUE"""),"Al DeWitt")</f>
        <v>Al DeWitt</v>
      </c>
      <c r="E4990" s="4" t="str">
        <f>IFERROR(__xludf.DUMMYFUNCTION("""COMPUTED_VALUE"""),"Weber State")</f>
        <v>Weber State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</row>
    <row r="4991">
      <c r="A4991" s="4">
        <f>IFERROR(__xludf.DUMMYFUNCTION("""COMPUTED_VALUE"""),110.0)</f>
        <v>110</v>
      </c>
      <c r="B4991" s="4">
        <f>IFERROR(__xludf.DUMMYFUNCTION("""COMPUTED_VALUE"""),110.0)</f>
        <v>110</v>
      </c>
      <c r="C4991" s="4" t="str">
        <f>IFERROR(__xludf.DUMMYFUNCTION("""COMPUTED_VALUE"""),"NYK")</f>
        <v>NYK</v>
      </c>
      <c r="D4991" s="4" t="str">
        <f>IFERROR(__xludf.DUMMYFUNCTION("""COMPUTED_VALUE"""),"Boyd Batts")</f>
        <v>Boyd Batts</v>
      </c>
      <c r="E4991" s="4" t="str">
        <f>IFERROR(__xludf.DUMMYFUNCTION("""COMPUTED_VALUE"""),"UNLV")</f>
        <v>UNLV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</row>
    <row r="4992">
      <c r="A4992" s="4">
        <f>IFERROR(__xludf.DUMMYFUNCTION("""COMPUTED_VALUE"""),111.0)</f>
        <v>111</v>
      </c>
      <c r="B4992" s="4">
        <f>IFERROR(__xludf.DUMMYFUNCTION("""COMPUTED_VALUE"""),111.0)</f>
        <v>111</v>
      </c>
      <c r="C4992" s="4" t="str">
        <f>IFERROR(__xludf.DUMMYFUNCTION("""COMPUTED_VALUE"""),"NOJ")</f>
        <v>NOJ</v>
      </c>
      <c r="D4992" s="4" t="str">
        <f>IFERROR(__xludf.DUMMYFUNCTION("""COMPUTED_VALUE"""),"Andy Walker")</f>
        <v>Andy Walker</v>
      </c>
      <c r="E4992" s="4" t="str">
        <f>IFERROR(__xludf.DUMMYFUNCTION("""COMPUTED_VALUE"""),"Niagara University")</f>
        <v>Niagara University</v>
      </c>
      <c r="F4992" s="4">
        <f>IFERROR(__xludf.DUMMYFUNCTION("""COMPUTED_VALUE"""),1.0)</f>
        <v>1</v>
      </c>
      <c r="G4992" s="4">
        <f>IFERROR(__xludf.DUMMYFUNCTION("""COMPUTED_VALUE"""),40.0)</f>
        <v>40</v>
      </c>
      <c r="H4992" s="4">
        <f>IFERROR(__xludf.DUMMYFUNCTION("""COMPUTED_VALUE"""),438.0)</f>
        <v>438</v>
      </c>
      <c r="I4992" s="4">
        <f>IFERROR(__xludf.DUMMYFUNCTION("""COMPUTED_VALUE"""),180.0)</f>
        <v>180</v>
      </c>
      <c r="J4992" s="4">
        <f>IFERROR(__xludf.DUMMYFUNCTION("""COMPUTED_VALUE"""),75.0)</f>
        <v>75</v>
      </c>
      <c r="K4992" s="4">
        <f>IFERROR(__xludf.DUMMYFUNCTION("""COMPUTED_VALUE"""),32.0)</f>
        <v>32</v>
      </c>
      <c r="L4992" s="4">
        <f>IFERROR(__xludf.DUMMYFUNCTION("""COMPUTED_VALUE"""),0.462)</f>
        <v>0.462</v>
      </c>
      <c r="M4992" s="4"/>
      <c r="N4992" s="4">
        <f>IFERROR(__xludf.DUMMYFUNCTION("""COMPUTED_VALUE"""),0.766)</f>
        <v>0.766</v>
      </c>
      <c r="O4992" s="4">
        <f>IFERROR(__xludf.DUMMYFUNCTION("""COMPUTED_VALUE"""),11.0)</f>
        <v>11</v>
      </c>
      <c r="P4992" s="4">
        <f>IFERROR(__xludf.DUMMYFUNCTION("""COMPUTED_VALUE"""),4.5)</f>
        <v>4.5</v>
      </c>
      <c r="Q4992" s="4">
        <f>IFERROR(__xludf.DUMMYFUNCTION("""COMPUTED_VALUE"""),1.9)</f>
        <v>1.9</v>
      </c>
      <c r="R4992" s="4">
        <f>IFERROR(__xludf.DUMMYFUNCTION("""COMPUTED_VALUE"""),0.8)</f>
        <v>0.8</v>
      </c>
      <c r="S4992" s="4">
        <f>IFERROR(__xludf.DUMMYFUNCTION("""COMPUTED_VALUE"""),0.7)</f>
        <v>0.7</v>
      </c>
      <c r="T4992" s="4">
        <f>IFERROR(__xludf.DUMMYFUNCTION("""COMPUTED_VALUE"""),0.081)</f>
        <v>0.081</v>
      </c>
      <c r="U4992" s="4">
        <f>IFERROR(__xludf.DUMMYFUNCTION("""COMPUTED_VALUE"""),-1.1)</f>
        <v>-1.1</v>
      </c>
      <c r="V4992" s="4">
        <f>IFERROR(__xludf.DUMMYFUNCTION("""COMPUTED_VALUE"""),0.1)</f>
        <v>0.1</v>
      </c>
    </row>
    <row r="4993">
      <c r="A4993" s="4">
        <f>IFERROR(__xludf.DUMMYFUNCTION("""COMPUTED_VALUE"""),112.0)</f>
        <v>112</v>
      </c>
      <c r="B4993" s="4">
        <f>IFERROR(__xludf.DUMMYFUNCTION("""COMPUTED_VALUE"""),112.0)</f>
        <v>112</v>
      </c>
      <c r="C4993" s="4" t="str">
        <f>IFERROR(__xludf.DUMMYFUNCTION("""COMPUTED_VALUE"""),"MIL")</f>
        <v>MIL</v>
      </c>
      <c r="D4993" s="4" t="str">
        <f>IFERROR(__xludf.DUMMYFUNCTION("""COMPUTED_VALUE"""),"Ron Barrow")</f>
        <v>Ron Barrow</v>
      </c>
      <c r="E4993" s="4" t="str">
        <f>IFERROR(__xludf.DUMMYFUNCTION("""COMPUTED_VALUE"""),"Southern University and A&amp;M College")</f>
        <v>Southern University and A&amp;M College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</row>
    <row r="4994">
      <c r="A4994" s="4">
        <f>IFERROR(__xludf.DUMMYFUNCTION("""COMPUTED_VALUE"""),113.0)</f>
        <v>113</v>
      </c>
      <c r="B4994" s="4">
        <f>IFERROR(__xludf.DUMMYFUNCTION("""COMPUTED_VALUE"""),113.0)</f>
        <v>113</v>
      </c>
      <c r="C4994" s="4" t="str">
        <f>IFERROR(__xludf.DUMMYFUNCTION("""COMPUTED_VALUE"""),"LAL")</f>
        <v>LAL</v>
      </c>
      <c r="D4994" s="4" t="str">
        <f>IFERROR(__xludf.DUMMYFUNCTION("""COMPUTED_VALUE"""),"Tommie Lipsey")</f>
        <v>Tommie Lipsey</v>
      </c>
      <c r="E4994" s="4" t="str">
        <f>IFERROR(__xludf.DUMMYFUNCTION("""COMPUTED_VALUE"""),"UCLA")</f>
        <v>UCLA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</row>
    <row r="4995">
      <c r="A4995" s="4">
        <f>IFERROR(__xludf.DUMMYFUNCTION("""COMPUTED_VALUE"""),114.0)</f>
        <v>114</v>
      </c>
      <c r="B4995" s="4">
        <f>IFERROR(__xludf.DUMMYFUNCTION("""COMPUTED_VALUE"""),114.0)</f>
        <v>114</v>
      </c>
      <c r="C4995" s="4" t="str">
        <f>IFERROR(__xludf.DUMMYFUNCTION("""COMPUTED_VALUE"""),"HOU")</f>
        <v>HOU</v>
      </c>
      <c r="D4995" s="4" t="str">
        <f>IFERROR(__xludf.DUMMYFUNCTION("""COMPUTED_VALUE"""),"Barry Davis")</f>
        <v>Barry Davis</v>
      </c>
      <c r="E4995" s="4" t="str">
        <f>IFERROR(__xludf.DUMMYFUNCTION("""COMPUTED_VALUE"""),"Texas A&amp;M")</f>
        <v>Texas A&amp;M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</row>
    <row r="4996">
      <c r="A4996" s="4">
        <f>IFERROR(__xludf.DUMMYFUNCTION("""COMPUTED_VALUE"""),115.0)</f>
        <v>115</v>
      </c>
      <c r="B4996" s="4">
        <f>IFERROR(__xludf.DUMMYFUNCTION("""COMPUTED_VALUE"""),115.0)</f>
        <v>115</v>
      </c>
      <c r="C4996" s="4" t="str">
        <f>IFERROR(__xludf.DUMMYFUNCTION("""COMPUTED_VALUE"""),"PHO")</f>
        <v>PHO</v>
      </c>
      <c r="D4996" s="4" t="str">
        <f>IFERROR(__xludf.DUMMYFUNCTION("""COMPUTED_VALUE"""),"Brad Warble")</f>
        <v>Brad Warble</v>
      </c>
      <c r="E4996" s="4" t="str">
        <f>IFERROR(__xludf.DUMMYFUNCTION("""COMPUTED_VALUE"""),"Eastern Illinois University")</f>
        <v>Eastern Illinois University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</row>
    <row r="4997">
      <c r="A4997" s="4">
        <f>IFERROR(__xludf.DUMMYFUNCTION("""COMPUTED_VALUE"""),116.0)</f>
        <v>116</v>
      </c>
      <c r="B4997" s="4">
        <f>IFERROR(__xludf.DUMMYFUNCTION("""COMPUTED_VALUE"""),116.0)</f>
        <v>116</v>
      </c>
      <c r="C4997" s="4" t="str">
        <f>IFERROR(__xludf.DUMMYFUNCTION("""COMPUTED_VALUE"""),"SEA")</f>
        <v>SEA</v>
      </c>
      <c r="D4997" s="4" t="str">
        <f>IFERROR(__xludf.DUMMYFUNCTION("""COMPUTED_VALUE"""),"Mark Klein")</f>
        <v>Mark Klein</v>
      </c>
      <c r="E4997" s="4" t="str">
        <f>IFERROR(__xludf.DUMMYFUNCTION("""COMPUTED_VALUE"""),"Malone College")</f>
        <v>Malone College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</row>
    <row r="4998">
      <c r="A4998" s="4">
        <f>IFERROR(__xludf.DUMMYFUNCTION("""COMPUTED_VALUE"""),117.0)</f>
        <v>117</v>
      </c>
      <c r="B4998" s="4">
        <f>IFERROR(__xludf.DUMMYFUNCTION("""COMPUTED_VALUE"""),117.0)</f>
        <v>117</v>
      </c>
      <c r="C4998" s="4" t="str">
        <f>IFERROR(__xludf.DUMMYFUNCTION("""COMPUTED_VALUE"""),"PHI")</f>
        <v>PHI</v>
      </c>
      <c r="D4998" s="4" t="str">
        <f>IFERROR(__xludf.DUMMYFUNCTION("""COMPUTED_VALUE"""),"Phil Walker")</f>
        <v>Phil Walker</v>
      </c>
      <c r="E4998" s="4" t="str">
        <f>IFERROR(__xludf.DUMMYFUNCTION("""COMPUTED_VALUE"""),"Millersville")</f>
        <v>Millersville</v>
      </c>
      <c r="F4998" s="4">
        <f>IFERROR(__xludf.DUMMYFUNCTION("""COMPUTED_VALUE"""),1.0)</f>
        <v>1</v>
      </c>
      <c r="G4998" s="4">
        <f>IFERROR(__xludf.DUMMYFUNCTION("""COMPUTED_VALUE"""),40.0)</f>
        <v>40</v>
      </c>
      <c r="H4998" s="4">
        <f>IFERROR(__xludf.DUMMYFUNCTION("""COMPUTED_VALUE"""),384.0)</f>
        <v>384</v>
      </c>
      <c r="I4998" s="4">
        <f>IFERROR(__xludf.DUMMYFUNCTION("""COMPUTED_VALUE"""),178.0)</f>
        <v>178</v>
      </c>
      <c r="J4998" s="4">
        <f>IFERROR(__xludf.DUMMYFUNCTION("""COMPUTED_VALUE"""),52.0)</f>
        <v>52</v>
      </c>
      <c r="K4998" s="4">
        <f>IFERROR(__xludf.DUMMYFUNCTION("""COMPUTED_VALUE"""),54.0)</f>
        <v>54</v>
      </c>
      <c r="L4998" s="4">
        <f>IFERROR(__xludf.DUMMYFUNCTION("""COMPUTED_VALUE"""),0.354)</f>
        <v>0.354</v>
      </c>
      <c r="M4998" s="4"/>
      <c r="N4998" s="4">
        <f>IFERROR(__xludf.DUMMYFUNCTION("""COMPUTED_VALUE"""),0.667)</f>
        <v>0.667</v>
      </c>
      <c r="O4998" s="4">
        <f>IFERROR(__xludf.DUMMYFUNCTION("""COMPUTED_VALUE"""),9.6)</f>
        <v>9.6</v>
      </c>
      <c r="P4998" s="4">
        <f>IFERROR(__xludf.DUMMYFUNCTION("""COMPUTED_VALUE"""),4.5)</f>
        <v>4.5</v>
      </c>
      <c r="Q4998" s="4">
        <f>IFERROR(__xludf.DUMMYFUNCTION("""COMPUTED_VALUE"""),1.3)</f>
        <v>1.3</v>
      </c>
      <c r="R4998" s="4">
        <f>IFERROR(__xludf.DUMMYFUNCTION("""COMPUTED_VALUE"""),1.4)</f>
        <v>1.4</v>
      </c>
      <c r="S4998" s="4">
        <f>IFERROR(__xludf.DUMMYFUNCTION("""COMPUTED_VALUE"""),-0.4)</f>
        <v>-0.4</v>
      </c>
      <c r="T4998" s="4">
        <f>IFERROR(__xludf.DUMMYFUNCTION("""COMPUTED_VALUE"""),-0.045)</f>
        <v>-0.045</v>
      </c>
      <c r="U4998" s="4">
        <f>IFERROR(__xludf.DUMMYFUNCTION("""COMPUTED_VALUE"""),-4.6)</f>
        <v>-4.6</v>
      </c>
      <c r="V4998" s="4">
        <f>IFERROR(__xludf.DUMMYFUNCTION("""COMPUTED_VALUE"""),-0.3)</f>
        <v>-0.3</v>
      </c>
    </row>
    <row r="4999">
      <c r="A4999" s="4">
        <f>IFERROR(__xludf.DUMMYFUNCTION("""COMPUTED_VALUE"""),118.0)</f>
        <v>118</v>
      </c>
      <c r="B4999" s="4">
        <f>IFERROR(__xludf.DUMMYFUNCTION("""COMPUTED_VALUE"""),118.0)</f>
        <v>118</v>
      </c>
      <c r="C4999" s="4" t="str">
        <f>IFERROR(__xludf.DUMMYFUNCTION("""COMPUTED_VALUE"""),"BUF")</f>
        <v>BUF</v>
      </c>
      <c r="D4999" s="4" t="str">
        <f>IFERROR(__xludf.DUMMYFUNCTION("""COMPUTED_VALUE"""),"Frank Jones")</f>
        <v>Frank Jones</v>
      </c>
      <c r="E4999" s="4" t="str">
        <f>IFERROR(__xludf.DUMMYFUNCTION("""COMPUTED_VALUE"""),"Tennessee Technological University")</f>
        <v>Tennessee Technological University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</row>
    <row r="5000">
      <c r="A5000" s="4">
        <f>IFERROR(__xludf.DUMMYFUNCTION("""COMPUTED_VALUE"""),119.0)</f>
        <v>119</v>
      </c>
      <c r="B5000" s="4">
        <f>IFERROR(__xludf.DUMMYFUNCTION("""COMPUTED_VALUE"""),119.0)</f>
        <v>119</v>
      </c>
      <c r="C5000" s="4" t="str">
        <f>IFERROR(__xludf.DUMMYFUNCTION("""COMPUTED_VALUE"""),"WSB")</f>
        <v>WSB</v>
      </c>
      <c r="D5000" s="4" t="str">
        <f>IFERROR(__xludf.DUMMYFUNCTION("""COMPUTED_VALUE"""),"Ralph Vallot")</f>
        <v>Ralph Vallot</v>
      </c>
      <c r="E5000" s="4" t="str">
        <f>IFERROR(__xludf.DUMMYFUNCTION("""COMPUTED_VALUE"""),"Loyola Chicago")</f>
        <v>Loyola Chicago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</row>
    <row r="5001">
      <c r="A5001" s="4">
        <f>IFERROR(__xludf.DUMMYFUNCTION("""COMPUTED_VALUE"""),120.0)</f>
        <v>120</v>
      </c>
      <c r="B5001" s="4">
        <f>IFERROR(__xludf.DUMMYFUNCTION("""COMPUTED_VALUE"""),120.0)</f>
        <v>120</v>
      </c>
      <c r="C5001" s="4" t="str">
        <f>IFERROR(__xludf.DUMMYFUNCTION("""COMPUTED_VALUE"""),"CLE")</f>
        <v>CLE</v>
      </c>
      <c r="D5001" s="4" t="str">
        <f>IFERROR(__xludf.DUMMYFUNCTION("""COMPUTED_VALUE"""),"Johnny Britt")</f>
        <v>Johnny Britt</v>
      </c>
      <c r="E5001" s="4" t="str">
        <f>IFERROR(__xludf.DUMMYFUNCTION("""COMPUTED_VALUE"""),"Western Kentucky")</f>
        <v>Western Kentucky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</row>
    <row r="5002">
      <c r="A5002" s="4">
        <f>IFERROR(__xludf.DUMMYFUNCTION("""COMPUTED_VALUE"""),121.0)</f>
        <v>121</v>
      </c>
      <c r="B5002" s="4">
        <f>IFERROR(__xludf.DUMMYFUNCTION("""COMPUTED_VALUE"""),121.0)</f>
        <v>121</v>
      </c>
      <c r="C5002" s="4" t="str">
        <f>IFERROR(__xludf.DUMMYFUNCTION("""COMPUTED_VALUE"""),"BOS")</f>
        <v>BOS</v>
      </c>
      <c r="D5002" s="4" t="str">
        <f>IFERROR(__xludf.DUMMYFUNCTION("""COMPUTED_VALUE"""),"Ralph Drollinger")</f>
        <v>Ralph Drollinger</v>
      </c>
      <c r="E5002" s="4" t="str">
        <f>IFERROR(__xludf.DUMMYFUNCTION("""COMPUTED_VALUE"""),"UCLA")</f>
        <v>UCLA</v>
      </c>
      <c r="F5002" s="4">
        <f>IFERROR(__xludf.DUMMYFUNCTION("""COMPUTED_VALUE"""),1.0)</f>
        <v>1</v>
      </c>
      <c r="G5002" s="4">
        <f>IFERROR(__xludf.DUMMYFUNCTION("""COMPUTED_VALUE"""),6.0)</f>
        <v>6</v>
      </c>
      <c r="H5002" s="4">
        <f>IFERROR(__xludf.DUMMYFUNCTION("""COMPUTED_VALUE"""),67.0)</f>
        <v>67</v>
      </c>
      <c r="I5002" s="4">
        <f>IFERROR(__xludf.DUMMYFUNCTION("""COMPUTED_VALUE"""),15.0)</f>
        <v>15</v>
      </c>
      <c r="J5002" s="4">
        <f>IFERROR(__xludf.DUMMYFUNCTION("""COMPUTED_VALUE"""),19.0)</f>
        <v>19</v>
      </c>
      <c r="K5002" s="4">
        <f>IFERROR(__xludf.DUMMYFUNCTION("""COMPUTED_VALUE"""),14.0)</f>
        <v>14</v>
      </c>
      <c r="L5002" s="4">
        <f>IFERROR(__xludf.DUMMYFUNCTION("""COMPUTED_VALUE"""),0.5)</f>
        <v>0.5</v>
      </c>
      <c r="M5002" s="4"/>
      <c r="N5002" s="4">
        <f>IFERROR(__xludf.DUMMYFUNCTION("""COMPUTED_VALUE"""),0.25)</f>
        <v>0.25</v>
      </c>
      <c r="O5002" s="4">
        <f>IFERROR(__xludf.DUMMYFUNCTION("""COMPUTED_VALUE"""),11.2)</f>
        <v>11.2</v>
      </c>
      <c r="P5002" s="4">
        <f>IFERROR(__xludf.DUMMYFUNCTION("""COMPUTED_VALUE"""),2.5)</f>
        <v>2.5</v>
      </c>
      <c r="Q5002" s="4">
        <f>IFERROR(__xludf.DUMMYFUNCTION("""COMPUTED_VALUE"""),3.2)</f>
        <v>3.2</v>
      </c>
      <c r="R5002" s="4">
        <f>IFERROR(__xludf.DUMMYFUNCTION("""COMPUTED_VALUE"""),2.3)</f>
        <v>2.3</v>
      </c>
      <c r="S5002" s="4">
        <f>IFERROR(__xludf.DUMMYFUNCTION("""COMPUTED_VALUE"""),-0.2)</f>
        <v>-0.2</v>
      </c>
      <c r="T5002" s="4">
        <f>IFERROR(__xludf.DUMMYFUNCTION("""COMPUTED_VALUE"""),-0.117)</f>
        <v>-0.117</v>
      </c>
      <c r="U5002" s="4">
        <f>IFERROR(__xludf.DUMMYFUNCTION("""COMPUTED_VALUE"""),-4.1)</f>
        <v>-4.1</v>
      </c>
      <c r="V5002" s="4">
        <f>IFERROR(__xludf.DUMMYFUNCTION("""COMPUTED_VALUE"""),-0.1)</f>
        <v>-0.1</v>
      </c>
    </row>
    <row r="5003">
      <c r="A5003" s="4">
        <f>IFERROR(__xludf.DUMMYFUNCTION("""COMPUTED_VALUE"""),122.0)</f>
        <v>122</v>
      </c>
      <c r="B5003" s="4">
        <f>IFERROR(__xludf.DUMMYFUNCTION("""COMPUTED_VALUE"""),122.0)</f>
        <v>122</v>
      </c>
      <c r="C5003" s="4" t="str">
        <f>IFERROR(__xludf.DUMMYFUNCTION("""COMPUTED_VALUE"""),"GSW")</f>
        <v>GSW</v>
      </c>
      <c r="D5003" s="4" t="str">
        <f>IFERROR(__xludf.DUMMYFUNCTION("""COMPUTED_VALUE"""),"Jesse Campbell")</f>
        <v>Jesse Campbell</v>
      </c>
      <c r="E5003" s="4" t="str">
        <f>IFERROR(__xludf.DUMMYFUNCTION("""COMPUTED_VALUE"""),"Mercyhurst College")</f>
        <v>Mercyhurst College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</row>
    <row r="5004">
      <c r="A5004" s="4"/>
      <c r="B5004" s="4"/>
      <c r="C5004" s="4"/>
      <c r="D5004" s="4" t="str">
        <f>IFERROR(__xludf.DUMMYFUNCTION("""COMPUTED_VALUE"""),"Round 8")</f>
        <v>Round 8</v>
      </c>
      <c r="E5004" s="4"/>
      <c r="F5004" s="4"/>
      <c r="G5004" s="4" t="str">
        <f>IFERROR(__xludf.DUMMYFUNCTION("""COMPUTED_VALUE"""),"Totals")</f>
        <v>Totals</v>
      </c>
      <c r="H5004" s="4"/>
      <c r="I5004" s="4"/>
      <c r="J5004" s="4"/>
      <c r="K5004" s="4"/>
      <c r="L5004" s="4" t="str">
        <f>IFERROR(__xludf.DUMMYFUNCTION("""COMPUTED_VALUE"""),"Shooting")</f>
        <v>Shooting</v>
      </c>
      <c r="M5004" s="4"/>
      <c r="N5004" s="4"/>
      <c r="O5004" s="4" t="str">
        <f>IFERROR(__xludf.DUMMYFUNCTION("""COMPUTED_VALUE"""),"Per Game")</f>
        <v>Per Game</v>
      </c>
      <c r="P5004" s="4"/>
      <c r="Q5004" s="4"/>
      <c r="R5004" s="4"/>
      <c r="S5004" s="4" t="str">
        <f>IFERROR(__xludf.DUMMYFUNCTION("""COMPUTED_VALUE"""),"Advanced")</f>
        <v>Advanced</v>
      </c>
      <c r="T5004" s="4"/>
      <c r="U5004" s="4"/>
      <c r="V5004" s="4"/>
    </row>
    <row r="5005">
      <c r="A5005" s="4" t="str">
        <f>IFERROR(__xludf.DUMMYFUNCTION("""COMPUTED_VALUE"""),"Rk")</f>
        <v>Rk</v>
      </c>
      <c r="B5005" s="4" t="str">
        <f>IFERROR(__xludf.DUMMYFUNCTION("""COMPUTED_VALUE"""),"Pk")</f>
        <v>Pk</v>
      </c>
      <c r="C5005" s="4" t="str">
        <f>IFERROR(__xludf.DUMMYFUNCTION("""COMPUTED_VALUE"""),"Tm")</f>
        <v>Tm</v>
      </c>
      <c r="D5005" s="4" t="str">
        <f>IFERROR(__xludf.DUMMYFUNCTION("""COMPUTED_VALUE"""),"Player")</f>
        <v>Player</v>
      </c>
      <c r="E5005" s="4" t="str">
        <f>IFERROR(__xludf.DUMMYFUNCTION("""COMPUTED_VALUE"""),"College")</f>
        <v>College</v>
      </c>
      <c r="F5005" s="4" t="str">
        <f>IFERROR(__xludf.DUMMYFUNCTION("""COMPUTED_VALUE"""),"Yrs")</f>
        <v>Yrs</v>
      </c>
      <c r="G5005" s="4" t="str">
        <f>IFERROR(__xludf.DUMMYFUNCTION("""COMPUTED_VALUE"""),"G")</f>
        <v>G</v>
      </c>
      <c r="H5005" s="4" t="str">
        <f>IFERROR(__xludf.DUMMYFUNCTION("""COMPUTED_VALUE"""),"MP")</f>
        <v>MP</v>
      </c>
      <c r="I5005" s="4" t="str">
        <f>IFERROR(__xludf.DUMMYFUNCTION("""COMPUTED_VALUE"""),"PTS")</f>
        <v>PTS</v>
      </c>
      <c r="J5005" s="4" t="str">
        <f>IFERROR(__xludf.DUMMYFUNCTION("""COMPUTED_VALUE"""),"TRB")</f>
        <v>TRB</v>
      </c>
      <c r="K5005" s="4" t="str">
        <f>IFERROR(__xludf.DUMMYFUNCTION("""COMPUTED_VALUE"""),"AST")</f>
        <v>AST</v>
      </c>
      <c r="L5005" s="4" t="str">
        <f>IFERROR(__xludf.DUMMYFUNCTION("""COMPUTED_VALUE"""),"FG%")</f>
        <v>FG%</v>
      </c>
      <c r="M5005" s="4" t="str">
        <f>IFERROR(__xludf.DUMMYFUNCTION("""COMPUTED_VALUE"""),"3P%")</f>
        <v>3P%</v>
      </c>
      <c r="N5005" s="4" t="str">
        <f>IFERROR(__xludf.DUMMYFUNCTION("""COMPUTED_VALUE"""),"FT%")</f>
        <v>FT%</v>
      </c>
      <c r="O5005" s="4" t="str">
        <f>IFERROR(__xludf.DUMMYFUNCTION("""COMPUTED_VALUE"""),"MP")</f>
        <v>MP</v>
      </c>
      <c r="P5005" s="4" t="str">
        <f>IFERROR(__xludf.DUMMYFUNCTION("""COMPUTED_VALUE"""),"PTS")</f>
        <v>PTS</v>
      </c>
      <c r="Q5005" s="4" t="str">
        <f>IFERROR(__xludf.DUMMYFUNCTION("""COMPUTED_VALUE"""),"TRB")</f>
        <v>TRB</v>
      </c>
      <c r="R5005" s="4" t="str">
        <f>IFERROR(__xludf.DUMMYFUNCTION("""COMPUTED_VALUE"""),"AST")</f>
        <v>AST</v>
      </c>
      <c r="S5005" s="4" t="str">
        <f>IFERROR(__xludf.DUMMYFUNCTION("""COMPUTED_VALUE"""),"WS")</f>
        <v>WS</v>
      </c>
      <c r="T5005" s="4" t="str">
        <f>IFERROR(__xludf.DUMMYFUNCTION("""COMPUTED_VALUE"""),"WS/48")</f>
        <v>WS/48</v>
      </c>
      <c r="U5005" s="4" t="str">
        <f>IFERROR(__xludf.DUMMYFUNCTION("""COMPUTED_VALUE"""),"BPM")</f>
        <v>BPM</v>
      </c>
      <c r="V5005" s="4" t="str">
        <f>IFERROR(__xludf.DUMMYFUNCTION("""COMPUTED_VALUE"""),"VORP")</f>
        <v>VORP</v>
      </c>
    </row>
    <row r="5006">
      <c r="A5006" s="4">
        <f>IFERROR(__xludf.DUMMYFUNCTION("""COMPUTED_VALUE"""),123.0)</f>
        <v>123</v>
      </c>
      <c r="B5006" s="4">
        <f>IFERROR(__xludf.DUMMYFUNCTION("""COMPUTED_VALUE"""),123.0)</f>
        <v>123</v>
      </c>
      <c r="C5006" s="4" t="str">
        <f>IFERROR(__xludf.DUMMYFUNCTION("""COMPUTED_VALUE"""),"CLE")</f>
        <v>CLE</v>
      </c>
      <c r="D5006" s="4" t="str">
        <f>IFERROR(__xludf.DUMMYFUNCTION("""COMPUTED_VALUE"""),"Dale Koehler")</f>
        <v>Dale Koehler</v>
      </c>
      <c r="E5006" s="4" t="str">
        <f>IFERROR(__xludf.DUMMYFUNCTION("""COMPUTED_VALUE"""),"Wisconsin")</f>
        <v>Wisconsin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</row>
    <row r="5007">
      <c r="A5007" s="4">
        <f>IFERROR(__xludf.DUMMYFUNCTION("""COMPUTED_VALUE"""),124.0)</f>
        <v>124</v>
      </c>
      <c r="B5007" s="4">
        <f>IFERROR(__xludf.DUMMYFUNCTION("""COMPUTED_VALUE"""),124.0)</f>
        <v>124</v>
      </c>
      <c r="C5007" s="4" t="str">
        <f>IFERROR(__xludf.DUMMYFUNCTION("""COMPUTED_VALUE"""),"ATL")</f>
        <v>ATL</v>
      </c>
      <c r="D5007" s="4" t="str">
        <f>IFERROR(__xludf.DUMMYFUNCTION("""COMPUTED_VALUE"""),"Doug Terry")</f>
        <v>Doug Terry</v>
      </c>
      <c r="E5007" s="4" t="str">
        <f>IFERROR(__xludf.DUMMYFUNCTION("""COMPUTED_VALUE"""),"Utah")</f>
        <v>Utah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</row>
    <row r="5008">
      <c r="A5008" s="4">
        <f>IFERROR(__xludf.DUMMYFUNCTION("""COMPUTED_VALUE"""),125.0)</f>
        <v>125</v>
      </c>
      <c r="B5008" s="4">
        <f>IFERROR(__xludf.DUMMYFUNCTION("""COMPUTED_VALUE"""),125.0)</f>
        <v>125</v>
      </c>
      <c r="C5008" s="4" t="str">
        <f>IFERROR(__xludf.DUMMYFUNCTION("""COMPUTED_VALUE"""),"KCK")</f>
        <v>KCK</v>
      </c>
      <c r="D5008" s="4" t="str">
        <f>IFERROR(__xludf.DUMMYFUNCTION("""COMPUTED_VALUE"""),"Mike Davis")</f>
        <v>Mike Davis</v>
      </c>
      <c r="E5008" s="4" t="str">
        <f>IFERROR(__xludf.DUMMYFUNCTION("""COMPUTED_VALUE"""),"Bradley")</f>
        <v>Bradley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</row>
    <row r="5009">
      <c r="A5009" s="4">
        <f>IFERROR(__xludf.DUMMYFUNCTION("""COMPUTED_VALUE"""),126.0)</f>
        <v>126</v>
      </c>
      <c r="B5009" s="4">
        <f>IFERROR(__xludf.DUMMYFUNCTION("""COMPUTED_VALUE"""),126.0)</f>
        <v>126</v>
      </c>
      <c r="C5009" s="4" t="str">
        <f>IFERROR(__xludf.DUMMYFUNCTION("""COMPUTED_VALUE"""),"DET")</f>
        <v>DET</v>
      </c>
      <c r="D5009" s="4" t="str">
        <f>IFERROR(__xludf.DUMMYFUNCTION("""COMPUTED_VALUE"""),"Randy Henry")</f>
        <v>Randy Henry</v>
      </c>
      <c r="E5009" s="4" t="str">
        <f>IFERROR(__xludf.DUMMYFUNCTION("""COMPUTED_VALUE"""),"Illinois State")</f>
        <v>Illinois State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</row>
    <row r="5010">
      <c r="A5010" s="4">
        <f>IFERROR(__xludf.DUMMYFUNCTION("""COMPUTED_VALUE"""),127.0)</f>
        <v>127</v>
      </c>
      <c r="B5010" s="4">
        <f>IFERROR(__xludf.DUMMYFUNCTION("""COMPUTED_VALUE"""),127.0)</f>
        <v>127</v>
      </c>
      <c r="C5010" s="4" t="str">
        <f>IFERROR(__xludf.DUMMYFUNCTION("""COMPUTED_VALUE"""),"POR")</f>
        <v>POR</v>
      </c>
      <c r="D5010" s="4" t="str">
        <f>IFERROR(__xludf.DUMMYFUNCTION("""COMPUTED_VALUE"""),"Brant Gibler")</f>
        <v>Brant Gibler</v>
      </c>
      <c r="E5010" s="4" t="str">
        <f>IFERROR(__xludf.DUMMYFUNCTION("""COMPUTED_VALUE"""),"University of Puget Sound")</f>
        <v>University of Puget Sound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</row>
    <row r="5011">
      <c r="A5011" s="4">
        <f>IFERROR(__xludf.DUMMYFUNCTION("""COMPUTED_VALUE"""),128.0)</f>
        <v>128</v>
      </c>
      <c r="B5011" s="4">
        <f>IFERROR(__xludf.DUMMYFUNCTION("""COMPUTED_VALUE"""),128.0)</f>
        <v>128</v>
      </c>
      <c r="C5011" s="4" t="str">
        <f>IFERROR(__xludf.DUMMYFUNCTION("""COMPUTED_VALUE"""),"NOJ")</f>
        <v>NOJ</v>
      </c>
      <c r="D5011" s="4" t="str">
        <f>IFERROR(__xludf.DUMMYFUNCTION("""COMPUTED_VALUE"""),"Richard Bryant")</f>
        <v>Richard Bryant</v>
      </c>
      <c r="E5011" s="4" t="str">
        <f>IFERROR(__xludf.DUMMYFUNCTION("""COMPUTED_VALUE"""),"Texas State University")</f>
        <v>Texas State University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</row>
    <row r="5012">
      <c r="A5012" s="4">
        <f>IFERROR(__xludf.DUMMYFUNCTION("""COMPUTED_VALUE"""),129.0)</f>
        <v>129</v>
      </c>
      <c r="B5012" s="4">
        <f>IFERROR(__xludf.DUMMYFUNCTION("""COMPUTED_VALUE"""),129.0)</f>
        <v>129</v>
      </c>
      <c r="C5012" s="4" t="str">
        <f>IFERROR(__xludf.DUMMYFUNCTION("""COMPUTED_VALUE"""),"MIL")</f>
        <v>MIL</v>
      </c>
      <c r="D5012" s="4" t="str">
        <f>IFERROR(__xludf.DUMMYFUNCTION("""COMPUTED_VALUE"""),"Bob Warner")</f>
        <v>Bob Warner</v>
      </c>
      <c r="E5012" s="4" t="str">
        <f>IFERROR(__xludf.DUMMYFUNCTION("""COMPUTED_VALUE"""),"University of Maine")</f>
        <v>University of Maine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</row>
    <row r="5013">
      <c r="A5013" s="4">
        <f>IFERROR(__xludf.DUMMYFUNCTION("""COMPUTED_VALUE"""),130.0)</f>
        <v>130</v>
      </c>
      <c r="B5013" s="4">
        <f>IFERROR(__xludf.DUMMYFUNCTION("""COMPUTED_VALUE"""),130.0)</f>
        <v>130</v>
      </c>
      <c r="C5013" s="4" t="str">
        <f>IFERROR(__xludf.DUMMYFUNCTION("""COMPUTED_VALUE"""),"NYK")</f>
        <v>NYK</v>
      </c>
      <c r="D5013" s="4" t="str">
        <f>IFERROR(__xludf.DUMMYFUNCTION("""COMPUTED_VALUE"""),"Rick McCutcheon")</f>
        <v>Rick McCutcheon</v>
      </c>
      <c r="E5013" s="4" t="str">
        <f>IFERROR(__xludf.DUMMYFUNCTION("""COMPUTED_VALUE"""),"Arizona State")</f>
        <v>Arizona State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</row>
    <row r="5014">
      <c r="A5014" s="4">
        <f>IFERROR(__xludf.DUMMYFUNCTION("""COMPUTED_VALUE"""),131.0)</f>
        <v>131</v>
      </c>
      <c r="B5014" s="4">
        <f>IFERROR(__xludf.DUMMYFUNCTION("""COMPUTED_VALUE"""),131.0)</f>
        <v>131</v>
      </c>
      <c r="C5014" s="4" t="str">
        <f>IFERROR(__xludf.DUMMYFUNCTION("""COMPUTED_VALUE"""),"LAL")</f>
        <v>LAL</v>
      </c>
      <c r="D5014" s="4" t="str">
        <f>IFERROR(__xludf.DUMMYFUNCTION("""COMPUTED_VALUE"""),"Ed Gregg")</f>
        <v>Ed Gregg</v>
      </c>
      <c r="E5014" s="4" t="str">
        <f>IFERROR(__xludf.DUMMYFUNCTION("""COMPUTED_VALUE"""),"Utah State University")</f>
        <v>Utah State University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</row>
    <row r="5015">
      <c r="A5015" s="4">
        <f>IFERROR(__xludf.DUMMYFUNCTION("""COMPUTED_VALUE"""),132.0)</f>
        <v>132</v>
      </c>
      <c r="B5015" s="4">
        <f>IFERROR(__xludf.DUMMYFUNCTION("""COMPUTED_VALUE"""),132.0)</f>
        <v>132</v>
      </c>
      <c r="C5015" s="4" t="str">
        <f>IFERROR(__xludf.DUMMYFUNCTION("""COMPUTED_VALUE"""),"HOU")</f>
        <v>HOU</v>
      </c>
      <c r="D5015" s="4" t="str">
        <f>IFERROR(__xludf.DUMMYFUNCTION("""COMPUTED_VALUE"""),"Dan Krueger")</f>
        <v>Dan Krueger</v>
      </c>
      <c r="E5015" s="4" t="str">
        <f>IFERROR(__xludf.DUMMYFUNCTION("""COMPUTED_VALUE"""),"Texas")</f>
        <v>Texas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</row>
    <row r="5016">
      <c r="A5016" s="4">
        <f>IFERROR(__xludf.DUMMYFUNCTION("""COMPUTED_VALUE"""),133.0)</f>
        <v>133</v>
      </c>
      <c r="B5016" s="4">
        <f>IFERROR(__xludf.DUMMYFUNCTION("""COMPUTED_VALUE"""),133.0)</f>
        <v>133</v>
      </c>
      <c r="C5016" s="4" t="str">
        <f>IFERROR(__xludf.DUMMYFUNCTION("""COMPUTED_VALUE"""),"PHO")</f>
        <v>PHO</v>
      </c>
      <c r="D5016" s="4" t="str">
        <f>IFERROR(__xludf.DUMMYFUNCTION("""COMPUTED_VALUE"""),"Tom DeBerry")</f>
        <v>Tom DeBerry</v>
      </c>
      <c r="E5016" s="4" t="str">
        <f>IFERROR(__xludf.DUMMYFUNCTION("""COMPUTED_VALUE"""),"Northern Arizona University")</f>
        <v>Northern Arizona University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</row>
    <row r="5017">
      <c r="A5017" s="4">
        <f>IFERROR(__xludf.DUMMYFUNCTION("""COMPUTED_VALUE"""),134.0)</f>
        <v>134</v>
      </c>
      <c r="B5017" s="4">
        <f>IFERROR(__xludf.DUMMYFUNCTION("""COMPUTED_VALUE"""),134.0)</f>
        <v>134</v>
      </c>
      <c r="C5017" s="4" t="str">
        <f>IFERROR(__xludf.DUMMYFUNCTION("""COMPUTED_VALUE"""),"SEA")</f>
        <v>SEA</v>
      </c>
      <c r="D5017" s="4" t="str">
        <f>IFERROR(__xludf.DUMMYFUNCTION("""COMPUTED_VALUE"""),"Norton Barnhill")</f>
        <v>Norton Barnhill</v>
      </c>
      <c r="E5017" s="4" t="str">
        <f>IFERROR(__xludf.DUMMYFUNCTION("""COMPUTED_VALUE"""),"Washington State")</f>
        <v>Washington State</v>
      </c>
      <c r="F5017" s="4">
        <f>IFERROR(__xludf.DUMMYFUNCTION("""COMPUTED_VALUE"""),1.0)</f>
        <v>1</v>
      </c>
      <c r="G5017" s="4">
        <f>IFERROR(__xludf.DUMMYFUNCTION("""COMPUTED_VALUE"""),4.0)</f>
        <v>4</v>
      </c>
      <c r="H5017" s="4">
        <f>IFERROR(__xludf.DUMMYFUNCTION("""COMPUTED_VALUE"""),10.0)</f>
        <v>10</v>
      </c>
      <c r="I5017" s="4">
        <f>IFERROR(__xludf.DUMMYFUNCTION("""COMPUTED_VALUE"""),4.0)</f>
        <v>4</v>
      </c>
      <c r="J5017" s="4">
        <f>IFERROR(__xludf.DUMMYFUNCTION("""COMPUTED_VALUE"""),3.0)</f>
        <v>3</v>
      </c>
      <c r="K5017" s="4">
        <f>IFERROR(__xludf.DUMMYFUNCTION("""COMPUTED_VALUE"""),1.0)</f>
        <v>1</v>
      </c>
      <c r="L5017" s="4">
        <f>IFERROR(__xludf.DUMMYFUNCTION("""COMPUTED_VALUE"""),0.333)</f>
        <v>0.333</v>
      </c>
      <c r="M5017" s="4"/>
      <c r="N5017" s="4"/>
      <c r="O5017" s="4">
        <f>IFERROR(__xludf.DUMMYFUNCTION("""COMPUTED_VALUE"""),2.5)</f>
        <v>2.5</v>
      </c>
      <c r="P5017" s="4">
        <f>IFERROR(__xludf.DUMMYFUNCTION("""COMPUTED_VALUE"""),1.0)</f>
        <v>1</v>
      </c>
      <c r="Q5017" s="4">
        <f>IFERROR(__xludf.DUMMYFUNCTION("""COMPUTED_VALUE"""),0.8)</f>
        <v>0.8</v>
      </c>
      <c r="R5017" s="4">
        <f>IFERROR(__xludf.DUMMYFUNCTION("""COMPUTED_VALUE"""),0.3)</f>
        <v>0.3</v>
      </c>
      <c r="S5017" s="4">
        <f>IFERROR(__xludf.DUMMYFUNCTION("""COMPUTED_VALUE"""),0.0)</f>
        <v>0</v>
      </c>
      <c r="T5017" s="4">
        <f>IFERROR(__xludf.DUMMYFUNCTION("""COMPUTED_VALUE"""),-0.198)</f>
        <v>-0.198</v>
      </c>
      <c r="U5017" s="4">
        <f>IFERROR(__xludf.DUMMYFUNCTION("""COMPUTED_VALUE"""),-5.3)</f>
        <v>-5.3</v>
      </c>
      <c r="V5017" s="4">
        <f>IFERROR(__xludf.DUMMYFUNCTION("""COMPUTED_VALUE"""),0.0)</f>
        <v>0</v>
      </c>
    </row>
    <row r="5018">
      <c r="A5018" s="4">
        <f>IFERROR(__xludf.DUMMYFUNCTION("""COMPUTED_VALUE"""),135.0)</f>
        <v>135</v>
      </c>
      <c r="B5018" s="4">
        <f>IFERROR(__xludf.DUMMYFUNCTION("""COMPUTED_VALUE"""),135.0)</f>
        <v>135</v>
      </c>
      <c r="C5018" s="4" t="str">
        <f>IFERROR(__xludf.DUMMYFUNCTION("""COMPUTED_VALUE"""),"PHI")</f>
        <v>PHI</v>
      </c>
      <c r="D5018" s="4" t="str">
        <f>IFERROR(__xludf.DUMMYFUNCTION("""COMPUTED_VALUE"""),"Lee Dixon")</f>
        <v>Lee Dixon</v>
      </c>
      <c r="E5018" s="4" t="str">
        <f>IFERROR(__xludf.DUMMYFUNCTION("""COMPUTED_VALUE"""),"Hardin-Simmons University")</f>
        <v>Hardin-Simmons University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</row>
    <row r="5019">
      <c r="A5019" s="4">
        <f>IFERROR(__xludf.DUMMYFUNCTION("""COMPUTED_VALUE"""),136.0)</f>
        <v>136</v>
      </c>
      <c r="B5019" s="4">
        <f>IFERROR(__xludf.DUMMYFUNCTION("""COMPUTED_VALUE"""),136.0)</f>
        <v>136</v>
      </c>
      <c r="C5019" s="4" t="str">
        <f>IFERROR(__xludf.DUMMYFUNCTION("""COMPUTED_VALUE"""),"BUF")</f>
        <v>BUF</v>
      </c>
      <c r="D5019" s="4" t="str">
        <f>IFERROR(__xludf.DUMMYFUNCTION("""COMPUTED_VALUE"""),"Mark McAndrew")</f>
        <v>Mark McAndrew</v>
      </c>
      <c r="E5019" s="4" t="str">
        <f>IFERROR(__xludf.DUMMYFUNCTION("""COMPUTED_VALUE"""),"Providence")</f>
        <v>Providence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</row>
    <row r="5020">
      <c r="A5020" s="4">
        <f>IFERROR(__xludf.DUMMYFUNCTION("""COMPUTED_VALUE"""),137.0)</f>
        <v>137</v>
      </c>
      <c r="B5020" s="4">
        <f>IFERROR(__xludf.DUMMYFUNCTION("""COMPUTED_VALUE"""),137.0)</f>
        <v>137</v>
      </c>
      <c r="C5020" s="4" t="str">
        <f>IFERROR(__xludf.DUMMYFUNCTION("""COMPUTED_VALUE"""),"WSB")</f>
        <v>WSB</v>
      </c>
      <c r="D5020" s="4" t="str">
        <f>IFERROR(__xludf.DUMMYFUNCTION("""COMPUTED_VALUE"""),"Merlin Wilson")</f>
        <v>Merlin Wilson</v>
      </c>
      <c r="E5020" s="4" t="str">
        <f>IFERROR(__xludf.DUMMYFUNCTION("""COMPUTED_VALUE"""),"Georgetown")</f>
        <v>Georgetown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</row>
    <row r="5021">
      <c r="A5021" s="4">
        <f>IFERROR(__xludf.DUMMYFUNCTION("""COMPUTED_VALUE"""),138.0)</f>
        <v>138</v>
      </c>
      <c r="B5021" s="4">
        <f>IFERROR(__xludf.DUMMYFUNCTION("""COMPUTED_VALUE"""),138.0)</f>
        <v>138</v>
      </c>
      <c r="C5021" s="4" t="str">
        <f>IFERROR(__xludf.DUMMYFUNCTION("""COMPUTED_VALUE"""),"CLE")</f>
        <v>CLE</v>
      </c>
      <c r="D5021" s="4" t="str">
        <f>IFERROR(__xludf.DUMMYFUNCTION("""COMPUTED_VALUE"""),"Tim Sisneros")</f>
        <v>Tim Sisneros</v>
      </c>
      <c r="E5021" s="4" t="str">
        <f>IFERROR(__xludf.DUMMYFUNCTION("""COMPUTED_VALUE"""),"Middle Tennessee")</f>
        <v>Middle Tennessee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</row>
    <row r="5022">
      <c r="A5022" s="4">
        <f>IFERROR(__xludf.DUMMYFUNCTION("""COMPUTED_VALUE"""),139.0)</f>
        <v>139</v>
      </c>
      <c r="B5022" s="4">
        <f>IFERROR(__xludf.DUMMYFUNCTION("""COMPUTED_VALUE"""),139.0)</f>
        <v>139</v>
      </c>
      <c r="C5022" s="4" t="str">
        <f>IFERROR(__xludf.DUMMYFUNCTION("""COMPUTED_VALUE"""),"BOS")</f>
        <v>BOS</v>
      </c>
      <c r="D5022" s="4" t="str">
        <f>IFERROR(__xludf.DUMMYFUNCTION("""COMPUTED_VALUE"""),"John Clark")</f>
        <v>John Clark</v>
      </c>
      <c r="E5022" s="4" t="str">
        <f>IFERROR(__xludf.DUMMYFUNCTION("""COMPUTED_VALUE"""),"Northeastern University")</f>
        <v>Northeastern University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</row>
    <row r="5023">
      <c r="A5023" s="4">
        <f>IFERROR(__xludf.DUMMYFUNCTION("""COMPUTED_VALUE"""),140.0)</f>
        <v>140</v>
      </c>
      <c r="B5023" s="4">
        <f>IFERROR(__xludf.DUMMYFUNCTION("""COMPUTED_VALUE"""),140.0)</f>
        <v>140</v>
      </c>
      <c r="C5023" s="4" t="str">
        <f>IFERROR(__xludf.DUMMYFUNCTION("""COMPUTED_VALUE"""),"GSW")</f>
        <v>GSW</v>
      </c>
      <c r="D5023" s="4" t="str">
        <f>IFERROR(__xludf.DUMMYFUNCTION("""COMPUTED_VALUE"""),"Stan Boskovich")</f>
        <v>Stan Boskovich</v>
      </c>
      <c r="E5023" s="4" t="str">
        <f>IFERROR(__xludf.DUMMYFUNCTION("""COMPUTED_VALUE"""),"West Virginia")</f>
        <v>West Virginia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</row>
    <row r="5024">
      <c r="A5024" s="4"/>
      <c r="B5024" s="4"/>
      <c r="C5024" s="4"/>
      <c r="D5024" s="4" t="str">
        <f>IFERROR(__xludf.DUMMYFUNCTION("""COMPUTED_VALUE"""),"Round 9")</f>
        <v>Round 9</v>
      </c>
      <c r="E5024" s="4"/>
      <c r="F5024" s="4"/>
      <c r="G5024" s="4" t="str">
        <f>IFERROR(__xludf.DUMMYFUNCTION("""COMPUTED_VALUE"""),"Totals")</f>
        <v>Totals</v>
      </c>
      <c r="H5024" s="4"/>
      <c r="I5024" s="4"/>
      <c r="J5024" s="4"/>
      <c r="K5024" s="4"/>
      <c r="L5024" s="4" t="str">
        <f>IFERROR(__xludf.DUMMYFUNCTION("""COMPUTED_VALUE"""),"Shooting")</f>
        <v>Shooting</v>
      </c>
      <c r="M5024" s="4"/>
      <c r="N5024" s="4"/>
      <c r="O5024" s="4" t="str">
        <f>IFERROR(__xludf.DUMMYFUNCTION("""COMPUTED_VALUE"""),"Per Game")</f>
        <v>Per Game</v>
      </c>
      <c r="P5024" s="4"/>
      <c r="Q5024" s="4"/>
      <c r="R5024" s="4"/>
      <c r="S5024" s="4" t="str">
        <f>IFERROR(__xludf.DUMMYFUNCTION("""COMPUTED_VALUE"""),"Advanced")</f>
        <v>Advanced</v>
      </c>
      <c r="T5024" s="4"/>
      <c r="U5024" s="4"/>
      <c r="V5024" s="4"/>
    </row>
    <row r="5025">
      <c r="A5025" s="4" t="str">
        <f>IFERROR(__xludf.DUMMYFUNCTION("""COMPUTED_VALUE"""),"Rk")</f>
        <v>Rk</v>
      </c>
      <c r="B5025" s="4" t="str">
        <f>IFERROR(__xludf.DUMMYFUNCTION("""COMPUTED_VALUE"""),"Pk")</f>
        <v>Pk</v>
      </c>
      <c r="C5025" s="4" t="str">
        <f>IFERROR(__xludf.DUMMYFUNCTION("""COMPUTED_VALUE"""),"Tm")</f>
        <v>Tm</v>
      </c>
      <c r="D5025" s="4" t="str">
        <f>IFERROR(__xludf.DUMMYFUNCTION("""COMPUTED_VALUE"""),"Player")</f>
        <v>Player</v>
      </c>
      <c r="E5025" s="4" t="str">
        <f>IFERROR(__xludf.DUMMYFUNCTION("""COMPUTED_VALUE"""),"College")</f>
        <v>College</v>
      </c>
      <c r="F5025" s="4" t="str">
        <f>IFERROR(__xludf.DUMMYFUNCTION("""COMPUTED_VALUE"""),"Yrs")</f>
        <v>Yrs</v>
      </c>
      <c r="G5025" s="4" t="str">
        <f>IFERROR(__xludf.DUMMYFUNCTION("""COMPUTED_VALUE"""),"G")</f>
        <v>G</v>
      </c>
      <c r="H5025" s="4" t="str">
        <f>IFERROR(__xludf.DUMMYFUNCTION("""COMPUTED_VALUE"""),"MP")</f>
        <v>MP</v>
      </c>
      <c r="I5025" s="4" t="str">
        <f>IFERROR(__xludf.DUMMYFUNCTION("""COMPUTED_VALUE"""),"PTS")</f>
        <v>PTS</v>
      </c>
      <c r="J5025" s="4" t="str">
        <f>IFERROR(__xludf.DUMMYFUNCTION("""COMPUTED_VALUE"""),"TRB")</f>
        <v>TRB</v>
      </c>
      <c r="K5025" s="4" t="str">
        <f>IFERROR(__xludf.DUMMYFUNCTION("""COMPUTED_VALUE"""),"AST")</f>
        <v>AST</v>
      </c>
      <c r="L5025" s="4" t="str">
        <f>IFERROR(__xludf.DUMMYFUNCTION("""COMPUTED_VALUE"""),"FG%")</f>
        <v>FG%</v>
      </c>
      <c r="M5025" s="4" t="str">
        <f>IFERROR(__xludf.DUMMYFUNCTION("""COMPUTED_VALUE"""),"3P%")</f>
        <v>3P%</v>
      </c>
      <c r="N5025" s="4" t="str">
        <f>IFERROR(__xludf.DUMMYFUNCTION("""COMPUTED_VALUE"""),"FT%")</f>
        <v>FT%</v>
      </c>
      <c r="O5025" s="4" t="str">
        <f>IFERROR(__xludf.DUMMYFUNCTION("""COMPUTED_VALUE"""),"MP")</f>
        <v>MP</v>
      </c>
      <c r="P5025" s="4" t="str">
        <f>IFERROR(__xludf.DUMMYFUNCTION("""COMPUTED_VALUE"""),"PTS")</f>
        <v>PTS</v>
      </c>
      <c r="Q5025" s="4" t="str">
        <f>IFERROR(__xludf.DUMMYFUNCTION("""COMPUTED_VALUE"""),"TRB")</f>
        <v>TRB</v>
      </c>
      <c r="R5025" s="4" t="str">
        <f>IFERROR(__xludf.DUMMYFUNCTION("""COMPUTED_VALUE"""),"AST")</f>
        <v>AST</v>
      </c>
      <c r="S5025" s="4" t="str">
        <f>IFERROR(__xludf.DUMMYFUNCTION("""COMPUTED_VALUE"""),"WS")</f>
        <v>WS</v>
      </c>
      <c r="T5025" s="4" t="str">
        <f>IFERROR(__xludf.DUMMYFUNCTION("""COMPUTED_VALUE"""),"WS/48")</f>
        <v>WS/48</v>
      </c>
      <c r="U5025" s="4" t="str">
        <f>IFERROR(__xludf.DUMMYFUNCTION("""COMPUTED_VALUE"""),"BPM")</f>
        <v>BPM</v>
      </c>
      <c r="V5025" s="4" t="str">
        <f>IFERROR(__xludf.DUMMYFUNCTION("""COMPUTED_VALUE"""),"VORP")</f>
        <v>VORP</v>
      </c>
    </row>
    <row r="5026">
      <c r="A5026" s="4">
        <f>IFERROR(__xludf.DUMMYFUNCTION("""COMPUTED_VALUE"""),141.0)</f>
        <v>141</v>
      </c>
      <c r="B5026" s="4">
        <f>IFERROR(__xludf.DUMMYFUNCTION("""COMPUTED_VALUE"""),141.0)</f>
        <v>141</v>
      </c>
      <c r="C5026" s="4" t="str">
        <f>IFERROR(__xludf.DUMMYFUNCTION("""COMPUTED_VALUE"""),"CHI")</f>
        <v>CHI</v>
      </c>
      <c r="D5026" s="4" t="str">
        <f>IFERROR(__xludf.DUMMYFUNCTION("""COMPUTED_VALUE"""),"John Thomas")</f>
        <v>John Thomas</v>
      </c>
      <c r="E5026" s="4" t="str">
        <f>IFERROR(__xludf.DUMMYFUNCTION("""COMPUTED_VALUE"""),"UConn")</f>
        <v>UConn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</row>
    <row r="5027">
      <c r="A5027" s="4">
        <f>IFERROR(__xludf.DUMMYFUNCTION("""COMPUTED_VALUE"""),142.0)</f>
        <v>142</v>
      </c>
      <c r="B5027" s="4">
        <f>IFERROR(__xludf.DUMMYFUNCTION("""COMPUTED_VALUE"""),142.0)</f>
        <v>142</v>
      </c>
      <c r="C5027" s="4" t="str">
        <f>IFERROR(__xludf.DUMMYFUNCTION("""COMPUTED_VALUE"""),"ATL")</f>
        <v>ATL</v>
      </c>
      <c r="D5027" s="4" t="str">
        <f>IFERROR(__xludf.DUMMYFUNCTION("""COMPUTED_VALUE"""),"Bob Kovach")</f>
        <v>Bob Kovach</v>
      </c>
      <c r="E5027" s="4" t="str">
        <f>IFERROR(__xludf.DUMMYFUNCTION("""COMPUTED_VALUE"""),"San Diego State")</f>
        <v>San Diego State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</row>
    <row r="5028">
      <c r="A5028" s="4">
        <f>IFERROR(__xludf.DUMMYFUNCTION("""COMPUTED_VALUE"""),143.0)</f>
        <v>143</v>
      </c>
      <c r="B5028" s="4">
        <f>IFERROR(__xludf.DUMMYFUNCTION("""COMPUTED_VALUE"""),143.0)</f>
        <v>143</v>
      </c>
      <c r="C5028" s="4" t="str">
        <f>IFERROR(__xludf.DUMMYFUNCTION("""COMPUTED_VALUE"""),"KCK")</f>
        <v>KCK</v>
      </c>
      <c r="D5028" s="4" t="str">
        <f>IFERROR(__xludf.DUMMYFUNCTION("""COMPUTED_VALUE"""),"Dave Logan")</f>
        <v>Dave Logan</v>
      </c>
      <c r="E5028" s="4" t="str">
        <f>IFERROR(__xludf.DUMMYFUNCTION("""COMPUTED_VALUE"""),"Colorado")</f>
        <v>Colorado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</row>
    <row r="5029">
      <c r="A5029" s="4">
        <f>IFERROR(__xludf.DUMMYFUNCTION("""COMPUTED_VALUE"""),144.0)</f>
        <v>144</v>
      </c>
      <c r="B5029" s="4">
        <f>IFERROR(__xludf.DUMMYFUNCTION("""COMPUTED_VALUE"""),144.0)</f>
        <v>144</v>
      </c>
      <c r="C5029" s="4" t="str">
        <f>IFERROR(__xludf.DUMMYFUNCTION("""COMPUTED_VALUE"""),"DET")</f>
        <v>DET</v>
      </c>
      <c r="D5029" s="4" t="str">
        <f>IFERROR(__xludf.DUMMYFUNCTION("""COMPUTED_VALUE"""),"Bill Martin")</f>
        <v>Bill Martin</v>
      </c>
      <c r="E5029" s="4" t="str">
        <f>IFERROR(__xludf.DUMMYFUNCTION("""COMPUTED_VALUE"""),"Hartwick College")</f>
        <v>Hartwick College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</row>
    <row r="5030">
      <c r="A5030" s="4">
        <f>IFERROR(__xludf.DUMMYFUNCTION("""COMPUTED_VALUE"""),145.0)</f>
        <v>145</v>
      </c>
      <c r="B5030" s="4">
        <f>IFERROR(__xludf.DUMMYFUNCTION("""COMPUTED_VALUE"""),145.0)</f>
        <v>145</v>
      </c>
      <c r="C5030" s="4" t="str">
        <f>IFERROR(__xludf.DUMMYFUNCTION("""COMPUTED_VALUE"""),"POR")</f>
        <v>POR</v>
      </c>
      <c r="D5030" s="4" t="str">
        <f>IFERROR(__xludf.DUMMYFUNCTION("""COMPUTED_VALUE"""),"Rob Torresdal")</f>
        <v>Rob Torresdal</v>
      </c>
      <c r="E5030" s="4" t="str">
        <f>IFERROR(__xludf.DUMMYFUNCTION("""COMPUTED_VALUE"""),"Linfield College")</f>
        <v>Linfield College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</row>
    <row r="5031">
      <c r="A5031" s="4">
        <f>IFERROR(__xludf.DUMMYFUNCTION("""COMPUTED_VALUE"""),146.0)</f>
        <v>146</v>
      </c>
      <c r="B5031" s="4">
        <f>IFERROR(__xludf.DUMMYFUNCTION("""COMPUTED_VALUE"""),146.0)</f>
        <v>146</v>
      </c>
      <c r="C5031" s="4" t="str">
        <f>IFERROR(__xludf.DUMMYFUNCTION("""COMPUTED_VALUE"""),"MIL")</f>
        <v>MIL</v>
      </c>
      <c r="D5031" s="4" t="str">
        <f>IFERROR(__xludf.DUMMYFUNCTION("""COMPUTED_VALUE"""),"Bennie Shaw")</f>
        <v>Bennie Shaw</v>
      </c>
      <c r="E5031" s="4" t="str">
        <f>IFERROR(__xludf.DUMMYFUNCTION("""COMPUTED_VALUE"""),"Central Florida")</f>
        <v>Central Florida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</row>
    <row r="5032">
      <c r="A5032" s="4">
        <f>IFERROR(__xludf.DUMMYFUNCTION("""COMPUTED_VALUE"""),147.0)</f>
        <v>147</v>
      </c>
      <c r="B5032" s="4">
        <f>IFERROR(__xludf.DUMMYFUNCTION("""COMPUTED_VALUE"""),147.0)</f>
        <v>147</v>
      </c>
      <c r="C5032" s="4" t="str">
        <f>IFERROR(__xludf.DUMMYFUNCTION("""COMPUTED_VALUE"""),"NYK")</f>
        <v>NYK</v>
      </c>
      <c r="D5032" s="4" t="str">
        <f>IFERROR(__xludf.DUMMYFUNCTION("""COMPUTED_VALUE"""),"Archie Talley")</f>
        <v>Archie Talley</v>
      </c>
      <c r="E5032" s="4" t="str">
        <f>IFERROR(__xludf.DUMMYFUNCTION("""COMPUTED_VALUE"""),"Salem University")</f>
        <v>Salem University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</row>
    <row r="5033">
      <c r="A5033" s="4">
        <f>IFERROR(__xludf.DUMMYFUNCTION("""COMPUTED_VALUE"""),148.0)</f>
        <v>148</v>
      </c>
      <c r="B5033" s="4">
        <f>IFERROR(__xludf.DUMMYFUNCTION("""COMPUTED_VALUE"""),148.0)</f>
        <v>148</v>
      </c>
      <c r="C5033" s="4" t="str">
        <f>IFERROR(__xludf.DUMMYFUNCTION("""COMPUTED_VALUE"""),"NOJ")</f>
        <v>NOJ</v>
      </c>
      <c r="D5033" s="4" t="str">
        <f>IFERROR(__xludf.DUMMYFUNCTION("""COMPUTED_VALUE"""),"Calvin Robinson")</f>
        <v>Calvin Robinson</v>
      </c>
      <c r="E5033" s="4" t="str">
        <f>IFERROR(__xludf.DUMMYFUNCTION("""COMPUTED_VALUE"""),"Mississippi Valley State University")</f>
        <v>Mississippi Valley State University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</row>
    <row r="5034">
      <c r="A5034" s="4">
        <f>IFERROR(__xludf.DUMMYFUNCTION("""COMPUTED_VALUE"""),149.0)</f>
        <v>149</v>
      </c>
      <c r="B5034" s="4">
        <f>IFERROR(__xludf.DUMMYFUNCTION("""COMPUTED_VALUE"""),149.0)</f>
        <v>149</v>
      </c>
      <c r="C5034" s="4" t="str">
        <f>IFERROR(__xludf.DUMMYFUNCTION("""COMPUTED_VALUE"""),"LAL")</f>
        <v>LAL</v>
      </c>
      <c r="D5034" s="4" t="str">
        <f>IFERROR(__xludf.DUMMYFUNCTION("""COMPUTED_VALUE"""),"David Pickett")</f>
        <v>David Pickett</v>
      </c>
      <c r="E5034" s="4" t="str">
        <f>IFERROR(__xludf.DUMMYFUNCTION("""COMPUTED_VALUE"""),"Louisiana-Monroe")</f>
        <v>Louisiana-Monroe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</row>
    <row r="5035">
      <c r="A5035" s="4">
        <f>IFERROR(__xludf.DUMMYFUNCTION("""COMPUTED_VALUE"""),150.0)</f>
        <v>150</v>
      </c>
      <c r="B5035" s="4">
        <f>IFERROR(__xludf.DUMMYFUNCTION("""COMPUTED_VALUE"""),150.0)</f>
        <v>150</v>
      </c>
      <c r="C5035" s="4" t="str">
        <f>IFERROR(__xludf.DUMMYFUNCTION("""COMPUTED_VALUE"""),"PHO")</f>
        <v>PHO</v>
      </c>
      <c r="D5035" s="4" t="str">
        <f>IFERROR(__xludf.DUMMYFUNCTION("""COMPUTED_VALUE"""),"John Irving")</f>
        <v>John Irving</v>
      </c>
      <c r="E5035" s="4" t="str">
        <f>IFERROR(__xludf.DUMMYFUNCTION("""COMPUTED_VALUE"""),"Hofstra")</f>
        <v>Hofstra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</row>
    <row r="5036">
      <c r="A5036" s="4">
        <f>IFERROR(__xludf.DUMMYFUNCTION("""COMPUTED_VALUE"""),151.0)</f>
        <v>151</v>
      </c>
      <c r="B5036" s="4">
        <f>IFERROR(__xludf.DUMMYFUNCTION("""COMPUTED_VALUE"""),151.0)</f>
        <v>151</v>
      </c>
      <c r="C5036" s="4" t="str">
        <f>IFERROR(__xludf.DUMMYFUNCTION("""COMPUTED_VALUE"""),"SEA")</f>
        <v>SEA</v>
      </c>
      <c r="D5036" s="4" t="str">
        <f>IFERROR(__xludf.DUMMYFUNCTION("""COMPUTED_VALUE"""),"Ron Johnson")</f>
        <v>Ron Johnson</v>
      </c>
      <c r="E5036" s="4" t="str">
        <f>IFERROR(__xludf.DUMMYFUNCTION("""COMPUTED_VALUE"""),"North Carolina A&amp;T")</f>
        <v>North Carolina A&amp;T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</row>
    <row r="5037">
      <c r="A5037" s="4">
        <f>IFERROR(__xludf.DUMMYFUNCTION("""COMPUTED_VALUE"""),152.0)</f>
        <v>152</v>
      </c>
      <c r="B5037" s="4">
        <f>IFERROR(__xludf.DUMMYFUNCTION("""COMPUTED_VALUE"""),152.0)</f>
        <v>152</v>
      </c>
      <c r="C5037" s="4" t="str">
        <f>IFERROR(__xludf.DUMMYFUNCTION("""COMPUTED_VALUE"""),"PHI")</f>
        <v>PHI</v>
      </c>
      <c r="D5037" s="4" t="str">
        <f>IFERROR(__xludf.DUMMYFUNCTION("""COMPUTED_VALUE"""),"Fly Williams")</f>
        <v>Fly Williams</v>
      </c>
      <c r="E5037" s="4" t="str">
        <f>IFERROR(__xludf.DUMMYFUNCTION("""COMPUTED_VALUE"""),"Austin Peay State University")</f>
        <v>Austin Peay State University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</row>
    <row r="5038">
      <c r="A5038" s="4">
        <f>IFERROR(__xludf.DUMMYFUNCTION("""COMPUTED_VALUE"""),153.0)</f>
        <v>153</v>
      </c>
      <c r="B5038" s="4">
        <f>IFERROR(__xludf.DUMMYFUNCTION("""COMPUTED_VALUE"""),153.0)</f>
        <v>153</v>
      </c>
      <c r="C5038" s="4" t="str">
        <f>IFERROR(__xludf.DUMMYFUNCTION("""COMPUTED_VALUE"""),"BUF")</f>
        <v>BUF</v>
      </c>
      <c r="D5038" s="4" t="str">
        <f>IFERROR(__xludf.DUMMYFUNCTION("""COMPUTED_VALUE"""),"Bob Rozyczko")</f>
        <v>Bob Rozyczko</v>
      </c>
      <c r="E5038" s="4" t="str">
        <f>IFERROR(__xludf.DUMMYFUNCTION("""COMPUTED_VALUE"""),"St. Bonaventure")</f>
        <v>St. Bonaventure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</row>
    <row r="5039">
      <c r="A5039" s="4">
        <f>IFERROR(__xludf.DUMMYFUNCTION("""COMPUTED_VALUE"""),154.0)</f>
        <v>154</v>
      </c>
      <c r="B5039" s="4">
        <f>IFERROR(__xludf.DUMMYFUNCTION("""COMPUTED_VALUE"""),154.0)</f>
        <v>154</v>
      </c>
      <c r="C5039" s="4" t="str">
        <f>IFERROR(__xludf.DUMMYFUNCTION("""COMPUTED_VALUE"""),"WSB")</f>
        <v>WSB</v>
      </c>
      <c r="D5039" s="4" t="str">
        <f>IFERROR(__xludf.DUMMYFUNCTION("""COMPUTED_VALUE"""),"Clyde Agnew")</f>
        <v>Clyde Agnew</v>
      </c>
      <c r="E5039" s="4" t="str">
        <f>IFERROR(__xludf.DUMMYFUNCTION("""COMPUTED_VALUE"""),"Newberry College")</f>
        <v>Newberry College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</row>
    <row r="5040">
      <c r="A5040" s="4">
        <f>IFERROR(__xludf.DUMMYFUNCTION("""COMPUTED_VALUE"""),155.0)</f>
        <v>155</v>
      </c>
      <c r="B5040" s="4">
        <f>IFERROR(__xludf.DUMMYFUNCTION("""COMPUTED_VALUE"""),155.0)</f>
        <v>155</v>
      </c>
      <c r="C5040" s="4" t="str">
        <f>IFERROR(__xludf.DUMMYFUNCTION("""COMPUTED_VALUE"""),"CLE")</f>
        <v>CLE</v>
      </c>
      <c r="D5040" s="4" t="str">
        <f>IFERROR(__xludf.DUMMYFUNCTION("""COMPUTED_VALUE"""),"Bruce Parkinson")</f>
        <v>Bruce Parkinson</v>
      </c>
      <c r="E5040" s="4" t="str">
        <f>IFERROR(__xludf.DUMMYFUNCTION("""COMPUTED_VALUE"""),"Purdue")</f>
        <v>Purdue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</row>
    <row r="5041">
      <c r="A5041" s="4">
        <f>IFERROR(__xludf.DUMMYFUNCTION("""COMPUTED_VALUE"""),156.0)</f>
        <v>156</v>
      </c>
      <c r="B5041" s="4">
        <f>IFERROR(__xludf.DUMMYFUNCTION("""COMPUTED_VALUE"""),156.0)</f>
        <v>156</v>
      </c>
      <c r="C5041" s="4" t="str">
        <f>IFERROR(__xludf.DUMMYFUNCTION("""COMPUTED_VALUE"""),"BOS")</f>
        <v>BOS</v>
      </c>
      <c r="D5041" s="4" t="str">
        <f>IFERROR(__xludf.DUMMYFUNCTION("""COMPUTED_VALUE"""),"Bill Collins")</f>
        <v>Bill Collins</v>
      </c>
      <c r="E5041" s="4" t="str">
        <f>IFERROR(__xludf.DUMMYFUNCTION("""COMPUTED_VALUE"""),"Boston College")</f>
        <v>Boston College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</row>
    <row r="5042">
      <c r="A5042" s="4">
        <f>IFERROR(__xludf.DUMMYFUNCTION("""COMPUTED_VALUE"""),157.0)</f>
        <v>157</v>
      </c>
      <c r="B5042" s="4">
        <f>IFERROR(__xludf.DUMMYFUNCTION("""COMPUTED_VALUE"""),157.0)</f>
        <v>157</v>
      </c>
      <c r="C5042" s="4" t="str">
        <f>IFERROR(__xludf.DUMMYFUNCTION("""COMPUTED_VALUE"""),"GSW")</f>
        <v>GSW</v>
      </c>
      <c r="D5042" s="4" t="str">
        <f>IFERROR(__xludf.DUMMYFUNCTION("""COMPUTED_VALUE"""),"Howard Smith")</f>
        <v>Howard Smith</v>
      </c>
      <c r="E5042" s="4" t="str">
        <f>IFERROR(__xludf.DUMMYFUNCTION("""COMPUTED_VALUE"""),"San Francisco")</f>
        <v>San Francisco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</row>
    <row r="5043">
      <c r="A5043" s="4"/>
      <c r="B5043" s="4"/>
      <c r="C5043" s="4"/>
      <c r="D5043" s="4" t="str">
        <f>IFERROR(__xludf.DUMMYFUNCTION("""COMPUTED_VALUE"""),"Round 10")</f>
        <v>Round 10</v>
      </c>
      <c r="E5043" s="4"/>
      <c r="F5043" s="4"/>
      <c r="G5043" s="4" t="str">
        <f>IFERROR(__xludf.DUMMYFUNCTION("""COMPUTED_VALUE"""),"Totals")</f>
        <v>Totals</v>
      </c>
      <c r="H5043" s="4"/>
      <c r="I5043" s="4"/>
      <c r="J5043" s="4"/>
      <c r="K5043" s="4"/>
      <c r="L5043" s="4" t="str">
        <f>IFERROR(__xludf.DUMMYFUNCTION("""COMPUTED_VALUE"""),"Shooting")</f>
        <v>Shooting</v>
      </c>
      <c r="M5043" s="4"/>
      <c r="N5043" s="4"/>
      <c r="O5043" s="4" t="str">
        <f>IFERROR(__xludf.DUMMYFUNCTION("""COMPUTED_VALUE"""),"Per Game")</f>
        <v>Per Game</v>
      </c>
      <c r="P5043" s="4"/>
      <c r="Q5043" s="4"/>
      <c r="R5043" s="4"/>
      <c r="S5043" s="4" t="str">
        <f>IFERROR(__xludf.DUMMYFUNCTION("""COMPUTED_VALUE"""),"Advanced")</f>
        <v>Advanced</v>
      </c>
      <c r="T5043" s="4"/>
      <c r="U5043" s="4"/>
      <c r="V5043" s="4"/>
    </row>
    <row r="5044">
      <c r="A5044" s="4" t="str">
        <f>IFERROR(__xludf.DUMMYFUNCTION("""COMPUTED_VALUE"""),"Rk")</f>
        <v>Rk</v>
      </c>
      <c r="B5044" s="4" t="str">
        <f>IFERROR(__xludf.DUMMYFUNCTION("""COMPUTED_VALUE"""),"Pk")</f>
        <v>Pk</v>
      </c>
      <c r="C5044" s="4" t="str">
        <f>IFERROR(__xludf.DUMMYFUNCTION("""COMPUTED_VALUE"""),"Tm")</f>
        <v>Tm</v>
      </c>
      <c r="D5044" s="4" t="str">
        <f>IFERROR(__xludf.DUMMYFUNCTION("""COMPUTED_VALUE"""),"Player")</f>
        <v>Player</v>
      </c>
      <c r="E5044" s="4" t="str">
        <f>IFERROR(__xludf.DUMMYFUNCTION("""COMPUTED_VALUE"""),"College")</f>
        <v>College</v>
      </c>
      <c r="F5044" s="4" t="str">
        <f>IFERROR(__xludf.DUMMYFUNCTION("""COMPUTED_VALUE"""),"Yrs")</f>
        <v>Yrs</v>
      </c>
      <c r="G5044" s="4" t="str">
        <f>IFERROR(__xludf.DUMMYFUNCTION("""COMPUTED_VALUE"""),"G")</f>
        <v>G</v>
      </c>
      <c r="H5044" s="4" t="str">
        <f>IFERROR(__xludf.DUMMYFUNCTION("""COMPUTED_VALUE"""),"MP")</f>
        <v>MP</v>
      </c>
      <c r="I5044" s="4" t="str">
        <f>IFERROR(__xludf.DUMMYFUNCTION("""COMPUTED_VALUE"""),"PTS")</f>
        <v>PTS</v>
      </c>
      <c r="J5044" s="4" t="str">
        <f>IFERROR(__xludf.DUMMYFUNCTION("""COMPUTED_VALUE"""),"TRB")</f>
        <v>TRB</v>
      </c>
      <c r="K5044" s="4" t="str">
        <f>IFERROR(__xludf.DUMMYFUNCTION("""COMPUTED_VALUE"""),"AST")</f>
        <v>AST</v>
      </c>
      <c r="L5044" s="4" t="str">
        <f>IFERROR(__xludf.DUMMYFUNCTION("""COMPUTED_VALUE"""),"FG%")</f>
        <v>FG%</v>
      </c>
      <c r="M5044" s="4" t="str">
        <f>IFERROR(__xludf.DUMMYFUNCTION("""COMPUTED_VALUE"""),"3P%")</f>
        <v>3P%</v>
      </c>
      <c r="N5044" s="4" t="str">
        <f>IFERROR(__xludf.DUMMYFUNCTION("""COMPUTED_VALUE"""),"FT%")</f>
        <v>FT%</v>
      </c>
      <c r="O5044" s="4" t="str">
        <f>IFERROR(__xludf.DUMMYFUNCTION("""COMPUTED_VALUE"""),"MP")</f>
        <v>MP</v>
      </c>
      <c r="P5044" s="4" t="str">
        <f>IFERROR(__xludf.DUMMYFUNCTION("""COMPUTED_VALUE"""),"PTS")</f>
        <v>PTS</v>
      </c>
      <c r="Q5044" s="4" t="str">
        <f>IFERROR(__xludf.DUMMYFUNCTION("""COMPUTED_VALUE"""),"TRB")</f>
        <v>TRB</v>
      </c>
      <c r="R5044" s="4" t="str">
        <f>IFERROR(__xludf.DUMMYFUNCTION("""COMPUTED_VALUE"""),"AST")</f>
        <v>AST</v>
      </c>
      <c r="S5044" s="4" t="str">
        <f>IFERROR(__xludf.DUMMYFUNCTION("""COMPUTED_VALUE"""),"WS")</f>
        <v>WS</v>
      </c>
      <c r="T5044" s="4" t="str">
        <f>IFERROR(__xludf.DUMMYFUNCTION("""COMPUTED_VALUE"""),"WS/48")</f>
        <v>WS/48</v>
      </c>
      <c r="U5044" s="4" t="str">
        <f>IFERROR(__xludf.DUMMYFUNCTION("""COMPUTED_VALUE"""),"BPM")</f>
        <v>BPM</v>
      </c>
      <c r="V5044" s="4" t="str">
        <f>IFERROR(__xludf.DUMMYFUNCTION("""COMPUTED_VALUE"""),"VORP")</f>
        <v>VORP</v>
      </c>
    </row>
    <row r="5045">
      <c r="A5045" s="4">
        <f>IFERROR(__xludf.DUMMYFUNCTION("""COMPUTED_VALUE"""),158.0)</f>
        <v>158</v>
      </c>
      <c r="B5045" s="4">
        <f>IFERROR(__xludf.DUMMYFUNCTION("""COMPUTED_VALUE"""),158.0)</f>
        <v>158</v>
      </c>
      <c r="C5045" s="4" t="str">
        <f>IFERROR(__xludf.DUMMYFUNCTION("""COMPUTED_VALUE"""),"CHI")</f>
        <v>CHI</v>
      </c>
      <c r="D5045" s="4" t="str">
        <f>IFERROR(__xludf.DUMMYFUNCTION("""COMPUTED_VALUE"""),"John Hudson")</f>
        <v>John Hudson</v>
      </c>
      <c r="E5045" s="4" t="str">
        <f>IFERROR(__xludf.DUMMYFUNCTION("""COMPUTED_VALUE"""),"Concord University")</f>
        <v>Concord University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</row>
    <row r="5046">
      <c r="A5046" s="4">
        <f>IFERROR(__xludf.DUMMYFUNCTION("""COMPUTED_VALUE"""),159.0)</f>
        <v>159</v>
      </c>
      <c r="B5046" s="4">
        <f>IFERROR(__xludf.DUMMYFUNCTION("""COMPUTED_VALUE"""),159.0)</f>
        <v>159</v>
      </c>
      <c r="C5046" s="4" t="str">
        <f>IFERROR(__xludf.DUMMYFUNCTION("""COMPUTED_VALUE"""),"ATL")</f>
        <v>ATL</v>
      </c>
      <c r="D5046" s="4" t="str">
        <f>IFERROR(__xludf.DUMMYFUNCTION("""COMPUTED_VALUE"""),"Mike Dickerson")</f>
        <v>Mike Dickerson</v>
      </c>
      <c r="E5046" s="4" t="str">
        <f>IFERROR(__xludf.DUMMYFUNCTION("""COMPUTED_VALUE"""),"South Florida")</f>
        <v>South Florida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</row>
    <row r="5047">
      <c r="A5047" s="4">
        <f>IFERROR(__xludf.DUMMYFUNCTION("""COMPUTED_VALUE"""),160.0)</f>
        <v>160</v>
      </c>
      <c r="B5047" s="4">
        <f>IFERROR(__xludf.DUMMYFUNCTION("""COMPUTED_VALUE"""),160.0)</f>
        <v>160</v>
      </c>
      <c r="C5047" s="4" t="str">
        <f>IFERROR(__xludf.DUMMYFUNCTION("""COMPUTED_VALUE"""),"KCK")</f>
        <v>KCK</v>
      </c>
      <c r="D5047" s="4" t="str">
        <f>IFERROR(__xludf.DUMMYFUNCTION("""COMPUTED_VALUE"""),"Terry Bailey")</f>
        <v>Terry Bailey</v>
      </c>
      <c r="E5047" s="4" t="str">
        <f>IFERROR(__xludf.DUMMYFUNCTION("""COMPUTED_VALUE"""),"University of North Texas")</f>
        <v>University of North Texas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</row>
    <row r="5048">
      <c r="A5048" s="4">
        <f>IFERROR(__xludf.DUMMYFUNCTION("""COMPUTED_VALUE"""),161.0)</f>
        <v>161</v>
      </c>
      <c r="B5048" s="4">
        <f>IFERROR(__xludf.DUMMYFUNCTION("""COMPUTED_VALUE"""),161.0)</f>
        <v>161</v>
      </c>
      <c r="C5048" s="4" t="str">
        <f>IFERROR(__xludf.DUMMYFUNCTION("""COMPUTED_VALUE"""),"DET")</f>
        <v>DET</v>
      </c>
      <c r="D5048" s="4" t="str">
        <f>IFERROR(__xludf.DUMMYFUNCTION("""COMPUTED_VALUE"""),"Bob Johnson")</f>
        <v>Bob Johnson</v>
      </c>
      <c r="E5048" s="4" t="str">
        <f>IFERROR(__xludf.DUMMYFUNCTION("""COMPUTED_VALUE"""),"Wisconsin")</f>
        <v>Wisconsin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</row>
    <row r="5049">
      <c r="A5049" s="4">
        <f>IFERROR(__xludf.DUMMYFUNCTION("""COMPUTED_VALUE"""),162.0)</f>
        <v>162</v>
      </c>
      <c r="B5049" s="4">
        <f>IFERROR(__xludf.DUMMYFUNCTION("""COMPUTED_VALUE"""),162.0)</f>
        <v>162</v>
      </c>
      <c r="C5049" s="4" t="str">
        <f>IFERROR(__xludf.DUMMYFUNCTION("""COMPUTED_VALUE"""),"POR")</f>
        <v>POR</v>
      </c>
      <c r="D5049" s="4" t="str">
        <f>IFERROR(__xludf.DUMMYFUNCTION("""COMPUTED_VALUE"""),"Marcos Leite")</f>
        <v>Marcos Leite</v>
      </c>
      <c r="E5049" s="4" t="str">
        <f>IFERROR(__xludf.DUMMYFUNCTION("""COMPUTED_VALUE"""),"Pepperdine")</f>
        <v>Pepperdine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</row>
    <row r="5050">
      <c r="A5050" s="4">
        <f>IFERROR(__xludf.DUMMYFUNCTION("""COMPUTED_VALUE"""),163.0)</f>
        <v>163</v>
      </c>
      <c r="B5050" s="4">
        <f>IFERROR(__xludf.DUMMYFUNCTION("""COMPUTED_VALUE"""),163.0)</f>
        <v>163</v>
      </c>
      <c r="C5050" s="4" t="str">
        <f>IFERROR(__xludf.DUMMYFUNCTION("""COMPUTED_VALUE"""),"NYK")</f>
        <v>NYK</v>
      </c>
      <c r="D5050" s="4" t="str">
        <f>IFERROR(__xludf.DUMMYFUNCTION("""COMPUTED_VALUE"""),"Gene Shy")</f>
        <v>Gene Shy</v>
      </c>
      <c r="E5050" s="4" t="str">
        <f>IFERROR(__xludf.DUMMYFUNCTION("""COMPUTED_VALUE"""),"Florida")</f>
        <v>Florida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</row>
    <row r="5051">
      <c r="A5051" s="4">
        <f>IFERROR(__xludf.DUMMYFUNCTION("""COMPUTED_VALUE"""),164.0)</f>
        <v>164</v>
      </c>
      <c r="B5051" s="4">
        <f>IFERROR(__xludf.DUMMYFUNCTION("""COMPUTED_VALUE"""),164.0)</f>
        <v>164</v>
      </c>
      <c r="C5051" s="4" t="str">
        <f>IFERROR(__xludf.DUMMYFUNCTION("""COMPUTED_VALUE"""),"NOJ")</f>
        <v>NOJ</v>
      </c>
      <c r="D5051" s="4" t="str">
        <f>IFERROR(__xludf.DUMMYFUNCTION("""COMPUTED_VALUE"""),"Art Johnson")</f>
        <v>Art Johnson</v>
      </c>
      <c r="E5051" s="4" t="str">
        <f>IFERROR(__xludf.DUMMYFUNCTION("""COMPUTED_VALUE"""),"Iowa State")</f>
        <v>Iowa State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</row>
    <row r="5052">
      <c r="A5052" s="4">
        <f>IFERROR(__xludf.DUMMYFUNCTION("""COMPUTED_VALUE"""),165.0)</f>
        <v>165</v>
      </c>
      <c r="B5052" s="4">
        <f>IFERROR(__xludf.DUMMYFUNCTION("""COMPUTED_VALUE"""),165.0)</f>
        <v>165</v>
      </c>
      <c r="C5052" s="4" t="str">
        <f>IFERROR(__xludf.DUMMYFUNCTION("""COMPUTED_VALUE"""),"MIL")</f>
        <v>MIL</v>
      </c>
      <c r="D5052" s="4" t="str">
        <f>IFERROR(__xludf.DUMMYFUNCTION("""COMPUTED_VALUE"""),"Hugo Cabrera")</f>
        <v>Hugo Cabrera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</row>
    <row r="5053">
      <c r="A5053" s="4">
        <f>IFERROR(__xludf.DUMMYFUNCTION("""COMPUTED_VALUE"""),166.0)</f>
        <v>166</v>
      </c>
      <c r="B5053" s="4">
        <f>IFERROR(__xludf.DUMMYFUNCTION("""COMPUTED_VALUE"""),166.0)</f>
        <v>166</v>
      </c>
      <c r="C5053" s="4" t="str">
        <f>IFERROR(__xludf.DUMMYFUNCTION("""COMPUTED_VALUE"""),"PHO")</f>
        <v>PHO</v>
      </c>
      <c r="D5053" s="4" t="str">
        <f>IFERROR(__xludf.DUMMYFUNCTION("""COMPUTED_VALUE"""),"Gary Jackson")</f>
        <v>Gary Jackson</v>
      </c>
      <c r="E5053" s="4" t="str">
        <f>IFERROR(__xludf.DUMMYFUNCTION("""COMPUTED_VALUE"""),"Arizona State")</f>
        <v>Arizona State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</row>
    <row r="5054">
      <c r="A5054" s="4">
        <f>IFERROR(__xludf.DUMMYFUNCTION("""COMPUTED_VALUE"""),167.0)</f>
        <v>167</v>
      </c>
      <c r="B5054" s="4">
        <f>IFERROR(__xludf.DUMMYFUNCTION("""COMPUTED_VALUE"""),167.0)</f>
        <v>167</v>
      </c>
      <c r="C5054" s="4" t="str">
        <f>IFERROR(__xludf.DUMMYFUNCTION("""COMPUTED_VALUE"""),"SEA")</f>
        <v>SEA</v>
      </c>
      <c r="D5054" s="4" t="str">
        <f>IFERROR(__xludf.DUMMYFUNCTION("""COMPUTED_VALUE"""),"Ricky Lewis")</f>
        <v>Ricky Lewis</v>
      </c>
      <c r="E5054" s="4" t="str">
        <f>IFERROR(__xludf.DUMMYFUNCTION("""COMPUTED_VALUE"""),"Alcorn State")</f>
        <v>Alcorn State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</row>
    <row r="5055">
      <c r="A5055" s="4">
        <f>IFERROR(__xludf.DUMMYFUNCTION("""COMPUTED_VALUE"""),168.0)</f>
        <v>168</v>
      </c>
      <c r="B5055" s="4">
        <f>IFERROR(__xludf.DUMMYFUNCTION("""COMPUTED_VALUE"""),168.0)</f>
        <v>168</v>
      </c>
      <c r="C5055" s="4" t="str">
        <f>IFERROR(__xludf.DUMMYFUNCTION("""COMPUTED_VALUE"""),"PHI")</f>
        <v>PHI</v>
      </c>
      <c r="D5055" s="4" t="str">
        <f>IFERROR(__xludf.DUMMYFUNCTION("""COMPUTED_VALUE"""),"Ed Stefanski")</f>
        <v>Ed Stefanski</v>
      </c>
      <c r="E5055" s="4" t="str">
        <f>IFERROR(__xludf.DUMMYFUNCTION("""COMPUTED_VALUE"""),"Penn")</f>
        <v>Penn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</row>
    <row r="5056">
      <c r="A5056" s="4">
        <f>IFERROR(__xludf.DUMMYFUNCTION("""COMPUTED_VALUE"""),169.0)</f>
        <v>169</v>
      </c>
      <c r="B5056" s="4">
        <f>IFERROR(__xludf.DUMMYFUNCTION("""COMPUTED_VALUE"""),169.0)</f>
        <v>169</v>
      </c>
      <c r="C5056" s="4" t="str">
        <f>IFERROR(__xludf.DUMMYFUNCTION("""COMPUTED_VALUE"""),"BUF")</f>
        <v>BUF</v>
      </c>
      <c r="D5056" s="4" t="str">
        <f>IFERROR(__xludf.DUMMYFUNCTION("""COMPUTED_VALUE"""),"Tim Stokes")</f>
        <v>Tim Stokes</v>
      </c>
      <c r="E5056" s="4" t="str">
        <f>IFERROR(__xludf.DUMMYFUNCTION("""COMPUTED_VALUE"""),"Canisius")</f>
        <v>Canisius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</row>
    <row r="5057">
      <c r="A5057" s="4">
        <f>IFERROR(__xludf.DUMMYFUNCTION("""COMPUTED_VALUE"""),170.0)</f>
        <v>170</v>
      </c>
      <c r="B5057" s="4">
        <f>IFERROR(__xludf.DUMMYFUNCTION("""COMPUTED_VALUE"""),170.0)</f>
        <v>170</v>
      </c>
      <c r="C5057" s="4" t="str">
        <f>IFERROR(__xludf.DUMMYFUNCTION("""COMPUTED_VALUE"""),"WSB")</f>
        <v>WSB</v>
      </c>
      <c r="D5057" s="4" t="str">
        <f>IFERROR(__xludf.DUMMYFUNCTION("""COMPUTED_VALUE"""),"Mike Buescher")</f>
        <v>Mike Buescher</v>
      </c>
      <c r="E5057" s="4" t="str">
        <f>IFERROR(__xludf.DUMMYFUNCTION("""COMPUTED_VALUE"""),"Seton Hall")</f>
        <v>Seton Hall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</row>
    <row r="5058">
      <c r="A5058" s="4">
        <f>IFERROR(__xludf.DUMMYFUNCTION("""COMPUTED_VALUE"""),171.0)</f>
        <v>171</v>
      </c>
      <c r="B5058" s="4">
        <f>IFERROR(__xludf.DUMMYFUNCTION("""COMPUTED_VALUE"""),171.0)</f>
        <v>171</v>
      </c>
      <c r="C5058" s="4" t="str">
        <f>IFERROR(__xludf.DUMMYFUNCTION("""COMPUTED_VALUE"""),"CLE")</f>
        <v>CLE</v>
      </c>
      <c r="D5058" s="4" t="str">
        <f>IFERROR(__xludf.DUMMYFUNCTION("""COMPUTED_VALUE"""),"Elisha McSweeney")</f>
        <v>Elisha McSweeney</v>
      </c>
      <c r="E5058" s="4" t="str">
        <f>IFERROR(__xludf.DUMMYFUNCTION("""COMPUTED_VALUE"""),"Minnesota State University, Mankato")</f>
        <v>Minnesota State University, Mankato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</row>
    <row r="5059">
      <c r="A5059" s="4">
        <f>IFERROR(__xludf.DUMMYFUNCTION("""COMPUTED_VALUE"""),172.0)</f>
        <v>172</v>
      </c>
      <c r="B5059" s="4">
        <f>IFERROR(__xludf.DUMMYFUNCTION("""COMPUTED_VALUE"""),172.0)</f>
        <v>172</v>
      </c>
      <c r="C5059" s="4" t="str">
        <f>IFERROR(__xludf.DUMMYFUNCTION("""COMPUTED_VALUE"""),"BOS")</f>
        <v>BOS</v>
      </c>
      <c r="D5059" s="4" t="str">
        <f>IFERROR(__xludf.DUMMYFUNCTION("""COMPUTED_VALUE"""),"Otho Tucker")</f>
        <v>Otho Tucker</v>
      </c>
      <c r="E5059" s="4" t="str">
        <f>IFERROR(__xludf.DUMMYFUNCTION("""COMPUTED_VALUE"""),"Illinois")</f>
        <v>Illinois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</row>
    <row r="5060">
      <c r="A5060" s="4">
        <f>IFERROR(__xludf.DUMMYFUNCTION("""COMPUTED_VALUE"""),173.0)</f>
        <v>173</v>
      </c>
      <c r="B5060" s="4">
        <f>IFERROR(__xludf.DUMMYFUNCTION("""COMPUTED_VALUE"""),173.0)</f>
        <v>173</v>
      </c>
      <c r="C5060" s="4" t="str">
        <f>IFERROR(__xludf.DUMMYFUNCTION("""COMPUTED_VALUE"""),"GSW")</f>
        <v>GSW</v>
      </c>
      <c r="D5060" s="4" t="str">
        <f>IFERROR(__xludf.DUMMYFUNCTION("""COMPUTED_VALUE"""),"Ken Smith")</f>
        <v>Ken Smith</v>
      </c>
      <c r="E5060" s="4" t="str">
        <f>IFERROR(__xludf.DUMMYFUNCTION("""COMPUTED_VALUE"""),"San Diego State")</f>
        <v>San Diego State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</row>
    <row r="5062">
      <c r="A5062" s="2">
        <v>1975.0</v>
      </c>
    </row>
    <row r="5063">
      <c r="A5063" s="4" t="str">
        <f>IFERROR(__xludf.DUMMYFUNCTION("IMPORTHTML(""https://www.basketball-reference.com/draft/NBA_1975.html"", ""table"", 1)"),"")</f>
        <v/>
      </c>
      <c r="B5063" s="4"/>
      <c r="C5063" s="4"/>
      <c r="D5063" s="4" t="str">
        <f>IFERROR(__xludf.DUMMYFUNCTION("""COMPUTED_VALUE"""),"Round 1")</f>
        <v>Round 1</v>
      </c>
      <c r="E5063" s="4"/>
      <c r="F5063" s="4"/>
      <c r="G5063" s="4" t="str">
        <f>IFERROR(__xludf.DUMMYFUNCTION("""COMPUTED_VALUE"""),"Totals")</f>
        <v>Totals</v>
      </c>
      <c r="H5063" s="4"/>
      <c r="I5063" s="4"/>
      <c r="J5063" s="4"/>
      <c r="K5063" s="4"/>
      <c r="L5063" s="4" t="str">
        <f>IFERROR(__xludf.DUMMYFUNCTION("""COMPUTED_VALUE"""),"Shooting")</f>
        <v>Shooting</v>
      </c>
      <c r="M5063" s="4"/>
      <c r="N5063" s="4"/>
      <c r="O5063" s="4" t="str">
        <f>IFERROR(__xludf.DUMMYFUNCTION("""COMPUTED_VALUE"""),"Per Game")</f>
        <v>Per Game</v>
      </c>
      <c r="P5063" s="4"/>
      <c r="Q5063" s="4"/>
      <c r="R5063" s="4"/>
      <c r="S5063" s="4" t="str">
        <f>IFERROR(__xludf.DUMMYFUNCTION("""COMPUTED_VALUE"""),"Advanced")</f>
        <v>Advanced</v>
      </c>
      <c r="T5063" s="4"/>
      <c r="U5063" s="4"/>
      <c r="V5063" s="4"/>
    </row>
    <row r="5064">
      <c r="A5064" s="4" t="str">
        <f>IFERROR(__xludf.DUMMYFUNCTION("""COMPUTED_VALUE"""),"Rk")</f>
        <v>Rk</v>
      </c>
      <c r="B5064" s="4" t="str">
        <f>IFERROR(__xludf.DUMMYFUNCTION("""COMPUTED_VALUE"""),"Pk")</f>
        <v>Pk</v>
      </c>
      <c r="C5064" s="4" t="str">
        <f>IFERROR(__xludf.DUMMYFUNCTION("""COMPUTED_VALUE"""),"Tm")</f>
        <v>Tm</v>
      </c>
      <c r="D5064" s="4" t="str">
        <f>IFERROR(__xludf.DUMMYFUNCTION("""COMPUTED_VALUE"""),"Player")</f>
        <v>Player</v>
      </c>
      <c r="E5064" s="4" t="str">
        <f>IFERROR(__xludf.DUMMYFUNCTION("""COMPUTED_VALUE"""),"College")</f>
        <v>College</v>
      </c>
      <c r="F5064" s="4" t="str">
        <f>IFERROR(__xludf.DUMMYFUNCTION("""COMPUTED_VALUE"""),"Yrs")</f>
        <v>Yrs</v>
      </c>
      <c r="G5064" s="4" t="str">
        <f>IFERROR(__xludf.DUMMYFUNCTION("""COMPUTED_VALUE"""),"G")</f>
        <v>G</v>
      </c>
      <c r="H5064" s="4" t="str">
        <f>IFERROR(__xludf.DUMMYFUNCTION("""COMPUTED_VALUE"""),"MP")</f>
        <v>MP</v>
      </c>
      <c r="I5064" s="4" t="str">
        <f>IFERROR(__xludf.DUMMYFUNCTION("""COMPUTED_VALUE"""),"PTS")</f>
        <v>PTS</v>
      </c>
      <c r="J5064" s="4" t="str">
        <f>IFERROR(__xludf.DUMMYFUNCTION("""COMPUTED_VALUE"""),"TRB")</f>
        <v>TRB</v>
      </c>
      <c r="K5064" s="4" t="str">
        <f>IFERROR(__xludf.DUMMYFUNCTION("""COMPUTED_VALUE"""),"AST")</f>
        <v>AST</v>
      </c>
      <c r="L5064" s="4" t="str">
        <f>IFERROR(__xludf.DUMMYFUNCTION("""COMPUTED_VALUE"""),"FG%")</f>
        <v>FG%</v>
      </c>
      <c r="M5064" s="4" t="str">
        <f>IFERROR(__xludf.DUMMYFUNCTION("""COMPUTED_VALUE"""),"3P%")</f>
        <v>3P%</v>
      </c>
      <c r="N5064" s="4" t="str">
        <f>IFERROR(__xludf.DUMMYFUNCTION("""COMPUTED_VALUE"""),"FT%")</f>
        <v>FT%</v>
      </c>
      <c r="O5064" s="4" t="str">
        <f>IFERROR(__xludf.DUMMYFUNCTION("""COMPUTED_VALUE"""),"MP")</f>
        <v>MP</v>
      </c>
      <c r="P5064" s="4" t="str">
        <f>IFERROR(__xludf.DUMMYFUNCTION("""COMPUTED_VALUE"""),"PTS")</f>
        <v>PTS</v>
      </c>
      <c r="Q5064" s="4" t="str">
        <f>IFERROR(__xludf.DUMMYFUNCTION("""COMPUTED_VALUE"""),"TRB")</f>
        <v>TRB</v>
      </c>
      <c r="R5064" s="4" t="str">
        <f>IFERROR(__xludf.DUMMYFUNCTION("""COMPUTED_VALUE"""),"AST")</f>
        <v>AST</v>
      </c>
      <c r="S5064" s="4" t="str">
        <f>IFERROR(__xludf.DUMMYFUNCTION("""COMPUTED_VALUE"""),"WS")</f>
        <v>WS</v>
      </c>
      <c r="T5064" s="4" t="str">
        <f>IFERROR(__xludf.DUMMYFUNCTION("""COMPUTED_VALUE"""),"WS/48")</f>
        <v>WS/48</v>
      </c>
      <c r="U5064" s="4" t="str">
        <f>IFERROR(__xludf.DUMMYFUNCTION("""COMPUTED_VALUE"""),"BPM")</f>
        <v>BPM</v>
      </c>
      <c r="V5064" s="4" t="str">
        <f>IFERROR(__xludf.DUMMYFUNCTION("""COMPUTED_VALUE"""),"VORP")</f>
        <v>VORP</v>
      </c>
    </row>
    <row r="5065">
      <c r="A5065" s="4">
        <f>IFERROR(__xludf.DUMMYFUNCTION("""COMPUTED_VALUE"""),1.0)</f>
        <v>1</v>
      </c>
      <c r="B5065" s="4">
        <f>IFERROR(__xludf.DUMMYFUNCTION("""COMPUTED_VALUE"""),1.0)</f>
        <v>1</v>
      </c>
      <c r="C5065" s="4" t="str">
        <f>IFERROR(__xludf.DUMMYFUNCTION("""COMPUTED_VALUE"""),"ATL")</f>
        <v>ATL</v>
      </c>
      <c r="D5065" s="4" t="str">
        <f>IFERROR(__xludf.DUMMYFUNCTION("""COMPUTED_VALUE"""),"David Thompson")</f>
        <v>David Thompson</v>
      </c>
      <c r="E5065" s="4" t="str">
        <f>IFERROR(__xludf.DUMMYFUNCTION("""COMPUTED_VALUE"""),"NC State")</f>
        <v>NC State</v>
      </c>
      <c r="F5065" s="4">
        <f>IFERROR(__xludf.DUMMYFUNCTION("""COMPUTED_VALUE"""),8.0)</f>
        <v>8</v>
      </c>
      <c r="G5065" s="4">
        <f>IFERROR(__xludf.DUMMYFUNCTION("""COMPUTED_VALUE"""),509.0)</f>
        <v>509</v>
      </c>
      <c r="H5065" s="4">
        <f>IFERROR(__xludf.DUMMYFUNCTION("""COMPUTED_VALUE"""),16305.0)</f>
        <v>16305</v>
      </c>
      <c r="I5065" s="4">
        <f>IFERROR(__xludf.DUMMYFUNCTION("""COMPUTED_VALUE"""),11264.0)</f>
        <v>11264</v>
      </c>
      <c r="J5065" s="4">
        <f>IFERROR(__xludf.DUMMYFUNCTION("""COMPUTED_VALUE"""),1921.0)</f>
        <v>1921</v>
      </c>
      <c r="K5065" s="4">
        <f>IFERROR(__xludf.DUMMYFUNCTION("""COMPUTED_VALUE"""),1631.0)</f>
        <v>1631</v>
      </c>
      <c r="L5065" s="4">
        <f>IFERROR(__xludf.DUMMYFUNCTION("""COMPUTED_VALUE"""),0.504)</f>
        <v>0.504</v>
      </c>
      <c r="M5065" s="4"/>
      <c r="N5065" s="4">
        <f>IFERROR(__xludf.DUMMYFUNCTION("""COMPUTED_VALUE"""),0.778)</f>
        <v>0.778</v>
      </c>
      <c r="O5065" s="4">
        <f>IFERROR(__xludf.DUMMYFUNCTION("""COMPUTED_VALUE"""),32.0)</f>
        <v>32</v>
      </c>
      <c r="P5065" s="4">
        <f>IFERROR(__xludf.DUMMYFUNCTION("""COMPUTED_VALUE"""),22.1)</f>
        <v>22.1</v>
      </c>
      <c r="Q5065" s="4">
        <f>IFERROR(__xludf.DUMMYFUNCTION("""COMPUTED_VALUE"""),3.8)</f>
        <v>3.8</v>
      </c>
      <c r="R5065" s="4">
        <f>IFERROR(__xludf.DUMMYFUNCTION("""COMPUTED_VALUE"""),3.2)</f>
        <v>3.2</v>
      </c>
      <c r="S5065" s="4">
        <f>IFERROR(__xludf.DUMMYFUNCTION("""COMPUTED_VALUE"""),50.8)</f>
        <v>50.8</v>
      </c>
      <c r="T5065" s="4">
        <f>IFERROR(__xludf.DUMMYFUNCTION("""COMPUTED_VALUE"""),0.15)</f>
        <v>0.15</v>
      </c>
      <c r="U5065" s="4">
        <f>IFERROR(__xludf.DUMMYFUNCTION("""COMPUTED_VALUE"""),2.1)</f>
        <v>2.1</v>
      </c>
      <c r="V5065" s="4">
        <f>IFERROR(__xludf.DUMMYFUNCTION("""COMPUTED_VALUE"""),16.8)</f>
        <v>16.8</v>
      </c>
    </row>
    <row r="5066">
      <c r="A5066" s="4">
        <f>IFERROR(__xludf.DUMMYFUNCTION("""COMPUTED_VALUE"""),2.0)</f>
        <v>2</v>
      </c>
      <c r="B5066" s="4">
        <f>IFERROR(__xludf.DUMMYFUNCTION("""COMPUTED_VALUE"""),2.0)</f>
        <v>2</v>
      </c>
      <c r="C5066" s="4" t="str">
        <f>IFERROR(__xludf.DUMMYFUNCTION("""COMPUTED_VALUE"""),"LAL")</f>
        <v>LAL</v>
      </c>
      <c r="D5066" s="4" t="str">
        <f>IFERROR(__xludf.DUMMYFUNCTION("""COMPUTED_VALUE"""),"Dave Meyers")</f>
        <v>Dave Meyers</v>
      </c>
      <c r="E5066" s="4" t="str">
        <f>IFERROR(__xludf.DUMMYFUNCTION("""COMPUTED_VALUE"""),"UCLA")</f>
        <v>UCLA</v>
      </c>
      <c r="F5066" s="4">
        <f>IFERROR(__xludf.DUMMYFUNCTION("""COMPUTED_VALUE"""),4.0)</f>
        <v>4</v>
      </c>
      <c r="G5066" s="4">
        <f>IFERROR(__xludf.DUMMYFUNCTION("""COMPUTED_VALUE"""),281.0)</f>
        <v>281</v>
      </c>
      <c r="H5066" s="4">
        <f>IFERROR(__xludf.DUMMYFUNCTION("""COMPUTED_VALUE"""),7471.0)</f>
        <v>7471</v>
      </c>
      <c r="I5066" s="4">
        <f>IFERROR(__xludf.DUMMYFUNCTION("""COMPUTED_VALUE"""),3149.0)</f>
        <v>3149</v>
      </c>
      <c r="J5066" s="4">
        <f>IFERROR(__xludf.DUMMYFUNCTION("""COMPUTED_VALUE"""),1771.0)</f>
        <v>1771</v>
      </c>
      <c r="K5066" s="4">
        <f>IFERROR(__xludf.DUMMYFUNCTION("""COMPUTED_VALUE"""),652.0)</f>
        <v>652</v>
      </c>
      <c r="L5066" s="4">
        <f>IFERROR(__xludf.DUMMYFUNCTION("""COMPUTED_VALUE"""),0.461)</f>
        <v>0.461</v>
      </c>
      <c r="M5066" s="4"/>
      <c r="N5066" s="4">
        <f>IFERROR(__xludf.DUMMYFUNCTION("""COMPUTED_VALUE"""),0.676)</f>
        <v>0.676</v>
      </c>
      <c r="O5066" s="4">
        <f>IFERROR(__xludf.DUMMYFUNCTION("""COMPUTED_VALUE"""),26.6)</f>
        <v>26.6</v>
      </c>
      <c r="P5066" s="4">
        <f>IFERROR(__xludf.DUMMYFUNCTION("""COMPUTED_VALUE"""),11.2)</f>
        <v>11.2</v>
      </c>
      <c r="Q5066" s="4">
        <f>IFERROR(__xludf.DUMMYFUNCTION("""COMPUTED_VALUE"""),6.3)</f>
        <v>6.3</v>
      </c>
      <c r="R5066" s="4">
        <f>IFERROR(__xludf.DUMMYFUNCTION("""COMPUTED_VALUE"""),2.3)</f>
        <v>2.3</v>
      </c>
      <c r="S5066" s="4">
        <f>IFERROR(__xludf.DUMMYFUNCTION("""COMPUTED_VALUE"""),13.4)</f>
        <v>13.4</v>
      </c>
      <c r="T5066" s="4">
        <f>IFERROR(__xludf.DUMMYFUNCTION("""COMPUTED_VALUE"""),0.086)</f>
        <v>0.086</v>
      </c>
      <c r="U5066" s="4">
        <f>IFERROR(__xludf.DUMMYFUNCTION("""COMPUTED_VALUE"""),-0.7)</f>
        <v>-0.7</v>
      </c>
      <c r="V5066" s="4">
        <f>IFERROR(__xludf.DUMMYFUNCTION("""COMPUTED_VALUE"""),2.4)</f>
        <v>2.4</v>
      </c>
    </row>
    <row r="5067">
      <c r="A5067" s="4">
        <f>IFERROR(__xludf.DUMMYFUNCTION("""COMPUTED_VALUE"""),3.0)</f>
        <v>3</v>
      </c>
      <c r="B5067" s="4">
        <f>IFERROR(__xludf.DUMMYFUNCTION("""COMPUTED_VALUE"""),3.0)</f>
        <v>3</v>
      </c>
      <c r="C5067" s="4" t="str">
        <f>IFERROR(__xludf.DUMMYFUNCTION("""COMPUTED_VALUE"""),"ATL")</f>
        <v>ATL</v>
      </c>
      <c r="D5067" s="4" t="str">
        <f>IFERROR(__xludf.DUMMYFUNCTION("""COMPUTED_VALUE"""),"Marvin Webster")</f>
        <v>Marvin Webster</v>
      </c>
      <c r="E5067" s="4" t="str">
        <f>IFERROR(__xludf.DUMMYFUNCTION("""COMPUTED_VALUE"""),"Morgan State University")</f>
        <v>Morgan State University</v>
      </c>
      <c r="F5067" s="4">
        <f>IFERROR(__xludf.DUMMYFUNCTION("""COMPUTED_VALUE"""),9.0)</f>
        <v>9</v>
      </c>
      <c r="G5067" s="4">
        <f>IFERROR(__xludf.DUMMYFUNCTION("""COMPUTED_VALUE"""),579.0)</f>
        <v>579</v>
      </c>
      <c r="H5067" s="4">
        <f>IFERROR(__xludf.DUMMYFUNCTION("""COMPUTED_VALUE"""),12966.0)</f>
        <v>12966</v>
      </c>
      <c r="I5067" s="4">
        <f>IFERROR(__xludf.DUMMYFUNCTION("""COMPUTED_VALUE"""),4137.0)</f>
        <v>4137</v>
      </c>
      <c r="J5067" s="4">
        <f>IFERROR(__xludf.DUMMYFUNCTION("""COMPUTED_VALUE"""),4044.0)</f>
        <v>4044</v>
      </c>
      <c r="K5067" s="4">
        <f>IFERROR(__xludf.DUMMYFUNCTION("""COMPUTED_VALUE"""),722.0)</f>
        <v>722</v>
      </c>
      <c r="L5067" s="4">
        <f>IFERROR(__xludf.DUMMYFUNCTION("""COMPUTED_VALUE"""),0.489)</f>
        <v>0.489</v>
      </c>
      <c r="M5067" s="4"/>
      <c r="N5067" s="4">
        <f>IFERROR(__xludf.DUMMYFUNCTION("""COMPUTED_VALUE"""),0.617)</f>
        <v>0.617</v>
      </c>
      <c r="O5067" s="4">
        <f>IFERROR(__xludf.DUMMYFUNCTION("""COMPUTED_VALUE"""),22.4)</f>
        <v>22.4</v>
      </c>
      <c r="P5067" s="4">
        <f>IFERROR(__xludf.DUMMYFUNCTION("""COMPUTED_VALUE"""),7.1)</f>
        <v>7.1</v>
      </c>
      <c r="Q5067" s="4">
        <f>IFERROR(__xludf.DUMMYFUNCTION("""COMPUTED_VALUE"""),7.0)</f>
        <v>7</v>
      </c>
      <c r="R5067" s="4">
        <f>IFERROR(__xludf.DUMMYFUNCTION("""COMPUTED_VALUE"""),1.2)</f>
        <v>1.2</v>
      </c>
      <c r="S5067" s="4">
        <f>IFERROR(__xludf.DUMMYFUNCTION("""COMPUTED_VALUE"""),28.1)</f>
        <v>28.1</v>
      </c>
      <c r="T5067" s="4">
        <f>IFERROR(__xludf.DUMMYFUNCTION("""COMPUTED_VALUE"""),0.104)</f>
        <v>0.104</v>
      </c>
      <c r="U5067" s="4">
        <f>IFERROR(__xludf.DUMMYFUNCTION("""COMPUTED_VALUE"""),-0.1)</f>
        <v>-0.1</v>
      </c>
      <c r="V5067" s="4">
        <f>IFERROR(__xludf.DUMMYFUNCTION("""COMPUTED_VALUE"""),6.2)</f>
        <v>6.2</v>
      </c>
    </row>
    <row r="5068">
      <c r="A5068" s="4">
        <f>IFERROR(__xludf.DUMMYFUNCTION("""COMPUTED_VALUE"""),4.0)</f>
        <v>4</v>
      </c>
      <c r="B5068" s="4">
        <f>IFERROR(__xludf.DUMMYFUNCTION("""COMPUTED_VALUE"""),4.0)</f>
        <v>4</v>
      </c>
      <c r="C5068" s="4" t="str">
        <f>IFERROR(__xludf.DUMMYFUNCTION("""COMPUTED_VALUE"""),"PHO")</f>
        <v>PHO</v>
      </c>
      <c r="D5068" s="4" t="str">
        <f>IFERROR(__xludf.DUMMYFUNCTION("""COMPUTED_VALUE"""),"Alvan Adams")</f>
        <v>Alvan Adams</v>
      </c>
      <c r="E5068" s="4" t="str">
        <f>IFERROR(__xludf.DUMMYFUNCTION("""COMPUTED_VALUE"""),"Oklahoma")</f>
        <v>Oklahoma</v>
      </c>
      <c r="F5068" s="4">
        <f>IFERROR(__xludf.DUMMYFUNCTION("""COMPUTED_VALUE"""),13.0)</f>
        <v>13</v>
      </c>
      <c r="G5068" s="4">
        <f>IFERROR(__xludf.DUMMYFUNCTION("""COMPUTED_VALUE"""),988.0)</f>
        <v>988</v>
      </c>
      <c r="H5068" s="4">
        <f>IFERROR(__xludf.DUMMYFUNCTION("""COMPUTED_VALUE"""),27203.0)</f>
        <v>27203</v>
      </c>
      <c r="I5068" s="4">
        <f>IFERROR(__xludf.DUMMYFUNCTION("""COMPUTED_VALUE"""),13910.0)</f>
        <v>13910</v>
      </c>
      <c r="J5068" s="4">
        <f>IFERROR(__xludf.DUMMYFUNCTION("""COMPUTED_VALUE"""),6937.0)</f>
        <v>6937</v>
      </c>
      <c r="K5068" s="4">
        <f>IFERROR(__xludf.DUMMYFUNCTION("""COMPUTED_VALUE"""),4012.0)</f>
        <v>4012</v>
      </c>
      <c r="L5068" s="4">
        <f>IFERROR(__xludf.DUMMYFUNCTION("""COMPUTED_VALUE"""),0.498)</f>
        <v>0.498</v>
      </c>
      <c r="M5068" s="4"/>
      <c r="N5068" s="4">
        <f>IFERROR(__xludf.DUMMYFUNCTION("""COMPUTED_VALUE"""),0.788)</f>
        <v>0.788</v>
      </c>
      <c r="O5068" s="4">
        <f>IFERROR(__xludf.DUMMYFUNCTION("""COMPUTED_VALUE"""),27.5)</f>
        <v>27.5</v>
      </c>
      <c r="P5068" s="4">
        <f>IFERROR(__xludf.DUMMYFUNCTION("""COMPUTED_VALUE"""),14.1)</f>
        <v>14.1</v>
      </c>
      <c r="Q5068" s="4">
        <f>IFERROR(__xludf.DUMMYFUNCTION("""COMPUTED_VALUE"""),7.0)</f>
        <v>7</v>
      </c>
      <c r="R5068" s="4">
        <f>IFERROR(__xludf.DUMMYFUNCTION("""COMPUTED_VALUE"""),4.1)</f>
        <v>4.1</v>
      </c>
      <c r="S5068" s="4">
        <f>IFERROR(__xludf.DUMMYFUNCTION("""COMPUTED_VALUE"""),73.5)</f>
        <v>73.5</v>
      </c>
      <c r="T5068" s="4">
        <f>IFERROR(__xludf.DUMMYFUNCTION("""COMPUTED_VALUE"""),0.13)</f>
        <v>0.13</v>
      </c>
      <c r="U5068" s="4">
        <f>IFERROR(__xludf.DUMMYFUNCTION("""COMPUTED_VALUE"""),2.8)</f>
        <v>2.8</v>
      </c>
      <c r="V5068" s="4">
        <f>IFERROR(__xludf.DUMMYFUNCTION("""COMPUTED_VALUE"""),33.0)</f>
        <v>33</v>
      </c>
    </row>
    <row r="5069">
      <c r="A5069" s="4">
        <f>IFERROR(__xludf.DUMMYFUNCTION("""COMPUTED_VALUE"""),5.0)</f>
        <v>5</v>
      </c>
      <c r="B5069" s="4">
        <f>IFERROR(__xludf.DUMMYFUNCTION("""COMPUTED_VALUE"""),5.0)</f>
        <v>5</v>
      </c>
      <c r="C5069" s="4" t="str">
        <f>IFERROR(__xludf.DUMMYFUNCTION("""COMPUTED_VALUE"""),"PHI")</f>
        <v>PHI</v>
      </c>
      <c r="D5069" s="4" t="str">
        <f>IFERROR(__xludf.DUMMYFUNCTION("""COMPUTED_VALUE"""),"Darryl Dawkins")</f>
        <v>Darryl Dawkins</v>
      </c>
      <c r="E5069" s="4"/>
      <c r="F5069" s="4">
        <f>IFERROR(__xludf.DUMMYFUNCTION("""COMPUTED_VALUE"""),14.0)</f>
        <v>14</v>
      </c>
      <c r="G5069" s="4">
        <f>IFERROR(__xludf.DUMMYFUNCTION("""COMPUTED_VALUE"""),726.0)</f>
        <v>726</v>
      </c>
      <c r="H5069" s="4">
        <f>IFERROR(__xludf.DUMMYFUNCTION("""COMPUTED_VALUE"""),17235.0)</f>
        <v>17235</v>
      </c>
      <c r="I5069" s="4">
        <f>IFERROR(__xludf.DUMMYFUNCTION("""COMPUTED_VALUE"""),8733.0)</f>
        <v>8733</v>
      </c>
      <c r="J5069" s="4">
        <f>IFERROR(__xludf.DUMMYFUNCTION("""COMPUTED_VALUE"""),4432.0)</f>
        <v>4432</v>
      </c>
      <c r="K5069" s="4">
        <f>IFERROR(__xludf.DUMMYFUNCTION("""COMPUTED_VALUE"""),917.0)</f>
        <v>917</v>
      </c>
      <c r="L5069" s="4">
        <f>IFERROR(__xludf.DUMMYFUNCTION("""COMPUTED_VALUE"""),0.572)</f>
        <v>0.572</v>
      </c>
      <c r="M5069" s="4"/>
      <c r="N5069" s="4">
        <f>IFERROR(__xludf.DUMMYFUNCTION("""COMPUTED_VALUE"""),0.685)</f>
        <v>0.685</v>
      </c>
      <c r="O5069" s="4">
        <f>IFERROR(__xludf.DUMMYFUNCTION("""COMPUTED_VALUE"""),23.7)</f>
        <v>23.7</v>
      </c>
      <c r="P5069" s="4">
        <f>IFERROR(__xludf.DUMMYFUNCTION("""COMPUTED_VALUE"""),12.0)</f>
        <v>12</v>
      </c>
      <c r="Q5069" s="4">
        <f>IFERROR(__xludf.DUMMYFUNCTION("""COMPUTED_VALUE"""),6.1)</f>
        <v>6.1</v>
      </c>
      <c r="R5069" s="4">
        <f>IFERROR(__xludf.DUMMYFUNCTION("""COMPUTED_VALUE"""),1.3)</f>
        <v>1.3</v>
      </c>
      <c r="S5069" s="4">
        <f>IFERROR(__xludf.DUMMYFUNCTION("""COMPUTED_VALUE"""),46.4)</f>
        <v>46.4</v>
      </c>
      <c r="T5069" s="4">
        <f>IFERROR(__xludf.DUMMYFUNCTION("""COMPUTED_VALUE"""),0.129)</f>
        <v>0.129</v>
      </c>
      <c r="U5069" s="4">
        <f>IFERROR(__xludf.DUMMYFUNCTION("""COMPUTED_VALUE"""),-0.2)</f>
        <v>-0.2</v>
      </c>
      <c r="V5069" s="4">
        <f>IFERROR(__xludf.DUMMYFUNCTION("""COMPUTED_VALUE"""),7.8)</f>
        <v>7.8</v>
      </c>
    </row>
    <row r="5070">
      <c r="A5070" s="4">
        <f>IFERROR(__xludf.DUMMYFUNCTION("""COMPUTED_VALUE"""),6.0)</f>
        <v>6</v>
      </c>
      <c r="B5070" s="4">
        <f>IFERROR(__xludf.DUMMYFUNCTION("""COMPUTED_VALUE"""),6.0)</f>
        <v>6</v>
      </c>
      <c r="C5070" s="4" t="str">
        <f>IFERROR(__xludf.DUMMYFUNCTION("""COMPUTED_VALUE"""),"POR")</f>
        <v>POR</v>
      </c>
      <c r="D5070" s="4" t="str">
        <f>IFERROR(__xludf.DUMMYFUNCTION("""COMPUTED_VALUE"""),"Lionel Hollins")</f>
        <v>Lionel Hollins</v>
      </c>
      <c r="E5070" s="4" t="str">
        <f>IFERROR(__xludf.DUMMYFUNCTION("""COMPUTED_VALUE"""),"Arizona State")</f>
        <v>Arizona State</v>
      </c>
      <c r="F5070" s="4">
        <f>IFERROR(__xludf.DUMMYFUNCTION("""COMPUTED_VALUE"""),10.0)</f>
        <v>10</v>
      </c>
      <c r="G5070" s="4">
        <f>IFERROR(__xludf.DUMMYFUNCTION("""COMPUTED_VALUE"""),673.0)</f>
        <v>673</v>
      </c>
      <c r="H5070" s="4">
        <f>IFERROR(__xludf.DUMMYFUNCTION("""COMPUTED_VALUE"""),18453.0)</f>
        <v>18453</v>
      </c>
      <c r="I5070" s="4">
        <f>IFERROR(__xludf.DUMMYFUNCTION("""COMPUTED_VALUE"""),7809.0)</f>
        <v>7809</v>
      </c>
      <c r="J5070" s="4">
        <f>IFERROR(__xludf.DUMMYFUNCTION("""COMPUTED_VALUE"""),1601.0)</f>
        <v>1601</v>
      </c>
      <c r="K5070" s="4">
        <f>IFERROR(__xludf.DUMMYFUNCTION("""COMPUTED_VALUE"""),3006.0)</f>
        <v>3006</v>
      </c>
      <c r="L5070" s="4">
        <f>IFERROR(__xludf.DUMMYFUNCTION("""COMPUTED_VALUE"""),0.444)</f>
        <v>0.444</v>
      </c>
      <c r="M5070" s="4"/>
      <c r="N5070" s="4">
        <f>IFERROR(__xludf.DUMMYFUNCTION("""COMPUTED_VALUE"""),0.741)</f>
        <v>0.741</v>
      </c>
      <c r="O5070" s="4">
        <f>IFERROR(__xludf.DUMMYFUNCTION("""COMPUTED_VALUE"""),27.4)</f>
        <v>27.4</v>
      </c>
      <c r="P5070" s="4">
        <f>IFERROR(__xludf.DUMMYFUNCTION("""COMPUTED_VALUE"""),11.6)</f>
        <v>11.6</v>
      </c>
      <c r="Q5070" s="4">
        <f>IFERROR(__xludf.DUMMYFUNCTION("""COMPUTED_VALUE"""),2.4)</f>
        <v>2.4</v>
      </c>
      <c r="R5070" s="4">
        <f>IFERROR(__xludf.DUMMYFUNCTION("""COMPUTED_VALUE"""),4.5)</f>
        <v>4.5</v>
      </c>
      <c r="S5070" s="4">
        <f>IFERROR(__xludf.DUMMYFUNCTION("""COMPUTED_VALUE"""),22.9)</f>
        <v>22.9</v>
      </c>
      <c r="T5070" s="4">
        <f>IFERROR(__xludf.DUMMYFUNCTION("""COMPUTED_VALUE"""),0.059)</f>
        <v>0.059</v>
      </c>
      <c r="U5070" s="4">
        <f>IFERROR(__xludf.DUMMYFUNCTION("""COMPUTED_VALUE"""),-1.4)</f>
        <v>-1.4</v>
      </c>
      <c r="V5070" s="4">
        <f>IFERROR(__xludf.DUMMYFUNCTION("""COMPUTED_VALUE"""),3.1)</f>
        <v>3.1</v>
      </c>
    </row>
    <row r="5071">
      <c r="A5071" s="4">
        <f>IFERROR(__xludf.DUMMYFUNCTION("""COMPUTED_VALUE"""),7.0)</f>
        <v>7</v>
      </c>
      <c r="B5071" s="4">
        <f>IFERROR(__xludf.DUMMYFUNCTION("""COMPUTED_VALUE"""),7.0)</f>
        <v>7</v>
      </c>
      <c r="C5071" s="4" t="str">
        <f>IFERROR(__xludf.DUMMYFUNCTION("""COMPUTED_VALUE"""),"NOJ")</f>
        <v>NOJ</v>
      </c>
      <c r="D5071" s="4" t="str">
        <f>IFERROR(__xludf.DUMMYFUNCTION("""COMPUTED_VALUE"""),"Rich Kelley")</f>
        <v>Rich Kelley</v>
      </c>
      <c r="E5071" s="4" t="str">
        <f>IFERROR(__xludf.DUMMYFUNCTION("""COMPUTED_VALUE"""),"Stanford")</f>
        <v>Stanford</v>
      </c>
      <c r="F5071" s="4">
        <f>IFERROR(__xludf.DUMMYFUNCTION("""COMPUTED_VALUE"""),11.0)</f>
        <v>11</v>
      </c>
      <c r="G5071" s="4">
        <f>IFERROR(__xludf.DUMMYFUNCTION("""COMPUTED_VALUE"""),814.0)</f>
        <v>814</v>
      </c>
      <c r="H5071" s="4">
        <f>IFERROR(__xludf.DUMMYFUNCTION("""COMPUTED_VALUE"""),17711.0)</f>
        <v>17711</v>
      </c>
      <c r="I5071" s="4">
        <f>IFERROR(__xludf.DUMMYFUNCTION("""COMPUTED_VALUE"""),6199.0)</f>
        <v>6199</v>
      </c>
      <c r="J5071" s="4">
        <f>IFERROR(__xludf.DUMMYFUNCTION("""COMPUTED_VALUE"""),5678.0)</f>
        <v>5678</v>
      </c>
      <c r="K5071" s="4">
        <f>IFERROR(__xludf.DUMMYFUNCTION("""COMPUTED_VALUE"""),2092.0)</f>
        <v>2092</v>
      </c>
      <c r="L5071" s="4">
        <f>IFERROR(__xludf.DUMMYFUNCTION("""COMPUTED_VALUE"""),0.488)</f>
        <v>0.488</v>
      </c>
      <c r="M5071" s="4"/>
      <c r="N5071" s="4">
        <f>IFERROR(__xludf.DUMMYFUNCTION("""COMPUTED_VALUE"""),0.783)</f>
        <v>0.783</v>
      </c>
      <c r="O5071" s="4">
        <f>IFERROR(__xludf.DUMMYFUNCTION("""COMPUTED_VALUE"""),21.8)</f>
        <v>21.8</v>
      </c>
      <c r="P5071" s="4">
        <f>IFERROR(__xludf.DUMMYFUNCTION("""COMPUTED_VALUE"""),7.6)</f>
        <v>7.6</v>
      </c>
      <c r="Q5071" s="4">
        <f>IFERROR(__xludf.DUMMYFUNCTION("""COMPUTED_VALUE"""),7.0)</f>
        <v>7</v>
      </c>
      <c r="R5071" s="4">
        <f>IFERROR(__xludf.DUMMYFUNCTION("""COMPUTED_VALUE"""),2.6)</f>
        <v>2.6</v>
      </c>
      <c r="S5071" s="4">
        <f>IFERROR(__xludf.DUMMYFUNCTION("""COMPUTED_VALUE"""),42.5)</f>
        <v>42.5</v>
      </c>
      <c r="T5071" s="4">
        <f>IFERROR(__xludf.DUMMYFUNCTION("""COMPUTED_VALUE"""),0.115)</f>
        <v>0.115</v>
      </c>
      <c r="U5071" s="4">
        <f>IFERROR(__xludf.DUMMYFUNCTION("""COMPUTED_VALUE"""),0.8)</f>
        <v>0.8</v>
      </c>
      <c r="V5071" s="4">
        <f>IFERROR(__xludf.DUMMYFUNCTION("""COMPUTED_VALUE"""),12.6)</f>
        <v>12.6</v>
      </c>
    </row>
    <row r="5072">
      <c r="A5072" s="4">
        <f>IFERROR(__xludf.DUMMYFUNCTION("""COMPUTED_VALUE"""),8.0)</f>
        <v>8</v>
      </c>
      <c r="B5072" s="4">
        <f>IFERROR(__xludf.DUMMYFUNCTION("""COMPUTED_VALUE"""),8.0)</f>
        <v>8</v>
      </c>
      <c r="C5072" s="4" t="str">
        <f>IFERROR(__xludf.DUMMYFUNCTION("""COMPUTED_VALUE"""),"LAL")</f>
        <v>LAL</v>
      </c>
      <c r="D5072" s="4" t="str">
        <f>IFERROR(__xludf.DUMMYFUNCTION("""COMPUTED_VALUE"""),"Junior Bridgeman")</f>
        <v>Junior Bridgeman</v>
      </c>
      <c r="E5072" s="4" t="str">
        <f>IFERROR(__xludf.DUMMYFUNCTION("""COMPUTED_VALUE"""),"Louisville")</f>
        <v>Louisville</v>
      </c>
      <c r="F5072" s="4">
        <f>IFERROR(__xludf.DUMMYFUNCTION("""COMPUTED_VALUE"""),12.0)</f>
        <v>12</v>
      </c>
      <c r="G5072" s="4">
        <f>IFERROR(__xludf.DUMMYFUNCTION("""COMPUTED_VALUE"""),849.0)</f>
        <v>849</v>
      </c>
      <c r="H5072" s="4">
        <f>IFERROR(__xludf.DUMMYFUNCTION("""COMPUTED_VALUE"""),21257.0)</f>
        <v>21257</v>
      </c>
      <c r="I5072" s="4">
        <f>IFERROR(__xludf.DUMMYFUNCTION("""COMPUTED_VALUE"""),11517.0)</f>
        <v>11517</v>
      </c>
      <c r="J5072" s="4">
        <f>IFERROR(__xludf.DUMMYFUNCTION("""COMPUTED_VALUE"""),2995.0)</f>
        <v>2995</v>
      </c>
      <c r="K5072" s="4">
        <f>IFERROR(__xludf.DUMMYFUNCTION("""COMPUTED_VALUE"""),2066.0)</f>
        <v>2066</v>
      </c>
      <c r="L5072" s="4">
        <f>IFERROR(__xludf.DUMMYFUNCTION("""COMPUTED_VALUE"""),0.475)</f>
        <v>0.475</v>
      </c>
      <c r="M5072" s="4"/>
      <c r="N5072" s="4">
        <f>IFERROR(__xludf.DUMMYFUNCTION("""COMPUTED_VALUE"""),0.846)</f>
        <v>0.846</v>
      </c>
      <c r="O5072" s="4">
        <f>IFERROR(__xludf.DUMMYFUNCTION("""COMPUTED_VALUE"""),25.0)</f>
        <v>25</v>
      </c>
      <c r="P5072" s="4">
        <f>IFERROR(__xludf.DUMMYFUNCTION("""COMPUTED_VALUE"""),13.6)</f>
        <v>13.6</v>
      </c>
      <c r="Q5072" s="4">
        <f>IFERROR(__xludf.DUMMYFUNCTION("""COMPUTED_VALUE"""),3.5)</f>
        <v>3.5</v>
      </c>
      <c r="R5072" s="4">
        <f>IFERROR(__xludf.DUMMYFUNCTION("""COMPUTED_VALUE"""),2.4)</f>
        <v>2.4</v>
      </c>
      <c r="S5072" s="4">
        <f>IFERROR(__xludf.DUMMYFUNCTION("""COMPUTED_VALUE"""),45.0)</f>
        <v>45</v>
      </c>
      <c r="T5072" s="4">
        <f>IFERROR(__xludf.DUMMYFUNCTION("""COMPUTED_VALUE"""),0.102)</f>
        <v>0.102</v>
      </c>
      <c r="U5072" s="4">
        <f>IFERROR(__xludf.DUMMYFUNCTION("""COMPUTED_VALUE"""),-0.4)</f>
        <v>-0.4</v>
      </c>
      <c r="V5072" s="4">
        <f>IFERROR(__xludf.DUMMYFUNCTION("""COMPUTED_VALUE"""),8.3)</f>
        <v>8.3</v>
      </c>
    </row>
    <row r="5073">
      <c r="A5073" s="4">
        <f>IFERROR(__xludf.DUMMYFUNCTION("""COMPUTED_VALUE"""),9.0)</f>
        <v>9</v>
      </c>
      <c r="B5073" s="4">
        <f>IFERROR(__xludf.DUMMYFUNCTION("""COMPUTED_VALUE"""),9.0)</f>
        <v>9</v>
      </c>
      <c r="C5073" s="4" t="str">
        <f>IFERROR(__xludf.DUMMYFUNCTION("""COMPUTED_VALUE"""),"NYK")</f>
        <v>NYK</v>
      </c>
      <c r="D5073" s="4" t="str">
        <f>IFERROR(__xludf.DUMMYFUNCTION("""COMPUTED_VALUE"""),"Gene Short")</f>
        <v>Gene Short</v>
      </c>
      <c r="E5073" s="4" t="str">
        <f>IFERROR(__xludf.DUMMYFUNCTION("""COMPUTED_VALUE"""),"Jackson State University")</f>
        <v>Jackson State University</v>
      </c>
      <c r="F5073" s="4">
        <f>IFERROR(__xludf.DUMMYFUNCTION("""COMPUTED_VALUE"""),1.0)</f>
        <v>1</v>
      </c>
      <c r="G5073" s="4">
        <f>IFERROR(__xludf.DUMMYFUNCTION("""COMPUTED_VALUE"""),34.0)</f>
        <v>34</v>
      </c>
      <c r="H5073" s="4">
        <f>IFERROR(__xludf.DUMMYFUNCTION("""COMPUTED_VALUE"""),222.0)</f>
        <v>222</v>
      </c>
      <c r="I5073" s="4">
        <f>IFERROR(__xludf.DUMMYFUNCTION("""COMPUTED_VALUE"""),84.0)</f>
        <v>84</v>
      </c>
      <c r="J5073" s="4">
        <f>IFERROR(__xludf.DUMMYFUNCTION("""COMPUTED_VALUE"""),48.0)</f>
        <v>48</v>
      </c>
      <c r="K5073" s="4">
        <f>IFERROR(__xludf.DUMMYFUNCTION("""COMPUTED_VALUE"""),10.0)</f>
        <v>10</v>
      </c>
      <c r="L5073" s="4">
        <f>IFERROR(__xludf.DUMMYFUNCTION("""COMPUTED_VALUE"""),0.352)</f>
        <v>0.352</v>
      </c>
      <c r="M5073" s="4"/>
      <c r="N5073" s="4">
        <f>IFERROR(__xludf.DUMMYFUNCTION("""COMPUTED_VALUE"""),0.625)</f>
        <v>0.625</v>
      </c>
      <c r="O5073" s="4">
        <f>IFERROR(__xludf.DUMMYFUNCTION("""COMPUTED_VALUE"""),6.5)</f>
        <v>6.5</v>
      </c>
      <c r="P5073" s="4">
        <f>IFERROR(__xludf.DUMMYFUNCTION("""COMPUTED_VALUE"""),2.5)</f>
        <v>2.5</v>
      </c>
      <c r="Q5073" s="4">
        <f>IFERROR(__xludf.DUMMYFUNCTION("""COMPUTED_VALUE"""),1.4)</f>
        <v>1.4</v>
      </c>
      <c r="R5073" s="4">
        <f>IFERROR(__xludf.DUMMYFUNCTION("""COMPUTED_VALUE"""),0.3)</f>
        <v>0.3</v>
      </c>
      <c r="S5073" s="4">
        <f>IFERROR(__xludf.DUMMYFUNCTION("""COMPUTED_VALUE"""),-0.1)</f>
        <v>-0.1</v>
      </c>
      <c r="T5073" s="4">
        <f>IFERROR(__xludf.DUMMYFUNCTION("""COMPUTED_VALUE"""),-0.025)</f>
        <v>-0.025</v>
      </c>
      <c r="U5073" s="4">
        <f>IFERROR(__xludf.DUMMYFUNCTION("""COMPUTED_VALUE"""),-5.0)</f>
        <v>-5</v>
      </c>
      <c r="V5073" s="4">
        <f>IFERROR(__xludf.DUMMYFUNCTION("""COMPUTED_VALUE"""),-0.2)</f>
        <v>-0.2</v>
      </c>
    </row>
    <row r="5074">
      <c r="A5074" s="4">
        <f>IFERROR(__xludf.DUMMYFUNCTION("""COMPUTED_VALUE"""),10.0)</f>
        <v>10</v>
      </c>
      <c r="B5074" s="4">
        <f>IFERROR(__xludf.DUMMYFUNCTION("""COMPUTED_VALUE"""),10.0)</f>
        <v>10</v>
      </c>
      <c r="C5074" s="4" t="str">
        <f>IFERROR(__xludf.DUMMYFUNCTION("""COMPUTED_VALUE"""),"KCK")</f>
        <v>KCK</v>
      </c>
      <c r="D5074" s="4" t="str">
        <f>IFERROR(__xludf.DUMMYFUNCTION("""COMPUTED_VALUE"""),"Bill Robinzine")</f>
        <v>Bill Robinzine</v>
      </c>
      <c r="E5074" s="4" t="str">
        <f>IFERROR(__xludf.DUMMYFUNCTION("""COMPUTED_VALUE"""),"DePaul")</f>
        <v>DePaul</v>
      </c>
      <c r="F5074" s="4">
        <f>IFERROR(__xludf.DUMMYFUNCTION("""COMPUTED_VALUE"""),7.0)</f>
        <v>7</v>
      </c>
      <c r="G5074" s="4">
        <f>IFERROR(__xludf.DUMMYFUNCTION("""COMPUTED_VALUE"""),529.0)</f>
        <v>529</v>
      </c>
      <c r="H5074" s="4">
        <f>IFERROR(__xludf.DUMMYFUNCTION("""COMPUTED_VALUE"""),11432.0)</f>
        <v>11432</v>
      </c>
      <c r="I5074" s="4">
        <f>IFERROR(__xludf.DUMMYFUNCTION("""COMPUTED_VALUE"""),5541.0)</f>
        <v>5541</v>
      </c>
      <c r="J5074" s="4">
        <f>IFERROR(__xludf.DUMMYFUNCTION("""COMPUTED_VALUE"""),3209.0)</f>
        <v>3209</v>
      </c>
      <c r="K5074" s="4">
        <f>IFERROR(__xludf.DUMMYFUNCTION("""COMPUTED_VALUE"""),560.0)</f>
        <v>560</v>
      </c>
      <c r="L5074" s="4">
        <f>IFERROR(__xludf.DUMMYFUNCTION("""COMPUTED_VALUE"""),0.482)</f>
        <v>0.482</v>
      </c>
      <c r="M5074" s="4"/>
      <c r="N5074" s="4">
        <f>IFERROR(__xludf.DUMMYFUNCTION("""COMPUTED_VALUE"""),0.749)</f>
        <v>0.749</v>
      </c>
      <c r="O5074" s="4">
        <f>IFERROR(__xludf.DUMMYFUNCTION("""COMPUTED_VALUE"""),21.6)</f>
        <v>21.6</v>
      </c>
      <c r="P5074" s="4">
        <f>IFERROR(__xludf.DUMMYFUNCTION("""COMPUTED_VALUE"""),10.5)</f>
        <v>10.5</v>
      </c>
      <c r="Q5074" s="4">
        <f>IFERROR(__xludf.DUMMYFUNCTION("""COMPUTED_VALUE"""),6.1)</f>
        <v>6.1</v>
      </c>
      <c r="R5074" s="4">
        <f>IFERROR(__xludf.DUMMYFUNCTION("""COMPUTED_VALUE"""),1.1)</f>
        <v>1.1</v>
      </c>
      <c r="S5074" s="4">
        <f>IFERROR(__xludf.DUMMYFUNCTION("""COMPUTED_VALUE"""),23.3)</f>
        <v>23.3</v>
      </c>
      <c r="T5074" s="4">
        <f>IFERROR(__xludf.DUMMYFUNCTION("""COMPUTED_VALUE"""),0.098)</f>
        <v>0.098</v>
      </c>
      <c r="U5074" s="4">
        <f>IFERROR(__xludf.DUMMYFUNCTION("""COMPUTED_VALUE"""),-1.8)</f>
        <v>-1.8</v>
      </c>
      <c r="V5074" s="4">
        <f>IFERROR(__xludf.DUMMYFUNCTION("""COMPUTED_VALUE"""),0.5)</f>
        <v>0.5</v>
      </c>
    </row>
    <row r="5075">
      <c r="A5075" s="4">
        <f>IFERROR(__xludf.DUMMYFUNCTION("""COMPUTED_VALUE"""),11.0)</f>
        <v>11</v>
      </c>
      <c r="B5075" s="4">
        <f>IFERROR(__xludf.DUMMYFUNCTION("""COMPUTED_VALUE"""),11.0)</f>
        <v>11</v>
      </c>
      <c r="C5075" s="4" t="str">
        <f>IFERROR(__xludf.DUMMYFUNCTION("""COMPUTED_VALUE"""),"HOU")</f>
        <v>HOU</v>
      </c>
      <c r="D5075" s="4" t="str">
        <f>IFERROR(__xludf.DUMMYFUNCTION("""COMPUTED_VALUE"""),"Joe Meriweather")</f>
        <v>Joe Meriweather</v>
      </c>
      <c r="E5075" s="4" t="str">
        <f>IFERROR(__xludf.DUMMYFUNCTION("""COMPUTED_VALUE"""),"Southern Illinois")</f>
        <v>Southern Illinois</v>
      </c>
      <c r="F5075" s="4">
        <f>IFERROR(__xludf.DUMMYFUNCTION("""COMPUTED_VALUE"""),10.0)</f>
        <v>10</v>
      </c>
      <c r="G5075" s="4">
        <f>IFERROR(__xludf.DUMMYFUNCTION("""COMPUTED_VALUE"""),670.0)</f>
        <v>670</v>
      </c>
      <c r="H5075" s="4">
        <f>IFERROR(__xludf.DUMMYFUNCTION("""COMPUTED_VALUE"""),14807.0)</f>
        <v>14807</v>
      </c>
      <c r="I5075" s="4">
        <f>IFERROR(__xludf.DUMMYFUNCTION("""COMPUTED_VALUE"""),5439.0)</f>
        <v>5439</v>
      </c>
      <c r="J5075" s="4">
        <f>IFERROR(__xludf.DUMMYFUNCTION("""COMPUTED_VALUE"""),3764.0)</f>
        <v>3764</v>
      </c>
      <c r="K5075" s="4">
        <f>IFERROR(__xludf.DUMMYFUNCTION("""COMPUTED_VALUE"""),603.0)</f>
        <v>603</v>
      </c>
      <c r="L5075" s="4">
        <f>IFERROR(__xludf.DUMMYFUNCTION("""COMPUTED_VALUE"""),0.511)</f>
        <v>0.511</v>
      </c>
      <c r="M5075" s="4"/>
      <c r="N5075" s="4">
        <f>IFERROR(__xludf.DUMMYFUNCTION("""COMPUTED_VALUE"""),0.687)</f>
        <v>0.687</v>
      </c>
      <c r="O5075" s="4">
        <f>IFERROR(__xludf.DUMMYFUNCTION("""COMPUTED_VALUE"""),22.1)</f>
        <v>22.1</v>
      </c>
      <c r="P5075" s="4">
        <f>IFERROR(__xludf.DUMMYFUNCTION("""COMPUTED_VALUE"""),8.1)</f>
        <v>8.1</v>
      </c>
      <c r="Q5075" s="4">
        <f>IFERROR(__xludf.DUMMYFUNCTION("""COMPUTED_VALUE"""),5.6)</f>
        <v>5.6</v>
      </c>
      <c r="R5075" s="4">
        <f>IFERROR(__xludf.DUMMYFUNCTION("""COMPUTED_VALUE"""),0.9)</f>
        <v>0.9</v>
      </c>
      <c r="S5075" s="4">
        <f>IFERROR(__xludf.DUMMYFUNCTION("""COMPUTED_VALUE"""),27.6)</f>
        <v>27.6</v>
      </c>
      <c r="T5075" s="4">
        <f>IFERROR(__xludf.DUMMYFUNCTION("""COMPUTED_VALUE"""),0.09)</f>
        <v>0.09</v>
      </c>
      <c r="U5075" s="4">
        <f>IFERROR(__xludf.DUMMYFUNCTION("""COMPUTED_VALUE"""),-1.7)</f>
        <v>-1.7</v>
      </c>
      <c r="V5075" s="4">
        <f>IFERROR(__xludf.DUMMYFUNCTION("""COMPUTED_VALUE"""),1.2)</f>
        <v>1.2</v>
      </c>
    </row>
    <row r="5076">
      <c r="A5076" s="4">
        <f>IFERROR(__xludf.DUMMYFUNCTION("""COMPUTED_VALUE"""),12.0)</f>
        <v>12</v>
      </c>
      <c r="B5076" s="4">
        <f>IFERROR(__xludf.DUMMYFUNCTION("""COMPUTED_VALUE"""),12.0)</f>
        <v>12</v>
      </c>
      <c r="C5076" s="4" t="str">
        <f>IFERROR(__xludf.DUMMYFUNCTION("""COMPUTED_VALUE"""),"SEA")</f>
        <v>SEA</v>
      </c>
      <c r="D5076" s="4" t="str">
        <f>IFERROR(__xludf.DUMMYFUNCTION("""COMPUTED_VALUE"""),"Frank Oleynick")</f>
        <v>Frank Oleynick</v>
      </c>
      <c r="E5076" s="4" t="str">
        <f>IFERROR(__xludf.DUMMYFUNCTION("""COMPUTED_VALUE"""),"Seattle University")</f>
        <v>Seattle University</v>
      </c>
      <c r="F5076" s="4">
        <f>IFERROR(__xludf.DUMMYFUNCTION("""COMPUTED_VALUE"""),2.0)</f>
        <v>2</v>
      </c>
      <c r="G5076" s="4">
        <f>IFERROR(__xludf.DUMMYFUNCTION("""COMPUTED_VALUE"""),102.0)</f>
        <v>102</v>
      </c>
      <c r="H5076" s="4">
        <f>IFERROR(__xludf.DUMMYFUNCTION("""COMPUTED_VALUE"""),1166.0)</f>
        <v>1166</v>
      </c>
      <c r="I5076" s="4">
        <f>IFERROR(__xludf.DUMMYFUNCTION("""COMPUTED_VALUE"""),508.0)</f>
        <v>508</v>
      </c>
      <c r="J5076" s="4">
        <f>IFERROR(__xludf.DUMMYFUNCTION("""COMPUTED_VALUE"""),90.0)</f>
        <v>90</v>
      </c>
      <c r="K5076" s="4">
        <f>IFERROR(__xludf.DUMMYFUNCTION("""COMPUTED_VALUE"""),113.0)</f>
        <v>113</v>
      </c>
      <c r="L5076" s="4">
        <f>IFERROR(__xludf.DUMMYFUNCTION("""COMPUTED_VALUE"""),0.386)</f>
        <v>0.386</v>
      </c>
      <c r="M5076" s="4"/>
      <c r="N5076" s="4">
        <f>IFERROR(__xludf.DUMMYFUNCTION("""COMPUTED_VALUE"""),0.708)</f>
        <v>0.708</v>
      </c>
      <c r="O5076" s="4">
        <f>IFERROR(__xludf.DUMMYFUNCTION("""COMPUTED_VALUE"""),11.4)</f>
        <v>11.4</v>
      </c>
      <c r="P5076" s="4">
        <f>IFERROR(__xludf.DUMMYFUNCTION("""COMPUTED_VALUE"""),5.0)</f>
        <v>5</v>
      </c>
      <c r="Q5076" s="4">
        <f>IFERROR(__xludf.DUMMYFUNCTION("""COMPUTED_VALUE"""),0.9)</f>
        <v>0.9</v>
      </c>
      <c r="R5076" s="4">
        <f>IFERROR(__xludf.DUMMYFUNCTION("""COMPUTED_VALUE"""),1.1)</f>
        <v>1.1</v>
      </c>
      <c r="S5076" s="4">
        <f>IFERROR(__xludf.DUMMYFUNCTION("""COMPUTED_VALUE"""),-0.1)</f>
        <v>-0.1</v>
      </c>
      <c r="T5076" s="4">
        <f>IFERROR(__xludf.DUMMYFUNCTION("""COMPUTED_VALUE"""),-0.005)</f>
        <v>-0.005</v>
      </c>
      <c r="U5076" s="4">
        <f>IFERROR(__xludf.DUMMYFUNCTION("""COMPUTED_VALUE"""),-4.8)</f>
        <v>-4.8</v>
      </c>
      <c r="V5076" s="4">
        <f>IFERROR(__xludf.DUMMYFUNCTION("""COMPUTED_VALUE"""),-0.8)</f>
        <v>-0.8</v>
      </c>
    </row>
    <row r="5077">
      <c r="A5077" s="4">
        <f>IFERROR(__xludf.DUMMYFUNCTION("""COMPUTED_VALUE"""),13.0)</f>
        <v>13</v>
      </c>
      <c r="B5077" s="4">
        <f>IFERROR(__xludf.DUMMYFUNCTION("""COMPUTED_VALUE"""),13.0)</f>
        <v>13</v>
      </c>
      <c r="C5077" s="4" t="str">
        <f>IFERROR(__xludf.DUMMYFUNCTION("""COMPUTED_VALUE"""),"KCK")</f>
        <v>KCK</v>
      </c>
      <c r="D5077" s="4" t="str">
        <f>IFERROR(__xludf.DUMMYFUNCTION("""COMPUTED_VALUE"""),"Bob Bigelow")</f>
        <v>Bob Bigelow</v>
      </c>
      <c r="E5077" s="4" t="str">
        <f>IFERROR(__xludf.DUMMYFUNCTION("""COMPUTED_VALUE"""),"Penn")</f>
        <v>Penn</v>
      </c>
      <c r="F5077" s="4">
        <f>IFERROR(__xludf.DUMMYFUNCTION("""COMPUTED_VALUE"""),4.0)</f>
        <v>4</v>
      </c>
      <c r="G5077" s="4">
        <f>IFERROR(__xludf.DUMMYFUNCTION("""COMPUTED_VALUE"""),94.0)</f>
        <v>94</v>
      </c>
      <c r="H5077" s="4">
        <f>IFERROR(__xludf.DUMMYFUNCTION("""COMPUTED_VALUE"""),762.0)</f>
        <v>762</v>
      </c>
      <c r="I5077" s="4">
        <f>IFERROR(__xludf.DUMMYFUNCTION("""COMPUTED_VALUE"""),234.0)</f>
        <v>234</v>
      </c>
      <c r="J5077" s="4">
        <f>IFERROR(__xludf.DUMMYFUNCTION("""COMPUTED_VALUE"""),111.0)</f>
        <v>111</v>
      </c>
      <c r="K5077" s="4">
        <f>IFERROR(__xludf.DUMMYFUNCTION("""COMPUTED_VALUE"""),42.0)</f>
        <v>42</v>
      </c>
      <c r="L5077" s="4">
        <f>IFERROR(__xludf.DUMMYFUNCTION("""COMPUTED_VALUE"""),0.414)</f>
        <v>0.414</v>
      </c>
      <c r="M5077" s="4"/>
      <c r="N5077" s="4">
        <f>IFERROR(__xludf.DUMMYFUNCTION("""COMPUTED_VALUE"""),0.732)</f>
        <v>0.732</v>
      </c>
      <c r="O5077" s="4">
        <f>IFERROR(__xludf.DUMMYFUNCTION("""COMPUTED_VALUE"""),8.1)</f>
        <v>8.1</v>
      </c>
      <c r="P5077" s="4">
        <f>IFERROR(__xludf.DUMMYFUNCTION("""COMPUTED_VALUE"""),2.5)</f>
        <v>2.5</v>
      </c>
      <c r="Q5077" s="4">
        <f>IFERROR(__xludf.DUMMYFUNCTION("""COMPUTED_VALUE"""),1.2)</f>
        <v>1.2</v>
      </c>
      <c r="R5077" s="4">
        <f>IFERROR(__xludf.DUMMYFUNCTION("""COMPUTED_VALUE"""),0.4)</f>
        <v>0.4</v>
      </c>
      <c r="S5077" s="4">
        <f>IFERROR(__xludf.DUMMYFUNCTION("""COMPUTED_VALUE"""),0.5)</f>
        <v>0.5</v>
      </c>
      <c r="T5077" s="4">
        <f>IFERROR(__xludf.DUMMYFUNCTION("""COMPUTED_VALUE"""),0.029)</f>
        <v>0.029</v>
      </c>
      <c r="U5077" s="4">
        <f>IFERROR(__xludf.DUMMYFUNCTION("""COMPUTED_VALUE"""),-3.3)</f>
        <v>-3.3</v>
      </c>
      <c r="V5077" s="4">
        <f>IFERROR(__xludf.DUMMYFUNCTION("""COMPUTED_VALUE"""),-0.2)</f>
        <v>-0.2</v>
      </c>
    </row>
    <row r="5078">
      <c r="A5078" s="4">
        <f>IFERROR(__xludf.DUMMYFUNCTION("""COMPUTED_VALUE"""),14.0)</f>
        <v>14</v>
      </c>
      <c r="B5078" s="4">
        <f>IFERROR(__xludf.DUMMYFUNCTION("""COMPUTED_VALUE"""),14.0)</f>
        <v>14</v>
      </c>
      <c r="C5078" s="4" t="str">
        <f>IFERROR(__xludf.DUMMYFUNCTION("""COMPUTED_VALUE"""),"GSW")</f>
        <v>GSW</v>
      </c>
      <c r="D5078" s="4" t="str">
        <f>IFERROR(__xludf.DUMMYFUNCTION("""COMPUTED_VALUE"""),"Joe Bryant")</f>
        <v>Joe Bryant</v>
      </c>
      <c r="E5078" s="4" t="str">
        <f>IFERROR(__xludf.DUMMYFUNCTION("""COMPUTED_VALUE"""),"La Salle")</f>
        <v>La Salle</v>
      </c>
      <c r="F5078" s="4">
        <f>IFERROR(__xludf.DUMMYFUNCTION("""COMPUTED_VALUE"""),8.0)</f>
        <v>8</v>
      </c>
      <c r="G5078" s="4">
        <f>IFERROR(__xludf.DUMMYFUNCTION("""COMPUTED_VALUE"""),606.0)</f>
        <v>606</v>
      </c>
      <c r="H5078" s="4">
        <f>IFERROR(__xludf.DUMMYFUNCTION("""COMPUTED_VALUE"""),12845.0)</f>
        <v>12845</v>
      </c>
      <c r="I5078" s="4">
        <f>IFERROR(__xludf.DUMMYFUNCTION("""COMPUTED_VALUE"""),5252.0)</f>
        <v>5252</v>
      </c>
      <c r="J5078" s="4">
        <f>IFERROR(__xludf.DUMMYFUNCTION("""COMPUTED_VALUE"""),2441.0)</f>
        <v>2441</v>
      </c>
      <c r="K5078" s="4">
        <f>IFERROR(__xludf.DUMMYFUNCTION("""COMPUTED_VALUE"""),1049.0)</f>
        <v>1049</v>
      </c>
      <c r="L5078" s="4">
        <f>IFERROR(__xludf.DUMMYFUNCTION("""COMPUTED_VALUE"""),0.45)</f>
        <v>0.45</v>
      </c>
      <c r="M5078" s="4"/>
      <c r="N5078" s="4">
        <f>IFERROR(__xludf.DUMMYFUNCTION("""COMPUTED_VALUE"""),0.743)</f>
        <v>0.743</v>
      </c>
      <c r="O5078" s="4">
        <f>IFERROR(__xludf.DUMMYFUNCTION("""COMPUTED_VALUE"""),21.2)</f>
        <v>21.2</v>
      </c>
      <c r="P5078" s="4">
        <f>IFERROR(__xludf.DUMMYFUNCTION("""COMPUTED_VALUE"""),8.7)</f>
        <v>8.7</v>
      </c>
      <c r="Q5078" s="4">
        <f>IFERROR(__xludf.DUMMYFUNCTION("""COMPUTED_VALUE"""),4.0)</f>
        <v>4</v>
      </c>
      <c r="R5078" s="4">
        <f>IFERROR(__xludf.DUMMYFUNCTION("""COMPUTED_VALUE"""),1.7)</f>
        <v>1.7</v>
      </c>
      <c r="S5078" s="4">
        <f>IFERROR(__xludf.DUMMYFUNCTION("""COMPUTED_VALUE"""),12.9)</f>
        <v>12.9</v>
      </c>
      <c r="T5078" s="4">
        <f>IFERROR(__xludf.DUMMYFUNCTION("""COMPUTED_VALUE"""),0.048)</f>
        <v>0.048</v>
      </c>
      <c r="U5078" s="4">
        <f>IFERROR(__xludf.DUMMYFUNCTION("""COMPUTED_VALUE"""),-2.2)</f>
        <v>-2.2</v>
      </c>
      <c r="V5078" s="4">
        <f>IFERROR(__xludf.DUMMYFUNCTION("""COMPUTED_VALUE"""),-0.7)</f>
        <v>-0.7</v>
      </c>
    </row>
    <row r="5079">
      <c r="A5079" s="4">
        <f>IFERROR(__xludf.DUMMYFUNCTION("""COMPUTED_VALUE"""),15.0)</f>
        <v>15</v>
      </c>
      <c r="B5079" s="4">
        <f>IFERROR(__xludf.DUMMYFUNCTION("""COMPUTED_VALUE"""),15.0)</f>
        <v>15</v>
      </c>
      <c r="C5079" s="4" t="str">
        <f>IFERROR(__xludf.DUMMYFUNCTION("""COMPUTED_VALUE"""),"CLE")</f>
        <v>CLE</v>
      </c>
      <c r="D5079" s="4" t="str">
        <f>IFERROR(__xludf.DUMMYFUNCTION("""COMPUTED_VALUE"""),"John Lambert")</f>
        <v>John Lambert</v>
      </c>
      <c r="E5079" s="4" t="str">
        <f>IFERROR(__xludf.DUMMYFUNCTION("""COMPUTED_VALUE"""),"USC")</f>
        <v>USC</v>
      </c>
      <c r="F5079" s="4">
        <f>IFERROR(__xludf.DUMMYFUNCTION("""COMPUTED_VALUE"""),7.0)</f>
        <v>7</v>
      </c>
      <c r="G5079" s="4">
        <f>IFERROR(__xludf.DUMMYFUNCTION("""COMPUTED_VALUE"""),446.0)</f>
        <v>446</v>
      </c>
      <c r="H5079" s="4">
        <f>IFERROR(__xludf.DUMMYFUNCTION("""COMPUTED_VALUE"""),5564.0)</f>
        <v>5564</v>
      </c>
      <c r="I5079" s="4">
        <f>IFERROR(__xludf.DUMMYFUNCTION("""COMPUTED_VALUE"""),1688.0)</f>
        <v>1688</v>
      </c>
      <c r="J5079" s="4">
        <f>IFERROR(__xludf.DUMMYFUNCTION("""COMPUTED_VALUE"""),1493.0)</f>
        <v>1493</v>
      </c>
      <c r="K5079" s="4">
        <f>IFERROR(__xludf.DUMMYFUNCTION("""COMPUTED_VALUE"""),248.0)</f>
        <v>248</v>
      </c>
      <c r="L5079" s="4">
        <f>IFERROR(__xludf.DUMMYFUNCTION("""COMPUTED_VALUE"""),0.428)</f>
        <v>0.428</v>
      </c>
      <c r="M5079" s="4"/>
      <c r="N5079" s="4">
        <f>IFERROR(__xludf.DUMMYFUNCTION("""COMPUTED_VALUE"""),0.693)</f>
        <v>0.693</v>
      </c>
      <c r="O5079" s="4">
        <f>IFERROR(__xludf.DUMMYFUNCTION("""COMPUTED_VALUE"""),12.5)</f>
        <v>12.5</v>
      </c>
      <c r="P5079" s="4">
        <f>IFERROR(__xludf.DUMMYFUNCTION("""COMPUTED_VALUE"""),3.8)</f>
        <v>3.8</v>
      </c>
      <c r="Q5079" s="4">
        <f>IFERROR(__xludf.DUMMYFUNCTION("""COMPUTED_VALUE"""),3.3)</f>
        <v>3.3</v>
      </c>
      <c r="R5079" s="4">
        <f>IFERROR(__xludf.DUMMYFUNCTION("""COMPUTED_VALUE"""),0.6)</f>
        <v>0.6</v>
      </c>
      <c r="S5079" s="4">
        <f>IFERROR(__xludf.DUMMYFUNCTION("""COMPUTED_VALUE"""),6.9)</f>
        <v>6.9</v>
      </c>
      <c r="T5079" s="4">
        <f>IFERROR(__xludf.DUMMYFUNCTION("""COMPUTED_VALUE"""),0.06)</f>
        <v>0.06</v>
      </c>
      <c r="U5079" s="4">
        <f>IFERROR(__xludf.DUMMYFUNCTION("""COMPUTED_VALUE"""),-3.1)</f>
        <v>-3.1</v>
      </c>
      <c r="V5079" s="4">
        <f>IFERROR(__xludf.DUMMYFUNCTION("""COMPUTED_VALUE"""),-1.5)</f>
        <v>-1.5</v>
      </c>
    </row>
    <row r="5080">
      <c r="A5080" s="4">
        <f>IFERROR(__xludf.DUMMYFUNCTION("""COMPUTED_VALUE"""),16.0)</f>
        <v>16</v>
      </c>
      <c r="B5080" s="4">
        <f>IFERROR(__xludf.DUMMYFUNCTION("""COMPUTED_VALUE"""),16.0)</f>
        <v>16</v>
      </c>
      <c r="C5080" s="4" t="str">
        <f>IFERROR(__xludf.DUMMYFUNCTION("""COMPUTED_VALUE"""),"PHO")</f>
        <v>PHO</v>
      </c>
      <c r="D5080" s="4" t="str">
        <f>IFERROR(__xludf.DUMMYFUNCTION("""COMPUTED_VALUE"""),"Ricky Sobers")</f>
        <v>Ricky Sobers</v>
      </c>
      <c r="E5080" s="4" t="str">
        <f>IFERROR(__xludf.DUMMYFUNCTION("""COMPUTED_VALUE"""),"UNLV")</f>
        <v>UNLV</v>
      </c>
      <c r="F5080" s="4">
        <f>IFERROR(__xludf.DUMMYFUNCTION("""COMPUTED_VALUE"""),11.0)</f>
        <v>11</v>
      </c>
      <c r="G5080" s="4">
        <f>IFERROR(__xludf.DUMMYFUNCTION("""COMPUTED_VALUE"""),821.0)</f>
        <v>821</v>
      </c>
      <c r="H5080" s="4">
        <f>IFERROR(__xludf.DUMMYFUNCTION("""COMPUTED_VALUE"""),22992.0)</f>
        <v>22992</v>
      </c>
      <c r="I5080" s="4">
        <f>IFERROR(__xludf.DUMMYFUNCTION("""COMPUTED_VALUE"""),10902.0)</f>
        <v>10902</v>
      </c>
      <c r="J5080" s="4">
        <f>IFERROR(__xludf.DUMMYFUNCTION("""COMPUTED_VALUE"""),2132.0)</f>
        <v>2132</v>
      </c>
      <c r="K5080" s="4">
        <f>IFERROR(__xludf.DUMMYFUNCTION("""COMPUTED_VALUE"""),3525.0)</f>
        <v>3525</v>
      </c>
      <c r="L5080" s="4">
        <f>IFERROR(__xludf.DUMMYFUNCTION("""COMPUTED_VALUE"""),0.459)</f>
        <v>0.459</v>
      </c>
      <c r="M5080" s="4"/>
      <c r="N5080" s="4">
        <f>IFERROR(__xludf.DUMMYFUNCTION("""COMPUTED_VALUE"""),0.843)</f>
        <v>0.843</v>
      </c>
      <c r="O5080" s="4">
        <f>IFERROR(__xludf.DUMMYFUNCTION("""COMPUTED_VALUE"""),28.0)</f>
        <v>28</v>
      </c>
      <c r="P5080" s="4">
        <f>IFERROR(__xludf.DUMMYFUNCTION("""COMPUTED_VALUE"""),13.3)</f>
        <v>13.3</v>
      </c>
      <c r="Q5080" s="4">
        <f>IFERROR(__xludf.DUMMYFUNCTION("""COMPUTED_VALUE"""),2.6)</f>
        <v>2.6</v>
      </c>
      <c r="R5080" s="4">
        <f>IFERROR(__xludf.DUMMYFUNCTION("""COMPUTED_VALUE"""),4.3)</f>
        <v>4.3</v>
      </c>
      <c r="S5080" s="4">
        <f>IFERROR(__xludf.DUMMYFUNCTION("""COMPUTED_VALUE"""),32.0)</f>
        <v>32</v>
      </c>
      <c r="T5080" s="4">
        <f>IFERROR(__xludf.DUMMYFUNCTION("""COMPUTED_VALUE"""),0.067)</f>
        <v>0.067</v>
      </c>
      <c r="U5080" s="4">
        <f>IFERROR(__xludf.DUMMYFUNCTION("""COMPUTED_VALUE"""),-1.3)</f>
        <v>-1.3</v>
      </c>
      <c r="V5080" s="4">
        <f>IFERROR(__xludf.DUMMYFUNCTION("""COMPUTED_VALUE"""),4.1)</f>
        <v>4.1</v>
      </c>
    </row>
    <row r="5081">
      <c r="A5081" s="4">
        <f>IFERROR(__xludf.DUMMYFUNCTION("""COMPUTED_VALUE"""),17.0)</f>
        <v>17</v>
      </c>
      <c r="B5081" s="4">
        <f>IFERROR(__xludf.DUMMYFUNCTION("""COMPUTED_VALUE"""),17.0)</f>
        <v>17</v>
      </c>
      <c r="C5081" s="4" t="str">
        <f>IFERROR(__xludf.DUMMYFUNCTION("""COMPUTED_VALUE"""),"BOS")</f>
        <v>BOS</v>
      </c>
      <c r="D5081" s="4" t="str">
        <f>IFERROR(__xludf.DUMMYFUNCTION("""COMPUTED_VALUE"""),"Tom Boswell")</f>
        <v>Tom Boswell</v>
      </c>
      <c r="E5081" s="4" t="str">
        <f>IFERROR(__xludf.DUMMYFUNCTION("""COMPUTED_VALUE"""),"South Carolina")</f>
        <v>South Carolina</v>
      </c>
      <c r="F5081" s="4">
        <f>IFERROR(__xludf.DUMMYFUNCTION("""COMPUTED_VALUE"""),6.0)</f>
        <v>6</v>
      </c>
      <c r="G5081" s="4">
        <f>IFERROR(__xludf.DUMMYFUNCTION("""COMPUTED_VALUE"""),366.0)</f>
        <v>366</v>
      </c>
      <c r="H5081" s="4">
        <f>IFERROR(__xludf.DUMMYFUNCTION("""COMPUTED_VALUE"""),7046.0)</f>
        <v>7046</v>
      </c>
      <c r="I5081" s="4">
        <f>IFERROR(__xludf.DUMMYFUNCTION("""COMPUTED_VALUE"""),2821.0)</f>
        <v>2821</v>
      </c>
      <c r="J5081" s="4">
        <f>IFERROR(__xludf.DUMMYFUNCTION("""COMPUTED_VALUE"""),1709.0)</f>
        <v>1709</v>
      </c>
      <c r="K5081" s="4">
        <f>IFERROR(__xludf.DUMMYFUNCTION("""COMPUTED_VALUE"""),591.0)</f>
        <v>591</v>
      </c>
      <c r="L5081" s="4">
        <f>IFERROR(__xludf.DUMMYFUNCTION("""COMPUTED_VALUE"""),0.533)</f>
        <v>0.533</v>
      </c>
      <c r="M5081" s="4"/>
      <c r="N5081" s="4">
        <f>IFERROR(__xludf.DUMMYFUNCTION("""COMPUTED_VALUE"""),0.724)</f>
        <v>0.724</v>
      </c>
      <c r="O5081" s="4">
        <f>IFERROR(__xludf.DUMMYFUNCTION("""COMPUTED_VALUE"""),19.3)</f>
        <v>19.3</v>
      </c>
      <c r="P5081" s="4">
        <f>IFERROR(__xludf.DUMMYFUNCTION("""COMPUTED_VALUE"""),7.7)</f>
        <v>7.7</v>
      </c>
      <c r="Q5081" s="4">
        <f>IFERROR(__xludf.DUMMYFUNCTION("""COMPUTED_VALUE"""),4.7)</f>
        <v>4.7</v>
      </c>
      <c r="R5081" s="4">
        <f>IFERROR(__xludf.DUMMYFUNCTION("""COMPUTED_VALUE"""),1.6)</f>
        <v>1.6</v>
      </c>
      <c r="S5081" s="4">
        <f>IFERROR(__xludf.DUMMYFUNCTION("""COMPUTED_VALUE"""),15.2)</f>
        <v>15.2</v>
      </c>
      <c r="T5081" s="4">
        <f>IFERROR(__xludf.DUMMYFUNCTION("""COMPUTED_VALUE"""),0.104)</f>
        <v>0.104</v>
      </c>
      <c r="U5081" s="4">
        <f>IFERROR(__xludf.DUMMYFUNCTION("""COMPUTED_VALUE"""),-1.1)</f>
        <v>-1.1</v>
      </c>
      <c r="V5081" s="4">
        <f>IFERROR(__xludf.DUMMYFUNCTION("""COMPUTED_VALUE"""),1.6)</f>
        <v>1.6</v>
      </c>
    </row>
    <row r="5082">
      <c r="A5082" s="4">
        <f>IFERROR(__xludf.DUMMYFUNCTION("""COMPUTED_VALUE"""),18.0)</f>
        <v>18</v>
      </c>
      <c r="B5082" s="4">
        <f>IFERROR(__xludf.DUMMYFUNCTION("""COMPUTED_VALUE"""),18.0)</f>
        <v>18</v>
      </c>
      <c r="C5082" s="4" t="str">
        <f>IFERROR(__xludf.DUMMYFUNCTION("""COMPUTED_VALUE"""),"WSB")</f>
        <v>WSB</v>
      </c>
      <c r="D5082" s="4" t="str">
        <f>IFERROR(__xludf.DUMMYFUNCTION("""COMPUTED_VALUE"""),"Kevin Grevey")</f>
        <v>Kevin Grevey</v>
      </c>
      <c r="E5082" s="4" t="str">
        <f>IFERROR(__xludf.DUMMYFUNCTION("""COMPUTED_VALUE"""),"Kentucky")</f>
        <v>Kentucky</v>
      </c>
      <c r="F5082" s="4">
        <f>IFERROR(__xludf.DUMMYFUNCTION("""COMPUTED_VALUE"""),10.0)</f>
        <v>10</v>
      </c>
      <c r="G5082" s="4">
        <f>IFERROR(__xludf.DUMMYFUNCTION("""COMPUTED_VALUE"""),672.0)</f>
        <v>672</v>
      </c>
      <c r="H5082" s="4">
        <f>IFERROR(__xludf.DUMMYFUNCTION("""COMPUTED_VALUE"""),15246.0)</f>
        <v>15246</v>
      </c>
      <c r="I5082" s="4">
        <f>IFERROR(__xludf.DUMMYFUNCTION("""COMPUTED_VALUE"""),7364.0)</f>
        <v>7364</v>
      </c>
      <c r="J5082" s="4">
        <f>IFERROR(__xludf.DUMMYFUNCTION("""COMPUTED_VALUE"""),1594.0)</f>
        <v>1594</v>
      </c>
      <c r="K5082" s="4">
        <f>IFERROR(__xludf.DUMMYFUNCTION("""COMPUTED_VALUE"""),1247.0)</f>
        <v>1247</v>
      </c>
      <c r="L5082" s="4">
        <f>IFERROR(__xludf.DUMMYFUNCTION("""COMPUTED_VALUE"""),0.437)</f>
        <v>0.437</v>
      </c>
      <c r="M5082" s="4"/>
      <c r="N5082" s="4">
        <f>IFERROR(__xludf.DUMMYFUNCTION("""COMPUTED_VALUE"""),0.817)</f>
        <v>0.817</v>
      </c>
      <c r="O5082" s="4">
        <f>IFERROR(__xludf.DUMMYFUNCTION("""COMPUTED_VALUE"""),22.7)</f>
        <v>22.7</v>
      </c>
      <c r="P5082" s="4">
        <f>IFERROR(__xludf.DUMMYFUNCTION("""COMPUTED_VALUE"""),11.0)</f>
        <v>11</v>
      </c>
      <c r="Q5082" s="4">
        <f>IFERROR(__xludf.DUMMYFUNCTION("""COMPUTED_VALUE"""),2.4)</f>
        <v>2.4</v>
      </c>
      <c r="R5082" s="4">
        <f>IFERROR(__xludf.DUMMYFUNCTION("""COMPUTED_VALUE"""),1.9)</f>
        <v>1.9</v>
      </c>
      <c r="S5082" s="4">
        <f>IFERROR(__xludf.DUMMYFUNCTION("""COMPUTED_VALUE"""),26.5)</f>
        <v>26.5</v>
      </c>
      <c r="T5082" s="4">
        <f>IFERROR(__xludf.DUMMYFUNCTION("""COMPUTED_VALUE"""),0.083)</f>
        <v>0.083</v>
      </c>
      <c r="U5082" s="4">
        <f>IFERROR(__xludf.DUMMYFUNCTION("""COMPUTED_VALUE"""),-1.2)</f>
        <v>-1.2</v>
      </c>
      <c r="V5082" s="4">
        <f>IFERROR(__xludf.DUMMYFUNCTION("""COMPUTED_VALUE"""),2.9)</f>
        <v>2.9</v>
      </c>
    </row>
    <row r="5083">
      <c r="A5083" s="4"/>
      <c r="B5083" s="4"/>
      <c r="C5083" s="4"/>
      <c r="D5083" s="4" t="str">
        <f>IFERROR(__xludf.DUMMYFUNCTION("""COMPUTED_VALUE"""),"Round 2")</f>
        <v>Round 2</v>
      </c>
      <c r="E5083" s="4"/>
      <c r="F5083" s="4"/>
      <c r="G5083" s="4" t="str">
        <f>IFERROR(__xludf.DUMMYFUNCTION("""COMPUTED_VALUE"""),"Totals")</f>
        <v>Totals</v>
      </c>
      <c r="H5083" s="4"/>
      <c r="I5083" s="4"/>
      <c r="J5083" s="4"/>
      <c r="K5083" s="4"/>
      <c r="L5083" s="4" t="str">
        <f>IFERROR(__xludf.DUMMYFUNCTION("""COMPUTED_VALUE"""),"Shooting")</f>
        <v>Shooting</v>
      </c>
      <c r="M5083" s="4"/>
      <c r="N5083" s="4"/>
      <c r="O5083" s="4" t="str">
        <f>IFERROR(__xludf.DUMMYFUNCTION("""COMPUTED_VALUE"""),"Per Game")</f>
        <v>Per Game</v>
      </c>
      <c r="P5083" s="4"/>
      <c r="Q5083" s="4"/>
      <c r="R5083" s="4"/>
      <c r="S5083" s="4" t="str">
        <f>IFERROR(__xludf.DUMMYFUNCTION("""COMPUTED_VALUE"""),"Advanced")</f>
        <v>Advanced</v>
      </c>
      <c r="T5083" s="4"/>
      <c r="U5083" s="4"/>
      <c r="V5083" s="4"/>
    </row>
    <row r="5084">
      <c r="A5084" s="4" t="str">
        <f>IFERROR(__xludf.DUMMYFUNCTION("""COMPUTED_VALUE"""),"Rk")</f>
        <v>Rk</v>
      </c>
      <c r="B5084" s="4" t="str">
        <f>IFERROR(__xludf.DUMMYFUNCTION("""COMPUTED_VALUE"""),"Pk")</f>
        <v>Pk</v>
      </c>
      <c r="C5084" s="4" t="str">
        <f>IFERROR(__xludf.DUMMYFUNCTION("""COMPUTED_VALUE"""),"Tm")</f>
        <v>Tm</v>
      </c>
      <c r="D5084" s="4" t="str">
        <f>IFERROR(__xludf.DUMMYFUNCTION("""COMPUTED_VALUE"""),"Player")</f>
        <v>Player</v>
      </c>
      <c r="E5084" s="4" t="str">
        <f>IFERROR(__xludf.DUMMYFUNCTION("""COMPUTED_VALUE"""),"College")</f>
        <v>College</v>
      </c>
      <c r="F5084" s="4" t="str">
        <f>IFERROR(__xludf.DUMMYFUNCTION("""COMPUTED_VALUE"""),"Yrs")</f>
        <v>Yrs</v>
      </c>
      <c r="G5084" s="4" t="str">
        <f>IFERROR(__xludf.DUMMYFUNCTION("""COMPUTED_VALUE"""),"G")</f>
        <v>G</v>
      </c>
      <c r="H5084" s="4" t="str">
        <f>IFERROR(__xludf.DUMMYFUNCTION("""COMPUTED_VALUE"""),"MP")</f>
        <v>MP</v>
      </c>
      <c r="I5084" s="4" t="str">
        <f>IFERROR(__xludf.DUMMYFUNCTION("""COMPUTED_VALUE"""),"PTS")</f>
        <v>PTS</v>
      </c>
      <c r="J5084" s="4" t="str">
        <f>IFERROR(__xludf.DUMMYFUNCTION("""COMPUTED_VALUE"""),"TRB")</f>
        <v>TRB</v>
      </c>
      <c r="K5084" s="4" t="str">
        <f>IFERROR(__xludf.DUMMYFUNCTION("""COMPUTED_VALUE"""),"AST")</f>
        <v>AST</v>
      </c>
      <c r="L5084" s="4" t="str">
        <f>IFERROR(__xludf.DUMMYFUNCTION("""COMPUTED_VALUE"""),"FG%")</f>
        <v>FG%</v>
      </c>
      <c r="M5084" s="4" t="str">
        <f>IFERROR(__xludf.DUMMYFUNCTION("""COMPUTED_VALUE"""),"3P%")</f>
        <v>3P%</v>
      </c>
      <c r="N5084" s="4" t="str">
        <f>IFERROR(__xludf.DUMMYFUNCTION("""COMPUTED_VALUE"""),"FT%")</f>
        <v>FT%</v>
      </c>
      <c r="O5084" s="4" t="str">
        <f>IFERROR(__xludf.DUMMYFUNCTION("""COMPUTED_VALUE"""),"MP")</f>
        <v>MP</v>
      </c>
      <c r="P5084" s="4" t="str">
        <f>IFERROR(__xludf.DUMMYFUNCTION("""COMPUTED_VALUE"""),"PTS")</f>
        <v>PTS</v>
      </c>
      <c r="Q5084" s="4" t="str">
        <f>IFERROR(__xludf.DUMMYFUNCTION("""COMPUTED_VALUE"""),"TRB")</f>
        <v>TRB</v>
      </c>
      <c r="R5084" s="4" t="str">
        <f>IFERROR(__xludf.DUMMYFUNCTION("""COMPUTED_VALUE"""),"AST")</f>
        <v>AST</v>
      </c>
      <c r="S5084" s="4" t="str">
        <f>IFERROR(__xludf.DUMMYFUNCTION("""COMPUTED_VALUE"""),"WS")</f>
        <v>WS</v>
      </c>
      <c r="T5084" s="4" t="str">
        <f>IFERROR(__xludf.DUMMYFUNCTION("""COMPUTED_VALUE"""),"WS/48")</f>
        <v>WS/48</v>
      </c>
      <c r="U5084" s="4" t="str">
        <f>IFERROR(__xludf.DUMMYFUNCTION("""COMPUTED_VALUE"""),"BPM")</f>
        <v>BPM</v>
      </c>
      <c r="V5084" s="4" t="str">
        <f>IFERROR(__xludf.DUMMYFUNCTION("""COMPUTED_VALUE"""),"VORP")</f>
        <v>VORP</v>
      </c>
    </row>
    <row r="5085">
      <c r="A5085" s="4">
        <f>IFERROR(__xludf.DUMMYFUNCTION("""COMPUTED_VALUE"""),19.0)</f>
        <v>19</v>
      </c>
      <c r="B5085" s="4">
        <f>IFERROR(__xludf.DUMMYFUNCTION("""COMPUTED_VALUE"""),19.0)</f>
        <v>19</v>
      </c>
      <c r="C5085" s="4" t="str">
        <f>IFERROR(__xludf.DUMMYFUNCTION("""COMPUTED_VALUE"""),"ATL")</f>
        <v>ATL</v>
      </c>
      <c r="D5085" s="4" t="str">
        <f>IFERROR(__xludf.DUMMYFUNCTION("""COMPUTED_VALUE"""),"Bill Willoughby")</f>
        <v>Bill Willoughby</v>
      </c>
      <c r="E5085" s="4"/>
      <c r="F5085" s="4">
        <f>IFERROR(__xludf.DUMMYFUNCTION("""COMPUTED_VALUE"""),8.0)</f>
        <v>8</v>
      </c>
      <c r="G5085" s="4">
        <f>IFERROR(__xludf.DUMMYFUNCTION("""COMPUTED_VALUE"""),488.0)</f>
        <v>488</v>
      </c>
      <c r="H5085" s="4">
        <f>IFERROR(__xludf.DUMMYFUNCTION("""COMPUTED_VALUE"""),8647.0)</f>
        <v>8647</v>
      </c>
      <c r="I5085" s="4">
        <f>IFERROR(__xludf.DUMMYFUNCTION("""COMPUTED_VALUE"""),2930.0)</f>
        <v>2930</v>
      </c>
      <c r="J5085" s="4">
        <f>IFERROR(__xludf.DUMMYFUNCTION("""COMPUTED_VALUE"""),1891.0)</f>
        <v>1891</v>
      </c>
      <c r="K5085" s="4">
        <f>IFERROR(__xludf.DUMMYFUNCTION("""COMPUTED_VALUE"""),413.0)</f>
        <v>413</v>
      </c>
      <c r="L5085" s="4">
        <f>IFERROR(__xludf.DUMMYFUNCTION("""COMPUTED_VALUE"""),0.47)</f>
        <v>0.47</v>
      </c>
      <c r="M5085" s="4"/>
      <c r="N5085" s="4">
        <f>IFERROR(__xludf.DUMMYFUNCTION("""COMPUTED_VALUE"""),0.75)</f>
        <v>0.75</v>
      </c>
      <c r="O5085" s="4">
        <f>IFERROR(__xludf.DUMMYFUNCTION("""COMPUTED_VALUE"""),17.7)</f>
        <v>17.7</v>
      </c>
      <c r="P5085" s="4">
        <f>IFERROR(__xludf.DUMMYFUNCTION("""COMPUTED_VALUE"""),6.0)</f>
        <v>6</v>
      </c>
      <c r="Q5085" s="4">
        <f>IFERROR(__xludf.DUMMYFUNCTION("""COMPUTED_VALUE"""),3.9)</f>
        <v>3.9</v>
      </c>
      <c r="R5085" s="4">
        <f>IFERROR(__xludf.DUMMYFUNCTION("""COMPUTED_VALUE"""),0.8)</f>
        <v>0.8</v>
      </c>
      <c r="S5085" s="4">
        <f>IFERROR(__xludf.DUMMYFUNCTION("""COMPUTED_VALUE"""),13.3)</f>
        <v>13.3</v>
      </c>
      <c r="T5085" s="4">
        <f>IFERROR(__xludf.DUMMYFUNCTION("""COMPUTED_VALUE"""),0.074)</f>
        <v>0.074</v>
      </c>
      <c r="U5085" s="4">
        <f>IFERROR(__xludf.DUMMYFUNCTION("""COMPUTED_VALUE"""),-1.5)</f>
        <v>-1.5</v>
      </c>
      <c r="V5085" s="4">
        <f>IFERROR(__xludf.DUMMYFUNCTION("""COMPUTED_VALUE"""),1.2)</f>
        <v>1.2</v>
      </c>
    </row>
    <row r="5086">
      <c r="A5086" s="4">
        <f>IFERROR(__xludf.DUMMYFUNCTION("""COMPUTED_VALUE"""),20.0)</f>
        <v>20</v>
      </c>
      <c r="B5086" s="4">
        <f>IFERROR(__xludf.DUMMYFUNCTION("""COMPUTED_VALUE"""),20.0)</f>
        <v>20</v>
      </c>
      <c r="C5086" s="4" t="str">
        <f>IFERROR(__xludf.DUMMYFUNCTION("""COMPUTED_VALUE"""),"GSW")</f>
        <v>GSW</v>
      </c>
      <c r="D5086" s="4" t="str">
        <f>IFERROR(__xludf.DUMMYFUNCTION("""COMPUTED_VALUE"""),"Gus Williams")</f>
        <v>Gus Williams</v>
      </c>
      <c r="E5086" s="4" t="str">
        <f>IFERROR(__xludf.DUMMYFUNCTION("""COMPUTED_VALUE"""),"USC")</f>
        <v>USC</v>
      </c>
      <c r="F5086" s="4">
        <f>IFERROR(__xludf.DUMMYFUNCTION("""COMPUTED_VALUE"""),11.0)</f>
        <v>11</v>
      </c>
      <c r="G5086" s="4">
        <f>IFERROR(__xludf.DUMMYFUNCTION("""COMPUTED_VALUE"""),825.0)</f>
        <v>825</v>
      </c>
      <c r="H5086" s="4">
        <f>IFERROR(__xludf.DUMMYFUNCTION("""COMPUTED_VALUE"""),25645.0)</f>
        <v>25645</v>
      </c>
      <c r="I5086" s="4">
        <f>IFERROR(__xludf.DUMMYFUNCTION("""COMPUTED_VALUE"""),14093.0)</f>
        <v>14093</v>
      </c>
      <c r="J5086" s="4">
        <f>IFERROR(__xludf.DUMMYFUNCTION("""COMPUTED_VALUE"""),2222.0)</f>
        <v>2222</v>
      </c>
      <c r="K5086" s="4">
        <f>IFERROR(__xludf.DUMMYFUNCTION("""COMPUTED_VALUE"""),4597.0)</f>
        <v>4597</v>
      </c>
      <c r="L5086" s="4">
        <f>IFERROR(__xludf.DUMMYFUNCTION("""COMPUTED_VALUE"""),0.461)</f>
        <v>0.461</v>
      </c>
      <c r="M5086" s="4"/>
      <c r="N5086" s="4">
        <f>IFERROR(__xludf.DUMMYFUNCTION("""COMPUTED_VALUE"""),0.756)</f>
        <v>0.756</v>
      </c>
      <c r="O5086" s="4">
        <f>IFERROR(__xludf.DUMMYFUNCTION("""COMPUTED_VALUE"""),31.1)</f>
        <v>31.1</v>
      </c>
      <c r="P5086" s="4">
        <f>IFERROR(__xludf.DUMMYFUNCTION("""COMPUTED_VALUE"""),17.1)</f>
        <v>17.1</v>
      </c>
      <c r="Q5086" s="4">
        <f>IFERROR(__xludf.DUMMYFUNCTION("""COMPUTED_VALUE"""),2.7)</f>
        <v>2.7</v>
      </c>
      <c r="R5086" s="4">
        <f>IFERROR(__xludf.DUMMYFUNCTION("""COMPUTED_VALUE"""),5.6)</f>
        <v>5.6</v>
      </c>
      <c r="S5086" s="4">
        <f>IFERROR(__xludf.DUMMYFUNCTION("""COMPUTED_VALUE"""),67.9)</f>
        <v>67.9</v>
      </c>
      <c r="T5086" s="4">
        <f>IFERROR(__xludf.DUMMYFUNCTION("""COMPUTED_VALUE"""),0.127)</f>
        <v>0.127</v>
      </c>
      <c r="U5086" s="4">
        <f>IFERROR(__xludf.DUMMYFUNCTION("""COMPUTED_VALUE"""),2.9)</f>
        <v>2.9</v>
      </c>
      <c r="V5086" s="4">
        <f>IFERROR(__xludf.DUMMYFUNCTION("""COMPUTED_VALUE"""),31.8)</f>
        <v>31.8</v>
      </c>
    </row>
    <row r="5087">
      <c r="A5087" s="4">
        <f>IFERROR(__xludf.DUMMYFUNCTION("""COMPUTED_VALUE"""),21.0)</f>
        <v>21</v>
      </c>
      <c r="B5087" s="4">
        <f>IFERROR(__xludf.DUMMYFUNCTION("""COMPUTED_VALUE"""),21.0)</f>
        <v>21</v>
      </c>
      <c r="C5087" s="4" t="str">
        <f>IFERROR(__xludf.DUMMYFUNCTION("""COMPUTED_VALUE"""),"SEA")</f>
        <v>SEA</v>
      </c>
      <c r="D5087" s="4" t="str">
        <f>IFERROR(__xludf.DUMMYFUNCTION("""COMPUTED_VALUE"""),"Bruce Seals")</f>
        <v>Bruce Seals</v>
      </c>
      <c r="E5087" s="4" t="str">
        <f>IFERROR(__xludf.DUMMYFUNCTION("""COMPUTED_VALUE"""),"Xavier University of Louisiana")</f>
        <v>Xavier University of Louisiana</v>
      </c>
      <c r="F5087" s="4">
        <f>IFERROR(__xludf.DUMMYFUNCTION("""COMPUTED_VALUE"""),3.0)</f>
        <v>3</v>
      </c>
      <c r="G5087" s="4">
        <f>IFERROR(__xludf.DUMMYFUNCTION("""COMPUTED_VALUE"""),235.0)</f>
        <v>235</v>
      </c>
      <c r="H5087" s="4">
        <f>IFERROR(__xludf.DUMMYFUNCTION("""COMPUTED_VALUE"""),5734.0)</f>
        <v>5734</v>
      </c>
      <c r="I5087" s="4">
        <f>IFERROR(__xludf.DUMMYFUNCTION("""COMPUTED_VALUE"""),2422.0)</f>
        <v>2422</v>
      </c>
      <c r="J5087" s="4">
        <f>IFERROR(__xludf.DUMMYFUNCTION("""COMPUTED_VALUE"""),1087.0)</f>
        <v>1087</v>
      </c>
      <c r="K5087" s="4">
        <f>IFERROR(__xludf.DUMMYFUNCTION("""COMPUTED_VALUE"""),293.0)</f>
        <v>293</v>
      </c>
      <c r="L5087" s="4">
        <f>IFERROR(__xludf.DUMMYFUNCTION("""COMPUTED_VALUE"""),0.435)</f>
        <v>0.435</v>
      </c>
      <c r="M5087" s="4"/>
      <c r="N5087" s="4">
        <f>IFERROR(__xludf.DUMMYFUNCTION("""COMPUTED_VALUE"""),0.675)</f>
        <v>0.675</v>
      </c>
      <c r="O5087" s="4">
        <f>IFERROR(__xludf.DUMMYFUNCTION("""COMPUTED_VALUE"""),24.4)</f>
        <v>24.4</v>
      </c>
      <c r="P5087" s="4">
        <f>IFERROR(__xludf.DUMMYFUNCTION("""COMPUTED_VALUE"""),10.3)</f>
        <v>10.3</v>
      </c>
      <c r="Q5087" s="4">
        <f>IFERROR(__xludf.DUMMYFUNCTION("""COMPUTED_VALUE"""),4.6)</f>
        <v>4.6</v>
      </c>
      <c r="R5087" s="4">
        <f>IFERROR(__xludf.DUMMYFUNCTION("""COMPUTED_VALUE"""),1.2)</f>
        <v>1.2</v>
      </c>
      <c r="S5087" s="4">
        <f>IFERROR(__xludf.DUMMYFUNCTION("""COMPUTED_VALUE"""),7.0)</f>
        <v>7</v>
      </c>
      <c r="T5087" s="4">
        <f>IFERROR(__xludf.DUMMYFUNCTION("""COMPUTED_VALUE"""),0.058)</f>
        <v>0.058</v>
      </c>
      <c r="U5087" s="4">
        <f>IFERROR(__xludf.DUMMYFUNCTION("""COMPUTED_VALUE"""),-2.8)</f>
        <v>-2.8</v>
      </c>
      <c r="V5087" s="4">
        <f>IFERROR(__xludf.DUMMYFUNCTION("""COMPUTED_VALUE"""),-1.2)</f>
        <v>-1.2</v>
      </c>
    </row>
    <row r="5088">
      <c r="A5088" s="4">
        <f>IFERROR(__xludf.DUMMYFUNCTION("""COMPUTED_VALUE"""),22.0)</f>
        <v>22</v>
      </c>
      <c r="B5088" s="4">
        <f>IFERROR(__xludf.DUMMYFUNCTION("""COMPUTED_VALUE"""),22.0)</f>
        <v>22</v>
      </c>
      <c r="C5088" s="4" t="str">
        <f>IFERROR(__xludf.DUMMYFUNCTION("""COMPUTED_VALUE"""),"MIL")</f>
        <v>MIL</v>
      </c>
      <c r="D5088" s="4" t="str">
        <f>IFERROR(__xludf.DUMMYFUNCTION("""COMPUTED_VALUE"""),"Clyde Mayes")</f>
        <v>Clyde Mayes</v>
      </c>
      <c r="E5088" s="4" t="str">
        <f>IFERROR(__xludf.DUMMYFUNCTION("""COMPUTED_VALUE"""),"Furman University")</f>
        <v>Furman University</v>
      </c>
      <c r="F5088" s="4">
        <f>IFERROR(__xludf.DUMMYFUNCTION("""COMPUTED_VALUE"""),2.0)</f>
        <v>2</v>
      </c>
      <c r="G5088" s="4">
        <f>IFERROR(__xludf.DUMMYFUNCTION("""COMPUTED_VALUE"""),74.0)</f>
        <v>74</v>
      </c>
      <c r="H5088" s="4">
        <f>IFERROR(__xludf.DUMMYFUNCTION("""COMPUTED_VALUE"""),1000.0)</f>
        <v>1000</v>
      </c>
      <c r="I5088" s="4">
        <f>IFERROR(__xludf.DUMMYFUNCTION("""COMPUTED_VALUE"""),297.0)</f>
        <v>297</v>
      </c>
      <c r="J5088" s="4">
        <f>IFERROR(__xludf.DUMMYFUNCTION("""COMPUTED_VALUE"""),279.0)</f>
        <v>279</v>
      </c>
      <c r="K5088" s="4">
        <f>IFERROR(__xludf.DUMMYFUNCTION("""COMPUTED_VALUE"""),40.0)</f>
        <v>40</v>
      </c>
      <c r="L5088" s="4">
        <f>IFERROR(__xludf.DUMMYFUNCTION("""COMPUTED_VALUE"""),0.446)</f>
        <v>0.446</v>
      </c>
      <c r="M5088" s="4"/>
      <c r="N5088" s="4">
        <f>IFERROR(__xludf.DUMMYFUNCTION("""COMPUTED_VALUE"""),0.567)</f>
        <v>0.567</v>
      </c>
      <c r="O5088" s="4">
        <f>IFERROR(__xludf.DUMMYFUNCTION("""COMPUTED_VALUE"""),13.5)</f>
        <v>13.5</v>
      </c>
      <c r="P5088" s="4">
        <f>IFERROR(__xludf.DUMMYFUNCTION("""COMPUTED_VALUE"""),4.0)</f>
        <v>4</v>
      </c>
      <c r="Q5088" s="4">
        <f>IFERROR(__xludf.DUMMYFUNCTION("""COMPUTED_VALUE"""),3.8)</f>
        <v>3.8</v>
      </c>
      <c r="R5088" s="4">
        <f>IFERROR(__xludf.DUMMYFUNCTION("""COMPUTED_VALUE"""),0.5)</f>
        <v>0.5</v>
      </c>
      <c r="S5088" s="4">
        <f>IFERROR(__xludf.DUMMYFUNCTION("""COMPUTED_VALUE"""),0.9)</f>
        <v>0.9</v>
      </c>
      <c r="T5088" s="4">
        <f>IFERROR(__xludf.DUMMYFUNCTION("""COMPUTED_VALUE"""),0.044)</f>
        <v>0.044</v>
      </c>
      <c r="U5088" s="4">
        <f>IFERROR(__xludf.DUMMYFUNCTION("""COMPUTED_VALUE"""),-3.7)</f>
        <v>-3.7</v>
      </c>
      <c r="V5088" s="4">
        <f>IFERROR(__xludf.DUMMYFUNCTION("""COMPUTED_VALUE"""),-0.5)</f>
        <v>-0.5</v>
      </c>
    </row>
    <row r="5089">
      <c r="A5089" s="4">
        <f>IFERROR(__xludf.DUMMYFUNCTION("""COMPUTED_VALUE"""),23.0)</f>
        <v>23</v>
      </c>
      <c r="B5089" s="4">
        <f>IFERROR(__xludf.DUMMYFUNCTION("""COMPUTED_VALUE"""),23.0)</f>
        <v>23</v>
      </c>
      <c r="C5089" s="4" t="str">
        <f>IFERROR(__xludf.DUMMYFUNCTION("""COMPUTED_VALUE"""),"PHI")</f>
        <v>PHI</v>
      </c>
      <c r="D5089" s="4" t="str">
        <f>IFERROR(__xludf.DUMMYFUNCTION("""COMPUTED_VALUE"""),"World B. Free")</f>
        <v>World B. Free</v>
      </c>
      <c r="E5089" s="4" t="str">
        <f>IFERROR(__xludf.DUMMYFUNCTION("""COMPUTED_VALUE"""),"Guilford College")</f>
        <v>Guilford College</v>
      </c>
      <c r="F5089" s="4">
        <f>IFERROR(__xludf.DUMMYFUNCTION("""COMPUTED_VALUE"""),13.0)</f>
        <v>13</v>
      </c>
      <c r="G5089" s="4">
        <f>IFERROR(__xludf.DUMMYFUNCTION("""COMPUTED_VALUE"""),886.0)</f>
        <v>886</v>
      </c>
      <c r="H5089" s="4">
        <f>IFERROR(__xludf.DUMMYFUNCTION("""COMPUTED_VALUE"""),26893.0)</f>
        <v>26893</v>
      </c>
      <c r="I5089" s="4">
        <f>IFERROR(__xludf.DUMMYFUNCTION("""COMPUTED_VALUE"""),17955.0)</f>
        <v>17955</v>
      </c>
      <c r="J5089" s="4">
        <f>IFERROR(__xludf.DUMMYFUNCTION("""COMPUTED_VALUE"""),2430.0)</f>
        <v>2430</v>
      </c>
      <c r="K5089" s="4">
        <f>IFERROR(__xludf.DUMMYFUNCTION("""COMPUTED_VALUE"""),3319.0)</f>
        <v>3319</v>
      </c>
      <c r="L5089" s="4">
        <f>IFERROR(__xludf.DUMMYFUNCTION("""COMPUTED_VALUE"""),0.456)</f>
        <v>0.456</v>
      </c>
      <c r="M5089" s="4"/>
      <c r="N5089" s="4">
        <f>IFERROR(__xludf.DUMMYFUNCTION("""COMPUTED_VALUE"""),0.753)</f>
        <v>0.753</v>
      </c>
      <c r="O5089" s="4">
        <f>IFERROR(__xludf.DUMMYFUNCTION("""COMPUTED_VALUE"""),30.4)</f>
        <v>30.4</v>
      </c>
      <c r="P5089" s="4">
        <f>IFERROR(__xludf.DUMMYFUNCTION("""COMPUTED_VALUE"""),20.3)</f>
        <v>20.3</v>
      </c>
      <c r="Q5089" s="4">
        <f>IFERROR(__xludf.DUMMYFUNCTION("""COMPUTED_VALUE"""),2.7)</f>
        <v>2.7</v>
      </c>
      <c r="R5089" s="4">
        <f>IFERROR(__xludf.DUMMYFUNCTION("""COMPUTED_VALUE"""),3.7)</f>
        <v>3.7</v>
      </c>
      <c r="S5089" s="4">
        <f>IFERROR(__xludf.DUMMYFUNCTION("""COMPUTED_VALUE"""),67.7)</f>
        <v>67.7</v>
      </c>
      <c r="T5089" s="4">
        <f>IFERROR(__xludf.DUMMYFUNCTION("""COMPUTED_VALUE"""),0.121)</f>
        <v>0.121</v>
      </c>
      <c r="U5089" s="4">
        <f>IFERROR(__xludf.DUMMYFUNCTION("""COMPUTED_VALUE"""),1.2)</f>
        <v>1.2</v>
      </c>
      <c r="V5089" s="4">
        <f>IFERROR(__xludf.DUMMYFUNCTION("""COMPUTED_VALUE"""),22.0)</f>
        <v>22</v>
      </c>
    </row>
    <row r="5090">
      <c r="A5090" s="4">
        <f>IFERROR(__xludf.DUMMYFUNCTION("""COMPUTED_VALUE"""),24.0)</f>
        <v>24</v>
      </c>
      <c r="B5090" s="4">
        <f>IFERROR(__xludf.DUMMYFUNCTION("""COMPUTED_VALUE"""),24.0)</f>
        <v>24</v>
      </c>
      <c r="C5090" s="4" t="str">
        <f>IFERROR(__xludf.DUMMYFUNCTION("""COMPUTED_VALUE"""),"MIL")</f>
        <v>MIL</v>
      </c>
      <c r="D5090" s="4" t="str">
        <f>IFERROR(__xludf.DUMMYFUNCTION("""COMPUTED_VALUE"""),"Cornelius Cash")</f>
        <v>Cornelius Cash</v>
      </c>
      <c r="E5090" s="4" t="str">
        <f>IFERROR(__xludf.DUMMYFUNCTION("""COMPUTED_VALUE"""),"Bowling Green")</f>
        <v>Bowling Green</v>
      </c>
      <c r="F5090" s="4">
        <f>IFERROR(__xludf.DUMMYFUNCTION("""COMPUTED_VALUE"""),1.0)</f>
        <v>1</v>
      </c>
      <c r="G5090" s="4">
        <f>IFERROR(__xludf.DUMMYFUNCTION("""COMPUTED_VALUE"""),6.0)</f>
        <v>6</v>
      </c>
      <c r="H5090" s="4">
        <f>IFERROR(__xludf.DUMMYFUNCTION("""COMPUTED_VALUE"""),49.0)</f>
        <v>49</v>
      </c>
      <c r="I5090" s="4">
        <f>IFERROR(__xludf.DUMMYFUNCTION("""COMPUTED_VALUE"""),21.0)</f>
        <v>21</v>
      </c>
      <c r="J5090" s="4">
        <f>IFERROR(__xludf.DUMMYFUNCTION("""COMPUTED_VALUE"""),16.0)</f>
        <v>16</v>
      </c>
      <c r="K5090" s="4">
        <f>IFERROR(__xludf.DUMMYFUNCTION("""COMPUTED_VALUE"""),1.0)</f>
        <v>1</v>
      </c>
      <c r="L5090" s="4">
        <f>IFERROR(__xludf.DUMMYFUNCTION("""COMPUTED_VALUE"""),0.391)</f>
        <v>0.391</v>
      </c>
      <c r="M5090" s="4"/>
      <c r="N5090" s="4">
        <f>IFERROR(__xludf.DUMMYFUNCTION("""COMPUTED_VALUE"""),0.5)</f>
        <v>0.5</v>
      </c>
      <c r="O5090" s="4">
        <f>IFERROR(__xludf.DUMMYFUNCTION("""COMPUTED_VALUE"""),8.2)</f>
        <v>8.2</v>
      </c>
      <c r="P5090" s="4">
        <f>IFERROR(__xludf.DUMMYFUNCTION("""COMPUTED_VALUE"""),3.5)</f>
        <v>3.5</v>
      </c>
      <c r="Q5090" s="4">
        <f>IFERROR(__xludf.DUMMYFUNCTION("""COMPUTED_VALUE"""),2.7)</f>
        <v>2.7</v>
      </c>
      <c r="R5090" s="4">
        <f>IFERROR(__xludf.DUMMYFUNCTION("""COMPUTED_VALUE"""),0.2)</f>
        <v>0.2</v>
      </c>
      <c r="S5090" s="4">
        <f>IFERROR(__xludf.DUMMYFUNCTION("""COMPUTED_VALUE"""),0.0)</f>
        <v>0</v>
      </c>
      <c r="T5090" s="4">
        <f>IFERROR(__xludf.DUMMYFUNCTION("""COMPUTED_VALUE"""),-0.01)</f>
        <v>-0.01</v>
      </c>
      <c r="U5090" s="4">
        <f>IFERROR(__xludf.DUMMYFUNCTION("""COMPUTED_VALUE"""),-4.6)</f>
        <v>-4.6</v>
      </c>
      <c r="V5090" s="4">
        <f>IFERROR(__xludf.DUMMYFUNCTION("""COMPUTED_VALUE"""),-0.1)</f>
        <v>-0.1</v>
      </c>
    </row>
    <row r="5091">
      <c r="A5091" s="4">
        <f>IFERROR(__xludf.DUMMYFUNCTION("""COMPUTED_VALUE"""),25.0)</f>
        <v>25</v>
      </c>
      <c r="B5091" s="4">
        <f>IFERROR(__xludf.DUMMYFUNCTION("""COMPUTED_VALUE"""),25.0)</f>
        <v>25</v>
      </c>
      <c r="C5091" s="4" t="str">
        <f>IFERROR(__xludf.DUMMYFUNCTION("""COMPUTED_VALUE"""),"POR")</f>
        <v>POR</v>
      </c>
      <c r="D5091" s="4" t="str">
        <f>IFERROR(__xludf.DUMMYFUNCTION("""COMPUTED_VALUE"""),"Bob Gross")</f>
        <v>Bob Gross</v>
      </c>
      <c r="E5091" s="4" t="str">
        <f>IFERROR(__xludf.DUMMYFUNCTION("""COMPUTED_VALUE"""),"Cal State Long Beach")</f>
        <v>Cal State Long Beach</v>
      </c>
      <c r="F5091" s="4">
        <f>IFERROR(__xludf.DUMMYFUNCTION("""COMPUTED_VALUE"""),8.0)</f>
        <v>8</v>
      </c>
      <c r="G5091" s="4">
        <f>IFERROR(__xludf.DUMMYFUNCTION("""COMPUTED_VALUE"""),513.0)</f>
        <v>513</v>
      </c>
      <c r="H5091" s="4">
        <f>IFERROR(__xludf.DUMMYFUNCTION("""COMPUTED_VALUE"""),12575.0)</f>
        <v>12575</v>
      </c>
      <c r="I5091" s="4">
        <f>IFERROR(__xludf.DUMMYFUNCTION("""COMPUTED_VALUE"""),4567.0)</f>
        <v>4567</v>
      </c>
      <c r="J5091" s="4">
        <f>IFERROR(__xludf.DUMMYFUNCTION("""COMPUTED_VALUE"""),2253.0)</f>
        <v>2253</v>
      </c>
      <c r="K5091" s="4">
        <f>IFERROR(__xludf.DUMMYFUNCTION("""COMPUTED_VALUE"""),1481.0)</f>
        <v>1481</v>
      </c>
      <c r="L5091" s="4">
        <f>IFERROR(__xludf.DUMMYFUNCTION("""COMPUTED_VALUE"""),0.512)</f>
        <v>0.512</v>
      </c>
      <c r="M5091" s="4"/>
      <c r="N5091" s="4">
        <f>IFERROR(__xludf.DUMMYFUNCTION("""COMPUTED_VALUE"""),0.798)</f>
        <v>0.798</v>
      </c>
      <c r="O5091" s="4">
        <f>IFERROR(__xludf.DUMMYFUNCTION("""COMPUTED_VALUE"""),24.5)</f>
        <v>24.5</v>
      </c>
      <c r="P5091" s="4">
        <f>IFERROR(__xludf.DUMMYFUNCTION("""COMPUTED_VALUE"""),8.9)</f>
        <v>8.9</v>
      </c>
      <c r="Q5091" s="4">
        <f>IFERROR(__xludf.DUMMYFUNCTION("""COMPUTED_VALUE"""),4.4)</f>
        <v>4.4</v>
      </c>
      <c r="R5091" s="4">
        <f>IFERROR(__xludf.DUMMYFUNCTION("""COMPUTED_VALUE"""),2.9)</f>
        <v>2.9</v>
      </c>
      <c r="S5091" s="4">
        <f>IFERROR(__xludf.DUMMYFUNCTION("""COMPUTED_VALUE"""),30.7)</f>
        <v>30.7</v>
      </c>
      <c r="T5091" s="4">
        <f>IFERROR(__xludf.DUMMYFUNCTION("""COMPUTED_VALUE"""),0.117)</f>
        <v>0.117</v>
      </c>
      <c r="U5091" s="4">
        <f>IFERROR(__xludf.DUMMYFUNCTION("""COMPUTED_VALUE"""),1.8)</f>
        <v>1.8</v>
      </c>
      <c r="V5091" s="4">
        <f>IFERROR(__xludf.DUMMYFUNCTION("""COMPUTED_VALUE"""),12.2)</f>
        <v>12.2</v>
      </c>
    </row>
    <row r="5092">
      <c r="A5092" s="4">
        <f>IFERROR(__xludf.DUMMYFUNCTION("""COMPUTED_VALUE"""),26.0)</f>
        <v>26</v>
      </c>
      <c r="B5092" s="4">
        <f>IFERROR(__xludf.DUMMYFUNCTION("""COMPUTED_VALUE"""),26.0)</f>
        <v>26</v>
      </c>
      <c r="C5092" s="4" t="str">
        <f>IFERROR(__xludf.DUMMYFUNCTION("""COMPUTED_VALUE"""),"NYK")</f>
        <v>NYK</v>
      </c>
      <c r="D5092" s="4" t="str">
        <f>IFERROR(__xludf.DUMMYFUNCTION("""COMPUTED_VALUE"""),"Ticky Burden")</f>
        <v>Ticky Burden</v>
      </c>
      <c r="E5092" s="4" t="str">
        <f>IFERROR(__xludf.DUMMYFUNCTION("""COMPUTED_VALUE"""),"Utah")</f>
        <v>Utah</v>
      </c>
      <c r="F5092" s="4">
        <f>IFERROR(__xludf.DUMMYFUNCTION("""COMPUTED_VALUE"""),2.0)</f>
        <v>2</v>
      </c>
      <c r="G5092" s="4">
        <f>IFERROR(__xludf.DUMMYFUNCTION("""COMPUTED_VALUE"""),63.0)</f>
        <v>63</v>
      </c>
      <c r="H5092" s="4">
        <f>IFERROR(__xludf.DUMMYFUNCTION("""COMPUTED_VALUE"""),623.0)</f>
        <v>623</v>
      </c>
      <c r="I5092" s="4">
        <f>IFERROR(__xludf.DUMMYFUNCTION("""COMPUTED_VALUE"""),349.0)</f>
        <v>349</v>
      </c>
      <c r="J5092" s="4">
        <f>IFERROR(__xludf.DUMMYFUNCTION("""COMPUTED_VALUE"""),66.0)</f>
        <v>66</v>
      </c>
      <c r="K5092" s="4">
        <f>IFERROR(__xludf.DUMMYFUNCTION("""COMPUTED_VALUE"""),63.0)</f>
        <v>63</v>
      </c>
      <c r="L5092" s="4">
        <f>IFERROR(__xludf.DUMMYFUNCTION("""COMPUTED_VALUE"""),0.421)</f>
        <v>0.421</v>
      </c>
      <c r="M5092" s="4"/>
      <c r="N5092" s="4">
        <f>IFERROR(__xludf.DUMMYFUNCTION("""COMPUTED_VALUE"""),0.6)</f>
        <v>0.6</v>
      </c>
      <c r="O5092" s="4">
        <f>IFERROR(__xludf.DUMMYFUNCTION("""COMPUTED_VALUE"""),9.9)</f>
        <v>9.9</v>
      </c>
      <c r="P5092" s="4">
        <f>IFERROR(__xludf.DUMMYFUNCTION("""COMPUTED_VALUE"""),5.5)</f>
        <v>5.5</v>
      </c>
      <c r="Q5092" s="4">
        <f>IFERROR(__xludf.DUMMYFUNCTION("""COMPUTED_VALUE"""),1.0)</f>
        <v>1</v>
      </c>
      <c r="R5092" s="4">
        <f>IFERROR(__xludf.DUMMYFUNCTION("""COMPUTED_VALUE"""),1.0)</f>
        <v>1</v>
      </c>
      <c r="S5092" s="4">
        <f>IFERROR(__xludf.DUMMYFUNCTION("""COMPUTED_VALUE"""),0.0)</f>
        <v>0</v>
      </c>
      <c r="T5092" s="4">
        <f>IFERROR(__xludf.DUMMYFUNCTION("""COMPUTED_VALUE"""),-0.002)</f>
        <v>-0.002</v>
      </c>
      <c r="U5092" s="4">
        <f>IFERROR(__xludf.DUMMYFUNCTION("""COMPUTED_VALUE"""),-3.1)</f>
        <v>-3.1</v>
      </c>
      <c r="V5092" s="4">
        <f>IFERROR(__xludf.DUMMYFUNCTION("""COMPUTED_VALUE"""),-0.2)</f>
        <v>-0.2</v>
      </c>
    </row>
    <row r="5093">
      <c r="A5093" s="4">
        <f>IFERROR(__xludf.DUMMYFUNCTION("""COMPUTED_VALUE"""),27.0)</f>
        <v>27</v>
      </c>
      <c r="B5093" s="4">
        <f>IFERROR(__xludf.DUMMYFUNCTION("""COMPUTED_VALUE"""),27.0)</f>
        <v>27</v>
      </c>
      <c r="C5093" s="4" t="str">
        <f>IFERROR(__xludf.DUMMYFUNCTION("""COMPUTED_VALUE"""),"DET")</f>
        <v>DET</v>
      </c>
      <c r="D5093" s="4" t="str">
        <f>IFERROR(__xludf.DUMMYFUNCTION("""COMPUTED_VALUE"""),"Walter Luckett")</f>
        <v>Walter Luckett</v>
      </c>
      <c r="E5093" s="4" t="str">
        <f>IFERROR(__xludf.DUMMYFUNCTION("""COMPUTED_VALUE"""),"Ohio University")</f>
        <v>Ohio University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</row>
    <row r="5094">
      <c r="A5094" s="4">
        <f>IFERROR(__xludf.DUMMYFUNCTION("""COMPUTED_VALUE"""),28.0)</f>
        <v>28</v>
      </c>
      <c r="B5094" s="4">
        <f>IFERROR(__xludf.DUMMYFUNCTION("""COMPUTED_VALUE"""),28.0)</f>
        <v>28</v>
      </c>
      <c r="C5094" s="4" t="str">
        <f>IFERROR(__xludf.DUMMYFUNCTION("""COMPUTED_VALUE"""),"CLE")</f>
        <v>CLE</v>
      </c>
      <c r="D5094" s="4" t="str">
        <f>IFERROR(__xludf.DUMMYFUNCTION("""COMPUTED_VALUE"""),"Dan Roundfield")</f>
        <v>Dan Roundfield</v>
      </c>
      <c r="E5094" s="4" t="str">
        <f>IFERROR(__xludf.DUMMYFUNCTION("""COMPUTED_VALUE"""),"Central Michigan University")</f>
        <v>Central Michigan University</v>
      </c>
      <c r="F5094" s="4">
        <f>IFERROR(__xludf.DUMMYFUNCTION("""COMPUTED_VALUE"""),11.0)</f>
        <v>11</v>
      </c>
      <c r="G5094" s="4">
        <f>IFERROR(__xludf.DUMMYFUNCTION("""COMPUTED_VALUE"""),746.0)</f>
        <v>746</v>
      </c>
      <c r="H5094" s="4">
        <f>IFERROR(__xludf.DUMMYFUNCTION("""COMPUTED_VALUE"""),23443.0)</f>
        <v>23443</v>
      </c>
      <c r="I5094" s="4">
        <f>IFERROR(__xludf.DUMMYFUNCTION("""COMPUTED_VALUE"""),11318.0)</f>
        <v>11318</v>
      </c>
      <c r="J5094" s="4">
        <f>IFERROR(__xludf.DUMMYFUNCTION("""COMPUTED_VALUE"""),7243.0)</f>
        <v>7243</v>
      </c>
      <c r="K5094" s="4">
        <f>IFERROR(__xludf.DUMMYFUNCTION("""COMPUTED_VALUE"""),1620.0)</f>
        <v>1620</v>
      </c>
      <c r="L5094" s="4">
        <f>IFERROR(__xludf.DUMMYFUNCTION("""COMPUTED_VALUE"""),0.485)</f>
        <v>0.485</v>
      </c>
      <c r="M5094" s="4"/>
      <c r="N5094" s="4">
        <f>IFERROR(__xludf.DUMMYFUNCTION("""COMPUTED_VALUE"""),0.738)</f>
        <v>0.738</v>
      </c>
      <c r="O5094" s="4">
        <f>IFERROR(__xludf.DUMMYFUNCTION("""COMPUTED_VALUE"""),31.4)</f>
        <v>31.4</v>
      </c>
      <c r="P5094" s="4">
        <f>IFERROR(__xludf.DUMMYFUNCTION("""COMPUTED_VALUE"""),15.2)</f>
        <v>15.2</v>
      </c>
      <c r="Q5094" s="4">
        <f>IFERROR(__xludf.DUMMYFUNCTION("""COMPUTED_VALUE"""),9.7)</f>
        <v>9.7</v>
      </c>
      <c r="R5094" s="4">
        <f>IFERROR(__xludf.DUMMYFUNCTION("""COMPUTED_VALUE"""),2.2)</f>
        <v>2.2</v>
      </c>
      <c r="S5094" s="4">
        <f>IFERROR(__xludf.DUMMYFUNCTION("""COMPUTED_VALUE"""),65.2)</f>
        <v>65.2</v>
      </c>
      <c r="T5094" s="4">
        <f>IFERROR(__xludf.DUMMYFUNCTION("""COMPUTED_VALUE"""),0.134)</f>
        <v>0.134</v>
      </c>
      <c r="U5094" s="4">
        <f>IFERROR(__xludf.DUMMYFUNCTION("""COMPUTED_VALUE"""),1.4)</f>
        <v>1.4</v>
      </c>
      <c r="V5094" s="4">
        <f>IFERROR(__xludf.DUMMYFUNCTION("""COMPUTED_VALUE"""),20.0)</f>
        <v>20</v>
      </c>
    </row>
    <row r="5095">
      <c r="A5095" s="4">
        <f>IFERROR(__xludf.DUMMYFUNCTION("""COMPUTED_VALUE"""),29.0)</f>
        <v>29</v>
      </c>
      <c r="B5095" s="4">
        <f>IFERROR(__xludf.DUMMYFUNCTION("""COMPUTED_VALUE"""),29.0)</f>
        <v>29</v>
      </c>
      <c r="C5095" s="4" t="str">
        <f>IFERROR(__xludf.DUMMYFUNCTION("""COMPUTED_VALUE"""),"HOU")</f>
        <v>HOU</v>
      </c>
      <c r="D5095" s="4" t="str">
        <f>IFERROR(__xludf.DUMMYFUNCTION("""COMPUTED_VALUE"""),"Jim Blanks")</f>
        <v>Jim Blanks</v>
      </c>
      <c r="E5095" s="4" t="str">
        <f>IFERROR(__xludf.DUMMYFUNCTION("""COMPUTED_VALUE"""),"Gardner-Webb University")</f>
        <v>Gardner-Webb University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</row>
    <row r="5096">
      <c r="A5096" s="4">
        <f>IFERROR(__xludf.DUMMYFUNCTION("""COMPUTED_VALUE"""),30.0)</f>
        <v>30</v>
      </c>
      <c r="B5096" s="4">
        <f>IFERROR(__xludf.DUMMYFUNCTION("""COMPUTED_VALUE"""),30.0)</f>
        <v>30</v>
      </c>
      <c r="C5096" s="4" t="str">
        <f>IFERROR(__xludf.DUMMYFUNCTION("""COMPUTED_VALUE"""),"CHI")</f>
        <v>CHI</v>
      </c>
      <c r="D5096" s="4" t="str">
        <f>IFERROR(__xludf.DUMMYFUNCTION("""COMPUTED_VALUE"""),"Steve Green")</f>
        <v>Steve Green</v>
      </c>
      <c r="E5096" s="4" t="str">
        <f>IFERROR(__xludf.DUMMYFUNCTION("""COMPUTED_VALUE"""),"Indiana")</f>
        <v>Indiana</v>
      </c>
      <c r="F5096" s="4">
        <f>IFERROR(__xludf.DUMMYFUNCTION("""COMPUTED_VALUE"""),3.0)</f>
        <v>3</v>
      </c>
      <c r="G5096" s="4">
        <f>IFERROR(__xludf.DUMMYFUNCTION("""COMPUTED_VALUE"""),153.0)</f>
        <v>153</v>
      </c>
      <c r="H5096" s="4">
        <f>IFERROR(__xludf.DUMMYFUNCTION("""COMPUTED_VALUE"""),1632.0)</f>
        <v>1632</v>
      </c>
      <c r="I5096" s="4">
        <f>IFERROR(__xludf.DUMMYFUNCTION("""COMPUTED_VALUE"""),705.0)</f>
        <v>705</v>
      </c>
      <c r="J5096" s="4">
        <f>IFERROR(__xludf.DUMMYFUNCTION("""COMPUTED_VALUE"""),300.0)</f>
        <v>300</v>
      </c>
      <c r="K5096" s="4">
        <f>IFERROR(__xludf.DUMMYFUNCTION("""COMPUTED_VALUE"""),97.0)</f>
        <v>97</v>
      </c>
      <c r="L5096" s="4">
        <f>IFERROR(__xludf.DUMMYFUNCTION("""COMPUTED_VALUE"""),0.438)</f>
        <v>0.438</v>
      </c>
      <c r="M5096" s="4"/>
      <c r="N5096" s="4">
        <f>IFERROR(__xludf.DUMMYFUNCTION("""COMPUTED_VALUE"""),0.704)</f>
        <v>0.704</v>
      </c>
      <c r="O5096" s="4">
        <f>IFERROR(__xludf.DUMMYFUNCTION("""COMPUTED_VALUE"""),10.7)</f>
        <v>10.7</v>
      </c>
      <c r="P5096" s="4">
        <f>IFERROR(__xludf.DUMMYFUNCTION("""COMPUTED_VALUE"""),4.6)</f>
        <v>4.6</v>
      </c>
      <c r="Q5096" s="4">
        <f>IFERROR(__xludf.DUMMYFUNCTION("""COMPUTED_VALUE"""),2.0)</f>
        <v>2</v>
      </c>
      <c r="R5096" s="4">
        <f>IFERROR(__xludf.DUMMYFUNCTION("""COMPUTED_VALUE"""),0.6)</f>
        <v>0.6</v>
      </c>
      <c r="S5096" s="4">
        <f>IFERROR(__xludf.DUMMYFUNCTION("""COMPUTED_VALUE"""),2.2)</f>
        <v>2.2</v>
      </c>
      <c r="T5096" s="4">
        <f>IFERROR(__xludf.DUMMYFUNCTION("""COMPUTED_VALUE"""),0.065)</f>
        <v>0.065</v>
      </c>
      <c r="U5096" s="4">
        <f>IFERROR(__xludf.DUMMYFUNCTION("""COMPUTED_VALUE"""),-2.8)</f>
        <v>-2.8</v>
      </c>
      <c r="V5096" s="4">
        <f>IFERROR(__xludf.DUMMYFUNCTION("""COMPUTED_VALUE"""),-0.3)</f>
        <v>-0.3</v>
      </c>
    </row>
    <row r="5097">
      <c r="A5097" s="4">
        <f>IFERROR(__xludf.DUMMYFUNCTION("""COMPUTED_VALUE"""),31.0)</f>
        <v>31</v>
      </c>
      <c r="B5097" s="4">
        <f>IFERROR(__xludf.DUMMYFUNCTION("""COMPUTED_VALUE"""),31.0)</f>
        <v>31</v>
      </c>
      <c r="C5097" s="4" t="str">
        <f>IFERROR(__xludf.DUMMYFUNCTION("""COMPUTED_VALUE"""),"KCK")</f>
        <v>KCK</v>
      </c>
      <c r="D5097" s="4" t="str">
        <f>IFERROR(__xludf.DUMMYFUNCTION("""COMPUTED_VALUE"""),"Glenn Hansen")</f>
        <v>Glenn Hansen</v>
      </c>
      <c r="E5097" s="4" t="str">
        <f>IFERROR(__xludf.DUMMYFUNCTION("""COMPUTED_VALUE"""),"LSU")</f>
        <v>LSU</v>
      </c>
      <c r="F5097" s="4">
        <f>IFERROR(__xludf.DUMMYFUNCTION("""COMPUTED_VALUE"""),3.0)</f>
        <v>3</v>
      </c>
      <c r="G5097" s="4">
        <f>IFERROR(__xludf.DUMMYFUNCTION("""COMPUTED_VALUE"""),112.0)</f>
        <v>112</v>
      </c>
      <c r="H5097" s="4">
        <f>IFERROR(__xludf.DUMMYFUNCTION("""COMPUTED_VALUE"""),1447.0)</f>
        <v>1447</v>
      </c>
      <c r="I5097" s="4">
        <f>IFERROR(__xludf.DUMMYFUNCTION("""COMPUTED_VALUE"""),588.0)</f>
        <v>588</v>
      </c>
      <c r="J5097" s="4">
        <f>IFERROR(__xludf.DUMMYFUNCTION("""COMPUTED_VALUE"""),247.0)</f>
        <v>247</v>
      </c>
      <c r="K5097" s="4">
        <f>IFERROR(__xludf.DUMMYFUNCTION("""COMPUTED_VALUE"""),93.0)</f>
        <v>93</v>
      </c>
      <c r="L5097" s="4">
        <f>IFERROR(__xludf.DUMMYFUNCTION("""COMPUTED_VALUE"""),0.412)</f>
        <v>0.412</v>
      </c>
      <c r="M5097" s="4"/>
      <c r="N5097" s="4">
        <f>IFERROR(__xludf.DUMMYFUNCTION("""COMPUTED_VALUE"""),0.725)</f>
        <v>0.725</v>
      </c>
      <c r="O5097" s="4">
        <f>IFERROR(__xludf.DUMMYFUNCTION("""COMPUTED_VALUE"""),12.9)</f>
        <v>12.9</v>
      </c>
      <c r="P5097" s="4">
        <f>IFERROR(__xludf.DUMMYFUNCTION("""COMPUTED_VALUE"""),5.3)</f>
        <v>5.3</v>
      </c>
      <c r="Q5097" s="4">
        <f>IFERROR(__xludf.DUMMYFUNCTION("""COMPUTED_VALUE"""),2.2)</f>
        <v>2.2</v>
      </c>
      <c r="R5097" s="4">
        <f>IFERROR(__xludf.DUMMYFUNCTION("""COMPUTED_VALUE"""),0.8)</f>
        <v>0.8</v>
      </c>
      <c r="S5097" s="4">
        <f>IFERROR(__xludf.DUMMYFUNCTION("""COMPUTED_VALUE"""),1.0)</f>
        <v>1</v>
      </c>
      <c r="T5097" s="4">
        <f>IFERROR(__xludf.DUMMYFUNCTION("""COMPUTED_VALUE"""),0.034)</f>
        <v>0.034</v>
      </c>
      <c r="U5097" s="4">
        <f>IFERROR(__xludf.DUMMYFUNCTION("""COMPUTED_VALUE"""),-2.9)</f>
        <v>-2.9</v>
      </c>
      <c r="V5097" s="4">
        <f>IFERROR(__xludf.DUMMYFUNCTION("""COMPUTED_VALUE"""),-0.4)</f>
        <v>-0.4</v>
      </c>
    </row>
    <row r="5098">
      <c r="A5098" s="4">
        <f>IFERROR(__xludf.DUMMYFUNCTION("""COMPUTED_VALUE"""),32.0)</f>
        <v>32</v>
      </c>
      <c r="B5098" s="4">
        <f>IFERROR(__xludf.DUMMYFUNCTION("""COMPUTED_VALUE"""),32.0)</f>
        <v>32</v>
      </c>
      <c r="C5098" s="4" t="str">
        <f>IFERROR(__xludf.DUMMYFUNCTION("""COMPUTED_VALUE"""),"CHI")</f>
        <v>CHI</v>
      </c>
      <c r="D5098" s="4" t="str">
        <f>IFERROR(__xludf.DUMMYFUNCTION("""COMPUTED_VALUE"""),"John Laskowski")</f>
        <v>John Laskowski</v>
      </c>
      <c r="E5098" s="4" t="str">
        <f>IFERROR(__xludf.DUMMYFUNCTION("""COMPUTED_VALUE"""),"Indiana")</f>
        <v>Indiana</v>
      </c>
      <c r="F5098" s="4">
        <f>IFERROR(__xludf.DUMMYFUNCTION("""COMPUTED_VALUE"""),2.0)</f>
        <v>2</v>
      </c>
      <c r="G5098" s="4">
        <f>IFERROR(__xludf.DUMMYFUNCTION("""COMPUTED_VALUE"""),118.0)</f>
        <v>118</v>
      </c>
      <c r="H5098" s="4">
        <f>IFERROR(__xludf.DUMMYFUNCTION("""COMPUTED_VALUE"""),2132.0)</f>
        <v>2132</v>
      </c>
      <c r="I5098" s="4">
        <f>IFERROR(__xludf.DUMMYFUNCTION("""COMPUTED_VALUE"""),832.0)</f>
        <v>832</v>
      </c>
      <c r="J5098" s="4">
        <f>IFERROR(__xludf.DUMMYFUNCTION("""COMPUTED_VALUE"""),282.0)</f>
        <v>282</v>
      </c>
      <c r="K5098" s="4">
        <f>IFERROR(__xludf.DUMMYFUNCTION("""COMPUTED_VALUE"""),99.0)</f>
        <v>99</v>
      </c>
      <c r="L5098" s="4">
        <f>IFERROR(__xludf.DUMMYFUNCTION("""COMPUTED_VALUE"""),0.398)</f>
        <v>0.398</v>
      </c>
      <c r="M5098" s="4"/>
      <c r="N5098" s="4">
        <f>IFERROR(__xludf.DUMMYFUNCTION("""COMPUTED_VALUE"""),0.76)</f>
        <v>0.76</v>
      </c>
      <c r="O5098" s="4">
        <f>IFERROR(__xludf.DUMMYFUNCTION("""COMPUTED_VALUE"""),18.1)</f>
        <v>18.1</v>
      </c>
      <c r="P5098" s="4">
        <f>IFERROR(__xludf.DUMMYFUNCTION("""COMPUTED_VALUE"""),7.1)</f>
        <v>7.1</v>
      </c>
      <c r="Q5098" s="4">
        <f>IFERROR(__xludf.DUMMYFUNCTION("""COMPUTED_VALUE"""),2.4)</f>
        <v>2.4</v>
      </c>
      <c r="R5098" s="4">
        <f>IFERROR(__xludf.DUMMYFUNCTION("""COMPUTED_VALUE"""),0.8)</f>
        <v>0.8</v>
      </c>
      <c r="S5098" s="4">
        <f>IFERROR(__xludf.DUMMYFUNCTION("""COMPUTED_VALUE"""),2.0)</f>
        <v>2</v>
      </c>
      <c r="T5098" s="4">
        <f>IFERROR(__xludf.DUMMYFUNCTION("""COMPUTED_VALUE"""),0.046)</f>
        <v>0.046</v>
      </c>
      <c r="U5098" s="4">
        <f>IFERROR(__xludf.DUMMYFUNCTION("""COMPUTED_VALUE"""),-1.9)</f>
        <v>-1.9</v>
      </c>
      <c r="V5098" s="4">
        <f>IFERROR(__xludf.DUMMYFUNCTION("""COMPUTED_VALUE"""),0.0)</f>
        <v>0</v>
      </c>
    </row>
    <row r="5099">
      <c r="A5099" s="4">
        <f>IFERROR(__xludf.DUMMYFUNCTION("""COMPUTED_VALUE"""),33.0)</f>
        <v>33</v>
      </c>
      <c r="B5099" s="4">
        <f>IFERROR(__xludf.DUMMYFUNCTION("""COMPUTED_VALUE"""),33.0)</f>
        <v>33</v>
      </c>
      <c r="C5099" s="4" t="str">
        <f>IFERROR(__xludf.DUMMYFUNCTION("""COMPUTED_VALUE"""),"CLE")</f>
        <v>CLE</v>
      </c>
      <c r="D5099" s="4" t="str">
        <f>IFERROR(__xludf.DUMMYFUNCTION("""COMPUTED_VALUE"""),"Mel Utley")</f>
        <v>Mel Utley</v>
      </c>
      <c r="E5099" s="4" t="str">
        <f>IFERROR(__xludf.DUMMYFUNCTION("""COMPUTED_VALUE"""),"St. John's")</f>
        <v>St. John's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</row>
    <row r="5100">
      <c r="A5100" s="4">
        <f>IFERROR(__xludf.DUMMYFUNCTION("""COMPUTED_VALUE"""),34.0)</f>
        <v>34</v>
      </c>
      <c r="B5100" s="4">
        <f>IFERROR(__xludf.DUMMYFUNCTION("""COMPUTED_VALUE"""),34.0)</f>
        <v>34</v>
      </c>
      <c r="C5100" s="4" t="str">
        <f>IFERROR(__xludf.DUMMYFUNCTION("""COMPUTED_VALUE"""),"NYK")</f>
        <v>NYK</v>
      </c>
      <c r="D5100" s="4" t="str">
        <f>IFERROR(__xludf.DUMMYFUNCTION("""COMPUTED_VALUE"""),"Larry Fogle")</f>
        <v>Larry Fogle</v>
      </c>
      <c r="E5100" s="4" t="str">
        <f>IFERROR(__xludf.DUMMYFUNCTION("""COMPUTED_VALUE"""),"Canisius")</f>
        <v>Canisius</v>
      </c>
      <c r="F5100" s="4">
        <f>IFERROR(__xludf.DUMMYFUNCTION("""COMPUTED_VALUE"""),1.0)</f>
        <v>1</v>
      </c>
      <c r="G5100" s="4">
        <f>IFERROR(__xludf.DUMMYFUNCTION("""COMPUTED_VALUE"""),2.0)</f>
        <v>2</v>
      </c>
      <c r="H5100" s="4">
        <f>IFERROR(__xludf.DUMMYFUNCTION("""COMPUTED_VALUE"""),14.0)</f>
        <v>14</v>
      </c>
      <c r="I5100" s="4">
        <f>IFERROR(__xludf.DUMMYFUNCTION("""COMPUTED_VALUE"""),2.0)</f>
        <v>2</v>
      </c>
      <c r="J5100" s="4">
        <f>IFERROR(__xludf.DUMMYFUNCTION("""COMPUTED_VALUE"""),3.0)</f>
        <v>3</v>
      </c>
      <c r="K5100" s="4">
        <f>IFERROR(__xludf.DUMMYFUNCTION("""COMPUTED_VALUE"""),0.0)</f>
        <v>0</v>
      </c>
      <c r="L5100" s="4">
        <f>IFERROR(__xludf.DUMMYFUNCTION("""COMPUTED_VALUE"""),0.2)</f>
        <v>0.2</v>
      </c>
      <c r="M5100" s="4"/>
      <c r="N5100" s="4"/>
      <c r="O5100" s="4">
        <f>IFERROR(__xludf.DUMMYFUNCTION("""COMPUTED_VALUE"""),7.0)</f>
        <v>7</v>
      </c>
      <c r="P5100" s="4">
        <f>IFERROR(__xludf.DUMMYFUNCTION("""COMPUTED_VALUE"""),1.0)</f>
        <v>1</v>
      </c>
      <c r="Q5100" s="4">
        <f>IFERROR(__xludf.DUMMYFUNCTION("""COMPUTED_VALUE"""),1.5)</f>
        <v>1.5</v>
      </c>
      <c r="R5100" s="4">
        <f>IFERROR(__xludf.DUMMYFUNCTION("""COMPUTED_VALUE"""),0.0)</f>
        <v>0</v>
      </c>
      <c r="S5100" s="4">
        <f>IFERROR(__xludf.DUMMYFUNCTION("""COMPUTED_VALUE"""),0.0)</f>
        <v>0</v>
      </c>
      <c r="T5100" s="4">
        <f>IFERROR(__xludf.DUMMYFUNCTION("""COMPUTED_VALUE"""),-0.163)</f>
        <v>-0.163</v>
      </c>
      <c r="U5100" s="4">
        <f>IFERROR(__xludf.DUMMYFUNCTION("""COMPUTED_VALUE"""),-5.1)</f>
        <v>-5.1</v>
      </c>
      <c r="V5100" s="4">
        <f>IFERROR(__xludf.DUMMYFUNCTION("""COMPUTED_VALUE"""),0.0)</f>
        <v>0</v>
      </c>
    </row>
    <row r="5101">
      <c r="A5101" s="4">
        <f>IFERROR(__xludf.DUMMYFUNCTION("""COMPUTED_VALUE"""),35.0)</f>
        <v>35</v>
      </c>
      <c r="B5101" s="4">
        <f>IFERROR(__xludf.DUMMYFUNCTION("""COMPUTED_VALUE"""),35.0)</f>
        <v>35</v>
      </c>
      <c r="C5101" s="4" t="str">
        <f>IFERROR(__xludf.DUMMYFUNCTION("""COMPUTED_VALUE"""),"PHO")</f>
        <v>PHO</v>
      </c>
      <c r="D5101" s="4" t="str">
        <f>IFERROR(__xludf.DUMMYFUNCTION("""COMPUTED_VALUE"""),"Allen Murphy")</f>
        <v>Allen Murphy</v>
      </c>
      <c r="E5101" s="4" t="str">
        <f>IFERROR(__xludf.DUMMYFUNCTION("""COMPUTED_VALUE"""),"Louisville")</f>
        <v>Louisville</v>
      </c>
      <c r="F5101" s="4">
        <f>IFERROR(__xludf.DUMMYFUNCTION("""COMPUTED_VALUE"""),1.0)</f>
        <v>1</v>
      </c>
      <c r="G5101" s="4">
        <f>IFERROR(__xludf.DUMMYFUNCTION("""COMPUTED_VALUE"""),2.0)</f>
        <v>2</v>
      </c>
      <c r="H5101" s="4">
        <f>IFERROR(__xludf.DUMMYFUNCTION("""COMPUTED_VALUE"""),18.0)</f>
        <v>18</v>
      </c>
      <c r="I5101" s="4">
        <f>IFERROR(__xludf.DUMMYFUNCTION("""COMPUTED_VALUE"""),5.0)</f>
        <v>5</v>
      </c>
      <c r="J5101" s="4">
        <f>IFERROR(__xludf.DUMMYFUNCTION("""COMPUTED_VALUE"""),4.0)</f>
        <v>4</v>
      </c>
      <c r="K5101" s="4">
        <f>IFERROR(__xludf.DUMMYFUNCTION("""COMPUTED_VALUE"""),0.0)</f>
        <v>0</v>
      </c>
      <c r="L5101" s="4">
        <f>IFERROR(__xludf.DUMMYFUNCTION("""COMPUTED_VALUE"""),0.2)</f>
        <v>0.2</v>
      </c>
      <c r="M5101" s="4"/>
      <c r="N5101" s="4">
        <f>IFERROR(__xludf.DUMMYFUNCTION("""COMPUTED_VALUE"""),0.429)</f>
        <v>0.429</v>
      </c>
      <c r="O5101" s="4">
        <f>IFERROR(__xludf.DUMMYFUNCTION("""COMPUTED_VALUE"""),9.0)</f>
        <v>9</v>
      </c>
      <c r="P5101" s="4">
        <f>IFERROR(__xludf.DUMMYFUNCTION("""COMPUTED_VALUE"""),2.5)</f>
        <v>2.5</v>
      </c>
      <c r="Q5101" s="4">
        <f>IFERROR(__xludf.DUMMYFUNCTION("""COMPUTED_VALUE"""),2.0)</f>
        <v>2</v>
      </c>
      <c r="R5101" s="4">
        <f>IFERROR(__xludf.DUMMYFUNCTION("""COMPUTED_VALUE"""),0.0)</f>
        <v>0</v>
      </c>
      <c r="S5101" s="4">
        <f>IFERROR(__xludf.DUMMYFUNCTION("""COMPUTED_VALUE"""),-0.1)</f>
        <v>-0.1</v>
      </c>
      <c r="T5101" s="4">
        <f>IFERROR(__xludf.DUMMYFUNCTION("""COMPUTED_VALUE"""),-0.229)</f>
        <v>-0.229</v>
      </c>
      <c r="U5101" s="4">
        <f>IFERROR(__xludf.DUMMYFUNCTION("""COMPUTED_VALUE"""),-5.7)</f>
        <v>-5.7</v>
      </c>
      <c r="V5101" s="4">
        <f>IFERROR(__xludf.DUMMYFUNCTION("""COMPUTED_VALUE"""),-0.1)</f>
        <v>-0.1</v>
      </c>
    </row>
    <row r="5102">
      <c r="A5102" s="4">
        <f>IFERROR(__xludf.DUMMYFUNCTION("""COMPUTED_VALUE"""),36.0)</f>
        <v>36</v>
      </c>
      <c r="B5102" s="4">
        <f>IFERROR(__xludf.DUMMYFUNCTION("""COMPUTED_VALUE"""),36.0)</f>
        <v>36</v>
      </c>
      <c r="C5102" s="4" t="str">
        <f>IFERROR(__xludf.DUMMYFUNCTION("""COMPUTED_VALUE"""),"PHO")</f>
        <v>PHO</v>
      </c>
      <c r="D5102" s="4" t="str">
        <f>IFERROR(__xludf.DUMMYFUNCTION("""COMPUTED_VALUE"""),"Jimmy Conner")</f>
        <v>Jimmy Conner</v>
      </c>
      <c r="E5102" s="4" t="str">
        <f>IFERROR(__xludf.DUMMYFUNCTION("""COMPUTED_VALUE"""),"Kentucky")</f>
        <v>Kentucky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</row>
    <row r="5103">
      <c r="A5103" s="4"/>
      <c r="B5103" s="4"/>
      <c r="C5103" s="4"/>
      <c r="D5103" s="4" t="str">
        <f>IFERROR(__xludf.DUMMYFUNCTION("""COMPUTED_VALUE"""),"Round 3")</f>
        <v>Round 3</v>
      </c>
      <c r="E5103" s="4"/>
      <c r="F5103" s="4"/>
      <c r="G5103" s="4" t="str">
        <f>IFERROR(__xludf.DUMMYFUNCTION("""COMPUTED_VALUE"""),"Totals")</f>
        <v>Totals</v>
      </c>
      <c r="H5103" s="4"/>
      <c r="I5103" s="4"/>
      <c r="J5103" s="4"/>
      <c r="K5103" s="4"/>
      <c r="L5103" s="4" t="str">
        <f>IFERROR(__xludf.DUMMYFUNCTION("""COMPUTED_VALUE"""),"Shooting")</f>
        <v>Shooting</v>
      </c>
      <c r="M5103" s="4"/>
      <c r="N5103" s="4"/>
      <c r="O5103" s="4" t="str">
        <f>IFERROR(__xludf.DUMMYFUNCTION("""COMPUTED_VALUE"""),"Per Game")</f>
        <v>Per Game</v>
      </c>
      <c r="P5103" s="4"/>
      <c r="Q5103" s="4"/>
      <c r="R5103" s="4"/>
      <c r="S5103" s="4" t="str">
        <f>IFERROR(__xludf.DUMMYFUNCTION("""COMPUTED_VALUE"""),"Advanced")</f>
        <v>Advanced</v>
      </c>
      <c r="T5103" s="4"/>
      <c r="U5103" s="4"/>
      <c r="V5103" s="4"/>
    </row>
    <row r="5104">
      <c r="A5104" s="4" t="str">
        <f>IFERROR(__xludf.DUMMYFUNCTION("""COMPUTED_VALUE"""),"Rk")</f>
        <v>Rk</v>
      </c>
      <c r="B5104" s="4" t="str">
        <f>IFERROR(__xludf.DUMMYFUNCTION("""COMPUTED_VALUE"""),"Pk")</f>
        <v>Pk</v>
      </c>
      <c r="C5104" s="4" t="str">
        <f>IFERROR(__xludf.DUMMYFUNCTION("""COMPUTED_VALUE"""),"Tm")</f>
        <v>Tm</v>
      </c>
      <c r="D5104" s="4" t="str">
        <f>IFERROR(__xludf.DUMMYFUNCTION("""COMPUTED_VALUE"""),"Player")</f>
        <v>Player</v>
      </c>
      <c r="E5104" s="4" t="str">
        <f>IFERROR(__xludf.DUMMYFUNCTION("""COMPUTED_VALUE"""),"College")</f>
        <v>College</v>
      </c>
      <c r="F5104" s="4" t="str">
        <f>IFERROR(__xludf.DUMMYFUNCTION("""COMPUTED_VALUE"""),"Yrs")</f>
        <v>Yrs</v>
      </c>
      <c r="G5104" s="4" t="str">
        <f>IFERROR(__xludf.DUMMYFUNCTION("""COMPUTED_VALUE"""),"G")</f>
        <v>G</v>
      </c>
      <c r="H5104" s="4" t="str">
        <f>IFERROR(__xludf.DUMMYFUNCTION("""COMPUTED_VALUE"""),"MP")</f>
        <v>MP</v>
      </c>
      <c r="I5104" s="4" t="str">
        <f>IFERROR(__xludf.DUMMYFUNCTION("""COMPUTED_VALUE"""),"PTS")</f>
        <v>PTS</v>
      </c>
      <c r="J5104" s="4" t="str">
        <f>IFERROR(__xludf.DUMMYFUNCTION("""COMPUTED_VALUE"""),"TRB")</f>
        <v>TRB</v>
      </c>
      <c r="K5104" s="4" t="str">
        <f>IFERROR(__xludf.DUMMYFUNCTION("""COMPUTED_VALUE"""),"AST")</f>
        <v>AST</v>
      </c>
      <c r="L5104" s="4" t="str">
        <f>IFERROR(__xludf.DUMMYFUNCTION("""COMPUTED_VALUE"""),"FG%")</f>
        <v>FG%</v>
      </c>
      <c r="M5104" s="4" t="str">
        <f>IFERROR(__xludf.DUMMYFUNCTION("""COMPUTED_VALUE"""),"3P%")</f>
        <v>3P%</v>
      </c>
      <c r="N5104" s="4" t="str">
        <f>IFERROR(__xludf.DUMMYFUNCTION("""COMPUTED_VALUE"""),"FT%")</f>
        <v>FT%</v>
      </c>
      <c r="O5104" s="4" t="str">
        <f>IFERROR(__xludf.DUMMYFUNCTION("""COMPUTED_VALUE"""),"MP")</f>
        <v>MP</v>
      </c>
      <c r="P5104" s="4" t="str">
        <f>IFERROR(__xludf.DUMMYFUNCTION("""COMPUTED_VALUE"""),"PTS")</f>
        <v>PTS</v>
      </c>
      <c r="Q5104" s="4" t="str">
        <f>IFERROR(__xludf.DUMMYFUNCTION("""COMPUTED_VALUE"""),"TRB")</f>
        <v>TRB</v>
      </c>
      <c r="R5104" s="4" t="str">
        <f>IFERROR(__xludf.DUMMYFUNCTION("""COMPUTED_VALUE"""),"AST")</f>
        <v>AST</v>
      </c>
      <c r="S5104" s="4" t="str">
        <f>IFERROR(__xludf.DUMMYFUNCTION("""COMPUTED_VALUE"""),"WS")</f>
        <v>WS</v>
      </c>
      <c r="T5104" s="4" t="str">
        <f>IFERROR(__xludf.DUMMYFUNCTION("""COMPUTED_VALUE"""),"WS/48")</f>
        <v>WS/48</v>
      </c>
      <c r="U5104" s="4" t="str">
        <f>IFERROR(__xludf.DUMMYFUNCTION("""COMPUTED_VALUE"""),"BPM")</f>
        <v>BPM</v>
      </c>
      <c r="V5104" s="4" t="str">
        <f>IFERROR(__xludf.DUMMYFUNCTION("""COMPUTED_VALUE"""),"VORP")</f>
        <v>VORP</v>
      </c>
    </row>
    <row r="5105">
      <c r="A5105" s="4">
        <f>IFERROR(__xludf.DUMMYFUNCTION("""COMPUTED_VALUE"""),37.0)</f>
        <v>37</v>
      </c>
      <c r="B5105" s="4">
        <f>IFERROR(__xludf.DUMMYFUNCTION("""COMPUTED_VALUE"""),37.0)</f>
        <v>37</v>
      </c>
      <c r="C5105" s="4" t="str">
        <f>IFERROR(__xludf.DUMMYFUNCTION("""COMPUTED_VALUE"""),"NOJ")</f>
        <v>NOJ</v>
      </c>
      <c r="D5105" s="4" t="str">
        <f>IFERROR(__xludf.DUMMYFUNCTION("""COMPUTED_VALUE"""),"Rudy Hackett")</f>
        <v>Rudy Hackett</v>
      </c>
      <c r="E5105" s="4" t="str">
        <f>IFERROR(__xludf.DUMMYFUNCTION("""COMPUTED_VALUE"""),"Syracuse")</f>
        <v>Syracuse</v>
      </c>
      <c r="F5105" s="4">
        <f>IFERROR(__xludf.DUMMYFUNCTION("""COMPUTED_VALUE"""),1.0)</f>
        <v>1</v>
      </c>
      <c r="G5105" s="4">
        <f>IFERROR(__xludf.DUMMYFUNCTION("""COMPUTED_VALUE"""),6.0)</f>
        <v>6</v>
      </c>
      <c r="H5105" s="4">
        <f>IFERROR(__xludf.DUMMYFUNCTION("""COMPUTED_VALUE"""),46.0)</f>
        <v>46</v>
      </c>
      <c r="I5105" s="4">
        <f>IFERROR(__xludf.DUMMYFUNCTION("""COMPUTED_VALUE"""),14.0)</f>
        <v>14</v>
      </c>
      <c r="J5105" s="4">
        <f>IFERROR(__xludf.DUMMYFUNCTION("""COMPUTED_VALUE"""),13.0)</f>
        <v>13</v>
      </c>
      <c r="K5105" s="4">
        <f>IFERROR(__xludf.DUMMYFUNCTION("""COMPUTED_VALUE"""),3.0)</f>
        <v>3</v>
      </c>
      <c r="L5105" s="4">
        <f>IFERROR(__xludf.DUMMYFUNCTION("""COMPUTED_VALUE"""),0.3)</f>
        <v>0.3</v>
      </c>
      <c r="M5105" s="4"/>
      <c r="N5105" s="4">
        <f>IFERROR(__xludf.DUMMYFUNCTION("""COMPUTED_VALUE"""),0.571)</f>
        <v>0.571</v>
      </c>
      <c r="O5105" s="4">
        <f>IFERROR(__xludf.DUMMYFUNCTION("""COMPUTED_VALUE"""),7.7)</f>
        <v>7.7</v>
      </c>
      <c r="P5105" s="4">
        <f>IFERROR(__xludf.DUMMYFUNCTION("""COMPUTED_VALUE"""),2.3)</f>
        <v>2.3</v>
      </c>
      <c r="Q5105" s="4">
        <f>IFERROR(__xludf.DUMMYFUNCTION("""COMPUTED_VALUE"""),2.2)</f>
        <v>2.2</v>
      </c>
      <c r="R5105" s="4">
        <f>IFERROR(__xludf.DUMMYFUNCTION("""COMPUTED_VALUE"""),0.5)</f>
        <v>0.5</v>
      </c>
      <c r="S5105" s="4">
        <f>IFERROR(__xludf.DUMMYFUNCTION("""COMPUTED_VALUE"""),0.0)</f>
        <v>0</v>
      </c>
      <c r="T5105" s="4">
        <f>IFERROR(__xludf.DUMMYFUNCTION("""COMPUTED_VALUE"""),-0.024)</f>
        <v>-0.024</v>
      </c>
      <c r="U5105" s="4">
        <f>IFERROR(__xludf.DUMMYFUNCTION("""COMPUTED_VALUE"""),-4.4)</f>
        <v>-4.4</v>
      </c>
      <c r="V5105" s="4">
        <f>IFERROR(__xludf.DUMMYFUNCTION("""COMPUTED_VALUE"""),-0.1)</f>
        <v>-0.1</v>
      </c>
    </row>
    <row r="5106">
      <c r="A5106" s="4">
        <f>IFERROR(__xludf.DUMMYFUNCTION("""COMPUTED_VALUE"""),38.0)</f>
        <v>38</v>
      </c>
      <c r="B5106" s="4">
        <f>IFERROR(__xludf.DUMMYFUNCTION("""COMPUTED_VALUE"""),38.0)</f>
        <v>38</v>
      </c>
      <c r="C5106" s="4" t="str">
        <f>IFERROR(__xludf.DUMMYFUNCTION("""COMPUTED_VALUE"""),"NOJ")</f>
        <v>NOJ</v>
      </c>
      <c r="D5106" s="4" t="str">
        <f>IFERROR(__xludf.DUMMYFUNCTION("""COMPUTED_VALUE"""),"Jim McElroy")</f>
        <v>Jim McElroy</v>
      </c>
      <c r="E5106" s="4" t="str">
        <f>IFERROR(__xludf.DUMMYFUNCTION("""COMPUTED_VALUE"""),"Central Michigan University")</f>
        <v>Central Michigan University</v>
      </c>
      <c r="F5106" s="4">
        <f>IFERROR(__xludf.DUMMYFUNCTION("""COMPUTED_VALUE"""),7.0)</f>
        <v>7</v>
      </c>
      <c r="G5106" s="4">
        <f>IFERROR(__xludf.DUMMYFUNCTION("""COMPUTED_VALUE"""),418.0)</f>
        <v>418</v>
      </c>
      <c r="H5106" s="4">
        <f>IFERROR(__xludf.DUMMYFUNCTION("""COMPUTED_VALUE"""),10178.0)</f>
        <v>10178</v>
      </c>
      <c r="I5106" s="4">
        <f>IFERROR(__xludf.DUMMYFUNCTION("""COMPUTED_VALUE"""),4120.0)</f>
        <v>4120</v>
      </c>
      <c r="J5106" s="4">
        <f>IFERROR(__xludf.DUMMYFUNCTION("""COMPUTED_VALUE"""),820.0)</f>
        <v>820</v>
      </c>
      <c r="K5106" s="4">
        <f>IFERROR(__xludf.DUMMYFUNCTION("""COMPUTED_VALUE"""),1462.0)</f>
        <v>1462</v>
      </c>
      <c r="L5106" s="4">
        <f>IFERROR(__xludf.DUMMYFUNCTION("""COMPUTED_VALUE"""),0.468)</f>
        <v>0.468</v>
      </c>
      <c r="M5106" s="4"/>
      <c r="N5106" s="4">
        <f>IFERROR(__xludf.DUMMYFUNCTION("""COMPUTED_VALUE"""),0.764)</f>
        <v>0.764</v>
      </c>
      <c r="O5106" s="4">
        <f>IFERROR(__xludf.DUMMYFUNCTION("""COMPUTED_VALUE"""),24.3)</f>
        <v>24.3</v>
      </c>
      <c r="P5106" s="4">
        <f>IFERROR(__xludf.DUMMYFUNCTION("""COMPUTED_VALUE"""),9.9)</f>
        <v>9.9</v>
      </c>
      <c r="Q5106" s="4">
        <f>IFERROR(__xludf.DUMMYFUNCTION("""COMPUTED_VALUE"""),2.0)</f>
        <v>2</v>
      </c>
      <c r="R5106" s="4">
        <f>IFERROR(__xludf.DUMMYFUNCTION("""COMPUTED_VALUE"""),3.5)</f>
        <v>3.5</v>
      </c>
      <c r="S5106" s="4">
        <f>IFERROR(__xludf.DUMMYFUNCTION("""COMPUTED_VALUE"""),14.0)</f>
        <v>14</v>
      </c>
      <c r="T5106" s="4">
        <f>IFERROR(__xludf.DUMMYFUNCTION("""COMPUTED_VALUE"""),0.066)</f>
        <v>0.066</v>
      </c>
      <c r="U5106" s="4">
        <f>IFERROR(__xludf.DUMMYFUNCTION("""COMPUTED_VALUE"""),-1.1)</f>
        <v>-1.1</v>
      </c>
      <c r="V5106" s="4">
        <f>IFERROR(__xludf.DUMMYFUNCTION("""COMPUTED_VALUE"""),2.2)</f>
        <v>2.2</v>
      </c>
    </row>
    <row r="5107">
      <c r="A5107" s="4">
        <f>IFERROR(__xludf.DUMMYFUNCTION("""COMPUTED_VALUE"""),39.0)</f>
        <v>39</v>
      </c>
      <c r="B5107" s="4">
        <f>IFERROR(__xludf.DUMMYFUNCTION("""COMPUTED_VALUE"""),39.0)</f>
        <v>39</v>
      </c>
      <c r="C5107" s="4" t="str">
        <f>IFERROR(__xludf.DUMMYFUNCTION("""COMPUTED_VALUE"""),"PHI")</f>
        <v>PHI</v>
      </c>
      <c r="D5107" s="4" t="str">
        <f>IFERROR(__xludf.DUMMYFUNCTION("""COMPUTED_VALUE"""),"Jimmie Baker")</f>
        <v>Jimmie Baker</v>
      </c>
      <c r="E5107" s="4" t="str">
        <f>IFERROR(__xludf.DUMMYFUNCTION("""COMPUTED_VALUE"""),"Hawaii")</f>
        <v>Hawaii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</row>
    <row r="5108">
      <c r="A5108" s="4">
        <f>IFERROR(__xludf.DUMMYFUNCTION("""COMPUTED_VALUE"""),40.0)</f>
        <v>40</v>
      </c>
      <c r="B5108" s="4">
        <f>IFERROR(__xludf.DUMMYFUNCTION("""COMPUTED_VALUE"""),40.0)</f>
        <v>40</v>
      </c>
      <c r="C5108" s="4" t="str">
        <f>IFERROR(__xludf.DUMMYFUNCTION("""COMPUTED_VALUE"""),"GSW")</f>
        <v>GSW</v>
      </c>
      <c r="D5108" s="4" t="str">
        <f>IFERROR(__xludf.DUMMYFUNCTION("""COMPUTED_VALUE"""),"Otis Johnson")</f>
        <v>Otis Johnson</v>
      </c>
      <c r="E5108" s="4" t="str">
        <f>IFERROR(__xludf.DUMMYFUNCTION("""COMPUTED_VALUE"""),"Stetson University")</f>
        <v>Stetson University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</row>
    <row r="5109">
      <c r="A5109" s="4">
        <f>IFERROR(__xludf.DUMMYFUNCTION("""COMPUTED_VALUE"""),41.0)</f>
        <v>41</v>
      </c>
      <c r="B5109" s="4">
        <f>IFERROR(__xludf.DUMMYFUNCTION("""COMPUTED_VALUE"""),41.0)</f>
        <v>41</v>
      </c>
      <c r="C5109" s="4" t="str">
        <f>IFERROR(__xludf.DUMMYFUNCTION("""COMPUTED_VALUE"""),"PHI")</f>
        <v>PHI</v>
      </c>
      <c r="D5109" s="4" t="str">
        <f>IFERROR(__xludf.DUMMYFUNCTION("""COMPUTED_VALUE"""),"Charles Cleveland")</f>
        <v>Charles Cleveland</v>
      </c>
      <c r="E5109" s="4" t="str">
        <f>IFERROR(__xludf.DUMMYFUNCTION("""COMPUTED_VALUE"""),"Alabama")</f>
        <v>Alabama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</row>
    <row r="5110">
      <c r="A5110" s="4">
        <f>IFERROR(__xludf.DUMMYFUNCTION("""COMPUTED_VALUE"""),42.0)</f>
        <v>42</v>
      </c>
      <c r="B5110" s="4">
        <f>IFERROR(__xludf.DUMMYFUNCTION("""COMPUTED_VALUE"""),42.0)</f>
        <v>42</v>
      </c>
      <c r="C5110" s="4" t="str">
        <f>IFERROR(__xludf.DUMMYFUNCTION("""COMPUTED_VALUE"""),"POR")</f>
        <v>POR</v>
      </c>
      <c r="D5110" s="4" t="str">
        <f>IFERROR(__xludf.DUMMYFUNCTION("""COMPUTED_VALUE"""),"Tom Roy")</f>
        <v>Tom Roy</v>
      </c>
      <c r="E5110" s="4" t="str">
        <f>IFERROR(__xludf.DUMMYFUNCTION("""COMPUTED_VALUE"""),"Maryland")</f>
        <v>Maryland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</row>
    <row r="5111">
      <c r="A5111" s="4">
        <f>IFERROR(__xludf.DUMMYFUNCTION("""COMPUTED_VALUE"""),43.0)</f>
        <v>43</v>
      </c>
      <c r="B5111" s="4">
        <f>IFERROR(__xludf.DUMMYFUNCTION("""COMPUTED_VALUE"""),43.0)</f>
        <v>43</v>
      </c>
      <c r="C5111" s="4" t="str">
        <f>IFERROR(__xludf.DUMMYFUNCTION("""COMPUTED_VALUE"""),"MIL")</f>
        <v>MIL</v>
      </c>
      <c r="D5111" s="4" t="str">
        <f>IFERROR(__xludf.DUMMYFUNCTION("""COMPUTED_VALUE"""),"Brian Hammel")</f>
        <v>Brian Hammel</v>
      </c>
      <c r="E5111" s="4" t="str">
        <f>IFERROR(__xludf.DUMMYFUNCTION("""COMPUTED_VALUE"""),"Bentley College")</f>
        <v>Bentley College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</row>
    <row r="5112">
      <c r="A5112" s="4">
        <f>IFERROR(__xludf.DUMMYFUNCTION("""COMPUTED_VALUE"""),44.0)</f>
        <v>44</v>
      </c>
      <c r="B5112" s="4">
        <f>IFERROR(__xludf.DUMMYFUNCTION("""COMPUTED_VALUE"""),44.0)</f>
        <v>44</v>
      </c>
      <c r="C5112" s="4" t="str">
        <f>IFERROR(__xludf.DUMMYFUNCTION("""COMPUTED_VALUE"""),"DET")</f>
        <v>DET</v>
      </c>
      <c r="D5112" s="4" t="str">
        <f>IFERROR(__xludf.DUMMYFUNCTION("""COMPUTED_VALUE"""),"Pete Trgovich")</f>
        <v>Pete Trgovich</v>
      </c>
      <c r="E5112" s="4" t="str">
        <f>IFERROR(__xludf.DUMMYFUNCTION("""COMPUTED_VALUE"""),"UCLA")</f>
        <v>UCLA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</row>
    <row r="5113">
      <c r="A5113" s="4">
        <f>IFERROR(__xludf.DUMMYFUNCTION("""COMPUTED_VALUE"""),45.0)</f>
        <v>45</v>
      </c>
      <c r="B5113" s="4">
        <f>IFERROR(__xludf.DUMMYFUNCTION("""COMPUTED_VALUE"""),45.0)</f>
        <v>45</v>
      </c>
      <c r="C5113" s="4" t="str">
        <f>IFERROR(__xludf.DUMMYFUNCTION("""COMPUTED_VALUE"""),"CLE")</f>
        <v>CLE</v>
      </c>
      <c r="D5113" s="4" t="str">
        <f>IFERROR(__xludf.DUMMYFUNCTION("""COMPUTED_VALUE"""),"Ted Hathaway")</f>
        <v>Ted Hathaway</v>
      </c>
      <c r="E5113" s="4" t="str">
        <f>IFERROR(__xludf.DUMMYFUNCTION("""COMPUTED_VALUE"""),"Cleveland State University")</f>
        <v>Cleveland State University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</row>
    <row r="5114">
      <c r="A5114" s="4">
        <f>IFERROR(__xludf.DUMMYFUNCTION("""COMPUTED_VALUE"""),46.0)</f>
        <v>46</v>
      </c>
      <c r="B5114" s="4">
        <f>IFERROR(__xludf.DUMMYFUNCTION("""COMPUTED_VALUE"""),46.0)</f>
        <v>46</v>
      </c>
      <c r="C5114" s="4" t="str">
        <f>IFERROR(__xludf.DUMMYFUNCTION("""COMPUTED_VALUE"""),"NYK")</f>
        <v>NYK</v>
      </c>
      <c r="D5114" s="4" t="str">
        <f>IFERROR(__xludf.DUMMYFUNCTION("""COMPUTED_VALUE"""),"John Ramsay")</f>
        <v>John Ramsay</v>
      </c>
      <c r="E5114" s="4" t="str">
        <f>IFERROR(__xludf.DUMMYFUNCTION("""COMPUTED_VALUE"""),"Seton Hall")</f>
        <v>Seton Hall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</row>
    <row r="5115">
      <c r="A5115" s="4">
        <f>IFERROR(__xludf.DUMMYFUNCTION("""COMPUTED_VALUE"""),47.0)</f>
        <v>47</v>
      </c>
      <c r="B5115" s="4">
        <f>IFERROR(__xludf.DUMMYFUNCTION("""COMPUTED_VALUE"""),47.0)</f>
        <v>47</v>
      </c>
      <c r="C5115" s="4" t="str">
        <f>IFERROR(__xludf.DUMMYFUNCTION("""COMPUTED_VALUE"""),"HOU")</f>
        <v>HOU</v>
      </c>
      <c r="D5115" s="4" t="str">
        <f>IFERROR(__xludf.DUMMYFUNCTION("""COMPUTED_VALUE"""),"Rudy White")</f>
        <v>Rudy White</v>
      </c>
      <c r="E5115" s="4" t="str">
        <f>IFERROR(__xludf.DUMMYFUNCTION("""COMPUTED_VALUE"""),"Arizona State")</f>
        <v>Arizona State</v>
      </c>
      <c r="F5115" s="4">
        <f>IFERROR(__xludf.DUMMYFUNCTION("""COMPUTED_VALUE"""),5.0)</f>
        <v>5</v>
      </c>
      <c r="G5115" s="4">
        <f>IFERROR(__xludf.DUMMYFUNCTION("""COMPUTED_VALUE"""),124.0)</f>
        <v>124</v>
      </c>
      <c r="H5115" s="4">
        <f>IFERROR(__xludf.DUMMYFUNCTION("""COMPUTED_VALUE"""),1185.0)</f>
        <v>1185</v>
      </c>
      <c r="I5115" s="4">
        <f>IFERROR(__xludf.DUMMYFUNCTION("""COMPUTED_VALUE"""),384.0)</f>
        <v>384</v>
      </c>
      <c r="J5115" s="4">
        <f>IFERROR(__xludf.DUMMYFUNCTION("""COMPUTED_VALUE"""),120.0)</f>
        <v>120</v>
      </c>
      <c r="K5115" s="4">
        <f>IFERROR(__xludf.DUMMYFUNCTION("""COMPUTED_VALUE"""),112.0)</f>
        <v>112</v>
      </c>
      <c r="L5115" s="4">
        <f>IFERROR(__xludf.DUMMYFUNCTION("""COMPUTED_VALUE"""),0.408)</f>
        <v>0.408</v>
      </c>
      <c r="M5115" s="4"/>
      <c r="N5115" s="4">
        <f>IFERROR(__xludf.DUMMYFUNCTION("""COMPUTED_VALUE"""),0.742)</f>
        <v>0.742</v>
      </c>
      <c r="O5115" s="4">
        <f>IFERROR(__xludf.DUMMYFUNCTION("""COMPUTED_VALUE"""),9.6)</f>
        <v>9.6</v>
      </c>
      <c r="P5115" s="4">
        <f>IFERROR(__xludf.DUMMYFUNCTION("""COMPUTED_VALUE"""),3.1)</f>
        <v>3.1</v>
      </c>
      <c r="Q5115" s="4">
        <f>IFERROR(__xludf.DUMMYFUNCTION("""COMPUTED_VALUE"""),1.0)</f>
        <v>1</v>
      </c>
      <c r="R5115" s="4">
        <f>IFERROR(__xludf.DUMMYFUNCTION("""COMPUTED_VALUE"""),0.9)</f>
        <v>0.9</v>
      </c>
      <c r="S5115" s="4">
        <f>IFERROR(__xludf.DUMMYFUNCTION("""COMPUTED_VALUE"""),0.2)</f>
        <v>0.2</v>
      </c>
      <c r="T5115" s="4">
        <f>IFERROR(__xludf.DUMMYFUNCTION("""COMPUTED_VALUE"""),0.008)</f>
        <v>0.008</v>
      </c>
      <c r="U5115" s="4">
        <f>IFERROR(__xludf.DUMMYFUNCTION("""COMPUTED_VALUE"""),-3.3)</f>
        <v>-3.3</v>
      </c>
      <c r="V5115" s="4">
        <f>IFERROR(__xludf.DUMMYFUNCTION("""COMPUTED_VALUE"""),-0.4)</f>
        <v>-0.4</v>
      </c>
    </row>
    <row r="5116">
      <c r="A5116" s="4">
        <f>IFERROR(__xludf.DUMMYFUNCTION("""COMPUTED_VALUE"""),48.0)</f>
        <v>48</v>
      </c>
      <c r="B5116" s="4">
        <f>IFERROR(__xludf.DUMMYFUNCTION("""COMPUTED_VALUE"""),48.0)</f>
        <v>48</v>
      </c>
      <c r="C5116" s="4" t="str">
        <f>IFERROR(__xludf.DUMMYFUNCTION("""COMPUTED_VALUE"""),"WSB")</f>
        <v>WSB</v>
      </c>
      <c r="D5116" s="4" t="str">
        <f>IFERROR(__xludf.DUMMYFUNCTION("""COMPUTED_VALUE"""),"Tom Kropp")</f>
        <v>Tom Kropp</v>
      </c>
      <c r="E5116" s="4" t="str">
        <f>IFERROR(__xludf.DUMMYFUNCTION("""COMPUTED_VALUE"""),"University of Nebraska at Kearney")</f>
        <v>University of Nebraska at Kearney</v>
      </c>
      <c r="F5116" s="4">
        <f>IFERROR(__xludf.DUMMYFUNCTION("""COMPUTED_VALUE"""),2.0)</f>
        <v>2</v>
      </c>
      <c r="G5116" s="4">
        <f>IFERROR(__xludf.DUMMYFUNCTION("""COMPUTED_VALUE"""),78.0)</f>
        <v>78</v>
      </c>
      <c r="H5116" s="4">
        <f>IFERROR(__xludf.DUMMYFUNCTION("""COMPUTED_VALUE"""),552.0)</f>
        <v>552</v>
      </c>
      <c r="I5116" s="4">
        <f>IFERROR(__xludf.DUMMYFUNCTION("""COMPUTED_VALUE"""),193.0)</f>
        <v>193</v>
      </c>
      <c r="J5116" s="4">
        <f>IFERROR(__xludf.DUMMYFUNCTION("""COMPUTED_VALUE"""),62.0)</f>
        <v>62</v>
      </c>
      <c r="K5116" s="4">
        <f>IFERROR(__xludf.DUMMYFUNCTION("""COMPUTED_VALUE"""),47.0)</f>
        <v>47</v>
      </c>
      <c r="L5116" s="4">
        <f>IFERROR(__xludf.DUMMYFUNCTION("""COMPUTED_VALUE"""),0.44)</f>
        <v>0.44</v>
      </c>
      <c r="M5116" s="4"/>
      <c r="N5116" s="4">
        <f>IFERROR(__xludf.DUMMYFUNCTION("""COMPUTED_VALUE"""),0.702)</f>
        <v>0.702</v>
      </c>
      <c r="O5116" s="4">
        <f>IFERROR(__xludf.DUMMYFUNCTION("""COMPUTED_VALUE"""),7.1)</f>
        <v>7.1</v>
      </c>
      <c r="P5116" s="4">
        <f>IFERROR(__xludf.DUMMYFUNCTION("""COMPUTED_VALUE"""),2.5)</f>
        <v>2.5</v>
      </c>
      <c r="Q5116" s="4">
        <f>IFERROR(__xludf.DUMMYFUNCTION("""COMPUTED_VALUE"""),0.8)</f>
        <v>0.8</v>
      </c>
      <c r="R5116" s="4">
        <f>IFERROR(__xludf.DUMMYFUNCTION("""COMPUTED_VALUE"""),0.6)</f>
        <v>0.6</v>
      </c>
      <c r="S5116" s="4">
        <f>IFERROR(__xludf.DUMMYFUNCTION("""COMPUTED_VALUE"""),0.5)</f>
        <v>0.5</v>
      </c>
      <c r="T5116" s="4">
        <f>IFERROR(__xludf.DUMMYFUNCTION("""COMPUTED_VALUE"""),0.042)</f>
        <v>0.042</v>
      </c>
      <c r="U5116" s="4">
        <f>IFERROR(__xludf.DUMMYFUNCTION("""COMPUTED_VALUE"""),-3.5)</f>
        <v>-3.5</v>
      </c>
      <c r="V5116" s="4">
        <f>IFERROR(__xludf.DUMMYFUNCTION("""COMPUTED_VALUE"""),-0.3)</f>
        <v>-0.3</v>
      </c>
    </row>
    <row r="5117">
      <c r="A5117" s="4">
        <f>IFERROR(__xludf.DUMMYFUNCTION("""COMPUTED_VALUE"""),49.0)</f>
        <v>49</v>
      </c>
      <c r="B5117" s="4">
        <f>IFERROR(__xludf.DUMMYFUNCTION("""COMPUTED_VALUE"""),49.0)</f>
        <v>49</v>
      </c>
      <c r="C5117" s="4" t="str">
        <f>IFERROR(__xludf.DUMMYFUNCTION("""COMPUTED_VALUE"""),"KCK")</f>
        <v>KCK</v>
      </c>
      <c r="D5117" s="4" t="str">
        <f>IFERROR(__xludf.DUMMYFUNCTION("""COMPUTED_VALUE"""),"Bob Guyette")</f>
        <v>Bob Guyette</v>
      </c>
      <c r="E5117" s="4" t="str">
        <f>IFERROR(__xludf.DUMMYFUNCTION("""COMPUTED_VALUE"""),"Kentucky")</f>
        <v>Kentucky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</row>
    <row r="5118">
      <c r="A5118" s="4">
        <f>IFERROR(__xludf.DUMMYFUNCTION("""COMPUTED_VALUE"""),50.0)</f>
        <v>50</v>
      </c>
      <c r="B5118" s="4">
        <f>IFERROR(__xludf.DUMMYFUNCTION("""COMPUTED_VALUE"""),50.0)</f>
        <v>50</v>
      </c>
      <c r="C5118" s="4" t="str">
        <f>IFERROR(__xludf.DUMMYFUNCTION("""COMPUTED_VALUE"""),"POR")</f>
        <v>POR</v>
      </c>
      <c r="D5118" s="4" t="str">
        <f>IFERROR(__xludf.DUMMYFUNCTION("""COMPUTED_VALUE"""),"Gus Gerard")</f>
        <v>Gus Gerard</v>
      </c>
      <c r="E5118" s="4" t="str">
        <f>IFERROR(__xludf.DUMMYFUNCTION("""COMPUTED_VALUE"""),"Virginia")</f>
        <v>Virginia</v>
      </c>
      <c r="F5118" s="4">
        <f>IFERROR(__xludf.DUMMYFUNCTION("""COMPUTED_VALUE"""),5.0)</f>
        <v>5</v>
      </c>
      <c r="G5118" s="4">
        <f>IFERROR(__xludf.DUMMYFUNCTION("""COMPUTED_VALUE"""),280.0)</f>
        <v>280</v>
      </c>
      <c r="H5118" s="4">
        <f>IFERROR(__xludf.DUMMYFUNCTION("""COMPUTED_VALUE"""),3524.0)</f>
        <v>3524</v>
      </c>
      <c r="I5118" s="4">
        <f>IFERROR(__xludf.DUMMYFUNCTION("""COMPUTED_VALUE"""),1607.0)</f>
        <v>1607</v>
      </c>
      <c r="J5118" s="4">
        <f>IFERROR(__xludf.DUMMYFUNCTION("""COMPUTED_VALUE"""),719.0)</f>
        <v>719</v>
      </c>
      <c r="K5118" s="4">
        <f>IFERROR(__xludf.DUMMYFUNCTION("""COMPUTED_VALUE"""),224.0)</f>
        <v>224</v>
      </c>
      <c r="L5118" s="4">
        <f>IFERROR(__xludf.DUMMYFUNCTION("""COMPUTED_VALUE"""),0.436)</f>
        <v>0.436</v>
      </c>
      <c r="M5118" s="4"/>
      <c r="N5118" s="4">
        <f>IFERROR(__xludf.DUMMYFUNCTION("""COMPUTED_VALUE"""),0.649)</f>
        <v>0.649</v>
      </c>
      <c r="O5118" s="4">
        <f>IFERROR(__xludf.DUMMYFUNCTION("""COMPUTED_VALUE"""),12.6)</f>
        <v>12.6</v>
      </c>
      <c r="P5118" s="4">
        <f>IFERROR(__xludf.DUMMYFUNCTION("""COMPUTED_VALUE"""),5.7)</f>
        <v>5.7</v>
      </c>
      <c r="Q5118" s="4">
        <f>IFERROR(__xludf.DUMMYFUNCTION("""COMPUTED_VALUE"""),2.6)</f>
        <v>2.6</v>
      </c>
      <c r="R5118" s="4">
        <f>IFERROR(__xludf.DUMMYFUNCTION("""COMPUTED_VALUE"""),0.8)</f>
        <v>0.8</v>
      </c>
      <c r="S5118" s="4">
        <f>IFERROR(__xludf.DUMMYFUNCTION("""COMPUTED_VALUE"""),5.3)</f>
        <v>5.3</v>
      </c>
      <c r="T5118" s="4">
        <f>IFERROR(__xludf.DUMMYFUNCTION("""COMPUTED_VALUE"""),0.072)</f>
        <v>0.072</v>
      </c>
      <c r="U5118" s="4">
        <f>IFERROR(__xludf.DUMMYFUNCTION("""COMPUTED_VALUE"""),-1.4)</f>
        <v>-1.4</v>
      </c>
      <c r="V5118" s="4">
        <f>IFERROR(__xludf.DUMMYFUNCTION("""COMPUTED_VALUE"""),0.6)</f>
        <v>0.6</v>
      </c>
    </row>
    <row r="5119">
      <c r="A5119" s="4">
        <f>IFERROR(__xludf.DUMMYFUNCTION("""COMPUTED_VALUE"""),51.0)</f>
        <v>51</v>
      </c>
      <c r="B5119" s="4">
        <f>IFERROR(__xludf.DUMMYFUNCTION("""COMPUTED_VALUE"""),51.0)</f>
        <v>51</v>
      </c>
      <c r="C5119" s="4" t="str">
        <f>IFERROR(__xludf.DUMMYFUNCTION("""COMPUTED_VALUE"""),"GSW")</f>
        <v>GSW</v>
      </c>
      <c r="D5119" s="4" t="str">
        <f>IFERROR(__xludf.DUMMYFUNCTION("""COMPUTED_VALUE"""),"Bubbles Hawkins")</f>
        <v>Bubbles Hawkins</v>
      </c>
      <c r="E5119" s="4" t="str">
        <f>IFERROR(__xludf.DUMMYFUNCTION("""COMPUTED_VALUE"""),"Illinois State")</f>
        <v>Illinois State</v>
      </c>
      <c r="F5119" s="4">
        <f>IFERROR(__xludf.DUMMYFUNCTION("""COMPUTED_VALUE"""),4.0)</f>
        <v>4</v>
      </c>
      <c r="G5119" s="4">
        <f>IFERROR(__xludf.DUMMYFUNCTION("""COMPUTED_VALUE"""),103.0)</f>
        <v>103</v>
      </c>
      <c r="H5119" s="4">
        <f>IFERROR(__xludf.DUMMYFUNCTION("""COMPUTED_VALUE"""),2005.0)</f>
        <v>2005</v>
      </c>
      <c r="I5119" s="4">
        <f>IFERROR(__xludf.DUMMYFUNCTION("""COMPUTED_VALUE"""),1313.0)</f>
        <v>1313</v>
      </c>
      <c r="J5119" s="4">
        <f>IFERROR(__xludf.DUMMYFUNCTION("""COMPUTED_VALUE"""),240.0)</f>
        <v>240</v>
      </c>
      <c r="K5119" s="4">
        <f>IFERROR(__xludf.DUMMYFUNCTION("""COMPUTED_VALUE"""),150.0)</f>
        <v>150</v>
      </c>
      <c r="L5119" s="4">
        <f>IFERROR(__xludf.DUMMYFUNCTION("""COMPUTED_VALUE"""),0.453)</f>
        <v>0.453</v>
      </c>
      <c r="M5119" s="4"/>
      <c r="N5119" s="4">
        <f>IFERROR(__xludf.DUMMYFUNCTION("""COMPUTED_VALUE"""),0.704)</f>
        <v>0.704</v>
      </c>
      <c r="O5119" s="4">
        <f>IFERROR(__xludf.DUMMYFUNCTION("""COMPUTED_VALUE"""),19.5)</f>
        <v>19.5</v>
      </c>
      <c r="P5119" s="4">
        <f>IFERROR(__xludf.DUMMYFUNCTION("""COMPUTED_VALUE"""),12.7)</f>
        <v>12.7</v>
      </c>
      <c r="Q5119" s="4">
        <f>IFERROR(__xludf.DUMMYFUNCTION("""COMPUTED_VALUE"""),2.3)</f>
        <v>2.3</v>
      </c>
      <c r="R5119" s="4">
        <f>IFERROR(__xludf.DUMMYFUNCTION("""COMPUTED_VALUE"""),1.5)</f>
        <v>1.5</v>
      </c>
      <c r="S5119" s="4">
        <f>IFERROR(__xludf.DUMMYFUNCTION("""COMPUTED_VALUE"""),3.0)</f>
        <v>3</v>
      </c>
      <c r="T5119" s="4">
        <f>IFERROR(__xludf.DUMMYFUNCTION("""COMPUTED_VALUE"""),0.072)</f>
        <v>0.072</v>
      </c>
      <c r="U5119" s="4">
        <f>IFERROR(__xludf.DUMMYFUNCTION("""COMPUTED_VALUE"""),0.4)</f>
        <v>0.4</v>
      </c>
      <c r="V5119" s="4">
        <f>IFERROR(__xludf.DUMMYFUNCTION("""COMPUTED_VALUE"""),1.4)</f>
        <v>1.4</v>
      </c>
    </row>
    <row r="5120">
      <c r="A5120" s="4">
        <f>IFERROR(__xludf.DUMMYFUNCTION("""COMPUTED_VALUE"""),52.0)</f>
        <v>52</v>
      </c>
      <c r="B5120" s="4">
        <f>IFERROR(__xludf.DUMMYFUNCTION("""COMPUTED_VALUE"""),52.0)</f>
        <v>52</v>
      </c>
      <c r="C5120" s="4" t="str">
        <f>IFERROR(__xludf.DUMMYFUNCTION("""COMPUTED_VALUE"""),"BUF")</f>
        <v>BUF</v>
      </c>
      <c r="D5120" s="4" t="str">
        <f>IFERROR(__xludf.DUMMYFUNCTION("""COMPUTED_VALUE"""),"George Bucci")</f>
        <v>George Bucci</v>
      </c>
      <c r="E5120" s="4" t="str">
        <f>IFERROR(__xludf.DUMMYFUNCTION("""COMPUTED_VALUE"""),"Manhattan University")</f>
        <v>Manhattan University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</row>
    <row r="5121">
      <c r="A5121" s="4">
        <f>IFERROR(__xludf.DUMMYFUNCTION("""COMPUTED_VALUE"""),53.0)</f>
        <v>53</v>
      </c>
      <c r="B5121" s="4">
        <f>IFERROR(__xludf.DUMMYFUNCTION("""COMPUTED_VALUE"""),53.0)</f>
        <v>53</v>
      </c>
      <c r="C5121" s="4" t="str">
        <f>IFERROR(__xludf.DUMMYFUNCTION("""COMPUTED_VALUE"""),"BOS")</f>
        <v>BOS</v>
      </c>
      <c r="D5121" s="4" t="str">
        <f>IFERROR(__xludf.DUMMYFUNCTION("""COMPUTED_VALUE"""),"Jerome Anderson")</f>
        <v>Jerome Anderson</v>
      </c>
      <c r="E5121" s="4" t="str">
        <f>IFERROR(__xludf.DUMMYFUNCTION("""COMPUTED_VALUE"""),"West Virginia")</f>
        <v>West Virginia</v>
      </c>
      <c r="F5121" s="4">
        <f>IFERROR(__xludf.DUMMYFUNCTION("""COMPUTED_VALUE"""),2.0)</f>
        <v>2</v>
      </c>
      <c r="G5121" s="4">
        <f>IFERROR(__xludf.DUMMYFUNCTION("""COMPUTED_VALUE"""),49.0)</f>
        <v>49</v>
      </c>
      <c r="H5121" s="4">
        <f>IFERROR(__xludf.DUMMYFUNCTION("""COMPUTED_VALUE"""),290.0)</f>
        <v>290</v>
      </c>
      <c r="I5121" s="4">
        <f>IFERROR(__xludf.DUMMYFUNCTION("""COMPUTED_VALUE"""),127.0)</f>
        <v>127</v>
      </c>
      <c r="J5121" s="4">
        <f>IFERROR(__xludf.DUMMYFUNCTION("""COMPUTED_VALUE"""),25.0)</f>
        <v>25</v>
      </c>
      <c r="K5121" s="4">
        <f>IFERROR(__xludf.DUMMYFUNCTION("""COMPUTED_VALUE"""),16.0)</f>
        <v>16</v>
      </c>
      <c r="L5121" s="4">
        <f>IFERROR(__xludf.DUMMYFUNCTION("""COMPUTED_VALUE"""),0.49)</f>
        <v>0.49</v>
      </c>
      <c r="M5121" s="4"/>
      <c r="N5121" s="4">
        <f>IFERROR(__xludf.DUMMYFUNCTION("""COMPUTED_VALUE"""),0.694)</f>
        <v>0.694</v>
      </c>
      <c r="O5121" s="4">
        <f>IFERROR(__xludf.DUMMYFUNCTION("""COMPUTED_VALUE"""),5.9)</f>
        <v>5.9</v>
      </c>
      <c r="P5121" s="4">
        <f>IFERROR(__xludf.DUMMYFUNCTION("""COMPUTED_VALUE"""),2.6)</f>
        <v>2.6</v>
      </c>
      <c r="Q5121" s="4">
        <f>IFERROR(__xludf.DUMMYFUNCTION("""COMPUTED_VALUE"""),0.5)</f>
        <v>0.5</v>
      </c>
      <c r="R5121" s="4">
        <f>IFERROR(__xludf.DUMMYFUNCTION("""COMPUTED_VALUE"""),0.3)</f>
        <v>0.3</v>
      </c>
      <c r="S5121" s="4">
        <f>IFERROR(__xludf.DUMMYFUNCTION("""COMPUTED_VALUE"""),0.4)</f>
        <v>0.4</v>
      </c>
      <c r="T5121" s="4">
        <f>IFERROR(__xludf.DUMMYFUNCTION("""COMPUTED_VALUE"""),0.068)</f>
        <v>0.068</v>
      </c>
      <c r="U5121" s="4">
        <f>IFERROR(__xludf.DUMMYFUNCTION("""COMPUTED_VALUE"""),-3.4)</f>
        <v>-3.4</v>
      </c>
      <c r="V5121" s="4">
        <f>IFERROR(__xludf.DUMMYFUNCTION("""COMPUTED_VALUE"""),-0.1)</f>
        <v>-0.1</v>
      </c>
    </row>
    <row r="5122">
      <c r="A5122" s="4">
        <f>IFERROR(__xludf.DUMMYFUNCTION("""COMPUTED_VALUE"""),54.0)</f>
        <v>54</v>
      </c>
      <c r="B5122" s="4">
        <f>IFERROR(__xludf.DUMMYFUNCTION("""COMPUTED_VALUE"""),54.0)</f>
        <v>54</v>
      </c>
      <c r="C5122" s="4" t="str">
        <f>IFERROR(__xludf.DUMMYFUNCTION("""COMPUTED_VALUE"""),"PHO")</f>
        <v>PHO</v>
      </c>
      <c r="D5122" s="4" t="str">
        <f>IFERROR(__xludf.DUMMYFUNCTION("""COMPUTED_VALUE"""),"Bayard Forrest")</f>
        <v>Bayard Forrest</v>
      </c>
      <c r="E5122" s="4" t="str">
        <f>IFERROR(__xludf.DUMMYFUNCTION("""COMPUTED_VALUE"""),"Grand Canyon University")</f>
        <v>Grand Canyon University</v>
      </c>
      <c r="F5122" s="4">
        <f>IFERROR(__xludf.DUMMYFUNCTION("""COMPUTED_VALUE"""),2.0)</f>
        <v>2</v>
      </c>
      <c r="G5122" s="4">
        <f>IFERROR(__xludf.DUMMYFUNCTION("""COMPUTED_VALUE"""),139.0)</f>
        <v>139</v>
      </c>
      <c r="H5122" s="4">
        <f>IFERROR(__xludf.DUMMYFUNCTION("""COMPUTED_VALUE"""),2130.0)</f>
        <v>2130</v>
      </c>
      <c r="I5122" s="4">
        <f>IFERROR(__xludf.DUMMYFUNCTION("""COMPUTED_VALUE"""),569.0)</f>
        <v>569</v>
      </c>
      <c r="J5122" s="4">
        <f>IFERROR(__xludf.DUMMYFUNCTION("""COMPUTED_VALUE"""),565.0)</f>
        <v>565</v>
      </c>
      <c r="K5122" s="4">
        <f>IFERROR(__xludf.DUMMYFUNCTION("""COMPUTED_VALUE"""),296.0)</f>
        <v>296</v>
      </c>
      <c r="L5122" s="4">
        <f>IFERROR(__xludf.DUMMYFUNCTION("""COMPUTED_VALUE"""),0.449)</f>
        <v>0.449</v>
      </c>
      <c r="M5122" s="4"/>
      <c r="N5122" s="4">
        <f>IFERROR(__xludf.DUMMYFUNCTION("""COMPUTED_VALUE"""),0.509)</f>
        <v>0.509</v>
      </c>
      <c r="O5122" s="4">
        <f>IFERROR(__xludf.DUMMYFUNCTION("""COMPUTED_VALUE"""),15.3)</f>
        <v>15.3</v>
      </c>
      <c r="P5122" s="4">
        <f>IFERROR(__xludf.DUMMYFUNCTION("""COMPUTED_VALUE"""),4.1)</f>
        <v>4.1</v>
      </c>
      <c r="Q5122" s="4">
        <f>IFERROR(__xludf.DUMMYFUNCTION("""COMPUTED_VALUE"""),4.1)</f>
        <v>4.1</v>
      </c>
      <c r="R5122" s="4">
        <f>IFERROR(__xludf.DUMMYFUNCTION("""COMPUTED_VALUE"""),2.1)</f>
        <v>2.1</v>
      </c>
      <c r="S5122" s="4">
        <f>IFERROR(__xludf.DUMMYFUNCTION("""COMPUTED_VALUE"""),2.7)</f>
        <v>2.7</v>
      </c>
      <c r="T5122" s="4">
        <f>IFERROR(__xludf.DUMMYFUNCTION("""COMPUTED_VALUE"""),0.06)</f>
        <v>0.06</v>
      </c>
      <c r="U5122" s="4">
        <f>IFERROR(__xludf.DUMMYFUNCTION("""COMPUTED_VALUE"""),-0.7)</f>
        <v>-0.7</v>
      </c>
      <c r="V5122" s="4">
        <f>IFERROR(__xludf.DUMMYFUNCTION("""COMPUTED_VALUE"""),0.7)</f>
        <v>0.7</v>
      </c>
    </row>
    <row r="5123">
      <c r="A5123" s="4"/>
      <c r="B5123" s="4"/>
      <c r="C5123" s="4"/>
      <c r="D5123" s="4" t="str">
        <f>IFERROR(__xludf.DUMMYFUNCTION("""COMPUTED_VALUE"""),"Round 4")</f>
        <v>Round 4</v>
      </c>
      <c r="E5123" s="4"/>
      <c r="F5123" s="4"/>
      <c r="G5123" s="4" t="str">
        <f>IFERROR(__xludf.DUMMYFUNCTION("""COMPUTED_VALUE"""),"Totals")</f>
        <v>Totals</v>
      </c>
      <c r="H5123" s="4"/>
      <c r="I5123" s="4"/>
      <c r="J5123" s="4"/>
      <c r="K5123" s="4"/>
      <c r="L5123" s="4" t="str">
        <f>IFERROR(__xludf.DUMMYFUNCTION("""COMPUTED_VALUE"""),"Shooting")</f>
        <v>Shooting</v>
      </c>
      <c r="M5123" s="4"/>
      <c r="N5123" s="4"/>
      <c r="O5123" s="4" t="str">
        <f>IFERROR(__xludf.DUMMYFUNCTION("""COMPUTED_VALUE"""),"Per Game")</f>
        <v>Per Game</v>
      </c>
      <c r="P5123" s="4"/>
      <c r="Q5123" s="4"/>
      <c r="R5123" s="4"/>
      <c r="S5123" s="4" t="str">
        <f>IFERROR(__xludf.DUMMYFUNCTION("""COMPUTED_VALUE"""),"Advanced")</f>
        <v>Advanced</v>
      </c>
      <c r="T5123" s="4"/>
      <c r="U5123" s="4"/>
      <c r="V5123" s="4"/>
    </row>
    <row r="5124">
      <c r="A5124" s="4" t="str">
        <f>IFERROR(__xludf.DUMMYFUNCTION("""COMPUTED_VALUE"""),"Rk")</f>
        <v>Rk</v>
      </c>
      <c r="B5124" s="4" t="str">
        <f>IFERROR(__xludf.DUMMYFUNCTION("""COMPUTED_VALUE"""),"Pk")</f>
        <v>Pk</v>
      </c>
      <c r="C5124" s="4" t="str">
        <f>IFERROR(__xludf.DUMMYFUNCTION("""COMPUTED_VALUE"""),"Tm")</f>
        <v>Tm</v>
      </c>
      <c r="D5124" s="4" t="str">
        <f>IFERROR(__xludf.DUMMYFUNCTION("""COMPUTED_VALUE"""),"Player")</f>
        <v>Player</v>
      </c>
      <c r="E5124" s="4" t="str">
        <f>IFERROR(__xludf.DUMMYFUNCTION("""COMPUTED_VALUE"""),"College")</f>
        <v>College</v>
      </c>
      <c r="F5124" s="4" t="str">
        <f>IFERROR(__xludf.DUMMYFUNCTION("""COMPUTED_VALUE"""),"Yrs")</f>
        <v>Yrs</v>
      </c>
      <c r="G5124" s="4" t="str">
        <f>IFERROR(__xludf.DUMMYFUNCTION("""COMPUTED_VALUE"""),"G")</f>
        <v>G</v>
      </c>
      <c r="H5124" s="4" t="str">
        <f>IFERROR(__xludf.DUMMYFUNCTION("""COMPUTED_VALUE"""),"MP")</f>
        <v>MP</v>
      </c>
      <c r="I5124" s="4" t="str">
        <f>IFERROR(__xludf.DUMMYFUNCTION("""COMPUTED_VALUE"""),"PTS")</f>
        <v>PTS</v>
      </c>
      <c r="J5124" s="4" t="str">
        <f>IFERROR(__xludf.DUMMYFUNCTION("""COMPUTED_VALUE"""),"TRB")</f>
        <v>TRB</v>
      </c>
      <c r="K5124" s="4" t="str">
        <f>IFERROR(__xludf.DUMMYFUNCTION("""COMPUTED_VALUE"""),"AST")</f>
        <v>AST</v>
      </c>
      <c r="L5124" s="4" t="str">
        <f>IFERROR(__xludf.DUMMYFUNCTION("""COMPUTED_VALUE"""),"FG%")</f>
        <v>FG%</v>
      </c>
      <c r="M5124" s="4" t="str">
        <f>IFERROR(__xludf.DUMMYFUNCTION("""COMPUTED_VALUE"""),"3P%")</f>
        <v>3P%</v>
      </c>
      <c r="N5124" s="4" t="str">
        <f>IFERROR(__xludf.DUMMYFUNCTION("""COMPUTED_VALUE"""),"FT%")</f>
        <v>FT%</v>
      </c>
      <c r="O5124" s="4" t="str">
        <f>IFERROR(__xludf.DUMMYFUNCTION("""COMPUTED_VALUE"""),"MP")</f>
        <v>MP</v>
      </c>
      <c r="P5124" s="4" t="str">
        <f>IFERROR(__xludf.DUMMYFUNCTION("""COMPUTED_VALUE"""),"PTS")</f>
        <v>PTS</v>
      </c>
      <c r="Q5124" s="4" t="str">
        <f>IFERROR(__xludf.DUMMYFUNCTION("""COMPUTED_VALUE"""),"TRB")</f>
        <v>TRB</v>
      </c>
      <c r="R5124" s="4" t="str">
        <f>IFERROR(__xludf.DUMMYFUNCTION("""COMPUTED_VALUE"""),"AST")</f>
        <v>AST</v>
      </c>
      <c r="S5124" s="4" t="str">
        <f>IFERROR(__xludf.DUMMYFUNCTION("""COMPUTED_VALUE"""),"WS")</f>
        <v>WS</v>
      </c>
      <c r="T5124" s="4" t="str">
        <f>IFERROR(__xludf.DUMMYFUNCTION("""COMPUTED_VALUE"""),"WS/48")</f>
        <v>WS/48</v>
      </c>
      <c r="U5124" s="4" t="str">
        <f>IFERROR(__xludf.DUMMYFUNCTION("""COMPUTED_VALUE"""),"BPM")</f>
        <v>BPM</v>
      </c>
      <c r="V5124" s="4" t="str">
        <f>IFERROR(__xludf.DUMMYFUNCTION("""COMPUTED_VALUE"""),"VORP")</f>
        <v>VORP</v>
      </c>
    </row>
    <row r="5125">
      <c r="A5125" s="4">
        <f>IFERROR(__xludf.DUMMYFUNCTION("""COMPUTED_VALUE"""),55.0)</f>
        <v>55</v>
      </c>
      <c r="B5125" s="4">
        <f>IFERROR(__xludf.DUMMYFUNCTION("""COMPUTED_VALUE"""),55.0)</f>
        <v>55</v>
      </c>
      <c r="C5125" s="4" t="str">
        <f>IFERROR(__xludf.DUMMYFUNCTION("""COMPUTED_VALUE"""),"NOJ")</f>
        <v>NOJ</v>
      </c>
      <c r="D5125" s="4" t="str">
        <f>IFERROR(__xludf.DUMMYFUNCTION("""COMPUTED_VALUE"""),"Mack Coleman")</f>
        <v>Mack Coleman</v>
      </c>
      <c r="E5125" s="4" t="str">
        <f>IFERROR(__xludf.DUMMYFUNCTION("""COMPUTED_VALUE"""),"Houston Baptist University")</f>
        <v>Houston Baptist University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</row>
    <row r="5126">
      <c r="A5126" s="4">
        <f>IFERROR(__xludf.DUMMYFUNCTION("""COMPUTED_VALUE"""),56.0)</f>
        <v>56</v>
      </c>
      <c r="B5126" s="4">
        <f>IFERROR(__xludf.DUMMYFUNCTION("""COMPUTED_VALUE"""),56.0)</f>
        <v>56</v>
      </c>
      <c r="C5126" s="4" t="str">
        <f>IFERROR(__xludf.DUMMYFUNCTION("""COMPUTED_VALUE"""),"LAL")</f>
        <v>LAL</v>
      </c>
      <c r="D5126" s="4" t="str">
        <f>IFERROR(__xludf.DUMMYFUNCTION("""COMPUTED_VALUE"""),"C.J. Kupec")</f>
        <v>C.J. Kupec</v>
      </c>
      <c r="E5126" s="4" t="str">
        <f>IFERROR(__xludf.DUMMYFUNCTION("""COMPUTED_VALUE"""),"Michigan")</f>
        <v>Michigan</v>
      </c>
      <c r="F5126" s="4">
        <f>IFERROR(__xludf.DUMMYFUNCTION("""COMPUTED_VALUE"""),3.0)</f>
        <v>3</v>
      </c>
      <c r="G5126" s="4">
        <f>IFERROR(__xludf.DUMMYFUNCTION("""COMPUTED_VALUE"""),147.0)</f>
        <v>147</v>
      </c>
      <c r="H5126" s="4">
        <f>IFERROR(__xludf.DUMMYFUNCTION("""COMPUTED_VALUE"""),1589.0)</f>
        <v>1589</v>
      </c>
      <c r="I5126" s="4">
        <f>IFERROR(__xludf.DUMMYFUNCTION("""COMPUTED_VALUE"""),606.0)</f>
        <v>606</v>
      </c>
      <c r="J5126" s="4">
        <f>IFERROR(__xludf.DUMMYFUNCTION("""COMPUTED_VALUE"""),313.0)</f>
        <v>313</v>
      </c>
      <c r="K5126" s="4">
        <f>IFERROR(__xludf.DUMMYFUNCTION("""COMPUTED_VALUE"""),108.0)</f>
        <v>108</v>
      </c>
      <c r="L5126" s="4">
        <f>IFERROR(__xludf.DUMMYFUNCTION("""COMPUTED_VALUE"""),0.427)</f>
        <v>0.427</v>
      </c>
      <c r="M5126" s="4"/>
      <c r="N5126" s="4">
        <f>IFERROR(__xludf.DUMMYFUNCTION("""COMPUTED_VALUE"""),0.772)</f>
        <v>0.772</v>
      </c>
      <c r="O5126" s="4">
        <f>IFERROR(__xludf.DUMMYFUNCTION("""COMPUTED_VALUE"""),10.8)</f>
        <v>10.8</v>
      </c>
      <c r="P5126" s="4">
        <f>IFERROR(__xludf.DUMMYFUNCTION("""COMPUTED_VALUE"""),4.1)</f>
        <v>4.1</v>
      </c>
      <c r="Q5126" s="4">
        <f>IFERROR(__xludf.DUMMYFUNCTION("""COMPUTED_VALUE"""),2.1)</f>
        <v>2.1</v>
      </c>
      <c r="R5126" s="4">
        <f>IFERROR(__xludf.DUMMYFUNCTION("""COMPUTED_VALUE"""),0.7)</f>
        <v>0.7</v>
      </c>
      <c r="S5126" s="4">
        <f>IFERROR(__xludf.DUMMYFUNCTION("""COMPUTED_VALUE"""),1.8)</f>
        <v>1.8</v>
      </c>
      <c r="T5126" s="4">
        <f>IFERROR(__xludf.DUMMYFUNCTION("""COMPUTED_VALUE"""),0.053)</f>
        <v>0.053</v>
      </c>
      <c r="U5126" s="4">
        <f>IFERROR(__xludf.DUMMYFUNCTION("""COMPUTED_VALUE"""),-3.1)</f>
        <v>-3.1</v>
      </c>
      <c r="V5126" s="4">
        <f>IFERROR(__xludf.DUMMYFUNCTION("""COMPUTED_VALUE"""),-0.5)</f>
        <v>-0.5</v>
      </c>
    </row>
    <row r="5127">
      <c r="A5127" s="4">
        <f>IFERROR(__xludf.DUMMYFUNCTION("""COMPUTED_VALUE"""),57.0)</f>
        <v>57</v>
      </c>
      <c r="B5127" s="4">
        <f>IFERROR(__xludf.DUMMYFUNCTION("""COMPUTED_VALUE"""),57.0)</f>
        <v>57</v>
      </c>
      <c r="C5127" s="4" t="str">
        <f>IFERROR(__xludf.DUMMYFUNCTION("""COMPUTED_VALUE"""),"ATL")</f>
        <v>ATL</v>
      </c>
      <c r="D5127" s="4" t="str">
        <f>IFERROR(__xludf.DUMMYFUNCTION("""COMPUTED_VALUE"""),"Monte Towe")</f>
        <v>Monte Towe</v>
      </c>
      <c r="E5127" s="4" t="str">
        <f>IFERROR(__xludf.DUMMYFUNCTION("""COMPUTED_VALUE"""),"NC State")</f>
        <v>NC State</v>
      </c>
      <c r="F5127" s="4">
        <f>IFERROR(__xludf.DUMMYFUNCTION("""COMPUTED_VALUE"""),1.0)</f>
        <v>1</v>
      </c>
      <c r="G5127" s="4">
        <f>IFERROR(__xludf.DUMMYFUNCTION("""COMPUTED_VALUE"""),51.0)</f>
        <v>51</v>
      </c>
      <c r="H5127" s="4">
        <f>IFERROR(__xludf.DUMMYFUNCTION("""COMPUTED_VALUE"""),409.0)</f>
        <v>409</v>
      </c>
      <c r="I5127" s="4">
        <f>IFERROR(__xludf.DUMMYFUNCTION("""COMPUTED_VALUE"""),130.0)</f>
        <v>130</v>
      </c>
      <c r="J5127" s="4">
        <f>IFERROR(__xludf.DUMMYFUNCTION("""COMPUTED_VALUE"""),34.0)</f>
        <v>34</v>
      </c>
      <c r="K5127" s="4">
        <f>IFERROR(__xludf.DUMMYFUNCTION("""COMPUTED_VALUE"""),87.0)</f>
        <v>87</v>
      </c>
      <c r="L5127" s="4">
        <f>IFERROR(__xludf.DUMMYFUNCTION("""COMPUTED_VALUE"""),0.406)</f>
        <v>0.406</v>
      </c>
      <c r="M5127" s="4"/>
      <c r="N5127" s="4">
        <f>IFERROR(__xludf.DUMMYFUNCTION("""COMPUTED_VALUE"""),0.72)</f>
        <v>0.72</v>
      </c>
      <c r="O5127" s="4">
        <f>IFERROR(__xludf.DUMMYFUNCTION("""COMPUTED_VALUE"""),8.0)</f>
        <v>8</v>
      </c>
      <c r="P5127" s="4">
        <f>IFERROR(__xludf.DUMMYFUNCTION("""COMPUTED_VALUE"""),2.5)</f>
        <v>2.5</v>
      </c>
      <c r="Q5127" s="4">
        <f>IFERROR(__xludf.DUMMYFUNCTION("""COMPUTED_VALUE"""),0.7)</f>
        <v>0.7</v>
      </c>
      <c r="R5127" s="4">
        <f>IFERROR(__xludf.DUMMYFUNCTION("""COMPUTED_VALUE"""),1.7)</f>
        <v>1.7</v>
      </c>
      <c r="S5127" s="4">
        <f>IFERROR(__xludf.DUMMYFUNCTION("""COMPUTED_VALUE"""),0.1)</f>
        <v>0.1</v>
      </c>
      <c r="T5127" s="4">
        <f>IFERROR(__xludf.DUMMYFUNCTION("""COMPUTED_VALUE"""),0.013)</f>
        <v>0.013</v>
      </c>
      <c r="U5127" s="4">
        <f>IFERROR(__xludf.DUMMYFUNCTION("""COMPUTED_VALUE"""),-4.5)</f>
        <v>-4.5</v>
      </c>
      <c r="V5127" s="4">
        <f>IFERROR(__xludf.DUMMYFUNCTION("""COMPUTED_VALUE"""),-0.3)</f>
        <v>-0.3</v>
      </c>
    </row>
    <row r="5128">
      <c r="A5128" s="4">
        <f>IFERROR(__xludf.DUMMYFUNCTION("""COMPUTED_VALUE"""),58.0)</f>
        <v>58</v>
      </c>
      <c r="B5128" s="4">
        <f>IFERROR(__xludf.DUMMYFUNCTION("""COMPUTED_VALUE"""),58.0)</f>
        <v>58</v>
      </c>
      <c r="C5128" s="4" t="str">
        <f>IFERROR(__xludf.DUMMYFUNCTION("""COMPUTED_VALUE"""),"PHO")</f>
        <v>PHO</v>
      </c>
      <c r="D5128" s="4" t="str">
        <f>IFERROR(__xludf.DUMMYFUNCTION("""COMPUTED_VALUE"""),"Sam McCants")</f>
        <v>Sam McCants</v>
      </c>
      <c r="E5128" s="4" t="str">
        <f>IFERROR(__xludf.DUMMYFUNCTION("""COMPUTED_VALUE"""),"Oral Roberts")</f>
        <v>Oral Roberts</v>
      </c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</row>
    <row r="5129">
      <c r="A5129" s="4">
        <f>IFERROR(__xludf.DUMMYFUNCTION("""COMPUTED_VALUE"""),59.0)</f>
        <v>59</v>
      </c>
      <c r="B5129" s="4">
        <f>IFERROR(__xludf.DUMMYFUNCTION("""COMPUTED_VALUE"""),59.0)</f>
        <v>59</v>
      </c>
      <c r="C5129" s="4" t="str">
        <f>IFERROR(__xludf.DUMMYFUNCTION("""COMPUTED_VALUE"""),"PHI")</f>
        <v>PHI</v>
      </c>
      <c r="D5129" s="4" t="str">
        <f>IFERROR(__xludf.DUMMYFUNCTION("""COMPUTED_VALUE"""),"Louis Dunbar")</f>
        <v>Louis Dunbar</v>
      </c>
      <c r="E5129" s="4" t="str">
        <f>IFERROR(__xludf.DUMMYFUNCTION("""COMPUTED_VALUE"""),"Houston")</f>
        <v>Houston</v>
      </c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</row>
    <row r="5130">
      <c r="A5130" s="4">
        <f>IFERROR(__xludf.DUMMYFUNCTION("""COMPUTED_VALUE"""),60.0)</f>
        <v>60</v>
      </c>
      <c r="B5130" s="4">
        <f>IFERROR(__xludf.DUMMYFUNCTION("""COMPUTED_VALUE"""),60.0)</f>
        <v>60</v>
      </c>
      <c r="C5130" s="4" t="str">
        <f>IFERROR(__xludf.DUMMYFUNCTION("""COMPUTED_VALUE"""),"MIL")</f>
        <v>MIL</v>
      </c>
      <c r="D5130" s="4" t="str">
        <f>IFERROR(__xludf.DUMMYFUNCTION("""COMPUTED_VALUE"""),"Bill Campion")</f>
        <v>Bill Campion</v>
      </c>
      <c r="E5130" s="4" t="str">
        <f>IFERROR(__xludf.DUMMYFUNCTION("""COMPUTED_VALUE"""),"Manhattan University")</f>
        <v>Manhattan University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</row>
    <row r="5131">
      <c r="A5131" s="4">
        <f>IFERROR(__xludf.DUMMYFUNCTION("""COMPUTED_VALUE"""),61.0)</f>
        <v>61</v>
      </c>
      <c r="B5131" s="4">
        <f>IFERROR(__xludf.DUMMYFUNCTION("""COMPUTED_VALUE"""),61.0)</f>
        <v>61</v>
      </c>
      <c r="C5131" s="4" t="str">
        <f>IFERROR(__xludf.DUMMYFUNCTION("""COMPUTED_VALUE"""),"POR")</f>
        <v>POR</v>
      </c>
      <c r="D5131" s="4" t="str">
        <f>IFERROR(__xludf.DUMMYFUNCTION("""COMPUTED_VALUE"""),"Phil Hicks")</f>
        <v>Phil Hicks</v>
      </c>
      <c r="E5131" s="4" t="str">
        <f>IFERROR(__xludf.DUMMYFUNCTION("""COMPUTED_VALUE"""),"Tulane")</f>
        <v>Tulane</v>
      </c>
      <c r="F5131" s="4">
        <f>IFERROR(__xludf.DUMMYFUNCTION("""COMPUTED_VALUE"""),2.0)</f>
        <v>2</v>
      </c>
      <c r="G5131" s="4">
        <f>IFERROR(__xludf.DUMMYFUNCTION("""COMPUTED_VALUE"""),57.0)</f>
        <v>57</v>
      </c>
      <c r="H5131" s="4">
        <f>IFERROR(__xludf.DUMMYFUNCTION("""COMPUTED_VALUE"""),390.0)</f>
        <v>390</v>
      </c>
      <c r="I5131" s="4">
        <f>IFERROR(__xludf.DUMMYFUNCTION("""COMPUTED_VALUE"""),132.0)</f>
        <v>132</v>
      </c>
      <c r="J5131" s="4">
        <f>IFERROR(__xludf.DUMMYFUNCTION("""COMPUTED_VALUE"""),94.0)</f>
        <v>94</v>
      </c>
      <c r="K5131" s="4">
        <f>IFERROR(__xludf.DUMMYFUNCTION("""COMPUTED_VALUE"""),32.0)</f>
        <v>32</v>
      </c>
      <c r="L5131" s="4">
        <f>IFERROR(__xludf.DUMMYFUNCTION("""COMPUTED_VALUE"""),0.447)</f>
        <v>0.447</v>
      </c>
      <c r="M5131" s="4"/>
      <c r="N5131" s="4">
        <f>IFERROR(__xludf.DUMMYFUNCTION("""COMPUTED_VALUE"""),0.778)</f>
        <v>0.778</v>
      </c>
      <c r="O5131" s="4">
        <f>IFERROR(__xludf.DUMMYFUNCTION("""COMPUTED_VALUE"""),6.8)</f>
        <v>6.8</v>
      </c>
      <c r="P5131" s="4">
        <f>IFERROR(__xludf.DUMMYFUNCTION("""COMPUTED_VALUE"""),2.3)</f>
        <v>2.3</v>
      </c>
      <c r="Q5131" s="4">
        <f>IFERROR(__xludf.DUMMYFUNCTION("""COMPUTED_VALUE"""),1.6)</f>
        <v>1.6</v>
      </c>
      <c r="R5131" s="4">
        <f>IFERROR(__xludf.DUMMYFUNCTION("""COMPUTED_VALUE"""),0.6)</f>
        <v>0.6</v>
      </c>
      <c r="S5131" s="4">
        <f>IFERROR(__xludf.DUMMYFUNCTION("""COMPUTED_VALUE"""),0.5)</f>
        <v>0.5</v>
      </c>
      <c r="T5131" s="4">
        <f>IFERROR(__xludf.DUMMYFUNCTION("""COMPUTED_VALUE"""),0.058)</f>
        <v>0.058</v>
      </c>
      <c r="U5131" s="4">
        <f>IFERROR(__xludf.DUMMYFUNCTION("""COMPUTED_VALUE"""),-2.7)</f>
        <v>-2.7</v>
      </c>
      <c r="V5131" s="4">
        <f>IFERROR(__xludf.DUMMYFUNCTION("""COMPUTED_VALUE"""),-0.1)</f>
        <v>-0.1</v>
      </c>
    </row>
    <row r="5132">
      <c r="A5132" s="4">
        <f>IFERROR(__xludf.DUMMYFUNCTION("""COMPUTED_VALUE"""),62.0)</f>
        <v>62</v>
      </c>
      <c r="B5132" s="4">
        <f>IFERROR(__xludf.DUMMYFUNCTION("""COMPUTED_VALUE"""),62.0)</f>
        <v>62</v>
      </c>
      <c r="C5132" s="4" t="str">
        <f>IFERROR(__xludf.DUMMYFUNCTION("""COMPUTED_VALUE"""),"CLE")</f>
        <v>CLE</v>
      </c>
      <c r="D5132" s="4" t="str">
        <f>IFERROR(__xludf.DUMMYFUNCTION("""COMPUTED_VALUE"""),"Eric Fernsten")</f>
        <v>Eric Fernsten</v>
      </c>
      <c r="E5132" s="4" t="str">
        <f>IFERROR(__xludf.DUMMYFUNCTION("""COMPUTED_VALUE"""),"San Francisco")</f>
        <v>San Francisco</v>
      </c>
      <c r="F5132" s="4">
        <f>IFERROR(__xludf.DUMMYFUNCTION("""COMPUTED_VALUE"""),6.0)</f>
        <v>6</v>
      </c>
      <c r="G5132" s="4">
        <f>IFERROR(__xludf.DUMMYFUNCTION("""COMPUTED_VALUE"""),218.0)</f>
        <v>218</v>
      </c>
      <c r="H5132" s="4">
        <f>IFERROR(__xludf.DUMMYFUNCTION("""COMPUTED_VALUE"""),1643.0)</f>
        <v>1643</v>
      </c>
      <c r="I5132" s="4">
        <f>IFERROR(__xludf.DUMMYFUNCTION("""COMPUTED_VALUE"""),517.0)</f>
        <v>517</v>
      </c>
      <c r="J5132" s="4">
        <f>IFERROR(__xludf.DUMMYFUNCTION("""COMPUTED_VALUE"""),372.0)</f>
        <v>372</v>
      </c>
      <c r="K5132" s="4">
        <f>IFERROR(__xludf.DUMMYFUNCTION("""COMPUTED_VALUE"""),82.0)</f>
        <v>82</v>
      </c>
      <c r="L5132" s="4">
        <f>IFERROR(__xludf.DUMMYFUNCTION("""COMPUTED_VALUE"""),0.445)</f>
        <v>0.445</v>
      </c>
      <c r="M5132" s="4"/>
      <c r="N5132" s="4">
        <f>IFERROR(__xludf.DUMMYFUNCTION("""COMPUTED_VALUE"""),0.675)</f>
        <v>0.675</v>
      </c>
      <c r="O5132" s="4">
        <f>IFERROR(__xludf.DUMMYFUNCTION("""COMPUTED_VALUE"""),7.5)</f>
        <v>7.5</v>
      </c>
      <c r="P5132" s="4">
        <f>IFERROR(__xludf.DUMMYFUNCTION("""COMPUTED_VALUE"""),2.4)</f>
        <v>2.4</v>
      </c>
      <c r="Q5132" s="4">
        <f>IFERROR(__xludf.DUMMYFUNCTION("""COMPUTED_VALUE"""),1.7)</f>
        <v>1.7</v>
      </c>
      <c r="R5132" s="4">
        <f>IFERROR(__xludf.DUMMYFUNCTION("""COMPUTED_VALUE"""),0.4)</f>
        <v>0.4</v>
      </c>
      <c r="S5132" s="4">
        <f>IFERROR(__xludf.DUMMYFUNCTION("""COMPUTED_VALUE"""),3.3)</f>
        <v>3.3</v>
      </c>
      <c r="T5132" s="4">
        <f>IFERROR(__xludf.DUMMYFUNCTION("""COMPUTED_VALUE"""),0.098)</f>
        <v>0.098</v>
      </c>
      <c r="U5132" s="4">
        <f>IFERROR(__xludf.DUMMYFUNCTION("""COMPUTED_VALUE"""),-0.7)</f>
        <v>-0.7</v>
      </c>
      <c r="V5132" s="4">
        <f>IFERROR(__xludf.DUMMYFUNCTION("""COMPUTED_VALUE"""),0.6)</f>
        <v>0.6</v>
      </c>
    </row>
    <row r="5133">
      <c r="A5133" s="4">
        <f>IFERROR(__xludf.DUMMYFUNCTION("""COMPUTED_VALUE"""),63.0)</f>
        <v>63</v>
      </c>
      <c r="B5133" s="4">
        <f>IFERROR(__xludf.DUMMYFUNCTION("""COMPUTED_VALUE"""),63.0)</f>
        <v>63</v>
      </c>
      <c r="C5133" s="4" t="str">
        <f>IFERROR(__xludf.DUMMYFUNCTION("""COMPUTED_VALUE"""),"NYK")</f>
        <v>NYK</v>
      </c>
      <c r="D5133" s="4" t="str">
        <f>IFERROR(__xludf.DUMMYFUNCTION("""COMPUTED_VALUE"""),"David Vaughn")</f>
        <v>David Vaughn</v>
      </c>
      <c r="E5133" s="4" t="str">
        <f>IFERROR(__xludf.DUMMYFUNCTION("""COMPUTED_VALUE"""),"Oral Roberts")</f>
        <v>Oral Roberts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</row>
    <row r="5134">
      <c r="A5134" s="4">
        <f>IFERROR(__xludf.DUMMYFUNCTION("""COMPUTED_VALUE"""),64.0)</f>
        <v>64</v>
      </c>
      <c r="B5134" s="4">
        <f>IFERROR(__xludf.DUMMYFUNCTION("""COMPUTED_VALUE"""),64.0)</f>
        <v>64</v>
      </c>
      <c r="C5134" s="4" t="str">
        <f>IFERROR(__xludf.DUMMYFUNCTION("""COMPUTED_VALUE"""),"DET")</f>
        <v>DET</v>
      </c>
      <c r="D5134" s="4" t="str">
        <f>IFERROR(__xludf.DUMMYFUNCTION("""COMPUTED_VALUE"""),"Lindsay Hairston")</f>
        <v>Lindsay Hairston</v>
      </c>
      <c r="E5134" s="4" t="str">
        <f>IFERROR(__xludf.DUMMYFUNCTION("""COMPUTED_VALUE"""),"Michigan State")</f>
        <v>Michigan State</v>
      </c>
      <c r="F5134" s="4">
        <f>IFERROR(__xludf.DUMMYFUNCTION("""COMPUTED_VALUE"""),1.0)</f>
        <v>1</v>
      </c>
      <c r="G5134" s="4">
        <f>IFERROR(__xludf.DUMMYFUNCTION("""COMPUTED_VALUE"""),47.0)</f>
        <v>47</v>
      </c>
      <c r="H5134" s="4">
        <f>IFERROR(__xludf.DUMMYFUNCTION("""COMPUTED_VALUE"""),651.0)</f>
        <v>651</v>
      </c>
      <c r="I5134" s="4">
        <f>IFERROR(__xludf.DUMMYFUNCTION("""COMPUTED_VALUE"""),273.0)</f>
        <v>273</v>
      </c>
      <c r="J5134" s="4">
        <f>IFERROR(__xludf.DUMMYFUNCTION("""COMPUTED_VALUE"""),179.0)</f>
        <v>179</v>
      </c>
      <c r="K5134" s="4">
        <f>IFERROR(__xludf.DUMMYFUNCTION("""COMPUTED_VALUE"""),21.0)</f>
        <v>21</v>
      </c>
      <c r="L5134" s="4">
        <f>IFERROR(__xludf.DUMMYFUNCTION("""COMPUTED_VALUE"""),0.456)</f>
        <v>0.456</v>
      </c>
      <c r="M5134" s="4"/>
      <c r="N5134" s="4">
        <f>IFERROR(__xludf.DUMMYFUNCTION("""COMPUTED_VALUE"""),0.58)</f>
        <v>0.58</v>
      </c>
      <c r="O5134" s="4">
        <f>IFERROR(__xludf.DUMMYFUNCTION("""COMPUTED_VALUE"""),13.9)</f>
        <v>13.9</v>
      </c>
      <c r="P5134" s="4">
        <f>IFERROR(__xludf.DUMMYFUNCTION("""COMPUTED_VALUE"""),5.8)</f>
        <v>5.8</v>
      </c>
      <c r="Q5134" s="4">
        <f>IFERROR(__xludf.DUMMYFUNCTION("""COMPUTED_VALUE"""),3.8)</f>
        <v>3.8</v>
      </c>
      <c r="R5134" s="4">
        <f>IFERROR(__xludf.DUMMYFUNCTION("""COMPUTED_VALUE"""),0.4)</f>
        <v>0.4</v>
      </c>
      <c r="S5134" s="4">
        <f>IFERROR(__xludf.DUMMYFUNCTION("""COMPUTED_VALUE"""),1.0)</f>
        <v>1</v>
      </c>
      <c r="T5134" s="4">
        <f>IFERROR(__xludf.DUMMYFUNCTION("""COMPUTED_VALUE"""),0.075)</f>
        <v>0.075</v>
      </c>
      <c r="U5134" s="4">
        <f>IFERROR(__xludf.DUMMYFUNCTION("""COMPUTED_VALUE"""),-1.7)</f>
        <v>-1.7</v>
      </c>
      <c r="V5134" s="4">
        <f>IFERROR(__xludf.DUMMYFUNCTION("""COMPUTED_VALUE"""),0.1)</f>
        <v>0.1</v>
      </c>
    </row>
    <row r="5135">
      <c r="A5135" s="4">
        <f>IFERROR(__xludf.DUMMYFUNCTION("""COMPUTED_VALUE"""),65.0)</f>
        <v>65</v>
      </c>
      <c r="B5135" s="4">
        <f>IFERROR(__xludf.DUMMYFUNCTION("""COMPUTED_VALUE"""),65.0)</f>
        <v>65</v>
      </c>
      <c r="C5135" s="4" t="str">
        <f>IFERROR(__xludf.DUMMYFUNCTION("""COMPUTED_VALUE"""),"HOU")</f>
        <v>HOU</v>
      </c>
      <c r="D5135" s="4" t="str">
        <f>IFERROR(__xludf.DUMMYFUNCTION("""COMPUTED_VALUE"""),"Ken Smith")</f>
        <v>Ken Smith</v>
      </c>
      <c r="E5135" s="4" t="str">
        <f>IFERROR(__xludf.DUMMYFUNCTION("""COMPUTED_VALUE"""),"Tulsa")</f>
        <v>Tulsa</v>
      </c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</row>
    <row r="5136">
      <c r="A5136" s="4">
        <f>IFERROR(__xludf.DUMMYFUNCTION("""COMPUTED_VALUE"""),66.0)</f>
        <v>66</v>
      </c>
      <c r="B5136" s="4">
        <f>IFERROR(__xludf.DUMMYFUNCTION("""COMPUTED_VALUE"""),66.0)</f>
        <v>66</v>
      </c>
      <c r="C5136" s="4" t="str">
        <f>IFERROR(__xludf.DUMMYFUNCTION("""COMPUTED_VALUE"""),"SEA")</f>
        <v>SEA</v>
      </c>
      <c r="D5136" s="4" t="str">
        <f>IFERROR(__xludf.DUMMYFUNCTION("""COMPUTED_VALUE"""),"Jim Moore")</f>
        <v>Jim Moore</v>
      </c>
      <c r="E5136" s="4" t="str">
        <f>IFERROR(__xludf.DUMMYFUNCTION("""COMPUTED_VALUE"""),"Utah State University")</f>
        <v>Utah State University</v>
      </c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</row>
    <row r="5137">
      <c r="A5137" s="4">
        <f>IFERROR(__xludf.DUMMYFUNCTION("""COMPUTED_VALUE"""),67.0)</f>
        <v>67</v>
      </c>
      <c r="B5137" s="4">
        <f>IFERROR(__xludf.DUMMYFUNCTION("""COMPUTED_VALUE"""),67.0)</f>
        <v>67</v>
      </c>
      <c r="C5137" s="4" t="str">
        <f>IFERROR(__xludf.DUMMYFUNCTION("""COMPUTED_VALUE"""),"KCK")</f>
        <v>KCK</v>
      </c>
      <c r="D5137" s="4" t="str">
        <f>IFERROR(__xludf.DUMMYFUNCTION("""COMPUTED_VALUE"""),"Kevin Cluess")</f>
        <v>Kevin Cluess</v>
      </c>
      <c r="E5137" s="4" t="str">
        <f>IFERROR(__xludf.DUMMYFUNCTION("""COMPUTED_VALUE"""),"St. John's")</f>
        <v>St. John's</v>
      </c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</row>
    <row r="5138">
      <c r="A5138" s="4">
        <f>IFERROR(__xludf.DUMMYFUNCTION("""COMPUTED_VALUE"""),68.0)</f>
        <v>68</v>
      </c>
      <c r="B5138" s="4">
        <f>IFERROR(__xludf.DUMMYFUNCTION("""COMPUTED_VALUE"""),68.0)</f>
        <v>68</v>
      </c>
      <c r="C5138" s="4" t="str">
        <f>IFERROR(__xludf.DUMMYFUNCTION("""COMPUTED_VALUE"""),"CHI")</f>
        <v>CHI</v>
      </c>
      <c r="D5138" s="4" t="str">
        <f>IFERROR(__xludf.DUMMYFUNCTION("""COMPUTED_VALUE"""),"Ron Haigler")</f>
        <v>Ron Haigler</v>
      </c>
      <c r="E5138" s="4" t="str">
        <f>IFERROR(__xludf.DUMMYFUNCTION("""COMPUTED_VALUE"""),"Penn")</f>
        <v>Penn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</row>
    <row r="5139">
      <c r="A5139" s="4">
        <f>IFERROR(__xludf.DUMMYFUNCTION("""COMPUTED_VALUE"""),69.0)</f>
        <v>69</v>
      </c>
      <c r="B5139" s="4">
        <f>IFERROR(__xludf.DUMMYFUNCTION("""COMPUTED_VALUE"""),69.0)</f>
        <v>69</v>
      </c>
      <c r="C5139" s="4" t="str">
        <f>IFERROR(__xludf.DUMMYFUNCTION("""COMPUTED_VALUE"""),"GSW")</f>
        <v>GSW</v>
      </c>
      <c r="D5139" s="4" t="str">
        <f>IFERROR(__xludf.DUMMYFUNCTION("""COMPUTED_VALUE"""),"Billy Taylor")</f>
        <v>Billy Taylor</v>
      </c>
      <c r="E5139" s="4" t="str">
        <f>IFERROR(__xludf.DUMMYFUNCTION("""COMPUTED_VALUE"""),"La Salle")</f>
        <v>La Salle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</row>
    <row r="5140">
      <c r="A5140" s="4">
        <f>IFERROR(__xludf.DUMMYFUNCTION("""COMPUTED_VALUE"""),70.0)</f>
        <v>70</v>
      </c>
      <c r="B5140" s="4">
        <f>IFERROR(__xludf.DUMMYFUNCTION("""COMPUTED_VALUE"""),70.0)</f>
        <v>70</v>
      </c>
      <c r="C5140" s="4" t="str">
        <f>IFERROR(__xludf.DUMMYFUNCTION("""COMPUTED_VALUE"""),"BUF")</f>
        <v>BUF</v>
      </c>
      <c r="D5140" s="4" t="str">
        <f>IFERROR(__xludf.DUMMYFUNCTION("""COMPUTED_VALUE"""),"Bob Fleischer")</f>
        <v>Bob Fleischer</v>
      </c>
      <c r="E5140" s="4" t="str">
        <f>IFERROR(__xludf.DUMMYFUNCTION("""COMPUTED_VALUE"""),"Duke")</f>
        <v>Duke</v>
      </c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</row>
    <row r="5141">
      <c r="A5141" s="4">
        <f>IFERROR(__xludf.DUMMYFUNCTION("""COMPUTED_VALUE"""),71.0)</f>
        <v>71</v>
      </c>
      <c r="B5141" s="4">
        <f>IFERROR(__xludf.DUMMYFUNCTION("""COMPUTED_VALUE"""),71.0)</f>
        <v>71</v>
      </c>
      <c r="C5141" s="4" t="str">
        <f>IFERROR(__xludf.DUMMYFUNCTION("""COMPUTED_VALUE"""),"WSB")</f>
        <v>WSB</v>
      </c>
      <c r="D5141" s="4" t="str">
        <f>IFERROR(__xludf.DUMMYFUNCTION("""COMPUTED_VALUE"""),"Fessor Leonard")</f>
        <v>Fessor Leonard</v>
      </c>
      <c r="E5141" s="4" t="str">
        <f>IFERROR(__xludf.DUMMYFUNCTION("""COMPUTED_VALUE"""),"Furman University")</f>
        <v>Furman University</v>
      </c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</row>
    <row r="5142">
      <c r="A5142" s="4">
        <f>IFERROR(__xludf.DUMMYFUNCTION("""COMPUTED_VALUE"""),72.0)</f>
        <v>72</v>
      </c>
      <c r="B5142" s="4">
        <f>IFERROR(__xludf.DUMMYFUNCTION("""COMPUTED_VALUE"""),72.0)</f>
        <v>72</v>
      </c>
      <c r="C5142" s="4" t="str">
        <f>IFERROR(__xludf.DUMMYFUNCTION("""COMPUTED_VALUE"""),"BOS")</f>
        <v>BOS</v>
      </c>
      <c r="D5142" s="4" t="str">
        <f>IFERROR(__xludf.DUMMYFUNCTION("""COMPUTED_VALUE"""),"Cyrus Mann")</f>
        <v>Cyrus Mann</v>
      </c>
      <c r="E5142" s="4" t="str">
        <f>IFERROR(__xludf.DUMMYFUNCTION("""COMPUTED_VALUE"""),"Illinois State")</f>
        <v>Illinois State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</row>
    <row r="5143">
      <c r="A5143" s="4"/>
      <c r="B5143" s="4"/>
      <c r="C5143" s="4"/>
      <c r="D5143" s="4" t="str">
        <f>IFERROR(__xludf.DUMMYFUNCTION("""COMPUTED_VALUE"""),"Round 5")</f>
        <v>Round 5</v>
      </c>
      <c r="E5143" s="4"/>
      <c r="F5143" s="4"/>
      <c r="G5143" s="4" t="str">
        <f>IFERROR(__xludf.DUMMYFUNCTION("""COMPUTED_VALUE"""),"Totals")</f>
        <v>Totals</v>
      </c>
      <c r="H5143" s="4"/>
      <c r="I5143" s="4"/>
      <c r="J5143" s="4"/>
      <c r="K5143" s="4"/>
      <c r="L5143" s="4" t="str">
        <f>IFERROR(__xludf.DUMMYFUNCTION("""COMPUTED_VALUE"""),"Shooting")</f>
        <v>Shooting</v>
      </c>
      <c r="M5143" s="4"/>
      <c r="N5143" s="4"/>
      <c r="O5143" s="4" t="str">
        <f>IFERROR(__xludf.DUMMYFUNCTION("""COMPUTED_VALUE"""),"Per Game")</f>
        <v>Per Game</v>
      </c>
      <c r="P5143" s="4"/>
      <c r="Q5143" s="4"/>
      <c r="R5143" s="4"/>
      <c r="S5143" s="4" t="str">
        <f>IFERROR(__xludf.DUMMYFUNCTION("""COMPUTED_VALUE"""),"Advanced")</f>
        <v>Advanced</v>
      </c>
      <c r="T5143" s="4"/>
      <c r="U5143" s="4"/>
      <c r="V5143" s="4"/>
    </row>
    <row r="5144">
      <c r="A5144" s="4" t="str">
        <f>IFERROR(__xludf.DUMMYFUNCTION("""COMPUTED_VALUE"""),"Rk")</f>
        <v>Rk</v>
      </c>
      <c r="B5144" s="4" t="str">
        <f>IFERROR(__xludf.DUMMYFUNCTION("""COMPUTED_VALUE"""),"Pk")</f>
        <v>Pk</v>
      </c>
      <c r="C5144" s="4" t="str">
        <f>IFERROR(__xludf.DUMMYFUNCTION("""COMPUTED_VALUE"""),"Tm")</f>
        <v>Tm</v>
      </c>
      <c r="D5144" s="4" t="str">
        <f>IFERROR(__xludf.DUMMYFUNCTION("""COMPUTED_VALUE"""),"Player")</f>
        <v>Player</v>
      </c>
      <c r="E5144" s="4" t="str">
        <f>IFERROR(__xludf.DUMMYFUNCTION("""COMPUTED_VALUE"""),"College")</f>
        <v>College</v>
      </c>
      <c r="F5144" s="4" t="str">
        <f>IFERROR(__xludf.DUMMYFUNCTION("""COMPUTED_VALUE"""),"Yrs")</f>
        <v>Yrs</v>
      </c>
      <c r="G5144" s="4" t="str">
        <f>IFERROR(__xludf.DUMMYFUNCTION("""COMPUTED_VALUE"""),"G")</f>
        <v>G</v>
      </c>
      <c r="H5144" s="4" t="str">
        <f>IFERROR(__xludf.DUMMYFUNCTION("""COMPUTED_VALUE"""),"MP")</f>
        <v>MP</v>
      </c>
      <c r="I5144" s="4" t="str">
        <f>IFERROR(__xludf.DUMMYFUNCTION("""COMPUTED_VALUE"""),"PTS")</f>
        <v>PTS</v>
      </c>
      <c r="J5144" s="4" t="str">
        <f>IFERROR(__xludf.DUMMYFUNCTION("""COMPUTED_VALUE"""),"TRB")</f>
        <v>TRB</v>
      </c>
      <c r="K5144" s="4" t="str">
        <f>IFERROR(__xludf.DUMMYFUNCTION("""COMPUTED_VALUE"""),"AST")</f>
        <v>AST</v>
      </c>
      <c r="L5144" s="4" t="str">
        <f>IFERROR(__xludf.DUMMYFUNCTION("""COMPUTED_VALUE"""),"FG%")</f>
        <v>FG%</v>
      </c>
      <c r="M5144" s="4" t="str">
        <f>IFERROR(__xludf.DUMMYFUNCTION("""COMPUTED_VALUE"""),"3P%")</f>
        <v>3P%</v>
      </c>
      <c r="N5144" s="4" t="str">
        <f>IFERROR(__xludf.DUMMYFUNCTION("""COMPUTED_VALUE"""),"FT%")</f>
        <v>FT%</v>
      </c>
      <c r="O5144" s="4" t="str">
        <f>IFERROR(__xludf.DUMMYFUNCTION("""COMPUTED_VALUE"""),"MP")</f>
        <v>MP</v>
      </c>
      <c r="P5144" s="4" t="str">
        <f>IFERROR(__xludf.DUMMYFUNCTION("""COMPUTED_VALUE"""),"PTS")</f>
        <v>PTS</v>
      </c>
      <c r="Q5144" s="4" t="str">
        <f>IFERROR(__xludf.DUMMYFUNCTION("""COMPUTED_VALUE"""),"TRB")</f>
        <v>TRB</v>
      </c>
      <c r="R5144" s="4" t="str">
        <f>IFERROR(__xludf.DUMMYFUNCTION("""COMPUTED_VALUE"""),"AST")</f>
        <v>AST</v>
      </c>
      <c r="S5144" s="4" t="str">
        <f>IFERROR(__xludf.DUMMYFUNCTION("""COMPUTED_VALUE"""),"WS")</f>
        <v>WS</v>
      </c>
      <c r="T5144" s="4" t="str">
        <f>IFERROR(__xludf.DUMMYFUNCTION("""COMPUTED_VALUE"""),"WS/48")</f>
        <v>WS/48</v>
      </c>
      <c r="U5144" s="4" t="str">
        <f>IFERROR(__xludf.DUMMYFUNCTION("""COMPUTED_VALUE"""),"BPM")</f>
        <v>BPM</v>
      </c>
      <c r="V5144" s="4" t="str">
        <f>IFERROR(__xludf.DUMMYFUNCTION("""COMPUTED_VALUE"""),"VORP")</f>
        <v>VORP</v>
      </c>
    </row>
    <row r="5145">
      <c r="A5145" s="4">
        <f>IFERROR(__xludf.DUMMYFUNCTION("""COMPUTED_VALUE"""),73.0)</f>
        <v>73</v>
      </c>
      <c r="B5145" s="4">
        <f>IFERROR(__xludf.DUMMYFUNCTION("""COMPUTED_VALUE"""),73.0)</f>
        <v>73</v>
      </c>
      <c r="C5145" s="4" t="str">
        <f>IFERROR(__xludf.DUMMYFUNCTION("""COMPUTED_VALUE"""),"NOJ")</f>
        <v>NOJ</v>
      </c>
      <c r="D5145" s="4" t="str">
        <f>IFERROR(__xludf.DUMMYFUNCTION("""COMPUTED_VALUE"""),"Andre Hampton")</f>
        <v>Andre Hampton</v>
      </c>
      <c r="E5145" s="4" t="str">
        <f>IFERROR(__xludf.DUMMYFUNCTION("""COMPUTED_VALUE"""),"Kentucky State University")</f>
        <v>Kentucky State University</v>
      </c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</row>
    <row r="5146">
      <c r="A5146" s="4">
        <f>IFERROR(__xludf.DUMMYFUNCTION("""COMPUTED_VALUE"""),74.0)</f>
        <v>74</v>
      </c>
      <c r="B5146" s="4">
        <f>IFERROR(__xludf.DUMMYFUNCTION("""COMPUTED_VALUE"""),74.0)</f>
        <v>74</v>
      </c>
      <c r="C5146" s="4" t="str">
        <f>IFERROR(__xludf.DUMMYFUNCTION("""COMPUTED_VALUE"""),"LAL")</f>
        <v>LAL</v>
      </c>
      <c r="D5146" s="4" t="str">
        <f>IFERROR(__xludf.DUMMYFUNCTION("""COMPUTED_VALUE"""),"Charles Russell")</f>
        <v>Charles Russell</v>
      </c>
      <c r="E5146" s="4" t="str">
        <f>IFERROR(__xludf.DUMMYFUNCTION("""COMPUTED_VALUE"""),"Alabama")</f>
        <v>Alabama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</row>
    <row r="5147">
      <c r="A5147" s="4">
        <f>IFERROR(__xludf.DUMMYFUNCTION("""COMPUTED_VALUE"""),75.0)</f>
        <v>75</v>
      </c>
      <c r="B5147" s="4">
        <f>IFERROR(__xludf.DUMMYFUNCTION("""COMPUTED_VALUE"""),75.0)</f>
        <v>75</v>
      </c>
      <c r="C5147" s="4" t="str">
        <f>IFERROR(__xludf.DUMMYFUNCTION("""COMPUTED_VALUE"""),"ATL")</f>
        <v>ATL</v>
      </c>
      <c r="D5147" s="4" t="str">
        <f>IFERROR(__xludf.DUMMYFUNCTION("""COMPUTED_VALUE"""),"Wilbur Holland")</f>
        <v>Wilbur Holland</v>
      </c>
      <c r="E5147" s="4" t="str">
        <f>IFERROR(__xludf.DUMMYFUNCTION("""COMPUTED_VALUE"""),"New Orleans")</f>
        <v>New Orleans</v>
      </c>
      <c r="F5147" s="4">
        <f>IFERROR(__xludf.DUMMYFUNCTION("""COMPUTED_VALUE"""),4.0)</f>
        <v>4</v>
      </c>
      <c r="G5147" s="4">
        <f>IFERROR(__xludf.DUMMYFUNCTION("""COMPUTED_VALUE"""),276.0)</f>
        <v>276</v>
      </c>
      <c r="H5147" s="4">
        <f>IFERROR(__xludf.DUMMYFUNCTION("""COMPUTED_VALUE"""),8171.0)</f>
        <v>8171</v>
      </c>
      <c r="I5147" s="4">
        <f>IFERROR(__xludf.DUMMYFUNCTION("""COMPUTED_VALUE"""),3760.0)</f>
        <v>3760</v>
      </c>
      <c r="J5147" s="4">
        <f>IFERROR(__xludf.DUMMYFUNCTION("""COMPUTED_VALUE"""),842.0)</f>
        <v>842</v>
      </c>
      <c r="K5147" s="4">
        <f>IFERROR(__xludf.DUMMYFUNCTION("""COMPUTED_VALUE"""),922.0)</f>
        <v>922</v>
      </c>
      <c r="L5147" s="4">
        <f>IFERROR(__xludf.DUMMYFUNCTION("""COMPUTED_VALUE"""),0.452)</f>
        <v>0.452</v>
      </c>
      <c r="M5147" s="4"/>
      <c r="N5147" s="4">
        <f>IFERROR(__xludf.DUMMYFUNCTION("""COMPUTED_VALUE"""),0.799)</f>
        <v>0.799</v>
      </c>
      <c r="O5147" s="4">
        <f>IFERROR(__xludf.DUMMYFUNCTION("""COMPUTED_VALUE"""),29.6)</f>
        <v>29.6</v>
      </c>
      <c r="P5147" s="4">
        <f>IFERROR(__xludf.DUMMYFUNCTION("""COMPUTED_VALUE"""),13.6)</f>
        <v>13.6</v>
      </c>
      <c r="Q5147" s="4">
        <f>IFERROR(__xludf.DUMMYFUNCTION("""COMPUTED_VALUE"""),3.1)</f>
        <v>3.1</v>
      </c>
      <c r="R5147" s="4">
        <f>IFERROR(__xludf.DUMMYFUNCTION("""COMPUTED_VALUE"""),3.3)</f>
        <v>3.3</v>
      </c>
      <c r="S5147" s="4">
        <f>IFERROR(__xludf.DUMMYFUNCTION("""COMPUTED_VALUE"""),14.0)</f>
        <v>14</v>
      </c>
      <c r="T5147" s="4">
        <f>IFERROR(__xludf.DUMMYFUNCTION("""COMPUTED_VALUE"""),0.082)</f>
        <v>0.082</v>
      </c>
      <c r="U5147" s="4">
        <f>IFERROR(__xludf.DUMMYFUNCTION("""COMPUTED_VALUE"""),-0.4)</f>
        <v>-0.4</v>
      </c>
      <c r="V5147" s="4">
        <f>IFERROR(__xludf.DUMMYFUNCTION("""COMPUTED_VALUE"""),3.3)</f>
        <v>3.3</v>
      </c>
    </row>
    <row r="5148">
      <c r="A5148" s="4">
        <f>IFERROR(__xludf.DUMMYFUNCTION("""COMPUTED_VALUE"""),76.0)</f>
        <v>76</v>
      </c>
      <c r="B5148" s="4">
        <f>IFERROR(__xludf.DUMMYFUNCTION("""COMPUTED_VALUE"""),76.0)</f>
        <v>76</v>
      </c>
      <c r="C5148" s="4" t="str">
        <f>IFERROR(__xludf.DUMMYFUNCTION("""COMPUTED_VALUE"""),"PHO")</f>
        <v>PHO</v>
      </c>
      <c r="D5148" s="4" t="str">
        <f>IFERROR(__xludf.DUMMYFUNCTION("""COMPUTED_VALUE"""),"Joe Pace")</f>
        <v>Joe Pace</v>
      </c>
      <c r="E5148" s="4" t="str">
        <f>IFERROR(__xludf.DUMMYFUNCTION("""COMPUTED_VALUE"""),"Coppin State University")</f>
        <v>Coppin State University</v>
      </c>
      <c r="F5148" s="4">
        <f>IFERROR(__xludf.DUMMYFUNCTION("""COMPUTED_VALUE"""),2.0)</f>
        <v>2</v>
      </c>
      <c r="G5148" s="4">
        <f>IFERROR(__xludf.DUMMYFUNCTION("""COMPUTED_VALUE"""),79.0)</f>
        <v>79</v>
      </c>
      <c r="H5148" s="4">
        <f>IFERROR(__xludf.DUMMYFUNCTION("""COMPUTED_VALUE"""),557.0)</f>
        <v>557</v>
      </c>
      <c r="I5148" s="4">
        <f>IFERROR(__xludf.DUMMYFUNCTION("""COMPUTED_VALUE"""),255.0)</f>
        <v>255</v>
      </c>
      <c r="J5148" s="4">
        <f>IFERROR(__xludf.DUMMYFUNCTION("""COMPUTED_VALUE"""),168.0)</f>
        <v>168</v>
      </c>
      <c r="K5148" s="4">
        <f>IFERROR(__xludf.DUMMYFUNCTION("""COMPUTED_VALUE"""),27.0)</f>
        <v>27</v>
      </c>
      <c r="L5148" s="4">
        <f>IFERROR(__xludf.DUMMYFUNCTION("""COMPUTED_VALUE"""),0.467)</f>
        <v>0.467</v>
      </c>
      <c r="M5148" s="4"/>
      <c r="N5148" s="4">
        <f>IFERROR(__xludf.DUMMYFUNCTION("""COMPUTED_VALUE"""),0.598)</f>
        <v>0.598</v>
      </c>
      <c r="O5148" s="4">
        <f>IFERROR(__xludf.DUMMYFUNCTION("""COMPUTED_VALUE"""),7.1)</f>
        <v>7.1</v>
      </c>
      <c r="P5148" s="4">
        <f>IFERROR(__xludf.DUMMYFUNCTION("""COMPUTED_VALUE"""),3.2)</f>
        <v>3.2</v>
      </c>
      <c r="Q5148" s="4">
        <f>IFERROR(__xludf.DUMMYFUNCTION("""COMPUTED_VALUE"""),2.1)</f>
        <v>2.1</v>
      </c>
      <c r="R5148" s="4">
        <f>IFERROR(__xludf.DUMMYFUNCTION("""COMPUTED_VALUE"""),0.3)</f>
        <v>0.3</v>
      </c>
      <c r="S5148" s="4">
        <f>IFERROR(__xludf.DUMMYFUNCTION("""COMPUTED_VALUE"""),1.1)</f>
        <v>1.1</v>
      </c>
      <c r="T5148" s="4">
        <f>IFERROR(__xludf.DUMMYFUNCTION("""COMPUTED_VALUE"""),0.092)</f>
        <v>0.092</v>
      </c>
      <c r="U5148" s="4">
        <f>IFERROR(__xludf.DUMMYFUNCTION("""COMPUTED_VALUE"""),-2.1)</f>
        <v>-2.1</v>
      </c>
      <c r="V5148" s="4">
        <f>IFERROR(__xludf.DUMMYFUNCTION("""COMPUTED_VALUE"""),0.0)</f>
        <v>0</v>
      </c>
    </row>
    <row r="5149">
      <c r="A5149" s="4">
        <f>IFERROR(__xludf.DUMMYFUNCTION("""COMPUTED_VALUE"""),77.0)</f>
        <v>77</v>
      </c>
      <c r="B5149" s="4">
        <f>IFERROR(__xludf.DUMMYFUNCTION("""COMPUTED_VALUE"""),77.0)</f>
        <v>77</v>
      </c>
      <c r="C5149" s="4" t="str">
        <f>IFERROR(__xludf.DUMMYFUNCTION("""COMPUTED_VALUE"""),"PHI")</f>
        <v>PHI</v>
      </c>
      <c r="D5149" s="4" t="str">
        <f>IFERROR(__xludf.DUMMYFUNCTION("""COMPUTED_VALUE"""),"Ken Tyler")</f>
        <v>Ken Tyler</v>
      </c>
      <c r="E5149" s="4" t="str">
        <f>IFERROR(__xludf.DUMMYFUNCTION("""COMPUTED_VALUE"""),"Gonzaga")</f>
        <v>Gonzaga</v>
      </c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</row>
    <row r="5150">
      <c r="A5150" s="4">
        <f>IFERROR(__xludf.DUMMYFUNCTION("""COMPUTED_VALUE"""),78.0)</f>
        <v>78</v>
      </c>
      <c r="B5150" s="4">
        <f>IFERROR(__xludf.DUMMYFUNCTION("""COMPUTED_VALUE"""),78.0)</f>
        <v>78</v>
      </c>
      <c r="C5150" s="4" t="str">
        <f>IFERROR(__xludf.DUMMYFUNCTION("""COMPUTED_VALUE"""),"POR")</f>
        <v>POR</v>
      </c>
      <c r="D5150" s="4" t="str">
        <f>IFERROR(__xludf.DUMMYFUNCTION("""COMPUTED_VALUE"""),"Maurice Presley")</f>
        <v>Maurice Presley</v>
      </c>
      <c r="E5150" s="4" t="str">
        <f>IFERROR(__xludf.DUMMYFUNCTION("""COMPUTED_VALUE"""),"Houston")</f>
        <v>Houston</v>
      </c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</row>
    <row r="5151">
      <c r="A5151" s="4">
        <f>IFERROR(__xludf.DUMMYFUNCTION("""COMPUTED_VALUE"""),79.0)</f>
        <v>79</v>
      </c>
      <c r="B5151" s="4">
        <f>IFERROR(__xludf.DUMMYFUNCTION("""COMPUTED_VALUE"""),79.0)</f>
        <v>79</v>
      </c>
      <c r="C5151" s="4" t="str">
        <f>IFERROR(__xludf.DUMMYFUNCTION("""COMPUTED_VALUE"""),"CLE")</f>
        <v>CLE</v>
      </c>
      <c r="D5151" s="4" t="str">
        <f>IFERROR(__xludf.DUMMYFUNCTION("""COMPUTED_VALUE"""),"Jim Lee")</f>
        <v>Jim Lee</v>
      </c>
      <c r="E5151" s="4" t="str">
        <f>IFERROR(__xludf.DUMMYFUNCTION("""COMPUTED_VALUE"""),"Syracuse")</f>
        <v>Syracuse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</row>
    <row r="5152">
      <c r="A5152" s="4">
        <f>IFERROR(__xludf.DUMMYFUNCTION("""COMPUTED_VALUE"""),80.0)</f>
        <v>80</v>
      </c>
      <c r="B5152" s="4">
        <f>IFERROR(__xludf.DUMMYFUNCTION("""COMPUTED_VALUE"""),80.0)</f>
        <v>80</v>
      </c>
      <c r="C5152" s="4" t="str">
        <f>IFERROR(__xludf.DUMMYFUNCTION("""COMPUTED_VALUE"""),"NYK")</f>
        <v>NYK</v>
      </c>
      <c r="D5152" s="4" t="str">
        <f>IFERROR(__xludf.DUMMYFUNCTION("""COMPUTED_VALUE"""),"Don Washington")</f>
        <v>Don Washington</v>
      </c>
      <c r="E5152" s="4" t="str">
        <f>IFERROR(__xludf.DUMMYFUNCTION("""COMPUTED_VALUE"""),"UNC")</f>
        <v>UNC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</row>
    <row r="5153">
      <c r="A5153" s="4">
        <f>IFERROR(__xludf.DUMMYFUNCTION("""COMPUTED_VALUE"""),81.0)</f>
        <v>81</v>
      </c>
      <c r="B5153" s="4">
        <f>IFERROR(__xludf.DUMMYFUNCTION("""COMPUTED_VALUE"""),81.0)</f>
        <v>81</v>
      </c>
      <c r="C5153" s="4" t="str">
        <f>IFERROR(__xludf.DUMMYFUNCTION("""COMPUTED_VALUE"""),"DET")</f>
        <v>DET</v>
      </c>
      <c r="D5153" s="4" t="str">
        <f>IFERROR(__xludf.DUMMYFUNCTION("""COMPUTED_VALUE"""),"Cliff Pratt")</f>
        <v>Cliff Pratt</v>
      </c>
      <c r="E5153" s="4" t="str">
        <f>IFERROR(__xludf.DUMMYFUNCTION("""COMPUTED_VALUE"""),"Shaw")</f>
        <v>Shaw</v>
      </c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</row>
    <row r="5154">
      <c r="A5154" s="4">
        <f>IFERROR(__xludf.DUMMYFUNCTION("""COMPUTED_VALUE"""),82.0)</f>
        <v>82</v>
      </c>
      <c r="B5154" s="4">
        <f>IFERROR(__xludf.DUMMYFUNCTION("""COMPUTED_VALUE"""),82.0)</f>
        <v>82</v>
      </c>
      <c r="C5154" s="4" t="str">
        <f>IFERROR(__xludf.DUMMYFUNCTION("""COMPUTED_VALUE"""),"CLE")</f>
        <v>CLE</v>
      </c>
      <c r="D5154" s="4" t="str">
        <f>IFERROR(__xludf.DUMMYFUNCTION("""COMPUTED_VALUE"""),"Mike Odemns")</f>
        <v>Mike Odemns</v>
      </c>
      <c r="E5154" s="4" t="str">
        <f>IFERROR(__xludf.DUMMYFUNCTION("""COMPUTED_VALUE"""),"Western Kentucky")</f>
        <v>Western Kentucky</v>
      </c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</row>
    <row r="5155">
      <c r="A5155" s="4">
        <f>IFERROR(__xludf.DUMMYFUNCTION("""COMPUTED_VALUE"""),83.0)</f>
        <v>83</v>
      </c>
      <c r="B5155" s="4">
        <f>IFERROR(__xludf.DUMMYFUNCTION("""COMPUTED_VALUE"""),83.0)</f>
        <v>83</v>
      </c>
      <c r="C5155" s="4" t="str">
        <f>IFERROR(__xludf.DUMMYFUNCTION("""COMPUTED_VALUE"""),"HOU")</f>
        <v>HOU</v>
      </c>
      <c r="D5155" s="4" t="str">
        <f>IFERROR(__xludf.DUMMYFUNCTION("""COMPUTED_VALUE"""),"Rick Whitlow")</f>
        <v>Rick Whitlow</v>
      </c>
      <c r="E5155" s="4" t="str">
        <f>IFERROR(__xludf.DUMMYFUNCTION("""COMPUTED_VALUE"""),"Illinois State")</f>
        <v>Illinois State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</row>
    <row r="5156">
      <c r="A5156" s="4">
        <f>IFERROR(__xludf.DUMMYFUNCTION("""COMPUTED_VALUE"""),84.0)</f>
        <v>84</v>
      </c>
      <c r="B5156" s="4">
        <f>IFERROR(__xludf.DUMMYFUNCTION("""COMPUTED_VALUE"""),84.0)</f>
        <v>84</v>
      </c>
      <c r="C5156" s="4" t="str">
        <f>IFERROR(__xludf.DUMMYFUNCTION("""COMPUTED_VALUE"""),"SEA")</f>
        <v>SEA</v>
      </c>
      <c r="D5156" s="4" t="str">
        <f>IFERROR(__xludf.DUMMYFUNCTION("""COMPUTED_VALUE"""),"Dwain Govan")</f>
        <v>Dwain Govan</v>
      </c>
      <c r="E5156" s="4" t="str">
        <f>IFERROR(__xludf.DUMMYFUNCTION("""COMPUTED_VALUE"""),"Bishop College")</f>
        <v>Bishop College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</row>
    <row r="5157">
      <c r="A5157" s="4">
        <f>IFERROR(__xludf.DUMMYFUNCTION("""COMPUTED_VALUE"""),85.0)</f>
        <v>85</v>
      </c>
      <c r="B5157" s="4">
        <f>IFERROR(__xludf.DUMMYFUNCTION("""COMPUTED_VALUE"""),85.0)</f>
        <v>85</v>
      </c>
      <c r="C5157" s="4" t="str">
        <f>IFERROR(__xludf.DUMMYFUNCTION("""COMPUTED_VALUE"""),"KCK")</f>
        <v>KCK</v>
      </c>
      <c r="D5157" s="4" t="str">
        <f>IFERROR(__xludf.DUMMYFUNCTION("""COMPUTED_VALUE"""),"Ed Stahl")</f>
        <v>Ed Stahl</v>
      </c>
      <c r="E5157" s="4" t="str">
        <f>IFERROR(__xludf.DUMMYFUNCTION("""COMPUTED_VALUE"""),"UNC")</f>
        <v>UNC</v>
      </c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</row>
    <row r="5158">
      <c r="A5158" s="4">
        <f>IFERROR(__xludf.DUMMYFUNCTION("""COMPUTED_VALUE"""),86.0)</f>
        <v>86</v>
      </c>
      <c r="B5158" s="4">
        <f>IFERROR(__xludf.DUMMYFUNCTION("""COMPUTED_VALUE"""),86.0)</f>
        <v>86</v>
      </c>
      <c r="C5158" s="4" t="str">
        <f>IFERROR(__xludf.DUMMYFUNCTION("""COMPUTED_VALUE"""),"CHI")</f>
        <v>CHI</v>
      </c>
      <c r="D5158" s="4" t="str">
        <f>IFERROR(__xludf.DUMMYFUNCTION("""COMPUTED_VALUE"""),"Bob Iverson")</f>
        <v>Bob Iverson</v>
      </c>
      <c r="E5158" s="4" t="str">
        <f>IFERROR(__xludf.DUMMYFUNCTION("""COMPUTED_VALUE"""),"University of North Texas")</f>
        <v>University of North Texas</v>
      </c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</row>
    <row r="5159">
      <c r="A5159" s="4">
        <f>IFERROR(__xludf.DUMMYFUNCTION("""COMPUTED_VALUE"""),87.0)</f>
        <v>87</v>
      </c>
      <c r="B5159" s="4">
        <f>IFERROR(__xludf.DUMMYFUNCTION("""COMPUTED_VALUE"""),87.0)</f>
        <v>87</v>
      </c>
      <c r="C5159" s="4" t="str">
        <f>IFERROR(__xludf.DUMMYFUNCTION("""COMPUTED_VALUE"""),"GSW")</f>
        <v>GSW</v>
      </c>
      <c r="D5159" s="4" t="str">
        <f>IFERROR(__xludf.DUMMYFUNCTION("""COMPUTED_VALUE"""),"Larry Pounds")</f>
        <v>Larry Pounds</v>
      </c>
      <c r="E5159" s="4" t="str">
        <f>IFERROR(__xludf.DUMMYFUNCTION("""COMPUTED_VALUE"""),"Washington")</f>
        <v>Washington</v>
      </c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</row>
    <row r="5160">
      <c r="A5160" s="4">
        <f>IFERROR(__xludf.DUMMYFUNCTION("""COMPUTED_VALUE"""),88.0)</f>
        <v>88</v>
      </c>
      <c r="B5160" s="4">
        <f>IFERROR(__xludf.DUMMYFUNCTION("""COMPUTED_VALUE"""),88.0)</f>
        <v>88</v>
      </c>
      <c r="C5160" s="4" t="str">
        <f>IFERROR(__xludf.DUMMYFUNCTION("""COMPUTED_VALUE"""),"BUF")</f>
        <v>BUF</v>
      </c>
      <c r="D5160" s="4" t="str">
        <f>IFERROR(__xludf.DUMMYFUNCTION("""COMPUTED_VALUE"""),"Sam Berry")</f>
        <v>Sam Berry</v>
      </c>
      <c r="E5160" s="4" t="str">
        <f>IFERROR(__xludf.DUMMYFUNCTION("""COMPUTED_VALUE"""),"Armstrong Atlantic State University")</f>
        <v>Armstrong Atlantic State University</v>
      </c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</row>
    <row r="5161">
      <c r="A5161" s="4">
        <f>IFERROR(__xludf.DUMMYFUNCTION("""COMPUTED_VALUE"""),89.0)</f>
        <v>89</v>
      </c>
      <c r="B5161" s="4">
        <f>IFERROR(__xludf.DUMMYFUNCTION("""COMPUTED_VALUE"""),89.0)</f>
        <v>89</v>
      </c>
      <c r="C5161" s="4" t="str">
        <f>IFERROR(__xludf.DUMMYFUNCTION("""COMPUTED_VALUE"""),"BOS")</f>
        <v>BOS</v>
      </c>
      <c r="D5161" s="4" t="str">
        <f>IFERROR(__xludf.DUMMYFUNCTION("""COMPUTED_VALUE"""),"Darryl Brown")</f>
        <v>Darryl Brown</v>
      </c>
      <c r="E5161" s="4" t="str">
        <f>IFERROR(__xludf.DUMMYFUNCTION("""COMPUTED_VALUE"""),"Fordham")</f>
        <v>Fordham</v>
      </c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</row>
    <row r="5162">
      <c r="A5162" s="4">
        <f>IFERROR(__xludf.DUMMYFUNCTION("""COMPUTED_VALUE"""),90.0)</f>
        <v>90</v>
      </c>
      <c r="B5162" s="4">
        <f>IFERROR(__xludf.DUMMYFUNCTION("""COMPUTED_VALUE"""),90.0)</f>
        <v>90</v>
      </c>
      <c r="C5162" s="4" t="str">
        <f>IFERROR(__xludf.DUMMYFUNCTION("""COMPUTED_VALUE"""),"WSB")</f>
        <v>WSB</v>
      </c>
      <c r="D5162" s="4" t="str">
        <f>IFERROR(__xludf.DUMMYFUNCTION("""COMPUTED_VALUE"""),"Rich Jones")</f>
        <v>Rich Jones</v>
      </c>
      <c r="E5162" s="4" t="str">
        <f>IFERROR(__xludf.DUMMYFUNCTION("""COMPUTED_VALUE"""),"VCU")</f>
        <v>VCU</v>
      </c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</row>
    <row r="5163">
      <c r="A5163" s="4"/>
      <c r="B5163" s="4"/>
      <c r="C5163" s="4"/>
      <c r="D5163" s="4" t="str">
        <f>IFERROR(__xludf.DUMMYFUNCTION("""COMPUTED_VALUE"""),"Round 6")</f>
        <v>Round 6</v>
      </c>
      <c r="E5163" s="4"/>
      <c r="F5163" s="4"/>
      <c r="G5163" s="4" t="str">
        <f>IFERROR(__xludf.DUMMYFUNCTION("""COMPUTED_VALUE"""),"Totals")</f>
        <v>Totals</v>
      </c>
      <c r="H5163" s="4"/>
      <c r="I5163" s="4"/>
      <c r="J5163" s="4"/>
      <c r="K5163" s="4"/>
      <c r="L5163" s="4" t="str">
        <f>IFERROR(__xludf.DUMMYFUNCTION("""COMPUTED_VALUE"""),"Shooting")</f>
        <v>Shooting</v>
      </c>
      <c r="M5163" s="4"/>
      <c r="N5163" s="4"/>
      <c r="O5163" s="4" t="str">
        <f>IFERROR(__xludf.DUMMYFUNCTION("""COMPUTED_VALUE"""),"Per Game")</f>
        <v>Per Game</v>
      </c>
      <c r="P5163" s="4"/>
      <c r="Q5163" s="4"/>
      <c r="R5163" s="4"/>
      <c r="S5163" s="4" t="str">
        <f>IFERROR(__xludf.DUMMYFUNCTION("""COMPUTED_VALUE"""),"Advanced")</f>
        <v>Advanced</v>
      </c>
      <c r="T5163" s="4"/>
      <c r="U5163" s="4"/>
      <c r="V5163" s="4"/>
    </row>
    <row r="5164">
      <c r="A5164" s="4" t="str">
        <f>IFERROR(__xludf.DUMMYFUNCTION("""COMPUTED_VALUE"""),"Rk")</f>
        <v>Rk</v>
      </c>
      <c r="B5164" s="4" t="str">
        <f>IFERROR(__xludf.DUMMYFUNCTION("""COMPUTED_VALUE"""),"Pk")</f>
        <v>Pk</v>
      </c>
      <c r="C5164" s="4" t="str">
        <f>IFERROR(__xludf.DUMMYFUNCTION("""COMPUTED_VALUE"""),"Tm")</f>
        <v>Tm</v>
      </c>
      <c r="D5164" s="4" t="str">
        <f>IFERROR(__xludf.DUMMYFUNCTION("""COMPUTED_VALUE"""),"Player")</f>
        <v>Player</v>
      </c>
      <c r="E5164" s="4" t="str">
        <f>IFERROR(__xludf.DUMMYFUNCTION("""COMPUTED_VALUE"""),"College")</f>
        <v>College</v>
      </c>
      <c r="F5164" s="4" t="str">
        <f>IFERROR(__xludf.DUMMYFUNCTION("""COMPUTED_VALUE"""),"Yrs")</f>
        <v>Yrs</v>
      </c>
      <c r="G5164" s="4" t="str">
        <f>IFERROR(__xludf.DUMMYFUNCTION("""COMPUTED_VALUE"""),"G")</f>
        <v>G</v>
      </c>
      <c r="H5164" s="4" t="str">
        <f>IFERROR(__xludf.DUMMYFUNCTION("""COMPUTED_VALUE"""),"MP")</f>
        <v>MP</v>
      </c>
      <c r="I5164" s="4" t="str">
        <f>IFERROR(__xludf.DUMMYFUNCTION("""COMPUTED_VALUE"""),"PTS")</f>
        <v>PTS</v>
      </c>
      <c r="J5164" s="4" t="str">
        <f>IFERROR(__xludf.DUMMYFUNCTION("""COMPUTED_VALUE"""),"TRB")</f>
        <v>TRB</v>
      </c>
      <c r="K5164" s="4" t="str">
        <f>IFERROR(__xludf.DUMMYFUNCTION("""COMPUTED_VALUE"""),"AST")</f>
        <v>AST</v>
      </c>
      <c r="L5164" s="4" t="str">
        <f>IFERROR(__xludf.DUMMYFUNCTION("""COMPUTED_VALUE"""),"FG%")</f>
        <v>FG%</v>
      </c>
      <c r="M5164" s="4" t="str">
        <f>IFERROR(__xludf.DUMMYFUNCTION("""COMPUTED_VALUE"""),"3P%")</f>
        <v>3P%</v>
      </c>
      <c r="N5164" s="4" t="str">
        <f>IFERROR(__xludf.DUMMYFUNCTION("""COMPUTED_VALUE"""),"FT%")</f>
        <v>FT%</v>
      </c>
      <c r="O5164" s="4" t="str">
        <f>IFERROR(__xludf.DUMMYFUNCTION("""COMPUTED_VALUE"""),"MP")</f>
        <v>MP</v>
      </c>
      <c r="P5164" s="4" t="str">
        <f>IFERROR(__xludf.DUMMYFUNCTION("""COMPUTED_VALUE"""),"PTS")</f>
        <v>PTS</v>
      </c>
      <c r="Q5164" s="4" t="str">
        <f>IFERROR(__xludf.DUMMYFUNCTION("""COMPUTED_VALUE"""),"TRB")</f>
        <v>TRB</v>
      </c>
      <c r="R5164" s="4" t="str">
        <f>IFERROR(__xludf.DUMMYFUNCTION("""COMPUTED_VALUE"""),"AST")</f>
        <v>AST</v>
      </c>
      <c r="S5164" s="4" t="str">
        <f>IFERROR(__xludf.DUMMYFUNCTION("""COMPUTED_VALUE"""),"WS")</f>
        <v>WS</v>
      </c>
      <c r="T5164" s="4" t="str">
        <f>IFERROR(__xludf.DUMMYFUNCTION("""COMPUTED_VALUE"""),"WS/48")</f>
        <v>WS/48</v>
      </c>
      <c r="U5164" s="4" t="str">
        <f>IFERROR(__xludf.DUMMYFUNCTION("""COMPUTED_VALUE"""),"BPM")</f>
        <v>BPM</v>
      </c>
      <c r="V5164" s="4" t="str">
        <f>IFERROR(__xludf.DUMMYFUNCTION("""COMPUTED_VALUE"""),"VORP")</f>
        <v>VORP</v>
      </c>
    </row>
    <row r="5165">
      <c r="A5165" s="4">
        <f>IFERROR(__xludf.DUMMYFUNCTION("""COMPUTED_VALUE"""),91.0)</f>
        <v>91</v>
      </c>
      <c r="B5165" s="4">
        <f>IFERROR(__xludf.DUMMYFUNCTION("""COMPUTED_VALUE"""),91.0)</f>
        <v>91</v>
      </c>
      <c r="C5165" s="4" t="str">
        <f>IFERROR(__xludf.DUMMYFUNCTION("""COMPUTED_VALUE"""),"NOJ")</f>
        <v>NOJ</v>
      </c>
      <c r="D5165" s="4" t="str">
        <f>IFERROR(__xludf.DUMMYFUNCTION("""COMPUTED_VALUE"""),"Rick Schmidt")</f>
        <v>Rick Schmidt</v>
      </c>
      <c r="E5165" s="4" t="str">
        <f>IFERROR(__xludf.DUMMYFUNCTION("""COMPUTED_VALUE"""),"Illinois")</f>
        <v>Illinois</v>
      </c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</row>
    <row r="5166">
      <c r="A5166" s="4">
        <f>IFERROR(__xludf.DUMMYFUNCTION("""COMPUTED_VALUE"""),92.0)</f>
        <v>92</v>
      </c>
      <c r="B5166" s="4">
        <f>IFERROR(__xludf.DUMMYFUNCTION("""COMPUTED_VALUE"""),92.0)</f>
        <v>92</v>
      </c>
      <c r="C5166" s="4" t="str">
        <f>IFERROR(__xludf.DUMMYFUNCTION("""COMPUTED_VALUE"""),"LAL")</f>
        <v>LAL</v>
      </c>
      <c r="D5166" s="4" t="str">
        <f>IFERROR(__xludf.DUMMYFUNCTION("""COMPUTED_VALUE"""),"Don Ford")</f>
        <v>Don Ford</v>
      </c>
      <c r="E5166" s="4" t="str">
        <f>IFERROR(__xludf.DUMMYFUNCTION("""COMPUTED_VALUE"""),"UC Santa Barbara")</f>
        <v>UC Santa Barbara</v>
      </c>
      <c r="F5166" s="4">
        <f>IFERROR(__xludf.DUMMYFUNCTION("""COMPUTED_VALUE"""),7.0)</f>
        <v>7</v>
      </c>
      <c r="G5166" s="4">
        <f>IFERROR(__xludf.DUMMYFUNCTION("""COMPUTED_VALUE"""),474.0)</f>
        <v>474</v>
      </c>
      <c r="H5166" s="4">
        <f>IFERROR(__xludf.DUMMYFUNCTION("""COMPUTED_VALUE"""),9301.0)</f>
        <v>9301</v>
      </c>
      <c r="I5166" s="4">
        <f>IFERROR(__xludf.DUMMYFUNCTION("""COMPUTED_VALUE"""),3016.0)</f>
        <v>3016</v>
      </c>
      <c r="J5166" s="4">
        <f>IFERROR(__xludf.DUMMYFUNCTION("""COMPUTED_VALUE"""),1691.0)</f>
        <v>1691</v>
      </c>
      <c r="K5166" s="4">
        <f>IFERROR(__xludf.DUMMYFUNCTION("""COMPUTED_VALUE"""),647.0)</f>
        <v>647</v>
      </c>
      <c r="L5166" s="4">
        <f>IFERROR(__xludf.DUMMYFUNCTION("""COMPUTED_VALUE"""),0.464)</f>
        <v>0.464</v>
      </c>
      <c r="M5166" s="4"/>
      <c r="N5166" s="4">
        <f>IFERROR(__xludf.DUMMYFUNCTION("""COMPUTED_VALUE"""),0.773)</f>
        <v>0.773</v>
      </c>
      <c r="O5166" s="4">
        <f>IFERROR(__xludf.DUMMYFUNCTION("""COMPUTED_VALUE"""),19.6)</f>
        <v>19.6</v>
      </c>
      <c r="P5166" s="4">
        <f>IFERROR(__xludf.DUMMYFUNCTION("""COMPUTED_VALUE"""),6.4)</f>
        <v>6.4</v>
      </c>
      <c r="Q5166" s="4">
        <f>IFERROR(__xludf.DUMMYFUNCTION("""COMPUTED_VALUE"""),3.6)</f>
        <v>3.6</v>
      </c>
      <c r="R5166" s="4">
        <f>IFERROR(__xludf.DUMMYFUNCTION("""COMPUTED_VALUE"""),1.4)</f>
        <v>1.4</v>
      </c>
      <c r="S5166" s="4">
        <f>IFERROR(__xludf.DUMMYFUNCTION("""COMPUTED_VALUE"""),12.7)</f>
        <v>12.7</v>
      </c>
      <c r="T5166" s="4">
        <f>IFERROR(__xludf.DUMMYFUNCTION("""COMPUTED_VALUE"""),0.066)</f>
        <v>0.066</v>
      </c>
      <c r="U5166" s="4">
        <f>IFERROR(__xludf.DUMMYFUNCTION("""COMPUTED_VALUE"""),-1.8)</f>
        <v>-1.8</v>
      </c>
      <c r="V5166" s="4">
        <f>IFERROR(__xludf.DUMMYFUNCTION("""COMPUTED_VALUE"""),0.4)</f>
        <v>0.4</v>
      </c>
    </row>
    <row r="5167">
      <c r="A5167" s="4">
        <f>IFERROR(__xludf.DUMMYFUNCTION("""COMPUTED_VALUE"""),93.0)</f>
        <v>93</v>
      </c>
      <c r="B5167" s="4">
        <f>IFERROR(__xludf.DUMMYFUNCTION("""COMPUTED_VALUE"""),93.0)</f>
        <v>93</v>
      </c>
      <c r="C5167" s="4" t="str">
        <f>IFERROR(__xludf.DUMMYFUNCTION("""COMPUTED_VALUE"""),"ATL")</f>
        <v>ATL</v>
      </c>
      <c r="D5167" s="4" t="str">
        <f>IFERROR(__xludf.DUMMYFUNCTION("""COMPUTED_VALUE"""),"Danny Williams")</f>
        <v>Danny Williams</v>
      </c>
      <c r="E5167" s="4" t="str">
        <f>IFERROR(__xludf.DUMMYFUNCTION("""COMPUTED_VALUE"""),"Ole Miss")</f>
        <v>Ole Miss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</row>
    <row r="5168">
      <c r="A5168" s="4">
        <f>IFERROR(__xludf.DUMMYFUNCTION("""COMPUTED_VALUE"""),94.0)</f>
        <v>94</v>
      </c>
      <c r="B5168" s="4">
        <f>IFERROR(__xludf.DUMMYFUNCTION("""COMPUTED_VALUE"""),94.0)</f>
        <v>94</v>
      </c>
      <c r="C5168" s="4" t="str">
        <f>IFERROR(__xludf.DUMMYFUNCTION("""COMPUTED_VALUE"""),"PHO")</f>
        <v>PHO</v>
      </c>
      <c r="D5168" s="4" t="str">
        <f>IFERROR(__xludf.DUMMYFUNCTION("""COMPUTED_VALUE"""),"Biff Burrell")</f>
        <v>Biff Burrell</v>
      </c>
      <c r="E5168" s="4" t="str">
        <f>IFERROR(__xludf.DUMMYFUNCTION("""COMPUTED_VALUE"""),"USC")</f>
        <v>USC</v>
      </c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</row>
    <row r="5169">
      <c r="A5169" s="4">
        <f>IFERROR(__xludf.DUMMYFUNCTION("""COMPUTED_VALUE"""),95.0)</f>
        <v>95</v>
      </c>
      <c r="B5169" s="4">
        <f>IFERROR(__xludf.DUMMYFUNCTION("""COMPUTED_VALUE"""),95.0)</f>
        <v>95</v>
      </c>
      <c r="C5169" s="4" t="str">
        <f>IFERROR(__xludf.DUMMYFUNCTION("""COMPUTED_VALUE"""),"PHI")</f>
        <v>PHI</v>
      </c>
      <c r="D5169" s="4" t="str">
        <f>IFERROR(__xludf.DUMMYFUNCTION("""COMPUTED_VALUE"""),"Ken Alston")</f>
        <v>Ken Alston</v>
      </c>
      <c r="E5169" s="4" t="str">
        <f>IFERROR(__xludf.DUMMYFUNCTION("""COMPUTED_VALUE"""),"Valdosta State University")</f>
        <v>Valdosta State University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</row>
    <row r="5170">
      <c r="A5170" s="4">
        <f>IFERROR(__xludf.DUMMYFUNCTION("""COMPUTED_VALUE"""),96.0)</f>
        <v>96</v>
      </c>
      <c r="B5170" s="4">
        <f>IFERROR(__xludf.DUMMYFUNCTION("""COMPUTED_VALUE"""),96.0)</f>
        <v>96</v>
      </c>
      <c r="C5170" s="4" t="str">
        <f>IFERROR(__xludf.DUMMYFUNCTION("""COMPUTED_VALUE"""),"MIL")</f>
        <v>MIL</v>
      </c>
      <c r="D5170" s="4" t="str">
        <f>IFERROR(__xludf.DUMMYFUNCTION("""COMPUTED_VALUE"""),"Oliver Purnell")</f>
        <v>Oliver Purnell</v>
      </c>
      <c r="E5170" s="4" t="str">
        <f>IFERROR(__xludf.DUMMYFUNCTION("""COMPUTED_VALUE"""),"Old Dominion")</f>
        <v>Old Dominion</v>
      </c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</row>
    <row r="5171">
      <c r="A5171" s="4">
        <f>IFERROR(__xludf.DUMMYFUNCTION("""COMPUTED_VALUE"""),97.0)</f>
        <v>97</v>
      </c>
      <c r="B5171" s="4">
        <f>IFERROR(__xludf.DUMMYFUNCTION("""COMPUTED_VALUE"""),97.0)</f>
        <v>97</v>
      </c>
      <c r="C5171" s="4" t="str">
        <f>IFERROR(__xludf.DUMMYFUNCTION("""COMPUTED_VALUE"""),"POR")</f>
        <v>POR</v>
      </c>
      <c r="D5171" s="4" t="str">
        <f>IFERROR(__xludf.DUMMYFUNCTION("""COMPUTED_VALUE"""),"Gerald Willett")</f>
        <v>Gerald Willett</v>
      </c>
      <c r="E5171" s="4" t="str">
        <f>IFERROR(__xludf.DUMMYFUNCTION("""COMPUTED_VALUE"""),"Oregon")</f>
        <v>Oregon</v>
      </c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</row>
    <row r="5172">
      <c r="A5172" s="4">
        <f>IFERROR(__xludf.DUMMYFUNCTION("""COMPUTED_VALUE"""),98.0)</f>
        <v>98</v>
      </c>
      <c r="B5172" s="4">
        <f>IFERROR(__xludf.DUMMYFUNCTION("""COMPUTED_VALUE"""),98.0)</f>
        <v>98</v>
      </c>
      <c r="C5172" s="4" t="str">
        <f>IFERROR(__xludf.DUMMYFUNCTION("""COMPUTED_VALUE"""),"DET")</f>
        <v>DET</v>
      </c>
      <c r="D5172" s="4" t="str">
        <f>IFERROR(__xludf.DUMMYFUNCTION("""COMPUTED_VALUE"""),"Allen Spruill")</f>
        <v>Allen Spruill</v>
      </c>
      <c r="E5172" s="4" t="str">
        <f>IFERROR(__xludf.DUMMYFUNCTION("""COMPUTED_VALUE"""),"North Carolina A&amp;T")</f>
        <v>North Carolina A&amp;T</v>
      </c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</row>
    <row r="5173">
      <c r="A5173" s="4">
        <f>IFERROR(__xludf.DUMMYFUNCTION("""COMPUTED_VALUE"""),99.0)</f>
        <v>99</v>
      </c>
      <c r="B5173" s="4">
        <f>IFERROR(__xludf.DUMMYFUNCTION("""COMPUTED_VALUE"""),99.0)</f>
        <v>99</v>
      </c>
      <c r="C5173" s="4" t="str">
        <f>IFERROR(__xludf.DUMMYFUNCTION("""COMPUTED_VALUE"""),"CLE")</f>
        <v>CLE</v>
      </c>
      <c r="D5173" s="4" t="str">
        <f>IFERROR(__xludf.DUMMYFUNCTION("""COMPUTED_VALUE"""),"Henry Ward")</f>
        <v>Henry Ward</v>
      </c>
      <c r="E5173" s="4" t="str">
        <f>IFERROR(__xludf.DUMMYFUNCTION("""COMPUTED_VALUE"""),"Jackson State University")</f>
        <v>Jackson State University</v>
      </c>
      <c r="F5173" s="4">
        <f>IFERROR(__xludf.DUMMYFUNCTION("""COMPUTED_VALUE"""),1.0)</f>
        <v>1</v>
      </c>
      <c r="G5173" s="4">
        <f>IFERROR(__xludf.DUMMYFUNCTION("""COMPUTED_VALUE"""),27.0)</f>
        <v>27</v>
      </c>
      <c r="H5173" s="4">
        <f>IFERROR(__xludf.DUMMYFUNCTION("""COMPUTED_VALUE"""),171.0)</f>
        <v>171</v>
      </c>
      <c r="I5173" s="4">
        <f>IFERROR(__xludf.DUMMYFUNCTION("""COMPUTED_VALUE"""),83.0)</f>
        <v>83</v>
      </c>
      <c r="J5173" s="4">
        <f>IFERROR(__xludf.DUMMYFUNCTION("""COMPUTED_VALUE"""),33.0)</f>
        <v>33</v>
      </c>
      <c r="K5173" s="4">
        <f>IFERROR(__xludf.DUMMYFUNCTION("""COMPUTED_VALUE"""),6.0)</f>
        <v>6</v>
      </c>
      <c r="L5173" s="4">
        <f>IFERROR(__xludf.DUMMYFUNCTION("""COMPUTED_VALUE"""),0.378)</f>
        <v>0.378</v>
      </c>
      <c r="M5173" s="4"/>
      <c r="N5173" s="4">
        <f>IFERROR(__xludf.DUMMYFUNCTION("""COMPUTED_VALUE"""),0.882)</f>
        <v>0.882</v>
      </c>
      <c r="O5173" s="4">
        <f>IFERROR(__xludf.DUMMYFUNCTION("""COMPUTED_VALUE"""),6.3)</f>
        <v>6.3</v>
      </c>
      <c r="P5173" s="4">
        <f>IFERROR(__xludf.DUMMYFUNCTION("""COMPUTED_VALUE"""),3.1)</f>
        <v>3.1</v>
      </c>
      <c r="Q5173" s="4">
        <f>IFERROR(__xludf.DUMMYFUNCTION("""COMPUTED_VALUE"""),1.2)</f>
        <v>1.2</v>
      </c>
      <c r="R5173" s="4">
        <f>IFERROR(__xludf.DUMMYFUNCTION("""COMPUTED_VALUE"""),0.2)</f>
        <v>0.2</v>
      </c>
      <c r="S5173" s="4">
        <f>IFERROR(__xludf.DUMMYFUNCTION("""COMPUTED_VALUE"""),-0.1)</f>
        <v>-0.1</v>
      </c>
      <c r="T5173" s="4">
        <f>IFERROR(__xludf.DUMMYFUNCTION("""COMPUTED_VALUE"""),-0.023)</f>
        <v>-0.023</v>
      </c>
      <c r="U5173" s="4">
        <f>IFERROR(__xludf.DUMMYFUNCTION("""COMPUTED_VALUE"""),-6.1)</f>
        <v>-6.1</v>
      </c>
      <c r="V5173" s="4">
        <f>IFERROR(__xludf.DUMMYFUNCTION("""COMPUTED_VALUE"""),-0.2)</f>
        <v>-0.2</v>
      </c>
    </row>
    <row r="5174">
      <c r="A5174" s="4">
        <f>IFERROR(__xludf.DUMMYFUNCTION("""COMPUTED_VALUE"""),100.0)</f>
        <v>100</v>
      </c>
      <c r="B5174" s="4">
        <f>IFERROR(__xludf.DUMMYFUNCTION("""COMPUTED_VALUE"""),100.0)</f>
        <v>100</v>
      </c>
      <c r="C5174" s="4" t="str">
        <f>IFERROR(__xludf.DUMMYFUNCTION("""COMPUTED_VALUE"""),"NYK")</f>
        <v>NYK</v>
      </c>
      <c r="D5174" s="4" t="str">
        <f>IFERROR(__xludf.DUMMYFUNCTION("""COMPUTED_VALUE"""),"Hank Williams")</f>
        <v>Hank Williams</v>
      </c>
      <c r="E5174" s="4" t="str">
        <f>IFERROR(__xludf.DUMMYFUNCTION("""COMPUTED_VALUE"""),"Jacksonville University")</f>
        <v>Jacksonville University</v>
      </c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</row>
    <row r="5175">
      <c r="A5175" s="4">
        <f>IFERROR(__xludf.DUMMYFUNCTION("""COMPUTED_VALUE"""),101.0)</f>
        <v>101</v>
      </c>
      <c r="B5175" s="4">
        <f>IFERROR(__xludf.DUMMYFUNCTION("""COMPUTED_VALUE"""),101.0)</f>
        <v>101</v>
      </c>
      <c r="C5175" s="4" t="str">
        <f>IFERROR(__xludf.DUMMYFUNCTION("""COMPUTED_VALUE"""),"HOU")</f>
        <v>HOU</v>
      </c>
      <c r="D5175" s="4" t="str">
        <f>IFERROR(__xludf.DUMMYFUNCTION("""COMPUTED_VALUE"""),"William Johnson")</f>
        <v>William Johnson</v>
      </c>
      <c r="E5175" s="4" t="str">
        <f>IFERROR(__xludf.DUMMYFUNCTION("""COMPUTED_VALUE"""),"Texas Tech")</f>
        <v>Texas Tech</v>
      </c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</row>
    <row r="5176">
      <c r="A5176" s="4">
        <f>IFERROR(__xludf.DUMMYFUNCTION("""COMPUTED_VALUE"""),102.0)</f>
        <v>102</v>
      </c>
      <c r="B5176" s="4">
        <f>IFERROR(__xludf.DUMMYFUNCTION("""COMPUTED_VALUE"""),102.0)</f>
        <v>102</v>
      </c>
      <c r="C5176" s="4" t="str">
        <f>IFERROR(__xludf.DUMMYFUNCTION("""COMPUTED_VALUE"""),"SEA")</f>
        <v>SEA</v>
      </c>
      <c r="D5176" s="4" t="str">
        <f>IFERROR(__xludf.DUMMYFUNCTION("""COMPUTED_VALUE"""),"Larry Smith")</f>
        <v>Larry Smith</v>
      </c>
      <c r="E5176" s="4" t="str">
        <f>IFERROR(__xludf.DUMMYFUNCTION("""COMPUTED_VALUE"""),"North Carolina A&amp;T")</f>
        <v>North Carolina A&amp;T</v>
      </c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</row>
    <row r="5177">
      <c r="A5177" s="4">
        <f>IFERROR(__xludf.DUMMYFUNCTION("""COMPUTED_VALUE"""),103.0)</f>
        <v>103</v>
      </c>
      <c r="B5177" s="4">
        <f>IFERROR(__xludf.DUMMYFUNCTION("""COMPUTED_VALUE"""),103.0)</f>
        <v>103</v>
      </c>
      <c r="C5177" s="4" t="str">
        <f>IFERROR(__xludf.DUMMYFUNCTION("""COMPUTED_VALUE"""),"KCK")</f>
        <v>KCK</v>
      </c>
      <c r="D5177" s="4" t="str">
        <f>IFERROR(__xludf.DUMMYFUNCTION("""COMPUTED_VALUE"""),"Clint Chapman")</f>
        <v>Clint Chapman</v>
      </c>
      <c r="E5177" s="4" t="str">
        <f>IFERROR(__xludf.DUMMYFUNCTION("""COMPUTED_VALUE"""),"USC")</f>
        <v>USC</v>
      </c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</row>
    <row r="5178">
      <c r="A5178" s="4">
        <f>IFERROR(__xludf.DUMMYFUNCTION("""COMPUTED_VALUE"""),104.0)</f>
        <v>104</v>
      </c>
      <c r="B5178" s="4">
        <f>IFERROR(__xludf.DUMMYFUNCTION("""COMPUTED_VALUE"""),104.0)</f>
        <v>104</v>
      </c>
      <c r="C5178" s="4" t="str">
        <f>IFERROR(__xludf.DUMMYFUNCTION("""COMPUTED_VALUE"""),"CHI")</f>
        <v>CHI</v>
      </c>
      <c r="D5178" s="4" t="str">
        <f>IFERROR(__xludf.DUMMYFUNCTION("""COMPUTED_VALUE"""),"Bill Andreas")</f>
        <v>Bill Andreas</v>
      </c>
      <c r="E5178" s="4" t="str">
        <f>IFERROR(__xludf.DUMMYFUNCTION("""COMPUTED_VALUE"""),"Ohio State")</f>
        <v>Ohio State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</row>
    <row r="5179">
      <c r="A5179" s="4">
        <f>IFERROR(__xludf.DUMMYFUNCTION("""COMPUTED_VALUE"""),105.0)</f>
        <v>105</v>
      </c>
      <c r="B5179" s="4">
        <f>IFERROR(__xludf.DUMMYFUNCTION("""COMPUTED_VALUE"""),105.0)</f>
        <v>105</v>
      </c>
      <c r="C5179" s="4" t="str">
        <f>IFERROR(__xludf.DUMMYFUNCTION("""COMPUTED_VALUE"""),"GSW")</f>
        <v>GSW</v>
      </c>
      <c r="D5179" s="4" t="str">
        <f>IFERROR(__xludf.DUMMYFUNCTION("""COMPUTED_VALUE"""),"Tony Styles")</f>
        <v>Tony Styles</v>
      </c>
      <c r="E5179" s="4" t="str">
        <f>IFERROR(__xludf.DUMMYFUNCTION("""COMPUTED_VALUE"""),"San Francisco")</f>
        <v>San Francisco</v>
      </c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</row>
    <row r="5180">
      <c r="A5180" s="4">
        <f>IFERROR(__xludf.DUMMYFUNCTION("""COMPUTED_VALUE"""),106.0)</f>
        <v>106</v>
      </c>
      <c r="B5180" s="4">
        <f>IFERROR(__xludf.DUMMYFUNCTION("""COMPUTED_VALUE"""),106.0)</f>
        <v>106</v>
      </c>
      <c r="C5180" s="4" t="str">
        <f>IFERROR(__xludf.DUMMYFUNCTION("""COMPUTED_VALUE"""),"BUF")</f>
        <v>BUF</v>
      </c>
      <c r="D5180" s="4" t="str">
        <f>IFERROR(__xludf.DUMMYFUNCTION("""COMPUTED_VALUE"""),"George Jackson")</f>
        <v>George Jackson</v>
      </c>
      <c r="E5180" s="4" t="str">
        <f>IFERROR(__xludf.DUMMYFUNCTION("""COMPUTED_VALUE"""),"UNC Charlotte")</f>
        <v>UNC Charlotte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</row>
    <row r="5181">
      <c r="A5181" s="4">
        <f>IFERROR(__xludf.DUMMYFUNCTION("""COMPUTED_VALUE"""),107.0)</f>
        <v>107</v>
      </c>
      <c r="B5181" s="4">
        <f>IFERROR(__xludf.DUMMYFUNCTION("""COMPUTED_VALUE"""),107.0)</f>
        <v>107</v>
      </c>
      <c r="C5181" s="4" t="str">
        <f>IFERROR(__xludf.DUMMYFUNCTION("""COMPUTED_VALUE"""),"WSB")</f>
        <v>WSB</v>
      </c>
      <c r="D5181" s="4" t="str">
        <f>IFERROR(__xludf.DUMMYFUNCTION("""COMPUTED_VALUE"""),"John Garrett")</f>
        <v>John Garrett</v>
      </c>
      <c r="E5181" s="4" t="str">
        <f>IFERROR(__xludf.DUMMYFUNCTION("""COMPUTED_VALUE"""),"Purdue")</f>
        <v>Purdue</v>
      </c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</row>
    <row r="5182">
      <c r="A5182" s="4">
        <f>IFERROR(__xludf.DUMMYFUNCTION("""COMPUTED_VALUE"""),108.0)</f>
        <v>108</v>
      </c>
      <c r="B5182" s="4">
        <f>IFERROR(__xludf.DUMMYFUNCTION("""COMPUTED_VALUE"""),108.0)</f>
        <v>108</v>
      </c>
      <c r="C5182" s="4" t="str">
        <f>IFERROR(__xludf.DUMMYFUNCTION("""COMPUTED_VALUE"""),"BOS")</f>
        <v>BOS</v>
      </c>
      <c r="D5182" s="4" t="str">
        <f>IFERROR(__xludf.DUMMYFUNCTION("""COMPUTED_VALUE"""),"Rick Coleman")</f>
        <v>Rick Coleman</v>
      </c>
      <c r="E5182" s="4" t="str">
        <f>IFERROR(__xludf.DUMMYFUNCTION("""COMPUTED_VALUE"""),"Jacksonville University")</f>
        <v>Jacksonville University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</row>
    <row r="5183">
      <c r="A5183" s="4"/>
      <c r="B5183" s="4"/>
      <c r="C5183" s="4"/>
      <c r="D5183" s="4" t="str">
        <f>IFERROR(__xludf.DUMMYFUNCTION("""COMPUTED_VALUE"""),"Round 7")</f>
        <v>Round 7</v>
      </c>
      <c r="E5183" s="4"/>
      <c r="F5183" s="4"/>
      <c r="G5183" s="4" t="str">
        <f>IFERROR(__xludf.DUMMYFUNCTION("""COMPUTED_VALUE"""),"Totals")</f>
        <v>Totals</v>
      </c>
      <c r="H5183" s="4"/>
      <c r="I5183" s="4"/>
      <c r="J5183" s="4"/>
      <c r="K5183" s="4"/>
      <c r="L5183" s="4" t="str">
        <f>IFERROR(__xludf.DUMMYFUNCTION("""COMPUTED_VALUE"""),"Shooting")</f>
        <v>Shooting</v>
      </c>
      <c r="M5183" s="4"/>
      <c r="N5183" s="4"/>
      <c r="O5183" s="4" t="str">
        <f>IFERROR(__xludf.DUMMYFUNCTION("""COMPUTED_VALUE"""),"Per Game")</f>
        <v>Per Game</v>
      </c>
      <c r="P5183" s="4"/>
      <c r="Q5183" s="4"/>
      <c r="R5183" s="4"/>
      <c r="S5183" s="4" t="str">
        <f>IFERROR(__xludf.DUMMYFUNCTION("""COMPUTED_VALUE"""),"Advanced")</f>
        <v>Advanced</v>
      </c>
      <c r="T5183" s="4"/>
      <c r="U5183" s="4"/>
      <c r="V5183" s="4"/>
    </row>
    <row r="5184">
      <c r="A5184" s="4" t="str">
        <f>IFERROR(__xludf.DUMMYFUNCTION("""COMPUTED_VALUE"""),"Rk")</f>
        <v>Rk</v>
      </c>
      <c r="B5184" s="4" t="str">
        <f>IFERROR(__xludf.DUMMYFUNCTION("""COMPUTED_VALUE"""),"Pk")</f>
        <v>Pk</v>
      </c>
      <c r="C5184" s="4" t="str">
        <f>IFERROR(__xludf.DUMMYFUNCTION("""COMPUTED_VALUE"""),"Tm")</f>
        <v>Tm</v>
      </c>
      <c r="D5184" s="4" t="str">
        <f>IFERROR(__xludf.DUMMYFUNCTION("""COMPUTED_VALUE"""),"Player")</f>
        <v>Player</v>
      </c>
      <c r="E5184" s="4" t="str">
        <f>IFERROR(__xludf.DUMMYFUNCTION("""COMPUTED_VALUE"""),"College")</f>
        <v>College</v>
      </c>
      <c r="F5184" s="4" t="str">
        <f>IFERROR(__xludf.DUMMYFUNCTION("""COMPUTED_VALUE"""),"Yrs")</f>
        <v>Yrs</v>
      </c>
      <c r="G5184" s="4" t="str">
        <f>IFERROR(__xludf.DUMMYFUNCTION("""COMPUTED_VALUE"""),"G")</f>
        <v>G</v>
      </c>
      <c r="H5184" s="4" t="str">
        <f>IFERROR(__xludf.DUMMYFUNCTION("""COMPUTED_VALUE"""),"MP")</f>
        <v>MP</v>
      </c>
      <c r="I5184" s="4" t="str">
        <f>IFERROR(__xludf.DUMMYFUNCTION("""COMPUTED_VALUE"""),"PTS")</f>
        <v>PTS</v>
      </c>
      <c r="J5184" s="4" t="str">
        <f>IFERROR(__xludf.DUMMYFUNCTION("""COMPUTED_VALUE"""),"TRB")</f>
        <v>TRB</v>
      </c>
      <c r="K5184" s="4" t="str">
        <f>IFERROR(__xludf.DUMMYFUNCTION("""COMPUTED_VALUE"""),"AST")</f>
        <v>AST</v>
      </c>
      <c r="L5184" s="4" t="str">
        <f>IFERROR(__xludf.DUMMYFUNCTION("""COMPUTED_VALUE"""),"FG%")</f>
        <v>FG%</v>
      </c>
      <c r="M5184" s="4" t="str">
        <f>IFERROR(__xludf.DUMMYFUNCTION("""COMPUTED_VALUE"""),"3P%")</f>
        <v>3P%</v>
      </c>
      <c r="N5184" s="4" t="str">
        <f>IFERROR(__xludf.DUMMYFUNCTION("""COMPUTED_VALUE"""),"FT%")</f>
        <v>FT%</v>
      </c>
      <c r="O5184" s="4" t="str">
        <f>IFERROR(__xludf.DUMMYFUNCTION("""COMPUTED_VALUE"""),"MP")</f>
        <v>MP</v>
      </c>
      <c r="P5184" s="4" t="str">
        <f>IFERROR(__xludf.DUMMYFUNCTION("""COMPUTED_VALUE"""),"PTS")</f>
        <v>PTS</v>
      </c>
      <c r="Q5184" s="4" t="str">
        <f>IFERROR(__xludf.DUMMYFUNCTION("""COMPUTED_VALUE"""),"TRB")</f>
        <v>TRB</v>
      </c>
      <c r="R5184" s="4" t="str">
        <f>IFERROR(__xludf.DUMMYFUNCTION("""COMPUTED_VALUE"""),"AST")</f>
        <v>AST</v>
      </c>
      <c r="S5184" s="4" t="str">
        <f>IFERROR(__xludf.DUMMYFUNCTION("""COMPUTED_VALUE"""),"WS")</f>
        <v>WS</v>
      </c>
      <c r="T5184" s="4" t="str">
        <f>IFERROR(__xludf.DUMMYFUNCTION("""COMPUTED_VALUE"""),"WS/48")</f>
        <v>WS/48</v>
      </c>
      <c r="U5184" s="4" t="str">
        <f>IFERROR(__xludf.DUMMYFUNCTION("""COMPUTED_VALUE"""),"BPM")</f>
        <v>BPM</v>
      </c>
      <c r="V5184" s="4" t="str">
        <f>IFERROR(__xludf.DUMMYFUNCTION("""COMPUTED_VALUE"""),"VORP")</f>
        <v>VORP</v>
      </c>
    </row>
    <row r="5185">
      <c r="A5185" s="4">
        <f>IFERROR(__xludf.DUMMYFUNCTION("""COMPUTED_VALUE"""),109.0)</f>
        <v>109</v>
      </c>
      <c r="B5185" s="4">
        <f>IFERROR(__xludf.DUMMYFUNCTION("""COMPUTED_VALUE"""),109.0)</f>
        <v>109</v>
      </c>
      <c r="C5185" s="4" t="str">
        <f>IFERROR(__xludf.DUMMYFUNCTION("""COMPUTED_VALUE"""),"NOJ")</f>
        <v>NOJ</v>
      </c>
      <c r="D5185" s="4" t="str">
        <f>IFERROR(__xludf.DUMMYFUNCTION("""COMPUTED_VALUE"""),"Bill Higgins")</f>
        <v>Bill Higgins</v>
      </c>
      <c r="E5185" s="4" t="str">
        <f>IFERROR(__xludf.DUMMYFUNCTION("""COMPUTED_VALUE"""),"Ashland University")</f>
        <v>Ashland University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</row>
    <row r="5186">
      <c r="A5186" s="4">
        <f>IFERROR(__xludf.DUMMYFUNCTION("""COMPUTED_VALUE"""),110.0)</f>
        <v>110</v>
      </c>
      <c r="B5186" s="4">
        <f>IFERROR(__xludf.DUMMYFUNCTION("""COMPUTED_VALUE"""),110.0)</f>
        <v>110</v>
      </c>
      <c r="C5186" s="4" t="str">
        <f>IFERROR(__xludf.DUMMYFUNCTION("""COMPUTED_VALUE"""),"LAL")</f>
        <v>LAL</v>
      </c>
      <c r="D5186" s="4" t="str">
        <f>IFERROR(__xludf.DUMMYFUNCTION("""COMPUTED_VALUE"""),"Rick Suttle")</f>
        <v>Rick Suttle</v>
      </c>
      <c r="E5186" s="4" t="str">
        <f>IFERROR(__xludf.DUMMYFUNCTION("""COMPUTED_VALUE"""),"Kansas")</f>
        <v>Kansas</v>
      </c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</row>
    <row r="5187">
      <c r="A5187" s="4">
        <f>IFERROR(__xludf.DUMMYFUNCTION("""COMPUTED_VALUE"""),111.0)</f>
        <v>111</v>
      </c>
      <c r="B5187" s="4">
        <f>IFERROR(__xludf.DUMMYFUNCTION("""COMPUTED_VALUE"""),111.0)</f>
        <v>111</v>
      </c>
      <c r="C5187" s="4" t="str">
        <f>IFERROR(__xludf.DUMMYFUNCTION("""COMPUTED_VALUE"""),"ATL")</f>
        <v>ATL</v>
      </c>
      <c r="D5187" s="4" t="str">
        <f>IFERROR(__xludf.DUMMYFUNCTION("""COMPUTED_VALUE"""),"Gus Johnson")</f>
        <v>Gus Johnson</v>
      </c>
      <c r="E5187" s="4" t="str">
        <f>IFERROR(__xludf.DUMMYFUNCTION("""COMPUTED_VALUE"""),"Winona State University")</f>
        <v>Winona State University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</row>
    <row r="5188">
      <c r="A5188" s="4">
        <f>IFERROR(__xludf.DUMMYFUNCTION("""COMPUTED_VALUE"""),112.0)</f>
        <v>112</v>
      </c>
      <c r="B5188" s="4">
        <f>IFERROR(__xludf.DUMMYFUNCTION("""COMPUTED_VALUE"""),112.0)</f>
        <v>112</v>
      </c>
      <c r="C5188" s="4" t="str">
        <f>IFERROR(__xludf.DUMMYFUNCTION("""COMPUTED_VALUE"""),"PHO")</f>
        <v>PHO</v>
      </c>
      <c r="D5188" s="4" t="str">
        <f>IFERROR(__xludf.DUMMYFUNCTION("""COMPUTED_VALUE"""),"Dave Edmonds")</f>
        <v>Dave Edmonds</v>
      </c>
      <c r="E5188" s="4" t="str">
        <f>IFERROR(__xludf.DUMMYFUNCTION("""COMPUTED_VALUE"""),"West Georgia")</f>
        <v>West Georgia</v>
      </c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</row>
    <row r="5189">
      <c r="A5189" s="4">
        <f>IFERROR(__xludf.DUMMYFUNCTION("""COMPUTED_VALUE"""),113.0)</f>
        <v>113</v>
      </c>
      <c r="B5189" s="4">
        <f>IFERROR(__xludf.DUMMYFUNCTION("""COMPUTED_VALUE"""),113.0)</f>
        <v>113</v>
      </c>
      <c r="C5189" s="4" t="str">
        <f>IFERROR(__xludf.DUMMYFUNCTION("""COMPUTED_VALUE"""),"PHI")</f>
        <v>PHI</v>
      </c>
      <c r="D5189" s="4" t="str">
        <f>IFERROR(__xludf.DUMMYFUNCTION("""COMPUTED_VALUE"""),"Mike Flynn")</f>
        <v>Mike Flynn</v>
      </c>
      <c r="E5189" s="4" t="str">
        <f>IFERROR(__xludf.DUMMYFUNCTION("""COMPUTED_VALUE"""),"Kentucky")</f>
        <v>Kentucky</v>
      </c>
      <c r="F5189" s="4">
        <f>IFERROR(__xludf.DUMMYFUNCTION("""COMPUTED_VALUE"""),2.0)</f>
        <v>2</v>
      </c>
      <c r="G5189" s="4">
        <f>IFERROR(__xludf.DUMMYFUNCTION("""COMPUTED_VALUE"""),144.0)</f>
        <v>144</v>
      </c>
      <c r="H5189" s="4">
        <f>IFERROR(__xludf.DUMMYFUNCTION("""COMPUTED_VALUE"""),2279.0)</f>
        <v>2279</v>
      </c>
      <c r="I5189" s="4">
        <f>IFERROR(__xludf.DUMMYFUNCTION("""COMPUTED_VALUE"""),896.0)</f>
        <v>896</v>
      </c>
      <c r="J5189" s="4">
        <f>IFERROR(__xludf.DUMMYFUNCTION("""COMPUTED_VALUE"""),304.0)</f>
        <v>304</v>
      </c>
      <c r="K5189" s="4">
        <f>IFERROR(__xludf.DUMMYFUNCTION("""COMPUTED_VALUE"""),321.0)</f>
        <v>321</v>
      </c>
      <c r="L5189" s="4">
        <f>IFERROR(__xludf.DUMMYFUNCTION("""COMPUTED_VALUE"""),0.44)</f>
        <v>0.44</v>
      </c>
      <c r="M5189" s="4"/>
      <c r="N5189" s="4">
        <f>IFERROR(__xludf.DUMMYFUNCTION("""COMPUTED_VALUE"""),0.653)</f>
        <v>0.653</v>
      </c>
      <c r="O5189" s="4">
        <f>IFERROR(__xludf.DUMMYFUNCTION("""COMPUTED_VALUE"""),15.8)</f>
        <v>15.8</v>
      </c>
      <c r="P5189" s="4">
        <f>IFERROR(__xludf.DUMMYFUNCTION("""COMPUTED_VALUE"""),6.2)</f>
        <v>6.2</v>
      </c>
      <c r="Q5189" s="4">
        <f>IFERROR(__xludf.DUMMYFUNCTION("""COMPUTED_VALUE"""),2.1)</f>
        <v>2.1</v>
      </c>
      <c r="R5189" s="4">
        <f>IFERROR(__xludf.DUMMYFUNCTION("""COMPUTED_VALUE"""),2.2)</f>
        <v>2.2</v>
      </c>
      <c r="S5189" s="4">
        <f>IFERROR(__xludf.DUMMYFUNCTION("""COMPUTED_VALUE"""),2.6)</f>
        <v>2.6</v>
      </c>
      <c r="T5189" s="4">
        <f>IFERROR(__xludf.DUMMYFUNCTION("""COMPUTED_VALUE"""),0.054)</f>
        <v>0.054</v>
      </c>
      <c r="U5189" s="4">
        <f>IFERROR(__xludf.DUMMYFUNCTION("""COMPUTED_VALUE"""),-0.9)</f>
        <v>-0.9</v>
      </c>
      <c r="V5189" s="4">
        <f>IFERROR(__xludf.DUMMYFUNCTION("""COMPUTED_VALUE"""),0.6)</f>
        <v>0.6</v>
      </c>
    </row>
    <row r="5190">
      <c r="A5190" s="4">
        <f>IFERROR(__xludf.DUMMYFUNCTION("""COMPUTED_VALUE"""),114.0)</f>
        <v>114</v>
      </c>
      <c r="B5190" s="4">
        <f>IFERROR(__xludf.DUMMYFUNCTION("""COMPUTED_VALUE"""),114.0)</f>
        <v>114</v>
      </c>
      <c r="C5190" s="4" t="str">
        <f>IFERROR(__xludf.DUMMYFUNCTION("""COMPUTED_VALUE"""),"POR")</f>
        <v>POR</v>
      </c>
      <c r="D5190" s="4" t="str">
        <f>IFERROR(__xludf.DUMMYFUNCTION("""COMPUTED_VALUE"""),"Steve Fields")</f>
        <v>Steve Fields</v>
      </c>
      <c r="E5190" s="4" t="str">
        <f>IFERROR(__xludf.DUMMYFUNCTION("""COMPUTED_VALUE"""),"Miami University")</f>
        <v>Miami University</v>
      </c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</row>
    <row r="5191">
      <c r="A5191" s="4">
        <f>IFERROR(__xludf.DUMMYFUNCTION("""COMPUTED_VALUE"""),115.0)</f>
        <v>115</v>
      </c>
      <c r="B5191" s="4">
        <f>IFERROR(__xludf.DUMMYFUNCTION("""COMPUTED_VALUE"""),115.0)</f>
        <v>115</v>
      </c>
      <c r="C5191" s="4" t="str">
        <f>IFERROR(__xludf.DUMMYFUNCTION("""COMPUTED_VALUE"""),"MIL")</f>
        <v>MIL</v>
      </c>
      <c r="D5191" s="4" t="str">
        <f>IFERROR(__xludf.DUMMYFUNCTION("""COMPUTED_VALUE"""),"Wilbur Thomas")</f>
        <v>Wilbur Thomas</v>
      </c>
      <c r="E5191" s="4" t="str">
        <f>IFERROR(__xludf.DUMMYFUNCTION("""COMPUTED_VALUE"""),"American University")</f>
        <v>American University</v>
      </c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</row>
    <row r="5192">
      <c r="A5192" s="4">
        <f>IFERROR(__xludf.DUMMYFUNCTION("""COMPUTED_VALUE"""),116.0)</f>
        <v>116</v>
      </c>
      <c r="B5192" s="4">
        <f>IFERROR(__xludf.DUMMYFUNCTION("""COMPUTED_VALUE"""),116.0)</f>
        <v>116</v>
      </c>
      <c r="C5192" s="4" t="str">
        <f>IFERROR(__xludf.DUMMYFUNCTION("""COMPUTED_VALUE"""),"CLE")</f>
        <v>CLE</v>
      </c>
      <c r="D5192" s="4" t="str">
        <f>IFERROR(__xludf.DUMMYFUNCTION("""COMPUTED_VALUE"""),"Shawn Leftwich")</f>
        <v>Shawn Leftwich</v>
      </c>
      <c r="E5192" s="4" t="str">
        <f>IFERROR(__xludf.DUMMYFUNCTION("""COMPUTED_VALUE"""),"Jacksonville University")</f>
        <v>Jacksonville University</v>
      </c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</row>
    <row r="5193">
      <c r="A5193" s="4">
        <f>IFERROR(__xludf.DUMMYFUNCTION("""COMPUTED_VALUE"""),117.0)</f>
        <v>117</v>
      </c>
      <c r="B5193" s="4">
        <f>IFERROR(__xludf.DUMMYFUNCTION("""COMPUTED_VALUE"""),117.0)</f>
        <v>117</v>
      </c>
      <c r="C5193" s="4" t="str">
        <f>IFERROR(__xludf.DUMMYFUNCTION("""COMPUTED_VALUE"""),"NYK")</f>
        <v>NYK</v>
      </c>
      <c r="D5193" s="4" t="str">
        <f>IFERROR(__xludf.DUMMYFUNCTION("""COMPUTED_VALUE"""),"Pete Davis")</f>
        <v>Pete Davis</v>
      </c>
      <c r="E5193" s="4" t="str">
        <f>IFERROR(__xludf.DUMMYFUNCTION("""COMPUTED_VALUE"""),"Michigan State")</f>
        <v>Michigan State</v>
      </c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</row>
    <row r="5194">
      <c r="A5194" s="4">
        <f>IFERROR(__xludf.DUMMYFUNCTION("""COMPUTED_VALUE"""),118.0)</f>
        <v>118</v>
      </c>
      <c r="B5194" s="4">
        <f>IFERROR(__xludf.DUMMYFUNCTION("""COMPUTED_VALUE"""),118.0)</f>
        <v>118</v>
      </c>
      <c r="C5194" s="4" t="str">
        <f>IFERROR(__xludf.DUMMYFUNCTION("""COMPUTED_VALUE"""),"DET")</f>
        <v>DET</v>
      </c>
      <c r="D5194" s="4" t="str">
        <f>IFERROR(__xludf.DUMMYFUNCTION("""COMPUTED_VALUE"""),"Ike Williams")</f>
        <v>Ike Williams</v>
      </c>
      <c r="E5194" s="4" t="str">
        <f>IFERROR(__xludf.DUMMYFUNCTION("""COMPUTED_VALUE"""),"Armstrong Atlantic State University")</f>
        <v>Armstrong Atlantic State University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</row>
    <row r="5195">
      <c r="A5195" s="4">
        <f>IFERROR(__xludf.DUMMYFUNCTION("""COMPUTED_VALUE"""),119.0)</f>
        <v>119</v>
      </c>
      <c r="B5195" s="4">
        <f>IFERROR(__xludf.DUMMYFUNCTION("""COMPUTED_VALUE"""),119.0)</f>
        <v>119</v>
      </c>
      <c r="C5195" s="4" t="str">
        <f>IFERROR(__xludf.DUMMYFUNCTION("""COMPUTED_VALUE"""),"HOU")</f>
        <v>HOU</v>
      </c>
      <c r="D5195" s="4" t="str">
        <f>IFERROR(__xludf.DUMMYFUNCTION("""COMPUTED_VALUE"""),"Nate Barnett")</f>
        <v>Nate Barnett</v>
      </c>
      <c r="E5195" s="4" t="str">
        <f>IFERROR(__xludf.DUMMYFUNCTION("""COMPUTED_VALUE"""),"University of Akron")</f>
        <v>University of Akron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</row>
    <row r="5196">
      <c r="A5196" s="4">
        <f>IFERROR(__xludf.DUMMYFUNCTION("""COMPUTED_VALUE"""),120.0)</f>
        <v>120</v>
      </c>
      <c r="B5196" s="4">
        <f>IFERROR(__xludf.DUMMYFUNCTION("""COMPUTED_VALUE"""),120.0)</f>
        <v>120</v>
      </c>
      <c r="C5196" s="4" t="str">
        <f>IFERROR(__xludf.DUMMYFUNCTION("""COMPUTED_VALUE"""),"SEA")</f>
        <v>SEA</v>
      </c>
      <c r="D5196" s="4" t="str">
        <f>IFERROR(__xludf.DUMMYFUNCTION("""COMPUTED_VALUE"""),"Hollis Miller")</f>
        <v>Hollis Miller</v>
      </c>
      <c r="E5196" s="4" t="str">
        <f>IFERROR(__xludf.DUMMYFUNCTION("""COMPUTED_VALUE"""),"Drury University")</f>
        <v>Drury University</v>
      </c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</row>
    <row r="5197">
      <c r="A5197" s="4">
        <f>IFERROR(__xludf.DUMMYFUNCTION("""COMPUTED_VALUE"""),121.0)</f>
        <v>121</v>
      </c>
      <c r="B5197" s="4">
        <f>IFERROR(__xludf.DUMMYFUNCTION("""COMPUTED_VALUE"""),121.0)</f>
        <v>121</v>
      </c>
      <c r="C5197" s="4" t="str">
        <f>IFERROR(__xludf.DUMMYFUNCTION("""COMPUTED_VALUE"""),"KCK")</f>
        <v>KCK</v>
      </c>
      <c r="D5197" s="4" t="str">
        <f>IFERROR(__xludf.DUMMYFUNCTION("""COMPUTED_VALUE"""),"Wayne Croft")</f>
        <v>Wayne Croft</v>
      </c>
      <c r="E5197" s="4" t="str">
        <f>IFERROR(__xludf.DUMMYFUNCTION("""COMPUTED_VALUE"""),"Clemson")</f>
        <v>Clemson</v>
      </c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</row>
    <row r="5198">
      <c r="A5198" s="4">
        <f>IFERROR(__xludf.DUMMYFUNCTION("""COMPUTED_VALUE"""),122.0)</f>
        <v>122</v>
      </c>
      <c r="B5198" s="4">
        <f>IFERROR(__xludf.DUMMYFUNCTION("""COMPUTED_VALUE"""),122.0)</f>
        <v>122</v>
      </c>
      <c r="C5198" s="4" t="str">
        <f>IFERROR(__xludf.DUMMYFUNCTION("""COMPUTED_VALUE"""),"CHI")</f>
        <v>CHI</v>
      </c>
      <c r="D5198" s="4" t="str">
        <f>IFERROR(__xludf.DUMMYFUNCTION("""COMPUTED_VALUE"""),"John Grochowalski")</f>
        <v>John Grochowalski</v>
      </c>
      <c r="E5198" s="4" t="str">
        <f>IFERROR(__xludf.DUMMYFUNCTION("""COMPUTED_VALUE"""),"Assumption College")</f>
        <v>Assumption College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</row>
    <row r="5199">
      <c r="A5199" s="4">
        <f>IFERROR(__xludf.DUMMYFUNCTION("""COMPUTED_VALUE"""),123.0)</f>
        <v>123</v>
      </c>
      <c r="B5199" s="4">
        <f>IFERROR(__xludf.DUMMYFUNCTION("""COMPUTED_VALUE"""),123.0)</f>
        <v>123</v>
      </c>
      <c r="C5199" s="4" t="str">
        <f>IFERROR(__xludf.DUMMYFUNCTION("""COMPUTED_VALUE"""),"GSW")</f>
        <v>GSW</v>
      </c>
      <c r="D5199" s="4" t="str">
        <f>IFERROR(__xludf.DUMMYFUNCTION("""COMPUTED_VALUE"""),"Stan Boyer")</f>
        <v>Stan Boyer</v>
      </c>
      <c r="E5199" s="4" t="str">
        <f>IFERROR(__xludf.DUMMYFUNCTION("""COMPUTED_VALUE"""),"Wyoming")</f>
        <v>Wyoming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</row>
    <row r="5200">
      <c r="A5200" s="4">
        <f>IFERROR(__xludf.DUMMYFUNCTION("""COMPUTED_VALUE"""),124.0)</f>
        <v>124</v>
      </c>
      <c r="B5200" s="4">
        <f>IFERROR(__xludf.DUMMYFUNCTION("""COMPUTED_VALUE"""),124.0)</f>
        <v>124</v>
      </c>
      <c r="C5200" s="4" t="str">
        <f>IFERROR(__xludf.DUMMYFUNCTION("""COMPUTED_VALUE"""),"BUF")</f>
        <v>BUF</v>
      </c>
      <c r="D5200" s="4" t="str">
        <f>IFERROR(__xludf.DUMMYFUNCTION("""COMPUTED_VALUE"""),"Mike Franklin")</f>
        <v>Mike Franklin</v>
      </c>
      <c r="E5200" s="4" t="str">
        <f>IFERROR(__xludf.DUMMYFUNCTION("""COMPUTED_VALUE"""),"Cincinnati")</f>
        <v>Cincinnati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</row>
    <row r="5201">
      <c r="A5201" s="4">
        <f>IFERROR(__xludf.DUMMYFUNCTION("""COMPUTED_VALUE"""),125.0)</f>
        <v>125</v>
      </c>
      <c r="B5201" s="4">
        <f>IFERROR(__xludf.DUMMYFUNCTION("""COMPUTED_VALUE"""),125.0)</f>
        <v>125</v>
      </c>
      <c r="C5201" s="4" t="str">
        <f>IFERROR(__xludf.DUMMYFUNCTION("""COMPUTED_VALUE"""),"BOS")</f>
        <v>BOS</v>
      </c>
      <c r="D5201" s="4" t="str">
        <f>IFERROR(__xludf.DUMMYFUNCTION("""COMPUTED_VALUE"""),"Al Boswell")</f>
        <v>Al Boswell</v>
      </c>
      <c r="E5201" s="4" t="str">
        <f>IFERROR(__xludf.DUMMYFUNCTION("""COMPUTED_VALUE"""),"Oral Roberts")</f>
        <v>Oral Roberts</v>
      </c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</row>
    <row r="5202">
      <c r="A5202" s="4">
        <f>IFERROR(__xludf.DUMMYFUNCTION("""COMPUTED_VALUE"""),126.0)</f>
        <v>126</v>
      </c>
      <c r="B5202" s="4">
        <f>IFERROR(__xludf.DUMMYFUNCTION("""COMPUTED_VALUE"""),126.0)</f>
        <v>126</v>
      </c>
      <c r="C5202" s="4" t="str">
        <f>IFERROR(__xludf.DUMMYFUNCTION("""COMPUTED_VALUE"""),"WSB")</f>
        <v>WSB</v>
      </c>
      <c r="D5202" s="4" t="str">
        <f>IFERROR(__xludf.DUMMYFUNCTION("""COMPUTED_VALUE"""),"Fletcher Johnson")</f>
        <v>Fletcher Johnson</v>
      </c>
      <c r="E5202" s="4" t="str">
        <f>IFERROR(__xludf.DUMMYFUNCTION("""COMPUTED_VALUE"""),"Randolph-Macon College")</f>
        <v>Randolph-Macon College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</row>
    <row r="5203">
      <c r="A5203" s="4"/>
      <c r="B5203" s="4"/>
      <c r="C5203" s="4"/>
      <c r="D5203" s="4" t="str">
        <f>IFERROR(__xludf.DUMMYFUNCTION("""COMPUTED_VALUE"""),"Round 8")</f>
        <v>Round 8</v>
      </c>
      <c r="E5203" s="4"/>
      <c r="F5203" s="4"/>
      <c r="G5203" s="4" t="str">
        <f>IFERROR(__xludf.DUMMYFUNCTION("""COMPUTED_VALUE"""),"Totals")</f>
        <v>Totals</v>
      </c>
      <c r="H5203" s="4"/>
      <c r="I5203" s="4"/>
      <c r="J5203" s="4"/>
      <c r="K5203" s="4"/>
      <c r="L5203" s="4" t="str">
        <f>IFERROR(__xludf.DUMMYFUNCTION("""COMPUTED_VALUE"""),"Shooting")</f>
        <v>Shooting</v>
      </c>
      <c r="M5203" s="4"/>
      <c r="N5203" s="4"/>
      <c r="O5203" s="4" t="str">
        <f>IFERROR(__xludf.DUMMYFUNCTION("""COMPUTED_VALUE"""),"Per Game")</f>
        <v>Per Game</v>
      </c>
      <c r="P5203" s="4"/>
      <c r="Q5203" s="4"/>
      <c r="R5203" s="4"/>
      <c r="S5203" s="4" t="str">
        <f>IFERROR(__xludf.DUMMYFUNCTION("""COMPUTED_VALUE"""),"Advanced")</f>
        <v>Advanced</v>
      </c>
      <c r="T5203" s="4"/>
      <c r="U5203" s="4"/>
      <c r="V5203" s="4"/>
    </row>
    <row r="5204">
      <c r="A5204" s="4" t="str">
        <f>IFERROR(__xludf.DUMMYFUNCTION("""COMPUTED_VALUE"""),"Rk")</f>
        <v>Rk</v>
      </c>
      <c r="B5204" s="4" t="str">
        <f>IFERROR(__xludf.DUMMYFUNCTION("""COMPUTED_VALUE"""),"Pk")</f>
        <v>Pk</v>
      </c>
      <c r="C5204" s="4" t="str">
        <f>IFERROR(__xludf.DUMMYFUNCTION("""COMPUTED_VALUE"""),"Tm")</f>
        <v>Tm</v>
      </c>
      <c r="D5204" s="4" t="str">
        <f>IFERROR(__xludf.DUMMYFUNCTION("""COMPUTED_VALUE"""),"Player")</f>
        <v>Player</v>
      </c>
      <c r="E5204" s="4" t="str">
        <f>IFERROR(__xludf.DUMMYFUNCTION("""COMPUTED_VALUE"""),"College")</f>
        <v>College</v>
      </c>
      <c r="F5204" s="4" t="str">
        <f>IFERROR(__xludf.DUMMYFUNCTION("""COMPUTED_VALUE"""),"Yrs")</f>
        <v>Yrs</v>
      </c>
      <c r="G5204" s="4" t="str">
        <f>IFERROR(__xludf.DUMMYFUNCTION("""COMPUTED_VALUE"""),"G")</f>
        <v>G</v>
      </c>
      <c r="H5204" s="4" t="str">
        <f>IFERROR(__xludf.DUMMYFUNCTION("""COMPUTED_VALUE"""),"MP")</f>
        <v>MP</v>
      </c>
      <c r="I5204" s="4" t="str">
        <f>IFERROR(__xludf.DUMMYFUNCTION("""COMPUTED_VALUE"""),"PTS")</f>
        <v>PTS</v>
      </c>
      <c r="J5204" s="4" t="str">
        <f>IFERROR(__xludf.DUMMYFUNCTION("""COMPUTED_VALUE"""),"TRB")</f>
        <v>TRB</v>
      </c>
      <c r="K5204" s="4" t="str">
        <f>IFERROR(__xludf.DUMMYFUNCTION("""COMPUTED_VALUE"""),"AST")</f>
        <v>AST</v>
      </c>
      <c r="L5204" s="4" t="str">
        <f>IFERROR(__xludf.DUMMYFUNCTION("""COMPUTED_VALUE"""),"FG%")</f>
        <v>FG%</v>
      </c>
      <c r="M5204" s="4" t="str">
        <f>IFERROR(__xludf.DUMMYFUNCTION("""COMPUTED_VALUE"""),"3P%")</f>
        <v>3P%</v>
      </c>
      <c r="N5204" s="4" t="str">
        <f>IFERROR(__xludf.DUMMYFUNCTION("""COMPUTED_VALUE"""),"FT%")</f>
        <v>FT%</v>
      </c>
      <c r="O5204" s="4" t="str">
        <f>IFERROR(__xludf.DUMMYFUNCTION("""COMPUTED_VALUE"""),"MP")</f>
        <v>MP</v>
      </c>
      <c r="P5204" s="4" t="str">
        <f>IFERROR(__xludf.DUMMYFUNCTION("""COMPUTED_VALUE"""),"PTS")</f>
        <v>PTS</v>
      </c>
      <c r="Q5204" s="4" t="str">
        <f>IFERROR(__xludf.DUMMYFUNCTION("""COMPUTED_VALUE"""),"TRB")</f>
        <v>TRB</v>
      </c>
      <c r="R5204" s="4" t="str">
        <f>IFERROR(__xludf.DUMMYFUNCTION("""COMPUTED_VALUE"""),"AST")</f>
        <v>AST</v>
      </c>
      <c r="S5204" s="4" t="str">
        <f>IFERROR(__xludf.DUMMYFUNCTION("""COMPUTED_VALUE"""),"WS")</f>
        <v>WS</v>
      </c>
      <c r="T5204" s="4" t="str">
        <f>IFERROR(__xludf.DUMMYFUNCTION("""COMPUTED_VALUE"""),"WS/48")</f>
        <v>WS/48</v>
      </c>
      <c r="U5204" s="4" t="str">
        <f>IFERROR(__xludf.DUMMYFUNCTION("""COMPUTED_VALUE"""),"BPM")</f>
        <v>BPM</v>
      </c>
      <c r="V5204" s="4" t="str">
        <f>IFERROR(__xludf.DUMMYFUNCTION("""COMPUTED_VALUE"""),"VORP")</f>
        <v>VORP</v>
      </c>
    </row>
    <row r="5205">
      <c r="A5205" s="4">
        <f>IFERROR(__xludf.DUMMYFUNCTION("""COMPUTED_VALUE"""),127.0)</f>
        <v>127</v>
      </c>
      <c r="B5205" s="4">
        <f>IFERROR(__xludf.DUMMYFUNCTION("""COMPUTED_VALUE"""),127.0)</f>
        <v>127</v>
      </c>
      <c r="C5205" s="4" t="str">
        <f>IFERROR(__xludf.DUMMYFUNCTION("""COMPUTED_VALUE"""),"NOJ")</f>
        <v>NOJ</v>
      </c>
      <c r="D5205" s="4" t="str">
        <f>IFERROR(__xludf.DUMMYFUNCTION("""COMPUTED_VALUE"""),"Harvey Carmichael")</f>
        <v>Harvey Carmichael</v>
      </c>
      <c r="E5205" s="4" t="str">
        <f>IFERROR(__xludf.DUMMYFUNCTION("""COMPUTED_VALUE"""),"Kentucky State University")</f>
        <v>Kentucky State University</v>
      </c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</row>
    <row r="5206">
      <c r="A5206" s="4">
        <f>IFERROR(__xludf.DUMMYFUNCTION("""COMPUTED_VALUE"""),128.0)</f>
        <v>128</v>
      </c>
      <c r="B5206" s="4">
        <f>IFERROR(__xludf.DUMMYFUNCTION("""COMPUTED_VALUE"""),128.0)</f>
        <v>128</v>
      </c>
      <c r="C5206" s="4" t="str">
        <f>IFERROR(__xludf.DUMMYFUNCTION("""COMPUTED_VALUE"""),"LAL")</f>
        <v>LAL</v>
      </c>
      <c r="D5206" s="4" t="str">
        <f>IFERROR(__xludf.DUMMYFUNCTION("""COMPUTED_VALUE"""),"Mike Cashman")</f>
        <v>Mike Cashman</v>
      </c>
      <c r="E5206" s="4" t="str">
        <f>IFERROR(__xludf.DUMMYFUNCTION("""COMPUTED_VALUE"""),"Willamette University")</f>
        <v>Willamette University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</row>
    <row r="5207">
      <c r="A5207" s="4">
        <f>IFERROR(__xludf.DUMMYFUNCTION("""COMPUTED_VALUE"""),129.0)</f>
        <v>129</v>
      </c>
      <c r="B5207" s="4">
        <f>IFERROR(__xludf.DUMMYFUNCTION("""COMPUTED_VALUE"""),129.0)</f>
        <v>129</v>
      </c>
      <c r="C5207" s="4" t="str">
        <f>IFERROR(__xludf.DUMMYFUNCTION("""COMPUTED_VALUE"""),"ATL")</f>
        <v>ATL</v>
      </c>
      <c r="D5207" s="4" t="str">
        <f>IFERROR(__xludf.DUMMYFUNCTION("""COMPUTED_VALUE"""),"Oscar Jackson")</f>
        <v>Oscar Jackson</v>
      </c>
      <c r="E5207" s="4" t="str">
        <f>IFERROR(__xludf.DUMMYFUNCTION("""COMPUTED_VALUE"""),"Duquesne")</f>
        <v>Duquesne</v>
      </c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</row>
    <row r="5208">
      <c r="A5208" s="4">
        <f>IFERROR(__xludf.DUMMYFUNCTION("""COMPUTED_VALUE"""),130.0)</f>
        <v>130</v>
      </c>
      <c r="B5208" s="4">
        <f>IFERROR(__xludf.DUMMYFUNCTION("""COMPUTED_VALUE"""),130.0)</f>
        <v>130</v>
      </c>
      <c r="C5208" s="4" t="str">
        <f>IFERROR(__xludf.DUMMYFUNCTION("""COMPUTED_VALUE"""),"PHO")</f>
        <v>PHO</v>
      </c>
      <c r="D5208" s="4" t="str">
        <f>IFERROR(__xludf.DUMMYFUNCTION("""COMPUTED_VALUE"""),"Jack Schrader")</f>
        <v>Jack Schrader</v>
      </c>
      <c r="E5208" s="4" t="str">
        <f>IFERROR(__xludf.DUMMYFUNCTION("""COMPUTED_VALUE"""),"Arizona State")</f>
        <v>Arizona State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</row>
    <row r="5209">
      <c r="A5209" s="4">
        <f>IFERROR(__xludf.DUMMYFUNCTION("""COMPUTED_VALUE"""),131.0)</f>
        <v>131</v>
      </c>
      <c r="B5209" s="4">
        <f>IFERROR(__xludf.DUMMYFUNCTION("""COMPUTED_VALUE"""),131.0)</f>
        <v>131</v>
      </c>
      <c r="C5209" s="4" t="str">
        <f>IFERROR(__xludf.DUMMYFUNCTION("""COMPUTED_VALUE"""),"PHI")</f>
        <v>PHI</v>
      </c>
      <c r="D5209" s="4" t="str">
        <f>IFERROR(__xludf.DUMMYFUNCTION("""COMPUTED_VALUE"""),"Freeman Blade")</f>
        <v>Freeman Blade</v>
      </c>
      <c r="E5209" s="4" t="str">
        <f>IFERROR(__xludf.DUMMYFUNCTION("""COMPUTED_VALUE"""),"Montana State University, Billings")</f>
        <v>Montana State University, Billings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</row>
    <row r="5210">
      <c r="A5210" s="4">
        <f>IFERROR(__xludf.DUMMYFUNCTION("""COMPUTED_VALUE"""),132.0)</f>
        <v>132</v>
      </c>
      <c r="B5210" s="4">
        <f>IFERROR(__xludf.DUMMYFUNCTION("""COMPUTED_VALUE"""),132.0)</f>
        <v>132</v>
      </c>
      <c r="C5210" s="4" t="str">
        <f>IFERROR(__xludf.DUMMYFUNCTION("""COMPUTED_VALUE"""),"MIL")</f>
        <v>MIL</v>
      </c>
      <c r="D5210" s="4" t="str">
        <f>IFERROR(__xludf.DUMMYFUNCTION("""COMPUTED_VALUE"""),"Bob McCurdy")</f>
        <v>Bob McCurdy</v>
      </c>
      <c r="E5210" s="4" t="str">
        <f>IFERROR(__xludf.DUMMYFUNCTION("""COMPUTED_VALUE"""),"Richmond")</f>
        <v>Richmond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</row>
    <row r="5211">
      <c r="A5211" s="4">
        <f>IFERROR(__xludf.DUMMYFUNCTION("""COMPUTED_VALUE"""),133.0)</f>
        <v>133</v>
      </c>
      <c r="B5211" s="4">
        <f>IFERROR(__xludf.DUMMYFUNCTION("""COMPUTED_VALUE"""),133.0)</f>
        <v>133</v>
      </c>
      <c r="C5211" s="4" t="str">
        <f>IFERROR(__xludf.DUMMYFUNCTION("""COMPUTED_VALUE"""),"POR")</f>
        <v>POR</v>
      </c>
      <c r="D5211" s="4" t="str">
        <f>IFERROR(__xludf.DUMMYFUNCTION("""COMPUTED_VALUE"""),"Charlie Neal")</f>
        <v>Charlie Neal</v>
      </c>
      <c r="E5211" s="4" t="str">
        <f>IFERROR(__xludf.DUMMYFUNCTION("""COMPUTED_VALUE"""),"Oregon State")</f>
        <v>Oregon State</v>
      </c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</row>
    <row r="5212">
      <c r="A5212" s="4">
        <f>IFERROR(__xludf.DUMMYFUNCTION("""COMPUTED_VALUE"""),134.0)</f>
        <v>134</v>
      </c>
      <c r="B5212" s="4">
        <f>IFERROR(__xludf.DUMMYFUNCTION("""COMPUTED_VALUE"""),134.0)</f>
        <v>134</v>
      </c>
      <c r="C5212" s="4" t="str">
        <f>IFERROR(__xludf.DUMMYFUNCTION("""COMPUTED_VALUE"""),"NYK")</f>
        <v>NYK</v>
      </c>
      <c r="D5212" s="4" t="str">
        <f>IFERROR(__xludf.DUMMYFUNCTION("""COMPUTED_VALUE"""),"Jerry Homan")</f>
        <v>Jerry Homan</v>
      </c>
      <c r="E5212" s="4" t="str">
        <f>IFERROR(__xludf.DUMMYFUNCTION("""COMPUTED_VALUE"""),"Marquette")</f>
        <v>Marquette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</row>
    <row r="5213">
      <c r="A5213" s="4">
        <f>IFERROR(__xludf.DUMMYFUNCTION("""COMPUTED_VALUE"""),135.0)</f>
        <v>135</v>
      </c>
      <c r="B5213" s="4">
        <f>IFERROR(__xludf.DUMMYFUNCTION("""COMPUTED_VALUE"""),135.0)</f>
        <v>135</v>
      </c>
      <c r="C5213" s="4" t="str">
        <f>IFERROR(__xludf.DUMMYFUNCTION("""COMPUTED_VALUE"""),"DET")</f>
        <v>DET</v>
      </c>
      <c r="D5213" s="4" t="str">
        <f>IFERROR(__xludf.DUMMYFUNCTION("""COMPUTED_VALUE"""),"John Kelley")</f>
        <v>John Kelley</v>
      </c>
      <c r="E5213" s="4" t="str">
        <f>IFERROR(__xludf.DUMMYFUNCTION("""COMPUTED_VALUE"""),"Dillard University")</f>
        <v>Dillard University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</row>
    <row r="5214">
      <c r="A5214" s="4">
        <f>IFERROR(__xludf.DUMMYFUNCTION("""COMPUTED_VALUE"""),136.0)</f>
        <v>136</v>
      </c>
      <c r="B5214" s="4">
        <f>IFERROR(__xludf.DUMMYFUNCTION("""COMPUTED_VALUE"""),136.0)</f>
        <v>136</v>
      </c>
      <c r="C5214" s="4" t="str">
        <f>IFERROR(__xludf.DUMMYFUNCTION("""COMPUTED_VALUE"""),"CLE")</f>
        <v>CLE</v>
      </c>
      <c r="D5214" s="4" t="str">
        <f>IFERROR(__xludf.DUMMYFUNCTION("""COMPUTED_VALUE"""),"Andre McCarter")</f>
        <v>Andre McCarter</v>
      </c>
      <c r="E5214" s="4" t="str">
        <f>IFERROR(__xludf.DUMMYFUNCTION("""COMPUTED_VALUE"""),"UCLA")</f>
        <v>UCLA</v>
      </c>
      <c r="F5214" s="4">
        <f>IFERROR(__xludf.DUMMYFUNCTION("""COMPUTED_VALUE"""),3.0)</f>
        <v>3</v>
      </c>
      <c r="G5214" s="4">
        <f>IFERROR(__xludf.DUMMYFUNCTION("""COMPUTED_VALUE"""),103.0)</f>
        <v>103</v>
      </c>
      <c r="H5214" s="4">
        <f>IFERROR(__xludf.DUMMYFUNCTION("""COMPUTED_VALUE"""),1182.0)</f>
        <v>1182</v>
      </c>
      <c r="I5214" s="4">
        <f>IFERROR(__xludf.DUMMYFUNCTION("""COMPUTED_VALUE"""),392.0)</f>
        <v>392</v>
      </c>
      <c r="J5214" s="4">
        <f>IFERROR(__xludf.DUMMYFUNCTION("""COMPUTED_VALUE"""),95.0)</f>
        <v>95</v>
      </c>
      <c r="K5214" s="4">
        <f>IFERROR(__xludf.DUMMYFUNCTION("""COMPUTED_VALUE"""),172.0)</f>
        <v>172</v>
      </c>
      <c r="L5214" s="4">
        <f>IFERROR(__xludf.DUMMYFUNCTION("""COMPUTED_VALUE"""),0.431)</f>
        <v>0.431</v>
      </c>
      <c r="M5214" s="4"/>
      <c r="N5214" s="4">
        <f>IFERROR(__xludf.DUMMYFUNCTION("""COMPUTED_VALUE"""),0.725)</f>
        <v>0.725</v>
      </c>
      <c r="O5214" s="4">
        <f>IFERROR(__xludf.DUMMYFUNCTION("""COMPUTED_VALUE"""),11.5)</f>
        <v>11.5</v>
      </c>
      <c r="P5214" s="4">
        <f>IFERROR(__xludf.DUMMYFUNCTION("""COMPUTED_VALUE"""),3.8)</f>
        <v>3.8</v>
      </c>
      <c r="Q5214" s="4">
        <f>IFERROR(__xludf.DUMMYFUNCTION("""COMPUTED_VALUE"""),0.9)</f>
        <v>0.9</v>
      </c>
      <c r="R5214" s="4">
        <f>IFERROR(__xludf.DUMMYFUNCTION("""COMPUTED_VALUE"""),1.7)</f>
        <v>1.7</v>
      </c>
      <c r="S5214" s="4">
        <f>IFERROR(__xludf.DUMMYFUNCTION("""COMPUTED_VALUE"""),1.1)</f>
        <v>1.1</v>
      </c>
      <c r="T5214" s="4">
        <f>IFERROR(__xludf.DUMMYFUNCTION("""COMPUTED_VALUE"""),0.046)</f>
        <v>0.046</v>
      </c>
      <c r="U5214" s="4">
        <f>IFERROR(__xludf.DUMMYFUNCTION("""COMPUTED_VALUE"""),-2.5)</f>
        <v>-2.5</v>
      </c>
      <c r="V5214" s="4">
        <f>IFERROR(__xludf.DUMMYFUNCTION("""COMPUTED_VALUE"""),-0.2)</f>
        <v>-0.2</v>
      </c>
    </row>
    <row r="5215">
      <c r="A5215" s="4">
        <f>IFERROR(__xludf.DUMMYFUNCTION("""COMPUTED_VALUE"""),137.0)</f>
        <v>137</v>
      </c>
      <c r="B5215" s="4">
        <f>IFERROR(__xludf.DUMMYFUNCTION("""COMPUTED_VALUE"""),137.0)</f>
        <v>137</v>
      </c>
      <c r="C5215" s="4" t="str">
        <f>IFERROR(__xludf.DUMMYFUNCTION("""COMPUTED_VALUE"""),"HOU")</f>
        <v>HOU</v>
      </c>
      <c r="D5215" s="4" t="str">
        <f>IFERROR(__xludf.DUMMYFUNCTION("""COMPUTED_VALUE"""),"Leon Johnson")</f>
        <v>Leon Johnson</v>
      </c>
      <c r="E5215" s="4" t="str">
        <f>IFERROR(__xludf.DUMMYFUNCTION("""COMPUTED_VALUE"""),"Centenary (LA)")</f>
        <v>Centenary (LA)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</row>
    <row r="5216">
      <c r="A5216" s="4">
        <f>IFERROR(__xludf.DUMMYFUNCTION("""COMPUTED_VALUE"""),138.0)</f>
        <v>138</v>
      </c>
      <c r="B5216" s="4">
        <f>IFERROR(__xludf.DUMMYFUNCTION("""COMPUTED_VALUE"""),138.0)</f>
        <v>138</v>
      </c>
      <c r="C5216" s="4" t="str">
        <f>IFERROR(__xludf.DUMMYFUNCTION("""COMPUTED_VALUE"""),"SEA")</f>
        <v>SEA</v>
      </c>
      <c r="D5216" s="4" t="str">
        <f>IFERROR(__xludf.DUMMYFUNCTION("""COMPUTED_VALUE"""),"Ken McKenzie")</f>
        <v>Ken McKenzie</v>
      </c>
      <c r="E5216" s="4" t="str">
        <f>IFERROR(__xludf.DUMMYFUNCTION("""COMPUTED_VALUE"""),"Montana")</f>
        <v>Montana</v>
      </c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</row>
    <row r="5217">
      <c r="A5217" s="4">
        <f>IFERROR(__xludf.DUMMYFUNCTION("""COMPUTED_VALUE"""),139.0)</f>
        <v>139</v>
      </c>
      <c r="B5217" s="4">
        <f>IFERROR(__xludf.DUMMYFUNCTION("""COMPUTED_VALUE"""),139.0)</f>
        <v>139</v>
      </c>
      <c r="C5217" s="4" t="str">
        <f>IFERROR(__xludf.DUMMYFUNCTION("""COMPUTED_VALUE"""),"KCK")</f>
        <v>KCK</v>
      </c>
      <c r="D5217" s="4" t="str">
        <f>IFERROR(__xludf.DUMMYFUNCTION("""COMPUTED_VALUE"""),"Jim Bostic")</f>
        <v>Jim Bostic</v>
      </c>
      <c r="E5217" s="4" t="str">
        <f>IFERROR(__xludf.DUMMYFUNCTION("""COMPUTED_VALUE"""),"New Mexico State")</f>
        <v>New Mexico State</v>
      </c>
      <c r="F5217" s="4">
        <f>IFERROR(__xludf.DUMMYFUNCTION("""COMPUTED_VALUE"""),1.0)</f>
        <v>1</v>
      </c>
      <c r="G5217" s="4">
        <f>IFERROR(__xludf.DUMMYFUNCTION("""COMPUTED_VALUE"""),4.0)</f>
        <v>4</v>
      </c>
      <c r="H5217" s="4">
        <f>IFERROR(__xludf.DUMMYFUNCTION("""COMPUTED_VALUE"""),48.0)</f>
        <v>48</v>
      </c>
      <c r="I5217" s="4">
        <f>IFERROR(__xludf.DUMMYFUNCTION("""COMPUTED_VALUE"""),26.0)</f>
        <v>26</v>
      </c>
      <c r="J5217" s="4">
        <f>IFERROR(__xludf.DUMMYFUNCTION("""COMPUTED_VALUE"""),16.0)</f>
        <v>16</v>
      </c>
      <c r="K5217" s="4">
        <f>IFERROR(__xludf.DUMMYFUNCTION("""COMPUTED_VALUE"""),3.0)</f>
        <v>3</v>
      </c>
      <c r="L5217" s="4">
        <f>IFERROR(__xludf.DUMMYFUNCTION("""COMPUTED_VALUE"""),0.545)</f>
        <v>0.545</v>
      </c>
      <c r="M5217" s="4"/>
      <c r="N5217" s="4">
        <f>IFERROR(__xludf.DUMMYFUNCTION("""COMPUTED_VALUE"""),0.4)</f>
        <v>0.4</v>
      </c>
      <c r="O5217" s="4">
        <f>IFERROR(__xludf.DUMMYFUNCTION("""COMPUTED_VALUE"""),12.0)</f>
        <v>12</v>
      </c>
      <c r="P5217" s="4">
        <f>IFERROR(__xludf.DUMMYFUNCTION("""COMPUTED_VALUE"""),6.5)</f>
        <v>6.5</v>
      </c>
      <c r="Q5217" s="4">
        <f>IFERROR(__xludf.DUMMYFUNCTION("""COMPUTED_VALUE"""),4.0)</f>
        <v>4</v>
      </c>
      <c r="R5217" s="4">
        <f>IFERROR(__xludf.DUMMYFUNCTION("""COMPUTED_VALUE"""),0.8)</f>
        <v>0.8</v>
      </c>
      <c r="S5217" s="4">
        <f>IFERROR(__xludf.DUMMYFUNCTION("""COMPUTED_VALUE"""),0.1)</f>
        <v>0.1</v>
      </c>
      <c r="T5217" s="4">
        <f>IFERROR(__xludf.DUMMYFUNCTION("""COMPUTED_VALUE"""),0.144)</f>
        <v>0.144</v>
      </c>
      <c r="U5217" s="4">
        <f>IFERROR(__xludf.DUMMYFUNCTION("""COMPUTED_VALUE"""),-2.7)</f>
        <v>-2.7</v>
      </c>
      <c r="V5217" s="4">
        <f>IFERROR(__xludf.DUMMYFUNCTION("""COMPUTED_VALUE"""),0.0)</f>
        <v>0</v>
      </c>
    </row>
    <row r="5218">
      <c r="A5218" s="4">
        <f>IFERROR(__xludf.DUMMYFUNCTION("""COMPUTED_VALUE"""),140.0)</f>
        <v>140</v>
      </c>
      <c r="B5218" s="4">
        <f>IFERROR(__xludf.DUMMYFUNCTION("""COMPUTED_VALUE"""),140.0)</f>
        <v>140</v>
      </c>
      <c r="C5218" s="4" t="str">
        <f>IFERROR(__xludf.DUMMYFUNCTION("""COMPUTED_VALUE"""),"CHI")</f>
        <v>CHI</v>
      </c>
      <c r="D5218" s="4" t="str">
        <f>IFERROR(__xludf.DUMMYFUNCTION("""COMPUTED_VALUE"""),"John Murphy")</f>
        <v>John Murphy</v>
      </c>
      <c r="E5218" s="4" t="str">
        <f>IFERROR(__xludf.DUMMYFUNCTION("""COMPUTED_VALUE"""),"UMass")</f>
        <v>UMass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</row>
    <row r="5219">
      <c r="A5219" s="4">
        <f>IFERROR(__xludf.DUMMYFUNCTION("""COMPUTED_VALUE"""),141.0)</f>
        <v>141</v>
      </c>
      <c r="B5219" s="4">
        <f>IFERROR(__xludf.DUMMYFUNCTION("""COMPUTED_VALUE"""),141.0)</f>
        <v>141</v>
      </c>
      <c r="C5219" s="4" t="str">
        <f>IFERROR(__xludf.DUMMYFUNCTION("""COMPUTED_VALUE"""),"GSW")</f>
        <v>GSW</v>
      </c>
      <c r="D5219" s="4" t="str">
        <f>IFERROR(__xludf.DUMMYFUNCTION("""COMPUTED_VALUE"""),"Mike Rozenski")</f>
        <v>Mike Rozenski</v>
      </c>
      <c r="E5219" s="4" t="str">
        <f>IFERROR(__xludf.DUMMYFUNCTION("""COMPUTED_VALUE"""),"Saint Mary's")</f>
        <v>Saint Mary's</v>
      </c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</row>
    <row r="5220">
      <c r="A5220" s="4">
        <f>IFERROR(__xludf.DUMMYFUNCTION("""COMPUTED_VALUE"""),142.0)</f>
        <v>142</v>
      </c>
      <c r="B5220" s="4">
        <f>IFERROR(__xludf.DUMMYFUNCTION("""COMPUTED_VALUE"""),142.0)</f>
        <v>142</v>
      </c>
      <c r="C5220" s="4" t="str">
        <f>IFERROR(__xludf.DUMMYFUNCTION("""COMPUTED_VALUE"""),"BUF")</f>
        <v>BUF</v>
      </c>
      <c r="D5220" s="4" t="str">
        <f>IFERROR(__xludf.DUMMYFUNCTION("""COMPUTED_VALUE"""),"Allan Jones")</f>
        <v>Allan Jones</v>
      </c>
      <c r="E5220" s="4" t="str">
        <f>IFERROR(__xludf.DUMMYFUNCTION("""COMPUTED_VALUE"""),"Pepperdine")</f>
        <v>Pepperdine</v>
      </c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</row>
    <row r="5221">
      <c r="A5221" s="4">
        <f>IFERROR(__xludf.DUMMYFUNCTION("""COMPUTED_VALUE"""),143.0)</f>
        <v>143</v>
      </c>
      <c r="B5221" s="4">
        <f>IFERROR(__xludf.DUMMYFUNCTION("""COMPUTED_VALUE"""),143.0)</f>
        <v>143</v>
      </c>
      <c r="C5221" s="4" t="str">
        <f>IFERROR(__xludf.DUMMYFUNCTION("""COMPUTED_VALUE"""),"WSB")</f>
        <v>WSB</v>
      </c>
      <c r="D5221" s="4" t="str">
        <f>IFERROR(__xludf.DUMMYFUNCTION("""COMPUTED_VALUE"""),"Bruce Hamming")</f>
        <v>Bruce Hamming</v>
      </c>
      <c r="E5221" s="4" t="str">
        <f>IFERROR(__xludf.DUMMYFUNCTION("""COMPUTED_VALUE"""),"Augustana College (IL)")</f>
        <v>Augustana College (IL)</v>
      </c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</row>
    <row r="5222">
      <c r="A5222" s="4">
        <f>IFERROR(__xludf.DUMMYFUNCTION("""COMPUTED_VALUE"""),144.0)</f>
        <v>144</v>
      </c>
      <c r="B5222" s="4">
        <f>IFERROR(__xludf.DUMMYFUNCTION("""COMPUTED_VALUE"""),144.0)</f>
        <v>144</v>
      </c>
      <c r="C5222" s="4" t="str">
        <f>IFERROR(__xludf.DUMMYFUNCTION("""COMPUTED_VALUE"""),"BOS")</f>
        <v>BOS</v>
      </c>
      <c r="D5222" s="4" t="str">
        <f>IFERROR(__xludf.DUMMYFUNCTION("""COMPUTED_VALUE"""),"Roger Morningstar")</f>
        <v>Roger Morningstar</v>
      </c>
      <c r="E5222" s="4" t="str">
        <f>IFERROR(__xludf.DUMMYFUNCTION("""COMPUTED_VALUE"""),"Kansas")</f>
        <v>Kansas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</row>
    <row r="5223">
      <c r="A5223" s="4"/>
      <c r="B5223" s="4"/>
      <c r="C5223" s="4"/>
      <c r="D5223" s="4" t="str">
        <f>IFERROR(__xludf.DUMMYFUNCTION("""COMPUTED_VALUE"""),"Round 9")</f>
        <v>Round 9</v>
      </c>
      <c r="E5223" s="4"/>
      <c r="F5223" s="4"/>
      <c r="G5223" s="4" t="str">
        <f>IFERROR(__xludf.DUMMYFUNCTION("""COMPUTED_VALUE"""),"Totals")</f>
        <v>Totals</v>
      </c>
      <c r="H5223" s="4"/>
      <c r="I5223" s="4"/>
      <c r="J5223" s="4"/>
      <c r="K5223" s="4"/>
      <c r="L5223" s="4" t="str">
        <f>IFERROR(__xludf.DUMMYFUNCTION("""COMPUTED_VALUE"""),"Shooting")</f>
        <v>Shooting</v>
      </c>
      <c r="M5223" s="4"/>
      <c r="N5223" s="4"/>
      <c r="O5223" s="4" t="str">
        <f>IFERROR(__xludf.DUMMYFUNCTION("""COMPUTED_VALUE"""),"Per Game")</f>
        <v>Per Game</v>
      </c>
      <c r="P5223" s="4"/>
      <c r="Q5223" s="4"/>
      <c r="R5223" s="4"/>
      <c r="S5223" s="4" t="str">
        <f>IFERROR(__xludf.DUMMYFUNCTION("""COMPUTED_VALUE"""),"Advanced")</f>
        <v>Advanced</v>
      </c>
      <c r="T5223" s="4"/>
      <c r="U5223" s="4"/>
      <c r="V5223" s="4"/>
    </row>
    <row r="5224">
      <c r="A5224" s="4" t="str">
        <f>IFERROR(__xludf.DUMMYFUNCTION("""COMPUTED_VALUE"""),"Rk")</f>
        <v>Rk</v>
      </c>
      <c r="B5224" s="4" t="str">
        <f>IFERROR(__xludf.DUMMYFUNCTION("""COMPUTED_VALUE"""),"Pk")</f>
        <v>Pk</v>
      </c>
      <c r="C5224" s="4" t="str">
        <f>IFERROR(__xludf.DUMMYFUNCTION("""COMPUTED_VALUE"""),"Tm")</f>
        <v>Tm</v>
      </c>
      <c r="D5224" s="4" t="str">
        <f>IFERROR(__xludf.DUMMYFUNCTION("""COMPUTED_VALUE"""),"Player")</f>
        <v>Player</v>
      </c>
      <c r="E5224" s="4" t="str">
        <f>IFERROR(__xludf.DUMMYFUNCTION("""COMPUTED_VALUE"""),"College")</f>
        <v>College</v>
      </c>
      <c r="F5224" s="4" t="str">
        <f>IFERROR(__xludf.DUMMYFUNCTION("""COMPUTED_VALUE"""),"Yrs")</f>
        <v>Yrs</v>
      </c>
      <c r="G5224" s="4" t="str">
        <f>IFERROR(__xludf.DUMMYFUNCTION("""COMPUTED_VALUE"""),"G")</f>
        <v>G</v>
      </c>
      <c r="H5224" s="4" t="str">
        <f>IFERROR(__xludf.DUMMYFUNCTION("""COMPUTED_VALUE"""),"MP")</f>
        <v>MP</v>
      </c>
      <c r="I5224" s="4" t="str">
        <f>IFERROR(__xludf.DUMMYFUNCTION("""COMPUTED_VALUE"""),"PTS")</f>
        <v>PTS</v>
      </c>
      <c r="J5224" s="4" t="str">
        <f>IFERROR(__xludf.DUMMYFUNCTION("""COMPUTED_VALUE"""),"TRB")</f>
        <v>TRB</v>
      </c>
      <c r="K5224" s="4" t="str">
        <f>IFERROR(__xludf.DUMMYFUNCTION("""COMPUTED_VALUE"""),"AST")</f>
        <v>AST</v>
      </c>
      <c r="L5224" s="4" t="str">
        <f>IFERROR(__xludf.DUMMYFUNCTION("""COMPUTED_VALUE"""),"FG%")</f>
        <v>FG%</v>
      </c>
      <c r="M5224" s="4" t="str">
        <f>IFERROR(__xludf.DUMMYFUNCTION("""COMPUTED_VALUE"""),"3P%")</f>
        <v>3P%</v>
      </c>
      <c r="N5224" s="4" t="str">
        <f>IFERROR(__xludf.DUMMYFUNCTION("""COMPUTED_VALUE"""),"FT%")</f>
        <v>FT%</v>
      </c>
      <c r="O5224" s="4" t="str">
        <f>IFERROR(__xludf.DUMMYFUNCTION("""COMPUTED_VALUE"""),"MP")</f>
        <v>MP</v>
      </c>
      <c r="P5224" s="4" t="str">
        <f>IFERROR(__xludf.DUMMYFUNCTION("""COMPUTED_VALUE"""),"PTS")</f>
        <v>PTS</v>
      </c>
      <c r="Q5224" s="4" t="str">
        <f>IFERROR(__xludf.DUMMYFUNCTION("""COMPUTED_VALUE"""),"TRB")</f>
        <v>TRB</v>
      </c>
      <c r="R5224" s="4" t="str">
        <f>IFERROR(__xludf.DUMMYFUNCTION("""COMPUTED_VALUE"""),"AST")</f>
        <v>AST</v>
      </c>
      <c r="S5224" s="4" t="str">
        <f>IFERROR(__xludf.DUMMYFUNCTION("""COMPUTED_VALUE"""),"WS")</f>
        <v>WS</v>
      </c>
      <c r="T5224" s="4" t="str">
        <f>IFERROR(__xludf.DUMMYFUNCTION("""COMPUTED_VALUE"""),"WS/48")</f>
        <v>WS/48</v>
      </c>
      <c r="U5224" s="4" t="str">
        <f>IFERROR(__xludf.DUMMYFUNCTION("""COMPUTED_VALUE"""),"BPM")</f>
        <v>BPM</v>
      </c>
      <c r="V5224" s="4" t="str">
        <f>IFERROR(__xludf.DUMMYFUNCTION("""COMPUTED_VALUE"""),"VORP")</f>
        <v>VORP</v>
      </c>
    </row>
    <row r="5225">
      <c r="A5225" s="4">
        <f>IFERROR(__xludf.DUMMYFUNCTION("""COMPUTED_VALUE"""),145.0)</f>
        <v>145</v>
      </c>
      <c r="B5225" s="4">
        <f>IFERROR(__xludf.DUMMYFUNCTION("""COMPUTED_VALUE"""),145.0)</f>
        <v>145</v>
      </c>
      <c r="C5225" s="4" t="str">
        <f>IFERROR(__xludf.DUMMYFUNCTION("""COMPUTED_VALUE"""),"NOJ")</f>
        <v>NOJ</v>
      </c>
      <c r="D5225" s="4" t="str">
        <f>IFERROR(__xludf.DUMMYFUNCTION("""COMPUTED_VALUE"""),"Fred Stokes")</f>
        <v>Fred Stokes</v>
      </c>
      <c r="E5225" s="4" t="str">
        <f>IFERROR(__xludf.DUMMYFUNCTION("""COMPUTED_VALUE"""),"Barber-Scotia College")</f>
        <v>Barber-Scotia College</v>
      </c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</row>
    <row r="5226">
      <c r="A5226" s="4">
        <f>IFERROR(__xludf.DUMMYFUNCTION("""COMPUTED_VALUE"""),146.0)</f>
        <v>146</v>
      </c>
      <c r="B5226" s="4">
        <f>IFERROR(__xludf.DUMMYFUNCTION("""COMPUTED_VALUE"""),146.0)</f>
        <v>146</v>
      </c>
      <c r="C5226" s="4" t="str">
        <f>IFERROR(__xludf.DUMMYFUNCTION("""COMPUTED_VALUE"""),"ATL")</f>
        <v>ATL</v>
      </c>
      <c r="D5226" s="4" t="str">
        <f>IFERROR(__xludf.DUMMYFUNCTION("""COMPUTED_VALUE"""),"Dave Schlesser")</f>
        <v>Dave Schlesser</v>
      </c>
      <c r="E5226" s="4" t="str">
        <f>IFERROR(__xludf.DUMMYFUNCTION("""COMPUTED_VALUE"""),"Morningside College")</f>
        <v>Morningside College</v>
      </c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</row>
    <row r="5227">
      <c r="A5227" s="4">
        <f>IFERROR(__xludf.DUMMYFUNCTION("""COMPUTED_VALUE"""),147.0)</f>
        <v>147</v>
      </c>
      <c r="B5227" s="4">
        <f>IFERROR(__xludf.DUMMYFUNCTION("""COMPUTED_VALUE"""),147.0)</f>
        <v>147</v>
      </c>
      <c r="C5227" s="4" t="str">
        <f>IFERROR(__xludf.DUMMYFUNCTION("""COMPUTED_VALUE"""),"PHO")</f>
        <v>PHO</v>
      </c>
      <c r="D5227" s="4" t="str">
        <f>IFERROR(__xludf.DUMMYFUNCTION("""COMPUTED_VALUE"""),"Owen Brown")</f>
        <v>Owen Brown</v>
      </c>
      <c r="E5227" s="4" t="str">
        <f>IFERROR(__xludf.DUMMYFUNCTION("""COMPUTED_VALUE"""),"Maryland")</f>
        <v>Maryland</v>
      </c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</row>
    <row r="5228">
      <c r="A5228" s="4">
        <f>IFERROR(__xludf.DUMMYFUNCTION("""COMPUTED_VALUE"""),148.0)</f>
        <v>148</v>
      </c>
      <c r="B5228" s="4">
        <f>IFERROR(__xludf.DUMMYFUNCTION("""COMPUTED_VALUE"""),148.0)</f>
        <v>148</v>
      </c>
      <c r="C5228" s="4" t="str">
        <f>IFERROR(__xludf.DUMMYFUNCTION("""COMPUTED_VALUE"""),"PHI")</f>
        <v>PHI</v>
      </c>
      <c r="D5228" s="4" t="str">
        <f>IFERROR(__xludf.DUMMYFUNCTION("""COMPUTED_VALUE"""),"Larry Haralson")</f>
        <v>Larry Haralson</v>
      </c>
      <c r="E5228" s="4" t="str">
        <f>IFERROR(__xludf.DUMMYFUNCTION("""COMPUTED_VALUE"""),"Drake University")</f>
        <v>Drake University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</row>
    <row r="5229">
      <c r="A5229" s="4">
        <f>IFERROR(__xludf.DUMMYFUNCTION("""COMPUTED_VALUE"""),149.0)</f>
        <v>149</v>
      </c>
      <c r="B5229" s="4">
        <f>IFERROR(__xludf.DUMMYFUNCTION("""COMPUTED_VALUE"""),149.0)</f>
        <v>149</v>
      </c>
      <c r="C5229" s="4" t="str">
        <f>IFERROR(__xludf.DUMMYFUNCTION("""COMPUTED_VALUE"""),"POR")</f>
        <v>POR</v>
      </c>
      <c r="D5229" s="4" t="str">
        <f>IFERROR(__xludf.DUMMYFUNCTION("""COMPUTED_VALUE"""),"Quentin Braxton")</f>
        <v>Quentin Braxton</v>
      </c>
      <c r="E5229" s="4" t="str">
        <f>IFERROR(__xludf.DUMMYFUNCTION("""COMPUTED_VALUE"""),"University of Portland")</f>
        <v>University of Portland</v>
      </c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</row>
    <row r="5230">
      <c r="A5230" s="4">
        <f>IFERROR(__xludf.DUMMYFUNCTION("""COMPUTED_VALUE"""),150.0)</f>
        <v>150</v>
      </c>
      <c r="B5230" s="4">
        <f>IFERROR(__xludf.DUMMYFUNCTION("""COMPUTED_VALUE"""),150.0)</f>
        <v>150</v>
      </c>
      <c r="C5230" s="4" t="str">
        <f>IFERROR(__xludf.DUMMYFUNCTION("""COMPUTED_VALUE"""),"MIL")</f>
        <v>MIL</v>
      </c>
      <c r="D5230" s="4" t="str">
        <f>IFERROR(__xludf.DUMMYFUNCTION("""COMPUTED_VALUE"""),"Eric Hays")</f>
        <v>Eric Hays</v>
      </c>
      <c r="E5230" s="4" t="str">
        <f>IFERROR(__xludf.DUMMYFUNCTION("""COMPUTED_VALUE"""),"Montana")</f>
        <v>Montana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</row>
    <row r="5231">
      <c r="A5231" s="4">
        <f>IFERROR(__xludf.DUMMYFUNCTION("""COMPUTED_VALUE"""),151.0)</f>
        <v>151</v>
      </c>
      <c r="B5231" s="4">
        <f>IFERROR(__xludf.DUMMYFUNCTION("""COMPUTED_VALUE"""),151.0)</f>
        <v>151</v>
      </c>
      <c r="C5231" s="4" t="str">
        <f>IFERROR(__xludf.DUMMYFUNCTION("""COMPUTED_VALUE"""),"DET")</f>
        <v>DET</v>
      </c>
      <c r="D5231" s="4" t="str">
        <f>IFERROR(__xludf.DUMMYFUNCTION("""COMPUTED_VALUE"""),"Terry Thomas")</f>
        <v>Terry Thomas</v>
      </c>
      <c r="E5231" s="4" t="str">
        <f>IFERROR(__xludf.DUMMYFUNCTION("""COMPUTED_VALUE"""),"Detroit Mercy")</f>
        <v>Detroit Mercy</v>
      </c>
      <c r="F5231" s="4">
        <f>IFERROR(__xludf.DUMMYFUNCTION("""COMPUTED_VALUE"""),1.0)</f>
        <v>1</v>
      </c>
      <c r="G5231" s="4">
        <f>IFERROR(__xludf.DUMMYFUNCTION("""COMPUTED_VALUE"""),28.0)</f>
        <v>28</v>
      </c>
      <c r="H5231" s="4">
        <f>IFERROR(__xludf.DUMMYFUNCTION("""COMPUTED_VALUE"""),136.0)</f>
        <v>136</v>
      </c>
      <c r="I5231" s="4">
        <f>IFERROR(__xludf.DUMMYFUNCTION("""COMPUTED_VALUE"""),77.0)</f>
        <v>77</v>
      </c>
      <c r="J5231" s="4">
        <f>IFERROR(__xludf.DUMMYFUNCTION("""COMPUTED_VALUE"""),36.0)</f>
        <v>36</v>
      </c>
      <c r="K5231" s="4">
        <f>IFERROR(__xludf.DUMMYFUNCTION("""COMPUTED_VALUE"""),3.0)</f>
        <v>3</v>
      </c>
      <c r="L5231" s="4">
        <f>IFERROR(__xludf.DUMMYFUNCTION("""COMPUTED_VALUE"""),0.431)</f>
        <v>0.431</v>
      </c>
      <c r="M5231" s="4"/>
      <c r="N5231" s="4">
        <f>IFERROR(__xludf.DUMMYFUNCTION("""COMPUTED_VALUE"""),0.724)</f>
        <v>0.724</v>
      </c>
      <c r="O5231" s="4">
        <f>IFERROR(__xludf.DUMMYFUNCTION("""COMPUTED_VALUE"""),4.9)</f>
        <v>4.9</v>
      </c>
      <c r="P5231" s="4">
        <f>IFERROR(__xludf.DUMMYFUNCTION("""COMPUTED_VALUE"""),2.8)</f>
        <v>2.8</v>
      </c>
      <c r="Q5231" s="4">
        <f>IFERROR(__xludf.DUMMYFUNCTION("""COMPUTED_VALUE"""),1.3)</f>
        <v>1.3</v>
      </c>
      <c r="R5231" s="4">
        <f>IFERROR(__xludf.DUMMYFUNCTION("""COMPUTED_VALUE"""),0.1)</f>
        <v>0.1</v>
      </c>
      <c r="S5231" s="4">
        <f>IFERROR(__xludf.DUMMYFUNCTION("""COMPUTED_VALUE"""),0.2)</f>
        <v>0.2</v>
      </c>
      <c r="T5231" s="4">
        <f>IFERROR(__xludf.DUMMYFUNCTION("""COMPUTED_VALUE"""),0.082)</f>
        <v>0.082</v>
      </c>
      <c r="U5231" s="4">
        <f>IFERROR(__xludf.DUMMYFUNCTION("""COMPUTED_VALUE"""),-3.7)</f>
        <v>-3.7</v>
      </c>
      <c r="V5231" s="4">
        <f>IFERROR(__xludf.DUMMYFUNCTION("""COMPUTED_VALUE"""),-0.1)</f>
        <v>-0.1</v>
      </c>
    </row>
    <row r="5232">
      <c r="A5232" s="4">
        <f>IFERROR(__xludf.DUMMYFUNCTION("""COMPUTED_VALUE"""),152.0)</f>
        <v>152</v>
      </c>
      <c r="B5232" s="4">
        <f>IFERROR(__xludf.DUMMYFUNCTION("""COMPUTED_VALUE"""),152.0)</f>
        <v>152</v>
      </c>
      <c r="C5232" s="4" t="str">
        <f>IFERROR(__xludf.DUMMYFUNCTION("""COMPUTED_VALUE"""),"CLE")</f>
        <v>CLE</v>
      </c>
      <c r="D5232" s="4" t="str">
        <f>IFERROR(__xludf.DUMMYFUNCTION("""COMPUTED_VALUE"""),"Skip Howard")</f>
        <v>Skip Howard</v>
      </c>
      <c r="E5232" s="4" t="str">
        <f>IFERROR(__xludf.DUMMYFUNCTION("""COMPUTED_VALUE"""),"Bowling Green")</f>
        <v>Bowling Green</v>
      </c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</row>
    <row r="5233">
      <c r="A5233" s="4">
        <f>IFERROR(__xludf.DUMMYFUNCTION("""COMPUTED_VALUE"""),153.0)</f>
        <v>153</v>
      </c>
      <c r="B5233" s="4">
        <f>IFERROR(__xludf.DUMMYFUNCTION("""COMPUTED_VALUE"""),153.0)</f>
        <v>153</v>
      </c>
      <c r="C5233" s="4" t="str">
        <f>IFERROR(__xludf.DUMMYFUNCTION("""COMPUTED_VALUE"""),"NYK")</f>
        <v>NYK</v>
      </c>
      <c r="D5233" s="4" t="str">
        <f>IFERROR(__xludf.DUMMYFUNCTION("""COMPUTED_VALUE"""),"Tim van Blommesteyn")</f>
        <v>Tim van Blommesteyn</v>
      </c>
      <c r="E5233" s="4" t="str">
        <f>IFERROR(__xludf.DUMMYFUNCTION("""COMPUTED_VALUE"""),"Princeton")</f>
        <v>Princeton</v>
      </c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</row>
    <row r="5234">
      <c r="A5234" s="4">
        <f>IFERROR(__xludf.DUMMYFUNCTION("""COMPUTED_VALUE"""),154.0)</f>
        <v>154</v>
      </c>
      <c r="B5234" s="4">
        <f>IFERROR(__xludf.DUMMYFUNCTION("""COMPUTED_VALUE"""),154.0)</f>
        <v>154</v>
      </c>
      <c r="C5234" s="4" t="str">
        <f>IFERROR(__xludf.DUMMYFUNCTION("""COMPUTED_VALUE"""),"HOU")</f>
        <v>HOU</v>
      </c>
      <c r="D5234" s="4" t="str">
        <f>IFERROR(__xludf.DUMMYFUNCTION("""COMPUTED_VALUE"""),"Steve Strother")</f>
        <v>Steve Strother</v>
      </c>
      <c r="E5234" s="4" t="str">
        <f>IFERROR(__xludf.DUMMYFUNCTION("""COMPUTED_VALUE"""),"Providence")</f>
        <v>Providence</v>
      </c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</row>
    <row r="5235">
      <c r="A5235" s="4">
        <f>IFERROR(__xludf.DUMMYFUNCTION("""COMPUTED_VALUE"""),155.0)</f>
        <v>155</v>
      </c>
      <c r="B5235" s="4">
        <f>IFERROR(__xludf.DUMMYFUNCTION("""COMPUTED_VALUE"""),155.0)</f>
        <v>155</v>
      </c>
      <c r="C5235" s="4" t="str">
        <f>IFERROR(__xludf.DUMMYFUNCTION("""COMPUTED_VALUE"""),"SEA")</f>
        <v>SEA</v>
      </c>
      <c r="D5235" s="4" t="str">
        <f>IFERROR(__xludf.DUMMYFUNCTION("""COMPUTED_VALUE"""),"Rich Haws")</f>
        <v>Rich Haws</v>
      </c>
      <c r="E5235" s="4" t="str">
        <f>IFERROR(__xludf.DUMMYFUNCTION("""COMPUTED_VALUE"""),"Utah State University")</f>
        <v>Utah State University</v>
      </c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</row>
    <row r="5236">
      <c r="A5236" s="4">
        <f>IFERROR(__xludf.DUMMYFUNCTION("""COMPUTED_VALUE"""),156.0)</f>
        <v>156</v>
      </c>
      <c r="B5236" s="4">
        <f>IFERROR(__xludf.DUMMYFUNCTION("""COMPUTED_VALUE"""),156.0)</f>
        <v>156</v>
      </c>
      <c r="C5236" s="4" t="str">
        <f>IFERROR(__xludf.DUMMYFUNCTION("""COMPUTED_VALUE"""),"CHI")</f>
        <v>CHI</v>
      </c>
      <c r="D5236" s="4" t="str">
        <f>IFERROR(__xludf.DUMMYFUNCTION("""COMPUTED_VALUE"""),"Gary Tomaszewski")</f>
        <v>Gary Tomaszewski</v>
      </c>
      <c r="E5236" s="4" t="str">
        <f>IFERROR(__xludf.DUMMYFUNCTION("""COMPUTED_VALUE"""),"St. Mary's University")</f>
        <v>St. Mary's University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</row>
    <row r="5237">
      <c r="A5237" s="4">
        <f>IFERROR(__xludf.DUMMYFUNCTION("""COMPUTED_VALUE"""),157.0)</f>
        <v>157</v>
      </c>
      <c r="B5237" s="4">
        <f>IFERROR(__xludf.DUMMYFUNCTION("""COMPUTED_VALUE"""),157.0)</f>
        <v>157</v>
      </c>
      <c r="C5237" s="4" t="str">
        <f>IFERROR(__xludf.DUMMYFUNCTION("""COMPUTED_VALUE"""),"GSW")</f>
        <v>GSW</v>
      </c>
      <c r="D5237" s="4" t="str">
        <f>IFERROR(__xludf.DUMMYFUNCTION("""COMPUTED_VALUE"""),"Scott Trobbe")</f>
        <v>Scott Trobbe</v>
      </c>
      <c r="E5237" s="4" t="str">
        <f>IFERROR(__xludf.DUMMYFUNCTION("""COMPUTED_VALUE"""),"Stanford")</f>
        <v>Stanford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</row>
    <row r="5238">
      <c r="A5238" s="4">
        <f>IFERROR(__xludf.DUMMYFUNCTION("""COMPUTED_VALUE"""),158.0)</f>
        <v>158</v>
      </c>
      <c r="B5238" s="4">
        <f>IFERROR(__xludf.DUMMYFUNCTION("""COMPUTED_VALUE"""),158.0)</f>
        <v>158</v>
      </c>
      <c r="C5238" s="4" t="str">
        <f>IFERROR(__xludf.DUMMYFUNCTION("""COMPUTED_VALUE"""),"BUF")</f>
        <v>BUF</v>
      </c>
      <c r="D5238" s="4" t="str">
        <f>IFERROR(__xludf.DUMMYFUNCTION("""COMPUTED_VALUE"""),"George Rautins")</f>
        <v>George Rautins</v>
      </c>
      <c r="E5238" s="4" t="str">
        <f>IFERROR(__xludf.DUMMYFUNCTION("""COMPUTED_VALUE"""),"Niagara University")</f>
        <v>Niagara University</v>
      </c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</row>
    <row r="5239">
      <c r="A5239" s="4">
        <f>IFERROR(__xludf.DUMMYFUNCTION("""COMPUTED_VALUE"""),159.0)</f>
        <v>159</v>
      </c>
      <c r="B5239" s="4">
        <f>IFERROR(__xludf.DUMMYFUNCTION("""COMPUTED_VALUE"""),159.0)</f>
        <v>159</v>
      </c>
      <c r="C5239" s="4" t="str">
        <f>IFERROR(__xludf.DUMMYFUNCTION("""COMPUTED_VALUE"""),"BOS")</f>
        <v>BOS</v>
      </c>
      <c r="D5239" s="4" t="str">
        <f>IFERROR(__xludf.DUMMYFUNCTION("""COMPUTED_VALUE"""),"Robert Rhodes")</f>
        <v>Robert Rhodes</v>
      </c>
      <c r="E5239" s="4" t="str">
        <f>IFERROR(__xludf.DUMMYFUNCTION("""COMPUTED_VALUE"""),"Albany State University")</f>
        <v>Albany State University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</row>
    <row r="5240">
      <c r="A5240" s="4">
        <f>IFERROR(__xludf.DUMMYFUNCTION("""COMPUTED_VALUE"""),160.0)</f>
        <v>160</v>
      </c>
      <c r="B5240" s="4">
        <f>IFERROR(__xludf.DUMMYFUNCTION("""COMPUTED_VALUE"""),160.0)</f>
        <v>160</v>
      </c>
      <c r="C5240" s="4" t="str">
        <f>IFERROR(__xludf.DUMMYFUNCTION("""COMPUTED_VALUE"""),"WSB")</f>
        <v>WSB</v>
      </c>
      <c r="D5240" s="4" t="str">
        <f>IFERROR(__xludf.DUMMYFUNCTION("""COMPUTED_VALUE"""),"Doug Brookins")</f>
        <v>Doug Brookins</v>
      </c>
      <c r="E5240" s="4" t="str">
        <f>IFERROR(__xludf.DUMMYFUNCTION("""COMPUTED_VALUE"""),"Creighton")</f>
        <v>Creighton</v>
      </c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</row>
    <row r="5241">
      <c r="A5241" s="4"/>
      <c r="B5241" s="4"/>
      <c r="C5241" s="4"/>
      <c r="D5241" s="4" t="str">
        <f>IFERROR(__xludf.DUMMYFUNCTION("""COMPUTED_VALUE"""),"Round 10")</f>
        <v>Round 10</v>
      </c>
      <c r="E5241" s="4"/>
      <c r="F5241" s="4"/>
      <c r="G5241" s="4" t="str">
        <f>IFERROR(__xludf.DUMMYFUNCTION("""COMPUTED_VALUE"""),"Totals")</f>
        <v>Totals</v>
      </c>
      <c r="H5241" s="4"/>
      <c r="I5241" s="4"/>
      <c r="J5241" s="4"/>
      <c r="K5241" s="4"/>
      <c r="L5241" s="4" t="str">
        <f>IFERROR(__xludf.DUMMYFUNCTION("""COMPUTED_VALUE"""),"Shooting")</f>
        <v>Shooting</v>
      </c>
      <c r="M5241" s="4"/>
      <c r="N5241" s="4"/>
      <c r="O5241" s="4" t="str">
        <f>IFERROR(__xludf.DUMMYFUNCTION("""COMPUTED_VALUE"""),"Per Game")</f>
        <v>Per Game</v>
      </c>
      <c r="P5241" s="4"/>
      <c r="Q5241" s="4"/>
      <c r="R5241" s="4"/>
      <c r="S5241" s="4" t="str">
        <f>IFERROR(__xludf.DUMMYFUNCTION("""COMPUTED_VALUE"""),"Advanced")</f>
        <v>Advanced</v>
      </c>
      <c r="T5241" s="4"/>
      <c r="U5241" s="4"/>
      <c r="V5241" s="4"/>
    </row>
    <row r="5242">
      <c r="A5242" s="4" t="str">
        <f>IFERROR(__xludf.DUMMYFUNCTION("""COMPUTED_VALUE"""),"Rk")</f>
        <v>Rk</v>
      </c>
      <c r="B5242" s="4" t="str">
        <f>IFERROR(__xludf.DUMMYFUNCTION("""COMPUTED_VALUE"""),"Pk")</f>
        <v>Pk</v>
      </c>
      <c r="C5242" s="4" t="str">
        <f>IFERROR(__xludf.DUMMYFUNCTION("""COMPUTED_VALUE"""),"Tm")</f>
        <v>Tm</v>
      </c>
      <c r="D5242" s="4" t="str">
        <f>IFERROR(__xludf.DUMMYFUNCTION("""COMPUTED_VALUE"""),"Player")</f>
        <v>Player</v>
      </c>
      <c r="E5242" s="4" t="str">
        <f>IFERROR(__xludf.DUMMYFUNCTION("""COMPUTED_VALUE"""),"College")</f>
        <v>College</v>
      </c>
      <c r="F5242" s="4" t="str">
        <f>IFERROR(__xludf.DUMMYFUNCTION("""COMPUTED_VALUE"""),"Yrs")</f>
        <v>Yrs</v>
      </c>
      <c r="G5242" s="4" t="str">
        <f>IFERROR(__xludf.DUMMYFUNCTION("""COMPUTED_VALUE"""),"G")</f>
        <v>G</v>
      </c>
      <c r="H5242" s="4" t="str">
        <f>IFERROR(__xludf.DUMMYFUNCTION("""COMPUTED_VALUE"""),"MP")</f>
        <v>MP</v>
      </c>
      <c r="I5242" s="4" t="str">
        <f>IFERROR(__xludf.DUMMYFUNCTION("""COMPUTED_VALUE"""),"PTS")</f>
        <v>PTS</v>
      </c>
      <c r="J5242" s="4" t="str">
        <f>IFERROR(__xludf.DUMMYFUNCTION("""COMPUTED_VALUE"""),"TRB")</f>
        <v>TRB</v>
      </c>
      <c r="K5242" s="4" t="str">
        <f>IFERROR(__xludf.DUMMYFUNCTION("""COMPUTED_VALUE"""),"AST")</f>
        <v>AST</v>
      </c>
      <c r="L5242" s="4" t="str">
        <f>IFERROR(__xludf.DUMMYFUNCTION("""COMPUTED_VALUE"""),"FG%")</f>
        <v>FG%</v>
      </c>
      <c r="M5242" s="4" t="str">
        <f>IFERROR(__xludf.DUMMYFUNCTION("""COMPUTED_VALUE"""),"3P%")</f>
        <v>3P%</v>
      </c>
      <c r="N5242" s="4" t="str">
        <f>IFERROR(__xludf.DUMMYFUNCTION("""COMPUTED_VALUE"""),"FT%")</f>
        <v>FT%</v>
      </c>
      <c r="O5242" s="4" t="str">
        <f>IFERROR(__xludf.DUMMYFUNCTION("""COMPUTED_VALUE"""),"MP")</f>
        <v>MP</v>
      </c>
      <c r="P5242" s="4" t="str">
        <f>IFERROR(__xludf.DUMMYFUNCTION("""COMPUTED_VALUE"""),"PTS")</f>
        <v>PTS</v>
      </c>
      <c r="Q5242" s="4" t="str">
        <f>IFERROR(__xludf.DUMMYFUNCTION("""COMPUTED_VALUE"""),"TRB")</f>
        <v>TRB</v>
      </c>
      <c r="R5242" s="4" t="str">
        <f>IFERROR(__xludf.DUMMYFUNCTION("""COMPUTED_VALUE"""),"AST")</f>
        <v>AST</v>
      </c>
      <c r="S5242" s="4" t="str">
        <f>IFERROR(__xludf.DUMMYFUNCTION("""COMPUTED_VALUE"""),"WS")</f>
        <v>WS</v>
      </c>
      <c r="T5242" s="4" t="str">
        <f>IFERROR(__xludf.DUMMYFUNCTION("""COMPUTED_VALUE"""),"WS/48")</f>
        <v>WS/48</v>
      </c>
      <c r="U5242" s="4" t="str">
        <f>IFERROR(__xludf.DUMMYFUNCTION("""COMPUTED_VALUE"""),"BPM")</f>
        <v>BPM</v>
      </c>
      <c r="V5242" s="4" t="str">
        <f>IFERROR(__xludf.DUMMYFUNCTION("""COMPUTED_VALUE"""),"VORP")</f>
        <v>VORP</v>
      </c>
    </row>
    <row r="5243">
      <c r="A5243" s="4">
        <f>IFERROR(__xludf.DUMMYFUNCTION("""COMPUTED_VALUE"""),161.0)</f>
        <v>161</v>
      </c>
      <c r="B5243" s="4">
        <f>IFERROR(__xludf.DUMMYFUNCTION("""COMPUTED_VALUE"""),161.0)</f>
        <v>161</v>
      </c>
      <c r="C5243" s="4" t="str">
        <f>IFERROR(__xludf.DUMMYFUNCTION("""COMPUTED_VALUE"""),"NOJ")</f>
        <v>NOJ</v>
      </c>
      <c r="D5243" s="4" t="str">
        <f>IFERROR(__xludf.DUMMYFUNCTION("""COMPUTED_VALUE"""),"Aleksander Belov")</f>
        <v>Aleksander Belov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</row>
    <row r="5244">
      <c r="A5244" s="4">
        <f>IFERROR(__xludf.DUMMYFUNCTION("""COMPUTED_VALUE"""),162.0)</f>
        <v>162</v>
      </c>
      <c r="B5244" s="4">
        <f>IFERROR(__xludf.DUMMYFUNCTION("""COMPUTED_VALUE"""),162.0)</f>
        <v>162</v>
      </c>
      <c r="C5244" s="4" t="str">
        <f>IFERROR(__xludf.DUMMYFUNCTION("""COMPUTED_VALUE"""),"ATL")</f>
        <v>ATL</v>
      </c>
      <c r="D5244" s="4" t="str">
        <f>IFERROR(__xludf.DUMMYFUNCTION("""COMPUTED_VALUE"""),"Vic Kelly")</f>
        <v>Vic Kelly</v>
      </c>
      <c r="E5244" s="4" t="str">
        <f>IFERROR(__xludf.DUMMYFUNCTION("""COMPUTED_VALUE"""),"Hawaii")</f>
        <v>Hawaii</v>
      </c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</row>
    <row r="5245">
      <c r="A5245" s="4">
        <f>IFERROR(__xludf.DUMMYFUNCTION("""COMPUTED_VALUE"""),163.0)</f>
        <v>163</v>
      </c>
      <c r="B5245" s="4">
        <f>IFERROR(__xludf.DUMMYFUNCTION("""COMPUTED_VALUE"""),163.0)</f>
        <v>163</v>
      </c>
      <c r="C5245" s="4" t="str">
        <f>IFERROR(__xludf.DUMMYFUNCTION("""COMPUTED_VALUE"""),"PHO")</f>
        <v>PHO</v>
      </c>
      <c r="D5245" s="4" t="str">
        <f>IFERROR(__xludf.DUMMYFUNCTION("""COMPUTED_VALUE"""),"Mike Moon")</f>
        <v>Mike Moon</v>
      </c>
      <c r="E5245" s="4" t="str">
        <f>IFERROR(__xludf.DUMMYFUNCTION("""COMPUTED_VALUE"""),"Arizona State")</f>
        <v>Arizona State</v>
      </c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</row>
    <row r="5246">
      <c r="A5246" s="4">
        <f>IFERROR(__xludf.DUMMYFUNCTION("""COMPUTED_VALUE"""),164.0)</f>
        <v>164</v>
      </c>
      <c r="B5246" s="4">
        <f>IFERROR(__xludf.DUMMYFUNCTION("""COMPUTED_VALUE"""),164.0)</f>
        <v>164</v>
      </c>
      <c r="C5246" s="4" t="str">
        <f>IFERROR(__xludf.DUMMYFUNCTION("""COMPUTED_VALUE"""),"PHI")</f>
        <v>PHI</v>
      </c>
      <c r="D5246" s="4" t="str">
        <f>IFERROR(__xludf.DUMMYFUNCTION("""COMPUTED_VALUE"""),"Ric Reed")</f>
        <v>Ric Reed</v>
      </c>
      <c r="E5246" s="4" t="str">
        <f>IFERROR(__xludf.DUMMYFUNCTION("""COMPUTED_VALUE"""),"Azusa Pacific University")</f>
        <v>Azusa Pacific University</v>
      </c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</row>
    <row r="5247">
      <c r="A5247" s="4">
        <f>IFERROR(__xludf.DUMMYFUNCTION("""COMPUTED_VALUE"""),165.0)</f>
        <v>165</v>
      </c>
      <c r="B5247" s="4">
        <f>IFERROR(__xludf.DUMMYFUNCTION("""COMPUTED_VALUE"""),165.0)</f>
        <v>165</v>
      </c>
      <c r="C5247" s="4" t="str">
        <f>IFERROR(__xludf.DUMMYFUNCTION("""COMPUTED_VALUE"""),"MIL")</f>
        <v>MIL</v>
      </c>
      <c r="D5247" s="4" t="str">
        <f>IFERROR(__xludf.DUMMYFUNCTION("""COMPUTED_VALUE"""),"Romie Thomas")</f>
        <v>Romie Thomas</v>
      </c>
      <c r="E5247" s="4" t="str">
        <f>IFERROR(__xludf.DUMMYFUNCTION("""COMPUTED_VALUE"""),"University of Wisconsin-Eau Claire")</f>
        <v>University of Wisconsin-Eau Claire</v>
      </c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</row>
    <row r="5248">
      <c r="A5248" s="4">
        <f>IFERROR(__xludf.DUMMYFUNCTION("""COMPUTED_VALUE"""),166.0)</f>
        <v>166</v>
      </c>
      <c r="B5248" s="4">
        <f>IFERROR(__xludf.DUMMYFUNCTION("""COMPUTED_VALUE"""),166.0)</f>
        <v>166</v>
      </c>
      <c r="C5248" s="4" t="str">
        <f>IFERROR(__xludf.DUMMYFUNCTION("""COMPUTED_VALUE"""),"POR")</f>
        <v>POR</v>
      </c>
      <c r="D5248" s="4" t="str">
        <f>IFERROR(__xludf.DUMMYFUNCTION("""COMPUTED_VALUE"""),"Tyree Foster")</f>
        <v>Tyree Foster</v>
      </c>
      <c r="E5248" s="4" t="str">
        <f>IFERROR(__xludf.DUMMYFUNCTION("""COMPUTED_VALUE"""),"University of Portland")</f>
        <v>University of Portland</v>
      </c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</row>
    <row r="5249">
      <c r="A5249" s="4">
        <f>IFERROR(__xludf.DUMMYFUNCTION("""COMPUTED_VALUE"""),167.0)</f>
        <v>167</v>
      </c>
      <c r="B5249" s="4">
        <f>IFERROR(__xludf.DUMMYFUNCTION("""COMPUTED_VALUE"""),167.0)</f>
        <v>167</v>
      </c>
      <c r="C5249" s="4" t="str">
        <f>IFERROR(__xludf.DUMMYFUNCTION("""COMPUTED_VALUE"""),"CLE")</f>
        <v>CLE</v>
      </c>
      <c r="D5249" s="4" t="str">
        <f>IFERROR(__xludf.DUMMYFUNCTION("""COMPUTED_VALUE"""),"Eric Anderson")</f>
        <v>Eric Anderson</v>
      </c>
      <c r="E5249" s="4" t="str">
        <f>IFERROR(__xludf.DUMMYFUNCTION("""COMPUTED_VALUE"""),"Macalester College")</f>
        <v>Macalester College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</row>
    <row r="5250">
      <c r="A5250" s="4">
        <f>IFERROR(__xludf.DUMMYFUNCTION("""COMPUTED_VALUE"""),168.0)</f>
        <v>168</v>
      </c>
      <c r="B5250" s="4">
        <f>IFERROR(__xludf.DUMMYFUNCTION("""COMPUTED_VALUE"""),168.0)</f>
        <v>168</v>
      </c>
      <c r="C5250" s="4" t="str">
        <f>IFERROR(__xludf.DUMMYFUNCTION("""COMPUTED_VALUE"""),"NYK")</f>
        <v>NYK</v>
      </c>
      <c r="D5250" s="4" t="str">
        <f>IFERROR(__xludf.DUMMYFUNCTION("""COMPUTED_VALUE"""),"Moe Rivers")</f>
        <v>Moe Rivers</v>
      </c>
      <c r="E5250" s="4" t="str">
        <f>IFERROR(__xludf.DUMMYFUNCTION("""COMPUTED_VALUE"""),"NC State")</f>
        <v>NC State</v>
      </c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</row>
    <row r="5251">
      <c r="A5251" s="4">
        <f>IFERROR(__xludf.DUMMYFUNCTION("""COMPUTED_VALUE"""),169.0)</f>
        <v>169</v>
      </c>
      <c r="B5251" s="4">
        <f>IFERROR(__xludf.DUMMYFUNCTION("""COMPUTED_VALUE"""),169.0)</f>
        <v>169</v>
      </c>
      <c r="C5251" s="4" t="str">
        <f>IFERROR(__xludf.DUMMYFUNCTION("""COMPUTED_VALUE"""),"DET")</f>
        <v>DET</v>
      </c>
      <c r="D5251" s="4" t="str">
        <f>IFERROR(__xludf.DUMMYFUNCTION("""COMPUTED_VALUE"""),"Mickey Fox")</f>
        <v>Mickey Fox</v>
      </c>
      <c r="E5251" s="4" t="str">
        <f>IFERROR(__xludf.DUMMYFUNCTION("""COMPUTED_VALUE"""),"Saint Mary's University")</f>
        <v>Saint Mary's University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</row>
    <row r="5252">
      <c r="A5252" s="4">
        <f>IFERROR(__xludf.DUMMYFUNCTION("""COMPUTED_VALUE"""),170.0)</f>
        <v>170</v>
      </c>
      <c r="B5252" s="4">
        <f>IFERROR(__xludf.DUMMYFUNCTION("""COMPUTED_VALUE"""),170.0)</f>
        <v>170</v>
      </c>
      <c r="C5252" s="4" t="str">
        <f>IFERROR(__xludf.DUMMYFUNCTION("""COMPUTED_VALUE"""),"SEA")</f>
        <v>SEA</v>
      </c>
      <c r="D5252" s="4" t="str">
        <f>IFERROR(__xludf.DUMMYFUNCTION("""COMPUTED_VALUE"""),"Jerry Bellotti")</f>
        <v>Jerry Bellotti</v>
      </c>
      <c r="E5252" s="4" t="str">
        <f>IFERROR(__xludf.DUMMYFUNCTION("""COMPUTED_VALUE"""),"Santa Clara")</f>
        <v>Santa Clara</v>
      </c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</row>
    <row r="5253">
      <c r="A5253" s="4">
        <f>IFERROR(__xludf.DUMMYFUNCTION("""COMPUTED_VALUE"""),171.0)</f>
        <v>171</v>
      </c>
      <c r="B5253" s="4">
        <f>IFERROR(__xludf.DUMMYFUNCTION("""COMPUTED_VALUE"""),171.0)</f>
        <v>171</v>
      </c>
      <c r="C5253" s="4" t="str">
        <f>IFERROR(__xludf.DUMMYFUNCTION("""COMPUTED_VALUE"""),"GSW")</f>
        <v>GSW</v>
      </c>
      <c r="D5253" s="4" t="str">
        <f>IFERROR(__xludf.DUMMYFUNCTION("""COMPUTED_VALUE"""),"Maurice Harper")</f>
        <v>Maurice Harper</v>
      </c>
      <c r="E5253" s="4" t="str">
        <f>IFERROR(__xludf.DUMMYFUNCTION("""COMPUTED_VALUE"""),"Saint Mary's")</f>
        <v>Saint Mary's</v>
      </c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</row>
    <row r="5254">
      <c r="A5254" s="4">
        <f>IFERROR(__xludf.DUMMYFUNCTION("""COMPUTED_VALUE"""),172.0)</f>
        <v>172</v>
      </c>
      <c r="B5254" s="4">
        <f>IFERROR(__xludf.DUMMYFUNCTION("""COMPUTED_VALUE"""),172.0)</f>
        <v>172</v>
      </c>
      <c r="C5254" s="4" t="str">
        <f>IFERROR(__xludf.DUMMYFUNCTION("""COMPUTED_VALUE"""),"BUF")</f>
        <v>BUF</v>
      </c>
      <c r="D5254" s="4" t="str">
        <f>IFERROR(__xludf.DUMMYFUNCTION("""COMPUTED_VALUE"""),"Art Allen")</f>
        <v>Art Allen</v>
      </c>
      <c r="E5254" s="4" t="str">
        <f>IFERROR(__xludf.DUMMYFUNCTION("""COMPUTED_VALUE"""),"Pepperdine")</f>
        <v>Pepperdine</v>
      </c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</row>
    <row r="5255">
      <c r="A5255" s="4">
        <f>IFERROR(__xludf.DUMMYFUNCTION("""COMPUTED_VALUE"""),173.0)</f>
        <v>173</v>
      </c>
      <c r="B5255" s="4">
        <f>IFERROR(__xludf.DUMMYFUNCTION("""COMPUTED_VALUE"""),173.0)</f>
        <v>173</v>
      </c>
      <c r="C5255" s="4" t="str">
        <f>IFERROR(__xludf.DUMMYFUNCTION("""COMPUTED_VALUE"""),"WSB")</f>
        <v>WSB</v>
      </c>
      <c r="D5255" s="4" t="str">
        <f>IFERROR(__xludf.DUMMYFUNCTION("""COMPUTED_VALUE"""),"Mike Fahey")</f>
        <v>Mike Fahey</v>
      </c>
      <c r="E5255" s="4" t="str">
        <f>IFERROR(__xludf.DUMMYFUNCTION("""COMPUTED_VALUE"""),"Brandeis University")</f>
        <v>Brandeis University</v>
      </c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</row>
    <row r="5256">
      <c r="A5256" s="4">
        <f>IFERROR(__xludf.DUMMYFUNCTION("""COMPUTED_VALUE"""),174.0)</f>
        <v>174</v>
      </c>
      <c r="B5256" s="4">
        <f>IFERROR(__xludf.DUMMYFUNCTION("""COMPUTED_VALUE"""),174.0)</f>
        <v>174</v>
      </c>
      <c r="C5256" s="4" t="str">
        <f>IFERROR(__xludf.DUMMYFUNCTION("""COMPUTED_VALUE"""),"BOS")</f>
        <v>BOS</v>
      </c>
      <c r="D5256" s="4" t="str">
        <f>IFERROR(__xludf.DUMMYFUNCTION("""COMPUTED_VALUE"""),"Bill Endicott")</f>
        <v>Bill Endicott</v>
      </c>
      <c r="E5256" s="4" t="str">
        <f>IFERROR(__xludf.DUMMYFUNCTION("""COMPUTED_VALUE"""),"UMass")</f>
        <v>UMass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</row>
    <row r="5258">
      <c r="A5258" s="2">
        <v>1974.0</v>
      </c>
    </row>
    <row r="5259">
      <c r="A5259" s="4" t="str">
        <f>IFERROR(__xludf.DUMMYFUNCTION("IMPORTHTML(""https://www.basketball-reference.com/draft/NBA_1974.html"", ""table"", 1)"),"")</f>
        <v/>
      </c>
      <c r="B5259" s="4"/>
      <c r="C5259" s="4"/>
      <c r="D5259" s="4" t="str">
        <f>IFERROR(__xludf.DUMMYFUNCTION("""COMPUTED_VALUE"""),"Round 1")</f>
        <v>Round 1</v>
      </c>
      <c r="E5259" s="4"/>
      <c r="F5259" s="4"/>
      <c r="G5259" s="4" t="str">
        <f>IFERROR(__xludf.DUMMYFUNCTION("""COMPUTED_VALUE"""),"Totals")</f>
        <v>Totals</v>
      </c>
      <c r="H5259" s="4"/>
      <c r="I5259" s="4"/>
      <c r="J5259" s="4"/>
      <c r="K5259" s="4"/>
      <c r="L5259" s="4" t="str">
        <f>IFERROR(__xludf.DUMMYFUNCTION("""COMPUTED_VALUE"""),"Shooting")</f>
        <v>Shooting</v>
      </c>
      <c r="M5259" s="4"/>
      <c r="N5259" s="4"/>
      <c r="O5259" s="4" t="str">
        <f>IFERROR(__xludf.DUMMYFUNCTION("""COMPUTED_VALUE"""),"Per Game")</f>
        <v>Per Game</v>
      </c>
      <c r="P5259" s="4"/>
      <c r="Q5259" s="4"/>
      <c r="R5259" s="4"/>
      <c r="S5259" s="4" t="str">
        <f>IFERROR(__xludf.DUMMYFUNCTION("""COMPUTED_VALUE"""),"Advanced")</f>
        <v>Advanced</v>
      </c>
      <c r="T5259" s="4"/>
      <c r="U5259" s="4"/>
      <c r="V5259" s="4"/>
    </row>
    <row r="5260">
      <c r="A5260" s="4" t="str">
        <f>IFERROR(__xludf.DUMMYFUNCTION("""COMPUTED_VALUE"""),"Rk")</f>
        <v>Rk</v>
      </c>
      <c r="B5260" s="4" t="str">
        <f>IFERROR(__xludf.DUMMYFUNCTION("""COMPUTED_VALUE"""),"Pk")</f>
        <v>Pk</v>
      </c>
      <c r="C5260" s="4" t="str">
        <f>IFERROR(__xludf.DUMMYFUNCTION("""COMPUTED_VALUE"""),"Tm")</f>
        <v>Tm</v>
      </c>
      <c r="D5260" s="4" t="str">
        <f>IFERROR(__xludf.DUMMYFUNCTION("""COMPUTED_VALUE"""),"Player")</f>
        <v>Player</v>
      </c>
      <c r="E5260" s="4" t="str">
        <f>IFERROR(__xludf.DUMMYFUNCTION("""COMPUTED_VALUE"""),"College")</f>
        <v>College</v>
      </c>
      <c r="F5260" s="4" t="str">
        <f>IFERROR(__xludf.DUMMYFUNCTION("""COMPUTED_VALUE"""),"Yrs")</f>
        <v>Yrs</v>
      </c>
      <c r="G5260" s="4" t="str">
        <f>IFERROR(__xludf.DUMMYFUNCTION("""COMPUTED_VALUE"""),"G")</f>
        <v>G</v>
      </c>
      <c r="H5260" s="4" t="str">
        <f>IFERROR(__xludf.DUMMYFUNCTION("""COMPUTED_VALUE"""),"MP")</f>
        <v>MP</v>
      </c>
      <c r="I5260" s="4" t="str">
        <f>IFERROR(__xludf.DUMMYFUNCTION("""COMPUTED_VALUE"""),"PTS")</f>
        <v>PTS</v>
      </c>
      <c r="J5260" s="4" t="str">
        <f>IFERROR(__xludf.DUMMYFUNCTION("""COMPUTED_VALUE"""),"TRB")</f>
        <v>TRB</v>
      </c>
      <c r="K5260" s="4" t="str">
        <f>IFERROR(__xludf.DUMMYFUNCTION("""COMPUTED_VALUE"""),"AST")</f>
        <v>AST</v>
      </c>
      <c r="L5260" s="4" t="str">
        <f>IFERROR(__xludf.DUMMYFUNCTION("""COMPUTED_VALUE"""),"FG%")</f>
        <v>FG%</v>
      </c>
      <c r="M5260" s="4" t="str">
        <f>IFERROR(__xludf.DUMMYFUNCTION("""COMPUTED_VALUE"""),"3P%")</f>
        <v>3P%</v>
      </c>
      <c r="N5260" s="4" t="str">
        <f>IFERROR(__xludf.DUMMYFUNCTION("""COMPUTED_VALUE"""),"FT%")</f>
        <v>FT%</v>
      </c>
      <c r="O5260" s="4" t="str">
        <f>IFERROR(__xludf.DUMMYFUNCTION("""COMPUTED_VALUE"""),"MP")</f>
        <v>MP</v>
      </c>
      <c r="P5260" s="4" t="str">
        <f>IFERROR(__xludf.DUMMYFUNCTION("""COMPUTED_VALUE"""),"PTS")</f>
        <v>PTS</v>
      </c>
      <c r="Q5260" s="4" t="str">
        <f>IFERROR(__xludf.DUMMYFUNCTION("""COMPUTED_VALUE"""),"TRB")</f>
        <v>TRB</v>
      </c>
      <c r="R5260" s="4" t="str">
        <f>IFERROR(__xludf.DUMMYFUNCTION("""COMPUTED_VALUE"""),"AST")</f>
        <v>AST</v>
      </c>
      <c r="S5260" s="4" t="str">
        <f>IFERROR(__xludf.DUMMYFUNCTION("""COMPUTED_VALUE"""),"WS")</f>
        <v>WS</v>
      </c>
      <c r="T5260" s="4" t="str">
        <f>IFERROR(__xludf.DUMMYFUNCTION("""COMPUTED_VALUE"""),"WS/48")</f>
        <v>WS/48</v>
      </c>
      <c r="U5260" s="4" t="str">
        <f>IFERROR(__xludf.DUMMYFUNCTION("""COMPUTED_VALUE"""),"BPM")</f>
        <v>BPM</v>
      </c>
      <c r="V5260" s="4" t="str">
        <f>IFERROR(__xludf.DUMMYFUNCTION("""COMPUTED_VALUE"""),"VORP")</f>
        <v>VORP</v>
      </c>
    </row>
    <row r="5261">
      <c r="A5261" s="4">
        <f>IFERROR(__xludf.DUMMYFUNCTION("""COMPUTED_VALUE"""),1.0)</f>
        <v>1</v>
      </c>
      <c r="B5261" s="4">
        <f>IFERROR(__xludf.DUMMYFUNCTION("""COMPUTED_VALUE"""),1.0)</f>
        <v>1</v>
      </c>
      <c r="C5261" s="4" t="str">
        <f>IFERROR(__xludf.DUMMYFUNCTION("""COMPUTED_VALUE"""),"POR")</f>
        <v>POR</v>
      </c>
      <c r="D5261" s="4" t="str">
        <f>IFERROR(__xludf.DUMMYFUNCTION("""COMPUTED_VALUE"""),"Bill Walton")</f>
        <v>Bill Walton</v>
      </c>
      <c r="E5261" s="4" t="str">
        <f>IFERROR(__xludf.DUMMYFUNCTION("""COMPUTED_VALUE"""),"UCLA")</f>
        <v>UCLA</v>
      </c>
      <c r="F5261" s="4">
        <f>IFERROR(__xludf.DUMMYFUNCTION("""COMPUTED_VALUE"""),10.0)</f>
        <v>10</v>
      </c>
      <c r="G5261" s="4">
        <f>IFERROR(__xludf.DUMMYFUNCTION("""COMPUTED_VALUE"""),468.0)</f>
        <v>468</v>
      </c>
      <c r="H5261" s="4">
        <f>IFERROR(__xludf.DUMMYFUNCTION("""COMPUTED_VALUE"""),13250.0)</f>
        <v>13250</v>
      </c>
      <c r="I5261" s="4">
        <f>IFERROR(__xludf.DUMMYFUNCTION("""COMPUTED_VALUE"""),6215.0)</f>
        <v>6215</v>
      </c>
      <c r="J5261" s="4">
        <f>IFERROR(__xludf.DUMMYFUNCTION("""COMPUTED_VALUE"""),4923.0)</f>
        <v>4923</v>
      </c>
      <c r="K5261" s="4">
        <f>IFERROR(__xludf.DUMMYFUNCTION("""COMPUTED_VALUE"""),1590.0)</f>
        <v>1590</v>
      </c>
      <c r="L5261" s="4">
        <f>IFERROR(__xludf.DUMMYFUNCTION("""COMPUTED_VALUE"""),0.521)</f>
        <v>0.521</v>
      </c>
      <c r="M5261" s="4"/>
      <c r="N5261" s="4">
        <f>IFERROR(__xludf.DUMMYFUNCTION("""COMPUTED_VALUE"""),0.66)</f>
        <v>0.66</v>
      </c>
      <c r="O5261" s="4">
        <f>IFERROR(__xludf.DUMMYFUNCTION("""COMPUTED_VALUE"""),28.3)</f>
        <v>28.3</v>
      </c>
      <c r="P5261" s="4">
        <f>IFERROR(__xludf.DUMMYFUNCTION("""COMPUTED_VALUE"""),13.3)</f>
        <v>13.3</v>
      </c>
      <c r="Q5261" s="4">
        <f>IFERROR(__xludf.DUMMYFUNCTION("""COMPUTED_VALUE"""),10.5)</f>
        <v>10.5</v>
      </c>
      <c r="R5261" s="4">
        <f>IFERROR(__xludf.DUMMYFUNCTION("""COMPUTED_VALUE"""),3.4)</f>
        <v>3.4</v>
      </c>
      <c r="S5261" s="4">
        <f>IFERROR(__xludf.DUMMYFUNCTION("""COMPUTED_VALUE"""),39.3)</f>
        <v>39.3</v>
      </c>
      <c r="T5261" s="4">
        <f>IFERROR(__xludf.DUMMYFUNCTION("""COMPUTED_VALUE"""),0.142)</f>
        <v>0.142</v>
      </c>
      <c r="U5261" s="4">
        <f>IFERROR(__xludf.DUMMYFUNCTION("""COMPUTED_VALUE"""),4.3)</f>
        <v>4.3</v>
      </c>
      <c r="V5261" s="4">
        <f>IFERROR(__xludf.DUMMYFUNCTION("""COMPUTED_VALUE"""),21.3)</f>
        <v>21.3</v>
      </c>
    </row>
    <row r="5262">
      <c r="A5262" s="4">
        <f>IFERROR(__xludf.DUMMYFUNCTION("""COMPUTED_VALUE"""),2.0)</f>
        <v>2</v>
      </c>
      <c r="B5262" s="4">
        <f>IFERROR(__xludf.DUMMYFUNCTION("""COMPUTED_VALUE"""),2.0)</f>
        <v>2</v>
      </c>
      <c r="C5262" s="4" t="str">
        <f>IFERROR(__xludf.DUMMYFUNCTION("""COMPUTED_VALUE"""),"PHI")</f>
        <v>PHI</v>
      </c>
      <c r="D5262" s="4" t="str">
        <f>IFERROR(__xludf.DUMMYFUNCTION("""COMPUTED_VALUE"""),"Marvin Barnes")</f>
        <v>Marvin Barnes</v>
      </c>
      <c r="E5262" s="4" t="str">
        <f>IFERROR(__xludf.DUMMYFUNCTION("""COMPUTED_VALUE"""),"Providence")</f>
        <v>Providence</v>
      </c>
      <c r="F5262" s="4">
        <f>IFERROR(__xludf.DUMMYFUNCTION("""COMPUTED_VALUE"""),4.0)</f>
        <v>4</v>
      </c>
      <c r="G5262" s="4">
        <f>IFERROR(__xludf.DUMMYFUNCTION("""COMPUTED_VALUE"""),171.0)</f>
        <v>171</v>
      </c>
      <c r="H5262" s="4">
        <f>IFERROR(__xludf.DUMMYFUNCTION("""COMPUTED_VALUE"""),3718.0)</f>
        <v>3718</v>
      </c>
      <c r="I5262" s="4">
        <f>IFERROR(__xludf.DUMMYFUNCTION("""COMPUTED_VALUE"""),1569.0)</f>
        <v>1569</v>
      </c>
      <c r="J5262" s="4">
        <f>IFERROR(__xludf.DUMMYFUNCTION("""COMPUTED_VALUE"""),946.0)</f>
        <v>946</v>
      </c>
      <c r="K5262" s="4">
        <f>IFERROR(__xludf.DUMMYFUNCTION("""COMPUTED_VALUE"""),252.0)</f>
        <v>252</v>
      </c>
      <c r="L5262" s="4">
        <f>IFERROR(__xludf.DUMMYFUNCTION("""COMPUTED_VALUE"""),0.442)</f>
        <v>0.442</v>
      </c>
      <c r="M5262" s="4"/>
      <c r="N5262" s="4">
        <f>IFERROR(__xludf.DUMMYFUNCTION("""COMPUTED_VALUE"""),0.672)</f>
        <v>0.672</v>
      </c>
      <c r="O5262" s="4">
        <f>IFERROR(__xludf.DUMMYFUNCTION("""COMPUTED_VALUE"""),21.7)</f>
        <v>21.7</v>
      </c>
      <c r="P5262" s="4">
        <f>IFERROR(__xludf.DUMMYFUNCTION("""COMPUTED_VALUE"""),9.2)</f>
        <v>9.2</v>
      </c>
      <c r="Q5262" s="4">
        <f>IFERROR(__xludf.DUMMYFUNCTION("""COMPUTED_VALUE"""),5.5)</f>
        <v>5.5</v>
      </c>
      <c r="R5262" s="4">
        <f>IFERROR(__xludf.DUMMYFUNCTION("""COMPUTED_VALUE"""),1.5)</f>
        <v>1.5</v>
      </c>
      <c r="S5262" s="4">
        <f>IFERROR(__xludf.DUMMYFUNCTION("""COMPUTED_VALUE"""),4.4)</f>
        <v>4.4</v>
      </c>
      <c r="T5262" s="4">
        <f>IFERROR(__xludf.DUMMYFUNCTION("""COMPUTED_VALUE"""),0.057)</f>
        <v>0.057</v>
      </c>
      <c r="U5262" s="4">
        <f>IFERROR(__xludf.DUMMYFUNCTION("""COMPUTED_VALUE"""),-1.7)</f>
        <v>-1.7</v>
      </c>
      <c r="V5262" s="4">
        <f>IFERROR(__xludf.DUMMYFUNCTION("""COMPUTED_VALUE"""),0.3)</f>
        <v>0.3</v>
      </c>
    </row>
    <row r="5263">
      <c r="A5263" s="4">
        <f>IFERROR(__xludf.DUMMYFUNCTION("""COMPUTED_VALUE"""),3.0)</f>
        <v>3</v>
      </c>
      <c r="B5263" s="4">
        <f>IFERROR(__xludf.DUMMYFUNCTION("""COMPUTED_VALUE"""),3.0)</f>
        <v>3</v>
      </c>
      <c r="C5263" s="4" t="str">
        <f>IFERROR(__xludf.DUMMYFUNCTION("""COMPUTED_VALUE"""),"SEA")</f>
        <v>SEA</v>
      </c>
      <c r="D5263" s="4" t="str">
        <f>IFERROR(__xludf.DUMMYFUNCTION("""COMPUTED_VALUE"""),"Tom Burleson")</f>
        <v>Tom Burleson</v>
      </c>
      <c r="E5263" s="4" t="str">
        <f>IFERROR(__xludf.DUMMYFUNCTION("""COMPUTED_VALUE"""),"NC State")</f>
        <v>NC State</v>
      </c>
      <c r="F5263" s="4">
        <f>IFERROR(__xludf.DUMMYFUNCTION("""COMPUTED_VALUE"""),7.0)</f>
        <v>7</v>
      </c>
      <c r="G5263" s="4">
        <f>IFERROR(__xludf.DUMMYFUNCTION("""COMPUTED_VALUE"""),446.0)</f>
        <v>446</v>
      </c>
      <c r="H5263" s="4">
        <f>IFERROR(__xludf.DUMMYFUNCTION("""COMPUTED_VALUE"""),9425.0)</f>
        <v>9425</v>
      </c>
      <c r="I5263" s="4">
        <f>IFERROR(__xludf.DUMMYFUNCTION("""COMPUTED_VALUE"""),4190.0)</f>
        <v>4190</v>
      </c>
      <c r="J5263" s="4">
        <f>IFERROR(__xludf.DUMMYFUNCTION("""COMPUTED_VALUE"""),2794.0)</f>
        <v>2794</v>
      </c>
      <c r="K5263" s="4">
        <f>IFERROR(__xludf.DUMMYFUNCTION("""COMPUTED_VALUE"""),601.0)</f>
        <v>601</v>
      </c>
      <c r="L5263" s="4">
        <f>IFERROR(__xludf.DUMMYFUNCTION("""COMPUTED_VALUE"""),0.445)</f>
        <v>0.445</v>
      </c>
      <c r="M5263" s="4"/>
      <c r="N5263" s="4">
        <f>IFERROR(__xludf.DUMMYFUNCTION("""COMPUTED_VALUE"""),0.726)</f>
        <v>0.726</v>
      </c>
      <c r="O5263" s="4">
        <f>IFERROR(__xludf.DUMMYFUNCTION("""COMPUTED_VALUE"""),21.1)</f>
        <v>21.1</v>
      </c>
      <c r="P5263" s="4">
        <f>IFERROR(__xludf.DUMMYFUNCTION("""COMPUTED_VALUE"""),9.4)</f>
        <v>9.4</v>
      </c>
      <c r="Q5263" s="4">
        <f>IFERROR(__xludf.DUMMYFUNCTION("""COMPUTED_VALUE"""),6.3)</f>
        <v>6.3</v>
      </c>
      <c r="R5263" s="4">
        <f>IFERROR(__xludf.DUMMYFUNCTION("""COMPUTED_VALUE"""),1.3)</f>
        <v>1.3</v>
      </c>
      <c r="S5263" s="4">
        <f>IFERROR(__xludf.DUMMYFUNCTION("""COMPUTED_VALUE"""),22.9)</f>
        <v>22.9</v>
      </c>
      <c r="T5263" s="4">
        <f>IFERROR(__xludf.DUMMYFUNCTION("""COMPUTED_VALUE"""),0.117)</f>
        <v>0.117</v>
      </c>
      <c r="U5263" s="4">
        <f>IFERROR(__xludf.DUMMYFUNCTION("""COMPUTED_VALUE"""),0.2)</f>
        <v>0.2</v>
      </c>
      <c r="V5263" s="4">
        <f>IFERROR(__xludf.DUMMYFUNCTION("""COMPUTED_VALUE"""),5.1)</f>
        <v>5.1</v>
      </c>
    </row>
    <row r="5264">
      <c r="A5264" s="4">
        <f>IFERROR(__xludf.DUMMYFUNCTION("""COMPUTED_VALUE"""),4.0)</f>
        <v>4</v>
      </c>
      <c r="B5264" s="4">
        <f>IFERROR(__xludf.DUMMYFUNCTION("""COMPUTED_VALUE"""),4.0)</f>
        <v>4</v>
      </c>
      <c r="C5264" s="4" t="str">
        <f>IFERROR(__xludf.DUMMYFUNCTION("""COMPUTED_VALUE"""),"PHO")</f>
        <v>PHO</v>
      </c>
      <c r="D5264" s="4" t="str">
        <f>IFERROR(__xludf.DUMMYFUNCTION("""COMPUTED_VALUE"""),"John Shumate")</f>
        <v>John Shumate</v>
      </c>
      <c r="E5264" s="4" t="str">
        <f>IFERROR(__xludf.DUMMYFUNCTION("""COMPUTED_VALUE"""),"Notre Dame")</f>
        <v>Notre Dame</v>
      </c>
      <c r="F5264" s="4">
        <f>IFERROR(__xludf.DUMMYFUNCTION("""COMPUTED_VALUE"""),5.0)</f>
        <v>5</v>
      </c>
      <c r="G5264" s="4">
        <f>IFERROR(__xludf.DUMMYFUNCTION("""COMPUTED_VALUE"""),318.0)</f>
        <v>318</v>
      </c>
      <c r="H5264" s="4">
        <f>IFERROR(__xludf.DUMMYFUNCTION("""COMPUTED_VALUE"""),9201.0)</f>
        <v>9201</v>
      </c>
      <c r="I5264" s="4">
        <f>IFERROR(__xludf.DUMMYFUNCTION("""COMPUTED_VALUE"""),3920.0)</f>
        <v>3920</v>
      </c>
      <c r="J5264" s="4">
        <f>IFERROR(__xludf.DUMMYFUNCTION("""COMPUTED_VALUE"""),2388.0)</f>
        <v>2388</v>
      </c>
      <c r="K5264" s="4">
        <f>IFERROR(__xludf.DUMMYFUNCTION("""COMPUTED_VALUE"""),574.0)</f>
        <v>574</v>
      </c>
      <c r="L5264" s="4">
        <f>IFERROR(__xludf.DUMMYFUNCTION("""COMPUTED_VALUE"""),0.516)</f>
        <v>0.516</v>
      </c>
      <c r="M5264" s="4"/>
      <c r="N5264" s="4">
        <f>IFERROR(__xludf.DUMMYFUNCTION("""COMPUTED_VALUE"""),0.72)</f>
        <v>0.72</v>
      </c>
      <c r="O5264" s="4">
        <f>IFERROR(__xludf.DUMMYFUNCTION("""COMPUTED_VALUE"""),28.9)</f>
        <v>28.9</v>
      </c>
      <c r="P5264" s="4">
        <f>IFERROR(__xludf.DUMMYFUNCTION("""COMPUTED_VALUE"""),12.3)</f>
        <v>12.3</v>
      </c>
      <c r="Q5264" s="4">
        <f>IFERROR(__xludf.DUMMYFUNCTION("""COMPUTED_VALUE"""),7.5)</f>
        <v>7.5</v>
      </c>
      <c r="R5264" s="4">
        <f>IFERROR(__xludf.DUMMYFUNCTION("""COMPUTED_VALUE"""),1.8)</f>
        <v>1.8</v>
      </c>
      <c r="S5264" s="4">
        <f>IFERROR(__xludf.DUMMYFUNCTION("""COMPUTED_VALUE"""),24.5)</f>
        <v>24.5</v>
      </c>
      <c r="T5264" s="4">
        <f>IFERROR(__xludf.DUMMYFUNCTION("""COMPUTED_VALUE"""),0.128)</f>
        <v>0.128</v>
      </c>
      <c r="U5264" s="4">
        <f>IFERROR(__xludf.DUMMYFUNCTION("""COMPUTED_VALUE"""),1.0)</f>
        <v>1</v>
      </c>
      <c r="V5264" s="4">
        <f>IFERROR(__xludf.DUMMYFUNCTION("""COMPUTED_VALUE"""),6.9)</f>
        <v>6.9</v>
      </c>
    </row>
    <row r="5265">
      <c r="A5265" s="4">
        <f>IFERROR(__xludf.DUMMYFUNCTION("""COMPUTED_VALUE"""),5.0)</f>
        <v>5</v>
      </c>
      <c r="B5265" s="4">
        <f>IFERROR(__xludf.DUMMYFUNCTION("""COMPUTED_VALUE"""),5.0)</f>
        <v>5</v>
      </c>
      <c r="C5265" s="4" t="str">
        <f>IFERROR(__xludf.DUMMYFUNCTION("""COMPUTED_VALUE"""),"HOU")</f>
        <v>HOU</v>
      </c>
      <c r="D5265" s="4" t="str">
        <f>IFERROR(__xludf.DUMMYFUNCTION("""COMPUTED_VALUE"""),"Bobby Jones")</f>
        <v>Bobby Jones</v>
      </c>
      <c r="E5265" s="4" t="str">
        <f>IFERROR(__xludf.DUMMYFUNCTION("""COMPUTED_VALUE"""),"UNC")</f>
        <v>UNC</v>
      </c>
      <c r="F5265" s="4">
        <f>IFERROR(__xludf.DUMMYFUNCTION("""COMPUTED_VALUE"""),10.0)</f>
        <v>10</v>
      </c>
      <c r="G5265" s="4">
        <f>IFERROR(__xludf.DUMMYFUNCTION("""COMPUTED_VALUE"""),774.0)</f>
        <v>774</v>
      </c>
      <c r="H5265" s="4">
        <f>IFERROR(__xludf.DUMMYFUNCTION("""COMPUTED_VALUE"""),20177.0)</f>
        <v>20177</v>
      </c>
      <c r="I5265" s="4">
        <f>IFERROR(__xludf.DUMMYFUNCTION("""COMPUTED_VALUE"""),8911.0)</f>
        <v>8911</v>
      </c>
      <c r="J5265" s="4">
        <f>IFERROR(__xludf.DUMMYFUNCTION("""COMPUTED_VALUE"""),4256.0)</f>
        <v>4256</v>
      </c>
      <c r="K5265" s="4">
        <f>IFERROR(__xludf.DUMMYFUNCTION("""COMPUTED_VALUE"""),1888.0)</f>
        <v>1888</v>
      </c>
      <c r="L5265" s="4">
        <f>IFERROR(__xludf.DUMMYFUNCTION("""COMPUTED_VALUE"""),0.55)</f>
        <v>0.55</v>
      </c>
      <c r="M5265" s="4"/>
      <c r="N5265" s="4">
        <f>IFERROR(__xludf.DUMMYFUNCTION("""COMPUTED_VALUE"""),0.78)</f>
        <v>0.78</v>
      </c>
      <c r="O5265" s="4">
        <f>IFERROR(__xludf.DUMMYFUNCTION("""COMPUTED_VALUE"""),26.1)</f>
        <v>26.1</v>
      </c>
      <c r="P5265" s="4">
        <f>IFERROR(__xludf.DUMMYFUNCTION("""COMPUTED_VALUE"""),11.5)</f>
        <v>11.5</v>
      </c>
      <c r="Q5265" s="4">
        <f>IFERROR(__xludf.DUMMYFUNCTION("""COMPUTED_VALUE"""),5.5)</f>
        <v>5.5</v>
      </c>
      <c r="R5265" s="4">
        <f>IFERROR(__xludf.DUMMYFUNCTION("""COMPUTED_VALUE"""),2.4)</f>
        <v>2.4</v>
      </c>
      <c r="S5265" s="4">
        <f>IFERROR(__xludf.DUMMYFUNCTION("""COMPUTED_VALUE"""),73.7)</f>
        <v>73.7</v>
      </c>
      <c r="T5265" s="4">
        <f>IFERROR(__xludf.DUMMYFUNCTION("""COMPUTED_VALUE"""),0.175)</f>
        <v>0.175</v>
      </c>
      <c r="U5265" s="4">
        <f>IFERROR(__xludf.DUMMYFUNCTION("""COMPUTED_VALUE"""),4.0)</f>
        <v>4</v>
      </c>
      <c r="V5265" s="4">
        <f>IFERROR(__xludf.DUMMYFUNCTION("""COMPUTED_VALUE"""),30.6)</f>
        <v>30.6</v>
      </c>
    </row>
    <row r="5266">
      <c r="A5266" s="4">
        <f>IFERROR(__xludf.DUMMYFUNCTION("""COMPUTED_VALUE"""),6.0)</f>
        <v>6</v>
      </c>
      <c r="B5266" s="4">
        <f>IFERROR(__xludf.DUMMYFUNCTION("""COMPUTED_VALUE"""),6.0)</f>
        <v>6</v>
      </c>
      <c r="C5266" s="4" t="str">
        <f>IFERROR(__xludf.DUMMYFUNCTION("""COMPUTED_VALUE"""),"KCO")</f>
        <v>KCO</v>
      </c>
      <c r="D5266" s="4" t="str">
        <f>IFERROR(__xludf.DUMMYFUNCTION("""COMPUTED_VALUE"""),"Scott Wedman")</f>
        <v>Scott Wedman</v>
      </c>
      <c r="E5266" s="4" t="str">
        <f>IFERROR(__xludf.DUMMYFUNCTION("""COMPUTED_VALUE"""),"Colorado")</f>
        <v>Colorado</v>
      </c>
      <c r="F5266" s="4">
        <f>IFERROR(__xludf.DUMMYFUNCTION("""COMPUTED_VALUE"""),13.0)</f>
        <v>13</v>
      </c>
      <c r="G5266" s="4">
        <f>IFERROR(__xludf.DUMMYFUNCTION("""COMPUTED_VALUE"""),906.0)</f>
        <v>906</v>
      </c>
      <c r="H5266" s="4">
        <f>IFERROR(__xludf.DUMMYFUNCTION("""COMPUTED_VALUE"""),25927.0)</f>
        <v>25927</v>
      </c>
      <c r="I5266" s="4">
        <f>IFERROR(__xludf.DUMMYFUNCTION("""COMPUTED_VALUE"""),11916.0)</f>
        <v>11916</v>
      </c>
      <c r="J5266" s="4">
        <f>IFERROR(__xludf.DUMMYFUNCTION("""COMPUTED_VALUE"""),4355.0)</f>
        <v>4355</v>
      </c>
      <c r="K5266" s="4">
        <f>IFERROR(__xludf.DUMMYFUNCTION("""COMPUTED_VALUE"""),1771.0)</f>
        <v>1771</v>
      </c>
      <c r="L5266" s="4">
        <f>IFERROR(__xludf.DUMMYFUNCTION("""COMPUTED_VALUE"""),0.481)</f>
        <v>0.481</v>
      </c>
      <c r="M5266" s="4"/>
      <c r="N5266" s="4">
        <f>IFERROR(__xludf.DUMMYFUNCTION("""COMPUTED_VALUE"""),0.794)</f>
        <v>0.794</v>
      </c>
      <c r="O5266" s="4">
        <f>IFERROR(__xludf.DUMMYFUNCTION("""COMPUTED_VALUE"""),28.6)</f>
        <v>28.6</v>
      </c>
      <c r="P5266" s="4">
        <f>IFERROR(__xludf.DUMMYFUNCTION("""COMPUTED_VALUE"""),13.2)</f>
        <v>13.2</v>
      </c>
      <c r="Q5266" s="4">
        <f>IFERROR(__xludf.DUMMYFUNCTION("""COMPUTED_VALUE"""),4.8)</f>
        <v>4.8</v>
      </c>
      <c r="R5266" s="4">
        <f>IFERROR(__xludf.DUMMYFUNCTION("""COMPUTED_VALUE"""),2.0)</f>
        <v>2</v>
      </c>
      <c r="S5266" s="4">
        <f>IFERROR(__xludf.DUMMYFUNCTION("""COMPUTED_VALUE"""),53.7)</f>
        <v>53.7</v>
      </c>
      <c r="T5266" s="4">
        <f>IFERROR(__xludf.DUMMYFUNCTION("""COMPUTED_VALUE"""),0.099)</f>
        <v>0.099</v>
      </c>
      <c r="U5266" s="4">
        <f>IFERROR(__xludf.DUMMYFUNCTION("""COMPUTED_VALUE"""),-0.4)</f>
        <v>-0.4</v>
      </c>
      <c r="V5266" s="4">
        <f>IFERROR(__xludf.DUMMYFUNCTION("""COMPUTED_VALUE"""),10.5)</f>
        <v>10.5</v>
      </c>
    </row>
    <row r="5267">
      <c r="A5267" s="4">
        <f>IFERROR(__xludf.DUMMYFUNCTION("""COMPUTED_VALUE"""),7.0)</f>
        <v>7</v>
      </c>
      <c r="B5267" s="4">
        <f>IFERROR(__xludf.DUMMYFUNCTION("""COMPUTED_VALUE"""),7.0)</f>
        <v>7</v>
      </c>
      <c r="C5267" s="4" t="str">
        <f>IFERROR(__xludf.DUMMYFUNCTION("""COMPUTED_VALUE"""),"ATL")</f>
        <v>ATL</v>
      </c>
      <c r="D5267" s="4" t="str">
        <f>IFERROR(__xludf.DUMMYFUNCTION("""COMPUTED_VALUE"""),"Tom Henderson")</f>
        <v>Tom Henderson</v>
      </c>
      <c r="E5267" s="4" t="str">
        <f>IFERROR(__xludf.DUMMYFUNCTION("""COMPUTED_VALUE"""),"Hawaii")</f>
        <v>Hawaii</v>
      </c>
      <c r="F5267" s="4">
        <f>IFERROR(__xludf.DUMMYFUNCTION("""COMPUTED_VALUE"""),9.0)</f>
        <v>9</v>
      </c>
      <c r="G5267" s="4">
        <f>IFERROR(__xludf.DUMMYFUNCTION("""COMPUTED_VALUE"""),650.0)</f>
        <v>650</v>
      </c>
      <c r="H5267" s="4">
        <f>IFERROR(__xludf.DUMMYFUNCTION("""COMPUTED_VALUE"""),17690.0)</f>
        <v>17690</v>
      </c>
      <c r="I5267" s="4">
        <f>IFERROR(__xludf.DUMMYFUNCTION("""COMPUTED_VALUE"""),6088.0)</f>
        <v>6088</v>
      </c>
      <c r="J5267" s="4">
        <f>IFERROR(__xludf.DUMMYFUNCTION("""COMPUTED_VALUE"""),1494.0)</f>
        <v>1494</v>
      </c>
      <c r="K5267" s="4">
        <f>IFERROR(__xludf.DUMMYFUNCTION("""COMPUTED_VALUE"""),3136.0)</f>
        <v>3136</v>
      </c>
      <c r="L5267" s="4">
        <f>IFERROR(__xludf.DUMMYFUNCTION("""COMPUTED_VALUE"""),0.433)</f>
        <v>0.433</v>
      </c>
      <c r="M5267" s="4"/>
      <c r="N5267" s="4">
        <f>IFERROR(__xludf.DUMMYFUNCTION("""COMPUTED_VALUE"""),0.739)</f>
        <v>0.739</v>
      </c>
      <c r="O5267" s="4">
        <f>IFERROR(__xludf.DUMMYFUNCTION("""COMPUTED_VALUE"""),27.2)</f>
        <v>27.2</v>
      </c>
      <c r="P5267" s="4">
        <f>IFERROR(__xludf.DUMMYFUNCTION("""COMPUTED_VALUE"""),9.4)</f>
        <v>9.4</v>
      </c>
      <c r="Q5267" s="4">
        <f>IFERROR(__xludf.DUMMYFUNCTION("""COMPUTED_VALUE"""),2.3)</f>
        <v>2.3</v>
      </c>
      <c r="R5267" s="4">
        <f>IFERROR(__xludf.DUMMYFUNCTION("""COMPUTED_VALUE"""),4.8)</f>
        <v>4.8</v>
      </c>
      <c r="S5267" s="4">
        <f>IFERROR(__xludf.DUMMYFUNCTION("""COMPUTED_VALUE"""),22.1)</f>
        <v>22.1</v>
      </c>
      <c r="T5267" s="4">
        <f>IFERROR(__xludf.DUMMYFUNCTION("""COMPUTED_VALUE"""),0.06)</f>
        <v>0.06</v>
      </c>
      <c r="U5267" s="4">
        <f>IFERROR(__xludf.DUMMYFUNCTION("""COMPUTED_VALUE"""),-1.0)</f>
        <v>-1</v>
      </c>
      <c r="V5267" s="4">
        <f>IFERROR(__xludf.DUMMYFUNCTION("""COMPUTED_VALUE"""),4.4)</f>
        <v>4.4</v>
      </c>
    </row>
    <row r="5268">
      <c r="A5268" s="4">
        <f>IFERROR(__xludf.DUMMYFUNCTION("""COMPUTED_VALUE"""),8.0)</f>
        <v>8</v>
      </c>
      <c r="B5268" s="4">
        <f>IFERROR(__xludf.DUMMYFUNCTION("""COMPUTED_VALUE"""),8.0)</f>
        <v>8</v>
      </c>
      <c r="C5268" s="4" t="str">
        <f>IFERROR(__xludf.DUMMYFUNCTION("""COMPUTED_VALUE"""),"CLE")</f>
        <v>CLE</v>
      </c>
      <c r="D5268" s="4" t="str">
        <f>IFERROR(__xludf.DUMMYFUNCTION("""COMPUTED_VALUE"""),"Campy Russell")</f>
        <v>Campy Russell</v>
      </c>
      <c r="E5268" s="4" t="str">
        <f>IFERROR(__xludf.DUMMYFUNCTION("""COMPUTED_VALUE"""),"Michigan")</f>
        <v>Michigan</v>
      </c>
      <c r="F5268" s="4">
        <f>IFERROR(__xludf.DUMMYFUNCTION("""COMPUTED_VALUE"""),9.0)</f>
        <v>9</v>
      </c>
      <c r="G5268" s="4">
        <f>IFERROR(__xludf.DUMMYFUNCTION("""COMPUTED_VALUE"""),566.0)</f>
        <v>566</v>
      </c>
      <c r="H5268" s="4">
        <f>IFERROR(__xludf.DUMMYFUNCTION("""COMPUTED_VALUE"""),16781.0)</f>
        <v>16781</v>
      </c>
      <c r="I5268" s="4">
        <f>IFERROR(__xludf.DUMMYFUNCTION("""COMPUTED_VALUE"""),8953.0)</f>
        <v>8953</v>
      </c>
      <c r="J5268" s="4">
        <f>IFERROR(__xludf.DUMMYFUNCTION("""COMPUTED_VALUE"""),2696.0)</f>
        <v>2696</v>
      </c>
      <c r="K5268" s="4">
        <f>IFERROR(__xludf.DUMMYFUNCTION("""COMPUTED_VALUE"""),1684.0)</f>
        <v>1684</v>
      </c>
      <c r="L5268" s="4">
        <f>IFERROR(__xludf.DUMMYFUNCTION("""COMPUTED_VALUE"""),0.459)</f>
        <v>0.459</v>
      </c>
      <c r="M5268" s="4"/>
      <c r="N5268" s="4">
        <f>IFERROR(__xludf.DUMMYFUNCTION("""COMPUTED_VALUE"""),0.772)</f>
        <v>0.772</v>
      </c>
      <c r="O5268" s="4">
        <f>IFERROR(__xludf.DUMMYFUNCTION("""COMPUTED_VALUE"""),29.6)</f>
        <v>29.6</v>
      </c>
      <c r="P5268" s="4">
        <f>IFERROR(__xludf.DUMMYFUNCTION("""COMPUTED_VALUE"""),15.8)</f>
        <v>15.8</v>
      </c>
      <c r="Q5268" s="4">
        <f>IFERROR(__xludf.DUMMYFUNCTION("""COMPUTED_VALUE"""),4.8)</f>
        <v>4.8</v>
      </c>
      <c r="R5268" s="4">
        <f>IFERROR(__xludf.DUMMYFUNCTION("""COMPUTED_VALUE"""),3.0)</f>
        <v>3</v>
      </c>
      <c r="S5268" s="4">
        <f>IFERROR(__xludf.DUMMYFUNCTION("""COMPUTED_VALUE"""),35.8)</f>
        <v>35.8</v>
      </c>
      <c r="T5268" s="4">
        <f>IFERROR(__xludf.DUMMYFUNCTION("""COMPUTED_VALUE"""),0.103)</f>
        <v>0.103</v>
      </c>
      <c r="U5268" s="4">
        <f>IFERROR(__xludf.DUMMYFUNCTION("""COMPUTED_VALUE"""),0.3)</f>
        <v>0.3</v>
      </c>
      <c r="V5268" s="4">
        <f>IFERROR(__xludf.DUMMYFUNCTION("""COMPUTED_VALUE"""),9.8)</f>
        <v>9.8</v>
      </c>
    </row>
    <row r="5269">
      <c r="A5269" s="4">
        <f>IFERROR(__xludf.DUMMYFUNCTION("""COMPUTED_VALUE"""),9.0)</f>
        <v>9</v>
      </c>
      <c r="B5269" s="4">
        <f>IFERROR(__xludf.DUMMYFUNCTION("""COMPUTED_VALUE"""),9.0)</f>
        <v>9</v>
      </c>
      <c r="C5269" s="4" t="str">
        <f>IFERROR(__xludf.DUMMYFUNCTION("""COMPUTED_VALUE"""),"BUF")</f>
        <v>BUF</v>
      </c>
      <c r="D5269" s="4" t="str">
        <f>IFERROR(__xludf.DUMMYFUNCTION("""COMPUTED_VALUE"""),"Tom McMillen")</f>
        <v>Tom McMillen</v>
      </c>
      <c r="E5269" s="4" t="str">
        <f>IFERROR(__xludf.DUMMYFUNCTION("""COMPUTED_VALUE"""),"Maryland")</f>
        <v>Maryland</v>
      </c>
      <c r="F5269" s="4">
        <f>IFERROR(__xludf.DUMMYFUNCTION("""COMPUTED_VALUE"""),11.0)</f>
        <v>11</v>
      </c>
      <c r="G5269" s="4">
        <f>IFERROR(__xludf.DUMMYFUNCTION("""COMPUTED_VALUE"""),729.0)</f>
        <v>729</v>
      </c>
      <c r="H5269" s="4">
        <f>IFERROR(__xludf.DUMMYFUNCTION("""COMPUTED_VALUE"""),14770.0)</f>
        <v>14770</v>
      </c>
      <c r="I5269" s="4">
        <f>IFERROR(__xludf.DUMMYFUNCTION("""COMPUTED_VALUE"""),5914.0)</f>
        <v>5914</v>
      </c>
      <c r="J5269" s="4">
        <f>IFERROR(__xludf.DUMMYFUNCTION("""COMPUTED_VALUE"""),2913.0)</f>
        <v>2913</v>
      </c>
      <c r="K5269" s="4">
        <f>IFERROR(__xludf.DUMMYFUNCTION("""COMPUTED_VALUE"""),788.0)</f>
        <v>788</v>
      </c>
      <c r="L5269" s="4">
        <f>IFERROR(__xludf.DUMMYFUNCTION("""COMPUTED_VALUE"""),0.483)</f>
        <v>0.483</v>
      </c>
      <c r="M5269" s="4"/>
      <c r="N5269" s="4">
        <f>IFERROR(__xludf.DUMMYFUNCTION("""COMPUTED_VALUE"""),0.806)</f>
        <v>0.806</v>
      </c>
      <c r="O5269" s="4">
        <f>IFERROR(__xludf.DUMMYFUNCTION("""COMPUTED_VALUE"""),20.3)</f>
        <v>20.3</v>
      </c>
      <c r="P5269" s="4">
        <f>IFERROR(__xludf.DUMMYFUNCTION("""COMPUTED_VALUE"""),8.1)</f>
        <v>8.1</v>
      </c>
      <c r="Q5269" s="4">
        <f>IFERROR(__xludf.DUMMYFUNCTION("""COMPUTED_VALUE"""),4.0)</f>
        <v>4</v>
      </c>
      <c r="R5269" s="4">
        <f>IFERROR(__xludf.DUMMYFUNCTION("""COMPUTED_VALUE"""),1.1)</f>
        <v>1.1</v>
      </c>
      <c r="S5269" s="4">
        <f>IFERROR(__xludf.DUMMYFUNCTION("""COMPUTED_VALUE"""),27.2)</f>
        <v>27.2</v>
      </c>
      <c r="T5269" s="4">
        <f>IFERROR(__xludf.DUMMYFUNCTION("""COMPUTED_VALUE"""),0.088)</f>
        <v>0.088</v>
      </c>
      <c r="U5269" s="4">
        <f>IFERROR(__xludf.DUMMYFUNCTION("""COMPUTED_VALUE"""),-2.0)</f>
        <v>-2</v>
      </c>
      <c r="V5269" s="4">
        <f>IFERROR(__xludf.DUMMYFUNCTION("""COMPUTED_VALUE"""),-0.1)</f>
        <v>-0.1</v>
      </c>
    </row>
    <row r="5270">
      <c r="A5270" s="4">
        <f>IFERROR(__xludf.DUMMYFUNCTION("""COMPUTED_VALUE"""),10.0)</f>
        <v>10</v>
      </c>
      <c r="B5270" s="4">
        <f>IFERROR(__xludf.DUMMYFUNCTION("""COMPUTED_VALUE"""),10.0)</f>
        <v>10</v>
      </c>
      <c r="C5270" s="4" t="str">
        <f>IFERROR(__xludf.DUMMYFUNCTION("""COMPUTED_VALUE"""),"ATL")</f>
        <v>ATL</v>
      </c>
      <c r="D5270" s="4" t="str">
        <f>IFERROR(__xludf.DUMMYFUNCTION("""COMPUTED_VALUE"""),"Mike Sojourner")</f>
        <v>Mike Sojourner</v>
      </c>
      <c r="E5270" s="4" t="str">
        <f>IFERROR(__xludf.DUMMYFUNCTION("""COMPUTED_VALUE"""),"Utah")</f>
        <v>Utah</v>
      </c>
      <c r="F5270" s="4">
        <f>IFERROR(__xludf.DUMMYFUNCTION("""COMPUTED_VALUE"""),3.0)</f>
        <v>3</v>
      </c>
      <c r="G5270" s="4">
        <f>IFERROR(__xludf.DUMMYFUNCTION("""COMPUTED_VALUE"""),191.0)</f>
        <v>191</v>
      </c>
      <c r="H5270" s="4">
        <f>IFERROR(__xludf.DUMMYFUNCTION("""COMPUTED_VALUE"""),4282.0)</f>
        <v>4282</v>
      </c>
      <c r="I5270" s="4">
        <f>IFERROR(__xludf.DUMMYFUNCTION("""COMPUTED_VALUE"""),1658.0)</f>
        <v>1658</v>
      </c>
      <c r="J5270" s="4">
        <f>IFERROR(__xludf.DUMMYFUNCTION("""COMPUTED_VALUE"""),1237.0)</f>
        <v>1237</v>
      </c>
      <c r="K5270" s="4">
        <f>IFERROR(__xludf.DUMMYFUNCTION("""COMPUTED_VALUE"""),172.0)</f>
        <v>172</v>
      </c>
      <c r="L5270" s="4">
        <f>IFERROR(__xludf.DUMMYFUNCTION("""COMPUTED_VALUE"""),0.48)</f>
        <v>0.48</v>
      </c>
      <c r="M5270" s="4"/>
      <c r="N5270" s="4">
        <f>IFERROR(__xludf.DUMMYFUNCTION("""COMPUTED_VALUE"""),0.671)</f>
        <v>0.671</v>
      </c>
      <c r="O5270" s="4">
        <f>IFERROR(__xludf.DUMMYFUNCTION("""COMPUTED_VALUE"""),22.4)</f>
        <v>22.4</v>
      </c>
      <c r="P5270" s="4">
        <f>IFERROR(__xludf.DUMMYFUNCTION("""COMPUTED_VALUE"""),8.7)</f>
        <v>8.7</v>
      </c>
      <c r="Q5270" s="4">
        <f>IFERROR(__xludf.DUMMYFUNCTION("""COMPUTED_VALUE"""),6.5)</f>
        <v>6.5</v>
      </c>
      <c r="R5270" s="4">
        <f>IFERROR(__xludf.DUMMYFUNCTION("""COMPUTED_VALUE"""),0.9)</f>
        <v>0.9</v>
      </c>
      <c r="S5270" s="4">
        <f>IFERROR(__xludf.DUMMYFUNCTION("""COMPUTED_VALUE"""),8.2)</f>
        <v>8.2</v>
      </c>
      <c r="T5270" s="4">
        <f>IFERROR(__xludf.DUMMYFUNCTION("""COMPUTED_VALUE"""),0.092)</f>
        <v>0.092</v>
      </c>
      <c r="U5270" s="4">
        <f>IFERROR(__xludf.DUMMYFUNCTION("""COMPUTED_VALUE"""),-1.0)</f>
        <v>-1</v>
      </c>
      <c r="V5270" s="4">
        <f>IFERROR(__xludf.DUMMYFUNCTION("""COMPUTED_VALUE"""),1.1)</f>
        <v>1.1</v>
      </c>
    </row>
    <row r="5271">
      <c r="A5271" s="4">
        <f>IFERROR(__xludf.DUMMYFUNCTION("""COMPUTED_VALUE"""),11.0)</f>
        <v>11</v>
      </c>
      <c r="B5271" s="4">
        <f>IFERROR(__xludf.DUMMYFUNCTION("""COMPUTED_VALUE"""),11.0)</f>
        <v>11</v>
      </c>
      <c r="C5271" s="4" t="str">
        <f>IFERROR(__xludf.DUMMYFUNCTION("""COMPUTED_VALUE"""),"GSW")</f>
        <v>GSW</v>
      </c>
      <c r="D5271" s="4" t="str">
        <f>IFERROR(__xludf.DUMMYFUNCTION("""COMPUTED_VALUE"""),"Jamaal Wilkes")</f>
        <v>Jamaal Wilkes</v>
      </c>
      <c r="E5271" s="4" t="str">
        <f>IFERROR(__xludf.DUMMYFUNCTION("""COMPUTED_VALUE"""),"UCLA")</f>
        <v>UCLA</v>
      </c>
      <c r="F5271" s="4">
        <f>IFERROR(__xludf.DUMMYFUNCTION("""COMPUTED_VALUE"""),12.0)</f>
        <v>12</v>
      </c>
      <c r="G5271" s="4">
        <f>IFERROR(__xludf.DUMMYFUNCTION("""COMPUTED_VALUE"""),828.0)</f>
        <v>828</v>
      </c>
      <c r="H5271" s="4">
        <f>IFERROR(__xludf.DUMMYFUNCTION("""COMPUTED_VALUE"""),27275.0)</f>
        <v>27275</v>
      </c>
      <c r="I5271" s="4">
        <f>IFERROR(__xludf.DUMMYFUNCTION("""COMPUTED_VALUE"""),14644.0)</f>
        <v>14644</v>
      </c>
      <c r="J5271" s="4">
        <f>IFERROR(__xludf.DUMMYFUNCTION("""COMPUTED_VALUE"""),5117.0)</f>
        <v>5117</v>
      </c>
      <c r="K5271" s="4">
        <f>IFERROR(__xludf.DUMMYFUNCTION("""COMPUTED_VALUE"""),2050.0)</f>
        <v>2050</v>
      </c>
      <c r="L5271" s="4">
        <f>IFERROR(__xludf.DUMMYFUNCTION("""COMPUTED_VALUE"""),0.499)</f>
        <v>0.499</v>
      </c>
      <c r="M5271" s="4"/>
      <c r="N5271" s="4">
        <f>IFERROR(__xludf.DUMMYFUNCTION("""COMPUTED_VALUE"""),0.759)</f>
        <v>0.759</v>
      </c>
      <c r="O5271" s="4">
        <f>IFERROR(__xludf.DUMMYFUNCTION("""COMPUTED_VALUE"""),32.9)</f>
        <v>32.9</v>
      </c>
      <c r="P5271" s="4">
        <f>IFERROR(__xludf.DUMMYFUNCTION("""COMPUTED_VALUE"""),17.7)</f>
        <v>17.7</v>
      </c>
      <c r="Q5271" s="4">
        <f>IFERROR(__xludf.DUMMYFUNCTION("""COMPUTED_VALUE"""),6.2)</f>
        <v>6.2</v>
      </c>
      <c r="R5271" s="4">
        <f>IFERROR(__xludf.DUMMYFUNCTION("""COMPUTED_VALUE"""),2.5)</f>
        <v>2.5</v>
      </c>
      <c r="S5271" s="4">
        <f>IFERROR(__xludf.DUMMYFUNCTION("""COMPUTED_VALUE"""),71.3)</f>
        <v>71.3</v>
      </c>
      <c r="T5271" s="4">
        <f>IFERROR(__xludf.DUMMYFUNCTION("""COMPUTED_VALUE"""),0.125)</f>
        <v>0.125</v>
      </c>
      <c r="U5271" s="4">
        <f>IFERROR(__xludf.DUMMYFUNCTION("""COMPUTED_VALUE"""),0.0)</f>
        <v>0</v>
      </c>
      <c r="V5271" s="4">
        <f>IFERROR(__xludf.DUMMYFUNCTION("""COMPUTED_VALUE"""),14.1)</f>
        <v>14.1</v>
      </c>
    </row>
    <row r="5272">
      <c r="A5272" s="4">
        <f>IFERROR(__xludf.DUMMYFUNCTION("""COMPUTED_VALUE"""),12.0)</f>
        <v>12</v>
      </c>
      <c r="B5272" s="4">
        <f>IFERROR(__xludf.DUMMYFUNCTION("""COMPUTED_VALUE"""),12.0)</f>
        <v>12</v>
      </c>
      <c r="C5272" s="4" t="str">
        <f>IFERROR(__xludf.DUMMYFUNCTION("""COMPUTED_VALUE"""),"LAL")</f>
        <v>LAL</v>
      </c>
      <c r="D5272" s="4" t="str">
        <f>IFERROR(__xludf.DUMMYFUNCTION("""COMPUTED_VALUE"""),"Brian Winters")</f>
        <v>Brian Winters</v>
      </c>
      <c r="E5272" s="4" t="str">
        <f>IFERROR(__xludf.DUMMYFUNCTION("""COMPUTED_VALUE"""),"South Carolina")</f>
        <v>South Carolina</v>
      </c>
      <c r="F5272" s="4">
        <f>IFERROR(__xludf.DUMMYFUNCTION("""COMPUTED_VALUE"""),9.0)</f>
        <v>9</v>
      </c>
      <c r="G5272" s="4">
        <f>IFERROR(__xludf.DUMMYFUNCTION("""COMPUTED_VALUE"""),650.0)</f>
        <v>650</v>
      </c>
      <c r="H5272" s="4">
        <f>IFERROR(__xludf.DUMMYFUNCTION("""COMPUTED_VALUE"""),19938.0)</f>
        <v>19938</v>
      </c>
      <c r="I5272" s="4">
        <f>IFERROR(__xludf.DUMMYFUNCTION("""COMPUTED_VALUE"""),10537.0)</f>
        <v>10537</v>
      </c>
      <c r="J5272" s="4">
        <f>IFERROR(__xludf.DUMMYFUNCTION("""COMPUTED_VALUE"""),1688.0)</f>
        <v>1688</v>
      </c>
      <c r="K5272" s="4">
        <f>IFERROR(__xludf.DUMMYFUNCTION("""COMPUTED_VALUE"""),2674.0)</f>
        <v>2674</v>
      </c>
      <c r="L5272" s="4">
        <f>IFERROR(__xludf.DUMMYFUNCTION("""COMPUTED_VALUE"""),0.475)</f>
        <v>0.475</v>
      </c>
      <c r="M5272" s="4"/>
      <c r="N5272" s="4">
        <f>IFERROR(__xludf.DUMMYFUNCTION("""COMPUTED_VALUE"""),0.842)</f>
        <v>0.842</v>
      </c>
      <c r="O5272" s="4">
        <f>IFERROR(__xludf.DUMMYFUNCTION("""COMPUTED_VALUE"""),30.7)</f>
        <v>30.7</v>
      </c>
      <c r="P5272" s="4">
        <f>IFERROR(__xludf.DUMMYFUNCTION("""COMPUTED_VALUE"""),16.2)</f>
        <v>16.2</v>
      </c>
      <c r="Q5272" s="4">
        <f>IFERROR(__xludf.DUMMYFUNCTION("""COMPUTED_VALUE"""),2.6)</f>
        <v>2.6</v>
      </c>
      <c r="R5272" s="4">
        <f>IFERROR(__xludf.DUMMYFUNCTION("""COMPUTED_VALUE"""),4.1)</f>
        <v>4.1</v>
      </c>
      <c r="S5272" s="4">
        <f>IFERROR(__xludf.DUMMYFUNCTION("""COMPUTED_VALUE"""),38.6)</f>
        <v>38.6</v>
      </c>
      <c r="T5272" s="4">
        <f>IFERROR(__xludf.DUMMYFUNCTION("""COMPUTED_VALUE"""),0.093)</f>
        <v>0.093</v>
      </c>
      <c r="U5272" s="4">
        <f>IFERROR(__xludf.DUMMYFUNCTION("""COMPUTED_VALUE"""),-0.5)</f>
        <v>-0.5</v>
      </c>
      <c r="V5272" s="4">
        <f>IFERROR(__xludf.DUMMYFUNCTION("""COMPUTED_VALUE"""),7.8)</f>
        <v>7.8</v>
      </c>
    </row>
    <row r="5273">
      <c r="A5273" s="4">
        <f>IFERROR(__xludf.DUMMYFUNCTION("""COMPUTED_VALUE"""),13.0)</f>
        <v>13</v>
      </c>
      <c r="B5273" s="4">
        <f>IFERROR(__xludf.DUMMYFUNCTION("""COMPUTED_VALUE"""),13.0)</f>
        <v>13</v>
      </c>
      <c r="C5273" s="4" t="str">
        <f>IFERROR(__xludf.DUMMYFUNCTION("""COMPUTED_VALUE"""),"WSB")</f>
        <v>WSB</v>
      </c>
      <c r="D5273" s="4" t="str">
        <f>IFERROR(__xludf.DUMMYFUNCTION("""COMPUTED_VALUE"""),"Len Elmore")</f>
        <v>Len Elmore</v>
      </c>
      <c r="E5273" s="4" t="str">
        <f>IFERROR(__xludf.DUMMYFUNCTION("""COMPUTED_VALUE"""),"Maryland")</f>
        <v>Maryland</v>
      </c>
      <c r="F5273" s="4">
        <f>IFERROR(__xludf.DUMMYFUNCTION("""COMPUTED_VALUE"""),8.0)</f>
        <v>8</v>
      </c>
      <c r="G5273" s="4">
        <f>IFERROR(__xludf.DUMMYFUNCTION("""COMPUTED_VALUE"""),505.0)</f>
        <v>505</v>
      </c>
      <c r="H5273" s="4">
        <f>IFERROR(__xludf.DUMMYFUNCTION("""COMPUTED_VALUE"""),8384.0)</f>
        <v>8384</v>
      </c>
      <c r="I5273" s="4">
        <f>IFERROR(__xludf.DUMMYFUNCTION("""COMPUTED_VALUE"""),2327.0)</f>
        <v>2327</v>
      </c>
      <c r="J5273" s="4">
        <f>IFERROR(__xludf.DUMMYFUNCTION("""COMPUTED_VALUE"""),2146.0)</f>
        <v>2146</v>
      </c>
      <c r="K5273" s="4">
        <f>IFERROR(__xludf.DUMMYFUNCTION("""COMPUTED_VALUE"""),459.0)</f>
        <v>459</v>
      </c>
      <c r="L5273" s="4">
        <f>IFERROR(__xludf.DUMMYFUNCTION("""COMPUTED_VALUE"""),0.413)</f>
        <v>0.413</v>
      </c>
      <c r="M5273" s="4"/>
      <c r="N5273" s="4">
        <f>IFERROR(__xludf.DUMMYFUNCTION("""COMPUTED_VALUE"""),0.715)</f>
        <v>0.715</v>
      </c>
      <c r="O5273" s="4">
        <f>IFERROR(__xludf.DUMMYFUNCTION("""COMPUTED_VALUE"""),16.6)</f>
        <v>16.6</v>
      </c>
      <c r="P5273" s="4">
        <f>IFERROR(__xludf.DUMMYFUNCTION("""COMPUTED_VALUE"""),4.6)</f>
        <v>4.6</v>
      </c>
      <c r="Q5273" s="4">
        <f>IFERROR(__xludf.DUMMYFUNCTION("""COMPUTED_VALUE"""),4.2)</f>
        <v>4.2</v>
      </c>
      <c r="R5273" s="4">
        <f>IFERROR(__xludf.DUMMYFUNCTION("""COMPUTED_VALUE"""),0.9)</f>
        <v>0.9</v>
      </c>
      <c r="S5273" s="4">
        <f>IFERROR(__xludf.DUMMYFUNCTION("""COMPUTED_VALUE"""),13.3)</f>
        <v>13.3</v>
      </c>
      <c r="T5273" s="4">
        <f>IFERROR(__xludf.DUMMYFUNCTION("""COMPUTED_VALUE"""),0.076)</f>
        <v>0.076</v>
      </c>
      <c r="U5273" s="4">
        <f>IFERROR(__xludf.DUMMYFUNCTION("""COMPUTED_VALUE"""),-1.2)</f>
        <v>-1.2</v>
      </c>
      <c r="V5273" s="4">
        <f>IFERROR(__xludf.DUMMYFUNCTION("""COMPUTED_VALUE"""),1.6)</f>
        <v>1.6</v>
      </c>
    </row>
    <row r="5274">
      <c r="A5274" s="4">
        <f>IFERROR(__xludf.DUMMYFUNCTION("""COMPUTED_VALUE"""),14.0)</f>
        <v>14</v>
      </c>
      <c r="B5274" s="4">
        <f>IFERROR(__xludf.DUMMYFUNCTION("""COMPUTED_VALUE"""),14.0)</f>
        <v>14</v>
      </c>
      <c r="C5274" s="4" t="str">
        <f>IFERROR(__xludf.DUMMYFUNCTION("""COMPUTED_VALUE"""),"CHI")</f>
        <v>CHI</v>
      </c>
      <c r="D5274" s="4" t="str">
        <f>IFERROR(__xludf.DUMMYFUNCTION("""COMPUTED_VALUE"""),"Maurice Lucas")</f>
        <v>Maurice Lucas</v>
      </c>
      <c r="E5274" s="4" t="str">
        <f>IFERROR(__xludf.DUMMYFUNCTION("""COMPUTED_VALUE"""),"Marquette")</f>
        <v>Marquette</v>
      </c>
      <c r="F5274" s="4">
        <f>IFERROR(__xludf.DUMMYFUNCTION("""COMPUTED_VALUE"""),12.0)</f>
        <v>12</v>
      </c>
      <c r="G5274" s="4">
        <f>IFERROR(__xludf.DUMMYFUNCTION("""COMPUTED_VALUE"""),855.0)</f>
        <v>855</v>
      </c>
      <c r="H5274" s="4">
        <f>IFERROR(__xludf.DUMMYFUNCTION("""COMPUTED_VALUE"""),24787.0)</f>
        <v>24787</v>
      </c>
      <c r="I5274" s="4">
        <f>IFERROR(__xludf.DUMMYFUNCTION("""COMPUTED_VALUE"""),12339.0)</f>
        <v>12339</v>
      </c>
      <c r="J5274" s="4">
        <f>IFERROR(__xludf.DUMMYFUNCTION("""COMPUTED_VALUE"""),7520.0)</f>
        <v>7520</v>
      </c>
      <c r="K5274" s="4">
        <f>IFERROR(__xludf.DUMMYFUNCTION("""COMPUTED_VALUE"""),1987.0)</f>
        <v>1987</v>
      </c>
      <c r="L5274" s="4">
        <f>IFERROR(__xludf.DUMMYFUNCTION("""COMPUTED_VALUE"""),0.473)</f>
        <v>0.473</v>
      </c>
      <c r="M5274" s="4"/>
      <c r="N5274" s="4">
        <f>IFERROR(__xludf.DUMMYFUNCTION("""COMPUTED_VALUE"""),0.763)</f>
        <v>0.763</v>
      </c>
      <c r="O5274" s="4">
        <f>IFERROR(__xludf.DUMMYFUNCTION("""COMPUTED_VALUE"""),29.0)</f>
        <v>29</v>
      </c>
      <c r="P5274" s="4">
        <f>IFERROR(__xludf.DUMMYFUNCTION("""COMPUTED_VALUE"""),14.4)</f>
        <v>14.4</v>
      </c>
      <c r="Q5274" s="4">
        <f>IFERROR(__xludf.DUMMYFUNCTION("""COMPUTED_VALUE"""),8.8)</f>
        <v>8.8</v>
      </c>
      <c r="R5274" s="4">
        <f>IFERROR(__xludf.DUMMYFUNCTION("""COMPUTED_VALUE"""),2.3)</f>
        <v>2.3</v>
      </c>
      <c r="S5274" s="4">
        <f>IFERROR(__xludf.DUMMYFUNCTION("""COMPUTED_VALUE"""),58.7)</f>
        <v>58.7</v>
      </c>
      <c r="T5274" s="4">
        <f>IFERROR(__xludf.DUMMYFUNCTION("""COMPUTED_VALUE"""),0.114)</f>
        <v>0.114</v>
      </c>
      <c r="U5274" s="4">
        <f>IFERROR(__xludf.DUMMYFUNCTION("""COMPUTED_VALUE"""),-0.3)</f>
        <v>-0.3</v>
      </c>
      <c r="V5274" s="4">
        <f>IFERROR(__xludf.DUMMYFUNCTION("""COMPUTED_VALUE"""),10.6)</f>
        <v>10.6</v>
      </c>
    </row>
    <row r="5275">
      <c r="A5275" s="4">
        <f>IFERROR(__xludf.DUMMYFUNCTION("""COMPUTED_VALUE"""),15.0)</f>
        <v>15</v>
      </c>
      <c r="B5275" s="4">
        <f>IFERROR(__xludf.DUMMYFUNCTION("""COMPUTED_VALUE"""),15.0)</f>
        <v>15</v>
      </c>
      <c r="C5275" s="4" t="str">
        <f>IFERROR(__xludf.DUMMYFUNCTION("""COMPUTED_VALUE"""),"DET")</f>
        <v>DET</v>
      </c>
      <c r="D5275" s="4" t="str">
        <f>IFERROR(__xludf.DUMMYFUNCTION("""COMPUTED_VALUE"""),"Al Eberhard")</f>
        <v>Al Eberhard</v>
      </c>
      <c r="E5275" s="4" t="str">
        <f>IFERROR(__xludf.DUMMYFUNCTION("""COMPUTED_VALUE"""),"Missouri")</f>
        <v>Missouri</v>
      </c>
      <c r="F5275" s="4">
        <f>IFERROR(__xludf.DUMMYFUNCTION("""COMPUTED_VALUE"""),4.0)</f>
        <v>4</v>
      </c>
      <c r="G5275" s="4">
        <f>IFERROR(__xludf.DUMMYFUNCTION("""COMPUTED_VALUE"""),220.0)</f>
        <v>220</v>
      </c>
      <c r="H5275" s="4">
        <f>IFERROR(__xludf.DUMMYFUNCTION("""COMPUTED_VALUE"""),4138.0)</f>
        <v>4138</v>
      </c>
      <c r="I5275" s="4">
        <f>IFERROR(__xludf.DUMMYFUNCTION("""COMPUTED_VALUE"""),1490.0)</f>
        <v>1490</v>
      </c>
      <c r="J5275" s="4">
        <f>IFERROR(__xludf.DUMMYFUNCTION("""COMPUTED_VALUE"""),760.0)</f>
        <v>760</v>
      </c>
      <c r="K5275" s="4">
        <f>IFERROR(__xludf.DUMMYFUNCTION("""COMPUTED_VALUE"""),175.0)</f>
        <v>175</v>
      </c>
      <c r="L5275" s="4">
        <f>IFERROR(__xludf.DUMMYFUNCTION("""COMPUTED_VALUE"""),0.433)</f>
        <v>0.433</v>
      </c>
      <c r="M5275" s="4"/>
      <c r="N5275" s="4">
        <f>IFERROR(__xludf.DUMMYFUNCTION("""COMPUTED_VALUE"""),0.797)</f>
        <v>0.797</v>
      </c>
      <c r="O5275" s="4">
        <f>IFERROR(__xludf.DUMMYFUNCTION("""COMPUTED_VALUE"""),18.8)</f>
        <v>18.8</v>
      </c>
      <c r="P5275" s="4">
        <f>IFERROR(__xludf.DUMMYFUNCTION("""COMPUTED_VALUE"""),6.8)</f>
        <v>6.8</v>
      </c>
      <c r="Q5275" s="4">
        <f>IFERROR(__xludf.DUMMYFUNCTION("""COMPUTED_VALUE"""),3.5)</f>
        <v>3.5</v>
      </c>
      <c r="R5275" s="4">
        <f>IFERROR(__xludf.DUMMYFUNCTION("""COMPUTED_VALUE"""),0.8)</f>
        <v>0.8</v>
      </c>
      <c r="S5275" s="4">
        <f>IFERROR(__xludf.DUMMYFUNCTION("""COMPUTED_VALUE"""),5.3)</f>
        <v>5.3</v>
      </c>
      <c r="T5275" s="4">
        <f>IFERROR(__xludf.DUMMYFUNCTION("""COMPUTED_VALUE"""),0.062)</f>
        <v>0.062</v>
      </c>
      <c r="U5275" s="4">
        <f>IFERROR(__xludf.DUMMYFUNCTION("""COMPUTED_VALUE"""),-2.5)</f>
        <v>-2.5</v>
      </c>
      <c r="V5275" s="4">
        <f>IFERROR(__xludf.DUMMYFUNCTION("""COMPUTED_VALUE"""),-0.5)</f>
        <v>-0.5</v>
      </c>
    </row>
    <row r="5276">
      <c r="A5276" s="4">
        <f>IFERROR(__xludf.DUMMYFUNCTION("""COMPUTED_VALUE"""),16.0)</f>
        <v>16</v>
      </c>
      <c r="B5276" s="4">
        <f>IFERROR(__xludf.DUMMYFUNCTION("""COMPUTED_VALUE"""),16.0)</f>
        <v>16</v>
      </c>
      <c r="C5276" s="4" t="str">
        <f>IFERROR(__xludf.DUMMYFUNCTION("""COMPUTED_VALUE"""),"CHI")</f>
        <v>CHI</v>
      </c>
      <c r="D5276" s="4" t="str">
        <f>IFERROR(__xludf.DUMMYFUNCTION("""COMPUTED_VALUE"""),"Cliff Pondexter")</f>
        <v>Cliff Pondexter</v>
      </c>
      <c r="E5276" s="4" t="str">
        <f>IFERROR(__xludf.DUMMYFUNCTION("""COMPUTED_VALUE"""),"Cal State Long Beach")</f>
        <v>Cal State Long Beach</v>
      </c>
      <c r="F5276" s="4">
        <f>IFERROR(__xludf.DUMMYFUNCTION("""COMPUTED_VALUE"""),3.0)</f>
        <v>3</v>
      </c>
      <c r="G5276" s="4">
        <f>IFERROR(__xludf.DUMMYFUNCTION("""COMPUTED_VALUE"""),197.0)</f>
        <v>197</v>
      </c>
      <c r="H5276" s="4">
        <f>IFERROR(__xludf.DUMMYFUNCTION("""COMPUTED_VALUE"""),2856.0)</f>
        <v>2856</v>
      </c>
      <c r="I5276" s="4">
        <f>IFERROR(__xludf.DUMMYFUNCTION("""COMPUTED_VALUE"""),778.0)</f>
        <v>778</v>
      </c>
      <c r="J5276" s="4">
        <f>IFERROR(__xludf.DUMMYFUNCTION("""COMPUTED_VALUE"""),747.0)</f>
        <v>747</v>
      </c>
      <c r="K5276" s="4">
        <f>IFERROR(__xludf.DUMMYFUNCTION("""COMPUTED_VALUE"""),218.0)</f>
        <v>218</v>
      </c>
      <c r="L5276" s="4">
        <f>IFERROR(__xludf.DUMMYFUNCTION("""COMPUTED_VALUE"""),0.416)</f>
        <v>0.416</v>
      </c>
      <c r="M5276" s="4"/>
      <c r="N5276" s="4">
        <f>IFERROR(__xludf.DUMMYFUNCTION("""COMPUTED_VALUE"""),0.667)</f>
        <v>0.667</v>
      </c>
      <c r="O5276" s="4">
        <f>IFERROR(__xludf.DUMMYFUNCTION("""COMPUTED_VALUE"""),14.5)</f>
        <v>14.5</v>
      </c>
      <c r="P5276" s="4">
        <f>IFERROR(__xludf.DUMMYFUNCTION("""COMPUTED_VALUE"""),3.9)</f>
        <v>3.9</v>
      </c>
      <c r="Q5276" s="4">
        <f>IFERROR(__xludf.DUMMYFUNCTION("""COMPUTED_VALUE"""),3.8)</f>
        <v>3.8</v>
      </c>
      <c r="R5276" s="4">
        <f>IFERROR(__xludf.DUMMYFUNCTION("""COMPUTED_VALUE"""),1.1)</f>
        <v>1.1</v>
      </c>
      <c r="S5276" s="4">
        <f>IFERROR(__xludf.DUMMYFUNCTION("""COMPUTED_VALUE"""),4.7)</f>
        <v>4.7</v>
      </c>
      <c r="T5276" s="4">
        <f>IFERROR(__xludf.DUMMYFUNCTION("""COMPUTED_VALUE"""),0.079)</f>
        <v>0.079</v>
      </c>
      <c r="U5276" s="4">
        <f>IFERROR(__xludf.DUMMYFUNCTION("""COMPUTED_VALUE"""),-0.6)</f>
        <v>-0.6</v>
      </c>
      <c r="V5276" s="4">
        <f>IFERROR(__xludf.DUMMYFUNCTION("""COMPUTED_VALUE"""),1.0)</f>
        <v>1</v>
      </c>
    </row>
    <row r="5277">
      <c r="A5277" s="4">
        <f>IFERROR(__xludf.DUMMYFUNCTION("""COMPUTED_VALUE"""),17.0)</f>
        <v>17</v>
      </c>
      <c r="B5277" s="4">
        <f>IFERROR(__xludf.DUMMYFUNCTION("""COMPUTED_VALUE"""),17.0)</f>
        <v>17</v>
      </c>
      <c r="C5277" s="4" t="str">
        <f>IFERROR(__xludf.DUMMYFUNCTION("""COMPUTED_VALUE"""),"BOS")</f>
        <v>BOS</v>
      </c>
      <c r="D5277" s="4" t="str">
        <f>IFERROR(__xludf.DUMMYFUNCTION("""COMPUTED_VALUE"""),"Glenn McDonald")</f>
        <v>Glenn McDonald</v>
      </c>
      <c r="E5277" s="4" t="str">
        <f>IFERROR(__xludf.DUMMYFUNCTION("""COMPUTED_VALUE"""),"Cal State Long Beach")</f>
        <v>Cal State Long Beach</v>
      </c>
      <c r="F5277" s="4">
        <f>IFERROR(__xludf.DUMMYFUNCTION("""COMPUTED_VALUE"""),3.0)</f>
        <v>3</v>
      </c>
      <c r="G5277" s="4">
        <f>IFERROR(__xludf.DUMMYFUNCTION("""COMPUTED_VALUE"""),146.0)</f>
        <v>146</v>
      </c>
      <c r="H5277" s="4">
        <f>IFERROR(__xludf.DUMMYFUNCTION("""COMPUTED_VALUE"""),1493.0)</f>
        <v>1493</v>
      </c>
      <c r="I5277" s="4">
        <f>IFERROR(__xludf.DUMMYFUNCTION("""COMPUTED_VALUE"""),609.0)</f>
        <v>609</v>
      </c>
      <c r="J5277" s="4">
        <f>IFERROR(__xludf.DUMMYFUNCTION("""COMPUTED_VALUE"""),215.0)</f>
        <v>215</v>
      </c>
      <c r="K5277" s="4">
        <f>IFERROR(__xludf.DUMMYFUNCTION("""COMPUTED_VALUE"""),99.0)</f>
        <v>99</v>
      </c>
      <c r="L5277" s="4">
        <f>IFERROR(__xludf.DUMMYFUNCTION("""COMPUTED_VALUE"""),0.4)</f>
        <v>0.4</v>
      </c>
      <c r="M5277" s="4"/>
      <c r="N5277" s="4">
        <f>IFERROR(__xludf.DUMMYFUNCTION("""COMPUTED_VALUE"""),0.732)</f>
        <v>0.732</v>
      </c>
      <c r="O5277" s="4">
        <f>IFERROR(__xludf.DUMMYFUNCTION("""COMPUTED_VALUE"""),10.2)</f>
        <v>10.2</v>
      </c>
      <c r="P5277" s="4">
        <f>IFERROR(__xludf.DUMMYFUNCTION("""COMPUTED_VALUE"""),4.2)</f>
        <v>4.2</v>
      </c>
      <c r="Q5277" s="4">
        <f>IFERROR(__xludf.DUMMYFUNCTION("""COMPUTED_VALUE"""),1.5)</f>
        <v>1.5</v>
      </c>
      <c r="R5277" s="4">
        <f>IFERROR(__xludf.DUMMYFUNCTION("""COMPUTED_VALUE"""),0.7)</f>
        <v>0.7</v>
      </c>
      <c r="S5277" s="4">
        <f>IFERROR(__xludf.DUMMYFUNCTION("""COMPUTED_VALUE"""),1.1)</f>
        <v>1.1</v>
      </c>
      <c r="T5277" s="4">
        <f>IFERROR(__xludf.DUMMYFUNCTION("""COMPUTED_VALUE"""),0.034)</f>
        <v>0.034</v>
      </c>
      <c r="U5277" s="4">
        <f>IFERROR(__xludf.DUMMYFUNCTION("""COMPUTED_VALUE"""),-2.8)</f>
        <v>-2.8</v>
      </c>
      <c r="V5277" s="4">
        <f>IFERROR(__xludf.DUMMYFUNCTION("""COMPUTED_VALUE"""),-0.4)</f>
        <v>-0.4</v>
      </c>
    </row>
    <row r="5278">
      <c r="A5278" s="4">
        <f>IFERROR(__xludf.DUMMYFUNCTION("""COMPUTED_VALUE"""),18.0)</f>
        <v>18</v>
      </c>
      <c r="B5278" s="4">
        <f>IFERROR(__xludf.DUMMYFUNCTION("""COMPUTED_VALUE"""),18.0)</f>
        <v>18</v>
      </c>
      <c r="C5278" s="4" t="str">
        <f>IFERROR(__xludf.DUMMYFUNCTION("""COMPUTED_VALUE"""),"MIL")</f>
        <v>MIL</v>
      </c>
      <c r="D5278" s="4" t="str">
        <f>IFERROR(__xludf.DUMMYFUNCTION("""COMPUTED_VALUE"""),"Gary Brokaw")</f>
        <v>Gary Brokaw</v>
      </c>
      <c r="E5278" s="4" t="str">
        <f>IFERROR(__xludf.DUMMYFUNCTION("""COMPUTED_VALUE"""),"Notre Dame")</f>
        <v>Notre Dame</v>
      </c>
      <c r="F5278" s="4">
        <f>IFERROR(__xludf.DUMMYFUNCTION("""COMPUTED_VALUE"""),4.0)</f>
        <v>4</v>
      </c>
      <c r="G5278" s="4">
        <f>IFERROR(__xludf.DUMMYFUNCTION("""COMPUTED_VALUE"""),241.0)</f>
        <v>241</v>
      </c>
      <c r="H5278" s="4">
        <f>IFERROR(__xludf.DUMMYFUNCTION("""COMPUTED_VALUE"""),4724.0)</f>
        <v>4724</v>
      </c>
      <c r="I5278" s="4">
        <f>IFERROR(__xludf.DUMMYFUNCTION("""COMPUTED_VALUE"""),1928.0)</f>
        <v>1928</v>
      </c>
      <c r="J5278" s="4">
        <f>IFERROR(__xludf.DUMMYFUNCTION("""COMPUTED_VALUE"""),407.0)</f>
        <v>407</v>
      </c>
      <c r="K5278" s="4">
        <f>IFERROR(__xludf.DUMMYFUNCTION("""COMPUTED_VALUE"""),715.0)</f>
        <v>715</v>
      </c>
      <c r="L5278" s="4">
        <f>IFERROR(__xludf.DUMMYFUNCTION("""COMPUTED_VALUE"""),0.446)</f>
        <v>0.446</v>
      </c>
      <c r="M5278" s="4"/>
      <c r="N5278" s="4">
        <f>IFERROR(__xludf.DUMMYFUNCTION("""COMPUTED_VALUE"""),0.713)</f>
        <v>0.713</v>
      </c>
      <c r="O5278" s="4">
        <f>IFERROR(__xludf.DUMMYFUNCTION("""COMPUTED_VALUE"""),19.6)</f>
        <v>19.6</v>
      </c>
      <c r="P5278" s="4">
        <f>IFERROR(__xludf.DUMMYFUNCTION("""COMPUTED_VALUE"""),8.0)</f>
        <v>8</v>
      </c>
      <c r="Q5278" s="4">
        <f>IFERROR(__xludf.DUMMYFUNCTION("""COMPUTED_VALUE"""),1.7)</f>
        <v>1.7</v>
      </c>
      <c r="R5278" s="4">
        <f>IFERROR(__xludf.DUMMYFUNCTION("""COMPUTED_VALUE"""),3.0)</f>
        <v>3</v>
      </c>
      <c r="S5278" s="4">
        <f>IFERROR(__xludf.DUMMYFUNCTION("""COMPUTED_VALUE"""),5.3)</f>
        <v>5.3</v>
      </c>
      <c r="T5278" s="4">
        <f>IFERROR(__xludf.DUMMYFUNCTION("""COMPUTED_VALUE"""),0.054)</f>
        <v>0.054</v>
      </c>
      <c r="U5278" s="4">
        <f>IFERROR(__xludf.DUMMYFUNCTION("""COMPUTED_VALUE"""),-2.0)</f>
        <v>-2</v>
      </c>
      <c r="V5278" s="4">
        <f>IFERROR(__xludf.DUMMYFUNCTION("""COMPUTED_VALUE"""),0.1)</f>
        <v>0.1</v>
      </c>
    </row>
    <row r="5279">
      <c r="A5279" s="4"/>
      <c r="B5279" s="4"/>
      <c r="C5279" s="4"/>
      <c r="D5279" s="4" t="str">
        <f>IFERROR(__xludf.DUMMYFUNCTION("""COMPUTED_VALUE"""),"Round 2")</f>
        <v>Round 2</v>
      </c>
      <c r="E5279" s="4"/>
      <c r="F5279" s="4"/>
      <c r="G5279" s="4" t="str">
        <f>IFERROR(__xludf.DUMMYFUNCTION("""COMPUTED_VALUE"""),"Totals")</f>
        <v>Totals</v>
      </c>
      <c r="H5279" s="4"/>
      <c r="I5279" s="4"/>
      <c r="J5279" s="4"/>
      <c r="K5279" s="4"/>
      <c r="L5279" s="4" t="str">
        <f>IFERROR(__xludf.DUMMYFUNCTION("""COMPUTED_VALUE"""),"Shooting")</f>
        <v>Shooting</v>
      </c>
      <c r="M5279" s="4"/>
      <c r="N5279" s="4"/>
      <c r="O5279" s="4" t="str">
        <f>IFERROR(__xludf.DUMMYFUNCTION("""COMPUTED_VALUE"""),"Per Game")</f>
        <v>Per Game</v>
      </c>
      <c r="P5279" s="4"/>
      <c r="Q5279" s="4"/>
      <c r="R5279" s="4"/>
      <c r="S5279" s="4" t="str">
        <f>IFERROR(__xludf.DUMMYFUNCTION("""COMPUTED_VALUE"""),"Advanced")</f>
        <v>Advanced</v>
      </c>
      <c r="T5279" s="4"/>
      <c r="U5279" s="4"/>
      <c r="V5279" s="4"/>
    </row>
    <row r="5280">
      <c r="A5280" s="4" t="str">
        <f>IFERROR(__xludf.DUMMYFUNCTION("""COMPUTED_VALUE"""),"Rk")</f>
        <v>Rk</v>
      </c>
      <c r="B5280" s="4" t="str">
        <f>IFERROR(__xludf.DUMMYFUNCTION("""COMPUTED_VALUE"""),"Pk")</f>
        <v>Pk</v>
      </c>
      <c r="C5280" s="4" t="str">
        <f>IFERROR(__xludf.DUMMYFUNCTION("""COMPUTED_VALUE"""),"Tm")</f>
        <v>Tm</v>
      </c>
      <c r="D5280" s="4" t="str">
        <f>IFERROR(__xludf.DUMMYFUNCTION("""COMPUTED_VALUE"""),"Player")</f>
        <v>Player</v>
      </c>
      <c r="E5280" s="4" t="str">
        <f>IFERROR(__xludf.DUMMYFUNCTION("""COMPUTED_VALUE"""),"College")</f>
        <v>College</v>
      </c>
      <c r="F5280" s="4" t="str">
        <f>IFERROR(__xludf.DUMMYFUNCTION("""COMPUTED_VALUE"""),"Yrs")</f>
        <v>Yrs</v>
      </c>
      <c r="G5280" s="4" t="str">
        <f>IFERROR(__xludf.DUMMYFUNCTION("""COMPUTED_VALUE"""),"G")</f>
        <v>G</v>
      </c>
      <c r="H5280" s="4" t="str">
        <f>IFERROR(__xludf.DUMMYFUNCTION("""COMPUTED_VALUE"""),"MP")</f>
        <v>MP</v>
      </c>
      <c r="I5280" s="4" t="str">
        <f>IFERROR(__xludf.DUMMYFUNCTION("""COMPUTED_VALUE"""),"PTS")</f>
        <v>PTS</v>
      </c>
      <c r="J5280" s="4" t="str">
        <f>IFERROR(__xludf.DUMMYFUNCTION("""COMPUTED_VALUE"""),"TRB")</f>
        <v>TRB</v>
      </c>
      <c r="K5280" s="4" t="str">
        <f>IFERROR(__xludf.DUMMYFUNCTION("""COMPUTED_VALUE"""),"AST")</f>
        <v>AST</v>
      </c>
      <c r="L5280" s="4" t="str">
        <f>IFERROR(__xludf.DUMMYFUNCTION("""COMPUTED_VALUE"""),"FG%")</f>
        <v>FG%</v>
      </c>
      <c r="M5280" s="4" t="str">
        <f>IFERROR(__xludf.DUMMYFUNCTION("""COMPUTED_VALUE"""),"3P%")</f>
        <v>3P%</v>
      </c>
      <c r="N5280" s="4" t="str">
        <f>IFERROR(__xludf.DUMMYFUNCTION("""COMPUTED_VALUE"""),"FT%")</f>
        <v>FT%</v>
      </c>
      <c r="O5280" s="4" t="str">
        <f>IFERROR(__xludf.DUMMYFUNCTION("""COMPUTED_VALUE"""),"MP")</f>
        <v>MP</v>
      </c>
      <c r="P5280" s="4" t="str">
        <f>IFERROR(__xludf.DUMMYFUNCTION("""COMPUTED_VALUE"""),"PTS")</f>
        <v>PTS</v>
      </c>
      <c r="Q5280" s="4" t="str">
        <f>IFERROR(__xludf.DUMMYFUNCTION("""COMPUTED_VALUE"""),"TRB")</f>
        <v>TRB</v>
      </c>
      <c r="R5280" s="4" t="str">
        <f>IFERROR(__xludf.DUMMYFUNCTION("""COMPUTED_VALUE"""),"AST")</f>
        <v>AST</v>
      </c>
      <c r="S5280" s="4" t="str">
        <f>IFERROR(__xludf.DUMMYFUNCTION("""COMPUTED_VALUE"""),"WS")</f>
        <v>WS</v>
      </c>
      <c r="T5280" s="4" t="str">
        <f>IFERROR(__xludf.DUMMYFUNCTION("""COMPUTED_VALUE"""),"WS/48")</f>
        <v>WS/48</v>
      </c>
      <c r="U5280" s="4" t="str">
        <f>IFERROR(__xludf.DUMMYFUNCTION("""COMPUTED_VALUE"""),"BPM")</f>
        <v>BPM</v>
      </c>
      <c r="V5280" s="4" t="str">
        <f>IFERROR(__xludf.DUMMYFUNCTION("""COMPUTED_VALUE"""),"VORP")</f>
        <v>VORP</v>
      </c>
    </row>
    <row r="5281">
      <c r="A5281" s="4">
        <f>IFERROR(__xludf.DUMMYFUNCTION("""COMPUTED_VALUE"""),19.0)</f>
        <v>19</v>
      </c>
      <c r="B5281" s="4">
        <f>IFERROR(__xludf.DUMMYFUNCTION("""COMPUTED_VALUE"""),19.0)</f>
        <v>19</v>
      </c>
      <c r="C5281" s="4" t="str">
        <f>IFERROR(__xludf.DUMMYFUNCTION("""COMPUTED_VALUE"""),"PHI")</f>
        <v>PHI</v>
      </c>
      <c r="D5281" s="4" t="str">
        <f>IFERROR(__xludf.DUMMYFUNCTION("""COMPUTED_VALUE"""),"Don Smith")</f>
        <v>Don Smith</v>
      </c>
      <c r="E5281" s="4" t="str">
        <f>IFERROR(__xludf.DUMMYFUNCTION("""COMPUTED_VALUE"""),"Dayton")</f>
        <v>Dayton</v>
      </c>
      <c r="F5281" s="4">
        <f>IFERROR(__xludf.DUMMYFUNCTION("""COMPUTED_VALUE"""),1.0)</f>
        <v>1</v>
      </c>
      <c r="G5281" s="4">
        <f>IFERROR(__xludf.DUMMYFUNCTION("""COMPUTED_VALUE"""),54.0)</f>
        <v>54</v>
      </c>
      <c r="H5281" s="4">
        <f>IFERROR(__xludf.DUMMYFUNCTION("""COMPUTED_VALUE"""),538.0)</f>
        <v>538</v>
      </c>
      <c r="I5281" s="4">
        <f>IFERROR(__xludf.DUMMYFUNCTION("""COMPUTED_VALUE"""),283.0)</f>
        <v>283</v>
      </c>
      <c r="J5281" s="4">
        <f>IFERROR(__xludf.DUMMYFUNCTION("""COMPUTED_VALUE"""),30.0)</f>
        <v>30</v>
      </c>
      <c r="K5281" s="4">
        <f>IFERROR(__xludf.DUMMYFUNCTION("""COMPUTED_VALUE"""),47.0)</f>
        <v>47</v>
      </c>
      <c r="L5281" s="4">
        <f>IFERROR(__xludf.DUMMYFUNCTION("""COMPUTED_VALUE"""),0.408)</f>
        <v>0.408</v>
      </c>
      <c r="M5281" s="4"/>
      <c r="N5281" s="4">
        <f>IFERROR(__xludf.DUMMYFUNCTION("""COMPUTED_VALUE"""),1.0)</f>
        <v>1</v>
      </c>
      <c r="O5281" s="4">
        <f>IFERROR(__xludf.DUMMYFUNCTION("""COMPUTED_VALUE"""),10.0)</f>
        <v>10</v>
      </c>
      <c r="P5281" s="4">
        <f>IFERROR(__xludf.DUMMYFUNCTION("""COMPUTED_VALUE"""),5.2)</f>
        <v>5.2</v>
      </c>
      <c r="Q5281" s="4">
        <f>IFERROR(__xludf.DUMMYFUNCTION("""COMPUTED_VALUE"""),0.6)</f>
        <v>0.6</v>
      </c>
      <c r="R5281" s="4">
        <f>IFERROR(__xludf.DUMMYFUNCTION("""COMPUTED_VALUE"""),0.9)</f>
        <v>0.9</v>
      </c>
      <c r="S5281" s="4">
        <f>IFERROR(__xludf.DUMMYFUNCTION("""COMPUTED_VALUE"""),0.0)</f>
        <v>0</v>
      </c>
      <c r="T5281" s="4">
        <f>IFERROR(__xludf.DUMMYFUNCTION("""COMPUTED_VALUE"""),0.004)</f>
        <v>0.004</v>
      </c>
      <c r="U5281" s="4">
        <f>IFERROR(__xludf.DUMMYFUNCTION("""COMPUTED_VALUE"""),-3.3)</f>
        <v>-3.3</v>
      </c>
      <c r="V5281" s="4">
        <f>IFERROR(__xludf.DUMMYFUNCTION("""COMPUTED_VALUE"""),-0.2)</f>
        <v>-0.2</v>
      </c>
    </row>
    <row r="5282">
      <c r="A5282" s="4">
        <f>IFERROR(__xludf.DUMMYFUNCTION("""COMPUTED_VALUE"""),20.0)</f>
        <v>20</v>
      </c>
      <c r="B5282" s="4">
        <f>IFERROR(__xludf.DUMMYFUNCTION("""COMPUTED_VALUE"""),20.0)</f>
        <v>20</v>
      </c>
      <c r="C5282" s="4" t="str">
        <f>IFERROR(__xludf.DUMMYFUNCTION("""COMPUTED_VALUE"""),"POR")</f>
        <v>POR</v>
      </c>
      <c r="D5282" s="4" t="str">
        <f>IFERROR(__xludf.DUMMYFUNCTION("""COMPUTED_VALUE"""),"Jan van Breda Kolff")</f>
        <v>Jan van Breda Kolff</v>
      </c>
      <c r="E5282" s="4" t="str">
        <f>IFERROR(__xludf.DUMMYFUNCTION("""COMPUTED_VALUE"""),"Vanderbilt")</f>
        <v>Vanderbilt</v>
      </c>
      <c r="F5282" s="4">
        <f>IFERROR(__xludf.DUMMYFUNCTION("""COMPUTED_VALUE"""),7.0)</f>
        <v>7</v>
      </c>
      <c r="G5282" s="4">
        <f>IFERROR(__xludf.DUMMYFUNCTION("""COMPUTED_VALUE"""),434.0)</f>
        <v>434</v>
      </c>
      <c r="H5282" s="4">
        <f>IFERROR(__xludf.DUMMYFUNCTION("""COMPUTED_VALUE"""),10155.0)</f>
        <v>10155</v>
      </c>
      <c r="I5282" s="4">
        <f>IFERROR(__xludf.DUMMYFUNCTION("""COMPUTED_VALUE"""),2596.0)</f>
        <v>2596</v>
      </c>
      <c r="J5282" s="4">
        <f>IFERROR(__xludf.DUMMYFUNCTION("""COMPUTED_VALUE"""),1778.0)</f>
        <v>1778</v>
      </c>
      <c r="K5282" s="4">
        <f>IFERROR(__xludf.DUMMYFUNCTION("""COMPUTED_VALUE"""),815.0)</f>
        <v>815</v>
      </c>
      <c r="L5282" s="4">
        <f>IFERROR(__xludf.DUMMYFUNCTION("""COMPUTED_VALUE"""),0.439)</f>
        <v>0.439</v>
      </c>
      <c r="M5282" s="4"/>
      <c r="N5282" s="4">
        <f>IFERROR(__xludf.DUMMYFUNCTION("""COMPUTED_VALUE"""),0.814)</f>
        <v>0.814</v>
      </c>
      <c r="O5282" s="4">
        <f>IFERROR(__xludf.DUMMYFUNCTION("""COMPUTED_VALUE"""),23.4)</f>
        <v>23.4</v>
      </c>
      <c r="P5282" s="4">
        <f>IFERROR(__xludf.DUMMYFUNCTION("""COMPUTED_VALUE"""),6.0)</f>
        <v>6</v>
      </c>
      <c r="Q5282" s="4">
        <f>IFERROR(__xludf.DUMMYFUNCTION("""COMPUTED_VALUE"""),4.1)</f>
        <v>4.1</v>
      </c>
      <c r="R5282" s="4">
        <f>IFERROR(__xludf.DUMMYFUNCTION("""COMPUTED_VALUE"""),1.9)</f>
        <v>1.9</v>
      </c>
      <c r="S5282" s="4">
        <f>IFERROR(__xludf.DUMMYFUNCTION("""COMPUTED_VALUE"""),15.1)</f>
        <v>15.1</v>
      </c>
      <c r="T5282" s="4">
        <f>IFERROR(__xludf.DUMMYFUNCTION("""COMPUTED_VALUE"""),0.071)</f>
        <v>0.071</v>
      </c>
      <c r="U5282" s="4">
        <f>IFERROR(__xludf.DUMMYFUNCTION("""COMPUTED_VALUE"""),-1.0)</f>
        <v>-1</v>
      </c>
      <c r="V5282" s="4">
        <f>IFERROR(__xludf.DUMMYFUNCTION("""COMPUTED_VALUE"""),2.5)</f>
        <v>2.5</v>
      </c>
    </row>
    <row r="5283">
      <c r="A5283" s="4">
        <f>IFERROR(__xludf.DUMMYFUNCTION("""COMPUTED_VALUE"""),21.0)</f>
        <v>21</v>
      </c>
      <c r="B5283" s="4">
        <f>IFERROR(__xludf.DUMMYFUNCTION("""COMPUTED_VALUE"""),21.0)</f>
        <v>21</v>
      </c>
      <c r="C5283" s="4" t="str">
        <f>IFERROR(__xludf.DUMMYFUNCTION("""COMPUTED_VALUE"""),"LAL")</f>
        <v>LAL</v>
      </c>
      <c r="D5283" s="4" t="str">
        <f>IFERROR(__xludf.DUMMYFUNCTION("""COMPUTED_VALUE"""),"Billy Knight")</f>
        <v>Billy Knight</v>
      </c>
      <c r="E5283" s="4" t="str">
        <f>IFERROR(__xludf.DUMMYFUNCTION("""COMPUTED_VALUE"""),"Pitt")</f>
        <v>Pitt</v>
      </c>
      <c r="F5283" s="4">
        <f>IFERROR(__xludf.DUMMYFUNCTION("""COMPUTED_VALUE"""),9.0)</f>
        <v>9</v>
      </c>
      <c r="G5283" s="4">
        <f>IFERROR(__xludf.DUMMYFUNCTION("""COMPUTED_VALUE"""),671.0)</f>
        <v>671</v>
      </c>
      <c r="H5283" s="4">
        <f>IFERROR(__xludf.DUMMYFUNCTION("""COMPUTED_VALUE"""),18412.0)</f>
        <v>18412</v>
      </c>
      <c r="I5283" s="4">
        <f>IFERROR(__xludf.DUMMYFUNCTION("""COMPUTED_VALUE"""),10561.0)</f>
        <v>10561</v>
      </c>
      <c r="J5283" s="4">
        <f>IFERROR(__xludf.DUMMYFUNCTION("""COMPUTED_VALUE"""),3037.0)</f>
        <v>3037</v>
      </c>
      <c r="K5283" s="4">
        <f>IFERROR(__xludf.DUMMYFUNCTION("""COMPUTED_VALUE"""),1435.0)</f>
        <v>1435</v>
      </c>
      <c r="L5283" s="4">
        <f>IFERROR(__xludf.DUMMYFUNCTION("""COMPUTED_VALUE"""),0.506)</f>
        <v>0.506</v>
      </c>
      <c r="M5283" s="4"/>
      <c r="N5283" s="4">
        <f>IFERROR(__xludf.DUMMYFUNCTION("""COMPUTED_VALUE"""),0.83)</f>
        <v>0.83</v>
      </c>
      <c r="O5283" s="4">
        <f>IFERROR(__xludf.DUMMYFUNCTION("""COMPUTED_VALUE"""),27.4)</f>
        <v>27.4</v>
      </c>
      <c r="P5283" s="4">
        <f>IFERROR(__xludf.DUMMYFUNCTION("""COMPUTED_VALUE"""),15.7)</f>
        <v>15.7</v>
      </c>
      <c r="Q5283" s="4">
        <f>IFERROR(__xludf.DUMMYFUNCTION("""COMPUTED_VALUE"""),4.5)</f>
        <v>4.5</v>
      </c>
      <c r="R5283" s="4">
        <f>IFERROR(__xludf.DUMMYFUNCTION("""COMPUTED_VALUE"""),2.1)</f>
        <v>2.1</v>
      </c>
      <c r="S5283" s="4">
        <f>IFERROR(__xludf.DUMMYFUNCTION("""COMPUTED_VALUE"""),48.5)</f>
        <v>48.5</v>
      </c>
      <c r="T5283" s="4">
        <f>IFERROR(__xludf.DUMMYFUNCTION("""COMPUTED_VALUE"""),0.126)</f>
        <v>0.126</v>
      </c>
      <c r="U5283" s="4">
        <f>IFERROR(__xludf.DUMMYFUNCTION("""COMPUTED_VALUE"""),0.9)</f>
        <v>0.9</v>
      </c>
      <c r="V5283" s="4">
        <f>IFERROR(__xludf.DUMMYFUNCTION("""COMPUTED_VALUE"""),13.4)</f>
        <v>13.4</v>
      </c>
    </row>
    <row r="5284">
      <c r="A5284" s="4">
        <f>IFERROR(__xludf.DUMMYFUNCTION("""COMPUTED_VALUE"""),22.0)</f>
        <v>22</v>
      </c>
      <c r="B5284" s="4">
        <f>IFERROR(__xludf.DUMMYFUNCTION("""COMPUTED_VALUE"""),22.0)</f>
        <v>22</v>
      </c>
      <c r="C5284" s="4" t="str">
        <f>IFERROR(__xludf.DUMMYFUNCTION("""COMPUTED_VALUE"""),"WSB")</f>
        <v>WSB</v>
      </c>
      <c r="D5284" s="4" t="str">
        <f>IFERROR(__xludf.DUMMYFUNCTION("""COMPUTED_VALUE"""),"Truck Robinson")</f>
        <v>Truck Robinson</v>
      </c>
      <c r="E5284" s="4" t="str">
        <f>IFERROR(__xludf.DUMMYFUNCTION("""COMPUTED_VALUE"""),"Tennessee State")</f>
        <v>Tennessee State</v>
      </c>
      <c r="F5284" s="4">
        <f>IFERROR(__xludf.DUMMYFUNCTION("""COMPUTED_VALUE"""),11.0)</f>
        <v>11</v>
      </c>
      <c r="G5284" s="4">
        <f>IFERROR(__xludf.DUMMYFUNCTION("""COMPUTED_VALUE"""),772.0)</f>
        <v>772</v>
      </c>
      <c r="H5284" s="4">
        <f>IFERROR(__xludf.DUMMYFUNCTION("""COMPUTED_VALUE"""),25141.0)</f>
        <v>25141</v>
      </c>
      <c r="I5284" s="4">
        <f>IFERROR(__xludf.DUMMYFUNCTION("""COMPUTED_VALUE"""),11988.0)</f>
        <v>11988</v>
      </c>
      <c r="J5284" s="4">
        <f>IFERROR(__xludf.DUMMYFUNCTION("""COMPUTED_VALUE"""),7267.0)</f>
        <v>7267</v>
      </c>
      <c r="K5284" s="4">
        <f>IFERROR(__xludf.DUMMYFUNCTION("""COMPUTED_VALUE"""),1348.0)</f>
        <v>1348</v>
      </c>
      <c r="L5284" s="4">
        <f>IFERROR(__xludf.DUMMYFUNCTION("""COMPUTED_VALUE"""),0.483)</f>
        <v>0.483</v>
      </c>
      <c r="M5284" s="4"/>
      <c r="N5284" s="4">
        <f>IFERROR(__xludf.DUMMYFUNCTION("""COMPUTED_VALUE"""),0.662)</f>
        <v>0.662</v>
      </c>
      <c r="O5284" s="4">
        <f>IFERROR(__xludf.DUMMYFUNCTION("""COMPUTED_VALUE"""),32.6)</f>
        <v>32.6</v>
      </c>
      <c r="P5284" s="4">
        <f>IFERROR(__xludf.DUMMYFUNCTION("""COMPUTED_VALUE"""),15.5)</f>
        <v>15.5</v>
      </c>
      <c r="Q5284" s="4">
        <f>IFERROR(__xludf.DUMMYFUNCTION("""COMPUTED_VALUE"""),9.4)</f>
        <v>9.4</v>
      </c>
      <c r="R5284" s="4">
        <f>IFERROR(__xludf.DUMMYFUNCTION("""COMPUTED_VALUE"""),1.7)</f>
        <v>1.7</v>
      </c>
      <c r="S5284" s="4">
        <f>IFERROR(__xludf.DUMMYFUNCTION("""COMPUTED_VALUE"""),52.7)</f>
        <v>52.7</v>
      </c>
      <c r="T5284" s="4">
        <f>IFERROR(__xludf.DUMMYFUNCTION("""COMPUTED_VALUE"""),0.101)</f>
        <v>0.101</v>
      </c>
      <c r="U5284" s="4">
        <f>IFERROR(__xludf.DUMMYFUNCTION("""COMPUTED_VALUE"""),-1.0)</f>
        <v>-1</v>
      </c>
      <c r="V5284" s="4">
        <f>IFERROR(__xludf.DUMMYFUNCTION("""COMPUTED_VALUE"""),6.1)</f>
        <v>6.1</v>
      </c>
    </row>
    <row r="5285">
      <c r="A5285" s="4">
        <f>IFERROR(__xludf.DUMMYFUNCTION("""COMPUTED_VALUE"""),23.0)</f>
        <v>23</v>
      </c>
      <c r="B5285" s="4">
        <f>IFERROR(__xludf.DUMMYFUNCTION("""COMPUTED_VALUE"""),23.0)</f>
        <v>23</v>
      </c>
      <c r="C5285" s="4" t="str">
        <f>IFERROR(__xludf.DUMMYFUNCTION("""COMPUTED_VALUE"""),"HOU")</f>
        <v>HOU</v>
      </c>
      <c r="D5285" s="4" t="str">
        <f>IFERROR(__xludf.DUMMYFUNCTION("""COMPUTED_VALUE"""),"Gus Bailey")</f>
        <v>Gus Bailey</v>
      </c>
      <c r="E5285" s="4" t="str">
        <f>IFERROR(__xludf.DUMMYFUNCTION("""COMPUTED_VALUE"""),"Texas-El Paso")</f>
        <v>Texas-El Paso</v>
      </c>
      <c r="F5285" s="4">
        <f>IFERROR(__xludf.DUMMYFUNCTION("""COMPUTED_VALUE"""),5.0)</f>
        <v>5</v>
      </c>
      <c r="G5285" s="4">
        <f>IFERROR(__xludf.DUMMYFUNCTION("""COMPUTED_VALUE"""),147.0)</f>
        <v>147</v>
      </c>
      <c r="H5285" s="4">
        <f>IFERROR(__xludf.DUMMYFUNCTION("""COMPUTED_VALUE"""),1346.0)</f>
        <v>1346</v>
      </c>
      <c r="I5285" s="4">
        <f>IFERROR(__xludf.DUMMYFUNCTION("""COMPUTED_VALUE"""),389.0)</f>
        <v>389</v>
      </c>
      <c r="J5285" s="4">
        <f>IFERROR(__xludf.DUMMYFUNCTION("""COMPUTED_VALUE"""),244.0)</f>
        <v>244</v>
      </c>
      <c r="K5285" s="4">
        <f>IFERROR(__xludf.DUMMYFUNCTION("""COMPUTED_VALUE"""),168.0)</f>
        <v>168</v>
      </c>
      <c r="L5285" s="4">
        <f>IFERROR(__xludf.DUMMYFUNCTION("""COMPUTED_VALUE"""),0.406)</f>
        <v>0.406</v>
      </c>
      <c r="M5285" s="4"/>
      <c r="N5285" s="4">
        <f>IFERROR(__xludf.DUMMYFUNCTION("""COMPUTED_VALUE"""),0.51)</f>
        <v>0.51</v>
      </c>
      <c r="O5285" s="4">
        <f>IFERROR(__xludf.DUMMYFUNCTION("""COMPUTED_VALUE"""),9.2)</f>
        <v>9.2</v>
      </c>
      <c r="P5285" s="4">
        <f>IFERROR(__xludf.DUMMYFUNCTION("""COMPUTED_VALUE"""),2.6)</f>
        <v>2.6</v>
      </c>
      <c r="Q5285" s="4">
        <f>IFERROR(__xludf.DUMMYFUNCTION("""COMPUTED_VALUE"""),1.7)</f>
        <v>1.7</v>
      </c>
      <c r="R5285" s="4">
        <f>IFERROR(__xludf.DUMMYFUNCTION("""COMPUTED_VALUE"""),1.1)</f>
        <v>1.1</v>
      </c>
      <c r="S5285" s="4">
        <f>IFERROR(__xludf.DUMMYFUNCTION("""COMPUTED_VALUE"""),0.8)</f>
        <v>0.8</v>
      </c>
      <c r="T5285" s="4">
        <f>IFERROR(__xludf.DUMMYFUNCTION("""COMPUTED_VALUE"""),0.029)</f>
        <v>0.029</v>
      </c>
      <c r="U5285" s="4">
        <f>IFERROR(__xludf.DUMMYFUNCTION("""COMPUTED_VALUE"""),-0.9)</f>
        <v>-0.9</v>
      </c>
      <c r="V5285" s="4">
        <f>IFERROR(__xludf.DUMMYFUNCTION("""COMPUTED_VALUE"""),0.4)</f>
        <v>0.4</v>
      </c>
    </row>
    <row r="5286">
      <c r="A5286" s="4">
        <f>IFERROR(__xludf.DUMMYFUNCTION("""COMPUTED_VALUE"""),24.0)</f>
        <v>24</v>
      </c>
      <c r="B5286" s="4">
        <f>IFERROR(__xludf.DUMMYFUNCTION("""COMPUTED_VALUE"""),24.0)</f>
        <v>24</v>
      </c>
      <c r="C5286" s="4" t="str">
        <f>IFERROR(__xludf.DUMMYFUNCTION("""COMPUTED_VALUE"""),"KCO")</f>
        <v>KCO</v>
      </c>
      <c r="D5286" s="4" t="str">
        <f>IFERROR(__xludf.DUMMYFUNCTION("""COMPUTED_VALUE"""),"Len Kosmalski")</f>
        <v>Len Kosmalski</v>
      </c>
      <c r="E5286" s="4" t="str">
        <f>IFERROR(__xludf.DUMMYFUNCTION("""COMPUTED_VALUE"""),"Tennessee")</f>
        <v>Tennessee</v>
      </c>
      <c r="F5286" s="4">
        <f>IFERROR(__xludf.DUMMYFUNCTION("""COMPUTED_VALUE"""),2.0)</f>
        <v>2</v>
      </c>
      <c r="G5286" s="4">
        <f>IFERROR(__xludf.DUMMYFUNCTION("""COMPUTED_VALUE"""),76.0)</f>
        <v>76</v>
      </c>
      <c r="H5286" s="4">
        <f>IFERROR(__xludf.DUMMYFUNCTION("""COMPUTED_VALUE"""),506.0)</f>
        <v>506</v>
      </c>
      <c r="I5286" s="4">
        <f>IFERROR(__xludf.DUMMYFUNCTION("""COMPUTED_VALUE"""),110.0)</f>
        <v>110</v>
      </c>
      <c r="J5286" s="4">
        <f>IFERROR(__xludf.DUMMYFUNCTION("""COMPUTED_VALUE"""),144.0)</f>
        <v>144</v>
      </c>
      <c r="K5286" s="4">
        <f>IFERROR(__xludf.DUMMYFUNCTION("""COMPUTED_VALUE"""),53.0)</f>
        <v>53</v>
      </c>
      <c r="L5286" s="4">
        <f>IFERROR(__xludf.DUMMYFUNCTION("""COMPUTED_VALUE"""),0.398)</f>
        <v>0.398</v>
      </c>
      <c r="M5286" s="4"/>
      <c r="N5286" s="4">
        <f>IFERROR(__xludf.DUMMYFUNCTION("""COMPUTED_VALUE"""),0.778)</f>
        <v>0.778</v>
      </c>
      <c r="O5286" s="4">
        <f>IFERROR(__xludf.DUMMYFUNCTION("""COMPUTED_VALUE"""),6.7)</f>
        <v>6.7</v>
      </c>
      <c r="P5286" s="4">
        <f>IFERROR(__xludf.DUMMYFUNCTION("""COMPUTED_VALUE"""),1.4)</f>
        <v>1.4</v>
      </c>
      <c r="Q5286" s="4">
        <f>IFERROR(__xludf.DUMMYFUNCTION("""COMPUTED_VALUE"""),1.9)</f>
        <v>1.9</v>
      </c>
      <c r="R5286" s="4">
        <f>IFERROR(__xludf.DUMMYFUNCTION("""COMPUTED_VALUE"""),0.7)</f>
        <v>0.7</v>
      </c>
      <c r="S5286" s="4">
        <f>IFERROR(__xludf.DUMMYFUNCTION("""COMPUTED_VALUE"""),0.6)</f>
        <v>0.6</v>
      </c>
      <c r="T5286" s="4">
        <f>IFERROR(__xludf.DUMMYFUNCTION("""COMPUTED_VALUE"""),0.052)</f>
        <v>0.052</v>
      </c>
      <c r="U5286" s="4">
        <f>IFERROR(__xludf.DUMMYFUNCTION("""COMPUTED_VALUE"""),-2.4)</f>
        <v>-2.4</v>
      </c>
      <c r="V5286" s="4">
        <f>IFERROR(__xludf.DUMMYFUNCTION("""COMPUTED_VALUE"""),0.0)</f>
        <v>0</v>
      </c>
    </row>
    <row r="5287">
      <c r="A5287" s="4">
        <f>IFERROR(__xludf.DUMMYFUNCTION("""COMPUTED_VALUE"""),25.0)</f>
        <v>25</v>
      </c>
      <c r="B5287" s="4">
        <f>IFERROR(__xludf.DUMMYFUNCTION("""COMPUTED_VALUE"""),25.0)</f>
        <v>25</v>
      </c>
      <c r="C5287" s="4" t="str">
        <f>IFERROR(__xludf.DUMMYFUNCTION("""COMPUTED_VALUE"""),"ATL")</f>
        <v>ATL</v>
      </c>
      <c r="D5287" s="4" t="str">
        <f>IFERROR(__xludf.DUMMYFUNCTION("""COMPUTED_VALUE"""),"John Drew")</f>
        <v>John Drew</v>
      </c>
      <c r="E5287" s="4" t="str">
        <f>IFERROR(__xludf.DUMMYFUNCTION("""COMPUTED_VALUE"""),"Gardner-Webb University")</f>
        <v>Gardner-Webb University</v>
      </c>
      <c r="F5287" s="4">
        <f>IFERROR(__xludf.DUMMYFUNCTION("""COMPUTED_VALUE"""),11.0)</f>
        <v>11</v>
      </c>
      <c r="G5287" s="4">
        <f>IFERROR(__xludf.DUMMYFUNCTION("""COMPUTED_VALUE"""),739.0)</f>
        <v>739</v>
      </c>
      <c r="H5287" s="4">
        <f>IFERROR(__xludf.DUMMYFUNCTION("""COMPUTED_VALUE"""),21828.0)</f>
        <v>21828</v>
      </c>
      <c r="I5287" s="4">
        <f>IFERROR(__xludf.DUMMYFUNCTION("""COMPUTED_VALUE"""),15291.0)</f>
        <v>15291</v>
      </c>
      <c r="J5287" s="4">
        <f>IFERROR(__xludf.DUMMYFUNCTION("""COMPUTED_VALUE"""),5088.0)</f>
        <v>5088</v>
      </c>
      <c r="K5287" s="4">
        <f>IFERROR(__xludf.DUMMYFUNCTION("""COMPUTED_VALUE"""),1224.0)</f>
        <v>1224</v>
      </c>
      <c r="L5287" s="4">
        <f>IFERROR(__xludf.DUMMYFUNCTION("""COMPUTED_VALUE"""),0.47)</f>
        <v>0.47</v>
      </c>
      <c r="M5287" s="4"/>
      <c r="N5287" s="4">
        <f>IFERROR(__xludf.DUMMYFUNCTION("""COMPUTED_VALUE"""),0.748)</f>
        <v>0.748</v>
      </c>
      <c r="O5287" s="4">
        <f>IFERROR(__xludf.DUMMYFUNCTION("""COMPUTED_VALUE"""),29.5)</f>
        <v>29.5</v>
      </c>
      <c r="P5287" s="4">
        <f>IFERROR(__xludf.DUMMYFUNCTION("""COMPUTED_VALUE"""),20.7)</f>
        <v>20.7</v>
      </c>
      <c r="Q5287" s="4">
        <f>IFERROR(__xludf.DUMMYFUNCTION("""COMPUTED_VALUE"""),6.9)</f>
        <v>6.9</v>
      </c>
      <c r="R5287" s="4">
        <f>IFERROR(__xludf.DUMMYFUNCTION("""COMPUTED_VALUE"""),1.7)</f>
        <v>1.7</v>
      </c>
      <c r="S5287" s="4">
        <f>IFERROR(__xludf.DUMMYFUNCTION("""COMPUTED_VALUE"""),68.9)</f>
        <v>68.9</v>
      </c>
      <c r="T5287" s="4">
        <f>IFERROR(__xludf.DUMMYFUNCTION("""COMPUTED_VALUE"""),0.152)</f>
        <v>0.152</v>
      </c>
      <c r="U5287" s="4">
        <f>IFERROR(__xludf.DUMMYFUNCTION("""COMPUTED_VALUE"""),1.4)</f>
        <v>1.4</v>
      </c>
      <c r="V5287" s="4">
        <f>IFERROR(__xludf.DUMMYFUNCTION("""COMPUTED_VALUE"""),18.7)</f>
        <v>18.7</v>
      </c>
    </row>
    <row r="5288">
      <c r="A5288" s="4">
        <f>IFERROR(__xludf.DUMMYFUNCTION("""COMPUTED_VALUE"""),26.0)</f>
        <v>26</v>
      </c>
      <c r="B5288" s="4">
        <f>IFERROR(__xludf.DUMMYFUNCTION("""COMPUTED_VALUE"""),26.0)</f>
        <v>26</v>
      </c>
      <c r="C5288" s="4" t="str">
        <f>IFERROR(__xludf.DUMMYFUNCTION("""COMPUTED_VALUE"""),"SEA")</f>
        <v>SEA</v>
      </c>
      <c r="D5288" s="4" t="str">
        <f>IFERROR(__xludf.DUMMYFUNCTION("""COMPUTED_VALUE"""),"Leonard Gray")</f>
        <v>Leonard Gray</v>
      </c>
      <c r="E5288" s="4" t="str">
        <f>IFERROR(__xludf.DUMMYFUNCTION("""COMPUTED_VALUE"""),"Cal State Long Beach")</f>
        <v>Cal State Long Beach</v>
      </c>
      <c r="F5288" s="4">
        <f>IFERROR(__xludf.DUMMYFUNCTION("""COMPUTED_VALUE"""),3.0)</f>
        <v>3</v>
      </c>
      <c r="G5288" s="4">
        <f>IFERROR(__xludf.DUMMYFUNCTION("""COMPUTED_VALUE"""),224.0)</f>
        <v>224</v>
      </c>
      <c r="H5288" s="4">
        <f>IFERROR(__xludf.DUMMYFUNCTION("""COMPUTED_VALUE"""),6058.0)</f>
        <v>6058</v>
      </c>
      <c r="I5288" s="4">
        <f>IFERROR(__xludf.DUMMYFUNCTION("""COMPUTED_VALUE"""),2408.0)</f>
        <v>2408</v>
      </c>
      <c r="J5288" s="4">
        <f>IFERROR(__xludf.DUMMYFUNCTION("""COMPUTED_VALUE"""),1169.0)</f>
        <v>1169</v>
      </c>
      <c r="K5288" s="4">
        <f>IFERROR(__xludf.DUMMYFUNCTION("""COMPUTED_VALUE"""),490.0)</f>
        <v>490</v>
      </c>
      <c r="L5288" s="4">
        <f>IFERROR(__xludf.DUMMYFUNCTION("""COMPUTED_VALUE"""),0.469)</f>
        <v>0.469</v>
      </c>
      <c r="M5288" s="4"/>
      <c r="N5288" s="4">
        <f>IFERROR(__xludf.DUMMYFUNCTION("""COMPUTED_VALUE"""),0.739)</f>
        <v>0.739</v>
      </c>
      <c r="O5288" s="4">
        <f>IFERROR(__xludf.DUMMYFUNCTION("""COMPUTED_VALUE"""),27.0)</f>
        <v>27</v>
      </c>
      <c r="P5288" s="4">
        <f>IFERROR(__xludf.DUMMYFUNCTION("""COMPUTED_VALUE"""),10.8)</f>
        <v>10.8</v>
      </c>
      <c r="Q5288" s="4">
        <f>IFERROR(__xludf.DUMMYFUNCTION("""COMPUTED_VALUE"""),5.2)</f>
        <v>5.2</v>
      </c>
      <c r="R5288" s="4">
        <f>IFERROR(__xludf.DUMMYFUNCTION("""COMPUTED_VALUE"""),2.2)</f>
        <v>2.2</v>
      </c>
      <c r="S5288" s="4">
        <f>IFERROR(__xludf.DUMMYFUNCTION("""COMPUTED_VALUE"""),9.9)</f>
        <v>9.9</v>
      </c>
      <c r="T5288" s="4">
        <f>IFERROR(__xludf.DUMMYFUNCTION("""COMPUTED_VALUE"""),0.079)</f>
        <v>0.079</v>
      </c>
      <c r="U5288" s="4">
        <f>IFERROR(__xludf.DUMMYFUNCTION("""COMPUTED_VALUE"""),-1.4)</f>
        <v>-1.4</v>
      </c>
      <c r="V5288" s="4">
        <f>IFERROR(__xludf.DUMMYFUNCTION("""COMPUTED_VALUE"""),0.9)</f>
        <v>0.9</v>
      </c>
    </row>
    <row r="5289">
      <c r="A5289" s="4">
        <f>IFERROR(__xludf.DUMMYFUNCTION("""COMPUTED_VALUE"""),27.0)</f>
        <v>27</v>
      </c>
      <c r="B5289" s="4">
        <f>IFERROR(__xludf.DUMMYFUNCTION("""COMPUTED_VALUE"""),27.0)</f>
        <v>27</v>
      </c>
      <c r="C5289" s="4" t="str">
        <f>IFERROR(__xludf.DUMMYFUNCTION("""COMPUTED_VALUE"""),"CHI")</f>
        <v>CHI</v>
      </c>
      <c r="D5289" s="4" t="str">
        <f>IFERROR(__xludf.DUMMYFUNCTION("""COMPUTED_VALUE"""),"Leon Benbow")</f>
        <v>Leon Benbow</v>
      </c>
      <c r="E5289" s="4" t="str">
        <f>IFERROR(__xludf.DUMMYFUNCTION("""COMPUTED_VALUE"""),"Jacksonville University")</f>
        <v>Jacksonville University</v>
      </c>
      <c r="F5289" s="4">
        <f>IFERROR(__xludf.DUMMYFUNCTION("""COMPUTED_VALUE"""),2.0)</f>
        <v>2</v>
      </c>
      <c r="G5289" s="4">
        <f>IFERROR(__xludf.DUMMYFUNCTION("""COMPUTED_VALUE"""),115.0)</f>
        <v>115</v>
      </c>
      <c r="H5289" s="4">
        <f>IFERROR(__xludf.DUMMYFUNCTION("""COMPUTED_VALUE"""),1838.0)</f>
        <v>1838</v>
      </c>
      <c r="I5289" s="4">
        <f>IFERROR(__xludf.DUMMYFUNCTION("""COMPUTED_VALUE"""),628.0)</f>
        <v>628</v>
      </c>
      <c r="J5289" s="4">
        <f>IFERROR(__xludf.DUMMYFUNCTION("""COMPUTED_VALUE"""),214.0)</f>
        <v>214</v>
      </c>
      <c r="K5289" s="4">
        <f>IFERROR(__xludf.DUMMYFUNCTION("""COMPUTED_VALUE"""),183.0)</f>
        <v>183</v>
      </c>
      <c r="L5289" s="4">
        <f>IFERROR(__xludf.DUMMYFUNCTION("""COMPUTED_VALUE"""),0.394)</f>
        <v>0.394</v>
      </c>
      <c r="M5289" s="4"/>
      <c r="N5289" s="4">
        <f>IFERROR(__xludf.DUMMYFUNCTION("""COMPUTED_VALUE"""),0.759)</f>
        <v>0.759</v>
      </c>
      <c r="O5289" s="4">
        <f>IFERROR(__xludf.DUMMYFUNCTION("""COMPUTED_VALUE"""),16.0)</f>
        <v>16</v>
      </c>
      <c r="P5289" s="4">
        <f>IFERROR(__xludf.DUMMYFUNCTION("""COMPUTED_VALUE"""),5.5)</f>
        <v>5.5</v>
      </c>
      <c r="Q5289" s="4">
        <f>IFERROR(__xludf.DUMMYFUNCTION("""COMPUTED_VALUE"""),1.9)</f>
        <v>1.9</v>
      </c>
      <c r="R5289" s="4">
        <f>IFERROR(__xludf.DUMMYFUNCTION("""COMPUTED_VALUE"""),1.6)</f>
        <v>1.6</v>
      </c>
      <c r="S5289" s="4">
        <f>IFERROR(__xludf.DUMMYFUNCTION("""COMPUTED_VALUE"""),1.7)</f>
        <v>1.7</v>
      </c>
      <c r="T5289" s="4">
        <f>IFERROR(__xludf.DUMMYFUNCTION("""COMPUTED_VALUE"""),0.044)</f>
        <v>0.044</v>
      </c>
      <c r="U5289" s="4">
        <f>IFERROR(__xludf.DUMMYFUNCTION("""COMPUTED_VALUE"""),-2.5)</f>
        <v>-2.5</v>
      </c>
      <c r="V5289" s="4">
        <f>IFERROR(__xludf.DUMMYFUNCTION("""COMPUTED_VALUE"""),-0.2)</f>
        <v>-0.2</v>
      </c>
    </row>
    <row r="5290">
      <c r="A5290" s="4">
        <f>IFERROR(__xludf.DUMMYFUNCTION("""COMPUTED_VALUE"""),28.0)</f>
        <v>28</v>
      </c>
      <c r="B5290" s="4">
        <f>IFERROR(__xludf.DUMMYFUNCTION("""COMPUTED_VALUE"""),28.0)</f>
        <v>28</v>
      </c>
      <c r="C5290" s="4" t="str">
        <f>IFERROR(__xludf.DUMMYFUNCTION("""COMPUTED_VALUE"""),"NOJ")</f>
        <v>NOJ</v>
      </c>
      <c r="D5290" s="4" t="str">
        <f>IFERROR(__xludf.DUMMYFUNCTION("""COMPUTED_VALUE"""),"Aaron James")</f>
        <v>Aaron James</v>
      </c>
      <c r="E5290" s="4" t="str">
        <f>IFERROR(__xludf.DUMMYFUNCTION("""COMPUTED_VALUE"""),"Grambling State University")</f>
        <v>Grambling State University</v>
      </c>
      <c r="F5290" s="4">
        <f>IFERROR(__xludf.DUMMYFUNCTION("""COMPUTED_VALUE"""),5.0)</f>
        <v>5</v>
      </c>
      <c r="G5290" s="4">
        <f>IFERROR(__xludf.DUMMYFUNCTION("""COMPUTED_VALUE"""),356.0)</f>
        <v>356</v>
      </c>
      <c r="H5290" s="4">
        <f>IFERROR(__xludf.DUMMYFUNCTION("""COMPUTED_VALUE"""),7671.0)</f>
        <v>7671</v>
      </c>
      <c r="I5290" s="4">
        <f>IFERROR(__xludf.DUMMYFUNCTION("""COMPUTED_VALUE"""),3829.0)</f>
        <v>3829</v>
      </c>
      <c r="J5290" s="4">
        <f>IFERROR(__xludf.DUMMYFUNCTION("""COMPUTED_VALUE"""),1470.0)</f>
        <v>1470</v>
      </c>
      <c r="K5290" s="4">
        <f>IFERROR(__xludf.DUMMYFUNCTION("""COMPUTED_VALUE"""),370.0)</f>
        <v>370</v>
      </c>
      <c r="L5290" s="4">
        <f>IFERROR(__xludf.DUMMYFUNCTION("""COMPUTED_VALUE"""),0.481)</f>
        <v>0.481</v>
      </c>
      <c r="M5290" s="4"/>
      <c r="N5290" s="4">
        <f>IFERROR(__xludf.DUMMYFUNCTION("""COMPUTED_VALUE"""),0.76)</f>
        <v>0.76</v>
      </c>
      <c r="O5290" s="4">
        <f>IFERROR(__xludf.DUMMYFUNCTION("""COMPUTED_VALUE"""),21.5)</f>
        <v>21.5</v>
      </c>
      <c r="P5290" s="4">
        <f>IFERROR(__xludf.DUMMYFUNCTION("""COMPUTED_VALUE"""),10.8)</f>
        <v>10.8</v>
      </c>
      <c r="Q5290" s="4">
        <f>IFERROR(__xludf.DUMMYFUNCTION("""COMPUTED_VALUE"""),4.1)</f>
        <v>4.1</v>
      </c>
      <c r="R5290" s="4">
        <f>IFERROR(__xludf.DUMMYFUNCTION("""COMPUTED_VALUE"""),1.0)</f>
        <v>1</v>
      </c>
      <c r="S5290" s="4">
        <f>IFERROR(__xludf.DUMMYFUNCTION("""COMPUTED_VALUE"""),13.1)</f>
        <v>13.1</v>
      </c>
      <c r="T5290" s="4">
        <f>IFERROR(__xludf.DUMMYFUNCTION("""COMPUTED_VALUE"""),0.082)</f>
        <v>0.082</v>
      </c>
      <c r="U5290" s="4">
        <f>IFERROR(__xludf.DUMMYFUNCTION("""COMPUTED_VALUE"""),-2.3)</f>
        <v>-2.3</v>
      </c>
      <c r="V5290" s="4">
        <f>IFERROR(__xludf.DUMMYFUNCTION("""COMPUTED_VALUE"""),-0.6)</f>
        <v>-0.6</v>
      </c>
    </row>
    <row r="5291">
      <c r="A5291" s="4">
        <f>IFERROR(__xludf.DUMMYFUNCTION("""COMPUTED_VALUE"""),29.0)</f>
        <v>29</v>
      </c>
      <c r="B5291" s="4">
        <f>IFERROR(__xludf.DUMMYFUNCTION("""COMPUTED_VALUE"""),29.0)</f>
        <v>29</v>
      </c>
      <c r="C5291" s="4" t="str">
        <f>IFERROR(__xludf.DUMMYFUNCTION("""COMPUTED_VALUE"""),"GSW")</f>
        <v>GSW</v>
      </c>
      <c r="D5291" s="4" t="str">
        <f>IFERROR(__xludf.DUMMYFUNCTION("""COMPUTED_VALUE"""),"Phil Smith")</f>
        <v>Phil Smith</v>
      </c>
      <c r="E5291" s="4" t="str">
        <f>IFERROR(__xludf.DUMMYFUNCTION("""COMPUTED_VALUE"""),"San Francisco")</f>
        <v>San Francisco</v>
      </c>
      <c r="F5291" s="4">
        <f>IFERROR(__xludf.DUMMYFUNCTION("""COMPUTED_VALUE"""),9.0)</f>
        <v>9</v>
      </c>
      <c r="G5291" s="4">
        <f>IFERROR(__xludf.DUMMYFUNCTION("""COMPUTED_VALUE"""),659.0)</f>
        <v>659</v>
      </c>
      <c r="H5291" s="4">
        <f>IFERROR(__xludf.DUMMYFUNCTION("""COMPUTED_VALUE"""),19166.0)</f>
        <v>19166</v>
      </c>
      <c r="I5291" s="4">
        <f>IFERROR(__xludf.DUMMYFUNCTION("""COMPUTED_VALUE"""),9924.0)</f>
        <v>9924</v>
      </c>
      <c r="J5291" s="4">
        <f>IFERROR(__xludf.DUMMYFUNCTION("""COMPUTED_VALUE"""),1978.0)</f>
        <v>1978</v>
      </c>
      <c r="K5291" s="4">
        <f>IFERROR(__xludf.DUMMYFUNCTION("""COMPUTED_VALUE"""),2561.0)</f>
        <v>2561</v>
      </c>
      <c r="L5291" s="4">
        <f>IFERROR(__xludf.DUMMYFUNCTION("""COMPUTED_VALUE"""),0.476)</f>
        <v>0.476</v>
      </c>
      <c r="M5291" s="4"/>
      <c r="N5291" s="4">
        <f>IFERROR(__xludf.DUMMYFUNCTION("""COMPUTED_VALUE"""),0.779)</f>
        <v>0.779</v>
      </c>
      <c r="O5291" s="4">
        <f>IFERROR(__xludf.DUMMYFUNCTION("""COMPUTED_VALUE"""),29.1)</f>
        <v>29.1</v>
      </c>
      <c r="P5291" s="4">
        <f>IFERROR(__xludf.DUMMYFUNCTION("""COMPUTED_VALUE"""),15.1)</f>
        <v>15.1</v>
      </c>
      <c r="Q5291" s="4">
        <f>IFERROR(__xludf.DUMMYFUNCTION("""COMPUTED_VALUE"""),3.0)</f>
        <v>3</v>
      </c>
      <c r="R5291" s="4">
        <f>IFERROR(__xludf.DUMMYFUNCTION("""COMPUTED_VALUE"""),3.9)</f>
        <v>3.9</v>
      </c>
      <c r="S5291" s="4">
        <f>IFERROR(__xludf.DUMMYFUNCTION("""COMPUTED_VALUE"""),41.1)</f>
        <v>41.1</v>
      </c>
      <c r="T5291" s="4">
        <f>IFERROR(__xludf.DUMMYFUNCTION("""COMPUTED_VALUE"""),0.103)</f>
        <v>0.103</v>
      </c>
      <c r="U5291" s="4">
        <f>IFERROR(__xludf.DUMMYFUNCTION("""COMPUTED_VALUE"""),0.1)</f>
        <v>0.1</v>
      </c>
      <c r="V5291" s="4">
        <f>IFERROR(__xludf.DUMMYFUNCTION("""COMPUTED_VALUE"""),9.9)</f>
        <v>9.9</v>
      </c>
    </row>
    <row r="5292">
      <c r="A5292" s="4">
        <f>IFERROR(__xludf.DUMMYFUNCTION("""COMPUTED_VALUE"""),30.0)</f>
        <v>30</v>
      </c>
      <c r="B5292" s="4">
        <f>IFERROR(__xludf.DUMMYFUNCTION("""COMPUTED_VALUE"""),30.0)</f>
        <v>30</v>
      </c>
      <c r="C5292" s="4" t="str">
        <f>IFERROR(__xludf.DUMMYFUNCTION("""COMPUTED_VALUE"""),"WSB")</f>
        <v>WSB</v>
      </c>
      <c r="D5292" s="4" t="str">
        <f>IFERROR(__xludf.DUMMYFUNCTION("""COMPUTED_VALUE"""),"Dennis DuVal")</f>
        <v>Dennis DuVal</v>
      </c>
      <c r="E5292" s="4" t="str">
        <f>IFERROR(__xludf.DUMMYFUNCTION("""COMPUTED_VALUE"""),"Syracuse")</f>
        <v>Syracuse</v>
      </c>
      <c r="F5292" s="4">
        <f>IFERROR(__xludf.DUMMYFUNCTION("""COMPUTED_VALUE"""),2.0)</f>
        <v>2</v>
      </c>
      <c r="G5292" s="4">
        <f>IFERROR(__xludf.DUMMYFUNCTION("""COMPUTED_VALUE"""),50.0)</f>
        <v>50</v>
      </c>
      <c r="H5292" s="4">
        <f>IFERROR(__xludf.DUMMYFUNCTION("""COMPUTED_VALUE"""),267.0)</f>
        <v>267</v>
      </c>
      <c r="I5292" s="4">
        <f>IFERROR(__xludf.DUMMYFUNCTION("""COMPUTED_VALUE"""),96.0)</f>
        <v>96</v>
      </c>
      <c r="J5292" s="4">
        <f>IFERROR(__xludf.DUMMYFUNCTION("""COMPUTED_VALUE"""),31.0)</f>
        <v>31</v>
      </c>
      <c r="K5292" s="4">
        <f>IFERROR(__xludf.DUMMYFUNCTION("""COMPUTED_VALUE"""),34.0)</f>
        <v>34</v>
      </c>
      <c r="L5292" s="4">
        <f>IFERROR(__xludf.DUMMYFUNCTION("""COMPUTED_VALUE"""),0.361)</f>
        <v>0.361</v>
      </c>
      <c r="M5292" s="4"/>
      <c r="N5292" s="4">
        <f>IFERROR(__xludf.DUMMYFUNCTION("""COMPUTED_VALUE"""),0.667)</f>
        <v>0.667</v>
      </c>
      <c r="O5292" s="4">
        <f>IFERROR(__xludf.DUMMYFUNCTION("""COMPUTED_VALUE"""),5.3)</f>
        <v>5.3</v>
      </c>
      <c r="P5292" s="4">
        <f>IFERROR(__xludf.DUMMYFUNCTION("""COMPUTED_VALUE"""),1.9)</f>
        <v>1.9</v>
      </c>
      <c r="Q5292" s="4">
        <f>IFERROR(__xludf.DUMMYFUNCTION("""COMPUTED_VALUE"""),0.6)</f>
        <v>0.6</v>
      </c>
      <c r="R5292" s="4">
        <f>IFERROR(__xludf.DUMMYFUNCTION("""COMPUTED_VALUE"""),0.7)</f>
        <v>0.7</v>
      </c>
      <c r="S5292" s="4">
        <f>IFERROR(__xludf.DUMMYFUNCTION("""COMPUTED_VALUE"""),0.0)</f>
        <v>0</v>
      </c>
      <c r="T5292" s="4">
        <f>IFERROR(__xludf.DUMMYFUNCTION("""COMPUTED_VALUE"""),0.001)</f>
        <v>0.001</v>
      </c>
      <c r="U5292" s="4">
        <f>IFERROR(__xludf.DUMMYFUNCTION("""COMPUTED_VALUE"""),-3.5)</f>
        <v>-3.5</v>
      </c>
      <c r="V5292" s="4">
        <f>IFERROR(__xludf.DUMMYFUNCTION("""COMPUTED_VALUE"""),-0.1)</f>
        <v>-0.1</v>
      </c>
    </row>
    <row r="5293">
      <c r="A5293" s="4">
        <f>IFERROR(__xludf.DUMMYFUNCTION("""COMPUTED_VALUE"""),31.0)</f>
        <v>31</v>
      </c>
      <c r="B5293" s="4">
        <f>IFERROR(__xludf.DUMMYFUNCTION("""COMPUTED_VALUE"""),31.0)</f>
        <v>31</v>
      </c>
      <c r="C5293" s="4" t="str">
        <f>IFERROR(__xludf.DUMMYFUNCTION("""COMPUTED_VALUE"""),"PHO")</f>
        <v>PHO</v>
      </c>
      <c r="D5293" s="4" t="str">
        <f>IFERROR(__xludf.DUMMYFUNCTION("""COMPUTED_VALUE"""),"Fred Saunders")</f>
        <v>Fred Saunders</v>
      </c>
      <c r="E5293" s="4" t="str">
        <f>IFERROR(__xludf.DUMMYFUNCTION("""COMPUTED_VALUE"""),"Syracuse")</f>
        <v>Syracuse</v>
      </c>
      <c r="F5293" s="4">
        <f>IFERROR(__xludf.DUMMYFUNCTION("""COMPUTED_VALUE"""),4.0)</f>
        <v>4</v>
      </c>
      <c r="G5293" s="4">
        <f>IFERROR(__xludf.DUMMYFUNCTION("""COMPUTED_VALUE"""),210.0)</f>
        <v>210</v>
      </c>
      <c r="H5293" s="4">
        <f>IFERROR(__xludf.DUMMYFUNCTION("""COMPUTED_VALUE"""),2899.0)</f>
        <v>2899</v>
      </c>
      <c r="I5293" s="4">
        <f>IFERROR(__xludf.DUMMYFUNCTION("""COMPUTED_VALUE"""),1107.0)</f>
        <v>1107</v>
      </c>
      <c r="J5293" s="4">
        <f>IFERROR(__xludf.DUMMYFUNCTION("""COMPUTED_VALUE"""),624.0)</f>
        <v>624</v>
      </c>
      <c r="K5293" s="4">
        <f>IFERROR(__xludf.DUMMYFUNCTION("""COMPUTED_VALUE"""),224.0)</f>
        <v>224</v>
      </c>
      <c r="L5293" s="4">
        <f>IFERROR(__xludf.DUMMYFUNCTION("""COMPUTED_VALUE"""),0.443)</f>
        <v>0.443</v>
      </c>
      <c r="M5293" s="4"/>
      <c r="N5293" s="4">
        <f>IFERROR(__xludf.DUMMYFUNCTION("""COMPUTED_VALUE"""),0.682)</f>
        <v>0.682</v>
      </c>
      <c r="O5293" s="4">
        <f>IFERROR(__xludf.DUMMYFUNCTION("""COMPUTED_VALUE"""),13.8)</f>
        <v>13.8</v>
      </c>
      <c r="P5293" s="4">
        <f>IFERROR(__xludf.DUMMYFUNCTION("""COMPUTED_VALUE"""),5.3)</f>
        <v>5.3</v>
      </c>
      <c r="Q5293" s="4">
        <f>IFERROR(__xludf.DUMMYFUNCTION("""COMPUTED_VALUE"""),3.0)</f>
        <v>3</v>
      </c>
      <c r="R5293" s="4">
        <f>IFERROR(__xludf.DUMMYFUNCTION("""COMPUTED_VALUE"""),1.1)</f>
        <v>1.1</v>
      </c>
      <c r="S5293" s="4">
        <f>IFERROR(__xludf.DUMMYFUNCTION("""COMPUTED_VALUE"""),3.1)</f>
        <v>3.1</v>
      </c>
      <c r="T5293" s="4">
        <f>IFERROR(__xludf.DUMMYFUNCTION("""COMPUTED_VALUE"""),0.051)</f>
        <v>0.051</v>
      </c>
      <c r="U5293" s="4">
        <f>IFERROR(__xludf.DUMMYFUNCTION("""COMPUTED_VALUE"""),-2.5)</f>
        <v>-2.5</v>
      </c>
      <c r="V5293" s="4">
        <f>IFERROR(__xludf.DUMMYFUNCTION("""COMPUTED_VALUE"""),-0.4)</f>
        <v>-0.4</v>
      </c>
    </row>
    <row r="5294">
      <c r="A5294" s="4">
        <f>IFERROR(__xludf.DUMMYFUNCTION("""COMPUTED_VALUE"""),32.0)</f>
        <v>32</v>
      </c>
      <c r="B5294" s="4">
        <f>IFERROR(__xludf.DUMMYFUNCTION("""COMPUTED_VALUE"""),32.0)</f>
        <v>32</v>
      </c>
      <c r="C5294" s="4" t="str">
        <f>IFERROR(__xludf.DUMMYFUNCTION("""COMPUTED_VALUE"""),"NYK")</f>
        <v>NYK</v>
      </c>
      <c r="D5294" s="4" t="str">
        <f>IFERROR(__xludf.DUMMYFUNCTION("""COMPUTED_VALUE"""),"Jesse Dark")</f>
        <v>Jesse Dark</v>
      </c>
      <c r="E5294" s="4" t="str">
        <f>IFERROR(__xludf.DUMMYFUNCTION("""COMPUTED_VALUE"""),"VCU")</f>
        <v>VCU</v>
      </c>
      <c r="F5294" s="4">
        <f>IFERROR(__xludf.DUMMYFUNCTION("""COMPUTED_VALUE"""),1.0)</f>
        <v>1</v>
      </c>
      <c r="G5294" s="4">
        <f>IFERROR(__xludf.DUMMYFUNCTION("""COMPUTED_VALUE"""),47.0)</f>
        <v>47</v>
      </c>
      <c r="H5294" s="4">
        <f>IFERROR(__xludf.DUMMYFUNCTION("""COMPUTED_VALUE"""),401.0)</f>
        <v>401</v>
      </c>
      <c r="I5294" s="4">
        <f>IFERROR(__xludf.DUMMYFUNCTION("""COMPUTED_VALUE"""),170.0)</f>
        <v>170</v>
      </c>
      <c r="J5294" s="4">
        <f>IFERROR(__xludf.DUMMYFUNCTION("""COMPUTED_VALUE"""),37.0)</f>
        <v>37</v>
      </c>
      <c r="K5294" s="4">
        <f>IFERROR(__xludf.DUMMYFUNCTION("""COMPUTED_VALUE"""),30.0)</f>
        <v>30</v>
      </c>
      <c r="L5294" s="4">
        <f>IFERROR(__xludf.DUMMYFUNCTION("""COMPUTED_VALUE"""),0.471)</f>
        <v>0.471</v>
      </c>
      <c r="M5294" s="4"/>
      <c r="N5294" s="4">
        <f>IFERROR(__xludf.DUMMYFUNCTION("""COMPUTED_VALUE"""),0.55)</f>
        <v>0.55</v>
      </c>
      <c r="O5294" s="4">
        <f>IFERROR(__xludf.DUMMYFUNCTION("""COMPUTED_VALUE"""),8.5)</f>
        <v>8.5</v>
      </c>
      <c r="P5294" s="4">
        <f>IFERROR(__xludf.DUMMYFUNCTION("""COMPUTED_VALUE"""),3.6)</f>
        <v>3.6</v>
      </c>
      <c r="Q5294" s="4">
        <f>IFERROR(__xludf.DUMMYFUNCTION("""COMPUTED_VALUE"""),0.8)</f>
        <v>0.8</v>
      </c>
      <c r="R5294" s="4">
        <f>IFERROR(__xludf.DUMMYFUNCTION("""COMPUTED_VALUE"""),0.6)</f>
        <v>0.6</v>
      </c>
      <c r="S5294" s="4">
        <f>IFERROR(__xludf.DUMMYFUNCTION("""COMPUTED_VALUE"""),0.3)</f>
        <v>0.3</v>
      </c>
      <c r="T5294" s="4">
        <f>IFERROR(__xludf.DUMMYFUNCTION("""COMPUTED_VALUE"""),0.034)</f>
        <v>0.034</v>
      </c>
      <c r="U5294" s="4">
        <f>IFERROR(__xludf.DUMMYFUNCTION("""COMPUTED_VALUE"""),-3.7)</f>
        <v>-3.7</v>
      </c>
      <c r="V5294" s="4">
        <f>IFERROR(__xludf.DUMMYFUNCTION("""COMPUTED_VALUE"""),-0.2)</f>
        <v>-0.2</v>
      </c>
    </row>
    <row r="5295">
      <c r="A5295" s="4">
        <f>IFERROR(__xludf.DUMMYFUNCTION("""COMPUTED_VALUE"""),33.0)</f>
        <v>33</v>
      </c>
      <c r="B5295" s="4">
        <f>IFERROR(__xludf.DUMMYFUNCTION("""COMPUTED_VALUE"""),33.0)</f>
        <v>33</v>
      </c>
      <c r="C5295" s="4" t="str">
        <f>IFERROR(__xludf.DUMMYFUNCTION("""COMPUTED_VALUE"""),"DET")</f>
        <v>DET</v>
      </c>
      <c r="D5295" s="4" t="str">
        <f>IFERROR(__xludf.DUMMYFUNCTION("""COMPUTED_VALUE"""),"Eric Money")</f>
        <v>Eric Money</v>
      </c>
      <c r="E5295" s="4" t="str">
        <f>IFERROR(__xludf.DUMMYFUNCTION("""COMPUTED_VALUE"""),"Arizona")</f>
        <v>Arizona</v>
      </c>
      <c r="F5295" s="4">
        <f>IFERROR(__xludf.DUMMYFUNCTION("""COMPUTED_VALUE"""),6.0)</f>
        <v>6</v>
      </c>
      <c r="G5295" s="4">
        <f>IFERROR(__xludf.DUMMYFUNCTION("""COMPUTED_VALUE"""),426.0)</f>
        <v>426</v>
      </c>
      <c r="H5295" s="4">
        <f>IFERROR(__xludf.DUMMYFUNCTION("""COMPUTED_VALUE"""),10827.0)</f>
        <v>10827</v>
      </c>
      <c r="I5295" s="4">
        <f>IFERROR(__xludf.DUMMYFUNCTION("""COMPUTED_VALUE"""),5211.0)</f>
        <v>5211</v>
      </c>
      <c r="J5295" s="4">
        <f>IFERROR(__xludf.DUMMYFUNCTION("""COMPUTED_VALUE"""),894.0)</f>
        <v>894</v>
      </c>
      <c r="K5295" s="4">
        <f>IFERROR(__xludf.DUMMYFUNCTION("""COMPUTED_VALUE"""),1623.0)</f>
        <v>1623</v>
      </c>
      <c r="L5295" s="4">
        <f>IFERROR(__xludf.DUMMYFUNCTION("""COMPUTED_VALUE"""),0.494)</f>
        <v>0.494</v>
      </c>
      <c r="M5295" s="4"/>
      <c r="N5295" s="4">
        <f>IFERROR(__xludf.DUMMYFUNCTION("""COMPUTED_VALUE"""),0.748)</f>
        <v>0.748</v>
      </c>
      <c r="O5295" s="4">
        <f>IFERROR(__xludf.DUMMYFUNCTION("""COMPUTED_VALUE"""),25.4)</f>
        <v>25.4</v>
      </c>
      <c r="P5295" s="4">
        <f>IFERROR(__xludf.DUMMYFUNCTION("""COMPUTED_VALUE"""),12.2)</f>
        <v>12.2</v>
      </c>
      <c r="Q5295" s="4">
        <f>IFERROR(__xludf.DUMMYFUNCTION("""COMPUTED_VALUE"""),2.1)</f>
        <v>2.1</v>
      </c>
      <c r="R5295" s="4">
        <f>IFERROR(__xludf.DUMMYFUNCTION("""COMPUTED_VALUE"""),3.8)</f>
        <v>3.8</v>
      </c>
      <c r="S5295" s="4">
        <f>IFERROR(__xludf.DUMMYFUNCTION("""COMPUTED_VALUE"""),14.8)</f>
        <v>14.8</v>
      </c>
      <c r="T5295" s="4">
        <f>IFERROR(__xludf.DUMMYFUNCTION("""COMPUTED_VALUE"""),0.065)</f>
        <v>0.065</v>
      </c>
      <c r="U5295" s="4">
        <f>IFERROR(__xludf.DUMMYFUNCTION("""COMPUTED_VALUE"""),-1.2)</f>
        <v>-1.2</v>
      </c>
      <c r="V5295" s="4">
        <f>IFERROR(__xludf.DUMMYFUNCTION("""COMPUTED_VALUE"""),2.1)</f>
        <v>2.1</v>
      </c>
    </row>
    <row r="5296">
      <c r="A5296" s="4">
        <f>IFERROR(__xludf.DUMMYFUNCTION("""COMPUTED_VALUE"""),34.0)</f>
        <v>34</v>
      </c>
      <c r="B5296" s="4">
        <f>IFERROR(__xludf.DUMMYFUNCTION("""COMPUTED_VALUE"""),34.0)</f>
        <v>34</v>
      </c>
      <c r="C5296" s="4" t="str">
        <f>IFERROR(__xludf.DUMMYFUNCTION("""COMPUTED_VALUE"""),"POR")</f>
        <v>POR</v>
      </c>
      <c r="D5296" s="4" t="str">
        <f>IFERROR(__xludf.DUMMYFUNCTION("""COMPUTED_VALUE"""),"Phil Lumpkin")</f>
        <v>Phil Lumpkin</v>
      </c>
      <c r="E5296" s="4" t="str">
        <f>IFERROR(__xludf.DUMMYFUNCTION("""COMPUTED_VALUE"""),"Miami University")</f>
        <v>Miami University</v>
      </c>
      <c r="F5296" s="4">
        <f>IFERROR(__xludf.DUMMYFUNCTION("""COMPUTED_VALUE"""),2.0)</f>
        <v>2</v>
      </c>
      <c r="G5296" s="4">
        <f>IFERROR(__xludf.DUMMYFUNCTION("""COMPUTED_VALUE"""),82.0)</f>
        <v>82</v>
      </c>
      <c r="H5296" s="4">
        <f>IFERROR(__xludf.DUMMYFUNCTION("""COMPUTED_VALUE"""),1162.0)</f>
        <v>1162</v>
      </c>
      <c r="I5296" s="4">
        <f>IFERROR(__xludf.DUMMYFUNCTION("""COMPUTED_VALUE"""),272.0)</f>
        <v>272</v>
      </c>
      <c r="J5296" s="4">
        <f>IFERROR(__xludf.DUMMYFUNCTION("""COMPUTED_VALUE"""),82.0)</f>
        <v>82</v>
      </c>
      <c r="K5296" s="4">
        <f>IFERROR(__xludf.DUMMYFUNCTION("""COMPUTED_VALUE"""),225.0)</f>
        <v>225</v>
      </c>
      <c r="L5296" s="4">
        <f>IFERROR(__xludf.DUMMYFUNCTION("""COMPUTED_VALUE"""),0.424)</f>
        <v>0.424</v>
      </c>
      <c r="M5296" s="4"/>
      <c r="N5296" s="4">
        <f>IFERROR(__xludf.DUMMYFUNCTION("""COMPUTED_VALUE"""),0.812)</f>
        <v>0.812</v>
      </c>
      <c r="O5296" s="4">
        <f>IFERROR(__xludf.DUMMYFUNCTION("""COMPUTED_VALUE"""),14.2)</f>
        <v>14.2</v>
      </c>
      <c r="P5296" s="4">
        <f>IFERROR(__xludf.DUMMYFUNCTION("""COMPUTED_VALUE"""),3.3)</f>
        <v>3.3</v>
      </c>
      <c r="Q5296" s="4">
        <f>IFERROR(__xludf.DUMMYFUNCTION("""COMPUTED_VALUE"""),1.0)</f>
        <v>1</v>
      </c>
      <c r="R5296" s="4">
        <f>IFERROR(__xludf.DUMMYFUNCTION("""COMPUTED_VALUE"""),2.7)</f>
        <v>2.7</v>
      </c>
      <c r="S5296" s="4">
        <f>IFERROR(__xludf.DUMMYFUNCTION("""COMPUTED_VALUE"""),0.7)</f>
        <v>0.7</v>
      </c>
      <c r="T5296" s="4">
        <f>IFERROR(__xludf.DUMMYFUNCTION("""COMPUTED_VALUE"""),0.028)</f>
        <v>0.028</v>
      </c>
      <c r="U5296" s="4">
        <f>IFERROR(__xludf.DUMMYFUNCTION("""COMPUTED_VALUE"""),-3.1)</f>
        <v>-3.1</v>
      </c>
      <c r="V5296" s="4">
        <f>IFERROR(__xludf.DUMMYFUNCTION("""COMPUTED_VALUE"""),-0.3)</f>
        <v>-0.3</v>
      </c>
    </row>
    <row r="5297">
      <c r="A5297" s="4">
        <f>IFERROR(__xludf.DUMMYFUNCTION("""COMPUTED_VALUE"""),35.0)</f>
        <v>35</v>
      </c>
      <c r="B5297" s="4">
        <f>IFERROR(__xludf.DUMMYFUNCTION("""COMPUTED_VALUE"""),35.0)</f>
        <v>35</v>
      </c>
      <c r="C5297" s="4" t="str">
        <f>IFERROR(__xludf.DUMMYFUNCTION("""COMPUTED_VALUE"""),"BOS")</f>
        <v>BOS</v>
      </c>
      <c r="D5297" s="4" t="str">
        <f>IFERROR(__xludf.DUMMYFUNCTION("""COMPUTED_VALUE"""),"Kevin Stacom")</f>
        <v>Kevin Stacom</v>
      </c>
      <c r="E5297" s="4" t="str">
        <f>IFERROR(__xludf.DUMMYFUNCTION("""COMPUTED_VALUE"""),"Providence")</f>
        <v>Providence</v>
      </c>
      <c r="F5297" s="4">
        <f>IFERROR(__xludf.DUMMYFUNCTION("""COMPUTED_VALUE"""),6.0)</f>
        <v>6</v>
      </c>
      <c r="G5297" s="4">
        <f>IFERROR(__xludf.DUMMYFUNCTION("""COMPUTED_VALUE"""),347.0)</f>
        <v>347</v>
      </c>
      <c r="H5297" s="4">
        <f>IFERROR(__xludf.DUMMYFUNCTION("""COMPUTED_VALUE"""),4539.0)</f>
        <v>4539</v>
      </c>
      <c r="I5297" s="4">
        <f>IFERROR(__xludf.DUMMYFUNCTION("""COMPUTED_VALUE"""),1781.0)</f>
        <v>1781</v>
      </c>
      <c r="J5297" s="4">
        <f>IFERROR(__xludf.DUMMYFUNCTION("""COMPUTED_VALUE"""),511.0)</f>
        <v>511</v>
      </c>
      <c r="K5297" s="4">
        <f>IFERROR(__xludf.DUMMYFUNCTION("""COMPUTED_VALUE"""),524.0)</f>
        <v>524</v>
      </c>
      <c r="L5297" s="4">
        <f>IFERROR(__xludf.DUMMYFUNCTION("""COMPUTED_VALUE"""),0.417)</f>
        <v>0.417</v>
      </c>
      <c r="M5297" s="4"/>
      <c r="N5297" s="4">
        <f>IFERROR(__xludf.DUMMYFUNCTION("""COMPUTED_VALUE"""),0.768)</f>
        <v>0.768</v>
      </c>
      <c r="O5297" s="4">
        <f>IFERROR(__xludf.DUMMYFUNCTION("""COMPUTED_VALUE"""),13.1)</f>
        <v>13.1</v>
      </c>
      <c r="P5297" s="4">
        <f>IFERROR(__xludf.DUMMYFUNCTION("""COMPUTED_VALUE"""),5.1)</f>
        <v>5.1</v>
      </c>
      <c r="Q5297" s="4">
        <f>IFERROR(__xludf.DUMMYFUNCTION("""COMPUTED_VALUE"""),1.5)</f>
        <v>1.5</v>
      </c>
      <c r="R5297" s="4">
        <f>IFERROR(__xludf.DUMMYFUNCTION("""COMPUTED_VALUE"""),1.5)</f>
        <v>1.5</v>
      </c>
      <c r="S5297" s="4">
        <f>IFERROR(__xludf.DUMMYFUNCTION("""COMPUTED_VALUE"""),3.1)</f>
        <v>3.1</v>
      </c>
      <c r="T5297" s="4">
        <f>IFERROR(__xludf.DUMMYFUNCTION("""COMPUTED_VALUE"""),0.032)</f>
        <v>0.032</v>
      </c>
      <c r="U5297" s="4">
        <f>IFERROR(__xludf.DUMMYFUNCTION("""COMPUTED_VALUE"""),-2.7)</f>
        <v>-2.7</v>
      </c>
      <c r="V5297" s="4">
        <f>IFERROR(__xludf.DUMMYFUNCTION("""COMPUTED_VALUE"""),-0.8)</f>
        <v>-0.8</v>
      </c>
    </row>
    <row r="5298">
      <c r="A5298" s="4">
        <f>IFERROR(__xludf.DUMMYFUNCTION("""COMPUTED_VALUE"""),36.0)</f>
        <v>36</v>
      </c>
      <c r="B5298" s="4">
        <f>IFERROR(__xludf.DUMMYFUNCTION("""COMPUTED_VALUE"""),36.0)</f>
        <v>36</v>
      </c>
      <c r="C5298" s="4" t="str">
        <f>IFERROR(__xludf.DUMMYFUNCTION("""COMPUTED_VALUE"""),"POR")</f>
        <v>POR</v>
      </c>
      <c r="D5298" s="4" t="str">
        <f>IFERROR(__xludf.DUMMYFUNCTION("""COMPUTED_VALUE"""),"Rubin Collins")</f>
        <v>Rubin Collins</v>
      </c>
      <c r="E5298" s="4" t="str">
        <f>IFERROR(__xludf.DUMMYFUNCTION("""COMPUTED_VALUE"""),"University of Maryland Eastern Shore")</f>
        <v>University of Maryland Eastern Shore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</row>
    <row r="5299">
      <c r="A5299" s="4"/>
      <c r="B5299" s="4"/>
      <c r="C5299" s="4"/>
      <c r="D5299" s="4" t="str">
        <f>IFERROR(__xludf.DUMMYFUNCTION("""COMPUTED_VALUE"""),"Round 3")</f>
        <v>Round 3</v>
      </c>
      <c r="E5299" s="4"/>
      <c r="F5299" s="4"/>
      <c r="G5299" s="4" t="str">
        <f>IFERROR(__xludf.DUMMYFUNCTION("""COMPUTED_VALUE"""),"Totals")</f>
        <v>Totals</v>
      </c>
      <c r="H5299" s="4"/>
      <c r="I5299" s="4"/>
      <c r="J5299" s="4"/>
      <c r="K5299" s="4"/>
      <c r="L5299" s="4" t="str">
        <f>IFERROR(__xludf.DUMMYFUNCTION("""COMPUTED_VALUE"""),"Shooting")</f>
        <v>Shooting</v>
      </c>
      <c r="M5299" s="4"/>
      <c r="N5299" s="4"/>
      <c r="O5299" s="4" t="str">
        <f>IFERROR(__xludf.DUMMYFUNCTION("""COMPUTED_VALUE"""),"Per Game")</f>
        <v>Per Game</v>
      </c>
      <c r="P5299" s="4"/>
      <c r="Q5299" s="4"/>
      <c r="R5299" s="4"/>
      <c r="S5299" s="4" t="str">
        <f>IFERROR(__xludf.DUMMYFUNCTION("""COMPUTED_VALUE"""),"Advanced")</f>
        <v>Advanced</v>
      </c>
      <c r="T5299" s="4"/>
      <c r="U5299" s="4"/>
      <c r="V5299" s="4"/>
    </row>
    <row r="5300">
      <c r="A5300" s="4" t="str">
        <f>IFERROR(__xludf.DUMMYFUNCTION("""COMPUTED_VALUE"""),"Rk")</f>
        <v>Rk</v>
      </c>
      <c r="B5300" s="4" t="str">
        <f>IFERROR(__xludf.DUMMYFUNCTION("""COMPUTED_VALUE"""),"Pk")</f>
        <v>Pk</v>
      </c>
      <c r="C5300" s="4" t="str">
        <f>IFERROR(__xludf.DUMMYFUNCTION("""COMPUTED_VALUE"""),"Tm")</f>
        <v>Tm</v>
      </c>
      <c r="D5300" s="4" t="str">
        <f>IFERROR(__xludf.DUMMYFUNCTION("""COMPUTED_VALUE"""),"Player")</f>
        <v>Player</v>
      </c>
      <c r="E5300" s="4" t="str">
        <f>IFERROR(__xludf.DUMMYFUNCTION("""COMPUTED_VALUE"""),"College")</f>
        <v>College</v>
      </c>
      <c r="F5300" s="4" t="str">
        <f>IFERROR(__xludf.DUMMYFUNCTION("""COMPUTED_VALUE"""),"Yrs")</f>
        <v>Yrs</v>
      </c>
      <c r="G5300" s="4" t="str">
        <f>IFERROR(__xludf.DUMMYFUNCTION("""COMPUTED_VALUE"""),"G")</f>
        <v>G</v>
      </c>
      <c r="H5300" s="4" t="str">
        <f>IFERROR(__xludf.DUMMYFUNCTION("""COMPUTED_VALUE"""),"MP")</f>
        <v>MP</v>
      </c>
      <c r="I5300" s="4" t="str">
        <f>IFERROR(__xludf.DUMMYFUNCTION("""COMPUTED_VALUE"""),"PTS")</f>
        <v>PTS</v>
      </c>
      <c r="J5300" s="4" t="str">
        <f>IFERROR(__xludf.DUMMYFUNCTION("""COMPUTED_VALUE"""),"TRB")</f>
        <v>TRB</v>
      </c>
      <c r="K5300" s="4" t="str">
        <f>IFERROR(__xludf.DUMMYFUNCTION("""COMPUTED_VALUE"""),"AST")</f>
        <v>AST</v>
      </c>
      <c r="L5300" s="4" t="str">
        <f>IFERROR(__xludf.DUMMYFUNCTION("""COMPUTED_VALUE"""),"FG%")</f>
        <v>FG%</v>
      </c>
      <c r="M5300" s="4" t="str">
        <f>IFERROR(__xludf.DUMMYFUNCTION("""COMPUTED_VALUE"""),"3P%")</f>
        <v>3P%</v>
      </c>
      <c r="N5300" s="4" t="str">
        <f>IFERROR(__xludf.DUMMYFUNCTION("""COMPUTED_VALUE"""),"FT%")</f>
        <v>FT%</v>
      </c>
      <c r="O5300" s="4" t="str">
        <f>IFERROR(__xludf.DUMMYFUNCTION("""COMPUTED_VALUE"""),"MP")</f>
        <v>MP</v>
      </c>
      <c r="P5300" s="4" t="str">
        <f>IFERROR(__xludf.DUMMYFUNCTION("""COMPUTED_VALUE"""),"PTS")</f>
        <v>PTS</v>
      </c>
      <c r="Q5300" s="4" t="str">
        <f>IFERROR(__xludf.DUMMYFUNCTION("""COMPUTED_VALUE"""),"TRB")</f>
        <v>TRB</v>
      </c>
      <c r="R5300" s="4" t="str">
        <f>IFERROR(__xludf.DUMMYFUNCTION("""COMPUTED_VALUE"""),"AST")</f>
        <v>AST</v>
      </c>
      <c r="S5300" s="4" t="str">
        <f>IFERROR(__xludf.DUMMYFUNCTION("""COMPUTED_VALUE"""),"WS")</f>
        <v>WS</v>
      </c>
      <c r="T5300" s="4" t="str">
        <f>IFERROR(__xludf.DUMMYFUNCTION("""COMPUTED_VALUE"""),"WS/48")</f>
        <v>WS/48</v>
      </c>
      <c r="U5300" s="4" t="str">
        <f>IFERROR(__xludf.DUMMYFUNCTION("""COMPUTED_VALUE"""),"BPM")</f>
        <v>BPM</v>
      </c>
      <c r="V5300" s="4" t="str">
        <f>IFERROR(__xludf.DUMMYFUNCTION("""COMPUTED_VALUE"""),"VORP")</f>
        <v>VORP</v>
      </c>
    </row>
    <row r="5301">
      <c r="A5301" s="4">
        <f>IFERROR(__xludf.DUMMYFUNCTION("""COMPUTED_VALUE"""),37.0)</f>
        <v>37</v>
      </c>
      <c r="B5301" s="4">
        <f>IFERROR(__xludf.DUMMYFUNCTION("""COMPUTED_VALUE"""),37.0)</f>
        <v>37</v>
      </c>
      <c r="C5301" s="4" t="str">
        <f>IFERROR(__xludf.DUMMYFUNCTION("""COMPUTED_VALUE"""),"PHI")</f>
        <v>PHI</v>
      </c>
      <c r="D5301" s="4" t="str">
        <f>IFERROR(__xludf.DUMMYFUNCTION("""COMPUTED_VALUE"""),"Connie Norman")</f>
        <v>Connie Norman</v>
      </c>
      <c r="E5301" s="4" t="str">
        <f>IFERROR(__xludf.DUMMYFUNCTION("""COMPUTED_VALUE"""),"Arizona")</f>
        <v>Arizona</v>
      </c>
      <c r="F5301" s="4">
        <f>IFERROR(__xludf.DUMMYFUNCTION("""COMPUTED_VALUE"""),3.0)</f>
        <v>3</v>
      </c>
      <c r="G5301" s="4">
        <f>IFERROR(__xludf.DUMMYFUNCTION("""COMPUTED_VALUE"""),99.0)</f>
        <v>99</v>
      </c>
      <c r="H5301" s="4">
        <f>IFERROR(__xludf.DUMMYFUNCTION("""COMPUTED_VALUE"""),1213.0)</f>
        <v>1213</v>
      </c>
      <c r="I5301" s="4">
        <f>IFERROR(__xludf.DUMMYFUNCTION("""COMPUTED_VALUE"""),595.0)</f>
        <v>595</v>
      </c>
      <c r="J5301" s="4">
        <f>IFERROR(__xludf.DUMMYFUNCTION("""COMPUTED_VALUE"""),145.0)</f>
        <v>145</v>
      </c>
      <c r="K5301" s="4">
        <f>IFERROR(__xludf.DUMMYFUNCTION("""COMPUTED_VALUE"""),94.0)</f>
        <v>94</v>
      </c>
      <c r="L5301" s="4">
        <f>IFERROR(__xludf.DUMMYFUNCTION("""COMPUTED_VALUE"""),0.439)</f>
        <v>0.439</v>
      </c>
      <c r="M5301" s="4"/>
      <c r="N5301" s="4">
        <f>IFERROR(__xludf.DUMMYFUNCTION("""COMPUTED_VALUE"""),0.82)</f>
        <v>0.82</v>
      </c>
      <c r="O5301" s="4">
        <f>IFERROR(__xludf.DUMMYFUNCTION("""COMPUTED_VALUE"""),12.3)</f>
        <v>12.3</v>
      </c>
      <c r="P5301" s="4">
        <f>IFERROR(__xludf.DUMMYFUNCTION("""COMPUTED_VALUE"""),6.0)</f>
        <v>6</v>
      </c>
      <c r="Q5301" s="4">
        <f>IFERROR(__xludf.DUMMYFUNCTION("""COMPUTED_VALUE"""),1.5)</f>
        <v>1.5</v>
      </c>
      <c r="R5301" s="4">
        <f>IFERROR(__xludf.DUMMYFUNCTION("""COMPUTED_VALUE"""),0.9)</f>
        <v>0.9</v>
      </c>
      <c r="S5301" s="4">
        <f>IFERROR(__xludf.DUMMYFUNCTION("""COMPUTED_VALUE"""),1.2)</f>
        <v>1.2</v>
      </c>
      <c r="T5301" s="4">
        <f>IFERROR(__xludf.DUMMYFUNCTION("""COMPUTED_VALUE"""),0.047)</f>
        <v>0.047</v>
      </c>
      <c r="U5301" s="4">
        <f>IFERROR(__xludf.DUMMYFUNCTION("""COMPUTED_VALUE"""),-2.5)</f>
        <v>-2.5</v>
      </c>
      <c r="V5301" s="4">
        <f>IFERROR(__xludf.DUMMYFUNCTION("""COMPUTED_VALUE"""),-0.1)</f>
        <v>-0.1</v>
      </c>
    </row>
    <row r="5302">
      <c r="A5302" s="4">
        <f>IFERROR(__xludf.DUMMYFUNCTION("""COMPUTED_VALUE"""),38.0)</f>
        <v>38</v>
      </c>
      <c r="B5302" s="4">
        <f>IFERROR(__xludf.DUMMYFUNCTION("""COMPUTED_VALUE"""),38.0)</f>
        <v>38</v>
      </c>
      <c r="C5302" s="4" t="str">
        <f>IFERROR(__xludf.DUMMYFUNCTION("""COMPUTED_VALUE"""),"CLE")</f>
        <v>CLE</v>
      </c>
      <c r="D5302" s="4" t="str">
        <f>IFERROR(__xludf.DUMMYFUNCTION("""COMPUTED_VALUE"""),"Foots Walker")</f>
        <v>Foots Walker</v>
      </c>
      <c r="E5302" s="4" t="str">
        <f>IFERROR(__xludf.DUMMYFUNCTION("""COMPUTED_VALUE"""),"West Georgia")</f>
        <v>West Georgia</v>
      </c>
      <c r="F5302" s="4">
        <f>IFERROR(__xludf.DUMMYFUNCTION("""COMPUTED_VALUE"""),10.0)</f>
        <v>10</v>
      </c>
      <c r="G5302" s="4">
        <f>IFERROR(__xludf.DUMMYFUNCTION("""COMPUTED_VALUE"""),658.0)</f>
        <v>658</v>
      </c>
      <c r="H5302" s="4">
        <f>IFERROR(__xludf.DUMMYFUNCTION("""COMPUTED_VALUE"""),15036.0)</f>
        <v>15036</v>
      </c>
      <c r="I5302" s="4">
        <f>IFERROR(__xludf.DUMMYFUNCTION("""COMPUTED_VALUE"""),4199.0)</f>
        <v>4199</v>
      </c>
      <c r="J5302" s="4">
        <f>IFERROR(__xludf.DUMMYFUNCTION("""COMPUTED_VALUE"""),1686.0)</f>
        <v>1686</v>
      </c>
      <c r="K5302" s="4">
        <f>IFERROR(__xludf.DUMMYFUNCTION("""COMPUTED_VALUE"""),3111.0)</f>
        <v>3111</v>
      </c>
      <c r="L5302" s="4">
        <f>IFERROR(__xludf.DUMMYFUNCTION("""COMPUTED_VALUE"""),0.435)</f>
        <v>0.435</v>
      </c>
      <c r="M5302" s="4"/>
      <c r="N5302" s="4">
        <f>IFERROR(__xludf.DUMMYFUNCTION("""COMPUTED_VALUE"""),0.762)</f>
        <v>0.762</v>
      </c>
      <c r="O5302" s="4">
        <f>IFERROR(__xludf.DUMMYFUNCTION("""COMPUTED_VALUE"""),22.9)</f>
        <v>22.9</v>
      </c>
      <c r="P5302" s="4">
        <f>IFERROR(__xludf.DUMMYFUNCTION("""COMPUTED_VALUE"""),6.4)</f>
        <v>6.4</v>
      </c>
      <c r="Q5302" s="4">
        <f>IFERROR(__xludf.DUMMYFUNCTION("""COMPUTED_VALUE"""),2.6)</f>
        <v>2.6</v>
      </c>
      <c r="R5302" s="4">
        <f>IFERROR(__xludf.DUMMYFUNCTION("""COMPUTED_VALUE"""),4.7)</f>
        <v>4.7</v>
      </c>
      <c r="S5302" s="4">
        <f>IFERROR(__xludf.DUMMYFUNCTION("""COMPUTED_VALUE"""),31.0)</f>
        <v>31</v>
      </c>
      <c r="T5302" s="4">
        <f>IFERROR(__xludf.DUMMYFUNCTION("""COMPUTED_VALUE"""),0.099)</f>
        <v>0.099</v>
      </c>
      <c r="U5302" s="4">
        <f>IFERROR(__xludf.DUMMYFUNCTION("""COMPUTED_VALUE"""),0.7)</f>
        <v>0.7</v>
      </c>
      <c r="V5302" s="4">
        <f>IFERROR(__xludf.DUMMYFUNCTION("""COMPUTED_VALUE"""),10.2)</f>
        <v>10.2</v>
      </c>
    </row>
    <row r="5303">
      <c r="A5303" s="4">
        <f>IFERROR(__xludf.DUMMYFUNCTION("""COMPUTED_VALUE"""),39.0)</f>
        <v>39</v>
      </c>
      <c r="B5303" s="4">
        <f>IFERROR(__xludf.DUMMYFUNCTION("""COMPUTED_VALUE"""),39.0)</f>
        <v>39</v>
      </c>
      <c r="C5303" s="4" t="str">
        <f>IFERROR(__xludf.DUMMYFUNCTION("""COMPUTED_VALUE"""),"CLE")</f>
        <v>CLE</v>
      </c>
      <c r="D5303" s="4" t="str">
        <f>IFERROR(__xludf.DUMMYFUNCTION("""COMPUTED_VALUE"""),"Kevin Restani")</f>
        <v>Kevin Restani</v>
      </c>
      <c r="E5303" s="4" t="str">
        <f>IFERROR(__xludf.DUMMYFUNCTION("""COMPUTED_VALUE"""),"San Francisco")</f>
        <v>San Francisco</v>
      </c>
      <c r="F5303" s="4">
        <f>IFERROR(__xludf.DUMMYFUNCTION("""COMPUTED_VALUE"""),8.0)</f>
        <v>8</v>
      </c>
      <c r="G5303" s="4">
        <f>IFERROR(__xludf.DUMMYFUNCTION("""COMPUTED_VALUE"""),550.0)</f>
        <v>550</v>
      </c>
      <c r="H5303" s="4">
        <f>IFERROR(__xludf.DUMMYFUNCTION("""COMPUTED_VALUE"""),10114.0)</f>
        <v>10114</v>
      </c>
      <c r="I5303" s="4">
        <f>IFERROR(__xludf.DUMMYFUNCTION("""COMPUTED_VALUE"""),3386.0)</f>
        <v>3386</v>
      </c>
      <c r="J5303" s="4">
        <f>IFERROR(__xludf.DUMMYFUNCTION("""COMPUTED_VALUE"""),2206.0)</f>
        <v>2206</v>
      </c>
      <c r="K5303" s="4">
        <f>IFERROR(__xludf.DUMMYFUNCTION("""COMPUTED_VALUE"""),747.0)</f>
        <v>747</v>
      </c>
      <c r="L5303" s="4">
        <f>IFERROR(__xludf.DUMMYFUNCTION("""COMPUTED_VALUE"""),0.486)</f>
        <v>0.486</v>
      </c>
      <c r="M5303" s="4"/>
      <c r="N5303" s="4">
        <f>IFERROR(__xludf.DUMMYFUNCTION("""COMPUTED_VALUE"""),0.717)</f>
        <v>0.717</v>
      </c>
      <c r="O5303" s="4">
        <f>IFERROR(__xludf.DUMMYFUNCTION("""COMPUTED_VALUE"""),18.4)</f>
        <v>18.4</v>
      </c>
      <c r="P5303" s="4">
        <f>IFERROR(__xludf.DUMMYFUNCTION("""COMPUTED_VALUE"""),6.2)</f>
        <v>6.2</v>
      </c>
      <c r="Q5303" s="4">
        <f>IFERROR(__xludf.DUMMYFUNCTION("""COMPUTED_VALUE"""),4.0)</f>
        <v>4</v>
      </c>
      <c r="R5303" s="4">
        <f>IFERROR(__xludf.DUMMYFUNCTION("""COMPUTED_VALUE"""),1.4)</f>
        <v>1.4</v>
      </c>
      <c r="S5303" s="4">
        <f>IFERROR(__xludf.DUMMYFUNCTION("""COMPUTED_VALUE"""),14.8)</f>
        <v>14.8</v>
      </c>
      <c r="T5303" s="4">
        <f>IFERROR(__xludf.DUMMYFUNCTION("""COMPUTED_VALUE"""),0.07)</f>
        <v>0.07</v>
      </c>
      <c r="U5303" s="4">
        <f>IFERROR(__xludf.DUMMYFUNCTION("""COMPUTED_VALUE"""),-1.5)</f>
        <v>-1.5</v>
      </c>
      <c r="V5303" s="4">
        <f>IFERROR(__xludf.DUMMYFUNCTION("""COMPUTED_VALUE"""),1.2)</f>
        <v>1.2</v>
      </c>
    </row>
    <row r="5304">
      <c r="A5304" s="4">
        <f>IFERROR(__xludf.DUMMYFUNCTION("""COMPUTED_VALUE"""),40.0)</f>
        <v>40</v>
      </c>
      <c r="B5304" s="4">
        <f>IFERROR(__xludf.DUMMYFUNCTION("""COMPUTED_VALUE"""),40.0)</f>
        <v>40</v>
      </c>
      <c r="C5304" s="4" t="str">
        <f>IFERROR(__xludf.DUMMYFUNCTION("""COMPUTED_VALUE"""),"PHO")</f>
        <v>PHO</v>
      </c>
      <c r="D5304" s="4" t="str">
        <f>IFERROR(__xludf.DUMMYFUNCTION("""COMPUTED_VALUE"""),"George Gervin")</f>
        <v>George Gervin</v>
      </c>
      <c r="E5304" s="4" t="str">
        <f>IFERROR(__xludf.DUMMYFUNCTION("""COMPUTED_VALUE"""),"Eastern Michigan")</f>
        <v>Eastern Michigan</v>
      </c>
      <c r="F5304" s="4">
        <f>IFERROR(__xludf.DUMMYFUNCTION("""COMPUTED_VALUE"""),10.0)</f>
        <v>10</v>
      </c>
      <c r="G5304" s="4">
        <f>IFERROR(__xludf.DUMMYFUNCTION("""COMPUTED_VALUE"""),791.0)</f>
        <v>791</v>
      </c>
      <c r="H5304" s="4">
        <f>IFERROR(__xludf.DUMMYFUNCTION("""COMPUTED_VALUE"""),26536.0)</f>
        <v>26536</v>
      </c>
      <c r="I5304" s="4">
        <f>IFERROR(__xludf.DUMMYFUNCTION("""COMPUTED_VALUE"""),20708.0)</f>
        <v>20708</v>
      </c>
      <c r="J5304" s="4">
        <f>IFERROR(__xludf.DUMMYFUNCTION("""COMPUTED_VALUE"""),3607.0)</f>
        <v>3607</v>
      </c>
      <c r="K5304" s="4">
        <f>IFERROR(__xludf.DUMMYFUNCTION("""COMPUTED_VALUE"""),2214.0)</f>
        <v>2214</v>
      </c>
      <c r="L5304" s="4">
        <f>IFERROR(__xludf.DUMMYFUNCTION("""COMPUTED_VALUE"""),0.511)</f>
        <v>0.511</v>
      </c>
      <c r="M5304" s="4"/>
      <c r="N5304" s="4">
        <f>IFERROR(__xludf.DUMMYFUNCTION("""COMPUTED_VALUE"""),0.844)</f>
        <v>0.844</v>
      </c>
      <c r="O5304" s="4">
        <f>IFERROR(__xludf.DUMMYFUNCTION("""COMPUTED_VALUE"""),33.5)</f>
        <v>33.5</v>
      </c>
      <c r="P5304" s="4">
        <f>IFERROR(__xludf.DUMMYFUNCTION("""COMPUTED_VALUE"""),26.2)</f>
        <v>26.2</v>
      </c>
      <c r="Q5304" s="4">
        <f>IFERROR(__xludf.DUMMYFUNCTION("""COMPUTED_VALUE"""),4.6)</f>
        <v>4.6</v>
      </c>
      <c r="R5304" s="4">
        <f>IFERROR(__xludf.DUMMYFUNCTION("""COMPUTED_VALUE"""),2.8)</f>
        <v>2.8</v>
      </c>
      <c r="S5304" s="4">
        <f>IFERROR(__xludf.DUMMYFUNCTION("""COMPUTED_VALUE"""),88.1)</f>
        <v>88.1</v>
      </c>
      <c r="T5304" s="4">
        <f>IFERROR(__xludf.DUMMYFUNCTION("""COMPUTED_VALUE"""),0.159)</f>
        <v>0.159</v>
      </c>
      <c r="U5304" s="4">
        <f>IFERROR(__xludf.DUMMYFUNCTION("""COMPUTED_VALUE"""),2.4)</f>
        <v>2.4</v>
      </c>
      <c r="V5304" s="4">
        <f>IFERROR(__xludf.DUMMYFUNCTION("""COMPUTED_VALUE"""),29.8)</f>
        <v>29.8</v>
      </c>
    </row>
    <row r="5305">
      <c r="A5305" s="4">
        <f>IFERROR(__xludf.DUMMYFUNCTION("""COMPUTED_VALUE"""),41.0)</f>
        <v>41</v>
      </c>
      <c r="B5305" s="4">
        <f>IFERROR(__xludf.DUMMYFUNCTION("""COMPUTED_VALUE"""),41.0)</f>
        <v>41</v>
      </c>
      <c r="C5305" s="4" t="str">
        <f>IFERROR(__xludf.DUMMYFUNCTION("""COMPUTED_VALUE"""),"HOU")</f>
        <v>HOU</v>
      </c>
      <c r="D5305" s="4" t="str">
        <f>IFERROR(__xludf.DUMMYFUNCTION("""COMPUTED_VALUE"""),"Robert Wilson")</f>
        <v>Robert Wilson</v>
      </c>
      <c r="E5305" s="4" t="str">
        <f>IFERROR(__xludf.DUMMYFUNCTION("""COMPUTED_VALUE"""),"Iowa State")</f>
        <v>Iowa State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</row>
    <row r="5306">
      <c r="A5306" s="4">
        <f>IFERROR(__xludf.DUMMYFUNCTION("""COMPUTED_VALUE"""),42.0)</f>
        <v>42</v>
      </c>
      <c r="B5306" s="4">
        <f>IFERROR(__xludf.DUMMYFUNCTION("""COMPUTED_VALUE"""),42.0)</f>
        <v>42</v>
      </c>
      <c r="C5306" s="4" t="str">
        <f>IFERROR(__xludf.DUMMYFUNCTION("""COMPUTED_VALUE"""),"PHI")</f>
        <v>PHI</v>
      </c>
      <c r="D5306" s="4" t="str">
        <f>IFERROR(__xludf.DUMMYFUNCTION("""COMPUTED_VALUE"""),"Harvey Catchings")</f>
        <v>Harvey Catchings</v>
      </c>
      <c r="E5306" s="4" t="str">
        <f>IFERROR(__xludf.DUMMYFUNCTION("""COMPUTED_VALUE"""),"Hardin-Simmons University")</f>
        <v>Hardin-Simmons University</v>
      </c>
      <c r="F5306" s="4">
        <f>IFERROR(__xludf.DUMMYFUNCTION("""COMPUTED_VALUE"""),11.0)</f>
        <v>11</v>
      </c>
      <c r="G5306" s="4">
        <f>IFERROR(__xludf.DUMMYFUNCTION("""COMPUTED_VALUE"""),725.0)</f>
        <v>725</v>
      </c>
      <c r="H5306" s="4">
        <f>IFERROR(__xludf.DUMMYFUNCTION("""COMPUTED_VALUE"""),13182.0)</f>
        <v>13182</v>
      </c>
      <c r="I5306" s="4">
        <f>IFERROR(__xludf.DUMMYFUNCTION("""COMPUTED_VALUE"""),2335.0)</f>
        <v>2335</v>
      </c>
      <c r="J5306" s="4">
        <f>IFERROR(__xludf.DUMMYFUNCTION("""COMPUTED_VALUE"""),3639.0)</f>
        <v>3639</v>
      </c>
      <c r="K5306" s="4">
        <f>IFERROR(__xludf.DUMMYFUNCTION("""COMPUTED_VALUE"""),608.0)</f>
        <v>608</v>
      </c>
      <c r="L5306" s="4">
        <f>IFERROR(__xludf.DUMMYFUNCTION("""COMPUTED_VALUE"""),0.435)</f>
        <v>0.435</v>
      </c>
      <c r="M5306" s="4"/>
      <c r="N5306" s="4">
        <f>IFERROR(__xludf.DUMMYFUNCTION("""COMPUTED_VALUE"""),0.647)</f>
        <v>0.647</v>
      </c>
      <c r="O5306" s="4">
        <f>IFERROR(__xludf.DUMMYFUNCTION("""COMPUTED_VALUE"""),18.2)</f>
        <v>18.2</v>
      </c>
      <c r="P5306" s="4">
        <f>IFERROR(__xludf.DUMMYFUNCTION("""COMPUTED_VALUE"""),3.2)</f>
        <v>3.2</v>
      </c>
      <c r="Q5306" s="4">
        <f>IFERROR(__xludf.DUMMYFUNCTION("""COMPUTED_VALUE"""),5.0)</f>
        <v>5</v>
      </c>
      <c r="R5306" s="4">
        <f>IFERROR(__xludf.DUMMYFUNCTION("""COMPUTED_VALUE"""),0.8)</f>
        <v>0.8</v>
      </c>
      <c r="S5306" s="4">
        <f>IFERROR(__xludf.DUMMYFUNCTION("""COMPUTED_VALUE"""),21.2)</f>
        <v>21.2</v>
      </c>
      <c r="T5306" s="4">
        <f>IFERROR(__xludf.DUMMYFUNCTION("""COMPUTED_VALUE"""),0.077)</f>
        <v>0.077</v>
      </c>
      <c r="U5306" s="4">
        <f>IFERROR(__xludf.DUMMYFUNCTION("""COMPUTED_VALUE"""),-0.8)</f>
        <v>-0.8</v>
      </c>
      <c r="V5306" s="4">
        <f>IFERROR(__xludf.DUMMYFUNCTION("""COMPUTED_VALUE"""),4.1)</f>
        <v>4.1</v>
      </c>
    </row>
    <row r="5307">
      <c r="A5307" s="4">
        <f>IFERROR(__xludf.DUMMYFUNCTION("""COMPUTED_VALUE"""),43.0)</f>
        <v>43</v>
      </c>
      <c r="B5307" s="4">
        <f>IFERROR(__xludf.DUMMYFUNCTION("""COMPUTED_VALUE"""),43.0)</f>
        <v>43</v>
      </c>
      <c r="C5307" s="4" t="str">
        <f>IFERROR(__xludf.DUMMYFUNCTION("""COMPUTED_VALUE"""),"ATL")</f>
        <v>ATL</v>
      </c>
      <c r="D5307" s="4" t="str">
        <f>IFERROR(__xludf.DUMMYFUNCTION("""COMPUTED_VALUE"""),"Darrell Elston")</f>
        <v>Darrell Elston</v>
      </c>
      <c r="E5307" s="4" t="str">
        <f>IFERROR(__xludf.DUMMYFUNCTION("""COMPUTED_VALUE"""),"UNC")</f>
        <v>UNC</v>
      </c>
      <c r="F5307" s="4">
        <f>IFERROR(__xludf.DUMMYFUNCTION("""COMPUTED_VALUE"""),1.0)</f>
        <v>1</v>
      </c>
      <c r="G5307" s="4">
        <f>IFERROR(__xludf.DUMMYFUNCTION("""COMPUTED_VALUE"""),5.0)</f>
        <v>5</v>
      </c>
      <c r="H5307" s="4">
        <f>IFERROR(__xludf.DUMMYFUNCTION("""COMPUTED_VALUE"""),40.0)</f>
        <v>40</v>
      </c>
      <c r="I5307" s="4">
        <f>IFERROR(__xludf.DUMMYFUNCTION("""COMPUTED_VALUE"""),5.0)</f>
        <v>5</v>
      </c>
      <c r="J5307" s="4">
        <f>IFERROR(__xludf.DUMMYFUNCTION("""COMPUTED_VALUE"""),6.0)</f>
        <v>6</v>
      </c>
      <c r="K5307" s="4">
        <f>IFERROR(__xludf.DUMMYFUNCTION("""COMPUTED_VALUE"""),2.0)</f>
        <v>2</v>
      </c>
      <c r="L5307" s="4">
        <f>IFERROR(__xludf.DUMMYFUNCTION("""COMPUTED_VALUE"""),0.143)</f>
        <v>0.143</v>
      </c>
      <c r="M5307" s="4"/>
      <c r="N5307" s="4">
        <f>IFERROR(__xludf.DUMMYFUNCTION("""COMPUTED_VALUE"""),0.5)</f>
        <v>0.5</v>
      </c>
      <c r="O5307" s="4">
        <f>IFERROR(__xludf.DUMMYFUNCTION("""COMPUTED_VALUE"""),8.0)</f>
        <v>8</v>
      </c>
      <c r="P5307" s="4">
        <f>IFERROR(__xludf.DUMMYFUNCTION("""COMPUTED_VALUE"""),1.0)</f>
        <v>1</v>
      </c>
      <c r="Q5307" s="4">
        <f>IFERROR(__xludf.DUMMYFUNCTION("""COMPUTED_VALUE"""),1.2)</f>
        <v>1.2</v>
      </c>
      <c r="R5307" s="4">
        <f>IFERROR(__xludf.DUMMYFUNCTION("""COMPUTED_VALUE"""),0.4)</f>
        <v>0.4</v>
      </c>
      <c r="S5307" s="4">
        <f>IFERROR(__xludf.DUMMYFUNCTION("""COMPUTED_VALUE"""),-0.2)</f>
        <v>-0.2</v>
      </c>
      <c r="T5307" s="4">
        <f>IFERROR(__xludf.DUMMYFUNCTION("""COMPUTED_VALUE"""),-0.218)</f>
        <v>-0.218</v>
      </c>
      <c r="U5307" s="4">
        <f>IFERROR(__xludf.DUMMYFUNCTION("""COMPUTED_VALUE"""),-6.3)</f>
        <v>-6.3</v>
      </c>
      <c r="V5307" s="4">
        <f>IFERROR(__xludf.DUMMYFUNCTION("""COMPUTED_VALUE"""),-0.1)</f>
        <v>-0.1</v>
      </c>
    </row>
    <row r="5308">
      <c r="A5308" s="4">
        <f>IFERROR(__xludf.DUMMYFUNCTION("""COMPUTED_VALUE"""),44.0)</f>
        <v>44</v>
      </c>
      <c r="B5308" s="4">
        <f>IFERROR(__xludf.DUMMYFUNCTION("""COMPUTED_VALUE"""),44.0)</f>
        <v>44</v>
      </c>
      <c r="C5308" s="4" t="str">
        <f>IFERROR(__xludf.DUMMYFUNCTION("""COMPUTED_VALUE"""),"SEA")</f>
        <v>SEA</v>
      </c>
      <c r="D5308" s="4" t="str">
        <f>IFERROR(__xludf.DUMMYFUNCTION("""COMPUTED_VALUE"""),"Tal Skinner")</f>
        <v>Tal Skinner</v>
      </c>
      <c r="E5308" s="4" t="str">
        <f>IFERROR(__xludf.DUMMYFUNCTION("""COMPUTED_VALUE"""),"University of Maryland Eastern Shore")</f>
        <v>University of Maryland Eastern Shore</v>
      </c>
      <c r="F5308" s="4">
        <f>IFERROR(__xludf.DUMMYFUNCTION("""COMPUTED_VALUE"""),2.0)</f>
        <v>2</v>
      </c>
      <c r="G5308" s="4">
        <f>IFERROR(__xludf.DUMMYFUNCTION("""COMPUTED_VALUE"""),145.0)</f>
        <v>145</v>
      </c>
      <c r="H5308" s="4">
        <f>IFERROR(__xludf.DUMMYFUNCTION("""COMPUTED_VALUE"""),2798.0)</f>
        <v>2798</v>
      </c>
      <c r="I5308" s="4">
        <f>IFERROR(__xludf.DUMMYFUNCTION("""COMPUTED_VALUE"""),660.0)</f>
        <v>660</v>
      </c>
      <c r="J5308" s="4">
        <f>IFERROR(__xludf.DUMMYFUNCTION("""COMPUTED_VALUE"""),608.0)</f>
        <v>608</v>
      </c>
      <c r="K5308" s="4">
        <f>IFERROR(__xludf.DUMMYFUNCTION("""COMPUTED_VALUE"""),152.0)</f>
        <v>152</v>
      </c>
      <c r="L5308" s="4">
        <f>IFERROR(__xludf.DUMMYFUNCTION("""COMPUTED_VALUE"""),0.434)</f>
        <v>0.434</v>
      </c>
      <c r="M5308" s="4"/>
      <c r="N5308" s="4">
        <f>IFERROR(__xludf.DUMMYFUNCTION("""COMPUTED_VALUE"""),0.633)</f>
        <v>0.633</v>
      </c>
      <c r="O5308" s="4">
        <f>IFERROR(__xludf.DUMMYFUNCTION("""COMPUTED_VALUE"""),19.3)</f>
        <v>19.3</v>
      </c>
      <c r="P5308" s="4">
        <f>IFERROR(__xludf.DUMMYFUNCTION("""COMPUTED_VALUE"""),4.6)</f>
        <v>4.6</v>
      </c>
      <c r="Q5308" s="4">
        <f>IFERROR(__xludf.DUMMYFUNCTION("""COMPUTED_VALUE"""),4.2)</f>
        <v>4.2</v>
      </c>
      <c r="R5308" s="4">
        <f>IFERROR(__xludf.DUMMYFUNCTION("""COMPUTED_VALUE"""),1.0)</f>
        <v>1</v>
      </c>
      <c r="S5308" s="4">
        <f>IFERROR(__xludf.DUMMYFUNCTION("""COMPUTED_VALUE"""),3.4)</f>
        <v>3.4</v>
      </c>
      <c r="T5308" s="4">
        <f>IFERROR(__xludf.DUMMYFUNCTION("""COMPUTED_VALUE"""),0.058)</f>
        <v>0.058</v>
      </c>
      <c r="U5308" s="4">
        <f>IFERROR(__xludf.DUMMYFUNCTION("""COMPUTED_VALUE"""),-1.8)</f>
        <v>-1.8</v>
      </c>
      <c r="V5308" s="4">
        <f>IFERROR(__xludf.DUMMYFUNCTION("""COMPUTED_VALUE"""),0.2)</f>
        <v>0.2</v>
      </c>
    </row>
    <row r="5309">
      <c r="A5309" s="4">
        <f>IFERROR(__xludf.DUMMYFUNCTION("""COMPUTED_VALUE"""),45.0)</f>
        <v>45</v>
      </c>
      <c r="B5309" s="4">
        <f>IFERROR(__xludf.DUMMYFUNCTION("""COMPUTED_VALUE"""),45.0)</f>
        <v>45</v>
      </c>
      <c r="C5309" s="4" t="str">
        <f>IFERROR(__xludf.DUMMYFUNCTION("""COMPUTED_VALUE"""),"BUF")</f>
        <v>BUF</v>
      </c>
      <c r="D5309" s="4" t="str">
        <f>IFERROR(__xludf.DUMMYFUNCTION("""COMPUTED_VALUE"""),"Kim Hughes")</f>
        <v>Kim Hughes</v>
      </c>
      <c r="E5309" s="4" t="str">
        <f>IFERROR(__xludf.DUMMYFUNCTION("""COMPUTED_VALUE"""),"Wisconsin")</f>
        <v>Wisconsin</v>
      </c>
      <c r="F5309" s="4">
        <f>IFERROR(__xludf.DUMMYFUNCTION("""COMPUTED_VALUE"""),5.0)</f>
        <v>5</v>
      </c>
      <c r="G5309" s="4">
        <f>IFERROR(__xludf.DUMMYFUNCTION("""COMPUTED_VALUE"""),341.0)</f>
        <v>341</v>
      </c>
      <c r="H5309" s="4">
        <f>IFERROR(__xludf.DUMMYFUNCTION("""COMPUTED_VALUE"""),5719.0)</f>
        <v>5719</v>
      </c>
      <c r="I5309" s="4">
        <f>IFERROR(__xludf.DUMMYFUNCTION("""COMPUTED_VALUE"""),932.0)</f>
        <v>932</v>
      </c>
      <c r="J5309" s="4">
        <f>IFERROR(__xludf.DUMMYFUNCTION("""COMPUTED_VALUE"""),1592.0)</f>
        <v>1592</v>
      </c>
      <c r="K5309" s="4">
        <f>IFERROR(__xludf.DUMMYFUNCTION("""COMPUTED_VALUE"""),319.0)</f>
        <v>319</v>
      </c>
      <c r="L5309" s="4">
        <f>IFERROR(__xludf.DUMMYFUNCTION("""COMPUTED_VALUE"""),0.449)</f>
        <v>0.449</v>
      </c>
      <c r="M5309" s="4"/>
      <c r="N5309" s="4">
        <f>IFERROR(__xludf.DUMMYFUNCTION("""COMPUTED_VALUE"""),0.333)</f>
        <v>0.333</v>
      </c>
      <c r="O5309" s="4">
        <f>IFERROR(__xludf.DUMMYFUNCTION("""COMPUTED_VALUE"""),16.8)</f>
        <v>16.8</v>
      </c>
      <c r="P5309" s="4">
        <f>IFERROR(__xludf.DUMMYFUNCTION("""COMPUTED_VALUE"""),2.7)</f>
        <v>2.7</v>
      </c>
      <c r="Q5309" s="4">
        <f>IFERROR(__xludf.DUMMYFUNCTION("""COMPUTED_VALUE"""),4.7)</f>
        <v>4.7</v>
      </c>
      <c r="R5309" s="4">
        <f>IFERROR(__xludf.DUMMYFUNCTION("""COMPUTED_VALUE"""),0.9)</f>
        <v>0.9</v>
      </c>
      <c r="S5309" s="4">
        <f>IFERROR(__xludf.DUMMYFUNCTION("""COMPUTED_VALUE"""),7.1)</f>
        <v>7.1</v>
      </c>
      <c r="T5309" s="4">
        <f>IFERROR(__xludf.DUMMYFUNCTION("""COMPUTED_VALUE"""),0.059)</f>
        <v>0.059</v>
      </c>
      <c r="U5309" s="4">
        <f>IFERROR(__xludf.DUMMYFUNCTION("""COMPUTED_VALUE"""),-0.8)</f>
        <v>-0.8</v>
      </c>
      <c r="V5309" s="4">
        <f>IFERROR(__xludf.DUMMYFUNCTION("""COMPUTED_VALUE"""),1.8)</f>
        <v>1.8</v>
      </c>
    </row>
    <row r="5310">
      <c r="A5310" s="4">
        <f>IFERROR(__xludf.DUMMYFUNCTION("""COMPUTED_VALUE"""),46.0)</f>
        <v>46</v>
      </c>
      <c r="B5310" s="4">
        <f>IFERROR(__xludf.DUMMYFUNCTION("""COMPUTED_VALUE"""),46.0)</f>
        <v>46</v>
      </c>
      <c r="C5310" s="4" t="str">
        <f>IFERROR(__xludf.DUMMYFUNCTION("""COMPUTED_VALUE"""),"NOJ")</f>
        <v>NOJ</v>
      </c>
      <c r="D5310" s="4" t="str">
        <f>IFERROR(__xludf.DUMMYFUNCTION("""COMPUTED_VALUE"""),"Bruce King")</f>
        <v>Bruce King</v>
      </c>
      <c r="E5310" s="4" t="str">
        <f>IFERROR(__xludf.DUMMYFUNCTION("""COMPUTED_VALUE"""),"University of Texas Rio Grande Valley")</f>
        <v>University of Texas Rio Grande Valley</v>
      </c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</row>
    <row r="5311">
      <c r="A5311" s="4">
        <f>IFERROR(__xludf.DUMMYFUNCTION("""COMPUTED_VALUE"""),47.0)</f>
        <v>47</v>
      </c>
      <c r="B5311" s="4">
        <f>IFERROR(__xludf.DUMMYFUNCTION("""COMPUTED_VALUE"""),47.0)</f>
        <v>47</v>
      </c>
      <c r="C5311" s="4" t="str">
        <f>IFERROR(__xludf.DUMMYFUNCTION("""COMPUTED_VALUE"""),"GSW")</f>
        <v>GSW</v>
      </c>
      <c r="D5311" s="4" t="str">
        <f>IFERROR(__xludf.DUMMYFUNCTION("""COMPUTED_VALUE"""),"Frank Kendrick")</f>
        <v>Frank Kendrick</v>
      </c>
      <c r="E5311" s="4" t="str">
        <f>IFERROR(__xludf.DUMMYFUNCTION("""COMPUTED_VALUE"""),"Purdue")</f>
        <v>Purdue</v>
      </c>
      <c r="F5311" s="4">
        <f>IFERROR(__xludf.DUMMYFUNCTION("""COMPUTED_VALUE"""),1.0)</f>
        <v>1</v>
      </c>
      <c r="G5311" s="4">
        <f>IFERROR(__xludf.DUMMYFUNCTION("""COMPUTED_VALUE"""),24.0)</f>
        <v>24</v>
      </c>
      <c r="H5311" s="4">
        <f>IFERROR(__xludf.DUMMYFUNCTION("""COMPUTED_VALUE"""),121.0)</f>
        <v>121</v>
      </c>
      <c r="I5311" s="4">
        <f>IFERROR(__xludf.DUMMYFUNCTION("""COMPUTED_VALUE"""),80.0)</f>
        <v>80</v>
      </c>
      <c r="J5311" s="4">
        <f>IFERROR(__xludf.DUMMYFUNCTION("""COMPUTED_VALUE"""),36.0)</f>
        <v>36</v>
      </c>
      <c r="K5311" s="4">
        <f>IFERROR(__xludf.DUMMYFUNCTION("""COMPUTED_VALUE"""),6.0)</f>
        <v>6</v>
      </c>
      <c r="L5311" s="4">
        <f>IFERROR(__xludf.DUMMYFUNCTION("""COMPUTED_VALUE"""),0.403)</f>
        <v>0.403</v>
      </c>
      <c r="M5311" s="4"/>
      <c r="N5311" s="4">
        <f>IFERROR(__xludf.DUMMYFUNCTION("""COMPUTED_VALUE"""),0.818)</f>
        <v>0.818</v>
      </c>
      <c r="O5311" s="4">
        <f>IFERROR(__xludf.DUMMYFUNCTION("""COMPUTED_VALUE"""),5.0)</f>
        <v>5</v>
      </c>
      <c r="P5311" s="4">
        <f>IFERROR(__xludf.DUMMYFUNCTION("""COMPUTED_VALUE"""),3.3)</f>
        <v>3.3</v>
      </c>
      <c r="Q5311" s="4">
        <f>IFERROR(__xludf.DUMMYFUNCTION("""COMPUTED_VALUE"""),1.5)</f>
        <v>1.5</v>
      </c>
      <c r="R5311" s="4">
        <f>IFERROR(__xludf.DUMMYFUNCTION("""COMPUTED_VALUE"""),0.3)</f>
        <v>0.3</v>
      </c>
      <c r="S5311" s="4">
        <f>IFERROR(__xludf.DUMMYFUNCTION("""COMPUTED_VALUE"""),0.3)</f>
        <v>0.3</v>
      </c>
      <c r="T5311" s="4">
        <f>IFERROR(__xludf.DUMMYFUNCTION("""COMPUTED_VALUE"""),0.119)</f>
        <v>0.119</v>
      </c>
      <c r="U5311" s="4">
        <f>IFERROR(__xludf.DUMMYFUNCTION("""COMPUTED_VALUE"""),-2.3)</f>
        <v>-2.3</v>
      </c>
      <c r="V5311" s="4">
        <f>IFERROR(__xludf.DUMMYFUNCTION("""COMPUTED_VALUE"""),0.0)</f>
        <v>0</v>
      </c>
    </row>
    <row r="5312">
      <c r="A5312" s="4">
        <f>IFERROR(__xludf.DUMMYFUNCTION("""COMPUTED_VALUE"""),48.0)</f>
        <v>48</v>
      </c>
      <c r="B5312" s="4">
        <f>IFERROR(__xludf.DUMMYFUNCTION("""COMPUTED_VALUE"""),48.0)</f>
        <v>48</v>
      </c>
      <c r="C5312" s="4" t="str">
        <f>IFERROR(__xludf.DUMMYFUNCTION("""COMPUTED_VALUE"""),"LAL")</f>
        <v>LAL</v>
      </c>
      <c r="D5312" s="4" t="str">
        <f>IFERROR(__xludf.DUMMYFUNCTION("""COMPUTED_VALUE"""),"Jim Bradley")</f>
        <v>Jim Bradley</v>
      </c>
      <c r="E5312" s="4" t="str">
        <f>IFERROR(__xludf.DUMMYFUNCTION("""COMPUTED_VALUE"""),"Northern Illinois")</f>
        <v>Northern Illinois</v>
      </c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</row>
    <row r="5313">
      <c r="A5313" s="4">
        <f>IFERROR(__xludf.DUMMYFUNCTION("""COMPUTED_VALUE"""),49.0)</f>
        <v>49</v>
      </c>
      <c r="B5313" s="4">
        <f>IFERROR(__xludf.DUMMYFUNCTION("""COMPUTED_VALUE"""),49.0)</f>
        <v>49</v>
      </c>
      <c r="C5313" s="4" t="str">
        <f>IFERROR(__xludf.DUMMYFUNCTION("""COMPUTED_VALUE"""),"PHO")</f>
        <v>PHO</v>
      </c>
      <c r="D5313" s="4" t="str">
        <f>IFERROR(__xludf.DUMMYFUNCTION("""COMPUTED_VALUE"""),"Earl Williams")</f>
        <v>Earl Williams</v>
      </c>
      <c r="E5313" s="4" t="str">
        <f>IFERROR(__xludf.DUMMYFUNCTION("""COMPUTED_VALUE"""),"Winston-Salem State")</f>
        <v>Winston-Salem State</v>
      </c>
      <c r="F5313" s="4">
        <f>IFERROR(__xludf.DUMMYFUNCTION("""COMPUTED_VALUE"""),4.0)</f>
        <v>4</v>
      </c>
      <c r="G5313" s="4">
        <f>IFERROR(__xludf.DUMMYFUNCTION("""COMPUTED_VALUE"""),146.0)</f>
        <v>146</v>
      </c>
      <c r="H5313" s="4">
        <f>IFERROR(__xludf.DUMMYFUNCTION("""COMPUTED_VALUE"""),1882.0)</f>
        <v>1882</v>
      </c>
      <c r="I5313" s="4">
        <f>IFERROR(__xludf.DUMMYFUNCTION("""COMPUTED_VALUE"""),664.0)</f>
        <v>664</v>
      </c>
      <c r="J5313" s="4">
        <f>IFERROR(__xludf.DUMMYFUNCTION("""COMPUTED_VALUE"""),814.0)</f>
        <v>814</v>
      </c>
      <c r="K5313" s="4">
        <f>IFERROR(__xludf.DUMMYFUNCTION("""COMPUTED_VALUE"""),126.0)</f>
        <v>126</v>
      </c>
      <c r="L5313" s="4">
        <f>IFERROR(__xludf.DUMMYFUNCTION("""COMPUTED_VALUE"""),0.432)</f>
        <v>0.432</v>
      </c>
      <c r="M5313" s="4"/>
      <c r="N5313" s="4">
        <f>IFERROR(__xludf.DUMMYFUNCTION("""COMPUTED_VALUE"""),0.475)</f>
        <v>0.475</v>
      </c>
      <c r="O5313" s="4">
        <f>IFERROR(__xludf.DUMMYFUNCTION("""COMPUTED_VALUE"""),12.9)</f>
        <v>12.9</v>
      </c>
      <c r="P5313" s="4">
        <f>IFERROR(__xludf.DUMMYFUNCTION("""COMPUTED_VALUE"""),4.5)</f>
        <v>4.5</v>
      </c>
      <c r="Q5313" s="4">
        <f>IFERROR(__xludf.DUMMYFUNCTION("""COMPUTED_VALUE"""),5.6)</f>
        <v>5.6</v>
      </c>
      <c r="R5313" s="4">
        <f>IFERROR(__xludf.DUMMYFUNCTION("""COMPUTED_VALUE"""),0.9)</f>
        <v>0.9</v>
      </c>
      <c r="S5313" s="4">
        <f>IFERROR(__xludf.DUMMYFUNCTION("""COMPUTED_VALUE"""),2.7)</f>
        <v>2.7</v>
      </c>
      <c r="T5313" s="4">
        <f>IFERROR(__xludf.DUMMYFUNCTION("""COMPUTED_VALUE"""),0.069)</f>
        <v>0.069</v>
      </c>
      <c r="U5313" s="4">
        <f>IFERROR(__xludf.DUMMYFUNCTION("""COMPUTED_VALUE"""),-1.5)</f>
        <v>-1.5</v>
      </c>
      <c r="V5313" s="4">
        <f>IFERROR(__xludf.DUMMYFUNCTION("""COMPUTED_VALUE"""),0.2)</f>
        <v>0.2</v>
      </c>
    </row>
    <row r="5314">
      <c r="A5314" s="4">
        <f>IFERROR(__xludf.DUMMYFUNCTION("""COMPUTED_VALUE"""),50.0)</f>
        <v>50</v>
      </c>
      <c r="B5314" s="4">
        <f>IFERROR(__xludf.DUMMYFUNCTION("""COMPUTED_VALUE"""),50.0)</f>
        <v>50</v>
      </c>
      <c r="C5314" s="4" t="str">
        <f>IFERROR(__xludf.DUMMYFUNCTION("""COMPUTED_VALUE"""),"NYK")</f>
        <v>NYK</v>
      </c>
      <c r="D5314" s="4" t="str">
        <f>IFERROR(__xludf.DUMMYFUNCTION("""COMPUTED_VALUE"""),"Rudy Jackson")</f>
        <v>Rudy Jackson</v>
      </c>
      <c r="E5314" s="4" t="str">
        <f>IFERROR(__xludf.DUMMYFUNCTION("""COMPUTED_VALUE"""),"Hutchinson Community College")</f>
        <v>Hutchinson Community College</v>
      </c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</row>
    <row r="5315">
      <c r="A5315" s="4">
        <f>IFERROR(__xludf.DUMMYFUNCTION("""COMPUTED_VALUE"""),51.0)</f>
        <v>51</v>
      </c>
      <c r="B5315" s="4">
        <f>IFERROR(__xludf.DUMMYFUNCTION("""COMPUTED_VALUE"""),51.0)</f>
        <v>51</v>
      </c>
      <c r="C5315" s="4" t="str">
        <f>IFERROR(__xludf.DUMMYFUNCTION("""COMPUTED_VALUE"""),"DET")</f>
        <v>DET</v>
      </c>
      <c r="D5315" s="4" t="str">
        <f>IFERROR(__xludf.DUMMYFUNCTION("""COMPUTED_VALUE"""),"Roland Grant")</f>
        <v>Roland Grant</v>
      </c>
      <c r="E5315" s="4" t="str">
        <f>IFERROR(__xludf.DUMMYFUNCTION("""COMPUTED_VALUE"""),"New Mexico State")</f>
        <v>New Mexico State</v>
      </c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</row>
    <row r="5316">
      <c r="A5316" s="4">
        <f>IFERROR(__xludf.DUMMYFUNCTION("""COMPUTED_VALUE"""),52.0)</f>
        <v>52</v>
      </c>
      <c r="B5316" s="4">
        <f>IFERROR(__xludf.DUMMYFUNCTION("""COMPUTED_VALUE"""),52.0)</f>
        <v>52</v>
      </c>
      <c r="C5316" s="4" t="str">
        <f>IFERROR(__xludf.DUMMYFUNCTION("""COMPUTED_VALUE"""),"CHI")</f>
        <v>CHI</v>
      </c>
      <c r="D5316" s="4" t="str">
        <f>IFERROR(__xludf.DUMMYFUNCTION("""COMPUTED_VALUE"""),"Bobby Wilson")</f>
        <v>Bobby Wilson</v>
      </c>
      <c r="E5316" s="4" t="str">
        <f>IFERROR(__xludf.DUMMYFUNCTION("""COMPUTED_VALUE"""),"Wichita State")</f>
        <v>Wichita State</v>
      </c>
      <c r="F5316" s="4">
        <f>IFERROR(__xludf.DUMMYFUNCTION("""COMPUTED_VALUE"""),4.0)</f>
        <v>4</v>
      </c>
      <c r="G5316" s="4">
        <f>IFERROR(__xludf.DUMMYFUNCTION("""COMPUTED_VALUE"""),143.0)</f>
        <v>143</v>
      </c>
      <c r="H5316" s="4">
        <f>IFERROR(__xludf.DUMMYFUNCTION("""COMPUTED_VALUE"""),1498.0)</f>
        <v>1498</v>
      </c>
      <c r="I5316" s="4">
        <f>IFERROR(__xludf.DUMMYFUNCTION("""COMPUTED_VALUE"""),792.0)</f>
        <v>792</v>
      </c>
      <c r="J5316" s="4">
        <f>IFERROR(__xludf.DUMMYFUNCTION("""COMPUTED_VALUE"""),167.0)</f>
        <v>167</v>
      </c>
      <c r="K5316" s="4">
        <f>IFERROR(__xludf.DUMMYFUNCTION("""COMPUTED_VALUE"""),110.0)</f>
        <v>110</v>
      </c>
      <c r="L5316" s="4">
        <f>IFERROR(__xludf.DUMMYFUNCTION("""COMPUTED_VALUE"""),0.426)</f>
        <v>0.426</v>
      </c>
      <c r="M5316" s="4"/>
      <c r="N5316" s="4">
        <f>IFERROR(__xludf.DUMMYFUNCTION("""COMPUTED_VALUE"""),0.773)</f>
        <v>0.773</v>
      </c>
      <c r="O5316" s="4">
        <f>IFERROR(__xludf.DUMMYFUNCTION("""COMPUTED_VALUE"""),10.5)</f>
        <v>10.5</v>
      </c>
      <c r="P5316" s="4">
        <f>IFERROR(__xludf.DUMMYFUNCTION("""COMPUTED_VALUE"""),5.5)</f>
        <v>5.5</v>
      </c>
      <c r="Q5316" s="4">
        <f>IFERROR(__xludf.DUMMYFUNCTION("""COMPUTED_VALUE"""),1.2)</f>
        <v>1.2</v>
      </c>
      <c r="R5316" s="4">
        <f>IFERROR(__xludf.DUMMYFUNCTION("""COMPUTED_VALUE"""),0.8)</f>
        <v>0.8</v>
      </c>
      <c r="S5316" s="4">
        <f>IFERROR(__xludf.DUMMYFUNCTION("""COMPUTED_VALUE"""),1.7)</f>
        <v>1.7</v>
      </c>
      <c r="T5316" s="4">
        <f>IFERROR(__xludf.DUMMYFUNCTION("""COMPUTED_VALUE"""),0.053)</f>
        <v>0.053</v>
      </c>
      <c r="U5316" s="4">
        <f>IFERROR(__xludf.DUMMYFUNCTION("""COMPUTED_VALUE"""),-2.2)</f>
        <v>-2.2</v>
      </c>
      <c r="V5316" s="4">
        <f>IFERROR(__xludf.DUMMYFUNCTION("""COMPUTED_VALUE"""),-0.1)</f>
        <v>-0.1</v>
      </c>
    </row>
    <row r="5317">
      <c r="A5317" s="4">
        <f>IFERROR(__xludf.DUMMYFUNCTION("""COMPUTED_VALUE"""),53.0)</f>
        <v>53</v>
      </c>
      <c r="B5317" s="4">
        <f>IFERROR(__xludf.DUMMYFUNCTION("""COMPUTED_VALUE"""),53.0)</f>
        <v>53</v>
      </c>
      <c r="C5317" s="4" t="str">
        <f>IFERROR(__xludf.DUMMYFUNCTION("""COMPUTED_VALUE"""),"BOS")</f>
        <v>BOS</v>
      </c>
      <c r="D5317" s="4" t="str">
        <f>IFERROR(__xludf.DUMMYFUNCTION("""COMPUTED_VALUE"""),"Roscoe Pondexter")</f>
        <v>Roscoe Pondexter</v>
      </c>
      <c r="E5317" s="4" t="str">
        <f>IFERROR(__xludf.DUMMYFUNCTION("""COMPUTED_VALUE"""),"Cal State Long Beach")</f>
        <v>Cal State Long Beach</v>
      </c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</row>
    <row r="5318">
      <c r="A5318" s="4">
        <f>IFERROR(__xludf.DUMMYFUNCTION("""COMPUTED_VALUE"""),54.0)</f>
        <v>54</v>
      </c>
      <c r="B5318" s="4">
        <f>IFERROR(__xludf.DUMMYFUNCTION("""COMPUTED_VALUE"""),54.0)</f>
        <v>54</v>
      </c>
      <c r="C5318" s="4" t="str">
        <f>IFERROR(__xludf.DUMMYFUNCTION("""COMPUTED_VALUE"""),"MIL")</f>
        <v>MIL</v>
      </c>
      <c r="D5318" s="4" t="str">
        <f>IFERROR(__xludf.DUMMYFUNCTION("""COMPUTED_VALUE"""),"Greg McDougald")</f>
        <v>Greg McDougald</v>
      </c>
      <c r="E5318" s="4" t="str">
        <f>IFERROR(__xludf.DUMMYFUNCTION("""COMPUTED_VALUE"""),"Oral Roberts")</f>
        <v>Oral Roberts</v>
      </c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</row>
    <row r="5319">
      <c r="A5319" s="4"/>
      <c r="B5319" s="4"/>
      <c r="C5319" s="4"/>
      <c r="D5319" s="4" t="str">
        <f>IFERROR(__xludf.DUMMYFUNCTION("""COMPUTED_VALUE"""),"Round 4")</f>
        <v>Round 4</v>
      </c>
      <c r="E5319" s="4"/>
      <c r="F5319" s="4"/>
      <c r="G5319" s="4" t="str">
        <f>IFERROR(__xludf.DUMMYFUNCTION("""COMPUTED_VALUE"""),"Totals")</f>
        <v>Totals</v>
      </c>
      <c r="H5319" s="4"/>
      <c r="I5319" s="4"/>
      <c r="J5319" s="4"/>
      <c r="K5319" s="4"/>
      <c r="L5319" s="4" t="str">
        <f>IFERROR(__xludf.DUMMYFUNCTION("""COMPUTED_VALUE"""),"Shooting")</f>
        <v>Shooting</v>
      </c>
      <c r="M5319" s="4"/>
      <c r="N5319" s="4"/>
      <c r="O5319" s="4" t="str">
        <f>IFERROR(__xludf.DUMMYFUNCTION("""COMPUTED_VALUE"""),"Per Game")</f>
        <v>Per Game</v>
      </c>
      <c r="P5319" s="4"/>
      <c r="Q5319" s="4"/>
      <c r="R5319" s="4"/>
      <c r="S5319" s="4" t="str">
        <f>IFERROR(__xludf.DUMMYFUNCTION("""COMPUTED_VALUE"""),"Advanced")</f>
        <v>Advanced</v>
      </c>
      <c r="T5319" s="4"/>
      <c r="U5319" s="4"/>
      <c r="V5319" s="4"/>
    </row>
    <row r="5320">
      <c r="A5320" s="4" t="str">
        <f>IFERROR(__xludf.DUMMYFUNCTION("""COMPUTED_VALUE"""),"Rk")</f>
        <v>Rk</v>
      </c>
      <c r="B5320" s="4" t="str">
        <f>IFERROR(__xludf.DUMMYFUNCTION("""COMPUTED_VALUE"""),"Pk")</f>
        <v>Pk</v>
      </c>
      <c r="C5320" s="4" t="str">
        <f>IFERROR(__xludf.DUMMYFUNCTION("""COMPUTED_VALUE"""),"Tm")</f>
        <v>Tm</v>
      </c>
      <c r="D5320" s="4" t="str">
        <f>IFERROR(__xludf.DUMMYFUNCTION("""COMPUTED_VALUE"""),"Player")</f>
        <v>Player</v>
      </c>
      <c r="E5320" s="4" t="str">
        <f>IFERROR(__xludf.DUMMYFUNCTION("""COMPUTED_VALUE"""),"College")</f>
        <v>College</v>
      </c>
      <c r="F5320" s="4" t="str">
        <f>IFERROR(__xludf.DUMMYFUNCTION("""COMPUTED_VALUE"""),"Yrs")</f>
        <v>Yrs</v>
      </c>
      <c r="G5320" s="4" t="str">
        <f>IFERROR(__xludf.DUMMYFUNCTION("""COMPUTED_VALUE"""),"G")</f>
        <v>G</v>
      </c>
      <c r="H5320" s="4" t="str">
        <f>IFERROR(__xludf.DUMMYFUNCTION("""COMPUTED_VALUE"""),"MP")</f>
        <v>MP</v>
      </c>
      <c r="I5320" s="4" t="str">
        <f>IFERROR(__xludf.DUMMYFUNCTION("""COMPUTED_VALUE"""),"PTS")</f>
        <v>PTS</v>
      </c>
      <c r="J5320" s="4" t="str">
        <f>IFERROR(__xludf.DUMMYFUNCTION("""COMPUTED_VALUE"""),"TRB")</f>
        <v>TRB</v>
      </c>
      <c r="K5320" s="4" t="str">
        <f>IFERROR(__xludf.DUMMYFUNCTION("""COMPUTED_VALUE"""),"AST")</f>
        <v>AST</v>
      </c>
      <c r="L5320" s="4" t="str">
        <f>IFERROR(__xludf.DUMMYFUNCTION("""COMPUTED_VALUE"""),"FG%")</f>
        <v>FG%</v>
      </c>
      <c r="M5320" s="4" t="str">
        <f>IFERROR(__xludf.DUMMYFUNCTION("""COMPUTED_VALUE"""),"3P%")</f>
        <v>3P%</v>
      </c>
      <c r="N5320" s="4" t="str">
        <f>IFERROR(__xludf.DUMMYFUNCTION("""COMPUTED_VALUE"""),"FT%")</f>
        <v>FT%</v>
      </c>
      <c r="O5320" s="4" t="str">
        <f>IFERROR(__xludf.DUMMYFUNCTION("""COMPUTED_VALUE"""),"MP")</f>
        <v>MP</v>
      </c>
      <c r="P5320" s="4" t="str">
        <f>IFERROR(__xludf.DUMMYFUNCTION("""COMPUTED_VALUE"""),"PTS")</f>
        <v>PTS</v>
      </c>
      <c r="Q5320" s="4" t="str">
        <f>IFERROR(__xludf.DUMMYFUNCTION("""COMPUTED_VALUE"""),"TRB")</f>
        <v>TRB</v>
      </c>
      <c r="R5320" s="4" t="str">
        <f>IFERROR(__xludf.DUMMYFUNCTION("""COMPUTED_VALUE"""),"AST")</f>
        <v>AST</v>
      </c>
      <c r="S5320" s="4" t="str">
        <f>IFERROR(__xludf.DUMMYFUNCTION("""COMPUTED_VALUE"""),"WS")</f>
        <v>WS</v>
      </c>
      <c r="T5320" s="4" t="str">
        <f>IFERROR(__xludf.DUMMYFUNCTION("""COMPUTED_VALUE"""),"WS/48")</f>
        <v>WS/48</v>
      </c>
      <c r="U5320" s="4" t="str">
        <f>IFERROR(__xludf.DUMMYFUNCTION("""COMPUTED_VALUE"""),"BPM")</f>
        <v>BPM</v>
      </c>
      <c r="V5320" s="4" t="str">
        <f>IFERROR(__xludf.DUMMYFUNCTION("""COMPUTED_VALUE"""),"VORP")</f>
        <v>VORP</v>
      </c>
    </row>
    <row r="5321">
      <c r="A5321" s="4">
        <f>IFERROR(__xludf.DUMMYFUNCTION("""COMPUTED_VALUE"""),55.0)</f>
        <v>55</v>
      </c>
      <c r="B5321" s="4">
        <f>IFERROR(__xludf.DUMMYFUNCTION("""COMPUTED_VALUE"""),55.0)</f>
        <v>55</v>
      </c>
      <c r="C5321" s="4" t="str">
        <f>IFERROR(__xludf.DUMMYFUNCTION("""COMPUTED_VALUE"""),"PHI")</f>
        <v>PHI</v>
      </c>
      <c r="D5321" s="4" t="str">
        <f>IFERROR(__xludf.DUMMYFUNCTION("""COMPUTED_VALUE"""),"Butch Taylor")</f>
        <v>Butch Taylor</v>
      </c>
      <c r="E5321" s="4" t="str">
        <f>IFERROR(__xludf.DUMMYFUNCTION("""COMPUTED_VALUE"""),"Jacksonville University")</f>
        <v>Jacksonville University</v>
      </c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</row>
    <row r="5322">
      <c r="A5322" s="4">
        <f>IFERROR(__xludf.DUMMYFUNCTION("""COMPUTED_VALUE"""),56.0)</f>
        <v>56</v>
      </c>
      <c r="B5322" s="4">
        <f>IFERROR(__xludf.DUMMYFUNCTION("""COMPUTED_VALUE"""),56.0)</f>
        <v>56</v>
      </c>
      <c r="C5322" s="4" t="str">
        <f>IFERROR(__xludf.DUMMYFUNCTION("""COMPUTED_VALUE"""),"POR")</f>
        <v>POR</v>
      </c>
      <c r="D5322" s="4" t="str">
        <f>IFERROR(__xludf.DUMMYFUNCTION("""COMPUTED_VALUE"""),"Mickey Johnson")</f>
        <v>Mickey Johnson</v>
      </c>
      <c r="E5322" s="4" t="str">
        <f>IFERROR(__xludf.DUMMYFUNCTION("""COMPUTED_VALUE"""),"Aurora University")</f>
        <v>Aurora University</v>
      </c>
      <c r="F5322" s="4">
        <f>IFERROR(__xludf.DUMMYFUNCTION("""COMPUTED_VALUE"""),12.0)</f>
        <v>12</v>
      </c>
      <c r="G5322" s="4">
        <f>IFERROR(__xludf.DUMMYFUNCTION("""COMPUTED_VALUE"""),904.0)</f>
        <v>904</v>
      </c>
      <c r="H5322" s="4">
        <f>IFERROR(__xludf.DUMMYFUNCTION("""COMPUTED_VALUE"""),25005.0)</f>
        <v>25005</v>
      </c>
      <c r="I5322" s="4">
        <f>IFERROR(__xludf.DUMMYFUNCTION("""COMPUTED_VALUE"""),12748.0)</f>
        <v>12748</v>
      </c>
      <c r="J5322" s="4">
        <f>IFERROR(__xludf.DUMMYFUNCTION("""COMPUTED_VALUE"""),6465.0)</f>
        <v>6465</v>
      </c>
      <c r="K5322" s="4">
        <f>IFERROR(__xludf.DUMMYFUNCTION("""COMPUTED_VALUE"""),2677.0)</f>
        <v>2677</v>
      </c>
      <c r="L5322" s="4">
        <f>IFERROR(__xludf.DUMMYFUNCTION("""COMPUTED_VALUE"""),0.449)</f>
        <v>0.449</v>
      </c>
      <c r="M5322" s="4"/>
      <c r="N5322" s="4">
        <f>IFERROR(__xludf.DUMMYFUNCTION("""COMPUTED_VALUE"""),0.8)</f>
        <v>0.8</v>
      </c>
      <c r="O5322" s="4">
        <f>IFERROR(__xludf.DUMMYFUNCTION("""COMPUTED_VALUE"""),27.7)</f>
        <v>27.7</v>
      </c>
      <c r="P5322" s="4">
        <f>IFERROR(__xludf.DUMMYFUNCTION("""COMPUTED_VALUE"""),14.1)</f>
        <v>14.1</v>
      </c>
      <c r="Q5322" s="4">
        <f>IFERROR(__xludf.DUMMYFUNCTION("""COMPUTED_VALUE"""),7.2)</f>
        <v>7.2</v>
      </c>
      <c r="R5322" s="4">
        <f>IFERROR(__xludf.DUMMYFUNCTION("""COMPUTED_VALUE"""),3.0)</f>
        <v>3</v>
      </c>
      <c r="S5322" s="4">
        <f>IFERROR(__xludf.DUMMYFUNCTION("""COMPUTED_VALUE"""),58.6)</f>
        <v>58.6</v>
      </c>
      <c r="T5322" s="4">
        <f>IFERROR(__xludf.DUMMYFUNCTION("""COMPUTED_VALUE"""),0.113)</f>
        <v>0.113</v>
      </c>
      <c r="U5322" s="4">
        <f>IFERROR(__xludf.DUMMYFUNCTION("""COMPUTED_VALUE"""),0.8)</f>
        <v>0.8</v>
      </c>
      <c r="V5322" s="4">
        <f>IFERROR(__xludf.DUMMYFUNCTION("""COMPUTED_VALUE"""),17.7)</f>
        <v>17.7</v>
      </c>
    </row>
    <row r="5323">
      <c r="A5323" s="4">
        <f>IFERROR(__xludf.DUMMYFUNCTION("""COMPUTED_VALUE"""),57.0)</f>
        <v>57</v>
      </c>
      <c r="B5323" s="4">
        <f>IFERROR(__xludf.DUMMYFUNCTION("""COMPUTED_VALUE"""),57.0)</f>
        <v>57</v>
      </c>
      <c r="C5323" s="4" t="str">
        <f>IFERROR(__xludf.DUMMYFUNCTION("""COMPUTED_VALUE"""),"CLE")</f>
        <v>CLE</v>
      </c>
      <c r="D5323" s="4" t="str">
        <f>IFERROR(__xludf.DUMMYFUNCTION("""COMPUTED_VALUE"""),"Jimmy Foster")</f>
        <v>Jimmy Foster</v>
      </c>
      <c r="E5323" s="4" t="str">
        <f>IFERROR(__xludf.DUMMYFUNCTION("""COMPUTED_VALUE"""),"UConn")</f>
        <v>UConn</v>
      </c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</row>
    <row r="5324">
      <c r="A5324" s="4">
        <f>IFERROR(__xludf.DUMMYFUNCTION("""COMPUTED_VALUE"""),58.0)</f>
        <v>58</v>
      </c>
      <c r="B5324" s="4">
        <f>IFERROR(__xludf.DUMMYFUNCTION("""COMPUTED_VALUE"""),58.0)</f>
        <v>58</v>
      </c>
      <c r="C5324" s="4" t="str">
        <f>IFERROR(__xludf.DUMMYFUNCTION("""COMPUTED_VALUE"""),"PHO")</f>
        <v>PHO</v>
      </c>
      <c r="D5324" s="4" t="str">
        <f>IFERROR(__xludf.DUMMYFUNCTION("""COMPUTED_VALUE"""),"Randy Allen")</f>
        <v>Randy Allen</v>
      </c>
      <c r="E5324" s="4" t="str">
        <f>IFERROR(__xludf.DUMMYFUNCTION("""COMPUTED_VALUE"""),"Indiana University of Pennsylvania")</f>
        <v>Indiana University of Pennsylvania</v>
      </c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</row>
    <row r="5325">
      <c r="A5325" s="4">
        <f>IFERROR(__xludf.DUMMYFUNCTION("""COMPUTED_VALUE"""),59.0)</f>
        <v>59</v>
      </c>
      <c r="B5325" s="4">
        <f>IFERROR(__xludf.DUMMYFUNCTION("""COMPUTED_VALUE"""),59.0)</f>
        <v>59</v>
      </c>
      <c r="C5325" s="4" t="str">
        <f>IFERROR(__xludf.DUMMYFUNCTION("""COMPUTED_VALUE"""),"HOU")</f>
        <v>HOU</v>
      </c>
      <c r="D5325" s="4" t="str">
        <f>IFERROR(__xludf.DUMMYFUNCTION("""COMPUTED_VALUE"""),"Larry Robinson")</f>
        <v>Larry Robinson</v>
      </c>
      <c r="E5325" s="4" t="str">
        <f>IFERROR(__xludf.DUMMYFUNCTION("""COMPUTED_VALUE"""),"Texas")</f>
        <v>Texas</v>
      </c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</row>
    <row r="5326">
      <c r="A5326" s="4">
        <f>IFERROR(__xludf.DUMMYFUNCTION("""COMPUTED_VALUE"""),60.0)</f>
        <v>60</v>
      </c>
      <c r="B5326" s="4">
        <f>IFERROR(__xludf.DUMMYFUNCTION("""COMPUTED_VALUE"""),60.0)</f>
        <v>60</v>
      </c>
      <c r="C5326" s="4" t="str">
        <f>IFERROR(__xludf.DUMMYFUNCTION("""COMPUTED_VALUE"""),"KCO")</f>
        <v>KCO</v>
      </c>
      <c r="D5326" s="4" t="str">
        <f>IFERROR(__xludf.DUMMYFUNCTION("""COMPUTED_VALUE"""),"Lloyd Batts")</f>
        <v>Lloyd Batts</v>
      </c>
      <c r="E5326" s="4" t="str">
        <f>IFERROR(__xludf.DUMMYFUNCTION("""COMPUTED_VALUE"""),"Cincinnati")</f>
        <v>Cincinnati</v>
      </c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</row>
    <row r="5327">
      <c r="A5327" s="4">
        <f>IFERROR(__xludf.DUMMYFUNCTION("""COMPUTED_VALUE"""),61.0)</f>
        <v>61</v>
      </c>
      <c r="B5327" s="4">
        <f>IFERROR(__xludf.DUMMYFUNCTION("""COMPUTED_VALUE"""),61.0)</f>
        <v>61</v>
      </c>
      <c r="C5327" s="4" t="str">
        <f>IFERROR(__xludf.DUMMYFUNCTION("""COMPUTED_VALUE"""),"ATL")</f>
        <v>ATL</v>
      </c>
      <c r="D5327" s="4" t="str">
        <f>IFERROR(__xludf.DUMMYFUNCTION("""COMPUTED_VALUE"""),"Ed Palubinskas")</f>
        <v>Ed Palubinskas</v>
      </c>
      <c r="E5327" s="4" t="str">
        <f>IFERROR(__xludf.DUMMYFUNCTION("""COMPUTED_VALUE"""),"LSU")</f>
        <v>LSU</v>
      </c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</row>
    <row r="5328">
      <c r="A5328" s="4">
        <f>IFERROR(__xludf.DUMMYFUNCTION("""COMPUTED_VALUE"""),62.0)</f>
        <v>62</v>
      </c>
      <c r="B5328" s="4">
        <f>IFERROR(__xludf.DUMMYFUNCTION("""COMPUTED_VALUE"""),62.0)</f>
        <v>62</v>
      </c>
      <c r="C5328" s="4" t="str">
        <f>IFERROR(__xludf.DUMMYFUNCTION("""COMPUTED_VALUE"""),"SEA")</f>
        <v>SEA</v>
      </c>
      <c r="D5328" s="4" t="str">
        <f>IFERROR(__xludf.DUMMYFUNCTION("""COMPUTED_VALUE"""),"William Gordon")</f>
        <v>William Gordon</v>
      </c>
      <c r="E5328" s="4" t="str">
        <f>IFERROR(__xludf.DUMMYFUNCTION("""COMPUTED_VALUE"""),"University of Maryland Eastern Shore")</f>
        <v>University of Maryland Eastern Shore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</row>
    <row r="5329">
      <c r="A5329" s="4">
        <f>IFERROR(__xludf.DUMMYFUNCTION("""COMPUTED_VALUE"""),63.0)</f>
        <v>63</v>
      </c>
      <c r="B5329" s="4">
        <f>IFERROR(__xludf.DUMMYFUNCTION("""COMPUTED_VALUE"""),63.0)</f>
        <v>63</v>
      </c>
      <c r="C5329" s="4" t="str">
        <f>IFERROR(__xludf.DUMMYFUNCTION("""COMPUTED_VALUE"""),"BUF")</f>
        <v>BUF</v>
      </c>
      <c r="D5329" s="4" t="str">
        <f>IFERROR(__xludf.DUMMYFUNCTION("""COMPUTED_VALUE"""),"Bernie Harris")</f>
        <v>Bernie Harris</v>
      </c>
      <c r="E5329" s="4" t="str">
        <f>IFERROR(__xludf.DUMMYFUNCTION("""COMPUTED_VALUE"""),"VCU")</f>
        <v>VCU</v>
      </c>
      <c r="F5329" s="4">
        <f>IFERROR(__xludf.DUMMYFUNCTION("""COMPUTED_VALUE"""),1.0)</f>
        <v>1</v>
      </c>
      <c r="G5329" s="4">
        <f>IFERROR(__xludf.DUMMYFUNCTION("""COMPUTED_VALUE"""),11.0)</f>
        <v>11</v>
      </c>
      <c r="H5329" s="4">
        <f>IFERROR(__xludf.DUMMYFUNCTION("""COMPUTED_VALUE"""),25.0)</f>
        <v>25</v>
      </c>
      <c r="I5329" s="4">
        <f>IFERROR(__xludf.DUMMYFUNCTION("""COMPUTED_VALUE"""),5.0)</f>
        <v>5</v>
      </c>
      <c r="J5329" s="4">
        <f>IFERROR(__xludf.DUMMYFUNCTION("""COMPUTED_VALUE"""),8.0)</f>
        <v>8</v>
      </c>
      <c r="K5329" s="4">
        <f>IFERROR(__xludf.DUMMYFUNCTION("""COMPUTED_VALUE"""),1.0)</f>
        <v>1</v>
      </c>
      <c r="L5329" s="4">
        <f>IFERROR(__xludf.DUMMYFUNCTION("""COMPUTED_VALUE"""),0.182)</f>
        <v>0.182</v>
      </c>
      <c r="M5329" s="4"/>
      <c r="N5329" s="4">
        <f>IFERROR(__xludf.DUMMYFUNCTION("""COMPUTED_VALUE"""),0.5)</f>
        <v>0.5</v>
      </c>
      <c r="O5329" s="4">
        <f>IFERROR(__xludf.DUMMYFUNCTION("""COMPUTED_VALUE"""),2.3)</f>
        <v>2.3</v>
      </c>
      <c r="P5329" s="4">
        <f>IFERROR(__xludf.DUMMYFUNCTION("""COMPUTED_VALUE"""),0.5)</f>
        <v>0.5</v>
      </c>
      <c r="Q5329" s="4">
        <f>IFERROR(__xludf.DUMMYFUNCTION("""COMPUTED_VALUE"""),0.7)</f>
        <v>0.7</v>
      </c>
      <c r="R5329" s="4">
        <f>IFERROR(__xludf.DUMMYFUNCTION("""COMPUTED_VALUE"""),0.1)</f>
        <v>0.1</v>
      </c>
      <c r="S5329" s="4">
        <f>IFERROR(__xludf.DUMMYFUNCTION("""COMPUTED_VALUE"""),-0.1)</f>
        <v>-0.1</v>
      </c>
      <c r="T5329" s="4">
        <f>IFERROR(__xludf.DUMMYFUNCTION("""COMPUTED_VALUE"""),-0.19)</f>
        <v>-0.19</v>
      </c>
      <c r="U5329" s="4">
        <f>IFERROR(__xludf.DUMMYFUNCTION("""COMPUTED_VALUE"""),-5.3)</f>
        <v>-5.3</v>
      </c>
      <c r="V5329" s="4">
        <f>IFERROR(__xludf.DUMMYFUNCTION("""COMPUTED_VALUE"""),-0.1)</f>
        <v>-0.1</v>
      </c>
    </row>
    <row r="5330">
      <c r="A5330" s="4">
        <f>IFERROR(__xludf.DUMMYFUNCTION("""COMPUTED_VALUE"""),64.0)</f>
        <v>64</v>
      </c>
      <c r="B5330" s="4">
        <f>IFERROR(__xludf.DUMMYFUNCTION("""COMPUTED_VALUE"""),64.0)</f>
        <v>64</v>
      </c>
      <c r="C5330" s="4" t="str">
        <f>IFERROR(__xludf.DUMMYFUNCTION("""COMPUTED_VALUE"""),"NOJ")</f>
        <v>NOJ</v>
      </c>
      <c r="D5330" s="4" t="str">
        <f>IFERROR(__xludf.DUMMYFUNCTION("""COMPUTED_VALUE"""),"Ray Price")</f>
        <v>Ray Price</v>
      </c>
      <c r="E5330" s="4" t="str">
        <f>IFERROR(__xludf.DUMMYFUNCTION("""COMPUTED_VALUE"""),"Washington")</f>
        <v>Washington</v>
      </c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</row>
    <row r="5331">
      <c r="A5331" s="4">
        <f>IFERROR(__xludf.DUMMYFUNCTION("""COMPUTED_VALUE"""),65.0)</f>
        <v>65</v>
      </c>
      <c r="B5331" s="4">
        <f>IFERROR(__xludf.DUMMYFUNCTION("""COMPUTED_VALUE"""),65.0)</f>
        <v>65</v>
      </c>
      <c r="C5331" s="4" t="str">
        <f>IFERROR(__xludf.DUMMYFUNCTION("""COMPUTED_VALUE"""),"GSW")</f>
        <v>GSW</v>
      </c>
      <c r="D5331" s="4" t="str">
        <f>IFERROR(__xludf.DUMMYFUNCTION("""COMPUTED_VALUE"""),"Willie Biles")</f>
        <v>Willie Biles</v>
      </c>
      <c r="E5331" s="4" t="str">
        <f>IFERROR(__xludf.DUMMYFUNCTION("""COMPUTED_VALUE"""),"Tulsa")</f>
        <v>Tulsa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</row>
    <row r="5332">
      <c r="A5332" s="4">
        <f>IFERROR(__xludf.DUMMYFUNCTION("""COMPUTED_VALUE"""),66.0)</f>
        <v>66</v>
      </c>
      <c r="B5332" s="4">
        <f>IFERROR(__xludf.DUMMYFUNCTION("""COMPUTED_VALUE"""),66.0)</f>
        <v>66</v>
      </c>
      <c r="C5332" s="4" t="str">
        <f>IFERROR(__xludf.DUMMYFUNCTION("""COMPUTED_VALUE"""),"WSB")</f>
        <v>WSB</v>
      </c>
      <c r="D5332" s="4" t="str">
        <f>IFERROR(__xludf.DUMMYFUNCTION("""COMPUTED_VALUE"""),"Stan Washington")</f>
        <v>Stan Washington</v>
      </c>
      <c r="E5332" s="4" t="str">
        <f>IFERROR(__xludf.DUMMYFUNCTION("""COMPUTED_VALUE"""),"University of San Diego")</f>
        <v>University of San Diego</v>
      </c>
      <c r="F5332" s="4">
        <f>IFERROR(__xludf.DUMMYFUNCTION("""COMPUTED_VALUE"""),1.0)</f>
        <v>1</v>
      </c>
      <c r="G5332" s="4">
        <f>IFERROR(__xludf.DUMMYFUNCTION("""COMPUTED_VALUE"""),1.0)</f>
        <v>1</v>
      </c>
      <c r="H5332" s="4">
        <f>IFERROR(__xludf.DUMMYFUNCTION("""COMPUTED_VALUE"""),4.0)</f>
        <v>4</v>
      </c>
      <c r="I5332" s="4">
        <f>IFERROR(__xludf.DUMMYFUNCTION("""COMPUTED_VALUE"""),0.0)</f>
        <v>0</v>
      </c>
      <c r="J5332" s="4">
        <f>IFERROR(__xludf.DUMMYFUNCTION("""COMPUTED_VALUE"""),0.0)</f>
        <v>0</v>
      </c>
      <c r="K5332" s="4">
        <f>IFERROR(__xludf.DUMMYFUNCTION("""COMPUTED_VALUE"""),0.0)</f>
        <v>0</v>
      </c>
      <c r="L5332" s="4">
        <f>IFERROR(__xludf.DUMMYFUNCTION("""COMPUTED_VALUE"""),0.0)</f>
        <v>0</v>
      </c>
      <c r="M5332" s="4"/>
      <c r="N5332" s="4"/>
      <c r="O5332" s="4">
        <f>IFERROR(__xludf.DUMMYFUNCTION("""COMPUTED_VALUE"""),4.0)</f>
        <v>4</v>
      </c>
      <c r="P5332" s="4">
        <f>IFERROR(__xludf.DUMMYFUNCTION("""COMPUTED_VALUE"""),0.0)</f>
        <v>0</v>
      </c>
      <c r="Q5332" s="4">
        <f>IFERROR(__xludf.DUMMYFUNCTION("""COMPUTED_VALUE"""),0.0)</f>
        <v>0</v>
      </c>
      <c r="R5332" s="4">
        <f>IFERROR(__xludf.DUMMYFUNCTION("""COMPUTED_VALUE"""),0.0)</f>
        <v>0</v>
      </c>
      <c r="S5332" s="4">
        <f>IFERROR(__xludf.DUMMYFUNCTION("""COMPUTED_VALUE"""),0.0)</f>
        <v>0</v>
      </c>
      <c r="T5332" s="4">
        <f>IFERROR(__xludf.DUMMYFUNCTION("""COMPUTED_VALUE"""),-0.195)</f>
        <v>-0.195</v>
      </c>
      <c r="U5332" s="4">
        <f>IFERROR(__xludf.DUMMYFUNCTION("""COMPUTED_VALUE"""),-5.0)</f>
        <v>-5</v>
      </c>
      <c r="V5332" s="4">
        <f>IFERROR(__xludf.DUMMYFUNCTION("""COMPUTED_VALUE"""),0.0)</f>
        <v>0</v>
      </c>
    </row>
    <row r="5333">
      <c r="A5333" s="4">
        <f>IFERROR(__xludf.DUMMYFUNCTION("""COMPUTED_VALUE"""),67.0)</f>
        <v>67</v>
      </c>
      <c r="B5333" s="4">
        <f>IFERROR(__xludf.DUMMYFUNCTION("""COMPUTED_VALUE"""),67.0)</f>
        <v>67</v>
      </c>
      <c r="C5333" s="4" t="str">
        <f>IFERROR(__xludf.DUMMYFUNCTION("""COMPUTED_VALUE"""),"LAL")</f>
        <v>LAL</v>
      </c>
      <c r="D5333" s="4" t="str">
        <f>IFERROR(__xludf.DUMMYFUNCTION("""COMPUTED_VALUE"""),"Ron deVries")</f>
        <v>Ron deVries</v>
      </c>
      <c r="E5333" s="4" t="str">
        <f>IFERROR(__xludf.DUMMYFUNCTION("""COMPUTED_VALUE"""),"Illinois State")</f>
        <v>Illinois State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</row>
    <row r="5334">
      <c r="A5334" s="4">
        <f>IFERROR(__xludf.DUMMYFUNCTION("""COMPUTED_VALUE"""),68.0)</f>
        <v>68</v>
      </c>
      <c r="B5334" s="4">
        <f>IFERROR(__xludf.DUMMYFUNCTION("""COMPUTED_VALUE"""),68.0)</f>
        <v>68</v>
      </c>
      <c r="C5334" s="4" t="str">
        <f>IFERROR(__xludf.DUMMYFUNCTION("""COMPUTED_VALUE"""),"NYK")</f>
        <v>NYK</v>
      </c>
      <c r="D5334" s="4" t="str">
        <f>IFERROR(__xludf.DUMMYFUNCTION("""COMPUTED_VALUE"""),"Roy Ebron")</f>
        <v>Roy Ebron</v>
      </c>
      <c r="E5334" s="4" t="str">
        <f>IFERROR(__xludf.DUMMYFUNCTION("""COMPUTED_VALUE"""),"Louisiana")</f>
        <v>Louisiana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</row>
    <row r="5335">
      <c r="A5335" s="4">
        <f>IFERROR(__xludf.DUMMYFUNCTION("""COMPUTED_VALUE"""),69.0)</f>
        <v>69</v>
      </c>
      <c r="B5335" s="4">
        <f>IFERROR(__xludf.DUMMYFUNCTION("""COMPUTED_VALUE"""),69.0)</f>
        <v>69</v>
      </c>
      <c r="C5335" s="4" t="str">
        <f>IFERROR(__xludf.DUMMYFUNCTION("""COMPUTED_VALUE"""),"DET")</f>
        <v>DET</v>
      </c>
      <c r="D5335" s="4" t="str">
        <f>IFERROR(__xludf.DUMMYFUNCTION("""COMPUTED_VALUE"""),"Mickey Martin")</f>
        <v>Mickey Martin</v>
      </c>
      <c r="E5335" s="4" t="str">
        <f>IFERROR(__xludf.DUMMYFUNCTION("""COMPUTED_VALUE"""),"Pitt")</f>
        <v>Pitt</v>
      </c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</row>
    <row r="5336">
      <c r="A5336" s="4">
        <f>IFERROR(__xludf.DUMMYFUNCTION("""COMPUTED_VALUE"""),70.0)</f>
        <v>70</v>
      </c>
      <c r="B5336" s="4">
        <f>IFERROR(__xludf.DUMMYFUNCTION("""COMPUTED_VALUE"""),70.0)</f>
        <v>70</v>
      </c>
      <c r="C5336" s="4" t="str">
        <f>IFERROR(__xludf.DUMMYFUNCTION("""COMPUTED_VALUE"""),"CHI")</f>
        <v>CHI</v>
      </c>
      <c r="D5336" s="4" t="str">
        <f>IFERROR(__xludf.DUMMYFUNCTION("""COMPUTED_VALUE"""),"Jim Forbes")</f>
        <v>Jim Forbes</v>
      </c>
      <c r="E5336" s="4" t="str">
        <f>IFERROR(__xludf.DUMMYFUNCTION("""COMPUTED_VALUE"""),"Texas-El Paso")</f>
        <v>Texas-El Paso</v>
      </c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</row>
    <row r="5337">
      <c r="A5337" s="4">
        <f>IFERROR(__xludf.DUMMYFUNCTION("""COMPUTED_VALUE"""),71.0)</f>
        <v>71</v>
      </c>
      <c r="B5337" s="4">
        <f>IFERROR(__xludf.DUMMYFUNCTION("""COMPUTED_VALUE"""),71.0)</f>
        <v>71</v>
      </c>
      <c r="C5337" s="4" t="str">
        <f>IFERROR(__xludf.DUMMYFUNCTION("""COMPUTED_VALUE"""),"BOS")</f>
        <v>BOS</v>
      </c>
      <c r="D5337" s="4" t="str">
        <f>IFERROR(__xludf.DUMMYFUNCTION("""COMPUTED_VALUE"""),"Lerman Battle")</f>
        <v>Lerman Battle</v>
      </c>
      <c r="E5337" s="4" t="str">
        <f>IFERROR(__xludf.DUMMYFUNCTION("""COMPUTED_VALUE"""),"Fairmont State University")</f>
        <v>Fairmont State University</v>
      </c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</row>
    <row r="5338">
      <c r="A5338" s="4">
        <f>IFERROR(__xludf.DUMMYFUNCTION("""COMPUTED_VALUE"""),72.0)</f>
        <v>72</v>
      </c>
      <c r="B5338" s="4">
        <f>IFERROR(__xludf.DUMMYFUNCTION("""COMPUTED_VALUE"""),72.0)</f>
        <v>72</v>
      </c>
      <c r="C5338" s="4" t="str">
        <f>IFERROR(__xludf.DUMMYFUNCTION("""COMPUTED_VALUE"""),"MIL")</f>
        <v>MIL</v>
      </c>
      <c r="D5338" s="4" t="str">
        <f>IFERROR(__xludf.DUMMYFUNCTION("""COMPUTED_VALUE"""),"Lionel Billingy")</f>
        <v>Lionel Billingy</v>
      </c>
      <c r="E5338" s="4" t="str">
        <f>IFERROR(__xludf.DUMMYFUNCTION("""COMPUTED_VALUE"""),"Duquesne")</f>
        <v>Duquesne</v>
      </c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</row>
    <row r="5339">
      <c r="A5339" s="4"/>
      <c r="B5339" s="4"/>
      <c r="C5339" s="4"/>
      <c r="D5339" s="4" t="str">
        <f>IFERROR(__xludf.DUMMYFUNCTION("""COMPUTED_VALUE"""),"Round 5")</f>
        <v>Round 5</v>
      </c>
      <c r="E5339" s="4"/>
      <c r="F5339" s="4"/>
      <c r="G5339" s="4" t="str">
        <f>IFERROR(__xludf.DUMMYFUNCTION("""COMPUTED_VALUE"""),"Totals")</f>
        <v>Totals</v>
      </c>
      <c r="H5339" s="4"/>
      <c r="I5339" s="4"/>
      <c r="J5339" s="4"/>
      <c r="K5339" s="4"/>
      <c r="L5339" s="4" t="str">
        <f>IFERROR(__xludf.DUMMYFUNCTION("""COMPUTED_VALUE"""),"Shooting")</f>
        <v>Shooting</v>
      </c>
      <c r="M5339" s="4"/>
      <c r="N5339" s="4"/>
      <c r="O5339" s="4" t="str">
        <f>IFERROR(__xludf.DUMMYFUNCTION("""COMPUTED_VALUE"""),"Per Game")</f>
        <v>Per Game</v>
      </c>
      <c r="P5339" s="4"/>
      <c r="Q5339" s="4"/>
      <c r="R5339" s="4"/>
      <c r="S5339" s="4" t="str">
        <f>IFERROR(__xludf.DUMMYFUNCTION("""COMPUTED_VALUE"""),"Advanced")</f>
        <v>Advanced</v>
      </c>
      <c r="T5339" s="4"/>
      <c r="U5339" s="4"/>
      <c r="V5339" s="4"/>
    </row>
    <row r="5340">
      <c r="A5340" s="4" t="str">
        <f>IFERROR(__xludf.DUMMYFUNCTION("""COMPUTED_VALUE"""),"Rk")</f>
        <v>Rk</v>
      </c>
      <c r="B5340" s="4" t="str">
        <f>IFERROR(__xludf.DUMMYFUNCTION("""COMPUTED_VALUE"""),"Pk")</f>
        <v>Pk</v>
      </c>
      <c r="C5340" s="4" t="str">
        <f>IFERROR(__xludf.DUMMYFUNCTION("""COMPUTED_VALUE"""),"Tm")</f>
        <v>Tm</v>
      </c>
      <c r="D5340" s="4" t="str">
        <f>IFERROR(__xludf.DUMMYFUNCTION("""COMPUTED_VALUE"""),"Player")</f>
        <v>Player</v>
      </c>
      <c r="E5340" s="4" t="str">
        <f>IFERROR(__xludf.DUMMYFUNCTION("""COMPUTED_VALUE"""),"College")</f>
        <v>College</v>
      </c>
      <c r="F5340" s="4" t="str">
        <f>IFERROR(__xludf.DUMMYFUNCTION("""COMPUTED_VALUE"""),"Yrs")</f>
        <v>Yrs</v>
      </c>
      <c r="G5340" s="4" t="str">
        <f>IFERROR(__xludf.DUMMYFUNCTION("""COMPUTED_VALUE"""),"G")</f>
        <v>G</v>
      </c>
      <c r="H5340" s="4" t="str">
        <f>IFERROR(__xludf.DUMMYFUNCTION("""COMPUTED_VALUE"""),"MP")</f>
        <v>MP</v>
      </c>
      <c r="I5340" s="4" t="str">
        <f>IFERROR(__xludf.DUMMYFUNCTION("""COMPUTED_VALUE"""),"PTS")</f>
        <v>PTS</v>
      </c>
      <c r="J5340" s="4" t="str">
        <f>IFERROR(__xludf.DUMMYFUNCTION("""COMPUTED_VALUE"""),"TRB")</f>
        <v>TRB</v>
      </c>
      <c r="K5340" s="4" t="str">
        <f>IFERROR(__xludf.DUMMYFUNCTION("""COMPUTED_VALUE"""),"AST")</f>
        <v>AST</v>
      </c>
      <c r="L5340" s="4" t="str">
        <f>IFERROR(__xludf.DUMMYFUNCTION("""COMPUTED_VALUE"""),"FG%")</f>
        <v>FG%</v>
      </c>
      <c r="M5340" s="4" t="str">
        <f>IFERROR(__xludf.DUMMYFUNCTION("""COMPUTED_VALUE"""),"3P%")</f>
        <v>3P%</v>
      </c>
      <c r="N5340" s="4" t="str">
        <f>IFERROR(__xludf.DUMMYFUNCTION("""COMPUTED_VALUE"""),"FT%")</f>
        <v>FT%</v>
      </c>
      <c r="O5340" s="4" t="str">
        <f>IFERROR(__xludf.DUMMYFUNCTION("""COMPUTED_VALUE"""),"MP")</f>
        <v>MP</v>
      </c>
      <c r="P5340" s="4" t="str">
        <f>IFERROR(__xludf.DUMMYFUNCTION("""COMPUTED_VALUE"""),"PTS")</f>
        <v>PTS</v>
      </c>
      <c r="Q5340" s="4" t="str">
        <f>IFERROR(__xludf.DUMMYFUNCTION("""COMPUTED_VALUE"""),"TRB")</f>
        <v>TRB</v>
      </c>
      <c r="R5340" s="4" t="str">
        <f>IFERROR(__xludf.DUMMYFUNCTION("""COMPUTED_VALUE"""),"AST")</f>
        <v>AST</v>
      </c>
      <c r="S5340" s="4" t="str">
        <f>IFERROR(__xludf.DUMMYFUNCTION("""COMPUTED_VALUE"""),"WS")</f>
        <v>WS</v>
      </c>
      <c r="T5340" s="4" t="str">
        <f>IFERROR(__xludf.DUMMYFUNCTION("""COMPUTED_VALUE"""),"WS/48")</f>
        <v>WS/48</v>
      </c>
      <c r="U5340" s="4" t="str">
        <f>IFERROR(__xludf.DUMMYFUNCTION("""COMPUTED_VALUE"""),"BPM")</f>
        <v>BPM</v>
      </c>
      <c r="V5340" s="4" t="str">
        <f>IFERROR(__xludf.DUMMYFUNCTION("""COMPUTED_VALUE"""),"VORP")</f>
        <v>VORP</v>
      </c>
    </row>
    <row r="5341">
      <c r="A5341" s="4">
        <f>IFERROR(__xludf.DUMMYFUNCTION("""COMPUTED_VALUE"""),73.0)</f>
        <v>73</v>
      </c>
      <c r="B5341" s="4">
        <f>IFERROR(__xludf.DUMMYFUNCTION("""COMPUTED_VALUE"""),73.0)</f>
        <v>73</v>
      </c>
      <c r="C5341" s="4" t="str">
        <f>IFERROR(__xludf.DUMMYFUNCTION("""COMPUTED_VALUE"""),"PHI")</f>
        <v>PHI</v>
      </c>
      <c r="D5341" s="4" t="str">
        <f>IFERROR(__xludf.DUMMYFUNCTION("""COMPUTED_VALUE"""),"Gary Crowthers")</f>
        <v>Gary Crowthers</v>
      </c>
      <c r="E5341" s="4" t="str">
        <f>IFERROR(__xludf.DUMMYFUNCTION("""COMPUTED_VALUE"""),"Hardin-Simmons University")</f>
        <v>Hardin-Simmons University</v>
      </c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</row>
    <row r="5342">
      <c r="A5342" s="4">
        <f>IFERROR(__xludf.DUMMYFUNCTION("""COMPUTED_VALUE"""),74.0)</f>
        <v>74</v>
      </c>
      <c r="B5342" s="4">
        <f>IFERROR(__xludf.DUMMYFUNCTION("""COMPUTED_VALUE"""),74.0)</f>
        <v>74</v>
      </c>
      <c r="C5342" s="4" t="str">
        <f>IFERROR(__xludf.DUMMYFUNCTION("""COMPUTED_VALUE"""),"POR")</f>
        <v>POR</v>
      </c>
      <c r="D5342" s="4" t="str">
        <f>IFERROR(__xludf.DUMMYFUNCTION("""COMPUTED_VALUE"""),"Bernard Hardin")</f>
        <v>Bernard Hardin</v>
      </c>
      <c r="E5342" s="4" t="str">
        <f>IFERROR(__xludf.DUMMYFUNCTION("""COMPUTED_VALUE"""),"New Mexico")</f>
        <v>New Mexico</v>
      </c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</row>
    <row r="5343">
      <c r="A5343" s="4">
        <f>IFERROR(__xludf.DUMMYFUNCTION("""COMPUTED_VALUE"""),75.0)</f>
        <v>75</v>
      </c>
      <c r="B5343" s="4">
        <f>IFERROR(__xludf.DUMMYFUNCTION("""COMPUTED_VALUE"""),75.0)</f>
        <v>75</v>
      </c>
      <c r="C5343" s="4" t="str">
        <f>IFERROR(__xludf.DUMMYFUNCTION("""COMPUTED_VALUE"""),"CLE")</f>
        <v>CLE</v>
      </c>
      <c r="D5343" s="4" t="str">
        <f>IFERROR(__xludf.DUMMYFUNCTION("""COMPUTED_VALUE"""),"Gary Novak")</f>
        <v>Gary Novak</v>
      </c>
      <c r="E5343" s="4" t="str">
        <f>IFERROR(__xludf.DUMMYFUNCTION("""COMPUTED_VALUE"""),"Notre Dame")</f>
        <v>Notre Dame</v>
      </c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</row>
    <row r="5344">
      <c r="A5344" s="4">
        <f>IFERROR(__xludf.DUMMYFUNCTION("""COMPUTED_VALUE"""),76.0)</f>
        <v>76</v>
      </c>
      <c r="B5344" s="4">
        <f>IFERROR(__xludf.DUMMYFUNCTION("""COMPUTED_VALUE"""),76.0)</f>
        <v>76</v>
      </c>
      <c r="C5344" s="4" t="str">
        <f>IFERROR(__xludf.DUMMYFUNCTION("""COMPUTED_VALUE"""),"PHO")</f>
        <v>PHO</v>
      </c>
      <c r="D5344" s="4" t="str">
        <f>IFERROR(__xludf.DUMMYFUNCTION("""COMPUTED_VALUE"""),"Ralph Bobik")</f>
        <v>Ralph Bobik</v>
      </c>
      <c r="E5344" s="4" t="str">
        <f>IFERROR(__xludf.DUMMYFUNCTION("""COMPUTED_VALUE"""),"Creighton")</f>
        <v>Creighton</v>
      </c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</row>
    <row r="5345">
      <c r="A5345" s="4">
        <f>IFERROR(__xludf.DUMMYFUNCTION("""COMPUTED_VALUE"""),77.0)</f>
        <v>77</v>
      </c>
      <c r="B5345" s="4">
        <f>IFERROR(__xludf.DUMMYFUNCTION("""COMPUTED_VALUE"""),77.0)</f>
        <v>77</v>
      </c>
      <c r="C5345" s="4" t="str">
        <f>IFERROR(__xludf.DUMMYFUNCTION("""COMPUTED_VALUE"""),"HOU")</f>
        <v>HOU</v>
      </c>
      <c r="D5345" s="4" t="str">
        <f>IFERROR(__xludf.DUMMYFUNCTION("""COMPUTED_VALUE"""),"Owen Wells")</f>
        <v>Owen Wells</v>
      </c>
      <c r="E5345" s="4" t="str">
        <f>IFERROR(__xludf.DUMMYFUNCTION("""COMPUTED_VALUE"""),"Detroit Mercy")</f>
        <v>Detroit Mercy</v>
      </c>
      <c r="F5345" s="4">
        <f>IFERROR(__xludf.DUMMYFUNCTION("""COMPUTED_VALUE"""),1.0)</f>
        <v>1</v>
      </c>
      <c r="G5345" s="4">
        <f>IFERROR(__xludf.DUMMYFUNCTION("""COMPUTED_VALUE"""),33.0)</f>
        <v>33</v>
      </c>
      <c r="H5345" s="4">
        <f>IFERROR(__xludf.DUMMYFUNCTION("""COMPUTED_VALUE"""),214.0)</f>
        <v>214</v>
      </c>
      <c r="I5345" s="4">
        <f>IFERROR(__xludf.DUMMYFUNCTION("""COMPUTED_VALUE"""),99.0)</f>
        <v>99</v>
      </c>
      <c r="J5345" s="4">
        <f>IFERROR(__xludf.DUMMYFUNCTION("""COMPUTED_VALUE"""),35.0)</f>
        <v>35</v>
      </c>
      <c r="K5345" s="4">
        <f>IFERROR(__xludf.DUMMYFUNCTION("""COMPUTED_VALUE"""),22.0)</f>
        <v>22</v>
      </c>
      <c r="L5345" s="4">
        <f>IFERROR(__xludf.DUMMYFUNCTION("""COMPUTED_VALUE"""),0.42)</f>
        <v>0.42</v>
      </c>
      <c r="M5345" s="4"/>
      <c r="N5345" s="4">
        <f>IFERROR(__xludf.DUMMYFUNCTION("""COMPUTED_VALUE"""),0.682)</f>
        <v>0.682</v>
      </c>
      <c r="O5345" s="4">
        <f>IFERROR(__xludf.DUMMYFUNCTION("""COMPUTED_VALUE"""),6.5)</f>
        <v>6.5</v>
      </c>
      <c r="P5345" s="4">
        <f>IFERROR(__xludf.DUMMYFUNCTION("""COMPUTED_VALUE"""),3.0)</f>
        <v>3</v>
      </c>
      <c r="Q5345" s="4">
        <f>IFERROR(__xludf.DUMMYFUNCTION("""COMPUTED_VALUE"""),1.1)</f>
        <v>1.1</v>
      </c>
      <c r="R5345" s="4">
        <f>IFERROR(__xludf.DUMMYFUNCTION("""COMPUTED_VALUE"""),0.7)</f>
        <v>0.7</v>
      </c>
      <c r="S5345" s="4">
        <f>IFERROR(__xludf.DUMMYFUNCTION("""COMPUTED_VALUE"""),0.1)</f>
        <v>0.1</v>
      </c>
      <c r="T5345" s="4">
        <f>IFERROR(__xludf.DUMMYFUNCTION("""COMPUTED_VALUE"""),0.018)</f>
        <v>0.018</v>
      </c>
      <c r="U5345" s="4">
        <f>IFERROR(__xludf.DUMMYFUNCTION("""COMPUTED_VALUE"""),-3.7)</f>
        <v>-3.7</v>
      </c>
      <c r="V5345" s="4">
        <f>IFERROR(__xludf.DUMMYFUNCTION("""COMPUTED_VALUE"""),-0.1)</f>
        <v>-0.1</v>
      </c>
    </row>
    <row r="5346">
      <c r="A5346" s="4">
        <f>IFERROR(__xludf.DUMMYFUNCTION("""COMPUTED_VALUE"""),78.0)</f>
        <v>78</v>
      </c>
      <c r="B5346" s="4">
        <f>IFERROR(__xludf.DUMMYFUNCTION("""COMPUTED_VALUE"""),78.0)</f>
        <v>78</v>
      </c>
      <c r="C5346" s="4" t="str">
        <f>IFERROR(__xludf.DUMMYFUNCTION("""COMPUTED_VALUE"""),"KCO")</f>
        <v>KCO</v>
      </c>
      <c r="D5346" s="4" t="str">
        <f>IFERROR(__xludf.DUMMYFUNCTION("""COMPUTED_VALUE"""),"Terry Compton")</f>
        <v>Terry Compton</v>
      </c>
      <c r="E5346" s="4" t="str">
        <f>IFERROR(__xludf.DUMMYFUNCTION("""COMPUTED_VALUE"""),"Vanderbilt")</f>
        <v>Vanderbilt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</row>
    <row r="5347">
      <c r="A5347" s="4">
        <f>IFERROR(__xludf.DUMMYFUNCTION("""COMPUTED_VALUE"""),79.0)</f>
        <v>79</v>
      </c>
      <c r="B5347" s="4">
        <f>IFERROR(__xludf.DUMMYFUNCTION("""COMPUTED_VALUE"""),79.0)</f>
        <v>79</v>
      </c>
      <c r="C5347" s="4" t="str">
        <f>IFERROR(__xludf.DUMMYFUNCTION("""COMPUTED_VALUE"""),"ATL")</f>
        <v>ATL</v>
      </c>
      <c r="D5347" s="4" t="str">
        <f>IFERROR(__xludf.DUMMYFUNCTION("""COMPUTED_VALUE"""),"Tyrone Medley")</f>
        <v>Tyrone Medley</v>
      </c>
      <c r="E5347" s="4" t="str">
        <f>IFERROR(__xludf.DUMMYFUNCTION("""COMPUTED_VALUE"""),"Utah")</f>
        <v>Utah</v>
      </c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</row>
    <row r="5348">
      <c r="A5348" s="4">
        <f>IFERROR(__xludf.DUMMYFUNCTION("""COMPUTED_VALUE"""),80.0)</f>
        <v>80</v>
      </c>
      <c r="B5348" s="4">
        <f>IFERROR(__xludf.DUMMYFUNCTION("""COMPUTED_VALUE"""),80.0)</f>
        <v>80</v>
      </c>
      <c r="C5348" s="4" t="str">
        <f>IFERROR(__xludf.DUMMYFUNCTION("""COMPUTED_VALUE"""),"SEA")</f>
        <v>SEA</v>
      </c>
      <c r="D5348" s="4" t="str">
        <f>IFERROR(__xludf.DUMMYFUNCTION("""COMPUTED_VALUE"""),"Dean Tolson")</f>
        <v>Dean Tolson</v>
      </c>
      <c r="E5348" s="4" t="str">
        <f>IFERROR(__xludf.DUMMYFUNCTION("""COMPUTED_VALUE"""),"Arkansas")</f>
        <v>Arkansas</v>
      </c>
      <c r="F5348" s="4">
        <f>IFERROR(__xludf.DUMMYFUNCTION("""COMPUTED_VALUE"""),3.0)</f>
        <v>3</v>
      </c>
      <c r="G5348" s="4">
        <f>IFERROR(__xludf.DUMMYFUNCTION("""COMPUTED_VALUE"""),80.0)</f>
        <v>80</v>
      </c>
      <c r="H5348" s="4">
        <f>IFERROR(__xludf.DUMMYFUNCTION("""COMPUTED_VALUE"""),681.0)</f>
        <v>681</v>
      </c>
      <c r="I5348" s="4">
        <f>IFERROR(__xludf.DUMMYFUNCTION("""COMPUTED_VALUE"""),402.0)</f>
        <v>402</v>
      </c>
      <c r="J5348" s="4">
        <f>IFERROR(__xludf.DUMMYFUNCTION("""COMPUTED_VALUE"""),179.0)</f>
        <v>179</v>
      </c>
      <c r="K5348" s="4">
        <f>IFERROR(__xludf.DUMMYFUNCTION("""COMPUTED_VALUE"""),34.0)</f>
        <v>34</v>
      </c>
      <c r="L5348" s="4">
        <f>IFERROR(__xludf.DUMMYFUNCTION("""COMPUTED_VALUE"""),0.546)</f>
        <v>0.546</v>
      </c>
      <c r="M5348" s="4"/>
      <c r="N5348" s="4">
        <f>IFERROR(__xludf.DUMMYFUNCTION("""COMPUTED_VALUE"""),0.545)</f>
        <v>0.545</v>
      </c>
      <c r="O5348" s="4">
        <f>IFERROR(__xludf.DUMMYFUNCTION("""COMPUTED_VALUE"""),8.5)</f>
        <v>8.5</v>
      </c>
      <c r="P5348" s="4">
        <f>IFERROR(__xludf.DUMMYFUNCTION("""COMPUTED_VALUE"""),5.0)</f>
        <v>5</v>
      </c>
      <c r="Q5348" s="4">
        <f>IFERROR(__xludf.DUMMYFUNCTION("""COMPUTED_VALUE"""),2.2)</f>
        <v>2.2</v>
      </c>
      <c r="R5348" s="4">
        <f>IFERROR(__xludf.DUMMYFUNCTION("""COMPUTED_VALUE"""),0.4)</f>
        <v>0.4</v>
      </c>
      <c r="S5348" s="4">
        <f>IFERROR(__xludf.DUMMYFUNCTION("""COMPUTED_VALUE"""),2.2)</f>
        <v>2.2</v>
      </c>
      <c r="T5348" s="4">
        <f>IFERROR(__xludf.DUMMYFUNCTION("""COMPUTED_VALUE"""),0.153)</f>
        <v>0.153</v>
      </c>
      <c r="U5348" s="4">
        <f>IFERROR(__xludf.DUMMYFUNCTION("""COMPUTED_VALUE"""),2.1)</f>
        <v>2.1</v>
      </c>
      <c r="V5348" s="4">
        <f>IFERROR(__xludf.DUMMYFUNCTION("""COMPUTED_VALUE"""),0.7)</f>
        <v>0.7</v>
      </c>
    </row>
    <row r="5349">
      <c r="A5349" s="4">
        <f>IFERROR(__xludf.DUMMYFUNCTION("""COMPUTED_VALUE"""),81.0)</f>
        <v>81</v>
      </c>
      <c r="B5349" s="4">
        <f>IFERROR(__xludf.DUMMYFUNCTION("""COMPUTED_VALUE"""),81.0)</f>
        <v>81</v>
      </c>
      <c r="C5349" s="4" t="str">
        <f>IFERROR(__xludf.DUMMYFUNCTION("""COMPUTED_VALUE"""),"BUF")</f>
        <v>BUF</v>
      </c>
      <c r="D5349" s="4" t="str">
        <f>IFERROR(__xludf.DUMMYFUNCTION("""COMPUTED_VALUE"""),"Tony Byers")</f>
        <v>Tony Byers</v>
      </c>
      <c r="E5349" s="4" t="str">
        <f>IFERROR(__xludf.DUMMYFUNCTION("""COMPUTED_VALUE"""),"Wake Forest")</f>
        <v>Wake Forest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</row>
    <row r="5350">
      <c r="A5350" s="4">
        <f>IFERROR(__xludf.DUMMYFUNCTION("""COMPUTED_VALUE"""),82.0)</f>
        <v>82</v>
      </c>
      <c r="B5350" s="4">
        <f>IFERROR(__xludf.DUMMYFUNCTION("""COMPUTED_VALUE"""),82.0)</f>
        <v>82</v>
      </c>
      <c r="C5350" s="4" t="str">
        <f>IFERROR(__xludf.DUMMYFUNCTION("""COMPUTED_VALUE"""),"NOJ")</f>
        <v>NOJ</v>
      </c>
      <c r="D5350" s="4" t="str">
        <f>IFERROR(__xludf.DUMMYFUNCTION("""COMPUTED_VALUE"""),"Ed Searcy")</f>
        <v>Ed Searcy</v>
      </c>
      <c r="E5350" s="4" t="str">
        <f>IFERROR(__xludf.DUMMYFUNCTION("""COMPUTED_VALUE"""),"St. John's")</f>
        <v>St. John's</v>
      </c>
      <c r="F5350" s="4">
        <f>IFERROR(__xludf.DUMMYFUNCTION("""COMPUTED_VALUE"""),1.0)</f>
        <v>1</v>
      </c>
      <c r="G5350" s="4">
        <f>IFERROR(__xludf.DUMMYFUNCTION("""COMPUTED_VALUE"""),4.0)</f>
        <v>4</v>
      </c>
      <c r="H5350" s="4">
        <f>IFERROR(__xludf.DUMMYFUNCTION("""COMPUTED_VALUE"""),12.0)</f>
        <v>12</v>
      </c>
      <c r="I5350" s="4">
        <f>IFERROR(__xludf.DUMMYFUNCTION("""COMPUTED_VALUE"""),6.0)</f>
        <v>6</v>
      </c>
      <c r="J5350" s="4">
        <f>IFERROR(__xludf.DUMMYFUNCTION("""COMPUTED_VALUE"""),0.0)</f>
        <v>0</v>
      </c>
      <c r="K5350" s="4">
        <f>IFERROR(__xludf.DUMMYFUNCTION("""COMPUTED_VALUE"""),1.0)</f>
        <v>1</v>
      </c>
      <c r="L5350" s="4">
        <f>IFERROR(__xludf.DUMMYFUNCTION("""COMPUTED_VALUE"""),0.333)</f>
        <v>0.333</v>
      </c>
      <c r="M5350" s="4"/>
      <c r="N5350" s="4">
        <f>IFERROR(__xludf.DUMMYFUNCTION("""COMPUTED_VALUE"""),1.0)</f>
        <v>1</v>
      </c>
      <c r="O5350" s="4">
        <f>IFERROR(__xludf.DUMMYFUNCTION("""COMPUTED_VALUE"""),3.0)</f>
        <v>3</v>
      </c>
      <c r="P5350" s="4">
        <f>IFERROR(__xludf.DUMMYFUNCTION("""COMPUTED_VALUE"""),1.5)</f>
        <v>1.5</v>
      </c>
      <c r="Q5350" s="4">
        <f>IFERROR(__xludf.DUMMYFUNCTION("""COMPUTED_VALUE"""),0.0)</f>
        <v>0</v>
      </c>
      <c r="R5350" s="4">
        <f>IFERROR(__xludf.DUMMYFUNCTION("""COMPUTED_VALUE"""),0.3)</f>
        <v>0.3</v>
      </c>
      <c r="S5350" s="4">
        <f>IFERROR(__xludf.DUMMYFUNCTION("""COMPUTED_VALUE"""),0.0)</f>
        <v>0</v>
      </c>
      <c r="T5350" s="4">
        <f>IFERROR(__xludf.DUMMYFUNCTION("""COMPUTED_VALUE"""),-0.086)</f>
        <v>-0.086</v>
      </c>
      <c r="U5350" s="4">
        <f>IFERROR(__xludf.DUMMYFUNCTION("""COMPUTED_VALUE"""),-5.0)</f>
        <v>-5</v>
      </c>
      <c r="V5350" s="4">
        <f>IFERROR(__xludf.DUMMYFUNCTION("""COMPUTED_VALUE"""),0.0)</f>
        <v>0</v>
      </c>
    </row>
    <row r="5351">
      <c r="A5351" s="4">
        <f>IFERROR(__xludf.DUMMYFUNCTION("""COMPUTED_VALUE"""),83.0)</f>
        <v>83</v>
      </c>
      <c r="B5351" s="4">
        <f>IFERROR(__xludf.DUMMYFUNCTION("""COMPUTED_VALUE"""),83.0)</f>
        <v>83</v>
      </c>
      <c r="C5351" s="4" t="str">
        <f>IFERROR(__xludf.DUMMYFUNCTION("""COMPUTED_VALUE"""),"GSW")</f>
        <v>GSW</v>
      </c>
      <c r="D5351" s="4" t="str">
        <f>IFERROR(__xludf.DUMMYFUNCTION("""COMPUTED_VALUE"""),"Steve Erickson")</f>
        <v>Steve Erickson</v>
      </c>
      <c r="E5351" s="4" t="str">
        <f>IFERROR(__xludf.DUMMYFUNCTION("""COMPUTED_VALUE"""),"Oregon State")</f>
        <v>Oregon State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</row>
    <row r="5352">
      <c r="A5352" s="4">
        <f>IFERROR(__xludf.DUMMYFUNCTION("""COMPUTED_VALUE"""),84.0)</f>
        <v>84</v>
      </c>
      <c r="B5352" s="4">
        <f>IFERROR(__xludf.DUMMYFUNCTION("""COMPUTED_VALUE"""),84.0)</f>
        <v>84</v>
      </c>
      <c r="C5352" s="4" t="str">
        <f>IFERROR(__xludf.DUMMYFUNCTION("""COMPUTED_VALUE"""),"LAL")</f>
        <v>LAL</v>
      </c>
      <c r="D5352" s="4" t="str">
        <f>IFERROR(__xludf.DUMMYFUNCTION("""COMPUTED_VALUE"""),"Seymour Reed")</f>
        <v>Seymour Reed</v>
      </c>
      <c r="E5352" s="4" t="str">
        <f>IFERROR(__xludf.DUMMYFUNCTION("""COMPUTED_VALUE"""),"Bradley")</f>
        <v>Bradley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</row>
    <row r="5353">
      <c r="A5353" s="4">
        <f>IFERROR(__xludf.DUMMYFUNCTION("""COMPUTED_VALUE"""),85.0)</f>
        <v>85</v>
      </c>
      <c r="B5353" s="4">
        <f>IFERROR(__xludf.DUMMYFUNCTION("""COMPUTED_VALUE"""),85.0)</f>
        <v>85</v>
      </c>
      <c r="C5353" s="4" t="str">
        <f>IFERROR(__xludf.DUMMYFUNCTION("""COMPUTED_VALUE"""),"WSB")</f>
        <v>WSB</v>
      </c>
      <c r="D5353" s="4" t="str">
        <f>IFERROR(__xludf.DUMMYFUNCTION("""COMPUTED_VALUE"""),"Gary Anderson")</f>
        <v>Gary Anderson</v>
      </c>
      <c r="E5353" s="4" t="str">
        <f>IFERROR(__xludf.DUMMYFUNCTION("""COMPUTED_VALUE"""),"Washington")</f>
        <v>Washington</v>
      </c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</row>
    <row r="5354">
      <c r="A5354" s="4">
        <f>IFERROR(__xludf.DUMMYFUNCTION("""COMPUTED_VALUE"""),86.0)</f>
        <v>86</v>
      </c>
      <c r="B5354" s="4">
        <f>IFERROR(__xludf.DUMMYFUNCTION("""COMPUTED_VALUE"""),86.0)</f>
        <v>86</v>
      </c>
      <c r="C5354" s="4" t="str">
        <f>IFERROR(__xludf.DUMMYFUNCTION("""COMPUTED_VALUE"""),"NYK")</f>
        <v>NYK</v>
      </c>
      <c r="D5354" s="4" t="str">
        <f>IFERROR(__xludf.DUMMYFUNCTION("""COMPUTED_VALUE"""),"Greg Jackson")</f>
        <v>Greg Jackson</v>
      </c>
      <c r="E5354" s="4" t="str">
        <f>IFERROR(__xludf.DUMMYFUNCTION("""COMPUTED_VALUE"""),"Guilford College")</f>
        <v>Guilford College</v>
      </c>
      <c r="F5354" s="4">
        <f>IFERROR(__xludf.DUMMYFUNCTION("""COMPUTED_VALUE"""),1.0)</f>
        <v>1</v>
      </c>
      <c r="G5354" s="4">
        <f>IFERROR(__xludf.DUMMYFUNCTION("""COMPUTED_VALUE"""),49.0)</f>
        <v>49</v>
      </c>
      <c r="H5354" s="4">
        <f>IFERROR(__xludf.DUMMYFUNCTION("""COMPUTED_VALUE"""),802.0)</f>
        <v>802</v>
      </c>
      <c r="I5354" s="4">
        <f>IFERROR(__xludf.DUMMYFUNCTION("""COMPUTED_VALUE"""),182.0)</f>
        <v>182</v>
      </c>
      <c r="J5354" s="4">
        <f>IFERROR(__xludf.DUMMYFUNCTION("""COMPUTED_VALUE"""),69.0)</f>
        <v>69</v>
      </c>
      <c r="K5354" s="4">
        <f>IFERROR(__xludf.DUMMYFUNCTION("""COMPUTED_VALUE"""),96.0)</f>
        <v>96</v>
      </c>
      <c r="L5354" s="4">
        <f>IFERROR(__xludf.DUMMYFUNCTION("""COMPUTED_VALUE"""),0.415)</f>
        <v>0.415</v>
      </c>
      <c r="M5354" s="4"/>
      <c r="N5354" s="4">
        <f>IFERROR(__xludf.DUMMYFUNCTION("""COMPUTED_VALUE"""),0.581)</f>
        <v>0.581</v>
      </c>
      <c r="O5354" s="4">
        <f>IFERROR(__xludf.DUMMYFUNCTION("""COMPUTED_VALUE"""),16.4)</f>
        <v>16.4</v>
      </c>
      <c r="P5354" s="4">
        <f>IFERROR(__xludf.DUMMYFUNCTION("""COMPUTED_VALUE"""),3.7)</f>
        <v>3.7</v>
      </c>
      <c r="Q5354" s="4">
        <f>IFERROR(__xludf.DUMMYFUNCTION("""COMPUTED_VALUE"""),1.4)</f>
        <v>1.4</v>
      </c>
      <c r="R5354" s="4">
        <f>IFERROR(__xludf.DUMMYFUNCTION("""COMPUTED_VALUE"""),2.0)</f>
        <v>2</v>
      </c>
      <c r="S5354" s="4">
        <f>IFERROR(__xludf.DUMMYFUNCTION("""COMPUTED_VALUE"""),-0.1)</f>
        <v>-0.1</v>
      </c>
      <c r="T5354" s="4">
        <f>IFERROR(__xludf.DUMMYFUNCTION("""COMPUTED_VALUE"""),-0.005)</f>
        <v>-0.005</v>
      </c>
      <c r="U5354" s="4">
        <f>IFERROR(__xludf.DUMMYFUNCTION("""COMPUTED_VALUE"""),-4.6)</f>
        <v>-4.6</v>
      </c>
      <c r="V5354" s="4">
        <f>IFERROR(__xludf.DUMMYFUNCTION("""COMPUTED_VALUE"""),-0.6)</f>
        <v>-0.6</v>
      </c>
    </row>
    <row r="5355">
      <c r="A5355" s="4">
        <f>IFERROR(__xludf.DUMMYFUNCTION("""COMPUTED_VALUE"""),87.0)</f>
        <v>87</v>
      </c>
      <c r="B5355" s="4">
        <f>IFERROR(__xludf.DUMMYFUNCTION("""COMPUTED_VALUE"""),87.0)</f>
        <v>87</v>
      </c>
      <c r="C5355" s="4" t="str">
        <f>IFERROR(__xludf.DUMMYFUNCTION("""COMPUTED_VALUE"""),"DET")</f>
        <v>DET</v>
      </c>
      <c r="D5355" s="4" t="str">
        <f>IFERROR(__xludf.DUMMYFUNCTION("""COMPUTED_VALUE"""),"Joe Newman")</f>
        <v>Joe Newman</v>
      </c>
      <c r="E5355" s="4" t="str">
        <f>IFERROR(__xludf.DUMMYFUNCTION("""COMPUTED_VALUE"""),"Temple")</f>
        <v>Temple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</row>
    <row r="5356">
      <c r="A5356" s="4">
        <f>IFERROR(__xludf.DUMMYFUNCTION("""COMPUTED_VALUE"""),88.0)</f>
        <v>88</v>
      </c>
      <c r="B5356" s="4">
        <f>IFERROR(__xludf.DUMMYFUNCTION("""COMPUTED_VALUE"""),88.0)</f>
        <v>88</v>
      </c>
      <c r="C5356" s="4" t="str">
        <f>IFERROR(__xludf.DUMMYFUNCTION("""COMPUTED_VALUE"""),"CHI")</f>
        <v>CHI</v>
      </c>
      <c r="D5356" s="4" t="str">
        <f>IFERROR(__xludf.DUMMYFUNCTION("""COMPUTED_VALUE"""),"Randy Knowles")</f>
        <v>Randy Knowles</v>
      </c>
      <c r="E5356" s="4" t="str">
        <f>IFERROR(__xludf.DUMMYFUNCTION("""COMPUTED_VALUE"""),"Texas A&amp;M")</f>
        <v>Texas A&amp;M</v>
      </c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</row>
    <row r="5357">
      <c r="A5357" s="4">
        <f>IFERROR(__xludf.DUMMYFUNCTION("""COMPUTED_VALUE"""),89.0)</f>
        <v>89</v>
      </c>
      <c r="B5357" s="4">
        <f>IFERROR(__xludf.DUMMYFUNCTION("""COMPUTED_VALUE"""),89.0)</f>
        <v>89</v>
      </c>
      <c r="C5357" s="4" t="str">
        <f>IFERROR(__xludf.DUMMYFUNCTION("""COMPUTED_VALUE"""),"BOS")</f>
        <v>BOS</v>
      </c>
      <c r="D5357" s="4" t="str">
        <f>IFERROR(__xludf.DUMMYFUNCTION("""COMPUTED_VALUE"""),"Ben Clyde")</f>
        <v>Ben Clyde</v>
      </c>
      <c r="E5357" s="4" t="str">
        <f>IFERROR(__xludf.DUMMYFUNCTION("""COMPUTED_VALUE"""),"Florida State")</f>
        <v>Florida State</v>
      </c>
      <c r="F5357" s="4">
        <f>IFERROR(__xludf.DUMMYFUNCTION("""COMPUTED_VALUE"""),1.0)</f>
        <v>1</v>
      </c>
      <c r="G5357" s="4">
        <f>IFERROR(__xludf.DUMMYFUNCTION("""COMPUTED_VALUE"""),25.0)</f>
        <v>25</v>
      </c>
      <c r="H5357" s="4">
        <f>IFERROR(__xludf.DUMMYFUNCTION("""COMPUTED_VALUE"""),157.0)</f>
        <v>157</v>
      </c>
      <c r="I5357" s="4">
        <f>IFERROR(__xludf.DUMMYFUNCTION("""COMPUTED_VALUE"""),69.0)</f>
        <v>69</v>
      </c>
      <c r="J5357" s="4">
        <f>IFERROR(__xludf.DUMMYFUNCTION("""COMPUTED_VALUE"""),41.0)</f>
        <v>41</v>
      </c>
      <c r="K5357" s="4">
        <f>IFERROR(__xludf.DUMMYFUNCTION("""COMPUTED_VALUE"""),5.0)</f>
        <v>5</v>
      </c>
      <c r="L5357" s="4">
        <f>IFERROR(__xludf.DUMMYFUNCTION("""COMPUTED_VALUE"""),0.431)</f>
        <v>0.431</v>
      </c>
      <c r="M5357" s="4"/>
      <c r="N5357" s="4">
        <f>IFERROR(__xludf.DUMMYFUNCTION("""COMPUTED_VALUE"""),0.778)</f>
        <v>0.778</v>
      </c>
      <c r="O5357" s="4">
        <f>IFERROR(__xludf.DUMMYFUNCTION("""COMPUTED_VALUE"""),6.3)</f>
        <v>6.3</v>
      </c>
      <c r="P5357" s="4">
        <f>IFERROR(__xludf.DUMMYFUNCTION("""COMPUTED_VALUE"""),2.8)</f>
        <v>2.8</v>
      </c>
      <c r="Q5357" s="4">
        <f>IFERROR(__xludf.DUMMYFUNCTION("""COMPUTED_VALUE"""),1.6)</f>
        <v>1.6</v>
      </c>
      <c r="R5357" s="4">
        <f>IFERROR(__xludf.DUMMYFUNCTION("""COMPUTED_VALUE"""),0.2)</f>
        <v>0.2</v>
      </c>
      <c r="S5357" s="4">
        <f>IFERROR(__xludf.DUMMYFUNCTION("""COMPUTED_VALUE"""),0.2)</f>
        <v>0.2</v>
      </c>
      <c r="T5357" s="4">
        <f>IFERROR(__xludf.DUMMYFUNCTION("""COMPUTED_VALUE"""),0.066)</f>
        <v>0.066</v>
      </c>
      <c r="U5357" s="4">
        <f>IFERROR(__xludf.DUMMYFUNCTION("""COMPUTED_VALUE"""),-4.3)</f>
        <v>-4.3</v>
      </c>
      <c r="V5357" s="4">
        <f>IFERROR(__xludf.DUMMYFUNCTION("""COMPUTED_VALUE"""),-0.1)</f>
        <v>-0.1</v>
      </c>
    </row>
    <row r="5358">
      <c r="A5358" s="4">
        <f>IFERROR(__xludf.DUMMYFUNCTION("""COMPUTED_VALUE"""),90.0)</f>
        <v>90</v>
      </c>
      <c r="B5358" s="4">
        <f>IFERROR(__xludf.DUMMYFUNCTION("""COMPUTED_VALUE"""),90.0)</f>
        <v>90</v>
      </c>
      <c r="C5358" s="4" t="str">
        <f>IFERROR(__xludf.DUMMYFUNCTION("""COMPUTED_VALUE"""),"MIL")</f>
        <v>MIL</v>
      </c>
      <c r="D5358" s="4" t="str">
        <f>IFERROR(__xludf.DUMMYFUNCTION("""COMPUTED_VALUE"""),"John Johnson")</f>
        <v>John Johnson</v>
      </c>
      <c r="E5358" s="4" t="str">
        <f>IFERROR(__xludf.DUMMYFUNCTION("""COMPUTED_VALUE"""),"Denver")</f>
        <v>Denver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</row>
    <row r="5359">
      <c r="A5359" s="4"/>
      <c r="B5359" s="4"/>
      <c r="C5359" s="4"/>
      <c r="D5359" s="4" t="str">
        <f>IFERROR(__xludf.DUMMYFUNCTION("""COMPUTED_VALUE"""),"Round 6")</f>
        <v>Round 6</v>
      </c>
      <c r="E5359" s="4"/>
      <c r="F5359" s="4"/>
      <c r="G5359" s="4" t="str">
        <f>IFERROR(__xludf.DUMMYFUNCTION("""COMPUTED_VALUE"""),"Totals")</f>
        <v>Totals</v>
      </c>
      <c r="H5359" s="4"/>
      <c r="I5359" s="4"/>
      <c r="J5359" s="4"/>
      <c r="K5359" s="4"/>
      <c r="L5359" s="4" t="str">
        <f>IFERROR(__xludf.DUMMYFUNCTION("""COMPUTED_VALUE"""),"Shooting")</f>
        <v>Shooting</v>
      </c>
      <c r="M5359" s="4"/>
      <c r="N5359" s="4"/>
      <c r="O5359" s="4" t="str">
        <f>IFERROR(__xludf.DUMMYFUNCTION("""COMPUTED_VALUE"""),"Per Game")</f>
        <v>Per Game</v>
      </c>
      <c r="P5359" s="4"/>
      <c r="Q5359" s="4"/>
      <c r="R5359" s="4"/>
      <c r="S5359" s="4" t="str">
        <f>IFERROR(__xludf.DUMMYFUNCTION("""COMPUTED_VALUE"""),"Advanced")</f>
        <v>Advanced</v>
      </c>
      <c r="T5359" s="4"/>
      <c r="U5359" s="4"/>
      <c r="V5359" s="4"/>
    </row>
    <row r="5360">
      <c r="A5360" s="4" t="str">
        <f>IFERROR(__xludf.DUMMYFUNCTION("""COMPUTED_VALUE"""),"Rk")</f>
        <v>Rk</v>
      </c>
      <c r="B5360" s="4" t="str">
        <f>IFERROR(__xludf.DUMMYFUNCTION("""COMPUTED_VALUE"""),"Pk")</f>
        <v>Pk</v>
      </c>
      <c r="C5360" s="4" t="str">
        <f>IFERROR(__xludf.DUMMYFUNCTION("""COMPUTED_VALUE"""),"Tm")</f>
        <v>Tm</v>
      </c>
      <c r="D5360" s="4" t="str">
        <f>IFERROR(__xludf.DUMMYFUNCTION("""COMPUTED_VALUE"""),"Player")</f>
        <v>Player</v>
      </c>
      <c r="E5360" s="4" t="str">
        <f>IFERROR(__xludf.DUMMYFUNCTION("""COMPUTED_VALUE"""),"College")</f>
        <v>College</v>
      </c>
      <c r="F5360" s="4" t="str">
        <f>IFERROR(__xludf.DUMMYFUNCTION("""COMPUTED_VALUE"""),"Yrs")</f>
        <v>Yrs</v>
      </c>
      <c r="G5360" s="4" t="str">
        <f>IFERROR(__xludf.DUMMYFUNCTION("""COMPUTED_VALUE"""),"G")</f>
        <v>G</v>
      </c>
      <c r="H5360" s="4" t="str">
        <f>IFERROR(__xludf.DUMMYFUNCTION("""COMPUTED_VALUE"""),"MP")</f>
        <v>MP</v>
      </c>
      <c r="I5360" s="4" t="str">
        <f>IFERROR(__xludf.DUMMYFUNCTION("""COMPUTED_VALUE"""),"PTS")</f>
        <v>PTS</v>
      </c>
      <c r="J5360" s="4" t="str">
        <f>IFERROR(__xludf.DUMMYFUNCTION("""COMPUTED_VALUE"""),"TRB")</f>
        <v>TRB</v>
      </c>
      <c r="K5360" s="4" t="str">
        <f>IFERROR(__xludf.DUMMYFUNCTION("""COMPUTED_VALUE"""),"AST")</f>
        <v>AST</v>
      </c>
      <c r="L5360" s="4" t="str">
        <f>IFERROR(__xludf.DUMMYFUNCTION("""COMPUTED_VALUE"""),"FG%")</f>
        <v>FG%</v>
      </c>
      <c r="M5360" s="4" t="str">
        <f>IFERROR(__xludf.DUMMYFUNCTION("""COMPUTED_VALUE"""),"3P%")</f>
        <v>3P%</v>
      </c>
      <c r="N5360" s="4" t="str">
        <f>IFERROR(__xludf.DUMMYFUNCTION("""COMPUTED_VALUE"""),"FT%")</f>
        <v>FT%</v>
      </c>
      <c r="O5360" s="4" t="str">
        <f>IFERROR(__xludf.DUMMYFUNCTION("""COMPUTED_VALUE"""),"MP")</f>
        <v>MP</v>
      </c>
      <c r="P5360" s="4" t="str">
        <f>IFERROR(__xludf.DUMMYFUNCTION("""COMPUTED_VALUE"""),"PTS")</f>
        <v>PTS</v>
      </c>
      <c r="Q5360" s="4" t="str">
        <f>IFERROR(__xludf.DUMMYFUNCTION("""COMPUTED_VALUE"""),"TRB")</f>
        <v>TRB</v>
      </c>
      <c r="R5360" s="4" t="str">
        <f>IFERROR(__xludf.DUMMYFUNCTION("""COMPUTED_VALUE"""),"AST")</f>
        <v>AST</v>
      </c>
      <c r="S5360" s="4" t="str">
        <f>IFERROR(__xludf.DUMMYFUNCTION("""COMPUTED_VALUE"""),"WS")</f>
        <v>WS</v>
      </c>
      <c r="T5360" s="4" t="str">
        <f>IFERROR(__xludf.DUMMYFUNCTION("""COMPUTED_VALUE"""),"WS/48")</f>
        <v>WS/48</v>
      </c>
      <c r="U5360" s="4" t="str">
        <f>IFERROR(__xludf.DUMMYFUNCTION("""COMPUTED_VALUE"""),"BPM")</f>
        <v>BPM</v>
      </c>
      <c r="V5360" s="4" t="str">
        <f>IFERROR(__xludf.DUMMYFUNCTION("""COMPUTED_VALUE"""),"VORP")</f>
        <v>VORP</v>
      </c>
    </row>
    <row r="5361">
      <c r="A5361" s="4">
        <f>IFERROR(__xludf.DUMMYFUNCTION("""COMPUTED_VALUE"""),91.0)</f>
        <v>91</v>
      </c>
      <c r="B5361" s="4">
        <f>IFERROR(__xludf.DUMMYFUNCTION("""COMPUTED_VALUE"""),91.0)</f>
        <v>91</v>
      </c>
      <c r="C5361" s="4" t="str">
        <f>IFERROR(__xludf.DUMMYFUNCTION("""COMPUTED_VALUE"""),"PHI")</f>
        <v>PHI</v>
      </c>
      <c r="D5361" s="4" t="str">
        <f>IFERROR(__xludf.DUMMYFUNCTION("""COMPUTED_VALUE"""),"Mike Westra")</f>
        <v>Mike Westra</v>
      </c>
      <c r="E5361" s="4" t="str">
        <f>IFERROR(__xludf.DUMMYFUNCTION("""COMPUTED_VALUE"""),"USC")</f>
        <v>USC</v>
      </c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</row>
    <row r="5362">
      <c r="A5362" s="4">
        <f>IFERROR(__xludf.DUMMYFUNCTION("""COMPUTED_VALUE"""),92.0)</f>
        <v>92</v>
      </c>
      <c r="B5362" s="4">
        <f>IFERROR(__xludf.DUMMYFUNCTION("""COMPUTED_VALUE"""),92.0)</f>
        <v>92</v>
      </c>
      <c r="C5362" s="4" t="str">
        <f>IFERROR(__xludf.DUMMYFUNCTION("""COMPUTED_VALUE"""),"POR")</f>
        <v>POR</v>
      </c>
      <c r="D5362" s="4" t="str">
        <f>IFERROR(__xludf.DUMMYFUNCTION("""COMPUTED_VALUE"""),"Dan Anderson")</f>
        <v>Dan Anderson</v>
      </c>
      <c r="E5362" s="4" t="str">
        <f>IFERROR(__xludf.DUMMYFUNCTION("""COMPUTED_VALUE"""),"USC")</f>
        <v>USC</v>
      </c>
      <c r="F5362" s="4">
        <f>IFERROR(__xludf.DUMMYFUNCTION("""COMPUTED_VALUE"""),2.0)</f>
        <v>2</v>
      </c>
      <c r="G5362" s="4">
        <f>IFERROR(__xludf.DUMMYFUNCTION("""COMPUTED_VALUE"""),95.0)</f>
        <v>95</v>
      </c>
      <c r="H5362" s="4">
        <f>IFERROR(__xludf.DUMMYFUNCTION("""COMPUTED_VALUE"""),1067.0)</f>
        <v>1067</v>
      </c>
      <c r="I5362" s="4">
        <f>IFERROR(__xludf.DUMMYFUNCTION("""COMPUTED_VALUE"""),347.0)</f>
        <v>347</v>
      </c>
      <c r="J5362" s="4">
        <f>IFERROR(__xludf.DUMMYFUNCTION("""COMPUTED_VALUE"""),91.0)</f>
        <v>91</v>
      </c>
      <c r="K5362" s="4">
        <f>IFERROR(__xludf.DUMMYFUNCTION("""COMPUTED_VALUE"""),166.0)</f>
        <v>166</v>
      </c>
      <c r="L5362" s="4">
        <f>IFERROR(__xludf.DUMMYFUNCTION("""COMPUTED_VALUE"""),0.472)</f>
        <v>0.472</v>
      </c>
      <c r="M5362" s="4"/>
      <c r="N5362" s="4">
        <f>IFERROR(__xludf.DUMMYFUNCTION("""COMPUTED_VALUE"""),0.846)</f>
        <v>0.846</v>
      </c>
      <c r="O5362" s="4">
        <f>IFERROR(__xludf.DUMMYFUNCTION("""COMPUTED_VALUE"""),11.2)</f>
        <v>11.2</v>
      </c>
      <c r="P5362" s="4">
        <f>IFERROR(__xludf.DUMMYFUNCTION("""COMPUTED_VALUE"""),3.7)</f>
        <v>3.7</v>
      </c>
      <c r="Q5362" s="4">
        <f>IFERROR(__xludf.DUMMYFUNCTION("""COMPUTED_VALUE"""),1.0)</f>
        <v>1</v>
      </c>
      <c r="R5362" s="4">
        <f>IFERROR(__xludf.DUMMYFUNCTION("""COMPUTED_VALUE"""),1.7)</f>
        <v>1.7</v>
      </c>
      <c r="S5362" s="4">
        <f>IFERROR(__xludf.DUMMYFUNCTION("""COMPUTED_VALUE"""),1.6)</f>
        <v>1.6</v>
      </c>
      <c r="T5362" s="4">
        <f>IFERROR(__xludf.DUMMYFUNCTION("""COMPUTED_VALUE"""),0.071)</f>
        <v>0.071</v>
      </c>
      <c r="U5362" s="4">
        <f>IFERROR(__xludf.DUMMYFUNCTION("""COMPUTED_VALUE"""),-1.8)</f>
        <v>-1.8</v>
      </c>
      <c r="V5362" s="4">
        <f>IFERROR(__xludf.DUMMYFUNCTION("""COMPUTED_VALUE"""),0.1)</f>
        <v>0.1</v>
      </c>
    </row>
    <row r="5363">
      <c r="A5363" s="4">
        <f>IFERROR(__xludf.DUMMYFUNCTION("""COMPUTED_VALUE"""),93.0)</f>
        <v>93</v>
      </c>
      <c r="B5363" s="4">
        <f>IFERROR(__xludf.DUMMYFUNCTION("""COMPUTED_VALUE"""),93.0)</f>
        <v>93</v>
      </c>
      <c r="C5363" s="4" t="str">
        <f>IFERROR(__xludf.DUMMYFUNCTION("""COMPUTED_VALUE"""),"CLE")</f>
        <v>CLE</v>
      </c>
      <c r="D5363" s="4" t="str">
        <f>IFERROR(__xludf.DUMMYFUNCTION("""COMPUTED_VALUE"""),"Aron Stewart")</f>
        <v>Aron Stewart</v>
      </c>
      <c r="E5363" s="4" t="str">
        <f>IFERROR(__xludf.DUMMYFUNCTION("""COMPUTED_VALUE"""),"Richmond")</f>
        <v>Richmond</v>
      </c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</row>
    <row r="5364">
      <c r="A5364" s="4">
        <f>IFERROR(__xludf.DUMMYFUNCTION("""COMPUTED_VALUE"""),94.0)</f>
        <v>94</v>
      </c>
      <c r="B5364" s="4">
        <f>IFERROR(__xludf.DUMMYFUNCTION("""COMPUTED_VALUE"""),94.0)</f>
        <v>94</v>
      </c>
      <c r="C5364" s="4" t="str">
        <f>IFERROR(__xludf.DUMMYFUNCTION("""COMPUTED_VALUE"""),"PHO")</f>
        <v>PHO</v>
      </c>
      <c r="D5364" s="4" t="str">
        <f>IFERROR(__xludf.DUMMYFUNCTION("""COMPUTED_VALUE"""),"Collis Temple")</f>
        <v>Collis Temple</v>
      </c>
      <c r="E5364" s="4" t="str">
        <f>IFERROR(__xludf.DUMMYFUNCTION("""COMPUTED_VALUE"""),"LSU")</f>
        <v>LSU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</row>
    <row r="5365">
      <c r="A5365" s="4">
        <f>IFERROR(__xludf.DUMMYFUNCTION("""COMPUTED_VALUE"""),95.0)</f>
        <v>95</v>
      </c>
      <c r="B5365" s="4">
        <f>IFERROR(__xludf.DUMMYFUNCTION("""COMPUTED_VALUE"""),95.0)</f>
        <v>95</v>
      </c>
      <c r="C5365" s="4" t="str">
        <f>IFERROR(__xludf.DUMMYFUNCTION("""COMPUTED_VALUE"""),"HOU")</f>
        <v>HOU</v>
      </c>
      <c r="D5365" s="4" t="str">
        <f>IFERROR(__xludf.DUMMYFUNCTION("""COMPUTED_VALUE"""),"Lawrence Johnson")</f>
        <v>Lawrence Johnson</v>
      </c>
      <c r="E5365" s="4" t="str">
        <f>IFERROR(__xludf.DUMMYFUNCTION("""COMPUTED_VALUE"""),"Prairie View A&amp;M University")</f>
        <v>Prairie View A&amp;M University</v>
      </c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</row>
    <row r="5366">
      <c r="A5366" s="4">
        <f>IFERROR(__xludf.DUMMYFUNCTION("""COMPUTED_VALUE"""),96.0)</f>
        <v>96</v>
      </c>
      <c r="B5366" s="4">
        <f>IFERROR(__xludf.DUMMYFUNCTION("""COMPUTED_VALUE"""),96.0)</f>
        <v>96</v>
      </c>
      <c r="C5366" s="4" t="str">
        <f>IFERROR(__xludf.DUMMYFUNCTION("""COMPUTED_VALUE"""),"KCO")</f>
        <v>KCO</v>
      </c>
      <c r="D5366" s="4" t="str">
        <f>IFERROR(__xludf.DUMMYFUNCTION("""COMPUTED_VALUE"""),"Ron Kennedy")</f>
        <v>Ron Kennedy</v>
      </c>
      <c r="E5366" s="4" t="str">
        <f>IFERROR(__xludf.DUMMYFUNCTION("""COMPUTED_VALUE"""),"Arizona")</f>
        <v>Arizona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</row>
    <row r="5367">
      <c r="A5367" s="4">
        <f>IFERROR(__xludf.DUMMYFUNCTION("""COMPUTED_VALUE"""),97.0)</f>
        <v>97</v>
      </c>
      <c r="B5367" s="4">
        <f>IFERROR(__xludf.DUMMYFUNCTION("""COMPUTED_VALUE"""),97.0)</f>
        <v>97</v>
      </c>
      <c r="C5367" s="4" t="str">
        <f>IFERROR(__xludf.DUMMYFUNCTION("""COMPUTED_VALUE"""),"ATL")</f>
        <v>ATL</v>
      </c>
      <c r="D5367" s="4" t="str">
        <f>IFERROR(__xludf.DUMMYFUNCTION("""COMPUTED_VALUE"""),"Sam Hervey")</f>
        <v>Sam Hervey</v>
      </c>
      <c r="E5367" s="4" t="str">
        <f>IFERROR(__xludf.DUMMYFUNCTION("""COMPUTED_VALUE"""),"SMU")</f>
        <v>SMU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</row>
    <row r="5368">
      <c r="A5368" s="4">
        <f>IFERROR(__xludf.DUMMYFUNCTION("""COMPUTED_VALUE"""),98.0)</f>
        <v>98</v>
      </c>
      <c r="B5368" s="4">
        <f>IFERROR(__xludf.DUMMYFUNCTION("""COMPUTED_VALUE"""),98.0)</f>
        <v>98</v>
      </c>
      <c r="C5368" s="4" t="str">
        <f>IFERROR(__xludf.DUMMYFUNCTION("""COMPUTED_VALUE"""),"SEA")</f>
        <v>SEA</v>
      </c>
      <c r="D5368" s="4" t="str">
        <f>IFERROR(__xludf.DUMMYFUNCTION("""COMPUTED_VALUE"""),"Wardell Jackson")</f>
        <v>Wardell Jackson</v>
      </c>
      <c r="E5368" s="4" t="str">
        <f>IFERROR(__xludf.DUMMYFUNCTION("""COMPUTED_VALUE"""),"Ohio State")</f>
        <v>Ohio State</v>
      </c>
      <c r="F5368" s="4">
        <f>IFERROR(__xludf.DUMMYFUNCTION("""COMPUTED_VALUE"""),1.0)</f>
        <v>1</v>
      </c>
      <c r="G5368" s="4">
        <f>IFERROR(__xludf.DUMMYFUNCTION("""COMPUTED_VALUE"""),56.0)</f>
        <v>56</v>
      </c>
      <c r="H5368" s="4">
        <f>IFERROR(__xludf.DUMMYFUNCTION("""COMPUTED_VALUE"""),939.0)</f>
        <v>939</v>
      </c>
      <c r="I5368" s="4">
        <f>IFERROR(__xludf.DUMMYFUNCTION("""COMPUTED_VALUE"""),243.0)</f>
        <v>243</v>
      </c>
      <c r="J5368" s="4">
        <f>IFERROR(__xludf.DUMMYFUNCTION("""COMPUTED_VALUE"""),133.0)</f>
        <v>133</v>
      </c>
      <c r="K5368" s="4">
        <f>IFERROR(__xludf.DUMMYFUNCTION("""COMPUTED_VALUE"""),30.0)</f>
        <v>30</v>
      </c>
      <c r="L5368" s="4">
        <f>IFERROR(__xludf.DUMMYFUNCTION("""COMPUTED_VALUE"""),0.397)</f>
        <v>0.397</v>
      </c>
      <c r="M5368" s="4"/>
      <c r="N5368" s="4">
        <f>IFERROR(__xludf.DUMMYFUNCTION("""COMPUTED_VALUE"""),0.718)</f>
        <v>0.718</v>
      </c>
      <c r="O5368" s="4">
        <f>IFERROR(__xludf.DUMMYFUNCTION("""COMPUTED_VALUE"""),16.8)</f>
        <v>16.8</v>
      </c>
      <c r="P5368" s="4">
        <f>IFERROR(__xludf.DUMMYFUNCTION("""COMPUTED_VALUE"""),4.3)</f>
        <v>4.3</v>
      </c>
      <c r="Q5368" s="4">
        <f>IFERROR(__xludf.DUMMYFUNCTION("""COMPUTED_VALUE"""),2.4)</f>
        <v>2.4</v>
      </c>
      <c r="R5368" s="4">
        <f>IFERROR(__xludf.DUMMYFUNCTION("""COMPUTED_VALUE"""),0.5)</f>
        <v>0.5</v>
      </c>
      <c r="S5368" s="4">
        <f>IFERROR(__xludf.DUMMYFUNCTION("""COMPUTED_VALUE"""),0.3)</f>
        <v>0.3</v>
      </c>
      <c r="T5368" s="4">
        <f>IFERROR(__xludf.DUMMYFUNCTION("""COMPUTED_VALUE"""),0.015)</f>
        <v>0.015</v>
      </c>
      <c r="U5368" s="4">
        <f>IFERROR(__xludf.DUMMYFUNCTION("""COMPUTED_VALUE"""),-4.9)</f>
        <v>-4.9</v>
      </c>
      <c r="V5368" s="4">
        <f>IFERROR(__xludf.DUMMYFUNCTION("""COMPUTED_VALUE"""),-0.7)</f>
        <v>-0.7</v>
      </c>
    </row>
    <row r="5369">
      <c r="A5369" s="4">
        <f>IFERROR(__xludf.DUMMYFUNCTION("""COMPUTED_VALUE"""),99.0)</f>
        <v>99</v>
      </c>
      <c r="B5369" s="4">
        <f>IFERROR(__xludf.DUMMYFUNCTION("""COMPUTED_VALUE"""),99.0)</f>
        <v>99</v>
      </c>
      <c r="C5369" s="4" t="str">
        <f>IFERROR(__xludf.DUMMYFUNCTION("""COMPUTED_VALUE"""),"BUF")</f>
        <v>BUF</v>
      </c>
      <c r="D5369" s="4" t="str">
        <f>IFERROR(__xludf.DUMMYFUNCTION("""COMPUTED_VALUE"""),"Gary Link")</f>
        <v>Gary Link</v>
      </c>
      <c r="E5369" s="4" t="str">
        <f>IFERROR(__xludf.DUMMYFUNCTION("""COMPUTED_VALUE"""),"Missouri")</f>
        <v>Missouri</v>
      </c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</row>
    <row r="5370">
      <c r="A5370" s="4">
        <f>IFERROR(__xludf.DUMMYFUNCTION("""COMPUTED_VALUE"""),100.0)</f>
        <v>100</v>
      </c>
      <c r="B5370" s="4">
        <f>IFERROR(__xludf.DUMMYFUNCTION("""COMPUTED_VALUE"""),100.0)</f>
        <v>100</v>
      </c>
      <c r="C5370" s="4" t="str">
        <f>IFERROR(__xludf.DUMMYFUNCTION("""COMPUTED_VALUE"""),"NOJ")</f>
        <v>NOJ</v>
      </c>
      <c r="D5370" s="4" t="str">
        <f>IFERROR(__xludf.DUMMYFUNCTION("""COMPUTED_VALUE"""),"Lawrence McCray")</f>
        <v>Lawrence McCray</v>
      </c>
      <c r="E5370" s="4" t="str">
        <f>IFERROR(__xludf.DUMMYFUNCTION("""COMPUTED_VALUE"""),"Florida State")</f>
        <v>Florida State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</row>
    <row r="5371">
      <c r="A5371" s="4">
        <f>IFERROR(__xludf.DUMMYFUNCTION("""COMPUTED_VALUE"""),101.0)</f>
        <v>101</v>
      </c>
      <c r="B5371" s="4">
        <f>IFERROR(__xludf.DUMMYFUNCTION("""COMPUTED_VALUE"""),101.0)</f>
        <v>101</v>
      </c>
      <c r="C5371" s="4" t="str">
        <f>IFERROR(__xludf.DUMMYFUNCTION("""COMPUTED_VALUE"""),"GSW")</f>
        <v>GSW</v>
      </c>
      <c r="D5371" s="4" t="str">
        <f>IFERROR(__xludf.DUMMYFUNCTION("""COMPUTED_VALUE"""),"John Errecart")</f>
        <v>John Errecart</v>
      </c>
      <c r="E5371" s="4" t="str">
        <f>IFERROR(__xludf.DUMMYFUNCTION("""COMPUTED_VALUE"""),"University of the Pacific")</f>
        <v>University of the Pacific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</row>
    <row r="5372">
      <c r="A5372" s="4">
        <f>IFERROR(__xludf.DUMMYFUNCTION("""COMPUTED_VALUE"""),102.0)</f>
        <v>102</v>
      </c>
      <c r="B5372" s="4">
        <f>IFERROR(__xludf.DUMMYFUNCTION("""COMPUTED_VALUE"""),102.0)</f>
        <v>102</v>
      </c>
      <c r="C5372" s="4" t="str">
        <f>IFERROR(__xludf.DUMMYFUNCTION("""COMPUTED_VALUE"""),"WSB")</f>
        <v>WSB</v>
      </c>
      <c r="D5372" s="4" t="str">
        <f>IFERROR(__xludf.DUMMYFUNCTION("""COMPUTED_VALUE"""),"Roy McPipe")</f>
        <v>Roy McPipe</v>
      </c>
      <c r="E5372" s="4" t="str">
        <f>IFERROR(__xludf.DUMMYFUNCTION("""COMPUTED_VALUE"""),"Montana State University, Billings")</f>
        <v>Montana State University, Billings</v>
      </c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</row>
    <row r="5373">
      <c r="A5373" s="4">
        <f>IFERROR(__xludf.DUMMYFUNCTION("""COMPUTED_VALUE"""),103.0)</f>
        <v>103</v>
      </c>
      <c r="B5373" s="4">
        <f>IFERROR(__xludf.DUMMYFUNCTION("""COMPUTED_VALUE"""),103.0)</f>
        <v>103</v>
      </c>
      <c r="C5373" s="4" t="str">
        <f>IFERROR(__xludf.DUMMYFUNCTION("""COMPUTED_VALUE"""),"LAL")</f>
        <v>LAL</v>
      </c>
      <c r="D5373" s="4" t="str">
        <f>IFERROR(__xludf.DUMMYFUNCTION("""COMPUTED_VALUE"""),"Billy Morris")</f>
        <v>Billy Morris</v>
      </c>
      <c r="E5373" s="4" t="str">
        <f>IFERROR(__xludf.DUMMYFUNCTION("""COMPUTED_VALUE"""),"Saint Louis")</f>
        <v>Saint Louis</v>
      </c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</row>
    <row r="5374">
      <c r="A5374" s="4">
        <f>IFERROR(__xludf.DUMMYFUNCTION("""COMPUTED_VALUE"""),104.0)</f>
        <v>104</v>
      </c>
      <c r="B5374" s="4">
        <f>IFERROR(__xludf.DUMMYFUNCTION("""COMPUTED_VALUE"""),104.0)</f>
        <v>104</v>
      </c>
      <c r="C5374" s="4" t="str">
        <f>IFERROR(__xludf.DUMMYFUNCTION("""COMPUTED_VALUE"""),"NYK")</f>
        <v>NYK</v>
      </c>
      <c r="D5374" s="4" t="str">
        <f>IFERROR(__xludf.DUMMYFUNCTION("""COMPUTED_VALUE"""),"Terry Mikan")</f>
        <v>Terry Mikan</v>
      </c>
      <c r="E5374" s="4" t="str">
        <f>IFERROR(__xludf.DUMMYFUNCTION("""COMPUTED_VALUE"""),"St. Thomas University")</f>
        <v>St. Thomas University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</row>
    <row r="5375">
      <c r="A5375" s="4">
        <f>IFERROR(__xludf.DUMMYFUNCTION("""COMPUTED_VALUE"""),105.0)</f>
        <v>105</v>
      </c>
      <c r="B5375" s="4">
        <f>IFERROR(__xludf.DUMMYFUNCTION("""COMPUTED_VALUE"""),105.0)</f>
        <v>105</v>
      </c>
      <c r="C5375" s="4" t="str">
        <f>IFERROR(__xludf.DUMMYFUNCTION("""COMPUTED_VALUE"""),"DET")</f>
        <v>DET</v>
      </c>
      <c r="D5375" s="4" t="str">
        <f>IFERROR(__xludf.DUMMYFUNCTION("""COMPUTED_VALUE"""),"Mike Sylvester")</f>
        <v>Mike Sylvester</v>
      </c>
      <c r="E5375" s="4" t="str">
        <f>IFERROR(__xludf.DUMMYFUNCTION("""COMPUTED_VALUE"""),"Dayton")</f>
        <v>Dayton</v>
      </c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</row>
    <row r="5376">
      <c r="A5376" s="4">
        <f>IFERROR(__xludf.DUMMYFUNCTION("""COMPUTED_VALUE"""),106.0)</f>
        <v>106</v>
      </c>
      <c r="B5376" s="4">
        <f>IFERROR(__xludf.DUMMYFUNCTION("""COMPUTED_VALUE"""),106.0)</f>
        <v>106</v>
      </c>
      <c r="C5376" s="4" t="str">
        <f>IFERROR(__xludf.DUMMYFUNCTION("""COMPUTED_VALUE"""),"CHI")</f>
        <v>CHI</v>
      </c>
      <c r="D5376" s="4" t="str">
        <f>IFERROR(__xludf.DUMMYFUNCTION("""COMPUTED_VALUE"""),"Robert Rosier")</f>
        <v>Robert Rosier</v>
      </c>
      <c r="E5376" s="4" t="str">
        <f>IFERROR(__xludf.DUMMYFUNCTION("""COMPUTED_VALUE"""),"St. Thomas University")</f>
        <v>St. Thomas University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</row>
    <row r="5377">
      <c r="A5377" s="4">
        <f>IFERROR(__xludf.DUMMYFUNCTION("""COMPUTED_VALUE"""),107.0)</f>
        <v>107</v>
      </c>
      <c r="B5377" s="4">
        <f>IFERROR(__xludf.DUMMYFUNCTION("""COMPUTED_VALUE"""),107.0)</f>
        <v>107</v>
      </c>
      <c r="C5377" s="4" t="str">
        <f>IFERROR(__xludf.DUMMYFUNCTION("""COMPUTED_VALUE"""),"BOS")</f>
        <v>BOS</v>
      </c>
      <c r="D5377" s="4" t="str">
        <f>IFERROR(__xludf.DUMMYFUNCTION("""COMPUTED_VALUE"""),"Gene Harmon")</f>
        <v>Gene Harmon</v>
      </c>
      <c r="E5377" s="4" t="str">
        <f>IFERROR(__xludf.DUMMYFUNCTION("""COMPUTED_VALUE"""),"Creighton")</f>
        <v>Creighton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</row>
    <row r="5378">
      <c r="A5378" s="4">
        <f>IFERROR(__xludf.DUMMYFUNCTION("""COMPUTED_VALUE"""),108.0)</f>
        <v>108</v>
      </c>
      <c r="B5378" s="4">
        <f>IFERROR(__xludf.DUMMYFUNCTION("""COMPUTED_VALUE"""),108.0)</f>
        <v>108</v>
      </c>
      <c r="C5378" s="4" t="str">
        <f>IFERROR(__xludf.DUMMYFUNCTION("""COMPUTED_VALUE"""),"MIL")</f>
        <v>MIL</v>
      </c>
      <c r="D5378" s="4" t="str">
        <f>IFERROR(__xludf.DUMMYFUNCTION("""COMPUTED_VALUE"""),"Larry Williams")</f>
        <v>Larry Williams</v>
      </c>
      <c r="E5378" s="4" t="str">
        <f>IFERROR(__xludf.DUMMYFUNCTION("""COMPUTED_VALUE"""),"Kansas State")</f>
        <v>Kansas State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</row>
    <row r="5379">
      <c r="A5379" s="4"/>
      <c r="B5379" s="4"/>
      <c r="C5379" s="4"/>
      <c r="D5379" s="4" t="str">
        <f>IFERROR(__xludf.DUMMYFUNCTION("""COMPUTED_VALUE"""),"Round 7")</f>
        <v>Round 7</v>
      </c>
      <c r="E5379" s="4"/>
      <c r="F5379" s="4"/>
      <c r="G5379" s="4" t="str">
        <f>IFERROR(__xludf.DUMMYFUNCTION("""COMPUTED_VALUE"""),"Totals")</f>
        <v>Totals</v>
      </c>
      <c r="H5379" s="4"/>
      <c r="I5379" s="4"/>
      <c r="J5379" s="4"/>
      <c r="K5379" s="4"/>
      <c r="L5379" s="4" t="str">
        <f>IFERROR(__xludf.DUMMYFUNCTION("""COMPUTED_VALUE"""),"Shooting")</f>
        <v>Shooting</v>
      </c>
      <c r="M5379" s="4"/>
      <c r="N5379" s="4"/>
      <c r="O5379" s="4" t="str">
        <f>IFERROR(__xludf.DUMMYFUNCTION("""COMPUTED_VALUE"""),"Per Game")</f>
        <v>Per Game</v>
      </c>
      <c r="P5379" s="4"/>
      <c r="Q5379" s="4"/>
      <c r="R5379" s="4"/>
      <c r="S5379" s="4" t="str">
        <f>IFERROR(__xludf.DUMMYFUNCTION("""COMPUTED_VALUE"""),"Advanced")</f>
        <v>Advanced</v>
      </c>
      <c r="T5379" s="4"/>
      <c r="U5379" s="4"/>
      <c r="V5379" s="4"/>
    </row>
    <row r="5380">
      <c r="A5380" s="4" t="str">
        <f>IFERROR(__xludf.DUMMYFUNCTION("""COMPUTED_VALUE"""),"Rk")</f>
        <v>Rk</v>
      </c>
      <c r="B5380" s="4" t="str">
        <f>IFERROR(__xludf.DUMMYFUNCTION("""COMPUTED_VALUE"""),"Pk")</f>
        <v>Pk</v>
      </c>
      <c r="C5380" s="4" t="str">
        <f>IFERROR(__xludf.DUMMYFUNCTION("""COMPUTED_VALUE"""),"Tm")</f>
        <v>Tm</v>
      </c>
      <c r="D5380" s="4" t="str">
        <f>IFERROR(__xludf.DUMMYFUNCTION("""COMPUTED_VALUE"""),"Player")</f>
        <v>Player</v>
      </c>
      <c r="E5380" s="4" t="str">
        <f>IFERROR(__xludf.DUMMYFUNCTION("""COMPUTED_VALUE"""),"College")</f>
        <v>College</v>
      </c>
      <c r="F5380" s="4" t="str">
        <f>IFERROR(__xludf.DUMMYFUNCTION("""COMPUTED_VALUE"""),"Yrs")</f>
        <v>Yrs</v>
      </c>
      <c r="G5380" s="4" t="str">
        <f>IFERROR(__xludf.DUMMYFUNCTION("""COMPUTED_VALUE"""),"G")</f>
        <v>G</v>
      </c>
      <c r="H5380" s="4" t="str">
        <f>IFERROR(__xludf.DUMMYFUNCTION("""COMPUTED_VALUE"""),"MP")</f>
        <v>MP</v>
      </c>
      <c r="I5380" s="4" t="str">
        <f>IFERROR(__xludf.DUMMYFUNCTION("""COMPUTED_VALUE"""),"PTS")</f>
        <v>PTS</v>
      </c>
      <c r="J5380" s="4" t="str">
        <f>IFERROR(__xludf.DUMMYFUNCTION("""COMPUTED_VALUE"""),"TRB")</f>
        <v>TRB</v>
      </c>
      <c r="K5380" s="4" t="str">
        <f>IFERROR(__xludf.DUMMYFUNCTION("""COMPUTED_VALUE"""),"AST")</f>
        <v>AST</v>
      </c>
      <c r="L5380" s="4" t="str">
        <f>IFERROR(__xludf.DUMMYFUNCTION("""COMPUTED_VALUE"""),"FG%")</f>
        <v>FG%</v>
      </c>
      <c r="M5380" s="4" t="str">
        <f>IFERROR(__xludf.DUMMYFUNCTION("""COMPUTED_VALUE"""),"3P%")</f>
        <v>3P%</v>
      </c>
      <c r="N5380" s="4" t="str">
        <f>IFERROR(__xludf.DUMMYFUNCTION("""COMPUTED_VALUE"""),"FT%")</f>
        <v>FT%</v>
      </c>
      <c r="O5380" s="4" t="str">
        <f>IFERROR(__xludf.DUMMYFUNCTION("""COMPUTED_VALUE"""),"MP")</f>
        <v>MP</v>
      </c>
      <c r="P5380" s="4" t="str">
        <f>IFERROR(__xludf.DUMMYFUNCTION("""COMPUTED_VALUE"""),"PTS")</f>
        <v>PTS</v>
      </c>
      <c r="Q5380" s="4" t="str">
        <f>IFERROR(__xludf.DUMMYFUNCTION("""COMPUTED_VALUE"""),"TRB")</f>
        <v>TRB</v>
      </c>
      <c r="R5380" s="4" t="str">
        <f>IFERROR(__xludf.DUMMYFUNCTION("""COMPUTED_VALUE"""),"AST")</f>
        <v>AST</v>
      </c>
      <c r="S5380" s="4" t="str">
        <f>IFERROR(__xludf.DUMMYFUNCTION("""COMPUTED_VALUE"""),"WS")</f>
        <v>WS</v>
      </c>
      <c r="T5380" s="4" t="str">
        <f>IFERROR(__xludf.DUMMYFUNCTION("""COMPUTED_VALUE"""),"WS/48")</f>
        <v>WS/48</v>
      </c>
      <c r="U5380" s="4" t="str">
        <f>IFERROR(__xludf.DUMMYFUNCTION("""COMPUTED_VALUE"""),"BPM")</f>
        <v>BPM</v>
      </c>
      <c r="V5380" s="4" t="str">
        <f>IFERROR(__xludf.DUMMYFUNCTION("""COMPUTED_VALUE"""),"VORP")</f>
        <v>VORP</v>
      </c>
    </row>
    <row r="5381">
      <c r="A5381" s="4">
        <f>IFERROR(__xludf.DUMMYFUNCTION("""COMPUTED_VALUE"""),109.0)</f>
        <v>109</v>
      </c>
      <c r="B5381" s="4">
        <f>IFERROR(__xludf.DUMMYFUNCTION("""COMPUTED_VALUE"""),109.0)</f>
        <v>109</v>
      </c>
      <c r="C5381" s="4" t="str">
        <f>IFERROR(__xludf.DUMMYFUNCTION("""COMPUTED_VALUE"""),"PHI")</f>
        <v>PHI</v>
      </c>
      <c r="D5381" s="4" t="str">
        <f>IFERROR(__xludf.DUMMYFUNCTION("""COMPUTED_VALUE"""),"Dave Stoczynski")</f>
        <v>Dave Stoczynski</v>
      </c>
      <c r="E5381" s="4" t="str">
        <f>IFERROR(__xludf.DUMMYFUNCTION("""COMPUTED_VALUE"""),"Gannon University")</f>
        <v>Gannon University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</row>
    <row r="5382">
      <c r="A5382" s="4">
        <f>IFERROR(__xludf.DUMMYFUNCTION("""COMPUTED_VALUE"""),110.0)</f>
        <v>110</v>
      </c>
      <c r="B5382" s="4">
        <f>IFERROR(__xludf.DUMMYFUNCTION("""COMPUTED_VALUE"""),110.0)</f>
        <v>110</v>
      </c>
      <c r="C5382" s="4" t="str">
        <f>IFERROR(__xludf.DUMMYFUNCTION("""COMPUTED_VALUE"""),"POR")</f>
        <v>POR</v>
      </c>
      <c r="D5382" s="4" t="str">
        <f>IFERROR(__xludf.DUMMYFUNCTION("""COMPUTED_VALUE"""),"Doug Richards")</f>
        <v>Doug Richards</v>
      </c>
      <c r="E5382" s="4" t="str">
        <f>IFERROR(__xludf.DUMMYFUNCTION("""COMPUTED_VALUE"""),"BYU")</f>
        <v>BYU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</row>
    <row r="5383">
      <c r="A5383" s="4">
        <f>IFERROR(__xludf.DUMMYFUNCTION("""COMPUTED_VALUE"""),111.0)</f>
        <v>111</v>
      </c>
      <c r="B5383" s="4">
        <f>IFERROR(__xludf.DUMMYFUNCTION("""COMPUTED_VALUE"""),111.0)</f>
        <v>111</v>
      </c>
      <c r="C5383" s="4" t="str">
        <f>IFERROR(__xludf.DUMMYFUNCTION("""COMPUTED_VALUE"""),"CLE")</f>
        <v>CLE</v>
      </c>
      <c r="D5383" s="4" t="str">
        <f>IFERROR(__xludf.DUMMYFUNCTION("""COMPUTED_VALUE"""),"Mike Robinson")</f>
        <v>Mike Robinson</v>
      </c>
      <c r="E5383" s="4" t="str">
        <f>IFERROR(__xludf.DUMMYFUNCTION("""COMPUTED_VALUE"""),"Michigan State")</f>
        <v>Michigan State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</row>
    <row r="5384">
      <c r="A5384" s="4">
        <f>IFERROR(__xludf.DUMMYFUNCTION("""COMPUTED_VALUE"""),112.0)</f>
        <v>112</v>
      </c>
      <c r="B5384" s="4">
        <f>IFERROR(__xludf.DUMMYFUNCTION("""COMPUTED_VALUE"""),112.0)</f>
        <v>112</v>
      </c>
      <c r="C5384" s="4" t="str">
        <f>IFERROR(__xludf.DUMMYFUNCTION("""COMPUTED_VALUE"""),"PHO")</f>
        <v>PHO</v>
      </c>
      <c r="D5384" s="4" t="str">
        <f>IFERROR(__xludf.DUMMYFUNCTION("""COMPUTED_VALUE"""),"Clyde Dickey")</f>
        <v>Clyde Dickey</v>
      </c>
      <c r="E5384" s="4" t="str">
        <f>IFERROR(__xludf.DUMMYFUNCTION("""COMPUTED_VALUE"""),"Boise State")</f>
        <v>Boise State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</row>
    <row r="5385">
      <c r="A5385" s="4">
        <f>IFERROR(__xludf.DUMMYFUNCTION("""COMPUTED_VALUE"""),113.0)</f>
        <v>113</v>
      </c>
      <c r="B5385" s="4">
        <f>IFERROR(__xludf.DUMMYFUNCTION("""COMPUTED_VALUE"""),113.0)</f>
        <v>113</v>
      </c>
      <c r="C5385" s="4" t="str">
        <f>IFERROR(__xludf.DUMMYFUNCTION("""COMPUTED_VALUE"""),"HOU")</f>
        <v>HOU</v>
      </c>
      <c r="D5385" s="4" t="str">
        <f>IFERROR(__xludf.DUMMYFUNCTION("""COMPUTED_VALUE"""),"Kevin Fitzgerald")</f>
        <v>Kevin Fitzgerald</v>
      </c>
      <c r="E5385" s="4" t="str">
        <f>IFERROR(__xludf.DUMMYFUNCTION("""COMPUTED_VALUE"""),"Oklahoma State")</f>
        <v>Oklahoma State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</row>
    <row r="5386">
      <c r="A5386" s="4">
        <f>IFERROR(__xludf.DUMMYFUNCTION("""COMPUTED_VALUE"""),114.0)</f>
        <v>114</v>
      </c>
      <c r="B5386" s="4">
        <f>IFERROR(__xludf.DUMMYFUNCTION("""COMPUTED_VALUE"""),114.0)</f>
        <v>114</v>
      </c>
      <c r="C5386" s="4" t="str">
        <f>IFERROR(__xludf.DUMMYFUNCTION("""COMPUTED_VALUE"""),"KCO")</f>
        <v>KCO</v>
      </c>
      <c r="D5386" s="4" t="str">
        <f>IFERROR(__xludf.DUMMYFUNCTION("""COMPUTED_VALUE"""),"Mark Brown")</f>
        <v>Mark Brown</v>
      </c>
      <c r="E5386" s="4" t="str">
        <f>IFERROR(__xludf.DUMMYFUNCTION("""COMPUTED_VALUE"""),"Missouri Western State College")</f>
        <v>Missouri Western State College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</row>
    <row r="5387">
      <c r="A5387" s="4">
        <f>IFERROR(__xludf.DUMMYFUNCTION("""COMPUTED_VALUE"""),115.0)</f>
        <v>115</v>
      </c>
      <c r="B5387" s="4">
        <f>IFERROR(__xludf.DUMMYFUNCTION("""COMPUTED_VALUE"""),115.0)</f>
        <v>115</v>
      </c>
      <c r="C5387" s="4" t="str">
        <f>IFERROR(__xludf.DUMMYFUNCTION("""COMPUTED_VALUE"""),"ATL")</f>
        <v>ATL</v>
      </c>
      <c r="D5387" s="4" t="str">
        <f>IFERROR(__xludf.DUMMYFUNCTION("""COMPUTED_VALUE"""),"Greg Lee")</f>
        <v>Greg Lee</v>
      </c>
      <c r="E5387" s="4" t="str">
        <f>IFERROR(__xludf.DUMMYFUNCTION("""COMPUTED_VALUE"""),"UCLA")</f>
        <v>UCLA</v>
      </c>
      <c r="F5387" s="4">
        <f>IFERROR(__xludf.DUMMYFUNCTION("""COMPUTED_VALUE"""),1.0)</f>
        <v>1</v>
      </c>
      <c r="G5387" s="4">
        <f>IFERROR(__xludf.DUMMYFUNCTION("""COMPUTED_VALUE"""),5.0)</f>
        <v>5</v>
      </c>
      <c r="H5387" s="4">
        <f>IFERROR(__xludf.DUMMYFUNCTION("""COMPUTED_VALUE"""),35.0)</f>
        <v>35</v>
      </c>
      <c r="I5387" s="4">
        <f>IFERROR(__xludf.DUMMYFUNCTION("""COMPUTED_VALUE"""),6.0)</f>
        <v>6</v>
      </c>
      <c r="J5387" s="4">
        <f>IFERROR(__xludf.DUMMYFUNCTION("""COMPUTED_VALUE"""),2.0)</f>
        <v>2</v>
      </c>
      <c r="K5387" s="4">
        <f>IFERROR(__xludf.DUMMYFUNCTION("""COMPUTED_VALUE"""),11.0)</f>
        <v>11</v>
      </c>
      <c r="L5387" s="4">
        <f>IFERROR(__xludf.DUMMYFUNCTION("""COMPUTED_VALUE"""),0.5)</f>
        <v>0.5</v>
      </c>
      <c r="M5387" s="4"/>
      <c r="N5387" s="4">
        <f>IFERROR(__xludf.DUMMYFUNCTION("""COMPUTED_VALUE"""),1.0)</f>
        <v>1</v>
      </c>
      <c r="O5387" s="4">
        <f>IFERROR(__xludf.DUMMYFUNCTION("""COMPUTED_VALUE"""),7.0)</f>
        <v>7</v>
      </c>
      <c r="P5387" s="4">
        <f>IFERROR(__xludf.DUMMYFUNCTION("""COMPUTED_VALUE"""),1.2)</f>
        <v>1.2</v>
      </c>
      <c r="Q5387" s="4">
        <f>IFERROR(__xludf.DUMMYFUNCTION("""COMPUTED_VALUE"""),0.4)</f>
        <v>0.4</v>
      </c>
      <c r="R5387" s="4">
        <f>IFERROR(__xludf.DUMMYFUNCTION("""COMPUTED_VALUE"""),2.2)</f>
        <v>2.2</v>
      </c>
      <c r="S5387" s="4">
        <f>IFERROR(__xludf.DUMMYFUNCTION("""COMPUTED_VALUE"""),0.0)</f>
        <v>0</v>
      </c>
      <c r="T5387" s="4">
        <f>IFERROR(__xludf.DUMMYFUNCTION("""COMPUTED_VALUE"""),0.041)</f>
        <v>0.041</v>
      </c>
      <c r="U5387" s="4">
        <f>IFERROR(__xludf.DUMMYFUNCTION("""COMPUTED_VALUE"""),-3.5)</f>
        <v>-3.5</v>
      </c>
      <c r="V5387" s="4">
        <f>IFERROR(__xludf.DUMMYFUNCTION("""COMPUTED_VALUE"""),0.0)</f>
        <v>0</v>
      </c>
    </row>
    <row r="5388">
      <c r="A5388" s="4">
        <f>IFERROR(__xludf.DUMMYFUNCTION("""COMPUTED_VALUE"""),116.0)</f>
        <v>116</v>
      </c>
      <c r="B5388" s="4">
        <f>IFERROR(__xludf.DUMMYFUNCTION("""COMPUTED_VALUE"""),116.0)</f>
        <v>116</v>
      </c>
      <c r="C5388" s="4" t="str">
        <f>IFERROR(__xludf.DUMMYFUNCTION("""COMPUTED_VALUE"""),"SEA")</f>
        <v>SEA</v>
      </c>
      <c r="D5388" s="4" t="str">
        <f>IFERROR(__xludf.DUMMYFUNCTION("""COMPUTED_VALUE"""),"Jerry Faulkner")</f>
        <v>Jerry Faulkner</v>
      </c>
      <c r="E5388" s="4" t="str">
        <f>IFERROR(__xludf.DUMMYFUNCTION("""COMPUTED_VALUE"""),"West Georgia")</f>
        <v>West Georgia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</row>
    <row r="5389">
      <c r="A5389" s="4">
        <f>IFERROR(__xludf.DUMMYFUNCTION("""COMPUTED_VALUE"""),117.0)</f>
        <v>117</v>
      </c>
      <c r="B5389" s="4">
        <f>IFERROR(__xludf.DUMMYFUNCTION("""COMPUTED_VALUE"""),117.0)</f>
        <v>117</v>
      </c>
      <c r="C5389" s="4" t="str">
        <f>IFERROR(__xludf.DUMMYFUNCTION("""COMPUTED_VALUE"""),"BUF")</f>
        <v>BUF</v>
      </c>
      <c r="D5389" s="4" t="str">
        <f>IFERROR(__xludf.DUMMYFUNCTION("""COMPUTED_VALUE"""),"Tommy Curtis")</f>
        <v>Tommy Curtis</v>
      </c>
      <c r="E5389" s="4" t="str">
        <f>IFERROR(__xludf.DUMMYFUNCTION("""COMPUTED_VALUE"""),"UCLA")</f>
        <v>UCLA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</row>
    <row r="5390">
      <c r="A5390" s="4">
        <f>IFERROR(__xludf.DUMMYFUNCTION("""COMPUTED_VALUE"""),118.0)</f>
        <v>118</v>
      </c>
      <c r="B5390" s="4">
        <f>IFERROR(__xludf.DUMMYFUNCTION("""COMPUTED_VALUE"""),118.0)</f>
        <v>118</v>
      </c>
      <c r="C5390" s="4" t="str">
        <f>IFERROR(__xludf.DUMMYFUNCTION("""COMPUTED_VALUE"""),"NOJ")</f>
        <v>NOJ</v>
      </c>
      <c r="D5390" s="4" t="str">
        <f>IFERROR(__xludf.DUMMYFUNCTION("""COMPUTED_VALUE"""),"Joel Copeland")</f>
        <v>Joel Copeland</v>
      </c>
      <c r="E5390" s="4" t="str">
        <f>IFERROR(__xludf.DUMMYFUNCTION("""COMPUTED_VALUE"""),"Old Dominion")</f>
        <v>Old Dominion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</row>
    <row r="5391">
      <c r="A5391" s="4">
        <f>IFERROR(__xludf.DUMMYFUNCTION("""COMPUTED_VALUE"""),119.0)</f>
        <v>119</v>
      </c>
      <c r="B5391" s="4">
        <f>IFERROR(__xludf.DUMMYFUNCTION("""COMPUTED_VALUE"""),119.0)</f>
        <v>119</v>
      </c>
      <c r="C5391" s="4" t="str">
        <f>IFERROR(__xludf.DUMMYFUNCTION("""COMPUTED_VALUE"""),"GSW")</f>
        <v>GSW</v>
      </c>
      <c r="D5391" s="4" t="str">
        <f>IFERROR(__xludf.DUMMYFUNCTION("""COMPUTED_VALUE"""),"Brady Allen")</f>
        <v>Brady Allen</v>
      </c>
      <c r="E5391" s="4" t="str">
        <f>IFERROR(__xludf.DUMMYFUNCTION("""COMPUTED_VALUE"""),"California")</f>
        <v>California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</row>
    <row r="5392">
      <c r="A5392" s="4">
        <f>IFERROR(__xludf.DUMMYFUNCTION("""COMPUTED_VALUE"""),120.0)</f>
        <v>120</v>
      </c>
      <c r="B5392" s="4">
        <f>IFERROR(__xludf.DUMMYFUNCTION("""COMPUTED_VALUE"""),120.0)</f>
        <v>120</v>
      </c>
      <c r="C5392" s="4" t="str">
        <f>IFERROR(__xludf.DUMMYFUNCTION("""COMPUTED_VALUE"""),"LAL")</f>
        <v>LAL</v>
      </c>
      <c r="D5392" s="4" t="str">
        <f>IFERROR(__xludf.DUMMYFUNCTION("""COMPUTED_VALUE"""),"Dennis Van Zant")</f>
        <v>Dennis Van Zant</v>
      </c>
      <c r="E5392" s="4" t="str">
        <f>IFERROR(__xludf.DUMMYFUNCTION("""COMPUTED_VALUE"""),"Azusa Pacific University")</f>
        <v>Azusa Pacific University</v>
      </c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</row>
    <row r="5393">
      <c r="A5393" s="4">
        <f>IFERROR(__xludf.DUMMYFUNCTION("""COMPUTED_VALUE"""),121.0)</f>
        <v>121</v>
      </c>
      <c r="B5393" s="4">
        <f>IFERROR(__xludf.DUMMYFUNCTION("""COMPUTED_VALUE"""),121.0)</f>
        <v>121</v>
      </c>
      <c r="C5393" s="4" t="str">
        <f>IFERROR(__xludf.DUMMYFUNCTION("""COMPUTED_VALUE"""),"WSB")</f>
        <v>WSB</v>
      </c>
      <c r="D5393" s="4" t="str">
        <f>IFERROR(__xludf.DUMMYFUNCTION("""COMPUTED_VALUE"""),"Tom Turner")</f>
        <v>Tom Turner</v>
      </c>
      <c r="E5393" s="4" t="str">
        <f>IFERROR(__xludf.DUMMYFUNCTION("""COMPUTED_VALUE"""),"West Georgia")</f>
        <v>West Georgia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</row>
    <row r="5394">
      <c r="A5394" s="4">
        <f>IFERROR(__xludf.DUMMYFUNCTION("""COMPUTED_VALUE"""),122.0)</f>
        <v>122</v>
      </c>
      <c r="B5394" s="4">
        <f>IFERROR(__xludf.DUMMYFUNCTION("""COMPUTED_VALUE"""),122.0)</f>
        <v>122</v>
      </c>
      <c r="C5394" s="4" t="str">
        <f>IFERROR(__xludf.DUMMYFUNCTION("""COMPUTED_VALUE"""),"NYK")</f>
        <v>NYK</v>
      </c>
      <c r="D5394" s="4" t="str">
        <f>IFERROR(__xludf.DUMMYFUNCTION("""COMPUTED_VALUE"""),"Billy Smith")</f>
        <v>Billy Smith</v>
      </c>
      <c r="E5394" s="4" t="str">
        <f>IFERROR(__xludf.DUMMYFUNCTION("""COMPUTED_VALUE"""),"Mercer University")</f>
        <v>Mercer University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</row>
    <row r="5395">
      <c r="A5395" s="4">
        <f>IFERROR(__xludf.DUMMYFUNCTION("""COMPUTED_VALUE"""),123.0)</f>
        <v>123</v>
      </c>
      <c r="B5395" s="4">
        <f>IFERROR(__xludf.DUMMYFUNCTION("""COMPUTED_VALUE"""),123.0)</f>
        <v>123</v>
      </c>
      <c r="C5395" s="4" t="str">
        <f>IFERROR(__xludf.DUMMYFUNCTION("""COMPUTED_VALUE"""),"DET")</f>
        <v>DET</v>
      </c>
      <c r="D5395" s="4" t="str">
        <f>IFERROR(__xludf.DUMMYFUNCTION("""COMPUTED_VALUE"""),"Sammy High")</f>
        <v>Sammy High</v>
      </c>
      <c r="E5395" s="4" t="str">
        <f>IFERROR(__xludf.DUMMYFUNCTION("""COMPUTED_VALUE"""),"Tulsa")</f>
        <v>Tulsa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</row>
    <row r="5396">
      <c r="A5396" s="4">
        <f>IFERROR(__xludf.DUMMYFUNCTION("""COMPUTED_VALUE"""),124.0)</f>
        <v>124</v>
      </c>
      <c r="B5396" s="4">
        <f>IFERROR(__xludf.DUMMYFUNCTION("""COMPUTED_VALUE"""),124.0)</f>
        <v>124</v>
      </c>
      <c r="C5396" s="4" t="str">
        <f>IFERROR(__xludf.DUMMYFUNCTION("""COMPUTED_VALUE"""),"CHI")</f>
        <v>CHI</v>
      </c>
      <c r="D5396" s="4" t="str">
        <f>IFERROR(__xludf.DUMMYFUNCTION("""COMPUTED_VALUE"""),"Geoff Roberts")</f>
        <v>Geoff Roberts</v>
      </c>
      <c r="E5396" s="4" t="str">
        <f>IFERROR(__xludf.DUMMYFUNCTION("""COMPUTED_VALUE"""),"Missouri")</f>
        <v>Missouri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</row>
    <row r="5397">
      <c r="A5397" s="4">
        <f>IFERROR(__xludf.DUMMYFUNCTION("""COMPUTED_VALUE"""),125.0)</f>
        <v>125</v>
      </c>
      <c r="B5397" s="4">
        <f>IFERROR(__xludf.DUMMYFUNCTION("""COMPUTED_VALUE"""),125.0)</f>
        <v>125</v>
      </c>
      <c r="C5397" s="4" t="str">
        <f>IFERROR(__xludf.DUMMYFUNCTION("""COMPUTED_VALUE"""),"BOS")</f>
        <v>BOS</v>
      </c>
      <c r="D5397" s="4" t="str">
        <f>IFERROR(__xludf.DUMMYFUNCTION("""COMPUTED_VALUE"""),"Ron Brown")</f>
        <v>Ron Brown</v>
      </c>
      <c r="E5397" s="4" t="str">
        <f>IFERROR(__xludf.DUMMYFUNCTION("""COMPUTED_VALUE"""),"Penn State")</f>
        <v>Penn State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</row>
    <row r="5398">
      <c r="A5398" s="4">
        <f>IFERROR(__xludf.DUMMYFUNCTION("""COMPUTED_VALUE"""),126.0)</f>
        <v>126</v>
      </c>
      <c r="B5398" s="4">
        <f>IFERROR(__xludf.DUMMYFUNCTION("""COMPUTED_VALUE"""),126.0)</f>
        <v>126</v>
      </c>
      <c r="C5398" s="4" t="str">
        <f>IFERROR(__xludf.DUMMYFUNCTION("""COMPUTED_VALUE"""),"MIL")</f>
        <v>MIL</v>
      </c>
      <c r="D5398" s="4" t="str">
        <f>IFERROR(__xludf.DUMMYFUNCTION("""COMPUTED_VALUE"""),"Bob Hornstein")</f>
        <v>Bob Hornstein</v>
      </c>
      <c r="E5398" s="4" t="str">
        <f>IFERROR(__xludf.DUMMYFUNCTION("""COMPUTED_VALUE"""),"West Virginia")</f>
        <v>West Virginia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</row>
    <row r="5399">
      <c r="A5399" s="4"/>
      <c r="B5399" s="4"/>
      <c r="C5399" s="4"/>
      <c r="D5399" s="4" t="str">
        <f>IFERROR(__xludf.DUMMYFUNCTION("""COMPUTED_VALUE"""),"Round 8")</f>
        <v>Round 8</v>
      </c>
      <c r="E5399" s="4"/>
      <c r="F5399" s="4"/>
      <c r="G5399" s="4" t="str">
        <f>IFERROR(__xludf.DUMMYFUNCTION("""COMPUTED_VALUE"""),"Totals")</f>
        <v>Totals</v>
      </c>
      <c r="H5399" s="4"/>
      <c r="I5399" s="4"/>
      <c r="J5399" s="4"/>
      <c r="K5399" s="4"/>
      <c r="L5399" s="4" t="str">
        <f>IFERROR(__xludf.DUMMYFUNCTION("""COMPUTED_VALUE"""),"Shooting")</f>
        <v>Shooting</v>
      </c>
      <c r="M5399" s="4"/>
      <c r="N5399" s="4"/>
      <c r="O5399" s="4" t="str">
        <f>IFERROR(__xludf.DUMMYFUNCTION("""COMPUTED_VALUE"""),"Per Game")</f>
        <v>Per Game</v>
      </c>
      <c r="P5399" s="4"/>
      <c r="Q5399" s="4"/>
      <c r="R5399" s="4"/>
      <c r="S5399" s="4" t="str">
        <f>IFERROR(__xludf.DUMMYFUNCTION("""COMPUTED_VALUE"""),"Advanced")</f>
        <v>Advanced</v>
      </c>
      <c r="T5399" s="4"/>
      <c r="U5399" s="4"/>
      <c r="V5399" s="4"/>
    </row>
    <row r="5400">
      <c r="A5400" s="4" t="str">
        <f>IFERROR(__xludf.DUMMYFUNCTION("""COMPUTED_VALUE"""),"Rk")</f>
        <v>Rk</v>
      </c>
      <c r="B5400" s="4" t="str">
        <f>IFERROR(__xludf.DUMMYFUNCTION("""COMPUTED_VALUE"""),"Pk")</f>
        <v>Pk</v>
      </c>
      <c r="C5400" s="4" t="str">
        <f>IFERROR(__xludf.DUMMYFUNCTION("""COMPUTED_VALUE"""),"Tm")</f>
        <v>Tm</v>
      </c>
      <c r="D5400" s="4" t="str">
        <f>IFERROR(__xludf.DUMMYFUNCTION("""COMPUTED_VALUE"""),"Player")</f>
        <v>Player</v>
      </c>
      <c r="E5400" s="4" t="str">
        <f>IFERROR(__xludf.DUMMYFUNCTION("""COMPUTED_VALUE"""),"College")</f>
        <v>College</v>
      </c>
      <c r="F5400" s="4" t="str">
        <f>IFERROR(__xludf.DUMMYFUNCTION("""COMPUTED_VALUE"""),"Yrs")</f>
        <v>Yrs</v>
      </c>
      <c r="G5400" s="4" t="str">
        <f>IFERROR(__xludf.DUMMYFUNCTION("""COMPUTED_VALUE"""),"G")</f>
        <v>G</v>
      </c>
      <c r="H5400" s="4" t="str">
        <f>IFERROR(__xludf.DUMMYFUNCTION("""COMPUTED_VALUE"""),"MP")</f>
        <v>MP</v>
      </c>
      <c r="I5400" s="4" t="str">
        <f>IFERROR(__xludf.DUMMYFUNCTION("""COMPUTED_VALUE"""),"PTS")</f>
        <v>PTS</v>
      </c>
      <c r="J5400" s="4" t="str">
        <f>IFERROR(__xludf.DUMMYFUNCTION("""COMPUTED_VALUE"""),"TRB")</f>
        <v>TRB</v>
      </c>
      <c r="K5400" s="4" t="str">
        <f>IFERROR(__xludf.DUMMYFUNCTION("""COMPUTED_VALUE"""),"AST")</f>
        <v>AST</v>
      </c>
      <c r="L5400" s="4" t="str">
        <f>IFERROR(__xludf.DUMMYFUNCTION("""COMPUTED_VALUE"""),"FG%")</f>
        <v>FG%</v>
      </c>
      <c r="M5400" s="4" t="str">
        <f>IFERROR(__xludf.DUMMYFUNCTION("""COMPUTED_VALUE"""),"3P%")</f>
        <v>3P%</v>
      </c>
      <c r="N5400" s="4" t="str">
        <f>IFERROR(__xludf.DUMMYFUNCTION("""COMPUTED_VALUE"""),"FT%")</f>
        <v>FT%</v>
      </c>
      <c r="O5400" s="4" t="str">
        <f>IFERROR(__xludf.DUMMYFUNCTION("""COMPUTED_VALUE"""),"MP")</f>
        <v>MP</v>
      </c>
      <c r="P5400" s="4" t="str">
        <f>IFERROR(__xludf.DUMMYFUNCTION("""COMPUTED_VALUE"""),"PTS")</f>
        <v>PTS</v>
      </c>
      <c r="Q5400" s="4" t="str">
        <f>IFERROR(__xludf.DUMMYFUNCTION("""COMPUTED_VALUE"""),"TRB")</f>
        <v>TRB</v>
      </c>
      <c r="R5400" s="4" t="str">
        <f>IFERROR(__xludf.DUMMYFUNCTION("""COMPUTED_VALUE"""),"AST")</f>
        <v>AST</v>
      </c>
      <c r="S5400" s="4" t="str">
        <f>IFERROR(__xludf.DUMMYFUNCTION("""COMPUTED_VALUE"""),"WS")</f>
        <v>WS</v>
      </c>
      <c r="T5400" s="4" t="str">
        <f>IFERROR(__xludf.DUMMYFUNCTION("""COMPUTED_VALUE"""),"WS/48")</f>
        <v>WS/48</v>
      </c>
      <c r="U5400" s="4" t="str">
        <f>IFERROR(__xludf.DUMMYFUNCTION("""COMPUTED_VALUE"""),"BPM")</f>
        <v>BPM</v>
      </c>
      <c r="V5400" s="4" t="str">
        <f>IFERROR(__xludf.DUMMYFUNCTION("""COMPUTED_VALUE"""),"VORP")</f>
        <v>VORP</v>
      </c>
    </row>
    <row r="5401">
      <c r="A5401" s="4">
        <f>IFERROR(__xludf.DUMMYFUNCTION("""COMPUTED_VALUE"""),127.0)</f>
        <v>127</v>
      </c>
      <c r="B5401" s="4">
        <f>IFERROR(__xludf.DUMMYFUNCTION("""COMPUTED_VALUE"""),127.0)</f>
        <v>127</v>
      </c>
      <c r="C5401" s="4" t="str">
        <f>IFERROR(__xludf.DUMMYFUNCTION("""COMPUTED_VALUE"""),"PHI")</f>
        <v>PHI</v>
      </c>
      <c r="D5401" s="4" t="str">
        <f>IFERROR(__xludf.DUMMYFUNCTION("""COMPUTED_VALUE"""),"Jimmy Powell")</f>
        <v>Jimmy Powell</v>
      </c>
      <c r="E5401" s="4" t="str">
        <f>IFERROR(__xludf.DUMMYFUNCTION("""COMPUTED_VALUE"""),"Middle Tennessee")</f>
        <v>Middle Tennessee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</row>
    <row r="5402">
      <c r="A5402" s="4">
        <f>IFERROR(__xludf.DUMMYFUNCTION("""COMPUTED_VALUE"""),128.0)</f>
        <v>128</v>
      </c>
      <c r="B5402" s="4">
        <f>IFERROR(__xludf.DUMMYFUNCTION("""COMPUTED_VALUE"""),128.0)</f>
        <v>128</v>
      </c>
      <c r="C5402" s="4" t="str">
        <f>IFERROR(__xludf.DUMMYFUNCTION("""COMPUTED_VALUE"""),"POR")</f>
        <v>POR</v>
      </c>
      <c r="D5402" s="4" t="str">
        <f>IFERROR(__xludf.DUMMYFUNCTION("""COMPUTED_VALUE"""),"Eldridge Broussard")</f>
        <v>Eldridge Broussard</v>
      </c>
      <c r="E5402" s="4" t="str">
        <f>IFERROR(__xludf.DUMMYFUNCTION("""COMPUTED_VALUE"""),"Pacific University")</f>
        <v>Pacific University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</row>
    <row r="5403">
      <c r="A5403" s="4">
        <f>IFERROR(__xludf.DUMMYFUNCTION("""COMPUTED_VALUE"""),129.0)</f>
        <v>129</v>
      </c>
      <c r="B5403" s="4">
        <f>IFERROR(__xludf.DUMMYFUNCTION("""COMPUTED_VALUE"""),129.0)</f>
        <v>129</v>
      </c>
      <c r="C5403" s="4" t="str">
        <f>IFERROR(__xludf.DUMMYFUNCTION("""COMPUTED_VALUE"""),"CLE")</f>
        <v>CLE</v>
      </c>
      <c r="D5403" s="4" t="str">
        <f>IFERROR(__xludf.DUMMYFUNCTION("""COMPUTED_VALUE"""),"Kerry Hughes")</f>
        <v>Kerry Hughes</v>
      </c>
      <c r="E5403" s="4" t="str">
        <f>IFERROR(__xludf.DUMMYFUNCTION("""COMPUTED_VALUE"""),"Wisconsin")</f>
        <v>Wisconsin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</row>
    <row r="5404">
      <c r="A5404" s="4">
        <f>IFERROR(__xludf.DUMMYFUNCTION("""COMPUTED_VALUE"""),130.0)</f>
        <v>130</v>
      </c>
      <c r="B5404" s="4">
        <f>IFERROR(__xludf.DUMMYFUNCTION("""COMPUTED_VALUE"""),130.0)</f>
        <v>130</v>
      </c>
      <c r="C5404" s="4" t="str">
        <f>IFERROR(__xludf.DUMMYFUNCTION("""COMPUTED_VALUE"""),"PHO")</f>
        <v>PHO</v>
      </c>
      <c r="D5404" s="4" t="str">
        <f>IFERROR(__xludf.DUMMYFUNCTION("""COMPUTED_VALUE"""),"Tom Holland")</f>
        <v>Tom Holland</v>
      </c>
      <c r="E5404" s="4" t="str">
        <f>IFERROR(__xludf.DUMMYFUNCTION("""COMPUTED_VALUE"""),"Oklahoma")</f>
        <v>Oklahoma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</row>
    <row r="5405">
      <c r="A5405" s="4">
        <f>IFERROR(__xludf.DUMMYFUNCTION("""COMPUTED_VALUE"""),131.0)</f>
        <v>131</v>
      </c>
      <c r="B5405" s="4">
        <f>IFERROR(__xludf.DUMMYFUNCTION("""COMPUTED_VALUE"""),131.0)</f>
        <v>131</v>
      </c>
      <c r="C5405" s="4" t="str">
        <f>IFERROR(__xludf.DUMMYFUNCTION("""COMPUTED_VALUE"""),"HOU")</f>
        <v>HOU</v>
      </c>
      <c r="D5405" s="4" t="str">
        <f>IFERROR(__xludf.DUMMYFUNCTION("""COMPUTED_VALUE"""),"Steve Brooks")</f>
        <v>Steve Brooks</v>
      </c>
      <c r="E5405" s="4" t="str">
        <f>IFERROR(__xludf.DUMMYFUNCTION("""COMPUTED_VALUE"""),"Arkansas State University")</f>
        <v>Arkansas State University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</row>
    <row r="5406">
      <c r="A5406" s="4">
        <f>IFERROR(__xludf.DUMMYFUNCTION("""COMPUTED_VALUE"""),132.0)</f>
        <v>132</v>
      </c>
      <c r="B5406" s="4">
        <f>IFERROR(__xludf.DUMMYFUNCTION("""COMPUTED_VALUE"""),132.0)</f>
        <v>132</v>
      </c>
      <c r="C5406" s="4" t="str">
        <f>IFERROR(__xludf.DUMMYFUNCTION("""COMPUTED_VALUE"""),"KCO")</f>
        <v>KCO</v>
      </c>
      <c r="D5406" s="4" t="str">
        <f>IFERROR(__xludf.DUMMYFUNCTION("""COMPUTED_VALUE"""),"Richie O'Connor")</f>
        <v>Richie O'Connor</v>
      </c>
      <c r="E5406" s="4" t="str">
        <f>IFERROR(__xludf.DUMMYFUNCTION("""COMPUTED_VALUE"""),"Fairfield")</f>
        <v>Fairfield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</row>
    <row r="5407">
      <c r="A5407" s="4">
        <f>IFERROR(__xludf.DUMMYFUNCTION("""COMPUTED_VALUE"""),133.0)</f>
        <v>133</v>
      </c>
      <c r="B5407" s="4">
        <f>IFERROR(__xludf.DUMMYFUNCTION("""COMPUTED_VALUE"""),133.0)</f>
        <v>133</v>
      </c>
      <c r="C5407" s="4" t="str">
        <f>IFERROR(__xludf.DUMMYFUNCTION("""COMPUTED_VALUE"""),"ATL")</f>
        <v>ATL</v>
      </c>
      <c r="D5407" s="4" t="str">
        <f>IFERROR(__xludf.DUMMYFUNCTION("""COMPUTED_VALUE"""),"Bill Butler")</f>
        <v>Bill Butler</v>
      </c>
      <c r="E5407" s="4" t="str">
        <f>IFERROR(__xludf.DUMMYFUNCTION("""COMPUTED_VALUE"""),"Louisville")</f>
        <v>Louisville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</row>
    <row r="5408">
      <c r="A5408" s="4">
        <f>IFERROR(__xludf.DUMMYFUNCTION("""COMPUTED_VALUE"""),134.0)</f>
        <v>134</v>
      </c>
      <c r="B5408" s="4">
        <f>IFERROR(__xludf.DUMMYFUNCTION("""COMPUTED_VALUE"""),134.0)</f>
        <v>134</v>
      </c>
      <c r="C5408" s="4" t="str">
        <f>IFERROR(__xludf.DUMMYFUNCTION("""COMPUTED_VALUE"""),"SEA")</f>
        <v>SEA</v>
      </c>
      <c r="D5408" s="4" t="str">
        <f>IFERROR(__xludf.DUMMYFUNCTION("""COMPUTED_VALUE"""),"Leonard Coulter")</f>
        <v>Leonard Coulter</v>
      </c>
      <c r="E5408" s="4" t="str">
        <f>IFERROR(__xludf.DUMMYFUNCTION("""COMPUTED_VALUE"""),"Morehead State University")</f>
        <v>Morehead State University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</row>
    <row r="5409">
      <c r="A5409" s="4">
        <f>IFERROR(__xludf.DUMMYFUNCTION("""COMPUTED_VALUE"""),135.0)</f>
        <v>135</v>
      </c>
      <c r="B5409" s="4">
        <f>IFERROR(__xludf.DUMMYFUNCTION("""COMPUTED_VALUE"""),135.0)</f>
        <v>135</v>
      </c>
      <c r="C5409" s="4" t="str">
        <f>IFERROR(__xludf.DUMMYFUNCTION("""COMPUTED_VALUE"""),"BUF")</f>
        <v>BUF</v>
      </c>
      <c r="D5409" s="4" t="str">
        <f>IFERROR(__xludf.DUMMYFUNCTION("""COMPUTED_VALUE"""),"Glenn Price")</f>
        <v>Glenn Price</v>
      </c>
      <c r="E5409" s="4" t="str">
        <f>IFERROR(__xludf.DUMMYFUNCTION("""COMPUTED_VALUE"""),"St. Bonaventure")</f>
        <v>St. Bonaventure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</row>
    <row r="5410">
      <c r="A5410" s="4">
        <f>IFERROR(__xludf.DUMMYFUNCTION("""COMPUTED_VALUE"""),136.0)</f>
        <v>136</v>
      </c>
      <c r="B5410" s="4">
        <f>IFERROR(__xludf.DUMMYFUNCTION("""COMPUTED_VALUE"""),136.0)</f>
        <v>136</v>
      </c>
      <c r="C5410" s="4" t="str">
        <f>IFERROR(__xludf.DUMMYFUNCTION("""COMPUTED_VALUE"""),"NOJ")</f>
        <v>NOJ</v>
      </c>
      <c r="D5410" s="4" t="str">
        <f>IFERROR(__xludf.DUMMYFUNCTION("""COMPUTED_VALUE"""),"Jay Piccola")</f>
        <v>Jay Piccola</v>
      </c>
      <c r="E5410" s="4" t="str">
        <f>IFERROR(__xludf.DUMMYFUNCTION("""COMPUTED_VALUE"""),"Roanoke College")</f>
        <v>Roanoke College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</row>
    <row r="5411">
      <c r="A5411" s="4">
        <f>IFERROR(__xludf.DUMMYFUNCTION("""COMPUTED_VALUE"""),137.0)</f>
        <v>137</v>
      </c>
      <c r="B5411" s="4">
        <f>IFERROR(__xludf.DUMMYFUNCTION("""COMPUTED_VALUE"""),137.0)</f>
        <v>137</v>
      </c>
      <c r="C5411" s="4" t="str">
        <f>IFERROR(__xludf.DUMMYFUNCTION("""COMPUTED_VALUE"""),"GSW")</f>
        <v>GSW</v>
      </c>
      <c r="D5411" s="4" t="str">
        <f>IFERROR(__xludf.DUMMYFUNCTION("""COMPUTED_VALUE"""),"Clarence Allen")</f>
        <v>Clarence Allen</v>
      </c>
      <c r="E5411" s="4" t="str">
        <f>IFERROR(__xludf.DUMMYFUNCTION("""COMPUTED_VALUE"""),"UC Santa Barbara")</f>
        <v>UC Santa Barbara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</row>
    <row r="5412">
      <c r="A5412" s="4">
        <f>IFERROR(__xludf.DUMMYFUNCTION("""COMPUTED_VALUE"""),138.0)</f>
        <v>138</v>
      </c>
      <c r="B5412" s="4">
        <f>IFERROR(__xludf.DUMMYFUNCTION("""COMPUTED_VALUE"""),138.0)</f>
        <v>138</v>
      </c>
      <c r="C5412" s="4" t="str">
        <f>IFERROR(__xludf.DUMMYFUNCTION("""COMPUTED_VALUE"""),"WSB")</f>
        <v>WSB</v>
      </c>
      <c r="D5412" s="4" t="str">
        <f>IFERROR(__xludf.DUMMYFUNCTION("""COMPUTED_VALUE"""),"Steve Platt")</f>
        <v>Steve Platt</v>
      </c>
      <c r="E5412" s="4" t="str">
        <f>IFERROR(__xludf.DUMMYFUNCTION("""COMPUTED_VALUE"""),"Huntington University")</f>
        <v>Huntington University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</row>
    <row r="5413">
      <c r="A5413" s="4">
        <f>IFERROR(__xludf.DUMMYFUNCTION("""COMPUTED_VALUE"""),139.0)</f>
        <v>139</v>
      </c>
      <c r="B5413" s="4">
        <f>IFERROR(__xludf.DUMMYFUNCTION("""COMPUTED_VALUE"""),139.0)</f>
        <v>139</v>
      </c>
      <c r="C5413" s="4" t="str">
        <f>IFERROR(__xludf.DUMMYFUNCTION("""COMPUTED_VALUE"""),"LAL")</f>
        <v>LAL</v>
      </c>
      <c r="D5413" s="4" t="str">
        <f>IFERROR(__xludf.DUMMYFUNCTION("""COMPUTED_VALUE"""),"Bob Florence")</f>
        <v>Bob Florence</v>
      </c>
      <c r="E5413" s="4" t="str">
        <f>IFERROR(__xludf.DUMMYFUNCTION("""COMPUTED_VALUE"""),"UNLV")</f>
        <v>UNLV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</row>
    <row r="5414">
      <c r="A5414" s="4">
        <f>IFERROR(__xludf.DUMMYFUNCTION("""COMPUTED_VALUE"""),140.0)</f>
        <v>140</v>
      </c>
      <c r="B5414" s="4">
        <f>IFERROR(__xludf.DUMMYFUNCTION("""COMPUTED_VALUE"""),140.0)</f>
        <v>140</v>
      </c>
      <c r="C5414" s="4" t="str">
        <f>IFERROR(__xludf.DUMMYFUNCTION("""COMPUTED_VALUE"""),"NYK")</f>
        <v>NYK</v>
      </c>
      <c r="D5414" s="4" t="str">
        <f>IFERROR(__xludf.DUMMYFUNCTION("""COMPUTED_VALUE"""),"Dennis McDermott")</f>
        <v>Dennis McDermott</v>
      </c>
      <c r="E5414" s="4" t="str">
        <f>IFERROR(__xludf.DUMMYFUNCTION("""COMPUTED_VALUE"""),"St. Francis College")</f>
        <v>St. Francis College</v>
      </c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</row>
    <row r="5415">
      <c r="A5415" s="4">
        <f>IFERROR(__xludf.DUMMYFUNCTION("""COMPUTED_VALUE"""),141.0)</f>
        <v>141</v>
      </c>
      <c r="B5415" s="4">
        <f>IFERROR(__xludf.DUMMYFUNCTION("""COMPUTED_VALUE"""),141.0)</f>
        <v>141</v>
      </c>
      <c r="C5415" s="4" t="str">
        <f>IFERROR(__xludf.DUMMYFUNCTION("""COMPUTED_VALUE"""),"DET")</f>
        <v>DET</v>
      </c>
      <c r="D5415" s="4" t="str">
        <f>IFERROR(__xludf.DUMMYFUNCTION("""COMPUTED_VALUE"""),"Greg Newman")</f>
        <v>Greg Newman</v>
      </c>
      <c r="E5415" s="4" t="str">
        <f>IFERROR(__xludf.DUMMYFUNCTION("""COMPUTED_VALUE"""),"Drexel")</f>
        <v>Drexel</v>
      </c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</row>
    <row r="5416">
      <c r="A5416" s="4">
        <f>IFERROR(__xludf.DUMMYFUNCTION("""COMPUTED_VALUE"""),142.0)</f>
        <v>142</v>
      </c>
      <c r="B5416" s="4">
        <f>IFERROR(__xludf.DUMMYFUNCTION("""COMPUTED_VALUE"""),142.0)</f>
        <v>142</v>
      </c>
      <c r="C5416" s="4" t="str">
        <f>IFERROR(__xludf.DUMMYFUNCTION("""COMPUTED_VALUE"""),"CHI")</f>
        <v>CHI</v>
      </c>
      <c r="D5416" s="4" t="str">
        <f>IFERROR(__xludf.DUMMYFUNCTION("""COMPUTED_VALUE"""),"Sam McCants")</f>
        <v>Sam McCants</v>
      </c>
      <c r="E5416" s="4" t="str">
        <f>IFERROR(__xludf.DUMMYFUNCTION("""COMPUTED_VALUE"""),"Oral Roberts")</f>
        <v>Oral Roberts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</row>
    <row r="5417">
      <c r="A5417" s="4">
        <f>IFERROR(__xludf.DUMMYFUNCTION("""COMPUTED_VALUE"""),143.0)</f>
        <v>143</v>
      </c>
      <c r="B5417" s="4">
        <f>IFERROR(__xludf.DUMMYFUNCTION("""COMPUTED_VALUE"""),143.0)</f>
        <v>143</v>
      </c>
      <c r="C5417" s="4" t="str">
        <f>IFERROR(__xludf.DUMMYFUNCTION("""COMPUTED_VALUE"""),"BOS")</f>
        <v>BOS</v>
      </c>
      <c r="D5417" s="4" t="str">
        <f>IFERROR(__xludf.DUMMYFUNCTION("""COMPUTED_VALUE"""),"Richard Wallace")</f>
        <v>Richard Wallace</v>
      </c>
      <c r="E5417" s="4" t="str">
        <f>IFERROR(__xludf.DUMMYFUNCTION("""COMPUTED_VALUE"""),"Georgia Southern University")</f>
        <v>Georgia Southern University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</row>
    <row r="5418">
      <c r="A5418" s="4">
        <f>IFERROR(__xludf.DUMMYFUNCTION("""COMPUTED_VALUE"""),144.0)</f>
        <v>144</v>
      </c>
      <c r="B5418" s="4">
        <f>IFERROR(__xludf.DUMMYFUNCTION("""COMPUTED_VALUE"""),144.0)</f>
        <v>144</v>
      </c>
      <c r="C5418" s="4" t="str">
        <f>IFERROR(__xludf.DUMMYFUNCTION("""COMPUTED_VALUE"""),"MIL")</f>
        <v>MIL</v>
      </c>
      <c r="D5418" s="4" t="str">
        <f>IFERROR(__xludf.DUMMYFUNCTION("""COMPUTED_VALUE"""),"Ralph Palomar")</f>
        <v>Ralph Palomar</v>
      </c>
      <c r="E5418" s="4" t="str">
        <f>IFERROR(__xludf.DUMMYFUNCTION("""COMPUTED_VALUE"""),"Cameron University")</f>
        <v>Cameron University</v>
      </c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</row>
    <row r="5419">
      <c r="A5419" s="4"/>
      <c r="B5419" s="4"/>
      <c r="C5419" s="4"/>
      <c r="D5419" s="4" t="str">
        <f>IFERROR(__xludf.DUMMYFUNCTION("""COMPUTED_VALUE"""),"Round 9")</f>
        <v>Round 9</v>
      </c>
      <c r="E5419" s="4"/>
      <c r="F5419" s="4"/>
      <c r="G5419" s="4" t="str">
        <f>IFERROR(__xludf.DUMMYFUNCTION("""COMPUTED_VALUE"""),"Totals")</f>
        <v>Totals</v>
      </c>
      <c r="H5419" s="4"/>
      <c r="I5419" s="4"/>
      <c r="J5419" s="4"/>
      <c r="K5419" s="4"/>
      <c r="L5419" s="4" t="str">
        <f>IFERROR(__xludf.DUMMYFUNCTION("""COMPUTED_VALUE"""),"Shooting")</f>
        <v>Shooting</v>
      </c>
      <c r="M5419" s="4"/>
      <c r="N5419" s="4"/>
      <c r="O5419" s="4" t="str">
        <f>IFERROR(__xludf.DUMMYFUNCTION("""COMPUTED_VALUE"""),"Per Game")</f>
        <v>Per Game</v>
      </c>
      <c r="P5419" s="4"/>
      <c r="Q5419" s="4"/>
      <c r="R5419" s="4"/>
      <c r="S5419" s="4" t="str">
        <f>IFERROR(__xludf.DUMMYFUNCTION("""COMPUTED_VALUE"""),"Advanced")</f>
        <v>Advanced</v>
      </c>
      <c r="T5419" s="4"/>
      <c r="U5419" s="4"/>
      <c r="V5419" s="4"/>
    </row>
    <row r="5420">
      <c r="A5420" s="4" t="str">
        <f>IFERROR(__xludf.DUMMYFUNCTION("""COMPUTED_VALUE"""),"Rk")</f>
        <v>Rk</v>
      </c>
      <c r="B5420" s="4" t="str">
        <f>IFERROR(__xludf.DUMMYFUNCTION("""COMPUTED_VALUE"""),"Pk")</f>
        <v>Pk</v>
      </c>
      <c r="C5420" s="4" t="str">
        <f>IFERROR(__xludf.DUMMYFUNCTION("""COMPUTED_VALUE"""),"Tm")</f>
        <v>Tm</v>
      </c>
      <c r="D5420" s="4" t="str">
        <f>IFERROR(__xludf.DUMMYFUNCTION("""COMPUTED_VALUE"""),"Player")</f>
        <v>Player</v>
      </c>
      <c r="E5420" s="4" t="str">
        <f>IFERROR(__xludf.DUMMYFUNCTION("""COMPUTED_VALUE"""),"College")</f>
        <v>College</v>
      </c>
      <c r="F5420" s="4" t="str">
        <f>IFERROR(__xludf.DUMMYFUNCTION("""COMPUTED_VALUE"""),"Yrs")</f>
        <v>Yrs</v>
      </c>
      <c r="G5420" s="4" t="str">
        <f>IFERROR(__xludf.DUMMYFUNCTION("""COMPUTED_VALUE"""),"G")</f>
        <v>G</v>
      </c>
      <c r="H5420" s="4" t="str">
        <f>IFERROR(__xludf.DUMMYFUNCTION("""COMPUTED_VALUE"""),"MP")</f>
        <v>MP</v>
      </c>
      <c r="I5420" s="4" t="str">
        <f>IFERROR(__xludf.DUMMYFUNCTION("""COMPUTED_VALUE"""),"PTS")</f>
        <v>PTS</v>
      </c>
      <c r="J5420" s="4" t="str">
        <f>IFERROR(__xludf.DUMMYFUNCTION("""COMPUTED_VALUE"""),"TRB")</f>
        <v>TRB</v>
      </c>
      <c r="K5420" s="4" t="str">
        <f>IFERROR(__xludf.DUMMYFUNCTION("""COMPUTED_VALUE"""),"AST")</f>
        <v>AST</v>
      </c>
      <c r="L5420" s="4" t="str">
        <f>IFERROR(__xludf.DUMMYFUNCTION("""COMPUTED_VALUE"""),"FG%")</f>
        <v>FG%</v>
      </c>
      <c r="M5420" s="4" t="str">
        <f>IFERROR(__xludf.DUMMYFUNCTION("""COMPUTED_VALUE"""),"3P%")</f>
        <v>3P%</v>
      </c>
      <c r="N5420" s="4" t="str">
        <f>IFERROR(__xludf.DUMMYFUNCTION("""COMPUTED_VALUE"""),"FT%")</f>
        <v>FT%</v>
      </c>
      <c r="O5420" s="4" t="str">
        <f>IFERROR(__xludf.DUMMYFUNCTION("""COMPUTED_VALUE"""),"MP")</f>
        <v>MP</v>
      </c>
      <c r="P5420" s="4" t="str">
        <f>IFERROR(__xludf.DUMMYFUNCTION("""COMPUTED_VALUE"""),"PTS")</f>
        <v>PTS</v>
      </c>
      <c r="Q5420" s="4" t="str">
        <f>IFERROR(__xludf.DUMMYFUNCTION("""COMPUTED_VALUE"""),"TRB")</f>
        <v>TRB</v>
      </c>
      <c r="R5420" s="4" t="str">
        <f>IFERROR(__xludf.DUMMYFUNCTION("""COMPUTED_VALUE"""),"AST")</f>
        <v>AST</v>
      </c>
      <c r="S5420" s="4" t="str">
        <f>IFERROR(__xludf.DUMMYFUNCTION("""COMPUTED_VALUE"""),"WS")</f>
        <v>WS</v>
      </c>
      <c r="T5420" s="4" t="str">
        <f>IFERROR(__xludf.DUMMYFUNCTION("""COMPUTED_VALUE"""),"WS/48")</f>
        <v>WS/48</v>
      </c>
      <c r="U5420" s="4" t="str">
        <f>IFERROR(__xludf.DUMMYFUNCTION("""COMPUTED_VALUE"""),"BPM")</f>
        <v>BPM</v>
      </c>
      <c r="V5420" s="4" t="str">
        <f>IFERROR(__xludf.DUMMYFUNCTION("""COMPUTED_VALUE"""),"VORP")</f>
        <v>VORP</v>
      </c>
    </row>
    <row r="5421">
      <c r="A5421" s="4">
        <f>IFERROR(__xludf.DUMMYFUNCTION("""COMPUTED_VALUE"""),145.0)</f>
        <v>145</v>
      </c>
      <c r="B5421" s="4">
        <f>IFERROR(__xludf.DUMMYFUNCTION("""COMPUTED_VALUE"""),145.0)</f>
        <v>145</v>
      </c>
      <c r="C5421" s="4" t="str">
        <f>IFERROR(__xludf.DUMMYFUNCTION("""COMPUTED_VALUE"""),"PHI")</f>
        <v>PHI</v>
      </c>
      <c r="D5421" s="4" t="str">
        <f>IFERROR(__xludf.DUMMYFUNCTION("""COMPUTED_VALUE"""),"Perry Warbington")</f>
        <v>Perry Warbington</v>
      </c>
      <c r="E5421" s="4" t="str">
        <f>IFERROR(__xludf.DUMMYFUNCTION("""COMPUTED_VALUE"""),"Georgia Southern University")</f>
        <v>Georgia Southern University</v>
      </c>
      <c r="F5421" s="4">
        <f>IFERROR(__xludf.DUMMYFUNCTION("""COMPUTED_VALUE"""),1.0)</f>
        <v>1</v>
      </c>
      <c r="G5421" s="4">
        <f>IFERROR(__xludf.DUMMYFUNCTION("""COMPUTED_VALUE"""),5.0)</f>
        <v>5</v>
      </c>
      <c r="H5421" s="4">
        <f>IFERROR(__xludf.DUMMYFUNCTION("""COMPUTED_VALUE"""),70.0)</f>
        <v>70</v>
      </c>
      <c r="I5421" s="4">
        <f>IFERROR(__xludf.DUMMYFUNCTION("""COMPUTED_VALUE"""),10.0)</f>
        <v>10</v>
      </c>
      <c r="J5421" s="4">
        <f>IFERROR(__xludf.DUMMYFUNCTION("""COMPUTED_VALUE"""),8.0)</f>
        <v>8</v>
      </c>
      <c r="K5421" s="4">
        <f>IFERROR(__xludf.DUMMYFUNCTION("""COMPUTED_VALUE"""),16.0)</f>
        <v>16</v>
      </c>
      <c r="L5421" s="4">
        <f>IFERROR(__xludf.DUMMYFUNCTION("""COMPUTED_VALUE"""),0.19)</f>
        <v>0.19</v>
      </c>
      <c r="M5421" s="4"/>
      <c r="N5421" s="4">
        <f>IFERROR(__xludf.DUMMYFUNCTION("""COMPUTED_VALUE"""),1.0)</f>
        <v>1</v>
      </c>
      <c r="O5421" s="4">
        <f>IFERROR(__xludf.DUMMYFUNCTION("""COMPUTED_VALUE"""),14.0)</f>
        <v>14</v>
      </c>
      <c r="P5421" s="4">
        <f>IFERROR(__xludf.DUMMYFUNCTION("""COMPUTED_VALUE"""),2.0)</f>
        <v>2</v>
      </c>
      <c r="Q5421" s="4">
        <f>IFERROR(__xludf.DUMMYFUNCTION("""COMPUTED_VALUE"""),1.6)</f>
        <v>1.6</v>
      </c>
      <c r="R5421" s="4">
        <f>IFERROR(__xludf.DUMMYFUNCTION("""COMPUTED_VALUE"""),3.2)</f>
        <v>3.2</v>
      </c>
      <c r="S5421" s="4">
        <f>IFERROR(__xludf.DUMMYFUNCTION("""COMPUTED_VALUE"""),-0.3)</f>
        <v>-0.3</v>
      </c>
      <c r="T5421" s="4">
        <f>IFERROR(__xludf.DUMMYFUNCTION("""COMPUTED_VALUE"""),-0.178)</f>
        <v>-0.178</v>
      </c>
      <c r="U5421" s="4">
        <f>IFERROR(__xludf.DUMMYFUNCTION("""COMPUTED_VALUE"""),-6.6)</f>
        <v>-6.6</v>
      </c>
      <c r="V5421" s="4">
        <f>IFERROR(__xludf.DUMMYFUNCTION("""COMPUTED_VALUE"""),-0.2)</f>
        <v>-0.2</v>
      </c>
    </row>
    <row r="5422">
      <c r="A5422" s="4">
        <f>IFERROR(__xludf.DUMMYFUNCTION("""COMPUTED_VALUE"""),146.0)</f>
        <v>146</v>
      </c>
      <c r="B5422" s="4">
        <f>IFERROR(__xludf.DUMMYFUNCTION("""COMPUTED_VALUE"""),146.0)</f>
        <v>146</v>
      </c>
      <c r="C5422" s="4" t="str">
        <f>IFERROR(__xludf.DUMMYFUNCTION("""COMPUTED_VALUE"""),"POR")</f>
        <v>POR</v>
      </c>
      <c r="D5422" s="4" t="str">
        <f>IFERROR(__xludf.DUMMYFUNCTION("""COMPUTED_VALUE"""),"Lee Haven")</f>
        <v>Lee Haven</v>
      </c>
      <c r="E5422" s="4" t="str">
        <f>IFERROR(__xludf.DUMMYFUNCTION("""COMPUTED_VALUE"""),"Colorado")</f>
        <v>Colorado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</row>
    <row r="5423">
      <c r="A5423" s="4">
        <f>IFERROR(__xludf.DUMMYFUNCTION("""COMPUTED_VALUE"""),147.0)</f>
        <v>147</v>
      </c>
      <c r="B5423" s="4">
        <f>IFERROR(__xludf.DUMMYFUNCTION("""COMPUTED_VALUE"""),147.0)</f>
        <v>147</v>
      </c>
      <c r="C5423" s="4" t="str">
        <f>IFERROR(__xludf.DUMMYFUNCTION("""COMPUTED_VALUE"""),"CLE")</f>
        <v>CLE</v>
      </c>
      <c r="D5423" s="4" t="str">
        <f>IFERROR(__xludf.DUMMYFUNCTION("""COMPUTED_VALUE"""),"Jim Bushkofsky")</f>
        <v>Jim Bushkofsky</v>
      </c>
      <c r="E5423" s="4" t="str">
        <f>IFERROR(__xludf.DUMMYFUNCTION("""COMPUTED_VALUE"""),"Upper Iowa University")</f>
        <v>Upper Iowa University</v>
      </c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</row>
    <row r="5424">
      <c r="A5424" s="4">
        <f>IFERROR(__xludf.DUMMYFUNCTION("""COMPUTED_VALUE"""),148.0)</f>
        <v>148</v>
      </c>
      <c r="B5424" s="4">
        <f>IFERROR(__xludf.DUMMYFUNCTION("""COMPUTED_VALUE"""),148.0)</f>
        <v>148</v>
      </c>
      <c r="C5424" s="4" t="str">
        <f>IFERROR(__xludf.DUMMYFUNCTION("""COMPUTED_VALUE"""),"PHO")</f>
        <v>PHO</v>
      </c>
      <c r="D5424" s="4" t="str">
        <f>IFERROR(__xludf.DUMMYFUNCTION("""COMPUTED_VALUE"""),"Ted Evans")</f>
        <v>Ted Evans</v>
      </c>
      <c r="E5424" s="4" t="str">
        <f>IFERROR(__xludf.DUMMYFUNCTION("""COMPUTED_VALUE"""),"Oklahoma")</f>
        <v>Oklahoma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</row>
    <row r="5425">
      <c r="A5425" s="4">
        <f>IFERROR(__xludf.DUMMYFUNCTION("""COMPUTED_VALUE"""),149.0)</f>
        <v>149</v>
      </c>
      <c r="B5425" s="4">
        <f>IFERROR(__xludf.DUMMYFUNCTION("""COMPUTED_VALUE"""),149.0)</f>
        <v>149</v>
      </c>
      <c r="C5425" s="4" t="str">
        <f>IFERROR(__xludf.DUMMYFUNCTION("""COMPUTED_VALUE"""),"HOU")</f>
        <v>HOU</v>
      </c>
      <c r="D5425" s="4" t="str">
        <f>IFERROR(__xludf.DUMMYFUNCTION("""COMPUTED_VALUE"""),"Ken Stalling")</f>
        <v>Ken Stalling</v>
      </c>
      <c r="E5425" s="4" t="str">
        <f>IFERROR(__xludf.DUMMYFUNCTION("""COMPUTED_VALUE"""),"University of Missouri-Rolla")</f>
        <v>University of Missouri-Rolla</v>
      </c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</row>
    <row r="5426">
      <c r="A5426" s="4">
        <f>IFERROR(__xludf.DUMMYFUNCTION("""COMPUTED_VALUE"""),150.0)</f>
        <v>150</v>
      </c>
      <c r="B5426" s="4">
        <f>IFERROR(__xludf.DUMMYFUNCTION("""COMPUTED_VALUE"""),150.0)</f>
        <v>150</v>
      </c>
      <c r="C5426" s="4" t="str">
        <f>IFERROR(__xludf.DUMMYFUNCTION("""COMPUTED_VALUE"""),"KCO")</f>
        <v>KCO</v>
      </c>
      <c r="D5426" s="4" t="str">
        <f>IFERROR(__xludf.DUMMYFUNCTION("""COMPUTED_VALUE"""),"Jeff Dawson")</f>
        <v>Jeff Dawson</v>
      </c>
      <c r="E5426" s="4" t="str">
        <f>IFERROR(__xludf.DUMMYFUNCTION("""COMPUTED_VALUE"""),"Illinois")</f>
        <v>Illinois</v>
      </c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</row>
    <row r="5427">
      <c r="A5427" s="4">
        <f>IFERROR(__xludf.DUMMYFUNCTION("""COMPUTED_VALUE"""),151.0)</f>
        <v>151</v>
      </c>
      <c r="B5427" s="4">
        <f>IFERROR(__xludf.DUMMYFUNCTION("""COMPUTED_VALUE"""),151.0)</f>
        <v>151</v>
      </c>
      <c r="C5427" s="4" t="str">
        <f>IFERROR(__xludf.DUMMYFUNCTION("""COMPUTED_VALUE"""),"ATL")</f>
        <v>ATL</v>
      </c>
      <c r="D5427" s="4" t="str">
        <f>IFERROR(__xludf.DUMMYFUNCTION("""COMPUTED_VALUE"""),"Lon Kruger")</f>
        <v>Lon Kruger</v>
      </c>
      <c r="E5427" s="4" t="str">
        <f>IFERROR(__xludf.DUMMYFUNCTION("""COMPUTED_VALUE"""),"Kansas State")</f>
        <v>Kansas State</v>
      </c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</row>
    <row r="5428">
      <c r="A5428" s="4">
        <f>IFERROR(__xludf.DUMMYFUNCTION("""COMPUTED_VALUE"""),152.0)</f>
        <v>152</v>
      </c>
      <c r="B5428" s="4">
        <f>IFERROR(__xludf.DUMMYFUNCTION("""COMPUTED_VALUE"""),152.0)</f>
        <v>152</v>
      </c>
      <c r="C5428" s="4" t="str">
        <f>IFERROR(__xludf.DUMMYFUNCTION("""COMPUTED_VALUE"""),"SEA")</f>
        <v>SEA</v>
      </c>
      <c r="D5428" s="4" t="str">
        <f>IFERROR(__xludf.DUMMYFUNCTION("""COMPUTED_VALUE"""),"Bertram du Pont")</f>
        <v>Bertram du Pont</v>
      </c>
      <c r="E5428" s="4" t="str">
        <f>IFERROR(__xludf.DUMMYFUNCTION("""COMPUTED_VALUE"""),"Dillard University")</f>
        <v>Dillard University</v>
      </c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</row>
    <row r="5429">
      <c r="A5429" s="4">
        <f>IFERROR(__xludf.DUMMYFUNCTION("""COMPUTED_VALUE"""),153.0)</f>
        <v>153</v>
      </c>
      <c r="B5429" s="4">
        <f>IFERROR(__xludf.DUMMYFUNCTION("""COMPUTED_VALUE"""),153.0)</f>
        <v>153</v>
      </c>
      <c r="C5429" s="4" t="str">
        <f>IFERROR(__xludf.DUMMYFUNCTION("""COMPUTED_VALUE"""),"BUF")</f>
        <v>BUF</v>
      </c>
      <c r="D5429" s="4" t="str">
        <f>IFERROR(__xludf.DUMMYFUNCTION("""COMPUTED_VALUE"""),"John Falconi")</f>
        <v>John Falconi</v>
      </c>
      <c r="E5429" s="4" t="str">
        <f>IFERROR(__xludf.DUMMYFUNCTION("""COMPUTED_VALUE"""),"Davidson")</f>
        <v>Davidson</v>
      </c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</row>
    <row r="5430">
      <c r="A5430" s="4">
        <f>IFERROR(__xludf.DUMMYFUNCTION("""COMPUTED_VALUE"""),154.0)</f>
        <v>154</v>
      </c>
      <c r="B5430" s="4">
        <f>IFERROR(__xludf.DUMMYFUNCTION("""COMPUTED_VALUE"""),154.0)</f>
        <v>154</v>
      </c>
      <c r="C5430" s="4" t="str">
        <f>IFERROR(__xludf.DUMMYFUNCTION("""COMPUTED_VALUE"""),"NOJ")</f>
        <v>NOJ</v>
      </c>
      <c r="D5430" s="4" t="str">
        <f>IFERROR(__xludf.DUMMYFUNCTION("""COMPUTED_VALUE"""),"Ken Boyd")</f>
        <v>Ken Boyd</v>
      </c>
      <c r="E5430" s="4" t="str">
        <f>IFERROR(__xludf.DUMMYFUNCTION("""COMPUTED_VALUE"""),"Boston University")</f>
        <v>Boston University</v>
      </c>
      <c r="F5430" s="4">
        <f>IFERROR(__xludf.DUMMYFUNCTION("""COMPUTED_VALUE"""),1.0)</f>
        <v>1</v>
      </c>
      <c r="G5430" s="4">
        <f>IFERROR(__xludf.DUMMYFUNCTION("""COMPUTED_VALUE"""),6.0)</f>
        <v>6</v>
      </c>
      <c r="H5430" s="4">
        <f>IFERROR(__xludf.DUMMYFUNCTION("""COMPUTED_VALUE"""),25.0)</f>
        <v>25</v>
      </c>
      <c r="I5430" s="4">
        <f>IFERROR(__xludf.DUMMYFUNCTION("""COMPUTED_VALUE"""),19.0)</f>
        <v>19</v>
      </c>
      <c r="J5430" s="4">
        <f>IFERROR(__xludf.DUMMYFUNCTION("""COMPUTED_VALUE"""),5.0)</f>
        <v>5</v>
      </c>
      <c r="K5430" s="4">
        <f>IFERROR(__xludf.DUMMYFUNCTION("""COMPUTED_VALUE"""),2.0)</f>
        <v>2</v>
      </c>
      <c r="L5430" s="4">
        <f>IFERROR(__xludf.DUMMYFUNCTION("""COMPUTED_VALUE"""),0.538)</f>
        <v>0.538</v>
      </c>
      <c r="M5430" s="4"/>
      <c r="N5430" s="4">
        <f>IFERROR(__xludf.DUMMYFUNCTION("""COMPUTED_VALUE"""),0.455)</f>
        <v>0.455</v>
      </c>
      <c r="O5430" s="4">
        <f>IFERROR(__xludf.DUMMYFUNCTION("""COMPUTED_VALUE"""),4.2)</f>
        <v>4.2</v>
      </c>
      <c r="P5430" s="4">
        <f>IFERROR(__xludf.DUMMYFUNCTION("""COMPUTED_VALUE"""),3.2)</f>
        <v>3.2</v>
      </c>
      <c r="Q5430" s="4">
        <f>IFERROR(__xludf.DUMMYFUNCTION("""COMPUTED_VALUE"""),0.8)</f>
        <v>0.8</v>
      </c>
      <c r="R5430" s="4">
        <f>IFERROR(__xludf.DUMMYFUNCTION("""COMPUTED_VALUE"""),0.3)</f>
        <v>0.3</v>
      </c>
      <c r="S5430" s="4">
        <f>IFERROR(__xludf.DUMMYFUNCTION("""COMPUTED_VALUE"""),0.1)</f>
        <v>0.1</v>
      </c>
      <c r="T5430" s="4">
        <f>IFERROR(__xludf.DUMMYFUNCTION("""COMPUTED_VALUE"""),0.109)</f>
        <v>0.109</v>
      </c>
      <c r="U5430" s="4">
        <f>IFERROR(__xludf.DUMMYFUNCTION("""COMPUTED_VALUE"""),-2.7)</f>
        <v>-2.7</v>
      </c>
      <c r="V5430" s="4">
        <f>IFERROR(__xludf.DUMMYFUNCTION("""COMPUTED_VALUE"""),0.1)</f>
        <v>0.1</v>
      </c>
    </row>
    <row r="5431">
      <c r="A5431" s="4">
        <f>IFERROR(__xludf.DUMMYFUNCTION("""COMPUTED_VALUE"""),155.0)</f>
        <v>155</v>
      </c>
      <c r="B5431" s="4">
        <f>IFERROR(__xludf.DUMMYFUNCTION("""COMPUTED_VALUE"""),155.0)</f>
        <v>155</v>
      </c>
      <c r="C5431" s="4" t="str">
        <f>IFERROR(__xludf.DUMMYFUNCTION("""COMPUTED_VALUE"""),"GSW")</f>
        <v>GSW</v>
      </c>
      <c r="D5431" s="4" t="str">
        <f>IFERROR(__xludf.DUMMYFUNCTION("""COMPUTED_VALUE"""),"Carl Meier")</f>
        <v>Carl Meier</v>
      </c>
      <c r="E5431" s="4" t="str">
        <f>IFERROR(__xludf.DUMMYFUNCTION("""COMPUTED_VALUE"""),"California")</f>
        <v>California</v>
      </c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</row>
    <row r="5432">
      <c r="A5432" s="4">
        <f>IFERROR(__xludf.DUMMYFUNCTION("""COMPUTED_VALUE"""),156.0)</f>
        <v>156</v>
      </c>
      <c r="B5432" s="4">
        <f>IFERROR(__xludf.DUMMYFUNCTION("""COMPUTED_VALUE"""),156.0)</f>
        <v>156</v>
      </c>
      <c r="C5432" s="4" t="str">
        <f>IFERROR(__xludf.DUMMYFUNCTION("""COMPUTED_VALUE"""),"WSB")</f>
        <v>WSB</v>
      </c>
      <c r="D5432" s="4" t="str">
        <f>IFERROR(__xludf.DUMMYFUNCTION("""COMPUTED_VALUE"""),"Mark Raterink")</f>
        <v>Mark Raterink</v>
      </c>
      <c r="E5432" s="4" t="str">
        <f>IFERROR(__xludf.DUMMYFUNCTION("""COMPUTED_VALUE"""),"Boston College")</f>
        <v>Boston College</v>
      </c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</row>
    <row r="5433">
      <c r="A5433" s="4">
        <f>IFERROR(__xludf.DUMMYFUNCTION("""COMPUTED_VALUE"""),157.0)</f>
        <v>157</v>
      </c>
      <c r="B5433" s="4">
        <f>IFERROR(__xludf.DUMMYFUNCTION("""COMPUTED_VALUE"""),157.0)</f>
        <v>157</v>
      </c>
      <c r="C5433" s="4" t="str">
        <f>IFERROR(__xludf.DUMMYFUNCTION("""COMPUTED_VALUE"""),"NYK")</f>
        <v>NYK</v>
      </c>
      <c r="D5433" s="4" t="str">
        <f>IFERROR(__xludf.DUMMYFUNCTION("""COMPUTED_VALUE"""),"Earl Brown")</f>
        <v>Earl Brown</v>
      </c>
      <c r="E5433" s="4" t="str">
        <f>IFERROR(__xludf.DUMMYFUNCTION("""COMPUTED_VALUE"""),"Lafayette College")</f>
        <v>Lafayette College</v>
      </c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</row>
    <row r="5434">
      <c r="A5434" s="4">
        <f>IFERROR(__xludf.DUMMYFUNCTION("""COMPUTED_VALUE"""),158.0)</f>
        <v>158</v>
      </c>
      <c r="B5434" s="4">
        <f>IFERROR(__xludf.DUMMYFUNCTION("""COMPUTED_VALUE"""),158.0)</f>
        <v>158</v>
      </c>
      <c r="C5434" s="4" t="str">
        <f>IFERROR(__xludf.DUMMYFUNCTION("""COMPUTED_VALUE"""),"DET")</f>
        <v>DET</v>
      </c>
      <c r="D5434" s="4" t="str">
        <f>IFERROR(__xludf.DUMMYFUNCTION("""COMPUTED_VALUE"""),"Gary Deitelhoff")</f>
        <v>Gary Deitelhoff</v>
      </c>
      <c r="E5434" s="4" t="str">
        <f>IFERROR(__xludf.DUMMYFUNCTION("""COMPUTED_VALUE"""),"Millikin University")</f>
        <v>Millikin University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</row>
    <row r="5435">
      <c r="A5435" s="4">
        <f>IFERROR(__xludf.DUMMYFUNCTION("""COMPUTED_VALUE"""),159.0)</f>
        <v>159</v>
      </c>
      <c r="B5435" s="4">
        <f>IFERROR(__xludf.DUMMYFUNCTION("""COMPUTED_VALUE"""),159.0)</f>
        <v>159</v>
      </c>
      <c r="C5435" s="4" t="str">
        <f>IFERROR(__xludf.DUMMYFUNCTION("""COMPUTED_VALUE"""),"CHI")</f>
        <v>CHI</v>
      </c>
      <c r="D5435" s="4" t="str">
        <f>IFERROR(__xludf.DUMMYFUNCTION("""COMPUTED_VALUE"""),"Jerry Davenport")</f>
        <v>Jerry Davenport</v>
      </c>
      <c r="E5435" s="4" t="str">
        <f>IFERROR(__xludf.DUMMYFUNCTION("""COMPUTED_VALUE"""),"Cameron University")</f>
        <v>Cameron University</v>
      </c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</row>
    <row r="5436">
      <c r="A5436" s="4">
        <f>IFERROR(__xludf.DUMMYFUNCTION("""COMPUTED_VALUE"""),160.0)</f>
        <v>160</v>
      </c>
      <c r="B5436" s="4">
        <f>IFERROR(__xludf.DUMMYFUNCTION("""COMPUTED_VALUE"""),160.0)</f>
        <v>160</v>
      </c>
      <c r="C5436" s="4" t="str">
        <f>IFERROR(__xludf.DUMMYFUNCTION("""COMPUTED_VALUE"""),"BOS")</f>
        <v>BOS</v>
      </c>
      <c r="D5436" s="4" t="str">
        <f>IFERROR(__xludf.DUMMYFUNCTION("""COMPUTED_VALUE"""),"Al Skinner")</f>
        <v>Al Skinner</v>
      </c>
      <c r="E5436" s="4" t="str">
        <f>IFERROR(__xludf.DUMMYFUNCTION("""COMPUTED_VALUE"""),"UMass")</f>
        <v>UMass</v>
      </c>
      <c r="F5436" s="4">
        <f>IFERROR(__xludf.DUMMYFUNCTION("""COMPUTED_VALUE"""),4.0)</f>
        <v>4</v>
      </c>
      <c r="G5436" s="4">
        <f>IFERROR(__xludf.DUMMYFUNCTION("""COMPUTED_VALUE"""),203.0)</f>
        <v>203</v>
      </c>
      <c r="H5436" s="4">
        <f>IFERROR(__xludf.DUMMYFUNCTION("""COMPUTED_VALUE"""),4460.0)</f>
        <v>4460</v>
      </c>
      <c r="I5436" s="4">
        <f>IFERROR(__xludf.DUMMYFUNCTION("""COMPUTED_VALUE"""),1884.0)</f>
        <v>1884</v>
      </c>
      <c r="J5436" s="4">
        <f>IFERROR(__xludf.DUMMYFUNCTION("""COMPUTED_VALUE"""),673.0)</f>
        <v>673</v>
      </c>
      <c r="K5436" s="4">
        <f>IFERROR(__xludf.DUMMYFUNCTION("""COMPUTED_VALUE"""),526.0)</f>
        <v>526</v>
      </c>
      <c r="L5436" s="4">
        <f>IFERROR(__xludf.DUMMYFUNCTION("""COMPUTED_VALUE"""),0.437)</f>
        <v>0.437</v>
      </c>
      <c r="M5436" s="4"/>
      <c r="N5436" s="4">
        <f>IFERROR(__xludf.DUMMYFUNCTION("""COMPUTED_VALUE"""),0.808)</f>
        <v>0.808</v>
      </c>
      <c r="O5436" s="4">
        <f>IFERROR(__xludf.DUMMYFUNCTION("""COMPUTED_VALUE"""),22.0)</f>
        <v>22</v>
      </c>
      <c r="P5436" s="4">
        <f>IFERROR(__xludf.DUMMYFUNCTION("""COMPUTED_VALUE"""),9.3)</f>
        <v>9.3</v>
      </c>
      <c r="Q5436" s="4">
        <f>IFERROR(__xludf.DUMMYFUNCTION("""COMPUTED_VALUE"""),3.3)</f>
        <v>3.3</v>
      </c>
      <c r="R5436" s="4">
        <f>IFERROR(__xludf.DUMMYFUNCTION("""COMPUTED_VALUE"""),2.6)</f>
        <v>2.6</v>
      </c>
      <c r="S5436" s="4">
        <f>IFERROR(__xludf.DUMMYFUNCTION("""COMPUTED_VALUE"""),6.2)</f>
        <v>6.2</v>
      </c>
      <c r="T5436" s="4">
        <f>IFERROR(__xludf.DUMMYFUNCTION("""COMPUTED_VALUE"""),0.067)</f>
        <v>0.067</v>
      </c>
      <c r="U5436" s="4">
        <f>IFERROR(__xludf.DUMMYFUNCTION("""COMPUTED_VALUE"""),-1.2)</f>
        <v>-1.2</v>
      </c>
      <c r="V5436" s="4">
        <f>IFERROR(__xludf.DUMMYFUNCTION("""COMPUTED_VALUE"""),0.9)</f>
        <v>0.9</v>
      </c>
    </row>
    <row r="5437">
      <c r="A5437" s="4">
        <f>IFERROR(__xludf.DUMMYFUNCTION("""COMPUTED_VALUE"""),161.0)</f>
        <v>161</v>
      </c>
      <c r="B5437" s="4">
        <f>IFERROR(__xludf.DUMMYFUNCTION("""COMPUTED_VALUE"""),161.0)</f>
        <v>161</v>
      </c>
      <c r="C5437" s="4" t="str">
        <f>IFERROR(__xludf.DUMMYFUNCTION("""COMPUTED_VALUE"""),"MIL")</f>
        <v>MIL</v>
      </c>
      <c r="D5437" s="4" t="str">
        <f>IFERROR(__xludf.DUMMYFUNCTION("""COMPUTED_VALUE"""),"Mike Deane")</f>
        <v>Mike Deane</v>
      </c>
      <c r="E5437" s="4" t="str">
        <f>IFERROR(__xludf.DUMMYFUNCTION("""COMPUTED_VALUE"""),"State University of New York at Potsdam")</f>
        <v>State University of New York at Potsdam</v>
      </c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</row>
    <row r="5438">
      <c r="A5438" s="4"/>
      <c r="B5438" s="4"/>
      <c r="C5438" s="4"/>
      <c r="D5438" s="4" t="str">
        <f>IFERROR(__xludf.DUMMYFUNCTION("""COMPUTED_VALUE"""),"Round 10")</f>
        <v>Round 10</v>
      </c>
      <c r="E5438" s="4"/>
      <c r="F5438" s="4"/>
      <c r="G5438" s="4" t="str">
        <f>IFERROR(__xludf.DUMMYFUNCTION("""COMPUTED_VALUE"""),"Totals")</f>
        <v>Totals</v>
      </c>
      <c r="H5438" s="4"/>
      <c r="I5438" s="4"/>
      <c r="J5438" s="4"/>
      <c r="K5438" s="4"/>
      <c r="L5438" s="4" t="str">
        <f>IFERROR(__xludf.DUMMYFUNCTION("""COMPUTED_VALUE"""),"Shooting")</f>
        <v>Shooting</v>
      </c>
      <c r="M5438" s="4"/>
      <c r="N5438" s="4"/>
      <c r="O5438" s="4" t="str">
        <f>IFERROR(__xludf.DUMMYFUNCTION("""COMPUTED_VALUE"""),"Per Game")</f>
        <v>Per Game</v>
      </c>
      <c r="P5438" s="4"/>
      <c r="Q5438" s="4"/>
      <c r="R5438" s="4"/>
      <c r="S5438" s="4" t="str">
        <f>IFERROR(__xludf.DUMMYFUNCTION("""COMPUTED_VALUE"""),"Advanced")</f>
        <v>Advanced</v>
      </c>
      <c r="T5438" s="4"/>
      <c r="U5438" s="4"/>
      <c r="V5438" s="4"/>
    </row>
    <row r="5439">
      <c r="A5439" s="4" t="str">
        <f>IFERROR(__xludf.DUMMYFUNCTION("""COMPUTED_VALUE"""),"Rk")</f>
        <v>Rk</v>
      </c>
      <c r="B5439" s="4" t="str">
        <f>IFERROR(__xludf.DUMMYFUNCTION("""COMPUTED_VALUE"""),"Pk")</f>
        <v>Pk</v>
      </c>
      <c r="C5439" s="4" t="str">
        <f>IFERROR(__xludf.DUMMYFUNCTION("""COMPUTED_VALUE"""),"Tm")</f>
        <v>Tm</v>
      </c>
      <c r="D5439" s="4" t="str">
        <f>IFERROR(__xludf.DUMMYFUNCTION("""COMPUTED_VALUE"""),"Player")</f>
        <v>Player</v>
      </c>
      <c r="E5439" s="4" t="str">
        <f>IFERROR(__xludf.DUMMYFUNCTION("""COMPUTED_VALUE"""),"College")</f>
        <v>College</v>
      </c>
      <c r="F5439" s="4" t="str">
        <f>IFERROR(__xludf.DUMMYFUNCTION("""COMPUTED_VALUE"""),"Yrs")</f>
        <v>Yrs</v>
      </c>
      <c r="G5439" s="4" t="str">
        <f>IFERROR(__xludf.DUMMYFUNCTION("""COMPUTED_VALUE"""),"G")</f>
        <v>G</v>
      </c>
      <c r="H5439" s="4" t="str">
        <f>IFERROR(__xludf.DUMMYFUNCTION("""COMPUTED_VALUE"""),"MP")</f>
        <v>MP</v>
      </c>
      <c r="I5439" s="4" t="str">
        <f>IFERROR(__xludf.DUMMYFUNCTION("""COMPUTED_VALUE"""),"PTS")</f>
        <v>PTS</v>
      </c>
      <c r="J5439" s="4" t="str">
        <f>IFERROR(__xludf.DUMMYFUNCTION("""COMPUTED_VALUE"""),"TRB")</f>
        <v>TRB</v>
      </c>
      <c r="K5439" s="4" t="str">
        <f>IFERROR(__xludf.DUMMYFUNCTION("""COMPUTED_VALUE"""),"AST")</f>
        <v>AST</v>
      </c>
      <c r="L5439" s="4" t="str">
        <f>IFERROR(__xludf.DUMMYFUNCTION("""COMPUTED_VALUE"""),"FG%")</f>
        <v>FG%</v>
      </c>
      <c r="M5439" s="4" t="str">
        <f>IFERROR(__xludf.DUMMYFUNCTION("""COMPUTED_VALUE"""),"3P%")</f>
        <v>3P%</v>
      </c>
      <c r="N5439" s="4" t="str">
        <f>IFERROR(__xludf.DUMMYFUNCTION("""COMPUTED_VALUE"""),"FT%")</f>
        <v>FT%</v>
      </c>
      <c r="O5439" s="4" t="str">
        <f>IFERROR(__xludf.DUMMYFUNCTION("""COMPUTED_VALUE"""),"MP")</f>
        <v>MP</v>
      </c>
      <c r="P5439" s="4" t="str">
        <f>IFERROR(__xludf.DUMMYFUNCTION("""COMPUTED_VALUE"""),"PTS")</f>
        <v>PTS</v>
      </c>
      <c r="Q5439" s="4" t="str">
        <f>IFERROR(__xludf.DUMMYFUNCTION("""COMPUTED_VALUE"""),"TRB")</f>
        <v>TRB</v>
      </c>
      <c r="R5439" s="4" t="str">
        <f>IFERROR(__xludf.DUMMYFUNCTION("""COMPUTED_VALUE"""),"AST")</f>
        <v>AST</v>
      </c>
      <c r="S5439" s="4" t="str">
        <f>IFERROR(__xludf.DUMMYFUNCTION("""COMPUTED_VALUE"""),"WS")</f>
        <v>WS</v>
      </c>
      <c r="T5439" s="4" t="str">
        <f>IFERROR(__xludf.DUMMYFUNCTION("""COMPUTED_VALUE"""),"WS/48")</f>
        <v>WS/48</v>
      </c>
      <c r="U5439" s="4" t="str">
        <f>IFERROR(__xludf.DUMMYFUNCTION("""COMPUTED_VALUE"""),"BPM")</f>
        <v>BPM</v>
      </c>
      <c r="V5439" s="4" t="str">
        <f>IFERROR(__xludf.DUMMYFUNCTION("""COMPUTED_VALUE"""),"VORP")</f>
        <v>VORP</v>
      </c>
    </row>
    <row r="5440">
      <c r="A5440" s="4">
        <f>IFERROR(__xludf.DUMMYFUNCTION("""COMPUTED_VALUE"""),162.0)</f>
        <v>162</v>
      </c>
      <c r="B5440" s="4">
        <f>IFERROR(__xludf.DUMMYFUNCTION("""COMPUTED_VALUE"""),162.0)</f>
        <v>162</v>
      </c>
      <c r="C5440" s="4" t="str">
        <f>IFERROR(__xludf.DUMMYFUNCTION("""COMPUTED_VALUE"""),"PHI")</f>
        <v>PHI</v>
      </c>
      <c r="D5440" s="4" t="str">
        <f>IFERROR(__xludf.DUMMYFUNCTION("""COMPUTED_VALUE"""),"Larry Witherspoon")</f>
        <v>Larry Witherspoon</v>
      </c>
      <c r="E5440" s="4" t="str">
        <f>IFERROR(__xludf.DUMMYFUNCTION("""COMPUTED_VALUE"""),"Towson University")</f>
        <v>Towson University</v>
      </c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</row>
    <row r="5441">
      <c r="A5441" s="4">
        <f>IFERROR(__xludf.DUMMYFUNCTION("""COMPUTED_VALUE"""),163.0)</f>
        <v>163</v>
      </c>
      <c r="B5441" s="4">
        <f>IFERROR(__xludf.DUMMYFUNCTION("""COMPUTED_VALUE"""),163.0)</f>
        <v>163</v>
      </c>
      <c r="C5441" s="4" t="str">
        <f>IFERROR(__xludf.DUMMYFUNCTION("""COMPUTED_VALUE"""),"POR")</f>
        <v>POR</v>
      </c>
      <c r="D5441" s="4" t="str">
        <f>IFERROR(__xludf.DUMMYFUNCTION("""COMPUTED_VALUE"""),"Ron Jones")</f>
        <v>Ron Jones</v>
      </c>
      <c r="E5441" s="4" t="str">
        <f>IFERROR(__xludf.DUMMYFUNCTION("""COMPUTED_VALUE"""),"Oregon State")</f>
        <v>Oregon State</v>
      </c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</row>
    <row r="5442">
      <c r="A5442" s="4">
        <f>IFERROR(__xludf.DUMMYFUNCTION("""COMPUTED_VALUE"""),164.0)</f>
        <v>164</v>
      </c>
      <c r="B5442" s="4">
        <f>IFERROR(__xludf.DUMMYFUNCTION("""COMPUTED_VALUE"""),164.0)</f>
        <v>164</v>
      </c>
      <c r="C5442" s="4" t="str">
        <f>IFERROR(__xludf.DUMMYFUNCTION("""COMPUTED_VALUE"""),"CLE")</f>
        <v>CLE</v>
      </c>
      <c r="D5442" s="4" t="str">
        <f>IFERROR(__xludf.DUMMYFUNCTION("""COMPUTED_VALUE"""),"Jim Kelly")</f>
        <v>Jim Kelly</v>
      </c>
      <c r="E5442" s="4" t="str">
        <f>IFERROR(__xludf.DUMMYFUNCTION("""COMPUTED_VALUE"""),"Loras College")</f>
        <v>Loras College</v>
      </c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</row>
    <row r="5443">
      <c r="A5443" s="4">
        <f>IFERROR(__xludf.DUMMYFUNCTION("""COMPUTED_VALUE"""),165.0)</f>
        <v>165</v>
      </c>
      <c r="B5443" s="4">
        <f>IFERROR(__xludf.DUMMYFUNCTION("""COMPUTED_VALUE"""),165.0)</f>
        <v>165</v>
      </c>
      <c r="C5443" s="4" t="str">
        <f>IFERROR(__xludf.DUMMYFUNCTION("""COMPUTED_VALUE"""),"PHO")</f>
        <v>PHO</v>
      </c>
      <c r="D5443" s="4" t="str">
        <f>IFERROR(__xludf.DUMMYFUNCTION("""COMPUTED_VALUE"""),"Mark Wasley")</f>
        <v>Mark Wasley</v>
      </c>
      <c r="E5443" s="4" t="str">
        <f>IFERROR(__xludf.DUMMYFUNCTION("""COMPUTED_VALUE"""),"Arizona State")</f>
        <v>Arizona State</v>
      </c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</row>
    <row r="5444">
      <c r="A5444" s="4">
        <f>IFERROR(__xludf.DUMMYFUNCTION("""COMPUTED_VALUE"""),166.0)</f>
        <v>166</v>
      </c>
      <c r="B5444" s="4">
        <f>IFERROR(__xludf.DUMMYFUNCTION("""COMPUTED_VALUE"""),166.0)</f>
        <v>166</v>
      </c>
      <c r="C5444" s="4" t="str">
        <f>IFERROR(__xludf.DUMMYFUNCTION("""COMPUTED_VALUE"""),"HOU")</f>
        <v>HOU</v>
      </c>
      <c r="D5444" s="4" t="str">
        <f>IFERROR(__xludf.DUMMYFUNCTION("""COMPUTED_VALUE"""),"Marcus Washington")</f>
        <v>Marcus Washington</v>
      </c>
      <c r="E5444" s="4" t="str">
        <f>IFERROR(__xludf.DUMMYFUNCTION("""COMPUTED_VALUE"""),"Marquette")</f>
        <v>Marquette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</row>
    <row r="5445">
      <c r="A5445" s="4">
        <f>IFERROR(__xludf.DUMMYFUNCTION("""COMPUTED_VALUE"""),167.0)</f>
        <v>167</v>
      </c>
      <c r="B5445" s="4">
        <f>IFERROR(__xludf.DUMMYFUNCTION("""COMPUTED_VALUE"""),167.0)</f>
        <v>167</v>
      </c>
      <c r="C5445" s="4" t="str">
        <f>IFERROR(__xludf.DUMMYFUNCTION("""COMPUTED_VALUE"""),"KCO")</f>
        <v>KCO</v>
      </c>
      <c r="D5445" s="4" t="str">
        <f>IFERROR(__xludf.DUMMYFUNCTION("""COMPUTED_VALUE"""),"Dennis White")</f>
        <v>Dennis White</v>
      </c>
      <c r="E5445" s="4" t="str">
        <f>IFERROR(__xludf.DUMMYFUNCTION("""COMPUTED_VALUE"""),"Arkansas")</f>
        <v>Arkansas</v>
      </c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</row>
    <row r="5446">
      <c r="A5446" s="4">
        <f>IFERROR(__xludf.DUMMYFUNCTION("""COMPUTED_VALUE"""),168.0)</f>
        <v>168</v>
      </c>
      <c r="B5446" s="4">
        <f>IFERROR(__xludf.DUMMYFUNCTION("""COMPUTED_VALUE"""),168.0)</f>
        <v>168</v>
      </c>
      <c r="C5446" s="4" t="str">
        <f>IFERROR(__xludf.DUMMYFUNCTION("""COMPUTED_VALUE"""),"ATL")</f>
        <v>ATL</v>
      </c>
      <c r="D5446" s="4" t="str">
        <f>IFERROR(__xludf.DUMMYFUNCTION("""COMPUTED_VALUE"""),"Brendy Lee")</f>
        <v>Brendy Lee</v>
      </c>
      <c r="E5446" s="4" t="str">
        <f>IFERROR(__xludf.DUMMYFUNCTION("""COMPUTED_VALUE"""),"Nebraska")</f>
        <v>Nebraska</v>
      </c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</row>
    <row r="5447">
      <c r="A5447" s="4">
        <f>IFERROR(__xludf.DUMMYFUNCTION("""COMPUTED_VALUE"""),169.0)</f>
        <v>169</v>
      </c>
      <c r="B5447" s="4">
        <f>IFERROR(__xludf.DUMMYFUNCTION("""COMPUTED_VALUE"""),169.0)</f>
        <v>169</v>
      </c>
      <c r="C5447" s="4" t="str">
        <f>IFERROR(__xludf.DUMMYFUNCTION("""COMPUTED_VALUE"""),"SEA")</f>
        <v>SEA</v>
      </c>
      <c r="D5447" s="4" t="str">
        <f>IFERROR(__xludf.DUMMYFUNCTION("""COMPUTED_VALUE"""),"Rod Derline")</f>
        <v>Rod Derline</v>
      </c>
      <c r="E5447" s="4" t="str">
        <f>IFERROR(__xludf.DUMMYFUNCTION("""COMPUTED_VALUE"""),"Seattle University")</f>
        <v>Seattle University</v>
      </c>
      <c r="F5447" s="4">
        <f>IFERROR(__xludf.DUMMYFUNCTION("""COMPUTED_VALUE"""),2.0)</f>
        <v>2</v>
      </c>
      <c r="G5447" s="4">
        <f>IFERROR(__xludf.DUMMYFUNCTION("""COMPUTED_VALUE"""),107.0)</f>
        <v>107</v>
      </c>
      <c r="H5447" s="4">
        <f>IFERROR(__xludf.DUMMYFUNCTION("""COMPUTED_VALUE"""),1005.0)</f>
        <v>1005</v>
      </c>
      <c r="I5447" s="4">
        <f>IFERROR(__xludf.DUMMYFUNCTION("""COMPUTED_VALUE"""),518.0)</f>
        <v>518</v>
      </c>
      <c r="J5447" s="4">
        <f>IFERROR(__xludf.DUMMYFUNCTION("""COMPUTED_VALUE"""),86.0)</f>
        <v>86</v>
      </c>
      <c r="K5447" s="4">
        <f>IFERROR(__xludf.DUMMYFUNCTION("""COMPUTED_VALUE"""),71.0)</f>
        <v>71</v>
      </c>
      <c r="L5447" s="4">
        <f>IFERROR(__xludf.DUMMYFUNCTION("""COMPUTED_VALUE"""),0.419)</f>
        <v>0.419</v>
      </c>
      <c r="M5447" s="4"/>
      <c r="N5447" s="4">
        <f>IFERROR(__xludf.DUMMYFUNCTION("""COMPUTED_VALUE"""),0.786)</f>
        <v>0.786</v>
      </c>
      <c r="O5447" s="4">
        <f>IFERROR(__xludf.DUMMYFUNCTION("""COMPUTED_VALUE"""),9.4)</f>
        <v>9.4</v>
      </c>
      <c r="P5447" s="4">
        <f>IFERROR(__xludf.DUMMYFUNCTION("""COMPUTED_VALUE"""),4.8)</f>
        <v>4.8</v>
      </c>
      <c r="Q5447" s="4">
        <f>IFERROR(__xludf.DUMMYFUNCTION("""COMPUTED_VALUE"""),0.8)</f>
        <v>0.8</v>
      </c>
      <c r="R5447" s="4">
        <f>IFERROR(__xludf.DUMMYFUNCTION("""COMPUTED_VALUE"""),0.7)</f>
        <v>0.7</v>
      </c>
      <c r="S5447" s="4">
        <f>IFERROR(__xludf.DUMMYFUNCTION("""COMPUTED_VALUE"""),0.8)</f>
        <v>0.8</v>
      </c>
      <c r="T5447" s="4">
        <f>IFERROR(__xludf.DUMMYFUNCTION("""COMPUTED_VALUE"""),0.039)</f>
        <v>0.039</v>
      </c>
      <c r="U5447" s="4">
        <f>IFERROR(__xludf.DUMMYFUNCTION("""COMPUTED_VALUE"""),-3.0)</f>
        <v>-3</v>
      </c>
      <c r="V5447" s="4">
        <f>IFERROR(__xludf.DUMMYFUNCTION("""COMPUTED_VALUE"""),-0.3)</f>
        <v>-0.3</v>
      </c>
    </row>
    <row r="5448">
      <c r="A5448" s="4">
        <f>IFERROR(__xludf.DUMMYFUNCTION("""COMPUTED_VALUE"""),170.0)</f>
        <v>170</v>
      </c>
      <c r="B5448" s="4">
        <f>IFERROR(__xludf.DUMMYFUNCTION("""COMPUTED_VALUE"""),170.0)</f>
        <v>170</v>
      </c>
      <c r="C5448" s="4" t="str">
        <f>IFERROR(__xludf.DUMMYFUNCTION("""COMPUTED_VALUE"""),"BUF")</f>
        <v>BUF</v>
      </c>
      <c r="D5448" s="4" t="str">
        <f>IFERROR(__xludf.DUMMYFUNCTION("""COMPUTED_VALUE"""),"Andy Rimol")</f>
        <v>Andy Rimol</v>
      </c>
      <c r="E5448" s="4" t="str">
        <f>IFERROR(__xludf.DUMMYFUNCTION("""COMPUTED_VALUE"""),"Princeton")</f>
        <v>Princeton</v>
      </c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</row>
    <row r="5449">
      <c r="A5449" s="4">
        <f>IFERROR(__xludf.DUMMYFUNCTION("""COMPUTED_VALUE"""),171.0)</f>
        <v>171</v>
      </c>
      <c r="B5449" s="4">
        <f>IFERROR(__xludf.DUMMYFUNCTION("""COMPUTED_VALUE"""),171.0)</f>
        <v>171</v>
      </c>
      <c r="C5449" s="4" t="str">
        <f>IFERROR(__xludf.DUMMYFUNCTION("""COMPUTED_VALUE"""),"NOJ")</f>
        <v>NOJ</v>
      </c>
      <c r="D5449" s="4" t="str">
        <f>IFERROR(__xludf.DUMMYFUNCTION("""COMPUTED_VALUE"""),"Walt McGary")</f>
        <v>Walt McGary</v>
      </c>
      <c r="E5449" s="4" t="str">
        <f>IFERROR(__xludf.DUMMYFUNCTION("""COMPUTED_VALUE"""),"Chattanooga")</f>
        <v>Chattanooga</v>
      </c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</row>
    <row r="5450">
      <c r="A5450" s="4">
        <f>IFERROR(__xludf.DUMMYFUNCTION("""COMPUTED_VALUE"""),172.0)</f>
        <v>172</v>
      </c>
      <c r="B5450" s="4">
        <f>IFERROR(__xludf.DUMMYFUNCTION("""COMPUTED_VALUE"""),172.0)</f>
        <v>172</v>
      </c>
      <c r="C5450" s="4" t="str">
        <f>IFERROR(__xludf.DUMMYFUNCTION("""COMPUTED_VALUE"""),"GSW")</f>
        <v>GSW</v>
      </c>
      <c r="D5450" s="4" t="str">
        <f>IFERROR(__xludf.DUMMYFUNCTION("""COMPUTED_VALUE"""),"Marvin Buckley")</f>
        <v>Marvin Buckley</v>
      </c>
      <c r="E5450" s="4" t="str">
        <f>IFERROR(__xludf.DUMMYFUNCTION("""COMPUTED_VALUE"""),"Nevada")</f>
        <v>Nevada</v>
      </c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</row>
    <row r="5451">
      <c r="A5451" s="4">
        <f>IFERROR(__xludf.DUMMYFUNCTION("""COMPUTED_VALUE"""),173.0)</f>
        <v>173</v>
      </c>
      <c r="B5451" s="4">
        <f>IFERROR(__xludf.DUMMYFUNCTION("""COMPUTED_VALUE"""),173.0)</f>
        <v>173</v>
      </c>
      <c r="C5451" s="4" t="str">
        <f>IFERROR(__xludf.DUMMYFUNCTION("""COMPUTED_VALUE"""),"WSB")</f>
        <v>WSB</v>
      </c>
      <c r="D5451" s="4" t="str">
        <f>IFERROR(__xludf.DUMMYFUNCTION("""COMPUTED_VALUE"""),"Pete Collins")</f>
        <v>Pete Collins</v>
      </c>
      <c r="E5451" s="4" t="str">
        <f>IFERROR(__xludf.DUMMYFUNCTION("""COMPUTED_VALUE"""),"High Point University")</f>
        <v>High Point University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</row>
    <row r="5452">
      <c r="A5452" s="4">
        <f>IFERROR(__xludf.DUMMYFUNCTION("""COMPUTED_VALUE"""),174.0)</f>
        <v>174</v>
      </c>
      <c r="B5452" s="4">
        <f>IFERROR(__xludf.DUMMYFUNCTION("""COMPUTED_VALUE"""),174.0)</f>
        <v>174</v>
      </c>
      <c r="C5452" s="4" t="str">
        <f>IFERROR(__xludf.DUMMYFUNCTION("""COMPUTED_VALUE"""),"NYK")</f>
        <v>NYK</v>
      </c>
      <c r="D5452" s="4" t="str">
        <f>IFERROR(__xludf.DUMMYFUNCTION("""COMPUTED_VALUE"""),"John O'Donnell")</f>
        <v>John O'Donnell</v>
      </c>
      <c r="E5452" s="4" t="str">
        <f>IFERROR(__xludf.DUMMYFUNCTION("""COMPUTED_VALUE"""),"UNC")</f>
        <v>UNC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</row>
    <row r="5453">
      <c r="A5453" s="4">
        <f>IFERROR(__xludf.DUMMYFUNCTION("""COMPUTED_VALUE"""),175.0)</f>
        <v>175</v>
      </c>
      <c r="B5453" s="4">
        <f>IFERROR(__xludf.DUMMYFUNCTION("""COMPUTED_VALUE"""),175.0)</f>
        <v>175</v>
      </c>
      <c r="C5453" s="4" t="str">
        <f>IFERROR(__xludf.DUMMYFUNCTION("""COMPUTED_VALUE"""),"DET")</f>
        <v>DET</v>
      </c>
      <c r="D5453" s="4" t="str">
        <f>IFERROR(__xludf.DUMMYFUNCTION("""COMPUTED_VALUE"""),"Bill Ligon")</f>
        <v>Bill Ligon</v>
      </c>
      <c r="E5453" s="4" t="str">
        <f>IFERROR(__xludf.DUMMYFUNCTION("""COMPUTED_VALUE"""),"Vanderbilt")</f>
        <v>Vanderbilt</v>
      </c>
      <c r="F5453" s="4">
        <f>IFERROR(__xludf.DUMMYFUNCTION("""COMPUTED_VALUE"""),1.0)</f>
        <v>1</v>
      </c>
      <c r="G5453" s="4">
        <f>IFERROR(__xludf.DUMMYFUNCTION("""COMPUTED_VALUE"""),38.0)</f>
        <v>38</v>
      </c>
      <c r="H5453" s="4">
        <f>IFERROR(__xludf.DUMMYFUNCTION("""COMPUTED_VALUE"""),272.0)</f>
        <v>272</v>
      </c>
      <c r="I5453" s="4">
        <f>IFERROR(__xludf.DUMMYFUNCTION("""COMPUTED_VALUE"""),126.0)</f>
        <v>126</v>
      </c>
      <c r="J5453" s="4">
        <f>IFERROR(__xludf.DUMMYFUNCTION("""COMPUTED_VALUE"""),26.0)</f>
        <v>26</v>
      </c>
      <c r="K5453" s="4">
        <f>IFERROR(__xludf.DUMMYFUNCTION("""COMPUTED_VALUE"""),25.0)</f>
        <v>25</v>
      </c>
      <c r="L5453" s="4">
        <f>IFERROR(__xludf.DUMMYFUNCTION("""COMPUTED_VALUE"""),0.385)</f>
        <v>0.385</v>
      </c>
      <c r="M5453" s="4"/>
      <c r="N5453" s="4">
        <f>IFERROR(__xludf.DUMMYFUNCTION("""COMPUTED_VALUE"""),0.64)</f>
        <v>0.64</v>
      </c>
      <c r="O5453" s="4">
        <f>IFERROR(__xludf.DUMMYFUNCTION("""COMPUTED_VALUE"""),7.2)</f>
        <v>7.2</v>
      </c>
      <c r="P5453" s="4">
        <f>IFERROR(__xludf.DUMMYFUNCTION("""COMPUTED_VALUE"""),3.3)</f>
        <v>3.3</v>
      </c>
      <c r="Q5453" s="4">
        <f>IFERROR(__xludf.DUMMYFUNCTION("""COMPUTED_VALUE"""),0.7)</f>
        <v>0.7</v>
      </c>
      <c r="R5453" s="4">
        <f>IFERROR(__xludf.DUMMYFUNCTION("""COMPUTED_VALUE"""),0.7)</f>
        <v>0.7</v>
      </c>
      <c r="S5453" s="4">
        <f>IFERROR(__xludf.DUMMYFUNCTION("""COMPUTED_VALUE"""),-0.2)</f>
        <v>-0.2</v>
      </c>
      <c r="T5453" s="4">
        <f>IFERROR(__xludf.DUMMYFUNCTION("""COMPUTED_VALUE"""),-0.043)</f>
        <v>-0.043</v>
      </c>
      <c r="U5453" s="4">
        <f>IFERROR(__xludf.DUMMYFUNCTION("""COMPUTED_VALUE"""),-4.5)</f>
        <v>-4.5</v>
      </c>
      <c r="V5453" s="4">
        <f>IFERROR(__xludf.DUMMYFUNCTION("""COMPUTED_VALUE"""),-0.2)</f>
        <v>-0.2</v>
      </c>
    </row>
    <row r="5454">
      <c r="A5454" s="4">
        <f>IFERROR(__xludf.DUMMYFUNCTION("""COMPUTED_VALUE"""),176.0)</f>
        <v>176</v>
      </c>
      <c r="B5454" s="4">
        <f>IFERROR(__xludf.DUMMYFUNCTION("""COMPUTED_VALUE"""),176.0)</f>
        <v>176</v>
      </c>
      <c r="C5454" s="4" t="str">
        <f>IFERROR(__xludf.DUMMYFUNCTION("""COMPUTED_VALUE"""),"CHI")</f>
        <v>CHI</v>
      </c>
      <c r="D5454" s="4" t="str">
        <f>IFERROR(__xludf.DUMMYFUNCTION("""COMPUTED_VALUE"""),"Rick Hockenos")</f>
        <v>Rick Hockenos</v>
      </c>
      <c r="E5454" s="4" t="str">
        <f>IFERROR(__xludf.DUMMYFUNCTION("""COMPUTED_VALUE"""),"Saint Francis University")</f>
        <v>Saint Francis University</v>
      </c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</row>
    <row r="5455">
      <c r="A5455" s="4">
        <f>IFERROR(__xludf.DUMMYFUNCTION("""COMPUTED_VALUE"""),177.0)</f>
        <v>177</v>
      </c>
      <c r="B5455" s="4">
        <f>IFERROR(__xludf.DUMMYFUNCTION("""COMPUTED_VALUE"""),177.0)</f>
        <v>177</v>
      </c>
      <c r="C5455" s="4" t="str">
        <f>IFERROR(__xludf.DUMMYFUNCTION("""COMPUTED_VALUE"""),"BOS")</f>
        <v>BOS</v>
      </c>
      <c r="D5455" s="4" t="str">
        <f>IFERROR(__xludf.DUMMYFUNCTION("""COMPUTED_VALUE"""),"Phil Rogers")</f>
        <v>Phil Rogers</v>
      </c>
      <c r="E5455" s="4" t="str">
        <f>IFERROR(__xludf.DUMMYFUNCTION("""COMPUTED_VALUE"""),"Fairfield")</f>
        <v>Fairfield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</row>
    <row r="5456">
      <c r="A5456" s="4">
        <f>IFERROR(__xludf.DUMMYFUNCTION("""COMPUTED_VALUE"""),178.0)</f>
        <v>178</v>
      </c>
      <c r="B5456" s="4">
        <f>IFERROR(__xludf.DUMMYFUNCTION("""COMPUTED_VALUE"""),178.0)</f>
        <v>178</v>
      </c>
      <c r="C5456" s="4" t="str">
        <f>IFERROR(__xludf.DUMMYFUNCTION("""COMPUTED_VALUE"""),"MIL")</f>
        <v>MIL</v>
      </c>
      <c r="D5456" s="4" t="str">
        <f>IFERROR(__xludf.DUMMYFUNCTION("""COMPUTED_VALUE"""),"Bruce Featherston")</f>
        <v>Bruce Featherston</v>
      </c>
      <c r="E5456" s="4" t="str">
        <f>IFERROR(__xludf.DUMMYFUNCTION("""COMPUTED_VALUE"""),"Texas State University")</f>
        <v>Texas State University</v>
      </c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</row>
    <row r="5458">
      <c r="A5458" s="2">
        <v>1973.0</v>
      </c>
    </row>
    <row r="5459">
      <c r="A5459" s="4" t="str">
        <f>IFERROR(__xludf.DUMMYFUNCTION("IMPORTHTML(""https://www.basketball-reference.com/draft/NBA_1973.html"", ""table"", 1)"),"")</f>
        <v/>
      </c>
      <c r="B5459" s="4"/>
      <c r="C5459" s="4"/>
      <c r="D5459" s="4" t="str">
        <f>IFERROR(__xludf.DUMMYFUNCTION("""COMPUTED_VALUE"""),"Round 1")</f>
        <v>Round 1</v>
      </c>
      <c r="E5459" s="4"/>
      <c r="F5459" s="4"/>
      <c r="G5459" s="4" t="str">
        <f>IFERROR(__xludf.DUMMYFUNCTION("""COMPUTED_VALUE"""),"Totals")</f>
        <v>Totals</v>
      </c>
      <c r="H5459" s="4"/>
      <c r="I5459" s="4"/>
      <c r="J5459" s="4"/>
      <c r="K5459" s="4"/>
      <c r="L5459" s="4" t="str">
        <f>IFERROR(__xludf.DUMMYFUNCTION("""COMPUTED_VALUE"""),"Shooting")</f>
        <v>Shooting</v>
      </c>
      <c r="M5459" s="4"/>
      <c r="N5459" s="4"/>
      <c r="O5459" s="4" t="str">
        <f>IFERROR(__xludf.DUMMYFUNCTION("""COMPUTED_VALUE"""),"Per Game")</f>
        <v>Per Game</v>
      </c>
      <c r="P5459" s="4"/>
      <c r="Q5459" s="4"/>
      <c r="R5459" s="4"/>
      <c r="S5459" s="4" t="str">
        <f>IFERROR(__xludf.DUMMYFUNCTION("""COMPUTED_VALUE"""),"Advanced")</f>
        <v>Advanced</v>
      </c>
      <c r="T5459" s="4"/>
      <c r="U5459" s="4"/>
      <c r="V5459" s="4"/>
    </row>
    <row r="5460">
      <c r="A5460" s="4" t="str">
        <f>IFERROR(__xludf.DUMMYFUNCTION("""COMPUTED_VALUE"""),"Rk")</f>
        <v>Rk</v>
      </c>
      <c r="B5460" s="4" t="str">
        <f>IFERROR(__xludf.DUMMYFUNCTION("""COMPUTED_VALUE"""),"Pk")</f>
        <v>Pk</v>
      </c>
      <c r="C5460" s="4" t="str">
        <f>IFERROR(__xludf.DUMMYFUNCTION("""COMPUTED_VALUE"""),"Tm")</f>
        <v>Tm</v>
      </c>
      <c r="D5460" s="4" t="str">
        <f>IFERROR(__xludf.DUMMYFUNCTION("""COMPUTED_VALUE"""),"Player")</f>
        <v>Player</v>
      </c>
      <c r="E5460" s="4" t="str">
        <f>IFERROR(__xludf.DUMMYFUNCTION("""COMPUTED_VALUE"""),"College")</f>
        <v>College</v>
      </c>
      <c r="F5460" s="4" t="str">
        <f>IFERROR(__xludf.DUMMYFUNCTION("""COMPUTED_VALUE"""),"Yrs")</f>
        <v>Yrs</v>
      </c>
      <c r="G5460" s="4" t="str">
        <f>IFERROR(__xludf.DUMMYFUNCTION("""COMPUTED_VALUE"""),"G")</f>
        <v>G</v>
      </c>
      <c r="H5460" s="4" t="str">
        <f>IFERROR(__xludf.DUMMYFUNCTION("""COMPUTED_VALUE"""),"MP")</f>
        <v>MP</v>
      </c>
      <c r="I5460" s="4" t="str">
        <f>IFERROR(__xludf.DUMMYFUNCTION("""COMPUTED_VALUE"""),"PTS")</f>
        <v>PTS</v>
      </c>
      <c r="J5460" s="4" t="str">
        <f>IFERROR(__xludf.DUMMYFUNCTION("""COMPUTED_VALUE"""),"TRB")</f>
        <v>TRB</v>
      </c>
      <c r="K5460" s="4" t="str">
        <f>IFERROR(__xludf.DUMMYFUNCTION("""COMPUTED_VALUE"""),"AST")</f>
        <v>AST</v>
      </c>
      <c r="L5460" s="4" t="str">
        <f>IFERROR(__xludf.DUMMYFUNCTION("""COMPUTED_VALUE"""),"FG%")</f>
        <v>FG%</v>
      </c>
      <c r="M5460" s="4" t="str">
        <f>IFERROR(__xludf.DUMMYFUNCTION("""COMPUTED_VALUE"""),"3P%")</f>
        <v>3P%</v>
      </c>
      <c r="N5460" s="4" t="str">
        <f>IFERROR(__xludf.DUMMYFUNCTION("""COMPUTED_VALUE"""),"FT%")</f>
        <v>FT%</v>
      </c>
      <c r="O5460" s="4" t="str">
        <f>IFERROR(__xludf.DUMMYFUNCTION("""COMPUTED_VALUE"""),"MP")</f>
        <v>MP</v>
      </c>
      <c r="P5460" s="4" t="str">
        <f>IFERROR(__xludf.DUMMYFUNCTION("""COMPUTED_VALUE"""),"PTS")</f>
        <v>PTS</v>
      </c>
      <c r="Q5460" s="4" t="str">
        <f>IFERROR(__xludf.DUMMYFUNCTION("""COMPUTED_VALUE"""),"TRB")</f>
        <v>TRB</v>
      </c>
      <c r="R5460" s="4" t="str">
        <f>IFERROR(__xludf.DUMMYFUNCTION("""COMPUTED_VALUE"""),"AST")</f>
        <v>AST</v>
      </c>
      <c r="S5460" s="4" t="str">
        <f>IFERROR(__xludf.DUMMYFUNCTION("""COMPUTED_VALUE"""),"WS")</f>
        <v>WS</v>
      </c>
      <c r="T5460" s="4" t="str">
        <f>IFERROR(__xludf.DUMMYFUNCTION("""COMPUTED_VALUE"""),"WS/48")</f>
        <v>WS/48</v>
      </c>
      <c r="U5460" s="4" t="str">
        <f>IFERROR(__xludf.DUMMYFUNCTION("""COMPUTED_VALUE"""),"BPM")</f>
        <v>BPM</v>
      </c>
      <c r="V5460" s="4" t="str">
        <f>IFERROR(__xludf.DUMMYFUNCTION("""COMPUTED_VALUE"""),"VORP")</f>
        <v>VORP</v>
      </c>
    </row>
    <row r="5461">
      <c r="A5461" s="4">
        <f>IFERROR(__xludf.DUMMYFUNCTION("""COMPUTED_VALUE"""),1.0)</f>
        <v>1</v>
      </c>
      <c r="B5461" s="4">
        <f>IFERROR(__xludf.DUMMYFUNCTION("""COMPUTED_VALUE"""),1.0)</f>
        <v>1</v>
      </c>
      <c r="C5461" s="4" t="str">
        <f>IFERROR(__xludf.DUMMYFUNCTION("""COMPUTED_VALUE"""),"PHI")</f>
        <v>PHI</v>
      </c>
      <c r="D5461" s="4" t="str">
        <f>IFERROR(__xludf.DUMMYFUNCTION("""COMPUTED_VALUE"""),"Doug Collins")</f>
        <v>Doug Collins</v>
      </c>
      <c r="E5461" s="4" t="str">
        <f>IFERROR(__xludf.DUMMYFUNCTION("""COMPUTED_VALUE"""),"Illinois State")</f>
        <v>Illinois State</v>
      </c>
      <c r="F5461" s="4">
        <f>IFERROR(__xludf.DUMMYFUNCTION("""COMPUTED_VALUE"""),8.0)</f>
        <v>8</v>
      </c>
      <c r="G5461" s="4">
        <f>IFERROR(__xludf.DUMMYFUNCTION("""COMPUTED_VALUE"""),415.0)</f>
        <v>415</v>
      </c>
      <c r="H5461" s="4">
        <f>IFERROR(__xludf.DUMMYFUNCTION("""COMPUTED_VALUE"""),13945.0)</f>
        <v>13945</v>
      </c>
      <c r="I5461" s="4">
        <f>IFERROR(__xludf.DUMMYFUNCTION("""COMPUTED_VALUE"""),7427.0)</f>
        <v>7427</v>
      </c>
      <c r="J5461" s="4">
        <f>IFERROR(__xludf.DUMMYFUNCTION("""COMPUTED_VALUE"""),1339.0)</f>
        <v>1339</v>
      </c>
      <c r="K5461" s="4">
        <f>IFERROR(__xludf.DUMMYFUNCTION("""COMPUTED_VALUE"""),1368.0)</f>
        <v>1368</v>
      </c>
      <c r="L5461" s="4">
        <f>IFERROR(__xludf.DUMMYFUNCTION("""COMPUTED_VALUE"""),0.501)</f>
        <v>0.501</v>
      </c>
      <c r="M5461" s="4"/>
      <c r="N5461" s="4">
        <f>IFERROR(__xludf.DUMMYFUNCTION("""COMPUTED_VALUE"""),0.833)</f>
        <v>0.833</v>
      </c>
      <c r="O5461" s="4">
        <f>IFERROR(__xludf.DUMMYFUNCTION("""COMPUTED_VALUE"""),33.6)</f>
        <v>33.6</v>
      </c>
      <c r="P5461" s="4">
        <f>IFERROR(__xludf.DUMMYFUNCTION("""COMPUTED_VALUE"""),17.9)</f>
        <v>17.9</v>
      </c>
      <c r="Q5461" s="4">
        <f>IFERROR(__xludf.DUMMYFUNCTION("""COMPUTED_VALUE"""),3.2)</f>
        <v>3.2</v>
      </c>
      <c r="R5461" s="4">
        <f>IFERROR(__xludf.DUMMYFUNCTION("""COMPUTED_VALUE"""),3.3)</f>
        <v>3.3</v>
      </c>
      <c r="S5461" s="4">
        <f>IFERROR(__xludf.DUMMYFUNCTION("""COMPUTED_VALUE"""),38.0)</f>
        <v>38</v>
      </c>
      <c r="T5461" s="4">
        <f>IFERROR(__xludf.DUMMYFUNCTION("""COMPUTED_VALUE"""),0.131)</f>
        <v>0.131</v>
      </c>
      <c r="U5461" s="4">
        <f>IFERROR(__xludf.DUMMYFUNCTION("""COMPUTED_VALUE"""),0.4)</f>
        <v>0.4</v>
      </c>
      <c r="V5461" s="4">
        <f>IFERROR(__xludf.DUMMYFUNCTION("""COMPUTED_VALUE"""),8.4)</f>
        <v>8.4</v>
      </c>
    </row>
    <row r="5462">
      <c r="A5462" s="4">
        <f>IFERROR(__xludf.DUMMYFUNCTION("""COMPUTED_VALUE"""),2.0)</f>
        <v>2</v>
      </c>
      <c r="B5462" s="4">
        <f>IFERROR(__xludf.DUMMYFUNCTION("""COMPUTED_VALUE"""),2.0)</f>
        <v>2</v>
      </c>
      <c r="C5462" s="4" t="str">
        <f>IFERROR(__xludf.DUMMYFUNCTION("""COMPUTED_VALUE"""),"CLE")</f>
        <v>CLE</v>
      </c>
      <c r="D5462" s="4" t="str">
        <f>IFERROR(__xludf.DUMMYFUNCTION("""COMPUTED_VALUE"""),"Jim Brewer")</f>
        <v>Jim Brewer</v>
      </c>
      <c r="E5462" s="4" t="str">
        <f>IFERROR(__xludf.DUMMYFUNCTION("""COMPUTED_VALUE"""),"Minnesota")</f>
        <v>Minnesota</v>
      </c>
      <c r="F5462" s="4">
        <f>IFERROR(__xludf.DUMMYFUNCTION("""COMPUTED_VALUE"""),9.0)</f>
        <v>9</v>
      </c>
      <c r="G5462" s="4">
        <f>IFERROR(__xludf.DUMMYFUNCTION("""COMPUTED_VALUE"""),703.0)</f>
        <v>703</v>
      </c>
      <c r="H5462" s="4">
        <f>IFERROR(__xludf.DUMMYFUNCTION("""COMPUTED_VALUE"""),15936.0)</f>
        <v>15936</v>
      </c>
      <c r="I5462" s="4">
        <f>IFERROR(__xludf.DUMMYFUNCTION("""COMPUTED_VALUE"""),4099.0)</f>
        <v>4099</v>
      </c>
      <c r="J5462" s="4">
        <f>IFERROR(__xludf.DUMMYFUNCTION("""COMPUTED_VALUE"""),4458.0)</f>
        <v>4458</v>
      </c>
      <c r="K5462" s="4">
        <f>IFERROR(__xludf.DUMMYFUNCTION("""COMPUTED_VALUE"""),1038.0)</f>
        <v>1038</v>
      </c>
      <c r="L5462" s="4">
        <f>IFERROR(__xludf.DUMMYFUNCTION("""COMPUTED_VALUE"""),0.448)</f>
        <v>0.448</v>
      </c>
      <c r="M5462" s="4"/>
      <c r="N5462" s="4">
        <f>IFERROR(__xludf.DUMMYFUNCTION("""COMPUTED_VALUE"""),0.571)</f>
        <v>0.571</v>
      </c>
      <c r="O5462" s="4">
        <f>IFERROR(__xludf.DUMMYFUNCTION("""COMPUTED_VALUE"""),22.7)</f>
        <v>22.7</v>
      </c>
      <c r="P5462" s="4">
        <f>IFERROR(__xludf.DUMMYFUNCTION("""COMPUTED_VALUE"""),5.8)</f>
        <v>5.8</v>
      </c>
      <c r="Q5462" s="4">
        <f>IFERROR(__xludf.DUMMYFUNCTION("""COMPUTED_VALUE"""),6.3)</f>
        <v>6.3</v>
      </c>
      <c r="R5462" s="4">
        <f>IFERROR(__xludf.DUMMYFUNCTION("""COMPUTED_VALUE"""),1.5)</f>
        <v>1.5</v>
      </c>
      <c r="S5462" s="4">
        <f>IFERROR(__xludf.DUMMYFUNCTION("""COMPUTED_VALUE"""),29.3)</f>
        <v>29.3</v>
      </c>
      <c r="T5462" s="4">
        <f>IFERROR(__xludf.DUMMYFUNCTION("""COMPUTED_VALUE"""),0.088)</f>
        <v>0.088</v>
      </c>
      <c r="U5462" s="4">
        <f>IFERROR(__xludf.DUMMYFUNCTION("""COMPUTED_VALUE"""),0.1)</f>
        <v>0.1</v>
      </c>
      <c r="V5462" s="4">
        <f>IFERROR(__xludf.DUMMYFUNCTION("""COMPUTED_VALUE"""),8.6)</f>
        <v>8.6</v>
      </c>
    </row>
    <row r="5463">
      <c r="A5463" s="4">
        <f>IFERROR(__xludf.DUMMYFUNCTION("""COMPUTED_VALUE"""),3.0)</f>
        <v>3</v>
      </c>
      <c r="B5463" s="4">
        <f>IFERROR(__xludf.DUMMYFUNCTION("""COMPUTED_VALUE"""),3.0)</f>
        <v>3</v>
      </c>
      <c r="C5463" s="4" t="str">
        <f>IFERROR(__xludf.DUMMYFUNCTION("""COMPUTED_VALUE"""),"BUF")</f>
        <v>BUF</v>
      </c>
      <c r="D5463" s="4" t="str">
        <f>IFERROR(__xludf.DUMMYFUNCTION("""COMPUTED_VALUE"""),"Ernie DiGregorio")</f>
        <v>Ernie DiGregorio</v>
      </c>
      <c r="E5463" s="4" t="str">
        <f>IFERROR(__xludf.DUMMYFUNCTION("""COMPUTED_VALUE"""),"Providence")</f>
        <v>Providence</v>
      </c>
      <c r="F5463" s="4">
        <f>IFERROR(__xludf.DUMMYFUNCTION("""COMPUTED_VALUE"""),5.0)</f>
        <v>5</v>
      </c>
      <c r="G5463" s="4">
        <f>IFERROR(__xludf.DUMMYFUNCTION("""COMPUTED_VALUE"""),312.0)</f>
        <v>312</v>
      </c>
      <c r="H5463" s="4">
        <f>IFERROR(__xludf.DUMMYFUNCTION("""COMPUTED_VALUE"""),7859.0)</f>
        <v>7859</v>
      </c>
      <c r="I5463" s="4">
        <f>IFERROR(__xludf.DUMMYFUNCTION("""COMPUTED_VALUE"""),2997.0)</f>
        <v>2997</v>
      </c>
      <c r="J5463" s="4">
        <f>IFERROR(__xludf.DUMMYFUNCTION("""COMPUTED_VALUE"""),610.0)</f>
        <v>610</v>
      </c>
      <c r="K5463" s="4">
        <f>IFERROR(__xludf.DUMMYFUNCTION("""COMPUTED_VALUE"""),1594.0)</f>
        <v>1594</v>
      </c>
      <c r="L5463" s="4">
        <f>IFERROR(__xludf.DUMMYFUNCTION("""COMPUTED_VALUE"""),0.415)</f>
        <v>0.415</v>
      </c>
      <c r="M5463" s="4"/>
      <c r="N5463" s="4">
        <f>IFERROR(__xludf.DUMMYFUNCTION("""COMPUTED_VALUE"""),0.902)</f>
        <v>0.902</v>
      </c>
      <c r="O5463" s="4">
        <f>IFERROR(__xludf.DUMMYFUNCTION("""COMPUTED_VALUE"""),25.2)</f>
        <v>25.2</v>
      </c>
      <c r="P5463" s="4">
        <f>IFERROR(__xludf.DUMMYFUNCTION("""COMPUTED_VALUE"""),9.6)</f>
        <v>9.6</v>
      </c>
      <c r="Q5463" s="4">
        <f>IFERROR(__xludf.DUMMYFUNCTION("""COMPUTED_VALUE"""),2.0)</f>
        <v>2</v>
      </c>
      <c r="R5463" s="4">
        <f>IFERROR(__xludf.DUMMYFUNCTION("""COMPUTED_VALUE"""),5.1)</f>
        <v>5.1</v>
      </c>
      <c r="S5463" s="4">
        <f>IFERROR(__xludf.DUMMYFUNCTION("""COMPUTED_VALUE"""),2.5)</f>
        <v>2.5</v>
      </c>
      <c r="T5463" s="4">
        <f>IFERROR(__xludf.DUMMYFUNCTION("""COMPUTED_VALUE"""),0.016)</f>
        <v>0.016</v>
      </c>
      <c r="U5463" s="4">
        <f>IFERROR(__xludf.DUMMYFUNCTION("""COMPUTED_VALUE"""),-3.8)</f>
        <v>-3.8</v>
      </c>
      <c r="V5463" s="4">
        <f>IFERROR(__xludf.DUMMYFUNCTION("""COMPUTED_VALUE"""),-3.6)</f>
        <v>-3.6</v>
      </c>
    </row>
    <row r="5464">
      <c r="A5464" s="4">
        <f>IFERROR(__xludf.DUMMYFUNCTION("""COMPUTED_VALUE"""),4.0)</f>
        <v>4</v>
      </c>
      <c r="B5464" s="4">
        <f>IFERROR(__xludf.DUMMYFUNCTION("""COMPUTED_VALUE"""),4.0)</f>
        <v>4</v>
      </c>
      <c r="C5464" s="4" t="str">
        <f>IFERROR(__xludf.DUMMYFUNCTION("""COMPUTED_VALUE"""),"SEA")</f>
        <v>SEA</v>
      </c>
      <c r="D5464" s="4" t="str">
        <f>IFERROR(__xludf.DUMMYFUNCTION("""COMPUTED_VALUE"""),"Mike Green")</f>
        <v>Mike Green</v>
      </c>
      <c r="E5464" s="4" t="str">
        <f>IFERROR(__xludf.DUMMYFUNCTION("""COMPUTED_VALUE"""),"Louisiana Tech")</f>
        <v>Louisiana Tech</v>
      </c>
      <c r="F5464" s="4">
        <f>IFERROR(__xludf.DUMMYFUNCTION("""COMPUTED_VALUE"""),4.0)</f>
        <v>4</v>
      </c>
      <c r="G5464" s="4">
        <f>IFERROR(__xludf.DUMMYFUNCTION("""COMPUTED_VALUE"""),245.0)</f>
        <v>245</v>
      </c>
      <c r="H5464" s="4">
        <f>IFERROR(__xludf.DUMMYFUNCTION("""COMPUTED_VALUE"""),5410.0)</f>
        <v>5410</v>
      </c>
      <c r="I5464" s="4">
        <f>IFERROR(__xludf.DUMMYFUNCTION("""COMPUTED_VALUE"""),2062.0)</f>
        <v>2062</v>
      </c>
      <c r="J5464" s="4">
        <f>IFERROR(__xludf.DUMMYFUNCTION("""COMPUTED_VALUE"""),1329.0)</f>
        <v>1329</v>
      </c>
      <c r="K5464" s="4">
        <f>IFERROR(__xludf.DUMMYFUNCTION("""COMPUTED_VALUE"""),340.0)</f>
        <v>340</v>
      </c>
      <c r="L5464" s="4">
        <f>IFERROR(__xludf.DUMMYFUNCTION("""COMPUTED_VALUE"""),0.46)</f>
        <v>0.46</v>
      </c>
      <c r="M5464" s="4"/>
      <c r="N5464" s="4">
        <f>IFERROR(__xludf.DUMMYFUNCTION("""COMPUTED_VALUE"""),0.707)</f>
        <v>0.707</v>
      </c>
      <c r="O5464" s="4">
        <f>IFERROR(__xludf.DUMMYFUNCTION("""COMPUTED_VALUE"""),22.1)</f>
        <v>22.1</v>
      </c>
      <c r="P5464" s="4">
        <f>IFERROR(__xludf.DUMMYFUNCTION("""COMPUTED_VALUE"""),8.4)</f>
        <v>8.4</v>
      </c>
      <c r="Q5464" s="4">
        <f>IFERROR(__xludf.DUMMYFUNCTION("""COMPUTED_VALUE"""),5.4)</f>
        <v>5.4</v>
      </c>
      <c r="R5464" s="4">
        <f>IFERROR(__xludf.DUMMYFUNCTION("""COMPUTED_VALUE"""),1.4)</f>
        <v>1.4</v>
      </c>
      <c r="S5464" s="4">
        <f>IFERROR(__xludf.DUMMYFUNCTION("""COMPUTED_VALUE"""),10.9)</f>
        <v>10.9</v>
      </c>
      <c r="T5464" s="4">
        <f>IFERROR(__xludf.DUMMYFUNCTION("""COMPUTED_VALUE"""),0.097)</f>
        <v>0.097</v>
      </c>
      <c r="U5464" s="4">
        <f>IFERROR(__xludf.DUMMYFUNCTION("""COMPUTED_VALUE"""),-0.5)</f>
        <v>-0.5</v>
      </c>
      <c r="V5464" s="4">
        <f>IFERROR(__xludf.DUMMYFUNCTION("""COMPUTED_VALUE"""),2.1)</f>
        <v>2.1</v>
      </c>
    </row>
    <row r="5465">
      <c r="A5465" s="4">
        <f>IFERROR(__xludf.DUMMYFUNCTION("""COMPUTED_VALUE"""),5.0)</f>
        <v>5</v>
      </c>
      <c r="B5465" s="4">
        <f>IFERROR(__xludf.DUMMYFUNCTION("""COMPUTED_VALUE"""),5.0)</f>
        <v>5</v>
      </c>
      <c r="C5465" s="4" t="str">
        <f>IFERROR(__xludf.DUMMYFUNCTION("""COMPUTED_VALUE"""),"LAL")</f>
        <v>LAL</v>
      </c>
      <c r="D5465" s="4" t="str">
        <f>IFERROR(__xludf.DUMMYFUNCTION("""COMPUTED_VALUE"""),"Kermit Washington")</f>
        <v>Kermit Washington</v>
      </c>
      <c r="E5465" s="4" t="str">
        <f>IFERROR(__xludf.DUMMYFUNCTION("""COMPUTED_VALUE"""),"American University")</f>
        <v>American University</v>
      </c>
      <c r="F5465" s="4">
        <f>IFERROR(__xludf.DUMMYFUNCTION("""COMPUTED_VALUE"""),10.0)</f>
        <v>10</v>
      </c>
      <c r="G5465" s="4">
        <f>IFERROR(__xludf.DUMMYFUNCTION("""COMPUTED_VALUE"""),507.0)</f>
        <v>507</v>
      </c>
      <c r="H5465" s="4">
        <f>IFERROR(__xludf.DUMMYFUNCTION("""COMPUTED_VALUE"""),12815.0)</f>
        <v>12815</v>
      </c>
      <c r="I5465" s="4">
        <f>IFERROR(__xludf.DUMMYFUNCTION("""COMPUTED_VALUE"""),4666.0)</f>
        <v>4666</v>
      </c>
      <c r="J5465" s="4">
        <f>IFERROR(__xludf.DUMMYFUNCTION("""COMPUTED_VALUE"""),4232.0)</f>
        <v>4232</v>
      </c>
      <c r="K5465" s="4">
        <f>IFERROR(__xludf.DUMMYFUNCTION("""COMPUTED_VALUE"""),695.0)</f>
        <v>695</v>
      </c>
      <c r="L5465" s="4">
        <f>IFERROR(__xludf.DUMMYFUNCTION("""COMPUTED_VALUE"""),0.526)</f>
        <v>0.526</v>
      </c>
      <c r="M5465" s="4"/>
      <c r="N5465" s="4">
        <f>IFERROR(__xludf.DUMMYFUNCTION("""COMPUTED_VALUE"""),0.656)</f>
        <v>0.656</v>
      </c>
      <c r="O5465" s="4">
        <f>IFERROR(__xludf.DUMMYFUNCTION("""COMPUTED_VALUE"""),25.3)</f>
        <v>25.3</v>
      </c>
      <c r="P5465" s="4">
        <f>IFERROR(__xludf.DUMMYFUNCTION("""COMPUTED_VALUE"""),9.2)</f>
        <v>9.2</v>
      </c>
      <c r="Q5465" s="4">
        <f>IFERROR(__xludf.DUMMYFUNCTION("""COMPUTED_VALUE"""),8.3)</f>
        <v>8.3</v>
      </c>
      <c r="R5465" s="4">
        <f>IFERROR(__xludf.DUMMYFUNCTION("""COMPUTED_VALUE"""),1.4)</f>
        <v>1.4</v>
      </c>
      <c r="S5465" s="4">
        <f>IFERROR(__xludf.DUMMYFUNCTION("""COMPUTED_VALUE"""),36.0)</f>
        <v>36</v>
      </c>
      <c r="T5465" s="4">
        <f>IFERROR(__xludf.DUMMYFUNCTION("""COMPUTED_VALUE"""),0.135)</f>
        <v>0.135</v>
      </c>
      <c r="U5465" s="4">
        <f>IFERROR(__xludf.DUMMYFUNCTION("""COMPUTED_VALUE"""),0.5)</f>
        <v>0.5</v>
      </c>
      <c r="V5465" s="4">
        <f>IFERROR(__xludf.DUMMYFUNCTION("""COMPUTED_VALUE"""),8.1)</f>
        <v>8.1</v>
      </c>
    </row>
    <row r="5466">
      <c r="A5466" s="4">
        <f>IFERROR(__xludf.DUMMYFUNCTION("""COMPUTED_VALUE"""),6.0)</f>
        <v>6</v>
      </c>
      <c r="B5466" s="4">
        <f>IFERROR(__xludf.DUMMYFUNCTION("""COMPUTED_VALUE"""),6.0)</f>
        <v>6</v>
      </c>
      <c r="C5466" s="4" t="str">
        <f>IFERROR(__xludf.DUMMYFUNCTION("""COMPUTED_VALUE"""),"HOU")</f>
        <v>HOU</v>
      </c>
      <c r="D5466" s="4" t="str">
        <f>IFERROR(__xludf.DUMMYFUNCTION("""COMPUTED_VALUE"""),"Ed Ratleff")</f>
        <v>Ed Ratleff</v>
      </c>
      <c r="E5466" s="4" t="str">
        <f>IFERROR(__xludf.DUMMYFUNCTION("""COMPUTED_VALUE"""),"Cal State Long Beach")</f>
        <v>Cal State Long Beach</v>
      </c>
      <c r="F5466" s="4">
        <f>IFERROR(__xludf.DUMMYFUNCTION("""COMPUTED_VALUE"""),5.0)</f>
        <v>5</v>
      </c>
      <c r="G5466" s="4">
        <f>IFERROR(__xludf.DUMMYFUNCTION("""COMPUTED_VALUE"""),338.0)</f>
        <v>338</v>
      </c>
      <c r="H5466" s="4">
        <f>IFERROR(__xludf.DUMMYFUNCTION("""COMPUTED_VALUE"""),8433.0)</f>
        <v>8433</v>
      </c>
      <c r="I5466" s="4">
        <f>IFERROR(__xludf.DUMMYFUNCTION("""COMPUTED_VALUE"""),2813.0)</f>
        <v>2813</v>
      </c>
      <c r="J5466" s="4">
        <f>IFERROR(__xludf.DUMMYFUNCTION("""COMPUTED_VALUE"""),1363.0)</f>
        <v>1363</v>
      </c>
      <c r="K5466" s="4">
        <f>IFERROR(__xludf.DUMMYFUNCTION("""COMPUTED_VALUE"""),896.0)</f>
        <v>896</v>
      </c>
      <c r="L5466" s="4">
        <f>IFERROR(__xludf.DUMMYFUNCTION("""COMPUTED_VALUE"""),0.454)</f>
        <v>0.454</v>
      </c>
      <c r="M5466" s="4"/>
      <c r="N5466" s="4">
        <f>IFERROR(__xludf.DUMMYFUNCTION("""COMPUTED_VALUE"""),0.803)</f>
        <v>0.803</v>
      </c>
      <c r="O5466" s="4">
        <f>IFERROR(__xludf.DUMMYFUNCTION("""COMPUTED_VALUE"""),24.9)</f>
        <v>24.9</v>
      </c>
      <c r="P5466" s="4">
        <f>IFERROR(__xludf.DUMMYFUNCTION("""COMPUTED_VALUE"""),8.3)</f>
        <v>8.3</v>
      </c>
      <c r="Q5466" s="4">
        <f>IFERROR(__xludf.DUMMYFUNCTION("""COMPUTED_VALUE"""),4.0)</f>
        <v>4</v>
      </c>
      <c r="R5466" s="4">
        <f>IFERROR(__xludf.DUMMYFUNCTION("""COMPUTED_VALUE"""),2.7)</f>
        <v>2.7</v>
      </c>
      <c r="S5466" s="4">
        <f>IFERROR(__xludf.DUMMYFUNCTION("""COMPUTED_VALUE"""),13.8)</f>
        <v>13.8</v>
      </c>
      <c r="T5466" s="4">
        <f>IFERROR(__xludf.DUMMYFUNCTION("""COMPUTED_VALUE"""),0.078)</f>
        <v>0.078</v>
      </c>
      <c r="U5466" s="4">
        <f>IFERROR(__xludf.DUMMYFUNCTION("""COMPUTED_VALUE"""),0.5)</f>
        <v>0.5</v>
      </c>
      <c r="V5466" s="4">
        <f>IFERROR(__xludf.DUMMYFUNCTION("""COMPUTED_VALUE"""),5.4)</f>
        <v>5.4</v>
      </c>
    </row>
    <row r="5467">
      <c r="A5467" s="4">
        <f>IFERROR(__xludf.DUMMYFUNCTION("""COMPUTED_VALUE"""),7.0)</f>
        <v>7</v>
      </c>
      <c r="B5467" s="4">
        <f>IFERROR(__xludf.DUMMYFUNCTION("""COMPUTED_VALUE"""),7.0)</f>
        <v>7</v>
      </c>
      <c r="C5467" s="4" t="str">
        <f>IFERROR(__xludf.DUMMYFUNCTION("""COMPUTED_VALUE"""),"KCO")</f>
        <v>KCO</v>
      </c>
      <c r="D5467" s="4" t="str">
        <f>IFERROR(__xludf.DUMMYFUNCTION("""COMPUTED_VALUE"""),"Ron Behagen")</f>
        <v>Ron Behagen</v>
      </c>
      <c r="E5467" s="4" t="str">
        <f>IFERROR(__xludf.DUMMYFUNCTION("""COMPUTED_VALUE"""),"Minnesota")</f>
        <v>Minnesota</v>
      </c>
      <c r="F5467" s="4">
        <f>IFERROR(__xludf.DUMMYFUNCTION("""COMPUTED_VALUE"""),7.0)</f>
        <v>7</v>
      </c>
      <c r="G5467" s="4">
        <f>IFERROR(__xludf.DUMMYFUNCTION("""COMPUTED_VALUE"""),388.0)</f>
        <v>388</v>
      </c>
      <c r="H5467" s="4">
        <f>IFERROR(__xludf.DUMMYFUNCTION("""COMPUTED_VALUE"""),9131.0)</f>
        <v>9131</v>
      </c>
      <c r="I5467" s="4">
        <f>IFERROR(__xludf.DUMMYFUNCTION("""COMPUTED_VALUE"""),3977.0)</f>
        <v>3977</v>
      </c>
      <c r="J5467" s="4">
        <f>IFERROR(__xludf.DUMMYFUNCTION("""COMPUTED_VALUE"""),2712.0)</f>
        <v>2712</v>
      </c>
      <c r="K5467" s="4">
        <f>IFERROR(__xludf.DUMMYFUNCTION("""COMPUTED_VALUE"""),624.0)</f>
        <v>624</v>
      </c>
      <c r="L5467" s="4">
        <f>IFERROR(__xludf.DUMMYFUNCTION("""COMPUTED_VALUE"""),0.425)</f>
        <v>0.425</v>
      </c>
      <c r="M5467" s="4"/>
      <c r="N5467" s="4">
        <f>IFERROR(__xludf.DUMMYFUNCTION("""COMPUTED_VALUE"""),0.754)</f>
        <v>0.754</v>
      </c>
      <c r="O5467" s="4">
        <f>IFERROR(__xludf.DUMMYFUNCTION("""COMPUTED_VALUE"""),23.5)</f>
        <v>23.5</v>
      </c>
      <c r="P5467" s="4">
        <f>IFERROR(__xludf.DUMMYFUNCTION("""COMPUTED_VALUE"""),10.3)</f>
        <v>10.3</v>
      </c>
      <c r="Q5467" s="4">
        <f>IFERROR(__xludf.DUMMYFUNCTION("""COMPUTED_VALUE"""),7.0)</f>
        <v>7</v>
      </c>
      <c r="R5467" s="4">
        <f>IFERROR(__xludf.DUMMYFUNCTION("""COMPUTED_VALUE"""),1.6)</f>
        <v>1.6</v>
      </c>
      <c r="S5467" s="4">
        <f>IFERROR(__xludf.DUMMYFUNCTION("""COMPUTED_VALUE"""),13.0)</f>
        <v>13</v>
      </c>
      <c r="T5467" s="4">
        <f>IFERROR(__xludf.DUMMYFUNCTION("""COMPUTED_VALUE"""),0.068)</f>
        <v>0.068</v>
      </c>
      <c r="U5467" s="4">
        <f>IFERROR(__xludf.DUMMYFUNCTION("""COMPUTED_VALUE"""),-2.1)</f>
        <v>-2.1</v>
      </c>
      <c r="V5467" s="4">
        <f>IFERROR(__xludf.DUMMYFUNCTION("""COMPUTED_VALUE"""),-0.2)</f>
        <v>-0.2</v>
      </c>
    </row>
    <row r="5468">
      <c r="A5468" s="4">
        <f>IFERROR(__xludf.DUMMYFUNCTION("""COMPUTED_VALUE"""),8.0)</f>
        <v>8</v>
      </c>
      <c r="B5468" s="4">
        <f>IFERROR(__xludf.DUMMYFUNCTION("""COMPUTED_VALUE"""),8.0)</f>
        <v>8</v>
      </c>
      <c r="C5468" s="4" t="str">
        <f>IFERROR(__xludf.DUMMYFUNCTION("""COMPUTED_VALUE"""),"PHO")</f>
        <v>PHO</v>
      </c>
      <c r="D5468" s="4" t="str">
        <f>IFERROR(__xludf.DUMMYFUNCTION("""COMPUTED_VALUE"""),"Mike Bantom")</f>
        <v>Mike Bantom</v>
      </c>
      <c r="E5468" s="4" t="str">
        <f>IFERROR(__xludf.DUMMYFUNCTION("""COMPUTED_VALUE"""),"Saint Joseph's")</f>
        <v>Saint Joseph's</v>
      </c>
      <c r="F5468" s="4">
        <f>IFERROR(__xludf.DUMMYFUNCTION("""COMPUTED_VALUE"""),9.0)</f>
        <v>9</v>
      </c>
      <c r="G5468" s="4">
        <f>IFERROR(__xludf.DUMMYFUNCTION("""COMPUTED_VALUE"""),706.0)</f>
        <v>706</v>
      </c>
      <c r="H5468" s="4">
        <f>IFERROR(__xludf.DUMMYFUNCTION("""COMPUTED_VALUE"""),19725.0)</f>
        <v>19725</v>
      </c>
      <c r="I5468" s="4">
        <f>IFERROR(__xludf.DUMMYFUNCTION("""COMPUTED_VALUE"""),8568.0)</f>
        <v>8568</v>
      </c>
      <c r="J5468" s="4">
        <f>IFERROR(__xludf.DUMMYFUNCTION("""COMPUTED_VALUE"""),4517.0)</f>
        <v>4517</v>
      </c>
      <c r="K5468" s="4">
        <f>IFERROR(__xludf.DUMMYFUNCTION("""COMPUTED_VALUE"""),1623.0)</f>
        <v>1623</v>
      </c>
      <c r="L5468" s="4">
        <f>IFERROR(__xludf.DUMMYFUNCTION("""COMPUTED_VALUE"""),0.468)</f>
        <v>0.468</v>
      </c>
      <c r="M5468" s="4"/>
      <c r="N5468" s="4">
        <f>IFERROR(__xludf.DUMMYFUNCTION("""COMPUTED_VALUE"""),0.692)</f>
        <v>0.692</v>
      </c>
      <c r="O5468" s="4">
        <f>IFERROR(__xludf.DUMMYFUNCTION("""COMPUTED_VALUE"""),27.9)</f>
        <v>27.9</v>
      </c>
      <c r="P5468" s="4">
        <f>IFERROR(__xludf.DUMMYFUNCTION("""COMPUTED_VALUE"""),12.1)</f>
        <v>12.1</v>
      </c>
      <c r="Q5468" s="4">
        <f>IFERROR(__xludf.DUMMYFUNCTION("""COMPUTED_VALUE"""),6.4)</f>
        <v>6.4</v>
      </c>
      <c r="R5468" s="4">
        <f>IFERROR(__xludf.DUMMYFUNCTION("""COMPUTED_VALUE"""),2.3)</f>
        <v>2.3</v>
      </c>
      <c r="S5468" s="4">
        <f>IFERROR(__xludf.DUMMYFUNCTION("""COMPUTED_VALUE"""),34.8)</f>
        <v>34.8</v>
      </c>
      <c r="T5468" s="4">
        <f>IFERROR(__xludf.DUMMYFUNCTION("""COMPUTED_VALUE"""),0.085)</f>
        <v>0.085</v>
      </c>
      <c r="U5468" s="4">
        <f>IFERROR(__xludf.DUMMYFUNCTION("""COMPUTED_VALUE"""),-0.8)</f>
        <v>-0.8</v>
      </c>
      <c r="V5468" s="4">
        <f>IFERROR(__xludf.DUMMYFUNCTION("""COMPUTED_VALUE"""),5.7)</f>
        <v>5.7</v>
      </c>
    </row>
    <row r="5469">
      <c r="A5469" s="4">
        <f>IFERROR(__xludf.DUMMYFUNCTION("""COMPUTED_VALUE"""),9.0)</f>
        <v>9</v>
      </c>
      <c r="B5469" s="4">
        <f>IFERROR(__xludf.DUMMYFUNCTION("""COMPUTED_VALUE"""),9.0)</f>
        <v>9</v>
      </c>
      <c r="C5469" s="4" t="str">
        <f>IFERROR(__xludf.DUMMYFUNCTION("""COMPUTED_VALUE"""),"ATL")</f>
        <v>ATL</v>
      </c>
      <c r="D5469" s="4" t="str">
        <f>IFERROR(__xludf.DUMMYFUNCTION("""COMPUTED_VALUE"""),"Dwight Jones")</f>
        <v>Dwight Jones</v>
      </c>
      <c r="E5469" s="4" t="str">
        <f>IFERROR(__xludf.DUMMYFUNCTION("""COMPUTED_VALUE"""),"Houston")</f>
        <v>Houston</v>
      </c>
      <c r="F5469" s="4">
        <f>IFERROR(__xludf.DUMMYFUNCTION("""COMPUTED_VALUE"""),10.0)</f>
        <v>10</v>
      </c>
      <c r="G5469" s="4">
        <f>IFERROR(__xludf.DUMMYFUNCTION("""COMPUTED_VALUE"""),766.0)</f>
        <v>766</v>
      </c>
      <c r="H5469" s="4">
        <f>IFERROR(__xludf.DUMMYFUNCTION("""COMPUTED_VALUE"""),16452.0)</f>
        <v>16452</v>
      </c>
      <c r="I5469" s="4">
        <f>IFERROR(__xludf.DUMMYFUNCTION("""COMPUTED_VALUE"""),6230.0)</f>
        <v>6230</v>
      </c>
      <c r="J5469" s="4">
        <f>IFERROR(__xludf.DUMMYFUNCTION("""COMPUTED_VALUE"""),4513.0)</f>
        <v>4513</v>
      </c>
      <c r="K5469" s="4">
        <f>IFERROR(__xludf.DUMMYFUNCTION("""COMPUTED_VALUE"""),911.0)</f>
        <v>911</v>
      </c>
      <c r="L5469" s="4">
        <f>IFERROR(__xludf.DUMMYFUNCTION("""COMPUTED_VALUE"""),0.471)</f>
        <v>0.471</v>
      </c>
      <c r="M5469" s="4"/>
      <c r="N5469" s="4">
        <f>IFERROR(__xludf.DUMMYFUNCTION("""COMPUTED_VALUE"""),0.74)</f>
        <v>0.74</v>
      </c>
      <c r="O5469" s="4">
        <f>IFERROR(__xludf.DUMMYFUNCTION("""COMPUTED_VALUE"""),21.5)</f>
        <v>21.5</v>
      </c>
      <c r="P5469" s="4">
        <f>IFERROR(__xludf.DUMMYFUNCTION("""COMPUTED_VALUE"""),8.1)</f>
        <v>8.1</v>
      </c>
      <c r="Q5469" s="4">
        <f>IFERROR(__xludf.DUMMYFUNCTION("""COMPUTED_VALUE"""),5.9)</f>
        <v>5.9</v>
      </c>
      <c r="R5469" s="4">
        <f>IFERROR(__xludf.DUMMYFUNCTION("""COMPUTED_VALUE"""),1.2)</f>
        <v>1.2</v>
      </c>
      <c r="S5469" s="4">
        <f>IFERROR(__xludf.DUMMYFUNCTION("""COMPUTED_VALUE"""),27.6)</f>
        <v>27.6</v>
      </c>
      <c r="T5469" s="4">
        <f>IFERROR(__xludf.DUMMYFUNCTION("""COMPUTED_VALUE"""),0.081)</f>
        <v>0.081</v>
      </c>
      <c r="U5469" s="4">
        <f>IFERROR(__xludf.DUMMYFUNCTION("""COMPUTED_VALUE"""),-1.6)</f>
        <v>-1.6</v>
      </c>
      <c r="V5469" s="4">
        <f>IFERROR(__xludf.DUMMYFUNCTION("""COMPUTED_VALUE"""),1.6)</f>
        <v>1.6</v>
      </c>
    </row>
    <row r="5470">
      <c r="A5470" s="4">
        <f>IFERROR(__xludf.DUMMYFUNCTION("""COMPUTED_VALUE"""),10.0)</f>
        <v>10</v>
      </c>
      <c r="B5470" s="4">
        <f>IFERROR(__xludf.DUMMYFUNCTION("""COMPUTED_VALUE"""),10.0)</f>
        <v>10</v>
      </c>
      <c r="C5470" s="4" t="str">
        <f>IFERROR(__xludf.DUMMYFUNCTION("""COMPUTED_VALUE"""),"ATL")</f>
        <v>ATL</v>
      </c>
      <c r="D5470" s="4" t="str">
        <f>IFERROR(__xludf.DUMMYFUNCTION("""COMPUTED_VALUE"""),"John Brown")</f>
        <v>John Brown</v>
      </c>
      <c r="E5470" s="4" t="str">
        <f>IFERROR(__xludf.DUMMYFUNCTION("""COMPUTED_VALUE"""),"Missouri")</f>
        <v>Missouri</v>
      </c>
      <c r="F5470" s="4">
        <f>IFERROR(__xludf.DUMMYFUNCTION("""COMPUTED_VALUE"""),7.0)</f>
        <v>7</v>
      </c>
      <c r="G5470" s="4">
        <f>IFERROR(__xludf.DUMMYFUNCTION("""COMPUTED_VALUE"""),486.0)</f>
        <v>486</v>
      </c>
      <c r="H5470" s="4">
        <f>IFERROR(__xludf.DUMMYFUNCTION("""COMPUTED_VALUE"""),10108.0)</f>
        <v>10108</v>
      </c>
      <c r="I5470" s="4">
        <f>IFERROR(__xludf.DUMMYFUNCTION("""COMPUTED_VALUE"""),3614.0)</f>
        <v>3614</v>
      </c>
      <c r="J5470" s="4">
        <f>IFERROR(__xludf.DUMMYFUNCTION("""COMPUTED_VALUE"""),2126.0)</f>
        <v>2126</v>
      </c>
      <c r="K5470" s="4">
        <f>IFERROR(__xludf.DUMMYFUNCTION("""COMPUTED_VALUE"""),703.0)</f>
        <v>703</v>
      </c>
      <c r="L5470" s="4">
        <f>IFERROR(__xludf.DUMMYFUNCTION("""COMPUTED_VALUE"""),0.453)</f>
        <v>0.453</v>
      </c>
      <c r="M5470" s="4"/>
      <c r="N5470" s="4">
        <f>IFERROR(__xludf.DUMMYFUNCTION("""COMPUTED_VALUE"""),0.783)</f>
        <v>0.783</v>
      </c>
      <c r="O5470" s="4">
        <f>IFERROR(__xludf.DUMMYFUNCTION("""COMPUTED_VALUE"""),20.8)</f>
        <v>20.8</v>
      </c>
      <c r="P5470" s="4">
        <f>IFERROR(__xludf.DUMMYFUNCTION("""COMPUTED_VALUE"""),7.4)</f>
        <v>7.4</v>
      </c>
      <c r="Q5470" s="4">
        <f>IFERROR(__xludf.DUMMYFUNCTION("""COMPUTED_VALUE"""),4.4)</f>
        <v>4.4</v>
      </c>
      <c r="R5470" s="4">
        <f>IFERROR(__xludf.DUMMYFUNCTION("""COMPUTED_VALUE"""),1.4)</f>
        <v>1.4</v>
      </c>
      <c r="S5470" s="4">
        <f>IFERROR(__xludf.DUMMYFUNCTION("""COMPUTED_VALUE"""),16.2)</f>
        <v>16.2</v>
      </c>
      <c r="T5470" s="4">
        <f>IFERROR(__xludf.DUMMYFUNCTION("""COMPUTED_VALUE"""),0.077)</f>
        <v>0.077</v>
      </c>
      <c r="U5470" s="4">
        <f>IFERROR(__xludf.DUMMYFUNCTION("""COMPUTED_VALUE"""),-2.1)</f>
        <v>-2.1</v>
      </c>
      <c r="V5470" s="4">
        <f>IFERROR(__xludf.DUMMYFUNCTION("""COMPUTED_VALUE"""),-0.4)</f>
        <v>-0.4</v>
      </c>
    </row>
    <row r="5471">
      <c r="A5471" s="4">
        <f>IFERROR(__xludf.DUMMYFUNCTION("""COMPUTED_VALUE"""),11.0)</f>
        <v>11</v>
      </c>
      <c r="B5471" s="4">
        <f>IFERROR(__xludf.DUMMYFUNCTION("""COMPUTED_VALUE"""),11.0)</f>
        <v>11</v>
      </c>
      <c r="C5471" s="4" t="str">
        <f>IFERROR(__xludf.DUMMYFUNCTION("""COMPUTED_VALUE"""),"GSW")</f>
        <v>GSW</v>
      </c>
      <c r="D5471" s="4" t="str">
        <f>IFERROR(__xludf.DUMMYFUNCTION("""COMPUTED_VALUE"""),"Kevin Joyce")</f>
        <v>Kevin Joyce</v>
      </c>
      <c r="E5471" s="4" t="str">
        <f>IFERROR(__xludf.DUMMYFUNCTION("""COMPUTED_VALUE"""),"South Carolina")</f>
        <v>South Carolina</v>
      </c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</row>
    <row r="5472">
      <c r="A5472" s="4">
        <f>IFERROR(__xludf.DUMMYFUNCTION("""COMPUTED_VALUE"""),12.0)</f>
        <v>12</v>
      </c>
      <c r="B5472" s="4">
        <f>IFERROR(__xludf.DUMMYFUNCTION("""COMPUTED_VALUE"""),12.0)</f>
        <v>12</v>
      </c>
      <c r="C5472" s="4" t="str">
        <f>IFERROR(__xludf.DUMMYFUNCTION("""COMPUTED_VALUE"""),"CHI")</f>
        <v>CHI</v>
      </c>
      <c r="D5472" s="4" t="str">
        <f>IFERROR(__xludf.DUMMYFUNCTION("""COMPUTED_VALUE"""),"Kevin Kunnert")</f>
        <v>Kevin Kunnert</v>
      </c>
      <c r="E5472" s="4" t="str">
        <f>IFERROR(__xludf.DUMMYFUNCTION("""COMPUTED_VALUE"""),"Iowa")</f>
        <v>Iowa</v>
      </c>
      <c r="F5472" s="4">
        <f>IFERROR(__xludf.DUMMYFUNCTION("""COMPUTED_VALUE"""),9.0)</f>
        <v>9</v>
      </c>
      <c r="G5472" s="4">
        <f>IFERROR(__xludf.DUMMYFUNCTION("""COMPUTED_VALUE"""),555.0)</f>
        <v>555</v>
      </c>
      <c r="H5472" s="4">
        <f>IFERROR(__xludf.DUMMYFUNCTION("""COMPUTED_VALUE"""),12104.0)</f>
        <v>12104</v>
      </c>
      <c r="I5472" s="4">
        <f>IFERROR(__xludf.DUMMYFUNCTION("""COMPUTED_VALUE"""),4602.0)</f>
        <v>4602</v>
      </c>
      <c r="J5472" s="4">
        <f>IFERROR(__xludf.DUMMYFUNCTION("""COMPUTED_VALUE"""),4031.0)</f>
        <v>4031</v>
      </c>
      <c r="K5472" s="4">
        <f>IFERROR(__xludf.DUMMYFUNCTION("""COMPUTED_VALUE"""),784.0)</f>
        <v>784</v>
      </c>
      <c r="L5472" s="4">
        <f>IFERROR(__xludf.DUMMYFUNCTION("""COMPUTED_VALUE"""),0.476)</f>
        <v>0.476</v>
      </c>
      <c r="M5472" s="4"/>
      <c r="N5472" s="4">
        <f>IFERROR(__xludf.DUMMYFUNCTION("""COMPUTED_VALUE"""),0.682)</f>
        <v>0.682</v>
      </c>
      <c r="O5472" s="4">
        <f>IFERROR(__xludf.DUMMYFUNCTION("""COMPUTED_VALUE"""),21.8)</f>
        <v>21.8</v>
      </c>
      <c r="P5472" s="4">
        <f>IFERROR(__xludf.DUMMYFUNCTION("""COMPUTED_VALUE"""),8.3)</f>
        <v>8.3</v>
      </c>
      <c r="Q5472" s="4">
        <f>IFERROR(__xludf.DUMMYFUNCTION("""COMPUTED_VALUE"""),7.3)</f>
        <v>7.3</v>
      </c>
      <c r="R5472" s="4">
        <f>IFERROR(__xludf.DUMMYFUNCTION("""COMPUTED_VALUE"""),1.4)</f>
        <v>1.4</v>
      </c>
      <c r="S5472" s="4">
        <f>IFERROR(__xludf.DUMMYFUNCTION("""COMPUTED_VALUE"""),22.0)</f>
        <v>22</v>
      </c>
      <c r="T5472" s="4">
        <f>IFERROR(__xludf.DUMMYFUNCTION("""COMPUTED_VALUE"""),0.087)</f>
        <v>0.087</v>
      </c>
      <c r="U5472" s="4">
        <f>IFERROR(__xludf.DUMMYFUNCTION("""COMPUTED_VALUE"""),-1.2)</f>
        <v>-1.2</v>
      </c>
      <c r="V5472" s="4">
        <f>IFERROR(__xludf.DUMMYFUNCTION("""COMPUTED_VALUE"""),2.4)</f>
        <v>2.4</v>
      </c>
    </row>
    <row r="5473">
      <c r="A5473" s="4">
        <f>IFERROR(__xludf.DUMMYFUNCTION("""COMPUTED_VALUE"""),13.0)</f>
        <v>13</v>
      </c>
      <c r="B5473" s="4">
        <f>IFERROR(__xludf.DUMMYFUNCTION("""COMPUTED_VALUE"""),13.0)</f>
        <v>13</v>
      </c>
      <c r="C5473" s="4" t="str">
        <f>IFERROR(__xludf.DUMMYFUNCTION("""COMPUTED_VALUE"""),"CAP")</f>
        <v>CAP</v>
      </c>
      <c r="D5473" s="4" t="str">
        <f>IFERROR(__xludf.DUMMYFUNCTION("""COMPUTED_VALUE"""),"Nick Weatherspoon")</f>
        <v>Nick Weatherspoon</v>
      </c>
      <c r="E5473" s="4" t="str">
        <f>IFERROR(__xludf.DUMMYFUNCTION("""COMPUTED_VALUE"""),"Illinois")</f>
        <v>Illinois</v>
      </c>
      <c r="F5473" s="4">
        <f>IFERROR(__xludf.DUMMYFUNCTION("""COMPUTED_VALUE"""),7.0)</f>
        <v>7</v>
      </c>
      <c r="G5473" s="4">
        <f>IFERROR(__xludf.DUMMYFUNCTION("""COMPUTED_VALUE"""),453.0)</f>
        <v>453</v>
      </c>
      <c r="H5473" s="4">
        <f>IFERROR(__xludf.DUMMYFUNCTION("""COMPUTED_VALUE"""),9680.0)</f>
        <v>9680</v>
      </c>
      <c r="I5473" s="4">
        <f>IFERROR(__xludf.DUMMYFUNCTION("""COMPUTED_VALUE"""),4086.0)</f>
        <v>4086</v>
      </c>
      <c r="J5473" s="4">
        <f>IFERROR(__xludf.DUMMYFUNCTION("""COMPUTED_VALUE"""),2232.0)</f>
        <v>2232</v>
      </c>
      <c r="K5473" s="4">
        <f>IFERROR(__xludf.DUMMYFUNCTION("""COMPUTED_VALUE"""),418.0)</f>
        <v>418</v>
      </c>
      <c r="L5473" s="4">
        <f>IFERROR(__xludf.DUMMYFUNCTION("""COMPUTED_VALUE"""),0.455)</f>
        <v>0.455</v>
      </c>
      <c r="M5473" s="4"/>
      <c r="N5473" s="4">
        <f>IFERROR(__xludf.DUMMYFUNCTION("""COMPUTED_VALUE"""),0.713)</f>
        <v>0.713</v>
      </c>
      <c r="O5473" s="4">
        <f>IFERROR(__xludf.DUMMYFUNCTION("""COMPUTED_VALUE"""),21.4)</f>
        <v>21.4</v>
      </c>
      <c r="P5473" s="4">
        <f>IFERROR(__xludf.DUMMYFUNCTION("""COMPUTED_VALUE"""),9.0)</f>
        <v>9</v>
      </c>
      <c r="Q5473" s="4">
        <f>IFERROR(__xludf.DUMMYFUNCTION("""COMPUTED_VALUE"""),4.9)</f>
        <v>4.9</v>
      </c>
      <c r="R5473" s="4">
        <f>IFERROR(__xludf.DUMMYFUNCTION("""COMPUTED_VALUE"""),0.9)</f>
        <v>0.9</v>
      </c>
      <c r="S5473" s="4">
        <f>IFERROR(__xludf.DUMMYFUNCTION("""COMPUTED_VALUE"""),15.2)</f>
        <v>15.2</v>
      </c>
      <c r="T5473" s="4">
        <f>IFERROR(__xludf.DUMMYFUNCTION("""COMPUTED_VALUE"""),0.075)</f>
        <v>0.075</v>
      </c>
      <c r="U5473" s="4">
        <f>IFERROR(__xludf.DUMMYFUNCTION("""COMPUTED_VALUE"""),-2.1)</f>
        <v>-2.1</v>
      </c>
      <c r="V5473" s="4">
        <f>IFERROR(__xludf.DUMMYFUNCTION("""COMPUTED_VALUE"""),-0.3)</f>
        <v>-0.3</v>
      </c>
    </row>
    <row r="5474">
      <c r="A5474" s="4">
        <f>IFERROR(__xludf.DUMMYFUNCTION("""COMPUTED_VALUE"""),14.0)</f>
        <v>14</v>
      </c>
      <c r="B5474" s="4">
        <f>IFERROR(__xludf.DUMMYFUNCTION("""COMPUTED_VALUE"""),14.0)</f>
        <v>14</v>
      </c>
      <c r="C5474" s="4" t="str">
        <f>IFERROR(__xludf.DUMMYFUNCTION("""COMPUTED_VALUE"""),"NYK")</f>
        <v>NYK</v>
      </c>
      <c r="D5474" s="4" t="str">
        <f>IFERROR(__xludf.DUMMYFUNCTION("""COMPUTED_VALUE"""),"Mel Davis")</f>
        <v>Mel Davis</v>
      </c>
      <c r="E5474" s="4" t="str">
        <f>IFERROR(__xludf.DUMMYFUNCTION("""COMPUTED_VALUE"""),"St. John's")</f>
        <v>St. John's</v>
      </c>
      <c r="F5474" s="4">
        <f>IFERROR(__xludf.DUMMYFUNCTION("""COMPUTED_VALUE"""),4.0)</f>
        <v>4</v>
      </c>
      <c r="G5474" s="4">
        <f>IFERROR(__xludf.DUMMYFUNCTION("""COMPUTED_VALUE"""),190.0)</f>
        <v>190</v>
      </c>
      <c r="H5474" s="4">
        <f>IFERROR(__xludf.DUMMYFUNCTION("""COMPUTED_VALUE"""),2572.0)</f>
        <v>2572</v>
      </c>
      <c r="I5474" s="4">
        <f>IFERROR(__xludf.DUMMYFUNCTION("""COMPUTED_VALUE"""),1008.0)</f>
        <v>1008</v>
      </c>
      <c r="J5474" s="4">
        <f>IFERROR(__xludf.DUMMYFUNCTION("""COMPUTED_VALUE"""),816.0)</f>
        <v>816</v>
      </c>
      <c r="K5474" s="4">
        <f>IFERROR(__xludf.DUMMYFUNCTION("""COMPUTED_VALUE"""),164.0)</f>
        <v>164</v>
      </c>
      <c r="L5474" s="4">
        <f>IFERROR(__xludf.DUMMYFUNCTION("""COMPUTED_VALUE"""),0.376)</f>
        <v>0.376</v>
      </c>
      <c r="M5474" s="4"/>
      <c r="N5474" s="4">
        <f>IFERROR(__xludf.DUMMYFUNCTION("""COMPUTED_VALUE"""),0.709)</f>
        <v>0.709</v>
      </c>
      <c r="O5474" s="4">
        <f>IFERROR(__xludf.DUMMYFUNCTION("""COMPUTED_VALUE"""),13.5)</f>
        <v>13.5</v>
      </c>
      <c r="P5474" s="4">
        <f>IFERROR(__xludf.DUMMYFUNCTION("""COMPUTED_VALUE"""),5.3)</f>
        <v>5.3</v>
      </c>
      <c r="Q5474" s="4">
        <f>IFERROR(__xludf.DUMMYFUNCTION("""COMPUTED_VALUE"""),4.3)</f>
        <v>4.3</v>
      </c>
      <c r="R5474" s="4">
        <f>IFERROR(__xludf.DUMMYFUNCTION("""COMPUTED_VALUE"""),0.9)</f>
        <v>0.9</v>
      </c>
      <c r="S5474" s="4">
        <f>IFERROR(__xludf.DUMMYFUNCTION("""COMPUTED_VALUE"""),0.3)</f>
        <v>0.3</v>
      </c>
      <c r="T5474" s="4">
        <f>IFERROR(__xludf.DUMMYFUNCTION("""COMPUTED_VALUE"""),0.006)</f>
        <v>0.006</v>
      </c>
      <c r="U5474" s="4">
        <f>IFERROR(__xludf.DUMMYFUNCTION("""COMPUTED_VALUE"""),-3.8)</f>
        <v>-3.8</v>
      </c>
      <c r="V5474" s="4">
        <f>IFERROR(__xludf.DUMMYFUNCTION("""COMPUTED_VALUE"""),-1.3)</f>
        <v>-1.3</v>
      </c>
    </row>
    <row r="5475">
      <c r="A5475" s="4">
        <f>IFERROR(__xludf.DUMMYFUNCTION("""COMPUTED_VALUE"""),15.0)</f>
        <v>15</v>
      </c>
      <c r="B5475" s="4">
        <f>IFERROR(__xludf.DUMMYFUNCTION("""COMPUTED_VALUE"""),15.0)</f>
        <v>15</v>
      </c>
      <c r="C5475" s="4" t="str">
        <f>IFERROR(__xludf.DUMMYFUNCTION("""COMPUTED_VALUE"""),"POR")</f>
        <v>POR</v>
      </c>
      <c r="D5475" s="4" t="str">
        <f>IFERROR(__xludf.DUMMYFUNCTION("""COMPUTED_VALUE"""),"Barry Parkhill")</f>
        <v>Barry Parkhill</v>
      </c>
      <c r="E5475" s="4" t="str">
        <f>IFERROR(__xludf.DUMMYFUNCTION("""COMPUTED_VALUE"""),"Virginia")</f>
        <v>Virginia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</row>
    <row r="5476">
      <c r="A5476" s="4">
        <f>IFERROR(__xludf.DUMMYFUNCTION("""COMPUTED_VALUE"""),16.0)</f>
        <v>16</v>
      </c>
      <c r="B5476" s="4">
        <f>IFERROR(__xludf.DUMMYFUNCTION("""COMPUTED_VALUE"""),16.0)</f>
        <v>16</v>
      </c>
      <c r="C5476" s="4" t="str">
        <f>IFERROR(__xludf.DUMMYFUNCTION("""COMPUTED_VALUE"""),"MIL")</f>
        <v>MIL</v>
      </c>
      <c r="D5476" s="4" t="str">
        <f>IFERROR(__xludf.DUMMYFUNCTION("""COMPUTED_VALUE"""),"Swen Nater")</f>
        <v>Swen Nater</v>
      </c>
      <c r="E5476" s="4" t="str">
        <f>IFERROR(__xludf.DUMMYFUNCTION("""COMPUTED_VALUE"""),"UCLA")</f>
        <v>UCLA</v>
      </c>
      <c r="F5476" s="4">
        <f>IFERROR(__xludf.DUMMYFUNCTION("""COMPUTED_VALUE"""),8.0)</f>
        <v>8</v>
      </c>
      <c r="G5476" s="4">
        <f>IFERROR(__xludf.DUMMYFUNCTION("""COMPUTED_VALUE"""),489.0)</f>
        <v>489</v>
      </c>
      <c r="H5476" s="4">
        <f>IFERROR(__xludf.DUMMYFUNCTION("""COMPUTED_VALUE"""),13868.0)</f>
        <v>13868</v>
      </c>
      <c r="I5476" s="4">
        <f>IFERROR(__xludf.DUMMYFUNCTION("""COMPUTED_VALUE"""),5943.0)</f>
        <v>5943</v>
      </c>
      <c r="J5476" s="4">
        <f>IFERROR(__xludf.DUMMYFUNCTION("""COMPUTED_VALUE"""),5297.0)</f>
        <v>5297</v>
      </c>
      <c r="K5476" s="4">
        <f>IFERROR(__xludf.DUMMYFUNCTION("""COMPUTED_VALUE"""),954.0)</f>
        <v>954</v>
      </c>
      <c r="L5476" s="4">
        <f>IFERROR(__xludf.DUMMYFUNCTION("""COMPUTED_VALUE"""),0.537)</f>
        <v>0.537</v>
      </c>
      <c r="M5476" s="4"/>
      <c r="N5476" s="4">
        <f>IFERROR(__xludf.DUMMYFUNCTION("""COMPUTED_VALUE"""),0.76)</f>
        <v>0.76</v>
      </c>
      <c r="O5476" s="4">
        <f>IFERROR(__xludf.DUMMYFUNCTION("""COMPUTED_VALUE"""),28.4)</f>
        <v>28.4</v>
      </c>
      <c r="P5476" s="4">
        <f>IFERROR(__xludf.DUMMYFUNCTION("""COMPUTED_VALUE"""),12.2)</f>
        <v>12.2</v>
      </c>
      <c r="Q5476" s="4">
        <f>IFERROR(__xludf.DUMMYFUNCTION("""COMPUTED_VALUE"""),10.8)</f>
        <v>10.8</v>
      </c>
      <c r="R5476" s="4">
        <f>IFERROR(__xludf.DUMMYFUNCTION("""COMPUTED_VALUE"""),2.0)</f>
        <v>2</v>
      </c>
      <c r="S5476" s="4">
        <f>IFERROR(__xludf.DUMMYFUNCTION("""COMPUTED_VALUE"""),36.9)</f>
        <v>36.9</v>
      </c>
      <c r="T5476" s="4">
        <f>IFERROR(__xludf.DUMMYFUNCTION("""COMPUTED_VALUE"""),0.128)</f>
        <v>0.128</v>
      </c>
      <c r="U5476" s="4">
        <f>IFERROR(__xludf.DUMMYFUNCTION("""COMPUTED_VALUE"""),0.2)</f>
        <v>0.2</v>
      </c>
      <c r="V5476" s="4">
        <f>IFERROR(__xludf.DUMMYFUNCTION("""COMPUTED_VALUE"""),7.5)</f>
        <v>7.5</v>
      </c>
    </row>
    <row r="5477">
      <c r="A5477" s="4">
        <f>IFERROR(__xludf.DUMMYFUNCTION("""COMPUTED_VALUE"""),17.0)</f>
        <v>17</v>
      </c>
      <c r="B5477" s="4">
        <f>IFERROR(__xludf.DUMMYFUNCTION("""COMPUTED_VALUE"""),17.0)</f>
        <v>17</v>
      </c>
      <c r="C5477" s="4" t="str">
        <f>IFERROR(__xludf.DUMMYFUNCTION("""COMPUTED_VALUE"""),"BOS")</f>
        <v>BOS</v>
      </c>
      <c r="D5477" s="4" t="str">
        <f>IFERROR(__xludf.DUMMYFUNCTION("""COMPUTED_VALUE"""),"Steve Downing")</f>
        <v>Steve Downing</v>
      </c>
      <c r="E5477" s="4" t="str">
        <f>IFERROR(__xludf.DUMMYFUNCTION("""COMPUTED_VALUE"""),"Indiana")</f>
        <v>Indiana</v>
      </c>
      <c r="F5477" s="4">
        <f>IFERROR(__xludf.DUMMYFUNCTION("""COMPUTED_VALUE"""),2.0)</f>
        <v>2</v>
      </c>
      <c r="G5477" s="4">
        <f>IFERROR(__xludf.DUMMYFUNCTION("""COMPUTED_VALUE"""),27.0)</f>
        <v>27</v>
      </c>
      <c r="H5477" s="4">
        <f>IFERROR(__xludf.DUMMYFUNCTION("""COMPUTED_VALUE"""),146.0)</f>
        <v>146</v>
      </c>
      <c r="I5477" s="4">
        <f>IFERROR(__xludf.DUMMYFUNCTION("""COMPUTED_VALUE"""),64.0)</f>
        <v>64</v>
      </c>
      <c r="J5477" s="4">
        <f>IFERROR(__xludf.DUMMYFUNCTION("""COMPUTED_VALUE"""),41.0)</f>
        <v>41</v>
      </c>
      <c r="K5477" s="4">
        <f>IFERROR(__xludf.DUMMYFUNCTION("""COMPUTED_VALUE"""),11.0)</f>
        <v>11</v>
      </c>
      <c r="L5477" s="4">
        <f>IFERROR(__xludf.DUMMYFUNCTION("""COMPUTED_VALUE"""),0.318)</f>
        <v>0.318</v>
      </c>
      <c r="M5477" s="4"/>
      <c r="N5477" s="4">
        <f>IFERROR(__xludf.DUMMYFUNCTION("""COMPUTED_VALUE"""),0.55)</f>
        <v>0.55</v>
      </c>
      <c r="O5477" s="4">
        <f>IFERROR(__xludf.DUMMYFUNCTION("""COMPUTED_VALUE"""),5.4)</f>
        <v>5.4</v>
      </c>
      <c r="P5477" s="4">
        <f>IFERROR(__xludf.DUMMYFUNCTION("""COMPUTED_VALUE"""),2.4)</f>
        <v>2.4</v>
      </c>
      <c r="Q5477" s="4">
        <f>IFERROR(__xludf.DUMMYFUNCTION("""COMPUTED_VALUE"""),1.5)</f>
        <v>1.5</v>
      </c>
      <c r="R5477" s="4">
        <f>IFERROR(__xludf.DUMMYFUNCTION("""COMPUTED_VALUE"""),0.4)</f>
        <v>0.4</v>
      </c>
      <c r="S5477" s="4">
        <f>IFERROR(__xludf.DUMMYFUNCTION("""COMPUTED_VALUE"""),-0.2)</f>
        <v>-0.2</v>
      </c>
      <c r="T5477" s="4">
        <f>IFERROR(__xludf.DUMMYFUNCTION("""COMPUTED_VALUE"""),-0.06)</f>
        <v>-0.06</v>
      </c>
      <c r="U5477" s="4">
        <f>IFERROR(__xludf.DUMMYFUNCTION("""COMPUTED_VALUE"""),-6.3)</f>
        <v>-6.3</v>
      </c>
      <c r="V5477" s="4">
        <f>IFERROR(__xludf.DUMMYFUNCTION("""COMPUTED_VALUE"""),-0.2)</f>
        <v>-0.2</v>
      </c>
    </row>
    <row r="5478">
      <c r="A5478" s="4">
        <f>IFERROR(__xludf.DUMMYFUNCTION("""COMPUTED_VALUE"""),18.0)</f>
        <v>18</v>
      </c>
      <c r="B5478" s="4">
        <f>IFERROR(__xludf.DUMMYFUNCTION("""COMPUTED_VALUE"""),18.0)</f>
        <v>18</v>
      </c>
      <c r="C5478" s="4" t="str">
        <f>IFERROR(__xludf.DUMMYFUNCTION("""COMPUTED_VALUE"""),"PHI")</f>
        <v>PHI</v>
      </c>
      <c r="D5478" s="4" t="str">
        <f>IFERROR(__xludf.DUMMYFUNCTION("""COMPUTED_VALUE"""),"Raymond Lewis")</f>
        <v>Raymond Lewis</v>
      </c>
      <c r="E5478" s="4" t="str">
        <f>IFERROR(__xludf.DUMMYFUNCTION("""COMPUTED_VALUE"""),"California State University, Los Angeles")</f>
        <v>California State University, Los Angeles</v>
      </c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</row>
    <row r="5479">
      <c r="A5479" s="4"/>
      <c r="B5479" s="4"/>
      <c r="C5479" s="4"/>
      <c r="D5479" s="4" t="str">
        <f>IFERROR(__xludf.DUMMYFUNCTION("""COMPUTED_VALUE"""),"Round 2")</f>
        <v>Round 2</v>
      </c>
      <c r="E5479" s="4"/>
      <c r="F5479" s="4"/>
      <c r="G5479" s="4" t="str">
        <f>IFERROR(__xludf.DUMMYFUNCTION("""COMPUTED_VALUE"""),"Totals")</f>
        <v>Totals</v>
      </c>
      <c r="H5479" s="4"/>
      <c r="I5479" s="4"/>
      <c r="J5479" s="4"/>
      <c r="K5479" s="4"/>
      <c r="L5479" s="4" t="str">
        <f>IFERROR(__xludf.DUMMYFUNCTION("""COMPUTED_VALUE"""),"Shooting")</f>
        <v>Shooting</v>
      </c>
      <c r="M5479" s="4"/>
      <c r="N5479" s="4"/>
      <c r="O5479" s="4" t="str">
        <f>IFERROR(__xludf.DUMMYFUNCTION("""COMPUTED_VALUE"""),"Per Game")</f>
        <v>Per Game</v>
      </c>
      <c r="P5479" s="4"/>
      <c r="Q5479" s="4"/>
      <c r="R5479" s="4"/>
      <c r="S5479" s="4" t="str">
        <f>IFERROR(__xludf.DUMMYFUNCTION("""COMPUTED_VALUE"""),"Advanced")</f>
        <v>Advanced</v>
      </c>
      <c r="T5479" s="4"/>
      <c r="U5479" s="4"/>
      <c r="V5479" s="4"/>
    </row>
    <row r="5480">
      <c r="A5480" s="4" t="str">
        <f>IFERROR(__xludf.DUMMYFUNCTION("""COMPUTED_VALUE"""),"Rk")</f>
        <v>Rk</v>
      </c>
      <c r="B5480" s="4" t="str">
        <f>IFERROR(__xludf.DUMMYFUNCTION("""COMPUTED_VALUE"""),"Pk")</f>
        <v>Pk</v>
      </c>
      <c r="C5480" s="4" t="str">
        <f>IFERROR(__xludf.DUMMYFUNCTION("""COMPUTED_VALUE"""),"Tm")</f>
        <v>Tm</v>
      </c>
      <c r="D5480" s="4" t="str">
        <f>IFERROR(__xludf.DUMMYFUNCTION("""COMPUTED_VALUE"""),"Player")</f>
        <v>Player</v>
      </c>
      <c r="E5480" s="4" t="str">
        <f>IFERROR(__xludf.DUMMYFUNCTION("""COMPUTED_VALUE"""),"College")</f>
        <v>College</v>
      </c>
      <c r="F5480" s="4" t="str">
        <f>IFERROR(__xludf.DUMMYFUNCTION("""COMPUTED_VALUE"""),"Yrs")</f>
        <v>Yrs</v>
      </c>
      <c r="G5480" s="4" t="str">
        <f>IFERROR(__xludf.DUMMYFUNCTION("""COMPUTED_VALUE"""),"G")</f>
        <v>G</v>
      </c>
      <c r="H5480" s="4" t="str">
        <f>IFERROR(__xludf.DUMMYFUNCTION("""COMPUTED_VALUE"""),"MP")</f>
        <v>MP</v>
      </c>
      <c r="I5480" s="4" t="str">
        <f>IFERROR(__xludf.DUMMYFUNCTION("""COMPUTED_VALUE"""),"PTS")</f>
        <v>PTS</v>
      </c>
      <c r="J5480" s="4" t="str">
        <f>IFERROR(__xludf.DUMMYFUNCTION("""COMPUTED_VALUE"""),"TRB")</f>
        <v>TRB</v>
      </c>
      <c r="K5480" s="4" t="str">
        <f>IFERROR(__xludf.DUMMYFUNCTION("""COMPUTED_VALUE"""),"AST")</f>
        <v>AST</v>
      </c>
      <c r="L5480" s="4" t="str">
        <f>IFERROR(__xludf.DUMMYFUNCTION("""COMPUTED_VALUE"""),"FG%")</f>
        <v>FG%</v>
      </c>
      <c r="M5480" s="4" t="str">
        <f>IFERROR(__xludf.DUMMYFUNCTION("""COMPUTED_VALUE"""),"3P%")</f>
        <v>3P%</v>
      </c>
      <c r="N5480" s="4" t="str">
        <f>IFERROR(__xludf.DUMMYFUNCTION("""COMPUTED_VALUE"""),"FT%")</f>
        <v>FT%</v>
      </c>
      <c r="O5480" s="4" t="str">
        <f>IFERROR(__xludf.DUMMYFUNCTION("""COMPUTED_VALUE"""),"MP")</f>
        <v>MP</v>
      </c>
      <c r="P5480" s="4" t="str">
        <f>IFERROR(__xludf.DUMMYFUNCTION("""COMPUTED_VALUE"""),"PTS")</f>
        <v>PTS</v>
      </c>
      <c r="Q5480" s="4" t="str">
        <f>IFERROR(__xludf.DUMMYFUNCTION("""COMPUTED_VALUE"""),"TRB")</f>
        <v>TRB</v>
      </c>
      <c r="R5480" s="4" t="str">
        <f>IFERROR(__xludf.DUMMYFUNCTION("""COMPUTED_VALUE"""),"AST")</f>
        <v>AST</v>
      </c>
      <c r="S5480" s="4" t="str">
        <f>IFERROR(__xludf.DUMMYFUNCTION("""COMPUTED_VALUE"""),"WS")</f>
        <v>WS</v>
      </c>
      <c r="T5480" s="4" t="str">
        <f>IFERROR(__xludf.DUMMYFUNCTION("""COMPUTED_VALUE"""),"WS/48")</f>
        <v>WS/48</v>
      </c>
      <c r="U5480" s="4" t="str">
        <f>IFERROR(__xludf.DUMMYFUNCTION("""COMPUTED_VALUE"""),"BPM")</f>
        <v>BPM</v>
      </c>
      <c r="V5480" s="4" t="str">
        <f>IFERROR(__xludf.DUMMYFUNCTION("""COMPUTED_VALUE"""),"VORP")</f>
        <v>VORP</v>
      </c>
    </row>
    <row r="5481">
      <c r="A5481" s="4">
        <f>IFERROR(__xludf.DUMMYFUNCTION("""COMPUTED_VALUE"""),19.0)</f>
        <v>19</v>
      </c>
      <c r="B5481" s="4">
        <f>IFERROR(__xludf.DUMMYFUNCTION("""COMPUTED_VALUE"""),19.0)</f>
        <v>19</v>
      </c>
      <c r="C5481" s="4" t="str">
        <f>IFERROR(__xludf.DUMMYFUNCTION("""COMPUTED_VALUE"""),"CAP")</f>
        <v>CAP</v>
      </c>
      <c r="D5481" s="4" t="str">
        <f>IFERROR(__xludf.DUMMYFUNCTION("""COMPUTED_VALUE"""),"Louie Nelson")</f>
        <v>Louie Nelson</v>
      </c>
      <c r="E5481" s="4" t="str">
        <f>IFERROR(__xludf.DUMMYFUNCTION("""COMPUTED_VALUE"""),"Washington")</f>
        <v>Washington</v>
      </c>
      <c r="F5481" s="4">
        <f>IFERROR(__xludf.DUMMYFUNCTION("""COMPUTED_VALUE"""),5.0)</f>
        <v>5</v>
      </c>
      <c r="G5481" s="4">
        <f>IFERROR(__xludf.DUMMYFUNCTION("""COMPUTED_VALUE"""),224.0)</f>
        <v>224</v>
      </c>
      <c r="H5481" s="4">
        <f>IFERROR(__xludf.DUMMYFUNCTION("""COMPUTED_VALUE"""),4947.0)</f>
        <v>4947</v>
      </c>
      <c r="I5481" s="4">
        <f>IFERROR(__xludf.DUMMYFUNCTION("""COMPUTED_VALUE"""),2113.0)</f>
        <v>2113</v>
      </c>
      <c r="J5481" s="4">
        <f>IFERROR(__xludf.DUMMYFUNCTION("""COMPUTED_VALUE"""),527.0)</f>
        <v>527</v>
      </c>
      <c r="K5481" s="4">
        <f>IFERROR(__xludf.DUMMYFUNCTION("""COMPUTED_VALUE"""),436.0)</f>
        <v>436</v>
      </c>
      <c r="L5481" s="4">
        <f>IFERROR(__xludf.DUMMYFUNCTION("""COMPUTED_VALUE"""),0.437)</f>
        <v>0.437</v>
      </c>
      <c r="M5481" s="4"/>
      <c r="N5481" s="4">
        <f>IFERROR(__xludf.DUMMYFUNCTION("""COMPUTED_VALUE"""),0.738)</f>
        <v>0.738</v>
      </c>
      <c r="O5481" s="4">
        <f>IFERROR(__xludf.DUMMYFUNCTION("""COMPUTED_VALUE"""),22.1)</f>
        <v>22.1</v>
      </c>
      <c r="P5481" s="4">
        <f>IFERROR(__xludf.DUMMYFUNCTION("""COMPUTED_VALUE"""),9.4)</f>
        <v>9.4</v>
      </c>
      <c r="Q5481" s="4">
        <f>IFERROR(__xludf.DUMMYFUNCTION("""COMPUTED_VALUE"""),2.4)</f>
        <v>2.4</v>
      </c>
      <c r="R5481" s="4">
        <f>IFERROR(__xludf.DUMMYFUNCTION("""COMPUTED_VALUE"""),1.9)</f>
        <v>1.9</v>
      </c>
      <c r="S5481" s="4">
        <f>IFERROR(__xludf.DUMMYFUNCTION("""COMPUTED_VALUE"""),6.4)</f>
        <v>6.4</v>
      </c>
      <c r="T5481" s="4">
        <f>IFERROR(__xludf.DUMMYFUNCTION("""COMPUTED_VALUE"""),0.062)</f>
        <v>0.062</v>
      </c>
      <c r="U5481" s="4">
        <f>IFERROR(__xludf.DUMMYFUNCTION("""COMPUTED_VALUE"""),-1.7)</f>
        <v>-1.7</v>
      </c>
      <c r="V5481" s="4">
        <f>IFERROR(__xludf.DUMMYFUNCTION("""COMPUTED_VALUE"""),0.3)</f>
        <v>0.3</v>
      </c>
    </row>
    <row r="5482">
      <c r="A5482" s="4">
        <f>IFERROR(__xludf.DUMMYFUNCTION("""COMPUTED_VALUE"""),20.0)</f>
        <v>20</v>
      </c>
      <c r="B5482" s="4">
        <f>IFERROR(__xludf.DUMMYFUNCTION("""COMPUTED_VALUE"""),20.0)</f>
        <v>20</v>
      </c>
      <c r="C5482" s="4" t="str">
        <f>IFERROR(__xludf.DUMMYFUNCTION("""COMPUTED_VALUE"""),"KCO")</f>
        <v>KCO</v>
      </c>
      <c r="D5482" s="4" t="str">
        <f>IFERROR(__xludf.DUMMYFUNCTION("""COMPUTED_VALUE"""),"Mike D'Antoni")</f>
        <v>Mike D'Antoni</v>
      </c>
      <c r="E5482" s="4" t="str">
        <f>IFERROR(__xludf.DUMMYFUNCTION("""COMPUTED_VALUE"""),"Marshall")</f>
        <v>Marshall</v>
      </c>
      <c r="F5482" s="4">
        <f>IFERROR(__xludf.DUMMYFUNCTION("""COMPUTED_VALUE"""),3.0)</f>
        <v>3</v>
      </c>
      <c r="G5482" s="4">
        <f>IFERROR(__xludf.DUMMYFUNCTION("""COMPUTED_VALUE"""),130.0)</f>
        <v>130</v>
      </c>
      <c r="H5482" s="4">
        <f>IFERROR(__xludf.DUMMYFUNCTION("""COMPUTED_VALUE"""),1858.0)</f>
        <v>1858</v>
      </c>
      <c r="I5482" s="4">
        <f>IFERROR(__xludf.DUMMYFUNCTION("""COMPUTED_VALUE"""),432.0)</f>
        <v>432</v>
      </c>
      <c r="J5482" s="4">
        <f>IFERROR(__xludf.DUMMYFUNCTION("""COMPUTED_VALUE"""),186.0)</f>
        <v>186</v>
      </c>
      <c r="K5482" s="4">
        <f>IFERROR(__xludf.DUMMYFUNCTION("""COMPUTED_VALUE"""),248.0)</f>
        <v>248</v>
      </c>
      <c r="L5482" s="4">
        <f>IFERROR(__xludf.DUMMYFUNCTION("""COMPUTED_VALUE"""),0.392)</f>
        <v>0.392</v>
      </c>
      <c r="M5482" s="4"/>
      <c r="N5482" s="4">
        <f>IFERROR(__xludf.DUMMYFUNCTION("""COMPUTED_VALUE"""),0.736)</f>
        <v>0.736</v>
      </c>
      <c r="O5482" s="4">
        <f>IFERROR(__xludf.DUMMYFUNCTION("""COMPUTED_VALUE"""),14.3)</f>
        <v>14.3</v>
      </c>
      <c r="P5482" s="4">
        <f>IFERROR(__xludf.DUMMYFUNCTION("""COMPUTED_VALUE"""),3.3)</f>
        <v>3.3</v>
      </c>
      <c r="Q5482" s="4">
        <f>IFERROR(__xludf.DUMMYFUNCTION("""COMPUTED_VALUE"""),1.4)</f>
        <v>1.4</v>
      </c>
      <c r="R5482" s="4">
        <f>IFERROR(__xludf.DUMMYFUNCTION("""COMPUTED_VALUE"""),1.9)</f>
        <v>1.9</v>
      </c>
      <c r="S5482" s="4">
        <f>IFERROR(__xludf.DUMMYFUNCTION("""COMPUTED_VALUE"""),0.9)</f>
        <v>0.9</v>
      </c>
      <c r="T5482" s="4">
        <f>IFERROR(__xludf.DUMMYFUNCTION("""COMPUTED_VALUE"""),0.023)</f>
        <v>0.023</v>
      </c>
      <c r="U5482" s="4">
        <f>IFERROR(__xludf.DUMMYFUNCTION("""COMPUTED_VALUE"""),-1.2)</f>
        <v>-1.2</v>
      </c>
      <c r="V5482" s="4">
        <f>IFERROR(__xludf.DUMMYFUNCTION("""COMPUTED_VALUE"""),0.3)</f>
        <v>0.3</v>
      </c>
    </row>
    <row r="5483">
      <c r="A5483" s="4">
        <f>IFERROR(__xludf.DUMMYFUNCTION("""COMPUTED_VALUE"""),21.0)</f>
        <v>21</v>
      </c>
      <c r="B5483" s="4">
        <f>IFERROR(__xludf.DUMMYFUNCTION("""COMPUTED_VALUE"""),21.0)</f>
        <v>21</v>
      </c>
      <c r="C5483" s="4" t="str">
        <f>IFERROR(__xludf.DUMMYFUNCTION("""COMPUTED_VALUE"""),"PHI")</f>
        <v>PHI</v>
      </c>
      <c r="D5483" s="4" t="str">
        <f>IFERROR(__xludf.DUMMYFUNCTION("""COMPUTED_VALUE"""),"Allan Bristow")</f>
        <v>Allan Bristow</v>
      </c>
      <c r="E5483" s="4" t="str">
        <f>IFERROR(__xludf.DUMMYFUNCTION("""COMPUTED_VALUE"""),"Virginia Tech")</f>
        <v>Virginia Tech</v>
      </c>
      <c r="F5483" s="4">
        <f>IFERROR(__xludf.DUMMYFUNCTION("""COMPUTED_VALUE"""),9.0)</f>
        <v>9</v>
      </c>
      <c r="G5483" s="4">
        <f>IFERROR(__xludf.DUMMYFUNCTION("""COMPUTED_VALUE"""),648.0)</f>
        <v>648</v>
      </c>
      <c r="H5483" s="4">
        <f>IFERROR(__xludf.DUMMYFUNCTION("""COMPUTED_VALUE"""),13277.0)</f>
        <v>13277</v>
      </c>
      <c r="I5483" s="4">
        <f>IFERROR(__xludf.DUMMYFUNCTION("""COMPUTED_VALUE"""),5122.0)</f>
        <v>5122</v>
      </c>
      <c r="J5483" s="4">
        <f>IFERROR(__xludf.DUMMYFUNCTION("""COMPUTED_VALUE"""),2613.0)</f>
        <v>2613</v>
      </c>
      <c r="K5483" s="4">
        <f>IFERROR(__xludf.DUMMYFUNCTION("""COMPUTED_VALUE"""),2098.0)</f>
        <v>2098</v>
      </c>
      <c r="L5483" s="4">
        <f>IFERROR(__xludf.DUMMYFUNCTION("""COMPUTED_VALUE"""),0.46)</f>
        <v>0.46</v>
      </c>
      <c r="M5483" s="4"/>
      <c r="N5483" s="4">
        <f>IFERROR(__xludf.DUMMYFUNCTION("""COMPUTED_VALUE"""),0.798)</f>
        <v>0.798</v>
      </c>
      <c r="O5483" s="4">
        <f>IFERROR(__xludf.DUMMYFUNCTION("""COMPUTED_VALUE"""),20.5)</f>
        <v>20.5</v>
      </c>
      <c r="P5483" s="4">
        <f>IFERROR(__xludf.DUMMYFUNCTION("""COMPUTED_VALUE"""),7.9)</f>
        <v>7.9</v>
      </c>
      <c r="Q5483" s="4">
        <f>IFERROR(__xludf.DUMMYFUNCTION("""COMPUTED_VALUE"""),4.0)</f>
        <v>4</v>
      </c>
      <c r="R5483" s="4">
        <f>IFERROR(__xludf.DUMMYFUNCTION("""COMPUTED_VALUE"""),3.2)</f>
        <v>3.2</v>
      </c>
      <c r="S5483" s="4">
        <f>IFERROR(__xludf.DUMMYFUNCTION("""COMPUTED_VALUE"""),22.7)</f>
        <v>22.7</v>
      </c>
      <c r="T5483" s="4">
        <f>IFERROR(__xludf.DUMMYFUNCTION("""COMPUTED_VALUE"""),0.082)</f>
        <v>0.082</v>
      </c>
      <c r="U5483" s="4">
        <f>IFERROR(__xludf.DUMMYFUNCTION("""COMPUTED_VALUE"""),-0.2)</f>
        <v>-0.2</v>
      </c>
      <c r="V5483" s="4">
        <f>IFERROR(__xludf.DUMMYFUNCTION("""COMPUTED_VALUE"""),6.2)</f>
        <v>6.2</v>
      </c>
    </row>
    <row r="5484">
      <c r="A5484" s="4">
        <f>IFERROR(__xludf.DUMMYFUNCTION("""COMPUTED_VALUE"""),22.0)</f>
        <v>22</v>
      </c>
      <c r="B5484" s="4">
        <f>IFERROR(__xludf.DUMMYFUNCTION("""COMPUTED_VALUE"""),22.0)</f>
        <v>22</v>
      </c>
      <c r="C5484" s="4" t="str">
        <f>IFERROR(__xludf.DUMMYFUNCTION("""COMPUTED_VALUE"""),"PHI")</f>
        <v>PHI</v>
      </c>
      <c r="D5484" s="4" t="str">
        <f>IFERROR(__xludf.DUMMYFUNCTION("""COMPUTED_VALUE"""),"George McGinnis")</f>
        <v>George McGinnis</v>
      </c>
      <c r="E5484" s="4" t="str">
        <f>IFERROR(__xludf.DUMMYFUNCTION("""COMPUTED_VALUE"""),"Indiana")</f>
        <v>Indiana</v>
      </c>
      <c r="F5484" s="4">
        <f>IFERROR(__xludf.DUMMYFUNCTION("""COMPUTED_VALUE"""),7.0)</f>
        <v>7</v>
      </c>
      <c r="G5484" s="4">
        <f>IFERROR(__xludf.DUMMYFUNCTION("""COMPUTED_VALUE"""),528.0)</f>
        <v>528</v>
      </c>
      <c r="H5484" s="4">
        <f>IFERROR(__xludf.DUMMYFUNCTION("""COMPUTED_VALUE"""),16194.0)</f>
        <v>16194</v>
      </c>
      <c r="I5484" s="4">
        <f>IFERROR(__xludf.DUMMYFUNCTION("""COMPUTED_VALUE"""),9090.0)</f>
        <v>9090</v>
      </c>
      <c r="J5484" s="4">
        <f>IFERROR(__xludf.DUMMYFUNCTION("""COMPUTED_VALUE"""),5177.0)</f>
        <v>5177</v>
      </c>
      <c r="K5484" s="4">
        <f>IFERROR(__xludf.DUMMYFUNCTION("""COMPUTED_VALUE"""),1985.0)</f>
        <v>1985</v>
      </c>
      <c r="L5484" s="4">
        <f>IFERROR(__xludf.DUMMYFUNCTION("""COMPUTED_VALUE"""),0.448)</f>
        <v>0.448</v>
      </c>
      <c r="M5484" s="4"/>
      <c r="N5484" s="4">
        <f>IFERROR(__xludf.DUMMYFUNCTION("""COMPUTED_VALUE"""),0.651)</f>
        <v>0.651</v>
      </c>
      <c r="O5484" s="4">
        <f>IFERROR(__xludf.DUMMYFUNCTION("""COMPUTED_VALUE"""),30.7)</f>
        <v>30.7</v>
      </c>
      <c r="P5484" s="4">
        <f>IFERROR(__xludf.DUMMYFUNCTION("""COMPUTED_VALUE"""),17.2)</f>
        <v>17.2</v>
      </c>
      <c r="Q5484" s="4">
        <f>IFERROR(__xludf.DUMMYFUNCTION("""COMPUTED_VALUE"""),9.8)</f>
        <v>9.8</v>
      </c>
      <c r="R5484" s="4">
        <f>IFERROR(__xludf.DUMMYFUNCTION("""COMPUTED_VALUE"""),3.8)</f>
        <v>3.8</v>
      </c>
      <c r="S5484" s="4">
        <f>IFERROR(__xludf.DUMMYFUNCTION("""COMPUTED_VALUE"""),36.2)</f>
        <v>36.2</v>
      </c>
      <c r="T5484" s="4">
        <f>IFERROR(__xludf.DUMMYFUNCTION("""COMPUTED_VALUE"""),0.107)</f>
        <v>0.107</v>
      </c>
      <c r="U5484" s="4">
        <f>IFERROR(__xludf.DUMMYFUNCTION("""COMPUTED_VALUE"""),1.2)</f>
        <v>1.2</v>
      </c>
      <c r="V5484" s="4">
        <f>IFERROR(__xludf.DUMMYFUNCTION("""COMPUTED_VALUE"""),13.1)</f>
        <v>13.1</v>
      </c>
    </row>
    <row r="5485">
      <c r="A5485" s="4">
        <f>IFERROR(__xludf.DUMMYFUNCTION("""COMPUTED_VALUE"""),23.0)</f>
        <v>23</v>
      </c>
      <c r="B5485" s="4">
        <f>IFERROR(__xludf.DUMMYFUNCTION("""COMPUTED_VALUE"""),23.0)</f>
        <v>23</v>
      </c>
      <c r="C5485" s="4" t="str">
        <f>IFERROR(__xludf.DUMMYFUNCTION("""COMPUTED_VALUE"""),"LAL")</f>
        <v>LAL</v>
      </c>
      <c r="D5485" s="4" t="str">
        <f>IFERROR(__xludf.DUMMYFUNCTION("""COMPUTED_VALUE"""),"Billy Schaeffer")</f>
        <v>Billy Schaeffer</v>
      </c>
      <c r="E5485" s="4" t="str">
        <f>IFERROR(__xludf.DUMMYFUNCTION("""COMPUTED_VALUE"""),"St. John's")</f>
        <v>St. John's</v>
      </c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</row>
    <row r="5486">
      <c r="A5486" s="4">
        <f>IFERROR(__xludf.DUMMYFUNCTION("""COMPUTED_VALUE"""),24.0)</f>
        <v>24</v>
      </c>
      <c r="B5486" s="4">
        <f>IFERROR(__xludf.DUMMYFUNCTION("""COMPUTED_VALUE"""),24.0)</f>
        <v>24</v>
      </c>
      <c r="C5486" s="4" t="str">
        <f>IFERROR(__xludf.DUMMYFUNCTION("""COMPUTED_VALUE"""),"CHI")</f>
        <v>CHI</v>
      </c>
      <c r="D5486" s="4" t="str">
        <f>IFERROR(__xludf.DUMMYFUNCTION("""COMPUTED_VALUE"""),"Kevin Stacom")</f>
        <v>Kevin Stacom</v>
      </c>
      <c r="E5486" s="4" t="str">
        <f>IFERROR(__xludf.DUMMYFUNCTION("""COMPUTED_VALUE"""),"Providence")</f>
        <v>Providence</v>
      </c>
      <c r="F5486" s="4">
        <f>IFERROR(__xludf.DUMMYFUNCTION("""COMPUTED_VALUE"""),6.0)</f>
        <v>6</v>
      </c>
      <c r="G5486" s="4">
        <f>IFERROR(__xludf.DUMMYFUNCTION("""COMPUTED_VALUE"""),347.0)</f>
        <v>347</v>
      </c>
      <c r="H5486" s="4">
        <f>IFERROR(__xludf.DUMMYFUNCTION("""COMPUTED_VALUE"""),4539.0)</f>
        <v>4539</v>
      </c>
      <c r="I5486" s="4">
        <f>IFERROR(__xludf.DUMMYFUNCTION("""COMPUTED_VALUE"""),1781.0)</f>
        <v>1781</v>
      </c>
      <c r="J5486" s="4">
        <f>IFERROR(__xludf.DUMMYFUNCTION("""COMPUTED_VALUE"""),511.0)</f>
        <v>511</v>
      </c>
      <c r="K5486" s="4">
        <f>IFERROR(__xludf.DUMMYFUNCTION("""COMPUTED_VALUE"""),524.0)</f>
        <v>524</v>
      </c>
      <c r="L5486" s="4">
        <f>IFERROR(__xludf.DUMMYFUNCTION("""COMPUTED_VALUE"""),0.417)</f>
        <v>0.417</v>
      </c>
      <c r="M5486" s="4"/>
      <c r="N5486" s="4">
        <f>IFERROR(__xludf.DUMMYFUNCTION("""COMPUTED_VALUE"""),0.768)</f>
        <v>0.768</v>
      </c>
      <c r="O5486" s="4">
        <f>IFERROR(__xludf.DUMMYFUNCTION("""COMPUTED_VALUE"""),13.1)</f>
        <v>13.1</v>
      </c>
      <c r="P5486" s="4">
        <f>IFERROR(__xludf.DUMMYFUNCTION("""COMPUTED_VALUE"""),5.1)</f>
        <v>5.1</v>
      </c>
      <c r="Q5486" s="4">
        <f>IFERROR(__xludf.DUMMYFUNCTION("""COMPUTED_VALUE"""),1.5)</f>
        <v>1.5</v>
      </c>
      <c r="R5486" s="4">
        <f>IFERROR(__xludf.DUMMYFUNCTION("""COMPUTED_VALUE"""),1.5)</f>
        <v>1.5</v>
      </c>
      <c r="S5486" s="4">
        <f>IFERROR(__xludf.DUMMYFUNCTION("""COMPUTED_VALUE"""),3.1)</f>
        <v>3.1</v>
      </c>
      <c r="T5486" s="4">
        <f>IFERROR(__xludf.DUMMYFUNCTION("""COMPUTED_VALUE"""),0.032)</f>
        <v>0.032</v>
      </c>
      <c r="U5486" s="4">
        <f>IFERROR(__xludf.DUMMYFUNCTION("""COMPUTED_VALUE"""),-2.7)</f>
        <v>-2.7</v>
      </c>
      <c r="V5486" s="4">
        <f>IFERROR(__xludf.DUMMYFUNCTION("""COMPUTED_VALUE"""),-0.8)</f>
        <v>-0.8</v>
      </c>
    </row>
    <row r="5487">
      <c r="A5487" s="4">
        <f>IFERROR(__xludf.DUMMYFUNCTION("""COMPUTED_VALUE"""),25.0)</f>
        <v>25</v>
      </c>
      <c r="B5487" s="4">
        <f>IFERROR(__xludf.DUMMYFUNCTION("""COMPUTED_VALUE"""),25.0)</f>
        <v>25</v>
      </c>
      <c r="C5487" s="4" t="str">
        <f>IFERROR(__xludf.DUMMYFUNCTION("""COMPUTED_VALUE"""),"KCO")</f>
        <v>KCO</v>
      </c>
      <c r="D5487" s="4" t="str">
        <f>IFERROR(__xludf.DUMMYFUNCTION("""COMPUTED_VALUE"""),"Larry McNeill")</f>
        <v>Larry McNeill</v>
      </c>
      <c r="E5487" s="4" t="str">
        <f>IFERROR(__xludf.DUMMYFUNCTION("""COMPUTED_VALUE"""),"Marquette")</f>
        <v>Marquette</v>
      </c>
      <c r="F5487" s="4">
        <f>IFERROR(__xludf.DUMMYFUNCTION("""COMPUTED_VALUE"""),6.0)</f>
        <v>6</v>
      </c>
      <c r="G5487" s="4">
        <f>IFERROR(__xludf.DUMMYFUNCTION("""COMPUTED_VALUE"""),297.0)</f>
        <v>297</v>
      </c>
      <c r="H5487" s="4">
        <f>IFERROR(__xludf.DUMMYFUNCTION("""COMPUTED_VALUE"""),5094.0)</f>
        <v>5094</v>
      </c>
      <c r="I5487" s="4">
        <f>IFERROR(__xludf.DUMMYFUNCTION("""COMPUTED_VALUE"""),2533.0)</f>
        <v>2533</v>
      </c>
      <c r="J5487" s="4">
        <f>IFERROR(__xludf.DUMMYFUNCTION("""COMPUTED_VALUE"""),1440.0)</f>
        <v>1440</v>
      </c>
      <c r="K5487" s="4">
        <f>IFERROR(__xludf.DUMMYFUNCTION("""COMPUTED_VALUE"""),225.0)</f>
        <v>225</v>
      </c>
      <c r="L5487" s="4">
        <f>IFERROR(__xludf.DUMMYFUNCTION("""COMPUTED_VALUE"""),0.466)</f>
        <v>0.466</v>
      </c>
      <c r="M5487" s="4"/>
      <c r="N5487" s="4">
        <f>IFERROR(__xludf.DUMMYFUNCTION("""COMPUTED_VALUE"""),0.779)</f>
        <v>0.779</v>
      </c>
      <c r="O5487" s="4">
        <f>IFERROR(__xludf.DUMMYFUNCTION("""COMPUTED_VALUE"""),17.2)</f>
        <v>17.2</v>
      </c>
      <c r="P5487" s="4">
        <f>IFERROR(__xludf.DUMMYFUNCTION("""COMPUTED_VALUE"""),8.5)</f>
        <v>8.5</v>
      </c>
      <c r="Q5487" s="4">
        <f>IFERROR(__xludf.DUMMYFUNCTION("""COMPUTED_VALUE"""),4.8)</f>
        <v>4.8</v>
      </c>
      <c r="R5487" s="4">
        <f>IFERROR(__xludf.DUMMYFUNCTION("""COMPUTED_VALUE"""),0.8)</f>
        <v>0.8</v>
      </c>
      <c r="S5487" s="4">
        <f>IFERROR(__xludf.DUMMYFUNCTION("""COMPUTED_VALUE"""),13.4)</f>
        <v>13.4</v>
      </c>
      <c r="T5487" s="4">
        <f>IFERROR(__xludf.DUMMYFUNCTION("""COMPUTED_VALUE"""),0.127)</f>
        <v>0.127</v>
      </c>
      <c r="U5487" s="4">
        <f>IFERROR(__xludf.DUMMYFUNCTION("""COMPUTED_VALUE"""),-0.9)</f>
        <v>-0.9</v>
      </c>
      <c r="V5487" s="4">
        <f>IFERROR(__xludf.DUMMYFUNCTION("""COMPUTED_VALUE"""),1.5)</f>
        <v>1.5</v>
      </c>
    </row>
    <row r="5488">
      <c r="A5488" s="4">
        <f>IFERROR(__xludf.DUMMYFUNCTION("""COMPUTED_VALUE"""),26.0)</f>
        <v>26</v>
      </c>
      <c r="B5488" s="4">
        <f>IFERROR(__xludf.DUMMYFUNCTION("""COMPUTED_VALUE"""),26.0)</f>
        <v>26</v>
      </c>
      <c r="C5488" s="4" t="str">
        <f>IFERROR(__xludf.DUMMYFUNCTION("""COMPUTED_VALUE"""),"CLE")</f>
        <v>CLE</v>
      </c>
      <c r="D5488" s="4" t="str">
        <f>IFERROR(__xludf.DUMMYFUNCTION("""COMPUTED_VALUE"""),"Allan Hornyak")</f>
        <v>Allan Hornyak</v>
      </c>
      <c r="E5488" s="4" t="str">
        <f>IFERROR(__xludf.DUMMYFUNCTION("""COMPUTED_VALUE"""),"Ohio State")</f>
        <v>Ohio State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</row>
    <row r="5489">
      <c r="A5489" s="4">
        <f>IFERROR(__xludf.DUMMYFUNCTION("""COMPUTED_VALUE"""),27.0)</f>
        <v>27</v>
      </c>
      <c r="B5489" s="4">
        <f>IFERROR(__xludf.DUMMYFUNCTION("""COMPUTED_VALUE"""),27.0)</f>
        <v>27</v>
      </c>
      <c r="C5489" s="4" t="str">
        <f>IFERROR(__xludf.DUMMYFUNCTION("""COMPUTED_VALUE"""),"ATL")</f>
        <v>ATL</v>
      </c>
      <c r="D5489" s="4" t="str">
        <f>IFERROR(__xludf.DUMMYFUNCTION("""COMPUTED_VALUE"""),"Tom Ingelsby")</f>
        <v>Tom Ingelsby</v>
      </c>
      <c r="E5489" s="4" t="str">
        <f>IFERROR(__xludf.DUMMYFUNCTION("""COMPUTED_VALUE"""),"Villanova")</f>
        <v>Villanova</v>
      </c>
      <c r="F5489" s="4">
        <f>IFERROR(__xludf.DUMMYFUNCTION("""COMPUTED_VALUE"""),1.0)</f>
        <v>1</v>
      </c>
      <c r="G5489" s="4">
        <f>IFERROR(__xludf.DUMMYFUNCTION("""COMPUTED_VALUE"""),48.0)</f>
        <v>48</v>
      </c>
      <c r="H5489" s="4">
        <f>IFERROR(__xludf.DUMMYFUNCTION("""COMPUTED_VALUE"""),398.0)</f>
        <v>398</v>
      </c>
      <c r="I5489" s="4">
        <f>IFERROR(__xludf.DUMMYFUNCTION("""COMPUTED_VALUE"""),129.0)</f>
        <v>129</v>
      </c>
      <c r="J5489" s="4">
        <f>IFERROR(__xludf.DUMMYFUNCTION("""COMPUTED_VALUE"""),44.0)</f>
        <v>44</v>
      </c>
      <c r="K5489" s="4">
        <f>IFERROR(__xludf.DUMMYFUNCTION("""COMPUTED_VALUE"""),37.0)</f>
        <v>37</v>
      </c>
      <c r="L5489" s="4">
        <f>IFERROR(__xludf.DUMMYFUNCTION("""COMPUTED_VALUE"""),0.382)</f>
        <v>0.382</v>
      </c>
      <c r="M5489" s="4"/>
      <c r="N5489" s="4">
        <f>IFERROR(__xludf.DUMMYFUNCTION("""COMPUTED_VALUE"""),0.784)</f>
        <v>0.784</v>
      </c>
      <c r="O5489" s="4">
        <f>IFERROR(__xludf.DUMMYFUNCTION("""COMPUTED_VALUE"""),8.3)</f>
        <v>8.3</v>
      </c>
      <c r="P5489" s="4">
        <f>IFERROR(__xludf.DUMMYFUNCTION("""COMPUTED_VALUE"""),2.7)</f>
        <v>2.7</v>
      </c>
      <c r="Q5489" s="4">
        <f>IFERROR(__xludf.DUMMYFUNCTION("""COMPUTED_VALUE"""),0.9)</f>
        <v>0.9</v>
      </c>
      <c r="R5489" s="4">
        <f>IFERROR(__xludf.DUMMYFUNCTION("""COMPUTED_VALUE"""),0.8)</f>
        <v>0.8</v>
      </c>
      <c r="S5489" s="4">
        <f>IFERROR(__xludf.DUMMYFUNCTION("""COMPUTED_VALUE"""),0.1)</f>
        <v>0.1</v>
      </c>
      <c r="T5489" s="4">
        <f>IFERROR(__xludf.DUMMYFUNCTION("""COMPUTED_VALUE"""),0.014)</f>
        <v>0.014</v>
      </c>
      <c r="U5489" s="4">
        <f>IFERROR(__xludf.DUMMYFUNCTION("""COMPUTED_VALUE"""),-3.4)</f>
        <v>-3.4</v>
      </c>
      <c r="V5489" s="4">
        <f>IFERROR(__xludf.DUMMYFUNCTION("""COMPUTED_VALUE"""),-0.1)</f>
        <v>-0.1</v>
      </c>
    </row>
    <row r="5490">
      <c r="A5490" s="4">
        <f>IFERROR(__xludf.DUMMYFUNCTION("""COMPUTED_VALUE"""),28.0)</f>
        <v>28</v>
      </c>
      <c r="B5490" s="4">
        <f>IFERROR(__xludf.DUMMYFUNCTION("""COMPUTED_VALUE"""),28.0)</f>
        <v>28</v>
      </c>
      <c r="C5490" s="4" t="str">
        <f>IFERROR(__xludf.DUMMYFUNCTION("""COMPUTED_VALUE"""),"NYK")</f>
        <v>NYK</v>
      </c>
      <c r="D5490" s="4" t="str">
        <f>IFERROR(__xludf.DUMMYFUNCTION("""COMPUTED_VALUE"""),"Pat McFarland")</f>
        <v>Pat McFarland</v>
      </c>
      <c r="E5490" s="4" t="str">
        <f>IFERROR(__xludf.DUMMYFUNCTION("""COMPUTED_VALUE"""),"Saint Joseph's")</f>
        <v>Saint Joseph's</v>
      </c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</row>
    <row r="5491">
      <c r="A5491" s="4">
        <f>IFERROR(__xludf.DUMMYFUNCTION("""COMPUTED_VALUE"""),29.0)</f>
        <v>29</v>
      </c>
      <c r="B5491" s="4">
        <f>IFERROR(__xludf.DUMMYFUNCTION("""COMPUTED_VALUE"""),29.0)</f>
        <v>29</v>
      </c>
      <c r="C5491" s="4" t="str">
        <f>IFERROR(__xludf.DUMMYFUNCTION("""COMPUTED_VALUE"""),"GSW")</f>
        <v>GSW</v>
      </c>
      <c r="D5491" s="4" t="str">
        <f>IFERROR(__xludf.DUMMYFUNCTION("""COMPUTED_VALUE"""),"Derrek Dickey")</f>
        <v>Derrek Dickey</v>
      </c>
      <c r="E5491" s="4" t="str">
        <f>IFERROR(__xludf.DUMMYFUNCTION("""COMPUTED_VALUE"""),"Cincinnati")</f>
        <v>Cincinnati</v>
      </c>
      <c r="F5491" s="4">
        <f>IFERROR(__xludf.DUMMYFUNCTION("""COMPUTED_VALUE"""),5.0)</f>
        <v>5</v>
      </c>
      <c r="G5491" s="4">
        <f>IFERROR(__xludf.DUMMYFUNCTION("""COMPUTED_VALUE"""),321.0)</f>
        <v>321</v>
      </c>
      <c r="H5491" s="4">
        <f>IFERROR(__xludf.DUMMYFUNCTION("""COMPUTED_VALUE"""),5345.0)</f>
        <v>5345</v>
      </c>
      <c r="I5491" s="4">
        <f>IFERROR(__xludf.DUMMYFUNCTION("""COMPUTED_VALUE"""),1962.0)</f>
        <v>1962</v>
      </c>
      <c r="J5491" s="4">
        <f>IFERROR(__xludf.DUMMYFUNCTION("""COMPUTED_VALUE"""),1575.0)</f>
        <v>1575</v>
      </c>
      <c r="K5491" s="4">
        <f>IFERROR(__xludf.DUMMYFUNCTION("""COMPUTED_VALUE"""),346.0)</f>
        <v>346</v>
      </c>
      <c r="L5491" s="4">
        <f>IFERROR(__xludf.DUMMYFUNCTION("""COMPUTED_VALUE"""),0.47)</f>
        <v>0.47</v>
      </c>
      <c r="M5491" s="4"/>
      <c r="N5491" s="4">
        <f>IFERROR(__xludf.DUMMYFUNCTION("""COMPUTED_VALUE"""),0.745)</f>
        <v>0.745</v>
      </c>
      <c r="O5491" s="4">
        <f>IFERROR(__xludf.DUMMYFUNCTION("""COMPUTED_VALUE"""),16.7)</f>
        <v>16.7</v>
      </c>
      <c r="P5491" s="4">
        <f>IFERROR(__xludf.DUMMYFUNCTION("""COMPUTED_VALUE"""),6.1)</f>
        <v>6.1</v>
      </c>
      <c r="Q5491" s="4">
        <f>IFERROR(__xludf.DUMMYFUNCTION("""COMPUTED_VALUE"""),4.9)</f>
        <v>4.9</v>
      </c>
      <c r="R5491" s="4">
        <f>IFERROR(__xludf.DUMMYFUNCTION("""COMPUTED_VALUE"""),1.1)</f>
        <v>1.1</v>
      </c>
      <c r="S5491" s="4">
        <f>IFERROR(__xludf.DUMMYFUNCTION("""COMPUTED_VALUE"""),11.1)</f>
        <v>11.1</v>
      </c>
      <c r="T5491" s="4">
        <f>IFERROR(__xludf.DUMMYFUNCTION("""COMPUTED_VALUE"""),0.1)</f>
        <v>0.1</v>
      </c>
      <c r="U5491" s="4">
        <f>IFERROR(__xludf.DUMMYFUNCTION("""COMPUTED_VALUE"""),-1.3)</f>
        <v>-1.3</v>
      </c>
      <c r="V5491" s="4">
        <f>IFERROR(__xludf.DUMMYFUNCTION("""COMPUTED_VALUE"""),0.9)</f>
        <v>0.9</v>
      </c>
    </row>
    <row r="5492">
      <c r="A5492" s="4">
        <f>IFERROR(__xludf.DUMMYFUNCTION("""COMPUTED_VALUE"""),30.0)</f>
        <v>30</v>
      </c>
      <c r="B5492" s="4">
        <f>IFERROR(__xludf.DUMMYFUNCTION("""COMPUTED_VALUE"""),30.0)</f>
        <v>30</v>
      </c>
      <c r="C5492" s="4" t="str">
        <f>IFERROR(__xludf.DUMMYFUNCTION("""COMPUTED_VALUE"""),"CHI")</f>
        <v>CHI</v>
      </c>
      <c r="D5492" s="4" t="str">
        <f>IFERROR(__xludf.DUMMYFUNCTION("""COMPUTED_VALUE"""),"Wendell Hudson")</f>
        <v>Wendell Hudson</v>
      </c>
      <c r="E5492" s="4" t="str">
        <f>IFERROR(__xludf.DUMMYFUNCTION("""COMPUTED_VALUE"""),"Alabama")</f>
        <v>Alabama</v>
      </c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</row>
    <row r="5493">
      <c r="A5493" s="4">
        <f>IFERROR(__xludf.DUMMYFUNCTION("""COMPUTED_VALUE"""),31.0)</f>
        <v>31</v>
      </c>
      <c r="B5493" s="4">
        <f>IFERROR(__xludf.DUMMYFUNCTION("""COMPUTED_VALUE"""),31.0)</f>
        <v>31</v>
      </c>
      <c r="C5493" s="4" t="str">
        <f>IFERROR(__xludf.DUMMYFUNCTION("""COMPUTED_VALUE"""),"LAL")</f>
        <v>LAL</v>
      </c>
      <c r="D5493" s="4" t="str">
        <f>IFERROR(__xludf.DUMMYFUNCTION("""COMPUTED_VALUE"""),"Jim Chones")</f>
        <v>Jim Chones</v>
      </c>
      <c r="E5493" s="4" t="str">
        <f>IFERROR(__xludf.DUMMYFUNCTION("""COMPUTED_VALUE"""),"Marquette")</f>
        <v>Marquette</v>
      </c>
      <c r="F5493" s="4">
        <f>IFERROR(__xludf.DUMMYFUNCTION("""COMPUTED_VALUE"""),8.0)</f>
        <v>8</v>
      </c>
      <c r="G5493" s="4">
        <f>IFERROR(__xludf.DUMMYFUNCTION("""COMPUTED_VALUE"""),623.0)</f>
        <v>623</v>
      </c>
      <c r="H5493" s="4">
        <f>IFERROR(__xludf.DUMMYFUNCTION("""COMPUTED_VALUE"""),19125.0)</f>
        <v>19125</v>
      </c>
      <c r="I5493" s="4">
        <f>IFERROR(__xludf.DUMMYFUNCTION("""COMPUTED_VALUE"""),7664.0)</f>
        <v>7664</v>
      </c>
      <c r="J5493" s="4">
        <f>IFERROR(__xludf.DUMMYFUNCTION("""COMPUTED_VALUE"""),5196.0)</f>
        <v>5196</v>
      </c>
      <c r="K5493" s="4">
        <f>IFERROR(__xludf.DUMMYFUNCTION("""COMPUTED_VALUE"""),1079.0)</f>
        <v>1079</v>
      </c>
      <c r="L5493" s="4">
        <f>IFERROR(__xludf.DUMMYFUNCTION("""COMPUTED_VALUE"""),0.468)</f>
        <v>0.468</v>
      </c>
      <c r="M5493" s="4"/>
      <c r="N5493" s="4">
        <f>IFERROR(__xludf.DUMMYFUNCTION("""COMPUTED_VALUE"""),0.704)</f>
        <v>0.704</v>
      </c>
      <c r="O5493" s="4">
        <f>IFERROR(__xludf.DUMMYFUNCTION("""COMPUTED_VALUE"""),30.7)</f>
        <v>30.7</v>
      </c>
      <c r="P5493" s="4">
        <f>IFERROR(__xludf.DUMMYFUNCTION("""COMPUTED_VALUE"""),12.3)</f>
        <v>12.3</v>
      </c>
      <c r="Q5493" s="4">
        <f>IFERROR(__xludf.DUMMYFUNCTION("""COMPUTED_VALUE"""),8.3)</f>
        <v>8.3</v>
      </c>
      <c r="R5493" s="4">
        <f>IFERROR(__xludf.DUMMYFUNCTION("""COMPUTED_VALUE"""),1.7)</f>
        <v>1.7</v>
      </c>
      <c r="S5493" s="4">
        <f>IFERROR(__xludf.DUMMYFUNCTION("""COMPUTED_VALUE"""),37.4)</f>
        <v>37.4</v>
      </c>
      <c r="T5493" s="4">
        <f>IFERROR(__xludf.DUMMYFUNCTION("""COMPUTED_VALUE"""),0.094)</f>
        <v>0.094</v>
      </c>
      <c r="U5493" s="4">
        <f>IFERROR(__xludf.DUMMYFUNCTION("""COMPUTED_VALUE"""),-0.9)</f>
        <v>-0.9</v>
      </c>
      <c r="V5493" s="4">
        <f>IFERROR(__xludf.DUMMYFUNCTION("""COMPUTED_VALUE"""),5.1)</f>
        <v>5.1</v>
      </c>
    </row>
    <row r="5494">
      <c r="A5494" s="4">
        <f>IFERROR(__xludf.DUMMYFUNCTION("""COMPUTED_VALUE"""),32.0)</f>
        <v>32</v>
      </c>
      <c r="B5494" s="4">
        <f>IFERROR(__xludf.DUMMYFUNCTION("""COMPUTED_VALUE"""),32.0)</f>
        <v>32</v>
      </c>
      <c r="C5494" s="4" t="str">
        <f>IFERROR(__xludf.DUMMYFUNCTION("""COMPUTED_VALUE"""),"PHI")</f>
        <v>PHI</v>
      </c>
      <c r="D5494" s="4" t="str">
        <f>IFERROR(__xludf.DUMMYFUNCTION("""COMPUTED_VALUE"""),"Caldwell Jones")</f>
        <v>Caldwell Jones</v>
      </c>
      <c r="E5494" s="4" t="str">
        <f>IFERROR(__xludf.DUMMYFUNCTION("""COMPUTED_VALUE"""),"Albany State University")</f>
        <v>Albany State University</v>
      </c>
      <c r="F5494" s="4">
        <f>IFERROR(__xludf.DUMMYFUNCTION("""COMPUTED_VALUE"""),14.0)</f>
        <v>14</v>
      </c>
      <c r="G5494" s="4">
        <f>IFERROR(__xludf.DUMMYFUNCTION("""COMPUTED_VALUE"""),1068.0)</f>
        <v>1068</v>
      </c>
      <c r="H5494" s="4">
        <f>IFERROR(__xludf.DUMMYFUNCTION("""COMPUTED_VALUE"""),26474.0)</f>
        <v>26474</v>
      </c>
      <c r="I5494" s="4">
        <f>IFERROR(__xludf.DUMMYFUNCTION("""COMPUTED_VALUE"""),6589.0)</f>
        <v>6589</v>
      </c>
      <c r="J5494" s="4">
        <f>IFERROR(__xludf.DUMMYFUNCTION("""COMPUTED_VALUE"""),7663.0)</f>
        <v>7663</v>
      </c>
      <c r="K5494" s="4">
        <f>IFERROR(__xludf.DUMMYFUNCTION("""COMPUTED_VALUE"""),1347.0)</f>
        <v>1347</v>
      </c>
      <c r="L5494" s="4">
        <f>IFERROR(__xludf.DUMMYFUNCTION("""COMPUTED_VALUE"""),0.473)</f>
        <v>0.473</v>
      </c>
      <c r="M5494" s="4"/>
      <c r="N5494" s="4">
        <f>IFERROR(__xludf.DUMMYFUNCTION("""COMPUTED_VALUE"""),0.753)</f>
        <v>0.753</v>
      </c>
      <c r="O5494" s="4">
        <f>IFERROR(__xludf.DUMMYFUNCTION("""COMPUTED_VALUE"""),24.8)</f>
        <v>24.8</v>
      </c>
      <c r="P5494" s="4">
        <f>IFERROR(__xludf.DUMMYFUNCTION("""COMPUTED_VALUE"""),6.2)</f>
        <v>6.2</v>
      </c>
      <c r="Q5494" s="4">
        <f>IFERROR(__xludf.DUMMYFUNCTION("""COMPUTED_VALUE"""),7.2)</f>
        <v>7.2</v>
      </c>
      <c r="R5494" s="4">
        <f>IFERROR(__xludf.DUMMYFUNCTION("""COMPUTED_VALUE"""),1.3)</f>
        <v>1.3</v>
      </c>
      <c r="S5494" s="4">
        <f>IFERROR(__xludf.DUMMYFUNCTION("""COMPUTED_VALUE"""),44.3)</f>
        <v>44.3</v>
      </c>
      <c r="T5494" s="4">
        <f>IFERROR(__xludf.DUMMYFUNCTION("""COMPUTED_VALUE"""),0.08)</f>
        <v>0.08</v>
      </c>
      <c r="U5494" s="4">
        <f>IFERROR(__xludf.DUMMYFUNCTION("""COMPUTED_VALUE"""),-1.5)</f>
        <v>-1.5</v>
      </c>
      <c r="V5494" s="4">
        <f>IFERROR(__xludf.DUMMYFUNCTION("""COMPUTED_VALUE"""),3.7)</f>
        <v>3.7</v>
      </c>
    </row>
    <row r="5495">
      <c r="A5495" s="4">
        <f>IFERROR(__xludf.DUMMYFUNCTION("""COMPUTED_VALUE"""),33.0)</f>
        <v>33</v>
      </c>
      <c r="B5495" s="4">
        <f>IFERROR(__xludf.DUMMYFUNCTION("""COMPUTED_VALUE"""),33.0)</f>
        <v>33</v>
      </c>
      <c r="C5495" s="4" t="str">
        <f>IFERROR(__xludf.DUMMYFUNCTION("""COMPUTED_VALUE"""),"PHO")</f>
        <v>PHO</v>
      </c>
      <c r="D5495" s="4" t="str">
        <f>IFERROR(__xludf.DUMMYFUNCTION("""COMPUTED_VALUE"""),"Gary Melchionni")</f>
        <v>Gary Melchionni</v>
      </c>
      <c r="E5495" s="4" t="str">
        <f>IFERROR(__xludf.DUMMYFUNCTION("""COMPUTED_VALUE"""),"Duke")</f>
        <v>Duke</v>
      </c>
      <c r="F5495" s="4">
        <f>IFERROR(__xludf.DUMMYFUNCTION("""COMPUTED_VALUE"""),2.0)</f>
        <v>2</v>
      </c>
      <c r="G5495" s="4">
        <f>IFERROR(__xludf.DUMMYFUNCTION("""COMPUTED_VALUE"""),137.0)</f>
        <v>137</v>
      </c>
      <c r="H5495" s="4">
        <f>IFERROR(__xludf.DUMMYFUNCTION("""COMPUTED_VALUE"""),2780.0)</f>
        <v>2780</v>
      </c>
      <c r="I5495" s="4">
        <f>IFERROR(__xludf.DUMMYFUNCTION("""COMPUTED_VALUE"""),1074.0)</f>
        <v>1074</v>
      </c>
      <c r="J5495" s="4">
        <f>IFERROR(__xludf.DUMMYFUNCTION("""COMPUTED_VALUE"""),329.0)</f>
        <v>329</v>
      </c>
      <c r="K5495" s="4">
        <f>IFERROR(__xludf.DUMMYFUNCTION("""COMPUTED_VALUE"""),298.0)</f>
        <v>298</v>
      </c>
      <c r="L5495" s="4">
        <f>IFERROR(__xludf.DUMMYFUNCTION("""COMPUTED_VALUE"""),0.444)</f>
        <v>0.444</v>
      </c>
      <c r="M5495" s="4"/>
      <c r="N5495" s="4">
        <f>IFERROR(__xludf.DUMMYFUNCTION("""COMPUTED_VALUE"""),0.831)</f>
        <v>0.831</v>
      </c>
      <c r="O5495" s="4">
        <f>IFERROR(__xludf.DUMMYFUNCTION("""COMPUTED_VALUE"""),20.3)</f>
        <v>20.3</v>
      </c>
      <c r="P5495" s="4">
        <f>IFERROR(__xludf.DUMMYFUNCTION("""COMPUTED_VALUE"""),7.8)</f>
        <v>7.8</v>
      </c>
      <c r="Q5495" s="4">
        <f>IFERROR(__xludf.DUMMYFUNCTION("""COMPUTED_VALUE"""),2.4)</f>
        <v>2.4</v>
      </c>
      <c r="R5495" s="4">
        <f>IFERROR(__xludf.DUMMYFUNCTION("""COMPUTED_VALUE"""),2.2)</f>
        <v>2.2</v>
      </c>
      <c r="S5495" s="4">
        <f>IFERROR(__xludf.DUMMYFUNCTION("""COMPUTED_VALUE"""),3.9)</f>
        <v>3.9</v>
      </c>
      <c r="T5495" s="4">
        <f>IFERROR(__xludf.DUMMYFUNCTION("""COMPUTED_VALUE"""),0.067)</f>
        <v>0.067</v>
      </c>
      <c r="U5495" s="4">
        <f>IFERROR(__xludf.DUMMYFUNCTION("""COMPUTED_VALUE"""),-1.3)</f>
        <v>-1.3</v>
      </c>
      <c r="V5495" s="4">
        <f>IFERROR(__xludf.DUMMYFUNCTION("""COMPUTED_VALUE"""),0.5)</f>
        <v>0.5</v>
      </c>
    </row>
    <row r="5496">
      <c r="A5496" s="4">
        <f>IFERROR(__xludf.DUMMYFUNCTION("""COMPUTED_VALUE"""),34.0)</f>
        <v>34</v>
      </c>
      <c r="B5496" s="4">
        <f>IFERROR(__xludf.DUMMYFUNCTION("""COMPUTED_VALUE"""),34.0)</f>
        <v>34</v>
      </c>
      <c r="C5496" s="4" t="str">
        <f>IFERROR(__xludf.DUMMYFUNCTION("""COMPUTED_VALUE"""),"LAL")</f>
        <v>LAL</v>
      </c>
      <c r="D5496" s="4" t="str">
        <f>IFERROR(__xludf.DUMMYFUNCTION("""COMPUTED_VALUE"""),"John Perry")</f>
        <v>John Perry</v>
      </c>
      <c r="E5496" s="4" t="str">
        <f>IFERROR(__xludf.DUMMYFUNCTION("""COMPUTED_VALUE"""),"University of Texas Rio Grande Valley")</f>
        <v>University of Texas Rio Grande Valley</v>
      </c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</row>
    <row r="5497">
      <c r="A5497" s="4">
        <f>IFERROR(__xludf.DUMMYFUNCTION("""COMPUTED_VALUE"""),35.0)</f>
        <v>35</v>
      </c>
      <c r="B5497" s="4">
        <f>IFERROR(__xludf.DUMMYFUNCTION("""COMPUTED_VALUE"""),35.0)</f>
        <v>35</v>
      </c>
      <c r="C5497" s="4" t="str">
        <f>IFERROR(__xludf.DUMMYFUNCTION("""COMPUTED_VALUE"""),"BOS")</f>
        <v>BOS</v>
      </c>
      <c r="D5497" s="4" t="str">
        <f>IFERROR(__xludf.DUMMYFUNCTION("""COMPUTED_VALUE"""),"Phil Hankinson")</f>
        <v>Phil Hankinson</v>
      </c>
      <c r="E5497" s="4" t="str">
        <f>IFERROR(__xludf.DUMMYFUNCTION("""COMPUTED_VALUE"""),"Penn")</f>
        <v>Penn</v>
      </c>
      <c r="F5497" s="4">
        <f>IFERROR(__xludf.DUMMYFUNCTION("""COMPUTED_VALUE"""),2.0)</f>
        <v>2</v>
      </c>
      <c r="G5497" s="4">
        <f>IFERROR(__xludf.DUMMYFUNCTION("""COMPUTED_VALUE"""),31.0)</f>
        <v>31</v>
      </c>
      <c r="H5497" s="4">
        <f>IFERROR(__xludf.DUMMYFUNCTION("""COMPUTED_VALUE"""),187.0)</f>
        <v>187</v>
      </c>
      <c r="I5497" s="4">
        <f>IFERROR(__xludf.DUMMYFUNCTION("""COMPUTED_VALUE"""),122.0)</f>
        <v>122</v>
      </c>
      <c r="J5497" s="4">
        <f>IFERROR(__xludf.DUMMYFUNCTION("""COMPUTED_VALUE"""),57.0)</f>
        <v>57</v>
      </c>
      <c r="K5497" s="4">
        <f>IFERROR(__xludf.DUMMYFUNCTION("""COMPUTED_VALUE"""),6.0)</f>
        <v>6</v>
      </c>
      <c r="L5497" s="4">
        <f>IFERROR(__xludf.DUMMYFUNCTION("""COMPUTED_VALUE"""),0.491)</f>
        <v>0.491</v>
      </c>
      <c r="M5497" s="4"/>
      <c r="N5497" s="4">
        <f>IFERROR(__xludf.DUMMYFUNCTION("""COMPUTED_VALUE"""),0.769)</f>
        <v>0.769</v>
      </c>
      <c r="O5497" s="4">
        <f>IFERROR(__xludf.DUMMYFUNCTION("""COMPUTED_VALUE"""),6.0)</f>
        <v>6</v>
      </c>
      <c r="P5497" s="4">
        <f>IFERROR(__xludf.DUMMYFUNCTION("""COMPUTED_VALUE"""),3.9)</f>
        <v>3.9</v>
      </c>
      <c r="Q5497" s="4">
        <f>IFERROR(__xludf.DUMMYFUNCTION("""COMPUTED_VALUE"""),1.8)</f>
        <v>1.8</v>
      </c>
      <c r="R5497" s="4">
        <f>IFERROR(__xludf.DUMMYFUNCTION("""COMPUTED_VALUE"""),0.2)</f>
        <v>0.2</v>
      </c>
      <c r="S5497" s="4">
        <f>IFERROR(__xludf.DUMMYFUNCTION("""COMPUTED_VALUE"""),0.6)</f>
        <v>0.6</v>
      </c>
      <c r="T5497" s="4">
        <f>IFERROR(__xludf.DUMMYFUNCTION("""COMPUTED_VALUE"""),0.143)</f>
        <v>0.143</v>
      </c>
      <c r="U5497" s="4">
        <f>IFERROR(__xludf.DUMMYFUNCTION("""COMPUTED_VALUE"""),-1.8)</f>
        <v>-1.8</v>
      </c>
      <c r="V5497" s="4">
        <f>IFERROR(__xludf.DUMMYFUNCTION("""COMPUTED_VALUE"""),0.1)</f>
        <v>0.1</v>
      </c>
    </row>
    <row r="5498">
      <c r="A5498" s="4"/>
      <c r="B5498" s="4"/>
      <c r="C5498" s="4"/>
      <c r="D5498" s="4" t="str">
        <f>IFERROR(__xludf.DUMMYFUNCTION("""COMPUTED_VALUE"""),"Round 3")</f>
        <v>Round 3</v>
      </c>
      <c r="E5498" s="4"/>
      <c r="F5498" s="4"/>
      <c r="G5498" s="4" t="str">
        <f>IFERROR(__xludf.DUMMYFUNCTION("""COMPUTED_VALUE"""),"Totals")</f>
        <v>Totals</v>
      </c>
      <c r="H5498" s="4"/>
      <c r="I5498" s="4"/>
      <c r="J5498" s="4"/>
      <c r="K5498" s="4"/>
      <c r="L5498" s="4" t="str">
        <f>IFERROR(__xludf.DUMMYFUNCTION("""COMPUTED_VALUE"""),"Shooting")</f>
        <v>Shooting</v>
      </c>
      <c r="M5498" s="4"/>
      <c r="N5498" s="4"/>
      <c r="O5498" s="4" t="str">
        <f>IFERROR(__xludf.DUMMYFUNCTION("""COMPUTED_VALUE"""),"Per Game")</f>
        <v>Per Game</v>
      </c>
      <c r="P5498" s="4"/>
      <c r="Q5498" s="4"/>
      <c r="R5498" s="4"/>
      <c r="S5498" s="4" t="str">
        <f>IFERROR(__xludf.DUMMYFUNCTION("""COMPUTED_VALUE"""),"Advanced")</f>
        <v>Advanced</v>
      </c>
      <c r="T5498" s="4"/>
      <c r="U5498" s="4"/>
      <c r="V5498" s="4"/>
    </row>
    <row r="5499">
      <c r="A5499" s="4" t="str">
        <f>IFERROR(__xludf.DUMMYFUNCTION("""COMPUTED_VALUE"""),"Rk")</f>
        <v>Rk</v>
      </c>
      <c r="B5499" s="4" t="str">
        <f>IFERROR(__xludf.DUMMYFUNCTION("""COMPUTED_VALUE"""),"Pk")</f>
        <v>Pk</v>
      </c>
      <c r="C5499" s="4" t="str">
        <f>IFERROR(__xludf.DUMMYFUNCTION("""COMPUTED_VALUE"""),"Tm")</f>
        <v>Tm</v>
      </c>
      <c r="D5499" s="4" t="str">
        <f>IFERROR(__xludf.DUMMYFUNCTION("""COMPUTED_VALUE"""),"Player")</f>
        <v>Player</v>
      </c>
      <c r="E5499" s="4" t="str">
        <f>IFERROR(__xludf.DUMMYFUNCTION("""COMPUTED_VALUE"""),"College")</f>
        <v>College</v>
      </c>
      <c r="F5499" s="4" t="str">
        <f>IFERROR(__xludf.DUMMYFUNCTION("""COMPUTED_VALUE"""),"Yrs")</f>
        <v>Yrs</v>
      </c>
      <c r="G5499" s="4" t="str">
        <f>IFERROR(__xludf.DUMMYFUNCTION("""COMPUTED_VALUE"""),"G")</f>
        <v>G</v>
      </c>
      <c r="H5499" s="4" t="str">
        <f>IFERROR(__xludf.DUMMYFUNCTION("""COMPUTED_VALUE"""),"MP")</f>
        <v>MP</v>
      </c>
      <c r="I5499" s="4" t="str">
        <f>IFERROR(__xludf.DUMMYFUNCTION("""COMPUTED_VALUE"""),"PTS")</f>
        <v>PTS</v>
      </c>
      <c r="J5499" s="4" t="str">
        <f>IFERROR(__xludf.DUMMYFUNCTION("""COMPUTED_VALUE"""),"TRB")</f>
        <v>TRB</v>
      </c>
      <c r="K5499" s="4" t="str">
        <f>IFERROR(__xludf.DUMMYFUNCTION("""COMPUTED_VALUE"""),"AST")</f>
        <v>AST</v>
      </c>
      <c r="L5499" s="4" t="str">
        <f>IFERROR(__xludf.DUMMYFUNCTION("""COMPUTED_VALUE"""),"FG%")</f>
        <v>FG%</v>
      </c>
      <c r="M5499" s="4" t="str">
        <f>IFERROR(__xludf.DUMMYFUNCTION("""COMPUTED_VALUE"""),"3P%")</f>
        <v>3P%</v>
      </c>
      <c r="N5499" s="4" t="str">
        <f>IFERROR(__xludf.DUMMYFUNCTION("""COMPUTED_VALUE"""),"FT%")</f>
        <v>FT%</v>
      </c>
      <c r="O5499" s="4" t="str">
        <f>IFERROR(__xludf.DUMMYFUNCTION("""COMPUTED_VALUE"""),"MP")</f>
        <v>MP</v>
      </c>
      <c r="P5499" s="4" t="str">
        <f>IFERROR(__xludf.DUMMYFUNCTION("""COMPUTED_VALUE"""),"PTS")</f>
        <v>PTS</v>
      </c>
      <c r="Q5499" s="4" t="str">
        <f>IFERROR(__xludf.DUMMYFUNCTION("""COMPUTED_VALUE"""),"TRB")</f>
        <v>TRB</v>
      </c>
      <c r="R5499" s="4" t="str">
        <f>IFERROR(__xludf.DUMMYFUNCTION("""COMPUTED_VALUE"""),"AST")</f>
        <v>AST</v>
      </c>
      <c r="S5499" s="4" t="str">
        <f>IFERROR(__xludf.DUMMYFUNCTION("""COMPUTED_VALUE"""),"WS")</f>
        <v>WS</v>
      </c>
      <c r="T5499" s="4" t="str">
        <f>IFERROR(__xludf.DUMMYFUNCTION("""COMPUTED_VALUE"""),"WS/48")</f>
        <v>WS/48</v>
      </c>
      <c r="U5499" s="4" t="str">
        <f>IFERROR(__xludf.DUMMYFUNCTION("""COMPUTED_VALUE"""),"BPM")</f>
        <v>BPM</v>
      </c>
      <c r="V5499" s="4" t="str">
        <f>IFERROR(__xludf.DUMMYFUNCTION("""COMPUTED_VALUE"""),"VORP")</f>
        <v>VORP</v>
      </c>
    </row>
    <row r="5500">
      <c r="A5500" s="4">
        <f>IFERROR(__xludf.DUMMYFUNCTION("""COMPUTED_VALUE"""),36.0)</f>
        <v>36</v>
      </c>
      <c r="B5500" s="4">
        <f>IFERROR(__xludf.DUMMYFUNCTION("""COMPUTED_VALUE"""),36.0)</f>
        <v>36</v>
      </c>
      <c r="C5500" s="4" t="str">
        <f>IFERROR(__xludf.DUMMYFUNCTION("""COMPUTED_VALUE"""),"ATL")</f>
        <v>ATL</v>
      </c>
      <c r="D5500" s="4" t="str">
        <f>IFERROR(__xludf.DUMMYFUNCTION("""COMPUTED_VALUE"""),"Ted Manakas")</f>
        <v>Ted Manakas</v>
      </c>
      <c r="E5500" s="4" t="str">
        <f>IFERROR(__xludf.DUMMYFUNCTION("""COMPUTED_VALUE"""),"Princeton")</f>
        <v>Princeton</v>
      </c>
      <c r="F5500" s="4">
        <f>IFERROR(__xludf.DUMMYFUNCTION("""COMPUTED_VALUE"""),1.0)</f>
        <v>1</v>
      </c>
      <c r="G5500" s="4">
        <f>IFERROR(__xludf.DUMMYFUNCTION("""COMPUTED_VALUE"""),5.0)</f>
        <v>5</v>
      </c>
      <c r="H5500" s="4">
        <f>IFERROR(__xludf.DUMMYFUNCTION("""COMPUTED_VALUE"""),45.0)</f>
        <v>45</v>
      </c>
      <c r="I5500" s="4">
        <f>IFERROR(__xludf.DUMMYFUNCTION("""COMPUTED_VALUE"""),12.0)</f>
        <v>12</v>
      </c>
      <c r="J5500" s="4">
        <f>IFERROR(__xludf.DUMMYFUNCTION("""COMPUTED_VALUE"""),3.0)</f>
        <v>3</v>
      </c>
      <c r="K5500" s="4">
        <f>IFERROR(__xludf.DUMMYFUNCTION("""COMPUTED_VALUE"""),2.0)</f>
        <v>2</v>
      </c>
      <c r="L5500" s="4">
        <f>IFERROR(__xludf.DUMMYFUNCTION("""COMPUTED_VALUE"""),0.4)</f>
        <v>0.4</v>
      </c>
      <c r="M5500" s="4"/>
      <c r="N5500" s="4">
        <f>IFERROR(__xludf.DUMMYFUNCTION("""COMPUTED_VALUE"""),1.0)</f>
        <v>1</v>
      </c>
      <c r="O5500" s="4">
        <f>IFERROR(__xludf.DUMMYFUNCTION("""COMPUTED_VALUE"""),9.0)</f>
        <v>9</v>
      </c>
      <c r="P5500" s="4">
        <f>IFERROR(__xludf.DUMMYFUNCTION("""COMPUTED_VALUE"""),2.4)</f>
        <v>2.4</v>
      </c>
      <c r="Q5500" s="4">
        <f>IFERROR(__xludf.DUMMYFUNCTION("""COMPUTED_VALUE"""),0.6)</f>
        <v>0.6</v>
      </c>
      <c r="R5500" s="4">
        <f>IFERROR(__xludf.DUMMYFUNCTION("""COMPUTED_VALUE"""),0.4)</f>
        <v>0.4</v>
      </c>
      <c r="S5500" s="4">
        <f>IFERROR(__xludf.DUMMYFUNCTION("""COMPUTED_VALUE"""),0.0)</f>
        <v>0</v>
      </c>
      <c r="T5500" s="4">
        <f>IFERROR(__xludf.DUMMYFUNCTION("""COMPUTED_VALUE"""),0.014)</f>
        <v>0.014</v>
      </c>
      <c r="U5500" s="4">
        <f>IFERROR(__xludf.DUMMYFUNCTION("""COMPUTED_VALUE"""),-4.1)</f>
        <v>-4.1</v>
      </c>
      <c r="V5500" s="4">
        <f>IFERROR(__xludf.DUMMYFUNCTION("""COMPUTED_VALUE"""),0.0)</f>
        <v>0</v>
      </c>
    </row>
    <row r="5501">
      <c r="A5501" s="4">
        <f>IFERROR(__xludf.DUMMYFUNCTION("""COMPUTED_VALUE"""),37.0)</f>
        <v>37</v>
      </c>
      <c r="B5501" s="4">
        <f>IFERROR(__xludf.DUMMYFUNCTION("""COMPUTED_VALUE"""),37.0)</f>
        <v>37</v>
      </c>
      <c r="C5501" s="4" t="str">
        <f>IFERROR(__xludf.DUMMYFUNCTION("""COMPUTED_VALUE"""),"CLE")</f>
        <v>CLE</v>
      </c>
      <c r="D5501" s="4" t="str">
        <f>IFERROR(__xludf.DUMMYFUNCTION("""COMPUTED_VALUE"""),"Jim O'Brien")</f>
        <v>Jim O'Brien</v>
      </c>
      <c r="E5501" s="4" t="str">
        <f>IFERROR(__xludf.DUMMYFUNCTION("""COMPUTED_VALUE"""),"Maryland")</f>
        <v>Maryland</v>
      </c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</row>
    <row r="5502">
      <c r="A5502" s="4">
        <f>IFERROR(__xludf.DUMMYFUNCTION("""COMPUTED_VALUE"""),38.0)</f>
        <v>38</v>
      </c>
      <c r="B5502" s="4">
        <f>IFERROR(__xludf.DUMMYFUNCTION("""COMPUTED_VALUE"""),38.0)</f>
        <v>38</v>
      </c>
      <c r="C5502" s="4" t="str">
        <f>IFERROR(__xludf.DUMMYFUNCTION("""COMPUTED_VALUE"""),"BUF")</f>
        <v>BUF</v>
      </c>
      <c r="D5502" s="4" t="str">
        <f>IFERROR(__xludf.DUMMYFUNCTION("""COMPUTED_VALUE"""),"Ken Charles")</f>
        <v>Ken Charles</v>
      </c>
      <c r="E5502" s="4" t="str">
        <f>IFERROR(__xludf.DUMMYFUNCTION("""COMPUTED_VALUE"""),"Fordham")</f>
        <v>Fordham</v>
      </c>
      <c r="F5502" s="4">
        <f>IFERROR(__xludf.DUMMYFUNCTION("""COMPUTED_VALUE"""),5.0)</f>
        <v>5</v>
      </c>
      <c r="G5502" s="4">
        <f>IFERROR(__xludf.DUMMYFUNCTION("""COMPUTED_VALUE"""),322.0)</f>
        <v>322</v>
      </c>
      <c r="H5502" s="4">
        <f>IFERROR(__xludf.DUMMYFUNCTION("""COMPUTED_VALUE"""),7637.0)</f>
        <v>7637</v>
      </c>
      <c r="I5502" s="4">
        <f>IFERROR(__xludf.DUMMYFUNCTION("""COMPUTED_VALUE"""),2747.0)</f>
        <v>2747</v>
      </c>
      <c r="J5502" s="4">
        <f>IFERROR(__xludf.DUMMYFUNCTION("""COMPUTED_VALUE"""),640.0)</f>
        <v>640</v>
      </c>
      <c r="K5502" s="4">
        <f>IFERROR(__xludf.DUMMYFUNCTION("""COMPUTED_VALUE"""),806.0)</f>
        <v>806</v>
      </c>
      <c r="L5502" s="4">
        <f>IFERROR(__xludf.DUMMYFUNCTION("""COMPUTED_VALUE"""),0.441)</f>
        <v>0.441</v>
      </c>
      <c r="M5502" s="4"/>
      <c r="N5502" s="4">
        <f>IFERROR(__xludf.DUMMYFUNCTION("""COMPUTED_VALUE"""),0.789)</f>
        <v>0.789</v>
      </c>
      <c r="O5502" s="4">
        <f>IFERROR(__xludf.DUMMYFUNCTION("""COMPUTED_VALUE"""),23.7)</f>
        <v>23.7</v>
      </c>
      <c r="P5502" s="4">
        <f>IFERROR(__xludf.DUMMYFUNCTION("""COMPUTED_VALUE"""),8.5)</f>
        <v>8.5</v>
      </c>
      <c r="Q5502" s="4">
        <f>IFERROR(__xludf.DUMMYFUNCTION("""COMPUTED_VALUE"""),2.0)</f>
        <v>2</v>
      </c>
      <c r="R5502" s="4">
        <f>IFERROR(__xludf.DUMMYFUNCTION("""COMPUTED_VALUE"""),2.5)</f>
        <v>2.5</v>
      </c>
      <c r="S5502" s="4">
        <f>IFERROR(__xludf.DUMMYFUNCTION("""COMPUTED_VALUE"""),9.8)</f>
        <v>9.8</v>
      </c>
      <c r="T5502" s="4">
        <f>IFERROR(__xludf.DUMMYFUNCTION("""COMPUTED_VALUE"""),0.061)</f>
        <v>0.061</v>
      </c>
      <c r="U5502" s="4">
        <f>IFERROR(__xludf.DUMMYFUNCTION("""COMPUTED_VALUE"""),-1.0)</f>
        <v>-1</v>
      </c>
      <c r="V5502" s="4">
        <f>IFERROR(__xludf.DUMMYFUNCTION("""COMPUTED_VALUE"""),2.0)</f>
        <v>2</v>
      </c>
    </row>
    <row r="5503">
      <c r="A5503" s="4">
        <f>IFERROR(__xludf.DUMMYFUNCTION("""COMPUTED_VALUE"""),39.0)</f>
        <v>39</v>
      </c>
      <c r="B5503" s="4">
        <f>IFERROR(__xludf.DUMMYFUNCTION("""COMPUTED_VALUE"""),39.0)</f>
        <v>39</v>
      </c>
      <c r="C5503" s="4" t="str">
        <f>IFERROR(__xludf.DUMMYFUNCTION("""COMPUTED_VALUE"""),"CHI")</f>
        <v>CHI</v>
      </c>
      <c r="D5503" s="4" t="str">
        <f>IFERROR(__xludf.DUMMYFUNCTION("""COMPUTED_VALUE"""),"Martin Terry")</f>
        <v>Martin Terry</v>
      </c>
      <c r="E5503" s="4" t="str">
        <f>IFERROR(__xludf.DUMMYFUNCTION("""COMPUTED_VALUE"""),"Arkansas")</f>
        <v>Arkansas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</row>
    <row r="5504">
      <c r="A5504" s="4">
        <f>IFERROR(__xludf.DUMMYFUNCTION("""COMPUTED_VALUE"""),40.0)</f>
        <v>40</v>
      </c>
      <c r="B5504" s="4">
        <f>IFERROR(__xludf.DUMMYFUNCTION("""COMPUTED_VALUE"""),40.0)</f>
        <v>40</v>
      </c>
      <c r="C5504" s="4" t="str">
        <f>IFERROR(__xludf.DUMMYFUNCTION("""COMPUTED_VALUE"""),"CLE")</f>
        <v>CLE</v>
      </c>
      <c r="D5504" s="4" t="str">
        <f>IFERROR(__xludf.DUMMYFUNCTION("""COMPUTED_VALUE"""),"Ozie Edwards")</f>
        <v>Ozie Edwards</v>
      </c>
      <c r="E5504" s="4" t="str">
        <f>IFERROR(__xludf.DUMMYFUNCTION("""COMPUTED_VALUE"""),"Oklahoma City University")</f>
        <v>Oklahoma City University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</row>
    <row r="5505">
      <c r="A5505" s="4">
        <f>IFERROR(__xludf.DUMMYFUNCTION("""COMPUTED_VALUE"""),41.0)</f>
        <v>41</v>
      </c>
      <c r="B5505" s="4">
        <f>IFERROR(__xludf.DUMMYFUNCTION("""COMPUTED_VALUE"""),41.0)</f>
        <v>41</v>
      </c>
      <c r="C5505" s="4" t="str">
        <f>IFERROR(__xludf.DUMMYFUNCTION("""COMPUTED_VALUE"""),"CLE")</f>
        <v>CLE</v>
      </c>
      <c r="D5505" s="4" t="str">
        <f>IFERROR(__xludf.DUMMYFUNCTION("""COMPUTED_VALUE"""),"James Lister")</f>
        <v>James Lister</v>
      </c>
      <c r="E5505" s="4" t="str">
        <f>IFERROR(__xludf.DUMMYFUNCTION("""COMPUTED_VALUE"""),"Sam Houston State University")</f>
        <v>Sam Houston State University</v>
      </c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</row>
    <row r="5506">
      <c r="A5506" s="4">
        <f>IFERROR(__xludf.DUMMYFUNCTION("""COMPUTED_VALUE"""),42.0)</f>
        <v>42</v>
      </c>
      <c r="B5506" s="4">
        <f>IFERROR(__xludf.DUMMYFUNCTION("""COMPUTED_VALUE"""),42.0)</f>
        <v>42</v>
      </c>
      <c r="C5506" s="4" t="str">
        <f>IFERROR(__xludf.DUMMYFUNCTION("""COMPUTED_VALUE"""),"PHO")</f>
        <v>PHO</v>
      </c>
      <c r="D5506" s="4" t="str">
        <f>IFERROR(__xludf.DUMMYFUNCTION("""COMPUTED_VALUE"""),"Joe Reaves")</f>
        <v>Joe Reaves</v>
      </c>
      <c r="E5506" s="4" t="str">
        <f>IFERROR(__xludf.DUMMYFUNCTION("""COMPUTED_VALUE"""),"Bethel College")</f>
        <v>Bethel College</v>
      </c>
      <c r="F5506" s="4"/>
      <c r="G5506" s="4">
        <f>IFERROR(__xludf.DUMMYFUNCTION("""COMPUTED_VALUE"""),7.0)</f>
        <v>7</v>
      </c>
      <c r="H5506" s="4">
        <f>IFERROR(__xludf.DUMMYFUNCTION("""COMPUTED_VALUE"""),38.0)</f>
        <v>38</v>
      </c>
      <c r="I5506" s="4">
        <f>IFERROR(__xludf.DUMMYFUNCTION("""COMPUTED_VALUE"""),16.0)</f>
        <v>16</v>
      </c>
      <c r="J5506" s="4">
        <f>IFERROR(__xludf.DUMMYFUNCTION("""COMPUTED_VALUE"""),8.0)</f>
        <v>8</v>
      </c>
      <c r="K5506" s="4">
        <f>IFERROR(__xludf.DUMMYFUNCTION("""COMPUTED_VALUE"""),1.0)</f>
        <v>1</v>
      </c>
      <c r="L5506" s="4">
        <f>IFERROR(__xludf.DUMMYFUNCTION("""COMPUTED_VALUE"""),0.545)</f>
        <v>0.545</v>
      </c>
      <c r="M5506" s="4"/>
      <c r="N5506" s="4">
        <f>IFERROR(__xludf.DUMMYFUNCTION("""COMPUTED_VALUE"""),0.364)</f>
        <v>0.364</v>
      </c>
      <c r="O5506" s="4">
        <f>IFERROR(__xludf.DUMMYFUNCTION("""COMPUTED_VALUE"""),5.4)</f>
        <v>5.4</v>
      </c>
      <c r="P5506" s="4">
        <f>IFERROR(__xludf.DUMMYFUNCTION("""COMPUTED_VALUE"""),2.3)</f>
        <v>2.3</v>
      </c>
      <c r="Q5506" s="4">
        <f>IFERROR(__xludf.DUMMYFUNCTION("""COMPUTED_VALUE"""),1.1)</f>
        <v>1.1</v>
      </c>
      <c r="R5506" s="4">
        <f>IFERROR(__xludf.DUMMYFUNCTION("""COMPUTED_VALUE"""),0.1)</f>
        <v>0.1</v>
      </c>
      <c r="S5506" s="4">
        <f>IFERROR(__xludf.DUMMYFUNCTION("""COMPUTED_VALUE"""),0.0)</f>
        <v>0</v>
      </c>
      <c r="T5506" s="4">
        <f>IFERROR(__xludf.DUMMYFUNCTION("""COMPUTED_VALUE"""),-0.013)</f>
        <v>-0.013</v>
      </c>
      <c r="U5506" s="4">
        <f>IFERROR(__xludf.DUMMYFUNCTION("""COMPUTED_VALUE"""),-4.3)</f>
        <v>-4.3</v>
      </c>
      <c r="V5506" s="4">
        <f>IFERROR(__xludf.DUMMYFUNCTION("""COMPUTED_VALUE"""),0.0)</f>
        <v>0</v>
      </c>
    </row>
    <row r="5507">
      <c r="A5507" s="4">
        <f>IFERROR(__xludf.DUMMYFUNCTION("""COMPUTED_VALUE"""),43.0)</f>
        <v>43</v>
      </c>
      <c r="B5507" s="4">
        <f>IFERROR(__xludf.DUMMYFUNCTION("""COMPUTED_VALUE"""),43.0)</f>
        <v>43</v>
      </c>
      <c r="C5507" s="4" t="str">
        <f>IFERROR(__xludf.DUMMYFUNCTION("""COMPUTED_VALUE"""),"PHO")</f>
        <v>PHO</v>
      </c>
      <c r="D5507" s="4" t="str">
        <f>IFERROR(__xludf.DUMMYFUNCTION("""COMPUTED_VALUE"""),"Steve Mitchell")</f>
        <v>Steve Mitchell</v>
      </c>
      <c r="E5507" s="4" t="str">
        <f>IFERROR(__xludf.DUMMYFUNCTION("""COMPUTED_VALUE"""),"Kansas State")</f>
        <v>Kansas State</v>
      </c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</row>
    <row r="5508">
      <c r="A5508" s="4">
        <f>IFERROR(__xludf.DUMMYFUNCTION("""COMPUTED_VALUE"""),44.0)</f>
        <v>44</v>
      </c>
      <c r="B5508" s="4">
        <f>IFERROR(__xludf.DUMMYFUNCTION("""COMPUTED_VALUE"""),44.0)</f>
        <v>44</v>
      </c>
      <c r="C5508" s="4" t="str">
        <f>IFERROR(__xludf.DUMMYFUNCTION("""COMPUTED_VALUE"""),"DET")</f>
        <v>DET</v>
      </c>
      <c r="D5508" s="4" t="str">
        <f>IFERROR(__xludf.DUMMYFUNCTION("""COMPUTED_VALUE"""),"Bo Lamar")</f>
        <v>Bo Lamar</v>
      </c>
      <c r="E5508" s="4" t="str">
        <f>IFERROR(__xludf.DUMMYFUNCTION("""COMPUTED_VALUE"""),"Louisiana")</f>
        <v>Louisiana</v>
      </c>
      <c r="F5508" s="4">
        <f>IFERROR(__xludf.DUMMYFUNCTION("""COMPUTED_VALUE"""),1.0)</f>
        <v>1</v>
      </c>
      <c r="G5508" s="4">
        <f>IFERROR(__xludf.DUMMYFUNCTION("""COMPUTED_VALUE"""),71.0)</f>
        <v>71</v>
      </c>
      <c r="H5508" s="4">
        <f>IFERROR(__xludf.DUMMYFUNCTION("""COMPUTED_VALUE"""),1165.0)</f>
        <v>1165</v>
      </c>
      <c r="I5508" s="4">
        <f>IFERROR(__xludf.DUMMYFUNCTION("""COMPUTED_VALUE"""),502.0)</f>
        <v>502</v>
      </c>
      <c r="J5508" s="4">
        <f>IFERROR(__xludf.DUMMYFUNCTION("""COMPUTED_VALUE"""),92.0)</f>
        <v>92</v>
      </c>
      <c r="K5508" s="4">
        <f>IFERROR(__xludf.DUMMYFUNCTION("""COMPUTED_VALUE"""),177.0)</f>
        <v>177</v>
      </c>
      <c r="L5508" s="4">
        <f>IFERROR(__xludf.DUMMYFUNCTION("""COMPUTED_VALUE"""),0.406)</f>
        <v>0.406</v>
      </c>
      <c r="M5508" s="4"/>
      <c r="N5508" s="4">
        <f>IFERROR(__xludf.DUMMYFUNCTION("""COMPUTED_VALUE"""),0.676)</f>
        <v>0.676</v>
      </c>
      <c r="O5508" s="4">
        <f>IFERROR(__xludf.DUMMYFUNCTION("""COMPUTED_VALUE"""),16.4)</f>
        <v>16.4</v>
      </c>
      <c r="P5508" s="4">
        <f>IFERROR(__xludf.DUMMYFUNCTION("""COMPUTED_VALUE"""),7.1)</f>
        <v>7.1</v>
      </c>
      <c r="Q5508" s="4">
        <f>IFERROR(__xludf.DUMMYFUNCTION("""COMPUTED_VALUE"""),1.3)</f>
        <v>1.3</v>
      </c>
      <c r="R5508" s="4">
        <f>IFERROR(__xludf.DUMMYFUNCTION("""COMPUTED_VALUE"""),2.5)</f>
        <v>2.5</v>
      </c>
      <c r="S5508" s="4">
        <f>IFERROR(__xludf.DUMMYFUNCTION("""COMPUTED_VALUE"""),0.5)</f>
        <v>0.5</v>
      </c>
      <c r="T5508" s="4">
        <f>IFERROR(__xludf.DUMMYFUNCTION("""COMPUTED_VALUE"""),0.021)</f>
        <v>0.021</v>
      </c>
      <c r="U5508" s="4">
        <f>IFERROR(__xludf.DUMMYFUNCTION("""COMPUTED_VALUE"""),-2.7)</f>
        <v>-2.7</v>
      </c>
      <c r="V5508" s="4">
        <f>IFERROR(__xludf.DUMMYFUNCTION("""COMPUTED_VALUE"""),-0.2)</f>
        <v>-0.2</v>
      </c>
    </row>
    <row r="5509">
      <c r="A5509" s="4">
        <f>IFERROR(__xludf.DUMMYFUNCTION("""COMPUTED_VALUE"""),45.0)</f>
        <v>45</v>
      </c>
      <c r="B5509" s="4">
        <f>IFERROR(__xludf.DUMMYFUNCTION("""COMPUTED_VALUE"""),45.0)</f>
        <v>45</v>
      </c>
      <c r="C5509" s="4" t="str">
        <f>IFERROR(__xludf.DUMMYFUNCTION("""COMPUTED_VALUE"""),"ATL")</f>
        <v>ATL</v>
      </c>
      <c r="D5509" s="4" t="str">
        <f>IFERROR(__xludf.DUMMYFUNCTION("""COMPUTED_VALUE"""),"Leonard Gray")</f>
        <v>Leonard Gray</v>
      </c>
      <c r="E5509" s="4" t="str">
        <f>IFERROR(__xludf.DUMMYFUNCTION("""COMPUTED_VALUE"""),"Cal State Long Beach")</f>
        <v>Cal State Long Beach</v>
      </c>
      <c r="F5509" s="4">
        <f>IFERROR(__xludf.DUMMYFUNCTION("""COMPUTED_VALUE"""),3.0)</f>
        <v>3</v>
      </c>
      <c r="G5509" s="4">
        <f>IFERROR(__xludf.DUMMYFUNCTION("""COMPUTED_VALUE"""),224.0)</f>
        <v>224</v>
      </c>
      <c r="H5509" s="4">
        <f>IFERROR(__xludf.DUMMYFUNCTION("""COMPUTED_VALUE"""),6058.0)</f>
        <v>6058</v>
      </c>
      <c r="I5509" s="4">
        <f>IFERROR(__xludf.DUMMYFUNCTION("""COMPUTED_VALUE"""),2408.0)</f>
        <v>2408</v>
      </c>
      <c r="J5509" s="4">
        <f>IFERROR(__xludf.DUMMYFUNCTION("""COMPUTED_VALUE"""),1169.0)</f>
        <v>1169</v>
      </c>
      <c r="K5509" s="4">
        <f>IFERROR(__xludf.DUMMYFUNCTION("""COMPUTED_VALUE"""),490.0)</f>
        <v>490</v>
      </c>
      <c r="L5509" s="4">
        <f>IFERROR(__xludf.DUMMYFUNCTION("""COMPUTED_VALUE"""),0.469)</f>
        <v>0.469</v>
      </c>
      <c r="M5509" s="4"/>
      <c r="N5509" s="4">
        <f>IFERROR(__xludf.DUMMYFUNCTION("""COMPUTED_VALUE"""),0.739)</f>
        <v>0.739</v>
      </c>
      <c r="O5509" s="4">
        <f>IFERROR(__xludf.DUMMYFUNCTION("""COMPUTED_VALUE"""),27.0)</f>
        <v>27</v>
      </c>
      <c r="P5509" s="4">
        <f>IFERROR(__xludf.DUMMYFUNCTION("""COMPUTED_VALUE"""),10.8)</f>
        <v>10.8</v>
      </c>
      <c r="Q5509" s="4">
        <f>IFERROR(__xludf.DUMMYFUNCTION("""COMPUTED_VALUE"""),5.2)</f>
        <v>5.2</v>
      </c>
      <c r="R5509" s="4">
        <f>IFERROR(__xludf.DUMMYFUNCTION("""COMPUTED_VALUE"""),2.2)</f>
        <v>2.2</v>
      </c>
      <c r="S5509" s="4">
        <f>IFERROR(__xludf.DUMMYFUNCTION("""COMPUTED_VALUE"""),9.9)</f>
        <v>9.9</v>
      </c>
      <c r="T5509" s="4">
        <f>IFERROR(__xludf.DUMMYFUNCTION("""COMPUTED_VALUE"""),0.079)</f>
        <v>0.079</v>
      </c>
      <c r="U5509" s="4">
        <f>IFERROR(__xludf.DUMMYFUNCTION("""COMPUTED_VALUE"""),-1.4)</f>
        <v>-1.4</v>
      </c>
      <c r="V5509" s="4">
        <f>IFERROR(__xludf.DUMMYFUNCTION("""COMPUTED_VALUE"""),0.9)</f>
        <v>0.9</v>
      </c>
    </row>
    <row r="5510">
      <c r="A5510" s="4">
        <f>IFERROR(__xludf.DUMMYFUNCTION("""COMPUTED_VALUE"""),46.0)</f>
        <v>46</v>
      </c>
      <c r="B5510" s="4">
        <f>IFERROR(__xludf.DUMMYFUNCTION("""COMPUTED_VALUE"""),46.0)</f>
        <v>46</v>
      </c>
      <c r="C5510" s="4" t="str">
        <f>IFERROR(__xludf.DUMMYFUNCTION("""COMPUTED_VALUE"""),"GSW")</f>
        <v>GSW</v>
      </c>
      <c r="D5510" s="4" t="str">
        <f>IFERROR(__xludf.DUMMYFUNCTION("""COMPUTED_VALUE"""),"Jim Retseck")</f>
        <v>Jim Retseck</v>
      </c>
      <c r="E5510" s="4" t="str">
        <f>IFERROR(__xludf.DUMMYFUNCTION("""COMPUTED_VALUE"""),"Auburn")</f>
        <v>Auburn</v>
      </c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</row>
    <row r="5511">
      <c r="A5511" s="4">
        <f>IFERROR(__xludf.DUMMYFUNCTION("""COMPUTED_VALUE"""),47.0)</f>
        <v>47</v>
      </c>
      <c r="B5511" s="4">
        <f>IFERROR(__xludf.DUMMYFUNCTION("""COMPUTED_VALUE"""),47.0)</f>
        <v>47</v>
      </c>
      <c r="C5511" s="4" t="str">
        <f>IFERROR(__xludf.DUMMYFUNCTION("""COMPUTED_VALUE"""),"CHI")</f>
        <v>CHI</v>
      </c>
      <c r="D5511" s="4" t="str">
        <f>IFERROR(__xludf.DUMMYFUNCTION("""COMPUTED_VALUE"""),"Steve Newsome")</f>
        <v>Steve Newsome</v>
      </c>
      <c r="E5511" s="4" t="str">
        <f>IFERROR(__xludf.DUMMYFUNCTION("""COMPUTED_VALUE"""),"Houston")</f>
        <v>Houston</v>
      </c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</row>
    <row r="5512">
      <c r="A5512" s="4">
        <f>IFERROR(__xludf.DUMMYFUNCTION("""COMPUTED_VALUE"""),48.0)</f>
        <v>48</v>
      </c>
      <c r="B5512" s="4">
        <f>IFERROR(__xludf.DUMMYFUNCTION("""COMPUTED_VALUE"""),48.0)</f>
        <v>48</v>
      </c>
      <c r="C5512" s="4" t="str">
        <f>IFERROR(__xludf.DUMMYFUNCTION("""COMPUTED_VALUE"""),"CAP")</f>
        <v>CAP</v>
      </c>
      <c r="D5512" s="4" t="str">
        <f>IFERROR(__xludf.DUMMYFUNCTION("""COMPUTED_VALUE"""),"Tom Kozelko")</f>
        <v>Tom Kozelko</v>
      </c>
      <c r="E5512" s="4" t="str">
        <f>IFERROR(__xludf.DUMMYFUNCTION("""COMPUTED_VALUE"""),"Toledo")</f>
        <v>Toledo</v>
      </c>
      <c r="F5512" s="4">
        <f>IFERROR(__xludf.DUMMYFUNCTION("""COMPUTED_VALUE"""),3.0)</f>
        <v>3</v>
      </c>
      <c r="G5512" s="4">
        <f>IFERROR(__xludf.DUMMYFUNCTION("""COMPUTED_VALUE"""),189.0)</f>
        <v>189</v>
      </c>
      <c r="H5512" s="4">
        <f>IFERROR(__xludf.DUMMYFUNCTION("""COMPUTED_VALUE"""),1911.0)</f>
        <v>1911</v>
      </c>
      <c r="I5512" s="4">
        <f>IFERROR(__xludf.DUMMYFUNCTION("""COMPUTED_VALUE"""),407.0)</f>
        <v>407</v>
      </c>
      <c r="J5512" s="4">
        <f>IFERROR(__xludf.DUMMYFUNCTION("""COMPUTED_VALUE"""),346.0)</f>
        <v>346</v>
      </c>
      <c r="K5512" s="4">
        <f>IFERROR(__xludf.DUMMYFUNCTION("""COMPUTED_VALUE"""),99.0)</f>
        <v>99</v>
      </c>
      <c r="L5512" s="4">
        <f>IFERROR(__xludf.DUMMYFUNCTION("""COMPUTED_VALUE"""),0.419)</f>
        <v>0.419</v>
      </c>
      <c r="M5512" s="4"/>
      <c r="N5512" s="4">
        <f>IFERROR(__xludf.DUMMYFUNCTION("""COMPUTED_VALUE"""),0.745)</f>
        <v>0.745</v>
      </c>
      <c r="O5512" s="4">
        <f>IFERROR(__xludf.DUMMYFUNCTION("""COMPUTED_VALUE"""),10.1)</f>
        <v>10.1</v>
      </c>
      <c r="P5512" s="4">
        <f>IFERROR(__xludf.DUMMYFUNCTION("""COMPUTED_VALUE"""),2.2)</f>
        <v>2.2</v>
      </c>
      <c r="Q5512" s="4">
        <f>IFERROR(__xludf.DUMMYFUNCTION("""COMPUTED_VALUE"""),1.8)</f>
        <v>1.8</v>
      </c>
      <c r="R5512" s="4">
        <f>IFERROR(__xludf.DUMMYFUNCTION("""COMPUTED_VALUE"""),0.5)</f>
        <v>0.5</v>
      </c>
      <c r="S5512" s="4">
        <f>IFERROR(__xludf.DUMMYFUNCTION("""COMPUTED_VALUE"""),2.4)</f>
        <v>2.4</v>
      </c>
      <c r="T5512" s="4">
        <f>IFERROR(__xludf.DUMMYFUNCTION("""COMPUTED_VALUE"""),0.059)</f>
        <v>0.059</v>
      </c>
      <c r="U5512" s="4">
        <f>IFERROR(__xludf.DUMMYFUNCTION("""COMPUTED_VALUE"""),-2.5)</f>
        <v>-2.5</v>
      </c>
      <c r="V5512" s="4">
        <f>IFERROR(__xludf.DUMMYFUNCTION("""COMPUTED_VALUE"""),-0.3)</f>
        <v>-0.3</v>
      </c>
    </row>
    <row r="5513">
      <c r="A5513" s="4">
        <f>IFERROR(__xludf.DUMMYFUNCTION("""COMPUTED_VALUE"""),49.0)</f>
        <v>49</v>
      </c>
      <c r="B5513" s="4">
        <f>IFERROR(__xludf.DUMMYFUNCTION("""COMPUTED_VALUE"""),49.0)</f>
        <v>49</v>
      </c>
      <c r="C5513" s="4" t="str">
        <f>IFERROR(__xludf.DUMMYFUNCTION("""COMPUTED_VALUE"""),"NYK")</f>
        <v>NYK</v>
      </c>
      <c r="D5513" s="4" t="str">
        <f>IFERROR(__xludf.DUMMYFUNCTION("""COMPUTED_VALUE"""),"Allie McGuire")</f>
        <v>Allie McGuire</v>
      </c>
      <c r="E5513" s="4" t="str">
        <f>IFERROR(__xludf.DUMMYFUNCTION("""COMPUTED_VALUE"""),"Marquette")</f>
        <v>Marquette</v>
      </c>
      <c r="F5513" s="4">
        <f>IFERROR(__xludf.DUMMYFUNCTION("""COMPUTED_VALUE"""),1.0)</f>
        <v>1</v>
      </c>
      <c r="G5513" s="4">
        <f>IFERROR(__xludf.DUMMYFUNCTION("""COMPUTED_VALUE"""),2.0)</f>
        <v>2</v>
      </c>
      <c r="H5513" s="4">
        <f>IFERROR(__xludf.DUMMYFUNCTION("""COMPUTED_VALUE"""),10.0)</f>
        <v>10</v>
      </c>
      <c r="I5513" s="4">
        <f>IFERROR(__xludf.DUMMYFUNCTION("""COMPUTED_VALUE"""),4.0)</f>
        <v>4</v>
      </c>
      <c r="J5513" s="4">
        <f>IFERROR(__xludf.DUMMYFUNCTION("""COMPUTED_VALUE"""),2.0)</f>
        <v>2</v>
      </c>
      <c r="K5513" s="4">
        <f>IFERROR(__xludf.DUMMYFUNCTION("""COMPUTED_VALUE"""),1.0)</f>
        <v>1</v>
      </c>
      <c r="L5513" s="4">
        <f>IFERROR(__xludf.DUMMYFUNCTION("""COMPUTED_VALUE"""),0.5)</f>
        <v>0.5</v>
      </c>
      <c r="M5513" s="4"/>
      <c r="N5513" s="4"/>
      <c r="O5513" s="4">
        <f>IFERROR(__xludf.DUMMYFUNCTION("""COMPUTED_VALUE"""),5.0)</f>
        <v>5</v>
      </c>
      <c r="P5513" s="4">
        <f>IFERROR(__xludf.DUMMYFUNCTION("""COMPUTED_VALUE"""),2.0)</f>
        <v>2</v>
      </c>
      <c r="Q5513" s="4">
        <f>IFERROR(__xludf.DUMMYFUNCTION("""COMPUTED_VALUE"""),1.0)</f>
        <v>1</v>
      </c>
      <c r="R5513" s="4">
        <f>IFERROR(__xludf.DUMMYFUNCTION("""COMPUTED_VALUE"""),0.5)</f>
        <v>0.5</v>
      </c>
      <c r="S5513" s="4">
        <f>IFERROR(__xludf.DUMMYFUNCTION("""COMPUTED_VALUE"""),0.0)</f>
        <v>0</v>
      </c>
      <c r="T5513" s="4">
        <f>IFERROR(__xludf.DUMMYFUNCTION("""COMPUTED_VALUE"""),0.029)</f>
        <v>0.029</v>
      </c>
      <c r="U5513" s="4">
        <f>IFERROR(__xludf.DUMMYFUNCTION("""COMPUTED_VALUE"""),-4.5)</f>
        <v>-4.5</v>
      </c>
      <c r="V5513" s="4">
        <f>IFERROR(__xludf.DUMMYFUNCTION("""COMPUTED_VALUE"""),0.0)</f>
        <v>0</v>
      </c>
    </row>
    <row r="5514">
      <c r="A5514" s="4">
        <f>IFERROR(__xludf.DUMMYFUNCTION("""COMPUTED_VALUE"""),50.0)</f>
        <v>50</v>
      </c>
      <c r="B5514" s="4">
        <f>IFERROR(__xludf.DUMMYFUNCTION("""COMPUTED_VALUE"""),50.0)</f>
        <v>50</v>
      </c>
      <c r="C5514" s="4" t="str">
        <f>IFERROR(__xludf.DUMMYFUNCTION("""COMPUTED_VALUE"""),"DET")</f>
        <v>DET</v>
      </c>
      <c r="D5514" s="4" t="str">
        <f>IFERROR(__xludf.DUMMYFUNCTION("""COMPUTED_VALUE"""),"Larry Kenon")</f>
        <v>Larry Kenon</v>
      </c>
      <c r="E5514" s="4" t="str">
        <f>IFERROR(__xludf.DUMMYFUNCTION("""COMPUTED_VALUE"""),"Memphis")</f>
        <v>Memphis</v>
      </c>
      <c r="F5514" s="4">
        <f>IFERROR(__xludf.DUMMYFUNCTION("""COMPUTED_VALUE"""),7.0)</f>
        <v>7</v>
      </c>
      <c r="G5514" s="4">
        <f>IFERROR(__xludf.DUMMYFUNCTION("""COMPUTED_VALUE"""),503.0)</f>
        <v>503</v>
      </c>
      <c r="H5514" s="4">
        <f>IFERROR(__xludf.DUMMYFUNCTION("""COMPUTED_VALUE"""),15517.0)</f>
        <v>15517</v>
      </c>
      <c r="I5514" s="4">
        <f>IFERROR(__xludf.DUMMYFUNCTION("""COMPUTED_VALUE"""),8535.0)</f>
        <v>8535</v>
      </c>
      <c r="J5514" s="4">
        <f>IFERROR(__xludf.DUMMYFUNCTION("""COMPUTED_VALUE"""),3942.0)</f>
        <v>3942</v>
      </c>
      <c r="K5514" s="4">
        <f>IFERROR(__xludf.DUMMYFUNCTION("""COMPUTED_VALUE"""),1287.0)</f>
        <v>1287</v>
      </c>
      <c r="L5514" s="4">
        <f>IFERROR(__xludf.DUMMYFUNCTION("""COMPUTED_VALUE"""),0.489)</f>
        <v>0.489</v>
      </c>
      <c r="M5514" s="4"/>
      <c r="N5514" s="4">
        <f>IFERROR(__xludf.DUMMYFUNCTION("""COMPUTED_VALUE"""),0.798)</f>
        <v>0.798</v>
      </c>
      <c r="O5514" s="4">
        <f>IFERROR(__xludf.DUMMYFUNCTION("""COMPUTED_VALUE"""),30.8)</f>
        <v>30.8</v>
      </c>
      <c r="P5514" s="4">
        <f>IFERROR(__xludf.DUMMYFUNCTION("""COMPUTED_VALUE"""),17.0)</f>
        <v>17</v>
      </c>
      <c r="Q5514" s="4">
        <f>IFERROR(__xludf.DUMMYFUNCTION("""COMPUTED_VALUE"""),7.8)</f>
        <v>7.8</v>
      </c>
      <c r="R5514" s="4">
        <f>IFERROR(__xludf.DUMMYFUNCTION("""COMPUTED_VALUE"""),2.6)</f>
        <v>2.6</v>
      </c>
      <c r="S5514" s="4">
        <f>IFERROR(__xludf.DUMMYFUNCTION("""COMPUTED_VALUE"""),36.5)</f>
        <v>36.5</v>
      </c>
      <c r="T5514" s="4">
        <f>IFERROR(__xludf.DUMMYFUNCTION("""COMPUTED_VALUE"""),0.113)</f>
        <v>0.113</v>
      </c>
      <c r="U5514" s="4">
        <f>IFERROR(__xludf.DUMMYFUNCTION("""COMPUTED_VALUE"""),0.4)</f>
        <v>0.4</v>
      </c>
      <c r="V5514" s="4">
        <f>IFERROR(__xludf.DUMMYFUNCTION("""COMPUTED_VALUE"""),9.5)</f>
        <v>9.5</v>
      </c>
    </row>
    <row r="5515">
      <c r="A5515" s="4">
        <f>IFERROR(__xludf.DUMMYFUNCTION("""COMPUTED_VALUE"""),51.0)</f>
        <v>51</v>
      </c>
      <c r="B5515" s="4">
        <f>IFERROR(__xludf.DUMMYFUNCTION("""COMPUTED_VALUE"""),51.0)</f>
        <v>51</v>
      </c>
      <c r="C5515" s="4" t="str">
        <f>IFERROR(__xludf.DUMMYFUNCTION("""COMPUTED_VALUE"""),"HOU")</f>
        <v>HOU</v>
      </c>
      <c r="D5515" s="4" t="str">
        <f>IFERROR(__xludf.DUMMYFUNCTION("""COMPUTED_VALUE"""),"E.C. Coleman")</f>
        <v>E.C. Coleman</v>
      </c>
      <c r="E5515" s="4" t="str">
        <f>IFERROR(__xludf.DUMMYFUNCTION("""COMPUTED_VALUE"""),"Houston Baptist University")</f>
        <v>Houston Baptist University</v>
      </c>
      <c r="F5515" s="4">
        <f>IFERROR(__xludf.DUMMYFUNCTION("""COMPUTED_VALUE"""),6.0)</f>
        <v>6</v>
      </c>
      <c r="G5515" s="4">
        <f>IFERROR(__xludf.DUMMYFUNCTION("""COMPUTED_VALUE"""),357.0)</f>
        <v>357</v>
      </c>
      <c r="H5515" s="4">
        <f>IFERROR(__xludf.DUMMYFUNCTION("""COMPUTED_VALUE"""),9310.0)</f>
        <v>9310</v>
      </c>
      <c r="I5515" s="4">
        <f>IFERROR(__xludf.DUMMYFUNCTION("""COMPUTED_VALUE"""),2553.0)</f>
        <v>2553</v>
      </c>
      <c r="J5515" s="4">
        <f>IFERROR(__xludf.DUMMYFUNCTION("""COMPUTED_VALUE"""),2151.0)</f>
        <v>2151</v>
      </c>
      <c r="K5515" s="4">
        <f>IFERROR(__xludf.DUMMYFUNCTION("""COMPUTED_VALUE"""),472.0)</f>
        <v>472</v>
      </c>
      <c r="L5515" s="4">
        <f>IFERROR(__xludf.DUMMYFUNCTION("""COMPUTED_VALUE"""),0.464)</f>
        <v>0.464</v>
      </c>
      <c r="M5515" s="4"/>
      <c r="N5515" s="4">
        <f>IFERROR(__xludf.DUMMYFUNCTION("""COMPUTED_VALUE"""),0.694)</f>
        <v>0.694</v>
      </c>
      <c r="O5515" s="4">
        <f>IFERROR(__xludf.DUMMYFUNCTION("""COMPUTED_VALUE"""),26.1)</f>
        <v>26.1</v>
      </c>
      <c r="P5515" s="4">
        <f>IFERROR(__xludf.DUMMYFUNCTION("""COMPUTED_VALUE"""),7.2)</f>
        <v>7.2</v>
      </c>
      <c r="Q5515" s="4">
        <f>IFERROR(__xludf.DUMMYFUNCTION("""COMPUTED_VALUE"""),6.0)</f>
        <v>6</v>
      </c>
      <c r="R5515" s="4">
        <f>IFERROR(__xludf.DUMMYFUNCTION("""COMPUTED_VALUE"""),1.3)</f>
        <v>1.3</v>
      </c>
      <c r="S5515" s="4">
        <f>IFERROR(__xludf.DUMMYFUNCTION("""COMPUTED_VALUE"""),12.8)</f>
        <v>12.8</v>
      </c>
      <c r="T5515" s="4">
        <f>IFERROR(__xludf.DUMMYFUNCTION("""COMPUTED_VALUE"""),0.066)</f>
        <v>0.066</v>
      </c>
      <c r="U5515" s="4">
        <f>IFERROR(__xludf.DUMMYFUNCTION("""COMPUTED_VALUE"""),-2.0)</f>
        <v>-2</v>
      </c>
      <c r="V5515" s="4">
        <f>IFERROR(__xludf.DUMMYFUNCTION("""COMPUTED_VALUE"""),0.0)</f>
        <v>0</v>
      </c>
    </row>
    <row r="5516">
      <c r="A5516" s="4">
        <f>IFERROR(__xludf.DUMMYFUNCTION("""COMPUTED_VALUE"""),52.0)</f>
        <v>52</v>
      </c>
      <c r="B5516" s="4">
        <f>IFERROR(__xludf.DUMMYFUNCTION("""COMPUTED_VALUE"""),52.0)</f>
        <v>52</v>
      </c>
      <c r="C5516" s="4" t="str">
        <f>IFERROR(__xludf.DUMMYFUNCTION("""COMPUTED_VALUE"""),"BOS")</f>
        <v>BOS</v>
      </c>
      <c r="D5516" s="4" t="str">
        <f>IFERROR(__xludf.DUMMYFUNCTION("""COMPUTED_VALUE"""),"Martinez Denmon")</f>
        <v>Martinez Denmon</v>
      </c>
      <c r="E5516" s="4" t="str">
        <f>IFERROR(__xludf.DUMMYFUNCTION("""COMPUTED_VALUE"""),"Iowa State")</f>
        <v>Iowa State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</row>
    <row r="5517">
      <c r="A5517" s="4"/>
      <c r="B5517" s="4"/>
      <c r="C5517" s="4"/>
      <c r="D5517" s="4" t="str">
        <f>IFERROR(__xludf.DUMMYFUNCTION("""COMPUTED_VALUE"""),"Round 4")</f>
        <v>Round 4</v>
      </c>
      <c r="E5517" s="4"/>
      <c r="F5517" s="4"/>
      <c r="G5517" s="4" t="str">
        <f>IFERROR(__xludf.DUMMYFUNCTION("""COMPUTED_VALUE"""),"Totals")</f>
        <v>Totals</v>
      </c>
      <c r="H5517" s="4"/>
      <c r="I5517" s="4"/>
      <c r="J5517" s="4"/>
      <c r="K5517" s="4"/>
      <c r="L5517" s="4" t="str">
        <f>IFERROR(__xludf.DUMMYFUNCTION("""COMPUTED_VALUE"""),"Shooting")</f>
        <v>Shooting</v>
      </c>
      <c r="M5517" s="4"/>
      <c r="N5517" s="4"/>
      <c r="O5517" s="4" t="str">
        <f>IFERROR(__xludf.DUMMYFUNCTION("""COMPUTED_VALUE"""),"Per Game")</f>
        <v>Per Game</v>
      </c>
      <c r="P5517" s="4"/>
      <c r="Q5517" s="4"/>
      <c r="R5517" s="4"/>
      <c r="S5517" s="4" t="str">
        <f>IFERROR(__xludf.DUMMYFUNCTION("""COMPUTED_VALUE"""),"Advanced")</f>
        <v>Advanced</v>
      </c>
      <c r="T5517" s="4"/>
      <c r="U5517" s="4"/>
      <c r="V5517" s="4"/>
    </row>
    <row r="5518">
      <c r="A5518" s="4" t="str">
        <f>IFERROR(__xludf.DUMMYFUNCTION("""COMPUTED_VALUE"""),"Rk")</f>
        <v>Rk</v>
      </c>
      <c r="B5518" s="4" t="str">
        <f>IFERROR(__xludf.DUMMYFUNCTION("""COMPUTED_VALUE"""),"Pk")</f>
        <v>Pk</v>
      </c>
      <c r="C5518" s="4" t="str">
        <f>IFERROR(__xludf.DUMMYFUNCTION("""COMPUTED_VALUE"""),"Tm")</f>
        <v>Tm</v>
      </c>
      <c r="D5518" s="4" t="str">
        <f>IFERROR(__xludf.DUMMYFUNCTION("""COMPUTED_VALUE"""),"Player")</f>
        <v>Player</v>
      </c>
      <c r="E5518" s="4" t="str">
        <f>IFERROR(__xludf.DUMMYFUNCTION("""COMPUTED_VALUE"""),"College")</f>
        <v>College</v>
      </c>
      <c r="F5518" s="4" t="str">
        <f>IFERROR(__xludf.DUMMYFUNCTION("""COMPUTED_VALUE"""),"Yrs")</f>
        <v>Yrs</v>
      </c>
      <c r="G5518" s="4" t="str">
        <f>IFERROR(__xludf.DUMMYFUNCTION("""COMPUTED_VALUE"""),"G")</f>
        <v>G</v>
      </c>
      <c r="H5518" s="4" t="str">
        <f>IFERROR(__xludf.DUMMYFUNCTION("""COMPUTED_VALUE"""),"MP")</f>
        <v>MP</v>
      </c>
      <c r="I5518" s="4" t="str">
        <f>IFERROR(__xludf.DUMMYFUNCTION("""COMPUTED_VALUE"""),"PTS")</f>
        <v>PTS</v>
      </c>
      <c r="J5518" s="4" t="str">
        <f>IFERROR(__xludf.DUMMYFUNCTION("""COMPUTED_VALUE"""),"TRB")</f>
        <v>TRB</v>
      </c>
      <c r="K5518" s="4" t="str">
        <f>IFERROR(__xludf.DUMMYFUNCTION("""COMPUTED_VALUE"""),"AST")</f>
        <v>AST</v>
      </c>
      <c r="L5518" s="4" t="str">
        <f>IFERROR(__xludf.DUMMYFUNCTION("""COMPUTED_VALUE"""),"FG%")</f>
        <v>FG%</v>
      </c>
      <c r="M5518" s="4" t="str">
        <f>IFERROR(__xludf.DUMMYFUNCTION("""COMPUTED_VALUE"""),"3P%")</f>
        <v>3P%</v>
      </c>
      <c r="N5518" s="4" t="str">
        <f>IFERROR(__xludf.DUMMYFUNCTION("""COMPUTED_VALUE"""),"FT%")</f>
        <v>FT%</v>
      </c>
      <c r="O5518" s="4" t="str">
        <f>IFERROR(__xludf.DUMMYFUNCTION("""COMPUTED_VALUE"""),"MP")</f>
        <v>MP</v>
      </c>
      <c r="P5518" s="4" t="str">
        <f>IFERROR(__xludf.DUMMYFUNCTION("""COMPUTED_VALUE"""),"PTS")</f>
        <v>PTS</v>
      </c>
      <c r="Q5518" s="4" t="str">
        <f>IFERROR(__xludf.DUMMYFUNCTION("""COMPUTED_VALUE"""),"TRB")</f>
        <v>TRB</v>
      </c>
      <c r="R5518" s="4" t="str">
        <f>IFERROR(__xludf.DUMMYFUNCTION("""COMPUTED_VALUE"""),"AST")</f>
        <v>AST</v>
      </c>
      <c r="S5518" s="4" t="str">
        <f>IFERROR(__xludf.DUMMYFUNCTION("""COMPUTED_VALUE"""),"WS")</f>
        <v>WS</v>
      </c>
      <c r="T5518" s="4" t="str">
        <f>IFERROR(__xludf.DUMMYFUNCTION("""COMPUTED_VALUE"""),"WS/48")</f>
        <v>WS/48</v>
      </c>
      <c r="U5518" s="4" t="str">
        <f>IFERROR(__xludf.DUMMYFUNCTION("""COMPUTED_VALUE"""),"BPM")</f>
        <v>BPM</v>
      </c>
      <c r="V5518" s="4" t="str">
        <f>IFERROR(__xludf.DUMMYFUNCTION("""COMPUTED_VALUE"""),"VORP")</f>
        <v>VORP</v>
      </c>
    </row>
    <row r="5519">
      <c r="A5519" s="4">
        <f>IFERROR(__xludf.DUMMYFUNCTION("""COMPUTED_VALUE"""),53.0)</f>
        <v>53</v>
      </c>
      <c r="B5519" s="4">
        <f>IFERROR(__xludf.DUMMYFUNCTION("""COMPUTED_VALUE"""),53.0)</f>
        <v>53</v>
      </c>
      <c r="C5519" s="4" t="str">
        <f>IFERROR(__xludf.DUMMYFUNCTION("""COMPUTED_VALUE"""),"PHI")</f>
        <v>PHI</v>
      </c>
      <c r="D5519" s="4" t="str">
        <f>IFERROR(__xludf.DUMMYFUNCTION("""COMPUTED_VALUE"""),"Darryl Minniefield")</f>
        <v>Darryl Minniefield</v>
      </c>
      <c r="E5519" s="4" t="str">
        <f>IFERROR(__xludf.DUMMYFUNCTION("""COMPUTED_VALUE"""),"New Mexico")</f>
        <v>New Mexico</v>
      </c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</row>
    <row r="5520">
      <c r="A5520" s="4">
        <f>IFERROR(__xludf.DUMMYFUNCTION("""COMPUTED_VALUE"""),54.0)</f>
        <v>54</v>
      </c>
      <c r="B5520" s="4">
        <f>IFERROR(__xludf.DUMMYFUNCTION("""COMPUTED_VALUE"""),54.0)</f>
        <v>54</v>
      </c>
      <c r="C5520" s="4" t="str">
        <f>IFERROR(__xludf.DUMMYFUNCTION("""COMPUTED_VALUE"""),"BUF")</f>
        <v>BUF</v>
      </c>
      <c r="D5520" s="4" t="str">
        <f>IFERROR(__xludf.DUMMYFUNCTION("""COMPUTED_VALUE"""),"Doug Little")</f>
        <v>Doug Little</v>
      </c>
      <c r="E5520" s="4" t="str">
        <f>IFERROR(__xludf.DUMMYFUNCTION("""COMPUTED_VALUE"""),"Oregon")</f>
        <v>Oregon</v>
      </c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</row>
    <row r="5521">
      <c r="A5521" s="4">
        <f>IFERROR(__xludf.DUMMYFUNCTION("""COMPUTED_VALUE"""),55.0)</f>
        <v>55</v>
      </c>
      <c r="B5521" s="4">
        <f>IFERROR(__xludf.DUMMYFUNCTION("""COMPUTED_VALUE"""),55.0)</f>
        <v>55</v>
      </c>
      <c r="C5521" s="4" t="str">
        <f>IFERROR(__xludf.DUMMYFUNCTION("""COMPUTED_VALUE"""),"POR")</f>
        <v>POR</v>
      </c>
      <c r="D5521" s="4" t="str">
        <f>IFERROR(__xludf.DUMMYFUNCTION("""COMPUTED_VALUE"""),"Bird Averitt")</f>
        <v>Bird Averitt</v>
      </c>
      <c r="E5521" s="4" t="str">
        <f>IFERROR(__xludf.DUMMYFUNCTION("""COMPUTED_VALUE"""),"Pepperdine")</f>
        <v>Pepperdine</v>
      </c>
      <c r="F5521" s="4">
        <f>IFERROR(__xludf.DUMMYFUNCTION("""COMPUTED_VALUE"""),2.0)</f>
        <v>2</v>
      </c>
      <c r="G5521" s="4">
        <f>IFERROR(__xludf.DUMMYFUNCTION("""COMPUTED_VALUE"""),130.0)</f>
        <v>130</v>
      </c>
      <c r="H5521" s="4">
        <f>IFERROR(__xludf.DUMMYFUNCTION("""COMPUTED_VALUE"""),2221.0)</f>
        <v>2221</v>
      </c>
      <c r="I5521" s="4">
        <f>IFERROR(__xludf.DUMMYFUNCTION("""COMPUTED_VALUE"""),1085.0)</f>
        <v>1085</v>
      </c>
      <c r="J5521" s="4">
        <f>IFERROR(__xludf.DUMMYFUNCTION("""COMPUTED_VALUE"""),161.0)</f>
        <v>161</v>
      </c>
      <c r="K5521" s="4">
        <f>IFERROR(__xludf.DUMMYFUNCTION("""COMPUTED_VALUE"""),330.0)</f>
        <v>330</v>
      </c>
      <c r="L5521" s="4">
        <f>IFERROR(__xludf.DUMMYFUNCTION("""COMPUTED_VALUE"""),0.392)</f>
        <v>0.392</v>
      </c>
      <c r="M5521" s="4"/>
      <c r="N5521" s="4">
        <f>IFERROR(__xludf.DUMMYFUNCTION("""COMPUTED_VALUE"""),0.713)</f>
        <v>0.713</v>
      </c>
      <c r="O5521" s="4">
        <f>IFERROR(__xludf.DUMMYFUNCTION("""COMPUTED_VALUE"""),17.1)</f>
        <v>17.1</v>
      </c>
      <c r="P5521" s="4">
        <f>IFERROR(__xludf.DUMMYFUNCTION("""COMPUTED_VALUE"""),8.3)</f>
        <v>8.3</v>
      </c>
      <c r="Q5521" s="4">
        <f>IFERROR(__xludf.DUMMYFUNCTION("""COMPUTED_VALUE"""),1.2)</f>
        <v>1.2</v>
      </c>
      <c r="R5521" s="4">
        <f>IFERROR(__xludf.DUMMYFUNCTION("""COMPUTED_VALUE"""),2.5)</f>
        <v>2.5</v>
      </c>
      <c r="S5521" s="4">
        <f>IFERROR(__xludf.DUMMYFUNCTION("""COMPUTED_VALUE"""),-1.8)</f>
        <v>-1.8</v>
      </c>
      <c r="T5521" s="4">
        <f>IFERROR(__xludf.DUMMYFUNCTION("""COMPUTED_VALUE"""),-0.038)</f>
        <v>-0.038</v>
      </c>
      <c r="U5521" s="4">
        <f>IFERROR(__xludf.DUMMYFUNCTION("""COMPUTED_VALUE"""),-5.5)</f>
        <v>-5.5</v>
      </c>
      <c r="V5521" s="4">
        <f>IFERROR(__xludf.DUMMYFUNCTION("""COMPUTED_VALUE"""),-2.0)</f>
        <v>-2</v>
      </c>
    </row>
    <row r="5522">
      <c r="A5522" s="4">
        <f>IFERROR(__xludf.DUMMYFUNCTION("""COMPUTED_VALUE"""),56.0)</f>
        <v>56</v>
      </c>
      <c r="B5522" s="4">
        <f>IFERROR(__xludf.DUMMYFUNCTION("""COMPUTED_VALUE"""),56.0)</f>
        <v>56</v>
      </c>
      <c r="C5522" s="4" t="str">
        <f>IFERROR(__xludf.DUMMYFUNCTION("""COMPUTED_VALUE"""),"SEA")</f>
        <v>SEA</v>
      </c>
      <c r="D5522" s="4" t="str">
        <f>IFERROR(__xludf.DUMMYFUNCTION("""COMPUTED_VALUE"""),"June Harris")</f>
        <v>June Harris</v>
      </c>
      <c r="E5522" s="4" t="str">
        <f>IFERROR(__xludf.DUMMYFUNCTION("""COMPUTED_VALUE"""),"North Carolina A&amp;T")</f>
        <v>North Carolina A&amp;T</v>
      </c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</row>
    <row r="5523">
      <c r="A5523" s="4">
        <f>IFERROR(__xludf.DUMMYFUNCTION("""COMPUTED_VALUE"""),57.0)</f>
        <v>57</v>
      </c>
      <c r="B5523" s="4">
        <f>IFERROR(__xludf.DUMMYFUNCTION("""COMPUTED_VALUE"""),57.0)</f>
        <v>57</v>
      </c>
      <c r="C5523" s="4" t="str">
        <f>IFERROR(__xludf.DUMMYFUNCTION("""COMPUTED_VALUE"""),"CLE")</f>
        <v>CLE</v>
      </c>
      <c r="D5523" s="4" t="str">
        <f>IFERROR(__xludf.DUMMYFUNCTION("""COMPUTED_VALUE"""),"Luke Witte")</f>
        <v>Luke Witte</v>
      </c>
      <c r="E5523" s="4" t="str">
        <f>IFERROR(__xludf.DUMMYFUNCTION("""COMPUTED_VALUE"""),"Ohio State")</f>
        <v>Ohio State</v>
      </c>
      <c r="F5523" s="4">
        <f>IFERROR(__xludf.DUMMYFUNCTION("""COMPUTED_VALUE"""),3.0)</f>
        <v>3</v>
      </c>
      <c r="G5523" s="4">
        <f>IFERROR(__xludf.DUMMYFUNCTION("""COMPUTED_VALUE"""),118.0)</f>
        <v>118</v>
      </c>
      <c r="H5523" s="4">
        <f>IFERROR(__xludf.DUMMYFUNCTION("""COMPUTED_VALUE"""),1098.0)</f>
        <v>1098</v>
      </c>
      <c r="I5523" s="4">
        <f>IFERROR(__xludf.DUMMYFUNCTION("""COMPUTED_VALUE"""),372.0)</f>
        <v>372</v>
      </c>
      <c r="J5523" s="4">
        <f>IFERROR(__xludf.DUMMYFUNCTION("""COMPUTED_VALUE"""),357.0)</f>
        <v>357</v>
      </c>
      <c r="K5523" s="4">
        <f>IFERROR(__xludf.DUMMYFUNCTION("""COMPUTED_VALUE"""),60.0)</f>
        <v>60</v>
      </c>
      <c r="L5523" s="4">
        <f>IFERROR(__xludf.DUMMYFUNCTION("""COMPUTED_VALUE"""),0.402)</f>
        <v>0.402</v>
      </c>
      <c r="M5523" s="4"/>
      <c r="N5523" s="4">
        <f>IFERROR(__xludf.DUMMYFUNCTION("""COMPUTED_VALUE"""),0.685)</f>
        <v>0.685</v>
      </c>
      <c r="O5523" s="4">
        <f>IFERROR(__xludf.DUMMYFUNCTION("""COMPUTED_VALUE"""),9.3)</f>
        <v>9.3</v>
      </c>
      <c r="P5523" s="4">
        <f>IFERROR(__xludf.DUMMYFUNCTION("""COMPUTED_VALUE"""),3.2)</f>
        <v>3.2</v>
      </c>
      <c r="Q5523" s="4">
        <f>IFERROR(__xludf.DUMMYFUNCTION("""COMPUTED_VALUE"""),3.0)</f>
        <v>3</v>
      </c>
      <c r="R5523" s="4">
        <f>IFERROR(__xludf.DUMMYFUNCTION("""COMPUTED_VALUE"""),0.5)</f>
        <v>0.5</v>
      </c>
      <c r="S5523" s="4">
        <f>IFERROR(__xludf.DUMMYFUNCTION("""COMPUTED_VALUE"""),1.2)</f>
        <v>1.2</v>
      </c>
      <c r="T5523" s="4">
        <f>IFERROR(__xludf.DUMMYFUNCTION("""COMPUTED_VALUE"""),0.051)</f>
        <v>0.051</v>
      </c>
      <c r="U5523" s="4">
        <f>IFERROR(__xludf.DUMMYFUNCTION("""COMPUTED_VALUE"""),-3.0)</f>
        <v>-3</v>
      </c>
      <c r="V5523" s="4">
        <f>IFERROR(__xludf.DUMMYFUNCTION("""COMPUTED_VALUE"""),-0.3)</f>
        <v>-0.3</v>
      </c>
    </row>
    <row r="5524">
      <c r="A5524" s="4">
        <f>IFERROR(__xludf.DUMMYFUNCTION("""COMPUTED_VALUE"""),58.0)</f>
        <v>58</v>
      </c>
      <c r="B5524" s="4">
        <f>IFERROR(__xludf.DUMMYFUNCTION("""COMPUTED_VALUE"""),58.0)</f>
        <v>58</v>
      </c>
      <c r="C5524" s="4" t="str">
        <f>IFERROR(__xludf.DUMMYFUNCTION("""COMPUTED_VALUE"""),"HOU")</f>
        <v>HOU</v>
      </c>
      <c r="D5524" s="4" t="str">
        <f>IFERROR(__xludf.DUMMYFUNCTION("""COMPUTED_VALUE"""),"Lee Colburn")</f>
        <v>Lee Colburn</v>
      </c>
      <c r="E5524" s="4" t="str">
        <f>IFERROR(__xludf.DUMMYFUNCTION("""COMPUTED_VALUE"""),"South Dakota State")</f>
        <v>South Dakota State</v>
      </c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</row>
    <row r="5525">
      <c r="A5525" s="4">
        <f>IFERROR(__xludf.DUMMYFUNCTION("""COMPUTED_VALUE"""),59.0)</f>
        <v>59</v>
      </c>
      <c r="B5525" s="4">
        <f>IFERROR(__xludf.DUMMYFUNCTION("""COMPUTED_VALUE"""),59.0)</f>
        <v>59</v>
      </c>
      <c r="C5525" s="4" t="str">
        <f>IFERROR(__xludf.DUMMYFUNCTION("""COMPUTED_VALUE"""),"MIL")</f>
        <v>MIL</v>
      </c>
      <c r="D5525" s="4" t="str">
        <f>IFERROR(__xludf.DUMMYFUNCTION("""COMPUTED_VALUE"""),"Clyde Turner")</f>
        <v>Clyde Turner</v>
      </c>
      <c r="E5525" s="4" t="str">
        <f>IFERROR(__xludf.DUMMYFUNCTION("""COMPUTED_VALUE"""),"Minnesota")</f>
        <v>Minnesota</v>
      </c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</row>
    <row r="5526">
      <c r="A5526" s="4">
        <f>IFERROR(__xludf.DUMMYFUNCTION("""COMPUTED_VALUE"""),60.0)</f>
        <v>60</v>
      </c>
      <c r="B5526" s="4">
        <f>IFERROR(__xludf.DUMMYFUNCTION("""COMPUTED_VALUE"""),60.0)</f>
        <v>60</v>
      </c>
      <c r="C5526" s="4" t="str">
        <f>IFERROR(__xludf.DUMMYFUNCTION("""COMPUTED_VALUE"""),"PHO")</f>
        <v>PHO</v>
      </c>
      <c r="D5526" s="4" t="str">
        <f>IFERROR(__xludf.DUMMYFUNCTION("""COMPUTED_VALUE"""),"Ronnie Robinson")</f>
        <v>Ronnie Robinson</v>
      </c>
      <c r="E5526" s="4" t="str">
        <f>IFERROR(__xludf.DUMMYFUNCTION("""COMPUTED_VALUE"""),"Memphis")</f>
        <v>Memphis</v>
      </c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</row>
    <row r="5527">
      <c r="A5527" s="4">
        <f>IFERROR(__xludf.DUMMYFUNCTION("""COMPUTED_VALUE"""),61.0)</f>
        <v>61</v>
      </c>
      <c r="B5527" s="4">
        <f>IFERROR(__xludf.DUMMYFUNCTION("""COMPUTED_VALUE"""),61.0)</f>
        <v>61</v>
      </c>
      <c r="C5527" s="4" t="str">
        <f>IFERROR(__xludf.DUMMYFUNCTION("""COMPUTED_VALUE"""),"DET")</f>
        <v>DET</v>
      </c>
      <c r="D5527" s="4" t="str">
        <f>IFERROR(__xludf.DUMMYFUNCTION("""COMPUTED_VALUE"""),"Ken Brady")</f>
        <v>Ken Brady</v>
      </c>
      <c r="E5527" s="4" t="str">
        <f>IFERROR(__xludf.DUMMYFUNCTION("""COMPUTED_VALUE"""),"Michigan")</f>
        <v>Michigan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</row>
    <row r="5528">
      <c r="A5528" s="4">
        <f>IFERROR(__xludf.DUMMYFUNCTION("""COMPUTED_VALUE"""),62.0)</f>
        <v>62</v>
      </c>
      <c r="B5528" s="4">
        <f>IFERROR(__xludf.DUMMYFUNCTION("""COMPUTED_VALUE"""),62.0)</f>
        <v>62</v>
      </c>
      <c r="C5528" s="4" t="str">
        <f>IFERROR(__xludf.DUMMYFUNCTION("""COMPUTED_VALUE"""),"ATL")</f>
        <v>ATL</v>
      </c>
      <c r="D5528" s="4" t="str">
        <f>IFERROR(__xludf.DUMMYFUNCTION("""COMPUTED_VALUE"""),"James Brown")</f>
        <v>James Brown</v>
      </c>
      <c r="E5528" s="4" t="str">
        <f>IFERROR(__xludf.DUMMYFUNCTION("""COMPUTED_VALUE"""),"Harvard University")</f>
        <v>Harvard University</v>
      </c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</row>
    <row r="5529">
      <c r="A5529" s="4">
        <f>IFERROR(__xludf.DUMMYFUNCTION("""COMPUTED_VALUE"""),63.0)</f>
        <v>63</v>
      </c>
      <c r="B5529" s="4">
        <f>IFERROR(__xludf.DUMMYFUNCTION("""COMPUTED_VALUE"""),63.0)</f>
        <v>63</v>
      </c>
      <c r="C5529" s="4" t="str">
        <f>IFERROR(__xludf.DUMMYFUNCTION("""COMPUTED_VALUE"""),"GSW")</f>
        <v>GSW</v>
      </c>
      <c r="D5529" s="4" t="str">
        <f>IFERROR(__xludf.DUMMYFUNCTION("""COMPUTED_VALUE"""),"Ron King")</f>
        <v>Ron King</v>
      </c>
      <c r="E5529" s="4" t="str">
        <f>IFERROR(__xludf.DUMMYFUNCTION("""COMPUTED_VALUE"""),"Florida State")</f>
        <v>Florida State</v>
      </c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</row>
    <row r="5530">
      <c r="A5530" s="4">
        <f>IFERROR(__xludf.DUMMYFUNCTION("""COMPUTED_VALUE"""),64.0)</f>
        <v>64</v>
      </c>
      <c r="B5530" s="4">
        <f>IFERROR(__xludf.DUMMYFUNCTION("""COMPUTED_VALUE"""),64.0)</f>
        <v>64</v>
      </c>
      <c r="C5530" s="4" t="str">
        <f>IFERROR(__xludf.DUMMYFUNCTION("""COMPUTED_VALUE"""),"CHI")</f>
        <v>CHI</v>
      </c>
      <c r="D5530" s="4" t="str">
        <f>IFERROR(__xludf.DUMMYFUNCTION("""COMPUTED_VALUE"""),"Mark Sibley")</f>
        <v>Mark Sibley</v>
      </c>
      <c r="E5530" s="4" t="str">
        <f>IFERROR(__xludf.DUMMYFUNCTION("""COMPUTED_VALUE"""),"Northwestern")</f>
        <v>Northwestern</v>
      </c>
      <c r="F5530" s="4">
        <f>IFERROR(__xludf.DUMMYFUNCTION("""COMPUTED_VALUE"""),1.0)</f>
        <v>1</v>
      </c>
      <c r="G5530" s="4">
        <f>IFERROR(__xludf.DUMMYFUNCTION("""COMPUTED_VALUE"""),28.0)</f>
        <v>28</v>
      </c>
      <c r="H5530" s="4">
        <f>IFERROR(__xludf.DUMMYFUNCTION("""COMPUTED_VALUE"""),124.0)</f>
        <v>124</v>
      </c>
      <c r="I5530" s="4">
        <f>IFERROR(__xludf.DUMMYFUNCTION("""COMPUTED_VALUE"""),46.0)</f>
        <v>46</v>
      </c>
      <c r="J5530" s="4">
        <f>IFERROR(__xludf.DUMMYFUNCTION("""COMPUTED_VALUE"""),25.0)</f>
        <v>25</v>
      </c>
      <c r="K5530" s="4">
        <f>IFERROR(__xludf.DUMMYFUNCTION("""COMPUTED_VALUE"""),13.0)</f>
        <v>13</v>
      </c>
      <c r="L5530" s="4">
        <f>IFERROR(__xludf.DUMMYFUNCTION("""COMPUTED_VALUE"""),0.357)</f>
        <v>0.357</v>
      </c>
      <c r="M5530" s="4"/>
      <c r="N5530" s="4">
        <f>IFERROR(__xludf.DUMMYFUNCTION("""COMPUTED_VALUE"""),0.857)</f>
        <v>0.857</v>
      </c>
      <c r="O5530" s="4">
        <f>IFERROR(__xludf.DUMMYFUNCTION("""COMPUTED_VALUE"""),4.4)</f>
        <v>4.4</v>
      </c>
      <c r="P5530" s="4">
        <f>IFERROR(__xludf.DUMMYFUNCTION("""COMPUTED_VALUE"""),1.6)</f>
        <v>1.6</v>
      </c>
      <c r="Q5530" s="4">
        <f>IFERROR(__xludf.DUMMYFUNCTION("""COMPUTED_VALUE"""),0.9)</f>
        <v>0.9</v>
      </c>
      <c r="R5530" s="4">
        <f>IFERROR(__xludf.DUMMYFUNCTION("""COMPUTED_VALUE"""),0.5)</f>
        <v>0.5</v>
      </c>
      <c r="S5530" s="4">
        <f>IFERROR(__xludf.DUMMYFUNCTION("""COMPUTED_VALUE"""),-0.2)</f>
        <v>-0.2</v>
      </c>
      <c r="T5530" s="4">
        <f>IFERROR(__xludf.DUMMYFUNCTION("""COMPUTED_VALUE"""),-0.065)</f>
        <v>-0.065</v>
      </c>
      <c r="U5530" s="4">
        <f>IFERROR(__xludf.DUMMYFUNCTION("""COMPUTED_VALUE"""),-5.7)</f>
        <v>-5.7</v>
      </c>
      <c r="V5530" s="4">
        <f>IFERROR(__xludf.DUMMYFUNCTION("""COMPUTED_VALUE"""),-0.2)</f>
        <v>-0.2</v>
      </c>
    </row>
    <row r="5531">
      <c r="A5531" s="4">
        <f>IFERROR(__xludf.DUMMYFUNCTION("""COMPUTED_VALUE"""),65.0)</f>
        <v>65</v>
      </c>
      <c r="B5531" s="4">
        <f>IFERROR(__xludf.DUMMYFUNCTION("""COMPUTED_VALUE"""),65.0)</f>
        <v>65</v>
      </c>
      <c r="C5531" s="4" t="str">
        <f>IFERROR(__xludf.DUMMYFUNCTION("""COMPUTED_VALUE"""),"CAP")</f>
        <v>CAP</v>
      </c>
      <c r="D5531" s="4" t="str">
        <f>IFERROR(__xludf.DUMMYFUNCTION("""COMPUTED_VALUE"""),"Aron Stewart")</f>
        <v>Aron Stewart</v>
      </c>
      <c r="E5531" s="4" t="str">
        <f>IFERROR(__xludf.DUMMYFUNCTION("""COMPUTED_VALUE"""),"Richmond")</f>
        <v>Richmond</v>
      </c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</row>
    <row r="5532">
      <c r="A5532" s="4">
        <f>IFERROR(__xludf.DUMMYFUNCTION("""COMPUTED_VALUE"""),66.0)</f>
        <v>66</v>
      </c>
      <c r="B5532" s="4">
        <f>IFERROR(__xludf.DUMMYFUNCTION("""COMPUTED_VALUE"""),66.0)</f>
        <v>66</v>
      </c>
      <c r="C5532" s="4" t="str">
        <f>IFERROR(__xludf.DUMMYFUNCTION("""COMPUTED_VALUE"""),"NYK")</f>
        <v>NYK</v>
      </c>
      <c r="D5532" s="4" t="str">
        <f>IFERROR(__xludf.DUMMYFUNCTION("""COMPUTED_VALUE"""),"George Karl")</f>
        <v>George Karl</v>
      </c>
      <c r="E5532" s="4" t="str">
        <f>IFERROR(__xludf.DUMMYFUNCTION("""COMPUTED_VALUE"""),"UNC")</f>
        <v>UNC</v>
      </c>
      <c r="F5532" s="4">
        <f>IFERROR(__xludf.DUMMYFUNCTION("""COMPUTED_VALUE"""),2.0)</f>
        <v>2</v>
      </c>
      <c r="G5532" s="4">
        <f>IFERROR(__xludf.DUMMYFUNCTION("""COMPUTED_VALUE"""),33.0)</f>
        <v>33</v>
      </c>
      <c r="H5532" s="4">
        <f>IFERROR(__xludf.DUMMYFUNCTION("""COMPUTED_VALUE"""),281.0)</f>
        <v>281</v>
      </c>
      <c r="I5532" s="4">
        <f>IFERROR(__xludf.DUMMYFUNCTION("""COMPUTED_VALUE"""),85.0)</f>
        <v>85</v>
      </c>
      <c r="J5532" s="4">
        <f>IFERROR(__xludf.DUMMYFUNCTION("""COMPUTED_VALUE"""),22.0)</f>
        <v>22</v>
      </c>
      <c r="K5532" s="4">
        <f>IFERROR(__xludf.DUMMYFUNCTION("""COMPUTED_VALUE"""),51.0)</f>
        <v>51</v>
      </c>
      <c r="L5532" s="4">
        <f>IFERROR(__xludf.DUMMYFUNCTION("""COMPUTED_VALUE"""),0.342)</f>
        <v>0.342</v>
      </c>
      <c r="M5532" s="4"/>
      <c r="N5532" s="4">
        <f>IFERROR(__xludf.DUMMYFUNCTION("""COMPUTED_VALUE"""),0.705)</f>
        <v>0.705</v>
      </c>
      <c r="O5532" s="4">
        <f>IFERROR(__xludf.DUMMYFUNCTION("""COMPUTED_VALUE"""),8.5)</f>
        <v>8.5</v>
      </c>
      <c r="P5532" s="4">
        <f>IFERROR(__xludf.DUMMYFUNCTION("""COMPUTED_VALUE"""),2.6)</f>
        <v>2.6</v>
      </c>
      <c r="Q5532" s="4">
        <f>IFERROR(__xludf.DUMMYFUNCTION("""COMPUTED_VALUE"""),0.7)</f>
        <v>0.7</v>
      </c>
      <c r="R5532" s="4">
        <f>IFERROR(__xludf.DUMMYFUNCTION("""COMPUTED_VALUE"""),1.5)</f>
        <v>1.5</v>
      </c>
      <c r="S5532" s="4">
        <f>IFERROR(__xludf.DUMMYFUNCTION("""COMPUTED_VALUE"""),-0.2)</f>
        <v>-0.2</v>
      </c>
      <c r="T5532" s="4">
        <f>IFERROR(__xludf.DUMMYFUNCTION("""COMPUTED_VALUE"""),-0.038)</f>
        <v>-0.038</v>
      </c>
      <c r="U5532" s="4">
        <f>IFERROR(__xludf.DUMMYFUNCTION("""COMPUTED_VALUE"""),-5.6)</f>
        <v>-5.6</v>
      </c>
      <c r="V5532" s="4">
        <f>IFERROR(__xludf.DUMMYFUNCTION("""COMPUTED_VALUE"""),-0.3)</f>
        <v>-0.3</v>
      </c>
    </row>
    <row r="5533">
      <c r="A5533" s="4">
        <f>IFERROR(__xludf.DUMMYFUNCTION("""COMPUTED_VALUE"""),67.0)</f>
        <v>67</v>
      </c>
      <c r="B5533" s="4">
        <f>IFERROR(__xludf.DUMMYFUNCTION("""COMPUTED_VALUE"""),67.0)</f>
        <v>67</v>
      </c>
      <c r="C5533" s="4" t="str">
        <f>IFERROR(__xludf.DUMMYFUNCTION("""COMPUTED_VALUE"""),"MIL")</f>
        <v>MIL</v>
      </c>
      <c r="D5533" s="4" t="str">
        <f>IFERROR(__xludf.DUMMYFUNCTION("""COMPUTED_VALUE"""),"Harry Rogers")</f>
        <v>Harry Rogers</v>
      </c>
      <c r="E5533" s="4" t="str">
        <f>IFERROR(__xludf.DUMMYFUNCTION("""COMPUTED_VALUE"""),"Saint Louis")</f>
        <v>Saint Louis</v>
      </c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</row>
    <row r="5534">
      <c r="A5534" s="4">
        <f>IFERROR(__xludf.DUMMYFUNCTION("""COMPUTED_VALUE"""),68.0)</f>
        <v>68</v>
      </c>
      <c r="B5534" s="4">
        <f>IFERROR(__xludf.DUMMYFUNCTION("""COMPUTED_VALUE"""),68.0)</f>
        <v>68</v>
      </c>
      <c r="C5534" s="4" t="str">
        <f>IFERROR(__xludf.DUMMYFUNCTION("""COMPUTED_VALUE"""),"LAL")</f>
        <v>LAL</v>
      </c>
      <c r="D5534" s="4" t="str">
        <f>IFERROR(__xludf.DUMMYFUNCTION("""COMPUTED_VALUE"""),"Larry Finch")</f>
        <v>Larry Finch</v>
      </c>
      <c r="E5534" s="4" t="str">
        <f>IFERROR(__xludf.DUMMYFUNCTION("""COMPUTED_VALUE"""),"Memphis")</f>
        <v>Memphis</v>
      </c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</row>
    <row r="5535">
      <c r="A5535" s="4">
        <f>IFERROR(__xludf.DUMMYFUNCTION("""COMPUTED_VALUE"""),69.0)</f>
        <v>69</v>
      </c>
      <c r="B5535" s="4">
        <f>IFERROR(__xludf.DUMMYFUNCTION("""COMPUTED_VALUE"""),69.0)</f>
        <v>69</v>
      </c>
      <c r="C5535" s="4" t="str">
        <f>IFERROR(__xludf.DUMMYFUNCTION("""COMPUTED_VALUE"""),"BOS")</f>
        <v>BOS</v>
      </c>
      <c r="D5535" s="4" t="str">
        <f>IFERROR(__xludf.DUMMYFUNCTION("""COMPUTED_VALUE"""),"Richie Fuqua")</f>
        <v>Richie Fuqua</v>
      </c>
      <c r="E5535" s="4" t="str">
        <f>IFERROR(__xludf.DUMMYFUNCTION("""COMPUTED_VALUE"""),"Oral Roberts")</f>
        <v>Oral Roberts</v>
      </c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</row>
    <row r="5536">
      <c r="A5536" s="4"/>
      <c r="B5536" s="4"/>
      <c r="C5536" s="4"/>
      <c r="D5536" s="4" t="str">
        <f>IFERROR(__xludf.DUMMYFUNCTION("""COMPUTED_VALUE"""),"Round 5")</f>
        <v>Round 5</v>
      </c>
      <c r="E5536" s="4"/>
      <c r="F5536" s="4"/>
      <c r="G5536" s="4" t="str">
        <f>IFERROR(__xludf.DUMMYFUNCTION("""COMPUTED_VALUE"""),"Totals")</f>
        <v>Totals</v>
      </c>
      <c r="H5536" s="4"/>
      <c r="I5536" s="4"/>
      <c r="J5536" s="4"/>
      <c r="K5536" s="4"/>
      <c r="L5536" s="4" t="str">
        <f>IFERROR(__xludf.DUMMYFUNCTION("""COMPUTED_VALUE"""),"Shooting")</f>
        <v>Shooting</v>
      </c>
      <c r="M5536" s="4"/>
      <c r="N5536" s="4"/>
      <c r="O5536" s="4" t="str">
        <f>IFERROR(__xludf.DUMMYFUNCTION("""COMPUTED_VALUE"""),"Per Game")</f>
        <v>Per Game</v>
      </c>
      <c r="P5536" s="4"/>
      <c r="Q5536" s="4"/>
      <c r="R5536" s="4"/>
      <c r="S5536" s="4" t="str">
        <f>IFERROR(__xludf.DUMMYFUNCTION("""COMPUTED_VALUE"""),"Advanced")</f>
        <v>Advanced</v>
      </c>
      <c r="T5536" s="4"/>
      <c r="U5536" s="4"/>
      <c r="V5536" s="4"/>
    </row>
    <row r="5537">
      <c r="A5537" s="4" t="str">
        <f>IFERROR(__xludf.DUMMYFUNCTION("""COMPUTED_VALUE"""),"Rk")</f>
        <v>Rk</v>
      </c>
      <c r="B5537" s="4" t="str">
        <f>IFERROR(__xludf.DUMMYFUNCTION("""COMPUTED_VALUE"""),"Pk")</f>
        <v>Pk</v>
      </c>
      <c r="C5537" s="4" t="str">
        <f>IFERROR(__xludf.DUMMYFUNCTION("""COMPUTED_VALUE"""),"Tm")</f>
        <v>Tm</v>
      </c>
      <c r="D5537" s="4" t="str">
        <f>IFERROR(__xludf.DUMMYFUNCTION("""COMPUTED_VALUE"""),"Player")</f>
        <v>Player</v>
      </c>
      <c r="E5537" s="4" t="str">
        <f>IFERROR(__xludf.DUMMYFUNCTION("""COMPUTED_VALUE"""),"College")</f>
        <v>College</v>
      </c>
      <c r="F5537" s="4" t="str">
        <f>IFERROR(__xludf.DUMMYFUNCTION("""COMPUTED_VALUE"""),"Yrs")</f>
        <v>Yrs</v>
      </c>
      <c r="G5537" s="4" t="str">
        <f>IFERROR(__xludf.DUMMYFUNCTION("""COMPUTED_VALUE"""),"G")</f>
        <v>G</v>
      </c>
      <c r="H5537" s="4" t="str">
        <f>IFERROR(__xludf.DUMMYFUNCTION("""COMPUTED_VALUE"""),"MP")</f>
        <v>MP</v>
      </c>
      <c r="I5537" s="4" t="str">
        <f>IFERROR(__xludf.DUMMYFUNCTION("""COMPUTED_VALUE"""),"PTS")</f>
        <v>PTS</v>
      </c>
      <c r="J5537" s="4" t="str">
        <f>IFERROR(__xludf.DUMMYFUNCTION("""COMPUTED_VALUE"""),"TRB")</f>
        <v>TRB</v>
      </c>
      <c r="K5537" s="4" t="str">
        <f>IFERROR(__xludf.DUMMYFUNCTION("""COMPUTED_VALUE"""),"AST")</f>
        <v>AST</v>
      </c>
      <c r="L5537" s="4" t="str">
        <f>IFERROR(__xludf.DUMMYFUNCTION("""COMPUTED_VALUE"""),"FG%")</f>
        <v>FG%</v>
      </c>
      <c r="M5537" s="4" t="str">
        <f>IFERROR(__xludf.DUMMYFUNCTION("""COMPUTED_VALUE"""),"3P%")</f>
        <v>3P%</v>
      </c>
      <c r="N5537" s="4" t="str">
        <f>IFERROR(__xludf.DUMMYFUNCTION("""COMPUTED_VALUE"""),"FT%")</f>
        <v>FT%</v>
      </c>
      <c r="O5537" s="4" t="str">
        <f>IFERROR(__xludf.DUMMYFUNCTION("""COMPUTED_VALUE"""),"MP")</f>
        <v>MP</v>
      </c>
      <c r="P5537" s="4" t="str">
        <f>IFERROR(__xludf.DUMMYFUNCTION("""COMPUTED_VALUE"""),"PTS")</f>
        <v>PTS</v>
      </c>
      <c r="Q5537" s="4" t="str">
        <f>IFERROR(__xludf.DUMMYFUNCTION("""COMPUTED_VALUE"""),"TRB")</f>
        <v>TRB</v>
      </c>
      <c r="R5537" s="4" t="str">
        <f>IFERROR(__xludf.DUMMYFUNCTION("""COMPUTED_VALUE"""),"AST")</f>
        <v>AST</v>
      </c>
      <c r="S5537" s="4" t="str">
        <f>IFERROR(__xludf.DUMMYFUNCTION("""COMPUTED_VALUE"""),"WS")</f>
        <v>WS</v>
      </c>
      <c r="T5537" s="4" t="str">
        <f>IFERROR(__xludf.DUMMYFUNCTION("""COMPUTED_VALUE"""),"WS/48")</f>
        <v>WS/48</v>
      </c>
      <c r="U5537" s="4" t="str">
        <f>IFERROR(__xludf.DUMMYFUNCTION("""COMPUTED_VALUE"""),"BPM")</f>
        <v>BPM</v>
      </c>
      <c r="V5537" s="4" t="str">
        <f>IFERROR(__xludf.DUMMYFUNCTION("""COMPUTED_VALUE"""),"VORP")</f>
        <v>VORP</v>
      </c>
    </row>
    <row r="5538">
      <c r="A5538" s="4">
        <f>IFERROR(__xludf.DUMMYFUNCTION("""COMPUTED_VALUE"""),70.0)</f>
        <v>70</v>
      </c>
      <c r="B5538" s="4">
        <f>IFERROR(__xludf.DUMMYFUNCTION("""COMPUTED_VALUE"""),70.0)</f>
        <v>70</v>
      </c>
      <c r="C5538" s="4" t="str">
        <f>IFERROR(__xludf.DUMMYFUNCTION("""COMPUTED_VALUE"""),"PHI")</f>
        <v>PHI</v>
      </c>
      <c r="D5538" s="4" t="str">
        <f>IFERROR(__xludf.DUMMYFUNCTION("""COMPUTED_VALUE"""),"Reggie Royals")</f>
        <v>Reggie Royals</v>
      </c>
      <c r="E5538" s="4" t="str">
        <f>IFERROR(__xludf.DUMMYFUNCTION("""COMPUTED_VALUE"""),"Florida State")</f>
        <v>Florida State</v>
      </c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</row>
    <row r="5539">
      <c r="A5539" s="4">
        <f>IFERROR(__xludf.DUMMYFUNCTION("""COMPUTED_VALUE"""),71.0)</f>
        <v>71</v>
      </c>
      <c r="B5539" s="4">
        <f>IFERROR(__xludf.DUMMYFUNCTION("""COMPUTED_VALUE"""),71.0)</f>
        <v>71</v>
      </c>
      <c r="C5539" s="4" t="str">
        <f>IFERROR(__xludf.DUMMYFUNCTION("""COMPUTED_VALUE"""),"POR")</f>
        <v>POR</v>
      </c>
      <c r="D5539" s="4" t="str">
        <f>IFERROR(__xludf.DUMMYFUNCTION("""COMPUTED_VALUE"""),"Fran Costello")</f>
        <v>Fran Costello</v>
      </c>
      <c r="E5539" s="4" t="str">
        <f>IFERROR(__xludf.DUMMYFUNCTION("""COMPUTED_VALUE"""),"Providence")</f>
        <v>Providence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</row>
    <row r="5540">
      <c r="A5540" s="4">
        <f>IFERROR(__xludf.DUMMYFUNCTION("""COMPUTED_VALUE"""),72.0)</f>
        <v>72</v>
      </c>
      <c r="B5540" s="4">
        <f>IFERROR(__xludf.DUMMYFUNCTION("""COMPUTED_VALUE"""),72.0)</f>
        <v>72</v>
      </c>
      <c r="C5540" s="4" t="str">
        <f>IFERROR(__xludf.DUMMYFUNCTION("""COMPUTED_VALUE"""),"BUF")</f>
        <v>BUF</v>
      </c>
      <c r="D5540" s="4" t="str">
        <f>IFERROR(__xludf.DUMMYFUNCTION("""COMPUTED_VALUE"""),"Randy Knoll")</f>
        <v>Randy Knoll</v>
      </c>
      <c r="E5540" s="4" t="str">
        <f>IFERROR(__xludf.DUMMYFUNCTION("""COMPUTED_VALUE"""),"Marshall")</f>
        <v>Marshall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</row>
    <row r="5541">
      <c r="A5541" s="4">
        <f>IFERROR(__xludf.DUMMYFUNCTION("""COMPUTED_VALUE"""),73.0)</f>
        <v>73</v>
      </c>
      <c r="B5541" s="4">
        <f>IFERROR(__xludf.DUMMYFUNCTION("""COMPUTED_VALUE"""),73.0)</f>
        <v>73</v>
      </c>
      <c r="C5541" s="4" t="str">
        <f>IFERROR(__xludf.DUMMYFUNCTION("""COMPUTED_VALUE"""),"SEA")</f>
        <v>SEA</v>
      </c>
      <c r="D5541" s="4" t="str">
        <f>IFERROR(__xludf.DUMMYFUNCTION("""COMPUTED_VALUE"""),"Chuck Iverson")</f>
        <v>Chuck Iverson</v>
      </c>
      <c r="E5541" s="4" t="str">
        <f>IFERROR(__xludf.DUMMYFUNCTION("""COMPUTED_VALUE"""),"South Dakota")</f>
        <v>South Dakota</v>
      </c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</row>
    <row r="5542">
      <c r="A5542" s="4">
        <f>IFERROR(__xludf.DUMMYFUNCTION("""COMPUTED_VALUE"""),74.0)</f>
        <v>74</v>
      </c>
      <c r="B5542" s="4">
        <f>IFERROR(__xludf.DUMMYFUNCTION("""COMPUTED_VALUE"""),74.0)</f>
        <v>74</v>
      </c>
      <c r="C5542" s="4" t="str">
        <f>IFERROR(__xludf.DUMMYFUNCTION("""COMPUTED_VALUE"""),"CLE")</f>
        <v>CLE</v>
      </c>
      <c r="D5542" s="4" t="str">
        <f>IFERROR(__xludf.DUMMYFUNCTION("""COMPUTED_VALUE"""),"John Coughran")</f>
        <v>John Coughran</v>
      </c>
      <c r="E5542" s="4" t="str">
        <f>IFERROR(__xludf.DUMMYFUNCTION("""COMPUTED_VALUE"""),"California")</f>
        <v>California</v>
      </c>
      <c r="F5542" s="4">
        <f>IFERROR(__xludf.DUMMYFUNCTION("""COMPUTED_VALUE"""),1.0)</f>
        <v>1</v>
      </c>
      <c r="G5542" s="4">
        <f>IFERROR(__xludf.DUMMYFUNCTION("""COMPUTED_VALUE"""),24.0)</f>
        <v>24</v>
      </c>
      <c r="H5542" s="4">
        <f>IFERROR(__xludf.DUMMYFUNCTION("""COMPUTED_VALUE"""),160.0)</f>
        <v>160</v>
      </c>
      <c r="I5542" s="4">
        <f>IFERROR(__xludf.DUMMYFUNCTION("""COMPUTED_VALUE"""),68.0)</f>
        <v>68</v>
      </c>
      <c r="J5542" s="4">
        <f>IFERROR(__xludf.DUMMYFUNCTION("""COMPUTED_VALUE"""),19.0)</f>
        <v>19</v>
      </c>
      <c r="K5542" s="4">
        <f>IFERROR(__xludf.DUMMYFUNCTION("""COMPUTED_VALUE"""),12.0)</f>
        <v>12</v>
      </c>
      <c r="L5542" s="4">
        <f>IFERROR(__xludf.DUMMYFUNCTION("""COMPUTED_VALUE"""),0.358)</f>
        <v>0.358</v>
      </c>
      <c r="M5542" s="4">
        <f>IFERROR(__xludf.DUMMYFUNCTION("""COMPUTED_VALUE"""),0.222)</f>
        <v>0.222</v>
      </c>
      <c r="N5542" s="4">
        <f>IFERROR(__xludf.DUMMYFUNCTION("""COMPUTED_VALUE"""),0.571)</f>
        <v>0.571</v>
      </c>
      <c r="O5542" s="4">
        <f>IFERROR(__xludf.DUMMYFUNCTION("""COMPUTED_VALUE"""),6.7)</f>
        <v>6.7</v>
      </c>
      <c r="P5542" s="4">
        <f>IFERROR(__xludf.DUMMYFUNCTION("""COMPUTED_VALUE"""),2.8)</f>
        <v>2.8</v>
      </c>
      <c r="Q5542" s="4">
        <f>IFERROR(__xludf.DUMMYFUNCTION("""COMPUTED_VALUE"""),0.8)</f>
        <v>0.8</v>
      </c>
      <c r="R5542" s="4">
        <f>IFERROR(__xludf.DUMMYFUNCTION("""COMPUTED_VALUE"""),0.5)</f>
        <v>0.5</v>
      </c>
      <c r="S5542" s="4">
        <f>IFERROR(__xludf.DUMMYFUNCTION("""COMPUTED_VALUE"""),-0.3)</f>
        <v>-0.3</v>
      </c>
      <c r="T5542" s="4">
        <f>IFERROR(__xludf.DUMMYFUNCTION("""COMPUTED_VALUE"""),-0.086)</f>
        <v>-0.086</v>
      </c>
      <c r="U5542" s="4">
        <f>IFERROR(__xludf.DUMMYFUNCTION("""COMPUTED_VALUE"""),-6.5)</f>
        <v>-6.5</v>
      </c>
      <c r="V5542" s="4">
        <f>IFERROR(__xludf.DUMMYFUNCTION("""COMPUTED_VALUE"""),-0.3)</f>
        <v>-0.3</v>
      </c>
    </row>
    <row r="5543">
      <c r="A5543" s="4">
        <f>IFERROR(__xludf.DUMMYFUNCTION("""COMPUTED_VALUE"""),75.0)</f>
        <v>75</v>
      </c>
      <c r="B5543" s="4">
        <f>IFERROR(__xludf.DUMMYFUNCTION("""COMPUTED_VALUE"""),75.0)</f>
        <v>75</v>
      </c>
      <c r="C5543" s="4" t="str">
        <f>IFERROR(__xludf.DUMMYFUNCTION("""COMPUTED_VALUE"""),"HOU")</f>
        <v>HOU</v>
      </c>
      <c r="D5543" s="4" t="str">
        <f>IFERROR(__xludf.DUMMYFUNCTION("""COMPUTED_VALUE"""),"Gary Rhoades")</f>
        <v>Gary Rhoades</v>
      </c>
      <c r="E5543" s="4" t="str">
        <f>IFERROR(__xludf.DUMMYFUNCTION("""COMPUTED_VALUE"""),"Colorado State")</f>
        <v>Colorado State</v>
      </c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</row>
    <row r="5544">
      <c r="A5544" s="4">
        <f>IFERROR(__xludf.DUMMYFUNCTION("""COMPUTED_VALUE"""),76.0)</f>
        <v>76</v>
      </c>
      <c r="B5544" s="4">
        <f>IFERROR(__xludf.DUMMYFUNCTION("""COMPUTED_VALUE"""),76.0)</f>
        <v>76</v>
      </c>
      <c r="C5544" s="4" t="str">
        <f>IFERROR(__xludf.DUMMYFUNCTION("""COMPUTED_VALUE"""),"KCO")</f>
        <v>KCO</v>
      </c>
      <c r="D5544" s="4" t="str">
        <f>IFERROR(__xludf.DUMMYFUNCTION("""COMPUTED_VALUE"""),"M.L. Carr")</f>
        <v>M.L. Carr</v>
      </c>
      <c r="E5544" s="4" t="str">
        <f>IFERROR(__xludf.DUMMYFUNCTION("""COMPUTED_VALUE"""),"Guilford College")</f>
        <v>Guilford College</v>
      </c>
      <c r="F5544" s="4">
        <f>IFERROR(__xludf.DUMMYFUNCTION("""COMPUTED_VALUE"""),9.0)</f>
        <v>9</v>
      </c>
      <c r="G5544" s="4">
        <f>IFERROR(__xludf.DUMMYFUNCTION("""COMPUTED_VALUE"""),604.0)</f>
        <v>604</v>
      </c>
      <c r="H5544" s="4">
        <f>IFERROR(__xludf.DUMMYFUNCTION("""COMPUTED_VALUE"""),14216.0)</f>
        <v>14216</v>
      </c>
      <c r="I5544" s="4">
        <f>IFERROR(__xludf.DUMMYFUNCTION("""COMPUTED_VALUE"""),5853.0)</f>
        <v>5853</v>
      </c>
      <c r="J5544" s="4">
        <f>IFERROR(__xludf.DUMMYFUNCTION("""COMPUTED_VALUE"""),2595.0)</f>
        <v>2595</v>
      </c>
      <c r="K5544" s="4">
        <f>IFERROR(__xludf.DUMMYFUNCTION("""COMPUTED_VALUE"""),1112.0)</f>
        <v>1112</v>
      </c>
      <c r="L5544" s="4">
        <f>IFERROR(__xludf.DUMMYFUNCTION("""COMPUTED_VALUE"""),0.47)</f>
        <v>0.47</v>
      </c>
      <c r="M5544" s="4"/>
      <c r="N5544" s="4">
        <f>IFERROR(__xludf.DUMMYFUNCTION("""COMPUTED_VALUE"""),0.746)</f>
        <v>0.746</v>
      </c>
      <c r="O5544" s="4">
        <f>IFERROR(__xludf.DUMMYFUNCTION("""COMPUTED_VALUE"""),23.5)</f>
        <v>23.5</v>
      </c>
      <c r="P5544" s="4">
        <f>IFERROR(__xludf.DUMMYFUNCTION("""COMPUTED_VALUE"""),9.7)</f>
        <v>9.7</v>
      </c>
      <c r="Q5544" s="4">
        <f>IFERROR(__xludf.DUMMYFUNCTION("""COMPUTED_VALUE"""),4.3)</f>
        <v>4.3</v>
      </c>
      <c r="R5544" s="4">
        <f>IFERROR(__xludf.DUMMYFUNCTION("""COMPUTED_VALUE"""),1.8)</f>
        <v>1.8</v>
      </c>
      <c r="S5544" s="4">
        <f>IFERROR(__xludf.DUMMYFUNCTION("""COMPUTED_VALUE"""),29.0)</f>
        <v>29</v>
      </c>
      <c r="T5544" s="4">
        <f>IFERROR(__xludf.DUMMYFUNCTION("""COMPUTED_VALUE"""),0.098)</f>
        <v>0.098</v>
      </c>
      <c r="U5544" s="4">
        <f>IFERROR(__xludf.DUMMYFUNCTION("""COMPUTED_VALUE"""),0.3)</f>
        <v>0.3</v>
      </c>
      <c r="V5544" s="4">
        <f>IFERROR(__xludf.DUMMYFUNCTION("""COMPUTED_VALUE"""),8.4)</f>
        <v>8.4</v>
      </c>
    </row>
    <row r="5545">
      <c r="A5545" s="4">
        <f>IFERROR(__xludf.DUMMYFUNCTION("""COMPUTED_VALUE"""),77.0)</f>
        <v>77</v>
      </c>
      <c r="B5545" s="4">
        <f>IFERROR(__xludf.DUMMYFUNCTION("""COMPUTED_VALUE"""),77.0)</f>
        <v>77</v>
      </c>
      <c r="C5545" s="4" t="str">
        <f>IFERROR(__xludf.DUMMYFUNCTION("""COMPUTED_VALUE"""),"PHO")</f>
        <v>PHO</v>
      </c>
      <c r="D5545" s="4" t="str">
        <f>IFERROR(__xludf.DUMMYFUNCTION("""COMPUTED_VALUE"""),"Clinton Harris")</f>
        <v>Clinton Harris</v>
      </c>
      <c r="E5545" s="4" t="str">
        <f>IFERROR(__xludf.DUMMYFUNCTION("""COMPUTED_VALUE"""),"Iowa State")</f>
        <v>Iowa State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</row>
    <row r="5546">
      <c r="A5546" s="4">
        <f>IFERROR(__xludf.DUMMYFUNCTION("""COMPUTED_VALUE"""),78.0)</f>
        <v>78</v>
      </c>
      <c r="B5546" s="4">
        <f>IFERROR(__xludf.DUMMYFUNCTION("""COMPUTED_VALUE"""),78.0)</f>
        <v>78</v>
      </c>
      <c r="C5546" s="4" t="str">
        <f>IFERROR(__xludf.DUMMYFUNCTION("""COMPUTED_VALUE"""),"DET")</f>
        <v>DET</v>
      </c>
      <c r="D5546" s="4" t="str">
        <f>IFERROR(__xludf.DUMMYFUNCTION("""COMPUTED_VALUE"""),"Henry Wilmore")</f>
        <v>Henry Wilmore</v>
      </c>
      <c r="E5546" s="4" t="str">
        <f>IFERROR(__xludf.DUMMYFUNCTION("""COMPUTED_VALUE"""),"Michigan")</f>
        <v>Michigan</v>
      </c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</row>
    <row r="5547">
      <c r="A5547" s="4">
        <f>IFERROR(__xludf.DUMMYFUNCTION("""COMPUTED_VALUE"""),79.0)</f>
        <v>79</v>
      </c>
      <c r="B5547" s="4">
        <f>IFERROR(__xludf.DUMMYFUNCTION("""COMPUTED_VALUE"""),79.0)</f>
        <v>79</v>
      </c>
      <c r="C5547" s="4" t="str">
        <f>IFERROR(__xludf.DUMMYFUNCTION("""COMPUTED_VALUE"""),"ATL")</f>
        <v>ATL</v>
      </c>
      <c r="D5547" s="4" t="str">
        <f>IFERROR(__xludf.DUMMYFUNCTION("""COMPUTED_VALUE"""),"Dave Winfield")</f>
        <v>Dave Winfield</v>
      </c>
      <c r="E5547" s="4" t="str">
        <f>IFERROR(__xludf.DUMMYFUNCTION("""COMPUTED_VALUE"""),"Minnesota")</f>
        <v>Minnesota</v>
      </c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</row>
    <row r="5548">
      <c r="A5548" s="4">
        <f>IFERROR(__xludf.DUMMYFUNCTION("""COMPUTED_VALUE"""),80.0)</f>
        <v>80</v>
      </c>
      <c r="B5548" s="4">
        <f>IFERROR(__xludf.DUMMYFUNCTION("""COMPUTED_VALUE"""),80.0)</f>
        <v>80</v>
      </c>
      <c r="C5548" s="4" t="str">
        <f>IFERROR(__xludf.DUMMYFUNCTION("""COMPUTED_VALUE"""),"GSW")</f>
        <v>GSW</v>
      </c>
      <c r="D5548" s="4" t="str">
        <f>IFERROR(__xludf.DUMMYFUNCTION("""COMPUTED_VALUE"""),"Nate Stephens")</f>
        <v>Nate Stephens</v>
      </c>
      <c r="E5548" s="4" t="str">
        <f>IFERROR(__xludf.DUMMYFUNCTION("""COMPUTED_VALUE"""),"Cal State Long Beach")</f>
        <v>Cal State Long Beach</v>
      </c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</row>
    <row r="5549">
      <c r="A5549" s="4">
        <f>IFERROR(__xludf.DUMMYFUNCTION("""COMPUTED_VALUE"""),81.0)</f>
        <v>81</v>
      </c>
      <c r="B5549" s="4">
        <f>IFERROR(__xludf.DUMMYFUNCTION("""COMPUTED_VALUE"""),81.0)</f>
        <v>81</v>
      </c>
      <c r="C5549" s="4" t="str">
        <f>IFERROR(__xludf.DUMMYFUNCTION("""COMPUTED_VALUE"""),"CHI")</f>
        <v>CHI</v>
      </c>
      <c r="D5549" s="4" t="str">
        <f>IFERROR(__xludf.DUMMYFUNCTION("""COMPUTED_VALUE"""),"Roy Simpson")</f>
        <v>Roy Simpson</v>
      </c>
      <c r="E5549" s="4" t="str">
        <f>IFERROR(__xludf.DUMMYFUNCTION("""COMPUTED_VALUE"""),"Furman University")</f>
        <v>Furman University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</row>
    <row r="5550">
      <c r="A5550" s="4">
        <f>IFERROR(__xludf.DUMMYFUNCTION("""COMPUTED_VALUE"""),82.0)</f>
        <v>82</v>
      </c>
      <c r="B5550" s="4">
        <f>IFERROR(__xludf.DUMMYFUNCTION("""COMPUTED_VALUE"""),82.0)</f>
        <v>82</v>
      </c>
      <c r="C5550" s="4" t="str">
        <f>IFERROR(__xludf.DUMMYFUNCTION("""COMPUTED_VALUE"""),"CAP")</f>
        <v>CAP</v>
      </c>
      <c r="D5550" s="4" t="str">
        <f>IFERROR(__xludf.DUMMYFUNCTION("""COMPUTED_VALUE"""),"Danny Traylor")</f>
        <v>Danny Traylor</v>
      </c>
      <c r="E5550" s="4" t="str">
        <f>IFERROR(__xludf.DUMMYFUNCTION("""COMPUTED_VALUE"""),"South Carolina")</f>
        <v>South Carolina</v>
      </c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</row>
    <row r="5551">
      <c r="A5551" s="4">
        <f>IFERROR(__xludf.DUMMYFUNCTION("""COMPUTED_VALUE"""),83.0)</f>
        <v>83</v>
      </c>
      <c r="B5551" s="4">
        <f>IFERROR(__xludf.DUMMYFUNCTION("""COMPUTED_VALUE"""),83.0)</f>
        <v>83</v>
      </c>
      <c r="C5551" s="4" t="str">
        <f>IFERROR(__xludf.DUMMYFUNCTION("""COMPUTED_VALUE"""),"NYK")</f>
        <v>NYK</v>
      </c>
      <c r="D5551" s="4" t="str">
        <f>IFERROR(__xludf.DUMMYFUNCTION("""COMPUTED_VALUE"""),"Dennis Bell")</f>
        <v>Dennis Bell</v>
      </c>
      <c r="E5551" s="4" t="str">
        <f>IFERROR(__xludf.DUMMYFUNCTION("""COMPUTED_VALUE"""),"Drake University")</f>
        <v>Drake University</v>
      </c>
      <c r="F5551" s="4">
        <f>IFERROR(__xludf.DUMMYFUNCTION("""COMPUTED_VALUE"""),3.0)</f>
        <v>3</v>
      </c>
      <c r="G5551" s="4">
        <f>IFERROR(__xludf.DUMMYFUNCTION("""COMPUTED_VALUE"""),63.0)</f>
        <v>63</v>
      </c>
      <c r="H5551" s="4">
        <f>IFERROR(__xludf.DUMMYFUNCTION("""COMPUTED_VALUE"""),545.0)</f>
        <v>545</v>
      </c>
      <c r="I5551" s="4">
        <f>IFERROR(__xludf.DUMMYFUNCTION("""COMPUTED_VALUE"""),175.0)</f>
        <v>175</v>
      </c>
      <c r="J5551" s="4">
        <f>IFERROR(__xludf.DUMMYFUNCTION("""COMPUTED_VALUE"""),119.0)</f>
        <v>119</v>
      </c>
      <c r="K5551" s="4">
        <f>IFERROR(__xludf.DUMMYFUNCTION("""COMPUTED_VALUE"""),28.0)</f>
        <v>28</v>
      </c>
      <c r="L5551" s="4">
        <f>IFERROR(__xludf.DUMMYFUNCTION("""COMPUTED_VALUE"""),0.374)</f>
        <v>0.374</v>
      </c>
      <c r="M5551" s="4"/>
      <c r="N5551" s="4">
        <f>IFERROR(__xludf.DUMMYFUNCTION("""COMPUTED_VALUE"""),0.535)</f>
        <v>0.535</v>
      </c>
      <c r="O5551" s="4">
        <f>IFERROR(__xludf.DUMMYFUNCTION("""COMPUTED_VALUE"""),8.7)</f>
        <v>8.7</v>
      </c>
      <c r="P5551" s="4">
        <f>IFERROR(__xludf.DUMMYFUNCTION("""COMPUTED_VALUE"""),2.8)</f>
        <v>2.8</v>
      </c>
      <c r="Q5551" s="4">
        <f>IFERROR(__xludf.DUMMYFUNCTION("""COMPUTED_VALUE"""),1.9)</f>
        <v>1.9</v>
      </c>
      <c r="R5551" s="4">
        <f>IFERROR(__xludf.DUMMYFUNCTION("""COMPUTED_VALUE"""),0.4)</f>
        <v>0.4</v>
      </c>
      <c r="S5551" s="4">
        <f>IFERROR(__xludf.DUMMYFUNCTION("""COMPUTED_VALUE"""),0.1)</f>
        <v>0.1</v>
      </c>
      <c r="T5551" s="4">
        <f>IFERROR(__xludf.DUMMYFUNCTION("""COMPUTED_VALUE"""),0.011)</f>
        <v>0.011</v>
      </c>
      <c r="U5551" s="4">
        <f>IFERROR(__xludf.DUMMYFUNCTION("""COMPUTED_VALUE"""),-2.5)</f>
        <v>-2.5</v>
      </c>
      <c r="V5551" s="4">
        <f>IFERROR(__xludf.DUMMYFUNCTION("""COMPUTED_VALUE"""),-0.1)</f>
        <v>-0.1</v>
      </c>
    </row>
    <row r="5552">
      <c r="A5552" s="4">
        <f>IFERROR(__xludf.DUMMYFUNCTION("""COMPUTED_VALUE"""),84.0)</f>
        <v>84</v>
      </c>
      <c r="B5552" s="4">
        <f>IFERROR(__xludf.DUMMYFUNCTION("""COMPUTED_VALUE"""),84.0)</f>
        <v>84</v>
      </c>
      <c r="C5552" s="4" t="str">
        <f>IFERROR(__xludf.DUMMYFUNCTION("""COMPUTED_VALUE"""),"LAL")</f>
        <v>LAL</v>
      </c>
      <c r="D5552" s="4" t="str">
        <f>IFERROR(__xludf.DUMMYFUNCTION("""COMPUTED_VALUE"""),"Kresimir Cosic")</f>
        <v>Kresimir Cosic</v>
      </c>
      <c r="E5552" s="4" t="str">
        <f>IFERROR(__xludf.DUMMYFUNCTION("""COMPUTED_VALUE"""),"BYU")</f>
        <v>BYU</v>
      </c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</row>
    <row r="5553">
      <c r="A5553" s="4">
        <f>IFERROR(__xludf.DUMMYFUNCTION("""COMPUTED_VALUE"""),85.0)</f>
        <v>85</v>
      </c>
      <c r="B5553" s="4">
        <f>IFERROR(__xludf.DUMMYFUNCTION("""COMPUTED_VALUE"""),85.0)</f>
        <v>85</v>
      </c>
      <c r="C5553" s="4" t="str">
        <f>IFERROR(__xludf.DUMMYFUNCTION("""COMPUTED_VALUE"""),"MIL")</f>
        <v>MIL</v>
      </c>
      <c r="D5553" s="4" t="str">
        <f>IFERROR(__xludf.DUMMYFUNCTION("""COMPUTED_VALUE"""),"Larry Jackson")</f>
        <v>Larry Jackson</v>
      </c>
      <c r="E5553" s="4" t="str">
        <f>IFERROR(__xludf.DUMMYFUNCTION("""COMPUTED_VALUE"""),"Northern Illinois")</f>
        <v>Northern Illinois</v>
      </c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</row>
    <row r="5554">
      <c r="A5554" s="4">
        <f>IFERROR(__xludf.DUMMYFUNCTION("""COMPUTED_VALUE"""),86.0)</f>
        <v>86</v>
      </c>
      <c r="B5554" s="4">
        <f>IFERROR(__xludf.DUMMYFUNCTION("""COMPUTED_VALUE"""),86.0)</f>
        <v>86</v>
      </c>
      <c r="C5554" s="4" t="str">
        <f>IFERROR(__xludf.DUMMYFUNCTION("""COMPUTED_VALUE"""),"BOS")</f>
        <v>BOS</v>
      </c>
      <c r="D5554" s="4" t="str">
        <f>IFERROR(__xludf.DUMMYFUNCTION("""COMPUTED_VALUE"""),"Byron Jones")</f>
        <v>Byron Jones</v>
      </c>
      <c r="E5554" s="4" t="str">
        <f>IFERROR(__xludf.DUMMYFUNCTION("""COMPUTED_VALUE"""),"San Francisco")</f>
        <v>San Francisco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</row>
    <row r="5555">
      <c r="A5555" s="4"/>
      <c r="B5555" s="4"/>
      <c r="C5555" s="4"/>
      <c r="D5555" s="4" t="str">
        <f>IFERROR(__xludf.DUMMYFUNCTION("""COMPUTED_VALUE"""),"Round 6")</f>
        <v>Round 6</v>
      </c>
      <c r="E5555" s="4"/>
      <c r="F5555" s="4"/>
      <c r="G5555" s="4" t="str">
        <f>IFERROR(__xludf.DUMMYFUNCTION("""COMPUTED_VALUE"""),"Totals")</f>
        <v>Totals</v>
      </c>
      <c r="H5555" s="4"/>
      <c r="I5555" s="4"/>
      <c r="J5555" s="4"/>
      <c r="K5555" s="4"/>
      <c r="L5555" s="4" t="str">
        <f>IFERROR(__xludf.DUMMYFUNCTION("""COMPUTED_VALUE"""),"Shooting")</f>
        <v>Shooting</v>
      </c>
      <c r="M5555" s="4"/>
      <c r="N5555" s="4"/>
      <c r="O5555" s="4" t="str">
        <f>IFERROR(__xludf.DUMMYFUNCTION("""COMPUTED_VALUE"""),"Per Game")</f>
        <v>Per Game</v>
      </c>
      <c r="P5555" s="4"/>
      <c r="Q5555" s="4"/>
      <c r="R5555" s="4"/>
      <c r="S5555" s="4" t="str">
        <f>IFERROR(__xludf.DUMMYFUNCTION("""COMPUTED_VALUE"""),"Advanced")</f>
        <v>Advanced</v>
      </c>
      <c r="T5555" s="4"/>
      <c r="U5555" s="4"/>
      <c r="V5555" s="4"/>
    </row>
    <row r="5556">
      <c r="A5556" s="4" t="str">
        <f>IFERROR(__xludf.DUMMYFUNCTION("""COMPUTED_VALUE"""),"Rk")</f>
        <v>Rk</v>
      </c>
      <c r="B5556" s="4" t="str">
        <f>IFERROR(__xludf.DUMMYFUNCTION("""COMPUTED_VALUE"""),"Pk")</f>
        <v>Pk</v>
      </c>
      <c r="C5556" s="4" t="str">
        <f>IFERROR(__xludf.DUMMYFUNCTION("""COMPUTED_VALUE"""),"Tm")</f>
        <v>Tm</v>
      </c>
      <c r="D5556" s="4" t="str">
        <f>IFERROR(__xludf.DUMMYFUNCTION("""COMPUTED_VALUE"""),"Player")</f>
        <v>Player</v>
      </c>
      <c r="E5556" s="4" t="str">
        <f>IFERROR(__xludf.DUMMYFUNCTION("""COMPUTED_VALUE"""),"College")</f>
        <v>College</v>
      </c>
      <c r="F5556" s="4" t="str">
        <f>IFERROR(__xludf.DUMMYFUNCTION("""COMPUTED_VALUE"""),"Yrs")</f>
        <v>Yrs</v>
      </c>
      <c r="G5556" s="4" t="str">
        <f>IFERROR(__xludf.DUMMYFUNCTION("""COMPUTED_VALUE"""),"G")</f>
        <v>G</v>
      </c>
      <c r="H5556" s="4" t="str">
        <f>IFERROR(__xludf.DUMMYFUNCTION("""COMPUTED_VALUE"""),"MP")</f>
        <v>MP</v>
      </c>
      <c r="I5556" s="4" t="str">
        <f>IFERROR(__xludf.DUMMYFUNCTION("""COMPUTED_VALUE"""),"PTS")</f>
        <v>PTS</v>
      </c>
      <c r="J5556" s="4" t="str">
        <f>IFERROR(__xludf.DUMMYFUNCTION("""COMPUTED_VALUE"""),"TRB")</f>
        <v>TRB</v>
      </c>
      <c r="K5556" s="4" t="str">
        <f>IFERROR(__xludf.DUMMYFUNCTION("""COMPUTED_VALUE"""),"AST")</f>
        <v>AST</v>
      </c>
      <c r="L5556" s="4" t="str">
        <f>IFERROR(__xludf.DUMMYFUNCTION("""COMPUTED_VALUE"""),"FG%")</f>
        <v>FG%</v>
      </c>
      <c r="M5556" s="4" t="str">
        <f>IFERROR(__xludf.DUMMYFUNCTION("""COMPUTED_VALUE"""),"3P%")</f>
        <v>3P%</v>
      </c>
      <c r="N5556" s="4" t="str">
        <f>IFERROR(__xludf.DUMMYFUNCTION("""COMPUTED_VALUE"""),"FT%")</f>
        <v>FT%</v>
      </c>
      <c r="O5556" s="4" t="str">
        <f>IFERROR(__xludf.DUMMYFUNCTION("""COMPUTED_VALUE"""),"MP")</f>
        <v>MP</v>
      </c>
      <c r="P5556" s="4" t="str">
        <f>IFERROR(__xludf.DUMMYFUNCTION("""COMPUTED_VALUE"""),"PTS")</f>
        <v>PTS</v>
      </c>
      <c r="Q5556" s="4" t="str">
        <f>IFERROR(__xludf.DUMMYFUNCTION("""COMPUTED_VALUE"""),"TRB")</f>
        <v>TRB</v>
      </c>
      <c r="R5556" s="4" t="str">
        <f>IFERROR(__xludf.DUMMYFUNCTION("""COMPUTED_VALUE"""),"AST")</f>
        <v>AST</v>
      </c>
      <c r="S5556" s="4" t="str">
        <f>IFERROR(__xludf.DUMMYFUNCTION("""COMPUTED_VALUE"""),"WS")</f>
        <v>WS</v>
      </c>
      <c r="T5556" s="4" t="str">
        <f>IFERROR(__xludf.DUMMYFUNCTION("""COMPUTED_VALUE"""),"WS/48")</f>
        <v>WS/48</v>
      </c>
      <c r="U5556" s="4" t="str">
        <f>IFERROR(__xludf.DUMMYFUNCTION("""COMPUTED_VALUE"""),"BPM")</f>
        <v>BPM</v>
      </c>
      <c r="V5556" s="4" t="str">
        <f>IFERROR(__xludf.DUMMYFUNCTION("""COMPUTED_VALUE"""),"VORP")</f>
        <v>VORP</v>
      </c>
    </row>
    <row r="5557">
      <c r="A5557" s="4">
        <f>IFERROR(__xludf.DUMMYFUNCTION("""COMPUTED_VALUE"""),87.0)</f>
        <v>87</v>
      </c>
      <c r="B5557" s="4">
        <f>IFERROR(__xludf.DUMMYFUNCTION("""COMPUTED_VALUE"""),87.0)</f>
        <v>87</v>
      </c>
      <c r="C5557" s="4" t="str">
        <f>IFERROR(__xludf.DUMMYFUNCTION("""COMPUTED_VALUE"""),"PHI")</f>
        <v>PHI</v>
      </c>
      <c r="D5557" s="4" t="str">
        <f>IFERROR(__xludf.DUMMYFUNCTION("""COMPUTED_VALUE"""),"Sterling Wright")</f>
        <v>Sterling Wright</v>
      </c>
      <c r="E5557" s="4" t="str">
        <f>IFERROR(__xludf.DUMMYFUNCTION("""COMPUTED_VALUE"""),"Lincoln University (PA)")</f>
        <v>Lincoln University (PA)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</row>
    <row r="5558">
      <c r="A5558" s="4">
        <f>IFERROR(__xludf.DUMMYFUNCTION("""COMPUTED_VALUE"""),88.0)</f>
        <v>88</v>
      </c>
      <c r="B5558" s="4">
        <f>IFERROR(__xludf.DUMMYFUNCTION("""COMPUTED_VALUE"""),88.0)</f>
        <v>88</v>
      </c>
      <c r="C5558" s="4" t="str">
        <f>IFERROR(__xludf.DUMMYFUNCTION("""COMPUTED_VALUE"""),"BUF")</f>
        <v>BUF</v>
      </c>
      <c r="D5558" s="4" t="str">
        <f>IFERROR(__xludf.DUMMYFUNCTION("""COMPUTED_VALUE"""),"Mike Macaluso")</f>
        <v>Mike Macaluso</v>
      </c>
      <c r="E5558" s="4" t="str">
        <f>IFERROR(__xludf.DUMMYFUNCTION("""COMPUTED_VALUE"""),"Canisius")</f>
        <v>Canisius</v>
      </c>
      <c r="F5558" s="4">
        <f>IFERROR(__xludf.DUMMYFUNCTION("""COMPUTED_VALUE"""),1.0)</f>
        <v>1</v>
      </c>
      <c r="G5558" s="4">
        <f>IFERROR(__xludf.DUMMYFUNCTION("""COMPUTED_VALUE"""),30.0)</f>
        <v>30</v>
      </c>
      <c r="H5558" s="4">
        <f>IFERROR(__xludf.DUMMYFUNCTION("""COMPUTED_VALUE"""),112.0)</f>
        <v>112</v>
      </c>
      <c r="I5558" s="4">
        <f>IFERROR(__xludf.DUMMYFUNCTION("""COMPUTED_VALUE"""),48.0)</f>
        <v>48</v>
      </c>
      <c r="J5558" s="4">
        <f>IFERROR(__xludf.DUMMYFUNCTION("""COMPUTED_VALUE"""),25.0)</f>
        <v>25</v>
      </c>
      <c r="K5558" s="4">
        <f>IFERROR(__xludf.DUMMYFUNCTION("""COMPUTED_VALUE"""),3.0)</f>
        <v>3</v>
      </c>
      <c r="L5558" s="4">
        <f>IFERROR(__xludf.DUMMYFUNCTION("""COMPUTED_VALUE"""),0.432)</f>
        <v>0.432</v>
      </c>
      <c r="M5558" s="4"/>
      <c r="N5558" s="4">
        <f>IFERROR(__xludf.DUMMYFUNCTION("""COMPUTED_VALUE"""),0.588)</f>
        <v>0.588</v>
      </c>
      <c r="O5558" s="4">
        <f>IFERROR(__xludf.DUMMYFUNCTION("""COMPUTED_VALUE"""),3.7)</f>
        <v>3.7</v>
      </c>
      <c r="P5558" s="4">
        <f>IFERROR(__xludf.DUMMYFUNCTION("""COMPUTED_VALUE"""),1.6)</f>
        <v>1.6</v>
      </c>
      <c r="Q5558" s="4">
        <f>IFERROR(__xludf.DUMMYFUNCTION("""COMPUTED_VALUE"""),0.8)</f>
        <v>0.8</v>
      </c>
      <c r="R5558" s="4">
        <f>IFERROR(__xludf.DUMMYFUNCTION("""COMPUTED_VALUE"""),0.1)</f>
        <v>0.1</v>
      </c>
      <c r="S5558" s="4">
        <f>IFERROR(__xludf.DUMMYFUNCTION("""COMPUTED_VALUE"""),0.0)</f>
        <v>0</v>
      </c>
      <c r="T5558" s="4">
        <f>IFERROR(__xludf.DUMMYFUNCTION("""COMPUTED_VALUE"""),-0.001)</f>
        <v>-0.001</v>
      </c>
      <c r="U5558" s="4">
        <f>IFERROR(__xludf.DUMMYFUNCTION("""COMPUTED_VALUE"""),-5.5)</f>
        <v>-5.5</v>
      </c>
      <c r="V5558" s="4">
        <f>IFERROR(__xludf.DUMMYFUNCTION("""COMPUTED_VALUE"""),-0.1)</f>
        <v>-0.1</v>
      </c>
    </row>
    <row r="5559">
      <c r="A5559" s="4">
        <f>IFERROR(__xludf.DUMMYFUNCTION("""COMPUTED_VALUE"""),89.0)</f>
        <v>89</v>
      </c>
      <c r="B5559" s="4">
        <f>IFERROR(__xludf.DUMMYFUNCTION("""COMPUTED_VALUE"""),89.0)</f>
        <v>89</v>
      </c>
      <c r="C5559" s="4" t="str">
        <f>IFERROR(__xludf.DUMMYFUNCTION("""COMPUTED_VALUE"""),"POR")</f>
        <v>POR</v>
      </c>
      <c r="D5559" s="4" t="str">
        <f>IFERROR(__xludf.DUMMYFUNCTION("""COMPUTED_VALUE"""),"Neal Jurgensen")</f>
        <v>Neal Jurgensen</v>
      </c>
      <c r="E5559" s="4" t="str">
        <f>IFERROR(__xludf.DUMMYFUNCTION("""COMPUTED_VALUE"""),"Oregon State")</f>
        <v>Oregon State</v>
      </c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</row>
    <row r="5560">
      <c r="A5560" s="4">
        <f>IFERROR(__xludf.DUMMYFUNCTION("""COMPUTED_VALUE"""),90.0)</f>
        <v>90</v>
      </c>
      <c r="B5560" s="4">
        <f>IFERROR(__xludf.DUMMYFUNCTION("""COMPUTED_VALUE"""),90.0)</f>
        <v>90</v>
      </c>
      <c r="C5560" s="4" t="str">
        <f>IFERROR(__xludf.DUMMYFUNCTION("""COMPUTED_VALUE"""),"SEA")</f>
        <v>SEA</v>
      </c>
      <c r="D5560" s="4" t="str">
        <f>IFERROR(__xludf.DUMMYFUNCTION("""COMPUTED_VALUE"""),"Bill McCoy")</f>
        <v>Bill McCoy</v>
      </c>
      <c r="E5560" s="4" t="str">
        <f>IFERROR(__xludf.DUMMYFUNCTION("""COMPUTED_VALUE"""),"University of Northern Iowa")</f>
        <v>University of Northern Iowa</v>
      </c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</row>
    <row r="5561">
      <c r="A5561" s="4">
        <f>IFERROR(__xludf.DUMMYFUNCTION("""COMPUTED_VALUE"""),91.0)</f>
        <v>91</v>
      </c>
      <c r="B5561" s="4">
        <f>IFERROR(__xludf.DUMMYFUNCTION("""COMPUTED_VALUE"""),91.0)</f>
        <v>91</v>
      </c>
      <c r="C5561" s="4" t="str">
        <f>IFERROR(__xludf.DUMMYFUNCTION("""COMPUTED_VALUE"""),"CLE")</f>
        <v>CLE</v>
      </c>
      <c r="D5561" s="4" t="str">
        <f>IFERROR(__xludf.DUMMYFUNCTION("""COMPUTED_VALUE"""),"Willie Calvert")</f>
        <v>Willie Calvert</v>
      </c>
      <c r="E5561" s="4" t="str">
        <f>IFERROR(__xludf.DUMMYFUNCTION("""COMPUTED_VALUE"""),"Abilene Christian University")</f>
        <v>Abilene Christian University</v>
      </c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</row>
    <row r="5562">
      <c r="A5562" s="4">
        <f>IFERROR(__xludf.DUMMYFUNCTION("""COMPUTED_VALUE"""),92.0)</f>
        <v>92</v>
      </c>
      <c r="B5562" s="4">
        <f>IFERROR(__xludf.DUMMYFUNCTION("""COMPUTED_VALUE"""),92.0)</f>
        <v>92</v>
      </c>
      <c r="C5562" s="4" t="str">
        <f>IFERROR(__xludf.DUMMYFUNCTION("""COMPUTED_VALUE"""),"HOU")</f>
        <v>HOU</v>
      </c>
      <c r="D5562" s="4" t="str">
        <f>IFERROR(__xludf.DUMMYFUNCTION("""COMPUTED_VALUE"""),"Tom Peck")</f>
        <v>Tom Peck</v>
      </c>
      <c r="E5562" s="4" t="str">
        <f>IFERROR(__xludf.DUMMYFUNCTION("""COMPUTED_VALUE"""),"University of Wisconsin-Eau Claire")</f>
        <v>University of Wisconsin-Eau Claire</v>
      </c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</row>
    <row r="5563">
      <c r="A5563" s="4">
        <f>IFERROR(__xludf.DUMMYFUNCTION("""COMPUTED_VALUE"""),93.0)</f>
        <v>93</v>
      </c>
      <c r="B5563" s="4">
        <f>IFERROR(__xludf.DUMMYFUNCTION("""COMPUTED_VALUE"""),93.0)</f>
        <v>93</v>
      </c>
      <c r="C5563" s="4" t="str">
        <f>IFERROR(__xludf.DUMMYFUNCTION("""COMPUTED_VALUE"""),"KCO")</f>
        <v>KCO</v>
      </c>
      <c r="D5563" s="4" t="str">
        <f>IFERROR(__xludf.DUMMYFUNCTION("""COMPUTED_VALUE"""),"Mike Quick")</f>
        <v>Mike Quick</v>
      </c>
      <c r="E5563" s="4" t="str">
        <f>IFERROR(__xludf.DUMMYFUNCTION("""COMPUTED_VALUE"""),"San Francisco")</f>
        <v>San Francisco</v>
      </c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</row>
    <row r="5564">
      <c r="A5564" s="4">
        <f>IFERROR(__xludf.DUMMYFUNCTION("""COMPUTED_VALUE"""),94.0)</f>
        <v>94</v>
      </c>
      <c r="B5564" s="4">
        <f>IFERROR(__xludf.DUMMYFUNCTION("""COMPUTED_VALUE"""),94.0)</f>
        <v>94</v>
      </c>
      <c r="C5564" s="4" t="str">
        <f>IFERROR(__xludf.DUMMYFUNCTION("""COMPUTED_VALUE"""),"PHO")</f>
        <v>PHO</v>
      </c>
      <c r="D5564" s="4" t="str">
        <f>IFERROR(__xludf.DUMMYFUNCTION("""COMPUTED_VALUE"""),"Gene Doyle")</f>
        <v>Gene Doyle</v>
      </c>
      <c r="E5564" s="4" t="str">
        <f>IFERROR(__xludf.DUMMYFUNCTION("""COMPUTED_VALUE"""),"Holy Cross")</f>
        <v>Holy Cross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</row>
    <row r="5565">
      <c r="A5565" s="4">
        <f>IFERROR(__xludf.DUMMYFUNCTION("""COMPUTED_VALUE"""),95.0)</f>
        <v>95</v>
      </c>
      <c r="B5565" s="4">
        <f>IFERROR(__xludf.DUMMYFUNCTION("""COMPUTED_VALUE"""),95.0)</f>
        <v>95</v>
      </c>
      <c r="C5565" s="4" t="str">
        <f>IFERROR(__xludf.DUMMYFUNCTION("""COMPUTED_VALUE"""),"DET")</f>
        <v>DET</v>
      </c>
      <c r="D5565" s="4" t="str">
        <f>IFERROR(__xludf.DUMMYFUNCTION("""COMPUTED_VALUE"""),"Dennis Johnson")</f>
        <v>Dennis Johnson</v>
      </c>
      <c r="E5565" s="4" t="str">
        <f>IFERROR(__xludf.DUMMYFUNCTION("""COMPUTED_VALUE"""),"Ferris State University")</f>
        <v>Ferris State University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</row>
    <row r="5566">
      <c r="A5566" s="4">
        <f>IFERROR(__xludf.DUMMYFUNCTION("""COMPUTED_VALUE"""),96.0)</f>
        <v>96</v>
      </c>
      <c r="B5566" s="4">
        <f>IFERROR(__xludf.DUMMYFUNCTION("""COMPUTED_VALUE"""),96.0)</f>
        <v>96</v>
      </c>
      <c r="C5566" s="4" t="str">
        <f>IFERROR(__xludf.DUMMYFUNCTION("""COMPUTED_VALUE"""),"ATL")</f>
        <v>ATL</v>
      </c>
      <c r="D5566" s="4" t="str">
        <f>IFERROR(__xludf.DUMMYFUNCTION("""COMPUTED_VALUE"""),"John Williamson")</f>
        <v>John Williamson</v>
      </c>
      <c r="E5566" s="4" t="str">
        <f>IFERROR(__xludf.DUMMYFUNCTION("""COMPUTED_VALUE"""),"New Mexico State")</f>
        <v>New Mexico State</v>
      </c>
      <c r="F5566" s="4">
        <f>IFERROR(__xludf.DUMMYFUNCTION("""COMPUTED_VALUE"""),5.0)</f>
        <v>5</v>
      </c>
      <c r="G5566" s="4">
        <f>IFERROR(__xludf.DUMMYFUNCTION("""COMPUTED_VALUE"""),288.0)</f>
        <v>288</v>
      </c>
      <c r="H5566" s="4">
        <f>IFERROR(__xludf.DUMMYFUNCTION("""COMPUTED_VALUE"""),9149.0)</f>
        <v>9149</v>
      </c>
      <c r="I5566" s="4">
        <f>IFERROR(__xludf.DUMMYFUNCTION("""COMPUTED_VALUE"""),5802.0)</f>
        <v>5802</v>
      </c>
      <c r="J5566" s="4">
        <f>IFERROR(__xludf.DUMMYFUNCTION("""COMPUTED_VALUE"""),722.0)</f>
        <v>722</v>
      </c>
      <c r="K5566" s="4">
        <f>IFERROR(__xludf.DUMMYFUNCTION("""COMPUTED_VALUE"""),813.0)</f>
        <v>813</v>
      </c>
      <c r="L5566" s="4">
        <f>IFERROR(__xludf.DUMMYFUNCTION("""COMPUTED_VALUE"""),0.449)</f>
        <v>0.449</v>
      </c>
      <c r="M5566" s="4"/>
      <c r="N5566" s="4">
        <f>IFERROR(__xludf.DUMMYFUNCTION("""COMPUTED_VALUE"""),0.833)</f>
        <v>0.833</v>
      </c>
      <c r="O5566" s="4">
        <f>IFERROR(__xludf.DUMMYFUNCTION("""COMPUTED_VALUE"""),31.8)</f>
        <v>31.8</v>
      </c>
      <c r="P5566" s="4">
        <f>IFERROR(__xludf.DUMMYFUNCTION("""COMPUTED_VALUE"""),20.1)</f>
        <v>20.1</v>
      </c>
      <c r="Q5566" s="4">
        <f>IFERROR(__xludf.DUMMYFUNCTION("""COMPUTED_VALUE"""),2.5)</f>
        <v>2.5</v>
      </c>
      <c r="R5566" s="4">
        <f>IFERROR(__xludf.DUMMYFUNCTION("""COMPUTED_VALUE"""),2.8)</f>
        <v>2.8</v>
      </c>
      <c r="S5566" s="4">
        <f>IFERROR(__xludf.DUMMYFUNCTION("""COMPUTED_VALUE"""),13.4)</f>
        <v>13.4</v>
      </c>
      <c r="T5566" s="4">
        <f>IFERROR(__xludf.DUMMYFUNCTION("""COMPUTED_VALUE"""),0.07)</f>
        <v>0.07</v>
      </c>
      <c r="U5566" s="4">
        <f>IFERROR(__xludf.DUMMYFUNCTION("""COMPUTED_VALUE"""),-1.4)</f>
        <v>-1.4</v>
      </c>
      <c r="V5566" s="4">
        <f>IFERROR(__xludf.DUMMYFUNCTION("""COMPUTED_VALUE"""),1.3)</f>
        <v>1.3</v>
      </c>
    </row>
    <row r="5567">
      <c r="A5567" s="4">
        <f>IFERROR(__xludf.DUMMYFUNCTION("""COMPUTED_VALUE"""),97.0)</f>
        <v>97</v>
      </c>
      <c r="B5567" s="4">
        <f>IFERROR(__xludf.DUMMYFUNCTION("""COMPUTED_VALUE"""),97.0)</f>
        <v>97</v>
      </c>
      <c r="C5567" s="4" t="str">
        <f>IFERROR(__xludf.DUMMYFUNCTION("""COMPUTED_VALUE"""),"GSW")</f>
        <v>GSW</v>
      </c>
      <c r="D5567" s="4" t="str">
        <f>IFERROR(__xludf.DUMMYFUNCTION("""COMPUTED_VALUE"""),"Bob Lauriski")</f>
        <v>Bob Lauriski</v>
      </c>
      <c r="E5567" s="4" t="str">
        <f>IFERROR(__xludf.DUMMYFUNCTION("""COMPUTED_VALUE"""),"Utah State University")</f>
        <v>Utah State University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</row>
    <row r="5568">
      <c r="A5568" s="4">
        <f>IFERROR(__xludf.DUMMYFUNCTION("""COMPUTED_VALUE"""),98.0)</f>
        <v>98</v>
      </c>
      <c r="B5568" s="4">
        <f>IFERROR(__xludf.DUMMYFUNCTION("""COMPUTED_VALUE"""),98.0)</f>
        <v>98</v>
      </c>
      <c r="C5568" s="4" t="str">
        <f>IFERROR(__xludf.DUMMYFUNCTION("""COMPUTED_VALUE"""),"CHI")</f>
        <v>CHI</v>
      </c>
      <c r="D5568" s="4" t="str">
        <f>IFERROR(__xludf.DUMMYFUNCTION("""COMPUTED_VALUE"""),"Johnny Neumann")</f>
        <v>Johnny Neumann</v>
      </c>
      <c r="E5568" s="4" t="str">
        <f>IFERROR(__xludf.DUMMYFUNCTION("""COMPUTED_VALUE"""),"Ole Miss")</f>
        <v>Ole Miss</v>
      </c>
      <c r="F5568" s="4">
        <f>IFERROR(__xludf.DUMMYFUNCTION("""COMPUTED_VALUE"""),2.0)</f>
        <v>2</v>
      </c>
      <c r="G5568" s="4">
        <f>IFERROR(__xludf.DUMMYFUNCTION("""COMPUTED_VALUE"""),83.0)</f>
        <v>83</v>
      </c>
      <c r="H5568" s="4">
        <f>IFERROR(__xludf.DUMMYFUNCTION("""COMPUTED_VALUE"""),1153.0)</f>
        <v>1153</v>
      </c>
      <c r="I5568" s="4">
        <f>IFERROR(__xludf.DUMMYFUNCTION("""COMPUTED_VALUE"""),464.0)</f>
        <v>464</v>
      </c>
      <c r="J5568" s="4">
        <f>IFERROR(__xludf.DUMMYFUNCTION("""COMPUTED_VALUE"""),86.0)</f>
        <v>86</v>
      </c>
      <c r="K5568" s="4">
        <f>IFERROR(__xludf.DUMMYFUNCTION("""COMPUTED_VALUE"""),168.0)</f>
        <v>168</v>
      </c>
      <c r="L5568" s="4">
        <f>IFERROR(__xludf.DUMMYFUNCTION("""COMPUTED_VALUE"""),0.406)</f>
        <v>0.406</v>
      </c>
      <c r="M5568" s="4"/>
      <c r="N5568" s="4">
        <f>IFERROR(__xludf.DUMMYFUNCTION("""COMPUTED_VALUE"""),0.686)</f>
        <v>0.686</v>
      </c>
      <c r="O5568" s="4">
        <f>IFERROR(__xludf.DUMMYFUNCTION("""COMPUTED_VALUE"""),13.9)</f>
        <v>13.9</v>
      </c>
      <c r="P5568" s="4">
        <f>IFERROR(__xludf.DUMMYFUNCTION("""COMPUTED_VALUE"""),5.6)</f>
        <v>5.6</v>
      </c>
      <c r="Q5568" s="4">
        <f>IFERROR(__xludf.DUMMYFUNCTION("""COMPUTED_VALUE"""),1.0)</f>
        <v>1</v>
      </c>
      <c r="R5568" s="4">
        <f>IFERROR(__xludf.DUMMYFUNCTION("""COMPUTED_VALUE"""),2.0)</f>
        <v>2</v>
      </c>
      <c r="S5568" s="4">
        <f>IFERROR(__xludf.DUMMYFUNCTION("""COMPUTED_VALUE"""),-0.1)</f>
        <v>-0.1</v>
      </c>
      <c r="T5568" s="4">
        <f>IFERROR(__xludf.DUMMYFUNCTION("""COMPUTED_VALUE"""),-0.006)</f>
        <v>-0.006</v>
      </c>
      <c r="U5568" s="4">
        <f>IFERROR(__xludf.DUMMYFUNCTION("""COMPUTED_VALUE"""),-4.9)</f>
        <v>-4.9</v>
      </c>
      <c r="V5568" s="4">
        <f>IFERROR(__xludf.DUMMYFUNCTION("""COMPUTED_VALUE"""),-0.8)</f>
        <v>-0.8</v>
      </c>
    </row>
    <row r="5569">
      <c r="A5569" s="4">
        <f>IFERROR(__xludf.DUMMYFUNCTION("""COMPUTED_VALUE"""),99.0)</f>
        <v>99</v>
      </c>
      <c r="B5569" s="4">
        <f>IFERROR(__xludf.DUMMYFUNCTION("""COMPUTED_VALUE"""),99.0)</f>
        <v>99</v>
      </c>
      <c r="C5569" s="4" t="str">
        <f>IFERROR(__xludf.DUMMYFUNCTION("""COMPUTED_VALUE"""),"CAP")</f>
        <v>CAP</v>
      </c>
      <c r="D5569" s="4" t="str">
        <f>IFERROR(__xludf.DUMMYFUNCTION("""COMPUTED_VALUE"""),"Mike Allocco")</f>
        <v>Mike Allocco</v>
      </c>
      <c r="E5569" s="4" t="str">
        <f>IFERROR(__xludf.DUMMYFUNCTION("""COMPUTED_VALUE"""),"Stonehill College")</f>
        <v>Stonehill College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</row>
    <row r="5570">
      <c r="A5570" s="4">
        <f>IFERROR(__xludf.DUMMYFUNCTION("""COMPUTED_VALUE"""),100.0)</f>
        <v>100</v>
      </c>
      <c r="B5570" s="4">
        <f>IFERROR(__xludf.DUMMYFUNCTION("""COMPUTED_VALUE"""),100.0)</f>
        <v>100</v>
      </c>
      <c r="C5570" s="4" t="str">
        <f>IFERROR(__xludf.DUMMYFUNCTION("""COMPUTED_VALUE"""),"NYK")</f>
        <v>NYK</v>
      </c>
      <c r="D5570" s="4" t="str">
        <f>IFERROR(__xludf.DUMMYFUNCTION("""COMPUTED_VALUE"""),"Lawrence Lilly")</f>
        <v>Lawrence Lilly</v>
      </c>
      <c r="E5570" s="4" t="str">
        <f>IFERROR(__xludf.DUMMYFUNCTION("""COMPUTED_VALUE"""),"Alabama State University")</f>
        <v>Alabama State University</v>
      </c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</row>
    <row r="5571">
      <c r="A5571" s="4">
        <f>IFERROR(__xludf.DUMMYFUNCTION("""COMPUTED_VALUE"""),101.0)</f>
        <v>101</v>
      </c>
      <c r="B5571" s="4">
        <f>IFERROR(__xludf.DUMMYFUNCTION("""COMPUTED_VALUE"""),101.0)</f>
        <v>101</v>
      </c>
      <c r="C5571" s="4" t="str">
        <f>IFERROR(__xludf.DUMMYFUNCTION("""COMPUTED_VALUE"""),"MIL")</f>
        <v>MIL</v>
      </c>
      <c r="D5571" s="4" t="str">
        <f>IFERROR(__xludf.DUMMYFUNCTION("""COMPUTED_VALUE"""),"James Floyd")</f>
        <v>James Floyd</v>
      </c>
      <c r="E5571" s="4" t="str">
        <f>IFERROR(__xludf.DUMMYFUNCTION("""COMPUTED_VALUE"""),"Shaw")</f>
        <v>Shaw</v>
      </c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</row>
    <row r="5572">
      <c r="A5572" s="4">
        <f>IFERROR(__xludf.DUMMYFUNCTION("""COMPUTED_VALUE"""),102.0)</f>
        <v>102</v>
      </c>
      <c r="B5572" s="4">
        <f>IFERROR(__xludf.DUMMYFUNCTION("""COMPUTED_VALUE"""),102.0)</f>
        <v>102</v>
      </c>
      <c r="C5572" s="4" t="str">
        <f>IFERROR(__xludf.DUMMYFUNCTION("""COMPUTED_VALUE"""),"LAL")</f>
        <v>LAL</v>
      </c>
      <c r="D5572" s="4" t="str">
        <f>IFERROR(__xludf.DUMMYFUNCTION("""COMPUTED_VALUE"""),"David Brent")</f>
        <v>David Brent</v>
      </c>
      <c r="E5572" s="4" t="str">
        <f>IFERROR(__xludf.DUMMYFUNCTION("""COMPUTED_VALUE"""),"Jacksonville University")</f>
        <v>Jacksonville University</v>
      </c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</row>
    <row r="5573">
      <c r="A5573" s="4">
        <f>IFERROR(__xludf.DUMMYFUNCTION("""COMPUTED_VALUE"""),103.0)</f>
        <v>103</v>
      </c>
      <c r="B5573" s="4">
        <f>IFERROR(__xludf.DUMMYFUNCTION("""COMPUTED_VALUE"""),103.0)</f>
        <v>103</v>
      </c>
      <c r="C5573" s="4" t="str">
        <f>IFERROR(__xludf.DUMMYFUNCTION("""COMPUTED_VALUE"""),"BOS")</f>
        <v>BOS</v>
      </c>
      <c r="D5573" s="4" t="str">
        <f>IFERROR(__xludf.DUMMYFUNCTION("""COMPUTED_VALUE"""),"Joe Cafferky")</f>
        <v>Joe Cafferky</v>
      </c>
      <c r="E5573" s="4" t="str">
        <f>IFERROR(__xludf.DUMMYFUNCTION("""COMPUTED_VALUE"""),"NC State")</f>
        <v>NC State</v>
      </c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</row>
    <row r="5574">
      <c r="A5574" s="4"/>
      <c r="B5574" s="4"/>
      <c r="C5574" s="4"/>
      <c r="D5574" s="4" t="str">
        <f>IFERROR(__xludf.DUMMYFUNCTION("""COMPUTED_VALUE"""),"Round 7")</f>
        <v>Round 7</v>
      </c>
      <c r="E5574" s="4"/>
      <c r="F5574" s="4"/>
      <c r="G5574" s="4" t="str">
        <f>IFERROR(__xludf.DUMMYFUNCTION("""COMPUTED_VALUE"""),"Totals")</f>
        <v>Totals</v>
      </c>
      <c r="H5574" s="4"/>
      <c r="I5574" s="4"/>
      <c r="J5574" s="4"/>
      <c r="K5574" s="4"/>
      <c r="L5574" s="4" t="str">
        <f>IFERROR(__xludf.DUMMYFUNCTION("""COMPUTED_VALUE"""),"Shooting")</f>
        <v>Shooting</v>
      </c>
      <c r="M5574" s="4"/>
      <c r="N5574" s="4"/>
      <c r="O5574" s="4" t="str">
        <f>IFERROR(__xludf.DUMMYFUNCTION("""COMPUTED_VALUE"""),"Per Game")</f>
        <v>Per Game</v>
      </c>
      <c r="P5574" s="4"/>
      <c r="Q5574" s="4"/>
      <c r="R5574" s="4"/>
      <c r="S5574" s="4" t="str">
        <f>IFERROR(__xludf.DUMMYFUNCTION("""COMPUTED_VALUE"""),"Advanced")</f>
        <v>Advanced</v>
      </c>
      <c r="T5574" s="4"/>
      <c r="U5574" s="4"/>
      <c r="V5574" s="4"/>
    </row>
    <row r="5575">
      <c r="A5575" s="4" t="str">
        <f>IFERROR(__xludf.DUMMYFUNCTION("""COMPUTED_VALUE"""),"Rk")</f>
        <v>Rk</v>
      </c>
      <c r="B5575" s="4" t="str">
        <f>IFERROR(__xludf.DUMMYFUNCTION("""COMPUTED_VALUE"""),"Pk")</f>
        <v>Pk</v>
      </c>
      <c r="C5575" s="4" t="str">
        <f>IFERROR(__xludf.DUMMYFUNCTION("""COMPUTED_VALUE"""),"Tm")</f>
        <v>Tm</v>
      </c>
      <c r="D5575" s="4" t="str">
        <f>IFERROR(__xludf.DUMMYFUNCTION("""COMPUTED_VALUE"""),"Player")</f>
        <v>Player</v>
      </c>
      <c r="E5575" s="4" t="str">
        <f>IFERROR(__xludf.DUMMYFUNCTION("""COMPUTED_VALUE"""),"College")</f>
        <v>College</v>
      </c>
      <c r="F5575" s="4" t="str">
        <f>IFERROR(__xludf.DUMMYFUNCTION("""COMPUTED_VALUE"""),"Yrs")</f>
        <v>Yrs</v>
      </c>
      <c r="G5575" s="4" t="str">
        <f>IFERROR(__xludf.DUMMYFUNCTION("""COMPUTED_VALUE"""),"G")</f>
        <v>G</v>
      </c>
      <c r="H5575" s="4" t="str">
        <f>IFERROR(__xludf.DUMMYFUNCTION("""COMPUTED_VALUE"""),"MP")</f>
        <v>MP</v>
      </c>
      <c r="I5575" s="4" t="str">
        <f>IFERROR(__xludf.DUMMYFUNCTION("""COMPUTED_VALUE"""),"PTS")</f>
        <v>PTS</v>
      </c>
      <c r="J5575" s="4" t="str">
        <f>IFERROR(__xludf.DUMMYFUNCTION("""COMPUTED_VALUE"""),"TRB")</f>
        <v>TRB</v>
      </c>
      <c r="K5575" s="4" t="str">
        <f>IFERROR(__xludf.DUMMYFUNCTION("""COMPUTED_VALUE"""),"AST")</f>
        <v>AST</v>
      </c>
      <c r="L5575" s="4" t="str">
        <f>IFERROR(__xludf.DUMMYFUNCTION("""COMPUTED_VALUE"""),"FG%")</f>
        <v>FG%</v>
      </c>
      <c r="M5575" s="4" t="str">
        <f>IFERROR(__xludf.DUMMYFUNCTION("""COMPUTED_VALUE"""),"3P%")</f>
        <v>3P%</v>
      </c>
      <c r="N5575" s="4" t="str">
        <f>IFERROR(__xludf.DUMMYFUNCTION("""COMPUTED_VALUE"""),"FT%")</f>
        <v>FT%</v>
      </c>
      <c r="O5575" s="4" t="str">
        <f>IFERROR(__xludf.DUMMYFUNCTION("""COMPUTED_VALUE"""),"MP")</f>
        <v>MP</v>
      </c>
      <c r="P5575" s="4" t="str">
        <f>IFERROR(__xludf.DUMMYFUNCTION("""COMPUTED_VALUE"""),"PTS")</f>
        <v>PTS</v>
      </c>
      <c r="Q5575" s="4" t="str">
        <f>IFERROR(__xludf.DUMMYFUNCTION("""COMPUTED_VALUE"""),"TRB")</f>
        <v>TRB</v>
      </c>
      <c r="R5575" s="4" t="str">
        <f>IFERROR(__xludf.DUMMYFUNCTION("""COMPUTED_VALUE"""),"AST")</f>
        <v>AST</v>
      </c>
      <c r="S5575" s="4" t="str">
        <f>IFERROR(__xludf.DUMMYFUNCTION("""COMPUTED_VALUE"""),"WS")</f>
        <v>WS</v>
      </c>
      <c r="T5575" s="4" t="str">
        <f>IFERROR(__xludf.DUMMYFUNCTION("""COMPUTED_VALUE"""),"WS/48")</f>
        <v>WS/48</v>
      </c>
      <c r="U5575" s="4" t="str">
        <f>IFERROR(__xludf.DUMMYFUNCTION("""COMPUTED_VALUE"""),"BPM")</f>
        <v>BPM</v>
      </c>
      <c r="V5575" s="4" t="str">
        <f>IFERROR(__xludf.DUMMYFUNCTION("""COMPUTED_VALUE"""),"VORP")</f>
        <v>VORP</v>
      </c>
    </row>
    <row r="5576">
      <c r="A5576" s="4">
        <f>IFERROR(__xludf.DUMMYFUNCTION("""COMPUTED_VALUE"""),104.0)</f>
        <v>104</v>
      </c>
      <c r="B5576" s="4">
        <f>IFERROR(__xludf.DUMMYFUNCTION("""COMPUTED_VALUE"""),104.0)</f>
        <v>104</v>
      </c>
      <c r="C5576" s="4" t="str">
        <f>IFERROR(__xludf.DUMMYFUNCTION("""COMPUTED_VALUE"""),"PHI")</f>
        <v>PHI</v>
      </c>
      <c r="D5576" s="4" t="str">
        <f>IFERROR(__xludf.DUMMYFUNCTION("""COMPUTED_VALUE"""),"James Greene")</f>
        <v>James Greene</v>
      </c>
      <c r="E5576" s="4" t="str">
        <f>IFERROR(__xludf.DUMMYFUNCTION("""COMPUTED_VALUE"""),"Kentucky Wesleyan College")</f>
        <v>Kentucky Wesleyan College</v>
      </c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</row>
    <row r="5577">
      <c r="A5577" s="4">
        <f>IFERROR(__xludf.DUMMYFUNCTION("""COMPUTED_VALUE"""),105.0)</f>
        <v>105</v>
      </c>
      <c r="B5577" s="4">
        <f>IFERROR(__xludf.DUMMYFUNCTION("""COMPUTED_VALUE"""),105.0)</f>
        <v>105</v>
      </c>
      <c r="C5577" s="4" t="str">
        <f>IFERROR(__xludf.DUMMYFUNCTION("""COMPUTED_VALUE"""),"POR")</f>
        <v>POR</v>
      </c>
      <c r="D5577" s="4" t="str">
        <f>IFERROR(__xludf.DUMMYFUNCTION("""COMPUTED_VALUE"""),"Larry Hollyfield")</f>
        <v>Larry Hollyfield</v>
      </c>
      <c r="E5577" s="4" t="str">
        <f>IFERROR(__xludf.DUMMYFUNCTION("""COMPUTED_VALUE"""),"UCLA")</f>
        <v>UCLA</v>
      </c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</row>
    <row r="5578">
      <c r="A5578" s="4">
        <f>IFERROR(__xludf.DUMMYFUNCTION("""COMPUTED_VALUE"""),106.0)</f>
        <v>106</v>
      </c>
      <c r="B5578" s="4">
        <f>IFERROR(__xludf.DUMMYFUNCTION("""COMPUTED_VALUE"""),106.0)</f>
        <v>106</v>
      </c>
      <c r="C5578" s="4" t="str">
        <f>IFERROR(__xludf.DUMMYFUNCTION("""COMPUTED_VALUE"""),"BUF")</f>
        <v>BUF</v>
      </c>
      <c r="D5578" s="4" t="str">
        <f>IFERROR(__xludf.DUMMYFUNCTION("""COMPUTED_VALUE"""),"Tim Bassett")</f>
        <v>Tim Bassett</v>
      </c>
      <c r="E5578" s="4" t="str">
        <f>IFERROR(__xludf.DUMMYFUNCTION("""COMPUTED_VALUE"""),"Georgia")</f>
        <v>Georgia</v>
      </c>
      <c r="F5578" s="4">
        <f>IFERROR(__xludf.DUMMYFUNCTION("""COMPUTED_VALUE"""),4.0)</f>
        <v>4</v>
      </c>
      <c r="G5578" s="4">
        <f>IFERROR(__xludf.DUMMYFUNCTION("""COMPUTED_VALUE"""),235.0)</f>
        <v>235</v>
      </c>
      <c r="H5578" s="4">
        <f>IFERROR(__xludf.DUMMYFUNCTION("""COMPUTED_VALUE"""),5588.0)</f>
        <v>5588</v>
      </c>
      <c r="I5578" s="4">
        <f>IFERROR(__xludf.DUMMYFUNCTION("""COMPUTED_VALUE"""),1390.0)</f>
        <v>1390</v>
      </c>
      <c r="J5578" s="4">
        <f>IFERROR(__xludf.DUMMYFUNCTION("""COMPUTED_VALUE"""),1496.0)</f>
        <v>1496</v>
      </c>
      <c r="K5578" s="4">
        <f>IFERROR(__xludf.DUMMYFUNCTION("""COMPUTED_VALUE"""),285.0)</f>
        <v>285</v>
      </c>
      <c r="L5578" s="4">
        <f>IFERROR(__xludf.DUMMYFUNCTION("""COMPUTED_VALUE"""),0.388)</f>
        <v>0.388</v>
      </c>
      <c r="M5578" s="4"/>
      <c r="N5578" s="4">
        <f>IFERROR(__xludf.DUMMYFUNCTION("""COMPUTED_VALUE"""),0.595)</f>
        <v>0.595</v>
      </c>
      <c r="O5578" s="4">
        <f>IFERROR(__xludf.DUMMYFUNCTION("""COMPUTED_VALUE"""),23.8)</f>
        <v>23.8</v>
      </c>
      <c r="P5578" s="4">
        <f>IFERROR(__xludf.DUMMYFUNCTION("""COMPUTED_VALUE"""),5.9)</f>
        <v>5.9</v>
      </c>
      <c r="Q5578" s="4">
        <f>IFERROR(__xludf.DUMMYFUNCTION("""COMPUTED_VALUE"""),6.4)</f>
        <v>6.4</v>
      </c>
      <c r="R5578" s="4">
        <f>IFERROR(__xludf.DUMMYFUNCTION("""COMPUTED_VALUE"""),1.2)</f>
        <v>1.2</v>
      </c>
      <c r="S5578" s="4">
        <f>IFERROR(__xludf.DUMMYFUNCTION("""COMPUTED_VALUE"""),4.1)</f>
        <v>4.1</v>
      </c>
      <c r="T5578" s="4">
        <f>IFERROR(__xludf.DUMMYFUNCTION("""COMPUTED_VALUE"""),0.036)</f>
        <v>0.036</v>
      </c>
      <c r="U5578" s="4">
        <f>IFERROR(__xludf.DUMMYFUNCTION("""COMPUTED_VALUE"""),-2.9)</f>
        <v>-2.9</v>
      </c>
      <c r="V5578" s="4">
        <f>IFERROR(__xludf.DUMMYFUNCTION("""COMPUTED_VALUE"""),-1.2)</f>
        <v>-1.2</v>
      </c>
    </row>
    <row r="5579">
      <c r="A5579" s="4">
        <f>IFERROR(__xludf.DUMMYFUNCTION("""COMPUTED_VALUE"""),107.0)</f>
        <v>107</v>
      </c>
      <c r="B5579" s="4">
        <f>IFERROR(__xludf.DUMMYFUNCTION("""COMPUTED_VALUE"""),107.0)</f>
        <v>107</v>
      </c>
      <c r="C5579" s="4" t="str">
        <f>IFERROR(__xludf.DUMMYFUNCTION("""COMPUTED_VALUE"""),"SEA")</f>
        <v>SEA</v>
      </c>
      <c r="D5579" s="4" t="str">
        <f>IFERROR(__xludf.DUMMYFUNCTION("""COMPUTED_VALUE"""),"Jim Andrews")</f>
        <v>Jim Andrews</v>
      </c>
      <c r="E5579" s="4" t="str">
        <f>IFERROR(__xludf.DUMMYFUNCTION("""COMPUTED_VALUE"""),"Kentucky")</f>
        <v>Kentucky</v>
      </c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</row>
    <row r="5580">
      <c r="A5580" s="4">
        <f>IFERROR(__xludf.DUMMYFUNCTION("""COMPUTED_VALUE"""),108.0)</f>
        <v>108</v>
      </c>
      <c r="B5580" s="4">
        <f>IFERROR(__xludf.DUMMYFUNCTION("""COMPUTED_VALUE"""),108.0)</f>
        <v>108</v>
      </c>
      <c r="C5580" s="4" t="str">
        <f>IFERROR(__xludf.DUMMYFUNCTION("""COMPUTED_VALUE"""),"CLE")</f>
        <v>CLE</v>
      </c>
      <c r="D5580" s="4" t="str">
        <f>IFERROR(__xludf.DUMMYFUNCTION("""COMPUTED_VALUE"""),"Larry Farmer")</f>
        <v>Larry Farmer</v>
      </c>
      <c r="E5580" s="4" t="str">
        <f>IFERROR(__xludf.DUMMYFUNCTION("""COMPUTED_VALUE"""),"UCLA")</f>
        <v>UCLA</v>
      </c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</row>
    <row r="5581">
      <c r="A5581" s="4">
        <f>IFERROR(__xludf.DUMMYFUNCTION("""COMPUTED_VALUE"""),109.0)</f>
        <v>109</v>
      </c>
      <c r="B5581" s="4">
        <f>IFERROR(__xludf.DUMMYFUNCTION("""COMPUTED_VALUE"""),109.0)</f>
        <v>109</v>
      </c>
      <c r="C5581" s="4" t="str">
        <f>IFERROR(__xludf.DUMMYFUNCTION("""COMPUTED_VALUE"""),"HOU")</f>
        <v>HOU</v>
      </c>
      <c r="D5581" s="4" t="str">
        <f>IFERROR(__xludf.DUMMYFUNCTION("""COMPUTED_VALUE"""),"Fred DeVaughn")</f>
        <v>Fred DeVaughn</v>
      </c>
      <c r="E5581" s="4" t="str">
        <f>IFERROR(__xludf.DUMMYFUNCTION("""COMPUTED_VALUE"""),"Westmont College")</f>
        <v>Westmont College</v>
      </c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</row>
    <row r="5582">
      <c r="A5582" s="4">
        <f>IFERROR(__xludf.DUMMYFUNCTION("""COMPUTED_VALUE"""),110.0)</f>
        <v>110</v>
      </c>
      <c r="B5582" s="4">
        <f>IFERROR(__xludf.DUMMYFUNCTION("""COMPUTED_VALUE"""),110.0)</f>
        <v>110</v>
      </c>
      <c r="C5582" s="4" t="str">
        <f>IFERROR(__xludf.DUMMYFUNCTION("""COMPUTED_VALUE"""),"KCO")</f>
        <v>KCO</v>
      </c>
      <c r="D5582" s="4" t="str">
        <f>IFERROR(__xludf.DUMMYFUNCTION("""COMPUTED_VALUE"""),"Mike Jeffries")</f>
        <v>Mike Jeffries</v>
      </c>
      <c r="E5582" s="4" t="str">
        <f>IFERROR(__xludf.DUMMYFUNCTION("""COMPUTED_VALUE"""),"Missouri")</f>
        <v>Missouri</v>
      </c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</row>
    <row r="5583">
      <c r="A5583" s="4">
        <f>IFERROR(__xludf.DUMMYFUNCTION("""COMPUTED_VALUE"""),111.0)</f>
        <v>111</v>
      </c>
      <c r="B5583" s="4">
        <f>IFERROR(__xludf.DUMMYFUNCTION("""COMPUTED_VALUE"""),111.0)</f>
        <v>111</v>
      </c>
      <c r="C5583" s="4" t="str">
        <f>IFERROR(__xludf.DUMMYFUNCTION("""COMPUTED_VALUE"""),"PHO")</f>
        <v>PHO</v>
      </c>
      <c r="D5583" s="4" t="str">
        <f>IFERROR(__xludf.DUMMYFUNCTION("""COMPUTED_VALUE"""),"Jerry Bisbano")</f>
        <v>Jerry Bisbano</v>
      </c>
      <c r="E5583" s="4" t="str">
        <f>IFERROR(__xludf.DUMMYFUNCTION("""COMPUTED_VALUE"""),"Louisiana")</f>
        <v>Louisiana</v>
      </c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</row>
    <row r="5584">
      <c r="A5584" s="4">
        <f>IFERROR(__xludf.DUMMYFUNCTION("""COMPUTED_VALUE"""),112.0)</f>
        <v>112</v>
      </c>
      <c r="B5584" s="4">
        <f>IFERROR(__xludf.DUMMYFUNCTION("""COMPUTED_VALUE"""),112.0)</f>
        <v>112</v>
      </c>
      <c r="C5584" s="4" t="str">
        <f>IFERROR(__xludf.DUMMYFUNCTION("""COMPUTED_VALUE"""),"DET")</f>
        <v>DET</v>
      </c>
      <c r="D5584" s="4" t="str">
        <f>IFERROR(__xludf.DUMMYFUNCTION("""COMPUTED_VALUE"""),"Fred Smiley")</f>
        <v>Fred Smiley</v>
      </c>
      <c r="E5584" s="4" t="str">
        <f>IFERROR(__xludf.DUMMYFUNCTION("""COMPUTED_VALUE"""),"Northwood University")</f>
        <v>Northwood University</v>
      </c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</row>
    <row r="5585">
      <c r="A5585" s="4">
        <f>IFERROR(__xludf.DUMMYFUNCTION("""COMPUTED_VALUE"""),113.0)</f>
        <v>113</v>
      </c>
      <c r="B5585" s="4">
        <f>IFERROR(__xludf.DUMMYFUNCTION("""COMPUTED_VALUE"""),113.0)</f>
        <v>113</v>
      </c>
      <c r="C5585" s="4" t="str">
        <f>IFERROR(__xludf.DUMMYFUNCTION("""COMPUTED_VALUE"""),"ATL")</f>
        <v>ATL</v>
      </c>
      <c r="D5585" s="4" t="str">
        <f>IFERROR(__xludf.DUMMYFUNCTION("""COMPUTED_VALUE"""),"Pete Harris")</f>
        <v>Pete Harris</v>
      </c>
      <c r="E5585" s="4" t="str">
        <f>IFERROR(__xludf.DUMMYFUNCTION("""COMPUTED_VALUE"""),"Stephen F. Austin")</f>
        <v>Stephen F. Austin</v>
      </c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</row>
    <row r="5586">
      <c r="A5586" s="4">
        <f>IFERROR(__xludf.DUMMYFUNCTION("""COMPUTED_VALUE"""),114.0)</f>
        <v>114</v>
      </c>
      <c r="B5586" s="4">
        <f>IFERROR(__xludf.DUMMYFUNCTION("""COMPUTED_VALUE"""),114.0)</f>
        <v>114</v>
      </c>
      <c r="C5586" s="4" t="str">
        <f>IFERROR(__xludf.DUMMYFUNCTION("""COMPUTED_VALUE"""),"GSW")</f>
        <v>GSW</v>
      </c>
      <c r="D5586" s="4" t="str">
        <f>IFERROR(__xludf.DUMMYFUNCTION("""COMPUTED_VALUE"""),"Steve Smith")</f>
        <v>Steve Smith</v>
      </c>
      <c r="E5586" s="4" t="str">
        <f>IFERROR(__xludf.DUMMYFUNCTION("""COMPUTED_VALUE"""),"Loyola Marymount")</f>
        <v>Loyola Marymount</v>
      </c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</row>
    <row r="5587">
      <c r="A5587" s="4">
        <f>IFERROR(__xludf.DUMMYFUNCTION("""COMPUTED_VALUE"""),115.0)</f>
        <v>115</v>
      </c>
      <c r="B5587" s="4">
        <f>IFERROR(__xludf.DUMMYFUNCTION("""COMPUTED_VALUE"""),115.0)</f>
        <v>115</v>
      </c>
      <c r="C5587" s="4" t="str">
        <f>IFERROR(__xludf.DUMMYFUNCTION("""COMPUTED_VALUE"""),"CHI")</f>
        <v>CHI</v>
      </c>
      <c r="D5587" s="4" t="str">
        <f>IFERROR(__xludf.DUMMYFUNCTION("""COMPUTED_VALUE"""),"Billy Harris")</f>
        <v>Billy Harris</v>
      </c>
      <c r="E5587" s="4" t="str">
        <f>IFERROR(__xludf.DUMMYFUNCTION("""COMPUTED_VALUE"""),"Northern Illinois")</f>
        <v>Northern Illinois</v>
      </c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</row>
    <row r="5588">
      <c r="A5588" s="4">
        <f>IFERROR(__xludf.DUMMYFUNCTION("""COMPUTED_VALUE"""),116.0)</f>
        <v>116</v>
      </c>
      <c r="B5588" s="4">
        <f>IFERROR(__xludf.DUMMYFUNCTION("""COMPUTED_VALUE"""),116.0)</f>
        <v>116</v>
      </c>
      <c r="C5588" s="4" t="str">
        <f>IFERROR(__xludf.DUMMYFUNCTION("""COMPUTED_VALUE"""),"CAP")</f>
        <v>CAP</v>
      </c>
      <c r="D5588" s="4" t="str">
        <f>IFERROR(__xludf.DUMMYFUNCTION("""COMPUTED_VALUE"""),"Ronnie Hogue")</f>
        <v>Ronnie Hogue</v>
      </c>
      <c r="E5588" s="4" t="str">
        <f>IFERROR(__xludf.DUMMYFUNCTION("""COMPUTED_VALUE"""),"Georgia")</f>
        <v>Georgia</v>
      </c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</row>
    <row r="5589">
      <c r="A5589" s="4">
        <f>IFERROR(__xludf.DUMMYFUNCTION("""COMPUTED_VALUE"""),117.0)</f>
        <v>117</v>
      </c>
      <c r="B5589" s="4">
        <f>IFERROR(__xludf.DUMMYFUNCTION("""COMPUTED_VALUE"""),117.0)</f>
        <v>117</v>
      </c>
      <c r="C5589" s="4" t="str">
        <f>IFERROR(__xludf.DUMMYFUNCTION("""COMPUTED_VALUE"""),"NYK")</f>
        <v>NYK</v>
      </c>
      <c r="D5589" s="4" t="str">
        <f>IFERROR(__xludf.DUMMYFUNCTION("""COMPUTED_VALUE"""),"Mike Moore")</f>
        <v>Mike Moore</v>
      </c>
      <c r="E5589" s="4" t="str">
        <f>IFERROR(__xludf.DUMMYFUNCTION("""COMPUTED_VALUE"""),"Manhattan University")</f>
        <v>Manhattan University</v>
      </c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</row>
    <row r="5590">
      <c r="A5590" s="4">
        <f>IFERROR(__xludf.DUMMYFUNCTION("""COMPUTED_VALUE"""),118.0)</f>
        <v>118</v>
      </c>
      <c r="B5590" s="4">
        <f>IFERROR(__xludf.DUMMYFUNCTION("""COMPUTED_VALUE"""),118.0)</f>
        <v>118</v>
      </c>
      <c r="C5590" s="4" t="str">
        <f>IFERROR(__xludf.DUMMYFUNCTION("""COMPUTED_VALUE"""),"LAL")</f>
        <v>LAL</v>
      </c>
      <c r="D5590" s="4" t="str">
        <f>IFERROR(__xludf.DUMMYFUNCTION("""COMPUTED_VALUE"""),"Nate Hawthorne")</f>
        <v>Nate Hawthorne</v>
      </c>
      <c r="E5590" s="4" t="str">
        <f>IFERROR(__xludf.DUMMYFUNCTION("""COMPUTED_VALUE"""),"Southern Illinois")</f>
        <v>Southern Illinois</v>
      </c>
      <c r="F5590" s="4">
        <f>IFERROR(__xludf.DUMMYFUNCTION("""COMPUTED_VALUE"""),3.0)</f>
        <v>3</v>
      </c>
      <c r="G5590" s="4">
        <f>IFERROR(__xludf.DUMMYFUNCTION("""COMPUTED_VALUE"""),162.0)</f>
        <v>162</v>
      </c>
      <c r="H5590" s="4">
        <f>IFERROR(__xludf.DUMMYFUNCTION("""COMPUTED_VALUE"""),1991.0)</f>
        <v>1991</v>
      </c>
      <c r="I5590" s="4">
        <f>IFERROR(__xludf.DUMMYFUNCTION("""COMPUTED_VALUE"""),882.0)</f>
        <v>882</v>
      </c>
      <c r="J5590" s="4">
        <f>IFERROR(__xludf.DUMMYFUNCTION("""COMPUTED_VALUE"""),333.0)</f>
        <v>333</v>
      </c>
      <c r="K5590" s="4">
        <f>IFERROR(__xludf.DUMMYFUNCTION("""COMPUTED_VALUE"""),108.0)</f>
        <v>108</v>
      </c>
      <c r="L5590" s="4">
        <f>IFERROR(__xludf.DUMMYFUNCTION("""COMPUTED_VALUE"""),0.421)</f>
        <v>0.421</v>
      </c>
      <c r="M5590" s="4"/>
      <c r="N5590" s="4">
        <f>IFERROR(__xludf.DUMMYFUNCTION("""COMPUTED_VALUE"""),0.66)</f>
        <v>0.66</v>
      </c>
      <c r="O5590" s="4">
        <f>IFERROR(__xludf.DUMMYFUNCTION("""COMPUTED_VALUE"""),12.3)</f>
        <v>12.3</v>
      </c>
      <c r="P5590" s="4">
        <f>IFERROR(__xludf.DUMMYFUNCTION("""COMPUTED_VALUE"""),5.4)</f>
        <v>5.4</v>
      </c>
      <c r="Q5590" s="4">
        <f>IFERROR(__xludf.DUMMYFUNCTION("""COMPUTED_VALUE"""),2.1)</f>
        <v>2.1</v>
      </c>
      <c r="R5590" s="4">
        <f>IFERROR(__xludf.DUMMYFUNCTION("""COMPUTED_VALUE"""),0.7)</f>
        <v>0.7</v>
      </c>
      <c r="S5590" s="4">
        <f>IFERROR(__xludf.DUMMYFUNCTION("""COMPUTED_VALUE"""),1.7)</f>
        <v>1.7</v>
      </c>
      <c r="T5590" s="4">
        <f>IFERROR(__xludf.DUMMYFUNCTION("""COMPUTED_VALUE"""),0.041)</f>
        <v>0.041</v>
      </c>
      <c r="U5590" s="4">
        <f>IFERROR(__xludf.DUMMYFUNCTION("""COMPUTED_VALUE"""),-3.4)</f>
        <v>-3.4</v>
      </c>
      <c r="V5590" s="4">
        <f>IFERROR(__xludf.DUMMYFUNCTION("""COMPUTED_VALUE"""),-0.7)</f>
        <v>-0.7</v>
      </c>
    </row>
    <row r="5591">
      <c r="A5591" s="4">
        <f>IFERROR(__xludf.DUMMYFUNCTION("""COMPUTED_VALUE"""),119.0)</f>
        <v>119</v>
      </c>
      <c r="B5591" s="4">
        <f>IFERROR(__xludf.DUMMYFUNCTION("""COMPUTED_VALUE"""),119.0)</f>
        <v>119</v>
      </c>
      <c r="C5591" s="4" t="str">
        <f>IFERROR(__xludf.DUMMYFUNCTION("""COMPUTED_VALUE"""),"MIL")</f>
        <v>MIL</v>
      </c>
      <c r="D5591" s="4" t="str">
        <f>IFERROR(__xludf.DUMMYFUNCTION("""COMPUTED_VALUE"""),"Eddie Childress")</f>
        <v>Eddie Childress</v>
      </c>
      <c r="E5591" s="4" t="str">
        <f>IFERROR(__xludf.DUMMYFUNCTION("""COMPUTED_VALUE"""),"Austin Peay State University")</f>
        <v>Austin Peay State University</v>
      </c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</row>
    <row r="5592">
      <c r="A5592" s="4">
        <f>IFERROR(__xludf.DUMMYFUNCTION("""COMPUTED_VALUE"""),120.0)</f>
        <v>120</v>
      </c>
      <c r="B5592" s="4">
        <f>IFERROR(__xludf.DUMMYFUNCTION("""COMPUTED_VALUE"""),120.0)</f>
        <v>120</v>
      </c>
      <c r="C5592" s="4" t="str">
        <f>IFERROR(__xludf.DUMMYFUNCTION("""COMPUTED_VALUE"""),"BOS")</f>
        <v>BOS</v>
      </c>
      <c r="D5592" s="4" t="str">
        <f>IFERROR(__xludf.DUMMYFUNCTION("""COMPUTED_VALUE"""),"Mike Stewart")</f>
        <v>Mike Stewart</v>
      </c>
      <c r="E5592" s="4" t="str">
        <f>IFERROR(__xludf.DUMMYFUNCTION("""COMPUTED_VALUE"""),"Santa Clara")</f>
        <v>Santa Clara</v>
      </c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</row>
    <row r="5593">
      <c r="A5593" s="4"/>
      <c r="B5593" s="4"/>
      <c r="C5593" s="4"/>
      <c r="D5593" s="4" t="str">
        <f>IFERROR(__xludf.DUMMYFUNCTION("""COMPUTED_VALUE"""),"Round 8")</f>
        <v>Round 8</v>
      </c>
      <c r="E5593" s="4"/>
      <c r="F5593" s="4"/>
      <c r="G5593" s="4" t="str">
        <f>IFERROR(__xludf.DUMMYFUNCTION("""COMPUTED_VALUE"""),"Totals")</f>
        <v>Totals</v>
      </c>
      <c r="H5593" s="4"/>
      <c r="I5593" s="4"/>
      <c r="J5593" s="4"/>
      <c r="K5593" s="4"/>
      <c r="L5593" s="4" t="str">
        <f>IFERROR(__xludf.DUMMYFUNCTION("""COMPUTED_VALUE"""),"Shooting")</f>
        <v>Shooting</v>
      </c>
      <c r="M5593" s="4"/>
      <c r="N5593" s="4"/>
      <c r="O5593" s="4" t="str">
        <f>IFERROR(__xludf.DUMMYFUNCTION("""COMPUTED_VALUE"""),"Per Game")</f>
        <v>Per Game</v>
      </c>
      <c r="P5593" s="4"/>
      <c r="Q5593" s="4"/>
      <c r="R5593" s="4"/>
      <c r="S5593" s="4" t="str">
        <f>IFERROR(__xludf.DUMMYFUNCTION("""COMPUTED_VALUE"""),"Advanced")</f>
        <v>Advanced</v>
      </c>
      <c r="T5593" s="4"/>
      <c r="U5593" s="4"/>
      <c r="V5593" s="4"/>
    </row>
    <row r="5594">
      <c r="A5594" s="4" t="str">
        <f>IFERROR(__xludf.DUMMYFUNCTION("""COMPUTED_VALUE"""),"Rk")</f>
        <v>Rk</v>
      </c>
      <c r="B5594" s="4" t="str">
        <f>IFERROR(__xludf.DUMMYFUNCTION("""COMPUTED_VALUE"""),"Pk")</f>
        <v>Pk</v>
      </c>
      <c r="C5594" s="4" t="str">
        <f>IFERROR(__xludf.DUMMYFUNCTION("""COMPUTED_VALUE"""),"Tm")</f>
        <v>Tm</v>
      </c>
      <c r="D5594" s="4" t="str">
        <f>IFERROR(__xludf.DUMMYFUNCTION("""COMPUTED_VALUE"""),"Player")</f>
        <v>Player</v>
      </c>
      <c r="E5594" s="4" t="str">
        <f>IFERROR(__xludf.DUMMYFUNCTION("""COMPUTED_VALUE"""),"College")</f>
        <v>College</v>
      </c>
      <c r="F5594" s="4" t="str">
        <f>IFERROR(__xludf.DUMMYFUNCTION("""COMPUTED_VALUE"""),"Yrs")</f>
        <v>Yrs</v>
      </c>
      <c r="G5594" s="4" t="str">
        <f>IFERROR(__xludf.DUMMYFUNCTION("""COMPUTED_VALUE"""),"G")</f>
        <v>G</v>
      </c>
      <c r="H5594" s="4" t="str">
        <f>IFERROR(__xludf.DUMMYFUNCTION("""COMPUTED_VALUE"""),"MP")</f>
        <v>MP</v>
      </c>
      <c r="I5594" s="4" t="str">
        <f>IFERROR(__xludf.DUMMYFUNCTION("""COMPUTED_VALUE"""),"PTS")</f>
        <v>PTS</v>
      </c>
      <c r="J5594" s="4" t="str">
        <f>IFERROR(__xludf.DUMMYFUNCTION("""COMPUTED_VALUE"""),"TRB")</f>
        <v>TRB</v>
      </c>
      <c r="K5594" s="4" t="str">
        <f>IFERROR(__xludf.DUMMYFUNCTION("""COMPUTED_VALUE"""),"AST")</f>
        <v>AST</v>
      </c>
      <c r="L5594" s="4" t="str">
        <f>IFERROR(__xludf.DUMMYFUNCTION("""COMPUTED_VALUE"""),"FG%")</f>
        <v>FG%</v>
      </c>
      <c r="M5594" s="4" t="str">
        <f>IFERROR(__xludf.DUMMYFUNCTION("""COMPUTED_VALUE"""),"3P%")</f>
        <v>3P%</v>
      </c>
      <c r="N5594" s="4" t="str">
        <f>IFERROR(__xludf.DUMMYFUNCTION("""COMPUTED_VALUE"""),"FT%")</f>
        <v>FT%</v>
      </c>
      <c r="O5594" s="4" t="str">
        <f>IFERROR(__xludf.DUMMYFUNCTION("""COMPUTED_VALUE"""),"MP")</f>
        <v>MP</v>
      </c>
      <c r="P5594" s="4" t="str">
        <f>IFERROR(__xludf.DUMMYFUNCTION("""COMPUTED_VALUE"""),"PTS")</f>
        <v>PTS</v>
      </c>
      <c r="Q5594" s="4" t="str">
        <f>IFERROR(__xludf.DUMMYFUNCTION("""COMPUTED_VALUE"""),"TRB")</f>
        <v>TRB</v>
      </c>
      <c r="R5594" s="4" t="str">
        <f>IFERROR(__xludf.DUMMYFUNCTION("""COMPUTED_VALUE"""),"AST")</f>
        <v>AST</v>
      </c>
      <c r="S5594" s="4" t="str">
        <f>IFERROR(__xludf.DUMMYFUNCTION("""COMPUTED_VALUE"""),"WS")</f>
        <v>WS</v>
      </c>
      <c r="T5594" s="4" t="str">
        <f>IFERROR(__xludf.DUMMYFUNCTION("""COMPUTED_VALUE"""),"WS/48")</f>
        <v>WS/48</v>
      </c>
      <c r="U5594" s="4" t="str">
        <f>IFERROR(__xludf.DUMMYFUNCTION("""COMPUTED_VALUE"""),"BPM")</f>
        <v>BPM</v>
      </c>
      <c r="V5594" s="4" t="str">
        <f>IFERROR(__xludf.DUMMYFUNCTION("""COMPUTED_VALUE"""),"VORP")</f>
        <v>VORP</v>
      </c>
    </row>
    <row r="5595">
      <c r="A5595" s="4">
        <f>IFERROR(__xludf.DUMMYFUNCTION("""COMPUTED_VALUE"""),121.0)</f>
        <v>121</v>
      </c>
      <c r="B5595" s="4">
        <f>IFERROR(__xludf.DUMMYFUNCTION("""COMPUTED_VALUE"""),121.0)</f>
        <v>121</v>
      </c>
      <c r="C5595" s="4" t="str">
        <f>IFERROR(__xludf.DUMMYFUNCTION("""COMPUTED_VALUE"""),"PHI")</f>
        <v>PHI</v>
      </c>
      <c r="D5595" s="4" t="str">
        <f>IFERROR(__xludf.DUMMYFUNCTION("""COMPUTED_VALUE"""),"Dave Langston")</f>
        <v>Dave Langston</v>
      </c>
      <c r="E5595" s="4" t="str">
        <f>IFERROR(__xludf.DUMMYFUNCTION("""COMPUTED_VALUE"""),"Drake University")</f>
        <v>Drake University</v>
      </c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</row>
    <row r="5596">
      <c r="A5596" s="4">
        <f>IFERROR(__xludf.DUMMYFUNCTION("""COMPUTED_VALUE"""),122.0)</f>
        <v>122</v>
      </c>
      <c r="B5596" s="4">
        <f>IFERROR(__xludf.DUMMYFUNCTION("""COMPUTED_VALUE"""),122.0)</f>
        <v>122</v>
      </c>
      <c r="C5596" s="4" t="str">
        <f>IFERROR(__xludf.DUMMYFUNCTION("""COMPUTED_VALUE"""),"BUF")</f>
        <v>BUF</v>
      </c>
      <c r="D5596" s="4" t="str">
        <f>IFERROR(__xludf.DUMMYFUNCTION("""COMPUTED_VALUE"""),"Carl Jackson")</f>
        <v>Carl Jackson</v>
      </c>
      <c r="E5596" s="4" t="str">
        <f>IFERROR(__xludf.DUMMYFUNCTION("""COMPUTED_VALUE"""),"St. Bonaventure")</f>
        <v>St. Bonaventure</v>
      </c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</row>
    <row r="5597">
      <c r="A5597" s="4">
        <f>IFERROR(__xludf.DUMMYFUNCTION("""COMPUTED_VALUE"""),123.0)</f>
        <v>123</v>
      </c>
      <c r="B5597" s="4">
        <f>IFERROR(__xludf.DUMMYFUNCTION("""COMPUTED_VALUE"""),123.0)</f>
        <v>123</v>
      </c>
      <c r="C5597" s="4" t="str">
        <f>IFERROR(__xludf.DUMMYFUNCTION("""COMPUTED_VALUE"""),"POR")</f>
        <v>POR</v>
      </c>
      <c r="D5597" s="4" t="str">
        <f>IFERROR(__xludf.DUMMYFUNCTION("""COMPUTED_VALUE"""),"Lindell Reason")</f>
        <v>Lindell Reason</v>
      </c>
      <c r="E5597" s="4" t="str">
        <f>IFERROR(__xludf.DUMMYFUNCTION("""COMPUTED_VALUE"""),"Eastern Michigan")</f>
        <v>Eastern Michigan</v>
      </c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</row>
    <row r="5598">
      <c r="A5598" s="4">
        <f>IFERROR(__xludf.DUMMYFUNCTION("""COMPUTED_VALUE"""),124.0)</f>
        <v>124</v>
      </c>
      <c r="B5598" s="4">
        <f>IFERROR(__xludf.DUMMYFUNCTION("""COMPUTED_VALUE"""),124.0)</f>
        <v>124</v>
      </c>
      <c r="C5598" s="4" t="str">
        <f>IFERROR(__xludf.DUMMYFUNCTION("""COMPUTED_VALUE"""),"SEA")</f>
        <v>SEA</v>
      </c>
      <c r="D5598" s="4" t="str">
        <f>IFERROR(__xludf.DUMMYFUNCTION("""COMPUTED_VALUE"""),"Wardell Jeffries")</f>
        <v>Wardell Jeffries</v>
      </c>
      <c r="E5598" s="4" t="str">
        <f>IFERROR(__xludf.DUMMYFUNCTION("""COMPUTED_VALUE"""),"Oklahoma Baptist University")</f>
        <v>Oklahoma Baptist University</v>
      </c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</row>
    <row r="5599">
      <c r="A5599" s="4">
        <f>IFERROR(__xludf.DUMMYFUNCTION("""COMPUTED_VALUE"""),125.0)</f>
        <v>125</v>
      </c>
      <c r="B5599" s="4">
        <f>IFERROR(__xludf.DUMMYFUNCTION("""COMPUTED_VALUE"""),125.0)</f>
        <v>125</v>
      </c>
      <c r="C5599" s="4" t="str">
        <f>IFERROR(__xludf.DUMMYFUNCTION("""COMPUTED_VALUE"""),"CLE")</f>
        <v>CLE</v>
      </c>
      <c r="D5599" s="4" t="str">
        <f>IFERROR(__xludf.DUMMYFUNCTION("""COMPUTED_VALUE"""),"John Ritter")</f>
        <v>John Ritter</v>
      </c>
      <c r="E5599" s="4" t="str">
        <f>IFERROR(__xludf.DUMMYFUNCTION("""COMPUTED_VALUE"""),"Indiana")</f>
        <v>Indiana</v>
      </c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</row>
    <row r="5600">
      <c r="A5600" s="4">
        <f>IFERROR(__xludf.DUMMYFUNCTION("""COMPUTED_VALUE"""),126.0)</f>
        <v>126</v>
      </c>
      <c r="B5600" s="4">
        <f>IFERROR(__xludf.DUMMYFUNCTION("""COMPUTED_VALUE"""),126.0)</f>
        <v>126</v>
      </c>
      <c r="C5600" s="4" t="str">
        <f>IFERROR(__xludf.DUMMYFUNCTION("""COMPUTED_VALUE"""),"HOU")</f>
        <v>HOU</v>
      </c>
      <c r="D5600" s="4" t="str">
        <f>IFERROR(__xludf.DUMMYFUNCTION("""COMPUTED_VALUE"""),"John Thomas")</f>
        <v>John Thomas</v>
      </c>
      <c r="E5600" s="4" t="str">
        <f>IFERROR(__xludf.DUMMYFUNCTION("""COMPUTED_VALUE"""),"Missouri Southern State")</f>
        <v>Missouri Southern State</v>
      </c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</row>
    <row r="5601">
      <c r="A5601" s="4">
        <f>IFERROR(__xludf.DUMMYFUNCTION("""COMPUTED_VALUE"""),127.0)</f>
        <v>127</v>
      </c>
      <c r="B5601" s="4">
        <f>IFERROR(__xludf.DUMMYFUNCTION("""COMPUTED_VALUE"""),127.0)</f>
        <v>127</v>
      </c>
      <c r="C5601" s="4" t="str">
        <f>IFERROR(__xludf.DUMMYFUNCTION("""COMPUTED_VALUE"""),"KCO")</f>
        <v>KCO</v>
      </c>
      <c r="D5601" s="4" t="str">
        <f>IFERROR(__xludf.DUMMYFUNCTION("""COMPUTED_VALUE"""),"Mike Williams")</f>
        <v>Mike Williams</v>
      </c>
      <c r="E5601" s="4" t="str">
        <f>IFERROR(__xludf.DUMMYFUNCTION("""COMPUTED_VALUE"""),"Kentucky Wesleyan College")</f>
        <v>Kentucky Wesleyan College</v>
      </c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</row>
    <row r="5602">
      <c r="A5602" s="4">
        <f>IFERROR(__xludf.DUMMYFUNCTION("""COMPUTED_VALUE"""),128.0)</f>
        <v>128</v>
      </c>
      <c r="B5602" s="4">
        <f>IFERROR(__xludf.DUMMYFUNCTION("""COMPUTED_VALUE"""),128.0)</f>
        <v>128</v>
      </c>
      <c r="C5602" s="4" t="str">
        <f>IFERROR(__xludf.DUMMYFUNCTION("""COMPUTED_VALUE"""),"PHO")</f>
        <v>PHO</v>
      </c>
      <c r="D5602" s="4" t="str">
        <f>IFERROR(__xludf.DUMMYFUNCTION("""COMPUTED_VALUE"""),"Jim Owens")</f>
        <v>Jim Owens</v>
      </c>
      <c r="E5602" s="4" t="str">
        <f>IFERROR(__xludf.DUMMYFUNCTION("""COMPUTED_VALUE"""),"Arizona State")</f>
        <v>Arizona State</v>
      </c>
      <c r="F5602" s="4">
        <f>IFERROR(__xludf.DUMMYFUNCTION("""COMPUTED_VALUE"""),2.0)</f>
        <v>2</v>
      </c>
      <c r="G5602" s="4">
        <f>IFERROR(__xludf.DUMMYFUNCTION("""COMPUTED_VALUE"""),58.0)</f>
        <v>58</v>
      </c>
      <c r="H5602" s="4">
        <f>IFERROR(__xludf.DUMMYFUNCTION("""COMPUTED_VALUE"""),533.0)</f>
        <v>533</v>
      </c>
      <c r="I5602" s="4">
        <f>IFERROR(__xludf.DUMMYFUNCTION("""COMPUTED_VALUE"""),177.0)</f>
        <v>177</v>
      </c>
      <c r="J5602" s="4">
        <f>IFERROR(__xludf.DUMMYFUNCTION("""COMPUTED_VALUE"""),52.0)</f>
        <v>52</v>
      </c>
      <c r="K5602" s="4">
        <f>IFERROR(__xludf.DUMMYFUNCTION("""COMPUTED_VALUE"""),64.0)</f>
        <v>64</v>
      </c>
      <c r="L5602" s="4">
        <f>IFERROR(__xludf.DUMMYFUNCTION("""COMPUTED_VALUE"""),0.418)</f>
        <v>0.418</v>
      </c>
      <c r="M5602" s="4"/>
      <c r="N5602" s="4">
        <f>IFERROR(__xludf.DUMMYFUNCTION("""COMPUTED_VALUE"""),0.767)</f>
        <v>0.767</v>
      </c>
      <c r="O5602" s="4">
        <f>IFERROR(__xludf.DUMMYFUNCTION("""COMPUTED_VALUE"""),9.2)</f>
        <v>9.2</v>
      </c>
      <c r="P5602" s="4">
        <f>IFERROR(__xludf.DUMMYFUNCTION("""COMPUTED_VALUE"""),3.1)</f>
        <v>3.1</v>
      </c>
      <c r="Q5602" s="4">
        <f>IFERROR(__xludf.DUMMYFUNCTION("""COMPUTED_VALUE"""),0.9)</f>
        <v>0.9</v>
      </c>
      <c r="R5602" s="4">
        <f>IFERROR(__xludf.DUMMYFUNCTION("""COMPUTED_VALUE"""),1.1)</f>
        <v>1.1</v>
      </c>
      <c r="S5602" s="4">
        <f>IFERROR(__xludf.DUMMYFUNCTION("""COMPUTED_VALUE"""),0.4)</f>
        <v>0.4</v>
      </c>
      <c r="T5602" s="4">
        <f>IFERROR(__xludf.DUMMYFUNCTION("""COMPUTED_VALUE"""),0.038)</f>
        <v>0.038</v>
      </c>
      <c r="U5602" s="4">
        <f>IFERROR(__xludf.DUMMYFUNCTION("""COMPUTED_VALUE"""),-2.6)</f>
        <v>-2.6</v>
      </c>
      <c r="V5602" s="4">
        <f>IFERROR(__xludf.DUMMYFUNCTION("""COMPUTED_VALUE"""),0.0)</f>
        <v>0</v>
      </c>
    </row>
    <row r="5603">
      <c r="A5603" s="4">
        <f>IFERROR(__xludf.DUMMYFUNCTION("""COMPUTED_VALUE"""),129.0)</f>
        <v>129</v>
      </c>
      <c r="B5603" s="4">
        <f>IFERROR(__xludf.DUMMYFUNCTION("""COMPUTED_VALUE"""),129.0)</f>
        <v>129</v>
      </c>
      <c r="C5603" s="4" t="str">
        <f>IFERROR(__xludf.DUMMYFUNCTION("""COMPUTED_VALUE"""),"DET")</f>
        <v>DET</v>
      </c>
      <c r="D5603" s="4" t="str">
        <f>IFERROR(__xludf.DUMMYFUNCTION("""COMPUTED_VALUE"""),"Ben Kelso")</f>
        <v>Ben Kelso</v>
      </c>
      <c r="E5603" s="4" t="str">
        <f>IFERROR(__xludf.DUMMYFUNCTION("""COMPUTED_VALUE"""),"Central Michigan University")</f>
        <v>Central Michigan University</v>
      </c>
      <c r="F5603" s="4">
        <f>IFERROR(__xludf.DUMMYFUNCTION("""COMPUTED_VALUE"""),1.0)</f>
        <v>1</v>
      </c>
      <c r="G5603" s="4">
        <f>IFERROR(__xludf.DUMMYFUNCTION("""COMPUTED_VALUE"""),46.0)</f>
        <v>46</v>
      </c>
      <c r="H5603" s="4">
        <f>IFERROR(__xludf.DUMMYFUNCTION("""COMPUTED_VALUE"""),298.0)</f>
        <v>298</v>
      </c>
      <c r="I5603" s="4">
        <f>IFERROR(__xludf.DUMMYFUNCTION("""COMPUTED_VALUE"""),85.0)</f>
        <v>85</v>
      </c>
      <c r="J5603" s="4">
        <f>IFERROR(__xludf.DUMMYFUNCTION("""COMPUTED_VALUE"""),31.0)</f>
        <v>31</v>
      </c>
      <c r="K5603" s="4">
        <f>IFERROR(__xludf.DUMMYFUNCTION("""COMPUTED_VALUE"""),18.0)</f>
        <v>18</v>
      </c>
      <c r="L5603" s="4">
        <f>IFERROR(__xludf.DUMMYFUNCTION("""COMPUTED_VALUE"""),0.365)</f>
        <v>0.365</v>
      </c>
      <c r="M5603" s="4"/>
      <c r="N5603" s="4">
        <f>IFERROR(__xludf.DUMMYFUNCTION("""COMPUTED_VALUE"""),0.682)</f>
        <v>0.682</v>
      </c>
      <c r="O5603" s="4">
        <f>IFERROR(__xludf.DUMMYFUNCTION("""COMPUTED_VALUE"""),6.5)</f>
        <v>6.5</v>
      </c>
      <c r="P5603" s="4">
        <f>IFERROR(__xludf.DUMMYFUNCTION("""COMPUTED_VALUE"""),1.8)</f>
        <v>1.8</v>
      </c>
      <c r="Q5603" s="4">
        <f>IFERROR(__xludf.DUMMYFUNCTION("""COMPUTED_VALUE"""),0.7)</f>
        <v>0.7</v>
      </c>
      <c r="R5603" s="4">
        <f>IFERROR(__xludf.DUMMYFUNCTION("""COMPUTED_VALUE"""),0.4)</f>
        <v>0.4</v>
      </c>
      <c r="S5603" s="4">
        <f>IFERROR(__xludf.DUMMYFUNCTION("""COMPUTED_VALUE"""),0.0)</f>
        <v>0</v>
      </c>
      <c r="T5603" s="4">
        <f>IFERROR(__xludf.DUMMYFUNCTION("""COMPUTED_VALUE"""),0.0)</f>
        <v>0</v>
      </c>
      <c r="U5603" s="4">
        <f>IFERROR(__xludf.DUMMYFUNCTION("""COMPUTED_VALUE"""),-4.9)</f>
        <v>-4.9</v>
      </c>
      <c r="V5603" s="4">
        <f>IFERROR(__xludf.DUMMYFUNCTION("""COMPUTED_VALUE"""),-0.2)</f>
        <v>-0.2</v>
      </c>
    </row>
    <row r="5604">
      <c r="A5604" s="4">
        <f>IFERROR(__xludf.DUMMYFUNCTION("""COMPUTED_VALUE"""),130.0)</f>
        <v>130</v>
      </c>
      <c r="B5604" s="4">
        <f>IFERROR(__xludf.DUMMYFUNCTION("""COMPUTED_VALUE"""),130.0)</f>
        <v>130</v>
      </c>
      <c r="C5604" s="4" t="str">
        <f>IFERROR(__xludf.DUMMYFUNCTION("""COMPUTED_VALUE"""),"ATL")</f>
        <v>ATL</v>
      </c>
      <c r="D5604" s="4" t="str">
        <f>IFERROR(__xludf.DUMMYFUNCTION("""COMPUTED_VALUE"""),"Tim Dominey")</f>
        <v>Tim Dominey</v>
      </c>
      <c r="E5604" s="4" t="str">
        <f>IFERROR(__xludf.DUMMYFUNCTION("""COMPUTED_VALUE"""),"Valdosta State University")</f>
        <v>Valdosta State University</v>
      </c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</row>
    <row r="5605">
      <c r="A5605" s="4">
        <f>IFERROR(__xludf.DUMMYFUNCTION("""COMPUTED_VALUE"""),131.0)</f>
        <v>131</v>
      </c>
      <c r="B5605" s="4">
        <f>IFERROR(__xludf.DUMMYFUNCTION("""COMPUTED_VALUE"""),131.0)</f>
        <v>131</v>
      </c>
      <c r="C5605" s="4" t="str">
        <f>IFERROR(__xludf.DUMMYFUNCTION("""COMPUTED_VALUE"""),"GSW")</f>
        <v>GSW</v>
      </c>
      <c r="D5605" s="4" t="str">
        <f>IFERROR(__xludf.DUMMYFUNCTION("""COMPUTED_VALUE"""),"Jeff Dawson")</f>
        <v>Jeff Dawson</v>
      </c>
      <c r="E5605" s="4" t="str">
        <f>IFERROR(__xludf.DUMMYFUNCTION("""COMPUTED_VALUE"""),"Illinois")</f>
        <v>Illinois</v>
      </c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</row>
    <row r="5606">
      <c r="A5606" s="4">
        <f>IFERROR(__xludf.DUMMYFUNCTION("""COMPUTED_VALUE"""),132.0)</f>
        <v>132</v>
      </c>
      <c r="B5606" s="4">
        <f>IFERROR(__xludf.DUMMYFUNCTION("""COMPUTED_VALUE"""),132.0)</f>
        <v>132</v>
      </c>
      <c r="C5606" s="4" t="str">
        <f>IFERROR(__xludf.DUMMYFUNCTION("""COMPUTED_VALUE"""),"CHI")</f>
        <v>CHI</v>
      </c>
      <c r="D5606" s="4" t="str">
        <f>IFERROR(__xludf.DUMMYFUNCTION("""COMPUTED_VALUE"""),"B.G. Brosterhous")</f>
        <v>B.G. Brosterhous</v>
      </c>
      <c r="E5606" s="4" t="str">
        <f>IFERROR(__xludf.DUMMYFUNCTION("""COMPUTED_VALUE"""),"Texas")</f>
        <v>Texas</v>
      </c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</row>
    <row r="5607">
      <c r="A5607" s="4">
        <f>IFERROR(__xludf.DUMMYFUNCTION("""COMPUTED_VALUE"""),133.0)</f>
        <v>133</v>
      </c>
      <c r="B5607" s="4">
        <f>IFERROR(__xludf.DUMMYFUNCTION("""COMPUTED_VALUE"""),133.0)</f>
        <v>133</v>
      </c>
      <c r="C5607" s="4" t="str">
        <f>IFERROR(__xludf.DUMMYFUNCTION("""COMPUTED_VALUE"""),"CAP")</f>
        <v>CAP</v>
      </c>
      <c r="D5607" s="4" t="str">
        <f>IFERROR(__xludf.DUMMYFUNCTION("""COMPUTED_VALUE"""),"Mark Jellison")</f>
        <v>Mark Jellison</v>
      </c>
      <c r="E5607" s="4" t="str">
        <f>IFERROR(__xludf.DUMMYFUNCTION("""COMPUTED_VALUE"""),"Northeastern University")</f>
        <v>Northeastern University</v>
      </c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</row>
    <row r="5608">
      <c r="A5608" s="4">
        <f>IFERROR(__xludf.DUMMYFUNCTION("""COMPUTED_VALUE"""),134.0)</f>
        <v>134</v>
      </c>
      <c r="B5608" s="4">
        <f>IFERROR(__xludf.DUMMYFUNCTION("""COMPUTED_VALUE"""),134.0)</f>
        <v>134</v>
      </c>
      <c r="C5608" s="4" t="str">
        <f>IFERROR(__xludf.DUMMYFUNCTION("""COMPUTED_VALUE"""),"NYK")</f>
        <v>NYK</v>
      </c>
      <c r="D5608" s="4" t="str">
        <f>IFERROR(__xludf.DUMMYFUNCTION("""COMPUTED_VALUE"""),"Steve Rowell")</f>
        <v>Steve Rowell</v>
      </c>
      <c r="E5608" s="4" t="str">
        <f>IFERROR(__xludf.DUMMYFUNCTION("""COMPUTED_VALUE"""),"Rhode Island")</f>
        <v>Rhode Island</v>
      </c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</row>
    <row r="5609">
      <c r="A5609" s="4">
        <f>IFERROR(__xludf.DUMMYFUNCTION("""COMPUTED_VALUE"""),135.0)</f>
        <v>135</v>
      </c>
      <c r="B5609" s="4">
        <f>IFERROR(__xludf.DUMMYFUNCTION("""COMPUTED_VALUE"""),135.0)</f>
        <v>135</v>
      </c>
      <c r="C5609" s="4" t="str">
        <f>IFERROR(__xludf.DUMMYFUNCTION("""COMPUTED_VALUE"""),"MIL")</f>
        <v>MIL</v>
      </c>
      <c r="D5609" s="4" t="str">
        <f>IFERROR(__xludf.DUMMYFUNCTION("""COMPUTED_VALUE"""),"Walt McGary")</f>
        <v>Walt McGary</v>
      </c>
      <c r="E5609" s="4" t="str">
        <f>IFERROR(__xludf.DUMMYFUNCTION("""COMPUTED_VALUE"""),"Chattanooga")</f>
        <v>Chattanooga</v>
      </c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</row>
    <row r="5610">
      <c r="A5610" s="4">
        <f>IFERROR(__xludf.DUMMYFUNCTION("""COMPUTED_VALUE"""),136.0)</f>
        <v>136</v>
      </c>
      <c r="B5610" s="4">
        <f>IFERROR(__xludf.DUMMYFUNCTION("""COMPUTED_VALUE"""),136.0)</f>
        <v>136</v>
      </c>
      <c r="C5610" s="4" t="str">
        <f>IFERROR(__xludf.DUMMYFUNCTION("""COMPUTED_VALUE"""),"LAL")</f>
        <v>LAL</v>
      </c>
      <c r="D5610" s="4" t="str">
        <f>IFERROR(__xludf.DUMMYFUNCTION("""COMPUTED_VALUE"""),"Roy McPipe")</f>
        <v>Roy McPipe</v>
      </c>
      <c r="E5610" s="4" t="str">
        <f>IFERROR(__xludf.DUMMYFUNCTION("""COMPUTED_VALUE"""),"Montana State University, Billings")</f>
        <v>Montana State University, Billings</v>
      </c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</row>
    <row r="5611">
      <c r="A5611" s="4">
        <f>IFERROR(__xludf.DUMMYFUNCTION("""COMPUTED_VALUE"""),137.0)</f>
        <v>137</v>
      </c>
      <c r="B5611" s="4">
        <f>IFERROR(__xludf.DUMMYFUNCTION("""COMPUTED_VALUE"""),137.0)</f>
        <v>137</v>
      </c>
      <c r="C5611" s="4" t="str">
        <f>IFERROR(__xludf.DUMMYFUNCTION("""COMPUTED_VALUE"""),"BOS")</f>
        <v>BOS</v>
      </c>
      <c r="D5611" s="4" t="str">
        <f>IFERROR(__xludf.DUMMYFUNCTION("""COMPUTED_VALUE"""),"Robert White")</f>
        <v>Robert White</v>
      </c>
      <c r="E5611" s="4" t="str">
        <f>IFERROR(__xludf.DUMMYFUNCTION("""COMPUTED_VALUE"""),"Sam Houston State University")</f>
        <v>Sam Houston State University</v>
      </c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</row>
    <row r="5612">
      <c r="A5612" s="4"/>
      <c r="B5612" s="4"/>
      <c r="C5612" s="4"/>
      <c r="D5612" s="4" t="str">
        <f>IFERROR(__xludf.DUMMYFUNCTION("""COMPUTED_VALUE"""),"Round 9")</f>
        <v>Round 9</v>
      </c>
      <c r="E5612" s="4"/>
      <c r="F5612" s="4"/>
      <c r="G5612" s="4" t="str">
        <f>IFERROR(__xludf.DUMMYFUNCTION("""COMPUTED_VALUE"""),"Totals")</f>
        <v>Totals</v>
      </c>
      <c r="H5612" s="4"/>
      <c r="I5612" s="4"/>
      <c r="J5612" s="4"/>
      <c r="K5612" s="4"/>
      <c r="L5612" s="4" t="str">
        <f>IFERROR(__xludf.DUMMYFUNCTION("""COMPUTED_VALUE"""),"Shooting")</f>
        <v>Shooting</v>
      </c>
      <c r="M5612" s="4"/>
      <c r="N5612" s="4"/>
      <c r="O5612" s="4" t="str">
        <f>IFERROR(__xludf.DUMMYFUNCTION("""COMPUTED_VALUE"""),"Per Game")</f>
        <v>Per Game</v>
      </c>
      <c r="P5612" s="4"/>
      <c r="Q5612" s="4"/>
      <c r="R5612" s="4"/>
      <c r="S5612" s="4" t="str">
        <f>IFERROR(__xludf.DUMMYFUNCTION("""COMPUTED_VALUE"""),"Advanced")</f>
        <v>Advanced</v>
      </c>
      <c r="T5612" s="4"/>
      <c r="U5612" s="4"/>
      <c r="V5612" s="4"/>
    </row>
    <row r="5613">
      <c r="A5613" s="4" t="str">
        <f>IFERROR(__xludf.DUMMYFUNCTION("""COMPUTED_VALUE"""),"Rk")</f>
        <v>Rk</v>
      </c>
      <c r="B5613" s="4" t="str">
        <f>IFERROR(__xludf.DUMMYFUNCTION("""COMPUTED_VALUE"""),"Pk")</f>
        <v>Pk</v>
      </c>
      <c r="C5613" s="4" t="str">
        <f>IFERROR(__xludf.DUMMYFUNCTION("""COMPUTED_VALUE"""),"Tm")</f>
        <v>Tm</v>
      </c>
      <c r="D5613" s="4" t="str">
        <f>IFERROR(__xludf.DUMMYFUNCTION("""COMPUTED_VALUE"""),"Player")</f>
        <v>Player</v>
      </c>
      <c r="E5613" s="4" t="str">
        <f>IFERROR(__xludf.DUMMYFUNCTION("""COMPUTED_VALUE"""),"College")</f>
        <v>College</v>
      </c>
      <c r="F5613" s="4" t="str">
        <f>IFERROR(__xludf.DUMMYFUNCTION("""COMPUTED_VALUE"""),"Yrs")</f>
        <v>Yrs</v>
      </c>
      <c r="G5613" s="4" t="str">
        <f>IFERROR(__xludf.DUMMYFUNCTION("""COMPUTED_VALUE"""),"G")</f>
        <v>G</v>
      </c>
      <c r="H5613" s="4" t="str">
        <f>IFERROR(__xludf.DUMMYFUNCTION("""COMPUTED_VALUE"""),"MP")</f>
        <v>MP</v>
      </c>
      <c r="I5613" s="4" t="str">
        <f>IFERROR(__xludf.DUMMYFUNCTION("""COMPUTED_VALUE"""),"PTS")</f>
        <v>PTS</v>
      </c>
      <c r="J5613" s="4" t="str">
        <f>IFERROR(__xludf.DUMMYFUNCTION("""COMPUTED_VALUE"""),"TRB")</f>
        <v>TRB</v>
      </c>
      <c r="K5613" s="4" t="str">
        <f>IFERROR(__xludf.DUMMYFUNCTION("""COMPUTED_VALUE"""),"AST")</f>
        <v>AST</v>
      </c>
      <c r="L5613" s="4" t="str">
        <f>IFERROR(__xludf.DUMMYFUNCTION("""COMPUTED_VALUE"""),"FG%")</f>
        <v>FG%</v>
      </c>
      <c r="M5613" s="4" t="str">
        <f>IFERROR(__xludf.DUMMYFUNCTION("""COMPUTED_VALUE"""),"3P%")</f>
        <v>3P%</v>
      </c>
      <c r="N5613" s="4" t="str">
        <f>IFERROR(__xludf.DUMMYFUNCTION("""COMPUTED_VALUE"""),"FT%")</f>
        <v>FT%</v>
      </c>
      <c r="O5613" s="4" t="str">
        <f>IFERROR(__xludf.DUMMYFUNCTION("""COMPUTED_VALUE"""),"MP")</f>
        <v>MP</v>
      </c>
      <c r="P5613" s="4" t="str">
        <f>IFERROR(__xludf.DUMMYFUNCTION("""COMPUTED_VALUE"""),"PTS")</f>
        <v>PTS</v>
      </c>
      <c r="Q5613" s="4" t="str">
        <f>IFERROR(__xludf.DUMMYFUNCTION("""COMPUTED_VALUE"""),"TRB")</f>
        <v>TRB</v>
      </c>
      <c r="R5613" s="4" t="str">
        <f>IFERROR(__xludf.DUMMYFUNCTION("""COMPUTED_VALUE"""),"AST")</f>
        <v>AST</v>
      </c>
      <c r="S5613" s="4" t="str">
        <f>IFERROR(__xludf.DUMMYFUNCTION("""COMPUTED_VALUE"""),"WS")</f>
        <v>WS</v>
      </c>
      <c r="T5613" s="4" t="str">
        <f>IFERROR(__xludf.DUMMYFUNCTION("""COMPUTED_VALUE"""),"WS/48")</f>
        <v>WS/48</v>
      </c>
      <c r="U5613" s="4" t="str">
        <f>IFERROR(__xludf.DUMMYFUNCTION("""COMPUTED_VALUE"""),"BPM")</f>
        <v>BPM</v>
      </c>
      <c r="V5613" s="4" t="str">
        <f>IFERROR(__xludf.DUMMYFUNCTION("""COMPUTED_VALUE"""),"VORP")</f>
        <v>VORP</v>
      </c>
    </row>
    <row r="5614">
      <c r="A5614" s="4">
        <f>IFERROR(__xludf.DUMMYFUNCTION("""COMPUTED_VALUE"""),138.0)</f>
        <v>138</v>
      </c>
      <c r="B5614" s="4">
        <f>IFERROR(__xludf.DUMMYFUNCTION("""COMPUTED_VALUE"""),138.0)</f>
        <v>138</v>
      </c>
      <c r="C5614" s="4" t="str">
        <f>IFERROR(__xludf.DUMMYFUNCTION("""COMPUTED_VALUE"""),"PHI")</f>
        <v>PHI</v>
      </c>
      <c r="D5614" s="4" t="str">
        <f>IFERROR(__xludf.DUMMYFUNCTION("""COMPUTED_VALUE"""),"Harvey Catchings")</f>
        <v>Harvey Catchings</v>
      </c>
      <c r="E5614" s="4" t="str">
        <f>IFERROR(__xludf.DUMMYFUNCTION("""COMPUTED_VALUE"""),"Hardin-Simmons University")</f>
        <v>Hardin-Simmons University</v>
      </c>
      <c r="F5614" s="4">
        <f>IFERROR(__xludf.DUMMYFUNCTION("""COMPUTED_VALUE"""),11.0)</f>
        <v>11</v>
      </c>
      <c r="G5614" s="4">
        <f>IFERROR(__xludf.DUMMYFUNCTION("""COMPUTED_VALUE"""),725.0)</f>
        <v>725</v>
      </c>
      <c r="H5614" s="4">
        <f>IFERROR(__xludf.DUMMYFUNCTION("""COMPUTED_VALUE"""),13182.0)</f>
        <v>13182</v>
      </c>
      <c r="I5614" s="4">
        <f>IFERROR(__xludf.DUMMYFUNCTION("""COMPUTED_VALUE"""),2335.0)</f>
        <v>2335</v>
      </c>
      <c r="J5614" s="4">
        <f>IFERROR(__xludf.DUMMYFUNCTION("""COMPUTED_VALUE"""),3639.0)</f>
        <v>3639</v>
      </c>
      <c r="K5614" s="4">
        <f>IFERROR(__xludf.DUMMYFUNCTION("""COMPUTED_VALUE"""),608.0)</f>
        <v>608</v>
      </c>
      <c r="L5614" s="4">
        <f>IFERROR(__xludf.DUMMYFUNCTION("""COMPUTED_VALUE"""),0.435)</f>
        <v>0.435</v>
      </c>
      <c r="M5614" s="4"/>
      <c r="N5614" s="4">
        <f>IFERROR(__xludf.DUMMYFUNCTION("""COMPUTED_VALUE"""),0.647)</f>
        <v>0.647</v>
      </c>
      <c r="O5614" s="4">
        <f>IFERROR(__xludf.DUMMYFUNCTION("""COMPUTED_VALUE"""),18.2)</f>
        <v>18.2</v>
      </c>
      <c r="P5614" s="4">
        <f>IFERROR(__xludf.DUMMYFUNCTION("""COMPUTED_VALUE"""),3.2)</f>
        <v>3.2</v>
      </c>
      <c r="Q5614" s="4">
        <f>IFERROR(__xludf.DUMMYFUNCTION("""COMPUTED_VALUE"""),5.0)</f>
        <v>5</v>
      </c>
      <c r="R5614" s="4">
        <f>IFERROR(__xludf.DUMMYFUNCTION("""COMPUTED_VALUE"""),0.8)</f>
        <v>0.8</v>
      </c>
      <c r="S5614" s="4">
        <f>IFERROR(__xludf.DUMMYFUNCTION("""COMPUTED_VALUE"""),21.2)</f>
        <v>21.2</v>
      </c>
      <c r="T5614" s="4">
        <f>IFERROR(__xludf.DUMMYFUNCTION("""COMPUTED_VALUE"""),0.077)</f>
        <v>0.077</v>
      </c>
      <c r="U5614" s="4">
        <f>IFERROR(__xludf.DUMMYFUNCTION("""COMPUTED_VALUE"""),-0.8)</f>
        <v>-0.8</v>
      </c>
      <c r="V5614" s="4">
        <f>IFERROR(__xludf.DUMMYFUNCTION("""COMPUTED_VALUE"""),4.1)</f>
        <v>4.1</v>
      </c>
    </row>
    <row r="5615">
      <c r="A5615" s="4">
        <f>IFERROR(__xludf.DUMMYFUNCTION("""COMPUTED_VALUE"""),139.0)</f>
        <v>139</v>
      </c>
      <c r="B5615" s="4">
        <f>IFERROR(__xludf.DUMMYFUNCTION("""COMPUTED_VALUE"""),139.0)</f>
        <v>139</v>
      </c>
      <c r="C5615" s="4" t="str">
        <f>IFERROR(__xludf.DUMMYFUNCTION("""COMPUTED_VALUE"""),"POR")</f>
        <v>POR</v>
      </c>
      <c r="D5615" s="4" t="str">
        <f>IFERROR(__xludf.DUMMYFUNCTION("""COMPUTED_VALUE"""),"Mike Contreras")</f>
        <v>Mike Contreras</v>
      </c>
      <c r="E5615" s="4" t="str">
        <f>IFERROR(__xludf.DUMMYFUNCTION("""COMPUTED_VALUE"""),"Arizona State")</f>
        <v>Arizona State</v>
      </c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</row>
    <row r="5616">
      <c r="A5616" s="4">
        <f>IFERROR(__xludf.DUMMYFUNCTION("""COMPUTED_VALUE"""),140.0)</f>
        <v>140</v>
      </c>
      <c r="B5616" s="4">
        <f>IFERROR(__xludf.DUMMYFUNCTION("""COMPUTED_VALUE"""),140.0)</f>
        <v>140</v>
      </c>
      <c r="C5616" s="4" t="str">
        <f>IFERROR(__xludf.DUMMYFUNCTION("""COMPUTED_VALUE"""),"BUF")</f>
        <v>BUF</v>
      </c>
      <c r="D5616" s="4" t="str">
        <f>IFERROR(__xludf.DUMMYFUNCTION("""COMPUTED_VALUE"""),"Bob Fullarton")</f>
        <v>Bob Fullarton</v>
      </c>
      <c r="E5616" s="4" t="str">
        <f>IFERROR(__xludf.DUMMYFUNCTION("""COMPUTED_VALUE"""),"Xavier")</f>
        <v>Xavier</v>
      </c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</row>
    <row r="5617">
      <c r="A5617" s="4">
        <f>IFERROR(__xludf.DUMMYFUNCTION("""COMPUTED_VALUE"""),141.0)</f>
        <v>141</v>
      </c>
      <c r="B5617" s="4">
        <f>IFERROR(__xludf.DUMMYFUNCTION("""COMPUTED_VALUE"""),141.0)</f>
        <v>141</v>
      </c>
      <c r="C5617" s="4" t="str">
        <f>IFERROR(__xludf.DUMMYFUNCTION("""COMPUTED_VALUE"""),"SEA")</f>
        <v>SEA</v>
      </c>
      <c r="D5617" s="4" t="str">
        <f>IFERROR(__xludf.DUMMYFUNCTION("""COMPUTED_VALUE"""),"Greg Williams")</f>
        <v>Greg Williams</v>
      </c>
      <c r="E5617" s="4" t="str">
        <f>IFERROR(__xludf.DUMMYFUNCTION("""COMPUTED_VALUE"""),"Seattle University")</f>
        <v>Seattle University</v>
      </c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</row>
    <row r="5618">
      <c r="A5618" s="4">
        <f>IFERROR(__xludf.DUMMYFUNCTION("""COMPUTED_VALUE"""),142.0)</f>
        <v>142</v>
      </c>
      <c r="B5618" s="4">
        <f>IFERROR(__xludf.DUMMYFUNCTION("""COMPUTED_VALUE"""),142.0)</f>
        <v>142</v>
      </c>
      <c r="C5618" s="4" t="str">
        <f>IFERROR(__xludf.DUMMYFUNCTION("""COMPUTED_VALUE"""),"CLE")</f>
        <v>CLE</v>
      </c>
      <c r="D5618" s="4" t="str">
        <f>IFERROR(__xludf.DUMMYFUNCTION("""COMPUTED_VALUE"""),"Les Taylor")</f>
        <v>Les Taylor</v>
      </c>
      <c r="E5618" s="4" t="str">
        <f>IFERROR(__xludf.DUMMYFUNCTION("""COMPUTED_VALUE"""),"Murray State")</f>
        <v>Murray State</v>
      </c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</row>
    <row r="5619">
      <c r="A5619" s="4">
        <f>IFERROR(__xludf.DUMMYFUNCTION("""COMPUTED_VALUE"""),143.0)</f>
        <v>143</v>
      </c>
      <c r="B5619" s="4">
        <f>IFERROR(__xludf.DUMMYFUNCTION("""COMPUTED_VALUE"""),143.0)</f>
        <v>143</v>
      </c>
      <c r="C5619" s="4" t="str">
        <f>IFERROR(__xludf.DUMMYFUNCTION("""COMPUTED_VALUE"""),"KCO")</f>
        <v>KCO</v>
      </c>
      <c r="D5619" s="4" t="str">
        <f>IFERROR(__xludf.DUMMYFUNCTION("""COMPUTED_VALUE"""),"James Brown")</f>
        <v>James Brown</v>
      </c>
      <c r="E5619" s="4" t="str">
        <f>IFERROR(__xludf.DUMMYFUNCTION("""COMPUTED_VALUE"""),"Dartmouth College")</f>
        <v>Dartmouth College</v>
      </c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</row>
    <row r="5620">
      <c r="A5620" s="4">
        <f>IFERROR(__xludf.DUMMYFUNCTION("""COMPUTED_VALUE"""),144.0)</f>
        <v>144</v>
      </c>
      <c r="B5620" s="4">
        <f>IFERROR(__xludf.DUMMYFUNCTION("""COMPUTED_VALUE"""),144.0)</f>
        <v>144</v>
      </c>
      <c r="C5620" s="4" t="str">
        <f>IFERROR(__xludf.DUMMYFUNCTION("""COMPUTED_VALUE"""),"PHO")</f>
        <v>PHO</v>
      </c>
      <c r="D5620" s="4" t="str">
        <f>IFERROR(__xludf.DUMMYFUNCTION("""COMPUTED_VALUE"""),"Sandy Smith")</f>
        <v>Sandy Smith</v>
      </c>
      <c r="E5620" s="4" t="str">
        <f>IFERROR(__xludf.DUMMYFUNCTION("""COMPUTED_VALUE"""),"Winston-Salem State")</f>
        <v>Winston-Salem State</v>
      </c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</row>
    <row r="5621">
      <c r="A5621" s="4">
        <f>IFERROR(__xludf.DUMMYFUNCTION("""COMPUTED_VALUE"""),145.0)</f>
        <v>145</v>
      </c>
      <c r="B5621" s="4">
        <f>IFERROR(__xludf.DUMMYFUNCTION("""COMPUTED_VALUE"""),145.0)</f>
        <v>145</v>
      </c>
      <c r="C5621" s="4" t="str">
        <f>IFERROR(__xludf.DUMMYFUNCTION("""COMPUTED_VALUE"""),"DET")</f>
        <v>DET</v>
      </c>
      <c r="D5621" s="4" t="str">
        <f>IFERROR(__xludf.DUMMYFUNCTION("""COMPUTED_VALUE"""),"Bill Kilgore")</f>
        <v>Bill Kilgore</v>
      </c>
      <c r="E5621" s="4" t="str">
        <f>IFERROR(__xludf.DUMMYFUNCTION("""COMPUTED_VALUE"""),"Michigan State")</f>
        <v>Michigan State</v>
      </c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</row>
    <row r="5622">
      <c r="A5622" s="4">
        <f>IFERROR(__xludf.DUMMYFUNCTION("""COMPUTED_VALUE"""),146.0)</f>
        <v>146</v>
      </c>
      <c r="B5622" s="4">
        <f>IFERROR(__xludf.DUMMYFUNCTION("""COMPUTED_VALUE"""),146.0)</f>
        <v>146</v>
      </c>
      <c r="C5622" s="4" t="str">
        <f>IFERROR(__xludf.DUMMYFUNCTION("""COMPUTED_VALUE"""),"GSW")</f>
        <v>GSW</v>
      </c>
      <c r="D5622" s="4" t="str">
        <f>IFERROR(__xludf.DUMMYFUNCTION("""COMPUTED_VALUE"""),"Everett Fopma")</f>
        <v>Everett Fopma</v>
      </c>
      <c r="E5622" s="4" t="str">
        <f>IFERROR(__xludf.DUMMYFUNCTION("""COMPUTED_VALUE"""),"Idaho State University")</f>
        <v>Idaho State University</v>
      </c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</row>
    <row r="5623">
      <c r="A5623" s="4">
        <f>IFERROR(__xludf.DUMMYFUNCTION("""COMPUTED_VALUE"""),147.0)</f>
        <v>147</v>
      </c>
      <c r="B5623" s="4">
        <f>IFERROR(__xludf.DUMMYFUNCTION("""COMPUTED_VALUE"""),147.0)</f>
        <v>147</v>
      </c>
      <c r="C5623" s="4" t="str">
        <f>IFERROR(__xludf.DUMMYFUNCTION("""COMPUTED_VALUE"""),"CHI")</f>
        <v>CHI</v>
      </c>
      <c r="D5623" s="4" t="str">
        <f>IFERROR(__xludf.DUMMYFUNCTION("""COMPUTED_VALUE"""),"Ruben Montanez")</f>
        <v>Ruben Montanez</v>
      </c>
      <c r="E5623" s="4" t="str">
        <f>IFERROR(__xludf.DUMMYFUNCTION("""COMPUTED_VALUE"""),"Duquesne")</f>
        <v>Duquesne</v>
      </c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</row>
    <row r="5624">
      <c r="A5624" s="4">
        <f>IFERROR(__xludf.DUMMYFUNCTION("""COMPUTED_VALUE"""),148.0)</f>
        <v>148</v>
      </c>
      <c r="B5624" s="4">
        <f>IFERROR(__xludf.DUMMYFUNCTION("""COMPUTED_VALUE"""),148.0)</f>
        <v>148</v>
      </c>
      <c r="C5624" s="4" t="str">
        <f>IFERROR(__xludf.DUMMYFUNCTION("""COMPUTED_VALUE"""),"CAP")</f>
        <v>CAP</v>
      </c>
      <c r="D5624" s="4" t="str">
        <f>IFERROR(__xludf.DUMMYFUNCTION("""COMPUTED_VALUE"""),"Mike Boylan")</f>
        <v>Mike Boylan</v>
      </c>
      <c r="E5624" s="4" t="str">
        <f>IFERROR(__xludf.DUMMYFUNCTION("""COMPUTED_VALUE"""),"Assumption College")</f>
        <v>Assumption College</v>
      </c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</row>
    <row r="5625">
      <c r="A5625" s="4">
        <f>IFERROR(__xludf.DUMMYFUNCTION("""COMPUTED_VALUE"""),149.0)</f>
        <v>149</v>
      </c>
      <c r="B5625" s="4">
        <f>IFERROR(__xludf.DUMMYFUNCTION("""COMPUTED_VALUE"""),149.0)</f>
        <v>149</v>
      </c>
      <c r="C5625" s="4" t="str">
        <f>IFERROR(__xludf.DUMMYFUNCTION("""COMPUTED_VALUE"""),"NYK")</f>
        <v>NYK</v>
      </c>
      <c r="D5625" s="4" t="str">
        <f>IFERROR(__xludf.DUMMYFUNCTION("""COMPUTED_VALUE"""),"Joe Wise")</f>
        <v>Joe Wise</v>
      </c>
      <c r="E5625" s="4" t="str">
        <f>IFERROR(__xludf.DUMMYFUNCTION("""COMPUTED_VALUE"""),"Bridgewater State College")</f>
        <v>Bridgewater State College</v>
      </c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</row>
    <row r="5626">
      <c r="A5626" s="4">
        <f>IFERROR(__xludf.DUMMYFUNCTION("""COMPUTED_VALUE"""),150.0)</f>
        <v>150</v>
      </c>
      <c r="B5626" s="4">
        <f>IFERROR(__xludf.DUMMYFUNCTION("""COMPUTED_VALUE"""),150.0)</f>
        <v>150</v>
      </c>
      <c r="C5626" s="4" t="str">
        <f>IFERROR(__xludf.DUMMYFUNCTION("""COMPUTED_VALUE"""),"MIL")</f>
        <v>MIL</v>
      </c>
      <c r="D5626" s="4" t="str">
        <f>IFERROR(__xludf.DUMMYFUNCTION("""COMPUTED_VALUE"""),"Bob Vacca")</f>
        <v>Bob Vacca</v>
      </c>
      <c r="E5626" s="4" t="str">
        <f>IFERROR(__xludf.DUMMYFUNCTION("""COMPUTED_VALUE"""),"Quinnipiac University")</f>
        <v>Quinnipiac University</v>
      </c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</row>
    <row r="5627">
      <c r="A5627" s="4">
        <f>IFERROR(__xludf.DUMMYFUNCTION("""COMPUTED_VALUE"""),151.0)</f>
        <v>151</v>
      </c>
      <c r="B5627" s="4">
        <f>IFERROR(__xludf.DUMMYFUNCTION("""COMPUTED_VALUE"""),151.0)</f>
        <v>151</v>
      </c>
      <c r="C5627" s="4" t="str">
        <f>IFERROR(__xludf.DUMMYFUNCTION("""COMPUTED_VALUE"""),"BOS")</f>
        <v>BOS</v>
      </c>
      <c r="D5627" s="4" t="str">
        <f>IFERROR(__xludf.DUMMYFUNCTION("""COMPUTED_VALUE"""),"Corky Taylor")</f>
        <v>Corky Taylor</v>
      </c>
      <c r="E5627" s="4" t="str">
        <f>IFERROR(__xludf.DUMMYFUNCTION("""COMPUTED_VALUE"""),"Minnesota")</f>
        <v>Minnesota</v>
      </c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</row>
    <row r="5628">
      <c r="A5628" s="4"/>
      <c r="B5628" s="4"/>
      <c r="C5628" s="4"/>
      <c r="D5628" s="4" t="str">
        <f>IFERROR(__xludf.DUMMYFUNCTION("""COMPUTED_VALUE"""),"Round 10")</f>
        <v>Round 10</v>
      </c>
      <c r="E5628" s="4"/>
      <c r="F5628" s="4"/>
      <c r="G5628" s="4" t="str">
        <f>IFERROR(__xludf.DUMMYFUNCTION("""COMPUTED_VALUE"""),"Totals")</f>
        <v>Totals</v>
      </c>
      <c r="H5628" s="4"/>
      <c r="I5628" s="4"/>
      <c r="J5628" s="4"/>
      <c r="K5628" s="4"/>
      <c r="L5628" s="4" t="str">
        <f>IFERROR(__xludf.DUMMYFUNCTION("""COMPUTED_VALUE"""),"Shooting")</f>
        <v>Shooting</v>
      </c>
      <c r="M5628" s="4"/>
      <c r="N5628" s="4"/>
      <c r="O5628" s="4" t="str">
        <f>IFERROR(__xludf.DUMMYFUNCTION("""COMPUTED_VALUE"""),"Per Game")</f>
        <v>Per Game</v>
      </c>
      <c r="P5628" s="4"/>
      <c r="Q5628" s="4"/>
      <c r="R5628" s="4"/>
      <c r="S5628" s="4" t="str">
        <f>IFERROR(__xludf.DUMMYFUNCTION("""COMPUTED_VALUE"""),"Advanced")</f>
        <v>Advanced</v>
      </c>
      <c r="T5628" s="4"/>
      <c r="U5628" s="4"/>
      <c r="V5628" s="4"/>
    </row>
    <row r="5629">
      <c r="A5629" s="4" t="str">
        <f>IFERROR(__xludf.DUMMYFUNCTION("""COMPUTED_VALUE"""),"Rk")</f>
        <v>Rk</v>
      </c>
      <c r="B5629" s="4" t="str">
        <f>IFERROR(__xludf.DUMMYFUNCTION("""COMPUTED_VALUE"""),"Pk")</f>
        <v>Pk</v>
      </c>
      <c r="C5629" s="4" t="str">
        <f>IFERROR(__xludf.DUMMYFUNCTION("""COMPUTED_VALUE"""),"Tm")</f>
        <v>Tm</v>
      </c>
      <c r="D5629" s="4" t="str">
        <f>IFERROR(__xludf.DUMMYFUNCTION("""COMPUTED_VALUE"""),"Player")</f>
        <v>Player</v>
      </c>
      <c r="E5629" s="4" t="str">
        <f>IFERROR(__xludf.DUMMYFUNCTION("""COMPUTED_VALUE"""),"College")</f>
        <v>College</v>
      </c>
      <c r="F5629" s="4" t="str">
        <f>IFERROR(__xludf.DUMMYFUNCTION("""COMPUTED_VALUE"""),"Yrs")</f>
        <v>Yrs</v>
      </c>
      <c r="G5629" s="4" t="str">
        <f>IFERROR(__xludf.DUMMYFUNCTION("""COMPUTED_VALUE"""),"G")</f>
        <v>G</v>
      </c>
      <c r="H5629" s="4" t="str">
        <f>IFERROR(__xludf.DUMMYFUNCTION("""COMPUTED_VALUE"""),"MP")</f>
        <v>MP</v>
      </c>
      <c r="I5629" s="4" t="str">
        <f>IFERROR(__xludf.DUMMYFUNCTION("""COMPUTED_VALUE"""),"PTS")</f>
        <v>PTS</v>
      </c>
      <c r="J5629" s="4" t="str">
        <f>IFERROR(__xludf.DUMMYFUNCTION("""COMPUTED_VALUE"""),"TRB")</f>
        <v>TRB</v>
      </c>
      <c r="K5629" s="4" t="str">
        <f>IFERROR(__xludf.DUMMYFUNCTION("""COMPUTED_VALUE"""),"AST")</f>
        <v>AST</v>
      </c>
      <c r="L5629" s="4" t="str">
        <f>IFERROR(__xludf.DUMMYFUNCTION("""COMPUTED_VALUE"""),"FG%")</f>
        <v>FG%</v>
      </c>
      <c r="M5629" s="4" t="str">
        <f>IFERROR(__xludf.DUMMYFUNCTION("""COMPUTED_VALUE"""),"3P%")</f>
        <v>3P%</v>
      </c>
      <c r="N5629" s="4" t="str">
        <f>IFERROR(__xludf.DUMMYFUNCTION("""COMPUTED_VALUE"""),"FT%")</f>
        <v>FT%</v>
      </c>
      <c r="O5629" s="4" t="str">
        <f>IFERROR(__xludf.DUMMYFUNCTION("""COMPUTED_VALUE"""),"MP")</f>
        <v>MP</v>
      </c>
      <c r="P5629" s="4" t="str">
        <f>IFERROR(__xludf.DUMMYFUNCTION("""COMPUTED_VALUE"""),"PTS")</f>
        <v>PTS</v>
      </c>
      <c r="Q5629" s="4" t="str">
        <f>IFERROR(__xludf.DUMMYFUNCTION("""COMPUTED_VALUE"""),"TRB")</f>
        <v>TRB</v>
      </c>
      <c r="R5629" s="4" t="str">
        <f>IFERROR(__xludf.DUMMYFUNCTION("""COMPUTED_VALUE"""),"AST")</f>
        <v>AST</v>
      </c>
      <c r="S5629" s="4" t="str">
        <f>IFERROR(__xludf.DUMMYFUNCTION("""COMPUTED_VALUE"""),"WS")</f>
        <v>WS</v>
      </c>
      <c r="T5629" s="4" t="str">
        <f>IFERROR(__xludf.DUMMYFUNCTION("""COMPUTED_VALUE"""),"WS/48")</f>
        <v>WS/48</v>
      </c>
      <c r="U5629" s="4" t="str">
        <f>IFERROR(__xludf.DUMMYFUNCTION("""COMPUTED_VALUE"""),"BPM")</f>
        <v>BPM</v>
      </c>
      <c r="V5629" s="4" t="str">
        <f>IFERROR(__xludf.DUMMYFUNCTION("""COMPUTED_VALUE"""),"VORP")</f>
        <v>VORP</v>
      </c>
    </row>
    <row r="5630">
      <c r="A5630" s="4">
        <f>IFERROR(__xludf.DUMMYFUNCTION("""COMPUTED_VALUE"""),152.0)</f>
        <v>152</v>
      </c>
      <c r="B5630" s="4">
        <f>IFERROR(__xludf.DUMMYFUNCTION("""COMPUTED_VALUE"""),152.0)</f>
        <v>152</v>
      </c>
      <c r="C5630" s="4" t="str">
        <f>IFERROR(__xludf.DUMMYFUNCTION("""COMPUTED_VALUE"""),"PHI")</f>
        <v>PHI</v>
      </c>
      <c r="D5630" s="4" t="str">
        <f>IFERROR(__xludf.DUMMYFUNCTION("""COMPUTED_VALUE"""),"Abe Steward")</f>
        <v>Abe Steward</v>
      </c>
      <c r="E5630" s="4" t="str">
        <f>IFERROR(__xludf.DUMMYFUNCTION("""COMPUTED_VALUE"""),"Jacksonville University")</f>
        <v>Jacksonville University</v>
      </c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</row>
    <row r="5631">
      <c r="A5631" s="4">
        <f>IFERROR(__xludf.DUMMYFUNCTION("""COMPUTED_VALUE"""),153.0)</f>
        <v>153</v>
      </c>
      <c r="B5631" s="4">
        <f>IFERROR(__xludf.DUMMYFUNCTION("""COMPUTED_VALUE"""),153.0)</f>
        <v>153</v>
      </c>
      <c r="C5631" s="4" t="str">
        <f>IFERROR(__xludf.DUMMYFUNCTION("""COMPUTED_VALUE"""),"BUF")</f>
        <v>BUF</v>
      </c>
      <c r="D5631" s="4" t="str">
        <f>IFERROR(__xludf.DUMMYFUNCTION("""COMPUTED_VALUE"""),"Nick Conner")</f>
        <v>Nick Conner</v>
      </c>
      <c r="E5631" s="4" t="str">
        <f>IFERROR(__xludf.DUMMYFUNCTION("""COMPUTED_VALUE"""),"Illinois")</f>
        <v>Illinois</v>
      </c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</row>
    <row r="5632">
      <c r="A5632" s="4">
        <f>IFERROR(__xludf.DUMMYFUNCTION("""COMPUTED_VALUE"""),154.0)</f>
        <v>154</v>
      </c>
      <c r="B5632" s="4">
        <f>IFERROR(__xludf.DUMMYFUNCTION("""COMPUTED_VALUE"""),154.0)</f>
        <v>154</v>
      </c>
      <c r="C5632" s="4" t="str">
        <f>IFERROR(__xludf.DUMMYFUNCTION("""COMPUTED_VALUE"""),"POR")</f>
        <v>POR</v>
      </c>
      <c r="D5632" s="4" t="str">
        <f>IFERROR(__xludf.DUMMYFUNCTION("""COMPUTED_VALUE"""),"Sam Whitehead")</f>
        <v>Sam Whitehead</v>
      </c>
      <c r="E5632" s="4" t="str">
        <f>IFERROR(__xludf.DUMMYFUNCTION("""COMPUTED_VALUE"""),"Oregon State")</f>
        <v>Oregon State</v>
      </c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</row>
    <row r="5633">
      <c r="A5633" s="4">
        <f>IFERROR(__xludf.DUMMYFUNCTION("""COMPUTED_VALUE"""),155.0)</f>
        <v>155</v>
      </c>
      <c r="B5633" s="4">
        <f>IFERROR(__xludf.DUMMYFUNCTION("""COMPUTED_VALUE"""),155.0)</f>
        <v>155</v>
      </c>
      <c r="C5633" s="4" t="str">
        <f>IFERROR(__xludf.DUMMYFUNCTION("""COMPUTED_VALUE"""),"SEA")</f>
        <v>SEA</v>
      </c>
      <c r="D5633" s="4" t="str">
        <f>IFERROR(__xludf.DUMMYFUNCTION("""COMPUTED_VALUE"""),"Bob Bodell")</f>
        <v>Bob Bodell</v>
      </c>
      <c r="E5633" s="4" t="str">
        <f>IFERROR(__xludf.DUMMYFUNCTION("""COMPUTED_VALUE"""),"Maryland")</f>
        <v>Maryland</v>
      </c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</row>
    <row r="5634">
      <c r="A5634" s="4">
        <f>IFERROR(__xludf.DUMMYFUNCTION("""COMPUTED_VALUE"""),156.0)</f>
        <v>156</v>
      </c>
      <c r="B5634" s="4">
        <f>IFERROR(__xludf.DUMMYFUNCTION("""COMPUTED_VALUE"""),156.0)</f>
        <v>156</v>
      </c>
      <c r="C5634" s="4" t="str">
        <f>IFERROR(__xludf.DUMMYFUNCTION("""COMPUTED_VALUE"""),"CLE")</f>
        <v>CLE</v>
      </c>
      <c r="D5634" s="4" t="str">
        <f>IFERROR(__xludf.DUMMYFUNCTION("""COMPUTED_VALUE"""),"Dean Martin")</f>
        <v>Dean Martin</v>
      </c>
      <c r="E5634" s="4" t="str">
        <f>IFERROR(__xludf.DUMMYFUNCTION("""COMPUTED_VALUE"""),"Baldwin-Wallace College")</f>
        <v>Baldwin-Wallace College</v>
      </c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</row>
    <row r="5635">
      <c r="A5635" s="4">
        <f>IFERROR(__xludf.DUMMYFUNCTION("""COMPUTED_VALUE"""),157.0)</f>
        <v>157</v>
      </c>
      <c r="B5635" s="4">
        <f>IFERROR(__xludf.DUMMYFUNCTION("""COMPUTED_VALUE"""),157.0)</f>
        <v>157</v>
      </c>
      <c r="C5635" s="4" t="str">
        <f>IFERROR(__xludf.DUMMYFUNCTION("""COMPUTED_VALUE"""),"KCO")</f>
        <v>KCO</v>
      </c>
      <c r="D5635" s="4" t="str">
        <f>IFERROR(__xludf.DUMMYFUNCTION("""COMPUTED_VALUE"""),"Ernie Kusnyer")</f>
        <v>Ernie Kusnyer</v>
      </c>
      <c r="E5635" s="4" t="str">
        <f>IFERROR(__xludf.DUMMYFUNCTION("""COMPUTED_VALUE"""),"Kansas State")</f>
        <v>Kansas State</v>
      </c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</row>
    <row r="5636">
      <c r="A5636" s="4">
        <f>IFERROR(__xludf.DUMMYFUNCTION("""COMPUTED_VALUE"""),158.0)</f>
        <v>158</v>
      </c>
      <c r="B5636" s="4">
        <f>IFERROR(__xludf.DUMMYFUNCTION("""COMPUTED_VALUE"""),158.0)</f>
        <v>158</v>
      </c>
      <c r="C5636" s="4" t="str">
        <f>IFERROR(__xludf.DUMMYFUNCTION("""COMPUTED_VALUE"""),"PHO")</f>
        <v>PHO</v>
      </c>
      <c r="D5636" s="4" t="str">
        <f>IFERROR(__xludf.DUMMYFUNCTION("""COMPUTED_VALUE"""),"Claude White")</f>
        <v>Claude White</v>
      </c>
      <c r="E5636" s="4" t="str">
        <f>IFERROR(__xludf.DUMMYFUNCTION("""COMPUTED_VALUE"""),"Elmhurst College")</f>
        <v>Elmhurst College</v>
      </c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</row>
    <row r="5637">
      <c r="A5637" s="4">
        <f>IFERROR(__xludf.DUMMYFUNCTION("""COMPUTED_VALUE"""),159.0)</f>
        <v>159</v>
      </c>
      <c r="B5637" s="4">
        <f>IFERROR(__xludf.DUMMYFUNCTION("""COMPUTED_VALUE"""),159.0)</f>
        <v>159</v>
      </c>
      <c r="C5637" s="4" t="str">
        <f>IFERROR(__xludf.DUMMYFUNCTION("""COMPUTED_VALUE"""),"DET")</f>
        <v>DET</v>
      </c>
      <c r="D5637" s="4" t="str">
        <f>IFERROR(__xludf.DUMMYFUNCTION("""COMPUTED_VALUE"""),"Bob Solomon")</f>
        <v>Bob Solomon</v>
      </c>
      <c r="E5637" s="4" t="str">
        <f>IFERROR(__xludf.DUMMYFUNCTION("""COMPUTED_VALUE"""),"Wayne State University")</f>
        <v>Wayne State University</v>
      </c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</row>
    <row r="5638">
      <c r="A5638" s="4">
        <f>IFERROR(__xludf.DUMMYFUNCTION("""COMPUTED_VALUE"""),160.0)</f>
        <v>160</v>
      </c>
      <c r="B5638" s="4">
        <f>IFERROR(__xludf.DUMMYFUNCTION("""COMPUTED_VALUE"""),160.0)</f>
        <v>160</v>
      </c>
      <c r="C5638" s="4" t="str">
        <f>IFERROR(__xludf.DUMMYFUNCTION("""COMPUTED_VALUE"""),"GSW")</f>
        <v>GSW</v>
      </c>
      <c r="D5638" s="4" t="str">
        <f>IFERROR(__xludf.DUMMYFUNCTION("""COMPUTED_VALUE"""),"Fred Lavaroni")</f>
        <v>Fred Lavaroni</v>
      </c>
      <c r="E5638" s="4" t="str">
        <f>IFERROR(__xludf.DUMMYFUNCTION("""COMPUTED_VALUE"""),"Santa Clara")</f>
        <v>Santa Clara</v>
      </c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</row>
    <row r="5639">
      <c r="A5639" s="4">
        <f>IFERROR(__xludf.DUMMYFUNCTION("""COMPUTED_VALUE"""),161.0)</f>
        <v>161</v>
      </c>
      <c r="B5639" s="4">
        <f>IFERROR(__xludf.DUMMYFUNCTION("""COMPUTED_VALUE"""),161.0)</f>
        <v>161</v>
      </c>
      <c r="C5639" s="4" t="str">
        <f>IFERROR(__xludf.DUMMYFUNCTION("""COMPUTED_VALUE"""),"CHI")</f>
        <v>CHI</v>
      </c>
      <c r="D5639" s="4" t="str">
        <f>IFERROR(__xludf.DUMMYFUNCTION("""COMPUTED_VALUE"""),"Russ Hunt")</f>
        <v>Russ Hunt</v>
      </c>
      <c r="E5639" s="4" t="str">
        <f>IFERROR(__xludf.DUMMYFUNCTION("""COMPUTED_VALUE"""),"Furman University")</f>
        <v>Furman University</v>
      </c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</row>
    <row r="5640">
      <c r="A5640" s="4">
        <f>IFERROR(__xludf.DUMMYFUNCTION("""COMPUTED_VALUE"""),162.0)</f>
        <v>162</v>
      </c>
      <c r="B5640" s="4">
        <f>IFERROR(__xludf.DUMMYFUNCTION("""COMPUTED_VALUE"""),162.0)</f>
        <v>162</v>
      </c>
      <c r="C5640" s="4" t="str">
        <f>IFERROR(__xludf.DUMMYFUNCTION("""COMPUTED_VALUE"""),"CAP")</f>
        <v>CAP</v>
      </c>
      <c r="D5640" s="4" t="str">
        <f>IFERROR(__xludf.DUMMYFUNCTION("""COMPUTED_VALUE"""),"Dicky Kelly")</f>
        <v>Dicky Kelly</v>
      </c>
      <c r="E5640" s="4" t="str">
        <f>IFERROR(__xludf.DUMMYFUNCTION("""COMPUTED_VALUE"""),"Bay College")</f>
        <v>Bay College</v>
      </c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</row>
    <row r="5641">
      <c r="A5641" s="4">
        <f>IFERROR(__xludf.DUMMYFUNCTION("""COMPUTED_VALUE"""),163.0)</f>
        <v>163</v>
      </c>
      <c r="B5641" s="4">
        <f>IFERROR(__xludf.DUMMYFUNCTION("""COMPUTED_VALUE"""),163.0)</f>
        <v>163</v>
      </c>
      <c r="C5641" s="4" t="str">
        <f>IFERROR(__xludf.DUMMYFUNCTION("""COMPUTED_VALUE"""),"NYK")</f>
        <v>NYK</v>
      </c>
      <c r="D5641" s="4" t="str">
        <f>IFERROR(__xludf.DUMMYFUNCTION("""COMPUTED_VALUE"""),"Ed Fields")</f>
        <v>Ed Fields</v>
      </c>
      <c r="E5641" s="4" t="str">
        <f>IFERROR(__xludf.DUMMYFUNCTION("""COMPUTED_VALUE"""),"LIU Post")</f>
        <v>LIU Post</v>
      </c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</row>
    <row r="5642">
      <c r="A5642" s="4">
        <f>IFERROR(__xludf.DUMMYFUNCTION("""COMPUTED_VALUE"""),164.0)</f>
        <v>164</v>
      </c>
      <c r="B5642" s="4">
        <f>IFERROR(__xludf.DUMMYFUNCTION("""COMPUTED_VALUE"""),164.0)</f>
        <v>164</v>
      </c>
      <c r="C5642" s="4" t="str">
        <f>IFERROR(__xludf.DUMMYFUNCTION("""COMPUTED_VALUE"""),"MIL")</f>
        <v>MIL</v>
      </c>
      <c r="D5642" s="4" t="str">
        <f>IFERROR(__xludf.DUMMYFUNCTION("""COMPUTED_VALUE"""),"Ron Battle")</f>
        <v>Ron Battle</v>
      </c>
      <c r="E5642" s="4" t="str">
        <f>IFERROR(__xludf.DUMMYFUNCTION("""COMPUTED_VALUE"""),"Sam Houston State University")</f>
        <v>Sam Houston State University</v>
      </c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</row>
    <row r="5643">
      <c r="A5643" s="4">
        <f>IFERROR(__xludf.DUMMYFUNCTION("""COMPUTED_VALUE"""),165.0)</f>
        <v>165</v>
      </c>
      <c r="B5643" s="4">
        <f>IFERROR(__xludf.DUMMYFUNCTION("""COMPUTED_VALUE"""),165.0)</f>
        <v>165</v>
      </c>
      <c r="C5643" s="4" t="str">
        <f>IFERROR(__xludf.DUMMYFUNCTION("""COMPUTED_VALUE"""),"BOS")</f>
        <v>BOS</v>
      </c>
      <c r="D5643" s="4" t="str">
        <f>IFERROR(__xludf.DUMMYFUNCTION("""COMPUTED_VALUE"""),"Steve Turner")</f>
        <v>Steve Turner</v>
      </c>
      <c r="E5643" s="4" t="str">
        <f>IFERROR(__xludf.DUMMYFUNCTION("""COMPUTED_VALUE"""),"Vanderbilt")</f>
        <v>Vanderbilt</v>
      </c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</row>
    <row r="5644">
      <c r="A5644" s="4"/>
      <c r="B5644" s="4"/>
      <c r="C5644" s="4"/>
      <c r="D5644" s="4" t="str">
        <f>IFERROR(__xludf.DUMMYFUNCTION("""COMPUTED_VALUE"""),"Round 11")</f>
        <v>Round 11</v>
      </c>
      <c r="E5644" s="4"/>
      <c r="F5644" s="4"/>
      <c r="G5644" s="4" t="str">
        <f>IFERROR(__xludf.DUMMYFUNCTION("""COMPUTED_VALUE"""),"Totals")</f>
        <v>Totals</v>
      </c>
      <c r="H5644" s="4"/>
      <c r="I5644" s="4"/>
      <c r="J5644" s="4"/>
      <c r="K5644" s="4"/>
      <c r="L5644" s="4" t="str">
        <f>IFERROR(__xludf.DUMMYFUNCTION("""COMPUTED_VALUE"""),"Shooting")</f>
        <v>Shooting</v>
      </c>
      <c r="M5644" s="4"/>
      <c r="N5644" s="4"/>
      <c r="O5644" s="4" t="str">
        <f>IFERROR(__xludf.DUMMYFUNCTION("""COMPUTED_VALUE"""),"Per Game")</f>
        <v>Per Game</v>
      </c>
      <c r="P5644" s="4"/>
      <c r="Q5644" s="4"/>
      <c r="R5644" s="4"/>
      <c r="S5644" s="4" t="str">
        <f>IFERROR(__xludf.DUMMYFUNCTION("""COMPUTED_VALUE"""),"Advanced")</f>
        <v>Advanced</v>
      </c>
      <c r="T5644" s="4"/>
      <c r="U5644" s="4"/>
      <c r="V5644" s="4"/>
    </row>
    <row r="5645">
      <c r="A5645" s="4" t="str">
        <f>IFERROR(__xludf.DUMMYFUNCTION("""COMPUTED_VALUE"""),"Rk")</f>
        <v>Rk</v>
      </c>
      <c r="B5645" s="4" t="str">
        <f>IFERROR(__xludf.DUMMYFUNCTION("""COMPUTED_VALUE"""),"Pk")</f>
        <v>Pk</v>
      </c>
      <c r="C5645" s="4" t="str">
        <f>IFERROR(__xludf.DUMMYFUNCTION("""COMPUTED_VALUE"""),"Tm")</f>
        <v>Tm</v>
      </c>
      <c r="D5645" s="4" t="str">
        <f>IFERROR(__xludf.DUMMYFUNCTION("""COMPUTED_VALUE"""),"Player")</f>
        <v>Player</v>
      </c>
      <c r="E5645" s="4" t="str">
        <f>IFERROR(__xludf.DUMMYFUNCTION("""COMPUTED_VALUE"""),"College")</f>
        <v>College</v>
      </c>
      <c r="F5645" s="4" t="str">
        <f>IFERROR(__xludf.DUMMYFUNCTION("""COMPUTED_VALUE"""),"Yrs")</f>
        <v>Yrs</v>
      </c>
      <c r="G5645" s="4" t="str">
        <f>IFERROR(__xludf.DUMMYFUNCTION("""COMPUTED_VALUE"""),"G")</f>
        <v>G</v>
      </c>
      <c r="H5645" s="4" t="str">
        <f>IFERROR(__xludf.DUMMYFUNCTION("""COMPUTED_VALUE"""),"MP")</f>
        <v>MP</v>
      </c>
      <c r="I5645" s="4" t="str">
        <f>IFERROR(__xludf.DUMMYFUNCTION("""COMPUTED_VALUE"""),"PTS")</f>
        <v>PTS</v>
      </c>
      <c r="J5645" s="4" t="str">
        <f>IFERROR(__xludf.DUMMYFUNCTION("""COMPUTED_VALUE"""),"TRB")</f>
        <v>TRB</v>
      </c>
      <c r="K5645" s="4" t="str">
        <f>IFERROR(__xludf.DUMMYFUNCTION("""COMPUTED_VALUE"""),"AST")</f>
        <v>AST</v>
      </c>
      <c r="L5645" s="4" t="str">
        <f>IFERROR(__xludf.DUMMYFUNCTION("""COMPUTED_VALUE"""),"FG%")</f>
        <v>FG%</v>
      </c>
      <c r="M5645" s="4" t="str">
        <f>IFERROR(__xludf.DUMMYFUNCTION("""COMPUTED_VALUE"""),"3P%")</f>
        <v>3P%</v>
      </c>
      <c r="N5645" s="4" t="str">
        <f>IFERROR(__xludf.DUMMYFUNCTION("""COMPUTED_VALUE"""),"FT%")</f>
        <v>FT%</v>
      </c>
      <c r="O5645" s="4" t="str">
        <f>IFERROR(__xludf.DUMMYFUNCTION("""COMPUTED_VALUE"""),"MP")</f>
        <v>MP</v>
      </c>
      <c r="P5645" s="4" t="str">
        <f>IFERROR(__xludf.DUMMYFUNCTION("""COMPUTED_VALUE"""),"PTS")</f>
        <v>PTS</v>
      </c>
      <c r="Q5645" s="4" t="str">
        <f>IFERROR(__xludf.DUMMYFUNCTION("""COMPUTED_VALUE"""),"TRB")</f>
        <v>TRB</v>
      </c>
      <c r="R5645" s="4" t="str">
        <f>IFERROR(__xludf.DUMMYFUNCTION("""COMPUTED_VALUE"""),"AST")</f>
        <v>AST</v>
      </c>
      <c r="S5645" s="4" t="str">
        <f>IFERROR(__xludf.DUMMYFUNCTION("""COMPUTED_VALUE"""),"WS")</f>
        <v>WS</v>
      </c>
      <c r="T5645" s="4" t="str">
        <f>IFERROR(__xludf.DUMMYFUNCTION("""COMPUTED_VALUE"""),"WS/48")</f>
        <v>WS/48</v>
      </c>
      <c r="U5645" s="4" t="str">
        <f>IFERROR(__xludf.DUMMYFUNCTION("""COMPUTED_VALUE"""),"BPM")</f>
        <v>BPM</v>
      </c>
      <c r="V5645" s="4" t="str">
        <f>IFERROR(__xludf.DUMMYFUNCTION("""COMPUTED_VALUE"""),"VORP")</f>
        <v>VORP</v>
      </c>
    </row>
    <row r="5646">
      <c r="A5646" s="4">
        <f>IFERROR(__xludf.DUMMYFUNCTION("""COMPUTED_VALUE"""),166.0)</f>
        <v>166</v>
      </c>
      <c r="B5646" s="4">
        <f>IFERROR(__xludf.DUMMYFUNCTION("""COMPUTED_VALUE"""),166.0)</f>
        <v>166</v>
      </c>
      <c r="C5646" s="4" t="str">
        <f>IFERROR(__xludf.DUMMYFUNCTION("""COMPUTED_VALUE"""),"PHI")</f>
        <v>PHI</v>
      </c>
      <c r="D5646" s="4" t="str">
        <f>IFERROR(__xludf.DUMMYFUNCTION("""COMPUTED_VALUE"""),"Rod Freeman")</f>
        <v>Rod Freeman</v>
      </c>
      <c r="E5646" s="4" t="str">
        <f>IFERROR(__xludf.DUMMYFUNCTION("""COMPUTED_VALUE"""),"Vanderbilt")</f>
        <v>Vanderbilt</v>
      </c>
      <c r="F5646" s="4">
        <f>IFERROR(__xludf.DUMMYFUNCTION("""COMPUTED_VALUE"""),1.0)</f>
        <v>1</v>
      </c>
      <c r="G5646" s="4">
        <f>IFERROR(__xludf.DUMMYFUNCTION("""COMPUTED_VALUE"""),35.0)</f>
        <v>35</v>
      </c>
      <c r="H5646" s="4">
        <f>IFERROR(__xludf.DUMMYFUNCTION("""COMPUTED_VALUE"""),265.0)</f>
        <v>265</v>
      </c>
      <c r="I5646" s="4">
        <f>IFERROR(__xludf.DUMMYFUNCTION("""COMPUTED_VALUE"""),106.0)</f>
        <v>106</v>
      </c>
      <c r="J5646" s="4">
        <f>IFERROR(__xludf.DUMMYFUNCTION("""COMPUTED_VALUE"""),54.0)</f>
        <v>54</v>
      </c>
      <c r="K5646" s="4">
        <f>IFERROR(__xludf.DUMMYFUNCTION("""COMPUTED_VALUE"""),14.0)</f>
        <v>14</v>
      </c>
      <c r="L5646" s="4">
        <f>IFERROR(__xludf.DUMMYFUNCTION("""COMPUTED_VALUE"""),0.379)</f>
        <v>0.379</v>
      </c>
      <c r="M5646" s="4"/>
      <c r="N5646" s="4">
        <f>IFERROR(__xludf.DUMMYFUNCTION("""COMPUTED_VALUE"""),0.683)</f>
        <v>0.683</v>
      </c>
      <c r="O5646" s="4">
        <f>IFERROR(__xludf.DUMMYFUNCTION("""COMPUTED_VALUE"""),7.6)</f>
        <v>7.6</v>
      </c>
      <c r="P5646" s="4">
        <f>IFERROR(__xludf.DUMMYFUNCTION("""COMPUTED_VALUE"""),3.0)</f>
        <v>3</v>
      </c>
      <c r="Q5646" s="4">
        <f>IFERROR(__xludf.DUMMYFUNCTION("""COMPUTED_VALUE"""),1.5)</f>
        <v>1.5</v>
      </c>
      <c r="R5646" s="4">
        <f>IFERROR(__xludf.DUMMYFUNCTION("""COMPUTED_VALUE"""),0.4)</f>
        <v>0.4</v>
      </c>
      <c r="S5646" s="4">
        <f>IFERROR(__xludf.DUMMYFUNCTION("""COMPUTED_VALUE"""),0.0)</f>
        <v>0</v>
      </c>
      <c r="T5646" s="4">
        <f>IFERROR(__xludf.DUMMYFUNCTION("""COMPUTED_VALUE"""),0.0)</f>
        <v>0</v>
      </c>
      <c r="U5646" s="4">
        <f>IFERROR(__xludf.DUMMYFUNCTION("""COMPUTED_VALUE"""),-4.2)</f>
        <v>-4.2</v>
      </c>
      <c r="V5646" s="4">
        <f>IFERROR(__xludf.DUMMYFUNCTION("""COMPUTED_VALUE"""),-0.2)</f>
        <v>-0.2</v>
      </c>
    </row>
    <row r="5647">
      <c r="A5647" s="4">
        <f>IFERROR(__xludf.DUMMYFUNCTION("""COMPUTED_VALUE"""),167.0)</f>
        <v>167</v>
      </c>
      <c r="B5647" s="4">
        <f>IFERROR(__xludf.DUMMYFUNCTION("""COMPUTED_VALUE"""),167.0)</f>
        <v>167</v>
      </c>
      <c r="C5647" s="4" t="str">
        <f>IFERROR(__xludf.DUMMYFUNCTION("""COMPUTED_VALUE"""),"POR")</f>
        <v>POR</v>
      </c>
      <c r="D5647" s="4" t="str">
        <f>IFERROR(__xludf.DUMMYFUNCTION("""COMPUTED_VALUE"""),"Eddie Payne")</f>
        <v>Eddie Payne</v>
      </c>
      <c r="E5647" s="4" t="str">
        <f>IFERROR(__xludf.DUMMYFUNCTION("""COMPUTED_VALUE"""),"Wake Forest")</f>
        <v>Wake Forest</v>
      </c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</row>
    <row r="5648">
      <c r="A5648" s="4">
        <f>IFERROR(__xludf.DUMMYFUNCTION("""COMPUTED_VALUE"""),168.0)</f>
        <v>168</v>
      </c>
      <c r="B5648" s="4">
        <f>IFERROR(__xludf.DUMMYFUNCTION("""COMPUTED_VALUE"""),168.0)</f>
        <v>168</v>
      </c>
      <c r="C5648" s="4" t="str">
        <f>IFERROR(__xludf.DUMMYFUNCTION("""COMPUTED_VALUE"""),"BUF")</f>
        <v>BUF</v>
      </c>
      <c r="D5648" s="4" t="str">
        <f>IFERROR(__xludf.DUMMYFUNCTION("""COMPUTED_VALUE"""),"Mike Lee")</f>
        <v>Mike Lee</v>
      </c>
      <c r="E5648" s="4" t="str">
        <f>IFERROR(__xludf.DUMMYFUNCTION("""COMPUTED_VALUE"""),"Syracuse")</f>
        <v>Syracuse</v>
      </c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</row>
    <row r="5649">
      <c r="A5649" s="4">
        <f>IFERROR(__xludf.DUMMYFUNCTION("""COMPUTED_VALUE"""),169.0)</f>
        <v>169</v>
      </c>
      <c r="B5649" s="4">
        <f>IFERROR(__xludf.DUMMYFUNCTION("""COMPUTED_VALUE"""),169.0)</f>
        <v>169</v>
      </c>
      <c r="C5649" s="4" t="str">
        <f>IFERROR(__xludf.DUMMYFUNCTION("""COMPUTED_VALUE"""),"CLE")</f>
        <v>CLE</v>
      </c>
      <c r="D5649" s="4" t="str">
        <f>IFERROR(__xludf.DUMMYFUNCTION("""COMPUTED_VALUE"""),"Floyd Lewis")</f>
        <v>Floyd Lewis</v>
      </c>
      <c r="E5649" s="4" t="str">
        <f>IFERROR(__xludf.DUMMYFUNCTION("""COMPUTED_VALUE"""),"Harvard University")</f>
        <v>Harvard University</v>
      </c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</row>
    <row r="5650">
      <c r="A5650" s="4">
        <f>IFERROR(__xludf.DUMMYFUNCTION("""COMPUTED_VALUE"""),170.0)</f>
        <v>170</v>
      </c>
      <c r="B5650" s="4">
        <f>IFERROR(__xludf.DUMMYFUNCTION("""COMPUTED_VALUE"""),170.0)</f>
        <v>170</v>
      </c>
      <c r="C5650" s="4" t="str">
        <f>IFERROR(__xludf.DUMMYFUNCTION("""COMPUTED_VALUE"""),"PHO")</f>
        <v>PHO</v>
      </c>
      <c r="D5650" s="4" t="str">
        <f>IFERROR(__xludf.DUMMYFUNCTION("""COMPUTED_VALUE"""),"Lynn Greer")</f>
        <v>Lynn Greer</v>
      </c>
      <c r="E5650" s="4" t="str">
        <f>IFERROR(__xludf.DUMMYFUNCTION("""COMPUTED_VALUE"""),"Virginia State University")</f>
        <v>Virginia State University</v>
      </c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</row>
    <row r="5651">
      <c r="A5651" s="4">
        <f>IFERROR(__xludf.DUMMYFUNCTION("""COMPUTED_VALUE"""),171.0)</f>
        <v>171</v>
      </c>
      <c r="B5651" s="4">
        <f>IFERROR(__xludf.DUMMYFUNCTION("""COMPUTED_VALUE"""),171.0)</f>
        <v>171</v>
      </c>
      <c r="C5651" s="4" t="str">
        <f>IFERROR(__xludf.DUMMYFUNCTION("""COMPUTED_VALUE"""),"DET")</f>
        <v>DET</v>
      </c>
      <c r="D5651" s="4" t="str">
        <f>IFERROR(__xludf.DUMMYFUNCTION("""COMPUTED_VALUE"""),"Len Paul")</f>
        <v>Len Paul</v>
      </c>
      <c r="E5651" s="4" t="str">
        <f>IFERROR(__xludf.DUMMYFUNCTION("""COMPUTED_VALUE"""),"University of Akron")</f>
        <v>University of Akron</v>
      </c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</row>
    <row r="5652">
      <c r="A5652" s="4">
        <f>IFERROR(__xludf.DUMMYFUNCTION("""COMPUTED_VALUE"""),172.0)</f>
        <v>172</v>
      </c>
      <c r="B5652" s="4">
        <f>IFERROR(__xludf.DUMMYFUNCTION("""COMPUTED_VALUE"""),172.0)</f>
        <v>172</v>
      </c>
      <c r="C5652" s="4" t="str">
        <f>IFERROR(__xludf.DUMMYFUNCTION("""COMPUTED_VALUE"""),"CAP")</f>
        <v>CAP</v>
      </c>
      <c r="D5652" s="4" t="str">
        <f>IFERROR(__xludf.DUMMYFUNCTION("""COMPUTED_VALUE"""),"Dale Adams")</f>
        <v>Dale Adams</v>
      </c>
      <c r="E5652" s="4" t="str">
        <f>IFERROR(__xludf.DUMMYFUNCTION("""COMPUTED_VALUE"""),"St. Mary's College of Maryland")</f>
        <v>St. Mary's College of Maryland</v>
      </c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</row>
    <row r="5653">
      <c r="A5653" s="4">
        <f>IFERROR(__xludf.DUMMYFUNCTION("""COMPUTED_VALUE"""),173.0)</f>
        <v>173</v>
      </c>
      <c r="B5653" s="4">
        <f>IFERROR(__xludf.DUMMYFUNCTION("""COMPUTED_VALUE"""),173.0)</f>
        <v>173</v>
      </c>
      <c r="C5653" s="4" t="str">
        <f>IFERROR(__xludf.DUMMYFUNCTION("""COMPUTED_VALUE"""),"NYK")</f>
        <v>NYK</v>
      </c>
      <c r="D5653" s="4" t="str">
        <f>IFERROR(__xludf.DUMMYFUNCTION("""COMPUTED_VALUE"""),"Charles Edge")</f>
        <v>Charles Edge</v>
      </c>
      <c r="E5653" s="4" t="str">
        <f>IFERROR(__xludf.DUMMYFUNCTION("""COMPUTED_VALUE"""),"LeMoyne-Owen College")</f>
        <v>LeMoyne-Owen College</v>
      </c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</row>
    <row r="5654">
      <c r="A5654" s="4">
        <f>IFERROR(__xludf.DUMMYFUNCTION("""COMPUTED_VALUE"""),174.0)</f>
        <v>174</v>
      </c>
      <c r="B5654" s="4">
        <f>IFERROR(__xludf.DUMMYFUNCTION("""COMPUTED_VALUE"""),174.0)</f>
        <v>174</v>
      </c>
      <c r="C5654" s="4" t="str">
        <f>IFERROR(__xludf.DUMMYFUNCTION("""COMPUTED_VALUE"""),"BOS")</f>
        <v>BOS</v>
      </c>
      <c r="D5654" s="4" t="str">
        <f>IFERROR(__xludf.DUMMYFUNCTION("""COMPUTED_VALUE"""),"Ed Hastings")</f>
        <v>Ed Hastings</v>
      </c>
      <c r="E5654" s="4" t="str">
        <f>IFERROR(__xludf.DUMMYFUNCTION("""COMPUTED_VALUE"""),"Villanova")</f>
        <v>Villanova</v>
      </c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</row>
    <row r="5655">
      <c r="A5655" s="4"/>
      <c r="B5655" s="4"/>
      <c r="C5655" s="4"/>
      <c r="D5655" s="4" t="str">
        <f>IFERROR(__xludf.DUMMYFUNCTION("""COMPUTED_VALUE"""),"Round 12")</f>
        <v>Round 12</v>
      </c>
      <c r="E5655" s="4"/>
      <c r="F5655" s="4"/>
      <c r="G5655" s="4" t="str">
        <f>IFERROR(__xludf.DUMMYFUNCTION("""COMPUTED_VALUE"""),"Totals")</f>
        <v>Totals</v>
      </c>
      <c r="H5655" s="4"/>
      <c r="I5655" s="4"/>
      <c r="J5655" s="4"/>
      <c r="K5655" s="4"/>
      <c r="L5655" s="4" t="str">
        <f>IFERROR(__xludf.DUMMYFUNCTION("""COMPUTED_VALUE"""),"Shooting")</f>
        <v>Shooting</v>
      </c>
      <c r="M5655" s="4"/>
      <c r="N5655" s="4"/>
      <c r="O5655" s="4" t="str">
        <f>IFERROR(__xludf.DUMMYFUNCTION("""COMPUTED_VALUE"""),"Per Game")</f>
        <v>Per Game</v>
      </c>
      <c r="P5655" s="4"/>
      <c r="Q5655" s="4"/>
      <c r="R5655" s="4"/>
      <c r="S5655" s="4" t="str">
        <f>IFERROR(__xludf.DUMMYFUNCTION("""COMPUTED_VALUE"""),"Advanced")</f>
        <v>Advanced</v>
      </c>
      <c r="T5655" s="4"/>
      <c r="U5655" s="4"/>
      <c r="V5655" s="4"/>
    </row>
    <row r="5656">
      <c r="A5656" s="4" t="str">
        <f>IFERROR(__xludf.DUMMYFUNCTION("""COMPUTED_VALUE"""),"Rk")</f>
        <v>Rk</v>
      </c>
      <c r="B5656" s="4" t="str">
        <f>IFERROR(__xludf.DUMMYFUNCTION("""COMPUTED_VALUE"""),"Pk")</f>
        <v>Pk</v>
      </c>
      <c r="C5656" s="4" t="str">
        <f>IFERROR(__xludf.DUMMYFUNCTION("""COMPUTED_VALUE"""),"Tm")</f>
        <v>Tm</v>
      </c>
      <c r="D5656" s="4" t="str">
        <f>IFERROR(__xludf.DUMMYFUNCTION("""COMPUTED_VALUE"""),"Player")</f>
        <v>Player</v>
      </c>
      <c r="E5656" s="4" t="str">
        <f>IFERROR(__xludf.DUMMYFUNCTION("""COMPUTED_VALUE"""),"College")</f>
        <v>College</v>
      </c>
      <c r="F5656" s="4" t="str">
        <f>IFERROR(__xludf.DUMMYFUNCTION("""COMPUTED_VALUE"""),"Yrs")</f>
        <v>Yrs</v>
      </c>
      <c r="G5656" s="4" t="str">
        <f>IFERROR(__xludf.DUMMYFUNCTION("""COMPUTED_VALUE"""),"G")</f>
        <v>G</v>
      </c>
      <c r="H5656" s="4" t="str">
        <f>IFERROR(__xludf.DUMMYFUNCTION("""COMPUTED_VALUE"""),"MP")</f>
        <v>MP</v>
      </c>
      <c r="I5656" s="4" t="str">
        <f>IFERROR(__xludf.DUMMYFUNCTION("""COMPUTED_VALUE"""),"PTS")</f>
        <v>PTS</v>
      </c>
      <c r="J5656" s="4" t="str">
        <f>IFERROR(__xludf.DUMMYFUNCTION("""COMPUTED_VALUE"""),"TRB")</f>
        <v>TRB</v>
      </c>
      <c r="K5656" s="4" t="str">
        <f>IFERROR(__xludf.DUMMYFUNCTION("""COMPUTED_VALUE"""),"AST")</f>
        <v>AST</v>
      </c>
      <c r="L5656" s="4" t="str">
        <f>IFERROR(__xludf.DUMMYFUNCTION("""COMPUTED_VALUE"""),"FG%")</f>
        <v>FG%</v>
      </c>
      <c r="M5656" s="4" t="str">
        <f>IFERROR(__xludf.DUMMYFUNCTION("""COMPUTED_VALUE"""),"3P%")</f>
        <v>3P%</v>
      </c>
      <c r="N5656" s="4" t="str">
        <f>IFERROR(__xludf.DUMMYFUNCTION("""COMPUTED_VALUE"""),"FT%")</f>
        <v>FT%</v>
      </c>
      <c r="O5656" s="4" t="str">
        <f>IFERROR(__xludf.DUMMYFUNCTION("""COMPUTED_VALUE"""),"MP")</f>
        <v>MP</v>
      </c>
      <c r="P5656" s="4" t="str">
        <f>IFERROR(__xludf.DUMMYFUNCTION("""COMPUTED_VALUE"""),"PTS")</f>
        <v>PTS</v>
      </c>
      <c r="Q5656" s="4" t="str">
        <f>IFERROR(__xludf.DUMMYFUNCTION("""COMPUTED_VALUE"""),"TRB")</f>
        <v>TRB</v>
      </c>
      <c r="R5656" s="4" t="str">
        <f>IFERROR(__xludf.DUMMYFUNCTION("""COMPUTED_VALUE"""),"AST")</f>
        <v>AST</v>
      </c>
      <c r="S5656" s="4" t="str">
        <f>IFERROR(__xludf.DUMMYFUNCTION("""COMPUTED_VALUE"""),"WS")</f>
        <v>WS</v>
      </c>
      <c r="T5656" s="4" t="str">
        <f>IFERROR(__xludf.DUMMYFUNCTION("""COMPUTED_VALUE"""),"WS/48")</f>
        <v>WS/48</v>
      </c>
      <c r="U5656" s="4" t="str">
        <f>IFERROR(__xludf.DUMMYFUNCTION("""COMPUTED_VALUE"""),"BPM")</f>
        <v>BPM</v>
      </c>
      <c r="V5656" s="4" t="str">
        <f>IFERROR(__xludf.DUMMYFUNCTION("""COMPUTED_VALUE"""),"VORP")</f>
        <v>VORP</v>
      </c>
    </row>
    <row r="5657">
      <c r="A5657" s="4">
        <f>IFERROR(__xludf.DUMMYFUNCTION("""COMPUTED_VALUE"""),175.0)</f>
        <v>175</v>
      </c>
      <c r="B5657" s="4">
        <f>IFERROR(__xludf.DUMMYFUNCTION("""COMPUTED_VALUE"""),175.0)</f>
        <v>175</v>
      </c>
      <c r="C5657" s="4" t="str">
        <f>IFERROR(__xludf.DUMMYFUNCTION("""COMPUTED_VALUE"""),"PHI")</f>
        <v>PHI</v>
      </c>
      <c r="D5657" s="4" t="str">
        <f>IFERROR(__xludf.DUMMYFUNCTION("""COMPUTED_VALUE"""),"Connie Warren")</f>
        <v>Connie Warren</v>
      </c>
      <c r="E5657" s="4" t="str">
        <f>IFERROR(__xludf.DUMMYFUNCTION("""COMPUTED_VALUE"""),"Xavier")</f>
        <v>Xavier</v>
      </c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</row>
    <row r="5658">
      <c r="A5658" s="4">
        <f>IFERROR(__xludf.DUMMYFUNCTION("""COMPUTED_VALUE"""),176.0)</f>
        <v>176</v>
      </c>
      <c r="B5658" s="4">
        <f>IFERROR(__xludf.DUMMYFUNCTION("""COMPUTED_VALUE"""),176.0)</f>
        <v>176</v>
      </c>
      <c r="C5658" s="4" t="str">
        <f>IFERROR(__xludf.DUMMYFUNCTION("""COMPUTED_VALUE"""),"BUF")</f>
        <v>BUF</v>
      </c>
      <c r="D5658" s="4" t="str">
        <f>IFERROR(__xludf.DUMMYFUNCTION("""COMPUTED_VALUE"""),"Aaron Covington")</f>
        <v>Aaron Covington</v>
      </c>
      <c r="E5658" s="4" t="str">
        <f>IFERROR(__xludf.DUMMYFUNCTION("""COMPUTED_VALUE"""),"Canisius")</f>
        <v>Canisius</v>
      </c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</row>
    <row r="5659">
      <c r="A5659" s="4">
        <f>IFERROR(__xludf.DUMMYFUNCTION("""COMPUTED_VALUE"""),177.0)</f>
        <v>177</v>
      </c>
      <c r="B5659" s="4">
        <f>IFERROR(__xludf.DUMMYFUNCTION("""COMPUTED_VALUE"""),177.0)</f>
        <v>177</v>
      </c>
      <c r="C5659" s="4" t="str">
        <f>IFERROR(__xludf.DUMMYFUNCTION("""COMPUTED_VALUE"""),"POR")</f>
        <v>POR</v>
      </c>
      <c r="D5659" s="4" t="str">
        <f>IFERROR(__xludf.DUMMYFUNCTION("""COMPUTED_VALUE"""),"Rick Holdt")</f>
        <v>Rick Holdt</v>
      </c>
      <c r="E5659" s="4" t="str">
        <f>IFERROR(__xludf.DUMMYFUNCTION("""COMPUTED_VALUE"""),"NC State")</f>
        <v>NC State</v>
      </c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</row>
    <row r="5660">
      <c r="A5660" s="4">
        <f>IFERROR(__xludf.DUMMYFUNCTION("""COMPUTED_VALUE"""),178.0)</f>
        <v>178</v>
      </c>
      <c r="B5660" s="4">
        <f>IFERROR(__xludf.DUMMYFUNCTION("""COMPUTED_VALUE"""),178.0)</f>
        <v>178</v>
      </c>
      <c r="C5660" s="4" t="str">
        <f>IFERROR(__xludf.DUMMYFUNCTION("""COMPUTED_VALUE"""),"CLE")</f>
        <v>CLE</v>
      </c>
      <c r="D5660" s="4" t="str">
        <f>IFERROR(__xludf.DUMMYFUNCTION("""COMPUTED_VALUE"""),"Chris McMurray")</f>
        <v>Chris McMurray</v>
      </c>
      <c r="E5660" s="4" t="str">
        <f>IFERROR(__xludf.DUMMYFUNCTION("""COMPUTED_VALUE"""),"San Diego State")</f>
        <v>San Diego State</v>
      </c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</row>
    <row r="5661">
      <c r="A5661" s="4">
        <f>IFERROR(__xludf.DUMMYFUNCTION("""COMPUTED_VALUE"""),179.0)</f>
        <v>179</v>
      </c>
      <c r="B5661" s="4">
        <f>IFERROR(__xludf.DUMMYFUNCTION("""COMPUTED_VALUE"""),179.0)</f>
        <v>179</v>
      </c>
      <c r="C5661" s="4" t="str">
        <f>IFERROR(__xludf.DUMMYFUNCTION("""COMPUTED_VALUE"""),"PHO")</f>
        <v>PHO</v>
      </c>
      <c r="D5661" s="4" t="str">
        <f>IFERROR(__xludf.DUMMYFUNCTION("""COMPUTED_VALUE"""),"Laymon Williamson")</f>
        <v>Laymon Williamson</v>
      </c>
      <c r="E5661" s="4" t="str">
        <f>IFERROR(__xludf.DUMMYFUNCTION("""COMPUTED_VALUE"""),"Samford University")</f>
        <v>Samford University</v>
      </c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</row>
    <row r="5662">
      <c r="A5662" s="4">
        <f>IFERROR(__xludf.DUMMYFUNCTION("""COMPUTED_VALUE"""),180.0)</f>
        <v>180</v>
      </c>
      <c r="B5662" s="4">
        <f>IFERROR(__xludf.DUMMYFUNCTION("""COMPUTED_VALUE"""),180.0)</f>
        <v>180</v>
      </c>
      <c r="C5662" s="4" t="str">
        <f>IFERROR(__xludf.DUMMYFUNCTION("""COMPUTED_VALUE"""),"DET")</f>
        <v>DET</v>
      </c>
      <c r="D5662" s="4" t="str">
        <f>IFERROR(__xludf.DUMMYFUNCTION("""COMPUTED_VALUE"""),"Clarence Carlisle")</f>
        <v>Clarence Carlisle</v>
      </c>
      <c r="E5662" s="4" t="str">
        <f>IFERROR(__xludf.DUMMYFUNCTION("""COMPUTED_VALUE"""),"Ferris State University")</f>
        <v>Ferris State University</v>
      </c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</row>
    <row r="5663">
      <c r="A5663" s="4">
        <f>IFERROR(__xludf.DUMMYFUNCTION("""COMPUTED_VALUE"""),181.0)</f>
        <v>181</v>
      </c>
      <c r="B5663" s="4">
        <f>IFERROR(__xludf.DUMMYFUNCTION("""COMPUTED_VALUE"""),181.0)</f>
        <v>181</v>
      </c>
      <c r="C5663" s="4" t="str">
        <f>IFERROR(__xludf.DUMMYFUNCTION("""COMPUTED_VALUE"""),"CAP")</f>
        <v>CAP</v>
      </c>
      <c r="D5663" s="4" t="str">
        <f>IFERROR(__xludf.DUMMYFUNCTION("""COMPUTED_VALUE"""),"Mike Battle")</f>
        <v>Mike Battle</v>
      </c>
      <c r="E5663" s="4" t="str">
        <f>IFERROR(__xludf.DUMMYFUNCTION("""COMPUTED_VALUE"""),"George Washington")</f>
        <v>George Washington</v>
      </c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</row>
    <row r="5664">
      <c r="A5664" s="4">
        <f>IFERROR(__xludf.DUMMYFUNCTION("""COMPUTED_VALUE"""),182.0)</f>
        <v>182</v>
      </c>
      <c r="B5664" s="4">
        <f>IFERROR(__xludf.DUMMYFUNCTION("""COMPUTED_VALUE"""),182.0)</f>
        <v>182</v>
      </c>
      <c r="C5664" s="4" t="str">
        <f>IFERROR(__xludf.DUMMYFUNCTION("""COMPUTED_VALUE"""),"BOS")</f>
        <v>BOS</v>
      </c>
      <c r="D5664" s="4" t="str">
        <f>IFERROR(__xludf.DUMMYFUNCTION("""COMPUTED_VALUE"""),"Bruce Winkler")</f>
        <v>Bruce Winkler</v>
      </c>
      <c r="E5664" s="4" t="str">
        <f>IFERROR(__xludf.DUMMYFUNCTION("""COMPUTED_VALUE"""),"Santa Clara")</f>
        <v>Santa Clara</v>
      </c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</row>
    <row r="5665">
      <c r="A5665" s="4"/>
      <c r="B5665" s="4"/>
      <c r="C5665" s="4"/>
      <c r="D5665" s="4" t="str">
        <f>IFERROR(__xludf.DUMMYFUNCTION("""COMPUTED_VALUE"""),"Round 13")</f>
        <v>Round 13</v>
      </c>
      <c r="E5665" s="4"/>
      <c r="F5665" s="4"/>
      <c r="G5665" s="4" t="str">
        <f>IFERROR(__xludf.DUMMYFUNCTION("""COMPUTED_VALUE"""),"Totals")</f>
        <v>Totals</v>
      </c>
      <c r="H5665" s="4"/>
      <c r="I5665" s="4"/>
      <c r="J5665" s="4"/>
      <c r="K5665" s="4"/>
      <c r="L5665" s="4" t="str">
        <f>IFERROR(__xludf.DUMMYFUNCTION("""COMPUTED_VALUE"""),"Shooting")</f>
        <v>Shooting</v>
      </c>
      <c r="M5665" s="4"/>
      <c r="N5665" s="4"/>
      <c r="O5665" s="4" t="str">
        <f>IFERROR(__xludf.DUMMYFUNCTION("""COMPUTED_VALUE"""),"Per Game")</f>
        <v>Per Game</v>
      </c>
      <c r="P5665" s="4"/>
      <c r="Q5665" s="4"/>
      <c r="R5665" s="4"/>
      <c r="S5665" s="4" t="str">
        <f>IFERROR(__xludf.DUMMYFUNCTION("""COMPUTED_VALUE"""),"Advanced")</f>
        <v>Advanced</v>
      </c>
      <c r="T5665" s="4"/>
      <c r="U5665" s="4"/>
      <c r="V5665" s="4"/>
    </row>
    <row r="5666">
      <c r="A5666" s="4" t="str">
        <f>IFERROR(__xludf.DUMMYFUNCTION("""COMPUTED_VALUE"""),"Rk")</f>
        <v>Rk</v>
      </c>
      <c r="B5666" s="4" t="str">
        <f>IFERROR(__xludf.DUMMYFUNCTION("""COMPUTED_VALUE"""),"Pk")</f>
        <v>Pk</v>
      </c>
      <c r="C5666" s="4" t="str">
        <f>IFERROR(__xludf.DUMMYFUNCTION("""COMPUTED_VALUE"""),"Tm")</f>
        <v>Tm</v>
      </c>
      <c r="D5666" s="4" t="str">
        <f>IFERROR(__xludf.DUMMYFUNCTION("""COMPUTED_VALUE"""),"Player")</f>
        <v>Player</v>
      </c>
      <c r="E5666" s="4" t="str">
        <f>IFERROR(__xludf.DUMMYFUNCTION("""COMPUTED_VALUE"""),"College")</f>
        <v>College</v>
      </c>
      <c r="F5666" s="4" t="str">
        <f>IFERROR(__xludf.DUMMYFUNCTION("""COMPUTED_VALUE"""),"Yrs")</f>
        <v>Yrs</v>
      </c>
      <c r="G5666" s="4" t="str">
        <f>IFERROR(__xludf.DUMMYFUNCTION("""COMPUTED_VALUE"""),"G")</f>
        <v>G</v>
      </c>
      <c r="H5666" s="4" t="str">
        <f>IFERROR(__xludf.DUMMYFUNCTION("""COMPUTED_VALUE"""),"MP")</f>
        <v>MP</v>
      </c>
      <c r="I5666" s="4" t="str">
        <f>IFERROR(__xludf.DUMMYFUNCTION("""COMPUTED_VALUE"""),"PTS")</f>
        <v>PTS</v>
      </c>
      <c r="J5666" s="4" t="str">
        <f>IFERROR(__xludf.DUMMYFUNCTION("""COMPUTED_VALUE"""),"TRB")</f>
        <v>TRB</v>
      </c>
      <c r="K5666" s="4" t="str">
        <f>IFERROR(__xludf.DUMMYFUNCTION("""COMPUTED_VALUE"""),"AST")</f>
        <v>AST</v>
      </c>
      <c r="L5666" s="4" t="str">
        <f>IFERROR(__xludf.DUMMYFUNCTION("""COMPUTED_VALUE"""),"FG%")</f>
        <v>FG%</v>
      </c>
      <c r="M5666" s="4" t="str">
        <f>IFERROR(__xludf.DUMMYFUNCTION("""COMPUTED_VALUE"""),"3P%")</f>
        <v>3P%</v>
      </c>
      <c r="N5666" s="4" t="str">
        <f>IFERROR(__xludf.DUMMYFUNCTION("""COMPUTED_VALUE"""),"FT%")</f>
        <v>FT%</v>
      </c>
      <c r="O5666" s="4" t="str">
        <f>IFERROR(__xludf.DUMMYFUNCTION("""COMPUTED_VALUE"""),"MP")</f>
        <v>MP</v>
      </c>
      <c r="P5666" s="4" t="str">
        <f>IFERROR(__xludf.DUMMYFUNCTION("""COMPUTED_VALUE"""),"PTS")</f>
        <v>PTS</v>
      </c>
      <c r="Q5666" s="4" t="str">
        <f>IFERROR(__xludf.DUMMYFUNCTION("""COMPUTED_VALUE"""),"TRB")</f>
        <v>TRB</v>
      </c>
      <c r="R5666" s="4" t="str">
        <f>IFERROR(__xludf.DUMMYFUNCTION("""COMPUTED_VALUE"""),"AST")</f>
        <v>AST</v>
      </c>
      <c r="S5666" s="4" t="str">
        <f>IFERROR(__xludf.DUMMYFUNCTION("""COMPUTED_VALUE"""),"WS")</f>
        <v>WS</v>
      </c>
      <c r="T5666" s="4" t="str">
        <f>IFERROR(__xludf.DUMMYFUNCTION("""COMPUTED_VALUE"""),"WS/48")</f>
        <v>WS/48</v>
      </c>
      <c r="U5666" s="4" t="str">
        <f>IFERROR(__xludf.DUMMYFUNCTION("""COMPUTED_VALUE"""),"BPM")</f>
        <v>BPM</v>
      </c>
      <c r="V5666" s="4" t="str">
        <f>IFERROR(__xludf.DUMMYFUNCTION("""COMPUTED_VALUE"""),"VORP")</f>
        <v>VORP</v>
      </c>
    </row>
    <row r="5667">
      <c r="A5667" s="4">
        <f>IFERROR(__xludf.DUMMYFUNCTION("""COMPUTED_VALUE"""),183.0)</f>
        <v>183</v>
      </c>
      <c r="B5667" s="4">
        <f>IFERROR(__xludf.DUMMYFUNCTION("""COMPUTED_VALUE"""),183.0)</f>
        <v>183</v>
      </c>
      <c r="C5667" s="4" t="str">
        <f>IFERROR(__xludf.DUMMYFUNCTION("""COMPUTED_VALUE"""),"PHI")</f>
        <v>PHI</v>
      </c>
      <c r="D5667" s="4" t="str">
        <f>IFERROR(__xludf.DUMMYFUNCTION("""COMPUTED_VALUE"""),"Jim Crawford")</f>
        <v>Jim Crawford</v>
      </c>
      <c r="E5667" s="4" t="str">
        <f>IFERROR(__xludf.DUMMYFUNCTION("""COMPUTED_VALUE"""),"La Salle")</f>
        <v>La Salle</v>
      </c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</row>
    <row r="5668">
      <c r="A5668" s="4">
        <f>IFERROR(__xludf.DUMMYFUNCTION("""COMPUTED_VALUE"""),184.0)</f>
        <v>184</v>
      </c>
      <c r="B5668" s="4">
        <f>IFERROR(__xludf.DUMMYFUNCTION("""COMPUTED_VALUE"""),184.0)</f>
        <v>184</v>
      </c>
      <c r="C5668" s="4" t="str">
        <f>IFERROR(__xludf.DUMMYFUNCTION("""COMPUTED_VALUE"""),"BUF")</f>
        <v>BUF</v>
      </c>
      <c r="D5668" s="4" t="str">
        <f>IFERROR(__xludf.DUMMYFUNCTION("""COMPUTED_VALUE"""),"Bob Vartanian")</f>
        <v>Bob Vartanian</v>
      </c>
      <c r="E5668" s="4" t="str">
        <f>IFERROR(__xludf.DUMMYFUNCTION("""COMPUTED_VALUE"""),"Buffalo")</f>
        <v>Buffalo</v>
      </c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</row>
    <row r="5669">
      <c r="A5669" s="4">
        <f>IFERROR(__xludf.DUMMYFUNCTION("""COMPUTED_VALUE"""),185.0)</f>
        <v>185</v>
      </c>
      <c r="B5669" s="4">
        <f>IFERROR(__xludf.DUMMYFUNCTION("""COMPUTED_VALUE"""),185.0)</f>
        <v>185</v>
      </c>
      <c r="C5669" s="4" t="str">
        <f>IFERROR(__xludf.DUMMYFUNCTION("""COMPUTED_VALUE"""),"CLE")</f>
        <v>CLE</v>
      </c>
      <c r="D5669" s="4" t="str">
        <f>IFERROR(__xludf.DUMMYFUNCTION("""COMPUTED_VALUE"""),"John Penebacker")</f>
        <v>John Penebacker</v>
      </c>
      <c r="E5669" s="4" t="str">
        <f>IFERROR(__xludf.DUMMYFUNCTION("""COMPUTED_VALUE"""),"Hawaii")</f>
        <v>Hawaii</v>
      </c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</row>
    <row r="5670">
      <c r="A5670" s="4">
        <f>IFERROR(__xludf.DUMMYFUNCTION("""COMPUTED_VALUE"""),186.0)</f>
        <v>186</v>
      </c>
      <c r="B5670" s="4">
        <f>IFERROR(__xludf.DUMMYFUNCTION("""COMPUTED_VALUE"""),186.0)</f>
        <v>186</v>
      </c>
      <c r="C5670" s="4" t="str">
        <f>IFERROR(__xludf.DUMMYFUNCTION("""COMPUTED_VALUE"""),"PHO")</f>
        <v>PHO</v>
      </c>
      <c r="D5670" s="4" t="str">
        <f>IFERROR(__xludf.DUMMYFUNCTION("""COMPUTED_VALUE"""),"Kalevi Sarkalahti")</f>
        <v>Kalevi Sarkalahti</v>
      </c>
      <c r="E5670" s="4" t="str">
        <f>IFERROR(__xludf.DUMMYFUNCTION("""COMPUTED_VALUE"""),"BYU")</f>
        <v>BYU</v>
      </c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</row>
    <row r="5671">
      <c r="A5671" s="4">
        <f>IFERROR(__xludf.DUMMYFUNCTION("""COMPUTED_VALUE"""),187.0)</f>
        <v>187</v>
      </c>
      <c r="B5671" s="4">
        <f>IFERROR(__xludf.DUMMYFUNCTION("""COMPUTED_VALUE"""),187.0)</f>
        <v>187</v>
      </c>
      <c r="C5671" s="4" t="str">
        <f>IFERROR(__xludf.DUMMYFUNCTION("""COMPUTED_VALUE"""),"CAP")</f>
        <v>CAP</v>
      </c>
      <c r="D5671" s="4" t="str">
        <f>IFERROR(__xludf.DUMMYFUNCTION("""COMPUTED_VALUE"""),"Chet Davis")</f>
        <v>Chet Davis</v>
      </c>
      <c r="E5671" s="4" t="str">
        <f>IFERROR(__xludf.DUMMYFUNCTION("""COMPUTED_VALUE"""),"Morgan State University")</f>
        <v>Morgan State University</v>
      </c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</row>
    <row r="5672">
      <c r="A5672" s="4">
        <f>IFERROR(__xludf.DUMMYFUNCTION("""COMPUTED_VALUE"""),188.0)</f>
        <v>188</v>
      </c>
      <c r="B5672" s="4">
        <f>IFERROR(__xludf.DUMMYFUNCTION("""COMPUTED_VALUE"""),188.0)</f>
        <v>188</v>
      </c>
      <c r="C5672" s="4" t="str">
        <f>IFERROR(__xludf.DUMMYFUNCTION("""COMPUTED_VALUE"""),"BOS")</f>
        <v>BOS</v>
      </c>
      <c r="D5672" s="4" t="str">
        <f>IFERROR(__xludf.DUMMYFUNCTION("""COMPUTED_VALUE"""),"Scott Koelzer")</f>
        <v>Scott Koelzer</v>
      </c>
      <c r="E5672" s="4" t="str">
        <f>IFERROR(__xludf.DUMMYFUNCTION("""COMPUTED_VALUE"""),"Montana State")</f>
        <v>Montana State</v>
      </c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</row>
    <row r="5673">
      <c r="A5673" s="4"/>
      <c r="B5673" s="4"/>
      <c r="C5673" s="4"/>
      <c r="D5673" s="4" t="str">
        <f>IFERROR(__xludf.DUMMYFUNCTION("""COMPUTED_VALUE"""),"Round 14")</f>
        <v>Round 14</v>
      </c>
      <c r="E5673" s="4"/>
      <c r="F5673" s="4"/>
      <c r="G5673" s="4" t="str">
        <f>IFERROR(__xludf.DUMMYFUNCTION("""COMPUTED_VALUE"""),"Totals")</f>
        <v>Totals</v>
      </c>
      <c r="H5673" s="4"/>
      <c r="I5673" s="4"/>
      <c r="J5673" s="4"/>
      <c r="K5673" s="4"/>
      <c r="L5673" s="4" t="str">
        <f>IFERROR(__xludf.DUMMYFUNCTION("""COMPUTED_VALUE"""),"Shooting")</f>
        <v>Shooting</v>
      </c>
      <c r="M5673" s="4"/>
      <c r="N5673" s="4"/>
      <c r="O5673" s="4" t="str">
        <f>IFERROR(__xludf.DUMMYFUNCTION("""COMPUTED_VALUE"""),"Per Game")</f>
        <v>Per Game</v>
      </c>
      <c r="P5673" s="4"/>
      <c r="Q5673" s="4"/>
      <c r="R5673" s="4"/>
      <c r="S5673" s="4" t="str">
        <f>IFERROR(__xludf.DUMMYFUNCTION("""COMPUTED_VALUE"""),"Advanced")</f>
        <v>Advanced</v>
      </c>
      <c r="T5673" s="4"/>
      <c r="U5673" s="4"/>
      <c r="V5673" s="4"/>
    </row>
    <row r="5674">
      <c r="A5674" s="4" t="str">
        <f>IFERROR(__xludf.DUMMYFUNCTION("""COMPUTED_VALUE"""),"Rk")</f>
        <v>Rk</v>
      </c>
      <c r="B5674" s="4" t="str">
        <f>IFERROR(__xludf.DUMMYFUNCTION("""COMPUTED_VALUE"""),"Pk")</f>
        <v>Pk</v>
      </c>
      <c r="C5674" s="4" t="str">
        <f>IFERROR(__xludf.DUMMYFUNCTION("""COMPUTED_VALUE"""),"Tm")</f>
        <v>Tm</v>
      </c>
      <c r="D5674" s="4" t="str">
        <f>IFERROR(__xludf.DUMMYFUNCTION("""COMPUTED_VALUE"""),"Player")</f>
        <v>Player</v>
      </c>
      <c r="E5674" s="4" t="str">
        <f>IFERROR(__xludf.DUMMYFUNCTION("""COMPUTED_VALUE"""),"College")</f>
        <v>College</v>
      </c>
      <c r="F5674" s="4" t="str">
        <f>IFERROR(__xludf.DUMMYFUNCTION("""COMPUTED_VALUE"""),"Yrs")</f>
        <v>Yrs</v>
      </c>
      <c r="G5674" s="4" t="str">
        <f>IFERROR(__xludf.DUMMYFUNCTION("""COMPUTED_VALUE"""),"G")</f>
        <v>G</v>
      </c>
      <c r="H5674" s="4" t="str">
        <f>IFERROR(__xludf.DUMMYFUNCTION("""COMPUTED_VALUE"""),"MP")</f>
        <v>MP</v>
      </c>
      <c r="I5674" s="4" t="str">
        <f>IFERROR(__xludf.DUMMYFUNCTION("""COMPUTED_VALUE"""),"PTS")</f>
        <v>PTS</v>
      </c>
      <c r="J5674" s="4" t="str">
        <f>IFERROR(__xludf.DUMMYFUNCTION("""COMPUTED_VALUE"""),"TRB")</f>
        <v>TRB</v>
      </c>
      <c r="K5674" s="4" t="str">
        <f>IFERROR(__xludf.DUMMYFUNCTION("""COMPUTED_VALUE"""),"AST")</f>
        <v>AST</v>
      </c>
      <c r="L5674" s="4" t="str">
        <f>IFERROR(__xludf.DUMMYFUNCTION("""COMPUTED_VALUE"""),"FG%")</f>
        <v>FG%</v>
      </c>
      <c r="M5674" s="4" t="str">
        <f>IFERROR(__xludf.DUMMYFUNCTION("""COMPUTED_VALUE"""),"3P%")</f>
        <v>3P%</v>
      </c>
      <c r="N5674" s="4" t="str">
        <f>IFERROR(__xludf.DUMMYFUNCTION("""COMPUTED_VALUE"""),"FT%")</f>
        <v>FT%</v>
      </c>
      <c r="O5674" s="4" t="str">
        <f>IFERROR(__xludf.DUMMYFUNCTION("""COMPUTED_VALUE"""),"MP")</f>
        <v>MP</v>
      </c>
      <c r="P5674" s="4" t="str">
        <f>IFERROR(__xludf.DUMMYFUNCTION("""COMPUTED_VALUE"""),"PTS")</f>
        <v>PTS</v>
      </c>
      <c r="Q5674" s="4" t="str">
        <f>IFERROR(__xludf.DUMMYFUNCTION("""COMPUTED_VALUE"""),"TRB")</f>
        <v>TRB</v>
      </c>
      <c r="R5674" s="4" t="str">
        <f>IFERROR(__xludf.DUMMYFUNCTION("""COMPUTED_VALUE"""),"AST")</f>
        <v>AST</v>
      </c>
      <c r="S5674" s="4" t="str">
        <f>IFERROR(__xludf.DUMMYFUNCTION("""COMPUTED_VALUE"""),"WS")</f>
        <v>WS</v>
      </c>
      <c r="T5674" s="4" t="str">
        <f>IFERROR(__xludf.DUMMYFUNCTION("""COMPUTED_VALUE"""),"WS/48")</f>
        <v>WS/48</v>
      </c>
      <c r="U5674" s="4" t="str">
        <f>IFERROR(__xludf.DUMMYFUNCTION("""COMPUTED_VALUE"""),"BPM")</f>
        <v>BPM</v>
      </c>
      <c r="V5674" s="4" t="str">
        <f>IFERROR(__xludf.DUMMYFUNCTION("""COMPUTED_VALUE"""),"VORP")</f>
        <v>VORP</v>
      </c>
    </row>
    <row r="5675">
      <c r="A5675" s="4">
        <f>IFERROR(__xludf.DUMMYFUNCTION("""COMPUTED_VALUE"""),189.0)</f>
        <v>189</v>
      </c>
      <c r="B5675" s="4">
        <f>IFERROR(__xludf.DUMMYFUNCTION("""COMPUTED_VALUE"""),189.0)</f>
        <v>189</v>
      </c>
      <c r="C5675" s="4" t="str">
        <f>IFERROR(__xludf.DUMMYFUNCTION("""COMPUTED_VALUE"""),"PHI")</f>
        <v>PHI</v>
      </c>
      <c r="D5675" s="4" t="str">
        <f>IFERROR(__xludf.DUMMYFUNCTION("""COMPUTED_VALUE"""),"Ernie Johnson")</f>
        <v>Ernie Johnson</v>
      </c>
      <c r="E5675" s="4" t="str">
        <f>IFERROR(__xludf.DUMMYFUNCTION("""COMPUTED_VALUE"""),"Michigan")</f>
        <v>Michigan</v>
      </c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</row>
    <row r="5676">
      <c r="A5676" s="4">
        <f>IFERROR(__xludf.DUMMYFUNCTION("""COMPUTED_VALUE"""),190.0)</f>
        <v>190</v>
      </c>
      <c r="B5676" s="4">
        <f>IFERROR(__xludf.DUMMYFUNCTION("""COMPUTED_VALUE"""),190.0)</f>
        <v>190</v>
      </c>
      <c r="C5676" s="4" t="str">
        <f>IFERROR(__xludf.DUMMYFUNCTION("""COMPUTED_VALUE"""),"BUF")</f>
        <v>BUF</v>
      </c>
      <c r="D5676" s="4" t="str">
        <f>IFERROR(__xludf.DUMMYFUNCTION("""COMPUTED_VALUE"""),"Ron Gilliam")</f>
        <v>Ron Gilliam</v>
      </c>
      <c r="E5676" s="4" t="str">
        <f>IFERROR(__xludf.DUMMYFUNCTION("""COMPUTED_VALUE"""),"State University of New York at Brockport")</f>
        <v>State University of New York at Brockport</v>
      </c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</row>
    <row r="5677">
      <c r="A5677" s="4">
        <f>IFERROR(__xludf.DUMMYFUNCTION("""COMPUTED_VALUE"""),191.0)</f>
        <v>191</v>
      </c>
      <c r="B5677" s="4">
        <f>IFERROR(__xludf.DUMMYFUNCTION("""COMPUTED_VALUE"""),191.0)</f>
        <v>191</v>
      </c>
      <c r="C5677" s="4" t="str">
        <f>IFERROR(__xludf.DUMMYFUNCTION("""COMPUTED_VALUE"""),"CLE")</f>
        <v>CLE</v>
      </c>
      <c r="D5677" s="4" t="str">
        <f>IFERROR(__xludf.DUMMYFUNCTION("""COMPUTED_VALUE"""),"Charles Mitchell")</f>
        <v>Charles Mitchell</v>
      </c>
      <c r="E5677" s="4" t="str">
        <f>IFERROR(__xludf.DUMMYFUNCTION("""COMPUTED_VALUE"""),"Eastern Kentucky University")</f>
        <v>Eastern Kentucky University</v>
      </c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</row>
    <row r="5678">
      <c r="A5678" s="4">
        <f>IFERROR(__xludf.DUMMYFUNCTION("""COMPUTED_VALUE"""),192.0)</f>
        <v>192</v>
      </c>
      <c r="B5678" s="4">
        <f>IFERROR(__xludf.DUMMYFUNCTION("""COMPUTED_VALUE"""),192.0)</f>
        <v>192</v>
      </c>
      <c r="C5678" s="4" t="str">
        <f>IFERROR(__xludf.DUMMYFUNCTION("""COMPUTED_VALUE"""),"CAP")</f>
        <v>CAP</v>
      </c>
      <c r="D5678" s="4" t="str">
        <f>IFERROR(__xludf.DUMMYFUNCTION("""COMPUTED_VALUE"""),"Howard White")</f>
        <v>Howard White</v>
      </c>
      <c r="E5678" s="4" t="str">
        <f>IFERROR(__xludf.DUMMYFUNCTION("""COMPUTED_VALUE"""),"Maryland")</f>
        <v>Maryland</v>
      </c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</row>
    <row r="5679">
      <c r="A5679" s="4">
        <f>IFERROR(__xludf.DUMMYFUNCTION("""COMPUTED_VALUE"""),193.0)</f>
        <v>193</v>
      </c>
      <c r="B5679" s="4">
        <f>IFERROR(__xludf.DUMMYFUNCTION("""COMPUTED_VALUE"""),193.0)</f>
        <v>193</v>
      </c>
      <c r="C5679" s="4" t="str">
        <f>IFERROR(__xludf.DUMMYFUNCTION("""COMPUTED_VALUE"""),"BOS")</f>
        <v>BOS</v>
      </c>
      <c r="D5679" s="4" t="str">
        <f>IFERROR(__xludf.DUMMYFUNCTION("""COMPUTED_VALUE"""),"Rick Williams")</f>
        <v>Rick Williams</v>
      </c>
      <c r="E5679" s="4" t="str">
        <f>IFERROR(__xludf.DUMMYFUNCTION("""COMPUTED_VALUE"""),"Iowa")</f>
        <v>Iowa</v>
      </c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</row>
    <row r="5680">
      <c r="A5680" s="4"/>
      <c r="B5680" s="4"/>
      <c r="C5680" s="4"/>
      <c r="D5680" s="4" t="str">
        <f>IFERROR(__xludf.DUMMYFUNCTION("""COMPUTED_VALUE"""),"Round 15")</f>
        <v>Round 15</v>
      </c>
      <c r="E5680" s="4"/>
      <c r="F5680" s="4"/>
      <c r="G5680" s="4" t="str">
        <f>IFERROR(__xludf.DUMMYFUNCTION("""COMPUTED_VALUE"""),"Totals")</f>
        <v>Totals</v>
      </c>
      <c r="H5680" s="4"/>
      <c r="I5680" s="4"/>
      <c r="J5680" s="4"/>
      <c r="K5680" s="4"/>
      <c r="L5680" s="4" t="str">
        <f>IFERROR(__xludf.DUMMYFUNCTION("""COMPUTED_VALUE"""),"Shooting")</f>
        <v>Shooting</v>
      </c>
      <c r="M5680" s="4"/>
      <c r="N5680" s="4"/>
      <c r="O5680" s="4" t="str">
        <f>IFERROR(__xludf.DUMMYFUNCTION("""COMPUTED_VALUE"""),"Per Game")</f>
        <v>Per Game</v>
      </c>
      <c r="P5680" s="4"/>
      <c r="Q5680" s="4"/>
      <c r="R5680" s="4"/>
      <c r="S5680" s="4" t="str">
        <f>IFERROR(__xludf.DUMMYFUNCTION("""COMPUTED_VALUE"""),"Advanced")</f>
        <v>Advanced</v>
      </c>
      <c r="T5680" s="4"/>
      <c r="U5680" s="4"/>
      <c r="V5680" s="4"/>
    </row>
    <row r="5681">
      <c r="A5681" s="4" t="str">
        <f>IFERROR(__xludf.DUMMYFUNCTION("""COMPUTED_VALUE"""),"Rk")</f>
        <v>Rk</v>
      </c>
      <c r="B5681" s="4" t="str">
        <f>IFERROR(__xludf.DUMMYFUNCTION("""COMPUTED_VALUE"""),"Pk")</f>
        <v>Pk</v>
      </c>
      <c r="C5681" s="4" t="str">
        <f>IFERROR(__xludf.DUMMYFUNCTION("""COMPUTED_VALUE"""),"Tm")</f>
        <v>Tm</v>
      </c>
      <c r="D5681" s="4" t="str">
        <f>IFERROR(__xludf.DUMMYFUNCTION("""COMPUTED_VALUE"""),"Player")</f>
        <v>Player</v>
      </c>
      <c r="E5681" s="4" t="str">
        <f>IFERROR(__xludf.DUMMYFUNCTION("""COMPUTED_VALUE"""),"College")</f>
        <v>College</v>
      </c>
      <c r="F5681" s="4" t="str">
        <f>IFERROR(__xludf.DUMMYFUNCTION("""COMPUTED_VALUE"""),"Yrs")</f>
        <v>Yrs</v>
      </c>
      <c r="G5681" s="4" t="str">
        <f>IFERROR(__xludf.DUMMYFUNCTION("""COMPUTED_VALUE"""),"G")</f>
        <v>G</v>
      </c>
      <c r="H5681" s="4" t="str">
        <f>IFERROR(__xludf.DUMMYFUNCTION("""COMPUTED_VALUE"""),"MP")</f>
        <v>MP</v>
      </c>
      <c r="I5681" s="4" t="str">
        <f>IFERROR(__xludf.DUMMYFUNCTION("""COMPUTED_VALUE"""),"PTS")</f>
        <v>PTS</v>
      </c>
      <c r="J5681" s="4" t="str">
        <f>IFERROR(__xludf.DUMMYFUNCTION("""COMPUTED_VALUE"""),"TRB")</f>
        <v>TRB</v>
      </c>
      <c r="K5681" s="4" t="str">
        <f>IFERROR(__xludf.DUMMYFUNCTION("""COMPUTED_VALUE"""),"AST")</f>
        <v>AST</v>
      </c>
      <c r="L5681" s="4" t="str">
        <f>IFERROR(__xludf.DUMMYFUNCTION("""COMPUTED_VALUE"""),"FG%")</f>
        <v>FG%</v>
      </c>
      <c r="M5681" s="4" t="str">
        <f>IFERROR(__xludf.DUMMYFUNCTION("""COMPUTED_VALUE"""),"3P%")</f>
        <v>3P%</v>
      </c>
      <c r="N5681" s="4" t="str">
        <f>IFERROR(__xludf.DUMMYFUNCTION("""COMPUTED_VALUE"""),"FT%")</f>
        <v>FT%</v>
      </c>
      <c r="O5681" s="4" t="str">
        <f>IFERROR(__xludf.DUMMYFUNCTION("""COMPUTED_VALUE"""),"MP")</f>
        <v>MP</v>
      </c>
      <c r="P5681" s="4" t="str">
        <f>IFERROR(__xludf.DUMMYFUNCTION("""COMPUTED_VALUE"""),"PTS")</f>
        <v>PTS</v>
      </c>
      <c r="Q5681" s="4" t="str">
        <f>IFERROR(__xludf.DUMMYFUNCTION("""COMPUTED_VALUE"""),"TRB")</f>
        <v>TRB</v>
      </c>
      <c r="R5681" s="4" t="str">
        <f>IFERROR(__xludf.DUMMYFUNCTION("""COMPUTED_VALUE"""),"AST")</f>
        <v>AST</v>
      </c>
      <c r="S5681" s="4" t="str">
        <f>IFERROR(__xludf.DUMMYFUNCTION("""COMPUTED_VALUE"""),"WS")</f>
        <v>WS</v>
      </c>
      <c r="T5681" s="4" t="str">
        <f>IFERROR(__xludf.DUMMYFUNCTION("""COMPUTED_VALUE"""),"WS/48")</f>
        <v>WS/48</v>
      </c>
      <c r="U5681" s="4" t="str">
        <f>IFERROR(__xludf.DUMMYFUNCTION("""COMPUTED_VALUE"""),"BPM")</f>
        <v>BPM</v>
      </c>
      <c r="V5681" s="4" t="str">
        <f>IFERROR(__xludf.DUMMYFUNCTION("""COMPUTED_VALUE"""),"VORP")</f>
        <v>VORP</v>
      </c>
    </row>
    <row r="5682">
      <c r="A5682" s="4">
        <f>IFERROR(__xludf.DUMMYFUNCTION("""COMPUTED_VALUE"""),194.0)</f>
        <v>194</v>
      </c>
      <c r="B5682" s="4">
        <f>IFERROR(__xludf.DUMMYFUNCTION("""COMPUTED_VALUE"""),194.0)</f>
        <v>194</v>
      </c>
      <c r="C5682" s="4" t="str">
        <f>IFERROR(__xludf.DUMMYFUNCTION("""COMPUTED_VALUE"""),"PHI")</f>
        <v>PHI</v>
      </c>
      <c r="D5682" s="4" t="str">
        <f>IFERROR(__xludf.DUMMYFUNCTION("""COMPUTED_VALUE"""),"Lionel Harris")</f>
        <v>Lionel Harris</v>
      </c>
      <c r="E5682" s="4" t="str">
        <f>IFERROR(__xludf.DUMMYFUNCTION("""COMPUTED_VALUE"""),"Cincinnati")</f>
        <v>Cincinnati</v>
      </c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</row>
    <row r="5683">
      <c r="A5683" s="4">
        <f>IFERROR(__xludf.DUMMYFUNCTION("""COMPUTED_VALUE"""),195.0)</f>
        <v>195</v>
      </c>
      <c r="B5683" s="4">
        <f>IFERROR(__xludf.DUMMYFUNCTION("""COMPUTED_VALUE"""),195.0)</f>
        <v>195</v>
      </c>
      <c r="C5683" s="4" t="str">
        <f>IFERROR(__xludf.DUMMYFUNCTION("""COMPUTED_VALUE"""),"BUF")</f>
        <v>BUF</v>
      </c>
      <c r="D5683" s="4" t="str">
        <f>IFERROR(__xludf.DUMMYFUNCTION("""COMPUTED_VALUE"""),"John Fraley")</f>
        <v>John Fraley</v>
      </c>
      <c r="E5683" s="4" t="str">
        <f>IFERROR(__xludf.DUMMYFUNCTION("""COMPUTED_VALUE"""),"Georgia")</f>
        <v>Georgia</v>
      </c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</row>
    <row r="5684">
      <c r="A5684" s="4">
        <f>IFERROR(__xludf.DUMMYFUNCTION("""COMPUTED_VALUE"""),196.0)</f>
        <v>196</v>
      </c>
      <c r="B5684" s="4">
        <f>IFERROR(__xludf.DUMMYFUNCTION("""COMPUTED_VALUE"""),196.0)</f>
        <v>196</v>
      </c>
      <c r="C5684" s="4" t="str">
        <f>IFERROR(__xludf.DUMMYFUNCTION("""COMPUTED_VALUE"""),"CLE")</f>
        <v>CLE</v>
      </c>
      <c r="D5684" s="4" t="str">
        <f>IFERROR(__xludf.DUMMYFUNCTION("""COMPUTED_VALUE"""),"Reese Stovall")</f>
        <v>Reese Stovall</v>
      </c>
      <c r="E5684" s="4" t="str">
        <f>IFERROR(__xludf.DUMMYFUNCTION("""COMPUTED_VALUE"""),"University of Texas Rio Grande Valley")</f>
        <v>University of Texas Rio Grande Valley</v>
      </c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</row>
    <row r="5685">
      <c r="A5685" s="4">
        <f>IFERROR(__xludf.DUMMYFUNCTION("""COMPUTED_VALUE"""),197.0)</f>
        <v>197</v>
      </c>
      <c r="B5685" s="4">
        <f>IFERROR(__xludf.DUMMYFUNCTION("""COMPUTED_VALUE"""),197.0)</f>
        <v>197</v>
      </c>
      <c r="C5685" s="4" t="str">
        <f>IFERROR(__xludf.DUMMYFUNCTION("""COMPUTED_VALUE"""),"CAP")</f>
        <v>CAP</v>
      </c>
      <c r="D5685" s="4" t="str">
        <f>IFERROR(__xludf.DUMMYFUNCTION("""COMPUTED_VALUE"""),"Shorty Simmons")</f>
        <v>Shorty Simmons</v>
      </c>
      <c r="E5685" s="4" t="str">
        <f>IFERROR(__xludf.DUMMYFUNCTION("""COMPUTED_VALUE"""),"St. Mary's College of Maryland")</f>
        <v>St. Mary's College of Maryland</v>
      </c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</row>
    <row r="5686">
      <c r="A5686" s="4">
        <f>IFERROR(__xludf.DUMMYFUNCTION("""COMPUTED_VALUE"""),198.0)</f>
        <v>198</v>
      </c>
      <c r="B5686" s="4">
        <f>IFERROR(__xludf.DUMMYFUNCTION("""COMPUTED_VALUE"""),198.0)</f>
        <v>198</v>
      </c>
      <c r="C5686" s="4" t="str">
        <f>IFERROR(__xludf.DUMMYFUNCTION("""COMPUTED_VALUE"""),"BOS")</f>
        <v>BOS</v>
      </c>
      <c r="D5686" s="4" t="str">
        <f>IFERROR(__xludf.DUMMYFUNCTION("""COMPUTED_VALUE"""),"James Gilchrist")</f>
        <v>James Gilchrist</v>
      </c>
      <c r="E5686" s="4" t="str">
        <f>IFERROR(__xludf.DUMMYFUNCTION("""COMPUTED_VALUE"""),"Florida Southern College")</f>
        <v>Florida Southern College</v>
      </c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</row>
    <row r="5687">
      <c r="A5687" s="4"/>
      <c r="B5687" s="4"/>
      <c r="C5687" s="4"/>
      <c r="D5687" s="4" t="str">
        <f>IFERROR(__xludf.DUMMYFUNCTION("""COMPUTED_VALUE"""),"Round 16")</f>
        <v>Round 16</v>
      </c>
      <c r="E5687" s="4"/>
      <c r="F5687" s="4"/>
      <c r="G5687" s="4" t="str">
        <f>IFERROR(__xludf.DUMMYFUNCTION("""COMPUTED_VALUE"""),"Totals")</f>
        <v>Totals</v>
      </c>
      <c r="H5687" s="4"/>
      <c r="I5687" s="4"/>
      <c r="J5687" s="4"/>
      <c r="K5687" s="4"/>
      <c r="L5687" s="4" t="str">
        <f>IFERROR(__xludf.DUMMYFUNCTION("""COMPUTED_VALUE"""),"Shooting")</f>
        <v>Shooting</v>
      </c>
      <c r="M5687" s="4"/>
      <c r="N5687" s="4"/>
      <c r="O5687" s="4" t="str">
        <f>IFERROR(__xludf.DUMMYFUNCTION("""COMPUTED_VALUE"""),"Per Game")</f>
        <v>Per Game</v>
      </c>
      <c r="P5687" s="4"/>
      <c r="Q5687" s="4"/>
      <c r="R5687" s="4"/>
      <c r="S5687" s="4" t="str">
        <f>IFERROR(__xludf.DUMMYFUNCTION("""COMPUTED_VALUE"""),"Advanced")</f>
        <v>Advanced</v>
      </c>
      <c r="T5687" s="4"/>
      <c r="U5687" s="4"/>
      <c r="V5687" s="4"/>
    </row>
    <row r="5688">
      <c r="A5688" s="4" t="str">
        <f>IFERROR(__xludf.DUMMYFUNCTION("""COMPUTED_VALUE"""),"Rk")</f>
        <v>Rk</v>
      </c>
      <c r="B5688" s="4" t="str">
        <f>IFERROR(__xludf.DUMMYFUNCTION("""COMPUTED_VALUE"""),"Pk")</f>
        <v>Pk</v>
      </c>
      <c r="C5688" s="4" t="str">
        <f>IFERROR(__xludf.DUMMYFUNCTION("""COMPUTED_VALUE"""),"Tm")</f>
        <v>Tm</v>
      </c>
      <c r="D5688" s="4" t="str">
        <f>IFERROR(__xludf.DUMMYFUNCTION("""COMPUTED_VALUE"""),"Player")</f>
        <v>Player</v>
      </c>
      <c r="E5688" s="4" t="str">
        <f>IFERROR(__xludf.DUMMYFUNCTION("""COMPUTED_VALUE"""),"College")</f>
        <v>College</v>
      </c>
      <c r="F5688" s="4" t="str">
        <f>IFERROR(__xludf.DUMMYFUNCTION("""COMPUTED_VALUE"""),"Yrs")</f>
        <v>Yrs</v>
      </c>
      <c r="G5688" s="4" t="str">
        <f>IFERROR(__xludf.DUMMYFUNCTION("""COMPUTED_VALUE"""),"G")</f>
        <v>G</v>
      </c>
      <c r="H5688" s="4" t="str">
        <f>IFERROR(__xludf.DUMMYFUNCTION("""COMPUTED_VALUE"""),"MP")</f>
        <v>MP</v>
      </c>
      <c r="I5688" s="4" t="str">
        <f>IFERROR(__xludf.DUMMYFUNCTION("""COMPUTED_VALUE"""),"PTS")</f>
        <v>PTS</v>
      </c>
      <c r="J5688" s="4" t="str">
        <f>IFERROR(__xludf.DUMMYFUNCTION("""COMPUTED_VALUE"""),"TRB")</f>
        <v>TRB</v>
      </c>
      <c r="K5688" s="4" t="str">
        <f>IFERROR(__xludf.DUMMYFUNCTION("""COMPUTED_VALUE"""),"AST")</f>
        <v>AST</v>
      </c>
      <c r="L5688" s="4" t="str">
        <f>IFERROR(__xludf.DUMMYFUNCTION("""COMPUTED_VALUE"""),"FG%")</f>
        <v>FG%</v>
      </c>
      <c r="M5688" s="4" t="str">
        <f>IFERROR(__xludf.DUMMYFUNCTION("""COMPUTED_VALUE"""),"3P%")</f>
        <v>3P%</v>
      </c>
      <c r="N5688" s="4" t="str">
        <f>IFERROR(__xludf.DUMMYFUNCTION("""COMPUTED_VALUE"""),"FT%")</f>
        <v>FT%</v>
      </c>
      <c r="O5688" s="4" t="str">
        <f>IFERROR(__xludf.DUMMYFUNCTION("""COMPUTED_VALUE"""),"MP")</f>
        <v>MP</v>
      </c>
      <c r="P5688" s="4" t="str">
        <f>IFERROR(__xludf.DUMMYFUNCTION("""COMPUTED_VALUE"""),"PTS")</f>
        <v>PTS</v>
      </c>
      <c r="Q5688" s="4" t="str">
        <f>IFERROR(__xludf.DUMMYFUNCTION("""COMPUTED_VALUE"""),"TRB")</f>
        <v>TRB</v>
      </c>
      <c r="R5688" s="4" t="str">
        <f>IFERROR(__xludf.DUMMYFUNCTION("""COMPUTED_VALUE"""),"AST")</f>
        <v>AST</v>
      </c>
      <c r="S5688" s="4" t="str">
        <f>IFERROR(__xludf.DUMMYFUNCTION("""COMPUTED_VALUE"""),"WS")</f>
        <v>WS</v>
      </c>
      <c r="T5688" s="4" t="str">
        <f>IFERROR(__xludf.DUMMYFUNCTION("""COMPUTED_VALUE"""),"WS/48")</f>
        <v>WS/48</v>
      </c>
      <c r="U5688" s="4" t="str">
        <f>IFERROR(__xludf.DUMMYFUNCTION("""COMPUTED_VALUE"""),"BPM")</f>
        <v>BPM</v>
      </c>
      <c r="V5688" s="4" t="str">
        <f>IFERROR(__xludf.DUMMYFUNCTION("""COMPUTED_VALUE"""),"VORP")</f>
        <v>VORP</v>
      </c>
    </row>
    <row r="5689">
      <c r="A5689" s="4">
        <f>IFERROR(__xludf.DUMMYFUNCTION("""COMPUTED_VALUE"""),199.0)</f>
        <v>199</v>
      </c>
      <c r="B5689" s="4">
        <f>IFERROR(__xludf.DUMMYFUNCTION("""COMPUTED_VALUE"""),199.0)</f>
        <v>199</v>
      </c>
      <c r="C5689" s="4" t="str">
        <f>IFERROR(__xludf.DUMMYFUNCTION("""COMPUTED_VALUE"""),"PHI")</f>
        <v>PHI</v>
      </c>
      <c r="D5689" s="4" t="str">
        <f>IFERROR(__xludf.DUMMYFUNCTION("""COMPUTED_VALUE"""),"Larry Robinson")</f>
        <v>Larry Robinson</v>
      </c>
      <c r="E5689" s="4" t="str">
        <f>IFERROR(__xludf.DUMMYFUNCTION("""COMPUTED_VALUE"""),"Tennessee")</f>
        <v>Tennessee</v>
      </c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</row>
    <row r="5690">
      <c r="A5690" s="4">
        <f>IFERROR(__xludf.DUMMYFUNCTION("""COMPUTED_VALUE"""),200.0)</f>
        <v>200</v>
      </c>
      <c r="B5690" s="4">
        <f>IFERROR(__xludf.DUMMYFUNCTION("""COMPUTED_VALUE"""),200.0)</f>
        <v>200</v>
      </c>
      <c r="C5690" s="4" t="str">
        <f>IFERROR(__xludf.DUMMYFUNCTION("""COMPUTED_VALUE"""),"BUF")</f>
        <v>BUF</v>
      </c>
      <c r="D5690" s="4" t="str">
        <f>IFERROR(__xludf.DUMMYFUNCTION("""COMPUTED_VALUE"""),"John Green")</f>
        <v>John Green</v>
      </c>
      <c r="E5690" s="4" t="str">
        <f>IFERROR(__xludf.DUMMYFUNCTION("""COMPUTED_VALUE"""),"Oregon")</f>
        <v>Oregon</v>
      </c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</row>
    <row r="5691">
      <c r="A5691" s="4">
        <f>IFERROR(__xludf.DUMMYFUNCTION("""COMPUTED_VALUE"""),201.0)</f>
        <v>201</v>
      </c>
      <c r="B5691" s="4">
        <f>IFERROR(__xludf.DUMMYFUNCTION("""COMPUTED_VALUE"""),201.0)</f>
        <v>201</v>
      </c>
      <c r="C5691" s="4" t="str">
        <f>IFERROR(__xludf.DUMMYFUNCTION("""COMPUTED_VALUE"""),"CLE")</f>
        <v>CLE</v>
      </c>
      <c r="D5691" s="4" t="str">
        <f>IFERROR(__xludf.DUMMYFUNCTION("""COMPUTED_VALUE"""),"Tom O'Connor")</f>
        <v>Tom O'Connor</v>
      </c>
      <c r="E5691" s="4" t="str">
        <f>IFERROR(__xludf.DUMMYFUNCTION("""COMPUTED_VALUE"""),"Iowa")</f>
        <v>Iowa</v>
      </c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</row>
    <row r="5692">
      <c r="A5692" s="4">
        <f>IFERROR(__xludf.DUMMYFUNCTION("""COMPUTED_VALUE"""),202.0)</f>
        <v>202</v>
      </c>
      <c r="B5692" s="4">
        <f>IFERROR(__xludf.DUMMYFUNCTION("""COMPUTED_VALUE"""),202.0)</f>
        <v>202</v>
      </c>
      <c r="C5692" s="4" t="str">
        <f>IFERROR(__xludf.DUMMYFUNCTION("""COMPUTED_VALUE"""),"BOS")</f>
        <v>BOS</v>
      </c>
      <c r="D5692" s="4" t="str">
        <f>IFERROR(__xludf.DUMMYFUNCTION("""COMPUTED_VALUE"""),"Sam Barber")</f>
        <v>Sam Barber</v>
      </c>
      <c r="E5692" s="4" t="str">
        <f>IFERROR(__xludf.DUMMYFUNCTION("""COMPUTED_VALUE"""),"Bethune-Cookman College")</f>
        <v>Bethune-Cookman College</v>
      </c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</row>
    <row r="5693">
      <c r="A5693" s="4"/>
      <c r="B5693" s="4"/>
      <c r="C5693" s="4"/>
      <c r="D5693" s="4" t="str">
        <f>IFERROR(__xludf.DUMMYFUNCTION("""COMPUTED_VALUE"""),"Round 17")</f>
        <v>Round 17</v>
      </c>
      <c r="E5693" s="4"/>
      <c r="F5693" s="4"/>
      <c r="G5693" s="4" t="str">
        <f>IFERROR(__xludf.DUMMYFUNCTION("""COMPUTED_VALUE"""),"Totals")</f>
        <v>Totals</v>
      </c>
      <c r="H5693" s="4"/>
      <c r="I5693" s="4"/>
      <c r="J5693" s="4"/>
      <c r="K5693" s="4"/>
      <c r="L5693" s="4" t="str">
        <f>IFERROR(__xludf.DUMMYFUNCTION("""COMPUTED_VALUE"""),"Shooting")</f>
        <v>Shooting</v>
      </c>
      <c r="M5693" s="4"/>
      <c r="N5693" s="4"/>
      <c r="O5693" s="4" t="str">
        <f>IFERROR(__xludf.DUMMYFUNCTION("""COMPUTED_VALUE"""),"Per Game")</f>
        <v>Per Game</v>
      </c>
      <c r="P5693" s="4"/>
      <c r="Q5693" s="4"/>
      <c r="R5693" s="4"/>
      <c r="S5693" s="4" t="str">
        <f>IFERROR(__xludf.DUMMYFUNCTION("""COMPUTED_VALUE"""),"Advanced")</f>
        <v>Advanced</v>
      </c>
      <c r="T5693" s="4"/>
      <c r="U5693" s="4"/>
      <c r="V5693" s="4"/>
    </row>
    <row r="5694">
      <c r="A5694" s="4" t="str">
        <f>IFERROR(__xludf.DUMMYFUNCTION("""COMPUTED_VALUE"""),"Rk")</f>
        <v>Rk</v>
      </c>
      <c r="B5694" s="4" t="str">
        <f>IFERROR(__xludf.DUMMYFUNCTION("""COMPUTED_VALUE"""),"Pk")</f>
        <v>Pk</v>
      </c>
      <c r="C5694" s="4" t="str">
        <f>IFERROR(__xludf.DUMMYFUNCTION("""COMPUTED_VALUE"""),"Tm")</f>
        <v>Tm</v>
      </c>
      <c r="D5694" s="4" t="str">
        <f>IFERROR(__xludf.DUMMYFUNCTION("""COMPUTED_VALUE"""),"Player")</f>
        <v>Player</v>
      </c>
      <c r="E5694" s="4" t="str">
        <f>IFERROR(__xludf.DUMMYFUNCTION("""COMPUTED_VALUE"""),"College")</f>
        <v>College</v>
      </c>
      <c r="F5694" s="4" t="str">
        <f>IFERROR(__xludf.DUMMYFUNCTION("""COMPUTED_VALUE"""),"Yrs")</f>
        <v>Yrs</v>
      </c>
      <c r="G5694" s="4" t="str">
        <f>IFERROR(__xludf.DUMMYFUNCTION("""COMPUTED_VALUE"""),"G")</f>
        <v>G</v>
      </c>
      <c r="H5694" s="4" t="str">
        <f>IFERROR(__xludf.DUMMYFUNCTION("""COMPUTED_VALUE"""),"MP")</f>
        <v>MP</v>
      </c>
      <c r="I5694" s="4" t="str">
        <f>IFERROR(__xludf.DUMMYFUNCTION("""COMPUTED_VALUE"""),"PTS")</f>
        <v>PTS</v>
      </c>
      <c r="J5694" s="4" t="str">
        <f>IFERROR(__xludf.DUMMYFUNCTION("""COMPUTED_VALUE"""),"TRB")</f>
        <v>TRB</v>
      </c>
      <c r="K5694" s="4" t="str">
        <f>IFERROR(__xludf.DUMMYFUNCTION("""COMPUTED_VALUE"""),"AST")</f>
        <v>AST</v>
      </c>
      <c r="L5694" s="4" t="str">
        <f>IFERROR(__xludf.DUMMYFUNCTION("""COMPUTED_VALUE"""),"FG%")</f>
        <v>FG%</v>
      </c>
      <c r="M5694" s="4" t="str">
        <f>IFERROR(__xludf.DUMMYFUNCTION("""COMPUTED_VALUE"""),"3P%")</f>
        <v>3P%</v>
      </c>
      <c r="N5694" s="4" t="str">
        <f>IFERROR(__xludf.DUMMYFUNCTION("""COMPUTED_VALUE"""),"FT%")</f>
        <v>FT%</v>
      </c>
      <c r="O5694" s="4" t="str">
        <f>IFERROR(__xludf.DUMMYFUNCTION("""COMPUTED_VALUE"""),"MP")</f>
        <v>MP</v>
      </c>
      <c r="P5694" s="4" t="str">
        <f>IFERROR(__xludf.DUMMYFUNCTION("""COMPUTED_VALUE"""),"PTS")</f>
        <v>PTS</v>
      </c>
      <c r="Q5694" s="4" t="str">
        <f>IFERROR(__xludf.DUMMYFUNCTION("""COMPUTED_VALUE"""),"TRB")</f>
        <v>TRB</v>
      </c>
      <c r="R5694" s="4" t="str">
        <f>IFERROR(__xludf.DUMMYFUNCTION("""COMPUTED_VALUE"""),"AST")</f>
        <v>AST</v>
      </c>
      <c r="S5694" s="4" t="str">
        <f>IFERROR(__xludf.DUMMYFUNCTION("""COMPUTED_VALUE"""),"WS")</f>
        <v>WS</v>
      </c>
      <c r="T5694" s="4" t="str">
        <f>IFERROR(__xludf.DUMMYFUNCTION("""COMPUTED_VALUE"""),"WS/48")</f>
        <v>WS/48</v>
      </c>
      <c r="U5694" s="4" t="str">
        <f>IFERROR(__xludf.DUMMYFUNCTION("""COMPUTED_VALUE"""),"BPM")</f>
        <v>BPM</v>
      </c>
      <c r="V5694" s="4" t="str">
        <f>IFERROR(__xludf.DUMMYFUNCTION("""COMPUTED_VALUE"""),"VORP")</f>
        <v>VORP</v>
      </c>
    </row>
    <row r="5695">
      <c r="A5695" s="4">
        <f>IFERROR(__xludf.DUMMYFUNCTION("""COMPUTED_VALUE"""),203.0)</f>
        <v>203</v>
      </c>
      <c r="B5695" s="4">
        <f>IFERROR(__xludf.DUMMYFUNCTION("""COMPUTED_VALUE"""),203.0)</f>
        <v>203</v>
      </c>
      <c r="C5695" s="4" t="str">
        <f>IFERROR(__xludf.DUMMYFUNCTION("""COMPUTED_VALUE"""),"PHI")</f>
        <v>PHI</v>
      </c>
      <c r="D5695" s="4" t="str">
        <f>IFERROR(__xludf.DUMMYFUNCTION("""COMPUTED_VALUE"""),"Tony Prince")</f>
        <v>Tony Prince</v>
      </c>
      <c r="E5695" s="4" t="str">
        <f>IFERROR(__xludf.DUMMYFUNCTION("""COMPUTED_VALUE"""),"St. John's")</f>
        <v>St. John's</v>
      </c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</row>
    <row r="5696">
      <c r="A5696" s="4">
        <f>IFERROR(__xludf.DUMMYFUNCTION("""COMPUTED_VALUE"""),204.0)</f>
        <v>204</v>
      </c>
      <c r="B5696" s="4">
        <f>IFERROR(__xludf.DUMMYFUNCTION("""COMPUTED_VALUE"""),204.0)</f>
        <v>204</v>
      </c>
      <c r="C5696" s="4" t="str">
        <f>IFERROR(__xludf.DUMMYFUNCTION("""COMPUTED_VALUE"""),"BUF")</f>
        <v>BUF</v>
      </c>
      <c r="D5696" s="4" t="str">
        <f>IFERROR(__xludf.DUMMYFUNCTION("""COMPUTED_VALUE"""),"Jim Garvin")</f>
        <v>Jim Garvin</v>
      </c>
      <c r="E5696" s="4" t="str">
        <f>IFERROR(__xludf.DUMMYFUNCTION("""COMPUTED_VALUE"""),"Boston University")</f>
        <v>Boston University</v>
      </c>
      <c r="F5696" s="4">
        <f>IFERROR(__xludf.DUMMYFUNCTION("""COMPUTED_VALUE"""),1.0)</f>
        <v>1</v>
      </c>
      <c r="G5696" s="4">
        <f>IFERROR(__xludf.DUMMYFUNCTION("""COMPUTED_VALUE"""),6.0)</f>
        <v>6</v>
      </c>
      <c r="H5696" s="4">
        <f>IFERROR(__xludf.DUMMYFUNCTION("""COMPUTED_VALUE"""),11.0)</f>
        <v>11</v>
      </c>
      <c r="I5696" s="4">
        <f>IFERROR(__xludf.DUMMYFUNCTION("""COMPUTED_VALUE"""),2.0)</f>
        <v>2</v>
      </c>
      <c r="J5696" s="4">
        <f>IFERROR(__xludf.DUMMYFUNCTION("""COMPUTED_VALUE"""),5.0)</f>
        <v>5</v>
      </c>
      <c r="K5696" s="4">
        <f>IFERROR(__xludf.DUMMYFUNCTION("""COMPUTED_VALUE"""),0.0)</f>
        <v>0</v>
      </c>
      <c r="L5696" s="4">
        <f>IFERROR(__xludf.DUMMYFUNCTION("""COMPUTED_VALUE"""),0.25)</f>
        <v>0.25</v>
      </c>
      <c r="M5696" s="4"/>
      <c r="N5696" s="4"/>
      <c r="O5696" s="4">
        <f>IFERROR(__xludf.DUMMYFUNCTION("""COMPUTED_VALUE"""),1.8)</f>
        <v>1.8</v>
      </c>
      <c r="P5696" s="4">
        <f>IFERROR(__xludf.DUMMYFUNCTION("""COMPUTED_VALUE"""),0.3)</f>
        <v>0.3</v>
      </c>
      <c r="Q5696" s="4">
        <f>IFERROR(__xludf.DUMMYFUNCTION("""COMPUTED_VALUE"""),0.8)</f>
        <v>0.8</v>
      </c>
      <c r="R5696" s="4">
        <f>IFERROR(__xludf.DUMMYFUNCTION("""COMPUTED_VALUE"""),0.0)</f>
        <v>0</v>
      </c>
      <c r="S5696" s="4">
        <f>IFERROR(__xludf.DUMMYFUNCTION("""COMPUTED_VALUE"""),0.0)</f>
        <v>0</v>
      </c>
      <c r="T5696" s="4">
        <f>IFERROR(__xludf.DUMMYFUNCTION("""COMPUTED_VALUE"""),-0.134)</f>
        <v>-0.134</v>
      </c>
      <c r="U5696" s="4">
        <f>IFERROR(__xludf.DUMMYFUNCTION("""COMPUTED_VALUE"""),-5.0)</f>
        <v>-5</v>
      </c>
      <c r="V5696" s="4">
        <f>IFERROR(__xludf.DUMMYFUNCTION("""COMPUTED_VALUE"""),0.0)</f>
        <v>0</v>
      </c>
    </row>
    <row r="5697">
      <c r="A5697" s="4">
        <f>IFERROR(__xludf.DUMMYFUNCTION("""COMPUTED_VALUE"""),205.0)</f>
        <v>205</v>
      </c>
      <c r="B5697" s="4">
        <f>IFERROR(__xludf.DUMMYFUNCTION("""COMPUTED_VALUE"""),205.0)</f>
        <v>205</v>
      </c>
      <c r="C5697" s="4" t="str">
        <f>IFERROR(__xludf.DUMMYFUNCTION("""COMPUTED_VALUE"""),"CLE")</f>
        <v>CLE</v>
      </c>
      <c r="D5697" s="4" t="str">
        <f>IFERROR(__xludf.DUMMYFUNCTION("""COMPUTED_VALUE"""),"Phil Elderkin")</f>
        <v>Phil Elderkin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</row>
    <row r="5698">
      <c r="A5698" s="4">
        <f>IFERROR(__xludf.DUMMYFUNCTION("""COMPUTED_VALUE"""),206.0)</f>
        <v>206</v>
      </c>
      <c r="B5698" s="4">
        <f>IFERROR(__xludf.DUMMYFUNCTION("""COMPUTED_VALUE"""),206.0)</f>
        <v>206</v>
      </c>
      <c r="C5698" s="4" t="str">
        <f>IFERROR(__xludf.DUMMYFUNCTION("""COMPUTED_VALUE"""),"BOS")</f>
        <v>BOS</v>
      </c>
      <c r="D5698" s="4" t="str">
        <f>IFERROR(__xludf.DUMMYFUNCTION("""COMPUTED_VALUE"""),"Lamont King")</f>
        <v>Lamont King</v>
      </c>
      <c r="E5698" s="4" t="str">
        <f>IFERROR(__xludf.DUMMYFUNCTION("""COMPUTED_VALUE"""),"Cal State Long Beach")</f>
        <v>Cal State Long Beach</v>
      </c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</row>
    <row r="5699">
      <c r="A5699" s="4"/>
      <c r="B5699" s="4"/>
      <c r="C5699" s="4"/>
      <c r="D5699" s="4" t="str">
        <f>IFERROR(__xludf.DUMMYFUNCTION("""COMPUTED_VALUE"""),"Round 18")</f>
        <v>Round 18</v>
      </c>
      <c r="E5699" s="4"/>
      <c r="F5699" s="4"/>
      <c r="G5699" s="4" t="str">
        <f>IFERROR(__xludf.DUMMYFUNCTION("""COMPUTED_VALUE"""),"Totals")</f>
        <v>Totals</v>
      </c>
      <c r="H5699" s="4"/>
      <c r="I5699" s="4"/>
      <c r="J5699" s="4"/>
      <c r="K5699" s="4"/>
      <c r="L5699" s="4" t="str">
        <f>IFERROR(__xludf.DUMMYFUNCTION("""COMPUTED_VALUE"""),"Shooting")</f>
        <v>Shooting</v>
      </c>
      <c r="M5699" s="4"/>
      <c r="N5699" s="4"/>
      <c r="O5699" s="4" t="str">
        <f>IFERROR(__xludf.DUMMYFUNCTION("""COMPUTED_VALUE"""),"Per Game")</f>
        <v>Per Game</v>
      </c>
      <c r="P5699" s="4"/>
      <c r="Q5699" s="4"/>
      <c r="R5699" s="4"/>
      <c r="S5699" s="4" t="str">
        <f>IFERROR(__xludf.DUMMYFUNCTION("""COMPUTED_VALUE"""),"Advanced")</f>
        <v>Advanced</v>
      </c>
      <c r="T5699" s="4"/>
      <c r="U5699" s="4"/>
      <c r="V5699" s="4"/>
    </row>
    <row r="5700">
      <c r="A5700" s="4" t="str">
        <f>IFERROR(__xludf.DUMMYFUNCTION("""COMPUTED_VALUE"""),"Rk")</f>
        <v>Rk</v>
      </c>
      <c r="B5700" s="4" t="str">
        <f>IFERROR(__xludf.DUMMYFUNCTION("""COMPUTED_VALUE"""),"Pk")</f>
        <v>Pk</v>
      </c>
      <c r="C5700" s="4" t="str">
        <f>IFERROR(__xludf.DUMMYFUNCTION("""COMPUTED_VALUE"""),"Tm")</f>
        <v>Tm</v>
      </c>
      <c r="D5700" s="4" t="str">
        <f>IFERROR(__xludf.DUMMYFUNCTION("""COMPUTED_VALUE"""),"Player")</f>
        <v>Player</v>
      </c>
      <c r="E5700" s="4" t="str">
        <f>IFERROR(__xludf.DUMMYFUNCTION("""COMPUTED_VALUE"""),"College")</f>
        <v>College</v>
      </c>
      <c r="F5700" s="4" t="str">
        <f>IFERROR(__xludf.DUMMYFUNCTION("""COMPUTED_VALUE"""),"Yrs")</f>
        <v>Yrs</v>
      </c>
      <c r="G5700" s="4" t="str">
        <f>IFERROR(__xludf.DUMMYFUNCTION("""COMPUTED_VALUE"""),"G")</f>
        <v>G</v>
      </c>
      <c r="H5700" s="4" t="str">
        <f>IFERROR(__xludf.DUMMYFUNCTION("""COMPUTED_VALUE"""),"MP")</f>
        <v>MP</v>
      </c>
      <c r="I5700" s="4" t="str">
        <f>IFERROR(__xludf.DUMMYFUNCTION("""COMPUTED_VALUE"""),"PTS")</f>
        <v>PTS</v>
      </c>
      <c r="J5700" s="4" t="str">
        <f>IFERROR(__xludf.DUMMYFUNCTION("""COMPUTED_VALUE"""),"TRB")</f>
        <v>TRB</v>
      </c>
      <c r="K5700" s="4" t="str">
        <f>IFERROR(__xludf.DUMMYFUNCTION("""COMPUTED_VALUE"""),"AST")</f>
        <v>AST</v>
      </c>
      <c r="L5700" s="4" t="str">
        <f>IFERROR(__xludf.DUMMYFUNCTION("""COMPUTED_VALUE"""),"FG%")</f>
        <v>FG%</v>
      </c>
      <c r="M5700" s="4" t="str">
        <f>IFERROR(__xludf.DUMMYFUNCTION("""COMPUTED_VALUE"""),"3P%")</f>
        <v>3P%</v>
      </c>
      <c r="N5700" s="4" t="str">
        <f>IFERROR(__xludf.DUMMYFUNCTION("""COMPUTED_VALUE"""),"FT%")</f>
        <v>FT%</v>
      </c>
      <c r="O5700" s="4" t="str">
        <f>IFERROR(__xludf.DUMMYFUNCTION("""COMPUTED_VALUE"""),"MP")</f>
        <v>MP</v>
      </c>
      <c r="P5700" s="4" t="str">
        <f>IFERROR(__xludf.DUMMYFUNCTION("""COMPUTED_VALUE"""),"PTS")</f>
        <v>PTS</v>
      </c>
      <c r="Q5700" s="4" t="str">
        <f>IFERROR(__xludf.DUMMYFUNCTION("""COMPUTED_VALUE"""),"TRB")</f>
        <v>TRB</v>
      </c>
      <c r="R5700" s="4" t="str">
        <f>IFERROR(__xludf.DUMMYFUNCTION("""COMPUTED_VALUE"""),"AST")</f>
        <v>AST</v>
      </c>
      <c r="S5700" s="4" t="str">
        <f>IFERROR(__xludf.DUMMYFUNCTION("""COMPUTED_VALUE"""),"WS")</f>
        <v>WS</v>
      </c>
      <c r="T5700" s="4" t="str">
        <f>IFERROR(__xludf.DUMMYFUNCTION("""COMPUTED_VALUE"""),"WS/48")</f>
        <v>WS/48</v>
      </c>
      <c r="U5700" s="4" t="str">
        <f>IFERROR(__xludf.DUMMYFUNCTION("""COMPUTED_VALUE"""),"BPM")</f>
        <v>BPM</v>
      </c>
      <c r="V5700" s="4" t="str">
        <f>IFERROR(__xludf.DUMMYFUNCTION("""COMPUTED_VALUE"""),"VORP")</f>
        <v>VORP</v>
      </c>
    </row>
    <row r="5701">
      <c r="A5701" s="4">
        <f>IFERROR(__xludf.DUMMYFUNCTION("""COMPUTED_VALUE"""),207.0)</f>
        <v>207</v>
      </c>
      <c r="B5701" s="4">
        <f>IFERROR(__xludf.DUMMYFUNCTION("""COMPUTED_VALUE"""),207.0)</f>
        <v>207</v>
      </c>
      <c r="C5701" s="4" t="str">
        <f>IFERROR(__xludf.DUMMYFUNCTION("""COMPUTED_VALUE"""),"BUF")</f>
        <v>BUF</v>
      </c>
      <c r="D5701" s="4" t="str">
        <f>IFERROR(__xludf.DUMMYFUNCTION("""COMPUTED_VALUE"""),"Donn Johnston")</f>
        <v>Donn Johnston</v>
      </c>
      <c r="E5701" s="4" t="str">
        <f>IFERROR(__xludf.DUMMYFUNCTION("""COMPUTED_VALUE"""),"UNC")</f>
        <v>UNC</v>
      </c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</row>
    <row r="5702">
      <c r="A5702" s="4">
        <f>IFERROR(__xludf.DUMMYFUNCTION("""COMPUTED_VALUE"""),208.0)</f>
        <v>208</v>
      </c>
      <c r="B5702" s="4">
        <f>IFERROR(__xludf.DUMMYFUNCTION("""COMPUTED_VALUE"""),208.0)</f>
        <v>208</v>
      </c>
      <c r="C5702" s="4" t="str">
        <f>IFERROR(__xludf.DUMMYFUNCTION("""COMPUTED_VALUE"""),"BOS")</f>
        <v>BOS</v>
      </c>
      <c r="D5702" s="4" t="str">
        <f>IFERROR(__xludf.DUMMYFUNCTION("""COMPUTED_VALUE"""),"Peter Gavett")</f>
        <v>Peter Gavett</v>
      </c>
      <c r="E5702" s="4" t="str">
        <f>IFERROR(__xludf.DUMMYFUNCTION("""COMPUTED_VALUE"""),"University of Maine")</f>
        <v>University of Maine</v>
      </c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</row>
    <row r="5703">
      <c r="A5703" s="4"/>
      <c r="B5703" s="4"/>
      <c r="C5703" s="4"/>
      <c r="D5703" s="4" t="str">
        <f>IFERROR(__xludf.DUMMYFUNCTION("""COMPUTED_VALUE"""),"Round 19")</f>
        <v>Round 19</v>
      </c>
      <c r="E5703" s="4"/>
      <c r="F5703" s="4"/>
      <c r="G5703" s="4" t="str">
        <f>IFERROR(__xludf.DUMMYFUNCTION("""COMPUTED_VALUE"""),"Totals")</f>
        <v>Totals</v>
      </c>
      <c r="H5703" s="4"/>
      <c r="I5703" s="4"/>
      <c r="J5703" s="4"/>
      <c r="K5703" s="4"/>
      <c r="L5703" s="4" t="str">
        <f>IFERROR(__xludf.DUMMYFUNCTION("""COMPUTED_VALUE"""),"Shooting")</f>
        <v>Shooting</v>
      </c>
      <c r="M5703" s="4"/>
      <c r="N5703" s="4"/>
      <c r="O5703" s="4" t="str">
        <f>IFERROR(__xludf.DUMMYFUNCTION("""COMPUTED_VALUE"""),"Per Game")</f>
        <v>Per Game</v>
      </c>
      <c r="P5703" s="4"/>
      <c r="Q5703" s="4"/>
      <c r="R5703" s="4"/>
      <c r="S5703" s="4" t="str">
        <f>IFERROR(__xludf.DUMMYFUNCTION("""COMPUTED_VALUE"""),"Advanced")</f>
        <v>Advanced</v>
      </c>
      <c r="T5703" s="4"/>
      <c r="U5703" s="4"/>
      <c r="V5703" s="4"/>
    </row>
    <row r="5704">
      <c r="A5704" s="4" t="str">
        <f>IFERROR(__xludf.DUMMYFUNCTION("""COMPUTED_VALUE"""),"Rk")</f>
        <v>Rk</v>
      </c>
      <c r="B5704" s="4" t="str">
        <f>IFERROR(__xludf.DUMMYFUNCTION("""COMPUTED_VALUE"""),"Pk")</f>
        <v>Pk</v>
      </c>
      <c r="C5704" s="4" t="str">
        <f>IFERROR(__xludf.DUMMYFUNCTION("""COMPUTED_VALUE"""),"Tm")</f>
        <v>Tm</v>
      </c>
      <c r="D5704" s="4" t="str">
        <f>IFERROR(__xludf.DUMMYFUNCTION("""COMPUTED_VALUE"""),"Player")</f>
        <v>Player</v>
      </c>
      <c r="E5704" s="4" t="str">
        <f>IFERROR(__xludf.DUMMYFUNCTION("""COMPUTED_VALUE"""),"College")</f>
        <v>College</v>
      </c>
      <c r="F5704" s="4" t="str">
        <f>IFERROR(__xludf.DUMMYFUNCTION("""COMPUTED_VALUE"""),"Yrs")</f>
        <v>Yrs</v>
      </c>
      <c r="G5704" s="4" t="str">
        <f>IFERROR(__xludf.DUMMYFUNCTION("""COMPUTED_VALUE"""),"G")</f>
        <v>G</v>
      </c>
      <c r="H5704" s="4" t="str">
        <f>IFERROR(__xludf.DUMMYFUNCTION("""COMPUTED_VALUE"""),"MP")</f>
        <v>MP</v>
      </c>
      <c r="I5704" s="4" t="str">
        <f>IFERROR(__xludf.DUMMYFUNCTION("""COMPUTED_VALUE"""),"PTS")</f>
        <v>PTS</v>
      </c>
      <c r="J5704" s="4" t="str">
        <f>IFERROR(__xludf.DUMMYFUNCTION("""COMPUTED_VALUE"""),"TRB")</f>
        <v>TRB</v>
      </c>
      <c r="K5704" s="4" t="str">
        <f>IFERROR(__xludf.DUMMYFUNCTION("""COMPUTED_VALUE"""),"AST")</f>
        <v>AST</v>
      </c>
      <c r="L5704" s="4" t="str">
        <f>IFERROR(__xludf.DUMMYFUNCTION("""COMPUTED_VALUE"""),"FG%")</f>
        <v>FG%</v>
      </c>
      <c r="M5704" s="4" t="str">
        <f>IFERROR(__xludf.DUMMYFUNCTION("""COMPUTED_VALUE"""),"3P%")</f>
        <v>3P%</v>
      </c>
      <c r="N5704" s="4" t="str">
        <f>IFERROR(__xludf.DUMMYFUNCTION("""COMPUTED_VALUE"""),"FT%")</f>
        <v>FT%</v>
      </c>
      <c r="O5704" s="4" t="str">
        <f>IFERROR(__xludf.DUMMYFUNCTION("""COMPUTED_VALUE"""),"MP")</f>
        <v>MP</v>
      </c>
      <c r="P5704" s="4" t="str">
        <f>IFERROR(__xludf.DUMMYFUNCTION("""COMPUTED_VALUE"""),"PTS")</f>
        <v>PTS</v>
      </c>
      <c r="Q5704" s="4" t="str">
        <f>IFERROR(__xludf.DUMMYFUNCTION("""COMPUTED_VALUE"""),"TRB")</f>
        <v>TRB</v>
      </c>
      <c r="R5704" s="4" t="str">
        <f>IFERROR(__xludf.DUMMYFUNCTION("""COMPUTED_VALUE"""),"AST")</f>
        <v>AST</v>
      </c>
      <c r="S5704" s="4" t="str">
        <f>IFERROR(__xludf.DUMMYFUNCTION("""COMPUTED_VALUE"""),"WS")</f>
        <v>WS</v>
      </c>
      <c r="T5704" s="4" t="str">
        <f>IFERROR(__xludf.DUMMYFUNCTION("""COMPUTED_VALUE"""),"WS/48")</f>
        <v>WS/48</v>
      </c>
      <c r="U5704" s="4" t="str">
        <f>IFERROR(__xludf.DUMMYFUNCTION("""COMPUTED_VALUE"""),"BPM")</f>
        <v>BPM</v>
      </c>
      <c r="V5704" s="4" t="str">
        <f>IFERROR(__xludf.DUMMYFUNCTION("""COMPUTED_VALUE"""),"VORP")</f>
        <v>VORP</v>
      </c>
    </row>
    <row r="5705">
      <c r="A5705" s="4">
        <f>IFERROR(__xludf.DUMMYFUNCTION("""COMPUTED_VALUE"""),209.0)</f>
        <v>209</v>
      </c>
      <c r="B5705" s="4">
        <f>IFERROR(__xludf.DUMMYFUNCTION("""COMPUTED_VALUE"""),209.0)</f>
        <v>209</v>
      </c>
      <c r="C5705" s="4" t="str">
        <f>IFERROR(__xludf.DUMMYFUNCTION("""COMPUTED_VALUE"""),"BUF")</f>
        <v>BUF</v>
      </c>
      <c r="D5705" s="4" t="str">
        <f>IFERROR(__xludf.DUMMYFUNCTION("""COMPUTED_VALUE"""),"Ron Thorsen")</f>
        <v>Ron Thorsen</v>
      </c>
      <c r="E5705" s="4" t="str">
        <f>IFERROR(__xludf.DUMMYFUNCTION("""COMPUTED_VALUE"""),"University of British Columbia")</f>
        <v>University of British Columbia</v>
      </c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</row>
    <row r="5706">
      <c r="A5706" s="4">
        <f>IFERROR(__xludf.DUMMYFUNCTION("""COMPUTED_VALUE"""),210.0)</f>
        <v>210</v>
      </c>
      <c r="B5706" s="4">
        <f>IFERROR(__xludf.DUMMYFUNCTION("""COMPUTED_VALUE"""),210.0)</f>
        <v>210</v>
      </c>
      <c r="C5706" s="4" t="str">
        <f>IFERROR(__xludf.DUMMYFUNCTION("""COMPUTED_VALUE"""),"BOS")</f>
        <v>BOS</v>
      </c>
      <c r="D5706" s="4" t="str">
        <f>IFERROR(__xludf.DUMMYFUNCTION("""COMPUTED_VALUE"""),"Tom Austin")</f>
        <v>Tom Austin</v>
      </c>
      <c r="E5706" s="4" t="str">
        <f>IFERROR(__xludf.DUMMYFUNCTION("""COMPUTED_VALUE"""),"UMass")</f>
        <v>UMass</v>
      </c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</row>
    <row r="5707">
      <c r="A5707" s="4"/>
      <c r="B5707" s="4"/>
      <c r="C5707" s="4"/>
      <c r="D5707" s="4" t="str">
        <f>IFERROR(__xludf.DUMMYFUNCTION("""COMPUTED_VALUE"""),"Round 20")</f>
        <v>Round 20</v>
      </c>
      <c r="E5707" s="4"/>
      <c r="F5707" s="4"/>
      <c r="G5707" s="4" t="str">
        <f>IFERROR(__xludf.DUMMYFUNCTION("""COMPUTED_VALUE"""),"Totals")</f>
        <v>Totals</v>
      </c>
      <c r="H5707" s="4"/>
      <c r="I5707" s="4"/>
      <c r="J5707" s="4"/>
      <c r="K5707" s="4"/>
      <c r="L5707" s="4" t="str">
        <f>IFERROR(__xludf.DUMMYFUNCTION("""COMPUTED_VALUE"""),"Shooting")</f>
        <v>Shooting</v>
      </c>
      <c r="M5707" s="4"/>
      <c r="N5707" s="4"/>
      <c r="O5707" s="4" t="str">
        <f>IFERROR(__xludf.DUMMYFUNCTION("""COMPUTED_VALUE"""),"Per Game")</f>
        <v>Per Game</v>
      </c>
      <c r="P5707" s="4"/>
      <c r="Q5707" s="4"/>
      <c r="R5707" s="4"/>
      <c r="S5707" s="4" t="str">
        <f>IFERROR(__xludf.DUMMYFUNCTION("""COMPUTED_VALUE"""),"Advanced")</f>
        <v>Advanced</v>
      </c>
      <c r="T5707" s="4"/>
      <c r="U5707" s="4"/>
      <c r="V5707" s="4"/>
    </row>
    <row r="5708">
      <c r="A5708" s="4" t="str">
        <f>IFERROR(__xludf.DUMMYFUNCTION("""COMPUTED_VALUE"""),"Rk")</f>
        <v>Rk</v>
      </c>
      <c r="B5708" s="4" t="str">
        <f>IFERROR(__xludf.DUMMYFUNCTION("""COMPUTED_VALUE"""),"Pk")</f>
        <v>Pk</v>
      </c>
      <c r="C5708" s="4" t="str">
        <f>IFERROR(__xludf.DUMMYFUNCTION("""COMPUTED_VALUE"""),"Tm")</f>
        <v>Tm</v>
      </c>
      <c r="D5708" s="4" t="str">
        <f>IFERROR(__xludf.DUMMYFUNCTION("""COMPUTED_VALUE"""),"Player")</f>
        <v>Player</v>
      </c>
      <c r="E5708" s="4" t="str">
        <f>IFERROR(__xludf.DUMMYFUNCTION("""COMPUTED_VALUE"""),"College")</f>
        <v>College</v>
      </c>
      <c r="F5708" s="4" t="str">
        <f>IFERROR(__xludf.DUMMYFUNCTION("""COMPUTED_VALUE"""),"Yrs")</f>
        <v>Yrs</v>
      </c>
      <c r="G5708" s="4" t="str">
        <f>IFERROR(__xludf.DUMMYFUNCTION("""COMPUTED_VALUE"""),"G")</f>
        <v>G</v>
      </c>
      <c r="H5708" s="4" t="str">
        <f>IFERROR(__xludf.DUMMYFUNCTION("""COMPUTED_VALUE"""),"MP")</f>
        <v>MP</v>
      </c>
      <c r="I5708" s="4" t="str">
        <f>IFERROR(__xludf.DUMMYFUNCTION("""COMPUTED_VALUE"""),"PTS")</f>
        <v>PTS</v>
      </c>
      <c r="J5708" s="4" t="str">
        <f>IFERROR(__xludf.DUMMYFUNCTION("""COMPUTED_VALUE"""),"TRB")</f>
        <v>TRB</v>
      </c>
      <c r="K5708" s="4" t="str">
        <f>IFERROR(__xludf.DUMMYFUNCTION("""COMPUTED_VALUE"""),"AST")</f>
        <v>AST</v>
      </c>
      <c r="L5708" s="4" t="str">
        <f>IFERROR(__xludf.DUMMYFUNCTION("""COMPUTED_VALUE"""),"FG%")</f>
        <v>FG%</v>
      </c>
      <c r="M5708" s="4" t="str">
        <f>IFERROR(__xludf.DUMMYFUNCTION("""COMPUTED_VALUE"""),"3P%")</f>
        <v>3P%</v>
      </c>
      <c r="N5708" s="4" t="str">
        <f>IFERROR(__xludf.DUMMYFUNCTION("""COMPUTED_VALUE"""),"FT%")</f>
        <v>FT%</v>
      </c>
      <c r="O5708" s="4" t="str">
        <f>IFERROR(__xludf.DUMMYFUNCTION("""COMPUTED_VALUE"""),"MP")</f>
        <v>MP</v>
      </c>
      <c r="P5708" s="4" t="str">
        <f>IFERROR(__xludf.DUMMYFUNCTION("""COMPUTED_VALUE"""),"PTS")</f>
        <v>PTS</v>
      </c>
      <c r="Q5708" s="4" t="str">
        <f>IFERROR(__xludf.DUMMYFUNCTION("""COMPUTED_VALUE"""),"TRB")</f>
        <v>TRB</v>
      </c>
      <c r="R5708" s="4" t="str">
        <f>IFERROR(__xludf.DUMMYFUNCTION("""COMPUTED_VALUE"""),"AST")</f>
        <v>AST</v>
      </c>
      <c r="S5708" s="4" t="str">
        <f>IFERROR(__xludf.DUMMYFUNCTION("""COMPUTED_VALUE"""),"WS")</f>
        <v>WS</v>
      </c>
      <c r="T5708" s="4" t="str">
        <f>IFERROR(__xludf.DUMMYFUNCTION("""COMPUTED_VALUE"""),"WS/48")</f>
        <v>WS/48</v>
      </c>
      <c r="U5708" s="4" t="str">
        <f>IFERROR(__xludf.DUMMYFUNCTION("""COMPUTED_VALUE"""),"BPM")</f>
        <v>BPM</v>
      </c>
      <c r="V5708" s="4" t="str">
        <f>IFERROR(__xludf.DUMMYFUNCTION("""COMPUTED_VALUE"""),"VORP")</f>
        <v>VORP</v>
      </c>
    </row>
    <row r="5709">
      <c r="A5709" s="4">
        <f>IFERROR(__xludf.DUMMYFUNCTION("""COMPUTED_VALUE"""),211.0)</f>
        <v>211</v>
      </c>
      <c r="B5709" s="4">
        <f>IFERROR(__xludf.DUMMYFUNCTION("""COMPUTED_VALUE"""),211.0)</f>
        <v>211</v>
      </c>
      <c r="C5709" s="4" t="str">
        <f>IFERROR(__xludf.DUMMYFUNCTION("""COMPUTED_VALUE"""),"BUF")</f>
        <v>BUF</v>
      </c>
      <c r="D5709" s="4" t="str">
        <f>IFERROR(__xludf.DUMMYFUNCTION("""COMPUTED_VALUE"""),"Phil Tollestrup")</f>
        <v>Phil Tollestrup</v>
      </c>
      <c r="E5709" s="4" t="str">
        <f>IFERROR(__xludf.DUMMYFUNCTION("""COMPUTED_VALUE"""),"BYU")</f>
        <v>BYU</v>
      </c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</row>
    <row r="5711">
      <c r="A5711" s="2">
        <v>1972.0</v>
      </c>
    </row>
    <row r="5712">
      <c r="A5712" s="4" t="str">
        <f>IFERROR(__xludf.DUMMYFUNCTION("IMPORTHTML(""https://www.basketball-reference.com/draft/NBA_1972.html"", ""table"", 1)"),"")</f>
        <v/>
      </c>
      <c r="B5712" s="4"/>
      <c r="C5712" s="4"/>
      <c r="D5712" s="4" t="str">
        <f>IFERROR(__xludf.DUMMYFUNCTION("""COMPUTED_VALUE"""),"Round 1")</f>
        <v>Round 1</v>
      </c>
      <c r="E5712" s="4"/>
      <c r="F5712" s="4"/>
      <c r="G5712" s="4" t="str">
        <f>IFERROR(__xludf.DUMMYFUNCTION("""COMPUTED_VALUE"""),"Totals")</f>
        <v>Totals</v>
      </c>
      <c r="H5712" s="4"/>
      <c r="I5712" s="4"/>
      <c r="J5712" s="4"/>
      <c r="K5712" s="4"/>
      <c r="L5712" s="4" t="str">
        <f>IFERROR(__xludf.DUMMYFUNCTION("""COMPUTED_VALUE"""),"Shooting")</f>
        <v>Shooting</v>
      </c>
      <c r="M5712" s="4"/>
      <c r="N5712" s="4"/>
      <c r="O5712" s="4" t="str">
        <f>IFERROR(__xludf.DUMMYFUNCTION("""COMPUTED_VALUE"""),"Per Game")</f>
        <v>Per Game</v>
      </c>
      <c r="P5712" s="4"/>
      <c r="Q5712" s="4"/>
      <c r="R5712" s="4"/>
      <c r="S5712" s="4" t="str">
        <f>IFERROR(__xludf.DUMMYFUNCTION("""COMPUTED_VALUE"""),"Advanced")</f>
        <v>Advanced</v>
      </c>
      <c r="T5712" s="4"/>
      <c r="U5712" s="4"/>
      <c r="V5712" s="4"/>
    </row>
    <row r="5713">
      <c r="A5713" s="4" t="str">
        <f>IFERROR(__xludf.DUMMYFUNCTION("""COMPUTED_VALUE"""),"Rk")</f>
        <v>Rk</v>
      </c>
      <c r="B5713" s="4" t="str">
        <f>IFERROR(__xludf.DUMMYFUNCTION("""COMPUTED_VALUE"""),"Pk")</f>
        <v>Pk</v>
      </c>
      <c r="C5713" s="4" t="str">
        <f>IFERROR(__xludf.DUMMYFUNCTION("""COMPUTED_VALUE"""),"Tm")</f>
        <v>Tm</v>
      </c>
      <c r="D5713" s="4" t="str">
        <f>IFERROR(__xludf.DUMMYFUNCTION("""COMPUTED_VALUE"""),"Player")</f>
        <v>Player</v>
      </c>
      <c r="E5713" s="4" t="str">
        <f>IFERROR(__xludf.DUMMYFUNCTION("""COMPUTED_VALUE"""),"College")</f>
        <v>College</v>
      </c>
      <c r="F5713" s="4" t="str">
        <f>IFERROR(__xludf.DUMMYFUNCTION("""COMPUTED_VALUE"""),"Yrs")</f>
        <v>Yrs</v>
      </c>
      <c r="G5713" s="4" t="str">
        <f>IFERROR(__xludf.DUMMYFUNCTION("""COMPUTED_VALUE"""),"G")</f>
        <v>G</v>
      </c>
      <c r="H5713" s="4" t="str">
        <f>IFERROR(__xludf.DUMMYFUNCTION("""COMPUTED_VALUE"""),"MP")</f>
        <v>MP</v>
      </c>
      <c r="I5713" s="4" t="str">
        <f>IFERROR(__xludf.DUMMYFUNCTION("""COMPUTED_VALUE"""),"PTS")</f>
        <v>PTS</v>
      </c>
      <c r="J5713" s="4" t="str">
        <f>IFERROR(__xludf.DUMMYFUNCTION("""COMPUTED_VALUE"""),"TRB")</f>
        <v>TRB</v>
      </c>
      <c r="K5713" s="4" t="str">
        <f>IFERROR(__xludf.DUMMYFUNCTION("""COMPUTED_VALUE"""),"AST")</f>
        <v>AST</v>
      </c>
      <c r="L5713" s="4" t="str">
        <f>IFERROR(__xludf.DUMMYFUNCTION("""COMPUTED_VALUE"""),"FG%")</f>
        <v>FG%</v>
      </c>
      <c r="M5713" s="4" t="str">
        <f>IFERROR(__xludf.DUMMYFUNCTION("""COMPUTED_VALUE"""),"3P%")</f>
        <v>3P%</v>
      </c>
      <c r="N5713" s="4" t="str">
        <f>IFERROR(__xludf.DUMMYFUNCTION("""COMPUTED_VALUE"""),"FT%")</f>
        <v>FT%</v>
      </c>
      <c r="O5713" s="4" t="str">
        <f>IFERROR(__xludf.DUMMYFUNCTION("""COMPUTED_VALUE"""),"MP")</f>
        <v>MP</v>
      </c>
      <c r="P5713" s="4" t="str">
        <f>IFERROR(__xludf.DUMMYFUNCTION("""COMPUTED_VALUE"""),"PTS")</f>
        <v>PTS</v>
      </c>
      <c r="Q5713" s="4" t="str">
        <f>IFERROR(__xludf.DUMMYFUNCTION("""COMPUTED_VALUE"""),"TRB")</f>
        <v>TRB</v>
      </c>
      <c r="R5713" s="4" t="str">
        <f>IFERROR(__xludf.DUMMYFUNCTION("""COMPUTED_VALUE"""),"AST")</f>
        <v>AST</v>
      </c>
      <c r="S5713" s="4" t="str">
        <f>IFERROR(__xludf.DUMMYFUNCTION("""COMPUTED_VALUE"""),"WS")</f>
        <v>WS</v>
      </c>
      <c r="T5713" s="4" t="str">
        <f>IFERROR(__xludf.DUMMYFUNCTION("""COMPUTED_VALUE"""),"WS/48")</f>
        <v>WS/48</v>
      </c>
      <c r="U5713" s="4" t="str">
        <f>IFERROR(__xludf.DUMMYFUNCTION("""COMPUTED_VALUE"""),"BPM")</f>
        <v>BPM</v>
      </c>
      <c r="V5713" s="4" t="str">
        <f>IFERROR(__xludf.DUMMYFUNCTION("""COMPUTED_VALUE"""),"VORP")</f>
        <v>VORP</v>
      </c>
    </row>
    <row r="5714">
      <c r="A5714" s="4">
        <f>IFERROR(__xludf.DUMMYFUNCTION("""COMPUTED_VALUE"""),1.0)</f>
        <v>1</v>
      </c>
      <c r="B5714" s="4">
        <f>IFERROR(__xludf.DUMMYFUNCTION("""COMPUTED_VALUE"""),1.0)</f>
        <v>1</v>
      </c>
      <c r="C5714" s="4" t="str">
        <f>IFERROR(__xludf.DUMMYFUNCTION("""COMPUTED_VALUE"""),"POR")</f>
        <v>POR</v>
      </c>
      <c r="D5714" s="4" t="str">
        <f>IFERROR(__xludf.DUMMYFUNCTION("""COMPUTED_VALUE"""),"LaRue Martin")</f>
        <v>LaRue Martin</v>
      </c>
      <c r="E5714" s="4" t="str">
        <f>IFERROR(__xludf.DUMMYFUNCTION("""COMPUTED_VALUE"""),"Loyola Chicago")</f>
        <v>Loyola Chicago</v>
      </c>
      <c r="F5714" s="4">
        <f>IFERROR(__xludf.DUMMYFUNCTION("""COMPUTED_VALUE"""),4.0)</f>
        <v>4</v>
      </c>
      <c r="G5714" s="4">
        <f>IFERROR(__xludf.DUMMYFUNCTION("""COMPUTED_VALUE"""),271.0)</f>
        <v>271</v>
      </c>
      <c r="H5714" s="4">
        <f>IFERROR(__xludf.DUMMYFUNCTION("""COMPUTED_VALUE"""),3795.0)</f>
        <v>3795</v>
      </c>
      <c r="I5714" s="4">
        <f>IFERROR(__xludf.DUMMYFUNCTION("""COMPUTED_VALUE"""),1430.0)</f>
        <v>1430</v>
      </c>
      <c r="J5714" s="4">
        <f>IFERROR(__xludf.DUMMYFUNCTION("""COMPUTED_VALUE"""),1258.0)</f>
        <v>1258</v>
      </c>
      <c r="K5714" s="4">
        <f>IFERROR(__xludf.DUMMYFUNCTION("""COMPUTED_VALUE"""),203.0)</f>
        <v>203</v>
      </c>
      <c r="L5714" s="4">
        <f>IFERROR(__xludf.DUMMYFUNCTION("""COMPUTED_VALUE"""),0.416)</f>
        <v>0.416</v>
      </c>
      <c r="M5714" s="4"/>
      <c r="N5714" s="4">
        <f>IFERROR(__xludf.DUMMYFUNCTION("""COMPUTED_VALUE"""),0.685)</f>
        <v>0.685</v>
      </c>
      <c r="O5714" s="4">
        <f>IFERROR(__xludf.DUMMYFUNCTION("""COMPUTED_VALUE"""),14.0)</f>
        <v>14</v>
      </c>
      <c r="P5714" s="4">
        <f>IFERROR(__xludf.DUMMYFUNCTION("""COMPUTED_VALUE"""),5.3)</f>
        <v>5.3</v>
      </c>
      <c r="Q5714" s="4">
        <f>IFERROR(__xludf.DUMMYFUNCTION("""COMPUTED_VALUE"""),4.6)</f>
        <v>4.6</v>
      </c>
      <c r="R5714" s="4">
        <f>IFERROR(__xludf.DUMMYFUNCTION("""COMPUTED_VALUE"""),0.7)</f>
        <v>0.7</v>
      </c>
      <c r="S5714" s="4">
        <f>IFERROR(__xludf.DUMMYFUNCTION("""COMPUTED_VALUE"""),1.9)</f>
        <v>1.9</v>
      </c>
      <c r="T5714" s="4">
        <f>IFERROR(__xludf.DUMMYFUNCTION("""COMPUTED_VALUE"""),0.024)</f>
        <v>0.024</v>
      </c>
      <c r="U5714" s="4">
        <f>IFERROR(__xludf.DUMMYFUNCTION("""COMPUTED_VALUE"""),-4.0)</f>
        <v>-4</v>
      </c>
      <c r="V5714" s="4">
        <f>IFERROR(__xludf.DUMMYFUNCTION("""COMPUTED_VALUE"""),-1.4)</f>
        <v>-1.4</v>
      </c>
    </row>
    <row r="5715">
      <c r="A5715" s="4">
        <f>IFERROR(__xludf.DUMMYFUNCTION("""COMPUTED_VALUE"""),2.0)</f>
        <v>2</v>
      </c>
      <c r="B5715" s="4">
        <f>IFERROR(__xludf.DUMMYFUNCTION("""COMPUTED_VALUE"""),2.0)</f>
        <v>2</v>
      </c>
      <c r="C5715" s="4" t="str">
        <f>IFERROR(__xludf.DUMMYFUNCTION("""COMPUTED_VALUE"""),"BUF")</f>
        <v>BUF</v>
      </c>
      <c r="D5715" s="4" t="str">
        <f>IFERROR(__xludf.DUMMYFUNCTION("""COMPUTED_VALUE"""),"Bob McAdoo")</f>
        <v>Bob McAdoo</v>
      </c>
      <c r="E5715" s="4" t="str">
        <f>IFERROR(__xludf.DUMMYFUNCTION("""COMPUTED_VALUE"""),"UNC")</f>
        <v>UNC</v>
      </c>
      <c r="F5715" s="4">
        <f>IFERROR(__xludf.DUMMYFUNCTION("""COMPUTED_VALUE"""),14.0)</f>
        <v>14</v>
      </c>
      <c r="G5715" s="4">
        <f>IFERROR(__xludf.DUMMYFUNCTION("""COMPUTED_VALUE"""),852.0)</f>
        <v>852</v>
      </c>
      <c r="H5715" s="4">
        <f>IFERROR(__xludf.DUMMYFUNCTION("""COMPUTED_VALUE"""),28327.0)</f>
        <v>28327</v>
      </c>
      <c r="I5715" s="4">
        <f>IFERROR(__xludf.DUMMYFUNCTION("""COMPUTED_VALUE"""),18787.0)</f>
        <v>18787</v>
      </c>
      <c r="J5715" s="4">
        <f>IFERROR(__xludf.DUMMYFUNCTION("""COMPUTED_VALUE"""),8048.0)</f>
        <v>8048</v>
      </c>
      <c r="K5715" s="4">
        <f>IFERROR(__xludf.DUMMYFUNCTION("""COMPUTED_VALUE"""),1951.0)</f>
        <v>1951</v>
      </c>
      <c r="L5715" s="4">
        <f>IFERROR(__xludf.DUMMYFUNCTION("""COMPUTED_VALUE"""),0.503)</f>
        <v>0.503</v>
      </c>
      <c r="M5715" s="4"/>
      <c r="N5715" s="4">
        <f>IFERROR(__xludf.DUMMYFUNCTION("""COMPUTED_VALUE"""),0.754)</f>
        <v>0.754</v>
      </c>
      <c r="O5715" s="4">
        <f>IFERROR(__xludf.DUMMYFUNCTION("""COMPUTED_VALUE"""),33.2)</f>
        <v>33.2</v>
      </c>
      <c r="P5715" s="4">
        <f>IFERROR(__xludf.DUMMYFUNCTION("""COMPUTED_VALUE"""),22.1)</f>
        <v>22.1</v>
      </c>
      <c r="Q5715" s="4">
        <f>IFERROR(__xludf.DUMMYFUNCTION("""COMPUTED_VALUE"""),9.4)</f>
        <v>9.4</v>
      </c>
      <c r="R5715" s="4">
        <f>IFERROR(__xludf.DUMMYFUNCTION("""COMPUTED_VALUE"""),2.3)</f>
        <v>2.3</v>
      </c>
      <c r="S5715" s="4">
        <f>IFERROR(__xludf.DUMMYFUNCTION("""COMPUTED_VALUE"""),89.1)</f>
        <v>89.1</v>
      </c>
      <c r="T5715" s="4">
        <f>IFERROR(__xludf.DUMMYFUNCTION("""COMPUTED_VALUE"""),0.151)</f>
        <v>0.151</v>
      </c>
      <c r="U5715" s="4">
        <f>IFERROR(__xludf.DUMMYFUNCTION("""COMPUTED_VALUE"""),2.2)</f>
        <v>2.2</v>
      </c>
      <c r="V5715" s="4">
        <f>IFERROR(__xludf.DUMMYFUNCTION("""COMPUTED_VALUE"""),27.2)</f>
        <v>27.2</v>
      </c>
    </row>
    <row r="5716">
      <c r="A5716" s="4">
        <f>IFERROR(__xludf.DUMMYFUNCTION("""COMPUTED_VALUE"""),3.0)</f>
        <v>3</v>
      </c>
      <c r="B5716" s="4">
        <f>IFERROR(__xludf.DUMMYFUNCTION("""COMPUTED_VALUE"""),3.0)</f>
        <v>3</v>
      </c>
      <c r="C5716" s="4" t="str">
        <f>IFERROR(__xludf.DUMMYFUNCTION("""COMPUTED_VALUE"""),"CLE")</f>
        <v>CLE</v>
      </c>
      <c r="D5716" s="4" t="str">
        <f>IFERROR(__xludf.DUMMYFUNCTION("""COMPUTED_VALUE"""),"Dwight Davis")</f>
        <v>Dwight Davis</v>
      </c>
      <c r="E5716" s="4" t="str">
        <f>IFERROR(__xludf.DUMMYFUNCTION("""COMPUTED_VALUE"""),"Houston")</f>
        <v>Houston</v>
      </c>
      <c r="F5716" s="4">
        <f>IFERROR(__xludf.DUMMYFUNCTION("""COMPUTED_VALUE"""),5.0)</f>
        <v>5</v>
      </c>
      <c r="G5716" s="4">
        <f>IFERROR(__xludf.DUMMYFUNCTION("""COMPUTED_VALUE"""),340.0)</f>
        <v>340</v>
      </c>
      <c r="H5716" s="4">
        <f>IFERROR(__xludf.DUMMYFUNCTION("""COMPUTED_VALUE"""),8010.0)</f>
        <v>8010</v>
      </c>
      <c r="I5716" s="4">
        <f>IFERROR(__xludf.DUMMYFUNCTION("""COMPUTED_VALUE"""),2936.0)</f>
        <v>2936</v>
      </c>
      <c r="J5716" s="4">
        <f>IFERROR(__xludf.DUMMYFUNCTION("""COMPUTED_VALUE"""),1991.0)</f>
        <v>1991</v>
      </c>
      <c r="K5716" s="4">
        <f>IFERROR(__xludf.DUMMYFUNCTION("""COMPUTED_VALUE"""),529.0)</f>
        <v>529</v>
      </c>
      <c r="L5716" s="4">
        <f>IFERROR(__xludf.DUMMYFUNCTION("""COMPUTED_VALUE"""),0.423)</f>
        <v>0.423</v>
      </c>
      <c r="M5716" s="4"/>
      <c r="N5716" s="4">
        <f>IFERROR(__xludf.DUMMYFUNCTION("""COMPUTED_VALUE"""),0.73)</f>
        <v>0.73</v>
      </c>
      <c r="O5716" s="4">
        <f>IFERROR(__xludf.DUMMYFUNCTION("""COMPUTED_VALUE"""),23.6)</f>
        <v>23.6</v>
      </c>
      <c r="P5716" s="4">
        <f>IFERROR(__xludf.DUMMYFUNCTION("""COMPUTED_VALUE"""),8.6)</f>
        <v>8.6</v>
      </c>
      <c r="Q5716" s="4">
        <f>IFERROR(__xludf.DUMMYFUNCTION("""COMPUTED_VALUE"""),5.9)</f>
        <v>5.9</v>
      </c>
      <c r="R5716" s="4">
        <f>IFERROR(__xludf.DUMMYFUNCTION("""COMPUTED_VALUE"""),1.6)</f>
        <v>1.6</v>
      </c>
      <c r="S5716" s="4">
        <f>IFERROR(__xludf.DUMMYFUNCTION("""COMPUTED_VALUE"""),11.4)</f>
        <v>11.4</v>
      </c>
      <c r="T5716" s="4">
        <f>IFERROR(__xludf.DUMMYFUNCTION("""COMPUTED_VALUE"""),0.068)</f>
        <v>0.068</v>
      </c>
      <c r="U5716" s="4">
        <f>IFERROR(__xludf.DUMMYFUNCTION("""COMPUTED_VALUE"""),-1.7)</f>
        <v>-1.7</v>
      </c>
      <c r="V5716" s="4">
        <f>IFERROR(__xludf.DUMMYFUNCTION("""COMPUTED_VALUE"""),0.4)</f>
        <v>0.4</v>
      </c>
    </row>
    <row r="5717">
      <c r="A5717" s="4">
        <f>IFERROR(__xludf.DUMMYFUNCTION("""COMPUTED_VALUE"""),4.0)</f>
        <v>4</v>
      </c>
      <c r="B5717" s="4">
        <f>IFERROR(__xludf.DUMMYFUNCTION("""COMPUTED_VALUE"""),4.0)</f>
        <v>4</v>
      </c>
      <c r="C5717" s="4" t="str">
        <f>IFERROR(__xludf.DUMMYFUNCTION("""COMPUTED_VALUE"""),"PHO")</f>
        <v>PHO</v>
      </c>
      <c r="D5717" s="4" t="str">
        <f>IFERROR(__xludf.DUMMYFUNCTION("""COMPUTED_VALUE"""),"Corky Calhoun")</f>
        <v>Corky Calhoun</v>
      </c>
      <c r="E5717" s="4" t="str">
        <f>IFERROR(__xludf.DUMMYFUNCTION("""COMPUTED_VALUE"""),"Penn")</f>
        <v>Penn</v>
      </c>
      <c r="F5717" s="4">
        <f>IFERROR(__xludf.DUMMYFUNCTION("""COMPUTED_VALUE"""),8.0)</f>
        <v>8</v>
      </c>
      <c r="G5717" s="4">
        <f>IFERROR(__xludf.DUMMYFUNCTION("""COMPUTED_VALUE"""),542.0)</f>
        <v>542</v>
      </c>
      <c r="H5717" s="4">
        <f>IFERROR(__xludf.DUMMYFUNCTION("""COMPUTED_VALUE"""),10901.0)</f>
        <v>10901</v>
      </c>
      <c r="I5717" s="4">
        <f>IFERROR(__xludf.DUMMYFUNCTION("""COMPUTED_VALUE"""),2896.0)</f>
        <v>2896</v>
      </c>
      <c r="J5717" s="4">
        <f>IFERROR(__xludf.DUMMYFUNCTION("""COMPUTED_VALUE"""),1962.0)</f>
        <v>1962</v>
      </c>
      <c r="K5717" s="4">
        <f>IFERROR(__xludf.DUMMYFUNCTION("""COMPUTED_VALUE"""),601.0)</f>
        <v>601</v>
      </c>
      <c r="L5717" s="4">
        <f>IFERROR(__xludf.DUMMYFUNCTION("""COMPUTED_VALUE"""),0.46)</f>
        <v>0.46</v>
      </c>
      <c r="M5717" s="4"/>
      <c r="N5717" s="4">
        <f>IFERROR(__xludf.DUMMYFUNCTION("""COMPUTED_VALUE"""),0.782)</f>
        <v>0.782</v>
      </c>
      <c r="O5717" s="4">
        <f>IFERROR(__xludf.DUMMYFUNCTION("""COMPUTED_VALUE"""),20.1)</f>
        <v>20.1</v>
      </c>
      <c r="P5717" s="4">
        <f>IFERROR(__xludf.DUMMYFUNCTION("""COMPUTED_VALUE"""),5.3)</f>
        <v>5.3</v>
      </c>
      <c r="Q5717" s="4">
        <f>IFERROR(__xludf.DUMMYFUNCTION("""COMPUTED_VALUE"""),3.6)</f>
        <v>3.6</v>
      </c>
      <c r="R5717" s="4">
        <f>IFERROR(__xludf.DUMMYFUNCTION("""COMPUTED_VALUE"""),1.1)</f>
        <v>1.1</v>
      </c>
      <c r="S5717" s="4">
        <f>IFERROR(__xludf.DUMMYFUNCTION("""COMPUTED_VALUE"""),14.4)</f>
        <v>14.4</v>
      </c>
      <c r="T5717" s="4">
        <f>IFERROR(__xludf.DUMMYFUNCTION("""COMPUTED_VALUE"""),0.064)</f>
        <v>0.064</v>
      </c>
      <c r="U5717" s="4">
        <f>IFERROR(__xludf.DUMMYFUNCTION("""COMPUTED_VALUE"""),-1.7)</f>
        <v>-1.7</v>
      </c>
      <c r="V5717" s="4">
        <f>IFERROR(__xludf.DUMMYFUNCTION("""COMPUTED_VALUE"""),0.6)</f>
        <v>0.6</v>
      </c>
    </row>
    <row r="5718">
      <c r="A5718" s="4">
        <f>IFERROR(__xludf.DUMMYFUNCTION("""COMPUTED_VALUE"""),5.0)</f>
        <v>5</v>
      </c>
      <c r="B5718" s="4">
        <f>IFERROR(__xludf.DUMMYFUNCTION("""COMPUTED_VALUE"""),5.0)</f>
        <v>5</v>
      </c>
      <c r="C5718" s="4" t="str">
        <f>IFERROR(__xludf.DUMMYFUNCTION("""COMPUTED_VALUE"""),"PHI")</f>
        <v>PHI</v>
      </c>
      <c r="D5718" s="4" t="str">
        <f>IFERROR(__xludf.DUMMYFUNCTION("""COMPUTED_VALUE"""),"Freddie Boyd")</f>
        <v>Freddie Boyd</v>
      </c>
      <c r="E5718" s="4" t="str">
        <f>IFERROR(__xludf.DUMMYFUNCTION("""COMPUTED_VALUE"""),"Oregon State")</f>
        <v>Oregon State</v>
      </c>
      <c r="F5718" s="4">
        <f>IFERROR(__xludf.DUMMYFUNCTION("""COMPUTED_VALUE"""),6.0)</f>
        <v>6</v>
      </c>
      <c r="G5718" s="4">
        <f>IFERROR(__xludf.DUMMYFUNCTION("""COMPUTED_VALUE"""),327.0)</f>
        <v>327</v>
      </c>
      <c r="H5718" s="4">
        <f>IFERROR(__xludf.DUMMYFUNCTION("""COMPUTED_VALUE"""),7723.0)</f>
        <v>7723</v>
      </c>
      <c r="I5718" s="4">
        <f>IFERROR(__xludf.DUMMYFUNCTION("""COMPUTED_VALUE"""),2784.0)</f>
        <v>2784</v>
      </c>
      <c r="J5718" s="4">
        <f>IFERROR(__xludf.DUMMYFUNCTION("""COMPUTED_VALUE"""),533.0)</f>
        <v>533</v>
      </c>
      <c r="K5718" s="4">
        <f>IFERROR(__xludf.DUMMYFUNCTION("""COMPUTED_VALUE"""),986.0)</f>
        <v>986</v>
      </c>
      <c r="L5718" s="4">
        <f>IFERROR(__xludf.DUMMYFUNCTION("""COMPUTED_VALUE"""),0.414)</f>
        <v>0.414</v>
      </c>
      <c r="M5718" s="4"/>
      <c r="N5718" s="4">
        <f>IFERROR(__xludf.DUMMYFUNCTION("""COMPUTED_VALUE"""),0.667)</f>
        <v>0.667</v>
      </c>
      <c r="O5718" s="4">
        <f>IFERROR(__xludf.DUMMYFUNCTION("""COMPUTED_VALUE"""),23.6)</f>
        <v>23.6</v>
      </c>
      <c r="P5718" s="4">
        <f>IFERROR(__xludf.DUMMYFUNCTION("""COMPUTED_VALUE"""),8.5)</f>
        <v>8.5</v>
      </c>
      <c r="Q5718" s="4">
        <f>IFERROR(__xludf.DUMMYFUNCTION("""COMPUTED_VALUE"""),1.6)</f>
        <v>1.6</v>
      </c>
      <c r="R5718" s="4">
        <f>IFERROR(__xludf.DUMMYFUNCTION("""COMPUTED_VALUE"""),3.0)</f>
        <v>3</v>
      </c>
      <c r="S5718" s="4">
        <f>IFERROR(__xludf.DUMMYFUNCTION("""COMPUTED_VALUE"""),1.4)</f>
        <v>1.4</v>
      </c>
      <c r="T5718" s="4">
        <f>IFERROR(__xludf.DUMMYFUNCTION("""COMPUTED_VALUE"""),0.009)</f>
        <v>0.009</v>
      </c>
      <c r="U5718" s="4">
        <f>IFERROR(__xludf.DUMMYFUNCTION("""COMPUTED_VALUE"""),-3.3)</f>
        <v>-3.3</v>
      </c>
      <c r="V5718" s="4">
        <f>IFERROR(__xludf.DUMMYFUNCTION("""COMPUTED_VALUE"""),-1.8)</f>
        <v>-1.8</v>
      </c>
    </row>
    <row r="5719">
      <c r="A5719" s="4">
        <f>IFERROR(__xludf.DUMMYFUNCTION("""COMPUTED_VALUE"""),6.0)</f>
        <v>6</v>
      </c>
      <c r="B5719" s="4">
        <f>IFERROR(__xludf.DUMMYFUNCTION("""COMPUTED_VALUE"""),6.0)</f>
        <v>6</v>
      </c>
      <c r="C5719" s="4" t="str">
        <f>IFERROR(__xludf.DUMMYFUNCTION("""COMPUTED_VALUE"""),"MIL")</f>
        <v>MIL</v>
      </c>
      <c r="D5719" s="4" t="str">
        <f>IFERROR(__xludf.DUMMYFUNCTION("""COMPUTED_VALUE"""),"Russ Lee")</f>
        <v>Russ Lee</v>
      </c>
      <c r="E5719" s="4" t="str">
        <f>IFERROR(__xludf.DUMMYFUNCTION("""COMPUTED_VALUE"""),"Marshall")</f>
        <v>Marshall</v>
      </c>
      <c r="F5719" s="4">
        <f>IFERROR(__xludf.DUMMYFUNCTION("""COMPUTED_VALUE"""),3.0)</f>
        <v>3</v>
      </c>
      <c r="G5719" s="4">
        <f>IFERROR(__xludf.DUMMYFUNCTION("""COMPUTED_VALUE"""),97.0)</f>
        <v>97</v>
      </c>
      <c r="H5719" s="4">
        <f>IFERROR(__xludf.DUMMYFUNCTION("""COMPUTED_VALUE"""),582.0)</f>
        <v>582</v>
      </c>
      <c r="I5719" s="4">
        <f>IFERROR(__xludf.DUMMYFUNCTION("""COMPUTED_VALUE"""),282.0)</f>
        <v>282</v>
      </c>
      <c r="J5719" s="4">
        <f>IFERROR(__xludf.DUMMYFUNCTION("""COMPUTED_VALUE"""),114.0)</f>
        <v>114</v>
      </c>
      <c r="K5719" s="4">
        <f>IFERROR(__xludf.DUMMYFUNCTION("""COMPUTED_VALUE"""),65.0)</f>
        <v>65</v>
      </c>
      <c r="L5719" s="4">
        <f>IFERROR(__xludf.DUMMYFUNCTION("""COMPUTED_VALUE"""),0.391)</f>
        <v>0.391</v>
      </c>
      <c r="M5719" s="4"/>
      <c r="N5719" s="4">
        <f>IFERROR(__xludf.DUMMYFUNCTION("""COMPUTED_VALUE"""),0.685)</f>
        <v>0.685</v>
      </c>
      <c r="O5719" s="4">
        <f>IFERROR(__xludf.DUMMYFUNCTION("""COMPUTED_VALUE"""),6.0)</f>
        <v>6</v>
      </c>
      <c r="P5719" s="4">
        <f>IFERROR(__xludf.DUMMYFUNCTION("""COMPUTED_VALUE"""),2.9)</f>
        <v>2.9</v>
      </c>
      <c r="Q5719" s="4">
        <f>IFERROR(__xludf.DUMMYFUNCTION("""COMPUTED_VALUE"""),1.2)</f>
        <v>1.2</v>
      </c>
      <c r="R5719" s="4">
        <f>IFERROR(__xludf.DUMMYFUNCTION("""COMPUTED_VALUE"""),0.7)</f>
        <v>0.7</v>
      </c>
      <c r="S5719" s="4">
        <f>IFERROR(__xludf.DUMMYFUNCTION("""COMPUTED_VALUE"""),0.5)</f>
        <v>0.5</v>
      </c>
      <c r="T5719" s="4">
        <f>IFERROR(__xludf.DUMMYFUNCTION("""COMPUTED_VALUE"""),0.038)</f>
        <v>0.038</v>
      </c>
      <c r="U5719" s="4">
        <f>IFERROR(__xludf.DUMMYFUNCTION("""COMPUTED_VALUE"""),-3.0)</f>
        <v>-3</v>
      </c>
      <c r="V5719" s="4">
        <f>IFERROR(__xludf.DUMMYFUNCTION("""COMPUTED_VALUE"""),0.0)</f>
        <v>0</v>
      </c>
    </row>
    <row r="5720">
      <c r="A5720" s="4">
        <f>IFERROR(__xludf.DUMMYFUNCTION("""COMPUTED_VALUE"""),7.0)</f>
        <v>7</v>
      </c>
      <c r="B5720" s="4">
        <f>IFERROR(__xludf.DUMMYFUNCTION("""COMPUTED_VALUE"""),7.0)</f>
        <v>7</v>
      </c>
      <c r="C5720" s="4" t="str">
        <f>IFERROR(__xludf.DUMMYFUNCTION("""COMPUTED_VALUE"""),"SEA")</f>
        <v>SEA</v>
      </c>
      <c r="D5720" s="4" t="str">
        <f>IFERROR(__xludf.DUMMYFUNCTION("""COMPUTED_VALUE"""),"Bud Stallworth")</f>
        <v>Bud Stallworth</v>
      </c>
      <c r="E5720" s="4" t="str">
        <f>IFERROR(__xludf.DUMMYFUNCTION("""COMPUTED_VALUE"""),"Kansas")</f>
        <v>Kansas</v>
      </c>
      <c r="F5720" s="4">
        <f>IFERROR(__xludf.DUMMYFUNCTION("""COMPUTED_VALUE"""),5.0)</f>
        <v>5</v>
      </c>
      <c r="G5720" s="4">
        <f>IFERROR(__xludf.DUMMYFUNCTION("""COMPUTED_VALUE"""),313.0)</f>
        <v>313</v>
      </c>
      <c r="H5720" s="4">
        <f>IFERROR(__xludf.DUMMYFUNCTION("""COMPUTED_VALUE"""),5489.0)</f>
        <v>5489</v>
      </c>
      <c r="I5720" s="4">
        <f>IFERROR(__xludf.DUMMYFUNCTION("""COMPUTED_VALUE"""),2403.0)</f>
        <v>2403</v>
      </c>
      <c r="J5720" s="4">
        <f>IFERROR(__xludf.DUMMYFUNCTION("""COMPUTED_VALUE"""),861.0)</f>
        <v>861</v>
      </c>
      <c r="K5720" s="4">
        <f>IFERROR(__xludf.DUMMYFUNCTION("""COMPUTED_VALUE"""),213.0)</f>
        <v>213</v>
      </c>
      <c r="L5720" s="4">
        <f>IFERROR(__xludf.DUMMYFUNCTION("""COMPUTED_VALUE"""),0.414)</f>
        <v>0.414</v>
      </c>
      <c r="M5720" s="4"/>
      <c r="N5720" s="4">
        <f>IFERROR(__xludf.DUMMYFUNCTION("""COMPUTED_VALUE"""),0.686)</f>
        <v>0.686</v>
      </c>
      <c r="O5720" s="4">
        <f>IFERROR(__xludf.DUMMYFUNCTION("""COMPUTED_VALUE"""),17.5)</f>
        <v>17.5</v>
      </c>
      <c r="P5720" s="4">
        <f>IFERROR(__xludf.DUMMYFUNCTION("""COMPUTED_VALUE"""),7.7)</f>
        <v>7.7</v>
      </c>
      <c r="Q5720" s="4">
        <f>IFERROR(__xludf.DUMMYFUNCTION("""COMPUTED_VALUE"""),2.8)</f>
        <v>2.8</v>
      </c>
      <c r="R5720" s="4">
        <f>IFERROR(__xludf.DUMMYFUNCTION("""COMPUTED_VALUE"""),0.7)</f>
        <v>0.7</v>
      </c>
      <c r="S5720" s="4">
        <f>IFERROR(__xludf.DUMMYFUNCTION("""COMPUTED_VALUE"""),0.7)</f>
        <v>0.7</v>
      </c>
      <c r="T5720" s="4">
        <f>IFERROR(__xludf.DUMMYFUNCTION("""COMPUTED_VALUE"""),0.006)</f>
        <v>0.006</v>
      </c>
      <c r="U5720" s="4">
        <f>IFERROR(__xludf.DUMMYFUNCTION("""COMPUTED_VALUE"""),-4.3)</f>
        <v>-4.3</v>
      </c>
      <c r="V5720" s="4">
        <f>IFERROR(__xludf.DUMMYFUNCTION("""COMPUTED_VALUE"""),-2.4)</f>
        <v>-2.4</v>
      </c>
    </row>
    <row r="5721">
      <c r="A5721" s="4">
        <f>IFERROR(__xludf.DUMMYFUNCTION("""COMPUTED_VALUE"""),8.0)</f>
        <v>8</v>
      </c>
      <c r="B5721" s="4">
        <f>IFERROR(__xludf.DUMMYFUNCTION("""COMPUTED_VALUE"""),8.0)</f>
        <v>8</v>
      </c>
      <c r="C5721" s="4" t="str">
        <f>IFERROR(__xludf.DUMMYFUNCTION("""COMPUTED_VALUE"""),"NYK")</f>
        <v>NYK</v>
      </c>
      <c r="D5721" s="4" t="str">
        <f>IFERROR(__xludf.DUMMYFUNCTION("""COMPUTED_VALUE"""),"Tom Riker")</f>
        <v>Tom Riker</v>
      </c>
      <c r="E5721" s="4" t="str">
        <f>IFERROR(__xludf.DUMMYFUNCTION("""COMPUTED_VALUE"""),"South Carolina")</f>
        <v>South Carolina</v>
      </c>
      <c r="F5721" s="4">
        <f>IFERROR(__xludf.DUMMYFUNCTION("""COMPUTED_VALUE"""),3.0)</f>
        <v>3</v>
      </c>
      <c r="G5721" s="4">
        <f>IFERROR(__xludf.DUMMYFUNCTION("""COMPUTED_VALUE"""),82.0)</f>
        <v>82</v>
      </c>
      <c r="H5721" s="4">
        <f>IFERROR(__xludf.DUMMYFUNCTION("""COMPUTED_VALUE"""),605.0)</f>
        <v>605</v>
      </c>
      <c r="I5721" s="4">
        <f>IFERROR(__xludf.DUMMYFUNCTION("""COMPUTED_VALUE"""),225.0)</f>
        <v>225</v>
      </c>
      <c r="J5721" s="4">
        <f>IFERROR(__xludf.DUMMYFUNCTION("""COMPUTED_VALUE"""),138.0)</f>
        <v>138</v>
      </c>
      <c r="K5721" s="4">
        <f>IFERROR(__xludf.DUMMYFUNCTION("""COMPUTED_VALUE"""),24.0)</f>
        <v>24</v>
      </c>
      <c r="L5721" s="4">
        <f>IFERROR(__xludf.DUMMYFUNCTION("""COMPUTED_VALUE"""),0.38)</f>
        <v>0.38</v>
      </c>
      <c r="M5721" s="4"/>
      <c r="N5721" s="4">
        <f>IFERROR(__xludf.DUMMYFUNCTION("""COMPUTED_VALUE"""),0.593)</f>
        <v>0.593</v>
      </c>
      <c r="O5721" s="4">
        <f>IFERROR(__xludf.DUMMYFUNCTION("""COMPUTED_VALUE"""),7.4)</f>
        <v>7.4</v>
      </c>
      <c r="P5721" s="4">
        <f>IFERROR(__xludf.DUMMYFUNCTION("""COMPUTED_VALUE"""),2.7)</f>
        <v>2.7</v>
      </c>
      <c r="Q5721" s="4">
        <f>IFERROR(__xludf.DUMMYFUNCTION("""COMPUTED_VALUE"""),1.7)</f>
        <v>1.7</v>
      </c>
      <c r="R5721" s="4">
        <f>IFERROR(__xludf.DUMMYFUNCTION("""COMPUTED_VALUE"""),0.3)</f>
        <v>0.3</v>
      </c>
      <c r="S5721" s="4">
        <f>IFERROR(__xludf.DUMMYFUNCTION("""COMPUTED_VALUE"""),0.4)</f>
        <v>0.4</v>
      </c>
      <c r="T5721" s="4">
        <f>IFERROR(__xludf.DUMMYFUNCTION("""COMPUTED_VALUE"""),0.033)</f>
        <v>0.033</v>
      </c>
      <c r="U5721" s="4">
        <f>IFERROR(__xludf.DUMMYFUNCTION("""COMPUTED_VALUE"""),-4.3)</f>
        <v>-4.3</v>
      </c>
      <c r="V5721" s="4">
        <f>IFERROR(__xludf.DUMMYFUNCTION("""COMPUTED_VALUE"""),-0.3)</f>
        <v>-0.3</v>
      </c>
    </row>
    <row r="5722">
      <c r="A5722" s="4">
        <f>IFERROR(__xludf.DUMMYFUNCTION("""COMPUTED_VALUE"""),9.0)</f>
        <v>9</v>
      </c>
      <c r="B5722" s="4">
        <f>IFERROR(__xludf.DUMMYFUNCTION("""COMPUTED_VALUE"""),9.0)</f>
        <v>9</v>
      </c>
      <c r="C5722" s="4" t="str">
        <f>IFERROR(__xludf.DUMMYFUNCTION("""COMPUTED_VALUE"""),"DET")</f>
        <v>DET</v>
      </c>
      <c r="D5722" s="4" t="str">
        <f>IFERROR(__xludf.DUMMYFUNCTION("""COMPUTED_VALUE"""),"Bob Nash")</f>
        <v>Bob Nash</v>
      </c>
      <c r="E5722" s="4" t="str">
        <f>IFERROR(__xludf.DUMMYFUNCTION("""COMPUTED_VALUE"""),"Hawaii")</f>
        <v>Hawaii</v>
      </c>
      <c r="F5722" s="4">
        <f>IFERROR(__xludf.DUMMYFUNCTION("""COMPUTED_VALUE"""),4.0)</f>
        <v>4</v>
      </c>
      <c r="G5722" s="4">
        <f>IFERROR(__xludf.DUMMYFUNCTION("""COMPUTED_VALUE"""),219.0)</f>
        <v>219</v>
      </c>
      <c r="H5722" s="4">
        <f>IFERROR(__xludf.DUMMYFUNCTION("""COMPUTED_VALUE"""),2557.0)</f>
        <v>2557</v>
      </c>
      <c r="I5722" s="4">
        <f>IFERROR(__xludf.DUMMYFUNCTION("""COMPUTED_VALUE"""),1036.0)</f>
        <v>1036</v>
      </c>
      <c r="J5722" s="4">
        <f>IFERROR(__xludf.DUMMYFUNCTION("""COMPUTED_VALUE"""),483.0)</f>
        <v>483</v>
      </c>
      <c r="K5722" s="4">
        <f>IFERROR(__xludf.DUMMYFUNCTION("""COMPUTED_VALUE"""),147.0)</f>
        <v>147</v>
      </c>
      <c r="L5722" s="4">
        <f>IFERROR(__xludf.DUMMYFUNCTION("""COMPUTED_VALUE"""),0.435)</f>
        <v>0.435</v>
      </c>
      <c r="M5722" s="4"/>
      <c r="N5722" s="4">
        <f>IFERROR(__xludf.DUMMYFUNCTION("""COMPUTED_VALUE"""),0.73)</f>
        <v>0.73</v>
      </c>
      <c r="O5722" s="4">
        <f>IFERROR(__xludf.DUMMYFUNCTION("""COMPUTED_VALUE"""),11.7)</f>
        <v>11.7</v>
      </c>
      <c r="P5722" s="4">
        <f>IFERROR(__xludf.DUMMYFUNCTION("""COMPUTED_VALUE"""),4.7)</f>
        <v>4.7</v>
      </c>
      <c r="Q5722" s="4">
        <f>IFERROR(__xludf.DUMMYFUNCTION("""COMPUTED_VALUE"""),2.2)</f>
        <v>2.2</v>
      </c>
      <c r="R5722" s="4">
        <f>IFERROR(__xludf.DUMMYFUNCTION("""COMPUTED_VALUE"""),0.7)</f>
        <v>0.7</v>
      </c>
      <c r="S5722" s="4">
        <f>IFERROR(__xludf.DUMMYFUNCTION("""COMPUTED_VALUE"""),2.6)</f>
        <v>2.6</v>
      </c>
      <c r="T5722" s="4">
        <f>IFERROR(__xludf.DUMMYFUNCTION("""COMPUTED_VALUE"""),0.048)</f>
        <v>0.048</v>
      </c>
      <c r="U5722" s="4">
        <f>IFERROR(__xludf.DUMMYFUNCTION("""COMPUTED_VALUE"""),-1.9)</f>
        <v>-1.9</v>
      </c>
      <c r="V5722" s="4">
        <f>IFERROR(__xludf.DUMMYFUNCTION("""COMPUTED_VALUE"""),0.0)</f>
        <v>0</v>
      </c>
    </row>
    <row r="5723">
      <c r="A5723" s="4">
        <f>IFERROR(__xludf.DUMMYFUNCTION("""COMPUTED_VALUE"""),10.0)</f>
        <v>10</v>
      </c>
      <c r="B5723" s="4">
        <f>IFERROR(__xludf.DUMMYFUNCTION("""COMPUTED_VALUE"""),10.0)</f>
        <v>10</v>
      </c>
      <c r="C5723" s="4" t="str">
        <f>IFERROR(__xludf.DUMMYFUNCTION("""COMPUTED_VALUE"""),"BOS")</f>
        <v>BOS</v>
      </c>
      <c r="D5723" s="4" t="str">
        <f>IFERROR(__xludf.DUMMYFUNCTION("""COMPUTED_VALUE"""),"Paul Westphal")</f>
        <v>Paul Westphal</v>
      </c>
      <c r="E5723" s="4" t="str">
        <f>IFERROR(__xludf.DUMMYFUNCTION("""COMPUTED_VALUE"""),"USC")</f>
        <v>USC</v>
      </c>
      <c r="F5723" s="4">
        <f>IFERROR(__xludf.DUMMYFUNCTION("""COMPUTED_VALUE"""),12.0)</f>
        <v>12</v>
      </c>
      <c r="G5723" s="4">
        <f>IFERROR(__xludf.DUMMYFUNCTION("""COMPUTED_VALUE"""),823.0)</f>
        <v>823</v>
      </c>
      <c r="H5723" s="4">
        <f>IFERROR(__xludf.DUMMYFUNCTION("""COMPUTED_VALUE"""),20947.0)</f>
        <v>20947</v>
      </c>
      <c r="I5723" s="4">
        <f>IFERROR(__xludf.DUMMYFUNCTION("""COMPUTED_VALUE"""),12809.0)</f>
        <v>12809</v>
      </c>
      <c r="J5723" s="4">
        <f>IFERROR(__xludf.DUMMYFUNCTION("""COMPUTED_VALUE"""),1580.0)</f>
        <v>1580</v>
      </c>
      <c r="K5723" s="4">
        <f>IFERROR(__xludf.DUMMYFUNCTION("""COMPUTED_VALUE"""),3591.0)</f>
        <v>3591</v>
      </c>
      <c r="L5723" s="4">
        <f>IFERROR(__xludf.DUMMYFUNCTION("""COMPUTED_VALUE"""),0.504)</f>
        <v>0.504</v>
      </c>
      <c r="M5723" s="4"/>
      <c r="N5723" s="4">
        <f>IFERROR(__xludf.DUMMYFUNCTION("""COMPUTED_VALUE"""),0.82)</f>
        <v>0.82</v>
      </c>
      <c r="O5723" s="4">
        <f>IFERROR(__xludf.DUMMYFUNCTION("""COMPUTED_VALUE"""),25.5)</f>
        <v>25.5</v>
      </c>
      <c r="P5723" s="4">
        <f>IFERROR(__xludf.DUMMYFUNCTION("""COMPUTED_VALUE"""),15.6)</f>
        <v>15.6</v>
      </c>
      <c r="Q5723" s="4">
        <f>IFERROR(__xludf.DUMMYFUNCTION("""COMPUTED_VALUE"""),1.9)</f>
        <v>1.9</v>
      </c>
      <c r="R5723" s="4">
        <f>IFERROR(__xludf.DUMMYFUNCTION("""COMPUTED_VALUE"""),4.4)</f>
        <v>4.4</v>
      </c>
      <c r="S5723" s="4">
        <f>IFERROR(__xludf.DUMMYFUNCTION("""COMPUTED_VALUE"""),67.7)</f>
        <v>67.7</v>
      </c>
      <c r="T5723" s="4">
        <f>IFERROR(__xludf.DUMMYFUNCTION("""COMPUTED_VALUE"""),0.155)</f>
        <v>0.155</v>
      </c>
      <c r="U5723" s="4">
        <f>IFERROR(__xludf.DUMMYFUNCTION("""COMPUTED_VALUE"""),2.8)</f>
        <v>2.8</v>
      </c>
      <c r="V5723" s="4">
        <f>IFERROR(__xludf.DUMMYFUNCTION("""COMPUTED_VALUE"""),24.8)</f>
        <v>24.8</v>
      </c>
    </row>
    <row r="5724">
      <c r="A5724" s="4">
        <f>IFERROR(__xludf.DUMMYFUNCTION("""COMPUTED_VALUE"""),11.0)</f>
        <v>11</v>
      </c>
      <c r="B5724" s="4">
        <f>IFERROR(__xludf.DUMMYFUNCTION("""COMPUTED_VALUE"""),11.0)</f>
        <v>11</v>
      </c>
      <c r="C5724" s="4" t="str">
        <f>IFERROR(__xludf.DUMMYFUNCTION("""COMPUTED_VALUE"""),"CHI")</f>
        <v>CHI</v>
      </c>
      <c r="D5724" s="4" t="str">
        <f>IFERROR(__xludf.DUMMYFUNCTION("""COMPUTED_VALUE"""),"Ralph Simpson")</f>
        <v>Ralph Simpson</v>
      </c>
      <c r="E5724" s="4" t="str">
        <f>IFERROR(__xludf.DUMMYFUNCTION("""COMPUTED_VALUE"""),"Michigan State")</f>
        <v>Michigan State</v>
      </c>
      <c r="F5724" s="4">
        <f>IFERROR(__xludf.DUMMYFUNCTION("""COMPUTED_VALUE"""),4.0)</f>
        <v>4</v>
      </c>
      <c r="G5724" s="4">
        <f>IFERROR(__xludf.DUMMYFUNCTION("""COMPUTED_VALUE"""),218.0)</f>
        <v>218</v>
      </c>
      <c r="H5724" s="4">
        <f>IFERROR(__xludf.DUMMYFUNCTION("""COMPUTED_VALUE"""),3980.0)</f>
        <v>3980</v>
      </c>
      <c r="I5724" s="4">
        <f>IFERROR(__xludf.DUMMYFUNCTION("""COMPUTED_VALUE"""),1832.0)</f>
        <v>1832</v>
      </c>
      <c r="J5724" s="4">
        <f>IFERROR(__xludf.DUMMYFUNCTION("""COMPUTED_VALUE"""),445.0)</f>
        <v>445</v>
      </c>
      <c r="K5724" s="4">
        <f>IFERROR(__xludf.DUMMYFUNCTION("""COMPUTED_VALUE"""),479.0)</f>
        <v>479</v>
      </c>
      <c r="L5724" s="4">
        <f>IFERROR(__xludf.DUMMYFUNCTION("""COMPUTED_VALUE"""),0.404)</f>
        <v>0.404</v>
      </c>
      <c r="M5724" s="4"/>
      <c r="N5724" s="4">
        <f>IFERROR(__xludf.DUMMYFUNCTION("""COMPUTED_VALUE"""),0.724)</f>
        <v>0.724</v>
      </c>
      <c r="O5724" s="4">
        <f>IFERROR(__xludf.DUMMYFUNCTION("""COMPUTED_VALUE"""),18.3)</f>
        <v>18.3</v>
      </c>
      <c r="P5724" s="4">
        <f>IFERROR(__xludf.DUMMYFUNCTION("""COMPUTED_VALUE"""),8.4)</f>
        <v>8.4</v>
      </c>
      <c r="Q5724" s="4">
        <f>IFERROR(__xludf.DUMMYFUNCTION("""COMPUTED_VALUE"""),2.0)</f>
        <v>2</v>
      </c>
      <c r="R5724" s="4">
        <f>IFERROR(__xludf.DUMMYFUNCTION("""COMPUTED_VALUE"""),2.2)</f>
        <v>2.2</v>
      </c>
      <c r="S5724" s="4">
        <f>IFERROR(__xludf.DUMMYFUNCTION("""COMPUTED_VALUE"""),0.7)</f>
        <v>0.7</v>
      </c>
      <c r="T5724" s="4">
        <f>IFERROR(__xludf.DUMMYFUNCTION("""COMPUTED_VALUE"""),0.008)</f>
        <v>0.008</v>
      </c>
      <c r="U5724" s="4">
        <f>IFERROR(__xludf.DUMMYFUNCTION("""COMPUTED_VALUE"""),-3.0)</f>
        <v>-3</v>
      </c>
      <c r="V5724" s="4">
        <f>IFERROR(__xludf.DUMMYFUNCTION("""COMPUTED_VALUE"""),-1.0)</f>
        <v>-1</v>
      </c>
    </row>
    <row r="5725">
      <c r="A5725" s="4">
        <f>IFERROR(__xludf.DUMMYFUNCTION("""COMPUTED_VALUE"""),12.0)</f>
        <v>12</v>
      </c>
      <c r="B5725" s="4">
        <f>IFERROR(__xludf.DUMMYFUNCTION("""COMPUTED_VALUE"""),12.0)</f>
        <v>12</v>
      </c>
      <c r="C5725" s="4" t="str">
        <f>IFERROR(__xludf.DUMMYFUNCTION("""COMPUTED_VALUE"""),"MIL")</f>
        <v>MIL</v>
      </c>
      <c r="D5725" s="4" t="str">
        <f>IFERROR(__xludf.DUMMYFUNCTION("""COMPUTED_VALUE"""),"Julius Erving")</f>
        <v>Julius Erving</v>
      </c>
      <c r="E5725" s="4" t="str">
        <f>IFERROR(__xludf.DUMMYFUNCTION("""COMPUTED_VALUE"""),"UMass")</f>
        <v>UMass</v>
      </c>
      <c r="F5725" s="4">
        <f>IFERROR(__xludf.DUMMYFUNCTION("""COMPUTED_VALUE"""),11.0)</f>
        <v>11</v>
      </c>
      <c r="G5725" s="4">
        <f>IFERROR(__xludf.DUMMYFUNCTION("""COMPUTED_VALUE"""),836.0)</f>
        <v>836</v>
      </c>
      <c r="H5725" s="4">
        <f>IFERROR(__xludf.DUMMYFUNCTION("""COMPUTED_VALUE"""),28677.0)</f>
        <v>28677</v>
      </c>
      <c r="I5725" s="4">
        <f>IFERROR(__xludf.DUMMYFUNCTION("""COMPUTED_VALUE"""),18364.0)</f>
        <v>18364</v>
      </c>
      <c r="J5725" s="4">
        <f>IFERROR(__xludf.DUMMYFUNCTION("""COMPUTED_VALUE"""),5601.0)</f>
        <v>5601</v>
      </c>
      <c r="K5725" s="4">
        <f>IFERROR(__xludf.DUMMYFUNCTION("""COMPUTED_VALUE"""),3224.0)</f>
        <v>3224</v>
      </c>
      <c r="L5725" s="4">
        <f>IFERROR(__xludf.DUMMYFUNCTION("""COMPUTED_VALUE"""),0.507)</f>
        <v>0.507</v>
      </c>
      <c r="M5725" s="4"/>
      <c r="N5725" s="4">
        <f>IFERROR(__xludf.DUMMYFUNCTION("""COMPUTED_VALUE"""),0.777)</f>
        <v>0.777</v>
      </c>
      <c r="O5725" s="4">
        <f>IFERROR(__xludf.DUMMYFUNCTION("""COMPUTED_VALUE"""),34.3)</f>
        <v>34.3</v>
      </c>
      <c r="P5725" s="4">
        <f>IFERROR(__xludf.DUMMYFUNCTION("""COMPUTED_VALUE"""),22.0)</f>
        <v>22</v>
      </c>
      <c r="Q5725" s="4">
        <f>IFERROR(__xludf.DUMMYFUNCTION("""COMPUTED_VALUE"""),6.7)</f>
        <v>6.7</v>
      </c>
      <c r="R5725" s="4">
        <f>IFERROR(__xludf.DUMMYFUNCTION("""COMPUTED_VALUE"""),3.9)</f>
        <v>3.9</v>
      </c>
      <c r="S5725" s="4">
        <f>IFERROR(__xludf.DUMMYFUNCTION("""COMPUTED_VALUE"""),106.2)</f>
        <v>106.2</v>
      </c>
      <c r="T5725" s="4">
        <f>IFERROR(__xludf.DUMMYFUNCTION("""COMPUTED_VALUE"""),0.178)</f>
        <v>0.178</v>
      </c>
      <c r="U5725" s="4">
        <f>IFERROR(__xludf.DUMMYFUNCTION("""COMPUTED_VALUE"""),5.2)</f>
        <v>5.2</v>
      </c>
      <c r="V5725" s="4">
        <f>IFERROR(__xludf.DUMMYFUNCTION("""COMPUTED_VALUE"""),51.8)</f>
        <v>51.8</v>
      </c>
    </row>
    <row r="5726">
      <c r="A5726" s="4">
        <f>IFERROR(__xludf.DUMMYFUNCTION("""COMPUTED_VALUE"""),13.0)</f>
        <v>13</v>
      </c>
      <c r="B5726" s="4">
        <f>IFERROR(__xludf.DUMMYFUNCTION("""COMPUTED_VALUE"""),13.0)</f>
        <v>13</v>
      </c>
      <c r="C5726" s="4" t="str">
        <f>IFERROR(__xludf.DUMMYFUNCTION("""COMPUTED_VALUE"""),"LAL")</f>
        <v>LAL</v>
      </c>
      <c r="D5726" s="4" t="str">
        <f>IFERROR(__xludf.DUMMYFUNCTION("""COMPUTED_VALUE"""),"Travis Grant")</f>
        <v>Travis Grant</v>
      </c>
      <c r="E5726" s="4" t="str">
        <f>IFERROR(__xludf.DUMMYFUNCTION("""COMPUTED_VALUE"""),"Kentucky State University")</f>
        <v>Kentucky State University</v>
      </c>
      <c r="F5726" s="4">
        <f>IFERROR(__xludf.DUMMYFUNCTION("""COMPUTED_VALUE"""),1.0)</f>
        <v>1</v>
      </c>
      <c r="G5726" s="4">
        <f>IFERROR(__xludf.DUMMYFUNCTION("""COMPUTED_VALUE"""),36.0)</f>
        <v>36</v>
      </c>
      <c r="H5726" s="4">
        <f>IFERROR(__xludf.DUMMYFUNCTION("""COMPUTED_VALUE"""),159.0)</f>
        <v>159</v>
      </c>
      <c r="I5726" s="4">
        <f>IFERROR(__xludf.DUMMYFUNCTION("""COMPUTED_VALUE"""),128.0)</f>
        <v>128</v>
      </c>
      <c r="J5726" s="4">
        <f>IFERROR(__xludf.DUMMYFUNCTION("""COMPUTED_VALUE"""),53.0)</f>
        <v>53</v>
      </c>
      <c r="K5726" s="4">
        <f>IFERROR(__xludf.DUMMYFUNCTION("""COMPUTED_VALUE"""),7.0)</f>
        <v>7</v>
      </c>
      <c r="L5726" s="4">
        <f>IFERROR(__xludf.DUMMYFUNCTION("""COMPUTED_VALUE"""),0.433)</f>
        <v>0.433</v>
      </c>
      <c r="M5726" s="4"/>
      <c r="N5726" s="4">
        <f>IFERROR(__xludf.DUMMYFUNCTION("""COMPUTED_VALUE"""),0.828)</f>
        <v>0.828</v>
      </c>
      <c r="O5726" s="4">
        <f>IFERROR(__xludf.DUMMYFUNCTION("""COMPUTED_VALUE"""),4.4)</f>
        <v>4.4</v>
      </c>
      <c r="P5726" s="4">
        <f>IFERROR(__xludf.DUMMYFUNCTION("""COMPUTED_VALUE"""),3.6)</f>
        <v>3.6</v>
      </c>
      <c r="Q5726" s="4">
        <f>IFERROR(__xludf.DUMMYFUNCTION("""COMPUTED_VALUE"""),1.5)</f>
        <v>1.5</v>
      </c>
      <c r="R5726" s="4">
        <f>IFERROR(__xludf.DUMMYFUNCTION("""COMPUTED_VALUE"""),0.2)</f>
        <v>0.2</v>
      </c>
      <c r="S5726" s="4">
        <f>IFERROR(__xludf.DUMMYFUNCTION("""COMPUTED_VALUE"""),0.4)</f>
        <v>0.4</v>
      </c>
      <c r="T5726" s="4">
        <f>IFERROR(__xludf.DUMMYFUNCTION("""COMPUTED_VALUE"""),0.124)</f>
        <v>0.124</v>
      </c>
      <c r="U5726" s="4">
        <f>IFERROR(__xludf.DUMMYFUNCTION("""COMPUTED_VALUE"""),-5.3)</f>
        <v>-5.3</v>
      </c>
      <c r="V5726" s="4">
        <f>IFERROR(__xludf.DUMMYFUNCTION("""COMPUTED_VALUE"""),0.0)</f>
        <v>0</v>
      </c>
    </row>
    <row r="5727">
      <c r="A5727" s="4"/>
      <c r="B5727" s="4"/>
      <c r="C5727" s="4"/>
      <c r="D5727" s="4" t="str">
        <f>IFERROR(__xludf.DUMMYFUNCTION("""COMPUTED_VALUE"""),"Round 2")</f>
        <v>Round 2</v>
      </c>
      <c r="E5727" s="4"/>
      <c r="F5727" s="4"/>
      <c r="G5727" s="4" t="str">
        <f>IFERROR(__xludf.DUMMYFUNCTION("""COMPUTED_VALUE"""),"Totals")</f>
        <v>Totals</v>
      </c>
      <c r="H5727" s="4"/>
      <c r="I5727" s="4"/>
      <c r="J5727" s="4"/>
      <c r="K5727" s="4"/>
      <c r="L5727" s="4" t="str">
        <f>IFERROR(__xludf.DUMMYFUNCTION("""COMPUTED_VALUE"""),"Shooting")</f>
        <v>Shooting</v>
      </c>
      <c r="M5727" s="4"/>
      <c r="N5727" s="4"/>
      <c r="O5727" s="4" t="str">
        <f>IFERROR(__xludf.DUMMYFUNCTION("""COMPUTED_VALUE"""),"Per Game")</f>
        <v>Per Game</v>
      </c>
      <c r="P5727" s="4"/>
      <c r="Q5727" s="4"/>
      <c r="R5727" s="4"/>
      <c r="S5727" s="4" t="str">
        <f>IFERROR(__xludf.DUMMYFUNCTION("""COMPUTED_VALUE"""),"Advanced")</f>
        <v>Advanced</v>
      </c>
      <c r="T5727" s="4"/>
      <c r="U5727" s="4"/>
      <c r="V5727" s="4"/>
    </row>
    <row r="5728">
      <c r="A5728" s="4" t="str">
        <f>IFERROR(__xludf.DUMMYFUNCTION("""COMPUTED_VALUE"""),"Rk")</f>
        <v>Rk</v>
      </c>
      <c r="B5728" s="4" t="str">
        <f>IFERROR(__xludf.DUMMYFUNCTION("""COMPUTED_VALUE"""),"Pk")</f>
        <v>Pk</v>
      </c>
      <c r="C5728" s="4" t="str">
        <f>IFERROR(__xludf.DUMMYFUNCTION("""COMPUTED_VALUE"""),"Tm")</f>
        <v>Tm</v>
      </c>
      <c r="D5728" s="4" t="str">
        <f>IFERROR(__xludf.DUMMYFUNCTION("""COMPUTED_VALUE"""),"Player")</f>
        <v>Player</v>
      </c>
      <c r="E5728" s="4" t="str">
        <f>IFERROR(__xludf.DUMMYFUNCTION("""COMPUTED_VALUE"""),"College")</f>
        <v>College</v>
      </c>
      <c r="F5728" s="4" t="str">
        <f>IFERROR(__xludf.DUMMYFUNCTION("""COMPUTED_VALUE"""),"Yrs")</f>
        <v>Yrs</v>
      </c>
      <c r="G5728" s="4" t="str">
        <f>IFERROR(__xludf.DUMMYFUNCTION("""COMPUTED_VALUE"""),"G")</f>
        <v>G</v>
      </c>
      <c r="H5728" s="4" t="str">
        <f>IFERROR(__xludf.DUMMYFUNCTION("""COMPUTED_VALUE"""),"MP")</f>
        <v>MP</v>
      </c>
      <c r="I5728" s="4" t="str">
        <f>IFERROR(__xludf.DUMMYFUNCTION("""COMPUTED_VALUE"""),"PTS")</f>
        <v>PTS</v>
      </c>
      <c r="J5728" s="4" t="str">
        <f>IFERROR(__xludf.DUMMYFUNCTION("""COMPUTED_VALUE"""),"TRB")</f>
        <v>TRB</v>
      </c>
      <c r="K5728" s="4" t="str">
        <f>IFERROR(__xludf.DUMMYFUNCTION("""COMPUTED_VALUE"""),"AST")</f>
        <v>AST</v>
      </c>
      <c r="L5728" s="4" t="str">
        <f>IFERROR(__xludf.DUMMYFUNCTION("""COMPUTED_VALUE"""),"FG%")</f>
        <v>FG%</v>
      </c>
      <c r="M5728" s="4" t="str">
        <f>IFERROR(__xludf.DUMMYFUNCTION("""COMPUTED_VALUE"""),"3P%")</f>
        <v>3P%</v>
      </c>
      <c r="N5728" s="4" t="str">
        <f>IFERROR(__xludf.DUMMYFUNCTION("""COMPUTED_VALUE"""),"FT%")</f>
        <v>FT%</v>
      </c>
      <c r="O5728" s="4" t="str">
        <f>IFERROR(__xludf.DUMMYFUNCTION("""COMPUTED_VALUE"""),"MP")</f>
        <v>MP</v>
      </c>
      <c r="P5728" s="4" t="str">
        <f>IFERROR(__xludf.DUMMYFUNCTION("""COMPUTED_VALUE"""),"PTS")</f>
        <v>PTS</v>
      </c>
      <c r="Q5728" s="4" t="str">
        <f>IFERROR(__xludf.DUMMYFUNCTION("""COMPUTED_VALUE"""),"TRB")</f>
        <v>TRB</v>
      </c>
      <c r="R5728" s="4" t="str">
        <f>IFERROR(__xludf.DUMMYFUNCTION("""COMPUTED_VALUE"""),"AST")</f>
        <v>AST</v>
      </c>
      <c r="S5728" s="4" t="str">
        <f>IFERROR(__xludf.DUMMYFUNCTION("""COMPUTED_VALUE"""),"WS")</f>
        <v>WS</v>
      </c>
      <c r="T5728" s="4" t="str">
        <f>IFERROR(__xludf.DUMMYFUNCTION("""COMPUTED_VALUE"""),"WS/48")</f>
        <v>WS/48</v>
      </c>
      <c r="U5728" s="4" t="str">
        <f>IFERROR(__xludf.DUMMYFUNCTION("""COMPUTED_VALUE"""),"BPM")</f>
        <v>BPM</v>
      </c>
      <c r="V5728" s="4" t="str">
        <f>IFERROR(__xludf.DUMMYFUNCTION("""COMPUTED_VALUE"""),"VORP")</f>
        <v>VORP</v>
      </c>
    </row>
    <row r="5729">
      <c r="A5729" s="4">
        <f>IFERROR(__xludf.DUMMYFUNCTION("""COMPUTED_VALUE"""),14.0)</f>
        <v>14</v>
      </c>
      <c r="B5729" s="4">
        <f>IFERROR(__xludf.DUMMYFUNCTION("""COMPUTED_VALUE"""),14.0)</f>
        <v>14</v>
      </c>
      <c r="C5729" s="4" t="str">
        <f>IFERROR(__xludf.DUMMYFUNCTION("""COMPUTED_VALUE"""),"POR")</f>
        <v>POR</v>
      </c>
      <c r="D5729" s="4" t="str">
        <f>IFERROR(__xludf.DUMMYFUNCTION("""COMPUTED_VALUE"""),"Bob Davis")</f>
        <v>Bob Davis</v>
      </c>
      <c r="E5729" s="4" t="str">
        <f>IFERROR(__xludf.DUMMYFUNCTION("""COMPUTED_VALUE"""),"Weber State")</f>
        <v>Weber State</v>
      </c>
      <c r="F5729" s="4">
        <f>IFERROR(__xludf.DUMMYFUNCTION("""COMPUTED_VALUE"""),1.0)</f>
        <v>1</v>
      </c>
      <c r="G5729" s="4">
        <f>IFERROR(__xludf.DUMMYFUNCTION("""COMPUTED_VALUE"""),9.0)</f>
        <v>9</v>
      </c>
      <c r="H5729" s="4">
        <f>IFERROR(__xludf.DUMMYFUNCTION("""COMPUTED_VALUE"""),41.0)</f>
        <v>41</v>
      </c>
      <c r="I5729" s="4">
        <f>IFERROR(__xludf.DUMMYFUNCTION("""COMPUTED_VALUE"""),16.0)</f>
        <v>16</v>
      </c>
      <c r="J5729" s="4">
        <f>IFERROR(__xludf.DUMMYFUNCTION("""COMPUTED_VALUE"""),5.0)</f>
        <v>5</v>
      </c>
      <c r="K5729" s="4">
        <f>IFERROR(__xludf.DUMMYFUNCTION("""COMPUTED_VALUE"""),2.0)</f>
        <v>2</v>
      </c>
      <c r="L5729" s="4">
        <f>IFERROR(__xludf.DUMMYFUNCTION("""COMPUTED_VALUE"""),0.214)</f>
        <v>0.214</v>
      </c>
      <c r="M5729" s="4"/>
      <c r="N5729" s="4">
        <f>IFERROR(__xludf.DUMMYFUNCTION("""COMPUTED_VALUE"""),0.667)</f>
        <v>0.667</v>
      </c>
      <c r="O5729" s="4">
        <f>IFERROR(__xludf.DUMMYFUNCTION("""COMPUTED_VALUE"""),4.6)</f>
        <v>4.6</v>
      </c>
      <c r="P5729" s="4">
        <f>IFERROR(__xludf.DUMMYFUNCTION("""COMPUTED_VALUE"""),1.8)</f>
        <v>1.8</v>
      </c>
      <c r="Q5729" s="4">
        <f>IFERROR(__xludf.DUMMYFUNCTION("""COMPUTED_VALUE"""),0.6)</f>
        <v>0.6</v>
      </c>
      <c r="R5729" s="4">
        <f>IFERROR(__xludf.DUMMYFUNCTION("""COMPUTED_VALUE"""),0.2)</f>
        <v>0.2</v>
      </c>
      <c r="S5729" s="4">
        <f>IFERROR(__xludf.DUMMYFUNCTION("""COMPUTED_VALUE"""),-0.3)</f>
        <v>-0.3</v>
      </c>
      <c r="T5729" s="4">
        <f>IFERROR(__xludf.DUMMYFUNCTION("""COMPUTED_VALUE"""),-0.396)</f>
        <v>-0.396</v>
      </c>
      <c r="U5729" s="4"/>
      <c r="V5729" s="4"/>
    </row>
    <row r="5730">
      <c r="A5730" s="4">
        <f>IFERROR(__xludf.DUMMYFUNCTION("""COMPUTED_VALUE"""),15.0)</f>
        <v>15</v>
      </c>
      <c r="B5730" s="4">
        <f>IFERROR(__xludf.DUMMYFUNCTION("""COMPUTED_VALUE"""),15.0)</f>
        <v>15</v>
      </c>
      <c r="C5730" s="4" t="str">
        <f>IFERROR(__xludf.DUMMYFUNCTION("""COMPUTED_VALUE"""),"BUF")</f>
        <v>BUF</v>
      </c>
      <c r="D5730" s="4" t="str">
        <f>IFERROR(__xludf.DUMMYFUNCTION("""COMPUTED_VALUE"""),"Harold Fox")</f>
        <v>Harold Fox</v>
      </c>
      <c r="E5730" s="4" t="str">
        <f>IFERROR(__xludf.DUMMYFUNCTION("""COMPUTED_VALUE"""),"Jacksonville University")</f>
        <v>Jacksonville University</v>
      </c>
      <c r="F5730" s="4">
        <f>IFERROR(__xludf.DUMMYFUNCTION("""COMPUTED_VALUE"""),1.0)</f>
        <v>1</v>
      </c>
      <c r="G5730" s="4">
        <f>IFERROR(__xludf.DUMMYFUNCTION("""COMPUTED_VALUE"""),10.0)</f>
        <v>10</v>
      </c>
      <c r="H5730" s="4">
        <f>IFERROR(__xludf.DUMMYFUNCTION("""COMPUTED_VALUE"""),84.0)</f>
        <v>84</v>
      </c>
      <c r="I5730" s="4">
        <f>IFERROR(__xludf.DUMMYFUNCTION("""COMPUTED_VALUE"""),31.0)</f>
        <v>31</v>
      </c>
      <c r="J5730" s="4">
        <f>IFERROR(__xludf.DUMMYFUNCTION("""COMPUTED_VALUE"""),8.0)</f>
        <v>8</v>
      </c>
      <c r="K5730" s="4">
        <f>IFERROR(__xludf.DUMMYFUNCTION("""COMPUTED_VALUE"""),10.0)</f>
        <v>10</v>
      </c>
      <c r="L5730" s="4">
        <f>IFERROR(__xludf.DUMMYFUNCTION("""COMPUTED_VALUE"""),0.375)</f>
        <v>0.375</v>
      </c>
      <c r="M5730" s="4"/>
      <c r="N5730" s="4">
        <f>IFERROR(__xludf.DUMMYFUNCTION("""COMPUTED_VALUE"""),0.875)</f>
        <v>0.875</v>
      </c>
      <c r="O5730" s="4">
        <f>IFERROR(__xludf.DUMMYFUNCTION("""COMPUTED_VALUE"""),8.4)</f>
        <v>8.4</v>
      </c>
      <c r="P5730" s="4">
        <f>IFERROR(__xludf.DUMMYFUNCTION("""COMPUTED_VALUE"""),3.1)</f>
        <v>3.1</v>
      </c>
      <c r="Q5730" s="4">
        <f>IFERROR(__xludf.DUMMYFUNCTION("""COMPUTED_VALUE"""),0.8)</f>
        <v>0.8</v>
      </c>
      <c r="R5730" s="4">
        <f>IFERROR(__xludf.DUMMYFUNCTION("""COMPUTED_VALUE"""),1.0)</f>
        <v>1</v>
      </c>
      <c r="S5730" s="4">
        <f>IFERROR(__xludf.DUMMYFUNCTION("""COMPUTED_VALUE"""),0.0)</f>
        <v>0</v>
      </c>
      <c r="T5730" s="4">
        <f>IFERROR(__xludf.DUMMYFUNCTION("""COMPUTED_VALUE"""),-0.014)</f>
        <v>-0.014</v>
      </c>
      <c r="U5730" s="4"/>
      <c r="V5730" s="4"/>
    </row>
    <row r="5731">
      <c r="A5731" s="4">
        <f>IFERROR(__xludf.DUMMYFUNCTION("""COMPUTED_VALUE"""),16.0)</f>
        <v>16</v>
      </c>
      <c r="B5731" s="4">
        <f>IFERROR(__xludf.DUMMYFUNCTION("""COMPUTED_VALUE"""),16.0)</f>
        <v>16</v>
      </c>
      <c r="C5731" s="4" t="str">
        <f>IFERROR(__xludf.DUMMYFUNCTION("""COMPUTED_VALUE"""),"LAL")</f>
        <v>LAL</v>
      </c>
      <c r="D5731" s="4" t="str">
        <f>IFERROR(__xludf.DUMMYFUNCTION("""COMPUTED_VALUE"""),"Jim Price")</f>
        <v>Jim Price</v>
      </c>
      <c r="E5731" s="4" t="str">
        <f>IFERROR(__xludf.DUMMYFUNCTION("""COMPUTED_VALUE"""),"Louisville")</f>
        <v>Louisville</v>
      </c>
      <c r="F5731" s="4">
        <f>IFERROR(__xludf.DUMMYFUNCTION("""COMPUTED_VALUE"""),7.0)</f>
        <v>7</v>
      </c>
      <c r="G5731" s="4">
        <f>IFERROR(__xludf.DUMMYFUNCTION("""COMPUTED_VALUE"""),510.0)</f>
        <v>510</v>
      </c>
      <c r="H5731" s="4">
        <f>IFERROR(__xludf.DUMMYFUNCTION("""COMPUTED_VALUE"""),12815.0)</f>
        <v>12815</v>
      </c>
      <c r="I5731" s="4">
        <f>IFERROR(__xludf.DUMMYFUNCTION("""COMPUTED_VALUE"""),5088.0)</f>
        <v>5088</v>
      </c>
      <c r="J5731" s="4">
        <f>IFERROR(__xludf.DUMMYFUNCTION("""COMPUTED_VALUE"""),1566.0)</f>
        <v>1566</v>
      </c>
      <c r="K5731" s="4">
        <f>IFERROR(__xludf.DUMMYFUNCTION("""COMPUTED_VALUE"""),1886.0)</f>
        <v>1886</v>
      </c>
      <c r="L5731" s="4">
        <f>IFERROR(__xludf.DUMMYFUNCTION("""COMPUTED_VALUE"""),0.444)</f>
        <v>0.444</v>
      </c>
      <c r="M5731" s="4"/>
      <c r="N5731" s="4">
        <f>IFERROR(__xludf.DUMMYFUNCTION("""COMPUTED_VALUE"""),0.815)</f>
        <v>0.815</v>
      </c>
      <c r="O5731" s="4">
        <f>IFERROR(__xludf.DUMMYFUNCTION("""COMPUTED_VALUE"""),25.1)</f>
        <v>25.1</v>
      </c>
      <c r="P5731" s="4">
        <f>IFERROR(__xludf.DUMMYFUNCTION("""COMPUTED_VALUE"""),10.0)</f>
        <v>10</v>
      </c>
      <c r="Q5731" s="4">
        <f>IFERROR(__xludf.DUMMYFUNCTION("""COMPUTED_VALUE"""),3.1)</f>
        <v>3.1</v>
      </c>
      <c r="R5731" s="4">
        <f>IFERROR(__xludf.DUMMYFUNCTION("""COMPUTED_VALUE"""),3.7)</f>
        <v>3.7</v>
      </c>
      <c r="S5731" s="4">
        <f>IFERROR(__xludf.DUMMYFUNCTION("""COMPUTED_VALUE"""),19.7)</f>
        <v>19.7</v>
      </c>
      <c r="T5731" s="4">
        <f>IFERROR(__xludf.DUMMYFUNCTION("""COMPUTED_VALUE"""),0.074)</f>
        <v>0.074</v>
      </c>
      <c r="U5731" s="4">
        <f>IFERROR(__xludf.DUMMYFUNCTION("""COMPUTED_VALUE"""),-0.5)</f>
        <v>-0.5</v>
      </c>
      <c r="V5731" s="4">
        <f>IFERROR(__xludf.DUMMYFUNCTION("""COMPUTED_VALUE"""),4.7)</f>
        <v>4.7</v>
      </c>
    </row>
    <row r="5732">
      <c r="A5732" s="4">
        <f>IFERROR(__xludf.DUMMYFUNCTION("""COMPUTED_VALUE"""),17.0)</f>
        <v>17</v>
      </c>
      <c r="B5732" s="4">
        <f>IFERROR(__xludf.DUMMYFUNCTION("""COMPUTED_VALUE"""),17.0)</f>
        <v>17</v>
      </c>
      <c r="C5732" s="4" t="str">
        <f>IFERROR(__xludf.DUMMYFUNCTION("""COMPUTED_VALUE"""),"DET")</f>
        <v>DET</v>
      </c>
      <c r="D5732" s="4" t="str">
        <f>IFERROR(__xludf.DUMMYFUNCTION("""COMPUTED_VALUE"""),"Chris Ford")</f>
        <v>Chris Ford</v>
      </c>
      <c r="E5732" s="4" t="str">
        <f>IFERROR(__xludf.DUMMYFUNCTION("""COMPUTED_VALUE"""),"Villanova")</f>
        <v>Villanova</v>
      </c>
      <c r="F5732" s="4">
        <f>IFERROR(__xludf.DUMMYFUNCTION("""COMPUTED_VALUE"""),10.0)</f>
        <v>10</v>
      </c>
      <c r="G5732" s="4">
        <f>IFERROR(__xludf.DUMMYFUNCTION("""COMPUTED_VALUE"""),794.0)</f>
        <v>794</v>
      </c>
      <c r="H5732" s="4">
        <f>IFERROR(__xludf.DUMMYFUNCTION("""COMPUTED_VALUE"""),22043.0)</f>
        <v>22043</v>
      </c>
      <c r="I5732" s="4">
        <f>IFERROR(__xludf.DUMMYFUNCTION("""COMPUTED_VALUE"""),7314.0)</f>
        <v>7314</v>
      </c>
      <c r="J5732" s="4">
        <f>IFERROR(__xludf.DUMMYFUNCTION("""COMPUTED_VALUE"""),2394.0)</f>
        <v>2394</v>
      </c>
      <c r="K5732" s="4">
        <f>IFERROR(__xludf.DUMMYFUNCTION("""COMPUTED_VALUE"""),2719.0)</f>
        <v>2719</v>
      </c>
      <c r="L5732" s="4">
        <f>IFERROR(__xludf.DUMMYFUNCTION("""COMPUTED_VALUE"""),0.46)</f>
        <v>0.46</v>
      </c>
      <c r="M5732" s="4"/>
      <c r="N5732" s="4">
        <f>IFERROR(__xludf.DUMMYFUNCTION("""COMPUTED_VALUE"""),0.731)</f>
        <v>0.731</v>
      </c>
      <c r="O5732" s="4">
        <f>IFERROR(__xludf.DUMMYFUNCTION("""COMPUTED_VALUE"""),27.8)</f>
        <v>27.8</v>
      </c>
      <c r="P5732" s="4">
        <f>IFERROR(__xludf.DUMMYFUNCTION("""COMPUTED_VALUE"""),9.2)</f>
        <v>9.2</v>
      </c>
      <c r="Q5732" s="4">
        <f>IFERROR(__xludf.DUMMYFUNCTION("""COMPUTED_VALUE"""),3.0)</f>
        <v>3</v>
      </c>
      <c r="R5732" s="4">
        <f>IFERROR(__xludf.DUMMYFUNCTION("""COMPUTED_VALUE"""),3.4)</f>
        <v>3.4</v>
      </c>
      <c r="S5732" s="4">
        <f>IFERROR(__xludf.DUMMYFUNCTION("""COMPUTED_VALUE"""),35.6)</f>
        <v>35.6</v>
      </c>
      <c r="T5732" s="4">
        <f>IFERROR(__xludf.DUMMYFUNCTION("""COMPUTED_VALUE"""),0.077)</f>
        <v>0.077</v>
      </c>
      <c r="U5732" s="4">
        <f>IFERROR(__xludf.DUMMYFUNCTION("""COMPUTED_VALUE"""),0.3)</f>
        <v>0.3</v>
      </c>
      <c r="V5732" s="4">
        <f>IFERROR(__xludf.DUMMYFUNCTION("""COMPUTED_VALUE"""),11.6)</f>
        <v>11.6</v>
      </c>
    </row>
    <row r="5733">
      <c r="A5733" s="4">
        <f>IFERROR(__xludf.DUMMYFUNCTION("""COMPUTED_VALUE"""),18.0)</f>
        <v>18</v>
      </c>
      <c r="B5733" s="4">
        <f>IFERROR(__xludf.DUMMYFUNCTION("""COMPUTED_VALUE"""),18.0)</f>
        <v>18</v>
      </c>
      <c r="C5733" s="4" t="str">
        <f>IFERROR(__xludf.DUMMYFUNCTION("""COMPUTED_VALUE"""),"SEA")</f>
        <v>SEA</v>
      </c>
      <c r="D5733" s="4" t="str">
        <f>IFERROR(__xludf.DUMMYFUNCTION("""COMPUTED_VALUE"""),"Joby Wright")</f>
        <v>Joby Wright</v>
      </c>
      <c r="E5733" s="4" t="str">
        <f>IFERROR(__xludf.DUMMYFUNCTION("""COMPUTED_VALUE"""),"Indiana")</f>
        <v>Indiana</v>
      </c>
      <c r="F5733" s="4">
        <f>IFERROR(__xludf.DUMMYFUNCTION("""COMPUTED_VALUE"""),1.0)</f>
        <v>1</v>
      </c>
      <c r="G5733" s="4">
        <f>IFERROR(__xludf.DUMMYFUNCTION("""COMPUTED_VALUE"""),77.0)</f>
        <v>77</v>
      </c>
      <c r="H5733" s="4">
        <f>IFERROR(__xludf.DUMMYFUNCTION("""COMPUTED_VALUE"""),931.0)</f>
        <v>931</v>
      </c>
      <c r="I5733" s="4">
        <f>IFERROR(__xludf.DUMMYFUNCTION("""COMPUTED_VALUE"""),303.0)</f>
        <v>303</v>
      </c>
      <c r="J5733" s="4">
        <f>IFERROR(__xludf.DUMMYFUNCTION("""COMPUTED_VALUE"""),218.0)</f>
        <v>218</v>
      </c>
      <c r="K5733" s="4">
        <f>IFERROR(__xludf.DUMMYFUNCTION("""COMPUTED_VALUE"""),36.0)</f>
        <v>36</v>
      </c>
      <c r="L5733" s="4">
        <f>IFERROR(__xludf.DUMMYFUNCTION("""COMPUTED_VALUE"""),0.478)</f>
        <v>0.478</v>
      </c>
      <c r="M5733" s="4"/>
      <c r="N5733" s="4">
        <f>IFERROR(__xludf.DUMMYFUNCTION("""COMPUTED_VALUE"""),0.416)</f>
        <v>0.416</v>
      </c>
      <c r="O5733" s="4">
        <f>IFERROR(__xludf.DUMMYFUNCTION("""COMPUTED_VALUE"""),12.1)</f>
        <v>12.1</v>
      </c>
      <c r="P5733" s="4">
        <f>IFERROR(__xludf.DUMMYFUNCTION("""COMPUTED_VALUE"""),3.9)</f>
        <v>3.9</v>
      </c>
      <c r="Q5733" s="4">
        <f>IFERROR(__xludf.DUMMYFUNCTION("""COMPUTED_VALUE"""),2.8)</f>
        <v>2.8</v>
      </c>
      <c r="R5733" s="4">
        <f>IFERROR(__xludf.DUMMYFUNCTION("""COMPUTED_VALUE"""),0.5)</f>
        <v>0.5</v>
      </c>
      <c r="S5733" s="4">
        <f>IFERROR(__xludf.DUMMYFUNCTION("""COMPUTED_VALUE"""),0.6)</f>
        <v>0.6</v>
      </c>
      <c r="T5733" s="4">
        <f>IFERROR(__xludf.DUMMYFUNCTION("""COMPUTED_VALUE"""),0.033)</f>
        <v>0.033</v>
      </c>
      <c r="U5733" s="4"/>
      <c r="V5733" s="4"/>
    </row>
    <row r="5734">
      <c r="A5734" s="4">
        <f>IFERROR(__xludf.DUMMYFUNCTION("""COMPUTED_VALUE"""),19.0)</f>
        <v>19</v>
      </c>
      <c r="B5734" s="4">
        <f>IFERROR(__xludf.DUMMYFUNCTION("""COMPUTED_VALUE"""),19.0)</f>
        <v>19</v>
      </c>
      <c r="C5734" s="4" t="str">
        <f>IFERROR(__xludf.DUMMYFUNCTION("""COMPUTED_VALUE"""),"KCO")</f>
        <v>KCO</v>
      </c>
      <c r="D5734" s="4" t="str">
        <f>IFERROR(__xludf.DUMMYFUNCTION("""COMPUTED_VALUE"""),"Sam Sibert")</f>
        <v>Sam Sibert</v>
      </c>
      <c r="E5734" s="4" t="str">
        <f>IFERROR(__xludf.DUMMYFUNCTION("""COMPUTED_VALUE"""),"Kentucky State University")</f>
        <v>Kentucky State University</v>
      </c>
      <c r="F5734" s="4">
        <f>IFERROR(__xludf.DUMMYFUNCTION("""COMPUTED_VALUE"""),1.0)</f>
        <v>1</v>
      </c>
      <c r="G5734" s="4">
        <f>IFERROR(__xludf.DUMMYFUNCTION("""COMPUTED_VALUE"""),5.0)</f>
        <v>5</v>
      </c>
      <c r="H5734" s="4">
        <f>IFERROR(__xludf.DUMMYFUNCTION("""COMPUTED_VALUE"""),26.0)</f>
        <v>26</v>
      </c>
      <c r="I5734" s="4">
        <f>IFERROR(__xludf.DUMMYFUNCTION("""COMPUTED_VALUE"""),12.0)</f>
        <v>12</v>
      </c>
      <c r="J5734" s="4">
        <f>IFERROR(__xludf.DUMMYFUNCTION("""COMPUTED_VALUE"""),4.0)</f>
        <v>4</v>
      </c>
      <c r="K5734" s="4">
        <f>IFERROR(__xludf.DUMMYFUNCTION("""COMPUTED_VALUE"""),0.0)</f>
        <v>0</v>
      </c>
      <c r="L5734" s="4">
        <f>IFERROR(__xludf.DUMMYFUNCTION("""COMPUTED_VALUE"""),0.308)</f>
        <v>0.308</v>
      </c>
      <c r="M5734" s="4"/>
      <c r="N5734" s="4">
        <f>IFERROR(__xludf.DUMMYFUNCTION("""COMPUTED_VALUE"""),0.8)</f>
        <v>0.8</v>
      </c>
      <c r="O5734" s="4">
        <f>IFERROR(__xludf.DUMMYFUNCTION("""COMPUTED_VALUE"""),5.2)</f>
        <v>5.2</v>
      </c>
      <c r="P5734" s="4">
        <f>IFERROR(__xludf.DUMMYFUNCTION("""COMPUTED_VALUE"""),2.4)</f>
        <v>2.4</v>
      </c>
      <c r="Q5734" s="4">
        <f>IFERROR(__xludf.DUMMYFUNCTION("""COMPUTED_VALUE"""),0.8)</f>
        <v>0.8</v>
      </c>
      <c r="R5734" s="4">
        <f>IFERROR(__xludf.DUMMYFUNCTION("""COMPUTED_VALUE"""),0.0)</f>
        <v>0</v>
      </c>
      <c r="S5734" s="4">
        <f>IFERROR(__xludf.DUMMYFUNCTION("""COMPUTED_VALUE"""),-0.1)</f>
        <v>-0.1</v>
      </c>
      <c r="T5734" s="4">
        <f>IFERROR(__xludf.DUMMYFUNCTION("""COMPUTED_VALUE"""),-0.105)</f>
        <v>-0.105</v>
      </c>
      <c r="U5734" s="4"/>
      <c r="V5734" s="4"/>
    </row>
    <row r="5735">
      <c r="A5735" s="4">
        <f>IFERROR(__xludf.DUMMYFUNCTION("""COMPUTED_VALUE"""),20.0)</f>
        <v>20</v>
      </c>
      <c r="B5735" s="4">
        <f>IFERROR(__xludf.DUMMYFUNCTION("""COMPUTED_VALUE"""),20.0)</f>
        <v>20</v>
      </c>
      <c r="C5735" s="4" t="str">
        <f>IFERROR(__xludf.DUMMYFUNCTION("""COMPUTED_VALUE"""),"HOU")</f>
        <v>HOU</v>
      </c>
      <c r="D5735" s="4" t="str">
        <f>IFERROR(__xludf.DUMMYFUNCTION("""COMPUTED_VALUE"""),"John Gianelli")</f>
        <v>John Gianelli</v>
      </c>
      <c r="E5735" s="4" t="str">
        <f>IFERROR(__xludf.DUMMYFUNCTION("""COMPUTED_VALUE"""),"University of the Pacific")</f>
        <v>University of the Pacific</v>
      </c>
      <c r="F5735" s="4">
        <f>IFERROR(__xludf.DUMMYFUNCTION("""COMPUTED_VALUE"""),8.0)</f>
        <v>8</v>
      </c>
      <c r="G5735" s="4">
        <f>IFERROR(__xludf.DUMMYFUNCTION("""COMPUTED_VALUE"""),541.0)</f>
        <v>541</v>
      </c>
      <c r="H5735" s="4">
        <f>IFERROR(__xludf.DUMMYFUNCTION("""COMPUTED_VALUE"""),13650.0)</f>
        <v>13650</v>
      </c>
      <c r="I5735" s="4">
        <f>IFERROR(__xludf.DUMMYFUNCTION("""COMPUTED_VALUE"""),4210.0)</f>
        <v>4210</v>
      </c>
      <c r="J5735" s="4">
        <f>IFERROR(__xludf.DUMMYFUNCTION("""COMPUTED_VALUE"""),3188.0)</f>
        <v>3188</v>
      </c>
      <c r="K5735" s="4">
        <f>IFERROR(__xludf.DUMMYFUNCTION("""COMPUTED_VALUE"""),832.0)</f>
        <v>832</v>
      </c>
      <c r="L5735" s="4">
        <f>IFERROR(__xludf.DUMMYFUNCTION("""COMPUTED_VALUE"""),0.47)</f>
        <v>0.47</v>
      </c>
      <c r="M5735" s="4"/>
      <c r="N5735" s="4">
        <f>IFERROR(__xludf.DUMMYFUNCTION("""COMPUTED_VALUE"""),0.702)</f>
        <v>0.702</v>
      </c>
      <c r="O5735" s="4">
        <f>IFERROR(__xludf.DUMMYFUNCTION("""COMPUTED_VALUE"""),25.2)</f>
        <v>25.2</v>
      </c>
      <c r="P5735" s="4">
        <f>IFERROR(__xludf.DUMMYFUNCTION("""COMPUTED_VALUE"""),7.8)</f>
        <v>7.8</v>
      </c>
      <c r="Q5735" s="4">
        <f>IFERROR(__xludf.DUMMYFUNCTION("""COMPUTED_VALUE"""),5.9)</f>
        <v>5.9</v>
      </c>
      <c r="R5735" s="4">
        <f>IFERROR(__xludf.DUMMYFUNCTION("""COMPUTED_VALUE"""),1.5)</f>
        <v>1.5</v>
      </c>
      <c r="S5735" s="4">
        <f>IFERROR(__xludf.DUMMYFUNCTION("""COMPUTED_VALUE"""),23.0)</f>
        <v>23</v>
      </c>
      <c r="T5735" s="4">
        <f>IFERROR(__xludf.DUMMYFUNCTION("""COMPUTED_VALUE"""),0.081)</f>
        <v>0.081</v>
      </c>
      <c r="U5735" s="4">
        <f>IFERROR(__xludf.DUMMYFUNCTION("""COMPUTED_VALUE"""),-0.7)</f>
        <v>-0.7</v>
      </c>
      <c r="V5735" s="4">
        <f>IFERROR(__xludf.DUMMYFUNCTION("""COMPUTED_VALUE"""),4.4)</f>
        <v>4.4</v>
      </c>
    </row>
    <row r="5736">
      <c r="A5736" s="4">
        <f>IFERROR(__xludf.DUMMYFUNCTION("""COMPUTED_VALUE"""),21.0)</f>
        <v>21</v>
      </c>
      <c r="B5736" s="4">
        <f>IFERROR(__xludf.DUMMYFUNCTION("""COMPUTED_VALUE"""),21.0)</f>
        <v>21</v>
      </c>
      <c r="C5736" s="4" t="str">
        <f>IFERROR(__xludf.DUMMYFUNCTION("""COMPUTED_VALUE"""),"ATL")</f>
        <v>ATL</v>
      </c>
      <c r="D5736" s="4" t="str">
        <f>IFERROR(__xludf.DUMMYFUNCTION("""COMPUTED_VALUE"""),"Steve Bracey")</f>
        <v>Steve Bracey</v>
      </c>
      <c r="E5736" s="4" t="str">
        <f>IFERROR(__xludf.DUMMYFUNCTION("""COMPUTED_VALUE"""),"Tulsa")</f>
        <v>Tulsa</v>
      </c>
      <c r="F5736" s="4">
        <f>IFERROR(__xludf.DUMMYFUNCTION("""COMPUTED_VALUE"""),3.0)</f>
        <v>3</v>
      </c>
      <c r="G5736" s="4">
        <f>IFERROR(__xludf.DUMMYFUNCTION("""COMPUTED_VALUE"""),187.0)</f>
        <v>187</v>
      </c>
      <c r="H5736" s="4">
        <f>IFERROR(__xludf.DUMMYFUNCTION("""COMPUTED_VALUE"""),2853.0)</f>
        <v>2853</v>
      </c>
      <c r="I5736" s="4">
        <f>IFERROR(__xludf.DUMMYFUNCTION("""COMPUTED_VALUE"""),1141.0)</f>
        <v>1141</v>
      </c>
      <c r="J5736" s="4">
        <f>IFERROR(__xludf.DUMMYFUNCTION("""COMPUTED_VALUE"""),291.0)</f>
        <v>291</v>
      </c>
      <c r="K5736" s="4">
        <f>IFERROR(__xludf.DUMMYFUNCTION("""COMPUTED_VALUE"""),408.0)</f>
        <v>408</v>
      </c>
      <c r="L5736" s="4">
        <f>IFERROR(__xludf.DUMMYFUNCTION("""COMPUTED_VALUE"""),0.466)</f>
        <v>0.466</v>
      </c>
      <c r="M5736" s="4"/>
      <c r="N5736" s="4">
        <f>IFERROR(__xludf.DUMMYFUNCTION("""COMPUTED_VALUE"""),0.684)</f>
        <v>0.684</v>
      </c>
      <c r="O5736" s="4">
        <f>IFERROR(__xludf.DUMMYFUNCTION("""COMPUTED_VALUE"""),15.3)</f>
        <v>15.3</v>
      </c>
      <c r="P5736" s="4">
        <f>IFERROR(__xludf.DUMMYFUNCTION("""COMPUTED_VALUE"""),6.1)</f>
        <v>6.1</v>
      </c>
      <c r="Q5736" s="4">
        <f>IFERROR(__xludf.DUMMYFUNCTION("""COMPUTED_VALUE"""),1.6)</f>
        <v>1.6</v>
      </c>
      <c r="R5736" s="4">
        <f>IFERROR(__xludf.DUMMYFUNCTION("""COMPUTED_VALUE"""),2.2)</f>
        <v>2.2</v>
      </c>
      <c r="S5736" s="4">
        <f>IFERROR(__xludf.DUMMYFUNCTION("""COMPUTED_VALUE"""),3.9)</f>
        <v>3.9</v>
      </c>
      <c r="T5736" s="4">
        <f>IFERROR(__xludf.DUMMYFUNCTION("""COMPUTED_VALUE"""),0.066)</f>
        <v>0.066</v>
      </c>
      <c r="U5736" s="4">
        <f>IFERROR(__xludf.DUMMYFUNCTION("""COMPUTED_VALUE"""),-2.5)</f>
        <v>-2.5</v>
      </c>
      <c r="V5736" s="4">
        <f>IFERROR(__xludf.DUMMYFUNCTION("""COMPUTED_VALUE"""),-0.2)</f>
        <v>-0.2</v>
      </c>
    </row>
    <row r="5737">
      <c r="A5737" s="4">
        <f>IFERROR(__xludf.DUMMYFUNCTION("""COMPUTED_VALUE"""),22.0)</f>
        <v>22</v>
      </c>
      <c r="B5737" s="4">
        <f>IFERROR(__xludf.DUMMYFUNCTION("""COMPUTED_VALUE"""),22.0)</f>
        <v>22</v>
      </c>
      <c r="C5737" s="4" t="str">
        <f>IFERROR(__xludf.DUMMYFUNCTION("""COMPUTED_VALUE"""),"LAL")</f>
        <v>LAL</v>
      </c>
      <c r="D5737" s="4" t="str">
        <f>IFERROR(__xludf.DUMMYFUNCTION("""COMPUTED_VALUE"""),"Paul Stovall")</f>
        <v>Paul Stovall</v>
      </c>
      <c r="E5737" s="4" t="str">
        <f>IFERROR(__xludf.DUMMYFUNCTION("""COMPUTED_VALUE"""),"Arizona State")</f>
        <v>Arizona State</v>
      </c>
      <c r="F5737" s="4">
        <f>IFERROR(__xludf.DUMMYFUNCTION("""COMPUTED_VALUE"""),1.0)</f>
        <v>1</v>
      </c>
      <c r="G5737" s="4">
        <f>IFERROR(__xludf.DUMMYFUNCTION("""COMPUTED_VALUE"""),25.0)</f>
        <v>25</v>
      </c>
      <c r="H5737" s="4">
        <f>IFERROR(__xludf.DUMMYFUNCTION("""COMPUTED_VALUE"""),211.0)</f>
        <v>211</v>
      </c>
      <c r="I5737" s="4">
        <f>IFERROR(__xludf.DUMMYFUNCTION("""COMPUTED_VALUE"""),76.0)</f>
        <v>76</v>
      </c>
      <c r="J5737" s="4">
        <f>IFERROR(__xludf.DUMMYFUNCTION("""COMPUTED_VALUE"""),61.0)</f>
        <v>61</v>
      </c>
      <c r="K5737" s="4">
        <f>IFERROR(__xludf.DUMMYFUNCTION("""COMPUTED_VALUE"""),13.0)</f>
        <v>13</v>
      </c>
      <c r="L5737" s="4">
        <f>IFERROR(__xludf.DUMMYFUNCTION("""COMPUTED_VALUE"""),0.342)</f>
        <v>0.342</v>
      </c>
      <c r="M5737" s="4"/>
      <c r="N5737" s="4">
        <f>IFERROR(__xludf.DUMMYFUNCTION("""COMPUTED_VALUE"""),0.632)</f>
        <v>0.632</v>
      </c>
      <c r="O5737" s="4">
        <f>IFERROR(__xludf.DUMMYFUNCTION("""COMPUTED_VALUE"""),8.4)</f>
        <v>8.4</v>
      </c>
      <c r="P5737" s="4">
        <f>IFERROR(__xludf.DUMMYFUNCTION("""COMPUTED_VALUE"""),3.0)</f>
        <v>3</v>
      </c>
      <c r="Q5737" s="4">
        <f>IFERROR(__xludf.DUMMYFUNCTION("""COMPUTED_VALUE"""),2.4)</f>
        <v>2.4</v>
      </c>
      <c r="R5737" s="4">
        <f>IFERROR(__xludf.DUMMYFUNCTION("""COMPUTED_VALUE"""),0.5)</f>
        <v>0.5</v>
      </c>
      <c r="S5737" s="4">
        <f>IFERROR(__xludf.DUMMYFUNCTION("""COMPUTED_VALUE"""),-0.1)</f>
        <v>-0.1</v>
      </c>
      <c r="T5737" s="4">
        <f>IFERROR(__xludf.DUMMYFUNCTION("""COMPUTED_VALUE"""),-0.024)</f>
        <v>-0.024</v>
      </c>
      <c r="U5737" s="4"/>
      <c r="V5737" s="4"/>
    </row>
    <row r="5738">
      <c r="A5738" s="4">
        <f>IFERROR(__xludf.DUMMYFUNCTION("""COMPUTED_VALUE"""),23.0)</f>
        <v>23</v>
      </c>
      <c r="B5738" s="4">
        <f>IFERROR(__xludf.DUMMYFUNCTION("""COMPUTED_VALUE"""),23.0)</f>
        <v>23</v>
      </c>
      <c r="C5738" s="4" t="str">
        <f>IFERROR(__xludf.DUMMYFUNCTION("""COMPUTED_VALUE"""),"SEA")</f>
        <v>SEA</v>
      </c>
      <c r="D5738" s="4" t="str">
        <f>IFERROR(__xludf.DUMMYFUNCTION("""COMPUTED_VALUE"""),"Brian Taylor")</f>
        <v>Brian Taylor</v>
      </c>
      <c r="E5738" s="4" t="str">
        <f>IFERROR(__xludf.DUMMYFUNCTION("""COMPUTED_VALUE"""),"Princeton")</f>
        <v>Princeton</v>
      </c>
      <c r="F5738" s="4">
        <f>IFERROR(__xludf.DUMMYFUNCTION("""COMPUTED_VALUE"""),6.0)</f>
        <v>6</v>
      </c>
      <c r="G5738" s="4">
        <f>IFERROR(__xludf.DUMMYFUNCTION("""COMPUTED_VALUE"""),330.0)</f>
        <v>330</v>
      </c>
      <c r="H5738" s="4">
        <f>IFERROR(__xludf.DUMMYFUNCTION("""COMPUTED_VALUE"""),10262.0)</f>
        <v>10262</v>
      </c>
      <c r="I5738" s="4">
        <f>IFERROR(__xludf.DUMMYFUNCTION("""COMPUTED_VALUE"""),4064.0)</f>
        <v>4064</v>
      </c>
      <c r="J5738" s="4">
        <f>IFERROR(__xludf.DUMMYFUNCTION("""COMPUTED_VALUE"""),797.0)</f>
        <v>797</v>
      </c>
      <c r="K5738" s="4">
        <f>IFERROR(__xludf.DUMMYFUNCTION("""COMPUTED_VALUE"""),1476.0)</f>
        <v>1476</v>
      </c>
      <c r="L5738" s="4">
        <f>IFERROR(__xludf.DUMMYFUNCTION("""COMPUTED_VALUE"""),0.487)</f>
        <v>0.487</v>
      </c>
      <c r="M5738" s="4"/>
      <c r="N5738" s="4">
        <f>IFERROR(__xludf.DUMMYFUNCTION("""COMPUTED_VALUE"""),0.803)</f>
        <v>0.803</v>
      </c>
      <c r="O5738" s="4">
        <f>IFERROR(__xludf.DUMMYFUNCTION("""COMPUTED_VALUE"""),31.1)</f>
        <v>31.1</v>
      </c>
      <c r="P5738" s="4">
        <f>IFERROR(__xludf.DUMMYFUNCTION("""COMPUTED_VALUE"""),12.3)</f>
        <v>12.3</v>
      </c>
      <c r="Q5738" s="4">
        <f>IFERROR(__xludf.DUMMYFUNCTION("""COMPUTED_VALUE"""),2.4)</f>
        <v>2.4</v>
      </c>
      <c r="R5738" s="4">
        <f>IFERROR(__xludf.DUMMYFUNCTION("""COMPUTED_VALUE"""),4.5)</f>
        <v>4.5</v>
      </c>
      <c r="S5738" s="4">
        <f>IFERROR(__xludf.DUMMYFUNCTION("""COMPUTED_VALUE"""),24.7)</f>
        <v>24.7</v>
      </c>
      <c r="T5738" s="4">
        <f>IFERROR(__xludf.DUMMYFUNCTION("""COMPUTED_VALUE"""),0.116)</f>
        <v>0.116</v>
      </c>
      <c r="U5738" s="4">
        <f>IFERROR(__xludf.DUMMYFUNCTION("""COMPUTED_VALUE"""),1.1)</f>
        <v>1.1</v>
      </c>
      <c r="V5738" s="4">
        <f>IFERROR(__xludf.DUMMYFUNCTION("""COMPUTED_VALUE"""),8.1)</f>
        <v>8.1</v>
      </c>
    </row>
    <row r="5739">
      <c r="A5739" s="4">
        <f>IFERROR(__xludf.DUMMYFUNCTION("""COMPUTED_VALUE"""),24.0)</f>
        <v>24</v>
      </c>
      <c r="B5739" s="4">
        <f>IFERROR(__xludf.DUMMYFUNCTION("""COMPUTED_VALUE"""),24.0)</f>
        <v>24</v>
      </c>
      <c r="C5739" s="4" t="str">
        <f>IFERROR(__xludf.DUMMYFUNCTION("""COMPUTED_VALUE"""),"CLE")</f>
        <v>CLE</v>
      </c>
      <c r="D5739" s="4" t="str">
        <f>IFERROR(__xludf.DUMMYFUNCTION("""COMPUTED_VALUE"""),"Steve Hawes")</f>
        <v>Steve Hawes</v>
      </c>
      <c r="E5739" s="4" t="str">
        <f>IFERROR(__xludf.DUMMYFUNCTION("""COMPUTED_VALUE"""),"Washington")</f>
        <v>Washington</v>
      </c>
      <c r="F5739" s="4">
        <f>IFERROR(__xludf.DUMMYFUNCTION("""COMPUTED_VALUE"""),10.0)</f>
        <v>10</v>
      </c>
      <c r="G5739" s="4">
        <f>IFERROR(__xludf.DUMMYFUNCTION("""COMPUTED_VALUE"""),688.0)</f>
        <v>688</v>
      </c>
      <c r="H5739" s="4">
        <f>IFERROR(__xludf.DUMMYFUNCTION("""COMPUTED_VALUE"""),15831.0)</f>
        <v>15831</v>
      </c>
      <c r="I5739" s="4">
        <f>IFERROR(__xludf.DUMMYFUNCTION("""COMPUTED_VALUE"""),5768.0)</f>
        <v>5768</v>
      </c>
      <c r="J5739" s="4">
        <f>IFERROR(__xludf.DUMMYFUNCTION("""COMPUTED_VALUE"""),4272.0)</f>
        <v>4272</v>
      </c>
      <c r="K5739" s="4">
        <f>IFERROR(__xludf.DUMMYFUNCTION("""COMPUTED_VALUE"""),1288.0)</f>
        <v>1288</v>
      </c>
      <c r="L5739" s="4">
        <f>IFERROR(__xludf.DUMMYFUNCTION("""COMPUTED_VALUE"""),0.483)</f>
        <v>0.483</v>
      </c>
      <c r="M5739" s="4"/>
      <c r="N5739" s="4">
        <f>IFERROR(__xludf.DUMMYFUNCTION("""COMPUTED_VALUE"""),0.79)</f>
        <v>0.79</v>
      </c>
      <c r="O5739" s="4">
        <f>IFERROR(__xludf.DUMMYFUNCTION("""COMPUTED_VALUE"""),23.0)</f>
        <v>23</v>
      </c>
      <c r="P5739" s="4">
        <f>IFERROR(__xludf.DUMMYFUNCTION("""COMPUTED_VALUE"""),8.4)</f>
        <v>8.4</v>
      </c>
      <c r="Q5739" s="4">
        <f>IFERROR(__xludf.DUMMYFUNCTION("""COMPUTED_VALUE"""),6.2)</f>
        <v>6.2</v>
      </c>
      <c r="R5739" s="4">
        <f>IFERROR(__xludf.DUMMYFUNCTION("""COMPUTED_VALUE"""),1.9)</f>
        <v>1.9</v>
      </c>
      <c r="S5739" s="4">
        <f>IFERROR(__xludf.DUMMYFUNCTION("""COMPUTED_VALUE"""),37.1)</f>
        <v>37.1</v>
      </c>
      <c r="T5739" s="4">
        <f>IFERROR(__xludf.DUMMYFUNCTION("""COMPUTED_VALUE"""),0.112)</f>
        <v>0.112</v>
      </c>
      <c r="U5739" s="4">
        <f>IFERROR(__xludf.DUMMYFUNCTION("""COMPUTED_VALUE"""),0.5)</f>
        <v>0.5</v>
      </c>
      <c r="V5739" s="4">
        <f>IFERROR(__xludf.DUMMYFUNCTION("""COMPUTED_VALUE"""),9.9)</f>
        <v>9.9</v>
      </c>
    </row>
    <row r="5740">
      <c r="A5740" s="4">
        <f>IFERROR(__xludf.DUMMYFUNCTION("""COMPUTED_VALUE"""),25.0)</f>
        <v>25</v>
      </c>
      <c r="B5740" s="4">
        <f>IFERROR(__xludf.DUMMYFUNCTION("""COMPUTED_VALUE"""),25.0)</f>
        <v>25</v>
      </c>
      <c r="C5740" s="4" t="str">
        <f>IFERROR(__xludf.DUMMYFUNCTION("""COMPUTED_VALUE"""),"BAL")</f>
        <v>BAL</v>
      </c>
      <c r="D5740" s="4" t="str">
        <f>IFERROR(__xludf.DUMMYFUNCTION("""COMPUTED_VALUE"""),"Tom Patterson")</f>
        <v>Tom Patterson</v>
      </c>
      <c r="E5740" s="4" t="str">
        <f>IFERROR(__xludf.DUMMYFUNCTION("""COMPUTED_VALUE"""),"Ouachita Baptist University")</f>
        <v>Ouachita Baptist University</v>
      </c>
      <c r="F5740" s="4">
        <f>IFERROR(__xludf.DUMMYFUNCTION("""COMPUTED_VALUE"""),2.0)</f>
        <v>2</v>
      </c>
      <c r="G5740" s="4">
        <f>IFERROR(__xludf.DUMMYFUNCTION("""COMPUTED_VALUE"""),25.0)</f>
        <v>25</v>
      </c>
      <c r="H5740" s="4">
        <f>IFERROR(__xludf.DUMMYFUNCTION("""COMPUTED_VALUE"""),100.0)</f>
        <v>100</v>
      </c>
      <c r="I5740" s="4">
        <f>IFERROR(__xludf.DUMMYFUNCTION("""COMPUTED_VALUE"""),56.0)</f>
        <v>56</v>
      </c>
      <c r="J5740" s="4">
        <f>IFERROR(__xludf.DUMMYFUNCTION("""COMPUTED_VALUE"""),24.0)</f>
        <v>24</v>
      </c>
      <c r="K5740" s="4">
        <f>IFERROR(__xludf.DUMMYFUNCTION("""COMPUTED_VALUE"""),5.0)</f>
        <v>5</v>
      </c>
      <c r="L5740" s="4">
        <f>IFERROR(__xludf.DUMMYFUNCTION("""COMPUTED_VALUE"""),0.42)</f>
        <v>0.42</v>
      </c>
      <c r="M5740" s="4"/>
      <c r="N5740" s="4">
        <f>IFERROR(__xludf.DUMMYFUNCTION("""COMPUTED_VALUE"""),0.778)</f>
        <v>0.778</v>
      </c>
      <c r="O5740" s="4">
        <f>IFERROR(__xludf.DUMMYFUNCTION("""COMPUTED_VALUE"""),4.0)</f>
        <v>4</v>
      </c>
      <c r="P5740" s="4">
        <f>IFERROR(__xludf.DUMMYFUNCTION("""COMPUTED_VALUE"""),2.2)</f>
        <v>2.2</v>
      </c>
      <c r="Q5740" s="4">
        <f>IFERROR(__xludf.DUMMYFUNCTION("""COMPUTED_VALUE"""),1.0)</f>
        <v>1</v>
      </c>
      <c r="R5740" s="4">
        <f>IFERROR(__xludf.DUMMYFUNCTION("""COMPUTED_VALUE"""),0.2)</f>
        <v>0.2</v>
      </c>
      <c r="S5740" s="4">
        <f>IFERROR(__xludf.DUMMYFUNCTION("""COMPUTED_VALUE"""),0.2)</f>
        <v>0.2</v>
      </c>
      <c r="T5740" s="4">
        <f>IFERROR(__xludf.DUMMYFUNCTION("""COMPUTED_VALUE"""),0.102)</f>
        <v>0.102</v>
      </c>
      <c r="U5740" s="4">
        <f>IFERROR(__xludf.DUMMYFUNCTION("""COMPUTED_VALUE"""),-4.3)</f>
        <v>-4.3</v>
      </c>
      <c r="V5740" s="4">
        <f>IFERROR(__xludf.DUMMYFUNCTION("""COMPUTED_VALUE"""),0.0)</f>
        <v>0</v>
      </c>
    </row>
    <row r="5741">
      <c r="A5741" s="4">
        <f>IFERROR(__xludf.DUMMYFUNCTION("""COMPUTED_VALUE"""),26.0)</f>
        <v>26</v>
      </c>
      <c r="B5741" s="4">
        <f>IFERROR(__xludf.DUMMYFUNCTION("""COMPUTED_VALUE"""),26.0)</f>
        <v>26</v>
      </c>
      <c r="C5741" s="4" t="str">
        <f>IFERROR(__xludf.DUMMYFUNCTION("""COMPUTED_VALUE"""),"POR")</f>
        <v>POR</v>
      </c>
      <c r="D5741" s="4" t="str">
        <f>IFERROR(__xludf.DUMMYFUNCTION("""COMPUTED_VALUE"""),"Dave Twardzik")</f>
        <v>Dave Twardzik</v>
      </c>
      <c r="E5741" s="4" t="str">
        <f>IFERROR(__xludf.DUMMYFUNCTION("""COMPUTED_VALUE"""),"Old Dominion")</f>
        <v>Old Dominion</v>
      </c>
      <c r="F5741" s="4">
        <f>IFERROR(__xludf.DUMMYFUNCTION("""COMPUTED_VALUE"""),4.0)</f>
        <v>4</v>
      </c>
      <c r="G5741" s="4">
        <f>IFERROR(__xludf.DUMMYFUNCTION("""COMPUTED_VALUE"""),280.0)</f>
        <v>280</v>
      </c>
      <c r="H5741" s="4">
        <f>IFERROR(__xludf.DUMMYFUNCTION("""COMPUTED_VALUE"""),6921.0)</f>
        <v>6921</v>
      </c>
      <c r="I5741" s="4">
        <f>IFERROR(__xludf.DUMMYFUNCTION("""COMPUTED_VALUE"""),2666.0)</f>
        <v>2666</v>
      </c>
      <c r="J5741" s="4">
        <f>IFERROR(__xludf.DUMMYFUNCTION("""COMPUTED_VALUE"""),611.0)</f>
        <v>611</v>
      </c>
      <c r="K5741" s="4">
        <f>IFERROR(__xludf.DUMMYFUNCTION("""COMPUTED_VALUE"""),940.0)</f>
        <v>940</v>
      </c>
      <c r="L5741" s="4">
        <f>IFERROR(__xludf.DUMMYFUNCTION("""COMPUTED_VALUE"""),0.552)</f>
        <v>0.552</v>
      </c>
      <c r="M5741" s="4"/>
      <c r="N5741" s="4">
        <f>IFERROR(__xludf.DUMMYFUNCTION("""COMPUTED_VALUE"""),0.823)</f>
        <v>0.823</v>
      </c>
      <c r="O5741" s="4">
        <f>IFERROR(__xludf.DUMMYFUNCTION("""COMPUTED_VALUE"""),24.7)</f>
        <v>24.7</v>
      </c>
      <c r="P5741" s="4">
        <f>IFERROR(__xludf.DUMMYFUNCTION("""COMPUTED_VALUE"""),9.5)</f>
        <v>9.5</v>
      </c>
      <c r="Q5741" s="4">
        <f>IFERROR(__xludf.DUMMYFUNCTION("""COMPUTED_VALUE"""),2.2)</f>
        <v>2.2</v>
      </c>
      <c r="R5741" s="4">
        <f>IFERROR(__xludf.DUMMYFUNCTION("""COMPUTED_VALUE"""),3.4)</f>
        <v>3.4</v>
      </c>
      <c r="S5741" s="4">
        <f>IFERROR(__xludf.DUMMYFUNCTION("""COMPUTED_VALUE"""),21.8)</f>
        <v>21.8</v>
      </c>
      <c r="T5741" s="4">
        <f>IFERROR(__xludf.DUMMYFUNCTION("""COMPUTED_VALUE"""),0.151)</f>
        <v>0.151</v>
      </c>
      <c r="U5741" s="4">
        <f>IFERROR(__xludf.DUMMYFUNCTION("""COMPUTED_VALUE"""),1.1)</f>
        <v>1.1</v>
      </c>
      <c r="V5741" s="4">
        <f>IFERROR(__xludf.DUMMYFUNCTION("""COMPUTED_VALUE"""),5.4)</f>
        <v>5.4</v>
      </c>
    </row>
    <row r="5742">
      <c r="A5742" s="4">
        <f>IFERROR(__xludf.DUMMYFUNCTION("""COMPUTED_VALUE"""),27.0)</f>
        <v>27</v>
      </c>
      <c r="B5742" s="4">
        <f>IFERROR(__xludf.DUMMYFUNCTION("""COMPUTED_VALUE"""),27.0)</f>
        <v>27</v>
      </c>
      <c r="C5742" s="4" t="str">
        <f>IFERROR(__xludf.DUMMYFUNCTION("""COMPUTED_VALUE"""),"BOS")</f>
        <v>BOS</v>
      </c>
      <c r="D5742" s="4" t="str">
        <f>IFERROR(__xludf.DUMMYFUNCTION("""COMPUTED_VALUE"""),"Dennis Wuycik")</f>
        <v>Dennis Wuycik</v>
      </c>
      <c r="E5742" s="4" t="str">
        <f>IFERROR(__xludf.DUMMYFUNCTION("""COMPUTED_VALUE"""),"UNC")</f>
        <v>UNC</v>
      </c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</row>
    <row r="5743">
      <c r="A5743" s="4">
        <f>IFERROR(__xludf.DUMMYFUNCTION("""COMPUTED_VALUE"""),28.0)</f>
        <v>28</v>
      </c>
      <c r="B5743" s="4">
        <f>IFERROR(__xludf.DUMMYFUNCTION("""COMPUTED_VALUE"""),28.0)</f>
        <v>28</v>
      </c>
      <c r="C5743" s="4" t="str">
        <f>IFERROR(__xludf.DUMMYFUNCTION("""COMPUTED_VALUE"""),"KCO")</f>
        <v>KCO</v>
      </c>
      <c r="D5743" s="4" t="str">
        <f>IFERROR(__xludf.DUMMYFUNCTION("""COMPUTED_VALUE"""),"Mike Ratliff")</f>
        <v>Mike Ratliff</v>
      </c>
      <c r="E5743" s="4" t="str">
        <f>IFERROR(__xludf.DUMMYFUNCTION("""COMPUTED_VALUE"""),"University of Wisconsin-Eau Claire")</f>
        <v>University of Wisconsin-Eau Claire</v>
      </c>
      <c r="F5743" s="4">
        <f>IFERROR(__xludf.DUMMYFUNCTION("""COMPUTED_VALUE"""),2.0)</f>
        <v>2</v>
      </c>
      <c r="G5743" s="4">
        <f>IFERROR(__xludf.DUMMYFUNCTION("""COMPUTED_VALUE"""),60.0)</f>
        <v>60</v>
      </c>
      <c r="H5743" s="4">
        <f>IFERROR(__xludf.DUMMYFUNCTION("""COMPUTED_VALUE"""),685.0)</f>
        <v>685</v>
      </c>
      <c r="I5743" s="4">
        <f>IFERROR(__xludf.DUMMYFUNCTION("""COMPUTED_VALUE"""),241.0)</f>
        <v>241</v>
      </c>
      <c r="J5743" s="4">
        <f>IFERROR(__xludf.DUMMYFUNCTION("""COMPUTED_VALUE"""),194.0)</f>
        <v>194</v>
      </c>
      <c r="K5743" s="4">
        <f>IFERROR(__xludf.DUMMYFUNCTION("""COMPUTED_VALUE"""),38.0)</f>
        <v>38</v>
      </c>
      <c r="L5743" s="4">
        <f>IFERROR(__xludf.DUMMYFUNCTION("""COMPUTED_VALUE"""),0.417)</f>
        <v>0.417</v>
      </c>
      <c r="M5743" s="4"/>
      <c r="N5743" s="4">
        <f>IFERROR(__xludf.DUMMYFUNCTION("""COMPUTED_VALUE"""),0.536)</f>
        <v>0.536</v>
      </c>
      <c r="O5743" s="4">
        <f>IFERROR(__xludf.DUMMYFUNCTION("""COMPUTED_VALUE"""),11.4)</f>
        <v>11.4</v>
      </c>
      <c r="P5743" s="4">
        <f>IFERROR(__xludf.DUMMYFUNCTION("""COMPUTED_VALUE"""),4.0)</f>
        <v>4</v>
      </c>
      <c r="Q5743" s="4">
        <f>IFERROR(__xludf.DUMMYFUNCTION("""COMPUTED_VALUE"""),3.2)</f>
        <v>3.2</v>
      </c>
      <c r="R5743" s="4">
        <f>IFERROR(__xludf.DUMMYFUNCTION("""COMPUTED_VALUE"""),0.6)</f>
        <v>0.6</v>
      </c>
      <c r="S5743" s="4">
        <f>IFERROR(__xludf.DUMMYFUNCTION("""COMPUTED_VALUE"""),-0.2)</f>
        <v>-0.2</v>
      </c>
      <c r="T5743" s="4">
        <f>IFERROR(__xludf.DUMMYFUNCTION("""COMPUTED_VALUE"""),-0.014)</f>
        <v>-0.014</v>
      </c>
      <c r="U5743" s="4">
        <f>IFERROR(__xludf.DUMMYFUNCTION("""COMPUTED_VALUE"""),-4.6)</f>
        <v>-4.6</v>
      </c>
      <c r="V5743" s="4">
        <f>IFERROR(__xludf.DUMMYFUNCTION("""COMPUTED_VALUE"""),0.0)</f>
        <v>0</v>
      </c>
    </row>
    <row r="5744">
      <c r="A5744" s="4">
        <f>IFERROR(__xludf.DUMMYFUNCTION("""COMPUTED_VALUE"""),29.0)</f>
        <v>29</v>
      </c>
      <c r="B5744" s="4">
        <f>IFERROR(__xludf.DUMMYFUNCTION("""COMPUTED_VALUE"""),29.0)</f>
        <v>29</v>
      </c>
      <c r="C5744" s="4" t="str">
        <f>IFERROR(__xludf.DUMMYFUNCTION("""COMPUTED_VALUE"""),"MIL")</f>
        <v>MIL</v>
      </c>
      <c r="D5744" s="4" t="str">
        <f>IFERROR(__xludf.DUMMYFUNCTION("""COMPUTED_VALUE"""),"Chuck Terry")</f>
        <v>Chuck Terry</v>
      </c>
      <c r="E5744" s="4" t="str">
        <f>IFERROR(__xludf.DUMMYFUNCTION("""COMPUTED_VALUE"""),"Cal State Long Beach")</f>
        <v>Cal State Long Beach</v>
      </c>
      <c r="F5744" s="4">
        <f>IFERROR(__xludf.DUMMYFUNCTION("""COMPUTED_VALUE"""),2.0)</f>
        <v>2</v>
      </c>
      <c r="G5744" s="4">
        <f>IFERROR(__xludf.DUMMYFUNCTION("""COMPUTED_VALUE"""),135.0)</f>
        <v>135</v>
      </c>
      <c r="H5744" s="4">
        <f>IFERROR(__xludf.DUMMYFUNCTION("""COMPUTED_VALUE"""),1800.0)</f>
        <v>1800</v>
      </c>
      <c r="I5744" s="4">
        <f>IFERROR(__xludf.DUMMYFUNCTION("""COMPUTED_VALUE"""),439.0)</f>
        <v>439</v>
      </c>
      <c r="J5744" s="4">
        <f>IFERROR(__xludf.DUMMYFUNCTION("""COMPUTED_VALUE"""),291.0)</f>
        <v>291</v>
      </c>
      <c r="K5744" s="4">
        <f>IFERROR(__xludf.DUMMYFUNCTION("""COMPUTED_VALUE"""),83.0)</f>
        <v>83</v>
      </c>
      <c r="L5744" s="4">
        <f>IFERROR(__xludf.DUMMYFUNCTION("""COMPUTED_VALUE"""),0.38)</f>
        <v>0.38</v>
      </c>
      <c r="M5744" s="4"/>
      <c r="N5744" s="4">
        <f>IFERROR(__xludf.DUMMYFUNCTION("""COMPUTED_VALUE"""),0.756)</f>
        <v>0.756</v>
      </c>
      <c r="O5744" s="4">
        <f>IFERROR(__xludf.DUMMYFUNCTION("""COMPUTED_VALUE"""),13.3)</f>
        <v>13.3</v>
      </c>
      <c r="P5744" s="4">
        <f>IFERROR(__xludf.DUMMYFUNCTION("""COMPUTED_VALUE"""),3.3)</f>
        <v>3.3</v>
      </c>
      <c r="Q5744" s="4">
        <f>IFERROR(__xludf.DUMMYFUNCTION("""COMPUTED_VALUE"""),2.2)</f>
        <v>2.2</v>
      </c>
      <c r="R5744" s="4">
        <f>IFERROR(__xludf.DUMMYFUNCTION("""COMPUTED_VALUE"""),0.6)</f>
        <v>0.6</v>
      </c>
      <c r="S5744" s="4">
        <f>IFERROR(__xludf.DUMMYFUNCTION("""COMPUTED_VALUE"""),0.7)</f>
        <v>0.7</v>
      </c>
      <c r="T5744" s="4">
        <f>IFERROR(__xludf.DUMMYFUNCTION("""COMPUTED_VALUE"""),0.018)</f>
        <v>0.018</v>
      </c>
      <c r="U5744" s="4">
        <f>IFERROR(__xludf.DUMMYFUNCTION("""COMPUTED_VALUE"""),-3.2)</f>
        <v>-3.2</v>
      </c>
      <c r="V5744" s="4">
        <f>IFERROR(__xludf.DUMMYFUNCTION("""COMPUTED_VALUE"""),-0.3)</f>
        <v>-0.3</v>
      </c>
    </row>
    <row r="5745">
      <c r="A5745" s="4">
        <f>IFERROR(__xludf.DUMMYFUNCTION("""COMPUTED_VALUE"""),30.0)</f>
        <v>30</v>
      </c>
      <c r="B5745" s="4">
        <f>IFERROR(__xludf.DUMMYFUNCTION("""COMPUTED_VALUE"""),30.0)</f>
        <v>30</v>
      </c>
      <c r="C5745" s="4" t="str">
        <f>IFERROR(__xludf.DUMMYFUNCTION("""COMPUTED_VALUE"""),"POR")</f>
        <v>POR</v>
      </c>
      <c r="D5745" s="4" t="str">
        <f>IFERROR(__xludf.DUMMYFUNCTION("""COMPUTED_VALUE"""),"Ollie Johnson")</f>
        <v>Ollie Johnson</v>
      </c>
      <c r="E5745" s="4" t="str">
        <f>IFERROR(__xludf.DUMMYFUNCTION("""COMPUTED_VALUE"""),"Temple")</f>
        <v>Temple</v>
      </c>
      <c r="F5745" s="4">
        <f>IFERROR(__xludf.DUMMYFUNCTION("""COMPUTED_VALUE"""),10.0)</f>
        <v>10</v>
      </c>
      <c r="G5745" s="4">
        <f>IFERROR(__xludf.DUMMYFUNCTION("""COMPUTED_VALUE"""),690.0)</f>
        <v>690</v>
      </c>
      <c r="H5745" s="4">
        <f>IFERROR(__xludf.DUMMYFUNCTION("""COMPUTED_VALUE"""),14554.0)</f>
        <v>14554</v>
      </c>
      <c r="I5745" s="4">
        <f>IFERROR(__xludf.DUMMYFUNCTION("""COMPUTED_VALUE"""),5341.0)</f>
        <v>5341</v>
      </c>
      <c r="J5745" s="4">
        <f>IFERROR(__xludf.DUMMYFUNCTION("""COMPUTED_VALUE"""),2280.0)</f>
        <v>2280</v>
      </c>
      <c r="K5745" s="4">
        <f>IFERROR(__xludf.DUMMYFUNCTION("""COMPUTED_VALUE"""),1212.0)</f>
        <v>1212</v>
      </c>
      <c r="L5745" s="4">
        <f>IFERROR(__xludf.DUMMYFUNCTION("""COMPUTED_VALUE"""),0.496)</f>
        <v>0.496</v>
      </c>
      <c r="M5745" s="4"/>
      <c r="N5745" s="4">
        <f>IFERROR(__xludf.DUMMYFUNCTION("""COMPUTED_VALUE"""),0.827)</f>
        <v>0.827</v>
      </c>
      <c r="O5745" s="4">
        <f>IFERROR(__xludf.DUMMYFUNCTION("""COMPUTED_VALUE"""),21.1)</f>
        <v>21.1</v>
      </c>
      <c r="P5745" s="4">
        <f>IFERROR(__xludf.DUMMYFUNCTION("""COMPUTED_VALUE"""),7.7)</f>
        <v>7.7</v>
      </c>
      <c r="Q5745" s="4">
        <f>IFERROR(__xludf.DUMMYFUNCTION("""COMPUTED_VALUE"""),3.3)</f>
        <v>3.3</v>
      </c>
      <c r="R5745" s="4">
        <f>IFERROR(__xludf.DUMMYFUNCTION("""COMPUTED_VALUE"""),1.8)</f>
        <v>1.8</v>
      </c>
      <c r="S5745" s="4">
        <f>IFERROR(__xludf.DUMMYFUNCTION("""COMPUTED_VALUE"""),27.0)</f>
        <v>27</v>
      </c>
      <c r="T5745" s="4">
        <f>IFERROR(__xludf.DUMMYFUNCTION("""COMPUTED_VALUE"""),0.089)</f>
        <v>0.089</v>
      </c>
      <c r="U5745" s="4">
        <f>IFERROR(__xludf.DUMMYFUNCTION("""COMPUTED_VALUE"""),-0.4)</f>
        <v>-0.4</v>
      </c>
      <c r="V5745" s="4">
        <f>IFERROR(__xludf.DUMMYFUNCTION("""COMPUTED_VALUE"""),5.0)</f>
        <v>5</v>
      </c>
    </row>
    <row r="5746">
      <c r="A5746" s="4"/>
      <c r="B5746" s="4"/>
      <c r="C5746" s="4"/>
      <c r="D5746" s="4" t="str">
        <f>IFERROR(__xludf.DUMMYFUNCTION("""COMPUTED_VALUE"""),"Round 3")</f>
        <v>Round 3</v>
      </c>
      <c r="E5746" s="4"/>
      <c r="F5746" s="4"/>
      <c r="G5746" s="4" t="str">
        <f>IFERROR(__xludf.DUMMYFUNCTION("""COMPUTED_VALUE"""),"Totals")</f>
        <v>Totals</v>
      </c>
      <c r="H5746" s="4"/>
      <c r="I5746" s="4"/>
      <c r="J5746" s="4"/>
      <c r="K5746" s="4"/>
      <c r="L5746" s="4" t="str">
        <f>IFERROR(__xludf.DUMMYFUNCTION("""COMPUTED_VALUE"""),"Shooting")</f>
        <v>Shooting</v>
      </c>
      <c r="M5746" s="4"/>
      <c r="N5746" s="4"/>
      <c r="O5746" s="4" t="str">
        <f>IFERROR(__xludf.DUMMYFUNCTION("""COMPUTED_VALUE"""),"Per Game")</f>
        <v>Per Game</v>
      </c>
      <c r="P5746" s="4"/>
      <c r="Q5746" s="4"/>
      <c r="R5746" s="4"/>
      <c r="S5746" s="4" t="str">
        <f>IFERROR(__xludf.DUMMYFUNCTION("""COMPUTED_VALUE"""),"Advanced")</f>
        <v>Advanced</v>
      </c>
      <c r="T5746" s="4"/>
      <c r="U5746" s="4"/>
      <c r="V5746" s="4"/>
    </row>
    <row r="5747">
      <c r="A5747" s="4" t="str">
        <f>IFERROR(__xludf.DUMMYFUNCTION("""COMPUTED_VALUE"""),"Rk")</f>
        <v>Rk</v>
      </c>
      <c r="B5747" s="4" t="str">
        <f>IFERROR(__xludf.DUMMYFUNCTION("""COMPUTED_VALUE"""),"Pk")</f>
        <v>Pk</v>
      </c>
      <c r="C5747" s="4" t="str">
        <f>IFERROR(__xludf.DUMMYFUNCTION("""COMPUTED_VALUE"""),"Tm")</f>
        <v>Tm</v>
      </c>
      <c r="D5747" s="4" t="str">
        <f>IFERROR(__xludf.DUMMYFUNCTION("""COMPUTED_VALUE"""),"Player")</f>
        <v>Player</v>
      </c>
      <c r="E5747" s="4" t="str">
        <f>IFERROR(__xludf.DUMMYFUNCTION("""COMPUTED_VALUE"""),"College")</f>
        <v>College</v>
      </c>
      <c r="F5747" s="4" t="str">
        <f>IFERROR(__xludf.DUMMYFUNCTION("""COMPUTED_VALUE"""),"Yrs")</f>
        <v>Yrs</v>
      </c>
      <c r="G5747" s="4" t="str">
        <f>IFERROR(__xludf.DUMMYFUNCTION("""COMPUTED_VALUE"""),"G")</f>
        <v>G</v>
      </c>
      <c r="H5747" s="4" t="str">
        <f>IFERROR(__xludf.DUMMYFUNCTION("""COMPUTED_VALUE"""),"MP")</f>
        <v>MP</v>
      </c>
      <c r="I5747" s="4" t="str">
        <f>IFERROR(__xludf.DUMMYFUNCTION("""COMPUTED_VALUE"""),"PTS")</f>
        <v>PTS</v>
      </c>
      <c r="J5747" s="4" t="str">
        <f>IFERROR(__xludf.DUMMYFUNCTION("""COMPUTED_VALUE"""),"TRB")</f>
        <v>TRB</v>
      </c>
      <c r="K5747" s="4" t="str">
        <f>IFERROR(__xludf.DUMMYFUNCTION("""COMPUTED_VALUE"""),"AST")</f>
        <v>AST</v>
      </c>
      <c r="L5747" s="4" t="str">
        <f>IFERROR(__xludf.DUMMYFUNCTION("""COMPUTED_VALUE"""),"FG%")</f>
        <v>FG%</v>
      </c>
      <c r="M5747" s="4" t="str">
        <f>IFERROR(__xludf.DUMMYFUNCTION("""COMPUTED_VALUE"""),"3P%")</f>
        <v>3P%</v>
      </c>
      <c r="N5747" s="4" t="str">
        <f>IFERROR(__xludf.DUMMYFUNCTION("""COMPUTED_VALUE"""),"FT%")</f>
        <v>FT%</v>
      </c>
      <c r="O5747" s="4" t="str">
        <f>IFERROR(__xludf.DUMMYFUNCTION("""COMPUTED_VALUE"""),"MP")</f>
        <v>MP</v>
      </c>
      <c r="P5747" s="4" t="str">
        <f>IFERROR(__xludf.DUMMYFUNCTION("""COMPUTED_VALUE"""),"PTS")</f>
        <v>PTS</v>
      </c>
      <c r="Q5747" s="4" t="str">
        <f>IFERROR(__xludf.DUMMYFUNCTION("""COMPUTED_VALUE"""),"TRB")</f>
        <v>TRB</v>
      </c>
      <c r="R5747" s="4" t="str">
        <f>IFERROR(__xludf.DUMMYFUNCTION("""COMPUTED_VALUE"""),"AST")</f>
        <v>AST</v>
      </c>
      <c r="S5747" s="4" t="str">
        <f>IFERROR(__xludf.DUMMYFUNCTION("""COMPUTED_VALUE"""),"WS")</f>
        <v>WS</v>
      </c>
      <c r="T5747" s="4" t="str">
        <f>IFERROR(__xludf.DUMMYFUNCTION("""COMPUTED_VALUE"""),"WS/48")</f>
        <v>WS/48</v>
      </c>
      <c r="U5747" s="4" t="str">
        <f>IFERROR(__xludf.DUMMYFUNCTION("""COMPUTED_VALUE"""),"BPM")</f>
        <v>BPM</v>
      </c>
      <c r="V5747" s="4" t="str">
        <f>IFERROR(__xludf.DUMMYFUNCTION("""COMPUTED_VALUE"""),"VORP")</f>
        <v>VORP</v>
      </c>
    </row>
    <row r="5748">
      <c r="A5748" s="4">
        <f>IFERROR(__xludf.DUMMYFUNCTION("""COMPUTED_VALUE"""),31.0)</f>
        <v>31</v>
      </c>
      <c r="B5748" s="4">
        <f>IFERROR(__xludf.DUMMYFUNCTION("""COMPUTED_VALUE"""),31.0)</f>
        <v>31</v>
      </c>
      <c r="C5748" s="4" t="str">
        <f>IFERROR(__xludf.DUMMYFUNCTION("""COMPUTED_VALUE"""),"POR")</f>
        <v>POR</v>
      </c>
      <c r="D5748" s="4" t="str">
        <f>IFERROR(__xludf.DUMMYFUNCTION("""COMPUTED_VALUE"""),"Lloyd Neal")</f>
        <v>Lloyd Neal</v>
      </c>
      <c r="E5748" s="4" t="str">
        <f>IFERROR(__xludf.DUMMYFUNCTION("""COMPUTED_VALUE"""),"Tennessee State")</f>
        <v>Tennessee State</v>
      </c>
      <c r="F5748" s="4">
        <f>IFERROR(__xludf.DUMMYFUNCTION("""COMPUTED_VALUE"""),7.0)</f>
        <v>7</v>
      </c>
      <c r="G5748" s="4">
        <f>IFERROR(__xludf.DUMMYFUNCTION("""COMPUTED_VALUE"""),435.0)</f>
        <v>435</v>
      </c>
      <c r="H5748" s="4">
        <f>IFERROR(__xludf.DUMMYFUNCTION("""COMPUTED_VALUE"""),11015.0)</f>
        <v>11015</v>
      </c>
      <c r="I5748" s="4">
        <f>IFERROR(__xludf.DUMMYFUNCTION("""COMPUTED_VALUE"""),4846.0)</f>
        <v>4846</v>
      </c>
      <c r="J5748" s="4">
        <f>IFERROR(__xludf.DUMMYFUNCTION("""COMPUTED_VALUE"""),3370.0)</f>
        <v>3370</v>
      </c>
      <c r="K5748" s="4">
        <f>IFERROR(__xludf.DUMMYFUNCTION("""COMPUTED_VALUE"""),632.0)</f>
        <v>632</v>
      </c>
      <c r="L5748" s="4">
        <f>IFERROR(__xludf.DUMMYFUNCTION("""COMPUTED_VALUE"""),0.485)</f>
        <v>0.485</v>
      </c>
      <c r="M5748" s="4"/>
      <c r="N5748" s="4">
        <f>IFERROR(__xludf.DUMMYFUNCTION("""COMPUTED_VALUE"""),0.672)</f>
        <v>0.672</v>
      </c>
      <c r="O5748" s="4">
        <f>IFERROR(__xludf.DUMMYFUNCTION("""COMPUTED_VALUE"""),25.3)</f>
        <v>25.3</v>
      </c>
      <c r="P5748" s="4">
        <f>IFERROR(__xludf.DUMMYFUNCTION("""COMPUTED_VALUE"""),11.1)</f>
        <v>11.1</v>
      </c>
      <c r="Q5748" s="4">
        <f>IFERROR(__xludf.DUMMYFUNCTION("""COMPUTED_VALUE"""),7.7)</f>
        <v>7.7</v>
      </c>
      <c r="R5748" s="4">
        <f>IFERROR(__xludf.DUMMYFUNCTION("""COMPUTED_VALUE"""),1.5)</f>
        <v>1.5</v>
      </c>
      <c r="S5748" s="4">
        <f>IFERROR(__xludf.DUMMYFUNCTION("""COMPUTED_VALUE"""),22.7)</f>
        <v>22.7</v>
      </c>
      <c r="T5748" s="4">
        <f>IFERROR(__xludf.DUMMYFUNCTION("""COMPUTED_VALUE"""),0.099)</f>
        <v>0.099</v>
      </c>
      <c r="U5748" s="4">
        <f>IFERROR(__xludf.DUMMYFUNCTION("""COMPUTED_VALUE"""),-0.6)</f>
        <v>-0.6</v>
      </c>
      <c r="V5748" s="4">
        <f>IFERROR(__xludf.DUMMYFUNCTION("""COMPUTED_VALUE"""),2.8)</f>
        <v>2.8</v>
      </c>
    </row>
    <row r="5749">
      <c r="A5749" s="4">
        <f>IFERROR(__xludf.DUMMYFUNCTION("""COMPUTED_VALUE"""),32.0)</f>
        <v>32</v>
      </c>
      <c r="B5749" s="4">
        <f>IFERROR(__xludf.DUMMYFUNCTION("""COMPUTED_VALUE"""),32.0)</f>
        <v>32</v>
      </c>
      <c r="C5749" s="4" t="str">
        <f>IFERROR(__xludf.DUMMYFUNCTION("""COMPUTED_VALUE"""),"BUF")</f>
        <v>BUF</v>
      </c>
      <c r="D5749" s="4" t="str">
        <f>IFERROR(__xludf.DUMMYFUNCTION("""COMPUTED_VALUE"""),"Bob Morse")</f>
        <v>Bob Morse</v>
      </c>
      <c r="E5749" s="4" t="str">
        <f>IFERROR(__xludf.DUMMYFUNCTION("""COMPUTED_VALUE"""),"Penn")</f>
        <v>Penn</v>
      </c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</row>
    <row r="5750">
      <c r="A5750" s="4">
        <f>IFERROR(__xludf.DUMMYFUNCTION("""COMPUTED_VALUE"""),33.0)</f>
        <v>33</v>
      </c>
      <c r="B5750" s="4">
        <f>IFERROR(__xludf.DUMMYFUNCTION("""COMPUTED_VALUE"""),33.0)</f>
        <v>33</v>
      </c>
      <c r="C5750" s="4" t="str">
        <f>IFERROR(__xludf.DUMMYFUNCTION("""COMPUTED_VALUE"""),"PHO")</f>
        <v>PHO</v>
      </c>
      <c r="D5750" s="4" t="str">
        <f>IFERROR(__xludf.DUMMYFUNCTION("""COMPUTED_VALUE"""),"Scott English")</f>
        <v>Scott English</v>
      </c>
      <c r="E5750" s="4" t="str">
        <f>IFERROR(__xludf.DUMMYFUNCTION("""COMPUTED_VALUE"""),"Texas-El Paso")</f>
        <v>Texas-El Paso</v>
      </c>
      <c r="F5750" s="4">
        <f>IFERROR(__xludf.DUMMYFUNCTION("""COMPUTED_VALUE"""),1.0)</f>
        <v>1</v>
      </c>
      <c r="G5750" s="4">
        <f>IFERROR(__xludf.DUMMYFUNCTION("""COMPUTED_VALUE"""),29.0)</f>
        <v>29</v>
      </c>
      <c r="H5750" s="4">
        <f>IFERROR(__xludf.DUMMYFUNCTION("""COMPUTED_VALUE"""),196.0)</f>
        <v>196</v>
      </c>
      <c r="I5750" s="4">
        <f>IFERROR(__xludf.DUMMYFUNCTION("""COMPUTED_VALUE"""),93.0)</f>
        <v>93</v>
      </c>
      <c r="J5750" s="4">
        <f>IFERROR(__xludf.DUMMYFUNCTION("""COMPUTED_VALUE"""),44.0)</f>
        <v>44</v>
      </c>
      <c r="K5750" s="4">
        <f>IFERROR(__xludf.DUMMYFUNCTION("""COMPUTED_VALUE"""),15.0)</f>
        <v>15</v>
      </c>
      <c r="L5750" s="4">
        <f>IFERROR(__xludf.DUMMYFUNCTION("""COMPUTED_VALUE"""),0.387)</f>
        <v>0.387</v>
      </c>
      <c r="M5750" s="4"/>
      <c r="N5750" s="4">
        <f>IFERROR(__xludf.DUMMYFUNCTION("""COMPUTED_VALUE"""),0.724)</f>
        <v>0.724</v>
      </c>
      <c r="O5750" s="4">
        <f>IFERROR(__xludf.DUMMYFUNCTION("""COMPUTED_VALUE"""),6.8)</f>
        <v>6.8</v>
      </c>
      <c r="P5750" s="4">
        <f>IFERROR(__xludf.DUMMYFUNCTION("""COMPUTED_VALUE"""),3.2)</f>
        <v>3.2</v>
      </c>
      <c r="Q5750" s="4">
        <f>IFERROR(__xludf.DUMMYFUNCTION("""COMPUTED_VALUE"""),1.5)</f>
        <v>1.5</v>
      </c>
      <c r="R5750" s="4">
        <f>IFERROR(__xludf.DUMMYFUNCTION("""COMPUTED_VALUE"""),0.5)</f>
        <v>0.5</v>
      </c>
      <c r="S5750" s="4">
        <f>IFERROR(__xludf.DUMMYFUNCTION("""COMPUTED_VALUE"""),0.0)</f>
        <v>0</v>
      </c>
      <c r="T5750" s="4">
        <f>IFERROR(__xludf.DUMMYFUNCTION("""COMPUTED_VALUE"""),0.002)</f>
        <v>0.002</v>
      </c>
      <c r="U5750" s="4"/>
      <c r="V5750" s="4"/>
    </row>
    <row r="5751">
      <c r="A5751" s="4">
        <f>IFERROR(__xludf.DUMMYFUNCTION("""COMPUTED_VALUE"""),34.0)</f>
        <v>34</v>
      </c>
      <c r="B5751" s="4">
        <f>IFERROR(__xludf.DUMMYFUNCTION("""COMPUTED_VALUE"""),34.0)</f>
        <v>34</v>
      </c>
      <c r="C5751" s="4" t="str">
        <f>IFERROR(__xludf.DUMMYFUNCTION("""COMPUTED_VALUE"""),"PHO")</f>
        <v>PHO</v>
      </c>
      <c r="D5751" s="4" t="str">
        <f>IFERROR(__xludf.DUMMYFUNCTION("""COMPUTED_VALUE"""),"Don Buse")</f>
        <v>Don Buse</v>
      </c>
      <c r="E5751" s="4" t="str">
        <f>IFERROR(__xludf.DUMMYFUNCTION("""COMPUTED_VALUE"""),"University of Evansville")</f>
        <v>University of Evansville</v>
      </c>
      <c r="F5751" s="4">
        <f>IFERROR(__xludf.DUMMYFUNCTION("""COMPUTED_VALUE"""),9.0)</f>
        <v>9</v>
      </c>
      <c r="G5751" s="4">
        <f>IFERROR(__xludf.DUMMYFUNCTION("""COMPUTED_VALUE"""),648.0)</f>
        <v>648</v>
      </c>
      <c r="H5751" s="4">
        <f>IFERROR(__xludf.DUMMYFUNCTION("""COMPUTED_VALUE"""),17070.0)</f>
        <v>17070</v>
      </c>
      <c r="I5751" s="4">
        <f>IFERROR(__xludf.DUMMYFUNCTION("""COMPUTED_VALUE"""),4485.0)</f>
        <v>4485</v>
      </c>
      <c r="J5751" s="4">
        <f>IFERROR(__xludf.DUMMYFUNCTION("""COMPUTED_VALUE"""),1507.0)</f>
        <v>1507</v>
      </c>
      <c r="K5751" s="4">
        <f>IFERROR(__xludf.DUMMYFUNCTION("""COMPUTED_VALUE"""),2920.0)</f>
        <v>2920</v>
      </c>
      <c r="L5751" s="4">
        <f>IFERROR(__xludf.DUMMYFUNCTION("""COMPUTED_VALUE"""),0.442)</f>
        <v>0.442</v>
      </c>
      <c r="M5751" s="4"/>
      <c r="N5751" s="4">
        <f>IFERROR(__xludf.DUMMYFUNCTION("""COMPUTED_VALUE"""),0.78)</f>
        <v>0.78</v>
      </c>
      <c r="O5751" s="4">
        <f>IFERROR(__xludf.DUMMYFUNCTION("""COMPUTED_VALUE"""),26.3)</f>
        <v>26.3</v>
      </c>
      <c r="P5751" s="4">
        <f>IFERROR(__xludf.DUMMYFUNCTION("""COMPUTED_VALUE"""),6.9)</f>
        <v>6.9</v>
      </c>
      <c r="Q5751" s="4">
        <f>IFERROR(__xludf.DUMMYFUNCTION("""COMPUTED_VALUE"""),2.3)</f>
        <v>2.3</v>
      </c>
      <c r="R5751" s="4">
        <f>IFERROR(__xludf.DUMMYFUNCTION("""COMPUTED_VALUE"""),4.5)</f>
        <v>4.5</v>
      </c>
      <c r="S5751" s="4">
        <f>IFERROR(__xludf.DUMMYFUNCTION("""COMPUTED_VALUE"""),34.9)</f>
        <v>34.9</v>
      </c>
      <c r="T5751" s="4">
        <f>IFERROR(__xludf.DUMMYFUNCTION("""COMPUTED_VALUE"""),0.098)</f>
        <v>0.098</v>
      </c>
      <c r="U5751" s="4">
        <f>IFERROR(__xludf.DUMMYFUNCTION("""COMPUTED_VALUE"""),1.1)</f>
        <v>1.1</v>
      </c>
      <c r="V5751" s="4">
        <f>IFERROR(__xludf.DUMMYFUNCTION("""COMPUTED_VALUE"""),13.6)</f>
        <v>13.6</v>
      </c>
    </row>
    <row r="5752">
      <c r="A5752" s="4">
        <f>IFERROR(__xludf.DUMMYFUNCTION("""COMPUTED_VALUE"""),35.0)</f>
        <v>35</v>
      </c>
      <c r="B5752" s="4">
        <f>IFERROR(__xludf.DUMMYFUNCTION("""COMPUTED_VALUE"""),35.0)</f>
        <v>35</v>
      </c>
      <c r="C5752" s="4" t="str">
        <f>IFERROR(__xludf.DUMMYFUNCTION("""COMPUTED_VALUE"""),"CHI")</f>
        <v>CHI</v>
      </c>
      <c r="D5752" s="4" t="str">
        <f>IFERROR(__xludf.DUMMYFUNCTION("""COMPUTED_VALUE"""),"Frank Russell")</f>
        <v>Frank Russell</v>
      </c>
      <c r="E5752" s="4" t="str">
        <f>IFERROR(__xludf.DUMMYFUNCTION("""COMPUTED_VALUE"""),"Detroit Mercy")</f>
        <v>Detroit Mercy</v>
      </c>
      <c r="F5752" s="4">
        <f>IFERROR(__xludf.DUMMYFUNCTION("""COMPUTED_VALUE"""),1.0)</f>
        <v>1</v>
      </c>
      <c r="G5752" s="4">
        <f>IFERROR(__xludf.DUMMYFUNCTION("""COMPUTED_VALUE"""),23.0)</f>
        <v>23</v>
      </c>
      <c r="H5752" s="4">
        <f>IFERROR(__xludf.DUMMYFUNCTION("""COMPUTED_VALUE"""),131.0)</f>
        <v>131</v>
      </c>
      <c r="I5752" s="4">
        <f>IFERROR(__xludf.DUMMYFUNCTION("""COMPUTED_VALUE"""),74.0)</f>
        <v>74</v>
      </c>
      <c r="J5752" s="4">
        <f>IFERROR(__xludf.DUMMYFUNCTION("""COMPUTED_VALUE"""),17.0)</f>
        <v>17</v>
      </c>
      <c r="K5752" s="4">
        <f>IFERROR(__xludf.DUMMYFUNCTION("""COMPUTED_VALUE"""),15.0)</f>
        <v>15</v>
      </c>
      <c r="L5752" s="4">
        <f>IFERROR(__xludf.DUMMYFUNCTION("""COMPUTED_VALUE"""),0.377)</f>
        <v>0.377</v>
      </c>
      <c r="M5752" s="4"/>
      <c r="N5752" s="4">
        <f>IFERROR(__xludf.DUMMYFUNCTION("""COMPUTED_VALUE"""),0.889)</f>
        <v>0.889</v>
      </c>
      <c r="O5752" s="4">
        <f>IFERROR(__xludf.DUMMYFUNCTION("""COMPUTED_VALUE"""),5.7)</f>
        <v>5.7</v>
      </c>
      <c r="P5752" s="4">
        <f>IFERROR(__xludf.DUMMYFUNCTION("""COMPUTED_VALUE"""),3.2)</f>
        <v>3.2</v>
      </c>
      <c r="Q5752" s="4">
        <f>IFERROR(__xludf.DUMMYFUNCTION("""COMPUTED_VALUE"""),0.7)</f>
        <v>0.7</v>
      </c>
      <c r="R5752" s="4">
        <f>IFERROR(__xludf.DUMMYFUNCTION("""COMPUTED_VALUE"""),0.7)</f>
        <v>0.7</v>
      </c>
      <c r="S5752" s="4">
        <f>IFERROR(__xludf.DUMMYFUNCTION("""COMPUTED_VALUE"""),0.1)</f>
        <v>0.1</v>
      </c>
      <c r="T5752" s="4">
        <f>IFERROR(__xludf.DUMMYFUNCTION("""COMPUTED_VALUE"""),0.03)</f>
        <v>0.03</v>
      </c>
      <c r="U5752" s="4"/>
      <c r="V5752" s="4"/>
    </row>
    <row r="5753">
      <c r="A5753" s="4">
        <f>IFERROR(__xludf.DUMMYFUNCTION("""COMPUTED_VALUE"""),36.0)</f>
        <v>36</v>
      </c>
      <c r="B5753" s="4">
        <f>IFERROR(__xludf.DUMMYFUNCTION("""COMPUTED_VALUE"""),36.0)</f>
        <v>36</v>
      </c>
      <c r="C5753" s="4" t="str">
        <f>IFERROR(__xludf.DUMMYFUNCTION("""COMPUTED_VALUE"""),"PHI")</f>
        <v>PHI</v>
      </c>
      <c r="D5753" s="4" t="str">
        <f>IFERROR(__xludf.DUMMYFUNCTION("""COMPUTED_VALUE"""),"Charlie Tharpe")</f>
        <v>Charlie Tharpe</v>
      </c>
      <c r="E5753" s="4" t="str">
        <f>IFERROR(__xludf.DUMMYFUNCTION("""COMPUTED_VALUE"""),"Belhaven College")</f>
        <v>Belhaven College</v>
      </c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</row>
    <row r="5754">
      <c r="A5754" s="4">
        <f>IFERROR(__xludf.DUMMYFUNCTION("""COMPUTED_VALUE"""),37.0)</f>
        <v>37</v>
      </c>
      <c r="B5754" s="4">
        <f>IFERROR(__xludf.DUMMYFUNCTION("""COMPUTED_VALUE"""),37.0)</f>
        <v>37</v>
      </c>
      <c r="C5754" s="4" t="str">
        <f>IFERROR(__xludf.DUMMYFUNCTION("""COMPUTED_VALUE"""),"HOU")</f>
        <v>HOU</v>
      </c>
      <c r="D5754" s="4" t="str">
        <f>IFERROR(__xludf.DUMMYFUNCTION("""COMPUTED_VALUE"""),"Eric McWilliams")</f>
        <v>Eric McWilliams</v>
      </c>
      <c r="E5754" s="4" t="str">
        <f>IFERROR(__xludf.DUMMYFUNCTION("""COMPUTED_VALUE"""),"Cal State Long Beach")</f>
        <v>Cal State Long Beach</v>
      </c>
      <c r="F5754" s="4">
        <f>IFERROR(__xludf.DUMMYFUNCTION("""COMPUTED_VALUE"""),1.0)</f>
        <v>1</v>
      </c>
      <c r="G5754" s="4">
        <f>IFERROR(__xludf.DUMMYFUNCTION("""COMPUTED_VALUE"""),44.0)</f>
        <v>44</v>
      </c>
      <c r="H5754" s="4">
        <f>IFERROR(__xludf.DUMMYFUNCTION("""COMPUTED_VALUE"""),245.0)</f>
        <v>245</v>
      </c>
      <c r="I5754" s="4">
        <f>IFERROR(__xludf.DUMMYFUNCTION("""COMPUTED_VALUE"""),86.0)</f>
        <v>86</v>
      </c>
      <c r="J5754" s="4">
        <f>IFERROR(__xludf.DUMMYFUNCTION("""COMPUTED_VALUE"""),60.0)</f>
        <v>60</v>
      </c>
      <c r="K5754" s="4">
        <f>IFERROR(__xludf.DUMMYFUNCTION("""COMPUTED_VALUE"""),5.0)</f>
        <v>5</v>
      </c>
      <c r="L5754" s="4">
        <f>IFERROR(__xludf.DUMMYFUNCTION("""COMPUTED_VALUE"""),0.347)</f>
        <v>0.347</v>
      </c>
      <c r="M5754" s="4"/>
      <c r="N5754" s="4">
        <f>IFERROR(__xludf.DUMMYFUNCTION("""COMPUTED_VALUE"""),0.486)</f>
        <v>0.486</v>
      </c>
      <c r="O5754" s="4">
        <f>IFERROR(__xludf.DUMMYFUNCTION("""COMPUTED_VALUE"""),5.6)</f>
        <v>5.6</v>
      </c>
      <c r="P5754" s="4">
        <f>IFERROR(__xludf.DUMMYFUNCTION("""COMPUTED_VALUE"""),2.0)</f>
        <v>2</v>
      </c>
      <c r="Q5754" s="4">
        <f>IFERROR(__xludf.DUMMYFUNCTION("""COMPUTED_VALUE"""),1.4)</f>
        <v>1.4</v>
      </c>
      <c r="R5754" s="4">
        <f>IFERROR(__xludf.DUMMYFUNCTION("""COMPUTED_VALUE"""),0.1)</f>
        <v>0.1</v>
      </c>
      <c r="S5754" s="4">
        <f>IFERROR(__xludf.DUMMYFUNCTION("""COMPUTED_VALUE"""),-0.4)</f>
        <v>-0.4</v>
      </c>
      <c r="T5754" s="4">
        <f>IFERROR(__xludf.DUMMYFUNCTION("""COMPUTED_VALUE"""),-0.074)</f>
        <v>-0.074</v>
      </c>
      <c r="U5754" s="4"/>
      <c r="V5754" s="4"/>
    </row>
    <row r="5755">
      <c r="A5755" s="4">
        <f>IFERROR(__xludf.DUMMYFUNCTION("""COMPUTED_VALUE"""),38.0)</f>
        <v>38</v>
      </c>
      <c r="B5755" s="4">
        <f>IFERROR(__xludf.DUMMYFUNCTION("""COMPUTED_VALUE"""),38.0)</f>
        <v>38</v>
      </c>
      <c r="C5755" s="4" t="str">
        <f>IFERROR(__xludf.DUMMYFUNCTION("""COMPUTED_VALUE"""),"KCO")</f>
        <v>KCO</v>
      </c>
      <c r="D5755" s="4" t="str">
        <f>IFERROR(__xludf.DUMMYFUNCTION("""COMPUTED_VALUE"""),"Ron Riley")</f>
        <v>Ron Riley</v>
      </c>
      <c r="E5755" s="4" t="str">
        <f>IFERROR(__xludf.DUMMYFUNCTION("""COMPUTED_VALUE"""),"USC")</f>
        <v>USC</v>
      </c>
      <c r="F5755" s="4">
        <f>IFERROR(__xludf.DUMMYFUNCTION("""COMPUTED_VALUE"""),4.0)</f>
        <v>4</v>
      </c>
      <c r="G5755" s="4">
        <f>IFERROR(__xludf.DUMMYFUNCTION("""COMPUTED_VALUE"""),264.0)</f>
        <v>264</v>
      </c>
      <c r="H5755" s="4">
        <f>IFERROR(__xludf.DUMMYFUNCTION("""COMPUTED_VALUE"""),4852.0)</f>
        <v>4852</v>
      </c>
      <c r="I5755" s="4">
        <f>IFERROR(__xludf.DUMMYFUNCTION("""COMPUTED_VALUE"""),1542.0)</f>
        <v>1542</v>
      </c>
      <c r="J5755" s="4">
        <f>IFERROR(__xludf.DUMMYFUNCTION("""COMPUTED_VALUE"""),1368.0)</f>
        <v>1368</v>
      </c>
      <c r="K5755" s="4">
        <f>IFERROR(__xludf.DUMMYFUNCTION("""COMPUTED_VALUE"""),318.0)</f>
        <v>318</v>
      </c>
      <c r="L5755" s="4">
        <f>IFERROR(__xludf.DUMMYFUNCTION("""COMPUTED_VALUE"""),0.419)</f>
        <v>0.419</v>
      </c>
      <c r="M5755" s="4"/>
      <c r="N5755" s="4">
        <f>IFERROR(__xludf.DUMMYFUNCTION("""COMPUTED_VALUE"""),0.691)</f>
        <v>0.691</v>
      </c>
      <c r="O5755" s="4">
        <f>IFERROR(__xludf.DUMMYFUNCTION("""COMPUTED_VALUE"""),18.4)</f>
        <v>18.4</v>
      </c>
      <c r="P5755" s="4">
        <f>IFERROR(__xludf.DUMMYFUNCTION("""COMPUTED_VALUE"""),5.8)</f>
        <v>5.8</v>
      </c>
      <c r="Q5755" s="4">
        <f>IFERROR(__xludf.DUMMYFUNCTION("""COMPUTED_VALUE"""),5.2)</f>
        <v>5.2</v>
      </c>
      <c r="R5755" s="4">
        <f>IFERROR(__xludf.DUMMYFUNCTION("""COMPUTED_VALUE"""),1.2)</f>
        <v>1.2</v>
      </c>
      <c r="S5755" s="4">
        <f>IFERROR(__xludf.DUMMYFUNCTION("""COMPUTED_VALUE"""),2.5)</f>
        <v>2.5</v>
      </c>
      <c r="T5755" s="4">
        <f>IFERROR(__xludf.DUMMYFUNCTION("""COMPUTED_VALUE"""),0.024)</f>
        <v>0.024</v>
      </c>
      <c r="U5755" s="4">
        <f>IFERROR(__xludf.DUMMYFUNCTION("""COMPUTED_VALUE"""),-2.2)</f>
        <v>-2.2</v>
      </c>
      <c r="V5755" s="4">
        <f>IFERROR(__xludf.DUMMYFUNCTION("""COMPUTED_VALUE"""),-0.2)</f>
        <v>-0.2</v>
      </c>
    </row>
    <row r="5756">
      <c r="A5756" s="4">
        <f>IFERROR(__xludf.DUMMYFUNCTION("""COMPUTED_VALUE"""),39.0)</f>
        <v>39</v>
      </c>
      <c r="B5756" s="4">
        <f>IFERROR(__xludf.DUMMYFUNCTION("""COMPUTED_VALUE"""),39.0)</f>
        <v>39</v>
      </c>
      <c r="C5756" s="4" t="str">
        <f>IFERROR(__xludf.DUMMYFUNCTION("""COMPUTED_VALUE"""),"BAL")</f>
        <v>BAL</v>
      </c>
      <c r="D5756" s="4" t="str">
        <f>IFERROR(__xludf.DUMMYFUNCTION("""COMPUTED_VALUE"""),"Kevin Porter")</f>
        <v>Kevin Porter</v>
      </c>
      <c r="E5756" s="4" t="str">
        <f>IFERROR(__xludf.DUMMYFUNCTION("""COMPUTED_VALUE"""),"Saint Francis University")</f>
        <v>Saint Francis University</v>
      </c>
      <c r="F5756" s="4">
        <f>IFERROR(__xludf.DUMMYFUNCTION("""COMPUTED_VALUE"""),10.0)</f>
        <v>10</v>
      </c>
      <c r="G5756" s="4">
        <f>IFERROR(__xludf.DUMMYFUNCTION("""COMPUTED_VALUE"""),659.0)</f>
        <v>659</v>
      </c>
      <c r="H5756" s="4">
        <f>IFERROR(__xludf.DUMMYFUNCTION("""COMPUTED_VALUE"""),19107.0)</f>
        <v>19107</v>
      </c>
      <c r="I5756" s="4">
        <f>IFERROR(__xludf.DUMMYFUNCTION("""COMPUTED_VALUE"""),7645.0)</f>
        <v>7645</v>
      </c>
      <c r="J5756" s="4">
        <f>IFERROR(__xludf.DUMMYFUNCTION("""COMPUTED_VALUE"""),1179.0)</f>
        <v>1179</v>
      </c>
      <c r="K5756" s="4">
        <f>IFERROR(__xludf.DUMMYFUNCTION("""COMPUTED_VALUE"""),5314.0)</f>
        <v>5314</v>
      </c>
      <c r="L5756" s="4">
        <f>IFERROR(__xludf.DUMMYFUNCTION("""COMPUTED_VALUE"""),0.483)</f>
        <v>0.483</v>
      </c>
      <c r="M5756" s="4"/>
      <c r="N5756" s="4">
        <f>IFERROR(__xludf.DUMMYFUNCTION("""COMPUTED_VALUE"""),0.737)</f>
        <v>0.737</v>
      </c>
      <c r="O5756" s="4">
        <f>IFERROR(__xludf.DUMMYFUNCTION("""COMPUTED_VALUE"""),29.0)</f>
        <v>29</v>
      </c>
      <c r="P5756" s="4">
        <f>IFERROR(__xludf.DUMMYFUNCTION("""COMPUTED_VALUE"""),11.6)</f>
        <v>11.6</v>
      </c>
      <c r="Q5756" s="4">
        <f>IFERROR(__xludf.DUMMYFUNCTION("""COMPUTED_VALUE"""),1.8)</f>
        <v>1.8</v>
      </c>
      <c r="R5756" s="4">
        <f>IFERROR(__xludf.DUMMYFUNCTION("""COMPUTED_VALUE"""),8.1)</f>
        <v>8.1</v>
      </c>
      <c r="S5756" s="4">
        <f>IFERROR(__xludf.DUMMYFUNCTION("""COMPUTED_VALUE"""),36.0)</f>
        <v>36</v>
      </c>
      <c r="T5756" s="4">
        <f>IFERROR(__xludf.DUMMYFUNCTION("""COMPUTED_VALUE"""),0.09)</f>
        <v>0.09</v>
      </c>
      <c r="U5756" s="4">
        <f>IFERROR(__xludf.DUMMYFUNCTION("""COMPUTED_VALUE"""),0.1)</f>
        <v>0.1</v>
      </c>
      <c r="V5756" s="4">
        <f>IFERROR(__xludf.DUMMYFUNCTION("""COMPUTED_VALUE"""),9.5)</f>
        <v>9.5</v>
      </c>
    </row>
    <row r="5757">
      <c r="A5757" s="4">
        <f>IFERROR(__xludf.DUMMYFUNCTION("""COMPUTED_VALUE"""),40.0)</f>
        <v>40</v>
      </c>
      <c r="B5757" s="4">
        <f>IFERROR(__xludf.DUMMYFUNCTION("""COMPUTED_VALUE"""),40.0)</f>
        <v>40</v>
      </c>
      <c r="C5757" s="4" t="str">
        <f>IFERROR(__xludf.DUMMYFUNCTION("""COMPUTED_VALUE"""),"SEA")</f>
        <v>SEA</v>
      </c>
      <c r="D5757" s="4" t="str">
        <f>IFERROR(__xludf.DUMMYFUNCTION("""COMPUTED_VALUE"""),"Jim Creighton")</f>
        <v>Jim Creighton</v>
      </c>
      <c r="E5757" s="4" t="str">
        <f>IFERROR(__xludf.DUMMYFUNCTION("""COMPUTED_VALUE"""),"Colorado")</f>
        <v>Colorado</v>
      </c>
      <c r="F5757" s="4">
        <f>IFERROR(__xludf.DUMMYFUNCTION("""COMPUTED_VALUE"""),1.0)</f>
        <v>1</v>
      </c>
      <c r="G5757" s="4">
        <f>IFERROR(__xludf.DUMMYFUNCTION("""COMPUTED_VALUE"""),32.0)</f>
        <v>32</v>
      </c>
      <c r="H5757" s="4">
        <f>IFERROR(__xludf.DUMMYFUNCTION("""COMPUTED_VALUE"""),172.0)</f>
        <v>172</v>
      </c>
      <c r="I5757" s="4">
        <f>IFERROR(__xludf.DUMMYFUNCTION("""COMPUTED_VALUE"""),31.0)</f>
        <v>31</v>
      </c>
      <c r="J5757" s="4">
        <f>IFERROR(__xludf.DUMMYFUNCTION("""COMPUTED_VALUE"""),45.0)</f>
        <v>45</v>
      </c>
      <c r="K5757" s="4">
        <f>IFERROR(__xludf.DUMMYFUNCTION("""COMPUTED_VALUE"""),4.0)</f>
        <v>4</v>
      </c>
      <c r="L5757" s="4">
        <f>IFERROR(__xludf.DUMMYFUNCTION("""COMPUTED_VALUE"""),0.279)</f>
        <v>0.279</v>
      </c>
      <c r="M5757" s="4"/>
      <c r="N5757" s="4">
        <f>IFERROR(__xludf.DUMMYFUNCTION("""COMPUTED_VALUE"""),0.438)</f>
        <v>0.438</v>
      </c>
      <c r="O5757" s="4">
        <f>IFERROR(__xludf.DUMMYFUNCTION("""COMPUTED_VALUE"""),5.4)</f>
        <v>5.4</v>
      </c>
      <c r="P5757" s="4">
        <f>IFERROR(__xludf.DUMMYFUNCTION("""COMPUTED_VALUE"""),1.0)</f>
        <v>1</v>
      </c>
      <c r="Q5757" s="4">
        <f>IFERROR(__xludf.DUMMYFUNCTION("""COMPUTED_VALUE"""),1.4)</f>
        <v>1.4</v>
      </c>
      <c r="R5757" s="4">
        <f>IFERROR(__xludf.DUMMYFUNCTION("""COMPUTED_VALUE"""),0.1)</f>
        <v>0.1</v>
      </c>
      <c r="S5757" s="4">
        <f>IFERROR(__xludf.DUMMYFUNCTION("""COMPUTED_VALUE"""),-0.2)</f>
        <v>-0.2</v>
      </c>
      <c r="T5757" s="4">
        <f>IFERROR(__xludf.DUMMYFUNCTION("""COMPUTED_VALUE"""),-0.063)</f>
        <v>-0.063</v>
      </c>
      <c r="U5757" s="4">
        <f>IFERROR(__xludf.DUMMYFUNCTION("""COMPUTED_VALUE"""),-5.7)</f>
        <v>-5.7</v>
      </c>
      <c r="V5757" s="4">
        <f>IFERROR(__xludf.DUMMYFUNCTION("""COMPUTED_VALUE"""),-0.2)</f>
        <v>-0.2</v>
      </c>
    </row>
    <row r="5758">
      <c r="A5758" s="4">
        <f>IFERROR(__xludf.DUMMYFUNCTION("""COMPUTED_VALUE"""),41.0)</f>
        <v>41</v>
      </c>
      <c r="B5758" s="4">
        <f>IFERROR(__xludf.DUMMYFUNCTION("""COMPUTED_VALUE"""),41.0)</f>
        <v>41</v>
      </c>
      <c r="C5758" s="4" t="str">
        <f>IFERROR(__xludf.DUMMYFUNCTION("""COMPUTED_VALUE"""),"NYK")</f>
        <v>NYK</v>
      </c>
      <c r="D5758" s="4" t="str">
        <f>IFERROR(__xludf.DUMMYFUNCTION("""COMPUTED_VALUE"""),"Ansley Truitt")</f>
        <v>Ansley Truitt</v>
      </c>
      <c r="E5758" s="4" t="str">
        <f>IFERROR(__xludf.DUMMYFUNCTION("""COMPUTED_VALUE"""),"California")</f>
        <v>California</v>
      </c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</row>
    <row r="5759">
      <c r="A5759" s="4">
        <f>IFERROR(__xludf.DUMMYFUNCTION("""COMPUTED_VALUE"""),42.0)</f>
        <v>42</v>
      </c>
      <c r="B5759" s="4">
        <f>IFERROR(__xludf.DUMMYFUNCTION("""COMPUTED_VALUE"""),42.0)</f>
        <v>42</v>
      </c>
      <c r="C5759" s="4" t="str">
        <f>IFERROR(__xludf.DUMMYFUNCTION("""COMPUTED_VALUE"""),"PHO")</f>
        <v>PHO</v>
      </c>
      <c r="D5759" s="4" t="str">
        <f>IFERROR(__xludf.DUMMYFUNCTION("""COMPUTED_VALUE"""),"Claude Terry")</f>
        <v>Claude Terry</v>
      </c>
      <c r="E5759" s="4" t="str">
        <f>IFERROR(__xludf.DUMMYFUNCTION("""COMPUTED_VALUE"""),"Stanford")</f>
        <v>Stanford</v>
      </c>
      <c r="F5759" s="4">
        <f>IFERROR(__xludf.DUMMYFUNCTION("""COMPUTED_VALUE"""),2.0)</f>
        <v>2</v>
      </c>
      <c r="G5759" s="4">
        <f>IFERROR(__xludf.DUMMYFUNCTION("""COMPUTED_VALUE"""),72.0)</f>
        <v>72</v>
      </c>
      <c r="H5759" s="4">
        <f>IFERROR(__xludf.DUMMYFUNCTION("""COMPUTED_VALUE"""),711.0)</f>
        <v>711</v>
      </c>
      <c r="I5759" s="4">
        <f>IFERROR(__xludf.DUMMYFUNCTION("""COMPUTED_VALUE"""),287.0)</f>
        <v>287</v>
      </c>
      <c r="J5759" s="4">
        <f>IFERROR(__xludf.DUMMYFUNCTION("""COMPUTED_VALUE"""),61.0)</f>
        <v>61</v>
      </c>
      <c r="K5759" s="4">
        <f>IFERROR(__xludf.DUMMYFUNCTION("""COMPUTED_VALUE"""),65.0)</f>
        <v>65</v>
      </c>
      <c r="L5759" s="4">
        <f>IFERROR(__xludf.DUMMYFUNCTION("""COMPUTED_VALUE"""),0.467)</f>
        <v>0.467</v>
      </c>
      <c r="M5759" s="4"/>
      <c r="N5759" s="4">
        <f>IFERROR(__xludf.DUMMYFUNCTION("""COMPUTED_VALUE"""),0.818)</f>
        <v>0.818</v>
      </c>
      <c r="O5759" s="4">
        <f>IFERROR(__xludf.DUMMYFUNCTION("""COMPUTED_VALUE"""),9.9)</f>
        <v>9.9</v>
      </c>
      <c r="P5759" s="4">
        <f>IFERROR(__xludf.DUMMYFUNCTION("""COMPUTED_VALUE"""),4.0)</f>
        <v>4</v>
      </c>
      <c r="Q5759" s="4">
        <f>IFERROR(__xludf.DUMMYFUNCTION("""COMPUTED_VALUE"""),0.8)</f>
        <v>0.8</v>
      </c>
      <c r="R5759" s="4">
        <f>IFERROR(__xludf.DUMMYFUNCTION("""COMPUTED_VALUE"""),0.9)</f>
        <v>0.9</v>
      </c>
      <c r="S5759" s="4">
        <f>IFERROR(__xludf.DUMMYFUNCTION("""COMPUTED_VALUE"""),1.0)</f>
        <v>1</v>
      </c>
      <c r="T5759" s="4">
        <f>IFERROR(__xludf.DUMMYFUNCTION("""COMPUTED_VALUE"""),0.065)</f>
        <v>0.065</v>
      </c>
      <c r="U5759" s="4">
        <f>IFERROR(__xludf.DUMMYFUNCTION("""COMPUTED_VALUE"""),-2.1)</f>
        <v>-2.1</v>
      </c>
      <c r="V5759" s="4">
        <f>IFERROR(__xludf.DUMMYFUNCTION("""COMPUTED_VALUE"""),0.0)</f>
        <v>0</v>
      </c>
    </row>
    <row r="5760">
      <c r="A5760" s="4">
        <f>IFERROR(__xludf.DUMMYFUNCTION("""COMPUTED_VALUE"""),43.0)</f>
        <v>43</v>
      </c>
      <c r="B5760" s="4">
        <f>IFERROR(__xludf.DUMMYFUNCTION("""COMPUTED_VALUE"""),43.0)</f>
        <v>43</v>
      </c>
      <c r="C5760" s="4" t="str">
        <f>IFERROR(__xludf.DUMMYFUNCTION("""COMPUTED_VALUE"""),"GSW")</f>
        <v>GSW</v>
      </c>
      <c r="D5760" s="4" t="str">
        <f>IFERROR(__xludf.DUMMYFUNCTION("""COMPUTED_VALUE"""),"Bill Chamberlain")</f>
        <v>Bill Chamberlain</v>
      </c>
      <c r="E5760" s="4" t="str">
        <f>IFERROR(__xludf.DUMMYFUNCTION("""COMPUTED_VALUE"""),"UNC")</f>
        <v>UNC</v>
      </c>
      <c r="F5760" s="4">
        <f>IFERROR(__xludf.DUMMYFUNCTION("""COMPUTED_VALUE"""),1.0)</f>
        <v>1</v>
      </c>
      <c r="G5760" s="4">
        <f>IFERROR(__xludf.DUMMYFUNCTION("""COMPUTED_VALUE"""),28.0)</f>
        <v>28</v>
      </c>
      <c r="H5760" s="4">
        <f>IFERROR(__xludf.DUMMYFUNCTION("""COMPUTED_VALUE"""),367.0)</f>
        <v>367</v>
      </c>
      <c r="I5760" s="4">
        <f>IFERROR(__xludf.DUMMYFUNCTION("""COMPUTED_VALUE"""),153.0)</f>
        <v>153</v>
      </c>
      <c r="J5760" s="4">
        <f>IFERROR(__xludf.DUMMYFUNCTION("""COMPUTED_VALUE"""),80.0)</f>
        <v>80</v>
      </c>
      <c r="K5760" s="4">
        <f>IFERROR(__xludf.DUMMYFUNCTION("""COMPUTED_VALUE"""),37.0)</f>
        <v>37</v>
      </c>
      <c r="L5760" s="4">
        <f>IFERROR(__xludf.DUMMYFUNCTION("""COMPUTED_VALUE"""),0.438)</f>
        <v>0.438</v>
      </c>
      <c r="M5760" s="4"/>
      <c r="N5760" s="4">
        <f>IFERROR(__xludf.DUMMYFUNCTION("""COMPUTED_VALUE"""),0.696)</f>
        <v>0.696</v>
      </c>
      <c r="O5760" s="4">
        <f>IFERROR(__xludf.DUMMYFUNCTION("""COMPUTED_VALUE"""),13.1)</f>
        <v>13.1</v>
      </c>
      <c r="P5760" s="4">
        <f>IFERROR(__xludf.DUMMYFUNCTION("""COMPUTED_VALUE"""),5.5)</f>
        <v>5.5</v>
      </c>
      <c r="Q5760" s="4">
        <f>IFERROR(__xludf.DUMMYFUNCTION("""COMPUTED_VALUE"""),2.9)</f>
        <v>2.9</v>
      </c>
      <c r="R5760" s="4">
        <f>IFERROR(__xludf.DUMMYFUNCTION("""COMPUTED_VALUE"""),1.3)</f>
        <v>1.3</v>
      </c>
      <c r="S5760" s="4">
        <f>IFERROR(__xludf.DUMMYFUNCTION("""COMPUTED_VALUE"""),0.5)</f>
        <v>0.5</v>
      </c>
      <c r="T5760" s="4">
        <f>IFERROR(__xludf.DUMMYFUNCTION("""COMPUTED_VALUE"""),0.063)</f>
        <v>0.063</v>
      </c>
      <c r="U5760" s="4">
        <f>IFERROR(__xludf.DUMMYFUNCTION("""COMPUTED_VALUE"""),-1.4)</f>
        <v>-1.4</v>
      </c>
      <c r="V5760" s="4">
        <f>IFERROR(__xludf.DUMMYFUNCTION("""COMPUTED_VALUE"""),0.1)</f>
        <v>0.1</v>
      </c>
    </row>
    <row r="5761">
      <c r="A5761" s="4">
        <f>IFERROR(__xludf.DUMMYFUNCTION("""COMPUTED_VALUE"""),44.0)</f>
        <v>44</v>
      </c>
      <c r="B5761" s="4">
        <f>IFERROR(__xludf.DUMMYFUNCTION("""COMPUTED_VALUE"""),44.0)</f>
        <v>44</v>
      </c>
      <c r="C5761" s="4" t="str">
        <f>IFERROR(__xludf.DUMMYFUNCTION("""COMPUTED_VALUE"""),"BOS")</f>
        <v>BOS</v>
      </c>
      <c r="D5761" s="4" t="str">
        <f>IFERROR(__xludf.DUMMYFUNCTION("""COMPUTED_VALUE"""),"Wayne Grabiec")</f>
        <v>Wayne Grabiec</v>
      </c>
      <c r="E5761" s="4" t="str">
        <f>IFERROR(__xludf.DUMMYFUNCTION("""COMPUTED_VALUE"""),"Michigan")</f>
        <v>Michigan</v>
      </c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</row>
    <row r="5762">
      <c r="A5762" s="4">
        <f>IFERROR(__xludf.DUMMYFUNCTION("""COMPUTED_VALUE"""),45.0)</f>
        <v>45</v>
      </c>
      <c r="B5762" s="4">
        <f>IFERROR(__xludf.DUMMYFUNCTION("""COMPUTED_VALUE"""),45.0)</f>
        <v>45</v>
      </c>
      <c r="C5762" s="4" t="str">
        <f>IFERROR(__xludf.DUMMYFUNCTION("""COMPUTED_VALUE"""),"CHI")</f>
        <v>CHI</v>
      </c>
      <c r="D5762" s="4" t="str">
        <f>IFERROR(__xludf.DUMMYFUNCTION("""COMPUTED_VALUE"""),"Chuck Jura")</f>
        <v>Chuck Jura</v>
      </c>
      <c r="E5762" s="4" t="str">
        <f>IFERROR(__xludf.DUMMYFUNCTION("""COMPUTED_VALUE"""),"Nebraska")</f>
        <v>Nebraska</v>
      </c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</row>
    <row r="5763">
      <c r="A5763" s="4">
        <f>IFERROR(__xludf.DUMMYFUNCTION("""COMPUTED_VALUE"""),46.0)</f>
        <v>46</v>
      </c>
      <c r="B5763" s="4">
        <f>IFERROR(__xludf.DUMMYFUNCTION("""COMPUTED_VALUE"""),46.0)</f>
        <v>46</v>
      </c>
      <c r="C5763" s="4" t="str">
        <f>IFERROR(__xludf.DUMMYFUNCTION("""COMPUTED_VALUE"""),"MIL")</f>
        <v>MIL</v>
      </c>
      <c r="D5763" s="4" t="str">
        <f>IFERROR(__xludf.DUMMYFUNCTION("""COMPUTED_VALUE"""),"George Adams")</f>
        <v>George Adams</v>
      </c>
      <c r="E5763" s="4" t="str">
        <f>IFERROR(__xludf.DUMMYFUNCTION("""COMPUTED_VALUE"""),"Gardner-Webb University")</f>
        <v>Gardner-Webb University</v>
      </c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</row>
    <row r="5764">
      <c r="A5764" s="4">
        <f>IFERROR(__xludf.DUMMYFUNCTION("""COMPUTED_VALUE"""),47.0)</f>
        <v>47</v>
      </c>
      <c r="B5764" s="4">
        <f>IFERROR(__xludf.DUMMYFUNCTION("""COMPUTED_VALUE"""),47.0)</f>
        <v>47</v>
      </c>
      <c r="C5764" s="4" t="str">
        <f>IFERROR(__xludf.DUMMYFUNCTION("""COMPUTED_VALUE"""),"LAL")</f>
        <v>LAL</v>
      </c>
      <c r="D5764" s="4" t="str">
        <f>IFERROR(__xludf.DUMMYFUNCTION("""COMPUTED_VALUE"""),"Gregg Northington")</f>
        <v>Gregg Northington</v>
      </c>
      <c r="E5764" s="4" t="str">
        <f>IFERROR(__xludf.DUMMYFUNCTION("""COMPUTED_VALUE"""),"Alabama State University")</f>
        <v>Alabama State University</v>
      </c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</row>
    <row r="5765">
      <c r="A5765" s="4"/>
      <c r="B5765" s="4"/>
      <c r="C5765" s="4"/>
      <c r="D5765" s="4" t="str">
        <f>IFERROR(__xludf.DUMMYFUNCTION("""COMPUTED_VALUE"""),"Round 4")</f>
        <v>Round 4</v>
      </c>
      <c r="E5765" s="4"/>
      <c r="F5765" s="4"/>
      <c r="G5765" s="4" t="str">
        <f>IFERROR(__xludf.DUMMYFUNCTION("""COMPUTED_VALUE"""),"Totals")</f>
        <v>Totals</v>
      </c>
      <c r="H5765" s="4"/>
      <c r="I5765" s="4"/>
      <c r="J5765" s="4"/>
      <c r="K5765" s="4"/>
      <c r="L5765" s="4" t="str">
        <f>IFERROR(__xludf.DUMMYFUNCTION("""COMPUTED_VALUE"""),"Shooting")</f>
        <v>Shooting</v>
      </c>
      <c r="M5765" s="4"/>
      <c r="N5765" s="4"/>
      <c r="O5765" s="4" t="str">
        <f>IFERROR(__xludf.DUMMYFUNCTION("""COMPUTED_VALUE"""),"Per Game")</f>
        <v>Per Game</v>
      </c>
      <c r="P5765" s="4"/>
      <c r="Q5765" s="4"/>
      <c r="R5765" s="4"/>
      <c r="S5765" s="4" t="str">
        <f>IFERROR(__xludf.DUMMYFUNCTION("""COMPUTED_VALUE"""),"Advanced")</f>
        <v>Advanced</v>
      </c>
      <c r="T5765" s="4"/>
      <c r="U5765" s="4"/>
      <c r="V5765" s="4"/>
    </row>
    <row r="5766">
      <c r="A5766" s="4" t="str">
        <f>IFERROR(__xludf.DUMMYFUNCTION("""COMPUTED_VALUE"""),"Rk")</f>
        <v>Rk</v>
      </c>
      <c r="B5766" s="4" t="str">
        <f>IFERROR(__xludf.DUMMYFUNCTION("""COMPUTED_VALUE"""),"Pk")</f>
        <v>Pk</v>
      </c>
      <c r="C5766" s="4" t="str">
        <f>IFERROR(__xludf.DUMMYFUNCTION("""COMPUTED_VALUE"""),"Tm")</f>
        <v>Tm</v>
      </c>
      <c r="D5766" s="4" t="str">
        <f>IFERROR(__xludf.DUMMYFUNCTION("""COMPUTED_VALUE"""),"Player")</f>
        <v>Player</v>
      </c>
      <c r="E5766" s="4" t="str">
        <f>IFERROR(__xludf.DUMMYFUNCTION("""COMPUTED_VALUE"""),"College")</f>
        <v>College</v>
      </c>
      <c r="F5766" s="4" t="str">
        <f>IFERROR(__xludf.DUMMYFUNCTION("""COMPUTED_VALUE"""),"Yrs")</f>
        <v>Yrs</v>
      </c>
      <c r="G5766" s="4" t="str">
        <f>IFERROR(__xludf.DUMMYFUNCTION("""COMPUTED_VALUE"""),"G")</f>
        <v>G</v>
      </c>
      <c r="H5766" s="4" t="str">
        <f>IFERROR(__xludf.DUMMYFUNCTION("""COMPUTED_VALUE"""),"MP")</f>
        <v>MP</v>
      </c>
      <c r="I5766" s="4" t="str">
        <f>IFERROR(__xludf.DUMMYFUNCTION("""COMPUTED_VALUE"""),"PTS")</f>
        <v>PTS</v>
      </c>
      <c r="J5766" s="4" t="str">
        <f>IFERROR(__xludf.DUMMYFUNCTION("""COMPUTED_VALUE"""),"TRB")</f>
        <v>TRB</v>
      </c>
      <c r="K5766" s="4" t="str">
        <f>IFERROR(__xludf.DUMMYFUNCTION("""COMPUTED_VALUE"""),"AST")</f>
        <v>AST</v>
      </c>
      <c r="L5766" s="4" t="str">
        <f>IFERROR(__xludf.DUMMYFUNCTION("""COMPUTED_VALUE"""),"FG%")</f>
        <v>FG%</v>
      </c>
      <c r="M5766" s="4" t="str">
        <f>IFERROR(__xludf.DUMMYFUNCTION("""COMPUTED_VALUE"""),"3P%")</f>
        <v>3P%</v>
      </c>
      <c r="N5766" s="4" t="str">
        <f>IFERROR(__xludf.DUMMYFUNCTION("""COMPUTED_VALUE"""),"FT%")</f>
        <v>FT%</v>
      </c>
      <c r="O5766" s="4" t="str">
        <f>IFERROR(__xludf.DUMMYFUNCTION("""COMPUTED_VALUE"""),"MP")</f>
        <v>MP</v>
      </c>
      <c r="P5766" s="4" t="str">
        <f>IFERROR(__xludf.DUMMYFUNCTION("""COMPUTED_VALUE"""),"PTS")</f>
        <v>PTS</v>
      </c>
      <c r="Q5766" s="4" t="str">
        <f>IFERROR(__xludf.DUMMYFUNCTION("""COMPUTED_VALUE"""),"TRB")</f>
        <v>TRB</v>
      </c>
      <c r="R5766" s="4" t="str">
        <f>IFERROR(__xludf.DUMMYFUNCTION("""COMPUTED_VALUE"""),"AST")</f>
        <v>AST</v>
      </c>
      <c r="S5766" s="4" t="str">
        <f>IFERROR(__xludf.DUMMYFUNCTION("""COMPUTED_VALUE"""),"WS")</f>
        <v>WS</v>
      </c>
      <c r="T5766" s="4" t="str">
        <f>IFERROR(__xludf.DUMMYFUNCTION("""COMPUTED_VALUE"""),"WS/48")</f>
        <v>WS/48</v>
      </c>
      <c r="U5766" s="4" t="str">
        <f>IFERROR(__xludf.DUMMYFUNCTION("""COMPUTED_VALUE"""),"BPM")</f>
        <v>BPM</v>
      </c>
      <c r="V5766" s="4" t="str">
        <f>IFERROR(__xludf.DUMMYFUNCTION("""COMPUTED_VALUE"""),"VORP")</f>
        <v>VORP</v>
      </c>
    </row>
    <row r="5767">
      <c r="A5767" s="4">
        <f>IFERROR(__xludf.DUMMYFUNCTION("""COMPUTED_VALUE"""),48.0)</f>
        <v>48</v>
      </c>
      <c r="B5767" s="4">
        <f>IFERROR(__xludf.DUMMYFUNCTION("""COMPUTED_VALUE"""),48.0)</f>
        <v>48</v>
      </c>
      <c r="C5767" s="4" t="str">
        <f>IFERROR(__xludf.DUMMYFUNCTION("""COMPUTED_VALUE"""),"POR")</f>
        <v>POR</v>
      </c>
      <c r="D5767" s="4" t="str">
        <f>IFERROR(__xludf.DUMMYFUNCTION("""COMPUTED_VALUE"""),"Gary Stewart")</f>
        <v>Gary Stewart</v>
      </c>
      <c r="E5767" s="4" t="str">
        <f>IFERROR(__xludf.DUMMYFUNCTION("""COMPUTED_VALUE"""),"Canisius")</f>
        <v>Canisius</v>
      </c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</row>
    <row r="5768">
      <c r="A5768" s="4">
        <f>IFERROR(__xludf.DUMMYFUNCTION("""COMPUTED_VALUE"""),49.0)</f>
        <v>49</v>
      </c>
      <c r="B5768" s="4">
        <f>IFERROR(__xludf.DUMMYFUNCTION("""COMPUTED_VALUE"""),49.0)</f>
        <v>49</v>
      </c>
      <c r="C5768" s="4" t="str">
        <f>IFERROR(__xludf.DUMMYFUNCTION("""COMPUTED_VALUE"""),"BUF")</f>
        <v>BUF</v>
      </c>
      <c r="D5768" s="4" t="str">
        <f>IFERROR(__xludf.DUMMYFUNCTION("""COMPUTED_VALUE"""),"George Bryant")</f>
        <v>George Bryant</v>
      </c>
      <c r="E5768" s="4" t="str">
        <f>IFERROR(__xludf.DUMMYFUNCTION("""COMPUTED_VALUE"""),"Eastern Kentucky University")</f>
        <v>Eastern Kentucky University</v>
      </c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</row>
    <row r="5769">
      <c r="A5769" s="4">
        <f>IFERROR(__xludf.DUMMYFUNCTION("""COMPUTED_VALUE"""),50.0)</f>
        <v>50</v>
      </c>
      <c r="B5769" s="4">
        <f>IFERROR(__xludf.DUMMYFUNCTION("""COMPUTED_VALUE"""),50.0)</f>
        <v>50</v>
      </c>
      <c r="C5769" s="4" t="str">
        <f>IFERROR(__xludf.DUMMYFUNCTION("""COMPUTED_VALUE"""),"CLE")</f>
        <v>CLE</v>
      </c>
      <c r="D5769" s="4" t="str">
        <f>IFERROR(__xludf.DUMMYFUNCTION("""COMPUTED_VALUE"""),"Hank Siemiontkowski")</f>
        <v>Hank Siemiontkowski</v>
      </c>
      <c r="E5769" s="4" t="str">
        <f>IFERROR(__xludf.DUMMYFUNCTION("""COMPUTED_VALUE"""),"Villanova")</f>
        <v>Villanova</v>
      </c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</row>
    <row r="5770">
      <c r="A5770" s="4">
        <f>IFERROR(__xludf.DUMMYFUNCTION("""COMPUTED_VALUE"""),51.0)</f>
        <v>51</v>
      </c>
      <c r="B5770" s="4">
        <f>IFERROR(__xludf.DUMMYFUNCTION("""COMPUTED_VALUE"""),51.0)</f>
        <v>51</v>
      </c>
      <c r="C5770" s="4" t="str">
        <f>IFERROR(__xludf.DUMMYFUNCTION("""COMPUTED_VALUE"""),"DET")</f>
        <v>DET</v>
      </c>
      <c r="D5770" s="4" t="str">
        <f>IFERROR(__xludf.DUMMYFUNCTION("""COMPUTED_VALUE"""),"Ernie Fleming")</f>
        <v>Ernie Fleming</v>
      </c>
      <c r="E5770" s="4" t="str">
        <f>IFERROR(__xludf.DUMMYFUNCTION("""COMPUTED_VALUE"""),"Jacksonville University")</f>
        <v>Jacksonville University</v>
      </c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</row>
    <row r="5771">
      <c r="A5771" s="4">
        <f>IFERROR(__xludf.DUMMYFUNCTION("""COMPUTED_VALUE"""),52.0)</f>
        <v>52</v>
      </c>
      <c r="B5771" s="4">
        <f>IFERROR(__xludf.DUMMYFUNCTION("""COMPUTED_VALUE"""),52.0)</f>
        <v>52</v>
      </c>
      <c r="C5771" s="4" t="str">
        <f>IFERROR(__xludf.DUMMYFUNCTION("""COMPUTED_VALUE"""),"PHI")</f>
        <v>PHI</v>
      </c>
      <c r="D5771" s="4" t="str">
        <f>IFERROR(__xludf.DUMMYFUNCTION("""COMPUTED_VALUE"""),"Marshall Wingate")</f>
        <v>Marshall Wingate</v>
      </c>
      <c r="E5771" s="4" t="str">
        <f>IFERROR(__xludf.DUMMYFUNCTION("""COMPUTED_VALUE"""),"Niagara University")</f>
        <v>Niagara University</v>
      </c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</row>
    <row r="5772">
      <c r="A5772" s="4">
        <f>IFERROR(__xludf.DUMMYFUNCTION("""COMPUTED_VALUE"""),53.0)</f>
        <v>53</v>
      </c>
      <c r="B5772" s="4">
        <f>IFERROR(__xludf.DUMMYFUNCTION("""COMPUTED_VALUE"""),53.0)</f>
        <v>53</v>
      </c>
      <c r="C5772" s="4" t="str">
        <f>IFERROR(__xludf.DUMMYFUNCTION("""COMPUTED_VALUE"""),"KCO")</f>
        <v>KCO</v>
      </c>
      <c r="D5772" s="4" t="str">
        <f>IFERROR(__xludf.DUMMYFUNCTION("""COMPUTED_VALUE"""),"Frank Schade")</f>
        <v>Frank Schade</v>
      </c>
      <c r="E5772" s="4" t="str">
        <f>IFERROR(__xludf.DUMMYFUNCTION("""COMPUTED_VALUE"""),"University of Wisconsin-Eau Claire")</f>
        <v>University of Wisconsin-Eau Claire</v>
      </c>
      <c r="F5772" s="4">
        <f>IFERROR(__xludf.DUMMYFUNCTION("""COMPUTED_VALUE"""),1.0)</f>
        <v>1</v>
      </c>
      <c r="G5772" s="4">
        <f>IFERROR(__xludf.DUMMYFUNCTION("""COMPUTED_VALUE"""),9.0)</f>
        <v>9</v>
      </c>
      <c r="H5772" s="4">
        <f>IFERROR(__xludf.DUMMYFUNCTION("""COMPUTED_VALUE"""),76.0)</f>
        <v>76</v>
      </c>
      <c r="I5772" s="4">
        <f>IFERROR(__xludf.DUMMYFUNCTION("""COMPUTED_VALUE"""),10.0)</f>
        <v>10</v>
      </c>
      <c r="J5772" s="4">
        <f>IFERROR(__xludf.DUMMYFUNCTION("""COMPUTED_VALUE"""),6.0)</f>
        <v>6</v>
      </c>
      <c r="K5772" s="4">
        <f>IFERROR(__xludf.DUMMYFUNCTION("""COMPUTED_VALUE"""),10.0)</f>
        <v>10</v>
      </c>
      <c r="L5772" s="4">
        <f>IFERROR(__xludf.DUMMYFUNCTION("""COMPUTED_VALUE"""),0.286)</f>
        <v>0.286</v>
      </c>
      <c r="M5772" s="4"/>
      <c r="N5772" s="4">
        <f>IFERROR(__xludf.DUMMYFUNCTION("""COMPUTED_VALUE"""),1.0)</f>
        <v>1</v>
      </c>
      <c r="O5772" s="4">
        <f>IFERROR(__xludf.DUMMYFUNCTION("""COMPUTED_VALUE"""),8.4)</f>
        <v>8.4</v>
      </c>
      <c r="P5772" s="4">
        <f>IFERROR(__xludf.DUMMYFUNCTION("""COMPUTED_VALUE"""),1.1)</f>
        <v>1.1</v>
      </c>
      <c r="Q5772" s="4">
        <f>IFERROR(__xludf.DUMMYFUNCTION("""COMPUTED_VALUE"""),0.7)</f>
        <v>0.7</v>
      </c>
      <c r="R5772" s="4">
        <f>IFERROR(__xludf.DUMMYFUNCTION("""COMPUTED_VALUE"""),1.1)</f>
        <v>1.1</v>
      </c>
      <c r="S5772" s="4">
        <f>IFERROR(__xludf.DUMMYFUNCTION("""COMPUTED_VALUE"""),0.0)</f>
        <v>0</v>
      </c>
      <c r="T5772" s="4">
        <f>IFERROR(__xludf.DUMMYFUNCTION("""COMPUTED_VALUE"""),0.031)</f>
        <v>0.031</v>
      </c>
      <c r="U5772" s="4"/>
      <c r="V5772" s="4"/>
    </row>
    <row r="5773">
      <c r="A5773" s="4">
        <f>IFERROR(__xludf.DUMMYFUNCTION("""COMPUTED_VALUE"""),54.0)</f>
        <v>54</v>
      </c>
      <c r="B5773" s="4">
        <f>IFERROR(__xludf.DUMMYFUNCTION("""COMPUTED_VALUE"""),54.0)</f>
        <v>54</v>
      </c>
      <c r="C5773" s="4" t="str">
        <f>IFERROR(__xludf.DUMMYFUNCTION("""COMPUTED_VALUE"""),"HOU")</f>
        <v>HOU</v>
      </c>
      <c r="D5773" s="4" t="str">
        <f>IFERROR(__xludf.DUMMYFUNCTION("""COMPUTED_VALUE"""),"Wil Robinson")</f>
        <v>Wil Robinson</v>
      </c>
      <c r="E5773" s="4" t="str">
        <f>IFERROR(__xludf.DUMMYFUNCTION("""COMPUTED_VALUE"""),"West Virginia")</f>
        <v>West Virginia</v>
      </c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</row>
    <row r="5774">
      <c r="A5774" s="4">
        <f>IFERROR(__xludf.DUMMYFUNCTION("""COMPUTED_VALUE"""),55.0)</f>
        <v>55</v>
      </c>
      <c r="B5774" s="4">
        <f>IFERROR(__xludf.DUMMYFUNCTION("""COMPUTED_VALUE"""),55.0)</f>
        <v>55</v>
      </c>
      <c r="C5774" s="4" t="str">
        <f>IFERROR(__xludf.DUMMYFUNCTION("""COMPUTED_VALUE"""),"ATL")</f>
        <v>ATL</v>
      </c>
      <c r="D5774" s="4" t="str">
        <f>IFERROR(__xludf.DUMMYFUNCTION("""COMPUTED_VALUE"""),"Reggie Bird")</f>
        <v>Reggie Bird</v>
      </c>
      <c r="E5774" s="4" t="str">
        <f>IFERROR(__xludf.DUMMYFUNCTION("""COMPUTED_VALUE"""),"Princeton")</f>
        <v>Princeton</v>
      </c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</row>
    <row r="5775">
      <c r="A5775" s="4">
        <f>IFERROR(__xludf.DUMMYFUNCTION("""COMPUTED_VALUE"""),56.0)</f>
        <v>56</v>
      </c>
      <c r="B5775" s="4">
        <f>IFERROR(__xludf.DUMMYFUNCTION("""COMPUTED_VALUE"""),56.0)</f>
        <v>56</v>
      </c>
      <c r="C5775" s="4" t="str">
        <f>IFERROR(__xludf.DUMMYFUNCTION("""COMPUTED_VALUE"""),"BAL")</f>
        <v>BAL</v>
      </c>
      <c r="D5775" s="4" t="str">
        <f>IFERROR(__xludf.DUMMYFUNCTION("""COMPUTED_VALUE"""),"Al Sanders")</f>
        <v>Al Sanders</v>
      </c>
      <c r="E5775" s="4" t="str">
        <f>IFERROR(__xludf.DUMMYFUNCTION("""COMPUTED_VALUE"""),"LSU")</f>
        <v>LSU</v>
      </c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</row>
    <row r="5776">
      <c r="A5776" s="4">
        <f>IFERROR(__xludf.DUMMYFUNCTION("""COMPUTED_VALUE"""),57.0)</f>
        <v>57</v>
      </c>
      <c r="B5776" s="4">
        <f>IFERROR(__xludf.DUMMYFUNCTION("""COMPUTED_VALUE"""),57.0)</f>
        <v>57</v>
      </c>
      <c r="C5776" s="4" t="str">
        <f>IFERROR(__xludf.DUMMYFUNCTION("""COMPUTED_VALUE"""),"SEA")</f>
        <v>SEA</v>
      </c>
      <c r="D5776" s="4" t="str">
        <f>IFERROR(__xludf.DUMMYFUNCTION("""COMPUTED_VALUE"""),"Joe Mackey")</f>
        <v>Joe Mackey</v>
      </c>
      <c r="E5776" s="4" t="str">
        <f>IFERROR(__xludf.DUMMYFUNCTION("""COMPUTED_VALUE"""),"USC")</f>
        <v>USC</v>
      </c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</row>
    <row r="5777">
      <c r="A5777" s="4">
        <f>IFERROR(__xludf.DUMMYFUNCTION("""COMPUTED_VALUE"""),58.0)</f>
        <v>58</v>
      </c>
      <c r="B5777" s="4">
        <f>IFERROR(__xludf.DUMMYFUNCTION("""COMPUTED_VALUE"""),58.0)</f>
        <v>58</v>
      </c>
      <c r="C5777" s="4" t="str">
        <f>IFERROR(__xludf.DUMMYFUNCTION("""COMPUTED_VALUE"""),"NYK")</f>
        <v>NYK</v>
      </c>
      <c r="D5777" s="4" t="str">
        <f>IFERROR(__xludf.DUMMYFUNCTION("""COMPUTED_VALUE"""),"Henry Bibby")</f>
        <v>Henry Bibby</v>
      </c>
      <c r="E5777" s="4" t="str">
        <f>IFERROR(__xludf.DUMMYFUNCTION("""COMPUTED_VALUE"""),"UCLA")</f>
        <v>UCLA</v>
      </c>
      <c r="F5777" s="4">
        <f>IFERROR(__xludf.DUMMYFUNCTION("""COMPUTED_VALUE"""),9.0)</f>
        <v>9</v>
      </c>
      <c r="G5777" s="4">
        <f>IFERROR(__xludf.DUMMYFUNCTION("""COMPUTED_VALUE"""),675.0)</f>
        <v>675</v>
      </c>
      <c r="H5777" s="4">
        <f>IFERROR(__xludf.DUMMYFUNCTION("""COMPUTED_VALUE"""),15475.0)</f>
        <v>15475</v>
      </c>
      <c r="I5777" s="4">
        <f>IFERROR(__xludf.DUMMYFUNCTION("""COMPUTED_VALUE"""),5775.0)</f>
        <v>5775</v>
      </c>
      <c r="J5777" s="4">
        <f>IFERROR(__xludf.DUMMYFUNCTION("""COMPUTED_VALUE"""),1581.0)</f>
        <v>1581</v>
      </c>
      <c r="K5777" s="4">
        <f>IFERROR(__xludf.DUMMYFUNCTION("""COMPUTED_VALUE"""),2259.0)</f>
        <v>2259</v>
      </c>
      <c r="L5777" s="4">
        <f>IFERROR(__xludf.DUMMYFUNCTION("""COMPUTED_VALUE"""),0.424)</f>
        <v>0.424</v>
      </c>
      <c r="M5777" s="4"/>
      <c r="N5777" s="4">
        <f>IFERROR(__xludf.DUMMYFUNCTION("""COMPUTED_VALUE"""),0.782)</f>
        <v>0.782</v>
      </c>
      <c r="O5777" s="4">
        <f>IFERROR(__xludf.DUMMYFUNCTION("""COMPUTED_VALUE"""),22.9)</f>
        <v>22.9</v>
      </c>
      <c r="P5777" s="4">
        <f>IFERROR(__xludf.DUMMYFUNCTION("""COMPUTED_VALUE"""),8.6)</f>
        <v>8.6</v>
      </c>
      <c r="Q5777" s="4">
        <f>IFERROR(__xludf.DUMMYFUNCTION("""COMPUTED_VALUE"""),2.3)</f>
        <v>2.3</v>
      </c>
      <c r="R5777" s="4">
        <f>IFERROR(__xludf.DUMMYFUNCTION("""COMPUTED_VALUE"""),3.3)</f>
        <v>3.3</v>
      </c>
      <c r="S5777" s="4">
        <f>IFERROR(__xludf.DUMMYFUNCTION("""COMPUTED_VALUE"""),24.5)</f>
        <v>24.5</v>
      </c>
      <c r="T5777" s="4">
        <f>IFERROR(__xludf.DUMMYFUNCTION("""COMPUTED_VALUE"""),0.076)</f>
        <v>0.076</v>
      </c>
      <c r="U5777" s="4">
        <f>IFERROR(__xludf.DUMMYFUNCTION("""COMPUTED_VALUE"""),-1.5)</f>
        <v>-1.5</v>
      </c>
      <c r="V5777" s="4">
        <f>IFERROR(__xludf.DUMMYFUNCTION("""COMPUTED_VALUE"""),1.8)</f>
        <v>1.8</v>
      </c>
    </row>
    <row r="5778">
      <c r="A5778" s="4">
        <f>IFERROR(__xludf.DUMMYFUNCTION("""COMPUTED_VALUE"""),59.0)</f>
        <v>59</v>
      </c>
      <c r="B5778" s="4">
        <f>IFERROR(__xludf.DUMMYFUNCTION("""COMPUTED_VALUE"""),59.0)</f>
        <v>59</v>
      </c>
      <c r="C5778" s="4" t="str">
        <f>IFERROR(__xludf.DUMMYFUNCTION("""COMPUTED_VALUE"""),"PHO")</f>
        <v>PHO</v>
      </c>
      <c r="D5778" s="4" t="str">
        <f>IFERROR(__xludf.DUMMYFUNCTION("""COMPUTED_VALUE"""),"Matt Gantt")</f>
        <v>Matt Gantt</v>
      </c>
      <c r="E5778" s="4" t="str">
        <f>IFERROR(__xludf.DUMMYFUNCTION("""COMPUTED_VALUE"""),"St. Bonaventure")</f>
        <v>St. Bonaventure</v>
      </c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</row>
    <row r="5779">
      <c r="A5779" s="4">
        <f>IFERROR(__xludf.DUMMYFUNCTION("""COMPUTED_VALUE"""),60.0)</f>
        <v>60</v>
      </c>
      <c r="B5779" s="4">
        <f>IFERROR(__xludf.DUMMYFUNCTION("""COMPUTED_VALUE"""),60.0)</f>
        <v>60</v>
      </c>
      <c r="C5779" s="4" t="str">
        <f>IFERROR(__xludf.DUMMYFUNCTION("""COMPUTED_VALUE"""),"GSW")</f>
        <v>GSW</v>
      </c>
      <c r="D5779" s="4" t="str">
        <f>IFERROR(__xludf.DUMMYFUNCTION("""COMPUTED_VALUE"""),"John Tschogl")</f>
        <v>John Tschogl</v>
      </c>
      <c r="E5779" s="4" t="str">
        <f>IFERROR(__xludf.DUMMYFUNCTION("""COMPUTED_VALUE"""),"UC Santa Barbara")</f>
        <v>UC Santa Barbara</v>
      </c>
      <c r="F5779" s="4">
        <f>IFERROR(__xludf.DUMMYFUNCTION("""COMPUTED_VALUE"""),3.0)</f>
        <v>3</v>
      </c>
      <c r="G5779" s="4">
        <f>IFERROR(__xludf.DUMMYFUNCTION("""COMPUTED_VALUE"""),113.0)</f>
        <v>113</v>
      </c>
      <c r="H5779" s="4">
        <f>IFERROR(__xludf.DUMMYFUNCTION("""COMPUTED_VALUE"""),1216.0)</f>
        <v>1216</v>
      </c>
      <c r="I5779" s="4">
        <f>IFERROR(__xludf.DUMMYFUNCTION("""COMPUTED_VALUE"""),277.0)</f>
        <v>277</v>
      </c>
      <c r="J5779" s="4">
        <f>IFERROR(__xludf.DUMMYFUNCTION("""COMPUTED_VALUE"""),208.0)</f>
        <v>208</v>
      </c>
      <c r="K5779" s="4">
        <f>IFERROR(__xludf.DUMMYFUNCTION("""COMPUTED_VALUE"""),69.0)</f>
        <v>69</v>
      </c>
      <c r="L5779" s="4">
        <f>IFERROR(__xludf.DUMMYFUNCTION("""COMPUTED_VALUE"""),0.356)</f>
        <v>0.356</v>
      </c>
      <c r="M5779" s="4"/>
      <c r="N5779" s="4">
        <f>IFERROR(__xludf.DUMMYFUNCTION("""COMPUTED_VALUE"""),0.581)</f>
        <v>0.581</v>
      </c>
      <c r="O5779" s="4">
        <f>IFERROR(__xludf.DUMMYFUNCTION("""COMPUTED_VALUE"""),10.8)</f>
        <v>10.8</v>
      </c>
      <c r="P5779" s="4">
        <f>IFERROR(__xludf.DUMMYFUNCTION("""COMPUTED_VALUE"""),2.5)</f>
        <v>2.5</v>
      </c>
      <c r="Q5779" s="4">
        <f>IFERROR(__xludf.DUMMYFUNCTION("""COMPUTED_VALUE"""),1.8)</f>
        <v>1.8</v>
      </c>
      <c r="R5779" s="4">
        <f>IFERROR(__xludf.DUMMYFUNCTION("""COMPUTED_VALUE"""),0.6)</f>
        <v>0.6</v>
      </c>
      <c r="S5779" s="4">
        <f>IFERROR(__xludf.DUMMYFUNCTION("""COMPUTED_VALUE"""),-0.3)</f>
        <v>-0.3</v>
      </c>
      <c r="T5779" s="4">
        <f>IFERROR(__xludf.DUMMYFUNCTION("""COMPUTED_VALUE"""),-0.011)</f>
        <v>-0.011</v>
      </c>
      <c r="U5779" s="4">
        <f>IFERROR(__xludf.DUMMYFUNCTION("""COMPUTED_VALUE"""),-3.0)</f>
        <v>-3</v>
      </c>
      <c r="V5779" s="4">
        <f>IFERROR(__xludf.DUMMYFUNCTION("""COMPUTED_VALUE"""),-0.3)</f>
        <v>-0.3</v>
      </c>
    </row>
    <row r="5780">
      <c r="A5780" s="4">
        <f>IFERROR(__xludf.DUMMYFUNCTION("""COMPUTED_VALUE"""),61.0)</f>
        <v>61</v>
      </c>
      <c r="B5780" s="4">
        <f>IFERROR(__xludf.DUMMYFUNCTION("""COMPUTED_VALUE"""),61.0)</f>
        <v>61</v>
      </c>
      <c r="C5780" s="4" t="str">
        <f>IFERROR(__xludf.DUMMYFUNCTION("""COMPUTED_VALUE"""),"BOS")</f>
        <v>BOS</v>
      </c>
      <c r="D5780" s="4" t="str">
        <f>IFERROR(__xludf.DUMMYFUNCTION("""COMPUTED_VALUE"""),"Nate Stephens")</f>
        <v>Nate Stephens</v>
      </c>
      <c r="E5780" s="4" t="str">
        <f>IFERROR(__xludf.DUMMYFUNCTION("""COMPUTED_VALUE"""),"Cal State Long Beach")</f>
        <v>Cal State Long Beach</v>
      </c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</row>
    <row r="5781">
      <c r="A5781" s="4">
        <f>IFERROR(__xludf.DUMMYFUNCTION("""COMPUTED_VALUE"""),62.0)</f>
        <v>62</v>
      </c>
      <c r="B5781" s="4">
        <f>IFERROR(__xludf.DUMMYFUNCTION("""COMPUTED_VALUE"""),62.0)</f>
        <v>62</v>
      </c>
      <c r="C5781" s="4" t="str">
        <f>IFERROR(__xludf.DUMMYFUNCTION("""COMPUTED_VALUE"""),"CHI")</f>
        <v>CHI</v>
      </c>
      <c r="D5781" s="4" t="str">
        <f>IFERROR(__xludf.DUMMYFUNCTION("""COMPUTED_VALUE"""),"Ted Martiniuk")</f>
        <v>Ted Martiniuk</v>
      </c>
      <c r="E5781" s="4" t="str">
        <f>IFERROR(__xludf.DUMMYFUNCTION("""COMPUTED_VALUE"""),"Saint Peter's College")</f>
        <v>Saint Peter's College</v>
      </c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</row>
    <row r="5782">
      <c r="A5782" s="4">
        <f>IFERROR(__xludf.DUMMYFUNCTION("""COMPUTED_VALUE"""),63.0)</f>
        <v>63</v>
      </c>
      <c r="B5782" s="4">
        <f>IFERROR(__xludf.DUMMYFUNCTION("""COMPUTED_VALUE"""),63.0)</f>
        <v>63</v>
      </c>
      <c r="C5782" s="4" t="str">
        <f>IFERROR(__xludf.DUMMYFUNCTION("""COMPUTED_VALUE"""),"MIL")</f>
        <v>MIL</v>
      </c>
      <c r="D5782" s="4" t="str">
        <f>IFERROR(__xludf.DUMMYFUNCTION("""COMPUTED_VALUE"""),"Art White")</f>
        <v>Art White</v>
      </c>
      <c r="E5782" s="4" t="str">
        <f>IFERROR(__xludf.DUMMYFUNCTION("""COMPUTED_VALUE"""),"Georgetown")</f>
        <v>Georgetown</v>
      </c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</row>
    <row r="5783">
      <c r="A5783" s="4"/>
      <c r="B5783" s="4"/>
      <c r="C5783" s="4"/>
      <c r="D5783" s="4" t="str">
        <f>IFERROR(__xludf.DUMMYFUNCTION("""COMPUTED_VALUE"""),"Round 5")</f>
        <v>Round 5</v>
      </c>
      <c r="E5783" s="4"/>
      <c r="F5783" s="4"/>
      <c r="G5783" s="4" t="str">
        <f>IFERROR(__xludf.DUMMYFUNCTION("""COMPUTED_VALUE"""),"Totals")</f>
        <v>Totals</v>
      </c>
      <c r="H5783" s="4"/>
      <c r="I5783" s="4"/>
      <c r="J5783" s="4"/>
      <c r="K5783" s="4"/>
      <c r="L5783" s="4" t="str">
        <f>IFERROR(__xludf.DUMMYFUNCTION("""COMPUTED_VALUE"""),"Shooting")</f>
        <v>Shooting</v>
      </c>
      <c r="M5783" s="4"/>
      <c r="N5783" s="4"/>
      <c r="O5783" s="4" t="str">
        <f>IFERROR(__xludf.DUMMYFUNCTION("""COMPUTED_VALUE"""),"Per Game")</f>
        <v>Per Game</v>
      </c>
      <c r="P5783" s="4"/>
      <c r="Q5783" s="4"/>
      <c r="R5783" s="4"/>
      <c r="S5783" s="4" t="str">
        <f>IFERROR(__xludf.DUMMYFUNCTION("""COMPUTED_VALUE"""),"Advanced")</f>
        <v>Advanced</v>
      </c>
      <c r="T5783" s="4"/>
      <c r="U5783" s="4"/>
      <c r="V5783" s="4"/>
    </row>
    <row r="5784">
      <c r="A5784" s="4" t="str">
        <f>IFERROR(__xludf.DUMMYFUNCTION("""COMPUTED_VALUE"""),"Rk")</f>
        <v>Rk</v>
      </c>
      <c r="B5784" s="4" t="str">
        <f>IFERROR(__xludf.DUMMYFUNCTION("""COMPUTED_VALUE"""),"Pk")</f>
        <v>Pk</v>
      </c>
      <c r="C5784" s="4" t="str">
        <f>IFERROR(__xludf.DUMMYFUNCTION("""COMPUTED_VALUE"""),"Tm")</f>
        <v>Tm</v>
      </c>
      <c r="D5784" s="4" t="str">
        <f>IFERROR(__xludf.DUMMYFUNCTION("""COMPUTED_VALUE"""),"Player")</f>
        <v>Player</v>
      </c>
      <c r="E5784" s="4" t="str">
        <f>IFERROR(__xludf.DUMMYFUNCTION("""COMPUTED_VALUE"""),"College")</f>
        <v>College</v>
      </c>
      <c r="F5784" s="4" t="str">
        <f>IFERROR(__xludf.DUMMYFUNCTION("""COMPUTED_VALUE"""),"Yrs")</f>
        <v>Yrs</v>
      </c>
      <c r="G5784" s="4" t="str">
        <f>IFERROR(__xludf.DUMMYFUNCTION("""COMPUTED_VALUE"""),"G")</f>
        <v>G</v>
      </c>
      <c r="H5784" s="4" t="str">
        <f>IFERROR(__xludf.DUMMYFUNCTION("""COMPUTED_VALUE"""),"MP")</f>
        <v>MP</v>
      </c>
      <c r="I5784" s="4" t="str">
        <f>IFERROR(__xludf.DUMMYFUNCTION("""COMPUTED_VALUE"""),"PTS")</f>
        <v>PTS</v>
      </c>
      <c r="J5784" s="4" t="str">
        <f>IFERROR(__xludf.DUMMYFUNCTION("""COMPUTED_VALUE"""),"TRB")</f>
        <v>TRB</v>
      </c>
      <c r="K5784" s="4" t="str">
        <f>IFERROR(__xludf.DUMMYFUNCTION("""COMPUTED_VALUE"""),"AST")</f>
        <v>AST</v>
      </c>
      <c r="L5784" s="4" t="str">
        <f>IFERROR(__xludf.DUMMYFUNCTION("""COMPUTED_VALUE"""),"FG%")</f>
        <v>FG%</v>
      </c>
      <c r="M5784" s="4" t="str">
        <f>IFERROR(__xludf.DUMMYFUNCTION("""COMPUTED_VALUE"""),"3P%")</f>
        <v>3P%</v>
      </c>
      <c r="N5784" s="4" t="str">
        <f>IFERROR(__xludf.DUMMYFUNCTION("""COMPUTED_VALUE"""),"FT%")</f>
        <v>FT%</v>
      </c>
      <c r="O5784" s="4" t="str">
        <f>IFERROR(__xludf.DUMMYFUNCTION("""COMPUTED_VALUE"""),"MP")</f>
        <v>MP</v>
      </c>
      <c r="P5784" s="4" t="str">
        <f>IFERROR(__xludf.DUMMYFUNCTION("""COMPUTED_VALUE"""),"PTS")</f>
        <v>PTS</v>
      </c>
      <c r="Q5784" s="4" t="str">
        <f>IFERROR(__xludf.DUMMYFUNCTION("""COMPUTED_VALUE"""),"TRB")</f>
        <v>TRB</v>
      </c>
      <c r="R5784" s="4" t="str">
        <f>IFERROR(__xludf.DUMMYFUNCTION("""COMPUTED_VALUE"""),"AST")</f>
        <v>AST</v>
      </c>
      <c r="S5784" s="4" t="str">
        <f>IFERROR(__xludf.DUMMYFUNCTION("""COMPUTED_VALUE"""),"WS")</f>
        <v>WS</v>
      </c>
      <c r="T5784" s="4" t="str">
        <f>IFERROR(__xludf.DUMMYFUNCTION("""COMPUTED_VALUE"""),"WS/48")</f>
        <v>WS/48</v>
      </c>
      <c r="U5784" s="4" t="str">
        <f>IFERROR(__xludf.DUMMYFUNCTION("""COMPUTED_VALUE"""),"BPM")</f>
        <v>BPM</v>
      </c>
      <c r="V5784" s="4" t="str">
        <f>IFERROR(__xludf.DUMMYFUNCTION("""COMPUTED_VALUE"""),"VORP")</f>
        <v>VORP</v>
      </c>
    </row>
    <row r="5785">
      <c r="A5785" s="4">
        <f>IFERROR(__xludf.DUMMYFUNCTION("""COMPUTED_VALUE"""),64.0)</f>
        <v>64</v>
      </c>
      <c r="B5785" s="4">
        <f>IFERROR(__xludf.DUMMYFUNCTION("""COMPUTED_VALUE"""),64.0)</f>
        <v>64</v>
      </c>
      <c r="C5785" s="4" t="str">
        <f>IFERROR(__xludf.DUMMYFUNCTION("""COMPUTED_VALUE"""),"POR")</f>
        <v>POR</v>
      </c>
      <c r="D5785" s="4" t="str">
        <f>IFERROR(__xludf.DUMMYFUNCTION("""COMPUTED_VALUE"""),"Mike Reid")</f>
        <v>Mike Reid</v>
      </c>
      <c r="E5785" s="4" t="str">
        <f>IFERROR(__xludf.DUMMYFUNCTION("""COMPUTED_VALUE"""),"University of California, Riverside")</f>
        <v>University of California, Riverside</v>
      </c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</row>
    <row r="5786">
      <c r="A5786" s="4">
        <f>IFERROR(__xludf.DUMMYFUNCTION("""COMPUTED_VALUE"""),65.0)</f>
        <v>65</v>
      </c>
      <c r="B5786" s="4">
        <f>IFERROR(__xludf.DUMMYFUNCTION("""COMPUTED_VALUE"""),65.0)</f>
        <v>65</v>
      </c>
      <c r="C5786" s="4" t="str">
        <f>IFERROR(__xludf.DUMMYFUNCTION("""COMPUTED_VALUE"""),"BUF")</f>
        <v>BUF</v>
      </c>
      <c r="D5786" s="4" t="str">
        <f>IFERROR(__xludf.DUMMYFUNCTION("""COMPUTED_VALUE"""),"Arnie Berman")</f>
        <v>Arnie Berman</v>
      </c>
      <c r="E5786" s="4" t="str">
        <f>IFERROR(__xludf.DUMMYFUNCTION("""COMPUTED_VALUE"""),"Brown University")</f>
        <v>Brown University</v>
      </c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</row>
    <row r="5787">
      <c r="A5787" s="4">
        <f>IFERROR(__xludf.DUMMYFUNCTION("""COMPUTED_VALUE"""),66.0)</f>
        <v>66</v>
      </c>
      <c r="B5787" s="4">
        <f>IFERROR(__xludf.DUMMYFUNCTION("""COMPUTED_VALUE"""),66.0)</f>
        <v>66</v>
      </c>
      <c r="C5787" s="4" t="str">
        <f>IFERROR(__xludf.DUMMYFUNCTION("""COMPUTED_VALUE"""),"CLE")</f>
        <v>CLE</v>
      </c>
      <c r="D5787" s="4" t="str">
        <f>IFERROR(__xludf.DUMMYFUNCTION("""COMPUTED_VALUE"""),"Sam Cash")</f>
        <v>Sam Cash</v>
      </c>
      <c r="E5787" s="4" t="str">
        <f>IFERROR(__xludf.DUMMYFUNCTION("""COMPUTED_VALUE"""),"University of California, Riverside")</f>
        <v>University of California, Riverside</v>
      </c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</row>
    <row r="5788">
      <c r="A5788" s="4">
        <f>IFERROR(__xludf.DUMMYFUNCTION("""COMPUTED_VALUE"""),67.0)</f>
        <v>67</v>
      </c>
      <c r="B5788" s="4">
        <f>IFERROR(__xludf.DUMMYFUNCTION("""COMPUTED_VALUE"""),67.0)</f>
        <v>67</v>
      </c>
      <c r="C5788" s="4" t="str">
        <f>IFERROR(__xludf.DUMMYFUNCTION("""COMPUTED_VALUE"""),"DET")</f>
        <v>DET</v>
      </c>
      <c r="D5788" s="4" t="str">
        <f>IFERROR(__xludf.DUMMYFUNCTION("""COMPUTED_VALUE"""),"Ernest Pettis")</f>
        <v>Ernest Pettis</v>
      </c>
      <c r="E5788" s="4" t="str">
        <f>IFERROR(__xludf.DUMMYFUNCTION("""COMPUTED_VALUE"""),"Western Michigan")</f>
        <v>Western Michigan</v>
      </c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</row>
    <row r="5789">
      <c r="A5789" s="4">
        <f>IFERROR(__xludf.DUMMYFUNCTION("""COMPUTED_VALUE"""),68.0)</f>
        <v>68</v>
      </c>
      <c r="B5789" s="4">
        <f>IFERROR(__xludf.DUMMYFUNCTION("""COMPUTED_VALUE"""),68.0)</f>
        <v>68</v>
      </c>
      <c r="C5789" s="4" t="str">
        <f>IFERROR(__xludf.DUMMYFUNCTION("""COMPUTED_VALUE"""),"KCO")</f>
        <v>KCO</v>
      </c>
      <c r="D5789" s="4" t="str">
        <f>IFERROR(__xludf.DUMMYFUNCTION("""COMPUTED_VALUE"""),"David Bustion")</f>
        <v>David Bustion</v>
      </c>
      <c r="E5789" s="4" t="str">
        <f>IFERROR(__xludf.DUMMYFUNCTION("""COMPUTED_VALUE"""),"Denver")</f>
        <v>Denver</v>
      </c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</row>
    <row r="5790">
      <c r="A5790" s="4">
        <f>IFERROR(__xludf.DUMMYFUNCTION("""COMPUTED_VALUE"""),69.0)</f>
        <v>69</v>
      </c>
      <c r="B5790" s="4">
        <f>IFERROR(__xludf.DUMMYFUNCTION("""COMPUTED_VALUE"""),69.0)</f>
        <v>69</v>
      </c>
      <c r="C5790" s="4" t="str">
        <f>IFERROR(__xludf.DUMMYFUNCTION("""COMPUTED_VALUE"""),"PHI")</f>
        <v>PHI</v>
      </c>
      <c r="D5790" s="4" t="str">
        <f>IFERROR(__xludf.DUMMYFUNCTION("""COMPUTED_VALUE"""),"Joe Bynes")</f>
        <v>Joe Bynes</v>
      </c>
      <c r="E5790" s="4" t="str">
        <f>IFERROR(__xludf.DUMMYFUNCTION("""COMPUTED_VALUE"""),"University of Arkansas at Pine Bluff")</f>
        <v>University of Arkansas at Pine Bluff</v>
      </c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</row>
    <row r="5791">
      <c r="A5791" s="4">
        <f>IFERROR(__xludf.DUMMYFUNCTION("""COMPUTED_VALUE"""),70.0)</f>
        <v>70</v>
      </c>
      <c r="B5791" s="4">
        <f>IFERROR(__xludf.DUMMYFUNCTION("""COMPUTED_VALUE"""),70.0)</f>
        <v>70</v>
      </c>
      <c r="C5791" s="4" t="str">
        <f>IFERROR(__xludf.DUMMYFUNCTION("""COMPUTED_VALUE"""),"HOU")</f>
        <v>HOU</v>
      </c>
      <c r="D5791" s="4" t="str">
        <f>IFERROR(__xludf.DUMMYFUNCTION("""COMPUTED_VALUE"""),"James Silas")</f>
        <v>James Silas</v>
      </c>
      <c r="E5791" s="4" t="str">
        <f>IFERROR(__xludf.DUMMYFUNCTION("""COMPUTED_VALUE"""),"Stephen F. Austin")</f>
        <v>Stephen F. Austin</v>
      </c>
      <c r="F5791" s="4">
        <f>IFERROR(__xludf.DUMMYFUNCTION("""COMPUTED_VALUE"""),6.0)</f>
        <v>6</v>
      </c>
      <c r="G5791" s="4">
        <f>IFERROR(__xludf.DUMMYFUNCTION("""COMPUTED_VALUE"""),357.0)</f>
        <v>357</v>
      </c>
      <c r="H5791" s="4">
        <f>IFERROR(__xludf.DUMMYFUNCTION("""COMPUTED_VALUE"""),8633.0)</f>
        <v>8633</v>
      </c>
      <c r="I5791" s="4">
        <f>IFERROR(__xludf.DUMMYFUNCTION("""COMPUTED_VALUE"""),5060.0)</f>
        <v>5060</v>
      </c>
      <c r="J5791" s="4">
        <f>IFERROR(__xludf.DUMMYFUNCTION("""COMPUTED_VALUE"""),745.0)</f>
        <v>745</v>
      </c>
      <c r="K5791" s="4">
        <f>IFERROR(__xludf.DUMMYFUNCTION("""COMPUTED_VALUE"""),1215.0)</f>
        <v>1215</v>
      </c>
      <c r="L5791" s="4">
        <f>IFERROR(__xludf.DUMMYFUNCTION("""COMPUTED_VALUE"""),0.485)</f>
        <v>0.485</v>
      </c>
      <c r="M5791" s="4"/>
      <c r="N5791" s="4">
        <f>IFERROR(__xludf.DUMMYFUNCTION("""COMPUTED_VALUE"""),0.852)</f>
        <v>0.852</v>
      </c>
      <c r="O5791" s="4">
        <f>IFERROR(__xludf.DUMMYFUNCTION("""COMPUTED_VALUE"""),24.2)</f>
        <v>24.2</v>
      </c>
      <c r="P5791" s="4">
        <f>IFERROR(__xludf.DUMMYFUNCTION("""COMPUTED_VALUE"""),14.2)</f>
        <v>14.2</v>
      </c>
      <c r="Q5791" s="4">
        <f>IFERROR(__xludf.DUMMYFUNCTION("""COMPUTED_VALUE"""),2.1)</f>
        <v>2.1</v>
      </c>
      <c r="R5791" s="4">
        <f>IFERROR(__xludf.DUMMYFUNCTION("""COMPUTED_VALUE"""),3.4)</f>
        <v>3.4</v>
      </c>
      <c r="S5791" s="4">
        <f>IFERROR(__xludf.DUMMYFUNCTION("""COMPUTED_VALUE"""),22.0)</f>
        <v>22</v>
      </c>
      <c r="T5791" s="4">
        <f>IFERROR(__xludf.DUMMYFUNCTION("""COMPUTED_VALUE"""),0.122)</f>
        <v>0.122</v>
      </c>
      <c r="U5791" s="4">
        <f>IFERROR(__xludf.DUMMYFUNCTION("""COMPUTED_VALUE"""),-0.3)</f>
        <v>-0.3</v>
      </c>
      <c r="V5791" s="4">
        <f>IFERROR(__xludf.DUMMYFUNCTION("""COMPUTED_VALUE"""),3.7)</f>
        <v>3.7</v>
      </c>
    </row>
    <row r="5792">
      <c r="A5792" s="4">
        <f>IFERROR(__xludf.DUMMYFUNCTION("""COMPUTED_VALUE"""),71.0)</f>
        <v>71</v>
      </c>
      <c r="B5792" s="4">
        <f>IFERROR(__xludf.DUMMYFUNCTION("""COMPUTED_VALUE"""),71.0)</f>
        <v>71</v>
      </c>
      <c r="C5792" s="4" t="str">
        <f>IFERROR(__xludf.DUMMYFUNCTION("""COMPUTED_VALUE"""),"ATL")</f>
        <v>ATL</v>
      </c>
      <c r="D5792" s="4" t="str">
        <f>IFERROR(__xludf.DUMMYFUNCTION("""COMPUTED_VALUE"""),"Bob Lackey")</f>
        <v>Bob Lackey</v>
      </c>
      <c r="E5792" s="4" t="str">
        <f>IFERROR(__xludf.DUMMYFUNCTION("""COMPUTED_VALUE"""),"Marquette")</f>
        <v>Marquette</v>
      </c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</row>
    <row r="5793">
      <c r="A5793" s="4">
        <f>IFERROR(__xludf.DUMMYFUNCTION("""COMPUTED_VALUE"""),72.0)</f>
        <v>72</v>
      </c>
      <c r="B5793" s="4">
        <f>IFERROR(__xludf.DUMMYFUNCTION("""COMPUTED_VALUE"""),72.0)</f>
        <v>72</v>
      </c>
      <c r="C5793" s="4" t="str">
        <f>IFERROR(__xludf.DUMMYFUNCTION("""COMPUTED_VALUE"""),"BAL")</f>
        <v>BAL</v>
      </c>
      <c r="D5793" s="4" t="str">
        <f>IFERROR(__xludf.DUMMYFUNCTION("""COMPUTED_VALUE"""),"Walter Jones")</f>
        <v>Walter Jones</v>
      </c>
      <c r="E5793" s="4" t="str">
        <f>IFERROR(__xludf.DUMMYFUNCTION("""COMPUTED_VALUE"""),"Long Island University")</f>
        <v>Long Island University</v>
      </c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</row>
    <row r="5794">
      <c r="A5794" s="4">
        <f>IFERROR(__xludf.DUMMYFUNCTION("""COMPUTED_VALUE"""),73.0)</f>
        <v>73</v>
      </c>
      <c r="B5794" s="4">
        <f>IFERROR(__xludf.DUMMYFUNCTION("""COMPUTED_VALUE"""),73.0)</f>
        <v>73</v>
      </c>
      <c r="C5794" s="4" t="str">
        <f>IFERROR(__xludf.DUMMYFUNCTION("""COMPUTED_VALUE"""),"SEA")</f>
        <v>SEA</v>
      </c>
      <c r="D5794" s="4" t="str">
        <f>IFERROR(__xludf.DUMMYFUNCTION("""COMPUTED_VALUE"""),"Gary Ladd")</f>
        <v>Gary Ladd</v>
      </c>
      <c r="E5794" s="4" t="str">
        <f>IFERROR(__xludf.DUMMYFUNCTION("""COMPUTED_VALUE"""),"Seattle University")</f>
        <v>Seattle University</v>
      </c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</row>
    <row r="5795">
      <c r="A5795" s="4">
        <f>IFERROR(__xludf.DUMMYFUNCTION("""COMPUTED_VALUE"""),74.0)</f>
        <v>74</v>
      </c>
      <c r="B5795" s="4">
        <f>IFERROR(__xludf.DUMMYFUNCTION("""COMPUTED_VALUE"""),74.0)</f>
        <v>74</v>
      </c>
      <c r="C5795" s="4" t="str">
        <f>IFERROR(__xludf.DUMMYFUNCTION("""COMPUTED_VALUE"""),"NYK")</f>
        <v>NYK</v>
      </c>
      <c r="D5795" s="4" t="str">
        <f>IFERROR(__xludf.DUMMYFUNCTION("""COMPUTED_VALUE"""),"Bob Ford")</f>
        <v>Bob Ford</v>
      </c>
      <c r="E5795" s="4" t="str">
        <f>IFERROR(__xludf.DUMMYFUNCTION("""COMPUTED_VALUE"""),"Purdue")</f>
        <v>Purdue</v>
      </c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</row>
    <row r="5796">
      <c r="A5796" s="4">
        <f>IFERROR(__xludf.DUMMYFUNCTION("""COMPUTED_VALUE"""),75.0)</f>
        <v>75</v>
      </c>
      <c r="B5796" s="4">
        <f>IFERROR(__xludf.DUMMYFUNCTION("""COMPUTED_VALUE"""),75.0)</f>
        <v>75</v>
      </c>
      <c r="C5796" s="4" t="str">
        <f>IFERROR(__xludf.DUMMYFUNCTION("""COMPUTED_VALUE"""),"PHO")</f>
        <v>PHO</v>
      </c>
      <c r="D5796" s="4" t="str">
        <f>IFERROR(__xludf.DUMMYFUNCTION("""COMPUTED_VALUE"""),"Wardell Dyson")</f>
        <v>Wardell Dyson</v>
      </c>
      <c r="E5796" s="4" t="str">
        <f>IFERROR(__xludf.DUMMYFUNCTION("""COMPUTED_VALUE"""),"Shaw")</f>
        <v>Shaw</v>
      </c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</row>
    <row r="5797">
      <c r="A5797" s="4">
        <f>IFERROR(__xludf.DUMMYFUNCTION("""COMPUTED_VALUE"""),76.0)</f>
        <v>76</v>
      </c>
      <c r="B5797" s="4">
        <f>IFERROR(__xludf.DUMMYFUNCTION("""COMPUTED_VALUE"""),76.0)</f>
        <v>76</v>
      </c>
      <c r="C5797" s="4" t="str">
        <f>IFERROR(__xludf.DUMMYFUNCTION("""COMPUTED_VALUE"""),"GSW")</f>
        <v>GSW</v>
      </c>
      <c r="D5797" s="4" t="str">
        <f>IFERROR(__xludf.DUMMYFUNCTION("""COMPUTED_VALUE"""),"Charles Dudley")</f>
        <v>Charles Dudley</v>
      </c>
      <c r="E5797" s="4" t="str">
        <f>IFERROR(__xludf.DUMMYFUNCTION("""COMPUTED_VALUE"""),"Washington")</f>
        <v>Washington</v>
      </c>
      <c r="F5797" s="4">
        <f>IFERROR(__xludf.DUMMYFUNCTION("""COMPUTED_VALUE"""),6.0)</f>
        <v>6</v>
      </c>
      <c r="G5797" s="4">
        <f>IFERROR(__xludf.DUMMYFUNCTION("""COMPUTED_VALUE"""),361.0)</f>
        <v>361</v>
      </c>
      <c r="H5797" s="4">
        <f>IFERROR(__xludf.DUMMYFUNCTION("""COMPUTED_VALUE"""),6337.0)</f>
        <v>6337</v>
      </c>
      <c r="I5797" s="4">
        <f>IFERROR(__xludf.DUMMYFUNCTION("""COMPUTED_VALUE"""),1908.0)</f>
        <v>1908</v>
      </c>
      <c r="J5797" s="4">
        <f>IFERROR(__xludf.DUMMYFUNCTION("""COMPUTED_VALUE"""),1089.0)</f>
        <v>1089</v>
      </c>
      <c r="K5797" s="4">
        <f>IFERROR(__xludf.DUMMYFUNCTION("""COMPUTED_VALUE"""),1230.0)</f>
        <v>1230</v>
      </c>
      <c r="L5797" s="4">
        <f>IFERROR(__xludf.DUMMYFUNCTION("""COMPUTED_VALUE"""),0.497)</f>
        <v>0.497</v>
      </c>
      <c r="M5797" s="4"/>
      <c r="N5797" s="4">
        <f>IFERROR(__xludf.DUMMYFUNCTION("""COMPUTED_VALUE"""),0.672)</f>
        <v>0.672</v>
      </c>
      <c r="O5797" s="4">
        <f>IFERROR(__xludf.DUMMYFUNCTION("""COMPUTED_VALUE"""),17.6)</f>
        <v>17.6</v>
      </c>
      <c r="P5797" s="4">
        <f>IFERROR(__xludf.DUMMYFUNCTION("""COMPUTED_VALUE"""),5.3)</f>
        <v>5.3</v>
      </c>
      <c r="Q5797" s="4">
        <f>IFERROR(__xludf.DUMMYFUNCTION("""COMPUTED_VALUE"""),3.0)</f>
        <v>3</v>
      </c>
      <c r="R5797" s="4">
        <f>IFERROR(__xludf.DUMMYFUNCTION("""COMPUTED_VALUE"""),3.4)</f>
        <v>3.4</v>
      </c>
      <c r="S5797" s="4">
        <f>IFERROR(__xludf.DUMMYFUNCTION("""COMPUTED_VALUE"""),14.0)</f>
        <v>14</v>
      </c>
      <c r="T5797" s="4">
        <f>IFERROR(__xludf.DUMMYFUNCTION("""COMPUTED_VALUE"""),0.106)</f>
        <v>0.106</v>
      </c>
      <c r="U5797" s="4">
        <f>IFERROR(__xludf.DUMMYFUNCTION("""COMPUTED_VALUE"""),0.3)</f>
        <v>0.3</v>
      </c>
      <c r="V5797" s="4">
        <f>IFERROR(__xludf.DUMMYFUNCTION("""COMPUTED_VALUE"""),3.6)</f>
        <v>3.6</v>
      </c>
    </row>
    <row r="5798">
      <c r="A5798" s="4">
        <f>IFERROR(__xludf.DUMMYFUNCTION("""COMPUTED_VALUE"""),77.0)</f>
        <v>77</v>
      </c>
      <c r="B5798" s="4">
        <f>IFERROR(__xludf.DUMMYFUNCTION("""COMPUTED_VALUE"""),77.0)</f>
        <v>77</v>
      </c>
      <c r="C5798" s="4" t="str">
        <f>IFERROR(__xludf.DUMMYFUNCTION("""COMPUTED_VALUE"""),"BOS")</f>
        <v>BOS</v>
      </c>
      <c r="D5798" s="4" t="str">
        <f>IFERROR(__xludf.DUMMYFUNCTION("""COMPUTED_VALUE"""),"Bryan Adrian")</f>
        <v>Bryan Adrian</v>
      </c>
      <c r="E5798" s="4" t="str">
        <f>IFERROR(__xludf.DUMMYFUNCTION("""COMPUTED_VALUE"""),"Davidson")</f>
        <v>Davidson</v>
      </c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</row>
    <row r="5799">
      <c r="A5799" s="4">
        <f>IFERROR(__xludf.DUMMYFUNCTION("""COMPUTED_VALUE"""),78.0)</f>
        <v>78</v>
      </c>
      <c r="B5799" s="4">
        <f>IFERROR(__xludf.DUMMYFUNCTION("""COMPUTED_VALUE"""),78.0)</f>
        <v>78</v>
      </c>
      <c r="C5799" s="4" t="str">
        <f>IFERROR(__xludf.DUMMYFUNCTION("""COMPUTED_VALUE"""),"CHI")</f>
        <v>CHI</v>
      </c>
      <c r="D5799" s="4" t="str">
        <f>IFERROR(__xludf.DUMMYFUNCTION("""COMPUTED_VALUE"""),"Rowland Garrett")</f>
        <v>Rowland Garrett</v>
      </c>
      <c r="E5799" s="4" t="str">
        <f>IFERROR(__xludf.DUMMYFUNCTION("""COMPUTED_VALUE"""),"Florida State")</f>
        <v>Florida State</v>
      </c>
      <c r="F5799" s="4">
        <f>IFERROR(__xludf.DUMMYFUNCTION("""COMPUTED_VALUE"""),5.0)</f>
        <v>5</v>
      </c>
      <c r="G5799" s="4">
        <f>IFERROR(__xludf.DUMMYFUNCTION("""COMPUTED_VALUE"""),263.0)</f>
        <v>263</v>
      </c>
      <c r="H5799" s="4">
        <f>IFERROR(__xludf.DUMMYFUNCTION("""COMPUTED_VALUE"""),2905.0)</f>
        <v>2905</v>
      </c>
      <c r="I5799" s="4">
        <f>IFERROR(__xludf.DUMMYFUNCTION("""COMPUTED_VALUE"""),1337.0)</f>
        <v>1337</v>
      </c>
      <c r="J5799" s="4">
        <f>IFERROR(__xludf.DUMMYFUNCTION("""COMPUTED_VALUE"""),607.0)</f>
        <v>607</v>
      </c>
      <c r="K5799" s="4">
        <f>IFERROR(__xludf.DUMMYFUNCTION("""COMPUTED_VALUE"""),106.0)</f>
        <v>106</v>
      </c>
      <c r="L5799" s="4">
        <f>IFERROR(__xludf.DUMMYFUNCTION("""COMPUTED_VALUE"""),0.441)</f>
        <v>0.441</v>
      </c>
      <c r="M5799" s="4"/>
      <c r="N5799" s="4">
        <f>IFERROR(__xludf.DUMMYFUNCTION("""COMPUTED_VALUE"""),0.772)</f>
        <v>0.772</v>
      </c>
      <c r="O5799" s="4">
        <f>IFERROR(__xludf.DUMMYFUNCTION("""COMPUTED_VALUE"""),11.0)</f>
        <v>11</v>
      </c>
      <c r="P5799" s="4">
        <f>IFERROR(__xludf.DUMMYFUNCTION("""COMPUTED_VALUE"""),5.1)</f>
        <v>5.1</v>
      </c>
      <c r="Q5799" s="4">
        <f>IFERROR(__xludf.DUMMYFUNCTION("""COMPUTED_VALUE"""),2.3)</f>
        <v>2.3</v>
      </c>
      <c r="R5799" s="4">
        <f>IFERROR(__xludf.DUMMYFUNCTION("""COMPUTED_VALUE"""),0.4)</f>
        <v>0.4</v>
      </c>
      <c r="S5799" s="4">
        <f>IFERROR(__xludf.DUMMYFUNCTION("""COMPUTED_VALUE"""),5.4)</f>
        <v>5.4</v>
      </c>
      <c r="T5799" s="4">
        <f>IFERROR(__xludf.DUMMYFUNCTION("""COMPUTED_VALUE"""),0.089)</f>
        <v>0.089</v>
      </c>
      <c r="U5799" s="4">
        <f>IFERROR(__xludf.DUMMYFUNCTION("""COMPUTED_VALUE"""),-2.0)</f>
        <v>-2</v>
      </c>
      <c r="V5799" s="4">
        <f>IFERROR(__xludf.DUMMYFUNCTION("""COMPUTED_VALUE"""),0.0)</f>
        <v>0</v>
      </c>
    </row>
    <row r="5800">
      <c r="A5800" s="4">
        <f>IFERROR(__xludf.DUMMYFUNCTION("""COMPUTED_VALUE"""),79.0)</f>
        <v>79</v>
      </c>
      <c r="B5800" s="4">
        <f>IFERROR(__xludf.DUMMYFUNCTION("""COMPUTED_VALUE"""),79.0)</f>
        <v>79</v>
      </c>
      <c r="C5800" s="4" t="str">
        <f>IFERROR(__xludf.DUMMYFUNCTION("""COMPUTED_VALUE"""),"MIL")</f>
        <v>MIL</v>
      </c>
      <c r="D5800" s="4" t="str">
        <f>IFERROR(__xludf.DUMMYFUNCTION("""COMPUTED_VALUE"""),"Ron Harris")</f>
        <v>Ron Harris</v>
      </c>
      <c r="E5800" s="4" t="str">
        <f>IFERROR(__xludf.DUMMYFUNCTION("""COMPUTED_VALUE"""),"Wichita State")</f>
        <v>Wichita State</v>
      </c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</row>
    <row r="5801">
      <c r="A5801" s="4">
        <f>IFERROR(__xludf.DUMMYFUNCTION("""COMPUTED_VALUE"""),80.0)</f>
        <v>80</v>
      </c>
      <c r="B5801" s="4">
        <f>IFERROR(__xludf.DUMMYFUNCTION("""COMPUTED_VALUE"""),80.0)</f>
        <v>80</v>
      </c>
      <c r="C5801" s="4" t="str">
        <f>IFERROR(__xludf.DUMMYFUNCTION("""COMPUTED_VALUE"""),"LAL")</f>
        <v>LAL</v>
      </c>
      <c r="D5801" s="4" t="str">
        <f>IFERROR(__xludf.DUMMYFUNCTION("""COMPUTED_VALUE"""),"Glen Summors")</f>
        <v>Glen Summors</v>
      </c>
      <c r="E5801" s="4" t="str">
        <f>IFERROR(__xludf.DUMMYFUNCTION("""COMPUTED_VALUE"""),"Gannon University")</f>
        <v>Gannon University</v>
      </c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</row>
    <row r="5802">
      <c r="A5802" s="4"/>
      <c r="B5802" s="4"/>
      <c r="C5802" s="4"/>
      <c r="D5802" s="4" t="str">
        <f>IFERROR(__xludf.DUMMYFUNCTION("""COMPUTED_VALUE"""),"Round 6")</f>
        <v>Round 6</v>
      </c>
      <c r="E5802" s="4"/>
      <c r="F5802" s="4"/>
      <c r="G5802" s="4" t="str">
        <f>IFERROR(__xludf.DUMMYFUNCTION("""COMPUTED_VALUE"""),"Totals")</f>
        <v>Totals</v>
      </c>
      <c r="H5802" s="4"/>
      <c r="I5802" s="4"/>
      <c r="J5802" s="4"/>
      <c r="K5802" s="4"/>
      <c r="L5802" s="4" t="str">
        <f>IFERROR(__xludf.DUMMYFUNCTION("""COMPUTED_VALUE"""),"Shooting")</f>
        <v>Shooting</v>
      </c>
      <c r="M5802" s="4"/>
      <c r="N5802" s="4"/>
      <c r="O5802" s="4" t="str">
        <f>IFERROR(__xludf.DUMMYFUNCTION("""COMPUTED_VALUE"""),"Per Game")</f>
        <v>Per Game</v>
      </c>
      <c r="P5802" s="4"/>
      <c r="Q5802" s="4"/>
      <c r="R5802" s="4"/>
      <c r="S5802" s="4" t="str">
        <f>IFERROR(__xludf.DUMMYFUNCTION("""COMPUTED_VALUE"""),"Advanced")</f>
        <v>Advanced</v>
      </c>
      <c r="T5802" s="4"/>
      <c r="U5802" s="4"/>
      <c r="V5802" s="4"/>
    </row>
    <row r="5803">
      <c r="A5803" s="4" t="str">
        <f>IFERROR(__xludf.DUMMYFUNCTION("""COMPUTED_VALUE"""),"Rk")</f>
        <v>Rk</v>
      </c>
      <c r="B5803" s="4" t="str">
        <f>IFERROR(__xludf.DUMMYFUNCTION("""COMPUTED_VALUE"""),"Pk")</f>
        <v>Pk</v>
      </c>
      <c r="C5803" s="4" t="str">
        <f>IFERROR(__xludf.DUMMYFUNCTION("""COMPUTED_VALUE"""),"Tm")</f>
        <v>Tm</v>
      </c>
      <c r="D5803" s="4" t="str">
        <f>IFERROR(__xludf.DUMMYFUNCTION("""COMPUTED_VALUE"""),"Player")</f>
        <v>Player</v>
      </c>
      <c r="E5803" s="4" t="str">
        <f>IFERROR(__xludf.DUMMYFUNCTION("""COMPUTED_VALUE"""),"College")</f>
        <v>College</v>
      </c>
      <c r="F5803" s="4" t="str">
        <f>IFERROR(__xludf.DUMMYFUNCTION("""COMPUTED_VALUE"""),"Yrs")</f>
        <v>Yrs</v>
      </c>
      <c r="G5803" s="4" t="str">
        <f>IFERROR(__xludf.DUMMYFUNCTION("""COMPUTED_VALUE"""),"G")</f>
        <v>G</v>
      </c>
      <c r="H5803" s="4" t="str">
        <f>IFERROR(__xludf.DUMMYFUNCTION("""COMPUTED_VALUE"""),"MP")</f>
        <v>MP</v>
      </c>
      <c r="I5803" s="4" t="str">
        <f>IFERROR(__xludf.DUMMYFUNCTION("""COMPUTED_VALUE"""),"PTS")</f>
        <v>PTS</v>
      </c>
      <c r="J5803" s="4" t="str">
        <f>IFERROR(__xludf.DUMMYFUNCTION("""COMPUTED_VALUE"""),"TRB")</f>
        <v>TRB</v>
      </c>
      <c r="K5803" s="4" t="str">
        <f>IFERROR(__xludf.DUMMYFUNCTION("""COMPUTED_VALUE"""),"AST")</f>
        <v>AST</v>
      </c>
      <c r="L5803" s="4" t="str">
        <f>IFERROR(__xludf.DUMMYFUNCTION("""COMPUTED_VALUE"""),"FG%")</f>
        <v>FG%</v>
      </c>
      <c r="M5803" s="4" t="str">
        <f>IFERROR(__xludf.DUMMYFUNCTION("""COMPUTED_VALUE"""),"3P%")</f>
        <v>3P%</v>
      </c>
      <c r="N5803" s="4" t="str">
        <f>IFERROR(__xludf.DUMMYFUNCTION("""COMPUTED_VALUE"""),"FT%")</f>
        <v>FT%</v>
      </c>
      <c r="O5803" s="4" t="str">
        <f>IFERROR(__xludf.DUMMYFUNCTION("""COMPUTED_VALUE"""),"MP")</f>
        <v>MP</v>
      </c>
      <c r="P5803" s="4" t="str">
        <f>IFERROR(__xludf.DUMMYFUNCTION("""COMPUTED_VALUE"""),"PTS")</f>
        <v>PTS</v>
      </c>
      <c r="Q5803" s="4" t="str">
        <f>IFERROR(__xludf.DUMMYFUNCTION("""COMPUTED_VALUE"""),"TRB")</f>
        <v>TRB</v>
      </c>
      <c r="R5803" s="4" t="str">
        <f>IFERROR(__xludf.DUMMYFUNCTION("""COMPUTED_VALUE"""),"AST")</f>
        <v>AST</v>
      </c>
      <c r="S5803" s="4" t="str">
        <f>IFERROR(__xludf.DUMMYFUNCTION("""COMPUTED_VALUE"""),"WS")</f>
        <v>WS</v>
      </c>
      <c r="T5803" s="4" t="str">
        <f>IFERROR(__xludf.DUMMYFUNCTION("""COMPUTED_VALUE"""),"WS/48")</f>
        <v>WS/48</v>
      </c>
      <c r="U5803" s="4" t="str">
        <f>IFERROR(__xludf.DUMMYFUNCTION("""COMPUTED_VALUE"""),"BPM")</f>
        <v>BPM</v>
      </c>
      <c r="V5803" s="4" t="str">
        <f>IFERROR(__xludf.DUMMYFUNCTION("""COMPUTED_VALUE"""),"VORP")</f>
        <v>VORP</v>
      </c>
    </row>
    <row r="5804">
      <c r="A5804" s="4">
        <f>IFERROR(__xludf.DUMMYFUNCTION("""COMPUTED_VALUE"""),81.0)</f>
        <v>81</v>
      </c>
      <c r="B5804" s="4">
        <f>IFERROR(__xludf.DUMMYFUNCTION("""COMPUTED_VALUE"""),81.0)</f>
        <v>81</v>
      </c>
      <c r="C5804" s="4" t="str">
        <f>IFERROR(__xludf.DUMMYFUNCTION("""COMPUTED_VALUE"""),"POR")</f>
        <v>POR</v>
      </c>
      <c r="D5804" s="4" t="str">
        <f>IFERROR(__xludf.DUMMYFUNCTION("""COMPUTED_VALUE"""),"Joe Gaines")</f>
        <v>Joe Gaines</v>
      </c>
      <c r="E5804" s="4" t="str">
        <f>IFERROR(__xludf.DUMMYFUNCTION("""COMPUTED_VALUE"""),"Belmont")</f>
        <v>Belmont</v>
      </c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</row>
    <row r="5805">
      <c r="A5805" s="4">
        <f>IFERROR(__xludf.DUMMYFUNCTION("""COMPUTED_VALUE"""),82.0)</f>
        <v>82</v>
      </c>
      <c r="B5805" s="4">
        <f>IFERROR(__xludf.DUMMYFUNCTION("""COMPUTED_VALUE"""),82.0)</f>
        <v>82</v>
      </c>
      <c r="C5805" s="4" t="str">
        <f>IFERROR(__xludf.DUMMYFUNCTION("""COMPUTED_VALUE"""),"BUF")</f>
        <v>BUF</v>
      </c>
      <c r="D5805" s="4" t="str">
        <f>IFERROR(__xludf.DUMMYFUNCTION("""COMPUTED_VALUE"""),"Ed Czernota")</f>
        <v>Ed Czernota</v>
      </c>
      <c r="E5805" s="4" t="str">
        <f>IFERROR(__xludf.DUMMYFUNCTION("""COMPUTED_VALUE"""),"Sacred Heart University")</f>
        <v>Sacred Heart University</v>
      </c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</row>
    <row r="5806">
      <c r="A5806" s="4">
        <f>IFERROR(__xludf.DUMMYFUNCTION("""COMPUTED_VALUE"""),83.0)</f>
        <v>83</v>
      </c>
      <c r="B5806" s="4">
        <f>IFERROR(__xludf.DUMMYFUNCTION("""COMPUTED_VALUE"""),83.0)</f>
        <v>83</v>
      </c>
      <c r="C5806" s="4" t="str">
        <f>IFERROR(__xludf.DUMMYFUNCTION("""COMPUTED_VALUE"""),"CLE")</f>
        <v>CLE</v>
      </c>
      <c r="D5806" s="4" t="str">
        <f>IFERROR(__xludf.DUMMYFUNCTION("""COMPUTED_VALUE"""),"Tom Parker")</f>
        <v>Tom Parker</v>
      </c>
      <c r="E5806" s="4" t="str">
        <f>IFERROR(__xludf.DUMMYFUNCTION("""COMPUTED_VALUE"""),"Kentucky")</f>
        <v>Kentucky</v>
      </c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</row>
    <row r="5807">
      <c r="A5807" s="4">
        <f>IFERROR(__xludf.DUMMYFUNCTION("""COMPUTED_VALUE"""),84.0)</f>
        <v>84</v>
      </c>
      <c r="B5807" s="4">
        <f>IFERROR(__xludf.DUMMYFUNCTION("""COMPUTED_VALUE"""),84.0)</f>
        <v>84</v>
      </c>
      <c r="C5807" s="4" t="str">
        <f>IFERROR(__xludf.DUMMYFUNCTION("""COMPUTED_VALUE"""),"DET")</f>
        <v>DET</v>
      </c>
      <c r="D5807" s="4" t="str">
        <f>IFERROR(__xludf.DUMMYFUNCTION("""COMPUTED_VALUE"""),"Terry Benton")</f>
        <v>Terry Benton</v>
      </c>
      <c r="E5807" s="4" t="str">
        <f>IFERROR(__xludf.DUMMYFUNCTION("""COMPUTED_VALUE"""),"Wichita State")</f>
        <v>Wichita State</v>
      </c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</row>
    <row r="5808">
      <c r="A5808" s="4">
        <f>IFERROR(__xludf.DUMMYFUNCTION("""COMPUTED_VALUE"""),85.0)</f>
        <v>85</v>
      </c>
      <c r="B5808" s="4">
        <f>IFERROR(__xludf.DUMMYFUNCTION("""COMPUTED_VALUE"""),85.0)</f>
        <v>85</v>
      </c>
      <c r="C5808" s="4" t="str">
        <f>IFERROR(__xludf.DUMMYFUNCTION("""COMPUTED_VALUE"""),"PHI")</f>
        <v>PHI</v>
      </c>
      <c r="D5808" s="4" t="str">
        <f>IFERROR(__xludf.DUMMYFUNCTION("""COMPUTED_VALUE"""),"John Glover")</f>
        <v>John Glover</v>
      </c>
      <c r="E5808" s="4" t="str">
        <f>IFERROR(__xludf.DUMMYFUNCTION("""COMPUTED_VALUE"""),"Wiley College")</f>
        <v>Wiley College</v>
      </c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</row>
    <row r="5809">
      <c r="A5809" s="4">
        <f>IFERROR(__xludf.DUMMYFUNCTION("""COMPUTED_VALUE"""),86.0)</f>
        <v>86</v>
      </c>
      <c r="B5809" s="4">
        <f>IFERROR(__xludf.DUMMYFUNCTION("""COMPUTED_VALUE"""),86.0)</f>
        <v>86</v>
      </c>
      <c r="C5809" s="4" t="str">
        <f>IFERROR(__xludf.DUMMYFUNCTION("""COMPUTED_VALUE"""),"KCO")</f>
        <v>KCO</v>
      </c>
      <c r="D5809" s="4" t="str">
        <f>IFERROR(__xludf.DUMMYFUNCTION("""COMPUTED_VALUE"""),"Jerry Crocker")</f>
        <v>Jerry Crocker</v>
      </c>
      <c r="E5809" s="4" t="str">
        <f>IFERROR(__xludf.DUMMYFUNCTION("""COMPUTED_VALUE"""),"Guilford College")</f>
        <v>Guilford College</v>
      </c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</row>
    <row r="5810">
      <c r="A5810" s="4">
        <f>IFERROR(__xludf.DUMMYFUNCTION("""COMPUTED_VALUE"""),87.0)</f>
        <v>87</v>
      </c>
      <c r="B5810" s="4">
        <f>IFERROR(__xludf.DUMMYFUNCTION("""COMPUTED_VALUE"""),87.0)</f>
        <v>87</v>
      </c>
      <c r="C5810" s="4" t="str">
        <f>IFERROR(__xludf.DUMMYFUNCTION("""COMPUTED_VALUE"""),"HOU")</f>
        <v>HOU</v>
      </c>
      <c r="D5810" s="4" t="str">
        <f>IFERROR(__xludf.DUMMYFUNCTION("""COMPUTED_VALUE"""),"Mike Collins")</f>
        <v>Mike Collins</v>
      </c>
      <c r="E5810" s="4" t="str">
        <f>IFERROR(__xludf.DUMMYFUNCTION("""COMPUTED_VALUE"""),"Seattle University")</f>
        <v>Seattle University</v>
      </c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</row>
    <row r="5811">
      <c r="A5811" s="4">
        <f>IFERROR(__xludf.DUMMYFUNCTION("""COMPUTED_VALUE"""),88.0)</f>
        <v>88</v>
      </c>
      <c r="B5811" s="4">
        <f>IFERROR(__xludf.DUMMYFUNCTION("""COMPUTED_VALUE"""),88.0)</f>
        <v>88</v>
      </c>
      <c r="C5811" s="4" t="str">
        <f>IFERROR(__xludf.DUMMYFUNCTION("""COMPUTED_VALUE"""),"ATL")</f>
        <v>ATL</v>
      </c>
      <c r="D5811" s="4" t="str">
        <f>IFERROR(__xludf.DUMMYFUNCTION("""COMPUTED_VALUE"""),"Randy Knoll")</f>
        <v>Randy Knoll</v>
      </c>
      <c r="E5811" s="4" t="str">
        <f>IFERROR(__xludf.DUMMYFUNCTION("""COMPUTED_VALUE"""),"Marshall")</f>
        <v>Marshall</v>
      </c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</row>
    <row r="5812">
      <c r="A5812" s="4">
        <f>IFERROR(__xludf.DUMMYFUNCTION("""COMPUTED_VALUE"""),89.0)</f>
        <v>89</v>
      </c>
      <c r="B5812" s="4">
        <f>IFERROR(__xludf.DUMMYFUNCTION("""COMPUTED_VALUE"""),89.0)</f>
        <v>89</v>
      </c>
      <c r="C5812" s="4" t="str">
        <f>IFERROR(__xludf.DUMMYFUNCTION("""COMPUTED_VALUE"""),"BAL")</f>
        <v>BAL</v>
      </c>
      <c r="D5812" s="4" t="str">
        <f>IFERROR(__xludf.DUMMYFUNCTION("""COMPUTED_VALUE"""),"Dwaine Dillard")</f>
        <v>Dwaine Dillard</v>
      </c>
      <c r="E5812" s="4" t="str">
        <f>IFERROR(__xludf.DUMMYFUNCTION("""COMPUTED_VALUE"""),"Eastern Michigan")</f>
        <v>Eastern Michigan</v>
      </c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</row>
    <row r="5813">
      <c r="A5813" s="4">
        <f>IFERROR(__xludf.DUMMYFUNCTION("""COMPUTED_VALUE"""),90.0)</f>
        <v>90</v>
      </c>
      <c r="B5813" s="4">
        <f>IFERROR(__xludf.DUMMYFUNCTION("""COMPUTED_VALUE"""),90.0)</f>
        <v>90</v>
      </c>
      <c r="C5813" s="4" t="str">
        <f>IFERROR(__xludf.DUMMYFUNCTION("""COMPUTED_VALUE"""),"SEA")</f>
        <v>SEA</v>
      </c>
      <c r="D5813" s="4" t="str">
        <f>IFERROR(__xludf.DUMMYFUNCTION("""COMPUTED_VALUE"""),"Ron Thomas")</f>
        <v>Ron Thomas</v>
      </c>
      <c r="E5813" s="4" t="str">
        <f>IFERROR(__xludf.DUMMYFUNCTION("""COMPUTED_VALUE"""),"Louisville")</f>
        <v>Louisville</v>
      </c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</row>
    <row r="5814">
      <c r="A5814" s="4">
        <f>IFERROR(__xludf.DUMMYFUNCTION("""COMPUTED_VALUE"""),91.0)</f>
        <v>91</v>
      </c>
      <c r="B5814" s="4">
        <f>IFERROR(__xludf.DUMMYFUNCTION("""COMPUTED_VALUE"""),91.0)</f>
        <v>91</v>
      </c>
      <c r="C5814" s="4" t="str">
        <f>IFERROR(__xludf.DUMMYFUNCTION("""COMPUTED_VALUE"""),"NYK")</f>
        <v>NYK</v>
      </c>
      <c r="D5814" s="4" t="str">
        <f>IFERROR(__xludf.DUMMYFUNCTION("""COMPUTED_VALUE"""),"Greg Cluess")</f>
        <v>Greg Cluess</v>
      </c>
      <c r="E5814" s="4" t="str">
        <f>IFERROR(__xludf.DUMMYFUNCTION("""COMPUTED_VALUE"""),"St. John's")</f>
        <v>St. John's</v>
      </c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</row>
    <row r="5815">
      <c r="A5815" s="4">
        <f>IFERROR(__xludf.DUMMYFUNCTION("""COMPUTED_VALUE"""),92.0)</f>
        <v>92</v>
      </c>
      <c r="B5815" s="4">
        <f>IFERROR(__xludf.DUMMYFUNCTION("""COMPUTED_VALUE"""),92.0)</f>
        <v>92</v>
      </c>
      <c r="C5815" s="4" t="str">
        <f>IFERROR(__xludf.DUMMYFUNCTION("""COMPUTED_VALUE"""),"PHO")</f>
        <v>PHO</v>
      </c>
      <c r="D5815" s="4" t="str">
        <f>IFERROR(__xludf.DUMMYFUNCTION("""COMPUTED_VALUE"""),"Charles Edge")</f>
        <v>Charles Edge</v>
      </c>
      <c r="E5815" s="4" t="str">
        <f>IFERROR(__xludf.DUMMYFUNCTION("""COMPUTED_VALUE"""),"LeMoyne-Owen College")</f>
        <v>LeMoyne-Owen College</v>
      </c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</row>
    <row r="5816">
      <c r="A5816" s="4">
        <f>IFERROR(__xludf.DUMMYFUNCTION("""COMPUTED_VALUE"""),93.0)</f>
        <v>93</v>
      </c>
      <c r="B5816" s="4">
        <f>IFERROR(__xludf.DUMMYFUNCTION("""COMPUTED_VALUE"""),93.0)</f>
        <v>93</v>
      </c>
      <c r="C5816" s="4" t="str">
        <f>IFERROR(__xludf.DUMMYFUNCTION("""COMPUTED_VALUE"""),"GSW")</f>
        <v>GSW</v>
      </c>
      <c r="D5816" s="4" t="str">
        <f>IFERROR(__xludf.DUMMYFUNCTION("""COMPUTED_VALUE"""),"Henry Bacon")</f>
        <v>Henry Bacon</v>
      </c>
      <c r="E5816" s="4" t="str">
        <f>IFERROR(__xludf.DUMMYFUNCTION("""COMPUTED_VALUE"""),"Louisville")</f>
        <v>Louisville</v>
      </c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</row>
    <row r="5817">
      <c r="A5817" s="4">
        <f>IFERROR(__xludf.DUMMYFUNCTION("""COMPUTED_VALUE"""),94.0)</f>
        <v>94</v>
      </c>
      <c r="B5817" s="4">
        <f>IFERROR(__xludf.DUMMYFUNCTION("""COMPUTED_VALUE"""),94.0)</f>
        <v>94</v>
      </c>
      <c r="C5817" s="4" t="str">
        <f>IFERROR(__xludf.DUMMYFUNCTION("""COMPUTED_VALUE"""),"BOS")</f>
        <v>BOS</v>
      </c>
      <c r="D5817" s="4" t="str">
        <f>IFERROR(__xludf.DUMMYFUNCTION("""COMPUTED_VALUE"""),"Don Holcomb")</f>
        <v>Don Holcomb</v>
      </c>
      <c r="E5817" s="4" t="str">
        <f>IFERROR(__xludf.DUMMYFUNCTION("""COMPUTED_VALUE"""),"Memphis")</f>
        <v>Memphis</v>
      </c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</row>
    <row r="5818">
      <c r="A5818" s="4">
        <f>IFERROR(__xludf.DUMMYFUNCTION("""COMPUTED_VALUE"""),95.0)</f>
        <v>95</v>
      </c>
      <c r="B5818" s="4">
        <f>IFERROR(__xludf.DUMMYFUNCTION("""COMPUTED_VALUE"""),95.0)</f>
        <v>95</v>
      </c>
      <c r="C5818" s="4" t="str">
        <f>IFERROR(__xludf.DUMMYFUNCTION("""COMPUTED_VALUE"""),"CHI")</f>
        <v>CHI</v>
      </c>
      <c r="D5818" s="4" t="str">
        <f>IFERROR(__xludf.DUMMYFUNCTION("""COMPUTED_VALUE"""),"Mike Stewart")</f>
        <v>Mike Stewart</v>
      </c>
      <c r="E5818" s="4" t="str">
        <f>IFERROR(__xludf.DUMMYFUNCTION("""COMPUTED_VALUE"""),"Santa Clara")</f>
        <v>Santa Clara</v>
      </c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</row>
    <row r="5819">
      <c r="A5819" s="4">
        <f>IFERROR(__xludf.DUMMYFUNCTION("""COMPUTED_VALUE"""),96.0)</f>
        <v>96</v>
      </c>
      <c r="B5819" s="4">
        <f>IFERROR(__xludf.DUMMYFUNCTION("""COMPUTED_VALUE"""),96.0)</f>
        <v>96</v>
      </c>
      <c r="C5819" s="4" t="str">
        <f>IFERROR(__xludf.DUMMYFUNCTION("""COMPUTED_VALUE"""),"BOS")</f>
        <v>BOS</v>
      </c>
      <c r="D5819" s="4" t="str">
        <f>IFERROR(__xludf.DUMMYFUNCTION("""COMPUTED_VALUE"""),"Wally Rice")</f>
        <v>Wally Rice</v>
      </c>
      <c r="E5819" s="4" t="str">
        <f>IFERROR(__xludf.DUMMYFUNCTION("""COMPUTED_VALUE"""),"Widener University")</f>
        <v>Widener University</v>
      </c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</row>
    <row r="5820">
      <c r="A5820" s="4">
        <f>IFERROR(__xludf.DUMMYFUNCTION("""COMPUTED_VALUE"""),97.0)</f>
        <v>97</v>
      </c>
      <c r="B5820" s="4">
        <f>IFERROR(__xludf.DUMMYFUNCTION("""COMPUTED_VALUE"""),97.0)</f>
        <v>97</v>
      </c>
      <c r="C5820" s="4" t="str">
        <f>IFERROR(__xludf.DUMMYFUNCTION("""COMPUTED_VALUE"""),"LAL")</f>
        <v>LAL</v>
      </c>
      <c r="D5820" s="4" t="str">
        <f>IFERROR(__xludf.DUMMYFUNCTION("""COMPUTED_VALUE"""),"Sam Simmons")</f>
        <v>Sam Simmons</v>
      </c>
      <c r="E5820" s="4" t="str">
        <f>IFERROR(__xludf.DUMMYFUNCTION("""COMPUTED_VALUE"""),"Bradley")</f>
        <v>Bradley</v>
      </c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</row>
    <row r="5821">
      <c r="A5821" s="4"/>
      <c r="B5821" s="4"/>
      <c r="C5821" s="4"/>
      <c r="D5821" s="4" t="str">
        <f>IFERROR(__xludf.DUMMYFUNCTION("""COMPUTED_VALUE"""),"Round 7")</f>
        <v>Round 7</v>
      </c>
      <c r="E5821" s="4"/>
      <c r="F5821" s="4"/>
      <c r="G5821" s="4" t="str">
        <f>IFERROR(__xludf.DUMMYFUNCTION("""COMPUTED_VALUE"""),"Totals")</f>
        <v>Totals</v>
      </c>
      <c r="H5821" s="4"/>
      <c r="I5821" s="4"/>
      <c r="J5821" s="4"/>
      <c r="K5821" s="4"/>
      <c r="L5821" s="4" t="str">
        <f>IFERROR(__xludf.DUMMYFUNCTION("""COMPUTED_VALUE"""),"Shooting")</f>
        <v>Shooting</v>
      </c>
      <c r="M5821" s="4"/>
      <c r="N5821" s="4"/>
      <c r="O5821" s="4" t="str">
        <f>IFERROR(__xludf.DUMMYFUNCTION("""COMPUTED_VALUE"""),"Per Game")</f>
        <v>Per Game</v>
      </c>
      <c r="P5821" s="4"/>
      <c r="Q5821" s="4"/>
      <c r="R5821" s="4"/>
      <c r="S5821" s="4" t="str">
        <f>IFERROR(__xludf.DUMMYFUNCTION("""COMPUTED_VALUE"""),"Advanced")</f>
        <v>Advanced</v>
      </c>
      <c r="T5821" s="4"/>
      <c r="U5821" s="4"/>
      <c r="V5821" s="4"/>
    </row>
    <row r="5822">
      <c r="A5822" s="4" t="str">
        <f>IFERROR(__xludf.DUMMYFUNCTION("""COMPUTED_VALUE"""),"Rk")</f>
        <v>Rk</v>
      </c>
      <c r="B5822" s="4" t="str">
        <f>IFERROR(__xludf.DUMMYFUNCTION("""COMPUTED_VALUE"""),"Pk")</f>
        <v>Pk</v>
      </c>
      <c r="C5822" s="4" t="str">
        <f>IFERROR(__xludf.DUMMYFUNCTION("""COMPUTED_VALUE"""),"Tm")</f>
        <v>Tm</v>
      </c>
      <c r="D5822" s="4" t="str">
        <f>IFERROR(__xludf.DUMMYFUNCTION("""COMPUTED_VALUE"""),"Player")</f>
        <v>Player</v>
      </c>
      <c r="E5822" s="4" t="str">
        <f>IFERROR(__xludf.DUMMYFUNCTION("""COMPUTED_VALUE"""),"College")</f>
        <v>College</v>
      </c>
      <c r="F5822" s="4" t="str">
        <f>IFERROR(__xludf.DUMMYFUNCTION("""COMPUTED_VALUE"""),"Yrs")</f>
        <v>Yrs</v>
      </c>
      <c r="G5822" s="4" t="str">
        <f>IFERROR(__xludf.DUMMYFUNCTION("""COMPUTED_VALUE"""),"G")</f>
        <v>G</v>
      </c>
      <c r="H5822" s="4" t="str">
        <f>IFERROR(__xludf.DUMMYFUNCTION("""COMPUTED_VALUE"""),"MP")</f>
        <v>MP</v>
      </c>
      <c r="I5822" s="4" t="str">
        <f>IFERROR(__xludf.DUMMYFUNCTION("""COMPUTED_VALUE"""),"PTS")</f>
        <v>PTS</v>
      </c>
      <c r="J5822" s="4" t="str">
        <f>IFERROR(__xludf.DUMMYFUNCTION("""COMPUTED_VALUE"""),"TRB")</f>
        <v>TRB</v>
      </c>
      <c r="K5822" s="4" t="str">
        <f>IFERROR(__xludf.DUMMYFUNCTION("""COMPUTED_VALUE"""),"AST")</f>
        <v>AST</v>
      </c>
      <c r="L5822" s="4" t="str">
        <f>IFERROR(__xludf.DUMMYFUNCTION("""COMPUTED_VALUE"""),"FG%")</f>
        <v>FG%</v>
      </c>
      <c r="M5822" s="4" t="str">
        <f>IFERROR(__xludf.DUMMYFUNCTION("""COMPUTED_VALUE"""),"3P%")</f>
        <v>3P%</v>
      </c>
      <c r="N5822" s="4" t="str">
        <f>IFERROR(__xludf.DUMMYFUNCTION("""COMPUTED_VALUE"""),"FT%")</f>
        <v>FT%</v>
      </c>
      <c r="O5822" s="4" t="str">
        <f>IFERROR(__xludf.DUMMYFUNCTION("""COMPUTED_VALUE"""),"MP")</f>
        <v>MP</v>
      </c>
      <c r="P5822" s="4" t="str">
        <f>IFERROR(__xludf.DUMMYFUNCTION("""COMPUTED_VALUE"""),"PTS")</f>
        <v>PTS</v>
      </c>
      <c r="Q5822" s="4" t="str">
        <f>IFERROR(__xludf.DUMMYFUNCTION("""COMPUTED_VALUE"""),"TRB")</f>
        <v>TRB</v>
      </c>
      <c r="R5822" s="4" t="str">
        <f>IFERROR(__xludf.DUMMYFUNCTION("""COMPUTED_VALUE"""),"AST")</f>
        <v>AST</v>
      </c>
      <c r="S5822" s="4" t="str">
        <f>IFERROR(__xludf.DUMMYFUNCTION("""COMPUTED_VALUE"""),"WS")</f>
        <v>WS</v>
      </c>
      <c r="T5822" s="4" t="str">
        <f>IFERROR(__xludf.DUMMYFUNCTION("""COMPUTED_VALUE"""),"WS/48")</f>
        <v>WS/48</v>
      </c>
      <c r="U5822" s="4" t="str">
        <f>IFERROR(__xludf.DUMMYFUNCTION("""COMPUTED_VALUE"""),"BPM")</f>
        <v>BPM</v>
      </c>
      <c r="V5822" s="4" t="str">
        <f>IFERROR(__xludf.DUMMYFUNCTION("""COMPUTED_VALUE"""),"VORP")</f>
        <v>VORP</v>
      </c>
    </row>
    <row r="5823">
      <c r="A5823" s="4">
        <f>IFERROR(__xludf.DUMMYFUNCTION("""COMPUTED_VALUE"""),98.0)</f>
        <v>98</v>
      </c>
      <c r="B5823" s="4">
        <f>IFERROR(__xludf.DUMMYFUNCTION("""COMPUTED_VALUE"""),98.0)</f>
        <v>98</v>
      </c>
      <c r="C5823" s="4" t="str">
        <f>IFERROR(__xludf.DUMMYFUNCTION("""COMPUTED_VALUE"""),"POR")</f>
        <v>POR</v>
      </c>
      <c r="D5823" s="4" t="str">
        <f>IFERROR(__xludf.DUMMYFUNCTION("""COMPUTED_VALUE"""),"Bob Lynn")</f>
        <v>Bob Lynn</v>
      </c>
      <c r="E5823" s="4" t="str">
        <f>IFERROR(__xludf.DUMMYFUNCTION("""COMPUTED_VALUE"""),"Cal State Long Beach")</f>
        <v>Cal State Long Beach</v>
      </c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</row>
    <row r="5824">
      <c r="A5824" s="4">
        <f>IFERROR(__xludf.DUMMYFUNCTION("""COMPUTED_VALUE"""),99.0)</f>
        <v>99</v>
      </c>
      <c r="B5824" s="4">
        <f>IFERROR(__xludf.DUMMYFUNCTION("""COMPUTED_VALUE"""),99.0)</f>
        <v>99</v>
      </c>
      <c r="C5824" s="4" t="str">
        <f>IFERROR(__xludf.DUMMYFUNCTION("""COMPUTED_VALUE"""),"BUF")</f>
        <v>BUF</v>
      </c>
      <c r="D5824" s="4" t="str">
        <f>IFERROR(__xludf.DUMMYFUNCTION("""COMPUTED_VALUE"""),"Greg Kohls")</f>
        <v>Greg Kohls</v>
      </c>
      <c r="E5824" s="4" t="str">
        <f>IFERROR(__xludf.DUMMYFUNCTION("""COMPUTED_VALUE"""),"Syracuse")</f>
        <v>Syracuse</v>
      </c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</row>
    <row r="5825">
      <c r="A5825" s="4">
        <f>IFERROR(__xludf.DUMMYFUNCTION("""COMPUTED_VALUE"""),100.0)</f>
        <v>100</v>
      </c>
      <c r="B5825" s="4">
        <f>IFERROR(__xludf.DUMMYFUNCTION("""COMPUTED_VALUE"""),100.0)</f>
        <v>100</v>
      </c>
      <c r="C5825" s="4" t="str">
        <f>IFERROR(__xludf.DUMMYFUNCTION("""COMPUTED_VALUE"""),"CLE")</f>
        <v>CLE</v>
      </c>
      <c r="D5825" s="4" t="str">
        <f>IFERROR(__xludf.DUMMYFUNCTION("""COMPUTED_VALUE"""),"Steve Davidson")</f>
        <v>Steve Davidson</v>
      </c>
      <c r="E5825" s="4" t="str">
        <f>IFERROR(__xludf.DUMMYFUNCTION("""COMPUTED_VALUE"""),"West Texas A&amp;M University")</f>
        <v>West Texas A&amp;M University</v>
      </c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</row>
    <row r="5826">
      <c r="A5826" s="4">
        <f>IFERROR(__xludf.DUMMYFUNCTION("""COMPUTED_VALUE"""),101.0)</f>
        <v>101</v>
      </c>
      <c r="B5826" s="4">
        <f>IFERROR(__xludf.DUMMYFUNCTION("""COMPUTED_VALUE"""),101.0)</f>
        <v>101</v>
      </c>
      <c r="C5826" s="4" t="str">
        <f>IFERROR(__xludf.DUMMYFUNCTION("""COMPUTED_VALUE"""),"DET")</f>
        <v>DET</v>
      </c>
      <c r="D5826" s="4" t="str">
        <f>IFERROR(__xludf.DUMMYFUNCTION("""COMPUTED_VALUE"""),"Bruce Anderson")</f>
        <v>Bruce Anderson</v>
      </c>
      <c r="E5826" s="4" t="str">
        <f>IFERROR(__xludf.DUMMYFUNCTION("""COMPUTED_VALUE"""),"Arizona")</f>
        <v>Arizona</v>
      </c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</row>
    <row r="5827">
      <c r="A5827" s="4">
        <f>IFERROR(__xludf.DUMMYFUNCTION("""COMPUTED_VALUE"""),102.0)</f>
        <v>102</v>
      </c>
      <c r="B5827" s="4">
        <f>IFERROR(__xludf.DUMMYFUNCTION("""COMPUTED_VALUE"""),102.0)</f>
        <v>102</v>
      </c>
      <c r="C5827" s="4" t="str">
        <f>IFERROR(__xludf.DUMMYFUNCTION("""COMPUTED_VALUE"""),"KCO")</f>
        <v>KCO</v>
      </c>
      <c r="D5827" s="4" t="str">
        <f>IFERROR(__xludf.DUMMYFUNCTION("""COMPUTED_VALUE"""),"Mike Sneed")</f>
        <v>Mike Sneed</v>
      </c>
      <c r="E5827" s="4" t="str">
        <f>IFERROR(__xludf.DUMMYFUNCTION("""COMPUTED_VALUE"""),"Fayetteville State University")</f>
        <v>Fayetteville State University</v>
      </c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</row>
    <row r="5828">
      <c r="A5828" s="4">
        <f>IFERROR(__xludf.DUMMYFUNCTION("""COMPUTED_VALUE"""),103.0)</f>
        <v>103</v>
      </c>
      <c r="B5828" s="4">
        <f>IFERROR(__xludf.DUMMYFUNCTION("""COMPUTED_VALUE"""),103.0)</f>
        <v>103</v>
      </c>
      <c r="C5828" s="4" t="str">
        <f>IFERROR(__xludf.DUMMYFUNCTION("""COMPUTED_VALUE"""),"PHI")</f>
        <v>PHI</v>
      </c>
      <c r="D5828" s="4" t="str">
        <f>IFERROR(__xludf.DUMMYFUNCTION("""COMPUTED_VALUE"""),"Curtis Pritchett")</f>
        <v>Curtis Pritchett</v>
      </c>
      <c r="E5828" s="4" t="str">
        <f>IFERROR(__xludf.DUMMYFUNCTION("""COMPUTED_VALUE"""),"Saint Augustine's College")</f>
        <v>Saint Augustine's College</v>
      </c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</row>
    <row r="5829">
      <c r="A5829" s="4">
        <f>IFERROR(__xludf.DUMMYFUNCTION("""COMPUTED_VALUE"""),104.0)</f>
        <v>104</v>
      </c>
      <c r="B5829" s="4">
        <f>IFERROR(__xludf.DUMMYFUNCTION("""COMPUTED_VALUE"""),104.0)</f>
        <v>104</v>
      </c>
      <c r="C5829" s="4" t="str">
        <f>IFERROR(__xludf.DUMMYFUNCTION("""COMPUTED_VALUE"""),"HOU")</f>
        <v>HOU</v>
      </c>
      <c r="D5829" s="4" t="str">
        <f>IFERROR(__xludf.DUMMYFUNCTION("""COMPUTED_VALUE"""),"Mike Jackson")</f>
        <v>Mike Jackson</v>
      </c>
      <c r="E5829" s="4" t="str">
        <f>IFERROR(__xludf.DUMMYFUNCTION("""COMPUTED_VALUE"""),"California State University, Los Angeles")</f>
        <v>California State University, Los Angeles</v>
      </c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</row>
    <row r="5830">
      <c r="A5830" s="4">
        <f>IFERROR(__xludf.DUMMYFUNCTION("""COMPUTED_VALUE"""),105.0)</f>
        <v>105</v>
      </c>
      <c r="B5830" s="4">
        <f>IFERROR(__xludf.DUMMYFUNCTION("""COMPUTED_VALUE"""),105.0)</f>
        <v>105</v>
      </c>
      <c r="C5830" s="4" t="str">
        <f>IFERROR(__xludf.DUMMYFUNCTION("""COMPUTED_VALUE"""),"ATL")</f>
        <v>ATL</v>
      </c>
      <c r="D5830" s="4" t="str">
        <f>IFERROR(__xludf.DUMMYFUNCTION("""COMPUTED_VALUE"""),"Billy Pleas")</f>
        <v>Billy Pleas</v>
      </c>
      <c r="E5830" s="4" t="str">
        <f>IFERROR(__xludf.DUMMYFUNCTION("""COMPUTED_VALUE"""),"Detroit Mercy")</f>
        <v>Detroit Mercy</v>
      </c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</row>
    <row r="5831">
      <c r="A5831" s="4">
        <f>IFERROR(__xludf.DUMMYFUNCTION("""COMPUTED_VALUE"""),106.0)</f>
        <v>106</v>
      </c>
      <c r="B5831" s="4">
        <f>IFERROR(__xludf.DUMMYFUNCTION("""COMPUTED_VALUE"""),106.0)</f>
        <v>106</v>
      </c>
      <c r="C5831" s="4" t="str">
        <f>IFERROR(__xludf.DUMMYFUNCTION("""COMPUTED_VALUE"""),"BAL")</f>
        <v>BAL</v>
      </c>
      <c r="D5831" s="4" t="str">
        <f>IFERROR(__xludf.DUMMYFUNCTION("""COMPUTED_VALUE"""),"Marvin Brown")</f>
        <v>Marvin Brown</v>
      </c>
      <c r="E5831" s="4" t="str">
        <f>IFERROR(__xludf.DUMMYFUNCTION("""COMPUTED_VALUE"""),"Jackson State University")</f>
        <v>Jackson State University</v>
      </c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</row>
    <row r="5832">
      <c r="A5832" s="4">
        <f>IFERROR(__xludf.DUMMYFUNCTION("""COMPUTED_VALUE"""),107.0)</f>
        <v>107</v>
      </c>
      <c r="B5832" s="4">
        <f>IFERROR(__xludf.DUMMYFUNCTION("""COMPUTED_VALUE"""),107.0)</f>
        <v>107</v>
      </c>
      <c r="C5832" s="4" t="str">
        <f>IFERROR(__xludf.DUMMYFUNCTION("""COMPUTED_VALUE"""),"SEA")</f>
        <v>SEA</v>
      </c>
      <c r="D5832" s="4" t="str">
        <f>IFERROR(__xludf.DUMMYFUNCTION("""COMPUTED_VALUE"""),"Jerry Dunn")</f>
        <v>Jerry Dunn</v>
      </c>
      <c r="E5832" s="4" t="str">
        <f>IFERROR(__xludf.DUMMYFUNCTION("""COMPUTED_VALUE"""),"Western Kentucky")</f>
        <v>Western Kentucky</v>
      </c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</row>
    <row r="5833">
      <c r="A5833" s="4">
        <f>IFERROR(__xludf.DUMMYFUNCTION("""COMPUTED_VALUE"""),108.0)</f>
        <v>108</v>
      </c>
      <c r="B5833" s="4">
        <f>IFERROR(__xludf.DUMMYFUNCTION("""COMPUTED_VALUE"""),108.0)</f>
        <v>108</v>
      </c>
      <c r="C5833" s="4" t="str">
        <f>IFERROR(__xludf.DUMMYFUNCTION("""COMPUTED_VALUE"""),"NYK")</f>
        <v>NYK</v>
      </c>
      <c r="D5833" s="4" t="str">
        <f>IFERROR(__xludf.DUMMYFUNCTION("""COMPUTED_VALUE"""),"Tracy Tripucka")</f>
        <v>Tracy Tripucka</v>
      </c>
      <c r="E5833" s="4" t="str">
        <f>IFERROR(__xludf.DUMMYFUNCTION("""COMPUTED_VALUE"""),"Lafayette College")</f>
        <v>Lafayette College</v>
      </c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</row>
    <row r="5834">
      <c r="A5834" s="4">
        <f>IFERROR(__xludf.DUMMYFUNCTION("""COMPUTED_VALUE"""),109.0)</f>
        <v>109</v>
      </c>
      <c r="B5834" s="4">
        <f>IFERROR(__xludf.DUMMYFUNCTION("""COMPUTED_VALUE"""),109.0)</f>
        <v>109</v>
      </c>
      <c r="C5834" s="4" t="str">
        <f>IFERROR(__xludf.DUMMYFUNCTION("""COMPUTED_VALUE"""),"PHO")</f>
        <v>PHO</v>
      </c>
      <c r="D5834" s="4" t="str">
        <f>IFERROR(__xludf.DUMMYFUNCTION("""COMPUTED_VALUE"""),"Bernie Fryer")</f>
        <v>Bernie Fryer</v>
      </c>
      <c r="E5834" s="4" t="str">
        <f>IFERROR(__xludf.DUMMYFUNCTION("""COMPUTED_VALUE"""),"BYU")</f>
        <v>BYU</v>
      </c>
      <c r="F5834" s="4">
        <f>IFERROR(__xludf.DUMMYFUNCTION("""COMPUTED_VALUE"""),1.0)</f>
        <v>1</v>
      </c>
      <c r="G5834" s="4">
        <f>IFERROR(__xludf.DUMMYFUNCTION("""COMPUTED_VALUE"""),111.0)</f>
        <v>111</v>
      </c>
      <c r="H5834" s="4">
        <f>IFERROR(__xludf.DUMMYFUNCTION("""COMPUTED_VALUE"""),2106.0)</f>
        <v>2106</v>
      </c>
      <c r="I5834" s="4">
        <f>IFERROR(__xludf.DUMMYFUNCTION("""COMPUTED_VALUE"""),686.0)</f>
        <v>686</v>
      </c>
      <c r="J5834" s="4">
        <f>IFERROR(__xludf.DUMMYFUNCTION("""COMPUTED_VALUE"""),205.0)</f>
        <v>205</v>
      </c>
      <c r="K5834" s="4">
        <f>IFERROR(__xludf.DUMMYFUNCTION("""COMPUTED_VALUE"""),331.0)</f>
        <v>331</v>
      </c>
      <c r="L5834" s="4">
        <f>IFERROR(__xludf.DUMMYFUNCTION("""COMPUTED_VALUE"""),0.457)</f>
        <v>0.457</v>
      </c>
      <c r="M5834" s="4"/>
      <c r="N5834" s="4">
        <f>IFERROR(__xludf.DUMMYFUNCTION("""COMPUTED_VALUE"""),0.787)</f>
        <v>0.787</v>
      </c>
      <c r="O5834" s="4">
        <f>IFERROR(__xludf.DUMMYFUNCTION("""COMPUTED_VALUE"""),19.0)</f>
        <v>19</v>
      </c>
      <c r="P5834" s="4">
        <f>IFERROR(__xludf.DUMMYFUNCTION("""COMPUTED_VALUE"""),6.2)</f>
        <v>6.2</v>
      </c>
      <c r="Q5834" s="4">
        <f>IFERROR(__xludf.DUMMYFUNCTION("""COMPUTED_VALUE"""),1.8)</f>
        <v>1.8</v>
      </c>
      <c r="R5834" s="4">
        <f>IFERROR(__xludf.DUMMYFUNCTION("""COMPUTED_VALUE"""),3.0)</f>
        <v>3</v>
      </c>
      <c r="S5834" s="4">
        <f>IFERROR(__xludf.DUMMYFUNCTION("""COMPUTED_VALUE"""),2.0)</f>
        <v>2</v>
      </c>
      <c r="T5834" s="4">
        <f>IFERROR(__xludf.DUMMYFUNCTION("""COMPUTED_VALUE"""),0.046)</f>
        <v>0.046</v>
      </c>
      <c r="U5834" s="4">
        <f>IFERROR(__xludf.DUMMYFUNCTION("""COMPUTED_VALUE"""),-1.9)</f>
        <v>-1.9</v>
      </c>
      <c r="V5834" s="4">
        <f>IFERROR(__xludf.DUMMYFUNCTION("""COMPUTED_VALUE"""),0.1)</f>
        <v>0.1</v>
      </c>
    </row>
    <row r="5835">
      <c r="A5835" s="4">
        <f>IFERROR(__xludf.DUMMYFUNCTION("""COMPUTED_VALUE"""),110.0)</f>
        <v>110</v>
      </c>
      <c r="B5835" s="4">
        <f>IFERROR(__xludf.DUMMYFUNCTION("""COMPUTED_VALUE"""),110.0)</f>
        <v>110</v>
      </c>
      <c r="C5835" s="4" t="str">
        <f>IFERROR(__xludf.DUMMYFUNCTION("""COMPUTED_VALUE"""),"GSW")</f>
        <v>GSW</v>
      </c>
      <c r="D5835" s="4" t="str">
        <f>IFERROR(__xludf.DUMMYFUNCTION("""COMPUTED_VALUE"""),"Bill Franklin")</f>
        <v>Bill Franklin</v>
      </c>
      <c r="E5835" s="4" t="str">
        <f>IFERROR(__xludf.DUMMYFUNCTION("""COMPUTED_VALUE"""),"Purdue")</f>
        <v>Purdue</v>
      </c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</row>
    <row r="5836">
      <c r="A5836" s="4">
        <f>IFERROR(__xludf.DUMMYFUNCTION("""COMPUTED_VALUE"""),111.0)</f>
        <v>111</v>
      </c>
      <c r="B5836" s="4">
        <f>IFERROR(__xludf.DUMMYFUNCTION("""COMPUTED_VALUE"""),111.0)</f>
        <v>111</v>
      </c>
      <c r="C5836" s="4" t="str">
        <f>IFERROR(__xludf.DUMMYFUNCTION("""COMPUTED_VALUE"""),"BOS")</f>
        <v>BOS</v>
      </c>
      <c r="D5836" s="4" t="str">
        <f>IFERROR(__xludf.DUMMYFUNCTION("""COMPUTED_VALUE"""),"Steve Previs")</f>
        <v>Steve Previs</v>
      </c>
      <c r="E5836" s="4" t="str">
        <f>IFERROR(__xludf.DUMMYFUNCTION("""COMPUTED_VALUE"""),"UNC")</f>
        <v>UNC</v>
      </c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</row>
    <row r="5837">
      <c r="A5837" s="4">
        <f>IFERROR(__xludf.DUMMYFUNCTION("""COMPUTED_VALUE"""),112.0)</f>
        <v>112</v>
      </c>
      <c r="B5837" s="4">
        <f>IFERROR(__xludf.DUMMYFUNCTION("""COMPUTED_VALUE"""),112.0)</f>
        <v>112</v>
      </c>
      <c r="C5837" s="4" t="str">
        <f>IFERROR(__xludf.DUMMYFUNCTION("""COMPUTED_VALUE"""),"CHI")</f>
        <v>CHI</v>
      </c>
      <c r="D5837" s="4" t="str">
        <f>IFERROR(__xludf.DUMMYFUNCTION("""COMPUTED_VALUE"""),"Jerry Pender")</f>
        <v>Jerry Pender</v>
      </c>
      <c r="E5837" s="4" t="str">
        <f>IFERROR(__xludf.DUMMYFUNCTION("""COMPUTED_VALUE"""),"Fresno State")</f>
        <v>Fresno State</v>
      </c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</row>
    <row r="5838">
      <c r="A5838" s="4">
        <f>IFERROR(__xludf.DUMMYFUNCTION("""COMPUTED_VALUE"""),113.0)</f>
        <v>113</v>
      </c>
      <c r="B5838" s="4">
        <f>IFERROR(__xludf.DUMMYFUNCTION("""COMPUTED_VALUE"""),113.0)</f>
        <v>113</v>
      </c>
      <c r="C5838" s="4" t="str">
        <f>IFERROR(__xludf.DUMMYFUNCTION("""COMPUTED_VALUE"""),"MIL")</f>
        <v>MIL</v>
      </c>
      <c r="D5838" s="4" t="str">
        <f>IFERROR(__xludf.DUMMYFUNCTION("""COMPUTED_VALUE"""),"Mickey Davis")</f>
        <v>Mickey Davis</v>
      </c>
      <c r="E5838" s="4" t="str">
        <f>IFERROR(__xludf.DUMMYFUNCTION("""COMPUTED_VALUE"""),"Duquesne")</f>
        <v>Duquesne</v>
      </c>
      <c r="F5838" s="4">
        <f>IFERROR(__xludf.DUMMYFUNCTION("""COMPUTED_VALUE"""),5.0)</f>
        <v>5</v>
      </c>
      <c r="G5838" s="4">
        <f>IFERROR(__xludf.DUMMYFUNCTION("""COMPUTED_VALUE"""),286.0)</f>
        <v>286</v>
      </c>
      <c r="H5838" s="4">
        <f>IFERROR(__xludf.DUMMYFUNCTION("""COMPUTED_VALUE"""),3711.0)</f>
        <v>3711</v>
      </c>
      <c r="I5838" s="4">
        <f>IFERROR(__xludf.DUMMYFUNCTION("""COMPUTED_VALUE"""),1478.0)</f>
        <v>1478</v>
      </c>
      <c r="J5838" s="4">
        <f>IFERROR(__xludf.DUMMYFUNCTION("""COMPUTED_VALUE"""),800.0)</f>
        <v>800</v>
      </c>
      <c r="K5838" s="4">
        <f>IFERROR(__xludf.DUMMYFUNCTION("""COMPUTED_VALUE"""),295.0)</f>
        <v>295</v>
      </c>
      <c r="L5838" s="4">
        <f>IFERROR(__xludf.DUMMYFUNCTION("""COMPUTED_VALUE"""),0.458)</f>
        <v>0.458</v>
      </c>
      <c r="M5838" s="4"/>
      <c r="N5838" s="4">
        <f>IFERROR(__xludf.DUMMYFUNCTION("""COMPUTED_VALUE"""),0.842)</f>
        <v>0.842</v>
      </c>
      <c r="O5838" s="4">
        <f>IFERROR(__xludf.DUMMYFUNCTION("""COMPUTED_VALUE"""),13.0)</f>
        <v>13</v>
      </c>
      <c r="P5838" s="4">
        <f>IFERROR(__xludf.DUMMYFUNCTION("""COMPUTED_VALUE"""),5.2)</f>
        <v>5.2</v>
      </c>
      <c r="Q5838" s="4">
        <f>IFERROR(__xludf.DUMMYFUNCTION("""COMPUTED_VALUE"""),2.8)</f>
        <v>2.8</v>
      </c>
      <c r="R5838" s="4">
        <f>IFERROR(__xludf.DUMMYFUNCTION("""COMPUTED_VALUE"""),1.0)</f>
        <v>1</v>
      </c>
      <c r="S5838" s="4">
        <f>IFERROR(__xludf.DUMMYFUNCTION("""COMPUTED_VALUE"""),8.9)</f>
        <v>8.9</v>
      </c>
      <c r="T5838" s="4">
        <f>IFERROR(__xludf.DUMMYFUNCTION("""COMPUTED_VALUE"""),0.115)</f>
        <v>0.115</v>
      </c>
      <c r="U5838" s="4">
        <f>IFERROR(__xludf.DUMMYFUNCTION("""COMPUTED_VALUE"""),-0.1)</f>
        <v>-0.1</v>
      </c>
      <c r="V5838" s="4">
        <f>IFERROR(__xludf.DUMMYFUNCTION("""COMPUTED_VALUE"""),1.3)</f>
        <v>1.3</v>
      </c>
    </row>
    <row r="5839">
      <c r="A5839" s="4"/>
      <c r="B5839" s="4"/>
      <c r="C5839" s="4"/>
      <c r="D5839" s="4" t="str">
        <f>IFERROR(__xludf.DUMMYFUNCTION("""COMPUTED_VALUE"""),"Round 8")</f>
        <v>Round 8</v>
      </c>
      <c r="E5839" s="4"/>
      <c r="F5839" s="4"/>
      <c r="G5839" s="4" t="str">
        <f>IFERROR(__xludf.DUMMYFUNCTION("""COMPUTED_VALUE"""),"Totals")</f>
        <v>Totals</v>
      </c>
      <c r="H5839" s="4"/>
      <c r="I5839" s="4"/>
      <c r="J5839" s="4"/>
      <c r="K5839" s="4"/>
      <c r="L5839" s="4" t="str">
        <f>IFERROR(__xludf.DUMMYFUNCTION("""COMPUTED_VALUE"""),"Shooting")</f>
        <v>Shooting</v>
      </c>
      <c r="M5839" s="4"/>
      <c r="N5839" s="4"/>
      <c r="O5839" s="4" t="str">
        <f>IFERROR(__xludf.DUMMYFUNCTION("""COMPUTED_VALUE"""),"Per Game")</f>
        <v>Per Game</v>
      </c>
      <c r="P5839" s="4"/>
      <c r="Q5839" s="4"/>
      <c r="R5839" s="4"/>
      <c r="S5839" s="4" t="str">
        <f>IFERROR(__xludf.DUMMYFUNCTION("""COMPUTED_VALUE"""),"Advanced")</f>
        <v>Advanced</v>
      </c>
      <c r="T5839" s="4"/>
      <c r="U5839" s="4"/>
      <c r="V5839" s="4"/>
    </row>
    <row r="5840">
      <c r="A5840" s="4" t="str">
        <f>IFERROR(__xludf.DUMMYFUNCTION("""COMPUTED_VALUE"""),"Rk")</f>
        <v>Rk</v>
      </c>
      <c r="B5840" s="4" t="str">
        <f>IFERROR(__xludf.DUMMYFUNCTION("""COMPUTED_VALUE"""),"Pk")</f>
        <v>Pk</v>
      </c>
      <c r="C5840" s="4" t="str">
        <f>IFERROR(__xludf.DUMMYFUNCTION("""COMPUTED_VALUE"""),"Tm")</f>
        <v>Tm</v>
      </c>
      <c r="D5840" s="4" t="str">
        <f>IFERROR(__xludf.DUMMYFUNCTION("""COMPUTED_VALUE"""),"Player")</f>
        <v>Player</v>
      </c>
      <c r="E5840" s="4" t="str">
        <f>IFERROR(__xludf.DUMMYFUNCTION("""COMPUTED_VALUE"""),"College")</f>
        <v>College</v>
      </c>
      <c r="F5840" s="4" t="str">
        <f>IFERROR(__xludf.DUMMYFUNCTION("""COMPUTED_VALUE"""),"Yrs")</f>
        <v>Yrs</v>
      </c>
      <c r="G5840" s="4" t="str">
        <f>IFERROR(__xludf.DUMMYFUNCTION("""COMPUTED_VALUE"""),"G")</f>
        <v>G</v>
      </c>
      <c r="H5840" s="4" t="str">
        <f>IFERROR(__xludf.DUMMYFUNCTION("""COMPUTED_VALUE"""),"MP")</f>
        <v>MP</v>
      </c>
      <c r="I5840" s="4" t="str">
        <f>IFERROR(__xludf.DUMMYFUNCTION("""COMPUTED_VALUE"""),"PTS")</f>
        <v>PTS</v>
      </c>
      <c r="J5840" s="4" t="str">
        <f>IFERROR(__xludf.DUMMYFUNCTION("""COMPUTED_VALUE"""),"TRB")</f>
        <v>TRB</v>
      </c>
      <c r="K5840" s="4" t="str">
        <f>IFERROR(__xludf.DUMMYFUNCTION("""COMPUTED_VALUE"""),"AST")</f>
        <v>AST</v>
      </c>
      <c r="L5840" s="4" t="str">
        <f>IFERROR(__xludf.DUMMYFUNCTION("""COMPUTED_VALUE"""),"FG%")</f>
        <v>FG%</v>
      </c>
      <c r="M5840" s="4" t="str">
        <f>IFERROR(__xludf.DUMMYFUNCTION("""COMPUTED_VALUE"""),"3P%")</f>
        <v>3P%</v>
      </c>
      <c r="N5840" s="4" t="str">
        <f>IFERROR(__xludf.DUMMYFUNCTION("""COMPUTED_VALUE"""),"FT%")</f>
        <v>FT%</v>
      </c>
      <c r="O5840" s="4" t="str">
        <f>IFERROR(__xludf.DUMMYFUNCTION("""COMPUTED_VALUE"""),"MP")</f>
        <v>MP</v>
      </c>
      <c r="P5840" s="4" t="str">
        <f>IFERROR(__xludf.DUMMYFUNCTION("""COMPUTED_VALUE"""),"PTS")</f>
        <v>PTS</v>
      </c>
      <c r="Q5840" s="4" t="str">
        <f>IFERROR(__xludf.DUMMYFUNCTION("""COMPUTED_VALUE"""),"TRB")</f>
        <v>TRB</v>
      </c>
      <c r="R5840" s="4" t="str">
        <f>IFERROR(__xludf.DUMMYFUNCTION("""COMPUTED_VALUE"""),"AST")</f>
        <v>AST</v>
      </c>
      <c r="S5840" s="4" t="str">
        <f>IFERROR(__xludf.DUMMYFUNCTION("""COMPUTED_VALUE"""),"WS")</f>
        <v>WS</v>
      </c>
      <c r="T5840" s="4" t="str">
        <f>IFERROR(__xludf.DUMMYFUNCTION("""COMPUTED_VALUE"""),"WS/48")</f>
        <v>WS/48</v>
      </c>
      <c r="U5840" s="4" t="str">
        <f>IFERROR(__xludf.DUMMYFUNCTION("""COMPUTED_VALUE"""),"BPM")</f>
        <v>BPM</v>
      </c>
      <c r="V5840" s="4" t="str">
        <f>IFERROR(__xludf.DUMMYFUNCTION("""COMPUTED_VALUE"""),"VORP")</f>
        <v>VORP</v>
      </c>
    </row>
    <row r="5841">
      <c r="A5841" s="4">
        <f>IFERROR(__xludf.DUMMYFUNCTION("""COMPUTED_VALUE"""),114.0)</f>
        <v>114</v>
      </c>
      <c r="B5841" s="4">
        <f>IFERROR(__xludf.DUMMYFUNCTION("""COMPUTED_VALUE"""),114.0)</f>
        <v>114</v>
      </c>
      <c r="C5841" s="4" t="str">
        <f>IFERROR(__xludf.DUMMYFUNCTION("""COMPUTED_VALUE"""),"POR")</f>
        <v>POR</v>
      </c>
      <c r="D5841" s="4" t="str">
        <f>IFERROR(__xludf.DUMMYFUNCTION("""COMPUTED_VALUE"""),"Ruben Vance")</f>
        <v>Ruben Vance</v>
      </c>
      <c r="E5841" s="4" t="str">
        <f>IFERROR(__xludf.DUMMYFUNCTION("""COMPUTED_VALUE"""),"Kent State University")</f>
        <v>Kent State University</v>
      </c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</row>
    <row r="5842">
      <c r="A5842" s="4">
        <f>IFERROR(__xludf.DUMMYFUNCTION("""COMPUTED_VALUE"""),115.0)</f>
        <v>115</v>
      </c>
      <c r="B5842" s="4">
        <f>IFERROR(__xludf.DUMMYFUNCTION("""COMPUTED_VALUE"""),115.0)</f>
        <v>115</v>
      </c>
      <c r="C5842" s="4" t="str">
        <f>IFERROR(__xludf.DUMMYFUNCTION("""COMPUTED_VALUE"""),"BUF")</f>
        <v>BUF</v>
      </c>
      <c r="D5842" s="4" t="str">
        <f>IFERROR(__xludf.DUMMYFUNCTION("""COMPUTED_VALUE"""),"Andy Denny")</f>
        <v>Andy Denny</v>
      </c>
      <c r="E5842" s="4" t="str">
        <f>IFERROR(__xludf.DUMMYFUNCTION("""COMPUTED_VALUE"""),"University of South Alabama")</f>
        <v>University of South Alabama</v>
      </c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</row>
    <row r="5843">
      <c r="A5843" s="4">
        <f>IFERROR(__xludf.DUMMYFUNCTION("""COMPUTED_VALUE"""),116.0)</f>
        <v>116</v>
      </c>
      <c r="B5843" s="4">
        <f>IFERROR(__xludf.DUMMYFUNCTION("""COMPUTED_VALUE"""),116.0)</f>
        <v>116</v>
      </c>
      <c r="C5843" s="4" t="str">
        <f>IFERROR(__xludf.DUMMYFUNCTION("""COMPUTED_VALUE"""),"CLE")</f>
        <v>CLE</v>
      </c>
      <c r="D5843" s="4" t="str">
        <f>IFERROR(__xludf.DUMMYFUNCTION("""COMPUTED_VALUE"""),"Roger Evans")</f>
        <v>Roger Evans</v>
      </c>
      <c r="E5843" s="4" t="str">
        <f>IFERROR(__xludf.DUMMYFUNCTION("""COMPUTED_VALUE"""),"Kent State University")</f>
        <v>Kent State University</v>
      </c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</row>
    <row r="5844">
      <c r="A5844" s="4">
        <f>IFERROR(__xludf.DUMMYFUNCTION("""COMPUTED_VALUE"""),117.0)</f>
        <v>117</v>
      </c>
      <c r="B5844" s="4">
        <f>IFERROR(__xludf.DUMMYFUNCTION("""COMPUTED_VALUE"""),117.0)</f>
        <v>117</v>
      </c>
      <c r="C5844" s="4" t="str">
        <f>IFERROR(__xludf.DUMMYFUNCTION("""COMPUTED_VALUE"""),"DET")</f>
        <v>DET</v>
      </c>
      <c r="D5844" s="4" t="str">
        <f>IFERROR(__xludf.DUMMYFUNCTION("""COMPUTED_VALUE"""),"Ben Kelso")</f>
        <v>Ben Kelso</v>
      </c>
      <c r="E5844" s="4" t="str">
        <f>IFERROR(__xludf.DUMMYFUNCTION("""COMPUTED_VALUE"""),"Central Michigan University")</f>
        <v>Central Michigan University</v>
      </c>
      <c r="F5844" s="4">
        <f>IFERROR(__xludf.DUMMYFUNCTION("""COMPUTED_VALUE"""),1.0)</f>
        <v>1</v>
      </c>
      <c r="G5844" s="4">
        <f>IFERROR(__xludf.DUMMYFUNCTION("""COMPUTED_VALUE"""),46.0)</f>
        <v>46</v>
      </c>
      <c r="H5844" s="4">
        <f>IFERROR(__xludf.DUMMYFUNCTION("""COMPUTED_VALUE"""),298.0)</f>
        <v>298</v>
      </c>
      <c r="I5844" s="4">
        <f>IFERROR(__xludf.DUMMYFUNCTION("""COMPUTED_VALUE"""),85.0)</f>
        <v>85</v>
      </c>
      <c r="J5844" s="4">
        <f>IFERROR(__xludf.DUMMYFUNCTION("""COMPUTED_VALUE"""),31.0)</f>
        <v>31</v>
      </c>
      <c r="K5844" s="4">
        <f>IFERROR(__xludf.DUMMYFUNCTION("""COMPUTED_VALUE"""),18.0)</f>
        <v>18</v>
      </c>
      <c r="L5844" s="4">
        <f>IFERROR(__xludf.DUMMYFUNCTION("""COMPUTED_VALUE"""),0.365)</f>
        <v>0.365</v>
      </c>
      <c r="M5844" s="4"/>
      <c r="N5844" s="4">
        <f>IFERROR(__xludf.DUMMYFUNCTION("""COMPUTED_VALUE"""),0.682)</f>
        <v>0.682</v>
      </c>
      <c r="O5844" s="4">
        <f>IFERROR(__xludf.DUMMYFUNCTION("""COMPUTED_VALUE"""),6.5)</f>
        <v>6.5</v>
      </c>
      <c r="P5844" s="4">
        <f>IFERROR(__xludf.DUMMYFUNCTION("""COMPUTED_VALUE"""),1.8)</f>
        <v>1.8</v>
      </c>
      <c r="Q5844" s="4">
        <f>IFERROR(__xludf.DUMMYFUNCTION("""COMPUTED_VALUE"""),0.7)</f>
        <v>0.7</v>
      </c>
      <c r="R5844" s="4">
        <f>IFERROR(__xludf.DUMMYFUNCTION("""COMPUTED_VALUE"""),0.4)</f>
        <v>0.4</v>
      </c>
      <c r="S5844" s="4">
        <f>IFERROR(__xludf.DUMMYFUNCTION("""COMPUTED_VALUE"""),0.0)</f>
        <v>0</v>
      </c>
      <c r="T5844" s="4">
        <f>IFERROR(__xludf.DUMMYFUNCTION("""COMPUTED_VALUE"""),0.0)</f>
        <v>0</v>
      </c>
      <c r="U5844" s="4">
        <f>IFERROR(__xludf.DUMMYFUNCTION("""COMPUTED_VALUE"""),-4.9)</f>
        <v>-4.9</v>
      </c>
      <c r="V5844" s="4">
        <f>IFERROR(__xludf.DUMMYFUNCTION("""COMPUTED_VALUE"""),-0.2)</f>
        <v>-0.2</v>
      </c>
    </row>
    <row r="5845">
      <c r="A5845" s="4">
        <f>IFERROR(__xludf.DUMMYFUNCTION("""COMPUTED_VALUE"""),118.0)</f>
        <v>118</v>
      </c>
      <c r="B5845" s="4">
        <f>IFERROR(__xludf.DUMMYFUNCTION("""COMPUTED_VALUE"""),118.0)</f>
        <v>118</v>
      </c>
      <c r="C5845" s="4" t="str">
        <f>IFERROR(__xludf.DUMMYFUNCTION("""COMPUTED_VALUE"""),"PHI")</f>
        <v>PHI</v>
      </c>
      <c r="D5845" s="4" t="str">
        <f>IFERROR(__xludf.DUMMYFUNCTION("""COMPUTED_VALUE"""),"Jim Kopp")</f>
        <v>Jim Kopp</v>
      </c>
      <c r="E5845" s="4" t="str">
        <f>IFERROR(__xludf.DUMMYFUNCTION("""COMPUTED_VALUE"""),"Rockhurst University")</f>
        <v>Rockhurst University</v>
      </c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</row>
    <row r="5846">
      <c r="A5846" s="4">
        <f>IFERROR(__xludf.DUMMYFUNCTION("""COMPUTED_VALUE"""),119.0)</f>
        <v>119</v>
      </c>
      <c r="B5846" s="4">
        <f>IFERROR(__xludf.DUMMYFUNCTION("""COMPUTED_VALUE"""),119.0)</f>
        <v>119</v>
      </c>
      <c r="C5846" s="4" t="str">
        <f>IFERROR(__xludf.DUMMYFUNCTION("""COMPUTED_VALUE"""),"KCO")</f>
        <v>KCO</v>
      </c>
      <c r="D5846" s="4" t="str">
        <f>IFERROR(__xludf.DUMMYFUNCTION("""COMPUTED_VALUE"""),"Jerry Clack")</f>
        <v>Jerry Clack</v>
      </c>
      <c r="E5846" s="4" t="str">
        <f>IFERROR(__xludf.DUMMYFUNCTION("""COMPUTED_VALUE"""),"Oklahoma State")</f>
        <v>Oklahoma State</v>
      </c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</row>
    <row r="5847">
      <c r="A5847" s="4">
        <f>IFERROR(__xludf.DUMMYFUNCTION("""COMPUTED_VALUE"""),120.0)</f>
        <v>120</v>
      </c>
      <c r="B5847" s="4">
        <f>IFERROR(__xludf.DUMMYFUNCTION("""COMPUTED_VALUE"""),120.0)</f>
        <v>120</v>
      </c>
      <c r="C5847" s="4" t="str">
        <f>IFERROR(__xludf.DUMMYFUNCTION("""COMPUTED_VALUE"""),"HOU")</f>
        <v>HOU</v>
      </c>
      <c r="D5847" s="4" t="str">
        <f>IFERROR(__xludf.DUMMYFUNCTION("""COMPUTED_VALUE"""),"Henry Harris")</f>
        <v>Henry Harris</v>
      </c>
      <c r="E5847" s="4" t="str">
        <f>IFERROR(__xludf.DUMMYFUNCTION("""COMPUTED_VALUE"""),"Auburn")</f>
        <v>Auburn</v>
      </c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</row>
    <row r="5848">
      <c r="A5848" s="4">
        <f>IFERROR(__xludf.DUMMYFUNCTION("""COMPUTED_VALUE"""),121.0)</f>
        <v>121</v>
      </c>
      <c r="B5848" s="4">
        <f>IFERROR(__xludf.DUMMYFUNCTION("""COMPUTED_VALUE"""),121.0)</f>
        <v>121</v>
      </c>
      <c r="C5848" s="4" t="str">
        <f>IFERROR(__xludf.DUMMYFUNCTION("""COMPUTED_VALUE"""),"ATL")</f>
        <v>ATL</v>
      </c>
      <c r="D5848" s="4" t="str">
        <f>IFERROR(__xludf.DUMMYFUNCTION("""COMPUTED_VALUE"""),"Oscar Evans")</f>
        <v>Oscar Evans</v>
      </c>
      <c r="E5848" s="4" t="str">
        <f>IFERROR(__xludf.DUMMYFUNCTION("""COMPUTED_VALUE"""),"Butler")</f>
        <v>Butler</v>
      </c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</row>
    <row r="5849">
      <c r="A5849" s="4">
        <f>IFERROR(__xludf.DUMMYFUNCTION("""COMPUTED_VALUE"""),122.0)</f>
        <v>122</v>
      </c>
      <c r="B5849" s="4">
        <f>IFERROR(__xludf.DUMMYFUNCTION("""COMPUTED_VALUE"""),122.0)</f>
        <v>122</v>
      </c>
      <c r="C5849" s="4" t="str">
        <f>IFERROR(__xludf.DUMMYFUNCTION("""COMPUTED_VALUE"""),"BAL")</f>
        <v>BAL</v>
      </c>
      <c r="D5849" s="4" t="str">
        <f>IFERROR(__xludf.DUMMYFUNCTION("""COMPUTED_VALUE"""),"Jim Floyd")</f>
        <v>Jim Floyd</v>
      </c>
      <c r="E5849" s="4" t="str">
        <f>IFERROR(__xludf.DUMMYFUNCTION("""COMPUTED_VALUE"""),"Shaw")</f>
        <v>Shaw</v>
      </c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</row>
    <row r="5850">
      <c r="A5850" s="4">
        <f>IFERROR(__xludf.DUMMYFUNCTION("""COMPUTED_VALUE"""),123.0)</f>
        <v>123</v>
      </c>
      <c r="B5850" s="4">
        <f>IFERROR(__xludf.DUMMYFUNCTION("""COMPUTED_VALUE"""),123.0)</f>
        <v>123</v>
      </c>
      <c r="C5850" s="4" t="str">
        <f>IFERROR(__xludf.DUMMYFUNCTION("""COMPUTED_VALUE"""),"SEA")</f>
        <v>SEA</v>
      </c>
      <c r="D5850" s="4" t="str">
        <f>IFERROR(__xludf.DUMMYFUNCTION("""COMPUTED_VALUE"""),"Willie Stoudamire")</f>
        <v>Willie Stoudamire</v>
      </c>
      <c r="E5850" s="4" t="str">
        <f>IFERROR(__xludf.DUMMYFUNCTION("""COMPUTED_VALUE"""),"Portland State")</f>
        <v>Portland State</v>
      </c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</row>
    <row r="5851">
      <c r="A5851" s="4">
        <f>IFERROR(__xludf.DUMMYFUNCTION("""COMPUTED_VALUE"""),124.0)</f>
        <v>124</v>
      </c>
      <c r="B5851" s="4">
        <f>IFERROR(__xludf.DUMMYFUNCTION("""COMPUTED_VALUE"""),124.0)</f>
        <v>124</v>
      </c>
      <c r="C5851" s="4" t="str">
        <f>IFERROR(__xludf.DUMMYFUNCTION("""COMPUTED_VALUE"""),"NYK")</f>
        <v>NYK</v>
      </c>
      <c r="D5851" s="4" t="str">
        <f>IFERROR(__xludf.DUMMYFUNCTION("""COMPUTED_VALUE"""),"Tom Corde")</f>
        <v>Tom Corde</v>
      </c>
      <c r="E5851" s="4" t="str">
        <f>IFERROR(__xludf.DUMMYFUNCTION("""COMPUTED_VALUE"""),"Ohio University")</f>
        <v>Ohio University</v>
      </c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</row>
    <row r="5852">
      <c r="A5852" s="4">
        <f>IFERROR(__xludf.DUMMYFUNCTION("""COMPUTED_VALUE"""),125.0)</f>
        <v>125</v>
      </c>
      <c r="B5852" s="4">
        <f>IFERROR(__xludf.DUMMYFUNCTION("""COMPUTED_VALUE"""),125.0)</f>
        <v>125</v>
      </c>
      <c r="C5852" s="4" t="str">
        <f>IFERROR(__xludf.DUMMYFUNCTION("""COMPUTED_VALUE"""),"PHO")</f>
        <v>PHO</v>
      </c>
      <c r="D5852" s="4" t="str">
        <f>IFERROR(__xludf.DUMMYFUNCTION("""COMPUTED_VALUE"""),"Russell Golden")</f>
        <v>Russell Golden</v>
      </c>
      <c r="E5852" s="4" t="str">
        <f>IFERROR(__xludf.DUMMYFUNCTION("""COMPUTED_VALUE"""),"Jackson State University")</f>
        <v>Jackson State University</v>
      </c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</row>
    <row r="5853">
      <c r="A5853" s="4">
        <f>IFERROR(__xludf.DUMMYFUNCTION("""COMPUTED_VALUE"""),126.0)</f>
        <v>126</v>
      </c>
      <c r="B5853" s="4">
        <f>IFERROR(__xludf.DUMMYFUNCTION("""COMPUTED_VALUE"""),126.0)</f>
        <v>126</v>
      </c>
      <c r="C5853" s="4" t="str">
        <f>IFERROR(__xludf.DUMMYFUNCTION("""COMPUTED_VALUE"""),"GSW")</f>
        <v>GSW</v>
      </c>
      <c r="D5853" s="4" t="str">
        <f>IFERROR(__xludf.DUMMYFUNCTION("""COMPUTED_VALUE"""),"John Burks")</f>
        <v>John Burks</v>
      </c>
      <c r="E5853" s="4" t="str">
        <f>IFERROR(__xludf.DUMMYFUNCTION("""COMPUTED_VALUE"""),"San Francisco")</f>
        <v>San Francisco</v>
      </c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</row>
    <row r="5854">
      <c r="A5854" s="4">
        <f>IFERROR(__xludf.DUMMYFUNCTION("""COMPUTED_VALUE"""),127.0)</f>
        <v>127</v>
      </c>
      <c r="B5854" s="4">
        <f>IFERROR(__xludf.DUMMYFUNCTION("""COMPUTED_VALUE"""),127.0)</f>
        <v>127</v>
      </c>
      <c r="C5854" s="4" t="str">
        <f>IFERROR(__xludf.DUMMYFUNCTION("""COMPUTED_VALUE"""),"BOS")</f>
        <v>BOS</v>
      </c>
      <c r="D5854" s="4" t="str">
        <f>IFERROR(__xludf.DUMMYFUNCTION("""COMPUTED_VALUE"""),"Sam McCamey")</f>
        <v>Sam McCamey</v>
      </c>
      <c r="E5854" s="4" t="str">
        <f>IFERROR(__xludf.DUMMYFUNCTION("""COMPUTED_VALUE"""),"Oral Roberts")</f>
        <v>Oral Roberts</v>
      </c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</row>
    <row r="5855">
      <c r="A5855" s="4">
        <f>IFERROR(__xludf.DUMMYFUNCTION("""COMPUTED_VALUE"""),128.0)</f>
        <v>128</v>
      </c>
      <c r="B5855" s="4">
        <f>IFERROR(__xludf.DUMMYFUNCTION("""COMPUTED_VALUE"""),128.0)</f>
        <v>128</v>
      </c>
      <c r="C5855" s="4" t="str">
        <f>IFERROR(__xludf.DUMMYFUNCTION("""COMPUTED_VALUE"""),"CHI")</f>
        <v>CHI</v>
      </c>
      <c r="D5855" s="4" t="str">
        <f>IFERROR(__xludf.DUMMYFUNCTION("""COMPUTED_VALUE"""),"Cavin Andersen")</f>
        <v>Cavin Andersen</v>
      </c>
      <c r="E5855" s="4" t="str">
        <f>IFERROR(__xludf.DUMMYFUNCTION("""COMPUTED_VALUE"""),"Valley City State University")</f>
        <v>Valley City State University</v>
      </c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</row>
    <row r="5856">
      <c r="A5856" s="4">
        <f>IFERROR(__xludf.DUMMYFUNCTION("""COMPUTED_VALUE"""),129.0)</f>
        <v>129</v>
      </c>
      <c r="B5856" s="4">
        <f>IFERROR(__xludf.DUMMYFUNCTION("""COMPUTED_VALUE"""),129.0)</f>
        <v>129</v>
      </c>
      <c r="C5856" s="4" t="str">
        <f>IFERROR(__xludf.DUMMYFUNCTION("""COMPUTED_VALUE"""),"MIL")</f>
        <v>MIL</v>
      </c>
      <c r="D5856" s="4" t="str">
        <f>IFERROR(__xludf.DUMMYFUNCTION("""COMPUTED_VALUE"""),"Charles Kirkland")</f>
        <v>Charles Kirkland</v>
      </c>
      <c r="E5856" s="4" t="str">
        <f>IFERROR(__xludf.DUMMYFUNCTION("""COMPUTED_VALUE"""),"Cheyney (PA)")</f>
        <v>Cheyney (PA)</v>
      </c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</row>
    <row r="5857">
      <c r="A5857" s="4"/>
      <c r="B5857" s="4"/>
      <c r="C5857" s="4"/>
      <c r="D5857" s="4" t="str">
        <f>IFERROR(__xludf.DUMMYFUNCTION("""COMPUTED_VALUE"""),"Round 9")</f>
        <v>Round 9</v>
      </c>
      <c r="E5857" s="4"/>
      <c r="F5857" s="4"/>
      <c r="G5857" s="4" t="str">
        <f>IFERROR(__xludf.DUMMYFUNCTION("""COMPUTED_VALUE"""),"Totals")</f>
        <v>Totals</v>
      </c>
      <c r="H5857" s="4"/>
      <c r="I5857" s="4"/>
      <c r="J5857" s="4"/>
      <c r="K5857" s="4"/>
      <c r="L5857" s="4" t="str">
        <f>IFERROR(__xludf.DUMMYFUNCTION("""COMPUTED_VALUE"""),"Shooting")</f>
        <v>Shooting</v>
      </c>
      <c r="M5857" s="4"/>
      <c r="N5857" s="4"/>
      <c r="O5857" s="4" t="str">
        <f>IFERROR(__xludf.DUMMYFUNCTION("""COMPUTED_VALUE"""),"Per Game")</f>
        <v>Per Game</v>
      </c>
      <c r="P5857" s="4"/>
      <c r="Q5857" s="4"/>
      <c r="R5857" s="4"/>
      <c r="S5857" s="4" t="str">
        <f>IFERROR(__xludf.DUMMYFUNCTION("""COMPUTED_VALUE"""),"Advanced")</f>
        <v>Advanced</v>
      </c>
      <c r="T5857" s="4"/>
      <c r="U5857" s="4"/>
      <c r="V5857" s="4"/>
    </row>
    <row r="5858">
      <c r="A5858" s="4" t="str">
        <f>IFERROR(__xludf.DUMMYFUNCTION("""COMPUTED_VALUE"""),"Rk")</f>
        <v>Rk</v>
      </c>
      <c r="B5858" s="4" t="str">
        <f>IFERROR(__xludf.DUMMYFUNCTION("""COMPUTED_VALUE"""),"Pk")</f>
        <v>Pk</v>
      </c>
      <c r="C5858" s="4" t="str">
        <f>IFERROR(__xludf.DUMMYFUNCTION("""COMPUTED_VALUE"""),"Tm")</f>
        <v>Tm</v>
      </c>
      <c r="D5858" s="4" t="str">
        <f>IFERROR(__xludf.DUMMYFUNCTION("""COMPUTED_VALUE"""),"Player")</f>
        <v>Player</v>
      </c>
      <c r="E5858" s="4" t="str">
        <f>IFERROR(__xludf.DUMMYFUNCTION("""COMPUTED_VALUE"""),"College")</f>
        <v>College</v>
      </c>
      <c r="F5858" s="4" t="str">
        <f>IFERROR(__xludf.DUMMYFUNCTION("""COMPUTED_VALUE"""),"Yrs")</f>
        <v>Yrs</v>
      </c>
      <c r="G5858" s="4" t="str">
        <f>IFERROR(__xludf.DUMMYFUNCTION("""COMPUTED_VALUE"""),"G")</f>
        <v>G</v>
      </c>
      <c r="H5858" s="4" t="str">
        <f>IFERROR(__xludf.DUMMYFUNCTION("""COMPUTED_VALUE"""),"MP")</f>
        <v>MP</v>
      </c>
      <c r="I5858" s="4" t="str">
        <f>IFERROR(__xludf.DUMMYFUNCTION("""COMPUTED_VALUE"""),"PTS")</f>
        <v>PTS</v>
      </c>
      <c r="J5858" s="4" t="str">
        <f>IFERROR(__xludf.DUMMYFUNCTION("""COMPUTED_VALUE"""),"TRB")</f>
        <v>TRB</v>
      </c>
      <c r="K5858" s="4" t="str">
        <f>IFERROR(__xludf.DUMMYFUNCTION("""COMPUTED_VALUE"""),"AST")</f>
        <v>AST</v>
      </c>
      <c r="L5858" s="4" t="str">
        <f>IFERROR(__xludf.DUMMYFUNCTION("""COMPUTED_VALUE"""),"FG%")</f>
        <v>FG%</v>
      </c>
      <c r="M5858" s="4" t="str">
        <f>IFERROR(__xludf.DUMMYFUNCTION("""COMPUTED_VALUE"""),"3P%")</f>
        <v>3P%</v>
      </c>
      <c r="N5858" s="4" t="str">
        <f>IFERROR(__xludf.DUMMYFUNCTION("""COMPUTED_VALUE"""),"FT%")</f>
        <v>FT%</v>
      </c>
      <c r="O5858" s="4" t="str">
        <f>IFERROR(__xludf.DUMMYFUNCTION("""COMPUTED_VALUE"""),"MP")</f>
        <v>MP</v>
      </c>
      <c r="P5858" s="4" t="str">
        <f>IFERROR(__xludf.DUMMYFUNCTION("""COMPUTED_VALUE"""),"PTS")</f>
        <v>PTS</v>
      </c>
      <c r="Q5858" s="4" t="str">
        <f>IFERROR(__xludf.DUMMYFUNCTION("""COMPUTED_VALUE"""),"TRB")</f>
        <v>TRB</v>
      </c>
      <c r="R5858" s="4" t="str">
        <f>IFERROR(__xludf.DUMMYFUNCTION("""COMPUTED_VALUE"""),"AST")</f>
        <v>AST</v>
      </c>
      <c r="S5858" s="4" t="str">
        <f>IFERROR(__xludf.DUMMYFUNCTION("""COMPUTED_VALUE"""),"WS")</f>
        <v>WS</v>
      </c>
      <c r="T5858" s="4" t="str">
        <f>IFERROR(__xludf.DUMMYFUNCTION("""COMPUTED_VALUE"""),"WS/48")</f>
        <v>WS/48</v>
      </c>
      <c r="U5858" s="4" t="str">
        <f>IFERROR(__xludf.DUMMYFUNCTION("""COMPUTED_VALUE"""),"BPM")</f>
        <v>BPM</v>
      </c>
      <c r="V5858" s="4" t="str">
        <f>IFERROR(__xludf.DUMMYFUNCTION("""COMPUTED_VALUE"""),"VORP")</f>
        <v>VORP</v>
      </c>
    </row>
    <row r="5859">
      <c r="A5859" s="4">
        <f>IFERROR(__xludf.DUMMYFUNCTION("""COMPUTED_VALUE"""),130.0)</f>
        <v>130</v>
      </c>
      <c r="B5859" s="4">
        <f>IFERROR(__xludf.DUMMYFUNCTION("""COMPUTED_VALUE"""),130.0)</f>
        <v>130</v>
      </c>
      <c r="C5859" s="4" t="str">
        <f>IFERROR(__xludf.DUMMYFUNCTION("""COMPUTED_VALUE"""),"POR")</f>
        <v>POR</v>
      </c>
      <c r="D5859" s="4" t="str">
        <f>IFERROR(__xludf.DUMMYFUNCTION("""COMPUTED_VALUE"""),"Scott McCandlish")</f>
        <v>Scott McCandlish</v>
      </c>
      <c r="E5859" s="4" t="str">
        <f>IFERROR(__xludf.DUMMYFUNCTION("""COMPUTED_VALUE"""),"Virginia")</f>
        <v>Virginia</v>
      </c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</row>
    <row r="5860">
      <c r="A5860" s="4">
        <f>IFERROR(__xludf.DUMMYFUNCTION("""COMPUTED_VALUE"""),131.0)</f>
        <v>131</v>
      </c>
      <c r="B5860" s="4">
        <f>IFERROR(__xludf.DUMMYFUNCTION("""COMPUTED_VALUE"""),131.0)</f>
        <v>131</v>
      </c>
      <c r="C5860" s="4" t="str">
        <f>IFERROR(__xludf.DUMMYFUNCTION("""COMPUTED_VALUE"""),"BUF")</f>
        <v>BUF</v>
      </c>
      <c r="D5860" s="4" t="str">
        <f>IFERROR(__xludf.DUMMYFUNCTION("""COMPUTED_VALUE"""),"John Collins")</f>
        <v>John Collins</v>
      </c>
      <c r="E5860" s="4" t="str">
        <f>IFERROR(__xludf.DUMMYFUNCTION("""COMPUTED_VALUE"""),"State University of New York at Brockport")</f>
        <v>State University of New York at Brockport</v>
      </c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</row>
    <row r="5861">
      <c r="A5861" s="4">
        <f>IFERROR(__xludf.DUMMYFUNCTION("""COMPUTED_VALUE"""),132.0)</f>
        <v>132</v>
      </c>
      <c r="B5861" s="4">
        <f>IFERROR(__xludf.DUMMYFUNCTION("""COMPUTED_VALUE"""),132.0)</f>
        <v>132</v>
      </c>
      <c r="C5861" s="4" t="str">
        <f>IFERROR(__xludf.DUMMYFUNCTION("""COMPUTED_VALUE"""),"CLE")</f>
        <v>CLE</v>
      </c>
      <c r="D5861" s="4" t="str">
        <f>IFERROR(__xludf.DUMMYFUNCTION("""COMPUTED_VALUE"""),"Greg Starrick")</f>
        <v>Greg Starrick</v>
      </c>
      <c r="E5861" s="4" t="str">
        <f>IFERROR(__xludf.DUMMYFUNCTION("""COMPUTED_VALUE"""),"Southern Illinois")</f>
        <v>Southern Illinois</v>
      </c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</row>
    <row r="5862">
      <c r="A5862" s="4">
        <f>IFERROR(__xludf.DUMMYFUNCTION("""COMPUTED_VALUE"""),133.0)</f>
        <v>133</v>
      </c>
      <c r="B5862" s="4">
        <f>IFERROR(__xludf.DUMMYFUNCTION("""COMPUTED_VALUE"""),133.0)</f>
        <v>133</v>
      </c>
      <c r="C5862" s="4" t="str">
        <f>IFERROR(__xludf.DUMMYFUNCTION("""COMPUTED_VALUE"""),"DET")</f>
        <v>DET</v>
      </c>
      <c r="D5862" s="4" t="str">
        <f>IFERROR(__xludf.DUMMYFUNCTION("""COMPUTED_VALUE"""),"Jesse Mangham")</f>
        <v>Jesse Mangham</v>
      </c>
      <c r="E5862" s="4" t="str">
        <f>IFERROR(__xludf.DUMMYFUNCTION("""COMPUTED_VALUE"""),"Ferris State University")</f>
        <v>Ferris State University</v>
      </c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</row>
    <row r="5863">
      <c r="A5863" s="4">
        <f>IFERROR(__xludf.DUMMYFUNCTION("""COMPUTED_VALUE"""),134.0)</f>
        <v>134</v>
      </c>
      <c r="B5863" s="4">
        <f>IFERROR(__xludf.DUMMYFUNCTION("""COMPUTED_VALUE"""),134.0)</f>
        <v>134</v>
      </c>
      <c r="C5863" s="4" t="str">
        <f>IFERROR(__xludf.DUMMYFUNCTION("""COMPUTED_VALUE"""),"KCO")</f>
        <v>KCO</v>
      </c>
      <c r="D5863" s="4" t="str">
        <f>IFERROR(__xludf.DUMMYFUNCTION("""COMPUTED_VALUE"""),"Steve McMahon")</f>
        <v>Steve McMahon</v>
      </c>
      <c r="E5863" s="4" t="str">
        <f>IFERROR(__xludf.DUMMYFUNCTION("""COMPUTED_VALUE"""),"Merrimack College")</f>
        <v>Merrimack College</v>
      </c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</row>
    <row r="5864">
      <c r="A5864" s="4">
        <f>IFERROR(__xludf.DUMMYFUNCTION("""COMPUTED_VALUE"""),135.0)</f>
        <v>135</v>
      </c>
      <c r="B5864" s="4">
        <f>IFERROR(__xludf.DUMMYFUNCTION("""COMPUTED_VALUE"""),135.0)</f>
        <v>135</v>
      </c>
      <c r="C5864" s="4" t="str">
        <f>IFERROR(__xludf.DUMMYFUNCTION("""COMPUTED_VALUE"""),"PHI")</f>
        <v>PHI</v>
      </c>
      <c r="D5864" s="4" t="str">
        <f>IFERROR(__xludf.DUMMYFUNCTION("""COMPUTED_VALUE"""),"Rod Murray")</f>
        <v>Rod Murray</v>
      </c>
      <c r="E5864" s="4" t="str">
        <f>IFERROR(__xludf.DUMMYFUNCTION("""COMPUTED_VALUE"""),"UCLA")</f>
        <v>UCLA</v>
      </c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</row>
    <row r="5865">
      <c r="A5865" s="4">
        <f>IFERROR(__xludf.DUMMYFUNCTION("""COMPUTED_VALUE"""),136.0)</f>
        <v>136</v>
      </c>
      <c r="B5865" s="4">
        <f>IFERROR(__xludf.DUMMYFUNCTION("""COMPUTED_VALUE"""),136.0)</f>
        <v>136</v>
      </c>
      <c r="C5865" s="4" t="str">
        <f>IFERROR(__xludf.DUMMYFUNCTION("""COMPUTED_VALUE"""),"ATL")</f>
        <v>ATL</v>
      </c>
      <c r="D5865" s="4" t="str">
        <f>IFERROR(__xludf.DUMMYFUNCTION("""COMPUTED_VALUE"""),"Larry Strozier")</f>
        <v>Larry Strozier</v>
      </c>
      <c r="E5865" s="4" t="str">
        <f>IFERROR(__xludf.DUMMYFUNCTION("""COMPUTED_VALUE"""),"Morehouse College")</f>
        <v>Morehouse College</v>
      </c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</row>
    <row r="5866">
      <c r="A5866" s="4">
        <f>IFERROR(__xludf.DUMMYFUNCTION("""COMPUTED_VALUE"""),137.0)</f>
        <v>137</v>
      </c>
      <c r="B5866" s="4">
        <f>IFERROR(__xludf.DUMMYFUNCTION("""COMPUTED_VALUE"""),137.0)</f>
        <v>137</v>
      </c>
      <c r="C5866" s="4" t="str">
        <f>IFERROR(__xludf.DUMMYFUNCTION("""COMPUTED_VALUE"""),"BAL")</f>
        <v>BAL</v>
      </c>
      <c r="D5866" s="4" t="str">
        <f>IFERROR(__xludf.DUMMYFUNCTION("""COMPUTED_VALUE"""),"Ruppert Breedlove")</f>
        <v>Ruppert Breedlove</v>
      </c>
      <c r="E5866" s="4" t="str">
        <f>IFERROR(__xludf.DUMMYFUNCTION("""COMPUTED_VALUE"""),"Oglethorpe University")</f>
        <v>Oglethorpe University</v>
      </c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</row>
    <row r="5867">
      <c r="A5867" s="4">
        <f>IFERROR(__xludf.DUMMYFUNCTION("""COMPUTED_VALUE"""),138.0)</f>
        <v>138</v>
      </c>
      <c r="B5867" s="4">
        <f>IFERROR(__xludf.DUMMYFUNCTION("""COMPUTED_VALUE"""),138.0)</f>
        <v>138</v>
      </c>
      <c r="C5867" s="4" t="str">
        <f>IFERROR(__xludf.DUMMYFUNCTION("""COMPUTED_VALUE"""),"SEA")</f>
        <v>SEA</v>
      </c>
      <c r="D5867" s="4" t="str">
        <f>IFERROR(__xludf.DUMMYFUNCTION("""COMPUTED_VALUE"""),"Dwight Holiday")</f>
        <v>Dwight Holiday</v>
      </c>
      <c r="E5867" s="4" t="str">
        <f>IFERROR(__xludf.DUMMYFUNCTION("""COMPUTED_VALUE"""),"Hawaii")</f>
        <v>Hawaii</v>
      </c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</row>
    <row r="5868">
      <c r="A5868" s="4">
        <f>IFERROR(__xludf.DUMMYFUNCTION("""COMPUTED_VALUE"""),139.0)</f>
        <v>139</v>
      </c>
      <c r="B5868" s="4">
        <f>IFERROR(__xludf.DUMMYFUNCTION("""COMPUTED_VALUE"""),139.0)</f>
        <v>139</v>
      </c>
      <c r="C5868" s="4" t="str">
        <f>IFERROR(__xludf.DUMMYFUNCTION("""COMPUTED_VALUE"""),"NYK")</f>
        <v>NYK</v>
      </c>
      <c r="D5868" s="4" t="str">
        <f>IFERROR(__xludf.DUMMYFUNCTION("""COMPUTED_VALUE"""),"Tom Sullivan")</f>
        <v>Tom Sullivan</v>
      </c>
      <c r="E5868" s="4" t="str">
        <f>IFERROR(__xludf.DUMMYFUNCTION("""COMPUTED_VALUE"""),"Fordham")</f>
        <v>Fordham</v>
      </c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</row>
    <row r="5869">
      <c r="A5869" s="4">
        <f>IFERROR(__xludf.DUMMYFUNCTION("""COMPUTED_VALUE"""),140.0)</f>
        <v>140</v>
      </c>
      <c r="B5869" s="4">
        <f>IFERROR(__xludf.DUMMYFUNCTION("""COMPUTED_VALUE"""),140.0)</f>
        <v>140</v>
      </c>
      <c r="C5869" s="4" t="str">
        <f>IFERROR(__xludf.DUMMYFUNCTION("""COMPUTED_VALUE"""),"PHO")</f>
        <v>PHO</v>
      </c>
      <c r="D5869" s="4" t="str">
        <f>IFERROR(__xludf.DUMMYFUNCTION("""COMPUTED_VALUE"""),"Bill Kennedy")</f>
        <v>Bill Kennedy</v>
      </c>
      <c r="E5869" s="4" t="str">
        <f>IFERROR(__xludf.DUMMYFUNCTION("""COMPUTED_VALUE"""),"Arizona")</f>
        <v>Arizona</v>
      </c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</row>
    <row r="5870">
      <c r="A5870" s="4">
        <f>IFERROR(__xludf.DUMMYFUNCTION("""COMPUTED_VALUE"""),141.0)</f>
        <v>141</v>
      </c>
      <c r="B5870" s="4">
        <f>IFERROR(__xludf.DUMMYFUNCTION("""COMPUTED_VALUE"""),141.0)</f>
        <v>141</v>
      </c>
      <c r="C5870" s="4" t="str">
        <f>IFERROR(__xludf.DUMMYFUNCTION("""COMPUTED_VALUE"""),"GSW")</f>
        <v>GSW</v>
      </c>
      <c r="D5870" s="4" t="str">
        <f>IFERROR(__xludf.DUMMYFUNCTION("""COMPUTED_VALUE"""),"Bill Duwe")</f>
        <v>Bill Duwe</v>
      </c>
      <c r="E5870" s="4" t="str">
        <f>IFERROR(__xludf.DUMMYFUNCTION("""COMPUTED_VALUE"""),"California")</f>
        <v>California</v>
      </c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</row>
    <row r="5871">
      <c r="A5871" s="4">
        <f>IFERROR(__xludf.DUMMYFUNCTION("""COMPUTED_VALUE"""),142.0)</f>
        <v>142</v>
      </c>
      <c r="B5871" s="4">
        <f>IFERROR(__xludf.DUMMYFUNCTION("""COMPUTED_VALUE"""),142.0)</f>
        <v>142</v>
      </c>
      <c r="C5871" s="4" t="str">
        <f>IFERROR(__xludf.DUMMYFUNCTION("""COMPUTED_VALUE"""),"CHI")</f>
        <v>CHI</v>
      </c>
      <c r="D5871" s="4" t="str">
        <f>IFERROR(__xludf.DUMMYFUNCTION("""COMPUTED_VALUE"""),"Ralph Houston")</f>
        <v>Ralph Houston</v>
      </c>
      <c r="E5871" s="4" t="str">
        <f>IFERROR(__xludf.DUMMYFUNCTION("""COMPUTED_VALUE"""),"West Texas A&amp;M University")</f>
        <v>West Texas A&amp;M University</v>
      </c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</row>
    <row r="5872">
      <c r="A5872" s="4">
        <f>IFERROR(__xludf.DUMMYFUNCTION("""COMPUTED_VALUE"""),143.0)</f>
        <v>143</v>
      </c>
      <c r="B5872" s="4">
        <f>IFERROR(__xludf.DUMMYFUNCTION("""COMPUTED_VALUE"""),143.0)</f>
        <v>143</v>
      </c>
      <c r="C5872" s="4" t="str">
        <f>IFERROR(__xludf.DUMMYFUNCTION("""COMPUTED_VALUE"""),"MIL")</f>
        <v>MIL</v>
      </c>
      <c r="D5872" s="4" t="str">
        <f>IFERROR(__xludf.DUMMYFUNCTION("""COMPUTED_VALUE"""),"Jim Regenold")</f>
        <v>Jim Regenold</v>
      </c>
      <c r="E5872" s="4" t="str">
        <f>IFERROR(__xludf.DUMMYFUNCTION("""COMPUTED_VALUE"""),"Ball State University")</f>
        <v>Ball State University</v>
      </c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</row>
    <row r="5873">
      <c r="A5873" s="4"/>
      <c r="B5873" s="4"/>
      <c r="C5873" s="4"/>
      <c r="D5873" s="4" t="str">
        <f>IFERROR(__xludf.DUMMYFUNCTION("""COMPUTED_VALUE"""),"Round 10")</f>
        <v>Round 10</v>
      </c>
      <c r="E5873" s="4"/>
      <c r="F5873" s="4"/>
      <c r="G5873" s="4" t="str">
        <f>IFERROR(__xludf.DUMMYFUNCTION("""COMPUTED_VALUE"""),"Totals")</f>
        <v>Totals</v>
      </c>
      <c r="H5873" s="4"/>
      <c r="I5873" s="4"/>
      <c r="J5873" s="4"/>
      <c r="K5873" s="4"/>
      <c r="L5873" s="4" t="str">
        <f>IFERROR(__xludf.DUMMYFUNCTION("""COMPUTED_VALUE"""),"Shooting")</f>
        <v>Shooting</v>
      </c>
      <c r="M5873" s="4"/>
      <c r="N5873" s="4"/>
      <c r="O5873" s="4" t="str">
        <f>IFERROR(__xludf.DUMMYFUNCTION("""COMPUTED_VALUE"""),"Per Game")</f>
        <v>Per Game</v>
      </c>
      <c r="P5873" s="4"/>
      <c r="Q5873" s="4"/>
      <c r="R5873" s="4"/>
      <c r="S5873" s="4" t="str">
        <f>IFERROR(__xludf.DUMMYFUNCTION("""COMPUTED_VALUE"""),"Advanced")</f>
        <v>Advanced</v>
      </c>
      <c r="T5873" s="4"/>
      <c r="U5873" s="4"/>
      <c r="V5873" s="4"/>
    </row>
    <row r="5874">
      <c r="A5874" s="4" t="str">
        <f>IFERROR(__xludf.DUMMYFUNCTION("""COMPUTED_VALUE"""),"Rk")</f>
        <v>Rk</v>
      </c>
      <c r="B5874" s="4" t="str">
        <f>IFERROR(__xludf.DUMMYFUNCTION("""COMPUTED_VALUE"""),"Pk")</f>
        <v>Pk</v>
      </c>
      <c r="C5874" s="4" t="str">
        <f>IFERROR(__xludf.DUMMYFUNCTION("""COMPUTED_VALUE"""),"Tm")</f>
        <v>Tm</v>
      </c>
      <c r="D5874" s="4" t="str">
        <f>IFERROR(__xludf.DUMMYFUNCTION("""COMPUTED_VALUE"""),"Player")</f>
        <v>Player</v>
      </c>
      <c r="E5874" s="4" t="str">
        <f>IFERROR(__xludf.DUMMYFUNCTION("""COMPUTED_VALUE"""),"College")</f>
        <v>College</v>
      </c>
      <c r="F5874" s="4" t="str">
        <f>IFERROR(__xludf.DUMMYFUNCTION("""COMPUTED_VALUE"""),"Yrs")</f>
        <v>Yrs</v>
      </c>
      <c r="G5874" s="4" t="str">
        <f>IFERROR(__xludf.DUMMYFUNCTION("""COMPUTED_VALUE"""),"G")</f>
        <v>G</v>
      </c>
      <c r="H5874" s="4" t="str">
        <f>IFERROR(__xludf.DUMMYFUNCTION("""COMPUTED_VALUE"""),"MP")</f>
        <v>MP</v>
      </c>
      <c r="I5874" s="4" t="str">
        <f>IFERROR(__xludf.DUMMYFUNCTION("""COMPUTED_VALUE"""),"PTS")</f>
        <v>PTS</v>
      </c>
      <c r="J5874" s="4" t="str">
        <f>IFERROR(__xludf.DUMMYFUNCTION("""COMPUTED_VALUE"""),"TRB")</f>
        <v>TRB</v>
      </c>
      <c r="K5874" s="4" t="str">
        <f>IFERROR(__xludf.DUMMYFUNCTION("""COMPUTED_VALUE"""),"AST")</f>
        <v>AST</v>
      </c>
      <c r="L5874" s="4" t="str">
        <f>IFERROR(__xludf.DUMMYFUNCTION("""COMPUTED_VALUE"""),"FG%")</f>
        <v>FG%</v>
      </c>
      <c r="M5874" s="4" t="str">
        <f>IFERROR(__xludf.DUMMYFUNCTION("""COMPUTED_VALUE"""),"3P%")</f>
        <v>3P%</v>
      </c>
      <c r="N5874" s="4" t="str">
        <f>IFERROR(__xludf.DUMMYFUNCTION("""COMPUTED_VALUE"""),"FT%")</f>
        <v>FT%</v>
      </c>
      <c r="O5874" s="4" t="str">
        <f>IFERROR(__xludf.DUMMYFUNCTION("""COMPUTED_VALUE"""),"MP")</f>
        <v>MP</v>
      </c>
      <c r="P5874" s="4" t="str">
        <f>IFERROR(__xludf.DUMMYFUNCTION("""COMPUTED_VALUE"""),"PTS")</f>
        <v>PTS</v>
      </c>
      <c r="Q5874" s="4" t="str">
        <f>IFERROR(__xludf.DUMMYFUNCTION("""COMPUTED_VALUE"""),"TRB")</f>
        <v>TRB</v>
      </c>
      <c r="R5874" s="4" t="str">
        <f>IFERROR(__xludf.DUMMYFUNCTION("""COMPUTED_VALUE"""),"AST")</f>
        <v>AST</v>
      </c>
      <c r="S5874" s="4" t="str">
        <f>IFERROR(__xludf.DUMMYFUNCTION("""COMPUTED_VALUE"""),"WS")</f>
        <v>WS</v>
      </c>
      <c r="T5874" s="4" t="str">
        <f>IFERROR(__xludf.DUMMYFUNCTION("""COMPUTED_VALUE"""),"WS/48")</f>
        <v>WS/48</v>
      </c>
      <c r="U5874" s="4" t="str">
        <f>IFERROR(__xludf.DUMMYFUNCTION("""COMPUTED_VALUE"""),"BPM")</f>
        <v>BPM</v>
      </c>
      <c r="V5874" s="4" t="str">
        <f>IFERROR(__xludf.DUMMYFUNCTION("""COMPUTED_VALUE"""),"VORP")</f>
        <v>VORP</v>
      </c>
    </row>
    <row r="5875">
      <c r="A5875" s="4">
        <f>IFERROR(__xludf.DUMMYFUNCTION("""COMPUTED_VALUE"""),144.0)</f>
        <v>144</v>
      </c>
      <c r="B5875" s="4">
        <f>IFERROR(__xludf.DUMMYFUNCTION("""COMPUTED_VALUE"""),144.0)</f>
        <v>144</v>
      </c>
      <c r="C5875" s="4" t="str">
        <f>IFERROR(__xludf.DUMMYFUNCTION("""COMPUTED_VALUE"""),"POR")</f>
        <v>POR</v>
      </c>
      <c r="D5875" s="4" t="str">
        <f>IFERROR(__xludf.DUMMYFUNCTION("""COMPUTED_VALUE"""),"Kresimir Cosic")</f>
        <v>Kresimir Cosic</v>
      </c>
      <c r="E5875" s="4" t="str">
        <f>IFERROR(__xludf.DUMMYFUNCTION("""COMPUTED_VALUE"""),"BYU")</f>
        <v>BYU</v>
      </c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</row>
    <row r="5876">
      <c r="A5876" s="4">
        <f>IFERROR(__xludf.DUMMYFUNCTION("""COMPUTED_VALUE"""),145.0)</f>
        <v>145</v>
      </c>
      <c r="B5876" s="4">
        <f>IFERROR(__xludf.DUMMYFUNCTION("""COMPUTED_VALUE"""),145.0)</f>
        <v>145</v>
      </c>
      <c r="C5876" s="4" t="str">
        <f>IFERROR(__xludf.DUMMYFUNCTION("""COMPUTED_VALUE"""),"CLE")</f>
        <v>CLE</v>
      </c>
      <c r="D5876" s="4" t="str">
        <f>IFERROR(__xludf.DUMMYFUNCTION("""COMPUTED_VALUE"""),"Kent Martens")</f>
        <v>Kent Martens</v>
      </c>
      <c r="E5876" s="4" t="str">
        <f>IFERROR(__xludf.DUMMYFUNCTION("""COMPUTED_VALUE"""),"Abilene Christian University")</f>
        <v>Abilene Christian University</v>
      </c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</row>
    <row r="5877">
      <c r="A5877" s="4">
        <f>IFERROR(__xludf.DUMMYFUNCTION("""COMPUTED_VALUE"""),146.0)</f>
        <v>146</v>
      </c>
      <c r="B5877" s="4">
        <f>IFERROR(__xludf.DUMMYFUNCTION("""COMPUTED_VALUE"""),146.0)</f>
        <v>146</v>
      </c>
      <c r="C5877" s="4" t="str">
        <f>IFERROR(__xludf.DUMMYFUNCTION("""COMPUTED_VALUE"""),"DET")</f>
        <v>DET</v>
      </c>
      <c r="D5877" s="4" t="str">
        <f>IFERROR(__xludf.DUMMYFUNCTION("""COMPUTED_VALUE"""),"Kent Hollenbeck")</f>
        <v>Kent Hollenbeck</v>
      </c>
      <c r="E5877" s="4" t="str">
        <f>IFERROR(__xludf.DUMMYFUNCTION("""COMPUTED_VALUE"""),"Kentucky")</f>
        <v>Kentucky</v>
      </c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</row>
    <row r="5878">
      <c r="A5878" s="4">
        <f>IFERROR(__xludf.DUMMYFUNCTION("""COMPUTED_VALUE"""),147.0)</f>
        <v>147</v>
      </c>
      <c r="B5878" s="4">
        <f>IFERROR(__xludf.DUMMYFUNCTION("""COMPUTED_VALUE"""),147.0)</f>
        <v>147</v>
      </c>
      <c r="C5878" s="4" t="str">
        <f>IFERROR(__xludf.DUMMYFUNCTION("""COMPUTED_VALUE"""),"PHI")</f>
        <v>PHI</v>
      </c>
      <c r="D5878" s="4" t="str">
        <f>IFERROR(__xludf.DUMMYFUNCTION("""COMPUTED_VALUE"""),"Gary Watson")</f>
        <v>Gary Watson</v>
      </c>
      <c r="E5878" s="4" t="str">
        <f>IFERROR(__xludf.DUMMYFUNCTION("""COMPUTED_VALUE"""),"Wisconsin")</f>
        <v>Wisconsin</v>
      </c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</row>
    <row r="5879">
      <c r="A5879" s="4">
        <f>IFERROR(__xludf.DUMMYFUNCTION("""COMPUTED_VALUE"""),148.0)</f>
        <v>148</v>
      </c>
      <c r="B5879" s="4">
        <f>IFERROR(__xludf.DUMMYFUNCTION("""COMPUTED_VALUE"""),148.0)</f>
        <v>148</v>
      </c>
      <c r="C5879" s="4" t="str">
        <f>IFERROR(__xludf.DUMMYFUNCTION("""COMPUTED_VALUE"""),"KCO")</f>
        <v>KCO</v>
      </c>
      <c r="D5879" s="4" t="str">
        <f>IFERROR(__xludf.DUMMYFUNCTION("""COMPUTED_VALUE"""),"David Hall")</f>
        <v>David Hall</v>
      </c>
      <c r="E5879" s="4" t="str">
        <f>IFERROR(__xludf.DUMMYFUNCTION("""COMPUTED_VALUE"""),"Kansas State")</f>
        <v>Kansas State</v>
      </c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</row>
    <row r="5880">
      <c r="A5880" s="4">
        <f>IFERROR(__xludf.DUMMYFUNCTION("""COMPUTED_VALUE"""),149.0)</f>
        <v>149</v>
      </c>
      <c r="B5880" s="4">
        <f>IFERROR(__xludf.DUMMYFUNCTION("""COMPUTED_VALUE"""),149.0)</f>
        <v>149</v>
      </c>
      <c r="C5880" s="4" t="str">
        <f>IFERROR(__xludf.DUMMYFUNCTION("""COMPUTED_VALUE"""),"ATL")</f>
        <v>ATL</v>
      </c>
      <c r="D5880" s="4" t="str">
        <f>IFERROR(__xludf.DUMMYFUNCTION("""COMPUTED_VALUE"""),"Jim Clesson")</f>
        <v>Jim Clesson</v>
      </c>
      <c r="E5880" s="4" t="str">
        <f>IFERROR(__xludf.DUMMYFUNCTION("""COMPUTED_VALUE"""),"Tulsa")</f>
        <v>Tulsa</v>
      </c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</row>
    <row r="5881">
      <c r="A5881" s="4">
        <f>IFERROR(__xludf.DUMMYFUNCTION("""COMPUTED_VALUE"""),150.0)</f>
        <v>150</v>
      </c>
      <c r="B5881" s="4">
        <f>IFERROR(__xludf.DUMMYFUNCTION("""COMPUTED_VALUE"""),150.0)</f>
        <v>150</v>
      </c>
      <c r="C5881" s="4" t="str">
        <f>IFERROR(__xludf.DUMMYFUNCTION("""COMPUTED_VALUE"""),"BAL")</f>
        <v>BAL</v>
      </c>
      <c r="D5881" s="4" t="str">
        <f>IFERROR(__xludf.DUMMYFUNCTION("""COMPUTED_VALUE"""),"Wilbert Loftin")</f>
        <v>Wilbert Loftin</v>
      </c>
      <c r="E5881" s="4" t="str">
        <f>IFERROR(__xludf.DUMMYFUNCTION("""COMPUTED_VALUE"""),"Louisiana")</f>
        <v>Louisiana</v>
      </c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</row>
    <row r="5882">
      <c r="A5882" s="4">
        <f>IFERROR(__xludf.DUMMYFUNCTION("""COMPUTED_VALUE"""),151.0)</f>
        <v>151</v>
      </c>
      <c r="B5882" s="4">
        <f>IFERROR(__xludf.DUMMYFUNCTION("""COMPUTED_VALUE"""),151.0)</f>
        <v>151</v>
      </c>
      <c r="C5882" s="4" t="str">
        <f>IFERROR(__xludf.DUMMYFUNCTION("""COMPUTED_VALUE"""),"SEA")</f>
        <v>SEA</v>
      </c>
      <c r="D5882" s="4" t="str">
        <f>IFERROR(__xludf.DUMMYFUNCTION("""COMPUTED_VALUE"""),"Dan Steward")</f>
        <v>Dan Steward</v>
      </c>
      <c r="E5882" s="4" t="str">
        <f>IFERROR(__xludf.DUMMYFUNCTION("""COMPUTED_VALUE"""),"Washington State")</f>
        <v>Washington State</v>
      </c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</row>
    <row r="5883">
      <c r="A5883" s="4">
        <f>IFERROR(__xludf.DUMMYFUNCTION("""COMPUTED_VALUE"""),152.0)</f>
        <v>152</v>
      </c>
      <c r="B5883" s="4">
        <f>IFERROR(__xludf.DUMMYFUNCTION("""COMPUTED_VALUE"""),152.0)</f>
        <v>152</v>
      </c>
      <c r="C5883" s="4" t="str">
        <f>IFERROR(__xludf.DUMMYFUNCTION("""COMPUTED_VALUE"""),"NYK")</f>
        <v>NYK</v>
      </c>
      <c r="D5883" s="4" t="str">
        <f>IFERROR(__xludf.DUMMYFUNCTION("""COMPUTED_VALUE"""),"Richie Garner")</f>
        <v>Richie Garner</v>
      </c>
      <c r="E5883" s="4" t="str">
        <f>IFERROR(__xludf.DUMMYFUNCTION("""COMPUTED_VALUE"""),"Manhattan University")</f>
        <v>Manhattan University</v>
      </c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</row>
    <row r="5884">
      <c r="A5884" s="4">
        <f>IFERROR(__xludf.DUMMYFUNCTION("""COMPUTED_VALUE"""),153.0)</f>
        <v>153</v>
      </c>
      <c r="B5884" s="4">
        <f>IFERROR(__xludf.DUMMYFUNCTION("""COMPUTED_VALUE"""),153.0)</f>
        <v>153</v>
      </c>
      <c r="C5884" s="4" t="str">
        <f>IFERROR(__xludf.DUMMYFUNCTION("""COMPUTED_VALUE"""),"PHO")</f>
        <v>PHO</v>
      </c>
      <c r="D5884" s="4" t="str">
        <f>IFERROR(__xludf.DUMMYFUNCTION("""COMPUTED_VALUE"""),"Al Vilcheck")</f>
        <v>Al Vilcheck</v>
      </c>
      <c r="E5884" s="4" t="str">
        <f>IFERROR(__xludf.DUMMYFUNCTION("""COMPUTED_VALUE"""),"Louisville")</f>
        <v>Louisville</v>
      </c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</row>
    <row r="5885">
      <c r="A5885" s="4">
        <f>IFERROR(__xludf.DUMMYFUNCTION("""COMPUTED_VALUE"""),154.0)</f>
        <v>154</v>
      </c>
      <c r="B5885" s="4">
        <f>IFERROR(__xludf.DUMMYFUNCTION("""COMPUTED_VALUE"""),154.0)</f>
        <v>154</v>
      </c>
      <c r="C5885" s="4" t="str">
        <f>IFERROR(__xludf.DUMMYFUNCTION("""COMPUTED_VALUE"""),"BOS")</f>
        <v>BOS</v>
      </c>
      <c r="D5885" s="4" t="str">
        <f>IFERROR(__xludf.DUMMYFUNCTION("""COMPUTED_VALUE"""),"Marty Hunt")</f>
        <v>Marty Hunt</v>
      </c>
      <c r="E5885" s="4" t="str">
        <f>IFERROR(__xludf.DUMMYFUNCTION("""COMPUTED_VALUE"""),"Kenyon College")</f>
        <v>Kenyon College</v>
      </c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</row>
    <row r="5886">
      <c r="A5886" s="4">
        <f>IFERROR(__xludf.DUMMYFUNCTION("""COMPUTED_VALUE"""),155.0)</f>
        <v>155</v>
      </c>
      <c r="B5886" s="4">
        <f>IFERROR(__xludf.DUMMYFUNCTION("""COMPUTED_VALUE"""),155.0)</f>
        <v>155</v>
      </c>
      <c r="C5886" s="4" t="str">
        <f>IFERROR(__xludf.DUMMYFUNCTION("""COMPUTED_VALUE"""),"CHI")</f>
        <v>CHI</v>
      </c>
      <c r="D5886" s="4" t="str">
        <f>IFERROR(__xludf.DUMMYFUNCTION("""COMPUTED_VALUE"""),"Chuck Taylor")</f>
        <v>Chuck Taylor</v>
      </c>
      <c r="E5886" s="4" t="str">
        <f>IFERROR(__xludf.DUMMYFUNCTION("""COMPUTED_VALUE"""),"West Liberty State College")</f>
        <v>West Liberty State College</v>
      </c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</row>
    <row r="5887">
      <c r="A5887" s="4">
        <f>IFERROR(__xludf.DUMMYFUNCTION("""COMPUTED_VALUE"""),156.0)</f>
        <v>156</v>
      </c>
      <c r="B5887" s="4">
        <f>IFERROR(__xludf.DUMMYFUNCTION("""COMPUTED_VALUE"""),156.0)</f>
        <v>156</v>
      </c>
      <c r="C5887" s="4" t="str">
        <f>IFERROR(__xludf.DUMMYFUNCTION("""COMPUTED_VALUE"""),"MIL")</f>
        <v>MIL</v>
      </c>
      <c r="D5887" s="4" t="str">
        <f>IFERROR(__xludf.DUMMYFUNCTION("""COMPUTED_VALUE"""),"Jolly Spight")</f>
        <v>Jolly Spight</v>
      </c>
      <c r="E5887" s="4" t="str">
        <f>IFERROR(__xludf.DUMMYFUNCTION("""COMPUTED_VALUE"""),"Santa Clara")</f>
        <v>Santa Clara</v>
      </c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</row>
    <row r="5888">
      <c r="A5888" s="4"/>
      <c r="B5888" s="4"/>
      <c r="C5888" s="4"/>
      <c r="D5888" s="4" t="str">
        <f>IFERROR(__xludf.DUMMYFUNCTION("""COMPUTED_VALUE"""),"Round 11")</f>
        <v>Round 11</v>
      </c>
      <c r="E5888" s="4"/>
      <c r="F5888" s="4"/>
      <c r="G5888" s="4" t="str">
        <f>IFERROR(__xludf.DUMMYFUNCTION("""COMPUTED_VALUE"""),"Totals")</f>
        <v>Totals</v>
      </c>
      <c r="H5888" s="4"/>
      <c r="I5888" s="4"/>
      <c r="J5888" s="4"/>
      <c r="K5888" s="4"/>
      <c r="L5888" s="4" t="str">
        <f>IFERROR(__xludf.DUMMYFUNCTION("""COMPUTED_VALUE"""),"Shooting")</f>
        <v>Shooting</v>
      </c>
      <c r="M5888" s="4"/>
      <c r="N5888" s="4"/>
      <c r="O5888" s="4" t="str">
        <f>IFERROR(__xludf.DUMMYFUNCTION("""COMPUTED_VALUE"""),"Per Game")</f>
        <v>Per Game</v>
      </c>
      <c r="P5888" s="4"/>
      <c r="Q5888" s="4"/>
      <c r="R5888" s="4"/>
      <c r="S5888" s="4" t="str">
        <f>IFERROR(__xludf.DUMMYFUNCTION("""COMPUTED_VALUE"""),"Advanced")</f>
        <v>Advanced</v>
      </c>
      <c r="T5888" s="4"/>
      <c r="U5888" s="4"/>
      <c r="V5888" s="4"/>
    </row>
    <row r="5889">
      <c r="A5889" s="4" t="str">
        <f>IFERROR(__xludf.DUMMYFUNCTION("""COMPUTED_VALUE"""),"Rk")</f>
        <v>Rk</v>
      </c>
      <c r="B5889" s="4" t="str">
        <f>IFERROR(__xludf.DUMMYFUNCTION("""COMPUTED_VALUE"""),"Pk")</f>
        <v>Pk</v>
      </c>
      <c r="C5889" s="4" t="str">
        <f>IFERROR(__xludf.DUMMYFUNCTION("""COMPUTED_VALUE"""),"Tm")</f>
        <v>Tm</v>
      </c>
      <c r="D5889" s="4" t="str">
        <f>IFERROR(__xludf.DUMMYFUNCTION("""COMPUTED_VALUE"""),"Player")</f>
        <v>Player</v>
      </c>
      <c r="E5889" s="4" t="str">
        <f>IFERROR(__xludf.DUMMYFUNCTION("""COMPUTED_VALUE"""),"College")</f>
        <v>College</v>
      </c>
      <c r="F5889" s="4" t="str">
        <f>IFERROR(__xludf.DUMMYFUNCTION("""COMPUTED_VALUE"""),"Yrs")</f>
        <v>Yrs</v>
      </c>
      <c r="G5889" s="4" t="str">
        <f>IFERROR(__xludf.DUMMYFUNCTION("""COMPUTED_VALUE"""),"G")</f>
        <v>G</v>
      </c>
      <c r="H5889" s="4" t="str">
        <f>IFERROR(__xludf.DUMMYFUNCTION("""COMPUTED_VALUE"""),"MP")</f>
        <v>MP</v>
      </c>
      <c r="I5889" s="4" t="str">
        <f>IFERROR(__xludf.DUMMYFUNCTION("""COMPUTED_VALUE"""),"PTS")</f>
        <v>PTS</v>
      </c>
      <c r="J5889" s="4" t="str">
        <f>IFERROR(__xludf.DUMMYFUNCTION("""COMPUTED_VALUE"""),"TRB")</f>
        <v>TRB</v>
      </c>
      <c r="K5889" s="4" t="str">
        <f>IFERROR(__xludf.DUMMYFUNCTION("""COMPUTED_VALUE"""),"AST")</f>
        <v>AST</v>
      </c>
      <c r="L5889" s="4" t="str">
        <f>IFERROR(__xludf.DUMMYFUNCTION("""COMPUTED_VALUE"""),"FG%")</f>
        <v>FG%</v>
      </c>
      <c r="M5889" s="4" t="str">
        <f>IFERROR(__xludf.DUMMYFUNCTION("""COMPUTED_VALUE"""),"3P%")</f>
        <v>3P%</v>
      </c>
      <c r="N5889" s="4" t="str">
        <f>IFERROR(__xludf.DUMMYFUNCTION("""COMPUTED_VALUE"""),"FT%")</f>
        <v>FT%</v>
      </c>
      <c r="O5889" s="4" t="str">
        <f>IFERROR(__xludf.DUMMYFUNCTION("""COMPUTED_VALUE"""),"MP")</f>
        <v>MP</v>
      </c>
      <c r="P5889" s="4" t="str">
        <f>IFERROR(__xludf.DUMMYFUNCTION("""COMPUTED_VALUE"""),"PTS")</f>
        <v>PTS</v>
      </c>
      <c r="Q5889" s="4" t="str">
        <f>IFERROR(__xludf.DUMMYFUNCTION("""COMPUTED_VALUE"""),"TRB")</f>
        <v>TRB</v>
      </c>
      <c r="R5889" s="4" t="str">
        <f>IFERROR(__xludf.DUMMYFUNCTION("""COMPUTED_VALUE"""),"AST")</f>
        <v>AST</v>
      </c>
      <c r="S5889" s="4" t="str">
        <f>IFERROR(__xludf.DUMMYFUNCTION("""COMPUTED_VALUE"""),"WS")</f>
        <v>WS</v>
      </c>
      <c r="T5889" s="4" t="str">
        <f>IFERROR(__xludf.DUMMYFUNCTION("""COMPUTED_VALUE"""),"WS/48")</f>
        <v>WS/48</v>
      </c>
      <c r="U5889" s="4" t="str">
        <f>IFERROR(__xludf.DUMMYFUNCTION("""COMPUTED_VALUE"""),"BPM")</f>
        <v>BPM</v>
      </c>
      <c r="V5889" s="4" t="str">
        <f>IFERROR(__xludf.DUMMYFUNCTION("""COMPUTED_VALUE"""),"VORP")</f>
        <v>VORP</v>
      </c>
    </row>
    <row r="5890">
      <c r="A5890" s="4">
        <f>IFERROR(__xludf.DUMMYFUNCTION("""COMPUTED_VALUE"""),157.0)</f>
        <v>157</v>
      </c>
      <c r="B5890" s="4">
        <f>IFERROR(__xludf.DUMMYFUNCTION("""COMPUTED_VALUE"""),157.0)</f>
        <v>157</v>
      </c>
      <c r="C5890" s="4" t="str">
        <f>IFERROR(__xludf.DUMMYFUNCTION("""COMPUTED_VALUE"""),"POR")</f>
        <v>POR</v>
      </c>
      <c r="D5890" s="4" t="str">
        <f>IFERROR(__xludf.DUMMYFUNCTION("""COMPUTED_VALUE"""),"Jimmy Wilkins")</f>
        <v>Jimmy Wilkins</v>
      </c>
      <c r="E5890" s="4" t="str">
        <f>IFERROR(__xludf.DUMMYFUNCTION("""COMPUTED_VALUE"""),"San Diego State")</f>
        <v>San Diego State</v>
      </c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</row>
    <row r="5891">
      <c r="A5891" s="4">
        <f>IFERROR(__xludf.DUMMYFUNCTION("""COMPUTED_VALUE"""),158.0)</f>
        <v>158</v>
      </c>
      <c r="B5891" s="4">
        <f>IFERROR(__xludf.DUMMYFUNCTION("""COMPUTED_VALUE"""),158.0)</f>
        <v>158</v>
      </c>
      <c r="C5891" s="4" t="str">
        <f>IFERROR(__xludf.DUMMYFUNCTION("""COMPUTED_VALUE"""),"BUF")</f>
        <v>BUF</v>
      </c>
      <c r="D5891" s="4" t="str">
        <f>IFERROR(__xludf.DUMMYFUNCTION("""COMPUTED_VALUE"""),"Jim Prokell")</f>
        <v>Jim Prokell</v>
      </c>
      <c r="E5891" s="4" t="str">
        <f>IFERROR(__xludf.DUMMYFUNCTION("""COMPUTED_VALUE"""),"Edinboro University of Pennsylvania")</f>
        <v>Edinboro University of Pennsylvania</v>
      </c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</row>
    <row r="5892">
      <c r="A5892" s="4">
        <f>IFERROR(__xludf.DUMMYFUNCTION("""COMPUTED_VALUE"""),159.0)</f>
        <v>159</v>
      </c>
      <c r="B5892" s="4">
        <f>IFERROR(__xludf.DUMMYFUNCTION("""COMPUTED_VALUE"""),159.0)</f>
        <v>159</v>
      </c>
      <c r="C5892" s="4" t="str">
        <f>IFERROR(__xludf.DUMMYFUNCTION("""COMPUTED_VALUE"""),"KCO")</f>
        <v>KCO</v>
      </c>
      <c r="D5892" s="4" t="str">
        <f>IFERROR(__xludf.DUMMYFUNCTION("""COMPUTED_VALUE"""),"Floyd Mathew")</f>
        <v>Floyd Mathew</v>
      </c>
      <c r="E5892" s="4" t="str">
        <f>IFERROR(__xludf.DUMMYFUNCTION("""COMPUTED_VALUE"""),"Northern Arizona University")</f>
        <v>Northern Arizona University</v>
      </c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</row>
    <row r="5893">
      <c r="A5893" s="4">
        <f>IFERROR(__xludf.DUMMYFUNCTION("""COMPUTED_VALUE"""),160.0)</f>
        <v>160</v>
      </c>
      <c r="B5893" s="4">
        <f>IFERROR(__xludf.DUMMYFUNCTION("""COMPUTED_VALUE"""),160.0)</f>
        <v>160</v>
      </c>
      <c r="C5893" s="4" t="str">
        <f>IFERROR(__xludf.DUMMYFUNCTION("""COMPUTED_VALUE"""),"ATL")</f>
        <v>ATL</v>
      </c>
      <c r="D5893" s="4" t="str">
        <f>IFERROR(__xludf.DUMMYFUNCTION("""COMPUTED_VALUE"""),"Charles Allen")</f>
        <v>Charles Allen</v>
      </c>
      <c r="E5893" s="4" t="str">
        <f>IFERROR(__xludf.DUMMYFUNCTION("""COMPUTED_VALUE"""),"Texas Southern")</f>
        <v>Texas Southern</v>
      </c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</row>
    <row r="5894">
      <c r="A5894" s="4">
        <f>IFERROR(__xludf.DUMMYFUNCTION("""COMPUTED_VALUE"""),161.0)</f>
        <v>161</v>
      </c>
      <c r="B5894" s="4">
        <f>IFERROR(__xludf.DUMMYFUNCTION("""COMPUTED_VALUE"""),161.0)</f>
        <v>161</v>
      </c>
      <c r="C5894" s="4" t="str">
        <f>IFERROR(__xludf.DUMMYFUNCTION("""COMPUTED_VALUE"""),"BAL")</f>
        <v>BAL</v>
      </c>
      <c r="D5894" s="4" t="str">
        <f>IFERROR(__xludf.DUMMYFUNCTION("""COMPUTED_VALUE"""),"Arvin Watkins")</f>
        <v>Arvin Watkins</v>
      </c>
      <c r="E5894" s="4" t="str">
        <f>IFERROR(__xludf.DUMMYFUNCTION("""COMPUTED_VALUE"""),"Jackson State University")</f>
        <v>Jackson State University</v>
      </c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</row>
    <row r="5895">
      <c r="A5895" s="4">
        <f>IFERROR(__xludf.DUMMYFUNCTION("""COMPUTED_VALUE"""),162.0)</f>
        <v>162</v>
      </c>
      <c r="B5895" s="4">
        <f>IFERROR(__xludf.DUMMYFUNCTION("""COMPUTED_VALUE"""),162.0)</f>
        <v>162</v>
      </c>
      <c r="C5895" s="4" t="str">
        <f>IFERROR(__xludf.DUMMYFUNCTION("""COMPUTED_VALUE"""),"SEA")</f>
        <v>SEA</v>
      </c>
      <c r="D5895" s="4" t="str">
        <f>IFERROR(__xludf.DUMMYFUNCTION("""COMPUTED_VALUE"""),"Steve Turner")</f>
        <v>Steve Turner</v>
      </c>
      <c r="E5895" s="4" t="str">
        <f>IFERROR(__xludf.DUMMYFUNCTION("""COMPUTED_VALUE"""),"Vanderbilt")</f>
        <v>Vanderbilt</v>
      </c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</row>
    <row r="5896">
      <c r="A5896" s="4">
        <f>IFERROR(__xludf.DUMMYFUNCTION("""COMPUTED_VALUE"""),163.0)</f>
        <v>163</v>
      </c>
      <c r="B5896" s="4">
        <f>IFERROR(__xludf.DUMMYFUNCTION("""COMPUTED_VALUE"""),163.0)</f>
        <v>163</v>
      </c>
      <c r="C5896" s="4" t="str">
        <f>IFERROR(__xludf.DUMMYFUNCTION("""COMPUTED_VALUE"""),"NYK")</f>
        <v>NYK</v>
      </c>
      <c r="D5896" s="4" t="str">
        <f>IFERROR(__xludf.DUMMYFUNCTION("""COMPUTED_VALUE"""),"Chic Downing")</f>
        <v>Chic Downing</v>
      </c>
      <c r="E5896" s="4" t="str">
        <f>IFERROR(__xludf.DUMMYFUNCTION("""COMPUTED_VALUE"""),"Benedictine College")</f>
        <v>Benedictine College</v>
      </c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</row>
    <row r="5897">
      <c r="A5897" s="4">
        <f>IFERROR(__xludf.DUMMYFUNCTION("""COMPUTED_VALUE"""),164.0)</f>
        <v>164</v>
      </c>
      <c r="B5897" s="4">
        <f>IFERROR(__xludf.DUMMYFUNCTION("""COMPUTED_VALUE"""),164.0)</f>
        <v>164</v>
      </c>
      <c r="C5897" s="4" t="str">
        <f>IFERROR(__xludf.DUMMYFUNCTION("""COMPUTED_VALUE"""),"PHO")</f>
        <v>PHO</v>
      </c>
      <c r="D5897" s="4" t="str">
        <f>IFERROR(__xludf.DUMMYFUNCTION("""COMPUTED_VALUE"""),"John Belcher")</f>
        <v>John Belcher</v>
      </c>
      <c r="E5897" s="4" t="str">
        <f>IFERROR(__xludf.DUMMYFUNCTION("""COMPUTED_VALUE"""),"Arkansas State University")</f>
        <v>Arkansas State University</v>
      </c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</row>
    <row r="5898">
      <c r="A5898" s="4">
        <f>IFERROR(__xludf.DUMMYFUNCTION("""COMPUTED_VALUE"""),165.0)</f>
        <v>165</v>
      </c>
      <c r="B5898" s="4">
        <f>IFERROR(__xludf.DUMMYFUNCTION("""COMPUTED_VALUE"""),165.0)</f>
        <v>165</v>
      </c>
      <c r="C5898" s="4" t="str">
        <f>IFERROR(__xludf.DUMMYFUNCTION("""COMPUTED_VALUE"""),"BOS")</f>
        <v>BOS</v>
      </c>
      <c r="D5898" s="4" t="str">
        <f>IFERROR(__xludf.DUMMYFUNCTION("""COMPUTED_VALUE"""),"Mark Minor")</f>
        <v>Mark Minor</v>
      </c>
      <c r="E5898" s="4" t="str">
        <f>IFERROR(__xludf.DUMMYFUNCTION("""COMPUTED_VALUE"""),"Ohio State")</f>
        <v>Ohio State</v>
      </c>
      <c r="F5898" s="4">
        <f>IFERROR(__xludf.DUMMYFUNCTION("""COMPUTED_VALUE"""),1.0)</f>
        <v>1</v>
      </c>
      <c r="G5898" s="4">
        <f>IFERROR(__xludf.DUMMYFUNCTION("""COMPUTED_VALUE"""),4.0)</f>
        <v>4</v>
      </c>
      <c r="H5898" s="4">
        <f>IFERROR(__xludf.DUMMYFUNCTION("""COMPUTED_VALUE"""),20.0)</f>
        <v>20</v>
      </c>
      <c r="I5898" s="4">
        <f>IFERROR(__xludf.DUMMYFUNCTION("""COMPUTED_VALUE"""),5.0)</f>
        <v>5</v>
      </c>
      <c r="J5898" s="4">
        <f>IFERROR(__xludf.DUMMYFUNCTION("""COMPUTED_VALUE"""),4.0)</f>
        <v>4</v>
      </c>
      <c r="K5898" s="4">
        <f>IFERROR(__xludf.DUMMYFUNCTION("""COMPUTED_VALUE"""),2.0)</f>
        <v>2</v>
      </c>
      <c r="L5898" s="4">
        <f>IFERROR(__xludf.DUMMYFUNCTION("""COMPUTED_VALUE"""),0.25)</f>
        <v>0.25</v>
      </c>
      <c r="M5898" s="4"/>
      <c r="N5898" s="4">
        <f>IFERROR(__xludf.DUMMYFUNCTION("""COMPUTED_VALUE"""),0.75)</f>
        <v>0.75</v>
      </c>
      <c r="O5898" s="4">
        <f>IFERROR(__xludf.DUMMYFUNCTION("""COMPUTED_VALUE"""),5.0)</f>
        <v>5</v>
      </c>
      <c r="P5898" s="4">
        <f>IFERROR(__xludf.DUMMYFUNCTION("""COMPUTED_VALUE"""),1.3)</f>
        <v>1.3</v>
      </c>
      <c r="Q5898" s="4">
        <f>IFERROR(__xludf.DUMMYFUNCTION("""COMPUTED_VALUE"""),1.0)</f>
        <v>1</v>
      </c>
      <c r="R5898" s="4">
        <f>IFERROR(__xludf.DUMMYFUNCTION("""COMPUTED_VALUE"""),0.5)</f>
        <v>0.5</v>
      </c>
      <c r="S5898" s="4">
        <f>IFERROR(__xludf.DUMMYFUNCTION("""COMPUTED_VALUE"""),0.0)</f>
        <v>0</v>
      </c>
      <c r="T5898" s="4">
        <f>IFERROR(__xludf.DUMMYFUNCTION("""COMPUTED_VALUE"""),0.081)</f>
        <v>0.081</v>
      </c>
      <c r="U5898" s="4"/>
      <c r="V5898" s="4"/>
    </row>
    <row r="5899">
      <c r="A5899" s="4">
        <f>IFERROR(__xludf.DUMMYFUNCTION("""COMPUTED_VALUE"""),166.0)</f>
        <v>166</v>
      </c>
      <c r="B5899" s="4">
        <f>IFERROR(__xludf.DUMMYFUNCTION("""COMPUTED_VALUE"""),166.0)</f>
        <v>166</v>
      </c>
      <c r="C5899" s="4" t="str">
        <f>IFERROR(__xludf.DUMMYFUNCTION("""COMPUTED_VALUE"""),"CHI")</f>
        <v>CHI</v>
      </c>
      <c r="D5899" s="4" t="str">
        <f>IFERROR(__xludf.DUMMYFUNCTION("""COMPUTED_VALUE"""),"Jackie Young")</f>
        <v>Jackie Young</v>
      </c>
      <c r="E5899" s="4" t="str">
        <f>IFERROR(__xludf.DUMMYFUNCTION("""COMPUTED_VALUE"""),"Rocky Mountain College")</f>
        <v>Rocky Mountain College</v>
      </c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</row>
    <row r="5900">
      <c r="A5900" s="4"/>
      <c r="B5900" s="4"/>
      <c r="C5900" s="4"/>
      <c r="D5900" s="4" t="str">
        <f>IFERROR(__xludf.DUMMYFUNCTION("""COMPUTED_VALUE"""),"Round 12")</f>
        <v>Round 12</v>
      </c>
      <c r="E5900" s="4"/>
      <c r="F5900" s="4"/>
      <c r="G5900" s="4" t="str">
        <f>IFERROR(__xludf.DUMMYFUNCTION("""COMPUTED_VALUE"""),"Totals")</f>
        <v>Totals</v>
      </c>
      <c r="H5900" s="4"/>
      <c r="I5900" s="4"/>
      <c r="J5900" s="4"/>
      <c r="K5900" s="4"/>
      <c r="L5900" s="4" t="str">
        <f>IFERROR(__xludf.DUMMYFUNCTION("""COMPUTED_VALUE"""),"Shooting")</f>
        <v>Shooting</v>
      </c>
      <c r="M5900" s="4"/>
      <c r="N5900" s="4"/>
      <c r="O5900" s="4" t="str">
        <f>IFERROR(__xludf.DUMMYFUNCTION("""COMPUTED_VALUE"""),"Per Game")</f>
        <v>Per Game</v>
      </c>
      <c r="P5900" s="4"/>
      <c r="Q5900" s="4"/>
      <c r="R5900" s="4"/>
      <c r="S5900" s="4" t="str">
        <f>IFERROR(__xludf.DUMMYFUNCTION("""COMPUTED_VALUE"""),"Advanced")</f>
        <v>Advanced</v>
      </c>
      <c r="T5900" s="4"/>
      <c r="U5900" s="4"/>
      <c r="V5900" s="4"/>
    </row>
    <row r="5901">
      <c r="A5901" s="4" t="str">
        <f>IFERROR(__xludf.DUMMYFUNCTION("""COMPUTED_VALUE"""),"Rk")</f>
        <v>Rk</v>
      </c>
      <c r="B5901" s="4" t="str">
        <f>IFERROR(__xludf.DUMMYFUNCTION("""COMPUTED_VALUE"""),"Pk")</f>
        <v>Pk</v>
      </c>
      <c r="C5901" s="4" t="str">
        <f>IFERROR(__xludf.DUMMYFUNCTION("""COMPUTED_VALUE"""),"Tm")</f>
        <v>Tm</v>
      </c>
      <c r="D5901" s="4" t="str">
        <f>IFERROR(__xludf.DUMMYFUNCTION("""COMPUTED_VALUE"""),"Player")</f>
        <v>Player</v>
      </c>
      <c r="E5901" s="4" t="str">
        <f>IFERROR(__xludf.DUMMYFUNCTION("""COMPUTED_VALUE"""),"College")</f>
        <v>College</v>
      </c>
      <c r="F5901" s="4" t="str">
        <f>IFERROR(__xludf.DUMMYFUNCTION("""COMPUTED_VALUE"""),"Yrs")</f>
        <v>Yrs</v>
      </c>
      <c r="G5901" s="4" t="str">
        <f>IFERROR(__xludf.DUMMYFUNCTION("""COMPUTED_VALUE"""),"G")</f>
        <v>G</v>
      </c>
      <c r="H5901" s="4" t="str">
        <f>IFERROR(__xludf.DUMMYFUNCTION("""COMPUTED_VALUE"""),"MP")</f>
        <v>MP</v>
      </c>
      <c r="I5901" s="4" t="str">
        <f>IFERROR(__xludf.DUMMYFUNCTION("""COMPUTED_VALUE"""),"PTS")</f>
        <v>PTS</v>
      </c>
      <c r="J5901" s="4" t="str">
        <f>IFERROR(__xludf.DUMMYFUNCTION("""COMPUTED_VALUE"""),"TRB")</f>
        <v>TRB</v>
      </c>
      <c r="K5901" s="4" t="str">
        <f>IFERROR(__xludf.DUMMYFUNCTION("""COMPUTED_VALUE"""),"AST")</f>
        <v>AST</v>
      </c>
      <c r="L5901" s="4" t="str">
        <f>IFERROR(__xludf.DUMMYFUNCTION("""COMPUTED_VALUE"""),"FG%")</f>
        <v>FG%</v>
      </c>
      <c r="M5901" s="4" t="str">
        <f>IFERROR(__xludf.DUMMYFUNCTION("""COMPUTED_VALUE"""),"3P%")</f>
        <v>3P%</v>
      </c>
      <c r="N5901" s="4" t="str">
        <f>IFERROR(__xludf.DUMMYFUNCTION("""COMPUTED_VALUE"""),"FT%")</f>
        <v>FT%</v>
      </c>
      <c r="O5901" s="4" t="str">
        <f>IFERROR(__xludf.DUMMYFUNCTION("""COMPUTED_VALUE"""),"MP")</f>
        <v>MP</v>
      </c>
      <c r="P5901" s="4" t="str">
        <f>IFERROR(__xludf.DUMMYFUNCTION("""COMPUTED_VALUE"""),"PTS")</f>
        <v>PTS</v>
      </c>
      <c r="Q5901" s="4" t="str">
        <f>IFERROR(__xludf.DUMMYFUNCTION("""COMPUTED_VALUE"""),"TRB")</f>
        <v>TRB</v>
      </c>
      <c r="R5901" s="4" t="str">
        <f>IFERROR(__xludf.DUMMYFUNCTION("""COMPUTED_VALUE"""),"AST")</f>
        <v>AST</v>
      </c>
      <c r="S5901" s="4" t="str">
        <f>IFERROR(__xludf.DUMMYFUNCTION("""COMPUTED_VALUE"""),"WS")</f>
        <v>WS</v>
      </c>
      <c r="T5901" s="4" t="str">
        <f>IFERROR(__xludf.DUMMYFUNCTION("""COMPUTED_VALUE"""),"WS/48")</f>
        <v>WS/48</v>
      </c>
      <c r="U5901" s="4" t="str">
        <f>IFERROR(__xludf.DUMMYFUNCTION("""COMPUTED_VALUE"""),"BPM")</f>
        <v>BPM</v>
      </c>
      <c r="V5901" s="4" t="str">
        <f>IFERROR(__xludf.DUMMYFUNCTION("""COMPUTED_VALUE"""),"VORP")</f>
        <v>VORP</v>
      </c>
    </row>
    <row r="5902">
      <c r="A5902" s="4">
        <f>IFERROR(__xludf.DUMMYFUNCTION("""COMPUTED_VALUE"""),167.0)</f>
        <v>167</v>
      </c>
      <c r="B5902" s="4">
        <f>IFERROR(__xludf.DUMMYFUNCTION("""COMPUTED_VALUE"""),167.0)</f>
        <v>167</v>
      </c>
      <c r="C5902" s="4" t="str">
        <f>IFERROR(__xludf.DUMMYFUNCTION("""COMPUTED_VALUE"""),"BUF")</f>
        <v>BUF</v>
      </c>
      <c r="D5902" s="4" t="str">
        <f>IFERROR(__xludf.DUMMYFUNCTION("""COMPUTED_VALUE"""),"Frank DeWitt")</f>
        <v>Frank DeWitt</v>
      </c>
      <c r="E5902" s="4" t="str">
        <f>IFERROR(__xludf.DUMMYFUNCTION("""COMPUTED_VALUE"""),"Virginia")</f>
        <v>Virginia</v>
      </c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</row>
    <row r="5903">
      <c r="A5903" s="4">
        <f>IFERROR(__xludf.DUMMYFUNCTION("""COMPUTED_VALUE"""),168.0)</f>
        <v>168</v>
      </c>
      <c r="B5903" s="4">
        <f>IFERROR(__xludf.DUMMYFUNCTION("""COMPUTED_VALUE"""),168.0)</f>
        <v>168</v>
      </c>
      <c r="C5903" s="4" t="str">
        <f>IFERROR(__xludf.DUMMYFUNCTION("""COMPUTED_VALUE"""),"KCO")</f>
        <v>KCO</v>
      </c>
      <c r="D5903" s="4" t="str">
        <f>IFERROR(__xludf.DUMMYFUNCTION("""COMPUTED_VALUE"""),"Len Baltimore")</f>
        <v>Len Baltimore</v>
      </c>
      <c r="E5903" s="4" t="str">
        <f>IFERROR(__xludf.DUMMYFUNCTION("""COMPUTED_VALUE"""),"George Washington")</f>
        <v>George Washington</v>
      </c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</row>
    <row r="5904">
      <c r="A5904" s="4">
        <f>IFERROR(__xludf.DUMMYFUNCTION("""COMPUTED_VALUE"""),169.0)</f>
        <v>169</v>
      </c>
      <c r="B5904" s="4">
        <f>IFERROR(__xludf.DUMMYFUNCTION("""COMPUTED_VALUE"""),169.0)</f>
        <v>169</v>
      </c>
      <c r="C5904" s="4" t="str">
        <f>IFERROR(__xludf.DUMMYFUNCTION("""COMPUTED_VALUE"""),"ATL")</f>
        <v>ATL</v>
      </c>
      <c r="D5904" s="4" t="str">
        <f>IFERROR(__xludf.DUMMYFUNCTION("""COMPUTED_VALUE"""),"James Green")</f>
        <v>James Green</v>
      </c>
      <c r="E5904" s="4" t="str">
        <f>IFERROR(__xludf.DUMMYFUNCTION("""COMPUTED_VALUE"""),"Paine College")</f>
        <v>Paine College</v>
      </c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</row>
    <row r="5905">
      <c r="A5905" s="4">
        <f>IFERROR(__xludf.DUMMYFUNCTION("""COMPUTED_VALUE"""),170.0)</f>
        <v>170</v>
      </c>
      <c r="B5905" s="4">
        <f>IFERROR(__xludf.DUMMYFUNCTION("""COMPUTED_VALUE"""),170.0)</f>
        <v>170</v>
      </c>
      <c r="C5905" s="4" t="str">
        <f>IFERROR(__xludf.DUMMYFUNCTION("""COMPUTED_VALUE"""),"BAL")</f>
        <v>BAL</v>
      </c>
      <c r="D5905" s="4" t="str">
        <f>IFERROR(__xludf.DUMMYFUNCTION("""COMPUTED_VALUE"""),"Lloyd Adams")</f>
        <v>Lloyd Adams</v>
      </c>
      <c r="E5905" s="4" t="str">
        <f>IFERROR(__xludf.DUMMYFUNCTION("""COMPUTED_VALUE"""),"Rhode Island")</f>
        <v>Rhode Island</v>
      </c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</row>
    <row r="5906">
      <c r="A5906" s="4">
        <f>IFERROR(__xludf.DUMMYFUNCTION("""COMPUTED_VALUE"""),171.0)</f>
        <v>171</v>
      </c>
      <c r="B5906" s="4">
        <f>IFERROR(__xludf.DUMMYFUNCTION("""COMPUTED_VALUE"""),171.0)</f>
        <v>171</v>
      </c>
      <c r="C5906" s="4" t="str">
        <f>IFERROR(__xludf.DUMMYFUNCTION("""COMPUTED_VALUE"""),"SEA")</f>
        <v>SEA</v>
      </c>
      <c r="D5906" s="4" t="str">
        <f>IFERROR(__xludf.DUMMYFUNCTION("""COMPUTED_VALUE"""),"Greg Daust")</f>
        <v>Greg Daust</v>
      </c>
      <c r="E5906" s="4" t="str">
        <f>IFERROR(__xludf.DUMMYFUNCTION("""COMPUTED_VALUE"""),"Missouri-St. Louis")</f>
        <v>Missouri-St. Louis</v>
      </c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</row>
    <row r="5907">
      <c r="A5907" s="4">
        <f>IFERROR(__xludf.DUMMYFUNCTION("""COMPUTED_VALUE"""),172.0)</f>
        <v>172</v>
      </c>
      <c r="B5907" s="4">
        <f>IFERROR(__xludf.DUMMYFUNCTION("""COMPUTED_VALUE"""),172.0)</f>
        <v>172</v>
      </c>
      <c r="C5907" s="4" t="str">
        <f>IFERROR(__xludf.DUMMYFUNCTION("""COMPUTED_VALUE"""),"PHO")</f>
        <v>PHO</v>
      </c>
      <c r="D5907" s="4" t="str">
        <f>IFERROR(__xludf.DUMMYFUNCTION("""COMPUTED_VALUE"""),"Mark Soderberg")</f>
        <v>Mark Soderberg</v>
      </c>
      <c r="E5907" s="4" t="str">
        <f>IFERROR(__xludf.DUMMYFUNCTION("""COMPUTED_VALUE"""),"Utah")</f>
        <v>Utah</v>
      </c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</row>
    <row r="5908">
      <c r="A5908" s="4">
        <f>IFERROR(__xludf.DUMMYFUNCTION("""COMPUTED_VALUE"""),173.0)</f>
        <v>173</v>
      </c>
      <c r="B5908" s="4">
        <f>IFERROR(__xludf.DUMMYFUNCTION("""COMPUTED_VALUE"""),173.0)</f>
        <v>173</v>
      </c>
      <c r="C5908" s="4" t="str">
        <f>IFERROR(__xludf.DUMMYFUNCTION("""COMPUTED_VALUE"""),"BOS")</f>
        <v>BOS</v>
      </c>
      <c r="D5908" s="4" t="str">
        <f>IFERROR(__xludf.DUMMYFUNCTION("""COMPUTED_VALUE"""),"Phil Stephens")</f>
        <v>Phil Stephens</v>
      </c>
      <c r="E5908" s="4" t="str">
        <f>IFERROR(__xludf.DUMMYFUNCTION("""COMPUTED_VALUE"""),"South Carolina State")</f>
        <v>South Carolina State</v>
      </c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</row>
    <row r="5909">
      <c r="A5909" s="4">
        <f>IFERROR(__xludf.DUMMYFUNCTION("""COMPUTED_VALUE"""),174.0)</f>
        <v>174</v>
      </c>
      <c r="B5909" s="4">
        <f>IFERROR(__xludf.DUMMYFUNCTION("""COMPUTED_VALUE"""),174.0)</f>
        <v>174</v>
      </c>
      <c r="C5909" s="4" t="str">
        <f>IFERROR(__xludf.DUMMYFUNCTION("""COMPUTED_VALUE"""),"CHI")</f>
        <v>CHI</v>
      </c>
      <c r="D5909" s="4" t="str">
        <f>IFERROR(__xludf.DUMMYFUNCTION("""COMPUTED_VALUE"""),"Al Cotler")</f>
        <v>Al Cotler</v>
      </c>
      <c r="E5909" s="4" t="str">
        <f>IFERROR(__xludf.DUMMYFUNCTION("""COMPUTED_VALUE"""),"Penn")</f>
        <v>Penn</v>
      </c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</row>
    <row r="5910">
      <c r="A5910" s="4"/>
      <c r="B5910" s="4"/>
      <c r="C5910" s="4"/>
      <c r="D5910" s="4" t="str">
        <f>IFERROR(__xludf.DUMMYFUNCTION("""COMPUTED_VALUE"""),"Round 13")</f>
        <v>Round 13</v>
      </c>
      <c r="E5910" s="4"/>
      <c r="F5910" s="4"/>
      <c r="G5910" s="4" t="str">
        <f>IFERROR(__xludf.DUMMYFUNCTION("""COMPUTED_VALUE"""),"Totals")</f>
        <v>Totals</v>
      </c>
      <c r="H5910" s="4"/>
      <c r="I5910" s="4"/>
      <c r="J5910" s="4"/>
      <c r="K5910" s="4"/>
      <c r="L5910" s="4" t="str">
        <f>IFERROR(__xludf.DUMMYFUNCTION("""COMPUTED_VALUE"""),"Shooting")</f>
        <v>Shooting</v>
      </c>
      <c r="M5910" s="4"/>
      <c r="N5910" s="4"/>
      <c r="O5910" s="4" t="str">
        <f>IFERROR(__xludf.DUMMYFUNCTION("""COMPUTED_VALUE"""),"Per Game")</f>
        <v>Per Game</v>
      </c>
      <c r="P5910" s="4"/>
      <c r="Q5910" s="4"/>
      <c r="R5910" s="4"/>
      <c r="S5910" s="4" t="str">
        <f>IFERROR(__xludf.DUMMYFUNCTION("""COMPUTED_VALUE"""),"Advanced")</f>
        <v>Advanced</v>
      </c>
      <c r="T5910" s="4"/>
      <c r="U5910" s="4"/>
      <c r="V5910" s="4"/>
    </row>
    <row r="5911">
      <c r="A5911" s="4" t="str">
        <f>IFERROR(__xludf.DUMMYFUNCTION("""COMPUTED_VALUE"""),"Rk")</f>
        <v>Rk</v>
      </c>
      <c r="B5911" s="4" t="str">
        <f>IFERROR(__xludf.DUMMYFUNCTION("""COMPUTED_VALUE"""),"Pk")</f>
        <v>Pk</v>
      </c>
      <c r="C5911" s="4" t="str">
        <f>IFERROR(__xludf.DUMMYFUNCTION("""COMPUTED_VALUE"""),"Tm")</f>
        <v>Tm</v>
      </c>
      <c r="D5911" s="4" t="str">
        <f>IFERROR(__xludf.DUMMYFUNCTION("""COMPUTED_VALUE"""),"Player")</f>
        <v>Player</v>
      </c>
      <c r="E5911" s="4" t="str">
        <f>IFERROR(__xludf.DUMMYFUNCTION("""COMPUTED_VALUE"""),"College")</f>
        <v>College</v>
      </c>
      <c r="F5911" s="4" t="str">
        <f>IFERROR(__xludf.DUMMYFUNCTION("""COMPUTED_VALUE"""),"Yrs")</f>
        <v>Yrs</v>
      </c>
      <c r="G5911" s="4" t="str">
        <f>IFERROR(__xludf.DUMMYFUNCTION("""COMPUTED_VALUE"""),"G")</f>
        <v>G</v>
      </c>
      <c r="H5911" s="4" t="str">
        <f>IFERROR(__xludf.DUMMYFUNCTION("""COMPUTED_VALUE"""),"MP")</f>
        <v>MP</v>
      </c>
      <c r="I5911" s="4" t="str">
        <f>IFERROR(__xludf.DUMMYFUNCTION("""COMPUTED_VALUE"""),"PTS")</f>
        <v>PTS</v>
      </c>
      <c r="J5911" s="4" t="str">
        <f>IFERROR(__xludf.DUMMYFUNCTION("""COMPUTED_VALUE"""),"TRB")</f>
        <v>TRB</v>
      </c>
      <c r="K5911" s="4" t="str">
        <f>IFERROR(__xludf.DUMMYFUNCTION("""COMPUTED_VALUE"""),"AST")</f>
        <v>AST</v>
      </c>
      <c r="L5911" s="4" t="str">
        <f>IFERROR(__xludf.DUMMYFUNCTION("""COMPUTED_VALUE"""),"FG%")</f>
        <v>FG%</v>
      </c>
      <c r="M5911" s="4" t="str">
        <f>IFERROR(__xludf.DUMMYFUNCTION("""COMPUTED_VALUE"""),"3P%")</f>
        <v>3P%</v>
      </c>
      <c r="N5911" s="4" t="str">
        <f>IFERROR(__xludf.DUMMYFUNCTION("""COMPUTED_VALUE"""),"FT%")</f>
        <v>FT%</v>
      </c>
      <c r="O5911" s="4" t="str">
        <f>IFERROR(__xludf.DUMMYFUNCTION("""COMPUTED_VALUE"""),"MP")</f>
        <v>MP</v>
      </c>
      <c r="P5911" s="4" t="str">
        <f>IFERROR(__xludf.DUMMYFUNCTION("""COMPUTED_VALUE"""),"PTS")</f>
        <v>PTS</v>
      </c>
      <c r="Q5911" s="4" t="str">
        <f>IFERROR(__xludf.DUMMYFUNCTION("""COMPUTED_VALUE"""),"TRB")</f>
        <v>TRB</v>
      </c>
      <c r="R5911" s="4" t="str">
        <f>IFERROR(__xludf.DUMMYFUNCTION("""COMPUTED_VALUE"""),"AST")</f>
        <v>AST</v>
      </c>
      <c r="S5911" s="4" t="str">
        <f>IFERROR(__xludf.DUMMYFUNCTION("""COMPUTED_VALUE"""),"WS")</f>
        <v>WS</v>
      </c>
      <c r="T5911" s="4" t="str">
        <f>IFERROR(__xludf.DUMMYFUNCTION("""COMPUTED_VALUE"""),"WS/48")</f>
        <v>WS/48</v>
      </c>
      <c r="U5911" s="4" t="str">
        <f>IFERROR(__xludf.DUMMYFUNCTION("""COMPUTED_VALUE"""),"BPM")</f>
        <v>BPM</v>
      </c>
      <c r="V5911" s="4" t="str">
        <f>IFERROR(__xludf.DUMMYFUNCTION("""COMPUTED_VALUE"""),"VORP")</f>
        <v>VORP</v>
      </c>
    </row>
    <row r="5912">
      <c r="A5912" s="4">
        <f>IFERROR(__xludf.DUMMYFUNCTION("""COMPUTED_VALUE"""),175.0)</f>
        <v>175</v>
      </c>
      <c r="B5912" s="4">
        <f>IFERROR(__xludf.DUMMYFUNCTION("""COMPUTED_VALUE"""),175.0)</f>
        <v>175</v>
      </c>
      <c r="C5912" s="4" t="str">
        <f>IFERROR(__xludf.DUMMYFUNCTION("""COMPUTED_VALUE"""),"POR")</f>
        <v>POR</v>
      </c>
      <c r="D5912" s="4" t="str">
        <f>IFERROR(__xludf.DUMMYFUNCTION("""COMPUTED_VALUE"""),"Larry Morris")</f>
        <v>Larry Morris</v>
      </c>
      <c r="E5912" s="4" t="str">
        <f>IFERROR(__xludf.DUMMYFUNCTION("""COMPUTED_VALUE"""),"Tulsa")</f>
        <v>Tulsa</v>
      </c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</row>
    <row r="5913">
      <c r="A5913" s="4">
        <f>IFERROR(__xludf.DUMMYFUNCTION("""COMPUTED_VALUE"""),176.0)</f>
        <v>176</v>
      </c>
      <c r="B5913" s="4">
        <f>IFERROR(__xludf.DUMMYFUNCTION("""COMPUTED_VALUE"""),176.0)</f>
        <v>176</v>
      </c>
      <c r="C5913" s="4" t="str">
        <f>IFERROR(__xludf.DUMMYFUNCTION("""COMPUTED_VALUE"""),"BUF")</f>
        <v>BUF</v>
      </c>
      <c r="D5913" s="4" t="str">
        <f>IFERROR(__xludf.DUMMYFUNCTION("""COMPUTED_VALUE"""),"Kim Huband")</f>
        <v>Kim Huband</v>
      </c>
      <c r="E5913" s="4" t="str">
        <f>IFERROR(__xludf.DUMMYFUNCTION("""COMPUTED_VALUE"""),"UNC")</f>
        <v>UNC</v>
      </c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</row>
    <row r="5914">
      <c r="A5914" s="4">
        <f>IFERROR(__xludf.DUMMYFUNCTION("""COMPUTED_VALUE"""),177.0)</f>
        <v>177</v>
      </c>
      <c r="B5914" s="4">
        <f>IFERROR(__xludf.DUMMYFUNCTION("""COMPUTED_VALUE"""),177.0)</f>
        <v>177</v>
      </c>
      <c r="C5914" s="4" t="str">
        <f>IFERROR(__xludf.DUMMYFUNCTION("""COMPUTED_VALUE"""),"KCO")</f>
        <v>KCO</v>
      </c>
      <c r="D5914" s="4" t="str">
        <f>IFERROR(__xludf.DUMMYFUNCTION("""COMPUTED_VALUE"""),"Kent Scott")</f>
        <v>Kent Scott</v>
      </c>
      <c r="E5914" s="4" t="str">
        <f>IFERROR(__xludf.DUMMYFUNCTION("""COMPUTED_VALUE"""),"Pitt")</f>
        <v>Pitt</v>
      </c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</row>
    <row r="5915">
      <c r="A5915" s="4">
        <f>IFERROR(__xludf.DUMMYFUNCTION("""COMPUTED_VALUE"""),178.0)</f>
        <v>178</v>
      </c>
      <c r="B5915" s="4">
        <f>IFERROR(__xludf.DUMMYFUNCTION("""COMPUTED_VALUE"""),178.0)</f>
        <v>178</v>
      </c>
      <c r="C5915" s="4" t="str">
        <f>IFERROR(__xludf.DUMMYFUNCTION("""COMPUTED_VALUE"""),"BAL")</f>
        <v>BAL</v>
      </c>
      <c r="D5915" s="4" t="str">
        <f>IFERROR(__xludf.DUMMYFUNCTION("""COMPUTED_VALUE"""),"Mike Krawczyk")</f>
        <v>Mike Krawczyk</v>
      </c>
      <c r="E5915" s="4" t="str">
        <f>IFERROR(__xludf.DUMMYFUNCTION("""COMPUTED_VALUE"""),"Loyola (MD)")</f>
        <v>Loyola (MD)</v>
      </c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</row>
    <row r="5916">
      <c r="A5916" s="4">
        <f>IFERROR(__xludf.DUMMYFUNCTION("""COMPUTED_VALUE"""),179.0)</f>
        <v>179</v>
      </c>
      <c r="B5916" s="4">
        <f>IFERROR(__xludf.DUMMYFUNCTION("""COMPUTED_VALUE"""),179.0)</f>
        <v>179</v>
      </c>
      <c r="C5916" s="4" t="str">
        <f>IFERROR(__xludf.DUMMYFUNCTION("""COMPUTED_VALUE"""),"PHO")</f>
        <v>PHO</v>
      </c>
      <c r="D5916" s="4" t="str">
        <f>IFERROR(__xludf.DUMMYFUNCTION("""COMPUTED_VALUE"""),"Kelly Utley")</f>
        <v>Kelly Utley</v>
      </c>
      <c r="E5916" s="4" t="str">
        <f>IFERROR(__xludf.DUMMYFUNCTION("""COMPUTED_VALUE"""),"Shaw")</f>
        <v>Shaw</v>
      </c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</row>
    <row r="5917">
      <c r="A5917" s="4">
        <f>IFERROR(__xludf.DUMMYFUNCTION("""COMPUTED_VALUE"""),180.0)</f>
        <v>180</v>
      </c>
      <c r="B5917" s="4">
        <f>IFERROR(__xludf.DUMMYFUNCTION("""COMPUTED_VALUE"""),180.0)</f>
        <v>180</v>
      </c>
      <c r="C5917" s="4" t="str">
        <f>IFERROR(__xludf.DUMMYFUNCTION("""COMPUTED_VALUE"""),"CHI")</f>
        <v>CHI</v>
      </c>
      <c r="D5917" s="4" t="str">
        <f>IFERROR(__xludf.DUMMYFUNCTION("""COMPUTED_VALUE"""),"Mike Barr")</f>
        <v>Mike Barr</v>
      </c>
      <c r="E5917" s="4" t="str">
        <f>IFERROR(__xludf.DUMMYFUNCTION("""COMPUTED_VALUE"""),"Duquesne")</f>
        <v>Duquesne</v>
      </c>
      <c r="F5917" s="4">
        <f>IFERROR(__xludf.DUMMYFUNCTION("""COMPUTED_VALUE"""),1.0)</f>
        <v>1</v>
      </c>
      <c r="G5917" s="4">
        <f>IFERROR(__xludf.DUMMYFUNCTION("""COMPUTED_VALUE"""),73.0)</f>
        <v>73</v>
      </c>
      <c r="H5917" s="4">
        <f>IFERROR(__xludf.DUMMYFUNCTION("""COMPUTED_VALUE"""),1224.0)</f>
        <v>1224</v>
      </c>
      <c r="I5917" s="4">
        <f>IFERROR(__xludf.DUMMYFUNCTION("""COMPUTED_VALUE"""),285.0)</f>
        <v>285</v>
      </c>
      <c r="J5917" s="4">
        <f>IFERROR(__xludf.DUMMYFUNCTION("""COMPUTED_VALUE"""),130.0)</f>
        <v>130</v>
      </c>
      <c r="K5917" s="4">
        <f>IFERROR(__xludf.DUMMYFUNCTION("""COMPUTED_VALUE"""),175.0)</f>
        <v>175</v>
      </c>
      <c r="L5917" s="4">
        <f>IFERROR(__xludf.DUMMYFUNCTION("""COMPUTED_VALUE"""),0.437)</f>
        <v>0.437</v>
      </c>
      <c r="M5917" s="4"/>
      <c r="N5917" s="4">
        <f>IFERROR(__xludf.DUMMYFUNCTION("""COMPUTED_VALUE"""),0.719)</f>
        <v>0.719</v>
      </c>
      <c r="O5917" s="4">
        <f>IFERROR(__xludf.DUMMYFUNCTION("""COMPUTED_VALUE"""),16.8)</f>
        <v>16.8</v>
      </c>
      <c r="P5917" s="4">
        <f>IFERROR(__xludf.DUMMYFUNCTION("""COMPUTED_VALUE"""),3.9)</f>
        <v>3.9</v>
      </c>
      <c r="Q5917" s="4">
        <f>IFERROR(__xludf.DUMMYFUNCTION("""COMPUTED_VALUE"""),1.8)</f>
        <v>1.8</v>
      </c>
      <c r="R5917" s="4">
        <f>IFERROR(__xludf.DUMMYFUNCTION("""COMPUTED_VALUE"""),2.4)</f>
        <v>2.4</v>
      </c>
      <c r="S5917" s="4">
        <f>IFERROR(__xludf.DUMMYFUNCTION("""COMPUTED_VALUE"""),1.4)</f>
        <v>1.4</v>
      </c>
      <c r="T5917" s="4">
        <f>IFERROR(__xludf.DUMMYFUNCTION("""COMPUTED_VALUE"""),0.054)</f>
        <v>0.054</v>
      </c>
      <c r="U5917" s="4">
        <f>IFERROR(__xludf.DUMMYFUNCTION("""COMPUTED_VALUE"""),-0.7)</f>
        <v>-0.7</v>
      </c>
      <c r="V5917" s="4">
        <f>IFERROR(__xludf.DUMMYFUNCTION("""COMPUTED_VALUE"""),0.4)</f>
        <v>0.4</v>
      </c>
    </row>
    <row r="5918">
      <c r="A5918" s="4"/>
      <c r="B5918" s="4"/>
      <c r="C5918" s="4"/>
      <c r="D5918" s="4" t="str">
        <f>IFERROR(__xludf.DUMMYFUNCTION("""COMPUTED_VALUE"""),"Round 14")</f>
        <v>Round 14</v>
      </c>
      <c r="E5918" s="4"/>
      <c r="F5918" s="4"/>
      <c r="G5918" s="4" t="str">
        <f>IFERROR(__xludf.DUMMYFUNCTION("""COMPUTED_VALUE"""),"Totals")</f>
        <v>Totals</v>
      </c>
      <c r="H5918" s="4"/>
      <c r="I5918" s="4"/>
      <c r="J5918" s="4"/>
      <c r="K5918" s="4"/>
      <c r="L5918" s="4" t="str">
        <f>IFERROR(__xludf.DUMMYFUNCTION("""COMPUTED_VALUE"""),"Shooting")</f>
        <v>Shooting</v>
      </c>
      <c r="M5918" s="4"/>
      <c r="N5918" s="4"/>
      <c r="O5918" s="4" t="str">
        <f>IFERROR(__xludf.DUMMYFUNCTION("""COMPUTED_VALUE"""),"Per Game")</f>
        <v>Per Game</v>
      </c>
      <c r="P5918" s="4"/>
      <c r="Q5918" s="4"/>
      <c r="R5918" s="4"/>
      <c r="S5918" s="4" t="str">
        <f>IFERROR(__xludf.DUMMYFUNCTION("""COMPUTED_VALUE"""),"Advanced")</f>
        <v>Advanced</v>
      </c>
      <c r="T5918" s="4"/>
      <c r="U5918" s="4"/>
      <c r="V5918" s="4"/>
    </row>
    <row r="5919">
      <c r="A5919" s="4" t="str">
        <f>IFERROR(__xludf.DUMMYFUNCTION("""COMPUTED_VALUE"""),"Rk")</f>
        <v>Rk</v>
      </c>
      <c r="B5919" s="4" t="str">
        <f>IFERROR(__xludf.DUMMYFUNCTION("""COMPUTED_VALUE"""),"Pk")</f>
        <v>Pk</v>
      </c>
      <c r="C5919" s="4" t="str">
        <f>IFERROR(__xludf.DUMMYFUNCTION("""COMPUTED_VALUE"""),"Tm")</f>
        <v>Tm</v>
      </c>
      <c r="D5919" s="4" t="str">
        <f>IFERROR(__xludf.DUMMYFUNCTION("""COMPUTED_VALUE"""),"Player")</f>
        <v>Player</v>
      </c>
      <c r="E5919" s="4" t="str">
        <f>IFERROR(__xludf.DUMMYFUNCTION("""COMPUTED_VALUE"""),"College")</f>
        <v>College</v>
      </c>
      <c r="F5919" s="4" t="str">
        <f>IFERROR(__xludf.DUMMYFUNCTION("""COMPUTED_VALUE"""),"Yrs")</f>
        <v>Yrs</v>
      </c>
      <c r="G5919" s="4" t="str">
        <f>IFERROR(__xludf.DUMMYFUNCTION("""COMPUTED_VALUE"""),"G")</f>
        <v>G</v>
      </c>
      <c r="H5919" s="4" t="str">
        <f>IFERROR(__xludf.DUMMYFUNCTION("""COMPUTED_VALUE"""),"MP")</f>
        <v>MP</v>
      </c>
      <c r="I5919" s="4" t="str">
        <f>IFERROR(__xludf.DUMMYFUNCTION("""COMPUTED_VALUE"""),"PTS")</f>
        <v>PTS</v>
      </c>
      <c r="J5919" s="4" t="str">
        <f>IFERROR(__xludf.DUMMYFUNCTION("""COMPUTED_VALUE"""),"TRB")</f>
        <v>TRB</v>
      </c>
      <c r="K5919" s="4" t="str">
        <f>IFERROR(__xludf.DUMMYFUNCTION("""COMPUTED_VALUE"""),"AST")</f>
        <v>AST</v>
      </c>
      <c r="L5919" s="4" t="str">
        <f>IFERROR(__xludf.DUMMYFUNCTION("""COMPUTED_VALUE"""),"FG%")</f>
        <v>FG%</v>
      </c>
      <c r="M5919" s="4" t="str">
        <f>IFERROR(__xludf.DUMMYFUNCTION("""COMPUTED_VALUE"""),"3P%")</f>
        <v>3P%</v>
      </c>
      <c r="N5919" s="4" t="str">
        <f>IFERROR(__xludf.DUMMYFUNCTION("""COMPUTED_VALUE"""),"FT%")</f>
        <v>FT%</v>
      </c>
      <c r="O5919" s="4" t="str">
        <f>IFERROR(__xludf.DUMMYFUNCTION("""COMPUTED_VALUE"""),"MP")</f>
        <v>MP</v>
      </c>
      <c r="P5919" s="4" t="str">
        <f>IFERROR(__xludf.DUMMYFUNCTION("""COMPUTED_VALUE"""),"PTS")</f>
        <v>PTS</v>
      </c>
      <c r="Q5919" s="4" t="str">
        <f>IFERROR(__xludf.DUMMYFUNCTION("""COMPUTED_VALUE"""),"TRB")</f>
        <v>TRB</v>
      </c>
      <c r="R5919" s="4" t="str">
        <f>IFERROR(__xludf.DUMMYFUNCTION("""COMPUTED_VALUE"""),"AST")</f>
        <v>AST</v>
      </c>
      <c r="S5919" s="4" t="str">
        <f>IFERROR(__xludf.DUMMYFUNCTION("""COMPUTED_VALUE"""),"WS")</f>
        <v>WS</v>
      </c>
      <c r="T5919" s="4" t="str">
        <f>IFERROR(__xludf.DUMMYFUNCTION("""COMPUTED_VALUE"""),"WS/48")</f>
        <v>WS/48</v>
      </c>
      <c r="U5919" s="4" t="str">
        <f>IFERROR(__xludf.DUMMYFUNCTION("""COMPUTED_VALUE"""),"BPM")</f>
        <v>BPM</v>
      </c>
      <c r="V5919" s="4" t="str">
        <f>IFERROR(__xludf.DUMMYFUNCTION("""COMPUTED_VALUE"""),"VORP")</f>
        <v>VORP</v>
      </c>
    </row>
    <row r="5920">
      <c r="A5920" s="4">
        <f>IFERROR(__xludf.DUMMYFUNCTION("""COMPUTED_VALUE"""),181.0)</f>
        <v>181</v>
      </c>
      <c r="B5920" s="4">
        <f>IFERROR(__xludf.DUMMYFUNCTION("""COMPUTED_VALUE"""),181.0)</f>
        <v>181</v>
      </c>
      <c r="C5920" s="4" t="str">
        <f>IFERROR(__xludf.DUMMYFUNCTION("""COMPUTED_VALUE"""),"POR")</f>
        <v>POR</v>
      </c>
      <c r="D5920" s="4" t="str">
        <f>IFERROR(__xludf.DUMMYFUNCTION("""COMPUTED_VALUE"""),"Paul Kelley")</f>
        <v>Paul Kelley</v>
      </c>
      <c r="E5920" s="4" t="str">
        <f>IFERROR(__xludf.DUMMYFUNCTION("""COMPUTED_VALUE"""),"Shaw")</f>
        <v>Shaw</v>
      </c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</row>
    <row r="5921">
      <c r="A5921" s="4">
        <f>IFERROR(__xludf.DUMMYFUNCTION("""COMPUTED_VALUE"""),182.0)</f>
        <v>182</v>
      </c>
      <c r="B5921" s="4">
        <f>IFERROR(__xludf.DUMMYFUNCTION("""COMPUTED_VALUE"""),182.0)</f>
        <v>182</v>
      </c>
      <c r="C5921" s="4" t="str">
        <f>IFERROR(__xludf.DUMMYFUNCTION("""COMPUTED_VALUE"""),"BUF")</f>
        <v>BUF</v>
      </c>
      <c r="D5921" s="4" t="str">
        <f>IFERROR(__xludf.DUMMYFUNCTION("""COMPUTED_VALUE"""),"Craig Corson")</f>
        <v>Craig Corson</v>
      </c>
      <c r="E5921" s="4" t="str">
        <f>IFERROR(__xludf.DUMMYFUNCTION("""COMPUTED_VALUE"""),"UNC")</f>
        <v>UNC</v>
      </c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</row>
    <row r="5922">
      <c r="A5922" s="4">
        <f>IFERROR(__xludf.DUMMYFUNCTION("""COMPUTED_VALUE"""),183.0)</f>
        <v>183</v>
      </c>
      <c r="B5922" s="4">
        <f>IFERROR(__xludf.DUMMYFUNCTION("""COMPUTED_VALUE"""),183.0)</f>
        <v>183</v>
      </c>
      <c r="C5922" s="4" t="str">
        <f>IFERROR(__xludf.DUMMYFUNCTION("""COMPUTED_VALUE"""),"KCO")</f>
        <v>KCO</v>
      </c>
      <c r="D5922" s="4" t="str">
        <f>IFERROR(__xludf.DUMMYFUNCTION("""COMPUTED_VALUE"""),"Bob Allen")</f>
        <v>Bob Allen</v>
      </c>
      <c r="E5922" s="4" t="str">
        <f>IFERROR(__xludf.DUMMYFUNCTION("""COMPUTED_VALUE"""),"Missouri")</f>
        <v>Missouri</v>
      </c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</row>
    <row r="5923">
      <c r="A5923" s="4">
        <f>IFERROR(__xludf.DUMMYFUNCTION("""COMPUTED_VALUE"""),184.0)</f>
        <v>184</v>
      </c>
      <c r="B5923" s="4">
        <f>IFERROR(__xludf.DUMMYFUNCTION("""COMPUTED_VALUE"""),184.0)</f>
        <v>184</v>
      </c>
      <c r="C5923" s="4" t="str">
        <f>IFERROR(__xludf.DUMMYFUNCTION("""COMPUTED_VALUE"""),"BAL")</f>
        <v>BAL</v>
      </c>
      <c r="D5923" s="4" t="str">
        <f>IFERROR(__xludf.DUMMYFUNCTION("""COMPUTED_VALUE"""),"Aubrey Nash")</f>
        <v>Aubrey Nash</v>
      </c>
      <c r="E5923" s="4" t="str">
        <f>IFERROR(__xludf.DUMMYFUNCTION("""COMPUTED_VALUE"""),"Kansas")</f>
        <v>Kansas</v>
      </c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</row>
    <row r="5924">
      <c r="A5924" s="4">
        <f>IFERROR(__xludf.DUMMYFUNCTION("""COMPUTED_VALUE"""),185.0)</f>
        <v>185</v>
      </c>
      <c r="B5924" s="4">
        <f>IFERROR(__xludf.DUMMYFUNCTION("""COMPUTED_VALUE"""),185.0)</f>
        <v>185</v>
      </c>
      <c r="C5924" s="4" t="str">
        <f>IFERROR(__xludf.DUMMYFUNCTION("""COMPUTED_VALUE"""),"SEA")</f>
        <v>SEA</v>
      </c>
      <c r="D5924" s="4" t="str">
        <f>IFERROR(__xludf.DUMMYFUNCTION("""COMPUTED_VALUE"""),"Cleveland Hill")</f>
        <v>Cleveland Hill</v>
      </c>
      <c r="E5924" s="4" t="str">
        <f>IFERROR(__xludf.DUMMYFUNCTION("""COMPUTED_VALUE"""),"Nicholls State")</f>
        <v>Nicholls State</v>
      </c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</row>
    <row r="5925">
      <c r="A5925" s="4">
        <f>IFERROR(__xludf.DUMMYFUNCTION("""COMPUTED_VALUE"""),186.0)</f>
        <v>186</v>
      </c>
      <c r="B5925" s="4">
        <f>IFERROR(__xludf.DUMMYFUNCTION("""COMPUTED_VALUE"""),186.0)</f>
        <v>186</v>
      </c>
      <c r="C5925" s="4" t="str">
        <f>IFERROR(__xludf.DUMMYFUNCTION("""COMPUTED_VALUE"""),"PHO")</f>
        <v>PHO</v>
      </c>
      <c r="D5925" s="4" t="str">
        <f>IFERROR(__xludf.DUMMYFUNCTION("""COMPUTED_VALUE"""),"Ray Golson")</f>
        <v>Ray Golson</v>
      </c>
      <c r="E5925" s="4" t="str">
        <f>IFERROR(__xludf.DUMMYFUNCTION("""COMPUTED_VALUE"""),"West Texas A&amp;M University")</f>
        <v>West Texas A&amp;M University</v>
      </c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</row>
    <row r="5926">
      <c r="A5926" s="4">
        <f>IFERROR(__xludf.DUMMYFUNCTION("""COMPUTED_VALUE"""),187.0)</f>
        <v>187</v>
      </c>
      <c r="B5926" s="4">
        <f>IFERROR(__xludf.DUMMYFUNCTION("""COMPUTED_VALUE"""),187.0)</f>
        <v>187</v>
      </c>
      <c r="C5926" s="4" t="str">
        <f>IFERROR(__xludf.DUMMYFUNCTION("""COMPUTED_VALUE"""),"CHI")</f>
        <v>CHI</v>
      </c>
      <c r="D5926" s="4" t="str">
        <f>IFERROR(__xludf.DUMMYFUNCTION("""COMPUTED_VALUE"""),"Andrew Pettes")</f>
        <v>Andrew Pettes</v>
      </c>
      <c r="E5926" s="4" t="str">
        <f>IFERROR(__xludf.DUMMYFUNCTION("""COMPUTED_VALUE"""),"Oklahoma")</f>
        <v>Oklahoma</v>
      </c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</row>
    <row r="5927">
      <c r="A5927" s="4"/>
      <c r="B5927" s="4"/>
      <c r="C5927" s="4"/>
      <c r="D5927" s="4" t="str">
        <f>IFERROR(__xludf.DUMMYFUNCTION("""COMPUTED_VALUE"""),"Round 15")</f>
        <v>Round 15</v>
      </c>
      <c r="E5927" s="4"/>
      <c r="F5927" s="4"/>
      <c r="G5927" s="4" t="str">
        <f>IFERROR(__xludf.DUMMYFUNCTION("""COMPUTED_VALUE"""),"Totals")</f>
        <v>Totals</v>
      </c>
      <c r="H5927" s="4"/>
      <c r="I5927" s="4"/>
      <c r="J5927" s="4"/>
      <c r="K5927" s="4"/>
      <c r="L5927" s="4" t="str">
        <f>IFERROR(__xludf.DUMMYFUNCTION("""COMPUTED_VALUE"""),"Shooting")</f>
        <v>Shooting</v>
      </c>
      <c r="M5927" s="4"/>
      <c r="N5927" s="4"/>
      <c r="O5927" s="4" t="str">
        <f>IFERROR(__xludf.DUMMYFUNCTION("""COMPUTED_VALUE"""),"Per Game")</f>
        <v>Per Game</v>
      </c>
      <c r="P5927" s="4"/>
      <c r="Q5927" s="4"/>
      <c r="R5927" s="4"/>
      <c r="S5927" s="4" t="str">
        <f>IFERROR(__xludf.DUMMYFUNCTION("""COMPUTED_VALUE"""),"Advanced")</f>
        <v>Advanced</v>
      </c>
      <c r="T5927" s="4"/>
      <c r="U5927" s="4"/>
      <c r="V5927" s="4"/>
    </row>
    <row r="5928">
      <c r="A5928" s="4" t="str">
        <f>IFERROR(__xludf.DUMMYFUNCTION("""COMPUTED_VALUE"""),"Rk")</f>
        <v>Rk</v>
      </c>
      <c r="B5928" s="4" t="str">
        <f>IFERROR(__xludf.DUMMYFUNCTION("""COMPUTED_VALUE"""),"Pk")</f>
        <v>Pk</v>
      </c>
      <c r="C5928" s="4" t="str">
        <f>IFERROR(__xludf.DUMMYFUNCTION("""COMPUTED_VALUE"""),"Tm")</f>
        <v>Tm</v>
      </c>
      <c r="D5928" s="4" t="str">
        <f>IFERROR(__xludf.DUMMYFUNCTION("""COMPUTED_VALUE"""),"Player")</f>
        <v>Player</v>
      </c>
      <c r="E5928" s="4" t="str">
        <f>IFERROR(__xludf.DUMMYFUNCTION("""COMPUTED_VALUE"""),"College")</f>
        <v>College</v>
      </c>
      <c r="F5928" s="4" t="str">
        <f>IFERROR(__xludf.DUMMYFUNCTION("""COMPUTED_VALUE"""),"Yrs")</f>
        <v>Yrs</v>
      </c>
      <c r="G5928" s="4" t="str">
        <f>IFERROR(__xludf.DUMMYFUNCTION("""COMPUTED_VALUE"""),"G")</f>
        <v>G</v>
      </c>
      <c r="H5928" s="4" t="str">
        <f>IFERROR(__xludf.DUMMYFUNCTION("""COMPUTED_VALUE"""),"MP")</f>
        <v>MP</v>
      </c>
      <c r="I5928" s="4" t="str">
        <f>IFERROR(__xludf.DUMMYFUNCTION("""COMPUTED_VALUE"""),"PTS")</f>
        <v>PTS</v>
      </c>
      <c r="J5928" s="4" t="str">
        <f>IFERROR(__xludf.DUMMYFUNCTION("""COMPUTED_VALUE"""),"TRB")</f>
        <v>TRB</v>
      </c>
      <c r="K5928" s="4" t="str">
        <f>IFERROR(__xludf.DUMMYFUNCTION("""COMPUTED_VALUE"""),"AST")</f>
        <v>AST</v>
      </c>
      <c r="L5928" s="4" t="str">
        <f>IFERROR(__xludf.DUMMYFUNCTION("""COMPUTED_VALUE"""),"FG%")</f>
        <v>FG%</v>
      </c>
      <c r="M5928" s="4" t="str">
        <f>IFERROR(__xludf.DUMMYFUNCTION("""COMPUTED_VALUE"""),"3P%")</f>
        <v>3P%</v>
      </c>
      <c r="N5928" s="4" t="str">
        <f>IFERROR(__xludf.DUMMYFUNCTION("""COMPUTED_VALUE"""),"FT%")</f>
        <v>FT%</v>
      </c>
      <c r="O5928" s="4" t="str">
        <f>IFERROR(__xludf.DUMMYFUNCTION("""COMPUTED_VALUE"""),"MP")</f>
        <v>MP</v>
      </c>
      <c r="P5928" s="4" t="str">
        <f>IFERROR(__xludf.DUMMYFUNCTION("""COMPUTED_VALUE"""),"PTS")</f>
        <v>PTS</v>
      </c>
      <c r="Q5928" s="4" t="str">
        <f>IFERROR(__xludf.DUMMYFUNCTION("""COMPUTED_VALUE"""),"TRB")</f>
        <v>TRB</v>
      </c>
      <c r="R5928" s="4" t="str">
        <f>IFERROR(__xludf.DUMMYFUNCTION("""COMPUTED_VALUE"""),"AST")</f>
        <v>AST</v>
      </c>
      <c r="S5928" s="4" t="str">
        <f>IFERROR(__xludf.DUMMYFUNCTION("""COMPUTED_VALUE"""),"WS")</f>
        <v>WS</v>
      </c>
      <c r="T5928" s="4" t="str">
        <f>IFERROR(__xludf.DUMMYFUNCTION("""COMPUTED_VALUE"""),"WS/48")</f>
        <v>WS/48</v>
      </c>
      <c r="U5928" s="4" t="str">
        <f>IFERROR(__xludf.DUMMYFUNCTION("""COMPUTED_VALUE"""),"BPM")</f>
        <v>BPM</v>
      </c>
      <c r="V5928" s="4" t="str">
        <f>IFERROR(__xludf.DUMMYFUNCTION("""COMPUTED_VALUE"""),"VORP")</f>
        <v>VORP</v>
      </c>
    </row>
    <row r="5929">
      <c r="A5929" s="4">
        <f>IFERROR(__xludf.DUMMYFUNCTION("""COMPUTED_VALUE"""),188.0)</f>
        <v>188</v>
      </c>
      <c r="B5929" s="4">
        <f>IFERROR(__xludf.DUMMYFUNCTION("""COMPUTED_VALUE"""),188.0)</f>
        <v>188</v>
      </c>
      <c r="C5929" s="4" t="str">
        <f>IFERROR(__xludf.DUMMYFUNCTION("""COMPUTED_VALUE"""),"POR")</f>
        <v>POR</v>
      </c>
      <c r="D5929" s="4" t="str">
        <f>IFERROR(__xludf.DUMMYFUNCTION("""COMPUTED_VALUE"""),"Rich Habegger")</f>
        <v>Rich Habegger</v>
      </c>
      <c r="E5929" s="4" t="str">
        <f>IFERROR(__xludf.DUMMYFUNCTION("""COMPUTED_VALUE"""),"Wake Forest")</f>
        <v>Wake Forest</v>
      </c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</row>
    <row r="5930">
      <c r="A5930" s="4">
        <f>IFERROR(__xludf.DUMMYFUNCTION("""COMPUTED_VALUE"""),189.0)</f>
        <v>189</v>
      </c>
      <c r="B5930" s="4">
        <f>IFERROR(__xludf.DUMMYFUNCTION("""COMPUTED_VALUE"""),189.0)</f>
        <v>189</v>
      </c>
      <c r="C5930" s="4" t="str">
        <f>IFERROR(__xludf.DUMMYFUNCTION("""COMPUTED_VALUE"""),"BUF")</f>
        <v>BUF</v>
      </c>
      <c r="D5930" s="4" t="str">
        <f>IFERROR(__xludf.DUMMYFUNCTION("""COMPUTED_VALUE"""),"Paul Hoffman")</f>
        <v>Paul Hoffman</v>
      </c>
      <c r="E5930" s="4" t="str">
        <f>IFERROR(__xludf.DUMMYFUNCTION("""COMPUTED_VALUE"""),"St. Bonaventure")</f>
        <v>St. Bonaventure</v>
      </c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</row>
    <row r="5931">
      <c r="A5931" s="4">
        <f>IFERROR(__xludf.DUMMYFUNCTION("""COMPUTED_VALUE"""),190.0)</f>
        <v>190</v>
      </c>
      <c r="B5931" s="4">
        <f>IFERROR(__xludf.DUMMYFUNCTION("""COMPUTED_VALUE"""),190.0)</f>
        <v>190</v>
      </c>
      <c r="C5931" s="4" t="str">
        <f>IFERROR(__xludf.DUMMYFUNCTION("""COMPUTED_VALUE"""),"KCO")</f>
        <v>KCO</v>
      </c>
      <c r="D5931" s="4" t="str">
        <f>IFERROR(__xludf.DUMMYFUNCTION("""COMPUTED_VALUE"""),"Mike Jeffries")</f>
        <v>Mike Jeffries</v>
      </c>
      <c r="E5931" s="4" t="str">
        <f>IFERROR(__xludf.DUMMYFUNCTION("""COMPUTED_VALUE"""),"Oklahoma State")</f>
        <v>Oklahoma State</v>
      </c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</row>
    <row r="5932">
      <c r="A5932" s="4">
        <f>IFERROR(__xludf.DUMMYFUNCTION("""COMPUTED_VALUE"""),191.0)</f>
        <v>191</v>
      </c>
      <c r="B5932" s="4">
        <f>IFERROR(__xludf.DUMMYFUNCTION("""COMPUTED_VALUE"""),191.0)</f>
        <v>191</v>
      </c>
      <c r="C5932" s="4" t="str">
        <f>IFERROR(__xludf.DUMMYFUNCTION("""COMPUTED_VALUE"""),"BAL")</f>
        <v>BAL</v>
      </c>
      <c r="D5932" s="4" t="str">
        <f>IFERROR(__xludf.DUMMYFUNCTION("""COMPUTED_VALUE"""),"Gary Handleman")</f>
        <v>Gary Handleman</v>
      </c>
      <c r="E5932" s="4" t="str">
        <f>IFERROR(__xludf.DUMMYFUNCTION("""COMPUTED_VALUE"""),"Johns Hopkins University")</f>
        <v>Johns Hopkins University</v>
      </c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</row>
    <row r="5933">
      <c r="A5933" s="4">
        <f>IFERROR(__xludf.DUMMYFUNCTION("""COMPUTED_VALUE"""),192.0)</f>
        <v>192</v>
      </c>
      <c r="B5933" s="4">
        <f>IFERROR(__xludf.DUMMYFUNCTION("""COMPUTED_VALUE"""),192.0)</f>
        <v>192</v>
      </c>
      <c r="C5933" s="4" t="str">
        <f>IFERROR(__xludf.DUMMYFUNCTION("""COMPUTED_VALUE"""),"CHI")</f>
        <v>CHI</v>
      </c>
      <c r="D5933" s="4" t="str">
        <f>IFERROR(__xludf.DUMMYFUNCTION("""COMPUTED_VALUE"""),"Greg Lowery")</f>
        <v>Greg Lowery</v>
      </c>
      <c r="E5933" s="4" t="str">
        <f>IFERROR(__xludf.DUMMYFUNCTION("""COMPUTED_VALUE"""),"Texas Tech")</f>
        <v>Texas Tech</v>
      </c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</row>
    <row r="5934">
      <c r="A5934" s="4"/>
      <c r="B5934" s="4"/>
      <c r="C5934" s="4"/>
      <c r="D5934" s="4" t="str">
        <f>IFERROR(__xludf.DUMMYFUNCTION("""COMPUTED_VALUE"""),"Round 16")</f>
        <v>Round 16</v>
      </c>
      <c r="E5934" s="4"/>
      <c r="F5934" s="4"/>
      <c r="G5934" s="4" t="str">
        <f>IFERROR(__xludf.DUMMYFUNCTION("""COMPUTED_VALUE"""),"Totals")</f>
        <v>Totals</v>
      </c>
      <c r="H5934" s="4"/>
      <c r="I5934" s="4"/>
      <c r="J5934" s="4"/>
      <c r="K5934" s="4"/>
      <c r="L5934" s="4" t="str">
        <f>IFERROR(__xludf.DUMMYFUNCTION("""COMPUTED_VALUE"""),"Shooting")</f>
        <v>Shooting</v>
      </c>
      <c r="M5934" s="4"/>
      <c r="N5934" s="4"/>
      <c r="O5934" s="4" t="str">
        <f>IFERROR(__xludf.DUMMYFUNCTION("""COMPUTED_VALUE"""),"Per Game")</f>
        <v>Per Game</v>
      </c>
      <c r="P5934" s="4"/>
      <c r="Q5934" s="4"/>
      <c r="R5934" s="4"/>
      <c r="S5934" s="4" t="str">
        <f>IFERROR(__xludf.DUMMYFUNCTION("""COMPUTED_VALUE"""),"Advanced")</f>
        <v>Advanced</v>
      </c>
      <c r="T5934" s="4"/>
      <c r="U5934" s="4"/>
      <c r="V5934" s="4"/>
    </row>
    <row r="5935">
      <c r="A5935" s="4" t="str">
        <f>IFERROR(__xludf.DUMMYFUNCTION("""COMPUTED_VALUE"""),"Rk")</f>
        <v>Rk</v>
      </c>
      <c r="B5935" s="4" t="str">
        <f>IFERROR(__xludf.DUMMYFUNCTION("""COMPUTED_VALUE"""),"Pk")</f>
        <v>Pk</v>
      </c>
      <c r="C5935" s="4" t="str">
        <f>IFERROR(__xludf.DUMMYFUNCTION("""COMPUTED_VALUE"""),"Tm")</f>
        <v>Tm</v>
      </c>
      <c r="D5935" s="4" t="str">
        <f>IFERROR(__xludf.DUMMYFUNCTION("""COMPUTED_VALUE"""),"Player")</f>
        <v>Player</v>
      </c>
      <c r="E5935" s="4" t="str">
        <f>IFERROR(__xludf.DUMMYFUNCTION("""COMPUTED_VALUE"""),"College")</f>
        <v>College</v>
      </c>
      <c r="F5935" s="4" t="str">
        <f>IFERROR(__xludf.DUMMYFUNCTION("""COMPUTED_VALUE"""),"Yrs")</f>
        <v>Yrs</v>
      </c>
      <c r="G5935" s="4" t="str">
        <f>IFERROR(__xludf.DUMMYFUNCTION("""COMPUTED_VALUE"""),"G")</f>
        <v>G</v>
      </c>
      <c r="H5935" s="4" t="str">
        <f>IFERROR(__xludf.DUMMYFUNCTION("""COMPUTED_VALUE"""),"MP")</f>
        <v>MP</v>
      </c>
      <c r="I5935" s="4" t="str">
        <f>IFERROR(__xludf.DUMMYFUNCTION("""COMPUTED_VALUE"""),"PTS")</f>
        <v>PTS</v>
      </c>
      <c r="J5935" s="4" t="str">
        <f>IFERROR(__xludf.DUMMYFUNCTION("""COMPUTED_VALUE"""),"TRB")</f>
        <v>TRB</v>
      </c>
      <c r="K5935" s="4" t="str">
        <f>IFERROR(__xludf.DUMMYFUNCTION("""COMPUTED_VALUE"""),"AST")</f>
        <v>AST</v>
      </c>
      <c r="L5935" s="4" t="str">
        <f>IFERROR(__xludf.DUMMYFUNCTION("""COMPUTED_VALUE"""),"FG%")</f>
        <v>FG%</v>
      </c>
      <c r="M5935" s="4" t="str">
        <f>IFERROR(__xludf.DUMMYFUNCTION("""COMPUTED_VALUE"""),"3P%")</f>
        <v>3P%</v>
      </c>
      <c r="N5935" s="4" t="str">
        <f>IFERROR(__xludf.DUMMYFUNCTION("""COMPUTED_VALUE"""),"FT%")</f>
        <v>FT%</v>
      </c>
      <c r="O5935" s="4" t="str">
        <f>IFERROR(__xludf.DUMMYFUNCTION("""COMPUTED_VALUE"""),"MP")</f>
        <v>MP</v>
      </c>
      <c r="P5935" s="4" t="str">
        <f>IFERROR(__xludf.DUMMYFUNCTION("""COMPUTED_VALUE"""),"PTS")</f>
        <v>PTS</v>
      </c>
      <c r="Q5935" s="4" t="str">
        <f>IFERROR(__xludf.DUMMYFUNCTION("""COMPUTED_VALUE"""),"TRB")</f>
        <v>TRB</v>
      </c>
      <c r="R5935" s="4" t="str">
        <f>IFERROR(__xludf.DUMMYFUNCTION("""COMPUTED_VALUE"""),"AST")</f>
        <v>AST</v>
      </c>
      <c r="S5935" s="4" t="str">
        <f>IFERROR(__xludf.DUMMYFUNCTION("""COMPUTED_VALUE"""),"WS")</f>
        <v>WS</v>
      </c>
      <c r="T5935" s="4" t="str">
        <f>IFERROR(__xludf.DUMMYFUNCTION("""COMPUTED_VALUE"""),"WS/48")</f>
        <v>WS/48</v>
      </c>
      <c r="U5935" s="4" t="str">
        <f>IFERROR(__xludf.DUMMYFUNCTION("""COMPUTED_VALUE"""),"BPM")</f>
        <v>BPM</v>
      </c>
      <c r="V5935" s="4" t="str">
        <f>IFERROR(__xludf.DUMMYFUNCTION("""COMPUTED_VALUE"""),"VORP")</f>
        <v>VORP</v>
      </c>
    </row>
    <row r="5936">
      <c r="A5936" s="4">
        <f>IFERROR(__xludf.DUMMYFUNCTION("""COMPUTED_VALUE"""),193.0)</f>
        <v>193</v>
      </c>
      <c r="B5936" s="4">
        <f>IFERROR(__xludf.DUMMYFUNCTION("""COMPUTED_VALUE"""),193.0)</f>
        <v>193</v>
      </c>
      <c r="C5936" s="4" t="str">
        <f>IFERROR(__xludf.DUMMYFUNCTION("""COMPUTED_VALUE"""),"POR")</f>
        <v>POR</v>
      </c>
      <c r="D5936" s="4" t="str">
        <f>IFERROR(__xludf.DUMMYFUNCTION("""COMPUTED_VALUE"""),"Mose Adolph")</f>
        <v>Mose Adolph</v>
      </c>
      <c r="E5936" s="4" t="str">
        <f>IFERROR(__xludf.DUMMYFUNCTION("""COMPUTED_VALUE"""),"California State University, Los Angeles")</f>
        <v>California State University, Los Angeles</v>
      </c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</row>
    <row r="5937">
      <c r="A5937" s="4">
        <f>IFERROR(__xludf.DUMMYFUNCTION("""COMPUTED_VALUE"""),194.0)</f>
        <v>194</v>
      </c>
      <c r="B5937" s="4">
        <f>IFERROR(__xludf.DUMMYFUNCTION("""COMPUTED_VALUE"""),194.0)</f>
        <v>194</v>
      </c>
      <c r="C5937" s="4" t="str">
        <f>IFERROR(__xludf.DUMMYFUNCTION("""COMPUTED_VALUE"""),"BUF")</f>
        <v>BUF</v>
      </c>
      <c r="D5937" s="4" t="str">
        <f>IFERROR(__xludf.DUMMYFUNCTION("""COMPUTED_VALUE"""),"Norman Bounds")</f>
        <v>Norman Bounds</v>
      </c>
      <c r="E5937" s="4" t="str">
        <f>IFERROR(__xludf.DUMMYFUNCTION("""COMPUTED_VALUE"""),"State University of New York at Brockport")</f>
        <v>State University of New York at Brockport</v>
      </c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</row>
    <row r="5938">
      <c r="A5938" s="4">
        <f>IFERROR(__xludf.DUMMYFUNCTION("""COMPUTED_VALUE"""),195.0)</f>
        <v>195</v>
      </c>
      <c r="B5938" s="4">
        <f>IFERROR(__xludf.DUMMYFUNCTION("""COMPUTED_VALUE"""),195.0)</f>
        <v>195</v>
      </c>
      <c r="C5938" s="4" t="str">
        <f>IFERROR(__xludf.DUMMYFUNCTION("""COMPUTED_VALUE"""),"KCO")</f>
        <v>KCO</v>
      </c>
      <c r="D5938" s="4" t="str">
        <f>IFERROR(__xludf.DUMMYFUNCTION("""COMPUTED_VALUE"""),"Mike Peterson")</f>
        <v>Mike Peterson</v>
      </c>
      <c r="E5938" s="4" t="str">
        <f>IFERROR(__xludf.DUMMYFUNCTION("""COMPUTED_VALUE"""),"Nebraska")</f>
        <v>Nebraska</v>
      </c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</row>
    <row r="5939">
      <c r="A5939" s="4">
        <f>IFERROR(__xludf.DUMMYFUNCTION("""COMPUTED_VALUE"""),196.0)</f>
        <v>196</v>
      </c>
      <c r="B5939" s="4">
        <f>IFERROR(__xludf.DUMMYFUNCTION("""COMPUTED_VALUE"""),196.0)</f>
        <v>196</v>
      </c>
      <c r="C5939" s="4" t="str">
        <f>IFERROR(__xludf.DUMMYFUNCTION("""COMPUTED_VALUE"""),"CHI")</f>
        <v>CHI</v>
      </c>
      <c r="D5939" s="4" t="str">
        <f>IFERROR(__xludf.DUMMYFUNCTION("""COMPUTED_VALUE"""),"Charles Hall")</f>
        <v>Charles Hall</v>
      </c>
      <c r="E5939" s="4" t="str">
        <f>IFERROR(__xludf.DUMMYFUNCTION("""COMPUTED_VALUE"""),"Montana-Western")</f>
        <v>Montana-Western</v>
      </c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</row>
    <row r="5940">
      <c r="A5940" s="4"/>
      <c r="B5940" s="4"/>
      <c r="C5940" s="4"/>
      <c r="D5940" s="4" t="str">
        <f>IFERROR(__xludf.DUMMYFUNCTION("""COMPUTED_VALUE"""),"Round 17")</f>
        <v>Round 17</v>
      </c>
      <c r="E5940" s="4"/>
      <c r="F5940" s="4"/>
      <c r="G5940" s="4" t="str">
        <f>IFERROR(__xludf.DUMMYFUNCTION("""COMPUTED_VALUE"""),"Totals")</f>
        <v>Totals</v>
      </c>
      <c r="H5940" s="4"/>
      <c r="I5940" s="4"/>
      <c r="J5940" s="4"/>
      <c r="K5940" s="4"/>
      <c r="L5940" s="4" t="str">
        <f>IFERROR(__xludf.DUMMYFUNCTION("""COMPUTED_VALUE"""),"Shooting")</f>
        <v>Shooting</v>
      </c>
      <c r="M5940" s="4"/>
      <c r="N5940" s="4"/>
      <c r="O5940" s="4" t="str">
        <f>IFERROR(__xludf.DUMMYFUNCTION("""COMPUTED_VALUE"""),"Per Game")</f>
        <v>Per Game</v>
      </c>
      <c r="P5940" s="4"/>
      <c r="Q5940" s="4"/>
      <c r="R5940" s="4"/>
      <c r="S5940" s="4" t="str">
        <f>IFERROR(__xludf.DUMMYFUNCTION("""COMPUTED_VALUE"""),"Advanced")</f>
        <v>Advanced</v>
      </c>
      <c r="T5940" s="4"/>
      <c r="U5940" s="4"/>
      <c r="V5940" s="4"/>
    </row>
    <row r="5941">
      <c r="A5941" s="4" t="str">
        <f>IFERROR(__xludf.DUMMYFUNCTION("""COMPUTED_VALUE"""),"Rk")</f>
        <v>Rk</v>
      </c>
      <c r="B5941" s="4" t="str">
        <f>IFERROR(__xludf.DUMMYFUNCTION("""COMPUTED_VALUE"""),"Pk")</f>
        <v>Pk</v>
      </c>
      <c r="C5941" s="4" t="str">
        <f>IFERROR(__xludf.DUMMYFUNCTION("""COMPUTED_VALUE"""),"Tm")</f>
        <v>Tm</v>
      </c>
      <c r="D5941" s="4" t="str">
        <f>IFERROR(__xludf.DUMMYFUNCTION("""COMPUTED_VALUE"""),"Player")</f>
        <v>Player</v>
      </c>
      <c r="E5941" s="4" t="str">
        <f>IFERROR(__xludf.DUMMYFUNCTION("""COMPUTED_VALUE"""),"College")</f>
        <v>College</v>
      </c>
      <c r="F5941" s="4" t="str">
        <f>IFERROR(__xludf.DUMMYFUNCTION("""COMPUTED_VALUE"""),"Yrs")</f>
        <v>Yrs</v>
      </c>
      <c r="G5941" s="4" t="str">
        <f>IFERROR(__xludf.DUMMYFUNCTION("""COMPUTED_VALUE"""),"G")</f>
        <v>G</v>
      </c>
      <c r="H5941" s="4" t="str">
        <f>IFERROR(__xludf.DUMMYFUNCTION("""COMPUTED_VALUE"""),"MP")</f>
        <v>MP</v>
      </c>
      <c r="I5941" s="4" t="str">
        <f>IFERROR(__xludf.DUMMYFUNCTION("""COMPUTED_VALUE"""),"PTS")</f>
        <v>PTS</v>
      </c>
      <c r="J5941" s="4" t="str">
        <f>IFERROR(__xludf.DUMMYFUNCTION("""COMPUTED_VALUE"""),"TRB")</f>
        <v>TRB</v>
      </c>
      <c r="K5941" s="4" t="str">
        <f>IFERROR(__xludf.DUMMYFUNCTION("""COMPUTED_VALUE"""),"AST")</f>
        <v>AST</v>
      </c>
      <c r="L5941" s="4" t="str">
        <f>IFERROR(__xludf.DUMMYFUNCTION("""COMPUTED_VALUE"""),"FG%")</f>
        <v>FG%</v>
      </c>
      <c r="M5941" s="4" t="str">
        <f>IFERROR(__xludf.DUMMYFUNCTION("""COMPUTED_VALUE"""),"3P%")</f>
        <v>3P%</v>
      </c>
      <c r="N5941" s="4" t="str">
        <f>IFERROR(__xludf.DUMMYFUNCTION("""COMPUTED_VALUE"""),"FT%")</f>
        <v>FT%</v>
      </c>
      <c r="O5941" s="4" t="str">
        <f>IFERROR(__xludf.DUMMYFUNCTION("""COMPUTED_VALUE"""),"MP")</f>
        <v>MP</v>
      </c>
      <c r="P5941" s="4" t="str">
        <f>IFERROR(__xludf.DUMMYFUNCTION("""COMPUTED_VALUE"""),"PTS")</f>
        <v>PTS</v>
      </c>
      <c r="Q5941" s="4" t="str">
        <f>IFERROR(__xludf.DUMMYFUNCTION("""COMPUTED_VALUE"""),"TRB")</f>
        <v>TRB</v>
      </c>
      <c r="R5941" s="4" t="str">
        <f>IFERROR(__xludf.DUMMYFUNCTION("""COMPUTED_VALUE"""),"AST")</f>
        <v>AST</v>
      </c>
      <c r="S5941" s="4" t="str">
        <f>IFERROR(__xludf.DUMMYFUNCTION("""COMPUTED_VALUE"""),"WS")</f>
        <v>WS</v>
      </c>
      <c r="T5941" s="4" t="str">
        <f>IFERROR(__xludf.DUMMYFUNCTION("""COMPUTED_VALUE"""),"WS/48")</f>
        <v>WS/48</v>
      </c>
      <c r="U5941" s="4" t="str">
        <f>IFERROR(__xludf.DUMMYFUNCTION("""COMPUTED_VALUE"""),"BPM")</f>
        <v>BPM</v>
      </c>
      <c r="V5941" s="4" t="str">
        <f>IFERROR(__xludf.DUMMYFUNCTION("""COMPUTED_VALUE"""),"VORP")</f>
        <v>VORP</v>
      </c>
    </row>
    <row r="5942">
      <c r="A5942" s="4">
        <f>IFERROR(__xludf.DUMMYFUNCTION("""COMPUTED_VALUE"""),197.0)</f>
        <v>197</v>
      </c>
      <c r="B5942" s="4">
        <f>IFERROR(__xludf.DUMMYFUNCTION("""COMPUTED_VALUE"""),197.0)</f>
        <v>197</v>
      </c>
      <c r="C5942" s="4" t="str">
        <f>IFERROR(__xludf.DUMMYFUNCTION("""COMPUTED_VALUE"""),"CHI")</f>
        <v>CHI</v>
      </c>
      <c r="D5942" s="4" t="str">
        <f>IFERROR(__xludf.DUMMYFUNCTION("""COMPUTED_VALUE"""),"John Thornton")</f>
        <v>John Thornton</v>
      </c>
      <c r="E5942" s="4" t="str">
        <f>IFERROR(__xludf.DUMMYFUNCTION("""COMPUTED_VALUE"""),"South Carolina State")</f>
        <v>South Carolina State</v>
      </c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</row>
    <row r="5943">
      <c r="A5943" s="4"/>
      <c r="B5943" s="4"/>
      <c r="C5943" s="4"/>
      <c r="D5943" s="4" t="str">
        <f>IFERROR(__xludf.DUMMYFUNCTION("""COMPUTED_VALUE"""),"Round 18")</f>
        <v>Round 18</v>
      </c>
      <c r="E5943" s="4"/>
      <c r="F5943" s="4"/>
      <c r="G5943" s="4" t="str">
        <f>IFERROR(__xludf.DUMMYFUNCTION("""COMPUTED_VALUE"""),"Totals")</f>
        <v>Totals</v>
      </c>
      <c r="H5943" s="4"/>
      <c r="I5943" s="4"/>
      <c r="J5943" s="4"/>
      <c r="K5943" s="4"/>
      <c r="L5943" s="4" t="str">
        <f>IFERROR(__xludf.DUMMYFUNCTION("""COMPUTED_VALUE"""),"Shooting")</f>
        <v>Shooting</v>
      </c>
      <c r="M5943" s="4"/>
      <c r="N5943" s="4"/>
      <c r="O5943" s="4" t="str">
        <f>IFERROR(__xludf.DUMMYFUNCTION("""COMPUTED_VALUE"""),"Per Game")</f>
        <v>Per Game</v>
      </c>
      <c r="P5943" s="4"/>
      <c r="Q5943" s="4"/>
      <c r="R5943" s="4"/>
      <c r="S5943" s="4" t="str">
        <f>IFERROR(__xludf.DUMMYFUNCTION("""COMPUTED_VALUE"""),"Advanced")</f>
        <v>Advanced</v>
      </c>
      <c r="T5943" s="4"/>
      <c r="U5943" s="4"/>
      <c r="V5943" s="4"/>
    </row>
    <row r="5944">
      <c r="A5944" s="4" t="str">
        <f>IFERROR(__xludf.DUMMYFUNCTION("""COMPUTED_VALUE"""),"Rk")</f>
        <v>Rk</v>
      </c>
      <c r="B5944" s="4" t="str">
        <f>IFERROR(__xludf.DUMMYFUNCTION("""COMPUTED_VALUE"""),"Pk")</f>
        <v>Pk</v>
      </c>
      <c r="C5944" s="4" t="str">
        <f>IFERROR(__xludf.DUMMYFUNCTION("""COMPUTED_VALUE"""),"Tm")</f>
        <v>Tm</v>
      </c>
      <c r="D5944" s="4" t="str">
        <f>IFERROR(__xludf.DUMMYFUNCTION("""COMPUTED_VALUE"""),"Player")</f>
        <v>Player</v>
      </c>
      <c r="E5944" s="4" t="str">
        <f>IFERROR(__xludf.DUMMYFUNCTION("""COMPUTED_VALUE"""),"College")</f>
        <v>College</v>
      </c>
      <c r="F5944" s="4" t="str">
        <f>IFERROR(__xludf.DUMMYFUNCTION("""COMPUTED_VALUE"""),"Yrs")</f>
        <v>Yrs</v>
      </c>
      <c r="G5944" s="4" t="str">
        <f>IFERROR(__xludf.DUMMYFUNCTION("""COMPUTED_VALUE"""),"G")</f>
        <v>G</v>
      </c>
      <c r="H5944" s="4" t="str">
        <f>IFERROR(__xludf.DUMMYFUNCTION("""COMPUTED_VALUE"""),"MP")</f>
        <v>MP</v>
      </c>
      <c r="I5944" s="4" t="str">
        <f>IFERROR(__xludf.DUMMYFUNCTION("""COMPUTED_VALUE"""),"PTS")</f>
        <v>PTS</v>
      </c>
      <c r="J5944" s="4" t="str">
        <f>IFERROR(__xludf.DUMMYFUNCTION("""COMPUTED_VALUE"""),"TRB")</f>
        <v>TRB</v>
      </c>
      <c r="K5944" s="4" t="str">
        <f>IFERROR(__xludf.DUMMYFUNCTION("""COMPUTED_VALUE"""),"AST")</f>
        <v>AST</v>
      </c>
      <c r="L5944" s="4" t="str">
        <f>IFERROR(__xludf.DUMMYFUNCTION("""COMPUTED_VALUE"""),"FG%")</f>
        <v>FG%</v>
      </c>
      <c r="M5944" s="4" t="str">
        <f>IFERROR(__xludf.DUMMYFUNCTION("""COMPUTED_VALUE"""),"3P%")</f>
        <v>3P%</v>
      </c>
      <c r="N5944" s="4" t="str">
        <f>IFERROR(__xludf.DUMMYFUNCTION("""COMPUTED_VALUE"""),"FT%")</f>
        <v>FT%</v>
      </c>
      <c r="O5944" s="4" t="str">
        <f>IFERROR(__xludf.DUMMYFUNCTION("""COMPUTED_VALUE"""),"MP")</f>
        <v>MP</v>
      </c>
      <c r="P5944" s="4" t="str">
        <f>IFERROR(__xludf.DUMMYFUNCTION("""COMPUTED_VALUE"""),"PTS")</f>
        <v>PTS</v>
      </c>
      <c r="Q5944" s="4" t="str">
        <f>IFERROR(__xludf.DUMMYFUNCTION("""COMPUTED_VALUE"""),"TRB")</f>
        <v>TRB</v>
      </c>
      <c r="R5944" s="4" t="str">
        <f>IFERROR(__xludf.DUMMYFUNCTION("""COMPUTED_VALUE"""),"AST")</f>
        <v>AST</v>
      </c>
      <c r="S5944" s="4" t="str">
        <f>IFERROR(__xludf.DUMMYFUNCTION("""COMPUTED_VALUE"""),"WS")</f>
        <v>WS</v>
      </c>
      <c r="T5944" s="4" t="str">
        <f>IFERROR(__xludf.DUMMYFUNCTION("""COMPUTED_VALUE"""),"WS/48")</f>
        <v>WS/48</v>
      </c>
      <c r="U5944" s="4" t="str">
        <f>IFERROR(__xludf.DUMMYFUNCTION("""COMPUTED_VALUE"""),"BPM")</f>
        <v>BPM</v>
      </c>
      <c r="V5944" s="4" t="str">
        <f>IFERROR(__xludf.DUMMYFUNCTION("""COMPUTED_VALUE"""),"VORP")</f>
        <v>VORP</v>
      </c>
    </row>
    <row r="5945">
      <c r="A5945" s="4">
        <f>IFERROR(__xludf.DUMMYFUNCTION("""COMPUTED_VALUE"""),198.0)</f>
        <v>198</v>
      </c>
      <c r="B5945" s="4">
        <f>IFERROR(__xludf.DUMMYFUNCTION("""COMPUTED_VALUE"""),198.0)</f>
        <v>198</v>
      </c>
      <c r="C5945" s="4" t="str">
        <f>IFERROR(__xludf.DUMMYFUNCTION("""COMPUTED_VALUE"""),"CHI")</f>
        <v>CHI</v>
      </c>
      <c r="D5945" s="4" t="str">
        <f>IFERROR(__xludf.DUMMYFUNCTION("""COMPUTED_VALUE"""),"Ron Manning")</f>
        <v>Ron Manning</v>
      </c>
      <c r="E5945" s="4" t="str">
        <f>IFERROR(__xludf.DUMMYFUNCTION("""COMPUTED_VALUE"""),"Manhattan University")</f>
        <v>Manhattan University</v>
      </c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</row>
    <row r="5947">
      <c r="A5947" s="2">
        <v>1971.0</v>
      </c>
    </row>
    <row r="5948">
      <c r="A5948" s="4" t="str">
        <f>IFERROR(__xludf.DUMMYFUNCTION("IMPORTHTML(""https://www.basketball-reference.com/draft/NBA_1971.html"", ""table"", 1)"),"")</f>
        <v/>
      </c>
      <c r="B5948" s="4"/>
      <c r="C5948" s="4"/>
      <c r="D5948" s="4" t="str">
        <f>IFERROR(__xludf.DUMMYFUNCTION("""COMPUTED_VALUE"""),"Round 1")</f>
        <v>Round 1</v>
      </c>
      <c r="E5948" s="4"/>
      <c r="F5948" s="4"/>
      <c r="G5948" s="4" t="str">
        <f>IFERROR(__xludf.DUMMYFUNCTION("""COMPUTED_VALUE"""),"Totals")</f>
        <v>Totals</v>
      </c>
      <c r="H5948" s="4"/>
      <c r="I5948" s="4"/>
      <c r="J5948" s="4"/>
      <c r="K5948" s="4"/>
      <c r="L5948" s="4" t="str">
        <f>IFERROR(__xludf.DUMMYFUNCTION("""COMPUTED_VALUE"""),"Shooting")</f>
        <v>Shooting</v>
      </c>
      <c r="M5948" s="4"/>
      <c r="N5948" s="4"/>
      <c r="O5948" s="4" t="str">
        <f>IFERROR(__xludf.DUMMYFUNCTION("""COMPUTED_VALUE"""),"Per Game")</f>
        <v>Per Game</v>
      </c>
      <c r="P5948" s="4"/>
      <c r="Q5948" s="4"/>
      <c r="R5948" s="4"/>
      <c r="S5948" s="4" t="str">
        <f>IFERROR(__xludf.DUMMYFUNCTION("""COMPUTED_VALUE"""),"Advanced")</f>
        <v>Advanced</v>
      </c>
      <c r="T5948" s="4"/>
      <c r="U5948" s="4"/>
      <c r="V5948" s="4"/>
    </row>
    <row r="5949">
      <c r="A5949" s="4" t="str">
        <f>IFERROR(__xludf.DUMMYFUNCTION("""COMPUTED_VALUE"""),"Rk")</f>
        <v>Rk</v>
      </c>
      <c r="B5949" s="4" t="str">
        <f>IFERROR(__xludf.DUMMYFUNCTION("""COMPUTED_VALUE"""),"Pk")</f>
        <v>Pk</v>
      </c>
      <c r="C5949" s="4" t="str">
        <f>IFERROR(__xludf.DUMMYFUNCTION("""COMPUTED_VALUE"""),"Tm")</f>
        <v>Tm</v>
      </c>
      <c r="D5949" s="4" t="str">
        <f>IFERROR(__xludf.DUMMYFUNCTION("""COMPUTED_VALUE"""),"Player")</f>
        <v>Player</v>
      </c>
      <c r="E5949" s="4" t="str">
        <f>IFERROR(__xludf.DUMMYFUNCTION("""COMPUTED_VALUE"""),"College")</f>
        <v>College</v>
      </c>
      <c r="F5949" s="4" t="str">
        <f>IFERROR(__xludf.DUMMYFUNCTION("""COMPUTED_VALUE"""),"Yrs")</f>
        <v>Yrs</v>
      </c>
      <c r="G5949" s="4" t="str">
        <f>IFERROR(__xludf.DUMMYFUNCTION("""COMPUTED_VALUE"""),"G")</f>
        <v>G</v>
      </c>
      <c r="H5949" s="4" t="str">
        <f>IFERROR(__xludf.DUMMYFUNCTION("""COMPUTED_VALUE"""),"MP")</f>
        <v>MP</v>
      </c>
      <c r="I5949" s="4" t="str">
        <f>IFERROR(__xludf.DUMMYFUNCTION("""COMPUTED_VALUE"""),"PTS")</f>
        <v>PTS</v>
      </c>
      <c r="J5949" s="4" t="str">
        <f>IFERROR(__xludf.DUMMYFUNCTION("""COMPUTED_VALUE"""),"TRB")</f>
        <v>TRB</v>
      </c>
      <c r="K5949" s="4" t="str">
        <f>IFERROR(__xludf.DUMMYFUNCTION("""COMPUTED_VALUE"""),"AST")</f>
        <v>AST</v>
      </c>
      <c r="L5949" s="4" t="str">
        <f>IFERROR(__xludf.DUMMYFUNCTION("""COMPUTED_VALUE"""),"FG%")</f>
        <v>FG%</v>
      </c>
      <c r="M5949" s="4" t="str">
        <f>IFERROR(__xludf.DUMMYFUNCTION("""COMPUTED_VALUE"""),"3P%")</f>
        <v>3P%</v>
      </c>
      <c r="N5949" s="4" t="str">
        <f>IFERROR(__xludf.DUMMYFUNCTION("""COMPUTED_VALUE"""),"FT%")</f>
        <v>FT%</v>
      </c>
      <c r="O5949" s="4" t="str">
        <f>IFERROR(__xludf.DUMMYFUNCTION("""COMPUTED_VALUE"""),"MP")</f>
        <v>MP</v>
      </c>
      <c r="P5949" s="4" t="str">
        <f>IFERROR(__xludf.DUMMYFUNCTION("""COMPUTED_VALUE"""),"PTS")</f>
        <v>PTS</v>
      </c>
      <c r="Q5949" s="4" t="str">
        <f>IFERROR(__xludf.DUMMYFUNCTION("""COMPUTED_VALUE"""),"TRB")</f>
        <v>TRB</v>
      </c>
      <c r="R5949" s="4" t="str">
        <f>IFERROR(__xludf.DUMMYFUNCTION("""COMPUTED_VALUE"""),"AST")</f>
        <v>AST</v>
      </c>
      <c r="S5949" s="4" t="str">
        <f>IFERROR(__xludf.DUMMYFUNCTION("""COMPUTED_VALUE"""),"WS")</f>
        <v>WS</v>
      </c>
      <c r="T5949" s="4" t="str">
        <f>IFERROR(__xludf.DUMMYFUNCTION("""COMPUTED_VALUE"""),"WS/48")</f>
        <v>WS/48</v>
      </c>
      <c r="U5949" s="4" t="str">
        <f>IFERROR(__xludf.DUMMYFUNCTION("""COMPUTED_VALUE"""),"BPM")</f>
        <v>BPM</v>
      </c>
      <c r="V5949" s="4" t="str">
        <f>IFERROR(__xludf.DUMMYFUNCTION("""COMPUTED_VALUE"""),"VORP")</f>
        <v>VORP</v>
      </c>
    </row>
    <row r="5950">
      <c r="A5950" s="4">
        <f>IFERROR(__xludf.DUMMYFUNCTION("""COMPUTED_VALUE"""),1.0)</f>
        <v>1</v>
      </c>
      <c r="B5950" s="4">
        <f>IFERROR(__xludf.DUMMYFUNCTION("""COMPUTED_VALUE"""),1.0)</f>
        <v>1</v>
      </c>
      <c r="C5950" s="4" t="str">
        <f>IFERROR(__xludf.DUMMYFUNCTION("""COMPUTED_VALUE"""),"CLE")</f>
        <v>CLE</v>
      </c>
      <c r="D5950" s="4" t="str">
        <f>IFERROR(__xludf.DUMMYFUNCTION("""COMPUTED_VALUE"""),"Austin Carr")</f>
        <v>Austin Carr</v>
      </c>
      <c r="E5950" s="4" t="str">
        <f>IFERROR(__xludf.DUMMYFUNCTION("""COMPUTED_VALUE"""),"Notre Dame")</f>
        <v>Notre Dame</v>
      </c>
      <c r="F5950" s="4">
        <f>IFERROR(__xludf.DUMMYFUNCTION("""COMPUTED_VALUE"""),10.0)</f>
        <v>10</v>
      </c>
      <c r="G5950" s="4">
        <f>IFERROR(__xludf.DUMMYFUNCTION("""COMPUTED_VALUE"""),682.0)</f>
        <v>682</v>
      </c>
      <c r="H5950" s="4">
        <f>IFERROR(__xludf.DUMMYFUNCTION("""COMPUTED_VALUE"""),19660.0)</f>
        <v>19660</v>
      </c>
      <c r="I5950" s="4">
        <f>IFERROR(__xludf.DUMMYFUNCTION("""COMPUTED_VALUE"""),10473.0)</f>
        <v>10473</v>
      </c>
      <c r="J5950" s="4">
        <f>IFERROR(__xludf.DUMMYFUNCTION("""COMPUTED_VALUE"""),1990.0)</f>
        <v>1990</v>
      </c>
      <c r="K5950" s="4">
        <f>IFERROR(__xludf.DUMMYFUNCTION("""COMPUTED_VALUE"""),1878.0)</f>
        <v>1878</v>
      </c>
      <c r="L5950" s="4">
        <f>IFERROR(__xludf.DUMMYFUNCTION("""COMPUTED_VALUE"""),0.449)</f>
        <v>0.449</v>
      </c>
      <c r="M5950" s="4"/>
      <c r="N5950" s="4">
        <f>IFERROR(__xludf.DUMMYFUNCTION("""COMPUTED_VALUE"""),0.804)</f>
        <v>0.804</v>
      </c>
      <c r="O5950" s="4">
        <f>IFERROR(__xludf.DUMMYFUNCTION("""COMPUTED_VALUE"""),28.8)</f>
        <v>28.8</v>
      </c>
      <c r="P5950" s="4">
        <f>IFERROR(__xludf.DUMMYFUNCTION("""COMPUTED_VALUE"""),15.4)</f>
        <v>15.4</v>
      </c>
      <c r="Q5950" s="4">
        <f>IFERROR(__xludf.DUMMYFUNCTION("""COMPUTED_VALUE"""),2.9)</f>
        <v>2.9</v>
      </c>
      <c r="R5950" s="4">
        <f>IFERROR(__xludf.DUMMYFUNCTION("""COMPUTED_VALUE"""),2.8)</f>
        <v>2.8</v>
      </c>
      <c r="S5950" s="4">
        <f>IFERROR(__xludf.DUMMYFUNCTION("""COMPUTED_VALUE"""),32.9)</f>
        <v>32.9</v>
      </c>
      <c r="T5950" s="4">
        <f>IFERROR(__xludf.DUMMYFUNCTION("""COMPUTED_VALUE"""),0.08)</f>
        <v>0.08</v>
      </c>
      <c r="U5950" s="4">
        <f>IFERROR(__xludf.DUMMYFUNCTION("""COMPUTED_VALUE"""),-0.6)</f>
        <v>-0.6</v>
      </c>
      <c r="V5950" s="4">
        <f>IFERROR(__xludf.DUMMYFUNCTION("""COMPUTED_VALUE"""),5.2)</f>
        <v>5.2</v>
      </c>
    </row>
    <row r="5951">
      <c r="A5951" s="4">
        <f>IFERROR(__xludf.DUMMYFUNCTION("""COMPUTED_VALUE"""),2.0)</f>
        <v>2</v>
      </c>
      <c r="B5951" s="4">
        <f>IFERROR(__xludf.DUMMYFUNCTION("""COMPUTED_VALUE"""),2.0)</f>
        <v>2</v>
      </c>
      <c r="C5951" s="4" t="str">
        <f>IFERROR(__xludf.DUMMYFUNCTION("""COMPUTED_VALUE"""),"POR")</f>
        <v>POR</v>
      </c>
      <c r="D5951" s="4" t="str">
        <f>IFERROR(__xludf.DUMMYFUNCTION("""COMPUTED_VALUE"""),"Sidney Wicks")</f>
        <v>Sidney Wicks</v>
      </c>
      <c r="E5951" s="4" t="str">
        <f>IFERROR(__xludf.DUMMYFUNCTION("""COMPUTED_VALUE"""),"UCLA")</f>
        <v>UCLA</v>
      </c>
      <c r="F5951" s="4">
        <f>IFERROR(__xludf.DUMMYFUNCTION("""COMPUTED_VALUE"""),10.0)</f>
        <v>10</v>
      </c>
      <c r="G5951" s="4">
        <f>IFERROR(__xludf.DUMMYFUNCTION("""COMPUTED_VALUE"""),760.0)</f>
        <v>760</v>
      </c>
      <c r="H5951" s="4">
        <f>IFERROR(__xludf.DUMMYFUNCTION("""COMPUTED_VALUE"""),25762.0)</f>
        <v>25762</v>
      </c>
      <c r="I5951" s="4">
        <f>IFERROR(__xludf.DUMMYFUNCTION("""COMPUTED_VALUE"""),12803.0)</f>
        <v>12803</v>
      </c>
      <c r="J5951" s="4">
        <f>IFERROR(__xludf.DUMMYFUNCTION("""COMPUTED_VALUE"""),6620.0)</f>
        <v>6620</v>
      </c>
      <c r="K5951" s="4">
        <f>IFERROR(__xludf.DUMMYFUNCTION("""COMPUTED_VALUE"""),2437.0)</f>
        <v>2437</v>
      </c>
      <c r="L5951" s="4">
        <f>IFERROR(__xludf.DUMMYFUNCTION("""COMPUTED_VALUE"""),0.459)</f>
        <v>0.459</v>
      </c>
      <c r="M5951" s="4"/>
      <c r="N5951" s="4">
        <f>IFERROR(__xludf.DUMMYFUNCTION("""COMPUTED_VALUE"""),0.685)</f>
        <v>0.685</v>
      </c>
      <c r="O5951" s="4">
        <f>IFERROR(__xludf.DUMMYFUNCTION("""COMPUTED_VALUE"""),33.9)</f>
        <v>33.9</v>
      </c>
      <c r="P5951" s="4">
        <f>IFERROR(__xludf.DUMMYFUNCTION("""COMPUTED_VALUE"""),16.8)</f>
        <v>16.8</v>
      </c>
      <c r="Q5951" s="4">
        <f>IFERROR(__xludf.DUMMYFUNCTION("""COMPUTED_VALUE"""),8.7)</f>
        <v>8.7</v>
      </c>
      <c r="R5951" s="4">
        <f>IFERROR(__xludf.DUMMYFUNCTION("""COMPUTED_VALUE"""),3.2)</f>
        <v>3.2</v>
      </c>
      <c r="S5951" s="4">
        <f>IFERROR(__xludf.DUMMYFUNCTION("""COMPUTED_VALUE"""),42.4)</f>
        <v>42.4</v>
      </c>
      <c r="T5951" s="4">
        <f>IFERROR(__xludf.DUMMYFUNCTION("""COMPUTED_VALUE"""),0.079)</f>
        <v>0.079</v>
      </c>
      <c r="U5951" s="4">
        <f>IFERROR(__xludf.DUMMYFUNCTION("""COMPUTED_VALUE"""),-0.3)</f>
        <v>-0.3</v>
      </c>
      <c r="V5951" s="4">
        <f>IFERROR(__xludf.DUMMYFUNCTION("""COMPUTED_VALUE"""),8.2)</f>
        <v>8.2</v>
      </c>
    </row>
    <row r="5952">
      <c r="A5952" s="4">
        <f>IFERROR(__xludf.DUMMYFUNCTION("""COMPUTED_VALUE"""),3.0)</f>
        <v>3</v>
      </c>
      <c r="B5952" s="4">
        <f>IFERROR(__xludf.DUMMYFUNCTION("""COMPUTED_VALUE"""),3.0)</f>
        <v>3</v>
      </c>
      <c r="C5952" s="4" t="str">
        <f>IFERROR(__xludf.DUMMYFUNCTION("""COMPUTED_VALUE"""),"BUF")</f>
        <v>BUF</v>
      </c>
      <c r="D5952" s="4" t="str">
        <f>IFERROR(__xludf.DUMMYFUNCTION("""COMPUTED_VALUE"""),"Elmore Smith")</f>
        <v>Elmore Smith</v>
      </c>
      <c r="E5952" s="4" t="str">
        <f>IFERROR(__xludf.DUMMYFUNCTION("""COMPUTED_VALUE"""),"Kentucky State University")</f>
        <v>Kentucky State University</v>
      </c>
      <c r="F5952" s="4">
        <f>IFERROR(__xludf.DUMMYFUNCTION("""COMPUTED_VALUE"""),8.0)</f>
        <v>8</v>
      </c>
      <c r="G5952" s="4">
        <f>IFERROR(__xludf.DUMMYFUNCTION("""COMPUTED_VALUE"""),562.0)</f>
        <v>562</v>
      </c>
      <c r="H5952" s="4">
        <f>IFERROR(__xludf.DUMMYFUNCTION("""COMPUTED_VALUE"""),17879.0)</f>
        <v>17879</v>
      </c>
      <c r="I5952" s="4">
        <f>IFERROR(__xludf.DUMMYFUNCTION("""COMPUTED_VALUE"""),7541.0)</f>
        <v>7541</v>
      </c>
      <c r="J5952" s="4">
        <f>IFERROR(__xludf.DUMMYFUNCTION("""COMPUTED_VALUE"""),5962.0)</f>
        <v>5962</v>
      </c>
      <c r="K5952" s="4">
        <f>IFERROR(__xludf.DUMMYFUNCTION("""COMPUTED_VALUE"""),808.0)</f>
        <v>808</v>
      </c>
      <c r="L5952" s="4">
        <f>IFERROR(__xludf.DUMMYFUNCTION("""COMPUTED_VALUE"""),0.482)</f>
        <v>0.482</v>
      </c>
      <c r="M5952" s="4"/>
      <c r="N5952" s="4">
        <f>IFERROR(__xludf.DUMMYFUNCTION("""COMPUTED_VALUE"""),0.579)</f>
        <v>0.579</v>
      </c>
      <c r="O5952" s="4">
        <f>IFERROR(__xludf.DUMMYFUNCTION("""COMPUTED_VALUE"""),31.8)</f>
        <v>31.8</v>
      </c>
      <c r="P5952" s="4">
        <f>IFERROR(__xludf.DUMMYFUNCTION("""COMPUTED_VALUE"""),13.4)</f>
        <v>13.4</v>
      </c>
      <c r="Q5952" s="4">
        <f>IFERROR(__xludf.DUMMYFUNCTION("""COMPUTED_VALUE"""),10.6)</f>
        <v>10.6</v>
      </c>
      <c r="R5952" s="4">
        <f>IFERROR(__xludf.DUMMYFUNCTION("""COMPUTED_VALUE"""),1.4)</f>
        <v>1.4</v>
      </c>
      <c r="S5952" s="4">
        <f>IFERROR(__xludf.DUMMYFUNCTION("""COMPUTED_VALUE"""),34.7)</f>
        <v>34.7</v>
      </c>
      <c r="T5952" s="4">
        <f>IFERROR(__xludf.DUMMYFUNCTION("""COMPUTED_VALUE"""),0.093)</f>
        <v>0.093</v>
      </c>
      <c r="U5952" s="4">
        <f>IFERROR(__xludf.DUMMYFUNCTION("""COMPUTED_VALUE"""),1.2)</f>
        <v>1.2</v>
      </c>
      <c r="V5952" s="4">
        <f>IFERROR(__xludf.DUMMYFUNCTION("""COMPUTED_VALUE"""),9.4)</f>
        <v>9.4</v>
      </c>
    </row>
    <row r="5953">
      <c r="A5953" s="4">
        <f>IFERROR(__xludf.DUMMYFUNCTION("""COMPUTED_VALUE"""),4.0)</f>
        <v>4</v>
      </c>
      <c r="B5953" s="4">
        <f>IFERROR(__xludf.DUMMYFUNCTION("""COMPUTED_VALUE"""),4.0)</f>
        <v>4</v>
      </c>
      <c r="C5953" s="4" t="str">
        <f>IFERROR(__xludf.DUMMYFUNCTION("""COMPUTED_VALUE"""),"CIN")</f>
        <v>CIN</v>
      </c>
      <c r="D5953" s="4" t="str">
        <f>IFERROR(__xludf.DUMMYFUNCTION("""COMPUTED_VALUE"""),"Ken Durrett")</f>
        <v>Ken Durrett</v>
      </c>
      <c r="E5953" s="4" t="str">
        <f>IFERROR(__xludf.DUMMYFUNCTION("""COMPUTED_VALUE"""),"La Salle")</f>
        <v>La Salle</v>
      </c>
      <c r="F5953" s="4">
        <f>IFERROR(__xludf.DUMMYFUNCTION("""COMPUTED_VALUE"""),4.0)</f>
        <v>4</v>
      </c>
      <c r="G5953" s="4">
        <f>IFERROR(__xludf.DUMMYFUNCTION("""COMPUTED_VALUE"""),120.0)</f>
        <v>120</v>
      </c>
      <c r="H5953" s="4">
        <f>IFERROR(__xludf.DUMMYFUNCTION("""COMPUTED_VALUE"""),1205.0)</f>
        <v>1205</v>
      </c>
      <c r="I5953" s="4">
        <f>IFERROR(__xludf.DUMMYFUNCTION("""COMPUTED_VALUE"""),484.0)</f>
        <v>484</v>
      </c>
      <c r="J5953" s="4">
        <f>IFERROR(__xludf.DUMMYFUNCTION("""COMPUTED_VALUE"""),233.0)</f>
        <v>233</v>
      </c>
      <c r="K5953" s="4">
        <f>IFERROR(__xludf.DUMMYFUNCTION("""COMPUTED_VALUE"""),54.0)</f>
        <v>54</v>
      </c>
      <c r="L5953" s="4">
        <f>IFERROR(__xludf.DUMMYFUNCTION("""COMPUTED_VALUE"""),0.434)</f>
        <v>0.434</v>
      </c>
      <c r="M5953" s="4"/>
      <c r="N5953" s="4">
        <f>IFERROR(__xludf.DUMMYFUNCTION("""COMPUTED_VALUE"""),0.637)</f>
        <v>0.637</v>
      </c>
      <c r="O5953" s="4">
        <f>IFERROR(__xludf.DUMMYFUNCTION("""COMPUTED_VALUE"""),10.0)</f>
        <v>10</v>
      </c>
      <c r="P5953" s="4">
        <f>IFERROR(__xludf.DUMMYFUNCTION("""COMPUTED_VALUE"""),4.0)</f>
        <v>4</v>
      </c>
      <c r="Q5953" s="4">
        <f>IFERROR(__xludf.DUMMYFUNCTION("""COMPUTED_VALUE"""),1.9)</f>
        <v>1.9</v>
      </c>
      <c r="R5953" s="4">
        <f>IFERROR(__xludf.DUMMYFUNCTION("""COMPUTED_VALUE"""),0.5)</f>
        <v>0.5</v>
      </c>
      <c r="S5953" s="4">
        <f>IFERROR(__xludf.DUMMYFUNCTION("""COMPUTED_VALUE"""),0.6)</f>
        <v>0.6</v>
      </c>
      <c r="T5953" s="4">
        <f>IFERROR(__xludf.DUMMYFUNCTION("""COMPUTED_VALUE"""),0.025)</f>
        <v>0.025</v>
      </c>
      <c r="U5953" s="4">
        <f>IFERROR(__xludf.DUMMYFUNCTION("""COMPUTED_VALUE"""),-3.9)</f>
        <v>-3.9</v>
      </c>
      <c r="V5953" s="4">
        <f>IFERROR(__xludf.DUMMYFUNCTION("""COMPUTED_VALUE"""),-0.5)</f>
        <v>-0.5</v>
      </c>
    </row>
    <row r="5954">
      <c r="A5954" s="4">
        <f>IFERROR(__xludf.DUMMYFUNCTION("""COMPUTED_VALUE"""),5.0)</f>
        <v>5</v>
      </c>
      <c r="B5954" s="4">
        <f>IFERROR(__xludf.DUMMYFUNCTION("""COMPUTED_VALUE"""),5.0)</f>
        <v>5</v>
      </c>
      <c r="C5954" s="4" t="str">
        <f>IFERROR(__xludf.DUMMYFUNCTION("""COMPUTED_VALUE"""),"ATL")</f>
        <v>ATL</v>
      </c>
      <c r="D5954" s="4" t="str">
        <f>IFERROR(__xludf.DUMMYFUNCTION("""COMPUTED_VALUE"""),"George Trapp")</f>
        <v>George Trapp</v>
      </c>
      <c r="E5954" s="4" t="str">
        <f>IFERROR(__xludf.DUMMYFUNCTION("""COMPUTED_VALUE"""),"Cal State Long Beach")</f>
        <v>Cal State Long Beach</v>
      </c>
      <c r="F5954" s="4">
        <f>IFERROR(__xludf.DUMMYFUNCTION("""COMPUTED_VALUE"""),6.0)</f>
        <v>6</v>
      </c>
      <c r="G5954" s="4">
        <f>IFERROR(__xludf.DUMMYFUNCTION("""COMPUTED_VALUE"""),379.0)</f>
        <v>379</v>
      </c>
      <c r="H5954" s="4">
        <f>IFERROR(__xludf.DUMMYFUNCTION("""COMPUTED_VALUE"""),6863.0)</f>
        <v>6863</v>
      </c>
      <c r="I5954" s="4">
        <f>IFERROR(__xludf.DUMMYFUNCTION("""COMPUTED_VALUE"""),3353.0)</f>
        <v>3353</v>
      </c>
      <c r="J5954" s="4">
        <f>IFERROR(__xludf.DUMMYFUNCTION("""COMPUTED_VALUE"""),1466.0)</f>
        <v>1466</v>
      </c>
      <c r="K5954" s="4">
        <f>IFERROR(__xludf.DUMMYFUNCTION("""COMPUTED_VALUE"""),375.0)</f>
        <v>375</v>
      </c>
      <c r="L5954" s="4">
        <f>IFERROR(__xludf.DUMMYFUNCTION("""COMPUTED_VALUE"""),0.444)</f>
        <v>0.444</v>
      </c>
      <c r="M5954" s="4"/>
      <c r="N5954" s="4">
        <f>IFERROR(__xludf.DUMMYFUNCTION("""COMPUTED_VALUE"""),0.752)</f>
        <v>0.752</v>
      </c>
      <c r="O5954" s="4">
        <f>IFERROR(__xludf.DUMMYFUNCTION("""COMPUTED_VALUE"""),18.1)</f>
        <v>18.1</v>
      </c>
      <c r="P5954" s="4">
        <f>IFERROR(__xludf.DUMMYFUNCTION("""COMPUTED_VALUE"""),8.8)</f>
        <v>8.8</v>
      </c>
      <c r="Q5954" s="4">
        <f>IFERROR(__xludf.DUMMYFUNCTION("""COMPUTED_VALUE"""),3.9)</f>
        <v>3.9</v>
      </c>
      <c r="R5954" s="4">
        <f>IFERROR(__xludf.DUMMYFUNCTION("""COMPUTED_VALUE"""),1.0)</f>
        <v>1</v>
      </c>
      <c r="S5954" s="4">
        <f>IFERROR(__xludf.DUMMYFUNCTION("""COMPUTED_VALUE"""),8.4)</f>
        <v>8.4</v>
      </c>
      <c r="T5954" s="4">
        <f>IFERROR(__xludf.DUMMYFUNCTION("""COMPUTED_VALUE"""),0.059)</f>
        <v>0.059</v>
      </c>
      <c r="U5954" s="4">
        <f>IFERROR(__xludf.DUMMYFUNCTION("""COMPUTED_VALUE"""),-2.6)</f>
        <v>-2.6</v>
      </c>
      <c r="V5954" s="4">
        <f>IFERROR(__xludf.DUMMYFUNCTION("""COMPUTED_VALUE"""),-0.6)</f>
        <v>-0.6</v>
      </c>
    </row>
    <row r="5955">
      <c r="A5955" s="4">
        <f>IFERROR(__xludf.DUMMYFUNCTION("""COMPUTED_VALUE"""),6.0)</f>
        <v>6</v>
      </c>
      <c r="B5955" s="4">
        <f>IFERROR(__xludf.DUMMYFUNCTION("""COMPUTED_VALUE"""),6.0)</f>
        <v>6</v>
      </c>
      <c r="C5955" s="4" t="str">
        <f>IFERROR(__xludf.DUMMYFUNCTION("""COMPUTED_VALUE"""),"SEA")</f>
        <v>SEA</v>
      </c>
      <c r="D5955" s="4" t="str">
        <f>IFERROR(__xludf.DUMMYFUNCTION("""COMPUTED_VALUE"""),"Fred Brown")</f>
        <v>Fred Brown</v>
      </c>
      <c r="E5955" s="4" t="str">
        <f>IFERROR(__xludf.DUMMYFUNCTION("""COMPUTED_VALUE"""),"Iowa")</f>
        <v>Iowa</v>
      </c>
      <c r="F5955" s="4">
        <f>IFERROR(__xludf.DUMMYFUNCTION("""COMPUTED_VALUE"""),13.0)</f>
        <v>13</v>
      </c>
      <c r="G5955" s="4">
        <f>IFERROR(__xludf.DUMMYFUNCTION("""COMPUTED_VALUE"""),963.0)</f>
        <v>963</v>
      </c>
      <c r="H5955" s="4">
        <f>IFERROR(__xludf.DUMMYFUNCTION("""COMPUTED_VALUE"""),24422.0)</f>
        <v>24422</v>
      </c>
      <c r="I5955" s="4">
        <f>IFERROR(__xludf.DUMMYFUNCTION("""COMPUTED_VALUE"""),14018.0)</f>
        <v>14018</v>
      </c>
      <c r="J5955" s="4">
        <f>IFERROR(__xludf.DUMMYFUNCTION("""COMPUTED_VALUE"""),2637.0)</f>
        <v>2637</v>
      </c>
      <c r="K5955" s="4">
        <f>IFERROR(__xludf.DUMMYFUNCTION("""COMPUTED_VALUE"""),3160.0)</f>
        <v>3160</v>
      </c>
      <c r="L5955" s="4">
        <f>IFERROR(__xludf.DUMMYFUNCTION("""COMPUTED_VALUE"""),0.478)</f>
        <v>0.478</v>
      </c>
      <c r="M5955" s="4"/>
      <c r="N5955" s="4">
        <f>IFERROR(__xludf.DUMMYFUNCTION("""COMPUTED_VALUE"""),0.858)</f>
        <v>0.858</v>
      </c>
      <c r="O5955" s="4">
        <f>IFERROR(__xludf.DUMMYFUNCTION("""COMPUTED_VALUE"""),25.4)</f>
        <v>25.4</v>
      </c>
      <c r="P5955" s="4">
        <f>IFERROR(__xludf.DUMMYFUNCTION("""COMPUTED_VALUE"""),14.6)</f>
        <v>14.6</v>
      </c>
      <c r="Q5955" s="4">
        <f>IFERROR(__xludf.DUMMYFUNCTION("""COMPUTED_VALUE"""),2.7)</f>
        <v>2.7</v>
      </c>
      <c r="R5955" s="4">
        <f>IFERROR(__xludf.DUMMYFUNCTION("""COMPUTED_VALUE"""),3.3)</f>
        <v>3.3</v>
      </c>
      <c r="S5955" s="4">
        <f>IFERROR(__xludf.DUMMYFUNCTION("""COMPUTED_VALUE"""),63.2)</f>
        <v>63.2</v>
      </c>
      <c r="T5955" s="4">
        <f>IFERROR(__xludf.DUMMYFUNCTION("""COMPUTED_VALUE"""),0.124)</f>
        <v>0.124</v>
      </c>
      <c r="U5955" s="4">
        <f>IFERROR(__xludf.DUMMYFUNCTION("""COMPUTED_VALUE"""),2.1)</f>
        <v>2.1</v>
      </c>
      <c r="V5955" s="4">
        <f>IFERROR(__xludf.DUMMYFUNCTION("""COMPUTED_VALUE"""),22.6)</f>
        <v>22.6</v>
      </c>
    </row>
    <row r="5956">
      <c r="A5956" s="4">
        <f>IFERROR(__xludf.DUMMYFUNCTION("""COMPUTED_VALUE"""),7.0)</f>
        <v>7</v>
      </c>
      <c r="B5956" s="4">
        <f>IFERROR(__xludf.DUMMYFUNCTION("""COMPUTED_VALUE"""),7.0)</f>
        <v>7</v>
      </c>
      <c r="C5956" s="4" t="str">
        <f>IFERROR(__xludf.DUMMYFUNCTION("""COMPUTED_VALUE"""),"HOU")</f>
        <v>HOU</v>
      </c>
      <c r="D5956" s="4" t="str">
        <f>IFERROR(__xludf.DUMMYFUNCTION("""COMPUTED_VALUE"""),"Cliff Meely")</f>
        <v>Cliff Meely</v>
      </c>
      <c r="E5956" s="4" t="str">
        <f>IFERROR(__xludf.DUMMYFUNCTION("""COMPUTED_VALUE"""),"Colorado")</f>
        <v>Colorado</v>
      </c>
      <c r="F5956" s="4">
        <f>IFERROR(__xludf.DUMMYFUNCTION("""COMPUTED_VALUE"""),5.0)</f>
        <v>5</v>
      </c>
      <c r="G5956" s="4">
        <f>IFERROR(__xludf.DUMMYFUNCTION("""COMPUTED_VALUE"""),318.0)</f>
        <v>318</v>
      </c>
      <c r="H5956" s="4">
        <f>IFERROR(__xludf.DUMMYFUNCTION("""COMPUTED_VALUE"""),6329.0)</f>
        <v>6329</v>
      </c>
      <c r="I5956" s="4">
        <f>IFERROR(__xludf.DUMMYFUNCTION("""COMPUTED_VALUE"""),2658.0)</f>
        <v>2658</v>
      </c>
      <c r="J5956" s="4">
        <f>IFERROR(__xludf.DUMMYFUNCTION("""COMPUTED_VALUE"""),1703.0)</f>
        <v>1703</v>
      </c>
      <c r="K5956" s="4">
        <f>IFERROR(__xludf.DUMMYFUNCTION("""COMPUTED_VALUE"""),398.0)</f>
        <v>398</v>
      </c>
      <c r="L5956" s="4">
        <f>IFERROR(__xludf.DUMMYFUNCTION("""COMPUTED_VALUE"""),0.417)</f>
        <v>0.417</v>
      </c>
      <c r="M5956" s="4"/>
      <c r="N5956" s="4">
        <f>IFERROR(__xludf.DUMMYFUNCTION("""COMPUTED_VALUE"""),0.675)</f>
        <v>0.675</v>
      </c>
      <c r="O5956" s="4">
        <f>IFERROR(__xludf.DUMMYFUNCTION("""COMPUTED_VALUE"""),19.9)</f>
        <v>19.9</v>
      </c>
      <c r="P5956" s="4">
        <f>IFERROR(__xludf.DUMMYFUNCTION("""COMPUTED_VALUE"""),8.4)</f>
        <v>8.4</v>
      </c>
      <c r="Q5956" s="4">
        <f>IFERROR(__xludf.DUMMYFUNCTION("""COMPUTED_VALUE"""),5.4)</f>
        <v>5.4</v>
      </c>
      <c r="R5956" s="4">
        <f>IFERROR(__xludf.DUMMYFUNCTION("""COMPUTED_VALUE"""),1.3)</f>
        <v>1.3</v>
      </c>
      <c r="S5956" s="4">
        <f>IFERROR(__xludf.DUMMYFUNCTION("""COMPUTED_VALUE"""),4.6)</f>
        <v>4.6</v>
      </c>
      <c r="T5956" s="4">
        <f>IFERROR(__xludf.DUMMYFUNCTION("""COMPUTED_VALUE"""),0.035)</f>
        <v>0.035</v>
      </c>
      <c r="U5956" s="4">
        <f>IFERROR(__xludf.DUMMYFUNCTION("""COMPUTED_VALUE"""),-2.9)</f>
        <v>-2.9</v>
      </c>
      <c r="V5956" s="4">
        <f>IFERROR(__xludf.DUMMYFUNCTION("""COMPUTED_VALUE"""),-0.6)</f>
        <v>-0.6</v>
      </c>
    </row>
    <row r="5957">
      <c r="A5957" s="4">
        <f>IFERROR(__xludf.DUMMYFUNCTION("""COMPUTED_VALUE"""),8.0)</f>
        <v>8</v>
      </c>
      <c r="B5957" s="4">
        <f>IFERROR(__xludf.DUMMYFUNCTION("""COMPUTED_VALUE"""),8.0)</f>
        <v>8</v>
      </c>
      <c r="C5957" s="4" t="str">
        <f>IFERROR(__xludf.DUMMYFUNCTION("""COMPUTED_VALUE"""),"GSW")</f>
        <v>GSW</v>
      </c>
      <c r="D5957" s="4" t="str">
        <f>IFERROR(__xludf.DUMMYFUNCTION("""COMPUTED_VALUE"""),"Darnell Hillman")</f>
        <v>Darnell Hillman</v>
      </c>
      <c r="E5957" s="4" t="str">
        <f>IFERROR(__xludf.DUMMYFUNCTION("""COMPUTED_VALUE"""),"San Jose State")</f>
        <v>San Jose State</v>
      </c>
      <c r="F5957" s="4">
        <f>IFERROR(__xludf.DUMMYFUNCTION("""COMPUTED_VALUE"""),4.0)</f>
        <v>4</v>
      </c>
      <c r="G5957" s="4">
        <f>IFERROR(__xludf.DUMMYFUNCTION("""COMPUTED_VALUE"""),287.0)</f>
        <v>287</v>
      </c>
      <c r="H5957" s="4">
        <f>IFERROR(__xludf.DUMMYFUNCTION("""COMPUTED_VALUE"""),6594.0)</f>
        <v>6594</v>
      </c>
      <c r="I5957" s="4">
        <f>IFERROR(__xludf.DUMMYFUNCTION("""COMPUTED_VALUE"""),2471.0)</f>
        <v>2471</v>
      </c>
      <c r="J5957" s="4">
        <f>IFERROR(__xludf.DUMMYFUNCTION("""COMPUTED_VALUE"""),1881.0)</f>
        <v>1881</v>
      </c>
      <c r="K5957" s="4">
        <f>IFERROR(__xludf.DUMMYFUNCTION("""COMPUTED_VALUE"""),406.0)</f>
        <v>406</v>
      </c>
      <c r="L5957" s="4">
        <f>IFERROR(__xludf.DUMMYFUNCTION("""COMPUTED_VALUE"""),0.466)</f>
        <v>0.466</v>
      </c>
      <c r="M5957" s="4"/>
      <c r="N5957" s="4">
        <f>IFERROR(__xludf.DUMMYFUNCTION("""COMPUTED_VALUE"""),0.592)</f>
        <v>0.592</v>
      </c>
      <c r="O5957" s="4">
        <f>IFERROR(__xludf.DUMMYFUNCTION("""COMPUTED_VALUE"""),23.0)</f>
        <v>23</v>
      </c>
      <c r="P5957" s="4">
        <f>IFERROR(__xludf.DUMMYFUNCTION("""COMPUTED_VALUE"""),8.6)</f>
        <v>8.6</v>
      </c>
      <c r="Q5957" s="4">
        <f>IFERROR(__xludf.DUMMYFUNCTION("""COMPUTED_VALUE"""),6.6)</f>
        <v>6.6</v>
      </c>
      <c r="R5957" s="4">
        <f>IFERROR(__xludf.DUMMYFUNCTION("""COMPUTED_VALUE"""),1.4)</f>
        <v>1.4</v>
      </c>
      <c r="S5957" s="4">
        <f>IFERROR(__xludf.DUMMYFUNCTION("""COMPUTED_VALUE"""),9.9)</f>
        <v>9.9</v>
      </c>
      <c r="T5957" s="4">
        <f>IFERROR(__xludf.DUMMYFUNCTION("""COMPUTED_VALUE"""),0.072)</f>
        <v>0.072</v>
      </c>
      <c r="U5957" s="4">
        <f>IFERROR(__xludf.DUMMYFUNCTION("""COMPUTED_VALUE"""),-1.8)</f>
        <v>-1.8</v>
      </c>
      <c r="V5957" s="4">
        <f>IFERROR(__xludf.DUMMYFUNCTION("""COMPUTED_VALUE"""),0.3)</f>
        <v>0.3</v>
      </c>
    </row>
    <row r="5958">
      <c r="A5958" s="4">
        <f>IFERROR(__xludf.DUMMYFUNCTION("""COMPUTED_VALUE"""),9.0)</f>
        <v>9</v>
      </c>
      <c r="B5958" s="4">
        <f>IFERROR(__xludf.DUMMYFUNCTION("""COMPUTED_VALUE"""),9.0)</f>
        <v>9</v>
      </c>
      <c r="C5958" s="4" t="str">
        <f>IFERROR(__xludf.DUMMYFUNCTION("""COMPUTED_VALUE"""),"BAL")</f>
        <v>BAL</v>
      </c>
      <c r="D5958" s="4" t="str">
        <f>IFERROR(__xludf.DUMMYFUNCTION("""COMPUTED_VALUE"""),"Stan Love")</f>
        <v>Stan Love</v>
      </c>
      <c r="E5958" s="4" t="str">
        <f>IFERROR(__xludf.DUMMYFUNCTION("""COMPUTED_VALUE"""),"Oregon")</f>
        <v>Oregon</v>
      </c>
      <c r="F5958" s="4">
        <f>IFERROR(__xludf.DUMMYFUNCTION("""COMPUTED_VALUE"""),3.0)</f>
        <v>3</v>
      </c>
      <c r="G5958" s="4">
        <f>IFERROR(__xludf.DUMMYFUNCTION("""COMPUTED_VALUE"""),227.0)</f>
        <v>227</v>
      </c>
      <c r="H5958" s="4">
        <f>IFERROR(__xludf.DUMMYFUNCTION("""COMPUTED_VALUE"""),3451.0)</f>
        <v>3451</v>
      </c>
      <c r="I5958" s="4">
        <f>IFERROR(__xludf.DUMMYFUNCTION("""COMPUTED_VALUE"""),1550.0)</f>
        <v>1550</v>
      </c>
      <c r="J5958" s="4">
        <f>IFERROR(__xludf.DUMMYFUNCTION("""COMPUTED_VALUE"""),905.0)</f>
        <v>905</v>
      </c>
      <c r="K5958" s="4">
        <f>IFERROR(__xludf.DUMMYFUNCTION("""COMPUTED_VALUE"""),172.0)</f>
        <v>172</v>
      </c>
      <c r="L5958" s="4">
        <f>IFERROR(__xludf.DUMMYFUNCTION("""COMPUTED_VALUE"""),0.44)</f>
        <v>0.44</v>
      </c>
      <c r="M5958" s="4"/>
      <c r="N5958" s="4">
        <f>IFERROR(__xludf.DUMMYFUNCTION("""COMPUTED_VALUE"""),0.751)</f>
        <v>0.751</v>
      </c>
      <c r="O5958" s="4">
        <f>IFERROR(__xludf.DUMMYFUNCTION("""COMPUTED_VALUE"""),15.2)</f>
        <v>15.2</v>
      </c>
      <c r="P5958" s="4">
        <f>IFERROR(__xludf.DUMMYFUNCTION("""COMPUTED_VALUE"""),6.8)</f>
        <v>6.8</v>
      </c>
      <c r="Q5958" s="4">
        <f>IFERROR(__xludf.DUMMYFUNCTION("""COMPUTED_VALUE"""),4.0)</f>
        <v>4</v>
      </c>
      <c r="R5958" s="4">
        <f>IFERROR(__xludf.DUMMYFUNCTION("""COMPUTED_VALUE"""),0.8)</f>
        <v>0.8</v>
      </c>
      <c r="S5958" s="4">
        <f>IFERROR(__xludf.DUMMYFUNCTION("""COMPUTED_VALUE"""),5.5)</f>
        <v>5.5</v>
      </c>
      <c r="T5958" s="4">
        <f>IFERROR(__xludf.DUMMYFUNCTION("""COMPUTED_VALUE"""),0.076)</f>
        <v>0.076</v>
      </c>
      <c r="U5958" s="4">
        <f>IFERROR(__xludf.DUMMYFUNCTION("""COMPUTED_VALUE"""),-3.1)</f>
        <v>-3.1</v>
      </c>
      <c r="V5958" s="4">
        <f>IFERROR(__xludf.DUMMYFUNCTION("""COMPUTED_VALUE"""),-0.3)</f>
        <v>-0.3</v>
      </c>
    </row>
    <row r="5959">
      <c r="A5959" s="4">
        <f>IFERROR(__xludf.DUMMYFUNCTION("""COMPUTED_VALUE"""),10.0)</f>
        <v>10</v>
      </c>
      <c r="B5959" s="4">
        <f>IFERROR(__xludf.DUMMYFUNCTION("""COMPUTED_VALUE"""),10.0)</f>
        <v>10</v>
      </c>
      <c r="C5959" s="4" t="str">
        <f>IFERROR(__xludf.DUMMYFUNCTION("""COMPUTED_VALUE"""),"BOS")</f>
        <v>BOS</v>
      </c>
      <c r="D5959" s="4" t="str">
        <f>IFERROR(__xludf.DUMMYFUNCTION("""COMPUTED_VALUE"""),"Clarence Glover")</f>
        <v>Clarence Glover</v>
      </c>
      <c r="E5959" s="4" t="str">
        <f>IFERROR(__xludf.DUMMYFUNCTION("""COMPUTED_VALUE"""),"Western Kentucky")</f>
        <v>Western Kentucky</v>
      </c>
      <c r="F5959" s="4">
        <f>IFERROR(__xludf.DUMMYFUNCTION("""COMPUTED_VALUE"""),1.0)</f>
        <v>1</v>
      </c>
      <c r="G5959" s="4">
        <f>IFERROR(__xludf.DUMMYFUNCTION("""COMPUTED_VALUE"""),25.0)</f>
        <v>25</v>
      </c>
      <c r="H5959" s="4">
        <f>IFERROR(__xludf.DUMMYFUNCTION("""COMPUTED_VALUE"""),119.0)</f>
        <v>119</v>
      </c>
      <c r="I5959" s="4">
        <f>IFERROR(__xludf.DUMMYFUNCTION("""COMPUTED_VALUE"""),65.0)</f>
        <v>65</v>
      </c>
      <c r="J5959" s="4">
        <f>IFERROR(__xludf.DUMMYFUNCTION("""COMPUTED_VALUE"""),46.0)</f>
        <v>46</v>
      </c>
      <c r="K5959" s="4">
        <f>IFERROR(__xludf.DUMMYFUNCTION("""COMPUTED_VALUE"""),4.0)</f>
        <v>4</v>
      </c>
      <c r="L5959" s="4">
        <f>IFERROR(__xludf.DUMMYFUNCTION("""COMPUTED_VALUE"""),0.455)</f>
        <v>0.455</v>
      </c>
      <c r="M5959" s="4"/>
      <c r="N5959" s="4">
        <f>IFERROR(__xludf.DUMMYFUNCTION("""COMPUTED_VALUE"""),0.469)</f>
        <v>0.469</v>
      </c>
      <c r="O5959" s="4">
        <f>IFERROR(__xludf.DUMMYFUNCTION("""COMPUTED_VALUE"""),4.8)</f>
        <v>4.8</v>
      </c>
      <c r="P5959" s="4">
        <f>IFERROR(__xludf.DUMMYFUNCTION("""COMPUTED_VALUE"""),2.6)</f>
        <v>2.6</v>
      </c>
      <c r="Q5959" s="4">
        <f>IFERROR(__xludf.DUMMYFUNCTION("""COMPUTED_VALUE"""),1.8)</f>
        <v>1.8</v>
      </c>
      <c r="R5959" s="4">
        <f>IFERROR(__xludf.DUMMYFUNCTION("""COMPUTED_VALUE"""),0.2)</f>
        <v>0.2</v>
      </c>
      <c r="S5959" s="4">
        <f>IFERROR(__xludf.DUMMYFUNCTION("""COMPUTED_VALUE"""),0.3)</f>
        <v>0.3</v>
      </c>
      <c r="T5959" s="4">
        <f>IFERROR(__xludf.DUMMYFUNCTION("""COMPUTED_VALUE"""),0.103)</f>
        <v>0.103</v>
      </c>
      <c r="U5959" s="4"/>
      <c r="V5959" s="4"/>
    </row>
    <row r="5960">
      <c r="A5960" s="4">
        <f>IFERROR(__xludf.DUMMYFUNCTION("""COMPUTED_VALUE"""),11.0)</f>
        <v>11</v>
      </c>
      <c r="B5960" s="4">
        <f>IFERROR(__xludf.DUMMYFUNCTION("""COMPUTED_VALUE"""),11.0)</f>
        <v>11</v>
      </c>
      <c r="C5960" s="4" t="str">
        <f>IFERROR(__xludf.DUMMYFUNCTION("""COMPUTED_VALUE"""),"DET")</f>
        <v>DET</v>
      </c>
      <c r="D5960" s="4" t="str">
        <f>IFERROR(__xludf.DUMMYFUNCTION("""COMPUTED_VALUE"""),"Curtis Rowe")</f>
        <v>Curtis Rowe</v>
      </c>
      <c r="E5960" s="4" t="str">
        <f>IFERROR(__xludf.DUMMYFUNCTION("""COMPUTED_VALUE"""),"UCLA")</f>
        <v>UCLA</v>
      </c>
      <c r="F5960" s="4">
        <f>IFERROR(__xludf.DUMMYFUNCTION("""COMPUTED_VALUE"""),8.0)</f>
        <v>8</v>
      </c>
      <c r="G5960" s="4">
        <f>IFERROR(__xludf.DUMMYFUNCTION("""COMPUTED_VALUE"""),590.0)</f>
        <v>590</v>
      </c>
      <c r="H5960" s="4">
        <f>IFERROR(__xludf.DUMMYFUNCTION("""COMPUTED_VALUE"""),18277.0)</f>
        <v>18277</v>
      </c>
      <c r="I5960" s="4">
        <f>IFERROR(__xludf.DUMMYFUNCTION("""COMPUTED_VALUE"""),6873.0)</f>
        <v>6873</v>
      </c>
      <c r="J5960" s="4">
        <f>IFERROR(__xludf.DUMMYFUNCTION("""COMPUTED_VALUE"""),4264.0)</f>
        <v>4264</v>
      </c>
      <c r="K5960" s="4">
        <f>IFERROR(__xludf.DUMMYFUNCTION("""COMPUTED_VALUE"""),932.0)</f>
        <v>932</v>
      </c>
      <c r="L5960" s="4">
        <f>IFERROR(__xludf.DUMMYFUNCTION("""COMPUTED_VALUE"""),0.482)</f>
        <v>0.482</v>
      </c>
      <c r="M5960" s="4"/>
      <c r="N5960" s="4">
        <f>IFERROR(__xludf.DUMMYFUNCTION("""COMPUTED_VALUE"""),0.701)</f>
        <v>0.701</v>
      </c>
      <c r="O5960" s="4">
        <f>IFERROR(__xludf.DUMMYFUNCTION("""COMPUTED_VALUE"""),31.0)</f>
        <v>31</v>
      </c>
      <c r="P5960" s="4">
        <f>IFERROR(__xludf.DUMMYFUNCTION("""COMPUTED_VALUE"""),11.6)</f>
        <v>11.6</v>
      </c>
      <c r="Q5960" s="4">
        <f>IFERROR(__xludf.DUMMYFUNCTION("""COMPUTED_VALUE"""),7.2)</f>
        <v>7.2</v>
      </c>
      <c r="R5960" s="4">
        <f>IFERROR(__xludf.DUMMYFUNCTION("""COMPUTED_VALUE"""),1.6)</f>
        <v>1.6</v>
      </c>
      <c r="S5960" s="4">
        <f>IFERROR(__xludf.DUMMYFUNCTION("""COMPUTED_VALUE"""),34.1)</f>
        <v>34.1</v>
      </c>
      <c r="T5960" s="4">
        <f>IFERROR(__xludf.DUMMYFUNCTION("""COMPUTED_VALUE"""),0.09)</f>
        <v>0.09</v>
      </c>
      <c r="U5960" s="4">
        <f>IFERROR(__xludf.DUMMYFUNCTION("""COMPUTED_VALUE"""),-1.0)</f>
        <v>-1</v>
      </c>
      <c r="V5960" s="4">
        <f>IFERROR(__xludf.DUMMYFUNCTION("""COMPUTED_VALUE"""),3.2)</f>
        <v>3.2</v>
      </c>
    </row>
    <row r="5961">
      <c r="A5961" s="4">
        <f>IFERROR(__xludf.DUMMYFUNCTION("""COMPUTED_VALUE"""),12.0)</f>
        <v>12</v>
      </c>
      <c r="B5961" s="4">
        <f>IFERROR(__xludf.DUMMYFUNCTION("""COMPUTED_VALUE"""),12.0)</f>
        <v>12</v>
      </c>
      <c r="C5961" s="4" t="str">
        <f>IFERROR(__xludf.DUMMYFUNCTION("""COMPUTED_VALUE"""),"PHI")</f>
        <v>PHI</v>
      </c>
      <c r="D5961" s="4" t="str">
        <f>IFERROR(__xludf.DUMMYFUNCTION("""COMPUTED_VALUE"""),"Dana Lewis")</f>
        <v>Dana Lewis</v>
      </c>
      <c r="E5961" s="4" t="str">
        <f>IFERROR(__xludf.DUMMYFUNCTION("""COMPUTED_VALUE"""),"Tulsa")</f>
        <v>Tulsa</v>
      </c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</row>
    <row r="5962">
      <c r="A5962" s="4">
        <f>IFERROR(__xludf.DUMMYFUNCTION("""COMPUTED_VALUE"""),13.0)</f>
        <v>13</v>
      </c>
      <c r="B5962" s="4">
        <f>IFERROR(__xludf.DUMMYFUNCTION("""COMPUTED_VALUE"""),13.0)</f>
        <v>13</v>
      </c>
      <c r="C5962" s="4" t="str">
        <f>IFERROR(__xludf.DUMMYFUNCTION("""COMPUTED_VALUE"""),"LAL")</f>
        <v>LAL</v>
      </c>
      <c r="D5962" s="4" t="str">
        <f>IFERROR(__xludf.DUMMYFUNCTION("""COMPUTED_VALUE"""),"Jim Cleamons")</f>
        <v>Jim Cleamons</v>
      </c>
      <c r="E5962" s="4" t="str">
        <f>IFERROR(__xludf.DUMMYFUNCTION("""COMPUTED_VALUE"""),"Ohio State")</f>
        <v>Ohio State</v>
      </c>
      <c r="F5962" s="4">
        <f>IFERROR(__xludf.DUMMYFUNCTION("""COMPUTED_VALUE"""),9.0)</f>
        <v>9</v>
      </c>
      <c r="G5962" s="4">
        <f>IFERROR(__xludf.DUMMYFUNCTION("""COMPUTED_VALUE"""),652.0)</f>
        <v>652</v>
      </c>
      <c r="H5962" s="4">
        <f>IFERROR(__xludf.DUMMYFUNCTION("""COMPUTED_VALUE"""),16994.0)</f>
        <v>16994</v>
      </c>
      <c r="I5962" s="4">
        <f>IFERROR(__xludf.DUMMYFUNCTION("""COMPUTED_VALUE"""),5412.0)</f>
        <v>5412</v>
      </c>
      <c r="J5962" s="4">
        <f>IFERROR(__xludf.DUMMYFUNCTION("""COMPUTED_VALUE"""),1981.0)</f>
        <v>1981</v>
      </c>
      <c r="K5962" s="4">
        <f>IFERROR(__xludf.DUMMYFUNCTION("""COMPUTED_VALUE"""),2531.0)</f>
        <v>2531</v>
      </c>
      <c r="L5962" s="4">
        <f>IFERROR(__xludf.DUMMYFUNCTION("""COMPUTED_VALUE"""),0.46)</f>
        <v>0.46</v>
      </c>
      <c r="M5962" s="4"/>
      <c r="N5962" s="4">
        <f>IFERROR(__xludf.DUMMYFUNCTION("""COMPUTED_VALUE"""),0.765)</f>
        <v>0.765</v>
      </c>
      <c r="O5962" s="4">
        <f>IFERROR(__xludf.DUMMYFUNCTION("""COMPUTED_VALUE"""),26.1)</f>
        <v>26.1</v>
      </c>
      <c r="P5962" s="4">
        <f>IFERROR(__xludf.DUMMYFUNCTION("""COMPUTED_VALUE"""),8.3)</f>
        <v>8.3</v>
      </c>
      <c r="Q5962" s="4">
        <f>IFERROR(__xludf.DUMMYFUNCTION("""COMPUTED_VALUE"""),3.0)</f>
        <v>3</v>
      </c>
      <c r="R5962" s="4">
        <f>IFERROR(__xludf.DUMMYFUNCTION("""COMPUTED_VALUE"""),3.9)</f>
        <v>3.9</v>
      </c>
      <c r="S5962" s="4">
        <f>IFERROR(__xludf.DUMMYFUNCTION("""COMPUTED_VALUE"""),29.1)</f>
        <v>29.1</v>
      </c>
      <c r="T5962" s="4">
        <f>IFERROR(__xludf.DUMMYFUNCTION("""COMPUTED_VALUE"""),0.082)</f>
        <v>0.082</v>
      </c>
      <c r="U5962" s="4">
        <f>IFERROR(__xludf.DUMMYFUNCTION("""COMPUTED_VALUE"""),-0.3)</f>
        <v>-0.3</v>
      </c>
      <c r="V5962" s="4">
        <f>IFERROR(__xludf.DUMMYFUNCTION("""COMPUTED_VALUE"""),6.6)</f>
        <v>6.6</v>
      </c>
    </row>
    <row r="5963">
      <c r="A5963" s="4">
        <f>IFERROR(__xludf.DUMMYFUNCTION("""COMPUTED_VALUE"""),14.0)</f>
        <v>14</v>
      </c>
      <c r="B5963" s="4">
        <f>IFERROR(__xludf.DUMMYFUNCTION("""COMPUTED_VALUE"""),14.0)</f>
        <v>14</v>
      </c>
      <c r="C5963" s="4" t="str">
        <f>IFERROR(__xludf.DUMMYFUNCTION("""COMPUTED_VALUE"""),"PHO")</f>
        <v>PHO</v>
      </c>
      <c r="D5963" s="4" t="str">
        <f>IFERROR(__xludf.DUMMYFUNCTION("""COMPUTED_VALUE"""),"John Roche")</f>
        <v>John Roche</v>
      </c>
      <c r="E5963" s="4" t="str">
        <f>IFERROR(__xludf.DUMMYFUNCTION("""COMPUTED_VALUE"""),"South Carolina")</f>
        <v>South Carolina</v>
      </c>
      <c r="F5963" s="4">
        <f>IFERROR(__xludf.DUMMYFUNCTION("""COMPUTED_VALUE"""),3.0)</f>
        <v>3</v>
      </c>
      <c r="G5963" s="4">
        <f>IFERROR(__xludf.DUMMYFUNCTION("""COMPUTED_VALUE"""),162.0)</f>
        <v>162</v>
      </c>
      <c r="H5963" s="4">
        <f>IFERROR(__xludf.DUMMYFUNCTION("""COMPUTED_VALUE"""),3450.0)</f>
        <v>3450</v>
      </c>
      <c r="I5963" s="4">
        <f>IFERROR(__xludf.DUMMYFUNCTION("""COMPUTED_VALUE"""),1358.0)</f>
        <v>1358</v>
      </c>
      <c r="J5963" s="4">
        <f>IFERROR(__xludf.DUMMYFUNCTION("""COMPUTED_VALUE"""),178.0)</f>
        <v>178</v>
      </c>
      <c r="K5963" s="4">
        <f>IFERROR(__xludf.DUMMYFUNCTION("""COMPUTED_VALUE"""),640.0)</f>
        <v>640</v>
      </c>
      <c r="L5963" s="4">
        <f>IFERROR(__xludf.DUMMYFUNCTION("""COMPUTED_VALUE"""),0.468)</f>
        <v>0.468</v>
      </c>
      <c r="M5963" s="4"/>
      <c r="N5963" s="4">
        <f>IFERROR(__xludf.DUMMYFUNCTION("""COMPUTED_VALUE"""),0.819)</f>
        <v>0.819</v>
      </c>
      <c r="O5963" s="4">
        <f>IFERROR(__xludf.DUMMYFUNCTION("""COMPUTED_VALUE"""),21.3)</f>
        <v>21.3</v>
      </c>
      <c r="P5963" s="4">
        <f>IFERROR(__xludf.DUMMYFUNCTION("""COMPUTED_VALUE"""),8.4)</f>
        <v>8.4</v>
      </c>
      <c r="Q5963" s="4">
        <f>IFERROR(__xludf.DUMMYFUNCTION("""COMPUTED_VALUE"""),1.1)</f>
        <v>1.1</v>
      </c>
      <c r="R5963" s="4">
        <f>IFERROR(__xludf.DUMMYFUNCTION("""COMPUTED_VALUE"""),4.0)</f>
        <v>4</v>
      </c>
      <c r="S5963" s="4">
        <f>IFERROR(__xludf.DUMMYFUNCTION("""COMPUTED_VALUE"""),5.4)</f>
        <v>5.4</v>
      </c>
      <c r="T5963" s="4">
        <f>IFERROR(__xludf.DUMMYFUNCTION("""COMPUTED_VALUE"""),0.075)</f>
        <v>0.075</v>
      </c>
      <c r="U5963" s="4">
        <f>IFERROR(__xludf.DUMMYFUNCTION("""COMPUTED_VALUE"""),-1.2)</f>
        <v>-1.2</v>
      </c>
      <c r="V5963" s="4">
        <f>IFERROR(__xludf.DUMMYFUNCTION("""COMPUTED_VALUE"""),0.6)</f>
        <v>0.6</v>
      </c>
    </row>
    <row r="5964">
      <c r="A5964" s="4">
        <f>IFERROR(__xludf.DUMMYFUNCTION("""COMPUTED_VALUE"""),15.0)</f>
        <v>15</v>
      </c>
      <c r="B5964" s="4">
        <f>IFERROR(__xludf.DUMMYFUNCTION("""COMPUTED_VALUE"""),15.0)</f>
        <v>15</v>
      </c>
      <c r="C5964" s="4" t="str">
        <f>IFERROR(__xludf.DUMMYFUNCTION("""COMPUTED_VALUE"""),"CHI")</f>
        <v>CHI</v>
      </c>
      <c r="D5964" s="4" t="str">
        <f>IFERROR(__xludf.DUMMYFUNCTION("""COMPUTED_VALUE"""),"Kenny McIntosh")</f>
        <v>Kenny McIntosh</v>
      </c>
      <c r="E5964" s="4" t="str">
        <f>IFERROR(__xludf.DUMMYFUNCTION("""COMPUTED_VALUE"""),"Eastern Michigan")</f>
        <v>Eastern Michigan</v>
      </c>
      <c r="F5964" s="4">
        <f>IFERROR(__xludf.DUMMYFUNCTION("""COMPUTED_VALUE"""),4.0)</f>
        <v>4</v>
      </c>
      <c r="G5964" s="4">
        <f>IFERROR(__xludf.DUMMYFUNCTION("""COMPUTED_VALUE"""),177.0)</f>
        <v>177</v>
      </c>
      <c r="H5964" s="4">
        <f>IFERROR(__xludf.DUMMYFUNCTION("""COMPUTED_VALUE"""),3700.0)</f>
        <v>3700</v>
      </c>
      <c r="I5964" s="4">
        <f>IFERROR(__xludf.DUMMYFUNCTION("""COMPUTED_VALUE"""),934.0)</f>
        <v>934</v>
      </c>
      <c r="J5964" s="4">
        <f>IFERROR(__xludf.DUMMYFUNCTION("""COMPUTED_VALUE"""),696.0)</f>
        <v>696</v>
      </c>
      <c r="K5964" s="4">
        <f>IFERROR(__xludf.DUMMYFUNCTION("""COMPUTED_VALUE"""),173.0)</f>
        <v>173</v>
      </c>
      <c r="L5964" s="4">
        <f>IFERROR(__xludf.DUMMYFUNCTION("""COMPUTED_VALUE"""),0.361)</f>
        <v>0.361</v>
      </c>
      <c r="M5964" s="4"/>
      <c r="N5964" s="4">
        <f>IFERROR(__xludf.DUMMYFUNCTION("""COMPUTED_VALUE"""),0.581)</f>
        <v>0.581</v>
      </c>
      <c r="O5964" s="4">
        <f>IFERROR(__xludf.DUMMYFUNCTION("""COMPUTED_VALUE"""),20.9)</f>
        <v>20.9</v>
      </c>
      <c r="P5964" s="4">
        <f>IFERROR(__xludf.DUMMYFUNCTION("""COMPUTED_VALUE"""),5.3)</f>
        <v>5.3</v>
      </c>
      <c r="Q5964" s="4">
        <f>IFERROR(__xludf.DUMMYFUNCTION("""COMPUTED_VALUE"""),3.9)</f>
        <v>3.9</v>
      </c>
      <c r="R5964" s="4">
        <f>IFERROR(__xludf.DUMMYFUNCTION("""COMPUTED_VALUE"""),1.0)</f>
        <v>1</v>
      </c>
      <c r="S5964" s="4">
        <f>IFERROR(__xludf.DUMMYFUNCTION("""COMPUTED_VALUE"""),-1.5)</f>
        <v>-1.5</v>
      </c>
      <c r="T5964" s="4">
        <f>IFERROR(__xludf.DUMMYFUNCTION("""COMPUTED_VALUE"""),-0.02)</f>
        <v>-0.02</v>
      </c>
      <c r="U5964" s="4">
        <f>IFERROR(__xludf.DUMMYFUNCTION("""COMPUTED_VALUE"""),-3.2)</f>
        <v>-3.2</v>
      </c>
      <c r="V5964" s="4">
        <f>IFERROR(__xludf.DUMMYFUNCTION("""COMPUTED_VALUE"""),-0.7)</f>
        <v>-0.7</v>
      </c>
    </row>
    <row r="5965">
      <c r="A5965" s="4">
        <f>IFERROR(__xludf.DUMMYFUNCTION("""COMPUTED_VALUE"""),16.0)</f>
        <v>16</v>
      </c>
      <c r="B5965" s="4">
        <f>IFERROR(__xludf.DUMMYFUNCTION("""COMPUTED_VALUE"""),16.0)</f>
        <v>16</v>
      </c>
      <c r="C5965" s="4" t="str">
        <f>IFERROR(__xludf.DUMMYFUNCTION("""COMPUTED_VALUE"""),"NYK")</f>
        <v>NYK</v>
      </c>
      <c r="D5965" s="4" t="str">
        <f>IFERROR(__xludf.DUMMYFUNCTION("""COMPUTED_VALUE"""),"Dean Meminger")</f>
        <v>Dean Meminger</v>
      </c>
      <c r="E5965" s="4" t="str">
        <f>IFERROR(__xludf.DUMMYFUNCTION("""COMPUTED_VALUE"""),"Marquette")</f>
        <v>Marquette</v>
      </c>
      <c r="F5965" s="4">
        <f>IFERROR(__xludf.DUMMYFUNCTION("""COMPUTED_VALUE"""),6.0)</f>
        <v>6</v>
      </c>
      <c r="G5965" s="4">
        <f>IFERROR(__xludf.DUMMYFUNCTION("""COMPUTED_VALUE"""),416.0)</f>
        <v>416</v>
      </c>
      <c r="H5965" s="4">
        <f>IFERROR(__xludf.DUMMYFUNCTION("""COMPUTED_VALUE"""),8554.0)</f>
        <v>8554</v>
      </c>
      <c r="I5965" s="4">
        <f>IFERROR(__xludf.DUMMYFUNCTION("""COMPUTED_VALUE"""),2552.0)</f>
        <v>2552</v>
      </c>
      <c r="J5965" s="4">
        <f>IFERROR(__xludf.DUMMYFUNCTION("""COMPUTED_VALUE"""),1086.0)</f>
        <v>1086</v>
      </c>
      <c r="K5965" s="4">
        <f>IFERROR(__xludf.DUMMYFUNCTION("""COMPUTED_VALUE"""),1046.0)</f>
        <v>1046</v>
      </c>
      <c r="L5965" s="4">
        <f>IFERROR(__xludf.DUMMYFUNCTION("""COMPUTED_VALUE"""),0.475)</f>
        <v>0.475</v>
      </c>
      <c r="M5965" s="4"/>
      <c r="N5965" s="4">
        <f>IFERROR(__xludf.DUMMYFUNCTION("""COMPUTED_VALUE"""),0.627)</f>
        <v>0.627</v>
      </c>
      <c r="O5965" s="4">
        <f>IFERROR(__xludf.DUMMYFUNCTION("""COMPUTED_VALUE"""),20.6)</f>
        <v>20.6</v>
      </c>
      <c r="P5965" s="4">
        <f>IFERROR(__xludf.DUMMYFUNCTION("""COMPUTED_VALUE"""),6.1)</f>
        <v>6.1</v>
      </c>
      <c r="Q5965" s="4">
        <f>IFERROR(__xludf.DUMMYFUNCTION("""COMPUTED_VALUE"""),2.6)</f>
        <v>2.6</v>
      </c>
      <c r="R5965" s="4">
        <f>IFERROR(__xludf.DUMMYFUNCTION("""COMPUTED_VALUE"""),2.5)</f>
        <v>2.5</v>
      </c>
      <c r="S5965" s="4">
        <f>IFERROR(__xludf.DUMMYFUNCTION("""COMPUTED_VALUE"""),16.6)</f>
        <v>16.6</v>
      </c>
      <c r="T5965" s="4">
        <f>IFERROR(__xludf.DUMMYFUNCTION("""COMPUTED_VALUE"""),0.093)</f>
        <v>0.093</v>
      </c>
      <c r="U5965" s="4">
        <f>IFERROR(__xludf.DUMMYFUNCTION("""COMPUTED_VALUE"""),-0.3)</f>
        <v>-0.3</v>
      </c>
      <c r="V5965" s="4">
        <f>IFERROR(__xludf.DUMMYFUNCTION("""COMPUTED_VALUE"""),2.6)</f>
        <v>2.6</v>
      </c>
    </row>
    <row r="5966">
      <c r="A5966" s="4">
        <f>IFERROR(__xludf.DUMMYFUNCTION("""COMPUTED_VALUE"""),17.0)</f>
        <v>17</v>
      </c>
      <c r="B5966" s="4">
        <f>IFERROR(__xludf.DUMMYFUNCTION("""COMPUTED_VALUE"""),17.0)</f>
        <v>17</v>
      </c>
      <c r="C5966" s="4" t="str">
        <f>IFERROR(__xludf.DUMMYFUNCTION("""COMPUTED_VALUE"""),"MIL")</f>
        <v>MIL</v>
      </c>
      <c r="D5966" s="4" t="str">
        <f>IFERROR(__xludf.DUMMYFUNCTION("""COMPUTED_VALUE"""),"Collis Jones")</f>
        <v>Collis Jones</v>
      </c>
      <c r="E5966" s="4" t="str">
        <f>IFERROR(__xludf.DUMMYFUNCTION("""COMPUTED_VALUE"""),"Notre Dame")</f>
        <v>Notre Dame</v>
      </c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</row>
    <row r="5967">
      <c r="A5967" s="4"/>
      <c r="B5967" s="4"/>
      <c r="C5967" s="4"/>
      <c r="D5967" s="4" t="str">
        <f>IFERROR(__xludf.DUMMYFUNCTION("""COMPUTED_VALUE"""),"Round 2")</f>
        <v>Round 2</v>
      </c>
      <c r="E5967" s="4"/>
      <c r="F5967" s="4"/>
      <c r="G5967" s="4" t="str">
        <f>IFERROR(__xludf.DUMMYFUNCTION("""COMPUTED_VALUE"""),"Totals")</f>
        <v>Totals</v>
      </c>
      <c r="H5967" s="4"/>
      <c r="I5967" s="4"/>
      <c r="J5967" s="4"/>
      <c r="K5967" s="4"/>
      <c r="L5967" s="4" t="str">
        <f>IFERROR(__xludf.DUMMYFUNCTION("""COMPUTED_VALUE"""),"Shooting")</f>
        <v>Shooting</v>
      </c>
      <c r="M5967" s="4"/>
      <c r="N5967" s="4"/>
      <c r="O5967" s="4" t="str">
        <f>IFERROR(__xludf.DUMMYFUNCTION("""COMPUTED_VALUE"""),"Per Game")</f>
        <v>Per Game</v>
      </c>
      <c r="P5967" s="4"/>
      <c r="Q5967" s="4"/>
      <c r="R5967" s="4"/>
      <c r="S5967" s="4" t="str">
        <f>IFERROR(__xludf.DUMMYFUNCTION("""COMPUTED_VALUE"""),"Advanced")</f>
        <v>Advanced</v>
      </c>
      <c r="T5967" s="4"/>
      <c r="U5967" s="4"/>
      <c r="V5967" s="4"/>
    </row>
    <row r="5968">
      <c r="A5968" s="4" t="str">
        <f>IFERROR(__xludf.DUMMYFUNCTION("""COMPUTED_VALUE"""),"Rk")</f>
        <v>Rk</v>
      </c>
      <c r="B5968" s="4" t="str">
        <f>IFERROR(__xludf.DUMMYFUNCTION("""COMPUTED_VALUE"""),"Pk")</f>
        <v>Pk</v>
      </c>
      <c r="C5968" s="4" t="str">
        <f>IFERROR(__xludf.DUMMYFUNCTION("""COMPUTED_VALUE"""),"Tm")</f>
        <v>Tm</v>
      </c>
      <c r="D5968" s="4" t="str">
        <f>IFERROR(__xludf.DUMMYFUNCTION("""COMPUTED_VALUE"""),"Player")</f>
        <v>Player</v>
      </c>
      <c r="E5968" s="4" t="str">
        <f>IFERROR(__xludf.DUMMYFUNCTION("""COMPUTED_VALUE"""),"College")</f>
        <v>College</v>
      </c>
      <c r="F5968" s="4" t="str">
        <f>IFERROR(__xludf.DUMMYFUNCTION("""COMPUTED_VALUE"""),"Yrs")</f>
        <v>Yrs</v>
      </c>
      <c r="G5968" s="4" t="str">
        <f>IFERROR(__xludf.DUMMYFUNCTION("""COMPUTED_VALUE"""),"G")</f>
        <v>G</v>
      </c>
      <c r="H5968" s="4" t="str">
        <f>IFERROR(__xludf.DUMMYFUNCTION("""COMPUTED_VALUE"""),"MP")</f>
        <v>MP</v>
      </c>
      <c r="I5968" s="4" t="str">
        <f>IFERROR(__xludf.DUMMYFUNCTION("""COMPUTED_VALUE"""),"PTS")</f>
        <v>PTS</v>
      </c>
      <c r="J5968" s="4" t="str">
        <f>IFERROR(__xludf.DUMMYFUNCTION("""COMPUTED_VALUE"""),"TRB")</f>
        <v>TRB</v>
      </c>
      <c r="K5968" s="4" t="str">
        <f>IFERROR(__xludf.DUMMYFUNCTION("""COMPUTED_VALUE"""),"AST")</f>
        <v>AST</v>
      </c>
      <c r="L5968" s="4" t="str">
        <f>IFERROR(__xludf.DUMMYFUNCTION("""COMPUTED_VALUE"""),"FG%")</f>
        <v>FG%</v>
      </c>
      <c r="M5968" s="4" t="str">
        <f>IFERROR(__xludf.DUMMYFUNCTION("""COMPUTED_VALUE"""),"3P%")</f>
        <v>3P%</v>
      </c>
      <c r="N5968" s="4" t="str">
        <f>IFERROR(__xludf.DUMMYFUNCTION("""COMPUTED_VALUE"""),"FT%")</f>
        <v>FT%</v>
      </c>
      <c r="O5968" s="4" t="str">
        <f>IFERROR(__xludf.DUMMYFUNCTION("""COMPUTED_VALUE"""),"MP")</f>
        <v>MP</v>
      </c>
      <c r="P5968" s="4" t="str">
        <f>IFERROR(__xludf.DUMMYFUNCTION("""COMPUTED_VALUE"""),"PTS")</f>
        <v>PTS</v>
      </c>
      <c r="Q5968" s="4" t="str">
        <f>IFERROR(__xludf.DUMMYFUNCTION("""COMPUTED_VALUE"""),"TRB")</f>
        <v>TRB</v>
      </c>
      <c r="R5968" s="4" t="str">
        <f>IFERROR(__xludf.DUMMYFUNCTION("""COMPUTED_VALUE"""),"AST")</f>
        <v>AST</v>
      </c>
      <c r="S5968" s="4" t="str">
        <f>IFERROR(__xludf.DUMMYFUNCTION("""COMPUTED_VALUE"""),"WS")</f>
        <v>WS</v>
      </c>
      <c r="T5968" s="4" t="str">
        <f>IFERROR(__xludf.DUMMYFUNCTION("""COMPUTED_VALUE"""),"WS/48")</f>
        <v>WS/48</v>
      </c>
      <c r="U5968" s="4" t="str">
        <f>IFERROR(__xludf.DUMMYFUNCTION("""COMPUTED_VALUE"""),"BPM")</f>
        <v>BPM</v>
      </c>
      <c r="V5968" s="4" t="str">
        <f>IFERROR(__xludf.DUMMYFUNCTION("""COMPUTED_VALUE"""),"VORP")</f>
        <v>VORP</v>
      </c>
    </row>
    <row r="5969">
      <c r="A5969" s="4">
        <f>IFERROR(__xludf.DUMMYFUNCTION("""COMPUTED_VALUE"""),18.0)</f>
        <v>18</v>
      </c>
      <c r="B5969" s="4">
        <f>IFERROR(__xludf.DUMMYFUNCTION("""COMPUTED_VALUE"""),18.0)</f>
        <v>18</v>
      </c>
      <c r="C5969" s="4" t="str">
        <f>IFERROR(__xludf.DUMMYFUNCTION("""COMPUTED_VALUE"""),"CLE")</f>
        <v>CLE</v>
      </c>
      <c r="D5969" s="4" t="str">
        <f>IFERROR(__xludf.DUMMYFUNCTION("""COMPUTED_VALUE"""),"Steve Patterson")</f>
        <v>Steve Patterson</v>
      </c>
      <c r="E5969" s="4" t="str">
        <f>IFERROR(__xludf.DUMMYFUNCTION("""COMPUTED_VALUE"""),"UCLA")</f>
        <v>UCLA</v>
      </c>
      <c r="F5969" s="4">
        <f>IFERROR(__xludf.DUMMYFUNCTION("""COMPUTED_VALUE"""),5.0)</f>
        <v>5</v>
      </c>
      <c r="G5969" s="4">
        <f>IFERROR(__xludf.DUMMYFUNCTION("""COMPUTED_VALUE"""),350.0)</f>
        <v>350</v>
      </c>
      <c r="H5969" s="4">
        <f>IFERROR(__xludf.DUMMYFUNCTION("""COMPUTED_VALUE"""),5582.0)</f>
        <v>5582</v>
      </c>
      <c r="I5969" s="4">
        <f>IFERROR(__xludf.DUMMYFUNCTION("""COMPUTED_VALUE"""),1552.0)</f>
        <v>1552</v>
      </c>
      <c r="J5969" s="4">
        <f>IFERROR(__xludf.DUMMYFUNCTION("""COMPUTED_VALUE"""),1632.0)</f>
        <v>1632</v>
      </c>
      <c r="K5969" s="4">
        <f>IFERROR(__xludf.DUMMYFUNCTION("""COMPUTED_VALUE"""),443.0)</f>
        <v>443</v>
      </c>
      <c r="L5969" s="4">
        <f>IFERROR(__xludf.DUMMYFUNCTION("""COMPUTED_VALUE"""),0.403)</f>
        <v>0.403</v>
      </c>
      <c r="M5969" s="4"/>
      <c r="N5969" s="4">
        <f>IFERROR(__xludf.DUMMYFUNCTION("""COMPUTED_VALUE"""),0.594)</f>
        <v>0.594</v>
      </c>
      <c r="O5969" s="4">
        <f>IFERROR(__xludf.DUMMYFUNCTION("""COMPUTED_VALUE"""),15.9)</f>
        <v>15.9</v>
      </c>
      <c r="P5969" s="4">
        <f>IFERROR(__xludf.DUMMYFUNCTION("""COMPUTED_VALUE"""),4.4)</f>
        <v>4.4</v>
      </c>
      <c r="Q5969" s="4">
        <f>IFERROR(__xludf.DUMMYFUNCTION("""COMPUTED_VALUE"""),4.7)</f>
        <v>4.7</v>
      </c>
      <c r="R5969" s="4">
        <f>IFERROR(__xludf.DUMMYFUNCTION("""COMPUTED_VALUE"""),1.3)</f>
        <v>1.3</v>
      </c>
      <c r="S5969" s="4">
        <f>IFERROR(__xludf.DUMMYFUNCTION("""COMPUTED_VALUE"""),4.8)</f>
        <v>4.8</v>
      </c>
      <c r="T5969" s="4">
        <f>IFERROR(__xludf.DUMMYFUNCTION("""COMPUTED_VALUE"""),0.041)</f>
        <v>0.041</v>
      </c>
      <c r="U5969" s="4">
        <f>IFERROR(__xludf.DUMMYFUNCTION("""COMPUTED_VALUE"""),-1.2)</f>
        <v>-1.2</v>
      </c>
      <c r="V5969" s="4">
        <f>IFERROR(__xludf.DUMMYFUNCTION("""COMPUTED_VALUE"""),0.9)</f>
        <v>0.9</v>
      </c>
    </row>
    <row r="5970">
      <c r="A5970" s="4">
        <f>IFERROR(__xludf.DUMMYFUNCTION("""COMPUTED_VALUE"""),19.0)</f>
        <v>19</v>
      </c>
      <c r="B5970" s="4">
        <f>IFERROR(__xludf.DUMMYFUNCTION("""COMPUTED_VALUE"""),19.0)</f>
        <v>19</v>
      </c>
      <c r="C5970" s="4" t="str">
        <f>IFERROR(__xludf.DUMMYFUNCTION("""COMPUTED_VALUE"""),"BUF")</f>
        <v>BUF</v>
      </c>
      <c r="D5970" s="4" t="str">
        <f>IFERROR(__xludf.DUMMYFUNCTION("""COMPUTED_VALUE"""),"Fred Hilton")</f>
        <v>Fred Hilton</v>
      </c>
      <c r="E5970" s="4" t="str">
        <f>IFERROR(__xludf.DUMMYFUNCTION("""COMPUTED_VALUE"""),"Grambling State University")</f>
        <v>Grambling State University</v>
      </c>
      <c r="F5970" s="4">
        <f>IFERROR(__xludf.DUMMYFUNCTION("""COMPUTED_VALUE"""),2.0)</f>
        <v>2</v>
      </c>
      <c r="G5970" s="4">
        <f>IFERROR(__xludf.DUMMYFUNCTION("""COMPUTED_VALUE"""),120.0)</f>
        <v>120</v>
      </c>
      <c r="H5970" s="4">
        <f>IFERROR(__xludf.DUMMYFUNCTION("""COMPUTED_VALUE"""),2080.0)</f>
        <v>2080</v>
      </c>
      <c r="I5970" s="4">
        <f>IFERROR(__xludf.DUMMYFUNCTION("""COMPUTED_VALUE"""),1131.0)</f>
        <v>1131</v>
      </c>
      <c r="J5970" s="4">
        <f>IFERROR(__xludf.DUMMYFUNCTION("""COMPUTED_VALUE"""),254.0)</f>
        <v>254</v>
      </c>
      <c r="K5970" s="4">
        <f>IFERROR(__xludf.DUMMYFUNCTION("""COMPUTED_VALUE"""),190.0)</f>
        <v>190</v>
      </c>
      <c r="L5970" s="4">
        <f>IFERROR(__xludf.DUMMYFUNCTION("""COMPUTED_VALUE"""),0.388)</f>
        <v>0.388</v>
      </c>
      <c r="M5970" s="4"/>
      <c r="N5970" s="4">
        <f>IFERROR(__xludf.DUMMYFUNCTION("""COMPUTED_VALUE"""),0.749)</f>
        <v>0.749</v>
      </c>
      <c r="O5970" s="4">
        <f>IFERROR(__xludf.DUMMYFUNCTION("""COMPUTED_VALUE"""),17.3)</f>
        <v>17.3</v>
      </c>
      <c r="P5970" s="4">
        <f>IFERROR(__xludf.DUMMYFUNCTION("""COMPUTED_VALUE"""),9.4)</f>
        <v>9.4</v>
      </c>
      <c r="Q5970" s="4">
        <f>IFERROR(__xludf.DUMMYFUNCTION("""COMPUTED_VALUE"""),2.1)</f>
        <v>2.1</v>
      </c>
      <c r="R5970" s="4">
        <f>IFERROR(__xludf.DUMMYFUNCTION("""COMPUTED_VALUE"""),1.6)</f>
        <v>1.6</v>
      </c>
      <c r="S5970" s="4">
        <f>IFERROR(__xludf.DUMMYFUNCTION("""COMPUTED_VALUE"""),-3.5)</f>
        <v>-3.5</v>
      </c>
      <c r="T5970" s="4">
        <f>IFERROR(__xludf.DUMMYFUNCTION("""COMPUTED_VALUE"""),-0.08)</f>
        <v>-0.08</v>
      </c>
      <c r="U5970" s="4"/>
      <c r="V5970" s="4"/>
    </row>
    <row r="5971">
      <c r="A5971" s="4">
        <f>IFERROR(__xludf.DUMMYFUNCTION("""COMPUTED_VALUE"""),20.0)</f>
        <v>20</v>
      </c>
      <c r="B5971" s="4">
        <f>IFERROR(__xludf.DUMMYFUNCTION("""COMPUTED_VALUE"""),20.0)</f>
        <v>20</v>
      </c>
      <c r="C5971" s="4" t="str">
        <f>IFERROR(__xludf.DUMMYFUNCTION("""COMPUTED_VALUE"""),"CHI")</f>
        <v>CHI</v>
      </c>
      <c r="D5971" s="4" t="str">
        <f>IFERROR(__xludf.DUMMYFUNCTION("""COMPUTED_VALUE"""),"Willie Sojourner")</f>
        <v>Willie Sojourner</v>
      </c>
      <c r="E5971" s="4" t="str">
        <f>IFERROR(__xludf.DUMMYFUNCTION("""COMPUTED_VALUE"""),"Weber State")</f>
        <v>Weber State</v>
      </c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</row>
    <row r="5972">
      <c r="A5972" s="4">
        <f>IFERROR(__xludf.DUMMYFUNCTION("""COMPUTED_VALUE"""),21.0)</f>
        <v>21</v>
      </c>
      <c r="B5972" s="4">
        <f>IFERROR(__xludf.DUMMYFUNCTION("""COMPUTED_VALUE"""),21.0)</f>
        <v>21</v>
      </c>
      <c r="C5972" s="4" t="str">
        <f>IFERROR(__xludf.DUMMYFUNCTION("""COMPUTED_VALUE"""),"CIN")</f>
        <v>CIN</v>
      </c>
      <c r="D5972" s="4" t="str">
        <f>IFERROR(__xludf.DUMMYFUNCTION("""COMPUTED_VALUE"""),"John Mengelt")</f>
        <v>John Mengelt</v>
      </c>
      <c r="E5972" s="4" t="str">
        <f>IFERROR(__xludf.DUMMYFUNCTION("""COMPUTED_VALUE"""),"Auburn")</f>
        <v>Auburn</v>
      </c>
      <c r="F5972" s="4">
        <f>IFERROR(__xludf.DUMMYFUNCTION("""COMPUTED_VALUE"""),10.0)</f>
        <v>10</v>
      </c>
      <c r="G5972" s="4">
        <f>IFERROR(__xludf.DUMMYFUNCTION("""COMPUTED_VALUE"""),636.0)</f>
        <v>636</v>
      </c>
      <c r="H5972" s="4">
        <f>IFERROR(__xludf.DUMMYFUNCTION("""COMPUTED_VALUE"""),12788.0)</f>
        <v>12788</v>
      </c>
      <c r="I5972" s="4">
        <f>IFERROR(__xludf.DUMMYFUNCTION("""COMPUTED_VALUE"""),6218.0)</f>
        <v>6218</v>
      </c>
      <c r="J5972" s="4">
        <f>IFERROR(__xludf.DUMMYFUNCTION("""COMPUTED_VALUE"""),1221.0)</f>
        <v>1221</v>
      </c>
      <c r="K5972" s="4">
        <f>IFERROR(__xludf.DUMMYFUNCTION("""COMPUTED_VALUE"""),1329.0)</f>
        <v>1329</v>
      </c>
      <c r="L5972" s="4">
        <f>IFERROR(__xludf.DUMMYFUNCTION("""COMPUTED_VALUE"""),0.479)</f>
        <v>0.479</v>
      </c>
      <c r="M5972" s="4"/>
      <c r="N5972" s="4">
        <f>IFERROR(__xludf.DUMMYFUNCTION("""COMPUTED_VALUE"""),0.809)</f>
        <v>0.809</v>
      </c>
      <c r="O5972" s="4">
        <f>IFERROR(__xludf.DUMMYFUNCTION("""COMPUTED_VALUE"""),20.1)</f>
        <v>20.1</v>
      </c>
      <c r="P5972" s="4">
        <f>IFERROR(__xludf.DUMMYFUNCTION("""COMPUTED_VALUE"""),9.8)</f>
        <v>9.8</v>
      </c>
      <c r="Q5972" s="4">
        <f>IFERROR(__xludf.DUMMYFUNCTION("""COMPUTED_VALUE"""),1.9)</f>
        <v>1.9</v>
      </c>
      <c r="R5972" s="4">
        <f>IFERROR(__xludf.DUMMYFUNCTION("""COMPUTED_VALUE"""),2.1)</f>
        <v>2.1</v>
      </c>
      <c r="S5972" s="4">
        <f>IFERROR(__xludf.DUMMYFUNCTION("""COMPUTED_VALUE"""),27.9)</f>
        <v>27.9</v>
      </c>
      <c r="T5972" s="4">
        <f>IFERROR(__xludf.DUMMYFUNCTION("""COMPUTED_VALUE"""),0.105)</f>
        <v>0.105</v>
      </c>
      <c r="U5972" s="4">
        <f>IFERROR(__xludf.DUMMYFUNCTION("""COMPUTED_VALUE"""),-1.1)</f>
        <v>-1.1</v>
      </c>
      <c r="V5972" s="4">
        <f>IFERROR(__xludf.DUMMYFUNCTION("""COMPUTED_VALUE"""),2.2)</f>
        <v>2.2</v>
      </c>
    </row>
    <row r="5973">
      <c r="A5973" s="4">
        <f>IFERROR(__xludf.DUMMYFUNCTION("""COMPUTED_VALUE"""),22.0)</f>
        <v>22</v>
      </c>
      <c r="B5973" s="4">
        <f>IFERROR(__xludf.DUMMYFUNCTION("""COMPUTED_VALUE"""),22.0)</f>
        <v>22</v>
      </c>
      <c r="C5973" s="4" t="str">
        <f>IFERROR(__xludf.DUMMYFUNCTION("""COMPUTED_VALUE"""),"ATL")</f>
        <v>ATL</v>
      </c>
      <c r="D5973" s="4" t="str">
        <f>IFERROR(__xludf.DUMMYFUNCTION("""COMPUTED_VALUE"""),"Ted McClain")</f>
        <v>Ted McClain</v>
      </c>
      <c r="E5973" s="4" t="str">
        <f>IFERROR(__xludf.DUMMYFUNCTION("""COMPUTED_VALUE"""),"Tennessee State")</f>
        <v>Tennessee State</v>
      </c>
      <c r="F5973" s="4">
        <f>IFERROR(__xludf.DUMMYFUNCTION("""COMPUTED_VALUE"""),3.0)</f>
        <v>3</v>
      </c>
      <c r="G5973" s="4">
        <f>IFERROR(__xludf.DUMMYFUNCTION("""COMPUTED_VALUE"""),178.0)</f>
        <v>178</v>
      </c>
      <c r="H5973" s="4">
        <f>IFERROR(__xludf.DUMMYFUNCTION("""COMPUTED_VALUE"""),3487.0)</f>
        <v>3487</v>
      </c>
      <c r="I5973" s="4">
        <f>IFERROR(__xludf.DUMMYFUNCTION("""COMPUTED_VALUE"""),1058.0)</f>
        <v>1058</v>
      </c>
      <c r="J5973" s="4">
        <f>IFERROR(__xludf.DUMMYFUNCTION("""COMPUTED_VALUE"""),410.0)</f>
        <v>410</v>
      </c>
      <c r="K5973" s="4">
        <f>IFERROR(__xludf.DUMMYFUNCTION("""COMPUTED_VALUE"""),541.0)</f>
        <v>541</v>
      </c>
      <c r="L5973" s="4">
        <f>IFERROR(__xludf.DUMMYFUNCTION("""COMPUTED_VALUE"""),0.447)</f>
        <v>0.447</v>
      </c>
      <c r="M5973" s="4"/>
      <c r="N5973" s="4">
        <f>IFERROR(__xludf.DUMMYFUNCTION("""COMPUTED_VALUE"""),0.786)</f>
        <v>0.786</v>
      </c>
      <c r="O5973" s="4">
        <f>IFERROR(__xludf.DUMMYFUNCTION("""COMPUTED_VALUE"""),19.6)</f>
        <v>19.6</v>
      </c>
      <c r="P5973" s="4">
        <f>IFERROR(__xludf.DUMMYFUNCTION("""COMPUTED_VALUE"""),5.9)</f>
        <v>5.9</v>
      </c>
      <c r="Q5973" s="4">
        <f>IFERROR(__xludf.DUMMYFUNCTION("""COMPUTED_VALUE"""),2.3)</f>
        <v>2.3</v>
      </c>
      <c r="R5973" s="4">
        <f>IFERROR(__xludf.DUMMYFUNCTION("""COMPUTED_VALUE"""),3.0)</f>
        <v>3</v>
      </c>
      <c r="S5973" s="4">
        <f>IFERROR(__xludf.DUMMYFUNCTION("""COMPUTED_VALUE"""),4.0)</f>
        <v>4</v>
      </c>
      <c r="T5973" s="4">
        <f>IFERROR(__xludf.DUMMYFUNCTION("""COMPUTED_VALUE"""),0.055)</f>
        <v>0.055</v>
      </c>
      <c r="U5973" s="4">
        <f>IFERROR(__xludf.DUMMYFUNCTION("""COMPUTED_VALUE"""),-1.9)</f>
        <v>-1.9</v>
      </c>
      <c r="V5973" s="4">
        <f>IFERROR(__xludf.DUMMYFUNCTION("""COMPUTED_VALUE"""),0.1)</f>
        <v>0.1</v>
      </c>
    </row>
    <row r="5974">
      <c r="A5974" s="4">
        <f>IFERROR(__xludf.DUMMYFUNCTION("""COMPUTED_VALUE"""),23.0)</f>
        <v>23</v>
      </c>
      <c r="B5974" s="4">
        <f>IFERROR(__xludf.DUMMYFUNCTION("""COMPUTED_VALUE"""),23.0)</f>
        <v>23</v>
      </c>
      <c r="C5974" s="4" t="str">
        <f>IFERROR(__xludf.DUMMYFUNCTION("""COMPUTED_VALUE"""),"SEA")</f>
        <v>SEA</v>
      </c>
      <c r="D5974" s="4" t="str">
        <f>IFERROR(__xludf.DUMMYFUNCTION("""COMPUTED_VALUE"""),"Jim McDaniels")</f>
        <v>Jim McDaniels</v>
      </c>
      <c r="E5974" s="4" t="str">
        <f>IFERROR(__xludf.DUMMYFUNCTION("""COMPUTED_VALUE"""),"Western Kentucky")</f>
        <v>Western Kentucky</v>
      </c>
      <c r="F5974" s="4">
        <f>IFERROR(__xludf.DUMMYFUNCTION("""COMPUTED_VALUE"""),3.0)</f>
        <v>3</v>
      </c>
      <c r="G5974" s="4">
        <f>IFERROR(__xludf.DUMMYFUNCTION("""COMPUTED_VALUE"""),184.0)</f>
        <v>184</v>
      </c>
      <c r="H5974" s="4">
        <f>IFERROR(__xludf.DUMMYFUNCTION("""COMPUTED_VALUE"""),2705.0)</f>
        <v>2705</v>
      </c>
      <c r="I5974" s="4">
        <f>IFERROR(__xludf.DUMMYFUNCTION("""COMPUTED_VALUE"""),967.0)</f>
        <v>967</v>
      </c>
      <c r="J5974" s="4">
        <f>IFERROR(__xludf.DUMMYFUNCTION("""COMPUTED_VALUE"""),810.0)</f>
        <v>810</v>
      </c>
      <c r="K5974" s="4">
        <f>IFERROR(__xludf.DUMMYFUNCTION("""COMPUTED_VALUE"""),170.0)</f>
        <v>170</v>
      </c>
      <c r="L5974" s="4">
        <f>IFERROR(__xludf.DUMMYFUNCTION("""COMPUTED_VALUE"""),0.402)</f>
        <v>0.402</v>
      </c>
      <c r="M5974" s="4"/>
      <c r="N5974" s="4">
        <f>IFERROR(__xludf.DUMMYFUNCTION("""COMPUTED_VALUE"""),0.703)</f>
        <v>0.703</v>
      </c>
      <c r="O5974" s="4">
        <f>IFERROR(__xludf.DUMMYFUNCTION("""COMPUTED_VALUE"""),14.7)</f>
        <v>14.7</v>
      </c>
      <c r="P5974" s="4">
        <f>IFERROR(__xludf.DUMMYFUNCTION("""COMPUTED_VALUE"""),5.3)</f>
        <v>5.3</v>
      </c>
      <c r="Q5974" s="4">
        <f>IFERROR(__xludf.DUMMYFUNCTION("""COMPUTED_VALUE"""),4.4)</f>
        <v>4.4</v>
      </c>
      <c r="R5974" s="4">
        <f>IFERROR(__xludf.DUMMYFUNCTION("""COMPUTED_VALUE"""),0.9)</f>
        <v>0.9</v>
      </c>
      <c r="S5974" s="4">
        <f>IFERROR(__xludf.DUMMYFUNCTION("""COMPUTED_VALUE"""),0.7)</f>
        <v>0.7</v>
      </c>
      <c r="T5974" s="4">
        <f>IFERROR(__xludf.DUMMYFUNCTION("""COMPUTED_VALUE"""),0.012)</f>
        <v>0.012</v>
      </c>
      <c r="U5974" s="4">
        <f>IFERROR(__xludf.DUMMYFUNCTION("""COMPUTED_VALUE"""),-3.7)</f>
        <v>-3.7</v>
      </c>
      <c r="V5974" s="4">
        <f>IFERROR(__xludf.DUMMYFUNCTION("""COMPUTED_VALUE"""),-0.6)</f>
        <v>-0.6</v>
      </c>
    </row>
    <row r="5975">
      <c r="A5975" s="4">
        <f>IFERROR(__xludf.DUMMYFUNCTION("""COMPUTED_VALUE"""),24.0)</f>
        <v>24</v>
      </c>
      <c r="B5975" s="4">
        <f>IFERROR(__xludf.DUMMYFUNCTION("""COMPUTED_VALUE"""),24.0)</f>
        <v>24</v>
      </c>
      <c r="C5975" s="4" t="str">
        <f>IFERROR(__xludf.DUMMYFUNCTION("""COMPUTED_VALUE"""),"HOU")</f>
        <v>HOU</v>
      </c>
      <c r="D5975" s="4" t="str">
        <f>IFERROR(__xludf.DUMMYFUNCTION("""COMPUTED_VALUE"""),"Mike Newlin")</f>
        <v>Mike Newlin</v>
      </c>
      <c r="E5975" s="4" t="str">
        <f>IFERROR(__xludf.DUMMYFUNCTION("""COMPUTED_VALUE"""),"Utah")</f>
        <v>Utah</v>
      </c>
      <c r="F5975" s="4">
        <f>IFERROR(__xludf.DUMMYFUNCTION("""COMPUTED_VALUE"""),11.0)</f>
        <v>11</v>
      </c>
      <c r="G5975" s="4">
        <f>IFERROR(__xludf.DUMMYFUNCTION("""COMPUTED_VALUE"""),837.0)</f>
        <v>837</v>
      </c>
      <c r="H5975" s="4">
        <f>IFERROR(__xludf.DUMMYFUNCTION("""COMPUTED_VALUE"""),24574.0)</f>
        <v>24574</v>
      </c>
      <c r="I5975" s="4">
        <f>IFERROR(__xludf.DUMMYFUNCTION("""COMPUTED_VALUE"""),12507.0)</f>
        <v>12507</v>
      </c>
      <c r="J5975" s="4">
        <f>IFERROR(__xludf.DUMMYFUNCTION("""COMPUTED_VALUE"""),2494.0)</f>
        <v>2494</v>
      </c>
      <c r="K5975" s="4">
        <f>IFERROR(__xludf.DUMMYFUNCTION("""COMPUTED_VALUE"""),3364.0)</f>
        <v>3364</v>
      </c>
      <c r="L5975" s="4">
        <f>IFERROR(__xludf.DUMMYFUNCTION("""COMPUTED_VALUE"""),0.466)</f>
        <v>0.466</v>
      </c>
      <c r="M5975" s="4"/>
      <c r="N5975" s="4">
        <f>IFERROR(__xludf.DUMMYFUNCTION("""COMPUTED_VALUE"""),0.87)</f>
        <v>0.87</v>
      </c>
      <c r="O5975" s="4">
        <f>IFERROR(__xludf.DUMMYFUNCTION("""COMPUTED_VALUE"""),29.4)</f>
        <v>29.4</v>
      </c>
      <c r="P5975" s="4">
        <f>IFERROR(__xludf.DUMMYFUNCTION("""COMPUTED_VALUE"""),14.9)</f>
        <v>14.9</v>
      </c>
      <c r="Q5975" s="4">
        <f>IFERROR(__xludf.DUMMYFUNCTION("""COMPUTED_VALUE"""),3.0)</f>
        <v>3</v>
      </c>
      <c r="R5975" s="4">
        <f>IFERROR(__xludf.DUMMYFUNCTION("""COMPUTED_VALUE"""),4.0)</f>
        <v>4</v>
      </c>
      <c r="S5975" s="4">
        <f>IFERROR(__xludf.DUMMYFUNCTION("""COMPUTED_VALUE"""),50.4)</f>
        <v>50.4</v>
      </c>
      <c r="T5975" s="4">
        <f>IFERROR(__xludf.DUMMYFUNCTION("""COMPUTED_VALUE"""),0.098)</f>
        <v>0.098</v>
      </c>
      <c r="U5975" s="4">
        <f>IFERROR(__xludf.DUMMYFUNCTION("""COMPUTED_VALUE"""),-0.5)</f>
        <v>-0.5</v>
      </c>
      <c r="V5975" s="4">
        <f>IFERROR(__xludf.DUMMYFUNCTION("""COMPUTED_VALUE"""),7.6)</f>
        <v>7.6</v>
      </c>
    </row>
    <row r="5976">
      <c r="A5976" s="4">
        <f>IFERROR(__xludf.DUMMYFUNCTION("""COMPUTED_VALUE"""),25.0)</f>
        <v>25</v>
      </c>
      <c r="B5976" s="4">
        <f>IFERROR(__xludf.DUMMYFUNCTION("""COMPUTED_VALUE"""),25.0)</f>
        <v>25</v>
      </c>
      <c r="C5976" s="4" t="str">
        <f>IFERROR(__xludf.DUMMYFUNCTION("""COMPUTED_VALUE"""),"POR")</f>
        <v>POR</v>
      </c>
      <c r="D5976" s="4" t="str">
        <f>IFERROR(__xludf.DUMMYFUNCTION("""COMPUTED_VALUE"""),"Charlie Yelverton")</f>
        <v>Charlie Yelverton</v>
      </c>
      <c r="E5976" s="4" t="str">
        <f>IFERROR(__xludf.DUMMYFUNCTION("""COMPUTED_VALUE"""),"Fordham")</f>
        <v>Fordham</v>
      </c>
      <c r="F5976" s="4">
        <f>IFERROR(__xludf.DUMMYFUNCTION("""COMPUTED_VALUE"""),1.0)</f>
        <v>1</v>
      </c>
      <c r="G5976" s="4">
        <f>IFERROR(__xludf.DUMMYFUNCTION("""COMPUTED_VALUE"""),69.0)</f>
        <v>69</v>
      </c>
      <c r="H5976" s="4">
        <f>IFERROR(__xludf.DUMMYFUNCTION("""COMPUTED_VALUE"""),1227.0)</f>
        <v>1227</v>
      </c>
      <c r="I5976" s="4">
        <f>IFERROR(__xludf.DUMMYFUNCTION("""COMPUTED_VALUE"""),545.0)</f>
        <v>545</v>
      </c>
      <c r="J5976" s="4">
        <f>IFERROR(__xludf.DUMMYFUNCTION("""COMPUTED_VALUE"""),201.0)</f>
        <v>201</v>
      </c>
      <c r="K5976" s="4">
        <f>IFERROR(__xludf.DUMMYFUNCTION("""COMPUTED_VALUE"""),81.0)</f>
        <v>81</v>
      </c>
      <c r="L5976" s="4">
        <f>IFERROR(__xludf.DUMMYFUNCTION("""COMPUTED_VALUE"""),0.389)</f>
        <v>0.389</v>
      </c>
      <c r="M5976" s="4"/>
      <c r="N5976" s="4">
        <f>IFERROR(__xludf.DUMMYFUNCTION("""COMPUTED_VALUE"""),0.707)</f>
        <v>0.707</v>
      </c>
      <c r="O5976" s="4">
        <f>IFERROR(__xludf.DUMMYFUNCTION("""COMPUTED_VALUE"""),17.8)</f>
        <v>17.8</v>
      </c>
      <c r="P5976" s="4">
        <f>IFERROR(__xludf.DUMMYFUNCTION("""COMPUTED_VALUE"""),7.9)</f>
        <v>7.9</v>
      </c>
      <c r="Q5976" s="4">
        <f>IFERROR(__xludf.DUMMYFUNCTION("""COMPUTED_VALUE"""),2.9)</f>
        <v>2.9</v>
      </c>
      <c r="R5976" s="4">
        <f>IFERROR(__xludf.DUMMYFUNCTION("""COMPUTED_VALUE"""),1.2)</f>
        <v>1.2</v>
      </c>
      <c r="S5976" s="4">
        <f>IFERROR(__xludf.DUMMYFUNCTION("""COMPUTED_VALUE"""),-0.5)</f>
        <v>-0.5</v>
      </c>
      <c r="T5976" s="4">
        <f>IFERROR(__xludf.DUMMYFUNCTION("""COMPUTED_VALUE"""),-0.018)</f>
        <v>-0.018</v>
      </c>
      <c r="U5976" s="4"/>
      <c r="V5976" s="4"/>
    </row>
    <row r="5977">
      <c r="A5977" s="4">
        <f>IFERROR(__xludf.DUMMYFUNCTION("""COMPUTED_VALUE"""),26.0)</f>
        <v>26</v>
      </c>
      <c r="B5977" s="4">
        <f>IFERROR(__xludf.DUMMYFUNCTION("""COMPUTED_VALUE"""),26.0)</f>
        <v>26</v>
      </c>
      <c r="C5977" s="4" t="str">
        <f>IFERROR(__xludf.DUMMYFUNCTION("""COMPUTED_VALUE"""),"BUF")</f>
        <v>BUF</v>
      </c>
      <c r="D5977" s="4" t="str">
        <f>IFERROR(__xludf.DUMMYFUNCTION("""COMPUTED_VALUE"""),"Amos Thomas")</f>
        <v>Amos Thomas</v>
      </c>
      <c r="E5977" s="4" t="str">
        <f>IFERROR(__xludf.DUMMYFUNCTION("""COMPUTED_VALUE"""),"Southwestern Oklahoma State University")</f>
        <v>Southwestern Oklahoma State University</v>
      </c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</row>
    <row r="5978">
      <c r="A5978" s="4">
        <f>IFERROR(__xludf.DUMMYFUNCTION("""COMPUTED_VALUE"""),27.0)</f>
        <v>27</v>
      </c>
      <c r="B5978" s="4">
        <f>IFERROR(__xludf.DUMMYFUNCTION("""COMPUTED_VALUE"""),27.0)</f>
        <v>27</v>
      </c>
      <c r="C5978" s="4" t="str">
        <f>IFERROR(__xludf.DUMMYFUNCTION("""COMPUTED_VALUE"""),"POR")</f>
        <v>POR</v>
      </c>
      <c r="D5978" s="4" t="str">
        <f>IFERROR(__xludf.DUMMYFUNCTION("""COMPUTED_VALUE"""),"Rick Fisher")</f>
        <v>Rick Fisher</v>
      </c>
      <c r="E5978" s="4" t="str">
        <f>IFERROR(__xludf.DUMMYFUNCTION("""COMPUTED_VALUE"""),"Colorado State")</f>
        <v>Colorado State</v>
      </c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</row>
    <row r="5979">
      <c r="A5979" s="4">
        <f>IFERROR(__xludf.DUMMYFUNCTION("""COMPUTED_VALUE"""),28.0)</f>
        <v>28</v>
      </c>
      <c r="B5979" s="4">
        <f>IFERROR(__xludf.DUMMYFUNCTION("""COMPUTED_VALUE"""),28.0)</f>
        <v>28</v>
      </c>
      <c r="C5979" s="4" t="str">
        <f>IFERROR(__xludf.DUMMYFUNCTION("""COMPUTED_VALUE"""),"BOS")</f>
        <v>BOS</v>
      </c>
      <c r="D5979" s="4" t="str">
        <f>IFERROR(__xludf.DUMMYFUNCTION("""COMPUTED_VALUE"""),"Jim Rose")</f>
        <v>Jim Rose</v>
      </c>
      <c r="E5979" s="4" t="str">
        <f>IFERROR(__xludf.DUMMYFUNCTION("""COMPUTED_VALUE"""),"Western Kentucky")</f>
        <v>Western Kentucky</v>
      </c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</row>
    <row r="5980">
      <c r="A5980" s="4">
        <f>IFERROR(__xludf.DUMMYFUNCTION("""COMPUTED_VALUE"""),29.0)</f>
        <v>29</v>
      </c>
      <c r="B5980" s="4">
        <f>IFERROR(__xludf.DUMMYFUNCTION("""COMPUTED_VALUE"""),29.0)</f>
        <v>29</v>
      </c>
      <c r="C5980" s="4" t="str">
        <f>IFERROR(__xludf.DUMMYFUNCTION("""COMPUTED_VALUE"""),"DET")</f>
        <v>DET</v>
      </c>
      <c r="D5980" s="4" t="str">
        <f>IFERROR(__xludf.DUMMYFUNCTION("""COMPUTED_VALUE"""),"Isaiah Wilson")</f>
        <v>Isaiah Wilson</v>
      </c>
      <c r="E5980" s="4" t="str">
        <f>IFERROR(__xludf.DUMMYFUNCTION("""COMPUTED_VALUE"""),"University of Baltimore")</f>
        <v>University of Baltimore</v>
      </c>
      <c r="F5980" s="4">
        <f>IFERROR(__xludf.DUMMYFUNCTION("""COMPUTED_VALUE"""),1.0)</f>
        <v>1</v>
      </c>
      <c r="G5980" s="4">
        <f>IFERROR(__xludf.DUMMYFUNCTION("""COMPUTED_VALUE"""),48.0)</f>
        <v>48</v>
      </c>
      <c r="H5980" s="4">
        <f>IFERROR(__xludf.DUMMYFUNCTION("""COMPUTED_VALUE"""),322.0)</f>
        <v>322</v>
      </c>
      <c r="I5980" s="4">
        <f>IFERROR(__xludf.DUMMYFUNCTION("""COMPUTED_VALUE"""),167.0)</f>
        <v>167</v>
      </c>
      <c r="J5980" s="4">
        <f>IFERROR(__xludf.DUMMYFUNCTION("""COMPUTED_VALUE"""),47.0)</f>
        <v>47</v>
      </c>
      <c r="K5980" s="4">
        <f>IFERROR(__xludf.DUMMYFUNCTION("""COMPUTED_VALUE"""),41.0)</f>
        <v>41</v>
      </c>
      <c r="L5980" s="4">
        <f>IFERROR(__xludf.DUMMYFUNCTION("""COMPUTED_VALUE"""),0.356)</f>
        <v>0.356</v>
      </c>
      <c r="M5980" s="4"/>
      <c r="N5980" s="4">
        <f>IFERROR(__xludf.DUMMYFUNCTION("""COMPUTED_VALUE"""),0.732)</f>
        <v>0.732</v>
      </c>
      <c r="O5980" s="4">
        <f>IFERROR(__xludf.DUMMYFUNCTION("""COMPUTED_VALUE"""),6.7)</f>
        <v>6.7</v>
      </c>
      <c r="P5980" s="4">
        <f>IFERROR(__xludf.DUMMYFUNCTION("""COMPUTED_VALUE"""),3.5)</f>
        <v>3.5</v>
      </c>
      <c r="Q5980" s="4">
        <f>IFERROR(__xludf.DUMMYFUNCTION("""COMPUTED_VALUE"""),1.0)</f>
        <v>1</v>
      </c>
      <c r="R5980" s="4">
        <f>IFERROR(__xludf.DUMMYFUNCTION("""COMPUTED_VALUE"""),0.9)</f>
        <v>0.9</v>
      </c>
      <c r="S5980" s="4">
        <f>IFERROR(__xludf.DUMMYFUNCTION("""COMPUTED_VALUE"""),-0.5)</f>
        <v>-0.5</v>
      </c>
      <c r="T5980" s="4">
        <f>IFERROR(__xludf.DUMMYFUNCTION("""COMPUTED_VALUE"""),-0.074)</f>
        <v>-0.074</v>
      </c>
      <c r="U5980" s="4"/>
      <c r="V5980" s="4"/>
    </row>
    <row r="5981">
      <c r="A5981" s="4">
        <f>IFERROR(__xludf.DUMMYFUNCTION("""COMPUTED_VALUE"""),30.0)</f>
        <v>30</v>
      </c>
      <c r="B5981" s="4">
        <f>IFERROR(__xludf.DUMMYFUNCTION("""COMPUTED_VALUE"""),30.0)</f>
        <v>30</v>
      </c>
      <c r="C5981" s="4" t="str">
        <f>IFERROR(__xludf.DUMMYFUNCTION("""COMPUTED_VALUE"""),"BUF")</f>
        <v>BUF</v>
      </c>
      <c r="D5981" s="4" t="str">
        <f>IFERROR(__xludf.DUMMYFUNCTION("""COMPUTED_VALUE"""),"Spencer Haywood")</f>
        <v>Spencer Haywood</v>
      </c>
      <c r="E5981" s="4" t="str">
        <f>IFERROR(__xludf.DUMMYFUNCTION("""COMPUTED_VALUE"""),"Detroit Mercy")</f>
        <v>Detroit Mercy</v>
      </c>
      <c r="F5981" s="4">
        <f>IFERROR(__xludf.DUMMYFUNCTION("""COMPUTED_VALUE"""),12.0)</f>
        <v>12</v>
      </c>
      <c r="G5981" s="4">
        <f>IFERROR(__xludf.DUMMYFUNCTION("""COMPUTED_VALUE"""),760.0)</f>
        <v>760</v>
      </c>
      <c r="H5981" s="4">
        <f>IFERROR(__xludf.DUMMYFUNCTION("""COMPUTED_VALUE"""),25600.0)</f>
        <v>25600</v>
      </c>
      <c r="I5981" s="4">
        <f>IFERROR(__xludf.DUMMYFUNCTION("""COMPUTED_VALUE"""),14592.0)</f>
        <v>14592</v>
      </c>
      <c r="J5981" s="4">
        <f>IFERROR(__xludf.DUMMYFUNCTION("""COMPUTED_VALUE"""),7038.0)</f>
        <v>7038</v>
      </c>
      <c r="K5981" s="4">
        <f>IFERROR(__xludf.DUMMYFUNCTION("""COMPUTED_VALUE"""),1351.0)</f>
        <v>1351</v>
      </c>
      <c r="L5981" s="4">
        <f>IFERROR(__xludf.DUMMYFUNCTION("""COMPUTED_VALUE"""),0.465)</f>
        <v>0.465</v>
      </c>
      <c r="M5981" s="4"/>
      <c r="N5981" s="4">
        <f>IFERROR(__xludf.DUMMYFUNCTION("""COMPUTED_VALUE"""),0.8)</f>
        <v>0.8</v>
      </c>
      <c r="O5981" s="4">
        <f>IFERROR(__xludf.DUMMYFUNCTION("""COMPUTED_VALUE"""),33.7)</f>
        <v>33.7</v>
      </c>
      <c r="P5981" s="4">
        <f>IFERROR(__xludf.DUMMYFUNCTION("""COMPUTED_VALUE"""),19.2)</f>
        <v>19.2</v>
      </c>
      <c r="Q5981" s="4">
        <f>IFERROR(__xludf.DUMMYFUNCTION("""COMPUTED_VALUE"""),9.3)</f>
        <v>9.3</v>
      </c>
      <c r="R5981" s="4">
        <f>IFERROR(__xludf.DUMMYFUNCTION("""COMPUTED_VALUE"""),1.8)</f>
        <v>1.8</v>
      </c>
      <c r="S5981" s="4">
        <f>IFERROR(__xludf.DUMMYFUNCTION("""COMPUTED_VALUE"""),61.4)</f>
        <v>61.4</v>
      </c>
      <c r="T5981" s="4">
        <f>IFERROR(__xludf.DUMMYFUNCTION("""COMPUTED_VALUE"""),0.115)</f>
        <v>0.115</v>
      </c>
      <c r="U5981" s="4">
        <f>IFERROR(__xludf.DUMMYFUNCTION("""COMPUTED_VALUE"""),-0.3)</f>
        <v>-0.3</v>
      </c>
      <c r="V5981" s="4">
        <f>IFERROR(__xludf.DUMMYFUNCTION("""COMPUTED_VALUE"""),7.7)</f>
        <v>7.7</v>
      </c>
    </row>
    <row r="5982">
      <c r="A5982" s="4">
        <f>IFERROR(__xludf.DUMMYFUNCTION("""COMPUTED_VALUE"""),31.0)</f>
        <v>31</v>
      </c>
      <c r="B5982" s="4">
        <f>IFERROR(__xludf.DUMMYFUNCTION("""COMPUTED_VALUE"""),31.0)</f>
        <v>31</v>
      </c>
      <c r="C5982" s="4" t="str">
        <f>IFERROR(__xludf.DUMMYFUNCTION("""COMPUTED_VALUE"""),"CIN")</f>
        <v>CIN</v>
      </c>
      <c r="D5982" s="4" t="str">
        <f>IFERROR(__xludf.DUMMYFUNCTION("""COMPUTED_VALUE"""),"Joe Bergman")</f>
        <v>Joe Bergman</v>
      </c>
      <c r="E5982" s="4" t="str">
        <f>IFERROR(__xludf.DUMMYFUNCTION("""COMPUTED_VALUE"""),"Creighton")</f>
        <v>Creighton</v>
      </c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</row>
    <row r="5983">
      <c r="A5983" s="4">
        <f>IFERROR(__xludf.DUMMYFUNCTION("""COMPUTED_VALUE"""),32.0)</f>
        <v>32</v>
      </c>
      <c r="B5983" s="4">
        <f>IFERROR(__xludf.DUMMYFUNCTION("""COMPUTED_VALUE"""),32.0)</f>
        <v>32</v>
      </c>
      <c r="C5983" s="4" t="str">
        <f>IFERROR(__xludf.DUMMYFUNCTION("""COMPUTED_VALUE"""),"CHI")</f>
        <v>CHI</v>
      </c>
      <c r="D5983" s="4" t="str">
        <f>IFERROR(__xludf.DUMMYFUNCTION("""COMPUTED_VALUE"""),"Howard Porter")</f>
        <v>Howard Porter</v>
      </c>
      <c r="E5983" s="4" t="str">
        <f>IFERROR(__xludf.DUMMYFUNCTION("""COMPUTED_VALUE"""),"Villanova")</f>
        <v>Villanova</v>
      </c>
      <c r="F5983" s="4">
        <f>IFERROR(__xludf.DUMMYFUNCTION("""COMPUTED_VALUE"""),7.0)</f>
        <v>7</v>
      </c>
      <c r="G5983" s="4">
        <f>IFERROR(__xludf.DUMMYFUNCTION("""COMPUTED_VALUE"""),457.0)</f>
        <v>457</v>
      </c>
      <c r="H5983" s="4">
        <f>IFERROR(__xludf.DUMMYFUNCTION("""COMPUTED_VALUE"""),8534.0)</f>
        <v>8534</v>
      </c>
      <c r="I5983" s="4">
        <f>IFERROR(__xludf.DUMMYFUNCTION("""COMPUTED_VALUE"""),4215.0)</f>
        <v>4215</v>
      </c>
      <c r="J5983" s="4">
        <f>IFERROR(__xludf.DUMMYFUNCTION("""COMPUTED_VALUE"""),1872.0)</f>
        <v>1872</v>
      </c>
      <c r="K5983" s="4">
        <f>IFERROR(__xludf.DUMMYFUNCTION("""COMPUTED_VALUE"""),211.0)</f>
        <v>211</v>
      </c>
      <c r="L5983" s="4">
        <f>IFERROR(__xludf.DUMMYFUNCTION("""COMPUTED_VALUE"""),0.469)</f>
        <v>0.469</v>
      </c>
      <c r="M5983" s="4"/>
      <c r="N5983" s="4">
        <f>IFERROR(__xludf.DUMMYFUNCTION("""COMPUTED_VALUE"""),0.802)</f>
        <v>0.802</v>
      </c>
      <c r="O5983" s="4">
        <f>IFERROR(__xludf.DUMMYFUNCTION("""COMPUTED_VALUE"""),18.7)</f>
        <v>18.7</v>
      </c>
      <c r="P5983" s="4">
        <f>IFERROR(__xludf.DUMMYFUNCTION("""COMPUTED_VALUE"""),9.2)</f>
        <v>9.2</v>
      </c>
      <c r="Q5983" s="4">
        <f>IFERROR(__xludf.DUMMYFUNCTION("""COMPUTED_VALUE"""),4.1)</f>
        <v>4.1</v>
      </c>
      <c r="R5983" s="4">
        <f>IFERROR(__xludf.DUMMYFUNCTION("""COMPUTED_VALUE"""),0.5)</f>
        <v>0.5</v>
      </c>
      <c r="S5983" s="4">
        <f>IFERROR(__xludf.DUMMYFUNCTION("""COMPUTED_VALUE"""),17.6)</f>
        <v>17.6</v>
      </c>
      <c r="T5983" s="4">
        <f>IFERROR(__xludf.DUMMYFUNCTION("""COMPUTED_VALUE"""),0.099)</f>
        <v>0.099</v>
      </c>
      <c r="U5983" s="4">
        <f>IFERROR(__xludf.DUMMYFUNCTION("""COMPUTED_VALUE"""),-1.0)</f>
        <v>-1</v>
      </c>
      <c r="V5983" s="4">
        <f>IFERROR(__xludf.DUMMYFUNCTION("""COMPUTED_VALUE"""),1.8)</f>
        <v>1.8</v>
      </c>
    </row>
    <row r="5984">
      <c r="A5984" s="4">
        <f>IFERROR(__xludf.DUMMYFUNCTION("""COMPUTED_VALUE"""),33.0)</f>
        <v>33</v>
      </c>
      <c r="B5984" s="4">
        <f>IFERROR(__xludf.DUMMYFUNCTION("""COMPUTED_VALUE"""),33.0)</f>
        <v>33</v>
      </c>
      <c r="C5984" s="4" t="str">
        <f>IFERROR(__xludf.DUMMYFUNCTION("""COMPUTED_VALUE"""),"PHI")</f>
        <v>PHI</v>
      </c>
      <c r="D5984" s="4" t="str">
        <f>IFERROR(__xludf.DUMMYFUNCTION("""COMPUTED_VALUE"""),"Marvin Stewart")</f>
        <v>Marvin Stewart</v>
      </c>
      <c r="E5984" s="4" t="str">
        <f>IFERROR(__xludf.DUMMYFUNCTION("""COMPUTED_VALUE"""),"Nebraska")</f>
        <v>Nebraska</v>
      </c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</row>
    <row r="5985">
      <c r="A5985" s="4">
        <f>IFERROR(__xludf.DUMMYFUNCTION("""COMPUTED_VALUE"""),34.0)</f>
        <v>34</v>
      </c>
      <c r="B5985" s="4">
        <f>IFERROR(__xludf.DUMMYFUNCTION("""COMPUTED_VALUE"""),34.0)</f>
        <v>34</v>
      </c>
      <c r="C5985" s="4" t="str">
        <f>IFERROR(__xludf.DUMMYFUNCTION("""COMPUTED_VALUE"""),"NYK")</f>
        <v>NYK</v>
      </c>
      <c r="D5985" s="4" t="str">
        <f>IFERROR(__xludf.DUMMYFUNCTION("""COMPUTED_VALUE"""),"Gregg Northington")</f>
        <v>Gregg Northington</v>
      </c>
      <c r="E5985" s="4" t="str">
        <f>IFERROR(__xludf.DUMMYFUNCTION("""COMPUTED_VALUE"""),"Alabama State University")</f>
        <v>Alabama State University</v>
      </c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</row>
    <row r="5986">
      <c r="A5986" s="4">
        <f>IFERROR(__xludf.DUMMYFUNCTION("""COMPUTED_VALUE"""),35.0)</f>
        <v>35</v>
      </c>
      <c r="B5986" s="4">
        <f>IFERROR(__xludf.DUMMYFUNCTION("""COMPUTED_VALUE"""),35.0)</f>
        <v>35</v>
      </c>
      <c r="C5986" s="4" t="str">
        <f>IFERROR(__xludf.DUMMYFUNCTION("""COMPUTED_VALUE"""),"CLE")</f>
        <v>CLE</v>
      </c>
      <c r="D5986" s="4" t="str">
        <f>IFERROR(__xludf.DUMMYFUNCTION("""COMPUTED_VALUE"""),"Willie Long")</f>
        <v>Willie Long</v>
      </c>
      <c r="E5986" s="4" t="str">
        <f>IFERROR(__xludf.DUMMYFUNCTION("""COMPUTED_VALUE"""),"New Mexico")</f>
        <v>New Mexico</v>
      </c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</row>
    <row r="5987">
      <c r="A5987" s="4"/>
      <c r="B5987" s="4"/>
      <c r="C5987" s="4"/>
      <c r="D5987" s="4" t="str">
        <f>IFERROR(__xludf.DUMMYFUNCTION("""COMPUTED_VALUE"""),"Round 3")</f>
        <v>Round 3</v>
      </c>
      <c r="E5987" s="4"/>
      <c r="F5987" s="4"/>
      <c r="G5987" s="4" t="str">
        <f>IFERROR(__xludf.DUMMYFUNCTION("""COMPUTED_VALUE"""),"Totals")</f>
        <v>Totals</v>
      </c>
      <c r="H5987" s="4"/>
      <c r="I5987" s="4"/>
      <c r="J5987" s="4"/>
      <c r="K5987" s="4"/>
      <c r="L5987" s="4" t="str">
        <f>IFERROR(__xludf.DUMMYFUNCTION("""COMPUTED_VALUE"""),"Shooting")</f>
        <v>Shooting</v>
      </c>
      <c r="M5987" s="4"/>
      <c r="N5987" s="4"/>
      <c r="O5987" s="4" t="str">
        <f>IFERROR(__xludf.DUMMYFUNCTION("""COMPUTED_VALUE"""),"Per Game")</f>
        <v>Per Game</v>
      </c>
      <c r="P5987" s="4"/>
      <c r="Q5987" s="4"/>
      <c r="R5987" s="4"/>
      <c r="S5987" s="4" t="str">
        <f>IFERROR(__xludf.DUMMYFUNCTION("""COMPUTED_VALUE"""),"Advanced")</f>
        <v>Advanced</v>
      </c>
      <c r="T5987" s="4"/>
      <c r="U5987" s="4"/>
      <c r="V5987" s="4"/>
    </row>
    <row r="5988">
      <c r="A5988" s="4" t="str">
        <f>IFERROR(__xludf.DUMMYFUNCTION("""COMPUTED_VALUE"""),"Rk")</f>
        <v>Rk</v>
      </c>
      <c r="B5988" s="4" t="str">
        <f>IFERROR(__xludf.DUMMYFUNCTION("""COMPUTED_VALUE"""),"Pk")</f>
        <v>Pk</v>
      </c>
      <c r="C5988" s="4" t="str">
        <f>IFERROR(__xludf.DUMMYFUNCTION("""COMPUTED_VALUE"""),"Tm")</f>
        <v>Tm</v>
      </c>
      <c r="D5988" s="4" t="str">
        <f>IFERROR(__xludf.DUMMYFUNCTION("""COMPUTED_VALUE"""),"Player")</f>
        <v>Player</v>
      </c>
      <c r="E5988" s="4" t="str">
        <f>IFERROR(__xludf.DUMMYFUNCTION("""COMPUTED_VALUE"""),"College")</f>
        <v>College</v>
      </c>
      <c r="F5988" s="4" t="str">
        <f>IFERROR(__xludf.DUMMYFUNCTION("""COMPUTED_VALUE"""),"Yrs")</f>
        <v>Yrs</v>
      </c>
      <c r="G5988" s="4" t="str">
        <f>IFERROR(__xludf.DUMMYFUNCTION("""COMPUTED_VALUE"""),"G")</f>
        <v>G</v>
      </c>
      <c r="H5988" s="4" t="str">
        <f>IFERROR(__xludf.DUMMYFUNCTION("""COMPUTED_VALUE"""),"MP")</f>
        <v>MP</v>
      </c>
      <c r="I5988" s="4" t="str">
        <f>IFERROR(__xludf.DUMMYFUNCTION("""COMPUTED_VALUE"""),"PTS")</f>
        <v>PTS</v>
      </c>
      <c r="J5988" s="4" t="str">
        <f>IFERROR(__xludf.DUMMYFUNCTION("""COMPUTED_VALUE"""),"TRB")</f>
        <v>TRB</v>
      </c>
      <c r="K5988" s="4" t="str">
        <f>IFERROR(__xludf.DUMMYFUNCTION("""COMPUTED_VALUE"""),"AST")</f>
        <v>AST</v>
      </c>
      <c r="L5988" s="4" t="str">
        <f>IFERROR(__xludf.DUMMYFUNCTION("""COMPUTED_VALUE"""),"FG%")</f>
        <v>FG%</v>
      </c>
      <c r="M5988" s="4" t="str">
        <f>IFERROR(__xludf.DUMMYFUNCTION("""COMPUTED_VALUE"""),"3P%")</f>
        <v>3P%</v>
      </c>
      <c r="N5988" s="4" t="str">
        <f>IFERROR(__xludf.DUMMYFUNCTION("""COMPUTED_VALUE"""),"FT%")</f>
        <v>FT%</v>
      </c>
      <c r="O5988" s="4" t="str">
        <f>IFERROR(__xludf.DUMMYFUNCTION("""COMPUTED_VALUE"""),"MP")</f>
        <v>MP</v>
      </c>
      <c r="P5988" s="4" t="str">
        <f>IFERROR(__xludf.DUMMYFUNCTION("""COMPUTED_VALUE"""),"PTS")</f>
        <v>PTS</v>
      </c>
      <c r="Q5988" s="4" t="str">
        <f>IFERROR(__xludf.DUMMYFUNCTION("""COMPUTED_VALUE"""),"TRB")</f>
        <v>TRB</v>
      </c>
      <c r="R5988" s="4" t="str">
        <f>IFERROR(__xludf.DUMMYFUNCTION("""COMPUTED_VALUE"""),"AST")</f>
        <v>AST</v>
      </c>
      <c r="S5988" s="4" t="str">
        <f>IFERROR(__xludf.DUMMYFUNCTION("""COMPUTED_VALUE"""),"WS")</f>
        <v>WS</v>
      </c>
      <c r="T5988" s="4" t="str">
        <f>IFERROR(__xludf.DUMMYFUNCTION("""COMPUTED_VALUE"""),"WS/48")</f>
        <v>WS/48</v>
      </c>
      <c r="U5988" s="4" t="str">
        <f>IFERROR(__xludf.DUMMYFUNCTION("""COMPUTED_VALUE"""),"BPM")</f>
        <v>BPM</v>
      </c>
      <c r="V5988" s="4" t="str">
        <f>IFERROR(__xludf.DUMMYFUNCTION("""COMPUTED_VALUE"""),"VORP")</f>
        <v>VORP</v>
      </c>
    </row>
    <row r="5989">
      <c r="A5989" s="4">
        <f>IFERROR(__xludf.DUMMYFUNCTION("""COMPUTED_VALUE"""),36.0)</f>
        <v>36</v>
      </c>
      <c r="B5989" s="4">
        <f>IFERROR(__xludf.DUMMYFUNCTION("""COMPUTED_VALUE"""),36.0)</f>
        <v>36</v>
      </c>
      <c r="C5989" s="4" t="str">
        <f>IFERROR(__xludf.DUMMYFUNCTION("""COMPUTED_VALUE"""),"CLE")</f>
        <v>CLE</v>
      </c>
      <c r="D5989" s="4" t="str">
        <f>IFERROR(__xludf.DUMMYFUNCTION("""COMPUTED_VALUE"""),"Gerald Lockett")</f>
        <v>Gerald Lockett</v>
      </c>
      <c r="E5989" s="4" t="str">
        <f>IFERROR(__xludf.DUMMYFUNCTION("""COMPUTED_VALUE"""),"University of Arkansas at Pine Bluff")</f>
        <v>University of Arkansas at Pine Bluff</v>
      </c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</row>
    <row r="5990">
      <c r="A5990" s="4">
        <f>IFERROR(__xludf.DUMMYFUNCTION("""COMPUTED_VALUE"""),37.0)</f>
        <v>37</v>
      </c>
      <c r="B5990" s="4">
        <f>IFERROR(__xludf.DUMMYFUNCTION("""COMPUTED_VALUE"""),37.0)</f>
        <v>37</v>
      </c>
      <c r="C5990" s="4" t="str">
        <f>IFERROR(__xludf.DUMMYFUNCTION("""COMPUTED_VALUE"""),"POR")</f>
        <v>POR</v>
      </c>
      <c r="D5990" s="4" t="str">
        <f>IFERROR(__xludf.DUMMYFUNCTION("""COMPUTED_VALUE"""),"Larry Steele")</f>
        <v>Larry Steele</v>
      </c>
      <c r="E5990" s="4" t="str">
        <f>IFERROR(__xludf.DUMMYFUNCTION("""COMPUTED_VALUE"""),"Kentucky")</f>
        <v>Kentucky</v>
      </c>
      <c r="F5990" s="4">
        <f>IFERROR(__xludf.DUMMYFUNCTION("""COMPUTED_VALUE"""),9.0)</f>
        <v>9</v>
      </c>
      <c r="G5990" s="4">
        <f>IFERROR(__xludf.DUMMYFUNCTION("""COMPUTED_VALUE"""),610.0)</f>
        <v>610</v>
      </c>
      <c r="H5990" s="4">
        <f>IFERROR(__xludf.DUMMYFUNCTION("""COMPUTED_VALUE"""),14777.0)</f>
        <v>14777</v>
      </c>
      <c r="I5990" s="4">
        <f>IFERROR(__xludf.DUMMYFUNCTION("""COMPUTED_VALUE"""),5009.0)</f>
        <v>5009</v>
      </c>
      <c r="J5990" s="4">
        <f>IFERROR(__xludf.DUMMYFUNCTION("""COMPUTED_VALUE"""),1781.0)</f>
        <v>1781</v>
      </c>
      <c r="K5990" s="4">
        <f>IFERROR(__xludf.DUMMYFUNCTION("""COMPUTED_VALUE"""),1719.0)</f>
        <v>1719</v>
      </c>
      <c r="L5990" s="4">
        <f>IFERROR(__xludf.DUMMYFUNCTION("""COMPUTED_VALUE"""),0.483)</f>
        <v>0.483</v>
      </c>
      <c r="M5990" s="4"/>
      <c r="N5990" s="4">
        <f>IFERROR(__xludf.DUMMYFUNCTION("""COMPUTED_VALUE"""),0.796)</f>
        <v>0.796</v>
      </c>
      <c r="O5990" s="4">
        <f>IFERROR(__xludf.DUMMYFUNCTION("""COMPUTED_VALUE"""),24.2)</f>
        <v>24.2</v>
      </c>
      <c r="P5990" s="4">
        <f>IFERROR(__xludf.DUMMYFUNCTION("""COMPUTED_VALUE"""),8.2)</f>
        <v>8.2</v>
      </c>
      <c r="Q5990" s="4">
        <f>IFERROR(__xludf.DUMMYFUNCTION("""COMPUTED_VALUE"""),2.9)</f>
        <v>2.9</v>
      </c>
      <c r="R5990" s="4">
        <f>IFERROR(__xludf.DUMMYFUNCTION("""COMPUTED_VALUE"""),2.8)</f>
        <v>2.8</v>
      </c>
      <c r="S5990" s="4">
        <f>IFERROR(__xludf.DUMMYFUNCTION("""COMPUTED_VALUE"""),28.2)</f>
        <v>28.2</v>
      </c>
      <c r="T5990" s="4">
        <f>IFERROR(__xludf.DUMMYFUNCTION("""COMPUTED_VALUE"""),0.091)</f>
        <v>0.091</v>
      </c>
      <c r="U5990" s="4">
        <f>IFERROR(__xludf.DUMMYFUNCTION("""COMPUTED_VALUE"""),0.2)</f>
        <v>0.2</v>
      </c>
      <c r="V5990" s="4">
        <f>IFERROR(__xludf.DUMMYFUNCTION("""COMPUTED_VALUE"""),6.7)</f>
        <v>6.7</v>
      </c>
    </row>
    <row r="5991">
      <c r="A5991" s="4">
        <f>IFERROR(__xludf.DUMMYFUNCTION("""COMPUTED_VALUE"""),38.0)</f>
        <v>38</v>
      </c>
      <c r="B5991" s="4">
        <f>IFERROR(__xludf.DUMMYFUNCTION("""COMPUTED_VALUE"""),38.0)</f>
        <v>38</v>
      </c>
      <c r="C5991" s="4" t="str">
        <f>IFERROR(__xludf.DUMMYFUNCTION("""COMPUTED_VALUE"""),"CIN")</f>
        <v>CIN</v>
      </c>
      <c r="D5991" s="4" t="str">
        <f>IFERROR(__xludf.DUMMYFUNCTION("""COMPUTED_VALUE"""),"Rich Yunkus")</f>
        <v>Rich Yunkus</v>
      </c>
      <c r="E5991" s="4" t="str">
        <f>IFERROR(__xludf.DUMMYFUNCTION("""COMPUTED_VALUE"""),"Georgia Tech")</f>
        <v>Georgia Tech</v>
      </c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</row>
    <row r="5992">
      <c r="A5992" s="4">
        <f>IFERROR(__xludf.DUMMYFUNCTION("""COMPUTED_VALUE"""),39.0)</f>
        <v>39</v>
      </c>
      <c r="B5992" s="4">
        <f>IFERROR(__xludf.DUMMYFUNCTION("""COMPUTED_VALUE"""),39.0)</f>
        <v>39</v>
      </c>
      <c r="C5992" s="4" t="str">
        <f>IFERROR(__xludf.DUMMYFUNCTION("""COMPUTED_VALUE"""),"ATL")</f>
        <v>ATL</v>
      </c>
      <c r="D5992" s="4" t="str">
        <f>IFERROR(__xludf.DUMMYFUNCTION("""COMPUTED_VALUE"""),"Jeff Halliburton")</f>
        <v>Jeff Halliburton</v>
      </c>
      <c r="E5992" s="4" t="str">
        <f>IFERROR(__xludf.DUMMYFUNCTION("""COMPUTED_VALUE"""),"Drake University")</f>
        <v>Drake University</v>
      </c>
      <c r="F5992" s="4">
        <f>IFERROR(__xludf.DUMMYFUNCTION("""COMPUTED_VALUE"""),2.0)</f>
        <v>2</v>
      </c>
      <c r="G5992" s="4">
        <f>IFERROR(__xludf.DUMMYFUNCTION("""COMPUTED_VALUE"""),92.0)</f>
        <v>92</v>
      </c>
      <c r="H5992" s="4">
        <f>IFERROR(__xludf.DUMMYFUNCTION("""COMPUTED_VALUE"""),1075.0)</f>
        <v>1075</v>
      </c>
      <c r="I5992" s="4">
        <f>IFERROR(__xludf.DUMMYFUNCTION("""COMPUTED_VALUE"""),562.0)</f>
        <v>562</v>
      </c>
      <c r="J5992" s="4">
        <f>IFERROR(__xludf.DUMMYFUNCTION("""COMPUTED_VALUE"""),145.0)</f>
        <v>145</v>
      </c>
      <c r="K5992" s="4">
        <f>IFERROR(__xludf.DUMMYFUNCTION("""COMPUTED_VALUE"""),116.0)</f>
        <v>116</v>
      </c>
      <c r="L5992" s="4">
        <f>IFERROR(__xludf.DUMMYFUNCTION("""COMPUTED_VALUE"""),0.44)</f>
        <v>0.44</v>
      </c>
      <c r="M5992" s="4"/>
      <c r="N5992" s="4">
        <f>IFERROR(__xludf.DUMMYFUNCTION("""COMPUTED_VALUE"""),0.814)</f>
        <v>0.814</v>
      </c>
      <c r="O5992" s="4">
        <f>IFERROR(__xludf.DUMMYFUNCTION("""COMPUTED_VALUE"""),11.7)</f>
        <v>11.7</v>
      </c>
      <c r="P5992" s="4">
        <f>IFERROR(__xludf.DUMMYFUNCTION("""COMPUTED_VALUE"""),6.1)</f>
        <v>6.1</v>
      </c>
      <c r="Q5992" s="4">
        <f>IFERROR(__xludf.DUMMYFUNCTION("""COMPUTED_VALUE"""),1.6)</f>
        <v>1.6</v>
      </c>
      <c r="R5992" s="4">
        <f>IFERROR(__xludf.DUMMYFUNCTION("""COMPUTED_VALUE"""),1.3)</f>
        <v>1.3</v>
      </c>
      <c r="S5992" s="4">
        <f>IFERROR(__xludf.DUMMYFUNCTION("""COMPUTED_VALUE"""),1.4)</f>
        <v>1.4</v>
      </c>
      <c r="T5992" s="4">
        <f>IFERROR(__xludf.DUMMYFUNCTION("""COMPUTED_VALUE"""),0.061)</f>
        <v>0.061</v>
      </c>
      <c r="U5992" s="4"/>
      <c r="V5992" s="4"/>
    </row>
    <row r="5993">
      <c r="A5993" s="4">
        <f>IFERROR(__xludf.DUMMYFUNCTION("""COMPUTED_VALUE"""),40.0)</f>
        <v>40</v>
      </c>
      <c r="B5993" s="4">
        <f>IFERROR(__xludf.DUMMYFUNCTION("""COMPUTED_VALUE"""),40.0)</f>
        <v>40</v>
      </c>
      <c r="C5993" s="4" t="str">
        <f>IFERROR(__xludf.DUMMYFUNCTION("""COMPUTED_VALUE"""),"CHI")</f>
        <v>CHI</v>
      </c>
      <c r="D5993" s="4" t="str">
        <f>IFERROR(__xludf.DUMMYFUNCTION("""COMPUTED_VALUE"""),"Clifford Ray")</f>
        <v>Clifford Ray</v>
      </c>
      <c r="E5993" s="4" t="str">
        <f>IFERROR(__xludf.DUMMYFUNCTION("""COMPUTED_VALUE"""),"Oklahoma")</f>
        <v>Oklahoma</v>
      </c>
      <c r="F5993" s="4">
        <f>IFERROR(__xludf.DUMMYFUNCTION("""COMPUTED_VALUE"""),10.0)</f>
        <v>10</v>
      </c>
      <c r="G5993" s="4">
        <f>IFERROR(__xludf.DUMMYFUNCTION("""COMPUTED_VALUE"""),784.0)</f>
        <v>784</v>
      </c>
      <c r="H5993" s="4">
        <f>IFERROR(__xludf.DUMMYFUNCTION("""COMPUTED_VALUE"""),19940.0)</f>
        <v>19940</v>
      </c>
      <c r="I5993" s="4">
        <f>IFERROR(__xludf.DUMMYFUNCTION("""COMPUTED_VALUE"""),5821.0)</f>
        <v>5821</v>
      </c>
      <c r="J5993" s="4">
        <f>IFERROR(__xludf.DUMMYFUNCTION("""COMPUTED_VALUE"""),6953.0)</f>
        <v>6953</v>
      </c>
      <c r="K5993" s="4">
        <f>IFERROR(__xludf.DUMMYFUNCTION("""COMPUTED_VALUE"""),1728.0)</f>
        <v>1728</v>
      </c>
      <c r="L5993" s="4">
        <f>IFERROR(__xludf.DUMMYFUNCTION("""COMPUTED_VALUE"""),0.524)</f>
        <v>0.524</v>
      </c>
      <c r="M5993" s="4"/>
      <c r="N5993" s="4">
        <f>IFERROR(__xludf.DUMMYFUNCTION("""COMPUTED_VALUE"""),0.588)</f>
        <v>0.588</v>
      </c>
      <c r="O5993" s="4">
        <f>IFERROR(__xludf.DUMMYFUNCTION("""COMPUTED_VALUE"""),25.4)</f>
        <v>25.4</v>
      </c>
      <c r="P5993" s="4">
        <f>IFERROR(__xludf.DUMMYFUNCTION("""COMPUTED_VALUE"""),7.4)</f>
        <v>7.4</v>
      </c>
      <c r="Q5993" s="4">
        <f>IFERROR(__xludf.DUMMYFUNCTION("""COMPUTED_VALUE"""),8.9)</f>
        <v>8.9</v>
      </c>
      <c r="R5993" s="4">
        <f>IFERROR(__xludf.DUMMYFUNCTION("""COMPUTED_VALUE"""),2.2)</f>
        <v>2.2</v>
      </c>
      <c r="S5993" s="4">
        <f>IFERROR(__xludf.DUMMYFUNCTION("""COMPUTED_VALUE"""),56.7)</f>
        <v>56.7</v>
      </c>
      <c r="T5993" s="4">
        <f>IFERROR(__xludf.DUMMYFUNCTION("""COMPUTED_VALUE"""),0.136)</f>
        <v>0.136</v>
      </c>
      <c r="U5993" s="4">
        <f>IFERROR(__xludf.DUMMYFUNCTION("""COMPUTED_VALUE"""),0.5)</f>
        <v>0.5</v>
      </c>
      <c r="V5993" s="4">
        <f>IFERROR(__xludf.DUMMYFUNCTION("""COMPUTED_VALUE"""),10.3)</f>
        <v>10.3</v>
      </c>
    </row>
    <row r="5994">
      <c r="A5994" s="4">
        <f>IFERROR(__xludf.DUMMYFUNCTION("""COMPUTED_VALUE"""),41.0)</f>
        <v>41</v>
      </c>
      <c r="B5994" s="4">
        <f>IFERROR(__xludf.DUMMYFUNCTION("""COMPUTED_VALUE"""),41.0)</f>
        <v>41</v>
      </c>
      <c r="C5994" s="4" t="str">
        <f>IFERROR(__xludf.DUMMYFUNCTION("""COMPUTED_VALUE"""),"CLE")</f>
        <v>CLE</v>
      </c>
      <c r="D5994" s="4" t="str">
        <f>IFERROR(__xludf.DUMMYFUNCTION("""COMPUTED_VALUE"""),"Jackie Ridgle")</f>
        <v>Jackie Ridgle</v>
      </c>
      <c r="E5994" s="4" t="str">
        <f>IFERROR(__xludf.DUMMYFUNCTION("""COMPUTED_VALUE"""),"California")</f>
        <v>California</v>
      </c>
      <c r="F5994" s="4">
        <f>IFERROR(__xludf.DUMMYFUNCTION("""COMPUTED_VALUE"""),1.0)</f>
        <v>1</v>
      </c>
      <c r="G5994" s="4">
        <f>IFERROR(__xludf.DUMMYFUNCTION("""COMPUTED_VALUE"""),32.0)</f>
        <v>32</v>
      </c>
      <c r="H5994" s="4">
        <f>IFERROR(__xludf.DUMMYFUNCTION("""COMPUTED_VALUE"""),107.0)</f>
        <v>107</v>
      </c>
      <c r="I5994" s="4">
        <f>IFERROR(__xludf.DUMMYFUNCTION("""COMPUTED_VALUE"""),57.0)</f>
        <v>57</v>
      </c>
      <c r="J5994" s="4">
        <f>IFERROR(__xludf.DUMMYFUNCTION("""COMPUTED_VALUE"""),15.0)</f>
        <v>15</v>
      </c>
      <c r="K5994" s="4">
        <f>IFERROR(__xludf.DUMMYFUNCTION("""COMPUTED_VALUE"""),7.0)</f>
        <v>7</v>
      </c>
      <c r="L5994" s="4">
        <f>IFERROR(__xludf.DUMMYFUNCTION("""COMPUTED_VALUE"""),0.432)</f>
        <v>0.432</v>
      </c>
      <c r="M5994" s="4"/>
      <c r="N5994" s="4">
        <f>IFERROR(__xludf.DUMMYFUNCTION("""COMPUTED_VALUE"""),0.731)</f>
        <v>0.731</v>
      </c>
      <c r="O5994" s="4">
        <f>IFERROR(__xludf.DUMMYFUNCTION("""COMPUTED_VALUE"""),3.3)</f>
        <v>3.3</v>
      </c>
      <c r="P5994" s="4">
        <f>IFERROR(__xludf.DUMMYFUNCTION("""COMPUTED_VALUE"""),1.8)</f>
        <v>1.8</v>
      </c>
      <c r="Q5994" s="4">
        <f>IFERROR(__xludf.DUMMYFUNCTION("""COMPUTED_VALUE"""),0.5)</f>
        <v>0.5</v>
      </c>
      <c r="R5994" s="4">
        <f>IFERROR(__xludf.DUMMYFUNCTION("""COMPUTED_VALUE"""),0.2)</f>
        <v>0.2</v>
      </c>
      <c r="S5994" s="4">
        <f>IFERROR(__xludf.DUMMYFUNCTION("""COMPUTED_VALUE"""),0.2)</f>
        <v>0.2</v>
      </c>
      <c r="T5994" s="4">
        <f>IFERROR(__xludf.DUMMYFUNCTION("""COMPUTED_VALUE"""),0.102)</f>
        <v>0.102</v>
      </c>
      <c r="U5994" s="4"/>
      <c r="V5994" s="4"/>
    </row>
    <row r="5995">
      <c r="A5995" s="4">
        <f>IFERROR(__xludf.DUMMYFUNCTION("""COMPUTED_VALUE"""),42.0)</f>
        <v>42</v>
      </c>
      <c r="B5995" s="4">
        <f>IFERROR(__xludf.DUMMYFUNCTION("""COMPUTED_VALUE"""),42.0)</f>
        <v>42</v>
      </c>
      <c r="C5995" s="4" t="str">
        <f>IFERROR(__xludf.DUMMYFUNCTION("""COMPUTED_VALUE"""),"POR")</f>
        <v>POR</v>
      </c>
      <c r="D5995" s="4" t="str">
        <f>IFERROR(__xludf.DUMMYFUNCTION("""COMPUTED_VALUE"""),"Bill Smith")</f>
        <v>Bill Smith</v>
      </c>
      <c r="E5995" s="4" t="str">
        <f>IFERROR(__xludf.DUMMYFUNCTION("""COMPUTED_VALUE"""),"Syracuse")</f>
        <v>Syracuse</v>
      </c>
      <c r="F5995" s="4">
        <f>IFERROR(__xludf.DUMMYFUNCTION("""COMPUTED_VALUE"""),2.0)</f>
        <v>2</v>
      </c>
      <c r="G5995" s="4">
        <f>IFERROR(__xludf.DUMMYFUNCTION("""COMPUTED_VALUE"""),30.0)</f>
        <v>30</v>
      </c>
      <c r="H5995" s="4">
        <f>IFERROR(__xludf.DUMMYFUNCTION("""COMPUTED_VALUE"""),491.0)</f>
        <v>491</v>
      </c>
      <c r="I5995" s="4">
        <f>IFERROR(__xludf.DUMMYFUNCTION("""COMPUTED_VALUE"""),205.0)</f>
        <v>205</v>
      </c>
      <c r="J5995" s="4">
        <f>IFERROR(__xludf.DUMMYFUNCTION("""COMPUTED_VALUE"""),143.0)</f>
        <v>143</v>
      </c>
      <c r="K5995" s="4">
        <f>IFERROR(__xludf.DUMMYFUNCTION("""COMPUTED_VALUE"""),20.0)</f>
        <v>20</v>
      </c>
      <c r="L5995" s="4">
        <f>IFERROR(__xludf.DUMMYFUNCTION("""COMPUTED_VALUE"""),0.431)</f>
        <v>0.431</v>
      </c>
      <c r="M5995" s="4"/>
      <c r="N5995" s="4">
        <f>IFERROR(__xludf.DUMMYFUNCTION("""COMPUTED_VALUE"""),0.597)</f>
        <v>0.597</v>
      </c>
      <c r="O5995" s="4">
        <f>IFERROR(__xludf.DUMMYFUNCTION("""COMPUTED_VALUE"""),16.4)</f>
        <v>16.4</v>
      </c>
      <c r="P5995" s="4">
        <f>IFERROR(__xludf.DUMMYFUNCTION("""COMPUTED_VALUE"""),6.8)</f>
        <v>6.8</v>
      </c>
      <c r="Q5995" s="4">
        <f>IFERROR(__xludf.DUMMYFUNCTION("""COMPUTED_VALUE"""),4.8)</f>
        <v>4.8</v>
      </c>
      <c r="R5995" s="4">
        <f>IFERROR(__xludf.DUMMYFUNCTION("""COMPUTED_VALUE"""),0.7)</f>
        <v>0.7</v>
      </c>
      <c r="S5995" s="4">
        <f>IFERROR(__xludf.DUMMYFUNCTION("""COMPUTED_VALUE"""),0.1)</f>
        <v>0.1</v>
      </c>
      <c r="T5995" s="4">
        <f>IFERROR(__xludf.DUMMYFUNCTION("""COMPUTED_VALUE"""),0.014)</f>
        <v>0.014</v>
      </c>
      <c r="U5995" s="4"/>
      <c r="V5995" s="4"/>
    </row>
    <row r="5996">
      <c r="A5996" s="4">
        <f>IFERROR(__xludf.DUMMYFUNCTION("""COMPUTED_VALUE"""),43.0)</f>
        <v>43</v>
      </c>
      <c r="B5996" s="4">
        <f>IFERROR(__xludf.DUMMYFUNCTION("""COMPUTED_VALUE"""),43.0)</f>
        <v>43</v>
      </c>
      <c r="C5996" s="4" t="str">
        <f>IFERROR(__xludf.DUMMYFUNCTION("""COMPUTED_VALUE"""),"BAL")</f>
        <v>BAL</v>
      </c>
      <c r="D5996" s="4" t="str">
        <f>IFERROR(__xludf.DUMMYFUNCTION("""COMPUTED_VALUE"""),"Rich Rinaldi")</f>
        <v>Rich Rinaldi</v>
      </c>
      <c r="E5996" s="4" t="str">
        <f>IFERROR(__xludf.DUMMYFUNCTION("""COMPUTED_VALUE"""),"Saint Peter's College")</f>
        <v>Saint Peter's College</v>
      </c>
      <c r="F5996" s="4">
        <f>IFERROR(__xludf.DUMMYFUNCTION("""COMPUTED_VALUE"""),2.0)</f>
        <v>2</v>
      </c>
      <c r="G5996" s="4">
        <f>IFERROR(__xludf.DUMMYFUNCTION("""COMPUTED_VALUE"""),79.0)</f>
        <v>79</v>
      </c>
      <c r="H5996" s="4">
        <f>IFERROR(__xludf.DUMMYFUNCTION("""COMPUTED_VALUE"""),853.0)</f>
        <v>853</v>
      </c>
      <c r="I5996" s="4">
        <f>IFERROR(__xludf.DUMMYFUNCTION("""COMPUTED_VALUE"""),393.0)</f>
        <v>393</v>
      </c>
      <c r="J5996" s="4">
        <f>IFERROR(__xludf.DUMMYFUNCTION("""COMPUTED_VALUE"""),93.0)</f>
        <v>93</v>
      </c>
      <c r="K5996" s="4">
        <f>IFERROR(__xludf.DUMMYFUNCTION("""COMPUTED_VALUE"""),73.0)</f>
        <v>73</v>
      </c>
      <c r="L5996" s="4">
        <f>IFERROR(__xludf.DUMMYFUNCTION("""COMPUTED_VALUE"""),0.393)</f>
        <v>0.393</v>
      </c>
      <c r="M5996" s="4"/>
      <c r="N5996" s="4">
        <f>IFERROR(__xludf.DUMMYFUNCTION("""COMPUTED_VALUE"""),0.724)</f>
        <v>0.724</v>
      </c>
      <c r="O5996" s="4">
        <f>IFERROR(__xludf.DUMMYFUNCTION("""COMPUTED_VALUE"""),10.8)</f>
        <v>10.8</v>
      </c>
      <c r="P5996" s="4">
        <f>IFERROR(__xludf.DUMMYFUNCTION("""COMPUTED_VALUE"""),5.0)</f>
        <v>5</v>
      </c>
      <c r="Q5996" s="4">
        <f>IFERROR(__xludf.DUMMYFUNCTION("""COMPUTED_VALUE"""),1.2)</f>
        <v>1.2</v>
      </c>
      <c r="R5996" s="4">
        <f>IFERROR(__xludf.DUMMYFUNCTION("""COMPUTED_VALUE"""),0.9)</f>
        <v>0.9</v>
      </c>
      <c r="S5996" s="4">
        <f>IFERROR(__xludf.DUMMYFUNCTION("""COMPUTED_VALUE"""),0.2)</f>
        <v>0.2</v>
      </c>
      <c r="T5996" s="4">
        <f>IFERROR(__xludf.DUMMYFUNCTION("""COMPUTED_VALUE"""),0.012)</f>
        <v>0.012</v>
      </c>
      <c r="U5996" s="4">
        <f>IFERROR(__xludf.DUMMYFUNCTION("""COMPUTED_VALUE"""),-5.3)</f>
        <v>-5.3</v>
      </c>
      <c r="V5996" s="4">
        <f>IFERROR(__xludf.DUMMYFUNCTION("""COMPUTED_VALUE"""),-0.1)</f>
        <v>-0.1</v>
      </c>
    </row>
    <row r="5997">
      <c r="A5997" s="4">
        <f>IFERROR(__xludf.DUMMYFUNCTION("""COMPUTED_VALUE"""),44.0)</f>
        <v>44</v>
      </c>
      <c r="B5997" s="4">
        <f>IFERROR(__xludf.DUMMYFUNCTION("""COMPUTED_VALUE"""),44.0)</f>
        <v>44</v>
      </c>
      <c r="C5997" s="4" t="str">
        <f>IFERROR(__xludf.DUMMYFUNCTION("""COMPUTED_VALUE"""),"BOS")</f>
        <v>BOS</v>
      </c>
      <c r="D5997" s="4" t="str">
        <f>IFERROR(__xludf.DUMMYFUNCTION("""COMPUTED_VALUE"""),"Dave Robisch")</f>
        <v>Dave Robisch</v>
      </c>
      <c r="E5997" s="4" t="str">
        <f>IFERROR(__xludf.DUMMYFUNCTION("""COMPUTED_VALUE"""),"Kansas")</f>
        <v>Kansas</v>
      </c>
      <c r="F5997" s="4">
        <f>IFERROR(__xludf.DUMMYFUNCTION("""COMPUTED_VALUE"""),8.0)</f>
        <v>8</v>
      </c>
      <c r="G5997" s="4">
        <f>IFERROR(__xludf.DUMMYFUNCTION("""COMPUTED_VALUE"""),508.0)</f>
        <v>508</v>
      </c>
      <c r="H5997" s="4">
        <f>IFERROR(__xludf.DUMMYFUNCTION("""COMPUTED_VALUE"""),10556.0)</f>
        <v>10556</v>
      </c>
      <c r="I5997" s="4">
        <f>IFERROR(__xludf.DUMMYFUNCTION("""COMPUTED_VALUE"""),4426.0)</f>
        <v>4426</v>
      </c>
      <c r="J5997" s="4">
        <f>IFERROR(__xludf.DUMMYFUNCTION("""COMPUTED_VALUE"""),2620.0)</f>
        <v>2620</v>
      </c>
      <c r="K5997" s="4">
        <f>IFERROR(__xludf.DUMMYFUNCTION("""COMPUTED_VALUE"""),813.0)</f>
        <v>813</v>
      </c>
      <c r="L5997" s="4">
        <f>IFERROR(__xludf.DUMMYFUNCTION("""COMPUTED_VALUE"""),0.457)</f>
        <v>0.457</v>
      </c>
      <c r="M5997" s="4"/>
      <c r="N5997" s="4">
        <f>IFERROR(__xludf.DUMMYFUNCTION("""COMPUTED_VALUE"""),0.814)</f>
        <v>0.814</v>
      </c>
      <c r="O5997" s="4">
        <f>IFERROR(__xludf.DUMMYFUNCTION("""COMPUTED_VALUE"""),20.8)</f>
        <v>20.8</v>
      </c>
      <c r="P5997" s="4">
        <f>IFERROR(__xludf.DUMMYFUNCTION("""COMPUTED_VALUE"""),8.7)</f>
        <v>8.7</v>
      </c>
      <c r="Q5997" s="4">
        <f>IFERROR(__xludf.DUMMYFUNCTION("""COMPUTED_VALUE"""),5.2)</f>
        <v>5.2</v>
      </c>
      <c r="R5997" s="4">
        <f>IFERROR(__xludf.DUMMYFUNCTION("""COMPUTED_VALUE"""),1.6)</f>
        <v>1.6</v>
      </c>
      <c r="S5997" s="4">
        <f>IFERROR(__xludf.DUMMYFUNCTION("""COMPUTED_VALUE"""),23.5)</f>
        <v>23.5</v>
      </c>
      <c r="T5997" s="4">
        <f>IFERROR(__xludf.DUMMYFUNCTION("""COMPUTED_VALUE"""),0.107)</f>
        <v>0.107</v>
      </c>
      <c r="U5997" s="4">
        <f>IFERROR(__xludf.DUMMYFUNCTION("""COMPUTED_VALUE"""),-0.3)</f>
        <v>-0.3</v>
      </c>
      <c r="V5997" s="4">
        <f>IFERROR(__xludf.DUMMYFUNCTION("""COMPUTED_VALUE"""),4.6)</f>
        <v>4.6</v>
      </c>
    </row>
    <row r="5998">
      <c r="A5998" s="4">
        <f>IFERROR(__xludf.DUMMYFUNCTION("""COMPUTED_VALUE"""),45.0)</f>
        <v>45</v>
      </c>
      <c r="B5998" s="4">
        <f>IFERROR(__xludf.DUMMYFUNCTION("""COMPUTED_VALUE"""),45.0)</f>
        <v>45</v>
      </c>
      <c r="C5998" s="4" t="str">
        <f>IFERROR(__xludf.DUMMYFUNCTION("""COMPUTED_VALUE"""),"DET")</f>
        <v>DET</v>
      </c>
      <c r="D5998" s="4" t="str">
        <f>IFERROR(__xludf.DUMMYFUNCTION("""COMPUTED_VALUE"""),"Marv Roberts")</f>
        <v>Marv Roberts</v>
      </c>
      <c r="E5998" s="4" t="str">
        <f>IFERROR(__xludf.DUMMYFUNCTION("""COMPUTED_VALUE"""),"Utah State University")</f>
        <v>Utah State University</v>
      </c>
      <c r="F5998" s="4">
        <f>IFERROR(__xludf.DUMMYFUNCTION("""COMPUTED_VALUE"""),1.0)</f>
        <v>1</v>
      </c>
      <c r="G5998" s="4">
        <f>IFERROR(__xludf.DUMMYFUNCTION("""COMPUTED_VALUE"""),28.0)</f>
        <v>28</v>
      </c>
      <c r="H5998" s="4">
        <f>IFERROR(__xludf.DUMMYFUNCTION("""COMPUTED_VALUE"""),209.0)</f>
        <v>209</v>
      </c>
      <c r="I5998" s="4">
        <f>IFERROR(__xludf.DUMMYFUNCTION("""COMPUTED_VALUE"""),58.0)</f>
        <v>58</v>
      </c>
      <c r="J5998" s="4">
        <f>IFERROR(__xludf.DUMMYFUNCTION("""COMPUTED_VALUE"""),25.0)</f>
        <v>25</v>
      </c>
      <c r="K5998" s="4">
        <f>IFERROR(__xludf.DUMMYFUNCTION("""COMPUTED_VALUE"""),19.0)</f>
        <v>19</v>
      </c>
      <c r="L5998" s="4">
        <f>IFERROR(__xludf.DUMMYFUNCTION("""COMPUTED_VALUE"""),0.355)</f>
        <v>0.355</v>
      </c>
      <c r="M5998" s="4"/>
      <c r="N5998" s="4">
        <f>IFERROR(__xludf.DUMMYFUNCTION("""COMPUTED_VALUE"""),0.667)</f>
        <v>0.667</v>
      </c>
      <c r="O5998" s="4">
        <f>IFERROR(__xludf.DUMMYFUNCTION("""COMPUTED_VALUE"""),7.5)</f>
        <v>7.5</v>
      </c>
      <c r="P5998" s="4">
        <f>IFERROR(__xludf.DUMMYFUNCTION("""COMPUTED_VALUE"""),2.1)</f>
        <v>2.1</v>
      </c>
      <c r="Q5998" s="4">
        <f>IFERROR(__xludf.DUMMYFUNCTION("""COMPUTED_VALUE"""),0.9)</f>
        <v>0.9</v>
      </c>
      <c r="R5998" s="4">
        <f>IFERROR(__xludf.DUMMYFUNCTION("""COMPUTED_VALUE"""),0.7)</f>
        <v>0.7</v>
      </c>
      <c r="S5998" s="4">
        <f>IFERROR(__xludf.DUMMYFUNCTION("""COMPUTED_VALUE"""),-0.2)</f>
        <v>-0.2</v>
      </c>
      <c r="T5998" s="4">
        <f>IFERROR(__xludf.DUMMYFUNCTION("""COMPUTED_VALUE"""),-0.051)</f>
        <v>-0.051</v>
      </c>
      <c r="U5998" s="4">
        <f>IFERROR(__xludf.DUMMYFUNCTION("""COMPUTED_VALUE"""),-6.3)</f>
        <v>-6.3</v>
      </c>
      <c r="V5998" s="4">
        <f>IFERROR(__xludf.DUMMYFUNCTION("""COMPUTED_VALUE"""),-0.3)</f>
        <v>-0.3</v>
      </c>
    </row>
    <row r="5999">
      <c r="A5999" s="4">
        <f>IFERROR(__xludf.DUMMYFUNCTION("""COMPUTED_VALUE"""),46.0)</f>
        <v>46</v>
      </c>
      <c r="B5999" s="4">
        <f>IFERROR(__xludf.DUMMYFUNCTION("""COMPUTED_VALUE"""),46.0)</f>
        <v>46</v>
      </c>
      <c r="C5999" s="4" t="str">
        <f>IFERROR(__xludf.DUMMYFUNCTION("""COMPUTED_VALUE"""),"PHI")</f>
        <v>PHI</v>
      </c>
      <c r="D5999" s="4" t="str">
        <f>IFERROR(__xludf.DUMMYFUNCTION("""COMPUTED_VALUE"""),"Dave Wohl")</f>
        <v>Dave Wohl</v>
      </c>
      <c r="E5999" s="4" t="str">
        <f>IFERROR(__xludf.DUMMYFUNCTION("""COMPUTED_VALUE"""),"Penn")</f>
        <v>Penn</v>
      </c>
      <c r="F5999" s="4">
        <f>IFERROR(__xludf.DUMMYFUNCTION("""COMPUTED_VALUE"""),7.0)</f>
        <v>7</v>
      </c>
      <c r="G5999" s="4">
        <f>IFERROR(__xludf.DUMMYFUNCTION("""COMPUTED_VALUE"""),410.0)</f>
        <v>410</v>
      </c>
      <c r="H5999" s="4">
        <f>IFERROR(__xludf.DUMMYFUNCTION("""COMPUTED_VALUE"""),8142.0)</f>
        <v>8142</v>
      </c>
      <c r="I5999" s="4">
        <f>IFERROR(__xludf.DUMMYFUNCTION("""COMPUTED_VALUE"""),2553.0)</f>
        <v>2553</v>
      </c>
      <c r="J5999" s="4">
        <f>IFERROR(__xludf.DUMMYFUNCTION("""COMPUTED_VALUE"""),558.0)</f>
        <v>558</v>
      </c>
      <c r="K5999" s="4">
        <f>IFERROR(__xludf.DUMMYFUNCTION("""COMPUTED_VALUE"""),1397.0)</f>
        <v>1397</v>
      </c>
      <c r="L5999" s="4">
        <f>IFERROR(__xludf.DUMMYFUNCTION("""COMPUTED_VALUE"""),0.43)</f>
        <v>0.43</v>
      </c>
      <c r="M5999" s="4"/>
      <c r="N5999" s="4">
        <f>IFERROR(__xludf.DUMMYFUNCTION("""COMPUTED_VALUE"""),0.75)</f>
        <v>0.75</v>
      </c>
      <c r="O5999" s="4">
        <f>IFERROR(__xludf.DUMMYFUNCTION("""COMPUTED_VALUE"""),19.9)</f>
        <v>19.9</v>
      </c>
      <c r="P5999" s="4">
        <f>IFERROR(__xludf.DUMMYFUNCTION("""COMPUTED_VALUE"""),6.2)</f>
        <v>6.2</v>
      </c>
      <c r="Q5999" s="4">
        <f>IFERROR(__xludf.DUMMYFUNCTION("""COMPUTED_VALUE"""),1.4)</f>
        <v>1.4</v>
      </c>
      <c r="R5999" s="4">
        <f>IFERROR(__xludf.DUMMYFUNCTION("""COMPUTED_VALUE"""),3.4)</f>
        <v>3.4</v>
      </c>
      <c r="S5999" s="4">
        <f>IFERROR(__xludf.DUMMYFUNCTION("""COMPUTED_VALUE"""),6.1)</f>
        <v>6.1</v>
      </c>
      <c r="T5999" s="4">
        <f>IFERROR(__xludf.DUMMYFUNCTION("""COMPUTED_VALUE"""),0.036)</f>
        <v>0.036</v>
      </c>
      <c r="U5999" s="4">
        <f>IFERROR(__xludf.DUMMYFUNCTION("""COMPUTED_VALUE"""),-3.1)</f>
        <v>-3.1</v>
      </c>
      <c r="V5999" s="4">
        <f>IFERROR(__xludf.DUMMYFUNCTION("""COMPUTED_VALUE"""),-1.4)</f>
        <v>-1.4</v>
      </c>
    </row>
    <row r="6000">
      <c r="A6000" s="4">
        <f>IFERROR(__xludf.DUMMYFUNCTION("""COMPUTED_VALUE"""),47.0)</f>
        <v>47</v>
      </c>
      <c r="B6000" s="4">
        <f>IFERROR(__xludf.DUMMYFUNCTION("""COMPUTED_VALUE"""),47.0)</f>
        <v>47</v>
      </c>
      <c r="C6000" s="4" t="str">
        <f>IFERROR(__xludf.DUMMYFUNCTION("""COMPUTED_VALUE"""),"CHI")</f>
        <v>CHI</v>
      </c>
      <c r="D6000" s="4" t="str">
        <f>IFERROR(__xludf.DUMMYFUNCTION("""COMPUTED_VALUE"""),"Mike Gale")</f>
        <v>Mike Gale</v>
      </c>
      <c r="E6000" s="4" t="str">
        <f>IFERROR(__xludf.DUMMYFUNCTION("""COMPUTED_VALUE"""),"Elizabeth City State University")</f>
        <v>Elizabeth City State University</v>
      </c>
      <c r="F6000" s="4">
        <f>IFERROR(__xludf.DUMMYFUNCTION("""COMPUTED_VALUE"""),6.0)</f>
        <v>6</v>
      </c>
      <c r="G6000" s="4">
        <f>IFERROR(__xludf.DUMMYFUNCTION("""COMPUTED_VALUE"""),453.0)</f>
        <v>453</v>
      </c>
      <c r="H6000" s="4">
        <f>IFERROR(__xludf.DUMMYFUNCTION("""COMPUTED_VALUE"""),11189.0)</f>
        <v>11189</v>
      </c>
      <c r="I6000" s="4">
        <f>IFERROR(__xludf.DUMMYFUNCTION("""COMPUTED_VALUE"""),3372.0)</f>
        <v>3372</v>
      </c>
      <c r="J6000" s="4">
        <f>IFERROR(__xludf.DUMMYFUNCTION("""COMPUTED_VALUE"""),1122.0)</f>
        <v>1122</v>
      </c>
      <c r="K6000" s="4">
        <f>IFERROR(__xludf.DUMMYFUNCTION("""COMPUTED_VALUE"""),1965.0)</f>
        <v>1965</v>
      </c>
      <c r="L6000" s="4">
        <f>IFERROR(__xludf.DUMMYFUNCTION("""COMPUTED_VALUE"""),0.474)</f>
        <v>0.474</v>
      </c>
      <c r="M6000" s="4"/>
      <c r="N6000" s="4">
        <f>IFERROR(__xludf.DUMMYFUNCTION("""COMPUTED_VALUE"""),0.825)</f>
        <v>0.825</v>
      </c>
      <c r="O6000" s="4">
        <f>IFERROR(__xludf.DUMMYFUNCTION("""COMPUTED_VALUE"""),24.7)</f>
        <v>24.7</v>
      </c>
      <c r="P6000" s="4">
        <f>IFERROR(__xludf.DUMMYFUNCTION("""COMPUTED_VALUE"""),7.4)</f>
        <v>7.4</v>
      </c>
      <c r="Q6000" s="4">
        <f>IFERROR(__xludf.DUMMYFUNCTION("""COMPUTED_VALUE"""),2.5)</f>
        <v>2.5</v>
      </c>
      <c r="R6000" s="4">
        <f>IFERROR(__xludf.DUMMYFUNCTION("""COMPUTED_VALUE"""),4.3)</f>
        <v>4.3</v>
      </c>
      <c r="S6000" s="4">
        <f>IFERROR(__xludf.DUMMYFUNCTION("""COMPUTED_VALUE"""),18.0)</f>
        <v>18</v>
      </c>
      <c r="T6000" s="4">
        <f>IFERROR(__xludf.DUMMYFUNCTION("""COMPUTED_VALUE"""),0.077)</f>
        <v>0.077</v>
      </c>
      <c r="U6000" s="4">
        <f>IFERROR(__xludf.DUMMYFUNCTION("""COMPUTED_VALUE"""),0.6)</f>
        <v>0.6</v>
      </c>
      <c r="V6000" s="4">
        <f>IFERROR(__xludf.DUMMYFUNCTION("""COMPUTED_VALUE"""),7.3)</f>
        <v>7.3</v>
      </c>
    </row>
    <row r="6001">
      <c r="A6001" s="4">
        <f>IFERROR(__xludf.DUMMYFUNCTION("""COMPUTED_VALUE"""),48.0)</f>
        <v>48</v>
      </c>
      <c r="B6001" s="4">
        <f>IFERROR(__xludf.DUMMYFUNCTION("""COMPUTED_VALUE"""),48.0)</f>
        <v>48</v>
      </c>
      <c r="C6001" s="4" t="str">
        <f>IFERROR(__xludf.DUMMYFUNCTION("""COMPUTED_VALUE"""),"PHO")</f>
        <v>PHO</v>
      </c>
      <c r="D6001" s="4" t="str">
        <f>IFERROR(__xludf.DUMMYFUNCTION("""COMPUTED_VALUE"""),"Mo Layton")</f>
        <v>Mo Layton</v>
      </c>
      <c r="E6001" s="4" t="str">
        <f>IFERROR(__xludf.DUMMYFUNCTION("""COMPUTED_VALUE"""),"USC")</f>
        <v>USC</v>
      </c>
      <c r="F6001" s="4">
        <f>IFERROR(__xludf.DUMMYFUNCTION("""COMPUTED_VALUE"""),4.0)</f>
        <v>4</v>
      </c>
      <c r="G6001" s="4">
        <f>IFERROR(__xludf.DUMMYFUNCTION("""COMPUTED_VALUE"""),264.0)</f>
        <v>264</v>
      </c>
      <c r="H6001" s="4">
        <f>IFERROR(__xludf.DUMMYFUNCTION("""COMPUTED_VALUE"""),4429.0)</f>
        <v>4429</v>
      </c>
      <c r="I6001" s="4">
        <f>IFERROR(__xludf.DUMMYFUNCTION("""COMPUTED_VALUE"""),1826.0)</f>
        <v>1826</v>
      </c>
      <c r="J6001" s="4">
        <f>IFERROR(__xludf.DUMMYFUNCTION("""COMPUTED_VALUE"""),353.0)</f>
        <v>353</v>
      </c>
      <c r="K6001" s="4">
        <f>IFERROR(__xludf.DUMMYFUNCTION("""COMPUTED_VALUE"""),699.0)</f>
        <v>699</v>
      </c>
      <c r="L6001" s="4">
        <f>IFERROR(__xludf.DUMMYFUNCTION("""COMPUTED_VALUE"""),0.448)</f>
        <v>0.448</v>
      </c>
      <c r="M6001" s="4"/>
      <c r="N6001" s="4">
        <f>IFERROR(__xludf.DUMMYFUNCTION("""COMPUTED_VALUE"""),0.747)</f>
        <v>0.747</v>
      </c>
      <c r="O6001" s="4">
        <f>IFERROR(__xludf.DUMMYFUNCTION("""COMPUTED_VALUE"""),16.8)</f>
        <v>16.8</v>
      </c>
      <c r="P6001" s="4">
        <f>IFERROR(__xludf.DUMMYFUNCTION("""COMPUTED_VALUE"""),6.9)</f>
        <v>6.9</v>
      </c>
      <c r="Q6001" s="4">
        <f>IFERROR(__xludf.DUMMYFUNCTION("""COMPUTED_VALUE"""),1.3)</f>
        <v>1.3</v>
      </c>
      <c r="R6001" s="4">
        <f>IFERROR(__xludf.DUMMYFUNCTION("""COMPUTED_VALUE"""),2.6)</f>
        <v>2.6</v>
      </c>
      <c r="S6001" s="4">
        <f>IFERROR(__xludf.DUMMYFUNCTION("""COMPUTED_VALUE"""),4.5)</f>
        <v>4.5</v>
      </c>
      <c r="T6001" s="4">
        <f>IFERROR(__xludf.DUMMYFUNCTION("""COMPUTED_VALUE"""),0.048)</f>
        <v>0.048</v>
      </c>
      <c r="U6001" s="4">
        <f>IFERROR(__xludf.DUMMYFUNCTION("""COMPUTED_VALUE"""),-2.5)</f>
        <v>-2.5</v>
      </c>
      <c r="V6001" s="4">
        <f>IFERROR(__xludf.DUMMYFUNCTION("""COMPUTED_VALUE"""),-0.2)</f>
        <v>-0.2</v>
      </c>
    </row>
    <row r="6002">
      <c r="A6002" s="4">
        <f>IFERROR(__xludf.DUMMYFUNCTION("""COMPUTED_VALUE"""),49.0)</f>
        <v>49</v>
      </c>
      <c r="B6002" s="4">
        <f>IFERROR(__xludf.DUMMYFUNCTION("""COMPUTED_VALUE"""),49.0)</f>
        <v>49</v>
      </c>
      <c r="C6002" s="4" t="str">
        <f>IFERROR(__xludf.DUMMYFUNCTION("""COMPUTED_VALUE"""),"CHI")</f>
        <v>CHI</v>
      </c>
      <c r="D6002" s="4" t="str">
        <f>IFERROR(__xludf.DUMMYFUNCTION("""COMPUTED_VALUE"""),"Dick Gibbs")</f>
        <v>Dick Gibbs</v>
      </c>
      <c r="E6002" s="4" t="str">
        <f>IFERROR(__xludf.DUMMYFUNCTION("""COMPUTED_VALUE"""),"Texas-El Paso")</f>
        <v>Texas-El Paso</v>
      </c>
      <c r="F6002" s="4">
        <f>IFERROR(__xludf.DUMMYFUNCTION("""COMPUTED_VALUE"""),5.0)</f>
        <v>5</v>
      </c>
      <c r="G6002" s="4">
        <f>IFERROR(__xludf.DUMMYFUNCTION("""COMPUTED_VALUE"""),333.0)</f>
        <v>333</v>
      </c>
      <c r="H6002" s="4">
        <f>IFERROR(__xludf.DUMMYFUNCTION("""COMPUTED_VALUE"""),4310.0)</f>
        <v>4310</v>
      </c>
      <c r="I6002" s="4">
        <f>IFERROR(__xludf.DUMMYFUNCTION("""COMPUTED_VALUE"""),1739.0)</f>
        <v>1739</v>
      </c>
      <c r="J6002" s="4">
        <f>IFERROR(__xludf.DUMMYFUNCTION("""COMPUTED_VALUE"""),624.0)</f>
        <v>624</v>
      </c>
      <c r="K6002" s="4">
        <f>IFERROR(__xludf.DUMMYFUNCTION("""COMPUTED_VALUE"""),260.0)</f>
        <v>260</v>
      </c>
      <c r="L6002" s="4">
        <f>IFERROR(__xludf.DUMMYFUNCTION("""COMPUTED_VALUE"""),0.402)</f>
        <v>0.402</v>
      </c>
      <c r="M6002" s="4"/>
      <c r="N6002" s="4">
        <f>IFERROR(__xludf.DUMMYFUNCTION("""COMPUTED_VALUE"""),0.799)</f>
        <v>0.799</v>
      </c>
      <c r="O6002" s="4">
        <f>IFERROR(__xludf.DUMMYFUNCTION("""COMPUTED_VALUE"""),12.9)</f>
        <v>12.9</v>
      </c>
      <c r="P6002" s="4">
        <f>IFERROR(__xludf.DUMMYFUNCTION("""COMPUTED_VALUE"""),5.2)</f>
        <v>5.2</v>
      </c>
      <c r="Q6002" s="4">
        <f>IFERROR(__xludf.DUMMYFUNCTION("""COMPUTED_VALUE"""),1.9)</f>
        <v>1.9</v>
      </c>
      <c r="R6002" s="4">
        <f>IFERROR(__xludf.DUMMYFUNCTION("""COMPUTED_VALUE"""),0.8)</f>
        <v>0.8</v>
      </c>
      <c r="S6002" s="4">
        <f>IFERROR(__xludf.DUMMYFUNCTION("""COMPUTED_VALUE"""),2.6)</f>
        <v>2.6</v>
      </c>
      <c r="T6002" s="4">
        <f>IFERROR(__xludf.DUMMYFUNCTION("""COMPUTED_VALUE"""),0.029)</f>
        <v>0.029</v>
      </c>
      <c r="U6002" s="4">
        <f>IFERROR(__xludf.DUMMYFUNCTION("""COMPUTED_VALUE"""),-3.5)</f>
        <v>-3.5</v>
      </c>
      <c r="V6002" s="4">
        <f>IFERROR(__xludf.DUMMYFUNCTION("""COMPUTED_VALUE"""),-1.0)</f>
        <v>-1</v>
      </c>
    </row>
    <row r="6003">
      <c r="A6003" s="4">
        <f>IFERROR(__xludf.DUMMYFUNCTION("""COMPUTED_VALUE"""),50.0)</f>
        <v>50</v>
      </c>
      <c r="B6003" s="4">
        <f>IFERROR(__xludf.DUMMYFUNCTION("""COMPUTED_VALUE"""),50.0)</f>
        <v>50</v>
      </c>
      <c r="C6003" s="4" t="str">
        <f>IFERROR(__xludf.DUMMYFUNCTION("""COMPUTED_VALUE"""),"NYK")</f>
        <v>NYK</v>
      </c>
      <c r="D6003" s="4" t="str">
        <f>IFERROR(__xludf.DUMMYFUNCTION("""COMPUTED_VALUE"""),"Ken Mayfield")</f>
        <v>Ken Mayfield</v>
      </c>
      <c r="E6003" s="4" t="str">
        <f>IFERROR(__xludf.DUMMYFUNCTION("""COMPUTED_VALUE"""),"Tuskegee University")</f>
        <v>Tuskegee University</v>
      </c>
      <c r="F6003" s="4">
        <f>IFERROR(__xludf.DUMMYFUNCTION("""COMPUTED_VALUE"""),1.0)</f>
        <v>1</v>
      </c>
      <c r="G6003" s="4">
        <f>IFERROR(__xludf.DUMMYFUNCTION("""COMPUTED_VALUE"""),13.0)</f>
        <v>13</v>
      </c>
      <c r="H6003" s="4">
        <f>IFERROR(__xludf.DUMMYFUNCTION("""COMPUTED_VALUE"""),64.0)</f>
        <v>64</v>
      </c>
      <c r="I6003" s="4">
        <f>IFERROR(__xludf.DUMMYFUNCTION("""COMPUTED_VALUE"""),37.0)</f>
        <v>37</v>
      </c>
      <c r="J6003" s="4">
        <f>IFERROR(__xludf.DUMMYFUNCTION("""COMPUTED_VALUE"""),8.0)</f>
        <v>8</v>
      </c>
      <c r="K6003" s="4">
        <f>IFERROR(__xludf.DUMMYFUNCTION("""COMPUTED_VALUE"""),4.0)</f>
        <v>4</v>
      </c>
      <c r="L6003" s="4">
        <f>IFERROR(__xludf.DUMMYFUNCTION("""COMPUTED_VALUE"""),0.37)</f>
        <v>0.37</v>
      </c>
      <c r="M6003" s="4"/>
      <c r="N6003" s="4">
        <f>IFERROR(__xludf.DUMMYFUNCTION("""COMPUTED_VALUE"""),1.0)</f>
        <v>1</v>
      </c>
      <c r="O6003" s="4">
        <f>IFERROR(__xludf.DUMMYFUNCTION("""COMPUTED_VALUE"""),4.9)</f>
        <v>4.9</v>
      </c>
      <c r="P6003" s="4">
        <f>IFERROR(__xludf.DUMMYFUNCTION("""COMPUTED_VALUE"""),2.8)</f>
        <v>2.8</v>
      </c>
      <c r="Q6003" s="4">
        <f>IFERROR(__xludf.DUMMYFUNCTION("""COMPUTED_VALUE"""),0.6)</f>
        <v>0.6</v>
      </c>
      <c r="R6003" s="4">
        <f>IFERROR(__xludf.DUMMYFUNCTION("""COMPUTED_VALUE"""),0.3)</f>
        <v>0.3</v>
      </c>
      <c r="S6003" s="4">
        <f>IFERROR(__xludf.DUMMYFUNCTION("""COMPUTED_VALUE"""),-0.2)</f>
        <v>-0.2</v>
      </c>
      <c r="T6003" s="4">
        <f>IFERROR(__xludf.DUMMYFUNCTION("""COMPUTED_VALUE"""),-0.134)</f>
        <v>-0.134</v>
      </c>
      <c r="U6003" s="4">
        <f>IFERROR(__xludf.DUMMYFUNCTION("""COMPUTED_VALUE"""),-7.0)</f>
        <v>-7</v>
      </c>
      <c r="V6003" s="4">
        <f>IFERROR(__xludf.DUMMYFUNCTION("""COMPUTED_VALUE"""),-0.2)</f>
        <v>-0.2</v>
      </c>
    </row>
    <row r="6004">
      <c r="A6004" s="4">
        <f>IFERROR(__xludf.DUMMYFUNCTION("""COMPUTED_VALUE"""),51.0)</f>
        <v>51</v>
      </c>
      <c r="B6004" s="4">
        <f>IFERROR(__xludf.DUMMYFUNCTION("""COMPUTED_VALUE"""),51.0)</f>
        <v>51</v>
      </c>
      <c r="C6004" s="4" t="str">
        <f>IFERROR(__xludf.DUMMYFUNCTION("""COMPUTED_VALUE"""),"MIL")</f>
        <v>MIL</v>
      </c>
      <c r="D6004" s="4" t="str">
        <f>IFERROR(__xludf.DUMMYFUNCTION("""COMPUTED_VALUE"""),"Gary Brell")</f>
        <v>Gary Brell</v>
      </c>
      <c r="E6004" s="4" t="str">
        <f>IFERROR(__xludf.DUMMYFUNCTION("""COMPUTED_VALUE"""),"Marquette")</f>
        <v>Marquette</v>
      </c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</row>
    <row r="6005">
      <c r="A6005" s="4"/>
      <c r="B6005" s="4"/>
      <c r="C6005" s="4"/>
      <c r="D6005" s="4" t="str">
        <f>IFERROR(__xludf.DUMMYFUNCTION("""COMPUTED_VALUE"""),"Round 4")</f>
        <v>Round 4</v>
      </c>
      <c r="E6005" s="4"/>
      <c r="F6005" s="4"/>
      <c r="G6005" s="4" t="str">
        <f>IFERROR(__xludf.DUMMYFUNCTION("""COMPUTED_VALUE"""),"Totals")</f>
        <v>Totals</v>
      </c>
      <c r="H6005" s="4"/>
      <c r="I6005" s="4"/>
      <c r="J6005" s="4"/>
      <c r="K6005" s="4"/>
      <c r="L6005" s="4" t="str">
        <f>IFERROR(__xludf.DUMMYFUNCTION("""COMPUTED_VALUE"""),"Shooting")</f>
        <v>Shooting</v>
      </c>
      <c r="M6005" s="4"/>
      <c r="N6005" s="4"/>
      <c r="O6005" s="4" t="str">
        <f>IFERROR(__xludf.DUMMYFUNCTION("""COMPUTED_VALUE"""),"Per Game")</f>
        <v>Per Game</v>
      </c>
      <c r="P6005" s="4"/>
      <c r="Q6005" s="4"/>
      <c r="R6005" s="4"/>
      <c r="S6005" s="4" t="str">
        <f>IFERROR(__xludf.DUMMYFUNCTION("""COMPUTED_VALUE"""),"Advanced")</f>
        <v>Advanced</v>
      </c>
      <c r="T6005" s="4"/>
      <c r="U6005" s="4"/>
      <c r="V6005" s="4"/>
    </row>
    <row r="6006">
      <c r="A6006" s="4" t="str">
        <f>IFERROR(__xludf.DUMMYFUNCTION("""COMPUTED_VALUE"""),"Rk")</f>
        <v>Rk</v>
      </c>
      <c r="B6006" s="4" t="str">
        <f>IFERROR(__xludf.DUMMYFUNCTION("""COMPUTED_VALUE"""),"Pk")</f>
        <v>Pk</v>
      </c>
      <c r="C6006" s="4" t="str">
        <f>IFERROR(__xludf.DUMMYFUNCTION("""COMPUTED_VALUE"""),"Tm")</f>
        <v>Tm</v>
      </c>
      <c r="D6006" s="4" t="str">
        <f>IFERROR(__xludf.DUMMYFUNCTION("""COMPUTED_VALUE"""),"Player")</f>
        <v>Player</v>
      </c>
      <c r="E6006" s="4" t="str">
        <f>IFERROR(__xludf.DUMMYFUNCTION("""COMPUTED_VALUE"""),"College")</f>
        <v>College</v>
      </c>
      <c r="F6006" s="4" t="str">
        <f>IFERROR(__xludf.DUMMYFUNCTION("""COMPUTED_VALUE"""),"Yrs")</f>
        <v>Yrs</v>
      </c>
      <c r="G6006" s="4" t="str">
        <f>IFERROR(__xludf.DUMMYFUNCTION("""COMPUTED_VALUE"""),"G")</f>
        <v>G</v>
      </c>
      <c r="H6006" s="4" t="str">
        <f>IFERROR(__xludf.DUMMYFUNCTION("""COMPUTED_VALUE"""),"MP")</f>
        <v>MP</v>
      </c>
      <c r="I6006" s="4" t="str">
        <f>IFERROR(__xludf.DUMMYFUNCTION("""COMPUTED_VALUE"""),"PTS")</f>
        <v>PTS</v>
      </c>
      <c r="J6006" s="4" t="str">
        <f>IFERROR(__xludf.DUMMYFUNCTION("""COMPUTED_VALUE"""),"TRB")</f>
        <v>TRB</v>
      </c>
      <c r="K6006" s="4" t="str">
        <f>IFERROR(__xludf.DUMMYFUNCTION("""COMPUTED_VALUE"""),"AST")</f>
        <v>AST</v>
      </c>
      <c r="L6006" s="4" t="str">
        <f>IFERROR(__xludf.DUMMYFUNCTION("""COMPUTED_VALUE"""),"FG%")</f>
        <v>FG%</v>
      </c>
      <c r="M6006" s="4" t="str">
        <f>IFERROR(__xludf.DUMMYFUNCTION("""COMPUTED_VALUE"""),"3P%")</f>
        <v>3P%</v>
      </c>
      <c r="N6006" s="4" t="str">
        <f>IFERROR(__xludf.DUMMYFUNCTION("""COMPUTED_VALUE"""),"FT%")</f>
        <v>FT%</v>
      </c>
      <c r="O6006" s="4" t="str">
        <f>IFERROR(__xludf.DUMMYFUNCTION("""COMPUTED_VALUE"""),"MP")</f>
        <v>MP</v>
      </c>
      <c r="P6006" s="4" t="str">
        <f>IFERROR(__xludf.DUMMYFUNCTION("""COMPUTED_VALUE"""),"PTS")</f>
        <v>PTS</v>
      </c>
      <c r="Q6006" s="4" t="str">
        <f>IFERROR(__xludf.DUMMYFUNCTION("""COMPUTED_VALUE"""),"TRB")</f>
        <v>TRB</v>
      </c>
      <c r="R6006" s="4" t="str">
        <f>IFERROR(__xludf.DUMMYFUNCTION("""COMPUTED_VALUE"""),"AST")</f>
        <v>AST</v>
      </c>
      <c r="S6006" s="4" t="str">
        <f>IFERROR(__xludf.DUMMYFUNCTION("""COMPUTED_VALUE"""),"WS")</f>
        <v>WS</v>
      </c>
      <c r="T6006" s="4" t="str">
        <f>IFERROR(__xludf.DUMMYFUNCTION("""COMPUTED_VALUE"""),"WS/48")</f>
        <v>WS/48</v>
      </c>
      <c r="U6006" s="4" t="str">
        <f>IFERROR(__xludf.DUMMYFUNCTION("""COMPUTED_VALUE"""),"BPM")</f>
        <v>BPM</v>
      </c>
      <c r="V6006" s="4" t="str">
        <f>IFERROR(__xludf.DUMMYFUNCTION("""COMPUTED_VALUE"""),"VORP")</f>
        <v>VORP</v>
      </c>
    </row>
    <row r="6007">
      <c r="A6007" s="4">
        <f>IFERROR(__xludf.DUMMYFUNCTION("""COMPUTED_VALUE"""),52.0)</f>
        <v>52</v>
      </c>
      <c r="B6007" s="4">
        <f>IFERROR(__xludf.DUMMYFUNCTION("""COMPUTED_VALUE"""),52.0)</f>
        <v>52</v>
      </c>
      <c r="C6007" s="4" t="str">
        <f>IFERROR(__xludf.DUMMYFUNCTION("""COMPUTED_VALUE"""),"CLE")</f>
        <v>CLE</v>
      </c>
      <c r="D6007" s="4" t="str">
        <f>IFERROR(__xludf.DUMMYFUNCTION("""COMPUTED_VALUE"""),"Cliff Harris")</f>
        <v>Cliff Harris</v>
      </c>
      <c r="E6007" s="4" t="str">
        <f>IFERROR(__xludf.DUMMYFUNCTION("""COMPUTED_VALUE"""),"Hardin-Simmons University")</f>
        <v>Hardin-Simmons University</v>
      </c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</row>
    <row r="6008">
      <c r="A6008" s="4">
        <f>IFERROR(__xludf.DUMMYFUNCTION("""COMPUTED_VALUE"""),53.0)</f>
        <v>53</v>
      </c>
      <c r="B6008" s="4">
        <f>IFERROR(__xludf.DUMMYFUNCTION("""COMPUTED_VALUE"""),53.0)</f>
        <v>53</v>
      </c>
      <c r="C6008" s="4" t="str">
        <f>IFERROR(__xludf.DUMMYFUNCTION("""COMPUTED_VALUE"""),"BUF")</f>
        <v>BUF</v>
      </c>
      <c r="D6008" s="4" t="str">
        <f>IFERROR(__xludf.DUMMYFUNCTION("""COMPUTED_VALUE"""),"Jimmy O'Brien")</f>
        <v>Jimmy O'Brien</v>
      </c>
      <c r="E6008" s="4" t="str">
        <f>IFERROR(__xludf.DUMMYFUNCTION("""COMPUTED_VALUE"""),"Boston College")</f>
        <v>Boston College</v>
      </c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</row>
    <row r="6009">
      <c r="A6009" s="4">
        <f>IFERROR(__xludf.DUMMYFUNCTION("""COMPUTED_VALUE"""),54.0)</f>
        <v>54</v>
      </c>
      <c r="B6009" s="4">
        <f>IFERROR(__xludf.DUMMYFUNCTION("""COMPUTED_VALUE"""),54.0)</f>
        <v>54</v>
      </c>
      <c r="C6009" s="4" t="str">
        <f>IFERROR(__xludf.DUMMYFUNCTION("""COMPUTED_VALUE"""),"POR")</f>
        <v>POR</v>
      </c>
      <c r="D6009" s="4" t="str">
        <f>IFERROR(__xludf.DUMMYFUNCTION("""COMPUTED_VALUE"""),"Bobby Fields")</f>
        <v>Bobby Fields</v>
      </c>
      <c r="E6009" s="4" t="str">
        <f>IFERROR(__xludf.DUMMYFUNCTION("""COMPUTED_VALUE"""),"La Salle")</f>
        <v>La Salle</v>
      </c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</row>
    <row r="6010">
      <c r="A6010" s="4">
        <f>IFERROR(__xludf.DUMMYFUNCTION("""COMPUTED_VALUE"""),55.0)</f>
        <v>55</v>
      </c>
      <c r="B6010" s="4">
        <f>IFERROR(__xludf.DUMMYFUNCTION("""COMPUTED_VALUE"""),55.0)</f>
        <v>55</v>
      </c>
      <c r="C6010" s="4" t="str">
        <f>IFERROR(__xludf.DUMMYFUNCTION("""COMPUTED_VALUE"""),"CIN")</f>
        <v>CIN</v>
      </c>
      <c r="D6010" s="4" t="str">
        <f>IFERROR(__xludf.DUMMYFUNCTION("""COMPUTED_VALUE"""),"Sid Catlett")</f>
        <v>Sid Catlett</v>
      </c>
      <c r="E6010" s="4" t="str">
        <f>IFERROR(__xludf.DUMMYFUNCTION("""COMPUTED_VALUE"""),"Notre Dame")</f>
        <v>Notre Dame</v>
      </c>
      <c r="F6010" s="4">
        <f>IFERROR(__xludf.DUMMYFUNCTION("""COMPUTED_VALUE"""),1.0)</f>
        <v>1</v>
      </c>
      <c r="G6010" s="4">
        <f>IFERROR(__xludf.DUMMYFUNCTION("""COMPUTED_VALUE"""),9.0)</f>
        <v>9</v>
      </c>
      <c r="H6010" s="4">
        <f>IFERROR(__xludf.DUMMYFUNCTION("""COMPUTED_VALUE"""),40.0)</f>
        <v>40</v>
      </c>
      <c r="I6010" s="4">
        <f>IFERROR(__xludf.DUMMYFUNCTION("""COMPUTED_VALUE"""),6.0)</f>
        <v>6</v>
      </c>
      <c r="J6010" s="4">
        <f>IFERROR(__xludf.DUMMYFUNCTION("""COMPUTED_VALUE"""),4.0)</f>
        <v>4</v>
      </c>
      <c r="K6010" s="4">
        <f>IFERROR(__xludf.DUMMYFUNCTION("""COMPUTED_VALUE"""),1.0)</f>
        <v>1</v>
      </c>
      <c r="L6010" s="4">
        <f>IFERROR(__xludf.DUMMYFUNCTION("""COMPUTED_VALUE"""),0.222)</f>
        <v>0.222</v>
      </c>
      <c r="M6010" s="4"/>
      <c r="N6010" s="4">
        <f>IFERROR(__xludf.DUMMYFUNCTION("""COMPUTED_VALUE"""),0.222)</f>
        <v>0.222</v>
      </c>
      <c r="O6010" s="4">
        <f>IFERROR(__xludf.DUMMYFUNCTION("""COMPUTED_VALUE"""),4.4)</f>
        <v>4.4</v>
      </c>
      <c r="P6010" s="4">
        <f>IFERROR(__xludf.DUMMYFUNCTION("""COMPUTED_VALUE"""),0.7)</f>
        <v>0.7</v>
      </c>
      <c r="Q6010" s="4">
        <f>IFERROR(__xludf.DUMMYFUNCTION("""COMPUTED_VALUE"""),0.4)</f>
        <v>0.4</v>
      </c>
      <c r="R6010" s="4">
        <f>IFERROR(__xludf.DUMMYFUNCTION("""COMPUTED_VALUE"""),0.1)</f>
        <v>0.1</v>
      </c>
      <c r="S6010" s="4">
        <f>IFERROR(__xludf.DUMMYFUNCTION("""COMPUTED_VALUE"""),-0.2)</f>
        <v>-0.2</v>
      </c>
      <c r="T6010" s="4">
        <f>IFERROR(__xludf.DUMMYFUNCTION("""COMPUTED_VALUE"""),-0.197)</f>
        <v>-0.197</v>
      </c>
      <c r="U6010" s="4"/>
      <c r="V6010" s="4"/>
    </row>
    <row r="6011">
      <c r="A6011" s="4">
        <f>IFERROR(__xludf.DUMMYFUNCTION("""COMPUTED_VALUE"""),56.0)</f>
        <v>56</v>
      </c>
      <c r="B6011" s="4">
        <f>IFERROR(__xludf.DUMMYFUNCTION("""COMPUTED_VALUE"""),56.0)</f>
        <v>56</v>
      </c>
      <c r="C6011" s="4" t="str">
        <f>IFERROR(__xludf.DUMMYFUNCTION("""COMPUTED_VALUE"""),"ATL")</f>
        <v>ATL</v>
      </c>
      <c r="D6011" s="4" t="str">
        <f>IFERROR(__xludf.DUMMYFUNCTION("""COMPUTED_VALUE"""),"Jim Welch")</f>
        <v>Jim Welch</v>
      </c>
      <c r="E6011" s="4" t="str">
        <f>IFERROR(__xludf.DUMMYFUNCTION("""COMPUTED_VALUE"""),"Houston")</f>
        <v>Houston</v>
      </c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</row>
    <row r="6012">
      <c r="A6012" s="4">
        <f>IFERROR(__xludf.DUMMYFUNCTION("""COMPUTED_VALUE"""),57.0)</f>
        <v>57</v>
      </c>
      <c r="B6012" s="4">
        <f>IFERROR(__xludf.DUMMYFUNCTION("""COMPUTED_VALUE"""),57.0)</f>
        <v>57</v>
      </c>
      <c r="C6012" s="4" t="str">
        <f>IFERROR(__xludf.DUMMYFUNCTION("""COMPUTED_VALUE"""),"SEA")</f>
        <v>SEA</v>
      </c>
      <c r="D6012" s="4" t="str">
        <f>IFERROR(__xludf.DUMMYFUNCTION("""COMPUTED_VALUE"""),"Pembrook Burrows")</f>
        <v>Pembrook Burrows</v>
      </c>
      <c r="E6012" s="4" t="str">
        <f>IFERROR(__xludf.DUMMYFUNCTION("""COMPUTED_VALUE"""),"Jacksonville University")</f>
        <v>Jacksonville University</v>
      </c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</row>
    <row r="6013">
      <c r="A6013" s="4">
        <f>IFERROR(__xludf.DUMMYFUNCTION("""COMPUTED_VALUE"""),58.0)</f>
        <v>58</v>
      </c>
      <c r="B6013" s="4">
        <f>IFERROR(__xludf.DUMMYFUNCTION("""COMPUTED_VALUE"""),58.0)</f>
        <v>58</v>
      </c>
      <c r="C6013" s="4" t="str">
        <f>IFERROR(__xludf.DUMMYFUNCTION("""COMPUTED_VALUE"""),"HOU")</f>
        <v>HOU</v>
      </c>
      <c r="D6013" s="4" t="str">
        <f>IFERROR(__xludf.DUMMYFUNCTION("""COMPUTED_VALUE"""),"Tom Owens")</f>
        <v>Tom Owens</v>
      </c>
      <c r="E6013" s="4" t="str">
        <f>IFERROR(__xludf.DUMMYFUNCTION("""COMPUTED_VALUE"""),"South Carolina")</f>
        <v>South Carolina</v>
      </c>
      <c r="F6013" s="4">
        <f>IFERROR(__xludf.DUMMYFUNCTION("""COMPUTED_VALUE"""),7.0)</f>
        <v>7</v>
      </c>
      <c r="G6013" s="4">
        <f>IFERROR(__xludf.DUMMYFUNCTION("""COMPUTED_VALUE"""),488.0)</f>
        <v>488</v>
      </c>
      <c r="H6013" s="4">
        <f>IFERROR(__xludf.DUMMYFUNCTION("""COMPUTED_VALUE"""),11471.0)</f>
        <v>11471</v>
      </c>
      <c r="I6013" s="4">
        <f>IFERROR(__xludf.DUMMYFUNCTION("""COMPUTED_VALUE"""),5612.0)</f>
        <v>5612</v>
      </c>
      <c r="J6013" s="4">
        <f>IFERROR(__xludf.DUMMYFUNCTION("""COMPUTED_VALUE"""),3010.0)</f>
        <v>3010</v>
      </c>
      <c r="K6013" s="4">
        <f>IFERROR(__xludf.DUMMYFUNCTION("""COMPUTED_VALUE"""),984.0)</f>
        <v>984</v>
      </c>
      <c r="L6013" s="4">
        <f>IFERROR(__xludf.DUMMYFUNCTION("""COMPUTED_VALUE"""),0.508)</f>
        <v>0.508</v>
      </c>
      <c r="M6013" s="4"/>
      <c r="N6013" s="4">
        <f>IFERROR(__xludf.DUMMYFUNCTION("""COMPUTED_VALUE"""),0.764)</f>
        <v>0.764</v>
      </c>
      <c r="O6013" s="4">
        <f>IFERROR(__xludf.DUMMYFUNCTION("""COMPUTED_VALUE"""),23.5)</f>
        <v>23.5</v>
      </c>
      <c r="P6013" s="4">
        <f>IFERROR(__xludf.DUMMYFUNCTION("""COMPUTED_VALUE"""),11.5)</f>
        <v>11.5</v>
      </c>
      <c r="Q6013" s="4">
        <f>IFERROR(__xludf.DUMMYFUNCTION("""COMPUTED_VALUE"""),6.2)</f>
        <v>6.2</v>
      </c>
      <c r="R6013" s="4">
        <f>IFERROR(__xludf.DUMMYFUNCTION("""COMPUTED_VALUE"""),2.0)</f>
        <v>2</v>
      </c>
      <c r="S6013" s="4">
        <f>IFERROR(__xludf.DUMMYFUNCTION("""COMPUTED_VALUE"""),32.9)</f>
        <v>32.9</v>
      </c>
      <c r="T6013" s="4">
        <f>IFERROR(__xludf.DUMMYFUNCTION("""COMPUTED_VALUE"""),0.138)</f>
        <v>0.138</v>
      </c>
      <c r="U6013" s="4">
        <f>IFERROR(__xludf.DUMMYFUNCTION("""COMPUTED_VALUE"""),0.3)</f>
        <v>0.3</v>
      </c>
      <c r="V6013" s="4">
        <f>IFERROR(__xludf.DUMMYFUNCTION("""COMPUTED_VALUE"""),6.8)</f>
        <v>6.8</v>
      </c>
    </row>
    <row r="6014">
      <c r="A6014" s="4">
        <f>IFERROR(__xludf.DUMMYFUNCTION("""COMPUTED_VALUE"""),59.0)</f>
        <v>59</v>
      </c>
      <c r="B6014" s="4">
        <f>IFERROR(__xludf.DUMMYFUNCTION("""COMPUTED_VALUE"""),59.0)</f>
        <v>59</v>
      </c>
      <c r="C6014" s="4" t="str">
        <f>IFERROR(__xludf.DUMMYFUNCTION("""COMPUTED_VALUE"""),"GSW")</f>
        <v>GSW</v>
      </c>
      <c r="D6014" s="4" t="str">
        <f>IFERROR(__xludf.DUMMYFUNCTION("""COMPUTED_VALUE"""),"Greg Gary")</f>
        <v>Greg Gary</v>
      </c>
      <c r="E6014" s="4" t="str">
        <f>IFERROR(__xludf.DUMMYFUNCTION("""COMPUTED_VALUE"""),"St. Bonaventure")</f>
        <v>St. Bonaventure</v>
      </c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</row>
    <row r="6015">
      <c r="A6015" s="4">
        <f>IFERROR(__xludf.DUMMYFUNCTION("""COMPUTED_VALUE"""),60.0)</f>
        <v>60</v>
      </c>
      <c r="B6015" s="4">
        <f>IFERROR(__xludf.DUMMYFUNCTION("""COMPUTED_VALUE"""),60.0)</f>
        <v>60</v>
      </c>
      <c r="C6015" s="4" t="str">
        <f>IFERROR(__xludf.DUMMYFUNCTION("""COMPUTED_VALUE"""),"BAL")</f>
        <v>BAL</v>
      </c>
      <c r="D6015" s="4" t="str">
        <f>IFERROR(__xludf.DUMMYFUNCTION("""COMPUTED_VALUE"""),"Willie Allen")</f>
        <v>Willie Allen</v>
      </c>
      <c r="E6015" s="4" t="str">
        <f>IFERROR(__xludf.DUMMYFUNCTION("""COMPUTED_VALUE"""),"Miami (FL)")</f>
        <v>Miami (FL)</v>
      </c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</row>
    <row r="6016">
      <c r="A6016" s="4">
        <f>IFERROR(__xludf.DUMMYFUNCTION("""COMPUTED_VALUE"""),61.0)</f>
        <v>61</v>
      </c>
      <c r="B6016" s="4">
        <f>IFERROR(__xludf.DUMMYFUNCTION("""COMPUTED_VALUE"""),61.0)</f>
        <v>61</v>
      </c>
      <c r="C6016" s="4" t="str">
        <f>IFERROR(__xludf.DUMMYFUNCTION("""COMPUTED_VALUE"""),"BOS")</f>
        <v>BOS</v>
      </c>
      <c r="D6016" s="4" t="str">
        <f>IFERROR(__xludf.DUMMYFUNCTION("""COMPUTED_VALUE"""),"Randy Denton")</f>
        <v>Randy Denton</v>
      </c>
      <c r="E6016" s="4" t="str">
        <f>IFERROR(__xludf.DUMMYFUNCTION("""COMPUTED_VALUE"""),"Duke")</f>
        <v>Duke</v>
      </c>
      <c r="F6016" s="4">
        <f>IFERROR(__xludf.DUMMYFUNCTION("""COMPUTED_VALUE"""),1.0)</f>
        <v>1</v>
      </c>
      <c r="G6016" s="4">
        <f>IFERROR(__xludf.DUMMYFUNCTION("""COMPUTED_VALUE"""),45.0)</f>
        <v>45</v>
      </c>
      <c r="H6016" s="4">
        <f>IFERROR(__xludf.DUMMYFUNCTION("""COMPUTED_VALUE"""),700.0)</f>
        <v>700</v>
      </c>
      <c r="I6016" s="4">
        <f>IFERROR(__xludf.DUMMYFUNCTION("""COMPUTED_VALUE"""),239.0)</f>
        <v>239</v>
      </c>
      <c r="J6016" s="4">
        <f>IFERROR(__xludf.DUMMYFUNCTION("""COMPUTED_VALUE"""),218.0)</f>
        <v>218</v>
      </c>
      <c r="K6016" s="4">
        <f>IFERROR(__xludf.DUMMYFUNCTION("""COMPUTED_VALUE"""),33.0)</f>
        <v>33</v>
      </c>
      <c r="L6016" s="4">
        <f>IFERROR(__xludf.DUMMYFUNCTION("""COMPUTED_VALUE"""),0.402)</f>
        <v>0.402</v>
      </c>
      <c r="M6016" s="4"/>
      <c r="N6016" s="4">
        <f>IFERROR(__xludf.DUMMYFUNCTION("""COMPUTED_VALUE"""),0.702)</f>
        <v>0.702</v>
      </c>
      <c r="O6016" s="4">
        <f>IFERROR(__xludf.DUMMYFUNCTION("""COMPUTED_VALUE"""),15.6)</f>
        <v>15.6</v>
      </c>
      <c r="P6016" s="4">
        <f>IFERROR(__xludf.DUMMYFUNCTION("""COMPUTED_VALUE"""),5.3)</f>
        <v>5.3</v>
      </c>
      <c r="Q6016" s="4">
        <f>IFERROR(__xludf.DUMMYFUNCTION("""COMPUTED_VALUE"""),4.8)</f>
        <v>4.8</v>
      </c>
      <c r="R6016" s="4">
        <f>IFERROR(__xludf.DUMMYFUNCTION("""COMPUTED_VALUE"""),0.7)</f>
        <v>0.7</v>
      </c>
      <c r="S6016" s="4">
        <f>IFERROR(__xludf.DUMMYFUNCTION("""COMPUTED_VALUE"""),0.4)</f>
        <v>0.4</v>
      </c>
      <c r="T6016" s="4">
        <f>IFERROR(__xludf.DUMMYFUNCTION("""COMPUTED_VALUE"""),0.029)</f>
        <v>0.029</v>
      </c>
      <c r="U6016" s="4">
        <f>IFERROR(__xludf.DUMMYFUNCTION("""COMPUTED_VALUE"""),-3.7)</f>
        <v>-3.7</v>
      </c>
      <c r="V6016" s="4">
        <f>IFERROR(__xludf.DUMMYFUNCTION("""COMPUTED_VALUE"""),-0.3)</f>
        <v>-0.3</v>
      </c>
    </row>
    <row r="6017">
      <c r="A6017" s="4">
        <f>IFERROR(__xludf.DUMMYFUNCTION("""COMPUTED_VALUE"""),62.0)</f>
        <v>62</v>
      </c>
      <c r="B6017" s="4">
        <f>IFERROR(__xludf.DUMMYFUNCTION("""COMPUTED_VALUE"""),62.0)</f>
        <v>62</v>
      </c>
      <c r="C6017" s="4" t="str">
        <f>IFERROR(__xludf.DUMMYFUNCTION("""COMPUTED_VALUE"""),"DET")</f>
        <v>DET</v>
      </c>
      <c r="D6017" s="4" t="str">
        <f>IFERROR(__xludf.DUMMYFUNCTION("""COMPUTED_VALUE"""),"Jarrett Durham")</f>
        <v>Jarrett Durham</v>
      </c>
      <c r="E6017" s="4" t="str">
        <f>IFERROR(__xludf.DUMMYFUNCTION("""COMPUTED_VALUE"""),"Duquesne")</f>
        <v>Duquesne</v>
      </c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</row>
    <row r="6018">
      <c r="A6018" s="4">
        <f>IFERROR(__xludf.DUMMYFUNCTION("""COMPUTED_VALUE"""),63.0)</f>
        <v>63</v>
      </c>
      <c r="B6018" s="4">
        <f>IFERROR(__xludf.DUMMYFUNCTION("""COMPUTED_VALUE"""),63.0)</f>
        <v>63</v>
      </c>
      <c r="C6018" s="4" t="str">
        <f>IFERROR(__xludf.DUMMYFUNCTION("""COMPUTED_VALUE"""),"PHI")</f>
        <v>PHI</v>
      </c>
      <c r="D6018" s="4" t="str">
        <f>IFERROR(__xludf.DUMMYFUNCTION("""COMPUTED_VALUE"""),"Erwin Johnson")</f>
        <v>Erwin Johnson</v>
      </c>
      <c r="E6018" s="4" t="str">
        <f>IFERROR(__xludf.DUMMYFUNCTION("""COMPUTED_VALUE"""),"Augusta State University")</f>
        <v>Augusta State University</v>
      </c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</row>
    <row r="6019">
      <c r="A6019" s="4">
        <f>IFERROR(__xludf.DUMMYFUNCTION("""COMPUTED_VALUE"""),64.0)</f>
        <v>64</v>
      </c>
      <c r="B6019" s="4">
        <f>IFERROR(__xludf.DUMMYFUNCTION("""COMPUTED_VALUE"""),64.0)</f>
        <v>64</v>
      </c>
      <c r="C6019" s="4" t="str">
        <f>IFERROR(__xludf.DUMMYFUNCTION("""COMPUTED_VALUE"""),"LAL")</f>
        <v>LAL</v>
      </c>
      <c r="D6019" s="4" t="str">
        <f>IFERROR(__xludf.DUMMYFUNCTION("""COMPUTED_VALUE"""),"Roger Brown")</f>
        <v>Roger Brown</v>
      </c>
      <c r="E6019" s="4" t="str">
        <f>IFERROR(__xludf.DUMMYFUNCTION("""COMPUTED_VALUE"""),"Kansas")</f>
        <v>Kansas</v>
      </c>
      <c r="F6019" s="4">
        <f>IFERROR(__xludf.DUMMYFUNCTION("""COMPUTED_VALUE"""),2.0)</f>
        <v>2</v>
      </c>
      <c r="G6019" s="4">
        <f>IFERROR(__xludf.DUMMYFUNCTION("""COMPUTED_VALUE"""),77.0)</f>
        <v>77</v>
      </c>
      <c r="H6019" s="4">
        <f>IFERROR(__xludf.DUMMYFUNCTION("""COMPUTED_VALUE"""),818.0)</f>
        <v>818</v>
      </c>
      <c r="I6019" s="4">
        <f>IFERROR(__xludf.DUMMYFUNCTION("""COMPUTED_VALUE"""),135.0)</f>
        <v>135</v>
      </c>
      <c r="J6019" s="4">
        <f>IFERROR(__xludf.DUMMYFUNCTION("""COMPUTED_VALUE"""),230.0)</f>
        <v>230</v>
      </c>
      <c r="K6019" s="4">
        <f>IFERROR(__xludf.DUMMYFUNCTION("""COMPUTED_VALUE"""),25.0)</f>
        <v>25</v>
      </c>
      <c r="L6019" s="4">
        <f>IFERROR(__xludf.DUMMYFUNCTION("""COMPUTED_VALUE"""),0.389)</f>
        <v>0.389</v>
      </c>
      <c r="M6019" s="4"/>
      <c r="N6019" s="4">
        <f>IFERROR(__xludf.DUMMYFUNCTION("""COMPUTED_VALUE"""),0.702)</f>
        <v>0.702</v>
      </c>
      <c r="O6019" s="4">
        <f>IFERROR(__xludf.DUMMYFUNCTION("""COMPUTED_VALUE"""),10.6)</f>
        <v>10.6</v>
      </c>
      <c r="P6019" s="4">
        <f>IFERROR(__xludf.DUMMYFUNCTION("""COMPUTED_VALUE"""),1.8)</f>
        <v>1.8</v>
      </c>
      <c r="Q6019" s="4">
        <f>IFERROR(__xludf.DUMMYFUNCTION("""COMPUTED_VALUE"""),3.0)</f>
        <v>3</v>
      </c>
      <c r="R6019" s="4">
        <f>IFERROR(__xludf.DUMMYFUNCTION("""COMPUTED_VALUE"""),0.3)</f>
        <v>0.3</v>
      </c>
      <c r="S6019" s="4">
        <f>IFERROR(__xludf.DUMMYFUNCTION("""COMPUTED_VALUE"""),0.6)</f>
        <v>0.6</v>
      </c>
      <c r="T6019" s="4">
        <f>IFERROR(__xludf.DUMMYFUNCTION("""COMPUTED_VALUE"""),0.035)</f>
        <v>0.035</v>
      </c>
      <c r="U6019" s="4">
        <f>IFERROR(__xludf.DUMMYFUNCTION("""COMPUTED_VALUE"""),-3.2)</f>
        <v>-3.2</v>
      </c>
      <c r="V6019" s="4">
        <f>IFERROR(__xludf.DUMMYFUNCTION("""COMPUTED_VALUE"""),-0.2)</f>
        <v>-0.2</v>
      </c>
    </row>
    <row r="6020">
      <c r="A6020" s="4">
        <f>IFERROR(__xludf.DUMMYFUNCTION("""COMPUTED_VALUE"""),65.0)</f>
        <v>65</v>
      </c>
      <c r="B6020" s="4">
        <f>IFERROR(__xludf.DUMMYFUNCTION("""COMPUTED_VALUE"""),65.0)</f>
        <v>65</v>
      </c>
      <c r="C6020" s="4" t="str">
        <f>IFERROR(__xludf.DUMMYFUNCTION("""COMPUTED_VALUE"""),"PHO")</f>
        <v>PHO</v>
      </c>
      <c r="D6020" s="4" t="str">
        <f>IFERROR(__xludf.DUMMYFUNCTION("""COMPUTED_VALUE"""),"Walt Szczerbiak")</f>
        <v>Walt Szczerbiak</v>
      </c>
      <c r="E6020" s="4" t="str">
        <f>IFERROR(__xludf.DUMMYFUNCTION("""COMPUTED_VALUE"""),"George Washington")</f>
        <v>George Washington</v>
      </c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</row>
    <row r="6021">
      <c r="A6021" s="4">
        <f>IFERROR(__xludf.DUMMYFUNCTION("""COMPUTED_VALUE"""),66.0)</f>
        <v>66</v>
      </c>
      <c r="B6021" s="4">
        <f>IFERROR(__xludf.DUMMYFUNCTION("""COMPUTED_VALUE"""),66.0)</f>
        <v>66</v>
      </c>
      <c r="C6021" s="4" t="str">
        <f>IFERROR(__xludf.DUMMYFUNCTION("""COMPUTED_VALUE"""),"CHI")</f>
        <v>CHI</v>
      </c>
      <c r="D6021" s="4" t="str">
        <f>IFERROR(__xludf.DUMMYFUNCTION("""COMPUTED_VALUE"""),"Jim Irving")</f>
        <v>Jim Irving</v>
      </c>
      <c r="E6021" s="4" t="str">
        <f>IFERROR(__xludf.DUMMYFUNCTION("""COMPUTED_VALUE"""),"Saint Louis")</f>
        <v>Saint Louis</v>
      </c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</row>
    <row r="6022">
      <c r="A6022" s="4">
        <f>IFERROR(__xludf.DUMMYFUNCTION("""COMPUTED_VALUE"""),67.0)</f>
        <v>67</v>
      </c>
      <c r="B6022" s="4">
        <f>IFERROR(__xludf.DUMMYFUNCTION("""COMPUTED_VALUE"""),67.0)</f>
        <v>67</v>
      </c>
      <c r="C6022" s="4" t="str">
        <f>IFERROR(__xludf.DUMMYFUNCTION("""COMPUTED_VALUE"""),"NYK")</f>
        <v>NYK</v>
      </c>
      <c r="D6022" s="4" t="str">
        <f>IFERROR(__xludf.DUMMYFUNCTION("""COMPUTED_VALUE"""),"Steve Niles")</f>
        <v>Steve Niles</v>
      </c>
      <c r="E6022" s="4" t="str">
        <f>IFERROR(__xludf.DUMMYFUNCTION("""COMPUTED_VALUE"""),"Texas A&amp;M")</f>
        <v>Texas A&amp;M</v>
      </c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</row>
    <row r="6023">
      <c r="A6023" s="4">
        <f>IFERROR(__xludf.DUMMYFUNCTION("""COMPUTED_VALUE"""),68.0)</f>
        <v>68</v>
      </c>
      <c r="B6023" s="4">
        <f>IFERROR(__xludf.DUMMYFUNCTION("""COMPUTED_VALUE"""),68.0)</f>
        <v>68</v>
      </c>
      <c r="C6023" s="4" t="str">
        <f>IFERROR(__xludf.DUMMYFUNCTION("""COMPUTED_VALUE"""),"MIL")</f>
        <v>MIL</v>
      </c>
      <c r="D6023" s="4" t="str">
        <f>IFERROR(__xludf.DUMMYFUNCTION("""COMPUTED_VALUE"""),"Henry Smith")</f>
        <v>Henry Smith</v>
      </c>
      <c r="E6023" s="4" t="str">
        <f>IFERROR(__xludf.DUMMYFUNCTION("""COMPUTED_VALUE"""),"Missouri")</f>
        <v>Missouri</v>
      </c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</row>
    <row r="6024">
      <c r="A6024" s="4"/>
      <c r="B6024" s="4"/>
      <c r="C6024" s="4"/>
      <c r="D6024" s="4" t="str">
        <f>IFERROR(__xludf.DUMMYFUNCTION("""COMPUTED_VALUE"""),"Round 5")</f>
        <v>Round 5</v>
      </c>
      <c r="E6024" s="4"/>
      <c r="F6024" s="4"/>
      <c r="G6024" s="4" t="str">
        <f>IFERROR(__xludf.DUMMYFUNCTION("""COMPUTED_VALUE"""),"Totals")</f>
        <v>Totals</v>
      </c>
      <c r="H6024" s="4"/>
      <c r="I6024" s="4"/>
      <c r="J6024" s="4"/>
      <c r="K6024" s="4"/>
      <c r="L6024" s="4" t="str">
        <f>IFERROR(__xludf.DUMMYFUNCTION("""COMPUTED_VALUE"""),"Shooting")</f>
        <v>Shooting</v>
      </c>
      <c r="M6024" s="4"/>
      <c r="N6024" s="4"/>
      <c r="O6024" s="4" t="str">
        <f>IFERROR(__xludf.DUMMYFUNCTION("""COMPUTED_VALUE"""),"Per Game")</f>
        <v>Per Game</v>
      </c>
      <c r="P6024" s="4"/>
      <c r="Q6024" s="4"/>
      <c r="R6024" s="4"/>
      <c r="S6024" s="4" t="str">
        <f>IFERROR(__xludf.DUMMYFUNCTION("""COMPUTED_VALUE"""),"Advanced")</f>
        <v>Advanced</v>
      </c>
      <c r="T6024" s="4"/>
      <c r="U6024" s="4"/>
      <c r="V6024" s="4"/>
    </row>
    <row r="6025">
      <c r="A6025" s="4" t="str">
        <f>IFERROR(__xludf.DUMMYFUNCTION("""COMPUTED_VALUE"""),"Rk")</f>
        <v>Rk</v>
      </c>
      <c r="B6025" s="4" t="str">
        <f>IFERROR(__xludf.DUMMYFUNCTION("""COMPUTED_VALUE"""),"Pk")</f>
        <v>Pk</v>
      </c>
      <c r="C6025" s="4" t="str">
        <f>IFERROR(__xludf.DUMMYFUNCTION("""COMPUTED_VALUE"""),"Tm")</f>
        <v>Tm</v>
      </c>
      <c r="D6025" s="4" t="str">
        <f>IFERROR(__xludf.DUMMYFUNCTION("""COMPUTED_VALUE"""),"Player")</f>
        <v>Player</v>
      </c>
      <c r="E6025" s="4" t="str">
        <f>IFERROR(__xludf.DUMMYFUNCTION("""COMPUTED_VALUE"""),"College")</f>
        <v>College</v>
      </c>
      <c r="F6025" s="4" t="str">
        <f>IFERROR(__xludf.DUMMYFUNCTION("""COMPUTED_VALUE"""),"Yrs")</f>
        <v>Yrs</v>
      </c>
      <c r="G6025" s="4" t="str">
        <f>IFERROR(__xludf.DUMMYFUNCTION("""COMPUTED_VALUE"""),"G")</f>
        <v>G</v>
      </c>
      <c r="H6025" s="4" t="str">
        <f>IFERROR(__xludf.DUMMYFUNCTION("""COMPUTED_VALUE"""),"MP")</f>
        <v>MP</v>
      </c>
      <c r="I6025" s="4" t="str">
        <f>IFERROR(__xludf.DUMMYFUNCTION("""COMPUTED_VALUE"""),"PTS")</f>
        <v>PTS</v>
      </c>
      <c r="J6025" s="4" t="str">
        <f>IFERROR(__xludf.DUMMYFUNCTION("""COMPUTED_VALUE"""),"TRB")</f>
        <v>TRB</v>
      </c>
      <c r="K6025" s="4" t="str">
        <f>IFERROR(__xludf.DUMMYFUNCTION("""COMPUTED_VALUE"""),"AST")</f>
        <v>AST</v>
      </c>
      <c r="L6025" s="4" t="str">
        <f>IFERROR(__xludf.DUMMYFUNCTION("""COMPUTED_VALUE"""),"FG%")</f>
        <v>FG%</v>
      </c>
      <c r="M6025" s="4" t="str">
        <f>IFERROR(__xludf.DUMMYFUNCTION("""COMPUTED_VALUE"""),"3P%")</f>
        <v>3P%</v>
      </c>
      <c r="N6025" s="4" t="str">
        <f>IFERROR(__xludf.DUMMYFUNCTION("""COMPUTED_VALUE"""),"FT%")</f>
        <v>FT%</v>
      </c>
      <c r="O6025" s="4" t="str">
        <f>IFERROR(__xludf.DUMMYFUNCTION("""COMPUTED_VALUE"""),"MP")</f>
        <v>MP</v>
      </c>
      <c r="P6025" s="4" t="str">
        <f>IFERROR(__xludf.DUMMYFUNCTION("""COMPUTED_VALUE"""),"PTS")</f>
        <v>PTS</v>
      </c>
      <c r="Q6025" s="4" t="str">
        <f>IFERROR(__xludf.DUMMYFUNCTION("""COMPUTED_VALUE"""),"TRB")</f>
        <v>TRB</v>
      </c>
      <c r="R6025" s="4" t="str">
        <f>IFERROR(__xludf.DUMMYFUNCTION("""COMPUTED_VALUE"""),"AST")</f>
        <v>AST</v>
      </c>
      <c r="S6025" s="4" t="str">
        <f>IFERROR(__xludf.DUMMYFUNCTION("""COMPUTED_VALUE"""),"WS")</f>
        <v>WS</v>
      </c>
      <c r="T6025" s="4" t="str">
        <f>IFERROR(__xludf.DUMMYFUNCTION("""COMPUTED_VALUE"""),"WS/48")</f>
        <v>WS/48</v>
      </c>
      <c r="U6025" s="4" t="str">
        <f>IFERROR(__xludf.DUMMYFUNCTION("""COMPUTED_VALUE"""),"BPM")</f>
        <v>BPM</v>
      </c>
      <c r="V6025" s="4" t="str">
        <f>IFERROR(__xludf.DUMMYFUNCTION("""COMPUTED_VALUE"""),"VORP")</f>
        <v>VORP</v>
      </c>
    </row>
    <row r="6026">
      <c r="A6026" s="4">
        <f>IFERROR(__xludf.DUMMYFUNCTION("""COMPUTED_VALUE"""),69.0)</f>
        <v>69</v>
      </c>
      <c r="B6026" s="4">
        <f>IFERROR(__xludf.DUMMYFUNCTION("""COMPUTED_VALUE"""),69.0)</f>
        <v>69</v>
      </c>
      <c r="C6026" s="4" t="str">
        <f>IFERROR(__xludf.DUMMYFUNCTION("""COMPUTED_VALUE"""),"CLE")</f>
        <v>CLE</v>
      </c>
      <c r="D6026" s="4" t="str">
        <f>IFERROR(__xludf.DUMMYFUNCTION("""COMPUTED_VALUE"""),"Brian Mahoney")</f>
        <v>Brian Mahoney</v>
      </c>
      <c r="E6026" s="4" t="str">
        <f>IFERROR(__xludf.DUMMYFUNCTION("""COMPUTED_VALUE"""),"Manhattan University")</f>
        <v>Manhattan University</v>
      </c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</row>
    <row r="6027">
      <c r="A6027" s="4">
        <f>IFERROR(__xludf.DUMMYFUNCTION("""COMPUTED_VALUE"""),70.0)</f>
        <v>70</v>
      </c>
      <c r="B6027" s="4">
        <f>IFERROR(__xludf.DUMMYFUNCTION("""COMPUTED_VALUE"""),70.0)</f>
        <v>70</v>
      </c>
      <c r="C6027" s="4" t="str">
        <f>IFERROR(__xludf.DUMMYFUNCTION("""COMPUTED_VALUE"""),"BUF")</f>
        <v>BUF</v>
      </c>
      <c r="D6027" s="4" t="str">
        <f>IFERROR(__xludf.DUMMYFUNCTION("""COMPUTED_VALUE"""),"Garry Nelson")</f>
        <v>Garry Nelson</v>
      </c>
      <c r="E6027" s="4" t="str">
        <f>IFERROR(__xludf.DUMMYFUNCTION("""COMPUTED_VALUE"""),"Duquesne")</f>
        <v>Duquesne</v>
      </c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</row>
    <row r="6028">
      <c r="A6028" s="4">
        <f>IFERROR(__xludf.DUMMYFUNCTION("""COMPUTED_VALUE"""),71.0)</f>
        <v>71</v>
      </c>
      <c r="B6028" s="4">
        <f>IFERROR(__xludf.DUMMYFUNCTION("""COMPUTED_VALUE"""),71.0)</f>
        <v>71</v>
      </c>
      <c r="C6028" s="4" t="str">
        <f>IFERROR(__xludf.DUMMYFUNCTION("""COMPUTED_VALUE"""),"POR")</f>
        <v>POR</v>
      </c>
      <c r="D6028" s="4" t="str">
        <f>IFERROR(__xludf.DUMMYFUNCTION("""COMPUTED_VALUE"""),"Hector Blondet")</f>
        <v>Hector Blondet</v>
      </c>
      <c r="E6028" s="4" t="str">
        <f>IFERROR(__xludf.DUMMYFUNCTION("""COMPUTED_VALUE"""),"Murray State")</f>
        <v>Murray State</v>
      </c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</row>
    <row r="6029">
      <c r="A6029" s="4">
        <f>IFERROR(__xludf.DUMMYFUNCTION("""COMPUTED_VALUE"""),72.0)</f>
        <v>72</v>
      </c>
      <c r="B6029" s="4">
        <f>IFERROR(__xludf.DUMMYFUNCTION("""COMPUTED_VALUE"""),72.0)</f>
        <v>72</v>
      </c>
      <c r="C6029" s="4" t="str">
        <f>IFERROR(__xludf.DUMMYFUNCTION("""COMPUTED_VALUE"""),"CIN")</f>
        <v>CIN</v>
      </c>
      <c r="D6029" s="4" t="str">
        <f>IFERROR(__xludf.DUMMYFUNCTION("""COMPUTED_VALUE"""),"Jimmie Guymon")</f>
        <v>Jimmie Guymon</v>
      </c>
      <c r="E6029" s="4" t="str">
        <f>IFERROR(__xludf.DUMMYFUNCTION("""COMPUTED_VALUE"""),"Eastern New Mexico University")</f>
        <v>Eastern New Mexico University</v>
      </c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</row>
    <row r="6030">
      <c r="A6030" s="4">
        <f>IFERROR(__xludf.DUMMYFUNCTION("""COMPUTED_VALUE"""),73.0)</f>
        <v>73</v>
      </c>
      <c r="B6030" s="4">
        <f>IFERROR(__xludf.DUMMYFUNCTION("""COMPUTED_VALUE"""),73.0)</f>
        <v>73</v>
      </c>
      <c r="C6030" s="4" t="str">
        <f>IFERROR(__xludf.DUMMYFUNCTION("""COMPUTED_VALUE"""),"CIN")</f>
        <v>CIN</v>
      </c>
      <c r="D6030" s="4" t="str">
        <f>IFERROR(__xludf.DUMMYFUNCTION("""COMPUTED_VALUE"""),"Tyrone Marioneaux")</f>
        <v>Tyrone Marioneaux</v>
      </c>
      <c r="E6030" s="4" t="str">
        <f>IFERROR(__xludf.DUMMYFUNCTION("""COMPUTED_VALUE"""),"Loyola New Orleans")</f>
        <v>Loyola New Orleans</v>
      </c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</row>
    <row r="6031">
      <c r="A6031" s="4">
        <f>IFERROR(__xludf.DUMMYFUNCTION("""COMPUTED_VALUE"""),74.0)</f>
        <v>74</v>
      </c>
      <c r="B6031" s="4">
        <f>IFERROR(__xludf.DUMMYFUNCTION("""COMPUTED_VALUE"""),74.0)</f>
        <v>74</v>
      </c>
      <c r="C6031" s="4" t="str">
        <f>IFERROR(__xludf.DUMMYFUNCTION("""COMPUTED_VALUE"""),"SEA")</f>
        <v>SEA</v>
      </c>
      <c r="D6031" s="4" t="str">
        <f>IFERROR(__xludf.DUMMYFUNCTION("""COMPUTED_VALUE"""),"Jeff Smith")</f>
        <v>Jeff Smith</v>
      </c>
      <c r="E6031" s="4" t="str">
        <f>IFERROR(__xludf.DUMMYFUNCTION("""COMPUTED_VALUE"""),"New Mexico State")</f>
        <v>New Mexico State</v>
      </c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</row>
    <row r="6032">
      <c r="A6032" s="4">
        <f>IFERROR(__xludf.DUMMYFUNCTION("""COMPUTED_VALUE"""),75.0)</f>
        <v>75</v>
      </c>
      <c r="B6032" s="4">
        <f>IFERROR(__xludf.DUMMYFUNCTION("""COMPUTED_VALUE"""),75.0)</f>
        <v>75</v>
      </c>
      <c r="C6032" s="4" t="str">
        <f>IFERROR(__xludf.DUMMYFUNCTION("""COMPUTED_VALUE"""),"HOU")</f>
        <v>HOU</v>
      </c>
      <c r="D6032" s="4" t="str">
        <f>IFERROR(__xludf.DUMMYFUNCTION("""COMPUTED_VALUE"""),"Rudy Benjamin")</f>
        <v>Rudy Benjamin</v>
      </c>
      <c r="E6032" s="4" t="str">
        <f>IFERROR(__xludf.DUMMYFUNCTION("""COMPUTED_VALUE"""),"Michigan State")</f>
        <v>Michigan State</v>
      </c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</row>
    <row r="6033">
      <c r="A6033" s="4">
        <f>IFERROR(__xludf.DUMMYFUNCTION("""COMPUTED_VALUE"""),76.0)</f>
        <v>76</v>
      </c>
      <c r="B6033" s="4">
        <f>IFERROR(__xludf.DUMMYFUNCTION("""COMPUTED_VALUE"""),76.0)</f>
        <v>76</v>
      </c>
      <c r="C6033" s="4" t="str">
        <f>IFERROR(__xludf.DUMMYFUNCTION("""COMPUTED_VALUE"""),"GSW")</f>
        <v>GSW</v>
      </c>
      <c r="D6033" s="4" t="str">
        <f>IFERROR(__xludf.DUMMYFUNCTION("""COMPUTED_VALUE"""),"Odis Allison")</f>
        <v>Odis Allison</v>
      </c>
      <c r="E6033" s="4" t="str">
        <f>IFERROR(__xludf.DUMMYFUNCTION("""COMPUTED_VALUE"""),"UNLV")</f>
        <v>UNLV</v>
      </c>
      <c r="F6033" s="4">
        <f>IFERROR(__xludf.DUMMYFUNCTION("""COMPUTED_VALUE"""),1.0)</f>
        <v>1</v>
      </c>
      <c r="G6033" s="4">
        <f>IFERROR(__xludf.DUMMYFUNCTION("""COMPUTED_VALUE"""),36.0)</f>
        <v>36</v>
      </c>
      <c r="H6033" s="4">
        <f>IFERROR(__xludf.DUMMYFUNCTION("""COMPUTED_VALUE"""),166.0)</f>
        <v>166</v>
      </c>
      <c r="I6033" s="4">
        <f>IFERROR(__xludf.DUMMYFUNCTION("""COMPUTED_VALUE"""),67.0)</f>
        <v>67</v>
      </c>
      <c r="J6033" s="4">
        <f>IFERROR(__xludf.DUMMYFUNCTION("""COMPUTED_VALUE"""),45.0)</f>
        <v>45</v>
      </c>
      <c r="K6033" s="4">
        <f>IFERROR(__xludf.DUMMYFUNCTION("""COMPUTED_VALUE"""),10.0)</f>
        <v>10</v>
      </c>
      <c r="L6033" s="4">
        <f>IFERROR(__xludf.DUMMYFUNCTION("""COMPUTED_VALUE"""),0.218)</f>
        <v>0.218</v>
      </c>
      <c r="M6033" s="4"/>
      <c r="N6033" s="4">
        <f>IFERROR(__xludf.DUMMYFUNCTION("""COMPUTED_VALUE"""),0.541)</f>
        <v>0.541</v>
      </c>
      <c r="O6033" s="4">
        <f>IFERROR(__xludf.DUMMYFUNCTION("""COMPUTED_VALUE"""),4.6)</f>
        <v>4.6</v>
      </c>
      <c r="P6033" s="4">
        <f>IFERROR(__xludf.DUMMYFUNCTION("""COMPUTED_VALUE"""),1.9)</f>
        <v>1.9</v>
      </c>
      <c r="Q6033" s="4">
        <f>IFERROR(__xludf.DUMMYFUNCTION("""COMPUTED_VALUE"""),1.3)</f>
        <v>1.3</v>
      </c>
      <c r="R6033" s="4">
        <f>IFERROR(__xludf.DUMMYFUNCTION("""COMPUTED_VALUE"""),0.3)</f>
        <v>0.3</v>
      </c>
      <c r="S6033" s="4">
        <f>IFERROR(__xludf.DUMMYFUNCTION("""COMPUTED_VALUE"""),-0.6)</f>
        <v>-0.6</v>
      </c>
      <c r="T6033" s="4">
        <f>IFERROR(__xludf.DUMMYFUNCTION("""COMPUTED_VALUE"""),-0.181)</f>
        <v>-0.181</v>
      </c>
      <c r="U6033" s="4"/>
      <c r="V6033" s="4"/>
    </row>
    <row r="6034">
      <c r="A6034" s="4">
        <f>IFERROR(__xludf.DUMMYFUNCTION("""COMPUTED_VALUE"""),77.0)</f>
        <v>77</v>
      </c>
      <c r="B6034" s="4">
        <f>IFERROR(__xludf.DUMMYFUNCTION("""COMPUTED_VALUE"""),77.0)</f>
        <v>77</v>
      </c>
      <c r="C6034" s="4" t="str">
        <f>IFERROR(__xludf.DUMMYFUNCTION("""COMPUTED_VALUE"""),"BAL")</f>
        <v>BAL</v>
      </c>
      <c r="D6034" s="4" t="str">
        <f>IFERROR(__xludf.DUMMYFUNCTION("""COMPUTED_VALUE"""),"Don Johnson")</f>
        <v>Don Johnson</v>
      </c>
      <c r="E6034" s="4" t="str">
        <f>IFERROR(__xludf.DUMMYFUNCTION("""COMPUTED_VALUE"""),"Tennessee")</f>
        <v>Tennessee</v>
      </c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</row>
    <row r="6035">
      <c r="A6035" s="4">
        <f>IFERROR(__xludf.DUMMYFUNCTION("""COMPUTED_VALUE"""),78.0)</f>
        <v>78</v>
      </c>
      <c r="B6035" s="4">
        <f>IFERROR(__xludf.DUMMYFUNCTION("""COMPUTED_VALUE"""),78.0)</f>
        <v>78</v>
      </c>
      <c r="C6035" s="4" t="str">
        <f>IFERROR(__xludf.DUMMYFUNCTION("""COMPUTED_VALUE"""),"HOU")</f>
        <v>HOU</v>
      </c>
      <c r="D6035" s="4" t="str">
        <f>IFERROR(__xludf.DUMMYFUNCTION("""COMPUTED_VALUE"""),"Greg Nelson")</f>
        <v>Greg Nelson</v>
      </c>
      <c r="E6035" s="4" t="str">
        <f>IFERROR(__xludf.DUMMYFUNCTION("""COMPUTED_VALUE"""),"Jacksonville University")</f>
        <v>Jacksonville University</v>
      </c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</row>
    <row r="6036">
      <c r="A6036" s="4">
        <f>IFERROR(__xludf.DUMMYFUNCTION("""COMPUTED_VALUE"""),79.0)</f>
        <v>79</v>
      </c>
      <c r="B6036" s="4">
        <f>IFERROR(__xludf.DUMMYFUNCTION("""COMPUTED_VALUE"""),79.0)</f>
        <v>79</v>
      </c>
      <c r="C6036" s="4" t="str">
        <f>IFERROR(__xludf.DUMMYFUNCTION("""COMPUTED_VALUE"""),"DET")</f>
        <v>DET</v>
      </c>
      <c r="D6036" s="4" t="str">
        <f>IFERROR(__xludf.DUMMYFUNCTION("""COMPUTED_VALUE"""),"Vincent White")</f>
        <v>Vincent White</v>
      </c>
      <c r="E6036" s="4" t="str">
        <f>IFERROR(__xludf.DUMMYFUNCTION("""COMPUTED_VALUE"""),"Savannah State University")</f>
        <v>Savannah State University</v>
      </c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</row>
    <row r="6037">
      <c r="A6037" s="4">
        <f>IFERROR(__xludf.DUMMYFUNCTION("""COMPUTED_VALUE"""),80.0)</f>
        <v>80</v>
      </c>
      <c r="B6037" s="4">
        <f>IFERROR(__xludf.DUMMYFUNCTION("""COMPUTED_VALUE"""),80.0)</f>
        <v>80</v>
      </c>
      <c r="C6037" s="4" t="str">
        <f>IFERROR(__xludf.DUMMYFUNCTION("""COMPUTED_VALUE"""),"PHI")</f>
        <v>PHI</v>
      </c>
      <c r="D6037" s="4" t="str">
        <f>IFERROR(__xludf.DUMMYFUNCTION("""COMPUTED_VALUE"""),"Richard Hood")</f>
        <v>Richard Hood</v>
      </c>
      <c r="E6037" s="4" t="str">
        <f>IFERROR(__xludf.DUMMYFUNCTION("""COMPUTED_VALUE"""),"Phillips University")</f>
        <v>Phillips University</v>
      </c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</row>
    <row r="6038">
      <c r="A6038" s="4">
        <f>IFERROR(__xludf.DUMMYFUNCTION("""COMPUTED_VALUE"""),81.0)</f>
        <v>81</v>
      </c>
      <c r="B6038" s="4">
        <f>IFERROR(__xludf.DUMMYFUNCTION("""COMPUTED_VALUE"""),81.0)</f>
        <v>81</v>
      </c>
      <c r="C6038" s="4" t="str">
        <f>IFERROR(__xludf.DUMMYFUNCTION("""COMPUTED_VALUE"""),"LAL")</f>
        <v>LAL</v>
      </c>
      <c r="D6038" s="4" t="str">
        <f>IFERROR(__xludf.DUMMYFUNCTION("""COMPUTED_VALUE"""),"Lee Dedmon")</f>
        <v>Lee Dedmon</v>
      </c>
      <c r="E6038" s="4" t="str">
        <f>IFERROR(__xludf.DUMMYFUNCTION("""COMPUTED_VALUE"""),"UNC")</f>
        <v>UNC</v>
      </c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</row>
    <row r="6039">
      <c r="A6039" s="4">
        <f>IFERROR(__xludf.DUMMYFUNCTION("""COMPUTED_VALUE"""),82.0)</f>
        <v>82</v>
      </c>
      <c r="B6039" s="4">
        <f>IFERROR(__xludf.DUMMYFUNCTION("""COMPUTED_VALUE"""),82.0)</f>
        <v>82</v>
      </c>
      <c r="C6039" s="4" t="str">
        <f>IFERROR(__xludf.DUMMYFUNCTION("""COMPUTED_VALUE"""),"PHO")</f>
        <v>PHO</v>
      </c>
      <c r="D6039" s="4" t="str">
        <f>IFERROR(__xludf.DUMMYFUNCTION("""COMPUTED_VALUE"""),"Ken Gardner")</f>
        <v>Ken Gardner</v>
      </c>
      <c r="E6039" s="4" t="str">
        <f>IFERROR(__xludf.DUMMYFUNCTION("""COMPUTED_VALUE"""),"Utah")</f>
        <v>Utah</v>
      </c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</row>
    <row r="6040">
      <c r="A6040" s="4">
        <f>IFERROR(__xludf.DUMMYFUNCTION("""COMPUTED_VALUE"""),83.0)</f>
        <v>83</v>
      </c>
      <c r="B6040" s="4">
        <f>IFERROR(__xludf.DUMMYFUNCTION("""COMPUTED_VALUE"""),83.0)</f>
        <v>83</v>
      </c>
      <c r="C6040" s="4" t="str">
        <f>IFERROR(__xludf.DUMMYFUNCTION("""COMPUTED_VALUE"""),"CHI")</f>
        <v>CHI</v>
      </c>
      <c r="D6040" s="4" t="str">
        <f>IFERROR(__xludf.DUMMYFUNCTION("""COMPUTED_VALUE"""),"Larry Weatherford")</f>
        <v>Larry Weatherford</v>
      </c>
      <c r="E6040" s="4" t="str">
        <f>IFERROR(__xludf.DUMMYFUNCTION("""COMPUTED_VALUE"""),"Purdue")</f>
        <v>Purdue</v>
      </c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</row>
    <row r="6041">
      <c r="A6041" s="4">
        <f>IFERROR(__xludf.DUMMYFUNCTION("""COMPUTED_VALUE"""),84.0)</f>
        <v>84</v>
      </c>
      <c r="B6041" s="4">
        <f>IFERROR(__xludf.DUMMYFUNCTION("""COMPUTED_VALUE"""),84.0)</f>
        <v>84</v>
      </c>
      <c r="C6041" s="4" t="str">
        <f>IFERROR(__xludf.DUMMYFUNCTION("""COMPUTED_VALUE"""),"PHO")</f>
        <v>PHO</v>
      </c>
      <c r="D6041" s="4" t="str">
        <f>IFERROR(__xludf.DUMMYFUNCTION("""COMPUTED_VALUE"""),"Bob Kissane")</f>
        <v>Bob Kissane</v>
      </c>
      <c r="E6041" s="4" t="str">
        <f>IFERROR(__xludf.DUMMYFUNCTION("""COMPUTED_VALUE"""),"Holy Cross")</f>
        <v>Holy Cross</v>
      </c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</row>
    <row r="6042">
      <c r="A6042" s="4">
        <f>IFERROR(__xludf.DUMMYFUNCTION("""COMPUTED_VALUE"""),85.0)</f>
        <v>85</v>
      </c>
      <c r="B6042" s="4">
        <f>IFERROR(__xludf.DUMMYFUNCTION("""COMPUTED_VALUE"""),85.0)</f>
        <v>85</v>
      </c>
      <c r="C6042" s="4" t="str">
        <f>IFERROR(__xludf.DUMMYFUNCTION("""COMPUTED_VALUE"""),"MIL")</f>
        <v>MIL</v>
      </c>
      <c r="D6042" s="4" t="str">
        <f>IFERROR(__xludf.DUMMYFUNCTION("""COMPUTED_VALUE"""),"Barry Nelson")</f>
        <v>Barry Nelson</v>
      </c>
      <c r="E6042" s="4" t="str">
        <f>IFERROR(__xludf.DUMMYFUNCTION("""COMPUTED_VALUE"""),"Duquesne")</f>
        <v>Duquesne</v>
      </c>
      <c r="F6042" s="4">
        <f>IFERROR(__xludf.DUMMYFUNCTION("""COMPUTED_VALUE"""),1.0)</f>
        <v>1</v>
      </c>
      <c r="G6042" s="4">
        <f>IFERROR(__xludf.DUMMYFUNCTION("""COMPUTED_VALUE"""),28.0)</f>
        <v>28</v>
      </c>
      <c r="H6042" s="4">
        <f>IFERROR(__xludf.DUMMYFUNCTION("""COMPUTED_VALUE"""),102.0)</f>
        <v>102</v>
      </c>
      <c r="I6042" s="4">
        <f>IFERROR(__xludf.DUMMYFUNCTION("""COMPUTED_VALUE"""),35.0)</f>
        <v>35</v>
      </c>
      <c r="J6042" s="4">
        <f>IFERROR(__xludf.DUMMYFUNCTION("""COMPUTED_VALUE"""),20.0)</f>
        <v>20</v>
      </c>
      <c r="K6042" s="4">
        <f>IFERROR(__xludf.DUMMYFUNCTION("""COMPUTED_VALUE"""),7.0)</f>
        <v>7</v>
      </c>
      <c r="L6042" s="4">
        <f>IFERROR(__xludf.DUMMYFUNCTION("""COMPUTED_VALUE"""),0.417)</f>
        <v>0.417</v>
      </c>
      <c r="M6042" s="4"/>
      <c r="N6042" s="4">
        <f>IFERROR(__xludf.DUMMYFUNCTION("""COMPUTED_VALUE"""),0.5)</f>
        <v>0.5</v>
      </c>
      <c r="O6042" s="4">
        <f>IFERROR(__xludf.DUMMYFUNCTION("""COMPUTED_VALUE"""),3.6)</f>
        <v>3.6</v>
      </c>
      <c r="P6042" s="4">
        <f>IFERROR(__xludf.DUMMYFUNCTION("""COMPUTED_VALUE"""),1.3)</f>
        <v>1.3</v>
      </c>
      <c r="Q6042" s="4">
        <f>IFERROR(__xludf.DUMMYFUNCTION("""COMPUTED_VALUE"""),0.7)</f>
        <v>0.7</v>
      </c>
      <c r="R6042" s="4">
        <f>IFERROR(__xludf.DUMMYFUNCTION("""COMPUTED_VALUE"""),0.3)</f>
        <v>0.3</v>
      </c>
      <c r="S6042" s="4">
        <f>IFERROR(__xludf.DUMMYFUNCTION("""COMPUTED_VALUE"""),0.1)</f>
        <v>0.1</v>
      </c>
      <c r="T6042" s="4">
        <f>IFERROR(__xludf.DUMMYFUNCTION("""COMPUTED_VALUE"""),0.026)</f>
        <v>0.026</v>
      </c>
      <c r="U6042" s="4"/>
      <c r="V6042" s="4"/>
    </row>
    <row r="6043">
      <c r="A6043" s="4"/>
      <c r="B6043" s="4"/>
      <c r="C6043" s="4"/>
      <c r="D6043" s="4" t="str">
        <f>IFERROR(__xludf.DUMMYFUNCTION("""COMPUTED_VALUE"""),"Round 6")</f>
        <v>Round 6</v>
      </c>
      <c r="E6043" s="4"/>
      <c r="F6043" s="4"/>
      <c r="G6043" s="4" t="str">
        <f>IFERROR(__xludf.DUMMYFUNCTION("""COMPUTED_VALUE"""),"Totals")</f>
        <v>Totals</v>
      </c>
      <c r="H6043" s="4"/>
      <c r="I6043" s="4"/>
      <c r="J6043" s="4"/>
      <c r="K6043" s="4"/>
      <c r="L6043" s="4" t="str">
        <f>IFERROR(__xludf.DUMMYFUNCTION("""COMPUTED_VALUE"""),"Shooting")</f>
        <v>Shooting</v>
      </c>
      <c r="M6043" s="4"/>
      <c r="N6043" s="4"/>
      <c r="O6043" s="4" t="str">
        <f>IFERROR(__xludf.DUMMYFUNCTION("""COMPUTED_VALUE"""),"Per Game")</f>
        <v>Per Game</v>
      </c>
      <c r="P6043" s="4"/>
      <c r="Q6043" s="4"/>
      <c r="R6043" s="4"/>
      <c r="S6043" s="4" t="str">
        <f>IFERROR(__xludf.DUMMYFUNCTION("""COMPUTED_VALUE"""),"Advanced")</f>
        <v>Advanced</v>
      </c>
      <c r="T6043" s="4"/>
      <c r="U6043" s="4"/>
      <c r="V6043" s="4"/>
    </row>
    <row r="6044">
      <c r="A6044" s="4" t="str">
        <f>IFERROR(__xludf.DUMMYFUNCTION("""COMPUTED_VALUE"""),"Rk")</f>
        <v>Rk</v>
      </c>
      <c r="B6044" s="4" t="str">
        <f>IFERROR(__xludf.DUMMYFUNCTION("""COMPUTED_VALUE"""),"Pk")</f>
        <v>Pk</v>
      </c>
      <c r="C6044" s="4" t="str">
        <f>IFERROR(__xludf.DUMMYFUNCTION("""COMPUTED_VALUE"""),"Tm")</f>
        <v>Tm</v>
      </c>
      <c r="D6044" s="4" t="str">
        <f>IFERROR(__xludf.DUMMYFUNCTION("""COMPUTED_VALUE"""),"Player")</f>
        <v>Player</v>
      </c>
      <c r="E6044" s="4" t="str">
        <f>IFERROR(__xludf.DUMMYFUNCTION("""COMPUTED_VALUE"""),"College")</f>
        <v>College</v>
      </c>
      <c r="F6044" s="4" t="str">
        <f>IFERROR(__xludf.DUMMYFUNCTION("""COMPUTED_VALUE"""),"Yrs")</f>
        <v>Yrs</v>
      </c>
      <c r="G6044" s="4" t="str">
        <f>IFERROR(__xludf.DUMMYFUNCTION("""COMPUTED_VALUE"""),"G")</f>
        <v>G</v>
      </c>
      <c r="H6044" s="4" t="str">
        <f>IFERROR(__xludf.DUMMYFUNCTION("""COMPUTED_VALUE"""),"MP")</f>
        <v>MP</v>
      </c>
      <c r="I6044" s="4" t="str">
        <f>IFERROR(__xludf.DUMMYFUNCTION("""COMPUTED_VALUE"""),"PTS")</f>
        <v>PTS</v>
      </c>
      <c r="J6044" s="4" t="str">
        <f>IFERROR(__xludf.DUMMYFUNCTION("""COMPUTED_VALUE"""),"TRB")</f>
        <v>TRB</v>
      </c>
      <c r="K6044" s="4" t="str">
        <f>IFERROR(__xludf.DUMMYFUNCTION("""COMPUTED_VALUE"""),"AST")</f>
        <v>AST</v>
      </c>
      <c r="L6044" s="4" t="str">
        <f>IFERROR(__xludf.DUMMYFUNCTION("""COMPUTED_VALUE"""),"FG%")</f>
        <v>FG%</v>
      </c>
      <c r="M6044" s="4" t="str">
        <f>IFERROR(__xludf.DUMMYFUNCTION("""COMPUTED_VALUE"""),"3P%")</f>
        <v>3P%</v>
      </c>
      <c r="N6044" s="4" t="str">
        <f>IFERROR(__xludf.DUMMYFUNCTION("""COMPUTED_VALUE"""),"FT%")</f>
        <v>FT%</v>
      </c>
      <c r="O6044" s="4" t="str">
        <f>IFERROR(__xludf.DUMMYFUNCTION("""COMPUTED_VALUE"""),"MP")</f>
        <v>MP</v>
      </c>
      <c r="P6044" s="4" t="str">
        <f>IFERROR(__xludf.DUMMYFUNCTION("""COMPUTED_VALUE"""),"PTS")</f>
        <v>PTS</v>
      </c>
      <c r="Q6044" s="4" t="str">
        <f>IFERROR(__xludf.DUMMYFUNCTION("""COMPUTED_VALUE"""),"TRB")</f>
        <v>TRB</v>
      </c>
      <c r="R6044" s="4" t="str">
        <f>IFERROR(__xludf.DUMMYFUNCTION("""COMPUTED_VALUE"""),"AST")</f>
        <v>AST</v>
      </c>
      <c r="S6044" s="4" t="str">
        <f>IFERROR(__xludf.DUMMYFUNCTION("""COMPUTED_VALUE"""),"WS")</f>
        <v>WS</v>
      </c>
      <c r="T6044" s="4" t="str">
        <f>IFERROR(__xludf.DUMMYFUNCTION("""COMPUTED_VALUE"""),"WS/48")</f>
        <v>WS/48</v>
      </c>
      <c r="U6044" s="4" t="str">
        <f>IFERROR(__xludf.DUMMYFUNCTION("""COMPUTED_VALUE"""),"BPM")</f>
        <v>BPM</v>
      </c>
      <c r="V6044" s="4" t="str">
        <f>IFERROR(__xludf.DUMMYFUNCTION("""COMPUTED_VALUE"""),"VORP")</f>
        <v>VORP</v>
      </c>
    </row>
    <row r="6045">
      <c r="A6045" s="4">
        <f>IFERROR(__xludf.DUMMYFUNCTION("""COMPUTED_VALUE"""),86.0)</f>
        <v>86</v>
      </c>
      <c r="B6045" s="4">
        <f>IFERROR(__xludf.DUMMYFUNCTION("""COMPUTED_VALUE"""),86.0)</f>
        <v>86</v>
      </c>
      <c r="C6045" s="4" t="str">
        <f>IFERROR(__xludf.DUMMYFUNCTION("""COMPUTED_VALUE"""),"CLE")</f>
        <v>CLE</v>
      </c>
      <c r="D6045" s="4" t="str">
        <f>IFERROR(__xludf.DUMMYFUNCTION("""COMPUTED_VALUE"""),"Mike Childress")</f>
        <v>Mike Childress</v>
      </c>
      <c r="E6045" s="4" t="str">
        <f>IFERROR(__xludf.DUMMYFUNCTION("""COMPUTED_VALUE"""),"Colorado State")</f>
        <v>Colorado State</v>
      </c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</row>
    <row r="6046">
      <c r="A6046" s="4">
        <f>IFERROR(__xludf.DUMMYFUNCTION("""COMPUTED_VALUE"""),87.0)</f>
        <v>87</v>
      </c>
      <c r="B6046" s="4">
        <f>IFERROR(__xludf.DUMMYFUNCTION("""COMPUTED_VALUE"""),87.0)</f>
        <v>87</v>
      </c>
      <c r="C6046" s="4" t="str">
        <f>IFERROR(__xludf.DUMMYFUNCTION("""COMPUTED_VALUE"""),"BUF")</f>
        <v>BUF</v>
      </c>
      <c r="D6046" s="4" t="str">
        <f>IFERROR(__xludf.DUMMYFUNCTION("""COMPUTED_VALUE"""),"Glen Summors")</f>
        <v>Glen Summors</v>
      </c>
      <c r="E6046" s="4" t="str">
        <f>IFERROR(__xludf.DUMMYFUNCTION("""COMPUTED_VALUE"""),"Gannon University")</f>
        <v>Gannon University</v>
      </c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</row>
    <row r="6047">
      <c r="A6047" s="4">
        <f>IFERROR(__xludf.DUMMYFUNCTION("""COMPUTED_VALUE"""),88.0)</f>
        <v>88</v>
      </c>
      <c r="B6047" s="4">
        <f>IFERROR(__xludf.DUMMYFUNCTION("""COMPUTED_VALUE"""),88.0)</f>
        <v>88</v>
      </c>
      <c r="C6047" s="4" t="str">
        <f>IFERROR(__xludf.DUMMYFUNCTION("""COMPUTED_VALUE"""),"POR")</f>
        <v>POR</v>
      </c>
      <c r="D6047" s="4" t="str">
        <f>IFERROR(__xludf.DUMMYFUNCTION("""COMPUTED_VALUE"""),"Jim Day")</f>
        <v>Jim Day</v>
      </c>
      <c r="E6047" s="4" t="str">
        <f>IFERROR(__xludf.DUMMYFUNCTION("""COMPUTED_VALUE"""),"Morehead State University")</f>
        <v>Morehead State University</v>
      </c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</row>
    <row r="6048">
      <c r="A6048" s="4">
        <f>IFERROR(__xludf.DUMMYFUNCTION("""COMPUTED_VALUE"""),89.0)</f>
        <v>89</v>
      </c>
      <c r="B6048" s="4">
        <f>IFERROR(__xludf.DUMMYFUNCTION("""COMPUTED_VALUE"""),89.0)</f>
        <v>89</v>
      </c>
      <c r="C6048" s="4" t="str">
        <f>IFERROR(__xludf.DUMMYFUNCTION("""COMPUTED_VALUE"""),"CIN")</f>
        <v>CIN</v>
      </c>
      <c r="D6048" s="4" t="str">
        <f>IFERROR(__xludf.DUMMYFUNCTION("""COMPUTED_VALUE"""),"Gil McGregor")</f>
        <v>Gil McGregor</v>
      </c>
      <c r="E6048" s="4" t="str">
        <f>IFERROR(__xludf.DUMMYFUNCTION("""COMPUTED_VALUE"""),"Wake Forest")</f>
        <v>Wake Forest</v>
      </c>
      <c r="F6048" s="4">
        <f>IFERROR(__xludf.DUMMYFUNCTION("""COMPUTED_VALUE"""),1.0)</f>
        <v>1</v>
      </c>
      <c r="G6048" s="4">
        <f>IFERROR(__xludf.DUMMYFUNCTION("""COMPUTED_VALUE"""),42.0)</f>
        <v>42</v>
      </c>
      <c r="H6048" s="4">
        <f>IFERROR(__xludf.DUMMYFUNCTION("""COMPUTED_VALUE"""),532.0)</f>
        <v>532</v>
      </c>
      <c r="I6048" s="4">
        <f>IFERROR(__xludf.DUMMYFUNCTION("""COMPUTED_VALUE"""),171.0)</f>
        <v>171</v>
      </c>
      <c r="J6048" s="4">
        <f>IFERROR(__xludf.DUMMYFUNCTION("""COMPUTED_VALUE"""),148.0)</f>
        <v>148</v>
      </c>
      <c r="K6048" s="4">
        <f>IFERROR(__xludf.DUMMYFUNCTION("""COMPUTED_VALUE"""),18.0)</f>
        <v>18</v>
      </c>
      <c r="L6048" s="4">
        <f>IFERROR(__xludf.DUMMYFUNCTION("""COMPUTED_VALUE"""),0.363)</f>
        <v>0.363</v>
      </c>
      <c r="M6048" s="4"/>
      <c r="N6048" s="4">
        <f>IFERROR(__xludf.DUMMYFUNCTION("""COMPUTED_VALUE"""),0.696)</f>
        <v>0.696</v>
      </c>
      <c r="O6048" s="4">
        <f>IFERROR(__xludf.DUMMYFUNCTION("""COMPUTED_VALUE"""),12.7)</f>
        <v>12.7</v>
      </c>
      <c r="P6048" s="4">
        <f>IFERROR(__xludf.DUMMYFUNCTION("""COMPUTED_VALUE"""),4.1)</f>
        <v>4.1</v>
      </c>
      <c r="Q6048" s="4">
        <f>IFERROR(__xludf.DUMMYFUNCTION("""COMPUTED_VALUE"""),3.5)</f>
        <v>3.5</v>
      </c>
      <c r="R6048" s="4">
        <f>IFERROR(__xludf.DUMMYFUNCTION("""COMPUTED_VALUE"""),0.4)</f>
        <v>0.4</v>
      </c>
      <c r="S6048" s="4">
        <f>IFERROR(__xludf.DUMMYFUNCTION("""COMPUTED_VALUE"""),-0.4)</f>
        <v>-0.4</v>
      </c>
      <c r="T6048" s="4">
        <f>IFERROR(__xludf.DUMMYFUNCTION("""COMPUTED_VALUE"""),-0.038)</f>
        <v>-0.038</v>
      </c>
      <c r="U6048" s="4"/>
      <c r="V6048" s="4"/>
    </row>
    <row r="6049">
      <c r="A6049" s="4">
        <f>IFERROR(__xludf.DUMMYFUNCTION("""COMPUTED_VALUE"""),90.0)</f>
        <v>90</v>
      </c>
      <c r="B6049" s="4">
        <f>IFERROR(__xludf.DUMMYFUNCTION("""COMPUTED_VALUE"""),90.0)</f>
        <v>90</v>
      </c>
      <c r="C6049" s="4" t="str">
        <f>IFERROR(__xludf.DUMMYFUNCTION("""COMPUTED_VALUE"""),"ATL")</f>
        <v>ATL</v>
      </c>
      <c r="D6049" s="4" t="str">
        <f>IFERROR(__xludf.DUMMYFUNCTION("""COMPUTED_VALUE"""),"Willie Humes")</f>
        <v>Willie Humes</v>
      </c>
      <c r="E6049" s="4" t="str">
        <f>IFERROR(__xludf.DUMMYFUNCTION("""COMPUTED_VALUE"""),"Idaho")</f>
        <v>Idaho</v>
      </c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</row>
    <row r="6050">
      <c r="A6050" s="4">
        <f>IFERROR(__xludf.DUMMYFUNCTION("""COMPUTED_VALUE"""),91.0)</f>
        <v>91</v>
      </c>
      <c r="B6050" s="4">
        <f>IFERROR(__xludf.DUMMYFUNCTION("""COMPUTED_VALUE"""),91.0)</f>
        <v>91</v>
      </c>
      <c r="C6050" s="4" t="str">
        <f>IFERROR(__xludf.DUMMYFUNCTION("""COMPUTED_VALUE"""),"SEA")</f>
        <v>SEA</v>
      </c>
      <c r="D6050" s="4" t="str">
        <f>IFERROR(__xludf.DUMMYFUNCTION("""COMPUTED_VALUE"""),"Mike Necaise")</f>
        <v>Mike Necaise</v>
      </c>
      <c r="E6050" s="4" t="str">
        <f>IFERROR(__xludf.DUMMYFUNCTION("""COMPUTED_VALUE"""),"William Carey College")</f>
        <v>William Carey College</v>
      </c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</row>
    <row r="6051">
      <c r="A6051" s="4">
        <f>IFERROR(__xludf.DUMMYFUNCTION("""COMPUTED_VALUE"""),92.0)</f>
        <v>92</v>
      </c>
      <c r="B6051" s="4">
        <f>IFERROR(__xludf.DUMMYFUNCTION("""COMPUTED_VALUE"""),92.0)</f>
        <v>92</v>
      </c>
      <c r="C6051" s="4" t="str">
        <f>IFERROR(__xludf.DUMMYFUNCTION("""COMPUTED_VALUE"""),"HOU")</f>
        <v>HOU</v>
      </c>
      <c r="D6051" s="4" t="str">
        <f>IFERROR(__xludf.DUMMYFUNCTION("""COMPUTED_VALUE"""),"Gary Reist")</f>
        <v>Gary Reist</v>
      </c>
      <c r="E6051" s="4" t="str">
        <f>IFERROR(__xludf.DUMMYFUNCTION("""COMPUTED_VALUE"""),"Rice University")</f>
        <v>Rice University</v>
      </c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</row>
    <row r="6052">
      <c r="A6052" s="4">
        <f>IFERROR(__xludf.DUMMYFUNCTION("""COMPUTED_VALUE"""),93.0)</f>
        <v>93</v>
      </c>
      <c r="B6052" s="4">
        <f>IFERROR(__xludf.DUMMYFUNCTION("""COMPUTED_VALUE"""),93.0)</f>
        <v>93</v>
      </c>
      <c r="C6052" s="4" t="str">
        <f>IFERROR(__xludf.DUMMYFUNCTION("""COMPUTED_VALUE"""),"GSW")</f>
        <v>GSW</v>
      </c>
      <c r="D6052" s="4" t="str">
        <f>IFERROR(__xludf.DUMMYFUNCTION("""COMPUTED_VALUE"""),"Charles Johnson")</f>
        <v>Charles Johnson</v>
      </c>
      <c r="E6052" s="4" t="str">
        <f>IFERROR(__xludf.DUMMYFUNCTION("""COMPUTED_VALUE"""),"California")</f>
        <v>California</v>
      </c>
      <c r="F6052" s="4">
        <f>IFERROR(__xludf.DUMMYFUNCTION("""COMPUTED_VALUE"""),7.0)</f>
        <v>7</v>
      </c>
      <c r="G6052" s="4">
        <f>IFERROR(__xludf.DUMMYFUNCTION("""COMPUTED_VALUE"""),521.0)</f>
        <v>521</v>
      </c>
      <c r="H6052" s="4">
        <f>IFERROR(__xludf.DUMMYFUNCTION("""COMPUTED_VALUE"""),9972.0)</f>
        <v>9972</v>
      </c>
      <c r="I6052" s="4">
        <f>IFERROR(__xludf.DUMMYFUNCTION("""COMPUTED_VALUE"""),4241.0)</f>
        <v>4241</v>
      </c>
      <c r="J6052" s="4">
        <f>IFERROR(__xludf.DUMMYFUNCTION("""COMPUTED_VALUE"""),1318.0)</f>
        <v>1318</v>
      </c>
      <c r="K6052" s="4">
        <f>IFERROR(__xludf.DUMMYFUNCTION("""COMPUTED_VALUE"""),973.0)</f>
        <v>973</v>
      </c>
      <c r="L6052" s="4">
        <f>IFERROR(__xludf.DUMMYFUNCTION("""COMPUTED_VALUE"""),0.429)</f>
        <v>0.429</v>
      </c>
      <c r="M6052" s="4"/>
      <c r="N6052" s="4">
        <f>IFERROR(__xludf.DUMMYFUNCTION("""COMPUTED_VALUE"""),0.756)</f>
        <v>0.756</v>
      </c>
      <c r="O6052" s="4">
        <f>IFERROR(__xludf.DUMMYFUNCTION("""COMPUTED_VALUE"""),19.1)</f>
        <v>19.1</v>
      </c>
      <c r="P6052" s="4">
        <f>IFERROR(__xludf.DUMMYFUNCTION("""COMPUTED_VALUE"""),8.1)</f>
        <v>8.1</v>
      </c>
      <c r="Q6052" s="4">
        <f>IFERROR(__xludf.DUMMYFUNCTION("""COMPUTED_VALUE"""),2.5)</f>
        <v>2.5</v>
      </c>
      <c r="R6052" s="4">
        <f>IFERROR(__xludf.DUMMYFUNCTION("""COMPUTED_VALUE"""),1.9)</f>
        <v>1.9</v>
      </c>
      <c r="S6052" s="4">
        <f>IFERROR(__xludf.DUMMYFUNCTION("""COMPUTED_VALUE"""),13.4)</f>
        <v>13.4</v>
      </c>
      <c r="T6052" s="4">
        <f>IFERROR(__xludf.DUMMYFUNCTION("""COMPUTED_VALUE"""),0.064)</f>
        <v>0.064</v>
      </c>
      <c r="U6052" s="4">
        <f>IFERROR(__xludf.DUMMYFUNCTION("""COMPUTED_VALUE"""),-1.4)</f>
        <v>-1.4</v>
      </c>
      <c r="V6052" s="4">
        <f>IFERROR(__xludf.DUMMYFUNCTION("""COMPUTED_VALUE"""),1.3)</f>
        <v>1.3</v>
      </c>
    </row>
    <row r="6053">
      <c r="A6053" s="4">
        <f>IFERROR(__xludf.DUMMYFUNCTION("""COMPUTED_VALUE"""),94.0)</f>
        <v>94</v>
      </c>
      <c r="B6053" s="4">
        <f>IFERROR(__xludf.DUMMYFUNCTION("""COMPUTED_VALUE"""),94.0)</f>
        <v>94</v>
      </c>
      <c r="C6053" s="4" t="str">
        <f>IFERROR(__xludf.DUMMYFUNCTION("""COMPUTED_VALUE"""),"BAL")</f>
        <v>BAL</v>
      </c>
      <c r="D6053" s="4" t="str">
        <f>IFERROR(__xludf.DUMMYFUNCTION("""COMPUTED_VALUE"""),"John Novey")</f>
        <v>John Novey</v>
      </c>
      <c r="E6053" s="4" t="str">
        <f>IFERROR(__xludf.DUMMYFUNCTION("""COMPUTED_VALUE"""),"Mount St. Mary's University")</f>
        <v>Mount St. Mary's University</v>
      </c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</row>
    <row r="6054">
      <c r="A6054" s="4">
        <f>IFERROR(__xludf.DUMMYFUNCTION("""COMPUTED_VALUE"""),95.0)</f>
        <v>95</v>
      </c>
      <c r="B6054" s="4">
        <f>IFERROR(__xludf.DUMMYFUNCTION("""COMPUTED_VALUE"""),95.0)</f>
        <v>95</v>
      </c>
      <c r="C6054" s="4" t="str">
        <f>IFERROR(__xludf.DUMMYFUNCTION("""COMPUTED_VALUE"""),"BOS")</f>
        <v>BOS</v>
      </c>
      <c r="D6054" s="4" t="str">
        <f>IFERROR(__xludf.DUMMYFUNCTION("""COMPUTED_VALUE"""),"Thorpe Weber")</f>
        <v>Thorpe Weber</v>
      </c>
      <c r="E6054" s="4" t="str">
        <f>IFERROR(__xludf.DUMMYFUNCTION("""COMPUTED_VALUE"""),"Vanderbilt")</f>
        <v>Vanderbilt</v>
      </c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</row>
    <row r="6055">
      <c r="A6055" s="4">
        <f>IFERROR(__xludf.DUMMYFUNCTION("""COMPUTED_VALUE"""),96.0)</f>
        <v>96</v>
      </c>
      <c r="B6055" s="4">
        <f>IFERROR(__xludf.DUMMYFUNCTION("""COMPUTED_VALUE"""),96.0)</f>
        <v>96</v>
      </c>
      <c r="C6055" s="4" t="str">
        <f>IFERROR(__xludf.DUMMYFUNCTION("""COMPUTED_VALUE"""),"DET")</f>
        <v>DET</v>
      </c>
      <c r="D6055" s="4" t="str">
        <f>IFERROR(__xludf.DUMMYFUNCTION("""COMPUTED_VALUE"""),"Jim Larranaga")</f>
        <v>Jim Larranaga</v>
      </c>
      <c r="E6055" s="4" t="str">
        <f>IFERROR(__xludf.DUMMYFUNCTION("""COMPUTED_VALUE"""),"Providence")</f>
        <v>Providence</v>
      </c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</row>
    <row r="6056">
      <c r="A6056" s="4">
        <f>IFERROR(__xludf.DUMMYFUNCTION("""COMPUTED_VALUE"""),97.0)</f>
        <v>97</v>
      </c>
      <c r="B6056" s="4">
        <f>IFERROR(__xludf.DUMMYFUNCTION("""COMPUTED_VALUE"""),97.0)</f>
        <v>97</v>
      </c>
      <c r="C6056" s="4" t="str">
        <f>IFERROR(__xludf.DUMMYFUNCTION("""COMPUTED_VALUE"""),"PHI")</f>
        <v>PHI</v>
      </c>
      <c r="D6056" s="4" t="str">
        <f>IFERROR(__xludf.DUMMYFUNCTION("""COMPUTED_VALUE"""),"Jake Jones")</f>
        <v>Jake Jones</v>
      </c>
      <c r="E6056" s="4" t="str">
        <f>IFERROR(__xludf.DUMMYFUNCTION("""COMPUTED_VALUE"""),"Assumption College")</f>
        <v>Assumption College</v>
      </c>
      <c r="F6056" s="4">
        <f>IFERROR(__xludf.DUMMYFUNCTION("""COMPUTED_VALUE"""),1.0)</f>
        <v>1</v>
      </c>
      <c r="G6056" s="4">
        <f>IFERROR(__xludf.DUMMYFUNCTION("""COMPUTED_VALUE"""),17.0)</f>
        <v>17</v>
      </c>
      <c r="H6056" s="4">
        <f>IFERROR(__xludf.DUMMYFUNCTION("""COMPUTED_VALUE"""),202.0)</f>
        <v>202</v>
      </c>
      <c r="I6056" s="4">
        <f>IFERROR(__xludf.DUMMYFUNCTION("""COMPUTED_VALUE"""),76.0)</f>
        <v>76</v>
      </c>
      <c r="J6056" s="4">
        <f>IFERROR(__xludf.DUMMYFUNCTION("""COMPUTED_VALUE"""),26.0)</f>
        <v>26</v>
      </c>
      <c r="K6056" s="4">
        <f>IFERROR(__xludf.DUMMYFUNCTION("""COMPUTED_VALUE"""),12.0)</f>
        <v>12</v>
      </c>
      <c r="L6056" s="4">
        <f>IFERROR(__xludf.DUMMYFUNCTION("""COMPUTED_VALUE"""),0.389)</f>
        <v>0.389</v>
      </c>
      <c r="M6056" s="4"/>
      <c r="N6056" s="4">
        <f>IFERROR(__xludf.DUMMYFUNCTION("""COMPUTED_VALUE"""),0.645)</f>
        <v>0.645</v>
      </c>
      <c r="O6056" s="4">
        <f>IFERROR(__xludf.DUMMYFUNCTION("""COMPUTED_VALUE"""),11.9)</f>
        <v>11.9</v>
      </c>
      <c r="P6056" s="4">
        <f>IFERROR(__xludf.DUMMYFUNCTION("""COMPUTED_VALUE"""),4.5)</f>
        <v>4.5</v>
      </c>
      <c r="Q6056" s="4">
        <f>IFERROR(__xludf.DUMMYFUNCTION("""COMPUTED_VALUE"""),1.5)</f>
        <v>1.5</v>
      </c>
      <c r="R6056" s="4">
        <f>IFERROR(__xludf.DUMMYFUNCTION("""COMPUTED_VALUE"""),0.7)</f>
        <v>0.7</v>
      </c>
      <c r="S6056" s="4">
        <f>IFERROR(__xludf.DUMMYFUNCTION("""COMPUTED_VALUE"""),0.0)</f>
        <v>0</v>
      </c>
      <c r="T6056" s="4">
        <f>IFERROR(__xludf.DUMMYFUNCTION("""COMPUTED_VALUE"""),-0.009)</f>
        <v>-0.009</v>
      </c>
      <c r="U6056" s="4"/>
      <c r="V6056" s="4"/>
    </row>
    <row r="6057">
      <c r="A6057" s="4">
        <f>IFERROR(__xludf.DUMMYFUNCTION("""COMPUTED_VALUE"""),98.0)</f>
        <v>98</v>
      </c>
      <c r="B6057" s="4">
        <f>IFERROR(__xludf.DUMMYFUNCTION("""COMPUTED_VALUE"""),98.0)</f>
        <v>98</v>
      </c>
      <c r="C6057" s="4" t="str">
        <f>IFERROR(__xludf.DUMMYFUNCTION("""COMPUTED_VALUE"""),"LAL")</f>
        <v>LAL</v>
      </c>
      <c r="D6057" s="4" t="str">
        <f>IFERROR(__xludf.DUMMYFUNCTION("""COMPUTED_VALUE"""),"Bill Brickhouse")</f>
        <v>Bill Brickhouse</v>
      </c>
      <c r="E6057" s="4" t="str">
        <f>IFERROR(__xludf.DUMMYFUNCTION("""COMPUTED_VALUE"""),"Montana State")</f>
        <v>Montana State</v>
      </c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</row>
    <row r="6058">
      <c r="A6058" s="4">
        <f>IFERROR(__xludf.DUMMYFUNCTION("""COMPUTED_VALUE"""),99.0)</f>
        <v>99</v>
      </c>
      <c r="B6058" s="4">
        <f>IFERROR(__xludf.DUMMYFUNCTION("""COMPUTED_VALUE"""),99.0)</f>
        <v>99</v>
      </c>
      <c r="C6058" s="4" t="str">
        <f>IFERROR(__xludf.DUMMYFUNCTION("""COMPUTED_VALUE"""),"PHO")</f>
        <v>PHO</v>
      </c>
      <c r="D6058" s="4" t="str">
        <f>IFERROR(__xludf.DUMMYFUNCTION("""COMPUTED_VALUE"""),"William Graham")</f>
        <v>William Graham</v>
      </c>
      <c r="E6058" s="4" t="str">
        <f>IFERROR(__xludf.DUMMYFUNCTION("""COMPUTED_VALUE"""),"Kentucky State University")</f>
        <v>Kentucky State University</v>
      </c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</row>
    <row r="6059">
      <c r="A6059" s="4">
        <f>IFERROR(__xludf.DUMMYFUNCTION("""COMPUTED_VALUE"""),100.0)</f>
        <v>100</v>
      </c>
      <c r="B6059" s="4">
        <f>IFERROR(__xludf.DUMMYFUNCTION("""COMPUTED_VALUE"""),100.0)</f>
        <v>100</v>
      </c>
      <c r="C6059" s="4" t="str">
        <f>IFERROR(__xludf.DUMMYFUNCTION("""COMPUTED_VALUE"""),"CHI")</f>
        <v>CHI</v>
      </c>
      <c r="D6059" s="4" t="str">
        <f>IFERROR(__xludf.DUMMYFUNCTION("""COMPUTED_VALUE"""),"Jim England")</f>
        <v>Jim England</v>
      </c>
      <c r="E6059" s="4" t="str">
        <f>IFERROR(__xludf.DUMMYFUNCTION("""COMPUTED_VALUE"""),"Tennessee")</f>
        <v>Tennessee</v>
      </c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</row>
    <row r="6060">
      <c r="A6060" s="4">
        <f>IFERROR(__xludf.DUMMYFUNCTION("""COMPUTED_VALUE"""),101.0)</f>
        <v>101</v>
      </c>
      <c r="B6060" s="4">
        <f>IFERROR(__xludf.DUMMYFUNCTION("""COMPUTED_VALUE"""),101.0)</f>
        <v>101</v>
      </c>
      <c r="C6060" s="4" t="str">
        <f>IFERROR(__xludf.DUMMYFUNCTION("""COMPUTED_VALUE"""),"NYK")</f>
        <v>NYK</v>
      </c>
      <c r="D6060" s="4" t="str">
        <f>IFERROR(__xludf.DUMMYFUNCTION("""COMPUTED_VALUE"""),"Bill Mainor")</f>
        <v>Bill Mainor</v>
      </c>
      <c r="E6060" s="4" t="str">
        <f>IFERROR(__xludf.DUMMYFUNCTION("""COMPUTED_VALUE"""),"Fordham")</f>
        <v>Fordham</v>
      </c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</row>
    <row r="6061">
      <c r="A6061" s="4">
        <f>IFERROR(__xludf.DUMMYFUNCTION("""COMPUTED_VALUE"""),102.0)</f>
        <v>102</v>
      </c>
      <c r="B6061" s="4">
        <f>IFERROR(__xludf.DUMMYFUNCTION("""COMPUTED_VALUE"""),102.0)</f>
        <v>102</v>
      </c>
      <c r="C6061" s="4" t="str">
        <f>IFERROR(__xludf.DUMMYFUNCTION("""COMPUTED_VALUE"""),"MIL")</f>
        <v>MIL</v>
      </c>
      <c r="D6061" s="4" t="str">
        <f>IFERROR(__xludf.DUMMYFUNCTION("""COMPUTED_VALUE"""),"Ed Kemp")</f>
        <v>Ed Kemp</v>
      </c>
      <c r="E6061" s="4" t="str">
        <f>IFERROR(__xludf.DUMMYFUNCTION("""COMPUTED_VALUE"""),"Adams State College")</f>
        <v>Adams State College</v>
      </c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</row>
    <row r="6062">
      <c r="A6062" s="4"/>
      <c r="B6062" s="4"/>
      <c r="C6062" s="4"/>
      <c r="D6062" s="4" t="str">
        <f>IFERROR(__xludf.DUMMYFUNCTION("""COMPUTED_VALUE"""),"Round 7")</f>
        <v>Round 7</v>
      </c>
      <c r="E6062" s="4"/>
      <c r="F6062" s="4"/>
      <c r="G6062" s="4" t="str">
        <f>IFERROR(__xludf.DUMMYFUNCTION("""COMPUTED_VALUE"""),"Totals")</f>
        <v>Totals</v>
      </c>
      <c r="H6062" s="4"/>
      <c r="I6062" s="4"/>
      <c r="J6062" s="4"/>
      <c r="K6062" s="4"/>
      <c r="L6062" s="4" t="str">
        <f>IFERROR(__xludf.DUMMYFUNCTION("""COMPUTED_VALUE"""),"Shooting")</f>
        <v>Shooting</v>
      </c>
      <c r="M6062" s="4"/>
      <c r="N6062" s="4"/>
      <c r="O6062" s="4" t="str">
        <f>IFERROR(__xludf.DUMMYFUNCTION("""COMPUTED_VALUE"""),"Per Game")</f>
        <v>Per Game</v>
      </c>
      <c r="P6062" s="4"/>
      <c r="Q6062" s="4"/>
      <c r="R6062" s="4"/>
      <c r="S6062" s="4" t="str">
        <f>IFERROR(__xludf.DUMMYFUNCTION("""COMPUTED_VALUE"""),"Advanced")</f>
        <v>Advanced</v>
      </c>
      <c r="T6062" s="4"/>
      <c r="U6062" s="4"/>
      <c r="V6062" s="4"/>
    </row>
    <row r="6063">
      <c r="A6063" s="4" t="str">
        <f>IFERROR(__xludf.DUMMYFUNCTION("""COMPUTED_VALUE"""),"Rk")</f>
        <v>Rk</v>
      </c>
      <c r="B6063" s="4" t="str">
        <f>IFERROR(__xludf.DUMMYFUNCTION("""COMPUTED_VALUE"""),"Pk")</f>
        <v>Pk</v>
      </c>
      <c r="C6063" s="4" t="str">
        <f>IFERROR(__xludf.DUMMYFUNCTION("""COMPUTED_VALUE"""),"Tm")</f>
        <v>Tm</v>
      </c>
      <c r="D6063" s="4" t="str">
        <f>IFERROR(__xludf.DUMMYFUNCTION("""COMPUTED_VALUE"""),"Player")</f>
        <v>Player</v>
      </c>
      <c r="E6063" s="4" t="str">
        <f>IFERROR(__xludf.DUMMYFUNCTION("""COMPUTED_VALUE"""),"College")</f>
        <v>College</v>
      </c>
      <c r="F6063" s="4" t="str">
        <f>IFERROR(__xludf.DUMMYFUNCTION("""COMPUTED_VALUE"""),"Yrs")</f>
        <v>Yrs</v>
      </c>
      <c r="G6063" s="4" t="str">
        <f>IFERROR(__xludf.DUMMYFUNCTION("""COMPUTED_VALUE"""),"G")</f>
        <v>G</v>
      </c>
      <c r="H6063" s="4" t="str">
        <f>IFERROR(__xludf.DUMMYFUNCTION("""COMPUTED_VALUE"""),"MP")</f>
        <v>MP</v>
      </c>
      <c r="I6063" s="4" t="str">
        <f>IFERROR(__xludf.DUMMYFUNCTION("""COMPUTED_VALUE"""),"PTS")</f>
        <v>PTS</v>
      </c>
      <c r="J6063" s="4" t="str">
        <f>IFERROR(__xludf.DUMMYFUNCTION("""COMPUTED_VALUE"""),"TRB")</f>
        <v>TRB</v>
      </c>
      <c r="K6063" s="4" t="str">
        <f>IFERROR(__xludf.DUMMYFUNCTION("""COMPUTED_VALUE"""),"AST")</f>
        <v>AST</v>
      </c>
      <c r="L6063" s="4" t="str">
        <f>IFERROR(__xludf.DUMMYFUNCTION("""COMPUTED_VALUE"""),"FG%")</f>
        <v>FG%</v>
      </c>
      <c r="M6063" s="4" t="str">
        <f>IFERROR(__xludf.DUMMYFUNCTION("""COMPUTED_VALUE"""),"3P%")</f>
        <v>3P%</v>
      </c>
      <c r="N6063" s="4" t="str">
        <f>IFERROR(__xludf.DUMMYFUNCTION("""COMPUTED_VALUE"""),"FT%")</f>
        <v>FT%</v>
      </c>
      <c r="O6063" s="4" t="str">
        <f>IFERROR(__xludf.DUMMYFUNCTION("""COMPUTED_VALUE"""),"MP")</f>
        <v>MP</v>
      </c>
      <c r="P6063" s="4" t="str">
        <f>IFERROR(__xludf.DUMMYFUNCTION("""COMPUTED_VALUE"""),"PTS")</f>
        <v>PTS</v>
      </c>
      <c r="Q6063" s="4" t="str">
        <f>IFERROR(__xludf.DUMMYFUNCTION("""COMPUTED_VALUE"""),"TRB")</f>
        <v>TRB</v>
      </c>
      <c r="R6063" s="4" t="str">
        <f>IFERROR(__xludf.DUMMYFUNCTION("""COMPUTED_VALUE"""),"AST")</f>
        <v>AST</v>
      </c>
      <c r="S6063" s="4" t="str">
        <f>IFERROR(__xludf.DUMMYFUNCTION("""COMPUTED_VALUE"""),"WS")</f>
        <v>WS</v>
      </c>
      <c r="T6063" s="4" t="str">
        <f>IFERROR(__xludf.DUMMYFUNCTION("""COMPUTED_VALUE"""),"WS/48")</f>
        <v>WS/48</v>
      </c>
      <c r="U6063" s="4" t="str">
        <f>IFERROR(__xludf.DUMMYFUNCTION("""COMPUTED_VALUE"""),"BPM")</f>
        <v>BPM</v>
      </c>
      <c r="V6063" s="4" t="str">
        <f>IFERROR(__xludf.DUMMYFUNCTION("""COMPUTED_VALUE"""),"VORP")</f>
        <v>VORP</v>
      </c>
    </row>
    <row r="6064">
      <c r="A6064" s="4">
        <f>IFERROR(__xludf.DUMMYFUNCTION("""COMPUTED_VALUE"""),103.0)</f>
        <v>103</v>
      </c>
      <c r="B6064" s="4">
        <f>IFERROR(__xludf.DUMMYFUNCTION("""COMPUTED_VALUE"""),103.0)</f>
        <v>103</v>
      </c>
      <c r="C6064" s="4" t="str">
        <f>IFERROR(__xludf.DUMMYFUNCTION("""COMPUTED_VALUE"""),"CLE")</f>
        <v>CLE</v>
      </c>
      <c r="D6064" s="4" t="str">
        <f>IFERROR(__xludf.DUMMYFUNCTION("""COMPUTED_VALUE"""),"Tom Bush")</f>
        <v>Tom Bush</v>
      </c>
      <c r="E6064" s="4" t="str">
        <f>IFERROR(__xludf.DUMMYFUNCTION("""COMPUTED_VALUE"""),"Drake University")</f>
        <v>Drake University</v>
      </c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</row>
    <row r="6065">
      <c r="A6065" s="4">
        <f>IFERROR(__xludf.DUMMYFUNCTION("""COMPUTED_VALUE"""),104.0)</f>
        <v>104</v>
      </c>
      <c r="B6065" s="4">
        <f>IFERROR(__xludf.DUMMYFUNCTION("""COMPUTED_VALUE"""),104.0)</f>
        <v>104</v>
      </c>
      <c r="C6065" s="4" t="str">
        <f>IFERROR(__xludf.DUMMYFUNCTION("""COMPUTED_VALUE"""),"BUF")</f>
        <v>BUF</v>
      </c>
      <c r="D6065" s="4" t="str">
        <f>IFERROR(__xludf.DUMMYFUNCTION("""COMPUTED_VALUE"""),"Randy Smith")</f>
        <v>Randy Smith</v>
      </c>
      <c r="E6065" s="4" t="str">
        <f>IFERROR(__xludf.DUMMYFUNCTION("""COMPUTED_VALUE"""),"Buffalo State")</f>
        <v>Buffalo State</v>
      </c>
      <c r="F6065" s="4">
        <f>IFERROR(__xludf.DUMMYFUNCTION("""COMPUTED_VALUE"""),12.0)</f>
        <v>12</v>
      </c>
      <c r="G6065" s="4">
        <f>IFERROR(__xludf.DUMMYFUNCTION("""COMPUTED_VALUE"""),976.0)</f>
        <v>976</v>
      </c>
      <c r="H6065" s="4">
        <f>IFERROR(__xludf.DUMMYFUNCTION("""COMPUTED_VALUE"""),31444.0)</f>
        <v>31444</v>
      </c>
      <c r="I6065" s="4">
        <f>IFERROR(__xludf.DUMMYFUNCTION("""COMPUTED_VALUE"""),16262.0)</f>
        <v>16262</v>
      </c>
      <c r="J6065" s="4">
        <f>IFERROR(__xludf.DUMMYFUNCTION("""COMPUTED_VALUE"""),3597.0)</f>
        <v>3597</v>
      </c>
      <c r="K6065" s="4">
        <f>IFERROR(__xludf.DUMMYFUNCTION("""COMPUTED_VALUE"""),4487.0)</f>
        <v>4487</v>
      </c>
      <c r="L6065" s="4">
        <f>IFERROR(__xludf.DUMMYFUNCTION("""COMPUTED_VALUE"""),0.47)</f>
        <v>0.47</v>
      </c>
      <c r="M6065" s="4"/>
      <c r="N6065" s="4">
        <f>IFERROR(__xludf.DUMMYFUNCTION("""COMPUTED_VALUE"""),0.781)</f>
        <v>0.781</v>
      </c>
      <c r="O6065" s="4">
        <f>IFERROR(__xludf.DUMMYFUNCTION("""COMPUTED_VALUE"""),32.2)</f>
        <v>32.2</v>
      </c>
      <c r="P6065" s="4">
        <f>IFERROR(__xludf.DUMMYFUNCTION("""COMPUTED_VALUE"""),16.7)</f>
        <v>16.7</v>
      </c>
      <c r="Q6065" s="4">
        <f>IFERROR(__xludf.DUMMYFUNCTION("""COMPUTED_VALUE"""),3.7)</f>
        <v>3.7</v>
      </c>
      <c r="R6065" s="4">
        <f>IFERROR(__xludf.DUMMYFUNCTION("""COMPUTED_VALUE"""),4.6)</f>
        <v>4.6</v>
      </c>
      <c r="S6065" s="4">
        <f>IFERROR(__xludf.DUMMYFUNCTION("""COMPUTED_VALUE"""),60.1)</f>
        <v>60.1</v>
      </c>
      <c r="T6065" s="4">
        <f>IFERROR(__xludf.DUMMYFUNCTION("""COMPUTED_VALUE"""),0.092)</f>
        <v>0.092</v>
      </c>
      <c r="U6065" s="4">
        <f>IFERROR(__xludf.DUMMYFUNCTION("""COMPUTED_VALUE"""),0.4)</f>
        <v>0.4</v>
      </c>
      <c r="V6065" s="4">
        <f>IFERROR(__xludf.DUMMYFUNCTION("""COMPUTED_VALUE"""),16.0)</f>
        <v>16</v>
      </c>
    </row>
    <row r="6066">
      <c r="A6066" s="4">
        <f>IFERROR(__xludf.DUMMYFUNCTION("""COMPUTED_VALUE"""),105.0)</f>
        <v>105</v>
      </c>
      <c r="B6066" s="4">
        <f>IFERROR(__xludf.DUMMYFUNCTION("""COMPUTED_VALUE"""),105.0)</f>
        <v>105</v>
      </c>
      <c r="C6066" s="4" t="str">
        <f>IFERROR(__xludf.DUMMYFUNCTION("""COMPUTED_VALUE"""),"POR")</f>
        <v>POR</v>
      </c>
      <c r="D6066" s="4" t="str">
        <f>IFERROR(__xludf.DUMMYFUNCTION("""COMPUTED_VALUE"""),"Gene Knolle")</f>
        <v>Gene Knolle</v>
      </c>
      <c r="E6066" s="4" t="str">
        <f>IFERROR(__xludf.DUMMYFUNCTION("""COMPUTED_VALUE"""),"Texas Tech")</f>
        <v>Texas Tech</v>
      </c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</row>
    <row r="6067">
      <c r="A6067" s="4">
        <f>IFERROR(__xludf.DUMMYFUNCTION("""COMPUTED_VALUE"""),106.0)</f>
        <v>106</v>
      </c>
      <c r="B6067" s="4">
        <f>IFERROR(__xludf.DUMMYFUNCTION("""COMPUTED_VALUE"""),106.0)</f>
        <v>106</v>
      </c>
      <c r="C6067" s="4" t="str">
        <f>IFERROR(__xludf.DUMMYFUNCTION("""COMPUTED_VALUE"""),"CIN")</f>
        <v>CIN</v>
      </c>
      <c r="D6067" s="4" t="str">
        <f>IFERROR(__xludf.DUMMYFUNCTION("""COMPUTED_VALUE"""),"Ollie Shannon")</f>
        <v>Ollie Shannon</v>
      </c>
      <c r="E6067" s="4" t="str">
        <f>IFERROR(__xludf.DUMMYFUNCTION("""COMPUTED_VALUE"""),"Minnesota")</f>
        <v>Minnesota</v>
      </c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</row>
    <row r="6068">
      <c r="A6068" s="4">
        <f>IFERROR(__xludf.DUMMYFUNCTION("""COMPUTED_VALUE"""),107.0)</f>
        <v>107</v>
      </c>
      <c r="B6068" s="4">
        <f>IFERROR(__xludf.DUMMYFUNCTION("""COMPUTED_VALUE"""),107.0)</f>
        <v>107</v>
      </c>
      <c r="C6068" s="4" t="str">
        <f>IFERROR(__xludf.DUMMYFUNCTION("""COMPUTED_VALUE"""),"ATL")</f>
        <v>ATL</v>
      </c>
      <c r="D6068" s="4" t="str">
        <f>IFERROR(__xludf.DUMMYFUNCTION("""COMPUTED_VALUE"""),"Mike Jordan")</f>
        <v>Mike Jordan</v>
      </c>
      <c r="E6068" s="4" t="str">
        <f>IFERROR(__xludf.DUMMYFUNCTION("""COMPUTED_VALUE"""),"Savannah State University")</f>
        <v>Savannah State University</v>
      </c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</row>
    <row r="6069">
      <c r="A6069" s="4">
        <f>IFERROR(__xludf.DUMMYFUNCTION("""COMPUTED_VALUE"""),108.0)</f>
        <v>108</v>
      </c>
      <c r="B6069" s="4">
        <f>IFERROR(__xludf.DUMMYFUNCTION("""COMPUTED_VALUE"""),108.0)</f>
        <v>108</v>
      </c>
      <c r="C6069" s="4" t="str">
        <f>IFERROR(__xludf.DUMMYFUNCTION("""COMPUTED_VALUE"""),"SEA")</f>
        <v>SEA</v>
      </c>
      <c r="D6069" s="4" t="str">
        <f>IFERROR(__xludf.DUMMYFUNCTION("""COMPUTED_VALUE"""),"John Duncan")</f>
        <v>John Duncan</v>
      </c>
      <c r="E6069" s="4" t="str">
        <f>IFERROR(__xludf.DUMMYFUNCTION("""COMPUTED_VALUE"""),"Kentucky Wesleyan College")</f>
        <v>Kentucky Wesleyan College</v>
      </c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</row>
    <row r="6070">
      <c r="A6070" s="4">
        <f>IFERROR(__xludf.DUMMYFUNCTION("""COMPUTED_VALUE"""),109.0)</f>
        <v>109</v>
      </c>
      <c r="B6070" s="4">
        <f>IFERROR(__xludf.DUMMYFUNCTION("""COMPUTED_VALUE"""),109.0)</f>
        <v>109</v>
      </c>
      <c r="C6070" s="4" t="str">
        <f>IFERROR(__xludf.DUMMYFUNCTION("""COMPUTED_VALUE"""),"HOU")</f>
        <v>HOU</v>
      </c>
      <c r="D6070" s="4" t="str">
        <f>IFERROR(__xludf.DUMMYFUNCTION("""COMPUTED_VALUE"""),"Eric Hill")</f>
        <v>Eric Hill</v>
      </c>
      <c r="E6070" s="4" t="str">
        <f>IFERROR(__xludf.DUMMYFUNCTION("""COMPUTED_VALUE"""),"Minnesota")</f>
        <v>Minnesota</v>
      </c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</row>
    <row r="6071">
      <c r="A6071" s="4">
        <f>IFERROR(__xludf.DUMMYFUNCTION("""COMPUTED_VALUE"""),110.0)</f>
        <v>110</v>
      </c>
      <c r="B6071" s="4">
        <f>IFERROR(__xludf.DUMMYFUNCTION("""COMPUTED_VALUE"""),110.0)</f>
        <v>110</v>
      </c>
      <c r="C6071" s="4" t="str">
        <f>IFERROR(__xludf.DUMMYFUNCTION("""COMPUTED_VALUE"""),"GSW")</f>
        <v>GSW</v>
      </c>
      <c r="D6071" s="4" t="str">
        <f>IFERROR(__xludf.DUMMYFUNCTION("""COMPUTED_VALUE"""),"Ken May")</f>
        <v>Ken May</v>
      </c>
      <c r="E6071" s="4" t="str">
        <f>IFERROR(__xludf.DUMMYFUNCTION("""COMPUTED_VALUE"""),"Dayton")</f>
        <v>Dayton</v>
      </c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</row>
    <row r="6072">
      <c r="A6072" s="4">
        <f>IFERROR(__xludf.DUMMYFUNCTION("""COMPUTED_VALUE"""),111.0)</f>
        <v>111</v>
      </c>
      <c r="B6072" s="4">
        <f>IFERROR(__xludf.DUMMYFUNCTION("""COMPUTED_VALUE"""),111.0)</f>
        <v>111</v>
      </c>
      <c r="C6072" s="4" t="str">
        <f>IFERROR(__xludf.DUMMYFUNCTION("""COMPUTED_VALUE"""),"BAL")</f>
        <v>BAL</v>
      </c>
      <c r="D6072" s="4" t="str">
        <f>IFERROR(__xludf.DUMMYFUNCTION("""COMPUTED_VALUE"""),"Dennis Hogg")</f>
        <v>Dennis Hogg</v>
      </c>
      <c r="E6072" s="4" t="str">
        <f>IFERROR(__xludf.DUMMYFUNCTION("""COMPUTED_VALUE"""),"Washington State")</f>
        <v>Washington State</v>
      </c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</row>
    <row r="6073">
      <c r="A6073" s="4">
        <f>IFERROR(__xludf.DUMMYFUNCTION("""COMPUTED_VALUE"""),112.0)</f>
        <v>112</v>
      </c>
      <c r="B6073" s="4">
        <f>IFERROR(__xludf.DUMMYFUNCTION("""COMPUTED_VALUE"""),112.0)</f>
        <v>112</v>
      </c>
      <c r="C6073" s="4" t="str">
        <f>IFERROR(__xludf.DUMMYFUNCTION("""COMPUTED_VALUE"""),"BOS")</f>
        <v>BOS</v>
      </c>
      <c r="D6073" s="4" t="str">
        <f>IFERROR(__xludf.DUMMYFUNCTION("""COMPUTED_VALUE"""),"Ahmad Aliyy")</f>
        <v>Ahmad Aliyy</v>
      </c>
      <c r="E6073" s="4" t="str">
        <f>IFERROR(__xludf.DUMMYFUNCTION("""COMPUTED_VALUE"""),"Florida State")</f>
        <v>Florida State</v>
      </c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</row>
    <row r="6074">
      <c r="A6074" s="4">
        <f>IFERROR(__xludf.DUMMYFUNCTION("""COMPUTED_VALUE"""),113.0)</f>
        <v>113</v>
      </c>
      <c r="B6074" s="4">
        <f>IFERROR(__xludf.DUMMYFUNCTION("""COMPUTED_VALUE"""),113.0)</f>
        <v>113</v>
      </c>
      <c r="C6074" s="4" t="str">
        <f>IFERROR(__xludf.DUMMYFUNCTION("""COMPUTED_VALUE"""),"DET")</f>
        <v>DET</v>
      </c>
      <c r="D6074" s="4" t="str">
        <f>IFERROR(__xludf.DUMMYFUNCTION("""COMPUTED_VALUE"""),"Steve Kelly")</f>
        <v>Steve Kelly</v>
      </c>
      <c r="E6074" s="4" t="str">
        <f>IFERROR(__xludf.DUMMYFUNCTION("""COMPUTED_VALUE"""),"BYU")</f>
        <v>BYU</v>
      </c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</row>
    <row r="6075">
      <c r="A6075" s="4">
        <f>IFERROR(__xludf.DUMMYFUNCTION("""COMPUTED_VALUE"""),114.0)</f>
        <v>114</v>
      </c>
      <c r="B6075" s="4">
        <f>IFERROR(__xludf.DUMMYFUNCTION("""COMPUTED_VALUE"""),114.0)</f>
        <v>114</v>
      </c>
      <c r="C6075" s="4" t="str">
        <f>IFERROR(__xludf.DUMMYFUNCTION("""COMPUTED_VALUE"""),"PHI")</f>
        <v>PHI</v>
      </c>
      <c r="D6075" s="4" t="str">
        <f>IFERROR(__xludf.DUMMYFUNCTION("""COMPUTED_VALUE"""),"Curtis Ford")</f>
        <v>Curtis Ford</v>
      </c>
      <c r="E6075" s="4" t="str">
        <f>IFERROR(__xludf.DUMMYFUNCTION("""COMPUTED_VALUE"""),"Northeastern State University")</f>
        <v>Northeastern State University</v>
      </c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</row>
    <row r="6076">
      <c r="A6076" s="4">
        <f>IFERROR(__xludf.DUMMYFUNCTION("""COMPUTED_VALUE"""),115.0)</f>
        <v>115</v>
      </c>
      <c r="B6076" s="4">
        <f>IFERROR(__xludf.DUMMYFUNCTION("""COMPUTED_VALUE"""),115.0)</f>
        <v>115</v>
      </c>
      <c r="C6076" s="4" t="str">
        <f>IFERROR(__xludf.DUMMYFUNCTION("""COMPUTED_VALUE"""),"LAL")</f>
        <v>LAL</v>
      </c>
      <c r="D6076" s="4" t="str">
        <f>IFERROR(__xludf.DUMMYFUNCTION("""COMPUTED_VALUE"""),"Gene Gathers")</f>
        <v>Gene Gathers</v>
      </c>
      <c r="E6076" s="4" t="str">
        <f>IFERROR(__xludf.DUMMYFUNCTION("""COMPUTED_VALUE"""),"Bradley")</f>
        <v>Bradley</v>
      </c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</row>
    <row r="6077">
      <c r="A6077" s="4">
        <f>IFERROR(__xludf.DUMMYFUNCTION("""COMPUTED_VALUE"""),116.0)</f>
        <v>116</v>
      </c>
      <c r="B6077" s="4">
        <f>IFERROR(__xludf.DUMMYFUNCTION("""COMPUTED_VALUE"""),116.0)</f>
        <v>116</v>
      </c>
      <c r="C6077" s="4" t="str">
        <f>IFERROR(__xludf.DUMMYFUNCTION("""COMPUTED_VALUE"""),"PHO")</f>
        <v>PHO</v>
      </c>
      <c r="D6077" s="4" t="str">
        <f>IFERROR(__xludf.DUMMYFUNCTION("""COMPUTED_VALUE"""),"Ralph Brateris")</f>
        <v>Ralph Brateris</v>
      </c>
      <c r="E6077" s="4" t="str">
        <f>IFERROR(__xludf.DUMMYFUNCTION("""COMPUTED_VALUE"""),"Trenton State University")</f>
        <v>Trenton State University</v>
      </c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</row>
    <row r="6078">
      <c r="A6078" s="4">
        <f>IFERROR(__xludf.DUMMYFUNCTION("""COMPUTED_VALUE"""),117.0)</f>
        <v>117</v>
      </c>
      <c r="B6078" s="4">
        <f>IFERROR(__xludf.DUMMYFUNCTION("""COMPUTED_VALUE"""),117.0)</f>
        <v>117</v>
      </c>
      <c r="C6078" s="4" t="str">
        <f>IFERROR(__xludf.DUMMYFUNCTION("""COMPUTED_VALUE"""),"CHI")</f>
        <v>CHI</v>
      </c>
      <c r="D6078" s="4" t="str">
        <f>IFERROR(__xludf.DUMMYFUNCTION("""COMPUTED_VALUE"""),"Artis Gilmore")</f>
        <v>Artis Gilmore</v>
      </c>
      <c r="E6078" s="4" t="str">
        <f>IFERROR(__xludf.DUMMYFUNCTION("""COMPUTED_VALUE"""),"Jacksonville University")</f>
        <v>Jacksonville University</v>
      </c>
      <c r="F6078" s="4">
        <f>IFERROR(__xludf.DUMMYFUNCTION("""COMPUTED_VALUE"""),12.0)</f>
        <v>12</v>
      </c>
      <c r="G6078" s="4">
        <f>IFERROR(__xludf.DUMMYFUNCTION("""COMPUTED_VALUE"""),909.0)</f>
        <v>909</v>
      </c>
      <c r="H6078" s="4">
        <f>IFERROR(__xludf.DUMMYFUNCTION("""COMPUTED_VALUE"""),29685.0)</f>
        <v>29685</v>
      </c>
      <c r="I6078" s="4">
        <f>IFERROR(__xludf.DUMMYFUNCTION("""COMPUTED_VALUE"""),15579.0)</f>
        <v>15579</v>
      </c>
      <c r="J6078" s="4">
        <f>IFERROR(__xludf.DUMMYFUNCTION("""COMPUTED_VALUE"""),9161.0)</f>
        <v>9161</v>
      </c>
      <c r="K6078" s="4">
        <f>IFERROR(__xludf.DUMMYFUNCTION("""COMPUTED_VALUE"""),1777.0)</f>
        <v>1777</v>
      </c>
      <c r="L6078" s="4">
        <f>IFERROR(__xludf.DUMMYFUNCTION("""COMPUTED_VALUE"""),0.599)</f>
        <v>0.599</v>
      </c>
      <c r="M6078" s="4"/>
      <c r="N6078" s="4">
        <f>IFERROR(__xludf.DUMMYFUNCTION("""COMPUTED_VALUE"""),0.713)</f>
        <v>0.713</v>
      </c>
      <c r="O6078" s="4">
        <f>IFERROR(__xludf.DUMMYFUNCTION("""COMPUTED_VALUE"""),32.7)</f>
        <v>32.7</v>
      </c>
      <c r="P6078" s="4">
        <f>IFERROR(__xludf.DUMMYFUNCTION("""COMPUTED_VALUE"""),17.1)</f>
        <v>17.1</v>
      </c>
      <c r="Q6078" s="4">
        <f>IFERROR(__xludf.DUMMYFUNCTION("""COMPUTED_VALUE"""),10.1)</f>
        <v>10.1</v>
      </c>
      <c r="R6078" s="4">
        <f>IFERROR(__xludf.DUMMYFUNCTION("""COMPUTED_VALUE"""),2.0)</f>
        <v>2</v>
      </c>
      <c r="S6078" s="4">
        <f>IFERROR(__xludf.DUMMYFUNCTION("""COMPUTED_VALUE"""),107.4)</f>
        <v>107.4</v>
      </c>
      <c r="T6078" s="4">
        <f>IFERROR(__xludf.DUMMYFUNCTION("""COMPUTED_VALUE"""),0.174)</f>
        <v>0.174</v>
      </c>
      <c r="U6078" s="4">
        <f>IFERROR(__xludf.DUMMYFUNCTION("""COMPUTED_VALUE"""),2.6)</f>
        <v>2.6</v>
      </c>
      <c r="V6078" s="4">
        <f>IFERROR(__xludf.DUMMYFUNCTION("""COMPUTED_VALUE"""),34.7)</f>
        <v>34.7</v>
      </c>
    </row>
    <row r="6079">
      <c r="A6079" s="4">
        <f>IFERROR(__xludf.DUMMYFUNCTION("""COMPUTED_VALUE"""),118.0)</f>
        <v>118</v>
      </c>
      <c r="B6079" s="4">
        <f>IFERROR(__xludf.DUMMYFUNCTION("""COMPUTED_VALUE"""),118.0)</f>
        <v>118</v>
      </c>
      <c r="C6079" s="4" t="str">
        <f>IFERROR(__xludf.DUMMYFUNCTION("""COMPUTED_VALUE"""),"NYK")</f>
        <v>NYK</v>
      </c>
      <c r="D6079" s="4" t="str">
        <f>IFERROR(__xludf.DUMMYFUNCTION("""COMPUTED_VALUE"""),"Danny Davis")</f>
        <v>Danny Davis</v>
      </c>
      <c r="E6079" s="4" t="str">
        <f>IFERROR(__xludf.DUMMYFUNCTION("""COMPUTED_VALUE"""),"Henderson State University")</f>
        <v>Henderson State University</v>
      </c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</row>
    <row r="6080">
      <c r="A6080" s="4">
        <f>IFERROR(__xludf.DUMMYFUNCTION("""COMPUTED_VALUE"""),119.0)</f>
        <v>119</v>
      </c>
      <c r="B6080" s="4">
        <f>IFERROR(__xludf.DUMMYFUNCTION("""COMPUTED_VALUE"""),119.0)</f>
        <v>119</v>
      </c>
      <c r="C6080" s="4" t="str">
        <f>IFERROR(__xludf.DUMMYFUNCTION("""COMPUTED_VALUE"""),"MIL")</f>
        <v>MIL</v>
      </c>
      <c r="D6080" s="4" t="str">
        <f>IFERROR(__xludf.DUMMYFUNCTION("""COMPUTED_VALUE"""),"Gene Phillips")</f>
        <v>Gene Phillips</v>
      </c>
      <c r="E6080" s="4" t="str">
        <f>IFERROR(__xludf.DUMMYFUNCTION("""COMPUTED_VALUE"""),"SMU")</f>
        <v>SMU</v>
      </c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</row>
    <row r="6081">
      <c r="A6081" s="4"/>
      <c r="B6081" s="4"/>
      <c r="C6081" s="4"/>
      <c r="D6081" s="4" t="str">
        <f>IFERROR(__xludf.DUMMYFUNCTION("""COMPUTED_VALUE"""),"Round 8")</f>
        <v>Round 8</v>
      </c>
      <c r="E6081" s="4"/>
      <c r="F6081" s="4"/>
      <c r="G6081" s="4" t="str">
        <f>IFERROR(__xludf.DUMMYFUNCTION("""COMPUTED_VALUE"""),"Totals")</f>
        <v>Totals</v>
      </c>
      <c r="H6081" s="4"/>
      <c r="I6081" s="4"/>
      <c r="J6081" s="4"/>
      <c r="K6081" s="4"/>
      <c r="L6081" s="4" t="str">
        <f>IFERROR(__xludf.DUMMYFUNCTION("""COMPUTED_VALUE"""),"Shooting")</f>
        <v>Shooting</v>
      </c>
      <c r="M6081" s="4"/>
      <c r="N6081" s="4"/>
      <c r="O6081" s="4" t="str">
        <f>IFERROR(__xludf.DUMMYFUNCTION("""COMPUTED_VALUE"""),"Per Game")</f>
        <v>Per Game</v>
      </c>
      <c r="P6081" s="4"/>
      <c r="Q6081" s="4"/>
      <c r="R6081" s="4"/>
      <c r="S6081" s="4" t="str">
        <f>IFERROR(__xludf.DUMMYFUNCTION("""COMPUTED_VALUE"""),"Advanced")</f>
        <v>Advanced</v>
      </c>
      <c r="T6081" s="4"/>
      <c r="U6081" s="4"/>
      <c r="V6081" s="4"/>
    </row>
    <row r="6082">
      <c r="A6082" s="4" t="str">
        <f>IFERROR(__xludf.DUMMYFUNCTION("""COMPUTED_VALUE"""),"Rk")</f>
        <v>Rk</v>
      </c>
      <c r="B6082" s="4" t="str">
        <f>IFERROR(__xludf.DUMMYFUNCTION("""COMPUTED_VALUE"""),"Pk")</f>
        <v>Pk</v>
      </c>
      <c r="C6082" s="4" t="str">
        <f>IFERROR(__xludf.DUMMYFUNCTION("""COMPUTED_VALUE"""),"Tm")</f>
        <v>Tm</v>
      </c>
      <c r="D6082" s="4" t="str">
        <f>IFERROR(__xludf.DUMMYFUNCTION("""COMPUTED_VALUE"""),"Player")</f>
        <v>Player</v>
      </c>
      <c r="E6082" s="4" t="str">
        <f>IFERROR(__xludf.DUMMYFUNCTION("""COMPUTED_VALUE"""),"College")</f>
        <v>College</v>
      </c>
      <c r="F6082" s="4" t="str">
        <f>IFERROR(__xludf.DUMMYFUNCTION("""COMPUTED_VALUE"""),"Yrs")</f>
        <v>Yrs</v>
      </c>
      <c r="G6082" s="4" t="str">
        <f>IFERROR(__xludf.DUMMYFUNCTION("""COMPUTED_VALUE"""),"G")</f>
        <v>G</v>
      </c>
      <c r="H6082" s="4" t="str">
        <f>IFERROR(__xludf.DUMMYFUNCTION("""COMPUTED_VALUE"""),"MP")</f>
        <v>MP</v>
      </c>
      <c r="I6082" s="4" t="str">
        <f>IFERROR(__xludf.DUMMYFUNCTION("""COMPUTED_VALUE"""),"PTS")</f>
        <v>PTS</v>
      </c>
      <c r="J6082" s="4" t="str">
        <f>IFERROR(__xludf.DUMMYFUNCTION("""COMPUTED_VALUE"""),"TRB")</f>
        <v>TRB</v>
      </c>
      <c r="K6082" s="4" t="str">
        <f>IFERROR(__xludf.DUMMYFUNCTION("""COMPUTED_VALUE"""),"AST")</f>
        <v>AST</v>
      </c>
      <c r="L6082" s="4" t="str">
        <f>IFERROR(__xludf.DUMMYFUNCTION("""COMPUTED_VALUE"""),"FG%")</f>
        <v>FG%</v>
      </c>
      <c r="M6082" s="4" t="str">
        <f>IFERROR(__xludf.DUMMYFUNCTION("""COMPUTED_VALUE"""),"3P%")</f>
        <v>3P%</v>
      </c>
      <c r="N6082" s="4" t="str">
        <f>IFERROR(__xludf.DUMMYFUNCTION("""COMPUTED_VALUE"""),"FT%")</f>
        <v>FT%</v>
      </c>
      <c r="O6082" s="4" t="str">
        <f>IFERROR(__xludf.DUMMYFUNCTION("""COMPUTED_VALUE"""),"MP")</f>
        <v>MP</v>
      </c>
      <c r="P6082" s="4" t="str">
        <f>IFERROR(__xludf.DUMMYFUNCTION("""COMPUTED_VALUE"""),"PTS")</f>
        <v>PTS</v>
      </c>
      <c r="Q6082" s="4" t="str">
        <f>IFERROR(__xludf.DUMMYFUNCTION("""COMPUTED_VALUE"""),"TRB")</f>
        <v>TRB</v>
      </c>
      <c r="R6082" s="4" t="str">
        <f>IFERROR(__xludf.DUMMYFUNCTION("""COMPUTED_VALUE"""),"AST")</f>
        <v>AST</v>
      </c>
      <c r="S6082" s="4" t="str">
        <f>IFERROR(__xludf.DUMMYFUNCTION("""COMPUTED_VALUE"""),"WS")</f>
        <v>WS</v>
      </c>
      <c r="T6082" s="4" t="str">
        <f>IFERROR(__xludf.DUMMYFUNCTION("""COMPUTED_VALUE"""),"WS/48")</f>
        <v>WS/48</v>
      </c>
      <c r="U6082" s="4" t="str">
        <f>IFERROR(__xludf.DUMMYFUNCTION("""COMPUTED_VALUE"""),"BPM")</f>
        <v>BPM</v>
      </c>
      <c r="V6082" s="4" t="str">
        <f>IFERROR(__xludf.DUMMYFUNCTION("""COMPUTED_VALUE"""),"VORP")</f>
        <v>VORP</v>
      </c>
    </row>
    <row r="6083">
      <c r="A6083" s="4">
        <f>IFERROR(__xludf.DUMMYFUNCTION("""COMPUTED_VALUE"""),120.0)</f>
        <v>120</v>
      </c>
      <c r="B6083" s="4">
        <f>IFERROR(__xludf.DUMMYFUNCTION("""COMPUTED_VALUE"""),120.0)</f>
        <v>120</v>
      </c>
      <c r="C6083" s="4" t="str">
        <f>IFERROR(__xludf.DUMMYFUNCTION("""COMPUTED_VALUE"""),"CLE")</f>
        <v>CLE</v>
      </c>
      <c r="D6083" s="4" t="str">
        <f>IFERROR(__xludf.DUMMYFUNCTION("""COMPUTED_VALUE"""),"Charlie Davis")</f>
        <v>Charlie Davis</v>
      </c>
      <c r="E6083" s="4" t="str">
        <f>IFERROR(__xludf.DUMMYFUNCTION("""COMPUTED_VALUE"""),"Wake Forest")</f>
        <v>Wake Forest</v>
      </c>
      <c r="F6083" s="4">
        <f>IFERROR(__xludf.DUMMYFUNCTION("""COMPUTED_VALUE"""),3.0)</f>
        <v>3</v>
      </c>
      <c r="G6083" s="4">
        <f>IFERROR(__xludf.DUMMYFUNCTION("""COMPUTED_VALUE"""),144.0)</f>
        <v>144</v>
      </c>
      <c r="H6083" s="4">
        <f>IFERROR(__xludf.DUMMYFUNCTION("""COMPUTED_VALUE"""),2653.0)</f>
        <v>2653</v>
      </c>
      <c r="I6083" s="4">
        <f>IFERROR(__xludf.DUMMYFUNCTION("""COMPUTED_VALUE"""),1287.0)</f>
        <v>1287</v>
      </c>
      <c r="J6083" s="4">
        <f>IFERROR(__xludf.DUMMYFUNCTION("""COMPUTED_VALUE"""),219.0)</f>
        <v>219</v>
      </c>
      <c r="K6083" s="4">
        <f>IFERROR(__xludf.DUMMYFUNCTION("""COMPUTED_VALUE"""),319.0)</f>
        <v>319</v>
      </c>
      <c r="L6083" s="4">
        <f>IFERROR(__xludf.DUMMYFUNCTION("""COMPUTED_VALUE"""),0.408)</f>
        <v>0.408</v>
      </c>
      <c r="M6083" s="4"/>
      <c r="N6083" s="4">
        <f>IFERROR(__xludf.DUMMYFUNCTION("""COMPUTED_VALUE"""),0.806)</f>
        <v>0.806</v>
      </c>
      <c r="O6083" s="4">
        <f>IFERROR(__xludf.DUMMYFUNCTION("""COMPUTED_VALUE"""),18.4)</f>
        <v>18.4</v>
      </c>
      <c r="P6083" s="4">
        <f>IFERROR(__xludf.DUMMYFUNCTION("""COMPUTED_VALUE"""),8.9)</f>
        <v>8.9</v>
      </c>
      <c r="Q6083" s="4">
        <f>IFERROR(__xludf.DUMMYFUNCTION("""COMPUTED_VALUE"""),1.5)</f>
        <v>1.5</v>
      </c>
      <c r="R6083" s="4">
        <f>IFERROR(__xludf.DUMMYFUNCTION("""COMPUTED_VALUE"""),2.2)</f>
        <v>2.2</v>
      </c>
      <c r="S6083" s="4">
        <f>IFERROR(__xludf.DUMMYFUNCTION("""COMPUTED_VALUE"""),1.4)</f>
        <v>1.4</v>
      </c>
      <c r="T6083" s="4">
        <f>IFERROR(__xludf.DUMMYFUNCTION("""COMPUTED_VALUE"""),0.026)</f>
        <v>0.026</v>
      </c>
      <c r="U6083" s="4">
        <f>IFERROR(__xludf.DUMMYFUNCTION("""COMPUTED_VALUE"""),-5.0)</f>
        <v>-5</v>
      </c>
      <c r="V6083" s="4">
        <f>IFERROR(__xludf.DUMMYFUNCTION("""COMPUTED_VALUE"""),-0.1)</f>
        <v>-0.1</v>
      </c>
    </row>
    <row r="6084">
      <c r="A6084" s="4">
        <f>IFERROR(__xludf.DUMMYFUNCTION("""COMPUTED_VALUE"""),121.0)</f>
        <v>121</v>
      </c>
      <c r="B6084" s="4">
        <f>IFERROR(__xludf.DUMMYFUNCTION("""COMPUTED_VALUE"""),121.0)</f>
        <v>121</v>
      </c>
      <c r="C6084" s="4" t="str">
        <f>IFERROR(__xludf.DUMMYFUNCTION("""COMPUTED_VALUE"""),"BUF")</f>
        <v>BUF</v>
      </c>
      <c r="D6084" s="4" t="str">
        <f>IFERROR(__xludf.DUMMYFUNCTION("""COMPUTED_VALUE"""),"Craig Love")</f>
        <v>Craig Love</v>
      </c>
      <c r="E6084" s="4" t="str">
        <f>IFERROR(__xludf.DUMMYFUNCTION("""COMPUTED_VALUE"""),"Ohio University")</f>
        <v>Ohio University</v>
      </c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</row>
    <row r="6085">
      <c r="A6085" s="4">
        <f>IFERROR(__xludf.DUMMYFUNCTION("""COMPUTED_VALUE"""),122.0)</f>
        <v>122</v>
      </c>
      <c r="B6085" s="4">
        <f>IFERROR(__xludf.DUMMYFUNCTION("""COMPUTED_VALUE"""),122.0)</f>
        <v>122</v>
      </c>
      <c r="C6085" s="4" t="str">
        <f>IFERROR(__xludf.DUMMYFUNCTION("""COMPUTED_VALUE"""),"POR")</f>
        <v>POR</v>
      </c>
      <c r="D6085" s="4" t="str">
        <f>IFERROR(__xludf.DUMMYFUNCTION("""COMPUTED_VALUE"""),"John Sutter")</f>
        <v>John Sutter</v>
      </c>
      <c r="E6085" s="4" t="str">
        <f>IFERROR(__xludf.DUMMYFUNCTION("""COMPUTED_VALUE"""),"Tulane")</f>
        <v>Tulane</v>
      </c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</row>
    <row r="6086">
      <c r="A6086" s="4">
        <f>IFERROR(__xludf.DUMMYFUNCTION("""COMPUTED_VALUE"""),123.0)</f>
        <v>123</v>
      </c>
      <c r="B6086" s="4">
        <f>IFERROR(__xludf.DUMMYFUNCTION("""COMPUTED_VALUE"""),123.0)</f>
        <v>123</v>
      </c>
      <c r="C6086" s="4" t="str">
        <f>IFERROR(__xludf.DUMMYFUNCTION("""COMPUTED_VALUE"""),"CIN")</f>
        <v>CIN</v>
      </c>
      <c r="D6086" s="4" t="str">
        <f>IFERROR(__xludf.DUMMYFUNCTION("""COMPUTED_VALUE"""),"Frank Fitzgerald")</f>
        <v>Frank Fitzgerald</v>
      </c>
      <c r="E6086" s="4" t="str">
        <f>IFERROR(__xludf.DUMMYFUNCTION("""COMPUTED_VALUE"""),"Boston College")</f>
        <v>Boston College</v>
      </c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</row>
    <row r="6087">
      <c r="A6087" s="4">
        <f>IFERROR(__xludf.DUMMYFUNCTION("""COMPUTED_VALUE"""),124.0)</f>
        <v>124</v>
      </c>
      <c r="B6087" s="4">
        <f>IFERROR(__xludf.DUMMYFUNCTION("""COMPUTED_VALUE"""),124.0)</f>
        <v>124</v>
      </c>
      <c r="C6087" s="4" t="str">
        <f>IFERROR(__xludf.DUMMYFUNCTION("""COMPUTED_VALUE"""),"ATL")</f>
        <v>ATL</v>
      </c>
      <c r="D6087" s="4" t="str">
        <f>IFERROR(__xludf.DUMMYFUNCTION("""COMPUTED_VALUE"""),"Jim Smith")</f>
        <v>Jim Smith</v>
      </c>
      <c r="E6087" s="4" t="str">
        <f>IFERROR(__xludf.DUMMYFUNCTION("""COMPUTED_VALUE"""),"Kentucky Wesleyan College")</f>
        <v>Kentucky Wesleyan College</v>
      </c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</row>
    <row r="6088">
      <c r="A6088" s="4">
        <f>IFERROR(__xludf.DUMMYFUNCTION("""COMPUTED_VALUE"""),125.0)</f>
        <v>125</v>
      </c>
      <c r="B6088" s="4">
        <f>IFERROR(__xludf.DUMMYFUNCTION("""COMPUTED_VALUE"""),125.0)</f>
        <v>125</v>
      </c>
      <c r="C6088" s="4" t="str">
        <f>IFERROR(__xludf.DUMMYFUNCTION("""COMPUTED_VALUE"""),"SEA")</f>
        <v>SEA</v>
      </c>
      <c r="D6088" s="4" t="str">
        <f>IFERROR(__xludf.DUMMYFUNCTION("""COMPUTED_VALUE"""),"Charlie Lowery")</f>
        <v>Charlie Lowery</v>
      </c>
      <c r="E6088" s="4" t="str">
        <f>IFERROR(__xludf.DUMMYFUNCTION("""COMPUTED_VALUE"""),"University of Puget Sound")</f>
        <v>University of Puget Sound</v>
      </c>
      <c r="F6088" s="4">
        <f>IFERROR(__xludf.DUMMYFUNCTION("""COMPUTED_VALUE"""),1.0)</f>
        <v>1</v>
      </c>
      <c r="G6088" s="4">
        <f>IFERROR(__xludf.DUMMYFUNCTION("""COMPUTED_VALUE"""),20.0)</f>
        <v>20</v>
      </c>
      <c r="H6088" s="4">
        <f>IFERROR(__xludf.DUMMYFUNCTION("""COMPUTED_VALUE"""),134.0)</f>
        <v>134</v>
      </c>
      <c r="I6088" s="4">
        <f>IFERROR(__xludf.DUMMYFUNCTION("""COMPUTED_VALUE"""),45.0)</f>
        <v>45</v>
      </c>
      <c r="J6088" s="4">
        <f>IFERROR(__xludf.DUMMYFUNCTION("""COMPUTED_VALUE"""),19.0)</f>
        <v>19</v>
      </c>
      <c r="K6088" s="4">
        <f>IFERROR(__xludf.DUMMYFUNCTION("""COMPUTED_VALUE"""),14.0)</f>
        <v>14</v>
      </c>
      <c r="L6088" s="4">
        <f>IFERROR(__xludf.DUMMYFUNCTION("""COMPUTED_VALUE"""),0.447)</f>
        <v>0.447</v>
      </c>
      <c r="M6088" s="4"/>
      <c r="N6088" s="4">
        <f>IFERROR(__xludf.DUMMYFUNCTION("""COMPUTED_VALUE"""),0.611)</f>
        <v>0.611</v>
      </c>
      <c r="O6088" s="4">
        <f>IFERROR(__xludf.DUMMYFUNCTION("""COMPUTED_VALUE"""),6.7)</f>
        <v>6.7</v>
      </c>
      <c r="P6088" s="4">
        <f>IFERROR(__xludf.DUMMYFUNCTION("""COMPUTED_VALUE"""),2.3)</f>
        <v>2.3</v>
      </c>
      <c r="Q6088" s="4">
        <f>IFERROR(__xludf.DUMMYFUNCTION("""COMPUTED_VALUE"""),1.0)</f>
        <v>1</v>
      </c>
      <c r="R6088" s="4">
        <f>IFERROR(__xludf.DUMMYFUNCTION("""COMPUTED_VALUE"""),0.7)</f>
        <v>0.7</v>
      </c>
      <c r="S6088" s="4">
        <f>IFERROR(__xludf.DUMMYFUNCTION("""COMPUTED_VALUE"""),0.2)</f>
        <v>0.2</v>
      </c>
      <c r="T6088" s="4">
        <f>IFERROR(__xludf.DUMMYFUNCTION("""COMPUTED_VALUE"""),0.083)</f>
        <v>0.083</v>
      </c>
      <c r="U6088" s="4"/>
      <c r="V6088" s="4"/>
    </row>
    <row r="6089">
      <c r="A6089" s="4">
        <f>IFERROR(__xludf.DUMMYFUNCTION("""COMPUTED_VALUE"""),126.0)</f>
        <v>126</v>
      </c>
      <c r="B6089" s="4">
        <f>IFERROR(__xludf.DUMMYFUNCTION("""COMPUTED_VALUE"""),126.0)</f>
        <v>126</v>
      </c>
      <c r="C6089" s="4" t="str">
        <f>IFERROR(__xludf.DUMMYFUNCTION("""COMPUTED_VALUE"""),"HOU")</f>
        <v>HOU</v>
      </c>
      <c r="D6089" s="4" t="str">
        <f>IFERROR(__xludf.DUMMYFUNCTION("""COMPUTED_VALUE"""),"Rick Katherman")</f>
        <v>Rick Katherman</v>
      </c>
      <c r="E6089" s="4" t="str">
        <f>IFERROR(__xludf.DUMMYFUNCTION("""COMPUTED_VALUE"""),"Duke")</f>
        <v>Duke</v>
      </c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</row>
    <row r="6090">
      <c r="A6090" s="4">
        <f>IFERROR(__xludf.DUMMYFUNCTION("""COMPUTED_VALUE"""),127.0)</f>
        <v>127</v>
      </c>
      <c r="B6090" s="4">
        <f>IFERROR(__xludf.DUMMYFUNCTION("""COMPUTED_VALUE"""),127.0)</f>
        <v>127</v>
      </c>
      <c r="C6090" s="4" t="str">
        <f>IFERROR(__xludf.DUMMYFUNCTION("""COMPUTED_VALUE"""),"GSW")</f>
        <v>GSW</v>
      </c>
      <c r="D6090" s="4" t="str">
        <f>IFERROR(__xludf.DUMMYFUNCTION("""COMPUTED_VALUE"""),"Jim Haderlein")</f>
        <v>Jim Haderlein</v>
      </c>
      <c r="E6090" s="4" t="str">
        <f>IFERROR(__xludf.DUMMYFUNCTION("""COMPUTED_VALUE"""),"Loyola Marymount")</f>
        <v>Loyola Marymount</v>
      </c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</row>
    <row r="6091">
      <c r="A6091" s="4">
        <f>IFERROR(__xludf.DUMMYFUNCTION("""COMPUTED_VALUE"""),128.0)</f>
        <v>128</v>
      </c>
      <c r="B6091" s="4">
        <f>IFERROR(__xludf.DUMMYFUNCTION("""COMPUTED_VALUE"""),128.0)</f>
        <v>128</v>
      </c>
      <c r="C6091" s="4" t="str">
        <f>IFERROR(__xludf.DUMMYFUNCTION("""COMPUTED_VALUE"""),"BAL")</f>
        <v>BAL</v>
      </c>
      <c r="D6091" s="4" t="str">
        <f>IFERROR(__xludf.DUMMYFUNCTION("""COMPUTED_VALUE"""),"Russell Golden")</f>
        <v>Russell Golden</v>
      </c>
      <c r="E6091" s="4" t="str">
        <f>IFERROR(__xludf.DUMMYFUNCTION("""COMPUTED_VALUE"""),"Jackson State University")</f>
        <v>Jackson State University</v>
      </c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</row>
    <row r="6092">
      <c r="A6092" s="4">
        <f>IFERROR(__xludf.DUMMYFUNCTION("""COMPUTED_VALUE"""),129.0)</f>
        <v>129</v>
      </c>
      <c r="B6092" s="4">
        <f>IFERROR(__xludf.DUMMYFUNCTION("""COMPUTED_VALUE"""),129.0)</f>
        <v>129</v>
      </c>
      <c r="C6092" s="4" t="str">
        <f>IFERROR(__xludf.DUMMYFUNCTION("""COMPUTED_VALUE"""),"BOS")</f>
        <v>BOS</v>
      </c>
      <c r="D6092" s="4" t="str">
        <f>IFERROR(__xludf.DUMMYFUNCTION("""COMPUTED_VALUE"""),"John Ribock")</f>
        <v>John Ribock</v>
      </c>
      <c r="E6092" s="4" t="str">
        <f>IFERROR(__xludf.DUMMYFUNCTION("""COMPUTED_VALUE"""),"South Carolina")</f>
        <v>South Carolina</v>
      </c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</row>
    <row r="6093">
      <c r="A6093" s="4">
        <f>IFERROR(__xludf.DUMMYFUNCTION("""COMPUTED_VALUE"""),130.0)</f>
        <v>130</v>
      </c>
      <c r="B6093" s="4">
        <f>IFERROR(__xludf.DUMMYFUNCTION("""COMPUTED_VALUE"""),130.0)</f>
        <v>130</v>
      </c>
      <c r="C6093" s="4" t="str">
        <f>IFERROR(__xludf.DUMMYFUNCTION("""COMPUTED_VALUE"""),"DET")</f>
        <v>DET</v>
      </c>
      <c r="D6093" s="4" t="str">
        <f>IFERROR(__xludf.DUMMYFUNCTION("""COMPUTED_VALUE"""),"Wayne Jones")</f>
        <v>Wayne Jones</v>
      </c>
      <c r="E6093" s="4" t="str">
        <f>IFERROR(__xludf.DUMMYFUNCTION("""COMPUTED_VALUE"""),"Niagara University")</f>
        <v>Niagara University</v>
      </c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</row>
    <row r="6094">
      <c r="A6094" s="4">
        <f>IFERROR(__xludf.DUMMYFUNCTION("""COMPUTED_VALUE"""),131.0)</f>
        <v>131</v>
      </c>
      <c r="B6094" s="4">
        <f>IFERROR(__xludf.DUMMYFUNCTION("""COMPUTED_VALUE"""),131.0)</f>
        <v>131</v>
      </c>
      <c r="C6094" s="4" t="str">
        <f>IFERROR(__xludf.DUMMYFUNCTION("""COMPUTED_VALUE"""),"PHI")</f>
        <v>PHI</v>
      </c>
      <c r="D6094" s="4" t="str">
        <f>IFERROR(__xludf.DUMMYFUNCTION("""COMPUTED_VALUE"""),"Barry Yates")</f>
        <v>Barry Yates</v>
      </c>
      <c r="E6094" s="4" t="str">
        <f>IFERROR(__xludf.DUMMYFUNCTION("""COMPUTED_VALUE"""),"Maryland")</f>
        <v>Maryland</v>
      </c>
      <c r="F6094" s="4">
        <f>IFERROR(__xludf.DUMMYFUNCTION("""COMPUTED_VALUE"""),1.0)</f>
        <v>1</v>
      </c>
      <c r="G6094" s="4">
        <f>IFERROR(__xludf.DUMMYFUNCTION("""COMPUTED_VALUE"""),24.0)</f>
        <v>24</v>
      </c>
      <c r="H6094" s="4">
        <f>IFERROR(__xludf.DUMMYFUNCTION("""COMPUTED_VALUE"""),144.0)</f>
        <v>144</v>
      </c>
      <c r="I6094" s="4">
        <f>IFERROR(__xludf.DUMMYFUNCTION("""COMPUTED_VALUE"""),69.0)</f>
        <v>69</v>
      </c>
      <c r="J6094" s="4">
        <f>IFERROR(__xludf.DUMMYFUNCTION("""COMPUTED_VALUE"""),40.0)</f>
        <v>40</v>
      </c>
      <c r="K6094" s="4">
        <f>IFERROR(__xludf.DUMMYFUNCTION("""COMPUTED_VALUE"""),7.0)</f>
        <v>7</v>
      </c>
      <c r="L6094" s="4">
        <f>IFERROR(__xludf.DUMMYFUNCTION("""COMPUTED_VALUE"""),0.373)</f>
        <v>0.373</v>
      </c>
      <c r="M6094" s="4"/>
      <c r="N6094" s="4">
        <f>IFERROR(__xludf.DUMMYFUNCTION("""COMPUTED_VALUE"""),0.636)</f>
        <v>0.636</v>
      </c>
      <c r="O6094" s="4">
        <f>IFERROR(__xludf.DUMMYFUNCTION("""COMPUTED_VALUE"""),6.0)</f>
        <v>6</v>
      </c>
      <c r="P6094" s="4">
        <f>IFERROR(__xludf.DUMMYFUNCTION("""COMPUTED_VALUE"""),2.9)</f>
        <v>2.9</v>
      </c>
      <c r="Q6094" s="4">
        <f>IFERROR(__xludf.DUMMYFUNCTION("""COMPUTED_VALUE"""),1.7)</f>
        <v>1.7</v>
      </c>
      <c r="R6094" s="4">
        <f>IFERROR(__xludf.DUMMYFUNCTION("""COMPUTED_VALUE"""),0.3)</f>
        <v>0.3</v>
      </c>
      <c r="S6094" s="4">
        <f>IFERROR(__xludf.DUMMYFUNCTION("""COMPUTED_VALUE"""),-0.2)</f>
        <v>-0.2</v>
      </c>
      <c r="T6094" s="4">
        <f>IFERROR(__xludf.DUMMYFUNCTION("""COMPUTED_VALUE"""),-0.075)</f>
        <v>-0.075</v>
      </c>
      <c r="U6094" s="4"/>
      <c r="V6094" s="4"/>
    </row>
    <row r="6095">
      <c r="A6095" s="4">
        <f>IFERROR(__xludf.DUMMYFUNCTION("""COMPUTED_VALUE"""),132.0)</f>
        <v>132</v>
      </c>
      <c r="B6095" s="4">
        <f>IFERROR(__xludf.DUMMYFUNCTION("""COMPUTED_VALUE"""),132.0)</f>
        <v>132</v>
      </c>
      <c r="C6095" s="4" t="str">
        <f>IFERROR(__xludf.DUMMYFUNCTION("""COMPUTED_VALUE"""),"LAL")</f>
        <v>LAL</v>
      </c>
      <c r="D6095" s="4" t="str">
        <f>IFERROR(__xludf.DUMMYFUNCTION("""COMPUTED_VALUE"""),"Luke Adams")</f>
        <v>Luke Adams</v>
      </c>
      <c r="E6095" s="4" t="str">
        <f>IFERROR(__xludf.DUMMYFUNCTION("""COMPUTED_VALUE"""),"Lamar")</f>
        <v>Lamar</v>
      </c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</row>
    <row r="6096">
      <c r="A6096" s="4">
        <f>IFERROR(__xludf.DUMMYFUNCTION("""COMPUTED_VALUE"""),133.0)</f>
        <v>133</v>
      </c>
      <c r="B6096" s="4">
        <f>IFERROR(__xludf.DUMMYFUNCTION("""COMPUTED_VALUE"""),133.0)</f>
        <v>133</v>
      </c>
      <c r="C6096" s="4" t="str">
        <f>IFERROR(__xludf.DUMMYFUNCTION("""COMPUTED_VALUE"""),"PHO")</f>
        <v>PHO</v>
      </c>
      <c r="D6096" s="4" t="str">
        <f>IFERROR(__xludf.DUMMYFUNCTION("""COMPUTED_VALUE"""),"Vernell Ellzy")</f>
        <v>Vernell Ellzy</v>
      </c>
      <c r="E6096" s="4" t="str">
        <f>IFERROR(__xludf.DUMMYFUNCTION("""COMPUTED_VALUE"""),"Florida State")</f>
        <v>Florida State</v>
      </c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</row>
    <row r="6097">
      <c r="A6097" s="4">
        <f>IFERROR(__xludf.DUMMYFUNCTION("""COMPUTED_VALUE"""),134.0)</f>
        <v>134</v>
      </c>
      <c r="B6097" s="4">
        <f>IFERROR(__xludf.DUMMYFUNCTION("""COMPUTED_VALUE"""),134.0)</f>
        <v>134</v>
      </c>
      <c r="C6097" s="4" t="str">
        <f>IFERROR(__xludf.DUMMYFUNCTION("""COMPUTED_VALUE"""),"CHI")</f>
        <v>CHI</v>
      </c>
      <c r="D6097" s="4" t="str">
        <f>IFERROR(__xludf.DUMMYFUNCTION("""COMPUTED_VALUE"""),"Clarence Sherrod")</f>
        <v>Clarence Sherrod</v>
      </c>
      <c r="E6097" s="4" t="str">
        <f>IFERROR(__xludf.DUMMYFUNCTION("""COMPUTED_VALUE"""),"Wisconsin")</f>
        <v>Wisconsin</v>
      </c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</row>
    <row r="6098">
      <c r="A6098" s="4">
        <f>IFERROR(__xludf.DUMMYFUNCTION("""COMPUTED_VALUE"""),135.0)</f>
        <v>135</v>
      </c>
      <c r="B6098" s="4">
        <f>IFERROR(__xludf.DUMMYFUNCTION("""COMPUTED_VALUE"""),135.0)</f>
        <v>135</v>
      </c>
      <c r="C6098" s="4" t="str">
        <f>IFERROR(__xludf.DUMMYFUNCTION("""COMPUTED_VALUE"""),"NYK")</f>
        <v>NYK</v>
      </c>
      <c r="D6098" s="4" t="str">
        <f>IFERROR(__xludf.DUMMYFUNCTION("""COMPUTED_VALUE"""),"Leroy Eldridge")</f>
        <v>Leroy Eldridge</v>
      </c>
      <c r="E6098" s="4" t="str">
        <f>IFERROR(__xludf.DUMMYFUNCTION("""COMPUTED_VALUE"""),"Cheyney (PA)")</f>
        <v>Cheyney (PA)</v>
      </c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</row>
    <row r="6099">
      <c r="A6099" s="4">
        <f>IFERROR(__xludf.DUMMYFUNCTION("""COMPUTED_VALUE"""),136.0)</f>
        <v>136</v>
      </c>
      <c r="B6099" s="4">
        <f>IFERROR(__xludf.DUMMYFUNCTION("""COMPUTED_VALUE"""),136.0)</f>
        <v>136</v>
      </c>
      <c r="C6099" s="4" t="str">
        <f>IFERROR(__xludf.DUMMYFUNCTION("""COMPUTED_VALUE"""),"MIL")</f>
        <v>MIL</v>
      </c>
      <c r="D6099" s="4" t="str">
        <f>IFERROR(__xludf.DUMMYFUNCTION("""COMPUTED_VALUE"""),"Felix Thurston")</f>
        <v>Felix Thurston</v>
      </c>
      <c r="E6099" s="4" t="str">
        <f>IFERROR(__xludf.DUMMYFUNCTION("""COMPUTED_VALUE"""),"Trinity University")</f>
        <v>Trinity University</v>
      </c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</row>
    <row r="6100">
      <c r="A6100" s="4"/>
      <c r="B6100" s="4"/>
      <c r="C6100" s="4"/>
      <c r="D6100" s="4" t="str">
        <f>IFERROR(__xludf.DUMMYFUNCTION("""COMPUTED_VALUE"""),"Round 9")</f>
        <v>Round 9</v>
      </c>
      <c r="E6100" s="4"/>
      <c r="F6100" s="4"/>
      <c r="G6100" s="4" t="str">
        <f>IFERROR(__xludf.DUMMYFUNCTION("""COMPUTED_VALUE"""),"Totals")</f>
        <v>Totals</v>
      </c>
      <c r="H6100" s="4"/>
      <c r="I6100" s="4"/>
      <c r="J6100" s="4"/>
      <c r="K6100" s="4"/>
      <c r="L6100" s="4" t="str">
        <f>IFERROR(__xludf.DUMMYFUNCTION("""COMPUTED_VALUE"""),"Shooting")</f>
        <v>Shooting</v>
      </c>
      <c r="M6100" s="4"/>
      <c r="N6100" s="4"/>
      <c r="O6100" s="4" t="str">
        <f>IFERROR(__xludf.DUMMYFUNCTION("""COMPUTED_VALUE"""),"Per Game")</f>
        <v>Per Game</v>
      </c>
      <c r="P6100" s="4"/>
      <c r="Q6100" s="4"/>
      <c r="R6100" s="4"/>
      <c r="S6100" s="4" t="str">
        <f>IFERROR(__xludf.DUMMYFUNCTION("""COMPUTED_VALUE"""),"Advanced")</f>
        <v>Advanced</v>
      </c>
      <c r="T6100" s="4"/>
      <c r="U6100" s="4"/>
      <c r="V6100" s="4"/>
    </row>
    <row r="6101">
      <c r="A6101" s="4" t="str">
        <f>IFERROR(__xludf.DUMMYFUNCTION("""COMPUTED_VALUE"""),"Rk")</f>
        <v>Rk</v>
      </c>
      <c r="B6101" s="4" t="str">
        <f>IFERROR(__xludf.DUMMYFUNCTION("""COMPUTED_VALUE"""),"Pk")</f>
        <v>Pk</v>
      </c>
      <c r="C6101" s="4" t="str">
        <f>IFERROR(__xludf.DUMMYFUNCTION("""COMPUTED_VALUE"""),"Tm")</f>
        <v>Tm</v>
      </c>
      <c r="D6101" s="4" t="str">
        <f>IFERROR(__xludf.DUMMYFUNCTION("""COMPUTED_VALUE"""),"Player")</f>
        <v>Player</v>
      </c>
      <c r="E6101" s="4" t="str">
        <f>IFERROR(__xludf.DUMMYFUNCTION("""COMPUTED_VALUE"""),"College")</f>
        <v>College</v>
      </c>
      <c r="F6101" s="4" t="str">
        <f>IFERROR(__xludf.DUMMYFUNCTION("""COMPUTED_VALUE"""),"Yrs")</f>
        <v>Yrs</v>
      </c>
      <c r="G6101" s="4" t="str">
        <f>IFERROR(__xludf.DUMMYFUNCTION("""COMPUTED_VALUE"""),"G")</f>
        <v>G</v>
      </c>
      <c r="H6101" s="4" t="str">
        <f>IFERROR(__xludf.DUMMYFUNCTION("""COMPUTED_VALUE"""),"MP")</f>
        <v>MP</v>
      </c>
      <c r="I6101" s="4" t="str">
        <f>IFERROR(__xludf.DUMMYFUNCTION("""COMPUTED_VALUE"""),"PTS")</f>
        <v>PTS</v>
      </c>
      <c r="J6101" s="4" t="str">
        <f>IFERROR(__xludf.DUMMYFUNCTION("""COMPUTED_VALUE"""),"TRB")</f>
        <v>TRB</v>
      </c>
      <c r="K6101" s="4" t="str">
        <f>IFERROR(__xludf.DUMMYFUNCTION("""COMPUTED_VALUE"""),"AST")</f>
        <v>AST</v>
      </c>
      <c r="L6101" s="4" t="str">
        <f>IFERROR(__xludf.DUMMYFUNCTION("""COMPUTED_VALUE"""),"FG%")</f>
        <v>FG%</v>
      </c>
      <c r="M6101" s="4" t="str">
        <f>IFERROR(__xludf.DUMMYFUNCTION("""COMPUTED_VALUE"""),"3P%")</f>
        <v>3P%</v>
      </c>
      <c r="N6101" s="4" t="str">
        <f>IFERROR(__xludf.DUMMYFUNCTION("""COMPUTED_VALUE"""),"FT%")</f>
        <v>FT%</v>
      </c>
      <c r="O6101" s="4" t="str">
        <f>IFERROR(__xludf.DUMMYFUNCTION("""COMPUTED_VALUE"""),"MP")</f>
        <v>MP</v>
      </c>
      <c r="P6101" s="4" t="str">
        <f>IFERROR(__xludf.DUMMYFUNCTION("""COMPUTED_VALUE"""),"PTS")</f>
        <v>PTS</v>
      </c>
      <c r="Q6101" s="4" t="str">
        <f>IFERROR(__xludf.DUMMYFUNCTION("""COMPUTED_VALUE"""),"TRB")</f>
        <v>TRB</v>
      </c>
      <c r="R6101" s="4" t="str">
        <f>IFERROR(__xludf.DUMMYFUNCTION("""COMPUTED_VALUE"""),"AST")</f>
        <v>AST</v>
      </c>
      <c r="S6101" s="4" t="str">
        <f>IFERROR(__xludf.DUMMYFUNCTION("""COMPUTED_VALUE"""),"WS")</f>
        <v>WS</v>
      </c>
      <c r="T6101" s="4" t="str">
        <f>IFERROR(__xludf.DUMMYFUNCTION("""COMPUTED_VALUE"""),"WS/48")</f>
        <v>WS/48</v>
      </c>
      <c r="U6101" s="4" t="str">
        <f>IFERROR(__xludf.DUMMYFUNCTION("""COMPUTED_VALUE"""),"BPM")</f>
        <v>BPM</v>
      </c>
      <c r="V6101" s="4" t="str">
        <f>IFERROR(__xludf.DUMMYFUNCTION("""COMPUTED_VALUE"""),"VORP")</f>
        <v>VORP</v>
      </c>
    </row>
    <row r="6102">
      <c r="A6102" s="4">
        <f>IFERROR(__xludf.DUMMYFUNCTION("""COMPUTED_VALUE"""),137.0)</f>
        <v>137</v>
      </c>
      <c r="B6102" s="4">
        <f>IFERROR(__xludf.DUMMYFUNCTION("""COMPUTED_VALUE"""),137.0)</f>
        <v>137</v>
      </c>
      <c r="C6102" s="4" t="str">
        <f>IFERROR(__xludf.DUMMYFUNCTION("""COMPUTED_VALUE"""),"CLE")</f>
        <v>CLE</v>
      </c>
      <c r="D6102" s="4" t="str">
        <f>IFERROR(__xludf.DUMMYFUNCTION("""COMPUTED_VALUE"""),"Rich Walker")</f>
        <v>Rich Walker</v>
      </c>
      <c r="E6102" s="4" t="str">
        <f>IFERROR(__xludf.DUMMYFUNCTION("""COMPUTED_VALUE"""),"Bowling Green")</f>
        <v>Bowling Green</v>
      </c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</row>
    <row r="6103">
      <c r="A6103" s="4">
        <f>IFERROR(__xludf.DUMMYFUNCTION("""COMPUTED_VALUE"""),138.0)</f>
        <v>138</v>
      </c>
      <c r="B6103" s="4">
        <f>IFERROR(__xludf.DUMMYFUNCTION("""COMPUTED_VALUE"""),138.0)</f>
        <v>138</v>
      </c>
      <c r="C6103" s="4" t="str">
        <f>IFERROR(__xludf.DUMMYFUNCTION("""COMPUTED_VALUE"""),"BUF")</f>
        <v>BUF</v>
      </c>
      <c r="D6103" s="4" t="str">
        <f>IFERROR(__xludf.DUMMYFUNCTION("""COMPUTED_VALUE"""),"Gary Stewart")</f>
        <v>Gary Stewart</v>
      </c>
      <c r="E6103" s="4" t="str">
        <f>IFERROR(__xludf.DUMMYFUNCTION("""COMPUTED_VALUE"""),"Canisius")</f>
        <v>Canisius</v>
      </c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</row>
    <row r="6104">
      <c r="A6104" s="4">
        <f>IFERROR(__xludf.DUMMYFUNCTION("""COMPUTED_VALUE"""),139.0)</f>
        <v>139</v>
      </c>
      <c r="B6104" s="4">
        <f>IFERROR(__xludf.DUMMYFUNCTION("""COMPUTED_VALUE"""),139.0)</f>
        <v>139</v>
      </c>
      <c r="C6104" s="4" t="str">
        <f>IFERROR(__xludf.DUMMYFUNCTION("""COMPUTED_VALUE"""),"POR")</f>
        <v>POR</v>
      </c>
      <c r="D6104" s="4" t="str">
        <f>IFERROR(__xludf.DUMMYFUNCTION("""COMPUTED_VALUE"""),"Goo Kennedy")</f>
        <v>Goo Kennedy</v>
      </c>
      <c r="E6104" s="4" t="str">
        <f>IFERROR(__xludf.DUMMYFUNCTION("""COMPUTED_VALUE"""),"TCU")</f>
        <v>TCU</v>
      </c>
      <c r="F6104" s="4">
        <f>IFERROR(__xludf.DUMMYFUNCTION("""COMPUTED_VALUE"""),1.0)</f>
        <v>1</v>
      </c>
      <c r="G6104" s="4">
        <f>IFERROR(__xludf.DUMMYFUNCTION("""COMPUTED_VALUE"""),32.0)</f>
        <v>32</v>
      </c>
      <c r="H6104" s="4">
        <f>IFERROR(__xludf.DUMMYFUNCTION("""COMPUTED_VALUE"""),277.0)</f>
        <v>277</v>
      </c>
      <c r="I6104" s="4">
        <f>IFERROR(__xludf.DUMMYFUNCTION("""COMPUTED_VALUE"""),65.0)</f>
        <v>65</v>
      </c>
      <c r="J6104" s="4">
        <f>IFERROR(__xludf.DUMMYFUNCTION("""COMPUTED_VALUE"""),51.0)</f>
        <v>51</v>
      </c>
      <c r="K6104" s="4">
        <f>IFERROR(__xludf.DUMMYFUNCTION("""COMPUTED_VALUE"""),6.0)</f>
        <v>6</v>
      </c>
      <c r="L6104" s="4">
        <f>IFERROR(__xludf.DUMMYFUNCTION("""COMPUTED_VALUE"""),0.534)</f>
        <v>0.534</v>
      </c>
      <c r="M6104" s="4"/>
      <c r="N6104" s="4">
        <f>IFERROR(__xludf.DUMMYFUNCTION("""COMPUTED_VALUE"""),0.375)</f>
        <v>0.375</v>
      </c>
      <c r="O6104" s="4">
        <f>IFERROR(__xludf.DUMMYFUNCTION("""COMPUTED_VALUE"""),8.7)</f>
        <v>8.7</v>
      </c>
      <c r="P6104" s="4">
        <f>IFERROR(__xludf.DUMMYFUNCTION("""COMPUTED_VALUE"""),2.0)</f>
        <v>2</v>
      </c>
      <c r="Q6104" s="4">
        <f>IFERROR(__xludf.DUMMYFUNCTION("""COMPUTED_VALUE"""),1.6)</f>
        <v>1.6</v>
      </c>
      <c r="R6104" s="4">
        <f>IFERROR(__xludf.DUMMYFUNCTION("""COMPUTED_VALUE"""),0.2)</f>
        <v>0.2</v>
      </c>
      <c r="S6104" s="4">
        <f>IFERROR(__xludf.DUMMYFUNCTION("""COMPUTED_VALUE"""),0.3)</f>
        <v>0.3</v>
      </c>
      <c r="T6104" s="4">
        <f>IFERROR(__xludf.DUMMYFUNCTION("""COMPUTED_VALUE"""),0.045)</f>
        <v>0.045</v>
      </c>
      <c r="U6104" s="4">
        <f>IFERROR(__xludf.DUMMYFUNCTION("""COMPUTED_VALUE"""),-2.7)</f>
        <v>-2.7</v>
      </c>
      <c r="V6104" s="4">
        <f>IFERROR(__xludf.DUMMYFUNCTION("""COMPUTED_VALUE"""),0.0)</f>
        <v>0</v>
      </c>
    </row>
    <row r="6105">
      <c r="A6105" s="4">
        <f>IFERROR(__xludf.DUMMYFUNCTION("""COMPUTED_VALUE"""),140.0)</f>
        <v>140</v>
      </c>
      <c r="B6105" s="4">
        <f>IFERROR(__xludf.DUMMYFUNCTION("""COMPUTED_VALUE"""),140.0)</f>
        <v>140</v>
      </c>
      <c r="C6105" s="4" t="str">
        <f>IFERROR(__xludf.DUMMYFUNCTION("""COMPUTED_VALUE"""),"ATL")</f>
        <v>ATL</v>
      </c>
      <c r="D6105" s="4" t="str">
        <f>IFERROR(__xludf.DUMMYFUNCTION("""COMPUTED_VALUE"""),"Ernie Fleming")</f>
        <v>Ernie Fleming</v>
      </c>
      <c r="E6105" s="4" t="str">
        <f>IFERROR(__xludf.DUMMYFUNCTION("""COMPUTED_VALUE"""),"Jacksonville University")</f>
        <v>Jacksonville University</v>
      </c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</row>
    <row r="6106">
      <c r="A6106" s="4">
        <f>IFERROR(__xludf.DUMMYFUNCTION("""COMPUTED_VALUE"""),141.0)</f>
        <v>141</v>
      </c>
      <c r="B6106" s="4">
        <f>IFERROR(__xludf.DUMMYFUNCTION("""COMPUTED_VALUE"""),141.0)</f>
        <v>141</v>
      </c>
      <c r="C6106" s="4" t="str">
        <f>IFERROR(__xludf.DUMMYFUNCTION("""COMPUTED_VALUE"""),"SEA")</f>
        <v>SEA</v>
      </c>
      <c r="D6106" s="4" t="str">
        <f>IFERROR(__xludf.DUMMYFUNCTION("""COMPUTED_VALUE"""),"Larry Holliday")</f>
        <v>Larry Holliday</v>
      </c>
      <c r="E6106" s="4" t="str">
        <f>IFERROR(__xludf.DUMMYFUNCTION("""COMPUTED_VALUE"""),"Oregon")</f>
        <v>Oregon</v>
      </c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</row>
    <row r="6107">
      <c r="A6107" s="4">
        <f>IFERROR(__xludf.DUMMYFUNCTION("""COMPUTED_VALUE"""),142.0)</f>
        <v>142</v>
      </c>
      <c r="B6107" s="4">
        <f>IFERROR(__xludf.DUMMYFUNCTION("""COMPUTED_VALUE"""),142.0)</f>
        <v>142</v>
      </c>
      <c r="C6107" s="4" t="str">
        <f>IFERROR(__xludf.DUMMYFUNCTION("""COMPUTED_VALUE"""),"HOU")</f>
        <v>HOU</v>
      </c>
      <c r="D6107" s="4" t="str">
        <f>IFERROR(__xludf.DUMMYFUNCTION("""COMPUTED_VALUE"""),"Willie Cherry")</f>
        <v>Willie Cherry</v>
      </c>
      <c r="E6107" s="4" t="str">
        <f>IFERROR(__xludf.DUMMYFUNCTION("""COMPUTED_VALUE"""),"Denver")</f>
        <v>Denver</v>
      </c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</row>
    <row r="6108">
      <c r="A6108" s="4">
        <f>IFERROR(__xludf.DUMMYFUNCTION("""COMPUTED_VALUE"""),143.0)</f>
        <v>143</v>
      </c>
      <c r="B6108" s="4">
        <f>IFERROR(__xludf.DUMMYFUNCTION("""COMPUTED_VALUE"""),143.0)</f>
        <v>143</v>
      </c>
      <c r="C6108" s="4" t="str">
        <f>IFERROR(__xludf.DUMMYFUNCTION("""COMPUTED_VALUE"""),"GSW")</f>
        <v>GSW</v>
      </c>
      <c r="D6108" s="4" t="str">
        <f>IFERROR(__xludf.DUMMYFUNCTION("""COMPUTED_VALUE"""),"Clarence Smith")</f>
        <v>Clarence Smith</v>
      </c>
      <c r="E6108" s="4" t="str">
        <f>IFERROR(__xludf.DUMMYFUNCTION("""COMPUTED_VALUE"""),"Villanova")</f>
        <v>Villanova</v>
      </c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</row>
    <row r="6109">
      <c r="A6109" s="4">
        <f>IFERROR(__xludf.DUMMYFUNCTION("""COMPUTED_VALUE"""),144.0)</f>
        <v>144</v>
      </c>
      <c r="B6109" s="4">
        <f>IFERROR(__xludf.DUMMYFUNCTION("""COMPUTED_VALUE"""),144.0)</f>
        <v>144</v>
      </c>
      <c r="C6109" s="4" t="str">
        <f>IFERROR(__xludf.DUMMYFUNCTION("""COMPUTED_VALUE"""),"BAL")</f>
        <v>BAL</v>
      </c>
      <c r="D6109" s="4" t="str">
        <f>IFERROR(__xludf.DUMMYFUNCTION("""COMPUTED_VALUE"""),"Ron Johnson")</f>
        <v>Ron Johnson</v>
      </c>
      <c r="E6109" s="4" t="str">
        <f>IFERROR(__xludf.DUMMYFUNCTION("""COMPUTED_VALUE"""),"Murray State")</f>
        <v>Murray State</v>
      </c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</row>
    <row r="6110">
      <c r="A6110" s="4">
        <f>IFERROR(__xludf.DUMMYFUNCTION("""COMPUTED_VALUE"""),145.0)</f>
        <v>145</v>
      </c>
      <c r="B6110" s="4">
        <f>IFERROR(__xludf.DUMMYFUNCTION("""COMPUTED_VALUE"""),145.0)</f>
        <v>145</v>
      </c>
      <c r="C6110" s="4" t="str">
        <f>IFERROR(__xludf.DUMMYFUNCTION("""COMPUTED_VALUE"""),"BOS")</f>
        <v>BOS</v>
      </c>
      <c r="D6110" s="4" t="str">
        <f>IFERROR(__xludf.DUMMYFUNCTION("""COMPUTED_VALUE"""),"Ray Greene")</f>
        <v>Ray Greene</v>
      </c>
      <c r="E6110" s="4" t="str">
        <f>IFERROR(__xludf.DUMMYFUNCTION("""COMPUTED_VALUE"""),"California University of Pennslyvania")</f>
        <v>California University of Pennslyvania</v>
      </c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</row>
    <row r="6111">
      <c r="A6111" s="4">
        <f>IFERROR(__xludf.DUMMYFUNCTION("""COMPUTED_VALUE"""),146.0)</f>
        <v>146</v>
      </c>
      <c r="B6111" s="4">
        <f>IFERROR(__xludf.DUMMYFUNCTION("""COMPUTED_VALUE"""),146.0)</f>
        <v>146</v>
      </c>
      <c r="C6111" s="4" t="str">
        <f>IFERROR(__xludf.DUMMYFUNCTION("""COMPUTED_VALUE"""),"DET")</f>
        <v>DET</v>
      </c>
      <c r="D6111" s="4" t="str">
        <f>IFERROR(__xludf.DUMMYFUNCTION("""COMPUTED_VALUE"""),"Paul Botts")</f>
        <v>Paul Botts</v>
      </c>
      <c r="E6111" s="4" t="str">
        <f>IFERROR(__xludf.DUMMYFUNCTION("""COMPUTED_VALUE"""),"Central Michigan University")</f>
        <v>Central Michigan University</v>
      </c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</row>
    <row r="6112">
      <c r="A6112" s="4">
        <f>IFERROR(__xludf.DUMMYFUNCTION("""COMPUTED_VALUE"""),147.0)</f>
        <v>147</v>
      </c>
      <c r="B6112" s="4">
        <f>IFERROR(__xludf.DUMMYFUNCTION("""COMPUTED_VALUE"""),147.0)</f>
        <v>147</v>
      </c>
      <c r="C6112" s="4" t="str">
        <f>IFERROR(__xludf.DUMMYFUNCTION("""COMPUTED_VALUE"""),"PHI")</f>
        <v>PHI</v>
      </c>
      <c r="D6112" s="4" t="str">
        <f>IFERROR(__xludf.DUMMYFUNCTION("""COMPUTED_VALUE"""),"Tom Lee")</f>
        <v>Tom Lee</v>
      </c>
      <c r="E6112" s="4" t="str">
        <f>IFERROR(__xludf.DUMMYFUNCTION("""COMPUTED_VALUE"""),"Arizona")</f>
        <v>Arizona</v>
      </c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</row>
    <row r="6113">
      <c r="A6113" s="4">
        <f>IFERROR(__xludf.DUMMYFUNCTION("""COMPUTED_VALUE"""),148.0)</f>
        <v>148</v>
      </c>
      <c r="B6113" s="4">
        <f>IFERROR(__xludf.DUMMYFUNCTION("""COMPUTED_VALUE"""),148.0)</f>
        <v>148</v>
      </c>
      <c r="C6113" s="4" t="str">
        <f>IFERROR(__xludf.DUMMYFUNCTION("""COMPUTED_VALUE"""),"LAL")</f>
        <v>LAL</v>
      </c>
      <c r="D6113" s="4" t="str">
        <f>IFERROR(__xludf.DUMMYFUNCTION("""COMPUTED_VALUE"""),"Bob Cheeks")</f>
        <v>Bob Cheeks</v>
      </c>
      <c r="E6113" s="4" t="str">
        <f>IFERROR(__xludf.DUMMYFUNCTION("""COMPUTED_VALUE"""),"Whittier College")</f>
        <v>Whittier College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</row>
    <row r="6114">
      <c r="A6114" s="4">
        <f>IFERROR(__xludf.DUMMYFUNCTION("""COMPUTED_VALUE"""),149.0)</f>
        <v>149</v>
      </c>
      <c r="B6114" s="4">
        <f>IFERROR(__xludf.DUMMYFUNCTION("""COMPUTED_VALUE"""),149.0)</f>
        <v>149</v>
      </c>
      <c r="C6114" s="4" t="str">
        <f>IFERROR(__xludf.DUMMYFUNCTION("""COMPUTED_VALUE"""),"PHO")</f>
        <v>PHO</v>
      </c>
      <c r="D6114" s="4" t="str">
        <f>IFERROR(__xludf.DUMMYFUNCTION("""COMPUTED_VALUE"""),"Mike Johnson")</f>
        <v>Mike Johnson</v>
      </c>
      <c r="E6114" s="4" t="str">
        <f>IFERROR(__xludf.DUMMYFUNCTION("""COMPUTED_VALUE"""),"Kansas State")</f>
        <v>Kansas State</v>
      </c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</row>
    <row r="6115">
      <c r="A6115" s="4">
        <f>IFERROR(__xludf.DUMMYFUNCTION("""COMPUTED_VALUE"""),150.0)</f>
        <v>150</v>
      </c>
      <c r="B6115" s="4">
        <f>IFERROR(__xludf.DUMMYFUNCTION("""COMPUTED_VALUE"""),150.0)</f>
        <v>150</v>
      </c>
      <c r="C6115" s="4" t="str">
        <f>IFERROR(__xludf.DUMMYFUNCTION("""COMPUTED_VALUE"""),"CHI")</f>
        <v>CHI</v>
      </c>
      <c r="D6115" s="4" t="str">
        <f>IFERROR(__xludf.DUMMYFUNCTION("""COMPUTED_VALUE"""),"Jackie Dinkins")</f>
        <v>Jackie Dinkins</v>
      </c>
      <c r="E6115" s="4" t="str">
        <f>IFERROR(__xludf.DUMMYFUNCTION("""COMPUTED_VALUE"""),"Voorhees College")</f>
        <v>Voorhees College</v>
      </c>
      <c r="F6115" s="4">
        <f>IFERROR(__xludf.DUMMYFUNCTION("""COMPUTED_VALUE"""),1.0)</f>
        <v>1</v>
      </c>
      <c r="G6115" s="4">
        <f>IFERROR(__xludf.DUMMYFUNCTION("""COMPUTED_VALUE"""),18.0)</f>
        <v>18</v>
      </c>
      <c r="H6115" s="4">
        <f>IFERROR(__xludf.DUMMYFUNCTION("""COMPUTED_VALUE"""),89.0)</f>
        <v>89</v>
      </c>
      <c r="I6115" s="4">
        <f>IFERROR(__xludf.DUMMYFUNCTION("""COMPUTED_VALUE"""),45.0)</f>
        <v>45</v>
      </c>
      <c r="J6115" s="4">
        <f>IFERROR(__xludf.DUMMYFUNCTION("""COMPUTED_VALUE"""),20.0)</f>
        <v>20</v>
      </c>
      <c r="K6115" s="4">
        <f>IFERROR(__xludf.DUMMYFUNCTION("""COMPUTED_VALUE"""),7.0)</f>
        <v>7</v>
      </c>
      <c r="L6115" s="4">
        <f>IFERROR(__xludf.DUMMYFUNCTION("""COMPUTED_VALUE"""),0.415)</f>
        <v>0.415</v>
      </c>
      <c r="M6115" s="4"/>
      <c r="N6115" s="4">
        <f>IFERROR(__xludf.DUMMYFUNCTION("""COMPUTED_VALUE"""),0.55)</f>
        <v>0.55</v>
      </c>
      <c r="O6115" s="4">
        <f>IFERROR(__xludf.DUMMYFUNCTION("""COMPUTED_VALUE"""),4.9)</f>
        <v>4.9</v>
      </c>
      <c r="P6115" s="4">
        <f>IFERROR(__xludf.DUMMYFUNCTION("""COMPUTED_VALUE"""),2.5)</f>
        <v>2.5</v>
      </c>
      <c r="Q6115" s="4">
        <f>IFERROR(__xludf.DUMMYFUNCTION("""COMPUTED_VALUE"""),1.1)</f>
        <v>1.1</v>
      </c>
      <c r="R6115" s="4">
        <f>IFERROR(__xludf.DUMMYFUNCTION("""COMPUTED_VALUE"""),0.4)</f>
        <v>0.4</v>
      </c>
      <c r="S6115" s="4">
        <f>IFERROR(__xludf.DUMMYFUNCTION("""COMPUTED_VALUE"""),0.1)</f>
        <v>0.1</v>
      </c>
      <c r="T6115" s="4">
        <f>IFERROR(__xludf.DUMMYFUNCTION("""COMPUTED_VALUE"""),0.073)</f>
        <v>0.073</v>
      </c>
      <c r="U6115" s="4"/>
      <c r="V6115" s="4"/>
    </row>
    <row r="6116">
      <c r="A6116" s="4">
        <f>IFERROR(__xludf.DUMMYFUNCTION("""COMPUTED_VALUE"""),151.0)</f>
        <v>151</v>
      </c>
      <c r="B6116" s="4">
        <f>IFERROR(__xludf.DUMMYFUNCTION("""COMPUTED_VALUE"""),151.0)</f>
        <v>151</v>
      </c>
      <c r="C6116" s="4" t="str">
        <f>IFERROR(__xludf.DUMMYFUNCTION("""COMPUTED_VALUE"""),"NYK")</f>
        <v>NYK</v>
      </c>
      <c r="D6116" s="4" t="str">
        <f>IFERROR(__xludf.DUMMYFUNCTION("""COMPUTED_VALUE"""),"Mike O'Brien")</f>
        <v>Mike O'Brien</v>
      </c>
      <c r="E6116" s="4" t="str">
        <f>IFERROR(__xludf.DUMMYFUNCTION("""COMPUTED_VALUE"""),"Saint Leo University")</f>
        <v>Saint Leo University</v>
      </c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</row>
    <row r="6117">
      <c r="A6117" s="4">
        <f>IFERROR(__xludf.DUMMYFUNCTION("""COMPUTED_VALUE"""),152.0)</f>
        <v>152</v>
      </c>
      <c r="B6117" s="4">
        <f>IFERROR(__xludf.DUMMYFUNCTION("""COMPUTED_VALUE"""),152.0)</f>
        <v>152</v>
      </c>
      <c r="C6117" s="4" t="str">
        <f>IFERROR(__xludf.DUMMYFUNCTION("""COMPUTED_VALUE"""),"MIL")</f>
        <v>MIL</v>
      </c>
      <c r="D6117" s="4" t="str">
        <f>IFERROR(__xludf.DUMMYFUNCTION("""COMPUTED_VALUE"""),"Rick Howat")</f>
        <v>Rick Howat</v>
      </c>
      <c r="E6117" s="4" t="str">
        <f>IFERROR(__xludf.DUMMYFUNCTION("""COMPUTED_VALUE"""),"Illinois")</f>
        <v>Illinois</v>
      </c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</row>
    <row r="6118">
      <c r="A6118" s="4"/>
      <c r="B6118" s="4"/>
      <c r="C6118" s="4"/>
      <c r="D6118" s="4" t="str">
        <f>IFERROR(__xludf.DUMMYFUNCTION("""COMPUTED_VALUE"""),"Round 10")</f>
        <v>Round 10</v>
      </c>
      <c r="E6118" s="4"/>
      <c r="F6118" s="4"/>
      <c r="G6118" s="4" t="str">
        <f>IFERROR(__xludf.DUMMYFUNCTION("""COMPUTED_VALUE"""),"Totals")</f>
        <v>Totals</v>
      </c>
      <c r="H6118" s="4"/>
      <c r="I6118" s="4"/>
      <c r="J6118" s="4"/>
      <c r="K6118" s="4"/>
      <c r="L6118" s="4" t="str">
        <f>IFERROR(__xludf.DUMMYFUNCTION("""COMPUTED_VALUE"""),"Shooting")</f>
        <v>Shooting</v>
      </c>
      <c r="M6118" s="4"/>
      <c r="N6118" s="4"/>
      <c r="O6118" s="4" t="str">
        <f>IFERROR(__xludf.DUMMYFUNCTION("""COMPUTED_VALUE"""),"Per Game")</f>
        <v>Per Game</v>
      </c>
      <c r="P6118" s="4"/>
      <c r="Q6118" s="4"/>
      <c r="R6118" s="4"/>
      <c r="S6118" s="4" t="str">
        <f>IFERROR(__xludf.DUMMYFUNCTION("""COMPUTED_VALUE"""),"Advanced")</f>
        <v>Advanced</v>
      </c>
      <c r="T6118" s="4"/>
      <c r="U6118" s="4"/>
      <c r="V6118" s="4"/>
    </row>
    <row r="6119">
      <c r="A6119" s="4" t="str">
        <f>IFERROR(__xludf.DUMMYFUNCTION("""COMPUTED_VALUE"""),"Rk")</f>
        <v>Rk</v>
      </c>
      <c r="B6119" s="4" t="str">
        <f>IFERROR(__xludf.DUMMYFUNCTION("""COMPUTED_VALUE"""),"Pk")</f>
        <v>Pk</v>
      </c>
      <c r="C6119" s="4" t="str">
        <f>IFERROR(__xludf.DUMMYFUNCTION("""COMPUTED_VALUE"""),"Tm")</f>
        <v>Tm</v>
      </c>
      <c r="D6119" s="4" t="str">
        <f>IFERROR(__xludf.DUMMYFUNCTION("""COMPUTED_VALUE"""),"Player")</f>
        <v>Player</v>
      </c>
      <c r="E6119" s="4" t="str">
        <f>IFERROR(__xludf.DUMMYFUNCTION("""COMPUTED_VALUE"""),"College")</f>
        <v>College</v>
      </c>
      <c r="F6119" s="4" t="str">
        <f>IFERROR(__xludf.DUMMYFUNCTION("""COMPUTED_VALUE"""),"Yrs")</f>
        <v>Yrs</v>
      </c>
      <c r="G6119" s="4" t="str">
        <f>IFERROR(__xludf.DUMMYFUNCTION("""COMPUTED_VALUE"""),"G")</f>
        <v>G</v>
      </c>
      <c r="H6119" s="4" t="str">
        <f>IFERROR(__xludf.DUMMYFUNCTION("""COMPUTED_VALUE"""),"MP")</f>
        <v>MP</v>
      </c>
      <c r="I6119" s="4" t="str">
        <f>IFERROR(__xludf.DUMMYFUNCTION("""COMPUTED_VALUE"""),"PTS")</f>
        <v>PTS</v>
      </c>
      <c r="J6119" s="4" t="str">
        <f>IFERROR(__xludf.DUMMYFUNCTION("""COMPUTED_VALUE"""),"TRB")</f>
        <v>TRB</v>
      </c>
      <c r="K6119" s="4" t="str">
        <f>IFERROR(__xludf.DUMMYFUNCTION("""COMPUTED_VALUE"""),"AST")</f>
        <v>AST</v>
      </c>
      <c r="L6119" s="4" t="str">
        <f>IFERROR(__xludf.DUMMYFUNCTION("""COMPUTED_VALUE"""),"FG%")</f>
        <v>FG%</v>
      </c>
      <c r="M6119" s="4" t="str">
        <f>IFERROR(__xludf.DUMMYFUNCTION("""COMPUTED_VALUE"""),"3P%")</f>
        <v>3P%</v>
      </c>
      <c r="N6119" s="4" t="str">
        <f>IFERROR(__xludf.DUMMYFUNCTION("""COMPUTED_VALUE"""),"FT%")</f>
        <v>FT%</v>
      </c>
      <c r="O6119" s="4" t="str">
        <f>IFERROR(__xludf.DUMMYFUNCTION("""COMPUTED_VALUE"""),"MP")</f>
        <v>MP</v>
      </c>
      <c r="P6119" s="4" t="str">
        <f>IFERROR(__xludf.DUMMYFUNCTION("""COMPUTED_VALUE"""),"PTS")</f>
        <v>PTS</v>
      </c>
      <c r="Q6119" s="4" t="str">
        <f>IFERROR(__xludf.DUMMYFUNCTION("""COMPUTED_VALUE"""),"TRB")</f>
        <v>TRB</v>
      </c>
      <c r="R6119" s="4" t="str">
        <f>IFERROR(__xludf.DUMMYFUNCTION("""COMPUTED_VALUE"""),"AST")</f>
        <v>AST</v>
      </c>
      <c r="S6119" s="4" t="str">
        <f>IFERROR(__xludf.DUMMYFUNCTION("""COMPUTED_VALUE"""),"WS")</f>
        <v>WS</v>
      </c>
      <c r="T6119" s="4" t="str">
        <f>IFERROR(__xludf.DUMMYFUNCTION("""COMPUTED_VALUE"""),"WS/48")</f>
        <v>WS/48</v>
      </c>
      <c r="U6119" s="4" t="str">
        <f>IFERROR(__xludf.DUMMYFUNCTION("""COMPUTED_VALUE"""),"BPM")</f>
        <v>BPM</v>
      </c>
      <c r="V6119" s="4" t="str">
        <f>IFERROR(__xludf.DUMMYFUNCTION("""COMPUTED_VALUE"""),"VORP")</f>
        <v>VORP</v>
      </c>
    </row>
    <row r="6120">
      <c r="A6120" s="4">
        <f>IFERROR(__xludf.DUMMYFUNCTION("""COMPUTED_VALUE"""),153.0)</f>
        <v>153</v>
      </c>
      <c r="B6120" s="4">
        <f>IFERROR(__xludf.DUMMYFUNCTION("""COMPUTED_VALUE"""),153.0)</f>
        <v>153</v>
      </c>
      <c r="C6120" s="4" t="str">
        <f>IFERROR(__xludf.DUMMYFUNCTION("""COMPUTED_VALUE"""),"CLE")</f>
        <v>CLE</v>
      </c>
      <c r="D6120" s="4" t="str">
        <f>IFERROR(__xludf.DUMMYFUNCTION("""COMPUTED_VALUE"""),"Jim Meredith")</f>
        <v>Jim Meredith</v>
      </c>
      <c r="E6120" s="4" t="str">
        <f>IFERROR(__xludf.DUMMYFUNCTION("""COMPUTED_VALUE"""),"Washington State")</f>
        <v>Washington State</v>
      </c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</row>
    <row r="6121">
      <c r="A6121" s="4">
        <f>IFERROR(__xludf.DUMMYFUNCTION("""COMPUTED_VALUE"""),154.0)</f>
        <v>154</v>
      </c>
      <c r="B6121" s="4">
        <f>IFERROR(__xludf.DUMMYFUNCTION("""COMPUTED_VALUE"""),154.0)</f>
        <v>154</v>
      </c>
      <c r="C6121" s="4" t="str">
        <f>IFERROR(__xludf.DUMMYFUNCTION("""COMPUTED_VALUE"""),"BUF")</f>
        <v>BUF</v>
      </c>
      <c r="D6121" s="4" t="str">
        <f>IFERROR(__xludf.DUMMYFUNCTION("""COMPUTED_VALUE"""),"Don Ward")</f>
        <v>Don Ward</v>
      </c>
      <c r="E6121" s="4" t="str">
        <f>IFERROR(__xludf.DUMMYFUNCTION("""COMPUTED_VALUE"""),"Colgate")</f>
        <v>Colgate</v>
      </c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</row>
    <row r="6122">
      <c r="A6122" s="4">
        <f>IFERROR(__xludf.DUMMYFUNCTION("""COMPUTED_VALUE"""),155.0)</f>
        <v>155</v>
      </c>
      <c r="B6122" s="4">
        <f>IFERROR(__xludf.DUMMYFUNCTION("""COMPUTED_VALUE"""),155.0)</f>
        <v>155</v>
      </c>
      <c r="C6122" s="4" t="str">
        <f>IFERROR(__xludf.DUMMYFUNCTION("""COMPUTED_VALUE"""),"POR")</f>
        <v>POR</v>
      </c>
      <c r="D6122" s="4" t="str">
        <f>IFERROR(__xludf.DUMMYFUNCTION("""COMPUTED_VALUE"""),"Greg Starrick")</f>
        <v>Greg Starrick</v>
      </c>
      <c r="E6122" s="4" t="str">
        <f>IFERROR(__xludf.DUMMYFUNCTION("""COMPUTED_VALUE"""),"Southern Illinois")</f>
        <v>Southern Illinois</v>
      </c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</row>
    <row r="6123">
      <c r="A6123" s="4">
        <f>IFERROR(__xludf.DUMMYFUNCTION("""COMPUTED_VALUE"""),156.0)</f>
        <v>156</v>
      </c>
      <c r="B6123" s="4">
        <f>IFERROR(__xludf.DUMMYFUNCTION("""COMPUTED_VALUE"""),156.0)</f>
        <v>156</v>
      </c>
      <c r="C6123" s="4" t="str">
        <f>IFERROR(__xludf.DUMMYFUNCTION("""COMPUTED_VALUE"""),"ATL")</f>
        <v>ATL</v>
      </c>
      <c r="D6123" s="4" t="str">
        <f>IFERROR(__xludf.DUMMYFUNCTION("""COMPUTED_VALUE"""),"Ron Rippetoe")</f>
        <v>Ron Rippetoe</v>
      </c>
      <c r="E6123" s="4" t="str">
        <f>IFERROR(__xludf.DUMMYFUNCTION("""COMPUTED_VALUE"""),"Lipscomb")</f>
        <v>Lipscomb</v>
      </c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</row>
    <row r="6124">
      <c r="A6124" s="4">
        <f>IFERROR(__xludf.DUMMYFUNCTION("""COMPUTED_VALUE"""),157.0)</f>
        <v>157</v>
      </c>
      <c r="B6124" s="4">
        <f>IFERROR(__xludf.DUMMYFUNCTION("""COMPUTED_VALUE"""),157.0)</f>
        <v>157</v>
      </c>
      <c r="C6124" s="4" t="str">
        <f>IFERROR(__xludf.DUMMYFUNCTION("""COMPUTED_VALUE"""),"SEA")</f>
        <v>SEA</v>
      </c>
      <c r="D6124" s="4" t="str">
        <f>IFERROR(__xludf.DUMMYFUNCTION("""COMPUTED_VALUE"""),"Ed Huston")</f>
        <v>Ed Huston</v>
      </c>
      <c r="E6124" s="4" t="str">
        <f>IFERROR(__xludf.DUMMYFUNCTION("""COMPUTED_VALUE"""),"University of Puget Sound")</f>
        <v>University of Puget Sound</v>
      </c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</row>
    <row r="6125">
      <c r="A6125" s="4">
        <f>IFERROR(__xludf.DUMMYFUNCTION("""COMPUTED_VALUE"""),158.0)</f>
        <v>158</v>
      </c>
      <c r="B6125" s="4">
        <f>IFERROR(__xludf.DUMMYFUNCTION("""COMPUTED_VALUE"""),158.0)</f>
        <v>158</v>
      </c>
      <c r="C6125" s="4" t="str">
        <f>IFERROR(__xludf.DUMMYFUNCTION("""COMPUTED_VALUE"""),"HOU")</f>
        <v>HOU</v>
      </c>
      <c r="D6125" s="4" t="str">
        <f>IFERROR(__xludf.DUMMYFUNCTION("""COMPUTED_VALUE"""),"Calvin Oliver")</f>
        <v>Calvin Oliver</v>
      </c>
      <c r="E6125" s="4" t="str">
        <f>IFERROR(__xludf.DUMMYFUNCTION("""COMPUTED_VALUE"""),"University of Texas Rio Grande Valley")</f>
        <v>University of Texas Rio Grande Valley</v>
      </c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</row>
    <row r="6126">
      <c r="A6126" s="4">
        <f>IFERROR(__xludf.DUMMYFUNCTION("""COMPUTED_VALUE"""),159.0)</f>
        <v>159</v>
      </c>
      <c r="B6126" s="4">
        <f>IFERROR(__xludf.DUMMYFUNCTION("""COMPUTED_VALUE"""),159.0)</f>
        <v>159</v>
      </c>
      <c r="C6126" s="4" t="str">
        <f>IFERROR(__xludf.DUMMYFUNCTION("""COMPUTED_VALUE"""),"GSW")</f>
        <v>GSW</v>
      </c>
      <c r="D6126" s="4" t="str">
        <f>IFERROR(__xludf.DUMMYFUNCTION("""COMPUTED_VALUE"""),"Bill Drozdiak")</f>
        <v>Bill Drozdiak</v>
      </c>
      <c r="E6126" s="4" t="str">
        <f>IFERROR(__xludf.DUMMYFUNCTION("""COMPUTED_VALUE"""),"Oregon")</f>
        <v>Oregon</v>
      </c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</row>
    <row r="6127">
      <c r="A6127" s="4">
        <f>IFERROR(__xludf.DUMMYFUNCTION("""COMPUTED_VALUE"""),160.0)</f>
        <v>160</v>
      </c>
      <c r="B6127" s="4">
        <f>IFERROR(__xludf.DUMMYFUNCTION("""COMPUTED_VALUE"""),160.0)</f>
        <v>160</v>
      </c>
      <c r="C6127" s="4" t="str">
        <f>IFERROR(__xludf.DUMMYFUNCTION("""COMPUTED_VALUE"""),"BAL")</f>
        <v>BAL</v>
      </c>
      <c r="D6127" s="4" t="str">
        <f>IFERROR(__xludf.DUMMYFUNCTION("""COMPUTED_VALUE"""),"Eddie Myers")</f>
        <v>Eddie Myers</v>
      </c>
      <c r="E6127" s="4" t="str">
        <f>IFERROR(__xludf.DUMMYFUNCTION("""COMPUTED_VALUE"""),"Arizona")</f>
        <v>Arizona</v>
      </c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</row>
    <row r="6128">
      <c r="A6128" s="4">
        <f>IFERROR(__xludf.DUMMYFUNCTION("""COMPUTED_VALUE"""),161.0)</f>
        <v>161</v>
      </c>
      <c r="B6128" s="4">
        <f>IFERROR(__xludf.DUMMYFUNCTION("""COMPUTED_VALUE"""),161.0)</f>
        <v>161</v>
      </c>
      <c r="C6128" s="4" t="str">
        <f>IFERROR(__xludf.DUMMYFUNCTION("""COMPUTED_VALUE"""),"BOS")</f>
        <v>BOS</v>
      </c>
      <c r="D6128" s="4" t="str">
        <f>IFERROR(__xludf.DUMMYFUNCTION("""COMPUTED_VALUE"""),"Dale Dover")</f>
        <v>Dale Dover</v>
      </c>
      <c r="E6128" s="4" t="str">
        <f>IFERROR(__xludf.DUMMYFUNCTION("""COMPUTED_VALUE"""),"Harvard University")</f>
        <v>Harvard University</v>
      </c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</row>
    <row r="6129">
      <c r="A6129" s="4">
        <f>IFERROR(__xludf.DUMMYFUNCTION("""COMPUTED_VALUE"""),162.0)</f>
        <v>162</v>
      </c>
      <c r="B6129" s="4">
        <f>IFERROR(__xludf.DUMMYFUNCTION("""COMPUTED_VALUE"""),162.0)</f>
        <v>162</v>
      </c>
      <c r="C6129" s="4" t="str">
        <f>IFERROR(__xludf.DUMMYFUNCTION("""COMPUTED_VALUE"""),"DET")</f>
        <v>DET</v>
      </c>
      <c r="D6129" s="4" t="str">
        <f>IFERROR(__xludf.DUMMYFUNCTION("""COMPUTED_VALUE"""),"Steve Butcher")</f>
        <v>Steve Butcher</v>
      </c>
      <c r="E6129" s="4" t="str">
        <f>IFERROR(__xludf.DUMMYFUNCTION("""COMPUTED_VALUE"""),"Pikeville College")</f>
        <v>Pikeville College</v>
      </c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</row>
    <row r="6130">
      <c r="A6130" s="4">
        <f>IFERROR(__xludf.DUMMYFUNCTION("""COMPUTED_VALUE"""),163.0)</f>
        <v>163</v>
      </c>
      <c r="B6130" s="4">
        <f>IFERROR(__xludf.DUMMYFUNCTION("""COMPUTED_VALUE"""),163.0)</f>
        <v>163</v>
      </c>
      <c r="C6130" s="4" t="str">
        <f>IFERROR(__xludf.DUMMYFUNCTION("""COMPUTED_VALUE"""),"PHI")</f>
        <v>PHI</v>
      </c>
      <c r="D6130" s="4" t="str">
        <f>IFERROR(__xludf.DUMMYFUNCTION("""COMPUTED_VALUE"""),"Jim Dinwiddie")</f>
        <v>Jim Dinwiddie</v>
      </c>
      <c r="E6130" s="4" t="str">
        <f>IFERROR(__xludf.DUMMYFUNCTION("""COMPUTED_VALUE"""),"Kentucky")</f>
        <v>Kentucky</v>
      </c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</row>
    <row r="6131">
      <c r="A6131" s="4">
        <f>IFERROR(__xludf.DUMMYFUNCTION("""COMPUTED_VALUE"""),164.0)</f>
        <v>164</v>
      </c>
      <c r="B6131" s="4">
        <f>IFERROR(__xludf.DUMMYFUNCTION("""COMPUTED_VALUE"""),164.0)</f>
        <v>164</v>
      </c>
      <c r="C6131" s="4" t="str">
        <f>IFERROR(__xludf.DUMMYFUNCTION("""COMPUTED_VALUE"""),"LAL")</f>
        <v>LAL</v>
      </c>
      <c r="D6131" s="4" t="str">
        <f>IFERROR(__xludf.DUMMYFUNCTION("""COMPUTED_VALUE"""),"Cliff Mosley")</f>
        <v>Cliff Mosley</v>
      </c>
      <c r="E6131" s="4" t="str">
        <f>IFERROR(__xludf.DUMMYFUNCTION("""COMPUTED_VALUE"""),"Quinnipiac University")</f>
        <v>Quinnipiac University</v>
      </c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</row>
    <row r="6132">
      <c r="A6132" s="4">
        <f>IFERROR(__xludf.DUMMYFUNCTION("""COMPUTED_VALUE"""),165.0)</f>
        <v>165</v>
      </c>
      <c r="B6132" s="4">
        <f>IFERROR(__xludf.DUMMYFUNCTION("""COMPUTED_VALUE"""),165.0)</f>
        <v>165</v>
      </c>
      <c r="C6132" s="4" t="str">
        <f>IFERROR(__xludf.DUMMYFUNCTION("""COMPUTED_VALUE"""),"PHO")</f>
        <v>PHO</v>
      </c>
      <c r="D6132" s="4" t="str">
        <f>IFERROR(__xludf.DUMMYFUNCTION("""COMPUTED_VALUE"""),"Tom Newell")</f>
        <v>Tom Newell</v>
      </c>
      <c r="E6132" s="4" t="str">
        <f>IFERROR(__xludf.DUMMYFUNCTION("""COMPUTED_VALUE"""),"Hawaii")</f>
        <v>Hawaii</v>
      </c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</row>
    <row r="6133">
      <c r="A6133" s="4">
        <f>IFERROR(__xludf.DUMMYFUNCTION("""COMPUTED_VALUE"""),166.0)</f>
        <v>166</v>
      </c>
      <c r="B6133" s="4">
        <f>IFERROR(__xludf.DUMMYFUNCTION("""COMPUTED_VALUE"""),166.0)</f>
        <v>166</v>
      </c>
      <c r="C6133" s="4" t="str">
        <f>IFERROR(__xludf.DUMMYFUNCTION("""COMPUTED_VALUE"""),"CHI")</f>
        <v>CHI</v>
      </c>
      <c r="D6133" s="4" t="str">
        <f>IFERROR(__xludf.DUMMYFUNCTION("""COMPUTED_VALUE"""),"David Withers")</f>
        <v>David Withers</v>
      </c>
      <c r="E6133" s="4" t="str">
        <f>IFERROR(__xludf.DUMMYFUNCTION("""COMPUTED_VALUE"""),"University of Delaware")</f>
        <v>University of Delaware</v>
      </c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</row>
    <row r="6134">
      <c r="A6134" s="4">
        <f>IFERROR(__xludf.DUMMYFUNCTION("""COMPUTED_VALUE"""),167.0)</f>
        <v>167</v>
      </c>
      <c r="B6134" s="4">
        <f>IFERROR(__xludf.DUMMYFUNCTION("""COMPUTED_VALUE"""),167.0)</f>
        <v>167</v>
      </c>
      <c r="C6134" s="4" t="str">
        <f>IFERROR(__xludf.DUMMYFUNCTION("""COMPUTED_VALUE"""),"NYK")</f>
        <v>NYK</v>
      </c>
      <c r="D6134" s="4" t="str">
        <f>IFERROR(__xludf.DUMMYFUNCTION("""COMPUTED_VALUE"""),"Andy Toth")</f>
        <v>Andy Toth</v>
      </c>
      <c r="E6134" s="4" t="str">
        <f>IFERROR(__xludf.DUMMYFUNCTION("""COMPUTED_VALUE"""),"Cheyney (PA)")</f>
        <v>Cheyney (PA)</v>
      </c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</row>
    <row r="6135">
      <c r="A6135" s="4">
        <f>IFERROR(__xludf.DUMMYFUNCTION("""COMPUTED_VALUE"""),168.0)</f>
        <v>168</v>
      </c>
      <c r="B6135" s="4">
        <f>IFERROR(__xludf.DUMMYFUNCTION("""COMPUTED_VALUE"""),168.0)</f>
        <v>168</v>
      </c>
      <c r="C6135" s="4" t="str">
        <f>IFERROR(__xludf.DUMMYFUNCTION("""COMPUTED_VALUE"""),"MIL")</f>
        <v>MIL</v>
      </c>
      <c r="D6135" s="4" t="str">
        <f>IFERROR(__xludf.DUMMYFUNCTION("""COMPUTED_VALUE"""),"Dan Fife")</f>
        <v>Dan Fife</v>
      </c>
      <c r="E6135" s="4" t="str">
        <f>IFERROR(__xludf.DUMMYFUNCTION("""COMPUTED_VALUE"""),"Michigan")</f>
        <v>Michigan</v>
      </c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</row>
    <row r="6136">
      <c r="A6136" s="4"/>
      <c r="B6136" s="4"/>
      <c r="C6136" s="4"/>
      <c r="D6136" s="4" t="str">
        <f>IFERROR(__xludf.DUMMYFUNCTION("""COMPUTED_VALUE"""),"Round 11")</f>
        <v>Round 11</v>
      </c>
      <c r="E6136" s="4"/>
      <c r="F6136" s="4"/>
      <c r="G6136" s="4" t="str">
        <f>IFERROR(__xludf.DUMMYFUNCTION("""COMPUTED_VALUE"""),"Totals")</f>
        <v>Totals</v>
      </c>
      <c r="H6136" s="4"/>
      <c r="I6136" s="4"/>
      <c r="J6136" s="4"/>
      <c r="K6136" s="4"/>
      <c r="L6136" s="4" t="str">
        <f>IFERROR(__xludf.DUMMYFUNCTION("""COMPUTED_VALUE"""),"Shooting")</f>
        <v>Shooting</v>
      </c>
      <c r="M6136" s="4"/>
      <c r="N6136" s="4"/>
      <c r="O6136" s="4" t="str">
        <f>IFERROR(__xludf.DUMMYFUNCTION("""COMPUTED_VALUE"""),"Per Game")</f>
        <v>Per Game</v>
      </c>
      <c r="P6136" s="4"/>
      <c r="Q6136" s="4"/>
      <c r="R6136" s="4"/>
      <c r="S6136" s="4" t="str">
        <f>IFERROR(__xludf.DUMMYFUNCTION("""COMPUTED_VALUE"""),"Advanced")</f>
        <v>Advanced</v>
      </c>
      <c r="T6136" s="4"/>
      <c r="U6136" s="4"/>
      <c r="V6136" s="4"/>
    </row>
    <row r="6137">
      <c r="A6137" s="4" t="str">
        <f>IFERROR(__xludf.DUMMYFUNCTION("""COMPUTED_VALUE"""),"Rk")</f>
        <v>Rk</v>
      </c>
      <c r="B6137" s="4" t="str">
        <f>IFERROR(__xludf.DUMMYFUNCTION("""COMPUTED_VALUE"""),"Pk")</f>
        <v>Pk</v>
      </c>
      <c r="C6137" s="4" t="str">
        <f>IFERROR(__xludf.DUMMYFUNCTION("""COMPUTED_VALUE"""),"Tm")</f>
        <v>Tm</v>
      </c>
      <c r="D6137" s="4" t="str">
        <f>IFERROR(__xludf.DUMMYFUNCTION("""COMPUTED_VALUE"""),"Player")</f>
        <v>Player</v>
      </c>
      <c r="E6137" s="4" t="str">
        <f>IFERROR(__xludf.DUMMYFUNCTION("""COMPUTED_VALUE"""),"College")</f>
        <v>College</v>
      </c>
      <c r="F6137" s="4" t="str">
        <f>IFERROR(__xludf.DUMMYFUNCTION("""COMPUTED_VALUE"""),"Yrs")</f>
        <v>Yrs</v>
      </c>
      <c r="G6137" s="4" t="str">
        <f>IFERROR(__xludf.DUMMYFUNCTION("""COMPUTED_VALUE"""),"G")</f>
        <v>G</v>
      </c>
      <c r="H6137" s="4" t="str">
        <f>IFERROR(__xludf.DUMMYFUNCTION("""COMPUTED_VALUE"""),"MP")</f>
        <v>MP</v>
      </c>
      <c r="I6137" s="4" t="str">
        <f>IFERROR(__xludf.DUMMYFUNCTION("""COMPUTED_VALUE"""),"PTS")</f>
        <v>PTS</v>
      </c>
      <c r="J6137" s="4" t="str">
        <f>IFERROR(__xludf.DUMMYFUNCTION("""COMPUTED_VALUE"""),"TRB")</f>
        <v>TRB</v>
      </c>
      <c r="K6137" s="4" t="str">
        <f>IFERROR(__xludf.DUMMYFUNCTION("""COMPUTED_VALUE"""),"AST")</f>
        <v>AST</v>
      </c>
      <c r="L6137" s="4" t="str">
        <f>IFERROR(__xludf.DUMMYFUNCTION("""COMPUTED_VALUE"""),"FG%")</f>
        <v>FG%</v>
      </c>
      <c r="M6137" s="4" t="str">
        <f>IFERROR(__xludf.DUMMYFUNCTION("""COMPUTED_VALUE"""),"3P%")</f>
        <v>3P%</v>
      </c>
      <c r="N6137" s="4" t="str">
        <f>IFERROR(__xludf.DUMMYFUNCTION("""COMPUTED_VALUE"""),"FT%")</f>
        <v>FT%</v>
      </c>
      <c r="O6137" s="4" t="str">
        <f>IFERROR(__xludf.DUMMYFUNCTION("""COMPUTED_VALUE"""),"MP")</f>
        <v>MP</v>
      </c>
      <c r="P6137" s="4" t="str">
        <f>IFERROR(__xludf.DUMMYFUNCTION("""COMPUTED_VALUE"""),"PTS")</f>
        <v>PTS</v>
      </c>
      <c r="Q6137" s="4" t="str">
        <f>IFERROR(__xludf.DUMMYFUNCTION("""COMPUTED_VALUE"""),"TRB")</f>
        <v>TRB</v>
      </c>
      <c r="R6137" s="4" t="str">
        <f>IFERROR(__xludf.DUMMYFUNCTION("""COMPUTED_VALUE"""),"AST")</f>
        <v>AST</v>
      </c>
      <c r="S6137" s="4" t="str">
        <f>IFERROR(__xludf.DUMMYFUNCTION("""COMPUTED_VALUE"""),"WS")</f>
        <v>WS</v>
      </c>
      <c r="T6137" s="4" t="str">
        <f>IFERROR(__xludf.DUMMYFUNCTION("""COMPUTED_VALUE"""),"WS/48")</f>
        <v>WS/48</v>
      </c>
      <c r="U6137" s="4" t="str">
        <f>IFERROR(__xludf.DUMMYFUNCTION("""COMPUTED_VALUE"""),"BPM")</f>
        <v>BPM</v>
      </c>
      <c r="V6137" s="4" t="str">
        <f>IFERROR(__xludf.DUMMYFUNCTION("""COMPUTED_VALUE"""),"VORP")</f>
        <v>VORP</v>
      </c>
    </row>
    <row r="6138">
      <c r="A6138" s="4">
        <f>IFERROR(__xludf.DUMMYFUNCTION("""COMPUTED_VALUE"""),169.0)</f>
        <v>169</v>
      </c>
      <c r="B6138" s="4">
        <f>IFERROR(__xludf.DUMMYFUNCTION("""COMPUTED_VALUE"""),169.0)</f>
        <v>169</v>
      </c>
      <c r="C6138" s="4" t="str">
        <f>IFERROR(__xludf.DUMMYFUNCTION("""COMPUTED_VALUE"""),"CLE")</f>
        <v>CLE</v>
      </c>
      <c r="D6138" s="4" t="str">
        <f>IFERROR(__xludf.DUMMYFUNCTION("""COMPUTED_VALUE"""),"Mike Casey")</f>
        <v>Mike Casey</v>
      </c>
      <c r="E6138" s="4" t="str">
        <f>IFERROR(__xludf.DUMMYFUNCTION("""COMPUTED_VALUE"""),"Kentucky")</f>
        <v>Kentucky</v>
      </c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</row>
    <row r="6139">
      <c r="A6139" s="4">
        <f>IFERROR(__xludf.DUMMYFUNCTION("""COMPUTED_VALUE"""),170.0)</f>
        <v>170</v>
      </c>
      <c r="B6139" s="4">
        <f>IFERROR(__xludf.DUMMYFUNCTION("""COMPUTED_VALUE"""),170.0)</f>
        <v>170</v>
      </c>
      <c r="C6139" s="4" t="str">
        <f>IFERROR(__xludf.DUMMYFUNCTION("""COMPUTED_VALUE"""),"BUF")</f>
        <v>BUF</v>
      </c>
      <c r="D6139" s="4" t="str">
        <f>IFERROR(__xludf.DUMMYFUNCTION("""COMPUTED_VALUE"""),"Bill Warner")</f>
        <v>Bill Warner</v>
      </c>
      <c r="E6139" s="4" t="str">
        <f>IFERROR(__xludf.DUMMYFUNCTION("""COMPUTED_VALUE"""),"Arizona")</f>
        <v>Arizona</v>
      </c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</row>
    <row r="6140">
      <c r="A6140" s="4">
        <f>IFERROR(__xludf.DUMMYFUNCTION("""COMPUTED_VALUE"""),171.0)</f>
        <v>171</v>
      </c>
      <c r="B6140" s="4">
        <f>IFERROR(__xludf.DUMMYFUNCTION("""COMPUTED_VALUE"""),171.0)</f>
        <v>171</v>
      </c>
      <c r="C6140" s="4" t="str">
        <f>IFERROR(__xludf.DUMMYFUNCTION("""COMPUTED_VALUE"""),"POR")</f>
        <v>POR</v>
      </c>
      <c r="D6140" s="4" t="str">
        <f>IFERROR(__xludf.DUMMYFUNCTION("""COMPUTED_VALUE"""),"Howard Burford")</f>
        <v>Howard Burford</v>
      </c>
      <c r="E6140" s="4" t="str">
        <f>IFERROR(__xludf.DUMMYFUNCTION("""COMPUTED_VALUE"""),"Gonzaga")</f>
        <v>Gonzaga</v>
      </c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</row>
    <row r="6141">
      <c r="A6141" s="4">
        <f>IFERROR(__xludf.DUMMYFUNCTION("""COMPUTED_VALUE"""),172.0)</f>
        <v>172</v>
      </c>
      <c r="B6141" s="4">
        <f>IFERROR(__xludf.DUMMYFUNCTION("""COMPUTED_VALUE"""),172.0)</f>
        <v>172</v>
      </c>
      <c r="C6141" s="4" t="str">
        <f>IFERROR(__xludf.DUMMYFUNCTION("""COMPUTED_VALUE"""),"ATL")</f>
        <v>ATL</v>
      </c>
      <c r="D6141" s="4" t="str">
        <f>IFERROR(__xludf.DUMMYFUNCTION("""COMPUTED_VALUE"""),"Levi Wyatt")</f>
        <v>Levi Wyatt</v>
      </c>
      <c r="E6141" s="4" t="str">
        <f>IFERROR(__xludf.DUMMYFUNCTION("""COMPUTED_VALUE"""),"Alcorn State")</f>
        <v>Alcorn State</v>
      </c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</row>
    <row r="6142">
      <c r="A6142" s="4">
        <f>IFERROR(__xludf.DUMMYFUNCTION("""COMPUTED_VALUE"""),173.0)</f>
        <v>173</v>
      </c>
      <c r="B6142" s="4">
        <f>IFERROR(__xludf.DUMMYFUNCTION("""COMPUTED_VALUE"""),173.0)</f>
        <v>173</v>
      </c>
      <c r="C6142" s="4" t="str">
        <f>IFERROR(__xludf.DUMMYFUNCTION("""COMPUTED_VALUE"""),"SEA")</f>
        <v>SEA</v>
      </c>
      <c r="D6142" s="4" t="str">
        <f>IFERROR(__xludf.DUMMYFUNCTION("""COMPUTED_VALUE"""),"Jerome Perry")</f>
        <v>Jerome Perry</v>
      </c>
      <c r="E6142" s="4" t="str">
        <f>IFERROR(__xludf.DUMMYFUNCTION("""COMPUTED_VALUE"""),"Western Kentucky")</f>
        <v>Western Kentucky</v>
      </c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</row>
    <row r="6143">
      <c r="A6143" s="4">
        <f>IFERROR(__xludf.DUMMYFUNCTION("""COMPUTED_VALUE"""),174.0)</f>
        <v>174</v>
      </c>
      <c r="B6143" s="4">
        <f>IFERROR(__xludf.DUMMYFUNCTION("""COMPUTED_VALUE"""),174.0)</f>
        <v>174</v>
      </c>
      <c r="C6143" s="4" t="str">
        <f>IFERROR(__xludf.DUMMYFUNCTION("""COMPUTED_VALUE"""),"HOU")</f>
        <v>HOU</v>
      </c>
      <c r="D6143" s="4" t="str">
        <f>IFERROR(__xludf.DUMMYFUNCTION("""COMPUTED_VALUE"""),"Doug Rex")</f>
        <v>Doug Rex</v>
      </c>
      <c r="E6143" s="4" t="str">
        <f>IFERROR(__xludf.DUMMYFUNCTION("""COMPUTED_VALUE"""),"UC Santa Barbara")</f>
        <v>UC Santa Barbara</v>
      </c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</row>
    <row r="6144">
      <c r="A6144" s="4">
        <f>IFERROR(__xludf.DUMMYFUNCTION("""COMPUTED_VALUE"""),175.0)</f>
        <v>175</v>
      </c>
      <c r="B6144" s="4">
        <f>IFERROR(__xludf.DUMMYFUNCTION("""COMPUTED_VALUE"""),175.0)</f>
        <v>175</v>
      </c>
      <c r="C6144" s="4" t="str">
        <f>IFERROR(__xludf.DUMMYFUNCTION("""COMPUTED_VALUE"""),"BAL")</f>
        <v>BAL</v>
      </c>
      <c r="D6144" s="4" t="str">
        <f>IFERROR(__xludf.DUMMYFUNCTION("""COMPUTED_VALUE"""),"Chuck Olkowski")</f>
        <v>Chuck Olkowski</v>
      </c>
      <c r="E6144" s="4" t="str">
        <f>IFERROR(__xludf.DUMMYFUNCTION("""COMPUTED_VALUE"""),"University of Baltimore")</f>
        <v>University of Baltimore</v>
      </c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</row>
    <row r="6145">
      <c r="A6145" s="4">
        <f>IFERROR(__xludf.DUMMYFUNCTION("""COMPUTED_VALUE"""),176.0)</f>
        <v>176</v>
      </c>
      <c r="B6145" s="4">
        <f>IFERROR(__xludf.DUMMYFUNCTION("""COMPUTED_VALUE"""),176.0)</f>
        <v>176</v>
      </c>
      <c r="C6145" s="4" t="str">
        <f>IFERROR(__xludf.DUMMYFUNCTION("""COMPUTED_VALUE"""),"BOS")</f>
        <v>BOS</v>
      </c>
      <c r="D6145" s="4" t="str">
        <f>IFERROR(__xludf.DUMMYFUNCTION("""COMPUTED_VALUE"""),"Reggie Brooks")</f>
        <v>Reggie Brooks</v>
      </c>
      <c r="E6145" s="4" t="str">
        <f>IFERROR(__xludf.DUMMYFUNCTION("""COMPUTED_VALUE"""),"Southern New Hampshire University")</f>
        <v>Southern New Hampshire University</v>
      </c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</row>
    <row r="6146">
      <c r="A6146" s="4">
        <f>IFERROR(__xludf.DUMMYFUNCTION("""COMPUTED_VALUE"""),177.0)</f>
        <v>177</v>
      </c>
      <c r="B6146" s="4">
        <f>IFERROR(__xludf.DUMMYFUNCTION("""COMPUTED_VALUE"""),177.0)</f>
        <v>177</v>
      </c>
      <c r="C6146" s="4" t="str">
        <f>IFERROR(__xludf.DUMMYFUNCTION("""COMPUTED_VALUE"""),"DET")</f>
        <v>DET</v>
      </c>
      <c r="D6146" s="4" t="str">
        <f>IFERROR(__xludf.DUMMYFUNCTION("""COMPUTED_VALUE"""),"Larry Saunders")</f>
        <v>Larry Saunders</v>
      </c>
      <c r="E6146" s="4" t="str">
        <f>IFERROR(__xludf.DUMMYFUNCTION("""COMPUTED_VALUE"""),"Duke")</f>
        <v>Duke</v>
      </c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</row>
    <row r="6147">
      <c r="A6147" s="4">
        <f>IFERROR(__xludf.DUMMYFUNCTION("""COMPUTED_VALUE"""),178.0)</f>
        <v>178</v>
      </c>
      <c r="B6147" s="4">
        <f>IFERROR(__xludf.DUMMYFUNCTION("""COMPUTED_VALUE"""),178.0)</f>
        <v>178</v>
      </c>
      <c r="C6147" s="4" t="str">
        <f>IFERROR(__xludf.DUMMYFUNCTION("""COMPUTED_VALUE"""),"PHI")</f>
        <v>PHI</v>
      </c>
      <c r="D6147" s="4" t="str">
        <f>IFERROR(__xludf.DUMMYFUNCTION("""COMPUTED_VALUE"""),"Dana Pagett")</f>
        <v>Dana Pagett</v>
      </c>
      <c r="E6147" s="4" t="str">
        <f>IFERROR(__xludf.DUMMYFUNCTION("""COMPUTED_VALUE"""),"USC")</f>
        <v>USC</v>
      </c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</row>
    <row r="6148">
      <c r="A6148" s="4">
        <f>IFERROR(__xludf.DUMMYFUNCTION("""COMPUTED_VALUE"""),179.0)</f>
        <v>179</v>
      </c>
      <c r="B6148" s="4">
        <f>IFERROR(__xludf.DUMMYFUNCTION("""COMPUTED_VALUE"""),179.0)</f>
        <v>179</v>
      </c>
      <c r="C6148" s="4" t="str">
        <f>IFERROR(__xludf.DUMMYFUNCTION("""COMPUTED_VALUE"""),"PHO")</f>
        <v>PHO</v>
      </c>
      <c r="D6148" s="4" t="str">
        <f>IFERROR(__xludf.DUMMYFUNCTION("""COMPUTED_VALUE"""),"Paul Litz")</f>
        <v>Paul Litz</v>
      </c>
      <c r="E6148" s="4" t="str">
        <f>IFERROR(__xludf.DUMMYFUNCTION("""COMPUTED_VALUE"""),"Western Carolina University")</f>
        <v>Western Carolina University</v>
      </c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</row>
    <row r="6149">
      <c r="A6149" s="4">
        <f>IFERROR(__xludf.DUMMYFUNCTION("""COMPUTED_VALUE"""),180.0)</f>
        <v>180</v>
      </c>
      <c r="B6149" s="4">
        <f>IFERROR(__xludf.DUMMYFUNCTION("""COMPUTED_VALUE"""),180.0)</f>
        <v>180</v>
      </c>
      <c r="C6149" s="4" t="str">
        <f>IFERROR(__xludf.DUMMYFUNCTION("""COMPUTED_VALUE"""),"CHI")</f>
        <v>CHI</v>
      </c>
      <c r="D6149" s="4" t="str">
        <f>IFERROR(__xludf.DUMMYFUNCTION("""COMPUTED_VALUE"""),"Al Smith")</f>
        <v>Al Smith</v>
      </c>
      <c r="E6149" s="4" t="str">
        <f>IFERROR(__xludf.DUMMYFUNCTION("""COMPUTED_VALUE"""),"Bradley")</f>
        <v>Bradley</v>
      </c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</row>
    <row r="6150">
      <c r="A6150" s="4">
        <f>IFERROR(__xludf.DUMMYFUNCTION("""COMPUTED_VALUE"""),181.0)</f>
        <v>181</v>
      </c>
      <c r="B6150" s="4">
        <f>IFERROR(__xludf.DUMMYFUNCTION("""COMPUTED_VALUE"""),181.0)</f>
        <v>181</v>
      </c>
      <c r="C6150" s="4" t="str">
        <f>IFERROR(__xludf.DUMMYFUNCTION("""COMPUTED_VALUE"""),"NYK")</f>
        <v>NYK</v>
      </c>
      <c r="D6150" s="4" t="str">
        <f>IFERROR(__xludf.DUMMYFUNCTION("""COMPUTED_VALUE"""),"Ken Davis")</f>
        <v>Ken Davis</v>
      </c>
      <c r="E6150" s="4" t="str">
        <f>IFERROR(__xludf.DUMMYFUNCTION("""COMPUTED_VALUE"""),"Georgetown College")</f>
        <v>Georgetown College</v>
      </c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</row>
    <row r="6151">
      <c r="A6151" s="4">
        <f>IFERROR(__xludf.DUMMYFUNCTION("""COMPUTED_VALUE"""),182.0)</f>
        <v>182</v>
      </c>
      <c r="B6151" s="4">
        <f>IFERROR(__xludf.DUMMYFUNCTION("""COMPUTED_VALUE"""),182.0)</f>
        <v>182</v>
      </c>
      <c r="C6151" s="4" t="str">
        <f>IFERROR(__xludf.DUMMYFUNCTION("""COMPUTED_VALUE"""),"MIL")</f>
        <v>MIL</v>
      </c>
      <c r="D6151" s="4" t="str">
        <f>IFERROR(__xludf.DUMMYFUNCTION("""COMPUTED_VALUE"""),"Blaine Henry")</f>
        <v>Blaine Henry</v>
      </c>
      <c r="E6151" s="4" t="str">
        <f>IFERROR(__xludf.DUMMYFUNCTION("""COMPUTED_VALUE"""),"Marshall")</f>
        <v>Marshall</v>
      </c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</row>
    <row r="6152">
      <c r="A6152" s="4"/>
      <c r="B6152" s="4"/>
      <c r="C6152" s="4"/>
      <c r="D6152" s="4" t="str">
        <f>IFERROR(__xludf.DUMMYFUNCTION("""COMPUTED_VALUE"""),"Round 12")</f>
        <v>Round 12</v>
      </c>
      <c r="E6152" s="4"/>
      <c r="F6152" s="4"/>
      <c r="G6152" s="4" t="str">
        <f>IFERROR(__xludf.DUMMYFUNCTION("""COMPUTED_VALUE"""),"Totals")</f>
        <v>Totals</v>
      </c>
      <c r="H6152" s="4"/>
      <c r="I6152" s="4"/>
      <c r="J6152" s="4"/>
      <c r="K6152" s="4"/>
      <c r="L6152" s="4" t="str">
        <f>IFERROR(__xludf.DUMMYFUNCTION("""COMPUTED_VALUE"""),"Shooting")</f>
        <v>Shooting</v>
      </c>
      <c r="M6152" s="4"/>
      <c r="N6152" s="4"/>
      <c r="O6152" s="4" t="str">
        <f>IFERROR(__xludf.DUMMYFUNCTION("""COMPUTED_VALUE"""),"Per Game")</f>
        <v>Per Game</v>
      </c>
      <c r="P6152" s="4"/>
      <c r="Q6152" s="4"/>
      <c r="R6152" s="4"/>
      <c r="S6152" s="4" t="str">
        <f>IFERROR(__xludf.DUMMYFUNCTION("""COMPUTED_VALUE"""),"Advanced")</f>
        <v>Advanced</v>
      </c>
      <c r="T6152" s="4"/>
      <c r="U6152" s="4"/>
      <c r="V6152" s="4"/>
    </row>
    <row r="6153">
      <c r="A6153" s="4" t="str">
        <f>IFERROR(__xludf.DUMMYFUNCTION("""COMPUTED_VALUE"""),"Rk")</f>
        <v>Rk</v>
      </c>
      <c r="B6153" s="4" t="str">
        <f>IFERROR(__xludf.DUMMYFUNCTION("""COMPUTED_VALUE"""),"Pk")</f>
        <v>Pk</v>
      </c>
      <c r="C6153" s="4" t="str">
        <f>IFERROR(__xludf.DUMMYFUNCTION("""COMPUTED_VALUE"""),"Tm")</f>
        <v>Tm</v>
      </c>
      <c r="D6153" s="4" t="str">
        <f>IFERROR(__xludf.DUMMYFUNCTION("""COMPUTED_VALUE"""),"Player")</f>
        <v>Player</v>
      </c>
      <c r="E6153" s="4" t="str">
        <f>IFERROR(__xludf.DUMMYFUNCTION("""COMPUTED_VALUE"""),"College")</f>
        <v>College</v>
      </c>
      <c r="F6153" s="4" t="str">
        <f>IFERROR(__xludf.DUMMYFUNCTION("""COMPUTED_VALUE"""),"Yrs")</f>
        <v>Yrs</v>
      </c>
      <c r="G6153" s="4" t="str">
        <f>IFERROR(__xludf.DUMMYFUNCTION("""COMPUTED_VALUE"""),"G")</f>
        <v>G</v>
      </c>
      <c r="H6153" s="4" t="str">
        <f>IFERROR(__xludf.DUMMYFUNCTION("""COMPUTED_VALUE"""),"MP")</f>
        <v>MP</v>
      </c>
      <c r="I6153" s="4" t="str">
        <f>IFERROR(__xludf.DUMMYFUNCTION("""COMPUTED_VALUE"""),"PTS")</f>
        <v>PTS</v>
      </c>
      <c r="J6153" s="4" t="str">
        <f>IFERROR(__xludf.DUMMYFUNCTION("""COMPUTED_VALUE"""),"TRB")</f>
        <v>TRB</v>
      </c>
      <c r="K6153" s="4" t="str">
        <f>IFERROR(__xludf.DUMMYFUNCTION("""COMPUTED_VALUE"""),"AST")</f>
        <v>AST</v>
      </c>
      <c r="L6153" s="4" t="str">
        <f>IFERROR(__xludf.DUMMYFUNCTION("""COMPUTED_VALUE"""),"FG%")</f>
        <v>FG%</v>
      </c>
      <c r="M6153" s="4" t="str">
        <f>IFERROR(__xludf.DUMMYFUNCTION("""COMPUTED_VALUE"""),"3P%")</f>
        <v>3P%</v>
      </c>
      <c r="N6153" s="4" t="str">
        <f>IFERROR(__xludf.DUMMYFUNCTION("""COMPUTED_VALUE"""),"FT%")</f>
        <v>FT%</v>
      </c>
      <c r="O6153" s="4" t="str">
        <f>IFERROR(__xludf.DUMMYFUNCTION("""COMPUTED_VALUE"""),"MP")</f>
        <v>MP</v>
      </c>
      <c r="P6153" s="4" t="str">
        <f>IFERROR(__xludf.DUMMYFUNCTION("""COMPUTED_VALUE"""),"PTS")</f>
        <v>PTS</v>
      </c>
      <c r="Q6153" s="4" t="str">
        <f>IFERROR(__xludf.DUMMYFUNCTION("""COMPUTED_VALUE"""),"TRB")</f>
        <v>TRB</v>
      </c>
      <c r="R6153" s="4" t="str">
        <f>IFERROR(__xludf.DUMMYFUNCTION("""COMPUTED_VALUE"""),"AST")</f>
        <v>AST</v>
      </c>
      <c r="S6153" s="4" t="str">
        <f>IFERROR(__xludf.DUMMYFUNCTION("""COMPUTED_VALUE"""),"WS")</f>
        <v>WS</v>
      </c>
      <c r="T6153" s="4" t="str">
        <f>IFERROR(__xludf.DUMMYFUNCTION("""COMPUTED_VALUE"""),"WS/48")</f>
        <v>WS/48</v>
      </c>
      <c r="U6153" s="4" t="str">
        <f>IFERROR(__xludf.DUMMYFUNCTION("""COMPUTED_VALUE"""),"BPM")</f>
        <v>BPM</v>
      </c>
      <c r="V6153" s="4" t="str">
        <f>IFERROR(__xludf.DUMMYFUNCTION("""COMPUTED_VALUE"""),"VORP")</f>
        <v>VORP</v>
      </c>
    </row>
    <row r="6154">
      <c r="A6154" s="4">
        <f>IFERROR(__xludf.DUMMYFUNCTION("""COMPUTED_VALUE"""),183.0)</f>
        <v>183</v>
      </c>
      <c r="B6154" s="4">
        <f>IFERROR(__xludf.DUMMYFUNCTION("""COMPUTED_VALUE"""),183.0)</f>
        <v>183</v>
      </c>
      <c r="C6154" s="4" t="str">
        <f>IFERROR(__xludf.DUMMYFUNCTION("""COMPUTED_VALUE"""),"CLE")</f>
        <v>CLE</v>
      </c>
      <c r="D6154" s="4" t="str">
        <f>IFERROR(__xludf.DUMMYFUNCTION("""COMPUTED_VALUE"""),"Doug Hess")</f>
        <v>Doug Hess</v>
      </c>
      <c r="E6154" s="4" t="str">
        <f>IFERROR(__xludf.DUMMYFUNCTION("""COMPUTED_VALUE"""),"Toledo")</f>
        <v>Toledo</v>
      </c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</row>
    <row r="6155">
      <c r="A6155" s="4">
        <f>IFERROR(__xludf.DUMMYFUNCTION("""COMPUTED_VALUE"""),184.0)</f>
        <v>184</v>
      </c>
      <c r="B6155" s="4">
        <f>IFERROR(__xludf.DUMMYFUNCTION("""COMPUTED_VALUE"""),184.0)</f>
        <v>184</v>
      </c>
      <c r="C6155" s="4" t="str">
        <f>IFERROR(__xludf.DUMMYFUNCTION("""COMPUTED_VALUE"""),"BUF")</f>
        <v>BUF</v>
      </c>
      <c r="D6155" s="4" t="str">
        <f>IFERROR(__xludf.DUMMYFUNCTION("""COMPUTED_VALUE"""),"Butch Webster")</f>
        <v>Butch Webster</v>
      </c>
      <c r="E6155" s="4" t="str">
        <f>IFERROR(__xludf.DUMMYFUNCTION("""COMPUTED_VALUE"""),"LSU")</f>
        <v>LSU</v>
      </c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</row>
    <row r="6156">
      <c r="A6156" s="4">
        <f>IFERROR(__xludf.DUMMYFUNCTION("""COMPUTED_VALUE"""),185.0)</f>
        <v>185</v>
      </c>
      <c r="B6156" s="4">
        <f>IFERROR(__xludf.DUMMYFUNCTION("""COMPUTED_VALUE"""),185.0)</f>
        <v>185</v>
      </c>
      <c r="C6156" s="4" t="str">
        <f>IFERROR(__xludf.DUMMYFUNCTION("""COMPUTED_VALUE"""),"POR")</f>
        <v>POR</v>
      </c>
      <c r="D6156" s="4" t="str">
        <f>IFERROR(__xludf.DUMMYFUNCTION("""COMPUTED_VALUE"""),"Don Sechler")</f>
        <v>Don Sechler</v>
      </c>
      <c r="E6156" s="4" t="str">
        <f>IFERROR(__xludf.DUMMYFUNCTION("""COMPUTED_VALUE"""),"Delaware Valley College")</f>
        <v>Delaware Valley College</v>
      </c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</row>
    <row r="6157">
      <c r="A6157" s="4">
        <f>IFERROR(__xludf.DUMMYFUNCTION("""COMPUTED_VALUE"""),186.0)</f>
        <v>186</v>
      </c>
      <c r="B6157" s="4">
        <f>IFERROR(__xludf.DUMMYFUNCTION("""COMPUTED_VALUE"""),186.0)</f>
        <v>186</v>
      </c>
      <c r="C6157" s="4" t="str">
        <f>IFERROR(__xludf.DUMMYFUNCTION("""COMPUTED_VALUE"""),"ATL")</f>
        <v>ATL</v>
      </c>
      <c r="D6157" s="4" t="str">
        <f>IFERROR(__xludf.DUMMYFUNCTION("""COMPUTED_VALUE"""),"Roger Moore")</f>
        <v>Roger Moore</v>
      </c>
      <c r="E6157" s="4" t="str">
        <f>IFERROR(__xludf.DUMMYFUNCTION("""COMPUTED_VALUE"""),"Columbus State University")</f>
        <v>Columbus State University</v>
      </c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</row>
    <row r="6158">
      <c r="A6158" s="4">
        <f>IFERROR(__xludf.DUMMYFUNCTION("""COMPUTED_VALUE"""),187.0)</f>
        <v>187</v>
      </c>
      <c r="B6158" s="4">
        <f>IFERROR(__xludf.DUMMYFUNCTION("""COMPUTED_VALUE"""),187.0)</f>
        <v>187</v>
      </c>
      <c r="C6158" s="4" t="str">
        <f>IFERROR(__xludf.DUMMYFUNCTION("""COMPUTED_VALUE"""),"HOU")</f>
        <v>HOU</v>
      </c>
      <c r="D6158" s="4" t="str">
        <f>IFERROR(__xludf.DUMMYFUNCTION("""COMPUTED_VALUE"""),"Chris Schrobilgen")</f>
        <v>Chris Schrobilgen</v>
      </c>
      <c r="E6158" s="4" t="str">
        <f>IFERROR(__xludf.DUMMYFUNCTION("""COMPUTED_VALUE"""),"USC")</f>
        <v>USC</v>
      </c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</row>
    <row r="6159">
      <c r="A6159" s="4">
        <f>IFERROR(__xludf.DUMMYFUNCTION("""COMPUTED_VALUE"""),188.0)</f>
        <v>188</v>
      </c>
      <c r="B6159" s="4">
        <f>IFERROR(__xludf.DUMMYFUNCTION("""COMPUTED_VALUE"""),188.0)</f>
        <v>188</v>
      </c>
      <c r="C6159" s="4" t="str">
        <f>IFERROR(__xludf.DUMMYFUNCTION("""COMPUTED_VALUE"""),"BAL")</f>
        <v>BAL</v>
      </c>
      <c r="D6159" s="4" t="str">
        <f>IFERROR(__xludf.DUMMYFUNCTION("""COMPUTED_VALUE"""),"Bob Connor")</f>
        <v>Bob Connor</v>
      </c>
      <c r="E6159" s="4" t="str">
        <f>IFERROR(__xludf.DUMMYFUNCTION("""COMPUTED_VALUE"""),"Loyola (MD)")</f>
        <v>Loyola (MD)</v>
      </c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</row>
    <row r="6160">
      <c r="A6160" s="4">
        <f>IFERROR(__xludf.DUMMYFUNCTION("""COMPUTED_VALUE"""),189.0)</f>
        <v>189</v>
      </c>
      <c r="B6160" s="4">
        <f>IFERROR(__xludf.DUMMYFUNCTION("""COMPUTED_VALUE"""),189.0)</f>
        <v>189</v>
      </c>
      <c r="C6160" s="4" t="str">
        <f>IFERROR(__xludf.DUMMYFUNCTION("""COMPUTED_VALUE"""),"BOS")</f>
        <v>BOS</v>
      </c>
      <c r="D6160" s="4" t="str">
        <f>IFERROR(__xludf.DUMMYFUNCTION("""COMPUTED_VALUE"""),"John Dalton")</f>
        <v>John Dalton</v>
      </c>
      <c r="E6160" s="4" t="str">
        <f>IFERROR(__xludf.DUMMYFUNCTION("""COMPUTED_VALUE"""),"Suffolk University")</f>
        <v>Suffolk University</v>
      </c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</row>
    <row r="6161">
      <c r="A6161" s="4">
        <f>IFERROR(__xludf.DUMMYFUNCTION("""COMPUTED_VALUE"""),190.0)</f>
        <v>190</v>
      </c>
      <c r="B6161" s="4">
        <f>IFERROR(__xludf.DUMMYFUNCTION("""COMPUTED_VALUE"""),190.0)</f>
        <v>190</v>
      </c>
      <c r="C6161" s="4" t="str">
        <f>IFERROR(__xludf.DUMMYFUNCTION("""COMPUTED_VALUE"""),"DET")</f>
        <v>DET</v>
      </c>
      <c r="D6161" s="4" t="str">
        <f>IFERROR(__xludf.DUMMYFUNCTION("""COMPUTED_VALUE"""),"Bob Horn")</f>
        <v>Bob Horn</v>
      </c>
      <c r="E6161" s="4" t="str">
        <f>IFERROR(__xludf.DUMMYFUNCTION("""COMPUTED_VALUE"""),"Drake University")</f>
        <v>Drake University</v>
      </c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</row>
    <row r="6162">
      <c r="A6162" s="4">
        <f>IFERROR(__xludf.DUMMYFUNCTION("""COMPUTED_VALUE"""),191.0)</f>
        <v>191</v>
      </c>
      <c r="B6162" s="4">
        <f>IFERROR(__xludf.DUMMYFUNCTION("""COMPUTED_VALUE"""),191.0)</f>
        <v>191</v>
      </c>
      <c r="C6162" s="4" t="str">
        <f>IFERROR(__xludf.DUMMYFUNCTION("""COMPUTED_VALUE"""),"PHI")</f>
        <v>PHI</v>
      </c>
      <c r="D6162" s="4" t="str">
        <f>IFERROR(__xludf.DUMMYFUNCTION("""COMPUTED_VALUE"""),"Ken Kowall")</f>
        <v>Ken Kowall</v>
      </c>
      <c r="E6162" s="4" t="str">
        <f>IFERROR(__xludf.DUMMYFUNCTION("""COMPUTED_VALUE"""),"Ohio University")</f>
        <v>Ohio University</v>
      </c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</row>
    <row r="6163">
      <c r="A6163" s="4">
        <f>IFERROR(__xludf.DUMMYFUNCTION("""COMPUTED_VALUE"""),192.0)</f>
        <v>192</v>
      </c>
      <c r="B6163" s="4">
        <f>IFERROR(__xludf.DUMMYFUNCTION("""COMPUTED_VALUE"""),192.0)</f>
        <v>192</v>
      </c>
      <c r="C6163" s="4" t="str">
        <f>IFERROR(__xludf.DUMMYFUNCTION("""COMPUTED_VALUE"""),"PHO")</f>
        <v>PHO</v>
      </c>
      <c r="D6163" s="4" t="str">
        <f>IFERROR(__xludf.DUMMYFUNCTION("""COMPUTED_VALUE"""),"Floyd Mason")</f>
        <v>Floyd Mason</v>
      </c>
      <c r="E6163" s="4" t="str">
        <f>IFERROR(__xludf.DUMMYFUNCTION("""COMPUTED_VALUE"""),"Alcorn State")</f>
        <v>Alcorn State</v>
      </c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</row>
    <row r="6164">
      <c r="A6164" s="4">
        <f>IFERROR(__xludf.DUMMYFUNCTION("""COMPUTED_VALUE"""),193.0)</f>
        <v>193</v>
      </c>
      <c r="B6164" s="4">
        <f>IFERROR(__xludf.DUMMYFUNCTION("""COMPUTED_VALUE"""),193.0)</f>
        <v>193</v>
      </c>
      <c r="C6164" s="4" t="str">
        <f>IFERROR(__xludf.DUMMYFUNCTION("""COMPUTED_VALUE"""),"CHI")</f>
        <v>CHI</v>
      </c>
      <c r="D6164" s="4" t="str">
        <f>IFERROR(__xludf.DUMMYFUNCTION("""COMPUTED_VALUE"""),"Ken Riley")</f>
        <v>Ken Riley</v>
      </c>
      <c r="E6164" s="4" t="str">
        <f>IFERROR(__xludf.DUMMYFUNCTION("""COMPUTED_VALUE"""),"Middle Tennessee")</f>
        <v>Middle Tennessee</v>
      </c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</row>
    <row r="6165">
      <c r="A6165" s="4">
        <f>IFERROR(__xludf.DUMMYFUNCTION("""COMPUTED_VALUE"""),194.0)</f>
        <v>194</v>
      </c>
      <c r="B6165" s="4">
        <f>IFERROR(__xludf.DUMMYFUNCTION("""COMPUTED_VALUE"""),194.0)</f>
        <v>194</v>
      </c>
      <c r="C6165" s="4" t="str">
        <f>IFERROR(__xludf.DUMMYFUNCTION("""COMPUTED_VALUE"""),"NYK")</f>
        <v>NYK</v>
      </c>
      <c r="D6165" s="4" t="str">
        <f>IFERROR(__xludf.DUMMYFUNCTION("""COMPUTED_VALUE"""),"Carl Greenfield")</f>
        <v>Carl Greenfield</v>
      </c>
      <c r="E6165" s="4" t="str">
        <f>IFERROR(__xludf.DUMMYFUNCTION("""COMPUTED_VALUE"""),"Eastern Kentucky University")</f>
        <v>Eastern Kentucky University</v>
      </c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</row>
    <row r="6166">
      <c r="A6166" s="4">
        <f>IFERROR(__xludf.DUMMYFUNCTION("""COMPUTED_VALUE"""),195.0)</f>
        <v>195</v>
      </c>
      <c r="B6166" s="4">
        <f>IFERROR(__xludf.DUMMYFUNCTION("""COMPUTED_VALUE"""),195.0)</f>
        <v>195</v>
      </c>
      <c r="C6166" s="4" t="str">
        <f>IFERROR(__xludf.DUMMYFUNCTION("""COMPUTED_VALUE"""),"MIL")</f>
        <v>MIL</v>
      </c>
      <c r="D6166" s="4" t="str">
        <f>IFERROR(__xludf.DUMMYFUNCTION("""COMPUTED_VALUE"""),"Gene Mumford")</f>
        <v>Gene Mumford</v>
      </c>
      <c r="E6166" s="4" t="str">
        <f>IFERROR(__xludf.DUMMYFUNCTION("""COMPUTED_VALUE"""),"University of Scranton")</f>
        <v>University of Scranton</v>
      </c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</row>
    <row r="6167">
      <c r="A6167" s="4"/>
      <c r="B6167" s="4"/>
      <c r="C6167" s="4"/>
      <c r="D6167" s="4" t="str">
        <f>IFERROR(__xludf.DUMMYFUNCTION("""COMPUTED_VALUE"""),"Round 13")</f>
        <v>Round 13</v>
      </c>
      <c r="E6167" s="4"/>
      <c r="F6167" s="4"/>
      <c r="G6167" s="4" t="str">
        <f>IFERROR(__xludf.DUMMYFUNCTION("""COMPUTED_VALUE"""),"Totals")</f>
        <v>Totals</v>
      </c>
      <c r="H6167" s="4"/>
      <c r="I6167" s="4"/>
      <c r="J6167" s="4"/>
      <c r="K6167" s="4"/>
      <c r="L6167" s="4" t="str">
        <f>IFERROR(__xludf.DUMMYFUNCTION("""COMPUTED_VALUE"""),"Shooting")</f>
        <v>Shooting</v>
      </c>
      <c r="M6167" s="4"/>
      <c r="N6167" s="4"/>
      <c r="O6167" s="4" t="str">
        <f>IFERROR(__xludf.DUMMYFUNCTION("""COMPUTED_VALUE"""),"Per Game")</f>
        <v>Per Game</v>
      </c>
      <c r="P6167" s="4"/>
      <c r="Q6167" s="4"/>
      <c r="R6167" s="4"/>
      <c r="S6167" s="4" t="str">
        <f>IFERROR(__xludf.DUMMYFUNCTION("""COMPUTED_VALUE"""),"Advanced")</f>
        <v>Advanced</v>
      </c>
      <c r="T6167" s="4"/>
      <c r="U6167" s="4"/>
      <c r="V6167" s="4"/>
    </row>
    <row r="6168">
      <c r="A6168" s="4" t="str">
        <f>IFERROR(__xludf.DUMMYFUNCTION("""COMPUTED_VALUE"""),"Rk")</f>
        <v>Rk</v>
      </c>
      <c r="B6168" s="4" t="str">
        <f>IFERROR(__xludf.DUMMYFUNCTION("""COMPUTED_VALUE"""),"Pk")</f>
        <v>Pk</v>
      </c>
      <c r="C6168" s="4" t="str">
        <f>IFERROR(__xludf.DUMMYFUNCTION("""COMPUTED_VALUE"""),"Tm")</f>
        <v>Tm</v>
      </c>
      <c r="D6168" s="4" t="str">
        <f>IFERROR(__xludf.DUMMYFUNCTION("""COMPUTED_VALUE"""),"Player")</f>
        <v>Player</v>
      </c>
      <c r="E6168" s="4" t="str">
        <f>IFERROR(__xludf.DUMMYFUNCTION("""COMPUTED_VALUE"""),"College")</f>
        <v>College</v>
      </c>
      <c r="F6168" s="4" t="str">
        <f>IFERROR(__xludf.DUMMYFUNCTION("""COMPUTED_VALUE"""),"Yrs")</f>
        <v>Yrs</v>
      </c>
      <c r="G6168" s="4" t="str">
        <f>IFERROR(__xludf.DUMMYFUNCTION("""COMPUTED_VALUE"""),"G")</f>
        <v>G</v>
      </c>
      <c r="H6168" s="4" t="str">
        <f>IFERROR(__xludf.DUMMYFUNCTION("""COMPUTED_VALUE"""),"MP")</f>
        <v>MP</v>
      </c>
      <c r="I6168" s="4" t="str">
        <f>IFERROR(__xludf.DUMMYFUNCTION("""COMPUTED_VALUE"""),"PTS")</f>
        <v>PTS</v>
      </c>
      <c r="J6168" s="4" t="str">
        <f>IFERROR(__xludf.DUMMYFUNCTION("""COMPUTED_VALUE"""),"TRB")</f>
        <v>TRB</v>
      </c>
      <c r="K6168" s="4" t="str">
        <f>IFERROR(__xludf.DUMMYFUNCTION("""COMPUTED_VALUE"""),"AST")</f>
        <v>AST</v>
      </c>
      <c r="L6168" s="4" t="str">
        <f>IFERROR(__xludf.DUMMYFUNCTION("""COMPUTED_VALUE"""),"FG%")</f>
        <v>FG%</v>
      </c>
      <c r="M6168" s="4" t="str">
        <f>IFERROR(__xludf.DUMMYFUNCTION("""COMPUTED_VALUE"""),"3P%")</f>
        <v>3P%</v>
      </c>
      <c r="N6168" s="4" t="str">
        <f>IFERROR(__xludf.DUMMYFUNCTION("""COMPUTED_VALUE"""),"FT%")</f>
        <v>FT%</v>
      </c>
      <c r="O6168" s="4" t="str">
        <f>IFERROR(__xludf.DUMMYFUNCTION("""COMPUTED_VALUE"""),"MP")</f>
        <v>MP</v>
      </c>
      <c r="P6168" s="4" t="str">
        <f>IFERROR(__xludf.DUMMYFUNCTION("""COMPUTED_VALUE"""),"PTS")</f>
        <v>PTS</v>
      </c>
      <c r="Q6168" s="4" t="str">
        <f>IFERROR(__xludf.DUMMYFUNCTION("""COMPUTED_VALUE"""),"TRB")</f>
        <v>TRB</v>
      </c>
      <c r="R6168" s="4" t="str">
        <f>IFERROR(__xludf.DUMMYFUNCTION("""COMPUTED_VALUE"""),"AST")</f>
        <v>AST</v>
      </c>
      <c r="S6168" s="4" t="str">
        <f>IFERROR(__xludf.DUMMYFUNCTION("""COMPUTED_VALUE"""),"WS")</f>
        <v>WS</v>
      </c>
      <c r="T6168" s="4" t="str">
        <f>IFERROR(__xludf.DUMMYFUNCTION("""COMPUTED_VALUE"""),"WS/48")</f>
        <v>WS/48</v>
      </c>
      <c r="U6168" s="4" t="str">
        <f>IFERROR(__xludf.DUMMYFUNCTION("""COMPUTED_VALUE"""),"BPM")</f>
        <v>BPM</v>
      </c>
      <c r="V6168" s="4" t="str">
        <f>IFERROR(__xludf.DUMMYFUNCTION("""COMPUTED_VALUE"""),"VORP")</f>
        <v>VORP</v>
      </c>
    </row>
    <row r="6169">
      <c r="A6169" s="4">
        <f>IFERROR(__xludf.DUMMYFUNCTION("""COMPUTED_VALUE"""),196.0)</f>
        <v>196</v>
      </c>
      <c r="B6169" s="4">
        <f>IFERROR(__xludf.DUMMYFUNCTION("""COMPUTED_VALUE"""),196.0)</f>
        <v>196</v>
      </c>
      <c r="C6169" s="4" t="str">
        <f>IFERROR(__xludf.DUMMYFUNCTION("""COMPUTED_VALUE"""),"CLE")</f>
        <v>CLE</v>
      </c>
      <c r="D6169" s="4" t="str">
        <f>IFERROR(__xludf.DUMMYFUNCTION("""COMPUTED_VALUE"""),"Bobby Jones")</f>
        <v>Bobby Jones</v>
      </c>
      <c r="E6169" s="4" t="str">
        <f>IFERROR(__xludf.DUMMYFUNCTION("""COMPUTED_VALUE"""),"Drake University")</f>
        <v>Drake University</v>
      </c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</row>
    <row r="6170">
      <c r="A6170" s="4">
        <f>IFERROR(__xludf.DUMMYFUNCTION("""COMPUTED_VALUE"""),197.0)</f>
        <v>197</v>
      </c>
      <c r="B6170" s="4">
        <f>IFERROR(__xludf.DUMMYFUNCTION("""COMPUTED_VALUE"""),197.0)</f>
        <v>197</v>
      </c>
      <c r="C6170" s="4" t="str">
        <f>IFERROR(__xludf.DUMMYFUNCTION("""COMPUTED_VALUE"""),"BUF")</f>
        <v>BUF</v>
      </c>
      <c r="D6170" s="4" t="str">
        <f>IFERROR(__xludf.DUMMYFUNCTION("""COMPUTED_VALUE"""),"Pete Smith")</f>
        <v>Pete Smith</v>
      </c>
      <c r="E6170" s="4" t="str">
        <f>IFERROR(__xludf.DUMMYFUNCTION("""COMPUTED_VALUE"""),"Valdosta State University")</f>
        <v>Valdosta State University</v>
      </c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</row>
    <row r="6171">
      <c r="A6171" s="4">
        <f>IFERROR(__xludf.DUMMYFUNCTION("""COMPUTED_VALUE"""),198.0)</f>
        <v>198</v>
      </c>
      <c r="B6171" s="4">
        <f>IFERROR(__xludf.DUMMYFUNCTION("""COMPUTED_VALUE"""),198.0)</f>
        <v>198</v>
      </c>
      <c r="C6171" s="4" t="str">
        <f>IFERROR(__xludf.DUMMYFUNCTION("""COMPUTED_VALUE"""),"ATL")</f>
        <v>ATL</v>
      </c>
      <c r="D6171" s="4" t="str">
        <f>IFERROR(__xludf.DUMMYFUNCTION("""COMPUTED_VALUE"""),"Ed Jenkins")</f>
        <v>Ed Jenkins</v>
      </c>
      <c r="E6171" s="4" t="str">
        <f>IFERROR(__xludf.DUMMYFUNCTION("""COMPUTED_VALUE"""),"Shaw College (MI)")</f>
        <v>Shaw College (MI)</v>
      </c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</row>
    <row r="6172">
      <c r="A6172" s="4">
        <f>IFERROR(__xludf.DUMMYFUNCTION("""COMPUTED_VALUE"""),199.0)</f>
        <v>199</v>
      </c>
      <c r="B6172" s="4">
        <f>IFERROR(__xludf.DUMMYFUNCTION("""COMPUTED_VALUE"""),199.0)</f>
        <v>199</v>
      </c>
      <c r="C6172" s="4" t="str">
        <f>IFERROR(__xludf.DUMMYFUNCTION("""COMPUTED_VALUE"""),"HOU")</f>
        <v>HOU</v>
      </c>
      <c r="D6172" s="4" t="str">
        <f>IFERROR(__xludf.DUMMYFUNCTION("""COMPUTED_VALUE"""),"Lee McCullough")</f>
        <v>Lee McCullough</v>
      </c>
      <c r="E6172" s="4" t="str">
        <f>IFERROR(__xludf.DUMMYFUNCTION("""COMPUTED_VALUE"""),"Indiana")</f>
        <v>Indiana</v>
      </c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</row>
    <row r="6173">
      <c r="A6173" s="4">
        <f>IFERROR(__xludf.DUMMYFUNCTION("""COMPUTED_VALUE"""),200.0)</f>
        <v>200</v>
      </c>
      <c r="B6173" s="4">
        <f>IFERROR(__xludf.DUMMYFUNCTION("""COMPUTED_VALUE"""),200.0)</f>
        <v>200</v>
      </c>
      <c r="C6173" s="4" t="str">
        <f>IFERROR(__xludf.DUMMYFUNCTION("""COMPUTED_VALUE"""),"BAL")</f>
        <v>BAL</v>
      </c>
      <c r="D6173" s="4" t="str">
        <f>IFERROR(__xludf.DUMMYFUNCTION("""COMPUTED_VALUE"""),"Tom Crosswhite")</f>
        <v>Tom Crosswhite</v>
      </c>
      <c r="E6173" s="4" t="str">
        <f>IFERROR(__xludf.DUMMYFUNCTION("""COMPUTED_VALUE"""),"Dayton")</f>
        <v>Dayton</v>
      </c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</row>
    <row r="6174">
      <c r="A6174" s="4">
        <f>IFERROR(__xludf.DUMMYFUNCTION("""COMPUTED_VALUE"""),201.0)</f>
        <v>201</v>
      </c>
      <c r="B6174" s="4">
        <f>IFERROR(__xludf.DUMMYFUNCTION("""COMPUTED_VALUE"""),201.0)</f>
        <v>201</v>
      </c>
      <c r="C6174" s="4" t="str">
        <f>IFERROR(__xludf.DUMMYFUNCTION("""COMPUTED_VALUE"""),"BOS")</f>
        <v>BOS</v>
      </c>
      <c r="D6174" s="4" t="str">
        <f>IFERROR(__xludf.DUMMYFUNCTION("""COMPUTED_VALUE"""),"Leroy Chalk")</f>
        <v>Leroy Chalk</v>
      </c>
      <c r="E6174" s="4" t="str">
        <f>IFERROR(__xludf.DUMMYFUNCTION("""COMPUTED_VALUE"""),"Nebraska")</f>
        <v>Nebraska</v>
      </c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</row>
    <row r="6175">
      <c r="A6175" s="4">
        <f>IFERROR(__xludf.DUMMYFUNCTION("""COMPUTED_VALUE"""),202.0)</f>
        <v>202</v>
      </c>
      <c r="B6175" s="4">
        <f>IFERROR(__xludf.DUMMYFUNCTION("""COMPUTED_VALUE"""),202.0)</f>
        <v>202</v>
      </c>
      <c r="C6175" s="4" t="str">
        <f>IFERROR(__xludf.DUMMYFUNCTION("""COMPUTED_VALUE"""),"DET")</f>
        <v>DET</v>
      </c>
      <c r="D6175" s="4" t="str">
        <f>IFERROR(__xludf.DUMMYFUNCTION("""COMPUTED_VALUE"""),"Willie Roberson")</f>
        <v>Willie Roberson</v>
      </c>
      <c r="E6175" s="4" t="str">
        <f>IFERROR(__xludf.DUMMYFUNCTION("""COMPUTED_VALUE"""),"Wyoming")</f>
        <v>Wyoming</v>
      </c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</row>
    <row r="6176">
      <c r="A6176" s="4">
        <f>IFERROR(__xludf.DUMMYFUNCTION("""COMPUTED_VALUE"""),203.0)</f>
        <v>203</v>
      </c>
      <c r="B6176" s="4">
        <f>IFERROR(__xludf.DUMMYFUNCTION("""COMPUTED_VALUE"""),203.0)</f>
        <v>203</v>
      </c>
      <c r="C6176" s="4" t="str">
        <f>IFERROR(__xludf.DUMMYFUNCTION("""COMPUTED_VALUE"""),"PHI")</f>
        <v>PHI</v>
      </c>
      <c r="D6176" s="4" t="str">
        <f>IFERROR(__xludf.DUMMYFUNCTION("""COMPUTED_VALUE"""),"Hank Commodore")</f>
        <v>Hank Commodore</v>
      </c>
      <c r="E6176" s="4" t="str">
        <f>IFERROR(__xludf.DUMMYFUNCTION("""COMPUTED_VALUE"""),"Northwestern Oklahoma State University")</f>
        <v>Northwestern Oklahoma State University</v>
      </c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</row>
    <row r="6177">
      <c r="A6177" s="4">
        <f>IFERROR(__xludf.DUMMYFUNCTION("""COMPUTED_VALUE"""),204.0)</f>
        <v>204</v>
      </c>
      <c r="B6177" s="4">
        <f>IFERROR(__xludf.DUMMYFUNCTION("""COMPUTED_VALUE"""),204.0)</f>
        <v>204</v>
      </c>
      <c r="C6177" s="4" t="str">
        <f>IFERROR(__xludf.DUMMYFUNCTION("""COMPUTED_VALUE"""),"PHO")</f>
        <v>PHO</v>
      </c>
      <c r="D6177" s="4" t="str">
        <f>IFERROR(__xludf.DUMMYFUNCTION("""COMPUTED_VALUE"""),"Ron Dorsey")</f>
        <v>Ron Dorsey</v>
      </c>
      <c r="E6177" s="4" t="str">
        <f>IFERROR(__xludf.DUMMYFUNCTION("""COMPUTED_VALUE"""),"Tennessee State")</f>
        <v>Tennessee State</v>
      </c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</row>
    <row r="6178">
      <c r="A6178" s="4">
        <f>IFERROR(__xludf.DUMMYFUNCTION("""COMPUTED_VALUE"""),205.0)</f>
        <v>205</v>
      </c>
      <c r="B6178" s="4">
        <f>IFERROR(__xludf.DUMMYFUNCTION("""COMPUTED_VALUE"""),205.0)</f>
        <v>205</v>
      </c>
      <c r="C6178" s="4" t="str">
        <f>IFERROR(__xludf.DUMMYFUNCTION("""COMPUTED_VALUE"""),"CHI")</f>
        <v>CHI</v>
      </c>
      <c r="D6178" s="4" t="str">
        <f>IFERROR(__xludf.DUMMYFUNCTION("""COMPUTED_VALUE"""),"Ed Goode")</f>
        <v>Ed Goode</v>
      </c>
      <c r="E6178" s="4" t="str">
        <f>IFERROR(__xludf.DUMMYFUNCTION("""COMPUTED_VALUE"""),"DePaul")</f>
        <v>DePaul</v>
      </c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</row>
    <row r="6179">
      <c r="A6179" s="4">
        <f>IFERROR(__xludf.DUMMYFUNCTION("""COMPUTED_VALUE"""),206.0)</f>
        <v>206</v>
      </c>
      <c r="B6179" s="4">
        <f>IFERROR(__xludf.DUMMYFUNCTION("""COMPUTED_VALUE"""),206.0)</f>
        <v>206</v>
      </c>
      <c r="C6179" s="4" t="str">
        <f>IFERROR(__xludf.DUMMYFUNCTION("""COMPUTED_VALUE"""),"NYK")</f>
        <v>NYK</v>
      </c>
      <c r="D6179" s="4" t="str">
        <f>IFERROR(__xludf.DUMMYFUNCTION("""COMPUTED_VALUE"""),"Larry Duckworth")</f>
        <v>Larry Duckworth</v>
      </c>
      <c r="E6179" s="4" t="str">
        <f>IFERROR(__xludf.DUMMYFUNCTION("""COMPUTED_VALUE"""),"Henderson State University")</f>
        <v>Henderson State University</v>
      </c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</row>
    <row r="6180">
      <c r="A6180" s="4">
        <f>IFERROR(__xludf.DUMMYFUNCTION("""COMPUTED_VALUE"""),207.0)</f>
        <v>207</v>
      </c>
      <c r="B6180" s="4">
        <f>IFERROR(__xludf.DUMMYFUNCTION("""COMPUTED_VALUE"""),207.0)</f>
        <v>207</v>
      </c>
      <c r="C6180" s="4" t="str">
        <f>IFERROR(__xludf.DUMMYFUNCTION("""COMPUTED_VALUE"""),"MIL")</f>
        <v>MIL</v>
      </c>
      <c r="D6180" s="4" t="str">
        <f>IFERROR(__xludf.DUMMYFUNCTION("""COMPUTED_VALUE"""),"Pierre Russell")</f>
        <v>Pierre Russell</v>
      </c>
      <c r="E6180" s="4" t="str">
        <f>IFERROR(__xludf.DUMMYFUNCTION("""COMPUTED_VALUE"""),"Kansas")</f>
        <v>Kansas</v>
      </c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</row>
    <row r="6181">
      <c r="A6181" s="4"/>
      <c r="B6181" s="4"/>
      <c r="C6181" s="4"/>
      <c r="D6181" s="4" t="str">
        <f>IFERROR(__xludf.DUMMYFUNCTION("""COMPUTED_VALUE"""),"Round 14")</f>
        <v>Round 14</v>
      </c>
      <c r="E6181" s="4"/>
      <c r="F6181" s="4"/>
      <c r="G6181" s="4" t="str">
        <f>IFERROR(__xludf.DUMMYFUNCTION("""COMPUTED_VALUE"""),"Totals")</f>
        <v>Totals</v>
      </c>
      <c r="H6181" s="4"/>
      <c r="I6181" s="4"/>
      <c r="J6181" s="4"/>
      <c r="K6181" s="4"/>
      <c r="L6181" s="4" t="str">
        <f>IFERROR(__xludf.DUMMYFUNCTION("""COMPUTED_VALUE"""),"Shooting")</f>
        <v>Shooting</v>
      </c>
      <c r="M6181" s="4"/>
      <c r="N6181" s="4"/>
      <c r="O6181" s="4" t="str">
        <f>IFERROR(__xludf.DUMMYFUNCTION("""COMPUTED_VALUE"""),"Per Game")</f>
        <v>Per Game</v>
      </c>
      <c r="P6181" s="4"/>
      <c r="Q6181" s="4"/>
      <c r="R6181" s="4"/>
      <c r="S6181" s="4" t="str">
        <f>IFERROR(__xludf.DUMMYFUNCTION("""COMPUTED_VALUE"""),"Advanced")</f>
        <v>Advanced</v>
      </c>
      <c r="T6181" s="4"/>
      <c r="U6181" s="4"/>
      <c r="V6181" s="4"/>
    </row>
    <row r="6182">
      <c r="A6182" s="4" t="str">
        <f>IFERROR(__xludf.DUMMYFUNCTION("""COMPUTED_VALUE"""),"Rk")</f>
        <v>Rk</v>
      </c>
      <c r="B6182" s="4" t="str">
        <f>IFERROR(__xludf.DUMMYFUNCTION("""COMPUTED_VALUE"""),"Pk")</f>
        <v>Pk</v>
      </c>
      <c r="C6182" s="4" t="str">
        <f>IFERROR(__xludf.DUMMYFUNCTION("""COMPUTED_VALUE"""),"Tm")</f>
        <v>Tm</v>
      </c>
      <c r="D6182" s="4" t="str">
        <f>IFERROR(__xludf.DUMMYFUNCTION("""COMPUTED_VALUE"""),"Player")</f>
        <v>Player</v>
      </c>
      <c r="E6182" s="4" t="str">
        <f>IFERROR(__xludf.DUMMYFUNCTION("""COMPUTED_VALUE"""),"College")</f>
        <v>College</v>
      </c>
      <c r="F6182" s="4" t="str">
        <f>IFERROR(__xludf.DUMMYFUNCTION("""COMPUTED_VALUE"""),"Yrs")</f>
        <v>Yrs</v>
      </c>
      <c r="G6182" s="4" t="str">
        <f>IFERROR(__xludf.DUMMYFUNCTION("""COMPUTED_VALUE"""),"G")</f>
        <v>G</v>
      </c>
      <c r="H6182" s="4" t="str">
        <f>IFERROR(__xludf.DUMMYFUNCTION("""COMPUTED_VALUE"""),"MP")</f>
        <v>MP</v>
      </c>
      <c r="I6182" s="4" t="str">
        <f>IFERROR(__xludf.DUMMYFUNCTION("""COMPUTED_VALUE"""),"PTS")</f>
        <v>PTS</v>
      </c>
      <c r="J6182" s="4" t="str">
        <f>IFERROR(__xludf.DUMMYFUNCTION("""COMPUTED_VALUE"""),"TRB")</f>
        <v>TRB</v>
      </c>
      <c r="K6182" s="4" t="str">
        <f>IFERROR(__xludf.DUMMYFUNCTION("""COMPUTED_VALUE"""),"AST")</f>
        <v>AST</v>
      </c>
      <c r="L6182" s="4" t="str">
        <f>IFERROR(__xludf.DUMMYFUNCTION("""COMPUTED_VALUE"""),"FG%")</f>
        <v>FG%</v>
      </c>
      <c r="M6182" s="4" t="str">
        <f>IFERROR(__xludf.DUMMYFUNCTION("""COMPUTED_VALUE"""),"3P%")</f>
        <v>3P%</v>
      </c>
      <c r="N6182" s="4" t="str">
        <f>IFERROR(__xludf.DUMMYFUNCTION("""COMPUTED_VALUE"""),"FT%")</f>
        <v>FT%</v>
      </c>
      <c r="O6182" s="4" t="str">
        <f>IFERROR(__xludf.DUMMYFUNCTION("""COMPUTED_VALUE"""),"MP")</f>
        <v>MP</v>
      </c>
      <c r="P6182" s="4" t="str">
        <f>IFERROR(__xludf.DUMMYFUNCTION("""COMPUTED_VALUE"""),"PTS")</f>
        <v>PTS</v>
      </c>
      <c r="Q6182" s="4" t="str">
        <f>IFERROR(__xludf.DUMMYFUNCTION("""COMPUTED_VALUE"""),"TRB")</f>
        <v>TRB</v>
      </c>
      <c r="R6182" s="4" t="str">
        <f>IFERROR(__xludf.DUMMYFUNCTION("""COMPUTED_VALUE"""),"AST")</f>
        <v>AST</v>
      </c>
      <c r="S6182" s="4" t="str">
        <f>IFERROR(__xludf.DUMMYFUNCTION("""COMPUTED_VALUE"""),"WS")</f>
        <v>WS</v>
      </c>
      <c r="T6182" s="4" t="str">
        <f>IFERROR(__xludf.DUMMYFUNCTION("""COMPUTED_VALUE"""),"WS/48")</f>
        <v>WS/48</v>
      </c>
      <c r="U6182" s="4" t="str">
        <f>IFERROR(__xludf.DUMMYFUNCTION("""COMPUTED_VALUE"""),"BPM")</f>
        <v>BPM</v>
      </c>
      <c r="V6182" s="4" t="str">
        <f>IFERROR(__xludf.DUMMYFUNCTION("""COMPUTED_VALUE"""),"VORP")</f>
        <v>VORP</v>
      </c>
    </row>
    <row r="6183">
      <c r="A6183" s="4">
        <f>IFERROR(__xludf.DUMMYFUNCTION("""COMPUTED_VALUE"""),208.0)</f>
        <v>208</v>
      </c>
      <c r="B6183" s="4">
        <f>IFERROR(__xludf.DUMMYFUNCTION("""COMPUTED_VALUE"""),208.0)</f>
        <v>208</v>
      </c>
      <c r="C6183" s="4" t="str">
        <f>IFERROR(__xludf.DUMMYFUNCTION("""COMPUTED_VALUE"""),"CLE")</f>
        <v>CLE</v>
      </c>
      <c r="D6183" s="4" t="str">
        <f>IFERROR(__xludf.DUMMYFUNCTION("""COMPUTED_VALUE"""),"Bubbles Harris")</f>
        <v>Bubbles Harris</v>
      </c>
      <c r="E6183" s="4" t="str">
        <f>IFERROR(__xludf.DUMMYFUNCTION("""COMPUTED_VALUE"""),"Indiana")</f>
        <v>Indiana</v>
      </c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</row>
    <row r="6184">
      <c r="A6184" s="4">
        <f>IFERROR(__xludf.DUMMYFUNCTION("""COMPUTED_VALUE"""),209.0)</f>
        <v>209</v>
      </c>
      <c r="B6184" s="4">
        <f>IFERROR(__xludf.DUMMYFUNCTION("""COMPUTED_VALUE"""),209.0)</f>
        <v>209</v>
      </c>
      <c r="C6184" s="4" t="str">
        <f>IFERROR(__xludf.DUMMYFUNCTION("""COMPUTED_VALUE"""),"BUF")</f>
        <v>BUF</v>
      </c>
      <c r="D6184" s="4" t="str">
        <f>IFERROR(__xludf.DUMMYFUNCTION("""COMPUTED_VALUE"""),"Ray Lavender")</f>
        <v>Ray Lavender</v>
      </c>
      <c r="E6184" s="4" t="str">
        <f>IFERROR(__xludf.DUMMYFUNCTION("""COMPUTED_VALUE"""),"Drury University")</f>
        <v>Drury University</v>
      </c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</row>
    <row r="6185">
      <c r="A6185" s="4">
        <f>IFERROR(__xludf.DUMMYFUNCTION("""COMPUTED_VALUE"""),210.0)</f>
        <v>210</v>
      </c>
      <c r="B6185" s="4">
        <f>IFERROR(__xludf.DUMMYFUNCTION("""COMPUTED_VALUE"""),210.0)</f>
        <v>210</v>
      </c>
      <c r="C6185" s="4" t="str">
        <f>IFERROR(__xludf.DUMMYFUNCTION("""COMPUTED_VALUE"""),"HOU")</f>
        <v>HOU</v>
      </c>
      <c r="D6185" s="4" t="str">
        <f>IFERROR(__xludf.DUMMYFUNCTION("""COMPUTED_VALUE"""),"Gene Roberson")</f>
        <v>Gene Roberson</v>
      </c>
      <c r="E6185" s="4" t="str">
        <f>IFERROR(__xludf.DUMMYFUNCTION("""COMPUTED_VALUE"""),"Canisius")</f>
        <v>Canisius</v>
      </c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</row>
    <row r="6186">
      <c r="A6186" s="4">
        <f>IFERROR(__xludf.DUMMYFUNCTION("""COMPUTED_VALUE"""),211.0)</f>
        <v>211</v>
      </c>
      <c r="B6186" s="4">
        <f>IFERROR(__xludf.DUMMYFUNCTION("""COMPUTED_VALUE"""),211.0)</f>
        <v>211</v>
      </c>
      <c r="C6186" s="4" t="str">
        <f>IFERROR(__xludf.DUMMYFUNCTION("""COMPUTED_VALUE"""),"BAL")</f>
        <v>BAL</v>
      </c>
      <c r="D6186" s="4" t="str">
        <f>IFERROR(__xludf.DUMMYFUNCTION("""COMPUTED_VALUE"""),"Rudolph Peele")</f>
        <v>Rudolph Peele</v>
      </c>
      <c r="E6186" s="4" t="str">
        <f>IFERROR(__xludf.DUMMYFUNCTION("""COMPUTED_VALUE"""),"Norfolk State")</f>
        <v>Norfolk State</v>
      </c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</row>
    <row r="6187">
      <c r="A6187" s="4">
        <f>IFERROR(__xludf.DUMMYFUNCTION("""COMPUTED_VALUE"""),212.0)</f>
        <v>212</v>
      </c>
      <c r="B6187" s="4">
        <f>IFERROR(__xludf.DUMMYFUNCTION("""COMPUTED_VALUE"""),212.0)</f>
        <v>212</v>
      </c>
      <c r="C6187" s="4" t="str">
        <f>IFERROR(__xludf.DUMMYFUNCTION("""COMPUTED_VALUE"""),"DET")</f>
        <v>DET</v>
      </c>
      <c r="D6187" s="4" t="str">
        <f>IFERROR(__xludf.DUMMYFUNCTION("""COMPUTED_VALUE"""),"Art Davis")</f>
        <v>Art Davis</v>
      </c>
      <c r="E6187" s="4" t="str">
        <f>IFERROR(__xludf.DUMMYFUNCTION("""COMPUTED_VALUE"""),"Johnson C. Smith University")</f>
        <v>Johnson C. Smith University</v>
      </c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</row>
    <row r="6188">
      <c r="A6188" s="4">
        <f>IFERROR(__xludf.DUMMYFUNCTION("""COMPUTED_VALUE"""),213.0)</f>
        <v>213</v>
      </c>
      <c r="B6188" s="4">
        <f>IFERROR(__xludf.DUMMYFUNCTION("""COMPUTED_VALUE"""),213.0)</f>
        <v>213</v>
      </c>
      <c r="C6188" s="4" t="str">
        <f>IFERROR(__xludf.DUMMYFUNCTION("""COMPUTED_VALUE"""),"PHO")</f>
        <v>PHO</v>
      </c>
      <c r="D6188" s="4" t="str">
        <f>IFERROR(__xludf.DUMMYFUNCTION("""COMPUTED_VALUE"""),"Ken Booker")</f>
        <v>Ken Booker</v>
      </c>
      <c r="E6188" s="4" t="str">
        <f>IFERROR(__xludf.DUMMYFUNCTION("""COMPUTED_VALUE"""),"UCLA")</f>
        <v>UCLA</v>
      </c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</row>
    <row r="6189">
      <c r="A6189" s="4">
        <f>IFERROR(__xludf.DUMMYFUNCTION("""COMPUTED_VALUE"""),214.0)</f>
        <v>214</v>
      </c>
      <c r="B6189" s="4">
        <f>IFERROR(__xludf.DUMMYFUNCTION("""COMPUTED_VALUE"""),214.0)</f>
        <v>214</v>
      </c>
      <c r="C6189" s="4" t="str">
        <f>IFERROR(__xludf.DUMMYFUNCTION("""COMPUTED_VALUE"""),"CHI")</f>
        <v>CHI</v>
      </c>
      <c r="D6189" s="4" t="str">
        <f>IFERROR(__xludf.DUMMYFUNCTION("""COMPUTED_VALUE"""),"Richard Dixon")</f>
        <v>Richard Dixon</v>
      </c>
      <c r="E6189" s="4" t="str">
        <f>IFERROR(__xludf.DUMMYFUNCTION("""COMPUTED_VALUE"""),"Loyola Marymount")</f>
        <v>Loyola Marymount</v>
      </c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</row>
    <row r="6190">
      <c r="A6190" s="4">
        <f>IFERROR(__xludf.DUMMYFUNCTION("""COMPUTED_VALUE"""),215.0)</f>
        <v>215</v>
      </c>
      <c r="B6190" s="4">
        <f>IFERROR(__xludf.DUMMYFUNCTION("""COMPUTED_VALUE"""),215.0)</f>
        <v>215</v>
      </c>
      <c r="C6190" s="4" t="str">
        <f>IFERROR(__xludf.DUMMYFUNCTION("""COMPUTED_VALUE"""),"NYK")</f>
        <v>NYK</v>
      </c>
      <c r="D6190" s="4" t="str">
        <f>IFERROR(__xludf.DUMMYFUNCTION("""COMPUTED_VALUE"""),"Jack O'Connor")</f>
        <v>Jack O'Connor</v>
      </c>
      <c r="E6190" s="4" t="str">
        <f>IFERROR(__xludf.DUMMYFUNCTION("""COMPUTED_VALUE"""),"University of Great Falls")</f>
        <v>University of Great Falls</v>
      </c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</row>
    <row r="6191">
      <c r="A6191" s="4">
        <f>IFERROR(__xludf.DUMMYFUNCTION("""COMPUTED_VALUE"""),216.0)</f>
        <v>216</v>
      </c>
      <c r="B6191" s="4">
        <f>IFERROR(__xludf.DUMMYFUNCTION("""COMPUTED_VALUE"""),216.0)</f>
        <v>216</v>
      </c>
      <c r="C6191" s="4" t="str">
        <f>IFERROR(__xludf.DUMMYFUNCTION("""COMPUTED_VALUE"""),"MIL")</f>
        <v>MIL</v>
      </c>
      <c r="D6191" s="4" t="str">
        <f>IFERROR(__xludf.DUMMYFUNCTION("""COMPUTED_VALUE"""),"George Jackson")</f>
        <v>George Jackson</v>
      </c>
      <c r="E6191" s="4" t="str">
        <f>IFERROR(__xludf.DUMMYFUNCTION("""COMPUTED_VALUE"""),"Dayton")</f>
        <v>Dayton</v>
      </c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</row>
    <row r="6192">
      <c r="A6192" s="4"/>
      <c r="B6192" s="4"/>
      <c r="C6192" s="4"/>
      <c r="D6192" s="4" t="str">
        <f>IFERROR(__xludf.DUMMYFUNCTION("""COMPUTED_VALUE"""),"Round 15")</f>
        <v>Round 15</v>
      </c>
      <c r="E6192" s="4"/>
      <c r="F6192" s="4"/>
      <c r="G6192" s="4" t="str">
        <f>IFERROR(__xludf.DUMMYFUNCTION("""COMPUTED_VALUE"""),"Totals")</f>
        <v>Totals</v>
      </c>
      <c r="H6192" s="4"/>
      <c r="I6192" s="4"/>
      <c r="J6192" s="4"/>
      <c r="K6192" s="4"/>
      <c r="L6192" s="4" t="str">
        <f>IFERROR(__xludf.DUMMYFUNCTION("""COMPUTED_VALUE"""),"Shooting")</f>
        <v>Shooting</v>
      </c>
      <c r="M6192" s="4"/>
      <c r="N6192" s="4"/>
      <c r="O6192" s="4" t="str">
        <f>IFERROR(__xludf.DUMMYFUNCTION("""COMPUTED_VALUE"""),"Per Game")</f>
        <v>Per Game</v>
      </c>
      <c r="P6192" s="4"/>
      <c r="Q6192" s="4"/>
      <c r="R6192" s="4"/>
      <c r="S6192" s="4" t="str">
        <f>IFERROR(__xludf.DUMMYFUNCTION("""COMPUTED_VALUE"""),"Advanced")</f>
        <v>Advanced</v>
      </c>
      <c r="T6192" s="4"/>
      <c r="U6192" s="4"/>
      <c r="V6192" s="4"/>
    </row>
    <row r="6193">
      <c r="A6193" s="4" t="str">
        <f>IFERROR(__xludf.DUMMYFUNCTION("""COMPUTED_VALUE"""),"Rk")</f>
        <v>Rk</v>
      </c>
      <c r="B6193" s="4" t="str">
        <f>IFERROR(__xludf.DUMMYFUNCTION("""COMPUTED_VALUE"""),"Pk")</f>
        <v>Pk</v>
      </c>
      <c r="C6193" s="4" t="str">
        <f>IFERROR(__xludf.DUMMYFUNCTION("""COMPUTED_VALUE"""),"Tm")</f>
        <v>Tm</v>
      </c>
      <c r="D6193" s="4" t="str">
        <f>IFERROR(__xludf.DUMMYFUNCTION("""COMPUTED_VALUE"""),"Player")</f>
        <v>Player</v>
      </c>
      <c r="E6193" s="4" t="str">
        <f>IFERROR(__xludf.DUMMYFUNCTION("""COMPUTED_VALUE"""),"College")</f>
        <v>College</v>
      </c>
      <c r="F6193" s="4" t="str">
        <f>IFERROR(__xludf.DUMMYFUNCTION("""COMPUTED_VALUE"""),"Yrs")</f>
        <v>Yrs</v>
      </c>
      <c r="G6193" s="4" t="str">
        <f>IFERROR(__xludf.DUMMYFUNCTION("""COMPUTED_VALUE"""),"G")</f>
        <v>G</v>
      </c>
      <c r="H6193" s="4" t="str">
        <f>IFERROR(__xludf.DUMMYFUNCTION("""COMPUTED_VALUE"""),"MP")</f>
        <v>MP</v>
      </c>
      <c r="I6193" s="4" t="str">
        <f>IFERROR(__xludf.DUMMYFUNCTION("""COMPUTED_VALUE"""),"PTS")</f>
        <v>PTS</v>
      </c>
      <c r="J6193" s="4" t="str">
        <f>IFERROR(__xludf.DUMMYFUNCTION("""COMPUTED_VALUE"""),"TRB")</f>
        <v>TRB</v>
      </c>
      <c r="K6193" s="4" t="str">
        <f>IFERROR(__xludf.DUMMYFUNCTION("""COMPUTED_VALUE"""),"AST")</f>
        <v>AST</v>
      </c>
      <c r="L6193" s="4" t="str">
        <f>IFERROR(__xludf.DUMMYFUNCTION("""COMPUTED_VALUE"""),"FG%")</f>
        <v>FG%</v>
      </c>
      <c r="M6193" s="4" t="str">
        <f>IFERROR(__xludf.DUMMYFUNCTION("""COMPUTED_VALUE"""),"3P%")</f>
        <v>3P%</v>
      </c>
      <c r="N6193" s="4" t="str">
        <f>IFERROR(__xludf.DUMMYFUNCTION("""COMPUTED_VALUE"""),"FT%")</f>
        <v>FT%</v>
      </c>
      <c r="O6193" s="4" t="str">
        <f>IFERROR(__xludf.DUMMYFUNCTION("""COMPUTED_VALUE"""),"MP")</f>
        <v>MP</v>
      </c>
      <c r="P6193" s="4" t="str">
        <f>IFERROR(__xludf.DUMMYFUNCTION("""COMPUTED_VALUE"""),"PTS")</f>
        <v>PTS</v>
      </c>
      <c r="Q6193" s="4" t="str">
        <f>IFERROR(__xludf.DUMMYFUNCTION("""COMPUTED_VALUE"""),"TRB")</f>
        <v>TRB</v>
      </c>
      <c r="R6193" s="4" t="str">
        <f>IFERROR(__xludf.DUMMYFUNCTION("""COMPUTED_VALUE"""),"AST")</f>
        <v>AST</v>
      </c>
      <c r="S6193" s="4" t="str">
        <f>IFERROR(__xludf.DUMMYFUNCTION("""COMPUTED_VALUE"""),"WS")</f>
        <v>WS</v>
      </c>
      <c r="T6193" s="4" t="str">
        <f>IFERROR(__xludf.DUMMYFUNCTION("""COMPUTED_VALUE"""),"WS/48")</f>
        <v>WS/48</v>
      </c>
      <c r="U6193" s="4" t="str">
        <f>IFERROR(__xludf.DUMMYFUNCTION("""COMPUTED_VALUE"""),"BPM")</f>
        <v>BPM</v>
      </c>
      <c r="V6193" s="4" t="str">
        <f>IFERROR(__xludf.DUMMYFUNCTION("""COMPUTED_VALUE"""),"VORP")</f>
        <v>VORP</v>
      </c>
    </row>
    <row r="6194">
      <c r="A6194" s="4">
        <f>IFERROR(__xludf.DUMMYFUNCTION("""COMPUTED_VALUE"""),217.0)</f>
        <v>217</v>
      </c>
      <c r="B6194" s="4">
        <f>IFERROR(__xludf.DUMMYFUNCTION("""COMPUTED_VALUE"""),217.0)</f>
        <v>217</v>
      </c>
      <c r="C6194" s="4" t="str">
        <f>IFERROR(__xludf.DUMMYFUNCTION("""COMPUTED_VALUE"""),"CLE")</f>
        <v>CLE</v>
      </c>
      <c r="D6194" s="4" t="str">
        <f>IFERROR(__xludf.DUMMYFUNCTION("""COMPUTED_VALUE"""),"Larry Baker")</f>
        <v>Larry Baker</v>
      </c>
      <c r="E6194" s="4" t="str">
        <f>IFERROR(__xludf.DUMMYFUNCTION("""COMPUTED_VALUE"""),"Wittenberg University")</f>
        <v>Wittenberg University</v>
      </c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</row>
    <row r="6195">
      <c r="A6195" s="4">
        <f>IFERROR(__xludf.DUMMYFUNCTION("""COMPUTED_VALUE"""),218.0)</f>
        <v>218</v>
      </c>
      <c r="B6195" s="4">
        <f>IFERROR(__xludf.DUMMYFUNCTION("""COMPUTED_VALUE"""),218.0)</f>
        <v>218</v>
      </c>
      <c r="C6195" s="4" t="str">
        <f>IFERROR(__xludf.DUMMYFUNCTION("""COMPUTED_VALUE"""),"BUF")</f>
        <v>BUF</v>
      </c>
      <c r="D6195" s="4" t="str">
        <f>IFERROR(__xludf.DUMMYFUNCTION("""COMPUTED_VALUE"""),"William Chatmon")</f>
        <v>William Chatmon</v>
      </c>
      <c r="E6195" s="4" t="str">
        <f>IFERROR(__xludf.DUMMYFUNCTION("""COMPUTED_VALUE"""),"Baylor")</f>
        <v>Baylor</v>
      </c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</row>
    <row r="6196">
      <c r="A6196" s="4">
        <f>IFERROR(__xludf.DUMMYFUNCTION("""COMPUTED_VALUE"""),219.0)</f>
        <v>219</v>
      </c>
      <c r="B6196" s="4">
        <f>IFERROR(__xludf.DUMMYFUNCTION("""COMPUTED_VALUE"""),219.0)</f>
        <v>219</v>
      </c>
      <c r="C6196" s="4" t="str">
        <f>IFERROR(__xludf.DUMMYFUNCTION("""COMPUTED_VALUE"""),"HOU")</f>
        <v>HOU</v>
      </c>
      <c r="D6196" s="4" t="str">
        <f>IFERROR(__xludf.DUMMYFUNCTION("""COMPUTED_VALUE"""),"Bill Quigg")</f>
        <v>Bill Quigg</v>
      </c>
      <c r="E6196" s="4" t="str">
        <f>IFERROR(__xludf.DUMMYFUNCTION("""COMPUTED_VALUE"""),"Gonzaga")</f>
        <v>Gonzaga</v>
      </c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</row>
    <row r="6197">
      <c r="A6197" s="4">
        <f>IFERROR(__xludf.DUMMYFUNCTION("""COMPUTED_VALUE"""),220.0)</f>
        <v>220</v>
      </c>
      <c r="B6197" s="4">
        <f>IFERROR(__xludf.DUMMYFUNCTION("""COMPUTED_VALUE"""),220.0)</f>
        <v>220</v>
      </c>
      <c r="C6197" s="4" t="str">
        <f>IFERROR(__xludf.DUMMYFUNCTION("""COMPUTED_VALUE"""),"BAL")</f>
        <v>BAL</v>
      </c>
      <c r="D6197" s="4" t="str">
        <f>IFERROR(__xludf.DUMMYFUNCTION("""COMPUTED_VALUE"""),"Morrell James")</f>
        <v>Morrell James</v>
      </c>
      <c r="E6197" s="4" t="str">
        <f>IFERROR(__xludf.DUMMYFUNCTION("""COMPUTED_VALUE"""),"Norfolk State")</f>
        <v>Norfolk State</v>
      </c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</row>
    <row r="6198">
      <c r="A6198" s="4">
        <f>IFERROR(__xludf.DUMMYFUNCTION("""COMPUTED_VALUE"""),221.0)</f>
        <v>221</v>
      </c>
      <c r="B6198" s="4">
        <f>IFERROR(__xludf.DUMMYFUNCTION("""COMPUTED_VALUE"""),221.0)</f>
        <v>221</v>
      </c>
      <c r="C6198" s="4" t="str">
        <f>IFERROR(__xludf.DUMMYFUNCTION("""COMPUTED_VALUE"""),"DET")</f>
        <v>DET</v>
      </c>
      <c r="D6198" s="4" t="str">
        <f>IFERROR(__xludf.DUMMYFUNCTION("""COMPUTED_VALUE"""),"James Fleming")</f>
        <v>James Fleming</v>
      </c>
      <c r="E6198" s="4" t="str">
        <f>IFERROR(__xludf.DUMMYFUNCTION("""COMPUTED_VALUE"""),"Alcorn State")</f>
        <v>Alcorn State</v>
      </c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</row>
    <row r="6199">
      <c r="A6199" s="4">
        <f>IFERROR(__xludf.DUMMYFUNCTION("""COMPUTED_VALUE"""),222.0)</f>
        <v>222</v>
      </c>
      <c r="B6199" s="4">
        <f>IFERROR(__xludf.DUMMYFUNCTION("""COMPUTED_VALUE"""),222.0)</f>
        <v>222</v>
      </c>
      <c r="C6199" s="4" t="str">
        <f>IFERROR(__xludf.DUMMYFUNCTION("""COMPUTED_VALUE"""),"PHO")</f>
        <v>PHO</v>
      </c>
      <c r="D6199" s="4" t="str">
        <f>IFERROR(__xludf.DUMMYFUNCTION("""COMPUTED_VALUE"""),"Curtis Carter")</f>
        <v>Curtis Carter</v>
      </c>
      <c r="E6199" s="4" t="str">
        <f>IFERROR(__xludf.DUMMYFUNCTION("""COMPUTED_VALUE"""),"Bishop College")</f>
        <v>Bishop College</v>
      </c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</row>
    <row r="6200">
      <c r="A6200" s="4">
        <f>IFERROR(__xludf.DUMMYFUNCTION("""COMPUTED_VALUE"""),223.0)</f>
        <v>223</v>
      </c>
      <c r="B6200" s="4">
        <f>IFERROR(__xludf.DUMMYFUNCTION("""COMPUTED_VALUE"""),223.0)</f>
        <v>223</v>
      </c>
      <c r="C6200" s="4" t="str">
        <f>IFERROR(__xludf.DUMMYFUNCTION("""COMPUTED_VALUE"""),"CHI")</f>
        <v>CHI</v>
      </c>
      <c r="D6200" s="4" t="str">
        <f>IFERROR(__xludf.DUMMYFUNCTION("""COMPUTED_VALUE"""),"Lisco Thomas")</f>
        <v>Lisco Thomas</v>
      </c>
      <c r="E6200" s="4" t="str">
        <f>IFERROR(__xludf.DUMMYFUNCTION("""COMPUTED_VALUE"""),"Furman University")</f>
        <v>Furman University</v>
      </c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</row>
    <row r="6201">
      <c r="A6201" s="4">
        <f>IFERROR(__xludf.DUMMYFUNCTION("""COMPUTED_VALUE"""),224.0)</f>
        <v>224</v>
      </c>
      <c r="B6201" s="4">
        <f>IFERROR(__xludf.DUMMYFUNCTION("""COMPUTED_VALUE"""),224.0)</f>
        <v>224</v>
      </c>
      <c r="C6201" s="4" t="str">
        <f>IFERROR(__xludf.DUMMYFUNCTION("""COMPUTED_VALUE"""),"MIL")</f>
        <v>MIL</v>
      </c>
      <c r="D6201" s="4" t="str">
        <f>IFERROR(__xludf.DUMMYFUNCTION("""COMPUTED_VALUE"""),"Loyd King")</f>
        <v>Loyd King</v>
      </c>
      <c r="E6201" s="4" t="str">
        <f>IFERROR(__xludf.DUMMYFUNCTION("""COMPUTED_VALUE"""),"Virginia Tech")</f>
        <v>Virginia Tech</v>
      </c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</row>
    <row r="6202">
      <c r="A6202" s="4"/>
      <c r="B6202" s="4"/>
      <c r="C6202" s="4"/>
      <c r="D6202" s="4" t="str">
        <f>IFERROR(__xludf.DUMMYFUNCTION("""COMPUTED_VALUE"""),"Round 16")</f>
        <v>Round 16</v>
      </c>
      <c r="E6202" s="4"/>
      <c r="F6202" s="4"/>
      <c r="G6202" s="4" t="str">
        <f>IFERROR(__xludf.DUMMYFUNCTION("""COMPUTED_VALUE"""),"Totals")</f>
        <v>Totals</v>
      </c>
      <c r="H6202" s="4"/>
      <c r="I6202" s="4"/>
      <c r="J6202" s="4"/>
      <c r="K6202" s="4"/>
      <c r="L6202" s="4" t="str">
        <f>IFERROR(__xludf.DUMMYFUNCTION("""COMPUTED_VALUE"""),"Shooting")</f>
        <v>Shooting</v>
      </c>
      <c r="M6202" s="4"/>
      <c r="N6202" s="4"/>
      <c r="O6202" s="4" t="str">
        <f>IFERROR(__xludf.DUMMYFUNCTION("""COMPUTED_VALUE"""),"Per Game")</f>
        <v>Per Game</v>
      </c>
      <c r="P6202" s="4"/>
      <c r="Q6202" s="4"/>
      <c r="R6202" s="4"/>
      <c r="S6202" s="4" t="str">
        <f>IFERROR(__xludf.DUMMYFUNCTION("""COMPUTED_VALUE"""),"Advanced")</f>
        <v>Advanced</v>
      </c>
      <c r="T6202" s="4"/>
      <c r="U6202" s="4"/>
      <c r="V6202" s="4"/>
    </row>
    <row r="6203">
      <c r="A6203" s="4" t="str">
        <f>IFERROR(__xludf.DUMMYFUNCTION("""COMPUTED_VALUE"""),"Rk")</f>
        <v>Rk</v>
      </c>
      <c r="B6203" s="4" t="str">
        <f>IFERROR(__xludf.DUMMYFUNCTION("""COMPUTED_VALUE"""),"Pk")</f>
        <v>Pk</v>
      </c>
      <c r="C6203" s="4" t="str">
        <f>IFERROR(__xludf.DUMMYFUNCTION("""COMPUTED_VALUE"""),"Tm")</f>
        <v>Tm</v>
      </c>
      <c r="D6203" s="4" t="str">
        <f>IFERROR(__xludf.DUMMYFUNCTION("""COMPUTED_VALUE"""),"Player")</f>
        <v>Player</v>
      </c>
      <c r="E6203" s="4" t="str">
        <f>IFERROR(__xludf.DUMMYFUNCTION("""COMPUTED_VALUE"""),"College")</f>
        <v>College</v>
      </c>
      <c r="F6203" s="4" t="str">
        <f>IFERROR(__xludf.DUMMYFUNCTION("""COMPUTED_VALUE"""),"Yrs")</f>
        <v>Yrs</v>
      </c>
      <c r="G6203" s="4" t="str">
        <f>IFERROR(__xludf.DUMMYFUNCTION("""COMPUTED_VALUE"""),"G")</f>
        <v>G</v>
      </c>
      <c r="H6203" s="4" t="str">
        <f>IFERROR(__xludf.DUMMYFUNCTION("""COMPUTED_VALUE"""),"MP")</f>
        <v>MP</v>
      </c>
      <c r="I6203" s="4" t="str">
        <f>IFERROR(__xludf.DUMMYFUNCTION("""COMPUTED_VALUE"""),"PTS")</f>
        <v>PTS</v>
      </c>
      <c r="J6203" s="4" t="str">
        <f>IFERROR(__xludf.DUMMYFUNCTION("""COMPUTED_VALUE"""),"TRB")</f>
        <v>TRB</v>
      </c>
      <c r="K6203" s="4" t="str">
        <f>IFERROR(__xludf.DUMMYFUNCTION("""COMPUTED_VALUE"""),"AST")</f>
        <v>AST</v>
      </c>
      <c r="L6203" s="4" t="str">
        <f>IFERROR(__xludf.DUMMYFUNCTION("""COMPUTED_VALUE"""),"FG%")</f>
        <v>FG%</v>
      </c>
      <c r="M6203" s="4" t="str">
        <f>IFERROR(__xludf.DUMMYFUNCTION("""COMPUTED_VALUE"""),"3P%")</f>
        <v>3P%</v>
      </c>
      <c r="N6203" s="4" t="str">
        <f>IFERROR(__xludf.DUMMYFUNCTION("""COMPUTED_VALUE"""),"FT%")</f>
        <v>FT%</v>
      </c>
      <c r="O6203" s="4" t="str">
        <f>IFERROR(__xludf.DUMMYFUNCTION("""COMPUTED_VALUE"""),"MP")</f>
        <v>MP</v>
      </c>
      <c r="P6203" s="4" t="str">
        <f>IFERROR(__xludf.DUMMYFUNCTION("""COMPUTED_VALUE"""),"PTS")</f>
        <v>PTS</v>
      </c>
      <c r="Q6203" s="4" t="str">
        <f>IFERROR(__xludf.DUMMYFUNCTION("""COMPUTED_VALUE"""),"TRB")</f>
        <v>TRB</v>
      </c>
      <c r="R6203" s="4" t="str">
        <f>IFERROR(__xludf.DUMMYFUNCTION("""COMPUTED_VALUE"""),"AST")</f>
        <v>AST</v>
      </c>
      <c r="S6203" s="4" t="str">
        <f>IFERROR(__xludf.DUMMYFUNCTION("""COMPUTED_VALUE"""),"WS")</f>
        <v>WS</v>
      </c>
      <c r="T6203" s="4" t="str">
        <f>IFERROR(__xludf.DUMMYFUNCTION("""COMPUTED_VALUE"""),"WS/48")</f>
        <v>WS/48</v>
      </c>
      <c r="U6203" s="4" t="str">
        <f>IFERROR(__xludf.DUMMYFUNCTION("""COMPUTED_VALUE"""),"BPM")</f>
        <v>BPM</v>
      </c>
      <c r="V6203" s="4" t="str">
        <f>IFERROR(__xludf.DUMMYFUNCTION("""COMPUTED_VALUE"""),"VORP")</f>
        <v>VORP</v>
      </c>
    </row>
    <row r="6204">
      <c r="A6204" s="4">
        <f>IFERROR(__xludf.DUMMYFUNCTION("""COMPUTED_VALUE"""),225.0)</f>
        <v>225</v>
      </c>
      <c r="B6204" s="4">
        <f>IFERROR(__xludf.DUMMYFUNCTION("""COMPUTED_VALUE"""),225.0)</f>
        <v>225</v>
      </c>
      <c r="C6204" s="4" t="str">
        <f>IFERROR(__xludf.DUMMYFUNCTION("""COMPUTED_VALUE"""),"CLE")</f>
        <v>CLE</v>
      </c>
      <c r="D6204" s="4" t="str">
        <f>IFERROR(__xludf.DUMMYFUNCTION("""COMPUTED_VALUE"""),"Tyree Vance")</f>
        <v>Tyree Vance</v>
      </c>
      <c r="E6204" s="4" t="str">
        <f>IFERROR(__xludf.DUMMYFUNCTION("""COMPUTED_VALUE"""),"University of Wisconsin-LaCrosse")</f>
        <v>University of Wisconsin-LaCrosse</v>
      </c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</row>
    <row r="6205">
      <c r="A6205" s="4">
        <f>IFERROR(__xludf.DUMMYFUNCTION("""COMPUTED_VALUE"""),226.0)</f>
        <v>226</v>
      </c>
      <c r="B6205" s="4">
        <f>IFERROR(__xludf.DUMMYFUNCTION("""COMPUTED_VALUE"""),226.0)</f>
        <v>226</v>
      </c>
      <c r="C6205" s="4" t="str">
        <f>IFERROR(__xludf.DUMMYFUNCTION("""COMPUTED_VALUE"""),"BUF")</f>
        <v>BUF</v>
      </c>
      <c r="D6205" s="4" t="str">
        <f>IFERROR(__xludf.DUMMYFUNCTION("""COMPUTED_VALUE"""),"James Douglas")</f>
        <v>James Douglas</v>
      </c>
      <c r="E6205" s="4" t="str">
        <f>IFERROR(__xludf.DUMMYFUNCTION("""COMPUTED_VALUE"""),"Memphis")</f>
        <v>Memphis</v>
      </c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</row>
    <row r="6206">
      <c r="A6206" s="4">
        <f>IFERROR(__xludf.DUMMYFUNCTION("""COMPUTED_VALUE"""),227.0)</f>
        <v>227</v>
      </c>
      <c r="B6206" s="4">
        <f>IFERROR(__xludf.DUMMYFUNCTION("""COMPUTED_VALUE"""),227.0)</f>
        <v>227</v>
      </c>
      <c r="C6206" s="4" t="str">
        <f>IFERROR(__xludf.DUMMYFUNCTION("""COMPUTED_VALUE"""),"HOU")</f>
        <v>HOU</v>
      </c>
      <c r="D6206" s="4" t="str">
        <f>IFERROR(__xludf.DUMMYFUNCTION("""COMPUTED_VALUE"""),"Leonard Jackson")</f>
        <v>Leonard Jackson</v>
      </c>
      <c r="E6206" s="4" t="str">
        <f>IFERROR(__xludf.DUMMYFUNCTION("""COMPUTED_VALUE"""),"Oregon")</f>
        <v>Oregon</v>
      </c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</row>
    <row r="6207">
      <c r="A6207" s="4">
        <f>IFERROR(__xludf.DUMMYFUNCTION("""COMPUTED_VALUE"""),228.0)</f>
        <v>228</v>
      </c>
      <c r="B6207" s="4">
        <f>IFERROR(__xludf.DUMMYFUNCTION("""COMPUTED_VALUE"""),228.0)</f>
        <v>228</v>
      </c>
      <c r="C6207" s="4" t="str">
        <f>IFERROR(__xludf.DUMMYFUNCTION("""COMPUTED_VALUE"""),"DET")</f>
        <v>DET</v>
      </c>
      <c r="D6207" s="4" t="str">
        <f>IFERROR(__xludf.DUMMYFUNCTION("""COMPUTED_VALUE"""),"Fred Smiley")</f>
        <v>Fred Smiley</v>
      </c>
      <c r="E6207" s="4" t="str">
        <f>IFERROR(__xludf.DUMMYFUNCTION("""COMPUTED_VALUE"""),"Davenport University")</f>
        <v>Davenport University</v>
      </c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</row>
    <row r="6208">
      <c r="A6208" s="4">
        <f>IFERROR(__xludf.DUMMYFUNCTION("""COMPUTED_VALUE"""),229.0)</f>
        <v>229</v>
      </c>
      <c r="B6208" s="4">
        <f>IFERROR(__xludf.DUMMYFUNCTION("""COMPUTED_VALUE"""),229.0)</f>
        <v>229</v>
      </c>
      <c r="C6208" s="4" t="str">
        <f>IFERROR(__xludf.DUMMYFUNCTION("""COMPUTED_VALUE"""),"CHI")</f>
        <v>CHI</v>
      </c>
      <c r="D6208" s="4" t="str">
        <f>IFERROR(__xludf.DUMMYFUNCTION("""COMPUTED_VALUE"""),"Bob Bissant")</f>
        <v>Bob Bissant</v>
      </c>
      <c r="E6208" s="4" t="str">
        <f>IFERROR(__xludf.DUMMYFUNCTION("""COMPUTED_VALUE"""),"Loyola New Orleans")</f>
        <v>Loyola New Orleans</v>
      </c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</row>
    <row r="6209">
      <c r="A6209" s="4"/>
      <c r="B6209" s="4"/>
      <c r="C6209" s="4"/>
      <c r="D6209" s="4" t="str">
        <f>IFERROR(__xludf.DUMMYFUNCTION("""COMPUTED_VALUE"""),"Round 17")</f>
        <v>Round 17</v>
      </c>
      <c r="E6209" s="4"/>
      <c r="F6209" s="4"/>
      <c r="G6209" s="4" t="str">
        <f>IFERROR(__xludf.DUMMYFUNCTION("""COMPUTED_VALUE"""),"Totals")</f>
        <v>Totals</v>
      </c>
      <c r="H6209" s="4"/>
      <c r="I6209" s="4"/>
      <c r="J6209" s="4"/>
      <c r="K6209" s="4"/>
      <c r="L6209" s="4" t="str">
        <f>IFERROR(__xludf.DUMMYFUNCTION("""COMPUTED_VALUE"""),"Shooting")</f>
        <v>Shooting</v>
      </c>
      <c r="M6209" s="4"/>
      <c r="N6209" s="4"/>
      <c r="O6209" s="4" t="str">
        <f>IFERROR(__xludf.DUMMYFUNCTION("""COMPUTED_VALUE"""),"Per Game")</f>
        <v>Per Game</v>
      </c>
      <c r="P6209" s="4"/>
      <c r="Q6209" s="4"/>
      <c r="R6209" s="4"/>
      <c r="S6209" s="4" t="str">
        <f>IFERROR(__xludf.DUMMYFUNCTION("""COMPUTED_VALUE"""),"Advanced")</f>
        <v>Advanced</v>
      </c>
      <c r="T6209" s="4"/>
      <c r="U6209" s="4"/>
      <c r="V6209" s="4"/>
    </row>
    <row r="6210">
      <c r="A6210" s="4" t="str">
        <f>IFERROR(__xludf.DUMMYFUNCTION("""COMPUTED_VALUE"""),"Rk")</f>
        <v>Rk</v>
      </c>
      <c r="B6210" s="4" t="str">
        <f>IFERROR(__xludf.DUMMYFUNCTION("""COMPUTED_VALUE"""),"Pk")</f>
        <v>Pk</v>
      </c>
      <c r="C6210" s="4" t="str">
        <f>IFERROR(__xludf.DUMMYFUNCTION("""COMPUTED_VALUE"""),"Tm")</f>
        <v>Tm</v>
      </c>
      <c r="D6210" s="4" t="str">
        <f>IFERROR(__xludf.DUMMYFUNCTION("""COMPUTED_VALUE"""),"Player")</f>
        <v>Player</v>
      </c>
      <c r="E6210" s="4" t="str">
        <f>IFERROR(__xludf.DUMMYFUNCTION("""COMPUTED_VALUE"""),"College")</f>
        <v>College</v>
      </c>
      <c r="F6210" s="4" t="str">
        <f>IFERROR(__xludf.DUMMYFUNCTION("""COMPUTED_VALUE"""),"Yrs")</f>
        <v>Yrs</v>
      </c>
      <c r="G6210" s="4" t="str">
        <f>IFERROR(__xludf.DUMMYFUNCTION("""COMPUTED_VALUE"""),"G")</f>
        <v>G</v>
      </c>
      <c r="H6210" s="4" t="str">
        <f>IFERROR(__xludf.DUMMYFUNCTION("""COMPUTED_VALUE"""),"MP")</f>
        <v>MP</v>
      </c>
      <c r="I6210" s="4" t="str">
        <f>IFERROR(__xludf.DUMMYFUNCTION("""COMPUTED_VALUE"""),"PTS")</f>
        <v>PTS</v>
      </c>
      <c r="J6210" s="4" t="str">
        <f>IFERROR(__xludf.DUMMYFUNCTION("""COMPUTED_VALUE"""),"TRB")</f>
        <v>TRB</v>
      </c>
      <c r="K6210" s="4" t="str">
        <f>IFERROR(__xludf.DUMMYFUNCTION("""COMPUTED_VALUE"""),"AST")</f>
        <v>AST</v>
      </c>
      <c r="L6210" s="4" t="str">
        <f>IFERROR(__xludf.DUMMYFUNCTION("""COMPUTED_VALUE"""),"FG%")</f>
        <v>FG%</v>
      </c>
      <c r="M6210" s="4" t="str">
        <f>IFERROR(__xludf.DUMMYFUNCTION("""COMPUTED_VALUE"""),"3P%")</f>
        <v>3P%</v>
      </c>
      <c r="N6210" s="4" t="str">
        <f>IFERROR(__xludf.DUMMYFUNCTION("""COMPUTED_VALUE"""),"FT%")</f>
        <v>FT%</v>
      </c>
      <c r="O6210" s="4" t="str">
        <f>IFERROR(__xludf.DUMMYFUNCTION("""COMPUTED_VALUE"""),"MP")</f>
        <v>MP</v>
      </c>
      <c r="P6210" s="4" t="str">
        <f>IFERROR(__xludf.DUMMYFUNCTION("""COMPUTED_VALUE"""),"PTS")</f>
        <v>PTS</v>
      </c>
      <c r="Q6210" s="4" t="str">
        <f>IFERROR(__xludf.DUMMYFUNCTION("""COMPUTED_VALUE"""),"TRB")</f>
        <v>TRB</v>
      </c>
      <c r="R6210" s="4" t="str">
        <f>IFERROR(__xludf.DUMMYFUNCTION("""COMPUTED_VALUE"""),"AST")</f>
        <v>AST</v>
      </c>
      <c r="S6210" s="4" t="str">
        <f>IFERROR(__xludf.DUMMYFUNCTION("""COMPUTED_VALUE"""),"WS")</f>
        <v>WS</v>
      </c>
      <c r="T6210" s="4" t="str">
        <f>IFERROR(__xludf.DUMMYFUNCTION("""COMPUTED_VALUE"""),"WS/48")</f>
        <v>WS/48</v>
      </c>
      <c r="U6210" s="4" t="str">
        <f>IFERROR(__xludf.DUMMYFUNCTION("""COMPUTED_VALUE"""),"BPM")</f>
        <v>BPM</v>
      </c>
      <c r="V6210" s="4" t="str">
        <f>IFERROR(__xludf.DUMMYFUNCTION("""COMPUTED_VALUE"""),"VORP")</f>
        <v>VORP</v>
      </c>
    </row>
    <row r="6211">
      <c r="A6211" s="4">
        <f>IFERROR(__xludf.DUMMYFUNCTION("""COMPUTED_VALUE"""),230.0)</f>
        <v>230</v>
      </c>
      <c r="B6211" s="4">
        <f>IFERROR(__xludf.DUMMYFUNCTION("""COMPUTED_VALUE"""),230.0)</f>
        <v>230</v>
      </c>
      <c r="C6211" s="4" t="str">
        <f>IFERROR(__xludf.DUMMYFUNCTION("""COMPUTED_VALUE"""),"BUF")</f>
        <v>BUF</v>
      </c>
      <c r="D6211" s="4" t="str">
        <f>IFERROR(__xludf.DUMMYFUNCTION("""COMPUTED_VALUE"""),"Nelson Isley")</f>
        <v>Nelson Isley</v>
      </c>
      <c r="E6211" s="4" t="str">
        <f>IFERROR(__xludf.DUMMYFUNCTION("""COMPUTED_VALUE"""),"LSU")</f>
        <v>LSU</v>
      </c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</row>
    <row r="6212">
      <c r="A6212" s="4">
        <f>IFERROR(__xludf.DUMMYFUNCTION("""COMPUTED_VALUE"""),231.0)</f>
        <v>231</v>
      </c>
      <c r="B6212" s="4">
        <f>IFERROR(__xludf.DUMMYFUNCTION("""COMPUTED_VALUE"""),231.0)</f>
        <v>231</v>
      </c>
      <c r="C6212" s="4" t="str">
        <f>IFERROR(__xludf.DUMMYFUNCTION("""COMPUTED_VALUE"""),"HOU")</f>
        <v>HOU</v>
      </c>
      <c r="D6212" s="4" t="str">
        <f>IFERROR(__xludf.DUMMYFUNCTION("""COMPUTED_VALUE"""),"Steve Sims")</f>
        <v>Steve Sims</v>
      </c>
      <c r="E6212" s="4" t="str">
        <f>IFERROR(__xludf.DUMMYFUNCTION("""COMPUTED_VALUE"""),"Pepperdine")</f>
        <v>Pepperdine</v>
      </c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</row>
    <row r="6213">
      <c r="A6213" s="4">
        <f>IFERROR(__xludf.DUMMYFUNCTION("""COMPUTED_VALUE"""),232.0)</f>
        <v>232</v>
      </c>
      <c r="B6213" s="4">
        <f>IFERROR(__xludf.DUMMYFUNCTION("""COMPUTED_VALUE"""),232.0)</f>
        <v>232</v>
      </c>
      <c r="C6213" s="4" t="str">
        <f>IFERROR(__xludf.DUMMYFUNCTION("""COMPUTED_VALUE"""),"DET")</f>
        <v>DET</v>
      </c>
      <c r="D6213" s="4" t="str">
        <f>IFERROR(__xludf.DUMMYFUNCTION("""COMPUTED_VALUE"""),"Leroy Jenkins")</f>
        <v>Leroy Jenkins</v>
      </c>
      <c r="E6213" s="4" t="str">
        <f>IFERROR(__xludf.DUMMYFUNCTION("""COMPUTED_VALUE"""),"Davenport University")</f>
        <v>Davenport University</v>
      </c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</row>
    <row r="6214">
      <c r="A6214" s="4"/>
      <c r="B6214" s="4"/>
      <c r="C6214" s="4"/>
      <c r="D6214" s="4" t="str">
        <f>IFERROR(__xludf.DUMMYFUNCTION("""COMPUTED_VALUE"""),"Round 18")</f>
        <v>Round 18</v>
      </c>
      <c r="E6214" s="4"/>
      <c r="F6214" s="4"/>
      <c r="G6214" s="4" t="str">
        <f>IFERROR(__xludf.DUMMYFUNCTION("""COMPUTED_VALUE"""),"Totals")</f>
        <v>Totals</v>
      </c>
      <c r="H6214" s="4"/>
      <c r="I6214" s="4"/>
      <c r="J6214" s="4"/>
      <c r="K6214" s="4"/>
      <c r="L6214" s="4" t="str">
        <f>IFERROR(__xludf.DUMMYFUNCTION("""COMPUTED_VALUE"""),"Shooting")</f>
        <v>Shooting</v>
      </c>
      <c r="M6214" s="4"/>
      <c r="N6214" s="4"/>
      <c r="O6214" s="4" t="str">
        <f>IFERROR(__xludf.DUMMYFUNCTION("""COMPUTED_VALUE"""),"Per Game")</f>
        <v>Per Game</v>
      </c>
      <c r="P6214" s="4"/>
      <c r="Q6214" s="4"/>
      <c r="R6214" s="4"/>
      <c r="S6214" s="4" t="str">
        <f>IFERROR(__xludf.DUMMYFUNCTION("""COMPUTED_VALUE"""),"Advanced")</f>
        <v>Advanced</v>
      </c>
      <c r="T6214" s="4"/>
      <c r="U6214" s="4"/>
      <c r="V6214" s="4"/>
    </row>
    <row r="6215">
      <c r="A6215" s="4" t="str">
        <f>IFERROR(__xludf.DUMMYFUNCTION("""COMPUTED_VALUE"""),"Rk")</f>
        <v>Rk</v>
      </c>
      <c r="B6215" s="4" t="str">
        <f>IFERROR(__xludf.DUMMYFUNCTION("""COMPUTED_VALUE"""),"Pk")</f>
        <v>Pk</v>
      </c>
      <c r="C6215" s="4" t="str">
        <f>IFERROR(__xludf.DUMMYFUNCTION("""COMPUTED_VALUE"""),"Tm")</f>
        <v>Tm</v>
      </c>
      <c r="D6215" s="4" t="str">
        <f>IFERROR(__xludf.DUMMYFUNCTION("""COMPUTED_VALUE"""),"Player")</f>
        <v>Player</v>
      </c>
      <c r="E6215" s="4" t="str">
        <f>IFERROR(__xludf.DUMMYFUNCTION("""COMPUTED_VALUE"""),"College")</f>
        <v>College</v>
      </c>
      <c r="F6215" s="4" t="str">
        <f>IFERROR(__xludf.DUMMYFUNCTION("""COMPUTED_VALUE"""),"Yrs")</f>
        <v>Yrs</v>
      </c>
      <c r="G6215" s="4" t="str">
        <f>IFERROR(__xludf.DUMMYFUNCTION("""COMPUTED_VALUE"""),"G")</f>
        <v>G</v>
      </c>
      <c r="H6215" s="4" t="str">
        <f>IFERROR(__xludf.DUMMYFUNCTION("""COMPUTED_VALUE"""),"MP")</f>
        <v>MP</v>
      </c>
      <c r="I6215" s="4" t="str">
        <f>IFERROR(__xludf.DUMMYFUNCTION("""COMPUTED_VALUE"""),"PTS")</f>
        <v>PTS</v>
      </c>
      <c r="J6215" s="4" t="str">
        <f>IFERROR(__xludf.DUMMYFUNCTION("""COMPUTED_VALUE"""),"TRB")</f>
        <v>TRB</v>
      </c>
      <c r="K6215" s="4" t="str">
        <f>IFERROR(__xludf.DUMMYFUNCTION("""COMPUTED_VALUE"""),"AST")</f>
        <v>AST</v>
      </c>
      <c r="L6215" s="4" t="str">
        <f>IFERROR(__xludf.DUMMYFUNCTION("""COMPUTED_VALUE"""),"FG%")</f>
        <v>FG%</v>
      </c>
      <c r="M6215" s="4" t="str">
        <f>IFERROR(__xludf.DUMMYFUNCTION("""COMPUTED_VALUE"""),"3P%")</f>
        <v>3P%</v>
      </c>
      <c r="N6215" s="4" t="str">
        <f>IFERROR(__xludf.DUMMYFUNCTION("""COMPUTED_VALUE"""),"FT%")</f>
        <v>FT%</v>
      </c>
      <c r="O6215" s="4" t="str">
        <f>IFERROR(__xludf.DUMMYFUNCTION("""COMPUTED_VALUE"""),"MP")</f>
        <v>MP</v>
      </c>
      <c r="P6215" s="4" t="str">
        <f>IFERROR(__xludf.DUMMYFUNCTION("""COMPUTED_VALUE"""),"PTS")</f>
        <v>PTS</v>
      </c>
      <c r="Q6215" s="4" t="str">
        <f>IFERROR(__xludf.DUMMYFUNCTION("""COMPUTED_VALUE"""),"TRB")</f>
        <v>TRB</v>
      </c>
      <c r="R6215" s="4" t="str">
        <f>IFERROR(__xludf.DUMMYFUNCTION("""COMPUTED_VALUE"""),"AST")</f>
        <v>AST</v>
      </c>
      <c r="S6215" s="4" t="str">
        <f>IFERROR(__xludf.DUMMYFUNCTION("""COMPUTED_VALUE"""),"WS")</f>
        <v>WS</v>
      </c>
      <c r="T6215" s="4" t="str">
        <f>IFERROR(__xludf.DUMMYFUNCTION("""COMPUTED_VALUE"""),"WS/48")</f>
        <v>WS/48</v>
      </c>
      <c r="U6215" s="4" t="str">
        <f>IFERROR(__xludf.DUMMYFUNCTION("""COMPUTED_VALUE"""),"BPM")</f>
        <v>BPM</v>
      </c>
      <c r="V6215" s="4" t="str">
        <f>IFERROR(__xludf.DUMMYFUNCTION("""COMPUTED_VALUE"""),"VORP")</f>
        <v>VORP</v>
      </c>
    </row>
    <row r="6216">
      <c r="A6216" s="4">
        <f>IFERROR(__xludf.DUMMYFUNCTION("""COMPUTED_VALUE"""),233.0)</f>
        <v>233</v>
      </c>
      <c r="B6216" s="4">
        <f>IFERROR(__xludf.DUMMYFUNCTION("""COMPUTED_VALUE"""),233.0)</f>
        <v>233</v>
      </c>
      <c r="C6216" s="4" t="str">
        <f>IFERROR(__xludf.DUMMYFUNCTION("""COMPUTED_VALUE"""),"BUF")</f>
        <v>BUF</v>
      </c>
      <c r="D6216" s="4" t="str">
        <f>IFERROR(__xludf.DUMMYFUNCTION("""COMPUTED_VALUE"""),"Joey Meyer")</f>
        <v>Joey Meyer</v>
      </c>
      <c r="E6216" s="4" t="str">
        <f>IFERROR(__xludf.DUMMYFUNCTION("""COMPUTED_VALUE"""),"DePaul")</f>
        <v>DePaul</v>
      </c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</row>
    <row r="6217">
      <c r="A6217" s="4">
        <f>IFERROR(__xludf.DUMMYFUNCTION("""COMPUTED_VALUE"""),234.0)</f>
        <v>234</v>
      </c>
      <c r="B6217" s="4">
        <f>IFERROR(__xludf.DUMMYFUNCTION("""COMPUTED_VALUE"""),234.0)</f>
        <v>234</v>
      </c>
      <c r="C6217" s="4" t="str">
        <f>IFERROR(__xludf.DUMMYFUNCTION("""COMPUTED_VALUE"""),"HOU")</f>
        <v>HOU</v>
      </c>
      <c r="D6217" s="4" t="str">
        <f>IFERROR(__xludf.DUMMYFUNCTION("""COMPUTED_VALUE"""),"Carlos Quintanar")</f>
        <v>Carlos Quintanar</v>
      </c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</row>
    <row r="6218">
      <c r="A6218" s="4">
        <f>IFERROR(__xludf.DUMMYFUNCTION("""COMPUTED_VALUE"""),235.0)</f>
        <v>235</v>
      </c>
      <c r="B6218" s="4">
        <f>IFERROR(__xludf.DUMMYFUNCTION("""COMPUTED_VALUE"""),235.0)</f>
        <v>235</v>
      </c>
      <c r="C6218" s="4" t="str">
        <f>IFERROR(__xludf.DUMMYFUNCTION("""COMPUTED_VALUE"""),"DET")</f>
        <v>DET</v>
      </c>
      <c r="D6218" s="4" t="str">
        <f>IFERROR(__xludf.DUMMYFUNCTION("""COMPUTED_VALUE"""),"Ike Bundy")</f>
        <v>Ike Bundy</v>
      </c>
      <c r="E6218" s="4" t="str">
        <f>IFERROR(__xludf.DUMMYFUNCTION("""COMPUTED_VALUE"""),"Detroit Institute of Technology")</f>
        <v>Detroit Institute of Technology</v>
      </c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</row>
    <row r="6219">
      <c r="A6219" s="4"/>
      <c r="B6219" s="4"/>
      <c r="C6219" s="4"/>
      <c r="D6219" s="4" t="str">
        <f>IFERROR(__xludf.DUMMYFUNCTION("""COMPUTED_VALUE"""),"Round 19")</f>
        <v>Round 19</v>
      </c>
      <c r="E6219" s="4"/>
      <c r="F6219" s="4"/>
      <c r="G6219" s="4" t="str">
        <f>IFERROR(__xludf.DUMMYFUNCTION("""COMPUTED_VALUE"""),"Totals")</f>
        <v>Totals</v>
      </c>
      <c r="H6219" s="4"/>
      <c r="I6219" s="4"/>
      <c r="J6219" s="4"/>
      <c r="K6219" s="4"/>
      <c r="L6219" s="4" t="str">
        <f>IFERROR(__xludf.DUMMYFUNCTION("""COMPUTED_VALUE"""),"Shooting")</f>
        <v>Shooting</v>
      </c>
      <c r="M6219" s="4"/>
      <c r="N6219" s="4"/>
      <c r="O6219" s="4" t="str">
        <f>IFERROR(__xludf.DUMMYFUNCTION("""COMPUTED_VALUE"""),"Per Game")</f>
        <v>Per Game</v>
      </c>
      <c r="P6219" s="4"/>
      <c r="Q6219" s="4"/>
      <c r="R6219" s="4"/>
      <c r="S6219" s="4" t="str">
        <f>IFERROR(__xludf.DUMMYFUNCTION("""COMPUTED_VALUE"""),"Advanced")</f>
        <v>Advanced</v>
      </c>
      <c r="T6219" s="4"/>
      <c r="U6219" s="4"/>
      <c r="V6219" s="4"/>
    </row>
    <row r="6220">
      <c r="A6220" s="4" t="str">
        <f>IFERROR(__xludf.DUMMYFUNCTION("""COMPUTED_VALUE"""),"Rk")</f>
        <v>Rk</v>
      </c>
      <c r="B6220" s="4" t="str">
        <f>IFERROR(__xludf.DUMMYFUNCTION("""COMPUTED_VALUE"""),"Pk")</f>
        <v>Pk</v>
      </c>
      <c r="C6220" s="4" t="str">
        <f>IFERROR(__xludf.DUMMYFUNCTION("""COMPUTED_VALUE"""),"Tm")</f>
        <v>Tm</v>
      </c>
      <c r="D6220" s="4" t="str">
        <f>IFERROR(__xludf.DUMMYFUNCTION("""COMPUTED_VALUE"""),"Player")</f>
        <v>Player</v>
      </c>
      <c r="E6220" s="4" t="str">
        <f>IFERROR(__xludf.DUMMYFUNCTION("""COMPUTED_VALUE"""),"College")</f>
        <v>College</v>
      </c>
      <c r="F6220" s="4" t="str">
        <f>IFERROR(__xludf.DUMMYFUNCTION("""COMPUTED_VALUE"""),"Yrs")</f>
        <v>Yrs</v>
      </c>
      <c r="G6220" s="4" t="str">
        <f>IFERROR(__xludf.DUMMYFUNCTION("""COMPUTED_VALUE"""),"G")</f>
        <v>G</v>
      </c>
      <c r="H6220" s="4" t="str">
        <f>IFERROR(__xludf.DUMMYFUNCTION("""COMPUTED_VALUE"""),"MP")</f>
        <v>MP</v>
      </c>
      <c r="I6220" s="4" t="str">
        <f>IFERROR(__xludf.DUMMYFUNCTION("""COMPUTED_VALUE"""),"PTS")</f>
        <v>PTS</v>
      </c>
      <c r="J6220" s="4" t="str">
        <f>IFERROR(__xludf.DUMMYFUNCTION("""COMPUTED_VALUE"""),"TRB")</f>
        <v>TRB</v>
      </c>
      <c r="K6220" s="4" t="str">
        <f>IFERROR(__xludf.DUMMYFUNCTION("""COMPUTED_VALUE"""),"AST")</f>
        <v>AST</v>
      </c>
      <c r="L6220" s="4" t="str">
        <f>IFERROR(__xludf.DUMMYFUNCTION("""COMPUTED_VALUE"""),"FG%")</f>
        <v>FG%</v>
      </c>
      <c r="M6220" s="4" t="str">
        <f>IFERROR(__xludf.DUMMYFUNCTION("""COMPUTED_VALUE"""),"3P%")</f>
        <v>3P%</v>
      </c>
      <c r="N6220" s="4" t="str">
        <f>IFERROR(__xludf.DUMMYFUNCTION("""COMPUTED_VALUE"""),"FT%")</f>
        <v>FT%</v>
      </c>
      <c r="O6220" s="4" t="str">
        <f>IFERROR(__xludf.DUMMYFUNCTION("""COMPUTED_VALUE"""),"MP")</f>
        <v>MP</v>
      </c>
      <c r="P6220" s="4" t="str">
        <f>IFERROR(__xludf.DUMMYFUNCTION("""COMPUTED_VALUE"""),"PTS")</f>
        <v>PTS</v>
      </c>
      <c r="Q6220" s="4" t="str">
        <f>IFERROR(__xludf.DUMMYFUNCTION("""COMPUTED_VALUE"""),"TRB")</f>
        <v>TRB</v>
      </c>
      <c r="R6220" s="4" t="str">
        <f>IFERROR(__xludf.DUMMYFUNCTION("""COMPUTED_VALUE"""),"AST")</f>
        <v>AST</v>
      </c>
      <c r="S6220" s="4" t="str">
        <f>IFERROR(__xludf.DUMMYFUNCTION("""COMPUTED_VALUE"""),"WS")</f>
        <v>WS</v>
      </c>
      <c r="T6220" s="4" t="str">
        <f>IFERROR(__xludf.DUMMYFUNCTION("""COMPUTED_VALUE"""),"WS/48")</f>
        <v>WS/48</v>
      </c>
      <c r="U6220" s="4" t="str">
        <f>IFERROR(__xludf.DUMMYFUNCTION("""COMPUTED_VALUE"""),"BPM")</f>
        <v>BPM</v>
      </c>
      <c r="V6220" s="4" t="str">
        <f>IFERROR(__xludf.DUMMYFUNCTION("""COMPUTED_VALUE"""),"VORP")</f>
        <v>VORP</v>
      </c>
    </row>
    <row r="6221">
      <c r="A6221" s="4">
        <f>IFERROR(__xludf.DUMMYFUNCTION("""COMPUTED_VALUE"""),236.0)</f>
        <v>236</v>
      </c>
      <c r="B6221" s="4">
        <f>IFERROR(__xludf.DUMMYFUNCTION("""COMPUTED_VALUE"""),236.0)</f>
        <v>236</v>
      </c>
      <c r="C6221" s="4" t="str">
        <f>IFERROR(__xludf.DUMMYFUNCTION("""COMPUTED_VALUE"""),"HOU")</f>
        <v>HOU</v>
      </c>
      <c r="D6221" s="4" t="str">
        <f>IFERROR(__xludf.DUMMYFUNCTION("""COMPUTED_VALUE"""),"Gary Schneider")</f>
        <v>Gary Schneider</v>
      </c>
      <c r="E6221" s="4" t="str">
        <f>IFERROR(__xludf.DUMMYFUNCTION("""COMPUTED_VALUE"""),"San Diego State")</f>
        <v>San Diego State</v>
      </c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</row>
    <row r="6222">
      <c r="A6222" s="4">
        <f>IFERROR(__xludf.DUMMYFUNCTION("""COMPUTED_VALUE"""),237.0)</f>
        <v>237</v>
      </c>
      <c r="B6222" s="4">
        <f>IFERROR(__xludf.DUMMYFUNCTION("""COMPUTED_VALUE"""),237.0)</f>
        <v>237</v>
      </c>
      <c r="C6222" s="4" t="str">
        <f>IFERROR(__xludf.DUMMYFUNCTION("""COMPUTED_VALUE"""),"DET")</f>
        <v>DET</v>
      </c>
      <c r="D6222" s="4" t="str">
        <f>IFERROR(__xludf.DUMMYFUNCTION("""COMPUTED_VALUE"""),"Ed Jenkins")</f>
        <v>Ed Jenkins</v>
      </c>
      <c r="E6222" s="4" t="str">
        <f>IFERROR(__xludf.DUMMYFUNCTION("""COMPUTED_VALUE"""),"Shaw")</f>
        <v>Shaw</v>
      </c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</row>
    <row r="6224">
      <c r="A6224" s="2">
        <v>1970.0</v>
      </c>
    </row>
    <row r="6225">
      <c r="A6225" s="4" t="str">
        <f>IFERROR(__xludf.DUMMYFUNCTION("IMPORTHTML(""https://www.basketball-reference.com/draft/NBA_1970.html"", ""table"", 1)"),"")</f>
        <v/>
      </c>
      <c r="B6225" s="4"/>
      <c r="C6225" s="4"/>
      <c r="D6225" s="4" t="str">
        <f>IFERROR(__xludf.DUMMYFUNCTION("""COMPUTED_VALUE"""),"Round 1")</f>
        <v>Round 1</v>
      </c>
      <c r="E6225" s="4"/>
      <c r="F6225" s="4"/>
      <c r="G6225" s="4" t="str">
        <f>IFERROR(__xludf.DUMMYFUNCTION("""COMPUTED_VALUE"""),"Totals")</f>
        <v>Totals</v>
      </c>
      <c r="H6225" s="4"/>
      <c r="I6225" s="4"/>
      <c r="J6225" s="4"/>
      <c r="K6225" s="4"/>
      <c r="L6225" s="4" t="str">
        <f>IFERROR(__xludf.DUMMYFUNCTION("""COMPUTED_VALUE"""),"Shooting")</f>
        <v>Shooting</v>
      </c>
      <c r="M6225" s="4"/>
      <c r="N6225" s="4"/>
      <c r="O6225" s="4" t="str">
        <f>IFERROR(__xludf.DUMMYFUNCTION("""COMPUTED_VALUE"""),"Per Game")</f>
        <v>Per Game</v>
      </c>
      <c r="P6225" s="4"/>
      <c r="Q6225" s="4"/>
      <c r="R6225" s="4"/>
      <c r="S6225" s="4" t="str">
        <f>IFERROR(__xludf.DUMMYFUNCTION("""COMPUTED_VALUE"""),"Advanced")</f>
        <v>Advanced</v>
      </c>
      <c r="T6225" s="4"/>
      <c r="U6225" s="4"/>
      <c r="V6225" s="4"/>
    </row>
    <row r="6226">
      <c r="A6226" s="4" t="str">
        <f>IFERROR(__xludf.DUMMYFUNCTION("""COMPUTED_VALUE"""),"Rk")</f>
        <v>Rk</v>
      </c>
      <c r="B6226" s="4" t="str">
        <f>IFERROR(__xludf.DUMMYFUNCTION("""COMPUTED_VALUE"""),"Pk")</f>
        <v>Pk</v>
      </c>
      <c r="C6226" s="4" t="str">
        <f>IFERROR(__xludf.DUMMYFUNCTION("""COMPUTED_VALUE"""),"Tm")</f>
        <v>Tm</v>
      </c>
      <c r="D6226" s="4" t="str">
        <f>IFERROR(__xludf.DUMMYFUNCTION("""COMPUTED_VALUE"""),"Player")</f>
        <v>Player</v>
      </c>
      <c r="E6226" s="4" t="str">
        <f>IFERROR(__xludf.DUMMYFUNCTION("""COMPUTED_VALUE"""),"College")</f>
        <v>College</v>
      </c>
      <c r="F6226" s="4" t="str">
        <f>IFERROR(__xludf.DUMMYFUNCTION("""COMPUTED_VALUE"""),"Yrs")</f>
        <v>Yrs</v>
      </c>
      <c r="G6226" s="4" t="str">
        <f>IFERROR(__xludf.DUMMYFUNCTION("""COMPUTED_VALUE"""),"G")</f>
        <v>G</v>
      </c>
      <c r="H6226" s="4" t="str">
        <f>IFERROR(__xludf.DUMMYFUNCTION("""COMPUTED_VALUE"""),"MP")</f>
        <v>MP</v>
      </c>
      <c r="I6226" s="4" t="str">
        <f>IFERROR(__xludf.DUMMYFUNCTION("""COMPUTED_VALUE"""),"PTS")</f>
        <v>PTS</v>
      </c>
      <c r="J6226" s="4" t="str">
        <f>IFERROR(__xludf.DUMMYFUNCTION("""COMPUTED_VALUE"""),"TRB")</f>
        <v>TRB</v>
      </c>
      <c r="K6226" s="4" t="str">
        <f>IFERROR(__xludf.DUMMYFUNCTION("""COMPUTED_VALUE"""),"AST")</f>
        <v>AST</v>
      </c>
      <c r="L6226" s="4" t="str">
        <f>IFERROR(__xludf.DUMMYFUNCTION("""COMPUTED_VALUE"""),"FG%")</f>
        <v>FG%</v>
      </c>
      <c r="M6226" s="4" t="str">
        <f>IFERROR(__xludf.DUMMYFUNCTION("""COMPUTED_VALUE"""),"3P%")</f>
        <v>3P%</v>
      </c>
      <c r="N6226" s="4" t="str">
        <f>IFERROR(__xludf.DUMMYFUNCTION("""COMPUTED_VALUE"""),"FT%")</f>
        <v>FT%</v>
      </c>
      <c r="O6226" s="4" t="str">
        <f>IFERROR(__xludf.DUMMYFUNCTION("""COMPUTED_VALUE"""),"MP")</f>
        <v>MP</v>
      </c>
      <c r="P6226" s="4" t="str">
        <f>IFERROR(__xludf.DUMMYFUNCTION("""COMPUTED_VALUE"""),"PTS")</f>
        <v>PTS</v>
      </c>
      <c r="Q6226" s="4" t="str">
        <f>IFERROR(__xludf.DUMMYFUNCTION("""COMPUTED_VALUE"""),"TRB")</f>
        <v>TRB</v>
      </c>
      <c r="R6226" s="4" t="str">
        <f>IFERROR(__xludf.DUMMYFUNCTION("""COMPUTED_VALUE"""),"AST")</f>
        <v>AST</v>
      </c>
      <c r="S6226" s="4" t="str">
        <f>IFERROR(__xludf.DUMMYFUNCTION("""COMPUTED_VALUE"""),"WS")</f>
        <v>WS</v>
      </c>
      <c r="T6226" s="4" t="str">
        <f>IFERROR(__xludf.DUMMYFUNCTION("""COMPUTED_VALUE"""),"WS/48")</f>
        <v>WS/48</v>
      </c>
      <c r="U6226" s="4" t="str">
        <f>IFERROR(__xludf.DUMMYFUNCTION("""COMPUTED_VALUE"""),"BPM")</f>
        <v>BPM</v>
      </c>
      <c r="V6226" s="4" t="str">
        <f>IFERROR(__xludf.DUMMYFUNCTION("""COMPUTED_VALUE"""),"VORP")</f>
        <v>VORP</v>
      </c>
    </row>
    <row r="6227">
      <c r="A6227" s="4">
        <f>IFERROR(__xludf.DUMMYFUNCTION("""COMPUTED_VALUE"""),1.0)</f>
        <v>1</v>
      </c>
      <c r="B6227" s="4">
        <f>IFERROR(__xludf.DUMMYFUNCTION("""COMPUTED_VALUE"""),1.0)</f>
        <v>1</v>
      </c>
      <c r="C6227" s="4" t="str">
        <f>IFERROR(__xludf.DUMMYFUNCTION("""COMPUTED_VALUE"""),"DET")</f>
        <v>DET</v>
      </c>
      <c r="D6227" s="4" t="str">
        <f>IFERROR(__xludf.DUMMYFUNCTION("""COMPUTED_VALUE"""),"Bob Lanier")</f>
        <v>Bob Lanier</v>
      </c>
      <c r="E6227" s="4" t="str">
        <f>IFERROR(__xludf.DUMMYFUNCTION("""COMPUTED_VALUE"""),"St. Bonaventure")</f>
        <v>St. Bonaventure</v>
      </c>
      <c r="F6227" s="4">
        <f>IFERROR(__xludf.DUMMYFUNCTION("""COMPUTED_VALUE"""),14.0)</f>
        <v>14</v>
      </c>
      <c r="G6227" s="4">
        <f>IFERROR(__xludf.DUMMYFUNCTION("""COMPUTED_VALUE"""),959.0)</f>
        <v>959</v>
      </c>
      <c r="H6227" s="4">
        <f>IFERROR(__xludf.DUMMYFUNCTION("""COMPUTED_VALUE"""),32103.0)</f>
        <v>32103</v>
      </c>
      <c r="I6227" s="4">
        <f>IFERROR(__xludf.DUMMYFUNCTION("""COMPUTED_VALUE"""),19248.0)</f>
        <v>19248</v>
      </c>
      <c r="J6227" s="4">
        <f>IFERROR(__xludf.DUMMYFUNCTION("""COMPUTED_VALUE"""),9698.0)</f>
        <v>9698</v>
      </c>
      <c r="K6227" s="4">
        <f>IFERROR(__xludf.DUMMYFUNCTION("""COMPUTED_VALUE"""),3007.0)</f>
        <v>3007</v>
      </c>
      <c r="L6227" s="4">
        <f>IFERROR(__xludf.DUMMYFUNCTION("""COMPUTED_VALUE"""),0.514)</f>
        <v>0.514</v>
      </c>
      <c r="M6227" s="4"/>
      <c r="N6227" s="4">
        <f>IFERROR(__xludf.DUMMYFUNCTION("""COMPUTED_VALUE"""),0.767)</f>
        <v>0.767</v>
      </c>
      <c r="O6227" s="4">
        <f>IFERROR(__xludf.DUMMYFUNCTION("""COMPUTED_VALUE"""),33.5)</f>
        <v>33.5</v>
      </c>
      <c r="P6227" s="4">
        <f>IFERROR(__xludf.DUMMYFUNCTION("""COMPUTED_VALUE"""),20.1)</f>
        <v>20.1</v>
      </c>
      <c r="Q6227" s="4">
        <f>IFERROR(__xludf.DUMMYFUNCTION("""COMPUTED_VALUE"""),10.1)</f>
        <v>10.1</v>
      </c>
      <c r="R6227" s="4">
        <f>IFERROR(__xludf.DUMMYFUNCTION("""COMPUTED_VALUE"""),3.1)</f>
        <v>3.1</v>
      </c>
      <c r="S6227" s="4">
        <f>IFERROR(__xludf.DUMMYFUNCTION("""COMPUTED_VALUE"""),117.1)</f>
        <v>117.1</v>
      </c>
      <c r="T6227" s="4">
        <f>IFERROR(__xludf.DUMMYFUNCTION("""COMPUTED_VALUE"""),0.175)</f>
        <v>0.175</v>
      </c>
      <c r="U6227" s="4">
        <f>IFERROR(__xludf.DUMMYFUNCTION("""COMPUTED_VALUE"""),4.5)</f>
        <v>4.5</v>
      </c>
      <c r="V6227" s="4">
        <f>IFERROR(__xludf.DUMMYFUNCTION("""COMPUTED_VALUE"""),39.4)</f>
        <v>39.4</v>
      </c>
    </row>
    <row r="6228">
      <c r="A6228" s="4">
        <f>IFERROR(__xludf.DUMMYFUNCTION("""COMPUTED_VALUE"""),2.0)</f>
        <v>2</v>
      </c>
      <c r="B6228" s="4">
        <f>IFERROR(__xludf.DUMMYFUNCTION("""COMPUTED_VALUE"""),2.0)</f>
        <v>2</v>
      </c>
      <c r="C6228" s="4" t="str">
        <f>IFERROR(__xludf.DUMMYFUNCTION("""COMPUTED_VALUE"""),"SDR")</f>
        <v>SDR</v>
      </c>
      <c r="D6228" s="4" t="str">
        <f>IFERROR(__xludf.DUMMYFUNCTION("""COMPUTED_VALUE"""),"Rudy Tomjanovich")</f>
        <v>Rudy Tomjanovich</v>
      </c>
      <c r="E6228" s="4" t="str">
        <f>IFERROR(__xludf.DUMMYFUNCTION("""COMPUTED_VALUE"""),"Michigan")</f>
        <v>Michigan</v>
      </c>
      <c r="F6228" s="4">
        <f>IFERROR(__xludf.DUMMYFUNCTION("""COMPUTED_VALUE"""),11.0)</f>
        <v>11</v>
      </c>
      <c r="G6228" s="4">
        <f>IFERROR(__xludf.DUMMYFUNCTION("""COMPUTED_VALUE"""),768.0)</f>
        <v>768</v>
      </c>
      <c r="H6228" s="4">
        <f>IFERROR(__xludf.DUMMYFUNCTION("""COMPUTED_VALUE"""),25714.0)</f>
        <v>25714</v>
      </c>
      <c r="I6228" s="4">
        <f>IFERROR(__xludf.DUMMYFUNCTION("""COMPUTED_VALUE"""),13383.0)</f>
        <v>13383</v>
      </c>
      <c r="J6228" s="4">
        <f>IFERROR(__xludf.DUMMYFUNCTION("""COMPUTED_VALUE"""),6198.0)</f>
        <v>6198</v>
      </c>
      <c r="K6228" s="4">
        <f>IFERROR(__xludf.DUMMYFUNCTION("""COMPUTED_VALUE"""),1573.0)</f>
        <v>1573</v>
      </c>
      <c r="L6228" s="4">
        <f>IFERROR(__xludf.DUMMYFUNCTION("""COMPUTED_VALUE"""),0.501)</f>
        <v>0.501</v>
      </c>
      <c r="M6228" s="4"/>
      <c r="N6228" s="4">
        <f>IFERROR(__xludf.DUMMYFUNCTION("""COMPUTED_VALUE"""),0.784)</f>
        <v>0.784</v>
      </c>
      <c r="O6228" s="4">
        <f>IFERROR(__xludf.DUMMYFUNCTION("""COMPUTED_VALUE"""),33.5)</f>
        <v>33.5</v>
      </c>
      <c r="P6228" s="4">
        <f>IFERROR(__xludf.DUMMYFUNCTION("""COMPUTED_VALUE"""),17.4)</f>
        <v>17.4</v>
      </c>
      <c r="Q6228" s="4">
        <f>IFERROR(__xludf.DUMMYFUNCTION("""COMPUTED_VALUE"""),8.1)</f>
        <v>8.1</v>
      </c>
      <c r="R6228" s="4">
        <f>IFERROR(__xludf.DUMMYFUNCTION("""COMPUTED_VALUE"""),2.0)</f>
        <v>2</v>
      </c>
      <c r="S6228" s="4">
        <f>IFERROR(__xludf.DUMMYFUNCTION("""COMPUTED_VALUE"""),70.4)</f>
        <v>70.4</v>
      </c>
      <c r="T6228" s="4">
        <f>IFERROR(__xludf.DUMMYFUNCTION("""COMPUTED_VALUE"""),0.131)</f>
        <v>0.131</v>
      </c>
      <c r="U6228" s="4">
        <f>IFERROR(__xludf.DUMMYFUNCTION("""COMPUTED_VALUE"""),0.8)</f>
        <v>0.8</v>
      </c>
      <c r="V6228" s="4">
        <f>IFERROR(__xludf.DUMMYFUNCTION("""COMPUTED_VALUE"""),13.3)</f>
        <v>13.3</v>
      </c>
    </row>
    <row r="6229">
      <c r="A6229" s="4">
        <f>IFERROR(__xludf.DUMMYFUNCTION("""COMPUTED_VALUE"""),3.0)</f>
        <v>3</v>
      </c>
      <c r="B6229" s="4">
        <f>IFERROR(__xludf.DUMMYFUNCTION("""COMPUTED_VALUE"""),3.0)</f>
        <v>3</v>
      </c>
      <c r="C6229" s="4" t="str">
        <f>IFERROR(__xludf.DUMMYFUNCTION("""COMPUTED_VALUE"""),"ATL")</f>
        <v>ATL</v>
      </c>
      <c r="D6229" s="4" t="str">
        <f>IFERROR(__xludf.DUMMYFUNCTION("""COMPUTED_VALUE"""),"Pete Maravich")</f>
        <v>Pete Maravich</v>
      </c>
      <c r="E6229" s="4" t="str">
        <f>IFERROR(__xludf.DUMMYFUNCTION("""COMPUTED_VALUE"""),"LSU")</f>
        <v>LSU</v>
      </c>
      <c r="F6229" s="4">
        <f>IFERROR(__xludf.DUMMYFUNCTION("""COMPUTED_VALUE"""),10.0)</f>
        <v>10</v>
      </c>
      <c r="G6229" s="4">
        <f>IFERROR(__xludf.DUMMYFUNCTION("""COMPUTED_VALUE"""),658.0)</f>
        <v>658</v>
      </c>
      <c r="H6229" s="4">
        <f>IFERROR(__xludf.DUMMYFUNCTION("""COMPUTED_VALUE"""),24316.0)</f>
        <v>24316</v>
      </c>
      <c r="I6229" s="4">
        <f>IFERROR(__xludf.DUMMYFUNCTION("""COMPUTED_VALUE"""),15948.0)</f>
        <v>15948</v>
      </c>
      <c r="J6229" s="4">
        <f>IFERROR(__xludf.DUMMYFUNCTION("""COMPUTED_VALUE"""),2747.0)</f>
        <v>2747</v>
      </c>
      <c r="K6229" s="4">
        <f>IFERROR(__xludf.DUMMYFUNCTION("""COMPUTED_VALUE"""),3563.0)</f>
        <v>3563</v>
      </c>
      <c r="L6229" s="4">
        <f>IFERROR(__xludf.DUMMYFUNCTION("""COMPUTED_VALUE"""),0.441)</f>
        <v>0.441</v>
      </c>
      <c r="M6229" s="4"/>
      <c r="N6229" s="4">
        <f>IFERROR(__xludf.DUMMYFUNCTION("""COMPUTED_VALUE"""),0.82)</f>
        <v>0.82</v>
      </c>
      <c r="O6229" s="4">
        <f>IFERROR(__xludf.DUMMYFUNCTION("""COMPUTED_VALUE"""),37.0)</f>
        <v>37</v>
      </c>
      <c r="P6229" s="4">
        <f>IFERROR(__xludf.DUMMYFUNCTION("""COMPUTED_VALUE"""),24.2)</f>
        <v>24.2</v>
      </c>
      <c r="Q6229" s="4">
        <f>IFERROR(__xludf.DUMMYFUNCTION("""COMPUTED_VALUE"""),4.2)</f>
        <v>4.2</v>
      </c>
      <c r="R6229" s="4">
        <f>IFERROR(__xludf.DUMMYFUNCTION("""COMPUTED_VALUE"""),5.4)</f>
        <v>5.4</v>
      </c>
      <c r="S6229" s="4">
        <f>IFERROR(__xludf.DUMMYFUNCTION("""COMPUTED_VALUE"""),46.7)</f>
        <v>46.7</v>
      </c>
      <c r="T6229" s="4">
        <f>IFERROR(__xludf.DUMMYFUNCTION("""COMPUTED_VALUE"""),0.092)</f>
        <v>0.092</v>
      </c>
      <c r="U6229" s="4">
        <f>IFERROR(__xludf.DUMMYFUNCTION("""COMPUTED_VALUE"""),0.2)</f>
        <v>0.2</v>
      </c>
      <c r="V6229" s="4">
        <f>IFERROR(__xludf.DUMMYFUNCTION("""COMPUTED_VALUE"""),8.9)</f>
        <v>8.9</v>
      </c>
    </row>
    <row r="6230">
      <c r="A6230" s="4">
        <f>IFERROR(__xludf.DUMMYFUNCTION("""COMPUTED_VALUE"""),4.0)</f>
        <v>4</v>
      </c>
      <c r="B6230" s="4">
        <f>IFERROR(__xludf.DUMMYFUNCTION("""COMPUTED_VALUE"""),4.0)</f>
        <v>4</v>
      </c>
      <c r="C6230" s="4" t="str">
        <f>IFERROR(__xludf.DUMMYFUNCTION("""COMPUTED_VALUE"""),"BOS")</f>
        <v>BOS</v>
      </c>
      <c r="D6230" s="4" t="str">
        <f>IFERROR(__xludf.DUMMYFUNCTION("""COMPUTED_VALUE"""),"Dave Cowens")</f>
        <v>Dave Cowens</v>
      </c>
      <c r="E6230" s="4" t="str">
        <f>IFERROR(__xludf.DUMMYFUNCTION("""COMPUTED_VALUE"""),"Florida State")</f>
        <v>Florida State</v>
      </c>
      <c r="F6230" s="4">
        <f>IFERROR(__xludf.DUMMYFUNCTION("""COMPUTED_VALUE"""),11.0)</f>
        <v>11</v>
      </c>
      <c r="G6230" s="4">
        <f>IFERROR(__xludf.DUMMYFUNCTION("""COMPUTED_VALUE"""),766.0)</f>
        <v>766</v>
      </c>
      <c r="H6230" s="4">
        <f>IFERROR(__xludf.DUMMYFUNCTION("""COMPUTED_VALUE"""),29565.0)</f>
        <v>29565</v>
      </c>
      <c r="I6230" s="4">
        <f>IFERROR(__xludf.DUMMYFUNCTION("""COMPUTED_VALUE"""),13516.0)</f>
        <v>13516</v>
      </c>
      <c r="J6230" s="4">
        <f>IFERROR(__xludf.DUMMYFUNCTION("""COMPUTED_VALUE"""),10444.0)</f>
        <v>10444</v>
      </c>
      <c r="K6230" s="4">
        <f>IFERROR(__xludf.DUMMYFUNCTION("""COMPUTED_VALUE"""),2910.0)</f>
        <v>2910</v>
      </c>
      <c r="L6230" s="4">
        <f>IFERROR(__xludf.DUMMYFUNCTION("""COMPUTED_VALUE"""),0.46)</f>
        <v>0.46</v>
      </c>
      <c r="M6230" s="4"/>
      <c r="N6230" s="4">
        <f>IFERROR(__xludf.DUMMYFUNCTION("""COMPUTED_VALUE"""),0.783)</f>
        <v>0.783</v>
      </c>
      <c r="O6230" s="4">
        <f>IFERROR(__xludf.DUMMYFUNCTION("""COMPUTED_VALUE"""),38.6)</f>
        <v>38.6</v>
      </c>
      <c r="P6230" s="4">
        <f>IFERROR(__xludf.DUMMYFUNCTION("""COMPUTED_VALUE"""),17.6)</f>
        <v>17.6</v>
      </c>
      <c r="Q6230" s="4">
        <f>IFERROR(__xludf.DUMMYFUNCTION("""COMPUTED_VALUE"""),13.6)</f>
        <v>13.6</v>
      </c>
      <c r="R6230" s="4">
        <f>IFERROR(__xludf.DUMMYFUNCTION("""COMPUTED_VALUE"""),3.8)</f>
        <v>3.8</v>
      </c>
      <c r="S6230" s="4">
        <f>IFERROR(__xludf.DUMMYFUNCTION("""COMPUTED_VALUE"""),86.3)</f>
        <v>86.3</v>
      </c>
      <c r="T6230" s="4">
        <f>IFERROR(__xludf.DUMMYFUNCTION("""COMPUTED_VALUE"""),0.14)</f>
        <v>0.14</v>
      </c>
      <c r="U6230" s="4">
        <f>IFERROR(__xludf.DUMMYFUNCTION("""COMPUTED_VALUE"""),2.3)</f>
        <v>2.3</v>
      </c>
      <c r="V6230" s="4">
        <f>IFERROR(__xludf.DUMMYFUNCTION("""COMPUTED_VALUE"""),21.5)</f>
        <v>21.5</v>
      </c>
    </row>
    <row r="6231">
      <c r="A6231" s="4">
        <f>IFERROR(__xludf.DUMMYFUNCTION("""COMPUTED_VALUE"""),5.0)</f>
        <v>5</v>
      </c>
      <c r="B6231" s="4">
        <f>IFERROR(__xludf.DUMMYFUNCTION("""COMPUTED_VALUE"""),5.0)</f>
        <v>5</v>
      </c>
      <c r="C6231" s="4" t="str">
        <f>IFERROR(__xludf.DUMMYFUNCTION("""COMPUTED_VALUE"""),"CIN")</f>
        <v>CIN</v>
      </c>
      <c r="D6231" s="4" t="str">
        <f>IFERROR(__xludf.DUMMYFUNCTION("""COMPUTED_VALUE"""),"Sam Lacey")</f>
        <v>Sam Lacey</v>
      </c>
      <c r="E6231" s="4" t="str">
        <f>IFERROR(__xludf.DUMMYFUNCTION("""COMPUTED_VALUE"""),"New Mexico State")</f>
        <v>New Mexico State</v>
      </c>
      <c r="F6231" s="4">
        <f>IFERROR(__xludf.DUMMYFUNCTION("""COMPUTED_VALUE"""),13.0)</f>
        <v>13</v>
      </c>
      <c r="G6231" s="4">
        <f>IFERROR(__xludf.DUMMYFUNCTION("""COMPUTED_VALUE"""),1002.0)</f>
        <v>1002</v>
      </c>
      <c r="H6231" s="4">
        <f>IFERROR(__xludf.DUMMYFUNCTION("""COMPUTED_VALUE"""),31873.0)</f>
        <v>31873</v>
      </c>
      <c r="I6231" s="4">
        <f>IFERROR(__xludf.DUMMYFUNCTION("""COMPUTED_VALUE"""),10303.0)</f>
        <v>10303</v>
      </c>
      <c r="J6231" s="4">
        <f>IFERROR(__xludf.DUMMYFUNCTION("""COMPUTED_VALUE"""),9687.0)</f>
        <v>9687</v>
      </c>
      <c r="K6231" s="4">
        <f>IFERROR(__xludf.DUMMYFUNCTION("""COMPUTED_VALUE"""),3754.0)</f>
        <v>3754</v>
      </c>
      <c r="L6231" s="4">
        <f>IFERROR(__xludf.DUMMYFUNCTION("""COMPUTED_VALUE"""),0.441)</f>
        <v>0.441</v>
      </c>
      <c r="M6231" s="4"/>
      <c r="N6231" s="4">
        <f>IFERROR(__xludf.DUMMYFUNCTION("""COMPUTED_VALUE"""),0.738)</f>
        <v>0.738</v>
      </c>
      <c r="O6231" s="4">
        <f>IFERROR(__xludf.DUMMYFUNCTION("""COMPUTED_VALUE"""),31.8)</f>
        <v>31.8</v>
      </c>
      <c r="P6231" s="4">
        <f>IFERROR(__xludf.DUMMYFUNCTION("""COMPUTED_VALUE"""),10.3)</f>
        <v>10.3</v>
      </c>
      <c r="Q6231" s="4">
        <f>IFERROR(__xludf.DUMMYFUNCTION("""COMPUTED_VALUE"""),9.7)</f>
        <v>9.7</v>
      </c>
      <c r="R6231" s="4">
        <f>IFERROR(__xludf.DUMMYFUNCTION("""COMPUTED_VALUE"""),3.7)</f>
        <v>3.7</v>
      </c>
      <c r="S6231" s="4">
        <f>IFERROR(__xludf.DUMMYFUNCTION("""COMPUTED_VALUE"""),50.9)</f>
        <v>50.9</v>
      </c>
      <c r="T6231" s="4">
        <f>IFERROR(__xludf.DUMMYFUNCTION("""COMPUTED_VALUE"""),0.077)</f>
        <v>0.077</v>
      </c>
      <c r="U6231" s="4">
        <f>IFERROR(__xludf.DUMMYFUNCTION("""COMPUTED_VALUE"""),2.4)</f>
        <v>2.4</v>
      </c>
      <c r="V6231" s="4">
        <f>IFERROR(__xludf.DUMMYFUNCTION("""COMPUTED_VALUE"""),25.9)</f>
        <v>25.9</v>
      </c>
    </row>
    <row r="6232">
      <c r="A6232" s="4">
        <f>IFERROR(__xludf.DUMMYFUNCTION("""COMPUTED_VALUE"""),6.0)</f>
        <v>6</v>
      </c>
      <c r="B6232" s="4">
        <f>IFERROR(__xludf.DUMMYFUNCTION("""COMPUTED_VALUE"""),6.0)</f>
        <v>6</v>
      </c>
      <c r="C6232" s="4" t="str">
        <f>IFERROR(__xludf.DUMMYFUNCTION("""COMPUTED_VALUE"""),"SEA")</f>
        <v>SEA</v>
      </c>
      <c r="D6232" s="4" t="str">
        <f>IFERROR(__xludf.DUMMYFUNCTION("""COMPUTED_VALUE"""),"Jim Ard")</f>
        <v>Jim Ard</v>
      </c>
      <c r="E6232" s="4" t="str">
        <f>IFERROR(__xludf.DUMMYFUNCTION("""COMPUTED_VALUE"""),"Cincinnati")</f>
        <v>Cincinnati</v>
      </c>
      <c r="F6232" s="4">
        <f>IFERROR(__xludf.DUMMYFUNCTION("""COMPUTED_VALUE"""),4.0)</f>
        <v>4</v>
      </c>
      <c r="G6232" s="4">
        <f>IFERROR(__xludf.DUMMYFUNCTION("""COMPUTED_VALUE"""),218.0)</f>
        <v>218</v>
      </c>
      <c r="H6232" s="4">
        <f>IFERROR(__xludf.DUMMYFUNCTION("""COMPUTED_VALUE"""),2666.0)</f>
        <v>2666</v>
      </c>
      <c r="I6232" s="4">
        <f>IFERROR(__xludf.DUMMYFUNCTION("""COMPUTED_VALUE"""),771.0)</f>
        <v>771</v>
      </c>
      <c r="J6232" s="4">
        <f>IFERROR(__xludf.DUMMYFUNCTION("""COMPUTED_VALUE"""),820.0)</f>
        <v>820</v>
      </c>
      <c r="K6232" s="4">
        <f>IFERROR(__xludf.DUMMYFUNCTION("""COMPUTED_VALUE"""),149.0)</f>
        <v>149</v>
      </c>
      <c r="L6232" s="4">
        <f>IFERROR(__xludf.DUMMYFUNCTION("""COMPUTED_VALUE"""),0.361)</f>
        <v>0.361</v>
      </c>
      <c r="M6232" s="4"/>
      <c r="N6232" s="4">
        <f>IFERROR(__xludf.DUMMYFUNCTION("""COMPUTED_VALUE"""),0.695)</f>
        <v>0.695</v>
      </c>
      <c r="O6232" s="4">
        <f>IFERROR(__xludf.DUMMYFUNCTION("""COMPUTED_VALUE"""),12.2)</f>
        <v>12.2</v>
      </c>
      <c r="P6232" s="4">
        <f>IFERROR(__xludf.DUMMYFUNCTION("""COMPUTED_VALUE"""),3.5)</f>
        <v>3.5</v>
      </c>
      <c r="Q6232" s="4">
        <f>IFERROR(__xludf.DUMMYFUNCTION("""COMPUTED_VALUE"""),3.8)</f>
        <v>3.8</v>
      </c>
      <c r="R6232" s="4">
        <f>IFERROR(__xludf.DUMMYFUNCTION("""COMPUTED_VALUE"""),0.7)</f>
        <v>0.7</v>
      </c>
      <c r="S6232" s="4">
        <f>IFERROR(__xludf.DUMMYFUNCTION("""COMPUTED_VALUE"""),2.0)</f>
        <v>2</v>
      </c>
      <c r="T6232" s="4">
        <f>IFERROR(__xludf.DUMMYFUNCTION("""COMPUTED_VALUE"""),0.036)</f>
        <v>0.036</v>
      </c>
      <c r="U6232" s="4">
        <f>IFERROR(__xludf.DUMMYFUNCTION("""COMPUTED_VALUE"""),-3.3)</f>
        <v>-3.3</v>
      </c>
      <c r="V6232" s="4">
        <f>IFERROR(__xludf.DUMMYFUNCTION("""COMPUTED_VALUE"""),-0.9)</f>
        <v>-0.9</v>
      </c>
    </row>
    <row r="6233">
      <c r="A6233" s="4">
        <f>IFERROR(__xludf.DUMMYFUNCTION("""COMPUTED_VALUE"""),7.0)</f>
        <v>7</v>
      </c>
      <c r="B6233" s="4">
        <f>IFERROR(__xludf.DUMMYFUNCTION("""COMPUTED_VALUE"""),7.0)</f>
        <v>7</v>
      </c>
      <c r="C6233" s="4" t="str">
        <f>IFERROR(__xludf.DUMMYFUNCTION("""COMPUTED_VALUE"""),"CLE")</f>
        <v>CLE</v>
      </c>
      <c r="D6233" s="4" t="str">
        <f>IFERROR(__xludf.DUMMYFUNCTION("""COMPUTED_VALUE"""),"John Johnson")</f>
        <v>John Johnson</v>
      </c>
      <c r="E6233" s="4" t="str">
        <f>IFERROR(__xludf.DUMMYFUNCTION("""COMPUTED_VALUE"""),"Iowa")</f>
        <v>Iowa</v>
      </c>
      <c r="F6233" s="4">
        <f>IFERROR(__xludf.DUMMYFUNCTION("""COMPUTED_VALUE"""),12.0)</f>
        <v>12</v>
      </c>
      <c r="G6233" s="4">
        <f>IFERROR(__xludf.DUMMYFUNCTION("""COMPUTED_VALUE"""),869.0)</f>
        <v>869</v>
      </c>
      <c r="H6233" s="4">
        <f>IFERROR(__xludf.DUMMYFUNCTION("""COMPUTED_VALUE"""),25681.0)</f>
        <v>25681</v>
      </c>
      <c r="I6233" s="4">
        <f>IFERROR(__xludf.DUMMYFUNCTION("""COMPUTED_VALUE"""),11200.0)</f>
        <v>11200</v>
      </c>
      <c r="J6233" s="4">
        <f>IFERROR(__xludf.DUMMYFUNCTION("""COMPUTED_VALUE"""),4778.0)</f>
        <v>4778</v>
      </c>
      <c r="K6233" s="4">
        <f>IFERROR(__xludf.DUMMYFUNCTION("""COMPUTED_VALUE"""),3285.0)</f>
        <v>3285</v>
      </c>
      <c r="L6233" s="4">
        <f>IFERROR(__xludf.DUMMYFUNCTION("""COMPUTED_VALUE"""),0.446)</f>
        <v>0.446</v>
      </c>
      <c r="M6233" s="4"/>
      <c r="N6233" s="4">
        <f>IFERROR(__xludf.DUMMYFUNCTION("""COMPUTED_VALUE"""),0.779)</f>
        <v>0.779</v>
      </c>
      <c r="O6233" s="4">
        <f>IFERROR(__xludf.DUMMYFUNCTION("""COMPUTED_VALUE"""),29.6)</f>
        <v>29.6</v>
      </c>
      <c r="P6233" s="4">
        <f>IFERROR(__xludf.DUMMYFUNCTION("""COMPUTED_VALUE"""),12.9)</f>
        <v>12.9</v>
      </c>
      <c r="Q6233" s="4">
        <f>IFERROR(__xludf.DUMMYFUNCTION("""COMPUTED_VALUE"""),5.5)</f>
        <v>5.5</v>
      </c>
      <c r="R6233" s="4">
        <f>IFERROR(__xludf.DUMMYFUNCTION("""COMPUTED_VALUE"""),3.8)</f>
        <v>3.8</v>
      </c>
      <c r="S6233" s="4">
        <f>IFERROR(__xludf.DUMMYFUNCTION("""COMPUTED_VALUE"""),37.1)</f>
        <v>37.1</v>
      </c>
      <c r="T6233" s="4">
        <f>IFERROR(__xludf.DUMMYFUNCTION("""COMPUTED_VALUE"""),0.069)</f>
        <v>0.069</v>
      </c>
      <c r="U6233" s="4">
        <f>IFERROR(__xludf.DUMMYFUNCTION("""COMPUTED_VALUE"""),-0.8)</f>
        <v>-0.8</v>
      </c>
      <c r="V6233" s="4">
        <f>IFERROR(__xludf.DUMMYFUNCTION("""COMPUTED_VALUE"""),5.4)</f>
        <v>5.4</v>
      </c>
    </row>
    <row r="6234">
      <c r="A6234" s="4">
        <f>IFERROR(__xludf.DUMMYFUNCTION("""COMPUTED_VALUE"""),8.0)</f>
        <v>8</v>
      </c>
      <c r="B6234" s="4">
        <f>IFERROR(__xludf.DUMMYFUNCTION("""COMPUTED_VALUE"""),8.0)</f>
        <v>8</v>
      </c>
      <c r="C6234" s="4" t="str">
        <f>IFERROR(__xludf.DUMMYFUNCTION("""COMPUTED_VALUE"""),"POR")</f>
        <v>POR</v>
      </c>
      <c r="D6234" s="4" t="str">
        <f>IFERROR(__xludf.DUMMYFUNCTION("""COMPUTED_VALUE"""),"Geoff Petrie")</f>
        <v>Geoff Petrie</v>
      </c>
      <c r="E6234" s="4" t="str">
        <f>IFERROR(__xludf.DUMMYFUNCTION("""COMPUTED_VALUE"""),"Princeton")</f>
        <v>Princeton</v>
      </c>
      <c r="F6234" s="4">
        <f>IFERROR(__xludf.DUMMYFUNCTION("""COMPUTED_VALUE"""),6.0)</f>
        <v>6</v>
      </c>
      <c r="G6234" s="4">
        <f>IFERROR(__xludf.DUMMYFUNCTION("""COMPUTED_VALUE"""),446.0)</f>
        <v>446</v>
      </c>
      <c r="H6234" s="4">
        <f>IFERROR(__xludf.DUMMYFUNCTION("""COMPUTED_VALUE"""),16787.0)</f>
        <v>16787</v>
      </c>
      <c r="I6234" s="4">
        <f>IFERROR(__xludf.DUMMYFUNCTION("""COMPUTED_VALUE"""),9732.0)</f>
        <v>9732</v>
      </c>
      <c r="J6234" s="4">
        <f>IFERROR(__xludf.DUMMYFUNCTION("""COMPUTED_VALUE"""),1271.0)</f>
        <v>1271</v>
      </c>
      <c r="K6234" s="4">
        <f>IFERROR(__xludf.DUMMYFUNCTION("""COMPUTED_VALUE"""),2057.0)</f>
        <v>2057</v>
      </c>
      <c r="L6234" s="4">
        <f>IFERROR(__xludf.DUMMYFUNCTION("""COMPUTED_VALUE"""),0.455)</f>
        <v>0.455</v>
      </c>
      <c r="M6234" s="4"/>
      <c r="N6234" s="4">
        <f>IFERROR(__xludf.DUMMYFUNCTION("""COMPUTED_VALUE"""),0.805)</f>
        <v>0.805</v>
      </c>
      <c r="O6234" s="4">
        <f>IFERROR(__xludf.DUMMYFUNCTION("""COMPUTED_VALUE"""),37.6)</f>
        <v>37.6</v>
      </c>
      <c r="P6234" s="4">
        <f>IFERROR(__xludf.DUMMYFUNCTION("""COMPUTED_VALUE"""),21.8)</f>
        <v>21.8</v>
      </c>
      <c r="Q6234" s="4">
        <f>IFERROR(__xludf.DUMMYFUNCTION("""COMPUTED_VALUE"""),2.8)</f>
        <v>2.8</v>
      </c>
      <c r="R6234" s="4">
        <f>IFERROR(__xludf.DUMMYFUNCTION("""COMPUTED_VALUE"""),4.6)</f>
        <v>4.6</v>
      </c>
      <c r="S6234" s="4">
        <f>IFERROR(__xludf.DUMMYFUNCTION("""COMPUTED_VALUE"""),26.1)</f>
        <v>26.1</v>
      </c>
      <c r="T6234" s="4">
        <f>IFERROR(__xludf.DUMMYFUNCTION("""COMPUTED_VALUE"""),0.075)</f>
        <v>0.075</v>
      </c>
      <c r="U6234" s="4">
        <f>IFERROR(__xludf.DUMMYFUNCTION("""COMPUTED_VALUE"""),-1.4)</f>
        <v>-1.4</v>
      </c>
      <c r="V6234" s="4">
        <f>IFERROR(__xludf.DUMMYFUNCTION("""COMPUTED_VALUE"""),1.3)</f>
        <v>1.3</v>
      </c>
    </row>
    <row r="6235">
      <c r="A6235" s="4">
        <f>IFERROR(__xludf.DUMMYFUNCTION("""COMPUTED_VALUE"""),9.0)</f>
        <v>9</v>
      </c>
      <c r="B6235" s="4">
        <f>IFERROR(__xludf.DUMMYFUNCTION("""COMPUTED_VALUE"""),9.0)</f>
        <v>9</v>
      </c>
      <c r="C6235" s="4" t="str">
        <f>IFERROR(__xludf.DUMMYFUNCTION("""COMPUTED_VALUE"""),"BAL")</f>
        <v>BAL</v>
      </c>
      <c r="D6235" s="4" t="str">
        <f>IFERROR(__xludf.DUMMYFUNCTION("""COMPUTED_VALUE"""),"George Johnson")</f>
        <v>George Johnson</v>
      </c>
      <c r="E6235" s="4" t="str">
        <f>IFERROR(__xludf.DUMMYFUNCTION("""COMPUTED_VALUE"""),"Stephen F. Austin")</f>
        <v>Stephen F. Austin</v>
      </c>
      <c r="F6235" s="4">
        <f>IFERROR(__xludf.DUMMYFUNCTION("""COMPUTED_VALUE"""),3.0)</f>
        <v>3</v>
      </c>
      <c r="G6235" s="4">
        <f>IFERROR(__xludf.DUMMYFUNCTION("""COMPUTED_VALUE"""),69.0)</f>
        <v>69</v>
      </c>
      <c r="H6235" s="4">
        <f>IFERROR(__xludf.DUMMYFUNCTION("""COMPUTED_VALUE"""),744.0)</f>
        <v>744</v>
      </c>
      <c r="I6235" s="4">
        <f>IFERROR(__xludf.DUMMYFUNCTION("""COMPUTED_VALUE"""),190.0)</f>
        <v>190</v>
      </c>
      <c r="J6235" s="4">
        <f>IFERROR(__xludf.DUMMYFUNCTION("""COMPUTED_VALUE"""),220.0)</f>
        <v>220</v>
      </c>
      <c r="K6235" s="4">
        <f>IFERROR(__xludf.DUMMYFUNCTION("""COMPUTED_VALUE"""),22.0)</f>
        <v>22</v>
      </c>
      <c r="L6235" s="4">
        <f>IFERROR(__xludf.DUMMYFUNCTION("""COMPUTED_VALUE"""),0.442)</f>
        <v>0.442</v>
      </c>
      <c r="M6235" s="4"/>
      <c r="N6235" s="4">
        <f>IFERROR(__xludf.DUMMYFUNCTION("""COMPUTED_VALUE"""),0.431)</f>
        <v>0.431</v>
      </c>
      <c r="O6235" s="4">
        <f>IFERROR(__xludf.DUMMYFUNCTION("""COMPUTED_VALUE"""),10.8)</f>
        <v>10.8</v>
      </c>
      <c r="P6235" s="4">
        <f>IFERROR(__xludf.DUMMYFUNCTION("""COMPUTED_VALUE"""),2.8)</f>
        <v>2.8</v>
      </c>
      <c r="Q6235" s="4">
        <f>IFERROR(__xludf.DUMMYFUNCTION("""COMPUTED_VALUE"""),3.2)</f>
        <v>3.2</v>
      </c>
      <c r="R6235" s="4">
        <f>IFERROR(__xludf.DUMMYFUNCTION("""COMPUTED_VALUE"""),0.3)</f>
        <v>0.3</v>
      </c>
      <c r="S6235" s="4">
        <f>IFERROR(__xludf.DUMMYFUNCTION("""COMPUTED_VALUE"""),0.6)</f>
        <v>0.6</v>
      </c>
      <c r="T6235" s="4">
        <f>IFERROR(__xludf.DUMMYFUNCTION("""COMPUTED_VALUE"""),0.036)</f>
        <v>0.036</v>
      </c>
      <c r="U6235" s="4">
        <f>IFERROR(__xludf.DUMMYFUNCTION("""COMPUTED_VALUE"""),-3.9)</f>
        <v>-3.9</v>
      </c>
      <c r="V6235" s="4">
        <f>IFERROR(__xludf.DUMMYFUNCTION("""COMPUTED_VALUE"""),-0.1)</f>
        <v>-0.1</v>
      </c>
    </row>
    <row r="6236">
      <c r="A6236" s="4">
        <f>IFERROR(__xludf.DUMMYFUNCTION("""COMPUTED_VALUE"""),10.0)</f>
        <v>10</v>
      </c>
      <c r="B6236" s="4">
        <f>IFERROR(__xludf.DUMMYFUNCTION("""COMPUTED_VALUE"""),10.0)</f>
        <v>10</v>
      </c>
      <c r="C6236" s="4" t="str">
        <f>IFERROR(__xludf.DUMMYFUNCTION("""COMPUTED_VALUE"""),"PHO")</f>
        <v>PHO</v>
      </c>
      <c r="D6236" s="4" t="str">
        <f>IFERROR(__xludf.DUMMYFUNCTION("""COMPUTED_VALUE"""),"Greg Howard")</f>
        <v>Greg Howard</v>
      </c>
      <c r="E6236" s="4" t="str">
        <f>IFERROR(__xludf.DUMMYFUNCTION("""COMPUTED_VALUE"""),"New Mexico")</f>
        <v>New Mexico</v>
      </c>
      <c r="F6236" s="4">
        <f>IFERROR(__xludf.DUMMYFUNCTION("""COMPUTED_VALUE"""),2.0)</f>
        <v>2</v>
      </c>
      <c r="G6236" s="4">
        <f>IFERROR(__xludf.DUMMYFUNCTION("""COMPUTED_VALUE"""),92.0)</f>
        <v>92</v>
      </c>
      <c r="H6236" s="4">
        <f>IFERROR(__xludf.DUMMYFUNCTION("""COMPUTED_VALUE"""),852.0)</f>
        <v>852</v>
      </c>
      <c r="I6236" s="4">
        <f>IFERROR(__xludf.DUMMYFUNCTION("""COMPUTED_VALUE"""),312.0)</f>
        <v>312</v>
      </c>
      <c r="J6236" s="4">
        <f>IFERROR(__xludf.DUMMYFUNCTION("""COMPUTED_VALUE"""),227.0)</f>
        <v>227</v>
      </c>
      <c r="K6236" s="4">
        <f>IFERROR(__xludf.DUMMYFUNCTION("""COMPUTED_VALUE"""),53.0)</f>
        <v>53</v>
      </c>
      <c r="L6236" s="4">
        <f>IFERROR(__xludf.DUMMYFUNCTION("""COMPUTED_VALUE"""),0.388)</f>
        <v>0.388</v>
      </c>
      <c r="M6236" s="4"/>
      <c r="N6236" s="4">
        <f>IFERROR(__xludf.DUMMYFUNCTION("""COMPUTED_VALUE"""),0.697)</f>
        <v>0.697</v>
      </c>
      <c r="O6236" s="4">
        <f>IFERROR(__xludf.DUMMYFUNCTION("""COMPUTED_VALUE"""),9.3)</f>
        <v>9.3</v>
      </c>
      <c r="P6236" s="4">
        <f>IFERROR(__xludf.DUMMYFUNCTION("""COMPUTED_VALUE"""),3.4)</f>
        <v>3.4</v>
      </c>
      <c r="Q6236" s="4">
        <f>IFERROR(__xludf.DUMMYFUNCTION("""COMPUTED_VALUE"""),2.5)</f>
        <v>2.5</v>
      </c>
      <c r="R6236" s="4">
        <f>IFERROR(__xludf.DUMMYFUNCTION("""COMPUTED_VALUE"""),0.6)</f>
        <v>0.6</v>
      </c>
      <c r="S6236" s="4">
        <f>IFERROR(__xludf.DUMMYFUNCTION("""COMPUTED_VALUE"""),0.6)</f>
        <v>0.6</v>
      </c>
      <c r="T6236" s="4">
        <f>IFERROR(__xludf.DUMMYFUNCTION("""COMPUTED_VALUE"""),0.034)</f>
        <v>0.034</v>
      </c>
      <c r="U6236" s="4"/>
      <c r="V6236" s="4"/>
    </row>
    <row r="6237">
      <c r="A6237" s="4">
        <f>IFERROR(__xludf.DUMMYFUNCTION("""COMPUTED_VALUE"""),11.0)</f>
        <v>11</v>
      </c>
      <c r="B6237" s="4">
        <f>IFERROR(__xludf.DUMMYFUNCTION("""COMPUTED_VALUE"""),11.0)</f>
        <v>11</v>
      </c>
      <c r="C6237" s="4" t="str">
        <f>IFERROR(__xludf.DUMMYFUNCTION("""COMPUTED_VALUE"""),"CHI")</f>
        <v>CHI</v>
      </c>
      <c r="D6237" s="4" t="str">
        <f>IFERROR(__xludf.DUMMYFUNCTION("""COMPUTED_VALUE"""),"Jimmy Collins")</f>
        <v>Jimmy Collins</v>
      </c>
      <c r="E6237" s="4" t="str">
        <f>IFERROR(__xludf.DUMMYFUNCTION("""COMPUTED_VALUE"""),"New Mexico State")</f>
        <v>New Mexico State</v>
      </c>
      <c r="F6237" s="4">
        <f>IFERROR(__xludf.DUMMYFUNCTION("""COMPUTED_VALUE"""),2.0)</f>
        <v>2</v>
      </c>
      <c r="G6237" s="4">
        <f>IFERROR(__xludf.DUMMYFUNCTION("""COMPUTED_VALUE"""),74.0)</f>
        <v>74</v>
      </c>
      <c r="H6237" s="4">
        <f>IFERROR(__xludf.DUMMYFUNCTION("""COMPUTED_VALUE"""),612.0)</f>
        <v>612</v>
      </c>
      <c r="I6237" s="4">
        <f>IFERROR(__xludf.DUMMYFUNCTION("""COMPUTED_VALUE"""),281.0)</f>
        <v>281</v>
      </c>
      <c r="J6237" s="4">
        <f>IFERROR(__xludf.DUMMYFUNCTION("""COMPUTED_VALUE"""),66.0)</f>
        <v>66</v>
      </c>
      <c r="K6237" s="4">
        <f>IFERROR(__xludf.DUMMYFUNCTION("""COMPUTED_VALUE"""),70.0)</f>
        <v>70</v>
      </c>
      <c r="L6237" s="4">
        <f>IFERROR(__xludf.DUMMYFUNCTION("""COMPUTED_VALUE"""),0.414)</f>
        <v>0.414</v>
      </c>
      <c r="M6237" s="4"/>
      <c r="N6237" s="4">
        <f>IFERROR(__xludf.DUMMYFUNCTION("""COMPUTED_VALUE"""),0.804)</f>
        <v>0.804</v>
      </c>
      <c r="O6237" s="4">
        <f>IFERROR(__xludf.DUMMYFUNCTION("""COMPUTED_VALUE"""),8.3)</f>
        <v>8.3</v>
      </c>
      <c r="P6237" s="4">
        <f>IFERROR(__xludf.DUMMYFUNCTION("""COMPUTED_VALUE"""),3.8)</f>
        <v>3.8</v>
      </c>
      <c r="Q6237" s="4">
        <f>IFERROR(__xludf.DUMMYFUNCTION("""COMPUTED_VALUE"""),0.9)</f>
        <v>0.9</v>
      </c>
      <c r="R6237" s="4">
        <f>IFERROR(__xludf.DUMMYFUNCTION("""COMPUTED_VALUE"""),0.9)</f>
        <v>0.9</v>
      </c>
      <c r="S6237" s="4">
        <f>IFERROR(__xludf.DUMMYFUNCTION("""COMPUTED_VALUE"""),0.6)</f>
        <v>0.6</v>
      </c>
      <c r="T6237" s="4">
        <f>IFERROR(__xludf.DUMMYFUNCTION("""COMPUTED_VALUE"""),0.044)</f>
        <v>0.044</v>
      </c>
      <c r="U6237" s="4"/>
      <c r="V6237" s="4"/>
    </row>
    <row r="6238">
      <c r="A6238" s="4">
        <f>IFERROR(__xludf.DUMMYFUNCTION("""COMPUTED_VALUE"""),12.0)</f>
        <v>12</v>
      </c>
      <c r="B6238" s="4">
        <f>IFERROR(__xludf.DUMMYFUNCTION("""COMPUTED_VALUE"""),12.0)</f>
        <v>12</v>
      </c>
      <c r="C6238" s="4" t="str">
        <f>IFERROR(__xludf.DUMMYFUNCTION("""COMPUTED_VALUE"""),"PHI")</f>
        <v>PHI</v>
      </c>
      <c r="D6238" s="4" t="str">
        <f>IFERROR(__xludf.DUMMYFUNCTION("""COMPUTED_VALUE"""),"Al Henry")</f>
        <v>Al Henry</v>
      </c>
      <c r="E6238" s="4" t="str">
        <f>IFERROR(__xludf.DUMMYFUNCTION("""COMPUTED_VALUE"""),"Wisconsin")</f>
        <v>Wisconsin</v>
      </c>
      <c r="F6238" s="4">
        <f>IFERROR(__xludf.DUMMYFUNCTION("""COMPUTED_VALUE"""),2.0)</f>
        <v>2</v>
      </c>
      <c r="G6238" s="4">
        <f>IFERROR(__xludf.DUMMYFUNCTION("""COMPUTED_VALUE"""),49.0)</f>
        <v>49</v>
      </c>
      <c r="H6238" s="4">
        <f>IFERROR(__xludf.DUMMYFUNCTION("""COMPUTED_VALUE"""),447.0)</f>
        <v>447</v>
      </c>
      <c r="I6238" s="4">
        <f>IFERROR(__xludf.DUMMYFUNCTION("""COMPUTED_VALUE"""),194.0)</f>
        <v>194</v>
      </c>
      <c r="J6238" s="4">
        <f>IFERROR(__xludf.DUMMYFUNCTION("""COMPUTED_VALUE"""),148.0)</f>
        <v>148</v>
      </c>
      <c r="K6238" s="4">
        <f>IFERROR(__xludf.DUMMYFUNCTION("""COMPUTED_VALUE"""),8.0)</f>
        <v>8</v>
      </c>
      <c r="L6238" s="4">
        <f>IFERROR(__xludf.DUMMYFUNCTION("""COMPUTED_VALUE"""),0.426)</f>
        <v>0.426</v>
      </c>
      <c r="M6238" s="4"/>
      <c r="N6238" s="4">
        <f>IFERROR(__xludf.DUMMYFUNCTION("""COMPUTED_VALUE"""),0.7)</f>
        <v>0.7</v>
      </c>
      <c r="O6238" s="4">
        <f>IFERROR(__xludf.DUMMYFUNCTION("""COMPUTED_VALUE"""),9.1)</f>
        <v>9.1</v>
      </c>
      <c r="P6238" s="4">
        <f>IFERROR(__xludf.DUMMYFUNCTION("""COMPUTED_VALUE"""),4.0)</f>
        <v>4</v>
      </c>
      <c r="Q6238" s="4">
        <f>IFERROR(__xludf.DUMMYFUNCTION("""COMPUTED_VALUE"""),3.0)</f>
        <v>3</v>
      </c>
      <c r="R6238" s="4">
        <f>IFERROR(__xludf.DUMMYFUNCTION("""COMPUTED_VALUE"""),0.2)</f>
        <v>0.2</v>
      </c>
      <c r="S6238" s="4">
        <f>IFERROR(__xludf.DUMMYFUNCTION("""COMPUTED_VALUE"""),0.7)</f>
        <v>0.7</v>
      </c>
      <c r="T6238" s="4">
        <f>IFERROR(__xludf.DUMMYFUNCTION("""COMPUTED_VALUE"""),0.074)</f>
        <v>0.074</v>
      </c>
      <c r="U6238" s="4"/>
      <c r="V6238" s="4"/>
    </row>
    <row r="6239">
      <c r="A6239" s="4">
        <f>IFERROR(__xludf.DUMMYFUNCTION("""COMPUTED_VALUE"""),13.0)</f>
        <v>13</v>
      </c>
      <c r="B6239" s="4">
        <f>IFERROR(__xludf.DUMMYFUNCTION("""COMPUTED_VALUE"""),13.0)</f>
        <v>13</v>
      </c>
      <c r="C6239" s="4" t="str">
        <f>IFERROR(__xludf.DUMMYFUNCTION("""COMPUTED_VALUE"""),"LAL")</f>
        <v>LAL</v>
      </c>
      <c r="D6239" s="4" t="str">
        <f>IFERROR(__xludf.DUMMYFUNCTION("""COMPUTED_VALUE"""),"Jim McMillian")</f>
        <v>Jim McMillian</v>
      </c>
      <c r="E6239" s="4" t="str">
        <f>IFERROR(__xludf.DUMMYFUNCTION("""COMPUTED_VALUE"""),"Columbia University")</f>
        <v>Columbia University</v>
      </c>
      <c r="F6239" s="4">
        <f>IFERROR(__xludf.DUMMYFUNCTION("""COMPUTED_VALUE"""),9.0)</f>
        <v>9</v>
      </c>
      <c r="G6239" s="4">
        <f>IFERROR(__xludf.DUMMYFUNCTION("""COMPUTED_VALUE"""),631.0)</f>
        <v>631</v>
      </c>
      <c r="H6239" s="4">
        <f>IFERROR(__xludf.DUMMYFUNCTION("""COMPUTED_VALUE"""),20227.0)</f>
        <v>20227</v>
      </c>
      <c r="I6239" s="4">
        <f>IFERROR(__xludf.DUMMYFUNCTION("""COMPUTED_VALUE"""),8736.0)</f>
        <v>8736</v>
      </c>
      <c r="J6239" s="4">
        <f>IFERROR(__xludf.DUMMYFUNCTION("""COMPUTED_VALUE"""),3319.0)</f>
        <v>3319</v>
      </c>
      <c r="K6239" s="4">
        <f>IFERROR(__xludf.DUMMYFUNCTION("""COMPUTED_VALUE"""),1557.0)</f>
        <v>1557</v>
      </c>
      <c r="L6239" s="4">
        <f>IFERROR(__xludf.DUMMYFUNCTION("""COMPUTED_VALUE"""),0.482)</f>
        <v>0.482</v>
      </c>
      <c r="M6239" s="4"/>
      <c r="N6239" s="4">
        <f>IFERROR(__xludf.DUMMYFUNCTION("""COMPUTED_VALUE"""),0.832)</f>
        <v>0.832</v>
      </c>
      <c r="O6239" s="4">
        <f>IFERROR(__xludf.DUMMYFUNCTION("""COMPUTED_VALUE"""),32.1)</f>
        <v>32.1</v>
      </c>
      <c r="P6239" s="4">
        <f>IFERROR(__xludf.DUMMYFUNCTION("""COMPUTED_VALUE"""),13.8)</f>
        <v>13.8</v>
      </c>
      <c r="Q6239" s="4">
        <f>IFERROR(__xludf.DUMMYFUNCTION("""COMPUTED_VALUE"""),5.3)</f>
        <v>5.3</v>
      </c>
      <c r="R6239" s="4">
        <f>IFERROR(__xludf.DUMMYFUNCTION("""COMPUTED_VALUE"""),2.5)</f>
        <v>2.5</v>
      </c>
      <c r="S6239" s="4">
        <f>IFERROR(__xludf.DUMMYFUNCTION("""COMPUTED_VALUE"""),46.0)</f>
        <v>46</v>
      </c>
      <c r="T6239" s="4">
        <f>IFERROR(__xludf.DUMMYFUNCTION("""COMPUTED_VALUE"""),0.109)</f>
        <v>0.109</v>
      </c>
      <c r="U6239" s="4">
        <f>IFERROR(__xludf.DUMMYFUNCTION("""COMPUTED_VALUE"""),0.4)</f>
        <v>0.4</v>
      </c>
      <c r="V6239" s="4">
        <f>IFERROR(__xludf.DUMMYFUNCTION("""COMPUTED_VALUE"""),7.7)</f>
        <v>7.7</v>
      </c>
    </row>
    <row r="6240">
      <c r="A6240" s="4">
        <f>IFERROR(__xludf.DUMMYFUNCTION("""COMPUTED_VALUE"""),14.0)</f>
        <v>14</v>
      </c>
      <c r="B6240" s="4">
        <f>IFERROR(__xludf.DUMMYFUNCTION("""COMPUTED_VALUE"""),14.0)</f>
        <v>14</v>
      </c>
      <c r="C6240" s="4" t="str">
        <f>IFERROR(__xludf.DUMMYFUNCTION("""COMPUTED_VALUE"""),"ATL")</f>
        <v>ATL</v>
      </c>
      <c r="D6240" s="4" t="str">
        <f>IFERROR(__xludf.DUMMYFUNCTION("""COMPUTED_VALUE"""),"John Vallely")</f>
        <v>John Vallely</v>
      </c>
      <c r="E6240" s="4" t="str">
        <f>IFERROR(__xludf.DUMMYFUNCTION("""COMPUTED_VALUE"""),"UCLA")</f>
        <v>UCLA</v>
      </c>
      <c r="F6240" s="4">
        <f>IFERROR(__xludf.DUMMYFUNCTION("""COMPUTED_VALUE"""),2.0)</f>
        <v>2</v>
      </c>
      <c r="G6240" s="4">
        <f>IFERROR(__xludf.DUMMYFUNCTION("""COMPUTED_VALUE"""),100.0)</f>
        <v>100</v>
      </c>
      <c r="H6240" s="4">
        <f>IFERROR(__xludf.DUMMYFUNCTION("""COMPUTED_VALUE"""),796.0)</f>
        <v>796</v>
      </c>
      <c r="I6240" s="4">
        <f>IFERROR(__xludf.DUMMYFUNCTION("""COMPUTED_VALUE"""),359.0)</f>
        <v>359</v>
      </c>
      <c r="J6240" s="4">
        <f>IFERROR(__xludf.DUMMYFUNCTION("""COMPUTED_VALUE"""),66.0)</f>
        <v>66</v>
      </c>
      <c r="K6240" s="4">
        <f>IFERROR(__xludf.DUMMYFUNCTION("""COMPUTED_VALUE"""),84.0)</f>
        <v>84</v>
      </c>
      <c r="L6240" s="4">
        <f>IFERROR(__xludf.DUMMYFUNCTION("""COMPUTED_VALUE"""),0.379)</f>
        <v>0.379</v>
      </c>
      <c r="M6240" s="4"/>
      <c r="N6240" s="4">
        <f>IFERROR(__xludf.DUMMYFUNCTION("""COMPUTED_VALUE"""),0.721)</f>
        <v>0.721</v>
      </c>
      <c r="O6240" s="4">
        <f>IFERROR(__xludf.DUMMYFUNCTION("""COMPUTED_VALUE"""),8.0)</f>
        <v>8</v>
      </c>
      <c r="P6240" s="4">
        <f>IFERROR(__xludf.DUMMYFUNCTION("""COMPUTED_VALUE"""),3.6)</f>
        <v>3.6</v>
      </c>
      <c r="Q6240" s="4">
        <f>IFERROR(__xludf.DUMMYFUNCTION("""COMPUTED_VALUE"""),0.7)</f>
        <v>0.7</v>
      </c>
      <c r="R6240" s="4">
        <f>IFERROR(__xludf.DUMMYFUNCTION("""COMPUTED_VALUE"""),0.8)</f>
        <v>0.8</v>
      </c>
      <c r="S6240" s="4">
        <f>IFERROR(__xludf.DUMMYFUNCTION("""COMPUTED_VALUE"""),-0.3)</f>
        <v>-0.3</v>
      </c>
      <c r="T6240" s="4">
        <f>IFERROR(__xludf.DUMMYFUNCTION("""COMPUTED_VALUE"""),-0.02)</f>
        <v>-0.02</v>
      </c>
      <c r="U6240" s="4"/>
      <c r="V6240" s="4"/>
    </row>
    <row r="6241">
      <c r="A6241" s="4">
        <f>IFERROR(__xludf.DUMMYFUNCTION("""COMPUTED_VALUE"""),15.0)</f>
        <v>15</v>
      </c>
      <c r="B6241" s="4">
        <f>IFERROR(__xludf.DUMMYFUNCTION("""COMPUTED_VALUE"""),15.0)</f>
        <v>15</v>
      </c>
      <c r="C6241" s="4" t="str">
        <f>IFERROR(__xludf.DUMMYFUNCTION("""COMPUTED_VALUE"""),"BUF")</f>
        <v>BUF</v>
      </c>
      <c r="D6241" s="4" t="str">
        <f>IFERROR(__xludf.DUMMYFUNCTION("""COMPUTED_VALUE"""),"John Hummer")</f>
        <v>John Hummer</v>
      </c>
      <c r="E6241" s="4" t="str">
        <f>IFERROR(__xludf.DUMMYFUNCTION("""COMPUTED_VALUE"""),"Princeton")</f>
        <v>Princeton</v>
      </c>
      <c r="F6241" s="4">
        <f>IFERROR(__xludf.DUMMYFUNCTION("""COMPUTED_VALUE"""),6.0)</f>
        <v>6</v>
      </c>
      <c r="G6241" s="4">
        <f>IFERROR(__xludf.DUMMYFUNCTION("""COMPUTED_VALUE"""),327.0)</f>
        <v>327</v>
      </c>
      <c r="H6241" s="4">
        <f>IFERROR(__xludf.DUMMYFUNCTION("""COMPUTED_VALUE"""),7420.0)</f>
        <v>7420</v>
      </c>
      <c r="I6241" s="4">
        <f>IFERROR(__xludf.DUMMYFUNCTION("""COMPUTED_VALUE"""),2248.0)</f>
        <v>2248</v>
      </c>
      <c r="J6241" s="4">
        <f>IFERROR(__xludf.DUMMYFUNCTION("""COMPUTED_VALUE"""),1733.0)</f>
        <v>1733</v>
      </c>
      <c r="K6241" s="4">
        <f>IFERROR(__xludf.DUMMYFUNCTION("""COMPUTED_VALUE"""),543.0)</f>
        <v>543</v>
      </c>
      <c r="L6241" s="4">
        <f>IFERROR(__xludf.DUMMYFUNCTION("""COMPUTED_VALUE"""),0.438)</f>
        <v>0.438</v>
      </c>
      <c r="M6241" s="4"/>
      <c r="N6241" s="4">
        <f>IFERROR(__xludf.DUMMYFUNCTION("""COMPUTED_VALUE"""),0.524)</f>
        <v>0.524</v>
      </c>
      <c r="O6241" s="4">
        <f>IFERROR(__xludf.DUMMYFUNCTION("""COMPUTED_VALUE"""),22.7)</f>
        <v>22.7</v>
      </c>
      <c r="P6241" s="4">
        <f>IFERROR(__xludf.DUMMYFUNCTION("""COMPUTED_VALUE"""),6.9)</f>
        <v>6.9</v>
      </c>
      <c r="Q6241" s="4">
        <f>IFERROR(__xludf.DUMMYFUNCTION("""COMPUTED_VALUE"""),5.3)</f>
        <v>5.3</v>
      </c>
      <c r="R6241" s="4">
        <f>IFERROR(__xludf.DUMMYFUNCTION("""COMPUTED_VALUE"""),1.7)</f>
        <v>1.7</v>
      </c>
      <c r="S6241" s="4">
        <f>IFERROR(__xludf.DUMMYFUNCTION("""COMPUTED_VALUE"""),4.8)</f>
        <v>4.8</v>
      </c>
      <c r="T6241" s="4">
        <f>IFERROR(__xludf.DUMMYFUNCTION("""COMPUTED_VALUE"""),0.031)</f>
        <v>0.031</v>
      </c>
      <c r="U6241" s="4">
        <f>IFERROR(__xludf.DUMMYFUNCTION("""COMPUTED_VALUE"""),-2.4)</f>
        <v>-2.4</v>
      </c>
      <c r="V6241" s="4">
        <f>IFERROR(__xludf.DUMMYFUNCTION("""COMPUTED_VALUE"""),-0.2)</f>
        <v>-0.2</v>
      </c>
    </row>
    <row r="6242">
      <c r="A6242" s="4">
        <f>IFERROR(__xludf.DUMMYFUNCTION("""COMPUTED_VALUE"""),16.0)</f>
        <v>16</v>
      </c>
      <c r="B6242" s="4">
        <f>IFERROR(__xludf.DUMMYFUNCTION("""COMPUTED_VALUE"""),16.0)</f>
        <v>16</v>
      </c>
      <c r="C6242" s="4" t="str">
        <f>IFERROR(__xludf.DUMMYFUNCTION("""COMPUTED_VALUE"""),"MIL")</f>
        <v>MIL</v>
      </c>
      <c r="D6242" s="4" t="str">
        <f>IFERROR(__xludf.DUMMYFUNCTION("""COMPUTED_VALUE"""),"Gary Freeman")</f>
        <v>Gary Freeman</v>
      </c>
      <c r="E6242" s="4" t="str">
        <f>IFERROR(__xludf.DUMMYFUNCTION("""COMPUTED_VALUE"""),"Oregon State")</f>
        <v>Oregon State</v>
      </c>
      <c r="F6242" s="4">
        <f>IFERROR(__xludf.DUMMYFUNCTION("""COMPUTED_VALUE"""),1.0)</f>
        <v>1</v>
      </c>
      <c r="G6242" s="4">
        <f>IFERROR(__xludf.DUMMYFUNCTION("""COMPUTED_VALUE"""),52.0)</f>
        <v>52</v>
      </c>
      <c r="H6242" s="4">
        <f>IFERROR(__xludf.DUMMYFUNCTION("""COMPUTED_VALUE"""),382.0)</f>
        <v>382</v>
      </c>
      <c r="I6242" s="4">
        <f>IFERROR(__xludf.DUMMYFUNCTION("""COMPUTED_VALUE"""),167.0)</f>
        <v>167</v>
      </c>
      <c r="J6242" s="4">
        <f>IFERROR(__xludf.DUMMYFUNCTION("""COMPUTED_VALUE"""),106.0)</f>
        <v>106</v>
      </c>
      <c r="K6242" s="4">
        <f>IFERROR(__xludf.DUMMYFUNCTION("""COMPUTED_VALUE"""),35.0)</f>
        <v>35</v>
      </c>
      <c r="L6242" s="4">
        <f>IFERROR(__xludf.DUMMYFUNCTION("""COMPUTED_VALUE"""),0.515)</f>
        <v>0.515</v>
      </c>
      <c r="M6242" s="4"/>
      <c r="N6242" s="4">
        <f>IFERROR(__xludf.DUMMYFUNCTION("""COMPUTED_VALUE"""),0.725)</f>
        <v>0.725</v>
      </c>
      <c r="O6242" s="4">
        <f>IFERROR(__xludf.DUMMYFUNCTION("""COMPUTED_VALUE"""),7.3)</f>
        <v>7.3</v>
      </c>
      <c r="P6242" s="4">
        <f>IFERROR(__xludf.DUMMYFUNCTION("""COMPUTED_VALUE"""),3.2)</f>
        <v>3.2</v>
      </c>
      <c r="Q6242" s="4">
        <f>IFERROR(__xludf.DUMMYFUNCTION("""COMPUTED_VALUE"""),2.0)</f>
        <v>2</v>
      </c>
      <c r="R6242" s="4">
        <f>IFERROR(__xludf.DUMMYFUNCTION("""COMPUTED_VALUE"""),0.7)</f>
        <v>0.7</v>
      </c>
      <c r="S6242" s="4">
        <f>IFERROR(__xludf.DUMMYFUNCTION("""COMPUTED_VALUE"""),1.2)</f>
        <v>1.2</v>
      </c>
      <c r="T6242" s="4">
        <f>IFERROR(__xludf.DUMMYFUNCTION("""COMPUTED_VALUE"""),0.155)</f>
        <v>0.155</v>
      </c>
      <c r="U6242" s="4"/>
      <c r="V6242" s="4"/>
    </row>
    <row r="6243">
      <c r="A6243" s="4">
        <f>IFERROR(__xludf.DUMMYFUNCTION("""COMPUTED_VALUE"""),17.0)</f>
        <v>17</v>
      </c>
      <c r="B6243" s="4">
        <f>IFERROR(__xludf.DUMMYFUNCTION("""COMPUTED_VALUE"""),17.0)</f>
        <v>17</v>
      </c>
      <c r="C6243" s="4" t="str">
        <f>IFERROR(__xludf.DUMMYFUNCTION("""COMPUTED_VALUE"""),"NYK")</f>
        <v>NYK</v>
      </c>
      <c r="D6243" s="4" t="str">
        <f>IFERROR(__xludf.DUMMYFUNCTION("""COMPUTED_VALUE"""),"Mike Price")</f>
        <v>Mike Price</v>
      </c>
      <c r="E6243" s="4" t="str">
        <f>IFERROR(__xludf.DUMMYFUNCTION("""COMPUTED_VALUE"""),"Illinois")</f>
        <v>Illinois</v>
      </c>
      <c r="F6243" s="4">
        <f>IFERROR(__xludf.DUMMYFUNCTION("""COMPUTED_VALUE"""),2.0)</f>
        <v>2</v>
      </c>
      <c r="G6243" s="4">
        <f>IFERROR(__xludf.DUMMYFUNCTION("""COMPUTED_VALUE"""),119.0)</f>
        <v>119</v>
      </c>
      <c r="H6243" s="4">
        <f>IFERROR(__xludf.DUMMYFUNCTION("""COMPUTED_VALUE"""),1042.0)</f>
        <v>1042</v>
      </c>
      <c r="I6243" s="4">
        <f>IFERROR(__xludf.DUMMYFUNCTION("""COMPUTED_VALUE"""),391.0)</f>
        <v>391</v>
      </c>
      <c r="J6243" s="4">
        <f>IFERROR(__xludf.DUMMYFUNCTION("""COMPUTED_VALUE"""),152.0)</f>
        <v>152</v>
      </c>
      <c r="K6243" s="4">
        <f>IFERROR(__xludf.DUMMYFUNCTION("""COMPUTED_VALUE"""),89.0)</f>
        <v>89</v>
      </c>
      <c r="L6243" s="4">
        <f>IFERROR(__xludf.DUMMYFUNCTION("""COMPUTED_VALUE"""),0.404)</f>
        <v>0.404</v>
      </c>
      <c r="M6243" s="4"/>
      <c r="N6243" s="4">
        <f>IFERROR(__xludf.DUMMYFUNCTION("""COMPUTED_VALUE"""),0.772)</f>
        <v>0.772</v>
      </c>
      <c r="O6243" s="4">
        <f>IFERROR(__xludf.DUMMYFUNCTION("""COMPUTED_VALUE"""),8.8)</f>
        <v>8.8</v>
      </c>
      <c r="P6243" s="4">
        <f>IFERROR(__xludf.DUMMYFUNCTION("""COMPUTED_VALUE"""),3.3)</f>
        <v>3.3</v>
      </c>
      <c r="Q6243" s="4">
        <f>IFERROR(__xludf.DUMMYFUNCTION("""COMPUTED_VALUE"""),1.3)</f>
        <v>1.3</v>
      </c>
      <c r="R6243" s="4">
        <f>IFERROR(__xludf.DUMMYFUNCTION("""COMPUTED_VALUE"""),0.7)</f>
        <v>0.7</v>
      </c>
      <c r="S6243" s="4">
        <f>IFERROR(__xludf.DUMMYFUNCTION("""COMPUTED_VALUE"""),0.5)</f>
        <v>0.5</v>
      </c>
      <c r="T6243" s="4">
        <f>IFERROR(__xludf.DUMMYFUNCTION("""COMPUTED_VALUE"""),0.021)</f>
        <v>0.021</v>
      </c>
      <c r="U6243" s="4"/>
      <c r="V6243" s="4"/>
    </row>
    <row r="6244">
      <c r="A6244" s="4"/>
      <c r="B6244" s="4"/>
      <c r="C6244" s="4"/>
      <c r="D6244" s="4" t="str">
        <f>IFERROR(__xludf.DUMMYFUNCTION("""COMPUTED_VALUE"""),"Round 2")</f>
        <v>Round 2</v>
      </c>
      <c r="E6244" s="4"/>
      <c r="F6244" s="4"/>
      <c r="G6244" s="4" t="str">
        <f>IFERROR(__xludf.DUMMYFUNCTION("""COMPUTED_VALUE"""),"Totals")</f>
        <v>Totals</v>
      </c>
      <c r="H6244" s="4"/>
      <c r="I6244" s="4"/>
      <c r="J6244" s="4"/>
      <c r="K6244" s="4"/>
      <c r="L6244" s="4" t="str">
        <f>IFERROR(__xludf.DUMMYFUNCTION("""COMPUTED_VALUE"""),"Shooting")</f>
        <v>Shooting</v>
      </c>
      <c r="M6244" s="4"/>
      <c r="N6244" s="4"/>
      <c r="O6244" s="4" t="str">
        <f>IFERROR(__xludf.DUMMYFUNCTION("""COMPUTED_VALUE"""),"Per Game")</f>
        <v>Per Game</v>
      </c>
      <c r="P6244" s="4"/>
      <c r="Q6244" s="4"/>
      <c r="R6244" s="4"/>
      <c r="S6244" s="4" t="str">
        <f>IFERROR(__xludf.DUMMYFUNCTION("""COMPUTED_VALUE"""),"Advanced")</f>
        <v>Advanced</v>
      </c>
      <c r="T6244" s="4"/>
      <c r="U6244" s="4"/>
      <c r="V6244" s="4"/>
    </row>
    <row r="6245">
      <c r="A6245" s="4" t="str">
        <f>IFERROR(__xludf.DUMMYFUNCTION("""COMPUTED_VALUE"""),"Rk")</f>
        <v>Rk</v>
      </c>
      <c r="B6245" s="4" t="str">
        <f>IFERROR(__xludf.DUMMYFUNCTION("""COMPUTED_VALUE"""),"Pk")</f>
        <v>Pk</v>
      </c>
      <c r="C6245" s="4" t="str">
        <f>IFERROR(__xludf.DUMMYFUNCTION("""COMPUTED_VALUE"""),"Tm")</f>
        <v>Tm</v>
      </c>
      <c r="D6245" s="4" t="str">
        <f>IFERROR(__xludf.DUMMYFUNCTION("""COMPUTED_VALUE"""),"Player")</f>
        <v>Player</v>
      </c>
      <c r="E6245" s="4" t="str">
        <f>IFERROR(__xludf.DUMMYFUNCTION("""COMPUTED_VALUE"""),"College")</f>
        <v>College</v>
      </c>
      <c r="F6245" s="4" t="str">
        <f>IFERROR(__xludf.DUMMYFUNCTION("""COMPUTED_VALUE"""),"Yrs")</f>
        <v>Yrs</v>
      </c>
      <c r="G6245" s="4" t="str">
        <f>IFERROR(__xludf.DUMMYFUNCTION("""COMPUTED_VALUE"""),"G")</f>
        <v>G</v>
      </c>
      <c r="H6245" s="4" t="str">
        <f>IFERROR(__xludf.DUMMYFUNCTION("""COMPUTED_VALUE"""),"MP")</f>
        <v>MP</v>
      </c>
      <c r="I6245" s="4" t="str">
        <f>IFERROR(__xludf.DUMMYFUNCTION("""COMPUTED_VALUE"""),"PTS")</f>
        <v>PTS</v>
      </c>
      <c r="J6245" s="4" t="str">
        <f>IFERROR(__xludf.DUMMYFUNCTION("""COMPUTED_VALUE"""),"TRB")</f>
        <v>TRB</v>
      </c>
      <c r="K6245" s="4" t="str">
        <f>IFERROR(__xludf.DUMMYFUNCTION("""COMPUTED_VALUE"""),"AST")</f>
        <v>AST</v>
      </c>
      <c r="L6245" s="4" t="str">
        <f>IFERROR(__xludf.DUMMYFUNCTION("""COMPUTED_VALUE"""),"FG%")</f>
        <v>FG%</v>
      </c>
      <c r="M6245" s="4" t="str">
        <f>IFERROR(__xludf.DUMMYFUNCTION("""COMPUTED_VALUE"""),"3P%")</f>
        <v>3P%</v>
      </c>
      <c r="N6245" s="4" t="str">
        <f>IFERROR(__xludf.DUMMYFUNCTION("""COMPUTED_VALUE"""),"FT%")</f>
        <v>FT%</v>
      </c>
      <c r="O6245" s="4" t="str">
        <f>IFERROR(__xludf.DUMMYFUNCTION("""COMPUTED_VALUE"""),"MP")</f>
        <v>MP</v>
      </c>
      <c r="P6245" s="4" t="str">
        <f>IFERROR(__xludf.DUMMYFUNCTION("""COMPUTED_VALUE"""),"PTS")</f>
        <v>PTS</v>
      </c>
      <c r="Q6245" s="4" t="str">
        <f>IFERROR(__xludf.DUMMYFUNCTION("""COMPUTED_VALUE"""),"TRB")</f>
        <v>TRB</v>
      </c>
      <c r="R6245" s="4" t="str">
        <f>IFERROR(__xludf.DUMMYFUNCTION("""COMPUTED_VALUE"""),"AST")</f>
        <v>AST</v>
      </c>
      <c r="S6245" s="4" t="str">
        <f>IFERROR(__xludf.DUMMYFUNCTION("""COMPUTED_VALUE"""),"WS")</f>
        <v>WS</v>
      </c>
      <c r="T6245" s="4" t="str">
        <f>IFERROR(__xludf.DUMMYFUNCTION("""COMPUTED_VALUE"""),"WS/48")</f>
        <v>WS/48</v>
      </c>
      <c r="U6245" s="4" t="str">
        <f>IFERROR(__xludf.DUMMYFUNCTION("""COMPUTED_VALUE"""),"BPM")</f>
        <v>BPM</v>
      </c>
      <c r="V6245" s="4" t="str">
        <f>IFERROR(__xludf.DUMMYFUNCTION("""COMPUTED_VALUE"""),"VORP")</f>
        <v>VORP</v>
      </c>
    </row>
    <row r="6246">
      <c r="A6246" s="4">
        <f>IFERROR(__xludf.DUMMYFUNCTION("""COMPUTED_VALUE"""),18.0)</f>
        <v>18</v>
      </c>
      <c r="B6246" s="4">
        <f>IFERROR(__xludf.DUMMYFUNCTION("""COMPUTED_VALUE"""),18.0)</f>
        <v>18</v>
      </c>
      <c r="C6246" s="4" t="str">
        <f>IFERROR(__xludf.DUMMYFUNCTION("""COMPUTED_VALUE"""),"SDR")</f>
        <v>SDR</v>
      </c>
      <c r="D6246" s="4" t="str">
        <f>IFERROR(__xludf.DUMMYFUNCTION("""COMPUTED_VALUE"""),"Calvin Murphy")</f>
        <v>Calvin Murphy</v>
      </c>
      <c r="E6246" s="4" t="str">
        <f>IFERROR(__xludf.DUMMYFUNCTION("""COMPUTED_VALUE"""),"Niagara University")</f>
        <v>Niagara University</v>
      </c>
      <c r="F6246" s="4">
        <f>IFERROR(__xludf.DUMMYFUNCTION("""COMPUTED_VALUE"""),13.0)</f>
        <v>13</v>
      </c>
      <c r="G6246" s="4">
        <f>IFERROR(__xludf.DUMMYFUNCTION("""COMPUTED_VALUE"""),1002.0)</f>
        <v>1002</v>
      </c>
      <c r="H6246" s="4">
        <f>IFERROR(__xludf.DUMMYFUNCTION("""COMPUTED_VALUE"""),30607.0)</f>
        <v>30607</v>
      </c>
      <c r="I6246" s="4">
        <f>IFERROR(__xludf.DUMMYFUNCTION("""COMPUTED_VALUE"""),17949.0)</f>
        <v>17949</v>
      </c>
      <c r="J6246" s="4">
        <f>IFERROR(__xludf.DUMMYFUNCTION("""COMPUTED_VALUE"""),2103.0)</f>
        <v>2103</v>
      </c>
      <c r="K6246" s="4">
        <f>IFERROR(__xludf.DUMMYFUNCTION("""COMPUTED_VALUE"""),4402.0)</f>
        <v>4402</v>
      </c>
      <c r="L6246" s="4">
        <f>IFERROR(__xludf.DUMMYFUNCTION("""COMPUTED_VALUE"""),0.482)</f>
        <v>0.482</v>
      </c>
      <c r="M6246" s="4"/>
      <c r="N6246" s="4">
        <f>IFERROR(__xludf.DUMMYFUNCTION("""COMPUTED_VALUE"""),0.892)</f>
        <v>0.892</v>
      </c>
      <c r="O6246" s="4">
        <f>IFERROR(__xludf.DUMMYFUNCTION("""COMPUTED_VALUE"""),30.5)</f>
        <v>30.5</v>
      </c>
      <c r="P6246" s="4">
        <f>IFERROR(__xludf.DUMMYFUNCTION("""COMPUTED_VALUE"""),17.9)</f>
        <v>17.9</v>
      </c>
      <c r="Q6246" s="4">
        <f>IFERROR(__xludf.DUMMYFUNCTION("""COMPUTED_VALUE"""),2.1)</f>
        <v>2.1</v>
      </c>
      <c r="R6246" s="4">
        <f>IFERROR(__xludf.DUMMYFUNCTION("""COMPUTED_VALUE"""),4.4)</f>
        <v>4.4</v>
      </c>
      <c r="S6246" s="4">
        <f>IFERROR(__xludf.DUMMYFUNCTION("""COMPUTED_VALUE"""),84.1)</f>
        <v>84.1</v>
      </c>
      <c r="T6246" s="4">
        <f>IFERROR(__xludf.DUMMYFUNCTION("""COMPUTED_VALUE"""),0.132)</f>
        <v>0.132</v>
      </c>
      <c r="U6246" s="4">
        <f>IFERROR(__xludf.DUMMYFUNCTION("""COMPUTED_VALUE"""),0.6)</f>
        <v>0.6</v>
      </c>
      <c r="V6246" s="4">
        <f>IFERROR(__xludf.DUMMYFUNCTION("""COMPUTED_VALUE"""),15.8)</f>
        <v>15.8</v>
      </c>
    </row>
    <row r="6247">
      <c r="A6247" s="4">
        <f>IFERROR(__xludf.DUMMYFUNCTION("""COMPUTED_VALUE"""),19.0)</f>
        <v>19</v>
      </c>
      <c r="B6247" s="4">
        <f>IFERROR(__xludf.DUMMYFUNCTION("""COMPUTED_VALUE"""),19.0)</f>
        <v>19</v>
      </c>
      <c r="C6247" s="4" t="str">
        <f>IFERROR(__xludf.DUMMYFUNCTION("""COMPUTED_VALUE"""),"CIN")</f>
        <v>CIN</v>
      </c>
      <c r="D6247" s="4" t="str">
        <f>IFERROR(__xludf.DUMMYFUNCTION("""COMPUTED_VALUE"""),"Tiny Archibald")</f>
        <v>Tiny Archibald</v>
      </c>
      <c r="E6247" s="4" t="str">
        <f>IFERROR(__xludf.DUMMYFUNCTION("""COMPUTED_VALUE"""),"Texas-El Paso")</f>
        <v>Texas-El Paso</v>
      </c>
      <c r="F6247" s="4">
        <f>IFERROR(__xludf.DUMMYFUNCTION("""COMPUTED_VALUE"""),13.0)</f>
        <v>13</v>
      </c>
      <c r="G6247" s="4">
        <f>IFERROR(__xludf.DUMMYFUNCTION("""COMPUTED_VALUE"""),876.0)</f>
        <v>876</v>
      </c>
      <c r="H6247" s="4">
        <f>IFERROR(__xludf.DUMMYFUNCTION("""COMPUTED_VALUE"""),31159.0)</f>
        <v>31159</v>
      </c>
      <c r="I6247" s="4">
        <f>IFERROR(__xludf.DUMMYFUNCTION("""COMPUTED_VALUE"""),16481.0)</f>
        <v>16481</v>
      </c>
      <c r="J6247" s="4">
        <f>IFERROR(__xludf.DUMMYFUNCTION("""COMPUTED_VALUE"""),2046.0)</f>
        <v>2046</v>
      </c>
      <c r="K6247" s="4">
        <f>IFERROR(__xludf.DUMMYFUNCTION("""COMPUTED_VALUE"""),6476.0)</f>
        <v>6476</v>
      </c>
      <c r="L6247" s="4">
        <f>IFERROR(__xludf.DUMMYFUNCTION("""COMPUTED_VALUE"""),0.467)</f>
        <v>0.467</v>
      </c>
      <c r="M6247" s="4"/>
      <c r="N6247" s="4">
        <f>IFERROR(__xludf.DUMMYFUNCTION("""COMPUTED_VALUE"""),0.81)</f>
        <v>0.81</v>
      </c>
      <c r="O6247" s="4">
        <f>IFERROR(__xludf.DUMMYFUNCTION("""COMPUTED_VALUE"""),35.6)</f>
        <v>35.6</v>
      </c>
      <c r="P6247" s="4">
        <f>IFERROR(__xludf.DUMMYFUNCTION("""COMPUTED_VALUE"""),18.8)</f>
        <v>18.8</v>
      </c>
      <c r="Q6247" s="4">
        <f>IFERROR(__xludf.DUMMYFUNCTION("""COMPUTED_VALUE"""),2.3)</f>
        <v>2.3</v>
      </c>
      <c r="R6247" s="4">
        <f>IFERROR(__xludf.DUMMYFUNCTION("""COMPUTED_VALUE"""),7.4)</f>
        <v>7.4</v>
      </c>
      <c r="S6247" s="4">
        <f>IFERROR(__xludf.DUMMYFUNCTION("""COMPUTED_VALUE"""),83.4)</f>
        <v>83.4</v>
      </c>
      <c r="T6247" s="4">
        <f>IFERROR(__xludf.DUMMYFUNCTION("""COMPUTED_VALUE"""),0.128)</f>
        <v>0.128</v>
      </c>
      <c r="U6247" s="4">
        <f>IFERROR(__xludf.DUMMYFUNCTION("""COMPUTED_VALUE"""),0.4)</f>
        <v>0.4</v>
      </c>
      <c r="V6247" s="4">
        <f>IFERROR(__xludf.DUMMYFUNCTION("""COMPUTED_VALUE"""),12.9)</f>
        <v>12.9</v>
      </c>
    </row>
    <row r="6248">
      <c r="A6248" s="4">
        <f>IFERROR(__xludf.DUMMYFUNCTION("""COMPUTED_VALUE"""),20.0)</f>
        <v>20</v>
      </c>
      <c r="B6248" s="4">
        <f>IFERROR(__xludf.DUMMYFUNCTION("""COMPUTED_VALUE"""),20.0)</f>
        <v>20</v>
      </c>
      <c r="C6248" s="4" t="str">
        <f>IFERROR(__xludf.DUMMYFUNCTION("""COMPUTED_VALUE"""),"SEA")</f>
        <v>SEA</v>
      </c>
      <c r="D6248" s="4" t="str">
        <f>IFERROR(__xludf.DUMMYFUNCTION("""COMPUTED_VALUE"""),"Jake Ford")</f>
        <v>Jake Ford</v>
      </c>
      <c r="E6248" s="4" t="str">
        <f>IFERROR(__xludf.DUMMYFUNCTION("""COMPUTED_VALUE"""),"University of Maryland Eastern Shore")</f>
        <v>University of Maryland Eastern Shore</v>
      </c>
      <c r="F6248" s="4">
        <f>IFERROR(__xludf.DUMMYFUNCTION("""COMPUTED_VALUE"""),2.0)</f>
        <v>2</v>
      </c>
      <c r="G6248" s="4">
        <f>IFERROR(__xludf.DUMMYFUNCTION("""COMPUTED_VALUE"""),31.0)</f>
        <v>31</v>
      </c>
      <c r="H6248" s="4">
        <f>IFERROR(__xludf.DUMMYFUNCTION("""COMPUTED_VALUE"""),249.0)</f>
        <v>249</v>
      </c>
      <c r="I6248" s="4">
        <f>IFERROR(__xludf.DUMMYFUNCTION("""COMPUTED_VALUE"""),126.0)</f>
        <v>126</v>
      </c>
      <c r="J6248" s="4">
        <f>IFERROR(__xludf.DUMMYFUNCTION("""COMPUTED_VALUE"""),20.0)</f>
        <v>20</v>
      </c>
      <c r="K6248" s="4">
        <f>IFERROR(__xludf.DUMMYFUNCTION("""COMPUTED_VALUE"""),35.0)</f>
        <v>35</v>
      </c>
      <c r="L6248" s="4">
        <f>IFERROR(__xludf.DUMMYFUNCTION("""COMPUTED_VALUE"""),0.462)</f>
        <v>0.462</v>
      </c>
      <c r="M6248" s="4"/>
      <c r="N6248" s="4">
        <f>IFERROR(__xludf.DUMMYFUNCTION("""COMPUTED_VALUE"""),0.764)</f>
        <v>0.764</v>
      </c>
      <c r="O6248" s="4">
        <f>IFERROR(__xludf.DUMMYFUNCTION("""COMPUTED_VALUE"""),8.0)</f>
        <v>8</v>
      </c>
      <c r="P6248" s="4">
        <f>IFERROR(__xludf.DUMMYFUNCTION("""COMPUTED_VALUE"""),4.1)</f>
        <v>4.1</v>
      </c>
      <c r="Q6248" s="4">
        <f>IFERROR(__xludf.DUMMYFUNCTION("""COMPUTED_VALUE"""),0.6)</f>
        <v>0.6</v>
      </c>
      <c r="R6248" s="4">
        <f>IFERROR(__xludf.DUMMYFUNCTION("""COMPUTED_VALUE"""),1.1)</f>
        <v>1.1</v>
      </c>
      <c r="S6248" s="4">
        <f>IFERROR(__xludf.DUMMYFUNCTION("""COMPUTED_VALUE"""),0.7)</f>
        <v>0.7</v>
      </c>
      <c r="T6248" s="4">
        <f>IFERROR(__xludf.DUMMYFUNCTION("""COMPUTED_VALUE"""),0.133)</f>
        <v>0.133</v>
      </c>
      <c r="U6248" s="4"/>
      <c r="V6248" s="4"/>
    </row>
    <row r="6249">
      <c r="A6249" s="4">
        <f>IFERROR(__xludf.DUMMYFUNCTION("""COMPUTED_VALUE"""),21.0)</f>
        <v>21</v>
      </c>
      <c r="B6249" s="4">
        <f>IFERROR(__xludf.DUMMYFUNCTION("""COMPUTED_VALUE"""),21.0)</f>
        <v>21</v>
      </c>
      <c r="C6249" s="4" t="str">
        <f>IFERROR(__xludf.DUMMYFUNCTION("""COMPUTED_VALUE"""),"BOS")</f>
        <v>BOS</v>
      </c>
      <c r="D6249" s="4" t="str">
        <f>IFERROR(__xludf.DUMMYFUNCTION("""COMPUTED_VALUE"""),"Rex Morgan")</f>
        <v>Rex Morgan</v>
      </c>
      <c r="E6249" s="4" t="str">
        <f>IFERROR(__xludf.DUMMYFUNCTION("""COMPUTED_VALUE"""),"Jacksonville University")</f>
        <v>Jacksonville University</v>
      </c>
      <c r="F6249" s="4">
        <f>IFERROR(__xludf.DUMMYFUNCTION("""COMPUTED_VALUE"""),2.0)</f>
        <v>2</v>
      </c>
      <c r="G6249" s="4">
        <f>IFERROR(__xludf.DUMMYFUNCTION("""COMPUTED_VALUE"""),62.0)</f>
        <v>62</v>
      </c>
      <c r="H6249" s="4">
        <f>IFERROR(__xludf.DUMMYFUNCTION("""COMPUTED_VALUE"""),416.0)</f>
        <v>416</v>
      </c>
      <c r="I6249" s="4">
        <f>IFERROR(__xludf.DUMMYFUNCTION("""COMPUTED_VALUE"""),172.0)</f>
        <v>172</v>
      </c>
      <c r="J6249" s="4">
        <f>IFERROR(__xludf.DUMMYFUNCTION("""COMPUTED_VALUE"""),91.0)</f>
        <v>91</v>
      </c>
      <c r="K6249" s="4">
        <f>IFERROR(__xludf.DUMMYFUNCTION("""COMPUTED_VALUE"""),39.0)</f>
        <v>39</v>
      </c>
      <c r="L6249" s="4">
        <f>IFERROR(__xludf.DUMMYFUNCTION("""COMPUTED_VALUE"""),0.375)</f>
        <v>0.375</v>
      </c>
      <c r="M6249" s="4"/>
      <c r="N6249" s="4">
        <f>IFERROR(__xludf.DUMMYFUNCTION("""COMPUTED_VALUE"""),0.682)</f>
        <v>0.682</v>
      </c>
      <c r="O6249" s="4">
        <f>IFERROR(__xludf.DUMMYFUNCTION("""COMPUTED_VALUE"""),6.7)</f>
        <v>6.7</v>
      </c>
      <c r="P6249" s="4">
        <f>IFERROR(__xludf.DUMMYFUNCTION("""COMPUTED_VALUE"""),2.8)</f>
        <v>2.8</v>
      </c>
      <c r="Q6249" s="4">
        <f>IFERROR(__xludf.DUMMYFUNCTION("""COMPUTED_VALUE"""),1.5)</f>
        <v>1.5</v>
      </c>
      <c r="R6249" s="4">
        <f>IFERROR(__xludf.DUMMYFUNCTION("""COMPUTED_VALUE"""),0.6)</f>
        <v>0.6</v>
      </c>
      <c r="S6249" s="4">
        <f>IFERROR(__xludf.DUMMYFUNCTION("""COMPUTED_VALUE"""),0.5)</f>
        <v>0.5</v>
      </c>
      <c r="T6249" s="4">
        <f>IFERROR(__xludf.DUMMYFUNCTION("""COMPUTED_VALUE"""),0.063)</f>
        <v>0.063</v>
      </c>
      <c r="U6249" s="4"/>
      <c r="V6249" s="4"/>
    </row>
    <row r="6250">
      <c r="A6250" s="4">
        <f>IFERROR(__xludf.DUMMYFUNCTION("""COMPUTED_VALUE"""),22.0)</f>
        <v>22</v>
      </c>
      <c r="B6250" s="4">
        <f>IFERROR(__xludf.DUMMYFUNCTION("""COMPUTED_VALUE"""),22.0)</f>
        <v>22</v>
      </c>
      <c r="C6250" s="4" t="str">
        <f>IFERROR(__xludf.DUMMYFUNCTION("""COMPUTED_VALUE"""),"CIN")</f>
        <v>CIN</v>
      </c>
      <c r="D6250" s="4" t="str">
        <f>IFERROR(__xludf.DUMMYFUNCTION("""COMPUTED_VALUE"""),"Doug Cook")</f>
        <v>Doug Cook</v>
      </c>
      <c r="E6250" s="4" t="str">
        <f>IFERROR(__xludf.DUMMYFUNCTION("""COMPUTED_VALUE"""),"Davidson")</f>
        <v>Davidson</v>
      </c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</row>
    <row r="6251">
      <c r="A6251" s="4">
        <f>IFERROR(__xludf.DUMMYFUNCTION("""COMPUTED_VALUE"""),23.0)</f>
        <v>23</v>
      </c>
      <c r="B6251" s="4">
        <f>IFERROR(__xludf.DUMMYFUNCTION("""COMPUTED_VALUE"""),23.0)</f>
        <v>23</v>
      </c>
      <c r="C6251" s="4" t="str">
        <f>IFERROR(__xludf.DUMMYFUNCTION("""COMPUTED_VALUE"""),"SEA")</f>
        <v>SEA</v>
      </c>
      <c r="D6251" s="4" t="str">
        <f>IFERROR(__xludf.DUMMYFUNCTION("""COMPUTED_VALUE"""),"Pete Cross")</f>
        <v>Pete Cross</v>
      </c>
      <c r="E6251" s="4" t="str">
        <f>IFERROR(__xludf.DUMMYFUNCTION("""COMPUTED_VALUE"""),"San Francisco")</f>
        <v>San Francisco</v>
      </c>
      <c r="F6251" s="4">
        <f>IFERROR(__xludf.DUMMYFUNCTION("""COMPUTED_VALUE"""),3.0)</f>
        <v>3</v>
      </c>
      <c r="G6251" s="4">
        <f>IFERROR(__xludf.DUMMYFUNCTION("""COMPUTED_VALUE"""),182.0)</f>
        <v>182</v>
      </c>
      <c r="H6251" s="4">
        <f>IFERROR(__xludf.DUMMYFUNCTION("""COMPUTED_VALUE"""),3775.0)</f>
        <v>3775</v>
      </c>
      <c r="I6251" s="4">
        <f>IFERROR(__xludf.DUMMYFUNCTION("""COMPUTED_VALUE"""),1057.0)</f>
        <v>1057</v>
      </c>
      <c r="J6251" s="4">
        <f>IFERROR(__xludf.DUMMYFUNCTION("""COMPUTED_VALUE"""),1519.0)</f>
        <v>1519</v>
      </c>
      <c r="K6251" s="4">
        <f>IFERROR(__xludf.DUMMYFUNCTION("""COMPUTED_VALUE"""),187.0)</f>
        <v>187</v>
      </c>
      <c r="L6251" s="4">
        <f>IFERROR(__xludf.DUMMYFUNCTION("""COMPUTED_VALUE"""),0.431)</f>
        <v>0.431</v>
      </c>
      <c r="M6251" s="4"/>
      <c r="N6251" s="4">
        <f>IFERROR(__xludf.DUMMYFUNCTION("""COMPUTED_VALUE"""),0.695)</f>
        <v>0.695</v>
      </c>
      <c r="O6251" s="4">
        <f>IFERROR(__xludf.DUMMYFUNCTION("""COMPUTED_VALUE"""),20.7)</f>
        <v>20.7</v>
      </c>
      <c r="P6251" s="4">
        <f>IFERROR(__xludf.DUMMYFUNCTION("""COMPUTED_VALUE"""),5.8)</f>
        <v>5.8</v>
      </c>
      <c r="Q6251" s="4">
        <f>IFERROR(__xludf.DUMMYFUNCTION("""COMPUTED_VALUE"""),8.3)</f>
        <v>8.3</v>
      </c>
      <c r="R6251" s="4">
        <f>IFERROR(__xludf.DUMMYFUNCTION("""COMPUTED_VALUE"""),1.0)</f>
        <v>1</v>
      </c>
      <c r="S6251" s="4">
        <f>IFERROR(__xludf.DUMMYFUNCTION("""COMPUTED_VALUE"""),4.2)</f>
        <v>4.2</v>
      </c>
      <c r="T6251" s="4">
        <f>IFERROR(__xludf.DUMMYFUNCTION("""COMPUTED_VALUE"""),0.053)</f>
        <v>0.053</v>
      </c>
      <c r="U6251" s="4"/>
      <c r="V6251" s="4"/>
    </row>
    <row r="6252">
      <c r="A6252" s="4">
        <f>IFERROR(__xludf.DUMMYFUNCTION("""COMPUTED_VALUE"""),24.0)</f>
        <v>24</v>
      </c>
      <c r="B6252" s="4">
        <f>IFERROR(__xludf.DUMMYFUNCTION("""COMPUTED_VALUE"""),24.0)</f>
        <v>24</v>
      </c>
      <c r="C6252" s="4" t="str">
        <f>IFERROR(__xludf.DUMMYFUNCTION("""COMPUTED_VALUE"""),"BUF")</f>
        <v>BUF</v>
      </c>
      <c r="D6252" s="4" t="str">
        <f>IFERROR(__xludf.DUMMYFUNCTION("""COMPUTED_VALUE"""),"Cornell Warner")</f>
        <v>Cornell Warner</v>
      </c>
      <c r="E6252" s="4" t="str">
        <f>IFERROR(__xludf.DUMMYFUNCTION("""COMPUTED_VALUE"""),"Jackson State University")</f>
        <v>Jackson State University</v>
      </c>
      <c r="F6252" s="4">
        <f>IFERROR(__xludf.DUMMYFUNCTION("""COMPUTED_VALUE"""),7.0)</f>
        <v>7</v>
      </c>
      <c r="G6252" s="4">
        <f>IFERROR(__xludf.DUMMYFUNCTION("""COMPUTED_VALUE"""),445.0)</f>
        <v>445</v>
      </c>
      <c r="H6252" s="4">
        <f>IFERROR(__xludf.DUMMYFUNCTION("""COMPUTED_VALUE"""),10508.0)</f>
        <v>10508</v>
      </c>
      <c r="I6252" s="4">
        <f>IFERROR(__xludf.DUMMYFUNCTION("""COMPUTED_VALUE"""),2860.0)</f>
        <v>2860</v>
      </c>
      <c r="J6252" s="4">
        <f>IFERROR(__xludf.DUMMYFUNCTION("""COMPUTED_VALUE"""),3353.0)</f>
        <v>3353</v>
      </c>
      <c r="K6252" s="4">
        <f>IFERROR(__xludf.DUMMYFUNCTION("""COMPUTED_VALUE"""),494.0)</f>
        <v>494</v>
      </c>
      <c r="L6252" s="4">
        <f>IFERROR(__xludf.DUMMYFUNCTION("""COMPUTED_VALUE"""),0.452)</f>
        <v>0.452</v>
      </c>
      <c r="M6252" s="4"/>
      <c r="N6252" s="4">
        <f>IFERROR(__xludf.DUMMYFUNCTION("""COMPUTED_VALUE"""),0.672)</f>
        <v>0.672</v>
      </c>
      <c r="O6252" s="4">
        <f>IFERROR(__xludf.DUMMYFUNCTION("""COMPUTED_VALUE"""),23.6)</f>
        <v>23.6</v>
      </c>
      <c r="P6252" s="4">
        <f>IFERROR(__xludf.DUMMYFUNCTION("""COMPUTED_VALUE"""),6.4)</f>
        <v>6.4</v>
      </c>
      <c r="Q6252" s="4">
        <f>IFERROR(__xludf.DUMMYFUNCTION("""COMPUTED_VALUE"""),7.5)</f>
        <v>7.5</v>
      </c>
      <c r="R6252" s="4">
        <f>IFERROR(__xludf.DUMMYFUNCTION("""COMPUTED_VALUE"""),1.1)</f>
        <v>1.1</v>
      </c>
      <c r="S6252" s="4">
        <f>IFERROR(__xludf.DUMMYFUNCTION("""COMPUTED_VALUE"""),15.8)</f>
        <v>15.8</v>
      </c>
      <c r="T6252" s="4">
        <f>IFERROR(__xludf.DUMMYFUNCTION("""COMPUTED_VALUE"""),0.072)</f>
        <v>0.072</v>
      </c>
      <c r="U6252" s="4">
        <f>IFERROR(__xludf.DUMMYFUNCTION("""COMPUTED_VALUE"""),-1.4)</f>
        <v>-1.4</v>
      </c>
      <c r="V6252" s="4">
        <f>IFERROR(__xludf.DUMMYFUNCTION("""COMPUTED_VALUE"""),1.0)</f>
        <v>1</v>
      </c>
    </row>
    <row r="6253">
      <c r="A6253" s="4">
        <f>IFERROR(__xludf.DUMMYFUNCTION("""COMPUTED_VALUE"""),25.0)</f>
        <v>25</v>
      </c>
      <c r="B6253" s="4">
        <f>IFERROR(__xludf.DUMMYFUNCTION("""COMPUTED_VALUE"""),25.0)</f>
        <v>25</v>
      </c>
      <c r="C6253" s="4" t="str">
        <f>IFERROR(__xludf.DUMMYFUNCTION("""COMPUTED_VALUE"""),"POR")</f>
        <v>POR</v>
      </c>
      <c r="D6253" s="4" t="str">
        <f>IFERROR(__xludf.DUMMYFUNCTION("""COMPUTED_VALUE"""),"Walt Gilmore")</f>
        <v>Walt Gilmore</v>
      </c>
      <c r="E6253" s="4" t="str">
        <f>IFERROR(__xludf.DUMMYFUNCTION("""COMPUTED_VALUE"""),"Fort Valley State University")</f>
        <v>Fort Valley State University</v>
      </c>
      <c r="F6253" s="4">
        <f>IFERROR(__xludf.DUMMYFUNCTION("""COMPUTED_VALUE"""),1.0)</f>
        <v>1</v>
      </c>
      <c r="G6253" s="4">
        <f>IFERROR(__xludf.DUMMYFUNCTION("""COMPUTED_VALUE"""),27.0)</f>
        <v>27</v>
      </c>
      <c r="H6253" s="4">
        <f>IFERROR(__xludf.DUMMYFUNCTION("""COMPUTED_VALUE"""),261.0)</f>
        <v>261</v>
      </c>
      <c r="I6253" s="4">
        <f>IFERROR(__xludf.DUMMYFUNCTION("""COMPUTED_VALUE"""),58.0)</f>
        <v>58</v>
      </c>
      <c r="J6253" s="4">
        <f>IFERROR(__xludf.DUMMYFUNCTION("""COMPUTED_VALUE"""),73.0)</f>
        <v>73</v>
      </c>
      <c r="K6253" s="4">
        <f>IFERROR(__xludf.DUMMYFUNCTION("""COMPUTED_VALUE"""),12.0)</f>
        <v>12</v>
      </c>
      <c r="L6253" s="4">
        <f>IFERROR(__xludf.DUMMYFUNCTION("""COMPUTED_VALUE"""),0.426)</f>
        <v>0.426</v>
      </c>
      <c r="M6253" s="4"/>
      <c r="N6253" s="4">
        <f>IFERROR(__xludf.DUMMYFUNCTION("""COMPUTED_VALUE"""),0.462)</f>
        <v>0.462</v>
      </c>
      <c r="O6253" s="4">
        <f>IFERROR(__xludf.DUMMYFUNCTION("""COMPUTED_VALUE"""),9.7)</f>
        <v>9.7</v>
      </c>
      <c r="P6253" s="4">
        <f>IFERROR(__xludf.DUMMYFUNCTION("""COMPUTED_VALUE"""),2.1)</f>
        <v>2.1</v>
      </c>
      <c r="Q6253" s="4">
        <f>IFERROR(__xludf.DUMMYFUNCTION("""COMPUTED_VALUE"""),2.7)</f>
        <v>2.7</v>
      </c>
      <c r="R6253" s="4">
        <f>IFERROR(__xludf.DUMMYFUNCTION("""COMPUTED_VALUE"""),0.4)</f>
        <v>0.4</v>
      </c>
      <c r="S6253" s="4">
        <f>IFERROR(__xludf.DUMMYFUNCTION("""COMPUTED_VALUE"""),0.2)</f>
        <v>0.2</v>
      </c>
      <c r="T6253" s="4">
        <f>IFERROR(__xludf.DUMMYFUNCTION("""COMPUTED_VALUE"""),0.033)</f>
        <v>0.033</v>
      </c>
      <c r="U6253" s="4"/>
      <c r="V6253" s="4"/>
    </row>
    <row r="6254">
      <c r="A6254" s="4">
        <f>IFERROR(__xludf.DUMMYFUNCTION("""COMPUTED_VALUE"""),26.0)</f>
        <v>26</v>
      </c>
      <c r="B6254" s="4">
        <f>IFERROR(__xludf.DUMMYFUNCTION("""COMPUTED_VALUE"""),26.0)</f>
        <v>26</v>
      </c>
      <c r="C6254" s="4" t="str">
        <f>IFERROR(__xludf.DUMMYFUNCTION("""COMPUTED_VALUE"""),"CLE")</f>
        <v>CLE</v>
      </c>
      <c r="D6254" s="4" t="str">
        <f>IFERROR(__xludf.DUMMYFUNCTION("""COMPUTED_VALUE"""),"Dave Sorenson")</f>
        <v>Dave Sorenson</v>
      </c>
      <c r="E6254" s="4" t="str">
        <f>IFERROR(__xludf.DUMMYFUNCTION("""COMPUTED_VALUE"""),"Ohio State")</f>
        <v>Ohio State</v>
      </c>
      <c r="F6254" s="4">
        <f>IFERROR(__xludf.DUMMYFUNCTION("""COMPUTED_VALUE"""),3.0)</f>
        <v>3</v>
      </c>
      <c r="G6254" s="4">
        <f>IFERROR(__xludf.DUMMYFUNCTION("""COMPUTED_VALUE"""),213.0)</f>
        <v>213</v>
      </c>
      <c r="H6254" s="4">
        <f>IFERROR(__xludf.DUMMYFUNCTION("""COMPUTED_VALUE"""),3857.0)</f>
        <v>3857</v>
      </c>
      <c r="I6254" s="4">
        <f>IFERROR(__xludf.DUMMYFUNCTION("""COMPUTED_VALUE"""),1734.0)</f>
        <v>1734</v>
      </c>
      <c r="J6254" s="4">
        <f>IFERROR(__xludf.DUMMYFUNCTION("""COMPUTED_VALUE"""),997.0)</f>
        <v>997</v>
      </c>
      <c r="K6254" s="4">
        <f>IFERROR(__xludf.DUMMYFUNCTION("""COMPUTED_VALUE"""),280.0)</f>
        <v>280</v>
      </c>
      <c r="L6254" s="4">
        <f>IFERROR(__xludf.DUMMYFUNCTION("""COMPUTED_VALUE"""),0.442)</f>
        <v>0.442</v>
      </c>
      <c r="M6254" s="4"/>
      <c r="N6254" s="4">
        <f>IFERROR(__xludf.DUMMYFUNCTION("""COMPUTED_VALUE"""),0.778)</f>
        <v>0.778</v>
      </c>
      <c r="O6254" s="4">
        <f>IFERROR(__xludf.DUMMYFUNCTION("""COMPUTED_VALUE"""),18.1)</f>
        <v>18.1</v>
      </c>
      <c r="P6254" s="4">
        <f>IFERROR(__xludf.DUMMYFUNCTION("""COMPUTED_VALUE"""),8.1)</f>
        <v>8.1</v>
      </c>
      <c r="Q6254" s="4">
        <f>IFERROR(__xludf.DUMMYFUNCTION("""COMPUTED_VALUE"""),4.7)</f>
        <v>4.7</v>
      </c>
      <c r="R6254" s="4">
        <f>IFERROR(__xludf.DUMMYFUNCTION("""COMPUTED_VALUE"""),1.3)</f>
        <v>1.3</v>
      </c>
      <c r="S6254" s="4">
        <f>IFERROR(__xludf.DUMMYFUNCTION("""COMPUTED_VALUE"""),5.4)</f>
        <v>5.4</v>
      </c>
      <c r="T6254" s="4">
        <f>IFERROR(__xludf.DUMMYFUNCTION("""COMPUTED_VALUE"""),0.067)</f>
        <v>0.067</v>
      </c>
      <c r="U6254" s="4"/>
      <c r="V6254" s="4"/>
    </row>
    <row r="6255">
      <c r="A6255" s="4">
        <f>IFERROR(__xludf.DUMMYFUNCTION("""COMPUTED_VALUE"""),27.0)</f>
        <v>27</v>
      </c>
      <c r="B6255" s="4">
        <f>IFERROR(__xludf.DUMMYFUNCTION("""COMPUTED_VALUE"""),27.0)</f>
        <v>27</v>
      </c>
      <c r="C6255" s="4" t="str">
        <f>IFERROR(__xludf.DUMMYFUNCTION("""COMPUTED_VALUE"""),"PHO")</f>
        <v>PHO</v>
      </c>
      <c r="D6255" s="4" t="str">
        <f>IFERROR(__xludf.DUMMYFUNCTION("""COMPUTED_VALUE"""),"Fred Taylor")</f>
        <v>Fred Taylor</v>
      </c>
      <c r="E6255" s="4" t="str">
        <f>IFERROR(__xludf.DUMMYFUNCTION("""COMPUTED_VALUE"""),"University of Texas Rio Grande Valley")</f>
        <v>University of Texas Rio Grande Valley</v>
      </c>
      <c r="F6255" s="4">
        <f>IFERROR(__xludf.DUMMYFUNCTION("""COMPUTED_VALUE"""),2.0)</f>
        <v>2</v>
      </c>
      <c r="G6255" s="4">
        <f>IFERROR(__xludf.DUMMYFUNCTION("""COMPUTED_VALUE"""),88.0)</f>
        <v>88</v>
      </c>
      <c r="H6255" s="4">
        <f>IFERROR(__xludf.DUMMYFUNCTION("""COMPUTED_VALUE"""),835.0)</f>
        <v>835</v>
      </c>
      <c r="I6255" s="4">
        <f>IFERROR(__xludf.DUMMYFUNCTION("""COMPUTED_VALUE"""),385.0)</f>
        <v>385</v>
      </c>
      <c r="J6255" s="4">
        <f>IFERROR(__xludf.DUMMYFUNCTION("""COMPUTED_VALUE"""),140.0)</f>
        <v>140</v>
      </c>
      <c r="K6255" s="4">
        <f>IFERROR(__xludf.DUMMYFUNCTION("""COMPUTED_VALUE"""),69.0)</f>
        <v>69</v>
      </c>
      <c r="L6255" s="4">
        <f>IFERROR(__xludf.DUMMYFUNCTION("""COMPUTED_VALUE"""),0.364)</f>
        <v>0.364</v>
      </c>
      <c r="M6255" s="4"/>
      <c r="N6255" s="4">
        <f>IFERROR(__xludf.DUMMYFUNCTION("""COMPUTED_VALUE"""),0.592)</f>
        <v>0.592</v>
      </c>
      <c r="O6255" s="4">
        <f>IFERROR(__xludf.DUMMYFUNCTION("""COMPUTED_VALUE"""),9.5)</f>
        <v>9.5</v>
      </c>
      <c r="P6255" s="4">
        <f>IFERROR(__xludf.DUMMYFUNCTION("""COMPUTED_VALUE"""),4.4)</f>
        <v>4.4</v>
      </c>
      <c r="Q6255" s="4">
        <f>IFERROR(__xludf.DUMMYFUNCTION("""COMPUTED_VALUE"""),1.6)</f>
        <v>1.6</v>
      </c>
      <c r="R6255" s="4">
        <f>IFERROR(__xludf.DUMMYFUNCTION("""COMPUTED_VALUE"""),0.8)</f>
        <v>0.8</v>
      </c>
      <c r="S6255" s="4">
        <f>IFERROR(__xludf.DUMMYFUNCTION("""COMPUTED_VALUE"""),-0.6)</f>
        <v>-0.6</v>
      </c>
      <c r="T6255" s="4">
        <f>IFERROR(__xludf.DUMMYFUNCTION("""COMPUTED_VALUE"""),-0.035)</f>
        <v>-0.035</v>
      </c>
      <c r="U6255" s="4"/>
      <c r="V6255" s="4"/>
    </row>
    <row r="6256">
      <c r="A6256" s="4">
        <f>IFERROR(__xludf.DUMMYFUNCTION("""COMPUTED_VALUE"""),28.0)</f>
        <v>28</v>
      </c>
      <c r="B6256" s="4">
        <f>IFERROR(__xludf.DUMMYFUNCTION("""COMPUTED_VALUE"""),28.0)</f>
        <v>28</v>
      </c>
      <c r="C6256" s="4" t="str">
        <f>IFERROR(__xludf.DUMMYFUNCTION("""COMPUTED_VALUE"""),"CHI")</f>
        <v>CHI</v>
      </c>
      <c r="D6256" s="4" t="str">
        <f>IFERROR(__xludf.DUMMYFUNCTION("""COMPUTED_VALUE"""),"Paul Ruffner")</f>
        <v>Paul Ruffner</v>
      </c>
      <c r="E6256" s="4" t="str">
        <f>IFERROR(__xludf.DUMMYFUNCTION("""COMPUTED_VALUE"""),"BYU")</f>
        <v>BYU</v>
      </c>
      <c r="F6256" s="4">
        <f>IFERROR(__xludf.DUMMYFUNCTION("""COMPUTED_VALUE"""),3.0)</f>
        <v>3</v>
      </c>
      <c r="G6256" s="4">
        <f>IFERROR(__xludf.DUMMYFUNCTION("""COMPUTED_VALUE"""),52.0)</f>
        <v>52</v>
      </c>
      <c r="H6256" s="4">
        <f>IFERROR(__xludf.DUMMYFUNCTION("""COMPUTED_VALUE"""),214.0)</f>
        <v>214</v>
      </c>
      <c r="I6256" s="4">
        <f>IFERROR(__xludf.DUMMYFUNCTION("""COMPUTED_VALUE"""),109.0)</f>
        <v>109</v>
      </c>
      <c r="J6256" s="4">
        <f>IFERROR(__xludf.DUMMYFUNCTION("""COMPUTED_VALUE"""),49.0)</f>
        <v>49</v>
      </c>
      <c r="K6256" s="4">
        <f>IFERROR(__xludf.DUMMYFUNCTION("""COMPUTED_VALUE"""),9.0)</f>
        <v>9</v>
      </c>
      <c r="L6256" s="4">
        <f>IFERROR(__xludf.DUMMYFUNCTION("""COMPUTED_VALUE"""),0.44)</f>
        <v>0.44</v>
      </c>
      <c r="M6256" s="4"/>
      <c r="N6256" s="4">
        <f>IFERROR(__xludf.DUMMYFUNCTION("""COMPUTED_VALUE"""),0.5)</f>
        <v>0.5</v>
      </c>
      <c r="O6256" s="4">
        <f>IFERROR(__xludf.DUMMYFUNCTION("""COMPUTED_VALUE"""),4.1)</f>
        <v>4.1</v>
      </c>
      <c r="P6256" s="4">
        <f>IFERROR(__xludf.DUMMYFUNCTION("""COMPUTED_VALUE"""),2.1)</f>
        <v>2.1</v>
      </c>
      <c r="Q6256" s="4">
        <f>IFERROR(__xludf.DUMMYFUNCTION("""COMPUTED_VALUE"""),0.9)</f>
        <v>0.9</v>
      </c>
      <c r="R6256" s="4">
        <f>IFERROR(__xludf.DUMMYFUNCTION("""COMPUTED_VALUE"""),0.2)</f>
        <v>0.2</v>
      </c>
      <c r="S6256" s="4">
        <f>IFERROR(__xludf.DUMMYFUNCTION("""COMPUTED_VALUE"""),0.1)</f>
        <v>0.1</v>
      </c>
      <c r="T6256" s="4">
        <f>IFERROR(__xludf.DUMMYFUNCTION("""COMPUTED_VALUE"""),0.017)</f>
        <v>0.017</v>
      </c>
      <c r="U6256" s="4">
        <f>IFERROR(__xludf.DUMMYFUNCTION("""COMPUTED_VALUE"""),-4.7)</f>
        <v>-4.7</v>
      </c>
      <c r="V6256" s="4">
        <f>IFERROR(__xludf.DUMMYFUNCTION("""COMPUTED_VALUE"""),-0.2)</f>
        <v>-0.2</v>
      </c>
    </row>
    <row r="6257">
      <c r="A6257" s="4">
        <f>IFERROR(__xludf.DUMMYFUNCTION("""COMPUTED_VALUE"""),29.0)</f>
        <v>29</v>
      </c>
      <c r="B6257" s="4">
        <f>IFERROR(__xludf.DUMMYFUNCTION("""COMPUTED_VALUE"""),29.0)</f>
        <v>29</v>
      </c>
      <c r="C6257" s="4" t="str">
        <f>IFERROR(__xludf.DUMMYFUNCTION("""COMPUTED_VALUE"""),"PHO")</f>
        <v>PHO</v>
      </c>
      <c r="D6257" s="4" t="str">
        <f>IFERROR(__xludf.DUMMYFUNCTION("""COMPUTED_VALUE"""),"Joe DePre")</f>
        <v>Joe DePre</v>
      </c>
      <c r="E6257" s="4" t="str">
        <f>IFERROR(__xludf.DUMMYFUNCTION("""COMPUTED_VALUE"""),"St. John's")</f>
        <v>St. John's</v>
      </c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</row>
    <row r="6258">
      <c r="A6258" s="4">
        <f>IFERROR(__xludf.DUMMYFUNCTION("""COMPUTED_VALUE"""),30.0)</f>
        <v>30</v>
      </c>
      <c r="B6258" s="4">
        <f>IFERROR(__xludf.DUMMYFUNCTION("""COMPUTED_VALUE"""),30.0)</f>
        <v>30</v>
      </c>
      <c r="C6258" s="4" t="str">
        <f>IFERROR(__xludf.DUMMYFUNCTION("""COMPUTED_VALUE"""),"LAL")</f>
        <v>LAL</v>
      </c>
      <c r="D6258" s="4" t="str">
        <f>IFERROR(__xludf.DUMMYFUNCTION("""COMPUTED_VALUE"""),"Earnie Killum")</f>
        <v>Earnie Killum</v>
      </c>
      <c r="E6258" s="4" t="str">
        <f>IFERROR(__xludf.DUMMYFUNCTION("""COMPUTED_VALUE"""),"Stetson University")</f>
        <v>Stetson University</v>
      </c>
      <c r="F6258" s="4">
        <f>IFERROR(__xludf.DUMMYFUNCTION("""COMPUTED_VALUE"""),1.0)</f>
        <v>1</v>
      </c>
      <c r="G6258" s="4">
        <f>IFERROR(__xludf.DUMMYFUNCTION("""COMPUTED_VALUE"""),4.0)</f>
        <v>4</v>
      </c>
      <c r="H6258" s="4">
        <f>IFERROR(__xludf.DUMMYFUNCTION("""COMPUTED_VALUE"""),12.0)</f>
        <v>12</v>
      </c>
      <c r="I6258" s="4">
        <f>IFERROR(__xludf.DUMMYFUNCTION("""COMPUTED_VALUE"""),1.0)</f>
        <v>1</v>
      </c>
      <c r="J6258" s="4">
        <f>IFERROR(__xludf.DUMMYFUNCTION("""COMPUTED_VALUE"""),2.0)</f>
        <v>2</v>
      </c>
      <c r="K6258" s="4">
        <f>IFERROR(__xludf.DUMMYFUNCTION("""COMPUTED_VALUE"""),0.0)</f>
        <v>0</v>
      </c>
      <c r="L6258" s="4">
        <f>IFERROR(__xludf.DUMMYFUNCTION("""COMPUTED_VALUE"""),0.0)</f>
        <v>0</v>
      </c>
      <c r="M6258" s="4"/>
      <c r="N6258" s="4">
        <f>IFERROR(__xludf.DUMMYFUNCTION("""COMPUTED_VALUE"""),1.0)</f>
        <v>1</v>
      </c>
      <c r="O6258" s="4">
        <f>IFERROR(__xludf.DUMMYFUNCTION("""COMPUTED_VALUE"""),3.0)</f>
        <v>3</v>
      </c>
      <c r="P6258" s="4">
        <f>IFERROR(__xludf.DUMMYFUNCTION("""COMPUTED_VALUE"""),0.3)</f>
        <v>0.3</v>
      </c>
      <c r="Q6258" s="4">
        <f>IFERROR(__xludf.DUMMYFUNCTION("""COMPUTED_VALUE"""),0.5)</f>
        <v>0.5</v>
      </c>
      <c r="R6258" s="4">
        <f>IFERROR(__xludf.DUMMYFUNCTION("""COMPUTED_VALUE"""),0.0)</f>
        <v>0</v>
      </c>
      <c r="S6258" s="4">
        <f>IFERROR(__xludf.DUMMYFUNCTION("""COMPUTED_VALUE"""),-0.1)</f>
        <v>-0.1</v>
      </c>
      <c r="T6258" s="4">
        <f>IFERROR(__xludf.DUMMYFUNCTION("""COMPUTED_VALUE"""),-0.314)</f>
        <v>-0.314</v>
      </c>
      <c r="U6258" s="4"/>
      <c r="V6258" s="4"/>
    </row>
    <row r="6259">
      <c r="A6259" s="4">
        <f>IFERROR(__xludf.DUMMYFUNCTION("""COMPUTED_VALUE"""),31.0)</f>
        <v>31</v>
      </c>
      <c r="B6259" s="4">
        <f>IFERROR(__xludf.DUMMYFUNCTION("""COMPUTED_VALUE"""),31.0)</f>
        <v>31</v>
      </c>
      <c r="C6259" s="4" t="str">
        <f>IFERROR(__xludf.DUMMYFUNCTION("""COMPUTED_VALUE"""),"ATL")</f>
        <v>ATL</v>
      </c>
      <c r="D6259" s="4" t="str">
        <f>IFERROR(__xludf.DUMMYFUNCTION("""COMPUTED_VALUE"""),"Dan Hester")</f>
        <v>Dan Hester</v>
      </c>
      <c r="E6259" s="4" t="str">
        <f>IFERROR(__xludf.DUMMYFUNCTION("""COMPUTED_VALUE"""),"LSU")</f>
        <v>LSU</v>
      </c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</row>
    <row r="6260">
      <c r="A6260" s="4">
        <f>IFERROR(__xludf.DUMMYFUNCTION("""COMPUTED_VALUE"""),32.0)</f>
        <v>32</v>
      </c>
      <c r="B6260" s="4">
        <f>IFERROR(__xludf.DUMMYFUNCTION("""COMPUTED_VALUE"""),32.0)</f>
        <v>32</v>
      </c>
      <c r="C6260" s="4" t="str">
        <f>IFERROR(__xludf.DUMMYFUNCTION("""COMPUTED_VALUE"""),"DET")</f>
        <v>DET</v>
      </c>
      <c r="D6260" s="4" t="str">
        <f>IFERROR(__xludf.DUMMYFUNCTION("""COMPUTED_VALUE"""),"Ken Warzynski")</f>
        <v>Ken Warzynski</v>
      </c>
      <c r="E6260" s="4" t="str">
        <f>IFERROR(__xludf.DUMMYFUNCTION("""COMPUTED_VALUE"""),"DePaul")</f>
        <v>DePaul</v>
      </c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</row>
    <row r="6261">
      <c r="A6261" s="4">
        <f>IFERROR(__xludf.DUMMYFUNCTION("""COMPUTED_VALUE"""),33.0)</f>
        <v>33</v>
      </c>
      <c r="B6261" s="4">
        <f>IFERROR(__xludf.DUMMYFUNCTION("""COMPUTED_VALUE"""),33.0)</f>
        <v>33</v>
      </c>
      <c r="C6261" s="4" t="str">
        <f>IFERROR(__xludf.DUMMYFUNCTION("""COMPUTED_VALUE"""),"MIL")</f>
        <v>MIL</v>
      </c>
      <c r="D6261" s="4" t="str">
        <f>IFERROR(__xludf.DUMMYFUNCTION("""COMPUTED_VALUE"""),"Bill Zopf")</f>
        <v>Bill Zopf</v>
      </c>
      <c r="E6261" s="4" t="str">
        <f>IFERROR(__xludf.DUMMYFUNCTION("""COMPUTED_VALUE"""),"Duquesne")</f>
        <v>Duquesne</v>
      </c>
      <c r="F6261" s="4">
        <f>IFERROR(__xludf.DUMMYFUNCTION("""COMPUTED_VALUE"""),1.0)</f>
        <v>1</v>
      </c>
      <c r="G6261" s="4">
        <f>IFERROR(__xludf.DUMMYFUNCTION("""COMPUTED_VALUE"""),53.0)</f>
        <v>53</v>
      </c>
      <c r="H6261" s="4">
        <f>IFERROR(__xludf.DUMMYFUNCTION("""COMPUTED_VALUE"""),398.0)</f>
        <v>398</v>
      </c>
      <c r="I6261" s="4">
        <f>IFERROR(__xludf.DUMMYFUNCTION("""COMPUTED_VALUE"""),118.0)</f>
        <v>118</v>
      </c>
      <c r="J6261" s="4">
        <f>IFERROR(__xludf.DUMMYFUNCTION("""COMPUTED_VALUE"""),46.0)</f>
        <v>46</v>
      </c>
      <c r="K6261" s="4">
        <f>IFERROR(__xludf.DUMMYFUNCTION("""COMPUTED_VALUE"""),73.0)</f>
        <v>73</v>
      </c>
      <c r="L6261" s="4">
        <f>IFERROR(__xludf.DUMMYFUNCTION("""COMPUTED_VALUE"""),0.363)</f>
        <v>0.363</v>
      </c>
      <c r="M6261" s="4"/>
      <c r="N6261" s="4">
        <f>IFERROR(__xludf.DUMMYFUNCTION("""COMPUTED_VALUE"""),0.556)</f>
        <v>0.556</v>
      </c>
      <c r="O6261" s="4">
        <f>IFERROR(__xludf.DUMMYFUNCTION("""COMPUTED_VALUE"""),7.5)</f>
        <v>7.5</v>
      </c>
      <c r="P6261" s="4">
        <f>IFERROR(__xludf.DUMMYFUNCTION("""COMPUTED_VALUE"""),2.2)</f>
        <v>2.2</v>
      </c>
      <c r="Q6261" s="4">
        <f>IFERROR(__xludf.DUMMYFUNCTION("""COMPUTED_VALUE"""),0.9)</f>
        <v>0.9</v>
      </c>
      <c r="R6261" s="4">
        <f>IFERROR(__xludf.DUMMYFUNCTION("""COMPUTED_VALUE"""),1.4)</f>
        <v>1.4</v>
      </c>
      <c r="S6261" s="4">
        <f>IFERROR(__xludf.DUMMYFUNCTION("""COMPUTED_VALUE"""),-0.1)</f>
        <v>-0.1</v>
      </c>
      <c r="T6261" s="4">
        <f>IFERROR(__xludf.DUMMYFUNCTION("""COMPUTED_VALUE"""),-0.011)</f>
        <v>-0.011</v>
      </c>
      <c r="U6261" s="4"/>
      <c r="V6261" s="4"/>
    </row>
    <row r="6262">
      <c r="A6262" s="4">
        <f>IFERROR(__xludf.DUMMYFUNCTION("""COMPUTED_VALUE"""),34.0)</f>
        <v>34</v>
      </c>
      <c r="B6262" s="4">
        <f>IFERROR(__xludf.DUMMYFUNCTION("""COMPUTED_VALUE"""),34.0)</f>
        <v>34</v>
      </c>
      <c r="C6262" s="4" t="str">
        <f>IFERROR(__xludf.DUMMYFUNCTION("""COMPUTED_VALUE"""),"NYK")</f>
        <v>NYK</v>
      </c>
      <c r="D6262" s="4" t="str">
        <f>IFERROR(__xludf.DUMMYFUNCTION("""COMPUTED_VALUE"""),"Howie Wright")</f>
        <v>Howie Wright</v>
      </c>
      <c r="E6262" s="4" t="str">
        <f>IFERROR(__xludf.DUMMYFUNCTION("""COMPUTED_VALUE"""),"Austin Peay State University")</f>
        <v>Austin Peay State University</v>
      </c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</row>
    <row r="6263">
      <c r="A6263" s="4"/>
      <c r="B6263" s="4"/>
      <c r="C6263" s="4"/>
      <c r="D6263" s="4" t="str">
        <f>IFERROR(__xludf.DUMMYFUNCTION("""COMPUTED_VALUE"""),"Round 3")</f>
        <v>Round 3</v>
      </c>
      <c r="E6263" s="4"/>
      <c r="F6263" s="4"/>
      <c r="G6263" s="4" t="str">
        <f>IFERROR(__xludf.DUMMYFUNCTION("""COMPUTED_VALUE"""),"Totals")</f>
        <v>Totals</v>
      </c>
      <c r="H6263" s="4"/>
      <c r="I6263" s="4"/>
      <c r="J6263" s="4"/>
      <c r="K6263" s="4"/>
      <c r="L6263" s="4" t="str">
        <f>IFERROR(__xludf.DUMMYFUNCTION("""COMPUTED_VALUE"""),"Shooting")</f>
        <v>Shooting</v>
      </c>
      <c r="M6263" s="4"/>
      <c r="N6263" s="4"/>
      <c r="O6263" s="4" t="str">
        <f>IFERROR(__xludf.DUMMYFUNCTION("""COMPUTED_VALUE"""),"Per Game")</f>
        <v>Per Game</v>
      </c>
      <c r="P6263" s="4"/>
      <c r="Q6263" s="4"/>
      <c r="R6263" s="4"/>
      <c r="S6263" s="4" t="str">
        <f>IFERROR(__xludf.DUMMYFUNCTION("""COMPUTED_VALUE"""),"Advanced")</f>
        <v>Advanced</v>
      </c>
      <c r="T6263" s="4"/>
      <c r="U6263" s="4"/>
      <c r="V6263" s="4"/>
    </row>
    <row r="6264">
      <c r="A6264" s="4" t="str">
        <f>IFERROR(__xludf.DUMMYFUNCTION("""COMPUTED_VALUE"""),"Rk")</f>
        <v>Rk</v>
      </c>
      <c r="B6264" s="4" t="str">
        <f>IFERROR(__xludf.DUMMYFUNCTION("""COMPUTED_VALUE"""),"Pk")</f>
        <v>Pk</v>
      </c>
      <c r="C6264" s="4" t="str">
        <f>IFERROR(__xludf.DUMMYFUNCTION("""COMPUTED_VALUE"""),"Tm")</f>
        <v>Tm</v>
      </c>
      <c r="D6264" s="4" t="str">
        <f>IFERROR(__xludf.DUMMYFUNCTION("""COMPUTED_VALUE"""),"Player")</f>
        <v>Player</v>
      </c>
      <c r="E6264" s="4" t="str">
        <f>IFERROR(__xludf.DUMMYFUNCTION("""COMPUTED_VALUE"""),"College")</f>
        <v>College</v>
      </c>
      <c r="F6264" s="4" t="str">
        <f>IFERROR(__xludf.DUMMYFUNCTION("""COMPUTED_VALUE"""),"Yrs")</f>
        <v>Yrs</v>
      </c>
      <c r="G6264" s="4" t="str">
        <f>IFERROR(__xludf.DUMMYFUNCTION("""COMPUTED_VALUE"""),"G")</f>
        <v>G</v>
      </c>
      <c r="H6264" s="4" t="str">
        <f>IFERROR(__xludf.DUMMYFUNCTION("""COMPUTED_VALUE"""),"MP")</f>
        <v>MP</v>
      </c>
      <c r="I6264" s="4" t="str">
        <f>IFERROR(__xludf.DUMMYFUNCTION("""COMPUTED_VALUE"""),"PTS")</f>
        <v>PTS</v>
      </c>
      <c r="J6264" s="4" t="str">
        <f>IFERROR(__xludf.DUMMYFUNCTION("""COMPUTED_VALUE"""),"TRB")</f>
        <v>TRB</v>
      </c>
      <c r="K6264" s="4" t="str">
        <f>IFERROR(__xludf.DUMMYFUNCTION("""COMPUTED_VALUE"""),"AST")</f>
        <v>AST</v>
      </c>
      <c r="L6264" s="4" t="str">
        <f>IFERROR(__xludf.DUMMYFUNCTION("""COMPUTED_VALUE"""),"FG%")</f>
        <v>FG%</v>
      </c>
      <c r="M6264" s="4" t="str">
        <f>IFERROR(__xludf.DUMMYFUNCTION("""COMPUTED_VALUE"""),"3P%")</f>
        <v>3P%</v>
      </c>
      <c r="N6264" s="4" t="str">
        <f>IFERROR(__xludf.DUMMYFUNCTION("""COMPUTED_VALUE"""),"FT%")</f>
        <v>FT%</v>
      </c>
      <c r="O6264" s="4" t="str">
        <f>IFERROR(__xludf.DUMMYFUNCTION("""COMPUTED_VALUE"""),"MP")</f>
        <v>MP</v>
      </c>
      <c r="P6264" s="4" t="str">
        <f>IFERROR(__xludf.DUMMYFUNCTION("""COMPUTED_VALUE"""),"PTS")</f>
        <v>PTS</v>
      </c>
      <c r="Q6264" s="4" t="str">
        <f>IFERROR(__xludf.DUMMYFUNCTION("""COMPUTED_VALUE"""),"TRB")</f>
        <v>TRB</v>
      </c>
      <c r="R6264" s="4" t="str">
        <f>IFERROR(__xludf.DUMMYFUNCTION("""COMPUTED_VALUE"""),"AST")</f>
        <v>AST</v>
      </c>
      <c r="S6264" s="4" t="str">
        <f>IFERROR(__xludf.DUMMYFUNCTION("""COMPUTED_VALUE"""),"WS")</f>
        <v>WS</v>
      </c>
      <c r="T6264" s="4" t="str">
        <f>IFERROR(__xludf.DUMMYFUNCTION("""COMPUTED_VALUE"""),"WS/48")</f>
        <v>WS/48</v>
      </c>
      <c r="U6264" s="4" t="str">
        <f>IFERROR(__xludf.DUMMYFUNCTION("""COMPUTED_VALUE"""),"BPM")</f>
        <v>BPM</v>
      </c>
      <c r="V6264" s="4" t="str">
        <f>IFERROR(__xludf.DUMMYFUNCTION("""COMPUTED_VALUE"""),"VORP")</f>
        <v>VORP</v>
      </c>
    </row>
    <row r="6265">
      <c r="A6265" s="4">
        <f>IFERROR(__xludf.DUMMYFUNCTION("""COMPUTED_VALUE"""),35.0)</f>
        <v>35</v>
      </c>
      <c r="B6265" s="4">
        <f>IFERROR(__xludf.DUMMYFUNCTION("""COMPUTED_VALUE"""),35.0)</f>
        <v>35</v>
      </c>
      <c r="C6265" s="4" t="str">
        <f>IFERROR(__xludf.DUMMYFUNCTION("""COMPUTED_VALUE"""),"SDR")</f>
        <v>SDR</v>
      </c>
      <c r="D6265" s="4" t="str">
        <f>IFERROR(__xludf.DUMMYFUNCTION("""COMPUTED_VALUE"""),"Curtis Perry")</f>
        <v>Curtis Perry</v>
      </c>
      <c r="E6265" s="4" t="str">
        <f>IFERROR(__xludf.DUMMYFUNCTION("""COMPUTED_VALUE"""),"Missouri State")</f>
        <v>Missouri State</v>
      </c>
      <c r="F6265" s="4">
        <f>IFERROR(__xludf.DUMMYFUNCTION("""COMPUTED_VALUE"""),8.0)</f>
        <v>8</v>
      </c>
      <c r="G6265" s="4">
        <f>IFERROR(__xludf.DUMMYFUNCTION("""COMPUTED_VALUE"""),480.0)</f>
        <v>480</v>
      </c>
      <c r="H6265" s="4">
        <f>IFERROR(__xludf.DUMMYFUNCTION("""COMPUTED_VALUE"""),13656.0)</f>
        <v>13656</v>
      </c>
      <c r="I6265" s="4">
        <f>IFERROR(__xludf.DUMMYFUNCTION("""COMPUTED_VALUE"""),4578.0)</f>
        <v>4578</v>
      </c>
      <c r="J6265" s="4">
        <f>IFERROR(__xludf.DUMMYFUNCTION("""COMPUTED_VALUE"""),4239.0)</f>
        <v>4239</v>
      </c>
      <c r="K6265" s="4">
        <f>IFERROR(__xludf.DUMMYFUNCTION("""COMPUTED_VALUE"""),906.0)</f>
        <v>906</v>
      </c>
      <c r="L6265" s="4">
        <f>IFERROR(__xludf.DUMMYFUNCTION("""COMPUTED_VALUE"""),0.455)</f>
        <v>0.455</v>
      </c>
      <c r="M6265" s="4"/>
      <c r="N6265" s="4">
        <f>IFERROR(__xludf.DUMMYFUNCTION("""COMPUTED_VALUE"""),0.699)</f>
        <v>0.699</v>
      </c>
      <c r="O6265" s="4">
        <f>IFERROR(__xludf.DUMMYFUNCTION("""COMPUTED_VALUE"""),28.5)</f>
        <v>28.5</v>
      </c>
      <c r="P6265" s="4">
        <f>IFERROR(__xludf.DUMMYFUNCTION("""COMPUTED_VALUE"""),9.5)</f>
        <v>9.5</v>
      </c>
      <c r="Q6265" s="4">
        <f>IFERROR(__xludf.DUMMYFUNCTION("""COMPUTED_VALUE"""),8.8)</f>
        <v>8.8</v>
      </c>
      <c r="R6265" s="4">
        <f>IFERROR(__xludf.DUMMYFUNCTION("""COMPUTED_VALUE"""),1.9)</f>
        <v>1.9</v>
      </c>
      <c r="S6265" s="4">
        <f>IFERROR(__xludf.DUMMYFUNCTION("""COMPUTED_VALUE"""),29.6)</f>
        <v>29.6</v>
      </c>
      <c r="T6265" s="4">
        <f>IFERROR(__xludf.DUMMYFUNCTION("""COMPUTED_VALUE"""),0.104)</f>
        <v>0.104</v>
      </c>
      <c r="U6265" s="4">
        <f>IFERROR(__xludf.DUMMYFUNCTION("""COMPUTED_VALUE"""),0.3)</f>
        <v>0.3</v>
      </c>
      <c r="V6265" s="4">
        <f>IFERROR(__xludf.DUMMYFUNCTION("""COMPUTED_VALUE"""),5.5)</f>
        <v>5.5</v>
      </c>
    </row>
    <row r="6266">
      <c r="A6266" s="4">
        <f>IFERROR(__xludf.DUMMYFUNCTION("""COMPUTED_VALUE"""),36.0)</f>
        <v>36</v>
      </c>
      <c r="B6266" s="4">
        <f>IFERROR(__xludf.DUMMYFUNCTION("""COMPUTED_VALUE"""),36.0)</f>
        <v>36</v>
      </c>
      <c r="C6266" s="4" t="str">
        <f>IFERROR(__xludf.DUMMYFUNCTION("""COMPUTED_VALUE"""),"SFW")</f>
        <v>SFW</v>
      </c>
      <c r="D6266" s="4" t="str">
        <f>IFERROR(__xludf.DUMMYFUNCTION("""COMPUTED_VALUE"""),"Earle Higgins")</f>
        <v>Earle Higgins</v>
      </c>
      <c r="E6266" s="4" t="str">
        <f>IFERROR(__xludf.DUMMYFUNCTION("""COMPUTED_VALUE"""),"Eastern Michigan")</f>
        <v>Eastern Michigan</v>
      </c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</row>
    <row r="6267">
      <c r="A6267" s="4">
        <f>IFERROR(__xludf.DUMMYFUNCTION("""COMPUTED_VALUE"""),37.0)</f>
        <v>37</v>
      </c>
      <c r="B6267" s="4">
        <f>IFERROR(__xludf.DUMMYFUNCTION("""COMPUTED_VALUE"""),37.0)</f>
        <v>37</v>
      </c>
      <c r="C6267" s="4" t="str">
        <f>IFERROR(__xludf.DUMMYFUNCTION("""COMPUTED_VALUE"""),"DET")</f>
        <v>DET</v>
      </c>
      <c r="D6267" s="4" t="str">
        <f>IFERROR(__xludf.DUMMYFUNCTION("""COMPUTED_VALUE"""),"Bob St. Pierre")</f>
        <v>Bob St. Pierre</v>
      </c>
      <c r="E6267" s="4" t="str">
        <f>IFERROR(__xludf.DUMMYFUNCTION("""COMPUTED_VALUE"""),"Hanover College")</f>
        <v>Hanover College</v>
      </c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</row>
    <row r="6268">
      <c r="A6268" s="4">
        <f>IFERROR(__xludf.DUMMYFUNCTION("""COMPUTED_VALUE"""),38.0)</f>
        <v>38</v>
      </c>
      <c r="B6268" s="4">
        <f>IFERROR(__xludf.DUMMYFUNCTION("""COMPUTED_VALUE"""),38.0)</f>
        <v>38</v>
      </c>
      <c r="C6268" s="4" t="str">
        <f>IFERROR(__xludf.DUMMYFUNCTION("""COMPUTED_VALUE"""),"BOS")</f>
        <v>BOS</v>
      </c>
      <c r="D6268" s="4" t="str">
        <f>IFERROR(__xludf.DUMMYFUNCTION("""COMPUTED_VALUE"""),"Willie Williams")</f>
        <v>Willie Williams</v>
      </c>
      <c r="E6268" s="4" t="str">
        <f>IFERROR(__xludf.DUMMYFUNCTION("""COMPUTED_VALUE"""),"Florida State")</f>
        <v>Florida State</v>
      </c>
      <c r="F6268" s="4">
        <f>IFERROR(__xludf.DUMMYFUNCTION("""COMPUTED_VALUE"""),1.0)</f>
        <v>1</v>
      </c>
      <c r="G6268" s="4">
        <f>IFERROR(__xludf.DUMMYFUNCTION("""COMPUTED_VALUE"""),25.0)</f>
        <v>25</v>
      </c>
      <c r="H6268" s="4">
        <f>IFERROR(__xludf.DUMMYFUNCTION("""COMPUTED_VALUE"""),105.0)</f>
        <v>105</v>
      </c>
      <c r="I6268" s="4">
        <f>IFERROR(__xludf.DUMMYFUNCTION("""COMPUTED_VALUE"""),23.0)</f>
        <v>23</v>
      </c>
      <c r="J6268" s="4">
        <f>IFERROR(__xludf.DUMMYFUNCTION("""COMPUTED_VALUE"""),23.0)</f>
        <v>23</v>
      </c>
      <c r="K6268" s="4">
        <f>IFERROR(__xludf.DUMMYFUNCTION("""COMPUTED_VALUE"""),8.0)</f>
        <v>8</v>
      </c>
      <c r="L6268" s="4">
        <f>IFERROR(__xludf.DUMMYFUNCTION("""COMPUTED_VALUE"""),0.238)</f>
        <v>0.238</v>
      </c>
      <c r="M6268" s="4"/>
      <c r="N6268" s="4">
        <f>IFERROR(__xludf.DUMMYFUNCTION("""COMPUTED_VALUE"""),0.6)</f>
        <v>0.6</v>
      </c>
      <c r="O6268" s="4">
        <f>IFERROR(__xludf.DUMMYFUNCTION("""COMPUTED_VALUE"""),4.2)</f>
        <v>4.2</v>
      </c>
      <c r="P6268" s="4">
        <f>IFERROR(__xludf.DUMMYFUNCTION("""COMPUTED_VALUE"""),0.9)</f>
        <v>0.9</v>
      </c>
      <c r="Q6268" s="4">
        <f>IFERROR(__xludf.DUMMYFUNCTION("""COMPUTED_VALUE"""),0.9)</f>
        <v>0.9</v>
      </c>
      <c r="R6268" s="4">
        <f>IFERROR(__xludf.DUMMYFUNCTION("""COMPUTED_VALUE"""),0.3)</f>
        <v>0.3</v>
      </c>
      <c r="S6268" s="4">
        <f>IFERROR(__xludf.DUMMYFUNCTION("""COMPUTED_VALUE"""),-0.4)</f>
        <v>-0.4</v>
      </c>
      <c r="T6268" s="4">
        <f>IFERROR(__xludf.DUMMYFUNCTION("""COMPUTED_VALUE"""),-0.17)</f>
        <v>-0.17</v>
      </c>
      <c r="U6268" s="4"/>
      <c r="V6268" s="4"/>
    </row>
    <row r="6269">
      <c r="A6269" s="4">
        <f>IFERROR(__xludf.DUMMYFUNCTION("""COMPUTED_VALUE"""),39.0)</f>
        <v>39</v>
      </c>
      <c r="B6269" s="4">
        <f>IFERROR(__xludf.DUMMYFUNCTION("""COMPUTED_VALUE"""),39.0)</f>
        <v>39</v>
      </c>
      <c r="C6269" s="4" t="str">
        <f>IFERROR(__xludf.DUMMYFUNCTION("""COMPUTED_VALUE"""),"CIN")</f>
        <v>CIN</v>
      </c>
      <c r="D6269" s="4" t="str">
        <f>IFERROR(__xludf.DUMMYFUNCTION("""COMPUTED_VALUE"""),"Greg Hyder")</f>
        <v>Greg Hyder</v>
      </c>
      <c r="E6269" s="4" t="str">
        <f>IFERROR(__xludf.DUMMYFUNCTION("""COMPUTED_VALUE"""),"Eastern New Mexico University")</f>
        <v>Eastern New Mexico University</v>
      </c>
      <c r="F6269" s="4">
        <f>IFERROR(__xludf.DUMMYFUNCTION("""COMPUTED_VALUE"""),1.0)</f>
        <v>1</v>
      </c>
      <c r="G6269" s="4">
        <f>IFERROR(__xludf.DUMMYFUNCTION("""COMPUTED_VALUE"""),77.0)</f>
        <v>77</v>
      </c>
      <c r="H6269" s="4">
        <f>IFERROR(__xludf.DUMMYFUNCTION("""COMPUTED_VALUE"""),1359.0)</f>
        <v>1359</v>
      </c>
      <c r="I6269" s="4">
        <f>IFERROR(__xludf.DUMMYFUNCTION("""COMPUTED_VALUE"""),417.0)</f>
        <v>417</v>
      </c>
      <c r="J6269" s="4">
        <f>IFERROR(__xludf.DUMMYFUNCTION("""COMPUTED_VALUE"""),332.0)</f>
        <v>332</v>
      </c>
      <c r="K6269" s="4">
        <f>IFERROR(__xludf.DUMMYFUNCTION("""COMPUTED_VALUE"""),48.0)</f>
        <v>48</v>
      </c>
      <c r="L6269" s="4">
        <f>IFERROR(__xludf.DUMMYFUNCTION("""COMPUTED_VALUE"""),0.447)</f>
        <v>0.447</v>
      </c>
      <c r="M6269" s="4"/>
      <c r="N6269" s="4">
        <f>IFERROR(__xludf.DUMMYFUNCTION("""COMPUTED_VALUE"""),0.718)</f>
        <v>0.718</v>
      </c>
      <c r="O6269" s="4">
        <f>IFERROR(__xludf.DUMMYFUNCTION("""COMPUTED_VALUE"""),17.6)</f>
        <v>17.6</v>
      </c>
      <c r="P6269" s="4">
        <f>IFERROR(__xludf.DUMMYFUNCTION("""COMPUTED_VALUE"""),5.4)</f>
        <v>5.4</v>
      </c>
      <c r="Q6269" s="4">
        <f>IFERROR(__xludf.DUMMYFUNCTION("""COMPUTED_VALUE"""),4.3)</f>
        <v>4.3</v>
      </c>
      <c r="R6269" s="4">
        <f>IFERROR(__xludf.DUMMYFUNCTION("""COMPUTED_VALUE"""),0.6)</f>
        <v>0.6</v>
      </c>
      <c r="S6269" s="4">
        <f>IFERROR(__xludf.DUMMYFUNCTION("""COMPUTED_VALUE"""),1.1)</f>
        <v>1.1</v>
      </c>
      <c r="T6269" s="4">
        <f>IFERROR(__xludf.DUMMYFUNCTION("""COMPUTED_VALUE"""),0.04)</f>
        <v>0.04</v>
      </c>
      <c r="U6269" s="4"/>
      <c r="V6269" s="4"/>
    </row>
    <row r="6270">
      <c r="A6270" s="4">
        <f>IFERROR(__xludf.DUMMYFUNCTION("""COMPUTED_VALUE"""),40.0)</f>
        <v>40</v>
      </c>
      <c r="B6270" s="4">
        <f>IFERROR(__xludf.DUMMYFUNCTION("""COMPUTED_VALUE"""),40.0)</f>
        <v>40</v>
      </c>
      <c r="C6270" s="4" t="str">
        <f>IFERROR(__xludf.DUMMYFUNCTION("""COMPUTED_VALUE"""),"SEA")</f>
        <v>SEA</v>
      </c>
      <c r="D6270" s="4" t="str">
        <f>IFERROR(__xludf.DUMMYFUNCTION("""COMPUTED_VALUE"""),"Gar Heard")</f>
        <v>Gar Heard</v>
      </c>
      <c r="E6270" s="4" t="str">
        <f>IFERROR(__xludf.DUMMYFUNCTION("""COMPUTED_VALUE"""),"Oklahoma")</f>
        <v>Oklahoma</v>
      </c>
      <c r="F6270" s="4">
        <f>IFERROR(__xludf.DUMMYFUNCTION("""COMPUTED_VALUE"""),11.0)</f>
        <v>11</v>
      </c>
      <c r="G6270" s="4">
        <f>IFERROR(__xludf.DUMMYFUNCTION("""COMPUTED_VALUE"""),787.0)</f>
        <v>787</v>
      </c>
      <c r="H6270" s="4">
        <f>IFERROR(__xludf.DUMMYFUNCTION("""COMPUTED_VALUE"""),19571.0)</f>
        <v>19571</v>
      </c>
      <c r="I6270" s="4">
        <f>IFERROR(__xludf.DUMMYFUNCTION("""COMPUTED_VALUE"""),6828.0)</f>
        <v>6828</v>
      </c>
      <c r="J6270" s="4">
        <f>IFERROR(__xludf.DUMMYFUNCTION("""COMPUTED_VALUE"""),5876.0)</f>
        <v>5876</v>
      </c>
      <c r="K6270" s="4">
        <f>IFERROR(__xludf.DUMMYFUNCTION("""COMPUTED_VALUE"""),1220.0)</f>
        <v>1220</v>
      </c>
      <c r="L6270" s="4">
        <f>IFERROR(__xludf.DUMMYFUNCTION("""COMPUTED_VALUE"""),0.414)</f>
        <v>0.414</v>
      </c>
      <c r="M6270" s="4"/>
      <c r="N6270" s="4">
        <f>IFERROR(__xludf.DUMMYFUNCTION("""COMPUTED_VALUE"""),0.654)</f>
        <v>0.654</v>
      </c>
      <c r="O6270" s="4">
        <f>IFERROR(__xludf.DUMMYFUNCTION("""COMPUTED_VALUE"""),24.9)</f>
        <v>24.9</v>
      </c>
      <c r="P6270" s="4">
        <f>IFERROR(__xludf.DUMMYFUNCTION("""COMPUTED_VALUE"""),8.7)</f>
        <v>8.7</v>
      </c>
      <c r="Q6270" s="4">
        <f>IFERROR(__xludf.DUMMYFUNCTION("""COMPUTED_VALUE"""),7.5)</f>
        <v>7.5</v>
      </c>
      <c r="R6270" s="4">
        <f>IFERROR(__xludf.DUMMYFUNCTION("""COMPUTED_VALUE"""),1.6)</f>
        <v>1.6</v>
      </c>
      <c r="S6270" s="4">
        <f>IFERROR(__xludf.DUMMYFUNCTION("""COMPUTED_VALUE"""),27.0)</f>
        <v>27</v>
      </c>
      <c r="T6270" s="4">
        <f>IFERROR(__xludf.DUMMYFUNCTION("""COMPUTED_VALUE"""),0.066)</f>
        <v>0.066</v>
      </c>
      <c r="U6270" s="4">
        <f>IFERROR(__xludf.DUMMYFUNCTION("""COMPUTED_VALUE"""),-0.4)</f>
        <v>-0.4</v>
      </c>
      <c r="V6270" s="4">
        <f>IFERROR(__xludf.DUMMYFUNCTION("""COMPUTED_VALUE"""),6.3)</f>
        <v>6.3</v>
      </c>
    </row>
    <row r="6271">
      <c r="A6271" s="4">
        <f>IFERROR(__xludf.DUMMYFUNCTION("""COMPUTED_VALUE"""),41.0)</f>
        <v>41</v>
      </c>
      <c r="B6271" s="4">
        <f>IFERROR(__xludf.DUMMYFUNCTION("""COMPUTED_VALUE"""),41.0)</f>
        <v>41</v>
      </c>
      <c r="C6271" s="4" t="str">
        <f>IFERROR(__xludf.DUMMYFUNCTION("""COMPUTED_VALUE"""),"CLE")</f>
        <v>CLE</v>
      </c>
      <c r="D6271" s="4" t="str">
        <f>IFERROR(__xludf.DUMMYFUNCTION("""COMPUTED_VALUE"""),"Surry Oliver")</f>
        <v>Surry Oliver</v>
      </c>
      <c r="E6271" s="4" t="str">
        <f>IFERROR(__xludf.DUMMYFUNCTION("""COMPUTED_VALUE"""),"Stephen F. Austin")</f>
        <v>Stephen F. Austin</v>
      </c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</row>
    <row r="6272">
      <c r="A6272" s="4">
        <f>IFERROR(__xludf.DUMMYFUNCTION("""COMPUTED_VALUE"""),42.0)</f>
        <v>42</v>
      </c>
      <c r="B6272" s="4">
        <f>IFERROR(__xludf.DUMMYFUNCTION("""COMPUTED_VALUE"""),42.0)</f>
        <v>42</v>
      </c>
      <c r="C6272" s="4" t="str">
        <f>IFERROR(__xludf.DUMMYFUNCTION("""COMPUTED_VALUE"""),"POR")</f>
        <v>POR</v>
      </c>
      <c r="D6272" s="4" t="str">
        <f>IFERROR(__xludf.DUMMYFUNCTION("""COMPUTED_VALUE"""),"Bill Cain")</f>
        <v>Bill Cain</v>
      </c>
      <c r="E6272" s="4" t="str">
        <f>IFERROR(__xludf.DUMMYFUNCTION("""COMPUTED_VALUE"""),"Iowa State")</f>
        <v>Iowa State</v>
      </c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</row>
    <row r="6273">
      <c r="A6273" s="4">
        <f>IFERROR(__xludf.DUMMYFUNCTION("""COMPUTED_VALUE"""),43.0)</f>
        <v>43</v>
      </c>
      <c r="B6273" s="4">
        <f>IFERROR(__xludf.DUMMYFUNCTION("""COMPUTED_VALUE"""),43.0)</f>
        <v>43</v>
      </c>
      <c r="C6273" s="4" t="str">
        <f>IFERROR(__xludf.DUMMYFUNCTION("""COMPUTED_VALUE"""),"BUF")</f>
        <v>BUF</v>
      </c>
      <c r="D6273" s="4" t="str">
        <f>IFERROR(__xludf.DUMMYFUNCTION("""COMPUTED_VALUE"""),"Chip Case")</f>
        <v>Chip Case</v>
      </c>
      <c r="E6273" s="4" t="str">
        <f>IFERROR(__xludf.DUMMYFUNCTION("""COMPUTED_VALUE"""),"Virginia")</f>
        <v>Virginia</v>
      </c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</row>
    <row r="6274">
      <c r="A6274" s="4">
        <f>IFERROR(__xludf.DUMMYFUNCTION("""COMPUTED_VALUE"""),44.0)</f>
        <v>44</v>
      </c>
      <c r="B6274" s="4">
        <f>IFERROR(__xludf.DUMMYFUNCTION("""COMPUTED_VALUE"""),44.0)</f>
        <v>44</v>
      </c>
      <c r="C6274" s="4" t="str">
        <f>IFERROR(__xludf.DUMMYFUNCTION("""COMPUTED_VALUE"""),"PHO")</f>
        <v>PHO</v>
      </c>
      <c r="D6274" s="4" t="str">
        <f>IFERROR(__xludf.DUMMYFUNCTION("""COMPUTED_VALUE"""),"Greg McDivitt")</f>
        <v>Greg McDivitt</v>
      </c>
      <c r="E6274" s="4" t="str">
        <f>IFERROR(__xludf.DUMMYFUNCTION("""COMPUTED_VALUE"""),"Ohio University")</f>
        <v>Ohio University</v>
      </c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</row>
    <row r="6275">
      <c r="A6275" s="4">
        <f>IFERROR(__xludf.DUMMYFUNCTION("""COMPUTED_VALUE"""),45.0)</f>
        <v>45</v>
      </c>
      <c r="B6275" s="4">
        <f>IFERROR(__xludf.DUMMYFUNCTION("""COMPUTED_VALUE"""),45.0)</f>
        <v>45</v>
      </c>
      <c r="C6275" s="4" t="str">
        <f>IFERROR(__xludf.DUMMYFUNCTION("""COMPUTED_VALUE"""),"CHI")</f>
        <v>CHI</v>
      </c>
      <c r="D6275" s="4" t="str">
        <f>IFERROR(__xludf.DUMMYFUNCTION("""COMPUTED_VALUE"""),"Lou Herndon")</f>
        <v>Lou Herndon</v>
      </c>
      <c r="E6275" s="4" t="str">
        <f>IFERROR(__xludf.DUMMYFUNCTION("""COMPUTED_VALUE"""),"Jackson State University")</f>
        <v>Jackson State University</v>
      </c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</row>
    <row r="6276">
      <c r="A6276" s="4">
        <f>IFERROR(__xludf.DUMMYFUNCTION("""COMPUTED_VALUE"""),46.0)</f>
        <v>46</v>
      </c>
      <c r="B6276" s="4">
        <f>IFERROR(__xludf.DUMMYFUNCTION("""COMPUTED_VALUE"""),46.0)</f>
        <v>46</v>
      </c>
      <c r="C6276" s="4" t="str">
        <f>IFERROR(__xludf.DUMMYFUNCTION("""COMPUTED_VALUE"""),"PHI")</f>
        <v>PHI</v>
      </c>
      <c r="D6276" s="4" t="str">
        <f>IFERROR(__xludf.DUMMYFUNCTION("""COMPUTED_VALUE"""),"Dennis Awtrey")</f>
        <v>Dennis Awtrey</v>
      </c>
      <c r="E6276" s="4" t="str">
        <f>IFERROR(__xludf.DUMMYFUNCTION("""COMPUTED_VALUE"""),"Santa Clara")</f>
        <v>Santa Clara</v>
      </c>
      <c r="F6276" s="4">
        <f>IFERROR(__xludf.DUMMYFUNCTION("""COMPUTED_VALUE"""),12.0)</f>
        <v>12</v>
      </c>
      <c r="G6276" s="4">
        <f>IFERROR(__xludf.DUMMYFUNCTION("""COMPUTED_VALUE"""),733.0)</f>
        <v>733</v>
      </c>
      <c r="H6276" s="4">
        <f>IFERROR(__xludf.DUMMYFUNCTION("""COMPUTED_VALUE"""),14159.0)</f>
        <v>14159</v>
      </c>
      <c r="I6276" s="4">
        <f>IFERROR(__xludf.DUMMYFUNCTION("""COMPUTED_VALUE"""),3516.0)</f>
        <v>3516</v>
      </c>
      <c r="J6276" s="4">
        <f>IFERROR(__xludf.DUMMYFUNCTION("""COMPUTED_VALUE"""),3342.0)</f>
        <v>3342</v>
      </c>
      <c r="K6276" s="4">
        <f>IFERROR(__xludf.DUMMYFUNCTION("""COMPUTED_VALUE"""),1467.0)</f>
        <v>1467</v>
      </c>
      <c r="L6276" s="4">
        <f>IFERROR(__xludf.DUMMYFUNCTION("""COMPUTED_VALUE"""),0.459)</f>
        <v>0.459</v>
      </c>
      <c r="M6276" s="4"/>
      <c r="N6276" s="4">
        <f>IFERROR(__xludf.DUMMYFUNCTION("""COMPUTED_VALUE"""),0.652)</f>
        <v>0.652</v>
      </c>
      <c r="O6276" s="4">
        <f>IFERROR(__xludf.DUMMYFUNCTION("""COMPUTED_VALUE"""),19.3)</f>
        <v>19.3</v>
      </c>
      <c r="P6276" s="4">
        <f>IFERROR(__xludf.DUMMYFUNCTION("""COMPUTED_VALUE"""),4.8)</f>
        <v>4.8</v>
      </c>
      <c r="Q6276" s="4">
        <f>IFERROR(__xludf.DUMMYFUNCTION("""COMPUTED_VALUE"""),4.6)</f>
        <v>4.6</v>
      </c>
      <c r="R6276" s="4">
        <f>IFERROR(__xludf.DUMMYFUNCTION("""COMPUTED_VALUE"""),2.0)</f>
        <v>2</v>
      </c>
      <c r="S6276" s="4">
        <f>IFERROR(__xludf.DUMMYFUNCTION("""COMPUTED_VALUE"""),22.4)</f>
        <v>22.4</v>
      </c>
      <c r="T6276" s="4">
        <f>IFERROR(__xludf.DUMMYFUNCTION("""COMPUTED_VALUE"""),0.076)</f>
        <v>0.076</v>
      </c>
      <c r="U6276" s="4">
        <f>IFERROR(__xludf.DUMMYFUNCTION("""COMPUTED_VALUE"""),-1.1)</f>
        <v>-1.1</v>
      </c>
      <c r="V6276" s="4">
        <f>IFERROR(__xludf.DUMMYFUNCTION("""COMPUTED_VALUE"""),2.2)</f>
        <v>2.2</v>
      </c>
    </row>
    <row r="6277">
      <c r="A6277" s="4">
        <f>IFERROR(__xludf.DUMMYFUNCTION("""COMPUTED_VALUE"""),47.0)</f>
        <v>47</v>
      </c>
      <c r="B6277" s="4">
        <f>IFERROR(__xludf.DUMMYFUNCTION("""COMPUTED_VALUE"""),47.0)</f>
        <v>47</v>
      </c>
      <c r="C6277" s="4" t="str">
        <f>IFERROR(__xludf.DUMMYFUNCTION("""COMPUTED_VALUE"""),"DET")</f>
        <v>DET</v>
      </c>
      <c r="D6277" s="4" t="str">
        <f>IFERROR(__xludf.DUMMYFUNCTION("""COMPUTED_VALUE"""),"Jim Hayes")</f>
        <v>Jim Hayes</v>
      </c>
      <c r="E6277" s="4" t="str">
        <f>IFERROR(__xludf.DUMMYFUNCTION("""COMPUTED_VALUE"""),"Boston University")</f>
        <v>Boston University</v>
      </c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</row>
    <row r="6278">
      <c r="A6278" s="4">
        <f>IFERROR(__xludf.DUMMYFUNCTION("""COMPUTED_VALUE"""),48.0)</f>
        <v>48</v>
      </c>
      <c r="B6278" s="4">
        <f>IFERROR(__xludf.DUMMYFUNCTION("""COMPUTED_VALUE"""),48.0)</f>
        <v>48</v>
      </c>
      <c r="C6278" s="4" t="str">
        <f>IFERROR(__xludf.DUMMYFUNCTION("""COMPUTED_VALUE"""),"PHO")</f>
        <v>PHO</v>
      </c>
      <c r="D6278" s="4" t="str">
        <f>IFERROR(__xludf.DUMMYFUNCTION("""COMPUTED_VALUE"""),"Vann Williford")</f>
        <v>Vann Williford</v>
      </c>
      <c r="E6278" s="4" t="str">
        <f>IFERROR(__xludf.DUMMYFUNCTION("""COMPUTED_VALUE"""),"NC State")</f>
        <v>NC State</v>
      </c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</row>
    <row r="6279">
      <c r="A6279" s="4">
        <f>IFERROR(__xludf.DUMMYFUNCTION("""COMPUTED_VALUE"""),49.0)</f>
        <v>49</v>
      </c>
      <c r="B6279" s="4">
        <f>IFERROR(__xludf.DUMMYFUNCTION("""COMPUTED_VALUE"""),49.0)</f>
        <v>49</v>
      </c>
      <c r="C6279" s="4" t="str">
        <f>IFERROR(__xludf.DUMMYFUNCTION("""COMPUTED_VALUE"""),"BAL")</f>
        <v>BAL</v>
      </c>
      <c r="D6279" s="4" t="str">
        <f>IFERROR(__xludf.DUMMYFUNCTION("""COMPUTED_VALUE"""),"Seabern Hill")</f>
        <v>Seabern Hill</v>
      </c>
      <c r="E6279" s="4" t="str">
        <f>IFERROR(__xludf.DUMMYFUNCTION("""COMPUTED_VALUE"""),"Arizona State")</f>
        <v>Arizona State</v>
      </c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</row>
    <row r="6280">
      <c r="A6280" s="4">
        <f>IFERROR(__xludf.DUMMYFUNCTION("""COMPUTED_VALUE"""),50.0)</f>
        <v>50</v>
      </c>
      <c r="B6280" s="4">
        <f>IFERROR(__xludf.DUMMYFUNCTION("""COMPUTED_VALUE"""),50.0)</f>
        <v>50</v>
      </c>
      <c r="C6280" s="4" t="str">
        <f>IFERROR(__xludf.DUMMYFUNCTION("""COMPUTED_VALUE"""),"MIL")</f>
        <v>MIL</v>
      </c>
      <c r="D6280" s="4" t="str">
        <f>IFERROR(__xludf.DUMMYFUNCTION("""COMPUTED_VALUE"""),"Marv Winkler")</f>
        <v>Marv Winkler</v>
      </c>
      <c r="E6280" s="4" t="str">
        <f>IFERROR(__xludf.DUMMYFUNCTION("""COMPUTED_VALUE"""),"Louisiana")</f>
        <v>Louisiana</v>
      </c>
      <c r="F6280" s="4">
        <f>IFERROR(__xludf.DUMMYFUNCTION("""COMPUTED_VALUE"""),1.0)</f>
        <v>1</v>
      </c>
      <c r="G6280" s="4">
        <f>IFERROR(__xludf.DUMMYFUNCTION("""COMPUTED_VALUE"""),3.0)</f>
        <v>3</v>
      </c>
      <c r="H6280" s="4">
        <f>IFERROR(__xludf.DUMMYFUNCTION("""COMPUTED_VALUE"""),14.0)</f>
        <v>14</v>
      </c>
      <c r="I6280" s="4">
        <f>IFERROR(__xludf.DUMMYFUNCTION("""COMPUTED_VALUE"""),8.0)</f>
        <v>8</v>
      </c>
      <c r="J6280" s="4">
        <f>IFERROR(__xludf.DUMMYFUNCTION("""COMPUTED_VALUE"""),4.0)</f>
        <v>4</v>
      </c>
      <c r="K6280" s="4">
        <f>IFERROR(__xludf.DUMMYFUNCTION("""COMPUTED_VALUE"""),2.0)</f>
        <v>2</v>
      </c>
      <c r="L6280" s="4">
        <f>IFERROR(__xludf.DUMMYFUNCTION("""COMPUTED_VALUE"""),0.3)</f>
        <v>0.3</v>
      </c>
      <c r="M6280" s="4"/>
      <c r="N6280" s="4">
        <f>IFERROR(__xludf.DUMMYFUNCTION("""COMPUTED_VALUE"""),1.0)</f>
        <v>1</v>
      </c>
      <c r="O6280" s="4">
        <f>IFERROR(__xludf.DUMMYFUNCTION("""COMPUTED_VALUE"""),4.7)</f>
        <v>4.7</v>
      </c>
      <c r="P6280" s="4">
        <f>IFERROR(__xludf.DUMMYFUNCTION("""COMPUTED_VALUE"""),2.7)</f>
        <v>2.7</v>
      </c>
      <c r="Q6280" s="4">
        <f>IFERROR(__xludf.DUMMYFUNCTION("""COMPUTED_VALUE"""),1.3)</f>
        <v>1.3</v>
      </c>
      <c r="R6280" s="4">
        <f>IFERROR(__xludf.DUMMYFUNCTION("""COMPUTED_VALUE"""),0.7)</f>
        <v>0.7</v>
      </c>
      <c r="S6280" s="4">
        <f>IFERROR(__xludf.DUMMYFUNCTION("""COMPUTED_VALUE"""),0.0)</f>
        <v>0</v>
      </c>
      <c r="T6280" s="4">
        <f>IFERROR(__xludf.DUMMYFUNCTION("""COMPUTED_VALUE"""),-0.121)</f>
        <v>-0.121</v>
      </c>
      <c r="U6280" s="4"/>
      <c r="V6280" s="4"/>
    </row>
    <row r="6281">
      <c r="A6281" s="4">
        <f>IFERROR(__xludf.DUMMYFUNCTION("""COMPUTED_VALUE"""),51.0)</f>
        <v>51</v>
      </c>
      <c r="B6281" s="4">
        <f>IFERROR(__xludf.DUMMYFUNCTION("""COMPUTED_VALUE"""),51.0)</f>
        <v>51</v>
      </c>
      <c r="C6281" s="4" t="str">
        <f>IFERROR(__xludf.DUMMYFUNCTION("""COMPUTED_VALUE"""),"NYK")</f>
        <v>NYK</v>
      </c>
      <c r="D6281" s="4" t="str">
        <f>IFERROR(__xludf.DUMMYFUNCTION("""COMPUTED_VALUE"""),"Al Williams")</f>
        <v>Al Williams</v>
      </c>
      <c r="E6281" s="4" t="str">
        <f>IFERROR(__xludf.DUMMYFUNCTION("""COMPUTED_VALUE"""),"Drake University")</f>
        <v>Drake University</v>
      </c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</row>
    <row r="6282">
      <c r="A6282" s="4"/>
      <c r="B6282" s="4"/>
      <c r="C6282" s="4"/>
      <c r="D6282" s="4" t="str">
        <f>IFERROR(__xludf.DUMMYFUNCTION("""COMPUTED_VALUE"""),"Round 4")</f>
        <v>Round 4</v>
      </c>
      <c r="E6282" s="4"/>
      <c r="F6282" s="4"/>
      <c r="G6282" s="4" t="str">
        <f>IFERROR(__xludf.DUMMYFUNCTION("""COMPUTED_VALUE"""),"Totals")</f>
        <v>Totals</v>
      </c>
      <c r="H6282" s="4"/>
      <c r="I6282" s="4"/>
      <c r="J6282" s="4"/>
      <c r="K6282" s="4"/>
      <c r="L6282" s="4" t="str">
        <f>IFERROR(__xludf.DUMMYFUNCTION("""COMPUTED_VALUE"""),"Shooting")</f>
        <v>Shooting</v>
      </c>
      <c r="M6282" s="4"/>
      <c r="N6282" s="4"/>
      <c r="O6282" s="4" t="str">
        <f>IFERROR(__xludf.DUMMYFUNCTION("""COMPUTED_VALUE"""),"Per Game")</f>
        <v>Per Game</v>
      </c>
      <c r="P6282" s="4"/>
      <c r="Q6282" s="4"/>
      <c r="R6282" s="4"/>
      <c r="S6282" s="4" t="str">
        <f>IFERROR(__xludf.DUMMYFUNCTION("""COMPUTED_VALUE"""),"Advanced")</f>
        <v>Advanced</v>
      </c>
      <c r="T6282" s="4"/>
      <c r="U6282" s="4"/>
      <c r="V6282" s="4"/>
    </row>
    <row r="6283">
      <c r="A6283" s="4" t="str">
        <f>IFERROR(__xludf.DUMMYFUNCTION("""COMPUTED_VALUE"""),"Rk")</f>
        <v>Rk</v>
      </c>
      <c r="B6283" s="4" t="str">
        <f>IFERROR(__xludf.DUMMYFUNCTION("""COMPUTED_VALUE"""),"Pk")</f>
        <v>Pk</v>
      </c>
      <c r="C6283" s="4" t="str">
        <f>IFERROR(__xludf.DUMMYFUNCTION("""COMPUTED_VALUE"""),"Tm")</f>
        <v>Tm</v>
      </c>
      <c r="D6283" s="4" t="str">
        <f>IFERROR(__xludf.DUMMYFUNCTION("""COMPUTED_VALUE"""),"Player")</f>
        <v>Player</v>
      </c>
      <c r="E6283" s="4" t="str">
        <f>IFERROR(__xludf.DUMMYFUNCTION("""COMPUTED_VALUE"""),"College")</f>
        <v>College</v>
      </c>
      <c r="F6283" s="4" t="str">
        <f>IFERROR(__xludf.DUMMYFUNCTION("""COMPUTED_VALUE"""),"Yrs")</f>
        <v>Yrs</v>
      </c>
      <c r="G6283" s="4" t="str">
        <f>IFERROR(__xludf.DUMMYFUNCTION("""COMPUTED_VALUE"""),"G")</f>
        <v>G</v>
      </c>
      <c r="H6283" s="4" t="str">
        <f>IFERROR(__xludf.DUMMYFUNCTION("""COMPUTED_VALUE"""),"MP")</f>
        <v>MP</v>
      </c>
      <c r="I6283" s="4" t="str">
        <f>IFERROR(__xludf.DUMMYFUNCTION("""COMPUTED_VALUE"""),"PTS")</f>
        <v>PTS</v>
      </c>
      <c r="J6283" s="4" t="str">
        <f>IFERROR(__xludf.DUMMYFUNCTION("""COMPUTED_VALUE"""),"TRB")</f>
        <v>TRB</v>
      </c>
      <c r="K6283" s="4" t="str">
        <f>IFERROR(__xludf.DUMMYFUNCTION("""COMPUTED_VALUE"""),"AST")</f>
        <v>AST</v>
      </c>
      <c r="L6283" s="4" t="str">
        <f>IFERROR(__xludf.DUMMYFUNCTION("""COMPUTED_VALUE"""),"FG%")</f>
        <v>FG%</v>
      </c>
      <c r="M6283" s="4" t="str">
        <f>IFERROR(__xludf.DUMMYFUNCTION("""COMPUTED_VALUE"""),"3P%")</f>
        <v>3P%</v>
      </c>
      <c r="N6283" s="4" t="str">
        <f>IFERROR(__xludf.DUMMYFUNCTION("""COMPUTED_VALUE"""),"FT%")</f>
        <v>FT%</v>
      </c>
      <c r="O6283" s="4" t="str">
        <f>IFERROR(__xludf.DUMMYFUNCTION("""COMPUTED_VALUE"""),"MP")</f>
        <v>MP</v>
      </c>
      <c r="P6283" s="4" t="str">
        <f>IFERROR(__xludf.DUMMYFUNCTION("""COMPUTED_VALUE"""),"PTS")</f>
        <v>PTS</v>
      </c>
      <c r="Q6283" s="4" t="str">
        <f>IFERROR(__xludf.DUMMYFUNCTION("""COMPUTED_VALUE"""),"TRB")</f>
        <v>TRB</v>
      </c>
      <c r="R6283" s="4" t="str">
        <f>IFERROR(__xludf.DUMMYFUNCTION("""COMPUTED_VALUE"""),"AST")</f>
        <v>AST</v>
      </c>
      <c r="S6283" s="4" t="str">
        <f>IFERROR(__xludf.DUMMYFUNCTION("""COMPUTED_VALUE"""),"WS")</f>
        <v>WS</v>
      </c>
      <c r="T6283" s="4" t="str">
        <f>IFERROR(__xludf.DUMMYFUNCTION("""COMPUTED_VALUE"""),"WS/48")</f>
        <v>WS/48</v>
      </c>
      <c r="U6283" s="4" t="str">
        <f>IFERROR(__xludf.DUMMYFUNCTION("""COMPUTED_VALUE"""),"BPM")</f>
        <v>BPM</v>
      </c>
      <c r="V6283" s="4" t="str">
        <f>IFERROR(__xludf.DUMMYFUNCTION("""COMPUTED_VALUE"""),"VORP")</f>
        <v>VORP</v>
      </c>
    </row>
    <row r="6284">
      <c r="A6284" s="4">
        <f>IFERROR(__xludf.DUMMYFUNCTION("""COMPUTED_VALUE"""),52.0)</f>
        <v>52</v>
      </c>
      <c r="B6284" s="4">
        <f>IFERROR(__xludf.DUMMYFUNCTION("""COMPUTED_VALUE"""),52.0)</f>
        <v>52</v>
      </c>
      <c r="C6284" s="4" t="str">
        <f>IFERROR(__xludf.DUMMYFUNCTION("""COMPUTED_VALUE"""),"SDR")</f>
        <v>SDR</v>
      </c>
      <c r="D6284" s="4" t="str">
        <f>IFERROR(__xludf.DUMMYFUNCTION("""COMPUTED_VALUE"""),"Jody Finney")</f>
        <v>Jody Finney</v>
      </c>
      <c r="E6284" s="4" t="str">
        <f>IFERROR(__xludf.DUMMYFUNCTION("""COMPUTED_VALUE"""),"Ohio State")</f>
        <v>Ohio State</v>
      </c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</row>
    <row r="6285">
      <c r="A6285" s="4">
        <f>IFERROR(__xludf.DUMMYFUNCTION("""COMPUTED_VALUE"""),53.0)</f>
        <v>53</v>
      </c>
      <c r="B6285" s="4">
        <f>IFERROR(__xludf.DUMMYFUNCTION("""COMPUTED_VALUE"""),53.0)</f>
        <v>53</v>
      </c>
      <c r="C6285" s="4" t="str">
        <f>IFERROR(__xludf.DUMMYFUNCTION("""COMPUTED_VALUE"""),"SFW")</f>
        <v>SFW</v>
      </c>
      <c r="D6285" s="4" t="str">
        <f>IFERROR(__xludf.DUMMYFUNCTION("""COMPUTED_VALUE"""),"Ralph Ogden")</f>
        <v>Ralph Ogden</v>
      </c>
      <c r="E6285" s="4" t="str">
        <f>IFERROR(__xludf.DUMMYFUNCTION("""COMPUTED_VALUE"""),"Santa Clara")</f>
        <v>Santa Clara</v>
      </c>
      <c r="F6285" s="4">
        <f>IFERROR(__xludf.DUMMYFUNCTION("""COMPUTED_VALUE"""),1.0)</f>
        <v>1</v>
      </c>
      <c r="G6285" s="4">
        <f>IFERROR(__xludf.DUMMYFUNCTION("""COMPUTED_VALUE"""),32.0)</f>
        <v>32</v>
      </c>
      <c r="H6285" s="4">
        <f>IFERROR(__xludf.DUMMYFUNCTION("""COMPUTED_VALUE"""),162.0)</f>
        <v>162</v>
      </c>
      <c r="I6285" s="4">
        <f>IFERROR(__xludf.DUMMYFUNCTION("""COMPUTED_VALUE"""),42.0)</f>
        <v>42</v>
      </c>
      <c r="J6285" s="4">
        <f>IFERROR(__xludf.DUMMYFUNCTION("""COMPUTED_VALUE"""),32.0)</f>
        <v>32</v>
      </c>
      <c r="K6285" s="4">
        <f>IFERROR(__xludf.DUMMYFUNCTION("""COMPUTED_VALUE"""),9.0)</f>
        <v>9</v>
      </c>
      <c r="L6285" s="4">
        <f>IFERROR(__xludf.DUMMYFUNCTION("""COMPUTED_VALUE"""),0.239)</f>
        <v>0.239</v>
      </c>
      <c r="M6285" s="4"/>
      <c r="N6285" s="4">
        <f>IFERROR(__xludf.DUMMYFUNCTION("""COMPUTED_VALUE"""),0.667)</f>
        <v>0.667</v>
      </c>
      <c r="O6285" s="4">
        <f>IFERROR(__xludf.DUMMYFUNCTION("""COMPUTED_VALUE"""),5.1)</f>
        <v>5.1</v>
      </c>
      <c r="P6285" s="4">
        <f>IFERROR(__xludf.DUMMYFUNCTION("""COMPUTED_VALUE"""),1.3)</f>
        <v>1.3</v>
      </c>
      <c r="Q6285" s="4">
        <f>IFERROR(__xludf.DUMMYFUNCTION("""COMPUTED_VALUE"""),1.0)</f>
        <v>1</v>
      </c>
      <c r="R6285" s="4">
        <f>IFERROR(__xludf.DUMMYFUNCTION("""COMPUTED_VALUE"""),0.3)</f>
        <v>0.3</v>
      </c>
      <c r="S6285" s="4">
        <f>IFERROR(__xludf.DUMMYFUNCTION("""COMPUTED_VALUE"""),-0.7)</f>
        <v>-0.7</v>
      </c>
      <c r="T6285" s="4">
        <f>IFERROR(__xludf.DUMMYFUNCTION("""COMPUTED_VALUE"""),-0.208)</f>
        <v>-0.208</v>
      </c>
      <c r="U6285" s="4"/>
      <c r="V6285" s="4"/>
    </row>
    <row r="6286">
      <c r="A6286" s="4">
        <f>IFERROR(__xludf.DUMMYFUNCTION("""COMPUTED_VALUE"""),54.0)</f>
        <v>54</v>
      </c>
      <c r="B6286" s="4">
        <f>IFERROR(__xludf.DUMMYFUNCTION("""COMPUTED_VALUE"""),54.0)</f>
        <v>54</v>
      </c>
      <c r="C6286" s="4" t="str">
        <f>IFERROR(__xludf.DUMMYFUNCTION("""COMPUTED_VALUE"""),"BAL")</f>
        <v>BAL</v>
      </c>
      <c r="D6286" s="4" t="str">
        <f>IFERROR(__xludf.DUMMYFUNCTION("""COMPUTED_VALUE"""),"Bill Stricker")</f>
        <v>Bill Stricker</v>
      </c>
      <c r="E6286" s="4" t="str">
        <f>IFERROR(__xludf.DUMMYFUNCTION("""COMPUTED_VALUE"""),"University of the Pacific")</f>
        <v>University of the Pacific</v>
      </c>
      <c r="F6286" s="4">
        <f>IFERROR(__xludf.DUMMYFUNCTION("""COMPUTED_VALUE"""),1.0)</f>
        <v>1</v>
      </c>
      <c r="G6286" s="4">
        <f>IFERROR(__xludf.DUMMYFUNCTION("""COMPUTED_VALUE"""),1.0)</f>
        <v>1</v>
      </c>
      <c r="H6286" s="4">
        <f>IFERROR(__xludf.DUMMYFUNCTION("""COMPUTED_VALUE"""),2.0)</f>
        <v>2</v>
      </c>
      <c r="I6286" s="4">
        <f>IFERROR(__xludf.DUMMYFUNCTION("""COMPUTED_VALUE"""),4.0)</f>
        <v>4</v>
      </c>
      <c r="J6286" s="4">
        <f>IFERROR(__xludf.DUMMYFUNCTION("""COMPUTED_VALUE"""),0.0)</f>
        <v>0</v>
      </c>
      <c r="K6286" s="4">
        <f>IFERROR(__xludf.DUMMYFUNCTION("""COMPUTED_VALUE"""),0.0)</f>
        <v>0</v>
      </c>
      <c r="L6286" s="4">
        <f>IFERROR(__xludf.DUMMYFUNCTION("""COMPUTED_VALUE"""),0.667)</f>
        <v>0.667</v>
      </c>
      <c r="M6286" s="4"/>
      <c r="N6286" s="4"/>
      <c r="O6286" s="4">
        <f>IFERROR(__xludf.DUMMYFUNCTION("""COMPUTED_VALUE"""),2.0)</f>
        <v>2</v>
      </c>
      <c r="P6286" s="4">
        <f>IFERROR(__xludf.DUMMYFUNCTION("""COMPUTED_VALUE"""),4.0)</f>
        <v>4</v>
      </c>
      <c r="Q6286" s="4">
        <f>IFERROR(__xludf.DUMMYFUNCTION("""COMPUTED_VALUE"""),0.0)</f>
        <v>0</v>
      </c>
      <c r="R6286" s="4">
        <f>IFERROR(__xludf.DUMMYFUNCTION("""COMPUTED_VALUE"""),0.0)</f>
        <v>0</v>
      </c>
      <c r="S6286" s="4">
        <f>IFERROR(__xludf.DUMMYFUNCTION("""COMPUTED_VALUE"""),0.0)</f>
        <v>0</v>
      </c>
      <c r="T6286" s="4">
        <f>IFERROR(__xludf.DUMMYFUNCTION("""COMPUTED_VALUE"""),0.77)</f>
        <v>0.77</v>
      </c>
      <c r="U6286" s="4"/>
      <c r="V6286" s="4"/>
    </row>
    <row r="6287">
      <c r="A6287" s="4">
        <f>IFERROR(__xludf.DUMMYFUNCTION("""COMPUTED_VALUE"""),55.0)</f>
        <v>55</v>
      </c>
      <c r="B6287" s="4">
        <f>IFERROR(__xludf.DUMMYFUNCTION("""COMPUTED_VALUE"""),55.0)</f>
        <v>55</v>
      </c>
      <c r="C6287" s="4" t="str">
        <f>IFERROR(__xludf.DUMMYFUNCTION("""COMPUTED_VALUE"""),"BOS")</f>
        <v>BOS</v>
      </c>
      <c r="D6287" s="4" t="str">
        <f>IFERROR(__xludf.DUMMYFUNCTION("""COMPUTED_VALUE"""),"Jon McKinney")</f>
        <v>Jon McKinney</v>
      </c>
      <c r="E6287" s="4" t="str">
        <f>IFERROR(__xludf.DUMMYFUNCTION("""COMPUTED_VALUE"""),"Norfolk State")</f>
        <v>Norfolk State</v>
      </c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</row>
    <row r="6288">
      <c r="A6288" s="4">
        <f>IFERROR(__xludf.DUMMYFUNCTION("""COMPUTED_VALUE"""),56.0)</f>
        <v>56</v>
      </c>
      <c r="B6288" s="4">
        <f>IFERROR(__xludf.DUMMYFUNCTION("""COMPUTED_VALUE"""),56.0)</f>
        <v>56</v>
      </c>
      <c r="C6288" s="4" t="str">
        <f>IFERROR(__xludf.DUMMYFUNCTION("""COMPUTED_VALUE"""),"CIN")</f>
        <v>CIN</v>
      </c>
      <c r="D6288" s="4" t="str">
        <f>IFERROR(__xludf.DUMMYFUNCTION("""COMPUTED_VALUE"""),"Wade Fuller")</f>
        <v>Wade Fuller</v>
      </c>
      <c r="E6288" s="4" t="str">
        <f>IFERROR(__xludf.DUMMYFUNCTION("""COMPUTED_VALUE"""),"Loyola Chicago")</f>
        <v>Loyola Chicago</v>
      </c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</row>
    <row r="6289">
      <c r="A6289" s="4">
        <f>IFERROR(__xludf.DUMMYFUNCTION("""COMPUTED_VALUE"""),57.0)</f>
        <v>57</v>
      </c>
      <c r="B6289" s="4">
        <f>IFERROR(__xludf.DUMMYFUNCTION("""COMPUTED_VALUE"""),57.0)</f>
        <v>57</v>
      </c>
      <c r="C6289" s="4" t="str">
        <f>IFERROR(__xludf.DUMMYFUNCTION("""COMPUTED_VALUE"""),"CHI")</f>
        <v>CHI</v>
      </c>
      <c r="D6289" s="4" t="str">
        <f>IFERROR(__xludf.DUMMYFUNCTION("""COMPUTED_VALUE"""),"John Davis")</f>
        <v>John Davis</v>
      </c>
      <c r="E6289" s="4" t="str">
        <f>IFERROR(__xludf.DUMMYFUNCTION("""COMPUTED_VALUE"""),"Alabama State University")</f>
        <v>Alabama State University</v>
      </c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</row>
    <row r="6290">
      <c r="A6290" s="4">
        <f>IFERROR(__xludf.DUMMYFUNCTION("""COMPUTED_VALUE"""),58.0)</f>
        <v>58</v>
      </c>
      <c r="B6290" s="4">
        <f>IFERROR(__xludf.DUMMYFUNCTION("""COMPUTED_VALUE"""),58.0)</f>
        <v>58</v>
      </c>
      <c r="C6290" s="4" t="str">
        <f>IFERROR(__xludf.DUMMYFUNCTION("""COMPUTED_VALUE"""),"BUF")</f>
        <v>BUF</v>
      </c>
      <c r="D6290" s="4" t="str">
        <f>IFERROR(__xludf.DUMMYFUNCTION("""COMPUTED_VALUE"""),"Erwin Polnick")</f>
        <v>Erwin Polnick</v>
      </c>
      <c r="E6290" s="4" t="str">
        <f>IFERROR(__xludf.DUMMYFUNCTION("""COMPUTED_VALUE"""),"Stephen F. Austin")</f>
        <v>Stephen F. Austin</v>
      </c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</row>
    <row r="6291">
      <c r="A6291" s="4">
        <f>IFERROR(__xludf.DUMMYFUNCTION("""COMPUTED_VALUE"""),59.0)</f>
        <v>59</v>
      </c>
      <c r="B6291" s="4">
        <f>IFERROR(__xludf.DUMMYFUNCTION("""COMPUTED_VALUE"""),59.0)</f>
        <v>59</v>
      </c>
      <c r="C6291" s="4" t="str">
        <f>IFERROR(__xludf.DUMMYFUNCTION("""COMPUTED_VALUE"""),"POR")</f>
        <v>POR</v>
      </c>
      <c r="D6291" s="4" t="str">
        <f>IFERROR(__xludf.DUMMYFUNCTION("""COMPUTED_VALUE"""),"Jim Penix")</f>
        <v>Jim Penix</v>
      </c>
      <c r="E6291" s="4" t="str">
        <f>IFERROR(__xludf.DUMMYFUNCTION("""COMPUTED_VALUE"""),"Bowling Green")</f>
        <v>Bowling Green</v>
      </c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</row>
    <row r="6292">
      <c r="A6292" s="4">
        <f>IFERROR(__xludf.DUMMYFUNCTION("""COMPUTED_VALUE"""),60.0)</f>
        <v>60</v>
      </c>
      <c r="B6292" s="4">
        <f>IFERROR(__xludf.DUMMYFUNCTION("""COMPUTED_VALUE"""),60.0)</f>
        <v>60</v>
      </c>
      <c r="C6292" s="4" t="str">
        <f>IFERROR(__xludf.DUMMYFUNCTION("""COMPUTED_VALUE"""),"CLE")</f>
        <v>CLE</v>
      </c>
      <c r="D6292" s="4" t="str">
        <f>IFERROR(__xludf.DUMMYFUNCTION("""COMPUTED_VALUE"""),"Glenn Vidnovic")</f>
        <v>Glenn Vidnovic</v>
      </c>
      <c r="E6292" s="4" t="str">
        <f>IFERROR(__xludf.DUMMYFUNCTION("""COMPUTED_VALUE"""),"Iowa")</f>
        <v>Iowa</v>
      </c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</row>
    <row r="6293">
      <c r="A6293" s="4">
        <f>IFERROR(__xludf.DUMMYFUNCTION("""COMPUTED_VALUE"""),61.0)</f>
        <v>61</v>
      </c>
      <c r="B6293" s="4">
        <f>IFERROR(__xludf.DUMMYFUNCTION("""COMPUTED_VALUE"""),61.0)</f>
        <v>61</v>
      </c>
      <c r="C6293" s="4" t="str">
        <f>IFERROR(__xludf.DUMMYFUNCTION("""COMPUTED_VALUE"""),"PHO")</f>
        <v>PHO</v>
      </c>
      <c r="D6293" s="4" t="str">
        <f>IFERROR(__xludf.DUMMYFUNCTION("""COMPUTED_VALUE"""),"Bob Lienhard")</f>
        <v>Bob Lienhard</v>
      </c>
      <c r="E6293" s="4" t="str">
        <f>IFERROR(__xludf.DUMMYFUNCTION("""COMPUTED_VALUE"""),"Georgia")</f>
        <v>Georgia</v>
      </c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</row>
    <row r="6294">
      <c r="A6294" s="4">
        <f>IFERROR(__xludf.DUMMYFUNCTION("""COMPUTED_VALUE"""),62.0)</f>
        <v>62</v>
      </c>
      <c r="B6294" s="4">
        <f>IFERROR(__xludf.DUMMYFUNCTION("""COMPUTED_VALUE"""),62.0)</f>
        <v>62</v>
      </c>
      <c r="C6294" s="4" t="str">
        <f>IFERROR(__xludf.DUMMYFUNCTION("""COMPUTED_VALUE"""),"CHI")</f>
        <v>CHI</v>
      </c>
      <c r="D6294" s="4" t="str">
        <f>IFERROR(__xludf.DUMMYFUNCTION("""COMPUTED_VALUE"""),"Jimmy Wilson")</f>
        <v>Jimmy Wilson</v>
      </c>
      <c r="E6294" s="4" t="str">
        <f>IFERROR(__xludf.DUMMYFUNCTION("""COMPUTED_VALUE"""),"Cheyney (PA)")</f>
        <v>Cheyney (PA)</v>
      </c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</row>
    <row r="6295">
      <c r="A6295" s="4">
        <f>IFERROR(__xludf.DUMMYFUNCTION("""COMPUTED_VALUE"""),63.0)</f>
        <v>63</v>
      </c>
      <c r="B6295" s="4">
        <f>IFERROR(__xludf.DUMMYFUNCTION("""COMPUTED_VALUE"""),63.0)</f>
        <v>63</v>
      </c>
      <c r="C6295" s="4" t="str">
        <f>IFERROR(__xludf.DUMMYFUNCTION("""COMPUTED_VALUE"""),"PHI")</f>
        <v>PHI</v>
      </c>
      <c r="D6295" s="4" t="str">
        <f>IFERROR(__xludf.DUMMYFUNCTION("""COMPUTED_VALUE"""),"Dan Crenshaw")</f>
        <v>Dan Crenshaw</v>
      </c>
      <c r="E6295" s="4" t="str">
        <f>IFERROR(__xludf.DUMMYFUNCTION("""COMPUTED_VALUE"""),"Alabama State University")</f>
        <v>Alabama State University</v>
      </c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</row>
    <row r="6296">
      <c r="A6296" s="4">
        <f>IFERROR(__xludf.DUMMYFUNCTION("""COMPUTED_VALUE"""),64.0)</f>
        <v>64</v>
      </c>
      <c r="B6296" s="4">
        <f>IFERROR(__xludf.DUMMYFUNCTION("""COMPUTED_VALUE"""),64.0)</f>
        <v>64</v>
      </c>
      <c r="C6296" s="4" t="str">
        <f>IFERROR(__xludf.DUMMYFUNCTION("""COMPUTED_VALUE"""),"LAL")</f>
        <v>LAL</v>
      </c>
      <c r="D6296" s="4" t="str">
        <f>IFERROR(__xludf.DUMMYFUNCTION("""COMPUTED_VALUE"""),"Larry Mikan")</f>
        <v>Larry Mikan</v>
      </c>
      <c r="E6296" s="4" t="str">
        <f>IFERROR(__xludf.DUMMYFUNCTION("""COMPUTED_VALUE"""),"Minnesota")</f>
        <v>Minnesota</v>
      </c>
      <c r="F6296" s="4">
        <f>IFERROR(__xludf.DUMMYFUNCTION("""COMPUTED_VALUE"""),1.0)</f>
        <v>1</v>
      </c>
      <c r="G6296" s="4">
        <f>IFERROR(__xludf.DUMMYFUNCTION("""COMPUTED_VALUE"""),53.0)</f>
        <v>53</v>
      </c>
      <c r="H6296" s="4">
        <f>IFERROR(__xludf.DUMMYFUNCTION("""COMPUTED_VALUE"""),536.0)</f>
        <v>536</v>
      </c>
      <c r="I6296" s="4">
        <f>IFERROR(__xludf.DUMMYFUNCTION("""COMPUTED_VALUE"""),158.0)</f>
        <v>158</v>
      </c>
      <c r="J6296" s="4">
        <f>IFERROR(__xludf.DUMMYFUNCTION("""COMPUTED_VALUE"""),139.0)</f>
        <v>139</v>
      </c>
      <c r="K6296" s="4">
        <f>IFERROR(__xludf.DUMMYFUNCTION("""COMPUTED_VALUE"""),41.0)</f>
        <v>41</v>
      </c>
      <c r="L6296" s="4">
        <f>IFERROR(__xludf.DUMMYFUNCTION("""COMPUTED_VALUE"""),0.333)</f>
        <v>0.333</v>
      </c>
      <c r="M6296" s="4"/>
      <c r="N6296" s="4">
        <f>IFERROR(__xludf.DUMMYFUNCTION("""COMPUTED_VALUE"""),0.618)</f>
        <v>0.618</v>
      </c>
      <c r="O6296" s="4">
        <f>IFERROR(__xludf.DUMMYFUNCTION("""COMPUTED_VALUE"""),10.1)</f>
        <v>10.1</v>
      </c>
      <c r="P6296" s="4">
        <f>IFERROR(__xludf.DUMMYFUNCTION("""COMPUTED_VALUE"""),3.0)</f>
        <v>3</v>
      </c>
      <c r="Q6296" s="4">
        <f>IFERROR(__xludf.DUMMYFUNCTION("""COMPUTED_VALUE"""),2.6)</f>
        <v>2.6</v>
      </c>
      <c r="R6296" s="4">
        <f>IFERROR(__xludf.DUMMYFUNCTION("""COMPUTED_VALUE"""),0.8)</f>
        <v>0.8</v>
      </c>
      <c r="S6296" s="4">
        <f>IFERROR(__xludf.DUMMYFUNCTION("""COMPUTED_VALUE"""),-0.8)</f>
        <v>-0.8</v>
      </c>
      <c r="T6296" s="4">
        <f>IFERROR(__xludf.DUMMYFUNCTION("""COMPUTED_VALUE"""),-0.073)</f>
        <v>-0.073</v>
      </c>
      <c r="U6296" s="4"/>
      <c r="V6296" s="4"/>
    </row>
    <row r="6297">
      <c r="A6297" s="4">
        <f>IFERROR(__xludf.DUMMYFUNCTION("""COMPUTED_VALUE"""),65.0)</f>
        <v>65</v>
      </c>
      <c r="B6297" s="4">
        <f>IFERROR(__xludf.DUMMYFUNCTION("""COMPUTED_VALUE"""),65.0)</f>
        <v>65</v>
      </c>
      <c r="C6297" s="4" t="str">
        <f>IFERROR(__xludf.DUMMYFUNCTION("""COMPUTED_VALUE"""),"ATL")</f>
        <v>ATL</v>
      </c>
      <c r="D6297" s="4" t="str">
        <f>IFERROR(__xludf.DUMMYFUNCTION("""COMPUTED_VALUE"""),"Fred Davis")</f>
        <v>Fred Davis</v>
      </c>
      <c r="E6297" s="4" t="str">
        <f>IFERROR(__xludf.DUMMYFUNCTION("""COMPUTED_VALUE"""),"Howard Payne University")</f>
        <v>Howard Payne University</v>
      </c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</row>
    <row r="6298">
      <c r="A6298" s="4">
        <f>IFERROR(__xludf.DUMMYFUNCTION("""COMPUTED_VALUE"""),66.0)</f>
        <v>66</v>
      </c>
      <c r="B6298" s="4">
        <f>IFERROR(__xludf.DUMMYFUNCTION("""COMPUTED_VALUE"""),66.0)</f>
        <v>66</v>
      </c>
      <c r="C6298" s="4" t="str">
        <f>IFERROR(__xludf.DUMMYFUNCTION("""COMPUTED_VALUE"""),"BAL")</f>
        <v>BAL</v>
      </c>
      <c r="D6298" s="4" t="str">
        <f>IFERROR(__xludf.DUMMYFUNCTION("""COMPUTED_VALUE"""),"Billy Jones")</f>
        <v>Billy Jones</v>
      </c>
      <c r="E6298" s="4" t="str">
        <f>IFERROR(__xludf.DUMMYFUNCTION("""COMPUTED_VALUE"""),"Louisiana College")</f>
        <v>Louisiana College</v>
      </c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</row>
    <row r="6299">
      <c r="A6299" s="4">
        <f>IFERROR(__xludf.DUMMYFUNCTION("""COMPUTED_VALUE"""),67.0)</f>
        <v>67</v>
      </c>
      <c r="B6299" s="4">
        <f>IFERROR(__xludf.DUMMYFUNCTION("""COMPUTED_VALUE"""),67.0)</f>
        <v>67</v>
      </c>
      <c r="C6299" s="4" t="str">
        <f>IFERROR(__xludf.DUMMYFUNCTION("""COMPUTED_VALUE"""),"MIL")</f>
        <v>MIL</v>
      </c>
      <c r="D6299" s="4" t="str">
        <f>IFERROR(__xludf.DUMMYFUNCTION("""COMPUTED_VALUE"""),"Virgle Fredrick")</f>
        <v>Virgle Fredrick</v>
      </c>
      <c r="E6299" s="4" t="str">
        <f>IFERROR(__xludf.DUMMYFUNCTION("""COMPUTED_VALUE"""),"Drury University")</f>
        <v>Drury University</v>
      </c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</row>
    <row r="6300">
      <c r="A6300" s="4">
        <f>IFERROR(__xludf.DUMMYFUNCTION("""COMPUTED_VALUE"""),68.0)</f>
        <v>68</v>
      </c>
      <c r="B6300" s="4">
        <f>IFERROR(__xludf.DUMMYFUNCTION("""COMPUTED_VALUE"""),68.0)</f>
        <v>68</v>
      </c>
      <c r="C6300" s="4" t="str">
        <f>IFERROR(__xludf.DUMMYFUNCTION("""COMPUTED_VALUE"""),"NYK")</f>
        <v>NYK</v>
      </c>
      <c r="D6300" s="4" t="str">
        <f>IFERROR(__xludf.DUMMYFUNCTION("""COMPUTED_VALUE"""),"John Marren")</f>
        <v>John Marren</v>
      </c>
      <c r="E6300" s="4" t="str">
        <f>IFERROR(__xludf.DUMMYFUNCTION("""COMPUTED_VALUE"""),"Manhattan University")</f>
        <v>Manhattan University</v>
      </c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</row>
    <row r="6301">
      <c r="A6301" s="4"/>
      <c r="B6301" s="4"/>
      <c r="C6301" s="4"/>
      <c r="D6301" s="4" t="str">
        <f>IFERROR(__xludf.DUMMYFUNCTION("""COMPUTED_VALUE"""),"Round 5")</f>
        <v>Round 5</v>
      </c>
      <c r="E6301" s="4"/>
      <c r="F6301" s="4"/>
      <c r="G6301" s="4" t="str">
        <f>IFERROR(__xludf.DUMMYFUNCTION("""COMPUTED_VALUE"""),"Totals")</f>
        <v>Totals</v>
      </c>
      <c r="H6301" s="4"/>
      <c r="I6301" s="4"/>
      <c r="J6301" s="4"/>
      <c r="K6301" s="4"/>
      <c r="L6301" s="4" t="str">
        <f>IFERROR(__xludf.DUMMYFUNCTION("""COMPUTED_VALUE"""),"Shooting")</f>
        <v>Shooting</v>
      </c>
      <c r="M6301" s="4"/>
      <c r="N6301" s="4"/>
      <c r="O6301" s="4" t="str">
        <f>IFERROR(__xludf.DUMMYFUNCTION("""COMPUTED_VALUE"""),"Per Game")</f>
        <v>Per Game</v>
      </c>
      <c r="P6301" s="4"/>
      <c r="Q6301" s="4"/>
      <c r="R6301" s="4"/>
      <c r="S6301" s="4" t="str">
        <f>IFERROR(__xludf.DUMMYFUNCTION("""COMPUTED_VALUE"""),"Advanced")</f>
        <v>Advanced</v>
      </c>
      <c r="T6301" s="4"/>
      <c r="U6301" s="4"/>
      <c r="V6301" s="4"/>
    </row>
    <row r="6302">
      <c r="A6302" s="4" t="str">
        <f>IFERROR(__xludf.DUMMYFUNCTION("""COMPUTED_VALUE"""),"Rk")</f>
        <v>Rk</v>
      </c>
      <c r="B6302" s="4" t="str">
        <f>IFERROR(__xludf.DUMMYFUNCTION("""COMPUTED_VALUE"""),"Pk")</f>
        <v>Pk</v>
      </c>
      <c r="C6302" s="4" t="str">
        <f>IFERROR(__xludf.DUMMYFUNCTION("""COMPUTED_VALUE"""),"Tm")</f>
        <v>Tm</v>
      </c>
      <c r="D6302" s="4" t="str">
        <f>IFERROR(__xludf.DUMMYFUNCTION("""COMPUTED_VALUE"""),"Player")</f>
        <v>Player</v>
      </c>
      <c r="E6302" s="4" t="str">
        <f>IFERROR(__xludf.DUMMYFUNCTION("""COMPUTED_VALUE"""),"College")</f>
        <v>College</v>
      </c>
      <c r="F6302" s="4" t="str">
        <f>IFERROR(__xludf.DUMMYFUNCTION("""COMPUTED_VALUE"""),"Yrs")</f>
        <v>Yrs</v>
      </c>
      <c r="G6302" s="4" t="str">
        <f>IFERROR(__xludf.DUMMYFUNCTION("""COMPUTED_VALUE"""),"G")</f>
        <v>G</v>
      </c>
      <c r="H6302" s="4" t="str">
        <f>IFERROR(__xludf.DUMMYFUNCTION("""COMPUTED_VALUE"""),"MP")</f>
        <v>MP</v>
      </c>
      <c r="I6302" s="4" t="str">
        <f>IFERROR(__xludf.DUMMYFUNCTION("""COMPUTED_VALUE"""),"PTS")</f>
        <v>PTS</v>
      </c>
      <c r="J6302" s="4" t="str">
        <f>IFERROR(__xludf.DUMMYFUNCTION("""COMPUTED_VALUE"""),"TRB")</f>
        <v>TRB</v>
      </c>
      <c r="K6302" s="4" t="str">
        <f>IFERROR(__xludf.DUMMYFUNCTION("""COMPUTED_VALUE"""),"AST")</f>
        <v>AST</v>
      </c>
      <c r="L6302" s="4" t="str">
        <f>IFERROR(__xludf.DUMMYFUNCTION("""COMPUTED_VALUE"""),"FG%")</f>
        <v>FG%</v>
      </c>
      <c r="M6302" s="4" t="str">
        <f>IFERROR(__xludf.DUMMYFUNCTION("""COMPUTED_VALUE"""),"3P%")</f>
        <v>3P%</v>
      </c>
      <c r="N6302" s="4" t="str">
        <f>IFERROR(__xludf.DUMMYFUNCTION("""COMPUTED_VALUE"""),"FT%")</f>
        <v>FT%</v>
      </c>
      <c r="O6302" s="4" t="str">
        <f>IFERROR(__xludf.DUMMYFUNCTION("""COMPUTED_VALUE"""),"MP")</f>
        <v>MP</v>
      </c>
      <c r="P6302" s="4" t="str">
        <f>IFERROR(__xludf.DUMMYFUNCTION("""COMPUTED_VALUE"""),"PTS")</f>
        <v>PTS</v>
      </c>
      <c r="Q6302" s="4" t="str">
        <f>IFERROR(__xludf.DUMMYFUNCTION("""COMPUTED_VALUE"""),"TRB")</f>
        <v>TRB</v>
      </c>
      <c r="R6302" s="4" t="str">
        <f>IFERROR(__xludf.DUMMYFUNCTION("""COMPUTED_VALUE"""),"AST")</f>
        <v>AST</v>
      </c>
      <c r="S6302" s="4" t="str">
        <f>IFERROR(__xludf.DUMMYFUNCTION("""COMPUTED_VALUE"""),"WS")</f>
        <v>WS</v>
      </c>
      <c r="T6302" s="4" t="str">
        <f>IFERROR(__xludf.DUMMYFUNCTION("""COMPUTED_VALUE"""),"WS/48")</f>
        <v>WS/48</v>
      </c>
      <c r="U6302" s="4" t="str">
        <f>IFERROR(__xludf.DUMMYFUNCTION("""COMPUTED_VALUE"""),"BPM")</f>
        <v>BPM</v>
      </c>
      <c r="V6302" s="4" t="str">
        <f>IFERROR(__xludf.DUMMYFUNCTION("""COMPUTED_VALUE"""),"VORP")</f>
        <v>VORP</v>
      </c>
    </row>
    <row r="6303">
      <c r="A6303" s="4">
        <f>IFERROR(__xludf.DUMMYFUNCTION("""COMPUTED_VALUE"""),69.0)</f>
        <v>69</v>
      </c>
      <c r="B6303" s="4">
        <f>IFERROR(__xludf.DUMMYFUNCTION("""COMPUTED_VALUE"""),69.0)</f>
        <v>69</v>
      </c>
      <c r="C6303" s="4" t="str">
        <f>IFERROR(__xludf.DUMMYFUNCTION("""COMPUTED_VALUE"""),"SDR")</f>
        <v>SDR</v>
      </c>
      <c r="D6303" s="4" t="str">
        <f>IFERROR(__xludf.DUMMYFUNCTION("""COMPUTED_VALUE"""),"James Gilbert")</f>
        <v>James Gilbert</v>
      </c>
      <c r="E6303" s="4" t="str">
        <f>IFERROR(__xludf.DUMMYFUNCTION("""COMPUTED_VALUE"""),"Adams State College")</f>
        <v>Adams State College</v>
      </c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</row>
    <row r="6304">
      <c r="A6304" s="4">
        <f>IFERROR(__xludf.DUMMYFUNCTION("""COMPUTED_VALUE"""),70.0)</f>
        <v>70</v>
      </c>
      <c r="B6304" s="4">
        <f>IFERROR(__xludf.DUMMYFUNCTION("""COMPUTED_VALUE"""),70.0)</f>
        <v>70</v>
      </c>
      <c r="C6304" s="4" t="str">
        <f>IFERROR(__xludf.DUMMYFUNCTION("""COMPUTED_VALUE"""),"SFW")</f>
        <v>SFW</v>
      </c>
      <c r="D6304" s="4" t="str">
        <f>IFERROR(__xludf.DUMMYFUNCTION("""COMPUTED_VALUE"""),"Levi Fontaine")</f>
        <v>Levi Fontaine</v>
      </c>
      <c r="E6304" s="4" t="str">
        <f>IFERROR(__xludf.DUMMYFUNCTION("""COMPUTED_VALUE"""),"University of Maryland Eastern Shore")</f>
        <v>University of Maryland Eastern Shore</v>
      </c>
      <c r="F6304" s="4">
        <f>IFERROR(__xludf.DUMMYFUNCTION("""COMPUTED_VALUE"""),1.0)</f>
        <v>1</v>
      </c>
      <c r="G6304" s="4">
        <f>IFERROR(__xludf.DUMMYFUNCTION("""COMPUTED_VALUE"""),35.0)</f>
        <v>35</v>
      </c>
      <c r="H6304" s="4">
        <f>IFERROR(__xludf.DUMMYFUNCTION("""COMPUTED_VALUE"""),210.0)</f>
        <v>210</v>
      </c>
      <c r="I6304" s="4">
        <f>IFERROR(__xludf.DUMMYFUNCTION("""COMPUTED_VALUE"""),134.0)</f>
        <v>134</v>
      </c>
      <c r="J6304" s="4">
        <f>IFERROR(__xludf.DUMMYFUNCTION("""COMPUTED_VALUE"""),15.0)</f>
        <v>15</v>
      </c>
      <c r="K6304" s="4">
        <f>IFERROR(__xludf.DUMMYFUNCTION("""COMPUTED_VALUE"""),22.0)</f>
        <v>22</v>
      </c>
      <c r="L6304" s="4">
        <f>IFERROR(__xludf.DUMMYFUNCTION("""COMPUTED_VALUE"""),0.366)</f>
        <v>0.366</v>
      </c>
      <c r="M6304" s="4"/>
      <c r="N6304" s="4">
        <f>IFERROR(__xludf.DUMMYFUNCTION("""COMPUTED_VALUE"""),0.757)</f>
        <v>0.757</v>
      </c>
      <c r="O6304" s="4">
        <f>IFERROR(__xludf.DUMMYFUNCTION("""COMPUTED_VALUE"""),6.0)</f>
        <v>6</v>
      </c>
      <c r="P6304" s="4">
        <f>IFERROR(__xludf.DUMMYFUNCTION("""COMPUTED_VALUE"""),3.8)</f>
        <v>3.8</v>
      </c>
      <c r="Q6304" s="4">
        <f>IFERROR(__xludf.DUMMYFUNCTION("""COMPUTED_VALUE"""),0.4)</f>
        <v>0.4</v>
      </c>
      <c r="R6304" s="4">
        <f>IFERROR(__xludf.DUMMYFUNCTION("""COMPUTED_VALUE"""),0.6)</f>
        <v>0.6</v>
      </c>
      <c r="S6304" s="4">
        <f>IFERROR(__xludf.DUMMYFUNCTION("""COMPUTED_VALUE"""),-0.3)</f>
        <v>-0.3</v>
      </c>
      <c r="T6304" s="4">
        <f>IFERROR(__xludf.DUMMYFUNCTION("""COMPUTED_VALUE"""),-0.069)</f>
        <v>-0.069</v>
      </c>
      <c r="U6304" s="4"/>
      <c r="V6304" s="4"/>
    </row>
    <row r="6305">
      <c r="A6305" s="4">
        <f>IFERROR(__xludf.DUMMYFUNCTION("""COMPUTED_VALUE"""),71.0)</f>
        <v>71</v>
      </c>
      <c r="B6305" s="4">
        <f>IFERROR(__xludf.DUMMYFUNCTION("""COMPUTED_VALUE"""),71.0)</f>
        <v>71</v>
      </c>
      <c r="C6305" s="4" t="str">
        <f>IFERROR(__xludf.DUMMYFUNCTION("""COMPUTED_VALUE"""),"DET")</f>
        <v>DET</v>
      </c>
      <c r="D6305" s="4" t="str">
        <f>IFERROR(__xludf.DUMMYFUNCTION("""COMPUTED_VALUE"""),"Bill Jankans")</f>
        <v>Bill Jankans</v>
      </c>
      <c r="E6305" s="4" t="str">
        <f>IFERROR(__xludf.DUMMYFUNCTION("""COMPUTED_VALUE"""),"Cal State Long Beach")</f>
        <v>Cal State Long Beach</v>
      </c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</row>
    <row r="6306">
      <c r="A6306" s="4">
        <f>IFERROR(__xludf.DUMMYFUNCTION("""COMPUTED_VALUE"""),72.0)</f>
        <v>72</v>
      </c>
      <c r="B6306" s="4">
        <f>IFERROR(__xludf.DUMMYFUNCTION("""COMPUTED_VALUE"""),72.0)</f>
        <v>72</v>
      </c>
      <c r="C6306" s="4" t="str">
        <f>IFERROR(__xludf.DUMMYFUNCTION("""COMPUTED_VALUE"""),"BOS")</f>
        <v>BOS</v>
      </c>
      <c r="D6306" s="4" t="str">
        <f>IFERROR(__xludf.DUMMYFUNCTION("""COMPUTED_VALUE"""),"Tom Carter")</f>
        <v>Tom Carter</v>
      </c>
      <c r="E6306" s="4" t="str">
        <f>IFERROR(__xludf.DUMMYFUNCTION("""COMPUTED_VALUE"""),"Paul Quinn College")</f>
        <v>Paul Quinn College</v>
      </c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</row>
    <row r="6307">
      <c r="A6307" s="4">
        <f>IFERROR(__xludf.DUMMYFUNCTION("""COMPUTED_VALUE"""),73.0)</f>
        <v>73</v>
      </c>
      <c r="B6307" s="4">
        <f>IFERROR(__xludf.DUMMYFUNCTION("""COMPUTED_VALUE"""),73.0)</f>
        <v>73</v>
      </c>
      <c r="C6307" s="4" t="str">
        <f>IFERROR(__xludf.DUMMYFUNCTION("""COMPUTED_VALUE"""),"CIN")</f>
        <v>CIN</v>
      </c>
      <c r="D6307" s="4" t="str">
        <f>IFERROR(__xludf.DUMMYFUNCTION("""COMPUTED_VALUE"""),"Uluss Thompson")</f>
        <v>Uluss Thompson</v>
      </c>
      <c r="E6307" s="4" t="str">
        <f>IFERROR(__xludf.DUMMYFUNCTION("""COMPUTED_VALUE"""),"Wiley College")</f>
        <v>Wiley College</v>
      </c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</row>
    <row r="6308">
      <c r="A6308" s="4">
        <f>IFERROR(__xludf.DUMMYFUNCTION("""COMPUTED_VALUE"""),74.0)</f>
        <v>74</v>
      </c>
      <c r="B6308" s="4">
        <f>IFERROR(__xludf.DUMMYFUNCTION("""COMPUTED_VALUE"""),74.0)</f>
        <v>74</v>
      </c>
      <c r="C6308" s="4" t="str">
        <f>IFERROR(__xludf.DUMMYFUNCTION("""COMPUTED_VALUE"""),"SEA")</f>
        <v>SEA</v>
      </c>
      <c r="D6308" s="4" t="str">
        <f>IFERROR(__xludf.DUMMYFUNCTION("""COMPUTED_VALUE"""),"Boyd Lynch")</f>
        <v>Boyd Lynch</v>
      </c>
      <c r="E6308" s="4" t="str">
        <f>IFERROR(__xludf.DUMMYFUNCTION("""COMPUTED_VALUE"""),"Eastern Kentucky University")</f>
        <v>Eastern Kentucky University</v>
      </c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</row>
    <row r="6309">
      <c r="A6309" s="4">
        <f>IFERROR(__xludf.DUMMYFUNCTION("""COMPUTED_VALUE"""),75.0)</f>
        <v>75</v>
      </c>
      <c r="B6309" s="4">
        <f>IFERROR(__xludf.DUMMYFUNCTION("""COMPUTED_VALUE"""),75.0)</f>
        <v>75</v>
      </c>
      <c r="C6309" s="4" t="str">
        <f>IFERROR(__xludf.DUMMYFUNCTION("""COMPUTED_VALUE"""),"CLE")</f>
        <v>CLE</v>
      </c>
      <c r="D6309" s="4" t="str">
        <f>IFERROR(__xludf.DUMMYFUNCTION("""COMPUTED_VALUE"""),"Wayne Sokolowski")</f>
        <v>Wayne Sokolowski</v>
      </c>
      <c r="E6309" s="4" t="str">
        <f>IFERROR(__xludf.DUMMYFUNCTION("""COMPUTED_VALUE"""),"Ashland University")</f>
        <v>Ashland University</v>
      </c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</row>
    <row r="6310">
      <c r="A6310" s="4">
        <f>IFERROR(__xludf.DUMMYFUNCTION("""COMPUTED_VALUE"""),76.0)</f>
        <v>76</v>
      </c>
      <c r="B6310" s="4">
        <f>IFERROR(__xludf.DUMMYFUNCTION("""COMPUTED_VALUE"""),76.0)</f>
        <v>76</v>
      </c>
      <c r="C6310" s="4" t="str">
        <f>IFERROR(__xludf.DUMMYFUNCTION("""COMPUTED_VALUE"""),"POR")</f>
        <v>POR</v>
      </c>
      <c r="D6310" s="4" t="str">
        <f>IFERROR(__xludf.DUMMYFUNCTION("""COMPUTED_VALUE"""),"Ron Knight")</f>
        <v>Ron Knight</v>
      </c>
      <c r="E6310" s="4" t="str">
        <f>IFERROR(__xludf.DUMMYFUNCTION("""COMPUTED_VALUE"""),"California State University, Los Angeles")</f>
        <v>California State University, Los Angeles</v>
      </c>
      <c r="F6310" s="4">
        <f>IFERROR(__xludf.DUMMYFUNCTION("""COMPUTED_VALUE"""),2.0)</f>
        <v>2</v>
      </c>
      <c r="G6310" s="4">
        <f>IFERROR(__xludf.DUMMYFUNCTION("""COMPUTED_VALUE"""),101.0)</f>
        <v>101</v>
      </c>
      <c r="H6310" s="4">
        <f>IFERROR(__xludf.DUMMYFUNCTION("""COMPUTED_VALUE"""),1145.0)</f>
        <v>1145</v>
      </c>
      <c r="I6310" s="4">
        <f>IFERROR(__xludf.DUMMYFUNCTION("""COMPUTED_VALUE"""),472.0)</f>
        <v>472</v>
      </c>
      <c r="J6310" s="4">
        <f>IFERROR(__xludf.DUMMYFUNCTION("""COMPUTED_VALUE"""),283.0)</f>
        <v>283</v>
      </c>
      <c r="K6310" s="4">
        <f>IFERROR(__xludf.DUMMYFUNCTION("""COMPUTED_VALUE"""),83.0)</f>
        <v>83</v>
      </c>
      <c r="L6310" s="4">
        <f>IFERROR(__xludf.DUMMYFUNCTION("""COMPUTED_VALUE"""),0.433)</f>
        <v>0.433</v>
      </c>
      <c r="M6310" s="4"/>
      <c r="N6310" s="4">
        <f>IFERROR(__xludf.DUMMYFUNCTION("""COMPUTED_VALUE"""),0.5)</f>
        <v>0.5</v>
      </c>
      <c r="O6310" s="4">
        <f>IFERROR(__xludf.DUMMYFUNCTION("""COMPUTED_VALUE"""),11.3)</f>
        <v>11.3</v>
      </c>
      <c r="P6310" s="4">
        <f>IFERROR(__xludf.DUMMYFUNCTION("""COMPUTED_VALUE"""),4.7)</f>
        <v>4.7</v>
      </c>
      <c r="Q6310" s="4">
        <f>IFERROR(__xludf.DUMMYFUNCTION("""COMPUTED_VALUE"""),2.8)</f>
        <v>2.8</v>
      </c>
      <c r="R6310" s="4">
        <f>IFERROR(__xludf.DUMMYFUNCTION("""COMPUTED_VALUE"""),0.8)</f>
        <v>0.8</v>
      </c>
      <c r="S6310" s="4">
        <f>IFERROR(__xludf.DUMMYFUNCTION("""COMPUTED_VALUE"""),0.2)</f>
        <v>0.2</v>
      </c>
      <c r="T6310" s="4">
        <f>IFERROR(__xludf.DUMMYFUNCTION("""COMPUTED_VALUE"""),0.007)</f>
        <v>0.007</v>
      </c>
      <c r="U6310" s="4"/>
      <c r="V6310" s="4"/>
    </row>
    <row r="6311">
      <c r="A6311" s="4">
        <f>IFERROR(__xludf.DUMMYFUNCTION("""COMPUTED_VALUE"""),77.0)</f>
        <v>77</v>
      </c>
      <c r="B6311" s="4">
        <f>IFERROR(__xludf.DUMMYFUNCTION("""COMPUTED_VALUE"""),77.0)</f>
        <v>77</v>
      </c>
      <c r="C6311" s="4" t="str">
        <f>IFERROR(__xludf.DUMMYFUNCTION("""COMPUTED_VALUE"""),"BUF")</f>
        <v>BUF</v>
      </c>
      <c r="D6311" s="4" t="str">
        <f>IFERROR(__xludf.DUMMYFUNCTION("""COMPUTED_VALUE"""),"Robert Moore")</f>
        <v>Robert Moore</v>
      </c>
      <c r="E6311" s="4" t="str">
        <f>IFERROR(__xludf.DUMMYFUNCTION("""COMPUTED_VALUE"""),"Central State University")</f>
        <v>Central State University</v>
      </c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</row>
    <row r="6312">
      <c r="A6312" s="4">
        <f>IFERROR(__xludf.DUMMYFUNCTION("""COMPUTED_VALUE"""),78.0)</f>
        <v>78</v>
      </c>
      <c r="B6312" s="4">
        <f>IFERROR(__xludf.DUMMYFUNCTION("""COMPUTED_VALUE"""),78.0)</f>
        <v>78</v>
      </c>
      <c r="C6312" s="4" t="str">
        <f>IFERROR(__xludf.DUMMYFUNCTION("""COMPUTED_VALUE"""),"PHO")</f>
        <v>PHO</v>
      </c>
      <c r="D6312" s="4" t="str">
        <f>IFERROR(__xludf.DUMMYFUNCTION("""COMPUTED_VALUE"""),"John Canine")</f>
        <v>John Canine</v>
      </c>
      <c r="E6312" s="4" t="str">
        <f>IFERROR(__xludf.DUMMYFUNCTION("""COMPUTED_VALUE"""),"Ohio University")</f>
        <v>Ohio University</v>
      </c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</row>
    <row r="6313">
      <c r="A6313" s="4">
        <f>IFERROR(__xludf.DUMMYFUNCTION("""COMPUTED_VALUE"""),79.0)</f>
        <v>79</v>
      </c>
      <c r="B6313" s="4">
        <f>IFERROR(__xludf.DUMMYFUNCTION("""COMPUTED_VALUE"""),79.0)</f>
        <v>79</v>
      </c>
      <c r="C6313" s="4" t="str">
        <f>IFERROR(__xludf.DUMMYFUNCTION("""COMPUTED_VALUE"""),"CHI")</f>
        <v>CHI</v>
      </c>
      <c r="D6313" s="4" t="str">
        <f>IFERROR(__xludf.DUMMYFUNCTION("""COMPUTED_VALUE"""),"George Johnson")</f>
        <v>George Johnson</v>
      </c>
      <c r="E6313" s="4" t="str">
        <f>IFERROR(__xludf.DUMMYFUNCTION("""COMPUTED_VALUE"""),"Dillard University")</f>
        <v>Dillard University</v>
      </c>
      <c r="F6313" s="4">
        <f>IFERROR(__xludf.DUMMYFUNCTION("""COMPUTED_VALUE"""),13.0)</f>
        <v>13</v>
      </c>
      <c r="G6313" s="4">
        <f>IFERROR(__xludf.DUMMYFUNCTION("""COMPUTED_VALUE"""),904.0)</f>
        <v>904</v>
      </c>
      <c r="H6313" s="4">
        <f>IFERROR(__xludf.DUMMYFUNCTION("""COMPUTED_VALUE"""),18102.0)</f>
        <v>18102</v>
      </c>
      <c r="I6313" s="4">
        <f>IFERROR(__xludf.DUMMYFUNCTION("""COMPUTED_VALUE"""),4369.0)</f>
        <v>4369</v>
      </c>
      <c r="J6313" s="4">
        <f>IFERROR(__xludf.DUMMYFUNCTION("""COMPUTED_VALUE"""),5887.0)</f>
        <v>5887</v>
      </c>
      <c r="K6313" s="4">
        <f>IFERROR(__xludf.DUMMYFUNCTION("""COMPUTED_VALUE"""),929.0)</f>
        <v>929</v>
      </c>
      <c r="L6313" s="4">
        <f>IFERROR(__xludf.DUMMYFUNCTION("""COMPUTED_VALUE"""),0.451)</f>
        <v>0.451</v>
      </c>
      <c r="M6313" s="4"/>
      <c r="N6313" s="4">
        <f>IFERROR(__xludf.DUMMYFUNCTION("""COMPUTED_VALUE"""),0.694)</f>
        <v>0.694</v>
      </c>
      <c r="O6313" s="4">
        <f>IFERROR(__xludf.DUMMYFUNCTION("""COMPUTED_VALUE"""),20.0)</f>
        <v>20</v>
      </c>
      <c r="P6313" s="4">
        <f>IFERROR(__xludf.DUMMYFUNCTION("""COMPUTED_VALUE"""),4.8)</f>
        <v>4.8</v>
      </c>
      <c r="Q6313" s="4">
        <f>IFERROR(__xludf.DUMMYFUNCTION("""COMPUTED_VALUE"""),6.5)</f>
        <v>6.5</v>
      </c>
      <c r="R6313" s="4">
        <f>IFERROR(__xludf.DUMMYFUNCTION("""COMPUTED_VALUE"""),1.0)</f>
        <v>1</v>
      </c>
      <c r="S6313" s="4">
        <f>IFERROR(__xludf.DUMMYFUNCTION("""COMPUTED_VALUE"""),33.0)</f>
        <v>33</v>
      </c>
      <c r="T6313" s="4">
        <f>IFERROR(__xludf.DUMMYFUNCTION("""COMPUTED_VALUE"""),0.087)</f>
        <v>0.087</v>
      </c>
      <c r="U6313" s="4">
        <f>IFERROR(__xludf.DUMMYFUNCTION("""COMPUTED_VALUE"""),0.1)</f>
        <v>0.1</v>
      </c>
      <c r="V6313" s="4">
        <f>IFERROR(__xludf.DUMMYFUNCTION("""COMPUTED_VALUE"""),9.4)</f>
        <v>9.4</v>
      </c>
    </row>
    <row r="6314">
      <c r="A6314" s="4">
        <f>IFERROR(__xludf.DUMMYFUNCTION("""COMPUTED_VALUE"""),80.0)</f>
        <v>80</v>
      </c>
      <c r="B6314" s="4">
        <f>IFERROR(__xludf.DUMMYFUNCTION("""COMPUTED_VALUE"""),80.0)</f>
        <v>80</v>
      </c>
      <c r="C6314" s="4" t="str">
        <f>IFERROR(__xludf.DUMMYFUNCTION("""COMPUTED_VALUE"""),"PHI")</f>
        <v>PHI</v>
      </c>
      <c r="D6314" s="4" t="str">
        <f>IFERROR(__xludf.DUMMYFUNCTION("""COMPUTED_VALUE"""),"Perry Wallace")</f>
        <v>Perry Wallace</v>
      </c>
      <c r="E6314" s="4" t="str">
        <f>IFERROR(__xludf.DUMMYFUNCTION("""COMPUTED_VALUE"""),"Vanderbilt")</f>
        <v>Vanderbilt</v>
      </c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</row>
    <row r="6315">
      <c r="A6315" s="4">
        <f>IFERROR(__xludf.DUMMYFUNCTION("""COMPUTED_VALUE"""),81.0)</f>
        <v>81</v>
      </c>
      <c r="B6315" s="4">
        <f>IFERROR(__xludf.DUMMYFUNCTION("""COMPUTED_VALUE"""),81.0)</f>
        <v>81</v>
      </c>
      <c r="C6315" s="4" t="str">
        <f>IFERROR(__xludf.DUMMYFUNCTION("""COMPUTED_VALUE"""),"LAL")</f>
        <v>LAL</v>
      </c>
      <c r="D6315" s="4" t="str">
        <f>IFERROR(__xludf.DUMMYFUNCTION("""COMPUTED_VALUE"""),"John Fultz")</f>
        <v>John Fultz</v>
      </c>
      <c r="E6315" s="4" t="str">
        <f>IFERROR(__xludf.DUMMYFUNCTION("""COMPUTED_VALUE"""),"Rhode Island")</f>
        <v>Rhode Island</v>
      </c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</row>
    <row r="6316">
      <c r="A6316" s="4">
        <f>IFERROR(__xludf.DUMMYFUNCTION("""COMPUTED_VALUE"""),82.0)</f>
        <v>82</v>
      </c>
      <c r="B6316" s="4">
        <f>IFERROR(__xludf.DUMMYFUNCTION("""COMPUTED_VALUE"""),82.0)</f>
        <v>82</v>
      </c>
      <c r="C6316" s="4" t="str">
        <f>IFERROR(__xludf.DUMMYFUNCTION("""COMPUTED_VALUE"""),"ATL")</f>
        <v>ATL</v>
      </c>
      <c r="D6316" s="4" t="str">
        <f>IFERROR(__xludf.DUMMYFUNCTION("""COMPUTED_VALUE"""),"Bob Riley")</f>
        <v>Bob Riley</v>
      </c>
      <c r="E6316" s="4" t="str">
        <f>IFERROR(__xludf.DUMMYFUNCTION("""COMPUTED_VALUE"""),"Mount St. Mary's University")</f>
        <v>Mount St. Mary's University</v>
      </c>
      <c r="F6316" s="4">
        <f>IFERROR(__xludf.DUMMYFUNCTION("""COMPUTED_VALUE"""),1.0)</f>
        <v>1</v>
      </c>
      <c r="G6316" s="4">
        <f>IFERROR(__xludf.DUMMYFUNCTION("""COMPUTED_VALUE"""),7.0)</f>
        <v>7</v>
      </c>
      <c r="H6316" s="4">
        <f>IFERROR(__xludf.DUMMYFUNCTION("""COMPUTED_VALUE"""),39.0)</f>
        <v>39</v>
      </c>
      <c r="I6316" s="4">
        <f>IFERROR(__xludf.DUMMYFUNCTION("""COMPUTED_VALUE"""),13.0)</f>
        <v>13</v>
      </c>
      <c r="J6316" s="4">
        <f>IFERROR(__xludf.DUMMYFUNCTION("""COMPUTED_VALUE"""),12.0)</f>
        <v>12</v>
      </c>
      <c r="K6316" s="4">
        <f>IFERROR(__xludf.DUMMYFUNCTION("""COMPUTED_VALUE"""),1.0)</f>
        <v>1</v>
      </c>
      <c r="L6316" s="4">
        <f>IFERROR(__xludf.DUMMYFUNCTION("""COMPUTED_VALUE"""),0.444)</f>
        <v>0.444</v>
      </c>
      <c r="M6316" s="4"/>
      <c r="N6316" s="4">
        <f>IFERROR(__xludf.DUMMYFUNCTION("""COMPUTED_VALUE"""),0.556)</f>
        <v>0.556</v>
      </c>
      <c r="O6316" s="4">
        <f>IFERROR(__xludf.DUMMYFUNCTION("""COMPUTED_VALUE"""),5.6)</f>
        <v>5.6</v>
      </c>
      <c r="P6316" s="4">
        <f>IFERROR(__xludf.DUMMYFUNCTION("""COMPUTED_VALUE"""),1.9)</f>
        <v>1.9</v>
      </c>
      <c r="Q6316" s="4">
        <f>IFERROR(__xludf.DUMMYFUNCTION("""COMPUTED_VALUE"""),1.7)</f>
        <v>1.7</v>
      </c>
      <c r="R6316" s="4">
        <f>IFERROR(__xludf.DUMMYFUNCTION("""COMPUTED_VALUE"""),0.1)</f>
        <v>0.1</v>
      </c>
      <c r="S6316" s="4">
        <f>IFERROR(__xludf.DUMMYFUNCTION("""COMPUTED_VALUE"""),0.0)</f>
        <v>0</v>
      </c>
      <c r="T6316" s="4">
        <f>IFERROR(__xludf.DUMMYFUNCTION("""COMPUTED_VALUE"""),0.056)</f>
        <v>0.056</v>
      </c>
      <c r="U6316" s="4"/>
      <c r="V6316" s="4"/>
    </row>
    <row r="6317">
      <c r="A6317" s="4">
        <f>IFERROR(__xludf.DUMMYFUNCTION("""COMPUTED_VALUE"""),83.0)</f>
        <v>83</v>
      </c>
      <c r="B6317" s="4">
        <f>IFERROR(__xludf.DUMMYFUNCTION("""COMPUTED_VALUE"""),83.0)</f>
        <v>83</v>
      </c>
      <c r="C6317" s="4" t="str">
        <f>IFERROR(__xludf.DUMMYFUNCTION("""COMPUTED_VALUE"""),"BAL")</f>
        <v>BAL</v>
      </c>
      <c r="D6317" s="4" t="str">
        <f>IFERROR(__xludf.DUMMYFUNCTION("""COMPUTED_VALUE"""),"Gary Zeller")</f>
        <v>Gary Zeller</v>
      </c>
      <c r="E6317" s="4" t="str">
        <f>IFERROR(__xludf.DUMMYFUNCTION("""COMPUTED_VALUE"""),"Drake University")</f>
        <v>Drake University</v>
      </c>
      <c r="F6317" s="4">
        <f>IFERROR(__xludf.DUMMYFUNCTION("""COMPUTED_VALUE"""),1.0)</f>
        <v>1</v>
      </c>
      <c r="G6317" s="4">
        <f>IFERROR(__xludf.DUMMYFUNCTION("""COMPUTED_VALUE"""),78.0)</f>
        <v>78</v>
      </c>
      <c r="H6317" s="4">
        <f>IFERROR(__xludf.DUMMYFUNCTION("""COMPUTED_VALUE"""),697.0)</f>
        <v>697</v>
      </c>
      <c r="I6317" s="4">
        <f>IFERROR(__xludf.DUMMYFUNCTION("""COMPUTED_VALUE"""),271.0)</f>
        <v>271</v>
      </c>
      <c r="J6317" s="4">
        <f>IFERROR(__xludf.DUMMYFUNCTION("""COMPUTED_VALUE"""),92.0)</f>
        <v>92</v>
      </c>
      <c r="K6317" s="4">
        <f>IFERROR(__xludf.DUMMYFUNCTION("""COMPUTED_VALUE"""),37.0)</f>
        <v>37</v>
      </c>
      <c r="L6317" s="4">
        <f>IFERROR(__xludf.DUMMYFUNCTION("""COMPUTED_VALUE"""),0.34)</f>
        <v>0.34</v>
      </c>
      <c r="M6317" s="4"/>
      <c r="N6317" s="4">
        <f>IFERROR(__xludf.DUMMYFUNCTION("""COMPUTED_VALUE"""),0.587)</f>
        <v>0.587</v>
      </c>
      <c r="O6317" s="4">
        <f>IFERROR(__xludf.DUMMYFUNCTION("""COMPUTED_VALUE"""),8.9)</f>
        <v>8.9</v>
      </c>
      <c r="P6317" s="4">
        <f>IFERROR(__xludf.DUMMYFUNCTION("""COMPUTED_VALUE"""),3.5)</f>
        <v>3.5</v>
      </c>
      <c r="Q6317" s="4">
        <f>IFERROR(__xludf.DUMMYFUNCTION("""COMPUTED_VALUE"""),1.2)</f>
        <v>1.2</v>
      </c>
      <c r="R6317" s="4">
        <f>IFERROR(__xludf.DUMMYFUNCTION("""COMPUTED_VALUE"""),0.5)</f>
        <v>0.5</v>
      </c>
      <c r="S6317" s="4">
        <f>IFERROR(__xludf.DUMMYFUNCTION("""COMPUTED_VALUE"""),-1.5)</f>
        <v>-1.5</v>
      </c>
      <c r="T6317" s="4">
        <f>IFERROR(__xludf.DUMMYFUNCTION("""COMPUTED_VALUE"""),-0.107)</f>
        <v>-0.107</v>
      </c>
      <c r="U6317" s="4"/>
      <c r="V6317" s="4"/>
    </row>
    <row r="6318">
      <c r="A6318" s="4">
        <f>IFERROR(__xludf.DUMMYFUNCTION("""COMPUTED_VALUE"""),84.0)</f>
        <v>84</v>
      </c>
      <c r="B6318" s="4">
        <f>IFERROR(__xludf.DUMMYFUNCTION("""COMPUTED_VALUE"""),84.0)</f>
        <v>84</v>
      </c>
      <c r="C6318" s="4" t="str">
        <f>IFERROR(__xludf.DUMMYFUNCTION("""COMPUTED_VALUE"""),"MIL")</f>
        <v>MIL</v>
      </c>
      <c r="D6318" s="4" t="str">
        <f>IFERROR(__xludf.DUMMYFUNCTION("""COMPUTED_VALUE"""),"Mike Grosso")</f>
        <v>Mike Grosso</v>
      </c>
      <c r="E6318" s="4" t="str">
        <f>IFERROR(__xludf.DUMMYFUNCTION("""COMPUTED_VALUE"""),"Louisville")</f>
        <v>Louisville</v>
      </c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</row>
    <row r="6319">
      <c r="A6319" s="4">
        <f>IFERROR(__xludf.DUMMYFUNCTION("""COMPUTED_VALUE"""),85.0)</f>
        <v>85</v>
      </c>
      <c r="B6319" s="4">
        <f>IFERROR(__xludf.DUMMYFUNCTION("""COMPUTED_VALUE"""),85.0)</f>
        <v>85</v>
      </c>
      <c r="C6319" s="4" t="str">
        <f>IFERROR(__xludf.DUMMYFUNCTION("""COMPUTED_VALUE"""),"NYK")</f>
        <v>NYK</v>
      </c>
      <c r="D6319" s="4" t="str">
        <f>IFERROR(__xludf.DUMMYFUNCTION("""COMPUTED_VALUE"""),"Jim Oxley")</f>
        <v>Jim Oxley</v>
      </c>
      <c r="E6319" s="4" t="str">
        <f>IFERROR(__xludf.DUMMYFUNCTION("""COMPUTED_VALUE"""),"United States Military Academy")</f>
        <v>United States Military Academy</v>
      </c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</row>
    <row r="6320">
      <c r="A6320" s="4"/>
      <c r="B6320" s="4"/>
      <c r="C6320" s="4"/>
      <c r="D6320" s="4" t="str">
        <f>IFERROR(__xludf.DUMMYFUNCTION("""COMPUTED_VALUE"""),"Round 6")</f>
        <v>Round 6</v>
      </c>
      <c r="E6320" s="4"/>
      <c r="F6320" s="4"/>
      <c r="G6320" s="4" t="str">
        <f>IFERROR(__xludf.DUMMYFUNCTION("""COMPUTED_VALUE"""),"Totals")</f>
        <v>Totals</v>
      </c>
      <c r="H6320" s="4"/>
      <c r="I6320" s="4"/>
      <c r="J6320" s="4"/>
      <c r="K6320" s="4"/>
      <c r="L6320" s="4" t="str">
        <f>IFERROR(__xludf.DUMMYFUNCTION("""COMPUTED_VALUE"""),"Shooting")</f>
        <v>Shooting</v>
      </c>
      <c r="M6320" s="4"/>
      <c r="N6320" s="4"/>
      <c r="O6320" s="4" t="str">
        <f>IFERROR(__xludf.DUMMYFUNCTION("""COMPUTED_VALUE"""),"Per Game")</f>
        <v>Per Game</v>
      </c>
      <c r="P6320" s="4"/>
      <c r="Q6320" s="4"/>
      <c r="R6320" s="4"/>
      <c r="S6320" s="4" t="str">
        <f>IFERROR(__xludf.DUMMYFUNCTION("""COMPUTED_VALUE"""),"Advanced")</f>
        <v>Advanced</v>
      </c>
      <c r="T6320" s="4"/>
      <c r="U6320" s="4"/>
      <c r="V6320" s="4"/>
    </row>
    <row r="6321">
      <c r="A6321" s="4" t="str">
        <f>IFERROR(__xludf.DUMMYFUNCTION("""COMPUTED_VALUE"""),"Rk")</f>
        <v>Rk</v>
      </c>
      <c r="B6321" s="4" t="str">
        <f>IFERROR(__xludf.DUMMYFUNCTION("""COMPUTED_VALUE"""),"Pk")</f>
        <v>Pk</v>
      </c>
      <c r="C6321" s="4" t="str">
        <f>IFERROR(__xludf.DUMMYFUNCTION("""COMPUTED_VALUE"""),"Tm")</f>
        <v>Tm</v>
      </c>
      <c r="D6321" s="4" t="str">
        <f>IFERROR(__xludf.DUMMYFUNCTION("""COMPUTED_VALUE"""),"Player")</f>
        <v>Player</v>
      </c>
      <c r="E6321" s="4" t="str">
        <f>IFERROR(__xludf.DUMMYFUNCTION("""COMPUTED_VALUE"""),"College")</f>
        <v>College</v>
      </c>
      <c r="F6321" s="4" t="str">
        <f>IFERROR(__xludf.DUMMYFUNCTION("""COMPUTED_VALUE"""),"Yrs")</f>
        <v>Yrs</v>
      </c>
      <c r="G6321" s="4" t="str">
        <f>IFERROR(__xludf.DUMMYFUNCTION("""COMPUTED_VALUE"""),"G")</f>
        <v>G</v>
      </c>
      <c r="H6321" s="4" t="str">
        <f>IFERROR(__xludf.DUMMYFUNCTION("""COMPUTED_VALUE"""),"MP")</f>
        <v>MP</v>
      </c>
      <c r="I6321" s="4" t="str">
        <f>IFERROR(__xludf.DUMMYFUNCTION("""COMPUTED_VALUE"""),"PTS")</f>
        <v>PTS</v>
      </c>
      <c r="J6321" s="4" t="str">
        <f>IFERROR(__xludf.DUMMYFUNCTION("""COMPUTED_VALUE"""),"TRB")</f>
        <v>TRB</v>
      </c>
      <c r="K6321" s="4" t="str">
        <f>IFERROR(__xludf.DUMMYFUNCTION("""COMPUTED_VALUE"""),"AST")</f>
        <v>AST</v>
      </c>
      <c r="L6321" s="4" t="str">
        <f>IFERROR(__xludf.DUMMYFUNCTION("""COMPUTED_VALUE"""),"FG%")</f>
        <v>FG%</v>
      </c>
      <c r="M6321" s="4" t="str">
        <f>IFERROR(__xludf.DUMMYFUNCTION("""COMPUTED_VALUE"""),"3P%")</f>
        <v>3P%</v>
      </c>
      <c r="N6321" s="4" t="str">
        <f>IFERROR(__xludf.DUMMYFUNCTION("""COMPUTED_VALUE"""),"FT%")</f>
        <v>FT%</v>
      </c>
      <c r="O6321" s="4" t="str">
        <f>IFERROR(__xludf.DUMMYFUNCTION("""COMPUTED_VALUE"""),"MP")</f>
        <v>MP</v>
      </c>
      <c r="P6321" s="4" t="str">
        <f>IFERROR(__xludf.DUMMYFUNCTION("""COMPUTED_VALUE"""),"PTS")</f>
        <v>PTS</v>
      </c>
      <c r="Q6321" s="4" t="str">
        <f>IFERROR(__xludf.DUMMYFUNCTION("""COMPUTED_VALUE"""),"TRB")</f>
        <v>TRB</v>
      </c>
      <c r="R6321" s="4" t="str">
        <f>IFERROR(__xludf.DUMMYFUNCTION("""COMPUTED_VALUE"""),"AST")</f>
        <v>AST</v>
      </c>
      <c r="S6321" s="4" t="str">
        <f>IFERROR(__xludf.DUMMYFUNCTION("""COMPUTED_VALUE"""),"WS")</f>
        <v>WS</v>
      </c>
      <c r="T6321" s="4" t="str">
        <f>IFERROR(__xludf.DUMMYFUNCTION("""COMPUTED_VALUE"""),"WS/48")</f>
        <v>WS/48</v>
      </c>
      <c r="U6321" s="4" t="str">
        <f>IFERROR(__xludf.DUMMYFUNCTION("""COMPUTED_VALUE"""),"BPM")</f>
        <v>BPM</v>
      </c>
      <c r="V6321" s="4" t="str">
        <f>IFERROR(__xludf.DUMMYFUNCTION("""COMPUTED_VALUE"""),"VORP")</f>
        <v>VORP</v>
      </c>
    </row>
    <row r="6322">
      <c r="A6322" s="4">
        <f>IFERROR(__xludf.DUMMYFUNCTION("""COMPUTED_VALUE"""),86.0)</f>
        <v>86</v>
      </c>
      <c r="B6322" s="4">
        <f>IFERROR(__xludf.DUMMYFUNCTION("""COMPUTED_VALUE"""),86.0)</f>
        <v>86</v>
      </c>
      <c r="C6322" s="4" t="str">
        <f>IFERROR(__xludf.DUMMYFUNCTION("""COMPUTED_VALUE"""),"SDR")</f>
        <v>SDR</v>
      </c>
      <c r="D6322" s="4" t="str">
        <f>IFERROR(__xludf.DUMMYFUNCTION("""COMPUTED_VALUE"""),"Mike Kretzer")</f>
        <v>Mike Kretzer</v>
      </c>
      <c r="E6322" s="4" t="str">
        <f>IFERROR(__xludf.DUMMYFUNCTION("""COMPUTED_VALUE"""),"East Tennessee State University")</f>
        <v>East Tennessee State University</v>
      </c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</row>
    <row r="6323">
      <c r="A6323" s="4">
        <f>IFERROR(__xludf.DUMMYFUNCTION("""COMPUTED_VALUE"""),87.0)</f>
        <v>87</v>
      </c>
      <c r="B6323" s="4">
        <f>IFERROR(__xludf.DUMMYFUNCTION("""COMPUTED_VALUE"""),87.0)</f>
        <v>87</v>
      </c>
      <c r="C6323" s="4" t="str">
        <f>IFERROR(__xludf.DUMMYFUNCTION("""COMPUTED_VALUE"""),"SFW")</f>
        <v>SFW</v>
      </c>
      <c r="D6323" s="4" t="str">
        <f>IFERROR(__xludf.DUMMYFUNCTION("""COMPUTED_VALUE"""),"Vic Bartolome")</f>
        <v>Vic Bartolome</v>
      </c>
      <c r="E6323" s="4" t="str">
        <f>IFERROR(__xludf.DUMMYFUNCTION("""COMPUTED_VALUE"""),"Oregon State")</f>
        <v>Oregon State</v>
      </c>
      <c r="F6323" s="4">
        <f>IFERROR(__xludf.DUMMYFUNCTION("""COMPUTED_VALUE"""),1.0)</f>
        <v>1</v>
      </c>
      <c r="G6323" s="4">
        <f>IFERROR(__xludf.DUMMYFUNCTION("""COMPUTED_VALUE"""),38.0)</f>
        <v>38</v>
      </c>
      <c r="H6323" s="4">
        <f>IFERROR(__xludf.DUMMYFUNCTION("""COMPUTED_VALUE"""),165.0)</f>
        <v>165</v>
      </c>
      <c r="I6323" s="4">
        <f>IFERROR(__xludf.DUMMYFUNCTION("""COMPUTED_VALUE"""),34.0)</f>
        <v>34</v>
      </c>
      <c r="J6323" s="4">
        <f>IFERROR(__xludf.DUMMYFUNCTION("""COMPUTED_VALUE"""),60.0)</f>
        <v>60</v>
      </c>
      <c r="K6323" s="4">
        <f>IFERROR(__xludf.DUMMYFUNCTION("""COMPUTED_VALUE"""),3.0)</f>
        <v>3</v>
      </c>
      <c r="L6323" s="4">
        <f>IFERROR(__xludf.DUMMYFUNCTION("""COMPUTED_VALUE"""),0.254)</f>
        <v>0.254</v>
      </c>
      <c r="M6323" s="4"/>
      <c r="N6323" s="4">
        <f>IFERROR(__xludf.DUMMYFUNCTION("""COMPUTED_VALUE"""),0.8)</f>
        <v>0.8</v>
      </c>
      <c r="O6323" s="4">
        <f>IFERROR(__xludf.DUMMYFUNCTION("""COMPUTED_VALUE"""),4.3)</f>
        <v>4.3</v>
      </c>
      <c r="P6323" s="4">
        <f>IFERROR(__xludf.DUMMYFUNCTION("""COMPUTED_VALUE"""),0.9)</f>
        <v>0.9</v>
      </c>
      <c r="Q6323" s="4">
        <f>IFERROR(__xludf.DUMMYFUNCTION("""COMPUTED_VALUE"""),1.6)</f>
        <v>1.6</v>
      </c>
      <c r="R6323" s="4">
        <f>IFERROR(__xludf.DUMMYFUNCTION("""COMPUTED_VALUE"""),0.1)</f>
        <v>0.1</v>
      </c>
      <c r="S6323" s="4">
        <f>IFERROR(__xludf.DUMMYFUNCTION("""COMPUTED_VALUE"""),-0.4)</f>
        <v>-0.4</v>
      </c>
      <c r="T6323" s="4">
        <f>IFERROR(__xludf.DUMMYFUNCTION("""COMPUTED_VALUE"""),-0.114)</f>
        <v>-0.114</v>
      </c>
      <c r="U6323" s="4"/>
      <c r="V6323" s="4"/>
    </row>
    <row r="6324">
      <c r="A6324" s="4">
        <f>IFERROR(__xludf.DUMMYFUNCTION("""COMPUTED_VALUE"""),88.0)</f>
        <v>88</v>
      </c>
      <c r="B6324" s="4">
        <f>IFERROR(__xludf.DUMMYFUNCTION("""COMPUTED_VALUE"""),88.0)</f>
        <v>88</v>
      </c>
      <c r="C6324" s="4" t="str">
        <f>IFERROR(__xludf.DUMMYFUNCTION("""COMPUTED_VALUE"""),"DET")</f>
        <v>DET</v>
      </c>
      <c r="D6324" s="4" t="str">
        <f>IFERROR(__xludf.DUMMYFUNCTION("""COMPUTED_VALUE"""),"Sevira Brown")</f>
        <v>Sevira Brown</v>
      </c>
      <c r="E6324" s="4" t="str">
        <f>IFERROR(__xludf.DUMMYFUNCTION("""COMPUTED_VALUE"""),"DePaul")</f>
        <v>DePaul</v>
      </c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</row>
    <row r="6325">
      <c r="A6325" s="4">
        <f>IFERROR(__xludf.DUMMYFUNCTION("""COMPUTED_VALUE"""),89.0)</f>
        <v>89</v>
      </c>
      <c r="B6325" s="4">
        <f>IFERROR(__xludf.DUMMYFUNCTION("""COMPUTED_VALUE"""),89.0)</f>
        <v>89</v>
      </c>
      <c r="C6325" s="4" t="str">
        <f>IFERROR(__xludf.DUMMYFUNCTION("""COMPUTED_VALUE"""),"BOS")</f>
        <v>BOS</v>
      </c>
      <c r="D6325" s="4" t="str">
        <f>IFERROR(__xludf.DUMMYFUNCTION("""COMPUTED_VALUE"""),"Rod McIntyre")</f>
        <v>Rod McIntyre</v>
      </c>
      <c r="E6325" s="4" t="str">
        <f>IFERROR(__xludf.DUMMYFUNCTION("""COMPUTED_VALUE"""),"Jacksonville University")</f>
        <v>Jacksonville University</v>
      </c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</row>
    <row r="6326">
      <c r="A6326" s="4">
        <f>IFERROR(__xludf.DUMMYFUNCTION("""COMPUTED_VALUE"""),90.0)</f>
        <v>90</v>
      </c>
      <c r="B6326" s="4">
        <f>IFERROR(__xludf.DUMMYFUNCTION("""COMPUTED_VALUE"""),90.0)</f>
        <v>90</v>
      </c>
      <c r="C6326" s="4" t="str">
        <f>IFERROR(__xludf.DUMMYFUNCTION("""COMPUTED_VALUE"""),"CIN")</f>
        <v>CIN</v>
      </c>
      <c r="D6326" s="4" t="str">
        <f>IFERROR(__xludf.DUMMYFUNCTION("""COMPUTED_VALUE"""),"Charles Bishop")</f>
        <v>Charles Bishop</v>
      </c>
      <c r="E6326" s="4" t="str">
        <f>IFERROR(__xludf.DUMMYFUNCTION("""COMPUTED_VALUE"""),"Louisiana Tech")</f>
        <v>Louisiana Tech</v>
      </c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</row>
    <row r="6327">
      <c r="A6327" s="4">
        <f>IFERROR(__xludf.DUMMYFUNCTION("""COMPUTED_VALUE"""),91.0)</f>
        <v>91</v>
      </c>
      <c r="B6327" s="4">
        <f>IFERROR(__xludf.DUMMYFUNCTION("""COMPUTED_VALUE"""),91.0)</f>
        <v>91</v>
      </c>
      <c r="C6327" s="4" t="str">
        <f>IFERROR(__xludf.DUMMYFUNCTION("""COMPUTED_VALUE"""),"SEA")</f>
        <v>SEA</v>
      </c>
      <c r="D6327" s="4" t="str">
        <f>IFERROR(__xludf.DUMMYFUNCTION("""COMPUTED_VALUE"""),"Sam Robinson")</f>
        <v>Sam Robinson</v>
      </c>
      <c r="E6327" s="4" t="str">
        <f>IFERROR(__xludf.DUMMYFUNCTION("""COMPUTED_VALUE"""),"Cal State Long Beach")</f>
        <v>Cal State Long Beach</v>
      </c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</row>
    <row r="6328">
      <c r="A6328" s="4">
        <f>IFERROR(__xludf.DUMMYFUNCTION("""COMPUTED_VALUE"""),92.0)</f>
        <v>92</v>
      </c>
      <c r="B6328" s="4">
        <f>IFERROR(__xludf.DUMMYFUNCTION("""COMPUTED_VALUE"""),92.0)</f>
        <v>92</v>
      </c>
      <c r="C6328" s="4" t="str">
        <f>IFERROR(__xludf.DUMMYFUNCTION("""COMPUTED_VALUE"""),"BUF")</f>
        <v>BUF</v>
      </c>
      <c r="D6328" s="4" t="str">
        <f>IFERROR(__xludf.DUMMYFUNCTION("""COMPUTED_VALUE"""),"Doug Hess")</f>
        <v>Doug Hess</v>
      </c>
      <c r="E6328" s="4" t="str">
        <f>IFERROR(__xludf.DUMMYFUNCTION("""COMPUTED_VALUE"""),"Toledo")</f>
        <v>Toledo</v>
      </c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</row>
    <row r="6329">
      <c r="A6329" s="4">
        <f>IFERROR(__xludf.DUMMYFUNCTION("""COMPUTED_VALUE"""),93.0)</f>
        <v>93</v>
      </c>
      <c r="B6329" s="4">
        <f>IFERROR(__xludf.DUMMYFUNCTION("""COMPUTED_VALUE"""),93.0)</f>
        <v>93</v>
      </c>
      <c r="C6329" s="4" t="str">
        <f>IFERROR(__xludf.DUMMYFUNCTION("""COMPUTED_VALUE"""),"POR")</f>
        <v>POR</v>
      </c>
      <c r="D6329" s="4" t="str">
        <f>IFERROR(__xludf.DUMMYFUNCTION("""COMPUTED_VALUE"""),"George Janky")</f>
        <v>George Janky</v>
      </c>
      <c r="E6329" s="4" t="str">
        <f>IFERROR(__xludf.DUMMYFUNCTION("""COMPUTED_VALUE"""),"Dayton")</f>
        <v>Dayton</v>
      </c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</row>
    <row r="6330">
      <c r="A6330" s="4">
        <f>IFERROR(__xludf.DUMMYFUNCTION("""COMPUTED_VALUE"""),94.0)</f>
        <v>94</v>
      </c>
      <c r="B6330" s="4">
        <f>IFERROR(__xludf.DUMMYFUNCTION("""COMPUTED_VALUE"""),94.0)</f>
        <v>94</v>
      </c>
      <c r="C6330" s="4" t="str">
        <f>IFERROR(__xludf.DUMMYFUNCTION("""COMPUTED_VALUE"""),"CLE")</f>
        <v>CLE</v>
      </c>
      <c r="D6330" s="4" t="str">
        <f>IFERROR(__xludf.DUMMYFUNCTION("""COMPUTED_VALUE"""),"Joe Cooke")</f>
        <v>Joe Cooke</v>
      </c>
      <c r="E6330" s="4" t="str">
        <f>IFERROR(__xludf.DUMMYFUNCTION("""COMPUTED_VALUE"""),"Indiana")</f>
        <v>Indiana</v>
      </c>
      <c r="F6330" s="4">
        <f>IFERROR(__xludf.DUMMYFUNCTION("""COMPUTED_VALUE"""),1.0)</f>
        <v>1</v>
      </c>
      <c r="G6330" s="4">
        <f>IFERROR(__xludf.DUMMYFUNCTION("""COMPUTED_VALUE"""),73.0)</f>
        <v>73</v>
      </c>
      <c r="H6330" s="4">
        <f>IFERROR(__xludf.DUMMYFUNCTION("""COMPUTED_VALUE"""),725.0)</f>
        <v>725</v>
      </c>
      <c r="I6330" s="4">
        <f>IFERROR(__xludf.DUMMYFUNCTION("""COMPUTED_VALUE"""),316.0)</f>
        <v>316</v>
      </c>
      <c r="J6330" s="4">
        <f>IFERROR(__xludf.DUMMYFUNCTION("""COMPUTED_VALUE"""),114.0)</f>
        <v>114</v>
      </c>
      <c r="K6330" s="4">
        <f>IFERROR(__xludf.DUMMYFUNCTION("""COMPUTED_VALUE"""),93.0)</f>
        <v>93</v>
      </c>
      <c r="L6330" s="4">
        <f>IFERROR(__xludf.DUMMYFUNCTION("""COMPUTED_VALUE"""),0.393)</f>
        <v>0.393</v>
      </c>
      <c r="M6330" s="4"/>
      <c r="N6330" s="4">
        <f>IFERROR(__xludf.DUMMYFUNCTION("""COMPUTED_VALUE"""),0.814)</f>
        <v>0.814</v>
      </c>
      <c r="O6330" s="4">
        <f>IFERROR(__xludf.DUMMYFUNCTION("""COMPUTED_VALUE"""),9.9)</f>
        <v>9.9</v>
      </c>
      <c r="P6330" s="4">
        <f>IFERROR(__xludf.DUMMYFUNCTION("""COMPUTED_VALUE"""),4.3)</f>
        <v>4.3</v>
      </c>
      <c r="Q6330" s="4">
        <f>IFERROR(__xludf.DUMMYFUNCTION("""COMPUTED_VALUE"""),1.6)</f>
        <v>1.6</v>
      </c>
      <c r="R6330" s="4">
        <f>IFERROR(__xludf.DUMMYFUNCTION("""COMPUTED_VALUE"""),1.3)</f>
        <v>1.3</v>
      </c>
      <c r="S6330" s="4">
        <f>IFERROR(__xludf.DUMMYFUNCTION("""COMPUTED_VALUE"""),-0.4)</f>
        <v>-0.4</v>
      </c>
      <c r="T6330" s="4">
        <f>IFERROR(__xludf.DUMMYFUNCTION("""COMPUTED_VALUE"""),-0.025)</f>
        <v>-0.025</v>
      </c>
      <c r="U6330" s="4"/>
      <c r="V6330" s="4"/>
    </row>
    <row r="6331">
      <c r="A6331" s="4">
        <f>IFERROR(__xludf.DUMMYFUNCTION("""COMPUTED_VALUE"""),95.0)</f>
        <v>95</v>
      </c>
      <c r="B6331" s="4">
        <f>IFERROR(__xludf.DUMMYFUNCTION("""COMPUTED_VALUE"""),95.0)</f>
        <v>95</v>
      </c>
      <c r="C6331" s="4" t="str">
        <f>IFERROR(__xludf.DUMMYFUNCTION("""COMPUTED_VALUE"""),"PHO")</f>
        <v>PHO</v>
      </c>
      <c r="D6331" s="4" t="str">
        <f>IFERROR(__xludf.DUMMYFUNCTION("""COMPUTED_VALUE"""),"Joe Thomas")</f>
        <v>Joe Thomas</v>
      </c>
      <c r="E6331" s="4" t="str">
        <f>IFERROR(__xludf.DUMMYFUNCTION("""COMPUTED_VALUE"""),"Marquette")</f>
        <v>Marquette</v>
      </c>
      <c r="F6331" s="4">
        <f>IFERROR(__xludf.DUMMYFUNCTION("""COMPUTED_VALUE"""),1.0)</f>
        <v>1</v>
      </c>
      <c r="G6331" s="4">
        <f>IFERROR(__xludf.DUMMYFUNCTION("""COMPUTED_VALUE"""),39.0)</f>
        <v>39</v>
      </c>
      <c r="H6331" s="4">
        <f>IFERROR(__xludf.DUMMYFUNCTION("""COMPUTED_VALUE"""),204.0)</f>
        <v>204</v>
      </c>
      <c r="I6331" s="4">
        <f>IFERROR(__xludf.DUMMYFUNCTION("""COMPUTED_VALUE"""),55.0)</f>
        <v>55</v>
      </c>
      <c r="J6331" s="4">
        <f>IFERROR(__xludf.DUMMYFUNCTION("""COMPUTED_VALUE"""),43.0)</f>
        <v>43</v>
      </c>
      <c r="K6331" s="4">
        <f>IFERROR(__xludf.DUMMYFUNCTION("""COMPUTED_VALUE"""),17.0)</f>
        <v>17</v>
      </c>
      <c r="L6331" s="4">
        <f>IFERROR(__xludf.DUMMYFUNCTION("""COMPUTED_VALUE"""),0.267)</f>
        <v>0.267</v>
      </c>
      <c r="M6331" s="4"/>
      <c r="N6331" s="4">
        <f>IFERROR(__xludf.DUMMYFUNCTION("""COMPUTED_VALUE"""),0.45)</f>
        <v>0.45</v>
      </c>
      <c r="O6331" s="4">
        <f>IFERROR(__xludf.DUMMYFUNCTION("""COMPUTED_VALUE"""),5.2)</f>
        <v>5.2</v>
      </c>
      <c r="P6331" s="4">
        <f>IFERROR(__xludf.DUMMYFUNCTION("""COMPUTED_VALUE"""),1.4)</f>
        <v>1.4</v>
      </c>
      <c r="Q6331" s="4">
        <f>IFERROR(__xludf.DUMMYFUNCTION("""COMPUTED_VALUE"""),1.1)</f>
        <v>1.1</v>
      </c>
      <c r="R6331" s="4">
        <f>IFERROR(__xludf.DUMMYFUNCTION("""COMPUTED_VALUE"""),0.4)</f>
        <v>0.4</v>
      </c>
      <c r="S6331" s="4">
        <f>IFERROR(__xludf.DUMMYFUNCTION("""COMPUTED_VALUE"""),-0.6)</f>
        <v>-0.6</v>
      </c>
      <c r="T6331" s="4">
        <f>IFERROR(__xludf.DUMMYFUNCTION("""COMPUTED_VALUE"""),-0.149)</f>
        <v>-0.149</v>
      </c>
      <c r="U6331" s="4"/>
      <c r="V6331" s="4"/>
    </row>
    <row r="6332">
      <c r="A6332" s="4">
        <f>IFERROR(__xludf.DUMMYFUNCTION("""COMPUTED_VALUE"""),96.0)</f>
        <v>96</v>
      </c>
      <c r="B6332" s="4">
        <f>IFERROR(__xludf.DUMMYFUNCTION("""COMPUTED_VALUE"""),96.0)</f>
        <v>96</v>
      </c>
      <c r="C6332" s="4" t="str">
        <f>IFERROR(__xludf.DUMMYFUNCTION("""COMPUTED_VALUE"""),"CHI")</f>
        <v>CHI</v>
      </c>
      <c r="D6332" s="4" t="str">
        <f>IFERROR(__xludf.DUMMYFUNCTION("""COMPUTED_VALUE"""),"Lonnie Kluttz")</f>
        <v>Lonnie Kluttz</v>
      </c>
      <c r="E6332" s="4" t="str">
        <f>IFERROR(__xludf.DUMMYFUNCTION("""COMPUTED_VALUE"""),"North Carolina A&amp;T")</f>
        <v>North Carolina A&amp;T</v>
      </c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</row>
    <row r="6333">
      <c r="A6333" s="4">
        <f>IFERROR(__xludf.DUMMYFUNCTION("""COMPUTED_VALUE"""),97.0)</f>
        <v>97</v>
      </c>
      <c r="B6333" s="4">
        <f>IFERROR(__xludf.DUMMYFUNCTION("""COMPUTED_VALUE"""),97.0)</f>
        <v>97</v>
      </c>
      <c r="C6333" s="4" t="str">
        <f>IFERROR(__xludf.DUMMYFUNCTION("""COMPUTED_VALUE"""),"PHI")</f>
        <v>PHI</v>
      </c>
      <c r="D6333" s="4" t="str">
        <f>IFERROR(__xludf.DUMMYFUNCTION("""COMPUTED_VALUE"""),"Jerry Venable")</f>
        <v>Jerry Venable</v>
      </c>
      <c r="E6333" s="4" t="str">
        <f>IFERROR(__xludf.DUMMYFUNCTION("""COMPUTED_VALUE"""),"Kansas State")</f>
        <v>Kansas State</v>
      </c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</row>
    <row r="6334">
      <c r="A6334" s="4">
        <f>IFERROR(__xludf.DUMMYFUNCTION("""COMPUTED_VALUE"""),98.0)</f>
        <v>98</v>
      </c>
      <c r="B6334" s="4">
        <f>IFERROR(__xludf.DUMMYFUNCTION("""COMPUTED_VALUE"""),98.0)</f>
        <v>98</v>
      </c>
      <c r="C6334" s="4" t="str">
        <f>IFERROR(__xludf.DUMMYFUNCTION("""COMPUTED_VALUE"""),"LAL")</f>
        <v>LAL</v>
      </c>
      <c r="D6334" s="4" t="str">
        <f>IFERROR(__xludf.DUMMYFUNCTION("""COMPUTED_VALUE"""),"Jerry Kroll")</f>
        <v>Jerry Kroll</v>
      </c>
      <c r="E6334" s="4" t="str">
        <f>IFERROR(__xludf.DUMMYFUNCTION("""COMPUTED_VALUE"""),"Davidson")</f>
        <v>Davidson</v>
      </c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</row>
    <row r="6335">
      <c r="A6335" s="4">
        <f>IFERROR(__xludf.DUMMYFUNCTION("""COMPUTED_VALUE"""),99.0)</f>
        <v>99</v>
      </c>
      <c r="B6335" s="4">
        <f>IFERROR(__xludf.DUMMYFUNCTION("""COMPUTED_VALUE"""),99.0)</f>
        <v>99</v>
      </c>
      <c r="C6335" s="4" t="str">
        <f>IFERROR(__xludf.DUMMYFUNCTION("""COMPUTED_VALUE"""),"ATL")</f>
        <v>ATL</v>
      </c>
      <c r="D6335" s="4" t="str">
        <f>IFERROR(__xludf.DUMMYFUNCTION("""COMPUTED_VALUE"""),"Dave Parker")</f>
        <v>Dave Parker</v>
      </c>
      <c r="E6335" s="4" t="str">
        <f>IFERROR(__xludf.DUMMYFUNCTION("""COMPUTED_VALUE"""),"Windham College")</f>
        <v>Windham College</v>
      </c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</row>
    <row r="6336">
      <c r="A6336" s="4">
        <f>IFERROR(__xludf.DUMMYFUNCTION("""COMPUTED_VALUE"""),100.0)</f>
        <v>100</v>
      </c>
      <c r="B6336" s="4">
        <f>IFERROR(__xludf.DUMMYFUNCTION("""COMPUTED_VALUE"""),100.0)</f>
        <v>100</v>
      </c>
      <c r="C6336" s="4" t="str">
        <f>IFERROR(__xludf.DUMMYFUNCTION("""COMPUTED_VALUE"""),"BAL")</f>
        <v>BAL</v>
      </c>
      <c r="D6336" s="4" t="str">
        <f>IFERROR(__xludf.DUMMYFUNCTION("""COMPUTED_VALUE"""),"Marvin Polnick")</f>
        <v>Marvin Polnick</v>
      </c>
      <c r="E6336" s="4" t="str">
        <f>IFERROR(__xludf.DUMMYFUNCTION("""COMPUTED_VALUE"""),"Stephen F. Austin")</f>
        <v>Stephen F. Austin</v>
      </c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</row>
    <row r="6337">
      <c r="A6337" s="4">
        <f>IFERROR(__xludf.DUMMYFUNCTION("""COMPUTED_VALUE"""),101.0)</f>
        <v>101</v>
      </c>
      <c r="B6337" s="4">
        <f>IFERROR(__xludf.DUMMYFUNCTION("""COMPUTED_VALUE"""),101.0)</f>
        <v>101</v>
      </c>
      <c r="C6337" s="4" t="str">
        <f>IFERROR(__xludf.DUMMYFUNCTION("""COMPUTED_VALUE"""),"MIL")</f>
        <v>MIL</v>
      </c>
      <c r="D6337" s="4" t="str">
        <f>IFERROR(__xludf.DUMMYFUNCTION("""COMPUTED_VALUE"""),"Willie Watson")</f>
        <v>Willie Watson</v>
      </c>
      <c r="E6337" s="4" t="str">
        <f>IFERROR(__xludf.DUMMYFUNCTION("""COMPUTED_VALUE"""),"Oklahoma City University")</f>
        <v>Oklahoma City University</v>
      </c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</row>
    <row r="6338">
      <c r="A6338" s="4">
        <f>IFERROR(__xludf.DUMMYFUNCTION("""COMPUTED_VALUE"""),102.0)</f>
        <v>102</v>
      </c>
      <c r="B6338" s="4">
        <f>IFERROR(__xludf.DUMMYFUNCTION("""COMPUTED_VALUE"""),102.0)</f>
        <v>102</v>
      </c>
      <c r="C6338" s="4" t="str">
        <f>IFERROR(__xludf.DUMMYFUNCTION("""COMPUTED_VALUE"""),"NYK")</f>
        <v>NYK</v>
      </c>
      <c r="D6338" s="4" t="str">
        <f>IFERROR(__xludf.DUMMYFUNCTION("""COMPUTED_VALUE"""),"Jim Signorile")</f>
        <v>Jim Signorile</v>
      </c>
      <c r="E6338" s="4" t="str">
        <f>IFERROR(__xludf.DUMMYFUNCTION("""COMPUTED_VALUE"""),"NYU")</f>
        <v>NYU</v>
      </c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</row>
    <row r="6339">
      <c r="A6339" s="4"/>
      <c r="B6339" s="4"/>
      <c r="C6339" s="4"/>
      <c r="D6339" s="4" t="str">
        <f>IFERROR(__xludf.DUMMYFUNCTION("""COMPUTED_VALUE"""),"Round 7")</f>
        <v>Round 7</v>
      </c>
      <c r="E6339" s="4"/>
      <c r="F6339" s="4"/>
      <c r="G6339" s="4" t="str">
        <f>IFERROR(__xludf.DUMMYFUNCTION("""COMPUTED_VALUE"""),"Totals")</f>
        <v>Totals</v>
      </c>
      <c r="H6339" s="4"/>
      <c r="I6339" s="4"/>
      <c r="J6339" s="4"/>
      <c r="K6339" s="4"/>
      <c r="L6339" s="4" t="str">
        <f>IFERROR(__xludf.DUMMYFUNCTION("""COMPUTED_VALUE"""),"Shooting")</f>
        <v>Shooting</v>
      </c>
      <c r="M6339" s="4"/>
      <c r="N6339" s="4"/>
      <c r="O6339" s="4" t="str">
        <f>IFERROR(__xludf.DUMMYFUNCTION("""COMPUTED_VALUE"""),"Per Game")</f>
        <v>Per Game</v>
      </c>
      <c r="P6339" s="4"/>
      <c r="Q6339" s="4"/>
      <c r="R6339" s="4"/>
      <c r="S6339" s="4" t="str">
        <f>IFERROR(__xludf.DUMMYFUNCTION("""COMPUTED_VALUE"""),"Advanced")</f>
        <v>Advanced</v>
      </c>
      <c r="T6339" s="4"/>
      <c r="U6339" s="4"/>
      <c r="V6339" s="4"/>
    </row>
    <row r="6340">
      <c r="A6340" s="4" t="str">
        <f>IFERROR(__xludf.DUMMYFUNCTION("""COMPUTED_VALUE"""),"Rk")</f>
        <v>Rk</v>
      </c>
      <c r="B6340" s="4" t="str">
        <f>IFERROR(__xludf.DUMMYFUNCTION("""COMPUTED_VALUE"""),"Pk")</f>
        <v>Pk</v>
      </c>
      <c r="C6340" s="4" t="str">
        <f>IFERROR(__xludf.DUMMYFUNCTION("""COMPUTED_VALUE"""),"Tm")</f>
        <v>Tm</v>
      </c>
      <c r="D6340" s="4" t="str">
        <f>IFERROR(__xludf.DUMMYFUNCTION("""COMPUTED_VALUE"""),"Player")</f>
        <v>Player</v>
      </c>
      <c r="E6340" s="4" t="str">
        <f>IFERROR(__xludf.DUMMYFUNCTION("""COMPUTED_VALUE"""),"College")</f>
        <v>College</v>
      </c>
      <c r="F6340" s="4" t="str">
        <f>IFERROR(__xludf.DUMMYFUNCTION("""COMPUTED_VALUE"""),"Yrs")</f>
        <v>Yrs</v>
      </c>
      <c r="G6340" s="4" t="str">
        <f>IFERROR(__xludf.DUMMYFUNCTION("""COMPUTED_VALUE"""),"G")</f>
        <v>G</v>
      </c>
      <c r="H6340" s="4" t="str">
        <f>IFERROR(__xludf.DUMMYFUNCTION("""COMPUTED_VALUE"""),"MP")</f>
        <v>MP</v>
      </c>
      <c r="I6340" s="4" t="str">
        <f>IFERROR(__xludf.DUMMYFUNCTION("""COMPUTED_VALUE"""),"PTS")</f>
        <v>PTS</v>
      </c>
      <c r="J6340" s="4" t="str">
        <f>IFERROR(__xludf.DUMMYFUNCTION("""COMPUTED_VALUE"""),"TRB")</f>
        <v>TRB</v>
      </c>
      <c r="K6340" s="4" t="str">
        <f>IFERROR(__xludf.DUMMYFUNCTION("""COMPUTED_VALUE"""),"AST")</f>
        <v>AST</v>
      </c>
      <c r="L6340" s="4" t="str">
        <f>IFERROR(__xludf.DUMMYFUNCTION("""COMPUTED_VALUE"""),"FG%")</f>
        <v>FG%</v>
      </c>
      <c r="M6340" s="4" t="str">
        <f>IFERROR(__xludf.DUMMYFUNCTION("""COMPUTED_VALUE"""),"3P%")</f>
        <v>3P%</v>
      </c>
      <c r="N6340" s="4" t="str">
        <f>IFERROR(__xludf.DUMMYFUNCTION("""COMPUTED_VALUE"""),"FT%")</f>
        <v>FT%</v>
      </c>
      <c r="O6340" s="4" t="str">
        <f>IFERROR(__xludf.DUMMYFUNCTION("""COMPUTED_VALUE"""),"MP")</f>
        <v>MP</v>
      </c>
      <c r="P6340" s="4" t="str">
        <f>IFERROR(__xludf.DUMMYFUNCTION("""COMPUTED_VALUE"""),"PTS")</f>
        <v>PTS</v>
      </c>
      <c r="Q6340" s="4" t="str">
        <f>IFERROR(__xludf.DUMMYFUNCTION("""COMPUTED_VALUE"""),"TRB")</f>
        <v>TRB</v>
      </c>
      <c r="R6340" s="4" t="str">
        <f>IFERROR(__xludf.DUMMYFUNCTION("""COMPUTED_VALUE"""),"AST")</f>
        <v>AST</v>
      </c>
      <c r="S6340" s="4" t="str">
        <f>IFERROR(__xludf.DUMMYFUNCTION("""COMPUTED_VALUE"""),"WS")</f>
        <v>WS</v>
      </c>
      <c r="T6340" s="4" t="str">
        <f>IFERROR(__xludf.DUMMYFUNCTION("""COMPUTED_VALUE"""),"WS/48")</f>
        <v>WS/48</v>
      </c>
      <c r="U6340" s="4" t="str">
        <f>IFERROR(__xludf.DUMMYFUNCTION("""COMPUTED_VALUE"""),"BPM")</f>
        <v>BPM</v>
      </c>
      <c r="V6340" s="4" t="str">
        <f>IFERROR(__xludf.DUMMYFUNCTION("""COMPUTED_VALUE"""),"VORP")</f>
        <v>VORP</v>
      </c>
    </row>
    <row r="6341">
      <c r="A6341" s="4">
        <f>IFERROR(__xludf.DUMMYFUNCTION("""COMPUTED_VALUE"""),103.0)</f>
        <v>103</v>
      </c>
      <c r="B6341" s="4">
        <f>IFERROR(__xludf.DUMMYFUNCTION("""COMPUTED_VALUE"""),103.0)</f>
        <v>103</v>
      </c>
      <c r="C6341" s="4" t="str">
        <f>IFERROR(__xludf.DUMMYFUNCTION("""COMPUTED_VALUE"""),"SDR")</f>
        <v>SDR</v>
      </c>
      <c r="D6341" s="4" t="str">
        <f>IFERROR(__xludf.DUMMYFUNCTION("""COMPUTED_VALUE"""),"Billy Paultz")</f>
        <v>Billy Paultz</v>
      </c>
      <c r="E6341" s="4" t="str">
        <f>IFERROR(__xludf.DUMMYFUNCTION("""COMPUTED_VALUE"""),"St. John's")</f>
        <v>St. John's</v>
      </c>
      <c r="F6341" s="4">
        <f>IFERROR(__xludf.DUMMYFUNCTION("""COMPUTED_VALUE"""),9.0)</f>
        <v>9</v>
      </c>
      <c r="G6341" s="4">
        <f>IFERROR(__xludf.DUMMYFUNCTION("""COMPUTED_VALUE"""),637.0)</f>
        <v>637</v>
      </c>
      <c r="H6341" s="4">
        <f>IFERROR(__xludf.DUMMYFUNCTION("""COMPUTED_VALUE"""),13630.0)</f>
        <v>13630</v>
      </c>
      <c r="I6341" s="4">
        <f>IFERROR(__xludf.DUMMYFUNCTION("""COMPUTED_VALUE"""),5432.0)</f>
        <v>5432</v>
      </c>
      <c r="J6341" s="4">
        <f>IFERROR(__xludf.DUMMYFUNCTION("""COMPUTED_VALUE"""),3553.0)</f>
        <v>3553</v>
      </c>
      <c r="K6341" s="4">
        <f>IFERROR(__xludf.DUMMYFUNCTION("""COMPUTED_VALUE"""),1043.0)</f>
        <v>1043</v>
      </c>
      <c r="L6341" s="4">
        <f>IFERROR(__xludf.DUMMYFUNCTION("""COMPUTED_VALUE"""),0.491)</f>
        <v>0.491</v>
      </c>
      <c r="M6341" s="4"/>
      <c r="N6341" s="4">
        <f>IFERROR(__xludf.DUMMYFUNCTION("""COMPUTED_VALUE"""),0.643)</f>
        <v>0.643</v>
      </c>
      <c r="O6341" s="4">
        <f>IFERROR(__xludf.DUMMYFUNCTION("""COMPUTED_VALUE"""),21.4)</f>
        <v>21.4</v>
      </c>
      <c r="P6341" s="4">
        <f>IFERROR(__xludf.DUMMYFUNCTION("""COMPUTED_VALUE"""),8.5)</f>
        <v>8.5</v>
      </c>
      <c r="Q6341" s="4">
        <f>IFERROR(__xludf.DUMMYFUNCTION("""COMPUTED_VALUE"""),5.6)</f>
        <v>5.6</v>
      </c>
      <c r="R6341" s="4">
        <f>IFERROR(__xludf.DUMMYFUNCTION("""COMPUTED_VALUE"""),1.6)</f>
        <v>1.6</v>
      </c>
      <c r="S6341" s="4">
        <f>IFERROR(__xludf.DUMMYFUNCTION("""COMPUTED_VALUE"""),26.3)</f>
        <v>26.3</v>
      </c>
      <c r="T6341" s="4">
        <f>IFERROR(__xludf.DUMMYFUNCTION("""COMPUTED_VALUE"""),0.093)</f>
        <v>0.093</v>
      </c>
      <c r="U6341" s="4">
        <f>IFERROR(__xludf.DUMMYFUNCTION("""COMPUTED_VALUE"""),-0.2)</f>
        <v>-0.2</v>
      </c>
      <c r="V6341" s="4">
        <f>IFERROR(__xludf.DUMMYFUNCTION("""COMPUTED_VALUE"""),6.3)</f>
        <v>6.3</v>
      </c>
    </row>
    <row r="6342">
      <c r="A6342" s="4">
        <f>IFERROR(__xludf.DUMMYFUNCTION("""COMPUTED_VALUE"""),104.0)</f>
        <v>104</v>
      </c>
      <c r="B6342" s="4">
        <f>IFERROR(__xludf.DUMMYFUNCTION("""COMPUTED_VALUE"""),104.0)</f>
        <v>104</v>
      </c>
      <c r="C6342" s="4" t="str">
        <f>IFERROR(__xludf.DUMMYFUNCTION("""COMPUTED_VALUE"""),"SFW")</f>
        <v>SFW</v>
      </c>
      <c r="D6342" s="4" t="str">
        <f>IFERROR(__xludf.DUMMYFUNCTION("""COMPUTED_VALUE"""),"Joe Bergman")</f>
        <v>Joe Bergman</v>
      </c>
      <c r="E6342" s="4" t="str">
        <f>IFERROR(__xludf.DUMMYFUNCTION("""COMPUTED_VALUE"""),"Creighton")</f>
        <v>Creighton</v>
      </c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</row>
    <row r="6343">
      <c r="A6343" s="4">
        <f>IFERROR(__xludf.DUMMYFUNCTION("""COMPUTED_VALUE"""),105.0)</f>
        <v>105</v>
      </c>
      <c r="B6343" s="4">
        <f>IFERROR(__xludf.DUMMYFUNCTION("""COMPUTED_VALUE"""),105.0)</f>
        <v>105</v>
      </c>
      <c r="C6343" s="4" t="str">
        <f>IFERROR(__xludf.DUMMYFUNCTION("""COMPUTED_VALUE"""),"DET")</f>
        <v>DET</v>
      </c>
      <c r="D6343" s="4" t="str">
        <f>IFERROR(__xludf.DUMMYFUNCTION("""COMPUTED_VALUE"""),"Marv Copeland")</f>
        <v>Marv Copeland</v>
      </c>
      <c r="E6343" s="4" t="str">
        <f>IFERROR(__xludf.DUMMYFUNCTION("""COMPUTED_VALUE"""),"Shaw College (MI)")</f>
        <v>Shaw College (MI)</v>
      </c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</row>
    <row r="6344">
      <c r="A6344" s="4">
        <f>IFERROR(__xludf.DUMMYFUNCTION("""COMPUTED_VALUE"""),106.0)</f>
        <v>106</v>
      </c>
      <c r="B6344" s="4">
        <f>IFERROR(__xludf.DUMMYFUNCTION("""COMPUTED_VALUE"""),106.0)</f>
        <v>106</v>
      </c>
      <c r="C6344" s="4" t="str">
        <f>IFERROR(__xludf.DUMMYFUNCTION("""COMPUTED_VALUE"""),"BOS")</f>
        <v>BOS</v>
      </c>
      <c r="D6344" s="4" t="str">
        <f>IFERROR(__xludf.DUMMYFUNCTION("""COMPUTED_VALUE"""),"Charlie Scott")</f>
        <v>Charlie Scott</v>
      </c>
      <c r="E6344" s="4" t="str">
        <f>IFERROR(__xludf.DUMMYFUNCTION("""COMPUTED_VALUE"""),"UNC")</f>
        <v>UNC</v>
      </c>
      <c r="F6344" s="4">
        <f>IFERROR(__xludf.DUMMYFUNCTION("""COMPUTED_VALUE"""),8.0)</f>
        <v>8</v>
      </c>
      <c r="G6344" s="4">
        <f>IFERROR(__xludf.DUMMYFUNCTION("""COMPUTED_VALUE"""),560.0)</f>
        <v>560</v>
      </c>
      <c r="H6344" s="4">
        <f>IFERROR(__xludf.DUMMYFUNCTION("""COMPUTED_VALUE"""),19278.0)</f>
        <v>19278</v>
      </c>
      <c r="I6344" s="4">
        <f>IFERROR(__xludf.DUMMYFUNCTION("""COMPUTED_VALUE"""),10037.0)</f>
        <v>10037</v>
      </c>
      <c r="J6344" s="4">
        <f>IFERROR(__xludf.DUMMYFUNCTION("""COMPUTED_VALUE"""),2034.0)</f>
        <v>2034</v>
      </c>
      <c r="K6344" s="4">
        <f>IFERROR(__xludf.DUMMYFUNCTION("""COMPUTED_VALUE"""),2696.0)</f>
        <v>2696</v>
      </c>
      <c r="L6344" s="4">
        <f>IFERROR(__xludf.DUMMYFUNCTION("""COMPUTED_VALUE"""),0.444)</f>
        <v>0.444</v>
      </c>
      <c r="M6344" s="4"/>
      <c r="N6344" s="4">
        <f>IFERROR(__xludf.DUMMYFUNCTION("""COMPUTED_VALUE"""),0.772)</f>
        <v>0.772</v>
      </c>
      <c r="O6344" s="4">
        <f>IFERROR(__xludf.DUMMYFUNCTION("""COMPUTED_VALUE"""),34.4)</f>
        <v>34.4</v>
      </c>
      <c r="P6344" s="4">
        <f>IFERROR(__xludf.DUMMYFUNCTION("""COMPUTED_VALUE"""),17.9)</f>
        <v>17.9</v>
      </c>
      <c r="Q6344" s="4">
        <f>IFERROR(__xludf.DUMMYFUNCTION("""COMPUTED_VALUE"""),3.6)</f>
        <v>3.6</v>
      </c>
      <c r="R6344" s="4">
        <f>IFERROR(__xludf.DUMMYFUNCTION("""COMPUTED_VALUE"""),4.8)</f>
        <v>4.8</v>
      </c>
      <c r="S6344" s="4">
        <f>IFERROR(__xludf.DUMMYFUNCTION("""COMPUTED_VALUE"""),26.9)</f>
        <v>26.9</v>
      </c>
      <c r="T6344" s="4">
        <f>IFERROR(__xludf.DUMMYFUNCTION("""COMPUTED_VALUE"""),0.067)</f>
        <v>0.067</v>
      </c>
      <c r="U6344" s="4">
        <f>IFERROR(__xludf.DUMMYFUNCTION("""COMPUTED_VALUE"""),-1.5)</f>
        <v>-1.5</v>
      </c>
      <c r="V6344" s="4">
        <f>IFERROR(__xludf.DUMMYFUNCTION("""COMPUTED_VALUE"""),2.1)</f>
        <v>2.1</v>
      </c>
    </row>
    <row r="6345">
      <c r="A6345" s="4">
        <f>IFERROR(__xludf.DUMMYFUNCTION("""COMPUTED_VALUE"""),107.0)</f>
        <v>107</v>
      </c>
      <c r="B6345" s="4">
        <f>IFERROR(__xludf.DUMMYFUNCTION("""COMPUTED_VALUE"""),107.0)</f>
        <v>107</v>
      </c>
      <c r="C6345" s="4" t="str">
        <f>IFERROR(__xludf.DUMMYFUNCTION("""COMPUTED_VALUE"""),"CIN")</f>
        <v>CIN</v>
      </c>
      <c r="D6345" s="4" t="str">
        <f>IFERROR(__xludf.DUMMYFUNCTION("""COMPUTED_VALUE"""),"Mike Bernard")</f>
        <v>Mike Bernard</v>
      </c>
      <c r="E6345" s="4" t="str">
        <f>IFERROR(__xludf.DUMMYFUNCTION("""COMPUTED_VALUE"""),"Kentucky State University")</f>
        <v>Kentucky State University</v>
      </c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</row>
    <row r="6346">
      <c r="A6346" s="4">
        <f>IFERROR(__xludf.DUMMYFUNCTION("""COMPUTED_VALUE"""),108.0)</f>
        <v>108</v>
      </c>
      <c r="B6346" s="4">
        <f>IFERROR(__xludf.DUMMYFUNCTION("""COMPUTED_VALUE"""),108.0)</f>
        <v>108</v>
      </c>
      <c r="C6346" s="4" t="str">
        <f>IFERROR(__xludf.DUMMYFUNCTION("""COMPUTED_VALUE"""),"SEA")</f>
        <v>SEA</v>
      </c>
      <c r="D6346" s="4" t="str">
        <f>IFERROR(__xludf.DUMMYFUNCTION("""COMPUTED_VALUE"""),"James Morgan")</f>
        <v>James Morgan</v>
      </c>
      <c r="E6346" s="4" t="str">
        <f>IFERROR(__xludf.DUMMYFUNCTION("""COMPUTED_VALUE"""),"Maryland")</f>
        <v>Maryland</v>
      </c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</row>
    <row r="6347">
      <c r="A6347" s="4">
        <f>IFERROR(__xludf.DUMMYFUNCTION("""COMPUTED_VALUE"""),109.0)</f>
        <v>109</v>
      </c>
      <c r="B6347" s="4">
        <f>IFERROR(__xludf.DUMMYFUNCTION("""COMPUTED_VALUE"""),109.0)</f>
        <v>109</v>
      </c>
      <c r="C6347" s="4" t="str">
        <f>IFERROR(__xludf.DUMMYFUNCTION("""COMPUTED_VALUE"""),"CLE")</f>
        <v>CLE</v>
      </c>
      <c r="D6347" s="4" t="str">
        <f>IFERROR(__xludf.DUMMYFUNCTION("""COMPUTED_VALUE"""),"Narvis Anderson")</f>
        <v>Narvis Anderson</v>
      </c>
      <c r="E6347" s="4" t="str">
        <f>IFERROR(__xludf.DUMMYFUNCTION("""COMPUTED_VALUE"""),"Stephen F. Austin")</f>
        <v>Stephen F. Austin</v>
      </c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</row>
    <row r="6348">
      <c r="A6348" s="4">
        <f>IFERROR(__xludf.DUMMYFUNCTION("""COMPUTED_VALUE"""),110.0)</f>
        <v>110</v>
      </c>
      <c r="B6348" s="4">
        <f>IFERROR(__xludf.DUMMYFUNCTION("""COMPUTED_VALUE"""),110.0)</f>
        <v>110</v>
      </c>
      <c r="C6348" s="4" t="str">
        <f>IFERROR(__xludf.DUMMYFUNCTION("""COMPUTED_VALUE"""),"POR")</f>
        <v>POR</v>
      </c>
      <c r="D6348" s="4" t="str">
        <f>IFERROR(__xludf.DUMMYFUNCTION("""COMPUTED_VALUE"""),"Claude English")</f>
        <v>Claude English</v>
      </c>
      <c r="E6348" s="4" t="str">
        <f>IFERROR(__xludf.DUMMYFUNCTION("""COMPUTED_VALUE"""),"Rhode Island")</f>
        <v>Rhode Island</v>
      </c>
      <c r="F6348" s="4">
        <f>IFERROR(__xludf.DUMMYFUNCTION("""COMPUTED_VALUE"""),1.0)</f>
        <v>1</v>
      </c>
      <c r="G6348" s="4">
        <f>IFERROR(__xludf.DUMMYFUNCTION("""COMPUTED_VALUE"""),18.0)</f>
        <v>18</v>
      </c>
      <c r="H6348" s="4">
        <f>IFERROR(__xludf.DUMMYFUNCTION("""COMPUTED_VALUE"""),70.0)</f>
        <v>70</v>
      </c>
      <c r="I6348" s="4">
        <f>IFERROR(__xludf.DUMMYFUNCTION("""COMPUTED_VALUE"""),27.0)</f>
        <v>27</v>
      </c>
      <c r="J6348" s="4">
        <f>IFERROR(__xludf.DUMMYFUNCTION("""COMPUTED_VALUE"""),20.0)</f>
        <v>20</v>
      </c>
      <c r="K6348" s="4">
        <f>IFERROR(__xludf.DUMMYFUNCTION("""COMPUTED_VALUE"""),6.0)</f>
        <v>6</v>
      </c>
      <c r="L6348" s="4">
        <f>IFERROR(__xludf.DUMMYFUNCTION("""COMPUTED_VALUE"""),0.262)</f>
        <v>0.262</v>
      </c>
      <c r="M6348" s="4"/>
      <c r="N6348" s="4">
        <f>IFERROR(__xludf.DUMMYFUNCTION("""COMPUTED_VALUE"""),0.714)</f>
        <v>0.714</v>
      </c>
      <c r="O6348" s="4">
        <f>IFERROR(__xludf.DUMMYFUNCTION("""COMPUTED_VALUE"""),3.9)</f>
        <v>3.9</v>
      </c>
      <c r="P6348" s="4">
        <f>IFERROR(__xludf.DUMMYFUNCTION("""COMPUTED_VALUE"""),1.5)</f>
        <v>1.5</v>
      </c>
      <c r="Q6348" s="4">
        <f>IFERROR(__xludf.DUMMYFUNCTION("""COMPUTED_VALUE"""),1.1)</f>
        <v>1.1</v>
      </c>
      <c r="R6348" s="4">
        <f>IFERROR(__xludf.DUMMYFUNCTION("""COMPUTED_VALUE"""),0.3)</f>
        <v>0.3</v>
      </c>
      <c r="S6348" s="4">
        <f>IFERROR(__xludf.DUMMYFUNCTION("""COMPUTED_VALUE"""),-0.3)</f>
        <v>-0.3</v>
      </c>
      <c r="T6348" s="4">
        <f>IFERROR(__xludf.DUMMYFUNCTION("""COMPUTED_VALUE"""),-0.215)</f>
        <v>-0.215</v>
      </c>
      <c r="U6348" s="4"/>
      <c r="V6348" s="4"/>
    </row>
    <row r="6349">
      <c r="A6349" s="4">
        <f>IFERROR(__xludf.DUMMYFUNCTION("""COMPUTED_VALUE"""),111.0)</f>
        <v>111</v>
      </c>
      <c r="B6349" s="4">
        <f>IFERROR(__xludf.DUMMYFUNCTION("""COMPUTED_VALUE"""),111.0)</f>
        <v>111</v>
      </c>
      <c r="C6349" s="4" t="str">
        <f>IFERROR(__xludf.DUMMYFUNCTION("""COMPUTED_VALUE"""),"BUF")</f>
        <v>BUF</v>
      </c>
      <c r="D6349" s="4" t="str">
        <f>IFERROR(__xludf.DUMMYFUNCTION("""COMPUTED_VALUE"""),"Cliff Shegogg")</f>
        <v>Cliff Shegogg</v>
      </c>
      <c r="E6349" s="4" t="str">
        <f>IFERROR(__xludf.DUMMYFUNCTION("""COMPUTED_VALUE"""),"Colorado State")</f>
        <v>Colorado State</v>
      </c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</row>
    <row r="6350">
      <c r="A6350" s="4">
        <f>IFERROR(__xludf.DUMMYFUNCTION("""COMPUTED_VALUE"""),112.0)</f>
        <v>112</v>
      </c>
      <c r="B6350" s="4">
        <f>IFERROR(__xludf.DUMMYFUNCTION("""COMPUTED_VALUE"""),112.0)</f>
        <v>112</v>
      </c>
      <c r="C6350" s="4" t="str">
        <f>IFERROR(__xludf.DUMMYFUNCTION("""COMPUTED_VALUE"""),"PHO")</f>
        <v>PHO</v>
      </c>
      <c r="D6350" s="4" t="str">
        <f>IFERROR(__xludf.DUMMYFUNCTION("""COMPUTED_VALUE"""),"Heyward Dotson")</f>
        <v>Heyward Dotson</v>
      </c>
      <c r="E6350" s="4" t="str">
        <f>IFERROR(__xludf.DUMMYFUNCTION("""COMPUTED_VALUE"""),"Columbia University")</f>
        <v>Columbia University</v>
      </c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</row>
    <row r="6351">
      <c r="A6351" s="4">
        <f>IFERROR(__xludf.DUMMYFUNCTION("""COMPUTED_VALUE"""),113.0)</f>
        <v>113</v>
      </c>
      <c r="B6351" s="4">
        <f>IFERROR(__xludf.DUMMYFUNCTION("""COMPUTED_VALUE"""),113.0)</f>
        <v>113</v>
      </c>
      <c r="C6351" s="4" t="str">
        <f>IFERROR(__xludf.DUMMYFUNCTION("""COMPUTED_VALUE"""),"CHI")</f>
        <v>CHI</v>
      </c>
      <c r="D6351" s="4" t="str">
        <f>IFERROR(__xludf.DUMMYFUNCTION("""COMPUTED_VALUE"""),"Lou West")</f>
        <v>Lou West</v>
      </c>
      <c r="E6351" s="4" t="str">
        <f>IFERROR(__xludf.DUMMYFUNCTION("""COMPUTED_VALUE"""),"Seattle University")</f>
        <v>Seattle University</v>
      </c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</row>
    <row r="6352">
      <c r="A6352" s="4">
        <f>IFERROR(__xludf.DUMMYFUNCTION("""COMPUTED_VALUE"""),114.0)</f>
        <v>114</v>
      </c>
      <c r="B6352" s="4">
        <f>IFERROR(__xludf.DUMMYFUNCTION("""COMPUTED_VALUE"""),114.0)</f>
        <v>114</v>
      </c>
      <c r="C6352" s="4" t="str">
        <f>IFERROR(__xludf.DUMMYFUNCTION("""COMPUTED_VALUE"""),"PHI")</f>
        <v>PHI</v>
      </c>
      <c r="D6352" s="4" t="str">
        <f>IFERROR(__xludf.DUMMYFUNCTION("""COMPUTED_VALUE"""),"Carlton Poole")</f>
        <v>Carlton Poole</v>
      </c>
      <c r="E6352" s="4" t="str">
        <f>IFERROR(__xludf.DUMMYFUNCTION("""COMPUTED_VALUE"""),"Philadelphia University")</f>
        <v>Philadelphia University</v>
      </c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</row>
    <row r="6353">
      <c r="A6353" s="4">
        <f>IFERROR(__xludf.DUMMYFUNCTION("""COMPUTED_VALUE"""),115.0)</f>
        <v>115</v>
      </c>
      <c r="B6353" s="4">
        <f>IFERROR(__xludf.DUMMYFUNCTION("""COMPUTED_VALUE"""),115.0)</f>
        <v>115</v>
      </c>
      <c r="C6353" s="4" t="str">
        <f>IFERROR(__xludf.DUMMYFUNCTION("""COMPUTED_VALUE"""),"LAL")</f>
        <v>LAL</v>
      </c>
      <c r="D6353" s="4" t="str">
        <f>IFERROR(__xludf.DUMMYFUNCTION("""COMPUTED_VALUE"""),"Willie Woods")</f>
        <v>Willie Woods</v>
      </c>
      <c r="E6353" s="4" t="str">
        <f>IFERROR(__xludf.DUMMYFUNCTION("""COMPUTED_VALUE"""),"Eastern Kentucky University")</f>
        <v>Eastern Kentucky University</v>
      </c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</row>
    <row r="6354">
      <c r="A6354" s="4">
        <f>IFERROR(__xludf.DUMMYFUNCTION("""COMPUTED_VALUE"""),116.0)</f>
        <v>116</v>
      </c>
      <c r="B6354" s="4">
        <f>IFERROR(__xludf.DUMMYFUNCTION("""COMPUTED_VALUE"""),116.0)</f>
        <v>116</v>
      </c>
      <c r="C6354" s="4" t="str">
        <f>IFERROR(__xludf.DUMMYFUNCTION("""COMPUTED_VALUE"""),"ATL")</f>
        <v>ATL</v>
      </c>
      <c r="D6354" s="4" t="str">
        <f>IFERROR(__xludf.DUMMYFUNCTION("""COMPUTED_VALUE"""),"John Shinall")</f>
        <v>John Shinall</v>
      </c>
      <c r="E6354" s="4" t="str">
        <f>IFERROR(__xludf.DUMMYFUNCTION("""COMPUTED_VALUE"""),"Jackson State University")</f>
        <v>Jackson State University</v>
      </c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</row>
    <row r="6355">
      <c r="A6355" s="4">
        <f>IFERROR(__xludf.DUMMYFUNCTION("""COMPUTED_VALUE"""),117.0)</f>
        <v>117</v>
      </c>
      <c r="B6355" s="4">
        <f>IFERROR(__xludf.DUMMYFUNCTION("""COMPUTED_VALUE"""),117.0)</f>
        <v>117</v>
      </c>
      <c r="C6355" s="4" t="str">
        <f>IFERROR(__xludf.DUMMYFUNCTION("""COMPUTED_VALUE"""),"BAL")</f>
        <v>BAL</v>
      </c>
      <c r="D6355" s="4" t="str">
        <f>IFERROR(__xludf.DUMMYFUNCTION("""COMPUTED_VALUE"""),"Charlie Wallace")</f>
        <v>Charlie Wallace</v>
      </c>
      <c r="E6355" s="4" t="str">
        <f>IFERROR(__xludf.DUMMYFUNCTION("""COMPUTED_VALUE"""),"Oklahoma City University")</f>
        <v>Oklahoma City University</v>
      </c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</row>
    <row r="6356">
      <c r="A6356" s="4">
        <f>IFERROR(__xludf.DUMMYFUNCTION("""COMPUTED_VALUE"""),118.0)</f>
        <v>118</v>
      </c>
      <c r="B6356" s="4">
        <f>IFERROR(__xludf.DUMMYFUNCTION("""COMPUTED_VALUE"""),118.0)</f>
        <v>118</v>
      </c>
      <c r="C6356" s="4" t="str">
        <f>IFERROR(__xludf.DUMMYFUNCTION("""COMPUTED_VALUE"""),"MIL")</f>
        <v>MIL</v>
      </c>
      <c r="D6356" s="4" t="str">
        <f>IFERROR(__xludf.DUMMYFUNCTION("""COMPUTED_VALUE"""),"John Rinka")</f>
        <v>John Rinka</v>
      </c>
      <c r="E6356" s="4" t="str">
        <f>IFERROR(__xludf.DUMMYFUNCTION("""COMPUTED_VALUE"""),"Kenyon College")</f>
        <v>Kenyon College</v>
      </c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</row>
    <row r="6357">
      <c r="A6357" s="4">
        <f>IFERROR(__xludf.DUMMYFUNCTION("""COMPUTED_VALUE"""),119.0)</f>
        <v>119</v>
      </c>
      <c r="B6357" s="4">
        <f>IFERROR(__xludf.DUMMYFUNCTION("""COMPUTED_VALUE"""),119.0)</f>
        <v>119</v>
      </c>
      <c r="C6357" s="4" t="str">
        <f>IFERROR(__xludf.DUMMYFUNCTION("""COMPUTED_VALUE"""),"NYK")</f>
        <v>NYK</v>
      </c>
      <c r="D6357" s="4" t="str">
        <f>IFERROR(__xludf.DUMMYFUNCTION("""COMPUTED_VALUE"""),"Ray Hodge")</f>
        <v>Ray Hodge</v>
      </c>
      <c r="E6357" s="4" t="str">
        <f>IFERROR(__xludf.DUMMYFUNCTION("""COMPUTED_VALUE"""),"Wagner College")</f>
        <v>Wagner College</v>
      </c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</row>
    <row r="6358">
      <c r="A6358" s="4"/>
      <c r="B6358" s="4"/>
      <c r="C6358" s="4"/>
      <c r="D6358" s="4" t="str">
        <f>IFERROR(__xludf.DUMMYFUNCTION("""COMPUTED_VALUE"""),"Round 8")</f>
        <v>Round 8</v>
      </c>
      <c r="E6358" s="4"/>
      <c r="F6358" s="4"/>
      <c r="G6358" s="4" t="str">
        <f>IFERROR(__xludf.DUMMYFUNCTION("""COMPUTED_VALUE"""),"Totals")</f>
        <v>Totals</v>
      </c>
      <c r="H6358" s="4"/>
      <c r="I6358" s="4"/>
      <c r="J6358" s="4"/>
      <c r="K6358" s="4"/>
      <c r="L6358" s="4" t="str">
        <f>IFERROR(__xludf.DUMMYFUNCTION("""COMPUTED_VALUE"""),"Shooting")</f>
        <v>Shooting</v>
      </c>
      <c r="M6358" s="4"/>
      <c r="N6358" s="4"/>
      <c r="O6358" s="4" t="str">
        <f>IFERROR(__xludf.DUMMYFUNCTION("""COMPUTED_VALUE"""),"Per Game")</f>
        <v>Per Game</v>
      </c>
      <c r="P6358" s="4"/>
      <c r="Q6358" s="4"/>
      <c r="R6358" s="4"/>
      <c r="S6358" s="4" t="str">
        <f>IFERROR(__xludf.DUMMYFUNCTION("""COMPUTED_VALUE"""),"Advanced")</f>
        <v>Advanced</v>
      </c>
      <c r="T6358" s="4"/>
      <c r="U6358" s="4"/>
      <c r="V6358" s="4"/>
    </row>
    <row r="6359">
      <c r="A6359" s="4" t="str">
        <f>IFERROR(__xludf.DUMMYFUNCTION("""COMPUTED_VALUE"""),"Rk")</f>
        <v>Rk</v>
      </c>
      <c r="B6359" s="4" t="str">
        <f>IFERROR(__xludf.DUMMYFUNCTION("""COMPUTED_VALUE"""),"Pk")</f>
        <v>Pk</v>
      </c>
      <c r="C6359" s="4" t="str">
        <f>IFERROR(__xludf.DUMMYFUNCTION("""COMPUTED_VALUE"""),"Tm")</f>
        <v>Tm</v>
      </c>
      <c r="D6359" s="4" t="str">
        <f>IFERROR(__xludf.DUMMYFUNCTION("""COMPUTED_VALUE"""),"Player")</f>
        <v>Player</v>
      </c>
      <c r="E6359" s="4" t="str">
        <f>IFERROR(__xludf.DUMMYFUNCTION("""COMPUTED_VALUE"""),"College")</f>
        <v>College</v>
      </c>
      <c r="F6359" s="4" t="str">
        <f>IFERROR(__xludf.DUMMYFUNCTION("""COMPUTED_VALUE"""),"Yrs")</f>
        <v>Yrs</v>
      </c>
      <c r="G6359" s="4" t="str">
        <f>IFERROR(__xludf.DUMMYFUNCTION("""COMPUTED_VALUE"""),"G")</f>
        <v>G</v>
      </c>
      <c r="H6359" s="4" t="str">
        <f>IFERROR(__xludf.DUMMYFUNCTION("""COMPUTED_VALUE"""),"MP")</f>
        <v>MP</v>
      </c>
      <c r="I6359" s="4" t="str">
        <f>IFERROR(__xludf.DUMMYFUNCTION("""COMPUTED_VALUE"""),"PTS")</f>
        <v>PTS</v>
      </c>
      <c r="J6359" s="4" t="str">
        <f>IFERROR(__xludf.DUMMYFUNCTION("""COMPUTED_VALUE"""),"TRB")</f>
        <v>TRB</v>
      </c>
      <c r="K6359" s="4" t="str">
        <f>IFERROR(__xludf.DUMMYFUNCTION("""COMPUTED_VALUE"""),"AST")</f>
        <v>AST</v>
      </c>
      <c r="L6359" s="4" t="str">
        <f>IFERROR(__xludf.DUMMYFUNCTION("""COMPUTED_VALUE"""),"FG%")</f>
        <v>FG%</v>
      </c>
      <c r="M6359" s="4" t="str">
        <f>IFERROR(__xludf.DUMMYFUNCTION("""COMPUTED_VALUE"""),"3P%")</f>
        <v>3P%</v>
      </c>
      <c r="N6359" s="4" t="str">
        <f>IFERROR(__xludf.DUMMYFUNCTION("""COMPUTED_VALUE"""),"FT%")</f>
        <v>FT%</v>
      </c>
      <c r="O6359" s="4" t="str">
        <f>IFERROR(__xludf.DUMMYFUNCTION("""COMPUTED_VALUE"""),"MP")</f>
        <v>MP</v>
      </c>
      <c r="P6359" s="4" t="str">
        <f>IFERROR(__xludf.DUMMYFUNCTION("""COMPUTED_VALUE"""),"PTS")</f>
        <v>PTS</v>
      </c>
      <c r="Q6359" s="4" t="str">
        <f>IFERROR(__xludf.DUMMYFUNCTION("""COMPUTED_VALUE"""),"TRB")</f>
        <v>TRB</v>
      </c>
      <c r="R6359" s="4" t="str">
        <f>IFERROR(__xludf.DUMMYFUNCTION("""COMPUTED_VALUE"""),"AST")</f>
        <v>AST</v>
      </c>
      <c r="S6359" s="4" t="str">
        <f>IFERROR(__xludf.DUMMYFUNCTION("""COMPUTED_VALUE"""),"WS")</f>
        <v>WS</v>
      </c>
      <c r="T6359" s="4" t="str">
        <f>IFERROR(__xludf.DUMMYFUNCTION("""COMPUTED_VALUE"""),"WS/48")</f>
        <v>WS/48</v>
      </c>
      <c r="U6359" s="4" t="str">
        <f>IFERROR(__xludf.DUMMYFUNCTION("""COMPUTED_VALUE"""),"BPM")</f>
        <v>BPM</v>
      </c>
      <c r="V6359" s="4" t="str">
        <f>IFERROR(__xludf.DUMMYFUNCTION("""COMPUTED_VALUE"""),"VORP")</f>
        <v>VORP</v>
      </c>
    </row>
    <row r="6360">
      <c r="A6360" s="4">
        <f>IFERROR(__xludf.DUMMYFUNCTION("""COMPUTED_VALUE"""),120.0)</f>
        <v>120</v>
      </c>
      <c r="B6360" s="4">
        <f>IFERROR(__xludf.DUMMYFUNCTION("""COMPUTED_VALUE"""),120.0)</f>
        <v>120</v>
      </c>
      <c r="C6360" s="4" t="str">
        <f>IFERROR(__xludf.DUMMYFUNCTION("""COMPUTED_VALUE"""),"SDR")</f>
        <v>SDR</v>
      </c>
      <c r="D6360" s="4" t="str">
        <f>IFERROR(__xludf.DUMMYFUNCTION("""COMPUTED_VALUE"""),"Don Adams")</f>
        <v>Don Adams</v>
      </c>
      <c r="E6360" s="4" t="str">
        <f>IFERROR(__xludf.DUMMYFUNCTION("""COMPUTED_VALUE"""),"Northwestern")</f>
        <v>Northwestern</v>
      </c>
      <c r="F6360" s="4">
        <f>IFERROR(__xludf.DUMMYFUNCTION("""COMPUTED_VALUE"""),5.0)</f>
        <v>5</v>
      </c>
      <c r="G6360" s="4">
        <f>IFERROR(__xludf.DUMMYFUNCTION("""COMPUTED_VALUE"""),487.0)</f>
        <v>487</v>
      </c>
      <c r="H6360" s="4">
        <f>IFERROR(__xludf.DUMMYFUNCTION("""COMPUTED_VALUE"""),12407.0)</f>
        <v>12407</v>
      </c>
      <c r="I6360" s="4">
        <f>IFERROR(__xludf.DUMMYFUNCTION("""COMPUTED_VALUE"""),4236.0)</f>
        <v>4236</v>
      </c>
      <c r="J6360" s="4">
        <f>IFERROR(__xludf.DUMMYFUNCTION("""COMPUTED_VALUE"""),2732.0)</f>
        <v>2732</v>
      </c>
      <c r="K6360" s="4">
        <f>IFERROR(__xludf.DUMMYFUNCTION("""COMPUTED_VALUE"""),869.0)</f>
        <v>869</v>
      </c>
      <c r="L6360" s="4">
        <f>IFERROR(__xludf.DUMMYFUNCTION("""COMPUTED_VALUE"""),0.402)</f>
        <v>0.402</v>
      </c>
      <c r="M6360" s="4"/>
      <c r="N6360" s="4">
        <f>IFERROR(__xludf.DUMMYFUNCTION("""COMPUTED_VALUE"""),0.739)</f>
        <v>0.739</v>
      </c>
      <c r="O6360" s="4">
        <f>IFERROR(__xludf.DUMMYFUNCTION("""COMPUTED_VALUE"""),25.5)</f>
        <v>25.5</v>
      </c>
      <c r="P6360" s="4">
        <f>IFERROR(__xludf.DUMMYFUNCTION("""COMPUTED_VALUE"""),8.7)</f>
        <v>8.7</v>
      </c>
      <c r="Q6360" s="4">
        <f>IFERROR(__xludf.DUMMYFUNCTION("""COMPUTED_VALUE"""),5.6)</f>
        <v>5.6</v>
      </c>
      <c r="R6360" s="4">
        <f>IFERROR(__xludf.DUMMYFUNCTION("""COMPUTED_VALUE"""),1.8)</f>
        <v>1.8</v>
      </c>
      <c r="S6360" s="4">
        <f>IFERROR(__xludf.DUMMYFUNCTION("""COMPUTED_VALUE"""),10.6)</f>
        <v>10.6</v>
      </c>
      <c r="T6360" s="4">
        <f>IFERROR(__xludf.DUMMYFUNCTION("""COMPUTED_VALUE"""),0.041)</f>
        <v>0.041</v>
      </c>
      <c r="U6360" s="4">
        <f>IFERROR(__xludf.DUMMYFUNCTION("""COMPUTED_VALUE"""),-2.0)</f>
        <v>-2</v>
      </c>
      <c r="V6360" s="4">
        <f>IFERROR(__xludf.DUMMYFUNCTION("""COMPUTED_VALUE"""),0.0)</f>
        <v>0</v>
      </c>
    </row>
    <row r="6361">
      <c r="A6361" s="4">
        <f>IFERROR(__xludf.DUMMYFUNCTION("""COMPUTED_VALUE"""),121.0)</f>
        <v>121</v>
      </c>
      <c r="B6361" s="4">
        <f>IFERROR(__xludf.DUMMYFUNCTION("""COMPUTED_VALUE"""),121.0)</f>
        <v>121</v>
      </c>
      <c r="C6361" s="4" t="str">
        <f>IFERROR(__xludf.DUMMYFUNCTION("""COMPUTED_VALUE"""),"SFW")</f>
        <v>SFW</v>
      </c>
      <c r="D6361" s="4" t="str">
        <f>IFERROR(__xludf.DUMMYFUNCTION("""COMPUTED_VALUE"""),"Jeff Sewell")</f>
        <v>Jeff Sewell</v>
      </c>
      <c r="E6361" s="4" t="str">
        <f>IFERROR(__xludf.DUMMYFUNCTION("""COMPUTED_VALUE"""),"Marquette")</f>
        <v>Marquette</v>
      </c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</row>
    <row r="6362">
      <c r="A6362" s="4">
        <f>IFERROR(__xludf.DUMMYFUNCTION("""COMPUTED_VALUE"""),122.0)</f>
        <v>122</v>
      </c>
      <c r="B6362" s="4">
        <f>IFERROR(__xludf.DUMMYFUNCTION("""COMPUTED_VALUE"""),122.0)</f>
        <v>122</v>
      </c>
      <c r="C6362" s="4" t="str">
        <f>IFERROR(__xludf.DUMMYFUNCTION("""COMPUTED_VALUE"""),"DET")</f>
        <v>DET</v>
      </c>
      <c r="D6362" s="4" t="str">
        <f>IFERROR(__xludf.DUMMYFUNCTION("""COMPUTED_VALUE"""),"Dan Issel")</f>
        <v>Dan Issel</v>
      </c>
      <c r="E6362" s="4" t="str">
        <f>IFERROR(__xludf.DUMMYFUNCTION("""COMPUTED_VALUE"""),"Kentucky")</f>
        <v>Kentucky</v>
      </c>
      <c r="F6362" s="4">
        <f>IFERROR(__xludf.DUMMYFUNCTION("""COMPUTED_VALUE"""),9.0)</f>
        <v>9</v>
      </c>
      <c r="G6362" s="4">
        <f>IFERROR(__xludf.DUMMYFUNCTION("""COMPUTED_VALUE"""),718.0)</f>
        <v>718</v>
      </c>
      <c r="H6362" s="4">
        <f>IFERROR(__xludf.DUMMYFUNCTION("""COMPUTED_VALUE"""),22342.0)</f>
        <v>22342</v>
      </c>
      <c r="I6362" s="4">
        <f>IFERROR(__xludf.DUMMYFUNCTION("""COMPUTED_VALUE"""),14659.0)</f>
        <v>14659</v>
      </c>
      <c r="J6362" s="4">
        <f>IFERROR(__xludf.DUMMYFUNCTION("""COMPUTED_VALUE"""),5707.0)</f>
        <v>5707</v>
      </c>
      <c r="K6362" s="4">
        <f>IFERROR(__xludf.DUMMYFUNCTION("""COMPUTED_VALUE"""),1804.0)</f>
        <v>1804</v>
      </c>
      <c r="L6362" s="4">
        <f>IFERROR(__xludf.DUMMYFUNCTION("""COMPUTED_VALUE"""),0.506)</f>
        <v>0.506</v>
      </c>
      <c r="M6362" s="4"/>
      <c r="N6362" s="4">
        <f>IFERROR(__xludf.DUMMYFUNCTION("""COMPUTED_VALUE"""),0.797)</f>
        <v>0.797</v>
      </c>
      <c r="O6362" s="4">
        <f>IFERROR(__xludf.DUMMYFUNCTION("""COMPUTED_VALUE"""),31.1)</f>
        <v>31.1</v>
      </c>
      <c r="P6362" s="4">
        <f>IFERROR(__xludf.DUMMYFUNCTION("""COMPUTED_VALUE"""),20.4)</f>
        <v>20.4</v>
      </c>
      <c r="Q6362" s="4">
        <f>IFERROR(__xludf.DUMMYFUNCTION("""COMPUTED_VALUE"""),7.9)</f>
        <v>7.9</v>
      </c>
      <c r="R6362" s="4">
        <f>IFERROR(__xludf.DUMMYFUNCTION("""COMPUTED_VALUE"""),2.5)</f>
        <v>2.5</v>
      </c>
      <c r="S6362" s="4">
        <f>IFERROR(__xludf.DUMMYFUNCTION("""COMPUTED_VALUE"""),82.3)</f>
        <v>82.3</v>
      </c>
      <c r="T6362" s="4">
        <f>IFERROR(__xludf.DUMMYFUNCTION("""COMPUTED_VALUE"""),0.177)</f>
        <v>0.177</v>
      </c>
      <c r="U6362" s="4">
        <f>IFERROR(__xludf.DUMMYFUNCTION("""COMPUTED_VALUE"""),2.3)</f>
        <v>2.3</v>
      </c>
      <c r="V6362" s="4">
        <f>IFERROR(__xludf.DUMMYFUNCTION("""COMPUTED_VALUE"""),24.3)</f>
        <v>24.3</v>
      </c>
    </row>
    <row r="6363">
      <c r="A6363" s="4">
        <f>IFERROR(__xludf.DUMMYFUNCTION("""COMPUTED_VALUE"""),123.0)</f>
        <v>123</v>
      </c>
      <c r="B6363" s="4">
        <f>IFERROR(__xludf.DUMMYFUNCTION("""COMPUTED_VALUE"""),123.0)</f>
        <v>123</v>
      </c>
      <c r="C6363" s="4" t="str">
        <f>IFERROR(__xludf.DUMMYFUNCTION("""COMPUTED_VALUE"""),"BOS")</f>
        <v>BOS</v>
      </c>
      <c r="D6363" s="4" t="str">
        <f>IFERROR(__xludf.DUMMYFUNCTION("""COMPUTED_VALUE"""),"Bobby Croft")</f>
        <v>Bobby Croft</v>
      </c>
      <c r="E6363" s="4" t="str">
        <f>IFERROR(__xludf.DUMMYFUNCTION("""COMPUTED_VALUE"""),"Tennessee")</f>
        <v>Tennessee</v>
      </c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</row>
    <row r="6364">
      <c r="A6364" s="4">
        <f>IFERROR(__xludf.DUMMYFUNCTION("""COMPUTED_VALUE"""),124.0)</f>
        <v>124</v>
      </c>
      <c r="B6364" s="4">
        <f>IFERROR(__xludf.DUMMYFUNCTION("""COMPUTED_VALUE"""),124.0)</f>
        <v>124</v>
      </c>
      <c r="C6364" s="4" t="str">
        <f>IFERROR(__xludf.DUMMYFUNCTION("""COMPUTED_VALUE"""),"CIN")</f>
        <v>CIN</v>
      </c>
      <c r="D6364" s="4" t="str">
        <f>IFERROR(__xludf.DUMMYFUNCTION("""COMPUTED_VALUE"""),"Joe McBride")</f>
        <v>Joe McBride</v>
      </c>
      <c r="E6364" s="4" t="str">
        <f>IFERROR(__xludf.DUMMYFUNCTION("""COMPUTED_VALUE"""),"Augusta State University")</f>
        <v>Augusta State University</v>
      </c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</row>
    <row r="6365">
      <c r="A6365" s="4">
        <f>IFERROR(__xludf.DUMMYFUNCTION("""COMPUTED_VALUE"""),125.0)</f>
        <v>125</v>
      </c>
      <c r="B6365" s="4">
        <f>IFERROR(__xludf.DUMMYFUNCTION("""COMPUTED_VALUE"""),125.0)</f>
        <v>125</v>
      </c>
      <c r="C6365" s="4" t="str">
        <f>IFERROR(__xludf.DUMMYFUNCTION("""COMPUTED_VALUE"""),"SEA")</f>
        <v>SEA</v>
      </c>
      <c r="D6365" s="4" t="str">
        <f>IFERROR(__xludf.DUMMYFUNCTION("""COMPUTED_VALUE"""),"George Irvine")</f>
        <v>George Irvine</v>
      </c>
      <c r="E6365" s="4" t="str">
        <f>IFERROR(__xludf.DUMMYFUNCTION("""COMPUTED_VALUE"""),"Washington")</f>
        <v>Washington</v>
      </c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</row>
    <row r="6366">
      <c r="A6366" s="4">
        <f>IFERROR(__xludf.DUMMYFUNCTION("""COMPUTED_VALUE"""),126.0)</f>
        <v>126</v>
      </c>
      <c r="B6366" s="4">
        <f>IFERROR(__xludf.DUMMYFUNCTION("""COMPUTED_VALUE"""),126.0)</f>
        <v>126</v>
      </c>
      <c r="C6366" s="4" t="str">
        <f>IFERROR(__xludf.DUMMYFUNCTION("""COMPUTED_VALUE"""),"BUF")</f>
        <v>BUF</v>
      </c>
      <c r="D6366" s="4" t="str">
        <f>IFERROR(__xludf.DUMMYFUNCTION("""COMPUTED_VALUE"""),"Larry Woods")</f>
        <v>Larry Woods</v>
      </c>
      <c r="E6366" s="4" t="str">
        <f>IFERROR(__xludf.DUMMYFUNCTION("""COMPUTED_VALUE"""),"West Virginia")</f>
        <v>West Virginia</v>
      </c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</row>
    <row r="6367">
      <c r="A6367" s="4">
        <f>IFERROR(__xludf.DUMMYFUNCTION("""COMPUTED_VALUE"""),127.0)</f>
        <v>127</v>
      </c>
      <c r="B6367" s="4">
        <f>IFERROR(__xludf.DUMMYFUNCTION("""COMPUTED_VALUE"""),127.0)</f>
        <v>127</v>
      </c>
      <c r="C6367" s="4" t="str">
        <f>IFERROR(__xludf.DUMMYFUNCTION("""COMPUTED_VALUE"""),"POR")</f>
        <v>POR</v>
      </c>
      <c r="D6367" s="4" t="str">
        <f>IFERROR(__xludf.DUMMYFUNCTION("""COMPUTED_VALUE"""),"Doug Boyd")</f>
        <v>Doug Boyd</v>
      </c>
      <c r="E6367" s="4" t="str">
        <f>IFERROR(__xludf.DUMMYFUNCTION("""COMPUTED_VALUE"""),"TCU")</f>
        <v>TCU</v>
      </c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</row>
    <row r="6368">
      <c r="A6368" s="4">
        <f>IFERROR(__xludf.DUMMYFUNCTION("""COMPUTED_VALUE"""),128.0)</f>
        <v>128</v>
      </c>
      <c r="B6368" s="4">
        <f>IFERROR(__xludf.DUMMYFUNCTION("""COMPUTED_VALUE"""),128.0)</f>
        <v>128</v>
      </c>
      <c r="C6368" s="4" t="str">
        <f>IFERROR(__xludf.DUMMYFUNCTION("""COMPUTED_VALUE"""),"CLE")</f>
        <v>CLE</v>
      </c>
      <c r="D6368" s="4" t="str">
        <f>IFERROR(__xludf.DUMMYFUNCTION("""COMPUTED_VALUE"""),"Walter Robertson")</f>
        <v>Walter Robertson</v>
      </c>
      <c r="E6368" s="4" t="str">
        <f>IFERROR(__xludf.DUMMYFUNCTION("""COMPUTED_VALUE"""),"Loyola Chicago")</f>
        <v>Loyola Chicago</v>
      </c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</row>
    <row r="6369">
      <c r="A6369" s="4">
        <f>IFERROR(__xludf.DUMMYFUNCTION("""COMPUTED_VALUE"""),129.0)</f>
        <v>129</v>
      </c>
      <c r="B6369" s="4">
        <f>IFERROR(__xludf.DUMMYFUNCTION("""COMPUTED_VALUE"""),129.0)</f>
        <v>129</v>
      </c>
      <c r="C6369" s="4" t="str">
        <f>IFERROR(__xludf.DUMMYFUNCTION("""COMPUTED_VALUE"""),"PHO")</f>
        <v>PHO</v>
      </c>
      <c r="D6369" s="4" t="str">
        <f>IFERROR(__xludf.DUMMYFUNCTION("""COMPUTED_VALUE"""),"Steve Patterson")</f>
        <v>Steve Patterson</v>
      </c>
      <c r="E6369" s="4" t="str">
        <f>IFERROR(__xludf.DUMMYFUNCTION("""COMPUTED_VALUE"""),"UCLA")</f>
        <v>UCLA</v>
      </c>
      <c r="F6369" s="4">
        <f>IFERROR(__xludf.DUMMYFUNCTION("""COMPUTED_VALUE"""),5.0)</f>
        <v>5</v>
      </c>
      <c r="G6369" s="4">
        <f>IFERROR(__xludf.DUMMYFUNCTION("""COMPUTED_VALUE"""),350.0)</f>
        <v>350</v>
      </c>
      <c r="H6369" s="4">
        <f>IFERROR(__xludf.DUMMYFUNCTION("""COMPUTED_VALUE"""),5582.0)</f>
        <v>5582</v>
      </c>
      <c r="I6369" s="4">
        <f>IFERROR(__xludf.DUMMYFUNCTION("""COMPUTED_VALUE"""),1552.0)</f>
        <v>1552</v>
      </c>
      <c r="J6369" s="4">
        <f>IFERROR(__xludf.DUMMYFUNCTION("""COMPUTED_VALUE"""),1632.0)</f>
        <v>1632</v>
      </c>
      <c r="K6369" s="4">
        <f>IFERROR(__xludf.DUMMYFUNCTION("""COMPUTED_VALUE"""),443.0)</f>
        <v>443</v>
      </c>
      <c r="L6369" s="4">
        <f>IFERROR(__xludf.DUMMYFUNCTION("""COMPUTED_VALUE"""),0.403)</f>
        <v>0.403</v>
      </c>
      <c r="M6369" s="4"/>
      <c r="N6369" s="4">
        <f>IFERROR(__xludf.DUMMYFUNCTION("""COMPUTED_VALUE"""),0.594)</f>
        <v>0.594</v>
      </c>
      <c r="O6369" s="4">
        <f>IFERROR(__xludf.DUMMYFUNCTION("""COMPUTED_VALUE"""),15.9)</f>
        <v>15.9</v>
      </c>
      <c r="P6369" s="4">
        <f>IFERROR(__xludf.DUMMYFUNCTION("""COMPUTED_VALUE"""),4.4)</f>
        <v>4.4</v>
      </c>
      <c r="Q6369" s="4">
        <f>IFERROR(__xludf.DUMMYFUNCTION("""COMPUTED_VALUE"""),4.7)</f>
        <v>4.7</v>
      </c>
      <c r="R6369" s="4">
        <f>IFERROR(__xludf.DUMMYFUNCTION("""COMPUTED_VALUE"""),1.3)</f>
        <v>1.3</v>
      </c>
      <c r="S6369" s="4">
        <f>IFERROR(__xludf.DUMMYFUNCTION("""COMPUTED_VALUE"""),4.8)</f>
        <v>4.8</v>
      </c>
      <c r="T6369" s="4">
        <f>IFERROR(__xludf.DUMMYFUNCTION("""COMPUTED_VALUE"""),0.041)</f>
        <v>0.041</v>
      </c>
      <c r="U6369" s="4">
        <f>IFERROR(__xludf.DUMMYFUNCTION("""COMPUTED_VALUE"""),-1.2)</f>
        <v>-1.2</v>
      </c>
      <c r="V6369" s="4">
        <f>IFERROR(__xludf.DUMMYFUNCTION("""COMPUTED_VALUE"""),0.9)</f>
        <v>0.9</v>
      </c>
    </row>
    <row r="6370">
      <c r="A6370" s="4">
        <f>IFERROR(__xludf.DUMMYFUNCTION("""COMPUTED_VALUE"""),130.0)</f>
        <v>130</v>
      </c>
      <c r="B6370" s="4">
        <f>IFERROR(__xludf.DUMMYFUNCTION("""COMPUTED_VALUE"""),130.0)</f>
        <v>130</v>
      </c>
      <c r="C6370" s="4" t="str">
        <f>IFERROR(__xludf.DUMMYFUNCTION("""COMPUTED_VALUE"""),"CHI")</f>
        <v>CHI</v>
      </c>
      <c r="D6370" s="4" t="str">
        <f>IFERROR(__xludf.DUMMYFUNCTION("""COMPUTED_VALUE"""),"Mike Casey")</f>
        <v>Mike Casey</v>
      </c>
      <c r="E6370" s="4" t="str">
        <f>IFERROR(__xludf.DUMMYFUNCTION("""COMPUTED_VALUE"""),"Kentucky")</f>
        <v>Kentucky</v>
      </c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</row>
    <row r="6371">
      <c r="A6371" s="4">
        <f>IFERROR(__xludf.DUMMYFUNCTION("""COMPUTED_VALUE"""),131.0)</f>
        <v>131</v>
      </c>
      <c r="B6371" s="4">
        <f>IFERROR(__xludf.DUMMYFUNCTION("""COMPUTED_VALUE"""),131.0)</f>
        <v>131</v>
      </c>
      <c r="C6371" s="4" t="str">
        <f>IFERROR(__xludf.DUMMYFUNCTION("""COMPUTED_VALUE"""),"PHI")</f>
        <v>PHI</v>
      </c>
      <c r="D6371" s="4" t="str">
        <f>IFERROR(__xludf.DUMMYFUNCTION("""COMPUTED_VALUE"""),"Fran O'Hanlon")</f>
        <v>Fran O'Hanlon</v>
      </c>
      <c r="E6371" s="4" t="str">
        <f>IFERROR(__xludf.DUMMYFUNCTION("""COMPUTED_VALUE"""),"Villanova")</f>
        <v>Villanova</v>
      </c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</row>
    <row r="6372">
      <c r="A6372" s="4">
        <f>IFERROR(__xludf.DUMMYFUNCTION("""COMPUTED_VALUE"""),132.0)</f>
        <v>132</v>
      </c>
      <c r="B6372" s="4">
        <f>IFERROR(__xludf.DUMMYFUNCTION("""COMPUTED_VALUE"""),132.0)</f>
        <v>132</v>
      </c>
      <c r="C6372" s="4" t="str">
        <f>IFERROR(__xludf.DUMMYFUNCTION("""COMPUTED_VALUE"""),"LAL")</f>
        <v>LAL</v>
      </c>
      <c r="D6372" s="4" t="str">
        <f>IFERROR(__xludf.DUMMYFUNCTION("""COMPUTED_VALUE"""),"Rick Mount")</f>
        <v>Rick Mount</v>
      </c>
      <c r="E6372" s="4" t="str">
        <f>IFERROR(__xludf.DUMMYFUNCTION("""COMPUTED_VALUE"""),"Purdue")</f>
        <v>Purdue</v>
      </c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</row>
    <row r="6373">
      <c r="A6373" s="4">
        <f>IFERROR(__xludf.DUMMYFUNCTION("""COMPUTED_VALUE"""),133.0)</f>
        <v>133</v>
      </c>
      <c r="B6373" s="4">
        <f>IFERROR(__xludf.DUMMYFUNCTION("""COMPUTED_VALUE"""),133.0)</f>
        <v>133</v>
      </c>
      <c r="C6373" s="4" t="str">
        <f>IFERROR(__xludf.DUMMYFUNCTION("""COMPUTED_VALUE"""),"ATL")</f>
        <v>ATL</v>
      </c>
      <c r="D6373" s="4" t="str">
        <f>IFERROR(__xludf.DUMMYFUNCTION("""COMPUTED_VALUE"""),"Herb White")</f>
        <v>Herb White</v>
      </c>
      <c r="E6373" s="4" t="str">
        <f>IFERROR(__xludf.DUMMYFUNCTION("""COMPUTED_VALUE"""),"Georgia")</f>
        <v>Georgia</v>
      </c>
      <c r="F6373" s="4">
        <f>IFERROR(__xludf.DUMMYFUNCTION("""COMPUTED_VALUE"""),1.0)</f>
        <v>1</v>
      </c>
      <c r="G6373" s="4">
        <f>IFERROR(__xludf.DUMMYFUNCTION("""COMPUTED_VALUE"""),38.0)</f>
        <v>38</v>
      </c>
      <c r="H6373" s="4">
        <f>IFERROR(__xludf.DUMMYFUNCTION("""COMPUTED_VALUE"""),315.0)</f>
        <v>315</v>
      </c>
      <c r="I6373" s="4">
        <f>IFERROR(__xludf.DUMMYFUNCTION("""COMPUTED_VALUE"""),90.0)</f>
        <v>90</v>
      </c>
      <c r="J6373" s="4">
        <f>IFERROR(__xludf.DUMMYFUNCTION("""COMPUTED_VALUE"""),48.0)</f>
        <v>48</v>
      </c>
      <c r="K6373" s="4">
        <f>IFERROR(__xludf.DUMMYFUNCTION("""COMPUTED_VALUE"""),47.0)</f>
        <v>47</v>
      </c>
      <c r="L6373" s="4">
        <f>IFERROR(__xludf.DUMMYFUNCTION("""COMPUTED_VALUE"""),0.405)</f>
        <v>0.405</v>
      </c>
      <c r="M6373" s="4"/>
      <c r="N6373" s="4">
        <f>IFERROR(__xludf.DUMMYFUNCTION("""COMPUTED_VALUE"""),0.564)</f>
        <v>0.564</v>
      </c>
      <c r="O6373" s="4">
        <f>IFERROR(__xludf.DUMMYFUNCTION("""COMPUTED_VALUE"""),8.3)</f>
        <v>8.3</v>
      </c>
      <c r="P6373" s="4">
        <f>IFERROR(__xludf.DUMMYFUNCTION("""COMPUTED_VALUE"""),2.4)</f>
        <v>2.4</v>
      </c>
      <c r="Q6373" s="4">
        <f>IFERROR(__xludf.DUMMYFUNCTION("""COMPUTED_VALUE"""),1.3)</f>
        <v>1.3</v>
      </c>
      <c r="R6373" s="4">
        <f>IFERROR(__xludf.DUMMYFUNCTION("""COMPUTED_VALUE"""),1.2)</f>
        <v>1.2</v>
      </c>
      <c r="S6373" s="4">
        <f>IFERROR(__xludf.DUMMYFUNCTION("""COMPUTED_VALUE"""),0.1)</f>
        <v>0.1</v>
      </c>
      <c r="T6373" s="4">
        <f>IFERROR(__xludf.DUMMYFUNCTION("""COMPUTED_VALUE"""),0.013)</f>
        <v>0.013</v>
      </c>
      <c r="U6373" s="4"/>
      <c r="V6373" s="4"/>
    </row>
    <row r="6374">
      <c r="A6374" s="4">
        <f>IFERROR(__xludf.DUMMYFUNCTION("""COMPUTED_VALUE"""),134.0)</f>
        <v>134</v>
      </c>
      <c r="B6374" s="4">
        <f>IFERROR(__xludf.DUMMYFUNCTION("""COMPUTED_VALUE"""),134.0)</f>
        <v>134</v>
      </c>
      <c r="C6374" s="4" t="str">
        <f>IFERROR(__xludf.DUMMYFUNCTION("""COMPUTED_VALUE"""),"BAL")</f>
        <v>BAL</v>
      </c>
      <c r="D6374" s="4" t="str">
        <f>IFERROR(__xludf.DUMMYFUNCTION("""COMPUTED_VALUE"""),"Tom Dykstra")</f>
        <v>Tom Dykstra</v>
      </c>
      <c r="E6374" s="4" t="str">
        <f>IFERROR(__xludf.DUMMYFUNCTION("""COMPUTED_VALUE"""),"Wheaton College")</f>
        <v>Wheaton College</v>
      </c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</row>
    <row r="6375">
      <c r="A6375" s="4">
        <f>IFERROR(__xludf.DUMMYFUNCTION("""COMPUTED_VALUE"""),135.0)</f>
        <v>135</v>
      </c>
      <c r="B6375" s="4">
        <f>IFERROR(__xludf.DUMMYFUNCTION("""COMPUTED_VALUE"""),135.0)</f>
        <v>135</v>
      </c>
      <c r="C6375" s="4" t="str">
        <f>IFERROR(__xludf.DUMMYFUNCTION("""COMPUTED_VALUE"""),"MIL")</f>
        <v>MIL</v>
      </c>
      <c r="D6375" s="4" t="str">
        <f>IFERROR(__xludf.DUMMYFUNCTION("""COMPUTED_VALUE"""),"Jim Sarno")</f>
        <v>Jim Sarno</v>
      </c>
      <c r="E6375" s="4" t="str">
        <f>IFERROR(__xludf.DUMMYFUNCTION("""COMPUTED_VALUE"""),"Northwestern")</f>
        <v>Northwestern</v>
      </c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</row>
    <row r="6376">
      <c r="A6376" s="4">
        <f>IFERROR(__xludf.DUMMYFUNCTION("""COMPUTED_VALUE"""),136.0)</f>
        <v>136</v>
      </c>
      <c r="B6376" s="4">
        <f>IFERROR(__xludf.DUMMYFUNCTION("""COMPUTED_VALUE"""),136.0)</f>
        <v>136</v>
      </c>
      <c r="C6376" s="4" t="str">
        <f>IFERROR(__xludf.DUMMYFUNCTION("""COMPUTED_VALUE"""),"NYK")</f>
        <v>NYK</v>
      </c>
      <c r="D6376" s="4" t="str">
        <f>IFERROR(__xludf.DUMMYFUNCTION("""COMPUTED_VALUE"""),"Greg Fillmore")</f>
        <v>Greg Fillmore</v>
      </c>
      <c r="E6376" s="4" t="str">
        <f>IFERROR(__xludf.DUMMYFUNCTION("""COMPUTED_VALUE"""),"Cheyney (PA)")</f>
        <v>Cheyney (PA)</v>
      </c>
      <c r="F6376" s="4">
        <f>IFERROR(__xludf.DUMMYFUNCTION("""COMPUTED_VALUE"""),2.0)</f>
        <v>2</v>
      </c>
      <c r="G6376" s="4">
        <f>IFERROR(__xludf.DUMMYFUNCTION("""COMPUTED_VALUE"""),49.0)</f>
        <v>49</v>
      </c>
      <c r="H6376" s="4">
        <f>IFERROR(__xludf.DUMMYFUNCTION("""COMPUTED_VALUE"""),338.0)</f>
        <v>338</v>
      </c>
      <c r="I6376" s="4">
        <f>IFERROR(__xludf.DUMMYFUNCTION("""COMPUTED_VALUE"""),118.0)</f>
        <v>118</v>
      </c>
      <c r="J6376" s="4">
        <f>IFERROR(__xludf.DUMMYFUNCTION("""COMPUTED_VALUE"""),108.0)</f>
        <v>108</v>
      </c>
      <c r="K6376" s="4">
        <f>IFERROR(__xludf.DUMMYFUNCTION("""COMPUTED_VALUE"""),20.0)</f>
        <v>20</v>
      </c>
      <c r="L6376" s="4">
        <f>IFERROR(__xludf.DUMMYFUNCTION("""COMPUTED_VALUE"""),0.403)</f>
        <v>0.403</v>
      </c>
      <c r="M6376" s="4"/>
      <c r="N6376" s="4">
        <f>IFERROR(__xludf.DUMMYFUNCTION("""COMPUTED_VALUE"""),0.467)</f>
        <v>0.467</v>
      </c>
      <c r="O6376" s="4">
        <f>IFERROR(__xludf.DUMMYFUNCTION("""COMPUTED_VALUE"""),6.9)</f>
        <v>6.9</v>
      </c>
      <c r="P6376" s="4">
        <f>IFERROR(__xludf.DUMMYFUNCTION("""COMPUTED_VALUE"""),2.4)</f>
        <v>2.4</v>
      </c>
      <c r="Q6376" s="4">
        <f>IFERROR(__xludf.DUMMYFUNCTION("""COMPUTED_VALUE"""),2.2)</f>
        <v>2.2</v>
      </c>
      <c r="R6376" s="4">
        <f>IFERROR(__xludf.DUMMYFUNCTION("""COMPUTED_VALUE"""),0.4)</f>
        <v>0.4</v>
      </c>
      <c r="S6376" s="4">
        <f>IFERROR(__xludf.DUMMYFUNCTION("""COMPUTED_VALUE"""),0.3)</f>
        <v>0.3</v>
      </c>
      <c r="T6376" s="4">
        <f>IFERROR(__xludf.DUMMYFUNCTION("""COMPUTED_VALUE"""),0.044)</f>
        <v>0.044</v>
      </c>
      <c r="U6376" s="4"/>
      <c r="V6376" s="4"/>
    </row>
    <row r="6377">
      <c r="A6377" s="4"/>
      <c r="B6377" s="4"/>
      <c r="C6377" s="4"/>
      <c r="D6377" s="4" t="str">
        <f>IFERROR(__xludf.DUMMYFUNCTION("""COMPUTED_VALUE"""),"Round 9")</f>
        <v>Round 9</v>
      </c>
      <c r="E6377" s="4"/>
      <c r="F6377" s="4"/>
      <c r="G6377" s="4" t="str">
        <f>IFERROR(__xludf.DUMMYFUNCTION("""COMPUTED_VALUE"""),"Totals")</f>
        <v>Totals</v>
      </c>
      <c r="H6377" s="4"/>
      <c r="I6377" s="4"/>
      <c r="J6377" s="4"/>
      <c r="K6377" s="4"/>
      <c r="L6377" s="4" t="str">
        <f>IFERROR(__xludf.DUMMYFUNCTION("""COMPUTED_VALUE"""),"Shooting")</f>
        <v>Shooting</v>
      </c>
      <c r="M6377" s="4"/>
      <c r="N6377" s="4"/>
      <c r="O6377" s="4" t="str">
        <f>IFERROR(__xludf.DUMMYFUNCTION("""COMPUTED_VALUE"""),"Per Game")</f>
        <v>Per Game</v>
      </c>
      <c r="P6377" s="4"/>
      <c r="Q6377" s="4"/>
      <c r="R6377" s="4"/>
      <c r="S6377" s="4" t="str">
        <f>IFERROR(__xludf.DUMMYFUNCTION("""COMPUTED_VALUE"""),"Advanced")</f>
        <v>Advanced</v>
      </c>
      <c r="T6377" s="4"/>
      <c r="U6377" s="4"/>
      <c r="V6377" s="4"/>
    </row>
    <row r="6378">
      <c r="A6378" s="4" t="str">
        <f>IFERROR(__xludf.DUMMYFUNCTION("""COMPUTED_VALUE"""),"Rk")</f>
        <v>Rk</v>
      </c>
      <c r="B6378" s="4" t="str">
        <f>IFERROR(__xludf.DUMMYFUNCTION("""COMPUTED_VALUE"""),"Pk")</f>
        <v>Pk</v>
      </c>
      <c r="C6378" s="4" t="str">
        <f>IFERROR(__xludf.DUMMYFUNCTION("""COMPUTED_VALUE"""),"Tm")</f>
        <v>Tm</v>
      </c>
      <c r="D6378" s="4" t="str">
        <f>IFERROR(__xludf.DUMMYFUNCTION("""COMPUTED_VALUE"""),"Player")</f>
        <v>Player</v>
      </c>
      <c r="E6378" s="4" t="str">
        <f>IFERROR(__xludf.DUMMYFUNCTION("""COMPUTED_VALUE"""),"College")</f>
        <v>College</v>
      </c>
      <c r="F6378" s="4" t="str">
        <f>IFERROR(__xludf.DUMMYFUNCTION("""COMPUTED_VALUE"""),"Yrs")</f>
        <v>Yrs</v>
      </c>
      <c r="G6378" s="4" t="str">
        <f>IFERROR(__xludf.DUMMYFUNCTION("""COMPUTED_VALUE"""),"G")</f>
        <v>G</v>
      </c>
      <c r="H6378" s="4" t="str">
        <f>IFERROR(__xludf.DUMMYFUNCTION("""COMPUTED_VALUE"""),"MP")</f>
        <v>MP</v>
      </c>
      <c r="I6378" s="4" t="str">
        <f>IFERROR(__xludf.DUMMYFUNCTION("""COMPUTED_VALUE"""),"PTS")</f>
        <v>PTS</v>
      </c>
      <c r="J6378" s="4" t="str">
        <f>IFERROR(__xludf.DUMMYFUNCTION("""COMPUTED_VALUE"""),"TRB")</f>
        <v>TRB</v>
      </c>
      <c r="K6378" s="4" t="str">
        <f>IFERROR(__xludf.DUMMYFUNCTION("""COMPUTED_VALUE"""),"AST")</f>
        <v>AST</v>
      </c>
      <c r="L6378" s="4" t="str">
        <f>IFERROR(__xludf.DUMMYFUNCTION("""COMPUTED_VALUE"""),"FG%")</f>
        <v>FG%</v>
      </c>
      <c r="M6378" s="4" t="str">
        <f>IFERROR(__xludf.DUMMYFUNCTION("""COMPUTED_VALUE"""),"3P%")</f>
        <v>3P%</v>
      </c>
      <c r="N6378" s="4" t="str">
        <f>IFERROR(__xludf.DUMMYFUNCTION("""COMPUTED_VALUE"""),"FT%")</f>
        <v>FT%</v>
      </c>
      <c r="O6378" s="4" t="str">
        <f>IFERROR(__xludf.DUMMYFUNCTION("""COMPUTED_VALUE"""),"MP")</f>
        <v>MP</v>
      </c>
      <c r="P6378" s="4" t="str">
        <f>IFERROR(__xludf.DUMMYFUNCTION("""COMPUTED_VALUE"""),"PTS")</f>
        <v>PTS</v>
      </c>
      <c r="Q6378" s="4" t="str">
        <f>IFERROR(__xludf.DUMMYFUNCTION("""COMPUTED_VALUE"""),"TRB")</f>
        <v>TRB</v>
      </c>
      <c r="R6378" s="4" t="str">
        <f>IFERROR(__xludf.DUMMYFUNCTION("""COMPUTED_VALUE"""),"AST")</f>
        <v>AST</v>
      </c>
      <c r="S6378" s="4" t="str">
        <f>IFERROR(__xludf.DUMMYFUNCTION("""COMPUTED_VALUE"""),"WS")</f>
        <v>WS</v>
      </c>
      <c r="T6378" s="4" t="str">
        <f>IFERROR(__xludf.DUMMYFUNCTION("""COMPUTED_VALUE"""),"WS/48")</f>
        <v>WS/48</v>
      </c>
      <c r="U6378" s="4" t="str">
        <f>IFERROR(__xludf.DUMMYFUNCTION("""COMPUTED_VALUE"""),"BPM")</f>
        <v>BPM</v>
      </c>
      <c r="V6378" s="4" t="str">
        <f>IFERROR(__xludf.DUMMYFUNCTION("""COMPUTED_VALUE"""),"VORP")</f>
        <v>VORP</v>
      </c>
    </row>
    <row r="6379">
      <c r="A6379" s="4">
        <f>IFERROR(__xludf.DUMMYFUNCTION("""COMPUTED_VALUE"""),137.0)</f>
        <v>137</v>
      </c>
      <c r="B6379" s="4">
        <f>IFERROR(__xludf.DUMMYFUNCTION("""COMPUTED_VALUE"""),137.0)</f>
        <v>137</v>
      </c>
      <c r="C6379" s="4" t="str">
        <f>IFERROR(__xludf.DUMMYFUNCTION("""COMPUTED_VALUE"""),"SDR")</f>
        <v>SDR</v>
      </c>
      <c r="D6379" s="4" t="str">
        <f>IFERROR(__xludf.DUMMYFUNCTION("""COMPUTED_VALUE"""),"Jim Gottschall")</f>
        <v>Jim Gottschall</v>
      </c>
      <c r="E6379" s="4" t="str">
        <f>IFERROR(__xludf.DUMMYFUNCTION("""COMPUTED_VALUE"""),"Dayton")</f>
        <v>Dayton</v>
      </c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</row>
    <row r="6380">
      <c r="A6380" s="4">
        <f>IFERROR(__xludf.DUMMYFUNCTION("""COMPUTED_VALUE"""),138.0)</f>
        <v>138</v>
      </c>
      <c r="B6380" s="4">
        <f>IFERROR(__xludf.DUMMYFUNCTION("""COMPUTED_VALUE"""),138.0)</f>
        <v>138</v>
      </c>
      <c r="C6380" s="4" t="str">
        <f>IFERROR(__xludf.DUMMYFUNCTION("""COMPUTED_VALUE"""),"SFW")</f>
        <v>SFW</v>
      </c>
      <c r="D6380" s="4" t="str">
        <f>IFERROR(__xludf.DUMMYFUNCTION("""COMPUTED_VALUE"""),"Lou Small")</f>
        <v>Lou Small</v>
      </c>
      <c r="E6380" s="4" t="str">
        <f>IFERROR(__xludf.DUMMYFUNCTION("""COMPUTED_VALUE"""),"UNLV")</f>
        <v>UNLV</v>
      </c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</row>
    <row r="6381">
      <c r="A6381" s="4">
        <f>IFERROR(__xludf.DUMMYFUNCTION("""COMPUTED_VALUE"""),139.0)</f>
        <v>139</v>
      </c>
      <c r="B6381" s="4">
        <f>IFERROR(__xludf.DUMMYFUNCTION("""COMPUTED_VALUE"""),139.0)</f>
        <v>139</v>
      </c>
      <c r="C6381" s="4" t="str">
        <f>IFERROR(__xludf.DUMMYFUNCTION("""COMPUTED_VALUE"""),"DET")</f>
        <v>DET</v>
      </c>
      <c r="D6381" s="4" t="str">
        <f>IFERROR(__xludf.DUMMYFUNCTION("""COMPUTED_VALUE"""),"Alex Winn")</f>
        <v>Alex Winn</v>
      </c>
      <c r="E6381" s="4" t="str">
        <f>IFERROR(__xludf.DUMMYFUNCTION("""COMPUTED_VALUE"""),"Dartmouth College")</f>
        <v>Dartmouth College</v>
      </c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</row>
    <row r="6382">
      <c r="A6382" s="4">
        <f>IFERROR(__xludf.DUMMYFUNCTION("""COMPUTED_VALUE"""),140.0)</f>
        <v>140</v>
      </c>
      <c r="B6382" s="4">
        <f>IFERROR(__xludf.DUMMYFUNCTION("""COMPUTED_VALUE"""),140.0)</f>
        <v>140</v>
      </c>
      <c r="C6382" s="4" t="str">
        <f>IFERROR(__xludf.DUMMYFUNCTION("""COMPUTED_VALUE"""),"BOS")</f>
        <v>BOS</v>
      </c>
      <c r="D6382" s="4" t="str">
        <f>IFERROR(__xludf.DUMMYFUNCTION("""COMPUTED_VALUE"""),"Tom Little")</f>
        <v>Tom Little</v>
      </c>
      <c r="E6382" s="4" t="str">
        <f>IFERROR(__xludf.DUMMYFUNCTION("""COMPUTED_VALUE"""),"Seattle University")</f>
        <v>Seattle University</v>
      </c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</row>
    <row r="6383">
      <c r="A6383" s="4">
        <f>IFERROR(__xludf.DUMMYFUNCTION("""COMPUTED_VALUE"""),141.0)</f>
        <v>141</v>
      </c>
      <c r="B6383" s="4">
        <f>IFERROR(__xludf.DUMMYFUNCTION("""COMPUTED_VALUE"""),141.0)</f>
        <v>141</v>
      </c>
      <c r="C6383" s="4" t="str">
        <f>IFERROR(__xludf.DUMMYFUNCTION("""COMPUTED_VALUE"""),"CIN")</f>
        <v>CIN</v>
      </c>
      <c r="D6383" s="4" t="str">
        <f>IFERROR(__xludf.DUMMYFUNCTION("""COMPUTED_VALUE"""),"Bob Mabry")</f>
        <v>Bob Mabry</v>
      </c>
      <c r="E6383" s="4" t="str">
        <f>IFERROR(__xludf.DUMMYFUNCTION("""COMPUTED_VALUE"""),"University of Rio Grande")</f>
        <v>University of Rio Grande</v>
      </c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</row>
    <row r="6384">
      <c r="A6384" s="4">
        <f>IFERROR(__xludf.DUMMYFUNCTION("""COMPUTED_VALUE"""),142.0)</f>
        <v>142</v>
      </c>
      <c r="B6384" s="4">
        <f>IFERROR(__xludf.DUMMYFUNCTION("""COMPUTED_VALUE"""),142.0)</f>
        <v>142</v>
      </c>
      <c r="C6384" s="4" t="str">
        <f>IFERROR(__xludf.DUMMYFUNCTION("""COMPUTED_VALUE"""),"SEA")</f>
        <v>SEA</v>
      </c>
      <c r="D6384" s="4" t="str">
        <f>IFERROR(__xludf.DUMMYFUNCTION("""COMPUTED_VALUE"""),"Claude Virden")</f>
        <v>Claude Virden</v>
      </c>
      <c r="E6384" s="4" t="str">
        <f>IFERROR(__xludf.DUMMYFUNCTION("""COMPUTED_VALUE"""),"Murray State")</f>
        <v>Murray State</v>
      </c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</row>
    <row r="6385">
      <c r="A6385" s="4">
        <f>IFERROR(__xludf.DUMMYFUNCTION("""COMPUTED_VALUE"""),143.0)</f>
        <v>143</v>
      </c>
      <c r="B6385" s="4">
        <f>IFERROR(__xludf.DUMMYFUNCTION("""COMPUTED_VALUE"""),143.0)</f>
        <v>143</v>
      </c>
      <c r="C6385" s="4" t="str">
        <f>IFERROR(__xludf.DUMMYFUNCTION("""COMPUTED_VALUE"""),"CLE")</f>
        <v>CLE</v>
      </c>
      <c r="D6385" s="4" t="str">
        <f>IFERROR(__xludf.DUMMYFUNCTION("""COMPUTED_VALUE"""),"Tom Lagodich")</f>
        <v>Tom Lagodich</v>
      </c>
      <c r="E6385" s="4" t="str">
        <f>IFERROR(__xludf.DUMMYFUNCTION("""COMPUTED_VALUE"""),"Kent State University")</f>
        <v>Kent State University</v>
      </c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</row>
    <row r="6386">
      <c r="A6386" s="4">
        <f>IFERROR(__xludf.DUMMYFUNCTION("""COMPUTED_VALUE"""),144.0)</f>
        <v>144</v>
      </c>
      <c r="B6386" s="4">
        <f>IFERROR(__xludf.DUMMYFUNCTION("""COMPUTED_VALUE"""),144.0)</f>
        <v>144</v>
      </c>
      <c r="C6386" s="4" t="str">
        <f>IFERROR(__xludf.DUMMYFUNCTION("""COMPUTED_VALUE"""),"POR")</f>
        <v>POR</v>
      </c>
      <c r="D6386" s="4" t="str">
        <f>IFERROR(__xludf.DUMMYFUNCTION("""COMPUTED_VALUE"""),"Billy Gaskins")</f>
        <v>Billy Gaskins</v>
      </c>
      <c r="E6386" s="4" t="str">
        <f>IFERROR(__xludf.DUMMYFUNCTION("""COMPUTED_VALUE"""),"Oregon")</f>
        <v>Oregon</v>
      </c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</row>
    <row r="6387">
      <c r="A6387" s="4">
        <f>IFERROR(__xludf.DUMMYFUNCTION("""COMPUTED_VALUE"""),145.0)</f>
        <v>145</v>
      </c>
      <c r="B6387" s="4">
        <f>IFERROR(__xludf.DUMMYFUNCTION("""COMPUTED_VALUE"""),145.0)</f>
        <v>145</v>
      </c>
      <c r="C6387" s="4" t="str">
        <f>IFERROR(__xludf.DUMMYFUNCTION("""COMPUTED_VALUE"""),"BUF")</f>
        <v>BUF</v>
      </c>
      <c r="D6387" s="4" t="str">
        <f>IFERROR(__xludf.DUMMYFUNCTION("""COMPUTED_VALUE"""),"Larry Duckworth")</f>
        <v>Larry Duckworth</v>
      </c>
      <c r="E6387" s="4" t="str">
        <f>IFERROR(__xludf.DUMMYFUNCTION("""COMPUTED_VALUE"""),"Henderson State University")</f>
        <v>Henderson State University</v>
      </c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</row>
    <row r="6388">
      <c r="A6388" s="4">
        <f>IFERROR(__xludf.DUMMYFUNCTION("""COMPUTED_VALUE"""),146.0)</f>
        <v>146</v>
      </c>
      <c r="B6388" s="4">
        <f>IFERROR(__xludf.DUMMYFUNCTION("""COMPUTED_VALUE"""),146.0)</f>
        <v>146</v>
      </c>
      <c r="C6388" s="4" t="str">
        <f>IFERROR(__xludf.DUMMYFUNCTION("""COMPUTED_VALUE"""),"PHO")</f>
        <v>PHO</v>
      </c>
      <c r="D6388" s="4" t="str">
        <f>IFERROR(__xludf.DUMMYFUNCTION("""COMPUTED_VALUE"""),"Carl Ashley")</f>
        <v>Carl Ashley</v>
      </c>
      <c r="E6388" s="4" t="str">
        <f>IFERROR(__xludf.DUMMYFUNCTION("""COMPUTED_VALUE"""),"Wyoming")</f>
        <v>Wyoming</v>
      </c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</row>
    <row r="6389">
      <c r="A6389" s="4">
        <f>IFERROR(__xludf.DUMMYFUNCTION("""COMPUTED_VALUE"""),147.0)</f>
        <v>147</v>
      </c>
      <c r="B6389" s="4">
        <f>IFERROR(__xludf.DUMMYFUNCTION("""COMPUTED_VALUE"""),147.0)</f>
        <v>147</v>
      </c>
      <c r="C6389" s="4" t="str">
        <f>IFERROR(__xludf.DUMMYFUNCTION("""COMPUTED_VALUE"""),"CHI")</f>
        <v>CHI</v>
      </c>
      <c r="D6389" s="4" t="str">
        <f>IFERROR(__xludf.DUMMYFUNCTION("""COMPUTED_VALUE"""),"Glen Johnson")</f>
        <v>Glen Johnson</v>
      </c>
      <c r="E6389" s="4" t="str">
        <f>IFERROR(__xludf.DUMMYFUNCTION("""COMPUTED_VALUE"""),"Jackson State University")</f>
        <v>Jackson State University</v>
      </c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</row>
    <row r="6390">
      <c r="A6390" s="4">
        <f>IFERROR(__xludf.DUMMYFUNCTION("""COMPUTED_VALUE"""),148.0)</f>
        <v>148</v>
      </c>
      <c r="B6390" s="4">
        <f>IFERROR(__xludf.DUMMYFUNCTION("""COMPUTED_VALUE"""),148.0)</f>
        <v>148</v>
      </c>
      <c r="C6390" s="4" t="str">
        <f>IFERROR(__xludf.DUMMYFUNCTION("""COMPUTED_VALUE"""),"PHI")</f>
        <v>PHI</v>
      </c>
      <c r="D6390" s="4" t="str">
        <f>IFERROR(__xludf.DUMMYFUNCTION("""COMPUTED_VALUE"""),"Mike Hauer")</f>
        <v>Mike Hauer</v>
      </c>
      <c r="E6390" s="4" t="str">
        <f>IFERROR(__xludf.DUMMYFUNCTION("""COMPUTED_VALUE"""),"Saint Joseph's")</f>
        <v>Saint Joseph's</v>
      </c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</row>
    <row r="6391">
      <c r="A6391" s="4">
        <f>IFERROR(__xludf.DUMMYFUNCTION("""COMPUTED_VALUE"""),149.0)</f>
        <v>149</v>
      </c>
      <c r="B6391" s="4">
        <f>IFERROR(__xludf.DUMMYFUNCTION("""COMPUTED_VALUE"""),149.0)</f>
        <v>149</v>
      </c>
      <c r="C6391" s="4" t="str">
        <f>IFERROR(__xludf.DUMMYFUNCTION("""COMPUTED_VALUE"""),"LAL")</f>
        <v>LAL</v>
      </c>
      <c r="D6391" s="4" t="str">
        <f>IFERROR(__xludf.DUMMYFUNCTION("""COMPUTED_VALUE"""),"Bobby Sands")</f>
        <v>Bobby Sands</v>
      </c>
      <c r="E6391" s="4" t="str">
        <f>IFERROR(__xludf.DUMMYFUNCTION("""COMPUTED_VALUE"""),"Pepperdine")</f>
        <v>Pepperdine</v>
      </c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</row>
    <row r="6392">
      <c r="A6392" s="4">
        <f>IFERROR(__xludf.DUMMYFUNCTION("""COMPUTED_VALUE"""),150.0)</f>
        <v>150</v>
      </c>
      <c r="B6392" s="4">
        <f>IFERROR(__xludf.DUMMYFUNCTION("""COMPUTED_VALUE"""),150.0)</f>
        <v>150</v>
      </c>
      <c r="C6392" s="4" t="str">
        <f>IFERROR(__xludf.DUMMYFUNCTION("""COMPUTED_VALUE"""),"ATL")</f>
        <v>ATL</v>
      </c>
      <c r="D6392" s="4" t="str">
        <f>IFERROR(__xludf.DUMMYFUNCTION("""COMPUTED_VALUE"""),"Larry Jackson")</f>
        <v>Larry Jackson</v>
      </c>
      <c r="E6392" s="4" t="str">
        <f>IFERROR(__xludf.DUMMYFUNCTION("""COMPUTED_VALUE"""),"Sul Ross State University")</f>
        <v>Sul Ross State University</v>
      </c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</row>
    <row r="6393">
      <c r="A6393" s="4">
        <f>IFERROR(__xludf.DUMMYFUNCTION("""COMPUTED_VALUE"""),151.0)</f>
        <v>151</v>
      </c>
      <c r="B6393" s="4">
        <f>IFERROR(__xludf.DUMMYFUNCTION("""COMPUTED_VALUE"""),151.0)</f>
        <v>151</v>
      </c>
      <c r="C6393" s="4" t="str">
        <f>IFERROR(__xludf.DUMMYFUNCTION("""COMPUTED_VALUE"""),"BAL")</f>
        <v>BAL</v>
      </c>
      <c r="D6393" s="4" t="str">
        <f>IFERROR(__xludf.DUMMYFUNCTION("""COMPUTED_VALUE"""),"Will Hetzel")</f>
        <v>Will Hetzel</v>
      </c>
      <c r="E6393" s="4" t="str">
        <f>IFERROR(__xludf.DUMMYFUNCTION("""COMPUTED_VALUE"""),"Maryland")</f>
        <v>Maryland</v>
      </c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</row>
    <row r="6394">
      <c r="A6394" s="4">
        <f>IFERROR(__xludf.DUMMYFUNCTION("""COMPUTED_VALUE"""),152.0)</f>
        <v>152</v>
      </c>
      <c r="B6394" s="4">
        <f>IFERROR(__xludf.DUMMYFUNCTION("""COMPUTED_VALUE"""),152.0)</f>
        <v>152</v>
      </c>
      <c r="C6394" s="4" t="str">
        <f>IFERROR(__xludf.DUMMYFUNCTION("""COMPUTED_VALUE"""),"MIL")</f>
        <v>MIL</v>
      </c>
      <c r="D6394" s="4" t="str">
        <f>IFERROR(__xludf.DUMMYFUNCTION("""COMPUTED_VALUE"""),"Joe Hamilton")</f>
        <v>Joe Hamilton</v>
      </c>
      <c r="E6394" s="4" t="str">
        <f>IFERROR(__xludf.DUMMYFUNCTION("""COMPUTED_VALUE"""),"University of North Texas")</f>
        <v>University of North Texas</v>
      </c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</row>
    <row r="6395">
      <c r="A6395" s="4">
        <f>IFERROR(__xludf.DUMMYFUNCTION("""COMPUTED_VALUE"""),153.0)</f>
        <v>153</v>
      </c>
      <c r="B6395" s="4">
        <f>IFERROR(__xludf.DUMMYFUNCTION("""COMPUTED_VALUE"""),153.0)</f>
        <v>153</v>
      </c>
      <c r="C6395" s="4" t="str">
        <f>IFERROR(__xludf.DUMMYFUNCTION("""COMPUTED_VALUE"""),"NYK")</f>
        <v>NYK</v>
      </c>
      <c r="D6395" s="4" t="str">
        <f>IFERROR(__xludf.DUMMYFUNCTION("""COMPUTED_VALUE"""),"Walker Banks")</f>
        <v>Walker Banks</v>
      </c>
      <c r="E6395" s="4" t="str">
        <f>IFERROR(__xludf.DUMMYFUNCTION("""COMPUTED_VALUE"""),"Western Kentucky")</f>
        <v>Western Kentucky</v>
      </c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</row>
    <row r="6396">
      <c r="A6396" s="4"/>
      <c r="B6396" s="4"/>
      <c r="C6396" s="4"/>
      <c r="D6396" s="4" t="str">
        <f>IFERROR(__xludf.DUMMYFUNCTION("""COMPUTED_VALUE"""),"Round 10")</f>
        <v>Round 10</v>
      </c>
      <c r="E6396" s="4"/>
      <c r="F6396" s="4"/>
      <c r="G6396" s="4" t="str">
        <f>IFERROR(__xludf.DUMMYFUNCTION("""COMPUTED_VALUE"""),"Totals")</f>
        <v>Totals</v>
      </c>
      <c r="H6396" s="4"/>
      <c r="I6396" s="4"/>
      <c r="J6396" s="4"/>
      <c r="K6396" s="4"/>
      <c r="L6396" s="4" t="str">
        <f>IFERROR(__xludf.DUMMYFUNCTION("""COMPUTED_VALUE"""),"Shooting")</f>
        <v>Shooting</v>
      </c>
      <c r="M6396" s="4"/>
      <c r="N6396" s="4"/>
      <c r="O6396" s="4" t="str">
        <f>IFERROR(__xludf.DUMMYFUNCTION("""COMPUTED_VALUE"""),"Per Game")</f>
        <v>Per Game</v>
      </c>
      <c r="P6396" s="4"/>
      <c r="Q6396" s="4"/>
      <c r="R6396" s="4"/>
      <c r="S6396" s="4" t="str">
        <f>IFERROR(__xludf.DUMMYFUNCTION("""COMPUTED_VALUE"""),"Advanced")</f>
        <v>Advanced</v>
      </c>
      <c r="T6396" s="4"/>
      <c r="U6396" s="4"/>
      <c r="V6396" s="4"/>
    </row>
    <row r="6397">
      <c r="A6397" s="4" t="str">
        <f>IFERROR(__xludf.DUMMYFUNCTION("""COMPUTED_VALUE"""),"Rk")</f>
        <v>Rk</v>
      </c>
      <c r="B6397" s="4" t="str">
        <f>IFERROR(__xludf.DUMMYFUNCTION("""COMPUTED_VALUE"""),"Pk")</f>
        <v>Pk</v>
      </c>
      <c r="C6397" s="4" t="str">
        <f>IFERROR(__xludf.DUMMYFUNCTION("""COMPUTED_VALUE"""),"Tm")</f>
        <v>Tm</v>
      </c>
      <c r="D6397" s="4" t="str">
        <f>IFERROR(__xludf.DUMMYFUNCTION("""COMPUTED_VALUE"""),"Player")</f>
        <v>Player</v>
      </c>
      <c r="E6397" s="4" t="str">
        <f>IFERROR(__xludf.DUMMYFUNCTION("""COMPUTED_VALUE"""),"College")</f>
        <v>College</v>
      </c>
      <c r="F6397" s="4" t="str">
        <f>IFERROR(__xludf.DUMMYFUNCTION("""COMPUTED_VALUE"""),"Yrs")</f>
        <v>Yrs</v>
      </c>
      <c r="G6397" s="4" t="str">
        <f>IFERROR(__xludf.DUMMYFUNCTION("""COMPUTED_VALUE"""),"G")</f>
        <v>G</v>
      </c>
      <c r="H6397" s="4" t="str">
        <f>IFERROR(__xludf.DUMMYFUNCTION("""COMPUTED_VALUE"""),"MP")</f>
        <v>MP</v>
      </c>
      <c r="I6397" s="4" t="str">
        <f>IFERROR(__xludf.DUMMYFUNCTION("""COMPUTED_VALUE"""),"PTS")</f>
        <v>PTS</v>
      </c>
      <c r="J6397" s="4" t="str">
        <f>IFERROR(__xludf.DUMMYFUNCTION("""COMPUTED_VALUE"""),"TRB")</f>
        <v>TRB</v>
      </c>
      <c r="K6397" s="4" t="str">
        <f>IFERROR(__xludf.DUMMYFUNCTION("""COMPUTED_VALUE"""),"AST")</f>
        <v>AST</v>
      </c>
      <c r="L6397" s="4" t="str">
        <f>IFERROR(__xludf.DUMMYFUNCTION("""COMPUTED_VALUE"""),"FG%")</f>
        <v>FG%</v>
      </c>
      <c r="M6397" s="4" t="str">
        <f>IFERROR(__xludf.DUMMYFUNCTION("""COMPUTED_VALUE"""),"3P%")</f>
        <v>3P%</v>
      </c>
      <c r="N6397" s="4" t="str">
        <f>IFERROR(__xludf.DUMMYFUNCTION("""COMPUTED_VALUE"""),"FT%")</f>
        <v>FT%</v>
      </c>
      <c r="O6397" s="4" t="str">
        <f>IFERROR(__xludf.DUMMYFUNCTION("""COMPUTED_VALUE"""),"MP")</f>
        <v>MP</v>
      </c>
      <c r="P6397" s="4" t="str">
        <f>IFERROR(__xludf.DUMMYFUNCTION("""COMPUTED_VALUE"""),"PTS")</f>
        <v>PTS</v>
      </c>
      <c r="Q6397" s="4" t="str">
        <f>IFERROR(__xludf.DUMMYFUNCTION("""COMPUTED_VALUE"""),"TRB")</f>
        <v>TRB</v>
      </c>
      <c r="R6397" s="4" t="str">
        <f>IFERROR(__xludf.DUMMYFUNCTION("""COMPUTED_VALUE"""),"AST")</f>
        <v>AST</v>
      </c>
      <c r="S6397" s="4" t="str">
        <f>IFERROR(__xludf.DUMMYFUNCTION("""COMPUTED_VALUE"""),"WS")</f>
        <v>WS</v>
      </c>
      <c r="T6397" s="4" t="str">
        <f>IFERROR(__xludf.DUMMYFUNCTION("""COMPUTED_VALUE"""),"WS/48")</f>
        <v>WS/48</v>
      </c>
      <c r="U6397" s="4" t="str">
        <f>IFERROR(__xludf.DUMMYFUNCTION("""COMPUTED_VALUE"""),"BPM")</f>
        <v>BPM</v>
      </c>
      <c r="V6397" s="4" t="str">
        <f>IFERROR(__xludf.DUMMYFUNCTION("""COMPUTED_VALUE"""),"VORP")</f>
        <v>VORP</v>
      </c>
    </row>
    <row r="6398">
      <c r="A6398" s="4">
        <f>IFERROR(__xludf.DUMMYFUNCTION("""COMPUTED_VALUE"""),154.0)</f>
        <v>154</v>
      </c>
      <c r="B6398" s="4">
        <f>IFERROR(__xludf.DUMMYFUNCTION("""COMPUTED_VALUE"""),154.0)</f>
        <v>154</v>
      </c>
      <c r="C6398" s="4" t="str">
        <f>IFERROR(__xludf.DUMMYFUNCTION("""COMPUTED_VALUE"""),"SDR")</f>
        <v>SDR</v>
      </c>
      <c r="D6398" s="4" t="str">
        <f>IFERROR(__xludf.DUMMYFUNCTION("""COMPUTED_VALUE"""),"Toke Coleman")</f>
        <v>Toke Coleman</v>
      </c>
      <c r="E6398" s="4" t="str">
        <f>IFERROR(__xludf.DUMMYFUNCTION("""COMPUTED_VALUE"""),"Eastern Kentucky University")</f>
        <v>Eastern Kentucky University</v>
      </c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</row>
    <row r="6399">
      <c r="A6399" s="4">
        <f>IFERROR(__xludf.DUMMYFUNCTION("""COMPUTED_VALUE"""),155.0)</f>
        <v>155</v>
      </c>
      <c r="B6399" s="4">
        <f>IFERROR(__xludf.DUMMYFUNCTION("""COMPUTED_VALUE"""),155.0)</f>
        <v>155</v>
      </c>
      <c r="C6399" s="4" t="str">
        <f>IFERROR(__xludf.DUMMYFUNCTION("""COMPUTED_VALUE"""),"SFW")</f>
        <v>SFW</v>
      </c>
      <c r="D6399" s="4" t="str">
        <f>IFERROR(__xludf.DUMMYFUNCTION("""COMPUTED_VALUE"""),"Coby Dietrick")</f>
        <v>Coby Dietrick</v>
      </c>
      <c r="E6399" s="4" t="str">
        <f>IFERROR(__xludf.DUMMYFUNCTION("""COMPUTED_VALUE"""),"San Jose State")</f>
        <v>San Jose State</v>
      </c>
      <c r="F6399" s="4">
        <f>IFERROR(__xludf.DUMMYFUNCTION("""COMPUTED_VALUE"""),7.0)</f>
        <v>7</v>
      </c>
      <c r="G6399" s="4">
        <f>IFERROR(__xludf.DUMMYFUNCTION("""COMPUTED_VALUE"""),480.0)</f>
        <v>480</v>
      </c>
      <c r="H6399" s="4">
        <f>IFERROR(__xludf.DUMMYFUNCTION("""COMPUTED_VALUE"""),9241.0)</f>
        <v>9241</v>
      </c>
      <c r="I6399" s="4">
        <f>IFERROR(__xludf.DUMMYFUNCTION("""COMPUTED_VALUE"""),2915.0)</f>
        <v>2915</v>
      </c>
      <c r="J6399" s="4">
        <f>IFERROR(__xludf.DUMMYFUNCTION("""COMPUTED_VALUE"""),1869.0)</f>
        <v>1869</v>
      </c>
      <c r="K6399" s="4">
        <f>IFERROR(__xludf.DUMMYFUNCTION("""COMPUTED_VALUE"""),990.0)</f>
        <v>990</v>
      </c>
      <c r="L6399" s="4">
        <f>IFERROR(__xludf.DUMMYFUNCTION("""COMPUTED_VALUE"""),0.468)</f>
        <v>0.468</v>
      </c>
      <c r="M6399" s="4"/>
      <c r="N6399" s="4">
        <f>IFERROR(__xludf.DUMMYFUNCTION("""COMPUTED_VALUE"""),0.741)</f>
        <v>0.741</v>
      </c>
      <c r="O6399" s="4">
        <f>IFERROR(__xludf.DUMMYFUNCTION("""COMPUTED_VALUE"""),19.3)</f>
        <v>19.3</v>
      </c>
      <c r="P6399" s="4">
        <f>IFERROR(__xludf.DUMMYFUNCTION("""COMPUTED_VALUE"""),6.1)</f>
        <v>6.1</v>
      </c>
      <c r="Q6399" s="4">
        <f>IFERROR(__xludf.DUMMYFUNCTION("""COMPUTED_VALUE"""),3.9)</f>
        <v>3.9</v>
      </c>
      <c r="R6399" s="4">
        <f>IFERROR(__xludf.DUMMYFUNCTION("""COMPUTED_VALUE"""),2.1)</f>
        <v>2.1</v>
      </c>
      <c r="S6399" s="4">
        <f>IFERROR(__xludf.DUMMYFUNCTION("""COMPUTED_VALUE"""),15.5)</f>
        <v>15.5</v>
      </c>
      <c r="T6399" s="4">
        <f>IFERROR(__xludf.DUMMYFUNCTION("""COMPUTED_VALUE"""),0.08)</f>
        <v>0.08</v>
      </c>
      <c r="U6399" s="4">
        <f>IFERROR(__xludf.DUMMYFUNCTION("""COMPUTED_VALUE"""),0.1)</f>
        <v>0.1</v>
      </c>
      <c r="V6399" s="4">
        <f>IFERROR(__xludf.DUMMYFUNCTION("""COMPUTED_VALUE"""),4.9)</f>
        <v>4.9</v>
      </c>
    </row>
    <row r="6400">
      <c r="A6400" s="4">
        <f>IFERROR(__xludf.DUMMYFUNCTION("""COMPUTED_VALUE"""),156.0)</f>
        <v>156</v>
      </c>
      <c r="B6400" s="4">
        <f>IFERROR(__xludf.DUMMYFUNCTION("""COMPUTED_VALUE"""),156.0)</f>
        <v>156</v>
      </c>
      <c r="C6400" s="4" t="str">
        <f>IFERROR(__xludf.DUMMYFUNCTION("""COMPUTED_VALUE"""),"DET")</f>
        <v>DET</v>
      </c>
      <c r="D6400" s="4" t="str">
        <f>IFERROR(__xludf.DUMMYFUNCTION("""COMPUTED_VALUE"""),"Bruce Chapman")</f>
        <v>Bruce Chapman</v>
      </c>
      <c r="E6400" s="4" t="str">
        <f>IFERROR(__xludf.DUMMYFUNCTION("""COMPUTED_VALUE"""),"UNLV")</f>
        <v>UNLV</v>
      </c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</row>
    <row r="6401">
      <c r="A6401" s="4">
        <f>IFERROR(__xludf.DUMMYFUNCTION("""COMPUTED_VALUE"""),157.0)</f>
        <v>157</v>
      </c>
      <c r="B6401" s="4">
        <f>IFERROR(__xludf.DUMMYFUNCTION("""COMPUTED_VALUE"""),157.0)</f>
        <v>157</v>
      </c>
      <c r="C6401" s="4" t="str">
        <f>IFERROR(__xludf.DUMMYFUNCTION("""COMPUTED_VALUE"""),"BOS")</f>
        <v>BOS</v>
      </c>
      <c r="D6401" s="4" t="str">
        <f>IFERROR(__xludf.DUMMYFUNCTION("""COMPUTED_VALUE"""),"Mike Maloy")</f>
        <v>Mike Maloy</v>
      </c>
      <c r="E6401" s="4" t="str">
        <f>IFERROR(__xludf.DUMMYFUNCTION("""COMPUTED_VALUE"""),"Davidson")</f>
        <v>Davidson</v>
      </c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</row>
    <row r="6402">
      <c r="A6402" s="4">
        <f>IFERROR(__xludf.DUMMYFUNCTION("""COMPUTED_VALUE"""),158.0)</f>
        <v>158</v>
      </c>
      <c r="B6402" s="4">
        <f>IFERROR(__xludf.DUMMYFUNCTION("""COMPUTED_VALUE"""),158.0)</f>
        <v>158</v>
      </c>
      <c r="C6402" s="4" t="str">
        <f>IFERROR(__xludf.DUMMYFUNCTION("""COMPUTED_VALUE"""),"CIN")</f>
        <v>CIN</v>
      </c>
      <c r="D6402" s="4" t="str">
        <f>IFERROR(__xludf.DUMMYFUNCTION("""COMPUTED_VALUE"""),"Carl Johnson")</f>
        <v>Carl Johnson</v>
      </c>
      <c r="E6402" s="4" t="str">
        <f>IFERROR(__xludf.DUMMYFUNCTION("""COMPUTED_VALUE"""),"Gustavus Adolphus")</f>
        <v>Gustavus Adolphus</v>
      </c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</row>
    <row r="6403">
      <c r="A6403" s="4">
        <f>IFERROR(__xludf.DUMMYFUNCTION("""COMPUTED_VALUE"""),159.0)</f>
        <v>159</v>
      </c>
      <c r="B6403" s="4">
        <f>IFERROR(__xludf.DUMMYFUNCTION("""COMPUTED_VALUE"""),159.0)</f>
        <v>159</v>
      </c>
      <c r="C6403" s="4" t="str">
        <f>IFERROR(__xludf.DUMMYFUNCTION("""COMPUTED_VALUE"""),"SEA")</f>
        <v>SEA</v>
      </c>
      <c r="D6403" s="4" t="str">
        <f>IFERROR(__xludf.DUMMYFUNCTION("""COMPUTED_VALUE"""),"Chuck Lloyd")</f>
        <v>Chuck Lloyd</v>
      </c>
      <c r="E6403" s="4" t="str">
        <f>IFERROR(__xludf.DUMMYFUNCTION("""COMPUTED_VALUE"""),"Yankton College")</f>
        <v>Yankton College</v>
      </c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</row>
    <row r="6404">
      <c r="A6404" s="4">
        <f>IFERROR(__xludf.DUMMYFUNCTION("""COMPUTED_VALUE"""),160.0)</f>
        <v>160</v>
      </c>
      <c r="B6404" s="4">
        <f>IFERROR(__xludf.DUMMYFUNCTION("""COMPUTED_VALUE"""),160.0)</f>
        <v>160</v>
      </c>
      <c r="C6404" s="4" t="str">
        <f>IFERROR(__xludf.DUMMYFUNCTION("""COMPUTED_VALUE"""),"BUF")</f>
        <v>BUF</v>
      </c>
      <c r="D6404" s="4" t="str">
        <f>IFERROR(__xludf.DUMMYFUNCTION("""COMPUTED_VALUE"""),"Joe Taylor")</f>
        <v>Joe Taylor</v>
      </c>
      <c r="E6404" s="4" t="str">
        <f>IFERROR(__xludf.DUMMYFUNCTION("""COMPUTED_VALUE"""),"Dillard University")</f>
        <v>Dillard University</v>
      </c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</row>
    <row r="6405">
      <c r="A6405" s="4">
        <f>IFERROR(__xludf.DUMMYFUNCTION("""COMPUTED_VALUE"""),161.0)</f>
        <v>161</v>
      </c>
      <c r="B6405" s="4">
        <f>IFERROR(__xludf.DUMMYFUNCTION("""COMPUTED_VALUE"""),161.0)</f>
        <v>161</v>
      </c>
      <c r="C6405" s="4" t="str">
        <f>IFERROR(__xludf.DUMMYFUNCTION("""COMPUTED_VALUE"""),"POR")</f>
        <v>POR</v>
      </c>
      <c r="D6405" s="4" t="str">
        <f>IFERROR(__xludf.DUMMYFUNCTION("""COMPUTED_VALUE"""),"Israel Oliver")</f>
        <v>Israel Oliver</v>
      </c>
      <c r="E6405" s="4" t="str">
        <f>IFERROR(__xludf.DUMMYFUNCTION("""COMPUTED_VALUE"""),"Elizabeth City State University")</f>
        <v>Elizabeth City State University</v>
      </c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</row>
    <row r="6406">
      <c r="A6406" s="4">
        <f>IFERROR(__xludf.DUMMYFUNCTION("""COMPUTED_VALUE"""),162.0)</f>
        <v>162</v>
      </c>
      <c r="B6406" s="4">
        <f>IFERROR(__xludf.DUMMYFUNCTION("""COMPUTED_VALUE"""),162.0)</f>
        <v>162</v>
      </c>
      <c r="C6406" s="4" t="str">
        <f>IFERROR(__xludf.DUMMYFUNCTION("""COMPUTED_VALUE"""),"CLE")</f>
        <v>CLE</v>
      </c>
      <c r="D6406" s="4" t="str">
        <f>IFERROR(__xludf.DUMMYFUNCTION("""COMPUTED_VALUE"""),"Ken Johnson")</f>
        <v>Ken Johnson</v>
      </c>
      <c r="E6406" s="4" t="str">
        <f>IFERROR(__xludf.DUMMYFUNCTION("""COMPUTED_VALUE"""),"Indiana")</f>
        <v>Indiana</v>
      </c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</row>
    <row r="6407">
      <c r="A6407" s="4">
        <f>IFERROR(__xludf.DUMMYFUNCTION("""COMPUTED_VALUE"""),163.0)</f>
        <v>163</v>
      </c>
      <c r="B6407" s="4">
        <f>IFERROR(__xludf.DUMMYFUNCTION("""COMPUTED_VALUE"""),163.0)</f>
        <v>163</v>
      </c>
      <c r="C6407" s="4" t="str">
        <f>IFERROR(__xludf.DUMMYFUNCTION("""COMPUTED_VALUE"""),"PHO")</f>
        <v>PHO</v>
      </c>
      <c r="D6407" s="4" t="str">
        <f>IFERROR(__xludf.DUMMYFUNCTION("""COMPUTED_VALUE"""),"Gerhard Schreur")</f>
        <v>Gerhard Schreur</v>
      </c>
      <c r="E6407" s="4" t="str">
        <f>IFERROR(__xludf.DUMMYFUNCTION("""COMPUTED_VALUE"""),"Arizona State")</f>
        <v>Arizona State</v>
      </c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</row>
    <row r="6408">
      <c r="A6408" s="4">
        <f>IFERROR(__xludf.DUMMYFUNCTION("""COMPUTED_VALUE"""),164.0)</f>
        <v>164</v>
      </c>
      <c r="B6408" s="4">
        <f>IFERROR(__xludf.DUMMYFUNCTION("""COMPUTED_VALUE"""),164.0)</f>
        <v>164</v>
      </c>
      <c r="C6408" s="4" t="str">
        <f>IFERROR(__xludf.DUMMYFUNCTION("""COMPUTED_VALUE"""),"CHI")</f>
        <v>CHI</v>
      </c>
      <c r="D6408" s="4" t="str">
        <f>IFERROR(__xludf.DUMMYFUNCTION("""COMPUTED_VALUE"""),"Dale Blaut")</f>
        <v>Dale Blaut</v>
      </c>
      <c r="E6408" s="4" t="str">
        <f>IFERROR(__xludf.DUMMYFUNCTION("""COMPUTED_VALUE"""),"West Texas A&amp;M University")</f>
        <v>West Texas A&amp;M University</v>
      </c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</row>
    <row r="6409">
      <c r="A6409" s="4">
        <f>IFERROR(__xludf.DUMMYFUNCTION("""COMPUTED_VALUE"""),165.0)</f>
        <v>165</v>
      </c>
      <c r="B6409" s="4">
        <f>IFERROR(__xludf.DUMMYFUNCTION("""COMPUTED_VALUE"""),165.0)</f>
        <v>165</v>
      </c>
      <c r="C6409" s="4" t="str">
        <f>IFERROR(__xludf.DUMMYFUNCTION("""COMPUTED_VALUE"""),"PHI")</f>
        <v>PHI</v>
      </c>
      <c r="D6409" s="4" t="str">
        <f>IFERROR(__xludf.DUMMYFUNCTION("""COMPUTED_VALUE"""),"Gordon Stiles")</f>
        <v>Gordon Stiles</v>
      </c>
      <c r="E6409" s="4" t="str">
        <f>IFERROR(__xludf.DUMMYFUNCTION("""COMPUTED_VALUE"""),"American University")</f>
        <v>American University</v>
      </c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</row>
    <row r="6410">
      <c r="A6410" s="4">
        <f>IFERROR(__xludf.DUMMYFUNCTION("""COMPUTED_VALUE"""),166.0)</f>
        <v>166</v>
      </c>
      <c r="B6410" s="4">
        <f>IFERROR(__xludf.DUMMYFUNCTION("""COMPUTED_VALUE"""),166.0)</f>
        <v>166</v>
      </c>
      <c r="C6410" s="4" t="str">
        <f>IFERROR(__xludf.DUMMYFUNCTION("""COMPUTED_VALUE"""),"LAL")</f>
        <v>LAL</v>
      </c>
      <c r="D6410" s="4" t="str">
        <f>IFERROR(__xludf.DUMMYFUNCTION("""COMPUTED_VALUE"""),"Kindell Stephens")</f>
        <v>Kindell Stephens</v>
      </c>
      <c r="E6410" s="4" t="str">
        <f>IFERROR(__xludf.DUMMYFUNCTION("""COMPUTED_VALUE"""),"Fisk University")</f>
        <v>Fisk University</v>
      </c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</row>
    <row r="6411">
      <c r="A6411" s="4">
        <f>IFERROR(__xludf.DUMMYFUNCTION("""COMPUTED_VALUE"""),167.0)</f>
        <v>167</v>
      </c>
      <c r="B6411" s="4">
        <f>IFERROR(__xludf.DUMMYFUNCTION("""COMPUTED_VALUE"""),167.0)</f>
        <v>167</v>
      </c>
      <c r="C6411" s="4" t="str">
        <f>IFERROR(__xludf.DUMMYFUNCTION("""COMPUTED_VALUE"""),"ATL")</f>
        <v>ATL</v>
      </c>
      <c r="D6411" s="4" t="str">
        <f>IFERROR(__xludf.DUMMYFUNCTION("""COMPUTED_VALUE"""),"Manuel Raga")</f>
        <v>Manuel Raga</v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</row>
    <row r="6412">
      <c r="A6412" s="4">
        <f>IFERROR(__xludf.DUMMYFUNCTION("""COMPUTED_VALUE"""),168.0)</f>
        <v>168</v>
      </c>
      <c r="B6412" s="4">
        <f>IFERROR(__xludf.DUMMYFUNCTION("""COMPUTED_VALUE"""),168.0)</f>
        <v>168</v>
      </c>
      <c r="C6412" s="4" t="str">
        <f>IFERROR(__xludf.DUMMYFUNCTION("""COMPUTED_VALUE"""),"BAL")</f>
        <v>BAL</v>
      </c>
      <c r="D6412" s="4" t="str">
        <f>IFERROR(__xludf.DUMMYFUNCTION("""COMPUTED_VALUE"""),"Ron Becker")</f>
        <v>Ron Becker</v>
      </c>
      <c r="E6412" s="4" t="str">
        <f>IFERROR(__xludf.DUMMYFUNCTION("""COMPUTED_VALUE"""),"New Mexico")</f>
        <v>New Mexico</v>
      </c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</row>
    <row r="6413">
      <c r="A6413" s="4">
        <f>IFERROR(__xludf.DUMMYFUNCTION("""COMPUTED_VALUE"""),169.0)</f>
        <v>169</v>
      </c>
      <c r="B6413" s="4">
        <f>IFERROR(__xludf.DUMMYFUNCTION("""COMPUTED_VALUE"""),169.0)</f>
        <v>169</v>
      </c>
      <c r="C6413" s="4" t="str">
        <f>IFERROR(__xludf.DUMMYFUNCTION("""COMPUTED_VALUE"""),"MIL")</f>
        <v>MIL</v>
      </c>
      <c r="D6413" s="4" t="str">
        <f>IFERROR(__xludf.DUMMYFUNCTION("""COMPUTED_VALUE"""),"Bob Seemer")</f>
        <v>Bob Seemer</v>
      </c>
      <c r="E6413" s="4" t="str">
        <f>IFERROR(__xludf.DUMMYFUNCTION("""COMPUTED_VALUE"""),"Georgia Tech")</f>
        <v>Georgia Tech</v>
      </c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</row>
    <row r="6414">
      <c r="A6414" s="4">
        <f>IFERROR(__xludf.DUMMYFUNCTION("""COMPUTED_VALUE"""),170.0)</f>
        <v>170</v>
      </c>
      <c r="B6414" s="4">
        <f>IFERROR(__xludf.DUMMYFUNCTION("""COMPUTED_VALUE"""),170.0)</f>
        <v>170</v>
      </c>
      <c r="C6414" s="4" t="str">
        <f>IFERROR(__xludf.DUMMYFUNCTION("""COMPUTED_VALUE"""),"NYK")</f>
        <v>NYK</v>
      </c>
      <c r="D6414" s="4" t="str">
        <f>IFERROR(__xludf.DUMMYFUNCTION("""COMPUTED_VALUE"""),"Don Curnutt")</f>
        <v>Don Curnutt</v>
      </c>
      <c r="E6414" s="4" t="str">
        <f>IFERROR(__xludf.DUMMYFUNCTION("""COMPUTED_VALUE"""),"Miami (FL)")</f>
        <v>Miami (FL)</v>
      </c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</row>
    <row r="6415">
      <c r="A6415" s="4"/>
      <c r="B6415" s="4"/>
      <c r="C6415" s="4"/>
      <c r="D6415" s="4" t="str">
        <f>IFERROR(__xludf.DUMMYFUNCTION("""COMPUTED_VALUE"""),"Round 11")</f>
        <v>Round 11</v>
      </c>
      <c r="E6415" s="4"/>
      <c r="F6415" s="4"/>
      <c r="G6415" s="4" t="str">
        <f>IFERROR(__xludf.DUMMYFUNCTION("""COMPUTED_VALUE"""),"Totals")</f>
        <v>Totals</v>
      </c>
      <c r="H6415" s="4"/>
      <c r="I6415" s="4"/>
      <c r="J6415" s="4"/>
      <c r="K6415" s="4"/>
      <c r="L6415" s="4" t="str">
        <f>IFERROR(__xludf.DUMMYFUNCTION("""COMPUTED_VALUE"""),"Shooting")</f>
        <v>Shooting</v>
      </c>
      <c r="M6415" s="4"/>
      <c r="N6415" s="4"/>
      <c r="O6415" s="4" t="str">
        <f>IFERROR(__xludf.DUMMYFUNCTION("""COMPUTED_VALUE"""),"Per Game")</f>
        <v>Per Game</v>
      </c>
      <c r="P6415" s="4"/>
      <c r="Q6415" s="4"/>
      <c r="R6415" s="4"/>
      <c r="S6415" s="4" t="str">
        <f>IFERROR(__xludf.DUMMYFUNCTION("""COMPUTED_VALUE"""),"Advanced")</f>
        <v>Advanced</v>
      </c>
      <c r="T6415" s="4"/>
      <c r="U6415" s="4"/>
      <c r="V6415" s="4"/>
    </row>
    <row r="6416">
      <c r="A6416" s="4" t="str">
        <f>IFERROR(__xludf.DUMMYFUNCTION("""COMPUTED_VALUE"""),"Rk")</f>
        <v>Rk</v>
      </c>
      <c r="B6416" s="4" t="str">
        <f>IFERROR(__xludf.DUMMYFUNCTION("""COMPUTED_VALUE"""),"Pk")</f>
        <v>Pk</v>
      </c>
      <c r="C6416" s="4" t="str">
        <f>IFERROR(__xludf.DUMMYFUNCTION("""COMPUTED_VALUE"""),"Tm")</f>
        <v>Tm</v>
      </c>
      <c r="D6416" s="4" t="str">
        <f>IFERROR(__xludf.DUMMYFUNCTION("""COMPUTED_VALUE"""),"Player")</f>
        <v>Player</v>
      </c>
      <c r="E6416" s="4" t="str">
        <f>IFERROR(__xludf.DUMMYFUNCTION("""COMPUTED_VALUE"""),"College")</f>
        <v>College</v>
      </c>
      <c r="F6416" s="4" t="str">
        <f>IFERROR(__xludf.DUMMYFUNCTION("""COMPUTED_VALUE"""),"Yrs")</f>
        <v>Yrs</v>
      </c>
      <c r="G6416" s="4" t="str">
        <f>IFERROR(__xludf.DUMMYFUNCTION("""COMPUTED_VALUE"""),"G")</f>
        <v>G</v>
      </c>
      <c r="H6416" s="4" t="str">
        <f>IFERROR(__xludf.DUMMYFUNCTION("""COMPUTED_VALUE"""),"MP")</f>
        <v>MP</v>
      </c>
      <c r="I6416" s="4" t="str">
        <f>IFERROR(__xludf.DUMMYFUNCTION("""COMPUTED_VALUE"""),"PTS")</f>
        <v>PTS</v>
      </c>
      <c r="J6416" s="4" t="str">
        <f>IFERROR(__xludf.DUMMYFUNCTION("""COMPUTED_VALUE"""),"TRB")</f>
        <v>TRB</v>
      </c>
      <c r="K6416" s="4" t="str">
        <f>IFERROR(__xludf.DUMMYFUNCTION("""COMPUTED_VALUE"""),"AST")</f>
        <v>AST</v>
      </c>
      <c r="L6416" s="4" t="str">
        <f>IFERROR(__xludf.DUMMYFUNCTION("""COMPUTED_VALUE"""),"FG%")</f>
        <v>FG%</v>
      </c>
      <c r="M6416" s="4" t="str">
        <f>IFERROR(__xludf.DUMMYFUNCTION("""COMPUTED_VALUE"""),"3P%")</f>
        <v>3P%</v>
      </c>
      <c r="N6416" s="4" t="str">
        <f>IFERROR(__xludf.DUMMYFUNCTION("""COMPUTED_VALUE"""),"FT%")</f>
        <v>FT%</v>
      </c>
      <c r="O6416" s="4" t="str">
        <f>IFERROR(__xludf.DUMMYFUNCTION("""COMPUTED_VALUE"""),"MP")</f>
        <v>MP</v>
      </c>
      <c r="P6416" s="4" t="str">
        <f>IFERROR(__xludf.DUMMYFUNCTION("""COMPUTED_VALUE"""),"PTS")</f>
        <v>PTS</v>
      </c>
      <c r="Q6416" s="4" t="str">
        <f>IFERROR(__xludf.DUMMYFUNCTION("""COMPUTED_VALUE"""),"TRB")</f>
        <v>TRB</v>
      </c>
      <c r="R6416" s="4" t="str">
        <f>IFERROR(__xludf.DUMMYFUNCTION("""COMPUTED_VALUE"""),"AST")</f>
        <v>AST</v>
      </c>
      <c r="S6416" s="4" t="str">
        <f>IFERROR(__xludf.DUMMYFUNCTION("""COMPUTED_VALUE"""),"WS")</f>
        <v>WS</v>
      </c>
      <c r="T6416" s="4" t="str">
        <f>IFERROR(__xludf.DUMMYFUNCTION("""COMPUTED_VALUE"""),"WS/48")</f>
        <v>WS/48</v>
      </c>
      <c r="U6416" s="4" t="str">
        <f>IFERROR(__xludf.DUMMYFUNCTION("""COMPUTED_VALUE"""),"BPM")</f>
        <v>BPM</v>
      </c>
      <c r="V6416" s="4" t="str">
        <f>IFERROR(__xludf.DUMMYFUNCTION("""COMPUTED_VALUE"""),"VORP")</f>
        <v>VORP</v>
      </c>
    </row>
    <row r="6417">
      <c r="A6417" s="4">
        <f>IFERROR(__xludf.DUMMYFUNCTION("""COMPUTED_VALUE"""),171.0)</f>
        <v>171</v>
      </c>
      <c r="B6417" s="4">
        <f>IFERROR(__xludf.DUMMYFUNCTION("""COMPUTED_VALUE"""),171.0)</f>
        <v>171</v>
      </c>
      <c r="C6417" s="4" t="str">
        <f>IFERROR(__xludf.DUMMYFUNCTION("""COMPUTED_VALUE"""),"SDR")</f>
        <v>SDR</v>
      </c>
      <c r="D6417" s="4" t="str">
        <f>IFERROR(__xludf.DUMMYFUNCTION("""COMPUTED_VALUE"""),"Ron Belton")</f>
        <v>Ron Belton</v>
      </c>
      <c r="E6417" s="4" t="str">
        <f>IFERROR(__xludf.DUMMYFUNCTION("""COMPUTED_VALUE"""),"Bellarmine University")</f>
        <v>Bellarmine University</v>
      </c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</row>
    <row r="6418">
      <c r="A6418" s="4">
        <f>IFERROR(__xludf.DUMMYFUNCTION("""COMPUTED_VALUE"""),172.0)</f>
        <v>172</v>
      </c>
      <c r="B6418" s="4">
        <f>IFERROR(__xludf.DUMMYFUNCTION("""COMPUTED_VALUE"""),172.0)</f>
        <v>172</v>
      </c>
      <c r="C6418" s="4" t="str">
        <f>IFERROR(__xludf.DUMMYFUNCTION("""COMPUTED_VALUE"""),"DET")</f>
        <v>DET</v>
      </c>
      <c r="D6418" s="4" t="str">
        <f>IFERROR(__xludf.DUMMYFUNCTION("""COMPUTED_VALUE"""),"Rick Anheuser")</f>
        <v>Rick Anheuser</v>
      </c>
      <c r="E6418" s="4" t="str">
        <f>IFERROR(__xludf.DUMMYFUNCTION("""COMPUTED_VALUE"""),"NC State")</f>
        <v>NC State</v>
      </c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</row>
    <row r="6419">
      <c r="A6419" s="4">
        <f>IFERROR(__xludf.DUMMYFUNCTION("""COMPUTED_VALUE"""),173.0)</f>
        <v>173</v>
      </c>
      <c r="B6419" s="4">
        <f>IFERROR(__xludf.DUMMYFUNCTION("""COMPUTED_VALUE"""),173.0)</f>
        <v>173</v>
      </c>
      <c r="C6419" s="4" t="str">
        <f>IFERROR(__xludf.DUMMYFUNCTION("""COMPUTED_VALUE"""),"CIN")</f>
        <v>CIN</v>
      </c>
      <c r="D6419" s="4" t="str">
        <f>IFERROR(__xludf.DUMMYFUNCTION("""COMPUTED_VALUE"""),"Ted Hillary")</f>
        <v>Ted Hillary</v>
      </c>
      <c r="E6419" s="4" t="str">
        <f>IFERROR(__xludf.DUMMYFUNCTION("""COMPUTED_VALUE"""),"Saint Joseph's College")</f>
        <v>Saint Joseph's College</v>
      </c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</row>
    <row r="6420">
      <c r="A6420" s="4">
        <f>IFERROR(__xludf.DUMMYFUNCTION("""COMPUTED_VALUE"""),174.0)</f>
        <v>174</v>
      </c>
      <c r="B6420" s="4">
        <f>IFERROR(__xludf.DUMMYFUNCTION("""COMPUTED_VALUE"""),174.0)</f>
        <v>174</v>
      </c>
      <c r="C6420" s="4" t="str">
        <f>IFERROR(__xludf.DUMMYFUNCTION("""COMPUTED_VALUE"""),"SEA")</f>
        <v>SEA</v>
      </c>
      <c r="D6420" s="4" t="str">
        <f>IFERROR(__xludf.DUMMYFUNCTION("""COMPUTED_VALUE"""),"Andy Owens")</f>
        <v>Andy Owens</v>
      </c>
      <c r="E6420" s="4" t="str">
        <f>IFERROR(__xludf.DUMMYFUNCTION("""COMPUTED_VALUE"""),"Florida")</f>
        <v>Florida</v>
      </c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</row>
    <row r="6421">
      <c r="A6421" s="4">
        <f>IFERROR(__xludf.DUMMYFUNCTION("""COMPUTED_VALUE"""),175.0)</f>
        <v>175</v>
      </c>
      <c r="B6421" s="4">
        <f>IFERROR(__xludf.DUMMYFUNCTION("""COMPUTED_VALUE"""),175.0)</f>
        <v>175</v>
      </c>
      <c r="C6421" s="4" t="str">
        <f>IFERROR(__xludf.DUMMYFUNCTION("""COMPUTED_VALUE"""),"CLE")</f>
        <v>CLE</v>
      </c>
      <c r="D6421" s="4" t="str">
        <f>IFERROR(__xludf.DUMMYFUNCTION("""COMPUTED_VALUE"""),"Dave Schneider")</f>
        <v>Dave Schneider</v>
      </c>
      <c r="E6421" s="4" t="str">
        <f>IFERROR(__xludf.DUMMYFUNCTION("""COMPUTED_VALUE"""),"Wayne State College")</f>
        <v>Wayne State College</v>
      </c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</row>
    <row r="6422">
      <c r="A6422" s="4">
        <f>IFERROR(__xludf.DUMMYFUNCTION("""COMPUTED_VALUE"""),176.0)</f>
        <v>176</v>
      </c>
      <c r="B6422" s="4">
        <f>IFERROR(__xludf.DUMMYFUNCTION("""COMPUTED_VALUE"""),176.0)</f>
        <v>176</v>
      </c>
      <c r="C6422" s="4" t="str">
        <f>IFERROR(__xludf.DUMMYFUNCTION("""COMPUTED_VALUE"""),"POR")</f>
        <v>POR</v>
      </c>
      <c r="D6422" s="4" t="str">
        <f>IFERROR(__xludf.DUMMYFUNCTION("""COMPUTED_VALUE"""),"Dan McLemore")</f>
        <v>Dan McLemore</v>
      </c>
      <c r="E6422" s="4" t="str">
        <f>IFERROR(__xludf.DUMMYFUNCTION("""COMPUTED_VALUE"""),"Bowling Green")</f>
        <v>Bowling Green</v>
      </c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</row>
    <row r="6423">
      <c r="A6423" s="4">
        <f>IFERROR(__xludf.DUMMYFUNCTION("""COMPUTED_VALUE"""),177.0)</f>
        <v>177</v>
      </c>
      <c r="B6423" s="4">
        <f>IFERROR(__xludf.DUMMYFUNCTION("""COMPUTED_VALUE"""),177.0)</f>
        <v>177</v>
      </c>
      <c r="C6423" s="4" t="str">
        <f>IFERROR(__xludf.DUMMYFUNCTION("""COMPUTED_VALUE"""),"BUF")</f>
        <v>BUF</v>
      </c>
      <c r="D6423" s="4" t="str">
        <f>IFERROR(__xludf.DUMMYFUNCTION("""COMPUTED_VALUE"""),"Dick Walker")</f>
        <v>Dick Walker</v>
      </c>
      <c r="E6423" s="4" t="str">
        <f>IFERROR(__xludf.DUMMYFUNCTION("""COMPUTED_VALUE"""),"Wake Forest")</f>
        <v>Wake Forest</v>
      </c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</row>
    <row r="6424">
      <c r="A6424" s="4">
        <f>IFERROR(__xludf.DUMMYFUNCTION("""COMPUTED_VALUE"""),178.0)</f>
        <v>178</v>
      </c>
      <c r="B6424" s="4">
        <f>IFERROR(__xludf.DUMMYFUNCTION("""COMPUTED_VALUE"""),178.0)</f>
        <v>178</v>
      </c>
      <c r="C6424" s="4" t="str">
        <f>IFERROR(__xludf.DUMMYFUNCTION("""COMPUTED_VALUE"""),"PHO")</f>
        <v>PHO</v>
      </c>
      <c r="D6424" s="4" t="str">
        <f>IFERROR(__xludf.DUMMYFUNCTION("""COMPUTED_VALUE"""),"Jim Walls")</f>
        <v>Jim Walls</v>
      </c>
      <c r="E6424" s="4" t="str">
        <f>IFERROR(__xludf.DUMMYFUNCTION("""COMPUTED_VALUE"""),"Clark Atlanta University")</f>
        <v>Clark Atlanta University</v>
      </c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</row>
    <row r="6425">
      <c r="A6425" s="4">
        <f>IFERROR(__xludf.DUMMYFUNCTION("""COMPUTED_VALUE"""),179.0)</f>
        <v>179</v>
      </c>
      <c r="B6425" s="4">
        <f>IFERROR(__xludf.DUMMYFUNCTION("""COMPUTED_VALUE"""),179.0)</f>
        <v>179</v>
      </c>
      <c r="C6425" s="4" t="str">
        <f>IFERROR(__xludf.DUMMYFUNCTION("""COMPUTED_VALUE"""),"CHI")</f>
        <v>CHI</v>
      </c>
      <c r="D6425" s="4" t="str">
        <f>IFERROR(__xludf.DUMMYFUNCTION("""COMPUTED_VALUE"""),"Doug Howard")</f>
        <v>Doug Howard</v>
      </c>
      <c r="E6425" s="4" t="str">
        <f>IFERROR(__xludf.DUMMYFUNCTION("""COMPUTED_VALUE"""),"BYU")</f>
        <v>BYU</v>
      </c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</row>
    <row r="6426">
      <c r="A6426" s="4">
        <f>IFERROR(__xludf.DUMMYFUNCTION("""COMPUTED_VALUE"""),180.0)</f>
        <v>180</v>
      </c>
      <c r="B6426" s="4">
        <f>IFERROR(__xludf.DUMMYFUNCTION("""COMPUTED_VALUE"""),180.0)</f>
        <v>180</v>
      </c>
      <c r="C6426" s="4" t="str">
        <f>IFERROR(__xludf.DUMMYFUNCTION("""COMPUTED_VALUE"""),"PHI")</f>
        <v>PHI</v>
      </c>
      <c r="D6426" s="4" t="str">
        <f>IFERROR(__xludf.DUMMYFUNCTION("""COMPUTED_VALUE"""),"David Whitley")</f>
        <v>David Whitley</v>
      </c>
      <c r="E6426" s="4" t="str">
        <f>IFERROR(__xludf.DUMMYFUNCTION("""COMPUTED_VALUE"""),"Tufts University")</f>
        <v>Tufts University</v>
      </c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</row>
    <row r="6427">
      <c r="A6427" s="4">
        <f>IFERROR(__xludf.DUMMYFUNCTION("""COMPUTED_VALUE"""),181.0)</f>
        <v>181</v>
      </c>
      <c r="B6427" s="4">
        <f>IFERROR(__xludf.DUMMYFUNCTION("""COMPUTED_VALUE"""),181.0)</f>
        <v>181</v>
      </c>
      <c r="C6427" s="4" t="str">
        <f>IFERROR(__xludf.DUMMYFUNCTION("""COMPUTED_VALUE"""),"LAL")</f>
        <v>LAL</v>
      </c>
      <c r="D6427" s="4" t="str">
        <f>IFERROR(__xludf.DUMMYFUNCTION("""COMPUTED_VALUE"""),"Bob Dukiet")</f>
        <v>Bob Dukiet</v>
      </c>
      <c r="E6427" s="4" t="str">
        <f>IFERROR(__xludf.DUMMYFUNCTION("""COMPUTED_VALUE"""),"Boston College")</f>
        <v>Boston College</v>
      </c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</row>
    <row r="6428">
      <c r="A6428" s="4">
        <f>IFERROR(__xludf.DUMMYFUNCTION("""COMPUTED_VALUE"""),182.0)</f>
        <v>182</v>
      </c>
      <c r="B6428" s="4">
        <f>IFERROR(__xludf.DUMMYFUNCTION("""COMPUTED_VALUE"""),182.0)</f>
        <v>182</v>
      </c>
      <c r="C6428" s="4" t="str">
        <f>IFERROR(__xludf.DUMMYFUNCTION("""COMPUTED_VALUE"""),"ATL")</f>
        <v>ATL</v>
      </c>
      <c r="D6428" s="4" t="str">
        <f>IFERROR(__xludf.DUMMYFUNCTION("""COMPUTED_VALUE"""),"Dino Meneghin")</f>
        <v>Dino Meneghin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</row>
    <row r="6429">
      <c r="A6429" s="4">
        <f>IFERROR(__xludf.DUMMYFUNCTION("""COMPUTED_VALUE"""),183.0)</f>
        <v>183</v>
      </c>
      <c r="B6429" s="4">
        <f>IFERROR(__xludf.DUMMYFUNCTION("""COMPUTED_VALUE"""),183.0)</f>
        <v>183</v>
      </c>
      <c r="C6429" s="4" t="str">
        <f>IFERROR(__xludf.DUMMYFUNCTION("""COMPUTED_VALUE"""),"BAL")</f>
        <v>BAL</v>
      </c>
      <c r="D6429" s="4" t="str">
        <f>IFERROR(__xludf.DUMMYFUNCTION("""COMPUTED_VALUE"""),"Mel Bell")</f>
        <v>Mel Bell</v>
      </c>
      <c r="E6429" s="4" t="str">
        <f>IFERROR(__xludf.DUMMYFUNCTION("""COMPUTED_VALUE"""),"Houston")</f>
        <v>Houston</v>
      </c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</row>
    <row r="6430">
      <c r="A6430" s="4"/>
      <c r="B6430" s="4"/>
      <c r="C6430" s="4"/>
      <c r="D6430" s="4" t="str">
        <f>IFERROR(__xludf.DUMMYFUNCTION("""COMPUTED_VALUE"""),"Round 12")</f>
        <v>Round 12</v>
      </c>
      <c r="E6430" s="4"/>
      <c r="F6430" s="4"/>
      <c r="G6430" s="4" t="str">
        <f>IFERROR(__xludf.DUMMYFUNCTION("""COMPUTED_VALUE"""),"Totals")</f>
        <v>Totals</v>
      </c>
      <c r="H6430" s="4"/>
      <c r="I6430" s="4"/>
      <c r="J6430" s="4"/>
      <c r="K6430" s="4"/>
      <c r="L6430" s="4" t="str">
        <f>IFERROR(__xludf.DUMMYFUNCTION("""COMPUTED_VALUE"""),"Shooting")</f>
        <v>Shooting</v>
      </c>
      <c r="M6430" s="4"/>
      <c r="N6430" s="4"/>
      <c r="O6430" s="4" t="str">
        <f>IFERROR(__xludf.DUMMYFUNCTION("""COMPUTED_VALUE"""),"Per Game")</f>
        <v>Per Game</v>
      </c>
      <c r="P6430" s="4"/>
      <c r="Q6430" s="4"/>
      <c r="R6430" s="4"/>
      <c r="S6430" s="4" t="str">
        <f>IFERROR(__xludf.DUMMYFUNCTION("""COMPUTED_VALUE"""),"Advanced")</f>
        <v>Advanced</v>
      </c>
      <c r="T6430" s="4"/>
      <c r="U6430" s="4"/>
      <c r="V6430" s="4"/>
    </row>
    <row r="6431">
      <c r="A6431" s="4" t="str">
        <f>IFERROR(__xludf.DUMMYFUNCTION("""COMPUTED_VALUE"""),"Rk")</f>
        <v>Rk</v>
      </c>
      <c r="B6431" s="4" t="str">
        <f>IFERROR(__xludf.DUMMYFUNCTION("""COMPUTED_VALUE"""),"Pk")</f>
        <v>Pk</v>
      </c>
      <c r="C6431" s="4" t="str">
        <f>IFERROR(__xludf.DUMMYFUNCTION("""COMPUTED_VALUE"""),"Tm")</f>
        <v>Tm</v>
      </c>
      <c r="D6431" s="4" t="str">
        <f>IFERROR(__xludf.DUMMYFUNCTION("""COMPUTED_VALUE"""),"Player")</f>
        <v>Player</v>
      </c>
      <c r="E6431" s="4" t="str">
        <f>IFERROR(__xludf.DUMMYFUNCTION("""COMPUTED_VALUE"""),"College")</f>
        <v>College</v>
      </c>
      <c r="F6431" s="4" t="str">
        <f>IFERROR(__xludf.DUMMYFUNCTION("""COMPUTED_VALUE"""),"Yrs")</f>
        <v>Yrs</v>
      </c>
      <c r="G6431" s="4" t="str">
        <f>IFERROR(__xludf.DUMMYFUNCTION("""COMPUTED_VALUE"""),"G")</f>
        <v>G</v>
      </c>
      <c r="H6431" s="4" t="str">
        <f>IFERROR(__xludf.DUMMYFUNCTION("""COMPUTED_VALUE"""),"MP")</f>
        <v>MP</v>
      </c>
      <c r="I6431" s="4" t="str">
        <f>IFERROR(__xludf.DUMMYFUNCTION("""COMPUTED_VALUE"""),"PTS")</f>
        <v>PTS</v>
      </c>
      <c r="J6431" s="4" t="str">
        <f>IFERROR(__xludf.DUMMYFUNCTION("""COMPUTED_VALUE"""),"TRB")</f>
        <v>TRB</v>
      </c>
      <c r="K6431" s="4" t="str">
        <f>IFERROR(__xludf.DUMMYFUNCTION("""COMPUTED_VALUE"""),"AST")</f>
        <v>AST</v>
      </c>
      <c r="L6431" s="4" t="str">
        <f>IFERROR(__xludf.DUMMYFUNCTION("""COMPUTED_VALUE"""),"FG%")</f>
        <v>FG%</v>
      </c>
      <c r="M6431" s="4" t="str">
        <f>IFERROR(__xludf.DUMMYFUNCTION("""COMPUTED_VALUE"""),"3P%")</f>
        <v>3P%</v>
      </c>
      <c r="N6431" s="4" t="str">
        <f>IFERROR(__xludf.DUMMYFUNCTION("""COMPUTED_VALUE"""),"FT%")</f>
        <v>FT%</v>
      </c>
      <c r="O6431" s="4" t="str">
        <f>IFERROR(__xludf.DUMMYFUNCTION("""COMPUTED_VALUE"""),"MP")</f>
        <v>MP</v>
      </c>
      <c r="P6431" s="4" t="str">
        <f>IFERROR(__xludf.DUMMYFUNCTION("""COMPUTED_VALUE"""),"PTS")</f>
        <v>PTS</v>
      </c>
      <c r="Q6431" s="4" t="str">
        <f>IFERROR(__xludf.DUMMYFUNCTION("""COMPUTED_VALUE"""),"TRB")</f>
        <v>TRB</v>
      </c>
      <c r="R6431" s="4" t="str">
        <f>IFERROR(__xludf.DUMMYFUNCTION("""COMPUTED_VALUE"""),"AST")</f>
        <v>AST</v>
      </c>
      <c r="S6431" s="4" t="str">
        <f>IFERROR(__xludf.DUMMYFUNCTION("""COMPUTED_VALUE"""),"WS")</f>
        <v>WS</v>
      </c>
      <c r="T6431" s="4" t="str">
        <f>IFERROR(__xludf.DUMMYFUNCTION("""COMPUTED_VALUE"""),"WS/48")</f>
        <v>WS/48</v>
      </c>
      <c r="U6431" s="4" t="str">
        <f>IFERROR(__xludf.DUMMYFUNCTION("""COMPUTED_VALUE"""),"BPM")</f>
        <v>BPM</v>
      </c>
      <c r="V6431" s="4" t="str">
        <f>IFERROR(__xludf.DUMMYFUNCTION("""COMPUTED_VALUE"""),"VORP")</f>
        <v>VORP</v>
      </c>
    </row>
    <row r="6432">
      <c r="A6432" s="4">
        <f>IFERROR(__xludf.DUMMYFUNCTION("""COMPUTED_VALUE"""),184.0)</f>
        <v>184</v>
      </c>
      <c r="B6432" s="4">
        <f>IFERROR(__xludf.DUMMYFUNCTION("""COMPUTED_VALUE"""),184.0)</f>
        <v>184</v>
      </c>
      <c r="C6432" s="4" t="str">
        <f>IFERROR(__xludf.DUMMYFUNCTION("""COMPUTED_VALUE"""),"SDR")</f>
        <v>SDR</v>
      </c>
      <c r="D6432" s="4" t="str">
        <f>IFERROR(__xludf.DUMMYFUNCTION("""COMPUTED_VALUE"""),"Jim Brooks")</f>
        <v>Jim Brooks</v>
      </c>
      <c r="E6432" s="4" t="str">
        <f>IFERROR(__xludf.DUMMYFUNCTION("""COMPUTED_VALUE"""),"Nebraska")</f>
        <v>Nebraska</v>
      </c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</row>
    <row r="6433">
      <c r="A6433" s="4">
        <f>IFERROR(__xludf.DUMMYFUNCTION("""COMPUTED_VALUE"""),185.0)</f>
        <v>185</v>
      </c>
      <c r="B6433" s="4">
        <f>IFERROR(__xludf.DUMMYFUNCTION("""COMPUTED_VALUE"""),185.0)</f>
        <v>185</v>
      </c>
      <c r="C6433" s="4" t="str">
        <f>IFERROR(__xludf.DUMMYFUNCTION("""COMPUTED_VALUE"""),"DET")</f>
        <v>DET</v>
      </c>
      <c r="D6433" s="4" t="str">
        <f>IFERROR(__xludf.DUMMYFUNCTION("""COMPUTED_VALUE"""),"Don Ogletree")</f>
        <v>Don Ogletree</v>
      </c>
      <c r="E6433" s="4" t="str">
        <f>IFERROR(__xludf.DUMMYFUNCTION("""COMPUTED_VALUE"""),"Cincinnati")</f>
        <v>Cincinnati</v>
      </c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</row>
    <row r="6434">
      <c r="A6434" s="4">
        <f>IFERROR(__xludf.DUMMYFUNCTION("""COMPUTED_VALUE"""),186.0)</f>
        <v>186</v>
      </c>
      <c r="B6434" s="4">
        <f>IFERROR(__xludf.DUMMYFUNCTION("""COMPUTED_VALUE"""),186.0)</f>
        <v>186</v>
      </c>
      <c r="C6434" s="4" t="str">
        <f>IFERROR(__xludf.DUMMYFUNCTION("""COMPUTED_VALUE"""),"CIN")</f>
        <v>CIN</v>
      </c>
      <c r="D6434" s="4" t="str">
        <f>IFERROR(__xludf.DUMMYFUNCTION("""COMPUTED_VALUE"""),"Reggie Roach")</f>
        <v>Reggie Roach</v>
      </c>
      <c r="E6434" s="4" t="str">
        <f>IFERROR(__xludf.DUMMYFUNCTION("""COMPUTED_VALUE"""),"Virginia State University")</f>
        <v>Virginia State University</v>
      </c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</row>
    <row r="6435">
      <c r="A6435" s="4">
        <f>IFERROR(__xludf.DUMMYFUNCTION("""COMPUTED_VALUE"""),187.0)</f>
        <v>187</v>
      </c>
      <c r="B6435" s="4">
        <f>IFERROR(__xludf.DUMMYFUNCTION("""COMPUTED_VALUE"""),187.0)</f>
        <v>187</v>
      </c>
      <c r="C6435" s="4" t="str">
        <f>IFERROR(__xludf.DUMMYFUNCTION("""COMPUTED_VALUE"""),"SEA")</f>
        <v>SEA</v>
      </c>
      <c r="D6435" s="4" t="str">
        <f>IFERROR(__xludf.DUMMYFUNCTION("""COMPUTED_VALUE"""),"Joe Brunson")</f>
        <v>Joe Brunson</v>
      </c>
      <c r="E6435" s="4" t="str">
        <f>IFERROR(__xludf.DUMMYFUNCTION("""COMPUTED_VALUE"""),"Furman University")</f>
        <v>Furman University</v>
      </c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</row>
    <row r="6436">
      <c r="A6436" s="4">
        <f>IFERROR(__xludf.DUMMYFUNCTION("""COMPUTED_VALUE"""),188.0)</f>
        <v>188</v>
      </c>
      <c r="B6436" s="4">
        <f>IFERROR(__xludf.DUMMYFUNCTION("""COMPUTED_VALUE"""),188.0)</f>
        <v>188</v>
      </c>
      <c r="C6436" s="4" t="str">
        <f>IFERROR(__xludf.DUMMYFUNCTION("""COMPUTED_VALUE"""),"POR")</f>
        <v>POR</v>
      </c>
      <c r="D6436" s="4" t="str">
        <f>IFERROR(__xludf.DUMMYFUNCTION("""COMPUTED_VALUE"""),"Paul Adams")</f>
        <v>Paul Adams</v>
      </c>
      <c r="E6436" s="4" t="str">
        <f>IFERROR(__xludf.DUMMYFUNCTION("""COMPUTED_VALUE"""),"Central Washington University")</f>
        <v>Central Washington University</v>
      </c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</row>
    <row r="6437">
      <c r="A6437" s="4">
        <f>IFERROR(__xludf.DUMMYFUNCTION("""COMPUTED_VALUE"""),189.0)</f>
        <v>189</v>
      </c>
      <c r="B6437" s="4">
        <f>IFERROR(__xludf.DUMMYFUNCTION("""COMPUTED_VALUE"""),189.0)</f>
        <v>189</v>
      </c>
      <c r="C6437" s="4" t="str">
        <f>IFERROR(__xludf.DUMMYFUNCTION("""COMPUTED_VALUE"""),"CLE")</f>
        <v>CLE</v>
      </c>
      <c r="D6437" s="4" t="str">
        <f>IFERROR(__xludf.DUMMYFUNCTION("""COMPUTED_VALUE"""),"Ollie Taylor")</f>
        <v>Ollie Taylor</v>
      </c>
      <c r="E6437" s="4" t="str">
        <f>IFERROR(__xludf.DUMMYFUNCTION("""COMPUTED_VALUE"""),"Houston")</f>
        <v>Houston</v>
      </c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</row>
    <row r="6438">
      <c r="A6438" s="4">
        <f>IFERROR(__xludf.DUMMYFUNCTION("""COMPUTED_VALUE"""),190.0)</f>
        <v>190</v>
      </c>
      <c r="B6438" s="4">
        <f>IFERROR(__xludf.DUMMYFUNCTION("""COMPUTED_VALUE"""),190.0)</f>
        <v>190</v>
      </c>
      <c r="C6438" s="4" t="str">
        <f>IFERROR(__xludf.DUMMYFUNCTION("""COMPUTED_VALUE"""),"PHO")</f>
        <v>PHO</v>
      </c>
      <c r="D6438" s="4" t="str">
        <f>IFERROR(__xludf.DUMMYFUNCTION("""COMPUTED_VALUE"""),"Ric Cobb")</f>
        <v>Ric Cobb</v>
      </c>
      <c r="E6438" s="4" t="str">
        <f>IFERROR(__xludf.DUMMYFUNCTION("""COMPUTED_VALUE"""),"Marquette")</f>
        <v>Marquette</v>
      </c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</row>
    <row r="6439">
      <c r="A6439" s="4">
        <f>IFERROR(__xludf.DUMMYFUNCTION("""COMPUTED_VALUE"""),191.0)</f>
        <v>191</v>
      </c>
      <c r="B6439" s="4">
        <f>IFERROR(__xludf.DUMMYFUNCTION("""COMPUTED_VALUE"""),191.0)</f>
        <v>191</v>
      </c>
      <c r="C6439" s="4" t="str">
        <f>IFERROR(__xludf.DUMMYFUNCTION("""COMPUTED_VALUE"""),"CHI")</f>
        <v>CHI</v>
      </c>
      <c r="D6439" s="4" t="str">
        <f>IFERROR(__xludf.DUMMYFUNCTION("""COMPUTED_VALUE"""),"Booker Brown")</f>
        <v>Booker Brown</v>
      </c>
      <c r="E6439" s="4" t="str">
        <f>IFERROR(__xludf.DUMMYFUNCTION("""COMPUTED_VALUE"""),"Middle Tennessee")</f>
        <v>Middle Tennessee</v>
      </c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</row>
    <row r="6440">
      <c r="A6440" s="4">
        <f>IFERROR(__xludf.DUMMYFUNCTION("""COMPUTED_VALUE"""),192.0)</f>
        <v>192</v>
      </c>
      <c r="B6440" s="4">
        <f>IFERROR(__xludf.DUMMYFUNCTION("""COMPUTED_VALUE"""),192.0)</f>
        <v>192</v>
      </c>
      <c r="C6440" s="4" t="str">
        <f>IFERROR(__xludf.DUMMYFUNCTION("""COMPUTED_VALUE"""),"LAL")</f>
        <v>LAL</v>
      </c>
      <c r="D6440" s="4" t="str">
        <f>IFERROR(__xludf.DUMMYFUNCTION("""COMPUTED_VALUE"""),"Dewey Varner")</f>
        <v>Dewey Varner</v>
      </c>
      <c r="E6440" s="4" t="str">
        <f>IFERROR(__xludf.DUMMYFUNCTION("""COMPUTED_VALUE"""),"Tuskegee University")</f>
        <v>Tuskegee University</v>
      </c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</row>
    <row r="6441">
      <c r="A6441" s="4">
        <f>IFERROR(__xludf.DUMMYFUNCTION("""COMPUTED_VALUE"""),193.0)</f>
        <v>193</v>
      </c>
      <c r="B6441" s="4">
        <f>IFERROR(__xludf.DUMMYFUNCTION("""COMPUTED_VALUE"""),193.0)</f>
        <v>193</v>
      </c>
      <c r="C6441" s="4" t="str">
        <f>IFERROR(__xludf.DUMMYFUNCTION("""COMPUTED_VALUE"""),"BAL")</f>
        <v>BAL</v>
      </c>
      <c r="D6441" s="4" t="str">
        <f>IFERROR(__xludf.DUMMYFUNCTION("""COMPUTED_VALUE"""),"Ben McGilmer")</f>
        <v>Ben McGilmer</v>
      </c>
      <c r="E6441" s="4" t="str">
        <f>IFERROR(__xludf.DUMMYFUNCTION("""COMPUTED_VALUE"""),"Iowa")</f>
        <v>Iowa</v>
      </c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</row>
    <row r="6442">
      <c r="A6442" s="4"/>
      <c r="B6442" s="4"/>
      <c r="C6442" s="4"/>
      <c r="D6442" s="4" t="str">
        <f>IFERROR(__xludf.DUMMYFUNCTION("""COMPUTED_VALUE"""),"Round 13")</f>
        <v>Round 13</v>
      </c>
      <c r="E6442" s="4"/>
      <c r="F6442" s="4"/>
      <c r="G6442" s="4" t="str">
        <f>IFERROR(__xludf.DUMMYFUNCTION("""COMPUTED_VALUE"""),"Totals")</f>
        <v>Totals</v>
      </c>
      <c r="H6442" s="4"/>
      <c r="I6442" s="4"/>
      <c r="J6442" s="4"/>
      <c r="K6442" s="4"/>
      <c r="L6442" s="4" t="str">
        <f>IFERROR(__xludf.DUMMYFUNCTION("""COMPUTED_VALUE"""),"Shooting")</f>
        <v>Shooting</v>
      </c>
      <c r="M6442" s="4"/>
      <c r="N6442" s="4"/>
      <c r="O6442" s="4" t="str">
        <f>IFERROR(__xludf.DUMMYFUNCTION("""COMPUTED_VALUE"""),"Per Game")</f>
        <v>Per Game</v>
      </c>
      <c r="P6442" s="4"/>
      <c r="Q6442" s="4"/>
      <c r="R6442" s="4"/>
      <c r="S6442" s="4" t="str">
        <f>IFERROR(__xludf.DUMMYFUNCTION("""COMPUTED_VALUE"""),"Advanced")</f>
        <v>Advanced</v>
      </c>
      <c r="T6442" s="4"/>
      <c r="U6442" s="4"/>
      <c r="V6442" s="4"/>
    </row>
    <row r="6443">
      <c r="A6443" s="4" t="str">
        <f>IFERROR(__xludf.DUMMYFUNCTION("""COMPUTED_VALUE"""),"Rk")</f>
        <v>Rk</v>
      </c>
      <c r="B6443" s="4" t="str">
        <f>IFERROR(__xludf.DUMMYFUNCTION("""COMPUTED_VALUE"""),"Pk")</f>
        <v>Pk</v>
      </c>
      <c r="C6443" s="4" t="str">
        <f>IFERROR(__xludf.DUMMYFUNCTION("""COMPUTED_VALUE"""),"Tm")</f>
        <v>Tm</v>
      </c>
      <c r="D6443" s="4" t="str">
        <f>IFERROR(__xludf.DUMMYFUNCTION("""COMPUTED_VALUE"""),"Player")</f>
        <v>Player</v>
      </c>
      <c r="E6443" s="4" t="str">
        <f>IFERROR(__xludf.DUMMYFUNCTION("""COMPUTED_VALUE"""),"College")</f>
        <v>College</v>
      </c>
      <c r="F6443" s="4" t="str">
        <f>IFERROR(__xludf.DUMMYFUNCTION("""COMPUTED_VALUE"""),"Yrs")</f>
        <v>Yrs</v>
      </c>
      <c r="G6443" s="4" t="str">
        <f>IFERROR(__xludf.DUMMYFUNCTION("""COMPUTED_VALUE"""),"G")</f>
        <v>G</v>
      </c>
      <c r="H6443" s="4" t="str">
        <f>IFERROR(__xludf.DUMMYFUNCTION("""COMPUTED_VALUE"""),"MP")</f>
        <v>MP</v>
      </c>
      <c r="I6443" s="4" t="str">
        <f>IFERROR(__xludf.DUMMYFUNCTION("""COMPUTED_VALUE"""),"PTS")</f>
        <v>PTS</v>
      </c>
      <c r="J6443" s="4" t="str">
        <f>IFERROR(__xludf.DUMMYFUNCTION("""COMPUTED_VALUE"""),"TRB")</f>
        <v>TRB</v>
      </c>
      <c r="K6443" s="4" t="str">
        <f>IFERROR(__xludf.DUMMYFUNCTION("""COMPUTED_VALUE"""),"AST")</f>
        <v>AST</v>
      </c>
      <c r="L6443" s="4" t="str">
        <f>IFERROR(__xludf.DUMMYFUNCTION("""COMPUTED_VALUE"""),"FG%")</f>
        <v>FG%</v>
      </c>
      <c r="M6443" s="4" t="str">
        <f>IFERROR(__xludf.DUMMYFUNCTION("""COMPUTED_VALUE"""),"3P%")</f>
        <v>3P%</v>
      </c>
      <c r="N6443" s="4" t="str">
        <f>IFERROR(__xludf.DUMMYFUNCTION("""COMPUTED_VALUE"""),"FT%")</f>
        <v>FT%</v>
      </c>
      <c r="O6443" s="4" t="str">
        <f>IFERROR(__xludf.DUMMYFUNCTION("""COMPUTED_VALUE"""),"MP")</f>
        <v>MP</v>
      </c>
      <c r="P6443" s="4" t="str">
        <f>IFERROR(__xludf.DUMMYFUNCTION("""COMPUTED_VALUE"""),"PTS")</f>
        <v>PTS</v>
      </c>
      <c r="Q6443" s="4" t="str">
        <f>IFERROR(__xludf.DUMMYFUNCTION("""COMPUTED_VALUE"""),"TRB")</f>
        <v>TRB</v>
      </c>
      <c r="R6443" s="4" t="str">
        <f>IFERROR(__xludf.DUMMYFUNCTION("""COMPUTED_VALUE"""),"AST")</f>
        <v>AST</v>
      </c>
      <c r="S6443" s="4" t="str">
        <f>IFERROR(__xludf.DUMMYFUNCTION("""COMPUTED_VALUE"""),"WS")</f>
        <v>WS</v>
      </c>
      <c r="T6443" s="4" t="str">
        <f>IFERROR(__xludf.DUMMYFUNCTION("""COMPUTED_VALUE"""),"WS/48")</f>
        <v>WS/48</v>
      </c>
      <c r="U6443" s="4" t="str">
        <f>IFERROR(__xludf.DUMMYFUNCTION("""COMPUTED_VALUE"""),"BPM")</f>
        <v>BPM</v>
      </c>
      <c r="V6443" s="4" t="str">
        <f>IFERROR(__xludf.DUMMYFUNCTION("""COMPUTED_VALUE"""),"VORP")</f>
        <v>VORP</v>
      </c>
    </row>
    <row r="6444">
      <c r="A6444" s="4">
        <f>IFERROR(__xludf.DUMMYFUNCTION("""COMPUTED_VALUE"""),194.0)</f>
        <v>194</v>
      </c>
      <c r="B6444" s="4">
        <f>IFERROR(__xludf.DUMMYFUNCTION("""COMPUTED_VALUE"""),194.0)</f>
        <v>194</v>
      </c>
      <c r="C6444" s="4" t="str">
        <f>IFERROR(__xludf.DUMMYFUNCTION("""COMPUTED_VALUE"""),"SDR")</f>
        <v>SDR</v>
      </c>
      <c r="D6444" s="4" t="str">
        <f>IFERROR(__xludf.DUMMYFUNCTION("""COMPUTED_VALUE"""),"Harry Lozon")</f>
        <v>Harry Lozon</v>
      </c>
      <c r="E6444" s="4" t="str">
        <f>IFERROR(__xludf.DUMMYFUNCTION("""COMPUTED_VALUE"""),"Old Dominion")</f>
        <v>Old Dominion</v>
      </c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</row>
    <row r="6445">
      <c r="A6445" s="4">
        <f>IFERROR(__xludf.DUMMYFUNCTION("""COMPUTED_VALUE"""),195.0)</f>
        <v>195</v>
      </c>
      <c r="B6445" s="4">
        <f>IFERROR(__xludf.DUMMYFUNCTION("""COMPUTED_VALUE"""),195.0)</f>
        <v>195</v>
      </c>
      <c r="C6445" s="4" t="str">
        <f>IFERROR(__xludf.DUMMYFUNCTION("""COMPUTED_VALUE"""),"DET")</f>
        <v>DET</v>
      </c>
      <c r="D6445" s="4" t="str">
        <f>IFERROR(__xludf.DUMMYFUNCTION("""COMPUTED_VALUE"""),"Ernest Hardy")</f>
        <v>Ernest Hardy</v>
      </c>
      <c r="E6445" s="4" t="str">
        <f>IFERROR(__xludf.DUMMYFUNCTION("""COMPUTED_VALUE"""),"Harvard University")</f>
        <v>Harvard University</v>
      </c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</row>
    <row r="6446">
      <c r="A6446" s="4">
        <f>IFERROR(__xludf.DUMMYFUNCTION("""COMPUTED_VALUE"""),196.0)</f>
        <v>196</v>
      </c>
      <c r="B6446" s="4">
        <f>IFERROR(__xludf.DUMMYFUNCTION("""COMPUTED_VALUE"""),196.0)</f>
        <v>196</v>
      </c>
      <c r="C6446" s="4" t="str">
        <f>IFERROR(__xludf.DUMMYFUNCTION("""COMPUTED_VALUE"""),"CIN")</f>
        <v>CIN</v>
      </c>
      <c r="D6446" s="4" t="str">
        <f>IFERROR(__xludf.DUMMYFUNCTION("""COMPUTED_VALUE"""),"Larry Gray")</f>
        <v>Larry Gray</v>
      </c>
      <c r="E6446" s="4" t="str">
        <f>IFERROR(__xludf.DUMMYFUNCTION("""COMPUTED_VALUE"""),"Huston-Tillotson University")</f>
        <v>Huston-Tillotson University</v>
      </c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</row>
    <row r="6447">
      <c r="A6447" s="4">
        <f>IFERROR(__xludf.DUMMYFUNCTION("""COMPUTED_VALUE"""),197.0)</f>
        <v>197</v>
      </c>
      <c r="B6447" s="4">
        <f>IFERROR(__xludf.DUMMYFUNCTION("""COMPUTED_VALUE"""),197.0)</f>
        <v>197</v>
      </c>
      <c r="C6447" s="4" t="str">
        <f>IFERROR(__xludf.DUMMYFUNCTION("""COMPUTED_VALUE"""),"SEA")</f>
        <v>SEA</v>
      </c>
      <c r="D6447" s="4" t="str">
        <f>IFERROR(__xludf.DUMMYFUNCTION("""COMPUTED_VALUE"""),"Allen McManus")</f>
        <v>Allen McManus</v>
      </c>
      <c r="E6447" s="4" t="str">
        <f>IFERROR(__xludf.DUMMYFUNCTION("""COMPUTED_VALUE"""),"Winston-Salem State")</f>
        <v>Winston-Salem State</v>
      </c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</row>
    <row r="6448">
      <c r="A6448" s="4">
        <f>IFERROR(__xludf.DUMMYFUNCTION("""COMPUTED_VALUE"""),198.0)</f>
        <v>198</v>
      </c>
      <c r="B6448" s="4">
        <f>IFERROR(__xludf.DUMMYFUNCTION("""COMPUTED_VALUE"""),198.0)</f>
        <v>198</v>
      </c>
      <c r="C6448" s="4" t="str">
        <f>IFERROR(__xludf.DUMMYFUNCTION("""COMPUTED_VALUE"""),"CLE")</f>
        <v>CLE</v>
      </c>
      <c r="D6448" s="4" t="str">
        <f>IFERROR(__xludf.DUMMYFUNCTION("""COMPUTED_VALUE"""),"Kevin Wilson")</f>
        <v>Kevin Wilson</v>
      </c>
      <c r="E6448" s="4" t="str">
        <f>IFERROR(__xludf.DUMMYFUNCTION("""COMPUTED_VALUE"""),"Ashland University")</f>
        <v>Ashland University</v>
      </c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</row>
    <row r="6449">
      <c r="A6449" s="4">
        <f>IFERROR(__xludf.DUMMYFUNCTION("""COMPUTED_VALUE"""),199.0)</f>
        <v>199</v>
      </c>
      <c r="B6449" s="4">
        <f>IFERROR(__xludf.DUMMYFUNCTION("""COMPUTED_VALUE"""),199.0)</f>
        <v>199</v>
      </c>
      <c r="C6449" s="4" t="str">
        <f>IFERROR(__xludf.DUMMYFUNCTION("""COMPUTED_VALUE"""),"POR")</f>
        <v>POR</v>
      </c>
      <c r="D6449" s="4" t="str">
        <f>IFERROR(__xludf.DUMMYFUNCTION("""COMPUTED_VALUE"""),"Alex Boyd")</f>
        <v>Alex Boyd</v>
      </c>
      <c r="E6449" s="4" t="str">
        <f>IFERROR(__xludf.DUMMYFUNCTION("""COMPUTED_VALUE"""),"Nevada")</f>
        <v>Nevada</v>
      </c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</row>
    <row r="6450">
      <c r="A6450" s="4">
        <f>IFERROR(__xludf.DUMMYFUNCTION("""COMPUTED_VALUE"""),200.0)</f>
        <v>200</v>
      </c>
      <c r="B6450" s="4">
        <f>IFERROR(__xludf.DUMMYFUNCTION("""COMPUTED_VALUE"""),200.0)</f>
        <v>200</v>
      </c>
      <c r="C6450" s="4" t="str">
        <f>IFERROR(__xludf.DUMMYFUNCTION("""COMPUTED_VALUE"""),"PHO")</f>
        <v>PHO</v>
      </c>
      <c r="D6450" s="4" t="str">
        <f>IFERROR(__xludf.DUMMYFUNCTION("""COMPUTED_VALUE"""),"Fred Carpenter")</f>
        <v>Fred Carpenter</v>
      </c>
      <c r="E6450" s="4" t="str">
        <f>IFERROR(__xludf.DUMMYFUNCTION("""COMPUTED_VALUE"""),"Hawaii")</f>
        <v>Hawaii</v>
      </c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</row>
    <row r="6451">
      <c r="A6451" s="4">
        <f>IFERROR(__xludf.DUMMYFUNCTION("""COMPUTED_VALUE"""),201.0)</f>
        <v>201</v>
      </c>
      <c r="B6451" s="4">
        <f>IFERROR(__xludf.DUMMYFUNCTION("""COMPUTED_VALUE"""),201.0)</f>
        <v>201</v>
      </c>
      <c r="C6451" s="4" t="str">
        <f>IFERROR(__xludf.DUMMYFUNCTION("""COMPUTED_VALUE"""),"CHI")</f>
        <v>CHI</v>
      </c>
      <c r="D6451" s="4" t="str">
        <f>IFERROR(__xludf.DUMMYFUNCTION("""COMPUTED_VALUE"""),"Charles Bloodworth")</f>
        <v>Charles Bloodworth</v>
      </c>
      <c r="E6451" s="4" t="str">
        <f>IFERROR(__xludf.DUMMYFUNCTION("""COMPUTED_VALUE"""),"Northwestern State University")</f>
        <v>Northwestern State University</v>
      </c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</row>
    <row r="6452">
      <c r="A6452" s="4">
        <f>IFERROR(__xludf.DUMMYFUNCTION("""COMPUTED_VALUE"""),202.0)</f>
        <v>202</v>
      </c>
      <c r="B6452" s="4">
        <f>IFERROR(__xludf.DUMMYFUNCTION("""COMPUTED_VALUE"""),202.0)</f>
        <v>202</v>
      </c>
      <c r="C6452" s="4" t="str">
        <f>IFERROR(__xludf.DUMMYFUNCTION("""COMPUTED_VALUE"""),"LAL")</f>
        <v>LAL</v>
      </c>
      <c r="D6452" s="4" t="str">
        <f>IFERROR(__xludf.DUMMYFUNCTION("""COMPUTED_VALUE"""),"Gary Elliot")</f>
        <v>Gary Elliot</v>
      </c>
      <c r="E6452" s="4" t="str">
        <f>IFERROR(__xludf.DUMMYFUNCTION("""COMPUTED_VALUE"""),"Washington State")</f>
        <v>Washington State</v>
      </c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</row>
    <row r="6453">
      <c r="A6453" s="4">
        <f>IFERROR(__xludf.DUMMYFUNCTION("""COMPUTED_VALUE"""),203.0)</f>
        <v>203</v>
      </c>
      <c r="B6453" s="4">
        <f>IFERROR(__xludf.DUMMYFUNCTION("""COMPUTED_VALUE"""),203.0)</f>
        <v>203</v>
      </c>
      <c r="C6453" s="4" t="str">
        <f>IFERROR(__xludf.DUMMYFUNCTION("""COMPUTED_VALUE"""),"BAL")</f>
        <v>BAL</v>
      </c>
      <c r="D6453" s="4" t="str">
        <f>IFERROR(__xludf.DUMMYFUNCTION("""COMPUTED_VALUE"""),"Don Debardelaben")</f>
        <v>Don Debardelaben</v>
      </c>
      <c r="E6453" s="4" t="str">
        <f>IFERROR(__xludf.DUMMYFUNCTION("""COMPUTED_VALUE"""),"Northern Arizona University")</f>
        <v>Northern Arizona University</v>
      </c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</row>
    <row r="6454">
      <c r="A6454" s="4"/>
      <c r="B6454" s="4"/>
      <c r="C6454" s="4"/>
      <c r="D6454" s="4" t="str">
        <f>IFERROR(__xludf.DUMMYFUNCTION("""COMPUTED_VALUE"""),"Round 14")</f>
        <v>Round 14</v>
      </c>
      <c r="E6454" s="4"/>
      <c r="F6454" s="4"/>
      <c r="G6454" s="4" t="str">
        <f>IFERROR(__xludf.DUMMYFUNCTION("""COMPUTED_VALUE"""),"Totals")</f>
        <v>Totals</v>
      </c>
      <c r="H6454" s="4"/>
      <c r="I6454" s="4"/>
      <c r="J6454" s="4"/>
      <c r="K6454" s="4"/>
      <c r="L6454" s="4" t="str">
        <f>IFERROR(__xludf.DUMMYFUNCTION("""COMPUTED_VALUE"""),"Shooting")</f>
        <v>Shooting</v>
      </c>
      <c r="M6454" s="4"/>
      <c r="N6454" s="4"/>
      <c r="O6454" s="4" t="str">
        <f>IFERROR(__xludf.DUMMYFUNCTION("""COMPUTED_VALUE"""),"Per Game")</f>
        <v>Per Game</v>
      </c>
      <c r="P6454" s="4"/>
      <c r="Q6454" s="4"/>
      <c r="R6454" s="4"/>
      <c r="S6454" s="4" t="str">
        <f>IFERROR(__xludf.DUMMYFUNCTION("""COMPUTED_VALUE"""),"Advanced")</f>
        <v>Advanced</v>
      </c>
      <c r="T6454" s="4"/>
      <c r="U6454" s="4"/>
      <c r="V6454" s="4"/>
    </row>
    <row r="6455">
      <c r="A6455" s="4" t="str">
        <f>IFERROR(__xludf.DUMMYFUNCTION("""COMPUTED_VALUE"""),"Rk")</f>
        <v>Rk</v>
      </c>
      <c r="B6455" s="4" t="str">
        <f>IFERROR(__xludf.DUMMYFUNCTION("""COMPUTED_VALUE"""),"Pk")</f>
        <v>Pk</v>
      </c>
      <c r="C6455" s="4" t="str">
        <f>IFERROR(__xludf.DUMMYFUNCTION("""COMPUTED_VALUE"""),"Tm")</f>
        <v>Tm</v>
      </c>
      <c r="D6455" s="4" t="str">
        <f>IFERROR(__xludf.DUMMYFUNCTION("""COMPUTED_VALUE"""),"Player")</f>
        <v>Player</v>
      </c>
      <c r="E6455" s="4" t="str">
        <f>IFERROR(__xludf.DUMMYFUNCTION("""COMPUTED_VALUE"""),"College")</f>
        <v>College</v>
      </c>
      <c r="F6455" s="4" t="str">
        <f>IFERROR(__xludf.DUMMYFUNCTION("""COMPUTED_VALUE"""),"Yrs")</f>
        <v>Yrs</v>
      </c>
      <c r="G6455" s="4" t="str">
        <f>IFERROR(__xludf.DUMMYFUNCTION("""COMPUTED_VALUE"""),"G")</f>
        <v>G</v>
      </c>
      <c r="H6455" s="4" t="str">
        <f>IFERROR(__xludf.DUMMYFUNCTION("""COMPUTED_VALUE"""),"MP")</f>
        <v>MP</v>
      </c>
      <c r="I6455" s="4" t="str">
        <f>IFERROR(__xludf.DUMMYFUNCTION("""COMPUTED_VALUE"""),"PTS")</f>
        <v>PTS</v>
      </c>
      <c r="J6455" s="4" t="str">
        <f>IFERROR(__xludf.DUMMYFUNCTION("""COMPUTED_VALUE"""),"TRB")</f>
        <v>TRB</v>
      </c>
      <c r="K6455" s="4" t="str">
        <f>IFERROR(__xludf.DUMMYFUNCTION("""COMPUTED_VALUE"""),"AST")</f>
        <v>AST</v>
      </c>
      <c r="L6455" s="4" t="str">
        <f>IFERROR(__xludf.DUMMYFUNCTION("""COMPUTED_VALUE"""),"FG%")</f>
        <v>FG%</v>
      </c>
      <c r="M6455" s="4" t="str">
        <f>IFERROR(__xludf.DUMMYFUNCTION("""COMPUTED_VALUE"""),"3P%")</f>
        <v>3P%</v>
      </c>
      <c r="N6455" s="4" t="str">
        <f>IFERROR(__xludf.DUMMYFUNCTION("""COMPUTED_VALUE"""),"FT%")</f>
        <v>FT%</v>
      </c>
      <c r="O6455" s="4" t="str">
        <f>IFERROR(__xludf.DUMMYFUNCTION("""COMPUTED_VALUE"""),"MP")</f>
        <v>MP</v>
      </c>
      <c r="P6455" s="4" t="str">
        <f>IFERROR(__xludf.DUMMYFUNCTION("""COMPUTED_VALUE"""),"PTS")</f>
        <v>PTS</v>
      </c>
      <c r="Q6455" s="4" t="str">
        <f>IFERROR(__xludf.DUMMYFUNCTION("""COMPUTED_VALUE"""),"TRB")</f>
        <v>TRB</v>
      </c>
      <c r="R6455" s="4" t="str">
        <f>IFERROR(__xludf.DUMMYFUNCTION("""COMPUTED_VALUE"""),"AST")</f>
        <v>AST</v>
      </c>
      <c r="S6455" s="4" t="str">
        <f>IFERROR(__xludf.DUMMYFUNCTION("""COMPUTED_VALUE"""),"WS")</f>
        <v>WS</v>
      </c>
      <c r="T6455" s="4" t="str">
        <f>IFERROR(__xludf.DUMMYFUNCTION("""COMPUTED_VALUE"""),"WS/48")</f>
        <v>WS/48</v>
      </c>
      <c r="U6455" s="4" t="str">
        <f>IFERROR(__xludf.DUMMYFUNCTION("""COMPUTED_VALUE"""),"BPM")</f>
        <v>BPM</v>
      </c>
      <c r="V6455" s="4" t="str">
        <f>IFERROR(__xludf.DUMMYFUNCTION("""COMPUTED_VALUE"""),"VORP")</f>
        <v>VORP</v>
      </c>
    </row>
    <row r="6456">
      <c r="A6456" s="4">
        <f>IFERROR(__xludf.DUMMYFUNCTION("""COMPUTED_VALUE"""),204.0)</f>
        <v>204</v>
      </c>
      <c r="B6456" s="4">
        <f>IFERROR(__xludf.DUMMYFUNCTION("""COMPUTED_VALUE"""),204.0)</f>
        <v>204</v>
      </c>
      <c r="C6456" s="4" t="str">
        <f>IFERROR(__xludf.DUMMYFUNCTION("""COMPUTED_VALUE"""),"SDR")</f>
        <v>SDR</v>
      </c>
      <c r="D6456" s="4" t="str">
        <f>IFERROR(__xludf.DUMMYFUNCTION("""COMPUTED_VALUE"""),"Clyde Oatis")</f>
        <v>Clyde Oatis</v>
      </c>
      <c r="E6456" s="4" t="str">
        <f>IFERROR(__xludf.DUMMYFUNCTION("""COMPUTED_VALUE"""),"Aurora University")</f>
        <v>Aurora University</v>
      </c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</row>
    <row r="6457">
      <c r="A6457" s="4">
        <f>IFERROR(__xludf.DUMMYFUNCTION("""COMPUTED_VALUE"""),205.0)</f>
        <v>205</v>
      </c>
      <c r="B6457" s="4">
        <f>IFERROR(__xludf.DUMMYFUNCTION("""COMPUTED_VALUE"""),205.0)</f>
        <v>205</v>
      </c>
      <c r="C6457" s="4" t="str">
        <f>IFERROR(__xludf.DUMMYFUNCTION("""COMPUTED_VALUE"""),"DET")</f>
        <v>DET</v>
      </c>
      <c r="D6457" s="4" t="str">
        <f>IFERROR(__xludf.DUMMYFUNCTION("""COMPUTED_VALUE"""),"Randy Smith")</f>
        <v>Randy Smith</v>
      </c>
      <c r="E6457" s="4" t="str">
        <f>IFERROR(__xludf.DUMMYFUNCTION("""COMPUTED_VALUE"""),"Buffalo State")</f>
        <v>Buffalo State</v>
      </c>
      <c r="F6457" s="4">
        <f>IFERROR(__xludf.DUMMYFUNCTION("""COMPUTED_VALUE"""),12.0)</f>
        <v>12</v>
      </c>
      <c r="G6457" s="4">
        <f>IFERROR(__xludf.DUMMYFUNCTION("""COMPUTED_VALUE"""),976.0)</f>
        <v>976</v>
      </c>
      <c r="H6457" s="4">
        <f>IFERROR(__xludf.DUMMYFUNCTION("""COMPUTED_VALUE"""),31444.0)</f>
        <v>31444</v>
      </c>
      <c r="I6457" s="4">
        <f>IFERROR(__xludf.DUMMYFUNCTION("""COMPUTED_VALUE"""),16262.0)</f>
        <v>16262</v>
      </c>
      <c r="J6457" s="4">
        <f>IFERROR(__xludf.DUMMYFUNCTION("""COMPUTED_VALUE"""),3597.0)</f>
        <v>3597</v>
      </c>
      <c r="K6457" s="4">
        <f>IFERROR(__xludf.DUMMYFUNCTION("""COMPUTED_VALUE"""),4487.0)</f>
        <v>4487</v>
      </c>
      <c r="L6457" s="4">
        <f>IFERROR(__xludf.DUMMYFUNCTION("""COMPUTED_VALUE"""),0.47)</f>
        <v>0.47</v>
      </c>
      <c r="M6457" s="4"/>
      <c r="N6457" s="4">
        <f>IFERROR(__xludf.DUMMYFUNCTION("""COMPUTED_VALUE"""),0.781)</f>
        <v>0.781</v>
      </c>
      <c r="O6457" s="4">
        <f>IFERROR(__xludf.DUMMYFUNCTION("""COMPUTED_VALUE"""),32.2)</f>
        <v>32.2</v>
      </c>
      <c r="P6457" s="4">
        <f>IFERROR(__xludf.DUMMYFUNCTION("""COMPUTED_VALUE"""),16.7)</f>
        <v>16.7</v>
      </c>
      <c r="Q6457" s="4">
        <f>IFERROR(__xludf.DUMMYFUNCTION("""COMPUTED_VALUE"""),3.7)</f>
        <v>3.7</v>
      </c>
      <c r="R6457" s="4">
        <f>IFERROR(__xludf.DUMMYFUNCTION("""COMPUTED_VALUE"""),4.6)</f>
        <v>4.6</v>
      </c>
      <c r="S6457" s="4">
        <f>IFERROR(__xludf.DUMMYFUNCTION("""COMPUTED_VALUE"""),60.1)</f>
        <v>60.1</v>
      </c>
      <c r="T6457" s="4">
        <f>IFERROR(__xludf.DUMMYFUNCTION("""COMPUTED_VALUE"""),0.092)</f>
        <v>0.092</v>
      </c>
      <c r="U6457" s="4">
        <f>IFERROR(__xludf.DUMMYFUNCTION("""COMPUTED_VALUE"""),0.4)</f>
        <v>0.4</v>
      </c>
      <c r="V6457" s="4">
        <f>IFERROR(__xludf.DUMMYFUNCTION("""COMPUTED_VALUE"""),16.0)</f>
        <v>16</v>
      </c>
    </row>
    <row r="6458">
      <c r="A6458" s="4">
        <f>IFERROR(__xludf.DUMMYFUNCTION("""COMPUTED_VALUE"""),206.0)</f>
        <v>206</v>
      </c>
      <c r="B6458" s="4">
        <f>IFERROR(__xludf.DUMMYFUNCTION("""COMPUTED_VALUE"""),206.0)</f>
        <v>206</v>
      </c>
      <c r="C6458" s="4" t="str">
        <f>IFERROR(__xludf.DUMMYFUNCTION("""COMPUTED_VALUE"""),"CIN")</f>
        <v>CIN</v>
      </c>
      <c r="D6458" s="4" t="str">
        <f>IFERROR(__xludf.DUMMYFUNCTION("""COMPUTED_VALUE"""),"Andy Jennings")</f>
        <v>Andy Jennings</v>
      </c>
      <c r="E6458" s="4" t="str">
        <f>IFERROR(__xludf.DUMMYFUNCTION("""COMPUTED_VALUE"""),"Alderson-Broaddus College")</f>
        <v>Alderson-Broaddus College</v>
      </c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</row>
    <row r="6459">
      <c r="A6459" s="4">
        <f>IFERROR(__xludf.DUMMYFUNCTION("""COMPUTED_VALUE"""),207.0)</f>
        <v>207</v>
      </c>
      <c r="B6459" s="4">
        <f>IFERROR(__xludf.DUMMYFUNCTION("""COMPUTED_VALUE"""),207.0)</f>
        <v>207</v>
      </c>
      <c r="C6459" s="4" t="str">
        <f>IFERROR(__xludf.DUMMYFUNCTION("""COMPUTED_VALUE"""),"SEA")</f>
        <v>SEA</v>
      </c>
      <c r="D6459" s="4" t="str">
        <f>IFERROR(__xludf.DUMMYFUNCTION("""COMPUTED_VALUE"""),"Dan Beeson")</f>
        <v>Dan Beeson</v>
      </c>
      <c r="E6459" s="4" t="str">
        <f>IFERROR(__xludf.DUMMYFUNCTION("""COMPUTED_VALUE"""),"Linfield College")</f>
        <v>Linfield College</v>
      </c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</row>
    <row r="6460">
      <c r="A6460" s="4">
        <f>IFERROR(__xludf.DUMMYFUNCTION("""COMPUTED_VALUE"""),208.0)</f>
        <v>208</v>
      </c>
      <c r="B6460" s="4">
        <f>IFERROR(__xludf.DUMMYFUNCTION("""COMPUTED_VALUE"""),208.0)</f>
        <v>208</v>
      </c>
      <c r="C6460" s="4" t="str">
        <f>IFERROR(__xludf.DUMMYFUNCTION("""COMPUTED_VALUE"""),"POR")</f>
        <v>POR</v>
      </c>
      <c r="D6460" s="4" t="str">
        <f>IFERROR(__xludf.DUMMYFUNCTION("""COMPUTED_VALUE"""),"Frank Lothridge")</f>
        <v>Frank Lothridge</v>
      </c>
      <c r="E6460" s="4" t="str">
        <f>IFERROR(__xludf.DUMMYFUNCTION("""COMPUTED_VALUE"""),"University of Texas Rio Grande Valley")</f>
        <v>University of Texas Rio Grande Valley</v>
      </c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</row>
    <row r="6461">
      <c r="A6461" s="4">
        <f>IFERROR(__xludf.DUMMYFUNCTION("""COMPUTED_VALUE"""),209.0)</f>
        <v>209</v>
      </c>
      <c r="B6461" s="4">
        <f>IFERROR(__xludf.DUMMYFUNCTION("""COMPUTED_VALUE"""),209.0)</f>
        <v>209</v>
      </c>
      <c r="C6461" s="4" t="str">
        <f>IFERROR(__xludf.DUMMYFUNCTION("""COMPUTED_VALUE"""),"CLE")</f>
        <v>CLE</v>
      </c>
      <c r="D6461" s="4" t="str">
        <f>IFERROR(__xludf.DUMMYFUNCTION("""COMPUTED_VALUE"""),"Don Tomilson")</f>
        <v>Don Tomilson</v>
      </c>
      <c r="E6461" s="4" t="str">
        <f>IFERROR(__xludf.DUMMYFUNCTION("""COMPUTED_VALUE"""),"Missouri")</f>
        <v>Missouri</v>
      </c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</row>
    <row r="6462">
      <c r="A6462" s="4">
        <f>IFERROR(__xludf.DUMMYFUNCTION("""COMPUTED_VALUE"""),210.0)</f>
        <v>210</v>
      </c>
      <c r="B6462" s="4">
        <f>IFERROR(__xludf.DUMMYFUNCTION("""COMPUTED_VALUE"""),210.0)</f>
        <v>210</v>
      </c>
      <c r="C6462" s="4" t="str">
        <f>IFERROR(__xludf.DUMMYFUNCTION("""COMPUTED_VALUE"""),"PHO")</f>
        <v>PHO</v>
      </c>
      <c r="D6462" s="4" t="str">
        <f>IFERROR(__xludf.DUMMYFUNCTION("""COMPUTED_VALUE"""),"Chad Calabria")</f>
        <v>Chad Calabria</v>
      </c>
      <c r="E6462" s="4" t="str">
        <f>IFERROR(__xludf.DUMMYFUNCTION("""COMPUTED_VALUE"""),"Iowa")</f>
        <v>Iowa</v>
      </c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</row>
    <row r="6463">
      <c r="A6463" s="4">
        <f>IFERROR(__xludf.DUMMYFUNCTION("""COMPUTED_VALUE"""),211.0)</f>
        <v>211</v>
      </c>
      <c r="B6463" s="4">
        <f>IFERROR(__xludf.DUMMYFUNCTION("""COMPUTED_VALUE"""),211.0)</f>
        <v>211</v>
      </c>
      <c r="C6463" s="4" t="str">
        <f>IFERROR(__xludf.DUMMYFUNCTION("""COMPUTED_VALUE"""),"CHI")</f>
        <v>CHI</v>
      </c>
      <c r="D6463" s="4" t="str">
        <f>IFERROR(__xludf.DUMMYFUNCTION("""COMPUTED_VALUE"""),"Paul Funkhouser")</f>
        <v>Paul Funkhouser</v>
      </c>
      <c r="E6463" s="4" t="str">
        <f>IFERROR(__xludf.DUMMYFUNCTION("""COMPUTED_VALUE"""),"McKendree College")</f>
        <v>McKendree College</v>
      </c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</row>
    <row r="6464">
      <c r="A6464" s="4">
        <f>IFERROR(__xludf.DUMMYFUNCTION("""COMPUTED_VALUE"""),212.0)</f>
        <v>212</v>
      </c>
      <c r="B6464" s="4">
        <f>IFERROR(__xludf.DUMMYFUNCTION("""COMPUTED_VALUE"""),212.0)</f>
        <v>212</v>
      </c>
      <c r="C6464" s="4" t="str">
        <f>IFERROR(__xludf.DUMMYFUNCTION("""COMPUTED_VALUE"""),"LAL")</f>
        <v>LAL</v>
      </c>
      <c r="D6464" s="4" t="str">
        <f>IFERROR(__xludf.DUMMYFUNCTION("""COMPUTED_VALUE"""),"Ron Sanford")</f>
        <v>Ron Sanford</v>
      </c>
      <c r="E6464" s="4" t="str">
        <f>IFERROR(__xludf.DUMMYFUNCTION("""COMPUTED_VALUE"""),"New Mexico")</f>
        <v>New Mexico</v>
      </c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</row>
    <row r="6465">
      <c r="A6465" s="4">
        <f>IFERROR(__xludf.DUMMYFUNCTION("""COMPUTED_VALUE"""),213.0)</f>
        <v>213</v>
      </c>
      <c r="B6465" s="4">
        <f>IFERROR(__xludf.DUMMYFUNCTION("""COMPUTED_VALUE"""),213.0)</f>
        <v>213</v>
      </c>
      <c r="C6465" s="4" t="str">
        <f>IFERROR(__xludf.DUMMYFUNCTION("""COMPUTED_VALUE"""),"BAL")</f>
        <v>BAL</v>
      </c>
      <c r="D6465" s="4" t="str">
        <f>IFERROR(__xludf.DUMMYFUNCTION("""COMPUTED_VALUE"""),"Mike Williams")</f>
        <v>Mike Williams</v>
      </c>
      <c r="E6465" s="4" t="str">
        <f>IFERROR(__xludf.DUMMYFUNCTION("""COMPUTED_VALUE"""),"Northern Arizona University")</f>
        <v>Northern Arizona University</v>
      </c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</row>
    <row r="6466">
      <c r="A6466" s="4"/>
      <c r="B6466" s="4"/>
      <c r="C6466" s="4"/>
      <c r="D6466" s="4" t="str">
        <f>IFERROR(__xludf.DUMMYFUNCTION("""COMPUTED_VALUE"""),"Round 15")</f>
        <v>Round 15</v>
      </c>
      <c r="E6466" s="4"/>
      <c r="F6466" s="4"/>
      <c r="G6466" s="4" t="str">
        <f>IFERROR(__xludf.DUMMYFUNCTION("""COMPUTED_VALUE"""),"Totals")</f>
        <v>Totals</v>
      </c>
      <c r="H6466" s="4"/>
      <c r="I6466" s="4"/>
      <c r="J6466" s="4"/>
      <c r="K6466" s="4"/>
      <c r="L6466" s="4" t="str">
        <f>IFERROR(__xludf.DUMMYFUNCTION("""COMPUTED_VALUE"""),"Shooting")</f>
        <v>Shooting</v>
      </c>
      <c r="M6466" s="4"/>
      <c r="N6466" s="4"/>
      <c r="O6466" s="4" t="str">
        <f>IFERROR(__xludf.DUMMYFUNCTION("""COMPUTED_VALUE"""),"Per Game")</f>
        <v>Per Game</v>
      </c>
      <c r="P6466" s="4"/>
      <c r="Q6466" s="4"/>
      <c r="R6466" s="4"/>
      <c r="S6466" s="4" t="str">
        <f>IFERROR(__xludf.DUMMYFUNCTION("""COMPUTED_VALUE"""),"Advanced")</f>
        <v>Advanced</v>
      </c>
      <c r="T6466" s="4"/>
      <c r="U6466" s="4"/>
      <c r="V6466" s="4"/>
    </row>
    <row r="6467">
      <c r="A6467" s="4" t="str">
        <f>IFERROR(__xludf.DUMMYFUNCTION("""COMPUTED_VALUE"""),"Rk")</f>
        <v>Rk</v>
      </c>
      <c r="B6467" s="4" t="str">
        <f>IFERROR(__xludf.DUMMYFUNCTION("""COMPUTED_VALUE"""),"Pk")</f>
        <v>Pk</v>
      </c>
      <c r="C6467" s="4" t="str">
        <f>IFERROR(__xludf.DUMMYFUNCTION("""COMPUTED_VALUE"""),"Tm")</f>
        <v>Tm</v>
      </c>
      <c r="D6467" s="4" t="str">
        <f>IFERROR(__xludf.DUMMYFUNCTION("""COMPUTED_VALUE"""),"Player")</f>
        <v>Player</v>
      </c>
      <c r="E6467" s="4" t="str">
        <f>IFERROR(__xludf.DUMMYFUNCTION("""COMPUTED_VALUE"""),"College")</f>
        <v>College</v>
      </c>
      <c r="F6467" s="4" t="str">
        <f>IFERROR(__xludf.DUMMYFUNCTION("""COMPUTED_VALUE"""),"Yrs")</f>
        <v>Yrs</v>
      </c>
      <c r="G6467" s="4" t="str">
        <f>IFERROR(__xludf.DUMMYFUNCTION("""COMPUTED_VALUE"""),"G")</f>
        <v>G</v>
      </c>
      <c r="H6467" s="4" t="str">
        <f>IFERROR(__xludf.DUMMYFUNCTION("""COMPUTED_VALUE"""),"MP")</f>
        <v>MP</v>
      </c>
      <c r="I6467" s="4" t="str">
        <f>IFERROR(__xludf.DUMMYFUNCTION("""COMPUTED_VALUE"""),"PTS")</f>
        <v>PTS</v>
      </c>
      <c r="J6467" s="4" t="str">
        <f>IFERROR(__xludf.DUMMYFUNCTION("""COMPUTED_VALUE"""),"TRB")</f>
        <v>TRB</v>
      </c>
      <c r="K6467" s="4" t="str">
        <f>IFERROR(__xludf.DUMMYFUNCTION("""COMPUTED_VALUE"""),"AST")</f>
        <v>AST</v>
      </c>
      <c r="L6467" s="4" t="str">
        <f>IFERROR(__xludf.DUMMYFUNCTION("""COMPUTED_VALUE"""),"FG%")</f>
        <v>FG%</v>
      </c>
      <c r="M6467" s="4" t="str">
        <f>IFERROR(__xludf.DUMMYFUNCTION("""COMPUTED_VALUE"""),"3P%")</f>
        <v>3P%</v>
      </c>
      <c r="N6467" s="4" t="str">
        <f>IFERROR(__xludf.DUMMYFUNCTION("""COMPUTED_VALUE"""),"FT%")</f>
        <v>FT%</v>
      </c>
      <c r="O6467" s="4" t="str">
        <f>IFERROR(__xludf.DUMMYFUNCTION("""COMPUTED_VALUE"""),"MP")</f>
        <v>MP</v>
      </c>
      <c r="P6467" s="4" t="str">
        <f>IFERROR(__xludf.DUMMYFUNCTION("""COMPUTED_VALUE"""),"PTS")</f>
        <v>PTS</v>
      </c>
      <c r="Q6467" s="4" t="str">
        <f>IFERROR(__xludf.DUMMYFUNCTION("""COMPUTED_VALUE"""),"TRB")</f>
        <v>TRB</v>
      </c>
      <c r="R6467" s="4" t="str">
        <f>IFERROR(__xludf.DUMMYFUNCTION("""COMPUTED_VALUE"""),"AST")</f>
        <v>AST</v>
      </c>
      <c r="S6467" s="4" t="str">
        <f>IFERROR(__xludf.DUMMYFUNCTION("""COMPUTED_VALUE"""),"WS")</f>
        <v>WS</v>
      </c>
      <c r="T6467" s="4" t="str">
        <f>IFERROR(__xludf.DUMMYFUNCTION("""COMPUTED_VALUE"""),"WS/48")</f>
        <v>WS/48</v>
      </c>
      <c r="U6467" s="4" t="str">
        <f>IFERROR(__xludf.DUMMYFUNCTION("""COMPUTED_VALUE"""),"BPM")</f>
        <v>BPM</v>
      </c>
      <c r="V6467" s="4" t="str">
        <f>IFERROR(__xludf.DUMMYFUNCTION("""COMPUTED_VALUE"""),"VORP")</f>
        <v>VORP</v>
      </c>
    </row>
    <row r="6468">
      <c r="A6468" s="4">
        <f>IFERROR(__xludf.DUMMYFUNCTION("""COMPUTED_VALUE"""),214.0)</f>
        <v>214</v>
      </c>
      <c r="B6468" s="4">
        <f>IFERROR(__xludf.DUMMYFUNCTION("""COMPUTED_VALUE"""),214.0)</f>
        <v>214</v>
      </c>
      <c r="C6468" s="4" t="str">
        <f>IFERROR(__xludf.DUMMYFUNCTION("""COMPUTED_VALUE"""),"SDR")</f>
        <v>SDR</v>
      </c>
      <c r="D6468" s="4" t="str">
        <f>IFERROR(__xludf.DUMMYFUNCTION("""COMPUTED_VALUE"""),"Jay Bond")</f>
        <v>Jay Bond</v>
      </c>
      <c r="E6468" s="4" t="str">
        <f>IFERROR(__xludf.DUMMYFUNCTION("""COMPUTED_VALUE"""),"Washington")</f>
        <v>Washington</v>
      </c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</row>
    <row r="6469">
      <c r="A6469" s="4">
        <f>IFERROR(__xludf.DUMMYFUNCTION("""COMPUTED_VALUE"""),215.0)</f>
        <v>215</v>
      </c>
      <c r="B6469" s="4">
        <f>IFERROR(__xludf.DUMMYFUNCTION("""COMPUTED_VALUE"""),215.0)</f>
        <v>215</v>
      </c>
      <c r="C6469" s="4" t="str">
        <f>IFERROR(__xludf.DUMMYFUNCTION("""COMPUTED_VALUE"""),"DET")</f>
        <v>DET</v>
      </c>
      <c r="D6469" s="4" t="str">
        <f>IFERROR(__xludf.DUMMYFUNCTION("""COMPUTED_VALUE"""),"Denis Clark")</f>
        <v>Denis Clark</v>
      </c>
      <c r="E6469" s="4" t="str">
        <f>IFERROR(__xludf.DUMMYFUNCTION("""COMPUTED_VALUE"""),"Springfield College")</f>
        <v>Springfield College</v>
      </c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</row>
    <row r="6470">
      <c r="A6470" s="4">
        <f>IFERROR(__xludf.DUMMYFUNCTION("""COMPUTED_VALUE"""),216.0)</f>
        <v>216</v>
      </c>
      <c r="B6470" s="4">
        <f>IFERROR(__xludf.DUMMYFUNCTION("""COMPUTED_VALUE"""),216.0)</f>
        <v>216</v>
      </c>
      <c r="C6470" s="4" t="str">
        <f>IFERROR(__xludf.DUMMYFUNCTION("""COMPUTED_VALUE"""),"CIN")</f>
        <v>CIN</v>
      </c>
      <c r="D6470" s="4" t="str">
        <f>IFERROR(__xludf.DUMMYFUNCTION("""COMPUTED_VALUE"""),"Mike Neer")</f>
        <v>Mike Neer</v>
      </c>
      <c r="E6470" s="4" t="str">
        <f>IFERROR(__xludf.DUMMYFUNCTION("""COMPUTED_VALUE"""),"Washington &amp; Lee University")</f>
        <v>Washington &amp; Lee University</v>
      </c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</row>
    <row r="6471">
      <c r="A6471" s="4">
        <f>IFERROR(__xludf.DUMMYFUNCTION("""COMPUTED_VALUE"""),217.0)</f>
        <v>217</v>
      </c>
      <c r="B6471" s="4">
        <f>IFERROR(__xludf.DUMMYFUNCTION("""COMPUTED_VALUE"""),217.0)</f>
        <v>217</v>
      </c>
      <c r="C6471" s="4" t="str">
        <f>IFERROR(__xludf.DUMMYFUNCTION("""COMPUTED_VALUE"""),"CLE")</f>
        <v>CLE</v>
      </c>
      <c r="D6471" s="4" t="str">
        <f>IFERROR(__xludf.DUMMYFUNCTION("""COMPUTED_VALUE"""),"Steve Wannamaker")</f>
        <v>Steve Wannamaker</v>
      </c>
      <c r="E6471" s="4" t="str">
        <f>IFERROR(__xludf.DUMMYFUNCTION("""COMPUTED_VALUE"""),"Drake University")</f>
        <v>Drake University</v>
      </c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</row>
    <row r="6472">
      <c r="A6472" s="4">
        <f>IFERROR(__xludf.DUMMYFUNCTION("""COMPUTED_VALUE"""),218.0)</f>
        <v>218</v>
      </c>
      <c r="B6472" s="4">
        <f>IFERROR(__xludf.DUMMYFUNCTION("""COMPUTED_VALUE"""),218.0)</f>
        <v>218</v>
      </c>
      <c r="C6472" s="4" t="str">
        <f>IFERROR(__xludf.DUMMYFUNCTION("""COMPUTED_VALUE"""),"POR")</f>
        <v>POR</v>
      </c>
      <c r="D6472" s="4" t="str">
        <f>IFERROR(__xludf.DUMMYFUNCTION("""COMPUTED_VALUE"""),"Wayne Canaday")</f>
        <v>Wayne Canaday</v>
      </c>
      <c r="E6472" s="4" t="str">
        <f>IFERROR(__xludf.DUMMYFUNCTION("""COMPUTED_VALUE"""),"Miami (FL)")</f>
        <v>Miami (FL)</v>
      </c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</row>
    <row r="6473">
      <c r="A6473" s="4">
        <f>IFERROR(__xludf.DUMMYFUNCTION("""COMPUTED_VALUE"""),219.0)</f>
        <v>219</v>
      </c>
      <c r="B6473" s="4">
        <f>IFERROR(__xludf.DUMMYFUNCTION("""COMPUTED_VALUE"""),219.0)</f>
        <v>219</v>
      </c>
      <c r="C6473" s="4" t="str">
        <f>IFERROR(__xludf.DUMMYFUNCTION("""COMPUTED_VALUE"""),"PHO")</f>
        <v>PHO</v>
      </c>
      <c r="D6473" s="4" t="str">
        <f>IFERROR(__xludf.DUMMYFUNCTION("""COMPUTED_VALUE"""),"Walt Williams")</f>
        <v>Walt Williams</v>
      </c>
      <c r="E6473" s="4" t="str">
        <f>IFERROR(__xludf.DUMMYFUNCTION("""COMPUTED_VALUE"""),"Miami University")</f>
        <v>Miami University</v>
      </c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</row>
    <row r="6474">
      <c r="A6474" s="4">
        <f>IFERROR(__xludf.DUMMYFUNCTION("""COMPUTED_VALUE"""),220.0)</f>
        <v>220</v>
      </c>
      <c r="B6474" s="4">
        <f>IFERROR(__xludf.DUMMYFUNCTION("""COMPUTED_VALUE"""),220.0)</f>
        <v>220</v>
      </c>
      <c r="C6474" s="4" t="str">
        <f>IFERROR(__xludf.DUMMYFUNCTION("""COMPUTED_VALUE"""),"CHI")</f>
        <v>CHI</v>
      </c>
      <c r="D6474" s="4" t="str">
        <f>IFERROR(__xludf.DUMMYFUNCTION("""COMPUTED_VALUE"""),"Paul Otay")</f>
        <v>Paul Otay</v>
      </c>
      <c r="E6474" s="4" t="str">
        <f>IFERROR(__xludf.DUMMYFUNCTION("""COMPUTED_VALUE"""),"Boise State")</f>
        <v>Boise State</v>
      </c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</row>
    <row r="6475">
      <c r="A6475" s="4">
        <f>IFERROR(__xludf.DUMMYFUNCTION("""COMPUTED_VALUE"""),221.0)</f>
        <v>221</v>
      </c>
      <c r="B6475" s="4">
        <f>IFERROR(__xludf.DUMMYFUNCTION("""COMPUTED_VALUE"""),221.0)</f>
        <v>221</v>
      </c>
      <c r="C6475" s="4" t="str">
        <f>IFERROR(__xludf.DUMMYFUNCTION("""COMPUTED_VALUE"""),"LAL")</f>
        <v>LAL</v>
      </c>
      <c r="D6475" s="4" t="str">
        <f>IFERROR(__xludf.DUMMYFUNCTION("""COMPUTED_VALUE"""),"Will Teague")</f>
        <v>Will Teague</v>
      </c>
      <c r="E6475" s="4" t="str">
        <f>IFERROR(__xludf.DUMMYFUNCTION("""COMPUTED_VALUE"""),"Youngstown State University")</f>
        <v>Youngstown State University</v>
      </c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</row>
    <row r="6476">
      <c r="A6476" s="4">
        <f>IFERROR(__xludf.DUMMYFUNCTION("""COMPUTED_VALUE"""),222.0)</f>
        <v>222</v>
      </c>
      <c r="B6476" s="4">
        <f>IFERROR(__xludf.DUMMYFUNCTION("""COMPUTED_VALUE"""),222.0)</f>
        <v>222</v>
      </c>
      <c r="C6476" s="4" t="str">
        <f>IFERROR(__xludf.DUMMYFUNCTION("""COMPUTED_VALUE"""),"BAL")</f>
        <v>BAL</v>
      </c>
      <c r="D6476" s="4" t="str">
        <f>IFERROR(__xludf.DUMMYFUNCTION("""COMPUTED_VALUE"""),"Ted Rose")</f>
        <v>Ted Rose</v>
      </c>
      <c r="E6476" s="4" t="str">
        <f>IFERROR(__xludf.DUMMYFUNCTION("""COMPUTED_VALUE"""),"Northern Michigan University")</f>
        <v>Northern Michigan University</v>
      </c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</row>
    <row r="6477">
      <c r="A6477" s="4"/>
      <c r="B6477" s="4"/>
      <c r="C6477" s="4"/>
      <c r="D6477" s="4" t="str">
        <f>IFERROR(__xludf.DUMMYFUNCTION("""COMPUTED_VALUE"""),"Round 16")</f>
        <v>Round 16</v>
      </c>
      <c r="E6477" s="4"/>
      <c r="F6477" s="4"/>
      <c r="G6477" s="4" t="str">
        <f>IFERROR(__xludf.DUMMYFUNCTION("""COMPUTED_VALUE"""),"Totals")</f>
        <v>Totals</v>
      </c>
      <c r="H6477" s="4"/>
      <c r="I6477" s="4"/>
      <c r="J6477" s="4"/>
      <c r="K6477" s="4"/>
      <c r="L6477" s="4" t="str">
        <f>IFERROR(__xludf.DUMMYFUNCTION("""COMPUTED_VALUE"""),"Shooting")</f>
        <v>Shooting</v>
      </c>
      <c r="M6477" s="4"/>
      <c r="N6477" s="4"/>
      <c r="O6477" s="4" t="str">
        <f>IFERROR(__xludf.DUMMYFUNCTION("""COMPUTED_VALUE"""),"Per Game")</f>
        <v>Per Game</v>
      </c>
      <c r="P6477" s="4"/>
      <c r="Q6477" s="4"/>
      <c r="R6477" s="4"/>
      <c r="S6477" s="4" t="str">
        <f>IFERROR(__xludf.DUMMYFUNCTION("""COMPUTED_VALUE"""),"Advanced")</f>
        <v>Advanced</v>
      </c>
      <c r="T6477" s="4"/>
      <c r="U6477" s="4"/>
      <c r="V6477" s="4"/>
    </row>
    <row r="6478">
      <c r="A6478" s="4" t="str">
        <f>IFERROR(__xludf.DUMMYFUNCTION("""COMPUTED_VALUE"""),"Rk")</f>
        <v>Rk</v>
      </c>
      <c r="B6478" s="4" t="str">
        <f>IFERROR(__xludf.DUMMYFUNCTION("""COMPUTED_VALUE"""),"Pk")</f>
        <v>Pk</v>
      </c>
      <c r="C6478" s="4" t="str">
        <f>IFERROR(__xludf.DUMMYFUNCTION("""COMPUTED_VALUE"""),"Tm")</f>
        <v>Tm</v>
      </c>
      <c r="D6478" s="4" t="str">
        <f>IFERROR(__xludf.DUMMYFUNCTION("""COMPUTED_VALUE"""),"Player")</f>
        <v>Player</v>
      </c>
      <c r="E6478" s="4" t="str">
        <f>IFERROR(__xludf.DUMMYFUNCTION("""COMPUTED_VALUE"""),"College")</f>
        <v>College</v>
      </c>
      <c r="F6478" s="4" t="str">
        <f>IFERROR(__xludf.DUMMYFUNCTION("""COMPUTED_VALUE"""),"Yrs")</f>
        <v>Yrs</v>
      </c>
      <c r="G6478" s="4" t="str">
        <f>IFERROR(__xludf.DUMMYFUNCTION("""COMPUTED_VALUE"""),"G")</f>
        <v>G</v>
      </c>
      <c r="H6478" s="4" t="str">
        <f>IFERROR(__xludf.DUMMYFUNCTION("""COMPUTED_VALUE"""),"MP")</f>
        <v>MP</v>
      </c>
      <c r="I6478" s="4" t="str">
        <f>IFERROR(__xludf.DUMMYFUNCTION("""COMPUTED_VALUE"""),"PTS")</f>
        <v>PTS</v>
      </c>
      <c r="J6478" s="4" t="str">
        <f>IFERROR(__xludf.DUMMYFUNCTION("""COMPUTED_VALUE"""),"TRB")</f>
        <v>TRB</v>
      </c>
      <c r="K6478" s="4" t="str">
        <f>IFERROR(__xludf.DUMMYFUNCTION("""COMPUTED_VALUE"""),"AST")</f>
        <v>AST</v>
      </c>
      <c r="L6478" s="4" t="str">
        <f>IFERROR(__xludf.DUMMYFUNCTION("""COMPUTED_VALUE"""),"FG%")</f>
        <v>FG%</v>
      </c>
      <c r="M6478" s="4" t="str">
        <f>IFERROR(__xludf.DUMMYFUNCTION("""COMPUTED_VALUE"""),"3P%")</f>
        <v>3P%</v>
      </c>
      <c r="N6478" s="4" t="str">
        <f>IFERROR(__xludf.DUMMYFUNCTION("""COMPUTED_VALUE"""),"FT%")</f>
        <v>FT%</v>
      </c>
      <c r="O6478" s="4" t="str">
        <f>IFERROR(__xludf.DUMMYFUNCTION("""COMPUTED_VALUE"""),"MP")</f>
        <v>MP</v>
      </c>
      <c r="P6478" s="4" t="str">
        <f>IFERROR(__xludf.DUMMYFUNCTION("""COMPUTED_VALUE"""),"PTS")</f>
        <v>PTS</v>
      </c>
      <c r="Q6478" s="4" t="str">
        <f>IFERROR(__xludf.DUMMYFUNCTION("""COMPUTED_VALUE"""),"TRB")</f>
        <v>TRB</v>
      </c>
      <c r="R6478" s="4" t="str">
        <f>IFERROR(__xludf.DUMMYFUNCTION("""COMPUTED_VALUE"""),"AST")</f>
        <v>AST</v>
      </c>
      <c r="S6478" s="4" t="str">
        <f>IFERROR(__xludf.DUMMYFUNCTION("""COMPUTED_VALUE"""),"WS")</f>
        <v>WS</v>
      </c>
      <c r="T6478" s="4" t="str">
        <f>IFERROR(__xludf.DUMMYFUNCTION("""COMPUTED_VALUE"""),"WS/48")</f>
        <v>WS/48</v>
      </c>
      <c r="U6478" s="4" t="str">
        <f>IFERROR(__xludf.DUMMYFUNCTION("""COMPUTED_VALUE"""),"BPM")</f>
        <v>BPM</v>
      </c>
      <c r="V6478" s="4" t="str">
        <f>IFERROR(__xludf.DUMMYFUNCTION("""COMPUTED_VALUE"""),"VORP")</f>
        <v>VORP</v>
      </c>
    </row>
    <row r="6479">
      <c r="A6479" s="4">
        <f>IFERROR(__xludf.DUMMYFUNCTION("""COMPUTED_VALUE"""),223.0)</f>
        <v>223</v>
      </c>
      <c r="B6479" s="4">
        <f>IFERROR(__xludf.DUMMYFUNCTION("""COMPUTED_VALUE"""),223.0)</f>
        <v>223</v>
      </c>
      <c r="C6479" s="4" t="str">
        <f>IFERROR(__xludf.DUMMYFUNCTION("""COMPUTED_VALUE"""),"SDR")</f>
        <v>SDR</v>
      </c>
      <c r="D6479" s="4" t="str">
        <f>IFERROR(__xludf.DUMMYFUNCTION("""COMPUTED_VALUE"""),"Dean Elofson")</f>
        <v>Dean Elofson</v>
      </c>
      <c r="E6479" s="4" t="str">
        <f>IFERROR(__xludf.DUMMYFUNCTION("""COMPUTED_VALUE"""),"Wayne State College")</f>
        <v>Wayne State College</v>
      </c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</row>
    <row r="6480">
      <c r="A6480" s="4">
        <f>IFERROR(__xludf.DUMMYFUNCTION("""COMPUTED_VALUE"""),224.0)</f>
        <v>224</v>
      </c>
      <c r="B6480" s="4">
        <f>IFERROR(__xludf.DUMMYFUNCTION("""COMPUTED_VALUE"""),224.0)</f>
        <v>224</v>
      </c>
      <c r="C6480" s="4" t="str">
        <f>IFERROR(__xludf.DUMMYFUNCTION("""COMPUTED_VALUE"""),"DET")</f>
        <v>DET</v>
      </c>
      <c r="D6480" s="4" t="str">
        <f>IFERROR(__xludf.DUMMYFUNCTION("""COMPUTED_VALUE"""),"Harvey Marlatt")</f>
        <v>Harvey Marlatt</v>
      </c>
      <c r="E6480" s="4" t="str">
        <f>IFERROR(__xludf.DUMMYFUNCTION("""COMPUTED_VALUE"""),"Eastern Michigan")</f>
        <v>Eastern Michigan</v>
      </c>
      <c r="F6480" s="4">
        <f>IFERROR(__xludf.DUMMYFUNCTION("""COMPUTED_VALUE"""),3.0)</f>
        <v>3</v>
      </c>
      <c r="G6480" s="4">
        <f>IFERROR(__xludf.DUMMYFUNCTION("""COMPUTED_VALUE"""),61.0)</f>
        <v>61</v>
      </c>
      <c r="H6480" s="4">
        <f>IFERROR(__xludf.DUMMYFUNCTION("""COMPUTED_VALUE"""),746.0)</f>
        <v>746</v>
      </c>
      <c r="I6480" s="4">
        <f>IFERROR(__xludf.DUMMYFUNCTION("""COMPUTED_VALUE"""),225.0)</f>
        <v>225</v>
      </c>
      <c r="J6480" s="4">
        <f>IFERROR(__xludf.DUMMYFUNCTION("""COMPUTED_VALUE"""),86.0)</f>
        <v>86</v>
      </c>
      <c r="K6480" s="4">
        <f>IFERROR(__xludf.DUMMYFUNCTION("""COMPUTED_VALUE"""),94.0)</f>
        <v>94</v>
      </c>
      <c r="L6480" s="4">
        <f>IFERROR(__xludf.DUMMYFUNCTION("""COMPUTED_VALUE"""),0.373)</f>
        <v>0.373</v>
      </c>
      <c r="M6480" s="4"/>
      <c r="N6480" s="4">
        <f>IFERROR(__xludf.DUMMYFUNCTION("""COMPUTED_VALUE"""),0.85)</f>
        <v>0.85</v>
      </c>
      <c r="O6480" s="4">
        <f>IFERROR(__xludf.DUMMYFUNCTION("""COMPUTED_VALUE"""),12.2)</f>
        <v>12.2</v>
      </c>
      <c r="P6480" s="4">
        <f>IFERROR(__xludf.DUMMYFUNCTION("""COMPUTED_VALUE"""),3.7)</f>
        <v>3.7</v>
      </c>
      <c r="Q6480" s="4">
        <f>IFERROR(__xludf.DUMMYFUNCTION("""COMPUTED_VALUE"""),1.4)</f>
        <v>1.4</v>
      </c>
      <c r="R6480" s="4">
        <f>IFERROR(__xludf.DUMMYFUNCTION("""COMPUTED_VALUE"""),1.5)</f>
        <v>1.5</v>
      </c>
      <c r="S6480" s="4">
        <f>IFERROR(__xludf.DUMMYFUNCTION("""COMPUTED_VALUE"""),-0.1)</f>
        <v>-0.1</v>
      </c>
      <c r="T6480" s="4">
        <f>IFERROR(__xludf.DUMMYFUNCTION("""COMPUTED_VALUE"""),-0.007)</f>
        <v>-0.007</v>
      </c>
      <c r="U6480" s="4"/>
      <c r="V6480" s="4"/>
    </row>
    <row r="6481">
      <c r="A6481" s="4">
        <f>IFERROR(__xludf.DUMMYFUNCTION("""COMPUTED_VALUE"""),225.0)</f>
        <v>225</v>
      </c>
      <c r="B6481" s="4">
        <f>IFERROR(__xludf.DUMMYFUNCTION("""COMPUTED_VALUE"""),225.0)</f>
        <v>225</v>
      </c>
      <c r="C6481" s="4" t="str">
        <f>IFERROR(__xludf.DUMMYFUNCTION("""COMPUTED_VALUE"""),"CIN")</f>
        <v>CIN</v>
      </c>
      <c r="D6481" s="4" t="str">
        <f>IFERROR(__xludf.DUMMYFUNCTION("""COMPUTED_VALUE"""),"Paul Favorite")</f>
        <v>Paul Favorite</v>
      </c>
      <c r="E6481" s="4" t="str">
        <f>IFERROR(__xludf.DUMMYFUNCTION("""COMPUTED_VALUE"""),"Georgetown")</f>
        <v>Georgetown</v>
      </c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</row>
    <row r="6482">
      <c r="A6482" s="4">
        <f>IFERROR(__xludf.DUMMYFUNCTION("""COMPUTED_VALUE"""),226.0)</f>
        <v>226</v>
      </c>
      <c r="B6482" s="4">
        <f>IFERROR(__xludf.DUMMYFUNCTION("""COMPUTED_VALUE"""),226.0)</f>
        <v>226</v>
      </c>
      <c r="C6482" s="4" t="str">
        <f>IFERROR(__xludf.DUMMYFUNCTION("""COMPUTED_VALUE"""),"POR")</f>
        <v>POR</v>
      </c>
      <c r="D6482" s="4" t="str">
        <f>IFERROR(__xludf.DUMMYFUNCTION("""COMPUTED_VALUE"""),"Doug Williams")</f>
        <v>Doug Williams</v>
      </c>
      <c r="E6482" s="4" t="str">
        <f>IFERROR(__xludf.DUMMYFUNCTION("""COMPUTED_VALUE"""),"St. Mary's University")</f>
        <v>St. Mary's University</v>
      </c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</row>
    <row r="6483">
      <c r="A6483" s="4">
        <f>IFERROR(__xludf.DUMMYFUNCTION("""COMPUTED_VALUE"""),227.0)</f>
        <v>227</v>
      </c>
      <c r="B6483" s="4">
        <f>IFERROR(__xludf.DUMMYFUNCTION("""COMPUTED_VALUE"""),227.0)</f>
        <v>227</v>
      </c>
      <c r="C6483" s="4" t="str">
        <f>IFERROR(__xludf.DUMMYFUNCTION("""COMPUTED_VALUE"""),"CLE")</f>
        <v>CLE</v>
      </c>
      <c r="D6483" s="4" t="str">
        <f>IFERROR(__xludf.DUMMYFUNCTION("""COMPUTED_VALUE"""),"Steve Wilson")</f>
        <v>Steve Wilson</v>
      </c>
      <c r="E6483" s="4" t="str">
        <f>IFERROR(__xludf.DUMMYFUNCTION("""COMPUTED_VALUE"""),"Hanover College")</f>
        <v>Hanover College</v>
      </c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</row>
    <row r="6484">
      <c r="A6484" s="4">
        <f>IFERROR(__xludf.DUMMYFUNCTION("""COMPUTED_VALUE"""),228.0)</f>
        <v>228</v>
      </c>
      <c r="B6484" s="4">
        <f>IFERROR(__xludf.DUMMYFUNCTION("""COMPUTED_VALUE"""),228.0)</f>
        <v>228</v>
      </c>
      <c r="C6484" s="4" t="str">
        <f>IFERROR(__xludf.DUMMYFUNCTION("""COMPUTED_VALUE"""),"LAL")</f>
        <v>LAL</v>
      </c>
      <c r="D6484" s="4" t="str">
        <f>IFERROR(__xludf.DUMMYFUNCTION("""COMPUTED_VALUE"""),"Pete Walthour")</f>
        <v>Pete Walthour</v>
      </c>
      <c r="E6484" s="4" t="str">
        <f>IFERROR(__xludf.DUMMYFUNCTION("""COMPUTED_VALUE"""),"Fort Valley State University")</f>
        <v>Fort Valley State University</v>
      </c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</row>
    <row r="6485">
      <c r="A6485" s="4">
        <f>IFERROR(__xludf.DUMMYFUNCTION("""COMPUTED_VALUE"""),229.0)</f>
        <v>229</v>
      </c>
      <c r="B6485" s="4">
        <f>IFERROR(__xludf.DUMMYFUNCTION("""COMPUTED_VALUE"""),229.0)</f>
        <v>229</v>
      </c>
      <c r="C6485" s="4" t="str">
        <f>IFERROR(__xludf.DUMMYFUNCTION("""COMPUTED_VALUE"""),"BAL")</f>
        <v>BAL</v>
      </c>
      <c r="D6485" s="4" t="str">
        <f>IFERROR(__xludf.DUMMYFUNCTION("""COMPUTED_VALUE"""),"Don Rather")</f>
        <v>Don Rather</v>
      </c>
      <c r="E6485" s="4" t="str">
        <f>IFERROR(__xludf.DUMMYFUNCTION("""COMPUTED_VALUE"""),"Northern Arizona University")</f>
        <v>Northern Arizona University</v>
      </c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</row>
    <row r="6486">
      <c r="A6486" s="4"/>
      <c r="B6486" s="4"/>
      <c r="C6486" s="4"/>
      <c r="D6486" s="4" t="str">
        <f>IFERROR(__xludf.DUMMYFUNCTION("""COMPUTED_VALUE"""),"Round 17")</f>
        <v>Round 17</v>
      </c>
      <c r="E6486" s="4"/>
      <c r="F6486" s="4"/>
      <c r="G6486" s="4" t="str">
        <f>IFERROR(__xludf.DUMMYFUNCTION("""COMPUTED_VALUE"""),"Totals")</f>
        <v>Totals</v>
      </c>
      <c r="H6486" s="4"/>
      <c r="I6486" s="4"/>
      <c r="J6486" s="4"/>
      <c r="K6486" s="4"/>
      <c r="L6486" s="4" t="str">
        <f>IFERROR(__xludf.DUMMYFUNCTION("""COMPUTED_VALUE"""),"Shooting")</f>
        <v>Shooting</v>
      </c>
      <c r="M6486" s="4"/>
      <c r="N6486" s="4"/>
      <c r="O6486" s="4" t="str">
        <f>IFERROR(__xludf.DUMMYFUNCTION("""COMPUTED_VALUE"""),"Per Game")</f>
        <v>Per Game</v>
      </c>
      <c r="P6486" s="4"/>
      <c r="Q6486" s="4"/>
      <c r="R6486" s="4"/>
      <c r="S6486" s="4" t="str">
        <f>IFERROR(__xludf.DUMMYFUNCTION("""COMPUTED_VALUE"""),"Advanced")</f>
        <v>Advanced</v>
      </c>
      <c r="T6486" s="4"/>
      <c r="U6486" s="4"/>
      <c r="V6486" s="4"/>
    </row>
    <row r="6487">
      <c r="A6487" s="4" t="str">
        <f>IFERROR(__xludf.DUMMYFUNCTION("""COMPUTED_VALUE"""),"Rk")</f>
        <v>Rk</v>
      </c>
      <c r="B6487" s="4" t="str">
        <f>IFERROR(__xludf.DUMMYFUNCTION("""COMPUTED_VALUE"""),"Pk")</f>
        <v>Pk</v>
      </c>
      <c r="C6487" s="4" t="str">
        <f>IFERROR(__xludf.DUMMYFUNCTION("""COMPUTED_VALUE"""),"Tm")</f>
        <v>Tm</v>
      </c>
      <c r="D6487" s="4" t="str">
        <f>IFERROR(__xludf.DUMMYFUNCTION("""COMPUTED_VALUE"""),"Player")</f>
        <v>Player</v>
      </c>
      <c r="E6487" s="4" t="str">
        <f>IFERROR(__xludf.DUMMYFUNCTION("""COMPUTED_VALUE"""),"College")</f>
        <v>College</v>
      </c>
      <c r="F6487" s="4" t="str">
        <f>IFERROR(__xludf.DUMMYFUNCTION("""COMPUTED_VALUE"""),"Yrs")</f>
        <v>Yrs</v>
      </c>
      <c r="G6487" s="4" t="str">
        <f>IFERROR(__xludf.DUMMYFUNCTION("""COMPUTED_VALUE"""),"G")</f>
        <v>G</v>
      </c>
      <c r="H6487" s="4" t="str">
        <f>IFERROR(__xludf.DUMMYFUNCTION("""COMPUTED_VALUE"""),"MP")</f>
        <v>MP</v>
      </c>
      <c r="I6487" s="4" t="str">
        <f>IFERROR(__xludf.DUMMYFUNCTION("""COMPUTED_VALUE"""),"PTS")</f>
        <v>PTS</v>
      </c>
      <c r="J6487" s="4" t="str">
        <f>IFERROR(__xludf.DUMMYFUNCTION("""COMPUTED_VALUE"""),"TRB")</f>
        <v>TRB</v>
      </c>
      <c r="K6487" s="4" t="str">
        <f>IFERROR(__xludf.DUMMYFUNCTION("""COMPUTED_VALUE"""),"AST")</f>
        <v>AST</v>
      </c>
      <c r="L6487" s="4" t="str">
        <f>IFERROR(__xludf.DUMMYFUNCTION("""COMPUTED_VALUE"""),"FG%")</f>
        <v>FG%</v>
      </c>
      <c r="M6487" s="4" t="str">
        <f>IFERROR(__xludf.DUMMYFUNCTION("""COMPUTED_VALUE"""),"3P%")</f>
        <v>3P%</v>
      </c>
      <c r="N6487" s="4" t="str">
        <f>IFERROR(__xludf.DUMMYFUNCTION("""COMPUTED_VALUE"""),"FT%")</f>
        <v>FT%</v>
      </c>
      <c r="O6487" s="4" t="str">
        <f>IFERROR(__xludf.DUMMYFUNCTION("""COMPUTED_VALUE"""),"MP")</f>
        <v>MP</v>
      </c>
      <c r="P6487" s="4" t="str">
        <f>IFERROR(__xludf.DUMMYFUNCTION("""COMPUTED_VALUE"""),"PTS")</f>
        <v>PTS</v>
      </c>
      <c r="Q6487" s="4" t="str">
        <f>IFERROR(__xludf.DUMMYFUNCTION("""COMPUTED_VALUE"""),"TRB")</f>
        <v>TRB</v>
      </c>
      <c r="R6487" s="4" t="str">
        <f>IFERROR(__xludf.DUMMYFUNCTION("""COMPUTED_VALUE"""),"AST")</f>
        <v>AST</v>
      </c>
      <c r="S6487" s="4" t="str">
        <f>IFERROR(__xludf.DUMMYFUNCTION("""COMPUTED_VALUE"""),"WS")</f>
        <v>WS</v>
      </c>
      <c r="T6487" s="4" t="str">
        <f>IFERROR(__xludf.DUMMYFUNCTION("""COMPUTED_VALUE"""),"WS/48")</f>
        <v>WS/48</v>
      </c>
      <c r="U6487" s="4" t="str">
        <f>IFERROR(__xludf.DUMMYFUNCTION("""COMPUTED_VALUE"""),"BPM")</f>
        <v>BPM</v>
      </c>
      <c r="V6487" s="4" t="str">
        <f>IFERROR(__xludf.DUMMYFUNCTION("""COMPUTED_VALUE"""),"VORP")</f>
        <v>VORP</v>
      </c>
    </row>
    <row r="6488">
      <c r="A6488" s="4">
        <f>IFERROR(__xludf.DUMMYFUNCTION("""COMPUTED_VALUE"""),230.0)</f>
        <v>230</v>
      </c>
      <c r="B6488" s="4">
        <f>IFERROR(__xludf.DUMMYFUNCTION("""COMPUTED_VALUE"""),230.0)</f>
        <v>230</v>
      </c>
      <c r="C6488" s="4" t="str">
        <f>IFERROR(__xludf.DUMMYFUNCTION("""COMPUTED_VALUE"""),"SDR")</f>
        <v>SDR</v>
      </c>
      <c r="D6488" s="4" t="str">
        <f>IFERROR(__xludf.DUMMYFUNCTION("""COMPUTED_VALUE"""),"Dennis Dickens")</f>
        <v>Dennis Dickens</v>
      </c>
      <c r="E6488" s="4" t="str">
        <f>IFERROR(__xludf.DUMMYFUNCTION("""COMPUTED_VALUE"""),"Azusa Pacific University")</f>
        <v>Azusa Pacific University</v>
      </c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</row>
    <row r="6489">
      <c r="A6489" s="4">
        <f>IFERROR(__xludf.DUMMYFUNCTION("""COMPUTED_VALUE"""),231.0)</f>
        <v>231</v>
      </c>
      <c r="B6489" s="4">
        <f>IFERROR(__xludf.DUMMYFUNCTION("""COMPUTED_VALUE"""),231.0)</f>
        <v>231</v>
      </c>
      <c r="C6489" s="4" t="str">
        <f>IFERROR(__xludf.DUMMYFUNCTION("""COMPUTED_VALUE"""),"CLE")</f>
        <v>CLE</v>
      </c>
      <c r="D6489" s="4" t="str">
        <f>IFERROR(__xludf.DUMMYFUNCTION("""COMPUTED_VALUE"""),"Rich Peterson")</f>
        <v>Rich Peterson</v>
      </c>
      <c r="E6489" s="4" t="str">
        <f>IFERROR(__xludf.DUMMYFUNCTION("""COMPUTED_VALUE"""),"Concordia College")</f>
        <v>Concordia College</v>
      </c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</row>
    <row r="6490">
      <c r="A6490" s="4">
        <f>IFERROR(__xludf.DUMMYFUNCTION("""COMPUTED_VALUE"""),232.0)</f>
        <v>232</v>
      </c>
      <c r="B6490" s="4">
        <f>IFERROR(__xludf.DUMMYFUNCTION("""COMPUTED_VALUE"""),232.0)</f>
        <v>232</v>
      </c>
      <c r="C6490" s="4" t="str">
        <f>IFERROR(__xludf.DUMMYFUNCTION("""COMPUTED_VALUE"""),"LAL")</f>
        <v>LAL</v>
      </c>
      <c r="D6490" s="4" t="str">
        <f>IFERROR(__xludf.DUMMYFUNCTION("""COMPUTED_VALUE"""),"Bob Thati")</f>
        <v>Bob Thati</v>
      </c>
      <c r="E6490" s="4" t="str">
        <f>IFERROR(__xludf.DUMMYFUNCTION("""COMPUTED_VALUE"""),"Occidental College")</f>
        <v>Occidental College</v>
      </c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</row>
    <row r="6491">
      <c r="A6491" s="4">
        <f>IFERROR(__xludf.DUMMYFUNCTION("""COMPUTED_VALUE"""),233.0)</f>
        <v>233</v>
      </c>
      <c r="B6491" s="4">
        <f>IFERROR(__xludf.DUMMYFUNCTION("""COMPUTED_VALUE"""),233.0)</f>
        <v>233</v>
      </c>
      <c r="C6491" s="4" t="str">
        <f>IFERROR(__xludf.DUMMYFUNCTION("""COMPUTED_VALUE"""),"BAL")</f>
        <v>BAL</v>
      </c>
      <c r="D6491" s="4" t="str">
        <f>IFERROR(__xludf.DUMMYFUNCTION("""COMPUTED_VALUE"""),"Vince Fritz")</f>
        <v>Vince Fritz</v>
      </c>
      <c r="E6491" s="4" t="str">
        <f>IFERROR(__xludf.DUMMYFUNCTION("""COMPUTED_VALUE"""),"Oregon State")</f>
        <v>Oregon State</v>
      </c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</row>
    <row r="6492">
      <c r="A6492" s="4"/>
      <c r="B6492" s="4"/>
      <c r="C6492" s="4"/>
      <c r="D6492" s="4" t="str">
        <f>IFERROR(__xludf.DUMMYFUNCTION("""COMPUTED_VALUE"""),"Round 18")</f>
        <v>Round 18</v>
      </c>
      <c r="E6492" s="4"/>
      <c r="F6492" s="4"/>
      <c r="G6492" s="4" t="str">
        <f>IFERROR(__xludf.DUMMYFUNCTION("""COMPUTED_VALUE"""),"Totals")</f>
        <v>Totals</v>
      </c>
      <c r="H6492" s="4"/>
      <c r="I6492" s="4"/>
      <c r="J6492" s="4"/>
      <c r="K6492" s="4"/>
      <c r="L6492" s="4" t="str">
        <f>IFERROR(__xludf.DUMMYFUNCTION("""COMPUTED_VALUE"""),"Shooting")</f>
        <v>Shooting</v>
      </c>
      <c r="M6492" s="4"/>
      <c r="N6492" s="4"/>
      <c r="O6492" s="4" t="str">
        <f>IFERROR(__xludf.DUMMYFUNCTION("""COMPUTED_VALUE"""),"Per Game")</f>
        <v>Per Game</v>
      </c>
      <c r="P6492" s="4"/>
      <c r="Q6492" s="4"/>
      <c r="R6492" s="4"/>
      <c r="S6492" s="4" t="str">
        <f>IFERROR(__xludf.DUMMYFUNCTION("""COMPUTED_VALUE"""),"Advanced")</f>
        <v>Advanced</v>
      </c>
      <c r="T6492" s="4"/>
      <c r="U6492" s="4"/>
      <c r="V6492" s="4"/>
    </row>
    <row r="6493">
      <c r="A6493" s="4" t="str">
        <f>IFERROR(__xludf.DUMMYFUNCTION("""COMPUTED_VALUE"""),"Rk")</f>
        <v>Rk</v>
      </c>
      <c r="B6493" s="4" t="str">
        <f>IFERROR(__xludf.DUMMYFUNCTION("""COMPUTED_VALUE"""),"Pk")</f>
        <v>Pk</v>
      </c>
      <c r="C6493" s="4" t="str">
        <f>IFERROR(__xludf.DUMMYFUNCTION("""COMPUTED_VALUE"""),"Tm")</f>
        <v>Tm</v>
      </c>
      <c r="D6493" s="4" t="str">
        <f>IFERROR(__xludf.DUMMYFUNCTION("""COMPUTED_VALUE"""),"Player")</f>
        <v>Player</v>
      </c>
      <c r="E6493" s="4" t="str">
        <f>IFERROR(__xludf.DUMMYFUNCTION("""COMPUTED_VALUE"""),"College")</f>
        <v>College</v>
      </c>
      <c r="F6493" s="4" t="str">
        <f>IFERROR(__xludf.DUMMYFUNCTION("""COMPUTED_VALUE"""),"Yrs")</f>
        <v>Yrs</v>
      </c>
      <c r="G6493" s="4" t="str">
        <f>IFERROR(__xludf.DUMMYFUNCTION("""COMPUTED_VALUE"""),"G")</f>
        <v>G</v>
      </c>
      <c r="H6493" s="4" t="str">
        <f>IFERROR(__xludf.DUMMYFUNCTION("""COMPUTED_VALUE"""),"MP")</f>
        <v>MP</v>
      </c>
      <c r="I6493" s="4" t="str">
        <f>IFERROR(__xludf.DUMMYFUNCTION("""COMPUTED_VALUE"""),"PTS")</f>
        <v>PTS</v>
      </c>
      <c r="J6493" s="4" t="str">
        <f>IFERROR(__xludf.DUMMYFUNCTION("""COMPUTED_VALUE"""),"TRB")</f>
        <v>TRB</v>
      </c>
      <c r="K6493" s="4" t="str">
        <f>IFERROR(__xludf.DUMMYFUNCTION("""COMPUTED_VALUE"""),"AST")</f>
        <v>AST</v>
      </c>
      <c r="L6493" s="4" t="str">
        <f>IFERROR(__xludf.DUMMYFUNCTION("""COMPUTED_VALUE"""),"FG%")</f>
        <v>FG%</v>
      </c>
      <c r="M6493" s="4" t="str">
        <f>IFERROR(__xludf.DUMMYFUNCTION("""COMPUTED_VALUE"""),"3P%")</f>
        <v>3P%</v>
      </c>
      <c r="N6493" s="4" t="str">
        <f>IFERROR(__xludf.DUMMYFUNCTION("""COMPUTED_VALUE"""),"FT%")</f>
        <v>FT%</v>
      </c>
      <c r="O6493" s="4" t="str">
        <f>IFERROR(__xludf.DUMMYFUNCTION("""COMPUTED_VALUE"""),"MP")</f>
        <v>MP</v>
      </c>
      <c r="P6493" s="4" t="str">
        <f>IFERROR(__xludf.DUMMYFUNCTION("""COMPUTED_VALUE"""),"PTS")</f>
        <v>PTS</v>
      </c>
      <c r="Q6493" s="4" t="str">
        <f>IFERROR(__xludf.DUMMYFUNCTION("""COMPUTED_VALUE"""),"TRB")</f>
        <v>TRB</v>
      </c>
      <c r="R6493" s="4" t="str">
        <f>IFERROR(__xludf.DUMMYFUNCTION("""COMPUTED_VALUE"""),"AST")</f>
        <v>AST</v>
      </c>
      <c r="S6493" s="4" t="str">
        <f>IFERROR(__xludf.DUMMYFUNCTION("""COMPUTED_VALUE"""),"WS")</f>
        <v>WS</v>
      </c>
      <c r="T6493" s="4" t="str">
        <f>IFERROR(__xludf.DUMMYFUNCTION("""COMPUTED_VALUE"""),"WS/48")</f>
        <v>WS/48</v>
      </c>
      <c r="U6493" s="4" t="str">
        <f>IFERROR(__xludf.DUMMYFUNCTION("""COMPUTED_VALUE"""),"BPM")</f>
        <v>BPM</v>
      </c>
      <c r="V6493" s="4" t="str">
        <f>IFERROR(__xludf.DUMMYFUNCTION("""COMPUTED_VALUE"""),"VORP")</f>
        <v>VORP</v>
      </c>
    </row>
    <row r="6494">
      <c r="A6494" s="4">
        <f>IFERROR(__xludf.DUMMYFUNCTION("""COMPUTED_VALUE"""),234.0)</f>
        <v>234</v>
      </c>
      <c r="B6494" s="4">
        <f>IFERROR(__xludf.DUMMYFUNCTION("""COMPUTED_VALUE"""),234.0)</f>
        <v>234</v>
      </c>
      <c r="C6494" s="4" t="str">
        <f>IFERROR(__xludf.DUMMYFUNCTION("""COMPUTED_VALUE"""),"SDR")</f>
        <v>SDR</v>
      </c>
      <c r="D6494" s="4" t="str">
        <f>IFERROR(__xludf.DUMMYFUNCTION("""COMPUTED_VALUE"""),"Jeff Cunningham")</f>
        <v>Jeff Cunningham</v>
      </c>
      <c r="E6494" s="4" t="str">
        <f>IFERROR(__xludf.DUMMYFUNCTION("""COMPUTED_VALUE"""),"University of California, Irvine")</f>
        <v>University of California, Irvine</v>
      </c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</row>
    <row r="6495">
      <c r="A6495" s="4">
        <f>IFERROR(__xludf.DUMMYFUNCTION("""COMPUTED_VALUE"""),235.0)</f>
        <v>235</v>
      </c>
      <c r="B6495" s="4">
        <f>IFERROR(__xludf.DUMMYFUNCTION("""COMPUTED_VALUE"""),235.0)</f>
        <v>235</v>
      </c>
      <c r="C6495" s="4" t="str">
        <f>IFERROR(__xludf.DUMMYFUNCTION("""COMPUTED_VALUE"""),"POR")</f>
        <v>POR</v>
      </c>
      <c r="D6495" s="4" t="str">
        <f>IFERROR(__xludf.DUMMYFUNCTION("""COMPUTED_VALUE"""),"Bruce Butchko")</f>
        <v>Bruce Butchko</v>
      </c>
      <c r="E6495" s="4" t="str">
        <f>IFERROR(__xludf.DUMMYFUNCTION("""COMPUTED_VALUE"""),"Southern Illinois")</f>
        <v>Southern Illinois</v>
      </c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</row>
    <row r="6496">
      <c r="A6496" s="4">
        <f>IFERROR(__xludf.DUMMYFUNCTION("""COMPUTED_VALUE"""),236.0)</f>
        <v>236</v>
      </c>
      <c r="B6496" s="4">
        <f>IFERROR(__xludf.DUMMYFUNCTION("""COMPUTED_VALUE"""),236.0)</f>
        <v>236</v>
      </c>
      <c r="C6496" s="4" t="str">
        <f>IFERROR(__xludf.DUMMYFUNCTION("""COMPUTED_VALUE"""),"CLE")</f>
        <v>CLE</v>
      </c>
      <c r="D6496" s="4" t="str">
        <f>IFERROR(__xludf.DUMMYFUNCTION("""COMPUTED_VALUE"""),"Emmanuel Cannon")</f>
        <v>Emmanuel Cannon</v>
      </c>
      <c r="E6496" s="4" t="str">
        <f>IFERROR(__xludf.DUMMYFUNCTION("""COMPUTED_VALUE"""),"Grambling State University")</f>
        <v>Grambling State University</v>
      </c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</row>
    <row r="6497">
      <c r="A6497" s="4"/>
      <c r="B6497" s="4"/>
      <c r="C6497" s="4"/>
      <c r="D6497" s="4" t="str">
        <f>IFERROR(__xludf.DUMMYFUNCTION("""COMPUTED_VALUE"""),"Round 19")</f>
        <v>Round 19</v>
      </c>
      <c r="E6497" s="4"/>
      <c r="F6497" s="4"/>
      <c r="G6497" s="4" t="str">
        <f>IFERROR(__xludf.DUMMYFUNCTION("""COMPUTED_VALUE"""),"Totals")</f>
        <v>Totals</v>
      </c>
      <c r="H6497" s="4"/>
      <c r="I6497" s="4"/>
      <c r="J6497" s="4"/>
      <c r="K6497" s="4"/>
      <c r="L6497" s="4" t="str">
        <f>IFERROR(__xludf.DUMMYFUNCTION("""COMPUTED_VALUE"""),"Shooting")</f>
        <v>Shooting</v>
      </c>
      <c r="M6497" s="4"/>
      <c r="N6497" s="4"/>
      <c r="O6497" s="4" t="str">
        <f>IFERROR(__xludf.DUMMYFUNCTION("""COMPUTED_VALUE"""),"Per Game")</f>
        <v>Per Game</v>
      </c>
      <c r="P6497" s="4"/>
      <c r="Q6497" s="4"/>
      <c r="R6497" s="4"/>
      <c r="S6497" s="4" t="str">
        <f>IFERROR(__xludf.DUMMYFUNCTION("""COMPUTED_VALUE"""),"Advanced")</f>
        <v>Advanced</v>
      </c>
      <c r="T6497" s="4"/>
      <c r="U6497" s="4"/>
      <c r="V6497" s="4"/>
    </row>
    <row r="6498">
      <c r="A6498" s="4" t="str">
        <f>IFERROR(__xludf.DUMMYFUNCTION("""COMPUTED_VALUE"""),"Rk")</f>
        <v>Rk</v>
      </c>
      <c r="B6498" s="4" t="str">
        <f>IFERROR(__xludf.DUMMYFUNCTION("""COMPUTED_VALUE"""),"Pk")</f>
        <v>Pk</v>
      </c>
      <c r="C6498" s="4" t="str">
        <f>IFERROR(__xludf.DUMMYFUNCTION("""COMPUTED_VALUE"""),"Tm")</f>
        <v>Tm</v>
      </c>
      <c r="D6498" s="4" t="str">
        <f>IFERROR(__xludf.DUMMYFUNCTION("""COMPUTED_VALUE"""),"Player")</f>
        <v>Player</v>
      </c>
      <c r="E6498" s="4" t="str">
        <f>IFERROR(__xludf.DUMMYFUNCTION("""COMPUTED_VALUE"""),"College")</f>
        <v>College</v>
      </c>
      <c r="F6498" s="4" t="str">
        <f>IFERROR(__xludf.DUMMYFUNCTION("""COMPUTED_VALUE"""),"Yrs")</f>
        <v>Yrs</v>
      </c>
      <c r="G6498" s="4" t="str">
        <f>IFERROR(__xludf.DUMMYFUNCTION("""COMPUTED_VALUE"""),"G")</f>
        <v>G</v>
      </c>
      <c r="H6498" s="4" t="str">
        <f>IFERROR(__xludf.DUMMYFUNCTION("""COMPUTED_VALUE"""),"MP")</f>
        <v>MP</v>
      </c>
      <c r="I6498" s="4" t="str">
        <f>IFERROR(__xludf.DUMMYFUNCTION("""COMPUTED_VALUE"""),"PTS")</f>
        <v>PTS</v>
      </c>
      <c r="J6498" s="4" t="str">
        <f>IFERROR(__xludf.DUMMYFUNCTION("""COMPUTED_VALUE"""),"TRB")</f>
        <v>TRB</v>
      </c>
      <c r="K6498" s="4" t="str">
        <f>IFERROR(__xludf.DUMMYFUNCTION("""COMPUTED_VALUE"""),"AST")</f>
        <v>AST</v>
      </c>
      <c r="L6498" s="4" t="str">
        <f>IFERROR(__xludf.DUMMYFUNCTION("""COMPUTED_VALUE"""),"FG%")</f>
        <v>FG%</v>
      </c>
      <c r="M6498" s="4" t="str">
        <f>IFERROR(__xludf.DUMMYFUNCTION("""COMPUTED_VALUE"""),"3P%")</f>
        <v>3P%</v>
      </c>
      <c r="N6498" s="4" t="str">
        <f>IFERROR(__xludf.DUMMYFUNCTION("""COMPUTED_VALUE"""),"FT%")</f>
        <v>FT%</v>
      </c>
      <c r="O6498" s="4" t="str">
        <f>IFERROR(__xludf.DUMMYFUNCTION("""COMPUTED_VALUE"""),"MP")</f>
        <v>MP</v>
      </c>
      <c r="P6498" s="4" t="str">
        <f>IFERROR(__xludf.DUMMYFUNCTION("""COMPUTED_VALUE"""),"PTS")</f>
        <v>PTS</v>
      </c>
      <c r="Q6498" s="4" t="str">
        <f>IFERROR(__xludf.DUMMYFUNCTION("""COMPUTED_VALUE"""),"TRB")</f>
        <v>TRB</v>
      </c>
      <c r="R6498" s="4" t="str">
        <f>IFERROR(__xludf.DUMMYFUNCTION("""COMPUTED_VALUE"""),"AST")</f>
        <v>AST</v>
      </c>
      <c r="S6498" s="4" t="str">
        <f>IFERROR(__xludf.DUMMYFUNCTION("""COMPUTED_VALUE"""),"WS")</f>
        <v>WS</v>
      </c>
      <c r="T6498" s="4" t="str">
        <f>IFERROR(__xludf.DUMMYFUNCTION("""COMPUTED_VALUE"""),"WS/48")</f>
        <v>WS/48</v>
      </c>
      <c r="U6498" s="4" t="str">
        <f>IFERROR(__xludf.DUMMYFUNCTION("""COMPUTED_VALUE"""),"BPM")</f>
        <v>BPM</v>
      </c>
      <c r="V6498" s="4" t="str">
        <f>IFERROR(__xludf.DUMMYFUNCTION("""COMPUTED_VALUE"""),"VORP")</f>
        <v>VORP</v>
      </c>
    </row>
    <row r="6499">
      <c r="A6499" s="4">
        <f>IFERROR(__xludf.DUMMYFUNCTION("""COMPUTED_VALUE"""),237.0)</f>
        <v>237</v>
      </c>
      <c r="B6499" s="4">
        <f>IFERROR(__xludf.DUMMYFUNCTION("""COMPUTED_VALUE"""),237.0)</f>
        <v>237</v>
      </c>
      <c r="C6499" s="4" t="str">
        <f>IFERROR(__xludf.DUMMYFUNCTION("""COMPUTED_VALUE"""),"SDR")</f>
        <v>SDR</v>
      </c>
      <c r="D6499" s="4" t="str">
        <f>IFERROR(__xludf.DUMMYFUNCTION("""COMPUTED_VALUE"""),"Rick Erickson")</f>
        <v>Rick Erickson</v>
      </c>
      <c r="E6499" s="4" t="str">
        <f>IFERROR(__xludf.DUMMYFUNCTION("""COMPUTED_VALUE"""),"Washington State")</f>
        <v>Washington State</v>
      </c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</row>
    <row r="6500">
      <c r="A6500" s="4">
        <f>IFERROR(__xludf.DUMMYFUNCTION("""COMPUTED_VALUE"""),238.0)</f>
        <v>238</v>
      </c>
      <c r="B6500" s="4">
        <f>IFERROR(__xludf.DUMMYFUNCTION("""COMPUTED_VALUE"""),238.0)</f>
        <v>238</v>
      </c>
      <c r="C6500" s="4" t="str">
        <f>IFERROR(__xludf.DUMMYFUNCTION("""COMPUTED_VALUE"""),"CLE")</f>
        <v>CLE</v>
      </c>
      <c r="D6500" s="4" t="str">
        <f>IFERROR(__xludf.DUMMYFUNCTION("""COMPUTED_VALUE"""),"Allen Waller")</f>
        <v>Allen Waller</v>
      </c>
      <c r="E6500" s="4" t="str">
        <f>IFERROR(__xludf.DUMMYFUNCTION("""COMPUTED_VALUE"""),"Saint Mary of the Plains College")</f>
        <v>Saint Mary of the Plains College</v>
      </c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</row>
    <row r="6501">
      <c r="A6501" s="4">
        <f>IFERROR(__xludf.DUMMYFUNCTION("""COMPUTED_VALUE"""),239.0)</f>
        <v>239</v>
      </c>
      <c r="B6501" s="4">
        <f>IFERROR(__xludf.DUMMYFUNCTION("""COMPUTED_VALUE"""),239.0)</f>
        <v>239</v>
      </c>
      <c r="C6501" s="4" t="str">
        <f>IFERROR(__xludf.DUMMYFUNCTION("""COMPUTED_VALUE"""),"POR")</f>
        <v>POR</v>
      </c>
      <c r="D6501" s="4" t="str">
        <f>IFERROR(__xludf.DUMMYFUNCTION("""COMPUTED_VALUE"""),"Mark Gabriel")</f>
        <v>Mark Gabriel</v>
      </c>
      <c r="E6501" s="4" t="str">
        <f>IFERROR(__xludf.DUMMYFUNCTION("""COMPUTED_VALUE"""),"Hanover College")</f>
        <v>Hanover College</v>
      </c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</row>
    <row r="6503">
      <c r="A6503" s="2">
        <v>1969.0</v>
      </c>
    </row>
    <row r="6504">
      <c r="A6504" s="4" t="str">
        <f>IFERROR(__xludf.DUMMYFUNCTION("IMPORTHTML(""https://www.basketball-reference.com/draft/NBA_1969.html"", ""table"", 1)"),"")</f>
        <v/>
      </c>
      <c r="B6504" s="4"/>
      <c r="C6504" s="4"/>
      <c r="D6504" s="4" t="str">
        <f>IFERROR(__xludf.DUMMYFUNCTION("""COMPUTED_VALUE"""),"Round 1")</f>
        <v>Round 1</v>
      </c>
      <c r="E6504" s="4"/>
      <c r="F6504" s="4"/>
      <c r="G6504" s="4" t="str">
        <f>IFERROR(__xludf.DUMMYFUNCTION("""COMPUTED_VALUE"""),"Totals")</f>
        <v>Totals</v>
      </c>
      <c r="H6504" s="4"/>
      <c r="I6504" s="4"/>
      <c r="J6504" s="4"/>
      <c r="K6504" s="4"/>
      <c r="L6504" s="4" t="str">
        <f>IFERROR(__xludf.DUMMYFUNCTION("""COMPUTED_VALUE"""),"Shooting")</f>
        <v>Shooting</v>
      </c>
      <c r="M6504" s="4"/>
      <c r="N6504" s="4"/>
      <c r="O6504" s="4" t="str">
        <f>IFERROR(__xludf.DUMMYFUNCTION("""COMPUTED_VALUE"""),"Per Game")</f>
        <v>Per Game</v>
      </c>
      <c r="P6504" s="4"/>
      <c r="Q6504" s="4"/>
      <c r="R6504" s="4"/>
      <c r="S6504" s="4" t="str">
        <f>IFERROR(__xludf.DUMMYFUNCTION("""COMPUTED_VALUE"""),"Advanced")</f>
        <v>Advanced</v>
      </c>
      <c r="T6504" s="4"/>
      <c r="U6504" s="4"/>
      <c r="V6504" s="4"/>
    </row>
    <row r="6505">
      <c r="A6505" s="4" t="str">
        <f>IFERROR(__xludf.DUMMYFUNCTION("""COMPUTED_VALUE"""),"Rk")</f>
        <v>Rk</v>
      </c>
      <c r="B6505" s="4" t="str">
        <f>IFERROR(__xludf.DUMMYFUNCTION("""COMPUTED_VALUE"""),"Pk")</f>
        <v>Pk</v>
      </c>
      <c r="C6505" s="4" t="str">
        <f>IFERROR(__xludf.DUMMYFUNCTION("""COMPUTED_VALUE"""),"Tm")</f>
        <v>Tm</v>
      </c>
      <c r="D6505" s="4" t="str">
        <f>IFERROR(__xludf.DUMMYFUNCTION("""COMPUTED_VALUE"""),"Player")</f>
        <v>Player</v>
      </c>
      <c r="E6505" s="4" t="str">
        <f>IFERROR(__xludf.DUMMYFUNCTION("""COMPUTED_VALUE"""),"College")</f>
        <v>College</v>
      </c>
      <c r="F6505" s="4" t="str">
        <f>IFERROR(__xludf.DUMMYFUNCTION("""COMPUTED_VALUE"""),"Yrs")</f>
        <v>Yrs</v>
      </c>
      <c r="G6505" s="4" t="str">
        <f>IFERROR(__xludf.DUMMYFUNCTION("""COMPUTED_VALUE"""),"G")</f>
        <v>G</v>
      </c>
      <c r="H6505" s="4" t="str">
        <f>IFERROR(__xludf.DUMMYFUNCTION("""COMPUTED_VALUE"""),"MP")</f>
        <v>MP</v>
      </c>
      <c r="I6505" s="4" t="str">
        <f>IFERROR(__xludf.DUMMYFUNCTION("""COMPUTED_VALUE"""),"PTS")</f>
        <v>PTS</v>
      </c>
      <c r="J6505" s="4" t="str">
        <f>IFERROR(__xludf.DUMMYFUNCTION("""COMPUTED_VALUE"""),"TRB")</f>
        <v>TRB</v>
      </c>
      <c r="K6505" s="4" t="str">
        <f>IFERROR(__xludf.DUMMYFUNCTION("""COMPUTED_VALUE"""),"AST")</f>
        <v>AST</v>
      </c>
      <c r="L6505" s="4" t="str">
        <f>IFERROR(__xludf.DUMMYFUNCTION("""COMPUTED_VALUE"""),"FG%")</f>
        <v>FG%</v>
      </c>
      <c r="M6505" s="4" t="str">
        <f>IFERROR(__xludf.DUMMYFUNCTION("""COMPUTED_VALUE"""),"3P%")</f>
        <v>3P%</v>
      </c>
      <c r="N6505" s="4" t="str">
        <f>IFERROR(__xludf.DUMMYFUNCTION("""COMPUTED_VALUE"""),"FT%")</f>
        <v>FT%</v>
      </c>
      <c r="O6505" s="4" t="str">
        <f>IFERROR(__xludf.DUMMYFUNCTION("""COMPUTED_VALUE"""),"MP")</f>
        <v>MP</v>
      </c>
      <c r="P6505" s="4" t="str">
        <f>IFERROR(__xludf.DUMMYFUNCTION("""COMPUTED_VALUE"""),"PTS")</f>
        <v>PTS</v>
      </c>
      <c r="Q6505" s="4" t="str">
        <f>IFERROR(__xludf.DUMMYFUNCTION("""COMPUTED_VALUE"""),"TRB")</f>
        <v>TRB</v>
      </c>
      <c r="R6505" s="4" t="str">
        <f>IFERROR(__xludf.DUMMYFUNCTION("""COMPUTED_VALUE"""),"AST")</f>
        <v>AST</v>
      </c>
      <c r="S6505" s="4" t="str">
        <f>IFERROR(__xludf.DUMMYFUNCTION("""COMPUTED_VALUE"""),"WS")</f>
        <v>WS</v>
      </c>
      <c r="T6505" s="4" t="str">
        <f>IFERROR(__xludf.DUMMYFUNCTION("""COMPUTED_VALUE"""),"WS/48")</f>
        <v>WS/48</v>
      </c>
      <c r="U6505" s="4" t="str">
        <f>IFERROR(__xludf.DUMMYFUNCTION("""COMPUTED_VALUE"""),"BPM")</f>
        <v>BPM</v>
      </c>
      <c r="V6505" s="4" t="str">
        <f>IFERROR(__xludf.DUMMYFUNCTION("""COMPUTED_VALUE"""),"VORP")</f>
        <v>VORP</v>
      </c>
    </row>
    <row r="6506">
      <c r="A6506" s="4">
        <f>IFERROR(__xludf.DUMMYFUNCTION("""COMPUTED_VALUE"""),1.0)</f>
        <v>1</v>
      </c>
      <c r="B6506" s="4">
        <f>IFERROR(__xludf.DUMMYFUNCTION("""COMPUTED_VALUE"""),1.0)</f>
        <v>1</v>
      </c>
      <c r="C6506" s="4" t="str">
        <f>IFERROR(__xludf.DUMMYFUNCTION("""COMPUTED_VALUE"""),"MIL")</f>
        <v>MIL</v>
      </c>
      <c r="D6506" s="4" t="str">
        <f>IFERROR(__xludf.DUMMYFUNCTION("""COMPUTED_VALUE"""),"Kareem Abdul-Jabbar")</f>
        <v>Kareem Abdul-Jabbar</v>
      </c>
      <c r="E6506" s="4" t="str">
        <f>IFERROR(__xludf.DUMMYFUNCTION("""COMPUTED_VALUE"""),"UCLA")</f>
        <v>UCLA</v>
      </c>
      <c r="F6506" s="4">
        <f>IFERROR(__xludf.DUMMYFUNCTION("""COMPUTED_VALUE"""),20.0)</f>
        <v>20</v>
      </c>
      <c r="G6506" s="4">
        <f>IFERROR(__xludf.DUMMYFUNCTION("""COMPUTED_VALUE"""),1560.0)</f>
        <v>1560</v>
      </c>
      <c r="H6506" s="4">
        <f>IFERROR(__xludf.DUMMYFUNCTION("""COMPUTED_VALUE"""),57446.0)</f>
        <v>57446</v>
      </c>
      <c r="I6506" s="4">
        <f>IFERROR(__xludf.DUMMYFUNCTION("""COMPUTED_VALUE"""),38387.0)</f>
        <v>38387</v>
      </c>
      <c r="J6506" s="4">
        <f>IFERROR(__xludf.DUMMYFUNCTION("""COMPUTED_VALUE"""),17440.0)</f>
        <v>17440</v>
      </c>
      <c r="K6506" s="4">
        <f>IFERROR(__xludf.DUMMYFUNCTION("""COMPUTED_VALUE"""),5660.0)</f>
        <v>5660</v>
      </c>
      <c r="L6506" s="4">
        <f>IFERROR(__xludf.DUMMYFUNCTION("""COMPUTED_VALUE"""),0.559)</f>
        <v>0.559</v>
      </c>
      <c r="M6506" s="4"/>
      <c r="N6506" s="4">
        <f>IFERROR(__xludf.DUMMYFUNCTION("""COMPUTED_VALUE"""),0.721)</f>
        <v>0.721</v>
      </c>
      <c r="O6506" s="4">
        <f>IFERROR(__xludf.DUMMYFUNCTION("""COMPUTED_VALUE"""),36.8)</f>
        <v>36.8</v>
      </c>
      <c r="P6506" s="4">
        <f>IFERROR(__xludf.DUMMYFUNCTION("""COMPUTED_VALUE"""),24.6)</f>
        <v>24.6</v>
      </c>
      <c r="Q6506" s="4">
        <f>IFERROR(__xludf.DUMMYFUNCTION("""COMPUTED_VALUE"""),11.2)</f>
        <v>11.2</v>
      </c>
      <c r="R6506" s="4">
        <f>IFERROR(__xludf.DUMMYFUNCTION("""COMPUTED_VALUE"""),3.6)</f>
        <v>3.6</v>
      </c>
      <c r="S6506" s="4">
        <f>IFERROR(__xludf.DUMMYFUNCTION("""COMPUTED_VALUE"""),273.4)</f>
        <v>273.4</v>
      </c>
      <c r="T6506" s="4">
        <f>IFERROR(__xludf.DUMMYFUNCTION("""COMPUTED_VALUE"""),0.228)</f>
        <v>0.228</v>
      </c>
      <c r="U6506" s="4">
        <f>IFERROR(__xludf.DUMMYFUNCTION("""COMPUTED_VALUE"""),5.7)</f>
        <v>5.7</v>
      </c>
      <c r="V6506" s="4">
        <f>IFERROR(__xludf.DUMMYFUNCTION("""COMPUTED_VALUE"""),85.7)</f>
        <v>85.7</v>
      </c>
    </row>
    <row r="6507">
      <c r="A6507" s="4">
        <f>IFERROR(__xludf.DUMMYFUNCTION("""COMPUTED_VALUE"""),2.0)</f>
        <v>2</v>
      </c>
      <c r="B6507" s="4">
        <f>IFERROR(__xludf.DUMMYFUNCTION("""COMPUTED_VALUE"""),2.0)</f>
        <v>2</v>
      </c>
      <c r="C6507" s="4" t="str">
        <f>IFERROR(__xludf.DUMMYFUNCTION("""COMPUTED_VALUE"""),"PHO")</f>
        <v>PHO</v>
      </c>
      <c r="D6507" s="4" t="str">
        <f>IFERROR(__xludf.DUMMYFUNCTION("""COMPUTED_VALUE"""),"Neal Walk")</f>
        <v>Neal Walk</v>
      </c>
      <c r="E6507" s="4" t="str">
        <f>IFERROR(__xludf.DUMMYFUNCTION("""COMPUTED_VALUE"""),"Florida")</f>
        <v>Florida</v>
      </c>
      <c r="F6507" s="4">
        <f>IFERROR(__xludf.DUMMYFUNCTION("""COMPUTED_VALUE"""),8.0)</f>
        <v>8</v>
      </c>
      <c r="G6507" s="4">
        <f>IFERROR(__xludf.DUMMYFUNCTION("""COMPUTED_VALUE"""),568.0)</f>
        <v>568</v>
      </c>
      <c r="H6507" s="4">
        <f>IFERROR(__xludf.DUMMYFUNCTION("""COMPUTED_VALUE"""),13832.0)</f>
        <v>13832</v>
      </c>
      <c r="I6507" s="4">
        <f>IFERROR(__xludf.DUMMYFUNCTION("""COMPUTED_VALUE"""),7157.0)</f>
        <v>7157</v>
      </c>
      <c r="J6507" s="4">
        <f>IFERROR(__xludf.DUMMYFUNCTION("""COMPUTED_VALUE"""),4392.0)</f>
        <v>4392</v>
      </c>
      <c r="K6507" s="4">
        <f>IFERROR(__xludf.DUMMYFUNCTION("""COMPUTED_VALUE"""),1214.0)</f>
        <v>1214</v>
      </c>
      <c r="L6507" s="4">
        <f>IFERROR(__xludf.DUMMYFUNCTION("""COMPUTED_VALUE"""),0.459)</f>
        <v>0.459</v>
      </c>
      <c r="M6507" s="4"/>
      <c r="N6507" s="4">
        <f>IFERROR(__xludf.DUMMYFUNCTION("""COMPUTED_VALUE"""),0.758)</f>
        <v>0.758</v>
      </c>
      <c r="O6507" s="4">
        <f>IFERROR(__xludf.DUMMYFUNCTION("""COMPUTED_VALUE"""),24.4)</f>
        <v>24.4</v>
      </c>
      <c r="P6507" s="4">
        <f>IFERROR(__xludf.DUMMYFUNCTION("""COMPUTED_VALUE"""),12.6)</f>
        <v>12.6</v>
      </c>
      <c r="Q6507" s="4">
        <f>IFERROR(__xludf.DUMMYFUNCTION("""COMPUTED_VALUE"""),7.7)</f>
        <v>7.7</v>
      </c>
      <c r="R6507" s="4">
        <f>IFERROR(__xludf.DUMMYFUNCTION("""COMPUTED_VALUE"""),2.1)</f>
        <v>2.1</v>
      </c>
      <c r="S6507" s="4">
        <f>IFERROR(__xludf.DUMMYFUNCTION("""COMPUTED_VALUE"""),30.3)</f>
        <v>30.3</v>
      </c>
      <c r="T6507" s="4">
        <f>IFERROR(__xludf.DUMMYFUNCTION("""COMPUTED_VALUE"""),0.105)</f>
        <v>0.105</v>
      </c>
      <c r="U6507" s="4">
        <f>IFERROR(__xludf.DUMMYFUNCTION("""COMPUTED_VALUE"""),0.2)</f>
        <v>0.2</v>
      </c>
      <c r="V6507" s="4">
        <f>IFERROR(__xludf.DUMMYFUNCTION("""COMPUTED_VALUE"""),2.9)</f>
        <v>2.9</v>
      </c>
    </row>
    <row r="6508">
      <c r="A6508" s="4">
        <f>IFERROR(__xludf.DUMMYFUNCTION("""COMPUTED_VALUE"""),3.0)</f>
        <v>3</v>
      </c>
      <c r="B6508" s="4">
        <f>IFERROR(__xludf.DUMMYFUNCTION("""COMPUTED_VALUE"""),3.0)</f>
        <v>3</v>
      </c>
      <c r="C6508" s="4" t="str">
        <f>IFERROR(__xludf.DUMMYFUNCTION("""COMPUTED_VALUE"""),"SEA")</f>
        <v>SEA</v>
      </c>
      <c r="D6508" s="4" t="str">
        <f>IFERROR(__xludf.DUMMYFUNCTION("""COMPUTED_VALUE"""),"Lucius Allen")</f>
        <v>Lucius Allen</v>
      </c>
      <c r="E6508" s="4" t="str">
        <f>IFERROR(__xludf.DUMMYFUNCTION("""COMPUTED_VALUE"""),"UCLA")</f>
        <v>UCLA</v>
      </c>
      <c r="F6508" s="4">
        <f>IFERROR(__xludf.DUMMYFUNCTION("""COMPUTED_VALUE"""),10.0)</f>
        <v>10</v>
      </c>
      <c r="G6508" s="4">
        <f>IFERROR(__xludf.DUMMYFUNCTION("""COMPUTED_VALUE"""),702.0)</f>
        <v>702</v>
      </c>
      <c r="H6508" s="4">
        <f>IFERROR(__xludf.DUMMYFUNCTION("""COMPUTED_VALUE"""),20159.0)</f>
        <v>20159</v>
      </c>
      <c r="I6508" s="4">
        <f>IFERROR(__xludf.DUMMYFUNCTION("""COMPUTED_VALUE"""),9407.0)</f>
        <v>9407</v>
      </c>
      <c r="J6508" s="4">
        <f>IFERROR(__xludf.DUMMYFUNCTION("""COMPUTED_VALUE"""),2205.0)</f>
        <v>2205</v>
      </c>
      <c r="K6508" s="4">
        <f>IFERROR(__xludf.DUMMYFUNCTION("""COMPUTED_VALUE"""),3174.0)</f>
        <v>3174</v>
      </c>
      <c r="L6508" s="4">
        <f>IFERROR(__xludf.DUMMYFUNCTION("""COMPUTED_VALUE"""),0.463)</f>
        <v>0.463</v>
      </c>
      <c r="M6508" s="4"/>
      <c r="N6508" s="4">
        <f>IFERROR(__xludf.DUMMYFUNCTION("""COMPUTED_VALUE"""),0.76)</f>
        <v>0.76</v>
      </c>
      <c r="O6508" s="4">
        <f>IFERROR(__xludf.DUMMYFUNCTION("""COMPUTED_VALUE"""),28.7)</f>
        <v>28.7</v>
      </c>
      <c r="P6508" s="4">
        <f>IFERROR(__xludf.DUMMYFUNCTION("""COMPUTED_VALUE"""),13.4)</f>
        <v>13.4</v>
      </c>
      <c r="Q6508" s="4">
        <f>IFERROR(__xludf.DUMMYFUNCTION("""COMPUTED_VALUE"""),3.1)</f>
        <v>3.1</v>
      </c>
      <c r="R6508" s="4">
        <f>IFERROR(__xludf.DUMMYFUNCTION("""COMPUTED_VALUE"""),4.5)</f>
        <v>4.5</v>
      </c>
      <c r="S6508" s="4">
        <f>IFERROR(__xludf.DUMMYFUNCTION("""COMPUTED_VALUE"""),42.0)</f>
        <v>42</v>
      </c>
      <c r="T6508" s="4">
        <f>IFERROR(__xludf.DUMMYFUNCTION("""COMPUTED_VALUE"""),0.1)</f>
        <v>0.1</v>
      </c>
      <c r="U6508" s="4">
        <f>IFERROR(__xludf.DUMMYFUNCTION("""COMPUTED_VALUE"""),0.1)</f>
        <v>0.1</v>
      </c>
      <c r="V6508" s="4">
        <f>IFERROR(__xludf.DUMMYFUNCTION("""COMPUTED_VALUE"""),6.3)</f>
        <v>6.3</v>
      </c>
    </row>
    <row r="6509">
      <c r="A6509" s="4">
        <f>IFERROR(__xludf.DUMMYFUNCTION("""COMPUTED_VALUE"""),4.0)</f>
        <v>4</v>
      </c>
      <c r="B6509" s="4">
        <f>IFERROR(__xludf.DUMMYFUNCTION("""COMPUTED_VALUE"""),4.0)</f>
        <v>4</v>
      </c>
      <c r="C6509" s="4" t="str">
        <f>IFERROR(__xludf.DUMMYFUNCTION("""COMPUTED_VALUE"""),"DET")</f>
        <v>DET</v>
      </c>
      <c r="D6509" s="4" t="str">
        <f>IFERROR(__xludf.DUMMYFUNCTION("""COMPUTED_VALUE"""),"Terry Driscoll")</f>
        <v>Terry Driscoll</v>
      </c>
      <c r="E6509" s="4" t="str">
        <f>IFERROR(__xludf.DUMMYFUNCTION("""COMPUTED_VALUE"""),"Boston College")</f>
        <v>Boston College</v>
      </c>
      <c r="F6509" s="4">
        <f>IFERROR(__xludf.DUMMYFUNCTION("""COMPUTED_VALUE"""),4.0)</f>
        <v>4</v>
      </c>
      <c r="G6509" s="4">
        <f>IFERROR(__xludf.DUMMYFUNCTION("""COMPUTED_VALUE"""),244.0)</f>
        <v>244</v>
      </c>
      <c r="H6509" s="4">
        <f>IFERROR(__xludf.DUMMYFUNCTION("""COMPUTED_VALUE"""),3281.0)</f>
        <v>3281</v>
      </c>
      <c r="I6509" s="4">
        <f>IFERROR(__xludf.DUMMYFUNCTION("""COMPUTED_VALUE"""),1015.0)</f>
        <v>1015</v>
      </c>
      <c r="J6509" s="4">
        <f>IFERROR(__xludf.DUMMYFUNCTION("""COMPUTED_VALUE"""),1026.0)</f>
        <v>1026</v>
      </c>
      <c r="K6509" s="4">
        <f>IFERROR(__xludf.DUMMYFUNCTION("""COMPUTED_VALUE"""),189.0)</f>
        <v>189</v>
      </c>
      <c r="L6509" s="4">
        <f>IFERROR(__xludf.DUMMYFUNCTION("""COMPUTED_VALUE"""),0.425)</f>
        <v>0.425</v>
      </c>
      <c r="M6509" s="4"/>
      <c r="N6509" s="4">
        <f>IFERROR(__xludf.DUMMYFUNCTION("""COMPUTED_VALUE"""),0.69)</f>
        <v>0.69</v>
      </c>
      <c r="O6509" s="4">
        <f>IFERROR(__xludf.DUMMYFUNCTION("""COMPUTED_VALUE"""),13.4)</f>
        <v>13.4</v>
      </c>
      <c r="P6509" s="4">
        <f>IFERROR(__xludf.DUMMYFUNCTION("""COMPUTED_VALUE"""),4.2)</f>
        <v>4.2</v>
      </c>
      <c r="Q6509" s="4">
        <f>IFERROR(__xludf.DUMMYFUNCTION("""COMPUTED_VALUE"""),4.2)</f>
        <v>4.2</v>
      </c>
      <c r="R6509" s="4">
        <f>IFERROR(__xludf.DUMMYFUNCTION("""COMPUTED_VALUE"""),0.8)</f>
        <v>0.8</v>
      </c>
      <c r="S6509" s="4">
        <f>IFERROR(__xludf.DUMMYFUNCTION("""COMPUTED_VALUE"""),5.0)</f>
        <v>5</v>
      </c>
      <c r="T6509" s="4">
        <f>IFERROR(__xludf.DUMMYFUNCTION("""COMPUTED_VALUE"""),0.074)</f>
        <v>0.074</v>
      </c>
      <c r="U6509" s="4">
        <f>IFERROR(__xludf.DUMMYFUNCTION("""COMPUTED_VALUE"""),-1.6)</f>
        <v>-1.6</v>
      </c>
      <c r="V6509" s="4">
        <f>IFERROR(__xludf.DUMMYFUNCTION("""COMPUTED_VALUE"""),0.0)</f>
        <v>0</v>
      </c>
    </row>
    <row r="6510">
      <c r="A6510" s="4">
        <f>IFERROR(__xludf.DUMMYFUNCTION("""COMPUTED_VALUE"""),5.0)</f>
        <v>5</v>
      </c>
      <c r="B6510" s="4">
        <f>IFERROR(__xludf.DUMMYFUNCTION("""COMPUTED_VALUE"""),5.0)</f>
        <v>5</v>
      </c>
      <c r="C6510" s="4" t="str">
        <f>IFERROR(__xludf.DUMMYFUNCTION("""COMPUTED_VALUE"""),"CHI")</f>
        <v>CHI</v>
      </c>
      <c r="D6510" s="4" t="str">
        <f>IFERROR(__xludf.DUMMYFUNCTION("""COMPUTED_VALUE"""),"Larry Cannon")</f>
        <v>Larry Cannon</v>
      </c>
      <c r="E6510" s="4" t="str">
        <f>IFERROR(__xludf.DUMMYFUNCTION("""COMPUTED_VALUE"""),"La Salle")</f>
        <v>La Salle</v>
      </c>
      <c r="F6510" s="4"/>
      <c r="G6510" s="4">
        <f>IFERROR(__xludf.DUMMYFUNCTION("""COMPUTED_VALUE"""),19.0)</f>
        <v>19</v>
      </c>
      <c r="H6510" s="4">
        <f>IFERROR(__xludf.DUMMYFUNCTION("""COMPUTED_VALUE"""),335.0)</f>
        <v>335</v>
      </c>
      <c r="I6510" s="4">
        <f>IFERROR(__xludf.DUMMYFUNCTION("""COMPUTED_VALUE"""),117.0)</f>
        <v>117</v>
      </c>
      <c r="J6510" s="4">
        <f>IFERROR(__xludf.DUMMYFUNCTION("""COMPUTED_VALUE"""),36.0)</f>
        <v>36</v>
      </c>
      <c r="K6510" s="4">
        <f>IFERROR(__xludf.DUMMYFUNCTION("""COMPUTED_VALUE"""),52.0)</f>
        <v>52</v>
      </c>
      <c r="L6510" s="4">
        <f>IFERROR(__xludf.DUMMYFUNCTION("""COMPUTED_VALUE"""),0.386)</f>
        <v>0.386</v>
      </c>
      <c r="M6510" s="4"/>
      <c r="N6510" s="4">
        <f>IFERROR(__xludf.DUMMYFUNCTION("""COMPUTED_VALUE"""),0.679)</f>
        <v>0.679</v>
      </c>
      <c r="O6510" s="4">
        <f>IFERROR(__xludf.DUMMYFUNCTION("""COMPUTED_VALUE"""),17.6)</f>
        <v>17.6</v>
      </c>
      <c r="P6510" s="4">
        <f>IFERROR(__xludf.DUMMYFUNCTION("""COMPUTED_VALUE"""),6.2)</f>
        <v>6.2</v>
      </c>
      <c r="Q6510" s="4">
        <f>IFERROR(__xludf.DUMMYFUNCTION("""COMPUTED_VALUE"""),1.9)</f>
        <v>1.9</v>
      </c>
      <c r="R6510" s="4">
        <f>IFERROR(__xludf.DUMMYFUNCTION("""COMPUTED_VALUE"""),2.7)</f>
        <v>2.7</v>
      </c>
      <c r="S6510" s="4">
        <f>IFERROR(__xludf.DUMMYFUNCTION("""COMPUTED_VALUE"""),-0.2)</f>
        <v>-0.2</v>
      </c>
      <c r="T6510" s="4">
        <f>IFERROR(__xludf.DUMMYFUNCTION("""COMPUTED_VALUE"""),-0.029)</f>
        <v>-0.029</v>
      </c>
      <c r="U6510" s="4">
        <f>IFERROR(__xludf.DUMMYFUNCTION("""COMPUTED_VALUE"""),-4.1)</f>
        <v>-4.1</v>
      </c>
      <c r="V6510" s="4">
        <f>IFERROR(__xludf.DUMMYFUNCTION("""COMPUTED_VALUE"""),-0.2)</f>
        <v>-0.2</v>
      </c>
    </row>
    <row r="6511">
      <c r="A6511" s="4">
        <f>IFERROR(__xludf.DUMMYFUNCTION("""COMPUTED_VALUE"""),6.0)</f>
        <v>6</v>
      </c>
      <c r="B6511" s="4">
        <f>IFERROR(__xludf.DUMMYFUNCTION("""COMPUTED_VALUE"""),6.0)</f>
        <v>6</v>
      </c>
      <c r="C6511" s="4" t="str">
        <f>IFERROR(__xludf.DUMMYFUNCTION("""COMPUTED_VALUE"""),"SDR")</f>
        <v>SDR</v>
      </c>
      <c r="D6511" s="4" t="str">
        <f>IFERROR(__xludf.DUMMYFUNCTION("""COMPUTED_VALUE"""),"Bingo Smith")</f>
        <v>Bingo Smith</v>
      </c>
      <c r="E6511" s="4" t="str">
        <f>IFERROR(__xludf.DUMMYFUNCTION("""COMPUTED_VALUE"""),"Tulsa")</f>
        <v>Tulsa</v>
      </c>
      <c r="F6511" s="4">
        <f>IFERROR(__xludf.DUMMYFUNCTION("""COMPUTED_VALUE"""),11.0)</f>
        <v>11</v>
      </c>
      <c r="G6511" s="4">
        <f>IFERROR(__xludf.DUMMYFUNCTION("""COMPUTED_VALUE"""),865.0)</f>
        <v>865</v>
      </c>
      <c r="H6511" s="4">
        <f>IFERROR(__xludf.DUMMYFUNCTION("""COMPUTED_VALUE"""),22407.0)</f>
        <v>22407</v>
      </c>
      <c r="I6511" s="4">
        <f>IFERROR(__xludf.DUMMYFUNCTION("""COMPUTED_VALUE"""),10882.0)</f>
        <v>10882</v>
      </c>
      <c r="J6511" s="4">
        <f>IFERROR(__xludf.DUMMYFUNCTION("""COMPUTED_VALUE"""),3630.0)</f>
        <v>3630</v>
      </c>
      <c r="K6511" s="4">
        <f>IFERROR(__xludf.DUMMYFUNCTION("""COMPUTED_VALUE"""),1734.0)</f>
        <v>1734</v>
      </c>
      <c r="L6511" s="4">
        <f>IFERROR(__xludf.DUMMYFUNCTION("""COMPUTED_VALUE"""),0.449)</f>
        <v>0.449</v>
      </c>
      <c r="M6511" s="4"/>
      <c r="N6511" s="4">
        <f>IFERROR(__xludf.DUMMYFUNCTION("""COMPUTED_VALUE"""),0.798)</f>
        <v>0.798</v>
      </c>
      <c r="O6511" s="4">
        <f>IFERROR(__xludf.DUMMYFUNCTION("""COMPUTED_VALUE"""),25.9)</f>
        <v>25.9</v>
      </c>
      <c r="P6511" s="4">
        <f>IFERROR(__xludf.DUMMYFUNCTION("""COMPUTED_VALUE"""),12.6)</f>
        <v>12.6</v>
      </c>
      <c r="Q6511" s="4">
        <f>IFERROR(__xludf.DUMMYFUNCTION("""COMPUTED_VALUE"""),4.2)</f>
        <v>4.2</v>
      </c>
      <c r="R6511" s="4">
        <f>IFERROR(__xludf.DUMMYFUNCTION("""COMPUTED_VALUE"""),2.0)</f>
        <v>2</v>
      </c>
      <c r="S6511" s="4">
        <f>IFERROR(__xludf.DUMMYFUNCTION("""COMPUTED_VALUE"""),33.3)</f>
        <v>33.3</v>
      </c>
      <c r="T6511" s="4">
        <f>IFERROR(__xludf.DUMMYFUNCTION("""COMPUTED_VALUE"""),0.071)</f>
        <v>0.071</v>
      </c>
      <c r="U6511" s="4">
        <f>IFERROR(__xludf.DUMMYFUNCTION("""COMPUTED_VALUE"""),-1.1)</f>
        <v>-1.1</v>
      </c>
      <c r="V6511" s="4">
        <f>IFERROR(__xludf.DUMMYFUNCTION("""COMPUTED_VALUE"""),3.5)</f>
        <v>3.5</v>
      </c>
    </row>
    <row r="6512">
      <c r="A6512" s="4">
        <f>IFERROR(__xludf.DUMMYFUNCTION("""COMPUTED_VALUE"""),7.0)</f>
        <v>7</v>
      </c>
      <c r="B6512" s="4">
        <f>IFERROR(__xludf.DUMMYFUNCTION("""COMPUTED_VALUE"""),7.0)</f>
        <v>7</v>
      </c>
      <c r="C6512" s="4" t="str">
        <f>IFERROR(__xludf.DUMMYFUNCTION("""COMPUTED_VALUE"""),"SFW")</f>
        <v>SFW</v>
      </c>
      <c r="D6512" s="4" t="str">
        <f>IFERROR(__xludf.DUMMYFUNCTION("""COMPUTED_VALUE"""),"Bob Portman")</f>
        <v>Bob Portman</v>
      </c>
      <c r="E6512" s="4" t="str">
        <f>IFERROR(__xludf.DUMMYFUNCTION("""COMPUTED_VALUE"""),"Creighton")</f>
        <v>Creighton</v>
      </c>
      <c r="F6512" s="4">
        <f>IFERROR(__xludf.DUMMYFUNCTION("""COMPUTED_VALUE"""),4.0)</f>
        <v>4</v>
      </c>
      <c r="G6512" s="4">
        <f>IFERROR(__xludf.DUMMYFUNCTION("""COMPUTED_VALUE"""),221.0)</f>
        <v>221</v>
      </c>
      <c r="H6512" s="4">
        <f>IFERROR(__xludf.DUMMYFUNCTION("""COMPUTED_VALUE"""),2937.0)</f>
        <v>2937</v>
      </c>
      <c r="I6512" s="4">
        <f>IFERROR(__xludf.DUMMYFUNCTION("""COMPUTED_VALUE"""),1254.0)</f>
        <v>1254</v>
      </c>
      <c r="J6512" s="4">
        <f>IFERROR(__xludf.DUMMYFUNCTION("""COMPUTED_VALUE"""),729.0)</f>
        <v>729</v>
      </c>
      <c r="K6512" s="4">
        <f>IFERROR(__xludf.DUMMYFUNCTION("""COMPUTED_VALUE"""),128.0)</f>
        <v>128</v>
      </c>
      <c r="L6512" s="4">
        <f>IFERROR(__xludf.DUMMYFUNCTION("""COMPUTED_VALUE"""),0.443)</f>
        <v>0.443</v>
      </c>
      <c r="M6512" s="4"/>
      <c r="N6512" s="4">
        <f>IFERROR(__xludf.DUMMYFUNCTION("""COMPUTED_VALUE"""),0.78)</f>
        <v>0.78</v>
      </c>
      <c r="O6512" s="4">
        <f>IFERROR(__xludf.DUMMYFUNCTION("""COMPUTED_VALUE"""),13.3)</f>
        <v>13.3</v>
      </c>
      <c r="P6512" s="4">
        <f>IFERROR(__xludf.DUMMYFUNCTION("""COMPUTED_VALUE"""),5.7)</f>
        <v>5.7</v>
      </c>
      <c r="Q6512" s="4">
        <f>IFERROR(__xludf.DUMMYFUNCTION("""COMPUTED_VALUE"""),3.3)</f>
        <v>3.3</v>
      </c>
      <c r="R6512" s="4">
        <f>IFERROR(__xludf.DUMMYFUNCTION("""COMPUTED_VALUE"""),0.6)</f>
        <v>0.6</v>
      </c>
      <c r="S6512" s="4">
        <f>IFERROR(__xludf.DUMMYFUNCTION("""COMPUTED_VALUE"""),4.4)</f>
        <v>4.4</v>
      </c>
      <c r="T6512" s="4">
        <f>IFERROR(__xludf.DUMMYFUNCTION("""COMPUTED_VALUE"""),0.071)</f>
        <v>0.071</v>
      </c>
      <c r="U6512" s="4"/>
      <c r="V6512" s="4"/>
    </row>
    <row r="6513">
      <c r="A6513" s="4">
        <f>IFERROR(__xludf.DUMMYFUNCTION("""COMPUTED_VALUE"""),8.0)</f>
        <v>8</v>
      </c>
      <c r="B6513" s="4">
        <f>IFERROR(__xludf.DUMMYFUNCTION("""COMPUTED_VALUE"""),8.0)</f>
        <v>8</v>
      </c>
      <c r="C6513" s="4" t="str">
        <f>IFERROR(__xludf.DUMMYFUNCTION("""COMPUTED_VALUE"""),"CIN")</f>
        <v>CIN</v>
      </c>
      <c r="D6513" s="4" t="str">
        <f>IFERROR(__xludf.DUMMYFUNCTION("""COMPUTED_VALUE"""),"Herm Gilliam")</f>
        <v>Herm Gilliam</v>
      </c>
      <c r="E6513" s="4" t="str">
        <f>IFERROR(__xludf.DUMMYFUNCTION("""COMPUTED_VALUE"""),"Purdue")</f>
        <v>Purdue</v>
      </c>
      <c r="F6513" s="4">
        <f>IFERROR(__xludf.DUMMYFUNCTION("""COMPUTED_VALUE"""),8.0)</f>
        <v>8</v>
      </c>
      <c r="G6513" s="4">
        <f>IFERROR(__xludf.DUMMYFUNCTION("""COMPUTED_VALUE"""),578.0)</f>
        <v>578</v>
      </c>
      <c r="H6513" s="4">
        <f>IFERROR(__xludf.DUMMYFUNCTION("""COMPUTED_VALUE"""),15026.0)</f>
        <v>15026</v>
      </c>
      <c r="I6513" s="4">
        <f>IFERROR(__xludf.DUMMYFUNCTION("""COMPUTED_VALUE"""),6252.0)</f>
        <v>6252</v>
      </c>
      <c r="J6513" s="4">
        <f>IFERROR(__xludf.DUMMYFUNCTION("""COMPUTED_VALUE"""),2175.0)</f>
        <v>2175</v>
      </c>
      <c r="K6513" s="4">
        <f>IFERROR(__xludf.DUMMYFUNCTION("""COMPUTED_VALUE"""),2225.0)</f>
        <v>2225</v>
      </c>
      <c r="L6513" s="4">
        <f>IFERROR(__xludf.DUMMYFUNCTION("""COMPUTED_VALUE"""),0.441)</f>
        <v>0.441</v>
      </c>
      <c r="M6513" s="4"/>
      <c r="N6513" s="4">
        <f>IFERROR(__xludf.DUMMYFUNCTION("""COMPUTED_VALUE"""),0.792)</f>
        <v>0.792</v>
      </c>
      <c r="O6513" s="4">
        <f>IFERROR(__xludf.DUMMYFUNCTION("""COMPUTED_VALUE"""),26.0)</f>
        <v>26</v>
      </c>
      <c r="P6513" s="4">
        <f>IFERROR(__xludf.DUMMYFUNCTION("""COMPUTED_VALUE"""),10.8)</f>
        <v>10.8</v>
      </c>
      <c r="Q6513" s="4">
        <f>IFERROR(__xludf.DUMMYFUNCTION("""COMPUTED_VALUE"""),3.8)</f>
        <v>3.8</v>
      </c>
      <c r="R6513" s="4">
        <f>IFERROR(__xludf.DUMMYFUNCTION("""COMPUTED_VALUE"""),3.8)</f>
        <v>3.8</v>
      </c>
      <c r="S6513" s="4">
        <f>IFERROR(__xludf.DUMMYFUNCTION("""COMPUTED_VALUE"""),20.8)</f>
        <v>20.8</v>
      </c>
      <c r="T6513" s="4">
        <f>IFERROR(__xludf.DUMMYFUNCTION("""COMPUTED_VALUE"""),0.066)</f>
        <v>0.066</v>
      </c>
      <c r="U6513" s="4">
        <f>IFERROR(__xludf.DUMMYFUNCTION("""COMPUTED_VALUE"""),-0.1)</f>
        <v>-0.1</v>
      </c>
      <c r="V6513" s="4">
        <f>IFERROR(__xludf.DUMMYFUNCTION("""COMPUTED_VALUE"""),3.2)</f>
        <v>3.2</v>
      </c>
    </row>
    <row r="6514">
      <c r="A6514" s="4">
        <f>IFERROR(__xludf.DUMMYFUNCTION("""COMPUTED_VALUE"""),9.0)</f>
        <v>9</v>
      </c>
      <c r="B6514" s="4">
        <f>IFERROR(__xludf.DUMMYFUNCTION("""COMPUTED_VALUE"""),9.0)</f>
        <v>9</v>
      </c>
      <c r="C6514" s="4" t="str">
        <f>IFERROR(__xludf.DUMMYFUNCTION("""COMPUTED_VALUE"""),"BOS")</f>
        <v>BOS</v>
      </c>
      <c r="D6514" s="4" t="str">
        <f>IFERROR(__xludf.DUMMYFUNCTION("""COMPUTED_VALUE"""),"Jo Jo White")</f>
        <v>Jo Jo White</v>
      </c>
      <c r="E6514" s="4" t="str">
        <f>IFERROR(__xludf.DUMMYFUNCTION("""COMPUTED_VALUE"""),"Kansas")</f>
        <v>Kansas</v>
      </c>
      <c r="F6514" s="4">
        <f>IFERROR(__xludf.DUMMYFUNCTION("""COMPUTED_VALUE"""),12.0)</f>
        <v>12</v>
      </c>
      <c r="G6514" s="4">
        <f>IFERROR(__xludf.DUMMYFUNCTION("""COMPUTED_VALUE"""),837.0)</f>
        <v>837</v>
      </c>
      <c r="H6514" s="4">
        <f>IFERROR(__xludf.DUMMYFUNCTION("""COMPUTED_VALUE"""),29941.0)</f>
        <v>29941</v>
      </c>
      <c r="I6514" s="4">
        <f>IFERROR(__xludf.DUMMYFUNCTION("""COMPUTED_VALUE"""),14399.0)</f>
        <v>14399</v>
      </c>
      <c r="J6514" s="4">
        <f>IFERROR(__xludf.DUMMYFUNCTION("""COMPUTED_VALUE"""),3345.0)</f>
        <v>3345</v>
      </c>
      <c r="K6514" s="4">
        <f>IFERROR(__xludf.DUMMYFUNCTION("""COMPUTED_VALUE"""),4095.0)</f>
        <v>4095</v>
      </c>
      <c r="L6514" s="4">
        <f>IFERROR(__xludf.DUMMYFUNCTION("""COMPUTED_VALUE"""),0.444)</f>
        <v>0.444</v>
      </c>
      <c r="M6514" s="4"/>
      <c r="N6514" s="4">
        <f>IFERROR(__xludf.DUMMYFUNCTION("""COMPUTED_VALUE"""),0.834)</f>
        <v>0.834</v>
      </c>
      <c r="O6514" s="4">
        <f>IFERROR(__xludf.DUMMYFUNCTION("""COMPUTED_VALUE"""),35.8)</f>
        <v>35.8</v>
      </c>
      <c r="P6514" s="4">
        <f>IFERROR(__xludf.DUMMYFUNCTION("""COMPUTED_VALUE"""),17.2)</f>
        <v>17.2</v>
      </c>
      <c r="Q6514" s="4">
        <f>IFERROR(__xludf.DUMMYFUNCTION("""COMPUTED_VALUE"""),4.0)</f>
        <v>4</v>
      </c>
      <c r="R6514" s="4">
        <f>IFERROR(__xludf.DUMMYFUNCTION("""COMPUTED_VALUE"""),4.9)</f>
        <v>4.9</v>
      </c>
      <c r="S6514" s="4">
        <f>IFERROR(__xludf.DUMMYFUNCTION("""COMPUTED_VALUE"""),54.0)</f>
        <v>54</v>
      </c>
      <c r="T6514" s="4">
        <f>IFERROR(__xludf.DUMMYFUNCTION("""COMPUTED_VALUE"""),0.087)</f>
        <v>0.087</v>
      </c>
      <c r="U6514" s="4">
        <f>IFERROR(__xludf.DUMMYFUNCTION("""COMPUTED_VALUE"""),-0.6)</f>
        <v>-0.6</v>
      </c>
      <c r="V6514" s="4">
        <f>IFERROR(__xludf.DUMMYFUNCTION("""COMPUTED_VALUE"""),6.9)</f>
        <v>6.9</v>
      </c>
    </row>
    <row r="6515">
      <c r="A6515" s="4">
        <f>IFERROR(__xludf.DUMMYFUNCTION("""COMPUTED_VALUE"""),10.0)</f>
        <v>10</v>
      </c>
      <c r="B6515" s="4">
        <f>IFERROR(__xludf.DUMMYFUNCTION("""COMPUTED_VALUE"""),10.0)</f>
        <v>10</v>
      </c>
      <c r="C6515" s="4" t="str">
        <f>IFERROR(__xludf.DUMMYFUNCTION("""COMPUTED_VALUE"""),"ATL")</f>
        <v>ATL</v>
      </c>
      <c r="D6515" s="4" t="str">
        <f>IFERROR(__xludf.DUMMYFUNCTION("""COMPUTED_VALUE"""),"Butch Beard")</f>
        <v>Butch Beard</v>
      </c>
      <c r="E6515" s="4" t="str">
        <f>IFERROR(__xludf.DUMMYFUNCTION("""COMPUTED_VALUE"""),"Louisville")</f>
        <v>Louisville</v>
      </c>
      <c r="F6515" s="4">
        <f>IFERROR(__xludf.DUMMYFUNCTION("""COMPUTED_VALUE"""),9.0)</f>
        <v>9</v>
      </c>
      <c r="G6515" s="4">
        <f>IFERROR(__xludf.DUMMYFUNCTION("""COMPUTED_VALUE"""),605.0)</f>
        <v>605</v>
      </c>
      <c r="H6515" s="4">
        <f>IFERROR(__xludf.DUMMYFUNCTION("""COMPUTED_VALUE"""),14283.0)</f>
        <v>14283</v>
      </c>
      <c r="I6515" s="4">
        <f>IFERROR(__xludf.DUMMYFUNCTION("""COMPUTED_VALUE"""),5622.0)</f>
        <v>5622</v>
      </c>
      <c r="J6515" s="4">
        <f>IFERROR(__xludf.DUMMYFUNCTION("""COMPUTED_VALUE"""),2042.0)</f>
        <v>2042</v>
      </c>
      <c r="K6515" s="4">
        <f>IFERROR(__xludf.DUMMYFUNCTION("""COMPUTED_VALUE"""),2189.0)</f>
        <v>2189</v>
      </c>
      <c r="L6515" s="4">
        <f>IFERROR(__xludf.DUMMYFUNCTION("""COMPUTED_VALUE"""),0.487)</f>
        <v>0.487</v>
      </c>
      <c r="M6515" s="4"/>
      <c r="N6515" s="4">
        <f>IFERROR(__xludf.DUMMYFUNCTION("""COMPUTED_VALUE"""),0.771)</f>
        <v>0.771</v>
      </c>
      <c r="O6515" s="4">
        <f>IFERROR(__xludf.DUMMYFUNCTION("""COMPUTED_VALUE"""),23.6)</f>
        <v>23.6</v>
      </c>
      <c r="P6515" s="4">
        <f>IFERROR(__xludf.DUMMYFUNCTION("""COMPUTED_VALUE"""),9.3)</f>
        <v>9.3</v>
      </c>
      <c r="Q6515" s="4">
        <f>IFERROR(__xludf.DUMMYFUNCTION("""COMPUTED_VALUE"""),3.4)</f>
        <v>3.4</v>
      </c>
      <c r="R6515" s="4">
        <f>IFERROR(__xludf.DUMMYFUNCTION("""COMPUTED_VALUE"""),3.6)</f>
        <v>3.6</v>
      </c>
      <c r="S6515" s="4">
        <f>IFERROR(__xludf.DUMMYFUNCTION("""COMPUTED_VALUE"""),32.8)</f>
        <v>32.8</v>
      </c>
      <c r="T6515" s="4">
        <f>IFERROR(__xludf.DUMMYFUNCTION("""COMPUTED_VALUE"""),0.11)</f>
        <v>0.11</v>
      </c>
      <c r="U6515" s="4">
        <f>IFERROR(__xludf.DUMMYFUNCTION("""COMPUTED_VALUE"""),0.6)</f>
        <v>0.6</v>
      </c>
      <c r="V6515" s="4">
        <f>IFERROR(__xludf.DUMMYFUNCTION("""COMPUTED_VALUE"""),6.2)</f>
        <v>6.2</v>
      </c>
    </row>
    <row r="6516">
      <c r="A6516" s="4">
        <f>IFERROR(__xludf.DUMMYFUNCTION("""COMPUTED_VALUE"""),11.0)</f>
        <v>11</v>
      </c>
      <c r="B6516" s="4">
        <f>IFERROR(__xludf.DUMMYFUNCTION("""COMPUTED_VALUE"""),11.0)</f>
        <v>11</v>
      </c>
      <c r="C6516" s="4" t="str">
        <f>IFERROR(__xludf.DUMMYFUNCTION("""COMPUTED_VALUE"""),"NYK")</f>
        <v>NYK</v>
      </c>
      <c r="D6516" s="4" t="str">
        <f>IFERROR(__xludf.DUMMYFUNCTION("""COMPUTED_VALUE"""),"John Warren")</f>
        <v>John Warren</v>
      </c>
      <c r="E6516" s="4" t="str">
        <f>IFERROR(__xludf.DUMMYFUNCTION("""COMPUTED_VALUE"""),"St. John's")</f>
        <v>St. John's</v>
      </c>
      <c r="F6516" s="4">
        <f>IFERROR(__xludf.DUMMYFUNCTION("""COMPUTED_VALUE"""),5.0)</f>
        <v>5</v>
      </c>
      <c r="G6516" s="4">
        <f>IFERROR(__xludf.DUMMYFUNCTION("""COMPUTED_VALUE"""),303.0)</f>
        <v>303</v>
      </c>
      <c r="H6516" s="4">
        <f>IFERROR(__xludf.DUMMYFUNCTION("""COMPUTED_VALUE"""),4931.0)</f>
        <v>4931</v>
      </c>
      <c r="I6516" s="4">
        <f>IFERROR(__xludf.DUMMYFUNCTION("""COMPUTED_VALUE"""),1814.0)</f>
        <v>1814</v>
      </c>
      <c r="J6516" s="4">
        <f>IFERROR(__xludf.DUMMYFUNCTION("""COMPUTED_VALUE"""),687.0)</f>
        <v>687</v>
      </c>
      <c r="K6516" s="4">
        <f>IFERROR(__xludf.DUMMYFUNCTION("""COMPUTED_VALUE"""),564.0)</f>
        <v>564</v>
      </c>
      <c r="L6516" s="4">
        <f>IFERROR(__xludf.DUMMYFUNCTION("""COMPUTED_VALUE"""),0.43)</f>
        <v>0.43</v>
      </c>
      <c r="M6516" s="4"/>
      <c r="N6516" s="4">
        <f>IFERROR(__xludf.DUMMYFUNCTION("""COMPUTED_VALUE"""),0.827)</f>
        <v>0.827</v>
      </c>
      <c r="O6516" s="4">
        <f>IFERROR(__xludf.DUMMYFUNCTION("""COMPUTED_VALUE"""),16.3)</f>
        <v>16.3</v>
      </c>
      <c r="P6516" s="4">
        <f>IFERROR(__xludf.DUMMYFUNCTION("""COMPUTED_VALUE"""),6.0)</f>
        <v>6</v>
      </c>
      <c r="Q6516" s="4">
        <f>IFERROR(__xludf.DUMMYFUNCTION("""COMPUTED_VALUE"""),2.3)</f>
        <v>2.3</v>
      </c>
      <c r="R6516" s="4">
        <f>IFERROR(__xludf.DUMMYFUNCTION("""COMPUTED_VALUE"""),1.9)</f>
        <v>1.9</v>
      </c>
      <c r="S6516" s="4">
        <f>IFERROR(__xludf.DUMMYFUNCTION("""COMPUTED_VALUE"""),4.3)</f>
        <v>4.3</v>
      </c>
      <c r="T6516" s="4">
        <f>IFERROR(__xludf.DUMMYFUNCTION("""COMPUTED_VALUE"""),0.042)</f>
        <v>0.042</v>
      </c>
      <c r="U6516" s="4">
        <f>IFERROR(__xludf.DUMMYFUNCTION("""COMPUTED_VALUE"""),-2.6)</f>
        <v>-2.6</v>
      </c>
      <c r="V6516" s="4">
        <f>IFERROR(__xludf.DUMMYFUNCTION("""COMPUTED_VALUE"""),-0.1)</f>
        <v>-0.1</v>
      </c>
    </row>
    <row r="6517">
      <c r="A6517" s="4">
        <f>IFERROR(__xludf.DUMMYFUNCTION("""COMPUTED_VALUE"""),12.0)</f>
        <v>12</v>
      </c>
      <c r="B6517" s="4">
        <f>IFERROR(__xludf.DUMMYFUNCTION("""COMPUTED_VALUE"""),12.0)</f>
        <v>12</v>
      </c>
      <c r="C6517" s="4" t="str">
        <f>IFERROR(__xludf.DUMMYFUNCTION("""COMPUTED_VALUE"""),"LAL")</f>
        <v>LAL</v>
      </c>
      <c r="D6517" s="4" t="str">
        <f>IFERROR(__xludf.DUMMYFUNCTION("""COMPUTED_VALUE"""),"Willie McCarter")</f>
        <v>Willie McCarter</v>
      </c>
      <c r="E6517" s="4" t="str">
        <f>IFERROR(__xludf.DUMMYFUNCTION("""COMPUTED_VALUE"""),"Drake University")</f>
        <v>Drake University</v>
      </c>
      <c r="F6517" s="4">
        <f>IFERROR(__xludf.DUMMYFUNCTION("""COMPUTED_VALUE"""),3.0)</f>
        <v>3</v>
      </c>
      <c r="G6517" s="4">
        <f>IFERROR(__xludf.DUMMYFUNCTION("""COMPUTED_VALUE"""),155.0)</f>
        <v>155</v>
      </c>
      <c r="H6517" s="4">
        <f>IFERROR(__xludf.DUMMYFUNCTION("""COMPUTED_VALUE"""),2842.0)</f>
        <v>2842</v>
      </c>
      <c r="I6517" s="4">
        <f>IFERROR(__xludf.DUMMYFUNCTION("""COMPUTED_VALUE"""),1090.0)</f>
        <v>1090</v>
      </c>
      <c r="J6517" s="4">
        <f>IFERROR(__xludf.DUMMYFUNCTION("""COMPUTED_VALUE"""),248.0)</f>
        <v>248</v>
      </c>
      <c r="K6517" s="4">
        <f>IFERROR(__xludf.DUMMYFUNCTION("""COMPUTED_VALUE"""),304.0)</f>
        <v>304</v>
      </c>
      <c r="L6517" s="4">
        <f>IFERROR(__xludf.DUMMYFUNCTION("""COMPUTED_VALUE"""),0.402)</f>
        <v>0.402</v>
      </c>
      <c r="M6517" s="4"/>
      <c r="N6517" s="4">
        <f>IFERROR(__xludf.DUMMYFUNCTION("""COMPUTED_VALUE"""),0.656)</f>
        <v>0.656</v>
      </c>
      <c r="O6517" s="4">
        <f>IFERROR(__xludf.DUMMYFUNCTION("""COMPUTED_VALUE"""),18.3)</f>
        <v>18.3</v>
      </c>
      <c r="P6517" s="4">
        <f>IFERROR(__xludf.DUMMYFUNCTION("""COMPUTED_VALUE"""),7.0)</f>
        <v>7</v>
      </c>
      <c r="Q6517" s="4">
        <f>IFERROR(__xludf.DUMMYFUNCTION("""COMPUTED_VALUE"""),1.6)</f>
        <v>1.6</v>
      </c>
      <c r="R6517" s="4">
        <f>IFERROR(__xludf.DUMMYFUNCTION("""COMPUTED_VALUE"""),2.0)</f>
        <v>2</v>
      </c>
      <c r="S6517" s="4">
        <f>IFERROR(__xludf.DUMMYFUNCTION("""COMPUTED_VALUE"""),-1.0)</f>
        <v>-1</v>
      </c>
      <c r="T6517" s="4">
        <f>IFERROR(__xludf.DUMMYFUNCTION("""COMPUTED_VALUE"""),-0.018)</f>
        <v>-0.018</v>
      </c>
      <c r="U6517" s="4"/>
      <c r="V6517" s="4"/>
    </row>
    <row r="6518">
      <c r="A6518" s="4">
        <f>IFERROR(__xludf.DUMMYFUNCTION("""COMPUTED_VALUE"""),13.0)</f>
        <v>13</v>
      </c>
      <c r="B6518" s="4">
        <f>IFERROR(__xludf.DUMMYFUNCTION("""COMPUTED_VALUE"""),13.0)</f>
        <v>13</v>
      </c>
      <c r="C6518" s="4" t="str">
        <f>IFERROR(__xludf.DUMMYFUNCTION("""COMPUTED_VALUE"""),"PHI")</f>
        <v>PHI</v>
      </c>
      <c r="D6518" s="4" t="str">
        <f>IFERROR(__xludf.DUMMYFUNCTION("""COMPUTED_VALUE"""),"Bud Ogden")</f>
        <v>Bud Ogden</v>
      </c>
      <c r="E6518" s="4" t="str">
        <f>IFERROR(__xludf.DUMMYFUNCTION("""COMPUTED_VALUE"""),"Santa Clara")</f>
        <v>Santa Clara</v>
      </c>
      <c r="F6518" s="4">
        <f>IFERROR(__xludf.DUMMYFUNCTION("""COMPUTED_VALUE"""),2.0)</f>
        <v>2</v>
      </c>
      <c r="G6518" s="4">
        <f>IFERROR(__xludf.DUMMYFUNCTION("""COMPUTED_VALUE"""),74.0)</f>
        <v>74</v>
      </c>
      <c r="H6518" s="4">
        <f>IFERROR(__xludf.DUMMYFUNCTION("""COMPUTED_VALUE"""),490.0)</f>
        <v>490</v>
      </c>
      <c r="I6518" s="4">
        <f>IFERROR(__xludf.DUMMYFUNCTION("""COMPUTED_VALUE"""),257.0)</f>
        <v>257</v>
      </c>
      <c r="J6518" s="4">
        <f>IFERROR(__xludf.DUMMYFUNCTION("""COMPUTED_VALUE"""),106.0)</f>
        <v>106</v>
      </c>
      <c r="K6518" s="4">
        <f>IFERROR(__xludf.DUMMYFUNCTION("""COMPUTED_VALUE"""),48.0)</f>
        <v>48</v>
      </c>
      <c r="L6518" s="4">
        <f>IFERROR(__xludf.DUMMYFUNCTION("""COMPUTED_VALUE"""),0.445)</f>
        <v>0.445</v>
      </c>
      <c r="M6518" s="4"/>
      <c r="N6518" s="4">
        <f>IFERROR(__xludf.DUMMYFUNCTION("""COMPUTED_VALUE"""),0.692)</f>
        <v>0.692</v>
      </c>
      <c r="O6518" s="4">
        <f>IFERROR(__xludf.DUMMYFUNCTION("""COMPUTED_VALUE"""),6.6)</f>
        <v>6.6</v>
      </c>
      <c r="P6518" s="4">
        <f>IFERROR(__xludf.DUMMYFUNCTION("""COMPUTED_VALUE"""),3.5)</f>
        <v>3.5</v>
      </c>
      <c r="Q6518" s="4">
        <f>IFERROR(__xludf.DUMMYFUNCTION("""COMPUTED_VALUE"""),1.4)</f>
        <v>1.4</v>
      </c>
      <c r="R6518" s="4">
        <f>IFERROR(__xludf.DUMMYFUNCTION("""COMPUTED_VALUE"""),0.6)</f>
        <v>0.6</v>
      </c>
      <c r="S6518" s="4">
        <f>IFERROR(__xludf.DUMMYFUNCTION("""COMPUTED_VALUE"""),0.7)</f>
        <v>0.7</v>
      </c>
      <c r="T6518" s="4">
        <f>IFERROR(__xludf.DUMMYFUNCTION("""COMPUTED_VALUE"""),0.072)</f>
        <v>0.072</v>
      </c>
      <c r="U6518" s="4"/>
      <c r="V6518" s="4"/>
    </row>
    <row r="6519">
      <c r="A6519" s="4">
        <f>IFERROR(__xludf.DUMMYFUNCTION("""COMPUTED_VALUE"""),14.0)</f>
        <v>14</v>
      </c>
      <c r="B6519" s="4">
        <f>IFERROR(__xludf.DUMMYFUNCTION("""COMPUTED_VALUE"""),14.0)</f>
        <v>14</v>
      </c>
      <c r="C6519" s="4" t="str">
        <f>IFERROR(__xludf.DUMMYFUNCTION("""COMPUTED_VALUE"""),"BAL")</f>
        <v>BAL</v>
      </c>
      <c r="D6519" s="4" t="str">
        <f>IFERROR(__xludf.DUMMYFUNCTION("""COMPUTED_VALUE"""),"Mike Davis")</f>
        <v>Mike Davis</v>
      </c>
      <c r="E6519" s="4" t="str">
        <f>IFERROR(__xludf.DUMMYFUNCTION("""COMPUTED_VALUE"""),"Virginia Union University")</f>
        <v>Virginia Union University</v>
      </c>
      <c r="F6519" s="4">
        <f>IFERROR(__xludf.DUMMYFUNCTION("""COMPUTED_VALUE"""),3.0)</f>
        <v>3</v>
      </c>
      <c r="G6519" s="4">
        <f>IFERROR(__xludf.DUMMYFUNCTION("""COMPUTED_VALUE"""),204.0)</f>
        <v>204</v>
      </c>
      <c r="H6519" s="4">
        <f>IFERROR(__xludf.DUMMYFUNCTION("""COMPUTED_VALUE"""),4298.0)</f>
        <v>4298</v>
      </c>
      <c r="I6519" s="4">
        <f>IFERROR(__xludf.DUMMYFUNCTION("""COMPUTED_VALUE"""),2189.0)</f>
        <v>2189</v>
      </c>
      <c r="J6519" s="4">
        <f>IFERROR(__xludf.DUMMYFUNCTION("""COMPUTED_VALUE"""),470.0)</f>
        <v>470</v>
      </c>
      <c r="K6519" s="4">
        <f>IFERROR(__xludf.DUMMYFUNCTION("""COMPUTED_VALUE"""),365.0)</f>
        <v>365</v>
      </c>
      <c r="L6519" s="4">
        <f>IFERROR(__xludf.DUMMYFUNCTION("""COMPUTED_VALUE"""),0.424)</f>
        <v>0.424</v>
      </c>
      <c r="M6519" s="4"/>
      <c r="N6519" s="4">
        <f>IFERROR(__xludf.DUMMYFUNCTION("""COMPUTED_VALUE"""),0.772)</f>
        <v>0.772</v>
      </c>
      <c r="O6519" s="4">
        <f>IFERROR(__xludf.DUMMYFUNCTION("""COMPUTED_VALUE"""),21.1)</f>
        <v>21.1</v>
      </c>
      <c r="P6519" s="4">
        <f>IFERROR(__xludf.DUMMYFUNCTION("""COMPUTED_VALUE"""),10.7)</f>
        <v>10.7</v>
      </c>
      <c r="Q6519" s="4">
        <f>IFERROR(__xludf.DUMMYFUNCTION("""COMPUTED_VALUE"""),2.3)</f>
        <v>2.3</v>
      </c>
      <c r="R6519" s="4">
        <f>IFERROR(__xludf.DUMMYFUNCTION("""COMPUTED_VALUE"""),1.8)</f>
        <v>1.8</v>
      </c>
      <c r="S6519" s="4">
        <f>IFERROR(__xludf.DUMMYFUNCTION("""COMPUTED_VALUE"""),4.8)</f>
        <v>4.8</v>
      </c>
      <c r="T6519" s="4">
        <f>IFERROR(__xludf.DUMMYFUNCTION("""COMPUTED_VALUE"""),0.054)</f>
        <v>0.054</v>
      </c>
      <c r="U6519" s="4"/>
      <c r="V6519" s="4"/>
    </row>
    <row r="6520">
      <c r="A6520" s="4">
        <f>IFERROR(__xludf.DUMMYFUNCTION("""COMPUTED_VALUE"""),15.0)</f>
        <v>15</v>
      </c>
      <c r="B6520" s="4">
        <f>IFERROR(__xludf.DUMMYFUNCTION("""COMPUTED_VALUE"""),15.0)</f>
        <v>15</v>
      </c>
      <c r="C6520" s="4" t="str">
        <f>IFERROR(__xludf.DUMMYFUNCTION("""COMPUTED_VALUE"""),"LAL")</f>
        <v>LAL</v>
      </c>
      <c r="D6520" s="4" t="str">
        <f>IFERROR(__xludf.DUMMYFUNCTION("""COMPUTED_VALUE"""),"Rick Roberson")</f>
        <v>Rick Roberson</v>
      </c>
      <c r="E6520" s="4" t="str">
        <f>IFERROR(__xludf.DUMMYFUNCTION("""COMPUTED_VALUE"""),"Cincinnati")</f>
        <v>Cincinnati</v>
      </c>
      <c r="F6520" s="4">
        <f>IFERROR(__xludf.DUMMYFUNCTION("""COMPUTED_VALUE"""),7.0)</f>
        <v>7</v>
      </c>
      <c r="G6520" s="4">
        <f>IFERROR(__xludf.DUMMYFUNCTION("""COMPUTED_VALUE"""),423.0)</f>
        <v>423</v>
      </c>
      <c r="H6520" s="4">
        <f>IFERROR(__xludf.DUMMYFUNCTION("""COMPUTED_VALUE"""),10356.0)</f>
        <v>10356</v>
      </c>
      <c r="I6520" s="4">
        <f>IFERROR(__xludf.DUMMYFUNCTION("""COMPUTED_VALUE"""),3826.0)</f>
        <v>3826</v>
      </c>
      <c r="J6520" s="4">
        <f>IFERROR(__xludf.DUMMYFUNCTION("""COMPUTED_VALUE"""),3522.0)</f>
        <v>3522</v>
      </c>
      <c r="K6520" s="4">
        <f>IFERROR(__xludf.DUMMYFUNCTION("""COMPUTED_VALUE"""),591.0)</f>
        <v>591</v>
      </c>
      <c r="L6520" s="4">
        <f>IFERROR(__xludf.DUMMYFUNCTION("""COMPUTED_VALUE"""),0.44)</f>
        <v>0.44</v>
      </c>
      <c r="M6520" s="4"/>
      <c r="N6520" s="4">
        <f>IFERROR(__xludf.DUMMYFUNCTION("""COMPUTED_VALUE"""),0.585)</f>
        <v>0.585</v>
      </c>
      <c r="O6520" s="4">
        <f>IFERROR(__xludf.DUMMYFUNCTION("""COMPUTED_VALUE"""),24.5)</f>
        <v>24.5</v>
      </c>
      <c r="P6520" s="4">
        <f>IFERROR(__xludf.DUMMYFUNCTION("""COMPUTED_VALUE"""),9.0)</f>
        <v>9</v>
      </c>
      <c r="Q6520" s="4">
        <f>IFERROR(__xludf.DUMMYFUNCTION("""COMPUTED_VALUE"""),8.3)</f>
        <v>8.3</v>
      </c>
      <c r="R6520" s="4">
        <f>IFERROR(__xludf.DUMMYFUNCTION("""COMPUTED_VALUE"""),1.4)</f>
        <v>1.4</v>
      </c>
      <c r="S6520" s="4">
        <f>IFERROR(__xludf.DUMMYFUNCTION("""COMPUTED_VALUE"""),14.6)</f>
        <v>14.6</v>
      </c>
      <c r="T6520" s="4">
        <f>IFERROR(__xludf.DUMMYFUNCTION("""COMPUTED_VALUE"""),0.068)</f>
        <v>0.068</v>
      </c>
      <c r="U6520" s="4">
        <f>IFERROR(__xludf.DUMMYFUNCTION("""COMPUTED_VALUE"""),-2.5)</f>
        <v>-2.5</v>
      </c>
      <c r="V6520" s="4">
        <f>IFERROR(__xludf.DUMMYFUNCTION("""COMPUTED_VALUE"""),-0.4)</f>
        <v>-0.4</v>
      </c>
    </row>
    <row r="6521">
      <c r="A6521" s="4"/>
      <c r="B6521" s="4"/>
      <c r="C6521" s="4"/>
      <c r="D6521" s="4" t="str">
        <f>IFERROR(__xludf.DUMMYFUNCTION("""COMPUTED_VALUE"""),"Round 2")</f>
        <v>Round 2</v>
      </c>
      <c r="E6521" s="4"/>
      <c r="F6521" s="4"/>
      <c r="G6521" s="4" t="str">
        <f>IFERROR(__xludf.DUMMYFUNCTION("""COMPUTED_VALUE"""),"Totals")</f>
        <v>Totals</v>
      </c>
      <c r="H6521" s="4"/>
      <c r="I6521" s="4"/>
      <c r="J6521" s="4"/>
      <c r="K6521" s="4"/>
      <c r="L6521" s="4" t="str">
        <f>IFERROR(__xludf.DUMMYFUNCTION("""COMPUTED_VALUE"""),"Shooting")</f>
        <v>Shooting</v>
      </c>
      <c r="M6521" s="4"/>
      <c r="N6521" s="4"/>
      <c r="O6521" s="4" t="str">
        <f>IFERROR(__xludf.DUMMYFUNCTION("""COMPUTED_VALUE"""),"Per Game")</f>
        <v>Per Game</v>
      </c>
      <c r="P6521" s="4"/>
      <c r="Q6521" s="4"/>
      <c r="R6521" s="4"/>
      <c r="S6521" s="4" t="str">
        <f>IFERROR(__xludf.DUMMYFUNCTION("""COMPUTED_VALUE"""),"Advanced")</f>
        <v>Advanced</v>
      </c>
      <c r="T6521" s="4"/>
      <c r="U6521" s="4"/>
      <c r="V6521" s="4"/>
    </row>
    <row r="6522">
      <c r="A6522" s="4" t="str">
        <f>IFERROR(__xludf.DUMMYFUNCTION("""COMPUTED_VALUE"""),"Rk")</f>
        <v>Rk</v>
      </c>
      <c r="B6522" s="4" t="str">
        <f>IFERROR(__xludf.DUMMYFUNCTION("""COMPUTED_VALUE"""),"Pk")</f>
        <v>Pk</v>
      </c>
      <c r="C6522" s="4" t="str">
        <f>IFERROR(__xludf.DUMMYFUNCTION("""COMPUTED_VALUE"""),"Tm")</f>
        <v>Tm</v>
      </c>
      <c r="D6522" s="4" t="str">
        <f>IFERROR(__xludf.DUMMYFUNCTION("""COMPUTED_VALUE"""),"Player")</f>
        <v>Player</v>
      </c>
      <c r="E6522" s="4" t="str">
        <f>IFERROR(__xludf.DUMMYFUNCTION("""COMPUTED_VALUE"""),"College")</f>
        <v>College</v>
      </c>
      <c r="F6522" s="4" t="str">
        <f>IFERROR(__xludf.DUMMYFUNCTION("""COMPUTED_VALUE"""),"Yrs")</f>
        <v>Yrs</v>
      </c>
      <c r="G6522" s="4" t="str">
        <f>IFERROR(__xludf.DUMMYFUNCTION("""COMPUTED_VALUE"""),"G")</f>
        <v>G</v>
      </c>
      <c r="H6522" s="4" t="str">
        <f>IFERROR(__xludf.DUMMYFUNCTION("""COMPUTED_VALUE"""),"MP")</f>
        <v>MP</v>
      </c>
      <c r="I6522" s="4" t="str">
        <f>IFERROR(__xludf.DUMMYFUNCTION("""COMPUTED_VALUE"""),"PTS")</f>
        <v>PTS</v>
      </c>
      <c r="J6522" s="4" t="str">
        <f>IFERROR(__xludf.DUMMYFUNCTION("""COMPUTED_VALUE"""),"TRB")</f>
        <v>TRB</v>
      </c>
      <c r="K6522" s="4" t="str">
        <f>IFERROR(__xludf.DUMMYFUNCTION("""COMPUTED_VALUE"""),"AST")</f>
        <v>AST</v>
      </c>
      <c r="L6522" s="4" t="str">
        <f>IFERROR(__xludf.DUMMYFUNCTION("""COMPUTED_VALUE"""),"FG%")</f>
        <v>FG%</v>
      </c>
      <c r="M6522" s="4" t="str">
        <f>IFERROR(__xludf.DUMMYFUNCTION("""COMPUTED_VALUE"""),"3P%")</f>
        <v>3P%</v>
      </c>
      <c r="N6522" s="4" t="str">
        <f>IFERROR(__xludf.DUMMYFUNCTION("""COMPUTED_VALUE"""),"FT%")</f>
        <v>FT%</v>
      </c>
      <c r="O6522" s="4" t="str">
        <f>IFERROR(__xludf.DUMMYFUNCTION("""COMPUTED_VALUE"""),"MP")</f>
        <v>MP</v>
      </c>
      <c r="P6522" s="4" t="str">
        <f>IFERROR(__xludf.DUMMYFUNCTION("""COMPUTED_VALUE"""),"PTS")</f>
        <v>PTS</v>
      </c>
      <c r="Q6522" s="4" t="str">
        <f>IFERROR(__xludf.DUMMYFUNCTION("""COMPUTED_VALUE"""),"TRB")</f>
        <v>TRB</v>
      </c>
      <c r="R6522" s="4" t="str">
        <f>IFERROR(__xludf.DUMMYFUNCTION("""COMPUTED_VALUE"""),"AST")</f>
        <v>AST</v>
      </c>
      <c r="S6522" s="4" t="str">
        <f>IFERROR(__xludf.DUMMYFUNCTION("""COMPUTED_VALUE"""),"WS")</f>
        <v>WS</v>
      </c>
      <c r="T6522" s="4" t="str">
        <f>IFERROR(__xludf.DUMMYFUNCTION("""COMPUTED_VALUE"""),"WS/48")</f>
        <v>WS/48</v>
      </c>
      <c r="U6522" s="4" t="str">
        <f>IFERROR(__xludf.DUMMYFUNCTION("""COMPUTED_VALUE"""),"BPM")</f>
        <v>BPM</v>
      </c>
      <c r="V6522" s="4" t="str">
        <f>IFERROR(__xludf.DUMMYFUNCTION("""COMPUTED_VALUE"""),"VORP")</f>
        <v>VORP</v>
      </c>
    </row>
    <row r="6523">
      <c r="A6523" s="4">
        <f>IFERROR(__xludf.DUMMYFUNCTION("""COMPUTED_VALUE"""),16.0)</f>
        <v>16</v>
      </c>
      <c r="B6523" s="4">
        <f>IFERROR(__xludf.DUMMYFUNCTION("""COMPUTED_VALUE"""),16.0)</f>
        <v>16</v>
      </c>
      <c r="C6523" s="4" t="str">
        <f>IFERROR(__xludf.DUMMYFUNCTION("""COMPUTED_VALUE"""),"CHI")</f>
        <v>CHI</v>
      </c>
      <c r="D6523" s="4" t="str">
        <f>IFERROR(__xludf.DUMMYFUNCTION("""COMPUTED_VALUE"""),"Simmie Hill")</f>
        <v>Simmie Hill</v>
      </c>
      <c r="E6523" s="4" t="str">
        <f>IFERROR(__xludf.DUMMYFUNCTION("""COMPUTED_VALUE"""),"West Texas A&amp;M University")</f>
        <v>West Texas A&amp;M University</v>
      </c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</row>
    <row r="6524">
      <c r="A6524" s="4">
        <f>IFERROR(__xludf.DUMMYFUNCTION("""COMPUTED_VALUE"""),17.0)</f>
        <v>17</v>
      </c>
      <c r="B6524" s="4">
        <f>IFERROR(__xludf.DUMMYFUNCTION("""COMPUTED_VALUE"""),17.0)</f>
        <v>17</v>
      </c>
      <c r="C6524" s="4" t="str">
        <f>IFERROR(__xludf.DUMMYFUNCTION("""COMPUTED_VALUE"""),"MIL")</f>
        <v>MIL</v>
      </c>
      <c r="D6524" s="4" t="str">
        <f>IFERROR(__xludf.DUMMYFUNCTION("""COMPUTED_VALUE"""),"Bob Greacen")</f>
        <v>Bob Greacen</v>
      </c>
      <c r="E6524" s="4" t="str">
        <f>IFERROR(__xludf.DUMMYFUNCTION("""COMPUTED_VALUE"""),"Rutgers University")</f>
        <v>Rutgers University</v>
      </c>
      <c r="F6524" s="4">
        <f>IFERROR(__xludf.DUMMYFUNCTION("""COMPUTED_VALUE"""),2.0)</f>
        <v>2</v>
      </c>
      <c r="G6524" s="4">
        <f>IFERROR(__xludf.DUMMYFUNCTION("""COMPUTED_VALUE"""),43.0)</f>
        <v>43</v>
      </c>
      <c r="H6524" s="4">
        <f>IFERROR(__xludf.DUMMYFUNCTION("""COMPUTED_VALUE"""),335.0)</f>
        <v>335</v>
      </c>
      <c r="I6524" s="4">
        <f>IFERROR(__xludf.DUMMYFUNCTION("""COMPUTED_VALUE"""),111.0)</f>
        <v>111</v>
      </c>
      <c r="J6524" s="4">
        <f>IFERROR(__xludf.DUMMYFUNCTION("""COMPUTED_VALUE"""),65.0)</f>
        <v>65</v>
      </c>
      <c r="K6524" s="4">
        <f>IFERROR(__xludf.DUMMYFUNCTION("""COMPUTED_VALUE"""),40.0)</f>
        <v>40</v>
      </c>
      <c r="L6524" s="4">
        <f>IFERROR(__xludf.DUMMYFUNCTION("""COMPUTED_VALUE"""),0.372)</f>
        <v>0.372</v>
      </c>
      <c r="M6524" s="4"/>
      <c r="N6524" s="4">
        <f>IFERROR(__xludf.DUMMYFUNCTION("""COMPUTED_VALUE"""),0.6)</f>
        <v>0.6</v>
      </c>
      <c r="O6524" s="4">
        <f>IFERROR(__xludf.DUMMYFUNCTION("""COMPUTED_VALUE"""),7.8)</f>
        <v>7.8</v>
      </c>
      <c r="P6524" s="4">
        <f>IFERROR(__xludf.DUMMYFUNCTION("""COMPUTED_VALUE"""),2.6)</f>
        <v>2.6</v>
      </c>
      <c r="Q6524" s="4">
        <f>IFERROR(__xludf.DUMMYFUNCTION("""COMPUTED_VALUE"""),1.5)</f>
        <v>1.5</v>
      </c>
      <c r="R6524" s="4">
        <f>IFERROR(__xludf.DUMMYFUNCTION("""COMPUTED_VALUE"""),0.9)</f>
        <v>0.9</v>
      </c>
      <c r="S6524" s="4">
        <f>IFERROR(__xludf.DUMMYFUNCTION("""COMPUTED_VALUE"""),-0.1)</f>
        <v>-0.1</v>
      </c>
      <c r="T6524" s="4">
        <f>IFERROR(__xludf.DUMMYFUNCTION("""COMPUTED_VALUE"""),-0.015)</f>
        <v>-0.015</v>
      </c>
      <c r="U6524" s="4"/>
      <c r="V6524" s="4"/>
    </row>
    <row r="6525">
      <c r="A6525" s="4">
        <f>IFERROR(__xludf.DUMMYFUNCTION("""COMPUTED_VALUE"""),18.0)</f>
        <v>18</v>
      </c>
      <c r="B6525" s="4">
        <f>IFERROR(__xludf.DUMMYFUNCTION("""COMPUTED_VALUE"""),18.0)</f>
        <v>18</v>
      </c>
      <c r="C6525" s="4" t="str">
        <f>IFERROR(__xludf.DUMMYFUNCTION("""COMPUTED_VALUE"""),"SEA")</f>
        <v>SEA</v>
      </c>
      <c r="D6525" s="4" t="str">
        <f>IFERROR(__xludf.DUMMYFUNCTION("""COMPUTED_VALUE"""),"Ron Taylor")</f>
        <v>Ron Taylor</v>
      </c>
      <c r="E6525" s="4" t="str">
        <f>IFERROR(__xludf.DUMMYFUNCTION("""COMPUTED_VALUE"""),"USC")</f>
        <v>USC</v>
      </c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</row>
    <row r="6526">
      <c r="A6526" s="4">
        <f>IFERROR(__xludf.DUMMYFUNCTION("""COMPUTED_VALUE"""),19.0)</f>
        <v>19</v>
      </c>
      <c r="B6526" s="4">
        <f>IFERROR(__xludf.DUMMYFUNCTION("""COMPUTED_VALUE"""),19.0)</f>
        <v>19</v>
      </c>
      <c r="C6526" s="4" t="str">
        <f>IFERROR(__xludf.DUMMYFUNCTION("""COMPUTED_VALUE"""),"DET")</f>
        <v>DET</v>
      </c>
      <c r="D6526" s="4" t="str">
        <f>IFERROR(__xludf.DUMMYFUNCTION("""COMPUTED_VALUE"""),"Willie Norwood")</f>
        <v>Willie Norwood</v>
      </c>
      <c r="E6526" s="4" t="str">
        <f>IFERROR(__xludf.DUMMYFUNCTION("""COMPUTED_VALUE"""),"Alcorn State")</f>
        <v>Alcorn State</v>
      </c>
      <c r="F6526" s="4">
        <f>IFERROR(__xludf.DUMMYFUNCTION("""COMPUTED_VALUE"""),7.0)</f>
        <v>7</v>
      </c>
      <c r="G6526" s="4">
        <f>IFERROR(__xludf.DUMMYFUNCTION("""COMPUTED_VALUE"""),430.0)</f>
        <v>430</v>
      </c>
      <c r="H6526" s="4">
        <f>IFERROR(__xludf.DUMMYFUNCTION("""COMPUTED_VALUE"""),7341.0)</f>
        <v>7341</v>
      </c>
      <c r="I6526" s="4">
        <f>IFERROR(__xludf.DUMMYFUNCTION("""COMPUTED_VALUE"""),3209.0)</f>
        <v>3209</v>
      </c>
      <c r="J6526" s="4">
        <f>IFERROR(__xludf.DUMMYFUNCTION("""COMPUTED_VALUE"""),1597.0)</f>
        <v>1597</v>
      </c>
      <c r="K6526" s="4">
        <f>IFERROR(__xludf.DUMMYFUNCTION("""COMPUTED_VALUE"""),364.0)</f>
        <v>364</v>
      </c>
      <c r="L6526" s="4">
        <f>IFERROR(__xludf.DUMMYFUNCTION("""COMPUTED_VALUE"""),0.488)</f>
        <v>0.488</v>
      </c>
      <c r="M6526" s="4"/>
      <c r="N6526" s="4">
        <f>IFERROR(__xludf.DUMMYFUNCTION("""COMPUTED_VALUE"""),0.697)</f>
        <v>0.697</v>
      </c>
      <c r="O6526" s="4">
        <f>IFERROR(__xludf.DUMMYFUNCTION("""COMPUTED_VALUE"""),17.1)</f>
        <v>17.1</v>
      </c>
      <c r="P6526" s="4">
        <f>IFERROR(__xludf.DUMMYFUNCTION("""COMPUTED_VALUE"""),7.5)</f>
        <v>7.5</v>
      </c>
      <c r="Q6526" s="4">
        <f>IFERROR(__xludf.DUMMYFUNCTION("""COMPUTED_VALUE"""),3.7)</f>
        <v>3.7</v>
      </c>
      <c r="R6526" s="4">
        <f>IFERROR(__xludf.DUMMYFUNCTION("""COMPUTED_VALUE"""),0.8)</f>
        <v>0.8</v>
      </c>
      <c r="S6526" s="4">
        <f>IFERROR(__xludf.DUMMYFUNCTION("""COMPUTED_VALUE"""),17.6)</f>
        <v>17.6</v>
      </c>
      <c r="T6526" s="4">
        <f>IFERROR(__xludf.DUMMYFUNCTION("""COMPUTED_VALUE"""),0.115)</f>
        <v>0.115</v>
      </c>
      <c r="U6526" s="4">
        <f>IFERROR(__xludf.DUMMYFUNCTION("""COMPUTED_VALUE"""),-0.8)</f>
        <v>-0.8</v>
      </c>
      <c r="V6526" s="4">
        <f>IFERROR(__xludf.DUMMYFUNCTION("""COMPUTED_VALUE"""),1.5)</f>
        <v>1.5</v>
      </c>
    </row>
    <row r="6527">
      <c r="A6527" s="4">
        <f>IFERROR(__xludf.DUMMYFUNCTION("""COMPUTED_VALUE"""),20.0)</f>
        <v>20</v>
      </c>
      <c r="B6527" s="4">
        <f>IFERROR(__xludf.DUMMYFUNCTION("""COMPUTED_VALUE"""),20.0)</f>
        <v>20</v>
      </c>
      <c r="C6527" s="4" t="str">
        <f>IFERROR(__xludf.DUMMYFUNCTION("""COMPUTED_VALUE"""),"CHI")</f>
        <v>CHI</v>
      </c>
      <c r="D6527" s="4" t="str">
        <f>IFERROR(__xludf.DUMMYFUNCTION("""COMPUTED_VALUE"""),"Ken Spain")</f>
        <v>Ken Spain</v>
      </c>
      <c r="E6527" s="4" t="str">
        <f>IFERROR(__xludf.DUMMYFUNCTION("""COMPUTED_VALUE"""),"Houston")</f>
        <v>Houston</v>
      </c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</row>
    <row r="6528">
      <c r="A6528" s="4">
        <f>IFERROR(__xludf.DUMMYFUNCTION("""COMPUTED_VALUE"""),21.0)</f>
        <v>21</v>
      </c>
      <c r="B6528" s="4">
        <f>IFERROR(__xludf.DUMMYFUNCTION("""COMPUTED_VALUE"""),21.0)</f>
        <v>21</v>
      </c>
      <c r="C6528" s="4" t="str">
        <f>IFERROR(__xludf.DUMMYFUNCTION("""COMPUTED_VALUE"""),"SDR")</f>
        <v>SDR</v>
      </c>
      <c r="D6528" s="4" t="str">
        <f>IFERROR(__xludf.DUMMYFUNCTION("""COMPUTED_VALUE"""),"Bernie Williams")</f>
        <v>Bernie Williams</v>
      </c>
      <c r="E6528" s="4" t="str">
        <f>IFERROR(__xludf.DUMMYFUNCTION("""COMPUTED_VALUE"""),"La Salle")</f>
        <v>La Salle</v>
      </c>
      <c r="F6528" s="4">
        <f>IFERROR(__xludf.DUMMYFUNCTION("""COMPUTED_VALUE"""),2.0)</f>
        <v>2</v>
      </c>
      <c r="G6528" s="4">
        <f>IFERROR(__xludf.DUMMYFUNCTION("""COMPUTED_VALUE"""),128.0)</f>
        <v>128</v>
      </c>
      <c r="H6528" s="4">
        <f>IFERROR(__xludf.DUMMYFUNCTION("""COMPUTED_VALUE"""),1936.0)</f>
        <v>1936</v>
      </c>
      <c r="I6528" s="4">
        <f>IFERROR(__xludf.DUMMYFUNCTION("""COMPUTED_VALUE"""),890.0)</f>
        <v>890</v>
      </c>
      <c r="J6528" s="4">
        <f>IFERROR(__xludf.DUMMYFUNCTION("""COMPUTED_VALUE"""),240.0)</f>
        <v>240</v>
      </c>
      <c r="K6528" s="4">
        <f>IFERROR(__xludf.DUMMYFUNCTION("""COMPUTED_VALUE"""),278.0)</f>
        <v>278</v>
      </c>
      <c r="L6528" s="4">
        <f>IFERROR(__xludf.DUMMYFUNCTION("""COMPUTED_VALUE"""),0.371)</f>
        <v>0.371</v>
      </c>
      <c r="M6528" s="4"/>
      <c r="N6528" s="4">
        <f>IFERROR(__xludf.DUMMYFUNCTION("""COMPUTED_VALUE"""),0.808)</f>
        <v>0.808</v>
      </c>
      <c r="O6528" s="4">
        <f>IFERROR(__xludf.DUMMYFUNCTION("""COMPUTED_VALUE"""),15.1)</f>
        <v>15.1</v>
      </c>
      <c r="P6528" s="4">
        <f>IFERROR(__xludf.DUMMYFUNCTION("""COMPUTED_VALUE"""),7.0)</f>
        <v>7</v>
      </c>
      <c r="Q6528" s="4">
        <f>IFERROR(__xludf.DUMMYFUNCTION("""COMPUTED_VALUE"""),1.9)</f>
        <v>1.9</v>
      </c>
      <c r="R6528" s="4">
        <f>IFERROR(__xludf.DUMMYFUNCTION("""COMPUTED_VALUE"""),2.2)</f>
        <v>2.2</v>
      </c>
      <c r="S6528" s="4">
        <f>IFERROR(__xludf.DUMMYFUNCTION("""COMPUTED_VALUE"""),-0.2)</f>
        <v>-0.2</v>
      </c>
      <c r="T6528" s="4">
        <f>IFERROR(__xludf.DUMMYFUNCTION("""COMPUTED_VALUE"""),-0.005)</f>
        <v>-0.005</v>
      </c>
      <c r="U6528" s="4"/>
      <c r="V6528" s="4"/>
    </row>
    <row r="6529">
      <c r="A6529" s="4">
        <f>IFERROR(__xludf.DUMMYFUNCTION("""COMPUTED_VALUE"""),22.0)</f>
        <v>22</v>
      </c>
      <c r="B6529" s="4">
        <f>IFERROR(__xludf.DUMMYFUNCTION("""COMPUTED_VALUE"""),22.0)</f>
        <v>22</v>
      </c>
      <c r="C6529" s="4" t="str">
        <f>IFERROR(__xludf.DUMMYFUNCTION("""COMPUTED_VALUE"""),"SFW")</f>
        <v>SFW</v>
      </c>
      <c r="D6529" s="4" t="str">
        <f>IFERROR(__xludf.DUMMYFUNCTION("""COMPUTED_VALUE"""),"Ed Siudut")</f>
        <v>Ed Siudut</v>
      </c>
      <c r="E6529" s="4" t="str">
        <f>IFERROR(__xludf.DUMMYFUNCTION("""COMPUTED_VALUE"""),"Holy Cross")</f>
        <v>Holy Cross</v>
      </c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</row>
    <row r="6530">
      <c r="A6530" s="4">
        <f>IFERROR(__xludf.DUMMYFUNCTION("""COMPUTED_VALUE"""),23.0)</f>
        <v>23</v>
      </c>
      <c r="B6530" s="4">
        <f>IFERROR(__xludf.DUMMYFUNCTION("""COMPUTED_VALUE"""),23.0)</f>
        <v>23</v>
      </c>
      <c r="C6530" s="4" t="str">
        <f>IFERROR(__xludf.DUMMYFUNCTION("""COMPUTED_VALUE"""),"CHI")</f>
        <v>CHI</v>
      </c>
      <c r="D6530" s="4" t="str">
        <f>IFERROR(__xludf.DUMMYFUNCTION("""COMPUTED_VALUE"""),"Johnny Baum")</f>
        <v>Johnny Baum</v>
      </c>
      <c r="E6530" s="4" t="str">
        <f>IFERROR(__xludf.DUMMYFUNCTION("""COMPUTED_VALUE"""),"Temple")</f>
        <v>Temple</v>
      </c>
      <c r="F6530" s="4">
        <f>IFERROR(__xludf.DUMMYFUNCTION("""COMPUTED_VALUE"""),2.0)</f>
        <v>2</v>
      </c>
      <c r="G6530" s="4">
        <f>IFERROR(__xludf.DUMMYFUNCTION("""COMPUTED_VALUE"""),65.0)</f>
        <v>65</v>
      </c>
      <c r="H6530" s="4">
        <f>IFERROR(__xludf.DUMMYFUNCTION("""COMPUTED_VALUE"""),556.0)</f>
        <v>556</v>
      </c>
      <c r="I6530" s="4">
        <f>IFERROR(__xludf.DUMMYFUNCTION("""COMPUTED_VALUE"""),292.0)</f>
        <v>292</v>
      </c>
      <c r="J6530" s="4">
        <f>IFERROR(__xludf.DUMMYFUNCTION("""COMPUTED_VALUE"""),129.0)</f>
        <v>129</v>
      </c>
      <c r="K6530" s="4">
        <f>IFERROR(__xludf.DUMMYFUNCTION("""COMPUTED_VALUE"""),31.0)</f>
        <v>31</v>
      </c>
      <c r="L6530" s="4">
        <f>IFERROR(__xludf.DUMMYFUNCTION("""COMPUTED_VALUE"""),0.414)</f>
        <v>0.414</v>
      </c>
      <c r="M6530" s="4"/>
      <c r="N6530" s="4">
        <f>IFERROR(__xludf.DUMMYFUNCTION("""COMPUTED_VALUE"""),0.69)</f>
        <v>0.69</v>
      </c>
      <c r="O6530" s="4">
        <f>IFERROR(__xludf.DUMMYFUNCTION("""COMPUTED_VALUE"""),8.6)</f>
        <v>8.6</v>
      </c>
      <c r="P6530" s="4">
        <f>IFERROR(__xludf.DUMMYFUNCTION("""COMPUTED_VALUE"""),4.5)</f>
        <v>4.5</v>
      </c>
      <c r="Q6530" s="4">
        <f>IFERROR(__xludf.DUMMYFUNCTION("""COMPUTED_VALUE"""),2.0)</f>
        <v>2</v>
      </c>
      <c r="R6530" s="4">
        <f>IFERROR(__xludf.DUMMYFUNCTION("""COMPUTED_VALUE"""),0.5)</f>
        <v>0.5</v>
      </c>
      <c r="S6530" s="4">
        <f>IFERROR(__xludf.DUMMYFUNCTION("""COMPUTED_VALUE"""),0.3)</f>
        <v>0.3</v>
      </c>
      <c r="T6530" s="4">
        <f>IFERROR(__xludf.DUMMYFUNCTION("""COMPUTED_VALUE"""),0.026)</f>
        <v>0.026</v>
      </c>
      <c r="U6530" s="4"/>
      <c r="V6530" s="4"/>
    </row>
    <row r="6531">
      <c r="A6531" s="4">
        <f>IFERROR(__xludf.DUMMYFUNCTION("""COMPUTED_VALUE"""),24.0)</f>
        <v>24</v>
      </c>
      <c r="B6531" s="4">
        <f>IFERROR(__xludf.DUMMYFUNCTION("""COMPUTED_VALUE"""),24.0)</f>
        <v>24</v>
      </c>
      <c r="C6531" s="4" t="str">
        <f>IFERROR(__xludf.DUMMYFUNCTION("""COMPUTED_VALUE"""),"PHO")</f>
        <v>PHO</v>
      </c>
      <c r="D6531" s="4" t="str">
        <f>IFERROR(__xludf.DUMMYFUNCTION("""COMPUTED_VALUE"""),"Gene Williams")</f>
        <v>Gene Williams</v>
      </c>
      <c r="E6531" s="4" t="str">
        <f>IFERROR(__xludf.DUMMYFUNCTION("""COMPUTED_VALUE"""),"Kansas State")</f>
        <v>Kansas State</v>
      </c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</row>
    <row r="6532">
      <c r="A6532" s="4">
        <f>IFERROR(__xludf.DUMMYFUNCTION("""COMPUTED_VALUE"""),25.0)</f>
        <v>25</v>
      </c>
      <c r="B6532" s="4">
        <f>IFERROR(__xludf.DUMMYFUNCTION("""COMPUTED_VALUE"""),25.0)</f>
        <v>25</v>
      </c>
      <c r="C6532" s="4" t="str">
        <f>IFERROR(__xludf.DUMMYFUNCTION("""COMPUTED_VALUE"""),"ATL")</f>
        <v>ATL</v>
      </c>
      <c r="D6532" s="4" t="str">
        <f>IFERROR(__xludf.DUMMYFUNCTION("""COMPUTED_VALUE"""),"Wally Anderzunas")</f>
        <v>Wally Anderzunas</v>
      </c>
      <c r="E6532" s="4" t="str">
        <f>IFERROR(__xludf.DUMMYFUNCTION("""COMPUTED_VALUE"""),"Creighton")</f>
        <v>Creighton</v>
      </c>
      <c r="F6532" s="4">
        <f>IFERROR(__xludf.DUMMYFUNCTION("""COMPUTED_VALUE"""),1.0)</f>
        <v>1</v>
      </c>
      <c r="G6532" s="4">
        <f>IFERROR(__xludf.DUMMYFUNCTION("""COMPUTED_VALUE"""),44.0)</f>
        <v>44</v>
      </c>
      <c r="H6532" s="4">
        <f>IFERROR(__xludf.DUMMYFUNCTION("""COMPUTED_VALUE"""),370.0)</f>
        <v>370</v>
      </c>
      <c r="I6532" s="4">
        <f>IFERROR(__xludf.DUMMYFUNCTION("""COMPUTED_VALUE"""),159.0)</f>
        <v>159</v>
      </c>
      <c r="J6532" s="4">
        <f>IFERROR(__xludf.DUMMYFUNCTION("""COMPUTED_VALUE"""),82.0)</f>
        <v>82</v>
      </c>
      <c r="K6532" s="4">
        <f>IFERROR(__xludf.DUMMYFUNCTION("""COMPUTED_VALUE"""),9.0)</f>
        <v>9</v>
      </c>
      <c r="L6532" s="4">
        <f>IFERROR(__xludf.DUMMYFUNCTION("""COMPUTED_VALUE"""),0.392)</f>
        <v>0.392</v>
      </c>
      <c r="M6532" s="4"/>
      <c r="N6532" s="4">
        <f>IFERROR(__xludf.DUMMYFUNCTION("""COMPUTED_VALUE"""),0.63)</f>
        <v>0.63</v>
      </c>
      <c r="O6532" s="4">
        <f>IFERROR(__xludf.DUMMYFUNCTION("""COMPUTED_VALUE"""),8.4)</f>
        <v>8.4</v>
      </c>
      <c r="P6532" s="4">
        <f>IFERROR(__xludf.DUMMYFUNCTION("""COMPUTED_VALUE"""),3.6)</f>
        <v>3.6</v>
      </c>
      <c r="Q6532" s="4">
        <f>IFERROR(__xludf.DUMMYFUNCTION("""COMPUTED_VALUE"""),1.9)</f>
        <v>1.9</v>
      </c>
      <c r="R6532" s="4">
        <f>IFERROR(__xludf.DUMMYFUNCTION("""COMPUTED_VALUE"""),0.2)</f>
        <v>0.2</v>
      </c>
      <c r="S6532" s="4">
        <f>IFERROR(__xludf.DUMMYFUNCTION("""COMPUTED_VALUE"""),-0.2)</f>
        <v>-0.2</v>
      </c>
      <c r="T6532" s="4">
        <f>IFERROR(__xludf.DUMMYFUNCTION("""COMPUTED_VALUE"""),-0.023)</f>
        <v>-0.023</v>
      </c>
      <c r="U6532" s="4"/>
      <c r="V6532" s="4"/>
    </row>
    <row r="6533">
      <c r="A6533" s="4">
        <f>IFERROR(__xludf.DUMMYFUNCTION("""COMPUTED_VALUE"""),26.0)</f>
        <v>26</v>
      </c>
      <c r="B6533" s="4">
        <f>IFERROR(__xludf.DUMMYFUNCTION("""COMPUTED_VALUE"""),26.0)</f>
        <v>26</v>
      </c>
      <c r="C6533" s="4" t="str">
        <f>IFERROR(__xludf.DUMMYFUNCTION("""COMPUTED_VALUE"""),"NYK")</f>
        <v>NYK</v>
      </c>
      <c r="D6533" s="4" t="str">
        <f>IFERROR(__xludf.DUMMYFUNCTION("""COMPUTED_VALUE"""),"Bill Bunting")</f>
        <v>Bill Bunting</v>
      </c>
      <c r="E6533" s="4" t="str">
        <f>IFERROR(__xludf.DUMMYFUNCTION("""COMPUTED_VALUE"""),"UNC")</f>
        <v>UNC</v>
      </c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</row>
    <row r="6534">
      <c r="A6534" s="4">
        <f>IFERROR(__xludf.DUMMYFUNCTION("""COMPUTED_VALUE"""),27.0)</f>
        <v>27</v>
      </c>
      <c r="B6534" s="4">
        <f>IFERROR(__xludf.DUMMYFUNCTION("""COMPUTED_VALUE"""),27.0)</f>
        <v>27</v>
      </c>
      <c r="C6534" s="4" t="str">
        <f>IFERROR(__xludf.DUMMYFUNCTION("""COMPUTED_VALUE"""),"LAL")</f>
        <v>LAL</v>
      </c>
      <c r="D6534" s="4" t="str">
        <f>IFERROR(__xludf.DUMMYFUNCTION("""COMPUTED_VALUE"""),"Dick Garrett")</f>
        <v>Dick Garrett</v>
      </c>
      <c r="E6534" s="4" t="str">
        <f>IFERROR(__xludf.DUMMYFUNCTION("""COMPUTED_VALUE"""),"Southern Illinois")</f>
        <v>Southern Illinois</v>
      </c>
      <c r="F6534" s="4">
        <f>IFERROR(__xludf.DUMMYFUNCTION("""COMPUTED_VALUE"""),5.0)</f>
        <v>5</v>
      </c>
      <c r="G6534" s="4">
        <f>IFERROR(__xludf.DUMMYFUNCTION("""COMPUTED_VALUE"""),339.0)</f>
        <v>339</v>
      </c>
      <c r="H6534" s="4">
        <f>IFERROR(__xludf.DUMMYFUNCTION("""COMPUTED_VALUE"""),8729.0)</f>
        <v>8729</v>
      </c>
      <c r="I6534" s="4">
        <f>IFERROR(__xludf.DUMMYFUNCTION("""COMPUTED_VALUE"""),3475.0)</f>
        <v>3475</v>
      </c>
      <c r="J6534" s="4">
        <f>IFERROR(__xludf.DUMMYFUNCTION("""COMPUTED_VALUE"""),1004.0)</f>
        <v>1004</v>
      </c>
      <c r="K6534" s="4">
        <f>IFERROR(__xludf.DUMMYFUNCTION("""COMPUTED_VALUE"""),849.0)</f>
        <v>849</v>
      </c>
      <c r="L6534" s="4">
        <f>IFERROR(__xludf.DUMMYFUNCTION("""COMPUTED_VALUE"""),0.423)</f>
        <v>0.423</v>
      </c>
      <c r="M6534" s="4"/>
      <c r="N6534" s="4">
        <f>IFERROR(__xludf.DUMMYFUNCTION("""COMPUTED_VALUE"""),0.863)</f>
        <v>0.863</v>
      </c>
      <c r="O6534" s="4">
        <f>IFERROR(__xludf.DUMMYFUNCTION("""COMPUTED_VALUE"""),25.7)</f>
        <v>25.7</v>
      </c>
      <c r="P6534" s="4">
        <f>IFERROR(__xludf.DUMMYFUNCTION("""COMPUTED_VALUE"""),10.3)</f>
        <v>10.3</v>
      </c>
      <c r="Q6534" s="4">
        <f>IFERROR(__xludf.DUMMYFUNCTION("""COMPUTED_VALUE"""),3.0)</f>
        <v>3</v>
      </c>
      <c r="R6534" s="4">
        <f>IFERROR(__xludf.DUMMYFUNCTION("""COMPUTED_VALUE"""),2.5)</f>
        <v>2.5</v>
      </c>
      <c r="S6534" s="4">
        <f>IFERROR(__xludf.DUMMYFUNCTION("""COMPUTED_VALUE"""),6.0)</f>
        <v>6</v>
      </c>
      <c r="T6534" s="4">
        <f>IFERROR(__xludf.DUMMYFUNCTION("""COMPUTED_VALUE"""),0.033)</f>
        <v>0.033</v>
      </c>
      <c r="U6534" s="4">
        <f>IFERROR(__xludf.DUMMYFUNCTION("""COMPUTED_VALUE"""),-5.8)</f>
        <v>-5.8</v>
      </c>
      <c r="V6534" s="4">
        <f>IFERROR(__xludf.DUMMYFUNCTION("""COMPUTED_VALUE"""),-0.4)</f>
        <v>-0.4</v>
      </c>
    </row>
    <row r="6535">
      <c r="A6535" s="4">
        <f>IFERROR(__xludf.DUMMYFUNCTION("""COMPUTED_VALUE"""),28.0)</f>
        <v>28</v>
      </c>
      <c r="B6535" s="4">
        <f>IFERROR(__xludf.DUMMYFUNCTION("""COMPUTED_VALUE"""),28.0)</f>
        <v>28</v>
      </c>
      <c r="C6535" s="4" t="str">
        <f>IFERROR(__xludf.DUMMYFUNCTION("""COMPUTED_VALUE"""),"PHI")</f>
        <v>PHI</v>
      </c>
      <c r="D6535" s="4" t="str">
        <f>IFERROR(__xludf.DUMMYFUNCTION("""COMPUTED_VALUE"""),"Willie Taylor")</f>
        <v>Willie Taylor</v>
      </c>
      <c r="E6535" s="4" t="str">
        <f>IFERROR(__xludf.DUMMYFUNCTION("""COMPUTED_VALUE"""),"LeMoyne College")</f>
        <v>LeMoyne College</v>
      </c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</row>
    <row r="6536">
      <c r="A6536" s="4">
        <f>IFERROR(__xludf.DUMMYFUNCTION("""COMPUTED_VALUE"""),29.0)</f>
        <v>29</v>
      </c>
      <c r="B6536" s="4">
        <f>IFERROR(__xludf.DUMMYFUNCTION("""COMPUTED_VALUE"""),29.0)</f>
        <v>29</v>
      </c>
      <c r="C6536" s="4" t="str">
        <f>IFERROR(__xludf.DUMMYFUNCTION("""COMPUTED_VALUE"""),"BAL")</f>
        <v>BAL</v>
      </c>
      <c r="D6536" s="4" t="str">
        <f>IFERROR(__xludf.DUMMYFUNCTION("""COMPUTED_VALUE"""),"Willie Scott")</f>
        <v>Willie Scott</v>
      </c>
      <c r="E6536" s="4" t="str">
        <f>IFERROR(__xludf.DUMMYFUNCTION("""COMPUTED_VALUE"""),"Alabama State University")</f>
        <v>Alabama State University</v>
      </c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</row>
    <row r="6537">
      <c r="A6537" s="4"/>
      <c r="B6537" s="4"/>
      <c r="C6537" s="4"/>
      <c r="D6537" s="4" t="str">
        <f>IFERROR(__xludf.DUMMYFUNCTION("""COMPUTED_VALUE"""),"Round 3")</f>
        <v>Round 3</v>
      </c>
      <c r="E6537" s="4"/>
      <c r="F6537" s="4"/>
      <c r="G6537" s="4" t="str">
        <f>IFERROR(__xludf.DUMMYFUNCTION("""COMPUTED_VALUE"""),"Totals")</f>
        <v>Totals</v>
      </c>
      <c r="H6537" s="4"/>
      <c r="I6537" s="4"/>
      <c r="J6537" s="4"/>
      <c r="K6537" s="4"/>
      <c r="L6537" s="4" t="str">
        <f>IFERROR(__xludf.DUMMYFUNCTION("""COMPUTED_VALUE"""),"Shooting")</f>
        <v>Shooting</v>
      </c>
      <c r="M6537" s="4"/>
      <c r="N6537" s="4"/>
      <c r="O6537" s="4" t="str">
        <f>IFERROR(__xludf.DUMMYFUNCTION("""COMPUTED_VALUE"""),"Per Game")</f>
        <v>Per Game</v>
      </c>
      <c r="P6537" s="4"/>
      <c r="Q6537" s="4"/>
      <c r="R6537" s="4"/>
      <c r="S6537" s="4" t="str">
        <f>IFERROR(__xludf.DUMMYFUNCTION("""COMPUTED_VALUE"""),"Advanced")</f>
        <v>Advanced</v>
      </c>
      <c r="T6537" s="4"/>
      <c r="U6537" s="4"/>
      <c r="V6537" s="4"/>
    </row>
    <row r="6538">
      <c r="A6538" s="4" t="str">
        <f>IFERROR(__xludf.DUMMYFUNCTION("""COMPUTED_VALUE"""),"Rk")</f>
        <v>Rk</v>
      </c>
      <c r="B6538" s="4" t="str">
        <f>IFERROR(__xludf.DUMMYFUNCTION("""COMPUTED_VALUE"""),"Pk")</f>
        <v>Pk</v>
      </c>
      <c r="C6538" s="4" t="str">
        <f>IFERROR(__xludf.DUMMYFUNCTION("""COMPUTED_VALUE"""),"Tm")</f>
        <v>Tm</v>
      </c>
      <c r="D6538" s="4" t="str">
        <f>IFERROR(__xludf.DUMMYFUNCTION("""COMPUTED_VALUE"""),"Player")</f>
        <v>Player</v>
      </c>
      <c r="E6538" s="4" t="str">
        <f>IFERROR(__xludf.DUMMYFUNCTION("""COMPUTED_VALUE"""),"College")</f>
        <v>College</v>
      </c>
      <c r="F6538" s="4" t="str">
        <f>IFERROR(__xludf.DUMMYFUNCTION("""COMPUTED_VALUE"""),"Yrs")</f>
        <v>Yrs</v>
      </c>
      <c r="G6538" s="4" t="str">
        <f>IFERROR(__xludf.DUMMYFUNCTION("""COMPUTED_VALUE"""),"G")</f>
        <v>G</v>
      </c>
      <c r="H6538" s="4" t="str">
        <f>IFERROR(__xludf.DUMMYFUNCTION("""COMPUTED_VALUE"""),"MP")</f>
        <v>MP</v>
      </c>
      <c r="I6538" s="4" t="str">
        <f>IFERROR(__xludf.DUMMYFUNCTION("""COMPUTED_VALUE"""),"PTS")</f>
        <v>PTS</v>
      </c>
      <c r="J6538" s="4" t="str">
        <f>IFERROR(__xludf.DUMMYFUNCTION("""COMPUTED_VALUE"""),"TRB")</f>
        <v>TRB</v>
      </c>
      <c r="K6538" s="4" t="str">
        <f>IFERROR(__xludf.DUMMYFUNCTION("""COMPUTED_VALUE"""),"AST")</f>
        <v>AST</v>
      </c>
      <c r="L6538" s="4" t="str">
        <f>IFERROR(__xludf.DUMMYFUNCTION("""COMPUTED_VALUE"""),"FG%")</f>
        <v>FG%</v>
      </c>
      <c r="M6538" s="4" t="str">
        <f>IFERROR(__xludf.DUMMYFUNCTION("""COMPUTED_VALUE"""),"3P%")</f>
        <v>3P%</v>
      </c>
      <c r="N6538" s="4" t="str">
        <f>IFERROR(__xludf.DUMMYFUNCTION("""COMPUTED_VALUE"""),"FT%")</f>
        <v>FT%</v>
      </c>
      <c r="O6538" s="4" t="str">
        <f>IFERROR(__xludf.DUMMYFUNCTION("""COMPUTED_VALUE"""),"MP")</f>
        <v>MP</v>
      </c>
      <c r="P6538" s="4" t="str">
        <f>IFERROR(__xludf.DUMMYFUNCTION("""COMPUTED_VALUE"""),"PTS")</f>
        <v>PTS</v>
      </c>
      <c r="Q6538" s="4" t="str">
        <f>IFERROR(__xludf.DUMMYFUNCTION("""COMPUTED_VALUE"""),"TRB")</f>
        <v>TRB</v>
      </c>
      <c r="R6538" s="4" t="str">
        <f>IFERROR(__xludf.DUMMYFUNCTION("""COMPUTED_VALUE"""),"AST")</f>
        <v>AST</v>
      </c>
      <c r="S6538" s="4" t="str">
        <f>IFERROR(__xludf.DUMMYFUNCTION("""COMPUTED_VALUE"""),"WS")</f>
        <v>WS</v>
      </c>
      <c r="T6538" s="4" t="str">
        <f>IFERROR(__xludf.DUMMYFUNCTION("""COMPUTED_VALUE"""),"WS/48")</f>
        <v>WS/48</v>
      </c>
      <c r="U6538" s="4" t="str">
        <f>IFERROR(__xludf.DUMMYFUNCTION("""COMPUTED_VALUE"""),"BPM")</f>
        <v>BPM</v>
      </c>
      <c r="V6538" s="4" t="str">
        <f>IFERROR(__xludf.DUMMYFUNCTION("""COMPUTED_VALUE"""),"VORP")</f>
        <v>VORP</v>
      </c>
    </row>
    <row r="6539">
      <c r="A6539" s="4">
        <f>IFERROR(__xludf.DUMMYFUNCTION("""COMPUTED_VALUE"""),30.0)</f>
        <v>30</v>
      </c>
      <c r="B6539" s="4">
        <f>IFERROR(__xludf.DUMMYFUNCTION("""COMPUTED_VALUE"""),30.0)</f>
        <v>30</v>
      </c>
      <c r="C6539" s="4" t="str">
        <f>IFERROR(__xludf.DUMMYFUNCTION("""COMPUTED_VALUE"""),"PHO")</f>
        <v>PHO</v>
      </c>
      <c r="D6539" s="4" t="str">
        <f>IFERROR(__xludf.DUMMYFUNCTION("""COMPUTED_VALUE"""),"Floyd Kerr")</f>
        <v>Floyd Kerr</v>
      </c>
      <c r="E6539" s="4" t="str">
        <f>IFERROR(__xludf.DUMMYFUNCTION("""COMPUTED_VALUE"""),"Colorado State")</f>
        <v>Colorado State</v>
      </c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</row>
    <row r="6540">
      <c r="A6540" s="4">
        <f>IFERROR(__xludf.DUMMYFUNCTION("""COMPUTED_VALUE"""),31.0)</f>
        <v>31</v>
      </c>
      <c r="B6540" s="4">
        <f>IFERROR(__xludf.DUMMYFUNCTION("""COMPUTED_VALUE"""),31.0)</f>
        <v>31</v>
      </c>
      <c r="C6540" s="4" t="str">
        <f>IFERROR(__xludf.DUMMYFUNCTION("""COMPUTED_VALUE"""),"MIL")</f>
        <v>MIL</v>
      </c>
      <c r="D6540" s="4" t="str">
        <f>IFERROR(__xludf.DUMMYFUNCTION("""COMPUTED_VALUE"""),"Skeeter Swift")</f>
        <v>Skeeter Swift</v>
      </c>
      <c r="E6540" s="4" t="str">
        <f>IFERROR(__xludf.DUMMYFUNCTION("""COMPUTED_VALUE"""),"East Tennessee State University")</f>
        <v>East Tennessee State University</v>
      </c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</row>
    <row r="6541">
      <c r="A6541" s="4">
        <f>IFERROR(__xludf.DUMMYFUNCTION("""COMPUTED_VALUE"""),32.0)</f>
        <v>32</v>
      </c>
      <c r="B6541" s="4">
        <f>IFERROR(__xludf.DUMMYFUNCTION("""COMPUTED_VALUE"""),32.0)</f>
        <v>32</v>
      </c>
      <c r="C6541" s="4" t="str">
        <f>IFERROR(__xludf.DUMMYFUNCTION("""COMPUTED_VALUE"""),"SEA")</f>
        <v>SEA</v>
      </c>
      <c r="D6541" s="4" t="str">
        <f>IFERROR(__xludf.DUMMYFUNCTION("""COMPUTED_VALUE"""),"Lee Winfield")</f>
        <v>Lee Winfield</v>
      </c>
      <c r="E6541" s="4" t="str">
        <f>IFERROR(__xludf.DUMMYFUNCTION("""COMPUTED_VALUE"""),"University of North Texas")</f>
        <v>University of North Texas</v>
      </c>
      <c r="F6541" s="4">
        <f>IFERROR(__xludf.DUMMYFUNCTION("""COMPUTED_VALUE"""),7.0)</f>
        <v>7</v>
      </c>
      <c r="G6541" s="4">
        <f>IFERROR(__xludf.DUMMYFUNCTION("""COMPUTED_VALUE"""),403.0)</f>
        <v>403</v>
      </c>
      <c r="H6541" s="4">
        <f>IFERROR(__xludf.DUMMYFUNCTION("""COMPUTED_VALUE"""),7383.0)</f>
        <v>7383</v>
      </c>
      <c r="I6541" s="4">
        <f>IFERROR(__xludf.DUMMYFUNCTION("""COMPUTED_VALUE"""),2959.0)</f>
        <v>2959</v>
      </c>
      <c r="J6541" s="4">
        <f>IFERROR(__xludf.DUMMYFUNCTION("""COMPUTED_VALUE"""),828.0)</f>
        <v>828</v>
      </c>
      <c r="K6541" s="4">
        <f>IFERROR(__xludf.DUMMYFUNCTION("""COMPUTED_VALUE"""),1003.0)</f>
        <v>1003</v>
      </c>
      <c r="L6541" s="4">
        <f>IFERROR(__xludf.DUMMYFUNCTION("""COMPUTED_VALUE"""),0.474)</f>
        <v>0.474</v>
      </c>
      <c r="M6541" s="4"/>
      <c r="N6541" s="4">
        <f>IFERROR(__xludf.DUMMYFUNCTION("""COMPUTED_VALUE"""),0.668)</f>
        <v>0.668</v>
      </c>
      <c r="O6541" s="4">
        <f>IFERROR(__xludf.DUMMYFUNCTION("""COMPUTED_VALUE"""),18.3)</f>
        <v>18.3</v>
      </c>
      <c r="P6541" s="4">
        <f>IFERROR(__xludf.DUMMYFUNCTION("""COMPUTED_VALUE"""),7.3)</f>
        <v>7.3</v>
      </c>
      <c r="Q6541" s="4">
        <f>IFERROR(__xludf.DUMMYFUNCTION("""COMPUTED_VALUE"""),2.1)</f>
        <v>2.1</v>
      </c>
      <c r="R6541" s="4">
        <f>IFERROR(__xludf.DUMMYFUNCTION("""COMPUTED_VALUE"""),2.5)</f>
        <v>2.5</v>
      </c>
      <c r="S6541" s="4">
        <f>IFERROR(__xludf.DUMMYFUNCTION("""COMPUTED_VALUE"""),12.1)</f>
        <v>12.1</v>
      </c>
      <c r="T6541" s="4">
        <f>IFERROR(__xludf.DUMMYFUNCTION("""COMPUTED_VALUE"""),0.079)</f>
        <v>0.079</v>
      </c>
      <c r="U6541" s="4">
        <f>IFERROR(__xludf.DUMMYFUNCTION("""COMPUTED_VALUE"""),-0.6)</f>
        <v>-0.6</v>
      </c>
      <c r="V6541" s="4">
        <f>IFERROR(__xludf.DUMMYFUNCTION("""COMPUTED_VALUE"""),0.7)</f>
        <v>0.7</v>
      </c>
    </row>
    <row r="6542">
      <c r="A6542" s="4">
        <f>IFERROR(__xludf.DUMMYFUNCTION("""COMPUTED_VALUE"""),33.0)</f>
        <v>33</v>
      </c>
      <c r="B6542" s="4">
        <f>IFERROR(__xludf.DUMMYFUNCTION("""COMPUTED_VALUE"""),33.0)</f>
        <v>33</v>
      </c>
      <c r="C6542" s="4" t="str">
        <f>IFERROR(__xludf.DUMMYFUNCTION("""COMPUTED_VALUE"""),"PHO")</f>
        <v>PHO</v>
      </c>
      <c r="D6542" s="4" t="str">
        <f>IFERROR(__xludf.DUMMYFUNCTION("""COMPUTED_VALUE"""),"Lamar Green")</f>
        <v>Lamar Green</v>
      </c>
      <c r="E6542" s="4" t="str">
        <f>IFERROR(__xludf.DUMMYFUNCTION("""COMPUTED_VALUE"""),"Morehead State University")</f>
        <v>Morehead State University</v>
      </c>
      <c r="F6542" s="4">
        <f>IFERROR(__xludf.DUMMYFUNCTION("""COMPUTED_VALUE"""),5.0)</f>
        <v>5</v>
      </c>
      <c r="G6542" s="4">
        <f>IFERROR(__xludf.DUMMYFUNCTION("""COMPUTED_VALUE"""),360.0)</f>
        <v>360</v>
      </c>
      <c r="H6542" s="4">
        <f>IFERROR(__xludf.DUMMYFUNCTION("""COMPUTED_VALUE"""),6448.0)</f>
        <v>6448</v>
      </c>
      <c r="I6542" s="4">
        <f>IFERROR(__xludf.DUMMYFUNCTION("""COMPUTED_VALUE"""),1863.0)</f>
        <v>1863</v>
      </c>
      <c r="J6542" s="4">
        <f>IFERROR(__xludf.DUMMYFUNCTION("""COMPUTED_VALUE"""),2295.0)</f>
        <v>2295</v>
      </c>
      <c r="K6542" s="4">
        <f>IFERROR(__xludf.DUMMYFUNCTION("""COMPUTED_VALUE"""),263.0)</f>
        <v>263</v>
      </c>
      <c r="L6542" s="4">
        <f>IFERROR(__xludf.DUMMYFUNCTION("""COMPUTED_VALUE"""),0.43)</f>
        <v>0.43</v>
      </c>
      <c r="M6542" s="4"/>
      <c r="N6542" s="4">
        <f>IFERROR(__xludf.DUMMYFUNCTION("""COMPUTED_VALUE"""),0.65)</f>
        <v>0.65</v>
      </c>
      <c r="O6542" s="4">
        <f>IFERROR(__xludf.DUMMYFUNCTION("""COMPUTED_VALUE"""),17.9)</f>
        <v>17.9</v>
      </c>
      <c r="P6542" s="4">
        <f>IFERROR(__xludf.DUMMYFUNCTION("""COMPUTED_VALUE"""),5.2)</f>
        <v>5.2</v>
      </c>
      <c r="Q6542" s="4">
        <f>IFERROR(__xludf.DUMMYFUNCTION("""COMPUTED_VALUE"""),6.4)</f>
        <v>6.4</v>
      </c>
      <c r="R6542" s="4">
        <f>IFERROR(__xludf.DUMMYFUNCTION("""COMPUTED_VALUE"""),0.7)</f>
        <v>0.7</v>
      </c>
      <c r="S6542" s="4">
        <f>IFERROR(__xludf.DUMMYFUNCTION("""COMPUTED_VALUE"""),6.9)</f>
        <v>6.9</v>
      </c>
      <c r="T6542" s="4">
        <f>IFERROR(__xludf.DUMMYFUNCTION("""COMPUTED_VALUE"""),0.052)</f>
        <v>0.052</v>
      </c>
      <c r="U6542" s="4">
        <f>IFERROR(__xludf.DUMMYFUNCTION("""COMPUTED_VALUE"""),-3.5)</f>
        <v>-3.5</v>
      </c>
      <c r="V6542" s="4">
        <f>IFERROR(__xludf.DUMMYFUNCTION("""COMPUTED_VALUE"""),-0.6)</f>
        <v>-0.6</v>
      </c>
    </row>
    <row r="6543">
      <c r="A6543" s="4">
        <f>IFERROR(__xludf.DUMMYFUNCTION("""COMPUTED_VALUE"""),34.0)</f>
        <v>34</v>
      </c>
      <c r="B6543" s="4">
        <f>IFERROR(__xludf.DUMMYFUNCTION("""COMPUTED_VALUE"""),34.0)</f>
        <v>34</v>
      </c>
      <c r="C6543" s="4" t="str">
        <f>IFERROR(__xludf.DUMMYFUNCTION("""COMPUTED_VALUE"""),"CHI")</f>
        <v>CHI</v>
      </c>
      <c r="D6543" s="4" t="str">
        <f>IFERROR(__xludf.DUMMYFUNCTION("""COMPUTED_VALUE"""),"Norm Van Lier")</f>
        <v>Norm Van Lier</v>
      </c>
      <c r="E6543" s="4" t="str">
        <f>IFERROR(__xludf.DUMMYFUNCTION("""COMPUTED_VALUE"""),"Saint Francis University")</f>
        <v>Saint Francis University</v>
      </c>
      <c r="F6543" s="4">
        <f>IFERROR(__xludf.DUMMYFUNCTION("""COMPUTED_VALUE"""),10.0)</f>
        <v>10</v>
      </c>
      <c r="G6543" s="4">
        <f>IFERROR(__xludf.DUMMYFUNCTION("""COMPUTED_VALUE"""),746.0)</f>
        <v>746</v>
      </c>
      <c r="H6543" s="4">
        <f>IFERROR(__xludf.DUMMYFUNCTION("""COMPUTED_VALUE"""),26171.0)</f>
        <v>26171</v>
      </c>
      <c r="I6543" s="4">
        <f>IFERROR(__xludf.DUMMYFUNCTION("""COMPUTED_VALUE"""),8770.0)</f>
        <v>8770</v>
      </c>
      <c r="J6543" s="4">
        <f>IFERROR(__xludf.DUMMYFUNCTION("""COMPUTED_VALUE"""),3596.0)</f>
        <v>3596</v>
      </c>
      <c r="K6543" s="4">
        <f>IFERROR(__xludf.DUMMYFUNCTION("""COMPUTED_VALUE"""),5217.0)</f>
        <v>5217</v>
      </c>
      <c r="L6543" s="4">
        <f>IFERROR(__xludf.DUMMYFUNCTION("""COMPUTED_VALUE"""),0.414)</f>
        <v>0.414</v>
      </c>
      <c r="M6543" s="4"/>
      <c r="N6543" s="4">
        <f>IFERROR(__xludf.DUMMYFUNCTION("""COMPUTED_VALUE"""),0.78)</f>
        <v>0.78</v>
      </c>
      <c r="O6543" s="4">
        <f>IFERROR(__xludf.DUMMYFUNCTION("""COMPUTED_VALUE"""),35.1)</f>
        <v>35.1</v>
      </c>
      <c r="P6543" s="4">
        <f>IFERROR(__xludf.DUMMYFUNCTION("""COMPUTED_VALUE"""),11.8)</f>
        <v>11.8</v>
      </c>
      <c r="Q6543" s="4">
        <f>IFERROR(__xludf.DUMMYFUNCTION("""COMPUTED_VALUE"""),4.8)</f>
        <v>4.8</v>
      </c>
      <c r="R6543" s="4">
        <f>IFERROR(__xludf.DUMMYFUNCTION("""COMPUTED_VALUE"""),7.0)</f>
        <v>7</v>
      </c>
      <c r="S6543" s="4">
        <f>IFERROR(__xludf.DUMMYFUNCTION("""COMPUTED_VALUE"""),47.8)</f>
        <v>47.8</v>
      </c>
      <c r="T6543" s="4">
        <f>IFERROR(__xludf.DUMMYFUNCTION("""COMPUTED_VALUE"""),0.088)</f>
        <v>0.088</v>
      </c>
      <c r="U6543" s="4">
        <f>IFERROR(__xludf.DUMMYFUNCTION("""COMPUTED_VALUE"""),-0.3)</f>
        <v>-0.3</v>
      </c>
      <c r="V6543" s="4">
        <f>IFERROR(__xludf.DUMMYFUNCTION("""COMPUTED_VALUE"""),6.2)</f>
        <v>6.2</v>
      </c>
    </row>
    <row r="6544">
      <c r="A6544" s="4">
        <f>IFERROR(__xludf.DUMMYFUNCTION("""COMPUTED_VALUE"""),35.0)</f>
        <v>35</v>
      </c>
      <c r="B6544" s="4">
        <f>IFERROR(__xludf.DUMMYFUNCTION("""COMPUTED_VALUE"""),35.0)</f>
        <v>35</v>
      </c>
      <c r="C6544" s="4" t="str">
        <f>IFERROR(__xludf.DUMMYFUNCTION("""COMPUTED_VALUE"""),"SDR")</f>
        <v>SDR</v>
      </c>
      <c r="D6544" s="4" t="str">
        <f>IFERROR(__xludf.DUMMYFUNCTION("""COMPUTED_VALUE"""),"Charles Bonaparte")</f>
        <v>Charles Bonaparte</v>
      </c>
      <c r="E6544" s="4" t="str">
        <f>IFERROR(__xludf.DUMMYFUNCTION("""COMPUTED_VALUE"""),"Norfolk State")</f>
        <v>Norfolk State</v>
      </c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</row>
    <row r="6545">
      <c r="A6545" s="4">
        <f>IFERROR(__xludf.DUMMYFUNCTION("""COMPUTED_VALUE"""),36.0)</f>
        <v>36</v>
      </c>
      <c r="B6545" s="4">
        <f>IFERROR(__xludf.DUMMYFUNCTION("""COMPUTED_VALUE"""),36.0)</f>
        <v>36</v>
      </c>
      <c r="C6545" s="4" t="str">
        <f>IFERROR(__xludf.DUMMYFUNCTION("""COMPUTED_VALUE"""),"SFW")</f>
        <v>SFW</v>
      </c>
      <c r="D6545" s="4" t="str">
        <f>IFERROR(__xludf.DUMMYFUNCTION("""COMPUTED_VALUE"""),"Tom Hagan")</f>
        <v>Tom Hagan</v>
      </c>
      <c r="E6545" s="4" t="str">
        <f>IFERROR(__xludf.DUMMYFUNCTION("""COMPUTED_VALUE"""),"Vanderbilt")</f>
        <v>Vanderbilt</v>
      </c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</row>
    <row r="6546">
      <c r="A6546" s="4">
        <f>IFERROR(__xludf.DUMMYFUNCTION("""COMPUTED_VALUE"""),37.0)</f>
        <v>37</v>
      </c>
      <c r="B6546" s="4">
        <f>IFERROR(__xludf.DUMMYFUNCTION("""COMPUTED_VALUE"""),37.0)</f>
        <v>37</v>
      </c>
      <c r="C6546" s="4" t="str">
        <f>IFERROR(__xludf.DUMMYFUNCTION("""COMPUTED_VALUE"""),"CIN")</f>
        <v>CIN</v>
      </c>
      <c r="D6546" s="4" t="str">
        <f>IFERROR(__xludf.DUMMYFUNCTION("""COMPUTED_VALUE"""),"Luther Rackley")</f>
        <v>Luther Rackley</v>
      </c>
      <c r="E6546" s="4" t="str">
        <f>IFERROR(__xludf.DUMMYFUNCTION("""COMPUTED_VALUE"""),"Xavier")</f>
        <v>Xavier</v>
      </c>
      <c r="F6546" s="4">
        <f>IFERROR(__xludf.DUMMYFUNCTION("""COMPUTED_VALUE"""),4.0)</f>
        <v>4</v>
      </c>
      <c r="G6546" s="4">
        <f>IFERROR(__xludf.DUMMYFUNCTION("""COMPUTED_VALUE"""),221.0)</f>
        <v>221</v>
      </c>
      <c r="H6546" s="4">
        <f>IFERROR(__xludf.DUMMYFUNCTION("""COMPUTED_VALUE"""),3443.0)</f>
        <v>3443</v>
      </c>
      <c r="I6546" s="4">
        <f>IFERROR(__xludf.DUMMYFUNCTION("""COMPUTED_VALUE"""),1337.0)</f>
        <v>1337</v>
      </c>
      <c r="J6546" s="4">
        <f>IFERROR(__xludf.DUMMYFUNCTION("""COMPUTED_VALUE"""),1003.0)</f>
        <v>1003</v>
      </c>
      <c r="K6546" s="4">
        <f>IFERROR(__xludf.DUMMYFUNCTION("""COMPUTED_VALUE"""),143.0)</f>
        <v>143</v>
      </c>
      <c r="L6546" s="4">
        <f>IFERROR(__xludf.DUMMYFUNCTION("""COMPUTED_VALUE"""),0.451)</f>
        <v>0.451</v>
      </c>
      <c r="M6546" s="4"/>
      <c r="N6546" s="4">
        <f>IFERROR(__xludf.DUMMYFUNCTION("""COMPUTED_VALUE"""),0.626)</f>
        <v>0.626</v>
      </c>
      <c r="O6546" s="4">
        <f>IFERROR(__xludf.DUMMYFUNCTION("""COMPUTED_VALUE"""),15.6)</f>
        <v>15.6</v>
      </c>
      <c r="P6546" s="4">
        <f>IFERROR(__xludf.DUMMYFUNCTION("""COMPUTED_VALUE"""),6.0)</f>
        <v>6</v>
      </c>
      <c r="Q6546" s="4">
        <f>IFERROR(__xludf.DUMMYFUNCTION("""COMPUTED_VALUE"""),4.5)</f>
        <v>4.5</v>
      </c>
      <c r="R6546" s="4">
        <f>IFERROR(__xludf.DUMMYFUNCTION("""COMPUTED_VALUE"""),0.6)</f>
        <v>0.6</v>
      </c>
      <c r="S6546" s="4">
        <f>IFERROR(__xludf.DUMMYFUNCTION("""COMPUTED_VALUE"""),4.7)</f>
        <v>4.7</v>
      </c>
      <c r="T6546" s="4">
        <f>IFERROR(__xludf.DUMMYFUNCTION("""COMPUTED_VALUE"""),0.065)</f>
        <v>0.065</v>
      </c>
      <c r="U6546" s="4">
        <f>IFERROR(__xludf.DUMMYFUNCTION("""COMPUTED_VALUE"""),-3.4)</f>
        <v>-3.4</v>
      </c>
      <c r="V6546" s="4">
        <f>IFERROR(__xludf.DUMMYFUNCTION("""COMPUTED_VALUE"""),0.0)</f>
        <v>0</v>
      </c>
    </row>
    <row r="6547">
      <c r="A6547" s="4">
        <f>IFERROR(__xludf.DUMMYFUNCTION("""COMPUTED_VALUE"""),38.0)</f>
        <v>38</v>
      </c>
      <c r="B6547" s="4">
        <f>IFERROR(__xludf.DUMMYFUNCTION("""COMPUTED_VALUE"""),38.0)</f>
        <v>38</v>
      </c>
      <c r="C6547" s="4" t="str">
        <f>IFERROR(__xludf.DUMMYFUNCTION("""COMPUTED_VALUE"""),"BOS")</f>
        <v>BOS</v>
      </c>
      <c r="D6547" s="4" t="str">
        <f>IFERROR(__xludf.DUMMYFUNCTION("""COMPUTED_VALUE"""),"Julius Keye")</f>
        <v>Julius Keye</v>
      </c>
      <c r="E6547" s="4" t="str">
        <f>IFERROR(__xludf.DUMMYFUNCTION("""COMPUTED_VALUE"""),"Alcorn State")</f>
        <v>Alcorn State</v>
      </c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</row>
    <row r="6548">
      <c r="A6548" s="4">
        <f>IFERROR(__xludf.DUMMYFUNCTION("""COMPUTED_VALUE"""),39.0)</f>
        <v>39</v>
      </c>
      <c r="B6548" s="4">
        <f>IFERROR(__xludf.DUMMYFUNCTION("""COMPUTED_VALUE"""),39.0)</f>
        <v>39</v>
      </c>
      <c r="C6548" s="4" t="str">
        <f>IFERROR(__xludf.DUMMYFUNCTION("""COMPUTED_VALUE"""),"PHO")</f>
        <v>PHO</v>
      </c>
      <c r="D6548" s="4" t="str">
        <f>IFERROR(__xludf.DUMMYFUNCTION("""COMPUTED_VALUE"""),"Lloyd Kerr")</f>
        <v>Lloyd Kerr</v>
      </c>
      <c r="E6548" s="4" t="str">
        <f>IFERROR(__xludf.DUMMYFUNCTION("""COMPUTED_VALUE"""),"Colorado State")</f>
        <v>Colorado State</v>
      </c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</row>
    <row r="6549">
      <c r="A6549" s="4">
        <f>IFERROR(__xludf.DUMMYFUNCTION("""COMPUTED_VALUE"""),40.0)</f>
        <v>40</v>
      </c>
      <c r="B6549" s="4">
        <f>IFERROR(__xludf.DUMMYFUNCTION("""COMPUTED_VALUE"""),40.0)</f>
        <v>40</v>
      </c>
      <c r="C6549" s="4" t="str">
        <f>IFERROR(__xludf.DUMMYFUNCTION("""COMPUTED_VALUE"""),"NYK")</f>
        <v>NYK</v>
      </c>
      <c r="D6549" s="4" t="str">
        <f>IFERROR(__xludf.DUMMYFUNCTION("""COMPUTED_VALUE"""),"Eddie Mast")</f>
        <v>Eddie Mast</v>
      </c>
      <c r="E6549" s="4" t="str">
        <f>IFERROR(__xludf.DUMMYFUNCTION("""COMPUTED_VALUE"""),"Temple")</f>
        <v>Temple</v>
      </c>
      <c r="F6549" s="4">
        <f>IFERROR(__xludf.DUMMYFUNCTION("""COMPUTED_VALUE"""),3.0)</f>
        <v>3</v>
      </c>
      <c r="G6549" s="4">
        <f>IFERROR(__xludf.DUMMYFUNCTION("""COMPUTED_VALUE"""),112.0)</f>
        <v>112</v>
      </c>
      <c r="H6549" s="4">
        <f>IFERROR(__xludf.DUMMYFUNCTION("""COMPUTED_VALUE"""),881.0)</f>
        <v>881</v>
      </c>
      <c r="I6549" s="4">
        <f>IFERROR(__xludf.DUMMYFUNCTION("""COMPUTED_VALUE"""),283.0)</f>
        <v>283</v>
      </c>
      <c r="J6549" s="4">
        <f>IFERROR(__xludf.DUMMYFUNCTION("""COMPUTED_VALUE"""),265.0)</f>
        <v>265</v>
      </c>
      <c r="K6549" s="4">
        <f>IFERROR(__xludf.DUMMYFUNCTION("""COMPUTED_VALUE"""),51.0)</f>
        <v>51</v>
      </c>
      <c r="L6549" s="4">
        <f>IFERROR(__xludf.DUMMYFUNCTION("""COMPUTED_VALUE"""),0.385)</f>
        <v>0.385</v>
      </c>
      <c r="M6549" s="4"/>
      <c r="N6549" s="4">
        <f>IFERROR(__xludf.DUMMYFUNCTION("""COMPUTED_VALUE"""),0.604)</f>
        <v>0.604</v>
      </c>
      <c r="O6549" s="4">
        <f>IFERROR(__xludf.DUMMYFUNCTION("""COMPUTED_VALUE"""),7.9)</f>
        <v>7.9</v>
      </c>
      <c r="P6549" s="4">
        <f>IFERROR(__xludf.DUMMYFUNCTION("""COMPUTED_VALUE"""),2.5)</f>
        <v>2.5</v>
      </c>
      <c r="Q6549" s="4">
        <f>IFERROR(__xludf.DUMMYFUNCTION("""COMPUTED_VALUE"""),2.4)</f>
        <v>2.4</v>
      </c>
      <c r="R6549" s="4">
        <f>IFERROR(__xludf.DUMMYFUNCTION("""COMPUTED_VALUE"""),0.5)</f>
        <v>0.5</v>
      </c>
      <c r="S6549" s="4">
        <f>IFERROR(__xludf.DUMMYFUNCTION("""COMPUTED_VALUE"""),0.4)</f>
        <v>0.4</v>
      </c>
      <c r="T6549" s="4">
        <f>IFERROR(__xludf.DUMMYFUNCTION("""COMPUTED_VALUE"""),0.019)</f>
        <v>0.019</v>
      </c>
      <c r="U6549" s="4"/>
      <c r="V6549" s="4"/>
    </row>
    <row r="6550">
      <c r="A6550" s="4">
        <f>IFERROR(__xludf.DUMMYFUNCTION("""COMPUTED_VALUE"""),41.0)</f>
        <v>41</v>
      </c>
      <c r="B6550" s="4">
        <f>IFERROR(__xludf.DUMMYFUNCTION("""COMPUTED_VALUE"""),41.0)</f>
        <v>41</v>
      </c>
      <c r="C6550" s="4" t="str">
        <f>IFERROR(__xludf.DUMMYFUNCTION("""COMPUTED_VALUE"""),"CIN")</f>
        <v>CIN</v>
      </c>
      <c r="D6550" s="4" t="str">
        <f>IFERROR(__xludf.DUMMYFUNCTION("""COMPUTED_VALUE"""),"Luther Green")</f>
        <v>Luther Green</v>
      </c>
      <c r="E6550" s="4" t="str">
        <f>IFERROR(__xludf.DUMMYFUNCTION("""COMPUTED_VALUE"""),"Long Island University")</f>
        <v>Long Island University</v>
      </c>
      <c r="F6550" s="4">
        <f>IFERROR(__xludf.DUMMYFUNCTION("""COMPUTED_VALUE"""),1.0)</f>
        <v>1</v>
      </c>
      <c r="G6550" s="4">
        <f>IFERROR(__xludf.DUMMYFUNCTION("""COMPUTED_VALUE"""),5.0)</f>
        <v>5</v>
      </c>
      <c r="H6550" s="4">
        <f>IFERROR(__xludf.DUMMYFUNCTION("""COMPUTED_VALUE"""),32.0)</f>
        <v>32</v>
      </c>
      <c r="I6550" s="4">
        <f>IFERROR(__xludf.DUMMYFUNCTION("""COMPUTED_VALUE"""),3.0)</f>
        <v>3</v>
      </c>
      <c r="J6550" s="4">
        <f>IFERROR(__xludf.DUMMYFUNCTION("""COMPUTED_VALUE"""),3.0)</f>
        <v>3</v>
      </c>
      <c r="K6550" s="4">
        <f>IFERROR(__xludf.DUMMYFUNCTION("""COMPUTED_VALUE"""),0.0)</f>
        <v>0</v>
      </c>
      <c r="L6550" s="4">
        <f>IFERROR(__xludf.DUMMYFUNCTION("""COMPUTED_VALUE"""),0.0)</f>
        <v>0</v>
      </c>
      <c r="M6550" s="4"/>
      <c r="N6550" s="4">
        <f>IFERROR(__xludf.DUMMYFUNCTION("""COMPUTED_VALUE"""),0.333)</f>
        <v>0.333</v>
      </c>
      <c r="O6550" s="4">
        <f>IFERROR(__xludf.DUMMYFUNCTION("""COMPUTED_VALUE"""),6.4)</f>
        <v>6.4</v>
      </c>
      <c r="P6550" s="4">
        <f>IFERROR(__xludf.DUMMYFUNCTION("""COMPUTED_VALUE"""),0.6)</f>
        <v>0.6</v>
      </c>
      <c r="Q6550" s="4">
        <f>IFERROR(__xludf.DUMMYFUNCTION("""COMPUTED_VALUE"""),0.6)</f>
        <v>0.6</v>
      </c>
      <c r="R6550" s="4">
        <f>IFERROR(__xludf.DUMMYFUNCTION("""COMPUTED_VALUE"""),0.0)</f>
        <v>0</v>
      </c>
      <c r="S6550" s="4">
        <f>IFERROR(__xludf.DUMMYFUNCTION("""COMPUTED_VALUE"""),-0.3)</f>
        <v>-0.3</v>
      </c>
      <c r="T6550" s="4">
        <f>IFERROR(__xludf.DUMMYFUNCTION("""COMPUTED_VALUE"""),-0.444)</f>
        <v>-0.444</v>
      </c>
      <c r="U6550" s="4"/>
      <c r="V6550" s="4"/>
    </row>
    <row r="6551">
      <c r="A6551" s="4">
        <f>IFERROR(__xludf.DUMMYFUNCTION("""COMPUTED_VALUE"""),42.0)</f>
        <v>42</v>
      </c>
      <c r="B6551" s="4">
        <f>IFERROR(__xludf.DUMMYFUNCTION("""COMPUTED_VALUE"""),42.0)</f>
        <v>42</v>
      </c>
      <c r="C6551" s="4" t="str">
        <f>IFERROR(__xludf.DUMMYFUNCTION("""COMPUTED_VALUE"""),"PHI")</f>
        <v>PHI</v>
      </c>
      <c r="D6551" s="4" t="str">
        <f>IFERROR(__xludf.DUMMYFUNCTION("""COMPUTED_VALUE"""),"Mike Grosso")</f>
        <v>Mike Grosso</v>
      </c>
      <c r="E6551" s="4" t="str">
        <f>IFERROR(__xludf.DUMMYFUNCTION("""COMPUTED_VALUE"""),"Louisville")</f>
        <v>Louisville</v>
      </c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</row>
    <row r="6552">
      <c r="A6552" s="4">
        <f>IFERROR(__xludf.DUMMYFUNCTION("""COMPUTED_VALUE"""),43.0)</f>
        <v>43</v>
      </c>
      <c r="B6552" s="4">
        <f>IFERROR(__xludf.DUMMYFUNCTION("""COMPUTED_VALUE"""),43.0)</f>
        <v>43</v>
      </c>
      <c r="C6552" s="4" t="str">
        <f>IFERROR(__xludf.DUMMYFUNCTION("""COMPUTED_VALUE"""),"BAL")</f>
        <v>BAL</v>
      </c>
      <c r="D6552" s="4" t="str">
        <f>IFERROR(__xludf.DUMMYFUNCTION("""COMPUTED_VALUE"""),"Fred Carter")</f>
        <v>Fred Carter</v>
      </c>
      <c r="E6552" s="4" t="str">
        <f>IFERROR(__xludf.DUMMYFUNCTION("""COMPUTED_VALUE"""),"Mount St. Mary's University")</f>
        <v>Mount St. Mary's University</v>
      </c>
      <c r="F6552" s="4">
        <f>IFERROR(__xludf.DUMMYFUNCTION("""COMPUTED_VALUE"""),8.0)</f>
        <v>8</v>
      </c>
      <c r="G6552" s="4">
        <f>IFERROR(__xludf.DUMMYFUNCTION("""COMPUTED_VALUE"""),611.0)</f>
        <v>611</v>
      </c>
      <c r="H6552" s="4">
        <f>IFERROR(__xludf.DUMMYFUNCTION("""COMPUTED_VALUE"""),18328.0)</f>
        <v>18328</v>
      </c>
      <c r="I6552" s="4">
        <f>IFERROR(__xludf.DUMMYFUNCTION("""COMPUTED_VALUE"""),9271.0)</f>
        <v>9271</v>
      </c>
      <c r="J6552" s="4">
        <f>IFERROR(__xludf.DUMMYFUNCTION("""COMPUTED_VALUE"""),2381.0)</f>
        <v>2381</v>
      </c>
      <c r="K6552" s="4">
        <f>IFERROR(__xludf.DUMMYFUNCTION("""COMPUTED_VALUE"""),2122.0)</f>
        <v>2122</v>
      </c>
      <c r="L6552" s="4">
        <f>IFERROR(__xludf.DUMMYFUNCTION("""COMPUTED_VALUE"""),0.425)</f>
        <v>0.425</v>
      </c>
      <c r="M6552" s="4"/>
      <c r="N6552" s="4">
        <f>IFERROR(__xludf.DUMMYFUNCTION("""COMPUTED_VALUE"""),0.693)</f>
        <v>0.693</v>
      </c>
      <c r="O6552" s="4">
        <f>IFERROR(__xludf.DUMMYFUNCTION("""COMPUTED_VALUE"""),30.0)</f>
        <v>30</v>
      </c>
      <c r="P6552" s="4">
        <f>IFERROR(__xludf.DUMMYFUNCTION("""COMPUTED_VALUE"""),15.2)</f>
        <v>15.2</v>
      </c>
      <c r="Q6552" s="4">
        <f>IFERROR(__xludf.DUMMYFUNCTION("""COMPUTED_VALUE"""),3.9)</f>
        <v>3.9</v>
      </c>
      <c r="R6552" s="4">
        <f>IFERROR(__xludf.DUMMYFUNCTION("""COMPUTED_VALUE"""),3.5)</f>
        <v>3.5</v>
      </c>
      <c r="S6552" s="4">
        <f>IFERROR(__xludf.DUMMYFUNCTION("""COMPUTED_VALUE"""),14.8)</f>
        <v>14.8</v>
      </c>
      <c r="T6552" s="4">
        <f>IFERROR(__xludf.DUMMYFUNCTION("""COMPUTED_VALUE"""),0.039)</f>
        <v>0.039</v>
      </c>
      <c r="U6552" s="4">
        <f>IFERROR(__xludf.DUMMYFUNCTION("""COMPUTED_VALUE"""),-1.3)</f>
        <v>-1.3</v>
      </c>
      <c r="V6552" s="4">
        <f>IFERROR(__xludf.DUMMYFUNCTION("""COMPUTED_VALUE"""),1.8)</f>
        <v>1.8</v>
      </c>
    </row>
    <row r="6553">
      <c r="A6553" s="4"/>
      <c r="B6553" s="4"/>
      <c r="C6553" s="4"/>
      <c r="D6553" s="4" t="str">
        <f>IFERROR(__xludf.DUMMYFUNCTION("""COMPUTED_VALUE"""),"Round 4")</f>
        <v>Round 4</v>
      </c>
      <c r="E6553" s="4"/>
      <c r="F6553" s="4"/>
      <c r="G6553" s="4" t="str">
        <f>IFERROR(__xludf.DUMMYFUNCTION("""COMPUTED_VALUE"""),"Totals")</f>
        <v>Totals</v>
      </c>
      <c r="H6553" s="4"/>
      <c r="I6553" s="4"/>
      <c r="J6553" s="4"/>
      <c r="K6553" s="4"/>
      <c r="L6553" s="4" t="str">
        <f>IFERROR(__xludf.DUMMYFUNCTION("""COMPUTED_VALUE"""),"Shooting")</f>
        <v>Shooting</v>
      </c>
      <c r="M6553" s="4"/>
      <c r="N6553" s="4"/>
      <c r="O6553" s="4" t="str">
        <f>IFERROR(__xludf.DUMMYFUNCTION("""COMPUTED_VALUE"""),"Per Game")</f>
        <v>Per Game</v>
      </c>
      <c r="P6553" s="4"/>
      <c r="Q6553" s="4"/>
      <c r="R6553" s="4"/>
      <c r="S6553" s="4" t="str">
        <f>IFERROR(__xludf.DUMMYFUNCTION("""COMPUTED_VALUE"""),"Advanced")</f>
        <v>Advanced</v>
      </c>
      <c r="T6553" s="4"/>
      <c r="U6553" s="4"/>
      <c r="V6553" s="4"/>
    </row>
    <row r="6554">
      <c r="A6554" s="4" t="str">
        <f>IFERROR(__xludf.DUMMYFUNCTION("""COMPUTED_VALUE"""),"Rk")</f>
        <v>Rk</v>
      </c>
      <c r="B6554" s="4" t="str">
        <f>IFERROR(__xludf.DUMMYFUNCTION("""COMPUTED_VALUE"""),"Pk")</f>
        <v>Pk</v>
      </c>
      <c r="C6554" s="4" t="str">
        <f>IFERROR(__xludf.DUMMYFUNCTION("""COMPUTED_VALUE"""),"Tm")</f>
        <v>Tm</v>
      </c>
      <c r="D6554" s="4" t="str">
        <f>IFERROR(__xludf.DUMMYFUNCTION("""COMPUTED_VALUE"""),"Player")</f>
        <v>Player</v>
      </c>
      <c r="E6554" s="4" t="str">
        <f>IFERROR(__xludf.DUMMYFUNCTION("""COMPUTED_VALUE"""),"College")</f>
        <v>College</v>
      </c>
      <c r="F6554" s="4" t="str">
        <f>IFERROR(__xludf.DUMMYFUNCTION("""COMPUTED_VALUE"""),"Yrs")</f>
        <v>Yrs</v>
      </c>
      <c r="G6554" s="4" t="str">
        <f>IFERROR(__xludf.DUMMYFUNCTION("""COMPUTED_VALUE"""),"G")</f>
        <v>G</v>
      </c>
      <c r="H6554" s="4" t="str">
        <f>IFERROR(__xludf.DUMMYFUNCTION("""COMPUTED_VALUE"""),"MP")</f>
        <v>MP</v>
      </c>
      <c r="I6554" s="4" t="str">
        <f>IFERROR(__xludf.DUMMYFUNCTION("""COMPUTED_VALUE"""),"PTS")</f>
        <v>PTS</v>
      </c>
      <c r="J6554" s="4" t="str">
        <f>IFERROR(__xludf.DUMMYFUNCTION("""COMPUTED_VALUE"""),"TRB")</f>
        <v>TRB</v>
      </c>
      <c r="K6554" s="4" t="str">
        <f>IFERROR(__xludf.DUMMYFUNCTION("""COMPUTED_VALUE"""),"AST")</f>
        <v>AST</v>
      </c>
      <c r="L6554" s="4" t="str">
        <f>IFERROR(__xludf.DUMMYFUNCTION("""COMPUTED_VALUE"""),"FG%")</f>
        <v>FG%</v>
      </c>
      <c r="M6554" s="4" t="str">
        <f>IFERROR(__xludf.DUMMYFUNCTION("""COMPUTED_VALUE"""),"3P%")</f>
        <v>3P%</v>
      </c>
      <c r="N6554" s="4" t="str">
        <f>IFERROR(__xludf.DUMMYFUNCTION("""COMPUTED_VALUE"""),"FT%")</f>
        <v>FT%</v>
      </c>
      <c r="O6554" s="4" t="str">
        <f>IFERROR(__xludf.DUMMYFUNCTION("""COMPUTED_VALUE"""),"MP")</f>
        <v>MP</v>
      </c>
      <c r="P6554" s="4" t="str">
        <f>IFERROR(__xludf.DUMMYFUNCTION("""COMPUTED_VALUE"""),"PTS")</f>
        <v>PTS</v>
      </c>
      <c r="Q6554" s="4" t="str">
        <f>IFERROR(__xludf.DUMMYFUNCTION("""COMPUTED_VALUE"""),"TRB")</f>
        <v>TRB</v>
      </c>
      <c r="R6554" s="4" t="str">
        <f>IFERROR(__xludf.DUMMYFUNCTION("""COMPUTED_VALUE"""),"AST")</f>
        <v>AST</v>
      </c>
      <c r="S6554" s="4" t="str">
        <f>IFERROR(__xludf.DUMMYFUNCTION("""COMPUTED_VALUE"""),"WS")</f>
        <v>WS</v>
      </c>
      <c r="T6554" s="4" t="str">
        <f>IFERROR(__xludf.DUMMYFUNCTION("""COMPUTED_VALUE"""),"WS/48")</f>
        <v>WS/48</v>
      </c>
      <c r="U6554" s="4" t="str">
        <f>IFERROR(__xludf.DUMMYFUNCTION("""COMPUTED_VALUE"""),"BPM")</f>
        <v>BPM</v>
      </c>
      <c r="V6554" s="4" t="str">
        <f>IFERROR(__xludf.DUMMYFUNCTION("""COMPUTED_VALUE"""),"VORP")</f>
        <v>VORP</v>
      </c>
    </row>
    <row r="6555">
      <c r="A6555" s="4">
        <f>IFERROR(__xludf.DUMMYFUNCTION("""COMPUTED_VALUE"""),44.0)</f>
        <v>44</v>
      </c>
      <c r="B6555" s="4">
        <f>IFERROR(__xludf.DUMMYFUNCTION("""COMPUTED_VALUE"""),44.0)</f>
        <v>44</v>
      </c>
      <c r="C6555" s="4" t="str">
        <f>IFERROR(__xludf.DUMMYFUNCTION("""COMPUTED_VALUE"""),"PHO")</f>
        <v>PHO</v>
      </c>
      <c r="D6555" s="4" t="str">
        <f>IFERROR(__xludf.DUMMYFUNCTION("""COMPUTED_VALUE"""),"Dennis Stewart")</f>
        <v>Dennis Stewart</v>
      </c>
      <c r="E6555" s="4" t="str">
        <f>IFERROR(__xludf.DUMMYFUNCTION("""COMPUTED_VALUE"""),"Michigan")</f>
        <v>Michigan</v>
      </c>
      <c r="F6555" s="4"/>
      <c r="G6555" s="4">
        <f>IFERROR(__xludf.DUMMYFUNCTION("""COMPUTED_VALUE"""),2.0)</f>
        <v>2</v>
      </c>
      <c r="H6555" s="4">
        <f>IFERROR(__xludf.DUMMYFUNCTION("""COMPUTED_VALUE"""),6.0)</f>
        <v>6</v>
      </c>
      <c r="I6555" s="4">
        <f>IFERROR(__xludf.DUMMYFUNCTION("""COMPUTED_VALUE"""),4.0)</f>
        <v>4</v>
      </c>
      <c r="J6555" s="4">
        <f>IFERROR(__xludf.DUMMYFUNCTION("""COMPUTED_VALUE"""),3.0)</f>
        <v>3</v>
      </c>
      <c r="K6555" s="4">
        <f>IFERROR(__xludf.DUMMYFUNCTION("""COMPUTED_VALUE"""),1.0)</f>
        <v>1</v>
      </c>
      <c r="L6555" s="4">
        <f>IFERROR(__xludf.DUMMYFUNCTION("""COMPUTED_VALUE"""),0.25)</f>
        <v>0.25</v>
      </c>
      <c r="M6555" s="4"/>
      <c r="N6555" s="4">
        <f>IFERROR(__xludf.DUMMYFUNCTION("""COMPUTED_VALUE"""),1.0)</f>
        <v>1</v>
      </c>
      <c r="O6555" s="4">
        <f>IFERROR(__xludf.DUMMYFUNCTION("""COMPUTED_VALUE"""),3.0)</f>
        <v>3</v>
      </c>
      <c r="P6555" s="4">
        <f>IFERROR(__xludf.DUMMYFUNCTION("""COMPUTED_VALUE"""),2.0)</f>
        <v>2</v>
      </c>
      <c r="Q6555" s="4">
        <f>IFERROR(__xludf.DUMMYFUNCTION("""COMPUTED_VALUE"""),1.5)</f>
        <v>1.5</v>
      </c>
      <c r="R6555" s="4">
        <f>IFERROR(__xludf.DUMMYFUNCTION("""COMPUTED_VALUE"""),0.5)</f>
        <v>0.5</v>
      </c>
      <c r="S6555" s="4">
        <f>IFERROR(__xludf.DUMMYFUNCTION("""COMPUTED_VALUE"""),0.0)</f>
        <v>0</v>
      </c>
      <c r="T6555" s="4">
        <f>IFERROR(__xludf.DUMMYFUNCTION("""COMPUTED_VALUE"""),0.015)</f>
        <v>0.015</v>
      </c>
      <c r="U6555" s="4"/>
      <c r="V6555" s="4"/>
    </row>
    <row r="6556">
      <c r="A6556" s="4">
        <f>IFERROR(__xludf.DUMMYFUNCTION("""COMPUTED_VALUE"""),45.0)</f>
        <v>45</v>
      </c>
      <c r="B6556" s="4">
        <f>IFERROR(__xludf.DUMMYFUNCTION("""COMPUTED_VALUE"""),45.0)</f>
        <v>45</v>
      </c>
      <c r="C6556" s="4" t="str">
        <f>IFERROR(__xludf.DUMMYFUNCTION("""COMPUTED_VALUE"""),"MIL")</f>
        <v>MIL</v>
      </c>
      <c r="D6556" s="4" t="str">
        <f>IFERROR(__xludf.DUMMYFUNCTION("""COMPUTED_VALUE"""),"Bob Dandridge")</f>
        <v>Bob Dandridge</v>
      </c>
      <c r="E6556" s="4" t="str">
        <f>IFERROR(__xludf.DUMMYFUNCTION("""COMPUTED_VALUE"""),"Norfolk State")</f>
        <v>Norfolk State</v>
      </c>
      <c r="F6556" s="4">
        <f>IFERROR(__xludf.DUMMYFUNCTION("""COMPUTED_VALUE"""),13.0)</f>
        <v>13</v>
      </c>
      <c r="G6556" s="4">
        <f>IFERROR(__xludf.DUMMYFUNCTION("""COMPUTED_VALUE"""),839.0)</f>
        <v>839</v>
      </c>
      <c r="H6556" s="4">
        <f>IFERROR(__xludf.DUMMYFUNCTION("""COMPUTED_VALUE"""),29502.0)</f>
        <v>29502</v>
      </c>
      <c r="I6556" s="4">
        <f>IFERROR(__xludf.DUMMYFUNCTION("""COMPUTED_VALUE"""),15530.0)</f>
        <v>15530</v>
      </c>
      <c r="J6556" s="4">
        <f>IFERROR(__xludf.DUMMYFUNCTION("""COMPUTED_VALUE"""),5715.0)</f>
        <v>5715</v>
      </c>
      <c r="K6556" s="4">
        <f>IFERROR(__xludf.DUMMYFUNCTION("""COMPUTED_VALUE"""),2846.0)</f>
        <v>2846</v>
      </c>
      <c r="L6556" s="4">
        <f>IFERROR(__xludf.DUMMYFUNCTION("""COMPUTED_VALUE"""),0.484)</f>
        <v>0.484</v>
      </c>
      <c r="M6556" s="4"/>
      <c r="N6556" s="4">
        <f>IFERROR(__xludf.DUMMYFUNCTION("""COMPUTED_VALUE"""),0.78)</f>
        <v>0.78</v>
      </c>
      <c r="O6556" s="4">
        <f>IFERROR(__xludf.DUMMYFUNCTION("""COMPUTED_VALUE"""),35.2)</f>
        <v>35.2</v>
      </c>
      <c r="P6556" s="4">
        <f>IFERROR(__xludf.DUMMYFUNCTION("""COMPUTED_VALUE"""),18.5)</f>
        <v>18.5</v>
      </c>
      <c r="Q6556" s="4">
        <f>IFERROR(__xludf.DUMMYFUNCTION("""COMPUTED_VALUE"""),6.8)</f>
        <v>6.8</v>
      </c>
      <c r="R6556" s="4">
        <f>IFERROR(__xludf.DUMMYFUNCTION("""COMPUTED_VALUE"""),3.4)</f>
        <v>3.4</v>
      </c>
      <c r="S6556" s="4">
        <f>IFERROR(__xludf.DUMMYFUNCTION("""COMPUTED_VALUE"""),80.3)</f>
        <v>80.3</v>
      </c>
      <c r="T6556" s="4">
        <f>IFERROR(__xludf.DUMMYFUNCTION("""COMPUTED_VALUE"""),0.131)</f>
        <v>0.131</v>
      </c>
      <c r="U6556" s="4">
        <f>IFERROR(__xludf.DUMMYFUNCTION("""COMPUTED_VALUE"""),1.3)</f>
        <v>1.3</v>
      </c>
      <c r="V6556" s="4">
        <f>IFERROR(__xludf.DUMMYFUNCTION("""COMPUTED_VALUE"""),15.1)</f>
        <v>15.1</v>
      </c>
    </row>
    <row r="6557">
      <c r="A6557" s="4">
        <f>IFERROR(__xludf.DUMMYFUNCTION("""COMPUTED_VALUE"""),46.0)</f>
        <v>46</v>
      </c>
      <c r="B6557" s="4">
        <f>IFERROR(__xludf.DUMMYFUNCTION("""COMPUTED_VALUE"""),46.0)</f>
        <v>46</v>
      </c>
      <c r="C6557" s="4" t="str">
        <f>IFERROR(__xludf.DUMMYFUNCTION("""COMPUTED_VALUE"""),"SEA")</f>
        <v>SEA</v>
      </c>
      <c r="D6557" s="4" t="str">
        <f>IFERROR(__xludf.DUMMYFUNCTION("""COMPUTED_VALUE"""),"Butch Booker")</f>
        <v>Butch Booker</v>
      </c>
      <c r="E6557" s="4" t="str">
        <f>IFERROR(__xludf.DUMMYFUNCTION("""COMPUTED_VALUE"""),"Cheyney (PA)")</f>
        <v>Cheyney (PA)</v>
      </c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</row>
    <row r="6558">
      <c r="A6558" s="4">
        <f>IFERROR(__xludf.DUMMYFUNCTION("""COMPUTED_VALUE"""),47.0)</f>
        <v>47</v>
      </c>
      <c r="B6558" s="4">
        <f>IFERROR(__xludf.DUMMYFUNCTION("""COMPUTED_VALUE"""),47.0)</f>
        <v>47</v>
      </c>
      <c r="C6558" s="4" t="str">
        <f>IFERROR(__xludf.DUMMYFUNCTION("""COMPUTED_VALUE"""),"DET")</f>
        <v>DET</v>
      </c>
      <c r="D6558" s="4" t="str">
        <f>IFERROR(__xludf.DUMMYFUNCTION("""COMPUTED_VALUE"""),"Ted Wierman")</f>
        <v>Ted Wierman</v>
      </c>
      <c r="E6558" s="4" t="str">
        <f>IFERROR(__xludf.DUMMYFUNCTION("""COMPUTED_VALUE"""),"Washington State")</f>
        <v>Washington State</v>
      </c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</row>
    <row r="6559">
      <c r="A6559" s="4">
        <f>IFERROR(__xludf.DUMMYFUNCTION("""COMPUTED_VALUE"""),48.0)</f>
        <v>48</v>
      </c>
      <c r="B6559" s="4">
        <f>IFERROR(__xludf.DUMMYFUNCTION("""COMPUTED_VALUE"""),48.0)</f>
        <v>48</v>
      </c>
      <c r="C6559" s="4" t="str">
        <f>IFERROR(__xludf.DUMMYFUNCTION("""COMPUTED_VALUE"""),"CHI")</f>
        <v>CHI</v>
      </c>
      <c r="D6559" s="4" t="str">
        <f>IFERROR(__xludf.DUMMYFUNCTION("""COMPUTED_VALUE"""),"Dave Nash")</f>
        <v>Dave Nash</v>
      </c>
      <c r="E6559" s="4" t="str">
        <f>IFERROR(__xludf.DUMMYFUNCTION("""COMPUTED_VALUE"""),"Kansas")</f>
        <v>Kansas</v>
      </c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</row>
    <row r="6560">
      <c r="A6560" s="4">
        <f>IFERROR(__xludf.DUMMYFUNCTION("""COMPUTED_VALUE"""),49.0)</f>
        <v>49</v>
      </c>
      <c r="B6560" s="4">
        <f>IFERROR(__xludf.DUMMYFUNCTION("""COMPUTED_VALUE"""),49.0)</f>
        <v>49</v>
      </c>
      <c r="C6560" s="4" t="str">
        <f>IFERROR(__xludf.DUMMYFUNCTION("""COMPUTED_VALUE"""),"SDR")</f>
        <v>SDR</v>
      </c>
      <c r="D6560" s="4" t="str">
        <f>IFERROR(__xludf.DUMMYFUNCTION("""COMPUTED_VALUE"""),"Johnnie Allen")</f>
        <v>Johnnie Allen</v>
      </c>
      <c r="E6560" s="4" t="str">
        <f>IFERROR(__xludf.DUMMYFUNCTION("""COMPUTED_VALUE"""),"Bethune-Cookman College")</f>
        <v>Bethune-Cookman College</v>
      </c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</row>
    <row r="6561">
      <c r="A6561" s="4">
        <f>IFERROR(__xludf.DUMMYFUNCTION("""COMPUTED_VALUE"""),50.0)</f>
        <v>50</v>
      </c>
      <c r="B6561" s="4">
        <f>IFERROR(__xludf.DUMMYFUNCTION("""COMPUTED_VALUE"""),50.0)</f>
        <v>50</v>
      </c>
      <c r="C6561" s="4" t="str">
        <f>IFERROR(__xludf.DUMMYFUNCTION("""COMPUTED_VALUE"""),"SFW")</f>
        <v>SFW</v>
      </c>
      <c r="D6561" s="4" t="str">
        <f>IFERROR(__xludf.DUMMYFUNCTION("""COMPUTED_VALUE"""),"Lee Lafayette")</f>
        <v>Lee Lafayette</v>
      </c>
      <c r="E6561" s="4" t="str">
        <f>IFERROR(__xludf.DUMMYFUNCTION("""COMPUTED_VALUE"""),"Michigan State")</f>
        <v>Michigan State</v>
      </c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</row>
    <row r="6562">
      <c r="A6562" s="4">
        <f>IFERROR(__xludf.DUMMYFUNCTION("""COMPUTED_VALUE"""),51.0)</f>
        <v>51</v>
      </c>
      <c r="B6562" s="4">
        <f>IFERROR(__xludf.DUMMYFUNCTION("""COMPUTED_VALUE"""),51.0)</f>
        <v>51</v>
      </c>
      <c r="C6562" s="4" t="str">
        <f>IFERROR(__xludf.DUMMYFUNCTION("""COMPUTED_VALUE"""),"CIN")</f>
        <v>CIN</v>
      </c>
      <c r="D6562" s="4" t="str">
        <f>IFERROR(__xludf.DUMMYFUNCTION("""COMPUTED_VALUE"""),"Ron Sanford")</f>
        <v>Ron Sanford</v>
      </c>
      <c r="E6562" s="4" t="str">
        <f>IFERROR(__xludf.DUMMYFUNCTION("""COMPUTED_VALUE"""),"New Mexico")</f>
        <v>New Mexico</v>
      </c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</row>
    <row r="6563">
      <c r="A6563" s="4">
        <f>IFERROR(__xludf.DUMMYFUNCTION("""COMPUTED_VALUE"""),52.0)</f>
        <v>52</v>
      </c>
      <c r="B6563" s="4">
        <f>IFERROR(__xludf.DUMMYFUNCTION("""COMPUTED_VALUE"""),52.0)</f>
        <v>52</v>
      </c>
      <c r="C6563" s="4" t="str">
        <f>IFERROR(__xludf.DUMMYFUNCTION("""COMPUTED_VALUE"""),"BOS")</f>
        <v>BOS</v>
      </c>
      <c r="D6563" s="4" t="str">
        <f>IFERROR(__xludf.DUMMYFUNCTION("""COMPUTED_VALUE"""),"Steve Kuberski")</f>
        <v>Steve Kuberski</v>
      </c>
      <c r="E6563" s="4" t="str">
        <f>IFERROR(__xludf.DUMMYFUNCTION("""COMPUTED_VALUE"""),"Bradley")</f>
        <v>Bradley</v>
      </c>
      <c r="F6563" s="4">
        <f>IFERROR(__xludf.DUMMYFUNCTION("""COMPUTED_VALUE"""),9.0)</f>
        <v>9</v>
      </c>
      <c r="G6563" s="4">
        <f>IFERROR(__xludf.DUMMYFUNCTION("""COMPUTED_VALUE"""),568.0)</f>
        <v>568</v>
      </c>
      <c r="H6563" s="4">
        <f>IFERROR(__xludf.DUMMYFUNCTION("""COMPUTED_VALUE"""),7897.0)</f>
        <v>7897</v>
      </c>
      <c r="I6563" s="4">
        <f>IFERROR(__xludf.DUMMYFUNCTION("""COMPUTED_VALUE"""),3114.0)</f>
        <v>3114</v>
      </c>
      <c r="J6563" s="4">
        <f>IFERROR(__xludf.DUMMYFUNCTION("""COMPUTED_VALUE"""),2146.0)</f>
        <v>2146</v>
      </c>
      <c r="K6563" s="4">
        <f>IFERROR(__xludf.DUMMYFUNCTION("""COMPUTED_VALUE"""),338.0)</f>
        <v>338</v>
      </c>
      <c r="L6563" s="4">
        <f>IFERROR(__xludf.DUMMYFUNCTION("""COMPUTED_VALUE"""),0.417)</f>
        <v>0.417</v>
      </c>
      <c r="M6563" s="4"/>
      <c r="N6563" s="4">
        <f>IFERROR(__xludf.DUMMYFUNCTION("""COMPUTED_VALUE"""),0.767)</f>
        <v>0.767</v>
      </c>
      <c r="O6563" s="4">
        <f>IFERROR(__xludf.DUMMYFUNCTION("""COMPUTED_VALUE"""),13.9)</f>
        <v>13.9</v>
      </c>
      <c r="P6563" s="4">
        <f>IFERROR(__xludf.DUMMYFUNCTION("""COMPUTED_VALUE"""),5.5)</f>
        <v>5.5</v>
      </c>
      <c r="Q6563" s="4">
        <f>IFERROR(__xludf.DUMMYFUNCTION("""COMPUTED_VALUE"""),3.8)</f>
        <v>3.8</v>
      </c>
      <c r="R6563" s="4">
        <f>IFERROR(__xludf.DUMMYFUNCTION("""COMPUTED_VALUE"""),0.6)</f>
        <v>0.6</v>
      </c>
      <c r="S6563" s="4">
        <f>IFERROR(__xludf.DUMMYFUNCTION("""COMPUTED_VALUE"""),11.4)</f>
        <v>11.4</v>
      </c>
      <c r="T6563" s="4">
        <f>IFERROR(__xludf.DUMMYFUNCTION("""COMPUTED_VALUE"""),0.069)</f>
        <v>0.069</v>
      </c>
      <c r="U6563" s="4">
        <f>IFERROR(__xludf.DUMMYFUNCTION("""COMPUTED_VALUE"""),-2.6)</f>
        <v>-2.6</v>
      </c>
      <c r="V6563" s="4">
        <f>IFERROR(__xludf.DUMMYFUNCTION("""COMPUTED_VALUE"""),-0.5)</f>
        <v>-0.5</v>
      </c>
    </row>
    <row r="6564">
      <c r="A6564" s="4">
        <f>IFERROR(__xludf.DUMMYFUNCTION("""COMPUTED_VALUE"""),53.0)</f>
        <v>53</v>
      </c>
      <c r="B6564" s="4">
        <f>IFERROR(__xludf.DUMMYFUNCTION("""COMPUTED_VALUE"""),53.0)</f>
        <v>53</v>
      </c>
      <c r="C6564" s="4" t="str">
        <f>IFERROR(__xludf.DUMMYFUNCTION("""COMPUTED_VALUE"""),"ATL")</f>
        <v>ATL</v>
      </c>
      <c r="D6564" s="4" t="str">
        <f>IFERROR(__xludf.DUMMYFUNCTION("""COMPUTED_VALUE"""),"Billy Hann")</f>
        <v>Billy Hann</v>
      </c>
      <c r="E6564" s="4" t="str">
        <f>IFERROR(__xludf.DUMMYFUNCTION("""COMPUTED_VALUE"""),"Tennessee")</f>
        <v>Tennessee</v>
      </c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</row>
    <row r="6565">
      <c r="A6565" s="4">
        <f>IFERROR(__xludf.DUMMYFUNCTION("""COMPUTED_VALUE"""),54.0)</f>
        <v>54</v>
      </c>
      <c r="B6565" s="4">
        <f>IFERROR(__xludf.DUMMYFUNCTION("""COMPUTED_VALUE"""),54.0)</f>
        <v>54</v>
      </c>
      <c r="C6565" s="4" t="str">
        <f>IFERROR(__xludf.DUMMYFUNCTION("""COMPUTED_VALUE"""),"NYK")</f>
        <v>NYK</v>
      </c>
      <c r="D6565" s="4" t="str">
        <f>IFERROR(__xludf.DUMMYFUNCTION("""COMPUTED_VALUE"""),"Elnardo Webster")</f>
        <v>Elnardo Webster</v>
      </c>
      <c r="E6565" s="4" t="str">
        <f>IFERROR(__xludf.DUMMYFUNCTION("""COMPUTED_VALUE"""),"Saint Peter's College")</f>
        <v>Saint Peter's College</v>
      </c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</row>
    <row r="6566">
      <c r="A6566" s="4">
        <f>IFERROR(__xludf.DUMMYFUNCTION("""COMPUTED_VALUE"""),55.0)</f>
        <v>55</v>
      </c>
      <c r="B6566" s="4">
        <f>IFERROR(__xludf.DUMMYFUNCTION("""COMPUTED_VALUE"""),55.0)</f>
        <v>55</v>
      </c>
      <c r="C6566" s="4" t="str">
        <f>IFERROR(__xludf.DUMMYFUNCTION("""COMPUTED_VALUE"""),"ATL")</f>
        <v>ATL</v>
      </c>
      <c r="D6566" s="4" t="str">
        <f>IFERROR(__xludf.DUMMYFUNCTION("""COMPUTED_VALUE"""),"Don Griffin")</f>
        <v>Don Griffin</v>
      </c>
      <c r="E6566" s="4" t="str">
        <f>IFERROR(__xludf.DUMMYFUNCTION("""COMPUTED_VALUE"""),"Stanford")</f>
        <v>Stanford</v>
      </c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</row>
    <row r="6567">
      <c r="A6567" s="4">
        <f>IFERROR(__xludf.DUMMYFUNCTION("""COMPUTED_VALUE"""),56.0)</f>
        <v>56</v>
      </c>
      <c r="B6567" s="4">
        <f>IFERROR(__xludf.DUMMYFUNCTION("""COMPUTED_VALUE"""),56.0)</f>
        <v>56</v>
      </c>
      <c r="C6567" s="4" t="str">
        <f>IFERROR(__xludf.DUMMYFUNCTION("""COMPUTED_VALUE"""),"PHI")</f>
        <v>PHI</v>
      </c>
      <c r="D6567" s="4" t="str">
        <f>IFERROR(__xludf.DUMMYFUNCTION("""COMPUTED_VALUE"""),"Dave Scholz")</f>
        <v>Dave Scholz</v>
      </c>
      <c r="E6567" s="4" t="str">
        <f>IFERROR(__xludf.DUMMYFUNCTION("""COMPUTED_VALUE"""),"Illinois")</f>
        <v>Illinois</v>
      </c>
      <c r="F6567" s="4">
        <f>IFERROR(__xludf.DUMMYFUNCTION("""COMPUTED_VALUE"""),1.0)</f>
        <v>1</v>
      </c>
      <c r="G6567" s="4">
        <f>IFERROR(__xludf.DUMMYFUNCTION("""COMPUTED_VALUE"""),1.0)</f>
        <v>1</v>
      </c>
      <c r="H6567" s="4">
        <f>IFERROR(__xludf.DUMMYFUNCTION("""COMPUTED_VALUE"""),1.0)</f>
        <v>1</v>
      </c>
      <c r="I6567" s="4">
        <f>IFERROR(__xludf.DUMMYFUNCTION("""COMPUTED_VALUE"""),2.0)</f>
        <v>2</v>
      </c>
      <c r="J6567" s="4">
        <f>IFERROR(__xludf.DUMMYFUNCTION("""COMPUTED_VALUE"""),0.0)</f>
        <v>0</v>
      </c>
      <c r="K6567" s="4">
        <f>IFERROR(__xludf.DUMMYFUNCTION("""COMPUTED_VALUE"""),0.0)</f>
        <v>0</v>
      </c>
      <c r="L6567" s="4">
        <f>IFERROR(__xludf.DUMMYFUNCTION("""COMPUTED_VALUE"""),1.0)</f>
        <v>1</v>
      </c>
      <c r="M6567" s="4"/>
      <c r="N6567" s="4"/>
      <c r="O6567" s="4">
        <f>IFERROR(__xludf.DUMMYFUNCTION("""COMPUTED_VALUE"""),1.0)</f>
        <v>1</v>
      </c>
      <c r="P6567" s="4">
        <f>IFERROR(__xludf.DUMMYFUNCTION("""COMPUTED_VALUE"""),2.0)</f>
        <v>2</v>
      </c>
      <c r="Q6567" s="4">
        <f>IFERROR(__xludf.DUMMYFUNCTION("""COMPUTED_VALUE"""),0.0)</f>
        <v>0</v>
      </c>
      <c r="R6567" s="4">
        <f>IFERROR(__xludf.DUMMYFUNCTION("""COMPUTED_VALUE"""),0.0)</f>
        <v>0</v>
      </c>
      <c r="S6567" s="4">
        <f>IFERROR(__xludf.DUMMYFUNCTION("""COMPUTED_VALUE"""),0.0)</f>
        <v>0</v>
      </c>
      <c r="T6567" s="4">
        <f>IFERROR(__xludf.DUMMYFUNCTION("""COMPUTED_VALUE"""),1.316)</f>
        <v>1.316</v>
      </c>
      <c r="U6567" s="4"/>
      <c r="V6567" s="4"/>
    </row>
    <row r="6568">
      <c r="A6568" s="4">
        <f>IFERROR(__xludf.DUMMYFUNCTION("""COMPUTED_VALUE"""),57.0)</f>
        <v>57</v>
      </c>
      <c r="B6568" s="4">
        <f>IFERROR(__xludf.DUMMYFUNCTION("""COMPUTED_VALUE"""),57.0)</f>
        <v>57</v>
      </c>
      <c r="C6568" s="4" t="str">
        <f>IFERROR(__xludf.DUMMYFUNCTION("""COMPUTED_VALUE"""),"BAL")</f>
        <v>BAL</v>
      </c>
      <c r="D6568" s="4" t="str">
        <f>IFERROR(__xludf.DUMMYFUNCTION("""COMPUTED_VALUE"""),"Gene Ford")</f>
        <v>Gene Ford</v>
      </c>
      <c r="E6568" s="4" t="str">
        <f>IFERROR(__xludf.DUMMYFUNCTION("""COMPUTED_VALUE"""),"Western Michigan")</f>
        <v>Western Michigan</v>
      </c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</row>
    <row r="6569">
      <c r="A6569" s="4"/>
      <c r="B6569" s="4"/>
      <c r="C6569" s="4"/>
      <c r="D6569" s="4" t="str">
        <f>IFERROR(__xludf.DUMMYFUNCTION("""COMPUTED_VALUE"""),"Round 5")</f>
        <v>Round 5</v>
      </c>
      <c r="E6569" s="4"/>
      <c r="F6569" s="4"/>
      <c r="G6569" s="4" t="str">
        <f>IFERROR(__xludf.DUMMYFUNCTION("""COMPUTED_VALUE"""),"Totals")</f>
        <v>Totals</v>
      </c>
      <c r="H6569" s="4"/>
      <c r="I6569" s="4"/>
      <c r="J6569" s="4"/>
      <c r="K6569" s="4"/>
      <c r="L6569" s="4" t="str">
        <f>IFERROR(__xludf.DUMMYFUNCTION("""COMPUTED_VALUE"""),"Shooting")</f>
        <v>Shooting</v>
      </c>
      <c r="M6569" s="4"/>
      <c r="N6569" s="4"/>
      <c r="O6569" s="4" t="str">
        <f>IFERROR(__xludf.DUMMYFUNCTION("""COMPUTED_VALUE"""),"Per Game")</f>
        <v>Per Game</v>
      </c>
      <c r="P6569" s="4"/>
      <c r="Q6569" s="4"/>
      <c r="R6569" s="4"/>
      <c r="S6569" s="4" t="str">
        <f>IFERROR(__xludf.DUMMYFUNCTION("""COMPUTED_VALUE"""),"Advanced")</f>
        <v>Advanced</v>
      </c>
      <c r="T6569" s="4"/>
      <c r="U6569" s="4"/>
      <c r="V6569" s="4"/>
    </row>
    <row r="6570">
      <c r="A6570" s="4" t="str">
        <f>IFERROR(__xludf.DUMMYFUNCTION("""COMPUTED_VALUE"""),"Rk")</f>
        <v>Rk</v>
      </c>
      <c r="B6570" s="4" t="str">
        <f>IFERROR(__xludf.DUMMYFUNCTION("""COMPUTED_VALUE"""),"Pk")</f>
        <v>Pk</v>
      </c>
      <c r="C6570" s="4" t="str">
        <f>IFERROR(__xludf.DUMMYFUNCTION("""COMPUTED_VALUE"""),"Tm")</f>
        <v>Tm</v>
      </c>
      <c r="D6570" s="4" t="str">
        <f>IFERROR(__xludf.DUMMYFUNCTION("""COMPUTED_VALUE"""),"Player")</f>
        <v>Player</v>
      </c>
      <c r="E6570" s="4" t="str">
        <f>IFERROR(__xludf.DUMMYFUNCTION("""COMPUTED_VALUE"""),"College")</f>
        <v>College</v>
      </c>
      <c r="F6570" s="4" t="str">
        <f>IFERROR(__xludf.DUMMYFUNCTION("""COMPUTED_VALUE"""),"Yrs")</f>
        <v>Yrs</v>
      </c>
      <c r="G6570" s="4" t="str">
        <f>IFERROR(__xludf.DUMMYFUNCTION("""COMPUTED_VALUE"""),"G")</f>
        <v>G</v>
      </c>
      <c r="H6570" s="4" t="str">
        <f>IFERROR(__xludf.DUMMYFUNCTION("""COMPUTED_VALUE"""),"MP")</f>
        <v>MP</v>
      </c>
      <c r="I6570" s="4" t="str">
        <f>IFERROR(__xludf.DUMMYFUNCTION("""COMPUTED_VALUE"""),"PTS")</f>
        <v>PTS</v>
      </c>
      <c r="J6570" s="4" t="str">
        <f>IFERROR(__xludf.DUMMYFUNCTION("""COMPUTED_VALUE"""),"TRB")</f>
        <v>TRB</v>
      </c>
      <c r="K6570" s="4" t="str">
        <f>IFERROR(__xludf.DUMMYFUNCTION("""COMPUTED_VALUE"""),"AST")</f>
        <v>AST</v>
      </c>
      <c r="L6570" s="4" t="str">
        <f>IFERROR(__xludf.DUMMYFUNCTION("""COMPUTED_VALUE"""),"FG%")</f>
        <v>FG%</v>
      </c>
      <c r="M6570" s="4" t="str">
        <f>IFERROR(__xludf.DUMMYFUNCTION("""COMPUTED_VALUE"""),"3P%")</f>
        <v>3P%</v>
      </c>
      <c r="N6570" s="4" t="str">
        <f>IFERROR(__xludf.DUMMYFUNCTION("""COMPUTED_VALUE"""),"FT%")</f>
        <v>FT%</v>
      </c>
      <c r="O6570" s="4" t="str">
        <f>IFERROR(__xludf.DUMMYFUNCTION("""COMPUTED_VALUE"""),"MP")</f>
        <v>MP</v>
      </c>
      <c r="P6570" s="4" t="str">
        <f>IFERROR(__xludf.DUMMYFUNCTION("""COMPUTED_VALUE"""),"PTS")</f>
        <v>PTS</v>
      </c>
      <c r="Q6570" s="4" t="str">
        <f>IFERROR(__xludf.DUMMYFUNCTION("""COMPUTED_VALUE"""),"TRB")</f>
        <v>TRB</v>
      </c>
      <c r="R6570" s="4" t="str">
        <f>IFERROR(__xludf.DUMMYFUNCTION("""COMPUTED_VALUE"""),"AST")</f>
        <v>AST</v>
      </c>
      <c r="S6570" s="4" t="str">
        <f>IFERROR(__xludf.DUMMYFUNCTION("""COMPUTED_VALUE"""),"WS")</f>
        <v>WS</v>
      </c>
      <c r="T6570" s="4" t="str">
        <f>IFERROR(__xludf.DUMMYFUNCTION("""COMPUTED_VALUE"""),"WS/48")</f>
        <v>WS/48</v>
      </c>
      <c r="U6570" s="4" t="str">
        <f>IFERROR(__xludf.DUMMYFUNCTION("""COMPUTED_VALUE"""),"BPM")</f>
        <v>BPM</v>
      </c>
      <c r="V6570" s="4" t="str">
        <f>IFERROR(__xludf.DUMMYFUNCTION("""COMPUTED_VALUE"""),"VORP")</f>
        <v>VORP</v>
      </c>
    </row>
    <row r="6571">
      <c r="A6571" s="4">
        <f>IFERROR(__xludf.DUMMYFUNCTION("""COMPUTED_VALUE"""),58.0)</f>
        <v>58</v>
      </c>
      <c r="B6571" s="4">
        <f>IFERROR(__xludf.DUMMYFUNCTION("""COMPUTED_VALUE"""),58.0)</f>
        <v>58</v>
      </c>
      <c r="C6571" s="4" t="str">
        <f>IFERROR(__xludf.DUMMYFUNCTION("""COMPUTED_VALUE"""),"PHO")</f>
        <v>PHO</v>
      </c>
      <c r="D6571" s="4" t="str">
        <f>IFERROR(__xludf.DUMMYFUNCTION("""COMPUTED_VALUE"""),"Rich Jones")</f>
        <v>Rich Jones</v>
      </c>
      <c r="E6571" s="4" t="str">
        <f>IFERROR(__xludf.DUMMYFUNCTION("""COMPUTED_VALUE"""),"Memphis")</f>
        <v>Memphis</v>
      </c>
      <c r="F6571" s="4">
        <f>IFERROR(__xludf.DUMMYFUNCTION("""COMPUTED_VALUE"""),1.0)</f>
        <v>1</v>
      </c>
      <c r="G6571" s="4">
        <f>IFERROR(__xludf.DUMMYFUNCTION("""COMPUTED_VALUE"""),34.0)</f>
        <v>34</v>
      </c>
      <c r="H6571" s="4">
        <f>IFERROR(__xludf.DUMMYFUNCTION("""COMPUTED_VALUE"""),877.0)</f>
        <v>877</v>
      </c>
      <c r="I6571" s="4">
        <f>IFERROR(__xludf.DUMMYFUNCTION("""COMPUTED_VALUE"""),360.0)</f>
        <v>360</v>
      </c>
      <c r="J6571" s="4">
        <f>IFERROR(__xludf.DUMMYFUNCTION("""COMPUTED_VALUE"""),194.0)</f>
        <v>194</v>
      </c>
      <c r="K6571" s="4">
        <f>IFERROR(__xludf.DUMMYFUNCTION("""COMPUTED_VALUE"""),46.0)</f>
        <v>46</v>
      </c>
      <c r="L6571" s="4">
        <f>IFERROR(__xludf.DUMMYFUNCTION("""COMPUTED_VALUE"""),0.385)</f>
        <v>0.385</v>
      </c>
      <c r="M6571" s="4"/>
      <c r="N6571" s="4">
        <f>IFERROR(__xludf.DUMMYFUNCTION("""COMPUTED_VALUE"""),0.76)</f>
        <v>0.76</v>
      </c>
      <c r="O6571" s="4">
        <f>IFERROR(__xludf.DUMMYFUNCTION("""COMPUTED_VALUE"""),25.8)</f>
        <v>25.8</v>
      </c>
      <c r="P6571" s="4">
        <f>IFERROR(__xludf.DUMMYFUNCTION("""COMPUTED_VALUE"""),10.6)</f>
        <v>10.6</v>
      </c>
      <c r="Q6571" s="4">
        <f>IFERROR(__xludf.DUMMYFUNCTION("""COMPUTED_VALUE"""),5.7)</f>
        <v>5.7</v>
      </c>
      <c r="R6571" s="4">
        <f>IFERROR(__xludf.DUMMYFUNCTION("""COMPUTED_VALUE"""),1.4)</f>
        <v>1.4</v>
      </c>
      <c r="S6571" s="4">
        <f>IFERROR(__xludf.DUMMYFUNCTION("""COMPUTED_VALUE"""),0.6)</f>
        <v>0.6</v>
      </c>
      <c r="T6571" s="4">
        <f>IFERROR(__xludf.DUMMYFUNCTION("""COMPUTED_VALUE"""),0.033)</f>
        <v>0.033</v>
      </c>
      <c r="U6571" s="4">
        <f>IFERROR(__xludf.DUMMYFUNCTION("""COMPUTED_VALUE"""),-3.1)</f>
        <v>-3.1</v>
      </c>
      <c r="V6571" s="4">
        <f>IFERROR(__xludf.DUMMYFUNCTION("""COMPUTED_VALUE"""),-0.2)</f>
        <v>-0.2</v>
      </c>
    </row>
    <row r="6572">
      <c r="A6572" s="4">
        <f>IFERROR(__xludf.DUMMYFUNCTION("""COMPUTED_VALUE"""),59.0)</f>
        <v>59</v>
      </c>
      <c r="B6572" s="4">
        <f>IFERROR(__xludf.DUMMYFUNCTION("""COMPUTED_VALUE"""),59.0)</f>
        <v>59</v>
      </c>
      <c r="C6572" s="4" t="str">
        <f>IFERROR(__xludf.DUMMYFUNCTION("""COMPUTED_VALUE"""),"MIL")</f>
        <v>MIL</v>
      </c>
      <c r="D6572" s="4" t="str">
        <f>IFERROR(__xludf.DUMMYFUNCTION("""COMPUTED_VALUE"""),"Ken Heitz")</f>
        <v>Ken Heitz</v>
      </c>
      <c r="E6572" s="4" t="str">
        <f>IFERROR(__xludf.DUMMYFUNCTION("""COMPUTED_VALUE"""),"UCLA")</f>
        <v>UCLA</v>
      </c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</row>
    <row r="6573">
      <c r="A6573" s="4">
        <f>IFERROR(__xludf.DUMMYFUNCTION("""COMPUTED_VALUE"""),60.0)</f>
        <v>60</v>
      </c>
      <c r="B6573" s="4">
        <f>IFERROR(__xludf.DUMMYFUNCTION("""COMPUTED_VALUE"""),60.0)</f>
        <v>60</v>
      </c>
      <c r="C6573" s="4" t="str">
        <f>IFERROR(__xludf.DUMMYFUNCTION("""COMPUTED_VALUE"""),"SEA")</f>
        <v>SEA</v>
      </c>
      <c r="D6573" s="4" t="str">
        <f>IFERROR(__xludf.DUMMYFUNCTION("""COMPUTED_VALUE"""),"Jerry King")</f>
        <v>Jerry King</v>
      </c>
      <c r="E6573" s="4" t="str">
        <f>IFERROR(__xludf.DUMMYFUNCTION("""COMPUTED_VALUE"""),"Louisville")</f>
        <v>Louisville</v>
      </c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</row>
    <row r="6574">
      <c r="A6574" s="4">
        <f>IFERROR(__xludf.DUMMYFUNCTION("""COMPUTED_VALUE"""),61.0)</f>
        <v>61</v>
      </c>
      <c r="B6574" s="4">
        <f>IFERROR(__xludf.DUMMYFUNCTION("""COMPUTED_VALUE"""),61.0)</f>
        <v>61</v>
      </c>
      <c r="C6574" s="4" t="str">
        <f>IFERROR(__xludf.DUMMYFUNCTION("""COMPUTED_VALUE"""),"DET")</f>
        <v>DET</v>
      </c>
      <c r="D6574" s="4" t="str">
        <f>IFERROR(__xludf.DUMMYFUNCTION("""COMPUTED_VALUE"""),"Steve Mix")</f>
        <v>Steve Mix</v>
      </c>
      <c r="E6574" s="4" t="str">
        <f>IFERROR(__xludf.DUMMYFUNCTION("""COMPUTED_VALUE"""),"Toledo")</f>
        <v>Toledo</v>
      </c>
      <c r="F6574" s="4">
        <f>IFERROR(__xludf.DUMMYFUNCTION("""COMPUTED_VALUE"""),12.0)</f>
        <v>12</v>
      </c>
      <c r="G6574" s="4">
        <f>IFERROR(__xludf.DUMMYFUNCTION("""COMPUTED_VALUE"""),787.0)</f>
        <v>787</v>
      </c>
      <c r="H6574" s="4">
        <f>IFERROR(__xludf.DUMMYFUNCTION("""COMPUTED_VALUE"""),18827.0)</f>
        <v>18827</v>
      </c>
      <c r="I6574" s="4">
        <f>IFERROR(__xludf.DUMMYFUNCTION("""COMPUTED_VALUE"""),8355.0)</f>
        <v>8355</v>
      </c>
      <c r="J6574" s="4">
        <f>IFERROR(__xludf.DUMMYFUNCTION("""COMPUTED_VALUE"""),4159.0)</f>
        <v>4159</v>
      </c>
      <c r="K6574" s="4">
        <f>IFERROR(__xludf.DUMMYFUNCTION("""COMPUTED_VALUE"""),1393.0)</f>
        <v>1393</v>
      </c>
      <c r="L6574" s="4">
        <f>IFERROR(__xludf.DUMMYFUNCTION("""COMPUTED_VALUE"""),0.498)</f>
        <v>0.498</v>
      </c>
      <c r="M6574" s="4"/>
      <c r="N6574" s="4">
        <f>IFERROR(__xludf.DUMMYFUNCTION("""COMPUTED_VALUE"""),0.803)</f>
        <v>0.803</v>
      </c>
      <c r="O6574" s="4">
        <f>IFERROR(__xludf.DUMMYFUNCTION("""COMPUTED_VALUE"""),23.9)</f>
        <v>23.9</v>
      </c>
      <c r="P6574" s="4">
        <f>IFERROR(__xludf.DUMMYFUNCTION("""COMPUTED_VALUE"""),10.6)</f>
        <v>10.6</v>
      </c>
      <c r="Q6574" s="4">
        <f>IFERROR(__xludf.DUMMYFUNCTION("""COMPUTED_VALUE"""),5.3)</f>
        <v>5.3</v>
      </c>
      <c r="R6574" s="4">
        <f>IFERROR(__xludf.DUMMYFUNCTION("""COMPUTED_VALUE"""),1.8)</f>
        <v>1.8</v>
      </c>
      <c r="S6574" s="4">
        <f>IFERROR(__xludf.DUMMYFUNCTION("""COMPUTED_VALUE"""),57.6)</f>
        <v>57.6</v>
      </c>
      <c r="T6574" s="4">
        <f>IFERROR(__xludf.DUMMYFUNCTION("""COMPUTED_VALUE"""),0.147)</f>
        <v>0.147</v>
      </c>
      <c r="U6574" s="4">
        <f>IFERROR(__xludf.DUMMYFUNCTION("""COMPUTED_VALUE"""),1.8)</f>
        <v>1.8</v>
      </c>
      <c r="V6574" s="4">
        <f>IFERROR(__xludf.DUMMYFUNCTION("""COMPUTED_VALUE"""),17.1)</f>
        <v>17.1</v>
      </c>
    </row>
    <row r="6575">
      <c r="A6575" s="4">
        <f>IFERROR(__xludf.DUMMYFUNCTION("""COMPUTED_VALUE"""),62.0)</f>
        <v>62</v>
      </c>
      <c r="B6575" s="4">
        <f>IFERROR(__xludf.DUMMYFUNCTION("""COMPUTED_VALUE"""),62.0)</f>
        <v>62</v>
      </c>
      <c r="C6575" s="4" t="str">
        <f>IFERROR(__xludf.DUMMYFUNCTION("""COMPUTED_VALUE"""),"CHI")</f>
        <v>CHI</v>
      </c>
      <c r="D6575" s="4" t="str">
        <f>IFERROR(__xludf.DUMMYFUNCTION("""COMPUTED_VALUE"""),"Chris Ellis")</f>
        <v>Chris Ellis</v>
      </c>
      <c r="E6575" s="4" t="str">
        <f>IFERROR(__xludf.DUMMYFUNCTION("""COMPUTED_VALUE"""),"Virginia Tech")</f>
        <v>Virginia Tech</v>
      </c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</row>
    <row r="6576">
      <c r="A6576" s="4">
        <f>IFERROR(__xludf.DUMMYFUNCTION("""COMPUTED_VALUE"""),63.0)</f>
        <v>63</v>
      </c>
      <c r="B6576" s="4">
        <f>IFERROR(__xludf.DUMMYFUNCTION("""COMPUTED_VALUE"""),63.0)</f>
        <v>63</v>
      </c>
      <c r="C6576" s="4" t="str">
        <f>IFERROR(__xludf.DUMMYFUNCTION("""COMPUTED_VALUE"""),"SDR")</f>
        <v>SDR</v>
      </c>
      <c r="D6576" s="4" t="str">
        <f>IFERROR(__xludf.DUMMYFUNCTION("""COMPUTED_VALUE"""),"Charlie Hentz")</f>
        <v>Charlie Hentz</v>
      </c>
      <c r="E6576" s="4" t="str">
        <f>IFERROR(__xludf.DUMMYFUNCTION("""COMPUTED_VALUE"""),"University of Arkansas at Pine Bluff")</f>
        <v>University of Arkansas at Pine Bluff</v>
      </c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</row>
    <row r="6577">
      <c r="A6577" s="4">
        <f>IFERROR(__xludf.DUMMYFUNCTION("""COMPUTED_VALUE"""),64.0)</f>
        <v>64</v>
      </c>
      <c r="B6577" s="4">
        <f>IFERROR(__xludf.DUMMYFUNCTION("""COMPUTED_VALUE"""),64.0)</f>
        <v>64</v>
      </c>
      <c r="C6577" s="4" t="str">
        <f>IFERROR(__xludf.DUMMYFUNCTION("""COMPUTED_VALUE"""),"SFW")</f>
        <v>SFW</v>
      </c>
      <c r="D6577" s="4" t="str">
        <f>IFERROR(__xludf.DUMMYFUNCTION("""COMPUTED_VALUE"""),"Willie Wise")</f>
        <v>Willie Wise</v>
      </c>
      <c r="E6577" s="4" t="str">
        <f>IFERROR(__xludf.DUMMYFUNCTION("""COMPUTED_VALUE"""),"Drake University")</f>
        <v>Drake University</v>
      </c>
      <c r="F6577" s="4">
        <f>IFERROR(__xludf.DUMMYFUNCTION("""COMPUTED_VALUE"""),2.0)</f>
        <v>2</v>
      </c>
      <c r="G6577" s="4">
        <f>IFERROR(__xludf.DUMMYFUNCTION("""COMPUTED_VALUE"""),77.0)</f>
        <v>77</v>
      </c>
      <c r="H6577" s="4">
        <f>IFERROR(__xludf.DUMMYFUNCTION("""COMPUTED_VALUE"""),1413.0)</f>
        <v>1413</v>
      </c>
      <c r="I6577" s="4">
        <f>IFERROR(__xludf.DUMMYFUNCTION("""COMPUTED_VALUE"""),617.0)</f>
        <v>617</v>
      </c>
      <c r="J6577" s="4">
        <f>IFERROR(__xludf.DUMMYFUNCTION("""COMPUTED_VALUE"""),256.0)</f>
        <v>256</v>
      </c>
      <c r="K6577" s="4">
        <f>IFERROR(__xludf.DUMMYFUNCTION("""COMPUTED_VALUE"""),142.0)</f>
        <v>142</v>
      </c>
      <c r="L6577" s="4">
        <f>IFERROR(__xludf.DUMMYFUNCTION("""COMPUTED_VALUE"""),0.459)</f>
        <v>0.459</v>
      </c>
      <c r="M6577" s="4"/>
      <c r="N6577" s="4">
        <f>IFERROR(__xludf.DUMMYFUNCTION("""COMPUTED_VALUE"""),0.644)</f>
        <v>0.644</v>
      </c>
      <c r="O6577" s="4">
        <f>IFERROR(__xludf.DUMMYFUNCTION("""COMPUTED_VALUE"""),18.4)</f>
        <v>18.4</v>
      </c>
      <c r="P6577" s="4">
        <f>IFERROR(__xludf.DUMMYFUNCTION("""COMPUTED_VALUE"""),8.0)</f>
        <v>8</v>
      </c>
      <c r="Q6577" s="4">
        <f>IFERROR(__xludf.DUMMYFUNCTION("""COMPUTED_VALUE"""),3.3)</f>
        <v>3.3</v>
      </c>
      <c r="R6577" s="4">
        <f>IFERROR(__xludf.DUMMYFUNCTION("""COMPUTED_VALUE"""),1.8)</f>
        <v>1.8</v>
      </c>
      <c r="S6577" s="4">
        <f>IFERROR(__xludf.DUMMYFUNCTION("""COMPUTED_VALUE"""),2.5)</f>
        <v>2.5</v>
      </c>
      <c r="T6577" s="4">
        <f>IFERROR(__xludf.DUMMYFUNCTION("""COMPUTED_VALUE"""),0.085)</f>
        <v>0.085</v>
      </c>
      <c r="U6577" s="4">
        <f>IFERROR(__xludf.DUMMYFUNCTION("""COMPUTED_VALUE"""),-1.2)</f>
        <v>-1.2</v>
      </c>
      <c r="V6577" s="4">
        <f>IFERROR(__xludf.DUMMYFUNCTION("""COMPUTED_VALUE"""),0.3)</f>
        <v>0.3</v>
      </c>
    </row>
    <row r="6578">
      <c r="A6578" s="4">
        <f>IFERROR(__xludf.DUMMYFUNCTION("""COMPUTED_VALUE"""),65.0)</f>
        <v>65</v>
      </c>
      <c r="B6578" s="4">
        <f>IFERROR(__xludf.DUMMYFUNCTION("""COMPUTED_VALUE"""),65.0)</f>
        <v>65</v>
      </c>
      <c r="C6578" s="4" t="str">
        <f>IFERROR(__xludf.DUMMYFUNCTION("""COMPUTED_VALUE"""),"CIN")</f>
        <v>CIN</v>
      </c>
      <c r="D6578" s="4" t="str">
        <f>IFERROR(__xludf.DUMMYFUNCTION("""COMPUTED_VALUE"""),"Jake Ford")</f>
        <v>Jake Ford</v>
      </c>
      <c r="E6578" s="4" t="str">
        <f>IFERROR(__xludf.DUMMYFUNCTION("""COMPUTED_VALUE"""),"University of Maryland Eastern Shore")</f>
        <v>University of Maryland Eastern Shore</v>
      </c>
      <c r="F6578" s="4">
        <f>IFERROR(__xludf.DUMMYFUNCTION("""COMPUTED_VALUE"""),2.0)</f>
        <v>2</v>
      </c>
      <c r="G6578" s="4">
        <f>IFERROR(__xludf.DUMMYFUNCTION("""COMPUTED_VALUE"""),31.0)</f>
        <v>31</v>
      </c>
      <c r="H6578" s="4">
        <f>IFERROR(__xludf.DUMMYFUNCTION("""COMPUTED_VALUE"""),249.0)</f>
        <v>249</v>
      </c>
      <c r="I6578" s="4">
        <f>IFERROR(__xludf.DUMMYFUNCTION("""COMPUTED_VALUE"""),126.0)</f>
        <v>126</v>
      </c>
      <c r="J6578" s="4">
        <f>IFERROR(__xludf.DUMMYFUNCTION("""COMPUTED_VALUE"""),20.0)</f>
        <v>20</v>
      </c>
      <c r="K6578" s="4">
        <f>IFERROR(__xludf.DUMMYFUNCTION("""COMPUTED_VALUE"""),35.0)</f>
        <v>35</v>
      </c>
      <c r="L6578" s="4">
        <f>IFERROR(__xludf.DUMMYFUNCTION("""COMPUTED_VALUE"""),0.462)</f>
        <v>0.462</v>
      </c>
      <c r="M6578" s="4"/>
      <c r="N6578" s="4">
        <f>IFERROR(__xludf.DUMMYFUNCTION("""COMPUTED_VALUE"""),0.764)</f>
        <v>0.764</v>
      </c>
      <c r="O6578" s="4">
        <f>IFERROR(__xludf.DUMMYFUNCTION("""COMPUTED_VALUE"""),8.0)</f>
        <v>8</v>
      </c>
      <c r="P6578" s="4">
        <f>IFERROR(__xludf.DUMMYFUNCTION("""COMPUTED_VALUE"""),4.1)</f>
        <v>4.1</v>
      </c>
      <c r="Q6578" s="4">
        <f>IFERROR(__xludf.DUMMYFUNCTION("""COMPUTED_VALUE"""),0.6)</f>
        <v>0.6</v>
      </c>
      <c r="R6578" s="4">
        <f>IFERROR(__xludf.DUMMYFUNCTION("""COMPUTED_VALUE"""),1.1)</f>
        <v>1.1</v>
      </c>
      <c r="S6578" s="4">
        <f>IFERROR(__xludf.DUMMYFUNCTION("""COMPUTED_VALUE"""),0.7)</f>
        <v>0.7</v>
      </c>
      <c r="T6578" s="4">
        <f>IFERROR(__xludf.DUMMYFUNCTION("""COMPUTED_VALUE"""),0.133)</f>
        <v>0.133</v>
      </c>
      <c r="U6578" s="4"/>
      <c r="V6578" s="4"/>
    </row>
    <row r="6579">
      <c r="A6579" s="4">
        <f>IFERROR(__xludf.DUMMYFUNCTION("""COMPUTED_VALUE"""),66.0)</f>
        <v>66</v>
      </c>
      <c r="B6579" s="4">
        <f>IFERROR(__xludf.DUMMYFUNCTION("""COMPUTED_VALUE"""),66.0)</f>
        <v>66</v>
      </c>
      <c r="C6579" s="4" t="str">
        <f>IFERROR(__xludf.DUMMYFUNCTION("""COMPUTED_VALUE"""),"BOS")</f>
        <v>BOS</v>
      </c>
      <c r="D6579" s="4" t="str">
        <f>IFERROR(__xludf.DUMMYFUNCTION("""COMPUTED_VALUE"""),"George Thompson")</f>
        <v>George Thompson</v>
      </c>
      <c r="E6579" s="4" t="str">
        <f>IFERROR(__xludf.DUMMYFUNCTION("""COMPUTED_VALUE"""),"Marquette")</f>
        <v>Marquette</v>
      </c>
      <c r="F6579" s="4">
        <f>IFERROR(__xludf.DUMMYFUNCTION("""COMPUTED_VALUE"""),1.0)</f>
        <v>1</v>
      </c>
      <c r="G6579" s="4">
        <f>IFERROR(__xludf.DUMMYFUNCTION("""COMPUTED_VALUE"""),73.0)</f>
        <v>73</v>
      </c>
      <c r="H6579" s="4">
        <f>IFERROR(__xludf.DUMMYFUNCTION("""COMPUTED_VALUE"""),1983.0)</f>
        <v>1983</v>
      </c>
      <c r="I6579" s="4">
        <f>IFERROR(__xludf.DUMMYFUNCTION("""COMPUTED_VALUE"""),780.0)</f>
        <v>780</v>
      </c>
      <c r="J6579" s="4">
        <f>IFERROR(__xludf.DUMMYFUNCTION("""COMPUTED_VALUE"""),181.0)</f>
        <v>181</v>
      </c>
      <c r="K6579" s="4">
        <f>IFERROR(__xludf.DUMMYFUNCTION("""COMPUTED_VALUE"""),225.0)</f>
        <v>225</v>
      </c>
      <c r="L6579" s="4">
        <f>IFERROR(__xludf.DUMMYFUNCTION("""COMPUTED_VALUE"""),0.443)</f>
        <v>0.443</v>
      </c>
      <c r="M6579" s="4"/>
      <c r="N6579" s="4">
        <f>IFERROR(__xludf.DUMMYFUNCTION("""COMPUTED_VALUE"""),0.785)</f>
        <v>0.785</v>
      </c>
      <c r="O6579" s="4">
        <f>IFERROR(__xludf.DUMMYFUNCTION("""COMPUTED_VALUE"""),27.2)</f>
        <v>27.2</v>
      </c>
      <c r="P6579" s="4">
        <f>IFERROR(__xludf.DUMMYFUNCTION("""COMPUTED_VALUE"""),10.7)</f>
        <v>10.7</v>
      </c>
      <c r="Q6579" s="4">
        <f>IFERROR(__xludf.DUMMYFUNCTION("""COMPUTED_VALUE"""),2.5)</f>
        <v>2.5</v>
      </c>
      <c r="R6579" s="4">
        <f>IFERROR(__xludf.DUMMYFUNCTION("""COMPUTED_VALUE"""),3.1)</f>
        <v>3.1</v>
      </c>
      <c r="S6579" s="4">
        <f>IFERROR(__xludf.DUMMYFUNCTION("""COMPUTED_VALUE"""),2.7)</f>
        <v>2.7</v>
      </c>
      <c r="T6579" s="4">
        <f>IFERROR(__xludf.DUMMYFUNCTION("""COMPUTED_VALUE"""),0.064)</f>
        <v>0.064</v>
      </c>
      <c r="U6579" s="4">
        <f>IFERROR(__xludf.DUMMYFUNCTION("""COMPUTED_VALUE"""),-2.3)</f>
        <v>-2.3</v>
      </c>
      <c r="V6579" s="4">
        <f>IFERROR(__xludf.DUMMYFUNCTION("""COMPUTED_VALUE"""),-0.1)</f>
        <v>-0.1</v>
      </c>
    </row>
    <row r="6580">
      <c r="A6580" s="4">
        <f>IFERROR(__xludf.DUMMYFUNCTION("""COMPUTED_VALUE"""),67.0)</f>
        <v>67</v>
      </c>
      <c r="B6580" s="4">
        <f>IFERROR(__xludf.DUMMYFUNCTION("""COMPUTED_VALUE"""),67.0)</f>
        <v>67</v>
      </c>
      <c r="C6580" s="4" t="str">
        <f>IFERROR(__xludf.DUMMYFUNCTION("""COMPUTED_VALUE"""),"ATL")</f>
        <v>ATL</v>
      </c>
      <c r="D6580" s="4" t="str">
        <f>IFERROR(__xludf.DUMMYFUNCTION("""COMPUTED_VALUE"""),"Mike Mitchell")</f>
        <v>Mike Mitchell</v>
      </c>
      <c r="E6580" s="4" t="str">
        <f>IFERROR(__xludf.DUMMYFUNCTION("""COMPUTED_VALUE"""),"West Texas A&amp;M University")</f>
        <v>West Texas A&amp;M University</v>
      </c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</row>
    <row r="6581">
      <c r="A6581" s="4">
        <f>IFERROR(__xludf.DUMMYFUNCTION("""COMPUTED_VALUE"""),68.0)</f>
        <v>68</v>
      </c>
      <c r="B6581" s="4">
        <f>IFERROR(__xludf.DUMMYFUNCTION("""COMPUTED_VALUE"""),68.0)</f>
        <v>68</v>
      </c>
      <c r="C6581" s="4" t="str">
        <f>IFERROR(__xludf.DUMMYFUNCTION("""COMPUTED_VALUE"""),"NYK")</f>
        <v>NYK</v>
      </c>
      <c r="D6581" s="4" t="str">
        <f>IFERROR(__xludf.DUMMYFUNCTION("""COMPUTED_VALUE"""),"Gene Littles")</f>
        <v>Gene Littles</v>
      </c>
      <c r="E6581" s="4" t="str">
        <f>IFERROR(__xludf.DUMMYFUNCTION("""COMPUTED_VALUE"""),"High Point University")</f>
        <v>High Point University</v>
      </c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</row>
    <row r="6582">
      <c r="A6582" s="4">
        <f>IFERROR(__xludf.DUMMYFUNCTION("""COMPUTED_VALUE"""),69.0)</f>
        <v>69</v>
      </c>
      <c r="B6582" s="4">
        <f>IFERROR(__xludf.DUMMYFUNCTION("""COMPUTED_VALUE"""),69.0)</f>
        <v>69</v>
      </c>
      <c r="C6582" s="4" t="str">
        <f>IFERROR(__xludf.DUMMYFUNCTION("""COMPUTED_VALUE"""),"LAL")</f>
        <v>LAL</v>
      </c>
      <c r="D6582" s="4" t="str">
        <f>IFERROR(__xludf.DUMMYFUNCTION("""COMPUTED_VALUE"""),"Wil Jones")</f>
        <v>Wil Jones</v>
      </c>
      <c r="E6582" s="4" t="str">
        <f>IFERROR(__xludf.DUMMYFUNCTION("""COMPUTED_VALUE"""),"Albany State University")</f>
        <v>Albany State University</v>
      </c>
      <c r="F6582" s="4">
        <f>IFERROR(__xludf.DUMMYFUNCTION("""COMPUTED_VALUE"""),2.0)</f>
        <v>2</v>
      </c>
      <c r="G6582" s="4">
        <f>IFERROR(__xludf.DUMMYFUNCTION("""COMPUTED_VALUE"""),159.0)</f>
        <v>159</v>
      </c>
      <c r="H6582" s="4">
        <f>IFERROR(__xludf.DUMMYFUNCTION("""COMPUTED_VALUE"""),4420.0)</f>
        <v>4420</v>
      </c>
      <c r="I6582" s="4">
        <f>IFERROR(__xludf.DUMMYFUNCTION("""COMPUTED_VALUE"""),1578.0)</f>
        <v>1578</v>
      </c>
      <c r="J6582" s="4">
        <f>IFERROR(__xludf.DUMMYFUNCTION("""COMPUTED_VALUE"""),938.0)</f>
        <v>938</v>
      </c>
      <c r="K6582" s="4">
        <f>IFERROR(__xludf.DUMMYFUNCTION("""COMPUTED_VALUE"""),305.0)</f>
        <v>305</v>
      </c>
      <c r="L6582" s="4">
        <f>IFERROR(__xludf.DUMMYFUNCTION("""COMPUTED_VALUE"""),0.433)</f>
        <v>0.433</v>
      </c>
      <c r="M6582" s="4"/>
      <c r="N6582" s="4">
        <f>IFERROR(__xludf.DUMMYFUNCTION("""COMPUTED_VALUE"""),0.731)</f>
        <v>0.731</v>
      </c>
      <c r="O6582" s="4">
        <f>IFERROR(__xludf.DUMMYFUNCTION("""COMPUTED_VALUE"""),27.8)</f>
        <v>27.8</v>
      </c>
      <c r="P6582" s="4">
        <f>IFERROR(__xludf.DUMMYFUNCTION("""COMPUTED_VALUE"""),9.9)</f>
        <v>9.9</v>
      </c>
      <c r="Q6582" s="4">
        <f>IFERROR(__xludf.DUMMYFUNCTION("""COMPUTED_VALUE"""),5.9)</f>
        <v>5.9</v>
      </c>
      <c r="R6582" s="4">
        <f>IFERROR(__xludf.DUMMYFUNCTION("""COMPUTED_VALUE"""),1.9)</f>
        <v>1.9</v>
      </c>
      <c r="S6582" s="4">
        <f>IFERROR(__xludf.DUMMYFUNCTION("""COMPUTED_VALUE"""),4.6)</f>
        <v>4.6</v>
      </c>
      <c r="T6582" s="4">
        <f>IFERROR(__xludf.DUMMYFUNCTION("""COMPUTED_VALUE"""),0.05)</f>
        <v>0.05</v>
      </c>
      <c r="U6582" s="4">
        <f>IFERROR(__xludf.DUMMYFUNCTION("""COMPUTED_VALUE"""),-1.9)</f>
        <v>-1.9</v>
      </c>
      <c r="V6582" s="4">
        <f>IFERROR(__xludf.DUMMYFUNCTION("""COMPUTED_VALUE"""),0.1)</f>
        <v>0.1</v>
      </c>
    </row>
    <row r="6583">
      <c r="A6583" s="4">
        <f>IFERROR(__xludf.DUMMYFUNCTION("""COMPUTED_VALUE"""),70.0)</f>
        <v>70</v>
      </c>
      <c r="B6583" s="4">
        <f>IFERROR(__xludf.DUMMYFUNCTION("""COMPUTED_VALUE"""),70.0)</f>
        <v>70</v>
      </c>
      <c r="C6583" s="4" t="str">
        <f>IFERROR(__xludf.DUMMYFUNCTION("""COMPUTED_VALUE"""),"PHI")</f>
        <v>PHI</v>
      </c>
      <c r="D6583" s="4" t="str">
        <f>IFERROR(__xludf.DUMMYFUNCTION("""COMPUTED_VALUE"""),"Joe Cromer")</f>
        <v>Joe Cromer</v>
      </c>
      <c r="E6583" s="4" t="str">
        <f>IFERROR(__xludf.DUMMYFUNCTION("""COMPUTED_VALUE"""),"Temple")</f>
        <v>Temple</v>
      </c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</row>
    <row r="6584">
      <c r="A6584" s="4">
        <f>IFERROR(__xludf.DUMMYFUNCTION("""COMPUTED_VALUE"""),71.0)</f>
        <v>71</v>
      </c>
      <c r="B6584" s="4">
        <f>IFERROR(__xludf.DUMMYFUNCTION("""COMPUTED_VALUE"""),71.0)</f>
        <v>71</v>
      </c>
      <c r="C6584" s="4" t="str">
        <f>IFERROR(__xludf.DUMMYFUNCTION("""COMPUTED_VALUE"""),"BAL")</f>
        <v>BAL</v>
      </c>
      <c r="D6584" s="4" t="str">
        <f>IFERROR(__xludf.DUMMYFUNCTION("""COMPUTED_VALUE"""),"Willie Jackson")</f>
        <v>Willie Jackson</v>
      </c>
      <c r="E6584" s="4" t="str">
        <f>IFERROR(__xludf.DUMMYFUNCTION("""COMPUTED_VALUE"""),"Morehead State University")</f>
        <v>Morehead State University</v>
      </c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</row>
    <row r="6585">
      <c r="A6585" s="4"/>
      <c r="B6585" s="4"/>
      <c r="C6585" s="4"/>
      <c r="D6585" s="4" t="str">
        <f>IFERROR(__xludf.DUMMYFUNCTION("""COMPUTED_VALUE"""),"Round 6")</f>
        <v>Round 6</v>
      </c>
      <c r="E6585" s="4"/>
      <c r="F6585" s="4"/>
      <c r="G6585" s="4" t="str">
        <f>IFERROR(__xludf.DUMMYFUNCTION("""COMPUTED_VALUE"""),"Totals")</f>
        <v>Totals</v>
      </c>
      <c r="H6585" s="4"/>
      <c r="I6585" s="4"/>
      <c r="J6585" s="4"/>
      <c r="K6585" s="4"/>
      <c r="L6585" s="4" t="str">
        <f>IFERROR(__xludf.DUMMYFUNCTION("""COMPUTED_VALUE"""),"Shooting")</f>
        <v>Shooting</v>
      </c>
      <c r="M6585" s="4"/>
      <c r="N6585" s="4"/>
      <c r="O6585" s="4" t="str">
        <f>IFERROR(__xludf.DUMMYFUNCTION("""COMPUTED_VALUE"""),"Per Game")</f>
        <v>Per Game</v>
      </c>
      <c r="P6585" s="4"/>
      <c r="Q6585" s="4"/>
      <c r="R6585" s="4"/>
      <c r="S6585" s="4" t="str">
        <f>IFERROR(__xludf.DUMMYFUNCTION("""COMPUTED_VALUE"""),"Advanced")</f>
        <v>Advanced</v>
      </c>
      <c r="T6585" s="4"/>
      <c r="U6585" s="4"/>
      <c r="V6585" s="4"/>
    </row>
    <row r="6586">
      <c r="A6586" s="4" t="str">
        <f>IFERROR(__xludf.DUMMYFUNCTION("""COMPUTED_VALUE"""),"Rk")</f>
        <v>Rk</v>
      </c>
      <c r="B6586" s="4" t="str">
        <f>IFERROR(__xludf.DUMMYFUNCTION("""COMPUTED_VALUE"""),"Pk")</f>
        <v>Pk</v>
      </c>
      <c r="C6586" s="4" t="str">
        <f>IFERROR(__xludf.DUMMYFUNCTION("""COMPUTED_VALUE"""),"Tm")</f>
        <v>Tm</v>
      </c>
      <c r="D6586" s="4" t="str">
        <f>IFERROR(__xludf.DUMMYFUNCTION("""COMPUTED_VALUE"""),"Player")</f>
        <v>Player</v>
      </c>
      <c r="E6586" s="4" t="str">
        <f>IFERROR(__xludf.DUMMYFUNCTION("""COMPUTED_VALUE"""),"College")</f>
        <v>College</v>
      </c>
      <c r="F6586" s="4" t="str">
        <f>IFERROR(__xludf.DUMMYFUNCTION("""COMPUTED_VALUE"""),"Yrs")</f>
        <v>Yrs</v>
      </c>
      <c r="G6586" s="4" t="str">
        <f>IFERROR(__xludf.DUMMYFUNCTION("""COMPUTED_VALUE"""),"G")</f>
        <v>G</v>
      </c>
      <c r="H6586" s="4" t="str">
        <f>IFERROR(__xludf.DUMMYFUNCTION("""COMPUTED_VALUE"""),"MP")</f>
        <v>MP</v>
      </c>
      <c r="I6586" s="4" t="str">
        <f>IFERROR(__xludf.DUMMYFUNCTION("""COMPUTED_VALUE"""),"PTS")</f>
        <v>PTS</v>
      </c>
      <c r="J6586" s="4" t="str">
        <f>IFERROR(__xludf.DUMMYFUNCTION("""COMPUTED_VALUE"""),"TRB")</f>
        <v>TRB</v>
      </c>
      <c r="K6586" s="4" t="str">
        <f>IFERROR(__xludf.DUMMYFUNCTION("""COMPUTED_VALUE"""),"AST")</f>
        <v>AST</v>
      </c>
      <c r="L6586" s="4" t="str">
        <f>IFERROR(__xludf.DUMMYFUNCTION("""COMPUTED_VALUE"""),"FG%")</f>
        <v>FG%</v>
      </c>
      <c r="M6586" s="4" t="str">
        <f>IFERROR(__xludf.DUMMYFUNCTION("""COMPUTED_VALUE"""),"3P%")</f>
        <v>3P%</v>
      </c>
      <c r="N6586" s="4" t="str">
        <f>IFERROR(__xludf.DUMMYFUNCTION("""COMPUTED_VALUE"""),"FT%")</f>
        <v>FT%</v>
      </c>
      <c r="O6586" s="4" t="str">
        <f>IFERROR(__xludf.DUMMYFUNCTION("""COMPUTED_VALUE"""),"MP")</f>
        <v>MP</v>
      </c>
      <c r="P6586" s="4" t="str">
        <f>IFERROR(__xludf.DUMMYFUNCTION("""COMPUTED_VALUE"""),"PTS")</f>
        <v>PTS</v>
      </c>
      <c r="Q6586" s="4" t="str">
        <f>IFERROR(__xludf.DUMMYFUNCTION("""COMPUTED_VALUE"""),"TRB")</f>
        <v>TRB</v>
      </c>
      <c r="R6586" s="4" t="str">
        <f>IFERROR(__xludf.DUMMYFUNCTION("""COMPUTED_VALUE"""),"AST")</f>
        <v>AST</v>
      </c>
      <c r="S6586" s="4" t="str">
        <f>IFERROR(__xludf.DUMMYFUNCTION("""COMPUTED_VALUE"""),"WS")</f>
        <v>WS</v>
      </c>
      <c r="T6586" s="4" t="str">
        <f>IFERROR(__xludf.DUMMYFUNCTION("""COMPUTED_VALUE"""),"WS/48")</f>
        <v>WS/48</v>
      </c>
      <c r="U6586" s="4" t="str">
        <f>IFERROR(__xludf.DUMMYFUNCTION("""COMPUTED_VALUE"""),"BPM")</f>
        <v>BPM</v>
      </c>
      <c r="V6586" s="4" t="str">
        <f>IFERROR(__xludf.DUMMYFUNCTION("""COMPUTED_VALUE"""),"VORP")</f>
        <v>VORP</v>
      </c>
    </row>
    <row r="6587">
      <c r="A6587" s="4">
        <f>IFERROR(__xludf.DUMMYFUNCTION("""COMPUTED_VALUE"""),72.0)</f>
        <v>72</v>
      </c>
      <c r="B6587" s="4">
        <f>IFERROR(__xludf.DUMMYFUNCTION("""COMPUTED_VALUE"""),72.0)</f>
        <v>72</v>
      </c>
      <c r="C6587" s="4" t="str">
        <f>IFERROR(__xludf.DUMMYFUNCTION("""COMPUTED_VALUE"""),"PHO")</f>
        <v>PHO</v>
      </c>
      <c r="D6587" s="4" t="str">
        <f>IFERROR(__xludf.DUMMYFUNCTION("""COMPUTED_VALUE"""),"Dan Sadlier")</f>
        <v>Dan Sadlier</v>
      </c>
      <c r="E6587" s="4" t="str">
        <f>IFERROR(__xludf.DUMMYFUNCTION("""COMPUTED_VALUE"""),"Dayton")</f>
        <v>Dayton</v>
      </c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</row>
    <row r="6588">
      <c r="A6588" s="4">
        <f>IFERROR(__xludf.DUMMYFUNCTION("""COMPUTED_VALUE"""),73.0)</f>
        <v>73</v>
      </c>
      <c r="B6588" s="4">
        <f>IFERROR(__xludf.DUMMYFUNCTION("""COMPUTED_VALUE"""),73.0)</f>
        <v>73</v>
      </c>
      <c r="C6588" s="4" t="str">
        <f>IFERROR(__xludf.DUMMYFUNCTION("""COMPUTED_VALUE"""),"MIL")</f>
        <v>MIL</v>
      </c>
      <c r="D6588" s="4" t="str">
        <f>IFERROR(__xludf.DUMMYFUNCTION("""COMPUTED_VALUE"""),"John Arthurs")</f>
        <v>John Arthurs</v>
      </c>
      <c r="E6588" s="4" t="str">
        <f>IFERROR(__xludf.DUMMYFUNCTION("""COMPUTED_VALUE"""),"Tulane")</f>
        <v>Tulane</v>
      </c>
      <c r="F6588" s="4">
        <f>IFERROR(__xludf.DUMMYFUNCTION("""COMPUTED_VALUE"""),1.0)</f>
        <v>1</v>
      </c>
      <c r="G6588" s="4">
        <f>IFERROR(__xludf.DUMMYFUNCTION("""COMPUTED_VALUE"""),11.0)</f>
        <v>11</v>
      </c>
      <c r="H6588" s="4">
        <f>IFERROR(__xludf.DUMMYFUNCTION("""COMPUTED_VALUE"""),86.0)</f>
        <v>86</v>
      </c>
      <c r="I6588" s="4">
        <f>IFERROR(__xludf.DUMMYFUNCTION("""COMPUTED_VALUE"""),35.0)</f>
        <v>35</v>
      </c>
      <c r="J6588" s="4">
        <f>IFERROR(__xludf.DUMMYFUNCTION("""COMPUTED_VALUE"""),14.0)</f>
        <v>14</v>
      </c>
      <c r="K6588" s="4">
        <f>IFERROR(__xludf.DUMMYFUNCTION("""COMPUTED_VALUE"""),17.0)</f>
        <v>17</v>
      </c>
      <c r="L6588" s="4">
        <f>IFERROR(__xludf.DUMMYFUNCTION("""COMPUTED_VALUE"""),0.343)</f>
        <v>0.343</v>
      </c>
      <c r="M6588" s="4"/>
      <c r="N6588" s="4">
        <f>IFERROR(__xludf.DUMMYFUNCTION("""COMPUTED_VALUE"""),0.733)</f>
        <v>0.733</v>
      </c>
      <c r="O6588" s="4">
        <f>IFERROR(__xludf.DUMMYFUNCTION("""COMPUTED_VALUE"""),7.8)</f>
        <v>7.8</v>
      </c>
      <c r="P6588" s="4">
        <f>IFERROR(__xludf.DUMMYFUNCTION("""COMPUTED_VALUE"""),3.2)</f>
        <v>3.2</v>
      </c>
      <c r="Q6588" s="4">
        <f>IFERROR(__xludf.DUMMYFUNCTION("""COMPUTED_VALUE"""),1.3)</f>
        <v>1.3</v>
      </c>
      <c r="R6588" s="4">
        <f>IFERROR(__xludf.DUMMYFUNCTION("""COMPUTED_VALUE"""),1.5)</f>
        <v>1.5</v>
      </c>
      <c r="S6588" s="4">
        <f>IFERROR(__xludf.DUMMYFUNCTION("""COMPUTED_VALUE"""),0.0)</f>
        <v>0</v>
      </c>
      <c r="T6588" s="4">
        <f>IFERROR(__xludf.DUMMYFUNCTION("""COMPUTED_VALUE"""),-0.004)</f>
        <v>-0.004</v>
      </c>
      <c r="U6588" s="4"/>
      <c r="V6588" s="4"/>
    </row>
    <row r="6589">
      <c r="A6589" s="4">
        <f>IFERROR(__xludf.DUMMYFUNCTION("""COMPUTED_VALUE"""),74.0)</f>
        <v>74</v>
      </c>
      <c r="B6589" s="4">
        <f>IFERROR(__xludf.DUMMYFUNCTION("""COMPUTED_VALUE"""),74.0)</f>
        <v>74</v>
      </c>
      <c r="C6589" s="4" t="str">
        <f>IFERROR(__xludf.DUMMYFUNCTION("""COMPUTED_VALUE"""),"SEA")</f>
        <v>SEA</v>
      </c>
      <c r="D6589" s="4" t="str">
        <f>IFERROR(__xludf.DUMMYFUNCTION("""COMPUTED_VALUE"""),"Ben McGilmer")</f>
        <v>Ben McGilmer</v>
      </c>
      <c r="E6589" s="4" t="str">
        <f>IFERROR(__xludf.DUMMYFUNCTION("""COMPUTED_VALUE"""),"Iowa")</f>
        <v>Iowa</v>
      </c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</row>
    <row r="6590">
      <c r="A6590" s="4">
        <f>IFERROR(__xludf.DUMMYFUNCTION("""COMPUTED_VALUE"""),75.0)</f>
        <v>75</v>
      </c>
      <c r="B6590" s="4">
        <f>IFERROR(__xludf.DUMMYFUNCTION("""COMPUTED_VALUE"""),75.0)</f>
        <v>75</v>
      </c>
      <c r="C6590" s="4" t="str">
        <f>IFERROR(__xludf.DUMMYFUNCTION("""COMPUTED_VALUE"""),"DET")</f>
        <v>DET</v>
      </c>
      <c r="D6590" s="4" t="str">
        <f>IFERROR(__xludf.DUMMYFUNCTION("""COMPUTED_VALUE"""),"Larry Jeffries")</f>
        <v>Larry Jeffries</v>
      </c>
      <c r="E6590" s="4" t="str">
        <f>IFERROR(__xludf.DUMMYFUNCTION("""COMPUTED_VALUE"""),"Trinity University")</f>
        <v>Trinity University</v>
      </c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</row>
    <row r="6591">
      <c r="A6591" s="4">
        <f>IFERROR(__xludf.DUMMYFUNCTION("""COMPUTED_VALUE"""),76.0)</f>
        <v>76</v>
      </c>
      <c r="B6591" s="4">
        <f>IFERROR(__xludf.DUMMYFUNCTION("""COMPUTED_VALUE"""),76.0)</f>
        <v>76</v>
      </c>
      <c r="C6591" s="4" t="str">
        <f>IFERROR(__xludf.DUMMYFUNCTION("""COMPUTED_VALUE"""),"CHI")</f>
        <v>CHI</v>
      </c>
      <c r="D6591" s="4" t="str">
        <f>IFERROR(__xludf.DUMMYFUNCTION("""COMPUTED_VALUE"""),"George Tinsley")</f>
        <v>George Tinsley</v>
      </c>
      <c r="E6591" s="4" t="str">
        <f>IFERROR(__xludf.DUMMYFUNCTION("""COMPUTED_VALUE"""),"Kentucky Wesleyan College")</f>
        <v>Kentucky Wesleyan College</v>
      </c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</row>
    <row r="6592">
      <c r="A6592" s="4">
        <f>IFERROR(__xludf.DUMMYFUNCTION("""COMPUTED_VALUE"""),77.0)</f>
        <v>77</v>
      </c>
      <c r="B6592" s="4">
        <f>IFERROR(__xludf.DUMMYFUNCTION("""COMPUTED_VALUE"""),77.0)</f>
        <v>77</v>
      </c>
      <c r="C6592" s="4" t="str">
        <f>IFERROR(__xludf.DUMMYFUNCTION("""COMPUTED_VALUE"""),"SDR")</f>
        <v>SDR</v>
      </c>
      <c r="D6592" s="4" t="str">
        <f>IFERROR(__xludf.DUMMYFUNCTION("""COMPUTED_VALUE"""),"Bob Tallent")</f>
        <v>Bob Tallent</v>
      </c>
      <c r="E6592" s="4" t="str">
        <f>IFERROR(__xludf.DUMMYFUNCTION("""COMPUTED_VALUE"""),"George Washington")</f>
        <v>George Washington</v>
      </c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</row>
    <row r="6593">
      <c r="A6593" s="4">
        <f>IFERROR(__xludf.DUMMYFUNCTION("""COMPUTED_VALUE"""),78.0)</f>
        <v>78</v>
      </c>
      <c r="B6593" s="4">
        <f>IFERROR(__xludf.DUMMYFUNCTION("""COMPUTED_VALUE"""),78.0)</f>
        <v>78</v>
      </c>
      <c r="C6593" s="4" t="str">
        <f>IFERROR(__xludf.DUMMYFUNCTION("""COMPUTED_VALUE"""),"SFW")</f>
        <v>SFW</v>
      </c>
      <c r="D6593" s="4" t="str">
        <f>IFERROR(__xludf.DUMMYFUNCTION("""COMPUTED_VALUE"""),"Dan Obrovac")</f>
        <v>Dan Obrovac</v>
      </c>
      <c r="E6593" s="4" t="str">
        <f>IFERROR(__xludf.DUMMYFUNCTION("""COMPUTED_VALUE"""),"Dayton")</f>
        <v>Dayton</v>
      </c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</row>
    <row r="6594">
      <c r="A6594" s="4">
        <f>IFERROR(__xludf.DUMMYFUNCTION("""COMPUTED_VALUE"""),79.0)</f>
        <v>79</v>
      </c>
      <c r="B6594" s="4">
        <f>IFERROR(__xludf.DUMMYFUNCTION("""COMPUTED_VALUE"""),79.0)</f>
        <v>79</v>
      </c>
      <c r="C6594" s="4" t="str">
        <f>IFERROR(__xludf.DUMMYFUNCTION("""COMPUTED_VALUE"""),"CIN")</f>
        <v>CIN</v>
      </c>
      <c r="D6594" s="4" t="str">
        <f>IFERROR(__xludf.DUMMYFUNCTION("""COMPUTED_VALUE"""),"Mel Coleman")</f>
        <v>Mel Coleman</v>
      </c>
      <c r="E6594" s="4" t="str">
        <f>IFERROR(__xludf.DUMMYFUNCTION("""COMPUTED_VALUE"""),"University of Wisconsin-Stout")</f>
        <v>University of Wisconsin-Stout</v>
      </c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</row>
    <row r="6595">
      <c r="A6595" s="4">
        <f>IFERROR(__xludf.DUMMYFUNCTION("""COMPUTED_VALUE"""),80.0)</f>
        <v>80</v>
      </c>
      <c r="B6595" s="4">
        <f>IFERROR(__xludf.DUMMYFUNCTION("""COMPUTED_VALUE"""),80.0)</f>
        <v>80</v>
      </c>
      <c r="C6595" s="4" t="str">
        <f>IFERROR(__xludf.DUMMYFUNCTION("""COMPUTED_VALUE"""),"BOS")</f>
        <v>BOS</v>
      </c>
      <c r="D6595" s="4" t="str">
        <f>IFERROR(__xludf.DUMMYFUNCTION("""COMPUTED_VALUE"""),"Dolph Pulliam")</f>
        <v>Dolph Pulliam</v>
      </c>
      <c r="E6595" s="4" t="str">
        <f>IFERROR(__xludf.DUMMYFUNCTION("""COMPUTED_VALUE"""),"Drake University")</f>
        <v>Drake University</v>
      </c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</row>
    <row r="6596">
      <c r="A6596" s="4">
        <f>IFERROR(__xludf.DUMMYFUNCTION("""COMPUTED_VALUE"""),81.0)</f>
        <v>81</v>
      </c>
      <c r="B6596" s="4">
        <f>IFERROR(__xludf.DUMMYFUNCTION("""COMPUTED_VALUE"""),81.0)</f>
        <v>81</v>
      </c>
      <c r="C6596" s="4" t="str">
        <f>IFERROR(__xludf.DUMMYFUNCTION("""COMPUTED_VALUE"""),"ATL")</f>
        <v>ATL</v>
      </c>
      <c r="D6596" s="4" t="str">
        <f>IFERROR(__xludf.DUMMYFUNCTION("""COMPUTED_VALUE"""),"Guy Mackner")</f>
        <v>Guy Mackner</v>
      </c>
      <c r="E6596" s="4" t="str">
        <f>IFERROR(__xludf.DUMMYFUNCTION("""COMPUTED_VALUE"""),"South Dakota State")</f>
        <v>South Dakota State</v>
      </c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</row>
    <row r="6597">
      <c r="A6597" s="4">
        <f>IFERROR(__xludf.DUMMYFUNCTION("""COMPUTED_VALUE"""),82.0)</f>
        <v>82</v>
      </c>
      <c r="B6597" s="4">
        <f>IFERROR(__xludf.DUMMYFUNCTION("""COMPUTED_VALUE"""),82.0)</f>
        <v>82</v>
      </c>
      <c r="C6597" s="4" t="str">
        <f>IFERROR(__xludf.DUMMYFUNCTION("""COMPUTED_VALUE"""),"NYK")</f>
        <v>NYK</v>
      </c>
      <c r="D6597" s="4" t="str">
        <f>IFERROR(__xludf.DUMMYFUNCTION("""COMPUTED_VALUE"""),"Dwight Durante")</f>
        <v>Dwight Durante</v>
      </c>
      <c r="E6597" s="4" t="str">
        <f>IFERROR(__xludf.DUMMYFUNCTION("""COMPUTED_VALUE"""),"Catawba College")</f>
        <v>Catawba College</v>
      </c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</row>
    <row r="6598">
      <c r="A6598" s="4">
        <f>IFERROR(__xludf.DUMMYFUNCTION("""COMPUTED_VALUE"""),83.0)</f>
        <v>83</v>
      </c>
      <c r="B6598" s="4">
        <f>IFERROR(__xludf.DUMMYFUNCTION("""COMPUTED_VALUE"""),83.0)</f>
        <v>83</v>
      </c>
      <c r="C6598" s="4" t="str">
        <f>IFERROR(__xludf.DUMMYFUNCTION("""COMPUTED_VALUE"""),"LAL")</f>
        <v>LAL</v>
      </c>
      <c r="D6598" s="4" t="str">
        <f>IFERROR(__xludf.DUMMYFUNCTION("""COMPUTED_VALUE"""),"Dick Grubar")</f>
        <v>Dick Grubar</v>
      </c>
      <c r="E6598" s="4" t="str">
        <f>IFERROR(__xludf.DUMMYFUNCTION("""COMPUTED_VALUE"""),"UNC")</f>
        <v>UNC</v>
      </c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</row>
    <row r="6599">
      <c r="A6599" s="4">
        <f>IFERROR(__xludf.DUMMYFUNCTION("""COMPUTED_VALUE"""),84.0)</f>
        <v>84</v>
      </c>
      <c r="B6599" s="4">
        <f>IFERROR(__xludf.DUMMYFUNCTION("""COMPUTED_VALUE"""),84.0)</f>
        <v>84</v>
      </c>
      <c r="C6599" s="4" t="str">
        <f>IFERROR(__xludf.DUMMYFUNCTION("""COMPUTED_VALUE"""),"PHI")</f>
        <v>PHI</v>
      </c>
      <c r="D6599" s="4" t="str">
        <f>IFERROR(__xludf.DUMMYFUNCTION("""COMPUTED_VALUE"""),"John Jones")</f>
        <v>John Jones</v>
      </c>
      <c r="E6599" s="4" t="str">
        <f>IFERROR(__xludf.DUMMYFUNCTION("""COMPUTED_VALUE"""),"Villanova")</f>
        <v>Villanova</v>
      </c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</row>
    <row r="6600">
      <c r="A6600" s="4">
        <f>IFERROR(__xludf.DUMMYFUNCTION("""COMPUTED_VALUE"""),85.0)</f>
        <v>85</v>
      </c>
      <c r="B6600" s="4">
        <f>IFERROR(__xludf.DUMMYFUNCTION("""COMPUTED_VALUE"""),85.0)</f>
        <v>85</v>
      </c>
      <c r="C6600" s="4" t="str">
        <f>IFERROR(__xludf.DUMMYFUNCTION("""COMPUTED_VALUE"""),"BAL")</f>
        <v>BAL</v>
      </c>
      <c r="D6600" s="4" t="str">
        <f>IFERROR(__xludf.DUMMYFUNCTION("""COMPUTED_VALUE"""),"Paul Loveday")</f>
        <v>Paul Loveday</v>
      </c>
      <c r="E6600" s="4" t="str">
        <f>IFERROR(__xludf.DUMMYFUNCTION("""COMPUTED_VALUE"""),"California")</f>
        <v>California</v>
      </c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</row>
    <row r="6601">
      <c r="A6601" s="4"/>
      <c r="B6601" s="4"/>
      <c r="C6601" s="4"/>
      <c r="D6601" s="4" t="str">
        <f>IFERROR(__xludf.DUMMYFUNCTION("""COMPUTED_VALUE"""),"Round 7")</f>
        <v>Round 7</v>
      </c>
      <c r="E6601" s="4"/>
      <c r="F6601" s="4"/>
      <c r="G6601" s="4" t="str">
        <f>IFERROR(__xludf.DUMMYFUNCTION("""COMPUTED_VALUE"""),"Totals")</f>
        <v>Totals</v>
      </c>
      <c r="H6601" s="4"/>
      <c r="I6601" s="4"/>
      <c r="J6601" s="4"/>
      <c r="K6601" s="4"/>
      <c r="L6601" s="4" t="str">
        <f>IFERROR(__xludf.DUMMYFUNCTION("""COMPUTED_VALUE"""),"Shooting")</f>
        <v>Shooting</v>
      </c>
      <c r="M6601" s="4"/>
      <c r="N6601" s="4"/>
      <c r="O6601" s="4" t="str">
        <f>IFERROR(__xludf.DUMMYFUNCTION("""COMPUTED_VALUE"""),"Per Game")</f>
        <v>Per Game</v>
      </c>
      <c r="P6601" s="4"/>
      <c r="Q6601" s="4"/>
      <c r="R6601" s="4"/>
      <c r="S6601" s="4" t="str">
        <f>IFERROR(__xludf.DUMMYFUNCTION("""COMPUTED_VALUE"""),"Advanced")</f>
        <v>Advanced</v>
      </c>
      <c r="T6601" s="4"/>
      <c r="U6601" s="4"/>
      <c r="V6601" s="4"/>
    </row>
    <row r="6602">
      <c r="A6602" s="4" t="str">
        <f>IFERROR(__xludf.DUMMYFUNCTION("""COMPUTED_VALUE"""),"Rk")</f>
        <v>Rk</v>
      </c>
      <c r="B6602" s="4" t="str">
        <f>IFERROR(__xludf.DUMMYFUNCTION("""COMPUTED_VALUE"""),"Pk")</f>
        <v>Pk</v>
      </c>
      <c r="C6602" s="4" t="str">
        <f>IFERROR(__xludf.DUMMYFUNCTION("""COMPUTED_VALUE"""),"Tm")</f>
        <v>Tm</v>
      </c>
      <c r="D6602" s="4" t="str">
        <f>IFERROR(__xludf.DUMMYFUNCTION("""COMPUTED_VALUE"""),"Player")</f>
        <v>Player</v>
      </c>
      <c r="E6602" s="4" t="str">
        <f>IFERROR(__xludf.DUMMYFUNCTION("""COMPUTED_VALUE"""),"College")</f>
        <v>College</v>
      </c>
      <c r="F6602" s="4" t="str">
        <f>IFERROR(__xludf.DUMMYFUNCTION("""COMPUTED_VALUE"""),"Yrs")</f>
        <v>Yrs</v>
      </c>
      <c r="G6602" s="4" t="str">
        <f>IFERROR(__xludf.DUMMYFUNCTION("""COMPUTED_VALUE"""),"G")</f>
        <v>G</v>
      </c>
      <c r="H6602" s="4" t="str">
        <f>IFERROR(__xludf.DUMMYFUNCTION("""COMPUTED_VALUE"""),"MP")</f>
        <v>MP</v>
      </c>
      <c r="I6602" s="4" t="str">
        <f>IFERROR(__xludf.DUMMYFUNCTION("""COMPUTED_VALUE"""),"PTS")</f>
        <v>PTS</v>
      </c>
      <c r="J6602" s="4" t="str">
        <f>IFERROR(__xludf.DUMMYFUNCTION("""COMPUTED_VALUE"""),"TRB")</f>
        <v>TRB</v>
      </c>
      <c r="K6602" s="4" t="str">
        <f>IFERROR(__xludf.DUMMYFUNCTION("""COMPUTED_VALUE"""),"AST")</f>
        <v>AST</v>
      </c>
      <c r="L6602" s="4" t="str">
        <f>IFERROR(__xludf.DUMMYFUNCTION("""COMPUTED_VALUE"""),"FG%")</f>
        <v>FG%</v>
      </c>
      <c r="M6602" s="4" t="str">
        <f>IFERROR(__xludf.DUMMYFUNCTION("""COMPUTED_VALUE"""),"3P%")</f>
        <v>3P%</v>
      </c>
      <c r="N6602" s="4" t="str">
        <f>IFERROR(__xludf.DUMMYFUNCTION("""COMPUTED_VALUE"""),"FT%")</f>
        <v>FT%</v>
      </c>
      <c r="O6602" s="4" t="str">
        <f>IFERROR(__xludf.DUMMYFUNCTION("""COMPUTED_VALUE"""),"MP")</f>
        <v>MP</v>
      </c>
      <c r="P6602" s="4" t="str">
        <f>IFERROR(__xludf.DUMMYFUNCTION("""COMPUTED_VALUE"""),"PTS")</f>
        <v>PTS</v>
      </c>
      <c r="Q6602" s="4" t="str">
        <f>IFERROR(__xludf.DUMMYFUNCTION("""COMPUTED_VALUE"""),"TRB")</f>
        <v>TRB</v>
      </c>
      <c r="R6602" s="4" t="str">
        <f>IFERROR(__xludf.DUMMYFUNCTION("""COMPUTED_VALUE"""),"AST")</f>
        <v>AST</v>
      </c>
      <c r="S6602" s="4" t="str">
        <f>IFERROR(__xludf.DUMMYFUNCTION("""COMPUTED_VALUE"""),"WS")</f>
        <v>WS</v>
      </c>
      <c r="T6602" s="4" t="str">
        <f>IFERROR(__xludf.DUMMYFUNCTION("""COMPUTED_VALUE"""),"WS/48")</f>
        <v>WS/48</v>
      </c>
      <c r="U6602" s="4" t="str">
        <f>IFERROR(__xludf.DUMMYFUNCTION("""COMPUTED_VALUE"""),"BPM")</f>
        <v>BPM</v>
      </c>
      <c r="V6602" s="4" t="str">
        <f>IFERROR(__xludf.DUMMYFUNCTION("""COMPUTED_VALUE"""),"VORP")</f>
        <v>VORP</v>
      </c>
    </row>
    <row r="6603">
      <c r="A6603" s="4">
        <f>IFERROR(__xludf.DUMMYFUNCTION("""COMPUTED_VALUE"""),86.0)</f>
        <v>86</v>
      </c>
      <c r="B6603" s="4">
        <f>IFERROR(__xludf.DUMMYFUNCTION("""COMPUTED_VALUE"""),86.0)</f>
        <v>86</v>
      </c>
      <c r="C6603" s="4" t="str">
        <f>IFERROR(__xludf.DUMMYFUNCTION("""COMPUTED_VALUE"""),"PHO")</f>
        <v>PHO</v>
      </c>
      <c r="D6603" s="4" t="str">
        <f>IFERROR(__xludf.DUMMYFUNCTION("""COMPUTED_VALUE"""),"Bill Sweek")</f>
        <v>Bill Sweek</v>
      </c>
      <c r="E6603" s="4" t="str">
        <f>IFERROR(__xludf.DUMMYFUNCTION("""COMPUTED_VALUE"""),"UCLA")</f>
        <v>UCLA</v>
      </c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</row>
    <row r="6604">
      <c r="A6604" s="4">
        <f>IFERROR(__xludf.DUMMYFUNCTION("""COMPUTED_VALUE"""),87.0)</f>
        <v>87</v>
      </c>
      <c r="B6604" s="4">
        <f>IFERROR(__xludf.DUMMYFUNCTION("""COMPUTED_VALUE"""),87.0)</f>
        <v>87</v>
      </c>
      <c r="C6604" s="4" t="str">
        <f>IFERROR(__xludf.DUMMYFUNCTION("""COMPUTED_VALUE"""),"MIL")</f>
        <v>MIL</v>
      </c>
      <c r="D6604" s="4" t="str">
        <f>IFERROR(__xludf.DUMMYFUNCTION("""COMPUTED_VALUE"""),"Bill Keller")</f>
        <v>Bill Keller</v>
      </c>
      <c r="E6604" s="4" t="str">
        <f>IFERROR(__xludf.DUMMYFUNCTION("""COMPUTED_VALUE"""),"Purdue")</f>
        <v>Purdue</v>
      </c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</row>
    <row r="6605">
      <c r="A6605" s="4">
        <f>IFERROR(__xludf.DUMMYFUNCTION("""COMPUTED_VALUE"""),88.0)</f>
        <v>88</v>
      </c>
      <c r="B6605" s="4">
        <f>IFERROR(__xludf.DUMMYFUNCTION("""COMPUTED_VALUE"""),88.0)</f>
        <v>88</v>
      </c>
      <c r="C6605" s="4" t="str">
        <f>IFERROR(__xludf.DUMMYFUNCTION("""COMPUTED_VALUE"""),"SEA")</f>
        <v>SEA</v>
      </c>
      <c r="D6605" s="4" t="str">
        <f>IFERROR(__xludf.DUMMYFUNCTION("""COMPUTED_VALUE"""),"Greg Wittman")</f>
        <v>Greg Wittman</v>
      </c>
      <c r="E6605" s="4" t="str">
        <f>IFERROR(__xludf.DUMMYFUNCTION("""COMPUTED_VALUE"""),"Western Carolina University")</f>
        <v>Western Carolina University</v>
      </c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</row>
    <row r="6606">
      <c r="A6606" s="4">
        <f>IFERROR(__xludf.DUMMYFUNCTION("""COMPUTED_VALUE"""),89.0)</f>
        <v>89</v>
      </c>
      <c r="B6606" s="4">
        <f>IFERROR(__xludf.DUMMYFUNCTION("""COMPUTED_VALUE"""),89.0)</f>
        <v>89</v>
      </c>
      <c r="C6606" s="4" t="str">
        <f>IFERROR(__xludf.DUMMYFUNCTION("""COMPUTED_VALUE"""),"DET")</f>
        <v>DET</v>
      </c>
      <c r="D6606" s="4" t="str">
        <f>IFERROR(__xludf.DUMMYFUNCTION("""COMPUTED_VALUE"""),"Steve Vandenberg")</f>
        <v>Steve Vandenberg</v>
      </c>
      <c r="E6606" s="4" t="str">
        <f>IFERROR(__xludf.DUMMYFUNCTION("""COMPUTED_VALUE"""),"Duke")</f>
        <v>Duke</v>
      </c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</row>
    <row r="6607">
      <c r="A6607" s="4">
        <f>IFERROR(__xludf.DUMMYFUNCTION("""COMPUTED_VALUE"""),90.0)</f>
        <v>90</v>
      </c>
      <c r="B6607" s="4">
        <f>IFERROR(__xludf.DUMMYFUNCTION("""COMPUTED_VALUE"""),90.0)</f>
        <v>90</v>
      </c>
      <c r="C6607" s="4" t="str">
        <f>IFERROR(__xludf.DUMMYFUNCTION("""COMPUTED_VALUE"""),"CHI")</f>
        <v>CHI</v>
      </c>
      <c r="D6607" s="4" t="str">
        <f>IFERROR(__xludf.DUMMYFUNCTION("""COMPUTED_VALUE"""),"Frank Judge")</f>
        <v>Frank Judge</v>
      </c>
      <c r="E6607" s="4" t="str">
        <f>IFERROR(__xludf.DUMMYFUNCTION("""COMPUTED_VALUE"""),"Huston-Tillotson University")</f>
        <v>Huston-Tillotson University</v>
      </c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</row>
    <row r="6608">
      <c r="A6608" s="4">
        <f>IFERROR(__xludf.DUMMYFUNCTION("""COMPUTED_VALUE"""),91.0)</f>
        <v>91</v>
      </c>
      <c r="B6608" s="4">
        <f>IFERROR(__xludf.DUMMYFUNCTION("""COMPUTED_VALUE"""),91.0)</f>
        <v>91</v>
      </c>
      <c r="C6608" s="4" t="str">
        <f>IFERROR(__xludf.DUMMYFUNCTION("""COMPUTED_VALUE"""),"SDR")</f>
        <v>SDR</v>
      </c>
      <c r="D6608" s="4" t="str">
        <f>IFERROR(__xludf.DUMMYFUNCTION("""COMPUTED_VALUE"""),"Lynn Shackelford")</f>
        <v>Lynn Shackelford</v>
      </c>
      <c r="E6608" s="4" t="str">
        <f>IFERROR(__xludf.DUMMYFUNCTION("""COMPUTED_VALUE"""),"UCLA")</f>
        <v>UCLA</v>
      </c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</row>
    <row r="6609">
      <c r="A6609" s="4">
        <f>IFERROR(__xludf.DUMMYFUNCTION("""COMPUTED_VALUE"""),92.0)</f>
        <v>92</v>
      </c>
      <c r="B6609" s="4">
        <f>IFERROR(__xludf.DUMMYFUNCTION("""COMPUTED_VALUE"""),92.0)</f>
        <v>92</v>
      </c>
      <c r="C6609" s="4" t="str">
        <f>IFERROR(__xludf.DUMMYFUNCTION("""COMPUTED_VALUE"""),"SFW")</f>
        <v>SFW</v>
      </c>
      <c r="D6609" s="4" t="str">
        <f>IFERROR(__xludf.DUMMYFUNCTION("""COMPUTED_VALUE"""),"Pat Foley")</f>
        <v>Pat Foley</v>
      </c>
      <c r="E6609" s="4" t="str">
        <f>IFERROR(__xludf.DUMMYFUNCTION("""COMPUTED_VALUE"""),"University of the Pacific")</f>
        <v>University of the Pacific</v>
      </c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</row>
    <row r="6610">
      <c r="A6610" s="4">
        <f>IFERROR(__xludf.DUMMYFUNCTION("""COMPUTED_VALUE"""),93.0)</f>
        <v>93</v>
      </c>
      <c r="B6610" s="4">
        <f>IFERROR(__xludf.DUMMYFUNCTION("""COMPUTED_VALUE"""),93.0)</f>
        <v>93</v>
      </c>
      <c r="C6610" s="4" t="str">
        <f>IFERROR(__xludf.DUMMYFUNCTION("""COMPUTED_VALUE"""),"CIN")</f>
        <v>CIN</v>
      </c>
      <c r="D6610" s="4" t="str">
        <f>IFERROR(__xludf.DUMMYFUNCTION("""COMPUTED_VALUE"""),"L.C. Bowen")</f>
        <v>L.C. Bowen</v>
      </c>
      <c r="E6610" s="4" t="str">
        <f>IFERROR(__xludf.DUMMYFUNCTION("""COMPUTED_VALUE"""),"Bradley")</f>
        <v>Bradley</v>
      </c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</row>
    <row r="6611">
      <c r="A6611" s="4">
        <f>IFERROR(__xludf.DUMMYFUNCTION("""COMPUTED_VALUE"""),94.0)</f>
        <v>94</v>
      </c>
      <c r="B6611" s="4">
        <f>IFERROR(__xludf.DUMMYFUNCTION("""COMPUTED_VALUE"""),94.0)</f>
        <v>94</v>
      </c>
      <c r="C6611" s="4" t="str">
        <f>IFERROR(__xludf.DUMMYFUNCTION("""COMPUTED_VALUE"""),"BOS")</f>
        <v>BOS</v>
      </c>
      <c r="D6611" s="4" t="str">
        <f>IFERROR(__xludf.DUMMYFUNCTION("""COMPUTED_VALUE"""),"Jim Johnson")</f>
        <v>Jim Johnson</v>
      </c>
      <c r="E6611" s="4" t="str">
        <f>IFERROR(__xludf.DUMMYFUNCTION("""COMPUTED_VALUE"""),"Wisconsin")</f>
        <v>Wisconsin</v>
      </c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</row>
    <row r="6612">
      <c r="A6612" s="4">
        <f>IFERROR(__xludf.DUMMYFUNCTION("""COMPUTED_VALUE"""),95.0)</f>
        <v>95</v>
      </c>
      <c r="B6612" s="4">
        <f>IFERROR(__xludf.DUMMYFUNCTION("""COMPUTED_VALUE"""),95.0)</f>
        <v>95</v>
      </c>
      <c r="C6612" s="4" t="str">
        <f>IFERROR(__xludf.DUMMYFUNCTION("""COMPUTED_VALUE"""),"ATL")</f>
        <v>ATL</v>
      </c>
      <c r="D6612" s="4" t="str">
        <f>IFERROR(__xludf.DUMMYFUNCTION("""COMPUTED_VALUE"""),"Bob Bundy")</f>
        <v>Bob Bundy</v>
      </c>
      <c r="E6612" s="4" t="str">
        <f>IFERROR(__xludf.DUMMYFUNCTION("""COMPUTED_VALUE"""),"Vanderbilt")</f>
        <v>Vanderbilt</v>
      </c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</row>
    <row r="6613">
      <c r="A6613" s="4">
        <f>IFERROR(__xludf.DUMMYFUNCTION("""COMPUTED_VALUE"""),96.0)</f>
        <v>96</v>
      </c>
      <c r="B6613" s="4">
        <f>IFERROR(__xludf.DUMMYFUNCTION("""COMPUTED_VALUE"""),96.0)</f>
        <v>96</v>
      </c>
      <c r="C6613" s="4" t="str">
        <f>IFERROR(__xludf.DUMMYFUNCTION("""COMPUTED_VALUE"""),"NYK")</f>
        <v>NYK</v>
      </c>
      <c r="D6613" s="4" t="str">
        <f>IFERROR(__xludf.DUMMYFUNCTION("""COMPUTED_VALUE"""),"Chris Thomforde")</f>
        <v>Chris Thomforde</v>
      </c>
      <c r="E6613" s="4" t="str">
        <f>IFERROR(__xludf.DUMMYFUNCTION("""COMPUTED_VALUE"""),"Princeton")</f>
        <v>Princeton</v>
      </c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</row>
    <row r="6614">
      <c r="A6614" s="4">
        <f>IFERROR(__xludf.DUMMYFUNCTION("""COMPUTED_VALUE"""),97.0)</f>
        <v>97</v>
      </c>
      <c r="B6614" s="4">
        <f>IFERROR(__xludf.DUMMYFUNCTION("""COMPUTED_VALUE"""),97.0)</f>
        <v>97</v>
      </c>
      <c r="C6614" s="4" t="str">
        <f>IFERROR(__xludf.DUMMYFUNCTION("""COMPUTED_VALUE"""),"LAL")</f>
        <v>LAL</v>
      </c>
      <c r="D6614" s="4" t="str">
        <f>IFERROR(__xludf.DUMMYFUNCTION("""COMPUTED_VALUE"""),"Kari Liimo")</f>
        <v>Kari Liimo</v>
      </c>
      <c r="E6614" s="4" t="str">
        <f>IFERROR(__xludf.DUMMYFUNCTION("""COMPUTED_VALUE"""),"BYU")</f>
        <v>BYU</v>
      </c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</row>
    <row r="6615">
      <c r="A6615" s="4">
        <f>IFERROR(__xludf.DUMMYFUNCTION("""COMPUTED_VALUE"""),98.0)</f>
        <v>98</v>
      </c>
      <c r="B6615" s="4">
        <f>IFERROR(__xludf.DUMMYFUNCTION("""COMPUTED_VALUE"""),98.0)</f>
        <v>98</v>
      </c>
      <c r="C6615" s="4" t="str">
        <f>IFERROR(__xludf.DUMMYFUNCTION("""COMPUTED_VALUE"""),"PHI")</f>
        <v>PHI</v>
      </c>
      <c r="D6615" s="4" t="str">
        <f>IFERROR(__xludf.DUMMYFUNCTION("""COMPUTED_VALUE"""),"Dave Hamilton")</f>
        <v>Dave Hamilton</v>
      </c>
      <c r="E6615" s="4" t="str">
        <f>IFERROR(__xludf.DUMMYFUNCTION("""COMPUTED_VALUE"""),"West Virginia State University")</f>
        <v>West Virginia State University</v>
      </c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</row>
    <row r="6616">
      <c r="A6616" s="4">
        <f>IFERROR(__xludf.DUMMYFUNCTION("""COMPUTED_VALUE"""),99.0)</f>
        <v>99</v>
      </c>
      <c r="B6616" s="4">
        <f>IFERROR(__xludf.DUMMYFUNCTION("""COMPUTED_VALUE"""),99.0)</f>
        <v>99</v>
      </c>
      <c r="C6616" s="4" t="str">
        <f>IFERROR(__xludf.DUMMYFUNCTION("""COMPUTED_VALUE"""),"BAL")</f>
        <v>BAL</v>
      </c>
      <c r="D6616" s="4" t="str">
        <f>IFERROR(__xludf.DUMMYFUNCTION("""COMPUTED_VALUE"""),"Jeff Claypool")</f>
        <v>Jeff Claypool</v>
      </c>
      <c r="E6616" s="4" t="str">
        <f>IFERROR(__xludf.DUMMYFUNCTION("""COMPUTED_VALUE"""),"Grove City College")</f>
        <v>Grove City College</v>
      </c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</row>
    <row r="6617">
      <c r="A6617" s="4"/>
      <c r="B6617" s="4"/>
      <c r="C6617" s="4"/>
      <c r="D6617" s="4" t="str">
        <f>IFERROR(__xludf.DUMMYFUNCTION("""COMPUTED_VALUE"""),"Round 8")</f>
        <v>Round 8</v>
      </c>
      <c r="E6617" s="4"/>
      <c r="F6617" s="4"/>
      <c r="G6617" s="4" t="str">
        <f>IFERROR(__xludf.DUMMYFUNCTION("""COMPUTED_VALUE"""),"Totals")</f>
        <v>Totals</v>
      </c>
      <c r="H6617" s="4"/>
      <c r="I6617" s="4"/>
      <c r="J6617" s="4"/>
      <c r="K6617" s="4"/>
      <c r="L6617" s="4" t="str">
        <f>IFERROR(__xludf.DUMMYFUNCTION("""COMPUTED_VALUE"""),"Shooting")</f>
        <v>Shooting</v>
      </c>
      <c r="M6617" s="4"/>
      <c r="N6617" s="4"/>
      <c r="O6617" s="4" t="str">
        <f>IFERROR(__xludf.DUMMYFUNCTION("""COMPUTED_VALUE"""),"Per Game")</f>
        <v>Per Game</v>
      </c>
      <c r="P6617" s="4"/>
      <c r="Q6617" s="4"/>
      <c r="R6617" s="4"/>
      <c r="S6617" s="4" t="str">
        <f>IFERROR(__xludf.DUMMYFUNCTION("""COMPUTED_VALUE"""),"Advanced")</f>
        <v>Advanced</v>
      </c>
      <c r="T6617" s="4"/>
      <c r="U6617" s="4"/>
      <c r="V6617" s="4"/>
    </row>
    <row r="6618">
      <c r="A6618" s="4" t="str">
        <f>IFERROR(__xludf.DUMMYFUNCTION("""COMPUTED_VALUE"""),"Rk")</f>
        <v>Rk</v>
      </c>
      <c r="B6618" s="4" t="str">
        <f>IFERROR(__xludf.DUMMYFUNCTION("""COMPUTED_VALUE"""),"Pk")</f>
        <v>Pk</v>
      </c>
      <c r="C6618" s="4" t="str">
        <f>IFERROR(__xludf.DUMMYFUNCTION("""COMPUTED_VALUE"""),"Tm")</f>
        <v>Tm</v>
      </c>
      <c r="D6618" s="4" t="str">
        <f>IFERROR(__xludf.DUMMYFUNCTION("""COMPUTED_VALUE"""),"Player")</f>
        <v>Player</v>
      </c>
      <c r="E6618" s="4" t="str">
        <f>IFERROR(__xludf.DUMMYFUNCTION("""COMPUTED_VALUE"""),"College")</f>
        <v>College</v>
      </c>
      <c r="F6618" s="4" t="str">
        <f>IFERROR(__xludf.DUMMYFUNCTION("""COMPUTED_VALUE"""),"Yrs")</f>
        <v>Yrs</v>
      </c>
      <c r="G6618" s="4" t="str">
        <f>IFERROR(__xludf.DUMMYFUNCTION("""COMPUTED_VALUE"""),"G")</f>
        <v>G</v>
      </c>
      <c r="H6618" s="4" t="str">
        <f>IFERROR(__xludf.DUMMYFUNCTION("""COMPUTED_VALUE"""),"MP")</f>
        <v>MP</v>
      </c>
      <c r="I6618" s="4" t="str">
        <f>IFERROR(__xludf.DUMMYFUNCTION("""COMPUTED_VALUE"""),"PTS")</f>
        <v>PTS</v>
      </c>
      <c r="J6618" s="4" t="str">
        <f>IFERROR(__xludf.DUMMYFUNCTION("""COMPUTED_VALUE"""),"TRB")</f>
        <v>TRB</v>
      </c>
      <c r="K6618" s="4" t="str">
        <f>IFERROR(__xludf.DUMMYFUNCTION("""COMPUTED_VALUE"""),"AST")</f>
        <v>AST</v>
      </c>
      <c r="L6618" s="4" t="str">
        <f>IFERROR(__xludf.DUMMYFUNCTION("""COMPUTED_VALUE"""),"FG%")</f>
        <v>FG%</v>
      </c>
      <c r="M6618" s="4" t="str">
        <f>IFERROR(__xludf.DUMMYFUNCTION("""COMPUTED_VALUE"""),"3P%")</f>
        <v>3P%</v>
      </c>
      <c r="N6618" s="4" t="str">
        <f>IFERROR(__xludf.DUMMYFUNCTION("""COMPUTED_VALUE"""),"FT%")</f>
        <v>FT%</v>
      </c>
      <c r="O6618" s="4" t="str">
        <f>IFERROR(__xludf.DUMMYFUNCTION("""COMPUTED_VALUE"""),"MP")</f>
        <v>MP</v>
      </c>
      <c r="P6618" s="4" t="str">
        <f>IFERROR(__xludf.DUMMYFUNCTION("""COMPUTED_VALUE"""),"PTS")</f>
        <v>PTS</v>
      </c>
      <c r="Q6618" s="4" t="str">
        <f>IFERROR(__xludf.DUMMYFUNCTION("""COMPUTED_VALUE"""),"TRB")</f>
        <v>TRB</v>
      </c>
      <c r="R6618" s="4" t="str">
        <f>IFERROR(__xludf.DUMMYFUNCTION("""COMPUTED_VALUE"""),"AST")</f>
        <v>AST</v>
      </c>
      <c r="S6618" s="4" t="str">
        <f>IFERROR(__xludf.DUMMYFUNCTION("""COMPUTED_VALUE"""),"WS")</f>
        <v>WS</v>
      </c>
      <c r="T6618" s="4" t="str">
        <f>IFERROR(__xludf.DUMMYFUNCTION("""COMPUTED_VALUE"""),"WS/48")</f>
        <v>WS/48</v>
      </c>
      <c r="U6618" s="4" t="str">
        <f>IFERROR(__xludf.DUMMYFUNCTION("""COMPUTED_VALUE"""),"BPM")</f>
        <v>BPM</v>
      </c>
      <c r="V6618" s="4" t="str">
        <f>IFERROR(__xludf.DUMMYFUNCTION("""COMPUTED_VALUE"""),"VORP")</f>
        <v>VORP</v>
      </c>
    </row>
    <row r="6619">
      <c r="A6619" s="4">
        <f>IFERROR(__xludf.DUMMYFUNCTION("""COMPUTED_VALUE"""),100.0)</f>
        <v>100</v>
      </c>
      <c r="B6619" s="4">
        <f>IFERROR(__xludf.DUMMYFUNCTION("""COMPUTED_VALUE"""),100.0)</f>
        <v>100</v>
      </c>
      <c r="C6619" s="4" t="str">
        <f>IFERROR(__xludf.DUMMYFUNCTION("""COMPUTED_VALUE"""),"PHO")</f>
        <v>PHO</v>
      </c>
      <c r="D6619" s="4" t="str">
        <f>IFERROR(__xludf.DUMMYFUNCTION("""COMPUTED_VALUE"""),"Bob Edwards")</f>
        <v>Bob Edwards</v>
      </c>
      <c r="E6619" s="4" t="str">
        <f>IFERROR(__xludf.DUMMYFUNCTION("""COMPUTED_VALUE"""),"Arizona State")</f>
        <v>Arizona State</v>
      </c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</row>
    <row r="6620">
      <c r="A6620" s="4">
        <f>IFERROR(__xludf.DUMMYFUNCTION("""COMPUTED_VALUE"""),101.0)</f>
        <v>101</v>
      </c>
      <c r="B6620" s="4">
        <f>IFERROR(__xludf.DUMMYFUNCTION("""COMPUTED_VALUE"""),101.0)</f>
        <v>101</v>
      </c>
      <c r="C6620" s="4" t="str">
        <f>IFERROR(__xludf.DUMMYFUNCTION("""COMPUTED_VALUE"""),"MIL")</f>
        <v>MIL</v>
      </c>
      <c r="D6620" s="4" t="str">
        <f>IFERROR(__xludf.DUMMYFUNCTION("""COMPUTED_VALUE"""),"John Schell")</f>
        <v>John Schell</v>
      </c>
      <c r="E6620" s="4" t="str">
        <f>IFERROR(__xludf.DUMMYFUNCTION("""COMPUTED_VALUE"""),"Wisconsin")</f>
        <v>Wisconsin</v>
      </c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</row>
    <row r="6621">
      <c r="A6621" s="4">
        <f>IFERROR(__xludf.DUMMYFUNCTION("""COMPUTED_VALUE"""),102.0)</f>
        <v>102</v>
      </c>
      <c r="B6621" s="4">
        <f>IFERROR(__xludf.DUMMYFUNCTION("""COMPUTED_VALUE"""),102.0)</f>
        <v>102</v>
      </c>
      <c r="C6621" s="4" t="str">
        <f>IFERROR(__xludf.DUMMYFUNCTION("""COMPUTED_VALUE"""),"SEA")</f>
        <v>SEA</v>
      </c>
      <c r="D6621" s="4" t="str">
        <f>IFERROR(__xludf.DUMMYFUNCTION("""COMPUTED_VALUE"""),"Theartis Wallace")</f>
        <v>Theartis Wallace</v>
      </c>
      <c r="E6621" s="4" t="str">
        <f>IFERROR(__xludf.DUMMYFUNCTION("""COMPUTED_VALUE"""),"Central Washington University")</f>
        <v>Central Washington University</v>
      </c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</row>
    <row r="6622">
      <c r="A6622" s="4">
        <f>IFERROR(__xludf.DUMMYFUNCTION("""COMPUTED_VALUE"""),103.0)</f>
        <v>103</v>
      </c>
      <c r="B6622" s="4">
        <f>IFERROR(__xludf.DUMMYFUNCTION("""COMPUTED_VALUE"""),103.0)</f>
        <v>103</v>
      </c>
      <c r="C6622" s="4" t="str">
        <f>IFERROR(__xludf.DUMMYFUNCTION("""COMPUTED_VALUE"""),"DET")</f>
        <v>DET</v>
      </c>
      <c r="D6622" s="4" t="str">
        <f>IFERROR(__xludf.DUMMYFUNCTION("""COMPUTED_VALUE"""),"Bob Arnzen")</f>
        <v>Bob Arnzen</v>
      </c>
      <c r="E6622" s="4" t="str">
        <f>IFERROR(__xludf.DUMMYFUNCTION("""COMPUTED_VALUE"""),"Notre Dame")</f>
        <v>Notre Dame</v>
      </c>
      <c r="F6622" s="4">
        <f>IFERROR(__xludf.DUMMYFUNCTION("""COMPUTED_VALUE"""),1.0)</f>
        <v>1</v>
      </c>
      <c r="G6622" s="4">
        <f>IFERROR(__xludf.DUMMYFUNCTION("""COMPUTED_VALUE"""),55.0)</f>
        <v>55</v>
      </c>
      <c r="H6622" s="4">
        <f>IFERROR(__xludf.DUMMYFUNCTION("""COMPUTED_VALUE"""),594.0)</f>
        <v>594</v>
      </c>
      <c r="I6622" s="4">
        <f>IFERROR(__xludf.DUMMYFUNCTION("""COMPUTED_VALUE"""),301.0)</f>
        <v>301</v>
      </c>
      <c r="J6622" s="4">
        <f>IFERROR(__xludf.DUMMYFUNCTION("""COMPUTED_VALUE"""),152.0)</f>
        <v>152</v>
      </c>
      <c r="K6622" s="4">
        <f>IFERROR(__xludf.DUMMYFUNCTION("""COMPUTED_VALUE"""),24.0)</f>
        <v>24</v>
      </c>
      <c r="L6622" s="4">
        <f>IFERROR(__xludf.DUMMYFUNCTION("""COMPUTED_VALUE"""),0.462)</f>
        <v>0.462</v>
      </c>
      <c r="M6622" s="4"/>
      <c r="N6622" s="4">
        <f>IFERROR(__xludf.DUMMYFUNCTION("""COMPUTED_VALUE"""),0.865)</f>
        <v>0.865</v>
      </c>
      <c r="O6622" s="4">
        <f>IFERROR(__xludf.DUMMYFUNCTION("""COMPUTED_VALUE"""),10.8)</f>
        <v>10.8</v>
      </c>
      <c r="P6622" s="4">
        <f>IFERROR(__xludf.DUMMYFUNCTION("""COMPUTED_VALUE"""),5.5)</f>
        <v>5.5</v>
      </c>
      <c r="Q6622" s="4">
        <f>IFERROR(__xludf.DUMMYFUNCTION("""COMPUTED_VALUE"""),2.8)</f>
        <v>2.8</v>
      </c>
      <c r="R6622" s="4">
        <f>IFERROR(__xludf.DUMMYFUNCTION("""COMPUTED_VALUE"""),0.4)</f>
        <v>0.4</v>
      </c>
      <c r="S6622" s="4">
        <f>IFERROR(__xludf.DUMMYFUNCTION("""COMPUTED_VALUE"""),1.0)</f>
        <v>1</v>
      </c>
      <c r="T6622" s="4">
        <f>IFERROR(__xludf.DUMMYFUNCTION("""COMPUTED_VALUE"""),0.082)</f>
        <v>0.082</v>
      </c>
      <c r="U6622" s="4"/>
      <c r="V6622" s="4"/>
    </row>
    <row r="6623">
      <c r="A6623" s="4">
        <f>IFERROR(__xludf.DUMMYFUNCTION("""COMPUTED_VALUE"""),104.0)</f>
        <v>104</v>
      </c>
      <c r="B6623" s="4">
        <f>IFERROR(__xludf.DUMMYFUNCTION("""COMPUTED_VALUE"""),104.0)</f>
        <v>104</v>
      </c>
      <c r="C6623" s="4" t="str">
        <f>IFERROR(__xludf.DUMMYFUNCTION("""COMPUTED_VALUE"""),"CHI")</f>
        <v>CHI</v>
      </c>
      <c r="D6623" s="4" t="str">
        <f>IFERROR(__xludf.DUMMYFUNCTION("""COMPUTED_VALUE"""),"Roger Moller")</f>
        <v>Roger Moller</v>
      </c>
      <c r="E6623" s="4" t="str">
        <f>IFERROR(__xludf.DUMMYFUNCTION("""COMPUTED_VALUE"""),"Westmar University")</f>
        <v>Westmar University</v>
      </c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</row>
    <row r="6624">
      <c r="A6624" s="4">
        <f>IFERROR(__xludf.DUMMYFUNCTION("""COMPUTED_VALUE"""),105.0)</f>
        <v>105</v>
      </c>
      <c r="B6624" s="4">
        <f>IFERROR(__xludf.DUMMYFUNCTION("""COMPUTED_VALUE"""),105.0)</f>
        <v>105</v>
      </c>
      <c r="C6624" s="4" t="str">
        <f>IFERROR(__xludf.DUMMYFUNCTION("""COMPUTED_VALUE"""),"SDR")</f>
        <v>SDR</v>
      </c>
      <c r="D6624" s="4" t="str">
        <f>IFERROR(__xludf.DUMMYFUNCTION("""COMPUTED_VALUE"""),"Bill DeHeer")</f>
        <v>Bill DeHeer</v>
      </c>
      <c r="E6624" s="4" t="str">
        <f>IFERROR(__xludf.DUMMYFUNCTION("""COMPUTED_VALUE"""),"Indiana")</f>
        <v>Indiana</v>
      </c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</row>
    <row r="6625">
      <c r="A6625" s="4">
        <f>IFERROR(__xludf.DUMMYFUNCTION("""COMPUTED_VALUE"""),106.0)</f>
        <v>106</v>
      </c>
      <c r="B6625" s="4">
        <f>IFERROR(__xludf.DUMMYFUNCTION("""COMPUTED_VALUE"""),106.0)</f>
        <v>106</v>
      </c>
      <c r="C6625" s="4" t="str">
        <f>IFERROR(__xludf.DUMMYFUNCTION("""COMPUTED_VALUE"""),"SFW")</f>
        <v>SFW</v>
      </c>
      <c r="D6625" s="4" t="str">
        <f>IFERROR(__xludf.DUMMYFUNCTION("""COMPUTED_VALUE"""),"Steve Rippe")</f>
        <v>Steve Rippe</v>
      </c>
      <c r="E6625" s="4" t="str">
        <f>IFERROR(__xludf.DUMMYFUNCTION("""COMPUTED_VALUE"""),"UC Santa Barbara")</f>
        <v>UC Santa Barbara</v>
      </c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</row>
    <row r="6626">
      <c r="A6626" s="4">
        <f>IFERROR(__xludf.DUMMYFUNCTION("""COMPUTED_VALUE"""),107.0)</f>
        <v>107</v>
      </c>
      <c r="B6626" s="4">
        <f>IFERROR(__xludf.DUMMYFUNCTION("""COMPUTED_VALUE"""),107.0)</f>
        <v>107</v>
      </c>
      <c r="C6626" s="4" t="str">
        <f>IFERROR(__xludf.DUMMYFUNCTION("""COMPUTED_VALUE"""),"CIN")</f>
        <v>CIN</v>
      </c>
      <c r="D6626" s="4" t="str">
        <f>IFERROR(__xludf.DUMMYFUNCTION("""COMPUTED_VALUE"""),"Merton Bancroft")</f>
        <v>Merton Bancroft</v>
      </c>
      <c r="E6626" s="4" t="str">
        <f>IFERROR(__xludf.DUMMYFUNCTION("""COMPUTED_VALUE"""),"Missouri State")</f>
        <v>Missouri State</v>
      </c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</row>
    <row r="6627">
      <c r="A6627" s="4">
        <f>IFERROR(__xludf.DUMMYFUNCTION("""COMPUTED_VALUE"""),108.0)</f>
        <v>108</v>
      </c>
      <c r="B6627" s="4">
        <f>IFERROR(__xludf.DUMMYFUNCTION("""COMPUTED_VALUE"""),108.0)</f>
        <v>108</v>
      </c>
      <c r="C6627" s="4" t="str">
        <f>IFERROR(__xludf.DUMMYFUNCTION("""COMPUTED_VALUE"""),"BOS")</f>
        <v>BOS</v>
      </c>
      <c r="D6627" s="4" t="str">
        <f>IFERROR(__xludf.DUMMYFUNCTION("""COMPUTED_VALUE"""),"Bob Whitmore")</f>
        <v>Bob Whitmore</v>
      </c>
      <c r="E6627" s="4" t="str">
        <f>IFERROR(__xludf.DUMMYFUNCTION("""COMPUTED_VALUE"""),"Notre Dame")</f>
        <v>Notre Dame</v>
      </c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</row>
    <row r="6628">
      <c r="A6628" s="4">
        <f>IFERROR(__xludf.DUMMYFUNCTION("""COMPUTED_VALUE"""),109.0)</f>
        <v>109</v>
      </c>
      <c r="B6628" s="4">
        <f>IFERROR(__xludf.DUMMYFUNCTION("""COMPUTED_VALUE"""),109.0)</f>
        <v>109</v>
      </c>
      <c r="C6628" s="4" t="str">
        <f>IFERROR(__xludf.DUMMYFUNCTION("""COMPUTED_VALUE"""),"ATL")</f>
        <v>ATL</v>
      </c>
      <c r="D6628" s="4" t="str">
        <f>IFERROR(__xludf.DUMMYFUNCTION("""COMPUTED_VALUE"""),"Bob Christian")</f>
        <v>Bob Christian</v>
      </c>
      <c r="E6628" s="4" t="str">
        <f>IFERROR(__xludf.DUMMYFUNCTION("""COMPUTED_VALUE"""),"Grambling State University")</f>
        <v>Grambling State University</v>
      </c>
      <c r="F6628" s="4">
        <f>IFERROR(__xludf.DUMMYFUNCTION("""COMPUTED_VALUE"""),4.0)</f>
        <v>4</v>
      </c>
      <c r="G6628" s="4">
        <f>IFERROR(__xludf.DUMMYFUNCTION("""COMPUTED_VALUE"""),246.0)</f>
        <v>246</v>
      </c>
      <c r="H6628" s="4">
        <f>IFERROR(__xludf.DUMMYFUNCTION("""COMPUTED_VALUE"""),3012.0)</f>
        <v>3012</v>
      </c>
      <c r="I6628" s="4">
        <f>IFERROR(__xludf.DUMMYFUNCTION("""COMPUTED_VALUE"""),942.0)</f>
        <v>942</v>
      </c>
      <c r="J6628" s="4">
        <f>IFERROR(__xludf.DUMMYFUNCTION("""COMPUTED_VALUE"""),1002.0)</f>
        <v>1002</v>
      </c>
      <c r="K6628" s="4">
        <f>IFERROR(__xludf.DUMMYFUNCTION("""COMPUTED_VALUE"""),203.0)</f>
        <v>203</v>
      </c>
      <c r="L6628" s="4">
        <f>IFERROR(__xludf.DUMMYFUNCTION("""COMPUTED_VALUE"""),0.486)</f>
        <v>0.486</v>
      </c>
      <c r="M6628" s="4"/>
      <c r="N6628" s="4">
        <f>IFERROR(__xludf.DUMMYFUNCTION("""COMPUTED_VALUE"""),0.704)</f>
        <v>0.704</v>
      </c>
      <c r="O6628" s="4">
        <f>IFERROR(__xludf.DUMMYFUNCTION("""COMPUTED_VALUE"""),12.2)</f>
        <v>12.2</v>
      </c>
      <c r="P6628" s="4">
        <f>IFERROR(__xludf.DUMMYFUNCTION("""COMPUTED_VALUE"""),3.8)</f>
        <v>3.8</v>
      </c>
      <c r="Q6628" s="4">
        <f>IFERROR(__xludf.DUMMYFUNCTION("""COMPUTED_VALUE"""),4.1)</f>
        <v>4.1</v>
      </c>
      <c r="R6628" s="4">
        <f>IFERROR(__xludf.DUMMYFUNCTION("""COMPUTED_VALUE"""),0.8)</f>
        <v>0.8</v>
      </c>
      <c r="S6628" s="4">
        <f>IFERROR(__xludf.DUMMYFUNCTION("""COMPUTED_VALUE"""),5.7)</f>
        <v>5.7</v>
      </c>
      <c r="T6628" s="4">
        <f>IFERROR(__xludf.DUMMYFUNCTION("""COMPUTED_VALUE"""),0.091)</f>
        <v>0.091</v>
      </c>
      <c r="U6628" s="4">
        <f>IFERROR(__xludf.DUMMYFUNCTION("""COMPUTED_VALUE"""),-1.9)</f>
        <v>-1.9</v>
      </c>
      <c r="V6628" s="4">
        <f>IFERROR(__xludf.DUMMYFUNCTION("""COMPUTED_VALUE"""),0.0)</f>
        <v>0</v>
      </c>
    </row>
    <row r="6629">
      <c r="A6629" s="4">
        <f>IFERROR(__xludf.DUMMYFUNCTION("""COMPUTED_VALUE"""),110.0)</f>
        <v>110</v>
      </c>
      <c r="B6629" s="4">
        <f>IFERROR(__xludf.DUMMYFUNCTION("""COMPUTED_VALUE"""),110.0)</f>
        <v>110</v>
      </c>
      <c r="C6629" s="4" t="str">
        <f>IFERROR(__xludf.DUMMYFUNCTION("""COMPUTED_VALUE"""),"NYK")</f>
        <v>NYK</v>
      </c>
      <c r="D6629" s="4" t="str">
        <f>IFERROR(__xludf.DUMMYFUNCTION("""COMPUTED_VALUE"""),"Jim Healey")</f>
        <v>Jim Healey</v>
      </c>
      <c r="E6629" s="4" t="str">
        <f>IFERROR(__xludf.DUMMYFUNCTION("""COMPUTED_VALUE"""),"Rockhurst University")</f>
        <v>Rockhurst University</v>
      </c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</row>
    <row r="6630">
      <c r="A6630" s="4">
        <f>IFERROR(__xludf.DUMMYFUNCTION("""COMPUTED_VALUE"""),111.0)</f>
        <v>111</v>
      </c>
      <c r="B6630" s="4">
        <f>IFERROR(__xludf.DUMMYFUNCTION("""COMPUTED_VALUE"""),111.0)</f>
        <v>111</v>
      </c>
      <c r="C6630" s="4" t="str">
        <f>IFERROR(__xludf.DUMMYFUNCTION("""COMPUTED_VALUE"""),"LAL")</f>
        <v>LAL</v>
      </c>
      <c r="D6630" s="4" t="str">
        <f>IFERROR(__xludf.DUMMYFUNCTION("""COMPUTED_VALUE"""),"Joe Smith")</f>
        <v>Joe Smith</v>
      </c>
      <c r="E6630" s="4" t="str">
        <f>IFERROR(__xludf.DUMMYFUNCTION("""COMPUTED_VALUE"""),"Oklahoma State")</f>
        <v>Oklahoma State</v>
      </c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</row>
    <row r="6631">
      <c r="A6631" s="4">
        <f>IFERROR(__xludf.DUMMYFUNCTION("""COMPUTED_VALUE"""),112.0)</f>
        <v>112</v>
      </c>
      <c r="B6631" s="4">
        <f>IFERROR(__xludf.DUMMYFUNCTION("""COMPUTED_VALUE"""),112.0)</f>
        <v>112</v>
      </c>
      <c r="C6631" s="4" t="str">
        <f>IFERROR(__xludf.DUMMYFUNCTION("""COMPUTED_VALUE"""),"PHI")</f>
        <v>PHI</v>
      </c>
      <c r="D6631" s="4" t="str">
        <f>IFERROR(__xludf.DUMMYFUNCTION("""COMPUTED_VALUE"""),"Jim Bowles")</f>
        <v>Jim Bowles</v>
      </c>
      <c r="E6631" s="4" t="str">
        <f>IFERROR(__xludf.DUMMYFUNCTION("""COMPUTED_VALUE"""),"Trinity University")</f>
        <v>Trinity University</v>
      </c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</row>
    <row r="6632">
      <c r="A6632" s="4">
        <f>IFERROR(__xludf.DUMMYFUNCTION("""COMPUTED_VALUE"""),113.0)</f>
        <v>113</v>
      </c>
      <c r="B6632" s="4">
        <f>IFERROR(__xludf.DUMMYFUNCTION("""COMPUTED_VALUE"""),113.0)</f>
        <v>113</v>
      </c>
      <c r="C6632" s="4" t="str">
        <f>IFERROR(__xludf.DUMMYFUNCTION("""COMPUTED_VALUE"""),"BAL")</f>
        <v>BAL</v>
      </c>
      <c r="D6632" s="4" t="str">
        <f>IFERROR(__xludf.DUMMYFUNCTION("""COMPUTED_VALUE"""),"Barry White")</f>
        <v>Barry White</v>
      </c>
      <c r="E6632" s="4" t="str">
        <f>IFERROR(__xludf.DUMMYFUNCTION("""COMPUTED_VALUE"""),"Hofstra")</f>
        <v>Hofstra</v>
      </c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</row>
    <row r="6633">
      <c r="A6633" s="4"/>
      <c r="B6633" s="4"/>
      <c r="C6633" s="4"/>
      <c r="D6633" s="4" t="str">
        <f>IFERROR(__xludf.DUMMYFUNCTION("""COMPUTED_VALUE"""),"Round 9")</f>
        <v>Round 9</v>
      </c>
      <c r="E6633" s="4"/>
      <c r="F6633" s="4"/>
      <c r="G6633" s="4" t="str">
        <f>IFERROR(__xludf.DUMMYFUNCTION("""COMPUTED_VALUE"""),"Totals")</f>
        <v>Totals</v>
      </c>
      <c r="H6633" s="4"/>
      <c r="I6633" s="4"/>
      <c r="J6633" s="4"/>
      <c r="K6633" s="4"/>
      <c r="L6633" s="4" t="str">
        <f>IFERROR(__xludf.DUMMYFUNCTION("""COMPUTED_VALUE"""),"Shooting")</f>
        <v>Shooting</v>
      </c>
      <c r="M6633" s="4"/>
      <c r="N6633" s="4"/>
      <c r="O6633" s="4" t="str">
        <f>IFERROR(__xludf.DUMMYFUNCTION("""COMPUTED_VALUE"""),"Per Game")</f>
        <v>Per Game</v>
      </c>
      <c r="P6633" s="4"/>
      <c r="Q6633" s="4"/>
      <c r="R6633" s="4"/>
      <c r="S6633" s="4" t="str">
        <f>IFERROR(__xludf.DUMMYFUNCTION("""COMPUTED_VALUE"""),"Advanced")</f>
        <v>Advanced</v>
      </c>
      <c r="T6633" s="4"/>
      <c r="U6633" s="4"/>
      <c r="V6633" s="4"/>
    </row>
    <row r="6634">
      <c r="A6634" s="4" t="str">
        <f>IFERROR(__xludf.DUMMYFUNCTION("""COMPUTED_VALUE"""),"Rk")</f>
        <v>Rk</v>
      </c>
      <c r="B6634" s="4" t="str">
        <f>IFERROR(__xludf.DUMMYFUNCTION("""COMPUTED_VALUE"""),"Pk")</f>
        <v>Pk</v>
      </c>
      <c r="C6634" s="4" t="str">
        <f>IFERROR(__xludf.DUMMYFUNCTION("""COMPUTED_VALUE"""),"Tm")</f>
        <v>Tm</v>
      </c>
      <c r="D6634" s="4" t="str">
        <f>IFERROR(__xludf.DUMMYFUNCTION("""COMPUTED_VALUE"""),"Player")</f>
        <v>Player</v>
      </c>
      <c r="E6634" s="4" t="str">
        <f>IFERROR(__xludf.DUMMYFUNCTION("""COMPUTED_VALUE"""),"College")</f>
        <v>College</v>
      </c>
      <c r="F6634" s="4" t="str">
        <f>IFERROR(__xludf.DUMMYFUNCTION("""COMPUTED_VALUE"""),"Yrs")</f>
        <v>Yrs</v>
      </c>
      <c r="G6634" s="4" t="str">
        <f>IFERROR(__xludf.DUMMYFUNCTION("""COMPUTED_VALUE"""),"G")</f>
        <v>G</v>
      </c>
      <c r="H6634" s="4" t="str">
        <f>IFERROR(__xludf.DUMMYFUNCTION("""COMPUTED_VALUE"""),"MP")</f>
        <v>MP</v>
      </c>
      <c r="I6634" s="4" t="str">
        <f>IFERROR(__xludf.DUMMYFUNCTION("""COMPUTED_VALUE"""),"PTS")</f>
        <v>PTS</v>
      </c>
      <c r="J6634" s="4" t="str">
        <f>IFERROR(__xludf.DUMMYFUNCTION("""COMPUTED_VALUE"""),"TRB")</f>
        <v>TRB</v>
      </c>
      <c r="K6634" s="4" t="str">
        <f>IFERROR(__xludf.DUMMYFUNCTION("""COMPUTED_VALUE"""),"AST")</f>
        <v>AST</v>
      </c>
      <c r="L6634" s="4" t="str">
        <f>IFERROR(__xludf.DUMMYFUNCTION("""COMPUTED_VALUE"""),"FG%")</f>
        <v>FG%</v>
      </c>
      <c r="M6634" s="4" t="str">
        <f>IFERROR(__xludf.DUMMYFUNCTION("""COMPUTED_VALUE"""),"3P%")</f>
        <v>3P%</v>
      </c>
      <c r="N6634" s="4" t="str">
        <f>IFERROR(__xludf.DUMMYFUNCTION("""COMPUTED_VALUE"""),"FT%")</f>
        <v>FT%</v>
      </c>
      <c r="O6634" s="4" t="str">
        <f>IFERROR(__xludf.DUMMYFUNCTION("""COMPUTED_VALUE"""),"MP")</f>
        <v>MP</v>
      </c>
      <c r="P6634" s="4" t="str">
        <f>IFERROR(__xludf.DUMMYFUNCTION("""COMPUTED_VALUE"""),"PTS")</f>
        <v>PTS</v>
      </c>
      <c r="Q6634" s="4" t="str">
        <f>IFERROR(__xludf.DUMMYFUNCTION("""COMPUTED_VALUE"""),"TRB")</f>
        <v>TRB</v>
      </c>
      <c r="R6634" s="4" t="str">
        <f>IFERROR(__xludf.DUMMYFUNCTION("""COMPUTED_VALUE"""),"AST")</f>
        <v>AST</v>
      </c>
      <c r="S6634" s="4" t="str">
        <f>IFERROR(__xludf.DUMMYFUNCTION("""COMPUTED_VALUE"""),"WS")</f>
        <v>WS</v>
      </c>
      <c r="T6634" s="4" t="str">
        <f>IFERROR(__xludf.DUMMYFUNCTION("""COMPUTED_VALUE"""),"WS/48")</f>
        <v>WS/48</v>
      </c>
      <c r="U6634" s="4" t="str">
        <f>IFERROR(__xludf.DUMMYFUNCTION("""COMPUTED_VALUE"""),"BPM")</f>
        <v>BPM</v>
      </c>
      <c r="V6634" s="4" t="str">
        <f>IFERROR(__xludf.DUMMYFUNCTION("""COMPUTED_VALUE"""),"VORP")</f>
        <v>VORP</v>
      </c>
    </row>
    <row r="6635">
      <c r="A6635" s="4">
        <f>IFERROR(__xludf.DUMMYFUNCTION("""COMPUTED_VALUE"""),114.0)</f>
        <v>114</v>
      </c>
      <c r="B6635" s="4">
        <f>IFERROR(__xludf.DUMMYFUNCTION("""COMPUTED_VALUE"""),114.0)</f>
        <v>114</v>
      </c>
      <c r="C6635" s="4" t="str">
        <f>IFERROR(__xludf.DUMMYFUNCTION("""COMPUTED_VALUE"""),"PHO")</f>
        <v>PHO</v>
      </c>
      <c r="D6635" s="4" t="str">
        <f>IFERROR(__xludf.DUMMYFUNCTION("""COMPUTED_VALUE"""),"Steve Jennings")</f>
        <v>Steve Jennings</v>
      </c>
      <c r="E6635" s="4" t="str">
        <f>IFERROR(__xludf.DUMMYFUNCTION("""COMPUTED_VALUE"""),"USC")</f>
        <v>USC</v>
      </c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</row>
    <row r="6636">
      <c r="A6636" s="4">
        <f>IFERROR(__xludf.DUMMYFUNCTION("""COMPUTED_VALUE"""),115.0)</f>
        <v>115</v>
      </c>
      <c r="B6636" s="4">
        <f>IFERROR(__xludf.DUMMYFUNCTION("""COMPUTED_VALUE"""),115.0)</f>
        <v>115</v>
      </c>
      <c r="C6636" s="4" t="str">
        <f>IFERROR(__xludf.DUMMYFUNCTION("""COMPUTED_VALUE"""),"MIL")</f>
        <v>MIL</v>
      </c>
      <c r="D6636" s="4" t="str">
        <f>IFERROR(__xludf.DUMMYFUNCTION("""COMPUTED_VALUE"""),"Jim Satalin")</f>
        <v>Jim Satalin</v>
      </c>
      <c r="E6636" s="4" t="str">
        <f>IFERROR(__xludf.DUMMYFUNCTION("""COMPUTED_VALUE"""),"St. Bonaventure")</f>
        <v>St. Bonaventure</v>
      </c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</row>
    <row r="6637">
      <c r="A6637" s="4">
        <f>IFERROR(__xludf.DUMMYFUNCTION("""COMPUTED_VALUE"""),116.0)</f>
        <v>116</v>
      </c>
      <c r="B6637" s="4">
        <f>IFERROR(__xludf.DUMMYFUNCTION("""COMPUTED_VALUE"""),116.0)</f>
        <v>116</v>
      </c>
      <c r="C6637" s="4" t="str">
        <f>IFERROR(__xludf.DUMMYFUNCTION("""COMPUTED_VALUE"""),"SEA")</f>
        <v>SEA</v>
      </c>
      <c r="D6637" s="4" t="str">
        <f>IFERROR(__xludf.DUMMYFUNCTION("""COMPUTED_VALUE"""),"Vince Fritz")</f>
        <v>Vince Fritz</v>
      </c>
      <c r="E6637" s="4" t="str">
        <f>IFERROR(__xludf.DUMMYFUNCTION("""COMPUTED_VALUE"""),"Oregon State")</f>
        <v>Oregon State</v>
      </c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</row>
    <row r="6638">
      <c r="A6638" s="4">
        <f>IFERROR(__xludf.DUMMYFUNCTION("""COMPUTED_VALUE"""),117.0)</f>
        <v>117</v>
      </c>
      <c r="B6638" s="4">
        <f>IFERROR(__xludf.DUMMYFUNCTION("""COMPUTED_VALUE"""),117.0)</f>
        <v>117</v>
      </c>
      <c r="C6638" s="4" t="str">
        <f>IFERROR(__xludf.DUMMYFUNCTION("""COMPUTED_VALUE"""),"DET")</f>
        <v>DET</v>
      </c>
      <c r="D6638" s="4" t="str">
        <f>IFERROR(__xludf.DUMMYFUNCTION("""COMPUTED_VALUE"""),"George Reynolds")</f>
        <v>George Reynolds</v>
      </c>
      <c r="E6638" s="4" t="str">
        <f>IFERROR(__xludf.DUMMYFUNCTION("""COMPUTED_VALUE"""),"Houston")</f>
        <v>Houston</v>
      </c>
      <c r="F6638" s="4">
        <f>IFERROR(__xludf.DUMMYFUNCTION("""COMPUTED_VALUE"""),1.0)</f>
        <v>1</v>
      </c>
      <c r="G6638" s="4">
        <f>IFERROR(__xludf.DUMMYFUNCTION("""COMPUTED_VALUE"""),10.0)</f>
        <v>10</v>
      </c>
      <c r="H6638" s="4">
        <f>IFERROR(__xludf.DUMMYFUNCTION("""COMPUTED_VALUE"""),44.0)</f>
        <v>44</v>
      </c>
      <c r="I6638" s="4">
        <f>IFERROR(__xludf.DUMMYFUNCTION("""COMPUTED_VALUE"""),21.0)</f>
        <v>21</v>
      </c>
      <c r="J6638" s="4">
        <f>IFERROR(__xludf.DUMMYFUNCTION("""COMPUTED_VALUE"""),14.0)</f>
        <v>14</v>
      </c>
      <c r="K6638" s="4">
        <f>IFERROR(__xludf.DUMMYFUNCTION("""COMPUTED_VALUE"""),12.0)</f>
        <v>12</v>
      </c>
      <c r="L6638" s="4">
        <f>IFERROR(__xludf.DUMMYFUNCTION("""COMPUTED_VALUE"""),0.421)</f>
        <v>0.421</v>
      </c>
      <c r="M6638" s="4"/>
      <c r="N6638" s="4">
        <f>IFERROR(__xludf.DUMMYFUNCTION("""COMPUTED_VALUE"""),0.714)</f>
        <v>0.714</v>
      </c>
      <c r="O6638" s="4">
        <f>IFERROR(__xludf.DUMMYFUNCTION("""COMPUTED_VALUE"""),4.4)</f>
        <v>4.4</v>
      </c>
      <c r="P6638" s="4">
        <f>IFERROR(__xludf.DUMMYFUNCTION("""COMPUTED_VALUE"""),2.1)</f>
        <v>2.1</v>
      </c>
      <c r="Q6638" s="4">
        <f>IFERROR(__xludf.DUMMYFUNCTION("""COMPUTED_VALUE"""),1.4)</f>
        <v>1.4</v>
      </c>
      <c r="R6638" s="4">
        <f>IFERROR(__xludf.DUMMYFUNCTION("""COMPUTED_VALUE"""),1.2)</f>
        <v>1.2</v>
      </c>
      <c r="S6638" s="4">
        <f>IFERROR(__xludf.DUMMYFUNCTION("""COMPUTED_VALUE"""),0.1)</f>
        <v>0.1</v>
      </c>
      <c r="T6638" s="4">
        <f>IFERROR(__xludf.DUMMYFUNCTION("""COMPUTED_VALUE"""),0.055)</f>
        <v>0.055</v>
      </c>
      <c r="U6638" s="4"/>
      <c r="V6638" s="4"/>
    </row>
    <row r="6639">
      <c r="A6639" s="4">
        <f>IFERROR(__xludf.DUMMYFUNCTION("""COMPUTED_VALUE"""),118.0)</f>
        <v>118</v>
      </c>
      <c r="B6639" s="4">
        <f>IFERROR(__xludf.DUMMYFUNCTION("""COMPUTED_VALUE"""),118.0)</f>
        <v>118</v>
      </c>
      <c r="C6639" s="4" t="str">
        <f>IFERROR(__xludf.DUMMYFUNCTION("""COMPUTED_VALUE"""),"CHI")</f>
        <v>CHI</v>
      </c>
      <c r="D6639" s="4" t="str">
        <f>IFERROR(__xludf.DUMMYFUNCTION("""COMPUTED_VALUE"""),"Sterling Burke")</f>
        <v>Sterling Burke</v>
      </c>
      <c r="E6639" s="4" t="str">
        <f>IFERROR(__xludf.DUMMYFUNCTION("""COMPUTED_VALUE"""),"Northwestern")</f>
        <v>Northwestern</v>
      </c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</row>
    <row r="6640">
      <c r="A6640" s="4">
        <f>IFERROR(__xludf.DUMMYFUNCTION("""COMPUTED_VALUE"""),119.0)</f>
        <v>119</v>
      </c>
      <c r="B6640" s="4">
        <f>IFERROR(__xludf.DUMMYFUNCTION("""COMPUTED_VALUE"""),119.0)</f>
        <v>119</v>
      </c>
      <c r="C6640" s="4" t="str">
        <f>IFERROR(__xludf.DUMMYFUNCTION("""COMPUTED_VALUE"""),"SDR")</f>
        <v>SDR</v>
      </c>
      <c r="D6640" s="4" t="str">
        <f>IFERROR(__xludf.DUMMYFUNCTION("""COMPUTED_VALUE"""),"Larry Cheatham")</f>
        <v>Larry Cheatham</v>
      </c>
      <c r="E6640" s="4" t="str">
        <f>IFERROR(__xludf.DUMMYFUNCTION("""COMPUTED_VALUE"""),"Tulsa")</f>
        <v>Tulsa</v>
      </c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</row>
    <row r="6641">
      <c r="A6641" s="4">
        <f>IFERROR(__xludf.DUMMYFUNCTION("""COMPUTED_VALUE"""),120.0)</f>
        <v>120</v>
      </c>
      <c r="B6641" s="4">
        <f>IFERROR(__xludf.DUMMYFUNCTION("""COMPUTED_VALUE"""),120.0)</f>
        <v>120</v>
      </c>
      <c r="C6641" s="4" t="str">
        <f>IFERROR(__xludf.DUMMYFUNCTION("""COMPUTED_VALUE"""),"SFW")</f>
        <v>SFW</v>
      </c>
      <c r="D6641" s="4" t="str">
        <f>IFERROR(__xludf.DUMMYFUNCTION("""COMPUTED_VALUE"""),"Greg Reed")</f>
        <v>Greg Reed</v>
      </c>
      <c r="E6641" s="4" t="str">
        <f>IFERROR(__xludf.DUMMYFUNCTION("""COMPUTED_VALUE"""),"Sacramento State")</f>
        <v>Sacramento State</v>
      </c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</row>
    <row r="6642">
      <c r="A6642" s="4">
        <f>IFERROR(__xludf.DUMMYFUNCTION("""COMPUTED_VALUE"""),121.0)</f>
        <v>121</v>
      </c>
      <c r="B6642" s="4">
        <f>IFERROR(__xludf.DUMMYFUNCTION("""COMPUTED_VALUE"""),121.0)</f>
        <v>121</v>
      </c>
      <c r="C6642" s="4" t="str">
        <f>IFERROR(__xludf.DUMMYFUNCTION("""COMPUTED_VALUE"""),"CIN")</f>
        <v>CIN</v>
      </c>
      <c r="D6642" s="4" t="str">
        <f>IFERROR(__xludf.DUMMYFUNCTION("""COMPUTED_VALUE"""),"James Hurley")</f>
        <v>James Hurley</v>
      </c>
      <c r="E6642" s="4" t="str">
        <f>IFERROR(__xludf.DUMMYFUNCTION("""COMPUTED_VALUE"""),"Transylvania University")</f>
        <v>Transylvania University</v>
      </c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</row>
    <row r="6643">
      <c r="A6643" s="4">
        <f>IFERROR(__xludf.DUMMYFUNCTION("""COMPUTED_VALUE"""),122.0)</f>
        <v>122</v>
      </c>
      <c r="B6643" s="4">
        <f>IFERROR(__xludf.DUMMYFUNCTION("""COMPUTED_VALUE"""),122.0)</f>
        <v>122</v>
      </c>
      <c r="C6643" s="4" t="str">
        <f>IFERROR(__xludf.DUMMYFUNCTION("""COMPUTED_VALUE"""),"BOS")</f>
        <v>BOS</v>
      </c>
      <c r="D6643" s="4" t="str">
        <f>IFERROR(__xludf.DUMMYFUNCTION("""COMPUTED_VALUE"""),"Gordon Smith")</f>
        <v>Gordon Smith</v>
      </c>
      <c r="E6643" s="4" t="str">
        <f>IFERROR(__xludf.DUMMYFUNCTION("""COMPUTED_VALUE"""),"Cincinnati")</f>
        <v>Cincinnati</v>
      </c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</row>
    <row r="6644">
      <c r="A6644" s="4">
        <f>IFERROR(__xludf.DUMMYFUNCTION("""COMPUTED_VALUE"""),123.0)</f>
        <v>123</v>
      </c>
      <c r="B6644" s="4">
        <f>IFERROR(__xludf.DUMMYFUNCTION("""COMPUTED_VALUE"""),123.0)</f>
        <v>123</v>
      </c>
      <c r="C6644" s="4" t="str">
        <f>IFERROR(__xludf.DUMMYFUNCTION("""COMPUTED_VALUE"""),"ATL")</f>
        <v>ATL</v>
      </c>
      <c r="D6644" s="4" t="str">
        <f>IFERROR(__xludf.DUMMYFUNCTION("""COMPUTED_VALUE"""),"Pete Gayeska")</f>
        <v>Pete Gayeska</v>
      </c>
      <c r="E6644" s="4" t="str">
        <f>IFERROR(__xludf.DUMMYFUNCTION("""COMPUTED_VALUE"""),"UMass")</f>
        <v>UMass</v>
      </c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</row>
    <row r="6645">
      <c r="A6645" s="4">
        <f>IFERROR(__xludf.DUMMYFUNCTION("""COMPUTED_VALUE"""),124.0)</f>
        <v>124</v>
      </c>
      <c r="B6645" s="4">
        <f>IFERROR(__xludf.DUMMYFUNCTION("""COMPUTED_VALUE"""),124.0)</f>
        <v>124</v>
      </c>
      <c r="C6645" s="4" t="str">
        <f>IFERROR(__xludf.DUMMYFUNCTION("""COMPUTED_VALUE"""),"NYK")</f>
        <v>NYK</v>
      </c>
      <c r="D6645" s="4" t="str">
        <f>IFERROR(__xludf.DUMMYFUNCTION("""COMPUTED_VALUE"""),"Roger Walaszek")</f>
        <v>Roger Walaszek</v>
      </c>
      <c r="E6645" s="4" t="str">
        <f>IFERROR(__xludf.DUMMYFUNCTION("""COMPUTED_VALUE"""),"Columbia University")</f>
        <v>Columbia University</v>
      </c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</row>
    <row r="6646">
      <c r="A6646" s="4">
        <f>IFERROR(__xludf.DUMMYFUNCTION("""COMPUTED_VALUE"""),125.0)</f>
        <v>125</v>
      </c>
      <c r="B6646" s="4">
        <f>IFERROR(__xludf.DUMMYFUNCTION("""COMPUTED_VALUE"""),125.0)</f>
        <v>125</v>
      </c>
      <c r="C6646" s="4" t="str">
        <f>IFERROR(__xludf.DUMMYFUNCTION("""COMPUTED_VALUE"""),"LAL")</f>
        <v>LAL</v>
      </c>
      <c r="D6646" s="4" t="str">
        <f>IFERROR(__xludf.DUMMYFUNCTION("""COMPUTED_VALUE"""),"Jim Smith")</f>
        <v>Jim Smith</v>
      </c>
      <c r="E6646" s="4" t="str">
        <f>IFERROR(__xludf.DUMMYFUNCTION("""COMPUTED_VALUE"""),"Northern Illinois")</f>
        <v>Northern Illinois</v>
      </c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</row>
    <row r="6647">
      <c r="A6647" s="4">
        <f>IFERROR(__xludf.DUMMYFUNCTION("""COMPUTED_VALUE"""),126.0)</f>
        <v>126</v>
      </c>
      <c r="B6647" s="4">
        <f>IFERROR(__xludf.DUMMYFUNCTION("""COMPUTED_VALUE"""),126.0)</f>
        <v>126</v>
      </c>
      <c r="C6647" s="4" t="str">
        <f>IFERROR(__xludf.DUMMYFUNCTION("""COMPUTED_VALUE"""),"PHI")</f>
        <v>PHI</v>
      </c>
      <c r="D6647" s="4" t="str">
        <f>IFERROR(__xludf.DUMMYFUNCTION("""COMPUTED_VALUE"""),"Larry Lewis")</f>
        <v>Larry Lewis</v>
      </c>
      <c r="E6647" s="4" t="str">
        <f>IFERROR(__xludf.DUMMYFUNCTION("""COMPUTED_VALUE"""),"Saint Francis University")</f>
        <v>Saint Francis University</v>
      </c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</row>
    <row r="6648">
      <c r="A6648" s="4">
        <f>IFERROR(__xludf.DUMMYFUNCTION("""COMPUTED_VALUE"""),127.0)</f>
        <v>127</v>
      </c>
      <c r="B6648" s="4">
        <f>IFERROR(__xludf.DUMMYFUNCTION("""COMPUTED_VALUE"""),127.0)</f>
        <v>127</v>
      </c>
      <c r="C6648" s="4" t="str">
        <f>IFERROR(__xludf.DUMMYFUNCTION("""COMPUTED_VALUE"""),"BAL")</f>
        <v>BAL</v>
      </c>
      <c r="D6648" s="4" t="str">
        <f>IFERROR(__xludf.DUMMYFUNCTION("""COMPUTED_VALUE"""),"Gary Major")</f>
        <v>Gary Major</v>
      </c>
      <c r="E6648" s="4" t="str">
        <f>IFERROR(__xludf.DUMMYFUNCTION("""COMPUTED_VALUE"""),"Duquesne")</f>
        <v>Duquesne</v>
      </c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</row>
    <row r="6649">
      <c r="A6649" s="4"/>
      <c r="B6649" s="4"/>
      <c r="C6649" s="4"/>
      <c r="D6649" s="4" t="str">
        <f>IFERROR(__xludf.DUMMYFUNCTION("""COMPUTED_VALUE"""),"Round 10")</f>
        <v>Round 10</v>
      </c>
      <c r="E6649" s="4"/>
      <c r="F6649" s="4"/>
      <c r="G6649" s="4" t="str">
        <f>IFERROR(__xludf.DUMMYFUNCTION("""COMPUTED_VALUE"""),"Totals")</f>
        <v>Totals</v>
      </c>
      <c r="H6649" s="4"/>
      <c r="I6649" s="4"/>
      <c r="J6649" s="4"/>
      <c r="K6649" s="4"/>
      <c r="L6649" s="4" t="str">
        <f>IFERROR(__xludf.DUMMYFUNCTION("""COMPUTED_VALUE"""),"Shooting")</f>
        <v>Shooting</v>
      </c>
      <c r="M6649" s="4"/>
      <c r="N6649" s="4"/>
      <c r="O6649" s="4" t="str">
        <f>IFERROR(__xludf.DUMMYFUNCTION("""COMPUTED_VALUE"""),"Per Game")</f>
        <v>Per Game</v>
      </c>
      <c r="P6649" s="4"/>
      <c r="Q6649" s="4"/>
      <c r="R6649" s="4"/>
      <c r="S6649" s="4" t="str">
        <f>IFERROR(__xludf.DUMMYFUNCTION("""COMPUTED_VALUE"""),"Advanced")</f>
        <v>Advanced</v>
      </c>
      <c r="T6649" s="4"/>
      <c r="U6649" s="4"/>
      <c r="V6649" s="4"/>
    </row>
    <row r="6650">
      <c r="A6650" s="4" t="str">
        <f>IFERROR(__xludf.DUMMYFUNCTION("""COMPUTED_VALUE"""),"Rk")</f>
        <v>Rk</v>
      </c>
      <c r="B6650" s="4" t="str">
        <f>IFERROR(__xludf.DUMMYFUNCTION("""COMPUTED_VALUE"""),"Pk")</f>
        <v>Pk</v>
      </c>
      <c r="C6650" s="4" t="str">
        <f>IFERROR(__xludf.DUMMYFUNCTION("""COMPUTED_VALUE"""),"Tm")</f>
        <v>Tm</v>
      </c>
      <c r="D6650" s="4" t="str">
        <f>IFERROR(__xludf.DUMMYFUNCTION("""COMPUTED_VALUE"""),"Player")</f>
        <v>Player</v>
      </c>
      <c r="E6650" s="4" t="str">
        <f>IFERROR(__xludf.DUMMYFUNCTION("""COMPUTED_VALUE"""),"College")</f>
        <v>College</v>
      </c>
      <c r="F6650" s="4" t="str">
        <f>IFERROR(__xludf.DUMMYFUNCTION("""COMPUTED_VALUE"""),"Yrs")</f>
        <v>Yrs</v>
      </c>
      <c r="G6650" s="4" t="str">
        <f>IFERROR(__xludf.DUMMYFUNCTION("""COMPUTED_VALUE"""),"G")</f>
        <v>G</v>
      </c>
      <c r="H6650" s="4" t="str">
        <f>IFERROR(__xludf.DUMMYFUNCTION("""COMPUTED_VALUE"""),"MP")</f>
        <v>MP</v>
      </c>
      <c r="I6650" s="4" t="str">
        <f>IFERROR(__xludf.DUMMYFUNCTION("""COMPUTED_VALUE"""),"PTS")</f>
        <v>PTS</v>
      </c>
      <c r="J6650" s="4" t="str">
        <f>IFERROR(__xludf.DUMMYFUNCTION("""COMPUTED_VALUE"""),"TRB")</f>
        <v>TRB</v>
      </c>
      <c r="K6650" s="4" t="str">
        <f>IFERROR(__xludf.DUMMYFUNCTION("""COMPUTED_VALUE"""),"AST")</f>
        <v>AST</v>
      </c>
      <c r="L6650" s="4" t="str">
        <f>IFERROR(__xludf.DUMMYFUNCTION("""COMPUTED_VALUE"""),"FG%")</f>
        <v>FG%</v>
      </c>
      <c r="M6650" s="4" t="str">
        <f>IFERROR(__xludf.DUMMYFUNCTION("""COMPUTED_VALUE"""),"3P%")</f>
        <v>3P%</v>
      </c>
      <c r="N6650" s="4" t="str">
        <f>IFERROR(__xludf.DUMMYFUNCTION("""COMPUTED_VALUE"""),"FT%")</f>
        <v>FT%</v>
      </c>
      <c r="O6650" s="4" t="str">
        <f>IFERROR(__xludf.DUMMYFUNCTION("""COMPUTED_VALUE"""),"MP")</f>
        <v>MP</v>
      </c>
      <c r="P6650" s="4" t="str">
        <f>IFERROR(__xludf.DUMMYFUNCTION("""COMPUTED_VALUE"""),"PTS")</f>
        <v>PTS</v>
      </c>
      <c r="Q6650" s="4" t="str">
        <f>IFERROR(__xludf.DUMMYFUNCTION("""COMPUTED_VALUE"""),"TRB")</f>
        <v>TRB</v>
      </c>
      <c r="R6650" s="4" t="str">
        <f>IFERROR(__xludf.DUMMYFUNCTION("""COMPUTED_VALUE"""),"AST")</f>
        <v>AST</v>
      </c>
      <c r="S6650" s="4" t="str">
        <f>IFERROR(__xludf.DUMMYFUNCTION("""COMPUTED_VALUE"""),"WS")</f>
        <v>WS</v>
      </c>
      <c r="T6650" s="4" t="str">
        <f>IFERROR(__xludf.DUMMYFUNCTION("""COMPUTED_VALUE"""),"WS/48")</f>
        <v>WS/48</v>
      </c>
      <c r="U6650" s="4" t="str">
        <f>IFERROR(__xludf.DUMMYFUNCTION("""COMPUTED_VALUE"""),"BPM")</f>
        <v>BPM</v>
      </c>
      <c r="V6650" s="4" t="str">
        <f>IFERROR(__xludf.DUMMYFUNCTION("""COMPUTED_VALUE"""),"VORP")</f>
        <v>VORP</v>
      </c>
    </row>
    <row r="6651">
      <c r="A6651" s="4">
        <f>IFERROR(__xludf.DUMMYFUNCTION("""COMPUTED_VALUE"""),128.0)</f>
        <v>128</v>
      </c>
      <c r="B6651" s="4">
        <f>IFERROR(__xludf.DUMMYFUNCTION("""COMPUTED_VALUE"""),128.0)</f>
        <v>128</v>
      </c>
      <c r="C6651" s="4" t="str">
        <f>IFERROR(__xludf.DUMMYFUNCTION("""COMPUTED_VALUE"""),"PHO")</f>
        <v>PHO</v>
      </c>
      <c r="D6651" s="4" t="str">
        <f>IFERROR(__xludf.DUMMYFUNCTION("""COMPUTED_VALUE"""),"Rick Abrahamson")</f>
        <v>Rick Abrahamson</v>
      </c>
      <c r="E6651" s="4" t="str">
        <f>IFERROR(__xludf.DUMMYFUNCTION("""COMPUTED_VALUE"""),"Oregon")</f>
        <v>Oregon</v>
      </c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</row>
    <row r="6652">
      <c r="A6652" s="4">
        <f>IFERROR(__xludf.DUMMYFUNCTION("""COMPUTED_VALUE"""),129.0)</f>
        <v>129</v>
      </c>
      <c r="B6652" s="4">
        <f>IFERROR(__xludf.DUMMYFUNCTION("""COMPUTED_VALUE"""),129.0)</f>
        <v>129</v>
      </c>
      <c r="C6652" s="4" t="str">
        <f>IFERROR(__xludf.DUMMYFUNCTION("""COMPUTED_VALUE"""),"MIL")</f>
        <v>MIL</v>
      </c>
      <c r="D6652" s="4" t="str">
        <f>IFERROR(__xludf.DUMMYFUNCTION("""COMPUTED_VALUE"""),"Willie Brown")</f>
        <v>Willie Brown</v>
      </c>
      <c r="E6652" s="4" t="str">
        <f>IFERROR(__xludf.DUMMYFUNCTION("""COMPUTED_VALUE"""),"Middle Tennessee")</f>
        <v>Middle Tennessee</v>
      </c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</row>
    <row r="6653">
      <c r="A6653" s="4">
        <f>IFERROR(__xludf.DUMMYFUNCTION("""COMPUTED_VALUE"""),130.0)</f>
        <v>130</v>
      </c>
      <c r="B6653" s="4">
        <f>IFERROR(__xludf.DUMMYFUNCTION("""COMPUTED_VALUE"""),130.0)</f>
        <v>130</v>
      </c>
      <c r="C6653" s="4" t="str">
        <f>IFERROR(__xludf.DUMMYFUNCTION("""COMPUTED_VALUE"""),"SEA")</f>
        <v>SEA</v>
      </c>
      <c r="D6653" s="4" t="str">
        <f>IFERROR(__xludf.DUMMYFUNCTION("""COMPUTED_VALUE"""),"Al Cueto")</f>
        <v>Al Cueto</v>
      </c>
      <c r="E6653" s="4" t="str">
        <f>IFERROR(__xludf.DUMMYFUNCTION("""COMPUTED_VALUE"""),"Tulsa")</f>
        <v>Tulsa</v>
      </c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</row>
    <row r="6654">
      <c r="A6654" s="4">
        <f>IFERROR(__xludf.DUMMYFUNCTION("""COMPUTED_VALUE"""),131.0)</f>
        <v>131</v>
      </c>
      <c r="B6654" s="4">
        <f>IFERROR(__xludf.DUMMYFUNCTION("""COMPUTED_VALUE"""),131.0)</f>
        <v>131</v>
      </c>
      <c r="C6654" s="4" t="str">
        <f>IFERROR(__xludf.DUMMYFUNCTION("""COMPUTED_VALUE"""),"DET")</f>
        <v>DET</v>
      </c>
      <c r="D6654" s="4" t="str">
        <f>IFERROR(__xludf.DUMMYFUNCTION("""COMPUTED_VALUE"""),"Bill English")</f>
        <v>Bill English</v>
      </c>
      <c r="E6654" s="4" t="str">
        <f>IFERROR(__xludf.DUMMYFUNCTION("""COMPUTED_VALUE"""),"Winston-Salem State")</f>
        <v>Winston-Salem State</v>
      </c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</row>
    <row r="6655">
      <c r="A6655" s="4">
        <f>IFERROR(__xludf.DUMMYFUNCTION("""COMPUTED_VALUE"""),132.0)</f>
        <v>132</v>
      </c>
      <c r="B6655" s="4">
        <f>IFERROR(__xludf.DUMMYFUNCTION("""COMPUTED_VALUE"""),132.0)</f>
        <v>132</v>
      </c>
      <c r="C6655" s="4" t="str">
        <f>IFERROR(__xludf.DUMMYFUNCTION("""COMPUTED_VALUE"""),"CHI")</f>
        <v>CHI</v>
      </c>
      <c r="D6655" s="4" t="str">
        <f>IFERROR(__xludf.DUMMYFUNCTION("""COMPUTED_VALUE"""),"Al Smith")</f>
        <v>Al Smith</v>
      </c>
      <c r="E6655" s="4" t="str">
        <f>IFERROR(__xludf.DUMMYFUNCTION("""COMPUTED_VALUE"""),"Bradley")</f>
        <v>Bradley</v>
      </c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</row>
    <row r="6656">
      <c r="A6656" s="4">
        <f>IFERROR(__xludf.DUMMYFUNCTION("""COMPUTED_VALUE"""),133.0)</f>
        <v>133</v>
      </c>
      <c r="B6656" s="4">
        <f>IFERROR(__xludf.DUMMYFUNCTION("""COMPUTED_VALUE"""),133.0)</f>
        <v>133</v>
      </c>
      <c r="C6656" s="4" t="str">
        <f>IFERROR(__xludf.DUMMYFUNCTION("""COMPUTED_VALUE"""),"SDR")</f>
        <v>SDR</v>
      </c>
      <c r="D6656" s="4" t="str">
        <f>IFERROR(__xludf.DUMMYFUNCTION("""COMPUTED_VALUE"""),"Lee Sims")</f>
        <v>Lee Sims</v>
      </c>
      <c r="E6656" s="4" t="str">
        <f>IFERROR(__xludf.DUMMYFUNCTION("""COMPUTED_VALUE"""),"Ashland University")</f>
        <v>Ashland University</v>
      </c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</row>
    <row r="6657">
      <c r="A6657" s="4">
        <f>IFERROR(__xludf.DUMMYFUNCTION("""COMPUTED_VALUE"""),134.0)</f>
        <v>134</v>
      </c>
      <c r="B6657" s="4">
        <f>IFERROR(__xludf.DUMMYFUNCTION("""COMPUTED_VALUE"""),134.0)</f>
        <v>134</v>
      </c>
      <c r="C6657" s="4" t="str">
        <f>IFERROR(__xludf.DUMMYFUNCTION("""COMPUTED_VALUE"""),"SFW")</f>
        <v>SFW</v>
      </c>
      <c r="D6657" s="4" t="str">
        <f>IFERROR(__xludf.DUMMYFUNCTION("""COMPUTED_VALUE"""),"Girard Chatman")</f>
        <v>Girard Chatman</v>
      </c>
      <c r="E6657" s="4" t="str">
        <f>IFERROR(__xludf.DUMMYFUNCTION("""COMPUTED_VALUE"""),"San Francisco State University")</f>
        <v>San Francisco State University</v>
      </c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</row>
    <row r="6658">
      <c r="A6658" s="4">
        <f>IFERROR(__xludf.DUMMYFUNCTION("""COMPUTED_VALUE"""),135.0)</f>
        <v>135</v>
      </c>
      <c r="B6658" s="4">
        <f>IFERROR(__xludf.DUMMYFUNCTION("""COMPUTED_VALUE"""),135.0)</f>
        <v>135</v>
      </c>
      <c r="C6658" s="4" t="str">
        <f>IFERROR(__xludf.DUMMYFUNCTION("""COMPUTED_VALUE"""),"CIN")</f>
        <v>CIN</v>
      </c>
      <c r="D6658" s="4" t="str">
        <f>IFERROR(__xludf.DUMMYFUNCTION("""COMPUTED_VALUE"""),"Bill Bowes")</f>
        <v>Bill Bowes</v>
      </c>
      <c r="E6658" s="4" t="str">
        <f>IFERROR(__xludf.DUMMYFUNCTION("""COMPUTED_VALUE"""),"Elon University")</f>
        <v>Elon University</v>
      </c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</row>
    <row r="6659">
      <c r="A6659" s="4">
        <f>IFERROR(__xludf.DUMMYFUNCTION("""COMPUTED_VALUE"""),136.0)</f>
        <v>136</v>
      </c>
      <c r="B6659" s="4">
        <f>IFERROR(__xludf.DUMMYFUNCTION("""COMPUTED_VALUE"""),136.0)</f>
        <v>136</v>
      </c>
      <c r="C6659" s="4" t="str">
        <f>IFERROR(__xludf.DUMMYFUNCTION("""COMPUTED_VALUE"""),"BOS")</f>
        <v>BOS</v>
      </c>
      <c r="D6659" s="4" t="str">
        <f>IFERROR(__xludf.DUMMYFUNCTION("""COMPUTED_VALUE"""),"Jim Picka")</f>
        <v>Jim Picka</v>
      </c>
      <c r="E6659" s="4" t="str">
        <f>IFERROR(__xludf.DUMMYFUNCTION("""COMPUTED_VALUE"""),"High Point University")</f>
        <v>High Point University</v>
      </c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</row>
    <row r="6660">
      <c r="A6660" s="4">
        <f>IFERROR(__xludf.DUMMYFUNCTION("""COMPUTED_VALUE"""),137.0)</f>
        <v>137</v>
      </c>
      <c r="B6660" s="4">
        <f>IFERROR(__xludf.DUMMYFUNCTION("""COMPUTED_VALUE"""),137.0)</f>
        <v>137</v>
      </c>
      <c r="C6660" s="4" t="str">
        <f>IFERROR(__xludf.DUMMYFUNCTION("""COMPUTED_VALUE"""),"ATL")</f>
        <v>ATL</v>
      </c>
      <c r="D6660" s="4" t="str">
        <f>IFERROR(__xludf.DUMMYFUNCTION("""COMPUTED_VALUE"""),"Dick Stewart")</f>
        <v>Dick Stewart</v>
      </c>
      <c r="E6660" s="4" t="str">
        <f>IFERROR(__xludf.DUMMYFUNCTION("""COMPUTED_VALUE"""),"Rutgers University")</f>
        <v>Rutgers University</v>
      </c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</row>
    <row r="6661">
      <c r="A6661" s="4">
        <f>IFERROR(__xludf.DUMMYFUNCTION("""COMPUTED_VALUE"""),138.0)</f>
        <v>138</v>
      </c>
      <c r="B6661" s="4">
        <f>IFERROR(__xludf.DUMMYFUNCTION("""COMPUTED_VALUE"""),138.0)</f>
        <v>138</v>
      </c>
      <c r="C6661" s="4" t="str">
        <f>IFERROR(__xludf.DUMMYFUNCTION("""COMPUTED_VALUE"""),"NYK")</f>
        <v>NYK</v>
      </c>
      <c r="D6661" s="4" t="str">
        <f>IFERROR(__xludf.DUMMYFUNCTION("""COMPUTED_VALUE"""),"Frank McLaughlin")</f>
        <v>Frank McLaughlin</v>
      </c>
      <c r="E6661" s="4" t="str">
        <f>IFERROR(__xludf.DUMMYFUNCTION("""COMPUTED_VALUE"""),"Fordham")</f>
        <v>Fordham</v>
      </c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</row>
    <row r="6662">
      <c r="A6662" s="4">
        <f>IFERROR(__xludf.DUMMYFUNCTION("""COMPUTED_VALUE"""),139.0)</f>
        <v>139</v>
      </c>
      <c r="B6662" s="4">
        <f>IFERROR(__xludf.DUMMYFUNCTION("""COMPUTED_VALUE"""),139.0)</f>
        <v>139</v>
      </c>
      <c r="C6662" s="4" t="str">
        <f>IFERROR(__xludf.DUMMYFUNCTION("""COMPUTED_VALUE"""),"LAL")</f>
        <v>LAL</v>
      </c>
      <c r="D6662" s="4" t="str">
        <f>IFERROR(__xludf.DUMMYFUNCTION("""COMPUTED_VALUE"""),"Phil Argento")</f>
        <v>Phil Argento</v>
      </c>
      <c r="E6662" s="4" t="str">
        <f>IFERROR(__xludf.DUMMYFUNCTION("""COMPUTED_VALUE"""),"Kentucky")</f>
        <v>Kentucky</v>
      </c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</row>
    <row r="6663">
      <c r="A6663" s="4">
        <f>IFERROR(__xludf.DUMMYFUNCTION("""COMPUTED_VALUE"""),140.0)</f>
        <v>140</v>
      </c>
      <c r="B6663" s="4">
        <f>IFERROR(__xludf.DUMMYFUNCTION("""COMPUTED_VALUE"""),140.0)</f>
        <v>140</v>
      </c>
      <c r="C6663" s="4" t="str">
        <f>IFERROR(__xludf.DUMMYFUNCTION("""COMPUTED_VALUE"""),"PHI")</f>
        <v>PHI</v>
      </c>
      <c r="D6663" s="4" t="str">
        <f>IFERROR(__xludf.DUMMYFUNCTION("""COMPUTED_VALUE"""),"Bill Justus")</f>
        <v>Bill Justus</v>
      </c>
      <c r="E6663" s="4" t="str">
        <f>IFERROR(__xludf.DUMMYFUNCTION("""COMPUTED_VALUE"""),"Tennessee")</f>
        <v>Tennessee</v>
      </c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</row>
    <row r="6664">
      <c r="A6664" s="4">
        <f>IFERROR(__xludf.DUMMYFUNCTION("""COMPUTED_VALUE"""),141.0)</f>
        <v>141</v>
      </c>
      <c r="B6664" s="4">
        <f>IFERROR(__xludf.DUMMYFUNCTION("""COMPUTED_VALUE"""),141.0)</f>
        <v>141</v>
      </c>
      <c r="C6664" s="4" t="str">
        <f>IFERROR(__xludf.DUMMYFUNCTION("""COMPUTED_VALUE"""),"BAL")</f>
        <v>BAL</v>
      </c>
      <c r="D6664" s="4" t="str">
        <f>IFERROR(__xludf.DUMMYFUNCTION("""COMPUTED_VALUE"""),"Frank Bartleson")</f>
        <v>Frank Bartleson</v>
      </c>
      <c r="E6664" s="4" t="str">
        <f>IFERROR(__xludf.DUMMYFUNCTION("""COMPUTED_VALUE"""),"Tennessee Technological University")</f>
        <v>Tennessee Technological University</v>
      </c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</row>
    <row r="6665">
      <c r="A6665" s="4"/>
      <c r="B6665" s="4"/>
      <c r="C6665" s="4"/>
      <c r="D6665" s="4" t="str">
        <f>IFERROR(__xludf.DUMMYFUNCTION("""COMPUTED_VALUE"""),"Round 11")</f>
        <v>Round 11</v>
      </c>
      <c r="E6665" s="4"/>
      <c r="F6665" s="4"/>
      <c r="G6665" s="4" t="str">
        <f>IFERROR(__xludf.DUMMYFUNCTION("""COMPUTED_VALUE"""),"Totals")</f>
        <v>Totals</v>
      </c>
      <c r="H6665" s="4"/>
      <c r="I6665" s="4"/>
      <c r="J6665" s="4"/>
      <c r="K6665" s="4"/>
      <c r="L6665" s="4" t="str">
        <f>IFERROR(__xludf.DUMMYFUNCTION("""COMPUTED_VALUE"""),"Shooting")</f>
        <v>Shooting</v>
      </c>
      <c r="M6665" s="4"/>
      <c r="N6665" s="4"/>
      <c r="O6665" s="4" t="str">
        <f>IFERROR(__xludf.DUMMYFUNCTION("""COMPUTED_VALUE"""),"Per Game")</f>
        <v>Per Game</v>
      </c>
      <c r="P6665" s="4"/>
      <c r="Q6665" s="4"/>
      <c r="R6665" s="4"/>
      <c r="S6665" s="4" t="str">
        <f>IFERROR(__xludf.DUMMYFUNCTION("""COMPUTED_VALUE"""),"Advanced")</f>
        <v>Advanced</v>
      </c>
      <c r="T6665" s="4"/>
      <c r="U6665" s="4"/>
      <c r="V6665" s="4"/>
    </row>
    <row r="6666">
      <c r="A6666" s="4" t="str">
        <f>IFERROR(__xludf.DUMMYFUNCTION("""COMPUTED_VALUE"""),"Rk")</f>
        <v>Rk</v>
      </c>
      <c r="B6666" s="4" t="str">
        <f>IFERROR(__xludf.DUMMYFUNCTION("""COMPUTED_VALUE"""),"Pk")</f>
        <v>Pk</v>
      </c>
      <c r="C6666" s="4" t="str">
        <f>IFERROR(__xludf.DUMMYFUNCTION("""COMPUTED_VALUE"""),"Tm")</f>
        <v>Tm</v>
      </c>
      <c r="D6666" s="4" t="str">
        <f>IFERROR(__xludf.DUMMYFUNCTION("""COMPUTED_VALUE"""),"Player")</f>
        <v>Player</v>
      </c>
      <c r="E6666" s="4" t="str">
        <f>IFERROR(__xludf.DUMMYFUNCTION("""COMPUTED_VALUE"""),"College")</f>
        <v>College</v>
      </c>
      <c r="F6666" s="4" t="str">
        <f>IFERROR(__xludf.DUMMYFUNCTION("""COMPUTED_VALUE"""),"Yrs")</f>
        <v>Yrs</v>
      </c>
      <c r="G6666" s="4" t="str">
        <f>IFERROR(__xludf.DUMMYFUNCTION("""COMPUTED_VALUE"""),"G")</f>
        <v>G</v>
      </c>
      <c r="H6666" s="4" t="str">
        <f>IFERROR(__xludf.DUMMYFUNCTION("""COMPUTED_VALUE"""),"MP")</f>
        <v>MP</v>
      </c>
      <c r="I6666" s="4" t="str">
        <f>IFERROR(__xludf.DUMMYFUNCTION("""COMPUTED_VALUE"""),"PTS")</f>
        <v>PTS</v>
      </c>
      <c r="J6666" s="4" t="str">
        <f>IFERROR(__xludf.DUMMYFUNCTION("""COMPUTED_VALUE"""),"TRB")</f>
        <v>TRB</v>
      </c>
      <c r="K6666" s="4" t="str">
        <f>IFERROR(__xludf.DUMMYFUNCTION("""COMPUTED_VALUE"""),"AST")</f>
        <v>AST</v>
      </c>
      <c r="L6666" s="4" t="str">
        <f>IFERROR(__xludf.DUMMYFUNCTION("""COMPUTED_VALUE"""),"FG%")</f>
        <v>FG%</v>
      </c>
      <c r="M6666" s="4" t="str">
        <f>IFERROR(__xludf.DUMMYFUNCTION("""COMPUTED_VALUE"""),"3P%")</f>
        <v>3P%</v>
      </c>
      <c r="N6666" s="4" t="str">
        <f>IFERROR(__xludf.DUMMYFUNCTION("""COMPUTED_VALUE"""),"FT%")</f>
        <v>FT%</v>
      </c>
      <c r="O6666" s="4" t="str">
        <f>IFERROR(__xludf.DUMMYFUNCTION("""COMPUTED_VALUE"""),"MP")</f>
        <v>MP</v>
      </c>
      <c r="P6666" s="4" t="str">
        <f>IFERROR(__xludf.DUMMYFUNCTION("""COMPUTED_VALUE"""),"PTS")</f>
        <v>PTS</v>
      </c>
      <c r="Q6666" s="4" t="str">
        <f>IFERROR(__xludf.DUMMYFUNCTION("""COMPUTED_VALUE"""),"TRB")</f>
        <v>TRB</v>
      </c>
      <c r="R6666" s="4" t="str">
        <f>IFERROR(__xludf.DUMMYFUNCTION("""COMPUTED_VALUE"""),"AST")</f>
        <v>AST</v>
      </c>
      <c r="S6666" s="4" t="str">
        <f>IFERROR(__xludf.DUMMYFUNCTION("""COMPUTED_VALUE"""),"WS")</f>
        <v>WS</v>
      </c>
      <c r="T6666" s="4" t="str">
        <f>IFERROR(__xludf.DUMMYFUNCTION("""COMPUTED_VALUE"""),"WS/48")</f>
        <v>WS/48</v>
      </c>
      <c r="U6666" s="4" t="str">
        <f>IFERROR(__xludf.DUMMYFUNCTION("""COMPUTED_VALUE"""),"BPM")</f>
        <v>BPM</v>
      </c>
      <c r="V6666" s="4" t="str">
        <f>IFERROR(__xludf.DUMMYFUNCTION("""COMPUTED_VALUE"""),"VORP")</f>
        <v>VORP</v>
      </c>
    </row>
    <row r="6667">
      <c r="A6667" s="4">
        <f>IFERROR(__xludf.DUMMYFUNCTION("""COMPUTED_VALUE"""),142.0)</f>
        <v>142</v>
      </c>
      <c r="B6667" s="4">
        <f>IFERROR(__xludf.DUMMYFUNCTION("""COMPUTED_VALUE"""),142.0)</f>
        <v>142</v>
      </c>
      <c r="C6667" s="4" t="str">
        <f>IFERROR(__xludf.DUMMYFUNCTION("""COMPUTED_VALUE"""),"PHO")</f>
        <v>PHO</v>
      </c>
      <c r="D6667" s="4" t="str">
        <f>IFERROR(__xludf.DUMMYFUNCTION("""COMPUTED_VALUE"""),"Fred Lind")</f>
        <v>Fred Lind</v>
      </c>
      <c r="E6667" s="4" t="str">
        <f>IFERROR(__xludf.DUMMYFUNCTION("""COMPUTED_VALUE"""),"Duke")</f>
        <v>Duke</v>
      </c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</row>
    <row r="6668">
      <c r="A6668" s="4">
        <f>IFERROR(__xludf.DUMMYFUNCTION("""COMPUTED_VALUE"""),143.0)</f>
        <v>143</v>
      </c>
      <c r="B6668" s="4">
        <f>IFERROR(__xludf.DUMMYFUNCTION("""COMPUTED_VALUE"""),143.0)</f>
        <v>143</v>
      </c>
      <c r="C6668" s="4" t="str">
        <f>IFERROR(__xludf.DUMMYFUNCTION("""COMPUTED_VALUE"""),"MIL")</f>
        <v>MIL</v>
      </c>
      <c r="D6668" s="4" t="str">
        <f>IFERROR(__xludf.DUMMYFUNCTION("""COMPUTED_VALUE"""),"Bob Presley")</f>
        <v>Bob Presley</v>
      </c>
      <c r="E6668" s="4" t="str">
        <f>IFERROR(__xludf.DUMMYFUNCTION("""COMPUTED_VALUE"""),"California")</f>
        <v>California</v>
      </c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</row>
    <row r="6669">
      <c r="A6669" s="4">
        <f>IFERROR(__xludf.DUMMYFUNCTION("""COMPUTED_VALUE"""),144.0)</f>
        <v>144</v>
      </c>
      <c r="B6669" s="4">
        <f>IFERROR(__xludf.DUMMYFUNCTION("""COMPUTED_VALUE"""),144.0)</f>
        <v>144</v>
      </c>
      <c r="C6669" s="4" t="str">
        <f>IFERROR(__xludf.DUMMYFUNCTION("""COMPUTED_VALUE"""),"SEA")</f>
        <v>SEA</v>
      </c>
      <c r="D6669" s="4" t="str">
        <f>IFERROR(__xludf.DUMMYFUNCTION("""COMPUTED_VALUE"""),"Jim Connolly")</f>
        <v>Jim Connolly</v>
      </c>
      <c r="E6669" s="4" t="str">
        <f>IFERROR(__xludf.DUMMYFUNCTION("""COMPUTED_VALUE"""),"Bowling Green")</f>
        <v>Bowling Green</v>
      </c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</row>
    <row r="6670">
      <c r="A6670" s="4">
        <f>IFERROR(__xludf.DUMMYFUNCTION("""COMPUTED_VALUE"""),145.0)</f>
        <v>145</v>
      </c>
      <c r="B6670" s="4">
        <f>IFERROR(__xludf.DUMMYFUNCTION("""COMPUTED_VALUE"""),145.0)</f>
        <v>145</v>
      </c>
      <c r="C6670" s="4" t="str">
        <f>IFERROR(__xludf.DUMMYFUNCTION("""COMPUTED_VALUE"""),"DET")</f>
        <v>DET</v>
      </c>
      <c r="D6670" s="4" t="str">
        <f>IFERROR(__xludf.DUMMYFUNCTION("""COMPUTED_VALUE"""),"Rusty Clark")</f>
        <v>Rusty Clark</v>
      </c>
      <c r="E6670" s="4" t="str">
        <f>IFERROR(__xludf.DUMMYFUNCTION("""COMPUTED_VALUE"""),"UNC")</f>
        <v>UNC</v>
      </c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</row>
    <row r="6671">
      <c r="A6671" s="4">
        <f>IFERROR(__xludf.DUMMYFUNCTION("""COMPUTED_VALUE"""),146.0)</f>
        <v>146</v>
      </c>
      <c r="B6671" s="4">
        <f>IFERROR(__xludf.DUMMYFUNCTION("""COMPUTED_VALUE"""),146.0)</f>
        <v>146</v>
      </c>
      <c r="C6671" s="4" t="str">
        <f>IFERROR(__xludf.DUMMYFUNCTION("""COMPUTED_VALUE"""),"CHI")</f>
        <v>CHI</v>
      </c>
      <c r="D6671" s="4" t="str">
        <f>IFERROR(__xludf.DUMMYFUNCTION("""COMPUTED_VALUE"""),"Larry Bergh")</f>
        <v>Larry Bergh</v>
      </c>
      <c r="E6671" s="4" t="str">
        <f>IFERROR(__xludf.DUMMYFUNCTION("""COMPUTED_VALUE"""),"Weber State")</f>
        <v>Weber State</v>
      </c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</row>
    <row r="6672">
      <c r="A6672" s="4">
        <f>IFERROR(__xludf.DUMMYFUNCTION("""COMPUTED_VALUE"""),147.0)</f>
        <v>147</v>
      </c>
      <c r="B6672" s="4">
        <f>IFERROR(__xludf.DUMMYFUNCTION("""COMPUTED_VALUE"""),147.0)</f>
        <v>147</v>
      </c>
      <c r="C6672" s="4" t="str">
        <f>IFERROR(__xludf.DUMMYFUNCTION("""COMPUTED_VALUE"""),"SDR")</f>
        <v>SDR</v>
      </c>
      <c r="D6672" s="4" t="str">
        <f>IFERROR(__xludf.DUMMYFUNCTION("""COMPUTED_VALUE"""),"Justus Thigpen")</f>
        <v>Justus Thigpen</v>
      </c>
      <c r="E6672" s="4" t="str">
        <f>IFERROR(__xludf.DUMMYFUNCTION("""COMPUTED_VALUE"""),"Weber State")</f>
        <v>Weber State</v>
      </c>
      <c r="F6672" s="4">
        <f>IFERROR(__xludf.DUMMYFUNCTION("""COMPUTED_VALUE"""),2.0)</f>
        <v>2</v>
      </c>
      <c r="G6672" s="4">
        <f>IFERROR(__xludf.DUMMYFUNCTION("""COMPUTED_VALUE"""),19.0)</f>
        <v>19</v>
      </c>
      <c r="H6672" s="4">
        <f>IFERROR(__xludf.DUMMYFUNCTION("""COMPUTED_VALUE"""),101.0)</f>
        <v>101</v>
      </c>
      <c r="I6672" s="4">
        <f>IFERROR(__xludf.DUMMYFUNCTION("""COMPUTED_VALUE"""),48.0)</f>
        <v>48</v>
      </c>
      <c r="J6672" s="4">
        <f>IFERROR(__xludf.DUMMYFUNCTION("""COMPUTED_VALUE"""),10.0)</f>
        <v>10</v>
      </c>
      <c r="K6672" s="4">
        <f>IFERROR(__xludf.DUMMYFUNCTION("""COMPUTED_VALUE"""),8.0)</f>
        <v>8</v>
      </c>
      <c r="L6672" s="4">
        <f>IFERROR(__xludf.DUMMYFUNCTION("""COMPUTED_VALUE"""),0.4)</f>
        <v>0.4</v>
      </c>
      <c r="M6672" s="4"/>
      <c r="N6672" s="4"/>
      <c r="O6672" s="4">
        <f>IFERROR(__xludf.DUMMYFUNCTION("""COMPUTED_VALUE"""),5.3)</f>
        <v>5.3</v>
      </c>
      <c r="P6672" s="4">
        <f>IFERROR(__xludf.DUMMYFUNCTION("""COMPUTED_VALUE"""),2.5)</f>
        <v>2.5</v>
      </c>
      <c r="Q6672" s="4">
        <f>IFERROR(__xludf.DUMMYFUNCTION("""COMPUTED_VALUE"""),0.5)</f>
        <v>0.5</v>
      </c>
      <c r="R6672" s="4">
        <f>IFERROR(__xludf.DUMMYFUNCTION("""COMPUTED_VALUE"""),0.4)</f>
        <v>0.4</v>
      </c>
      <c r="S6672" s="4">
        <f>IFERROR(__xludf.DUMMYFUNCTION("""COMPUTED_VALUE"""),-0.1)</f>
        <v>-0.1</v>
      </c>
      <c r="T6672" s="4">
        <f>IFERROR(__xludf.DUMMYFUNCTION("""COMPUTED_VALUE"""),-0.061)</f>
        <v>-0.061</v>
      </c>
      <c r="U6672" s="4">
        <f>IFERROR(__xludf.DUMMYFUNCTION("""COMPUTED_VALUE"""),-4.8)</f>
        <v>-4.8</v>
      </c>
      <c r="V6672" s="4">
        <f>IFERROR(__xludf.DUMMYFUNCTION("""COMPUTED_VALUE"""),0.0)</f>
        <v>0</v>
      </c>
    </row>
    <row r="6673">
      <c r="A6673" s="4">
        <f>IFERROR(__xludf.DUMMYFUNCTION("""COMPUTED_VALUE"""),148.0)</f>
        <v>148</v>
      </c>
      <c r="B6673" s="4">
        <f>IFERROR(__xludf.DUMMYFUNCTION("""COMPUTED_VALUE"""),148.0)</f>
        <v>148</v>
      </c>
      <c r="C6673" s="4" t="str">
        <f>IFERROR(__xludf.DUMMYFUNCTION("""COMPUTED_VALUE"""),"SFW")</f>
        <v>SFW</v>
      </c>
      <c r="D6673" s="4" t="str">
        <f>IFERROR(__xludf.DUMMYFUNCTION("""COMPUTED_VALUE"""),"Rich Holmberg")</f>
        <v>Rich Holmberg</v>
      </c>
      <c r="E6673" s="4" t="str">
        <f>IFERROR(__xludf.DUMMYFUNCTION("""COMPUTED_VALUE"""),"Saint Mary's")</f>
        <v>Saint Mary's</v>
      </c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</row>
    <row r="6674">
      <c r="A6674" s="4">
        <f>IFERROR(__xludf.DUMMYFUNCTION("""COMPUTED_VALUE"""),149.0)</f>
        <v>149</v>
      </c>
      <c r="B6674" s="4">
        <f>IFERROR(__xludf.DUMMYFUNCTION("""COMPUTED_VALUE"""),149.0)</f>
        <v>149</v>
      </c>
      <c r="C6674" s="4" t="str">
        <f>IFERROR(__xludf.DUMMYFUNCTION("""COMPUTED_VALUE"""),"CIN")</f>
        <v>CIN</v>
      </c>
      <c r="D6674" s="4" t="str">
        <f>IFERROR(__xludf.DUMMYFUNCTION("""COMPUTED_VALUE"""),"Jim Supple")</f>
        <v>Jim Supple</v>
      </c>
      <c r="E6674" s="4" t="str">
        <f>IFERROR(__xludf.DUMMYFUNCTION("""COMPUTED_VALUE"""),"Georgetown")</f>
        <v>Georgetown</v>
      </c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</row>
    <row r="6675">
      <c r="A6675" s="4">
        <f>IFERROR(__xludf.DUMMYFUNCTION("""COMPUTED_VALUE"""),150.0)</f>
        <v>150</v>
      </c>
      <c r="B6675" s="4">
        <f>IFERROR(__xludf.DUMMYFUNCTION("""COMPUTED_VALUE"""),150.0)</f>
        <v>150</v>
      </c>
      <c r="C6675" s="4" t="str">
        <f>IFERROR(__xludf.DUMMYFUNCTION("""COMPUTED_VALUE"""),"BOS")</f>
        <v>BOS</v>
      </c>
      <c r="D6675" s="4" t="str">
        <f>IFERROR(__xludf.DUMMYFUNCTION("""COMPUTED_VALUE"""),"Larry Finstrom")</f>
        <v>Larry Finstrom</v>
      </c>
      <c r="E6675" s="4" t="str">
        <f>IFERROR(__xludf.DUMMYFUNCTION("""COMPUTED_VALUE"""),"Kenyon College")</f>
        <v>Kenyon College</v>
      </c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</row>
    <row r="6676">
      <c r="A6676" s="4">
        <f>IFERROR(__xludf.DUMMYFUNCTION("""COMPUTED_VALUE"""),151.0)</f>
        <v>151</v>
      </c>
      <c r="B6676" s="4">
        <f>IFERROR(__xludf.DUMMYFUNCTION("""COMPUTED_VALUE"""),151.0)</f>
        <v>151</v>
      </c>
      <c r="C6676" s="4" t="str">
        <f>IFERROR(__xludf.DUMMYFUNCTION("""COMPUTED_VALUE"""),"ATL")</f>
        <v>ATL</v>
      </c>
      <c r="D6676" s="4" t="str">
        <f>IFERROR(__xludf.DUMMYFUNCTION("""COMPUTED_VALUE"""),"Loran Bracci")</f>
        <v>Loran Bracci</v>
      </c>
      <c r="E6676" s="4" t="str">
        <f>IFERROR(__xludf.DUMMYFUNCTION("""COMPUTED_VALUE"""),"Cal State Northridge")</f>
        <v>Cal State Northridge</v>
      </c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</row>
    <row r="6677">
      <c r="A6677" s="4">
        <f>IFERROR(__xludf.DUMMYFUNCTION("""COMPUTED_VALUE"""),152.0)</f>
        <v>152</v>
      </c>
      <c r="B6677" s="4">
        <f>IFERROR(__xludf.DUMMYFUNCTION("""COMPUTED_VALUE"""),152.0)</f>
        <v>152</v>
      </c>
      <c r="C6677" s="4" t="str">
        <f>IFERROR(__xludf.DUMMYFUNCTION("""COMPUTED_VALUE"""),"NYK")</f>
        <v>NYK</v>
      </c>
      <c r="D6677" s="4" t="str">
        <f>IFERROR(__xludf.DUMMYFUNCTION("""COMPUTED_VALUE"""),"Marvin Lewis")</f>
        <v>Marvin Lewis</v>
      </c>
      <c r="E6677" s="4" t="str">
        <f>IFERROR(__xludf.DUMMYFUNCTION("""COMPUTED_VALUE"""),"LIU Southampton")</f>
        <v>LIU Southampton</v>
      </c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</row>
    <row r="6678">
      <c r="A6678" s="4">
        <f>IFERROR(__xludf.DUMMYFUNCTION("""COMPUTED_VALUE"""),153.0)</f>
        <v>153</v>
      </c>
      <c r="B6678" s="4">
        <f>IFERROR(__xludf.DUMMYFUNCTION("""COMPUTED_VALUE"""),153.0)</f>
        <v>153</v>
      </c>
      <c r="C6678" s="4" t="str">
        <f>IFERROR(__xludf.DUMMYFUNCTION("""COMPUTED_VALUE"""),"LAL")</f>
        <v>LAL</v>
      </c>
      <c r="D6678" s="4" t="str">
        <f>IFERROR(__xludf.DUMMYFUNCTION("""COMPUTED_VALUE"""),"Ron Peret")</f>
        <v>Ron Peret</v>
      </c>
      <c r="E6678" s="4" t="str">
        <f>IFERROR(__xludf.DUMMYFUNCTION("""COMPUTED_VALUE"""),"Texas A&amp;M")</f>
        <v>Texas A&amp;M</v>
      </c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</row>
    <row r="6679">
      <c r="A6679" s="4">
        <f>IFERROR(__xludf.DUMMYFUNCTION("""COMPUTED_VALUE"""),154.0)</f>
        <v>154</v>
      </c>
      <c r="B6679" s="4">
        <f>IFERROR(__xludf.DUMMYFUNCTION("""COMPUTED_VALUE"""),154.0)</f>
        <v>154</v>
      </c>
      <c r="C6679" s="4" t="str">
        <f>IFERROR(__xludf.DUMMYFUNCTION("""COMPUTED_VALUE"""),"PHI")</f>
        <v>PHI</v>
      </c>
      <c r="D6679" s="4" t="str">
        <f>IFERROR(__xludf.DUMMYFUNCTION("""COMPUTED_VALUE"""),"Bruce Sloan")</f>
        <v>Bruce Sloan</v>
      </c>
      <c r="E6679" s="4" t="str">
        <f>IFERROR(__xludf.DUMMYFUNCTION("""COMPUTED_VALUE"""),"Kansas")</f>
        <v>Kansas</v>
      </c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</row>
    <row r="6680">
      <c r="A6680" s="4">
        <f>IFERROR(__xludf.DUMMYFUNCTION("""COMPUTED_VALUE"""),155.0)</f>
        <v>155</v>
      </c>
      <c r="B6680" s="4">
        <f>IFERROR(__xludf.DUMMYFUNCTION("""COMPUTED_VALUE"""),155.0)</f>
        <v>155</v>
      </c>
      <c r="C6680" s="4" t="str">
        <f>IFERROR(__xludf.DUMMYFUNCTION("""COMPUTED_VALUE"""),"BAL")</f>
        <v>BAL</v>
      </c>
      <c r="D6680" s="4" t="str">
        <f>IFERROR(__xludf.DUMMYFUNCTION("""COMPUTED_VALUE"""),"Jerry McKee")</f>
        <v>Jerry McKee</v>
      </c>
      <c r="E6680" s="4" t="str">
        <f>IFERROR(__xludf.DUMMYFUNCTION("""COMPUTED_VALUE"""),"Ohio University")</f>
        <v>Ohio University</v>
      </c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</row>
    <row r="6681">
      <c r="A6681" s="4"/>
      <c r="B6681" s="4"/>
      <c r="C6681" s="4"/>
      <c r="D6681" s="4" t="str">
        <f>IFERROR(__xludf.DUMMYFUNCTION("""COMPUTED_VALUE"""),"Round 12")</f>
        <v>Round 12</v>
      </c>
      <c r="E6681" s="4"/>
      <c r="F6681" s="4"/>
      <c r="G6681" s="4" t="str">
        <f>IFERROR(__xludf.DUMMYFUNCTION("""COMPUTED_VALUE"""),"Totals")</f>
        <v>Totals</v>
      </c>
      <c r="H6681" s="4"/>
      <c r="I6681" s="4"/>
      <c r="J6681" s="4"/>
      <c r="K6681" s="4"/>
      <c r="L6681" s="4" t="str">
        <f>IFERROR(__xludf.DUMMYFUNCTION("""COMPUTED_VALUE"""),"Shooting")</f>
        <v>Shooting</v>
      </c>
      <c r="M6681" s="4"/>
      <c r="N6681" s="4"/>
      <c r="O6681" s="4" t="str">
        <f>IFERROR(__xludf.DUMMYFUNCTION("""COMPUTED_VALUE"""),"Per Game")</f>
        <v>Per Game</v>
      </c>
      <c r="P6681" s="4"/>
      <c r="Q6681" s="4"/>
      <c r="R6681" s="4"/>
      <c r="S6681" s="4" t="str">
        <f>IFERROR(__xludf.DUMMYFUNCTION("""COMPUTED_VALUE"""),"Advanced")</f>
        <v>Advanced</v>
      </c>
      <c r="T6681" s="4"/>
      <c r="U6681" s="4"/>
      <c r="V6681" s="4"/>
    </row>
    <row r="6682">
      <c r="A6682" s="4" t="str">
        <f>IFERROR(__xludf.DUMMYFUNCTION("""COMPUTED_VALUE"""),"Rk")</f>
        <v>Rk</v>
      </c>
      <c r="B6682" s="4" t="str">
        <f>IFERROR(__xludf.DUMMYFUNCTION("""COMPUTED_VALUE"""),"Pk")</f>
        <v>Pk</v>
      </c>
      <c r="C6682" s="4" t="str">
        <f>IFERROR(__xludf.DUMMYFUNCTION("""COMPUTED_VALUE"""),"Tm")</f>
        <v>Tm</v>
      </c>
      <c r="D6682" s="4" t="str">
        <f>IFERROR(__xludf.DUMMYFUNCTION("""COMPUTED_VALUE"""),"Player")</f>
        <v>Player</v>
      </c>
      <c r="E6682" s="4" t="str">
        <f>IFERROR(__xludf.DUMMYFUNCTION("""COMPUTED_VALUE"""),"College")</f>
        <v>College</v>
      </c>
      <c r="F6682" s="4" t="str">
        <f>IFERROR(__xludf.DUMMYFUNCTION("""COMPUTED_VALUE"""),"Yrs")</f>
        <v>Yrs</v>
      </c>
      <c r="G6682" s="4" t="str">
        <f>IFERROR(__xludf.DUMMYFUNCTION("""COMPUTED_VALUE"""),"G")</f>
        <v>G</v>
      </c>
      <c r="H6682" s="4" t="str">
        <f>IFERROR(__xludf.DUMMYFUNCTION("""COMPUTED_VALUE"""),"MP")</f>
        <v>MP</v>
      </c>
      <c r="I6682" s="4" t="str">
        <f>IFERROR(__xludf.DUMMYFUNCTION("""COMPUTED_VALUE"""),"PTS")</f>
        <v>PTS</v>
      </c>
      <c r="J6682" s="4" t="str">
        <f>IFERROR(__xludf.DUMMYFUNCTION("""COMPUTED_VALUE"""),"TRB")</f>
        <v>TRB</v>
      </c>
      <c r="K6682" s="4" t="str">
        <f>IFERROR(__xludf.DUMMYFUNCTION("""COMPUTED_VALUE"""),"AST")</f>
        <v>AST</v>
      </c>
      <c r="L6682" s="4" t="str">
        <f>IFERROR(__xludf.DUMMYFUNCTION("""COMPUTED_VALUE"""),"FG%")</f>
        <v>FG%</v>
      </c>
      <c r="M6682" s="4" t="str">
        <f>IFERROR(__xludf.DUMMYFUNCTION("""COMPUTED_VALUE"""),"3P%")</f>
        <v>3P%</v>
      </c>
      <c r="N6682" s="4" t="str">
        <f>IFERROR(__xludf.DUMMYFUNCTION("""COMPUTED_VALUE"""),"FT%")</f>
        <v>FT%</v>
      </c>
      <c r="O6682" s="4" t="str">
        <f>IFERROR(__xludf.DUMMYFUNCTION("""COMPUTED_VALUE"""),"MP")</f>
        <v>MP</v>
      </c>
      <c r="P6682" s="4" t="str">
        <f>IFERROR(__xludf.DUMMYFUNCTION("""COMPUTED_VALUE"""),"PTS")</f>
        <v>PTS</v>
      </c>
      <c r="Q6682" s="4" t="str">
        <f>IFERROR(__xludf.DUMMYFUNCTION("""COMPUTED_VALUE"""),"TRB")</f>
        <v>TRB</v>
      </c>
      <c r="R6682" s="4" t="str">
        <f>IFERROR(__xludf.DUMMYFUNCTION("""COMPUTED_VALUE"""),"AST")</f>
        <v>AST</v>
      </c>
      <c r="S6682" s="4" t="str">
        <f>IFERROR(__xludf.DUMMYFUNCTION("""COMPUTED_VALUE"""),"WS")</f>
        <v>WS</v>
      </c>
      <c r="T6682" s="4" t="str">
        <f>IFERROR(__xludf.DUMMYFUNCTION("""COMPUTED_VALUE"""),"WS/48")</f>
        <v>WS/48</v>
      </c>
      <c r="U6682" s="4" t="str">
        <f>IFERROR(__xludf.DUMMYFUNCTION("""COMPUTED_VALUE"""),"BPM")</f>
        <v>BPM</v>
      </c>
      <c r="V6682" s="4" t="str">
        <f>IFERROR(__xludf.DUMMYFUNCTION("""COMPUTED_VALUE"""),"VORP")</f>
        <v>VORP</v>
      </c>
    </row>
    <row r="6683">
      <c r="A6683" s="4">
        <f>IFERROR(__xludf.DUMMYFUNCTION("""COMPUTED_VALUE"""),156.0)</f>
        <v>156</v>
      </c>
      <c r="B6683" s="4">
        <f>IFERROR(__xludf.DUMMYFUNCTION("""COMPUTED_VALUE"""),156.0)</f>
        <v>156</v>
      </c>
      <c r="C6683" s="4" t="str">
        <f>IFERROR(__xludf.DUMMYFUNCTION("""COMPUTED_VALUE"""),"PHO")</f>
        <v>PHO</v>
      </c>
      <c r="D6683" s="4" t="str">
        <f>IFERROR(__xludf.DUMMYFUNCTION("""COMPUTED_VALUE"""),"Bob Miller")</f>
        <v>Bob Miller</v>
      </c>
      <c r="E6683" s="4" t="str">
        <f>IFERROR(__xludf.DUMMYFUNCTION("""COMPUTED_VALUE"""),"Toledo")</f>
        <v>Toledo</v>
      </c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</row>
    <row r="6684">
      <c r="A6684" s="4">
        <f>IFERROR(__xludf.DUMMYFUNCTION("""COMPUTED_VALUE"""),157.0)</f>
        <v>157</v>
      </c>
      <c r="B6684" s="4">
        <f>IFERROR(__xludf.DUMMYFUNCTION("""COMPUTED_VALUE"""),157.0)</f>
        <v>157</v>
      </c>
      <c r="C6684" s="4" t="str">
        <f>IFERROR(__xludf.DUMMYFUNCTION("""COMPUTED_VALUE"""),"MIL")</f>
        <v>MIL</v>
      </c>
      <c r="D6684" s="4" t="str">
        <f>IFERROR(__xludf.DUMMYFUNCTION("""COMPUTED_VALUE"""),"Jack Lutz")</f>
        <v>Jack Lutz</v>
      </c>
      <c r="E6684" s="4" t="str">
        <f>IFERROR(__xludf.DUMMYFUNCTION("""COMPUTED_VALUE"""),"Carthage College")</f>
        <v>Carthage College</v>
      </c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</row>
    <row r="6685">
      <c r="A6685" s="4">
        <f>IFERROR(__xludf.DUMMYFUNCTION("""COMPUTED_VALUE"""),158.0)</f>
        <v>158</v>
      </c>
      <c r="B6685" s="4">
        <f>IFERROR(__xludf.DUMMYFUNCTION("""COMPUTED_VALUE"""),158.0)</f>
        <v>158</v>
      </c>
      <c r="C6685" s="4" t="str">
        <f>IFERROR(__xludf.DUMMYFUNCTION("""COMPUTED_VALUE"""),"SEA")</f>
        <v>SEA</v>
      </c>
      <c r="D6685" s="4" t="str">
        <f>IFERROR(__xludf.DUMMYFUNCTION("""COMPUTED_VALUE"""),"John Smith")</f>
        <v>John Smith</v>
      </c>
      <c r="E6685" s="4" t="str">
        <f>IFERROR(__xludf.DUMMYFUNCTION("""COMPUTED_VALUE"""),"University of Puget Sound")</f>
        <v>University of Puget Sound</v>
      </c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</row>
    <row r="6686">
      <c r="A6686" s="4">
        <f>IFERROR(__xludf.DUMMYFUNCTION("""COMPUTED_VALUE"""),159.0)</f>
        <v>159</v>
      </c>
      <c r="B6686" s="4">
        <f>IFERROR(__xludf.DUMMYFUNCTION("""COMPUTED_VALUE"""),159.0)</f>
        <v>159</v>
      </c>
      <c r="C6686" s="4" t="str">
        <f>IFERROR(__xludf.DUMMYFUNCTION("""COMPUTED_VALUE"""),"CHI")</f>
        <v>CHI</v>
      </c>
      <c r="D6686" s="4" t="str">
        <f>IFERROR(__xludf.DUMMYFUNCTION("""COMPUTED_VALUE"""),"Harry Hall")</f>
        <v>Harry Hall</v>
      </c>
      <c r="E6686" s="4" t="str">
        <f>IFERROR(__xludf.DUMMYFUNCTION("""COMPUTED_VALUE"""),"Wyoming")</f>
        <v>Wyoming</v>
      </c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</row>
    <row r="6687">
      <c r="A6687" s="4">
        <f>IFERROR(__xludf.DUMMYFUNCTION("""COMPUTED_VALUE"""),160.0)</f>
        <v>160</v>
      </c>
      <c r="B6687" s="4">
        <f>IFERROR(__xludf.DUMMYFUNCTION("""COMPUTED_VALUE"""),160.0)</f>
        <v>160</v>
      </c>
      <c r="C6687" s="4" t="str">
        <f>IFERROR(__xludf.DUMMYFUNCTION("""COMPUTED_VALUE"""),"SDR")</f>
        <v>SDR</v>
      </c>
      <c r="D6687" s="4" t="str">
        <f>IFERROR(__xludf.DUMMYFUNCTION("""COMPUTED_VALUE"""),"Raul Duarte")</f>
        <v>Raul Duarte</v>
      </c>
      <c r="E6687" s="4" t="str">
        <f>IFERROR(__xludf.DUMMYFUNCTION("""COMPUTED_VALUE"""),"South Dakota State")</f>
        <v>South Dakota State</v>
      </c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</row>
    <row r="6688">
      <c r="A6688" s="4">
        <f>IFERROR(__xludf.DUMMYFUNCTION("""COMPUTED_VALUE"""),161.0)</f>
        <v>161</v>
      </c>
      <c r="B6688" s="4">
        <f>IFERROR(__xludf.DUMMYFUNCTION("""COMPUTED_VALUE"""),161.0)</f>
        <v>161</v>
      </c>
      <c r="C6688" s="4" t="str">
        <f>IFERROR(__xludf.DUMMYFUNCTION("""COMPUTED_VALUE"""),"SFW")</f>
        <v>SFW</v>
      </c>
      <c r="D6688" s="4" t="str">
        <f>IFERROR(__xludf.DUMMYFUNCTION("""COMPUTED_VALUE"""),"Joe Callaghan")</f>
        <v>Joe Callaghan</v>
      </c>
      <c r="E6688" s="4" t="str">
        <f>IFERROR(__xludf.DUMMYFUNCTION("""COMPUTED_VALUE"""),"San Francisco State University")</f>
        <v>San Francisco State University</v>
      </c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</row>
    <row r="6689">
      <c r="A6689" s="4">
        <f>IFERROR(__xludf.DUMMYFUNCTION("""COMPUTED_VALUE"""),162.0)</f>
        <v>162</v>
      </c>
      <c r="B6689" s="4">
        <f>IFERROR(__xludf.DUMMYFUNCTION("""COMPUTED_VALUE"""),162.0)</f>
        <v>162</v>
      </c>
      <c r="C6689" s="4" t="str">
        <f>IFERROR(__xludf.DUMMYFUNCTION("""COMPUTED_VALUE"""),"CIN")</f>
        <v>CIN</v>
      </c>
      <c r="D6689" s="4" t="str">
        <f>IFERROR(__xludf.DUMMYFUNCTION("""COMPUTED_VALUE"""),"Mike Davis")</f>
        <v>Mike Davis</v>
      </c>
      <c r="E6689" s="4" t="str">
        <f>IFERROR(__xludf.DUMMYFUNCTION("""COMPUTED_VALUE"""),"Colorado State")</f>
        <v>Colorado State</v>
      </c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</row>
    <row r="6690">
      <c r="A6690" s="4">
        <f>IFERROR(__xludf.DUMMYFUNCTION("""COMPUTED_VALUE"""),163.0)</f>
        <v>163</v>
      </c>
      <c r="B6690" s="4">
        <f>IFERROR(__xludf.DUMMYFUNCTION("""COMPUTED_VALUE"""),163.0)</f>
        <v>163</v>
      </c>
      <c r="C6690" s="4" t="str">
        <f>IFERROR(__xludf.DUMMYFUNCTION("""COMPUTED_VALUE"""),"BOS")</f>
        <v>BOS</v>
      </c>
      <c r="D6690" s="4" t="str">
        <f>IFERROR(__xludf.DUMMYFUNCTION("""COMPUTED_VALUE"""),"Rod Forbes")</f>
        <v>Rod Forbes</v>
      </c>
      <c r="E6690" s="4" t="str">
        <f>IFERROR(__xludf.DUMMYFUNCTION("""COMPUTED_VALUE"""),"Boston State University")</f>
        <v>Boston State University</v>
      </c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</row>
    <row r="6691">
      <c r="A6691" s="4">
        <f>IFERROR(__xludf.DUMMYFUNCTION("""COMPUTED_VALUE"""),164.0)</f>
        <v>164</v>
      </c>
      <c r="B6691" s="4">
        <f>IFERROR(__xludf.DUMMYFUNCTION("""COMPUTED_VALUE"""),164.0)</f>
        <v>164</v>
      </c>
      <c r="C6691" s="4" t="str">
        <f>IFERROR(__xludf.DUMMYFUNCTION("""COMPUTED_VALUE"""),"ATL")</f>
        <v>ATL</v>
      </c>
      <c r="D6691" s="4" t="str">
        <f>IFERROR(__xludf.DUMMYFUNCTION("""COMPUTED_VALUE"""),"Dave Jones")</f>
        <v>Dave Jones</v>
      </c>
      <c r="E6691" s="4" t="str">
        <f>IFERROR(__xludf.DUMMYFUNCTION("""COMPUTED_VALUE"""),"University of La Verne")</f>
        <v>University of La Verne</v>
      </c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</row>
    <row r="6692">
      <c r="A6692" s="4">
        <f>IFERROR(__xludf.DUMMYFUNCTION("""COMPUTED_VALUE"""),165.0)</f>
        <v>165</v>
      </c>
      <c r="B6692" s="4">
        <f>IFERROR(__xludf.DUMMYFUNCTION("""COMPUTED_VALUE"""),165.0)</f>
        <v>165</v>
      </c>
      <c r="C6692" s="4" t="str">
        <f>IFERROR(__xludf.DUMMYFUNCTION("""COMPUTED_VALUE"""),"NYK")</f>
        <v>NYK</v>
      </c>
      <c r="D6692" s="4" t="str">
        <f>IFERROR(__xludf.DUMMYFUNCTION("""COMPUTED_VALUE"""),"Bill O'Rourke")</f>
        <v>Bill O'Rourke</v>
      </c>
      <c r="E6692" s="4" t="str">
        <f>IFERROR(__xludf.DUMMYFUNCTION("""COMPUTED_VALUE"""),"St. John Fisher College")</f>
        <v>St. John Fisher College</v>
      </c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</row>
    <row r="6693">
      <c r="A6693" s="4">
        <f>IFERROR(__xludf.DUMMYFUNCTION("""COMPUTED_VALUE"""),166.0)</f>
        <v>166</v>
      </c>
      <c r="B6693" s="4">
        <f>IFERROR(__xludf.DUMMYFUNCTION("""COMPUTED_VALUE"""),166.0)</f>
        <v>166</v>
      </c>
      <c r="C6693" s="4" t="str">
        <f>IFERROR(__xludf.DUMMYFUNCTION("""COMPUTED_VALUE"""),"LAL")</f>
        <v>LAL</v>
      </c>
      <c r="D6693" s="4" t="str">
        <f>IFERROR(__xludf.DUMMYFUNCTION("""COMPUTED_VALUE"""),"Jack Gillespie")</f>
        <v>Jack Gillespie</v>
      </c>
      <c r="E6693" s="4" t="str">
        <f>IFERROR(__xludf.DUMMYFUNCTION("""COMPUTED_VALUE"""),"Montana State")</f>
        <v>Montana State</v>
      </c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</row>
    <row r="6694">
      <c r="A6694" s="4">
        <f>IFERROR(__xludf.DUMMYFUNCTION("""COMPUTED_VALUE"""),167.0)</f>
        <v>167</v>
      </c>
      <c r="B6694" s="4">
        <f>IFERROR(__xludf.DUMMYFUNCTION("""COMPUTED_VALUE"""),167.0)</f>
        <v>167</v>
      </c>
      <c r="C6694" s="4" t="str">
        <f>IFERROR(__xludf.DUMMYFUNCTION("""COMPUTED_VALUE"""),"PHI")</f>
        <v>PHI</v>
      </c>
      <c r="D6694" s="4" t="str">
        <f>IFERROR(__xludf.DUMMYFUNCTION("""COMPUTED_VALUE"""),"Fatty Taylor")</f>
        <v>Fatty Taylor</v>
      </c>
      <c r="E6694" s="4" t="str">
        <f>IFERROR(__xludf.DUMMYFUNCTION("""COMPUTED_VALUE"""),"La Salle")</f>
        <v>La Salle</v>
      </c>
      <c r="F6694" s="4">
        <f>IFERROR(__xludf.DUMMYFUNCTION("""COMPUTED_VALUE"""),1.0)</f>
        <v>1</v>
      </c>
      <c r="G6694" s="4">
        <f>IFERROR(__xludf.DUMMYFUNCTION("""COMPUTED_VALUE"""),79.0)</f>
        <v>79</v>
      </c>
      <c r="H6694" s="4">
        <f>IFERROR(__xludf.DUMMYFUNCTION("""COMPUTED_VALUE"""),1548.0)</f>
        <v>1548</v>
      </c>
      <c r="I6694" s="4">
        <f>IFERROR(__xludf.DUMMYFUNCTION("""COMPUTED_VALUE"""),301.0)</f>
        <v>301</v>
      </c>
      <c r="J6694" s="4">
        <f>IFERROR(__xludf.DUMMYFUNCTION("""COMPUTED_VALUE"""),211.0)</f>
        <v>211</v>
      </c>
      <c r="K6694" s="4">
        <f>IFERROR(__xludf.DUMMYFUNCTION("""COMPUTED_VALUE"""),288.0)</f>
        <v>288</v>
      </c>
      <c r="L6694" s="4">
        <f>IFERROR(__xludf.DUMMYFUNCTION("""COMPUTED_VALUE"""),0.42)</f>
        <v>0.42</v>
      </c>
      <c r="M6694" s="4"/>
      <c r="N6694" s="4">
        <f>IFERROR(__xludf.DUMMYFUNCTION("""COMPUTED_VALUE"""),0.569)</f>
        <v>0.569</v>
      </c>
      <c r="O6694" s="4">
        <f>IFERROR(__xludf.DUMMYFUNCTION("""COMPUTED_VALUE"""),19.6)</f>
        <v>19.6</v>
      </c>
      <c r="P6694" s="4">
        <f>IFERROR(__xludf.DUMMYFUNCTION("""COMPUTED_VALUE"""),3.8)</f>
        <v>3.8</v>
      </c>
      <c r="Q6694" s="4">
        <f>IFERROR(__xludf.DUMMYFUNCTION("""COMPUTED_VALUE"""),2.7)</f>
        <v>2.7</v>
      </c>
      <c r="R6694" s="4">
        <f>IFERROR(__xludf.DUMMYFUNCTION("""COMPUTED_VALUE"""),3.6)</f>
        <v>3.6</v>
      </c>
      <c r="S6694" s="4">
        <f>IFERROR(__xludf.DUMMYFUNCTION("""COMPUTED_VALUE"""),2.1)</f>
        <v>2.1</v>
      </c>
      <c r="T6694" s="4">
        <f>IFERROR(__xludf.DUMMYFUNCTION("""COMPUTED_VALUE"""),0.066)</f>
        <v>0.066</v>
      </c>
      <c r="U6694" s="4">
        <f>IFERROR(__xludf.DUMMYFUNCTION("""COMPUTED_VALUE"""),0.5)</f>
        <v>0.5</v>
      </c>
      <c r="V6694" s="4">
        <f>IFERROR(__xludf.DUMMYFUNCTION("""COMPUTED_VALUE"""),1.0)</f>
        <v>1</v>
      </c>
    </row>
    <row r="6695">
      <c r="A6695" s="4">
        <f>IFERROR(__xludf.DUMMYFUNCTION("""COMPUTED_VALUE"""),168.0)</f>
        <v>168</v>
      </c>
      <c r="B6695" s="4">
        <f>IFERROR(__xludf.DUMMYFUNCTION("""COMPUTED_VALUE"""),168.0)</f>
        <v>168</v>
      </c>
      <c r="C6695" s="4" t="str">
        <f>IFERROR(__xludf.DUMMYFUNCTION("""COMPUTED_VALUE"""),"BAL")</f>
        <v>BAL</v>
      </c>
      <c r="D6695" s="4" t="str">
        <f>IFERROR(__xludf.DUMMYFUNCTION("""COMPUTED_VALUE"""),"Rob Washington")</f>
        <v>Rob Washington</v>
      </c>
      <c r="E6695" s="4" t="str">
        <f>IFERROR(__xludf.DUMMYFUNCTION("""COMPUTED_VALUE"""),"Tulsa")</f>
        <v>Tulsa</v>
      </c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</row>
    <row r="6696">
      <c r="A6696" s="4"/>
      <c r="B6696" s="4"/>
      <c r="C6696" s="4"/>
      <c r="D6696" s="4" t="str">
        <f>IFERROR(__xludf.DUMMYFUNCTION("""COMPUTED_VALUE"""),"Round 13")</f>
        <v>Round 13</v>
      </c>
      <c r="E6696" s="4"/>
      <c r="F6696" s="4"/>
      <c r="G6696" s="4" t="str">
        <f>IFERROR(__xludf.DUMMYFUNCTION("""COMPUTED_VALUE"""),"Totals")</f>
        <v>Totals</v>
      </c>
      <c r="H6696" s="4"/>
      <c r="I6696" s="4"/>
      <c r="J6696" s="4"/>
      <c r="K6696" s="4"/>
      <c r="L6696" s="4" t="str">
        <f>IFERROR(__xludf.DUMMYFUNCTION("""COMPUTED_VALUE"""),"Shooting")</f>
        <v>Shooting</v>
      </c>
      <c r="M6696" s="4"/>
      <c r="N6696" s="4"/>
      <c r="O6696" s="4" t="str">
        <f>IFERROR(__xludf.DUMMYFUNCTION("""COMPUTED_VALUE"""),"Per Game")</f>
        <v>Per Game</v>
      </c>
      <c r="P6696" s="4"/>
      <c r="Q6696" s="4"/>
      <c r="R6696" s="4"/>
      <c r="S6696" s="4" t="str">
        <f>IFERROR(__xludf.DUMMYFUNCTION("""COMPUTED_VALUE"""),"Advanced")</f>
        <v>Advanced</v>
      </c>
      <c r="T6696" s="4"/>
      <c r="U6696" s="4"/>
      <c r="V6696" s="4"/>
    </row>
    <row r="6697">
      <c r="A6697" s="4" t="str">
        <f>IFERROR(__xludf.DUMMYFUNCTION("""COMPUTED_VALUE"""),"Rk")</f>
        <v>Rk</v>
      </c>
      <c r="B6697" s="4" t="str">
        <f>IFERROR(__xludf.DUMMYFUNCTION("""COMPUTED_VALUE"""),"Pk")</f>
        <v>Pk</v>
      </c>
      <c r="C6697" s="4" t="str">
        <f>IFERROR(__xludf.DUMMYFUNCTION("""COMPUTED_VALUE"""),"Tm")</f>
        <v>Tm</v>
      </c>
      <c r="D6697" s="4" t="str">
        <f>IFERROR(__xludf.DUMMYFUNCTION("""COMPUTED_VALUE"""),"Player")</f>
        <v>Player</v>
      </c>
      <c r="E6697" s="4" t="str">
        <f>IFERROR(__xludf.DUMMYFUNCTION("""COMPUTED_VALUE"""),"College")</f>
        <v>College</v>
      </c>
      <c r="F6697" s="4" t="str">
        <f>IFERROR(__xludf.DUMMYFUNCTION("""COMPUTED_VALUE"""),"Yrs")</f>
        <v>Yrs</v>
      </c>
      <c r="G6697" s="4" t="str">
        <f>IFERROR(__xludf.DUMMYFUNCTION("""COMPUTED_VALUE"""),"G")</f>
        <v>G</v>
      </c>
      <c r="H6697" s="4" t="str">
        <f>IFERROR(__xludf.DUMMYFUNCTION("""COMPUTED_VALUE"""),"MP")</f>
        <v>MP</v>
      </c>
      <c r="I6697" s="4" t="str">
        <f>IFERROR(__xludf.DUMMYFUNCTION("""COMPUTED_VALUE"""),"PTS")</f>
        <v>PTS</v>
      </c>
      <c r="J6697" s="4" t="str">
        <f>IFERROR(__xludf.DUMMYFUNCTION("""COMPUTED_VALUE"""),"TRB")</f>
        <v>TRB</v>
      </c>
      <c r="K6697" s="4" t="str">
        <f>IFERROR(__xludf.DUMMYFUNCTION("""COMPUTED_VALUE"""),"AST")</f>
        <v>AST</v>
      </c>
      <c r="L6697" s="4" t="str">
        <f>IFERROR(__xludf.DUMMYFUNCTION("""COMPUTED_VALUE"""),"FG%")</f>
        <v>FG%</v>
      </c>
      <c r="M6697" s="4" t="str">
        <f>IFERROR(__xludf.DUMMYFUNCTION("""COMPUTED_VALUE"""),"3P%")</f>
        <v>3P%</v>
      </c>
      <c r="N6697" s="4" t="str">
        <f>IFERROR(__xludf.DUMMYFUNCTION("""COMPUTED_VALUE"""),"FT%")</f>
        <v>FT%</v>
      </c>
      <c r="O6697" s="4" t="str">
        <f>IFERROR(__xludf.DUMMYFUNCTION("""COMPUTED_VALUE"""),"MP")</f>
        <v>MP</v>
      </c>
      <c r="P6697" s="4" t="str">
        <f>IFERROR(__xludf.DUMMYFUNCTION("""COMPUTED_VALUE"""),"PTS")</f>
        <v>PTS</v>
      </c>
      <c r="Q6697" s="4" t="str">
        <f>IFERROR(__xludf.DUMMYFUNCTION("""COMPUTED_VALUE"""),"TRB")</f>
        <v>TRB</v>
      </c>
      <c r="R6697" s="4" t="str">
        <f>IFERROR(__xludf.DUMMYFUNCTION("""COMPUTED_VALUE"""),"AST")</f>
        <v>AST</v>
      </c>
      <c r="S6697" s="4" t="str">
        <f>IFERROR(__xludf.DUMMYFUNCTION("""COMPUTED_VALUE"""),"WS")</f>
        <v>WS</v>
      </c>
      <c r="T6697" s="4" t="str">
        <f>IFERROR(__xludf.DUMMYFUNCTION("""COMPUTED_VALUE"""),"WS/48")</f>
        <v>WS/48</v>
      </c>
      <c r="U6697" s="4" t="str">
        <f>IFERROR(__xludf.DUMMYFUNCTION("""COMPUTED_VALUE"""),"BPM")</f>
        <v>BPM</v>
      </c>
      <c r="V6697" s="4" t="str">
        <f>IFERROR(__xludf.DUMMYFUNCTION("""COMPUTED_VALUE"""),"VORP")</f>
        <v>VORP</v>
      </c>
    </row>
    <row r="6698">
      <c r="A6698" s="4">
        <f>IFERROR(__xludf.DUMMYFUNCTION("""COMPUTED_VALUE"""),169.0)</f>
        <v>169</v>
      </c>
      <c r="B6698" s="4">
        <f>IFERROR(__xludf.DUMMYFUNCTION("""COMPUTED_VALUE"""),169.0)</f>
        <v>169</v>
      </c>
      <c r="C6698" s="4" t="str">
        <f>IFERROR(__xludf.DUMMYFUNCTION("""COMPUTED_VALUE"""),"PHO")</f>
        <v>PHO</v>
      </c>
      <c r="D6698" s="4" t="str">
        <f>IFERROR(__xludf.DUMMYFUNCTION("""COMPUTED_VALUE"""),"Andy White")</f>
        <v>Andy White</v>
      </c>
      <c r="E6698" s="4" t="str">
        <f>IFERROR(__xludf.DUMMYFUNCTION("""COMPUTED_VALUE"""),"Texas-El Paso")</f>
        <v>Texas-El Paso</v>
      </c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</row>
    <row r="6699">
      <c r="A6699" s="4">
        <f>IFERROR(__xludf.DUMMYFUNCTION("""COMPUTED_VALUE"""),170.0)</f>
        <v>170</v>
      </c>
      <c r="B6699" s="4">
        <f>IFERROR(__xludf.DUMMYFUNCTION("""COMPUTED_VALUE"""),170.0)</f>
        <v>170</v>
      </c>
      <c r="C6699" s="4" t="str">
        <f>IFERROR(__xludf.DUMMYFUNCTION("""COMPUTED_VALUE"""),"MIL")</f>
        <v>MIL</v>
      </c>
      <c r="D6699" s="4" t="str">
        <f>IFERROR(__xludf.DUMMYFUNCTION("""COMPUTED_VALUE"""),"Leo Osgood")</f>
        <v>Leo Osgood</v>
      </c>
      <c r="E6699" s="4" t="str">
        <f>IFERROR(__xludf.DUMMYFUNCTION("""COMPUTED_VALUE"""),"Northeastern University")</f>
        <v>Northeastern University</v>
      </c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</row>
    <row r="6700">
      <c r="A6700" s="4">
        <f>IFERROR(__xludf.DUMMYFUNCTION("""COMPUTED_VALUE"""),171.0)</f>
        <v>171</v>
      </c>
      <c r="B6700" s="4">
        <f>IFERROR(__xludf.DUMMYFUNCTION("""COMPUTED_VALUE"""),171.0)</f>
        <v>171</v>
      </c>
      <c r="C6700" s="4" t="str">
        <f>IFERROR(__xludf.DUMMYFUNCTION("""COMPUTED_VALUE"""),"SEA")</f>
        <v>SEA</v>
      </c>
      <c r="D6700" s="4" t="str">
        <f>IFERROR(__xludf.DUMMYFUNCTION("""COMPUTED_VALUE"""),"Bob Burrows")</f>
        <v>Bob Burrows</v>
      </c>
      <c r="E6700" s="4" t="str">
        <f>IFERROR(__xludf.DUMMYFUNCTION("""COMPUTED_VALUE"""),"Seattle Pacific University")</f>
        <v>Seattle Pacific University</v>
      </c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</row>
    <row r="6701">
      <c r="A6701" s="4">
        <f>IFERROR(__xludf.DUMMYFUNCTION("""COMPUTED_VALUE"""),172.0)</f>
        <v>172</v>
      </c>
      <c r="B6701" s="4">
        <f>IFERROR(__xludf.DUMMYFUNCTION("""COMPUTED_VALUE"""),172.0)</f>
        <v>172</v>
      </c>
      <c r="C6701" s="4" t="str">
        <f>IFERROR(__xludf.DUMMYFUNCTION("""COMPUTED_VALUE"""),"CHI")</f>
        <v>CHI</v>
      </c>
      <c r="D6701" s="4" t="str">
        <f>IFERROR(__xludf.DUMMYFUNCTION("""COMPUTED_VALUE"""),"Rich Kirkland")</f>
        <v>Rich Kirkland</v>
      </c>
      <c r="E6701" s="4" t="str">
        <f>IFERROR(__xludf.DUMMYFUNCTION("""COMPUTED_VALUE"""),"Norfolk State")</f>
        <v>Norfolk State</v>
      </c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</row>
    <row r="6702">
      <c r="A6702" s="4">
        <f>IFERROR(__xludf.DUMMYFUNCTION("""COMPUTED_VALUE"""),173.0)</f>
        <v>173</v>
      </c>
      <c r="B6702" s="4">
        <f>IFERROR(__xludf.DUMMYFUNCTION("""COMPUTED_VALUE"""),173.0)</f>
        <v>173</v>
      </c>
      <c r="C6702" s="4" t="str">
        <f>IFERROR(__xludf.DUMMYFUNCTION("""COMPUTED_VALUE"""),"SDR")</f>
        <v>SDR</v>
      </c>
      <c r="D6702" s="4" t="str">
        <f>IFERROR(__xludf.DUMMYFUNCTION("""COMPUTED_VALUE"""),"Joe McBride")</f>
        <v>Joe McBride</v>
      </c>
      <c r="E6702" s="4" t="str">
        <f>IFERROR(__xludf.DUMMYFUNCTION("""COMPUTED_VALUE"""),"Augusta State University")</f>
        <v>Augusta State University</v>
      </c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</row>
    <row r="6703">
      <c r="A6703" s="4">
        <f>IFERROR(__xludf.DUMMYFUNCTION("""COMPUTED_VALUE"""),174.0)</f>
        <v>174</v>
      </c>
      <c r="B6703" s="4">
        <f>IFERROR(__xludf.DUMMYFUNCTION("""COMPUTED_VALUE"""),174.0)</f>
        <v>174</v>
      </c>
      <c r="C6703" s="4" t="str">
        <f>IFERROR(__xludf.DUMMYFUNCTION("""COMPUTED_VALUE"""),"CIN")</f>
        <v>CIN</v>
      </c>
      <c r="D6703" s="4" t="str">
        <f>IFERROR(__xludf.DUMMYFUNCTION("""COMPUTED_VALUE"""),"Ted Johnson")</f>
        <v>Ted Johnson</v>
      </c>
      <c r="E6703" s="4" t="str">
        <f>IFERROR(__xludf.DUMMYFUNCTION("""COMPUTED_VALUE"""),"Baldwin-Wallace College")</f>
        <v>Baldwin-Wallace College</v>
      </c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</row>
    <row r="6704">
      <c r="A6704" s="4">
        <f>IFERROR(__xludf.DUMMYFUNCTION("""COMPUTED_VALUE"""),175.0)</f>
        <v>175</v>
      </c>
      <c r="B6704" s="4">
        <f>IFERROR(__xludf.DUMMYFUNCTION("""COMPUTED_VALUE"""),175.0)</f>
        <v>175</v>
      </c>
      <c r="C6704" s="4" t="str">
        <f>IFERROR(__xludf.DUMMYFUNCTION("""COMPUTED_VALUE"""),"BOS")</f>
        <v>BOS</v>
      </c>
      <c r="D6704" s="4" t="str">
        <f>IFERROR(__xludf.DUMMYFUNCTION("""COMPUTED_VALUE"""),"Billy Evans")</f>
        <v>Billy Evans</v>
      </c>
      <c r="E6704" s="4" t="str">
        <f>IFERROR(__xludf.DUMMYFUNCTION("""COMPUTED_VALUE"""),"Boston College")</f>
        <v>Boston College</v>
      </c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</row>
    <row r="6705">
      <c r="A6705" s="4">
        <f>IFERROR(__xludf.DUMMYFUNCTION("""COMPUTED_VALUE"""),176.0)</f>
        <v>176</v>
      </c>
      <c r="B6705" s="4">
        <f>IFERROR(__xludf.DUMMYFUNCTION("""COMPUTED_VALUE"""),176.0)</f>
        <v>176</v>
      </c>
      <c r="C6705" s="4" t="str">
        <f>IFERROR(__xludf.DUMMYFUNCTION("""COMPUTED_VALUE"""),"ATL")</f>
        <v>ATL</v>
      </c>
      <c r="D6705" s="4" t="str">
        <f>IFERROR(__xludf.DUMMYFUNCTION("""COMPUTED_VALUE"""),"Dick Barton")</f>
        <v>Dick Barton</v>
      </c>
      <c r="E6705" s="4" t="str">
        <f>IFERROR(__xludf.DUMMYFUNCTION("""COMPUTED_VALUE"""),"University of California, Riverside")</f>
        <v>University of California, Riverside</v>
      </c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</row>
    <row r="6706">
      <c r="A6706" s="4">
        <f>IFERROR(__xludf.DUMMYFUNCTION("""COMPUTED_VALUE"""),177.0)</f>
        <v>177</v>
      </c>
      <c r="B6706" s="4">
        <f>IFERROR(__xludf.DUMMYFUNCTION("""COMPUTED_VALUE"""),177.0)</f>
        <v>177</v>
      </c>
      <c r="C6706" s="4" t="str">
        <f>IFERROR(__xludf.DUMMYFUNCTION("""COMPUTED_VALUE"""),"NYK")</f>
        <v>NYK</v>
      </c>
      <c r="D6706" s="4" t="str">
        <f>IFERROR(__xludf.DUMMYFUNCTION("""COMPUTED_VALUE"""),"James Wyatt")</f>
        <v>James Wyatt</v>
      </c>
      <c r="E6706" s="4" t="str">
        <f>IFERROR(__xludf.DUMMYFUNCTION("""COMPUTED_VALUE"""),"Northwestern State University")</f>
        <v>Northwestern State University</v>
      </c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</row>
    <row r="6707">
      <c r="A6707" s="4">
        <f>IFERROR(__xludf.DUMMYFUNCTION("""COMPUTED_VALUE"""),178.0)</f>
        <v>178</v>
      </c>
      <c r="B6707" s="4">
        <f>IFERROR(__xludf.DUMMYFUNCTION("""COMPUTED_VALUE"""),178.0)</f>
        <v>178</v>
      </c>
      <c r="C6707" s="4" t="str">
        <f>IFERROR(__xludf.DUMMYFUNCTION("""COMPUTED_VALUE"""),"LAL")</f>
        <v>LAL</v>
      </c>
      <c r="D6707" s="4" t="str">
        <f>IFERROR(__xludf.DUMMYFUNCTION("""COMPUTED_VALUE"""),"Mallory Chestnut")</f>
        <v>Mallory Chestnut</v>
      </c>
      <c r="E6707" s="4" t="str">
        <f>IFERROR(__xludf.DUMMYFUNCTION("""COMPUTED_VALUE"""),"Tuskegee University")</f>
        <v>Tuskegee University</v>
      </c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</row>
    <row r="6708">
      <c r="A6708" s="4">
        <f>IFERROR(__xludf.DUMMYFUNCTION("""COMPUTED_VALUE"""),179.0)</f>
        <v>179</v>
      </c>
      <c r="B6708" s="4">
        <f>IFERROR(__xludf.DUMMYFUNCTION("""COMPUTED_VALUE"""),179.0)</f>
        <v>179</v>
      </c>
      <c r="C6708" s="4" t="str">
        <f>IFERROR(__xludf.DUMMYFUNCTION("""COMPUTED_VALUE"""),"BAL")</f>
        <v>BAL</v>
      </c>
      <c r="D6708" s="4" t="str">
        <f>IFERROR(__xludf.DUMMYFUNCTION("""COMPUTED_VALUE"""),"Bill Thompson")</f>
        <v>Bill Thompson</v>
      </c>
      <c r="E6708" s="4" t="str">
        <f>IFERROR(__xludf.DUMMYFUNCTION("""COMPUTED_VALUE"""),"Shepherd College")</f>
        <v>Shepherd College</v>
      </c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</row>
    <row r="6709">
      <c r="A6709" s="4"/>
      <c r="B6709" s="4"/>
      <c r="C6709" s="4"/>
      <c r="D6709" s="4" t="str">
        <f>IFERROR(__xludf.DUMMYFUNCTION("""COMPUTED_VALUE"""),"Round 14")</f>
        <v>Round 14</v>
      </c>
      <c r="E6709" s="4"/>
      <c r="F6709" s="4"/>
      <c r="G6709" s="4" t="str">
        <f>IFERROR(__xludf.DUMMYFUNCTION("""COMPUTED_VALUE"""),"Totals")</f>
        <v>Totals</v>
      </c>
      <c r="H6709" s="4"/>
      <c r="I6709" s="4"/>
      <c r="J6709" s="4"/>
      <c r="K6709" s="4"/>
      <c r="L6709" s="4" t="str">
        <f>IFERROR(__xludf.DUMMYFUNCTION("""COMPUTED_VALUE"""),"Shooting")</f>
        <v>Shooting</v>
      </c>
      <c r="M6709" s="4"/>
      <c r="N6709" s="4"/>
      <c r="O6709" s="4" t="str">
        <f>IFERROR(__xludf.DUMMYFUNCTION("""COMPUTED_VALUE"""),"Per Game")</f>
        <v>Per Game</v>
      </c>
      <c r="P6709" s="4"/>
      <c r="Q6709" s="4"/>
      <c r="R6709" s="4"/>
      <c r="S6709" s="4" t="str">
        <f>IFERROR(__xludf.DUMMYFUNCTION("""COMPUTED_VALUE"""),"Advanced")</f>
        <v>Advanced</v>
      </c>
      <c r="T6709" s="4"/>
      <c r="U6709" s="4"/>
      <c r="V6709" s="4"/>
    </row>
    <row r="6710">
      <c r="A6710" s="4" t="str">
        <f>IFERROR(__xludf.DUMMYFUNCTION("""COMPUTED_VALUE"""),"Rk")</f>
        <v>Rk</v>
      </c>
      <c r="B6710" s="4" t="str">
        <f>IFERROR(__xludf.DUMMYFUNCTION("""COMPUTED_VALUE"""),"Pk")</f>
        <v>Pk</v>
      </c>
      <c r="C6710" s="4" t="str">
        <f>IFERROR(__xludf.DUMMYFUNCTION("""COMPUTED_VALUE"""),"Tm")</f>
        <v>Tm</v>
      </c>
      <c r="D6710" s="4" t="str">
        <f>IFERROR(__xludf.DUMMYFUNCTION("""COMPUTED_VALUE"""),"Player")</f>
        <v>Player</v>
      </c>
      <c r="E6710" s="4" t="str">
        <f>IFERROR(__xludf.DUMMYFUNCTION("""COMPUTED_VALUE"""),"College")</f>
        <v>College</v>
      </c>
      <c r="F6710" s="4" t="str">
        <f>IFERROR(__xludf.DUMMYFUNCTION("""COMPUTED_VALUE"""),"Yrs")</f>
        <v>Yrs</v>
      </c>
      <c r="G6710" s="4" t="str">
        <f>IFERROR(__xludf.DUMMYFUNCTION("""COMPUTED_VALUE"""),"G")</f>
        <v>G</v>
      </c>
      <c r="H6710" s="4" t="str">
        <f>IFERROR(__xludf.DUMMYFUNCTION("""COMPUTED_VALUE"""),"MP")</f>
        <v>MP</v>
      </c>
      <c r="I6710" s="4" t="str">
        <f>IFERROR(__xludf.DUMMYFUNCTION("""COMPUTED_VALUE"""),"PTS")</f>
        <v>PTS</v>
      </c>
      <c r="J6710" s="4" t="str">
        <f>IFERROR(__xludf.DUMMYFUNCTION("""COMPUTED_VALUE"""),"TRB")</f>
        <v>TRB</v>
      </c>
      <c r="K6710" s="4" t="str">
        <f>IFERROR(__xludf.DUMMYFUNCTION("""COMPUTED_VALUE"""),"AST")</f>
        <v>AST</v>
      </c>
      <c r="L6710" s="4" t="str">
        <f>IFERROR(__xludf.DUMMYFUNCTION("""COMPUTED_VALUE"""),"FG%")</f>
        <v>FG%</v>
      </c>
      <c r="M6710" s="4" t="str">
        <f>IFERROR(__xludf.DUMMYFUNCTION("""COMPUTED_VALUE"""),"3P%")</f>
        <v>3P%</v>
      </c>
      <c r="N6710" s="4" t="str">
        <f>IFERROR(__xludf.DUMMYFUNCTION("""COMPUTED_VALUE"""),"FT%")</f>
        <v>FT%</v>
      </c>
      <c r="O6710" s="4" t="str">
        <f>IFERROR(__xludf.DUMMYFUNCTION("""COMPUTED_VALUE"""),"MP")</f>
        <v>MP</v>
      </c>
      <c r="P6710" s="4" t="str">
        <f>IFERROR(__xludf.DUMMYFUNCTION("""COMPUTED_VALUE"""),"PTS")</f>
        <v>PTS</v>
      </c>
      <c r="Q6710" s="4" t="str">
        <f>IFERROR(__xludf.DUMMYFUNCTION("""COMPUTED_VALUE"""),"TRB")</f>
        <v>TRB</v>
      </c>
      <c r="R6710" s="4" t="str">
        <f>IFERROR(__xludf.DUMMYFUNCTION("""COMPUTED_VALUE"""),"AST")</f>
        <v>AST</v>
      </c>
      <c r="S6710" s="4" t="str">
        <f>IFERROR(__xludf.DUMMYFUNCTION("""COMPUTED_VALUE"""),"WS")</f>
        <v>WS</v>
      </c>
      <c r="T6710" s="4" t="str">
        <f>IFERROR(__xludf.DUMMYFUNCTION("""COMPUTED_VALUE"""),"WS/48")</f>
        <v>WS/48</v>
      </c>
      <c r="U6710" s="4" t="str">
        <f>IFERROR(__xludf.DUMMYFUNCTION("""COMPUTED_VALUE"""),"BPM")</f>
        <v>BPM</v>
      </c>
      <c r="V6710" s="4" t="str">
        <f>IFERROR(__xludf.DUMMYFUNCTION("""COMPUTED_VALUE"""),"VORP")</f>
        <v>VORP</v>
      </c>
    </row>
    <row r="6711">
      <c r="A6711" s="4">
        <f>IFERROR(__xludf.DUMMYFUNCTION("""COMPUTED_VALUE"""),180.0)</f>
        <v>180</v>
      </c>
      <c r="B6711" s="4">
        <f>IFERROR(__xludf.DUMMYFUNCTION("""COMPUTED_VALUE"""),180.0)</f>
        <v>180</v>
      </c>
      <c r="C6711" s="4" t="str">
        <f>IFERROR(__xludf.DUMMYFUNCTION("""COMPUTED_VALUE"""),"PHO")</f>
        <v>PHO</v>
      </c>
      <c r="D6711" s="4" t="str">
        <f>IFERROR(__xludf.DUMMYFUNCTION("""COMPUTED_VALUE"""),"Marv Schmitt")</f>
        <v>Marv Schmitt</v>
      </c>
      <c r="E6711" s="4" t="str">
        <f>IFERROR(__xludf.DUMMYFUNCTION("""COMPUTED_VALUE"""),"Western New Mexico University")</f>
        <v>Western New Mexico University</v>
      </c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</row>
    <row r="6712">
      <c r="A6712" s="4">
        <f>IFERROR(__xludf.DUMMYFUNCTION("""COMPUTED_VALUE"""),181.0)</f>
        <v>181</v>
      </c>
      <c r="B6712" s="4">
        <f>IFERROR(__xludf.DUMMYFUNCTION("""COMPUTED_VALUE"""),181.0)</f>
        <v>181</v>
      </c>
      <c r="C6712" s="4" t="str">
        <f>IFERROR(__xludf.DUMMYFUNCTION("""COMPUTED_VALUE"""),"MIL")</f>
        <v>MIL</v>
      </c>
      <c r="D6712" s="4" t="str">
        <f>IFERROR(__xludf.DUMMYFUNCTION("""COMPUTED_VALUE"""),"Waymon Stewart")</f>
        <v>Waymon Stewart</v>
      </c>
      <c r="E6712" s="4" t="str">
        <f>IFERROR(__xludf.DUMMYFUNCTION("""COMPUTED_VALUE"""),"Lakeland College")</f>
        <v>Lakeland College</v>
      </c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</row>
    <row r="6713">
      <c r="A6713" s="4">
        <f>IFERROR(__xludf.DUMMYFUNCTION("""COMPUTED_VALUE"""),182.0)</f>
        <v>182</v>
      </c>
      <c r="B6713" s="4">
        <f>IFERROR(__xludf.DUMMYFUNCTION("""COMPUTED_VALUE"""),182.0)</f>
        <v>182</v>
      </c>
      <c r="C6713" s="4" t="str">
        <f>IFERROR(__xludf.DUMMYFUNCTION("""COMPUTED_VALUE"""),"SEA")</f>
        <v>SEA</v>
      </c>
      <c r="D6713" s="4" t="str">
        <f>IFERROR(__xludf.DUMMYFUNCTION("""COMPUTED_VALUE"""),"Jerry Conley")</f>
        <v>Jerry Conley</v>
      </c>
      <c r="E6713" s="4" t="str">
        <f>IFERROR(__xludf.DUMMYFUNCTION("""COMPUTED_VALUE"""),"Morehead State University")</f>
        <v>Morehead State University</v>
      </c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</row>
    <row r="6714">
      <c r="A6714" s="4">
        <f>IFERROR(__xludf.DUMMYFUNCTION("""COMPUTED_VALUE"""),183.0)</f>
        <v>183</v>
      </c>
      <c r="B6714" s="4">
        <f>IFERROR(__xludf.DUMMYFUNCTION("""COMPUTED_VALUE"""),183.0)</f>
        <v>183</v>
      </c>
      <c r="C6714" s="4" t="str">
        <f>IFERROR(__xludf.DUMMYFUNCTION("""COMPUTED_VALUE"""),"CHI")</f>
        <v>CHI</v>
      </c>
      <c r="D6714" s="4" t="str">
        <f>IFERROR(__xludf.DUMMYFUNCTION("""COMPUTED_VALUE"""),"Bill Voight")</f>
        <v>Bill Voight</v>
      </c>
      <c r="E6714" s="4" t="str">
        <f>IFERROR(__xludf.DUMMYFUNCTION("""COMPUTED_VALUE"""),"SMU")</f>
        <v>SMU</v>
      </c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</row>
    <row r="6715">
      <c r="A6715" s="4">
        <f>IFERROR(__xludf.DUMMYFUNCTION("""COMPUTED_VALUE"""),184.0)</f>
        <v>184</v>
      </c>
      <c r="B6715" s="4">
        <f>IFERROR(__xludf.DUMMYFUNCTION("""COMPUTED_VALUE"""),184.0)</f>
        <v>184</v>
      </c>
      <c r="C6715" s="4" t="str">
        <f>IFERROR(__xludf.DUMMYFUNCTION("""COMPUTED_VALUE"""),"SDR")</f>
        <v>SDR</v>
      </c>
      <c r="D6715" s="4" t="str">
        <f>IFERROR(__xludf.DUMMYFUNCTION("""COMPUTED_VALUE"""),"Mike Heckman")</f>
        <v>Mike Heckman</v>
      </c>
      <c r="E6715" s="4" t="str">
        <f>IFERROR(__xludf.DUMMYFUNCTION("""COMPUTED_VALUE"""),"University of California, Irvine")</f>
        <v>University of California, Irvine</v>
      </c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</row>
    <row r="6716">
      <c r="A6716" s="4">
        <f>IFERROR(__xludf.DUMMYFUNCTION("""COMPUTED_VALUE"""),185.0)</f>
        <v>185</v>
      </c>
      <c r="B6716" s="4">
        <f>IFERROR(__xludf.DUMMYFUNCTION("""COMPUTED_VALUE"""),185.0)</f>
        <v>185</v>
      </c>
      <c r="C6716" s="4" t="str">
        <f>IFERROR(__xludf.DUMMYFUNCTION("""COMPUTED_VALUE"""),"ATL")</f>
        <v>ATL</v>
      </c>
      <c r="D6716" s="4" t="str">
        <f>IFERROR(__xludf.DUMMYFUNCTION("""COMPUTED_VALUE"""),"Mike Dahl")</f>
        <v>Mike Dahl</v>
      </c>
      <c r="E6716" s="4" t="str">
        <f>IFERROR(__xludf.DUMMYFUNCTION("""COMPUTED_VALUE"""),"Oglethorpe University")</f>
        <v>Oglethorpe University</v>
      </c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</row>
    <row r="6717">
      <c r="A6717" s="4">
        <f>IFERROR(__xludf.DUMMYFUNCTION("""COMPUTED_VALUE"""),186.0)</f>
        <v>186</v>
      </c>
      <c r="B6717" s="4">
        <f>IFERROR(__xludf.DUMMYFUNCTION("""COMPUTED_VALUE"""),186.0)</f>
        <v>186</v>
      </c>
      <c r="C6717" s="4" t="str">
        <f>IFERROR(__xludf.DUMMYFUNCTION("""COMPUTED_VALUE"""),"NYK")</f>
        <v>NYK</v>
      </c>
      <c r="D6717" s="4" t="str">
        <f>IFERROR(__xludf.DUMMYFUNCTION("""COMPUTED_VALUE"""),"Rich Travis")</f>
        <v>Rich Travis</v>
      </c>
      <c r="E6717" s="4" t="str">
        <f>IFERROR(__xludf.DUMMYFUNCTION("""COMPUTED_VALUE"""),"Oklahoma City University")</f>
        <v>Oklahoma City University</v>
      </c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</row>
    <row r="6718">
      <c r="A6718" s="4">
        <f>IFERROR(__xludf.DUMMYFUNCTION("""COMPUTED_VALUE"""),187.0)</f>
        <v>187</v>
      </c>
      <c r="B6718" s="4">
        <f>IFERROR(__xludf.DUMMYFUNCTION("""COMPUTED_VALUE"""),187.0)</f>
        <v>187</v>
      </c>
      <c r="C6718" s="4" t="str">
        <f>IFERROR(__xludf.DUMMYFUNCTION("""COMPUTED_VALUE"""),"LAL")</f>
        <v>LAL</v>
      </c>
      <c r="D6718" s="4" t="str">
        <f>IFERROR(__xludf.DUMMYFUNCTION("""COMPUTED_VALUE"""),"Mack Calvin")</f>
        <v>Mack Calvin</v>
      </c>
      <c r="E6718" s="4" t="str">
        <f>IFERROR(__xludf.DUMMYFUNCTION("""COMPUTED_VALUE"""),"USC")</f>
        <v>USC</v>
      </c>
      <c r="F6718" s="4">
        <f>IFERROR(__xludf.DUMMYFUNCTION("""COMPUTED_VALUE"""),4.0)</f>
        <v>4</v>
      </c>
      <c r="G6718" s="4">
        <f>IFERROR(__xludf.DUMMYFUNCTION("""COMPUTED_VALUE"""),222.0)</f>
        <v>222</v>
      </c>
      <c r="H6718" s="4">
        <f>IFERROR(__xludf.DUMMYFUNCTION("""COMPUTED_VALUE"""),3326.0)</f>
        <v>3326</v>
      </c>
      <c r="I6718" s="4">
        <f>IFERROR(__xludf.DUMMYFUNCTION("""COMPUTED_VALUE"""),1552.0)</f>
        <v>1552</v>
      </c>
      <c r="J6718" s="4">
        <f>IFERROR(__xludf.DUMMYFUNCTION("""COMPUTED_VALUE"""),276.0)</f>
        <v>276</v>
      </c>
      <c r="K6718" s="4">
        <f>IFERROR(__xludf.DUMMYFUNCTION("""COMPUTED_VALUE"""),550.0)</f>
        <v>550</v>
      </c>
      <c r="L6718" s="4">
        <f>IFERROR(__xludf.DUMMYFUNCTION("""COMPUTED_VALUE"""),0.42)</f>
        <v>0.42</v>
      </c>
      <c r="M6718" s="4"/>
      <c r="N6718" s="4">
        <f>IFERROR(__xludf.DUMMYFUNCTION("""COMPUTED_VALUE"""),0.848)</f>
        <v>0.848</v>
      </c>
      <c r="O6718" s="4">
        <f>IFERROR(__xludf.DUMMYFUNCTION("""COMPUTED_VALUE"""),15.0)</f>
        <v>15</v>
      </c>
      <c r="P6718" s="4">
        <f>IFERROR(__xludf.DUMMYFUNCTION("""COMPUTED_VALUE"""),7.0)</f>
        <v>7</v>
      </c>
      <c r="Q6718" s="4">
        <f>IFERROR(__xludf.DUMMYFUNCTION("""COMPUTED_VALUE"""),1.2)</f>
        <v>1.2</v>
      </c>
      <c r="R6718" s="4">
        <f>IFERROR(__xludf.DUMMYFUNCTION("""COMPUTED_VALUE"""),2.5)</f>
        <v>2.5</v>
      </c>
      <c r="S6718" s="4">
        <f>IFERROR(__xludf.DUMMYFUNCTION("""COMPUTED_VALUE"""),5.9)</f>
        <v>5.9</v>
      </c>
      <c r="T6718" s="4">
        <f>IFERROR(__xludf.DUMMYFUNCTION("""COMPUTED_VALUE"""),0.086)</f>
        <v>0.086</v>
      </c>
      <c r="U6718" s="4">
        <f>IFERROR(__xludf.DUMMYFUNCTION("""COMPUTED_VALUE"""),-1.8)</f>
        <v>-1.8</v>
      </c>
      <c r="V6718" s="4">
        <f>IFERROR(__xludf.DUMMYFUNCTION("""COMPUTED_VALUE"""),0.1)</f>
        <v>0.1</v>
      </c>
    </row>
    <row r="6719">
      <c r="A6719" s="4">
        <f>IFERROR(__xludf.DUMMYFUNCTION("""COMPUTED_VALUE"""),188.0)</f>
        <v>188</v>
      </c>
      <c r="B6719" s="4">
        <f>IFERROR(__xludf.DUMMYFUNCTION("""COMPUTED_VALUE"""),188.0)</f>
        <v>188</v>
      </c>
      <c r="C6719" s="4" t="str">
        <f>IFERROR(__xludf.DUMMYFUNCTION("""COMPUTED_VALUE"""),"BAL")</f>
        <v>BAL</v>
      </c>
      <c r="D6719" s="4" t="str">
        <f>IFERROR(__xludf.DUMMYFUNCTION("""COMPUTED_VALUE"""),"Perry Johnson")</f>
        <v>Perry Johnson</v>
      </c>
      <c r="E6719" s="4" t="str">
        <f>IFERROR(__xludf.DUMMYFUNCTION("""COMPUTED_VALUE"""),"Robert Morris University (PA)")</f>
        <v>Robert Morris University (PA)</v>
      </c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</row>
    <row r="6720">
      <c r="A6720" s="4"/>
      <c r="B6720" s="4"/>
      <c r="C6720" s="4"/>
      <c r="D6720" s="4" t="str">
        <f>IFERROR(__xludf.DUMMYFUNCTION("""COMPUTED_VALUE"""),"Round 15")</f>
        <v>Round 15</v>
      </c>
      <c r="E6720" s="4"/>
      <c r="F6720" s="4"/>
      <c r="G6720" s="4" t="str">
        <f>IFERROR(__xludf.DUMMYFUNCTION("""COMPUTED_VALUE"""),"Totals")</f>
        <v>Totals</v>
      </c>
      <c r="H6720" s="4"/>
      <c r="I6720" s="4"/>
      <c r="J6720" s="4"/>
      <c r="K6720" s="4"/>
      <c r="L6720" s="4" t="str">
        <f>IFERROR(__xludf.DUMMYFUNCTION("""COMPUTED_VALUE"""),"Shooting")</f>
        <v>Shooting</v>
      </c>
      <c r="M6720" s="4"/>
      <c r="N6720" s="4"/>
      <c r="O6720" s="4" t="str">
        <f>IFERROR(__xludf.DUMMYFUNCTION("""COMPUTED_VALUE"""),"Per Game")</f>
        <v>Per Game</v>
      </c>
      <c r="P6720" s="4"/>
      <c r="Q6720" s="4"/>
      <c r="R6720" s="4"/>
      <c r="S6720" s="4" t="str">
        <f>IFERROR(__xludf.DUMMYFUNCTION("""COMPUTED_VALUE"""),"Advanced")</f>
        <v>Advanced</v>
      </c>
      <c r="T6720" s="4"/>
      <c r="U6720" s="4"/>
      <c r="V6720" s="4"/>
    </row>
    <row r="6721">
      <c r="A6721" s="4" t="str">
        <f>IFERROR(__xludf.DUMMYFUNCTION("""COMPUTED_VALUE"""),"Rk")</f>
        <v>Rk</v>
      </c>
      <c r="B6721" s="4" t="str">
        <f>IFERROR(__xludf.DUMMYFUNCTION("""COMPUTED_VALUE"""),"Pk")</f>
        <v>Pk</v>
      </c>
      <c r="C6721" s="4" t="str">
        <f>IFERROR(__xludf.DUMMYFUNCTION("""COMPUTED_VALUE"""),"Tm")</f>
        <v>Tm</v>
      </c>
      <c r="D6721" s="4" t="str">
        <f>IFERROR(__xludf.DUMMYFUNCTION("""COMPUTED_VALUE"""),"Player")</f>
        <v>Player</v>
      </c>
      <c r="E6721" s="4" t="str">
        <f>IFERROR(__xludf.DUMMYFUNCTION("""COMPUTED_VALUE"""),"College")</f>
        <v>College</v>
      </c>
      <c r="F6721" s="4" t="str">
        <f>IFERROR(__xludf.DUMMYFUNCTION("""COMPUTED_VALUE"""),"Yrs")</f>
        <v>Yrs</v>
      </c>
      <c r="G6721" s="4" t="str">
        <f>IFERROR(__xludf.DUMMYFUNCTION("""COMPUTED_VALUE"""),"G")</f>
        <v>G</v>
      </c>
      <c r="H6721" s="4" t="str">
        <f>IFERROR(__xludf.DUMMYFUNCTION("""COMPUTED_VALUE"""),"MP")</f>
        <v>MP</v>
      </c>
      <c r="I6721" s="4" t="str">
        <f>IFERROR(__xludf.DUMMYFUNCTION("""COMPUTED_VALUE"""),"PTS")</f>
        <v>PTS</v>
      </c>
      <c r="J6721" s="4" t="str">
        <f>IFERROR(__xludf.DUMMYFUNCTION("""COMPUTED_VALUE"""),"TRB")</f>
        <v>TRB</v>
      </c>
      <c r="K6721" s="4" t="str">
        <f>IFERROR(__xludf.DUMMYFUNCTION("""COMPUTED_VALUE"""),"AST")</f>
        <v>AST</v>
      </c>
      <c r="L6721" s="4" t="str">
        <f>IFERROR(__xludf.DUMMYFUNCTION("""COMPUTED_VALUE"""),"FG%")</f>
        <v>FG%</v>
      </c>
      <c r="M6721" s="4" t="str">
        <f>IFERROR(__xludf.DUMMYFUNCTION("""COMPUTED_VALUE"""),"3P%")</f>
        <v>3P%</v>
      </c>
      <c r="N6721" s="4" t="str">
        <f>IFERROR(__xludf.DUMMYFUNCTION("""COMPUTED_VALUE"""),"FT%")</f>
        <v>FT%</v>
      </c>
      <c r="O6721" s="4" t="str">
        <f>IFERROR(__xludf.DUMMYFUNCTION("""COMPUTED_VALUE"""),"MP")</f>
        <v>MP</v>
      </c>
      <c r="P6721" s="4" t="str">
        <f>IFERROR(__xludf.DUMMYFUNCTION("""COMPUTED_VALUE"""),"PTS")</f>
        <v>PTS</v>
      </c>
      <c r="Q6721" s="4" t="str">
        <f>IFERROR(__xludf.DUMMYFUNCTION("""COMPUTED_VALUE"""),"TRB")</f>
        <v>TRB</v>
      </c>
      <c r="R6721" s="4" t="str">
        <f>IFERROR(__xludf.DUMMYFUNCTION("""COMPUTED_VALUE"""),"AST")</f>
        <v>AST</v>
      </c>
      <c r="S6721" s="4" t="str">
        <f>IFERROR(__xludf.DUMMYFUNCTION("""COMPUTED_VALUE"""),"WS")</f>
        <v>WS</v>
      </c>
      <c r="T6721" s="4" t="str">
        <f>IFERROR(__xludf.DUMMYFUNCTION("""COMPUTED_VALUE"""),"WS/48")</f>
        <v>WS/48</v>
      </c>
      <c r="U6721" s="4" t="str">
        <f>IFERROR(__xludf.DUMMYFUNCTION("""COMPUTED_VALUE"""),"BPM")</f>
        <v>BPM</v>
      </c>
      <c r="V6721" s="4" t="str">
        <f>IFERROR(__xludf.DUMMYFUNCTION("""COMPUTED_VALUE"""),"VORP")</f>
        <v>VORP</v>
      </c>
    </row>
    <row r="6722">
      <c r="A6722" s="4">
        <f>IFERROR(__xludf.DUMMYFUNCTION("""COMPUTED_VALUE"""),189.0)</f>
        <v>189</v>
      </c>
      <c r="B6722" s="4">
        <f>IFERROR(__xludf.DUMMYFUNCTION("""COMPUTED_VALUE"""),189.0)</f>
        <v>189</v>
      </c>
      <c r="C6722" s="4" t="str">
        <f>IFERROR(__xludf.DUMMYFUNCTION("""COMPUTED_VALUE"""),"PHO")</f>
        <v>PHO</v>
      </c>
      <c r="D6722" s="4" t="str">
        <f>IFERROR(__xludf.DUMMYFUNCTION("""COMPUTED_VALUE"""),"Bob Beamon")</f>
        <v>Bob Beamon</v>
      </c>
      <c r="E6722" s="4" t="str">
        <f>IFERROR(__xludf.DUMMYFUNCTION("""COMPUTED_VALUE"""),"Texas-El Paso")</f>
        <v>Texas-El Paso</v>
      </c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</row>
    <row r="6723">
      <c r="A6723" s="4">
        <f>IFERROR(__xludf.DUMMYFUNCTION("""COMPUTED_VALUE"""),190.0)</f>
        <v>190</v>
      </c>
      <c r="B6723" s="4">
        <f>IFERROR(__xludf.DUMMYFUNCTION("""COMPUTED_VALUE"""),190.0)</f>
        <v>190</v>
      </c>
      <c r="C6723" s="4" t="str">
        <f>IFERROR(__xludf.DUMMYFUNCTION("""COMPUTED_VALUE"""),"MIL")</f>
        <v>MIL</v>
      </c>
      <c r="D6723" s="4" t="str">
        <f>IFERROR(__xludf.DUMMYFUNCTION("""COMPUTED_VALUE"""),"Stan Wlodarczyk")</f>
        <v>Stan Wlodarczyk</v>
      </c>
      <c r="E6723" s="4" t="str">
        <f>IFERROR(__xludf.DUMMYFUNCTION("""COMPUTED_VALUE"""),"La Salle")</f>
        <v>La Salle</v>
      </c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</row>
    <row r="6724">
      <c r="A6724" s="4">
        <f>IFERROR(__xludf.DUMMYFUNCTION("""COMPUTED_VALUE"""),191.0)</f>
        <v>191</v>
      </c>
      <c r="B6724" s="4">
        <f>IFERROR(__xludf.DUMMYFUNCTION("""COMPUTED_VALUE"""),191.0)</f>
        <v>191</v>
      </c>
      <c r="C6724" s="4" t="str">
        <f>IFERROR(__xludf.DUMMYFUNCTION("""COMPUTED_VALUE"""),"SEA")</f>
        <v>SEA</v>
      </c>
      <c r="D6724" s="4" t="str">
        <f>IFERROR(__xludf.DUMMYFUNCTION("""COMPUTED_VALUE"""),"Ernie Powell")</f>
        <v>Ernie Powell</v>
      </c>
      <c r="E6724" s="4" t="str">
        <f>IFERROR(__xludf.DUMMYFUNCTION("""COMPUTED_VALUE"""),"USC")</f>
        <v>USC</v>
      </c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</row>
    <row r="6725">
      <c r="A6725" s="4">
        <f>IFERROR(__xludf.DUMMYFUNCTION("""COMPUTED_VALUE"""),192.0)</f>
        <v>192</v>
      </c>
      <c r="B6725" s="4">
        <f>IFERROR(__xludf.DUMMYFUNCTION("""COMPUTED_VALUE"""),192.0)</f>
        <v>192</v>
      </c>
      <c r="C6725" s="4" t="str">
        <f>IFERROR(__xludf.DUMMYFUNCTION("""COMPUTED_VALUE"""),"SDR")</f>
        <v>SDR</v>
      </c>
      <c r="D6725" s="4" t="str">
        <f>IFERROR(__xludf.DUMMYFUNCTION("""COMPUTED_VALUE"""),"Jerry Nickens")</f>
        <v>Jerry Nickens</v>
      </c>
      <c r="E6725" s="4" t="str">
        <f>IFERROR(__xludf.DUMMYFUNCTION("""COMPUTED_VALUE"""),"Tougaloo College")</f>
        <v>Tougaloo College</v>
      </c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</row>
    <row r="6726">
      <c r="A6726" s="4">
        <f>IFERROR(__xludf.DUMMYFUNCTION("""COMPUTED_VALUE"""),193.0)</f>
        <v>193</v>
      </c>
      <c r="B6726" s="4">
        <f>IFERROR(__xludf.DUMMYFUNCTION("""COMPUTED_VALUE"""),193.0)</f>
        <v>193</v>
      </c>
      <c r="C6726" s="4" t="str">
        <f>IFERROR(__xludf.DUMMYFUNCTION("""COMPUTED_VALUE"""),"ATL")</f>
        <v>ATL</v>
      </c>
      <c r="D6726" s="4" t="str">
        <f>IFERROR(__xludf.DUMMYFUNCTION("""COMPUTED_VALUE"""),"Norm Carmichael")</f>
        <v>Norm Carmichael</v>
      </c>
      <c r="E6726" s="4" t="str">
        <f>IFERROR(__xludf.DUMMYFUNCTION("""COMPUTED_VALUE"""),"Virginia")</f>
        <v>Virginia</v>
      </c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</row>
    <row r="6727">
      <c r="A6727" s="4">
        <f>IFERROR(__xludf.DUMMYFUNCTION("""COMPUTED_VALUE"""),194.0)</f>
        <v>194</v>
      </c>
      <c r="B6727" s="4">
        <f>IFERROR(__xludf.DUMMYFUNCTION("""COMPUTED_VALUE"""),194.0)</f>
        <v>194</v>
      </c>
      <c r="C6727" s="4" t="str">
        <f>IFERROR(__xludf.DUMMYFUNCTION("""COMPUTED_VALUE"""),"BAL")</f>
        <v>BAL</v>
      </c>
      <c r="D6727" s="4" t="str">
        <f>IFERROR(__xludf.DUMMYFUNCTION("""COMPUTED_VALUE"""),"Jodie Harrison")</f>
        <v>Jodie Harrison</v>
      </c>
      <c r="E6727" s="4" t="str">
        <f>IFERROR(__xludf.DUMMYFUNCTION("""COMPUTED_VALUE"""),"Illinois")</f>
        <v>Illinois</v>
      </c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</row>
    <row r="6728">
      <c r="A6728" s="4"/>
      <c r="B6728" s="4"/>
      <c r="C6728" s="4"/>
      <c r="D6728" s="4" t="str">
        <f>IFERROR(__xludf.DUMMYFUNCTION("""COMPUTED_VALUE"""),"Round 16")</f>
        <v>Round 16</v>
      </c>
      <c r="E6728" s="4"/>
      <c r="F6728" s="4"/>
      <c r="G6728" s="4" t="str">
        <f>IFERROR(__xludf.DUMMYFUNCTION("""COMPUTED_VALUE"""),"Totals")</f>
        <v>Totals</v>
      </c>
      <c r="H6728" s="4"/>
      <c r="I6728" s="4"/>
      <c r="J6728" s="4"/>
      <c r="K6728" s="4"/>
      <c r="L6728" s="4" t="str">
        <f>IFERROR(__xludf.DUMMYFUNCTION("""COMPUTED_VALUE"""),"Shooting")</f>
        <v>Shooting</v>
      </c>
      <c r="M6728" s="4"/>
      <c r="N6728" s="4"/>
      <c r="O6728" s="4" t="str">
        <f>IFERROR(__xludf.DUMMYFUNCTION("""COMPUTED_VALUE"""),"Per Game")</f>
        <v>Per Game</v>
      </c>
      <c r="P6728" s="4"/>
      <c r="Q6728" s="4"/>
      <c r="R6728" s="4"/>
      <c r="S6728" s="4" t="str">
        <f>IFERROR(__xludf.DUMMYFUNCTION("""COMPUTED_VALUE"""),"Advanced")</f>
        <v>Advanced</v>
      </c>
      <c r="T6728" s="4"/>
      <c r="U6728" s="4"/>
      <c r="V6728" s="4"/>
    </row>
    <row r="6729">
      <c r="A6729" s="4" t="str">
        <f>IFERROR(__xludf.DUMMYFUNCTION("""COMPUTED_VALUE"""),"Rk")</f>
        <v>Rk</v>
      </c>
      <c r="B6729" s="4" t="str">
        <f>IFERROR(__xludf.DUMMYFUNCTION("""COMPUTED_VALUE"""),"Pk")</f>
        <v>Pk</v>
      </c>
      <c r="C6729" s="4" t="str">
        <f>IFERROR(__xludf.DUMMYFUNCTION("""COMPUTED_VALUE"""),"Tm")</f>
        <v>Tm</v>
      </c>
      <c r="D6729" s="4" t="str">
        <f>IFERROR(__xludf.DUMMYFUNCTION("""COMPUTED_VALUE"""),"Player")</f>
        <v>Player</v>
      </c>
      <c r="E6729" s="4" t="str">
        <f>IFERROR(__xludf.DUMMYFUNCTION("""COMPUTED_VALUE"""),"College")</f>
        <v>College</v>
      </c>
      <c r="F6729" s="4" t="str">
        <f>IFERROR(__xludf.DUMMYFUNCTION("""COMPUTED_VALUE"""),"Yrs")</f>
        <v>Yrs</v>
      </c>
      <c r="G6729" s="4" t="str">
        <f>IFERROR(__xludf.DUMMYFUNCTION("""COMPUTED_VALUE"""),"G")</f>
        <v>G</v>
      </c>
      <c r="H6729" s="4" t="str">
        <f>IFERROR(__xludf.DUMMYFUNCTION("""COMPUTED_VALUE"""),"MP")</f>
        <v>MP</v>
      </c>
      <c r="I6729" s="4" t="str">
        <f>IFERROR(__xludf.DUMMYFUNCTION("""COMPUTED_VALUE"""),"PTS")</f>
        <v>PTS</v>
      </c>
      <c r="J6729" s="4" t="str">
        <f>IFERROR(__xludf.DUMMYFUNCTION("""COMPUTED_VALUE"""),"TRB")</f>
        <v>TRB</v>
      </c>
      <c r="K6729" s="4" t="str">
        <f>IFERROR(__xludf.DUMMYFUNCTION("""COMPUTED_VALUE"""),"AST")</f>
        <v>AST</v>
      </c>
      <c r="L6729" s="4" t="str">
        <f>IFERROR(__xludf.DUMMYFUNCTION("""COMPUTED_VALUE"""),"FG%")</f>
        <v>FG%</v>
      </c>
      <c r="M6729" s="4" t="str">
        <f>IFERROR(__xludf.DUMMYFUNCTION("""COMPUTED_VALUE"""),"3P%")</f>
        <v>3P%</v>
      </c>
      <c r="N6729" s="4" t="str">
        <f>IFERROR(__xludf.DUMMYFUNCTION("""COMPUTED_VALUE"""),"FT%")</f>
        <v>FT%</v>
      </c>
      <c r="O6729" s="4" t="str">
        <f>IFERROR(__xludf.DUMMYFUNCTION("""COMPUTED_VALUE"""),"MP")</f>
        <v>MP</v>
      </c>
      <c r="P6729" s="4" t="str">
        <f>IFERROR(__xludf.DUMMYFUNCTION("""COMPUTED_VALUE"""),"PTS")</f>
        <v>PTS</v>
      </c>
      <c r="Q6729" s="4" t="str">
        <f>IFERROR(__xludf.DUMMYFUNCTION("""COMPUTED_VALUE"""),"TRB")</f>
        <v>TRB</v>
      </c>
      <c r="R6729" s="4" t="str">
        <f>IFERROR(__xludf.DUMMYFUNCTION("""COMPUTED_VALUE"""),"AST")</f>
        <v>AST</v>
      </c>
      <c r="S6729" s="4" t="str">
        <f>IFERROR(__xludf.DUMMYFUNCTION("""COMPUTED_VALUE"""),"WS")</f>
        <v>WS</v>
      </c>
      <c r="T6729" s="4" t="str">
        <f>IFERROR(__xludf.DUMMYFUNCTION("""COMPUTED_VALUE"""),"WS/48")</f>
        <v>WS/48</v>
      </c>
      <c r="U6729" s="4" t="str">
        <f>IFERROR(__xludf.DUMMYFUNCTION("""COMPUTED_VALUE"""),"BPM")</f>
        <v>BPM</v>
      </c>
      <c r="V6729" s="4" t="str">
        <f>IFERROR(__xludf.DUMMYFUNCTION("""COMPUTED_VALUE"""),"VORP")</f>
        <v>VORP</v>
      </c>
    </row>
    <row r="6730">
      <c r="A6730" s="4">
        <f>IFERROR(__xludf.DUMMYFUNCTION("""COMPUTED_VALUE"""),195.0)</f>
        <v>195</v>
      </c>
      <c r="B6730" s="4">
        <f>IFERROR(__xludf.DUMMYFUNCTION("""COMPUTED_VALUE"""),195.0)</f>
        <v>195</v>
      </c>
      <c r="C6730" s="4" t="str">
        <f>IFERROR(__xludf.DUMMYFUNCTION("""COMPUTED_VALUE"""),"PHO")</f>
        <v>PHO</v>
      </c>
      <c r="D6730" s="4" t="str">
        <f>IFERROR(__xludf.DUMMYFUNCTION("""COMPUTED_VALUE"""),"Wayne Huckel")</f>
        <v>Wayne Huckel</v>
      </c>
      <c r="E6730" s="4" t="str">
        <f>IFERROR(__xludf.DUMMYFUNCTION("""COMPUTED_VALUE"""),"Davidson")</f>
        <v>Davidson</v>
      </c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</row>
    <row r="6731">
      <c r="A6731" s="4">
        <f>IFERROR(__xludf.DUMMYFUNCTION("""COMPUTED_VALUE"""),196.0)</f>
        <v>196</v>
      </c>
      <c r="B6731" s="4">
        <f>IFERROR(__xludf.DUMMYFUNCTION("""COMPUTED_VALUE"""),196.0)</f>
        <v>196</v>
      </c>
      <c r="C6731" s="4" t="str">
        <f>IFERROR(__xludf.DUMMYFUNCTION("""COMPUTED_VALUE"""),"MIL")</f>
        <v>MIL</v>
      </c>
      <c r="D6731" s="4" t="str">
        <f>IFERROR(__xludf.DUMMYFUNCTION("""COMPUTED_VALUE"""),"Bill Voight")</f>
        <v>Bill Voight</v>
      </c>
      <c r="E6731" s="4" t="str">
        <f>IFERROR(__xludf.DUMMYFUNCTION("""COMPUTED_VALUE"""),"SMU")</f>
        <v>SMU</v>
      </c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</row>
    <row r="6732">
      <c r="A6732" s="4">
        <f>IFERROR(__xludf.DUMMYFUNCTION("""COMPUTED_VALUE"""),197.0)</f>
        <v>197</v>
      </c>
      <c r="B6732" s="4">
        <f>IFERROR(__xludf.DUMMYFUNCTION("""COMPUTED_VALUE"""),197.0)</f>
        <v>197</v>
      </c>
      <c r="C6732" s="4" t="str">
        <f>IFERROR(__xludf.DUMMYFUNCTION("""COMPUTED_VALUE"""),"SEA")</f>
        <v>SEA</v>
      </c>
      <c r="D6732" s="4" t="str">
        <f>IFERROR(__xludf.DUMMYFUNCTION("""COMPUTED_VALUE"""),"Danny Cornett")</f>
        <v>Danny Cornett</v>
      </c>
      <c r="E6732" s="4" t="str">
        <f>IFERROR(__xludf.DUMMYFUNCTION("""COMPUTED_VALUE"""),"Morehead State University")</f>
        <v>Morehead State University</v>
      </c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</row>
    <row r="6733">
      <c r="A6733" s="4">
        <f>IFERROR(__xludf.DUMMYFUNCTION("""COMPUTED_VALUE"""),198.0)</f>
        <v>198</v>
      </c>
      <c r="B6733" s="4">
        <f>IFERROR(__xludf.DUMMYFUNCTION("""COMPUTED_VALUE"""),198.0)</f>
        <v>198</v>
      </c>
      <c r="C6733" s="4" t="str">
        <f>IFERROR(__xludf.DUMMYFUNCTION("""COMPUTED_VALUE"""),"SDR")</f>
        <v>SDR</v>
      </c>
      <c r="D6733" s="4" t="str">
        <f>IFERROR(__xludf.DUMMYFUNCTION("""COMPUTED_VALUE"""),"Dick Groves")</f>
        <v>Dick Groves</v>
      </c>
      <c r="E6733" s="4" t="str">
        <f>IFERROR(__xludf.DUMMYFUNCTION("""COMPUTED_VALUE"""),"San Jose State")</f>
        <v>San Jose State</v>
      </c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</row>
    <row r="6734">
      <c r="A6734" s="4">
        <f>IFERROR(__xludf.DUMMYFUNCTION("""COMPUTED_VALUE"""),199.0)</f>
        <v>199</v>
      </c>
      <c r="B6734" s="4">
        <f>IFERROR(__xludf.DUMMYFUNCTION("""COMPUTED_VALUE"""),199.0)</f>
        <v>199</v>
      </c>
      <c r="C6734" s="4" t="str">
        <f>IFERROR(__xludf.DUMMYFUNCTION("""COMPUTED_VALUE"""),"ATL")</f>
        <v>ATL</v>
      </c>
      <c r="D6734" s="4" t="str">
        <f>IFERROR(__xludf.DUMMYFUNCTION("""COMPUTED_VALUE"""),"Buddy Cornelius")</f>
        <v>Buddy Cornelius</v>
      </c>
      <c r="E6734" s="4" t="str">
        <f>IFERROR(__xludf.DUMMYFUNCTION("""COMPUTED_VALUE"""),"Jacksonville State University")</f>
        <v>Jacksonville State University</v>
      </c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</row>
    <row r="6735">
      <c r="A6735" s="4">
        <f>IFERROR(__xludf.DUMMYFUNCTION("""COMPUTED_VALUE"""),200.0)</f>
        <v>200</v>
      </c>
      <c r="B6735" s="4">
        <f>IFERROR(__xludf.DUMMYFUNCTION("""COMPUTED_VALUE"""),200.0)</f>
        <v>200</v>
      </c>
      <c r="C6735" s="4" t="str">
        <f>IFERROR(__xludf.DUMMYFUNCTION("""COMPUTED_VALUE"""),"BAL")</f>
        <v>BAL</v>
      </c>
      <c r="D6735" s="4" t="str">
        <f>IFERROR(__xludf.DUMMYFUNCTION("""COMPUTED_VALUE"""),"Phil Harris")</f>
        <v>Phil Harris</v>
      </c>
      <c r="E6735" s="4" t="str">
        <f>IFERROR(__xludf.DUMMYFUNCTION("""COMPUTED_VALUE"""),"Texas A&amp;M")</f>
        <v>Texas A&amp;M</v>
      </c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</row>
    <row r="6736">
      <c r="A6736" s="4"/>
      <c r="B6736" s="4"/>
      <c r="C6736" s="4"/>
      <c r="D6736" s="4" t="str">
        <f>IFERROR(__xludf.DUMMYFUNCTION("""COMPUTED_VALUE"""),"Round 17")</f>
        <v>Round 17</v>
      </c>
      <c r="E6736" s="4"/>
      <c r="F6736" s="4"/>
      <c r="G6736" s="4" t="str">
        <f>IFERROR(__xludf.DUMMYFUNCTION("""COMPUTED_VALUE"""),"Totals")</f>
        <v>Totals</v>
      </c>
      <c r="H6736" s="4"/>
      <c r="I6736" s="4"/>
      <c r="J6736" s="4"/>
      <c r="K6736" s="4"/>
      <c r="L6736" s="4" t="str">
        <f>IFERROR(__xludf.DUMMYFUNCTION("""COMPUTED_VALUE"""),"Shooting")</f>
        <v>Shooting</v>
      </c>
      <c r="M6736" s="4"/>
      <c r="N6736" s="4"/>
      <c r="O6736" s="4" t="str">
        <f>IFERROR(__xludf.DUMMYFUNCTION("""COMPUTED_VALUE"""),"Per Game")</f>
        <v>Per Game</v>
      </c>
      <c r="P6736" s="4"/>
      <c r="Q6736" s="4"/>
      <c r="R6736" s="4"/>
      <c r="S6736" s="4" t="str">
        <f>IFERROR(__xludf.DUMMYFUNCTION("""COMPUTED_VALUE"""),"Advanced")</f>
        <v>Advanced</v>
      </c>
      <c r="T6736" s="4"/>
      <c r="U6736" s="4"/>
      <c r="V6736" s="4"/>
    </row>
    <row r="6737">
      <c r="A6737" s="4" t="str">
        <f>IFERROR(__xludf.DUMMYFUNCTION("""COMPUTED_VALUE"""),"Rk")</f>
        <v>Rk</v>
      </c>
      <c r="B6737" s="4" t="str">
        <f>IFERROR(__xludf.DUMMYFUNCTION("""COMPUTED_VALUE"""),"Pk")</f>
        <v>Pk</v>
      </c>
      <c r="C6737" s="4" t="str">
        <f>IFERROR(__xludf.DUMMYFUNCTION("""COMPUTED_VALUE"""),"Tm")</f>
        <v>Tm</v>
      </c>
      <c r="D6737" s="4" t="str">
        <f>IFERROR(__xludf.DUMMYFUNCTION("""COMPUTED_VALUE"""),"Player")</f>
        <v>Player</v>
      </c>
      <c r="E6737" s="4" t="str">
        <f>IFERROR(__xludf.DUMMYFUNCTION("""COMPUTED_VALUE"""),"College")</f>
        <v>College</v>
      </c>
      <c r="F6737" s="4" t="str">
        <f>IFERROR(__xludf.DUMMYFUNCTION("""COMPUTED_VALUE"""),"Yrs")</f>
        <v>Yrs</v>
      </c>
      <c r="G6737" s="4" t="str">
        <f>IFERROR(__xludf.DUMMYFUNCTION("""COMPUTED_VALUE"""),"G")</f>
        <v>G</v>
      </c>
      <c r="H6737" s="4" t="str">
        <f>IFERROR(__xludf.DUMMYFUNCTION("""COMPUTED_VALUE"""),"MP")</f>
        <v>MP</v>
      </c>
      <c r="I6737" s="4" t="str">
        <f>IFERROR(__xludf.DUMMYFUNCTION("""COMPUTED_VALUE"""),"PTS")</f>
        <v>PTS</v>
      </c>
      <c r="J6737" s="4" t="str">
        <f>IFERROR(__xludf.DUMMYFUNCTION("""COMPUTED_VALUE"""),"TRB")</f>
        <v>TRB</v>
      </c>
      <c r="K6737" s="4" t="str">
        <f>IFERROR(__xludf.DUMMYFUNCTION("""COMPUTED_VALUE"""),"AST")</f>
        <v>AST</v>
      </c>
      <c r="L6737" s="4" t="str">
        <f>IFERROR(__xludf.DUMMYFUNCTION("""COMPUTED_VALUE"""),"FG%")</f>
        <v>FG%</v>
      </c>
      <c r="M6737" s="4" t="str">
        <f>IFERROR(__xludf.DUMMYFUNCTION("""COMPUTED_VALUE"""),"3P%")</f>
        <v>3P%</v>
      </c>
      <c r="N6737" s="4" t="str">
        <f>IFERROR(__xludf.DUMMYFUNCTION("""COMPUTED_VALUE"""),"FT%")</f>
        <v>FT%</v>
      </c>
      <c r="O6737" s="4" t="str">
        <f>IFERROR(__xludf.DUMMYFUNCTION("""COMPUTED_VALUE"""),"MP")</f>
        <v>MP</v>
      </c>
      <c r="P6737" s="4" t="str">
        <f>IFERROR(__xludf.DUMMYFUNCTION("""COMPUTED_VALUE"""),"PTS")</f>
        <v>PTS</v>
      </c>
      <c r="Q6737" s="4" t="str">
        <f>IFERROR(__xludf.DUMMYFUNCTION("""COMPUTED_VALUE"""),"TRB")</f>
        <v>TRB</v>
      </c>
      <c r="R6737" s="4" t="str">
        <f>IFERROR(__xludf.DUMMYFUNCTION("""COMPUTED_VALUE"""),"AST")</f>
        <v>AST</v>
      </c>
      <c r="S6737" s="4" t="str">
        <f>IFERROR(__xludf.DUMMYFUNCTION("""COMPUTED_VALUE"""),"WS")</f>
        <v>WS</v>
      </c>
      <c r="T6737" s="4" t="str">
        <f>IFERROR(__xludf.DUMMYFUNCTION("""COMPUTED_VALUE"""),"WS/48")</f>
        <v>WS/48</v>
      </c>
      <c r="U6737" s="4" t="str">
        <f>IFERROR(__xludf.DUMMYFUNCTION("""COMPUTED_VALUE"""),"BPM")</f>
        <v>BPM</v>
      </c>
      <c r="V6737" s="4" t="str">
        <f>IFERROR(__xludf.DUMMYFUNCTION("""COMPUTED_VALUE"""),"VORP")</f>
        <v>VORP</v>
      </c>
    </row>
    <row r="6738">
      <c r="A6738" s="4">
        <f>IFERROR(__xludf.DUMMYFUNCTION("""COMPUTED_VALUE"""),201.0)</f>
        <v>201</v>
      </c>
      <c r="B6738" s="4">
        <f>IFERROR(__xludf.DUMMYFUNCTION("""COMPUTED_VALUE"""),201.0)</f>
        <v>201</v>
      </c>
      <c r="C6738" s="4" t="str">
        <f>IFERROR(__xludf.DUMMYFUNCTION("""COMPUTED_VALUE"""),"PHO")</f>
        <v>PHO</v>
      </c>
      <c r="D6738" s="4" t="str">
        <f>IFERROR(__xludf.DUMMYFUNCTION("""COMPUTED_VALUE"""),"Howie Dickenman")</f>
        <v>Howie Dickenman</v>
      </c>
      <c r="E6738" s="4" t="str">
        <f>IFERROR(__xludf.DUMMYFUNCTION("""COMPUTED_VALUE"""),"Central Connecticut State University")</f>
        <v>Central Connecticut State University</v>
      </c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</row>
    <row r="6739">
      <c r="A6739" s="4">
        <f>IFERROR(__xludf.DUMMYFUNCTION("""COMPUTED_VALUE"""),202.0)</f>
        <v>202</v>
      </c>
      <c r="B6739" s="4">
        <f>IFERROR(__xludf.DUMMYFUNCTION("""COMPUTED_VALUE"""),202.0)</f>
        <v>202</v>
      </c>
      <c r="C6739" s="4" t="str">
        <f>IFERROR(__xludf.DUMMYFUNCTION("""COMPUTED_VALUE"""),"MIL")</f>
        <v>MIL</v>
      </c>
      <c r="D6739" s="4" t="str">
        <f>IFERROR(__xludf.DUMMYFUNCTION("""COMPUTED_VALUE"""),"Lynn Phillips")</f>
        <v>Lynn Phillips</v>
      </c>
      <c r="E6739" s="4" t="str">
        <f>IFERROR(__xludf.DUMMYFUNCTION("""COMPUTED_VALUE"""),"SMU")</f>
        <v>SMU</v>
      </c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</row>
    <row r="6740">
      <c r="A6740" s="4">
        <f>IFERROR(__xludf.DUMMYFUNCTION("""COMPUTED_VALUE"""),203.0)</f>
        <v>203</v>
      </c>
      <c r="B6740" s="4">
        <f>IFERROR(__xludf.DUMMYFUNCTION("""COMPUTED_VALUE"""),203.0)</f>
        <v>203</v>
      </c>
      <c r="C6740" s="4" t="str">
        <f>IFERROR(__xludf.DUMMYFUNCTION("""COMPUTED_VALUE"""),"SEA")</f>
        <v>SEA</v>
      </c>
      <c r="D6740" s="4" t="str">
        <f>IFERROR(__xludf.DUMMYFUNCTION("""COMPUTED_VALUE"""),"Steve Honeycutt")</f>
        <v>Steve Honeycutt</v>
      </c>
      <c r="E6740" s="4" t="str">
        <f>IFERROR(__xludf.DUMMYFUNCTION("""COMPUTED_VALUE"""),"Kansas State")</f>
        <v>Kansas State</v>
      </c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</row>
    <row r="6741">
      <c r="A6741" s="4">
        <f>IFERROR(__xludf.DUMMYFUNCTION("""COMPUTED_VALUE"""),204.0)</f>
        <v>204</v>
      </c>
      <c r="B6741" s="4">
        <f>IFERROR(__xludf.DUMMYFUNCTION("""COMPUTED_VALUE"""),204.0)</f>
        <v>204</v>
      </c>
      <c r="C6741" s="4" t="str">
        <f>IFERROR(__xludf.DUMMYFUNCTION("""COMPUTED_VALUE"""),"SDR")</f>
        <v>SDR</v>
      </c>
      <c r="D6741" s="4" t="str">
        <f>IFERROR(__xludf.DUMMYFUNCTION("""COMPUTED_VALUE"""),"Steve Howell")</f>
        <v>Steve Howell</v>
      </c>
      <c r="E6741" s="4" t="str">
        <f>IFERROR(__xludf.DUMMYFUNCTION("""COMPUTED_VALUE"""),"Ohio State")</f>
        <v>Ohio State</v>
      </c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</row>
    <row r="6742">
      <c r="A6742" s="4">
        <f>IFERROR(__xludf.DUMMYFUNCTION("""COMPUTED_VALUE"""),205.0)</f>
        <v>205</v>
      </c>
      <c r="B6742" s="4">
        <f>IFERROR(__xludf.DUMMYFUNCTION("""COMPUTED_VALUE"""),205.0)</f>
        <v>205</v>
      </c>
      <c r="C6742" s="4" t="str">
        <f>IFERROR(__xludf.DUMMYFUNCTION("""COMPUTED_VALUE"""),"ATL")</f>
        <v>ATL</v>
      </c>
      <c r="D6742" s="4" t="str">
        <f>IFERROR(__xludf.DUMMYFUNCTION("""COMPUTED_VALUE"""),"John Tolmie")</f>
        <v>John Tolmie</v>
      </c>
      <c r="E6742" s="4" t="str">
        <f>IFERROR(__xludf.DUMMYFUNCTION("""COMPUTED_VALUE"""),"United States Naval Academy")</f>
        <v>United States Naval Academy</v>
      </c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</row>
    <row r="6743">
      <c r="A6743" s="4">
        <f>IFERROR(__xludf.DUMMYFUNCTION("""COMPUTED_VALUE"""),206.0)</f>
        <v>206</v>
      </c>
      <c r="B6743" s="4">
        <f>IFERROR(__xludf.DUMMYFUNCTION("""COMPUTED_VALUE"""),206.0)</f>
        <v>206</v>
      </c>
      <c r="C6743" s="4" t="str">
        <f>IFERROR(__xludf.DUMMYFUNCTION("""COMPUTED_VALUE"""),"BAL")</f>
        <v>BAL</v>
      </c>
      <c r="D6743" s="4" t="str">
        <f>IFERROR(__xludf.DUMMYFUNCTION("""COMPUTED_VALUE"""),"Tom Haggerty")</f>
        <v>Tom Haggerty</v>
      </c>
      <c r="E6743" s="4" t="str">
        <f>IFERROR(__xludf.DUMMYFUNCTION("""COMPUTED_VALUE"""),"Brandeis University")</f>
        <v>Brandeis University</v>
      </c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</row>
    <row r="6744">
      <c r="A6744" s="4"/>
      <c r="B6744" s="4"/>
      <c r="C6744" s="4"/>
      <c r="D6744" s="4" t="str">
        <f>IFERROR(__xludf.DUMMYFUNCTION("""COMPUTED_VALUE"""),"Round 18")</f>
        <v>Round 18</v>
      </c>
      <c r="E6744" s="4"/>
      <c r="F6744" s="4"/>
      <c r="G6744" s="4" t="str">
        <f>IFERROR(__xludf.DUMMYFUNCTION("""COMPUTED_VALUE"""),"Totals")</f>
        <v>Totals</v>
      </c>
      <c r="H6744" s="4"/>
      <c r="I6744" s="4"/>
      <c r="J6744" s="4"/>
      <c r="K6744" s="4"/>
      <c r="L6744" s="4" t="str">
        <f>IFERROR(__xludf.DUMMYFUNCTION("""COMPUTED_VALUE"""),"Shooting")</f>
        <v>Shooting</v>
      </c>
      <c r="M6744" s="4"/>
      <c r="N6744" s="4"/>
      <c r="O6744" s="4" t="str">
        <f>IFERROR(__xludf.DUMMYFUNCTION("""COMPUTED_VALUE"""),"Per Game")</f>
        <v>Per Game</v>
      </c>
      <c r="P6744" s="4"/>
      <c r="Q6744" s="4"/>
      <c r="R6744" s="4"/>
      <c r="S6744" s="4" t="str">
        <f>IFERROR(__xludf.DUMMYFUNCTION("""COMPUTED_VALUE"""),"Advanced")</f>
        <v>Advanced</v>
      </c>
      <c r="T6744" s="4"/>
      <c r="U6744" s="4"/>
      <c r="V6744" s="4"/>
    </row>
    <row r="6745">
      <c r="A6745" s="4" t="str">
        <f>IFERROR(__xludf.DUMMYFUNCTION("""COMPUTED_VALUE"""),"Rk")</f>
        <v>Rk</v>
      </c>
      <c r="B6745" s="4" t="str">
        <f>IFERROR(__xludf.DUMMYFUNCTION("""COMPUTED_VALUE"""),"Pk")</f>
        <v>Pk</v>
      </c>
      <c r="C6745" s="4" t="str">
        <f>IFERROR(__xludf.DUMMYFUNCTION("""COMPUTED_VALUE"""),"Tm")</f>
        <v>Tm</v>
      </c>
      <c r="D6745" s="4" t="str">
        <f>IFERROR(__xludf.DUMMYFUNCTION("""COMPUTED_VALUE"""),"Player")</f>
        <v>Player</v>
      </c>
      <c r="E6745" s="4" t="str">
        <f>IFERROR(__xludf.DUMMYFUNCTION("""COMPUTED_VALUE"""),"College")</f>
        <v>College</v>
      </c>
      <c r="F6745" s="4" t="str">
        <f>IFERROR(__xludf.DUMMYFUNCTION("""COMPUTED_VALUE"""),"Yrs")</f>
        <v>Yrs</v>
      </c>
      <c r="G6745" s="4" t="str">
        <f>IFERROR(__xludf.DUMMYFUNCTION("""COMPUTED_VALUE"""),"G")</f>
        <v>G</v>
      </c>
      <c r="H6745" s="4" t="str">
        <f>IFERROR(__xludf.DUMMYFUNCTION("""COMPUTED_VALUE"""),"MP")</f>
        <v>MP</v>
      </c>
      <c r="I6745" s="4" t="str">
        <f>IFERROR(__xludf.DUMMYFUNCTION("""COMPUTED_VALUE"""),"PTS")</f>
        <v>PTS</v>
      </c>
      <c r="J6745" s="4" t="str">
        <f>IFERROR(__xludf.DUMMYFUNCTION("""COMPUTED_VALUE"""),"TRB")</f>
        <v>TRB</v>
      </c>
      <c r="K6745" s="4" t="str">
        <f>IFERROR(__xludf.DUMMYFUNCTION("""COMPUTED_VALUE"""),"AST")</f>
        <v>AST</v>
      </c>
      <c r="L6745" s="4" t="str">
        <f>IFERROR(__xludf.DUMMYFUNCTION("""COMPUTED_VALUE"""),"FG%")</f>
        <v>FG%</v>
      </c>
      <c r="M6745" s="4" t="str">
        <f>IFERROR(__xludf.DUMMYFUNCTION("""COMPUTED_VALUE"""),"3P%")</f>
        <v>3P%</v>
      </c>
      <c r="N6745" s="4" t="str">
        <f>IFERROR(__xludf.DUMMYFUNCTION("""COMPUTED_VALUE"""),"FT%")</f>
        <v>FT%</v>
      </c>
      <c r="O6745" s="4" t="str">
        <f>IFERROR(__xludf.DUMMYFUNCTION("""COMPUTED_VALUE"""),"MP")</f>
        <v>MP</v>
      </c>
      <c r="P6745" s="4" t="str">
        <f>IFERROR(__xludf.DUMMYFUNCTION("""COMPUTED_VALUE"""),"PTS")</f>
        <v>PTS</v>
      </c>
      <c r="Q6745" s="4" t="str">
        <f>IFERROR(__xludf.DUMMYFUNCTION("""COMPUTED_VALUE"""),"TRB")</f>
        <v>TRB</v>
      </c>
      <c r="R6745" s="4" t="str">
        <f>IFERROR(__xludf.DUMMYFUNCTION("""COMPUTED_VALUE"""),"AST")</f>
        <v>AST</v>
      </c>
      <c r="S6745" s="4" t="str">
        <f>IFERROR(__xludf.DUMMYFUNCTION("""COMPUTED_VALUE"""),"WS")</f>
        <v>WS</v>
      </c>
      <c r="T6745" s="4" t="str">
        <f>IFERROR(__xludf.DUMMYFUNCTION("""COMPUTED_VALUE"""),"WS/48")</f>
        <v>WS/48</v>
      </c>
      <c r="U6745" s="4" t="str">
        <f>IFERROR(__xludf.DUMMYFUNCTION("""COMPUTED_VALUE"""),"BPM")</f>
        <v>BPM</v>
      </c>
      <c r="V6745" s="4" t="str">
        <f>IFERROR(__xludf.DUMMYFUNCTION("""COMPUTED_VALUE"""),"VORP")</f>
        <v>VORP</v>
      </c>
    </row>
    <row r="6746">
      <c r="A6746" s="4">
        <f>IFERROR(__xludf.DUMMYFUNCTION("""COMPUTED_VALUE"""),207.0)</f>
        <v>207</v>
      </c>
      <c r="B6746" s="4">
        <f>IFERROR(__xludf.DUMMYFUNCTION("""COMPUTED_VALUE"""),207.0)</f>
        <v>207</v>
      </c>
      <c r="C6746" s="4" t="str">
        <f>IFERROR(__xludf.DUMMYFUNCTION("""COMPUTED_VALUE"""),"PHO")</f>
        <v>PHO</v>
      </c>
      <c r="D6746" s="4" t="str">
        <f>IFERROR(__xludf.DUMMYFUNCTION("""COMPUTED_VALUE"""),"Al Nuness")</f>
        <v>Al Nuness</v>
      </c>
      <c r="E6746" s="4" t="str">
        <f>IFERROR(__xludf.DUMMYFUNCTION("""COMPUTED_VALUE"""),"Minnesota")</f>
        <v>Minnesota</v>
      </c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</row>
    <row r="6747">
      <c r="A6747" s="4">
        <f>IFERROR(__xludf.DUMMYFUNCTION("""COMPUTED_VALUE"""),208.0)</f>
        <v>208</v>
      </c>
      <c r="B6747" s="4">
        <f>IFERROR(__xludf.DUMMYFUNCTION("""COMPUTED_VALUE"""),208.0)</f>
        <v>208</v>
      </c>
      <c r="C6747" s="4" t="str">
        <f>IFERROR(__xludf.DUMMYFUNCTION("""COMPUTED_VALUE"""),"MIL")</f>
        <v>MIL</v>
      </c>
      <c r="D6747" s="4" t="str">
        <f>IFERROR(__xludf.DUMMYFUNCTION("""COMPUTED_VALUE"""),"Ken Hall")</f>
        <v>Ken Hall</v>
      </c>
      <c r="E6747" s="4" t="str">
        <f>IFERROR(__xludf.DUMMYFUNCTION("""COMPUTED_VALUE"""),"Westminster College of Pennsylvania")</f>
        <v>Westminster College of Pennsylvania</v>
      </c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</row>
    <row r="6748">
      <c r="A6748" s="4">
        <f>IFERROR(__xludf.DUMMYFUNCTION("""COMPUTED_VALUE"""),209.0)</f>
        <v>209</v>
      </c>
      <c r="B6748" s="4">
        <f>IFERROR(__xludf.DUMMYFUNCTION("""COMPUTED_VALUE"""),209.0)</f>
        <v>209</v>
      </c>
      <c r="C6748" s="4" t="str">
        <f>IFERROR(__xludf.DUMMYFUNCTION("""COMPUTED_VALUE"""),"SDR")</f>
        <v>SDR</v>
      </c>
      <c r="D6748" s="4" t="str">
        <f>IFERROR(__xludf.DUMMYFUNCTION("""COMPUTED_VALUE"""),"Joe Pridgen")</f>
        <v>Joe Pridgen</v>
      </c>
      <c r="E6748" s="4" t="str">
        <f>IFERROR(__xludf.DUMMYFUNCTION("""COMPUTED_VALUE"""),"NC Central")</f>
        <v>NC Central</v>
      </c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</row>
    <row r="6749">
      <c r="A6749" s="4">
        <f>IFERROR(__xludf.DUMMYFUNCTION("""COMPUTED_VALUE"""),210.0)</f>
        <v>210</v>
      </c>
      <c r="B6749" s="4">
        <f>IFERROR(__xludf.DUMMYFUNCTION("""COMPUTED_VALUE"""),210.0)</f>
        <v>210</v>
      </c>
      <c r="C6749" s="4" t="str">
        <f>IFERROR(__xludf.DUMMYFUNCTION("""COMPUTED_VALUE"""),"ATL")</f>
        <v>ATL</v>
      </c>
      <c r="D6749" s="4" t="str">
        <f>IFERROR(__xludf.DUMMYFUNCTION("""COMPUTED_VALUE"""),"Cliff Parsons")</f>
        <v>Cliff Parsons</v>
      </c>
      <c r="E6749" s="4" t="str">
        <f>IFERROR(__xludf.DUMMYFUNCTION("""COMPUTED_VALUE"""),"Air Force")</f>
        <v>Air Force</v>
      </c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</row>
    <row r="6750">
      <c r="A6750" s="4">
        <f>IFERROR(__xludf.DUMMYFUNCTION("""COMPUTED_VALUE"""),211.0)</f>
        <v>211</v>
      </c>
      <c r="B6750" s="4">
        <f>IFERROR(__xludf.DUMMYFUNCTION("""COMPUTED_VALUE"""),211.0)</f>
        <v>211</v>
      </c>
      <c r="C6750" s="4" t="str">
        <f>IFERROR(__xludf.DUMMYFUNCTION("""COMPUTED_VALUE"""),"BAL")</f>
        <v>BAL</v>
      </c>
      <c r="D6750" s="4" t="str">
        <f>IFERROR(__xludf.DUMMYFUNCTION("""COMPUTED_VALUE"""),"Chip Case")</f>
        <v>Chip Case</v>
      </c>
      <c r="E6750" s="4" t="str">
        <f>IFERROR(__xludf.DUMMYFUNCTION("""COMPUTED_VALUE"""),"Virginia")</f>
        <v>Virginia</v>
      </c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</row>
    <row r="6751">
      <c r="A6751" s="4"/>
      <c r="B6751" s="4"/>
      <c r="C6751" s="4"/>
      <c r="D6751" s="4" t="str">
        <f>IFERROR(__xludf.DUMMYFUNCTION("""COMPUTED_VALUE"""),"Round 19")</f>
        <v>Round 19</v>
      </c>
      <c r="E6751" s="4"/>
      <c r="F6751" s="4"/>
      <c r="G6751" s="4" t="str">
        <f>IFERROR(__xludf.DUMMYFUNCTION("""COMPUTED_VALUE"""),"Totals")</f>
        <v>Totals</v>
      </c>
      <c r="H6751" s="4"/>
      <c r="I6751" s="4"/>
      <c r="J6751" s="4"/>
      <c r="K6751" s="4"/>
      <c r="L6751" s="4" t="str">
        <f>IFERROR(__xludf.DUMMYFUNCTION("""COMPUTED_VALUE"""),"Shooting")</f>
        <v>Shooting</v>
      </c>
      <c r="M6751" s="4"/>
      <c r="N6751" s="4"/>
      <c r="O6751" s="4" t="str">
        <f>IFERROR(__xludf.DUMMYFUNCTION("""COMPUTED_VALUE"""),"Per Game")</f>
        <v>Per Game</v>
      </c>
      <c r="P6751" s="4"/>
      <c r="Q6751" s="4"/>
      <c r="R6751" s="4"/>
      <c r="S6751" s="4" t="str">
        <f>IFERROR(__xludf.DUMMYFUNCTION("""COMPUTED_VALUE"""),"Advanced")</f>
        <v>Advanced</v>
      </c>
      <c r="T6751" s="4"/>
      <c r="U6751" s="4"/>
      <c r="V6751" s="4"/>
    </row>
    <row r="6752">
      <c r="A6752" s="4" t="str">
        <f>IFERROR(__xludf.DUMMYFUNCTION("""COMPUTED_VALUE"""),"Rk")</f>
        <v>Rk</v>
      </c>
      <c r="B6752" s="4" t="str">
        <f>IFERROR(__xludf.DUMMYFUNCTION("""COMPUTED_VALUE"""),"Pk")</f>
        <v>Pk</v>
      </c>
      <c r="C6752" s="4" t="str">
        <f>IFERROR(__xludf.DUMMYFUNCTION("""COMPUTED_VALUE"""),"Tm")</f>
        <v>Tm</v>
      </c>
      <c r="D6752" s="4" t="str">
        <f>IFERROR(__xludf.DUMMYFUNCTION("""COMPUTED_VALUE"""),"Player")</f>
        <v>Player</v>
      </c>
      <c r="E6752" s="4" t="str">
        <f>IFERROR(__xludf.DUMMYFUNCTION("""COMPUTED_VALUE"""),"College")</f>
        <v>College</v>
      </c>
      <c r="F6752" s="4" t="str">
        <f>IFERROR(__xludf.DUMMYFUNCTION("""COMPUTED_VALUE"""),"Yrs")</f>
        <v>Yrs</v>
      </c>
      <c r="G6752" s="4" t="str">
        <f>IFERROR(__xludf.DUMMYFUNCTION("""COMPUTED_VALUE"""),"G")</f>
        <v>G</v>
      </c>
      <c r="H6752" s="4" t="str">
        <f>IFERROR(__xludf.DUMMYFUNCTION("""COMPUTED_VALUE"""),"MP")</f>
        <v>MP</v>
      </c>
      <c r="I6752" s="4" t="str">
        <f>IFERROR(__xludf.DUMMYFUNCTION("""COMPUTED_VALUE"""),"PTS")</f>
        <v>PTS</v>
      </c>
      <c r="J6752" s="4" t="str">
        <f>IFERROR(__xludf.DUMMYFUNCTION("""COMPUTED_VALUE"""),"TRB")</f>
        <v>TRB</v>
      </c>
      <c r="K6752" s="4" t="str">
        <f>IFERROR(__xludf.DUMMYFUNCTION("""COMPUTED_VALUE"""),"AST")</f>
        <v>AST</v>
      </c>
      <c r="L6752" s="4" t="str">
        <f>IFERROR(__xludf.DUMMYFUNCTION("""COMPUTED_VALUE"""),"FG%")</f>
        <v>FG%</v>
      </c>
      <c r="M6752" s="4" t="str">
        <f>IFERROR(__xludf.DUMMYFUNCTION("""COMPUTED_VALUE"""),"3P%")</f>
        <v>3P%</v>
      </c>
      <c r="N6752" s="4" t="str">
        <f>IFERROR(__xludf.DUMMYFUNCTION("""COMPUTED_VALUE"""),"FT%")</f>
        <v>FT%</v>
      </c>
      <c r="O6752" s="4" t="str">
        <f>IFERROR(__xludf.DUMMYFUNCTION("""COMPUTED_VALUE"""),"MP")</f>
        <v>MP</v>
      </c>
      <c r="P6752" s="4" t="str">
        <f>IFERROR(__xludf.DUMMYFUNCTION("""COMPUTED_VALUE"""),"PTS")</f>
        <v>PTS</v>
      </c>
      <c r="Q6752" s="4" t="str">
        <f>IFERROR(__xludf.DUMMYFUNCTION("""COMPUTED_VALUE"""),"TRB")</f>
        <v>TRB</v>
      </c>
      <c r="R6752" s="4" t="str">
        <f>IFERROR(__xludf.DUMMYFUNCTION("""COMPUTED_VALUE"""),"AST")</f>
        <v>AST</v>
      </c>
      <c r="S6752" s="4" t="str">
        <f>IFERROR(__xludf.DUMMYFUNCTION("""COMPUTED_VALUE"""),"WS")</f>
        <v>WS</v>
      </c>
      <c r="T6752" s="4" t="str">
        <f>IFERROR(__xludf.DUMMYFUNCTION("""COMPUTED_VALUE"""),"WS/48")</f>
        <v>WS/48</v>
      </c>
      <c r="U6752" s="4" t="str">
        <f>IFERROR(__xludf.DUMMYFUNCTION("""COMPUTED_VALUE"""),"BPM")</f>
        <v>BPM</v>
      </c>
      <c r="V6752" s="4" t="str">
        <f>IFERROR(__xludf.DUMMYFUNCTION("""COMPUTED_VALUE"""),"VORP")</f>
        <v>VORP</v>
      </c>
    </row>
    <row r="6753">
      <c r="A6753" s="4">
        <f>IFERROR(__xludf.DUMMYFUNCTION("""COMPUTED_VALUE"""),212.0)</f>
        <v>212</v>
      </c>
      <c r="B6753" s="4">
        <f>IFERROR(__xludf.DUMMYFUNCTION("""COMPUTED_VALUE"""),212.0)</f>
        <v>212</v>
      </c>
      <c r="C6753" s="4" t="str">
        <f>IFERROR(__xludf.DUMMYFUNCTION("""COMPUTED_VALUE"""),"PHO")</f>
        <v>PHO</v>
      </c>
      <c r="D6753" s="4" t="str">
        <f>IFERROR(__xludf.DUMMYFUNCTION("""COMPUTED_VALUE"""),"Solomon Davis")</f>
        <v>Solomon Davis</v>
      </c>
      <c r="E6753" s="4" t="str">
        <f>IFERROR(__xludf.DUMMYFUNCTION("""COMPUTED_VALUE"""),"Kentucky State University")</f>
        <v>Kentucky State University</v>
      </c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</row>
    <row r="6754">
      <c r="A6754" s="4">
        <f>IFERROR(__xludf.DUMMYFUNCTION("""COMPUTED_VALUE"""),213.0)</f>
        <v>213</v>
      </c>
      <c r="B6754" s="4">
        <f>IFERROR(__xludf.DUMMYFUNCTION("""COMPUTED_VALUE"""),213.0)</f>
        <v>213</v>
      </c>
      <c r="C6754" s="4" t="str">
        <f>IFERROR(__xludf.DUMMYFUNCTION("""COMPUTED_VALUE"""),"SDR")</f>
        <v>SDR</v>
      </c>
      <c r="D6754" s="4" t="str">
        <f>IFERROR(__xludf.DUMMYFUNCTION("""COMPUTED_VALUE"""),"Blaine Royer")</f>
        <v>Blaine Royer</v>
      </c>
      <c r="E6754" s="4" t="str">
        <f>IFERROR(__xludf.DUMMYFUNCTION("""COMPUTED_VALUE"""),"Illinois State")</f>
        <v>Illinois State</v>
      </c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</row>
    <row r="6755">
      <c r="A6755" s="4">
        <f>IFERROR(__xludf.DUMMYFUNCTION("""COMPUTED_VALUE"""),214.0)</f>
        <v>214</v>
      </c>
      <c r="B6755" s="4">
        <f>IFERROR(__xludf.DUMMYFUNCTION("""COMPUTED_VALUE"""),214.0)</f>
        <v>214</v>
      </c>
      <c r="C6755" s="4" t="str">
        <f>IFERROR(__xludf.DUMMYFUNCTION("""COMPUTED_VALUE"""),"ATL")</f>
        <v>ATL</v>
      </c>
      <c r="D6755" s="4" t="str">
        <f>IFERROR(__xludf.DUMMYFUNCTION("""COMPUTED_VALUE"""),"Grady O'Malley")</f>
        <v>Grady O'Malley</v>
      </c>
      <c r="E6755" s="4" t="str">
        <f>IFERROR(__xludf.DUMMYFUNCTION("""COMPUTED_VALUE"""),"Manhattan University")</f>
        <v>Manhattan University</v>
      </c>
      <c r="F6755" s="4">
        <f>IFERROR(__xludf.DUMMYFUNCTION("""COMPUTED_VALUE"""),1.0)</f>
        <v>1</v>
      </c>
      <c r="G6755" s="4">
        <f>IFERROR(__xludf.DUMMYFUNCTION("""COMPUTED_VALUE"""),24.0)</f>
        <v>24</v>
      </c>
      <c r="H6755" s="4">
        <f>IFERROR(__xludf.DUMMYFUNCTION("""COMPUTED_VALUE"""),113.0)</f>
        <v>113</v>
      </c>
      <c r="I6755" s="4">
        <f>IFERROR(__xludf.DUMMYFUNCTION("""COMPUTED_VALUE"""),50.0)</f>
        <v>50</v>
      </c>
      <c r="J6755" s="4">
        <f>IFERROR(__xludf.DUMMYFUNCTION("""COMPUTED_VALUE"""),26.0)</f>
        <v>26</v>
      </c>
      <c r="K6755" s="4">
        <f>IFERROR(__xludf.DUMMYFUNCTION("""COMPUTED_VALUE"""),10.0)</f>
        <v>10</v>
      </c>
      <c r="L6755" s="4">
        <f>IFERROR(__xludf.DUMMYFUNCTION("""COMPUTED_VALUE"""),0.35)</f>
        <v>0.35</v>
      </c>
      <c r="M6755" s="4"/>
      <c r="N6755" s="4">
        <f>IFERROR(__xludf.DUMMYFUNCTION("""COMPUTED_VALUE"""),0.421)</f>
        <v>0.421</v>
      </c>
      <c r="O6755" s="4">
        <f>IFERROR(__xludf.DUMMYFUNCTION("""COMPUTED_VALUE"""),4.7)</f>
        <v>4.7</v>
      </c>
      <c r="P6755" s="4">
        <f>IFERROR(__xludf.DUMMYFUNCTION("""COMPUTED_VALUE"""),2.1)</f>
        <v>2.1</v>
      </c>
      <c r="Q6755" s="4">
        <f>IFERROR(__xludf.DUMMYFUNCTION("""COMPUTED_VALUE"""),1.1)</f>
        <v>1.1</v>
      </c>
      <c r="R6755" s="4">
        <f>IFERROR(__xludf.DUMMYFUNCTION("""COMPUTED_VALUE"""),0.4)</f>
        <v>0.4</v>
      </c>
      <c r="S6755" s="4">
        <f>IFERROR(__xludf.DUMMYFUNCTION("""COMPUTED_VALUE"""),-0.3)</f>
        <v>-0.3</v>
      </c>
      <c r="T6755" s="4">
        <f>IFERROR(__xludf.DUMMYFUNCTION("""COMPUTED_VALUE"""),-0.136)</f>
        <v>-0.136</v>
      </c>
      <c r="U6755" s="4"/>
      <c r="V6755" s="4"/>
    </row>
    <row r="6756">
      <c r="A6756" s="4">
        <f>IFERROR(__xludf.DUMMYFUNCTION("""COMPUTED_VALUE"""),215.0)</f>
        <v>215</v>
      </c>
      <c r="B6756" s="4">
        <f>IFERROR(__xludf.DUMMYFUNCTION("""COMPUTED_VALUE"""),215.0)</f>
        <v>215</v>
      </c>
      <c r="C6756" s="4" t="str">
        <f>IFERROR(__xludf.DUMMYFUNCTION("""COMPUTED_VALUE"""),"BAL")</f>
        <v>BAL</v>
      </c>
      <c r="D6756" s="4" t="str">
        <f>IFERROR(__xludf.DUMMYFUNCTION("""COMPUTED_VALUE"""),"Brian Heaney")</f>
        <v>Brian Heaney</v>
      </c>
      <c r="E6756" s="4" t="str">
        <f>IFERROR(__xludf.DUMMYFUNCTION("""COMPUTED_VALUE"""),"Acadia University")</f>
        <v>Acadia University</v>
      </c>
      <c r="F6756" s="4">
        <f>IFERROR(__xludf.DUMMYFUNCTION("""COMPUTED_VALUE"""),1.0)</f>
        <v>1</v>
      </c>
      <c r="G6756" s="4">
        <f>IFERROR(__xludf.DUMMYFUNCTION("""COMPUTED_VALUE"""),14.0)</f>
        <v>14</v>
      </c>
      <c r="H6756" s="4">
        <f>IFERROR(__xludf.DUMMYFUNCTION("""COMPUTED_VALUE"""),70.0)</f>
        <v>70</v>
      </c>
      <c r="I6756" s="4">
        <f>IFERROR(__xludf.DUMMYFUNCTION("""COMPUTED_VALUE"""),28.0)</f>
        <v>28</v>
      </c>
      <c r="J6756" s="4">
        <f>IFERROR(__xludf.DUMMYFUNCTION("""COMPUTED_VALUE"""),4.0)</f>
        <v>4</v>
      </c>
      <c r="K6756" s="4">
        <f>IFERROR(__xludf.DUMMYFUNCTION("""COMPUTED_VALUE"""),6.0)</f>
        <v>6</v>
      </c>
      <c r="L6756" s="4">
        <f>IFERROR(__xludf.DUMMYFUNCTION("""COMPUTED_VALUE"""),0.542)</f>
        <v>0.542</v>
      </c>
      <c r="M6756" s="4"/>
      <c r="N6756" s="4">
        <f>IFERROR(__xludf.DUMMYFUNCTION("""COMPUTED_VALUE"""),0.5)</f>
        <v>0.5</v>
      </c>
      <c r="O6756" s="4">
        <f>IFERROR(__xludf.DUMMYFUNCTION("""COMPUTED_VALUE"""),5.0)</f>
        <v>5</v>
      </c>
      <c r="P6756" s="4">
        <f>IFERROR(__xludf.DUMMYFUNCTION("""COMPUTED_VALUE"""),2.0)</f>
        <v>2</v>
      </c>
      <c r="Q6756" s="4">
        <f>IFERROR(__xludf.DUMMYFUNCTION("""COMPUTED_VALUE"""),0.3)</f>
        <v>0.3</v>
      </c>
      <c r="R6756" s="4">
        <f>IFERROR(__xludf.DUMMYFUNCTION("""COMPUTED_VALUE"""),0.4)</f>
        <v>0.4</v>
      </c>
      <c r="S6756" s="4">
        <f>IFERROR(__xludf.DUMMYFUNCTION("""COMPUTED_VALUE"""),0.2)</f>
        <v>0.2</v>
      </c>
      <c r="T6756" s="4">
        <f>IFERROR(__xludf.DUMMYFUNCTION("""COMPUTED_VALUE"""),0.106)</f>
        <v>0.106</v>
      </c>
      <c r="U6756" s="4"/>
      <c r="V6756" s="4"/>
    </row>
    <row r="6757">
      <c r="A6757" s="4"/>
      <c r="B6757" s="4"/>
      <c r="C6757" s="4"/>
      <c r="D6757" s="4" t="str">
        <f>IFERROR(__xludf.DUMMYFUNCTION("""COMPUTED_VALUE"""),"Round 20")</f>
        <v>Round 20</v>
      </c>
      <c r="E6757" s="4"/>
      <c r="F6757" s="4"/>
      <c r="G6757" s="4" t="str">
        <f>IFERROR(__xludf.DUMMYFUNCTION("""COMPUTED_VALUE"""),"Totals")</f>
        <v>Totals</v>
      </c>
      <c r="H6757" s="4"/>
      <c r="I6757" s="4"/>
      <c r="J6757" s="4"/>
      <c r="K6757" s="4"/>
      <c r="L6757" s="4" t="str">
        <f>IFERROR(__xludf.DUMMYFUNCTION("""COMPUTED_VALUE"""),"Shooting")</f>
        <v>Shooting</v>
      </c>
      <c r="M6757" s="4"/>
      <c r="N6757" s="4"/>
      <c r="O6757" s="4" t="str">
        <f>IFERROR(__xludf.DUMMYFUNCTION("""COMPUTED_VALUE"""),"Per Game")</f>
        <v>Per Game</v>
      </c>
      <c r="P6757" s="4"/>
      <c r="Q6757" s="4"/>
      <c r="R6757" s="4"/>
      <c r="S6757" s="4" t="str">
        <f>IFERROR(__xludf.DUMMYFUNCTION("""COMPUTED_VALUE"""),"Advanced")</f>
        <v>Advanced</v>
      </c>
      <c r="T6757" s="4"/>
      <c r="U6757" s="4"/>
      <c r="V6757" s="4"/>
    </row>
    <row r="6758">
      <c r="A6758" s="4" t="str">
        <f>IFERROR(__xludf.DUMMYFUNCTION("""COMPUTED_VALUE"""),"Rk")</f>
        <v>Rk</v>
      </c>
      <c r="B6758" s="4" t="str">
        <f>IFERROR(__xludf.DUMMYFUNCTION("""COMPUTED_VALUE"""),"Pk")</f>
        <v>Pk</v>
      </c>
      <c r="C6758" s="4" t="str">
        <f>IFERROR(__xludf.DUMMYFUNCTION("""COMPUTED_VALUE"""),"Tm")</f>
        <v>Tm</v>
      </c>
      <c r="D6758" s="4" t="str">
        <f>IFERROR(__xludf.DUMMYFUNCTION("""COMPUTED_VALUE"""),"Player")</f>
        <v>Player</v>
      </c>
      <c r="E6758" s="4" t="str">
        <f>IFERROR(__xludf.DUMMYFUNCTION("""COMPUTED_VALUE"""),"College")</f>
        <v>College</v>
      </c>
      <c r="F6758" s="4" t="str">
        <f>IFERROR(__xludf.DUMMYFUNCTION("""COMPUTED_VALUE"""),"Yrs")</f>
        <v>Yrs</v>
      </c>
      <c r="G6758" s="4" t="str">
        <f>IFERROR(__xludf.DUMMYFUNCTION("""COMPUTED_VALUE"""),"G")</f>
        <v>G</v>
      </c>
      <c r="H6758" s="4" t="str">
        <f>IFERROR(__xludf.DUMMYFUNCTION("""COMPUTED_VALUE"""),"MP")</f>
        <v>MP</v>
      </c>
      <c r="I6758" s="4" t="str">
        <f>IFERROR(__xludf.DUMMYFUNCTION("""COMPUTED_VALUE"""),"PTS")</f>
        <v>PTS</v>
      </c>
      <c r="J6758" s="4" t="str">
        <f>IFERROR(__xludf.DUMMYFUNCTION("""COMPUTED_VALUE"""),"TRB")</f>
        <v>TRB</v>
      </c>
      <c r="K6758" s="4" t="str">
        <f>IFERROR(__xludf.DUMMYFUNCTION("""COMPUTED_VALUE"""),"AST")</f>
        <v>AST</v>
      </c>
      <c r="L6758" s="4" t="str">
        <f>IFERROR(__xludf.DUMMYFUNCTION("""COMPUTED_VALUE"""),"FG%")</f>
        <v>FG%</v>
      </c>
      <c r="M6758" s="4" t="str">
        <f>IFERROR(__xludf.DUMMYFUNCTION("""COMPUTED_VALUE"""),"3P%")</f>
        <v>3P%</v>
      </c>
      <c r="N6758" s="4" t="str">
        <f>IFERROR(__xludf.DUMMYFUNCTION("""COMPUTED_VALUE"""),"FT%")</f>
        <v>FT%</v>
      </c>
      <c r="O6758" s="4" t="str">
        <f>IFERROR(__xludf.DUMMYFUNCTION("""COMPUTED_VALUE"""),"MP")</f>
        <v>MP</v>
      </c>
      <c r="P6758" s="4" t="str">
        <f>IFERROR(__xludf.DUMMYFUNCTION("""COMPUTED_VALUE"""),"PTS")</f>
        <v>PTS</v>
      </c>
      <c r="Q6758" s="4" t="str">
        <f>IFERROR(__xludf.DUMMYFUNCTION("""COMPUTED_VALUE"""),"TRB")</f>
        <v>TRB</v>
      </c>
      <c r="R6758" s="4" t="str">
        <f>IFERROR(__xludf.DUMMYFUNCTION("""COMPUTED_VALUE"""),"AST")</f>
        <v>AST</v>
      </c>
      <c r="S6758" s="4" t="str">
        <f>IFERROR(__xludf.DUMMYFUNCTION("""COMPUTED_VALUE"""),"WS")</f>
        <v>WS</v>
      </c>
      <c r="T6758" s="4" t="str">
        <f>IFERROR(__xludf.DUMMYFUNCTION("""COMPUTED_VALUE"""),"WS/48")</f>
        <v>WS/48</v>
      </c>
      <c r="U6758" s="4" t="str">
        <f>IFERROR(__xludf.DUMMYFUNCTION("""COMPUTED_VALUE"""),"BPM")</f>
        <v>BPM</v>
      </c>
      <c r="V6758" s="4" t="str">
        <f>IFERROR(__xludf.DUMMYFUNCTION("""COMPUTED_VALUE"""),"VORP")</f>
        <v>VORP</v>
      </c>
    </row>
    <row r="6759">
      <c r="A6759" s="4">
        <f>IFERROR(__xludf.DUMMYFUNCTION("""COMPUTED_VALUE"""),216.0)</f>
        <v>216</v>
      </c>
      <c r="B6759" s="4">
        <f>IFERROR(__xludf.DUMMYFUNCTION("""COMPUTED_VALUE"""),216.0)</f>
        <v>216</v>
      </c>
      <c r="C6759" s="4" t="str">
        <f>IFERROR(__xludf.DUMMYFUNCTION("""COMPUTED_VALUE"""),"PHO")</f>
        <v>PHO</v>
      </c>
      <c r="D6759" s="4" t="str">
        <f>IFERROR(__xludf.DUMMYFUNCTION("""COMPUTED_VALUE"""),"Jim Plump")</f>
        <v>Jim Plump</v>
      </c>
      <c r="E6759" s="4" t="str">
        <f>IFERROR(__xludf.DUMMYFUNCTION("""COMPUTED_VALUE"""),"Northern Arizona University")</f>
        <v>Northern Arizona University</v>
      </c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</row>
    <row r="6760">
      <c r="A6760" s="4">
        <f>IFERROR(__xludf.DUMMYFUNCTION("""COMPUTED_VALUE"""),217.0)</f>
        <v>217</v>
      </c>
      <c r="B6760" s="4">
        <f>IFERROR(__xludf.DUMMYFUNCTION("""COMPUTED_VALUE"""),217.0)</f>
        <v>217</v>
      </c>
      <c r="C6760" s="4" t="str">
        <f>IFERROR(__xludf.DUMMYFUNCTION("""COMPUTED_VALUE"""),"ATL")</f>
        <v>ATL</v>
      </c>
      <c r="D6760" s="4" t="str">
        <f>IFERROR(__xludf.DUMMYFUNCTION("""COMPUTED_VALUE"""),"Carl Rodwell")</f>
        <v>Carl Rodwell</v>
      </c>
      <c r="E6760" s="4" t="str">
        <f>IFERROR(__xludf.DUMMYFUNCTION("""COMPUTED_VALUE"""),"University of California, Riverside")</f>
        <v>University of California, Riverside</v>
      </c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</row>
    <row r="6761">
      <c r="A6761" s="4">
        <f>IFERROR(__xludf.DUMMYFUNCTION("""COMPUTED_VALUE"""),218.0)</f>
        <v>218</v>
      </c>
      <c r="B6761" s="4">
        <f>IFERROR(__xludf.DUMMYFUNCTION("""COMPUTED_VALUE"""),218.0)</f>
        <v>218</v>
      </c>
      <c r="C6761" s="4" t="str">
        <f>IFERROR(__xludf.DUMMYFUNCTION("""COMPUTED_VALUE"""),"BAL")</f>
        <v>BAL</v>
      </c>
      <c r="D6761" s="4" t="str">
        <f>IFERROR(__xludf.DUMMYFUNCTION("""COMPUTED_VALUE"""),"Stan McKain")</f>
        <v>Stan McKain</v>
      </c>
      <c r="E6761" s="4" t="str">
        <f>IFERROR(__xludf.DUMMYFUNCTION("""COMPUTED_VALUE"""),"Southern University and A&amp;M College")</f>
        <v>Southern University and A&amp;M College</v>
      </c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